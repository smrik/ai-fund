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03-Finance\ai-fund\data\exports\"/>
    </mc:Choice>
  </mc:AlternateContent>
  <xr:revisionPtr revIDLastSave="0" documentId="13_ncr:1_{35FE1B96-36A5-4E28-B549-D81365648CBB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Input_Raw" sheetId="45" r:id="rId1"/>
    <sheet name="Input" sheetId="49" r:id="rId2"/>
    <sheet name="Financial Statements" sheetId="37" r:id="rId3"/>
    <sheet name="Common Size" sheetId="40" r:id="rId4"/>
    <sheet name="_CIQHiddenCacheSheet" sheetId="55" state="veryHidden" r:id="rId5"/>
    <sheet name="Detailed Comps" sheetId="38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2" hidden="1">'Financial Statements'!#REF!</definedName>
    <definedName name="Ccy">Input!$B$7</definedName>
    <definedName name="CIQWBGuid" hidden="1">"d6c6fc4a-298d-45ea-b5ee-e07c39ca54b8"</definedName>
    <definedName name="CIQWBInfo" hidden="1">"{ ""CIQVersion"":""9.52.4409.4666"" }"</definedName>
    <definedName name="Conv">Input!$B$8</definedName>
    <definedName name="Date">Input!$B$6</definedName>
    <definedName name="ExternalData_1" localSheetId="1" hidden="1">Input!#REF!</definedName>
    <definedName name="ExternalData_1" localSheetId="0" hidden="1">Input_Raw!$A$1:$B$6</definedName>
    <definedName name="InputTicker">Input!$B$2</definedName>
    <definedName name="IQ_ADDIN" hidden="1">"AUTO"</definedName>
    <definedName name="IQ_ANNUAL_DIVIDEND" hidden="1">"c229"</definedName>
    <definedName name="IQ_AVG_PRICE_TARGET" hidden="1">"c82"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CH">110000</definedName>
    <definedName name="IQ_CLASSB_OUTSTANDING_BS_DATE" hidden="1">"c1972"</definedName>
    <definedName name="IQ_CLASSB_OUTSTANDING_FILING_DATE" hidden="1">"c1974"</definedName>
    <definedName name="IQ_CONV_RATE" hidden="1">"c2192"</definedName>
    <definedName name="IQ_CQ">5000</definedName>
    <definedName name="IQ_CY">10000</definedName>
    <definedName name="IQ_DAILY">500000</definedName>
    <definedName name="IQ_DNTM" hidden="1">700000</definedName>
    <definedName name="IQ_EBIT_10K" hidden="1">"IQ_EBIT_10K"</definedName>
    <definedName name="IQ_EBIT_10Q" hidden="1">"IQ_EBIT_10Q"</definedName>
    <definedName name="IQ_EBIT_10Q1" hidden="1">"IQ_EBIT_10Q1"</definedName>
    <definedName name="IQ_EBIT_GROWTH_1" hidden="1">"c157"</definedName>
    <definedName name="IQ_EBIT_GROWTH_2" hidden="1">"c161"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GROWTH_1" hidden="1">"c156"</definedName>
    <definedName name="IQ_EBITDA_GROWTH_2" hidden="1">"c160"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EST_1" hidden="1">"c189"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REVENUE_EST" hidden="1">"c165"</definedName>
    <definedName name="IQ_EV_OVER_REVENUE_EST_1" hidden="1">"c166"</definedName>
    <definedName name="IQ_EXPENSE_CODE_" hidden="1">"test"</definedName>
    <definedName name="IQ_FH">100000</definedName>
    <definedName name="IQ_FHLB_DUE_AFTER_FIVE" hidden="1">"c2086"</definedName>
    <definedName name="IQ_FIN_DIV_CURRENT_PORT_DEBT_TOTAL" hidden="1">"c5524"</definedName>
    <definedName name="IQ_FIN_DIV_CURRENT_PORT_LEASES_TOTAL" hidden="1">"c5523"</definedName>
    <definedName name="IQ_FIN_DIV_DEBT_LT_TOTAL" hidden="1">"c5526"</definedName>
    <definedName name="IQ_FIN_DIV_LEASES_LT_TOTAL" hidden="1">"c5525"</definedName>
    <definedName name="IQ_FIN_DIV_NOTES_PAY_TOTAL" hidden="1">"c5522"</definedName>
    <definedName name="IQ_FIVE_PERCENT_AMOUNT" hidden="1">"c240"</definedName>
    <definedName name="IQ_FIVEPERCENT_OWNER" hidden="1">"c239"</definedName>
    <definedName name="IQ_FLOAT" hidden="1">"c225"</definedName>
    <definedName name="IQ_FQ">500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Y">1000</definedName>
    <definedName name="IQ_FY_DATE" hidden="1">"IQ_FY_DATE"</definedName>
    <definedName name="IQ_INSIDER_3MTH_BOUGHT" hidden="1">"c1534"</definedName>
    <definedName name="IQ_INSIDER_3MTH_NET" hidden="1">"c1535"</definedName>
    <definedName name="IQ_INSIDER_3MTH_SOLD" hidden="1">"c1533"</definedName>
    <definedName name="IQ_INSIDER_6MTH_BOUGHT" hidden="1">"c1537"</definedName>
    <definedName name="IQ_INSIDER_6MTH_NET" hidden="1">"c1538"</definedName>
    <definedName name="IQ_INSIDER_6MTH_SOLD" hidden="1">"c1536"</definedName>
    <definedName name="IQ_INSIDER_AMOUNT" hidden="1">"c238"</definedName>
    <definedName name="IQ_INSTITUTIONAL_AMOUNT" hidden="1">"c236"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TM">2000</definedName>
    <definedName name="IQ_LTM_DATE" hidden="1">"IQ_LTM_DATE"</definedName>
    <definedName name="IQ_LTMMONTH" hidden="1">120000</definedName>
    <definedName name="IQ_MONTH">15000</definedName>
    <definedName name="IQ_MTD" hidden="1">800000</definedName>
    <definedName name="IQ_NAMES_REVISION_DATE_" hidden="1">"01/16/2026 15:33:52"</definedName>
    <definedName name="IQ_NAV_ACT_OR_EST" hidden="1">"c2225"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GROWTH_1" hidden="1">"c158"</definedName>
    <definedName name="IQ_NET_INC_GROWTH_2" hidden="1">"c162"</definedName>
    <definedName name="IQ_NTM">6000</definedName>
    <definedName name="IQ_NUM_OFFICES" hidden="1">"c2088"</definedName>
    <definedName name="IQ_NUMBER_SHAREHOLDERS_CLASSB" hidden="1">"c1969"</definedName>
    <definedName name="IQ_OG_OTHER_ADJ" hidden="1">"c1999"</definedName>
    <definedName name="IQ_OG_TOTAL_OIL_PRODUCTON" hidden="1">"c2059"</definedName>
    <definedName name="IQ_OPENED55" hidden="1">1</definedName>
    <definedName name="IQ_OPTIONS_EXCERCISED" hidden="1">"c2116"</definedName>
    <definedName name="IQ_OUTSTANDING_FILING_DATE_TOTAL" hidden="1">"c2107"</definedName>
    <definedName name="IQ_PERCENT_FLOAT" hidden="1">"c227"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EPS_EST" hidden="1">"c174"</definedName>
    <definedName name="IQ_PRICE_OVER_EPS_EST_1" hidden="1">"c175"</definedName>
    <definedName name="IQ_PRICEDATETIME" hidden="1">"IQ_PRICEDATETIME"</definedName>
    <definedName name="IQ_PRIMARY_EPS_TYPE_THOM" hidden="1">"c5297"</definedName>
    <definedName name="IQ_QTD" hidden="1">750000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SHAREOUTSTANDING" hidden="1">"c1347"</definedName>
    <definedName name="IQ_SHORT_INTEREST_VOLUME" hidden="1">"c228"</definedName>
    <definedName name="IQ_TARGET_PRICE_LASTCLOSE" hidden="1">"c1855"</definedName>
    <definedName name="IQ_TODAY" hidden="1">0</definedName>
    <definedName name="IQ_TOTAL_PENSION_OBLIGATION" hidden="1">"c1292"</definedName>
    <definedName name="IQ_WEEK">50000</definedName>
    <definedName name="IQ_YTD">3000</definedName>
    <definedName name="IQ_YTDMONTH" hidden="1">130000</definedName>
    <definedName name="IQB_BOOKMARK_COUNT" hidden="1">3</definedName>
    <definedName name="IQB_BOOKMARK_LOCATION_0" hidden="1">'Financial Statements'!$A$1</definedName>
    <definedName name="IQB_BOOKMARK_LOCATION_1" hidden="1">'Financial Statements'!#REF!</definedName>
    <definedName name="IQB_BOOKMARK_LOCATION_2" hidden="1">'Financial Statements'!#REF!</definedName>
    <definedName name="IQB_CURRENT_BOOKMARK" hidden="1">1</definedName>
    <definedName name="IQRA7" hidden="1">"$A$8:$A$11"</definedName>
    <definedName name="IQRB7" hidden="1">"$B$8:$B$11"</definedName>
    <definedName name="IQRBenchmarkAI6" hidden="1">[1]Benchmark!$AI$7</definedName>
    <definedName name="IQRBenchmarkAJ6" hidden="1">[1]Benchmark!$AJ$7</definedName>
    <definedName name="IQRBenchmarkAL6" hidden="1">[1]Benchmark!$AL$7</definedName>
    <definedName name="IQRBenchmarkAM6" hidden="1">[1]Benchmark!$AM$7</definedName>
    <definedName name="IQRBenchmarkAO6" hidden="1">[1]Benchmark!$AO$7</definedName>
    <definedName name="IQRBenchmarkAP6" hidden="1">[1]Benchmark!$AP$7</definedName>
    <definedName name="IQRBenchmarkAR6" hidden="1">[1]Benchmark!$AR$7</definedName>
    <definedName name="IQRBenchmarkAS6" hidden="1">[1]Benchmark!$AS$7</definedName>
    <definedName name="IQRBenchmarkAU6" hidden="1">[1]Benchmark!$AU$7</definedName>
    <definedName name="IQRBenchmarkAV6" hidden="1">[1]Benchmark!$AV$7</definedName>
    <definedName name="IQRBenchmarkAX6" hidden="1">[1]Benchmark!$AX$7</definedName>
    <definedName name="IQRBenchmarkAY6" hidden="1">[1]Benchmark!$AY$7</definedName>
    <definedName name="IQRBenchmarkBA6" hidden="1">[1]Benchmark!$BA$7</definedName>
    <definedName name="IQRBenchmarkBB6" hidden="1">[1]Benchmark!$BB$7</definedName>
    <definedName name="IQRBenchmarkBD6" hidden="1">[1]Benchmark!$BD$7</definedName>
    <definedName name="IQRBenchmarkBE6" hidden="1">[1]Benchmark!$BE$7</definedName>
    <definedName name="IQRBenchmarkBG6" hidden="1">[1]Benchmark!$BG$7</definedName>
    <definedName name="IQRBenchmarkBH6" hidden="1">[1]Benchmark!$BH$7</definedName>
    <definedName name="IQRBenchmarkBJ6" hidden="1">[1]Benchmark!$BJ$7</definedName>
    <definedName name="IQRBenchmarkBK6" hidden="1">[1]Benchmark!$BK$7</definedName>
    <definedName name="IQRBenchmarkBM6" hidden="1">[1]Benchmark!$BM$7</definedName>
    <definedName name="IQRBenchmarkBN6" hidden="1">[1]Benchmark!$BN$7</definedName>
    <definedName name="IQRC7" hidden="1">"$C$8:$C$11"</definedName>
    <definedName name="IQRCapitalStructureDetailsU34" hidden="1">'[2]Capital Structure Details'!$U$35:$U$59</definedName>
    <definedName name="IQRCapitalStructureDetailsU5" hidden="1">'[2]Capital Structure Details'!$U$6:$U$30</definedName>
    <definedName name="IQRCapitalStructureDetailsU63" hidden="1">'[2]Capital Structure Details'!$U$64:$U$88</definedName>
    <definedName name="IQRD7" hidden="1">"$D$8:$D$11"</definedName>
    <definedName name="IQRDataA8" hidden="1">[3]Data!$A$9:$A$261</definedName>
    <definedName name="IQRDataB8" hidden="1">[3]Data!$B$9:$B$261</definedName>
    <definedName name="IQRDataC8" hidden="1">[3]Data!$C$9:$C$261</definedName>
    <definedName name="IQRE7" hidden="1">"$E$8:$E$11"</definedName>
    <definedName name="IQRF7" hidden="1">"$F$8:$F$11"</definedName>
    <definedName name="IQRG7" hidden="1">"$G$8:$G$11"</definedName>
    <definedName name="IQRGrowthModelA9" hidden="1">'[4]Growth Model'!$A$10</definedName>
    <definedName name="IQRH7" hidden="1">"$H$8:$H$11"</definedName>
    <definedName name="IQRI7" hidden="1">"$I$8:$I$11"</definedName>
    <definedName name="IQRJ7" hidden="1">"$J$8:$J$11"</definedName>
    <definedName name="IQRMomentumModelA9" hidden="1">'[4]Momentum Model'!$A$10</definedName>
    <definedName name="IQRPortfolioAI6" hidden="1">[1]Portfolio!$AI$7</definedName>
    <definedName name="IQRPortfolioAJ6" hidden="1">[1]Portfolio!$AJ$7</definedName>
    <definedName name="IQRPortfolioAL6" hidden="1">[1]Portfolio!$AL$7</definedName>
    <definedName name="IQRPortfolioAM6" hidden="1">[1]Portfolio!$AM$7</definedName>
    <definedName name="IQRPortfolioAO6" hidden="1">[1]Portfolio!$AO$7</definedName>
    <definedName name="IQRPortfolioAP6" hidden="1">[1]Portfolio!$AP$7</definedName>
    <definedName name="IQRPortfolioAR6" hidden="1">[1]Portfolio!$AR$7</definedName>
    <definedName name="IQRPortfolioAS6" hidden="1">[1]Portfolio!$AS$7</definedName>
    <definedName name="IQRPortfolioAU6" hidden="1">[1]Portfolio!$AU$7</definedName>
    <definedName name="IQRPortfolioAV6" hidden="1">[1]Portfolio!$AV$7</definedName>
    <definedName name="IQRPortfolioAX6" hidden="1">[1]Portfolio!$AX$7</definedName>
    <definedName name="IQRPortfolioAY6" hidden="1">[1]Portfolio!$AY$7</definedName>
    <definedName name="IQRPortfolioBA6" hidden="1">[1]Portfolio!$BA$7</definedName>
    <definedName name="IQRPortfolioBB6" hidden="1">[1]Portfolio!$BB$7</definedName>
    <definedName name="IQRPortfolioBD6" hidden="1">[1]Portfolio!$BD$7</definedName>
    <definedName name="IQRPortfolioBE6" hidden="1">[1]Portfolio!$BE$7</definedName>
    <definedName name="IQRPortfolioBG6" hidden="1">[1]Portfolio!$BG$7</definedName>
    <definedName name="IQRPortfolioBH6" hidden="1">[1]Portfolio!$BH$7</definedName>
    <definedName name="IQRPortfolioBJ6" hidden="1">[1]Portfolio!$BJ$7</definedName>
    <definedName name="IQRPortfolioBK6" hidden="1">[1]Portfolio!$BK$7</definedName>
    <definedName name="IQRPortfolioBM6" hidden="1">[1]Portfolio!$BM$7</definedName>
    <definedName name="IQRPortfolioBN6" hidden="1">[1]Portfolio!$BN$7</definedName>
    <definedName name="IQRQualityModelA9" hidden="1">'[4]Quality Model'!$A$10</definedName>
    <definedName name="IQRValueModelA9" hidden="1">'[4]Value Model'!$A$10</definedName>
    <definedName name="Languages">OFFSET(#REF!,,,#REF!)</definedName>
    <definedName name="_xlnm.Print_Area" localSheetId="3">'Common Size'!$A$2:$M$55,'Common Size'!$A$56:$M$121</definedName>
    <definedName name="_xlnm.Print_Area" localSheetId="5">'Detailed Comps'!$A$1:$CH$10</definedName>
    <definedName name="_xlnm.Print_Area" localSheetId="2">'Financial Statements'!$A$1:$M$182,'Financial Statements'!$A$183:$M$280,'Financial Statements'!$A$281:$M$346,'Financial Statements'!$A$370:$M$471,'Financial Statements'!$A$473:$M$536</definedName>
    <definedName name="_xlnm.Print_Titles" localSheetId="3">'Common Size'!#REF!</definedName>
    <definedName name="_xlnm.Print_Titles" localSheetId="5">'Detailed Comps'!$A:$D</definedName>
    <definedName name="_xlnm.Print_Titles" localSheetId="2">'Financial Statements'!#REF!</definedName>
    <definedName name="SPWS_WBID">"0D145571-4AA7-4C6E-B8EB-4DF0FED2B8BC"</definedName>
    <definedName name="SPWS_WSID" localSheetId="3" hidden="1">"74B14380-D945-4DA9-AF4C-09AEA4A7FF0E"</definedName>
    <definedName name="SPWS_WSID" localSheetId="2" hidden="1">"57DB6723-E5BE-4B4A-A101-4BA9B54D516F"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financials_input_8f7c566d-870a-47f1-bc0e-bdda7aca83b5" name="financials_input" connection="Query - financials_inpu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K2" i="38" l="1"/>
  <c r="AC2" i="38"/>
  <c r="AG2" i="38"/>
  <c r="L478" i="37"/>
  <c r="L477" i="37"/>
  <c r="K473" i="37"/>
  <c r="L476" i="37"/>
  <c r="L475" i="37"/>
  <c r="L474" i="37"/>
  <c r="L473" i="37"/>
  <c r="K475" i="37"/>
  <c r="K474" i="37"/>
  <c r="K478" i="37"/>
  <c r="K477" i="37"/>
  <c r="K476" i="37"/>
  <c r="J474" i="37"/>
  <c r="J473" i="37"/>
  <c r="J477" i="37"/>
  <c r="J476" i="37"/>
  <c r="J475" i="37"/>
  <c r="I473" i="37"/>
  <c r="I476" i="37"/>
  <c r="I475" i="37"/>
  <c r="I474" i="37"/>
  <c r="J478" i="37"/>
  <c r="H475" i="37"/>
  <c r="H474" i="37"/>
  <c r="H473" i="37"/>
  <c r="I478" i="37"/>
  <c r="I477" i="37"/>
  <c r="G474" i="37"/>
  <c r="G473" i="37"/>
  <c r="H477" i="37"/>
  <c r="H476" i="37"/>
  <c r="H478" i="37"/>
  <c r="F473" i="37"/>
  <c r="G476" i="37"/>
  <c r="G475" i="37"/>
  <c r="G478" i="37"/>
  <c r="G477" i="37"/>
  <c r="F475" i="37"/>
  <c r="F474" i="37"/>
  <c r="F478" i="37"/>
  <c r="F477" i="37"/>
  <c r="F476" i="37"/>
  <c r="CB2" i="38"/>
  <c r="CH2" i="38"/>
  <c r="CG2" i="38"/>
  <c r="B2" i="38"/>
  <c r="J2" i="38"/>
  <c r="BW2" i="38"/>
  <c r="CF2" i="38"/>
  <c r="CE2" i="38"/>
  <c r="CD2" i="38"/>
  <c r="CC2" i="38"/>
  <c r="BR2" i="38"/>
  <c r="CA2" i="38"/>
  <c r="BZ2" i="38"/>
  <c r="BY2" i="38"/>
  <c r="BX2" i="38"/>
  <c r="BL2" i="38"/>
  <c r="BV2" i="38"/>
  <c r="BU2" i="38"/>
  <c r="BT2" i="38"/>
  <c r="BS2" i="38"/>
  <c r="BG2" i="38"/>
  <c r="BP2" i="38"/>
  <c r="BO2" i="38"/>
  <c r="BN2" i="38"/>
  <c r="BM2" i="38"/>
  <c r="BB2" i="38"/>
  <c r="BK2" i="38"/>
  <c r="BJ2" i="38"/>
  <c r="BI2" i="38"/>
  <c r="BH2" i="38"/>
  <c r="AW2" i="38"/>
  <c r="BF2" i="38"/>
  <c r="BE2" i="38"/>
  <c r="BD2" i="38"/>
  <c r="BC2" i="38"/>
  <c r="AR2" i="38"/>
  <c r="BA2" i="38"/>
  <c r="AZ2" i="38"/>
  <c r="AY2" i="38"/>
  <c r="AX2" i="38"/>
  <c r="AM2" i="38"/>
  <c r="AV2" i="38"/>
  <c r="AU2" i="38"/>
  <c r="AT2" i="38"/>
  <c r="AS2" i="38"/>
  <c r="AH2" i="38"/>
  <c r="AQ2" i="38"/>
  <c r="AP2" i="38"/>
  <c r="AO2" i="38"/>
  <c r="AN2" i="38"/>
  <c r="C2" i="38"/>
  <c r="AD2" i="38"/>
  <c r="AL2" i="38"/>
  <c r="AJ2" i="38"/>
  <c r="AI2" i="38"/>
  <c r="W2" i="38"/>
  <c r="V2" i="38"/>
  <c r="AB2" i="38"/>
  <c r="AA2" i="38"/>
  <c r="D2" i="38"/>
  <c r="R2" i="38"/>
  <c r="Q2" i="38"/>
  <c r="Z2" i="38"/>
  <c r="Y2" i="38"/>
  <c r="X2" i="38"/>
  <c r="M2" i="38"/>
  <c r="L2" i="38"/>
  <c r="U2" i="38"/>
  <c r="T2" i="38"/>
  <c r="S2" i="38"/>
  <c r="G2" i="38"/>
  <c r="E2" i="38"/>
  <c r="F2" i="38"/>
  <c r="O2" i="38"/>
  <c r="N2" i="38"/>
  <c r="M473" i="37"/>
  <c r="M474" i="37"/>
  <c r="M475" i="37"/>
  <c r="M476" i="37"/>
  <c r="M477" i="37"/>
  <c r="C477" i="37"/>
  <c r="C475" i="37"/>
  <c r="C473" i="37"/>
  <c r="C474" i="37"/>
  <c r="M478" i="37"/>
  <c r="E474" i="37"/>
  <c r="E475" i="37"/>
  <c r="E473" i="37"/>
  <c r="C478" i="37"/>
  <c r="C476" i="37"/>
  <c r="D474" i="37"/>
  <c r="D473" i="37"/>
  <c r="E477" i="37"/>
  <c r="E478" i="37"/>
  <c r="E476" i="37"/>
  <c r="B474" i="37"/>
  <c r="D477" i="37"/>
  <c r="D478" i="37"/>
  <c r="D476" i="37"/>
  <c r="D475" i="37"/>
  <c r="B478" i="37"/>
  <c r="B477" i="37"/>
  <c r="B476" i="37"/>
  <c r="B475" i="37"/>
  <c r="B473" i="37"/>
  <c r="C5" i="38"/>
  <c r="AC5" i="38"/>
  <c r="AD5" i="38"/>
  <c r="AG5" i="38"/>
  <c r="AH5" i="38"/>
  <c r="D5" i="38"/>
  <c r="AI5" i="38"/>
  <c r="AJ5" i="38"/>
  <c r="AK5" i="38"/>
  <c r="AL5" i="38"/>
  <c r="AM5" i="38"/>
  <c r="AN5" i="38"/>
  <c r="AO5" i="38"/>
  <c r="AP5" i="38"/>
  <c r="AQ5" i="38"/>
  <c r="AR5" i="38"/>
  <c r="AS5" i="38"/>
  <c r="AT5" i="38"/>
  <c r="AU5" i="38"/>
  <c r="AV5" i="38"/>
  <c r="AW5" i="38"/>
  <c r="AX5" i="38"/>
  <c r="AY5" i="38"/>
  <c r="AZ5" i="38"/>
  <c r="BA5" i="38"/>
  <c r="BB5" i="38"/>
  <c r="BC5" i="38"/>
  <c r="BD5" i="38"/>
  <c r="BE5" i="38"/>
  <c r="BF5" i="38"/>
  <c r="BG5" i="38"/>
  <c r="BH5" i="38"/>
  <c r="BI5" i="38"/>
  <c r="BJ5" i="38"/>
  <c r="BK5" i="38"/>
  <c r="BL5" i="38"/>
  <c r="BM5" i="38"/>
  <c r="BN5" i="38"/>
  <c r="BO5" i="38"/>
  <c r="BP5" i="38"/>
  <c r="BR5" i="38"/>
  <c r="BS5" i="38"/>
  <c r="BT5" i="38"/>
  <c r="BU5" i="38"/>
  <c r="BV5" i="38"/>
  <c r="BW5" i="38"/>
  <c r="BX5" i="38"/>
  <c r="BY5" i="38"/>
  <c r="BZ5" i="38"/>
  <c r="CA5" i="38"/>
  <c r="CB5" i="38"/>
  <c r="CC5" i="38"/>
  <c r="CD5" i="38"/>
  <c r="CE5" i="38"/>
  <c r="CF5" i="38"/>
  <c r="CG5" i="38"/>
  <c r="F5" i="38"/>
  <c r="E5" i="38"/>
  <c r="J5" i="38"/>
  <c r="B5" i="38"/>
  <c r="CH5" i="38"/>
  <c r="R5" i="38"/>
  <c r="S5" i="38"/>
  <c r="L5" i="38"/>
  <c r="M5" i="38"/>
  <c r="G5" i="38"/>
  <c r="W5" i="38"/>
  <c r="X5" i="38"/>
  <c r="N5" i="38"/>
  <c r="O5" i="38"/>
  <c r="Q5" i="38"/>
  <c r="AA5" i="38"/>
  <c r="AB5" i="38"/>
  <c r="T5" i="38"/>
  <c r="U5" i="38"/>
  <c r="V5" i="38"/>
  <c r="CD4" i="38"/>
  <c r="CC4" i="38"/>
  <c r="CH4" i="38"/>
  <c r="Y5" i="38"/>
  <c r="Z5" i="38"/>
  <c r="BY4" i="38"/>
  <c r="BX4" i="38"/>
  <c r="CG4" i="38"/>
  <c r="CF4" i="38"/>
  <c r="CE4" i="38"/>
  <c r="BT4" i="38"/>
  <c r="BS4" i="38"/>
  <c r="CB4" i="38"/>
  <c r="CA4" i="38"/>
  <c r="BZ4" i="38"/>
  <c r="BN4" i="38"/>
  <c r="BM4" i="38"/>
  <c r="BW4" i="38"/>
  <c r="BV4" i="38"/>
  <c r="BU4" i="38"/>
  <c r="BI4" i="38"/>
  <c r="BH4" i="38"/>
  <c r="BR4" i="38"/>
  <c r="BP4" i="38"/>
  <c r="BO4" i="38"/>
  <c r="BD4" i="38"/>
  <c r="BC4" i="38"/>
  <c r="BL4" i="38"/>
  <c r="BK4" i="38"/>
  <c r="BJ4" i="38"/>
  <c r="AY4" i="38"/>
  <c r="AX4" i="38"/>
  <c r="BG4" i="38"/>
  <c r="BF4" i="38"/>
  <c r="BE4" i="38"/>
  <c r="AT4" i="38"/>
  <c r="AS4" i="38"/>
  <c r="BB4" i="38"/>
  <c r="BA4" i="38"/>
  <c r="AZ4" i="38"/>
  <c r="AO4" i="38"/>
  <c r="AN4" i="38"/>
  <c r="AW4" i="38"/>
  <c r="AV4" i="38"/>
  <c r="AU4" i="38"/>
  <c r="AJ4" i="38"/>
  <c r="AI4" i="38"/>
  <c r="AR4" i="38"/>
  <c r="AQ4" i="38"/>
  <c r="AP4" i="38"/>
  <c r="AC4" i="38"/>
  <c r="J4" i="38"/>
  <c r="AM4" i="38"/>
  <c r="AL4" i="38"/>
  <c r="AK4" i="38"/>
  <c r="C4" i="38"/>
  <c r="B4" i="38"/>
  <c r="AH4" i="38"/>
  <c r="AG4" i="38"/>
  <c r="AD4" i="38"/>
  <c r="AB4" i="38"/>
  <c r="AA4" i="38"/>
  <c r="Z4" i="38"/>
  <c r="Y4" i="38"/>
  <c r="D4" i="38"/>
  <c r="X4" i="38"/>
  <c r="W4" i="38"/>
  <c r="V4" i="38"/>
  <c r="U4" i="38"/>
  <c r="T4" i="38"/>
  <c r="S4" i="38"/>
  <c r="R4" i="38"/>
  <c r="Q4" i="38"/>
  <c r="O4" i="38"/>
  <c r="N4" i="38"/>
  <c r="M4" i="38"/>
  <c r="L4" i="38"/>
  <c r="G4" i="38"/>
  <c r="F4" i="38"/>
  <c r="E4" i="38"/>
  <c r="AG3" i="38"/>
  <c r="AH3" i="38"/>
  <c r="AI3" i="38"/>
  <c r="C3" i="38"/>
  <c r="D3" i="38"/>
  <c r="AL3" i="38"/>
  <c r="AM3" i="38"/>
  <c r="AN3" i="38"/>
  <c r="AC3" i="38"/>
  <c r="AD3" i="38"/>
  <c r="AQ3" i="38"/>
  <c r="AR3" i="38"/>
  <c r="AS3" i="38"/>
  <c r="AJ3" i="38"/>
  <c r="AK3" i="38"/>
  <c r="AV3" i="38"/>
  <c r="AW3" i="38"/>
  <c r="AX3" i="38"/>
  <c r="AO3" i="38"/>
  <c r="AP3" i="38"/>
  <c r="BA3" i="38"/>
  <c r="BB3" i="38"/>
  <c r="BC3" i="38"/>
  <c r="AT3" i="38"/>
  <c r="AU3" i="38"/>
  <c r="BF3" i="38"/>
  <c r="BG3" i="38"/>
  <c r="BH3" i="38"/>
  <c r="AY3" i="38"/>
  <c r="AZ3" i="38"/>
  <c r="BK3" i="38"/>
  <c r="BL3" i="38"/>
  <c r="BM3" i="38"/>
  <c r="BD3" i="38"/>
  <c r="BE3" i="38"/>
  <c r="BP3" i="38"/>
  <c r="BR3" i="38"/>
  <c r="BS3" i="38"/>
  <c r="BI3" i="38"/>
  <c r="BJ3" i="38"/>
  <c r="BV3" i="38"/>
  <c r="BW3" i="38"/>
  <c r="BX3" i="38"/>
  <c r="BN3" i="38"/>
  <c r="BO3" i="38"/>
  <c r="CA3" i="38"/>
  <c r="CB3" i="38"/>
  <c r="CC3" i="38"/>
  <c r="BT3" i="38"/>
  <c r="BU3" i="38"/>
  <c r="CF3" i="38"/>
  <c r="CG3" i="38"/>
  <c r="CH3" i="38"/>
  <c r="BY3" i="38"/>
  <c r="BZ3" i="38"/>
  <c r="G3" i="38"/>
  <c r="J3" i="38"/>
  <c r="B3" i="38"/>
  <c r="CD3" i="38"/>
  <c r="CE3" i="38"/>
  <c r="N3" i="38"/>
  <c r="O3" i="38"/>
  <c r="Q3" i="38"/>
  <c r="F3" i="38"/>
  <c r="E3" i="38"/>
  <c r="T3" i="38"/>
  <c r="U3" i="38"/>
  <c r="V3" i="38"/>
  <c r="L3" i="38"/>
  <c r="M3" i="38"/>
  <c r="Y3" i="38"/>
  <c r="Z3" i="38"/>
  <c r="AA3" i="38"/>
  <c r="R3" i="38"/>
  <c r="S3" i="38"/>
  <c r="C9" i="38"/>
  <c r="D9" i="38"/>
  <c r="AB3" i="38"/>
  <c r="W3" i="38"/>
  <c r="X3" i="38"/>
  <c r="AI9" i="38"/>
  <c r="AJ9" i="38"/>
  <c r="AK9" i="38"/>
  <c r="AC9" i="38"/>
  <c r="AD9" i="38"/>
  <c r="AN9" i="38"/>
  <c r="AO9" i="38"/>
  <c r="AP9" i="38"/>
  <c r="AG9" i="38"/>
  <c r="AH9" i="38"/>
  <c r="AS9" i="38"/>
  <c r="AT9" i="38"/>
  <c r="AU9" i="38"/>
  <c r="AL9" i="38"/>
  <c r="AM9" i="38"/>
  <c r="AX9" i="38"/>
  <c r="AY9" i="38"/>
  <c r="AZ9" i="38"/>
  <c r="AQ9" i="38"/>
  <c r="AR9" i="38"/>
  <c r="BC9" i="38"/>
  <c r="BD9" i="38"/>
  <c r="BE9" i="38"/>
  <c r="AV9" i="38"/>
  <c r="AW9" i="38"/>
  <c r="BH9" i="38"/>
  <c r="BI9" i="38"/>
  <c r="BJ9" i="38"/>
  <c r="BA9" i="38"/>
  <c r="BB9" i="38"/>
  <c r="BM9" i="38"/>
  <c r="BN9" i="38"/>
  <c r="BO9" i="38"/>
  <c r="BF9" i="38"/>
  <c r="BG9" i="38"/>
  <c r="BS9" i="38"/>
  <c r="BT9" i="38"/>
  <c r="BU9" i="38"/>
  <c r="BK9" i="38"/>
  <c r="BL9" i="38"/>
  <c r="BX9" i="38"/>
  <c r="BY9" i="38"/>
  <c r="BZ9" i="38"/>
  <c r="BP9" i="38"/>
  <c r="BR9" i="38"/>
  <c r="CC9" i="38"/>
  <c r="CD9" i="38"/>
  <c r="CE9" i="38"/>
  <c r="BV9" i="38"/>
  <c r="BW9" i="38"/>
  <c r="CF9" i="38"/>
  <c r="CG9" i="38"/>
  <c r="CH9" i="38"/>
  <c r="CA9" i="38"/>
  <c r="CB9" i="38"/>
  <c r="F9" i="38"/>
  <c r="E9" i="38"/>
  <c r="G9" i="38"/>
  <c r="J9" i="38"/>
  <c r="B9" i="38"/>
  <c r="N9" i="38"/>
  <c r="O9" i="38"/>
  <c r="Q9" i="38"/>
  <c r="R9" i="38"/>
  <c r="L9" i="38"/>
  <c r="T9" i="38"/>
  <c r="U9" i="38"/>
  <c r="V9" i="38"/>
  <c r="W9" i="38"/>
  <c r="M9" i="38"/>
  <c r="Y9" i="38"/>
  <c r="Z9" i="38"/>
  <c r="AA9" i="38"/>
  <c r="AB9" i="38"/>
  <c r="S9" i="38"/>
  <c r="CA8" i="38"/>
  <c r="CH8" i="38"/>
  <c r="CG8" i="38"/>
  <c r="CF8" i="38"/>
  <c r="X9" i="38"/>
  <c r="BV8" i="38"/>
  <c r="CE8" i="38"/>
  <c r="CD8" i="38"/>
  <c r="CC8" i="38"/>
  <c r="CB8" i="38"/>
  <c r="BP8" i="38"/>
  <c r="BZ8" i="38"/>
  <c r="BY8" i="38"/>
  <c r="BX8" i="38"/>
  <c r="BW8" i="38"/>
  <c r="BK8" i="38"/>
  <c r="BU8" i="38"/>
  <c r="BT8" i="38"/>
  <c r="BS8" i="38"/>
  <c r="BR8" i="38"/>
  <c r="BF8" i="38"/>
  <c r="BO8" i="38"/>
  <c r="BN8" i="38"/>
  <c r="BM8" i="38"/>
  <c r="BL8" i="38"/>
  <c r="BA8" i="38"/>
  <c r="BJ8" i="38"/>
  <c r="BI8" i="38"/>
  <c r="BH8" i="38"/>
  <c r="BG8" i="38"/>
  <c r="AV8" i="38"/>
  <c r="BE8" i="38"/>
  <c r="BD8" i="38"/>
  <c r="BC8" i="38"/>
  <c r="BB8" i="38"/>
  <c r="AQ8" i="38"/>
  <c r="AZ8" i="38"/>
  <c r="AY8" i="38"/>
  <c r="AX8" i="38"/>
  <c r="AW8" i="38"/>
  <c r="AL8" i="38"/>
  <c r="AU8" i="38"/>
  <c r="AT8" i="38"/>
  <c r="AS8" i="38"/>
  <c r="AR8" i="38"/>
  <c r="AG8" i="38"/>
  <c r="AP8" i="38"/>
  <c r="AO8" i="38"/>
  <c r="AN8" i="38"/>
  <c r="AM8" i="38"/>
  <c r="C8" i="38"/>
  <c r="AK8" i="38"/>
  <c r="AJ8" i="38"/>
  <c r="AI8" i="38"/>
  <c r="AH8" i="38"/>
  <c r="B8" i="38"/>
  <c r="AD8" i="38"/>
  <c r="AC8" i="38"/>
  <c r="J8" i="38"/>
  <c r="D8" i="38"/>
  <c r="X8" i="38"/>
  <c r="W8" i="38"/>
  <c r="V8" i="38"/>
  <c r="AB8" i="38"/>
  <c r="AA8" i="38"/>
  <c r="S8" i="38"/>
  <c r="R8" i="38"/>
  <c r="Q8" i="38"/>
  <c r="Z8" i="38"/>
  <c r="Y8" i="38"/>
  <c r="M8" i="38"/>
  <c r="L8" i="38"/>
  <c r="G8" i="38"/>
  <c r="U8" i="38"/>
  <c r="T8" i="38"/>
  <c r="D7" i="38"/>
  <c r="F8" i="38"/>
  <c r="E8" i="38"/>
  <c r="O8" i="38"/>
  <c r="N8" i="38"/>
  <c r="AL7" i="38"/>
  <c r="AC7" i="38"/>
  <c r="AD7" i="38"/>
  <c r="AG7" i="38"/>
  <c r="C7" i="38"/>
  <c r="AQ7" i="38"/>
  <c r="AH7" i="38"/>
  <c r="AI7" i="38"/>
  <c r="AJ7" i="38"/>
  <c r="AK7" i="38"/>
  <c r="AV7" i="38"/>
  <c r="AM7" i="38"/>
  <c r="AN7" i="38"/>
  <c r="AO7" i="38"/>
  <c r="AP7" i="38"/>
  <c r="BA7" i="38"/>
  <c r="AR7" i="38"/>
  <c r="AS7" i="38"/>
  <c r="AT7" i="38"/>
  <c r="AU7" i="38"/>
  <c r="BF7" i="38"/>
  <c r="AW7" i="38"/>
  <c r="AX7" i="38"/>
  <c r="AY7" i="38"/>
  <c r="AZ7" i="38"/>
  <c r="BK7" i="38"/>
  <c r="BB7" i="38"/>
  <c r="BC7" i="38"/>
  <c r="BD7" i="38"/>
  <c r="BE7" i="38"/>
  <c r="BP7" i="38"/>
  <c r="BG7" i="38"/>
  <c r="BH7" i="38"/>
  <c r="BI7" i="38"/>
  <c r="BJ7" i="38"/>
  <c r="BV7" i="38"/>
  <c r="BL7" i="38"/>
  <c r="BM7" i="38"/>
  <c r="BN7" i="38"/>
  <c r="BO7" i="38"/>
  <c r="CA7" i="38"/>
  <c r="BR7" i="38"/>
  <c r="BS7" i="38"/>
  <c r="BT7" i="38"/>
  <c r="BU7" i="38"/>
  <c r="CF7" i="38"/>
  <c r="BW7" i="38"/>
  <c r="BX7" i="38"/>
  <c r="BY7" i="38"/>
  <c r="BZ7" i="38"/>
  <c r="CH7" i="38"/>
  <c r="CB7" i="38"/>
  <c r="CC7" i="38"/>
  <c r="CD7" i="38"/>
  <c r="CE7" i="38"/>
  <c r="F7" i="38"/>
  <c r="E7" i="38"/>
  <c r="B7" i="38"/>
  <c r="J7" i="38"/>
  <c r="CG7" i="38"/>
  <c r="L7" i="38"/>
  <c r="M7" i="38"/>
  <c r="N7" i="38"/>
  <c r="O7" i="38"/>
  <c r="G7" i="38"/>
  <c r="Q7" i="38"/>
  <c r="R7" i="38"/>
  <c r="S7" i="38"/>
  <c r="T7" i="38"/>
  <c r="U7" i="38"/>
  <c r="V7" i="38"/>
  <c r="W7" i="38"/>
  <c r="X7" i="38"/>
  <c r="Y7" i="38"/>
  <c r="Z7" i="38"/>
  <c r="CF6" i="38"/>
  <c r="CE6" i="38"/>
  <c r="CD6" i="38"/>
  <c r="AA7" i="38"/>
  <c r="AB7" i="38"/>
  <c r="CA6" i="38"/>
  <c r="BZ6" i="38"/>
  <c r="BY6" i="38"/>
  <c r="CH6" i="38"/>
  <c r="CG6" i="38"/>
  <c r="BV6" i="38"/>
  <c r="BU6" i="38"/>
  <c r="BT6" i="38"/>
  <c r="CC6" i="38"/>
  <c r="CB6" i="38"/>
  <c r="BP6" i="38"/>
  <c r="BO6" i="38"/>
  <c r="BN6" i="38"/>
  <c r="BX6" i="38"/>
  <c r="BW6" i="38"/>
  <c r="BK6" i="38"/>
  <c r="BJ6" i="38"/>
  <c r="BI6" i="38"/>
  <c r="BS6" i="38"/>
  <c r="BR6" i="38"/>
  <c r="BF6" i="38"/>
  <c r="BE6" i="38"/>
  <c r="BD6" i="38"/>
  <c r="BM6" i="38"/>
  <c r="BL6" i="38"/>
  <c r="BA6" i="38"/>
  <c r="AZ6" i="38"/>
  <c r="AY6" i="38"/>
  <c r="BH6" i="38"/>
  <c r="BG6" i="38"/>
  <c r="AV6" i="38"/>
  <c r="AU6" i="38"/>
  <c r="AT6" i="38"/>
  <c r="BC6" i="38"/>
  <c r="BB6" i="38"/>
  <c r="AQ6" i="38"/>
  <c r="AP6" i="38"/>
  <c r="AO6" i="38"/>
  <c r="AX6" i="38"/>
  <c r="AW6" i="38"/>
  <c r="AL6" i="38"/>
  <c r="AK6" i="38"/>
  <c r="AJ6" i="38"/>
  <c r="AS6" i="38"/>
  <c r="AR6" i="38"/>
  <c r="AG6" i="38"/>
  <c r="AD6" i="38"/>
  <c r="AC6" i="38"/>
  <c r="AN6" i="38"/>
  <c r="AM6" i="38"/>
  <c r="D6" i="38"/>
  <c r="C6" i="38"/>
  <c r="B6" i="38"/>
  <c r="AI6" i="38"/>
  <c r="AH6" i="38"/>
  <c r="AA6" i="38"/>
  <c r="Z6" i="38"/>
  <c r="Y6" i="38"/>
  <c r="X6" i="38"/>
  <c r="J6" i="38"/>
  <c r="V6" i="38"/>
  <c r="U6" i="38"/>
  <c r="T6" i="38"/>
  <c r="S6" i="38"/>
  <c r="AB6" i="38"/>
  <c r="Q6" i="38"/>
  <c r="O6" i="38"/>
  <c r="N6" i="38"/>
  <c r="M6" i="38"/>
  <c r="W6" i="38"/>
  <c r="L6" i="38"/>
  <c r="G6" i="38"/>
  <c r="F6" i="38"/>
  <c r="E6" i="38"/>
  <c r="R6" i="38"/>
  <c r="J472" i="37"/>
  <c r="K472" i="37"/>
  <c r="L472" i="37"/>
  <c r="D472" i="37"/>
  <c r="F472" i="37"/>
  <c r="G472" i="37"/>
  <c r="H472" i="37"/>
  <c r="I472" i="37"/>
  <c r="A2" i="38"/>
  <c r="G512" i="37"/>
  <c r="I534" i="37"/>
  <c r="C472" i="37"/>
  <c r="E472" i="37"/>
  <c r="K491" i="37"/>
  <c r="K530" i="37"/>
  <c r="G528" i="37"/>
  <c r="G525" i="37"/>
  <c r="I521" i="37"/>
  <c r="K469" i="37"/>
  <c r="I508" i="37"/>
  <c r="K504" i="37"/>
  <c r="G499" i="37"/>
  <c r="I495" i="37"/>
  <c r="L530" i="37"/>
  <c r="K488" i="37"/>
  <c r="G486" i="37"/>
  <c r="I482" i="37"/>
  <c r="I479" i="37"/>
  <c r="H515" i="37"/>
  <c r="K430" i="37"/>
  <c r="K427" i="37"/>
  <c r="L533" i="37"/>
  <c r="F532" i="37"/>
  <c r="F503" i="37"/>
  <c r="H528" i="37"/>
  <c r="J524" i="37"/>
  <c r="J521" i="37"/>
  <c r="F519" i="37"/>
  <c r="H486" i="37"/>
  <c r="H512" i="37"/>
  <c r="J508" i="37"/>
  <c r="F506" i="37"/>
  <c r="L504" i="37"/>
  <c r="F429" i="37"/>
  <c r="H499" i="37"/>
  <c r="J495" i="37"/>
  <c r="L491" i="37"/>
  <c r="F490" i="37"/>
  <c r="K524" i="37"/>
  <c r="J482" i="37"/>
  <c r="F471" i="37"/>
  <c r="L469" i="37"/>
  <c r="L430" i="37"/>
  <c r="G506" i="37"/>
  <c r="F390" i="37"/>
  <c r="H370" i="37"/>
  <c r="G532" i="37"/>
  <c r="I528" i="37"/>
  <c r="G490" i="37"/>
  <c r="G519" i="37"/>
  <c r="I515" i="37"/>
  <c r="K511" i="37"/>
  <c r="K508" i="37"/>
  <c r="G429" i="37"/>
  <c r="I502" i="37"/>
  <c r="I499" i="37"/>
  <c r="K495" i="37"/>
  <c r="G493" i="37"/>
  <c r="L524" i="37"/>
  <c r="I486" i="37"/>
  <c r="K482" i="37"/>
  <c r="G471" i="37"/>
  <c r="G432" i="37"/>
  <c r="F510" i="37"/>
  <c r="H535" i="37"/>
  <c r="H532" i="37"/>
  <c r="J528" i="37"/>
  <c r="F526" i="37"/>
  <c r="L495" i="37"/>
  <c r="F523" i="37"/>
  <c r="H519" i="37"/>
  <c r="J515" i="37"/>
  <c r="L511" i="37"/>
  <c r="L482" i="37"/>
  <c r="H506" i="37"/>
  <c r="J502" i="37"/>
  <c r="L498" i="37"/>
  <c r="F497" i="37"/>
  <c r="H390" i="37"/>
  <c r="H493" i="37"/>
  <c r="J489" i="37"/>
  <c r="J486" i="37"/>
  <c r="F484" i="37"/>
  <c r="G526" i="37"/>
  <c r="H480" i="37"/>
  <c r="H471" i="37"/>
  <c r="H432" i="37"/>
  <c r="J428" i="37"/>
  <c r="G510" i="37"/>
  <c r="J370" i="37"/>
  <c r="I535" i="37"/>
  <c r="K531" i="37"/>
  <c r="K528" i="37"/>
  <c r="K489" i="37"/>
  <c r="I522" i="37"/>
  <c r="I519" i="37"/>
  <c r="K515" i="37"/>
  <c r="G513" i="37"/>
  <c r="K428" i="37"/>
  <c r="I506" i="37"/>
  <c r="K502" i="37"/>
  <c r="G497" i="37"/>
  <c r="I493" i="37"/>
  <c r="H526" i="37"/>
  <c r="G484" i="37"/>
  <c r="I480" i="37"/>
  <c r="K470" i="37"/>
  <c r="I432" i="37"/>
  <c r="J509" i="37"/>
  <c r="I390" i="37"/>
  <c r="J535" i="37"/>
  <c r="L531" i="37"/>
  <c r="F530" i="37"/>
  <c r="H497" i="37"/>
  <c r="J522" i="37"/>
  <c r="L518" i="37"/>
  <c r="L515" i="37"/>
  <c r="H513" i="37"/>
  <c r="I526" i="37"/>
  <c r="J506" i="37"/>
  <c r="F504" i="37"/>
  <c r="L502" i="37"/>
  <c r="H500" i="37"/>
  <c r="I500" i="37"/>
  <c r="J493" i="37"/>
  <c r="K535" i="37"/>
  <c r="G533" i="37"/>
  <c r="G530" i="37"/>
  <c r="I484" i="37"/>
  <c r="K522" i="37"/>
  <c r="I513" i="37"/>
  <c r="K509" i="37"/>
  <c r="G504" i="37"/>
  <c r="I426" i="37"/>
  <c r="K496" i="37"/>
  <c r="K493" i="37"/>
  <c r="G491" i="37"/>
  <c r="I487" i="37"/>
  <c r="F524" i="37"/>
  <c r="K480" i="37"/>
  <c r="G469" i="37"/>
  <c r="K432" i="37"/>
  <c r="G430" i="37"/>
  <c r="L509" i="37"/>
  <c r="L535" i="37"/>
  <c r="H533" i="37"/>
  <c r="J529" i="37"/>
  <c r="J526" i="37"/>
  <c r="F495" i="37"/>
  <c r="L522" i="37"/>
  <c r="H520" i="37"/>
  <c r="J513" i="37"/>
  <c r="F511" i="37"/>
  <c r="L480" i="37"/>
  <c r="F508" i="37"/>
  <c r="H504" i="37"/>
  <c r="J500" i="37"/>
  <c r="L496" i="37"/>
  <c r="K529" i="37"/>
  <c r="H491" i="37"/>
  <c r="J487" i="37"/>
  <c r="L483" i="37"/>
  <c r="F482" i="37"/>
  <c r="G511" i="37"/>
  <c r="J468" i="37"/>
  <c r="H430" i="37"/>
  <c r="J426" i="37"/>
  <c r="I533" i="37"/>
  <c r="G495" i="37"/>
  <c r="G524" i="37"/>
  <c r="I520" i="37"/>
  <c r="K516" i="37"/>
  <c r="K513" i="37"/>
  <c r="J533" i="37"/>
  <c r="I507" i="37"/>
  <c r="I504" i="37"/>
  <c r="K500" i="37"/>
  <c r="G498" i="37"/>
  <c r="J520" i="37"/>
  <c r="I491" i="37"/>
  <c r="K487" i="37"/>
  <c r="G482" i="37"/>
  <c r="K468" i="37"/>
  <c r="L503" i="37"/>
  <c r="F531" i="37"/>
  <c r="L529" i="37"/>
  <c r="F528" i="37"/>
  <c r="H524" i="37"/>
  <c r="J491" i="37"/>
  <c r="L516" i="37"/>
  <c r="F515" i="37"/>
  <c r="H511" i="37"/>
  <c r="J507" i="37"/>
  <c r="F470" i="37"/>
  <c r="F502" i="37"/>
  <c r="L500" i="37"/>
  <c r="H498" i="37"/>
  <c r="J494" i="37"/>
  <c r="I524" i="37"/>
  <c r="F489" i="37"/>
  <c r="L487" i="37"/>
  <c r="H485" i="37"/>
  <c r="H482" i="37"/>
  <c r="K507" i="37"/>
  <c r="L468" i="37"/>
  <c r="K533" i="37"/>
  <c r="G531" i="37"/>
  <c r="I527" i="37"/>
  <c r="I485" i="37"/>
  <c r="K520" i="37"/>
  <c r="G518" i="37"/>
  <c r="G515" i="37"/>
  <c r="I511" i="37"/>
  <c r="H531" i="37"/>
  <c r="G502" i="37"/>
  <c r="I498" i="37"/>
  <c r="K494" i="37"/>
  <c r="G489" i="37"/>
  <c r="H518" i="37"/>
  <c r="K481" i="37"/>
  <c r="G470" i="37"/>
  <c r="G428" i="37"/>
  <c r="F535" i="37"/>
  <c r="H505" i="37"/>
  <c r="J527" i="37"/>
  <c r="L523" i="37"/>
  <c r="F522" i="37"/>
  <c r="L520" i="37"/>
  <c r="F493" i="37"/>
  <c r="J514" i="37"/>
  <c r="J511" i="37"/>
  <c r="F509" i="37"/>
  <c r="L507" i="37"/>
  <c r="H470" i="37"/>
  <c r="H502" i="37"/>
  <c r="J498" i="37"/>
  <c r="F496" i="37"/>
  <c r="L494" i="37"/>
  <c r="I531" i="37"/>
  <c r="H489" i="37"/>
  <c r="J485" i="37"/>
  <c r="L481" i="37"/>
  <c r="F480" i="37"/>
  <c r="G509" i="37"/>
  <c r="F432" i="37"/>
  <c r="H428" i="37"/>
  <c r="K536" i="37"/>
  <c r="G535" i="37"/>
  <c r="I492" i="37"/>
  <c r="K527" i="37"/>
  <c r="G522" i="37"/>
  <c r="I518" i="37"/>
  <c r="K514" i="37"/>
  <c r="I470" i="37"/>
  <c r="I505" i="37"/>
  <c r="K501" i="37"/>
  <c r="K498" i="37"/>
  <c r="G496" i="37"/>
  <c r="F529" i="37"/>
  <c r="I489" i="37"/>
  <c r="K485" i="37"/>
  <c r="G483" i="37"/>
  <c r="G480" i="37"/>
  <c r="F516" i="37"/>
  <c r="K440" i="37"/>
  <c r="L536" i="37"/>
  <c r="J534" i="37"/>
  <c r="J531" i="37"/>
  <c r="L501" i="37"/>
  <c r="L527" i="37"/>
  <c r="H525" i="37"/>
  <c r="H522" i="37"/>
  <c r="J518" i="37"/>
  <c r="F487" i="37"/>
  <c r="L514" i="37"/>
  <c r="F513" i="37"/>
  <c r="H509" i="37"/>
  <c r="J505" i="37"/>
  <c r="F468" i="37"/>
  <c r="F500" i="37"/>
  <c r="H496" i="37"/>
  <c r="J492" i="37"/>
  <c r="L488" i="37"/>
  <c r="K534" i="37"/>
  <c r="L485" i="37"/>
  <c r="H483" i="37"/>
  <c r="J479" i="37"/>
  <c r="J470" i="37"/>
  <c r="G516" i="37"/>
  <c r="L440" i="37"/>
  <c r="J431" i="37"/>
  <c r="L427" i="37"/>
  <c r="F426" i="37"/>
  <c r="G500" i="37"/>
  <c r="G529" i="37"/>
  <c r="I525" i="37"/>
  <c r="K521" i="37"/>
  <c r="K518" i="37"/>
  <c r="K479" i="37"/>
  <c r="I512" i="37"/>
  <c r="I509" i="37"/>
  <c r="K505" i="37"/>
  <c r="G503" i="37"/>
  <c r="L534" i="37"/>
  <c r="I496" i="37"/>
  <c r="K492" i="37"/>
  <c r="G487" i="37"/>
  <c r="I483" i="37"/>
  <c r="F520" i="37"/>
  <c r="G468" i="37"/>
  <c r="K431" i="37"/>
  <c r="G426" i="37"/>
  <c r="F536" i="37"/>
  <c r="L505" i="37"/>
  <c r="F533" i="37"/>
  <c r="H529" i="37"/>
  <c r="J525" i="37"/>
  <c r="L521" i="37"/>
  <c r="L492" i="37"/>
  <c r="H516" i="37"/>
  <c r="J512" i="37"/>
  <c r="L508" i="37"/>
  <c r="F507" i="37"/>
  <c r="I529" i="37"/>
  <c r="H503" i="37"/>
  <c r="J499" i="37"/>
  <c r="J496" i="37"/>
  <c r="F494" i="37"/>
  <c r="K512" i="37"/>
  <c r="H490" i="37"/>
  <c r="H487" i="37"/>
  <c r="G536" i="37"/>
  <c r="I532" i="37"/>
  <c r="I490" i="37"/>
  <c r="K525" i="37"/>
  <c r="G523" i="37"/>
  <c r="G520" i="37"/>
  <c r="I516" i="37"/>
  <c r="I468" i="37"/>
  <c r="G507" i="37"/>
  <c r="I503" i="37"/>
  <c r="K499" i="37"/>
  <c r="G494" i="37"/>
  <c r="L525" i="37"/>
  <c r="K486" i="37"/>
  <c r="K483" i="37"/>
  <c r="G481" i="37"/>
  <c r="I471" i="37"/>
  <c r="L512" i="37"/>
  <c r="H536" i="37"/>
  <c r="J532" i="37"/>
  <c r="L528" i="37"/>
  <c r="F527" i="37"/>
  <c r="L499" i="37"/>
  <c r="H523" i="37"/>
  <c r="J519" i="37"/>
  <c r="J516" i="37"/>
  <c r="F514" i="37"/>
  <c r="F485" i="37"/>
  <c r="H510" i="37"/>
  <c r="H507" i="37"/>
  <c r="J503" i="37"/>
  <c r="F501" i="37"/>
  <c r="G527" i="37"/>
  <c r="F498" i="37"/>
  <c r="H494" i="37"/>
  <c r="J490" i="37"/>
  <c r="L486" i="37"/>
  <c r="J536" i="37"/>
  <c r="H481" i="37"/>
  <c r="J471" i="37"/>
  <c r="I536" i="37"/>
  <c r="K532" i="37"/>
  <c r="J523" i="37"/>
  <c r="I523" i="37"/>
  <c r="K519" i="37"/>
  <c r="G514" i="37"/>
  <c r="I510" i="37"/>
  <c r="J510" i="37"/>
  <c r="F534" i="37"/>
  <c r="L532" i="37"/>
  <c r="H530" i="37"/>
  <c r="H527" i="37"/>
  <c r="L493" i="37"/>
  <c r="F521" i="37"/>
  <c r="L519" i="37"/>
  <c r="F518" i="37"/>
  <c r="H514" i="37"/>
  <c r="I530" i="37"/>
  <c r="L506" i="37"/>
  <c r="F505" i="37"/>
  <c r="H501" i="37"/>
  <c r="J497" i="37"/>
  <c r="K510" i="37"/>
  <c r="F492" i="37"/>
  <c r="L490" i="37"/>
  <c r="H488" i="37"/>
  <c r="G534" i="37"/>
  <c r="G492" i="37"/>
  <c r="K526" i="37"/>
  <c r="K523" i="37"/>
  <c r="G521" i="37"/>
  <c r="I514" i="37"/>
  <c r="J530" i="37"/>
  <c r="G508" i="37"/>
  <c r="G505" i="37"/>
  <c r="I501" i="37"/>
  <c r="K497" i="37"/>
  <c r="F512" i="37"/>
  <c r="I488" i="37"/>
  <c r="K484" i="37"/>
  <c r="G479" i="37"/>
  <c r="H534" i="37"/>
  <c r="H508" i="37"/>
  <c r="L526" i="37"/>
  <c r="F525" i="37"/>
  <c r="H521" i="37"/>
  <c r="L513" i="37"/>
  <c r="K506" i="37"/>
  <c r="L510" i="37"/>
  <c r="L479" i="37"/>
  <c r="L431" i="37"/>
  <c r="K278" i="37"/>
  <c r="G427" i="37"/>
  <c r="L489" i="37"/>
  <c r="F280" i="37"/>
  <c r="L278" i="37"/>
  <c r="F277" i="37"/>
  <c r="I371" i="37"/>
  <c r="G488" i="37"/>
  <c r="F479" i="37"/>
  <c r="J488" i="37"/>
  <c r="H479" i="37"/>
  <c r="J371" i="37"/>
  <c r="H280" i="37"/>
  <c r="F488" i="37"/>
  <c r="F431" i="37"/>
  <c r="H427" i="37"/>
  <c r="K471" i="37"/>
  <c r="I280" i="37"/>
  <c r="J504" i="37"/>
  <c r="G431" i="37"/>
  <c r="I427" i="37"/>
  <c r="L471" i="37"/>
  <c r="J280" i="37"/>
  <c r="F278" i="37"/>
  <c r="K503" i="37"/>
  <c r="F486" i="37"/>
  <c r="G501" i="37"/>
  <c r="H431" i="37"/>
  <c r="J427" i="37"/>
  <c r="K371" i="37"/>
  <c r="G278" i="37"/>
  <c r="J501" i="37"/>
  <c r="F430" i="37"/>
  <c r="F427" i="37"/>
  <c r="L371" i="37"/>
  <c r="H278" i="37"/>
  <c r="L277" i="37"/>
  <c r="G485" i="37"/>
  <c r="I430" i="37"/>
  <c r="K426" i="37"/>
  <c r="I278" i="37"/>
  <c r="H426" i="37"/>
  <c r="J484" i="37"/>
  <c r="L470" i="37"/>
  <c r="J430" i="37"/>
  <c r="L426" i="37"/>
  <c r="J483" i="37"/>
  <c r="L484" i="37"/>
  <c r="F499" i="37"/>
  <c r="H484" i="37"/>
  <c r="H429" i="37"/>
  <c r="I279" i="37"/>
  <c r="K390" i="37"/>
  <c r="F371" i="37"/>
  <c r="H279" i="37"/>
  <c r="I497" i="37"/>
  <c r="J279" i="37"/>
  <c r="H469" i="37"/>
  <c r="I429" i="37"/>
  <c r="L390" i="37"/>
  <c r="G371" i="37"/>
  <c r="G277" i="37"/>
  <c r="L497" i="37"/>
  <c r="I469" i="37"/>
  <c r="J429" i="37"/>
  <c r="H371" i="37"/>
  <c r="L429" i="37"/>
  <c r="J469" i="37"/>
  <c r="K429" i="37"/>
  <c r="K370" i="37"/>
  <c r="K279" i="37"/>
  <c r="I494" i="37"/>
  <c r="H495" i="37"/>
  <c r="F483" i="37"/>
  <c r="F469" i="37"/>
  <c r="L432" i="37"/>
  <c r="J390" i="37"/>
  <c r="L370" i="37"/>
  <c r="L279" i="37"/>
  <c r="H277" i="37"/>
  <c r="L240" i="37"/>
  <c r="H492" i="37"/>
  <c r="H468" i="37"/>
  <c r="G390" i="37"/>
  <c r="F481" i="37"/>
  <c r="F440" i="37"/>
  <c r="I440" i="37"/>
  <c r="I481" i="37"/>
  <c r="G440" i="37"/>
  <c r="J432" i="37"/>
  <c r="L428" i="37"/>
  <c r="K490" i="37"/>
  <c r="J481" i="37"/>
  <c r="H440" i="37"/>
  <c r="F370" i="37"/>
  <c r="F491" i="37"/>
  <c r="I370" i="37"/>
  <c r="F428" i="37"/>
  <c r="G370" i="37"/>
  <c r="G279" i="37"/>
  <c r="G240" i="37"/>
  <c r="K122" i="37"/>
  <c r="J480" i="37"/>
  <c r="J440" i="37"/>
  <c r="I431" i="37"/>
  <c r="I428" i="37"/>
  <c r="L125" i="37"/>
  <c r="J278" i="37"/>
  <c r="H240" i="37"/>
  <c r="G133" i="37"/>
  <c r="K125" i="37"/>
  <c r="H127" i="37"/>
  <c r="G65" i="37"/>
  <c r="I61" i="37"/>
  <c r="K240" i="37"/>
  <c r="H133" i="37"/>
  <c r="F240" i="37"/>
  <c r="I133" i="37"/>
  <c r="G127" i="37"/>
  <c r="L132" i="37"/>
  <c r="F131" i="37"/>
  <c r="F122" i="37"/>
  <c r="J123" i="37"/>
  <c r="G131" i="37"/>
  <c r="I127" i="37"/>
  <c r="K123" i="37"/>
  <c r="K130" i="37"/>
  <c r="H131" i="37"/>
  <c r="J127" i="37"/>
  <c r="F125" i="37"/>
  <c r="L123" i="37"/>
  <c r="L280" i="37"/>
  <c r="J72" i="37"/>
  <c r="L68" i="37"/>
  <c r="K280" i="37"/>
  <c r="I240" i="37"/>
  <c r="F61" i="37"/>
  <c r="K127" i="37"/>
  <c r="G125" i="37"/>
  <c r="K72" i="37"/>
  <c r="I66" i="37"/>
  <c r="H132" i="37"/>
  <c r="J240" i="37"/>
  <c r="L130" i="37"/>
  <c r="H125" i="37"/>
  <c r="J66" i="37"/>
  <c r="I132" i="37"/>
  <c r="G280" i="37"/>
  <c r="G132" i="37"/>
  <c r="I125" i="37"/>
  <c r="K95" i="37"/>
  <c r="F130" i="37"/>
  <c r="J128" i="37"/>
  <c r="J125" i="37"/>
  <c r="F123" i="37"/>
  <c r="L95" i="37"/>
  <c r="G130" i="37"/>
  <c r="K128" i="37"/>
  <c r="G123" i="37"/>
  <c r="F279" i="37"/>
  <c r="J132" i="37"/>
  <c r="L122" i="37"/>
  <c r="L128" i="37"/>
  <c r="F127" i="37"/>
  <c r="H123" i="37"/>
  <c r="K132" i="37"/>
  <c r="J130" i="37"/>
  <c r="I123" i="37"/>
  <c r="I68" i="37"/>
  <c r="I277" i="37"/>
  <c r="H130" i="37"/>
  <c r="K131" i="37"/>
  <c r="F95" i="37"/>
  <c r="J277" i="37"/>
  <c r="K277" i="37"/>
  <c r="J133" i="37"/>
  <c r="F65" i="37"/>
  <c r="F128" i="37"/>
  <c r="K133" i="37"/>
  <c r="G128" i="37"/>
  <c r="I95" i="37"/>
  <c r="K61" i="37"/>
  <c r="I122" i="37"/>
  <c r="F133" i="37"/>
  <c r="L131" i="37"/>
  <c r="J122" i="37"/>
  <c r="J131" i="37"/>
  <c r="H58" i="37"/>
  <c r="F132" i="37"/>
  <c r="H122" i="37"/>
  <c r="L66" i="37"/>
  <c r="G61" i="37"/>
  <c r="I2" i="37"/>
  <c r="I131" i="37"/>
  <c r="F72" i="37"/>
  <c r="L61" i="37"/>
  <c r="L58" i="37"/>
  <c r="J58" i="37"/>
  <c r="G2" i="37"/>
  <c r="I130" i="37"/>
  <c r="F66" i="37"/>
  <c r="K2" i="37"/>
  <c r="K58" i="37"/>
  <c r="J68" i="37"/>
  <c r="G66" i="37"/>
  <c r="H61" i="37"/>
  <c r="L73" i="37"/>
  <c r="K68" i="37"/>
  <c r="H66" i="37"/>
  <c r="J73" i="37"/>
  <c r="K65" i="37"/>
  <c r="G58" i="37"/>
  <c r="K73" i="37"/>
  <c r="F68" i="37"/>
  <c r="L65" i="37"/>
  <c r="H128" i="37"/>
  <c r="G73" i="37"/>
  <c r="G68" i="37"/>
  <c r="F58" i="37"/>
  <c r="I128" i="37"/>
  <c r="H68" i="37"/>
  <c r="I65" i="37"/>
  <c r="L127" i="37"/>
  <c r="F73" i="37"/>
  <c r="I58" i="37"/>
  <c r="G95" i="37"/>
  <c r="G72" i="37"/>
  <c r="H65" i="37"/>
  <c r="F2" i="37"/>
  <c r="H95" i="37"/>
  <c r="H73" i="37"/>
  <c r="J2" i="37"/>
  <c r="J95" i="37"/>
  <c r="I73" i="37"/>
  <c r="J65" i="37"/>
  <c r="L72" i="37"/>
  <c r="J61" i="37"/>
  <c r="L133" i="37"/>
  <c r="H72" i="37"/>
  <c r="I72" i="37"/>
  <c r="L2" i="37"/>
  <c r="C132" i="37"/>
  <c r="D72" i="37"/>
  <c r="H2" i="37"/>
  <c r="G122" i="37"/>
  <c r="K66" i="37"/>
  <c r="M122" i="37"/>
  <c r="M133" i="37"/>
  <c r="D123" i="37"/>
  <c r="C72" i="37"/>
  <c r="M2" i="37"/>
  <c r="B95" i="37"/>
  <c r="E65" i="37"/>
  <c r="M72" i="37"/>
  <c r="C95" i="37"/>
  <c r="D73" i="37"/>
  <c r="C68" i="37"/>
  <c r="D68" i="37"/>
  <c r="B58" i="37"/>
  <c r="C58" i="37"/>
  <c r="E125" i="37"/>
  <c r="C2" i="37"/>
  <c r="E73" i="37"/>
  <c r="B66" i="37"/>
  <c r="C66" i="37"/>
  <c r="B68" i="37"/>
  <c r="E58" i="37"/>
  <c r="B61" i="37"/>
  <c r="E2" i="37"/>
  <c r="M65" i="37"/>
  <c r="C61" i="37"/>
  <c r="D130" i="37"/>
  <c r="E68" i="37"/>
  <c r="B2" i="37"/>
  <c r="D2" i="37"/>
  <c r="E128" i="37"/>
  <c r="M61" i="37"/>
  <c r="D66" i="37"/>
  <c r="B130" i="37"/>
  <c r="C130" i="37"/>
  <c r="M58" i="37"/>
  <c r="B128" i="37"/>
  <c r="D95" i="37"/>
  <c r="B73" i="37"/>
  <c r="E72" i="37"/>
  <c r="M66" i="37"/>
  <c r="E132" i="37"/>
  <c r="C123" i="37"/>
  <c r="E133" i="37"/>
  <c r="M127" i="37"/>
  <c r="E130" i="37"/>
  <c r="B132" i="37"/>
  <c r="D125" i="37"/>
  <c r="D132" i="37"/>
  <c r="B123" i="37"/>
  <c r="B277" i="37"/>
  <c r="M278" i="37"/>
  <c r="C125" i="37"/>
  <c r="M128" i="37"/>
  <c r="M73" i="37"/>
  <c r="E66" i="37"/>
  <c r="E127" i="37"/>
  <c r="C131" i="37"/>
  <c r="M95" i="37"/>
  <c r="E240" i="37"/>
  <c r="B125" i="37"/>
  <c r="B240" i="37"/>
  <c r="B131" i="37"/>
  <c r="D127" i="37"/>
  <c r="E279" i="37"/>
  <c r="C240" i="37"/>
  <c r="D65" i="37"/>
  <c r="C127" i="37"/>
  <c r="M130" i="37"/>
  <c r="E123" i="37"/>
  <c r="D279" i="37"/>
  <c r="M68" i="37"/>
  <c r="E61" i="37"/>
  <c r="D133" i="37"/>
  <c r="B127" i="37"/>
  <c r="B72" i="37"/>
  <c r="B65" i="37"/>
  <c r="D58" i="37"/>
  <c r="C133" i="37"/>
  <c r="M123" i="37"/>
  <c r="C65" i="37"/>
  <c r="D122" i="37"/>
  <c r="M132" i="37"/>
  <c r="E122" i="37"/>
  <c r="B133" i="37"/>
  <c r="D61" i="37"/>
  <c r="D128" i="37"/>
  <c r="M240" i="37"/>
  <c r="E131" i="37"/>
  <c r="C122" i="37"/>
  <c r="M125" i="37"/>
  <c r="C128" i="37"/>
  <c r="E95" i="37"/>
  <c r="C73" i="37"/>
  <c r="D131" i="37"/>
  <c r="B122" i="37"/>
  <c r="C277" i="37"/>
  <c r="M280" i="37"/>
  <c r="E390" i="37"/>
  <c r="D277" i="37"/>
  <c r="M131" i="37"/>
  <c r="C390" i="37"/>
  <c r="D468" i="37"/>
  <c r="B481" i="37"/>
  <c r="D432" i="37"/>
  <c r="D390" i="37"/>
  <c r="B390" i="37"/>
  <c r="C371" i="37"/>
  <c r="C468" i="37"/>
  <c r="E428" i="37"/>
  <c r="C432" i="37"/>
  <c r="C279" i="37"/>
  <c r="D429" i="37"/>
  <c r="B371" i="37"/>
  <c r="E492" i="37"/>
  <c r="B468" i="37"/>
  <c r="C426" i="37"/>
  <c r="C429" i="37"/>
  <c r="M432" i="37"/>
  <c r="M370" i="37"/>
  <c r="B494" i="37"/>
  <c r="D278" i="37"/>
  <c r="D483" i="37"/>
  <c r="C496" i="37"/>
  <c r="B426" i="37"/>
  <c r="D482" i="37"/>
  <c r="E470" i="37"/>
  <c r="B278" i="37"/>
  <c r="C278" i="37"/>
  <c r="C483" i="37"/>
  <c r="M390" i="37"/>
  <c r="C430" i="37"/>
  <c r="E426" i="37"/>
  <c r="E371" i="37"/>
  <c r="M277" i="37"/>
  <c r="E280" i="37"/>
  <c r="C280" i="37"/>
  <c r="D371" i="37"/>
  <c r="M499" i="37"/>
  <c r="D280" i="37"/>
  <c r="B470" i="37"/>
  <c r="B486" i="37"/>
  <c r="D503" i="37"/>
  <c r="B280" i="37"/>
  <c r="D471" i="37"/>
  <c r="M371" i="37"/>
  <c r="E370" i="37"/>
  <c r="E278" i="37"/>
  <c r="M486" i="37"/>
  <c r="D240" i="37"/>
  <c r="M279" i="37"/>
  <c r="E431" i="37"/>
  <c r="D370" i="37"/>
  <c r="B279" i="37"/>
  <c r="D479" i="37"/>
  <c r="E505" i="37"/>
  <c r="B370" i="37"/>
  <c r="D428" i="37"/>
  <c r="D431" i="37"/>
  <c r="C370" i="37"/>
  <c r="B507" i="37"/>
  <c r="B428" i="37"/>
  <c r="E479" i="37"/>
  <c r="E277" i="37"/>
  <c r="C428" i="37"/>
  <c r="M431" i="37"/>
  <c r="D529" i="37"/>
  <c r="D516" i="37"/>
  <c r="B520" i="37"/>
  <c r="D490" i="37"/>
  <c r="C509" i="37"/>
  <c r="C487" i="37"/>
  <c r="D532" i="37"/>
  <c r="B536" i="37"/>
  <c r="M471" i="37"/>
  <c r="B523" i="37"/>
  <c r="C490" i="37"/>
  <c r="M493" i="37"/>
  <c r="E496" i="37"/>
  <c r="M480" i="37"/>
  <c r="E483" i="37"/>
  <c r="M519" i="37"/>
  <c r="M506" i="37"/>
  <c r="E512" i="37"/>
  <c r="E499" i="37"/>
  <c r="C503" i="37"/>
  <c r="B487" i="37"/>
  <c r="E525" i="37"/>
  <c r="C529" i="37"/>
  <c r="M532" i="37"/>
  <c r="C516" i="37"/>
  <c r="B503" i="37"/>
  <c r="D509" i="37"/>
  <c r="D496" i="37"/>
  <c r="B500" i="37"/>
  <c r="M535" i="37"/>
  <c r="E518" i="37"/>
  <c r="B529" i="37"/>
  <c r="D525" i="37"/>
  <c r="D512" i="37"/>
  <c r="B516" i="37"/>
  <c r="E534" i="37"/>
  <c r="C522" i="37"/>
  <c r="C525" i="37"/>
  <c r="M512" i="37"/>
  <c r="M515" i="37"/>
  <c r="D470" i="37"/>
  <c r="B480" i="37"/>
  <c r="B483" i="37"/>
  <c r="M528" i="37"/>
  <c r="E531" i="37"/>
  <c r="D505" i="37"/>
  <c r="B509" i="37"/>
  <c r="B496" i="37"/>
  <c r="D489" i="37"/>
  <c r="D492" i="37"/>
  <c r="M479" i="37"/>
  <c r="D531" i="37"/>
  <c r="B535" i="37"/>
  <c r="B522" i="37"/>
  <c r="D518" i="37"/>
  <c r="M495" i="37"/>
  <c r="E498" i="37"/>
  <c r="E485" i="37"/>
  <c r="C489" i="37"/>
  <c r="C470" i="37"/>
  <c r="C518" i="37"/>
  <c r="C502" i="37"/>
  <c r="C505" i="37"/>
  <c r="M508" i="37"/>
  <c r="M492" i="37"/>
  <c r="M534" i="37"/>
  <c r="M521" i="37"/>
  <c r="E527" i="37"/>
  <c r="E511" i="37"/>
  <c r="E514" i="37"/>
  <c r="D498" i="37"/>
  <c r="B502" i="37"/>
  <c r="D485" i="37"/>
  <c r="B489" i="37"/>
  <c r="C531" i="37"/>
  <c r="D524" i="37"/>
  <c r="D527" i="37"/>
  <c r="B515" i="37"/>
  <c r="B518" i="37"/>
  <c r="D511" i="37"/>
  <c r="M469" i="37"/>
  <c r="M440" i="37"/>
  <c r="M427" i="37"/>
  <c r="E430" i="37"/>
  <c r="B531" i="37"/>
  <c r="M488" i="37"/>
  <c r="E491" i="37"/>
  <c r="E494" i="37"/>
  <c r="C482" i="37"/>
  <c r="C485" i="37"/>
  <c r="E507" i="37"/>
  <c r="C511" i="37"/>
  <c r="M514" i="37"/>
  <c r="C498" i="37"/>
  <c r="M501" i="37"/>
  <c r="M527" i="37"/>
  <c r="M530" i="37"/>
  <c r="E533" i="37"/>
  <c r="E520" i="37"/>
  <c r="C524" i="37"/>
  <c r="D491" i="37"/>
  <c r="B495" i="37"/>
  <c r="B482" i="37"/>
  <c r="D430" i="37"/>
  <c r="M536" i="37"/>
  <c r="B524" i="37"/>
  <c r="D507" i="37"/>
  <c r="B511" i="37"/>
  <c r="B498" i="37"/>
  <c r="D504" i="37"/>
  <c r="C491" i="37"/>
  <c r="E468" i="37"/>
  <c r="M481" i="37"/>
  <c r="D533" i="37"/>
  <c r="D520" i="37"/>
  <c r="C504" i="37"/>
  <c r="M507" i="37"/>
  <c r="M494" i="37"/>
  <c r="E500" i="37"/>
  <c r="E487" i="37"/>
  <c r="C520" i="37"/>
  <c r="M523" i="37"/>
  <c r="E526" i="37"/>
  <c r="M510" i="37"/>
  <c r="E513" i="37"/>
  <c r="B472" i="37"/>
  <c r="B430" i="37"/>
  <c r="D426" i="37"/>
  <c r="E529" i="37"/>
  <c r="C533" i="37"/>
  <c r="B504" i="37"/>
  <c r="B491" i="37"/>
  <c r="D484" i="37"/>
  <c r="D487" i="37"/>
  <c r="B469" i="37"/>
  <c r="B530" i="37"/>
  <c r="B533" i="37"/>
  <c r="D526" i="37"/>
  <c r="D513" i="37"/>
  <c r="D500" i="37"/>
  <c r="M468" i="37"/>
  <c r="E480" i="37"/>
  <c r="M429" i="37"/>
  <c r="E432" i="37"/>
  <c r="M426" i="37"/>
  <c r="M490" i="37"/>
  <c r="E493" i="37"/>
  <c r="C497" i="37"/>
  <c r="C484" i="37"/>
  <c r="M487" i="37"/>
  <c r="C513" i="37"/>
  <c r="M516" i="37"/>
  <c r="C500" i="37"/>
  <c r="M503" i="37"/>
  <c r="E506" i="37"/>
  <c r="M529" i="37"/>
  <c r="E535" i="37"/>
  <c r="E522" i="37"/>
  <c r="C526" i="37"/>
  <c r="E509" i="37"/>
  <c r="D506" i="37"/>
  <c r="D493" i="37"/>
  <c r="B497" i="37"/>
  <c r="B484" i="37"/>
  <c r="D480" i="37"/>
  <c r="D519" i="37"/>
  <c r="D522" i="37"/>
  <c r="B526" i="37"/>
  <c r="B510" i="37"/>
  <c r="B513" i="37"/>
  <c r="C480" i="37"/>
  <c r="M483" i="37"/>
  <c r="E486" i="37"/>
  <c r="C471" i="37"/>
  <c r="D535" i="37"/>
  <c r="E502" i="37"/>
  <c r="C506" i="37"/>
  <c r="E489" i="37"/>
  <c r="C493" i="37"/>
  <c r="M496" i="37"/>
  <c r="C532" i="37"/>
  <c r="C519" i="37"/>
  <c r="M522" i="37"/>
  <c r="M509" i="37"/>
  <c r="E515" i="37"/>
  <c r="B429" i="37"/>
  <c r="B432" i="37"/>
  <c r="C535" i="37"/>
  <c r="M525" i="37"/>
  <c r="E528" i="37"/>
  <c r="B493" i="37"/>
  <c r="D499" i="37"/>
  <c r="D486" i="37"/>
  <c r="B490" i="37"/>
  <c r="B471" i="37"/>
  <c r="B532" i="37"/>
  <c r="B519" i="37"/>
  <c r="D515" i="37"/>
  <c r="D502" i="37"/>
  <c r="B506" i="37"/>
  <c r="C486" i="37"/>
  <c r="M489" i="37"/>
  <c r="M470" i="37"/>
  <c r="M428" i="37"/>
  <c r="D528" i="37"/>
  <c r="M505" i="37"/>
  <c r="E508" i="37"/>
  <c r="E495" i="37"/>
  <c r="C499" i="37"/>
  <c r="E482" i="37"/>
  <c r="E521" i="37"/>
  <c r="E524" i="37"/>
  <c r="C512" i="37"/>
  <c r="C515" i="37"/>
  <c r="M502" i="37"/>
  <c r="D495" i="37"/>
  <c r="B499" i="37"/>
  <c r="C528" i="37"/>
  <c r="M531" i="37"/>
  <c r="M518" i="37"/>
  <c r="D534" i="37"/>
  <c r="D521" i="37"/>
  <c r="B525" i="37"/>
  <c r="B512" i="37"/>
  <c r="D508" i="37"/>
  <c r="C479" i="37"/>
  <c r="E440" i="37"/>
  <c r="C431" i="37"/>
  <c r="E427" i="37"/>
  <c r="B528" i="37"/>
  <c r="M498" i="37"/>
  <c r="M482" i="37"/>
  <c r="M485" i="37"/>
  <c r="E488" i="37"/>
  <c r="E469" i="37"/>
  <c r="E501" i="37"/>
  <c r="E504" i="37"/>
  <c r="C508" i="37"/>
  <c r="C492" i="37"/>
  <c r="C495" i="37"/>
  <c r="E530" i="37"/>
  <c r="C534" i="37"/>
  <c r="C521" i="37"/>
  <c r="M524" i="37"/>
  <c r="M511" i="37"/>
  <c r="D469" i="37"/>
  <c r="B479" i="37"/>
  <c r="D440" i="37"/>
  <c r="B431" i="37"/>
  <c r="D427" i="37"/>
  <c r="D501" i="37"/>
  <c r="B505" i="37"/>
  <c r="B508" i="37"/>
  <c r="B492" i="37"/>
  <c r="D488" i="37"/>
  <c r="C427" i="37"/>
  <c r="D530" i="37"/>
  <c r="B534" i="37"/>
  <c r="B521" i="37"/>
  <c r="D514" i="37"/>
  <c r="C469" i="37"/>
  <c r="M472" i="37"/>
  <c r="E481" i="37"/>
  <c r="C440" i="37"/>
  <c r="M430" i="37"/>
  <c r="M504" i="37"/>
  <c r="M491" i="37"/>
  <c r="E497" i="37"/>
  <c r="E484" i="37"/>
  <c r="C488" i="37"/>
  <c r="E523" i="37"/>
  <c r="C527" i="37"/>
  <c r="E510" i="37"/>
  <c r="C514" i="37"/>
  <c r="C501" i="37"/>
  <c r="B427" i="37"/>
  <c r="C530" i="37"/>
  <c r="M533" i="37"/>
  <c r="E536" i="37"/>
  <c r="M520" i="37"/>
  <c r="D497" i="37"/>
  <c r="B485" i="37"/>
  <c r="B488" i="37"/>
  <c r="D481" i="37"/>
  <c r="B440" i="37"/>
  <c r="B527" i="37"/>
  <c r="D510" i="37"/>
  <c r="B514" i="37"/>
  <c r="B501" i="37"/>
  <c r="D494" i="37"/>
  <c r="E471" i="37"/>
  <c r="C481" i="37"/>
  <c r="E429" i="37"/>
  <c r="D536" i="37"/>
  <c r="D523" i="37"/>
  <c r="C507" i="37"/>
  <c r="C494" i="37"/>
  <c r="M497" i="37"/>
  <c r="M484" i="37"/>
  <c r="E490" i="37"/>
  <c r="C510" i="37"/>
  <c r="M513" i="37"/>
  <c r="E516" i="37"/>
  <c r="M500" i="37"/>
  <c r="E503" i="37"/>
  <c r="E532" i="37"/>
  <c r="C536" i="37"/>
  <c r="E519" i="37"/>
  <c r="C523" i="37"/>
  <c r="M526" i="37"/>
  <c r="A5" i="38"/>
  <c r="A8" i="38"/>
  <c r="A9" i="38"/>
  <c r="B10" i="38"/>
  <c r="A3" i="38"/>
  <c r="A4" i="38"/>
  <c r="J10" i="38"/>
  <c r="D10" i="38"/>
  <c r="C10" i="38"/>
  <c r="A6" i="38"/>
  <c r="A7" i="38"/>
  <c r="AC10" i="38"/>
  <c r="AL10" i="38"/>
  <c r="AK10" i="38"/>
  <c r="AG10" i="38"/>
  <c r="AD10" i="38"/>
  <c r="AJ10" i="38"/>
  <c r="AI10" i="38"/>
  <c r="AH10" i="38"/>
  <c r="AQ10" i="38"/>
  <c r="AP10" i="38"/>
  <c r="AO10" i="38"/>
  <c r="AN10" i="38"/>
  <c r="AM10" i="38"/>
  <c r="AV10" i="38"/>
  <c r="AU10" i="38"/>
  <c r="AT10" i="38"/>
  <c r="AS10" i="38"/>
  <c r="AR10" i="38"/>
  <c r="BA10" i="38"/>
  <c r="AZ10" i="38"/>
  <c r="AY10" i="38"/>
  <c r="AX10" i="38"/>
  <c r="AW10" i="38"/>
  <c r="BF10" i="38"/>
  <c r="BE10" i="38"/>
  <c r="BD10" i="38"/>
  <c r="BC10" i="38"/>
  <c r="BB10" i="38"/>
  <c r="BK10" i="38"/>
  <c r="BJ10" i="38"/>
  <c r="BI10" i="38"/>
  <c r="BH10" i="38"/>
  <c r="BG10" i="38"/>
  <c r="BP10" i="38"/>
  <c r="BO10" i="38"/>
  <c r="BN10" i="38"/>
  <c r="BM10" i="38"/>
  <c r="BL10" i="38"/>
  <c r="BV10" i="38"/>
  <c r="BU10" i="38"/>
  <c r="BT10" i="38"/>
  <c r="BS10" i="38"/>
  <c r="BR10" i="38"/>
  <c r="CA10" i="38"/>
  <c r="BZ10" i="38"/>
  <c r="BY10" i="38"/>
  <c r="BX10" i="38"/>
  <c r="BW10" i="38"/>
  <c r="CF10" i="38"/>
  <c r="CE10" i="38"/>
  <c r="CD10" i="38"/>
  <c r="CC10" i="38"/>
  <c r="CB10" i="38"/>
  <c r="CH10" i="38"/>
  <c r="CG10" i="38"/>
  <c r="K517" i="37"/>
  <c r="G467" i="37"/>
  <c r="G464" i="37"/>
  <c r="I460" i="37"/>
  <c r="K456" i="37"/>
  <c r="G451" i="37"/>
  <c r="I447" i="37"/>
  <c r="K443" i="37"/>
  <c r="G438" i="37"/>
  <c r="I434" i="37"/>
  <c r="G425" i="37"/>
  <c r="I421" i="37"/>
  <c r="L517" i="37"/>
  <c r="H467" i="37"/>
  <c r="J463" i="37"/>
  <c r="J460" i="37"/>
  <c r="F458" i="37"/>
  <c r="L456" i="37"/>
  <c r="H454" i="37"/>
  <c r="H451" i="37"/>
  <c r="J447" i="37"/>
  <c r="F445" i="37"/>
  <c r="L443" i="37"/>
  <c r="F442" i="37"/>
  <c r="H438" i="37"/>
  <c r="J434" i="37"/>
  <c r="H425" i="37"/>
  <c r="J421" i="37"/>
  <c r="L417" i="37"/>
  <c r="F416" i="37"/>
  <c r="L414" i="37"/>
  <c r="H412" i="37"/>
  <c r="J408" i="37"/>
  <c r="J405" i="37"/>
  <c r="F403" i="37"/>
  <c r="L401" i="37"/>
  <c r="H399" i="37"/>
  <c r="H396" i="37"/>
  <c r="J392" i="37"/>
  <c r="L388" i="37"/>
  <c r="F387" i="37"/>
  <c r="H383" i="37"/>
  <c r="J379" i="37"/>
  <c r="L375" i="37"/>
  <c r="F374" i="37"/>
  <c r="J366" i="37"/>
  <c r="I467" i="37"/>
  <c r="K463" i="37"/>
  <c r="G458" i="37"/>
  <c r="I454" i="37"/>
  <c r="K450" i="37"/>
  <c r="K447" i="37"/>
  <c r="G445" i="37"/>
  <c r="I441" i="37"/>
  <c r="I438" i="37"/>
  <c r="K434" i="37"/>
  <c r="I425" i="37"/>
  <c r="J467" i="37"/>
  <c r="F465" i="37"/>
  <c r="L463" i="37"/>
  <c r="F462" i="37"/>
  <c r="H458" i="37"/>
  <c r="J454" i="37"/>
  <c r="L450" i="37"/>
  <c r="F449" i="37"/>
  <c r="H445" i="37"/>
  <c r="J441" i="37"/>
  <c r="L437" i="37"/>
  <c r="F436" i="37"/>
  <c r="L434" i="37"/>
  <c r="J425" i="37"/>
  <c r="F423" i="37"/>
  <c r="L421" i="37"/>
  <c r="H419" i="37"/>
  <c r="H416" i="37"/>
  <c r="J412" i="37"/>
  <c r="F410" i="37"/>
  <c r="L408" i="37"/>
  <c r="F407" i="37"/>
  <c r="H403" i="37"/>
  <c r="J399" i="37"/>
  <c r="L395" i="37"/>
  <c r="F394" i="37"/>
  <c r="J386" i="37"/>
  <c r="L382" i="37"/>
  <c r="F381" i="37"/>
  <c r="L379" i="37"/>
  <c r="H377" i="37"/>
  <c r="J373" i="37"/>
  <c r="F368" i="37"/>
  <c r="L366" i="37"/>
  <c r="H364" i="37"/>
  <c r="H361" i="37"/>
  <c r="J357" i="37"/>
  <c r="F355" i="37"/>
  <c r="L353" i="37"/>
  <c r="F352" i="37"/>
  <c r="H348" i="37"/>
  <c r="J344" i="37"/>
  <c r="L340" i="37"/>
  <c r="F339" i="37"/>
  <c r="H335" i="37"/>
  <c r="J331" i="37"/>
  <c r="L327" i="37"/>
  <c r="F326" i="37"/>
  <c r="L324" i="37"/>
  <c r="H322" i="37"/>
  <c r="J318" i="37"/>
  <c r="J315" i="37"/>
  <c r="F313" i="37"/>
  <c r="L311" i="37"/>
  <c r="H309" i="37"/>
  <c r="H306" i="37"/>
  <c r="J302" i="37"/>
  <c r="F300" i="37"/>
  <c r="K467" i="37"/>
  <c r="G465" i="37"/>
  <c r="I461" i="37"/>
  <c r="I458" i="37"/>
  <c r="K454" i="37"/>
  <c r="G452" i="37"/>
  <c r="G449" i="37"/>
  <c r="I445" i="37"/>
  <c r="K441" i="37"/>
  <c r="G436" i="37"/>
  <c r="G423" i="37"/>
  <c r="I419" i="37"/>
  <c r="K415" i="37"/>
  <c r="K412" i="37"/>
  <c r="G410" i="37"/>
  <c r="I406" i="37"/>
  <c r="I403" i="37"/>
  <c r="K399" i="37"/>
  <c r="G397" i="37"/>
  <c r="G394" i="37"/>
  <c r="K386" i="37"/>
  <c r="G381" i="37"/>
  <c r="I377" i="37"/>
  <c r="F517" i="37"/>
  <c r="G517" i="37"/>
  <c r="I465" i="37"/>
  <c r="K461" i="37"/>
  <c r="G456" i="37"/>
  <c r="I452" i="37"/>
  <c r="K448" i="37"/>
  <c r="G443" i="37"/>
  <c r="I439" i="37"/>
  <c r="K435" i="37"/>
  <c r="I423" i="37"/>
  <c r="K419" i="37"/>
  <c r="G417" i="37"/>
  <c r="G414" i="37"/>
  <c r="I410" i="37"/>
  <c r="K406" i="37"/>
  <c r="G401" i="37"/>
  <c r="I397" i="37"/>
  <c r="K393" i="37"/>
  <c r="G388" i="37"/>
  <c r="I384" i="37"/>
  <c r="K380" i="37"/>
  <c r="K377" i="37"/>
  <c r="G375" i="37"/>
  <c r="H517" i="37"/>
  <c r="J465" i="37"/>
  <c r="F463" i="37"/>
  <c r="L461" i="37"/>
  <c r="H459" i="37"/>
  <c r="H456" i="37"/>
  <c r="J452" i="37"/>
  <c r="F450" i="37"/>
  <c r="L448" i="37"/>
  <c r="F447" i="37"/>
  <c r="H443" i="37"/>
  <c r="J439" i="37"/>
  <c r="L435" i="37"/>
  <c r="F434" i="37"/>
  <c r="L422" i="37"/>
  <c r="F421" i="37"/>
  <c r="L419" i="37"/>
  <c r="H417" i="37"/>
  <c r="J413" i="37"/>
  <c r="J410" i="37"/>
  <c r="F408" i="37"/>
  <c r="L406" i="37"/>
  <c r="H404" i="37"/>
  <c r="G463" i="37"/>
  <c r="I459" i="37"/>
  <c r="K455" i="37"/>
  <c r="K452" i="37"/>
  <c r="G450" i="37"/>
  <c r="I446" i="37"/>
  <c r="I443" i="37"/>
  <c r="F467" i="37"/>
  <c r="H463" i="37"/>
  <c r="J459" i="37"/>
  <c r="I466" i="37"/>
  <c r="I463" i="37"/>
  <c r="K459" i="37"/>
  <c r="G457" i="37"/>
  <c r="G454" i="37"/>
  <c r="I450" i="37"/>
  <c r="K446" i="37"/>
  <c r="G441" i="37"/>
  <c r="I437" i="37"/>
  <c r="K433" i="37"/>
  <c r="I424" i="37"/>
  <c r="J466" i="37"/>
  <c r="L462" i="37"/>
  <c r="F461" i="37"/>
  <c r="L459" i="37"/>
  <c r="H457" i="37"/>
  <c r="J453" i="37"/>
  <c r="J450" i="37"/>
  <c r="F448" i="37"/>
  <c r="L446" i="37"/>
  <c r="H444" i="37"/>
  <c r="H441" i="37"/>
  <c r="J437" i="37"/>
  <c r="F435" i="37"/>
  <c r="L433" i="37"/>
  <c r="J424" i="37"/>
  <c r="L420" i="37"/>
  <c r="F419" i="37"/>
  <c r="H415" i="37"/>
  <c r="J411" i="37"/>
  <c r="K466" i="37"/>
  <c r="G461" i="37"/>
  <c r="I457" i="37"/>
  <c r="K453" i="37"/>
  <c r="G448" i="37"/>
  <c r="I444" i="37"/>
  <c r="K437" i="37"/>
  <c r="G435" i="37"/>
  <c r="L466" i="37"/>
  <c r="H464" i="37"/>
  <c r="H461" i="37"/>
  <c r="J457" i="37"/>
  <c r="F455" i="37"/>
  <c r="L453" i="37"/>
  <c r="F452" i="37"/>
  <c r="H448" i="37"/>
  <c r="J444" i="37"/>
  <c r="F439" i="37"/>
  <c r="H435" i="37"/>
  <c r="L424" i="37"/>
  <c r="H422" i="37"/>
  <c r="J418" i="37"/>
  <c r="J415" i="37"/>
  <c r="F413" i="37"/>
  <c r="L411" i="37"/>
  <c r="I464" i="37"/>
  <c r="K460" i="37"/>
  <c r="K457" i="37"/>
  <c r="G455" i="37"/>
  <c r="I451" i="37"/>
  <c r="I448" i="37"/>
  <c r="K444" i="37"/>
  <c r="G442" i="37"/>
  <c r="G439" i="37"/>
  <c r="I435" i="37"/>
  <c r="K464" i="37"/>
  <c r="G462" i="37"/>
  <c r="G459" i="37"/>
  <c r="L467" i="37"/>
  <c r="F466" i="37"/>
  <c r="L464" i="37"/>
  <c r="H462" i="37"/>
  <c r="J458" i="37"/>
  <c r="J455" i="37"/>
  <c r="F453" i="37"/>
  <c r="L451" i="37"/>
  <c r="H449" i="37"/>
  <c r="H446" i="37"/>
  <c r="J442" i="37"/>
  <c r="I517" i="37"/>
  <c r="J517" i="37"/>
  <c r="H460" i="37"/>
  <c r="L454" i="37"/>
  <c r="K449" i="37"/>
  <c r="H439" i="37"/>
  <c r="G421" i="37"/>
  <c r="L412" i="37"/>
  <c r="H410" i="37"/>
  <c r="L400" i="37"/>
  <c r="L398" i="37"/>
  <c r="L396" i="37"/>
  <c r="L394" i="37"/>
  <c r="F392" i="37"/>
  <c r="H389" i="37"/>
  <c r="H387" i="37"/>
  <c r="H385" i="37"/>
  <c r="I383" i="37"/>
  <c r="K372" i="37"/>
  <c r="I368" i="37"/>
  <c r="G366" i="37"/>
  <c r="K362" i="37"/>
  <c r="H360" i="37"/>
  <c r="L356" i="37"/>
  <c r="I354" i="37"/>
  <c r="J348" i="37"/>
  <c r="I343" i="37"/>
  <c r="F341" i="37"/>
  <c r="J337" i="37"/>
  <c r="G335" i="37"/>
  <c r="L331" i="37"/>
  <c r="I329" i="37"/>
  <c r="J323" i="37"/>
  <c r="I318" i="37"/>
  <c r="F316" i="37"/>
  <c r="J312" i="37"/>
  <c r="G310" i="37"/>
  <c r="K306" i="37"/>
  <c r="H304" i="37"/>
  <c r="L300" i="37"/>
  <c r="G299" i="37"/>
  <c r="I295" i="37"/>
  <c r="K291" i="37"/>
  <c r="G286" i="37"/>
  <c r="I282" i="37"/>
  <c r="G466" i="37"/>
  <c r="F454" i="37"/>
  <c r="L449" i="37"/>
  <c r="F444" i="37"/>
  <c r="K439" i="37"/>
  <c r="J435" i="37"/>
  <c r="H421" i="37"/>
  <c r="F418" i="37"/>
  <c r="F415" i="37"/>
  <c r="G403" i="37"/>
  <c r="I391" i="37"/>
  <c r="I389" i="37"/>
  <c r="I387" i="37"/>
  <c r="I385" i="37"/>
  <c r="L367" i="37"/>
  <c r="H366" i="37"/>
  <c r="I360" i="37"/>
  <c r="F358" i="37"/>
  <c r="J354" i="37"/>
  <c r="G352" i="37"/>
  <c r="K348" i="37"/>
  <c r="F347" i="37"/>
  <c r="L342" i="37"/>
  <c r="G341" i="37"/>
  <c r="K337" i="37"/>
  <c r="I335" i="37"/>
  <c r="F333" i="37"/>
  <c r="J329" i="37"/>
  <c r="G327" i="37"/>
  <c r="K323" i="37"/>
  <c r="F322" i="37"/>
  <c r="L317" i="37"/>
  <c r="G316" i="37"/>
  <c r="K312" i="37"/>
  <c r="H310" i="37"/>
  <c r="L306" i="37"/>
  <c r="I304" i="37"/>
  <c r="J298" i="37"/>
  <c r="J295" i="37"/>
  <c r="F293" i="37"/>
  <c r="L291" i="37"/>
  <c r="H289" i="37"/>
  <c r="H286" i="37"/>
  <c r="J282" i="37"/>
  <c r="H273" i="37"/>
  <c r="J269" i="37"/>
  <c r="L265" i="37"/>
  <c r="F264" i="37"/>
  <c r="H260" i="37"/>
  <c r="J256" i="37"/>
  <c r="H466" i="37"/>
  <c r="F459" i="37"/>
  <c r="J448" i="37"/>
  <c r="G444" i="37"/>
  <c r="L439" i="37"/>
  <c r="F424" i="37"/>
  <c r="K420" i="37"/>
  <c r="G418" i="37"/>
  <c r="G415" i="37"/>
  <c r="F405" i="37"/>
  <c r="L402" i="37"/>
  <c r="J391" i="37"/>
  <c r="J389" i="37"/>
  <c r="J387" i="37"/>
  <c r="J385" i="37"/>
  <c r="F380" i="37"/>
  <c r="F378" i="37"/>
  <c r="F376" i="37"/>
  <c r="K365" i="37"/>
  <c r="F364" i="37"/>
  <c r="J360" i="37"/>
  <c r="G358" i="37"/>
  <c r="K354" i="37"/>
  <c r="H352" i="37"/>
  <c r="L348" i="37"/>
  <c r="I346" i="37"/>
  <c r="H341" i="37"/>
  <c r="J335" i="37"/>
  <c r="G333" i="37"/>
  <c r="K329" i="37"/>
  <c r="H327" i="37"/>
  <c r="L323" i="37"/>
  <c r="I321" i="37"/>
  <c r="H316" i="37"/>
  <c r="I310" i="37"/>
  <c r="F308" i="37"/>
  <c r="J304" i="37"/>
  <c r="G302" i="37"/>
  <c r="K298" i="37"/>
  <c r="G293" i="37"/>
  <c r="I289" i="37"/>
  <c r="K285" i="37"/>
  <c r="K465" i="37"/>
  <c r="K458" i="37"/>
  <c r="J443" i="37"/>
  <c r="J438" i="37"/>
  <c r="G424" i="37"/>
  <c r="H418" i="37"/>
  <c r="I415" i="37"/>
  <c r="G405" i="37"/>
  <c r="J393" i="37"/>
  <c r="K391" i="37"/>
  <c r="K389" i="37"/>
  <c r="K387" i="37"/>
  <c r="G382" i="37"/>
  <c r="G380" i="37"/>
  <c r="G378" i="37"/>
  <c r="G376" i="37"/>
  <c r="G374" i="37"/>
  <c r="F372" i="37"/>
  <c r="L365" i="37"/>
  <c r="G364" i="37"/>
  <c r="H358" i="37"/>
  <c r="L354" i="37"/>
  <c r="I352" i="37"/>
  <c r="F350" i="37"/>
  <c r="J346" i="37"/>
  <c r="K340" i="37"/>
  <c r="G339" i="37"/>
  <c r="H333" i="37"/>
  <c r="L329" i="37"/>
  <c r="I327" i="37"/>
  <c r="F325" i="37"/>
  <c r="J321" i="37"/>
  <c r="K315" i="37"/>
  <c r="F314" i="37"/>
  <c r="J310" i="37"/>
  <c r="G308" i="37"/>
  <c r="K304" i="37"/>
  <c r="H302" i="37"/>
  <c r="L298" i="37"/>
  <c r="F297" i="37"/>
  <c r="H293" i="37"/>
  <c r="J289" i="37"/>
  <c r="L285" i="37"/>
  <c r="F284" i="37"/>
  <c r="J276" i="37"/>
  <c r="L272" i="37"/>
  <c r="L465" i="37"/>
  <c r="L458" i="37"/>
  <c r="G453" i="37"/>
  <c r="L447" i="37"/>
  <c r="F443" i="37"/>
  <c r="K438" i="37"/>
  <c r="J423" i="37"/>
  <c r="I418" i="37"/>
  <c r="G407" i="37"/>
  <c r="H405" i="37"/>
  <c r="F400" i="37"/>
  <c r="F398" i="37"/>
  <c r="F396" i="37"/>
  <c r="L393" i="37"/>
  <c r="L391" i="37"/>
  <c r="L389" i="37"/>
  <c r="H382" i="37"/>
  <c r="H380" i="37"/>
  <c r="H378" i="37"/>
  <c r="H376" i="37"/>
  <c r="K373" i="37"/>
  <c r="J363" i="37"/>
  <c r="I358" i="37"/>
  <c r="F356" i="37"/>
  <c r="J352" i="37"/>
  <c r="G350" i="37"/>
  <c r="K346" i="37"/>
  <c r="H344" i="37"/>
  <c r="J338" i="37"/>
  <c r="I333" i="37"/>
  <c r="F331" i="37"/>
  <c r="J327" i="37"/>
  <c r="G325" i="37"/>
  <c r="K321" i="37"/>
  <c r="H319" i="37"/>
  <c r="L315" i="37"/>
  <c r="G314" i="37"/>
  <c r="H308" i="37"/>
  <c r="L304" i="37"/>
  <c r="I302" i="37"/>
  <c r="G300" i="37"/>
  <c r="I296" i="37"/>
  <c r="I293" i="37"/>
  <c r="K289" i="37"/>
  <c r="G287" i="37"/>
  <c r="G284" i="37"/>
  <c r="K276" i="37"/>
  <c r="G271" i="37"/>
  <c r="I267" i="37"/>
  <c r="K263" i="37"/>
  <c r="G258" i="37"/>
  <c r="I254" i="37"/>
  <c r="K250" i="37"/>
  <c r="K247" i="37"/>
  <c r="H465" i="37"/>
  <c r="H453" i="37"/>
  <c r="L442" i="37"/>
  <c r="L438" i="37"/>
  <c r="K423" i="37"/>
  <c r="F420" i="37"/>
  <c r="G412" i="37"/>
  <c r="H407" i="37"/>
  <c r="I405" i="37"/>
  <c r="G402" i="37"/>
  <c r="G400" i="37"/>
  <c r="G398" i="37"/>
  <c r="G396" i="37"/>
  <c r="H384" i="37"/>
  <c r="I382" i="37"/>
  <c r="I380" i="37"/>
  <c r="I378" i="37"/>
  <c r="K375" i="37"/>
  <c r="L373" i="37"/>
  <c r="H369" i="37"/>
  <c r="K363" i="37"/>
  <c r="F362" i="37"/>
  <c r="L357" i="37"/>
  <c r="G356" i="37"/>
  <c r="K352" i="37"/>
  <c r="H350" i="37"/>
  <c r="L346" i="37"/>
  <c r="I344" i="37"/>
  <c r="G342" i="37"/>
  <c r="K338" i="37"/>
  <c r="F337" i="37"/>
  <c r="L332" i="37"/>
  <c r="G331" i="37"/>
  <c r="K327" i="37"/>
  <c r="H325" i="37"/>
  <c r="L321" i="37"/>
  <c r="I319" i="37"/>
  <c r="J313" i="37"/>
  <c r="I308" i="37"/>
  <c r="F306" i="37"/>
  <c r="K302" i="37"/>
  <c r="H300" i="37"/>
  <c r="J296" i="37"/>
  <c r="L292" i="37"/>
  <c r="F291" i="37"/>
  <c r="L289" i="37"/>
  <c r="H287" i="37"/>
  <c r="J283" i="37"/>
  <c r="L276" i="37"/>
  <c r="H274" i="37"/>
  <c r="H271" i="37"/>
  <c r="J267" i="37"/>
  <c r="F265" i="37"/>
  <c r="L263" i="37"/>
  <c r="F262" i="37"/>
  <c r="H258" i="37"/>
  <c r="J254" i="37"/>
  <c r="L250" i="37"/>
  <c r="F249" i="37"/>
  <c r="H245" i="37"/>
  <c r="J241" i="37"/>
  <c r="L237" i="37"/>
  <c r="F236" i="37"/>
  <c r="L234" i="37"/>
  <c r="H232" i="37"/>
  <c r="J228" i="37"/>
  <c r="J225" i="37"/>
  <c r="F223" i="37"/>
  <c r="L221" i="37"/>
  <c r="H219" i="37"/>
  <c r="H216" i="37"/>
  <c r="J212" i="37"/>
  <c r="F210" i="37"/>
  <c r="L208" i="37"/>
  <c r="F207" i="37"/>
  <c r="H203" i="37"/>
  <c r="J199" i="37"/>
  <c r="J464" i="37"/>
  <c r="I453" i="37"/>
  <c r="H442" i="37"/>
  <c r="L423" i="37"/>
  <c r="G420" i="37"/>
  <c r="I412" i="37"/>
  <c r="H409" i="37"/>
  <c r="I407" i="37"/>
  <c r="H402" i="37"/>
  <c r="H400" i="37"/>
  <c r="H398" i="37"/>
  <c r="K395" i="37"/>
  <c r="J384" i="37"/>
  <c r="J382" i="37"/>
  <c r="J380" i="37"/>
  <c r="L377" i="37"/>
  <c r="I369" i="37"/>
  <c r="G367" i="37"/>
  <c r="L363" i="37"/>
  <c r="I361" i="37"/>
  <c r="H356" i="37"/>
  <c r="I350" i="37"/>
  <c r="F348" i="37"/>
  <c r="K344" i="37"/>
  <c r="H342" i="37"/>
  <c r="L338" i="37"/>
  <c r="I336" i="37"/>
  <c r="H331" i="37"/>
  <c r="I325" i="37"/>
  <c r="F323" i="37"/>
  <c r="J319" i="37"/>
  <c r="G317" i="37"/>
  <c r="K313" i="37"/>
  <c r="F312" i="37"/>
  <c r="L307" i="37"/>
  <c r="G306" i="37"/>
  <c r="I300" i="37"/>
  <c r="K296" i="37"/>
  <c r="G291" i="37"/>
  <c r="I287" i="37"/>
  <c r="K283" i="37"/>
  <c r="I274" i="37"/>
  <c r="K270" i="37"/>
  <c r="K267" i="37"/>
  <c r="G265" i="37"/>
  <c r="I261" i="37"/>
  <c r="I258" i="37"/>
  <c r="K254" i="37"/>
  <c r="G252" i="37"/>
  <c r="G249" i="37"/>
  <c r="I245" i="37"/>
  <c r="L457" i="37"/>
  <c r="L452" i="37"/>
  <c r="I442" i="37"/>
  <c r="H434" i="37"/>
  <c r="H423" i="37"/>
  <c r="H420" i="37"/>
  <c r="I417" i="37"/>
  <c r="I409" i="37"/>
  <c r="J407" i="37"/>
  <c r="I402" i="37"/>
  <c r="I400" i="37"/>
  <c r="I398" i="37"/>
  <c r="K384" i="37"/>
  <c r="K382" i="37"/>
  <c r="J369" i="37"/>
  <c r="H367" i="37"/>
  <c r="F365" i="37"/>
  <c r="J361" i="37"/>
  <c r="K355" i="37"/>
  <c r="F354" i="37"/>
  <c r="J350" i="37"/>
  <c r="G348" i="37"/>
  <c r="L344" i="37"/>
  <c r="I342" i="37"/>
  <c r="F340" i="37"/>
  <c r="J336" i="37"/>
  <c r="K330" i="37"/>
  <c r="F329" i="37"/>
  <c r="J325" i="37"/>
  <c r="G323" i="37"/>
  <c r="K319" i="37"/>
  <c r="H317" i="37"/>
  <c r="L313" i="37"/>
  <c r="I311" i="37"/>
  <c r="K305" i="37"/>
  <c r="F304" i="37"/>
  <c r="J300" i="37"/>
  <c r="F298" i="37"/>
  <c r="L296" i="37"/>
  <c r="H294" i="37"/>
  <c r="H291" i="37"/>
  <c r="J287" i="37"/>
  <c r="F285" i="37"/>
  <c r="L283" i="37"/>
  <c r="F282" i="37"/>
  <c r="J274" i="37"/>
  <c r="L270" i="37"/>
  <c r="F269" i="37"/>
  <c r="H265" i="37"/>
  <c r="J261" i="37"/>
  <c r="L257" i="37"/>
  <c r="F256" i="37"/>
  <c r="L254" i="37"/>
  <c r="H252" i="37"/>
  <c r="J248" i="37"/>
  <c r="J245" i="37"/>
  <c r="F243" i="37"/>
  <c r="L241" i="37"/>
  <c r="H239" i="37"/>
  <c r="H236" i="37"/>
  <c r="J232" i="37"/>
  <c r="F230" i="37"/>
  <c r="L228" i="37"/>
  <c r="F227" i="37"/>
  <c r="H452" i="37"/>
  <c r="G447" i="37"/>
  <c r="K442" i="37"/>
  <c r="I420" i="37"/>
  <c r="J417" i="37"/>
  <c r="J409" i="37"/>
  <c r="K407" i="37"/>
  <c r="I404" i="37"/>
  <c r="J402" i="37"/>
  <c r="J400" i="37"/>
  <c r="L397" i="37"/>
  <c r="F395" i="37"/>
  <c r="F393" i="37"/>
  <c r="F391" i="37"/>
  <c r="F389" i="37"/>
  <c r="I386" i="37"/>
  <c r="L384" i="37"/>
  <c r="F375" i="37"/>
  <c r="K369" i="37"/>
  <c r="I367" i="37"/>
  <c r="G365" i="37"/>
  <c r="K361" i="37"/>
  <c r="H359" i="37"/>
  <c r="L355" i="37"/>
  <c r="G354" i="37"/>
  <c r="I348" i="37"/>
  <c r="F346" i="37"/>
  <c r="J342" i="37"/>
  <c r="G340" i="37"/>
  <c r="K336" i="37"/>
  <c r="H334" i="37"/>
  <c r="L330" i="37"/>
  <c r="G329" i="37"/>
  <c r="H323" i="37"/>
  <c r="L319" i="37"/>
  <c r="I317" i="37"/>
  <c r="F315" i="37"/>
  <c r="J311" i="37"/>
  <c r="L305" i="37"/>
  <c r="G304" i="37"/>
  <c r="G298" i="37"/>
  <c r="I294" i="37"/>
  <c r="K290" i="37"/>
  <c r="K287" i="37"/>
  <c r="G285" i="37"/>
  <c r="I281" i="37"/>
  <c r="K274" i="37"/>
  <c r="G272" i="37"/>
  <c r="G269" i="37"/>
  <c r="I265" i="37"/>
  <c r="K261" i="37"/>
  <c r="G256" i="37"/>
  <c r="I252" i="37"/>
  <c r="H447" i="37"/>
  <c r="F438" i="37"/>
  <c r="G434" i="37"/>
  <c r="J420" i="37"/>
  <c r="K417" i="37"/>
  <c r="H414" i="37"/>
  <c r="F412" i="37"/>
  <c r="K409" i="37"/>
  <c r="J404" i="37"/>
  <c r="K402" i="37"/>
  <c r="G395" i="37"/>
  <c r="G393" i="37"/>
  <c r="G391" i="37"/>
  <c r="G389" i="37"/>
  <c r="L386" i="37"/>
  <c r="H375" i="37"/>
  <c r="F373" i="37"/>
  <c r="L369" i="37"/>
  <c r="J367" i="37"/>
  <c r="H365" i="37"/>
  <c r="L361" i="37"/>
  <c r="I359" i="37"/>
  <c r="J353" i="37"/>
  <c r="L347" i="37"/>
  <c r="G346" i="37"/>
  <c r="K342" i="37"/>
  <c r="H340" i="37"/>
  <c r="L336" i="37"/>
  <c r="I334" i="37"/>
  <c r="J328" i="37"/>
  <c r="I323" i="37"/>
  <c r="F321" i="37"/>
  <c r="J317" i="37"/>
  <c r="G315" i="37"/>
  <c r="K311" i="37"/>
  <c r="I309" i="37"/>
  <c r="J303" i="37"/>
  <c r="H298" i="37"/>
  <c r="J294" i="37"/>
  <c r="L290" i="37"/>
  <c r="F289" i="37"/>
  <c r="H285" i="37"/>
  <c r="J281" i="37"/>
  <c r="F464" i="37"/>
  <c r="J451" i="37"/>
  <c r="J433" i="37"/>
  <c r="I414" i="37"/>
  <c r="I411" i="37"/>
  <c r="L409" i="37"/>
  <c r="K404" i="37"/>
  <c r="H395" i="37"/>
  <c r="H393" i="37"/>
  <c r="H391" i="37"/>
  <c r="J388" i="37"/>
  <c r="G377" i="37"/>
  <c r="I375" i="37"/>
  <c r="G373" i="37"/>
  <c r="K367" i="37"/>
  <c r="I365" i="37"/>
  <c r="F363" i="37"/>
  <c r="J359" i="37"/>
  <c r="G357" i="37"/>
  <c r="K353" i="37"/>
  <c r="I351" i="37"/>
  <c r="H346" i="37"/>
  <c r="I340" i="37"/>
  <c r="F338" i="37"/>
  <c r="J334" i="37"/>
  <c r="G332" i="37"/>
  <c r="K328" i="37"/>
  <c r="F327" i="37"/>
  <c r="L322" i="37"/>
  <c r="G321" i="37"/>
  <c r="K317" i="37"/>
  <c r="H315" i="37"/>
  <c r="J309" i="37"/>
  <c r="G307" i="37"/>
  <c r="K303" i="37"/>
  <c r="F302" i="37"/>
  <c r="I298" i="37"/>
  <c r="K294" i="37"/>
  <c r="G292" i="37"/>
  <c r="G289" i="37"/>
  <c r="I285" i="37"/>
  <c r="K281" i="37"/>
  <c r="G276" i="37"/>
  <c r="I272" i="37"/>
  <c r="K268" i="37"/>
  <c r="G263" i="37"/>
  <c r="I259" i="37"/>
  <c r="K255" i="37"/>
  <c r="K252" i="37"/>
  <c r="G250" i="37"/>
  <c r="I246" i="37"/>
  <c r="I243" i="37"/>
  <c r="K239" i="37"/>
  <c r="G237" i="37"/>
  <c r="G234" i="37"/>
  <c r="I230" i="37"/>
  <c r="K226" i="37"/>
  <c r="F457" i="37"/>
  <c r="K451" i="37"/>
  <c r="J446" i="37"/>
  <c r="G437" i="37"/>
  <c r="F433" i="37"/>
  <c r="G422" i="37"/>
  <c r="J414" i="37"/>
  <c r="K411" i="37"/>
  <c r="L404" i="37"/>
  <c r="H397" i="37"/>
  <c r="I395" i="37"/>
  <c r="I393" i="37"/>
  <c r="K388" i="37"/>
  <c r="J377" i="37"/>
  <c r="J375" i="37"/>
  <c r="H373" i="37"/>
  <c r="J365" i="37"/>
  <c r="G363" i="37"/>
  <c r="K359" i="37"/>
  <c r="H357" i="37"/>
  <c r="J351" i="37"/>
  <c r="K345" i="37"/>
  <c r="F344" i="37"/>
  <c r="J340" i="37"/>
  <c r="G338" i="37"/>
  <c r="K334" i="37"/>
  <c r="H332" i="37"/>
  <c r="L328" i="37"/>
  <c r="I326" i="37"/>
  <c r="H321" i="37"/>
  <c r="I315" i="37"/>
  <c r="G313" i="37"/>
  <c r="K309" i="37"/>
  <c r="H307" i="37"/>
  <c r="L303" i="37"/>
  <c r="I301" i="37"/>
  <c r="L297" i="37"/>
  <c r="F296" i="37"/>
  <c r="L294" i="37"/>
  <c r="H292" i="37"/>
  <c r="J288" i="37"/>
  <c r="J285" i="37"/>
  <c r="F283" i="37"/>
  <c r="L281" i="37"/>
  <c r="H276" i="37"/>
  <c r="J272" i="37"/>
  <c r="F270" i="37"/>
  <c r="L268" i="37"/>
  <c r="F267" i="37"/>
  <c r="H263" i="37"/>
  <c r="J259" i="37"/>
  <c r="L255" i="37"/>
  <c r="F254" i="37"/>
  <c r="I456" i="37"/>
  <c r="F446" i="37"/>
  <c r="L441" i="37"/>
  <c r="H437" i="37"/>
  <c r="G433" i="37"/>
  <c r="K425" i="37"/>
  <c r="I422" i="37"/>
  <c r="F417" i="37"/>
  <c r="K414" i="37"/>
  <c r="J406" i="37"/>
  <c r="J397" i="37"/>
  <c r="J395" i="37"/>
  <c r="L392" i="37"/>
  <c r="F386" i="37"/>
  <c r="F384" i="37"/>
  <c r="F382" i="37"/>
  <c r="H379" i="37"/>
  <c r="I373" i="37"/>
  <c r="H363" i="37"/>
  <c r="L359" i="37"/>
  <c r="I357" i="37"/>
  <c r="G355" i="37"/>
  <c r="K351" i="37"/>
  <c r="H349" i="37"/>
  <c r="L345" i="37"/>
  <c r="G344" i="37"/>
  <c r="H338" i="37"/>
  <c r="L334" i="37"/>
  <c r="I332" i="37"/>
  <c r="F330" i="37"/>
  <c r="J326" i="37"/>
  <c r="K320" i="37"/>
  <c r="F319" i="37"/>
  <c r="H313" i="37"/>
  <c r="L309" i="37"/>
  <c r="I307" i="37"/>
  <c r="F305" i="37"/>
  <c r="J301" i="37"/>
  <c r="G296" i="37"/>
  <c r="I292" i="37"/>
  <c r="K288" i="37"/>
  <c r="G283" i="37"/>
  <c r="K275" i="37"/>
  <c r="K272" i="37"/>
  <c r="I462" i="37"/>
  <c r="J456" i="37"/>
  <c r="G446" i="37"/>
  <c r="H433" i="37"/>
  <c r="L425" i="37"/>
  <c r="J422" i="37"/>
  <c r="J419" i="37"/>
  <c r="I416" i="37"/>
  <c r="K397" i="37"/>
  <c r="F388" i="37"/>
  <c r="G386" i="37"/>
  <c r="G384" i="37"/>
  <c r="I381" i="37"/>
  <c r="I379" i="37"/>
  <c r="L372" i="37"/>
  <c r="F369" i="37"/>
  <c r="I363" i="37"/>
  <c r="F361" i="37"/>
  <c r="K357" i="37"/>
  <c r="H355" i="37"/>
  <c r="L351" i="37"/>
  <c r="I349" i="37"/>
  <c r="J343" i="37"/>
  <c r="I338" i="37"/>
  <c r="F336" i="37"/>
  <c r="J332" i="37"/>
  <c r="G330" i="37"/>
  <c r="K326" i="37"/>
  <c r="H324" i="37"/>
  <c r="L320" i="37"/>
  <c r="G319" i="37"/>
  <c r="I313" i="37"/>
  <c r="F311" i="37"/>
  <c r="J307" i="37"/>
  <c r="G305" i="37"/>
  <c r="K301" i="37"/>
  <c r="H299" i="37"/>
  <c r="H296" i="37"/>
  <c r="J292" i="37"/>
  <c r="F290" i="37"/>
  <c r="L288" i="37"/>
  <c r="F287" i="37"/>
  <c r="H283" i="37"/>
  <c r="L275" i="37"/>
  <c r="F274" i="37"/>
  <c r="H270" i="37"/>
  <c r="J266" i="37"/>
  <c r="L262" i="37"/>
  <c r="F261" i="37"/>
  <c r="L259" i="37"/>
  <c r="H257" i="37"/>
  <c r="J253" i="37"/>
  <c r="J250" i="37"/>
  <c r="F248" i="37"/>
  <c r="L246" i="37"/>
  <c r="H244" i="37"/>
  <c r="J462" i="37"/>
  <c r="F456" i="37"/>
  <c r="K445" i="37"/>
  <c r="F441" i="37"/>
  <c r="I433" i="37"/>
  <c r="K422" i="37"/>
  <c r="J416" i="37"/>
  <c r="F414" i="37"/>
  <c r="F409" i="37"/>
  <c r="F402" i="37"/>
  <c r="I399" i="37"/>
  <c r="H388" i="37"/>
  <c r="H386" i="37"/>
  <c r="J383" i="37"/>
  <c r="J381" i="37"/>
  <c r="K379" i="37"/>
  <c r="G369" i="37"/>
  <c r="L362" i="37"/>
  <c r="G361" i="37"/>
  <c r="I355" i="37"/>
  <c r="F353" i="37"/>
  <c r="J349" i="37"/>
  <c r="G347" i="37"/>
  <c r="K343" i="37"/>
  <c r="F342" i="37"/>
  <c r="L337" i="37"/>
  <c r="G336" i="37"/>
  <c r="K332" i="37"/>
  <c r="H330" i="37"/>
  <c r="L326" i="37"/>
  <c r="I324" i="37"/>
  <c r="K318" i="37"/>
  <c r="F317" i="37"/>
  <c r="L312" i="37"/>
  <c r="G311" i="37"/>
  <c r="K307" i="37"/>
  <c r="H305" i="37"/>
  <c r="L301" i="37"/>
  <c r="I299" i="37"/>
  <c r="K295" i="37"/>
  <c r="K292" i="37"/>
  <c r="G290" i="37"/>
  <c r="I286" i="37"/>
  <c r="I283" i="37"/>
  <c r="G274" i="37"/>
  <c r="I270" i="37"/>
  <c r="K266" i="37"/>
  <c r="G261" i="37"/>
  <c r="I257" i="37"/>
  <c r="K462" i="37"/>
  <c r="L455" i="37"/>
  <c r="F451" i="37"/>
  <c r="L445" i="37"/>
  <c r="F437" i="37"/>
  <c r="K416" i="37"/>
  <c r="K413" i="37"/>
  <c r="F411" i="37"/>
  <c r="G409" i="37"/>
  <c r="F404" i="37"/>
  <c r="I401" i="37"/>
  <c r="L399" i="37"/>
  <c r="I388" i="37"/>
  <c r="K385" i="37"/>
  <c r="K383" i="37"/>
  <c r="K381" i="37"/>
  <c r="J368" i="37"/>
  <c r="F367" i="37"/>
  <c r="K360" i="37"/>
  <c r="F359" i="37"/>
  <c r="J355" i="37"/>
  <c r="G353" i="37"/>
  <c r="K349" i="37"/>
  <c r="H347" i="37"/>
  <c r="L343" i="37"/>
  <c r="I341" i="37"/>
  <c r="H336" i="37"/>
  <c r="I330" i="37"/>
  <c r="F328" i="37"/>
  <c r="J324" i="37"/>
  <c r="G322" i="37"/>
  <c r="L318" i="37"/>
  <c r="I316" i="37"/>
  <c r="H311" i="37"/>
  <c r="I305" i="37"/>
  <c r="F303" i="37"/>
  <c r="J299" i="37"/>
  <c r="L295" i="37"/>
  <c r="F294" i="37"/>
  <c r="H290" i="37"/>
  <c r="J286" i="37"/>
  <c r="L282" i="37"/>
  <c r="F281" i="37"/>
  <c r="J273" i="37"/>
  <c r="J270" i="37"/>
  <c r="F268" i="37"/>
  <c r="L266" i="37"/>
  <c r="H264" i="37"/>
  <c r="H261" i="37"/>
  <c r="J257" i="37"/>
  <c r="F255" i="37"/>
  <c r="L253" i="37"/>
  <c r="F252" i="37"/>
  <c r="H248" i="37"/>
  <c r="J244" i="37"/>
  <c r="F239" i="37"/>
  <c r="H235" i="37"/>
  <c r="J231" i="37"/>
  <c r="L227" i="37"/>
  <c r="F226" i="37"/>
  <c r="L224" i="37"/>
  <c r="H222" i="37"/>
  <c r="J218" i="37"/>
  <c r="H455" i="37"/>
  <c r="I436" i="37"/>
  <c r="L416" i="37"/>
  <c r="L413" i="37"/>
  <c r="G411" i="37"/>
  <c r="K408" i="37"/>
  <c r="F406" i="37"/>
  <c r="G404" i="37"/>
  <c r="J401" i="37"/>
  <c r="L387" i="37"/>
  <c r="L385" i="37"/>
  <c r="L383" i="37"/>
  <c r="L381" i="37"/>
  <c r="F379" i="37"/>
  <c r="F377" i="37"/>
  <c r="K368" i="37"/>
  <c r="I366" i="37"/>
  <c r="L360" i="37"/>
  <c r="G359" i="37"/>
  <c r="H353" i="37"/>
  <c r="L349" i="37"/>
  <c r="I347" i="37"/>
  <c r="F345" i="37"/>
  <c r="J341" i="37"/>
  <c r="K335" i="37"/>
  <c r="F334" i="37"/>
  <c r="J330" i="37"/>
  <c r="G328" i="37"/>
  <c r="K324" i="37"/>
  <c r="I322" i="37"/>
  <c r="F320" i="37"/>
  <c r="J316" i="37"/>
  <c r="K310" i="37"/>
  <c r="F309" i="37"/>
  <c r="J305" i="37"/>
  <c r="G303" i="37"/>
  <c r="K299" i="37"/>
  <c r="G297" i="37"/>
  <c r="G294" i="37"/>
  <c r="I290" i="37"/>
  <c r="K286" i="37"/>
  <c r="G281" i="37"/>
  <c r="J461" i="37"/>
  <c r="I455" i="37"/>
  <c r="H450" i="37"/>
  <c r="J436" i="37"/>
  <c r="F425" i="37"/>
  <c r="G419" i="37"/>
  <c r="H411" i="37"/>
  <c r="G406" i="37"/>
  <c r="J403" i="37"/>
  <c r="K401" i="37"/>
  <c r="G392" i="37"/>
  <c r="G379" i="37"/>
  <c r="I376" i="37"/>
  <c r="H374" i="37"/>
  <c r="L368" i="37"/>
  <c r="K366" i="37"/>
  <c r="I364" i="37"/>
  <c r="J358" i="37"/>
  <c r="I353" i="37"/>
  <c r="F351" i="37"/>
  <c r="J347" i="37"/>
  <c r="G345" i="37"/>
  <c r="K341" i="37"/>
  <c r="H339" i="37"/>
  <c r="L335" i="37"/>
  <c r="G334" i="37"/>
  <c r="H328" i="37"/>
  <c r="J322" i="37"/>
  <c r="G320" i="37"/>
  <c r="K316" i="37"/>
  <c r="H314" i="37"/>
  <c r="L310" i="37"/>
  <c r="G309" i="37"/>
  <c r="H303" i="37"/>
  <c r="L299" i="37"/>
  <c r="H297" i="37"/>
  <c r="J293" i="37"/>
  <c r="J290" i="37"/>
  <c r="F288" i="37"/>
  <c r="L286" i="37"/>
  <c r="H284" i="37"/>
  <c r="H281" i="37"/>
  <c r="L460" i="37"/>
  <c r="J445" i="37"/>
  <c r="K436" i="37"/>
  <c r="K418" i="37"/>
  <c r="K410" i="37"/>
  <c r="G408" i="37"/>
  <c r="H406" i="37"/>
  <c r="K403" i="37"/>
  <c r="F399" i="37"/>
  <c r="F397" i="37"/>
  <c r="H394" i="37"/>
  <c r="H392" i="37"/>
  <c r="J378" i="37"/>
  <c r="J376" i="37"/>
  <c r="I374" i="37"/>
  <c r="G372" i="37"/>
  <c r="J364" i="37"/>
  <c r="G362" i="37"/>
  <c r="K358" i="37"/>
  <c r="F357" i="37"/>
  <c r="L352" i="37"/>
  <c r="G351" i="37"/>
  <c r="K347" i="37"/>
  <c r="H345" i="37"/>
  <c r="L341" i="37"/>
  <c r="I339" i="37"/>
  <c r="J333" i="37"/>
  <c r="I328" i="37"/>
  <c r="G326" i="37"/>
  <c r="K322" i="37"/>
  <c r="H320" i="37"/>
  <c r="L316" i="37"/>
  <c r="I314" i="37"/>
  <c r="J308" i="37"/>
  <c r="I303" i="37"/>
  <c r="F301" i="37"/>
  <c r="I297" i="37"/>
  <c r="K293" i="37"/>
  <c r="G288" i="37"/>
  <c r="L436" i="37"/>
  <c r="F422" i="37"/>
  <c r="L418" i="37"/>
  <c r="G413" i="37"/>
  <c r="L410" i="37"/>
  <c r="H408" i="37"/>
  <c r="K405" i="37"/>
  <c r="L403" i="37"/>
  <c r="F401" i="37"/>
  <c r="G399" i="37"/>
  <c r="I396" i="37"/>
  <c r="I394" i="37"/>
  <c r="I392" i="37"/>
  <c r="H381" i="37"/>
  <c r="K378" i="37"/>
  <c r="K376" i="37"/>
  <c r="J374" i="37"/>
  <c r="H372" i="37"/>
  <c r="K364" i="37"/>
  <c r="H362" i="37"/>
  <c r="L358" i="37"/>
  <c r="I356" i="37"/>
  <c r="H351" i="37"/>
  <c r="I345" i="37"/>
  <c r="F343" i="37"/>
  <c r="J339" i="37"/>
  <c r="G337" i="37"/>
  <c r="K333" i="37"/>
  <c r="F332" i="37"/>
  <c r="H326" i="37"/>
  <c r="I320" i="37"/>
  <c r="F318" i="37"/>
  <c r="J314" i="37"/>
  <c r="G312" i="37"/>
  <c r="K308" i="37"/>
  <c r="F307" i="37"/>
  <c r="L302" i="37"/>
  <c r="G301" i="37"/>
  <c r="J297" i="37"/>
  <c r="F295" i="37"/>
  <c r="L293" i="37"/>
  <c r="F292" i="37"/>
  <c r="H288" i="37"/>
  <c r="F460" i="37"/>
  <c r="I449" i="37"/>
  <c r="L444" i="37"/>
  <c r="H436" i="37"/>
  <c r="H424" i="37"/>
  <c r="K421" i="37"/>
  <c r="G416" i="37"/>
  <c r="H413" i="37"/>
  <c r="I408" i="37"/>
  <c r="L405" i="37"/>
  <c r="H401" i="37"/>
  <c r="J398" i="37"/>
  <c r="J396" i="37"/>
  <c r="J394" i="37"/>
  <c r="K392" i="37"/>
  <c r="F385" i="37"/>
  <c r="F383" i="37"/>
  <c r="L380" i="37"/>
  <c r="L378" i="37"/>
  <c r="L376" i="37"/>
  <c r="K374" i="37"/>
  <c r="I372" i="37"/>
  <c r="G368" i="37"/>
  <c r="L364" i="37"/>
  <c r="I362" i="37"/>
  <c r="F360" i="37"/>
  <c r="J356" i="37"/>
  <c r="K350" i="37"/>
  <c r="F349" i="37"/>
  <c r="J345" i="37"/>
  <c r="G343" i="37"/>
  <c r="K339" i="37"/>
  <c r="H337" i="37"/>
  <c r="L333" i="37"/>
  <c r="I331" i="37"/>
  <c r="K325" i="37"/>
  <c r="F324" i="37"/>
  <c r="J320" i="37"/>
  <c r="G318" i="37"/>
  <c r="K314" i="37"/>
  <c r="H312" i="37"/>
  <c r="L308" i="37"/>
  <c r="I306" i="37"/>
  <c r="H301" i="37"/>
  <c r="K297" i="37"/>
  <c r="G295" i="37"/>
  <c r="I291" i="37"/>
  <c r="I288" i="37"/>
  <c r="K284" i="37"/>
  <c r="G282" i="37"/>
  <c r="I275" i="37"/>
  <c r="K271" i="37"/>
  <c r="G266" i="37"/>
  <c r="I262" i="37"/>
  <c r="K258" i="37"/>
  <c r="G253" i="37"/>
  <c r="I249" i="37"/>
  <c r="K245" i="37"/>
  <c r="K242" i="37"/>
  <c r="I236" i="37"/>
  <c r="I233" i="37"/>
  <c r="K229" i="37"/>
  <c r="G460" i="37"/>
  <c r="J449" i="37"/>
  <c r="K424" i="37"/>
  <c r="L415" i="37"/>
  <c r="I413" i="37"/>
  <c r="L407" i="37"/>
  <c r="K400" i="37"/>
  <c r="K398" i="37"/>
  <c r="K396" i="37"/>
  <c r="K394" i="37"/>
  <c r="G387" i="37"/>
  <c r="G385" i="37"/>
  <c r="G383" i="37"/>
  <c r="L374" i="37"/>
  <c r="J372" i="37"/>
  <c r="H368" i="37"/>
  <c r="F366" i="37"/>
  <c r="J362" i="37"/>
  <c r="G360" i="37"/>
  <c r="K356" i="37"/>
  <c r="H354" i="37"/>
  <c r="L350" i="37"/>
  <c r="G349" i="37"/>
  <c r="H343" i="37"/>
  <c r="L339" i="37"/>
  <c r="I337" i="37"/>
  <c r="F335" i="37"/>
  <c r="K331" i="37"/>
  <c r="H329" i="37"/>
  <c r="L325" i="37"/>
  <c r="G324" i="37"/>
  <c r="H318" i="37"/>
  <c r="L314" i="37"/>
  <c r="I312" i="37"/>
  <c r="F310" i="37"/>
  <c r="J306" i="37"/>
  <c r="K300" i="37"/>
  <c r="F299" i="37"/>
  <c r="H295" i="37"/>
  <c r="J291" i="37"/>
  <c r="L287" i="37"/>
  <c r="F286" i="37"/>
  <c r="L284" i="37"/>
  <c r="H282" i="37"/>
  <c r="J275" i="37"/>
  <c r="F273" i="37"/>
  <c r="L271" i="37"/>
  <c r="H269" i="37"/>
  <c r="H266" i="37"/>
  <c r="J262" i="37"/>
  <c r="F260" i="37"/>
  <c r="L258" i="37"/>
  <c r="F257" i="37"/>
  <c r="H253" i="37"/>
  <c r="J249" i="37"/>
  <c r="L245" i="37"/>
  <c r="F244" i="37"/>
  <c r="J236" i="37"/>
  <c r="L232" i="37"/>
  <c r="F231" i="37"/>
  <c r="L229" i="37"/>
  <c r="H227" i="37"/>
  <c r="J223" i="37"/>
  <c r="J220" i="37"/>
  <c r="F218" i="37"/>
  <c r="L216" i="37"/>
  <c r="H214" i="37"/>
  <c r="H211" i="37"/>
  <c r="J207" i="37"/>
  <c r="F205" i="37"/>
  <c r="L203" i="37"/>
  <c r="F202" i="37"/>
  <c r="H198" i="37"/>
  <c r="H275" i="37"/>
  <c r="L260" i="37"/>
  <c r="K256" i="37"/>
  <c r="H249" i="37"/>
  <c r="L243" i="37"/>
  <c r="H241" i="37"/>
  <c r="K235" i="37"/>
  <c r="K230" i="37"/>
  <c r="F228" i="37"/>
  <c r="H226" i="37"/>
  <c r="G224" i="37"/>
  <c r="I221" i="37"/>
  <c r="I219" i="37"/>
  <c r="H217" i="37"/>
  <c r="F215" i="37"/>
  <c r="L211" i="37"/>
  <c r="J209" i="37"/>
  <c r="H207" i="37"/>
  <c r="G205" i="37"/>
  <c r="L199" i="37"/>
  <c r="I197" i="37"/>
  <c r="K193" i="37"/>
  <c r="G188" i="37"/>
  <c r="I184" i="37"/>
  <c r="K180" i="37"/>
  <c r="K177" i="37"/>
  <c r="G175" i="37"/>
  <c r="I171" i="37"/>
  <c r="I168" i="37"/>
  <c r="K164" i="37"/>
  <c r="G162" i="37"/>
  <c r="G159" i="37"/>
  <c r="I155" i="37"/>
  <c r="K151" i="37"/>
  <c r="G146" i="37"/>
  <c r="I142" i="37"/>
  <c r="K138" i="37"/>
  <c r="I129" i="37"/>
  <c r="G120" i="37"/>
  <c r="I116" i="37"/>
  <c r="I113" i="37"/>
  <c r="K109" i="37"/>
  <c r="G107" i="37"/>
  <c r="G104" i="37"/>
  <c r="I100" i="37"/>
  <c r="K96" i="37"/>
  <c r="G91" i="37"/>
  <c r="I87" i="37"/>
  <c r="K83" i="37"/>
  <c r="G78" i="37"/>
  <c r="I74" i="37"/>
  <c r="K70" i="37"/>
  <c r="K67" i="37"/>
  <c r="I284" i="37"/>
  <c r="J265" i="37"/>
  <c r="L256" i="37"/>
  <c r="K249" i="37"/>
  <c r="F238" i="37"/>
  <c r="L235" i="37"/>
  <c r="F233" i="37"/>
  <c r="L230" i="37"/>
  <c r="G228" i="37"/>
  <c r="K225" i="37"/>
  <c r="K223" i="37"/>
  <c r="J221" i="37"/>
  <c r="J219" i="37"/>
  <c r="I217" i="37"/>
  <c r="G215" i="37"/>
  <c r="K209" i="37"/>
  <c r="I207" i="37"/>
  <c r="H205" i="37"/>
  <c r="F203" i="37"/>
  <c r="J197" i="37"/>
  <c r="F195" i="37"/>
  <c r="L193" i="37"/>
  <c r="F192" i="37"/>
  <c r="H188" i="37"/>
  <c r="J184" i="37"/>
  <c r="L180" i="37"/>
  <c r="F179" i="37"/>
  <c r="H175" i="37"/>
  <c r="J171" i="37"/>
  <c r="L167" i="37"/>
  <c r="F166" i="37"/>
  <c r="L164" i="37"/>
  <c r="H162" i="37"/>
  <c r="J158" i="37"/>
  <c r="J155" i="37"/>
  <c r="F153" i="37"/>
  <c r="L151" i="37"/>
  <c r="H149" i="37"/>
  <c r="H146" i="37"/>
  <c r="J142" i="37"/>
  <c r="F140" i="37"/>
  <c r="L138" i="37"/>
  <c r="F137" i="37"/>
  <c r="J129" i="37"/>
  <c r="F124" i="37"/>
  <c r="H120" i="37"/>
  <c r="J116" i="37"/>
  <c r="J284" i="37"/>
  <c r="I269" i="37"/>
  <c r="H256" i="37"/>
  <c r="J252" i="37"/>
  <c r="L249" i="37"/>
  <c r="F246" i="37"/>
  <c r="G243" i="37"/>
  <c r="G238" i="37"/>
  <c r="G233" i="37"/>
  <c r="H228" i="37"/>
  <c r="L225" i="37"/>
  <c r="L223" i="37"/>
  <c r="K221" i="37"/>
  <c r="K219" i="37"/>
  <c r="J217" i="37"/>
  <c r="H215" i="37"/>
  <c r="F213" i="37"/>
  <c r="L209" i="37"/>
  <c r="K207" i="37"/>
  <c r="I205" i="37"/>
  <c r="G203" i="37"/>
  <c r="F201" i="37"/>
  <c r="K197" i="37"/>
  <c r="G195" i="37"/>
  <c r="I191" i="37"/>
  <c r="I188" i="37"/>
  <c r="K184" i="37"/>
  <c r="G182" i="37"/>
  <c r="G179" i="37"/>
  <c r="I175" i="37"/>
  <c r="K171" i="37"/>
  <c r="G166" i="37"/>
  <c r="I162" i="37"/>
  <c r="K158" i="37"/>
  <c r="G153" i="37"/>
  <c r="I149" i="37"/>
  <c r="K145" i="37"/>
  <c r="K142" i="37"/>
  <c r="G140" i="37"/>
  <c r="I136" i="37"/>
  <c r="K129" i="37"/>
  <c r="G124" i="37"/>
  <c r="I120" i="37"/>
  <c r="K116" i="37"/>
  <c r="G111" i="37"/>
  <c r="L274" i="37"/>
  <c r="K269" i="37"/>
  <c r="I264" i="37"/>
  <c r="G260" i="37"/>
  <c r="G246" i="37"/>
  <c r="H243" i="37"/>
  <c r="H238" i="37"/>
  <c r="H233" i="37"/>
  <c r="I228" i="37"/>
  <c r="L219" i="37"/>
  <c r="K217" i="37"/>
  <c r="I215" i="37"/>
  <c r="G213" i="37"/>
  <c r="J205" i="37"/>
  <c r="I203" i="37"/>
  <c r="G201" i="37"/>
  <c r="H195" i="37"/>
  <c r="J191" i="37"/>
  <c r="L187" i="37"/>
  <c r="F186" i="37"/>
  <c r="L184" i="37"/>
  <c r="H182" i="37"/>
  <c r="J178" i="37"/>
  <c r="J175" i="37"/>
  <c r="F173" i="37"/>
  <c r="L171" i="37"/>
  <c r="H169" i="37"/>
  <c r="H166" i="37"/>
  <c r="J162" i="37"/>
  <c r="F160" i="37"/>
  <c r="L158" i="37"/>
  <c r="F157" i="37"/>
  <c r="H153" i="37"/>
  <c r="J149" i="37"/>
  <c r="L145" i="37"/>
  <c r="F144" i="37"/>
  <c r="H140" i="37"/>
  <c r="J136" i="37"/>
  <c r="L129" i="37"/>
  <c r="J120" i="37"/>
  <c r="F118" i="37"/>
  <c r="L116" i="37"/>
  <c r="H114" i="37"/>
  <c r="H111" i="37"/>
  <c r="J107" i="37"/>
  <c r="K273" i="37"/>
  <c r="L269" i="37"/>
  <c r="J264" i="37"/>
  <c r="I260" i="37"/>
  <c r="H246" i="37"/>
  <c r="L242" i="37"/>
  <c r="I238" i="37"/>
  <c r="F235" i="37"/>
  <c r="G230" i="37"/>
  <c r="J215" i="37"/>
  <c r="H213" i="37"/>
  <c r="F211" i="37"/>
  <c r="L202" i="37"/>
  <c r="H201" i="37"/>
  <c r="F199" i="37"/>
  <c r="I195" i="37"/>
  <c r="K191" i="37"/>
  <c r="G186" i="37"/>
  <c r="I182" i="37"/>
  <c r="K178" i="37"/>
  <c r="G173" i="37"/>
  <c r="I169" i="37"/>
  <c r="K165" i="37"/>
  <c r="K162" i="37"/>
  <c r="G160" i="37"/>
  <c r="I156" i="37"/>
  <c r="I153" i="37"/>
  <c r="K149" i="37"/>
  <c r="G147" i="37"/>
  <c r="G144" i="37"/>
  <c r="I140" i="37"/>
  <c r="K136" i="37"/>
  <c r="G118" i="37"/>
  <c r="I114" i="37"/>
  <c r="K110" i="37"/>
  <c r="K107" i="37"/>
  <c r="G105" i="37"/>
  <c r="I101" i="37"/>
  <c r="I98" i="37"/>
  <c r="K282" i="37"/>
  <c r="L273" i="37"/>
  <c r="J268" i="37"/>
  <c r="K264" i="37"/>
  <c r="J260" i="37"/>
  <c r="G255" i="37"/>
  <c r="K248" i="37"/>
  <c r="G235" i="37"/>
  <c r="H230" i="37"/>
  <c r="F225" i="37"/>
  <c r="I213" i="37"/>
  <c r="G211" i="37"/>
  <c r="F209" i="37"/>
  <c r="K200" i="37"/>
  <c r="G199" i="37"/>
  <c r="J195" i="37"/>
  <c r="F193" i="37"/>
  <c r="L191" i="37"/>
  <c r="H189" i="37"/>
  <c r="H186" i="37"/>
  <c r="J182" i="37"/>
  <c r="F180" i="37"/>
  <c r="L178" i="37"/>
  <c r="F177" i="37"/>
  <c r="H173" i="37"/>
  <c r="J169" i="37"/>
  <c r="L165" i="37"/>
  <c r="F164" i="37"/>
  <c r="H160" i="37"/>
  <c r="J156" i="37"/>
  <c r="L152" i="37"/>
  <c r="F151" i="37"/>
  <c r="L149" i="37"/>
  <c r="H147" i="37"/>
  <c r="J143" i="37"/>
  <c r="J140" i="37"/>
  <c r="F138" i="37"/>
  <c r="L136" i="37"/>
  <c r="H134" i="37"/>
  <c r="H118" i="37"/>
  <c r="J114" i="37"/>
  <c r="L110" i="37"/>
  <c r="F109" i="37"/>
  <c r="H105" i="37"/>
  <c r="J101" i="37"/>
  <c r="L97" i="37"/>
  <c r="F96" i="37"/>
  <c r="L94" i="37"/>
  <c r="H92" i="37"/>
  <c r="J88" i="37"/>
  <c r="J85" i="37"/>
  <c r="F83" i="37"/>
  <c r="L81" i="37"/>
  <c r="H79" i="37"/>
  <c r="H76" i="37"/>
  <c r="F70" i="37"/>
  <c r="F67" i="37"/>
  <c r="H63" i="37"/>
  <c r="J59" i="37"/>
  <c r="L264" i="37"/>
  <c r="H259" i="37"/>
  <c r="H255" i="37"/>
  <c r="I251" i="37"/>
  <c r="L248" i="37"/>
  <c r="I235" i="37"/>
  <c r="J230" i="37"/>
  <c r="G225" i="37"/>
  <c r="G223" i="37"/>
  <c r="F221" i="37"/>
  <c r="L212" i="37"/>
  <c r="K210" i="37"/>
  <c r="G209" i="37"/>
  <c r="L200" i="37"/>
  <c r="J198" i="37"/>
  <c r="G193" i="37"/>
  <c r="I189" i="37"/>
  <c r="K185" i="37"/>
  <c r="K182" i="37"/>
  <c r="G180" i="37"/>
  <c r="I176" i="37"/>
  <c r="I173" i="37"/>
  <c r="K169" i="37"/>
  <c r="G167" i="37"/>
  <c r="G164" i="37"/>
  <c r="I160" i="37"/>
  <c r="K156" i="37"/>
  <c r="G151" i="37"/>
  <c r="I147" i="37"/>
  <c r="K143" i="37"/>
  <c r="G138" i="37"/>
  <c r="I134" i="37"/>
  <c r="I121" i="37"/>
  <c r="I118" i="37"/>
  <c r="K114" i="37"/>
  <c r="G112" i="37"/>
  <c r="G109" i="37"/>
  <c r="I105" i="37"/>
  <c r="K101" i="37"/>
  <c r="G96" i="37"/>
  <c r="I92" i="37"/>
  <c r="K88" i="37"/>
  <c r="G83" i="37"/>
  <c r="I79" i="37"/>
  <c r="K75" i="37"/>
  <c r="G70" i="37"/>
  <c r="I63" i="37"/>
  <c r="K59" i="37"/>
  <c r="G57" i="37"/>
  <c r="G268" i="37"/>
  <c r="K259" i="37"/>
  <c r="I255" i="37"/>
  <c r="J251" i="37"/>
  <c r="J235" i="37"/>
  <c r="H225" i="37"/>
  <c r="H223" i="37"/>
  <c r="G221" i="37"/>
  <c r="F219" i="37"/>
  <c r="L210" i="37"/>
  <c r="J208" i="37"/>
  <c r="I206" i="37"/>
  <c r="K198" i="37"/>
  <c r="F197" i="37"/>
  <c r="H193" i="37"/>
  <c r="J189" i="37"/>
  <c r="L185" i="37"/>
  <c r="F184" i="37"/>
  <c r="H180" i="37"/>
  <c r="J176" i="37"/>
  <c r="L172" i="37"/>
  <c r="F171" i="37"/>
  <c r="L169" i="37"/>
  <c r="H167" i="37"/>
  <c r="J163" i="37"/>
  <c r="J160" i="37"/>
  <c r="F158" i="37"/>
  <c r="L156" i="37"/>
  <c r="H154" i="37"/>
  <c r="H151" i="37"/>
  <c r="J147" i="37"/>
  <c r="F145" i="37"/>
  <c r="L143" i="37"/>
  <c r="F142" i="37"/>
  <c r="H138" i="37"/>
  <c r="J134" i="37"/>
  <c r="F129" i="37"/>
  <c r="J121" i="37"/>
  <c r="L117" i="37"/>
  <c r="F116" i="37"/>
  <c r="L114" i="37"/>
  <c r="H112" i="37"/>
  <c r="J108" i="37"/>
  <c r="J105" i="37"/>
  <c r="F103" i="37"/>
  <c r="L101" i="37"/>
  <c r="H99" i="37"/>
  <c r="H96" i="37"/>
  <c r="J92" i="37"/>
  <c r="F90" i="37"/>
  <c r="L88" i="37"/>
  <c r="F87" i="37"/>
  <c r="H83" i="37"/>
  <c r="J79" i="37"/>
  <c r="L75" i="37"/>
  <c r="F74" i="37"/>
  <c r="H70" i="37"/>
  <c r="L62" i="37"/>
  <c r="L59" i="37"/>
  <c r="H57" i="37"/>
  <c r="J53" i="37"/>
  <c r="J50" i="37"/>
  <c r="F48" i="37"/>
  <c r="L46" i="37"/>
  <c r="H44" i="37"/>
  <c r="H41" i="37"/>
  <c r="J37" i="37"/>
  <c r="F35" i="37"/>
  <c r="L33" i="37"/>
  <c r="F32" i="37"/>
  <c r="H28" i="37"/>
  <c r="J24" i="37"/>
  <c r="L20" i="37"/>
  <c r="G273" i="37"/>
  <c r="H268" i="37"/>
  <c r="G264" i="37"/>
  <c r="J255" i="37"/>
  <c r="K251" i="37"/>
  <c r="F245" i="37"/>
  <c r="G242" i="37"/>
  <c r="H237" i="37"/>
  <c r="G232" i="37"/>
  <c r="G227" i="37"/>
  <c r="I225" i="37"/>
  <c r="I223" i="37"/>
  <c r="H221" i="37"/>
  <c r="G219" i="37"/>
  <c r="F217" i="37"/>
  <c r="K208" i="37"/>
  <c r="J206" i="37"/>
  <c r="H204" i="37"/>
  <c r="L198" i="37"/>
  <c r="I196" i="37"/>
  <c r="I193" i="37"/>
  <c r="K189" i="37"/>
  <c r="G187" i="37"/>
  <c r="G184" i="37"/>
  <c r="I180" i="37"/>
  <c r="K176" i="37"/>
  <c r="G171" i="37"/>
  <c r="I167" i="37"/>
  <c r="K163" i="37"/>
  <c r="G158" i="37"/>
  <c r="I154" i="37"/>
  <c r="K150" i="37"/>
  <c r="K147" i="37"/>
  <c r="G145" i="37"/>
  <c r="I141" i="37"/>
  <c r="I138" i="37"/>
  <c r="K134" i="37"/>
  <c r="G129" i="37"/>
  <c r="K121" i="37"/>
  <c r="G116" i="37"/>
  <c r="I112" i="37"/>
  <c r="K108" i="37"/>
  <c r="G103" i="37"/>
  <c r="I99" i="37"/>
  <c r="K92" i="37"/>
  <c r="G90" i="37"/>
  <c r="I86" i="37"/>
  <c r="I273" i="37"/>
  <c r="I268" i="37"/>
  <c r="J263" i="37"/>
  <c r="F259" i="37"/>
  <c r="L251" i="37"/>
  <c r="G248" i="37"/>
  <c r="G245" i="37"/>
  <c r="H242" i="37"/>
  <c r="I237" i="37"/>
  <c r="I232" i="37"/>
  <c r="I227" i="37"/>
  <c r="L222" i="37"/>
  <c r="K220" i="37"/>
  <c r="K218" i="37"/>
  <c r="I216" i="37"/>
  <c r="K206" i="37"/>
  <c r="I204" i="37"/>
  <c r="G202" i="37"/>
  <c r="J196" i="37"/>
  <c r="L192" i="37"/>
  <c r="F191" i="37"/>
  <c r="L189" i="37"/>
  <c r="H187" i="37"/>
  <c r="J183" i="37"/>
  <c r="J180" i="37"/>
  <c r="F178" i="37"/>
  <c r="L176" i="37"/>
  <c r="H174" i="37"/>
  <c r="H171" i="37"/>
  <c r="J167" i="37"/>
  <c r="F165" i="37"/>
  <c r="L163" i="37"/>
  <c r="F162" i="37"/>
  <c r="H158" i="37"/>
  <c r="J154" i="37"/>
  <c r="L150" i="37"/>
  <c r="F149" i="37"/>
  <c r="H145" i="37"/>
  <c r="J141" i="37"/>
  <c r="L137" i="37"/>
  <c r="F136" i="37"/>
  <c r="L134" i="37"/>
  <c r="L121" i="37"/>
  <c r="H119" i="37"/>
  <c r="H116" i="37"/>
  <c r="J112" i="37"/>
  <c r="F110" i="37"/>
  <c r="L108" i="37"/>
  <c r="F107" i="37"/>
  <c r="H103" i="37"/>
  <c r="J99" i="37"/>
  <c r="F94" i="37"/>
  <c r="H272" i="37"/>
  <c r="L267" i="37"/>
  <c r="F263" i="37"/>
  <c r="G259" i="37"/>
  <c r="I248" i="37"/>
  <c r="I242" i="37"/>
  <c r="J237" i="37"/>
  <c r="K232" i="37"/>
  <c r="J227" i="37"/>
  <c r="L220" i="37"/>
  <c r="L218" i="37"/>
  <c r="J216" i="37"/>
  <c r="I214" i="37"/>
  <c r="G212" i="37"/>
  <c r="L206" i="37"/>
  <c r="J204" i="37"/>
  <c r="H202" i="37"/>
  <c r="F200" i="37"/>
  <c r="K196" i="37"/>
  <c r="G191" i="37"/>
  <c r="I187" i="37"/>
  <c r="K183" i="37"/>
  <c r="G178" i="37"/>
  <c r="I174" i="37"/>
  <c r="K170" i="37"/>
  <c r="K167" i="37"/>
  <c r="G165" i="37"/>
  <c r="I161" i="37"/>
  <c r="I158" i="37"/>
  <c r="K154" i="37"/>
  <c r="G152" i="37"/>
  <c r="G149" i="37"/>
  <c r="I145" i="37"/>
  <c r="K141" i="37"/>
  <c r="G136" i="37"/>
  <c r="I119" i="37"/>
  <c r="K115" i="37"/>
  <c r="K112" i="37"/>
  <c r="G110" i="37"/>
  <c r="I106" i="37"/>
  <c r="I103" i="37"/>
  <c r="K99" i="37"/>
  <c r="G97" i="37"/>
  <c r="G94" i="37"/>
  <c r="I90" i="37"/>
  <c r="K86" i="37"/>
  <c r="G81" i="37"/>
  <c r="I77" i="37"/>
  <c r="I263" i="37"/>
  <c r="J258" i="37"/>
  <c r="F251" i="37"/>
  <c r="L247" i="37"/>
  <c r="J242" i="37"/>
  <c r="K237" i="37"/>
  <c r="H234" i="37"/>
  <c r="H229" i="37"/>
  <c r="K227" i="37"/>
  <c r="K216" i="37"/>
  <c r="J214" i="37"/>
  <c r="H212" i="37"/>
  <c r="G210" i="37"/>
  <c r="K204" i="37"/>
  <c r="I202" i="37"/>
  <c r="G200" i="37"/>
  <c r="L196" i="37"/>
  <c r="H194" i="37"/>
  <c r="H191" i="37"/>
  <c r="J187" i="37"/>
  <c r="F185" i="37"/>
  <c r="L183" i="37"/>
  <c r="F182" i="37"/>
  <c r="H178" i="37"/>
  <c r="J174" i="37"/>
  <c r="L170" i="37"/>
  <c r="F169" i="37"/>
  <c r="H165" i="37"/>
  <c r="J161" i="37"/>
  <c r="L157" i="37"/>
  <c r="F156" i="37"/>
  <c r="L154" i="37"/>
  <c r="H152" i="37"/>
  <c r="J148" i="37"/>
  <c r="J145" i="37"/>
  <c r="F143" i="37"/>
  <c r="L141" i="37"/>
  <c r="H139" i="37"/>
  <c r="H136" i="37"/>
  <c r="J119" i="37"/>
  <c r="L115" i="37"/>
  <c r="F114" i="37"/>
  <c r="H110" i="37"/>
  <c r="J106" i="37"/>
  <c r="L102" i="37"/>
  <c r="F101" i="37"/>
  <c r="L99" i="37"/>
  <c r="H97" i="37"/>
  <c r="J93" i="37"/>
  <c r="J90" i="37"/>
  <c r="F88" i="37"/>
  <c r="L86" i="37"/>
  <c r="H84" i="37"/>
  <c r="F272" i="37"/>
  <c r="G267" i="37"/>
  <c r="H254" i="37"/>
  <c r="G251" i="37"/>
  <c r="I239" i="37"/>
  <c r="I234" i="37"/>
  <c r="I229" i="37"/>
  <c r="K214" i="37"/>
  <c r="I212" i="37"/>
  <c r="H210" i="37"/>
  <c r="F208" i="37"/>
  <c r="L204" i="37"/>
  <c r="J202" i="37"/>
  <c r="H200" i="37"/>
  <c r="F198" i="37"/>
  <c r="I194" i="37"/>
  <c r="K190" i="37"/>
  <c r="K187" i="37"/>
  <c r="G185" i="37"/>
  <c r="I181" i="37"/>
  <c r="I178" i="37"/>
  <c r="K174" i="37"/>
  <c r="G172" i="37"/>
  <c r="G169" i="37"/>
  <c r="I165" i="37"/>
  <c r="K161" i="37"/>
  <c r="G156" i="37"/>
  <c r="I152" i="37"/>
  <c r="K148" i="37"/>
  <c r="G143" i="37"/>
  <c r="I139" i="37"/>
  <c r="K135" i="37"/>
  <c r="I126" i="37"/>
  <c r="K119" i="37"/>
  <c r="G117" i="37"/>
  <c r="G114" i="37"/>
  <c r="I110" i="37"/>
  <c r="K106" i="37"/>
  <c r="G101" i="37"/>
  <c r="I97" i="37"/>
  <c r="K93" i="37"/>
  <c r="G88" i="37"/>
  <c r="I84" i="37"/>
  <c r="K80" i="37"/>
  <c r="K77" i="37"/>
  <c r="G75" i="37"/>
  <c r="I71" i="37"/>
  <c r="K64" i="37"/>
  <c r="G62" i="37"/>
  <c r="G59" i="37"/>
  <c r="I55" i="37"/>
  <c r="K51" i="37"/>
  <c r="G46" i="37"/>
  <c r="I42" i="37"/>
  <c r="K38" i="37"/>
  <c r="G33" i="37"/>
  <c r="I29" i="37"/>
  <c r="K25" i="37"/>
  <c r="I271" i="37"/>
  <c r="H267" i="37"/>
  <c r="H251" i="37"/>
  <c r="J239" i="37"/>
  <c r="J234" i="37"/>
  <c r="J229" i="37"/>
  <c r="F220" i="37"/>
  <c r="L214" i="37"/>
  <c r="K212" i="37"/>
  <c r="I210" i="37"/>
  <c r="G208" i="37"/>
  <c r="K202" i="37"/>
  <c r="I200" i="37"/>
  <c r="G198" i="37"/>
  <c r="J194" i="37"/>
  <c r="L190" i="37"/>
  <c r="F189" i="37"/>
  <c r="H185" i="37"/>
  <c r="J181" i="37"/>
  <c r="L177" i="37"/>
  <c r="F176" i="37"/>
  <c r="L174" i="37"/>
  <c r="H172" i="37"/>
  <c r="J168" i="37"/>
  <c r="J165" i="37"/>
  <c r="F163" i="37"/>
  <c r="L161" i="37"/>
  <c r="H159" i="37"/>
  <c r="H156" i="37"/>
  <c r="J152" i="37"/>
  <c r="F150" i="37"/>
  <c r="L148" i="37"/>
  <c r="F147" i="37"/>
  <c r="H143" i="37"/>
  <c r="J139" i="37"/>
  <c r="L135" i="37"/>
  <c r="F134" i="37"/>
  <c r="J126" i="37"/>
  <c r="F121" i="37"/>
  <c r="L119" i="37"/>
  <c r="H117" i="37"/>
  <c r="J113" i="37"/>
  <c r="J110" i="37"/>
  <c r="F108" i="37"/>
  <c r="L106" i="37"/>
  <c r="H104" i="37"/>
  <c r="H101" i="37"/>
  <c r="J97" i="37"/>
  <c r="L93" i="37"/>
  <c r="F92" i="37"/>
  <c r="H88" i="37"/>
  <c r="J84" i="37"/>
  <c r="L80" i="37"/>
  <c r="F79" i="37"/>
  <c r="H75" i="37"/>
  <c r="J71" i="37"/>
  <c r="L67" i="37"/>
  <c r="J271" i="37"/>
  <c r="G262" i="37"/>
  <c r="F258" i="37"/>
  <c r="G254" i="37"/>
  <c r="G247" i="37"/>
  <c r="I244" i="37"/>
  <c r="L239" i="37"/>
  <c r="K234" i="37"/>
  <c r="F232" i="37"/>
  <c r="H224" i="37"/>
  <c r="G222" i="37"/>
  <c r="G220" i="37"/>
  <c r="G218" i="37"/>
  <c r="I266" i="37"/>
  <c r="H262" i="37"/>
  <c r="K253" i="37"/>
  <c r="F250" i="37"/>
  <c r="H247" i="37"/>
  <c r="K244" i="37"/>
  <c r="F242" i="37"/>
  <c r="F237" i="37"/>
  <c r="I231" i="37"/>
  <c r="I226" i="37"/>
  <c r="I224" i="37"/>
  <c r="I222" i="37"/>
  <c r="H220" i="37"/>
  <c r="H218" i="37"/>
  <c r="F216" i="37"/>
  <c r="I208" i="37"/>
  <c r="G206" i="37"/>
  <c r="L197" i="37"/>
  <c r="F196" i="37"/>
  <c r="L194" i="37"/>
  <c r="H192" i="37"/>
  <c r="J188" i="37"/>
  <c r="J185" i="37"/>
  <c r="F183" i="37"/>
  <c r="L181" i="37"/>
  <c r="H179" i="37"/>
  <c r="H176" i="37"/>
  <c r="J172" i="37"/>
  <c r="F170" i="37"/>
  <c r="L168" i="37"/>
  <c r="F167" i="37"/>
  <c r="H163" i="37"/>
  <c r="J159" i="37"/>
  <c r="L155" i="37"/>
  <c r="F154" i="37"/>
  <c r="H150" i="37"/>
  <c r="J146" i="37"/>
  <c r="L142" i="37"/>
  <c r="F141" i="37"/>
  <c r="L139" i="37"/>
  <c r="H137" i="37"/>
  <c r="L126" i="37"/>
  <c r="H124" i="37"/>
  <c r="H121" i="37"/>
  <c r="J117" i="37"/>
  <c r="F115" i="37"/>
  <c r="L113" i="37"/>
  <c r="F112" i="37"/>
  <c r="H108" i="37"/>
  <c r="J104" i="37"/>
  <c r="K262" i="37"/>
  <c r="G257" i="37"/>
  <c r="H250" i="37"/>
  <c r="I247" i="37"/>
  <c r="L244" i="37"/>
  <c r="I241" i="37"/>
  <c r="K236" i="37"/>
  <c r="K231" i="37"/>
  <c r="J226" i="37"/>
  <c r="J224" i="37"/>
  <c r="J222" i="37"/>
  <c r="I220" i="37"/>
  <c r="I218" i="37"/>
  <c r="G216" i="37"/>
  <c r="F214" i="37"/>
  <c r="L207" i="37"/>
  <c r="H206" i="37"/>
  <c r="F204" i="37"/>
  <c r="G196" i="37"/>
  <c r="I192" i="37"/>
  <c r="K188" i="37"/>
  <c r="G183" i="37"/>
  <c r="I179" i="37"/>
  <c r="K175" i="37"/>
  <c r="K172" i="37"/>
  <c r="G170" i="37"/>
  <c r="I166" i="37"/>
  <c r="I163" i="37"/>
  <c r="K159" i="37"/>
  <c r="G157" i="37"/>
  <c r="G154" i="37"/>
  <c r="I150" i="37"/>
  <c r="K146" i="37"/>
  <c r="G141" i="37"/>
  <c r="I137" i="37"/>
  <c r="I124" i="37"/>
  <c r="K120" i="37"/>
  <c r="K117" i="37"/>
  <c r="G115" i="37"/>
  <c r="I111" i="37"/>
  <c r="I108" i="37"/>
  <c r="K104" i="37"/>
  <c r="G102" i="37"/>
  <c r="G99" i="37"/>
  <c r="K91" i="37"/>
  <c r="I276" i="37"/>
  <c r="F271" i="37"/>
  <c r="K257" i="37"/>
  <c r="I250" i="37"/>
  <c r="J247" i="37"/>
  <c r="K241" i="37"/>
  <c r="L236" i="37"/>
  <c r="F234" i="37"/>
  <c r="L231" i="37"/>
  <c r="F229" i="37"/>
  <c r="L226" i="37"/>
  <c r="K224" i="37"/>
  <c r="K222" i="37"/>
  <c r="L217" i="37"/>
  <c r="K215" i="37"/>
  <c r="G214" i="37"/>
  <c r="K205" i="37"/>
  <c r="G204" i="37"/>
  <c r="H196" i="37"/>
  <c r="J192" i="37"/>
  <c r="F190" i="37"/>
  <c r="L188" i="37"/>
  <c r="F187" i="37"/>
  <c r="H183" i="37"/>
  <c r="F276" i="37"/>
  <c r="G239" i="37"/>
  <c r="J233" i="37"/>
  <c r="G229" i="37"/>
  <c r="L215" i="37"/>
  <c r="J213" i="37"/>
  <c r="F212" i="37"/>
  <c r="L205" i="37"/>
  <c r="J203" i="37"/>
  <c r="I201" i="37"/>
  <c r="K195" i="37"/>
  <c r="K192" i="37"/>
  <c r="G190" i="37"/>
  <c r="I186" i="37"/>
  <c r="I183" i="37"/>
  <c r="K179" i="37"/>
  <c r="G177" i="37"/>
  <c r="G174" i="37"/>
  <c r="I170" i="37"/>
  <c r="K166" i="37"/>
  <c r="G161" i="37"/>
  <c r="I157" i="37"/>
  <c r="K153" i="37"/>
  <c r="G270" i="37"/>
  <c r="F266" i="37"/>
  <c r="L261" i="37"/>
  <c r="F253" i="37"/>
  <c r="F247" i="37"/>
  <c r="G244" i="37"/>
  <c r="J238" i="37"/>
  <c r="K233" i="37"/>
  <c r="K228" i="37"/>
  <c r="K213" i="37"/>
  <c r="I211" i="37"/>
  <c r="K203" i="37"/>
  <c r="J201" i="37"/>
  <c r="H199" i="37"/>
  <c r="L195" i="37"/>
  <c r="F194" i="37"/>
  <c r="H190" i="37"/>
  <c r="J186" i="37"/>
  <c r="L182" i="37"/>
  <c r="F181" i="37"/>
  <c r="L179" i="37"/>
  <c r="H177" i="37"/>
  <c r="J173" i="37"/>
  <c r="J170" i="37"/>
  <c r="F168" i="37"/>
  <c r="L166" i="37"/>
  <c r="H164" i="37"/>
  <c r="H161" i="37"/>
  <c r="J157" i="37"/>
  <c r="F155" i="37"/>
  <c r="L153" i="37"/>
  <c r="F152" i="37"/>
  <c r="H148" i="37"/>
  <c r="F275" i="37"/>
  <c r="K265" i="37"/>
  <c r="I253" i="37"/>
  <c r="J246" i="37"/>
  <c r="J243" i="37"/>
  <c r="F241" i="37"/>
  <c r="K238" i="37"/>
  <c r="L233" i="37"/>
  <c r="G231" i="37"/>
  <c r="L213" i="37"/>
  <c r="J211" i="37"/>
  <c r="H209" i="37"/>
  <c r="K201" i="37"/>
  <c r="I199" i="37"/>
  <c r="G197" i="37"/>
  <c r="G194" i="37"/>
  <c r="I190" i="37"/>
  <c r="K186" i="37"/>
  <c r="G181" i="37"/>
  <c r="I177" i="37"/>
  <c r="K173" i="37"/>
  <c r="G168" i="37"/>
  <c r="I164" i="37"/>
  <c r="K160" i="37"/>
  <c r="K157" i="37"/>
  <c r="G155" i="37"/>
  <c r="I151" i="37"/>
  <c r="I148" i="37"/>
  <c r="K144" i="37"/>
  <c r="G142" i="37"/>
  <c r="G139" i="37"/>
  <c r="I135" i="37"/>
  <c r="G126" i="37"/>
  <c r="G275" i="37"/>
  <c r="K260" i="37"/>
  <c r="I256" i="37"/>
  <c r="L252" i="37"/>
  <c r="K246" i="37"/>
  <c r="K243" i="37"/>
  <c r="G241" i="37"/>
  <c r="L238" i="37"/>
  <c r="G236" i="37"/>
  <c r="H231" i="37"/>
  <c r="G226" i="37"/>
  <c r="F224" i="37"/>
  <c r="F222" i="37"/>
  <c r="G217" i="37"/>
  <c r="K211" i="37"/>
  <c r="I209" i="37"/>
  <c r="G207" i="37"/>
  <c r="L201" i="37"/>
  <c r="K199" i="37"/>
  <c r="H197" i="37"/>
  <c r="J193" i="37"/>
  <c r="J190" i="37"/>
  <c r="F188" i="37"/>
  <c r="L186" i="37"/>
  <c r="H184" i="37"/>
  <c r="H181" i="37"/>
  <c r="J177" i="37"/>
  <c r="F175" i="37"/>
  <c r="L173" i="37"/>
  <c r="F172" i="37"/>
  <c r="H168" i="37"/>
  <c r="J164" i="37"/>
  <c r="L160" i="37"/>
  <c r="F159" i="37"/>
  <c r="H155" i="37"/>
  <c r="J151" i="37"/>
  <c r="L147" i="37"/>
  <c r="F146" i="37"/>
  <c r="L144" i="37"/>
  <c r="H142" i="37"/>
  <c r="J138" i="37"/>
  <c r="J135" i="37"/>
  <c r="H129" i="37"/>
  <c r="H126" i="37"/>
  <c r="F120" i="37"/>
  <c r="L118" i="37"/>
  <c r="F117" i="37"/>
  <c r="H113" i="37"/>
  <c r="J109" i="37"/>
  <c r="L105" i="37"/>
  <c r="F104" i="37"/>
  <c r="H100" i="37"/>
  <c r="J96" i="37"/>
  <c r="L92" i="37"/>
  <c r="F91" i="37"/>
  <c r="L89" i="37"/>
  <c r="H87" i="37"/>
  <c r="J83" i="37"/>
  <c r="J80" i="37"/>
  <c r="F78" i="37"/>
  <c r="L76" i="37"/>
  <c r="H74" i="37"/>
  <c r="H71" i="37"/>
  <c r="J67" i="37"/>
  <c r="L63" i="37"/>
  <c r="F62" i="37"/>
  <c r="J54" i="37"/>
  <c r="L50" i="37"/>
  <c r="F49" i="37"/>
  <c r="H45" i="37"/>
  <c r="J41" i="37"/>
  <c r="L37" i="37"/>
  <c r="F36" i="37"/>
  <c r="L34" i="37"/>
  <c r="H32" i="37"/>
  <c r="J28" i="37"/>
  <c r="G176" i="37"/>
  <c r="K155" i="37"/>
  <c r="J102" i="37"/>
  <c r="H98" i="37"/>
  <c r="H89" i="37"/>
  <c r="F86" i="37"/>
  <c r="I83" i="37"/>
  <c r="H80" i="37"/>
  <c r="J77" i="37"/>
  <c r="L69" i="37"/>
  <c r="I56" i="37"/>
  <c r="H54" i="37"/>
  <c r="H52" i="37"/>
  <c r="G50" i="37"/>
  <c r="G48" i="37"/>
  <c r="F46" i="37"/>
  <c r="F44" i="37"/>
  <c r="I23" i="37"/>
  <c r="F21" i="37"/>
  <c r="I17" i="37"/>
  <c r="K13" i="37"/>
  <c r="G8" i="37"/>
  <c r="J4" i="37"/>
  <c r="F27" i="37"/>
  <c r="F19" i="37"/>
  <c r="G6" i="37"/>
  <c r="J210" i="37"/>
  <c r="L175" i="37"/>
  <c r="G121" i="37"/>
  <c r="H107" i="37"/>
  <c r="K102" i="37"/>
  <c r="K97" i="37"/>
  <c r="F93" i="37"/>
  <c r="I89" i="37"/>
  <c r="G86" i="37"/>
  <c r="L82" i="37"/>
  <c r="I80" i="37"/>
  <c r="J74" i="37"/>
  <c r="F64" i="37"/>
  <c r="F59" i="37"/>
  <c r="J56" i="37"/>
  <c r="I54" i="37"/>
  <c r="I52" i="37"/>
  <c r="H50" i="37"/>
  <c r="H48" i="37"/>
  <c r="H46" i="37"/>
  <c r="G44" i="37"/>
  <c r="F42" i="37"/>
  <c r="H39" i="37"/>
  <c r="G37" i="37"/>
  <c r="G35" i="37"/>
  <c r="F33" i="37"/>
  <c r="F31" i="37"/>
  <c r="L22" i="37"/>
  <c r="G21" i="37"/>
  <c r="J17" i="37"/>
  <c r="F15" i="37"/>
  <c r="L13" i="37"/>
  <c r="L4" i="37"/>
  <c r="H208" i="37"/>
  <c r="H141" i="37"/>
  <c r="L120" i="37"/>
  <c r="F113" i="37"/>
  <c r="I107" i="37"/>
  <c r="G93" i="37"/>
  <c r="J89" i="37"/>
  <c r="H86" i="37"/>
  <c r="K74" i="37"/>
  <c r="K71" i="37"/>
  <c r="F69" i="37"/>
  <c r="G64" i="37"/>
  <c r="K56" i="37"/>
  <c r="K54" i="37"/>
  <c r="J52" i="37"/>
  <c r="I50" i="37"/>
  <c r="I48" i="37"/>
  <c r="K45" i="37"/>
  <c r="J43" i="37"/>
  <c r="I41" i="37"/>
  <c r="I39" i="37"/>
  <c r="H37" i="37"/>
  <c r="H35" i="37"/>
  <c r="H33" i="37"/>
  <c r="G31" i="37"/>
  <c r="F29" i="37"/>
  <c r="H21" i="37"/>
  <c r="K17" i="37"/>
  <c r="G15" i="37"/>
  <c r="I11" i="37"/>
  <c r="I8" i="37"/>
  <c r="K4" i="37"/>
  <c r="I37" i="37"/>
  <c r="J26" i="37"/>
  <c r="H9" i="37"/>
  <c r="F206" i="37"/>
  <c r="F174" i="37"/>
  <c r="J153" i="37"/>
  <c r="K140" i="37"/>
  <c r="G113" i="37"/>
  <c r="H93" i="37"/>
  <c r="K89" i="37"/>
  <c r="K85" i="37"/>
  <c r="G82" i="37"/>
  <c r="L74" i="37"/>
  <c r="L71" i="37"/>
  <c r="G69" i="37"/>
  <c r="J63" i="37"/>
  <c r="L56" i="37"/>
  <c r="L54" i="37"/>
  <c r="K52" i="37"/>
  <c r="L47" i="37"/>
  <c r="L45" i="37"/>
  <c r="K43" i="37"/>
  <c r="K41" i="37"/>
  <c r="J39" i="37"/>
  <c r="I35" i="37"/>
  <c r="J11" i="37"/>
  <c r="F6" i="37"/>
  <c r="H24" i="37"/>
  <c r="L11" i="37"/>
  <c r="I172" i="37"/>
  <c r="K152" i="37"/>
  <c r="L140" i="37"/>
  <c r="L112" i="37"/>
  <c r="F106" i="37"/>
  <c r="F102" i="37"/>
  <c r="I93" i="37"/>
  <c r="L85" i="37"/>
  <c r="H82" i="37"/>
  <c r="F77" i="37"/>
  <c r="K63" i="37"/>
  <c r="L43" i="37"/>
  <c r="L41" i="37"/>
  <c r="K39" i="37"/>
  <c r="K37" i="37"/>
  <c r="J35" i="37"/>
  <c r="L32" i="37"/>
  <c r="K30" i="37"/>
  <c r="K28" i="37"/>
  <c r="I26" i="37"/>
  <c r="G19" i="37"/>
  <c r="I15" i="37"/>
  <c r="K11" i="37"/>
  <c r="K139" i="37"/>
  <c r="G106" i="37"/>
  <c r="K100" i="37"/>
  <c r="F97" i="37"/>
  <c r="I82" i="37"/>
  <c r="I76" i="37"/>
  <c r="G74" i="37"/>
  <c r="K60" i="37"/>
  <c r="L39" i="37"/>
  <c r="L30" i="37"/>
  <c r="H6" i="37"/>
  <c r="J200" i="37"/>
  <c r="G150" i="37"/>
  <c r="F119" i="37"/>
  <c r="J111" i="37"/>
  <c r="H106" i="37"/>
  <c r="L100" i="37"/>
  <c r="I96" i="37"/>
  <c r="F89" i="37"/>
  <c r="F85" i="37"/>
  <c r="J82" i="37"/>
  <c r="K79" i="37"/>
  <c r="J76" i="37"/>
  <c r="L60" i="37"/>
  <c r="F56" i="37"/>
  <c r="K26" i="37"/>
  <c r="I24" i="37"/>
  <c r="H22" i="37"/>
  <c r="K18" i="37"/>
  <c r="G13" i="37"/>
  <c r="I9" i="37"/>
  <c r="K5" i="37"/>
  <c r="L5" i="37"/>
  <c r="F4" i="37"/>
  <c r="J22" i="37"/>
  <c r="G20" i="37"/>
  <c r="I16" i="37"/>
  <c r="I13" i="37"/>
  <c r="K9" i="37"/>
  <c r="G4" i="37"/>
  <c r="J16" i="37"/>
  <c r="J3" i="37"/>
  <c r="L25" i="37"/>
  <c r="J23" i="37"/>
  <c r="J5" i="37"/>
  <c r="G3" i="37"/>
  <c r="K15" i="37"/>
  <c r="I198" i="37"/>
  <c r="H170" i="37"/>
  <c r="J150" i="37"/>
  <c r="G119" i="37"/>
  <c r="K111" i="37"/>
  <c r="K105" i="37"/>
  <c r="L96" i="37"/>
  <c r="G89" i="37"/>
  <c r="G85" i="37"/>
  <c r="K82" i="37"/>
  <c r="L79" i="37"/>
  <c r="K76" i="37"/>
  <c r="F71" i="37"/>
  <c r="F63" i="37"/>
  <c r="G56" i="37"/>
  <c r="F54" i="37"/>
  <c r="F52" i="37"/>
  <c r="H49" i="37"/>
  <c r="G47" i="37"/>
  <c r="F45" i="37"/>
  <c r="F43" i="37"/>
  <c r="L26" i="37"/>
  <c r="K24" i="37"/>
  <c r="I22" i="37"/>
  <c r="F20" i="37"/>
  <c r="L18" i="37"/>
  <c r="F17" i="37"/>
  <c r="H13" i="37"/>
  <c r="J9" i="37"/>
  <c r="F30" i="37"/>
  <c r="L24" i="37"/>
  <c r="F11" i="37"/>
  <c r="L10" i="37"/>
  <c r="L23" i="37"/>
  <c r="J8" i="37"/>
  <c r="I12" i="37"/>
  <c r="K168" i="37"/>
  <c r="F139" i="37"/>
  <c r="J118" i="37"/>
  <c r="L111" i="37"/>
  <c r="G92" i="37"/>
  <c r="H85" i="37"/>
  <c r="G71" i="37"/>
  <c r="G63" i="37"/>
  <c r="H56" i="37"/>
  <c r="G54" i="37"/>
  <c r="I51" i="37"/>
  <c r="I49" i="37"/>
  <c r="H47" i="37"/>
  <c r="G45" i="37"/>
  <c r="G43" i="37"/>
  <c r="F41" i="37"/>
  <c r="F39" i="37"/>
  <c r="F37" i="37"/>
  <c r="G7" i="37"/>
  <c r="L9" i="37"/>
  <c r="H7" i="37"/>
  <c r="H18" i="37"/>
  <c r="H5" i="37"/>
  <c r="K194" i="37"/>
  <c r="F148" i="37"/>
  <c r="G137" i="37"/>
  <c r="K118" i="37"/>
  <c r="F100" i="37"/>
  <c r="I91" i="37"/>
  <c r="I88" i="37"/>
  <c r="I85" i="37"/>
  <c r="G79" i="37"/>
  <c r="L70" i="37"/>
  <c r="F60" i="37"/>
  <c r="K55" i="37"/>
  <c r="K53" i="37"/>
  <c r="J51" i="37"/>
  <c r="J49" i="37"/>
  <c r="I47" i="37"/>
  <c r="I45" i="37"/>
  <c r="H43" i="37"/>
  <c r="G41" i="37"/>
  <c r="G39" i="37"/>
  <c r="I36" i="37"/>
  <c r="H34" i="37"/>
  <c r="G32" i="37"/>
  <c r="G30" i="37"/>
  <c r="F28" i="37"/>
  <c r="K22" i="37"/>
  <c r="H20" i="37"/>
  <c r="L12" i="37"/>
  <c r="J14" i="37"/>
  <c r="F9" i="37"/>
  <c r="G16" i="37"/>
  <c r="J12" i="37"/>
  <c r="G192" i="37"/>
  <c r="G148" i="37"/>
  <c r="J137" i="37"/>
  <c r="I117" i="37"/>
  <c r="F111" i="37"/>
  <c r="F105" i="37"/>
  <c r="G100" i="37"/>
  <c r="J91" i="37"/>
  <c r="L87" i="37"/>
  <c r="F82" i="37"/>
  <c r="J78" i="37"/>
  <c r="F76" i="37"/>
  <c r="G60" i="37"/>
  <c r="L55" i="37"/>
  <c r="L53" i="37"/>
  <c r="L51" i="37"/>
  <c r="K49" i="37"/>
  <c r="J47" i="37"/>
  <c r="J45" i="37"/>
  <c r="I43" i="37"/>
  <c r="K40" i="37"/>
  <c r="J38" i="37"/>
  <c r="J36" i="37"/>
  <c r="I34" i="37"/>
  <c r="I32" i="37"/>
  <c r="H30" i="37"/>
  <c r="G28" i="37"/>
  <c r="F26" i="37"/>
  <c r="I20" i="37"/>
  <c r="K16" i="37"/>
  <c r="G11" i="37"/>
  <c r="I7" i="37"/>
  <c r="K3" i="37"/>
  <c r="L17" i="37"/>
  <c r="L8" i="37"/>
  <c r="K12" i="37"/>
  <c r="G10" i="37"/>
  <c r="J166" i="37"/>
  <c r="I146" i="37"/>
  <c r="K137" i="37"/>
  <c r="K126" i="37"/>
  <c r="I104" i="37"/>
  <c r="J100" i="37"/>
  <c r="L91" i="37"/>
  <c r="K84" i="37"/>
  <c r="I81" i="37"/>
  <c r="K78" i="37"/>
  <c r="G76" i="37"/>
  <c r="H60" i="37"/>
  <c r="L57" i="37"/>
  <c r="L49" i="37"/>
  <c r="K47" i="37"/>
  <c r="L42" i="37"/>
  <c r="L40" i="37"/>
  <c r="L38" i="37"/>
  <c r="K36" i="37"/>
  <c r="J34" i="37"/>
  <c r="J32" i="37"/>
  <c r="I30" i="37"/>
  <c r="I28" i="37"/>
  <c r="G26" i="37"/>
  <c r="F24" i="37"/>
  <c r="J20" i="37"/>
  <c r="F18" i="37"/>
  <c r="L16" i="37"/>
  <c r="H14" i="37"/>
  <c r="H11" i="37"/>
  <c r="J7" i="37"/>
  <c r="F5" i="37"/>
  <c r="L3" i="37"/>
  <c r="I14" i="37"/>
  <c r="K10" i="37"/>
  <c r="K7" i="37"/>
  <c r="F53" i="37"/>
  <c r="F3" i="37"/>
  <c r="K8" i="37"/>
  <c r="F10" i="37"/>
  <c r="G189" i="37"/>
  <c r="L146" i="37"/>
  <c r="L104" i="37"/>
  <c r="L84" i="37"/>
  <c r="J81" i="37"/>
  <c r="L78" i="37"/>
  <c r="I60" i="37"/>
  <c r="L36" i="37"/>
  <c r="K34" i="37"/>
  <c r="K32" i="37"/>
  <c r="J30" i="37"/>
  <c r="L27" i="37"/>
  <c r="H26" i="37"/>
  <c r="G24" i="37"/>
  <c r="G18" i="37"/>
  <c r="G5" i="37"/>
  <c r="F55" i="37"/>
  <c r="I6" i="37"/>
  <c r="I3" i="37"/>
  <c r="K81" i="37"/>
  <c r="I70" i="37"/>
  <c r="H62" i="37"/>
  <c r="J60" i="37"/>
  <c r="L14" i="37"/>
  <c r="H12" i="37"/>
  <c r="H3" i="37"/>
  <c r="I19" i="37"/>
  <c r="I185" i="37"/>
  <c r="G163" i="37"/>
  <c r="F135" i="37"/>
  <c r="F126" i="37"/>
  <c r="H109" i="37"/>
  <c r="J70" i="37"/>
  <c r="G67" i="37"/>
  <c r="I62" i="37"/>
  <c r="G55" i="37"/>
  <c r="G53" i="37"/>
  <c r="F51" i="37"/>
  <c r="F40" i="37"/>
  <c r="K23" i="37"/>
  <c r="F22" i="37"/>
  <c r="I18" i="37"/>
  <c r="K14" i="37"/>
  <c r="G12" i="37"/>
  <c r="G9" i="37"/>
  <c r="I5" i="37"/>
  <c r="I21" i="37"/>
  <c r="L162" i="37"/>
  <c r="G135" i="37"/>
  <c r="I109" i="37"/>
  <c r="F99" i="37"/>
  <c r="H91" i="37"/>
  <c r="G87" i="37"/>
  <c r="F81" i="37"/>
  <c r="F75" i="37"/>
  <c r="H67" i="37"/>
  <c r="J62" i="37"/>
  <c r="I57" i="37"/>
  <c r="H55" i="37"/>
  <c r="H53" i="37"/>
  <c r="G51" i="37"/>
  <c r="G49" i="37"/>
  <c r="F47" i="37"/>
  <c r="G42" i="37"/>
  <c r="G40" i="37"/>
  <c r="F38" i="37"/>
  <c r="F16" i="37"/>
  <c r="K21" i="37"/>
  <c r="H19" i="37"/>
  <c r="H16" i="37"/>
  <c r="F7" i="37"/>
  <c r="K181" i="37"/>
  <c r="H144" i="37"/>
  <c r="H135" i="37"/>
  <c r="J124" i="37"/>
  <c r="H115" i="37"/>
  <c r="L109" i="37"/>
  <c r="J103" i="37"/>
  <c r="J98" i="37"/>
  <c r="K90" i="37"/>
  <c r="J87" i="37"/>
  <c r="F84" i="37"/>
  <c r="H81" i="37"/>
  <c r="H78" i="37"/>
  <c r="I75" i="37"/>
  <c r="I67" i="37"/>
  <c r="H64" i="37"/>
  <c r="K62" i="37"/>
  <c r="J57" i="37"/>
  <c r="J55" i="37"/>
  <c r="I53" i="37"/>
  <c r="H51" i="37"/>
  <c r="J48" i="37"/>
  <c r="I46" i="37"/>
  <c r="I44" i="37"/>
  <c r="H42" i="37"/>
  <c r="H40" i="37"/>
  <c r="G38" i="37"/>
  <c r="G36" i="37"/>
  <c r="F34" i="37"/>
  <c r="G27" i="37"/>
  <c r="J21" i="37"/>
  <c r="F161" i="37"/>
  <c r="I144" i="37"/>
  <c r="G134" i="37"/>
  <c r="K124" i="37"/>
  <c r="I115" i="37"/>
  <c r="K103" i="37"/>
  <c r="K98" i="37"/>
  <c r="H94" i="37"/>
  <c r="L90" i="37"/>
  <c r="K87" i="37"/>
  <c r="G84" i="37"/>
  <c r="I78" i="37"/>
  <c r="J75" i="37"/>
  <c r="I64" i="37"/>
  <c r="K57" i="37"/>
  <c r="L52" i="37"/>
  <c r="K50" i="37"/>
  <c r="K48" i="37"/>
  <c r="J46" i="37"/>
  <c r="J44" i="37"/>
  <c r="J42" i="37"/>
  <c r="I40" i="37"/>
  <c r="H38" i="37"/>
  <c r="H36" i="37"/>
  <c r="G34" i="37"/>
  <c r="I31" i="37"/>
  <c r="H29" i="37"/>
  <c r="H27" i="37"/>
  <c r="F25" i="37"/>
  <c r="I159" i="37"/>
  <c r="J144" i="37"/>
  <c r="L124" i="37"/>
  <c r="J115" i="37"/>
  <c r="G108" i="37"/>
  <c r="L103" i="37"/>
  <c r="L98" i="37"/>
  <c r="I94" i="37"/>
  <c r="L83" i="37"/>
  <c r="L77" i="37"/>
  <c r="H69" i="37"/>
  <c r="J64" i="37"/>
  <c r="H59" i="37"/>
  <c r="L48" i="37"/>
  <c r="K46" i="37"/>
  <c r="K44" i="37"/>
  <c r="K42" i="37"/>
  <c r="J40" i="37"/>
  <c r="I38" i="37"/>
  <c r="K35" i="37"/>
  <c r="J33" i="37"/>
  <c r="J31" i="37"/>
  <c r="J29" i="37"/>
  <c r="I27" i="37"/>
  <c r="G25" i="37"/>
  <c r="L21" i="37"/>
  <c r="J179" i="37"/>
  <c r="L159" i="37"/>
  <c r="I143" i="37"/>
  <c r="L107" i="37"/>
  <c r="J94" i="37"/>
  <c r="H90" i="37"/>
  <c r="I69" i="37"/>
  <c r="L64" i="37"/>
  <c r="I59" i="37"/>
  <c r="L44" i="37"/>
  <c r="L35" i="37"/>
  <c r="K33" i="37"/>
  <c r="K31" i="37"/>
  <c r="K29" i="37"/>
  <c r="J27" i="37"/>
  <c r="H25" i="37"/>
  <c r="F23" i="37"/>
  <c r="J19" i="37"/>
  <c r="L15" i="37"/>
  <c r="F14" i="37"/>
  <c r="H10" i="37"/>
  <c r="J6" i="37"/>
  <c r="I33" i="37"/>
  <c r="L28" i="37"/>
  <c r="J15" i="37"/>
  <c r="H102" i="37"/>
  <c r="F98" i="37"/>
  <c r="K94" i="37"/>
  <c r="J86" i="37"/>
  <c r="F80" i="37"/>
  <c r="G77" i="37"/>
  <c r="J69" i="37"/>
  <c r="L31" i="37"/>
  <c r="L29" i="37"/>
  <c r="K27" i="37"/>
  <c r="I25" i="37"/>
  <c r="G23" i="37"/>
  <c r="K19" i="37"/>
  <c r="G17" i="37"/>
  <c r="G14" i="37"/>
  <c r="I10" i="37"/>
  <c r="K6" i="37"/>
  <c r="F50" i="37"/>
  <c r="J25" i="37"/>
  <c r="H23" i="37"/>
  <c r="L19" i="37"/>
  <c r="H17" i="37"/>
  <c r="J13" i="37"/>
  <c r="J10" i="37"/>
  <c r="F8" i="37"/>
  <c r="L6" i="37"/>
  <c r="I4" i="37"/>
  <c r="H8" i="37"/>
  <c r="G29" i="37"/>
  <c r="H15" i="37"/>
  <c r="L7" i="37"/>
  <c r="G22" i="37"/>
  <c r="J18" i="37"/>
  <c r="H157" i="37"/>
  <c r="K113" i="37"/>
  <c r="I102" i="37"/>
  <c r="G98" i="37"/>
  <c r="G80" i="37"/>
  <c r="H77" i="37"/>
  <c r="K69" i="37"/>
  <c r="F57" i="37"/>
  <c r="G52" i="37"/>
  <c r="H4" i="37"/>
  <c r="F12" i="37"/>
  <c r="H31" i="37"/>
  <c r="K20" i="37"/>
  <c r="F13" i="37"/>
  <c r="C29" i="37"/>
  <c r="D31" i="37"/>
  <c r="M7" i="37"/>
  <c r="B3" i="37"/>
  <c r="B8" i="37"/>
  <c r="C38" i="37"/>
  <c r="E44" i="37"/>
  <c r="E55" i="37"/>
  <c r="D12" i="37"/>
  <c r="B27" i="37"/>
  <c r="M93" i="37"/>
  <c r="D75" i="37"/>
  <c r="E83" i="37"/>
  <c r="D59" i="37"/>
  <c r="D64" i="37"/>
  <c r="D178" i="37"/>
  <c r="B108" i="37"/>
  <c r="C143" i="37"/>
  <c r="E86" i="37"/>
  <c r="D90" i="37"/>
  <c r="B36" i="37"/>
  <c r="B16" i="37"/>
  <c r="C3" i="37"/>
  <c r="B14" i="37"/>
  <c r="B17" i="37"/>
  <c r="D42" i="37"/>
  <c r="E46" i="37"/>
  <c r="E48" i="37"/>
  <c r="E21" i="37"/>
  <c r="B34" i="37"/>
  <c r="C12" i="37"/>
  <c r="M15" i="37"/>
  <c r="E5" i="37"/>
  <c r="E8" i="37"/>
  <c r="C40" i="37"/>
  <c r="M33" i="37"/>
  <c r="M35" i="37"/>
  <c r="B38" i="37"/>
  <c r="B40" i="37"/>
  <c r="D21" i="37"/>
  <c r="C42" i="37"/>
  <c r="D44" i="37"/>
  <c r="D46" i="37"/>
  <c r="B49" i="37"/>
  <c r="C51" i="37"/>
  <c r="C53" i="37"/>
  <c r="D55" i="37"/>
  <c r="E57" i="37"/>
  <c r="C59" i="37"/>
  <c r="E62" i="37"/>
  <c r="B84" i="37"/>
  <c r="C90" i="37"/>
  <c r="C64" i="37"/>
  <c r="E67" i="37"/>
  <c r="C75" i="37"/>
  <c r="B143" i="37"/>
  <c r="C158" i="37"/>
  <c r="M177" i="37"/>
  <c r="M107" i="37"/>
  <c r="D115" i="37"/>
  <c r="D18" i="37"/>
  <c r="D5" i="37"/>
  <c r="B9" i="37"/>
  <c r="D4" i="37"/>
  <c r="B134" i="37"/>
  <c r="B51" i="37"/>
  <c r="M37" i="37"/>
  <c r="M39" i="37"/>
  <c r="M21" i="37"/>
  <c r="B12" i="37"/>
  <c r="D57" i="37"/>
  <c r="D62" i="37"/>
  <c r="B42" i="37"/>
  <c r="M46" i="37"/>
  <c r="M48" i="37"/>
  <c r="C87" i="37"/>
  <c r="D67" i="37"/>
  <c r="B75" i="37"/>
  <c r="B53" i="37"/>
  <c r="C55" i="37"/>
  <c r="C103" i="37"/>
  <c r="M114" i="37"/>
  <c r="M77" i="37"/>
  <c r="C81" i="37"/>
  <c r="M83" i="37"/>
  <c r="B57" i="37"/>
  <c r="C62" i="37"/>
  <c r="M50" i="37"/>
  <c r="E23" i="37"/>
  <c r="M98" i="37"/>
  <c r="M90" i="37"/>
  <c r="C67" i="37"/>
  <c r="M74" i="37"/>
  <c r="M52" i="37"/>
  <c r="B55" i="37"/>
  <c r="B62" i="37"/>
  <c r="B24" i="37"/>
  <c r="E180" i="37"/>
  <c r="B81" i="37"/>
  <c r="B87" i="37"/>
  <c r="M80" i="37"/>
  <c r="B67" i="37"/>
  <c r="E70" i="37"/>
  <c r="M54" i="37"/>
  <c r="E60" i="37"/>
  <c r="C26" i="37"/>
  <c r="E30" i="37"/>
  <c r="E32" i="37"/>
  <c r="D181" i="37"/>
  <c r="C109" i="37"/>
  <c r="B18" i="37"/>
  <c r="M161" i="37"/>
  <c r="B70" i="37"/>
  <c r="D60" i="37"/>
  <c r="M23" i="37"/>
  <c r="E45" i="37"/>
  <c r="E7" i="37"/>
  <c r="E34" i="37"/>
  <c r="E36" i="37"/>
  <c r="D14" i="37"/>
  <c r="E104" i="37"/>
  <c r="E78" i="37"/>
  <c r="E84" i="37"/>
  <c r="M69" i="37"/>
  <c r="C60" i="37"/>
  <c r="B26" i="37"/>
  <c r="D30" i="37"/>
  <c r="D32" i="37"/>
  <c r="C116" i="37"/>
  <c r="C145" i="37"/>
  <c r="C20" i="37"/>
  <c r="E3" i="37"/>
  <c r="C7" i="37"/>
  <c r="M10" i="37"/>
  <c r="E183" i="37"/>
  <c r="E38" i="37"/>
  <c r="M25" i="37"/>
  <c r="B28" i="37"/>
  <c r="C30" i="37"/>
  <c r="E16" i="37"/>
  <c r="E47" i="37"/>
  <c r="E49" i="37"/>
  <c r="C32" i="37"/>
  <c r="D34" i="37"/>
  <c r="D36" i="37"/>
  <c r="M64" i="37"/>
  <c r="C76" i="37"/>
  <c r="M59" i="37"/>
  <c r="D43" i="37"/>
  <c r="D45" i="37"/>
  <c r="B79" i="37"/>
  <c r="E81" i="37"/>
  <c r="D84" i="37"/>
  <c r="D88" i="37"/>
  <c r="E91" i="37"/>
  <c r="D146" i="37"/>
  <c r="M94" i="37"/>
  <c r="E99" i="37"/>
  <c r="D104" i="37"/>
  <c r="E117" i="37"/>
  <c r="M36" i="37"/>
  <c r="B41" i="37"/>
  <c r="C43" i="37"/>
  <c r="D49" i="37"/>
  <c r="M27" i="37"/>
  <c r="B100" i="37"/>
  <c r="C104" i="37"/>
  <c r="B76" i="37"/>
  <c r="M78" i="37"/>
  <c r="C84" i="37"/>
  <c r="E126" i="37"/>
  <c r="M135" i="37"/>
  <c r="M146" i="37"/>
  <c r="C88" i="37"/>
  <c r="D91" i="37"/>
  <c r="D165" i="37"/>
  <c r="C187" i="37"/>
  <c r="B5" i="37"/>
  <c r="E110" i="37"/>
  <c r="D117" i="37"/>
  <c r="E51" i="37"/>
  <c r="M3" i="37"/>
  <c r="B7" i="37"/>
  <c r="D13" i="37"/>
  <c r="D16" i="37"/>
  <c r="E9" i="37"/>
  <c r="C13" i="37"/>
  <c r="M19" i="37"/>
  <c r="B20" i="37"/>
  <c r="C45" i="37"/>
  <c r="C49" i="37"/>
  <c r="D51" i="37"/>
  <c r="M38" i="37"/>
  <c r="M40" i="37"/>
  <c r="D22" i="37"/>
  <c r="M57" i="37"/>
  <c r="D63" i="37"/>
  <c r="M42" i="37"/>
  <c r="B45" i="37"/>
  <c r="C47" i="37"/>
  <c r="M91" i="37"/>
  <c r="C71" i="37"/>
  <c r="M75" i="37"/>
  <c r="B54" i="37"/>
  <c r="C56" i="37"/>
  <c r="M164" i="37"/>
  <c r="M99" i="37"/>
  <c r="D110" i="37"/>
  <c r="C117" i="37"/>
  <c r="B88" i="37"/>
  <c r="D47" i="37"/>
  <c r="C14" i="37"/>
  <c r="E20" i="37"/>
  <c r="D126" i="37"/>
  <c r="B137" i="37"/>
  <c r="C22" i="37"/>
  <c r="D9" i="37"/>
  <c r="B13" i="37"/>
  <c r="M16" i="37"/>
  <c r="B39" i="37"/>
  <c r="C63" i="37"/>
  <c r="M51" i="37"/>
  <c r="M53" i="37"/>
  <c r="M55" i="37"/>
  <c r="M44" i="37"/>
  <c r="M190" i="37"/>
  <c r="M109" i="37"/>
  <c r="B117" i="37"/>
  <c r="M87" i="37"/>
  <c r="B71" i="37"/>
  <c r="C6" i="37"/>
  <c r="C9" i="37"/>
  <c r="M12" i="37"/>
  <c r="C18" i="37"/>
  <c r="B32" i="37"/>
  <c r="B63" i="37"/>
  <c r="D24" i="37"/>
  <c r="E15" i="37"/>
  <c r="E18" i="37"/>
  <c r="B22" i="37"/>
  <c r="E167" i="37"/>
  <c r="D85" i="37"/>
  <c r="E96" i="37"/>
  <c r="M67" i="37"/>
  <c r="M70" i="37"/>
  <c r="E26" i="37"/>
  <c r="B19" i="37"/>
  <c r="C24" i="37"/>
  <c r="M29" i="37"/>
  <c r="B6" i="37"/>
  <c r="M111" i="37"/>
  <c r="D96" i="37"/>
  <c r="E76" i="37"/>
  <c r="C82" i="37"/>
  <c r="M62" i="37"/>
  <c r="B4" i="37"/>
  <c r="B169" i="37"/>
  <c r="M8" i="37"/>
  <c r="E14" i="37"/>
  <c r="C106" i="37"/>
  <c r="E22" i="37"/>
  <c r="D7" i="37"/>
  <c r="B11" i="37"/>
  <c r="D20" i="37"/>
  <c r="D28" i="37"/>
  <c r="D76" i="37"/>
  <c r="D79" i="37"/>
  <c r="B82" i="37"/>
  <c r="B89" i="37"/>
  <c r="E28" i="37"/>
  <c r="M4" i="37"/>
  <c r="M148" i="37"/>
  <c r="M96" i="37"/>
  <c r="C101" i="37"/>
  <c r="B106" i="37"/>
  <c r="C15" i="37"/>
  <c r="D11" i="37"/>
  <c r="C34" i="37"/>
  <c r="D15" i="37"/>
  <c r="E196" i="37"/>
  <c r="E39" i="37"/>
  <c r="E41" i="37"/>
  <c r="B29" i="37"/>
  <c r="C31" i="37"/>
  <c r="B15" i="37"/>
  <c r="B101" i="37"/>
  <c r="D93" i="37"/>
  <c r="C33" i="37"/>
  <c r="D35" i="37"/>
  <c r="D37" i="37"/>
  <c r="M5" i="37"/>
  <c r="E11" i="37"/>
  <c r="C11" i="37"/>
  <c r="M17" i="37"/>
  <c r="E139" i="37"/>
  <c r="C8" i="37"/>
  <c r="D33" i="37"/>
  <c r="E35" i="37"/>
  <c r="M18" i="37"/>
  <c r="M26" i="37"/>
  <c r="M11" i="37"/>
  <c r="M14" i="37"/>
  <c r="E17" i="37"/>
  <c r="D8" i="37"/>
  <c r="E4" i="37"/>
  <c r="M30" i="37"/>
  <c r="B33" i="37"/>
  <c r="C35" i="37"/>
  <c r="C37" i="37"/>
  <c r="C21" i="37"/>
  <c r="D41" i="37"/>
  <c r="E43" i="37"/>
  <c r="C46" i="37"/>
  <c r="D48" i="37"/>
  <c r="M28" i="37"/>
  <c r="D50" i="37"/>
  <c r="E52" i="37"/>
  <c r="E54" i="37"/>
  <c r="B59" i="37"/>
  <c r="C39" i="37"/>
  <c r="C5" i="37"/>
  <c r="D139" i="37"/>
  <c r="C93" i="37"/>
  <c r="E63" i="37"/>
  <c r="E71" i="37"/>
  <c r="M32" i="37"/>
  <c r="B35" i="37"/>
  <c r="B37" i="37"/>
  <c r="M41" i="37"/>
  <c r="C171" i="37"/>
  <c r="M43" i="37"/>
  <c r="B46" i="37"/>
  <c r="C48" i="37"/>
  <c r="C50" i="37"/>
  <c r="C52" i="37"/>
  <c r="B93" i="37"/>
  <c r="D71" i="37"/>
  <c r="D54" i="37"/>
  <c r="E56" i="37"/>
  <c r="B64" i="37"/>
  <c r="E112" i="37"/>
  <c r="C119" i="37"/>
  <c r="E80" i="37"/>
  <c r="M85" i="37"/>
  <c r="E89" i="37"/>
  <c r="E13" i="37"/>
  <c r="C17" i="37"/>
  <c r="D152" i="37"/>
  <c r="B172" i="37"/>
  <c r="B202" i="37"/>
  <c r="B48" i="37"/>
  <c r="B50" i="37"/>
  <c r="M20" i="37"/>
  <c r="C23" i="37"/>
  <c r="E25" i="37"/>
  <c r="C74" i="37"/>
  <c r="B52" i="37"/>
  <c r="C54" i="37"/>
  <c r="M56" i="37"/>
  <c r="M45" i="37"/>
  <c r="B121" i="37"/>
  <c r="E97" i="37"/>
  <c r="D80" i="37"/>
  <c r="D89" i="37"/>
  <c r="M71" i="37"/>
  <c r="E77" i="37"/>
  <c r="C80" i="37"/>
  <c r="M49" i="37"/>
  <c r="D204" i="37"/>
  <c r="B21" i="37"/>
  <c r="D25" i="37"/>
  <c r="E102" i="37"/>
  <c r="M106" i="37"/>
  <c r="M120" i="37"/>
  <c r="D97" i="37"/>
  <c r="E19" i="37"/>
  <c r="M22" i="37"/>
  <c r="E6" i="37"/>
  <c r="C10" i="37"/>
  <c r="M13" i="37"/>
  <c r="B97" i="37"/>
  <c r="D77" i="37"/>
  <c r="B80" i="37"/>
  <c r="C25" i="37"/>
  <c r="E27" i="37"/>
  <c r="E154" i="37"/>
  <c r="C174" i="37"/>
  <c r="D17" i="37"/>
  <c r="D102" i="37"/>
  <c r="B83" i="37"/>
  <c r="E29" i="37"/>
  <c r="D19" i="37"/>
  <c r="B23" i="37"/>
  <c r="D3" i="37"/>
  <c r="B10" i="37"/>
  <c r="E113" i="37"/>
  <c r="C69" i="37"/>
  <c r="C77" i="37"/>
  <c r="B25" i="37"/>
  <c r="D27" i="37"/>
  <c r="C4" i="37"/>
  <c r="E10" i="37"/>
  <c r="D10" i="37"/>
  <c r="E141" i="37"/>
  <c r="B156" i="37"/>
  <c r="M9" i="37"/>
  <c r="E12" i="37"/>
  <c r="C16" i="37"/>
  <c r="D6" i="37"/>
  <c r="M6" i="37"/>
  <c r="C36" i="37"/>
  <c r="D38" i="37"/>
  <c r="C19" i="37"/>
  <c r="M24" i="37"/>
  <c r="C27" i="37"/>
  <c r="E40" i="37"/>
  <c r="E42" i="37"/>
  <c r="D29" i="37"/>
  <c r="E31" i="37"/>
  <c r="E33" i="37"/>
  <c r="B94" i="37"/>
  <c r="C108" i="37"/>
  <c r="E75" i="37"/>
  <c r="E64" i="37"/>
  <c r="E59" i="37"/>
  <c r="D40" i="37"/>
  <c r="B212" i="37"/>
  <c r="B31" i="37"/>
  <c r="B114" i="37"/>
  <c r="D143" i="37"/>
  <c r="D53" i="37"/>
  <c r="D56" i="37"/>
  <c r="B60" i="37"/>
  <c r="B44" i="37"/>
  <c r="B47" i="37"/>
  <c r="B99" i="37"/>
  <c r="B102" i="37"/>
  <c r="D82" i="37"/>
  <c r="B86" i="37"/>
  <c r="D69" i="37"/>
  <c r="B141" i="37"/>
  <c r="D124" i="37"/>
  <c r="D108" i="37"/>
  <c r="D111" i="37"/>
  <c r="B115" i="37"/>
  <c r="B170" i="37"/>
  <c r="B154" i="37"/>
  <c r="B157" i="37"/>
  <c r="D150" i="37"/>
  <c r="D137" i="37"/>
  <c r="B196" i="37"/>
  <c r="B183" i="37"/>
  <c r="D179" i="37"/>
  <c r="D163" i="37"/>
  <c r="D166" i="37"/>
  <c r="M213" i="37"/>
  <c r="C216" i="37"/>
  <c r="B204" i="37"/>
  <c r="C206" i="37"/>
  <c r="D192" i="37"/>
  <c r="C121" i="37"/>
  <c r="E250" i="37"/>
  <c r="M233" i="37"/>
  <c r="E220" i="37"/>
  <c r="B229" i="37"/>
  <c r="E146" i="37"/>
  <c r="C137" i="37"/>
  <c r="C124" i="37"/>
  <c r="M265" i="37"/>
  <c r="B270" i="37"/>
  <c r="C163" i="37"/>
  <c r="M166" i="37"/>
  <c r="C150" i="37"/>
  <c r="M153" i="37"/>
  <c r="M140" i="37"/>
  <c r="E185" i="37"/>
  <c r="M169" i="37"/>
  <c r="E172" i="37"/>
  <c r="C176" i="37"/>
  <c r="E159" i="37"/>
  <c r="M203" i="37"/>
  <c r="E188" i="37"/>
  <c r="C192" i="37"/>
  <c r="C179" i="37"/>
  <c r="M182" i="37"/>
  <c r="E222" i="37"/>
  <c r="E224" i="37"/>
  <c r="B206" i="37"/>
  <c r="D208" i="37"/>
  <c r="M195" i="37"/>
  <c r="M228" i="37"/>
  <c r="E236" i="37"/>
  <c r="B216" i="37"/>
  <c r="D218" i="37"/>
  <c r="D220" i="37"/>
  <c r="D257" i="37"/>
  <c r="E261" i="37"/>
  <c r="M269" i="37"/>
  <c r="D250" i="37"/>
  <c r="E226" i="37"/>
  <c r="B176" i="37"/>
  <c r="D172" i="37"/>
  <c r="D159" i="37"/>
  <c r="B163" i="37"/>
  <c r="B150" i="37"/>
  <c r="E210" i="37"/>
  <c r="B192" i="37"/>
  <c r="D198" i="37"/>
  <c r="D185" i="37"/>
  <c r="B189" i="37"/>
  <c r="M215" i="37"/>
  <c r="C218" i="37"/>
  <c r="C220" i="37"/>
  <c r="M205" i="37"/>
  <c r="C208" i="37"/>
  <c r="D241" i="37"/>
  <c r="C222" i="37"/>
  <c r="D224" i="37"/>
  <c r="D226" i="37"/>
  <c r="D231" i="37"/>
  <c r="M149" i="37"/>
  <c r="E152" i="37"/>
  <c r="C250" i="37"/>
  <c r="C257" i="37"/>
  <c r="D236" i="37"/>
  <c r="E165" i="37"/>
  <c r="E168" i="37"/>
  <c r="C156" i="37"/>
  <c r="C159" i="37"/>
  <c r="C276" i="37"/>
  <c r="C185" i="37"/>
  <c r="M188" i="37"/>
  <c r="C172" i="37"/>
  <c r="M175" i="37"/>
  <c r="M162" i="37"/>
  <c r="E200" i="37"/>
  <c r="B208" i="37"/>
  <c r="E194" i="37"/>
  <c r="C198" i="37"/>
  <c r="E181" i="37"/>
  <c r="B222" i="37"/>
  <c r="C224" i="37"/>
  <c r="M226" i="37"/>
  <c r="D210" i="37"/>
  <c r="M217" i="37"/>
  <c r="B257" i="37"/>
  <c r="M231" i="37"/>
  <c r="M236" i="37"/>
  <c r="M241" i="37"/>
  <c r="B220" i="37"/>
  <c r="B271" i="37"/>
  <c r="D244" i="37"/>
  <c r="E247" i="37"/>
  <c r="M249" i="37"/>
  <c r="E253" i="37"/>
  <c r="D200" i="37"/>
  <c r="E202" i="37"/>
  <c r="B185" i="37"/>
  <c r="D262" i="37"/>
  <c r="E266" i="37"/>
  <c r="M207" i="37"/>
  <c r="C210" i="37"/>
  <c r="E212" i="37"/>
  <c r="D194" i="37"/>
  <c r="B198" i="37"/>
  <c r="C262" i="37"/>
  <c r="D266" i="37"/>
  <c r="E239" i="37"/>
  <c r="C244" i="37"/>
  <c r="M219" i="37"/>
  <c r="C97" i="37"/>
  <c r="M100" i="37"/>
  <c r="E90" i="37"/>
  <c r="E93" i="37"/>
  <c r="B254" i="37"/>
  <c r="M129" i="37"/>
  <c r="M113" i="37"/>
  <c r="E119" i="37"/>
  <c r="E106" i="37"/>
  <c r="C110" i="37"/>
  <c r="E145" i="37"/>
  <c r="E148" i="37"/>
  <c r="C136" i="37"/>
  <c r="C139" i="37"/>
  <c r="M126" i="37"/>
  <c r="E161" i="37"/>
  <c r="C165" i="37"/>
  <c r="C152" i="37"/>
  <c r="M155" i="37"/>
  <c r="M142" i="37"/>
  <c r="C178" i="37"/>
  <c r="M181" i="37"/>
  <c r="M184" i="37"/>
  <c r="M168" i="37"/>
  <c r="E174" i="37"/>
  <c r="C200" i="37"/>
  <c r="D202" i="37"/>
  <c r="E187" i="37"/>
  <c r="C191" i="37"/>
  <c r="C194" i="37"/>
  <c r="E229" i="37"/>
  <c r="E234" i="37"/>
  <c r="B210" i="37"/>
  <c r="D212" i="37"/>
  <c r="M197" i="37"/>
  <c r="D106" i="37"/>
  <c r="M253" i="37"/>
  <c r="M266" i="37"/>
  <c r="E271" i="37"/>
  <c r="D239" i="37"/>
  <c r="D145" i="37"/>
  <c r="B136" i="37"/>
  <c r="D119" i="37"/>
  <c r="B110" i="37"/>
  <c r="D103" i="37"/>
  <c r="B165" i="37"/>
  <c r="D158" i="37"/>
  <c r="D161" i="37"/>
  <c r="B149" i="37"/>
  <c r="B152" i="37"/>
  <c r="M199" i="37"/>
  <c r="D187" i="37"/>
  <c r="B191" i="37"/>
  <c r="D174" i="37"/>
  <c r="B178" i="37"/>
  <c r="C212" i="37"/>
  <c r="E214" i="37"/>
  <c r="C202" i="37"/>
  <c r="E204" i="37"/>
  <c r="M209" i="37"/>
  <c r="E216" i="37"/>
  <c r="B258" i="37"/>
  <c r="C234" i="37"/>
  <c r="C239" i="37"/>
  <c r="D229" i="37"/>
  <c r="C229" i="37"/>
  <c r="E237" i="37"/>
  <c r="E227" i="37"/>
  <c r="M271" i="37"/>
  <c r="C214" i="37"/>
  <c r="D70" i="37"/>
  <c r="B74" i="37"/>
  <c r="D267" i="37"/>
  <c r="E242" i="37"/>
  <c r="C251" i="37"/>
  <c r="B103" i="37"/>
  <c r="D86" i="37"/>
  <c r="B90" i="37"/>
  <c r="B77" i="37"/>
  <c r="D83" i="37"/>
  <c r="D138" i="37"/>
  <c r="B129" i="37"/>
  <c r="B116" i="37"/>
  <c r="D112" i="37"/>
  <c r="D99" i="37"/>
  <c r="D167" i="37"/>
  <c r="D154" i="37"/>
  <c r="B158" i="37"/>
  <c r="D141" i="37"/>
  <c r="B145" i="37"/>
  <c r="B187" i="37"/>
  <c r="D193" i="37"/>
  <c r="D180" i="37"/>
  <c r="B184" i="37"/>
  <c r="B171" i="37"/>
  <c r="D223" i="37"/>
  <c r="E225" i="37"/>
  <c r="E206" i="37"/>
  <c r="D196" i="37"/>
  <c r="C204" i="37"/>
  <c r="C227" i="37"/>
  <c r="E232" i="37"/>
  <c r="D237" i="37"/>
  <c r="D216" i="37"/>
  <c r="E218" i="37"/>
  <c r="E258" i="37"/>
  <c r="D263" i="37"/>
  <c r="D242" i="37"/>
  <c r="E245" i="37"/>
  <c r="B248" i="37"/>
  <c r="M34" i="37"/>
  <c r="E37" i="37"/>
  <c r="E24" i="37"/>
  <c r="C28" i="37"/>
  <c r="D254" i="37"/>
  <c r="C57" i="37"/>
  <c r="C41" i="37"/>
  <c r="C44" i="37"/>
  <c r="M47" i="37"/>
  <c r="M31" i="37"/>
  <c r="C83" i="37"/>
  <c r="C70" i="37"/>
  <c r="M60" i="37"/>
  <c r="E50" i="37"/>
  <c r="E53" i="37"/>
  <c r="M102" i="37"/>
  <c r="M86" i="37"/>
  <c r="M89" i="37"/>
  <c r="E92" i="37"/>
  <c r="E79" i="37"/>
  <c r="E105" i="37"/>
  <c r="E108" i="37"/>
  <c r="C112" i="37"/>
  <c r="C96" i="37"/>
  <c r="C99" i="37"/>
  <c r="E147" i="37"/>
  <c r="E134" i="37"/>
  <c r="C138" i="37"/>
  <c r="M115" i="37"/>
  <c r="E121" i="37"/>
  <c r="C151" i="37"/>
  <c r="C154" i="37"/>
  <c r="M157" i="37"/>
  <c r="M141" i="37"/>
  <c r="M144" i="37"/>
  <c r="M170" i="37"/>
  <c r="E176" i="37"/>
  <c r="E160" i="37"/>
  <c r="E163" i="37"/>
  <c r="C167" i="37"/>
  <c r="M196" i="37"/>
  <c r="E189" i="37"/>
  <c r="C193" i="37"/>
  <c r="C180" i="37"/>
  <c r="M183" i="37"/>
  <c r="B219" i="37"/>
  <c r="C221" i="37"/>
  <c r="C223" i="37"/>
  <c r="D225" i="37"/>
  <c r="D206" i="37"/>
  <c r="M247" i="37"/>
  <c r="B227" i="37"/>
  <c r="D232" i="37"/>
  <c r="C237" i="37"/>
  <c r="M216" i="37"/>
  <c r="B96" i="37"/>
  <c r="M258" i="37"/>
  <c r="C263" i="37"/>
  <c r="C242" i="37"/>
  <c r="D245" i="37"/>
  <c r="B112" i="37"/>
  <c r="D118" i="37"/>
  <c r="D105" i="37"/>
  <c r="B109" i="37"/>
  <c r="D92" i="37"/>
  <c r="D147" i="37"/>
  <c r="B151" i="37"/>
  <c r="B138" i="37"/>
  <c r="D134" i="37"/>
  <c r="D121" i="37"/>
  <c r="B180" i="37"/>
  <c r="B167" i="37"/>
  <c r="D173" i="37"/>
  <c r="D160" i="37"/>
  <c r="B164" i="37"/>
  <c r="E208" i="37"/>
  <c r="B193" i="37"/>
  <c r="E198" i="37"/>
  <c r="D189" i="37"/>
  <c r="D176" i="37"/>
  <c r="C225" i="37"/>
  <c r="B232" i="37"/>
  <c r="M218" i="37"/>
  <c r="M220" i="37"/>
  <c r="M206" i="37"/>
  <c r="E272" i="37"/>
  <c r="C79" i="37"/>
  <c r="E255" i="37"/>
  <c r="B245" i="37"/>
  <c r="B223" i="37"/>
  <c r="C92" i="37"/>
  <c r="M82" i="37"/>
  <c r="E85" i="37"/>
  <c r="E88" i="37"/>
  <c r="C268" i="37"/>
  <c r="M124" i="37"/>
  <c r="M108" i="37"/>
  <c r="E114" i="37"/>
  <c r="E101" i="37"/>
  <c r="C105" i="37"/>
  <c r="E140" i="37"/>
  <c r="E143" i="37"/>
  <c r="C134" i="37"/>
  <c r="C118" i="37"/>
  <c r="M121" i="37"/>
  <c r="E156" i="37"/>
  <c r="C160" i="37"/>
  <c r="C147" i="37"/>
  <c r="M150" i="37"/>
  <c r="M137" i="37"/>
  <c r="C173" i="37"/>
  <c r="M176" i="37"/>
  <c r="M179" i="37"/>
  <c r="M163" i="37"/>
  <c r="E169" i="37"/>
  <c r="E195" i="37"/>
  <c r="B199" i="37"/>
  <c r="E182" i="37"/>
  <c r="C186" i="37"/>
  <c r="C189" i="37"/>
  <c r="B225" i="37"/>
  <c r="E230" i="37"/>
  <c r="C211" i="37"/>
  <c r="B209" i="37"/>
  <c r="M192" i="37"/>
  <c r="M244" i="37"/>
  <c r="E251" i="37"/>
  <c r="D255" i="37"/>
  <c r="E235" i="37"/>
  <c r="M222" i="37"/>
  <c r="B118" i="37"/>
  <c r="B105" i="37"/>
  <c r="D98" i="37"/>
  <c r="D101" i="37"/>
  <c r="B92" i="37"/>
  <c r="D156" i="37"/>
  <c r="D140" i="37"/>
  <c r="B144" i="37"/>
  <c r="B147" i="37"/>
  <c r="D114" i="37"/>
  <c r="D182" i="37"/>
  <c r="D169" i="37"/>
  <c r="B173" i="37"/>
  <c r="B160" i="37"/>
  <c r="D153" i="37"/>
  <c r="D213" i="37"/>
  <c r="D195" i="37"/>
  <c r="M198" i="37"/>
  <c r="C201" i="37"/>
  <c r="B186" i="37"/>
  <c r="C230" i="37"/>
  <c r="B235" i="37"/>
  <c r="E215" i="37"/>
  <c r="M208" i="37"/>
  <c r="B211" i="37"/>
  <c r="C98" i="37"/>
  <c r="C85" i="37"/>
  <c r="M88" i="37"/>
  <c r="C255" i="37"/>
  <c r="M224" i="37"/>
  <c r="C114" i="37"/>
  <c r="M101" i="37"/>
  <c r="M104" i="37"/>
  <c r="E107" i="37"/>
  <c r="E94" i="37"/>
  <c r="C140" i="37"/>
  <c r="M143" i="37"/>
  <c r="M117" i="37"/>
  <c r="E120" i="37"/>
  <c r="C111" i="37"/>
  <c r="M159" i="37"/>
  <c r="E162" i="37"/>
  <c r="E149" i="37"/>
  <c r="C153" i="37"/>
  <c r="E136" i="37"/>
  <c r="E175" i="37"/>
  <c r="E178" i="37"/>
  <c r="C166" i="37"/>
  <c r="C169" i="37"/>
  <c r="M156" i="37"/>
  <c r="E191" i="37"/>
  <c r="C195" i="37"/>
  <c r="C182" i="37"/>
  <c r="M185" i="37"/>
  <c r="M172" i="37"/>
  <c r="M210" i="37"/>
  <c r="C213" i="37"/>
  <c r="D215" i="37"/>
  <c r="B201" i="37"/>
  <c r="D203" i="37"/>
  <c r="E248" i="37"/>
  <c r="E259" i="37"/>
  <c r="M234" i="37"/>
  <c r="M239" i="37"/>
  <c r="B230" i="37"/>
  <c r="B43" i="37"/>
  <c r="D39" i="37"/>
  <c r="D23" i="37"/>
  <c r="D26" i="37"/>
  <c r="B30" i="37"/>
  <c r="D81" i="37"/>
  <c r="B85" i="37"/>
  <c r="B69" i="37"/>
  <c r="D52" i="37"/>
  <c r="B56" i="37"/>
  <c r="D107" i="37"/>
  <c r="B111" i="37"/>
  <c r="B98" i="37"/>
  <c r="D94" i="37"/>
  <c r="D78" i="37"/>
  <c r="D149" i="37"/>
  <c r="D136" i="37"/>
  <c r="B140" i="37"/>
  <c r="B124" i="37"/>
  <c r="D120" i="37"/>
  <c r="B182" i="37"/>
  <c r="D175" i="37"/>
  <c r="D162" i="37"/>
  <c r="B166" i="37"/>
  <c r="B153" i="37"/>
  <c r="E205" i="37"/>
  <c r="D188" i="37"/>
  <c r="D191" i="37"/>
  <c r="B195" i="37"/>
  <c r="B179" i="37"/>
  <c r="E217" i="37"/>
  <c r="M212" i="37"/>
  <c r="C215" i="37"/>
  <c r="M200" i="37"/>
  <c r="C203" i="37"/>
  <c r="B249" i="37"/>
  <c r="D228" i="37"/>
  <c r="M229" i="37"/>
  <c r="D233" i="37"/>
  <c r="D238" i="37"/>
  <c r="M81" i="37"/>
  <c r="E264" i="37"/>
  <c r="B274" i="37"/>
  <c r="C243" i="37"/>
  <c r="C246" i="37"/>
  <c r="M84" i="37"/>
  <c r="E87" i="37"/>
  <c r="C91" i="37"/>
  <c r="E74" i="37"/>
  <c r="C78" i="37"/>
  <c r="E103" i="37"/>
  <c r="C107" i="37"/>
  <c r="C94" i="37"/>
  <c r="M97" i="37"/>
  <c r="E100" i="37"/>
  <c r="E129" i="37"/>
  <c r="M136" i="37"/>
  <c r="C120" i="37"/>
  <c r="M110" i="37"/>
  <c r="E116" i="37"/>
  <c r="M152" i="37"/>
  <c r="E155" i="37"/>
  <c r="M139" i="37"/>
  <c r="E142" i="37"/>
  <c r="C146" i="37"/>
  <c r="M165" i="37"/>
  <c r="E171" i="37"/>
  <c r="E158" i="37"/>
  <c r="C162" i="37"/>
  <c r="C149" i="37"/>
  <c r="E184" i="37"/>
  <c r="C188" i="37"/>
  <c r="M191" i="37"/>
  <c r="C175" i="37"/>
  <c r="M178" i="37"/>
  <c r="B203" i="37"/>
  <c r="D205" i="37"/>
  <c r="E207" i="37"/>
  <c r="M194" i="37"/>
  <c r="E197" i="37"/>
  <c r="C228" i="37"/>
  <c r="C233" i="37"/>
  <c r="B215" i="37"/>
  <c r="D217" i="37"/>
  <c r="E219" i="37"/>
  <c r="M268" i="37"/>
  <c r="M273" i="37"/>
  <c r="C238" i="37"/>
  <c r="B243" i="37"/>
  <c r="B246" i="37"/>
  <c r="B104" i="37"/>
  <c r="B91" i="37"/>
  <c r="D87" i="37"/>
  <c r="D74" i="37"/>
  <c r="B78" i="37"/>
  <c r="D116" i="37"/>
  <c r="B120" i="37"/>
  <c r="B107" i="37"/>
  <c r="D113" i="37"/>
  <c r="D100" i="37"/>
  <c r="D155" i="37"/>
  <c r="B159" i="37"/>
  <c r="B146" i="37"/>
  <c r="D142" i="37"/>
  <c r="D129" i="37"/>
  <c r="B188" i="37"/>
  <c r="D171" i="37"/>
  <c r="B175" i="37"/>
  <c r="B162" i="37"/>
  <c r="D168" i="37"/>
  <c r="M202" i="37"/>
  <c r="C205" i="37"/>
  <c r="D207" i="37"/>
  <c r="D197" i="37"/>
  <c r="D184" i="37"/>
  <c r="E221" i="37"/>
  <c r="E223" i="37"/>
  <c r="B228" i="37"/>
  <c r="M214" i="37"/>
  <c r="C217" i="37"/>
  <c r="M245" i="37"/>
  <c r="E252" i="37"/>
  <c r="B233" i="37"/>
  <c r="M237" i="37"/>
  <c r="D219" i="37"/>
  <c r="E109" i="37"/>
  <c r="C113" i="37"/>
  <c r="C100" i="37"/>
  <c r="M103" i="37"/>
  <c r="M242" i="37"/>
  <c r="C142" i="37"/>
  <c r="C126" i="37"/>
  <c r="C129" i="37"/>
  <c r="M116" i="37"/>
  <c r="M119" i="37"/>
  <c r="M158" i="37"/>
  <c r="M145" i="37"/>
  <c r="E151" i="37"/>
  <c r="E135" i="37"/>
  <c r="E138" i="37"/>
  <c r="M174" i="37"/>
  <c r="E177" i="37"/>
  <c r="E164" i="37"/>
  <c r="C168" i="37"/>
  <c r="C155" i="37"/>
  <c r="C197" i="37"/>
  <c r="C181" i="37"/>
  <c r="C184" i="37"/>
  <c r="M187" i="37"/>
  <c r="M171" i="37"/>
  <c r="B217" i="37"/>
  <c r="M204" i="37"/>
  <c r="C207" i="37"/>
  <c r="E190" i="37"/>
  <c r="E193" i="37"/>
  <c r="D221" i="37"/>
  <c r="B224" i="37"/>
  <c r="C226" i="37"/>
  <c r="M227" i="37"/>
  <c r="E209" i="37"/>
  <c r="C252" i="37"/>
  <c r="C256" i="37"/>
  <c r="M232" i="37"/>
  <c r="C241" i="37"/>
  <c r="C219" i="37"/>
  <c r="B126" i="37"/>
  <c r="D109" i="37"/>
  <c r="B113" i="37"/>
  <c r="D283" i="37"/>
  <c r="D249" i="37"/>
  <c r="D148" i="37"/>
  <c r="D151" i="37"/>
  <c r="D135" i="37"/>
  <c r="B139" i="37"/>
  <c r="B142" i="37"/>
  <c r="B181" i="37"/>
  <c r="D177" i="37"/>
  <c r="D164" i="37"/>
  <c r="B168" i="37"/>
  <c r="B155" i="37"/>
  <c r="E199" i="37"/>
  <c r="B207" i="37"/>
  <c r="D190" i="37"/>
  <c r="B194" i="37"/>
  <c r="B197" i="37"/>
  <c r="M221" i="37"/>
  <c r="M223" i="37"/>
  <c r="M225" i="37"/>
  <c r="C209" i="37"/>
  <c r="E211" i="37"/>
  <c r="B252" i="37"/>
  <c r="M255" i="37"/>
  <c r="C231" i="37"/>
  <c r="C236" i="37"/>
  <c r="B241" i="37"/>
  <c r="M112" i="37"/>
  <c r="E115" i="37"/>
  <c r="E118" i="37"/>
  <c r="C283" i="37"/>
  <c r="C249" i="37"/>
  <c r="M151" i="37"/>
  <c r="M154" i="37"/>
  <c r="M138" i="37"/>
  <c r="E144" i="37"/>
  <c r="C135" i="37"/>
  <c r="E173" i="37"/>
  <c r="E157" i="37"/>
  <c r="C161" i="37"/>
  <c r="C164" i="37"/>
  <c r="C148" i="37"/>
  <c r="C190" i="37"/>
  <c r="C177" i="37"/>
  <c r="M180" i="37"/>
  <c r="M167" i="37"/>
  <c r="E170" i="37"/>
  <c r="M230" i="37"/>
  <c r="D211" i="37"/>
  <c r="M193" i="37"/>
  <c r="D199" i="37"/>
  <c r="E186" i="37"/>
  <c r="C275" i="37"/>
  <c r="B119" i="37"/>
  <c r="B261" i="37"/>
  <c r="C265" i="37"/>
  <c r="B236" i="37"/>
  <c r="D157" i="37"/>
  <c r="B161" i="37"/>
  <c r="B148" i="37"/>
  <c r="D144" i="37"/>
  <c r="B135" i="37"/>
  <c r="B190" i="37"/>
  <c r="B177" i="37"/>
  <c r="D183" i="37"/>
  <c r="D170" i="37"/>
  <c r="B174" i="37"/>
  <c r="E213" i="37"/>
  <c r="M211" i="37"/>
  <c r="C199" i="37"/>
  <c r="E201" i="37"/>
  <c r="D186" i="37"/>
  <c r="M63" i="37"/>
  <c r="B253" i="37"/>
  <c r="M260" i="37"/>
  <c r="M243" i="37"/>
  <c r="E246" i="37"/>
  <c r="M79" i="37"/>
  <c r="E82" i="37"/>
  <c r="E69" i="37"/>
  <c r="D270" i="37"/>
  <c r="M274" i="37"/>
  <c r="M92" i="37"/>
  <c r="E98" i="37"/>
  <c r="C86" i="37"/>
  <c r="C89" i="37"/>
  <c r="M76" i="37"/>
  <c r="E111" i="37"/>
  <c r="C115" i="37"/>
  <c r="M118" i="37"/>
  <c r="C102" i="37"/>
  <c r="M105" i="37"/>
  <c r="C141" i="37"/>
  <c r="C144" i="37"/>
  <c r="M134" i="37"/>
  <c r="E137" i="37"/>
  <c r="E124" i="37"/>
  <c r="C157" i="37"/>
  <c r="M160" i="37"/>
  <c r="M147" i="37"/>
  <c r="E150" i="37"/>
  <c r="E153" i="37"/>
  <c r="E179" i="37"/>
  <c r="C183" i="37"/>
  <c r="E166" i="37"/>
  <c r="C170" i="37"/>
  <c r="M173" i="37"/>
  <c r="C196" i="37"/>
  <c r="M201" i="37"/>
  <c r="M186" i="37"/>
  <c r="M189" i="37"/>
  <c r="E192" i="37"/>
  <c r="E238" i="37"/>
  <c r="M246" i="37"/>
  <c r="E233" i="37"/>
  <c r="B214" i="37"/>
  <c r="E203" i="37"/>
  <c r="C270" i="37"/>
  <c r="D286" i="37"/>
  <c r="B200" i="37"/>
  <c r="M252" i="37"/>
  <c r="B266" i="37"/>
  <c r="D235" i="37"/>
  <c r="D222" i="37"/>
  <c r="B226" i="37"/>
  <c r="B213" i="37"/>
  <c r="D209" i="37"/>
  <c r="D248" i="37"/>
  <c r="D251" i="37"/>
  <c r="B255" i="37"/>
  <c r="B239" i="37"/>
  <c r="B242" i="37"/>
  <c r="B297" i="37"/>
  <c r="D290" i="37"/>
  <c r="B281" i="37"/>
  <c r="B268" i="37"/>
  <c r="D264" i="37"/>
  <c r="M319" i="37"/>
  <c r="B303" i="37"/>
  <c r="E305" i="37"/>
  <c r="M308" i="37"/>
  <c r="B294" i="37"/>
  <c r="D347" i="37"/>
  <c r="M333" i="37"/>
  <c r="D322" i="37"/>
  <c r="C328" i="37"/>
  <c r="E316" i="37"/>
  <c r="C364" i="37"/>
  <c r="C353" i="37"/>
  <c r="B359" i="37"/>
  <c r="E341" i="37"/>
  <c r="M344" i="37"/>
  <c r="C411" i="37"/>
  <c r="D392" i="37"/>
  <c r="M380" i="37"/>
  <c r="M376" i="37"/>
  <c r="M378" i="37"/>
  <c r="C444" i="37"/>
  <c r="B419" i="37"/>
  <c r="D421" i="37"/>
  <c r="B404" i="37"/>
  <c r="M405" i="37"/>
  <c r="E231" i="37"/>
  <c r="C235" i="37"/>
  <c r="D455" i="37"/>
  <c r="B467" i="37"/>
  <c r="M435" i="37"/>
  <c r="C248" i="37"/>
  <c r="M251" i="37"/>
  <c r="M254" i="37"/>
  <c r="M238" i="37"/>
  <c r="E244" i="37"/>
  <c r="E270" i="37"/>
  <c r="E273" i="37"/>
  <c r="E257" i="37"/>
  <c r="C261" i="37"/>
  <c r="C264" i="37"/>
  <c r="M293" i="37"/>
  <c r="E299" i="37"/>
  <c r="E286" i="37"/>
  <c r="C290" i="37"/>
  <c r="M267" i="37"/>
  <c r="E330" i="37"/>
  <c r="D316" i="37"/>
  <c r="M302" i="37"/>
  <c r="D305" i="37"/>
  <c r="C311" i="37"/>
  <c r="D341" i="37"/>
  <c r="C347" i="37"/>
  <c r="C336" i="37"/>
  <c r="C322" i="37"/>
  <c r="B328" i="37"/>
  <c r="D388" i="37"/>
  <c r="E366" i="37"/>
  <c r="B353" i="37"/>
  <c r="E355" i="37"/>
  <c r="M358" i="37"/>
  <c r="B290" i="37"/>
  <c r="C455" i="37"/>
  <c r="M418" i="37"/>
  <c r="M403" i="37"/>
  <c r="M410" i="37"/>
  <c r="B322" i="37"/>
  <c r="E324" i="37"/>
  <c r="B311" i="37"/>
  <c r="D299" i="37"/>
  <c r="C305" i="37"/>
  <c r="B336" i="37"/>
  <c r="M341" i="37"/>
  <c r="M327" i="37"/>
  <c r="C330" i="37"/>
  <c r="M316" i="37"/>
  <c r="D355" i="37"/>
  <c r="C361" i="37"/>
  <c r="B347" i="37"/>
  <c r="E349" i="37"/>
  <c r="M352" i="37"/>
  <c r="C386" i="37"/>
  <c r="C388" i="37"/>
  <c r="E383" i="37"/>
  <c r="D366" i="37"/>
  <c r="E368" i="37"/>
  <c r="E450" i="37"/>
  <c r="B455" i="37"/>
  <c r="C461" i="37"/>
  <c r="E425" i="37"/>
  <c r="E416" i="37"/>
  <c r="M289" i="37"/>
  <c r="E292" i="37"/>
  <c r="C296" i="37"/>
  <c r="M286" i="37"/>
  <c r="D445" i="37"/>
  <c r="M310" i="37"/>
  <c r="D313" i="37"/>
  <c r="C299" i="37"/>
  <c r="B305" i="37"/>
  <c r="E307" i="37"/>
  <c r="B330" i="37"/>
  <c r="E332" i="37"/>
  <c r="M335" i="37"/>
  <c r="E318" i="37"/>
  <c r="D324" i="37"/>
  <c r="B361" i="37"/>
  <c r="D349" i="37"/>
  <c r="C355" i="37"/>
  <c r="D338" i="37"/>
  <c r="E343" i="37"/>
  <c r="E381" i="37"/>
  <c r="B384" i="37"/>
  <c r="B386" i="37"/>
  <c r="M366" i="37"/>
  <c r="M368" i="37"/>
  <c r="E413" i="37"/>
  <c r="D416" i="37"/>
  <c r="E422" i="37"/>
  <c r="M401" i="37"/>
  <c r="B388" i="37"/>
  <c r="D292" i="37"/>
  <c r="B283" i="37"/>
  <c r="D450" i="37"/>
  <c r="M454" i="37"/>
  <c r="B425" i="37"/>
  <c r="M304" i="37"/>
  <c r="D307" i="37"/>
  <c r="C313" i="37"/>
  <c r="B296" i="37"/>
  <c r="E301" i="37"/>
  <c r="C324" i="37"/>
  <c r="E326" i="37"/>
  <c r="M329" i="37"/>
  <c r="D332" i="37"/>
  <c r="B319" i="37"/>
  <c r="E357" i="37"/>
  <c r="M360" i="37"/>
  <c r="B344" i="37"/>
  <c r="C349" i="37"/>
  <c r="C338" i="37"/>
  <c r="M387" i="37"/>
  <c r="D373" i="37"/>
  <c r="M381" i="37"/>
  <c r="D363" i="37"/>
  <c r="B355" i="37"/>
  <c r="E395" i="37"/>
  <c r="E397" i="37"/>
  <c r="E399" i="37"/>
  <c r="M383" i="37"/>
  <c r="M385" i="37"/>
  <c r="D422" i="37"/>
  <c r="B433" i="37"/>
  <c r="B409" i="37"/>
  <c r="M413" i="37"/>
  <c r="M416" i="37"/>
  <c r="M282" i="37"/>
  <c r="E285" i="37"/>
  <c r="E288" i="37"/>
  <c r="M467" i="37"/>
  <c r="B446" i="37"/>
  <c r="E315" i="37"/>
  <c r="D301" i="37"/>
  <c r="C307" i="37"/>
  <c r="C292" i="37"/>
  <c r="M295" i="37"/>
  <c r="M343" i="37"/>
  <c r="C332" i="37"/>
  <c r="M318" i="37"/>
  <c r="D326" i="37"/>
  <c r="B313" i="37"/>
  <c r="E365" i="37"/>
  <c r="E351" i="37"/>
  <c r="M354" i="37"/>
  <c r="B338" i="37"/>
  <c r="E340" i="37"/>
  <c r="D397" i="37"/>
  <c r="C373" i="37"/>
  <c r="E375" i="37"/>
  <c r="D357" i="37"/>
  <c r="C363" i="37"/>
  <c r="E419" i="37"/>
  <c r="C422" i="37"/>
  <c r="D399" i="37"/>
  <c r="D393" i="37"/>
  <c r="D395" i="37"/>
  <c r="B221" i="37"/>
  <c r="M445" i="37"/>
  <c r="B451" i="37"/>
  <c r="B462" i="37"/>
  <c r="C441" i="37"/>
  <c r="D246" i="37"/>
  <c r="B250" i="37"/>
  <c r="B234" i="37"/>
  <c r="B237" i="37"/>
  <c r="D230" i="37"/>
  <c r="D272" i="37"/>
  <c r="B276" i="37"/>
  <c r="B263" i="37"/>
  <c r="D259" i="37"/>
  <c r="D243" i="37"/>
  <c r="D298" i="37"/>
  <c r="M301" i="37"/>
  <c r="B289" i="37"/>
  <c r="B292" i="37"/>
  <c r="D285" i="37"/>
  <c r="C321" i="37"/>
  <c r="B307" i="37"/>
  <c r="E309" i="37"/>
  <c r="M312" i="37"/>
  <c r="D315" i="37"/>
  <c r="M337" i="37"/>
  <c r="D340" i="37"/>
  <c r="M326" i="37"/>
  <c r="B332" i="37"/>
  <c r="E334" i="37"/>
  <c r="B373" i="37"/>
  <c r="C357" i="37"/>
  <c r="M362" i="37"/>
  <c r="C346" i="37"/>
  <c r="D351" i="37"/>
  <c r="C395" i="37"/>
  <c r="D375" i="37"/>
  <c r="E377" i="37"/>
  <c r="D379" i="37"/>
  <c r="D365" i="37"/>
  <c r="D419" i="37"/>
  <c r="C397" i="37"/>
  <c r="E406" i="37"/>
  <c r="C391" i="37"/>
  <c r="C393" i="37"/>
  <c r="E265" i="37"/>
  <c r="E268" i="37"/>
  <c r="C259" i="37"/>
  <c r="B441" i="37"/>
  <c r="B422" i="37"/>
  <c r="E281" i="37"/>
  <c r="C285" i="37"/>
  <c r="C272" i="37"/>
  <c r="M275" i="37"/>
  <c r="M262" i="37"/>
  <c r="C315" i="37"/>
  <c r="C298" i="37"/>
  <c r="E303" i="37"/>
  <c r="M288" i="37"/>
  <c r="E294" i="37"/>
  <c r="E328" i="37"/>
  <c r="D334" i="37"/>
  <c r="M320" i="37"/>
  <c r="D323" i="37"/>
  <c r="D309" i="37"/>
  <c r="B357" i="37"/>
  <c r="E359" i="37"/>
  <c r="B346" i="37"/>
  <c r="M351" i="37"/>
  <c r="C340" i="37"/>
  <c r="C375" i="37"/>
  <c r="D377" i="37"/>
  <c r="C365" i="37"/>
  <c r="E367" i="37"/>
  <c r="M372" i="37"/>
  <c r="E404" i="37"/>
  <c r="D406" i="37"/>
  <c r="B391" i="37"/>
  <c r="B393" i="37"/>
  <c r="B395" i="37"/>
  <c r="M425" i="37"/>
  <c r="E437" i="37"/>
  <c r="E411" i="37"/>
  <c r="C419" i="37"/>
  <c r="B397" i="37"/>
  <c r="B272" i="37"/>
  <c r="D265" i="37"/>
  <c r="D252" i="37"/>
  <c r="B256" i="37"/>
  <c r="E451" i="37"/>
  <c r="D294" i="37"/>
  <c r="B298" i="37"/>
  <c r="B285" i="37"/>
  <c r="D281" i="37"/>
  <c r="B269" i="37"/>
  <c r="B329" i="37"/>
  <c r="B315" i="37"/>
  <c r="E317" i="37"/>
  <c r="B304" i="37"/>
  <c r="C309" i="37"/>
  <c r="M345" i="37"/>
  <c r="D348" i="37"/>
  <c r="C334" i="37"/>
  <c r="B340" i="37"/>
  <c r="C323" i="37"/>
  <c r="B365" i="37"/>
  <c r="D367" i="37"/>
  <c r="E353" i="37"/>
  <c r="C359" i="37"/>
  <c r="E342" i="37"/>
  <c r="M394" i="37"/>
  <c r="E400" i="37"/>
  <c r="E402" i="37"/>
  <c r="B375" i="37"/>
  <c r="C377" i="37"/>
  <c r="M406" i="37"/>
  <c r="E409" i="37"/>
  <c r="D411" i="37"/>
  <c r="C414" i="37"/>
  <c r="M392" i="37"/>
  <c r="E274" i="37"/>
  <c r="D437" i="37"/>
  <c r="E441" i="37"/>
  <c r="D451" i="37"/>
  <c r="D404" i="37"/>
  <c r="C294" i="37"/>
  <c r="M297" i="37"/>
  <c r="M281" i="37"/>
  <c r="M284" i="37"/>
  <c r="E287" i="37"/>
  <c r="M314" i="37"/>
  <c r="C317" i="37"/>
  <c r="E300" i="37"/>
  <c r="M303" i="37"/>
  <c r="C291" i="37"/>
  <c r="M328" i="37"/>
  <c r="E336" i="37"/>
  <c r="B323" i="37"/>
  <c r="E325" i="37"/>
  <c r="E311" i="37"/>
  <c r="M364" i="37"/>
  <c r="C348" i="37"/>
  <c r="B354" i="37"/>
  <c r="M339" i="37"/>
  <c r="D342" i="37"/>
  <c r="B377" i="37"/>
  <c r="C367" i="37"/>
  <c r="E369" i="37"/>
  <c r="M374" i="37"/>
  <c r="E361" i="37"/>
  <c r="D400" i="37"/>
  <c r="D402" i="37"/>
  <c r="C404" i="37"/>
  <c r="D409" i="37"/>
  <c r="M388" i="37"/>
  <c r="D258" i="37"/>
  <c r="M451" i="37"/>
  <c r="D463" i="37"/>
  <c r="M411" i="37"/>
  <c r="E420" i="37"/>
  <c r="D287" i="37"/>
  <c r="B291" i="37"/>
  <c r="D274" i="37"/>
  <c r="D261" i="37"/>
  <c r="B265" i="37"/>
  <c r="E319" i="37"/>
  <c r="M322" i="37"/>
  <c r="C306" i="37"/>
  <c r="D311" i="37"/>
  <c r="D300" i="37"/>
  <c r="D336" i="37"/>
  <c r="C342" i="37"/>
  <c r="D325" i="37"/>
  <c r="C331" i="37"/>
  <c r="B317" i="37"/>
  <c r="M353" i="37"/>
  <c r="C356" i="37"/>
  <c r="D361" i="37"/>
  <c r="B348" i="37"/>
  <c r="E350" i="37"/>
  <c r="E386" i="37"/>
  <c r="E380" i="37"/>
  <c r="E382" i="37"/>
  <c r="B367" i="37"/>
  <c r="D369" i="37"/>
  <c r="C409" i="37"/>
  <c r="E417" i="37"/>
  <c r="C400" i="37"/>
  <c r="C402" i="37"/>
  <c r="E384" i="37"/>
  <c r="M235" i="37"/>
  <c r="B464" i="37"/>
  <c r="D442" i="37"/>
  <c r="B420" i="37"/>
  <c r="E407" i="37"/>
  <c r="E254" i="37"/>
  <c r="E241" i="37"/>
  <c r="C245" i="37"/>
  <c r="E228" i="37"/>
  <c r="C232" i="37"/>
  <c r="E267" i="37"/>
  <c r="C271" i="37"/>
  <c r="C258" i="37"/>
  <c r="M261" i="37"/>
  <c r="M248" i="37"/>
  <c r="E283" i="37"/>
  <c r="C287" i="37"/>
  <c r="M290" i="37"/>
  <c r="C274" i="37"/>
  <c r="M264" i="37"/>
  <c r="E313" i="37"/>
  <c r="D319" i="37"/>
  <c r="B306" i="37"/>
  <c r="E296" i="37"/>
  <c r="C300" i="37"/>
  <c r="M347" i="37"/>
  <c r="B331" i="37"/>
  <c r="M336" i="37"/>
  <c r="C325" i="37"/>
  <c r="M311" i="37"/>
  <c r="M361" i="37"/>
  <c r="D350" i="37"/>
  <c r="B356" i="37"/>
  <c r="B342" i="37"/>
  <c r="E344" i="37"/>
  <c r="D380" i="37"/>
  <c r="D382" i="37"/>
  <c r="D384" i="37"/>
  <c r="D386" i="37"/>
  <c r="C369" i="37"/>
  <c r="C423" i="37"/>
  <c r="B402" i="37"/>
  <c r="C407" i="37"/>
  <c r="C398" i="37"/>
  <c r="B400" i="37"/>
  <c r="B438" i="37"/>
  <c r="C442" i="37"/>
  <c r="D447" i="37"/>
  <c r="C417" i="37"/>
  <c r="M419" i="37"/>
  <c r="E302" i="37"/>
  <c r="B287" i="37"/>
  <c r="D293" i="37"/>
  <c r="B284" i="37"/>
  <c r="E457" i="37"/>
  <c r="C319" i="37"/>
  <c r="M305" i="37"/>
  <c r="D308" i="37"/>
  <c r="D296" i="37"/>
  <c r="B300" i="37"/>
  <c r="E338" i="37"/>
  <c r="B325" i="37"/>
  <c r="E327" i="37"/>
  <c r="M330" i="37"/>
  <c r="B314" i="37"/>
  <c r="M355" i="37"/>
  <c r="D358" i="37"/>
  <c r="D344" i="37"/>
  <c r="C350" i="37"/>
  <c r="D333" i="37"/>
  <c r="C384" i="37"/>
  <c r="C378" i="37"/>
  <c r="C380" i="37"/>
  <c r="E363" i="37"/>
  <c r="E352" i="37"/>
  <c r="B423" i="37"/>
  <c r="B407" i="37"/>
  <c r="M397" i="37"/>
  <c r="M399" i="37"/>
  <c r="C382" i="37"/>
  <c r="E260" i="37"/>
  <c r="B457" i="37"/>
  <c r="E464" i="37"/>
  <c r="B442" i="37"/>
  <c r="B452" i="37"/>
  <c r="E276" i="37"/>
  <c r="E263" i="37"/>
  <c r="C267" i="37"/>
  <c r="C254" i="37"/>
  <c r="M257" i="37"/>
  <c r="E289" i="37"/>
  <c r="C293" i="37"/>
  <c r="M296" i="37"/>
  <c r="M283" i="37"/>
  <c r="M270" i="37"/>
  <c r="C308" i="37"/>
  <c r="E310" i="37"/>
  <c r="M313" i="37"/>
  <c r="M299" i="37"/>
  <c r="D302" i="37"/>
  <c r="C344" i="37"/>
  <c r="D327" i="37"/>
  <c r="C333" i="37"/>
  <c r="E321" i="37"/>
  <c r="M324" i="37"/>
  <c r="C358" i="37"/>
  <c r="B364" i="37"/>
  <c r="M349" i="37"/>
  <c r="D352" i="37"/>
  <c r="B339" i="37"/>
  <c r="E415" i="37"/>
  <c r="B378" i="37"/>
  <c r="B380" i="37"/>
  <c r="B382" i="37"/>
  <c r="E373" i="37"/>
  <c r="D464" i="37"/>
  <c r="M422" i="37"/>
  <c r="D434" i="37"/>
  <c r="E438" i="37"/>
  <c r="E412" i="37"/>
  <c r="B251" i="37"/>
  <c r="D247" i="37"/>
  <c r="D234" i="37"/>
  <c r="B238" i="37"/>
  <c r="D458" i="37"/>
  <c r="D276" i="37"/>
  <c r="B267" i="37"/>
  <c r="D273" i="37"/>
  <c r="D260" i="37"/>
  <c r="B264" i="37"/>
  <c r="M307" i="37"/>
  <c r="D310" i="37"/>
  <c r="C302" i="37"/>
  <c r="D289" i="37"/>
  <c r="B293" i="37"/>
  <c r="E335" i="37"/>
  <c r="M338" i="37"/>
  <c r="C327" i="37"/>
  <c r="C316" i="37"/>
  <c r="D321" i="37"/>
  <c r="C352" i="37"/>
  <c r="B358" i="37"/>
  <c r="E360" i="37"/>
  <c r="E346" i="37"/>
  <c r="B333" i="37"/>
  <c r="B374" i="37"/>
  <c r="C376" i="37"/>
  <c r="M377" i="37"/>
  <c r="M379" i="37"/>
  <c r="M363" i="37"/>
  <c r="E393" i="37"/>
  <c r="B396" i="37"/>
  <c r="E387" i="37"/>
  <c r="E389" i="37"/>
  <c r="E391" i="37"/>
  <c r="B439" i="37"/>
  <c r="D448" i="37"/>
  <c r="D405" i="37"/>
  <c r="B412" i="37"/>
  <c r="D415" i="37"/>
  <c r="C260" i="37"/>
  <c r="E243" i="37"/>
  <c r="C247" i="37"/>
  <c r="M250" i="37"/>
  <c r="C464" i="37"/>
  <c r="C273" i="37"/>
  <c r="M276" i="37"/>
  <c r="M263" i="37"/>
  <c r="E269" i="37"/>
  <c r="E256" i="37"/>
  <c r="C289" i="37"/>
  <c r="M292" i="37"/>
  <c r="E295" i="37"/>
  <c r="E282" i="37"/>
  <c r="C286" i="37"/>
  <c r="C310" i="37"/>
  <c r="B316" i="37"/>
  <c r="E298" i="37"/>
  <c r="B302" i="37"/>
  <c r="E304" i="37"/>
  <c r="B327" i="37"/>
  <c r="E329" i="37"/>
  <c r="M332" i="37"/>
  <c r="D335" i="37"/>
  <c r="M321" i="37"/>
  <c r="D360" i="37"/>
  <c r="M346" i="37"/>
  <c r="B352" i="37"/>
  <c r="E354" i="37"/>
  <c r="C341" i="37"/>
  <c r="B394" i="37"/>
  <c r="M375" i="37"/>
  <c r="C366" i="37"/>
  <c r="M373" i="37"/>
  <c r="M357" i="37"/>
  <c r="D418" i="37"/>
  <c r="M404" i="37"/>
  <c r="D387" i="37"/>
  <c r="D389" i="37"/>
  <c r="D391" i="37"/>
  <c r="C448" i="37"/>
  <c r="B459" i="37"/>
  <c r="E435" i="37"/>
  <c r="M438" i="37"/>
  <c r="C415" i="37"/>
  <c r="D227" i="37"/>
  <c r="D214" i="37"/>
  <c r="B218" i="37"/>
  <c r="B205" i="37"/>
  <c r="D201" i="37"/>
  <c r="D253" i="37"/>
  <c r="D256" i="37"/>
  <c r="B244" i="37"/>
  <c r="B247" i="37"/>
  <c r="B231" i="37"/>
  <c r="B286" i="37"/>
  <c r="D282" i="37"/>
  <c r="D269" i="37"/>
  <c r="B273" i="37"/>
  <c r="B260" i="37"/>
  <c r="C304" i="37"/>
  <c r="B310" i="37"/>
  <c r="E312" i="37"/>
  <c r="D295" i="37"/>
  <c r="B299" i="37"/>
  <c r="B341" i="37"/>
  <c r="E323" i="37"/>
  <c r="D329" i="37"/>
  <c r="M315" i="37"/>
  <c r="D318" i="37"/>
  <c r="D368" i="37"/>
  <c r="D354" i="37"/>
  <c r="C360" i="37"/>
  <c r="E348" i="37"/>
  <c r="C335" i="37"/>
  <c r="M393" i="37"/>
  <c r="C387" i="37"/>
  <c r="C389" i="37"/>
  <c r="M391" i="37"/>
  <c r="B366" i="37"/>
  <c r="D435" i="37"/>
  <c r="M447" i="37"/>
  <c r="M417" i="37"/>
  <c r="E410" i="37"/>
  <c r="B415" i="37"/>
  <c r="C266" i="37"/>
  <c r="E249" i="37"/>
  <c r="C253" i="37"/>
  <c r="M256" i="37"/>
  <c r="M458" i="37"/>
  <c r="C269" i="37"/>
  <c r="M272" i="37"/>
  <c r="E275" i="37"/>
  <c r="M259" i="37"/>
  <c r="E262" i="37"/>
  <c r="C295" i="37"/>
  <c r="M298" i="37"/>
  <c r="M285" i="37"/>
  <c r="E291" i="37"/>
  <c r="C282" i="37"/>
  <c r="C329" i="37"/>
  <c r="C318" i="37"/>
  <c r="E306" i="37"/>
  <c r="M309" i="37"/>
  <c r="D312" i="37"/>
  <c r="B349" i="37"/>
  <c r="B335" i="37"/>
  <c r="E337" i="37"/>
  <c r="M340" i="37"/>
  <c r="B324" i="37"/>
  <c r="M365" i="37"/>
  <c r="C368" i="37"/>
  <c r="C354" i="37"/>
  <c r="B360" i="37"/>
  <c r="C343" i="37"/>
  <c r="M414" i="37"/>
  <c r="D403" i="37"/>
  <c r="C385" i="37"/>
  <c r="B387" i="37"/>
  <c r="E362" i="37"/>
  <c r="D275" i="37"/>
  <c r="C435" i="37"/>
  <c r="C421" i="37"/>
  <c r="D410" i="37"/>
  <c r="D413" i="37"/>
  <c r="D306" i="37"/>
  <c r="D291" i="37"/>
  <c r="B295" i="37"/>
  <c r="B282" i="37"/>
  <c r="D288" i="37"/>
  <c r="E320" i="37"/>
  <c r="M323" i="37"/>
  <c r="C312" i="37"/>
  <c r="B318" i="37"/>
  <c r="C301" i="37"/>
  <c r="B343" i="37"/>
  <c r="E345" i="37"/>
  <c r="E331" i="37"/>
  <c r="M334" i="37"/>
  <c r="D337" i="37"/>
  <c r="B368" i="37"/>
  <c r="M359" i="37"/>
  <c r="D362" i="37"/>
  <c r="M348" i="37"/>
  <c r="E356" i="37"/>
  <c r="D408" i="37"/>
  <c r="C410" i="37"/>
  <c r="E396" i="37"/>
  <c r="E398" i="37"/>
  <c r="M384" i="37"/>
  <c r="B435" i="37"/>
  <c r="C413" i="37"/>
  <c r="M420" i="37"/>
  <c r="C401" i="37"/>
  <c r="C403" i="37"/>
  <c r="E297" i="37"/>
  <c r="E284" i="37"/>
  <c r="C288" i="37"/>
  <c r="B449" i="37"/>
  <c r="E453" i="37"/>
  <c r="E314" i="37"/>
  <c r="B301" i="37"/>
  <c r="M306" i="37"/>
  <c r="M291" i="37"/>
  <c r="M294" i="37"/>
  <c r="D331" i="37"/>
  <c r="M317" i="37"/>
  <c r="D320" i="37"/>
  <c r="C326" i="37"/>
  <c r="B312" i="37"/>
  <c r="C351" i="37"/>
  <c r="C337" i="37"/>
  <c r="E339" i="37"/>
  <c r="M342" i="37"/>
  <c r="D345" i="37"/>
  <c r="M367" i="37"/>
  <c r="E372" i="37"/>
  <c r="E374" i="37"/>
  <c r="D356" i="37"/>
  <c r="C362" i="37"/>
  <c r="B401" i="37"/>
  <c r="C408" i="37"/>
  <c r="E394" i="37"/>
  <c r="D396" i="37"/>
  <c r="D383" i="37"/>
  <c r="B454" i="37"/>
  <c r="M434" i="37"/>
  <c r="B410" i="37"/>
  <c r="B413" i="37"/>
  <c r="B399" i="37"/>
  <c r="D271" i="37"/>
  <c r="B275" i="37"/>
  <c r="B262" i="37"/>
  <c r="D268" i="37"/>
  <c r="B259" i="37"/>
  <c r="D297" i="37"/>
  <c r="M300" i="37"/>
  <c r="D303" i="37"/>
  <c r="B288" i="37"/>
  <c r="D284" i="37"/>
  <c r="B326" i="37"/>
  <c r="M331" i="37"/>
  <c r="C320" i="37"/>
  <c r="E308" i="37"/>
  <c r="D314" i="37"/>
  <c r="M356" i="37"/>
  <c r="B362" i="37"/>
  <c r="C345" i="37"/>
  <c r="B351" i="37"/>
  <c r="D339" i="37"/>
  <c r="E378" i="37"/>
  <c r="C381" i="37"/>
  <c r="B383" i="37"/>
  <c r="E364" i="37"/>
  <c r="C372" i="37"/>
  <c r="M400" i="37"/>
  <c r="C406" i="37"/>
  <c r="C394" i="37"/>
  <c r="D374" i="37"/>
  <c r="E376" i="37"/>
  <c r="B408" i="37"/>
  <c r="M409" i="37"/>
  <c r="M412" i="37"/>
  <c r="M396" i="37"/>
  <c r="M398" i="37"/>
  <c r="E293" i="37"/>
  <c r="C281" i="37"/>
  <c r="C284" i="37"/>
  <c r="D460" i="37"/>
  <c r="E424" i="37"/>
  <c r="C314" i="37"/>
  <c r="C297" i="37"/>
  <c r="C303" i="37"/>
  <c r="M287" i="37"/>
  <c r="E290" i="37"/>
  <c r="D328" i="37"/>
  <c r="E333" i="37"/>
  <c r="B320" i="37"/>
  <c r="E322" i="37"/>
  <c r="B309" i="37"/>
  <c r="E347" i="37"/>
  <c r="M350" i="37"/>
  <c r="D353" i="37"/>
  <c r="C339" i="37"/>
  <c r="M325" i="37"/>
  <c r="B381" i="37"/>
  <c r="D364" i="37"/>
  <c r="M369" i="37"/>
  <c r="E358" i="37"/>
  <c r="B345" i="37"/>
  <c r="E403" i="37"/>
  <c r="B406" i="37"/>
  <c r="C374" i="37"/>
  <c r="D376" i="37"/>
  <c r="B379" i="37"/>
  <c r="D424" i="37"/>
  <c r="B436" i="37"/>
  <c r="M407" i="37"/>
  <c r="C416" i="37"/>
  <c r="E418" i="37"/>
  <c r="D457" i="37"/>
  <c r="D444" i="37"/>
  <c r="B448" i="37"/>
  <c r="D466" i="37"/>
  <c r="E444" i="37"/>
  <c r="C424" i="37"/>
  <c r="M460" i="37"/>
  <c r="E466" i="37"/>
  <c r="C457" i="37"/>
  <c r="B461" i="37"/>
  <c r="E459" i="37"/>
  <c r="E446" i="37"/>
  <c r="C450" i="37"/>
  <c r="C437" i="37"/>
  <c r="E433" i="37"/>
  <c r="D417" i="37"/>
  <c r="B421" i="37"/>
  <c r="C463" i="37"/>
  <c r="M466" i="37"/>
  <c r="M453" i="37"/>
  <c r="D446" i="37"/>
  <c r="B450" i="37"/>
  <c r="B437" i="37"/>
  <c r="D443" i="37"/>
  <c r="B434" i="37"/>
  <c r="C443" i="37"/>
  <c r="M446" i="37"/>
  <c r="M433" i="37"/>
  <c r="B463" i="37"/>
  <c r="D459" i="37"/>
  <c r="E465" i="37"/>
  <c r="M449" i="37"/>
  <c r="E452" i="37"/>
  <c r="C456" i="37"/>
  <c r="E439" i="37"/>
  <c r="B414" i="37"/>
  <c r="B417" i="37"/>
  <c r="C517" i="37"/>
  <c r="C459" i="37"/>
  <c r="M462" i="37"/>
  <c r="D452" i="37"/>
  <c r="B456" i="37"/>
  <c r="D439" i="37"/>
  <c r="B443" i="37"/>
  <c r="D423" i="37"/>
  <c r="M442" i="37"/>
  <c r="E445" i="37"/>
  <c r="C436" i="37"/>
  <c r="B517" i="37"/>
  <c r="D465" i="37"/>
  <c r="M455" i="37"/>
  <c r="E461" i="37"/>
  <c r="E448" i="37"/>
  <c r="C452" i="37"/>
  <c r="C439" i="37"/>
  <c r="C445" i="37"/>
  <c r="M448" i="37"/>
  <c r="B465" i="37"/>
  <c r="D461" i="37"/>
  <c r="C465" i="37"/>
  <c r="M464" i="37"/>
  <c r="E467" i="37"/>
  <c r="E454" i="37"/>
  <c r="C458" i="37"/>
  <c r="M461" i="37"/>
  <c r="B445" i="37"/>
  <c r="D425" i="37"/>
  <c r="D412" i="37"/>
  <c r="B416" i="37"/>
  <c r="B403" i="37"/>
  <c r="D467" i="37"/>
  <c r="B458" i="37"/>
  <c r="D454" i="37"/>
  <c r="D438" i="37"/>
  <c r="D441" i="37"/>
  <c r="C399" i="37"/>
  <c r="C383" i="37"/>
  <c r="M386" i="37"/>
  <c r="M389" i="37"/>
  <c r="E379" i="37"/>
  <c r="M402" i="37"/>
  <c r="E405" i="37"/>
  <c r="E408" i="37"/>
  <c r="E392" i="37"/>
  <c r="C396" i="37"/>
  <c r="E434" i="37"/>
  <c r="E421" i="37"/>
  <c r="C425" i="37"/>
  <c r="C412" i="37"/>
  <c r="M415" i="37"/>
  <c r="C451" i="37"/>
  <c r="C454" i="37"/>
  <c r="C438" i="37"/>
  <c r="M441" i="37"/>
  <c r="M444" i="37"/>
  <c r="C467" i="37"/>
  <c r="M457" i="37"/>
  <c r="E460" i="37"/>
  <c r="E463" i="37"/>
  <c r="E447" i="37"/>
  <c r="E385" i="37"/>
  <c r="E388" i="37"/>
  <c r="C392" i="37"/>
  <c r="C379" i="37"/>
  <c r="M382" i="37"/>
  <c r="C418" i="37"/>
  <c r="C405" i="37"/>
  <c r="M408" i="37"/>
  <c r="M395" i="37"/>
  <c r="E401" i="37"/>
  <c r="C434" i="37"/>
  <c r="M437" i="37"/>
  <c r="M421" i="37"/>
  <c r="M424" i="37"/>
  <c r="E414" i="37"/>
  <c r="M463" i="37"/>
  <c r="M450" i="37"/>
  <c r="E456" i="37"/>
  <c r="E443" i="37"/>
  <c r="C447" i="37"/>
  <c r="D317" i="37"/>
  <c r="D304" i="37"/>
  <c r="B308" i="37"/>
  <c r="E517" i="37"/>
  <c r="C460" i="37"/>
  <c r="D346" i="37"/>
  <c r="D330" i="37"/>
  <c r="B334" i="37"/>
  <c r="B337" i="37"/>
  <c r="B321" i="37"/>
  <c r="D372" i="37"/>
  <c r="D359" i="37"/>
  <c r="B363" i="37"/>
  <c r="B350" i="37"/>
  <c r="D343" i="37"/>
  <c r="D401" i="37"/>
  <c r="D385" i="37"/>
  <c r="B389" i="37"/>
  <c r="B392" i="37"/>
  <c r="B376" i="37"/>
  <c r="B447" i="37"/>
  <c r="D414" i="37"/>
  <c r="B418" i="37"/>
  <c r="B405" i="37"/>
  <c r="D398" i="37"/>
  <c r="D517" i="37"/>
  <c r="B460" i="37"/>
  <c r="D453" i="37"/>
  <c r="D456" i="37"/>
  <c r="B444" i="37"/>
  <c r="C453" i="37"/>
  <c r="M456" i="37"/>
  <c r="M443" i="37"/>
  <c r="E436" i="37"/>
  <c r="E423" i="37"/>
  <c r="M517" i="37"/>
  <c r="M459" i="37"/>
  <c r="E462" i="37"/>
  <c r="C466" i="37"/>
  <c r="E449" i="37"/>
  <c r="G10" i="38"/>
  <c r="B369" i="37"/>
  <c r="B372" i="37"/>
  <c r="D394" i="37"/>
  <c r="B398" i="37"/>
  <c r="B385" i="37"/>
  <c r="D378" i="37"/>
  <c r="D381" i="37"/>
  <c r="D436" i="37"/>
  <c r="D420" i="37"/>
  <c r="B424" i="37"/>
  <c r="B411" i="37"/>
  <c r="D407" i="37"/>
  <c r="B466" i="37"/>
  <c r="D462" i="37"/>
  <c r="D449" i="37"/>
  <c r="B453" i="37"/>
  <c r="D433" i="37"/>
  <c r="F10" i="38"/>
  <c r="M436" i="37"/>
  <c r="M423" i="37"/>
  <c r="C420" i="37"/>
  <c r="E455" i="37"/>
  <c r="M439" i="37"/>
  <c r="E442" i="37"/>
  <c r="C446" i="37"/>
  <c r="C433" i="37"/>
  <c r="E458" i="37"/>
  <c r="C462" i="37"/>
  <c r="M465" i="37"/>
  <c r="C449" i="37"/>
  <c r="M452" i="37"/>
  <c r="O10" i="38"/>
  <c r="N10" i="38"/>
  <c r="M10" i="38"/>
  <c r="L10" i="38"/>
  <c r="U10" i="38"/>
  <c r="T10" i="38"/>
  <c r="E10" i="38"/>
  <c r="S10" i="38"/>
  <c r="R10" i="38"/>
  <c r="Q10" i="38"/>
  <c r="Z10" i="38"/>
  <c r="Y10" i="38"/>
  <c r="AB10" i="38"/>
  <c r="AA10" i="38"/>
  <c r="X10" i="38"/>
  <c r="W10" i="38"/>
  <c r="V10" i="38"/>
  <c r="A1" i="49"/>
  <c r="B1" i="49"/>
  <c r="A2" i="49"/>
  <c r="B2" i="49"/>
  <c r="A10" i="38" s="1"/>
  <c r="E2" i="49"/>
  <c r="F2" i="49"/>
  <c r="G2" i="49"/>
  <c r="A3" i="49"/>
  <c r="B3" i="49"/>
  <c r="B6" i="49" s="1"/>
  <c r="A4" i="49"/>
  <c r="B4" i="49"/>
  <c r="A5" i="49"/>
  <c r="B5" i="49"/>
  <c r="A7" i="49"/>
  <c r="B7" i="49"/>
  <c r="K6" i="38" l="1"/>
  <c r="P6" i="38" s="1"/>
  <c r="BQ6" i="38"/>
  <c r="I6" i="38"/>
  <c r="H6" i="38"/>
  <c r="K7" i="38"/>
  <c r="P7" i="38" s="1"/>
  <c r="BQ7" i="38"/>
  <c r="H7" i="38"/>
  <c r="I7" i="38"/>
  <c r="K8" i="38"/>
  <c r="P8" i="38" s="1"/>
  <c r="BQ8" i="38"/>
  <c r="I8" i="38"/>
  <c r="H8" i="38"/>
  <c r="K9" i="38"/>
  <c r="P9" i="38" s="1"/>
  <c r="BQ9" i="38"/>
  <c r="H9" i="38"/>
  <c r="I9" i="38"/>
  <c r="K2" i="38"/>
  <c r="P2" i="38" s="1"/>
  <c r="BQ2" i="38"/>
  <c r="H2" i="38"/>
  <c r="I2" i="38"/>
  <c r="K3" i="38"/>
  <c r="P3" i="38" s="1"/>
  <c r="BQ3" i="38"/>
  <c r="I3" i="38"/>
  <c r="H3" i="38"/>
  <c r="K4" i="38"/>
  <c r="P4" i="38" s="1"/>
  <c r="BQ4" i="38"/>
  <c r="I4" i="38"/>
  <c r="H4" i="38"/>
  <c r="K5" i="38"/>
  <c r="P5" i="38" s="1"/>
  <c r="BQ5" i="38"/>
  <c r="I5" i="38"/>
  <c r="H5" i="38"/>
  <c r="K10" i="38"/>
  <c r="P10" i="38" s="1"/>
  <c r="B1" i="37"/>
  <c r="B2" i="40"/>
  <c r="B1" i="40" s="1"/>
  <c r="D2" i="40"/>
  <c r="D1" i="40" s="1"/>
  <c r="D1" i="37"/>
  <c r="E2" i="40"/>
  <c r="E1" i="40" s="1"/>
  <c r="E1" i="37"/>
  <c r="C1" i="37"/>
  <c r="C2" i="40"/>
  <c r="C1" i="40" s="1"/>
  <c r="M2" i="40"/>
  <c r="BQ10" i="38"/>
  <c r="H10" i="38"/>
  <c r="I10" i="38"/>
  <c r="D121" i="40"/>
  <c r="D118" i="40"/>
  <c r="B112" i="40"/>
  <c r="B109" i="40"/>
  <c r="D105" i="40"/>
  <c r="B96" i="40"/>
  <c r="D92" i="40"/>
  <c r="B83" i="40"/>
  <c r="D79" i="40"/>
  <c r="B120" i="40"/>
  <c r="C114" i="40"/>
  <c r="E108" i="40"/>
  <c r="D103" i="40"/>
  <c r="M100" i="40"/>
  <c r="E97" i="40"/>
  <c r="B95" i="40"/>
  <c r="C89" i="40"/>
  <c r="B84" i="40"/>
  <c r="C78" i="40"/>
  <c r="C72" i="40"/>
  <c r="E68" i="40"/>
  <c r="E65" i="40"/>
  <c r="M62" i="40"/>
  <c r="C59" i="40"/>
  <c r="C56" i="40"/>
  <c r="C120" i="40"/>
  <c r="D114" i="40"/>
  <c r="M106" i="40"/>
  <c r="B101" i="40"/>
  <c r="C95" i="40"/>
  <c r="D89" i="40"/>
  <c r="E83" i="40"/>
  <c r="D78" i="40"/>
  <c r="M75" i="40"/>
  <c r="D72" i="40"/>
  <c r="B63" i="40"/>
  <c r="D59" i="40"/>
  <c r="D120" i="40"/>
  <c r="M117" i="40"/>
  <c r="E114" i="40"/>
  <c r="C112" i="40"/>
  <c r="D106" i="40"/>
  <c r="C101" i="40"/>
  <c r="D95" i="40"/>
  <c r="M92" i="40"/>
  <c r="E89" i="40"/>
  <c r="B87" i="40"/>
  <c r="M81" i="40"/>
  <c r="B76" i="40"/>
  <c r="E72" i="40"/>
  <c r="M69" i="40"/>
  <c r="M66" i="40"/>
  <c r="C63" i="40"/>
  <c r="E59" i="40"/>
  <c r="E120" i="40"/>
  <c r="B118" i="40"/>
  <c r="D112" i="40"/>
  <c r="M109" i="40"/>
  <c r="E106" i="40"/>
  <c r="M98" i="40"/>
  <c r="E95" i="40"/>
  <c r="B93" i="40"/>
  <c r="C87" i="40"/>
  <c r="D81" i="40"/>
  <c r="C76" i="40"/>
  <c r="B70" i="40"/>
  <c r="D66" i="40"/>
  <c r="D63" i="40"/>
  <c r="B57" i="40"/>
  <c r="C118" i="40"/>
  <c r="M115" i="40"/>
  <c r="E112" i="40"/>
  <c r="B110" i="40"/>
  <c r="C104" i="40"/>
  <c r="B99" i="40"/>
  <c r="C93" i="40"/>
  <c r="D87" i="40"/>
  <c r="M84" i="40"/>
  <c r="E81" i="40"/>
  <c r="M73" i="40"/>
  <c r="C70" i="40"/>
  <c r="E66" i="40"/>
  <c r="M60" i="40"/>
  <c r="C57" i="40"/>
  <c r="B116" i="40"/>
  <c r="C110" i="40"/>
  <c r="D104" i="40"/>
  <c r="E98" i="40"/>
  <c r="D93" i="40"/>
  <c r="M90" i="40"/>
  <c r="E87" i="40"/>
  <c r="B85" i="40"/>
  <c r="C79" i="40"/>
  <c r="B74" i="40"/>
  <c r="D70" i="40"/>
  <c r="B61" i="40"/>
  <c r="D57" i="40"/>
  <c r="M121" i="40"/>
  <c r="C116" i="40"/>
  <c r="D110" i="40"/>
  <c r="M107" i="40"/>
  <c r="E104" i="40"/>
  <c r="B102" i="40"/>
  <c r="M96" i="40"/>
  <c r="B91" i="40"/>
  <c r="C85" i="40"/>
  <c r="E79" i="40"/>
  <c r="B77" i="40"/>
  <c r="E73" i="40"/>
  <c r="E70" i="40"/>
  <c r="M67" i="40"/>
  <c r="C64" i="40"/>
  <c r="C61" i="40"/>
  <c r="E57" i="40"/>
  <c r="E121" i="40"/>
  <c r="M113" i="40"/>
  <c r="E110" i="40"/>
  <c r="B108" i="40"/>
  <c r="C102" i="40"/>
  <c r="D96" i="40"/>
  <c r="C91" i="40"/>
  <c r="D85" i="40"/>
  <c r="M82" i="40"/>
  <c r="C77" i="40"/>
  <c r="B68" i="40"/>
  <c r="D64" i="40"/>
  <c r="C119" i="40"/>
  <c r="B114" i="40"/>
  <c r="C108" i="40"/>
  <c r="D102" i="40"/>
  <c r="M99" i="40"/>
  <c r="E96" i="40"/>
  <c r="M88" i="40"/>
  <c r="E85" i="40"/>
  <c r="C83" i="40"/>
  <c r="D77" i="40"/>
  <c r="M74" i="40"/>
  <c r="M71" i="40"/>
  <c r="C68" i="40"/>
  <c r="E64" i="40"/>
  <c r="M58" i="40"/>
  <c r="D119" i="40"/>
  <c r="E113" i="40"/>
  <c r="D108" i="40"/>
  <c r="M105" i="40"/>
  <c r="E102" i="40"/>
  <c r="B100" i="40"/>
  <c r="C94" i="40"/>
  <c r="B89" i="40"/>
  <c r="D83" i="40"/>
  <c r="M80" i="40"/>
  <c r="E77" i="40"/>
  <c r="B75" i="40"/>
  <c r="D71" i="40"/>
  <c r="D68" i="40"/>
  <c r="B62" i="40"/>
  <c r="B59" i="40"/>
  <c r="E119" i="40"/>
  <c r="B117" i="40"/>
  <c r="M111" i="40"/>
  <c r="B106" i="40"/>
  <c r="C100" i="40"/>
  <c r="D94" i="40"/>
  <c r="E88" i="40"/>
  <c r="M86" i="40"/>
  <c r="B81" i="40"/>
  <c r="C75" i="40"/>
  <c r="E71" i="40"/>
  <c r="M65" i="40"/>
  <c r="C62" i="40"/>
  <c r="E58" i="40"/>
  <c r="C117" i="40"/>
  <c r="D111" i="40"/>
  <c r="C106" i="40"/>
  <c r="D100" i="40"/>
  <c r="M97" i="40"/>
  <c r="E94" i="40"/>
  <c r="B92" i="40"/>
  <c r="D86" i="40"/>
  <c r="C81" i="40"/>
  <c r="D75" i="40"/>
  <c r="B66" i="40"/>
  <c r="D62" i="40"/>
  <c r="D117" i="40"/>
  <c r="M114" i="40"/>
  <c r="E111" i="40"/>
  <c r="M103" i="40"/>
  <c r="E100" i="40"/>
  <c r="B98" i="40"/>
  <c r="C92" i="40"/>
  <c r="M89" i="40"/>
  <c r="E86" i="40"/>
  <c r="M78" i="40"/>
  <c r="E75" i="40"/>
  <c r="M72" i="40"/>
  <c r="C69" i="40"/>
  <c r="C66" i="40"/>
  <c r="E62" i="40"/>
  <c r="M59" i="40"/>
  <c r="M56" i="40"/>
  <c r="M120" i="40"/>
  <c r="E117" i="40"/>
  <c r="B115" i="40"/>
  <c r="C109" i="40"/>
  <c r="B104" i="40"/>
  <c r="C98" i="40"/>
  <c r="E92" i="40"/>
  <c r="B90" i="40"/>
  <c r="C84" i="40"/>
  <c r="B79" i="40"/>
  <c r="B73" i="40"/>
  <c r="D69" i="40"/>
  <c r="B60" i="40"/>
  <c r="D56" i="40"/>
  <c r="B121" i="40"/>
  <c r="C115" i="40"/>
  <c r="D109" i="40"/>
  <c r="E103" i="40"/>
  <c r="D98" i="40"/>
  <c r="M95" i="40"/>
  <c r="C90" i="40"/>
  <c r="D84" i="40"/>
  <c r="E78" i="40"/>
  <c r="C73" i="40"/>
  <c r="E69" i="40"/>
  <c r="M63" i="40"/>
  <c r="C60" i="40"/>
  <c r="E56" i="40"/>
  <c r="C121" i="40"/>
  <c r="D115" i="40"/>
  <c r="M112" i="40"/>
  <c r="E109" i="40"/>
  <c r="B107" i="40"/>
  <c r="M101" i="40"/>
  <c r="C96" i="40"/>
  <c r="D90" i="40"/>
  <c r="M87" i="40"/>
  <c r="E84" i="40"/>
  <c r="B82" i="40"/>
  <c r="M76" i="40"/>
  <c r="D73" i="40"/>
  <c r="B67" i="40"/>
  <c r="B64" i="40"/>
  <c r="D60" i="40"/>
  <c r="M118" i="40"/>
  <c r="E115" i="40"/>
  <c r="B113" i="40"/>
  <c r="C107" i="40"/>
  <c r="D101" i="40"/>
  <c r="M93" i="40"/>
  <c r="E90" i="40"/>
  <c r="B88" i="40"/>
  <c r="C82" i="40"/>
  <c r="D76" i="40"/>
  <c r="M70" i="40"/>
  <c r="C67" i="40"/>
  <c r="E63" i="40"/>
  <c r="E60" i="40"/>
  <c r="M57" i="40"/>
  <c r="B119" i="40"/>
  <c r="C113" i="40"/>
  <c r="D107" i="40"/>
  <c r="M104" i="40"/>
  <c r="E101" i="40"/>
  <c r="C99" i="40"/>
  <c r="B94" i="40"/>
  <c r="C88" i="40"/>
  <c r="D82" i="40"/>
  <c r="M79" i="40"/>
  <c r="E76" i="40"/>
  <c r="B71" i="40"/>
  <c r="D67" i="40"/>
  <c r="B58" i="40"/>
  <c r="E118" i="40"/>
  <c r="D113" i="40"/>
  <c r="M110" i="40"/>
  <c r="E107" i="40"/>
  <c r="B105" i="40"/>
  <c r="D99" i="40"/>
  <c r="E93" i="40"/>
  <c r="D88" i="40"/>
  <c r="M85" i="40"/>
  <c r="E82" i="40"/>
  <c r="B80" i="40"/>
  <c r="C74" i="40"/>
  <c r="C71" i="40"/>
  <c r="E67" i="40"/>
  <c r="M64" i="40"/>
  <c r="M61" i="40"/>
  <c r="M116" i="40"/>
  <c r="B111" i="40"/>
  <c r="C105" i="40"/>
  <c r="M102" i="40"/>
  <c r="E99" i="40"/>
  <c r="B97" i="40"/>
  <c r="M91" i="40"/>
  <c r="B86" i="40"/>
  <c r="C80" i="40"/>
  <c r="D74" i="40"/>
  <c r="B65" i="40"/>
  <c r="D116" i="40"/>
  <c r="C111" i="40"/>
  <c r="E105" i="40"/>
  <c r="B103" i="40"/>
  <c r="C97" i="40"/>
  <c r="D91" i="40"/>
  <c r="C86" i="40"/>
  <c r="D80" i="40"/>
  <c r="M77" i="40"/>
  <c r="E74" i="40"/>
  <c r="M68" i="40"/>
  <c r="C65" i="40"/>
  <c r="E61" i="40"/>
  <c r="M119" i="40"/>
  <c r="E116" i="40"/>
  <c r="M108" i="40"/>
  <c r="C103" i="40"/>
  <c r="D97" i="40"/>
  <c r="M94" i="40"/>
  <c r="E91" i="40"/>
  <c r="M83" i="40"/>
  <c r="E80" i="40"/>
  <c r="B78" i="40"/>
  <c r="B72" i="40"/>
  <c r="B69" i="40"/>
  <c r="D65" i="40"/>
  <c r="B56" i="40"/>
  <c r="D61" i="40"/>
  <c r="C58" i="40"/>
  <c r="D58" i="40"/>
  <c r="D52" i="40"/>
  <c r="B43" i="40"/>
  <c r="D39" i="40"/>
  <c r="B30" i="40"/>
  <c r="D26" i="40"/>
  <c r="D23" i="40"/>
  <c r="E53" i="40"/>
  <c r="E50" i="40"/>
  <c r="M47" i="40"/>
  <c r="C44" i="40"/>
  <c r="C41" i="40"/>
  <c r="E37" i="40"/>
  <c r="M34" i="40"/>
  <c r="M31" i="40"/>
  <c r="C28" i="40"/>
  <c r="E24" i="40"/>
  <c r="D53" i="40"/>
  <c r="B47" i="40"/>
  <c r="B44" i="40"/>
  <c r="D40" i="40"/>
  <c r="B31" i="40"/>
  <c r="E42" i="40"/>
  <c r="E40" i="40"/>
  <c r="D38" i="40"/>
  <c r="C36" i="40"/>
  <c r="E33" i="40"/>
  <c r="E31" i="40"/>
  <c r="D29" i="40"/>
  <c r="C27" i="40"/>
  <c r="M24" i="40"/>
  <c r="C19" i="40"/>
  <c r="C16" i="40"/>
  <c r="E12" i="40"/>
  <c r="M9" i="40"/>
  <c r="M6" i="40"/>
  <c r="D6" i="40"/>
  <c r="D10" i="40"/>
  <c r="E10" i="40"/>
  <c r="C4" i="40"/>
  <c r="E29" i="40"/>
  <c r="D27" i="40"/>
  <c r="B25" i="40"/>
  <c r="D19" i="40"/>
  <c r="B10" i="40"/>
  <c r="D3" i="40"/>
  <c r="B23" i="40"/>
  <c r="D17" i="40"/>
  <c r="E27" i="40"/>
  <c r="C25" i="40"/>
  <c r="M22" i="40"/>
  <c r="E19" i="40"/>
  <c r="M13" i="40"/>
  <c r="C10" i="40"/>
  <c r="E6" i="40"/>
  <c r="D25" i="40"/>
  <c r="M49" i="40"/>
  <c r="B21" i="40"/>
  <c r="C54" i="40"/>
  <c r="B52" i="40"/>
  <c r="B50" i="40"/>
  <c r="B48" i="40"/>
  <c r="M45" i="40"/>
  <c r="E25" i="40"/>
  <c r="C23" i="40"/>
  <c r="M20" i="40"/>
  <c r="C17" i="40"/>
  <c r="E13" i="40"/>
  <c r="D54" i="40"/>
  <c r="C52" i="40"/>
  <c r="C50" i="40"/>
  <c r="C48" i="40"/>
  <c r="B46" i="40"/>
  <c r="M43" i="40"/>
  <c r="M41" i="40"/>
  <c r="B37" i="40"/>
  <c r="B35" i="40"/>
  <c r="M32" i="40"/>
  <c r="C5" i="40"/>
  <c r="E54" i="40"/>
  <c r="E52" i="40"/>
  <c r="D50" i="40"/>
  <c r="D48" i="40"/>
  <c r="C46" i="40"/>
  <c r="E43" i="40"/>
  <c r="D41" i="40"/>
  <c r="C39" i="40"/>
  <c r="C37" i="40"/>
  <c r="C35" i="40"/>
  <c r="B33" i="40"/>
  <c r="M30" i="40"/>
  <c r="M28" i="40"/>
  <c r="C21" i="40"/>
  <c r="E17" i="40"/>
  <c r="M14" i="40"/>
  <c r="M11" i="40"/>
  <c r="C8" i="40"/>
  <c r="E4" i="40"/>
  <c r="D8" i="40"/>
  <c r="E35" i="40"/>
  <c r="D33" i="40"/>
  <c r="M26" i="40"/>
  <c r="M18" i="40"/>
  <c r="E11" i="40"/>
  <c r="M5" i="40"/>
  <c r="M17" i="40"/>
  <c r="C11" i="40"/>
  <c r="E41" i="40"/>
  <c r="E39" i="40"/>
  <c r="D37" i="40"/>
  <c r="D35" i="40"/>
  <c r="C33" i="40"/>
  <c r="C31" i="40"/>
  <c r="B29" i="40"/>
  <c r="B15" i="40"/>
  <c r="D11" i="40"/>
  <c r="C15" i="40"/>
  <c r="D15" i="40"/>
  <c r="C34" i="40"/>
  <c r="M4" i="40"/>
  <c r="E28" i="40"/>
  <c r="E22" i="40"/>
  <c r="B4" i="40"/>
  <c r="D28" i="40"/>
  <c r="D20" i="40"/>
  <c r="B11" i="40"/>
  <c r="D7" i="40"/>
  <c r="E14" i="40"/>
  <c r="M8" i="40"/>
  <c r="E26" i="40"/>
  <c r="C24" i="40"/>
  <c r="B19" i="40"/>
  <c r="B6" i="40"/>
  <c r="M29" i="40"/>
  <c r="D24" i="40"/>
  <c r="B22" i="40"/>
  <c r="E18" i="40"/>
  <c r="E15" i="40"/>
  <c r="M12" i="40"/>
  <c r="C9" i="40"/>
  <c r="C6" i="40"/>
  <c r="B32" i="40"/>
  <c r="C18" i="40"/>
  <c r="M55" i="40"/>
  <c r="M53" i="40"/>
  <c r="M51" i="40"/>
  <c r="M44" i="40"/>
  <c r="C22" i="40"/>
  <c r="B13" i="40"/>
  <c r="D9" i="40"/>
  <c r="M16" i="40"/>
  <c r="D47" i="40"/>
  <c r="B39" i="40"/>
  <c r="E20" i="40"/>
  <c r="C14" i="40"/>
  <c r="B54" i="40"/>
  <c r="D51" i="40"/>
  <c r="C49" i="40"/>
  <c r="C47" i="40"/>
  <c r="B45" i="40"/>
  <c r="M42" i="40"/>
  <c r="M40" i="40"/>
  <c r="M38" i="40"/>
  <c r="D22" i="40"/>
  <c r="M19" i="40"/>
  <c r="C13" i="40"/>
  <c r="E9" i="40"/>
  <c r="M3" i="40"/>
  <c r="E51" i="40"/>
  <c r="C45" i="40"/>
  <c r="B20" i="40"/>
  <c r="D16" i="40"/>
  <c r="D13" i="40"/>
  <c r="B7" i="40"/>
  <c r="B5" i="40"/>
  <c r="D49" i="40"/>
  <c r="C43" i="40"/>
  <c r="B41" i="40"/>
  <c r="M36" i="40"/>
  <c r="M27" i="40"/>
  <c r="E49" i="40"/>
  <c r="E47" i="40"/>
  <c r="D45" i="40"/>
  <c r="D43" i="40"/>
  <c r="E38" i="40"/>
  <c r="D36" i="40"/>
  <c r="D34" i="40"/>
  <c r="C32" i="40"/>
  <c r="C30" i="40"/>
  <c r="B28" i="40"/>
  <c r="M25" i="40"/>
  <c r="C20" i="40"/>
  <c r="E16" i="40"/>
  <c r="M10" i="40"/>
  <c r="C7" i="40"/>
  <c r="E3" i="40"/>
  <c r="D32" i="40"/>
  <c r="D30" i="40"/>
  <c r="B26" i="40"/>
  <c r="E45" i="40"/>
  <c r="E36" i="40"/>
  <c r="E34" i="40"/>
  <c r="E7" i="40"/>
  <c r="B18" i="40"/>
  <c r="D14" i="40"/>
  <c r="E32" i="40"/>
  <c r="E30" i="40"/>
  <c r="C26" i="40"/>
  <c r="M23" i="40"/>
  <c r="M54" i="40"/>
  <c r="B24" i="40"/>
  <c r="B55" i="40"/>
  <c r="M52" i="40"/>
  <c r="M50" i="40"/>
  <c r="E23" i="40"/>
  <c r="C55" i="40"/>
  <c r="B53" i="40"/>
  <c r="B51" i="40"/>
  <c r="M48" i="40"/>
  <c r="M46" i="40"/>
  <c r="B42" i="40"/>
  <c r="M39" i="40"/>
  <c r="M37" i="40"/>
  <c r="M21" i="40"/>
  <c r="D18" i="40"/>
  <c r="B12" i="40"/>
  <c r="B9" i="40"/>
  <c r="D5" i="40"/>
  <c r="D4" i="40"/>
  <c r="D55" i="40"/>
  <c r="C53" i="40"/>
  <c r="C51" i="40"/>
  <c r="B49" i="40"/>
  <c r="D46" i="40"/>
  <c r="D44" i="40"/>
  <c r="C42" i="40"/>
  <c r="B40" i="40"/>
  <c r="B38" i="40"/>
  <c r="M35" i="40"/>
  <c r="M33" i="40"/>
  <c r="D21" i="40"/>
  <c r="M15" i="40"/>
  <c r="C12" i="40"/>
  <c r="E8" i="40"/>
  <c r="E5" i="40"/>
  <c r="E48" i="40"/>
  <c r="E46" i="40"/>
  <c r="D42" i="40"/>
  <c r="C40" i="40"/>
  <c r="B36" i="40"/>
  <c r="B34" i="40"/>
  <c r="E21" i="40"/>
  <c r="B16" i="40"/>
  <c r="C3" i="40"/>
  <c r="B17" i="40"/>
  <c r="B14" i="40"/>
  <c r="E55" i="40"/>
  <c r="E44" i="40"/>
  <c r="C38" i="40"/>
  <c r="D31" i="40"/>
  <c r="C29" i="40"/>
  <c r="B27" i="40"/>
  <c r="D12" i="40"/>
  <c r="B3" i="40"/>
  <c r="M7" i="40"/>
  <c r="B8" i="40"/>
  <c r="H2" i="49"/>
  <c r="F13" i="40" l="1"/>
  <c r="F12" i="40"/>
  <c r="F8" i="40"/>
  <c r="F50" i="40"/>
  <c r="F14" i="40"/>
  <c r="F23" i="40"/>
  <c r="F25" i="40"/>
  <c r="F34" i="40"/>
  <c r="F7" i="40"/>
  <c r="F16" i="40"/>
  <c r="F38" i="40"/>
  <c r="F47" i="40"/>
  <c r="F22" i="40"/>
  <c r="F40" i="40"/>
  <c r="F51" i="40"/>
  <c r="F55" i="40"/>
  <c r="F10" i="40"/>
  <c r="F3" i="40"/>
  <c r="F53" i="40"/>
  <c r="F5" i="40"/>
  <c r="F18" i="40"/>
  <c r="F24" i="40"/>
  <c r="F26" i="40"/>
  <c r="F9" i="40"/>
  <c r="F28" i="40"/>
  <c r="F37" i="40"/>
  <c r="F39" i="40"/>
  <c r="F41" i="40"/>
  <c r="F11" i="40"/>
  <c r="F30" i="40"/>
  <c r="F17" i="40"/>
  <c r="F20" i="40"/>
  <c r="F43" i="40"/>
  <c r="F45" i="40"/>
  <c r="F52" i="40"/>
  <c r="F54" i="40"/>
  <c r="F4" i="40"/>
  <c r="F6" i="40"/>
  <c r="F29" i="40"/>
  <c r="F15" i="40"/>
  <c r="F31" i="40"/>
  <c r="F33" i="40"/>
  <c r="F42" i="40"/>
  <c r="F19" i="40"/>
  <c r="F27" i="40"/>
  <c r="F21" i="40"/>
  <c r="F44" i="40"/>
  <c r="F46" i="40"/>
  <c r="F36" i="40"/>
  <c r="F49" i="40"/>
  <c r="F32" i="40"/>
  <c r="F35" i="40"/>
  <c r="F48" i="40"/>
  <c r="F61" i="40"/>
  <c r="F74" i="40"/>
  <c r="F85" i="40"/>
  <c r="F110" i="40"/>
  <c r="F99" i="40"/>
  <c r="F67" i="40"/>
  <c r="F70" i="40"/>
  <c r="F82" i="40"/>
  <c r="F93" i="40"/>
  <c r="F107" i="40"/>
  <c r="F118" i="40"/>
  <c r="F76" i="40"/>
  <c r="F63" i="40"/>
  <c r="F84" i="40"/>
  <c r="F95" i="40"/>
  <c r="F109" i="40"/>
  <c r="F120" i="40"/>
  <c r="F56" i="40"/>
  <c r="F69" i="40"/>
  <c r="F78" i="40"/>
  <c r="F103" i="40"/>
  <c r="F92" i="40"/>
  <c r="F117" i="40"/>
  <c r="F62" i="40"/>
  <c r="F65" i="40"/>
  <c r="F86" i="40"/>
  <c r="F111" i="40"/>
  <c r="F80" i="40"/>
  <c r="F94" i="40"/>
  <c r="F105" i="40"/>
  <c r="F58" i="40"/>
  <c r="F71" i="40"/>
  <c r="F119" i="40"/>
  <c r="F77" i="40"/>
  <c r="F102" i="40"/>
  <c r="F113" i="40"/>
  <c r="F64" i="40"/>
  <c r="F96" i="40"/>
  <c r="F90" i="40"/>
  <c r="F121" i="40"/>
  <c r="F57" i="40"/>
  <c r="F60" i="40"/>
  <c r="F73" i="40"/>
  <c r="F79" i="40"/>
  <c r="F104" i="40"/>
  <c r="F115" i="40"/>
  <c r="F87" i="40"/>
  <c r="F98" i="40"/>
  <c r="F66" i="40"/>
  <c r="F81" i="40"/>
  <c r="F112" i="40"/>
  <c r="F106" i="40"/>
  <c r="F59" i="40"/>
  <c r="F72" i="40"/>
  <c r="F89" i="40"/>
  <c r="F100" i="40"/>
  <c r="F83" i="40"/>
  <c r="F68" i="40"/>
  <c r="F97" i="40"/>
  <c r="F108" i="40"/>
  <c r="F91" i="40"/>
  <c r="F116" i="40"/>
  <c r="F75" i="40"/>
  <c r="F88" i="40"/>
  <c r="F101" i="40"/>
  <c r="F114" i="40"/>
  <c r="F1" i="37"/>
  <c r="F2" i="40"/>
  <c r="F1" i="40" s="1"/>
  <c r="AE3" i="38"/>
  <c r="AF3" i="38"/>
  <c r="AE2" i="38"/>
  <c r="AF2" i="38"/>
  <c r="AE10" i="38"/>
  <c r="AF10" i="38"/>
  <c r="AF8" i="38"/>
  <c r="AE8" i="38"/>
  <c r="AE5" i="38"/>
  <c r="AF5" i="38"/>
  <c r="AE7" i="38"/>
  <c r="AF7" i="38"/>
  <c r="AF4" i="38"/>
  <c r="AE4" i="38"/>
  <c r="I2" i="49"/>
  <c r="AE9" i="38"/>
  <c r="AF9" i="38"/>
  <c r="AE6" i="38"/>
  <c r="AF6" i="38"/>
  <c r="G52" i="40" l="1"/>
  <c r="G22" i="40"/>
  <c r="G29" i="40"/>
  <c r="G14" i="40"/>
  <c r="G17" i="40"/>
  <c r="G23" i="40"/>
  <c r="G25" i="40"/>
  <c r="G34" i="40"/>
  <c r="G27" i="40"/>
  <c r="G36" i="40"/>
  <c r="G38" i="40"/>
  <c r="G40" i="40"/>
  <c r="G42" i="40"/>
  <c r="G49" i="40"/>
  <c r="G51" i="40"/>
  <c r="G9" i="40"/>
  <c r="G12" i="40"/>
  <c r="G53" i="40"/>
  <c r="G55" i="40"/>
  <c r="G5" i="40"/>
  <c r="G18" i="40"/>
  <c r="G24" i="40"/>
  <c r="G26" i="40"/>
  <c r="G10" i="40"/>
  <c r="G11" i="40"/>
  <c r="G28" i="40"/>
  <c r="G16" i="40"/>
  <c r="G30" i="40"/>
  <c r="G32" i="40"/>
  <c r="G39" i="40"/>
  <c r="G41" i="40"/>
  <c r="G7" i="40"/>
  <c r="G43" i="40"/>
  <c r="G45" i="40"/>
  <c r="G54" i="40"/>
  <c r="G47" i="40"/>
  <c r="G3" i="40"/>
  <c r="G4" i="40"/>
  <c r="G20" i="40"/>
  <c r="G13" i="40"/>
  <c r="G19" i="40"/>
  <c r="G15" i="40"/>
  <c r="G31" i="40"/>
  <c r="G21" i="40"/>
  <c r="G35" i="40"/>
  <c r="G37" i="40"/>
  <c r="G44" i="40"/>
  <c r="G6" i="40"/>
  <c r="G8" i="40"/>
  <c r="G48" i="40"/>
  <c r="G50" i="40"/>
  <c r="G33" i="40"/>
  <c r="G46" i="40"/>
  <c r="G99" i="40"/>
  <c r="G57" i="40"/>
  <c r="G70" i="40"/>
  <c r="G93" i="40"/>
  <c r="G118" i="40"/>
  <c r="G76" i="40"/>
  <c r="G87" i="40"/>
  <c r="G112" i="40"/>
  <c r="G63" i="40"/>
  <c r="G101" i="40"/>
  <c r="G84" i="40"/>
  <c r="G95" i="40"/>
  <c r="G109" i="40"/>
  <c r="G120" i="40"/>
  <c r="G56" i="40"/>
  <c r="G69" i="40"/>
  <c r="G72" i="40"/>
  <c r="G78" i="40"/>
  <c r="G103" i="40"/>
  <c r="G97" i="40"/>
  <c r="G65" i="40"/>
  <c r="G86" i="40"/>
  <c r="G111" i="40"/>
  <c r="G80" i="40"/>
  <c r="G94" i="40"/>
  <c r="G105" i="40"/>
  <c r="G58" i="40"/>
  <c r="G71" i="40"/>
  <c r="G119" i="40"/>
  <c r="G88" i="40"/>
  <c r="G113" i="40"/>
  <c r="G64" i="40"/>
  <c r="G67" i="40"/>
  <c r="G82" i="40"/>
  <c r="G96" i="40"/>
  <c r="G107" i="40"/>
  <c r="G90" i="40"/>
  <c r="G121" i="40"/>
  <c r="G60" i="40"/>
  <c r="G73" i="40"/>
  <c r="G79" i="40"/>
  <c r="G104" i="40"/>
  <c r="G115" i="40"/>
  <c r="G98" i="40"/>
  <c r="G66" i="40"/>
  <c r="G81" i="40"/>
  <c r="G92" i="40"/>
  <c r="G106" i="40"/>
  <c r="G117" i="40"/>
  <c r="G59" i="40"/>
  <c r="G62" i="40"/>
  <c r="G75" i="40"/>
  <c r="G89" i="40"/>
  <c r="G100" i="40"/>
  <c r="G83" i="40"/>
  <c r="G114" i="40"/>
  <c r="G68" i="40"/>
  <c r="G77" i="40"/>
  <c r="G108" i="40"/>
  <c r="G91" i="40"/>
  <c r="G102" i="40"/>
  <c r="G116" i="40"/>
  <c r="G61" i="40"/>
  <c r="G74" i="40"/>
  <c r="G85" i="40"/>
  <c r="G110" i="40"/>
  <c r="G1" i="37"/>
  <c r="G2" i="40"/>
  <c r="G1" i="40" s="1"/>
  <c r="J2" i="49"/>
  <c r="H31" i="40" l="1"/>
  <c r="H4" i="40"/>
  <c r="H15" i="40"/>
  <c r="H8" i="40"/>
  <c r="H17" i="40"/>
  <c r="H23" i="40"/>
  <c r="H10" i="40"/>
  <c r="H25" i="40"/>
  <c r="H27" i="40"/>
  <c r="H29" i="40"/>
  <c r="H36" i="40"/>
  <c r="H38" i="40"/>
  <c r="H40" i="40"/>
  <c r="H42" i="40"/>
  <c r="H51" i="40"/>
  <c r="H16" i="40"/>
  <c r="H19" i="40"/>
  <c r="H53" i="40"/>
  <c r="H55" i="40"/>
  <c r="H3" i="40"/>
  <c r="H12" i="40"/>
  <c r="H26" i="40"/>
  <c r="H11" i="40"/>
  <c r="H14" i="40"/>
  <c r="H30" i="40"/>
  <c r="H20" i="40"/>
  <c r="H34" i="40"/>
  <c r="H43" i="40"/>
  <c r="H5" i="40"/>
  <c r="H18" i="40"/>
  <c r="H7" i="40"/>
  <c r="H47" i="40"/>
  <c r="H13" i="40"/>
  <c r="H49" i="40"/>
  <c r="H22" i="40"/>
  <c r="H6" i="40"/>
  <c r="H24" i="40"/>
  <c r="H9" i="40"/>
  <c r="H21" i="40"/>
  <c r="H33" i="40"/>
  <c r="H35" i="40"/>
  <c r="H37" i="40"/>
  <c r="H39" i="40"/>
  <c r="H46" i="40"/>
  <c r="H48" i="40"/>
  <c r="H50" i="40"/>
  <c r="H52" i="40"/>
  <c r="H54" i="40"/>
  <c r="H32" i="40"/>
  <c r="H45" i="40"/>
  <c r="H28" i="40"/>
  <c r="H41" i="40"/>
  <c r="H44" i="40"/>
  <c r="H57" i="40"/>
  <c r="H70" i="40"/>
  <c r="H93" i="40"/>
  <c r="H104" i="40"/>
  <c r="H118" i="40"/>
  <c r="H76" i="40"/>
  <c r="H87" i="40"/>
  <c r="H112" i="40"/>
  <c r="H63" i="40"/>
  <c r="H101" i="40"/>
  <c r="H95" i="40"/>
  <c r="H120" i="40"/>
  <c r="H56" i="40"/>
  <c r="H59" i="40"/>
  <c r="H72" i="40"/>
  <c r="H78" i="40"/>
  <c r="H89" i="40"/>
  <c r="H103" i="40"/>
  <c r="H114" i="40"/>
  <c r="H65" i="40"/>
  <c r="H86" i="40"/>
  <c r="H111" i="40"/>
  <c r="H80" i="40"/>
  <c r="H105" i="40"/>
  <c r="H58" i="40"/>
  <c r="H71" i="40"/>
  <c r="H74" i="40"/>
  <c r="H99" i="40"/>
  <c r="H88" i="40"/>
  <c r="H113" i="40"/>
  <c r="H67" i="40"/>
  <c r="H82" i="40"/>
  <c r="H96" i="40"/>
  <c r="H107" i="40"/>
  <c r="H90" i="40"/>
  <c r="H121" i="40"/>
  <c r="H60" i="40"/>
  <c r="H73" i="40"/>
  <c r="H115" i="40"/>
  <c r="H98" i="40"/>
  <c r="H109" i="40"/>
  <c r="H66" i="40"/>
  <c r="H69" i="40"/>
  <c r="H92" i="40"/>
  <c r="H106" i="40"/>
  <c r="H117" i="40"/>
  <c r="H62" i="40"/>
  <c r="H75" i="40"/>
  <c r="H100" i="40"/>
  <c r="H83" i="40"/>
  <c r="H94" i="40"/>
  <c r="H119" i="40"/>
  <c r="H68" i="40"/>
  <c r="H77" i="40"/>
  <c r="H108" i="40"/>
  <c r="H91" i="40"/>
  <c r="H102" i="40"/>
  <c r="H116" i="40"/>
  <c r="H61" i="40"/>
  <c r="H64" i="40"/>
  <c r="H85" i="40"/>
  <c r="H79" i="40"/>
  <c r="H81" i="40"/>
  <c r="H84" i="40"/>
  <c r="H97" i="40"/>
  <c r="H110" i="40"/>
  <c r="H2" i="40"/>
  <c r="H1" i="40" s="1"/>
  <c r="H1" i="37"/>
  <c r="K2" i="49"/>
  <c r="I4" i="40" l="1"/>
  <c r="I10" i="40"/>
  <c r="I25" i="40"/>
  <c r="I33" i="40"/>
  <c r="I27" i="40"/>
  <c r="I38" i="40"/>
  <c r="I31" i="40"/>
  <c r="I40" i="40"/>
  <c r="I44" i="40"/>
  <c r="I46" i="40"/>
  <c r="I53" i="40"/>
  <c r="I21" i="40"/>
  <c r="I5" i="40"/>
  <c r="I18" i="40"/>
  <c r="I19" i="40"/>
  <c r="I3" i="40"/>
  <c r="I6" i="40"/>
  <c r="I14" i="40"/>
  <c r="I28" i="40"/>
  <c r="I30" i="40"/>
  <c r="I7" i="40"/>
  <c r="I20" i="40"/>
  <c r="I32" i="40"/>
  <c r="I34" i="40"/>
  <c r="I43" i="40"/>
  <c r="I36" i="40"/>
  <c r="I45" i="40"/>
  <c r="I47" i="40"/>
  <c r="I49" i="40"/>
  <c r="I51" i="40"/>
  <c r="I12" i="40"/>
  <c r="I22" i="40"/>
  <c r="I13" i="40"/>
  <c r="I16" i="40"/>
  <c r="I9" i="40"/>
  <c r="I24" i="40"/>
  <c r="I15" i="40"/>
  <c r="I26" i="40"/>
  <c r="I35" i="40"/>
  <c r="I37" i="40"/>
  <c r="I8" i="40"/>
  <c r="I11" i="40"/>
  <c r="I39" i="40"/>
  <c r="I41" i="40"/>
  <c r="I48" i="40"/>
  <c r="I50" i="40"/>
  <c r="I52" i="40"/>
  <c r="I54" i="40"/>
  <c r="I17" i="40"/>
  <c r="I23" i="40"/>
  <c r="I29" i="40"/>
  <c r="I42" i="40"/>
  <c r="I55" i="40"/>
  <c r="I59" i="40"/>
  <c r="I87" i="40"/>
  <c r="I112" i="40"/>
  <c r="I63" i="40"/>
  <c r="I66" i="40"/>
  <c r="I81" i="40"/>
  <c r="I106" i="40"/>
  <c r="I95" i="40"/>
  <c r="I120" i="40"/>
  <c r="I72" i="40"/>
  <c r="I78" i="40"/>
  <c r="I89" i="40"/>
  <c r="I103" i="40"/>
  <c r="I114" i="40"/>
  <c r="I65" i="40"/>
  <c r="I97" i="40"/>
  <c r="I80" i="40"/>
  <c r="I91" i="40"/>
  <c r="I105" i="40"/>
  <c r="I116" i="40"/>
  <c r="I58" i="40"/>
  <c r="I61" i="40"/>
  <c r="I74" i="40"/>
  <c r="I99" i="40"/>
  <c r="I88" i="40"/>
  <c r="I113" i="40"/>
  <c r="I67" i="40"/>
  <c r="I82" i="40"/>
  <c r="I107" i="40"/>
  <c r="I76" i="40"/>
  <c r="I90" i="40"/>
  <c r="I101" i="40"/>
  <c r="I60" i="40"/>
  <c r="I73" i="40"/>
  <c r="I115" i="40"/>
  <c r="I84" i="40"/>
  <c r="I98" i="40"/>
  <c r="I109" i="40"/>
  <c r="I56" i="40"/>
  <c r="I69" i="40"/>
  <c r="I92" i="40"/>
  <c r="I86" i="40"/>
  <c r="I117" i="40"/>
  <c r="I62" i="40"/>
  <c r="I75" i="40"/>
  <c r="I100" i="40"/>
  <c r="I111" i="40"/>
  <c r="I83" i="40"/>
  <c r="I94" i="40"/>
  <c r="I119" i="40"/>
  <c r="I68" i="40"/>
  <c r="I71" i="40"/>
  <c r="I77" i="40"/>
  <c r="I108" i="40"/>
  <c r="I102" i="40"/>
  <c r="I64" i="40"/>
  <c r="I85" i="40"/>
  <c r="I96" i="40"/>
  <c r="I121" i="40"/>
  <c r="I79" i="40"/>
  <c r="I110" i="40"/>
  <c r="I57" i="40"/>
  <c r="I70" i="40"/>
  <c r="I93" i="40"/>
  <c r="I104" i="40"/>
  <c r="I118" i="40"/>
  <c r="I2" i="40"/>
  <c r="I1" i="40" s="1"/>
  <c r="I1" i="37"/>
  <c r="L2" i="49"/>
  <c r="J18" i="40" l="1"/>
  <c r="J10" i="40"/>
  <c r="J13" i="40"/>
  <c r="J25" i="40"/>
  <c r="J15" i="40"/>
  <c r="J6" i="40"/>
  <c r="J19" i="40"/>
  <c r="J27" i="40"/>
  <c r="J29" i="40"/>
  <c r="J31" i="40"/>
  <c r="J33" i="40"/>
  <c r="J40" i="40"/>
  <c r="J42" i="40"/>
  <c r="J44" i="40"/>
  <c r="J46" i="40"/>
  <c r="J21" i="40"/>
  <c r="J48" i="40"/>
  <c r="J55" i="40"/>
  <c r="J30" i="40"/>
  <c r="J7" i="40"/>
  <c r="J20" i="40"/>
  <c r="J32" i="40"/>
  <c r="J34" i="40"/>
  <c r="J36" i="40"/>
  <c r="J38" i="40"/>
  <c r="J45" i="40"/>
  <c r="J47" i="40"/>
  <c r="J12" i="40"/>
  <c r="J14" i="40"/>
  <c r="J49" i="40"/>
  <c r="J51" i="40"/>
  <c r="J8" i="40"/>
  <c r="J9" i="40"/>
  <c r="J5" i="40"/>
  <c r="J23" i="40"/>
  <c r="J3" i="40"/>
  <c r="J16" i="40"/>
  <c r="J22" i="40"/>
  <c r="J35" i="40"/>
  <c r="J11" i="40"/>
  <c r="J39" i="40"/>
  <c r="J26" i="40"/>
  <c r="J43" i="40"/>
  <c r="J52" i="40"/>
  <c r="J17" i="40"/>
  <c r="J4" i="40"/>
  <c r="J28" i="40"/>
  <c r="J41" i="40"/>
  <c r="J54" i="40"/>
  <c r="J24" i="40"/>
  <c r="J37" i="40"/>
  <c r="J50" i="40"/>
  <c r="J53" i="40"/>
  <c r="J59" i="40"/>
  <c r="J66" i="40"/>
  <c r="J81" i="40"/>
  <c r="J95" i="40"/>
  <c r="J120" i="40"/>
  <c r="J72" i="40"/>
  <c r="J89" i="40"/>
  <c r="J114" i="40"/>
  <c r="J83" i="40"/>
  <c r="J108" i="40"/>
  <c r="J65" i="40"/>
  <c r="J68" i="40"/>
  <c r="J97" i="40"/>
  <c r="J80" i="40"/>
  <c r="J91" i="40"/>
  <c r="J105" i="40"/>
  <c r="J116" i="40"/>
  <c r="J61" i="40"/>
  <c r="J74" i="40"/>
  <c r="J99" i="40"/>
  <c r="J67" i="40"/>
  <c r="J82" i="40"/>
  <c r="J107" i="40"/>
  <c r="J118" i="40"/>
  <c r="J76" i="40"/>
  <c r="J101" i="40"/>
  <c r="J60" i="40"/>
  <c r="J63" i="40"/>
  <c r="J115" i="40"/>
  <c r="J84" i="40"/>
  <c r="J109" i="40"/>
  <c r="J56" i="40"/>
  <c r="J69" i="40"/>
  <c r="J78" i="40"/>
  <c r="J92" i="40"/>
  <c r="J103" i="40"/>
  <c r="J86" i="40"/>
  <c r="J117" i="40"/>
  <c r="J62" i="40"/>
  <c r="J75" i="40"/>
  <c r="J100" i="40"/>
  <c r="J111" i="40"/>
  <c r="J94" i="40"/>
  <c r="J58" i="40"/>
  <c r="J71" i="40"/>
  <c r="J88" i="40"/>
  <c r="J102" i="40"/>
  <c r="J113" i="40"/>
  <c r="J64" i="40"/>
  <c r="J85" i="40"/>
  <c r="J96" i="40"/>
  <c r="J121" i="40"/>
  <c r="J79" i="40"/>
  <c r="J110" i="40"/>
  <c r="J57" i="40"/>
  <c r="J70" i="40"/>
  <c r="J73" i="40"/>
  <c r="J104" i="40"/>
  <c r="J87" i="40"/>
  <c r="J98" i="40"/>
  <c r="J112" i="40"/>
  <c r="J77" i="40"/>
  <c r="J90" i="40"/>
  <c r="J93" i="40"/>
  <c r="J106" i="40"/>
  <c r="J119" i="40"/>
  <c r="J2" i="40"/>
  <c r="J1" i="40" s="1"/>
  <c r="J1" i="37"/>
  <c r="M2" i="49"/>
  <c r="K20" i="40" l="1"/>
  <c r="K6" i="40"/>
  <c r="K19" i="40"/>
  <c r="K27" i="40"/>
  <c r="K29" i="40"/>
  <c r="K31" i="40"/>
  <c r="K33" i="40"/>
  <c r="K35" i="40"/>
  <c r="K42" i="40"/>
  <c r="K44" i="40"/>
  <c r="K46" i="40"/>
  <c r="K48" i="40"/>
  <c r="K50" i="40"/>
  <c r="K21" i="40"/>
  <c r="K14" i="40"/>
  <c r="K23" i="40"/>
  <c r="K32" i="40"/>
  <c r="K34" i="40"/>
  <c r="K8" i="40"/>
  <c r="K7" i="40"/>
  <c r="K10" i="40"/>
  <c r="K36" i="40"/>
  <c r="K47" i="40"/>
  <c r="K12" i="40"/>
  <c r="K3" i="40"/>
  <c r="K16" i="40"/>
  <c r="K40" i="40"/>
  <c r="K49" i="40"/>
  <c r="K22" i="40"/>
  <c r="K53" i="40"/>
  <c r="K55" i="40"/>
  <c r="K24" i="40"/>
  <c r="K15" i="40"/>
  <c r="K9" i="40"/>
  <c r="K5" i="40"/>
  <c r="K18" i="40"/>
  <c r="K26" i="40"/>
  <c r="K11" i="40"/>
  <c r="K28" i="40"/>
  <c r="K30" i="40"/>
  <c r="K37" i="40"/>
  <c r="K39" i="40"/>
  <c r="K41" i="40"/>
  <c r="K43" i="40"/>
  <c r="K52" i="40"/>
  <c r="K4" i="40"/>
  <c r="K17" i="40"/>
  <c r="K45" i="40"/>
  <c r="K54" i="40"/>
  <c r="K13" i="40"/>
  <c r="K25" i="40"/>
  <c r="K38" i="40"/>
  <c r="K51" i="40"/>
  <c r="K57" i="40"/>
  <c r="K75" i="40"/>
  <c r="K106" i="40"/>
  <c r="K59" i="40"/>
  <c r="K72" i="40"/>
  <c r="K89" i="40"/>
  <c r="K100" i="40"/>
  <c r="K114" i="40"/>
  <c r="K83" i="40"/>
  <c r="K108" i="40"/>
  <c r="K68" i="40"/>
  <c r="K97" i="40"/>
  <c r="K91" i="40"/>
  <c r="K116" i="40"/>
  <c r="K61" i="40"/>
  <c r="K74" i="40"/>
  <c r="K85" i="40"/>
  <c r="K99" i="40"/>
  <c r="K110" i="40"/>
  <c r="K67" i="40"/>
  <c r="K70" i="40"/>
  <c r="K82" i="40"/>
  <c r="K93" i="40"/>
  <c r="K107" i="40"/>
  <c r="K118" i="40"/>
  <c r="K76" i="40"/>
  <c r="K101" i="40"/>
  <c r="K63" i="40"/>
  <c r="K95" i="40"/>
  <c r="K84" i="40"/>
  <c r="K109" i="40"/>
  <c r="K120" i="40"/>
  <c r="K56" i="40"/>
  <c r="K69" i="40"/>
  <c r="K78" i="40"/>
  <c r="K92" i="40"/>
  <c r="K103" i="40"/>
  <c r="K86" i="40"/>
  <c r="K117" i="40"/>
  <c r="K62" i="40"/>
  <c r="K65" i="40"/>
  <c r="K111" i="40"/>
  <c r="K80" i="40"/>
  <c r="K94" i="40"/>
  <c r="K105" i="40"/>
  <c r="K58" i="40"/>
  <c r="K71" i="40"/>
  <c r="K88" i="40"/>
  <c r="K119" i="40"/>
  <c r="K77" i="40"/>
  <c r="K102" i="40"/>
  <c r="K113" i="40"/>
  <c r="K64" i="40"/>
  <c r="K96" i="40"/>
  <c r="K121" i="40"/>
  <c r="K79" i="40"/>
  <c r="K90" i="40"/>
  <c r="K115" i="40"/>
  <c r="K60" i="40"/>
  <c r="K73" i="40"/>
  <c r="K104" i="40"/>
  <c r="K87" i="40"/>
  <c r="K98" i="40"/>
  <c r="K112" i="40"/>
  <c r="K66" i="40"/>
  <c r="K81" i="40"/>
  <c r="K2" i="40"/>
  <c r="K1" i="40" s="1"/>
  <c r="K1" i="37"/>
  <c r="N2" i="49"/>
  <c r="L7" i="40" l="1"/>
  <c r="L6" i="40"/>
  <c r="L19" i="40"/>
  <c r="L29" i="40"/>
  <c r="L31" i="40"/>
  <c r="L28" i="40"/>
  <c r="L15" i="40"/>
  <c r="L35" i="40"/>
  <c r="L44" i="40"/>
  <c r="L21" i="40"/>
  <c r="L48" i="40"/>
  <c r="L52" i="40"/>
  <c r="L14" i="40"/>
  <c r="L27" i="40"/>
  <c r="L36" i="40"/>
  <c r="L3" i="40"/>
  <c r="L16" i="40"/>
  <c r="L38" i="40"/>
  <c r="L40" i="40"/>
  <c r="L42" i="40"/>
  <c r="L49" i="40"/>
  <c r="L8" i="40"/>
  <c r="L17" i="40"/>
  <c r="L51" i="40"/>
  <c r="L53" i="40"/>
  <c r="L55" i="40"/>
  <c r="L12" i="40"/>
  <c r="L9" i="40"/>
  <c r="L23" i="40"/>
  <c r="L10" i="40"/>
  <c r="L24" i="40"/>
  <c r="L18" i="40"/>
  <c r="L26" i="40"/>
  <c r="L25" i="40"/>
  <c r="L5" i="40"/>
  <c r="L30" i="40"/>
  <c r="L39" i="40"/>
  <c r="L32" i="40"/>
  <c r="L41" i="40"/>
  <c r="L43" i="40"/>
  <c r="L11" i="40"/>
  <c r="L45" i="40"/>
  <c r="L47" i="40"/>
  <c r="L54" i="40"/>
  <c r="L4" i="40"/>
  <c r="L13" i="40"/>
  <c r="L22" i="40"/>
  <c r="L34" i="40"/>
  <c r="L37" i="40"/>
  <c r="L50" i="40"/>
  <c r="L20" i="40"/>
  <c r="L33" i="40"/>
  <c r="L46" i="40"/>
  <c r="L59" i="40"/>
  <c r="L62" i="40"/>
  <c r="L89" i="40"/>
  <c r="L100" i="40"/>
  <c r="L114" i="40"/>
  <c r="L83" i="40"/>
  <c r="L108" i="40"/>
  <c r="L68" i="40"/>
  <c r="L77" i="40"/>
  <c r="L91" i="40"/>
  <c r="L116" i="40"/>
  <c r="L61" i="40"/>
  <c r="L74" i="40"/>
  <c r="L85" i="40"/>
  <c r="L110" i="40"/>
  <c r="L57" i="40"/>
  <c r="L70" i="40"/>
  <c r="L93" i="40"/>
  <c r="L118" i="40"/>
  <c r="L76" i="40"/>
  <c r="L87" i="40"/>
  <c r="L101" i="40"/>
  <c r="L112" i="40"/>
  <c r="L63" i="40"/>
  <c r="L95" i="40"/>
  <c r="L84" i="40"/>
  <c r="L109" i="40"/>
  <c r="L120" i="40"/>
  <c r="L56" i="40"/>
  <c r="L69" i="40"/>
  <c r="L72" i="40"/>
  <c r="L78" i="40"/>
  <c r="L103" i="40"/>
  <c r="L97" i="40"/>
  <c r="L65" i="40"/>
  <c r="L111" i="40"/>
  <c r="L80" i="40"/>
  <c r="L94" i="40"/>
  <c r="L105" i="40"/>
  <c r="L58" i="40"/>
  <c r="L71" i="40"/>
  <c r="L88" i="40"/>
  <c r="L119" i="40"/>
  <c r="L82" i="40"/>
  <c r="L113" i="40"/>
  <c r="L64" i="40"/>
  <c r="L67" i="40"/>
  <c r="L96" i="40"/>
  <c r="L107" i="40"/>
  <c r="L121" i="40"/>
  <c r="L79" i="40"/>
  <c r="L90" i="40"/>
  <c r="L60" i="40"/>
  <c r="L73" i="40"/>
  <c r="L104" i="40"/>
  <c r="L98" i="40"/>
  <c r="L66" i="40"/>
  <c r="L81" i="40"/>
  <c r="L92" i="40"/>
  <c r="L117" i="40"/>
  <c r="L75" i="40"/>
  <c r="L106" i="40"/>
  <c r="L86" i="40"/>
  <c r="L99" i="40"/>
  <c r="L102" i="40"/>
  <c r="L115" i="40"/>
  <c r="L2" i="40"/>
  <c r="L1" i="40" s="1"/>
  <c r="L1" i="3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BE153E-9484-4A22-B747-386987480F72}" keepAlive="1" name="ModelConnection_ExternalData_1" description="Data Model" type="5" refreshedVersion="8" minRefreshableVersion="5" saveData="1">
    <dbPr connection="Data Model Connection" command="financials_input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D28B8124-7EAF-4906-8304-C133ACEA22AD}" name="Query - financials_input" description="Connection to the 'financials_input' query in the workbook." type="100" refreshedVersion="8" minRefreshableVersion="5">
    <extLst>
      <ext xmlns:x15="http://schemas.microsoft.com/office/spreadsheetml/2010/11/main" uri="{DE250136-89BD-433C-8126-D09CA5730AF9}">
        <x15:connection id="5e3fbd90-746a-4d2a-ae1a-4d0477c2c3f2"/>
      </ext>
    </extLst>
  </connection>
  <connection id="3" xr16:uid="{A75A9DA2-D6B5-48B0-B50F-519F1A8FA3D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<sst xmlns="http://schemas.openxmlformats.org/spreadsheetml/2006/main" count="2072" uniqueCount="1898">
  <si>
    <t>Provision for Doubtful Accounts - Patient Service Revenue</t>
  </si>
  <si>
    <t>General Partner - Common Equity</t>
  </si>
  <si>
    <t>General Partner - Preferred Equity</t>
  </si>
  <si>
    <t>General Partner - Minority Interest</t>
  </si>
  <si>
    <t>General Partner Interest (Supple)</t>
  </si>
  <si>
    <t>Depreciation And Amortization Notes for Partial CF</t>
  </si>
  <si>
    <t>Amortization Of Goodwill Notes for Partial CF</t>
  </si>
  <si>
    <t>Contingent Rental Expense</t>
  </si>
  <si>
    <t>Short-Term Borrowing Derivatives</t>
  </si>
  <si>
    <t>Curr. Port. of LT Debt Derivatives</t>
  </si>
  <si>
    <t>Long-Term Debt Derivatives</t>
  </si>
  <si>
    <t>Current Derivative Assets</t>
  </si>
  <si>
    <t>Long-Term Derivative Assets</t>
  </si>
  <si>
    <t>Gross Intangible Assets</t>
  </si>
  <si>
    <t>Accumulated Amortization of Intangible Assets</t>
  </si>
  <si>
    <t>Gross Goodwill</t>
  </si>
  <si>
    <t>Accumulated Amortization of Goodwill</t>
  </si>
  <si>
    <t>Aircraft Rental Expense</t>
  </si>
  <si>
    <t>Current Derivative Liabilities</t>
  </si>
  <si>
    <t>Non-Current Derivative Liabilities</t>
  </si>
  <si>
    <t>Derivative Trading Asset Securities</t>
  </si>
  <si>
    <t>Net Income to Company</t>
  </si>
  <si>
    <t>Net Income to Parent</t>
  </si>
  <si>
    <t>Earnings to Parent before Extraordinary Items</t>
  </si>
  <si>
    <t>Redeemable Minority Interest</t>
  </si>
  <si>
    <t>Finance Division Redeemable Minority Interest</t>
  </si>
  <si>
    <t>Total Redeemable Minority Interest</t>
  </si>
  <si>
    <t>Finance Division Minority Interest</t>
  </si>
  <si>
    <t>Capitalized/Purchased Software</t>
  </si>
  <si>
    <t>Minimum Rental Expense</t>
  </si>
  <si>
    <t>Other Rental Expense</t>
  </si>
  <si>
    <t>Depreciation of Rental Assets</t>
  </si>
  <si>
    <t>Sale Proceeds from Rental Assets</t>
  </si>
  <si>
    <t>Cash Flow per Share</t>
  </si>
  <si>
    <t>Net Cash from Discontinued Ops. - Investing</t>
  </si>
  <si>
    <t>Net Cash from Discontinued Ops. - Financing</t>
  </si>
  <si>
    <t>Net Rental Expense, Total</t>
  </si>
  <si>
    <t>Net Rental Expense</t>
  </si>
  <si>
    <t>Net Rental Expense (Supple)</t>
  </si>
  <si>
    <t>Fees and Other Income</t>
  </si>
  <si>
    <t>Amortization of Negative Goodwill</t>
  </si>
  <si>
    <t>Amortization of Negative Goodwill - After Tax</t>
  </si>
  <si>
    <t>Book Value/Share (Reported)</t>
  </si>
  <si>
    <t>Accounts Receivables - Unbilled</t>
  </si>
  <si>
    <t>Net Income</t>
  </si>
  <si>
    <t>Total Current Assets</t>
  </si>
  <si>
    <t>Total Equity</t>
  </si>
  <si>
    <t>Common Stock</t>
  </si>
  <si>
    <t>Cash Interest Paid</t>
  </si>
  <si>
    <t>Cash Taxes Paid</t>
  </si>
  <si>
    <t>Accounts Payable</t>
  </si>
  <si>
    <t>Total Debt</t>
  </si>
  <si>
    <t>Interest Expense</t>
  </si>
  <si>
    <t>Gross Profit</t>
  </si>
  <si>
    <t>Treasury Stock</t>
  </si>
  <si>
    <t>Accounts Receivable</t>
  </si>
  <si>
    <t>Goodwill</t>
  </si>
  <si>
    <t>Revenues</t>
  </si>
  <si>
    <t>Total Revenues</t>
  </si>
  <si>
    <t>R &amp; D Exp.</t>
  </si>
  <si>
    <t>Depreciation &amp; Amort., Total</t>
  </si>
  <si>
    <t>Other Operating Expense/(Income)</t>
  </si>
  <si>
    <t>Other Operating Exp., Total</t>
  </si>
  <si>
    <t>Operating Income</t>
  </si>
  <si>
    <t>Interest and Invest. Income</t>
  </si>
  <si>
    <t>Net Interest Exp.</t>
  </si>
  <si>
    <t>EBT Excl Unusual Items</t>
  </si>
  <si>
    <t>Impairment of Goodwill</t>
  </si>
  <si>
    <t>Gain (Loss) On Sale Of Invest.</t>
  </si>
  <si>
    <t>Gain (Loss) On Sale Of Assets</t>
  </si>
  <si>
    <t>EBT Incl Unusual Items</t>
  </si>
  <si>
    <t>Income Tax Expense</t>
  </si>
  <si>
    <t>Earnings from Cont. Ops.</t>
  </si>
  <si>
    <t>Earnings of Discontinued Ops.</t>
  </si>
  <si>
    <t>Extraord. Item &amp; Account. Change</t>
  </si>
  <si>
    <t>Pref. Dividends and Other Adj.</t>
  </si>
  <si>
    <t>NI to Common Incl Extra Items</t>
  </si>
  <si>
    <t>NI to Common Excl Extra Items</t>
  </si>
  <si>
    <t>Basic EPS</t>
  </si>
  <si>
    <t>Basic EPS Excl. Extra Items</t>
  </si>
  <si>
    <t>Weighted Avg. Basic Shares Out.</t>
  </si>
  <si>
    <t>Diluted EPS</t>
  </si>
  <si>
    <t>Diluted EPS Excl Extra Items</t>
  </si>
  <si>
    <t>Weighted Avg. Diluted Shares Out.</t>
  </si>
  <si>
    <t>EBITDA</t>
  </si>
  <si>
    <t>Cash And Equivalents</t>
  </si>
  <si>
    <t>Short Term Investments</t>
  </si>
  <si>
    <t>Total Cash &amp; ST Investments</t>
  </si>
  <si>
    <t>Notes Receivable</t>
  </si>
  <si>
    <t>Total Receivables</t>
  </si>
  <si>
    <t>Inventory</t>
  </si>
  <si>
    <t>Prepaid Exp.</t>
  </si>
  <si>
    <t>Gross Property, Plant &amp; Equipment</t>
  </si>
  <si>
    <t>Accumulated Depreciation</t>
  </si>
  <si>
    <t>Net Property, Plant &amp; Equipment</t>
  </si>
  <si>
    <t>Other Intangibles</t>
  </si>
  <si>
    <t>Accrued Exp.</t>
  </si>
  <si>
    <t>Total Current Liabilities</t>
  </si>
  <si>
    <t>Retained Earnings</t>
  </si>
  <si>
    <t>Total Common Equity</t>
  </si>
  <si>
    <t>Total Liabilities And Equity</t>
  </si>
  <si>
    <t>Book Value/Share</t>
  </si>
  <si>
    <t>Net Debt</t>
  </si>
  <si>
    <t>Cash from Ops.</t>
  </si>
  <si>
    <t>Capital Expenditure</t>
  </si>
  <si>
    <t>Sale of Property, Plant, and Equipment</t>
  </si>
  <si>
    <t>Cash Acquisitions</t>
  </si>
  <si>
    <t>Divestitures</t>
  </si>
  <si>
    <t>Cash from Investing</t>
  </si>
  <si>
    <t>Short Term Debt Issued</t>
  </si>
  <si>
    <t>Long-Term Debt Issued</t>
  </si>
  <si>
    <t>Total Debt Issued</t>
  </si>
  <si>
    <t>Short Term Debt Repaid</t>
  </si>
  <si>
    <t>Long-Term Debt Repaid</t>
  </si>
  <si>
    <t>Total Debt Repaid</t>
  </si>
  <si>
    <t>Issuance of Common Stock</t>
  </si>
  <si>
    <t>Repurchase of Common</t>
  </si>
  <si>
    <t>Issuance of Pref. Stock</t>
  </si>
  <si>
    <t>Repurchase of Preferred</t>
  </si>
  <si>
    <t>Total Dividends Paid</t>
  </si>
  <si>
    <t>Cash from Financing</t>
  </si>
  <si>
    <t>Net Change in Cash</t>
  </si>
  <si>
    <t>Net Debt Issued</t>
  </si>
  <si>
    <t>Other Revenues</t>
  </si>
  <si>
    <t>Cost Of Goods Sold</t>
  </si>
  <si>
    <t>Selling General &amp; Admin Exp.</t>
  </si>
  <si>
    <t>Depreciation &amp; Amort.</t>
  </si>
  <si>
    <t>Other Non-Operating Inc. (Exp.)</t>
  </si>
  <si>
    <t>Merger &amp; Related Restruct. Charges</t>
  </si>
  <si>
    <t>Other Unusual Items</t>
  </si>
  <si>
    <t>Deferred Tax Assets, Curr.</t>
  </si>
  <si>
    <t>Other Current Assets</t>
  </si>
  <si>
    <t>Loans Receivable Long-Term</t>
  </si>
  <si>
    <t>Deferred Tax Assets, LT</t>
  </si>
  <si>
    <t>Other Long-Term Assets</t>
  </si>
  <si>
    <t>Unearned Revenue, Current</t>
  </si>
  <si>
    <t>Other Current Liabilities</t>
  </si>
  <si>
    <t>Def. Tax Liability, Non-Curr.</t>
  </si>
  <si>
    <t>Other Non-Current Liabilities</t>
  </si>
  <si>
    <t>Additional Paid In Capital</t>
  </si>
  <si>
    <t>Comprehensive Inc. and Other</t>
  </si>
  <si>
    <t>Amort. of Goodwill and Intangibles</t>
  </si>
  <si>
    <t>(Gain) Loss On Sale Of Invest.</t>
  </si>
  <si>
    <t>Tax Benefit from Stock Options</t>
  </si>
  <si>
    <t>Change in Acc. Receivable</t>
  </si>
  <si>
    <t>Change In Inventories</t>
  </si>
  <si>
    <t>Change in Acc. Payable</t>
  </si>
  <si>
    <t>Change in Unearned Rev.</t>
  </si>
  <si>
    <t>Change in Def. Taxes</t>
  </si>
  <si>
    <t>Net (Inc.) Dec. in Loans Originated/Sold</t>
  </si>
  <si>
    <t>Other Investing Activities</t>
  </si>
  <si>
    <t>Common Dividends Paid</t>
  </si>
  <si>
    <t>Pref. Dividends Paid</t>
  </si>
  <si>
    <t>Common and/or Pref. Dividends Paid</t>
  </si>
  <si>
    <t>Special Dividend Paid</t>
  </si>
  <si>
    <t>Other Financing Activities</t>
  </si>
  <si>
    <t>Foreign Exchange Rate Adj.</t>
  </si>
  <si>
    <t>Finance Div. Revenues</t>
  </si>
  <si>
    <t>Insurance Div. Revenues</t>
  </si>
  <si>
    <t>Interest And Invest. Income (Rev)</t>
  </si>
  <si>
    <t>Finance Div. Operating Exp.</t>
  </si>
  <si>
    <t>Insurance Div. Operating Exp.</t>
  </si>
  <si>
    <t>Interest Expense - Finance Division</t>
  </si>
  <si>
    <t>Income / (Loss) from Affiliates</t>
  </si>
  <si>
    <t>Currency Exchange Gains (Loss)</t>
  </si>
  <si>
    <t>Restructuring Charges</t>
  </si>
  <si>
    <t>Asset Writedown</t>
  </si>
  <si>
    <t>Insurance Settlements</t>
  </si>
  <si>
    <t>Legal Settlements</t>
  </si>
  <si>
    <t>Minority Int. in Earnings</t>
  </si>
  <si>
    <t>Trading Asset Securities</t>
  </si>
  <si>
    <t>Other Receivables</t>
  </si>
  <si>
    <t>Finance Div. Loans and Leases, ST</t>
  </si>
  <si>
    <t>Finance Div. Other Curr. Assets</t>
  </si>
  <si>
    <t>Loans Held For Sale</t>
  </si>
  <si>
    <t>Restricted Cash</t>
  </si>
  <si>
    <t>Long-term Investments</t>
  </si>
  <si>
    <t>Finance Div. Loans and Leases, LT</t>
  </si>
  <si>
    <t>Finance Div. Other LT Assets</t>
  </si>
  <si>
    <t>Accounts Receivable Long-Term</t>
  </si>
  <si>
    <t>Deferred Charges, LT</t>
  </si>
  <si>
    <t>Short-term Borrowings</t>
  </si>
  <si>
    <t>Current Portion of Long Term Debt</t>
  </si>
  <si>
    <t>Finance Div. Debt Current</t>
  </si>
  <si>
    <t>Finance Div. Other Curr. Liab.</t>
  </si>
  <si>
    <t>Curr. Income Taxes Payable</t>
  </si>
  <si>
    <t>Def. Tax Liability, Curr.</t>
  </si>
  <si>
    <t>Long-Term Debt</t>
  </si>
  <si>
    <t>Minority Interest</t>
  </si>
  <si>
    <t>Finance Div. Debt Non-Curr.</t>
  </si>
  <si>
    <t>Finance Div. Other Non-Curr. Liab.</t>
  </si>
  <si>
    <t>Unearned Revenue, Non-Current</t>
  </si>
  <si>
    <t>Pension &amp; Other Post-Retire. Benefits</t>
  </si>
  <si>
    <t>Pref. Stock, Redeemable</t>
  </si>
  <si>
    <t>Pref. Stock, Non-Redeem.</t>
  </si>
  <si>
    <t>Pref. Stock, Convertible</t>
  </si>
  <si>
    <t>Pref. Stock, Other</t>
  </si>
  <si>
    <t>Impair. of Oil, Gas &amp; Mineral Prop.</t>
  </si>
  <si>
    <t>(Gain) Loss From Sale Of Asset</t>
  </si>
  <si>
    <t>Asset Writedown &amp; Restructuring Costs</t>
  </si>
  <si>
    <t>Net (Increase) Decrease in Loans Orig./Sold</t>
  </si>
  <si>
    <t>Provision for Credit Losses</t>
  </si>
  <si>
    <t>(Income) Loss on Equity Invest.</t>
  </si>
  <si>
    <t>Stock-Based Compensation</t>
  </si>
  <si>
    <t>Provision &amp; Write-off of Bad debts</t>
  </si>
  <si>
    <t>Net Cash From Discontinued Ops.</t>
  </si>
  <si>
    <t>Other Operating Activities</t>
  </si>
  <si>
    <t>Change in Trad. Asset Securities</t>
  </si>
  <si>
    <t>Change in Inc. Taxes</t>
  </si>
  <si>
    <t>Exploration/Drilling Costs</t>
  </si>
  <si>
    <t>Provision for Bad Debts</t>
  </si>
  <si>
    <t>Pre-Opening Costs</t>
  </si>
  <si>
    <t>Misc. Cash Flow Adj.</t>
  </si>
  <si>
    <t>Net Income per SFAS 123 (after Options)</t>
  </si>
  <si>
    <t>Ticker</t>
  </si>
  <si>
    <t>As-Reported Total Revenue</t>
  </si>
  <si>
    <t>Filing Date</t>
  </si>
  <si>
    <t>Tangible Book Value/Share</t>
  </si>
  <si>
    <t>Total Capitalization</t>
  </si>
  <si>
    <t>LIFO Reserve</t>
  </si>
  <si>
    <t>Raw Materials Inventory</t>
  </si>
  <si>
    <t>Work in Progress Inventory</t>
  </si>
  <si>
    <t>Finished Goods Inventory</t>
  </si>
  <si>
    <t>Other Inventory Accounts</t>
  </si>
  <si>
    <t>Land</t>
  </si>
  <si>
    <t>Buildings</t>
  </si>
  <si>
    <t>Machinery</t>
  </si>
  <si>
    <t>Return on Assets (%)</t>
  </si>
  <si>
    <t>Return on Capital (%)</t>
  </si>
  <si>
    <t>Return on Equity (%)</t>
  </si>
  <si>
    <t>Gross Margin (%)</t>
  </si>
  <si>
    <t>EBITDA Margin (%)</t>
  </si>
  <si>
    <t>EBIT Margin (%)</t>
  </si>
  <si>
    <t>Net Income Margin (%)</t>
  </si>
  <si>
    <t>Total Asset Turnover</t>
  </si>
  <si>
    <t>Fixed Asset Turnover</t>
  </si>
  <si>
    <t>Accounts Receivable Turnover</t>
  </si>
  <si>
    <t>Inventory Turnover</t>
  </si>
  <si>
    <t>Current Ratio</t>
  </si>
  <si>
    <t>Quick Ratio</t>
  </si>
  <si>
    <t>Avg. Cash Conversion Cycle</t>
  </si>
  <si>
    <t>EBIT / Interest Expense</t>
  </si>
  <si>
    <t>Total Debt / EBITDA</t>
  </si>
  <si>
    <t>Net Debt / EBITDA</t>
  </si>
  <si>
    <t>Altman Z Score</t>
  </si>
  <si>
    <t>EBITDA / Interest Expense</t>
  </si>
  <si>
    <t>(EBITDA-CAPEX) / Interest Expense</t>
  </si>
  <si>
    <t>Avg. Days Sales Outstanding</t>
  </si>
  <si>
    <t>Avg. Days Inventory Outstanding</t>
  </si>
  <si>
    <t>Avg. Days Payable Outstanding</t>
  </si>
  <si>
    <t>Cash from Operations to Currrent Liabilities</t>
  </si>
  <si>
    <t>Total Debt / Equity (%)</t>
  </si>
  <si>
    <t>Total Debt / Capital (%)</t>
  </si>
  <si>
    <t>LT Debt / Equity (%)</t>
  </si>
  <si>
    <t>LT Debt / Capital (%)</t>
  </si>
  <si>
    <t>Total Liabilities / Total Assets (%)</t>
  </si>
  <si>
    <t>Stock Price</t>
  </si>
  <si>
    <t>Name</t>
  </si>
  <si>
    <t>FYE</t>
  </si>
  <si>
    <t>52W High</t>
  </si>
  <si>
    <t>52W Low</t>
  </si>
  <si>
    <t>Shares Out</t>
  </si>
  <si>
    <t>Market Cap</t>
  </si>
  <si>
    <t>Cash</t>
  </si>
  <si>
    <t>Pref. Stock</t>
  </si>
  <si>
    <t>Minority Int.</t>
  </si>
  <si>
    <t>LTM</t>
  </si>
  <si>
    <t>Total Assets</t>
  </si>
  <si>
    <t>TEV / Total Revenue</t>
  </si>
  <si>
    <t>TEV / EBITDA</t>
  </si>
  <si>
    <t>TEV / EBIT</t>
  </si>
  <si>
    <t>P/E</t>
  </si>
  <si>
    <t>P/BV</t>
  </si>
  <si>
    <t>P/Tangible BV</t>
  </si>
  <si>
    <t>Value</t>
  </si>
  <si>
    <t>TEV</t>
  </si>
  <si>
    <t>Gain/(Loss) on Sale Of Assets (Rev)</t>
  </si>
  <si>
    <t>Gain/(Loss) on Sale Of Invest.(Rev)</t>
  </si>
  <si>
    <t>In Process R &amp; D Exp.</t>
  </si>
  <si>
    <t>Sale/(Purchase) of Real Estate Properties</t>
  </si>
  <si>
    <t>Sale/(Purchase) of Intangible Assets</t>
  </si>
  <si>
    <t>Invest. in Marketable &amp; Equity Sec.</t>
  </si>
  <si>
    <t>Effective Tax Rate (%)</t>
  </si>
  <si>
    <t>Payout Ratio (%)</t>
  </si>
  <si>
    <t>Tangible Book Value</t>
  </si>
  <si>
    <t>Total Shares Out. on Balance Sheet Date</t>
  </si>
  <si>
    <t>EBITDA (Incl. Equity Inc. from Affiliates)</t>
  </si>
  <si>
    <t>EBITDA (Excl. SBC and Incl. Equity Inc. from Affiliates)</t>
  </si>
  <si>
    <t>EBITDA (Excl. SBC)</t>
  </si>
  <si>
    <t>EBIT (Incl. Equity Inc. from Affiliates)</t>
  </si>
  <si>
    <t>EBIT (Excl. SBC and Incl. Equity Inc. from Affiliates)</t>
  </si>
  <si>
    <t>EBIT (Excl. SBC)</t>
  </si>
  <si>
    <t>EBITA (Incl. Equity Inc. from Affiliates)</t>
  </si>
  <si>
    <t>EBITA (Excl. SBC and Incl. Equity Inc. from Affiliates)</t>
  </si>
  <si>
    <t>EBITA (Excl. SBC)</t>
  </si>
  <si>
    <t>EBITDAR (Incl. Equity Inc. from Affiliates)</t>
  </si>
  <si>
    <t>EBITDAR (Excl. SBC and Incl. Equity Inc. from Affiliates)</t>
  </si>
  <si>
    <t>EBITDAR (Excl. SBC)</t>
  </si>
  <si>
    <t>Restr. Stock Comp. Exp., Before Tax</t>
  </si>
  <si>
    <t>Restr. Stock Comp. Exp. Tax Effect</t>
  </si>
  <si>
    <t>Restr. Stock Comp. Exp., After Tax</t>
  </si>
  <si>
    <t>Stock Options Comp. Exp., Before Tax</t>
  </si>
  <si>
    <t>Stock Options Comp. Exp. Tax Effect</t>
  </si>
  <si>
    <t>Stock Options Comp. Exp., After Tax</t>
  </si>
  <si>
    <t>Stock Based Comp. Exp., Before Tax</t>
  </si>
  <si>
    <t>Stock Based Comp. Exp. Tax Effect</t>
  </si>
  <si>
    <t>Stock Based Comp. Exp., After Tax</t>
  </si>
  <si>
    <t>EBIT</t>
  </si>
  <si>
    <t>EBITA</t>
  </si>
  <si>
    <t>EBITDAR</t>
  </si>
  <si>
    <t>Interest Capitalized</t>
  </si>
  <si>
    <t>Normalized Basic EPS</t>
  </si>
  <si>
    <t>Normalized Diluted EPS</t>
  </si>
  <si>
    <t>Distributable Cash per Share</t>
  </si>
  <si>
    <t>Revenues per Share</t>
  </si>
  <si>
    <t>Special Dividend per Share</t>
  </si>
  <si>
    <t>Dividends per Share</t>
  </si>
  <si>
    <t>Period Length in Months</t>
  </si>
  <si>
    <t>Same Store Sales Growth</t>
  </si>
  <si>
    <t>Current Domestic Taxes</t>
  </si>
  <si>
    <t>Current Foreign Taxes</t>
  </si>
  <si>
    <t>Deferred Domestic Taxes</t>
  </si>
  <si>
    <t>Deferred Foreign Taxes</t>
  </si>
  <si>
    <t>Normalized Net Income</t>
  </si>
  <si>
    <t>Interest On Long Term Debt</t>
  </si>
  <si>
    <t>Non-Cash Pension Expense</t>
  </si>
  <si>
    <t>D&amp;A For EBITDA</t>
  </si>
  <si>
    <t>Distributable Cash</t>
  </si>
  <si>
    <t>Interest Expense (Incl. Cap. Interest)</t>
  </si>
  <si>
    <t>Common Stock Dividend Declared</t>
  </si>
  <si>
    <t>Marketing Expense</t>
  </si>
  <si>
    <t>Selling And Marketing Expense</t>
  </si>
  <si>
    <t>General and Administrative Expense</t>
  </si>
  <si>
    <t>Maintenance &amp; Repair Expenses</t>
  </si>
  <si>
    <t>Imputed Oper. Lease Interest Exp</t>
  </si>
  <si>
    <t>Imputed Oper. Lease Depreciation</t>
  </si>
  <si>
    <t>Stock-Based Comp., COGS</t>
  </si>
  <si>
    <t>Stock-Based Comp., R&amp;D Exp</t>
  </si>
  <si>
    <t>Stock-Based Comp., S&amp;M Exp</t>
  </si>
  <si>
    <t>Stock-Based Comp., G&amp;A Exp</t>
  </si>
  <si>
    <t>Stock-Based Comp., SG&amp;A Exp</t>
  </si>
  <si>
    <t>Stock-Based Comp., Unallocated</t>
  </si>
  <si>
    <t>Stock-Based Comp., After-Tax</t>
  </si>
  <si>
    <t>Stock-Based Comp., Total</t>
  </si>
  <si>
    <t>Annualized Distributions per Unit</t>
  </si>
  <si>
    <t>Restatement Type</t>
  </si>
  <si>
    <t>Calculation Type</t>
  </si>
  <si>
    <t>Filing Currency</t>
  </si>
  <si>
    <t>Diluted Net Income</t>
  </si>
  <si>
    <t>Depreciation (From Notes)</t>
  </si>
  <si>
    <t>Change in Net Working Capital</t>
  </si>
  <si>
    <t>Maintenance CAPEX</t>
  </si>
  <si>
    <t>Cash per Share</t>
  </si>
  <si>
    <t>Working Capital</t>
  </si>
  <si>
    <t>Net Working Capital</t>
  </si>
  <si>
    <t>Equity Method Investments</t>
  </si>
  <si>
    <t>Inventory Method</t>
  </si>
  <si>
    <t>Full Time Employees</t>
  </si>
  <si>
    <t>Part Time Employees</t>
  </si>
  <si>
    <t>Total Employees</t>
  </si>
  <si>
    <t>Finance Division Long-term Debt, Total</t>
  </si>
  <si>
    <t>Finance Division Short-term Debt, Total</t>
  </si>
  <si>
    <t>Cost of Borrowing</t>
  </si>
  <si>
    <t>Total Debt (Excl.Fin.Div.Debt)</t>
  </si>
  <si>
    <t>Order Backlog</t>
  </si>
  <si>
    <t>Distributable Cash Payout Ratio (Income Trusts)</t>
  </si>
  <si>
    <t>Advertising Expense</t>
  </si>
  <si>
    <t>Accumulated Allowance for Doubtful Accounts</t>
  </si>
  <si>
    <t>Minority Interest, Total</t>
  </si>
  <si>
    <t>R&amp;D Expense (Foot Note)</t>
  </si>
  <si>
    <t>Change In Other Net Operating Assets</t>
  </si>
  <si>
    <t>Avg Employees</t>
  </si>
  <si>
    <t>Temporary/Seasonal Employees</t>
  </si>
  <si>
    <t>Excise Taxes Excluded from Sales</t>
  </si>
  <si>
    <t>Excise Taxes Included in Sales</t>
  </si>
  <si>
    <t>Finance Division Debt, Total</t>
  </si>
  <si>
    <t>Financial Accounting Standard</t>
  </si>
  <si>
    <t>Total Debt Current</t>
  </si>
  <si>
    <t>Restricted Cash (Non-Current)</t>
  </si>
  <si>
    <t>Finance Division Cash and Equivalents</t>
  </si>
  <si>
    <t>Finance Division Short-Term Investments</t>
  </si>
  <si>
    <t>Cash Interest Paid - Operating Activities</t>
  </si>
  <si>
    <t>Cash Interest Paid - Investing Activities</t>
  </si>
  <si>
    <t>Cash Interest Paid - Financing Activities</t>
  </si>
  <si>
    <t>Cash Taxes Paid - Operating Activities</t>
  </si>
  <si>
    <t>Cash Taxes Paid - Investing Activities</t>
  </si>
  <si>
    <t>Cash Taxes Paid - Financing Activities</t>
  </si>
  <si>
    <t>USD</t>
  </si>
  <si>
    <t>Deferred Income Taxes, Total</t>
  </si>
  <si>
    <t>Distributable Cash Shares (Basic)</t>
  </si>
  <si>
    <t>Distributable Cash Shares (Diluted)</t>
  </si>
  <si>
    <t>Distributable Cash per Share (Diluted)</t>
  </si>
  <si>
    <t>Salaries and Other Employee Benefits</t>
  </si>
  <si>
    <t>Stock-Based Comp., Exploration/Drilling Exp.</t>
  </si>
  <si>
    <t>Employees Under Union Contracts</t>
  </si>
  <si>
    <t>Contingent Liabilities</t>
  </si>
  <si>
    <t>Liquidation Value of Preferred Stock - Convertible</t>
  </si>
  <si>
    <t>Liquidation Value of Preferred Stock - Non-Redeemable</t>
  </si>
  <si>
    <t>Liquidation Value of Preferred Stock - Redeemable</t>
  </si>
  <si>
    <t>Level 1 Assets - Quoted Prices</t>
  </si>
  <si>
    <t>Netting and Other Adj. to Assets</t>
  </si>
  <si>
    <t>Fair Value of Assets</t>
  </si>
  <si>
    <t>Level 1 Liabilities - Quoted Prices</t>
  </si>
  <si>
    <t>Netting and Other Adj. to Liabilities</t>
  </si>
  <si>
    <t>Fair Value of Liabilities</t>
  </si>
  <si>
    <t>Fair Value Change Included in Earnings</t>
  </si>
  <si>
    <t>Exploration/Drilling Exp.</t>
  </si>
  <si>
    <t>Debt Issuance Costs</t>
  </si>
  <si>
    <t>Period Date</t>
  </si>
  <si>
    <t>Cash Interest Paid Net of Interest Received</t>
  </si>
  <si>
    <t>Unusual Items, Total (Supple)</t>
  </si>
  <si>
    <t>Restructuring Charges (Supple)</t>
  </si>
  <si>
    <t>Merger &amp; Related Restruct. Charges (Supple)</t>
  </si>
  <si>
    <t>Impairment of Goodwill (Supple)</t>
  </si>
  <si>
    <t>Asset Writedown, Total (Supple)</t>
  </si>
  <si>
    <t>In Process R &amp; D Exp. (Supple)</t>
  </si>
  <si>
    <t>Insurance Settlements (Supple)</t>
  </si>
  <si>
    <t>Legal Settlements (Supple)</t>
  </si>
  <si>
    <t>Other Unusual Items (Supple)</t>
  </si>
  <si>
    <t>Total Shares Out. on Filing Date</t>
  </si>
  <si>
    <t>Level 2 Assets - Observable Prices</t>
  </si>
  <si>
    <t>Level 3 Assets - Unobservable Prices</t>
  </si>
  <si>
    <t>Level 2 Liabilities - Observable Prices</t>
  </si>
  <si>
    <t>Level 3 Liabilities - Unobservable Prices</t>
  </si>
  <si>
    <t>Other Amortization</t>
  </si>
  <si>
    <t>Return on Common Equity (%)</t>
  </si>
  <si>
    <t>Total Debt / (EBITDA-CAPEX)</t>
  </si>
  <si>
    <t>Net Debt / (EBITDA-CAPEX)</t>
  </si>
  <si>
    <t>Total Revenues/ Employee</t>
  </si>
  <si>
    <t>Shares per Depository Receipt</t>
  </si>
  <si>
    <t>EBITDA - CAPEX</t>
  </si>
  <si>
    <t>Tangible Book Value Per Share (Reported)</t>
  </si>
  <si>
    <t>Total Current Taxes</t>
  </si>
  <si>
    <t>Total Deferred Taxes</t>
  </si>
  <si>
    <t>Capex as % of Revenues</t>
  </si>
  <si>
    <t>Total Intangibles</t>
  </si>
  <si>
    <t>Standardized Distributable Cash</t>
  </si>
  <si>
    <t>Construction in Progress</t>
  </si>
  <si>
    <t>Leasehold Improvements</t>
  </si>
  <si>
    <t>Amortization of Debt Issuance Costs</t>
  </si>
  <si>
    <t>Amortization of Software Assets</t>
  </si>
  <si>
    <t>Deferred Tax Valuation Allowance</t>
  </si>
  <si>
    <t>Interest Income</t>
  </si>
  <si>
    <t>Warranty Liabilities</t>
  </si>
  <si>
    <t>Investment Income</t>
  </si>
  <si>
    <t>Depreciation on Right of Use Assets</t>
  </si>
  <si>
    <t>Operating Lease Payments</t>
  </si>
  <si>
    <t>Change in Operating Lease Liabilities</t>
  </si>
  <si>
    <t>Change in Operating Lease Liabilities Non-Cash</t>
  </si>
  <si>
    <t>Right-of-Use Asset-Gross</t>
  </si>
  <si>
    <t>Right-of-Use Asset-Accumulated Depreciation</t>
  </si>
  <si>
    <t>Right-of-Use Asset-Net</t>
  </si>
  <si>
    <t>Right-of-Use Asset-Capital Lease-Gross</t>
  </si>
  <si>
    <t>Right-of-Use Asset-Capital Lease-Accumulated Depreciation</t>
  </si>
  <si>
    <t>Right-of-Use Asset-Capital Lease-Net</t>
  </si>
  <si>
    <t>Right-of-Use Asset-Operating Lease-Gross</t>
  </si>
  <si>
    <t>Right-of-Use Asset-Operating Lease-Accumulated Depreciation</t>
  </si>
  <si>
    <t>Right-of-Use Asset-Operating Lease-Net</t>
  </si>
  <si>
    <t>Non-Recurring Income Taxes</t>
  </si>
  <si>
    <t>Interest Expenses On Lease Liability/Debt</t>
  </si>
  <si>
    <t>EBITDA, Lease Adjusted</t>
  </si>
  <si>
    <t>Lease Adjustment for EBITDA</t>
  </si>
  <si>
    <t>EBITDA (Incl. Equity Inc. from Affiliates, Excl. Op. Lease Adj.)</t>
  </si>
  <si>
    <t>As Reported EBITDA</t>
  </si>
  <si>
    <t>Gain on Bargain Acquisition</t>
  </si>
  <si>
    <t>Gain on Bargain Acquisition  - Supple</t>
  </si>
  <si>
    <t>Depreciation &amp; Amortization - CF, Excl. Operating Leases</t>
  </si>
  <si>
    <t>Depreciation &amp; Amort., Total, Excl. Operating Leases</t>
  </si>
  <si>
    <t>Long-Term Debt Repaid, Excl. Leases</t>
  </si>
  <si>
    <t>Total Debt Repaid, Excl. Leases</t>
  </si>
  <si>
    <t>Gain on Bargain Acquisition - (CF)</t>
  </si>
  <si>
    <t>Current Portion of Leases</t>
  </si>
  <si>
    <t>Long-Term Leases</t>
  </si>
  <si>
    <t>Gross PP&amp;E, Excl. Operating Leases</t>
  </si>
  <si>
    <t>Accumulated Depreciation, Excl. Operating Leases</t>
  </si>
  <si>
    <t>Net PP&amp;E, Excl. Operating Leases</t>
  </si>
  <si>
    <t>Finance Leases, Current</t>
  </si>
  <si>
    <t>Finance Leases, Long Term</t>
  </si>
  <si>
    <t>Total Finance Leases</t>
  </si>
  <si>
    <t>Current Portion of Operating Lease Liabilities</t>
  </si>
  <si>
    <t>Long-Term Portion of Operating Lease Liabilities</t>
  </si>
  <si>
    <t>Total Operating Leases</t>
  </si>
  <si>
    <t>Total Leases</t>
  </si>
  <si>
    <t>Current Financing Obligations, Excl. Operating Leases</t>
  </si>
  <si>
    <t>Non-Current Financing Obligations Excl. Operating Leases</t>
  </si>
  <si>
    <t>Total Debt, Excl. Operating Leases</t>
  </si>
  <si>
    <t>Total Debt, Excl. Leases</t>
  </si>
  <si>
    <t>Long Term Marketable Securities</t>
  </si>
  <si>
    <t>Advances for Supplies</t>
  </si>
  <si>
    <t>Goodwill and Intangibles (Net)</t>
  </si>
  <si>
    <t>Goodwill (Net)</t>
  </si>
  <si>
    <t>Intangibles (Net)</t>
  </si>
  <si>
    <t>Intercompany Non-Current Assets</t>
  </si>
  <si>
    <t>Intercompany Current Liabilities</t>
  </si>
  <si>
    <t>Intercompany Non-Current Liabilities</t>
  </si>
  <si>
    <t>EBITDA, Excl. Operating Leases/Interest Expense</t>
  </si>
  <si>
    <t>(EBITDA, Excl. Operating Leases-CAPEX)/Interest Exp.</t>
  </si>
  <si>
    <t>Total Debt / EBITDA, Excl. Operating Leases</t>
  </si>
  <si>
    <t>Net Debt/EBITDA, Excl. Operating Leases</t>
  </si>
  <si>
    <t>Total Debt/(EBITDA, Excl. Operating Leases - CAPEX)</t>
  </si>
  <si>
    <t>Net Debt/(EBITDA, Excl. Operating Leases - CAPEX)</t>
  </si>
  <si>
    <t>Natural Resources, at Cost</t>
  </si>
  <si>
    <t>Number Of ADR Holders</t>
  </si>
  <si>
    <t>Debt Equiv. of Unfunded Proj. Benefit Obligation</t>
  </si>
  <si>
    <t>Debt Equivalent Oper. Leases</t>
  </si>
  <si>
    <t>Total Restricted Cash</t>
  </si>
  <si>
    <t>Intercompany Current Assets</t>
  </si>
  <si>
    <t>Cash Dividend and Interest Received</t>
  </si>
  <si>
    <t>Levered Free Cash Flow</t>
  </si>
  <si>
    <t>Unlevered Free Cash Flow</t>
  </si>
  <si>
    <t>Total Liabilities</t>
  </si>
  <si>
    <t>Total Pref. Equity</t>
  </si>
  <si>
    <t>Total Non-Current Debt</t>
  </si>
  <si>
    <t>ticker</t>
  </si>
  <si>
    <t>% of 52W High</t>
  </si>
  <si>
    <t>% of 52W Low</t>
  </si>
  <si>
    <t>Total Revenue - FY</t>
  </si>
  <si>
    <t>Total Revenue - LTM</t>
  </si>
  <si>
    <t>Total Revenue - CY+1</t>
  </si>
  <si>
    <t>Total Revenue - CY+2</t>
  </si>
  <si>
    <t>EBITDA - FY</t>
  </si>
  <si>
    <t>EBITDA - LTM</t>
  </si>
  <si>
    <t>EBITDA - CY+1</t>
  </si>
  <si>
    <t>EBITDA - CY+2</t>
  </si>
  <si>
    <t>Diluted EPS - FY</t>
  </si>
  <si>
    <t>Diluted EPS - LTM</t>
  </si>
  <si>
    <t>Diluted EPS - CY+1</t>
  </si>
  <si>
    <t>Diluted EPS - CY+2</t>
  </si>
  <si>
    <t>TEV/Total Revenue - FY</t>
  </si>
  <si>
    <t>TEV/Total Revenue - LTM</t>
  </si>
  <si>
    <t>TEV/Total Revenue - CY+1</t>
  </si>
  <si>
    <t>TEV/Total Revenue - CY+2</t>
  </si>
  <si>
    <t>TEV/EBITDA - FY</t>
  </si>
  <si>
    <t>TEV/EBITDA - LTM</t>
  </si>
  <si>
    <t>TEV/EBITDA - CY+1</t>
  </si>
  <si>
    <t>TEV/EBITDA - CY+2</t>
  </si>
  <si>
    <t>PE - FY</t>
  </si>
  <si>
    <t>PE - LTM</t>
  </si>
  <si>
    <t>PE - CY+1</t>
  </si>
  <si>
    <t>PE - CY+2</t>
  </si>
  <si>
    <t>Price / - BV</t>
  </si>
  <si>
    <t>Price / - Tangible BV</t>
  </si>
  <si>
    <t>Gross Margin - FY-2</t>
  </si>
  <si>
    <t>Gross Margin - FY-1</t>
  </si>
  <si>
    <t>Gross Margin - FY</t>
  </si>
  <si>
    <t>Gross Margin - LTM</t>
  </si>
  <si>
    <t>Net Income Margin - FY-2</t>
  </si>
  <si>
    <t>Net Income Margin - FY-1</t>
  </si>
  <si>
    <t>Net Income Margin - FY</t>
  </si>
  <si>
    <t>Net Income Margin - LTM</t>
  </si>
  <si>
    <t>Total Revenue - 5-Yr CAGR</t>
  </si>
  <si>
    <t>Total Revenue - 3-Yr CAGR</t>
  </si>
  <si>
    <t>EBITDA - 5-Yr CAGR</t>
  </si>
  <si>
    <t>EBITDA - 3-Yr CAGR</t>
  </si>
  <si>
    <t>EPS - 5-Yr CAGR</t>
  </si>
  <si>
    <t>EPS - 3-Yr CAGR</t>
  </si>
  <si>
    <t>EPS - FY</t>
  </si>
  <si>
    <t>EPS - LTM</t>
  </si>
  <si>
    <t>Total Debt/LTM EBITDA</t>
  </si>
  <si>
    <t>Net Debt/LTM EBITDA</t>
  </si>
  <si>
    <t>(Debt+Pref)/LTM EBITDA</t>
  </si>
  <si>
    <t>EBITDA/Interest</t>
  </si>
  <si>
    <t>(EBITDA-Capex)/Interest</t>
  </si>
  <si>
    <t>Total Debt/Total Equity (%)</t>
  </si>
  <si>
    <t>Total Debt/Total Cap. (%)</t>
  </si>
  <si>
    <t>Total Debt/ROE</t>
  </si>
  <si>
    <t>Total Debt/ROA</t>
  </si>
  <si>
    <t>Total Debt/ROIC</t>
  </si>
  <si>
    <t>Avg. Days Sales Out.</t>
  </si>
  <si>
    <t>Avg. Days Inv. Out.</t>
  </si>
  <si>
    <t>Avg. Days Payable Out.</t>
  </si>
  <si>
    <t>Avg. Cash Conv. Cycle</t>
  </si>
  <si>
    <t>Avg. Total Assets</t>
  </si>
  <si>
    <t>Avg. Fixed Assets</t>
  </si>
  <si>
    <t>Avg. A/R</t>
  </si>
  <si>
    <t>Avg. Inventory</t>
  </si>
  <si>
    <t>H</t>
  </si>
  <si>
    <t>date_year</t>
  </si>
  <si>
    <t>2026</t>
  </si>
  <si>
    <t>date_month</t>
  </si>
  <si>
    <t>date_day</t>
  </si>
  <si>
    <t>currency</t>
  </si>
  <si>
    <t>date</t>
  </si>
  <si>
    <t>conversion</t>
  </si>
  <si>
    <t>Total Revenue (%, yoy)</t>
  </si>
  <si>
    <t>Gross Profit (%, yoy)</t>
  </si>
  <si>
    <t>EBITDA (%, yoy)</t>
  </si>
  <si>
    <t>EBIT (%, yoy)</t>
  </si>
  <si>
    <t>Net Income (%, yoy)</t>
  </si>
  <si>
    <t>Diluted EPS before Extra (%, yoy)</t>
  </si>
  <si>
    <t>Total Revenue (%, CAGR-3Y)</t>
  </si>
  <si>
    <t>Gross Profit (%, CAGR-3Y)</t>
  </si>
  <si>
    <t>EBITDA (%, CAGR-3Y)</t>
  </si>
  <si>
    <t>EBIT (%, CAGR-3Y)</t>
  </si>
  <si>
    <t>Net Income (%, CAGR-3Y)</t>
  </si>
  <si>
    <t>Diluted EPS before Extra (%, CAGR-3Y)</t>
  </si>
  <si>
    <t>Total Revenue (%, CAGR-5Y)</t>
  </si>
  <si>
    <t>Gross Profit (%, CAGR-5Y)</t>
  </si>
  <si>
    <t>EBITDA (%, CAGR-5Y)</t>
  </si>
  <si>
    <t>EBIT (%, CAGR-5Y)</t>
  </si>
  <si>
    <t>Net Income (%, CAGR-5Y)</t>
  </si>
  <si>
    <t>Diluted EPS before Extra (%, CAGR-5Y)</t>
  </si>
  <si>
    <t>RatiosDate</t>
  </si>
  <si>
    <t>(User access restricted)</t>
  </si>
  <si>
    <t>Period</t>
  </si>
  <si>
    <t>NASDAQ:MSFT</t>
  </si>
  <si>
    <t>7</t>
  </si>
  <si>
    <t>11</t>
  </si>
  <si>
    <t>BAABTAVMT0NBTAFI/////wFQBhoAACxDSVEuTkFTREFROk1TRlQuSVFfUEVSSU9EREFURS45OTAuMTEvMDcvMjAyNgEAAABLVQAABQAAAAozMC8wNi8yMDE1ADEstmpv394I271Gbm/f3ggsQ0lRLk5BU0RBUTpNU0ZULklRX1BFUklPRERBVEUuOTkyLjExLzA3LzIwMjYBAAAAS1UAAAUAAAAKMzAvMDYvMjAxNwAxLLZqb9/eCNu9Rm5v394ILENJUS5OQVNEQVE6TVNGVC5JUV9QRVJJT0REQVRFLjk5MS4xMS8wNy8yMDI2AQAAAEtVAAAFAAAACjMwLzA2LzIwMTYAMSy2am/f3ggpqkZub9/eCCxDSVEuTkFTREFROk1TRlQuSVFfUEVSSU9EREFURS45OTMuMTEvMDcvMjAyNgEAAABLVQAABQAAAAozMC8wNi8yMDE4ADEstmpv394I271Gbm/f3ggsQ0lRLk5BU0RBUTpNU0ZULklRX1BFUklPRERBVEUuOTk0LjExLzA3LzIwMjYBAAAAS1UAAAUAAAAKMzAvMDYvMjAxOQDTg7Vqb9/eCOpHRm5v394ILENJUS5OQVNEQVE6TVNGVC5JUV9QRVJJT0REQVRFLjk5NS4xMS8wNy8yMDI2AQAAAEtVAAAFAAAACjMwLzA2LzIwMjAA04O1am/f3gjZ0EVub9/eCCxDSVEuTkFTREFROk1TRlQuSVFfUEVSSU9EREFURS45OTYuMTEvMDcvMjAyNgEAAABLVQAABQAAAAozMC8wNi8yMDIxANODtWpv394I54JGbm/f3ggsQ0lRLk5BU0RBUTpNU0ZULklRX1BFUklPRERBVEUuOTk3LjExLzA3LzIwMjYBAAAAS1UAAAUAAAAKMzAvMDYv</t>
  </si>
  <si>
    <t>MjAyMgDTg7Vqb9/eCIypRW5v394ILENJUS5OQVNEQVE6TVNGVC5JUV9QRVJJT0REQVRFLjk5OC4xMS8wNy8yMDI2AQAAAEtVAAAFAAAACjMwLzA2LzIwMjMA04O1am/f3gjqR0Zub9/eCCxDSVEuTkFTREFROk1TRlQuSVFfUEVSSU9EREFURS45OTkuMTEvMDcvMjAyNgEAAABLVQAABQAAAAozMC8wNi8yMDI0ANODtWpv394InuRFbm/f3ggfQ0lRLk5BU0RBUTpNU0ZULklRX0NPTVBBTllfTkFNRQEAAABLVQAAAwAAABVNaWNyb3NvZnQgQ29ycG9yYXRpb24APLm0am/f3ghgVkxub9/eCB9DSVEuTkFTREFROk1TRlQuSVFfUVVJQ0tfQ09NUC41AQAAAEtVAAADAAAADU5hc2RhcUdTOkFNWk4APLm0am/f3ghya0xub9/eCB9DSVEuTkFTREFROk1TRlQuSVFfUVVJQ0tfQ09NUC42AQAAAEtVAAADAAAACE5ZU0U6Tk9XADy5tGpv394IcmtMbm/f3ggfQ0lRLk5BU0RBUTpNU0ZULklRX1FVSUNLX0NPTVAuNwEAAABLVQAAAwAAAAlOWVNFOlNOT1cAPLm0am/f3ghgVkxub9/eCB9DSVEuTkFTREFROk1TRlQuSVFfUVVJQ0tfQ09NUC44AQAAAEtVAAADAAAABk5ZU0U6UwA8ubRqb9/eCGBWTG5v394IH0NJUS5OQVNEQVE6TVNGVC5JUV9RVUlDS19DT01QLjIBAAAAS1UAAAMAAAANTmFzZGFxR1M6TlZEQQA8ubRqb9/eCGBWTG5v394IH0NJUS5OQVNEQVE6TVNGVC5JUV9RVUlDS19DT01QLjMBAAAAS1UAAAMAAAAOTmFz</t>
  </si>
  <si>
    <t>ZGFxR1M6R09PR0wAPLm0am/f3ghgVkxub9/eCB9DSVEuTkFTREFROk1TRlQuSVFfUVVJQ0tfQ09NUC40AQAAAEtVAAADAAAACE5ZU0U6Q1JNADy5tGpv394I7D5Mbm/f3gglQ0lRLk5BU0RBUTpNU0ZULklRX1NIQVJFU09VVFNUQU5ESU5HLgEAAABLVQAAAgAAAAs3NDI4LjQzNDcwNAA8ubRqb9/eCGBWTG5v394IHENJUS5OQVNEQVE6TVNGVC5JUV9QQlYuMjAwMC4BAAAAS1UAAAIAAAAQNi45MDQyODUxMTIwMTQ0NQEHAAAABQAAAAExAQAAAAstMTg5MzI5ODk5NQMAAAABMAIAAAAGMTAwMDY3BAAAAAEwBwAAAAk3LzEwLzIwMjYIAAAACTcvMTAvMjAyNjy5tGpv394I4ZNMbm/f3ggjQ0lRLk5BU0RBUTpNU0ZULklRX1RFVl9FQklUREEuMjAwMC4BAAAAS1UAAAIAAAAQMTQuNjcwNjI2NDIyNzcxNgEHAAAABQAAAAExAQAAAAstMTg5MzI5ODk5NQMAAAABMAIAAAAGMTAwMDYzBAAAAAEwBwAAAAk3LzEwLzIwMjYIAAAACTcvMTAvMjAyNjy5tGpv394IXH9Mbm/f3ggdQ0lRLk5BU0RBUTpNU0ZULklRX1BUQlYuMjAwMC4BAAAAS1UAAAIAAAAQMTAuMzg4OTA4MjgyNDc2OQEHAAAABQAAAAExAQAAAAstMTg5MzI5ODk5NQMAAAABMAIAAAAGMTAwMDY4BAAAAAEwBwAAAAk3LzEwLzIwMjYIAAAACTcvMTAvMjAyNjy5tGpv394I4ZNMbm/f3ggmQ0lRLk5BU0RBUTpNU0ZULklRX1RFVl9UT1RBTF9SRVYuMjAwMC4B</t>
  </si>
  <si>
    <t>AAAAS1UAAAIAAAAQOS4xMzY0Nzc4MTc4MTgwNAEHAAAABQAAAAExAQAAAAstMTg5MzI5ODk5NQMAAAABMAIAAAAGMTAwMDYxBAAAAAEwBwAAAAk3LzEwLzIwMjYIAAAACTcvMTAvMjAyNjy5tGpv394IXH9Mbm/f3gggQ0lRLk5BU0RBUTpNU0ZULklRX1BFX0VYQ0wuMjAwMC4BAAAAS1UAAAIAAAAQMjIuOTM2NTk4MDg0OTg3NgEHAAAABQAAAAExAQAAAAstMTg5MzI5ODk5NQMAAAABMAIAAAAGMTAwMDY2BAAAAAEwBwAAAAk3LzEwLzIwMjYIAAAACTcvMTAvMjAyNjy5tGpv394IXH9Mbm/f3gglQ0lRLk5BU0RBUTpNU0ZULklRX1BFX0VYQ0xfRldELjEwMDAyLgEAAABLVQAAAgAAABAxOC4zNzg3MDM0MjA4OTE5AQ0AAAAFAAAAATkBAAAABzI2MzA0MTMCAAAACTQ3NTUwMjM1MQMAAAAGMTAwMzA5BAAAAAEyBgAAAAEwBwAAAAMxNjAIAAAAATAJAAAAATEKAAAAATALAAAACzE0ODYwNjUyMzE4DAAAAAE3DQAAAAk3LzEyLzIwMjY8ubRqb9/eCOGTTG5v394IJUNJUS5OQVNEQVE6TVNGVC5JUV9QRV9FWENMX0ZXRC4xMDAwMS4BAAAAS1UAAAIAAAAQMjEuNDkxNjM0MzkxMDc5NwENAAAABQAAAAE5AQAAAAcyNjMwNDEzAgAAAAk0NzU1MDIzNTADAAAABjEwMDMwOQQAAAABMgYAAAABMAcAAAADMTYwCAAAAAEwCQAAAAExCgAAAAEwCwAAAAsxNDg2MDY1MjMwMgwAAAABNw0AAAAJNy8xMi8yMDI2PLm0am/f3gjh</t>
  </si>
  <si>
    <t>k0xub9/eCChDSVEuTkFTREFROk1TRlQuSVFfVEVWX0VCSVREQV9GV0QuMTAwMDIuAQAAAEtVAAACAAAAEDEwLjkyOTA1MTUxNTUzNjQBDQAAAAUAAAABOQEAAAAHMjYzMDQxMwIAAAAJNDc1NTAyMzUxAwAAAAYxMDAzMDgEAAAAATIGAAAAATAHAAAAAzE2MAgAAAABMAkAAAABMQoAAAABMAsAAAALMTQ4NTg2ODYxMzkMAAAAATcNAAAACTcvMTIvMjAyNjy5tGpv394IXH9Mbm/f3ggoQ0lRLk5BU0RBUTpNU0ZULklRX1RFVl9FQklUREFfRldELjEwMDAxLgEAAABLVQAAAgAAABAxMy4zOTU2MDE5MjczMDE4AQ0AAAAFAAAAATkBAAAABzI2MzA0MTMCAAAACTQ3NTUwMjM1MAMAAAAGMTAwMzA4BAAAAAEyBgAAAAEwBwAAAAMxNjAIAAAAATAJAAAAATEKAAAAATALAAAACzE0ODU4Njg2MTI3DAAAAAE3DQAAAAk3LzEyLzIwMjY8ubRqb9/eCFx/TG5v394IPUNJUS5OQVNEQVE6TVNGVC5JUV9HQUlOX0JBUkdBSU5fQUNRX0NGLjk5Ni4xMS8wNy8yMDI2Li4uVVNELkgBAAAAS1UAAAMAAAAAAECLKWtv394IcgtZbm/f3ggzQ0lRLk5BU0RBUTpNU0ZULklRX0xUX0lOVkVTVC45OTcuMTEvMDcvMjAyNi4uLlVTRC5IAQAAAEtVAAACAAAABDY4OTEBCAAAAAUAAAABMQEAAAALLTE5ODU5MzEyMjQDAAAAAzE2MAIAAAAEMTA1NAQAAAABMAcAAAAJNy8xMS8yMDI2CAAAAAk2LzMwLzIwMjIJAAAAATBAiylrb9/eCCP3WG5v</t>
  </si>
  <si>
    <t>394IM0NJUS5OQVNEQVE6TVNGVC5JUV9UT1RBTF9DQS4xMDAwLjExLzA3LzIwMjYuLi5VU0QuSAEAAABLVQAAAgAAAAYxOTExMzEBCAAAAAUAAAABMQEAAAALLTE5MzQyNTQyMTYDAAAAAzE2MAIAAAAEMTAwOAQAAAABMAcAAAAJNy8xMS8yMDI2CAAAAAk2LzMwLzIwMjUJAAAAATBAiylrb9/eCCP3WG5v394IOENJUS5OQVNEQVE6TVNGVC5JUV9PVEhFUl9DQV9TVVBQTC45OTQuMTEvMDcvMjAyNi4uLlVTRC5IAQAAAEtVAAACAAAABTEwMTMzAQgAAAAFAAAAATEBAAAACy0yMTQwOTgxNDY5AwAAAAMxNjACAAAABDEwNTUEAAAAATAHAAAACTcvMTEvMjAyNggAAAAJNi8zMC8yMDE5CQAAAAEwQIspa2/f3ggj91hub9/eCEFDSVEuTkFTREFROk1TRlQuSVFfREVGX1RBWF9BU1NFVFNfQ1VSUkVOVC4xMDAwLjExLzA3LzIwMjYuLi5VU0QuSAEAAABLVQAAAwAAAAAAQIspa2/f3ghyC1lub9/eCEBDSVEuTkFTREFROk1TRlQuSVFfRklOX0RJVl9BU1NFVFNfQ1VSUkVOVC45OTYuMTEvMDcvMjAyNi4uLlVTRC5IAQAAAEtVAAADAAAAAABAiylrb9/eCHILWW5v394IO0NJUS5OQVNEQVE6TVNGVC5JUV9DVVJSRU5UX1BPUlRfREVCVC45OTcuMTEvMDcvMjAyNi4uLlVTRC5IAQAAAEtVAAACAAAABDI3NDkBCAAAAAUAAAABMQEAAAALLTE5ODU5MzEyMjQDAAAAAzE2MAIAAAAEMTI5NwQAAAABMAcAAAAJNy8xMS8yMDI2</t>
  </si>
  <si>
    <t>CAAAAAk2LzMwLzIwMjIJAAAAATBAiylrb9/eCN7iWG5v394ILENJUS5OQVNEQVE6TVNGVC5JUV9BRS45OTUuMTEvMDcvMjAyNi4uLlVTRC5IAQAAAEtVAAACAAAABDc4NzQBCAAAAAUAAAABMQEAAAALLTIwODc0OTY2MjcDAAAAAzE2MAIAAAAEMTAxNgQAAAABMAcAAAAJNy8xMS8yMDI2CAAAAAk2LzMwLzIwMjAJAAAAATBAiylrb9/eCN7iWG5v394IOENJUS5OQVNEQVE6TVNGVC5JUV9ERUZfQ0hBUkdFU19MVC45OTkuMTEvMDcvMjAyNi4uLlVTRC5IAQAAAEtVAAADAAAAAABAiylrb9/eCCP3WG5v394IOUNJUS5OQVNEQVE6TVNGVC5JUV9MT0FOU19SRUNFSVZfTFQuOTk2LjExLzA3LzIwMjYuLi5VU0QuSAEAAABLVQAAAwAAAAAAQIspa2/f3ggj91hub9/eCDZDSVEuTkFTREFROk1TRlQuSVFfT1RIRVJfSU5UQU4uMTAwMC4xMS8wNy8yMDI2Li4uVVNELkgBAAAAS1UAAAIAAAAFMjI2MDQBCAAAAAUAAAABMQEAAAALLTE5MzQyNTQyMTYDAAAAAzE2MAIAAAAEMTA0MAQAAAABMAcAAAAJNy8xMS8yMDI2CAAAAAk2LzMwLzIwMjUJAAAAATBAiylrb9/eCCP3WG5v394IOUNJUS5OQVNEQVE6TVNGVC5JUV9QUkVGX05PTl9SRURFRU0uOTk5LjExLzA3LzIwMjYuLi5VU0QuSAEAAABLVQAAAwAAAAAAQIspa2/f3gje4lhub9/eCDRDSVEuTkFTREFROk1TRlQuSVFfVE9UQUxfTElBQi45OTYuMTEvMDcvMjAyNi4u</t>
  </si>
  <si>
    <t>LlVTRC5IAQAAAEtVAAACAAAABjE5MTc5MQEIAAAABQAAAAExAQAAAAstMjAzNjg0Mzg0MwMAAAADMTYwAgAAAAQxMjc2BAAAAAEwBwAAAAk3LzExLzIwMjYIAAAACTYvMzAvMjAyMQkAAAABMECLKWtv394I3uJYbm/f3gg4Q0lRLk5BU0RBUTpNU0ZULklRX1VORUFSTl9SRVZfTFQuMTAwMC4xMS8wNy8yMDI2Li4uVVNELkgBAAAAS1UAAAIAAAAEMjcxMAEIAAAABQAAAAExAQAAAAstMTkzNDI1NDIxNgMAAAADMTYwAgAAAAQxMjU2BAAAAAEwBwAAAAk3LzExLzIwMjYIAAAACTYvMzAvMjAyNQkAAAABMECLKWtv394I3uJYbm/f3gg5Q0lRLk5BU0RBUTpNU0ZULklRX0ZJTl9ESVZfREVCVF9MVC45OTcuMTEvMDcvMjAyNi4uLlVTRC5IAQAAAEtVAAADAAAAAABAiylrb9/eCN7iWG5v394IPkNJUS5OQVNEQVE6TVNGVC5JUV9ERUZfVEFYX0xJQUJfQ1VSUkVOVC45OTYuMTEvMDcvMjAyNi4uLlVTRC5IAQAAAEtVAAADAAAAAABAiylrb9/eCN7iWG5v394IRUNJUS5OQVNEQVE6TVNGVC5JUV9SVUFfQ0FQSVRBTF9MRUFTRV9BQ0NVTV9ERVAuOTk4LjExLzA3LzIwMjYuLi5VU0QuSAEAAABLVQAAAwAAAAAAQIspa2/f3ggfz1hub9/eCDZDSVEuTkFTREFROk1TRlQuSVFfVE9UQUxfRVFVSVRZLjk5OS4xMS8wNy8yMDI2Li4uVVNELkgBAAAAS1UAAAIAAAAGMjY4NDc3AQgAAAAFAAAAATEBAAAACy0xOTM0MjU0MTg1</t>
  </si>
  <si>
    <t>AwAAAAMxNjACAAAABDEyNzUEAAAAATAHAAAACTcvMTEvMjAyNggAAAAJNi8zMC8yMDI0CQAAAAEwQIspa2/f3ggfz1hub9/eCDtDSVEuTkFTREFROk1TRlQuSVFfTUlOT1JJVFlfSU5URVJFU1QuOTk0LjExLzA3LzIwMjYuLi5VU0QuSAEAAABLVQAAAwAAAAAAQIspa2/f3ggfz1hub9/eCCxDSVEuTkFTREFROk1TRlQuSVFfUkUuOTk4LjExLzA3LzIwMjYuLi5VU0QuSAEAAABLVQAAAgAAAAYxMTg4NDgBCAAAAAUAAAABMQEAAAALLTE5MzQyNTQyNTADAAAAAzE2MAIAAAAEMTIyMgQAAAABMAcAAAAJNy8xMS8yMDI2CAAAAAk2LzMwLzIwMjMJAAAAATBAiylrb9/eCB/PWG5v394IMENJUS5OQVNEQVE6TVNGVC5JUV9DT01NT04uOTk1LjExLzA3LzIwMjYuLi5VU0QuSAEAAABLVQAAAgAAAAU4MDU1MgEIAAAABQAAAAExAQAAAAstMjA4NzQ5NjYyNwMAAAADMTYwAgAAAAQxMTAzBAAAAAEwBwAAAAk3LzExLzIwMjYIAAAACTYvMzAvMjAyMAkAAAABMECLKWtv394IH89Ybm/f3gg7Q0lRLk5BU0RBUTpNU0ZULklRX0JWX1NIQVJFX1JFUE9SVEVELjk5Ni4xMS8wNy8yMDI2Li4uVVNELkgBAAAAS1UAAAMAAAAAAECLKWtv394IvqdYbm/f3gg2Q0lRLk5BU0RBUTpNU0ZULklRX1RPVEFMX0xFQVNFUy45OTguMTEvMDcvMjAyNi4uLlVTRC5IAQAAAEtVAAACAAAABTMyMjA0AQgAAAAFAAAAATEBAAAACy0xOTM0MjU0</t>
  </si>
  <si>
    <t>MjUwAwAAAAMxNjACAAAABTQ4OTc5BAAAAAEwBwAAAAk3LzExLzIwMjYIAAAACTYvMzAvMjAyMwkAAAABMECLKWtv394IvqdYbm/f3ghLQ0lRLk5BU0RBUTpNU0ZULklRX0xUX1BPUlRJT05fT1BFUl9MRUFTRV9MSUFCSUxJVElFUy45OTUuMTEvMDcvMjAyNi4uLlVTRC5IAQAAAEtVAAACAAAABDc2NzEBCAAAAAUAAAABMQEAAAALLTIwODc0OTY2MjcDAAAAAzE2MAIAAAAFNDgzODMEAAAAATAHAAAACTcvMTEvMjAyNggAAAAJNi8zMC8yMDIwCQAAAAEwQIspa2/f3gi+p1hub9/eCEBDSVEuTkFTREFROk1TRlQuSVFfRklOQU5DRV9MRUFTRVNfQ1VSUkVOVC45OTkuMTEvMDcvMjAyNi4uLlVTRC5IAQAAAEtVAAACAAAABDIzNDkBCAAAAAUAAAABMQEAAAALLTE5MzQyNTQxODUDAAAAAzE2MAIAAAAFNDg5OTAEAAAAATAHAAAACTcvMTEvMjAyNggAAAAJNi8zMC8yMDI0CQAAAAEwQIspa2/f3gi+p1hub9/eCD1DSVEuTkFTREFROk1TRlQuSVFfQURfRVhDTF9PUEVSX0xFQVNFUy45OTYuMTEvMDcvMjAyNi4uLlVTRC5IAQAAAEtVAAACAAAABi01MTM1MQEIAAAABQAAAAExAQAAAAstMjAzNjg0Mzg0MwMAAAADMTYwAgAAAAU0ODk3NQQAAAABMAcAAAAJNy8xMS8yMDI2CAAAAAk2LzMwLzIwMjEJAAAAATBAiylrb9/eCB/PWG5v394IM0NJUS5OQVNEQVE6TVNGVC5JUV9PVEhFUl9JTlYuOTk3LjExLzA3LzIwMjYu</t>
  </si>
  <si>
    <t>Li5VU0QuSAEAAABLVQAAAwAAAAAAQIspa2/f3gi+p1hub9/eCDFDSVEuTkFTREFROk1TRlQuSVFfV0lQX0lOVi45OTcuMTEvMDcvMjAyNi4uLlVTRC5IAQAAAEtVAAACAAAAAjgyAQgAAAAFAAAAATEBAAAACy0xOTg1OTMxMjI0AwAAAAMxNjACAAAABDMyMTkEAAAAATAHAAAACTcvMTEvMjAyNggAAAAJNi8zMC8yMDIyCQAAAAEwQIspa2/f3gi+p1hub9/eCDdDSVEuTkFTREFROk1TRlQuSVFfRVFVSVRZX01FVEhPRC45OTkuMTEvMDcvMjAyNi4uLlVTRC5IAQAAAEtVAAADAAAAAABAiylrb9/eCL6nWG5v394IMkNJUS5OQVNEQVE6TVNGVC5JUV9HV19JTlRBTi45OTguMTEvMDcvMjAyNi4uLlVTRC5IAQAAAEtVAAACAAAABTc3MjUyAQgAAAAFAAAAATEBAAAACy0xOTM0MjU0MjUwAwAAAAMxNjACAAAABTM1MzgxBAAAAAEwBwAAAAk3LzExLzIwMjYIAAAACTYvMzAvMjAyMwkAAAABMECLKWtv394IvqdYbm/f3gg8Q0lRLk5BU0RBUTpNU0ZULklRX1RCVl9TSEFSRV9SRVBPUlRFRC45OTguMTEvMDcvMjAyNi4uLlVTRC5IAQAAAEtVAAADAAAAAABAiylrb9/eCL6nWG5v394IPUNJUS5OQVNEQVE6TVNGVC5JUV9MSUFCSUxJVElFU19MRVZFTF8zLjk5NS4xMS8wNy8yMDI2Li4uVVNELkgBAAAAS1UAAAMAAAAAAECLKWtv394I4ZNYbm/f3ghMQ0lRLk5BU0RBUTpNU0ZULklRX0xJUVVJREFUSU9OX1ZBTFVFX1BS</t>
  </si>
  <si>
    <t>RUZFUlJFRF9SRURFRU0uOTk4LjExLzA3LzIwMjYuLi5VU0QuSAEAAABLVQAAAwAAAAAAQIspa2/f3gi+p1hub9/eCEhDSVEuTkFTREFROk1TRlQuSVFfVE9UQUxfR0VORVJBTF9QQVJUTkVSX0lOVEVSRVNULjk5OS4xMS8wNy8yMDI2Li4uVVNELkgBAAAAS1UAAAMAAAAAAECLKWtv394IvqdYbm/f3ghGQ0lRLk5BU0RBUTpNU0ZULklRX0ZJTl9ESVZfTUlOT1JJVFlfSU5UX1JFREVFTS4xMDAwLjExLzA3LzIwMjYuLi5VU0QuSAEAAABLVQAAAwAAAAAAQIspa2/f3gi+p1hub9/eCDNDSVEuTkFTREFROk1TRlQuSVFfQlVJTERJTkdTLjk5Ni4xMS8wNy8yMDI2Li4uVVNELkgBAAAAS1UAAAIAAAAFNDM5MjgBCAAAAAUAAAABMQEAAAALLTIwMzY4NDM4NDMDAAAAAzE2MAIAAAAEMzAyMwQAAAABMAcAAAAJNy8xMS8yMDI2CAAAAAk2LzMwLzIwMjEJAAAAATBAiylrb9/eCL6nWG5v394IMkNJUS5OQVNEQVE6TVNGVC5JUV9HUk9TU19HVy45OTQuMTEvMDcvMjAyNi4uLlVTRC5IAQAAAEtVAAADAAAAAABAiylrb9/eCOGTWG5v394IRUNJUS5OQVNEQVE6TVNGVC5JUV9ERVJJVkFUSVZFX0xJQUJfTk9OX0NVUlJFTlQuOTk5LjExLzA3LzIwMjYuLi5VU0QuSAEAAABLVQAAAgAAAAMzNTEBCAAAAAUAAAABMQEAAAALLTE5MzQyNTQxODUDAAAAAzE2MAIAAAAFNDA0MTkEAAAAATAHAAAACTcvMTEvMjAyNggAAAAJNi8z</t>
  </si>
  <si>
    <t>MC8yMDI0CQAAAAEwQIspa2/f3gjhk1hub9/eCD5DSVEuTkFTREFROk1TRlQuSVFfV0FSUkFOVFlfTElBQklMSVRJRVMuOTk4LjExLzA3LzIwMjYuLi5VU0QuSAEAAABLVQAAAwAAAAAAQIspa2/f3gjhk1hub9/eCDtDSVEuTkFTREFROk1TRlQuSVFfRklOX0RJVl9TVF9JTlZFU1QuOTk1LjExLzA3LzIwMjYuLi5VU0QuSAEAAABLVQAAAwAAAAAAQIspa2/f3gjhk1hub9/eCD9DSVEuTkFTREFROk1TRlQuSVFfRklOX0RJVl9MVF9ERUJUX1RPVEFMLjk5NC4xMS8wNy8yMDI2Li4uVVNELkgBAAAAS1UAAAMAAAAAAECLKWtv394I4ZNYbm/f3gg0Q0lRLk5BU0RBUTpNU0ZULklRX05FVF9DSEFOR0UuOTk5LjExLzA3LzIwMjYuLi5VU0QuSAEAAABLVQAAAgAAAAYtMTYzODkBCAAAAAUAAAABMQEAAAALLTE5MzQyNTQxODUDAAAAAzE2MAIAAAAEMjA5MwQAAAABMAcAAAAJNy8xMS8yMDI2CAAAAAk2LzMwLzIwMjQJAAAAATBAiylrb9/eCHxsWG5v394ILENJUS5OQVNEQVE6TVNGVC5JUV9GWC45OTUuMTEvMDcvMjAyNi4uLlVTRC5IAQAAAEtVAAACAAAABC0yMDEBCAAAAAUAAAABMQEAAAALLTIwODc0OTY2MjcDAAAAAzE2MAIAAAAEMjE0NAQAAAABMAcAAAAJNy8xMS8yMDI2CAAAAAk2LzMwLzIwMjAJAAAAATBAiylrb9/eCHxsWG5v394IOENJUS5OQVNEQVE6TVNGVC5JUV9TUEVDSUFMX0RJVl9DRi45OTUuMTEv</t>
  </si>
  <si>
    <t>MDcvMjAyNi4uLlVTRC5IAQAAAEtVAAADAAAAAABAiylrb9/eCHxsWG5v394IN0NJUS5OQVNEQVE6TVNGVC5JUV9DT01NT05fRElWX0NGLjk5Ny4xMS8wNy8yMDI2Li4uVVNELkgBAAAAS1UAAAIAAAAGLTE4MTM1AQgAAAAFAAAAATEBAAAACy0xOTg1OTMxMjI0AwAAAAMxNjACAAAABDIwNzQEAAAAATAHAAAACTcvMTEvMjAyNggAAAAJNi8zMC8yMDIyCQAAAAEwQIspa2/f3gh8bFhub9/eCDdDSVEuTkFTREFROk1TRlQuSVFfQ09NTU9OX0lTU1VFRC45OTkuMTEvMDcvMjAyNi4uLlVTRC5IAQAAAEtVAAACAAAABDIwMDIBCAAAAAUAAAABMQEAAAALLTE5MzQyNTQxODUDAAAAAzE2MAIAAAAEMjE2OQQAAAABMAcAAAAJNy8xMS8yMDI2CAAAAAk2LzMwLzIwMjQJAAAAATBAiylrb9/eCOGTWG5v394IPENJUS5OQVNEQVE6TVNGVC5JUV9DQVNIX0lOVEVSRVNUX09QRVIuOTk5LjExLzA3LzIwMjYuLi5VU0QuSAEAAABLVQAAAwAAAAAAQIspa2/f3gh8bFhub9/eCDdDSVEuTkFTREFROk1TRlQuSVFfQ0FTSF9JTlRFUkVTVC45OTkuMTEvMDcvMjAyNi4uLlVTRC5IAQAAAEtVAAACAAAABDE3MDABCAAAAAUAAAABMQEAAAALLTE5MzQyNTQxODUDAAAAAzE2MAIAAAAEMzAyOAQAAAABMAcAAAAJNy8xMS8yMDI2CAAAAAk2LzMwLzIwMjQJAAAAATBAiylrb9/eCHxsWG5v394IQkNJUS5OQVNEQVE6TVNGVC5JUV9BTU9S</t>
  </si>
  <si>
    <t>VF9TT0ZUV0FSRV9BU1NFVFNfQ0YuOTk1LjExLzA3LzIwMjYuLi5VU0QuSAEAAABLVQAAAwAAAAAAQIspa2/f3gh8bFhub9/eCEZDSVEuTkFTREFROk1TRlQuSVFfREFfU1VQUExfQ0ZfRVhDTF9PUEVSX0xFQVNFUy45OTcuMTEvMDcvMjAyNi4uLlVTRC5IAQAAAEtVAAACAAAABTEyNjAwAQgAAAAFAAAAATEBAAAACy0xOTg1OTMxMjI0AwAAAAMxNjACAAAABTQ4OTgzBAAAAAEwBwAAAAk3LzExLzIwMjYIAAAACTYvMzAvMjAyMgkAAAABMECLKWtv394IfGxYbm/f3gg0Q0lRLk5BU0RBUTpNU0ZULklRX0RFUFJFX1NVUFAuOTk3LjExLzA3LzIwMjYuLi5VU0QuSAEAAABLVQAAAgAAAAUxMjYwMAEIAAAABQAAAAExAQAAAAstMTk4NTkzMTIyNAMAAAADMTYwAgAAAAQyMTQzBAAAAAEwBwAAAAk3LzExLzIwMjYIAAAACTYvMzAvMjAyMgkAAAABMECLKWtv394IfGxYbm/f3gg9Q0lRLk5BU0RBUTpNU0ZULklRX0dBSU5fQkFSR0FJTl9BQ1FfQ0YuOTk1LjExLzA3LzIwMjYuLi5VU0QuSAEAAABLVQAAAwAAAAAAQIspa2/f3giKV1hub9/eCEVDSVEuTkFTREFROk1TRlQuSVFfT1BFUkFUSU5HX0xFQVNFX0xJQUJJTElUSUVTLjk5Ny4xMS8wNy8yMDI2Li4uVVNELkgBAAAAS1UAAAMAAAAAAECLKWtv394IildYbm/f3gg1Q0lRLk5BU0RBUTpNU0ZULklRX01BSU5UX0NBUEVYLjk5OS4xMS8wNy8yMDI2Li4uVVNELkgB</t>
  </si>
  <si>
    <t>AAAAS1UAAAMAAAAAAECLKWtv394IfGxYbm/f3ghEQ0lRLk5BU0RBUTpNU0ZULklRX0NIQU5HRV9ORVRfV09SS0lOR19DQVBJVEFMLjk5NS4xMS8wNy8yMDI2Li4uVVNELkgBAAAAS1UAAAIAAAAELTYzMAEIAAAABQAAAAExAQAAAAstMjA4NzQ5NjYyNwMAAAADMTYwAgAAAAQ0NDIxBAAAAAEwBwAAAAk3LzExLzIwMjYIAAAACTYvMzAvMjAyMAkAAAABMECLKWtv394IfGxYbm/f3gg5Q0lRLk5BU0RBUTpNU0ZULklRX0NBU0hfVEFYRVNfT1BFUi45OTcuMTEvMDcvMjAyNi4uLlVTRC5IAQAAAEtVAAADAAAAAABAiylrb9/eCHxsWG5v394IQENJUS5OQVNEQVE6TVNGVC5JUV9ERUZfVEFYX0FTU0VUU19DVVJSRU5ULjk5OS4xMS8wNy8yMDI2Li4uVVNELkgBAAAAS1UAAAMAAAAAAECLKWtv394IsUNYbm/f3ghAQ0lRLk5BU0RBUTpNU0ZULklRX0ZJTl9ESVZfQVNTRVRTX0NVUlJFTlQuOTk1LjExLzA3LzIwMjYuLi5VU0QuSAEAAABLVQAAAwAAAAAAQIspa2/f3gixQ1hub9/eCDNDSVEuTkFTREFROk1TRlQuSVFfSU5WRU5UT1JZLjk5NS4xMS8wNy8yMDI2Li4uVVNELkgBAAAAS1UAAAIAAAAEMTg5NQEIAAAABQAAAAExAQAAAAstMjA4NzQ5NjYyNwMAAAADMTYwAgAAAAQxMDQzBAAAAAEwBwAAAAk3LzExLzIwMjYIAAAACTYvMzAvMjAyMAkAAAABMECLKWtv394IildYbm/f3ggsQ0lRLk5BU0RBUTpNU0ZULklR</t>
  </si>
  <si>
    <t>X0FSLjk5Ny4xMS8wNy8yMDI2Li4uVVNELkgBAAAAS1UAAAIAAAAFNDQyNjEBCAAAAAUAAAABMQEAAAALLTE5ODU5MzEyMjQDAAAAAzE2MAIAAAAEMTAyMQQAAAABMAcAAAAJNy8xMS8yMDI2CAAAAAk2LzMwLzIwMjIJAAAAATBAiylrb9/eCIpXWG5v394INENJUS5OQVNEQVE6TVNGVC5JUV9DQVNIX0VRVUlWLjk5OS4xMS8wNy8yMDI2Li4uVVNELkgBAAAAS1UAAAIAAAAFMTgzMTUBCAAAAAUAAAABMQEAAAALLTE5MzQyNTQxODUDAAAAAzE2MAIAAAAEMTA5NgQAAAABMAcAAAAJNy8xMS8yMDI2CAAAAAk2LzMwLzIwMjQJAAAAATBAiylrb9/eCIpXWG5v394IOENJUS5OQVNEQVE6TVNGVC5JUV9ERUZfQ0hBUkdFU19MVC45OTguMTEvMDcvMjAyNi4uLlVTRC5IAQAAAEtVAAADAAAAAABAiylrb9/eCBAcWG5v394IOUNJUS5OQVNEQVE6TVNGVC5JUV9MT0FOU19SRUNFSVZfTFQuOTk1LjExLzA3LzIwMjYuLi5VU0QuSAEAAABLVQAAAwAAAAAAQIspa2/f3gi8L1hub9/eCDVDSVEuTkFTREFROk1TRlQuSVFfT1RIRVJfSU5UQU4uOTk5LjExLzA3LzIwMjYuLi5VU0QuSAEAAABLVQAAAgAAAAUyNzU5NwEIAAAABQAAAAExAQAAAAstMTkzNDI1NDE4NQMAAAADMTYwAgAAAAQxMDQwBAAAAAEwBwAAAAk3LzExLzIwMjYIAAAACTYvMzAvMjAyNAkAAAABMECLKWtv394IvC9Ybm/f3ggsQ0lRLk5BU0RBUTpNU0ZULklR</t>
  </si>
  <si>
    <t>X0dXLjk5NC4xMS8wNy8yMDI2Li4uVVNELkgBAAAAS1UAAAIAAAAFNDIwMjYBCAAAAAUAAAABMQEAAAALLTIxNDA5ODE0NjkDAAAAAzE2MAIAAAAEMTE3MQQAAAABMAcAAAAJNy8xMS8yMDI2CAAAAAk2LzMwLzIwMTkJAAAAATBAiylrb9/eCLwvWG5v394ILkNJUS5OQVNEQVE6TVNGVC5JUV9HUFBFLjk5Ny4xMS8wNy8yMDI2Li4uVVNELkgBAAAAS1UAAAIAAAAGMTQ3MjA2AQgAAAAFAAAAATEBAAAACy0xOTg1OTMxMjI0AwAAAAMxNjACAAAABDExNjkEAAAAATAHAAAACTcvMTEvMjAyNggAAAAJNi8zMC8yMDIyCQAAAAEwQIspa2/f3gixQ1hub9/eCDlDSVEuTkFTREFROk1TRlQuSVFfRklOX0RJVl9MSUFCX0xULjk5NC4xMS8wNy8yMDI2Li4uVVNELkgBAAAAS1UAAAMAAAAAAECLKWtv394IEBxYbm/f3gg5Q0lRLk5BU0RBUTpNU0ZULklRX09USEVSX0NMX1NVUFBMLjEwMDAuMTEvMDcvMjAyNi4uLlVTRC5IAQAAAEtVAAACAAAABTE2NDI0AQgAAAAFAAAAATEBAAAACy0xOTM0MjU0MjE2AwAAAAMxNjACAAAABDEwNTcEAAAAATAHAAAACTcvMTEvMjAyNggAAAAJNi8zMC8yMDI1CQAAAAEwQIspa2/f3ggQHFhub9/eCD5DSVEuTkFTREFROk1TRlQuSVFfREVGX1RBWF9MSUFCX0NVUlJFTlQuOTk1LjExLzA3LzIwMjYuLi5VU0QuSAEAAABLVQAAAwAAAAAAQIspa2/f3ggQHFhub9/eCD5DSVEuTkFTREFROk1T</t>
  </si>
  <si>
    <t>RlQuSVFfRklOX0RJVl9ERUJUX0NVUlJFTlQuOTk5LjExLzA3LzIwMjYuLi5VU0QuSAEAAABLVQAAAwAAAAAAQIspa2/f3ggQHFhub9/eCDtDSVEuTkFTREFROk1TRlQuSVFfQ1VSUkVOVF9QT1JUX0RFQlQuOTk2LjExLzA3LzIwMjYuLi5VU0QuSAEAAABLVQAAAgAAAAQ4MDcyAQgAAAAFAAAAATEBAAAACy0yMDM2ODQzODQzAwAAAAMxNjACAAAABDEyOTcEAAAAATAHAAAACTcvMTEvMjAyNggAAAAJNi8zMC8yMDIxCQAAAAEwQIspa2/f3ggQHFhub9/eCCxDSVEuTkFTREFROk1TRlQuSVFfUkUuOTk3LjExLzA3LzIwMjYuLi5VU0QuSAEAAABLVQAAAgAAAAU4NDI4MQEIAAAABQAAAAExAQAAAAstMTk4NTkzMTIyNAMAAAADMTYwAgAAAAQxMjIyBAAAAAEwBwAAAAk3LzExLzIwMjYIAAAACTYvMzAvMjAyMgkAAAABMECLKWtv394Ik/RXbm/f3ggwQ0lRLk5BU0RBUTpNU0ZULklRX0NPTU1PTi45OTQuMTEvMDcvMjAyNi4uLlVTRC5IAQAAAEtVAAACAAAABTc4NTIwAQgAAAAFAAAAATEBAAAACy0yMTQwOTgxNDY5AwAAAAMxNjACAAAABDExMDMEAAAAATAHAAAACTcvMTEvMjAyNggAAAAJNi8zMC8yMDE5CQAAAAEwQIspa2/f3giT9Fdub9/eCDlDSVEuTkFTREFROk1TRlQuSVFfUFJFRl9OT05fUkVERUVNLjk5OC4xMS8wNy8yMDI2Li4uVVNELkgBAAAAS1UAAAMAAAAAAECLKWtv394Ik/RXbm/f3gg0Q0lRLk5B</t>
  </si>
  <si>
    <t>U0RBUTpNU0ZULklRX1RPVEFMX0xJQUIuOTk1LjExLzA3LzIwMjYuLi5VU0QuSAEAAABLVQAAAgAAAAYxODMwMDcBCAAAAAUAAAABMQEAAAALLTIwODc0OTY2MjcDAAAAAzE2MAIAAAAEMTI3NgQAAAABMAcAAAAJNy8xMS8yMDI2CAAAAAk2LzMwLzIwMjAJAAAAATBAiylrb9/eCJP0V25v394IN0NJUS5OQVNEQVE6TVNGVC5JUV9VTkVBUk5fUkVWX0xULjk5OS4xMS8wNy8yMDI2Li4uVVNELkgBAAAAS1UAAAIAAAAEMjYwMgEIAAAABQAAAAExAQAAAAstMTkzNDI1NDE4NQMAAAADMTYwAgAAAAQxMjU2BAAAAAEwBwAAAAk3LzExLzIwMjYIAAAACTYvMzAvMjAyNAkAAAABMECLKWtv394IEBxYbm/f3ghAQ0lRLk5BU0RBUTpNU0ZULklRX0ZJTkFOQ0VfTEVBU0VTX0NVUlJFTlQuOTk4LjExLzA3LzIwMjYuLi5VU0QuSAEAAABLVQAAAgAAAAQxMTk3AQgAAAAFAAAAATEBAAAACy0xOTM0MjU0MjUwAwAAAAMxNjACAAAABTQ4OTkwBAAAAAEwBwAAAAk3LzExLzIwMjYIAAAACTYvMzAvMjAyMwkAAAABMECLKWtv394Ik/RXbm/f3gg9Q0lRLk5BU0RBUTpNU0ZULklRX0FEX0VYQ0xfT1BFUl9MRUFTRVMuOTk1LjExLzA3LzIwMjYuLi5VU0QuSAEAAABLVQAAAgAAAAYtNDMxOTcBCAAAAAUAAAABMQEAAAALLTIwODc0OTY2MjcDAAAAAzE2MAIAAAAFNDg5NzUEAAAAATAHAAAACTcvMTEvMjAyNggAAAAJNi8zMC8yMDIw</t>
  </si>
  <si>
    <t>CQAAAAEwQIspa2/f3giT9Fdub9/eCENDSVEuTkFTREFROk1TRlQuSVFfUlVBX09QRVJBVElOR19MRUFTRV9HUk9TUy45OTkuMTEvMDcvMjAyNi4uLlVTRC5IAQAAAEtVAAACAAAABTE4OTYxAQgAAAAFAAAAATEBAAAACy0xOTM0MjU0MTg1AwAAAAMxNjACAAAABTQ4Mzc3BAAAAAEwBwAAAAk3LzExLzIwMjYIAAAACTYvMzAvMjAyNAkAAAABMECLKWtv394Ik/RXbm/f3ghFQ0lRLk5BU0RBUTpNU0ZULklRX1JVQV9DQVBJVEFMX0xFQVNFX0FDQ1VNX0RFUC45OTcuMTEvMDcvMjAyNi4uLlVTRC5IAQAAAEtVAAADAAAAAABAiylrb9/eCJP0V25v394IO0NJUS5OQVNEQVE6TVNGVC5JUV9UT1RBTF9MSUFCX0VRVUlUWS45OTYuMTEvMDcvMjAyNi4uLlVTRC5IAQAAAEtVAAACAAAABjMzMzc3OQEIAAAABQAAAAExAQAAAAstMjAzNjg0Mzg0MwMAAAADMTYwAgAAAAQxMDEzBAAAAAEwBwAAAAk3LzExLzIwMjYIAAAACTYvMzAvMjAyMQkAAAABMECLKWtv394Ik/RXbm/f3gg8Q0lRLk5BU0RBUTpNU0ZULklRX1RCVl9TSEFSRV9SRVBPUlRFRC45OTcuMTEvMDcvMjAyNi4uLlVTRC5IAQAAAEtVAAADAAAAAABAiylrb9/eCNLgV25v394IO0NJUS5OQVNEQVE6TVNGVC5JUV9CVl9TSEFSRV9SRVBPUlRFRC45OTUuMTEvMDcvMjAyNi4uLlVTRC5IAQAAAEtVAAADAAAAAABAiylrb9/eCJP0V25v394IVkNJUS5OQVNEQVE6</t>
  </si>
  <si>
    <t>TVNGVC5JUV9GSU5BTkNJTkdfT0JMSUdfTk9OX0NVUlJFTlRfRVhDTF9PUEVSX0xFQVNFUy45OTkuMTEvMDcvMjAyNi4uLlVTRC5IAQAAAEtVAAACAAAABTY3NDg0AQgAAAAFAAAAATEBAAAACy0xOTM0MjU0MTg1AwAAAAMxNjACAAAABTQ4OTgxBAAAAAEwBwAAAAk3LzExLzIwMjYIAAAACTYvMzAvMjAyNAkAAAABMECLKWtv394Ik/RXbm/f3gg2Q0lRLk5BU0RBUTpNU0ZULklRX1RPVEFMX0xFQVNFUy45OTcuMTEvMDcvMjAyNi4uLlVTRC5IAQAAAEtVAAACAAAABTI4NjE5AQgAAAAFAAAAATEBAAAACy0xOTg1OTMxMjI0AwAAAAMxNjACAAAABTQ4OTc5BAAAAAEwBwAAAAk3LzExLzIwMjYIAAAACTYvMzAvMjAyMgkAAAABMECLKWtv394Ik/RXbm/f3ghLQ0lRLk5BU0RBUTpNU0ZULklRX0xUX1BPUlRJT05fT1BFUl9MRUFTRV9MSUFCSUxJVElFUy45OTQuMTEvMDcvMjAyNi4uLlVTRC5IAQAAAEtVAAACAAAABDYxODgBCAAAAAUAAAABMQEAAAALLTIxNDA5ODE0NjkDAAAAAzE2MAIAAAAFNDgzODMEAAAAATAHAAAACTcvMTEvMjAyNggAAAAJNi8zMC8yMDE5CQAAAAEwQIspa2/f3giT9Fdub9/eCDNDSVEuTkFTREFROk1TRlQuSVFfT1RIRVJfSU5WLjk5Ni4xMS8wNy8yMDI2Li4uVVNELkgBAAAAS1UAAAMAAAAAAECLKWtv394I0uBXbm/f3ggxQ0lRLk5BU0RBUTpNU0ZULklRX1dJUF9JTlYuOTk2LjExLzA3</t>
  </si>
  <si>
    <t>LzIwMjYuLi5VU0QuSAEAAABLVQAAAgAAAAI3OQEIAAAABQAAAAExAQAAAAstMjAzNjg0Mzg0MwMAAAADMTYwAgAAAAQzMjE5BAAAAAEwBwAAAAk3LzExLzIwMjYIAAAACTYvMzAvMjAyMQkAAAABMECLKWtv394I0uBXbm/f3ggvQ0lRLk5BU0RBUTpNU0ZULklRX0xJRk9SLjk5Ni4xMS8wNy8yMDI2Li4uVVNELkgBAAAAS1UAAAMAAAAAAECLKWtv394I0uBXbm/f3gg3Q0lRLk5BU0RBUTpNU0ZULklRX0VRVUlUWV9NRVRIT0QuOTk4LjExLzA3LzIwMjYuLi5VU0QuSAEAAABLVQAAAwAAAAAAQIspa2/f3gjS4Fdub9/eCDJDSVEuTkFTREFROk1TRlQuSVFfR1dfSU5UQU4uOTk1LjExLzA3LzIwMjYuLi5VU0QuSAEAAABLVQAAAgAAAAU1MDM4OQEIAAAABQAAAAExAQAAAAstMjA4NzQ5NjYyNwMAAAADMTYwAgAAAAUzNTM4MQQAAAABMAcAAAAJNy8xMS8yMDI2CAAAAAk2LzMwLzIwMjAJAAAAATBAiylrb9/eCNLgV25v394IP0NJUS5OQVNEQVE6TVNGVC5JUV9GSU5fRElWX0xUX0RFQlRfVE9UQUwuOTk4LjExLzA3LzIwMjYuLi5VU0QuSAEAAABLVQAAAwAAAAAAQIspa2/f3gh7uVdub9/eCExDSVEuTkFTREFROk1TRlQuSVFfTElRVUlEQVRJT05fVkFMVUVfUFJFRkVSUkVEX1JFREVFTS45OTcuMTEvMDcvMjAyNi4uLlVTRC5IAQAAAEtVAAADAAAAAABAiylrb9/eCHu5V25v394ISENJUS5OQVNEQVE6TVNGVC5J</t>
  </si>
  <si>
    <t>UV9UT1RBTF9HRU5FUkFMX1BBUlRORVJfSU5URVJFU1QuOTk3LjExLzA3LzIwMjYuLi5VU0QuSAEAAABLVQAAAwAAAAAAQIspa2/f3gh7uVdub9/eCEZDSVEuTkFTREFROk1TRlQuSVFfR0VORVJBTF9QQVJUTkVSX1BSRUZfRVFVSVRZLjEwMDAuMTEvMDcvMjAyNi4uLlVTRC5IAQAAAEtVAAADAAAAAABAiylrb9/eCHu5V25v394IRUNJUS5OQVNEQVE6TVNGVC5JUV9GSU5fRElWX01JTk9SSVRZX0lOVF9SRURFRU0uOTk5LjExLzA3LzIwMjYuLi5VU0QuSAEAAABLVQAAAwAAAAAAQIspa2/f3gh7uVdub9/eCDNDSVEuTkFTREFROk1TRlQuSVFfSU5WRU5UT1JZLjk5NC4xMS8wNy8yMDI2Li4uVVNELkgBAAAAS1UAAAIAAAAEMjA2MwEIAAAABQAAAAExAQAAAAstMjE0MDk4MTQ2OQMAAAADMTYwAgAAAAQxMDQzBAAAAAEwBwAAAAk3LzExLzIwMjYIAAAACTYvMzAvMjAxOQkAAAABMECLKWtv394Ie7lXbm/f3ggsQ0lRLk5BU0RBUTpNU0ZULklRX0FSLjk5Ni4xMS8wNy8yMDI2Li4uVVNELkgBAAAAS1UAAAIAAAAFMzgwNDMBCAAAAAUAAAABMQEAAAALLTIwMzY4NDM4NDMDAAAAAzE2MAIAAAAEMTAyMQQAAAABMAcAAAAJNy8xMS8yMDI2CAAAAAk2LzMwLzIwMjEJAAAAATBAiylrb9/eCHu5V25v394INENJUS5OQVNEQVE6TVNGVC5JUV9DQVNIX0VRVUlWLjk5OC4xMS8wNy8yMDI2Li4uVVNELkgBAAAAS1UAAAIA</t>
  </si>
  <si>
    <t>AAAFMzQ3MDQBCAAAAAUAAAABMQEAAAALLTE5MzQyNTQyNTADAAAAAzE2MAIAAAAEMTA5NgQAAAABMAcAAAAJNy8xMS8yMDI2CAAAAAk2LzMwLzIwMjMJAAAAATBAiylrb9/eCHu5V25v394IOUNJUS5OQVNEQVE6TVNGVC5JUV9JTlRFUkNPTVBBTllfQ0EuOTk0LjExLzA3LzIwMjYuLi5VU0QuSAEAAABLVQAAAwAAAAAAQIspa2/f3gh7uVdub9/eCEVDSVEuTkFTREFROk1TRlQuSVFfREVSSVZBVElWRV9MSUFCX05PTl9DVVJSRU5ULjk5OC4xMS8wNy8yMDI2Li4uVVNELkgBAAAAS1UAAAIAAAADMzgzAQgAAAAFAAAAATEBAAAACy0xOTM0MjU0MjUwAwAAAAMxNjACAAAABTQwNDE5BAAAAAEwBwAAAAk3LzExLzIwMjYIAAAACTYvMzAvMjAyMwkAAAABMECLKWtv394Ie7lXbm/f3gg4Q0lRLk5BU0RBUTpNU0ZULklRX0RFRl9DSEFSR0VTX0xULjk5Ny4xMS8wNy8yMDI2Li4uVVNELkgBAAAAS1UAAAMAAAAAAECLKWtv394Is6VXbm/f3gg1Q0lRLk5BU0RBUTpNU0ZULklRX09USEVSX0lOVEFOLjk5OC4xMS8wNy8yMDI2Li4uVVNELkgBAAAAS1UAAAIAAAAEOTM2NgEIAAAABQAAAAExAQAAAAstMTkzNDI1NDI1MAMAAAADMTYwAgAAAAQxMDQwBAAAAAEwBwAAAAk3LzExLzIwMjYIAAAACTYvMzAvMjAyMwkAAAABMECLKWtv394Is6VXbm/f3gguQ0lRLk5BU0RBUTpNU0ZULklRX0dQUEUuOTk2LjExLzA3LzIwMjYu</t>
  </si>
  <si>
    <t>Li5VU0QuSAEAAABLVQAAAgAAAAYxMjIxNTQBCAAAAAUAAAABMQEAAAALLTIwMzY4NDM4NDMDAAAAAzE2MAIAAAAEMTE2OQQAAAABMAcAAAAJNy8xMS8yMDI2CAAAAAk2LzMwLzIwMjEJAAAAATBAiylrb9/eCHu5V25v394IQENJUS5OQVNEQVE6TVNGVC5JUV9ERUZfVEFYX0FTU0VUU19DVVJSRU5ULjk5OC4xMS8wNy8yMDI2Li4uVVNELkgBAAAAS1UAAAMAAAAAAECLKWtv394Ie7lXbm/f3gg2Q0lRLk5BU0RBUTpNU0ZULklRX1BSRVBBSURfRVhQLjEwMDAuMTEvMDcvMjAyNi4uLlVTRC5IAQAAAEtVAAADAAAAAABAiylrb9/eCHu5V25v394IMkNJUS5OQVNEQVE6TVNGVC5JUV9UT1RBTF9DTC45OTcuMTEvMDcvMjAyNi4uLlVTRC5IAQAAAEtVAAACAAAABTk1MDgyAQgAAAAFAAAAATEBAAAACy0xOTg1OTMxMjI0AwAAAAMxNjACAAAABDEwMDkEAAAAATAHAAAACTcvMTEvMjAyNggAAAAJNi8zMC8yMDIyCQAAAAEwQIspa2/f3ghWfldub9/eCD5DSVEuTkFTREFROk1TRlQuSVFfREVGX1RBWF9MSUFCX0NVUlJFTlQuOTk0LjExLzA3LzIwMjYuLi5VU0QuSAEAAABLVQAAAwAAAAAAQIspa2/f3gizpVdub9/eCD5DSVEuTkFTREFROk1TRlQuSVFfRklOX0RJVl9ERUJUX0NVUlJFTlQuOTk4LjExLzA3LzIwMjYuLi5VU0QuSAEAAABLVQAAAwAAAAAA158pa2/f3gizpVdub9/eCDtDSVEuTkFTREFROk1TRlQuSVFf</t>
  </si>
  <si>
    <t>Q1VSUkVOVF9QT1JUX0RFQlQuOTk1LjExLzA3LzIwMjYuLi5VU0QuSAEAAABLVQAAAgAAAAQzNzQ5AQgAAAAFAAAAATEBAAAACy0yMDg3NDk2NjI3AwAAAAMxNjACAAAABDEyOTcEAAAAATAHAAAACTcvMTEvMjAyNggAAAAJNi8zMC8yMDIwCQAAAAEw158pa2/f3gizpVdub9/eCDZDSVEuTkFTREFROk1TRlQuSVFfVE9UQUxfQVNTRVRTLjk5OS4xMS8wNy8yMDI2Li4uVVNELkgBAAAAS1UAAAIAAAAGNTEyMTYzAQgAAAAFAAAAATEBAAAACy0xOTM0MjU0MTg1AwAAAAMxNjACAAAABDEwMDcEAAAAATAHAAAACTcvMTEvMjAyNggAAAAJNi8zMC8yMDI0CQAAAAEw158pa2/f3gizpVdub9/eCDZDSVEuTkFTREFROk1TRlQuSVFfT1RIRVJfRVFVSVRZLjk5OS4xMS8wNy8yMDI2Li4uVVNELkgBAAAAS1UAAAIAAAAFLTU1OTABCAAAAAUAAAABMQEAAAALLTE5MzQyNTQxODUDAAAAAzE2MAIAAAAEMTAyOAQAAAABMAcAAAAJNy8xMS8yMDI2CAAAAAk2LzMwLzIwMjQJAAAAATDXnylrb9/eCFZ+V25v394ILENJUS5OQVNEQVE6TVNGVC5JUV9SRS45OTYuMTEvMDcvMjAyNi4uLlVTRC5IAQAAAEtVAAACAAAABTU3MDU1AQgAAAAFAAAAATEBAAAACy0yMDM2ODQzODQzAwAAAAMxNjACAAAABDEyMjIEAAAAATAHAAAACTcvMTEvMjAyNggAAAAJNi8zMC8yMDIxCQAAAAEw158pa2/f3ghWfldub9/eCDVDSVEuTkFTREFROk1T</t>
  </si>
  <si>
    <t>RlQuSVFfUFJFRl9PVEhFUi4xMDAwLjExLzA3LzIwMjYuLi5VU0QuSAEAAABLVQAAAwAAAAAA158pa2/f3ghWfldub9/eCDlDSVEuTkFTREFROk1TRlQuSVFfUFJFRl9OT05fUkVERUVNLjk5Ny4xMS8wNy8yMDI2Li4uVVNELkgBAAAAS1UAAAMAAAAAANefKWtv394IVn5Xbm/f3gg3Q0lRLk5BU0RBUTpNU0ZULklRX1VORUFSTl9SRVZfTFQuOTk4LjExLzA3LzIwMjYuLi5VU0QuSAEAAABLVQAAAgAAAAQyOTEyAQgAAAAFAAAAATEBAAAACy0xOTM0MjU0MjUwAwAAAAMxNjACAAAABDEyNTYEAAAAATAHAAAACTcvMTEvMjAyNggAAAAJNi8zMC8yMDIzCQAAAAEw158pa2/f3ghWfldub9/eCD9DSVEuTkFTREFROk1TRlQuSVFfVE9UQUxfRklOQU5DRV9MRUFTRVMuMTAwMC4xMS8wNy8yMDI2Li4uVVNELkgBAAAAS1UAAAIAAAAFNDYxNzIBCAAAAAUAAAABMQEAAAALLTE5MzQyNTQyMTYDAAAAAzE2MAIAAAAFNDkwMzEEAAAAATAHAAAACTcvMTEvMjAyNggAAAAJNi8zMC8yMDI1CQAAAAEw158pa2/f3ghWfldub9/eCEBDSVEuTkFTREFROk1TRlQuSVFfRklOQU5DRV9MRUFTRVNfQ1VSUkVOVC45OTcuMTEvMDcvMjAyNi4uLlVTRC5IAQAAAEtVAAACAAAABDEwNjABCAAAAAUAAAABMQEAAAALLTE5ODU5MzEyMjQDAAAAAzE2MAIAAAAFNDg5OTAEAAAAATAHAAAACTcvMTEvMjAyNggAAAAJNi8zMC8yMDIyCQAAAAEw</t>
  </si>
  <si>
    <t>158pa2/f3ghWfldub9/eCENDSVEuTkFTREFROk1TRlQuSVFfUlVBX09QRVJBVElOR19MRUFTRV9HUk9TUy45OTguMTEvMDcvMjAyNi4uLlVTRC5IAQAAAEtVAAACAAAABTE0MzQ2AQgAAAAFAAAAATEBAAAACy0xOTM0MjU0MjUwAwAAAAMxNjACAAAABTQ4Mzc3BAAAAAEwBwAAAAk3LzExLzIwMjYIAAAACTYvMzAvMjAyMwkAAAABMNefKWtv394IVn5Xbm/f3gg0Q0lRLk5BU0RBUTpNU0ZULklRX1JVQV9HUk9TUy4xMDAwLjExLzA3LzIwMjYuLi5VU0QuSAEAAABLVQAAAwAAAAAA158pa2/f3ghWfldub9/eCDtDSVEuTkFTREFROk1TRlQuSVFfVE9UQUxfTElBQl9FUVVJVFkuOTk1LjExLzA3LzIwMjYuLi5VU0QuSAEAAABLVQAAAgAAAAYzMDEzMTEBCAAAAAUAAAABMQEAAAALLTIwODc0OTY2MjcDAAAAAzE2MAIAAAAEMTAxMwQAAAABMAcAAAAJNy8xMS8yMDI2CAAAAAk2LzMwLzIwMjAJAAAAATDXnylrb9/eCFZ+V25v394IPENJUS5OQVNEQVE6TVNGVC5JUV9UQlZfU0hBUkVfUkVQT1JURUQuOTk2LjExLzA3LzIwMjYuLi5VU0QuSAEAAABLVQAAAwAAAAAA158pa2/f3ghgaVdub9/eCDtDSVEuTkFTREFROk1TRlQuSVFfQlZfU0hBUkVfUkVQT1JURUQuOTk0LjExLzA3LzIwMjYuLi5VU0QuSAEAAABLVQAAAwAAAAAA158pa2/f3ghgaVdub9/eCEFDSVEuTkFTREFROk1TRlQuSVFfVE9UQUxfREVCVF9FWENM</t>
  </si>
  <si>
    <t>X0xFQVNFUy4xMDAwLjExLzA3LzIwMjYuLi5VU0QuSAEAAABLVQAAAgAAAAU0MzE1MQEIAAAABQAAAAExAQAAAAstMTkzNDI1NDIxNgMAAAADMTYwAgAAAAU0ODk5MgQAAAABMAcAAAAJNy8xMS8yMDI2CAAAAAk2LzMwLzIwMjUJAAAAATDXnylrb9/eCGBpV25v394IVkNJUS5OQVNEQVE6TVNGVC5JUV9GSU5BTkNJTkdfT0JMSUdfTk9OX0NVUlJFTlRfRVhDTF9PUEVSX0xFQVNFUy45OTguMTEvMDcvMjAyNi4uLlVTRC5IAQAAAEtVAAACAAAABTU3ODYwAQgAAAAFAAAAATEBAAAACy0xOTM0MjU0MjUwAwAAAAMxNjACAAAABTQ4OTgxBAAAAAEwBwAAAAk3LzExLzIwMjYIAAAACTYvMzAvMjAyMwkAAAABMNefKWtv394IVn5Xbm/f3gg2Q0lRLk5BU0RBUTpNU0ZULklRX1RPVEFMX0xFQVNFUy45OTYuMTEvMDcvMjAyNi4uLlVTRC5IAQAAAEtVAAACAAAABTI0MTMyAQgAAAAFAAAAATEBAAAACy0yMDM2ODQzODQzAwAAAAMxNjACAAAABTQ4OTc5BAAAAAEwBwAAAAk3LzExLzIwMjYIAAAACTYvMzAvMjAyMQkAAAABMNefKWtv394IVn5Xbm/f3ggzQ0lRLk5BU0RBUTpNU0ZULklRX09USEVSX0lOVi45OTUuMTEvMDcvMjAyNi4uLlVTRC5IAQAAAEtVAAADAAAAAADXnylrb9/eCMxUV25v394IMUNJUS5OQVNEQVE6TVNGVC5JUV9XSVBfSU5WLjk5NS4xMS8wNy8yMDI2Li4uVVNELkgBAAAAS1UAAAIAAAACODMBCAAA</t>
  </si>
  <si>
    <t>AAUAAAABMQEAAAALLTIwODc0OTY2MjcDAAAAAzE2MAIAAAAEMzIxOQQAAAABMAcAAAAJNy8xMS8yMDI2CAAAAAk2LzMwLzIwMjAJAAAAATDXnylrb9/eCMxUV25v394IL0NJUS5OQVNEQVE6TVNGVC5JUV9MSUZPUi45OTUuMTEvMDcvMjAyNi4uLlVTRC5IAQAAAEtVAAADAAAAAADXnylrb9/eCGBpV25v394INUNJUS5OQVNEQVE6TVNGVC5JUV9BUl9VTkJJTExFRC45OTUuMTEvMDcvMjAyNi4uLlVTRC5IAQAAAEtVAAADAAAAAADXnylrb9/eCGBpV25v394IOkNJUS5OQVNEQVE6TVNGVC5JUV9ORVRfV09SS0lOR19DQVAuMTAwMC4xMS8wNy8yMDI2Li4uVVNELkgBAAAAS1UAAAIAAAAGLTMzMDU3AQgAAAAFAAAAATEBAAAACy0xOTM0MjU0MjE2AwAAAAMxNjACAAAABDEzMTEEAAAAATAHAAAACTcvMTEvMjAyNggAAAAJNi8zMC8yMDI1CQAAAAEw158pa2/f3ghgaVdub9/eCExDSVEuTkFTREFROk1TRlQuSVFfTElRVUlEQVRJT05fVkFMVUVfUFJFRkVSUkVEX1JFREVFTS45OTYuMTEvMDcvMjAyNi4uLlVTRC5IAQAAAEtVAAADAAAAAADXnylrb9/eCMxUV25v394ITUNJUS5OQVNEQVE6TVNGVC5JUV9MSVFVSURBVElPTl9WQUxVRV9QUkVGRVJSRURfQ09OVkVSVC45OTQuMTEvMDcvMjAyNi4uLlVTRC5IAQAAAEtVAAADAAAAAADXnylrb9/eCMxUV25v394IRUNJUS5OQVNEQVE6TVNGVC5JUV9HRU5FUkFMX1BB</t>
  </si>
  <si>
    <t>UlRORVJfUFJFRl9FUVVJVFkuOTk5LjExLzA3LzIwMjYuLi5VU0QuSAEAAABLVQAAAwAAAAAA158pa2/f3gjMVFdub9/eCEVDSVEuTkFTREFROk1TRlQuSVFfRklOX0RJVl9NSU5PUklUWV9JTlRfUkVERUVNLjk5OC4xMS8wNy8yMDI2Li4uVVNELkgBAAAAS1UAAAMAAAAAANefKWtv394IzFRXbm/f3gg/Q0lRLk5BU0RBUTpNU0ZULklRX0xFQVNFSE9MRF9JTVBST1ZFTUVOVC45OTkuMTEvMDcvMjAyNi4uLlVTRC5IAQAAAEtVAAACAAAABDk1OTQBCAAAAAUAAAABMQEAAAALLTE5MzQyNTQxODUDAAAAAzE2MAIAAAAEMzEwMAQAAAABMAcAAAAJNy8xMS8yMDI2CAAAAAk2LzMwLzIwMjQJAAAAATDXnylrb9/eCMxUV25v394IPUNJUS5OQVNEQVE6TVNGVC5JUV9TVF9ERUJUX0RFUklWQVRJVkVTLjk5Ni4xMS8wNy8yMDI2Li4uVVNELkgBAAAAS1UAAAMAAAAAANefKWtv394IFEBXbm/f3gg8Q0lRLk5BU0RBUTpNU0ZULklRX0RFQlRfRVFVSVZfTkVUX1BCTy45OTQuMTEvMDcvMjAyNi4uLlVTRC5IAQAAAEtVAAADAAAAAADXnylrb9/eCBRAV25v394IP0NJUS5OQVNEQVE6TVNGVC5JUV9GSU5fRElWX1NUX0RFQlRfVE9UQUwuOTk1LjExLzA3LzIwMjYuLi5VU0QuSAEAAABLVQAAAwAAAAAA158pa2/f3ggUQFdub9/eCD1DSVEuTkFTREFROk1TRlQuSVFfTElBQklMSVRJRVNfTEVWRUxfMS45OTguMTEvMDcvMjAy</t>
  </si>
  <si>
    <t>Ni4uLlVTRC5IAQAAAEtVAAADAAAAAADXnylrb9/eCBRAV25v394IOENJUS5OQVNEQVE6TVNGVC5JUV9BU1NFVFNfTEVWRUxfMy45OTkuMTEvMDcvMjAyNi4uLlVTRC5IAQAAAEtVAAACAAAABDE3MzEA158pa2/f3ggUQFdub9/eCDZDSVEuTkFTREFROk1TRlQuSVFfRE9fSU5WRVNUX0NGLjk5NS4xMS8wNy8yMDI2Li4uVVNELkgBAAAAS1UAAAMAAAAAANefKWtv394IUytXbm/f3gg3Q0lRLk5BU0RBUTpNU0ZULklRX1VOTEVWRVJFRF9GQ0YuOTk3LjExLzA3LzIwMjYuLi5VU0QuSAEAAABLVQAAAgAAAAk1MDc1OC4zNzUBCAAAAAUAAAABMQEAAAALLTE5ODU5MzEyMjQDAAAAAzE2MAIAAAAENDQyMwQAAAABMAcAAAAJNy8xMS8yMDI2CAAAAAk2LzMwLzIwMjIJAAAAATDXnylrb9/eCFMrV25v394IOkNJUS5OQVNEQVE6TVNGVC5JUV9DQVNIX1RBWEVTX0ZJTkFOLjk5OS4xMS8wNy8yMDI2Li4uVVNELkgBAAAAS1UAAAMAAAAAANefKWtv394IUytXbm/f3gg+Q0lRLk5BU0RBUTpNU0ZULklRX0NBU0hfSU5URVJFU1RfSU5WRVNULjk5NS4xMS8wNy8yMDI2Li4uVVNELkgBAAAAS1UAAAMAAAAAANefKWtv394IFEBXbm/f3gg3Q0lRLk5BU0RBUTpNU0ZULklRX0NBU0hfSU5URVJFU1QuOTk3LjExLzA3LzIwMjYuLi5VU0QuSAEAAABLVQAAAgAAAAQxOTAwAQgAAAAFAAAAATEBAAAACy0xOTg1OTMxMjI0AwAAAAMx</t>
  </si>
  <si>
    <t>NjACAAAABDMwMjgEAAAAATAHAAAACTcvMTEvMjAyNggAAAAJNi8zMC8yMDIyCQAAAAEw158pa2/f3ggUQFdub9/eCDhDSVEuTkFTREFROk1TRlQuSVFfU1RfTk9URV9SRUNFSVYuOTk5LjExLzA3LzIwMjYuLi5VU0QuSAEAAABLVQAAAwAAAAAA158pa2/f3girFVdub9/eCCxDSVEuTkFTREFROk1TRlQuSVFfQVIuOTk1LjExLzA3LzIwMjYuLi5VU0QuSAEAAABLVQAAAgAAAAUzMjAxMQEIAAAABQAAAAExAQAAAAstMjA4NzQ5NjYyNwMAAAADMTYwAgAAAAQxMDIxBAAAAAEwBwAAAAk3LzExLzIwMjYIAAAACTYvMzAvMjAyMAkAAAABMNefKWtv394IUytXbm/f3gg0Q0lRLk5BU0RBUTpNU0ZULklRX0NBU0hfRVFVSVYuOTk3LjExLzA3LzIwMjYuLi5VU0QuSAEAAABLVQAAAgAAAAUxMzkzMQEIAAAABQAAAAExAQAAAAstMTk4NTkzMTIyNAMAAAADMTYwAgAAAAQxMDk2BAAAAAEwBwAAAAk3LzExLzIwMjYIAAAACTYvMzAvMjAyMgkAAAABMNefKWtv394IUytXbm/f3ghLQ0lRLk5BU0RBUTpNU0ZULklRX0xPTkdfVEVSTV9ERUJUX1JFUEFJRF9FWENMX0xFQVNFUy45OTkuMTEvMDcvMjAyNi4uLlVTRC5IAQAAAEtVAAACAAAABi0yOTA3MAEIAAAABQAAAAExAQAAAAstMTkzNDI1NDE4NQMAAAADMTYwAgAAAAU0ODk4NAQAAAABMAcAAAAJNy8xMS8yMDI2CAAAAAk2LzMwLzIwMjQJAAAAATDXnylrb9/eCFMrV25v</t>
  </si>
  <si>
    <t>394IRUNJUS5OQVNEQVE6TVNGVC5JUV9PUEVSQVRJTkdfTEVBU0VfTElBQklMSVRJRVMuOTk1LjExLzA3LzIwMjYuLi5VU0QuSAEAAABLVQAAAwAAAAAA158pa2/f3ghTK1dub9/eCDxDSVEuTkFTREFROk1TRlQuSVFfRklOX0RJVl9BU1NFVFNfTFQuMTAwMC4xMS8wNy8yMDI2Li4uVVNELkgBAAAAS1UAAAMAAAAAANefKWtv394IqxVXbm/f3gg6Q0lRLk5BU0RBUTpNU0ZULklRX0ZJTl9ESVZfTE9BTlNfTFQuOTk1LjExLzA3LzIwMjYuLi5VU0QuSAEAAABLVQAAAwAAAAAA158pa2/f3girFVdub9/eCC5DSVEuTkFTREFROk1TRlQuSVFfR1BQRS45OTUuMTEvMDcvMjAyNi4uLlVTRC5IAQAAAEtVAAACAAAABTk2MTAxAQgAAAAFAAAAATEBAAAACy0yMDg3NDk2NjI3AwAAAAMxNjACAAAABDExNjkEAAAAATAHAAAACTcvMTEvMjAyNggAAAAJNi8zMC8yMDIwCQAAAAEw158pa2/f3girFVdub9/eCEBDSVEuTkFTREFROk1TRlQuSVFfREVGX1RBWF9BU1NFVFNfQ1VSUkVOVC45OTcuMTEvMDcvMjAyNi4uLlVTRC5IAQAAAEtVAAADAAAAAADXnylrb9/eCKsVV25v394INUNJUS5OQVNEQVE6TVNGVC5JUV9QUkVQQUlEX0VYUC45OTkuMTEvMDcvMjAyNi4uLlVTRC5IAQAAAEtVAAADAAAAAADXnylrb9/eCKsVV25v394IMkNJUS5OQVNEQVE6TVNGVC5JUV9UT1RBTF9DTC45OTYuMTEvMDcvMjAyNi4uLlVTRC5IAQAA</t>
  </si>
  <si>
    <t>AEtVAAACAAAABTg4NjU3AQgAAAAFAAAAATEBAAAACy0yMDM2ODQzODQzAwAAAAMxNjACAAAABDEwMDkEAAAAATAHAAAACTcvMTEvMjAyNggAAAAJNi8zMC8yMDIxCQAAAAEw158pa2/f3gh17VZub9/eCD5DSVEuTkFTREFROk1TRlQuSVFfSU5DX1RBWF9QQVlfQ1VSUkVOVC4xMDAwLjExLzA3LzIwMjYuLi5VU0QuSAEAAABLVQAAAgAAAAQ3MjExAQgAAAAFAAAAATEBAAAACy0xOTM0MjU0MjE2AwAAAAMxNjACAAAABDEwOTQEAAAAATAHAAAACTcvMTEvMjAyNggAAAAJNi8zMC8yMDI1CQAAAAEw158pa2/f3gh17VZub9/eCD5DSVEuTkFTREFROk1TRlQuSVFfRklOX0RJVl9ERUJUX0NVUlJFTlQuOTk3LjExLzA3LzIwMjYuLi5VU0QuSAEAAABLVQAAAwAAAAAA158pa2/f3gh17VZub9/eCDtDSVEuTkFTREFROk1TRlQuSVFfQ1VSUkVOVF9QT1JUX0RFQlQuOTk0LjExLzA3LzIwMjYuLi5VU0QuSAEAAABLVQAAAgAAAAQ1NTE2AQgAAAAFAAAAATEBAAAACy0yMTQwOTgxNDY5AwAAAAMxNjACAAAABDEyOTcEAAAAATAHAAAACTcvMTEvMjAyNggAAAAJNi8zMC8yMDE5CQAAAAEw158pa2/f3gh17VZub9/eCDZDSVEuTkFTREFROk1TRlQuSVFfVE9UQUxfQVNTRVRTLjk5OC4xMS8wNy8yMDI2Li4uVVNELkgBAAAAS1UAAAIAAAAGNDExOTc2AQgAAAAFAAAAATEBAAAACy0xOTM0MjU0MjUwAwAAAAMxNjACAAAABDEw</t>
  </si>
  <si>
    <t>MDcEAAAAATAHAAAACTcvMTEvMjAyNggAAAAJNi8zMC8yMDIzCQAAAAEw158pa2/f3girFVdub9/eCCxDSVEuTkFTREFROk1TRlQuSVFfUkUuOTk1LjExLzA3LzIwMjYuLi5VU0QuSAEAAABLVQAAAgAAAAUzNDU2NgEIAAAABQAAAAExAQAAAAstMjA4NzQ5NjYyNwMAAAADMTYwAgAAAAQxMjIyBAAAAAEwBwAAAAk3LzExLzIwMjYIAAAACTYvMzAvMjAyMAkAAAABMNefKWtv394Ide1Wbm/f3gg0Q0lRLk5BU0RBUTpNU0ZULklRX1BSRUZfT1RIRVIuOTk5LjExLzA3LzIwMjYuLi5VU0QuSAEAAABLVQAAAwAAAAAA158pa2/f3gh17VZub9/eCDlDSVEuTkFTREFROk1TRlQuSVFfUFJFRl9OT05fUkVERUVNLjk5Ni4xMS8wNy8yMDI2Li4uVVNELkgBAAAAS1UAAAMAAAAAANefKWtv394Ide1Wbm/f3gg6Q0lRLk5BU0RBUTpNU0ZULklRX0RFRl9UQVhfTElBQl9MVC4xMDAwLjExLzA3LzIwMjYuLi5VU0QuSAEAAABLVQAAAgAAAAQyODM1AQgAAAAFAAAAATEBAAAACy0xOTM0MjU0MjE2AwAAAAMxNjACAAAABDEwMjcEAAAAATAHAAAACTcvMTEvMjAyNggAAAAJNi8zMC8yMDI1CQAAAAEw158pa2/f3gh17VZub9/eCDFDSVEuTkFTREFROk1TRlQuSVFfUEVOU0lPTi45OTUuMTEvMDcvMjAyNi4uLlVTRC5IAQAAAEtVAAADAAAAAADXnylrb9/eCHXtVm5v394IQkNJUS5OQVNEQVE6TVNGVC5JUV9SVUFfT1BFUkFUSU5H</t>
  </si>
  <si>
    <t>X0xFQVNFX05FVC4xMDAwLjExLzA3LzIwMjYuLi5VU0QuSAEAAABLVQAAAwAAAAAA158pa2/f3gh17VZub9/eCEdDSVEuTkFTREFROk1TRlQuSVFfUlVBX09QRVJBVElOR19MRUFTRV9BQ0NVTV9ERVAuOTk1LjExLzA3LzIwMjYuLi5VU0QuSAEAAABLVQAAAwAAAAAA158pa2/f3gh17VZub9/eCDdDSVEuTkFTREFROk1TRlQuSVFfUlVBX0FDQ1VNX0RFUC45OTcuMTEvMDcvMjAyNi4uLlVTRC5IAQAAAEtVAAADAAAAAADXnylrb9/eCHXtVm5v394IO0NJUS5OQVNEQVE6TVNGVC5JUV9UT1RBTF9MSUFCX0VRVUlUWS45OTQuMTEvMDcvMjAyNi4uLlVTRC5IAQAAAEtVAAACAAAABjI4NjU1NgEIAAAABQAAAAExAQAAAAstMjE0MDk4MTQ2OQMAAAADMTYwAgAAAAQxMDEzBAAAAAEwBwAAAAk3LzExLzIwMjYIAAAACTYvMzAvMjAxOQkAAAABMNefKWtv394Ide1Wbm/f3gg2Q0lRLk5BU0RBUTpNU0ZULklRX09USEVSX0VRVUlUWS45OTguMTEvMDcvMjAyNi4uLlVTRC5IAQAAAEtVAAACAAAABS02MzQzAQgAAAAFAAAAATEBAAAACy0xOTM0MjU0MjUwAwAAAAMxNjACAAAABDEwMjgEAAAAATAHAAAACTcvMTEvMjAyNggAAAAJNi8zMC8yMDIzCQAAAAEw158pa2/f3gh17VZub9/eCEBDSVEuTkFTREFROk1TRlQuSVFfVE9UQUxfREVCVF9FWENMX0xFQVNFUy45OTkuMTEvMDcvMjAyNi4uLlVTRC5IAQAAAEtVAAACAAAA</t>
  </si>
  <si>
    <t>BTUxNjMwAQgAAAAFAAAAATEBAAAACy0xOTM0MjU0MTg1AwAAAAMxNjACAAAABTQ4OTkyBAAAAAEwBwAAAAk3LzExLzIwMjYIAAAACTYvMzAvMjAyNAkAAAABMNefKWtv394IxtlWbm/f3ghWQ0lRLk5BU0RBUTpNU0ZULklRX0ZJTkFOQ0lOR19PQkxJR19OT05fQ1VSUkVOVF9FWENMX09QRVJfTEVBU0VTLjk5Ny4xMS8wNy8yMDI2Li4uVVNELkgBAAAAS1UAAAIAAAAFNjA4NzQBCAAAAAUAAAABMQEAAAALLTE5ODU5MzEyMjQDAAAAAzE2MAIAAAAFNDg5ODEEAAAAATAHAAAACTcvMTEvMjAyNggAAAAJNi8zMC8yMDIyCQAAAAEw158pa2/f3gjG2VZub9/eCDZDSVEuTkFTREFROk1TRlQuSVFfVE9UQUxfTEVBU0VTLjk5NS4xMS8wNy8yMDI2Li4uVVNELkgBAAAAS1UAAAIAAAAFMTg3ODMBCAAAAAUAAAABMQEAAAALLTIwODc0OTY2MjcDAAAAAzE2MAIAAAAFNDg5NzkEAAAAATAHAAAACTcvMTEvMjAyNggAAAAJNi8zMC8yMDIwCQAAAAEw158pa2/f3gjG2VZub9/eCD5DSVEuTkFTREFROk1TRlQuSVFfVE9UQUxfRklOQU5DRV9MRUFTRVMuOTk5LjExLzA3LzIwMjYuLi5VU0QuSAEAAABLVQAAAgAAAAUyNzE0NQEIAAAABQAAAAExAQAAAAstMTkzNDI1NDE4NQMAAAADMTYwAgAAAAU0OTAzMQQAAAABMAcAAAAJNy8xMS8yMDI2CAAAAAk2LzMwLzIwMjQJAAAAATDXnylrb9/eCMbZVm5v394IQENJUS5OQVNEQVE6</t>
  </si>
  <si>
    <t>TVNGVC5JUV9GSU5BTkNFX0xFQVNFU19DVVJSRU5ULjk5Ni4xMS8wNy8yMDI2Li4uVVNELkgBAAAAS1UAAAIAAAADNzkxAQgAAAAFAAAAATEBAAAACy0yMDM2ODQzODQzAwAAAAMxNjACAAAABTQ4OTkwBAAAAAEwBwAAAAk3LzExLzIwMjYIAAAACTYvMzAvMjAyMQkAAAABMNefKWtv394IxtlWbm/f3ggvQ0lRLk5BU0RBUTpNU0ZULklRX0xJRk9SLjk5NC4xMS8wNy8yMDI2Li4uVVNELkgBAAAAS1UAAAMAAAAAANefKWtv394IbbJWbm/f3gg1Q0lRLk5BU0RBUTpNU0ZULklRX0FSX1VOQklMTEVELjk5NC4xMS8wNy8yMDI2Li4uVVNELkgBAAAAS1UAAAMAAAAAANefKWtv394IbbJWbm/f3gg5Q0lRLk5BU0RBUTpNU0ZULklRX05FVF9XT1JLSU5HX0NBUC45OTcuMTEvMDcvMjAyNi4uLlVTRC5IAQAAAEtVAAACAAAABi0yNDExMAEIAAAABQAAAAExAQAAAAstMTk4NTkzMTIyNAMAAAADMTYwAgAAAAQxMzExBAAAAAEwBwAAAAk3LzExLzIwMjYIAAAACTYvMzAvMjAyMgkAAAABMNefKWtv394IbbJWbm/f3gg0Q0lRLk5BU0RBUTpNU0ZULklRX1RPVEFMX0NBUC4xMDAwLjExLzA3LzIwMjYuLi5VU0QuSAEAAABLVQAAAgAAAAY0NTU2NjMBCAAAAAUAAAABMQEAAAALLTE5MzQyNTQyMTYDAAAAAzE2MAIAAAAENDE3NQQAAAABMAcAAAAJNy8xMS8yMDI2CAAAAAk2LzMwLzIwMjUJAAAAATDXnylrb9/eCG2yVm5v394I</t>
  </si>
  <si>
    <t>PENJUS5OQVNEQVE6TVNGVC5JUV9UQlZfU0hBUkVfUkVQT1JURUQuOTk0LjExLzA3LzIwMjYuLi5VU0QuSAEAAABLVQAAAwAAAAAA158pa2/f3gjG2VZub9/eCD9DSVEuTkFTREFROk1TRlQuSVFfTEVBU0VIT0xEX0lNUFJPVkVNRU5ULjk5OC4xMS8wNy8yMDI2Li4uVVNELkgBAAAAS1UAAAIAAAAEODUzNwEIAAAABQAAAAExAQAAAAstMTkzNDI1NDI1MAMAAAADMTYwAgAAAAQzMTAwBAAAAAEwBwAAAAk3LzExLzIwMjYIAAAACTYvMzAvMjAyMwkAAAABMNefKWtv394IbbJWbm/f3ghAQ0lRLk5BU0RBUTpNU0ZULklRX05BVFVSQUxfUkVTT1VSQ0VTX0NPU1QuOTk4LjExLzA3LzIwMjYuLi5VU0QuSAEAAABLVQAAAwAAAAAA158pa2/f3ghtslZub9/eCDRDSVEuTkFTREFROk1TRlQuSVFfQlVJTERJTkdTLjEwMDAuMTEvMDcvMjAyNi4uLlVTRC5IAQAAAEtVAAACAAAABjEzNzkyMQEIAAAABQAAAAExAQAAAAstMTkzNDI1NDIxNgMAAAADMTYwAgAAAAQzMDIzBAAAAAEwBwAAAAk3LzExLzIwMjYIAAAACTYvMzAvMjAyNQkAAAABMNefKWtv394IbbJWbm/f3ggzQ0lRLk5BU0RBUTpNU0ZULklRX09USEVSX0lOVi45OTQuMTEvMDcvMjAyNi4uLlVTRC5IAQAAAEtVAAADAAAAAADXnylrb9/eCG2yVm5v394IMUNJUS5OQVNEQVE6TVNGVC5JUV9XSVBfSU5WLjk5NC4xMS8wNy8yMDI2Li4uVVNELkgBAAAAS1UAAAIA</t>
  </si>
  <si>
    <t>AAACNTMBCAAAAAUAAAABMQEAAAALLTIxNDA5ODE0NjkDAAAAAzE2MAIAAAAEMzIxOQQAAAABMAcAAAAJNy8xMS8yMDI2CAAAAAk2LzMwLzIwMTkJAAAAATDXnylrb9/eCG2yVm5v394IPUNJUS5OQVNEQVE6TVNGVC5JUV9MSUFCSUxJVElFU19MRVZFTF8xLjk5Ny4xMS8wNy8yMDI2Li4uVVNELkgBAAAAS1UAAAMAAAAAANefKWtv394IvJ5Wbm/f3gg4Q0lRLk5BU0RBUTpNU0ZULklRX0FTU0VUU19MRVZFTF8zLjk5OC4xMS8wNy8yMDI2Li4uVVNELkgBAAAAS1UAAAIAAAADMjE0ANefKWtv394IvJ5Wbm/f3ghFQ0lRLk5BU0RBUTpNU0ZULklRX0dFTkVSQUxfUEFSVE5FUl9QUkVGX0VRVUlUWS45OTguMTEvMDcvMjAyNi4uLlVTRC5IAQAAAEtVAAADAAAAAADXnylrb9/eCLyeVm5v394IRUNJUS5OQVNEQVE6TVNGVC5JUV9ERUZfVEFYX1ZBTFVBVElPTl9BTExPV0FOQ0UuOTk5LjExLzA3LzIwMjYuLi5VU0QuSAEAAABLVQAAAgAAAAQxMDQ1AQgAAAAFAAAAATEBAAAACy0xOTM0MjU0MTg1AwAAAAMxNjACAAAABTQ2MDQ1BAAAAAEwBwAAAAk3LzExLzIwMjYIAAAACTYvMzAvMjAyNAkAAAABMNefKWtv394IvJ5Wbm/f3ghFQ0lRLk5BU0RBUTpNU0ZULklRX0ZJTl9ESVZfTUlOT1JJVFlfSU5UX1JFREVFTS45OTcuMTEvMDcvMjAyNi4uLlVTRC5IAQAAAEtVAAADAAAAAADXnylrb9/eCG2yVm5v394INkNJUS5O</t>
  </si>
  <si>
    <t>QVNEQVE6TVNGVC5JUV9QUkVGX0lTU1VFRC4xMDAwLjExLzA3LzIwMjYuLi5VU0QuSAEAAABLVQAAAwAAAAAA158pa2/f3gh6d1Zub9/eCDRDSVEuTkFTREFROk1TRlQuSVFfQ09NTU9OX1JFUC45OTQuMTEvMDcvMjAyNi4uLlVTRC5IAQAAAEtVAAACAAAABi0xOTU0MwEIAAAABQAAAAExAQAAAAstMjE0MDk4MTQ2OQMAAAADMTYwAgAAAAQyMTY0BAAAAAEwBwAAAAk3LzExLzIwMjYIAAAACTYvMzAvMjAxOQkAAAABMNefKWtv394IendWbm/f3ghDQ0lRLk5BU0RBUTpNU0ZULklRX0RFUklWQVRJVkVfVFJBRElOR19BU1NFVFMuOTk2LjExLzA3LzIwMjYuLi5VU0QuSAEAAABLVQAAAwAAAAAA158pa2/f3gh6d1Zub9/eCD1DSVEuTkFTREFROk1TRlQuSVFfU1RfREVCVF9ERVJJVkFUSVZFUy45OTUuMTEvMDcvMjAyNi4uLlVTRC5IAQAAAEtVAAADAAAAAADXnylrb9/eCLyeVm5v394IP0NJUS5OQVNEQVE6TVNGVC5JUV9SRVNUUklDVEVEX0NBU0hfVE9UQUwuOTk5LjExLzA3LzIwMjYuLi5VU0QuSAEAAABLVQAAAwAAAAAA158pa2/f3gi8nlZub9/eCD5DSVEuTkFTREFROk1TRlQuSVFfREFfU1VQUExfUEFSVElBTF9DRi4xMDAwLjExLzA3LzIwMjYuLi5VU0QuSAEAAABLVQAAAwAAAAAA158pa2/f3gh6d1Zub9/eCDRDSVEuTkFTREFROk1TRlQuSVFfTkVUX0NIQU5HRS45OTYuMTEvMDcvMjAyNi4uLlVTRC5I</t>
  </si>
  <si>
    <t>AQAAAEtVAAACAAAAAzY0OAEIAAAABQAAAAExAQAAAAstMjAzNjg0Mzg0MwMAAAADMTYwAgAAAAQyMDkzBAAAAAEwBwAAAAk3LzExLzIwMjYIAAAACTYvMzAvMjAyMQkAAAABMNefKWtv394IendWbm/f3gg0Q0lRLk5BU0RBUTpNU0ZULklRX0NBU0hfRklOQU4uOTk2LjExLzA3LzIwMjYuLi5VU0QuSAEAAABLVQAAAgAAAAYtNDg0ODYBCAAAAAUAAAABMQEAAAALLTIwMzY4NDM4NDMDAAAAAzE2MAIAAAAEMjAwNAQAAAABMAcAAAAJNy8xMS8yMDI2CAAAAAk2LzMwLzIwMjEJAAAAATDXnylrb9/eCHp3Vm5v394IPENJUS5OQVNEQVE6TVNGVC5JUV9DT01NT05fUFJFRl9ESVZfQ0YuOTk4LjExLzA3LzIwMjYuLi5VU0QuSAEAAABLVQAAAwAAAAAA158pa2/f3gh6d1Zub9/eCDdDSVEuTkFTREFROk1TRlQuSVFfQ09NTU9OX0RJVl9DRi45OTQuMTEvMDcvMjAyNi4uLlVTRC5IAQAAAEtVAAACAAAABi0xMzgxMQEIAAAABQAAAAExAQAAAAstMjE0MDk4MTQ2OQMAAAADMTYwAgAAAAQyMDc0BAAAAAEwBwAAAAk3LzExLzIwMjYIAAAACTYvMzAvMjAxOQkAAAABMNefKWtv394IendWbm/f3ghBQ0lRLk5BU0RBUTpNU0ZULklRX0NBU0hfSU5URVJFU1RfUkVDRUlWRUQuMTAwMC4xMS8wNy8yMDI2Li4uVVNELkgBAAAAS1UAAAMAAAAAANefKWtv394IendWbm/f3gg3Q0lRLk5BU0RBUTpNU0ZULklRX0NBU0hfSU5URVJF</t>
  </si>
  <si>
    <t>U1QuOTk2LjExLzA3LzIwMjYuLi5VU0QuSAEAAABLVQAAAgAAAAQyMDAwAQgAAAAFAAAAATEBAAAACy0yMDM2ODQzODQzAwAAAAMxNjACAAAABDMwMjgEAAAAATAHAAAACTcvMTEvMjAyNggAAAAJNi8zMC8yMDIxCQAAAAEw158pa2/f3gh6d1Zub9/eCD5DSVEuTkFTREFROk1TRlQuSVFfTkVHQVRJVkVfR1dfQU1PUlRfQ0YuOTk4LjExLzA3LzIwMjYuLi5VU0QuSAEAAABLVQAAAwAAAAAA158pa2/f3gh6d1Zub9/eCDFDSVEuTkFTREFROk1TRlQuSVFfREVQX1JVQS45OTguMTEvMDcvMjAyNi4uLlVTRC5IAQAAAEtVAAADAAAAAADXnylrb9/eCHp3Vm5v394INENJUS5OQVNEQVE6TVNGVC5JUV9ERVBSRV9TVVBQLjk5NC4xMS8wNy8yMDI2Li4uVVNELkgBAAAAS1UAAAIAAAAEOTcwMAEIAAAABQAAAAExAQAAAAstMjE0MDk4MTQ2OQMAAAADMTYwAgAAAAQyMTQzBAAAAAEwBwAAAAk3LzExLzIwMjYIAAAACTYvMzAvMjAxOQkAAAABMNefKWtv394IendWbm/f3gg2Q0lRLk5BU0RBUTpNU0ZULklRX0RPX0lOVkVTVF9DRi45OTQuMTEvMDcvMjAyNi4uLlVTRC5IAQAAAEtVAAADAAAAAADXnylrb9/eCNNjVm5v394IN0NJUS5OQVNEQVE6TVNGVC5JUV9VTkxFVkVSRURfRkNGLjk5Ni4xMS8wNy8yMDI2Li4uVVNELkgBAAAAS1UAAAIAAAAHNDI3OTMuNQEIAAAABQAAAAExAQAAAAstMjAzNjg0Mzg0MwMAAAADMTYw</t>
  </si>
  <si>
    <t>AgAAAAQ0NDIzBAAAAAEwBwAAAAk3LzExLzIwMjYIAAAACTYvMzAvMjAyMQkAAAABMNefKWtv394I02NWbm/f3gg6Q0lRLk5BU0RBUTpNU0ZULklRX0NBU0hfVEFYRVNfRklOQU4uOTk4LjExLzA3LzIwMjYuLi5VU0QuSAEAAABLVQAAAwAAAAAA158pa2/f3gjTY1Zub9/eCD5DSVEuTkFTREFROk1TRlQuSVFfQ0FTSF9JTlRFUkVTVF9GSU5BTi4xMDAwLjExLzA3LzIwMjYuLi5VU0QuSAEAAABLVQAAAwAAAAAA158pa2/f3gjTY1Zub9/eCD5DSVEuTkFTREFROk1TRlQuSVFfQ0FTSF9JTlRFUkVTVF9JTlZFU1QuOTk0LjExLzA3LzIwMjYuLi5VU0QuSAEAAABLVQAAAwAAAAAA158pa2/f3gjTY1Zub9/eCCxDSVEuTkFTREFROk1TRlQuSVFfQVIuOTk0LjExLzA3LzIwMjYuLi5VU0QuSAEAAABLVQAAAgAAAAUyOTUyNAEIAAAABQAAAAExAQAAAAstMjE0MDk4MTQ2OQMAAAADMTYwAgAAAAQxMDIxBAAAAAEwBwAAAAk3LzExLzIwMjYIAAAACTYvMzAvMjAxOQkAAAABMNefKWtv394IkzxWbm/f3gg5Q0lRLk5BU0RBUTpNU0ZULklRX1RSQURJTkdfQVNTRVRTLjEwMDAuMTEvMDcvMjAyNi4uLlVTRC5IAQAAAEtVAAADAAAAAADXnylrb9/eCJM8Vm5v394IM0NJUS5OQVNEQVE6TVNGVC5JUV9TVF9JTlZFU1QuOTk0LjExLzA3LzIwMjYuLi5VU0QuSAEAAABLVQAAAgAAAAYxMjI0NzYBCAAAAAUAAAABMQEAAAALLTIx</t>
  </si>
  <si>
    <t>NDA5ODE0NjkDAAAAAzE2MAIAAAAEMTA2OQQAAAABMAcAAAAJNy8xMS8yMDI2CAAAAAk2LzMwLzIwMTkJAAAAATDXnylrb9/eCJM8Vm5v394IS0NJUS5OQVNEQVE6TVNGVC5JUV9MT05HX1RFUk1fREVCVF9SRVBBSURfRVhDTF9MRUFTRVMuOTk4LjExLzA3LzIwMjYuLi5VU0QuSAEAAABLVQAAAgAAAAUtMjc1MAEIAAAABQAAAAExAQAAAAstMTkzNDI1NDI1MAMAAAADMTYwAgAAAAU0ODk4NAQAAAABMAcAAAAJNy8xMS8yMDI2CAAAAAk2LzMwLzIwMjMJAAAAATDXnylrb9/eCNNjVm5v394IOENJUS5OQVNEQVE6TVNGVC5JUV9ET19GSU5BTkNFX0NGLjEwMDAuMTEvMDcvMjAyNi4uLlVTRC5IAQAAAEtVAAADAAAAAADXnylrb9/eCNNjVm5v394ILkNJUS5OQVNEQVE6TVNGVC5JUV9HUFBFLjk5NC4xMS8wNy8yMDI2Li4uVVNELkgBAAAAS1UAAAIAAAAFNzkxODYBCAAAAAUAAAABMQEAAAALLTIxNDA5ODE0NjkDAAAAAzE2MAIAAAAEMTE2OQQAAAABMAcAAAAJNy8xMS8yMDI2CAAAAAk2LzMwLzIwMTkJAAAAATDXnylrb9/eCJM8Vm5v394IOUNJUS5OQVNEQVE6TVNGVC5JUV9PVEhFUl9DQV9TVVBQTC4xMDAwLjExLzA3LzIwMjYuLi5VU0QuSAEAAABLVQAAAgAAAAUxNzUyMwEIAAAABQAAAAExAQAAAAstMTkzNDI1NDIxNgMAAAADMTYwAgAAAAQxMDU1BAAAAAEwBwAAAAk3LzExLzIwMjYIAAAACTYvMzAvMjAy</t>
  </si>
  <si>
    <t>NQkAAAABMNefKWtv394IkzxWbm/f3ghAQ0lRLk5BU0RBUTpNU0ZULklRX0RFRl9UQVhfQVNTRVRTX0NVUlJFTlQuOTk2LjExLzA3LzIwMjYuLi5VU0QuSAEAAABLVQAAAwAAAAAA158pa2/f3giTPFZub9/eCD9DSVEuTkFTREFROk1TRlQuSVFfRklOX0RJVl9MT0FOU19DVVJSRU5ULjk5Ni4xMS8wNy8yMDI2Li4uVVNELkgBAAAAS1UAAAMAAAAAANefKWtv394IkzxWbm/f3gg4Q0lRLk5BU0RBUTpNU0ZULklRX1NUX05PVEVfUkVDRUlWLjk5OC4xMS8wNy8yMDI2Li4uVVNELkgBAAAAS1UAAAMAAAAAANefKWtv394IkzxWbm/f3ggtQ0lRLk5BU0RBUTpNU0ZULklRX0FFLjEwMDAuMTEvMDcvMjAyNi4uLlVTRC5IAQAAAEtVAAACAAAABTEzNzA5AQgAAAAFAAAAATEBAAAACy0xOTM0MjU0MjE2AwAAAAMxNjACAAAABDEwMTYEAAAAATAHAAAACTcvMTEvMjAyNggAAAAJNi8zMC8yMDI1CQAAAAEw158pa2/f3giTPFZub9/eCDZDSVEuTkFTREFROk1TRlQuSVFfVE9UQUxfQVNTRVRTLjk5Ny4xMS8wNy8yMDI2Li4uVVNELkgBAAAAS1UAAAIAAAAGMzY0ODQwAQgAAAAFAAAAATEBAAAACy0xOTg1OTMxMjI0AwAAAAMxNjACAAAABDEwMDcEAAAAATAHAAAACTcvMTEvMjAyNggAAAAJNi8zMC8yMDIyCQAAAAEw158pa2/f3giTPFZub9/eCDtDSVEuTkFTREFROk1TRlQuSVFfRklOX0RJVl9BU1NFVFNfTFQuOTk5LjEx</t>
  </si>
  <si>
    <t>LzA3LzIwMjYuLi5VU0QuSAEAAABLVQAAAwAAAAAA158pa2/f3giTPFZub9/eCDpDSVEuTkFTREFROk1TRlQuSVFfRklOX0RJVl9MT0FOU19MVC45OTQuMTEvMDcvMjAyNi4uLlVTRC5IAQAAAEtVAAADAAAAAADXnylrb9/eCJM8Vm5v394ILkNJUS5OQVNEQVE6TVNGVC5JUV9OUFBFLjk5OC4xMS8wNy8yMDI2Li4uVVNELkgBAAAAS1UAAAIAAAAGMTA5OTg3AQgAAAAFAAAAATEBAAAACy0xOTM0MjU0MjUwAwAAAAMxNjACAAAABDEwMDQEAAAAATAHAAAACTcvMTEvMjAyNggAAAAJNi8zMC8yMDIzCQAAAAEw158pa2/f3giTPFZub9/eCDFDSVEuTkFTREFROk1TRlQuSVFfUEVOU0lPTi45OTQuMTEvMDcvMjAyNi4uLlVTRC5IAQAAAEtVAAADAAAAAADXnylrb9/eCEUoVm5v394IOkNJUS5OQVNEQVE6TVNGVC5JUV9MT05HX1RFUk1fTEVBU0VTLjk5OC4xMS8wNy8yMDI2Li4uVVNELkgBAAAAS1UAAAIAAAAFMjg1OTgBCAAAAAUAAAABMQEAAAALLTE5MzQyNTQyNTADAAAAAzE2MAIAAAAEMTE4MwQAAAABMAcAAAAJNy8xMS8yMDI2CAAAAAk2LzMwLzIwMjMJAAAAATDXnylrb9/eCEUoVm5v394IMkNJUS5OQVNEQVE6TVNGVC5JUV9UT1RBTF9DTC45OTUuMTEvMDcvMjAyNi4uLlVTRC5IAQAAAEtVAAACAAAABTcyMzEwAQgAAAAFAAAAATEBAAAACy0yMDg3NDk2NjI3AwAAAAMxNjACAAAABDEwMDkEAAAAATAHAAAA</t>
  </si>
  <si>
    <t>CTcvMTEvMjAyNggAAAAJNi8zMC8yMDIwCQAAAAEw158pa2/f3ghFKFZub9/eCD1DSVEuTkFTREFROk1TRlQuSVFfSU5DX1RBWF9QQVlfQ1VSUkVOVC45OTkuMTEvMDcvMjAyNi4uLlVTRC5IAQAAAEtVAAACAAAABDUwMTcBCAAAAAUAAAABMQEAAAALLTE5MzQyNTQxODUDAAAAAzE2MAIAAAAEMTA5NAQAAAABMAcAAAAJNy8xMS8yMDI2CAAAAAk2LzMwLzIwMjQJAAAAATDXnylrb9/eCEUoVm5v394IPkNJUS5OQVNEQVE6TVNGVC5JUV9GSU5fRElWX0RFQlRfQ1VSUkVOVC45OTYuMTEvMDcvMjAyNi4uLlVTRC5IAQAAAEtVAAADAAAAAADXnylrb9/eCEUoVm5v394IPENJUS5OQVNEQVE6TVNGVC5JUV9NSU5PUklUWV9JTlRFUkVTVC4xMDAwLjExLzA3LzIwMjYuLi5VU0QuSAEAAABLVQAAAwAAAAAA158pa2/f3gg3FFZub9/eCDZDSVEuTkFTREFROk1TRlQuSVFfT1RIRVJfRVFVSVRZLjk5Ny4xMS8wNy8yMDI2Li4uVVNELkgBAAAAS1UAAAIAAAAFLTQ2NzgBCAAAAAUAAAABMQEAAAALLTE5ODU5MzEyMjQDAAAAAzE2MAIAAAAEMTAyOAQAAAABMAcAAAAJNy8xMS8yMDI2CAAAAAk2LzMwLzIwMjIJAAAAATDXnylrb9/eCDcUVm5v394ILENJUS5OQVNEQVE6TVNGVC5JUV9SRS45OTQuMTEvMDcvMjAyNi4uLlVTRC5IAQAAAEtVAAACAAAABTI0MTUwAQgAAAAFAAAAATEBAAAACy0yMTQwOTgxNDY5AwAAAAMxNjAC</t>
  </si>
  <si>
    <t>AAAABDEyMjIEAAAAATAHAAAACTcvMTEvMjAyNggAAAAJNi8zMC8yMDE5CQAAAAEw158pa2/f3gg3FFZub9/eCDRDSVEuTkFTREFROk1TRlQuSVFfUFJFRl9PVEhFUi45OTguMTEvMDcvMjAyNi4uLlVTRC5IAQAAAEtVAAADAAAAAADXnylrb9/eCDcUVm5v394IOUNJUS5OQVNEQVE6TVNGVC5JUV9ERUZfVEFYX0xJQUJfTFQuOTk5LjExLzA3LzIwMjYuLi5VU0QuSAEAAABLVQAAAgAAAAQyNjE4AQgAAAAFAAAAATEBAAAACy0xOTM0MjU0MTg1AwAAAAMxNjACAAAABDEwMjcEAAAAATAHAAAACTcvMTEvMjAyNggAAAAJNi8zMC8yMDI0CQAAAAEw158pa2/f3ghFKFZub9/eCD5DSVEuTkFTREFROk1TRlQuSVFfVE9UQUxfRklOQU5DRV9MRUFTRVMuOTk4LjExLzA3LzIwMjYuLi5VU0QuSAEAAABLVQAAAgAAAAUxNzA2NwEIAAAABQAAAAExAQAAAAstMTkzNDI1NDI1MAMAAAADMTYwAgAAAAU0OTAzMQQAAAABMAcAAAAJNy8xMS8yMDI2CAAAAAk2LzMwLzIwMjMJAAAAATDXnylrb9/eCJn7VW5v394IQUNJUS5OQVNEQVE6TVNGVC5JUV9SVUFfT1BFUkFUSU5HX0xFQVNFX05FVC45OTkuMTEvMDcvMjAyNi4uLlVTRC5IAQAAAEtVAAADAAAAAADXnylrb9/eCJn7VW5v394IR0NJUS5OQVNEQVE6TVNGVC5JUV9SVUFfT1BFUkFUSU5HX0xFQVNFX0FDQ1VNX0RFUC45OTQuMTEvMDcvMjAyNi4uLlVTRC5IAQAAAEtVAAAD</t>
  </si>
  <si>
    <t>AAAAAADXnylrb9/eCDcUVm5v394IQUNJUS5OQVNEQVE6TVNGVC5JUV9SVUFfQ0FQSVRBTF9MRUFTRV9HUk9TUy45OTguMTEvMDcvMjAyNi4uLlVTRC5IAQAAAEtVAAADAAAAAADXnylrb9/eCDcUVm5v394IN0NJUS5OQVNEQVE6TVNGVC5JUV9SVUFfQUNDVU1fREVQLjk5NS4xMS8wNy8yMDI2Li4uVVNELkgBAAAAS1UAAAMAAAAAANefKWtv394INxRWbm/f3ggzQ0lRLk5BU0RBUTpNU0ZULklRX1RPVEFMX0NBUC45OTkuMTEvMDcvMjAyNi4uLlVTRC5IAQAAAEtVAAACAAAABjM2NjMyOQEIAAAABQAAAAExAQAAAAstMTkzNDI1NDE4NQMAAAADMTYwAgAAAAQ0MTc1BAAAAAEwBwAAAAk3LzExLzIwMjYIAAAACTYvMzAvMjAyNAkAAAABMNefKWtv394ImftVbm/f3ggyQ0lRLk5BU0RBUTpNU0ZULklRX05FVF9ERUJULjk5OS4xMS8wNy8yMDI2Li4uVVNELkgBAAAAS1UAAAIAAAAFMjIzMDkBCAAAAAUAAAABMQEAAAALLTE5MzQyNTQxODUDAAAAAzE2MAIAAAAENDM2NAQAAAABMAcAAAAJNy8xMS8yMDI2CAAAAAk2LzMwLzIwMjQJAAAAATDXnylrb9/eCJn7VW5v394IQENJUS5OQVNEQVE6TVNGVC5JUV9UT1RBTF9ERUJUX0VYQ0xfTEVBU0VTLjk5OC4xMS8wNy8yMDI2Li4uVVNELkgBAAAAS1UAAAIAAAAFNDcyMzcBCAAAAAUAAAABMQEAAAALLTE5MzQyNTQyNTADAAAAAzE2MAIAAAAFNDg5OTIEAAAAATAHAAAA</t>
  </si>
  <si>
    <t>CTcvMTEvMjAyNggAAAAJNi8zMC8yMDIzCQAAAAEw158pa2/f3giZ+1Vub9/eCFZDSVEuTkFTREFROk1TRlQuSVFfRklOQU5DSU5HX09CTElHX05PTl9DVVJSRU5UX0VYQ0xfT1BFUl9MRUFTRVMuOTk2LjExLzA3LzIwMjYuLi5VU0QuSAEAAABLVQAAAgAAAAU2MTgyNAEIAAAABQAAAAExAQAAAAstMjAzNjg0Mzg0MwMAAAADMTYwAgAAAAU0ODk4MQQAAAABMAcAAAAJNy8xMS8yMDI2CAAAAAk2LzMwLzIwMjEJAAAAATDXnylrb9/eCJn7VW5v394INkNJUS5OQVNEQVE6TVNGVC5JUV9UT1RBTF9MRUFTRVMuOTk0LjExLzA3LzIwMjYuLi5VU0QuSAEAAABLVQAAAgAAAAUxNDI3NwEIAAAABQAAAAExAQAAAAstMjE0MDk4MTQ2OQMAAAADMTYwAgAAAAU0ODk3OQQAAAABMAcAAAAJNy8xMS8yMDI2CAAAAAk2LzMwLzIwMTkJAAAAATDXnylrb9/eCJn7VW5v394IRUNJUS5OQVNEQVE6TVNGVC5JUV9HRU5FUkFMX1BBUlRORVJfUFJFRl9FUVVJVFkuOTk3LjExLzA3LzIwMjYuLi5VU0QuSAEAAABLVQAAAwAAAAAA158pa2/f3ggj51Vub9/eCEVDSVEuTkFTREFROk1TRlQuSVFfREVGX1RBWF9WQUxVQVRJT05fQUxMT1dBTkNFLjk5OC4xMS8wNy8yMDI2Li4uVVNELkgBAAAAS1UAAAIAAAADOTM5AQgAAAAFAAAAATEBAAAACy0xOTM0MjU0MjUwAwAAAAMxNjACAAAABTQ2MDQ1BAAAAAEwBwAAAAk3LzExLzIwMjYIAAAA</t>
  </si>
  <si>
    <t>CTYvMzAvMjAyMwkAAAABMNefKWtv394II+dVbm/f3gg/Q0lRLk5BU0RBUTpNU0ZULklRX0xFQVNFSE9MRF9JTVBST1ZFTUVOVC45OTcuMTEvMDcvMjAyNi4uLlVTRC5IAQAAAEtVAAACAAAABDc4MTkBCAAAAAUAAAABMQEAAAALLTE5ODU5MzEyMjQDAAAAAzE2MAIAAAAEMzEwMAQAAAABMAcAAAAJNy8xMS8yMDI2CAAAAAk2LzMwLzIwMjIJAAAAATDXnylrb9/eCCPnVW5v394IQENJUS5OQVNEQVE6TVNGVC5JUV9OQVRVUkFMX1JFU09VUkNFU19DT1NULjk5Ny4xMS8wNy8yMDI2Li4uVVNELkgBAAAAS1UAAAMAAAAAANefKWtv394II+dVbm/f3ggzQ0lRLk5BU0RBUTpNU0ZULklRX01BQ0hJTkVSWS45OTcuMTEvMDcvMjAyNi4uLlVTRC5IAQAAAEtVAAACAAAABTY2NDkxAQgAAAAFAAAAATEBAAAACy0xOTg1OTMxMjI0AwAAAAMxNjACAAAABDMxMTQEAAAAATAHAAAACTcvMTEvMjAyNggAAAAJNi8zMC8yMDIyCQAAAAEw158pa2/f3ggj51Vub9/eCD9DSVEuTkFTREFROk1TRlQuSVFfUkVTVFJJQ1RFRF9DQVNIX1RPVEFMLjk5Ny4xMS8wNy8yMDI2Li4uVVNELkgBAAAAS1UAAAMAAAAAANefKWtv394I5dJVbm/f3gg/Q0lRLk5BU0RBUTpNU0ZULklRX0ZJTl9ESVZfU1RfREVCVF9UT1RBTC45OTYuMTEvMDcvMjAyNi4uLlVTRC5IAQAAAEtVAAADAAAAAADXnylrb9/eCOXSVW5v394IT0NJUS5OQVNEQVE6TVNG</t>
  </si>
  <si>
    <t>VC5JUV9MSUFCSUxJVElFU19ORVRUSU5HX09USEVSX0FESlVTVE1FTlRTLjk5Ni4xMS8wNy8yMDI2Li4uVVNELkgBAAAAS1UAAAMAAAAAANefKWtv394I5dJVbm/f3gg9Q0lRLk5BU0RBUTpNU0ZULklRX0xJQUJJTElUSUVTX0xFVkVMXzEuOTk2LjExLzA3LzIwMjYuLi5VU0QuSAEAAABLVQAAAwAAAAAA158pa2/f3gjl0lVub9/eCDhDSVEuTkFTREFROk1TRlQuSVFfQVNTRVRTX0xFVkVMXzMuOTk3LjExLzA3LzIwMjYuLi5VU0QuSAEAAABLVQAAAgAAAAMxNzAA158pa2/f3ggj51Vub9/eCDdDSVEuTkFTREFROk1TRlQuSVFfQ0FTSF9JTlRFUkVTVC45OTUuMTEvMDcvMjAyNi4uLlVTRC5IAQAAAEtVAAACAAAABDI0MDABCAAAAAUAAAABMQEAAAALLTIwODc0OTY2MjcDAAAAAzE2MAIAAAAEMzAyOAQAAAABMAcAAAAJNy8xMS8yMDI2CAAAAAk2LzMwLzIwMjAJAAAAATDXnylrb9/eCK6+VW5v394INkNJUS5OQVNEQVE6TVNGVC5JUV9BTU9SVF9ESUNfQ0YuOTk1LjExLzA3LzIwMjYuLi5VU0QuSAEAAABLVQAAAwAAAAAA158pa2/f3giuvlVub9/eCDFDSVEuTkFTREFROk1TRlQuSVFfREVQX1JVQS45OTcuMTEvMDcvMjAyNi4uLlVTRC5IAQAAAEtVAAADAAAAAADXnylrb9/eCK6+VW5v394IM0NJUS5OQVNEQVE6TVNGVC5JUV9HUk9TU19HVy4xMDAwLjExLzA3LzIwMjYuLi5VU0QuSAEAAABLVQAAAwAAAAAA</t>
  </si>
  <si>
    <t>158pa2/f3gjl0lVub9/eCERDSVEuTkFTREFROk1TRlQuSVFfREVSSVZBVElWRV9UUkFESU5HX0FTU0VUUy4xMDAwLjExLzA3LzIwMjYuLi5VU0QuSAEAAABLVQAAAwAAAAAA158pa2/f3gjl0lVub9/eCDlDSVEuTkFTREFROk1TRlQuSVFfTkVUX0RFQlRfSVNTVUVELjk5OS4xMS8wNy8yMDI2Li4uVVNELkgBAAAAS1UAAAIAAAADNTc1AQgAAAAFAAAAATEBAAAACy0xOTM0MjU0MTg1AwAAAAMxNjACAAAABDIwMDMEAAAAATAHAAAACTcvMTEvMjAyNggAAAAJNi8zMC8yMDI0CQAAAAEw158pa2/f3giBqVVub9/eCDdDSVEuTkFTREFROk1TRlQuSVFfVU5MRVZFUkVEX0ZDRi45OTUuMTEvMDcvMjAyNi4uLlVTRC5IAQAAAEtVAAACAAAACTM1ODc3LjM3NQEIAAAABQAAAAExAQAAAAstMjA4NzQ5NjYyNwMAAAADMTYwAgAAAAQ0NDIzBAAAAAEwBwAAAAk3LzExLzIwMjYIAAAACTYvMzAvMjAyMAkAAAABMNefKWtv394Irr5Vbm/f3gg6Q0lRLk5BU0RBUTpNU0ZULklRX0NBU0hfVEFYRVNfRklOQU4uOTk3LjExLzA3LzIwMjYuLi5VU0QuSAEAAABLVQAAAwAAAAAA158pa2/f3giuvlVub9/eCDRDSVEuTkFTREFROk1TRlQuSVFfQ0FTSF9UQVhFUy45OTcuMTEvMDcvMjAyNi4uLlVTRC5IAQAAAEtVAAACAAAABTE2MDAwAQgAAAAFAAAAATEBAAAACy0xOTg1OTMxMjI0AwAAAAMxNjACAAAABDMwNTMEAAAAATAHAAAA</t>
  </si>
  <si>
    <t>CTcvMTEvMjAyNggAAAAJNi8zMC8yMDIyCQAAAAEw158pa2/f3giuvlVub9/eCEBDSVEuTkFTREFROk1TRlQuSVFfQ0FTSF9JTlRFUkVTVF9SRUNFSVZFRC45OTkuMTEvMDcvMjAyNi4uLlVTRC5IAQAAAEtVAAADAAAAAADXnylrb9/eCK6+VW5v394IP0NJUS5OQVNEQVE6TVNGVC5JUV9GSU5fRElWX0xPQU5TX0NVUlJFTlQuOTk1LjExLzA3LzIwMjYuLi5VU0QuSAEAAABLVQAAAwAAAAAA158pa2/f3giBqVVub9/eCDhDSVEuTkFTREFROk1TRlQuSVFfU1RfTk9URV9SRUNFSVYuOTk3LjExLzA3LzIwMjYuLi5VU0QuSAEAAABLVQAAAwAAAAAA158pa2/f3giBqVVub9/eCDhDSVEuTkFTREFROk1TRlQuSVFfVFJBRElOR19BU1NFVFMuOTk5LjExLzA3LzIwMjYuLi5VU0QuSAEAAABLVQAAAwAAAAAA158pa2/f3giBqVVub9/eCEtDSVEuTkFTREFROk1TRlQuSVFfTE9OR19URVJNX0RFQlRfUkVQQUlEX0VYQ0xfTEVBU0VTLjk5Ny4xMS8wNy8yMDI2Li4uVVNELkgBAAAAS1UAAAIAAAAFLTkwMjMBCAAAAAUAAAABMQEAAAALLTE5ODU5MzEyMjQDAAAAAzE2MAIAAAAFNDg5ODQEAAAAATAHAAAACTcvMTEvMjAyNggAAAAJNi8zMC8yMDIyCQAAAAEw158pa2/f3giBqVVub9/eCDdDSVEuTkFTREFROk1TRlQuSVFfRE9fRklOQU5DRV9DRi45OTkuMTEvMDcvMjAyNi4uLlVTRC5IAQAAAEtVAAADAAAAAADXnylrb9/e</t>
  </si>
  <si>
    <t>CIGpVW5v394ILENJUS5OQVNEQVE6TVNGVC5JUV9BUC45OTQuMTEvMDcvMjAyNi4uLlVTRC5IAQAAAEtVAAACAAAABDkzODIBCAAAAAUAAAABMQEAAAALLTIxNDA5ODE0NjkDAAAAAzE2MAIAAAAEMTAxOAQAAAABMAcAAAAJNy8xMS8yMDI2CAAAAAk2LzMwLzIwMTkJAAAAATDXnylrb9/eCDdtVW5v394IOkNJUS5OQVNEQVE6TVNGVC5JUV9MT0FOU19SRUNFSVZfTFQuMTAwMC4xMS8wNy8yMDI2Li4uVVNELkgBAAAAS1UAAAMAAAAAANefKWtv394IN21Vbm/f3ggvQ0lRLk5BU0RBUTpNU0ZULklRX0FSX0xULjk5NS4xMS8wNy8yMDI2Li4uVVNELkgBAAAAS1UAAAIAAAAEMjcwMAEIAAAABQAAAAExAQAAAAstMjA4NzQ5NjYyNwMAAAADMTYwAgAAAAQxMDg4BAAAAAEwBwAAAAk3LzExLzIwMjYIAAAACTYvMzAvMjAyMAkAAAABMNefKWtv394IN21Vbm/f3gguQ0lRLk5BU0RBUTpNU0ZULklRX05QUEUuOTk3LjExLzA3LzIwMjYuLi5VU0QuSAEAAABLVQAAAgAAAAU4NzU0NgEIAAAABQAAAAExAQAAAAstMTk4NTkzMTIyNAMAAAADMTYwAgAAAAQxMDA0BAAAAAEwBwAAAAk3LzExLzIwMjYIAAAACTYvMzAvMjAyMgkAAAABMNefKWtv394IN21Vbm/f3gg4Q0lRLk5BU0RBUTpNU0ZULklRX09USEVSX0NBX1NVUFBMLjk5OS4xMS8wNy8yMDI2Li4uVVNELkgBAAAAS1UAAAIAAAAFMTU1MjEBCAAAAAUAAAABMQEAAAAL</t>
  </si>
  <si>
    <t>LTE5MzQyNTQxODUDAAAAAzE2MAIAAAAEMTA1NQQAAAABMAcAAAAJNy8xMS8yMDI2CAAAAAk2LzMwLzIwMjQJAAAAATDXnylrb9/eCIGpVW5v394IOkNJUS5OQVNEQVE6TVNGVC5JUV9MT05HX1RFUk1fTEVBU0VTLjk5Ny4xMS8wNy8yMDI2Li4uVVNELkgBAAAAS1UAAAIAAAAFMjUzMzEBCAAAAAUAAAABMQEAAAALLTE5ODU5MzEyMjQDAAAAAzE2MAIAAAAEMTE4MwQAAAABMAcAAAAJNy8xMS8yMDI2CAAAAAk2LzMwLzIwMjIJAAAAATDXnylrb9/eCDdtVW5v394IMkNJUS5OQVNEQVE6TVNGVC5JUV9UT1RBTF9DTC45OTQuMTEvMDcvMjAyNi4uLlVTRC5IAQAAAEtVAAACAAAABTY5NDIwAQgAAAAFAAAAATEBAAAACy0yMTQwOTgxNDY5AwAAAAMxNjACAAAABDEwMDkEAAAAATAHAAAACTcvMTEvMjAyNggAAAAJNi8zMC8yMDE5CQAAAAEw158pa2/f3gg3bVVub9/eCD1DSVEuTkFTREFROk1TRlQuSVFfSU5DX1RBWF9QQVlfQ1VSUkVOVC45OTguMTEvMDcvMjAyNi4uLlVTRC5IAQAAAEtVAAACAAAABDQxNTIBCAAAAAUAAAABMQEAAAALLTE5MzQyNTQyNTADAAAAAzE2MAIAAAAEMTA5NAQAAAABMAcAAAAJNy8xMS8yMDI2CAAAAAk2LzMwLzIwMjMJAAAAATDXnylrb9/eCDdtVW5v394IPkNJUS5OQVNEQVE6TVNGVC5JUV9GSU5fRElWX0RFQlRfQ1VSUkVOVC45OTUuMTEvMDcvMjAyNi4uLlVTRC5IAQAAAEtVAAAD</t>
  </si>
  <si>
    <t>AAAAAADXnylrb9/eCDdtVW5v394ILENJUS5OQVNEQVE6TVNGVC5JUV9BRS45OTkuMTEvMDcvMjAyNi4uLlVTRC5IAQAAAEtVAAACAAAABTEyNTY0AQgAAAAFAAAAATEBAAAACy0xOTM0MjU0MTg1AwAAAAMxNjACAAAABDEwMTYEAAAAATAHAAAACTcvMTEvMjAyNggAAAAJNi8zMC8yMDI0CQAAAAEw158pa2/f3gg3bVVub9/eCDtDSVEuTkFTREFROk1TRlQuSVFfTUlOT1JJVFlfSU5URVJFU1QuOTk5LjExLzA3LzIwMjYuLi5VU0QuSAEAAABLVQAAAwAAAAAAQscpa2/f3gg3bVVub9/eCDZDSVEuTkFTREFROk1TRlQuSVFfT1RIRVJfRVFVSVRZLjk5Ni4xMS8wNy8yMDI2Li4uVVNELkgBAAAAS1UAAAIAAAAEMTgyMgEIAAAABQAAAAExAQAAAAstMjAzNjg0Mzg0MwMAAAADMTYwAgAAAAQxMDI4BAAAAAEwBwAAAAk3LzExLzIwMjYIAAAACTYvMzAvMjAyMQkAAAABMELHKWtv394IN21Vbm/f3ggxQ0lRLk5BU0RBUTpNU0ZULklRX0NPTU1PTi4xMDAwLjExLzA3LzIwMjYuLi5VU0QuSAEAAABLVQAAAgAAAAYxMDkwOTUBCAAAAAUAAAABMQEAAAALLTE5MzQyNTQyMTYDAAAAAzE2MAIAAAAEMTEwMwQAAAABMAcAAAAJNy8xMS8yMDI2CAAAAAk2LzMwLzIwMjUJAAAAATBCxylrb9/eCDdtVW5v394INENJUS5OQVNEQVE6TVNGVC5JUV9QUkVGX09USEVSLjk5Ny4xMS8wNy8yMDI2Li4uVVNELkgBAAAAS1UAAAMAAAAA</t>
  </si>
  <si>
    <t>AELHKWtv394IN21Vbm/f3gg3Q0lRLk5BU0RBUTpNU0ZULklRX09USEVSX0xJQUJfTFQuOTk2LjExLzA3LzIwMjYuLi5VU0QuSAEAAABLVQAAAgAAAAUyODg2NwEIAAAABQAAAAExAQAAAAstMjAzNjg0Mzg0MwMAAAADMTYwAgAAAAQxMDYyBAAAAAEwBwAAAAk3LzExLzIwMjYIAAAACTYvMzAvMjAyMQkAAAABMELHKWtv394IN21Vbm/f3ghMQ0lRLk5BU0RBUTpNU0ZULklRX0xUX1BPUlRJT05fT1BFUl9MRUFTRV9MSUFCSUxJVElFUy4xMDAwLjExLzA3LzIwMjYuLi5VU0QuSAEAAABLVQAAAgAAAAUxNzQzNwEIAAAABQAAAAExAQAAAAstMTkzNDI1NDIxNgMAAAADMTYwAgAAAAU0ODM4MwQAAAABMAcAAAAJNy8xMS8yMDI2CAAAAAk2LzMwLzIwMjUJAAAAATBCxylrb9/eCKkxVW5v394IPkNJUS5OQVNEQVE6TVNGVC5JUV9UT1RBTF9GSU5BTkNFX0xFQVNFUy45OTcuMTEvMDcvMjAyNi4uLlVTRC5IAQAAAEtVAAACAAAABTE0OTAyAQgAAAAFAAAAATEBAAAACy0xOTg1OTMxMjI0AwAAAAMxNjACAAAABTQ5MDMxBAAAAAEwBwAAAAk3LzExLzIwMjYIAAAACTYvMzAvMjAyMgkAAAABMELHKWtv394IqTFVbm/f3gg/Q0lRLk5BU0RBUTpNU0ZULklRX0dQUEVfRVhDTF9PUEVSX0xFQVNFUy45OTYuMTEvMDcvMjAyNi4uLlVTRC5IAQAAAEtVAAACAAAABjExMTA2NgEIAAAABQAAAAExAQAAAAstMjAzNjg0Mzg0MwMA</t>
  </si>
  <si>
    <t>AAADMTYwAgAAAAU0ODk3NAQAAAABMAcAAAAJNy8xMS8yMDI2CAAAAAk2LzMwLzIwMjEJAAAAATBCxylrb9/eCKkxVW5v394IQUNJUS5OQVNEQVE6TVNGVC5JUV9SVUFfQ0FQSVRBTF9MRUFTRV9HUk9TUy45OTcuMTEvMDcvMjAyNi4uLlVTRC5IAQAAAEtVAAADAAAAAABCxylrb9/eCDdtVW5v394IN0NJUS5OQVNEQVE6TVNGVC5JUV9SVUFfQUNDVU1fREVQLjk5NC4xMS8wNy8yMDI2Li4uVVNELkgBAAAAS1UAAAMAAAAAAELHKWtv394IN21Vbm/f3ggyQ0lRLk5BU0RBUTpNU0ZULklRX05FVF9ERUJULjk5OC4xMS8wNy8yMDI2Li4uVVNELkgBAAAAS1UAAAIAAAAGLTMxODE1AQgAAAAFAAAAATEBAAAACy0xOTM0MjU0MjUwAwAAAAMxNjACAAAABDQzNjQEAAAAATAHAAAACTcvMTEvMjAyNggAAAAJNi8zMC8yMDIzCQAAAAEwQscpa2/f3gipMVVub9/eCDxDSVEuTkFTREFROk1TRlQuSVFfVE9UQUxfREVCVF9DVVJSRU5ULjk5OC4xMS8wNy8yMDI2Li4uVVNELkgBAAAAS1UAAAIAAAAEODg1MwEIAAAABQAAAAExAQAAAAstMTkzNDI1NDI1MAMAAAADMTYwAgAAAAUyNTIyMwQAAAABMAcAAAAJNy8xMS8yMDI2CAAAAAk2LzMwLzIwMjMJAAAAATBCxylrb9/eCKkxVW5v394IM0NJUS5OQVNEQVE6TVNGVC5JUV9HV19JTlRBTi4xMDAwLjExLzA3LzIwMjYuLi5VU0QuSAEAAABLVQAAAgAAAAYxNDIxMTMBCAAAAAUA</t>
  </si>
  <si>
    <t>AAABMQEAAAALLTE5MzQyNTQyMTYDAAAAAzE2MAIAAAAFMzUzODEEAAAAATAHAAAACTcvMTEvMjAyNggAAAAJNi8zMC8yMDI1CQAAAAEwQscpa2/f3gipMVVub9/eCEBDSVEuTkFTREFROk1TRlQuSVFfVE9UQUxfREVCVF9FWENMX0xFQVNFUy45OTcuMTEvMDcvMjAyNi4uLlVTRC5IAQAAAEtVAAACAAAABTQ5NzgxAQgAAAAFAAAAATEBAAAACy0xOTg1OTMxMjI0AwAAAAMxNjACAAAABTQ4OTkyBAAAAAEwBwAAAAk3LzExLzIwMjYIAAAACTYvMzAvMjAyMgkAAAABMELHKWtv394IqTFVbm/f3ghWQ0lRLk5BU0RBUTpNU0ZULklRX0ZJTkFOQ0lOR19PQkxJR19OT05fQ1VSUkVOVF9FWENMX09QRVJfTEVBU0VTLjk5NS4xMS8wNy8yMDI2Li4uVVNELkgBAAAAS1UAAAIAAAAFNjg1MzQBCAAAAAUAAAABMQEAAAALLTIwODc0OTY2MjcDAAAAAzE2MAIAAAAFNDg5ODEEAAAAATAHAAAACTcvMTEvMjAyNggAAAAJNi8zMC8yMDIwCQAAAAEwQscpa2/f3gipMVVub9/eCD9DSVEuTkFTREFROk1TRlQuSVFfTEVBU0VIT0xEX0lNUFJPVkVNRU5ULjk5Ni4xMS8wNy8yMDI2Li4uVVNELkgBAAAAS1UAAAIAAAAENjg4NAEIAAAABQAAAAExAQAAAAstMjAzNjg0Mzg0MwMAAAADMTYwAgAAAAQzMTAwBAAAAAEwBwAAAAk3LzExLzIwMjYIAAAACTYvMzAvMjAyMQkAAAABMELHKWtv394IqTFVbm/f3ghAQ0lRLk5BU0RBUTpNU0ZU</t>
  </si>
  <si>
    <t>LklRX05BVFVSQUxfUkVTT1VSQ0VTX0NPU1QuOTk2LjExLzA3LzIwMjYuLi5VU0QuSAEAAABLVQAAAwAAAAAAQscpa2/f3gipMVVub9/eCDNDSVEuTkFTREFROk1TRlQuSVFfTUFDSElORVJZLjk5Ni4xMS8wNy8yMDI2Li4uVVNELkgBAAAAS1UAAAIAAAAFNTY1OTQBCAAAAAUAAAABMQEAAAALLTIwMzY4NDM4NDMDAAAAAzE2MAIAAAAEMzExNAQAAAABMAcAAAAJNy8xMS8yMDI2CAAAAAk2LzMwLzIwMjEJAAAAATBCxylrb9/eCKkxVW5v394IM0NJUS5OQVNEQVE6TVNGVC5JUV9PVEhFUl9JTlYuOTk5LjExLzA3LzIwMjYuLi5VU0QuSAEAAABLVQAAAwAAAAAAQscpa2/f3gipMVVub9/eCDNDSVEuTkFTREFROk1TRlQuSVFfVE9UQUxfQ0FQLjk5OC4xMS8wNy8yMDI2Li4uVVNELkgBAAAAS1UAAAIAAAAGMjg1NjY0AQgAAAAFAAAAATEBAAAACy0xOTM0MjU0MjUwAwAAAAMxNjACAAAABDQxNzUEAAAAATAHAAAACTcvMTEvMjAyNggAAAAJNi8zMC8yMDIzCQAAAAEwQscpa2/f3gipMVVub9/eCFBDSVEuTkFTREFROk1TRlQuSVFfTElBQklMSVRJRVNfTkVUVElOR19PVEhFUl9BREpVU1RNRU5UUy4xMDAwLjExLzA3LzIwMjYuLi5VU0QuSAEAAABLVQAAAwAAAAAAQscpa2/f3gjCHVVub9/eCD1DSVEuTkFTREFROk1TRlQuSVFfTElBQklMSVRJRVNfTEVWRUxfMS45OTUuMTEvMDcvMjAyNi4uLlVTRC5IAQAAAEtV</t>
  </si>
  <si>
    <t>AAADAAAAAABCxylrb9/eCMIdVW5v394ITUNJUS5OQVNEQVE6TVNGVC5JUV9MSVFVSURBVElPTl9WQUxVRV9QUkVGRVJSRURfQ09OVkVSVC45OTcuMTEvMDcvMjAyNi4uLlVTRC5IAQAAAEtVAAADAAAAAABCxylrb9/eCMIdVW5v394IRUNJUS5OQVNEQVE6TVNGVC5JUV9HRU5FUkFMX1BBUlRORVJfUFJFRl9FUVVJVFkuOTk2LjExLzA3LzIwMjYuLi5VU0QuSAEAAABLVQAAAwAAAAAAQscpa2/f3gjCHVVub9/eCEVDSVEuTkFTREFROk1TRlQuSVFfREVGX1RBWF9WQUxVQVRJT05fQUxMT1dBTkNFLjk5Ny4xMS8wNy8yMDI2Li4uVVNELkgBAAAAS1UAAAIAAAAEMTAxMgEIAAAABQAAAAExAQAAAAstMTk4NTkzMTIyNAMAAAADMTYwAgAAAAU0NjA0NQQAAAABMAcAAAAJNy8xMS8yMDI2CAAAAAk2LzMwLzIwMjIJAAAAATBCxylrb9/eCMIdVW5v394IOkNJUS5OQVNEQVE6TVNGVC5JUV9DSEFOR0VfSU5WRU5UT1JZLjk5Ni4xMS8wNy8yMDI2Li4uVVNELkgBAAAAS1UAAAIAAAAELTczNwEIAAAABQAAAAExAQAAAAstMjAzNjg0Mzg0MwMAAAADMTYwAgAAAAQyMDk5BAAAAAEwBwAAAAk3LzExLzIwMjYIAAAACTYvMzAvMjAyMQkAAAABMELHKWtv394IzQhVbm/f3ggvQ0lRLk5BU0RBUTpNU0ZULklRX0RPX0NGLjk5OC4xMS8wNy8yMDI2Li4uVVNELkgBAAAAS1UAAAMAAAAAAELHKWtv394IzQhVbm/f3gg5Q0lRLk5B</t>
  </si>
  <si>
    <t>U0RBUTpNU0ZULklRX0lOVEVSQ09NUEFOWV9DQS45OTguMTEvMDcvMjAyNi4uLlVTRC5IAQAAAEtVAAADAAAAAABCxylrb9/eCM0IVW5v394IQ0NJUS5OQVNEQVE6TVNGVC5JUV9ERVJJVkFUSVZFX0FTU0VUU19DVVJSRU5ULjk5Ny4xMS8wNy8yMDI2Li4uVVNELkgBAAAAS1UAAAIAAAADMjI2AQgAAAAFAAAAATEBAAAACy0xOTg1OTMxMjI0AwAAAAMxNjACAAAABDExMDkEAAAAATAHAAAACTcvMTEvMjAyNggAAAAJNi8zMC8yMDIyCQAAAAEwQscpa2/f3gjNCFVub9/eCD9DSVEuTkFTREFROk1TRlQuSVFfUkVTVFJJQ1RFRF9DQVNIX1RPVEFMLjk5Ni4xMS8wNy8yMDI2Li4uVVNELkgBAAAAS1UAAAMAAAAAAELHKWtv394IzQhVbm/f3gg8Q0lRLk5BU0RBUTpNU0ZULklRX0lOVkVTVF9TRUNVUklUWV9DRi45OTYuMTEvMDcvMjAyNi4uLlVTRC5IAQAAAEtVAAACAAAABDI4NzYBCAAAAAUAAAABMQEAAAALLTIwMzY4NDM4NDMDAAAAAzE2MAIAAAAEMjAyNwQAAAABMAcAAAAJNy8xMS8yMDI2CAAAAAk2LzMwLzIwMjEJAAAAATBCxylrb9/eCKvNVG5v394IOUNJUS5OQVNEQVE6TVNGVC5JUV9DQVNIX0FDUVVJUkVfQ0YuOTk4LjExLzA3LzIwMjYuLi5VU0QuSAEAAABLVQAAAgAAAAUtMTY3MAEIAAAABQAAAAExAQAAAAstMTkzNDI1NDI1MAMAAAADMTYwAgAAAAQyMDU3BAAAAAEwBwAAAAk3LzExLzIwMjYIAAAA</t>
  </si>
  <si>
    <t>CTYvMzAvMjAyMwkAAAABMELHKWtv394Iq81Ubm/f3ggvQ0lRLk5BU0RBUTpNU0ZULklRX0NBUEVYLjk5NC4xMS8wNy8yMDI2Li4uVVNELkgBAAAAS1UAAAIAAAAGLTEzOTI1AQgAAAAFAAAAATEBAAAACy0yMTQwOTgxNDY5AwAAAAMxNjACAAAABDIwMjEEAAAAATAHAAAACTcvMTEvMjAyNggAAAAJNi8zMC8yMDE5CQAAAAEwQscpa2/f3girzVRub9/eCEdDSVEuTkFTREFROk1TRlQuSVFfQ0hBTkdFX09USEVSX05FVF9PUEVSX0FTU0VUUy4xMDAwLjExLzA3LzIwMjYuLi5VU0QuSAEAAABLVQAAAgAAAAUtMTA0NwEIAAAABQAAAAExAQAAAAstMTkzNDI1NDIxNgMAAAADMTYwAgAAAAQyMDQ1BAAAAAEwBwAAAAk3LzExLzIwMjYIAAAACTYvMzAvMjAyNQkAAAABMELHKWtv394Iq81Ubm/f3gg4Q0lRLk5BU0RBUTpNU0ZULklRX0NIQU5HRV9ERUZfVEFYLjk5NC4xMS8wNy8yMDI2Li4uVVNELkgBAAAAS1UAAAMAAAAAAELHKWtv394IzQhVbm/f3gg1Q0lRLk5BU0RBUTpNU0ZULklRX1BSRUZfSVNTVUVELjk5OC4xMS8wNy8yMDI2Li4uVVNELkgBAAAAS1UAAAMAAAAAAELHKWtv394Iq81Ubm/f3gg7Q0lRLk5BU0RBUTpNU0ZULklRX1RPVEFMX0RFQlRfUkVQQUlELjk5OC4xMS8wNy8yMDI2Li4uVVNELkgBAAAAS1UAAAIAAAAFLTI3NTABCAAAAAUAAAABMQEAAAALLTE5MzQyNTQyNTADAAAAAzE2MAIAAAAEMjE2</t>
  </si>
  <si>
    <t>NgQAAAABMAcAAAAJNy8xMS8yMDI2CAAAAAk2LzMwLzIwMjMJAAAAATBCxylrb9/eCKvNVG5v394IOENJUS5OQVNEQVE6TVNGVC5JUV9TVF9ERUJUX1JFUEFJRC45OTQuMTEvMDcvMjAyNi4uLlVTRC5IAQAAAEtVAAADAAAAAABCxylrb9/eCKvNVG5v394IOUNJUS5OQVNEQVE6TVNGVC5JUV9MVF9ERUJUX0lTU1VFRC4xMDAwLjExLzA3LzIwMjYuLi5VU0QuSAEAAABLVQAAAwAAAAAAQscpa2/f3girzVRub9/eCDVDSVEuTkFTREFROk1TRlQuSVFfQ0FTSF9JTlZFU1QuOTk2LjExLzA3LzIwMjYuLi5VU0QuSAEAAABLVQAAAgAAAAYtMjc1NzcBCAAAAAUAAAABMQEAAAALLTIwMzY4NDM4NDMDAAAAAzE2MAIAAAAEMjAwNQQAAAABMAcAAAAJNy8xMS8yMDI2CAAAAAk2LzMwLzIwMjEJAAAAATBCxylrb9/eCKvNVG5v394IPUNJUS5OQVNEQVE6TVNGVC5JUV9EQV9TVVBQTF9QQVJUSUFMX0NGLjk5OC4xMS8wNy8yMDI2Li4uVVNELkgBAAAAS1UAAAMAAAAAAELHKWtv394I2pFUbm/f3ggtQ0lRLk5BU0RBUTpNU0ZULklRX0ZYLjEwMDAuMTEvMDcvMjAyNi4uLlVTRC5IAQAAAEtVAAACAAAAAjYzAQgAAAAFAAAAATEBAAAACy0xOTM0MjU0MjE2AwAAAAMxNjACAAAABDIxNDQEAAAAATAHAAAACTcvMTEvMjAyNggAAAAJNi8zMC8yMDI1CQAAAAEwQscpa2/f3girzVRub9/eCDRDSVEuTkFTREFROk1TRlQuSVFfQ0FT</t>
  </si>
  <si>
    <t>SF9GSU5BTi45OTQuMTEvMDcvMjAyNi4uLlVTRC5IAQAAAEtVAAACAAAABi0zNjg4NwEIAAAABQAAAAExAQAAAAstMjE0MDk4MTQ2OQMAAAADMTYwAgAAAAQyMDA0BAAAAAEwBwAAAAk3LzExLzIwMjYIAAAACTYvMzAvMjAxOQkAAAABMELHKWtv394Iq81Ubm/f3gg5Q0lRLk5BU0RBUTpNU0ZULklRX1NQRUNJQUxfRElWX0NGLjEwMDAuMTEvMDcvMjAyNi4uLlVTRC5IAQAAAEtVAAADAAAAAABCxylrb9/eCKvNVG5v394IPENJUS5OQVNEQVE6TVNGVC5JUV9DT01NT05fUFJFRl9ESVZfQ0YuOTk2LjExLzA3LzIwMjYuLi5VU0QuSAEAAABLVQAAAwAAAAAAQscpa2/f3girzVRub9/eCDRDSVEuTkFTREFROk1TRlQuSVFfQ0FTSF9UQVhFUy45OTYuMTEvMDcvMjAyNi4uLlVTRC5IAQAAAEtVAAACAAAABTEzNDAwAQgAAAAFAAAAATEBAAAACy0yMDM2ODQzODQzAwAAAAMxNjACAAAABDMwNTMEAAAAATAHAAAACTcvMTEvMjAyNggAAAAJNi8zMC8yMDIxCQAAAAEwQscpa2/f3gjakVRub9/eCEBDSVEuTkFTREFROk1TRlQuSVFfQ0FTSF9JTlRFUkVTVF9SRUNFSVZFRC45OTguMTEvMDcvMjAyNi4uLlVTRC5IAQAAAEtVAAADAAAAAABCxylrb9/eCNqRVG5v394IQ0NJUS5OQVNEQVE6TVNGVC5JUV9BTU9SVF9TT0ZUV0FSRV9BU1NFVFNfQ0YuMTAwMC4xMS8wNy8yMDI2Li4uVVNELkgBAAAAS1UAAAMAAAAAAELHKWtv</t>
  </si>
  <si>
    <t>394I2pFUbm/f3gg2Q0lRLk5BU0RBUTpNU0ZULklRX0FNT1JUX0RJQ19DRi45OTQuMTEvMDcvMjAyNi4uLlVTRC5IAQAAAEtVAAADAAAAAABCxylrb9/eCNqRVG5v394IMUNJUS5OQVNEQVE6TVNGVC5JUV9ERVBfUlVBLjk5Ni4xMS8wNy8yMDI2Li4uVVNELkgBAAAAS1UAAAMAAAAAAELHKWtv394I2pFUbm/f3ghCQ0lRLk5BU0RBUTpNU0ZULklRX09QRVJBVElOR19MRUFTRV9QQVlNRU5UUy45OTYuMTEvMDcvMjAyNi4uLlVTRC5IAQAAAEtVAAADAAAAAABCxylrb9/eCNqRVG5v394IOUNJUS5OQVNEQVE6TVNGVC5JUV9ORVRfREVCVF9JU1NVRUQuOTk4LjExLzA3LzIwMjYuLi5VU0QuSAEAAABLVQAAAgAAAAUtMjc1MAEIAAAABQAAAAExAQAAAAstMTkzNDI1NDI1MAMAAAADMTYwAgAAAAQyMDAzBAAAAAEwBwAAAAk3LzExLzIwMjYIAAAACTYvMzAvMjAyMwkAAAABMELHKWtv394I2pFUbm/f3gg3Q0lRLk5BU0RBUTpNU0ZULklRX1VOTEVWRVJFRF9GQ0YuOTk0LjExLzA3LzIwMjYuLi5VU0QuSAEAAABLVQAAAgAAAAkzMjYxMS4zNzUBCAAAAAUAAAABMQEAAAALLTIxNDA5ODE0NjkDAAAAAzE2MAIAAAAENDQyMwQAAAABMAcAAAAJNy8xMS8yMDI2CAAAAAk2LzMwLzIwMTkJAAAAATBCxylrb9/eCNqRVG5v394IRUNJUS5OQVNEQVE6TVNGVC5JUV9DSEFOR0VfTkVUX1dPUktJTkdfQ0FQSVRBTC4xMDAwLjEx</t>
  </si>
  <si>
    <t>LzA3LzIwMjYuLi5VU0QuSAEAAABLVQAAAgAAAAUtNjgzMwEIAAAABQAAAAExAQAAAAstMTkzNDI1NDIxNgMAAAADMTYwAgAAAAQ0NDIxBAAAAAEwBwAAAAk3LzExLzIwMjYIAAAACTYvMzAvMjAyNQkAAAABMELHKWtv394I2pFUbm/f3gg+Q0lRLk5BU0RBUTpNU0ZULklRX0NIQU5HRV9ERUZfVEFYX1RPVEFMLjk5NC4xMS8wNy8yMDI2Li4uVVNELkgBAAAAS1UAAAIAAAAFLTY0NjMBCAAAAAUAAAABMQEAAAALLTIxNDA5ODE0NjkDAAAAAzE2MAIAAAAFMzA5MjQEAAAAATAHAAAACTcvMTEvMjAyNggAAAAJNi8zMC8yMDE5CQAAAAEwQscpa2/f3gjakVRub9/eCDRDSVEuTkFTREFROk1TRlQuSVFfSU5WRU5UT1JZLjEwMDAuMTEvMDcvMjAyNi4uLlVTRC5IAQAAAEtVAAACAAAAAzkzOAEIAAAABQAAAAExAQAAAAstMTkzNDI1NDIxNgMAAAADMTYwAgAAAAQxMDQzBAAAAAEwBwAAAAk3LzExLzIwMjYIAAAACTYvMzAvMjAyNQkAAAABMELHKWtv394IKH5Ubm/f3gg4Q0lRLk5BU0RBUTpNU0ZULklRX1NUX05PVEVfUkVDRUlWLjk5Ni4xMS8wNy8yMDI2Li4uVVNELkgBAAAAS1UAAAMAAAAAAELHKWtv394IKH5Ubm/f3gg4Q0lRLk5BU0RBUTpNU0ZULklRX1RSQURJTkdfQVNTRVRTLjk5OC4xMS8wNy8yMDI2Li4uVVNELkgBAAAAS1UAAAMAAAAAAELHKWtv394I2pFUbm/f3gg+Q0lRLk5BU0RBUTpNU0ZULklRX0dB</t>
  </si>
  <si>
    <t>SU5fQkFSR0FJTl9BQ1FfQ0YuMTAwMC4xMS8wNy8yMDI2Li4uVVNELkgBAAAAS1UAAAMAAAAAAELHKWtv394I2pFUbm/f3ghLQ0lRLk5BU0RBUTpNU0ZULklRX0xPTkdfVEVSTV9ERUJUX1JFUEFJRF9FWENMX0xFQVNFUy45OTYuMTEvMDcvMjAyNi4uLlVTRC5IAQAAAEtVAAACAAAABS0zNzUwAQgAAAAFAAAAATEBAAAACy0yMDM2ODQzODQzAwAAAAMxNjACAAAABTQ4OTg0BAAAAAEwBwAAAAk3LzExLzIwMjYIAAAACTYvMzAvMjAyMQkAAAABMELHKWtv394I2pFUbm/f3ggsQ0lRLk5BU0RBUTpNU0ZULklRX0dXLjk5OS4xMS8wNy8yMDI2Li4uVVNELkgBAAAAS1UAAAIAAAAGMTE5MjIwAQgAAAAFAAAAATEBAAAACy0xOTM0MjU0MTg1AwAAAAMxNjACAAAABDExNzEEAAAAATAHAAAACTcvMTEvMjAyNggAAAAJNi8zMC8yMDI0CQAAAAEwQscpa2/f3gjlVlRub9/eCC5DSVEuTkFTREFROk1TRlQuSVFfTlBQRS45OTYuMTEvMDcvMjAyNi4uLlVTRC5IAQAAAEtVAAACAAAABTcwODAzAQgAAAAFAAAAATEBAAAACy0yMDM2ODQzODQzAwAAAAMxNjACAAAABDEwMDQEAAAAATAHAAAACTcvMTEvMjAyNggAAAAJNi8zMC8yMDIxCQAAAAEwQscpa2/f3gjlVlRub9/eCDhDSVEuTkFTREFROk1TRlQuSVFfT1RIRVJfQ0FfU1VQUEwuOTk4LjExLzA3LzIwMjYuLi5VU0QuSAEAAABLVQAAAgAAAAUxMjYxMwEIAAAABQAAAAEx</t>
  </si>
  <si>
    <t>AQAAAAstMTkzNDI1NDI1MAMAAAADMTYwAgAAAAQxMDU1BAAAAAEwBwAAAAk3LzExLzIwMjYIAAAACTYvMzAvMjAyMwkAAAABMELHKWtv394IKH5Ubm/f3ghBQ0lRLk5BU0RBUTpNU0ZULklRX0ZJTl9ESVZfQVNTRVRTX0NVUlJFTlQuMTAwMC4xMS8wNy8yMDI2Li4uVVNELkgBAAAAS1UAAAMAAAAAAELHKWtv394IKH5Ubm/f3gg/Q0lRLk5BU0RBUTpNU0ZULklRX0ZJTl9ESVZfTE9BTlNfQ1VSUkVOVC45OTQuMTEvMDcvMjAyNi4uLlVTRC5IAQAAAEtVAAADAAAAAABCxylrb9/eCCh+VG5v394IP0NJUS5OQVNEQVE6TVNGVC5JUV9ERUZfVEFYX0xJQUJfQ1VSUkVOVC4xMDAwLjExLzA3LzIwMjYuLi5VU0QuSAEAAABLVQAAAwAAAAAAQscpa2/f3gjlVlRub9/eCD1DSVEuTkFTREFROk1TRlQuSVFfSU5DX1RBWF9QQVlfQ1VSUkVOVC45OTcuMTEvMDcvMjAyNi4uLlVTRC5IAQAAAEtVAAACAAAABDQwNjcBCAAAAAUAAAABMQEAAAALLTE5ODU5MzEyMjQDAAAAAzE2MAIAAAAEMTA5NAQAAAABMAcAAAAJNy8xMS8yMDI2CAAAAAk2LzMwLzIwMjIJAAAAATBCxylrb9/eCOVWVG5v394ILENJUS5OQVNEQVE6TVNGVC5JUV9BRS45OTguMTEvMDcvMjAyNi4uLlVTRC5IAQAAAEtVAAACAAAABTExMDA5AQgAAAAFAAAAATEBAAAACy0xOTM0MjU0MjUwAwAAAAMxNjACAAAABDEwMTYEAAAAATAHAAAACTcvMTEvMjAyNggA</t>
  </si>
  <si>
    <t>AAAJNi8zMC8yMDIzCQAAAAEwQscpa2/f3gjlVlRub9/eCDtDSVEuTkFTREFROk1TRlQuSVFfREVGX1RBWF9BU1NFVFNfTFQuOTk3LjExLzA3LzIwMjYuLi5VU0QuSAEAAABLVQAAAgAAAAUxMzUxNQEIAAAABQAAAAExAQAAAAstMTk4NTkzMTIyNAMAAAADMTYwAgAAAAQxMDI2BAAAAAEwBwAAAAk3LzExLzIwMjYIAAAACTYvMzAvMjAyMgkAAAABMELHKWtv394I5VZUbm/f3ggvQ0lRLk5BU0RBUTpNU0ZULklRX0FSX0xULjk5NC4xMS8wNy8yMDI2Li4uVVNELkgBAAAAS1UAAAIAAAAEMjIwMAEIAAAABQAAAAExAQAAAAstMjE0MDk4MTQ2OQMAAAADMTYwAgAAAAQxMDg4BAAAAAEwBwAAAAk3LzExLzIwMjYIAAAACTYvMzAvMjAxOQkAAAABMELHKWtv394I5VZUbm/f3gg1Q0lRLk5BU0RBUTpNU0ZULklRX1BSRUZfRVFVSVRZLjk5NC4xMS8wNy8yMDI2Li4uVVNELkgBAAAAS1UAAAMAAAAAAELHKWtv394I9UJUbm/f3gg1Q0lRLk5BU0RBUTpNU0ZULklRX1RPVEFMX0xJQUIuMTAwMC4xMS8wNy8yMDI2Li4uVVNELkgBAAAAS1UAAAIAAAAGMjc1NTI0AQgAAAAFAAAAATEBAAAACy0xOTM0MjU0MjE2AwAAAAMxNjACAAAABDEyNzYEAAAAATAHAAAACTcvMTEvMjAyNggAAAAJNi8zMC8yMDI1CQAAAAEwQscpa2/f3gj1QlRub9/eCDdDSVEuTkFTREFROk1TRlQuSVFfT1RIRVJfTElBQl9MVC45OTUuMTEvMDcvMjAy</t>
  </si>
  <si>
    <t>Ni4uLlVTRC5IAQAAAEtVAAACAAAABTMxMTA4AQgAAAAFAAAAATEBAAAACy0yMDg3NDk2NjI3AwAAAAMxNjACAAAABDEwNjIEAAAAATAHAAAACTcvMTEvMjAyNggAAAAJNi8zMC8yMDIwCQAAAAEwQscpa2/f3gjlVlRub9/eCDlDSVEuTkFTREFROk1TRlQuSVFfRklOX0RJVl9MSUFCX0xULjk5OS4xMS8wNy8yMDI2Li4uVVNELkgBAAAAS1UAAAMAAAAAAELHKWtv394I5VZUbm/f3gg6Q0lRLk5BU0RBUTpNU0ZULklRX0xPTkdfVEVSTV9MRUFTRVMuOTk2LjExLzA3LzIwMjYuLi5VU0QuSAEAAABLVQAAAgAAAAUyMTM3OQEIAAAABQAAAAExAQAAAAstMjAzNjg0Mzg0MwMAAAADMTYwAgAAAAQxMTgzBAAAAAEwBwAAAAk3LzExLzIwMjYIAAAACTYvMzAvMjAyMQkAAAABMELHKWtv394I5VZUbm/f3ghBQ0lRLk5BU0RBUTpNU0ZULklRX1JVQV9DQVBJVEFMX0xFQVNFX0dST1NTLjk5Ni4xMS8wNy8yMDI2Li4uVVNELkgBAAAAS1UAAAMAAAAAAELHKWtv394I9UJUbm/f3gg8Q0lRLk5BU0RBUTpNU0ZULklRX1RPVEFMX0xJQUJfRVFVSVRZLjEwMDAuMTEvMDcvMjAyNi4uLlVTRC5IAQAAAEtVAAACAAAABjYxOTAwMwEIAAAABQAAAAExAQAAAAstMTkzNDI1NDIxNgMAAAADMTYwAgAAAAQxMDEzBAAAAAEwBwAAAAk3LzExLzIwMjYIAAAACTYvMzAvMjAyNQkAAAABMELHKWtv394I9UJUbm/f3gg7Q0lRLk5BU0RBUTpN</t>
  </si>
  <si>
    <t>U0ZULklRX01JTk9SSVRZX0lOVEVSRVNULjk5Ny4xMS8wNy8yMDI2Li4uVVNELkgBAAAAS1UAAAMAAAAAAELHKWtv394I9UJUbm/f3gg2Q0lRLk5BU0RBUTpNU0ZULklRX09USEVSX0VRVUlUWS45OTUuMTEvMDcvMjAyNi4uLlVTRC5IAQAAAEtVAAACAAAABDMxODYBCAAAAAUAAAABMQEAAAALLTIwODc0OTY2MjcDAAAAAzE2MAIAAAAEMTAyOAQAAAABMAcAAAAJNy8xMS8yMDI2CAAAAAk2LzMwLzIwMjAJAAAAATBCxylrb9/eCPVCVG5v394IMENJUS5OQVNEQVE6TVNGVC5JUV9DT01NT04uOTk5LjExLzA3LzIwMjYuLi5VU0QuSAEAAABLVQAAAgAAAAYxMDA5MjMBCAAAAAUAAAABMQEAAAALLTE5MzQyNTQxODUDAAAAAzE2MAIAAAAEMTEwMwQAAAABMAcAAAAJNy8xMS8yMDI2CAAAAAk2LzMwLzIwMjQJAAAAATBCxylrb9/eCPVCVG5v394IS0NJUS5OQVNEQVE6TVNGVC5JUV9MVF9QT1JUSU9OX09QRVJfTEVBU0VfTElBQklMSVRJRVMuOTk5LjExLzA3LzIwMjYuLi5VU0QuSAEAAABLVQAAAgAAAAUxNTQ5NwEIAAAABQAAAAExAQAAAAstMTkzNDI1NDE4NQMAAAADMTYwAgAAAAU0ODM4MwQAAAABMAcAAAAJNy8xMS8yMDI2CAAAAAk2LzMwLzIwMjQJAAAAATBCxylrb9/eCAIvVG5v394IUENJUS5OQVNEQVE6TVNGVC5JUV9DVVJSRU5UX1BPUlRJT05fT1BFUl9MRUFTRV9MSUFCSUxJVElFUy45OTQuMTEvMDcv</t>
  </si>
  <si>
    <t>MjAyNi4uLlVTRC5IAQAAAEtVAAACAAAABDE1MTUBCAAAAAUAAAABMQEAAAALLTIxNDA5ODE0NjkDAAAAAzE2MAIAAAAFNDgzODUEAAAAATAHAAAACTcvMTEvMjAyNggAAAAJNi8zMC8yMDE5CQAAAAEwQscpa2/f3ggCL1Rub9/eCD5DSVEuTkFTREFROk1TRlQuSVFfQURfRVhDTF9PUEVSX0xFQVNFUy4xMDAwLjExLzA3LzIwMjYuLi5VU0QuSAEAAABLVQAAAgAAAAYtOTM2NTMBCAAAAAUAAAABMQEAAAALLTE5MzQyNTQyMTYDAAAAAzE2MAIAAAAFNDg5NzUEAAAAATAHAAAACTcvMTEvMjAyNggAAAAJNi8zMC8yMDI1CQAAAAEwQscpa2/f3ggCL1Rub9/eCD9DSVEuTkFTREFROk1TRlQuSVFfR1BQRV9FWENMX09QRVJfTEVBU0VTLjk5NS4xMS8wNy8yMDI2Li4uVVNELkgBAAAAS1UAAAIAAAAFODczNDgBCAAAAAUAAAABMQEAAAALLTIwODc0OTY2MjcDAAAAAzE2MAIAAAAFNDg5NzQEAAAAATAHAAAACTcvMTEvMjAyNggAAAAJNi8zMC8yMDIwCQAAAAEwQscpa2/f3ggCL1Rub9/eCD9DSVEuTkFTREFROk1TRlQuSVFfUlVBX0NBUElUQUxfTEVBU0VfTkVULjk5OS4xMS8wNy8yMDI2Li4uVVNELkgBAAAAS1UAAAMAAAAAAELHKWtv394IAi9Ubm/f3gg8Q0lRLk5BU0RBUTpNU0ZULklRX1RPVEFMX0RFQlRfQ1VSUkVOVC45OTcuMTEvMDcvMjAyNi4uLlVTRC5IAQAAAEtVAAACAAAABDYwMzcBCAAAAAUAAAABMQEA</t>
  </si>
  <si>
    <t>AAALLTE5ODU5MzEyMjQDAAAAAzE2MAIAAAAFMjUyMjMEAAAAATAHAAAACTcvMTEvMjAyNggAAAAJNi8zMC8yMDIyCQAAAAEwQscpa2/f3ghXG1Rub9/eCDRDSVEuTkFTREFROk1TRlQuSVFfQ0FTSF9TSEFSRS45OTcuMTEvMDcvMjAyNi4uLlVTRC5IAQAAAEtVAAACAAAACDEuODY2NDI1AQgAAAAFAAAAATEBAAAACy0xOTg1OTMxMjI0AwAAAAMxNjACAAAABDQzODEEAAAAATAHAAAACTcvMTEvMjAyNggAAAAJNi8zMC8yMDIyCQAAAAEwQscpa2/f3ghXG1Rub9/eCDxDSVEuTkFTREFROk1TRlQuSVFfVEJWX1NIQVJFX1JFUE9SVEVELjk5OS4xMS8wNy8yMDI2Li4uVVNELkgBAAAAS1UAAAMAAAAAAELHKWtv394IVxtUbm/f3gg8Q0lRLk5BU0RBUTpNU0ZULklRX0JWX1NIQVJFX1JFUE9SVEVELjEwMDAuMTEvMDcvMjAyNi4uLlVTRC5IAQAAAEtVAAADAAAAAABCxylrb9/eCAIvVG5v394IQENJUS5OQVNEQVE6TVNGVC5JUV9UT1RBTF9ERUJUX0VYQ0xfTEVBU0VTLjk5Ni4xMS8wNy8yMDI2Li4uVVNELkgBAAAAS1UAAAIAAAAFNTgxNDYBCAAAAAUAAAABMQEAAAALLTIwMzY4NDM4NDMDAAAAAzE2MAIAAAAFNDg5OTIEAAAAATAHAAAACTcvMTEvMjAyNggAAAAJNi8zMC8yMDIxCQAAAAEwQscpa2/f3ggCL1Rub9/eCEBDSVEuTkFTREFROk1TRlQuSVFfTkFUVVJBTF9SRVNPVVJDRVNfQ09TVC45OTUuMTEvMDcv</t>
  </si>
  <si>
    <t>MjAyNi4uLlVTRC5IAQAAAEtVAAADAAAAAABCxylrb9/eCAL0U25v394IM0NJUS5OQVNEQVE6TVNGVC5JUV9NQUNISU5FUlkuOTk1LjExLzA3LzIwMjYuLi5VU0QuSAEAAABLVQAAAgAAAAU0NjA0MwEIAAAABQAAAAExAQAAAAstMjA4NzQ5NjYyNwMAAAADMTYwAgAAAAQzMTE0BAAAAAEwBwAAAAk3LzExLzIwMjYIAAAACTYvMzAvMjAyMAkAAAABMATbKWtv394IAvRTbm/f3gguQ0lRLk5BU0RBUTpNU0ZULklRX0xBTkQuOTk1LjExLzA3LzIwMjYuLi5VU0QuSAEAAABLVQAAAgAAAAQxODIzAQgAAAAFAAAAATEBAAAACy0yMDg3NDk2NjI3AwAAAAMxNjACAAAABDMwOTgEAAAAATAHAAAACTcvMTEvMjAyNggAAAAJNi8zMC8yMDIwCQAAAAEwBNspa2/f3ggC9FNub9/eCDNDSVEuTkFTREFROk1TRlQuSVFfVE9UQUxfQ0FQLjk5Ni4xMS8wNy8yMDI2Li4uVVNELkgBAAAAS1UAAAIAAAAGMjI0MjY2AQgAAAAFAAAAATEBAAAACy0yMDM2ODQzODQzAwAAAAMxNjACAAAABDQxNzUEAAAAATAHAAAACTcvMTEvMjAyNggAAAAJNi8zMC8yMDIxCQAAAAEwBNspa2/f3ghXG1Rub9/eCDJDSVEuTkFTREFROk1TRlQuSVFfTkVUX0RFQlQuOTk3LjExLzA3LzIwMjYuLi5VU0QuSAEAAABLVQAAAgAAAAYtMjYzNDkBCAAAAAUAAAABMQEAAAALLTE5ODU5MzEyMjQDAAAAAzE2MAIAAAAENDM2NAQAAAABMAcAAAAJNy8xMS8yMDI2</t>
  </si>
  <si>
    <t>CAAAAAk2LzMwLzIwMjIJAAAAATAE2ylrb9/eCFcbVG5v394IPUNJUS5OQVNEQVE6TVNGVC5JUV9MSUFCSUxJVElFU19MRVZFTF8xLjk5NC4xMS8wNy8yMDI2Li4uVVNELkgBAAAAS1UAAAMAAAAAAATbKWtv394IAvRTbm/f3ghNQ0lRLk5BU0RBUTpNU0ZULklRX0xJUVVJREFUSU9OX1ZBTFVFX1BSRUZFUlJFRF9DT05WRVJULjk5NS4xMS8wNy8yMDI2Li4uVVNELkgBAAAAS1UAAAMAAAAAAATbKWtv394IAvRTbm/f3ghFQ0lRLk5BU0RBUTpNU0ZULklRX0RFRl9UQVhfVkFMVUFUSU9OX0FMTE9XQU5DRS45OTYuMTEvMDcvMjAyNi4uLlVTRC5IAQAAAEtVAAACAAAAAzc2OQEIAAAABQAAAAExAQAAAAstMjAzNjg0Mzg0MwMAAAADMTYwAgAAAAU0NjA0NQQAAAABMAcAAAAJNy8xMS8yMDI2CAAAAAk2LzMwLzIwMjEJAAAAATAE2ylrb9/eCAL0U25v394IQUNJUS5OQVNEQVE6TVNGVC5JUV9NSU5PUklUWV9JTlRfUkVERUVNX1RPVC45OTcuMTEvMDcvMjAyNi4uLlVTRC5IAQAAAEtVAAADAAAAAAAE2ylrb9/eCAL0U25v394IP0NJUS5OQVNEQVE6TVNGVC5JUV9MRUFTRUhPTERfSU1QUk9WRU1FTlQuOTk1LjExLzA3LzIwMjYuLi5VU0QuSAEAAABLVQAAAgAAAAQ1NDg3AQgAAAAFAAAAATEBAAAACy0yMDg3NDk2NjI3AwAAAAMxNjACAAAABDMxMDAEAAAAATAHAAAACTcvMTEvMjAyNggAAAAJNi8zMC8yMDIwCQAA</t>
  </si>
  <si>
    <t>AAEwBNspa2/f3ggC9FNub9/eCD1DSVEuTkFTREFROk1TRlQuSVFfSU5URVJDT01QQU5ZX05PTl9DQS45OTYuMTEvMDcvMjAyNi4uLlVTRC5IAQAAAEtVAAADAAAAAAAE2ylrb9/eCKHfU25v394IQ0NJUS5OQVNEQVE6TVNGVC5JUV9ERVJJVkFUSVZFX0FTU0VUU19DVVJSRU5ULjk5Ni4xMS8wNy8yMDI2Li4uVVNELkgBAAAAS1UAAAIAAAADMjE1AQgAAAAFAAAAATEBAAAACy0yMDM2ODQzODQzAwAAAAMxNjACAAAABDExMDkEAAAAATAHAAAACTcvMTEvMjAyNggAAAAJNi8zMC8yMDIxCQAAAAEwBNspa2/f3ggC9FNub9/eCEBDSVEuTkFTREFROk1TRlQuSVFfUkVTVFJJQ1RFRF9DQVNIX1RPVEFMLjEwMDAuMTEvMDcvMjAyNi4uLlVTRC5IAQAAAEtVAAADAAAAAAAE2ylrb9/eCAL0U25v394IPUNJUS5OQVNEQVE6TVNGVC5JUV9ERUJUX0VRVUlWX05FVF9QQk8uMTAwMC4xMS8wNy8yMDI2Li4uVVNELkgBAAAAS1UAAAMAAAAAAATbKWtv394IAvRTbm/f3ghPQ0lRLk5BU0RBUTpNU0ZULklRX0xJQUJJTElUSUVTX05FVFRJTkdfT1RIRVJfQURKVVNUTUVOVFMuOTk5LjExLzA3LzIwMjYuLi5VU0QuSAEAAABLVQAAAwAAAAAABNspa2/f3ggC9FNub9/eCERDSVEuTkFTREFROk1TRlQuSVFfQ0hBTkdFX05FVF9XT1JLSU5HX0NBUElUQUwuOTk5LjExLzA3LzIwMjYuLi5VU0QuSAEAAABLVQAAAgAAAAUtMzkyOQEI</t>
  </si>
  <si>
    <t>AAAABQAAAAExAQAAAAstMTkzNDI1NDE4NQMAAAADMTYwAgAAAAQ0NDIxBAAAAAEwBwAAAAk3LzExLzIwMjYIAAAACTYvMzAvMjAyNAkAAAABMATbKWtv394I1ctTbm/f3gg0Q0lRLk5BU0RBUTpNU0ZULklRX0NBU0hfVEFYRVMuOTk1LjExLzA3LzIwMjYuLi5VU0QuSAEAAABLVQAAAgAAAAUxMjUwMAEIAAAABQAAAAExAQAAAAstMjA4NzQ5NjYyNwMAAAADMTYwAgAAAAQzMDUzBAAAAAEwBwAAAAk3LzExLzIwMjYIAAAACTYvMzAvMjAyMAkAAAABMATbKWtv394I1ctTbm/f3ghAQ0lRLk5BU0RBUTpNU0ZULklRX0NBU0hfSU5URVJFU1RfUkVDRUlWRUQuOTk3LjExLzA3LzIwMjYuLi5VU0QuSAEAAABLVQAAAwAAAAAABNspa2/f3gih31Nub9/eCEJDSVEuTkFTREFROk1TRlQuSVFfQU1PUlRfU09GVFdBUkVfQVNTRVRTX0NGLjk5OS4xMS8wNy8yMDI2Li4uVVNELkgBAAAAS1UAAAMAAAAAAATbKWtv394Iod9Tbm/f3ghAQ0lRLk5BU0RBUTpNU0ZULklRX0RBX0NGX0VYQ0xfT1BFUl9MRUFTRVMuOTk5LjExLzA3LzIwMjYuLi5VU0QuSAEAAABLVQAAAgAAAAUyMDAwMAEIAAAABQAAAAExAQAAAAstMTkzNDI1NDE4NQMAAAADMTYwAgAAAAU0ODk4NQQAAAABMAcAAAAJNy8xMS8yMDI2CAAAAAk2LzMwLzIwMjQJAAAAATAE2ylrb9/eCKHfU25v394IOENJUS5OQVNEQVE6TVNGVC5JUV9TVF9OT1RFX1JFQ0VJVi45</t>
  </si>
  <si>
    <t>OTUuMTEvMDcvMjAyNi4uLlVTRC5IAQAAAEtVAAADAAAAAAAE2ylrb9/eCAavU25v394IOENJUS5OQVNEQVE6TVNGVC5JUV9DQVNIX1NUX0lOVkVTVC45OTUuMTEvMDcvMjAyNi4uLlVTRC5IAQAAAEtVAAACAAAABjEzNjQ5MgEIAAAABQAAAAExAQAAAAstMjA4NzQ5NjYyNwMAAAADMTYwAgAAAAQxMDAyBAAAAAEwBwAAAAk3LzExLzIwMjYIAAAACTYvMzAvMjAyMAkAAAABMATbKWtv394IBq9Tbm/f3gg9Q0lRLk5BU0RBUTpNU0ZULklRX0dBSU5fQkFSR0FJTl9BQ1FfQ0YuOTk5LjExLzA3LzIwMjYuLi5VU0QuSAEAAABLVQAAAwAAAAAABNspa2/f3ggGr1Nub9/eCEJDSVEuTkFTREFROk1TRlQuSVFfT1BFUkFUSU5HX0xFQVNFX1BBWU1FTlRTLjk5NS4xMS8wNy8yMDI2Li4uVVNELkgBAAAAS1UAAAMAAAAAAATbKWtv394I1ctTbm/f3gg5Q0lRLk5BU0RBUTpNU0ZULklRX05FVF9ERUJUX0lTU1VFRC45OTcuMTEvMDcvMjAyNi4uLlVTRC5IAQAAAEtVAAACAAAABS05MDIzAQgAAAAFAAAAATEBAAAACy0xOTg1OTMxMjI0AwAAAAMxNjACAAAABDIwMDMEAAAAATAHAAAACTcvMTEvMjAyNggAAAAJNi8zMC8yMDIyCQAAAAEwBNspa2/f3gjVy1Nub9/eCCxDSVEuTkFTREFROk1TRlQuSVFfR1cuOTk3LjExLzA3LzIwMjYuLi5VU0QuSAEAAABLVQAAAgAAAAU2NzUyNAEIAAAABQAAAAExAQAAAAstMTk4NTkzMTIy</t>
  </si>
  <si>
    <t>NAMAAAADMTYwAgAAAAQxMTcxBAAAAAEwBwAAAAk3LzExLzIwMjYIAAAACTYvMzAvMjAyMgkAAAABMATbKWtv394IQZtTbm/f3gguQ0lRLk5BU0RBUTpNU0ZULklRX05QUEUuOTk1LjExLzA3LzIwMjYuLi5VU0QuSAEAAABLVQAAAgAAAAU1MjkwNAEIAAAABQAAAAExAQAAAAstMjA4NzQ5NjYyNwMAAAADMTYwAgAAAAQxMDA0BAAAAAEwBwAAAAk3LzExLzIwMjYIAAAACTYvMzAvMjAyMAkAAAABMATbKWtv394IQZtTbm/f3gg4Q0lRLk5BU0RBUTpNU0ZULklRX09USEVSX0NBX1NVUFBMLjk5Ny4xMS8wNy8yMDI2Li4uVVNELkgBAAAAS1UAAAIAAAAFMTA4MzIBCAAAAAUAAAABMQEAAAALLTE5ODU5MzEyMjQDAAAAAzE2MAIAAAAEMTA1NQQAAAABMAcAAAAJNy8xMS8yMDI2CAAAAAk2LzMwLzIwMjIJAAAAATAE2ylrb9/eCAavU25v394IOENJUS5OQVNEQVE6TVNGVC5JUV9MT0FOU19GT1JfU0FMRS45OTcuMTEvMDcvMjAyNi4uLlVTRC5IAQAAAEtVAAADAAAAAAAE2ylrb9/eCAavU25v394IM0NJUS5OQVNEQVE6TVNGVC5JUV9JTlZFTlRPUlkuOTk5LjExLzA3LzIwMjYuLi5VU0QuSAEAAABLVQAAAgAAAAQxMjQ2AQgAAAAFAAAAATEBAAAACy0xOTM0MjU0MTg1AwAAAAMxNjACAAAABDEwNDMEAAAAATAHAAAACTcvMTEvMjAyNggAAAAJNi8zMC8yMDI0CQAAAAEwBNspa2/f3ggGr1Nub9/eCD1DSVEuTkFTREFR</t>
  </si>
  <si>
    <t>Ok1TRlQuSVFfSU5DX1RBWF9QQVlfQ1VSUkVOVC45OTYuMTEvMDcvMjAyNi4uLlVTRC5IAQAAAEtVAAACAAAABDIxNzQBCAAAAAUAAAABMQEAAAALLTIwMzY4NDM4NDMDAAAAAzE2MAIAAAAEMTA5NAQAAAABMAcAAAAJNy8xMS8yMDI2CAAAAAk2LzMwLzIwMjEJAAAAATAE2ylrb9/eCNNzU25v394IPENJUS5OQVNEQVE6TVNGVC5JUV9DVVJSRU5UX1BPUlRfREVCVC4xMDAwLjExLzA3LzIwMjYuLi5VU0QuSAEAAABLVQAAAgAAAAQyOTk5AQgAAAAFAAAAATEBAAAACy0xOTM0MjU0MjE2AwAAAAMxNjACAAAABDEyOTcEAAAAATAHAAAACTcvMTEvMjAyNggAAAAJNi8zMC8yMDI1CQAAAAEwBNspa2/f3gjTc1Nub9/eCDFDSVEuTkFTREFROk1TRlQuSVFfU1RfREVCVC45OTUuMTEvMDcvMjAyNi4uLlVTRC5IAQAAAEtVAAADAAAAAAAE2ylrb9/eCNNzU25v394IO0NJUS5OQVNEQVE6TVNGVC5JUV9ERUZfVEFYX0FTU0VUU19MVC45OTYuMTEvMDcvMjAyNi4uLlVTRC5IAQAAAEtVAAACAAAABDcxODEBCAAAAAUAAAABMQEAAAALLTIwMzY4NDM4NDMDAAAAAzE2MAIAAAAEMTAyNgQAAAABMAcAAAAJNy8xMS8yMDI2CAAAAAk2LzMwLzIwMjEJAAAAATAE2ylrb9/eCEGbU25v394IO0NJUS5OQVNEQVE6TVNGVC5JUV9GSU5fRElWX0xPQU5TX0xULjEwMDAuMTEvMDcvMjAyNi4uLlVTRC5IAQAAAEtVAAADAAAAAAAE2ylr</t>
  </si>
  <si>
    <t>b9/eCEGbU25v394INUNJUS5OQVNEQVE6TVNGVC5JUV9QUkVGX1JFREVFTS45OTcuMTEvMDcvMjAyNi4uLlVTRC5IAQAAAEtVAAADAAAAAAAE2ylrb9/eCNNzU25v394IN0NJUS5OQVNEQVE6TVNGVC5JUV9PVEhFUl9MSUFCX0xULjk5NC4xMS8wNy8yMDI2Li4uVVNELkgBAAAAS1UAAAIAAAAFMzA5MzYBCAAAAAUAAAABMQEAAAALLTIxNDA5ODE0NjkDAAAAAzE2MAIAAAAEMTA2MgQAAAABMAcAAAAJNy8xMS8yMDI2CAAAAAk2LzMwLzIwMTkJAAAAATAE2ylrb9/eCNNzU25v394IOUNJUS5OQVNEQVE6TVNGVC5JUV9GSU5fRElWX0xJQUJfTFQuOTk4LjExLzA3LzIwMjYuLi5VU0QuSAEAAABLVQAAAwAAAAAABNspa2/f3gjTc1Nub9/eCDpDSVEuTkFTREFROk1TRlQuSVFfTE9OR19URVJNX0xFQVNFUy45OTUuMTEvMDcvMjAyNi4uLlVTRC5IAQAAAEtVAAACAAAABTE2NjI3AQgAAAAFAAAAATEBAAAACy0yMDg3NDk2NjI3AwAAAAMxNjACAAAABDExODMEAAAAATAHAAAACTcvMTEvMjAyNggAAAAJNi8zMC8yMDIwCQAAAAEwBNspa2/f3gjTc1Nub9/eCD5DSVEuTkFTREFROk1TRlQuSVFfREVGX1RBWF9MSUFCX0NVUlJFTlQuOTk5LjExLzA3LzIwMjYuLi5VU0QuSAEAAABLVQAAAwAAAAAABNspa2/f3gjTc1Nub9/eCD9DSVEuTkFTREFROk1TRlQuSVFfUlVBX0NBUElUQUxfTEVBU0VfTkVULjk5OC4xMS8wNy8y</t>
  </si>
  <si>
    <t>MDI2Li4uVVNELkgBAAAAS1UAAAMAAAAAAATbKWtv394I03NTbm/f3ghBQ0lRLk5BU0RBUTpNU0ZULklRX1JVQV9DQVBJVEFMX0xFQVNFX0dST1NTLjk5NS4xMS8wNy8yMDI2Li4uVVNELkgBAAAAS1UAAAMAAAAAAATbKWtv394I03NTbm/f3gg7Q0lRLk5BU0RBUTpNU0ZULklRX1RPVEFMX0xJQUJfRVFVSVRZLjk5OS4xMS8wNy8yMDI2Li4uVVNELkgBAAAAS1UAAAIAAAAGNTEyMTYzAQgAAAAFAAAAATEBAAAACy0xOTM0MjU0MTg1AwAAAAMxNjACAAAABDEwMTMEAAAAATAHAAAACTcvMTEvMjAyNggAAAAJNi8zMC8yMDI0CQAAAAEwBNspa2/f3gjTc1Nub9/eCDtDSVEuTkFTREFROk1TRlQuSVFfTUlOT1JJVFlfSU5URVJFU1QuOTk2LjExLzA3LzIwMjYuLi5VU0QuSAEAAABLVQAAAwAAAAAABNspa2/f3gjTc1Nub9/eCDBDSVEuTkFTREFROk1TRlQuSVFfQ09NTU9OLjk5OC4xMS8wNy8yMDI2Li4uVVNELkgBAAAAS1UAAAIAAAAFOTM3MTgBCAAAAAUAAAABMQEAAAALLTE5MzQyNTQyNTADAAAAAzE2MAIAAAAEMTEwMwQAAAABMAcAAAAJNy8xMS8yMDI2CAAAAAk2LzMwLzIwMjMJAAAAATAE2ylrb9/eCNNzU25v394ILUNJUS5OQVNEQVE6TVNGVC5JUV9UQlYuOTk2LjExLzA3LzIwMjYuLi5VU0QuSAEAAABLVQAAAgAAAAU4NDQ3NwEIAAAABQAAAAExAQAAAAstMjAzNjg0Mzg0MwMAAAADMTYwAgAAAAQxMzEw</t>
  </si>
  <si>
    <t>BAAAAAEwBwAAAAk3LzExLzIwMjYIAAAACTYvMzAvMjAyMQkAAAABMATbKWtv394I/l9Tbm/f3gg7Q0lRLk5BU0RBUTpNU0ZULklRX0JWX1NIQVJFX1JFUE9SVEVELjk5OS4xMS8wNy8yMDI2Li4uVVNELkgBAAAAS1UAAAMAAAAAAATbKWtv394I/l9Tbm/f3ghLQ0lRLk5BU0RBUTpNU0ZULklRX0xUX1BPUlRJT05fT1BFUl9MRUFTRV9MSUFCSUxJVElFUy45OTguMTEvMDcvMjAyNi4uLlVTRC5IAQAAAEtVAAACAAAABTEyNzI4AQgAAAAFAAAAATEBAAAACy0xOTM0MjU0MjUwAwAAAAMxNjACAAAABTQ4MzgzBAAAAAEwBwAAAAk3LzExLzIwMjYIAAAACTYvMzAvMjAyMwkAAAABMATbKWtv394I/l9Tbm/f3gg/Q0lRLk5BU0RBUTpNU0ZULklRX05QUEVfRVhDTF9PUEVSX0xFQVNFUy45OTcuMTEvMDcvMjAyNi4uLlVTRC5IAQAAAEtVAAACAAAABTc0Mzk4AQgAAAAFAAAAATEBAAAACy0xOTg1OTMxMjI0AwAAAAMxNjACAAAABTQ4OTc2BAAAAAEwBwAAAAk3LzExLzIwMjYIAAAACTYvMzAvMjAyMgkAAAABMATbKWtv394I/l9Tbm/f3gg/Q0lRLk5BU0RBUTpNU0ZULklRX0dQUEVfRVhDTF9PUEVSX0xFQVNFUy45OTQuMTEvMDcvMjAyNi4uLlVTRC5IAQAAAEtVAAACAAAABTcxODA3AQgAAAAFAAAAATEBAAAACy0yMTQwOTgxNDY5AwAAAAMxNjACAAAABTQ4OTc0BAAAAAEwBwAAAAk3LzExLzIwMjYIAAAACTYvMzAv</t>
  </si>
  <si>
    <t>MjAxOQkAAAABMATbKWtv394I/l9Tbm/f3ggwQ0lRLk5BU0RBUTpNU0ZULklRX0xJRk9SLjEwMDAuMTEvMDcvMjAyNi4uLlVTRC5IAQAAAEtVAAADAAAAAAAE2ylrb9/eCM84U25v394INkNJUS5OQVNEQVE6TVNGVC5JUV9BUl9VTkJJTExFRC4xMDAwLjExLzA3LzIwMjYuLi5VU0QuSAEAAABLVQAAAwAAAAAABNspa2/f3gjPOFNub9/eCDJDSVEuTkFTREFROk1TRlQuSVFfTkVUX0RFQlQuOTk2LjExLzA3LzIwMjYuLi5VU0QuSAEAAABLVQAAAgAAAAYtNDc5NzgBCAAAAAUAAAABMQEAAAALLTIwMzY4NDM4NDMDAAAAAzE2MAIAAAAENDM2NAQAAAABMAcAAAAJNy8xMS8yMDI2CAAAAAk2LzMwLzIwMjEJAAAAATAE2ylrb9/eCM84U25v394IPENJUS5OQVNEQVE6TVNGVC5JUV9UT1RBTF9ERUJUX0NVUlJFTlQuOTk2LjExLzA3LzIwMjYuLi5VU0QuSAEAAABLVQAAAgAAAAUxMDgyNQEIAAAABQAAAAExAQAAAAstMjAzNjg0Mzg0MwMAAAADMTYwAgAAAAUyNTIyMwQAAAABMAcAAAAJNy8xMS8yMDI2CAAAAAk2LzMwLzIwMjEJAAAAATAE2ylrb9/eCP5fU25v394INENJUS5OQVNEQVE6TVNGVC5JUV9DQVNIX1NIQVJFLjk5Ni4xMS8wNy8yMDI2Li4uVVNELkgBAAAAS1UAAAIAAAAHMS44OTE3NAEIAAAABQAAAAExAQAAAAstMjAzNjg0Mzg0MwMAAAADMTYwAgAAAAQ0MzgxBAAAAAEwBwAAAAk3LzExLzIwMjYIAAAA</t>
  </si>
  <si>
    <t>CTYvMzAvMjAyMQkAAAABMATbKWtv394I/l9Tbm/f3ghBQ0lRLk5BU0RBUTpNU0ZULklRX01JTk9SSVRZX0lOVF9SRURFRU1fVE9ULjk5Ni4xMS8wNy8yMDI2Li4uVVNELkgBAAAAS1UAAAMAAAAAAATbKWtv394IzzhTbm/f3ghAQ0lRLk5BU0RBUTpNU0ZULklRX05BVFVSQUxfUkVTT1VSQ0VTX0NPU1QuOTk0LjExLzA3LzIwMjYuLi5VU0QuSAEAAABLVQAAAwAAAAAABNspa2/f3gjPOFNub9/eCDNDSVEuTkFTREFROk1TRlQuSVFfTUFDSElORVJZLjk5NC4xMS8wNy8yMDI2Li4uVVNELkgBAAAAS1UAAAIAAAAFMzg2NjMBCAAAAAUAAAABMQEAAAALLTIxNDA5ODE0NjkDAAAAAzE2MAIAAAAEMzExNAQAAAABMAcAAAAJNy8xMS8yMDI2CAAAAAk2LzMwLzIwMTkJAAAAATA8ubRqb9/eCM84U25v394ILkNJUS5OQVNEQVE6TVNGVC5JUV9MQU5ELjk5NC4xMS8wNy8yMDI2Li4uVVNELkgBAAAAS1UAAAIAAAAEMTU0MAEIAAAABQAAAAExAQAAAAstMjE0MDk4MTQ2OQMAAAADMTYwAgAAAAQzMDk4BAAAAAEwBwAAAAk3LzExLzIwMjYIAAAACTYvMzAvMjAxOQkAAAABMDy5tGpv394IzzhTbm/f3ggyQ0lRLk5BU0RBUTpNU0ZULklRX1dJUF9JTlYuMTAwMC4xMS8wNy8yMDI2Li4uVVNELkgBAAAAS1UAAAMAAAAAADy5tGpv394IzzhTbm/f3gg9Q0lRLk5BU0RBUTpNU0ZULklRX1RPVEFMX0RFQlRfRVhDTF9GSU4uOTk0</t>
  </si>
  <si>
    <t>LjExLzA3LzIwMjYuLi5VU0QuSAEAAABLVQAAAgAAAAU4NjQ1NQEIAAAABQAAAAExAQAAAAstMjE0MDk4MTQ2OQMAAAADMTYwAgAAAAUyMTg2MAQAAAABMAcAAAAJNy8xMS8yMDI2CAAAAAk2LzMwLzIwMTkJAAAAATA8ubRqb9/eCM84U25v394IPENJUS5OQVNEQVE6TVNGVC5JUV9ERUJUX0VRVUlWX05FVF9QQk8uOTk5LjExLzA3LzIwMjYuLi5VU0QuSAEAAABLVQAAAwAAAAAAPLm0am/f3gjPOFNub9/eCE9DSVEuTkFTREFROk1TRlQuSVFfTElBQklMSVRJRVNfTkVUVElOR19PVEhFUl9BREpVU1RNRU5UUy45OTguMTEvMDcvMjAyNi4uLlVTRC5IAQAAAEtVAAADAAAAAAA8ubRqb9/eCM84U25v394ISkNJUS5OQVNEQVE6TVNGVC5JUV9BU1NFVFNfTkVUVElOR19PVEhFUl9BREpVU1RNRU5UUy45OTcuMTEvMDcvMjAyNi4uLlVTRC5IAQAAAEtVAAADAAAAAAA8ubRqb9/eCM84U25v394IRUNJUS5OQVNEQVE6TVNGVC5JUV9ERUZfVEFYX1ZBTFVBVElPTl9BTExPV0FOQ0UuOTk1LjExLzA3LzIwMjYuLi5VU0QuSAEAAABLVQAAAgAAAAM3NTUBCAAAAAUAAAABMQEAAAALLTIwODc0OTY2MjcDAAAAAzE2MAIAAAAFNDYwNDUEAAAAATAHAAAACTcvMTEvMjAyNggAAAAJNi8zMC8yMDIwCQAAAAEwPLm0am/f3gjPOFNub9/eCEZDSVEuTkFTREFROk1TRlQuSVFfT1BFUkFUSU5HX0xFQVNFX0xJQUJJTElUSUVTLjEw</t>
  </si>
  <si>
    <t>MDAuMTEvMDcvMjAyNi4uLlVTRC5IAQAAAEtVAAADAAAAAAA8ubRqb9/eCNcjU25v394IPkNJUS5OQVNEQVE6TVNGVC5JUV9JTlRFUkNPTVBBTllfTk9OX0NBLjEwMDAuMTEvMDcvMjAyNi4uLlVTRC5IAQAAAEtVAAADAAAAAAA8ubRqb9/eCNcjU25v394IOUNJUS5OQVNEQVE6TVNGVC5JUV9BQ0NVTV9BTU9SVF9HVy4xMDAwLjExLzA3LzIwMjYuLi5VU0QuSAEAAABLVQAAAwAAAAAAPLm0am/f3gjXI1Nub9/eCENDSVEuTkFTREFROk1TRlQuSVFfREVSSVZBVElWRV9BU1NFVFNfQ1VSUkVOVC45OTUuMTEvMDcvMjAyNi4uLlVTRC5IAQAAAEtVAAACAAAAAzIzNAEIAAAABQAAAAExAQAAAAstMjA4NzQ5NjYyNwMAAAADMTYwAgAAAAQxMTA5BAAAAAEwBwAAAAk3LzExLzIwMjYIAAAACTYvMzAvMjAyMAkAAAABMDy5tGpv394I1yNTbm/f3gg+Q0lRLk5BU0RBUTpNU0ZULklRX1NUX0RFQlRfREVSSVZBVElWRVMuMTAwMC4xMS8wNy8yMDI2Li4uVVNELkgBAAAAS1UAAAMAAAAAADy5tGpv394I1yNTbm/f3gg4Q0lRLk5BU0RBUTpNU0ZULklRX0xPQU5TX0ZPUl9TQUxFLjk5Ni4xMS8wNy8yMDI2Li4uVVNELkgBAAAAS1UAAAMAAAAAADy5tGpv394IhA9Tbm/f3ggzQ0lRLk5BU0RBUTpNU0ZULklRX0lOVkVOVE9SWS45OTguMTEvMDcvMjAyNi4uLlVTRC5IAQAAAEtVAAACAAAABDI1MDABCAAAAAUAAAABMQEAAAAL</t>
  </si>
  <si>
    <t>LTE5MzQyNTQyNTADAAAAAzE2MAIAAAAEMTA0MwQAAAABMAcAAAAJNy8xMS8yMDI2CAAAAAk2LzMwLzIwMjMJAAAAATA8ubRqb9/eCIQPU25v394ILUNJUS5OQVNEQVE6TVNGVC5JUV9BUi4xMDAwLjExLzA3LzIwMjYuLi5VU0QuSAEAAABLVQAAAgAAAAU2OTkwNQEIAAAABQAAAAExAQAAAAstMTkzNDI1NDIxNgMAAAADMTYwAgAAAAQxMDIxBAAAAAEwBwAAAAk3LzExLzIwMjYIAAAACTYvMzAvMjAyNQkAAAABMDy5tGpv394IhA9Tbm/f3gg4Q0lRLk5BU0RBUTpNU0ZULklRX0NBU0hfU1RfSU5WRVNULjk5NC4xMS8wNy8yMDI2Li4uVVNELkgBAAAAS1UAAAIAAAAGMTMzODMyAQgAAAAFAAAAATEBAAAACy0yMTQwOTgxNDY5AwAAAAMxNjACAAAABDEwMDIEAAAAATAHAAAACTcvMTEvMjAyNggAAAAJNi8zMC8yMDE5CQAAAAEwPLm0am/f3gjXI1Nub9/eCD1DSVEuTkFTREFROk1TRlQuSVFfR0FJTl9CQVJHQUlOX0FDUV9DRi45OTguMTEvMDcvMjAyNi4uLlVTRC5IAQAAAEtVAAADAAAAAAA8ubRqb9/eCNcjU25v394IO0NJUS5OQVNEQVE6TVNGVC5JUV9ERUZfVEFYX0FTU0VUU19MVC45OTUuMTEvMDcvMjAyNi4uLlVTRC5IAQAAAEtVAAACAAAABDY0MDUBCAAAAAUAAAABMQEAAAALLTIwODc0OTY2MjcDAAAAAzE2MAIAAAAEMTAyNgQAAAABMAcAAAAJNy8xMS8yMDI2CAAAAAk2LzMwLzIwMjAJAAAAATA8ubRq</t>
  </si>
  <si>
    <t>b9/eCJz3Um5v394IOkNJUS5OQVNEQVE6TVNGVC5JUV9GSU5fRElWX0xPQU5TX0xULjk5OS4xMS8wNy8yMDI2Li4uVVNELkgBAAAAS1UAAAMAAAAAADy5tGpv394IhA9Tbm/f3ggsQ0lRLk5BU0RBUTpNU0ZULklRX0dXLjk5Ni4xMS8wNy8yMDI2Li4uVVNELkgBAAAAS1UAAAIAAAAFNDk3MTEBCAAAAAUAAAABMQEAAAALLTIwMzY4NDM4NDMDAAAAAzE2MAIAAAAEMTE3MQQAAAABMAcAAAAJNy8xMS8yMDI2CAAAAAk2LzMwLzIwMjEJAAAAATA8ubRqb9/eCIQPU25v394IL0NJUS5OQVNEQVE6TVNGVC5JUV9HUFBFLjEwMDAuMTEvMDcvMjAyNi4uLlVTRC5IAQAAAEtVAAACAAAABjMyMzQ0MgEIAAAABQAAAAExAQAAAAstMTkzNDI1NDIxNgMAAAADMTYwAgAAAAQxMTY5BAAAAAEwBwAAAAk3LzExLzIwMjYIAAAACTYvMzAvMjAyNQkAAAABMDy5tGpv394IhA9Tbm/f3ggyQ0lRLk5BU0RBUTpNU0ZULklRX1RPVEFMX0NBLjk5NC4xMS8wNy8yMDI2Li4uVVNELkgBAAAAS1UAAAIAAAAGMTc1NTUyAQgAAAAFAAAAATEBAAAACy0yMTQwOTgxNDY5AwAAAAMxNjACAAAABDEwMDgEAAAAATAHAAAACTcvMTEvMjAyNggAAAAJNi8zMC8yMDE5CQAAAAEwPLm0am/f3giED1Nub9/eCDpDSVEuTkFTREFROk1TRlQuSVFfTE9OR19URVJNX0xFQVNFUy45OTQuMTEvMDcvMjAyNi4uLlVTRC5IAQAAAEtVAAACAAAABTEyNDQ1AQgA</t>
  </si>
  <si>
    <t>AAAFAAAAATEBAAAACy0yMTQwOTgxNDY5AwAAAAMxNjACAAAABDExODMEAAAAATAHAAAACTcvMTEvMjAyNggAAAAJNi8zMC8yMDE5CQAAAAEwPLm0am/f3gic91Jub9/eCD5DSVEuTkFTREFROk1TRlQuSVFfREVGX1RBWF9MSUFCX0NVUlJFTlQuOTk4LjExLzA3LzIwMjYuLi5VU0QuSAEAAABLVQAAAwAAAAAAPLm0am/f3gic91Jub9/eCDtDSVEuTkFTREFROk1TRlQuSVFfQ1VSUkVOVF9QT1JUX0RFQlQuOTk5LjExLzA3LzIwMjYuLi5VU0QuSAEAAABLVQAAAgAAAAQyMjQ5AQgAAAAFAAAAATEBAAAACy0xOTM0MjU0MTg1AwAAAAMxNjACAAAABDEyOTcEAAAAATAHAAAACTcvMTEvMjAyNggAAAAJNi8zMC8yMDI0CQAAAAEwPLm0am/f3gic91Jub9/eCDFDSVEuTkFTREFROk1TRlQuSVFfU1RfREVCVC45OTQuMTEvMDcvMjAyNi4uLlVTRC5IAQAAAEtVAAADAAAAAAA8ubRqb9/eCJz3Um5v394IOUNJUS5OQVNEQVE6TVNGVC5JUV9PVEhFUl9MVF9BU1NFVFMuOTk4LjExLzA3LzIwMjYuLi5VU0QuSAEAAABLVQAAAgAAAAQ1OTM4AQgAAAAFAAAAATEBAAAACy0xOTM0MjU0MjUwAwAAAAMxNjACAAAABDEwNjAEAAAAATAHAAAACTcvMTEvMjAyNggAAAAJNi8zMC8yMDIzCQAAAAEwPLm0am/f3gic91Jub9/eCCxDSVEuTkFTREFROk1TRlQuSVFfUkUuOTk5LjExLzA3LzIwMjYuLi5VU0QuSAEAAABLVQAAAgAAAAYx</t>
  </si>
  <si>
    <t>NzMxNDQBCAAAAAUAAAABMQEAAAALLTE5MzQyNTQxODUDAAAAAzE2MAIAAAAEMTIyMgQAAAABMAcAAAAJNy8xMS8yMDI2CAAAAAk2LzMwLzIwMjQJAAAAATA8ubRqb9/eCG/jUm5v394ILkNJUS5OQVNEQVE6TVNGVC5JUV9BUElDLjk5NS4xMS8wNy8yMDI2Li4uVVNELkgBAAAAS1UAAAMAAAAAADy5tGpv394Ib+NSbm/f3gg1Q0lRLk5BU0RBUTpNU0ZULklRX1BSRUZfUkVERUVNLjk5Ni4xMS8wNy8yMDI2Li4uVVNELkgBAAAAS1UAAAMAAAAAADy5tGpv394Ib+NSbm/f3ggyQ0lRLk5BU0RBUTpNU0ZULklRX1BFTlNJT04uMTAwMC4xMS8wNy8yMDI2Li4uVVNELkgBAAAAS1UAAAMAAAAAADy5tGpv394InPdSbm/f3gg5Q0lRLk5BU0RBUTpNU0ZULklRX0ZJTl9ESVZfTElBQl9MVC45OTcuMTEvMDcvMjAyNi4uLlVTRC5IAQAAAEtVAAADAAAAAAA8ubRqb9/eCJz3Um5v394IP0NJUS5OQVNEQVE6TVNGVC5JUV9OUFBFX0VYQ0xfT1BFUl9MRUFTRVMuOTk2LjExLzA3LzIwMjYuLi5VU0QuSAEAAABLVQAAAgAAAAU1OTcxNQEIAAAABQAAAAExAQAAAAstMjAzNjg0Mzg0MwMAAAADMTYwAgAAAAU0ODk3NgQAAAABMAcAAAAJNy8xMS8yMDI2CAAAAAk2LzMwLzIwMjEJAAAAATA8ubRqb9/eCAbPUm5v394ISENJUS5OQVNEQVE6TVNGVC5JUV9SVUFfT1BFUkFUSU5HX0xFQVNFX0FDQ1VNX0RFUC4xMDAwLjExLzA3LzIw</t>
  </si>
  <si>
    <t>MjYuLi5VU0QuSAEAAABLVQAAAwAAAAAAPLm0am/f3ghv41Jub9/eCD9DSVEuTkFTREFROk1TRlQuSVFfUlVBX0NBUElUQUxfTEVBU0VfTkVULjk5Ny4xMS8wNy8yMDI2Li4uVVNELkgBAAAAS1UAAAMAAAAAADy5tGpv394Ib+NSbm/f3ghBQ0lRLk5BU0RBUTpNU0ZULklRX1JVQV9DQVBJVEFMX0xFQVNFX0dST1NTLjk5NC4xMS8wNy8yMDI2Li4uVVNELkgBAAAAS1UAAAMAAAAAADy5tGpv394Ib+NSbm/f3gg7Q0lRLk5BU0RBUTpNU0ZULklRX1RPVEFMX0xJQUJfRVFVSVRZLjk5OC4xMS8wNy8yMDI2Li4uVVNELkgBAAAAS1UAAAIAAAAGNDExOTc2AQgAAAAFAAAAATEBAAAACy0xOTM0MjU0MjUwAwAAAAMxNjACAAAABDEwMTMEAAAAATAHAAAACTcvMTEvMjAyNggAAAAJNi8zMC8yMDIzCQAAAAEwPLm0am/f3ghv41Jub9/eCC1DSVEuTkFTREFROk1TRlQuSVFfVEJWLjk5NS4xMS8wNy8yMDI2Li4uVVNELkgBAAAAS1UAAAIAAAAFNjc5MTUBCAAAAAUAAAABMQEAAAALLTIwODc0OTY2MjcDAAAAAzE2MAIAAAAEMTMxMAQAAAABMAcAAAAJNy8xMS8yMDI2CAAAAAk2LzMwLzIwMjAJAAAAATA8ubRqb9/eCAbPUm5v394IM0NJUS5OQVNEQVE6TVNGVC5JUV9UQlZfU0hBUkUuOTk1LjExLzA3LzIwMjYuLi5VU0QuSAEAAABLVQAAAgAAAAg4Ljk3MDQxMwEIAAAABQAAAAExAQAAAAstMjA4NzQ5NjYyNwMAAAADMTYw</t>
  </si>
  <si>
    <t>AgAAAAQ0MTU2BAAAAAEwBwAAAAk3LzExLzIwMjYIAAAACTYvMzAvMjAyMAkAAAABMDy5tGpv394IBs9Sbm/f3ggyQ0lRLk5BU0RBUTpNU0ZULklRX0JWX1NIQVJFLjk5NC4xMS8wNy8yMDI2Li4uVVNELkgBAAAAS1UAAAIAAAAJMTMuMzg4NzIxAQgAAAAFAAAAATEBAAAACy0yMTQwOTgxNDY5AwAAAAMxNjACAAAABDQwMjAEAAAAATAHAAAACTcvMTEvMjAyNggAAAAJNi8zMC8yMDE5CQAAAAEwPLm0am/f3ggGz1Jub9/eCDdDSVEuTkFTREFROk1TRlQuSVFfVE9UQUxfTEVBU0VTLjEwMDAuMTEvMDcvMjAyNi4uLlVTRC5IAQAAAEtVAAACAAAABTY5MDMzAQgAAAAFAAAAATEBAAAACy0xOTM0MjU0MjE2AwAAAAMxNjACAAAABTQ4OTc5BAAAAAEwBwAAAAk3LzExLzIwMjYIAAAACTYvMzAvMjAyNQkAAAABMDy5tGpv394IBs9Sbm/f3gg7Q0lRLk5BU0RBUTpNU0ZULklRX1RPVEFMX09QRVJfTEVBU0VTLjk5NS4xMS8wNy8yMDI2Li4uVVNELkgBAAAAS1UAAAIAAAAEOTI4NwEIAAAABQAAAAExAQAAAAstMjA4NzQ5NjYyNwMAAAADMTYwAgAAAAU0ODk3OAQAAAABMAcAAAAJNy8xMS8yMDI2CAAAAAk2LzMwLzIwMjAJAAAAATA8ubRqb9/eCAbPUm5v394INUNJUS5OQVNEQVE6TVNGVC5JUV9BUl9VTkJJTExFRC45OTkuMTEvMDcvMjAyNi4uLlVTRC5IAQAAAEtVAAADAAAAAAA8ubRqb9/eCFu7Um5v394IOkNJUS5O</t>
  </si>
  <si>
    <t>QVNEQVE6TVNGVC5JUV9BTExPV19ET1VCVF9BQ0NULjk5OS4xMS8wNy8yMDI2Li4uVVNELkgBAAAAS1UAAAIAAAADODMwAQgAAAAFAAAAATEBAAAACy0xOTM0MjU0MTg1AwAAAAMxNjACAAAABDMwMTIEAAAAATAHAAAACTcvMTEvMjAyNggAAAAJNi8zMC8yMDI0CQAAAAEwPLm0am/f3ghbu1Jub9/eCDJDSVEuTkFTREFROk1TRlQuSVFfTkVUX0RFQlQuOTk1LjExLzA3LzIwMjYuLi5VU0QuSAEAAABLVQAAAgAAAAYtNTQzODIBCAAAAAUAAAABMQEAAAALLTIwODc0OTY2MjcDAAAAAzE2MAIAAAAENDM2NAQAAAABMAcAAAAJNy8xMS8yMDI2CAAAAAk2LzMwLzIwMjAJAAAAATA8ubRqb9/eCFu7Um5v394IPENJUS5OQVNEQVE6TVNGVC5JUV9UT1RBTF9ERUJUX0NVUlJFTlQuOTk1LjExLzA3LzIwMjYuLi5VU0QuSAEAAABLVQAAAgAAAAQ1OTA1AQgAAAAFAAAAATEBAAAACy0yMDg3NDk2NjI3AwAAAAMxNjACAAAABTI1MjIzBAAAAAEwBwAAAAk3LzExLzIwMjYIAAAACTYvMzAvMjAyMAkAAAABMDy5tGpv394IW7tSbm/f3gg0Q0lRLk5BU0RBUTpNU0ZULklRX0NBU0hfU0hBUkUuOTk1LjExLzA3LzIwMjYuLi5VU0QuSAEAAABLVQAAAgAAAAgxLjc5MzE1OAEIAAAABQAAAAExAQAAAAstMjA4NzQ5NjYyNwMAAAADMTYwAgAAAAQ0MzgxBAAAAAEwBwAAAAk3LzExLzIwMjYIAAAACTYvMzAvMjAyMAkAAAABMDy5tGpv</t>
  </si>
  <si>
    <t>394IBs9Sbm/f3ghKQ0lRLk5BU0RBUTpNU0ZULklRX0FTU0VUU19ORVRUSU5HX09USEVSX0FESlVTVE1FTlRTLjk5Ni4xMS8wNy8yMDI2Li4uVVNELkgBAAAAS1UAAAMAAAAAADy5tGpv394I0pNSbm/f3gg4Q0lRLk5BU0RBUTpNU0ZULklRX0FTU0VUU19MRVZFTF8xLjk5Ny4xMS8wNy8yMDI2Li4uVVNELkgBAAAAS1UAAAIAAAAFNzkxMzgAPLm0am/f3gjSk1Jub9/eCEFDSVEuTkFTREFROk1TRlQuSVFfTUlOT1JJVFlfSU5UX1JFREVFTV9UT1QuOTk1LjExLzA3LzIwMjYuLi5VU0QuSAEAAABLVQAAAwAAAAAAPLm0am/f3gjSk1Jub9/eCDFDSVEuTkFTREFROk1TRlQuSVFfV0lQX0lOVi45OTguMTEvMDcvMjAyNi4uLlVTRC5IAQAAAEtVAAACAAAAAjIzAQgAAAAFAAAAATEBAAAACy0xOTM0MjU0MjUwAwAAAAMxNjACAAAABDMyMTkEAAAAATAHAAAACTcvMTEvMjAyNggAAAAJNi8zMC8yMDIzCQAAAAEwPLm0am/f3ghbu1Jub9/eCC9DSVEuTkFTREFROk1TRlQuSVFfTElGT1IuOTk5LjExLzA3LzIwMjYuLi5VU0QuSAEAAABLVQAAAwAAAAAAPLm0am/f3ghbu1Jub9/eCD1DSVEuTkFTREFROk1TRlQuSVFfSU5URVJDT01QQU5ZX05PTl9DQS45OTkuMTEvMDcvMjAyNi4uLlVTRC5IAQAAAEtVAAADAAAAAAA8ubRqb9/eCNKTUm5v394IOENJUS5OQVNEQVE6TVNGVC5JUV9BQ0NVTV9BTU9SVF9HVy45OTkuMTEv</t>
  </si>
  <si>
    <t>MDcvMjAyNi4uLlVTRC5IAQAAAEtVAAADAAAAAAA8ubRqb9/eCNKTUm5v394IPUNJUS5OQVNEQVE6TVNGVC5JUV9UT1RBTF9ERUJUX0VYQ0xfRklOLjk5OC4xMS8wNy8yMDI2Li4uVVNELkgBAAAAS1UAAAIAAAAFNzk0NDEBCAAAAAUAAAABMQEAAAALLTE5MzQyNTQyNTADAAAAAzE2MAIAAAAFMjE4NjAEAAAAATAHAAAACTcvMTEvMjAyNggAAAAJNi8zMC8yMDIzCQAAAAEwPLm0am/f3gjSk1Jub9/eCDxDSVEuTkFTREFROk1TRlQuSVFfREVCVF9FUVVJVl9ORVRfUEJPLjk5OC4xMS8wNy8yMDI2Li4uVVNELkgBAAAAS1UAAAMAAAAAADy5tGpv394I0pNSbm/f3ghAQ0lRLk5BU0RBUTpNU0ZULklRX0xJQUJJTElUSUVTX0ZBSVJfVkFMVUUuOTk1LjExLzA3LzIwMjYuLi5VU0QuSAEAAABLVQAAAgAAAAU3NzQ5OQA8ubRqb9/eCNKTUm5v394ILENJUS5OQVNEQVE6TVNGVC5JUV9HVy45OTUuMTEvMDcvMjAyNi4uLlVTRC5IAQAAAEtVAAACAAAABTQzMzUxAQgAAAAFAAAAATEBAAAACy0yMDg3NDk2NjI3AwAAAAMxNjACAAAABDExNzEEAAAAATAHAAAACTcvMTEvMjAyNggAAAAJNi8zMC8yMDIwCQAAAAEwPLm0am/f3gjSk1Jub9/eCC5DSVEuTkFTREFROk1TRlQuSVFfR1BQRS45OTkuMTEvMDcvMjAyNi4uLlVTRC5IAQAAAEtVAAACAAAABjIzMDk3MwEIAAAABQAAAAExAQAAAAstMTkzNDI1NDE4NQMAAAADMTYw</t>
  </si>
  <si>
    <t>AgAAAAQxMTY5BAAAAAEwBwAAAAk3LzExLzIwMjYIAAAACTYvMzAvMjAyNAkAAAABMDy5tGpv394I0pNSbm/f3gg4Q0lRLk5BU0RBUTpNU0ZULklRX0xPQU5TX0ZPUl9TQUxFLjk5NS4xMS8wNy8yMDI2Li4uVVNELkgBAAAAS1UAAAMAAAAAADy5tGpv394I0pNSbm/f3ggzQ0lRLk5BU0RBUTpNU0ZULklRX0lOVkVOVE9SWS45OTcuMTEvMDcvMjAyNi4uLlVTRC5IAQAAAEtVAAACAAAABDM3NDIBCAAAAAUAAAABMQEAAAALLTE5ODU5MzEyMjQDAAAAAzE2MAIAAAAEMTA0MwQAAAABMAcAAAAJNy8xMS8yMDI2CAAAAAk2LzMwLzIwMjIJAAAAATA8ubRqb9/eCNKTUm5v394ILENJUS5OQVNEQVE6TVNGVC5JUV9BUi45OTkuMTEvMDcvMjAyNi4uLlVTRC5IAQAAAEtVAAACAAAABTU2OTI0AQgAAAAFAAAAATEBAAAACy0xOTM0MjU0MTg1AwAAAAMxNjACAAAABDEwMjEEAAAAATAHAAAACTcvMTEvMjAyNggAAAAJNi8zMC8yMDI0CQAAAAEwPLm0am/f3gjSk1Jub9/eCD5DSVEuTkFTREFROk1TRlQuSVFfREVGX1RBWF9MSUFCX0NVUlJFTlQuOTk3LjExLzA3LzIwMjYuLi5VU0QuSAEAAABLVQAAAwAAAAAAPLm0am/f3giZbFJub9/eCD1DSVEuTkFTREFROk1TRlQuSVFfQ1VSUkVOVF9QT1JUX0xFQVNFUy45OTYuMTEvMDcvMjAyNi4uLlVTRC5IAQAAAEtVAAACAAAABDI3NTMBCAAAAAUAAAABMQEAAAALLTIwMzY4NDM4</t>
  </si>
  <si>
    <t>NDMDAAAAAzE2MAIAAAAEMTA5MAQAAAABMAcAAAAJNy8xMS8yMDI2CAAAAAk2LzMwLzIwMjEJAAAAATA8ubRqb9/eCJlsUm5v394IOUNJUS5OQVNEQVE6TVNGVC5JUV9PVEhFUl9MVF9BU1NFVFMuOTk3LjExLzA3LzIwMjYuLi5VU0QuSAEAAABLVQAAAgAAAAQ0NTgyAQgAAAAFAAAAATEBAAAACy0xOTg1OTMxMjI0AwAAAAMxNjACAAAABDEwNjAEAAAAATAHAAAACTcvMTEvMjAyNggAAAAJNi8zMC8yMDIyCQAAAAEwPLm0am/f3giZbFJub9/eCDtDSVEuTkFTREFROk1TRlQuSVFfREVGX1RBWF9BU1NFVFNfTFQuOTk0LjExLzA3LzIwMjYuLi5VU0QuSAEAAABLVQAAAgAAAAQ3NTM2AQgAAAAFAAAAATEBAAAACy0yMTQwOTgxNDY5AwAAAAMxNjACAAAABDEwMjYEAAAAATAHAAAACTcvMTEvMjAyNggAAAAJNi8zMC8yMDE5CQAAAAEwPLm0am/f3giZbFJub9/eCDpDSVEuTkFTREFROk1TRlQuSVFfRklOX0RJVl9MT0FOU19MVC45OTguMTEvMDcvMjAyNi4uLlVTRC5IAQAAAEtVAAADAAAAAAA8ubRqb9/eCJlsUm5v394INkNJUS5OQVNEQVE6TVNGVC5JUV9QUkVGX0NPTlZFUlQuOTk4LjExLzA3LzIwMjYuLi5VU0QuSAEAAABLVQAAAwAAAAAAPLm0am/f3giZbFJub9/eCDVDSVEuTkFTREFROk1TRlQuSVFfUFJFRl9SRURFRU0uOTk1LjExLzA3LzIwMjYuLi5VU0QuSAEAAABLVQAAAwAAAAAAPLm0am/f3giZbFJu</t>
  </si>
  <si>
    <t>b9/eCDFDSVEuTkFTREFROk1TRlQuSVFfUEVOU0lPTi45OTkuMTEvMDcvMjAyNi4uLlVTRC5IAQAAAEtVAAADAAAAAAA8ubRqb9/eCJlsUm5v394IOUNJUS5OQVNEQVE6TVNGVC5JUV9GSU5fRElWX0xJQUJfTFQuOTk2LjExLzA3LzIwMjYuLi5VU0QuSAEAAABLVQAAAwAAAAAAPLm0am/f3giZbFJub9/eCDNDSVEuTkFTREFROk1TRlQuSVFfVE9UQUxfQ0wuMTAwMC4xMS8wNy8yMDI2Li4uVVNELkgBAAAAS1UAAAIAAAAGMTQxMjE4AQgAAAAFAAAAATEBAAAACy0xOTM0MjU0MjE2AwAAAAMxNjACAAAABDEwMDkEAAAAATAHAAAACTcvMTEvMjAyNggAAAAJNi8zMC8yMDI1CQAAAAEwPLm0am/f3giZbFJub9/eCEdDSVEuTkFTREFROk1TRlQuSVFfUlVBX09QRVJBVElOR19MRUFTRV9BQ0NVTV9ERVAuOTk5LjExLzA3LzIwMjYuLi5VU0QuSAEAAABLVQAAAwAAAAAAPLm0am/f3gjuWFJub9/eCD9DSVEuTkFTREFROk1TRlQuSVFfUlVBX0NBUElUQUxfTEVBU0VfTkVULjk5Ni4xMS8wNy8yMDI2Li4uVVNELkgBAAAAS1UAAAMAAAAAADy5tGpv394ImWxSbm/f3gg4Q0lRLk5BU0RBUTpNU0ZULklRX1JVQV9BQ0NVTV9ERVAuMTAwMC4xMS8wNy8yMDI2Li4uVVNELkgBAAAAS1UAAAMAAAAAADy5tGpv394ImWxSbm/f3gg7Q0lRLk5BU0RBUTpNU0ZULklRX1RPVEFMX0xJQUJfRVFVSVRZLjk5Ny4xMS8wNy8yMDI2Li4u</t>
  </si>
  <si>
    <t>VVNELkgBAAAAS1UAAAIAAAAGMzY0ODQwAQgAAAAFAAAAATEBAAAACy0xOTg1OTMxMjI0AwAAAAMxNjACAAAABDEwMTMEAAAAATAHAAAACTcvMTEvMjAyNggAAAAJNi8zMC8yMDIyCQAAAAEwPLm0am/f3giZbFJub9/eCDJDSVEuTkFTREFROk1TRlQuSVFfVFJFQVNVUlkuOTk2LjExLzA3LzIwMjYuLi5VU0QuSAEAAABLVQAAAwAAAAAAPLm0am/f3giZbFJub9/eCC1DSVEuTkFTREFROk1TRlQuSVFfVEJWLjk5NC4xMS8wNy8yMDI2Li4uVVNELkgBAAAAS1UAAAIAAAAFNTI1NTQBCAAAAAUAAAABMQEAAAALLTIxNDA5ODE0NjkDAAAAAzE2MAIAAAAEMTMxMAQAAAABMAcAAAAJNy8xMS8yMDI2CAAAAAk2LzMwLzIwMTkJAAAAATA8ubRqb9/eCO5YUm5v394INkNJUS5OQVNEQVE6TVNGVC5JUV9UT1RBTF9MRUFTRVMuOTk5LjExLzA3LzIwMjYuLi5VU0QuSAEAAABLVQAAAgAAAAU0NjIyMgEIAAAABQAAAAExAQAAAAstMTkzNDI1NDE4NQMAAAADMTYwAgAAAAU0ODk3OQQAAAABMAcAAAAJNy8xMS8yMDI2CAAAAAk2LzMwLzIwMjQJAAAAATA8ubRqb9/eCO5YUm5v394IO0NJUS5OQVNEQVE6TVNGVC5JUV9UT1RBTF9PUEVSX0xFQVNFUy45OTQuMTEvMDcvMjAyNi4uLlVTRC5IAQAAAEtVAAACAAAABDc3MDMBCAAAAAUAAAABMQEAAAALLTIxNDA5ODE0NjkDAAAAAzE2MAIAAAAFNDg5NzgEAAAAATAHAAAACTcvMTEv</t>
  </si>
  <si>
    <t>MjAyNggAAAAJNi8zMC8yMDE5CQAAAAEwPLm0am/f3gjuWFJub9/eCEJDSVEuTkFTREFROk1TRlQuSVFfRklOQU5DRV9MRUFTRVNfTE9OR19URVJNLjk5OC4xMS8wNy8yMDI2Li4uVVNELkgBAAAAS1UAAAIAAAAFMTU4NzABCAAAAAUAAAABMQEAAAALLTE5MzQyNTQyNTADAAAAAzE2MAIAAAAFNDg5OTEEAAAAATAHAAAACTcvMTEvMjAyNggAAAAJNi8zMC8yMDIzCQAAAAEwPLm0am/f3gjuWFJub9/eCD9DSVEuTkFTREFROk1TRlQuSVFfTlBQRV9FWENMX09QRVJfTEVBU0VTLjk5NS4xMS8wNy8yMDI2Li4uVVNELkgBAAAAS1UAAAIAAAAFNDQxNTEBCAAAAAUAAAABMQEAAAALLTIwODc0OTY2MjcDAAAAAzE2MAIAAAAFNDg5NzYEAAAAATAHAAAACTcvMTEvMjAyNggAAAAJNi8zMC8yMDIwCQAAAAEwPLm0am/f3gjuWFJub9/eCDVDSVEuTkFTREFROk1TRlQuSVFfQVJfVU5CSUxMRUQuOTk4LjExLzA3LzIwMjYuLi5VU0QuSAEAAABLVQAAAwAAAAAAPLm0am/f3giqMVJub9/eCDpDSVEuTkFTREFROk1TRlQuSVFfQUxMT1dfRE9VQlRfQUNDVC45OTguMTEvMDcvMjAyNi4uLlVTRC5IAQAAAEtVAAACAAAAAzY1MAEIAAAABQAAAAExAQAAAAstMTkzNDI1NDI1MAMAAAADMTYwAgAAAAQzMDEyBAAAAAEwBwAAAAk3LzExLzIwMjYIAAAACTYvMzAvMjAyMwkAAAABMDy5tGpv394IqjFSbm/f3gg1Q0lRLk5BU0RBUTpN</t>
  </si>
  <si>
    <t>U0ZULklRX1dPUktJTkdfQ0FQLjk5OC4xMS8wNy8yMDI2Li4uVVNELkgBAAAAS1UAAAIAAAAFODAxMDgBCAAAAAUAAAABMQEAAAALLTE5MzQyNTQyNTADAAAAAzE2MAIAAAAENDE2NQQAAAABMAcAAAAJNy8xMS8yMDI2CAAAAAk2LzMwLzIwMjMJAAAAATA8ubRqb9/eCKoxUm5v394IPENJUS5OQVNEQVE6TVNGVC5JUV9UT1RBTF9ERUJUX0NVUlJFTlQuOTk0LjExLzA3LzIwMjYuLi5VU0QuSAEAAABLVQAAAgAAAAQ3MzQ4AQgAAAAFAAAAATEBAAAACy0yMTQwOTgxNDY5AwAAAAMxNjACAAAABTI1MjIzBAAAAAEwBwAAAAk3LzExLzIwMjYIAAAACTYvMzAvMjAxOQkAAAABMDy5tGpv394IqjFSbm/f3gg0Q0lRLk5BU0RBUTpNU0ZULklRX0NBU0hfU0hBUkUuOTk0LjExLzA3LzIwMjYuLi5VU0QuSAEAAABLVQAAAgAAAAgxLjQ4NTgwNAEIAAAABQAAAAExAQAAAAstMjE0MDk4MTQ2OQMAAAADMTYwAgAAAAQ0MzgxBAAAAAEwBwAAAAk3LzExLzIwMjYIAAAACTYvMzAvMjAxOQkAAAABMDy5tGpv394IqjFSbm/f3ghKQ0lRLk5BU0RBUTpNU0ZULklRX0FTU0VUU19ORVRUSU5HX09USEVSX0FESlVTVE1FTlRTLjk5NS4xMS8wNy8yMDI2Li4uVVNELkgBAAAAS1UAAAMAAAAAADy5tGpv394IqjFSbm/f3gg4Q0lRLk5BU0RBUTpNU0ZULklRX0FTU0VUU19MRVZFTF8xLjk5NS4xMS8wNy8yMDI2Li4uVVNELkgBAAAAS1UA</t>
  </si>
  <si>
    <t>AAIAAAAFOTk3NjAAPLm0am/f3giqMVJub9/eCEFDSVEuTkFTREFROk1TRlQuSVFfTUlOT1JJVFlfSU5UX1JFREVFTV9UT1QuOTk0LjExLzA3LzIwMjYuLi5VU0QuSAEAAABLVQAAAwAAAAAAPLm0am/f3giqMVJub9/eCEBDSVEuTkFTREFROk1TRlQuSVFfTEVBU0VIT0xEX0lNUFJPVkVNRU5ULjEwMDAuMTEvMDcvMjAyNi4uLlVTRC5IAQAAAEtVAAACAAAABTEyMTE3AQgAAAAFAAAAATEBAAAACy0xOTM0MjU0MjE2AwAAAAMxNjACAAAABDMxMDAEAAAAATAHAAAACTcvMTEvMjAyNggAAAAJNi8zMC8yMDI1CQAAAAEwPLm0am/f3giqMVJub9/eCC9DSVEuTkFTREFROk1TRlQuSVFfTElGT1IuOTk4LjExLzA3LzIwMjYuLi5VU0QuSAEAAABLVQAAAwAAAAAAPLm0am/f3giqMVJub9/eCEdDSVEuTkFTREFROk1TRlQuSVFfQ1VSUkVOVF9QT1JUX0RFQlRfREVSSVZBVElWRVMuOTk4LjExLzA3LzIwMjYuLi5VU0QuSAEAAABLVQAAAwAAAAAAPLm0am/f3ghOHVJub9/eCDdDSVEuTkFTREFROk1TRlQuSVFfT1JERVJfQkFDS0xPRy45OTUuMTEvMDcvMjAyNi4uLlVTRC5IAQAAAEtVAAADAAAAAAA8ubRqb9/eCE4dUm5v394IQENJUS5OQVNEQVE6TVNGVC5JUV9ERUJUX0VRVUlWX09QRVJfTEVBU0UuMTAwMC4xMS8wNy8yMDI2Li4uVVNELkgBAAAAS1UAAAIAAAAFNDQxOTIBCAAAAAUAAAABMQEAAAALLTE5MzQyNTQy</t>
  </si>
  <si>
    <t>MTYDAAAAAzE2MAIAAAAFMjE2NzEEAAAAATAHAAAACTcvMTEvMjAyNggAAAAJNi8zMC8yMDI1CQAAAAEwPLm0am/f3giqMVJub9/eCEBDSVEuTkFTREFROk1TRlQuSVFfTElBQklMSVRJRVNfRkFJUl9WQUxVRS45OTQuMTEvMDcvMjAyNi4uLlVTRC5IAQAAAEtVAAACAAAABTc5MTcyADy5tGpv394IqjFSbm/f3gg9Q0lRLk5BU0RBUTpNU0ZULklRX0xJQUJJTElUSUVTX0xFVkVMXzEuOTk5LjExLzA3LzIwMjYuLi5VU0QuSAEAAABLVQAAAgAAAAExADy5tGpv394IqjFSbm/f3gg1Q0lRLk5BU0RBUTpNU0ZULklRX0xFVkVSRURfRkNGLjk5NC4xMS8wNy8yMDI2Li4uVVNELkgBAAAAS1UAAAIAAAAJMzA5MzIuNjI1AQgAAAAFAAAAATEBAAAACy0yMTQwOTgxNDY5AwAAAAMxNjACAAAABDQ0MjIEAAAAATAHAAAACTcvMTEvMjAyNggAAAAJNi8zMC8yMDE5CQAAAAEwPLm0am/f3gia4VFub9/eCDtDSVEuTkFTREFROk1TRlQuSVFfQ0FTSF9UQVhFU19JTlZFU1QuOTk2LjExLzA3LzIwMjYuLi5VU0QuSAEAAABLVQAAAwAAAAAAPLm0am/f3ghOHVJub9/eCD5DSVEuTkFTREFROk1TRlQuSVFfQ0FTSF9JTlRFUkVTVF9JTlZFU1QuOTk4LjExLzA3LzIwMjYuLi5VU0QuSAEAAABLVQAAAwAAAAAAPLm0am/f3ghOHVJub9/eCDlDSVEuTkFTREFROk1TRlQuSVFfSU5URVJDT01QQU5ZX0NMLjk5Ni4xMS8wNy8yMDI2Li4u</t>
  </si>
  <si>
    <t>VVNELkgBAAAAS1UAAAMAAAAAADy5tGpv394ITh1Sbm/f3gg8Q0lRLk5BU0RBUTpNU0ZULklRX0xUX01BUktfU0VDVVJJVElFUy45OTQuMTEvMDcvMjAyNi4uLlVTRC5IAQAAAEtVAAADAAAAAAA8ubRqb9/eCE4dUm5v394INkNJUS5OQVNEQVE6TVNGVC5JUV9PVEhFUl9SRUNFSVYuOTk2LjExLzA3LzIwMjYuLi5VU0QuSAEAAABLVQAAAwAAAAAAPLm0am/f3gia4VFub9/eCDNDSVEuTkFTREFROk1TRlQuSVFfU1RfSU5WRVNULjk5OC4xMS8wNy8yMDI2Li4uVVNELkgBAAAAS1UAAAIAAAAFNzY1NTIBCAAAAAUAAAABMQEAAAALLTE5MzQyNTQyNTADAAAAAzE2MAIAAAAEMTA2OQQAAAABMAcAAAAJNy8xMS8yMDI2CAAAAAk2LzMwLzIwMjMJAAAAATA8ubRqb9/eCJrhUW5v394ITUNJUS5OQVNEQVE6TVNGVC5JUV9PUEVSQVRJTkdfTEVBU0VfTElBQklMSVRJRVNfTk9OQ0FTSC45OTYuMTEvMDcvMjAyNi4uLlVTRC5IAQAAAEtVAAADAAAAAAA8ubRqb9/eCJrhUW5v394INkNJUS5OQVNEQVE6TVNGVC5JUV9ET19JTlZFU1RfQ0YuOTk4LjExLzA3LzIwMjYuLi5VU0QuSAEAAABLVQAAAwAAAAAAPLm0am/f3gia4VFub9/eCDhDSVEuTkFTREFROk1TRlQuSVFfVU5MRVZFUkVEX0ZDRi4xMDAwLjExLzA3LzIwMjYuLi5VU0QuSAEAAABLVQAAAgAAAAU2MjU4NgEIAAAABQAAAAExAQAAAAstMTkzNDI1NDIxNgMAAAAD</t>
  </si>
  <si>
    <t>MTYwAgAAAAQ0NDIzBAAAAAEwBwAAAAk3LzExLzIwMjYIAAAACTYvMzAvMjAyNQkAAAABMDy5tGpv394ImuFRbm/f3gguQ0lRLk5BU0RBUTpNU0ZULklRX0dQUEUuOTk4LjExLzA3LzIwMjYuLi5VU0QuSAEAAABLVQAAAgAAAAYxNzgyMzgBCAAAAAUAAAABMQEAAAALLTE5MzQyNTQyNTADAAAAAzE2MAIAAAAEMTE2OQQAAAABMAcAAAAJNy8xMS8yMDI2CAAAAAk2LzMwLzIwMjMJAAAAATA8ubRqb9/eCJrhUW5v394IOUNJUS5OQVNEQVE6TVNGVC5JUV9SRVNUUklDVEVEX0NBU0guOTk4LjExLzA3LzIwMjYuLi5VU0QuSAEAAABLVQAAAwAAAAAAPLm0am/f3gia4VFub9/eCDhDSVEuTkFTREFROk1TRlQuSVFfTE9BTlNfRk9SX1NBTEUuOTk0LjExLzA3LzIwMjYuLi5VU0QuSAEAAABLVQAAAwAAAAAAPLm0am/f3gia4VFub9/eCEBDSVEuTkFTREFROk1TRlQuSVFfRklOX0RJVl9MT0FOU19DVVJSRU5ULjEwMDAuMTEvMDcvMjAyNi4uLlVTRC5IAQAAAEtVAAADAAAAAAA8ubRqb9/eCJrhUW5v394IM0NJUS5OQVNEQVE6TVNGVC5JUV9JTlZFTlRPUlkuOTk2LjExLzA3LzIwMjYuLi5VU0QuSAEAAABLVQAAAgAAAAQyNjM2AQgAAAAFAAAAATEBAAAACy0yMDM2ODQzODQzAwAAAAMxNjACAAAABDEwNDMEAAAAATAHAAAACTcvMTEvMjAyNggAAAAJNi8zMC8yMDIxCQAAAAEwPLm0am/f3gia4VFub9/eCD1DSVEuTkFT</t>
  </si>
  <si>
    <t>REFROk1TRlQuSVFfQ1VSUkVOVF9QT1JUX0xFQVNFUy45OTUuMTEvMDcvMjAyNi4uLlVTRC5IAQAAAEtVAAACAAAABDIxNTYBCAAAAAUAAAABMQEAAAALLTIwODc0OTY2MjcDAAAAAzE2MAIAAAAEMTA5MAQAAAABMAcAAAAJNy8xMS8yMDI2CAAAAAk2LzMwLzIwMjAJAAAAATA8ubRqb9/eCJrhUW5v394ILENJUS5OQVNEQVE6TVNGVC5JUV9BUC45OTkuMTEvMDcvMjAyNi4uLlVTRC5IAQAAAEtVAAACAAAABTIxOTk2AQgAAAAFAAAAATEBAAAACy0xOTM0MjU0MTg1AwAAAAMxNjACAAAABDEwMTgEAAAAATAHAAAACTcvMTEvMjAyNggAAAAJNi8zMC8yMDI0CQAAAAEwPLm0am/f3gia4VFub9/eCDlDSVEuTkFTREFROk1TRlQuSVFfT1RIRVJfTFRfQVNTRVRTLjk5Ni4xMS8wNy8yMDI2Li4uVVNELkgBAAAAS1UAAAIAAAAENDQ5NAEIAAAABQAAAAExAQAAAAstMjAzNjg0Mzg0MwMAAAADMTYwAgAAAAQxMDYwBAAAAAEwBwAAAAk3LzExLzIwMjYIAAAACTYvMzAvMjAyMQkAAAABMDy5tGpv394ImuFRbm/f3ggwQ0lRLk5BU0RBUTpNU0ZULklRX0FSX0xULjEwMDAuMTEvMDcvMjAyNi4uLlVTRC5IAQAAAEtVAAACAAAABDUyMDABCAAAAAUAAAABMQEAAAALLTE5MzQyNTQyMTYDAAAAAzE2MAIAAAAEMTA4OAQAAAABMAcAAAAJNy8xMS8yMDI2CAAAAAk2LzMwLzIwMjUJAAAAATA8ubRqb9/eCJrhUW5v394IOkNJUS5O</t>
  </si>
  <si>
    <t>QVNEQVE6TVNGVC5JUV9GSU5fRElWX0xPQU5TX0xULjk5Ny4xMS8wNy8yMDI2Li4uVVNELkgBAAAAS1UAAAMAAAAAADy5tGpv394ImuFRbm/f3ggxQ0lRLk5BU0RBUTpNU0ZULklRX1BFTlNJT04uOTk4LjExLzA3LzIwMjYuLi5VU0QuSAEAAABLVQAAAwAAAAAAPLm0am/f3ghmulFub9/eCDlDSVEuTkFTREFROk1TRlQuSVFfRklOX0RJVl9MSUFCX0xULjk5NS4xMS8wNy8yMDI2Li4uVVNELkgBAAAAS1UAAAMAAAAAADy5tGpv394ImuFRbm/f3ggyQ0lRLk5BU0RBUTpNU0ZULklRX1RPVEFMX0NMLjk5OS4xMS8wNy8yMDI2Li4uVVNELkgBAAAAS1UAAAIAAAAGMTI1Mjg2AQgAAAAFAAAAATEBAAAACy0xOTM0MjU0MTg1AwAAAAMxNjACAAAABDEwMDkEAAAAATAHAAAACTcvMTEvMjAyNggAAAAJNi8zMC8yMDI0CQAAAAEwPLm0am/f3gia4VFub9/eCDhDSVEuTkFTREFROk1TRlQuSVFfT1RIRVJfQ0xfU1VQUEwuOTk0LjExLzA3LzIwMjYuLi5VU0QuSAEAAABLVQAAAgAAAAQ3NTE5AQgAAAAFAAAAATEBAAAACy0yMTQwOTgxNDY5AwAAAAMxNjACAAAABDEwNTcEAAAAATAHAAAACTcvMTEvMjAyNggAAAAJNi8zMC8yMDE5CQAAAAEwmFu1am/f3gia4VFub9/eCD9DSVEuTkFTREFROk1TRlQuSVFfRklOX0RJVl9ERUJUX0NVUlJFTlQuMTAwMC4xMS8wNy8yMDI2Li4uVVNELkgBAAAAS1UAAAMAAAAAAJhbtWpv394I</t>
  </si>
  <si>
    <t>muFRbm/f3gg3Q0lRLk5BU0RBUTpNU0ZULklRX09USEVSX0VRVUlUWS4xMDAwLjExLzA3LzIwMjYuLi5VU0QuSAEAAABLVQAAAgAAAAUtMzM0NwEIAAAABQAAAAExAQAAAAstMTkzNDI1NDIxNgMAAAADMTYwAgAAAAQxMDI4BAAAAAEwBwAAAAk3LzExLzIwMjYIAAAACTYvMzAvMjAyNQkAAAABMJhbtWpv394IZrpRbm/f3ggyQ0lRLk5BU0RBUTpNU0ZULklRX1RSRUFTVVJZLjk5NS4xMS8wNy8yMDI2Li4uVVNELkgBAAAAS1UAAAMAAAAAAJhbtWpv394IZrpRbm/f3gg1Q0lRLk5BU0RBUTpNU0ZULklRX1BSRUZfRVFVSVRZLjk5OS4xMS8wNy8yMDI2Li4uVVNELkgBAAAAS1UAAAMAAAAAAJhbtWpv394IZrpRbm/f3gg2Q0lRLk5BU0RBUTpNU0ZULklRX1BSRUZfQ09OVkVSVC45OTcuMTEvMDcvMjAyNi4uLlVTRC5IAQAAAEtVAAADAAAAAACYW7Vqb9/eCGa6UW5v394INUNJUS5OQVNEQVE6TVNGVC5JUV9QUkVGX1JFREVFTS45OTQuMTEvMDcvMjAyNi4uLlVTRC5IAQAAAEtVAAADAAAAAACYW7Vqb9/eCGa6UW5v394IP0NJUS5OQVNEQVE6TVNGVC5JUV9OUFBFX0VYQ0xfT1BFUl9MRUFTRVMuOTk0LjExLzA3LzIwMjYuLi5VU0QuSAEAAABLVQAAAgAAAAUzNjQ3NwEIAAAABQAAAAExAQAAAAstMjE0MDk4MTQ2OQMAAAADMTYwAgAAAAU0ODk3NgQAAAABMAcAAAAJNy8xMS8yMDI2CAAAAAk2LzMwLzIwMTkJAAAA</t>
  </si>
  <si>
    <t>ATCYW7Vqb9/eCGa6UW5v394IR0NJUS5OQVNEQVE6TVNGVC5JUV9SVUFfT1BFUkFUSU5HX0xFQVNFX0FDQ1VNX0RFUC45OTguMTEvMDcvMjAyNi4uLlVTRC5IAQAAAEtVAAADAAAAAACYW7Vqb9/eCGa6UW5v394IP0NJUS5OQVNEQVE6TVNGVC5JUV9SVUFfQ0FQSVRBTF9MRUFTRV9ORVQuOTk1LjExLzA3LzIwMjYuLi5VU0QuSAEAAABLVQAAAwAAAAAAmFu1am/f3ghmulFub9/eCDdDSVEuTkFTREFROk1TRlQuSVFfUlVBX0FDQ1VNX0RFUC45OTkuMTEvMDcvMjAyNi4uLlVTRC5IAQAAAEtVAAADAAAAAACYW7Vqb9/eCGa6UW5v394IM0NJUS5OQVNEQVE6TVNGVC5JUV9SVUFfR1JPU1MuOTk0LjExLzA3LzIwMjYuLi5VU0QuSAEAAABLVQAAAwAAAAAAmFu1am/f3ghmulFub9/eCDpDSVEuTkFTREFROk1TRlQuSVFfQUxMT1dfRE9VQlRfQUNDVC45OTcuMTEvMDcvMjAyNi4uLlVTRC5IAQAAAEtVAAACAAAAAzYzMwEIAAAABQAAAAExAQAAAAstMTk4NTkzMTIyNAMAAAADMTYwAgAAAAQzMDEyBAAAAAEwBwAAAAk3LzExLzIwMjYIAAAACTYvMzAvMjAyMgkAAAABMJhbtWpv394Ie6ZRbm/f3gg1Q0lRLk5BU0RBUTpNU0ZULklRX1dPUktJTkdfQ0FQLjk5Ny4xMS8wNy8yMDI2Li4uVVNELkgBAAAAS1UAAAIAAAAFNzQ2MDIBCAAAAAUAAAABMQEAAAALLTE5ODU5MzEyMjQDAAAAAzE2MAIAAAAENDE2NQQAAAABMAcA</t>
  </si>
  <si>
    <t>AAAJNy8xMS8yMDI2CAAAAAk2LzMwLzIwMjIJAAAAATCYW7Vqb9/eCHumUW5v394IV0NJUS5OQVNEQVE6TVNGVC5JUV9GSU5BTkNJTkdfT0JMSUdfTk9OX0NVUlJFTlRfRVhDTF9PUEVSX0xFQVNFUy4xMDAwLjExLzA3LzIwMjYuLi5VU0QuSAEAAABLVQAAAgAAAAU4MzE1MgEIAAAABQAAAAExAQAAAAstMTkzNDI1NDIxNgMAAAADMTYwAgAAAAU0ODk4MQQAAAABMAcAAAAJNy8xMS8yMDI2CAAAAAk2LzMwLzIwMjUJAAAAATCYW7Vqb9/eCHumUW5v394IUkNJUS5OQVNEQVE6TVNGVC5JUV9GSU5BTkNJTkdfT0JMSUdfQ1VSUkVOVF9FWENMX09QRVJfTEVBU0VTLjk5Ni4xMS8wNy8yMDI2Li4uVVNELkgBAAAAS1UAAAIAAAAEODg2MwEIAAAABQAAAAExAQAAAAstMjAzNjg0Mzg0MwMAAAADMTYwAgAAAAU0ODk4MAQAAAABMAcAAAAJNy8xMS8yMDI2CAAAAAk2LzMwLzIwMjEJAAAAATCYW7Vqb9/eCGa6UW5v394IQkNJUS5OQVNEQVE6TVNGVC5JUV9GSU5BTkNFX0xFQVNFU19MT05HX1RFUk0uOTk3LjExLzA3LzIwMjYuLi5VU0QuSAEAAABLVQAAAgAAAAUxMzg0MgEIAAAABQAAAAExAQAAAAstMTk4NTkzMTIyNAMAAAADMTYwAgAAAAU0ODk5MQQAAAABMAcAAAAJNy8xMS8yMDI2CAAAAAk2LzMwLzIwMjIJAAAAATCYW7Vqb9/eCGa6UW5v394ISkNJUS5OQVNEQVE6TVNGVC5JUV9BU1NFVFNfTkVUVElOR19PVEhF</t>
  </si>
  <si>
    <t>Ul9BREpVU1RNRU5UUy45OTQuMTEvMDcvMjAyNi4uLlVTRC5IAQAAAEtVAAADAAAAAACYW7Vqb9/eCBt/UW5v394IOENJUS5OQVNEQVE6TVNGVC5JUV9BU1NFVFNfTEVWRUxfMS45OTQuMTEvMDcvMjAyNi4uLlVTRC5IAQAAAEtVAAACAAAABjEwNzY0OACYW7Vqb9/eCBt/UW5v394IPUNJUS5OQVNEQVE6TVNGVC5JUV9NSU5PUklUWV9JTlRfUkVERUVNLjk5NS4xMS8wNy8yMDI2Li4uVVNELkgBAAAAS1UAAAMAAAAAAJhbtWpv394Ie6ZRbm/f3ggvQ0lRLk5BU0RBUTpNU0ZULklRX0xJRk9SLjk5Ny4xMS8wNy8yMDI2Li4uVVNELkgBAAAAS1UAAAMAAAAAAJhbtWpv394Ie6ZRbm/f3gg1Q0lRLk5BU0RBUTpNU0ZULklRX0FSX1VOQklMTEVELjk5Ny4xMS8wNy8yMDI2Li4uVVNELkgBAAAAS1UAAAMAAAAAAJhbtWpv394Ie6ZRbm/f3gg+Q0lRLk5BU0RBUTpNU0ZULklRX0xUX0RFQlRfREVSSVZBVElWRVMuMTAwMC4xMS8wNy8yMDI2Li4uVVNELkgBAAAAS1UAAAMAAAAAAJhbtWpv394IG39Rbm/f3gg3Q0lRLk5BU0RBUTpNU0ZULklRX09SREVSX0JBQ0tMT0cuOTk0LjExLzA3LzIwMjYuLi5VU0QuSAEAAABLVQAAAwAAAAAAmFu1am/f3ggbf1Fub9/eCD9DSVEuTkFTREFROk1TRlQuSVFfREVCVF9FUVVJVl9PUEVSX0xFQVNFLjk5OS4xMS8wNy8yMDI2Li4uVVNELkgBAAAAS1UAAAIAAAAFMjg0NDABCAAAAAUA</t>
  </si>
  <si>
    <t>AAABMQEAAAALLTE5MzQyNTQxODUDAAAAAzE2MAIAAAAFMjE2NzEEAAAAATAHAAAACTcvMTEvMjAyNggAAAAJNi8zMC8yMDI0CQAAAAEwmFu1am/f3ggbf1Fub9/eCDxDSVEuTkFTREFROk1TRlQuSVFfRklOX0RJVl9ERUJUX1RPVEFMLjk5OC4xMS8wNy8yMDI2Li4uVVNELkgBAAAAS1UAAAMAAAAAAJhbtWpv394IG39Rbm/f3gg9Q0lRLk5BU0RBUTpNU0ZULklRX0xJQUJJTElUSUVTX0xFVkVMXzIuOTk2LjExLzA3LzIwMjYuLi5VU0QuSAEAAABLVQAAAgAAAAU3MDMzNQCYW7Vqb9/eCBt/UW5v394IP0NJUS5OQVNEQVE6TVNGVC5JUV9GSU5fRElWX0xPQU5TX0NVUlJFTlQuOTk5LjExLzA3LzIwMjYuLi5VU0QuSAEAAABLVQAAAwAAAAAAmFu1am/f3ggbf1Fub9/eCDZDSVEuTkFTREFROk1TRlQuSVFfT1RIRVJfUkVDRUlWLjk5NS4xMS8wNy8yMDI2Li4uVVNELkgBAAAAS1UAAAMAAAAAAJhbtWpv394IG39Rbm/f3ggzQ0lRLk5BU0RBUTpNU0ZULklRX1NUX0lOVkVTVC45OTcuMTEvMDcvMjAyNi4uLlVTRC5IAQAAAEtVAAACAAAABTkwODE4AQgAAAAFAAAAATEBAAAACy0xOTg1OTMxMjI0AwAAAAMxNjACAAAABDEwNjkEAAAAATAHAAAACTcvMTEvMjAyNggAAAAJNi8zMC8yMDIyCQAAAAEwmFu1am/f3ggbf1Fub9/eCDlDSVEuTkFTREFROk1TRlQuSVFfSU5URVJDT01QQU5ZX0NMLjk5NS4xMS8wNy8yMDI2</t>
  </si>
  <si>
    <t>Li4uVVNELkgBAAAAS1UAAAMAAAAAAJhbtWpv394IG39Rbm/f3gg+Q0lRLk5BU0RBUTpNU0ZULklRX0RFUklWQVRJVkVfQVNTRVRTX0xULjk5NC4xMS8wNy8yMDI2Li4uVVNELkgBAAAAS1UAAAIAAAABNAEIAAAABQAAAAExAQAAAAstMjE0MDk4MTQ2OQMAAAADMTYwAgAAAAQxMTEwBAAAAAEwBwAAAAk3LzExLzIwMjYIAAAACTYvMzAvMjAxOQkAAAABMJhbtWpv394IG39Rbm/f3ggvQ0lRLk5BU0RBUTpNU0ZULklRX0FSX0xULjk5OS4xMS8wNy8yMDI2Li4uVVNELkgBAAAAS1UAAAIAAAAENDkwMAEIAAAABQAAAAExAQAAAAstMTkzNDI1NDE4NQMAAAADMTYwAgAAAAQxMDg4BAAAAAEwBwAAAAk3LzExLzIwMjYIAAAACTYvMzAvMjAyNAkAAAABMJhbtWpv394IzGtRbm/f3gg6Q0lRLk5BU0RBUTpNU0ZULklRX0ZJTl9ESVZfTE9BTlNfTFQuOTk2LjExLzA3LzIwMjYuLi5VU0QuSAEAAABLVQAAAwAAAAAAmFu1am/f3gjMa1Fub9/eCC9DSVEuTkFTREFROk1TRlQuSVFfTlBQRS4xMDAwLjExLzA3LzIwMjYuLi5VU0QuSAEAAABLVQAAAgAAAAYyMjk3ODkBCAAAAAUAAAABMQEAAAALLTE5MzQyNTQyMTYDAAAAAzE2MAIAAAAEMTAwNAQAAAABMAcAAAAJNy8xMS8yMDI2CAAAAAk2LzMwLzIwMjUJAAAAATCYW7Vqb9/eCMxrUW5v394ILENJUS5OQVNEQVE6TVNGVC5JUV9BRC45OTUuMTEvMDcvMjAyNi4uLlVTRC5I</t>
  </si>
  <si>
    <t>AQAAAEtVAAACAAAABi00MzE5NwEIAAAABQAAAAExAQAAAAstMjA4NzQ5NjYyNwMAAAADMTYwAgAAAAQxMDc1BAAAAAEwBwAAAAk3LzExLzIwMjYIAAAACTYvMzAvMjAyMAkAAAABMJhbtWpv394IG39Rbm/f3gg5Q0lRLk5BU0RBUTpNU0ZULklRX1JFU1RSSUNURURfQ0FTSC45OTcuMTEvMDcvMjAyNi4uLlVTRC5IAQAAAEtVAAADAAAAAACYW7Vqb9/eCBt/UW5v394IMkNJUS5OQVNEQVE6TVNGVC5JUV9UT1RBTF9DTC45OTguMTEvMDcvMjAyNi4uLlVTRC5IAQAAAEtVAAACAAAABjEwNDE0OQEIAAAABQAAAAExAQAAAAstMTkzNDI1NDI1MAMAAAADMTYwAgAAAAQxMDA5BAAAAAEwBwAAAAk3LzExLzIwMjYIAAAACTYvMzAvMjAyMwkAAAABMJhbtWpv394IZFdRbm/f3gg+Q0lRLk5BU0RBUTpNU0ZULklRX0ZJTl9ESVZfTElBQl9DVVJSRU5ULjk5Ny4xMS8wNy8yMDI2Li4uVVNELkgBAAAAS1UAAAMAAAAAAJhbtWpv394IZFdRbm/f3gg9Q0lRLk5BU0RBUTpNU0ZULklRX0NVUlJFTlRfUE9SVF9MRUFTRVMuOTk0LjExLzA3LzIwMjYuLi5VU0QuSAEAAABLVQAAAgAAAAQxODMyAQgAAAAFAAAAATEBAAAACy0yMTQwOTgxNDY5AwAAAAMxNjACAAAABDEwOTAEAAAAATAHAAAACTcvMTEvMjAyNggAAAAJNi8zMC8yMDE5CQAAAAEwmFu1am/f3gjMa1Fub9/eCCxDSVEuTkFTREFROk1TRlQuSVFfQVAuOTk4LjExLzA3</t>
  </si>
  <si>
    <t>LzIwMjYuLi5VU0QuSAEAAABLVQAAAgAAAAUxODA5NQEIAAAABQAAAAExAQAAAAstMTkzNDI1NDI1MAMAAAADMTYwAgAAAAQxMDE4BAAAAAEwBwAAAAk3LzExLzIwMjYIAAAACTYvMzAvMjAyMwkAAAABMJhbtWpv394IzGtRbm/f3gg5Q0lRLk5BU0RBUTpNU0ZULklRX09USEVSX0xUX0FTU0VUUy45OTUuMTEvMDcvMjAyNi4uLlVTRC5IAQAAAEtVAAACAAAABDQwMzMBCAAAAAUAAAABMQEAAAALLTIwODc0OTY2MjcDAAAAAzE2MAIAAAAEMTA2MAQAAAABMAcAAAAJNy8xMS8yMDI2CAAAAAk2LzMwLzIwMjAJAAAAATCYW7Vqb9/eCMxrUW5v394IMkNJUS5OQVNEQVE6TVNGVC5JUV9UUkVBU1VSWS45OTQuMTEvMDcvMjAyNi4uLlVTRC5IAQAAAEtVAAADAAAAAACYW7Vqb9/eCB9DUW5v394INUNJUS5OQVNEQVE6TVNGVC5JUV9QUkVGX0VRVUlUWS45OTguMTEvMDcvMjAyNi4uLlVTRC5IAQAAAEtVAAADAAAAAACYW7Vqb9/eCGRXUW5v394INkNJUS5OQVNEQVE6TVNGVC5JUV9QUkVGX0NPTlZFUlQuOTk1LjExLzA3LzIwMjYuLi5VU0QuSAEAAABLVQAAAwAAAAAAmFu1am/f3ghkV1Fub9/eCDhDSVEuTkFTREFROk1TRlQuSVFfT1RIRVJfTElBQl9MVC4xMDAwLjExLzA3LzIwMjYuLi5VU0QuSAEAAABLVQAAAgAAAAUyODE3MgEIAAAABQAAAAExAQAAAAstMTkzNDI1NDIxNgMAAAADMTYwAgAAAAQxMDYyBAAAAAEw</t>
  </si>
  <si>
    <t>BwAAAAk3LzExLzIwMjYIAAAACTYvMzAvMjAyNQkAAAABMJhbtWpv394IZFdRbm/f3ggxQ0lRLk5BU0RBUTpNU0ZULklRX1BFTlNJT04uOTk3LjExLzA3LzIwMjYuLi5VU0QuSAEAAABLVQAAAwAAAAAAmFu1am/f3ghkV1Fub9/eCEJDSVEuTkFTREFROk1TRlQuSVFfRklOQU5DRV9MRUFTRVNfTE9OR19URVJNLjk5Ni4xMS8wNy8yMDI2Li4uVVNELkgBAAAAS1UAAAIAAAAFMTE3NTABCAAAAAUAAAABMQEAAAALLTIwMzY4NDM4NDMDAAAAAzE2MAIAAAAFNDg5OTEEAAAAATAHAAAACTcvMTEvMjAyNggAAAAJNi8zMC8yMDIxCQAAAAEwmFu1am/f3ggfQ1Fub9/eCEBDSVEuTkFTREFROk1TRlQuSVFfR1BQRV9FWENMX09QRVJfTEVBU0VTLjEwMDAuMTEvMDcvMjAyNi4uLlVTRC5IAQAAAEtVAAACAAAABjI5ODYxOQEIAAAABQAAAAExAQAAAAstMTkzNDI1NDIxNgMAAAADMTYwAgAAAAU0ODk3NAQAAAABMAcAAAAJNy8xMS8yMDI2CAAAAAk2LzMwLzIwMjUJAAAAATCYW7Vqb9/eCB9DUW5v394IR0NJUS5OQVNEQVE6TVNGVC5JUV9SVUFfT1BFUkFUSU5HX0xFQVNFX0FDQ1VNX0RFUC45OTcuMTEvMDcvMjAyNi4uLlVTRC5IAQAAAEtVAAADAAAAAACYW7Vqb9/eCB9DUW5v394IN0NJUS5OQVNEQVE6TVNGVC5JUV9SVUFfQUNDVU1fREVQLjk5OC4xMS8wNy8yMDI2Li4uVVNELkgBAAAAS1UAAAMAAAAAAJhbtWpv394I</t>
  </si>
  <si>
    <t>H0NRbm/f3gg9Q0lRLk5BU0RBUTpNU0ZULklRX1RPVEFMX0NPTU1PTl9FUVVJVFkuOTk3LjExLzA3LzIwMjYuLi5VU0QuSAEAAABLVQAAAgAAAAYxNjY1NDIBCAAAAAUAAAABMQEAAAALLTE5ODU5MzEyMjQDAAAAAzE2MAIAAAAEMTAwNgQAAAABMAcAAAAJNy8xMS8yMDI2CAAAAAk2LzMwLzIwMjIJAAAAATCYW7Vqb9/eCB9DUW5v394IQUNJUS5OQVNEQVE6TVNGVC5JUV9NSU5PUklUWV9JTlRFUkVTVF9UT1RBTC45OTcuMTEvMDcvMjAyNi4uLlVTRC5IAQAAAEtVAAADAAAAAACYW7Vqb9/eCGwvUW5v394IMkNJUS5OQVNEQVE6TVNGVC5JUV9CVl9TSEFSRS45OTkuMTEvMDcvMjAyNi4uLlVTRC5IAQAAAEtVAAACAAAACTM2LjExNDc0MwEIAAAABQAAAAExAQAAAAstMTkzNDI1NDE4NQMAAAADMTYwAgAAAAQ0MDIwBAAAAAEwBwAAAAk3LzExLzIwMjYIAAAACTYvMzAvMjAyNAkAAAABMJhbtWpv394IbC9Rbm/f3ghFQ0lRLk5BU0RBUTpNU0ZULklRX1RPVEFMX0RFQlRfRVhDTF9PUEVSX0xFQVNFUy45OTcuMTEvMDcvMjAyNi4uLlVTRC5IAQAAAEtVAAACAAAABTY0NjgzAQgAAAAFAAAAATEBAAAACy0xOTg1OTMxMjI0AwAAAAMxNjACAAAABTQ4OTgyBAAAAAEwBwAAAAk3LzExLzIwMjYIAAAACTYvMzAvMjAyMgkAAAABMJhbtWpv394IbC9Rbm/f3ghSQ0lRLk5BU0RBUTpNU0ZULklRX0ZJTkFOQ0lOR19PQkxJ</t>
  </si>
  <si>
    <t>R19DVVJSRU5UX0VYQ0xfT1BFUl9MRUFTRVMuOTk1LjExLzA3LzIwMjYuLi5VU0QuSAEAAABLVQAAAgAAAAQ0Mjg5AQgAAAAFAAAAATEBAAAACy0yMDg3NDk2NjI3AwAAAAMxNjACAAAABTQ4OTgwBAAAAAEwBwAAAAk3LzExLzIwMjYIAAAACTYvMzAvMjAyMAkAAAABMJhbtWpv394IbC9Rbm/f3ghQQ0lRLk5BU0RBUTpNU0ZULklRX0NVUlJFTlRfUE9SVElPTl9PUEVSX0xFQVNFX0xJQUJJTElUSUVTLjk5OS4xMS8wNy8yMDI2Li4uVVNELkgBAAAAS1UAAAIAAAAEMzU4MAEIAAAABQAAAAExAQAAAAstMTkzNDI1NDE4NQMAAAADMTYwAgAAAAU0ODM4NQQAAAABMAcAAAAJNy8xMS8yMDI2CAAAAAk2LzMwLzIwMjQJAAAAATCYW7Vqb9/eCGwvUW5v394IN0NJUS5OQVNEQVE6TVNGVC5JUV9GSU5JU0hFRF9JTlYuMTAwMC4xMS8wNy8yMDI2Li4uVVNELkgBAAAAS1UAAAMAAAAAAJhbtWpv394IxAdRbm/f3ggxQ0lRLk5BU0RBUTpNU0ZULklRX1JBV19JTlYuOTk0LjExLzA3LzIwMjYuLi5VU0QuSAEAAABLVQAAAgAAAAMzOTkBCAAAAAUAAAABMQEAAAALLTIxNDA5ODE0NjkDAAAAAzE2MAIAAAAEMzE3MQQAAAABMAcAAAAJNy8xMS8yMDI2CAAAAAk2LzMwLzIwMTkJAAAAATBHb7Vqb9/eCMQHUW5v394INUNJUS5OQVNEQVE6TVNGVC5JUV9BUl9VTkJJTExFRC45OTYuMTEvMDcvMjAyNi4uLlVTRC5IAQAAAEtVAAAD</t>
  </si>
  <si>
    <t>AAAAAABHb7Vqb9/eCMQHUW5v394IOkNJUS5OQVNEQVE6TVNGVC5JUV9BTExPV19ET1VCVF9BQ0NULjk5Ni4xMS8wNy8yMDI2Li4uVVNELkgBAAAAS1UAAAIAAAADNzUxAQgAAAAFAAAAATEBAAAACy0yMDM2ODQzODQzAwAAAAMxNjACAAAABDMwMTIEAAAAATAHAAAACTcvMTEvMjAyNggAAAAJNi8zMC8yMDIxCQAAAAEwR2+1am/f3gjEB1Fub9/eCDVDSVEuTkFTREFROk1TRlQuSVFfV09SS0lOR19DQVAuOTk2LjExLzA3LzIwMjYuLi5VU0QuSAEAAABLVQAAAgAAAAU5NTc0OQEIAAAABQAAAAExAQAAAAstMjAzNjg0Mzg0MwMAAAADMTYwAgAAAAQ0MTY1BAAAAAEwBwAAAAk3LzExLzIwMjYIAAAACTYvMzAvMjAyMQkAAAABMEdvtWpv394IxAdRbm/f3ghOQ0lRLk5BU0RBUTpNU0ZULklRX0xJUVVJREFUSU9OX1ZBTFVFX1BSRUZFUlJFRF9DT05WRVJULjEwMDAuMTEvMDcvMjAyNi4uLlVTRC5IAQAAAEtVAAADAAAAAABHb7Vqb9/eCMQHUW5v394IS0NJUS5OQVNEQVE6TVNGVC5JUV9HRU5FUkFMX1BBUlRORVJfTUlOT1JJVFlfSU5URVJFU1QuOTk2LjExLzA3LzIwMjYuLi5VU0QuSAEAAABLVQAAAwAAAAAAR2+1am/f3gjEB1Fub9/eCEFDSVEuTkFTREFROk1TRlQuSVFfTkFUVVJBTF9SRVNPVVJDRVNfQ09TVC4xMDAwLjExLzA3LzIwMjYuLi5VU0QuSAEAAABLVQAAAwAAAAAAR2+1am/f3gjEB1Fub9/eCDRD</t>
  </si>
  <si>
    <t>SVEuTkFTREFROk1TRlQuSVFfTUFDSElORVJZLjEwMDAuMTEvMDcvMjAyNi4uLlVTRC5IAQAAAEtVAAACAAAABjEzOTI0MwEIAAAABQAAAAExAQAAAAstMTkzNDI1NDIxNgMAAAADMTYwAgAAAAQzMTE0BAAAAAEwBwAAAAk3LzExLzIwMjYIAAAACTYvMzAvMjAyNQkAAAABMEdvtWpv394IxAdRbm/f3ggvQ0lRLk5BU0RBUTpNU0ZULklRX0xBTkQuMTAwMC4xMS8wNy8yMDI2Li4uVVNELkgBAAAAS1UAAAIAAAAEOTMzOAEIAAAABQAAAAExAQAAAAstMTkzNDI1NDIxNgMAAAADMTYwAgAAAAQzMDk4BAAAAAEwBwAAAAk3LzExLzIwMjYIAAAACTYvMzAvMjAyNQkAAAABMEdvtWpv394IxAdRbm/f3gg/Q0lRLk5BU0RBUTpNU0ZULklRX0FEVkFOQ0VTX0ZPUl9TVVBQTElFUy45OTYuMTEvMDcvMjAyNi4uLlVTRC5IAQAAAEtVAAADAAAAAABHb7Vqb9/eCDbgUG5v394IP0NJUS5OQVNEQVE6TVNGVC5JUV9ERVJJVkFUSVZFX0FTU0VUU19MVC4xMDAwLjExLzA3LzIwMjYuLi5VU0QuSAEAAABLVQAAAgAAAAIxNwEIAAAABQAAAAExAQAAAAstMTkzNDI1NDIxNgMAAAADMTYwAgAAAAQxMTEwBAAAAAEwBwAAAAk3LzExLzIwMjYIAAAACTYvMzAvMjAyNQkAAAABMEdvtWpv394INuBQbm/f3gg9Q0lRLk5BU0RBUTpNU0ZULklRX0xUX0RFQlRfREVSSVZBVElWRVMuOTk5LjExLzA3LzIwMjYuLi5VU0QuSAEAAABLVQAAAwAA</t>
  </si>
  <si>
    <t>AAAAR2+1am/f3gjEB1Fub9/eCD9DSVEuTkFTREFROk1TRlQuSVFfREVCVF9FUVVJVl9PUEVSX0xFQVNFLjk5Ni4xMS8wNy8yMDI2Li4uVVNELkgBAAAAS1UAAAIAAAAFMTcwMTYBCAAAAAUAAAABMQEAAAALLTIwMzY4NDM4NDMDAAAAAzE2MAIAAAAFMjE2NzEEAAAAATAHAAAACTcvMTEvMjAyNggAAAAJNi8zMC8yMDIxCQAAAAEwR2+1am/f3gjEB1Fub9/eCD1DSVEuTkFTREFROk1TRlQuSVFfTElBQklMSVRJRVNfTEVWRUxfMi45OTUuMTEvMDcvMjAyNi4uLlVTRC5IAQAAAEtVAAACAAAABTc3NDk5AEdvtWpv394IxAdRbm/f3gg9Q0lRLk5BU0RBUTpNU0ZULklRX0xUX0RFQlRfREVSSVZBVElWRVMuOTk2LjExLzA3LzIwMjYuLi5VU0QuSAEAAABLVQAAAwAAAAAAR2+1am/f3gg24FBub9/eCD5DSVEuTkFTREFROk1TRlQuSVFfV0FSUkFOVFlfTElBQklMSVRJRVMuOTk2LjExLzA3LzIwMjYuLi5VU0QuSAEAAABLVQAAAwAAAAAAR2+1am/f3gg24FBub9/eCD9DSVEuTkFTREFROk1TRlQuSVFfUkVTVFJJQ1RFRF9DQVNIX1RPVEFMLjk5OC4xMS8wNy8yMDI2Li4uVVNELkgBAAAAS1UAAAMAAAAAAEdvtWpv394INuBQbm/f3gg8Q0lRLk5BU0RBUTpNU0ZULklRX1RPVEFMX1JFVl9FTVBMT1lFRS45OTcuMTEvMDcvMjAyNi4uLlVTRC5IAQAAAEtVAAACAAAABzg5Ny4xNDkBCAAAAAUAAAABMQEAAAALLTE5ODU5</t>
  </si>
  <si>
    <t>MzEyMjQDAAAAAzE2MAIAAAAENDEyMwQAAAABMAcAAAAJNy8xMS8yMDI2CAAAAAk2LzMwLzIwMjIJAAAAATBHb7Vqb9/eCDbgUG5v394IPENJUS5OQVNEQVE6TVNGVC5JUV9UT1RBTF9SRVZfRU1QTE9ZRUUuOTk4LjExLzA3LzIwMjYuLi5VU0QuSAEAAABLVQAAAgAAAAc5NTguODkxAQgAAAAFAAAAATEBAAAACy0xOTM0MjU0MjUwAwAAAAMxNjACAAAABDQxMjMEAAAAATAHAAAACTcvMTEvMjAyNggAAAAJNi8zMC8yMDIzCQAAAAEwR2+1am/f3gg24FBub9/eCDBDSVEuTkFTREFROk1TRlQuSVFfR1dfTkVULjk5Ni4xMS8wNy8yMDI2Li4uVVNELkgBAAAAS1UAAAIAAAAFNDk3MTEBCAAAAAUAAAABMQEAAAALLTIwMzY4NDM4NDMDAAAAAzE2MAIAAAAFNDg5NjAEAAAAATAHAAAACTcvMTEvMjAyNggAAAAJNi8zMC8yMDIxCQAAAAEwR2+1am/f3gg24FBub9/eCDhDSVEuTkFTREFROk1TRlQuSVFfQUNDVU1fQU1PUlRfR1cuOTk4LjExLzA3LzIwMjYuLi5VU0QuSAEAAABLVQAAAwAAAAAAR2+1am/f3gg24FBub9/eCDxDSVEuTkFTREFROk1TRlQuSVFfR1JPU1NfSU5UQU5fQVNTRVRTLjk5OC4xMS8wNy8yMDI2Li4uVVNELkgBAAAAS1UAAAIAAAAFMjM0OTABCAAAAAUAAAABMQEAAAALLTE5MzQyNTQyNTADAAAAAzE2MAIAAAAFMjQyOTMEAAAAATAHAAAACTcvMTEvMjAyNggAAAAJNi8zMC8yMDIzCQAAAAEwR2+1</t>
  </si>
  <si>
    <t>am/f3gg24FBub9/eCENDSVEuTkFTREFROk1TRlQuSVFfREVSSVZBVElWRV9BU1NFVFNfQ1VSUkVOVC45OTQuMTEvMDcvMjAyNi4uLlVTRC5IAQAAAEtVAAACAAAAAzEzMwEIAAAABQAAAAExAQAAAAstMjE0MDk4MTQ2OQMAAAADMTYwAgAAAAQxMTA5BAAAAAEwBwAAAAk3LzExLzIwMjYIAAAACTYvMzAvMjAxOQkAAAABMEdvtWpv394INuBQbm/f3ghGQ0lRLk5BU0RBUTpNU0ZULklRX0RFUklWQVRJVkVfTElBQl9OT05fQ1VSUkVOVC4xMDAwLjExLzA3LzIwMjYuLi5VU0QuSAEAAABLVQAAAgAAAAIzNwEIAAAABQAAAAExAQAAAAstMTkzNDI1NDIxNgMAAAADMTYwAgAAAAU0MDQxOQQAAAABMAcAAAAJNy8xMS8yMDI2CAAAAAk2LzMwLzIwMjUJAAAAATBHb7Vqb9/eCDbgUG5v394IMENJUS5OQVNEQVE6TVNGVC5JUV9HV19ORVQuOTk1LjExLzA3LzIwMjYuLi5VU0QuSAEAAABLVQAAAgAAAAU0MzM1MQEIAAAABQAAAAExAQAAAAstMjA4NzQ5NjYyNwMAAAADMTYwAgAAAAU0ODk2MAQAAAABMAcAAAAJNy8xMS8yMDI2CAAAAAk2LzMwLzIwMjAJAAAAATBHb7Vqb9/eCHvMUG5v394IPENJUS5OQVNEQVE6TVNGVC5JUV9MVF9NQVJLX1NFQ1VSSVRJRVMuOTk1LjExLzA3LzIwMjYuLi5VU0QuSAEAAABLVQAAAwAAAAAAR2+1am/f3gh7zFBub9/eCD5DSVEuTkFTREFROk1TRlQuSVFfSU5URVJDT01QQU5ZX05PTl9D</t>
  </si>
  <si>
    <t>TC4xMDAwLjExLzA3LzIwMjYuLi5VU0QuSAEAAABLVQAAAwAAAAAAR2+1am/f3gh7zFBub9/eCDlDSVEuTkFTREFROk1TRlQuSVFfSU5URVJDT01QQU5ZX0NMLjk5NC4xMS8wNy8yMDI2Li4uVVNELkgBAAAAS1UAAAMAAAAAAEdvtWpv394Ie8xQbm/f3gg6Q0lRLk5BU0RBUTpNU0ZULklRX0lOVEVSQ09NUEFOWV9DQS4xMDAwLjExLzA3LzIwMjYuLi5VU0QuSAEAAABLVQAAAwAAAAAAR2+1am/f3gg24FBub9/eCDdDSVEuTkFTREFROk1TRlQuSVFfT1JERVJfQkFDS0xPRy45OTkuMTEvMDcvMjAyNi4uLlVTRC5IAQAAAEtVAAADAAAAAABHb7Vqb9/eCC+lUG5v394IP0NJUS5OQVNEQVE6TVNGVC5JUV9SRVNUUklDVEVEX0NBU0hfVE9UQUwuOTk1LjExLzA3LzIwMjYuLi5VU0QuSAEAAABLVQAAAwAAAAAAR2+1am/f3ggvpVBub9/eCD9DSVEuTkFTREFROk1TRlQuSVFfREVCVF9FUVVJVl9PUEVSX0xFQVNFLjk5NS4xMS8wNy8yMDI2Li4uVVNELkgBAAAAS1UAAAIAAAAFMTYzNDQBCAAAAAUAAAABMQEAAAALLTIwODc0OTY2MjcDAAAAAzE2MAIAAAAFMjE2NzEEAAAAATAHAAAACTcvMTEvMjAyNggAAAAJNi8zMC8yMDIwCQAAAAEwR2+1am/f3ggvpVBub9/eCDxDSVEuTkFTREFROk1TRlQuSVFfRklOX0RJVl9ERUJUX1RPVEFMLjk5Ny4xMS8wNy8yMDI2Li4uVVNELkgBAAAAS1UAAAMAAAAAAEdvtWpv394Ie8xQ</t>
  </si>
  <si>
    <t>bm/f3gg5Q0lRLk5BU0RBUTpNU0ZULklRX0lOVEVSQ09NUEFOWV9DQS45OTkuMTEvMDcvMjAyNi4uLlVTRC5IAQAAAEtVAAADAAAAAABHb7Vqb9/eCHvMUG5v394IP0NJUS5OQVNEQVE6TVNGVC5JUV9BRFZBTkNFU19GT1JfU1VQUExJRVMuOTk5LjExLzA3LzIwMjYuLi5VU0QuSAEAAABLVQAAAwAAAAAAR2+1am/f3ggvpVBub9/eCDJDSVEuTkFTREFROk1TRlQuSVFfR1JPU1NfR1cuOTk5LjExLzA3LzIwMjYuLi5VU0QuSAEAAABLVQAAAwAAAAAAR2+1am/f3ggvpVBub9/eCDxDSVEuTkFTREFROk1TRlQuSVFfR1JPU1NfSU5UQU5fQVNTRVRTLjk5NS4xMS8wNy8yMDI2Li4uVVNELkgBAAAAS1UAAAIAAAAFMTc3NTkBCAAAAAUAAAABMQEAAAALLTIwODc0OTY2MjcDAAAAAzE2MAIAAAAFMjQyOTMEAAAAATAHAAAACTcvMTEvMjAyNggAAAAJNi8zMC8yMDIwCQAAAAEwR2+1am/f3ggvpVBub9/eCEVDSVEuTkFTREFROk1TRlQuSVFfREVSSVZBVElWRV9MSUFCX05PTl9DVVJSRU5ULjk5Ny4xMS8wNy8yMDI2Li4uVVNELkgBAAAAS1UAAAIAAAADMTk1AQgAAAAFAAAAATEBAAAACy0xOTg1OTMxMjI0AwAAAAMxNjACAAAABTQwNDE5BAAAAAEwBwAAAAk3LzExLzIwMjYIAAAACTYvMzAvMjAyMgkAAAABMEdvtWpv394IL6VQbm/f3ghHQ0lRLk5BU0RBUTpNU0ZULklRX0NVUlJFTlRfUE9SVF9ERUJUX0RFUklWQVRJ</t>
  </si>
  <si>
    <t>VkVTLjk5Ny4xMS8wNy8yMDI2Li4uVVNELkgBAAAAS1UAAAMAAAAAAEdvtWpv394IL6VQbm/f3ghKQ0lRLk5BU0RBUTpNU0ZULklRX0FTU0VUU19ORVRUSU5HX09USEVSX0FESlVTVE1FTlRTLjk5OC4xMS8wNy8yMDI2Li4uVVNELkgBAAAAS1UAAAMAAAAAAEdvtWpv394IEZFQbm/f3gg4Q0lRLk5BU0RBUTpNU0ZULklRX0FTU0VUU19MRVZFTF8xLjk5OC4xMS8wNy8yMDI2Li4uVVNELkgBAAAAS1UAAAIAAAAFNzE1MDcAR2+1am/f3ggRkVBub9/eCFBDSVEuTkFTREFROk1TRlQuSVFfTElRVUlEQVRJT05fVkFMVUVfUFJFRkVSUkVEX05PTl9SRURFRU0uOTk0LjExLzA3LzIwMjYuLi5VU0QuSAEAAABLVQAAAwAAAAAAR2+1am/f3ggvpVBub9/eCElDSVEuTkFTREFROk1TRlQuSVFfVE9UQUxfR0VORVJBTF9QQVJUTkVSX0lOVEVSRVNULjEwMDAuMTEvMDcvMjAyNi4uLlVTRC5IAQAAAEtVAAADAAAAAABHb7Vqb9/eCC+lUG5v394IOUNJUS5OQVNEQVE6TVNGVC5JUV9JTlRFUkNPTVBBTllfQ0EuOTk3LjExLzA3LzIwMjYuLi5VU0QuSAEAAABLVQAAAwAAAAAAR2+1am/f3ggvpVBub9/eCDdDSVEuTkFTREFROk1TRlQuSVFfT1JERVJfQkFDS0xPRy45OTguMTEvMDcvMjAyNi4uLlVTRC5IAQAAAEtVAAADAAAAAABHb7Vqb9/eCGp9UG5v394IP0NJUS5OQVNEQVE6TVNGVC5JUV9ERUJUX0VRVUlWX09QRVJfTEVB</t>
  </si>
  <si>
    <t>U0UuOTk0LjExLzA3LzIwMjYuLi5VU0QuSAEAAABLVQAAAgAAAAUxMzY1NgEIAAAABQAAAAExAQAAAAstMjE0MDk4MTQ2OQMAAAADMTYwAgAAAAUyMTY3MQQAAAABMAcAAAAJNy8xMS8yMDI2CAAAAAk2LzMwLzIwMTkJAAAAATBHb7Vqb9/eCGp9UG5v394IPENJUS5OQVNEQVE6TVNGVC5JUV9GSU5fRElWX0RFQlRfVE9UQUwuOTk2LjExLzA3LzIwMjYuLi5VU0QuSAEAAABLVQAAAwAAAAAAR2+1am/f3ggRkVBub9/eCEFDSVEuTkFTREFROk1TRlQuSVFfTElBQklMSVRJRVNfRkFJUl9WQUxVRS4xMDAwLjExLzA3LzIwMjYuLi5VU0QuSAEAAABLVQAAAgAAAAU0MjIzNwBHb7Vqb9/eCBGRUG5v394IPUNJUS5OQVNEQVE6TVNGVC5JUV9MSUFCSUxJVElFU19MRVZFTF8zLjk5Ni4xMS8wNy8yMDI2Li4uVVNELkgBAAAAS1UAAAMAAAAAAEdvtWpv394IEZFQbm/f3ggyQ0lRLk5BU0RBUTpNU0ZULklRX0dST1NTX0dXLjk5OC4xMS8wNy8yMDI2Li4uVVNELkgBAAAAS1UAAAMAAAAAAEdvtWpv394IFFZQbm/f3gg8Q0lRLk5BU0RBUTpNU0ZULklRX0dST1NTX0lOVEFOX0FTU0VUUy45OTQuMTEvMDcvMjAyNi4uLlVTRC5IAQAAAEtVAAACAAAABTE3MTM5AQgAAAAFAAAAATEBAAAACy0yMTQwOTgxNDY5AwAAAAMxNjACAAAABTI0MjkzBAAAAAEwBwAAAAk3LzExLzIwMjYIAAAACTYvMzAvMjAxOQkAAAABMEdvtWpv394I</t>
  </si>
  <si>
    <t>an1Qbm/f3ghEQ0lRLk5BU0RBUTpNU0ZULklRX0RFUklWQVRJVkVfQVNTRVRTX0NVUlJFTlQuMTAwMC4xMS8wNy8yMDI2Li4uVVNELkgBAAAAS1UAAAIAAAADMjAxAQgAAAAFAAAAATEBAAAACy0xOTM0MjU0MjE2AwAAAAMxNjACAAAABDExMDkEAAAAATAHAAAACTcvMTEvMjAyNggAAAAJNi8zMC8yMDI1CQAAAAEwR2+1am/f3ghqfVBub9/eCENDSVEuTkFTREFROk1TRlQuSVFfREVSSVZBVElWRV9UUkFESU5HX0FTU0VUUy45OTQuMTEvMDcvMjAyNi4uLlVTRC5IAQAAAEtVAAADAAAAAABHb7Vqb9/eCGp9UG5v394IR0NJUS5OQVNEQVE6TVNGVC5JUV9DVVJSRU5UX1BPUlRfREVCVF9ERVJJVkFUSVZFUy45OTYuMTEvMDcvMjAyNi4uLlVTRC5IAQAAAEtVAAADAAAAAABHb7Vqb9/eCGp9UG5v394IO0NJUS5OQVNEQVE6TVNGVC5JUV9GSU5fRElWX1NUX0lOVkVTVC45OTkuMTEvMDcvMjAyNi4uLlVTRC5IAQAAAEtVAAADAAAAAABHb7Vqb9/eCBRWUG5v394IPENJUS5OQVNEQVE6TVNGVC5JUV9GSU5fRElWX0RFQlRfVE9UQUwuOTk1LjExLzA3LzIwMjYuLi5VU0QuSAEAAABLVQAAAwAAAAAAR2+1am/f3ggUVlBub9/eCDpDSVEuTkFTREFROk1TRlQuSVFfSU5URVJDT01QQU5ZX0NMLjEwMDAuMTEvMDcvMjAyNi4uLlVTRC5IAQAAAEtVAAADAAAAAABHb7Vqb9/eCBRWUG5v394IOUNJUS5OQVNEQVE6TVNGVC5J</t>
  </si>
  <si>
    <t>UV9JTlRFUkNPTVBBTllfQ0EuOTk2LjExLzA3LzIwMjYuLi5VU0QuSAEAAABLVQAAAwAAAAAAR2+1am/f3ggUVlBub9/eCDZDSVEuTkFTREFROk1TRlQuSVFfR1dfSU5UQU5fTkVULjk5Ni4xMS8wNy8yMDI2Li4uVVNELkgBAAAAS1UAAAMAAAAAAEdvtWpv394IFFZQbm/f3gg2Q0lRLk5BU0RBUTpNU0ZULklRX0dXX0lOVEFOX05FVC45OTUuMTEvMDcvMjAyNi4uLlVTRC5IAQAAAEtVAAADAAAAAABHb7Vqb9/eCA4aUG5v394IMkNJUS5OQVNEQVE6TVNGVC5JUV9HUk9TU19HVy45OTcuMTEvMDcvMjAyNi4uLlVTRC5IAQAAAEtVAAADAAAAAABHb7Vqb9/eCBRWUG5v394IQ0NJUS5OQVNEQVE6TVNGVC5JUV9ERVJJVkFUSVZFX0FTU0VUU19DVVJSRU5ULjk5OS4xMS8wNy8yMDI2Li4uVVNELkgBAAAAS1UAAAIAAAADMTQ5AQgAAAAFAAAAATEBAAAACy0xOTM0MjU0MTg1AwAAAAMxNjACAAAABDExMDkEAAAAATAHAAAACTcvMTEvMjAyNggAAAAJNi8zMC8yMDI0CQAAAAEwR2+1am/f3ggUVlBub9/eCEdDSVEuTkFTREFROk1TRlQuSVFfQ1VSUkVOVF9QT1JUX0RFQlRfREVSSVZBVElWRVMuOTk1LjExLzA3LzIwMjYuLi5VU0QuSAEAAABLVQAAAwAAAAAAR2+1am/f3ggUVlBub9/eCDdDSVEuTkFTREFROk1TRlQuSVFfT1JERVJfQkFDS0xPRy45OTcuMTEvMDcvMjAyNi4uLlVTRC5IAQAAAEtVAAADAAAAAABHb7Vq</t>
  </si>
  <si>
    <t>b9/eCBRWUG5v394IPkNJUS5OQVNEQVE6TVNGVC5JUV9MSUFCSUxJVElFU19MRVZFTF8xLjEwMDAuMTEvMDcvMjAyNi4uLlVTRC5IAQAAAEtVAAADAAAAAABHb7Vqb9/eCA4aUG5v394IO0NJUS5OQVNEQVE6TVNGVC5JUV9BU1NFVFNfRkFJUl9WQUxVRS45OTQuMTEvMDcvMjAyNi4uLlVTRC5IAQAAAEtVAAACAAAABjEzMDg3NQBHb7Vqb9/eCA4aUG5v394IOENJUS5OQVNEQVE6TVNGVC5JUV9BU1NFVFNfTEVWRUxfMS45OTYuMTEvMDcvMjAyNi4uLlVTRC5IAQAAAEtVAAACAAAABTk1OTY3AEdvtWpv394IDhpQbm/f3ghIQ0lRLk5BU0RBUTpNU0ZULklRX1RPVEFMX0dFTkVSQUxfUEFSVE5FUl9JTlRFUkVTVC45OTguMTEvMDcvMjAyNi4uLlVTRC5IAQAAAEtVAAADAAAAAABHb7Vqb9/eCA4aUG5v394IOUNJUS5OQVNEQVE6TVNGVC5JUV9JTlRFUkNPTVBBTllfQ0wuOTk5LjExLzA3LzIwMjYuLi5VU0QuSAEAAABLVQAAAwAAAAAAR2+1am/f3ggOGlBub9/eCEVDSVEuTkFTREFROk1TRlQuSVFfUkVTVFJJQ1RFRF9DQVNIX05PTl9DVVJSRU5ULjk5Ni4xMS8wNy8yMDI2Li4uVVNELkgBAAAAS1UAAAMAAAAAAEdvtWpv394IDhpQbm/f3gg7Q0lRLk5BU0RBUTpNU0ZULklRX0ZJTl9ESVZfU1RfSU5WRVNULjk5OC4xMS8wNy8yMDI2Li4uVVNELkgBAAAAS1UAAAMAAAAAAEdvtWpv394IDhpQbm/f3gg8Q0lRLk5B</t>
  </si>
  <si>
    <t>U0RBUTpNU0ZULklRX0ZJTl9ESVZfREVCVF9UT1RBTC45OTQuMTEvMDcvMjAyNi4uLlVTRC5IAQAAAEtVAAADAAAAAABHb7Vqb9/eCA4aUG5v394IQENJUS5OQVNEQVE6TVNGVC5JUV9GSU5fRElWX0xUX0RFQlRfVE9UQUwuMTAwMC4xMS8wNy8yMDI2Li4uVVNELkgBAAAAS1UAAAMAAAAAAEdvtWpv394IDhpQbm/f3ghAQ0lRLk5BU0RBUTpNU0ZULklRX0xJQUJJTElUSUVTX0ZBSVJfVkFMVUUuOTk4LjExLzA3LzIwMjYuLi5VU0QuSAEAAABLVQAAAgAAAAU0NzAwNQBHb7Vqb9/eCA4aUG5v394IQ0NJUS5OQVNEQVE6TVNGVC5JUV9ERVJJVkFUSVZFX0FTU0VUU19DVVJSRU5ULjk5OC4xMS8wNy8yMDI2Li4uVVNELkgBAAAAS1UAAAIAAAADMjUxAQgAAAAFAAAAATEBAAAACy0xOTM0MjU0MjUwAwAAAAMxNjACAAAABDExMDkEAAAAATAHAAAACTcvMTEvMjAyNggAAAAJNi8zMC8yMDIzCQAAAAEwR2+1am/f3ghz3U9ub9/eCEFDSVEuTkFTREFROk1TRlQuSVFfREVSSVZBVElWRV9MSUFCX0NVUlJFTlQuOTk4LjExLzA3LzIwMjYuLi5VU0QuSAEAAABLVQAAAgAAAAMzNDEBCAAAAAUAAAABMQEAAAALLTE5MzQyNTQyNTADAAAAAzE2MAIAAAAFNDA0MTcEAAAAATAHAAAACTcvMTEvMjAyNggAAAAJNi8zMC8yMDIzCQAAAAEwR2+1am/f3ghz3U9ub9/eCEdDSVEuTkFTREFROk1TRlQuSVFfQ1VSUkVOVF9QT1JUX0RF</t>
  </si>
  <si>
    <t>QlRfREVSSVZBVElWRVMuOTk0LjExLzA3LzIwMjYuLi5VU0QuSAEAAABLVQAAAwAAAAAAR2+1am/f3ghz3U9ub9/eCD9DSVEuTkFTREFROk1TRlQuSVFfV0FSUkFOVFlfTElBQklMSVRJRVMuMTAwMC4xMS8wNy8yMDI2Li4uVVNELkgBAAAAS1UAAAMAAAAAAEdvtWpv394Ic91Pbm/f3gg3Q0lRLk5BU0RBUTpNU0ZULklRX09SREVSX0JBQ0tMT0cuOTk2LjExLzA3LzIwMjYuLi5VU0QuSAEAAABLVQAAAwAAAAAAR2+1am/f3ggOGlBub9/eCDlDSVEuTkFTREFROk1TRlQuSVFfSU5URVJDT01QQU5ZX0NMLjk5OC4xMS8wNy8yMDI2Li4uVVNELkgBAAAAS1UAAAMAAAAAAEdvtWpv394Ic91Pbm/f3ggxQ0lRLk5BU0RBUTpNU0ZULklRX0dXX05FVC4xMDAwLjExLzA3LzIwMjYuLi5VU0QuSAEAAABLVQAAAgAAAAYxMTk1MDkBCAAAAAUAAAABMQEAAAALLTE5MzQyNTQyMTYDAAAAAzE2MAIAAAAFNDg5NjAEAAAAATAHAAAACTcvMTEvMjAyNggAAAAJNi8zMC8yMDI1CQAAAAEwR2+1am/f3ghz3U9ub9/eCDZDSVEuTkFTREFROk1TRlQuSVFfR1dfSU5UQU5fTkVULjk5NC4xMS8wNy8yMDI2Li4uVVNELkgBAAAAS1UAAAMAAAAAAEdvtWpv394Ic91Pbm/f3gg9Q0lRLk5BU0RBUTpNU0ZULklRX0xUX01BUktfU0VDVVJJVElFUy4xMDAwLjExLzA3LzIwMjYuLi5VU0QuSAEAAABLVQAAAwAAAAAAR2+1am/f3ghz3U9ub9/e</t>
  </si>
  <si>
    <t>CDJDSVEuTkFTREFROk1TRlQuSVFfR1JPU1NfR1cuOTk2LjExLzA3LzIwMjYuLi5VU0QuSAEAAABLVQAAAwAAAAAAR2+1am/f3ghz3U9ub9/eCD5DSVEuTkFTREFROk1TRlQuSVFfV0FSUkFOVFlfTElBQklMSVRJRVMuOTk5LjExLzA3LzIwMjYuLi5VU0QuSAEAAABLVQAAAwAAAAAAR2+1am/f3ghz3U9ub9/eCEVDSVEuTkFTREFROk1TRlQuSVFfUkVTVFJJQ1RFRF9DQVNIX05PTl9DVVJSRU5ULjk5NS4xMS8wNy8yMDI2Li4uVVNELkgBAAAAS1UAAAMAAAAAAEdvtWpv394Ic91Pbm/f3gg7Q0lRLk5BU0RBUTpNU0ZULklRX0ZJTl9ESVZfU1RfSU5WRVNULjk5Ny4xMS8wNy8yMDI2Li4uVVNELkgBAAAAS1UAAAMAAAAAAEdvtWpv394Ic91Pbm/f3gg/Q0lRLk5BU0RBUTpNU0ZULklRX0ZJTl9ESVZfTFRfREVCVF9UT1RBTC45OTkuMTEvMDcvMjAyNi4uLlVTRC5IAQAAAEtVAAADAAAAAABHb7Vqb9/eCHPdT25v394IQENJUS5OQVNEQVE6TVNGVC5JUV9MSUFCSUxJVElFU19GQUlSX1ZBTFVFLjk5Ny4xMS8wNy8yMDI2Li4uVVNELkgBAAAAS1UAAAIAAAAFNTE0NTEAR2+1am/f3ghz3U9ub9/eCDNDSVEuTkFTREFROk1TRlQuSVFfSU5UQU5fTkVULjk5Ny4xMS8wNy8yMDI2Li4uVVNELkgBAAAAS1UAAAIAAAAFMTEyOTgBCAAAAAUAAAABMQEAAAALLTE5ODU5MzEyMjQDAAAAAzE2MAIAAAAFNDg5NjIEAAAAATAH</t>
  </si>
  <si>
    <t>AAAACTcvMTEvMjAyNggAAAAJNi8zMC8yMDIyCQAAAAEwR2+1am/f3giwyU9ub9/eCDxDSVEuTkFTREFROk1TRlQuSVFfTFRfTUFSS19TRUNVUklUSUVTLjk5OS4xMS8wNy8yMDI2Li4uVVNELkgBAAAAS1UAAAMAAAAAAEdvtWpv394IsMlPbm/f3ggyQ0lRLk5BU0RBUTpNU0ZULklRX0dST1NTX0dXLjk5NS4xMS8wNy8yMDI2Li4uVVNELkgBAAAAS1UAAAMAAAAAAEdvtWpv394IsMlPbm/f3gg+Q0lRLk5BU0RBUTpNU0ZULklRX0RFUklWQVRJVkVfQVNTRVRTX0xULjk5NS4xMS8wNy8yMDI2Li4uVVNELkgBAAAAS1UAAAIAAAACMTIBCAAAAAUAAAABMQEAAAALLTIwODc0OTY2MjcDAAAAAzE2MAIAAAAEMTExMAQAAAABMAcAAAAJNy8xMS8yMDI2CAAAAAk2LzMwLzIwMjAJAAAAATBHb7Vqb9/eCLDJT25v394IQUNJUS5OQVNEQVE6TVNGVC5JUV9ERVJJVkFUSVZFX0xJQUJfQ1VSUkVOVC45OTcuMTEvMDcvMjAyNi4uLlVTRC5IAQAAAEtVAAACAAAAAzI5OAEIAAAABQAAAAExAQAAAAstMTk4NTkzMTIyNAMAAAADMTYwAgAAAAU0MDQxNwQAAAABMAcAAAAJNy8xMS8yMDI2CAAAAAk2LzMwLzIwMjIJAAAAATBHb7Vqb9/eCHPdT25v394IPUNJUS5OQVNEQVE6TVNGVC5JUV9UT1RBTF9ERUJUX0VYQ0xfRklOLjk5Ny4xMS8wNy8yMDI2Li4uVVNELkgBAAAAS1UAAAIAAAAFNzg0MDABCAAAAAUAAAABMQEAAAALLTE5</t>
  </si>
  <si>
    <t>ODU5MzEyMjQDAAAAAzE2MAIAAAAFMjE4NjAEAAAAATAHAAAACTcvMTEvMjAyNggAAAAJNi8zMC8yMDIyCQAAAAEwR2+1am/f3ghmok9ub9/eCD1DSVEuTkFTREFROk1TRlQuSVFfSU5URVJDT01QQU5ZX05PTl9DTC45OTQuMTEvMDcvMjAyNi4uLlVTRC5IAQAAAEtVAAADAAAAAABHb7Vqb9/eCGaiT25v394IM0NJUS5OQVNEQVE6TVNGVC5JUV9JTlRBTl9ORVQuOTk2LjExLzA3LzIwMjYuLi5VU0QuSAEAAABLVQAAAgAAAAQ3ODAwAQgAAAAFAAAAATEBAAAACy0yMDM2ODQzODQzAwAAAAMxNjACAAAABTQ4OTYyBAAAAAEwBwAAAAk3LzExLzIwMjYIAAAACTYvMzAvMjAyMQkAAAABMEdvtWpv394IZqJPbm/f3gg8Q0lRLk5BU0RBUTpNU0ZULklRX0xUX01BUktfU0VDVVJJVElFUy45OTguMTEvMDcvMjAyNi4uLlVTRC5IAQAAAEtVAAADAAAAAABHb7Vqb9/eCGaiT25v394IOUNJUS5OQVNEQVE6TVNGVC5JUV9JTlRFUkNPTVBBTllfQ0wuOTk3LjExLzA3LzIwMjYuLi5VU0QuSAEAAABLVQAAAwAAAAAAR2+1am/f3giwyU9ub9/eCDxDSVEuTkFTREFROk1TRlQuSVFfTFRfTUFSS19TRUNVUklUSUVTLjk5Ny4xMS8wNy8yMDI2Li4uVVNELkgBAAAAS1UAAAMAAAAAAEdvtWpv394IZqJPbm/f3gg8Q0lRLk5BU0RBUTpNU0ZULklRX0dST1NTX0lOVEFOX0FTU0VUUy45OTkuMTEvMDcvMjAyNi4uLlVTRC5IAQAAAEtV</t>
  </si>
  <si>
    <t>AAACAAAABTQ0NTA5AQgAAAAFAAAAATEBAAAACy0xOTM0MjU0MTg1AwAAAAMxNjACAAAABTI0MjkzBAAAAAEwBwAAAAk3LzExLzIwMjYIAAAACTYvMzAvMjAyNAkAAAABMEdvtWpv394IZqJPbm/f3ghDQ0lRLk5BU0RBUTpNU0ZULklRX0RFUklWQVRJVkVfVFJBRElOR19BU1NFVFMuOTk5LjExLzA3LzIwMjYuLi5VU0QuSAEAAABLVQAAAwAAAAAAR2+1am/f3ghmok9ub9/eCEFDSVEuTkFTREFROk1TRlQuSVFfREVSSVZBVElWRV9MSUFCX0NVUlJFTlQuOTk1LjExLzA3LzIwMjYuLi5VU0QuSAEAAABLVQAAAgAAAAMzMzQBCAAAAAUAAAABMQEAAAALLTIwODc0OTY2MjcDAAAAAzE2MAIAAAAFNDA0MTcEAAAAATAHAAAACTcvMTEvMjAyNggAAAAJNi8zMC8yMDIwCQAAAAEwR2+1am/f3ghmok9ub9/eCD5DSVEuTkFTREFROk1TRlQuSVFfV0FSUkFOVFlfTElBQklMSVRJRVMuOTk3LjExLzA3LzIwMjYuLi5VU0QuSAEAAABLVQAAAwAAAAAAR2+1am/f3ghmok9ub9/eCEtDSVEuTkFTREFROk1TRlQuSVFfR0VORVJBTF9QQVJUTkVSX01JTk9SSVRZX0lOVEVSRVNULjk5OC4xMS8wNy8yMDI2Li4uVVNELkgBAAAAS1UAAAMAAAAAAEdvtWpv394ISnhPbm/f3ghHQ0lRLk5BU0RBUTpNU0ZULklRX0dFTkVSQUxfUEFSVE5FUl9DT01NT05fRVFVSVRZLjk5NC4xMS8wNy8yMDI2Li4uVVNELkgBAAAAS1UAAAMAAAAAAEdv</t>
  </si>
  <si>
    <t>tWpv394IZqJPbm/f3ghEQ0lRLk5BU0RBUTpNU0ZULklRX0ZJTl9ESVZfTUlOT1JJVFlfSU5URVJFU1QuMTAwMC4xMS8wNy8yMDI2Li4uVVNELkgBAAAAS1UAAAMAAAAAAEdvtWpv394IZqJPbm/f3ghFQ0lRLk5BU0RBUTpNU0ZULklRX0ZJTl9ESVZfTUlOT1JJVFlfSU5UX1JFREVFTS45OTYuMTEvMDcvMjAyNi4uLlVTRC5IAQAAAEtVAAADAAAAAABHb7Vqb9/eCGaiT25v394IM0NJUS5OQVNEQVE6TVNGVC5JUV9JTlRBTl9ORVQuOTk1LjExLzA3LzIwMjYuLi5VU0QuSAEAAABLVQAAAgAAAAQ3MDM4AQgAAAAFAAAAATEBAAAACy0yMDg3NDk2NjI3AwAAAAMxNjACAAAABTQ4OTYyBAAAAAEwBwAAAAk3LzExLzIwMjYIAAAACTYvMzAvMjAyMAkAAAABMEdvtWpv394IZqJPbm/f3gg+Q0lRLk5BU0RBUTpNU0ZULklRX0xJQUJJTElUSUVTX0xFVkVMXzMuMTAwMC4xMS8wNy8yMDI2Li4uVVNELkgBAAAAS1UAAAIAAAABNQBHb7Vqb9/eCEp4T25v394IPUNJUS5OQVNEQVE6TVNGVC5JUV9MSUFCSUxJVElFU19MRVZFTF8yLjk5NC4xMS8wNy8yMDI2Li4uVVNELkgBAAAAS1UAAAIAAAAFNzkxNzIAR2+1am/f3ghKeE9ub9/eCDxDSVEuTkFTREFROk1TRlQuSVFfQVNTRVRTX0ZBSVJfVkFMVUUuMTAwMC4xMS8wNy8yMDI2Li4uVVNELkgBAAAAS1UAAAIAAAAFODk1OTQAR2+1am/f3ghKeE9ub9/eCDhDSVEuTkFTREFR</t>
  </si>
  <si>
    <t>Ok1TRlQuSVFfQVNTRVRTX0xFVkVMXzMuOTk2LjExLzA3LzIwMjYuLi5VU0QuSAEAAABLVQAAAgAAAAMxNTQAR2+1am/f3ghKeE9ub9/eCFBDSVEuTkFTREFROk1TRlQuSVFfTElRVUlEQVRJT05fVkFMVUVfUFJFRkVSUkVEX05PTl9SRURFRU0uOTk4LjExLzA3LzIwMjYuLi5VU0QuSAEAAABLVQAAAwAAAAAAR2+1am/f3ghKeE9ub9/eCD1DSVEuTkFTREFROk1TRlQuSVFfU1RfREVCVF9ERVJJVkFUSVZFUy45OTQuMTEvMDcvMjAyNi4uLlVTRC5IAQAAAEtVAAADAAAAAABHb7Vqb9/eCEp4T25v394IPUNJUS5OQVNEQVE6TVNGVC5JUV9UT1RBTF9ERUJUX0VYQ0xfRklOLjk5Ni4xMS8wNy8yMDI2Li4uVVNELkgBAAAAS1UAAAIAAAAFODIyNzgBCAAAAAUAAAABMQEAAAALLTIwMzY4NDM4NDMDAAAAAzE2MAIAAAAFMjE4NjAEAAAAATAHAAAACTcvMTEvMjAyNggAAAAJNi8zMC8yMDIxCQAAAAEwR2+1am/f3ghKeE9ub9/eCD9DSVEuTkFTREFROk1TRlQuSVFfREVCVF9FUVVJVl9PUEVSX0xFQVNFLjk5OC4xMS8wNy8yMDI2Li4uVVNELkgBAAAAS1UAAAIAAAAFMjMwMDABCAAAAAUAAAABMQEAAAALLTE5MzQyNTQyNTADAAAAAzE2MAIAAAAFMjE2NzEEAAAAATAHAAAACTcvMTEvMjAyNggAAAAJNi8zMC8yMDIzCQAAAAEwR2+1am/f3ghKeE9ub9/eCD1DSVEuTkFTREFROk1TRlQuSVFfRklOX0RJVl9ERUJUX1RP</t>
  </si>
  <si>
    <t>VEFMLjEwMDAuMTEvMDcvMjAyNi4uLlVTRC5IAQAAAEtVAAADAAAAAABHb7Vqb9/eCEp4T25v394IP0NJUS5OQVNEQVE6TVNGVC5JUV9GSU5fRElWX1NUX0RFQlRfVE9UQUwuOTk0LjExLzA3LzIwMjYuLi5VU0QuSAEAAABLVQAAAwAAAAAAR2+1am/f3ghKeE9ub9/eCDxDSVEuTkFTREFROk1TRlQuSVFfTFRfTUFSS19TRUNVUklUSUVTLjk5Ni4xMS8wNy8yMDI2Li4uVVNELkgBAAAAS1UAAAMAAAAAAEdvtWpv394IXDxPbm/f3ghCQ0lRLk5BU0RBUTpNU0ZULklRX0FDQ1VNX0FNT1JUX0lOVEFOX0FTU0VUUy45OTYuMTEvMDcvMjAyNi4uLlVTRC5IAQAAAEtVAAACAAAABi0xMjE3NQEIAAAABQAAAAExAQAAAAstMjAzNjg0Mzg0MwMAAAADMTYwAgAAAAUyNDMzMQQAAAABMAcAAAAJNy8xMS8yMDI2CAAAAAk2LzMwLzIwMjEJAAAAATBHb7Vqb9/eCFw8T25v394IQ0NJUS5OQVNEQVE6TVNGVC5JUV9ERVJJVkFUSVZFX1RSQURJTkdfQVNTRVRTLjk5OC4xMS8wNy8yMDI2Li4uVVNELkgBAAAAS1UAAAMAAAAAAEdvtWpv394IXDxPbm/f3ghBQ0lRLk5BU0RBUTpNU0ZULklRX0RFUklWQVRJVkVfTElBQl9DVVJSRU5ULjk5NC4xMS8wNy8yMDI2Li4uVVNELkgBAAAAS1UAAAIAAAADMjIxAQgAAAAFAAAAATEBAAAACy0yMTQwOTgxNDY5AwAAAAMxNjACAAAABTQwNDE3BAAAAAEwBwAAAAk3LzExLzIwMjYIAAAACTYv</t>
  </si>
  <si>
    <t>MzAvMjAxOQkAAAABMNODtWpv394ISnhPbm/f3ghIQ0lRLk5BU0RBUTpNU0ZULklRX0NVUlJFTlRfUE9SVF9ERUJUX0RFUklWQVRJVkVTLjEwMDAuMTEvMDcvMjAyNi4uLlVTRC5IAQAAAEtVAAADAAAAAADTg7Vqb9/eCEp4T25v394IPENJUS5OQVNEQVE6TVNGVC5JUV9UQlZfU0hBUkVfUkVQT1JURUQuOTk1LjExLzA3LzIwMjYuLi5VU0QuSAEAAABLVQAAAwAAAAAA04O1am/f3ghcPE9ub9/eCDxDSVEuTkFTREFROk1TRlQuSVFfVE9UQUxfUkVWX0VNUExPWUVFLjk5Ni4xMS8wNy8yMDI2Li4uVVNELkgBAAAAS1UAAAIAAAAHOTI4LjY2MgEIAAAABQAAAAExAQAAAAstMjAzNjg0Mzg0MwMAAAADMTYwAgAAAAQ0MTIzBAAAAAEwBwAAAAk3LzExLzIwMjYIAAAACTYvMzAvMjAyMQkAAAABMNODtWpv394IXDxPbm/f3gg9Q0lRLk5BU0RBUTpNU0ZULklRX0lOVEVSQ09NUEFOWV9OT05fQ0EuOTk4LjExLzA3LzIwMjYuLi5VU0QuSAEAAABLVQAAAwAAAAAA04O1am/f3ghcPE9ub9/eCDNDSVEuTkFTREFROk1TRlQuSVFfSU5UQU5fTkVULjk5NC4xMS8wNy8yMDI2Li4uVVNELkgBAAAAS1UAAAIAAAAENzc1MAEIAAAABQAAAAExAQAAAAstMjE0MDk4MTQ2OQMAAAADMTYwAgAAAAU0ODk2MgQAAAABMAcAAAAJNy8xMS8yMDI2CAAAAAk2LzMwLzIwMTkJAAAAATDTg7Vqb9/eCFw8T25v394IN0NJUS5OQVNEQVE6TVNG</t>
  </si>
  <si>
    <t>VC5JUV9HV19JTlRBTl9ORVQuMTAwMC4xMS8wNy8yMDI2Li4uVVNELkgBAAAAS1UAAAMAAAAAANODtWpv394IXDxPbm/f3ggxQ0lRLk5BU0RBUTpNU0ZULklRX1dJUF9JTlYuOTk5LjExLzA3LzIwMjYuLi5VU0QuSAEAAABLVQAAAwAAAAAA04O1am/f3ghcPE9ub9/eCDdDSVEuTkFTREFROk1TRlQuSVFfRVFVSVRZX01FVEhPRC45OTUuMTEvMDcvMjAyNi4uLlVTRC5IAQAAAEtVAAADAAAAAADTg7Vqb9/eCFw8T25v394IM0NJUS5OQVNEQVE6TVNGVC5JUV9UT1RBTF9DQVAuOTk3LjExLzA3LzIwMjYuLi5VU0QuSAEAAABLVQAAAgAAAAYyNDQ5NDIBCAAAAAUAAAABMQEAAAALLTE5ODU5MzEyMjQDAAAAAzE2MAIAAAAENDE3NQQAAAABMAcAAAAJNy8xMS8yMDI2CAAAAAk2LzMwLzIwMjIJAAAAATDTg7Vqb9/eCFw8T25v394IPENJUS5OQVNEQVE6TVNGVC5JUV9UT1RBTF9ERUJUX0NVUlJFTlQuOTk5LjExLzA3LzIwMjYuLi5VU0QuSAEAAABLVQAAAgAAAAUxNDg3MQEIAAAABQAAAAExAQAAAAstMTkzNDI1NDE4NQMAAAADMTYwAgAAAAUyNTIyMwQAAAABMAcAAAAJNy8xMS8yMDI2CAAAAAk2LzMwLzIwMjQJAAAAATDTg7Vqb9/eCFw8T25v394IMkNJUS5OQVNEQVE6TVNGVC5JUV9HV19JTlRBTi45OTkuMTEvMDcvMjAyNi4uLlVTRC5IAQAAAEtVAAACAAAABjE0NjgxNwEIAAAABQAAAAExAQAAAAstMTkzNDI1</t>
  </si>
  <si>
    <t>NDE4NQMAAAADMTYwAgAAAAUzNTM4MQQAAAABMAcAAAAJNy8xMS8yMDI2CAAAAAk2LzMwLzIwMjQJAAAAATDTg7Vqb9/eCFw8T25v394ITENJUS5OQVNEQVE6TVNGVC5JUV9MSVFVSURBVElPTl9WQUxVRV9QUkVGRVJSRURfUkVERUVNLjk5NS4xMS8wNy8yMDI2Li4uVVNELkgBAAAAS1UAAAMAAAAAANODtWpv394IjQBPbm/f3ghLQ0lRLk5BU0RBUTpNU0ZULklRX0dFTkVSQUxfUEFSVE5FUl9NSU5PUklUWV9JTlRFUkVTVC45OTcuMTEvMDcvMjAyNi4uLlVTRC5IAQAAAEtVAAADAAAAAADTg7Vqb9/eCI0AT25v394IQ0NJUS5OQVNEQVE6TVNGVC5JUV9GSU5fRElWX01JTk9SSVRZX0lOVEVSRVNULjk5OS4xMS8wNy8yMDI2Li4uVVNELkgBAAAAS1UAAAMAAAAAANODtWpv394IXDxPbm/f3ggtQ0lRLk5BU0RBUTpNU0ZULklRX0NJUC45OTUuMTEvMDcvMjAyNi4uLlVTRC5IAQAAAEtVAAADAAAAAADTg7Vqb9/eCFw8T25v394IM0NJUS5OQVNEQVE6TVNGVC5JUV9CVUlMRElOR1MuOTk3LjExLzA3LzIwMjYuLi5VU0QuSAEAAABLVQAAAgAAAAU1NTAxNAEIAAAABQAAAAExAQAAAAstMTk4NTkzMTIyNAMAAAADMTYwAgAAAAQzMDIzBAAAAAEwBwAAAAk3LzExLzIwMjYIAAAACTYvMzAvMjAyMgkAAAABMNODtWpv394IXDxPbm/f3gg/Q0lRLk5BU0RBUTpNU0ZULklRX0RFQlRfRVFVSVZfT1BFUl9MRUFTRS45OTcu</t>
  </si>
  <si>
    <t>MTEvMDcvMjAyNi4uLlVTRC5IAQAAAEtVAAACAAAABTE5Njg4AQgAAAAFAAAAATEBAAAACy0xOTg1OTMxMjI0AwAAAAMxNjACAAAABTIxNjcxBAAAAAEwBwAAAAk3LzExLzIwMjYIAAAACTYvMzAvMjAyMgkAAAABMNODtWpv394IjQBPbm/f3gg8Q0lRLk5BU0RBUTpNU0ZULklRX0ZJTl9ESVZfREVCVF9UT1RBTC45OTkuMTEvMDcvMjAyNi4uLlVTRC5IAQAAAEtVAAADAAAAAADTg7Vqb9/eCI0AT25v394IT0NJUS5OQVNEQVE6TVNGVC5JUV9MSUFCSUxJVElFU19ORVRUSU5HX09USEVSX0FESlVTVE1FTlRTLjk5Ny4xMS8wNy8yMDI2Li4uVVNELkgBAAAAS1UAAAMAAAAAANODtWpv394IjQBPbm/f3gg7Q0lRLk5BU0RBUTpNU0ZULklRX0FTU0VUU19GQUlSX1ZBTFVFLjk5OS4xMS8wNy8yMDI2Li4uVVNELkgBAAAAS1UAAAIAAAAFNjg3NzcA04O1am/f3giNAE9ub9/eCDhDSVEuTkFTREFROk1TRlQuSVFfQVNTRVRTX0xFVkVMXzMuOTk1LjExLzA3LzIwMjYuLi5VU0QuSAEAAABLVQAAAgAAAAMxNTAA04O1am/f3giNAE9ub9/eCDZDSVEuTkFTREFROk1TRlQuSVFfR1dfSU5UQU5fTkVULjk5OS4xMS8wNy8yMDI2Li4uVVNELkgBAAAAS1UAAAMAAAAAANODtWpv394IV+xObm/f3ghCQ0lRLk5BU0RBUTpNU0ZULklRX0FDQ1VNX0FNT1JUX0lOVEFOX0FTU0VUUy45OTUuMTEvMDcvMjAyNi4uLlVTRC5IAQAAAEtV</t>
  </si>
  <si>
    <t>AAACAAAABi0xMDcyMQEIAAAABQAAAAExAQAAAAstMjA4NzQ5NjYyNwMAAAADMTYwAgAAAAUyNDMzMQQAAAABMAcAAAAJNy8xMS8yMDI2CAAAAAk2LzMwLzIwMjAJAAAAATDTg7Vqb9/eCI0AT25v394IQ0NJUS5OQVNEQVE6TVNGVC5JUV9ERVJJVkFUSVZFX1RSQURJTkdfQVNTRVRTLjk5Ny4xMS8wNy8yMDI2Li4uVVNELkgBAAAAS1UAAAMAAAAAANODtWpv394IjQBPbm/f3ghHQ0lRLk5BU0RBUTpNU0ZULklRX0NVUlJFTlRfUE9SVF9ERUJUX0RFUklWQVRJVkVTLjk5OS4xMS8wNy8yMDI2Li4uVVNELkgBAAAAS1UAAAMAAAAAANODtWpv394IjQBPbm/f3gg9Q0lRLk5BU0RBUTpNU0ZULklRX1RPVEFMX0RFQlRfRVhDTF9GSU4uOTk1LjExLzA3LzIwMjYuLi5VU0QuSAEAAABLVQAAAgAAAAU4MjExMAEIAAAABQAAAAExAQAAAAstMjA4NzQ5NjYyNwMAAAADMTYwAgAAAAUyMTg2MAQAAAABMAcAAAAJNy8xMS8yMDI2CAAAAAk2LzMwLzIwMjAJAAAAATDTg7Vqb9/eCI0AT25v394IQENJUS5OQVNEQVE6TVNGVC5JUV9UT1RBTF9ERUJUX05PTl9DVVJSRU5ULjk5NS4xMS8wNy8yMDI2Li4uVVNELkgBAAAAS1UAAAIAAAAFNzYyMDUBCAAAAAUAAAABMQEAAAALLTIwODc0OTY2MjcDAAAAAzE2MAIAAAAFMjUyMjQEAAAAATAHAAAACTcvMTEvMjAyNggAAAAJNi8zMC8yMDIwCQAAAAEw04O1am/f3ghG2E5ub9/eCDJD</t>
  </si>
  <si>
    <t>SVEuTkFTREFROk1TRlQuSVFfR1dfSU5UQU4uOTk3LjExLzA3LzIwMjYuLi5VU0QuSAEAAABLVQAAAgAAAAU3ODgyMgEIAAAABQAAAAExAQAAAAstMTk4NTkzMTIyNAMAAAADMTYwAgAAAAUzNTM4MQQAAAABMAcAAAAJNy8xMS8yMDI2CAAAAAk2LzMwLzIwMjIJAAAAATDTg7Vqb9/eCEbYTm5v394IPENJUS5OQVNEQVE6TVNGVC5JUV9UT1RBTF9SRVZfRU1QTE9ZRUUuOTk0LjExLzA3LzIwMjYuLi5VU0QuSAEAAABLVQAAAgAAAAc4NzMuOTA5AQgAAAAFAAAAATEBAAAACy0yMTQwOTgxNDY5AwAAAAMxNjACAAAABDQxMjMEAAAAATAHAAAACTcvMTEvMjAyNggAAAAJNi8zMC8yMDE5CQAAAAEw04O1am/f3ghX7E5ub9/eCDxDSVEuTkFTREFROk1TRlQuSVFfVE9UQUxfUkVWX0VNUExPWUVFLjk5NS4xMS8wNy8yMDI2Li4uVVNELkgBAAAAS1UAAAIAAAAHODc3LjM5MgEIAAAABQAAAAExAQAAAAstMjA4NzQ5NjYyNwMAAAADMTYwAgAAAAQ0MTIzBAAAAAEwBwAAAAk3LzExLzIwMjYIAAAACTYvMzAvMjAyMAkAAAABMNODtWpv394IV+xObm/f3gg9Q0lRLk5BU0RBUTpNU0ZULklRX0lOVEVSQ09NUEFOWV9OT05fQ0EuOTk3LjExLzA3LzIwMjYuLi5VU0QuSAEAAABLVQAAAwAAAAAA04O1am/f3ghX7E5ub9/eCD1DSVEuTkFTREFROk1TRlQuSVFfTUlOT1JJVFlfSU5UX1JFREVFTS45OTcuMTEvMDcvMjAyNi4uLlVT</t>
  </si>
  <si>
    <t>RC5IAQAAAEtVAAADAAAAAADTg7Vqb9/eCPi/Tm5v394IMkNJUS5OQVNEQVE6TVNGVC5JUV9TT0ZUV0FSRS45OTkuMTEvMDcvMjAyNi4uLlVTRC5IAQAAAEtVAAADAAAAAADTvrVqb9/eCPi/Tm5v394IM0NJUS5OQVNEQVE6TVNGVC5JUV9CVUlMRElOR1MuOTk1LjExLzA3LzIwMjYuLi5VU0QuSAEAAABLVQAAAgAAAAUzMzk5NQEIAAAABQAAAAExAQAAAAstMjA4NzQ5NjYyNwMAAAADMTYwAgAAAAQzMDIzBAAAAAEwBwAAAAk3LzExLzIwMjYIAAAACTYvMzAvMjAyMAkAAAABMNO+tWpv394I+L9Obm/f3gg2Q0lRLk5BU0RBUTpNU0ZULklRX0ZJTklTSEVEX0lOVi45OTUuMTEvMDcvMjAyNi4uLlVTRC5IAQAAAEtVAAACAAAABDExMTIBCAAAAAUAAAABMQEAAAALLTIwODc0OTY2MjcDAAAAAzE2MAIAAAAEMzA3NQQAAAABMAcAAAAJNy8xMS8yMDI2CAAAAAk2LzMwLzIwMjAJAAAAATDTvrVqb9/eCEbYTm5v394IOUNJUS5OQVNEQVE6TVNGVC5JUV9ORVRfV09SS0lOR19DQVAuOTk5LjExLzA3LzIwMjYuLi5VU0QuSAEAAABLVQAAAgAAAAYtMjYyMjQBCAAAAAUAAAABMQEAAAALLTE5MzQyNTQxODUDAAAAAzE2MAIAAAAEMTMxMQQAAAABMAcAAAAJNy8xMS8yMDI2CAAAAAk2LzMwLzIwMjQJAAAAATDTvrVqb9/eCEbYTm5v394IO0NJUS5OQVNEQVE6TVNGVC5JUV9BU1NFVFNfRkFJUl9WQUxVRS45OTcuMTEvMDcv</t>
  </si>
  <si>
    <t>MjAyNi4uLlVTRC5IAQAAAEtVAAACAAAABTk3MzAzANO+tWpv394IIHVObm/f3gg4Q0lRLk5BU0RBUTpNU0ZULklRX0FTU0VUU19MRVZFTF8xLjk5OS4xMS8wNy8yMDI2Li4uVVNELkgBAAAAS1UAAAIAAAAFNTAyMDYA0761am/f3gggdU5ub9/eCE1DSVEuTkFTREFROk1TRlQuSVFfTElRVUlEQVRJT05fVkFMVUVfUFJFRkVSUkVEX0NPTlZFUlQuOTk5LjExLzA3LzIwMjYuLi5VU0QuSAEAAABLVQAAAwAAAAAA0761am/f3gj4v05ub9/eCEtDSVEuTkFTREFROk1TRlQuSVFfR0VORVJBTF9QQVJUTkVSX01JTk9SSVRZX0lOVEVSRVNULjk5NS4xMS8wNy8yMDI2Li4uVVNELkgBAAAAS1UAAAMAAAAAANO+tWpv394I+L9Obm/f3ghDQ0lRLk5BU0RBUTpNU0ZULklRX0ZJTl9ESVZfTUlOT1JJVFlfSU5URVJFU1QuOTk3LjExLzA3LzIwMjYuLi5VU0QuSAEAAABLVQAAAwAAAAAA0761am/f3gj4v05ub9/eCD1DSVEuTkFTREFROk1TRlQuSVFfTFRfREVCVF9ERVJJVkFUSVZFUy45OTUuMTEvMDcvMjAyNi4uLlVTRC5IAQAAAEtVAAADAAAAAADTvrVqb9/eCCB1Tm5v394IQENJUS5OQVNEQVE6TVNGVC5JUV9DT05USU5HRU5UX0xJQUJJTElUSUVTLjk5Ny4xMS8wNy8yMDI2Li4uVVNELkgBAAAAS1UAAAMAAAAAANO+tWpv394IIHVObm/f3ghFQ0lRLk5BU0RBUTpNU0ZULklRX1JFU1RSSUNURURfQ0FTSF9OT05fQ1VS</t>
  </si>
  <si>
    <t>UkVOVC45OTkuMTEvMDcvMjAyNi4uLlVTRC5IAQAAAEtVAAADAAAAAADTvrVqb9/eCCB1Tm5v394IPENJUS5OQVNEQVE6TVNGVC5JUV9GSU5fRElWX0NBU0hfRVFVSVYuOTk1LjExLzA3LzIwMjYuLi5VU0QuSAEAAABLVQAAAwAAAAAA0761am/f3gggdU5ub9/eCE9DSVEuTkFTREFROk1TRlQuSVFfTElBQklMSVRJRVNfTkVUVElOR19PVEhFUl9BREpVU1RNRU5UUy45OTUuMTEvMDcvMjAyNi4uLlVTRC5IAQAAAEtVAAADAAAAAADTvrVqb9/eCCB1Tm5v394IPUNJUS5OQVNEQVE6TVNGVC5JUV9JTlRFUkNPTVBBTllfTk9OX0NBLjk5NS4xMS8wNy8yMDI2Li4uVVNELkgBAAAAS1UAAAMAAAAAANO+tWpv394IIHVObm/f3gg2Q0lRLk5BU0RBUTpNU0ZULklRX0dXX0lOVEFOX05FVC45OTcuMTEvMDcvMjAyNi4uLlVTRC5IAQAAAEtVAAADAAAAAADTvrVqb9/eCCB1Tm5v394IOENJUS5OQVNEQVE6TVNGVC5JUV9BQ0NVTV9BTU9SVF9HVy45OTcuMTEvMDcvMjAyNi4uLlVTRC5IAQAAAEtVAAADAAAAAADTvrVqb9/eCCB1Tm5v394IPkNJUS5OQVNEQVE6TVNGVC5JUV9ERVJJVkFUSVZFX0FTU0VUU19MVC45OTkuMTEvMDcvMjAyNi4uLlVTRC5IAQAAAEtVAAACAAAAAjE5AQgAAAAFAAAAATEBAAAACy0xOTM0MjU0MTg1AwAAAAMxNjACAAAABDExMTAEAAAAATAHAAAACTcvMTEvMjAyNggAAAAJNi8zMC8yMDI0CQAA</t>
  </si>
  <si>
    <t>AAEw0761am/f3gggdU5ub9/eCENDSVEuTkFTREFROk1TRlQuSVFfREVSSVZBVElWRV9UUkFESU5HX0FTU0VUUy45OTUuMTEvMDcvMjAyNi4uLlVTRC5IAQAAAEtVAAADAAAAAADTvrVqb9/eCCB1Tm5v394IOENJUS5OQVNEQVE6TVNGVC5JUV9ERUZfQ0hBUkdFU19MVC45OTYuMTEvMDcvMjAyNi4uLlVTRC5IAQAAAEtVAAADAAAAAADTvrVqb9/eCCB1Tm5v394IL0NJUS5OQVNEQVE6TVNGVC5JUV9BUl9MVC45OTYuMTEvMDcvMjAyNi4uLlVTRC5IAQAAAEtVAAACAAAABDM0MDABCAAAAAUAAAABMQEAAAALLTIwMzY4NDM4NDMDAAAAAzE2MAIAAAAEMTA4OAQAAAABMAcAAAAJNy8xMS8yMDI2CAAAAAk2LzMwLzIwMjEJAAAAATDTvrVqb9/eCCB1Tm5v394ILENJUS5OQVNEQVE6TVNGVC5JUV9HVy45OTguMTEvMDcvMjAyNi4uLlVTRC5IAQAAAEtVAAACAAAABTY3ODg2AQgAAAAFAAAAATEBAAAACy0xOTM0MjU0MjUwAwAAAAMxNjACAAAABDExNzEEAAAAATAHAAAACTcvMTEvMjAyNggAAAAJNi8zMC8yMDIzCQAAAAEw0761am/f3gggdU5ub9/eCC5DSVEuTkFTREFROk1TRlQuSVFfTlBQRS45OTQuMTEvMDcvMjAyNi4uLlVTRC5IAQAAAEtVAAACAAAABTQzODU2AQgAAAAFAAAAATEBAAAACy0yMTQwOTgxNDY5AwAAAAMxNjACAAAABDEwMDQEAAAAATAHAAAACTcvMTEvMjAyNggAAAAJNi8zMC8yMDE5CQAAAAEw</t>
  </si>
  <si>
    <t>0761am/f3gggdU5ub9/eCD1DSVEuTkFTREFROk1TRlQuSVFfSU5URVJDT01QQU5ZX05PTl9DTC45OTkuMTEvMDcvMjAyNi4uLlVTRC5IAQAAAEtVAAADAAAAAADTvrVqb9/eCCB1Tm5v394IOENJUS5OQVNEQVE6TVNGVC5JUV9PVEhFUl9DTF9TVVBQTC45OTYuMTEvMDcvMjAyNi4uLlVTRC5IAQAAAEtVAAACAAAABDg5MTMBCAAAAAUAAAABMQEAAAALLTIwMzY4NDM4NDMDAAAAAzE2MAIAAAAEMTA1NwQAAAABMAcAAAAJNy8xMS8yMDI2CAAAAAk2LzMwLzIwMjEJAAAAATDTvrVqb9/eCCB1Tm5v394IPkNJUS5OQVNEQVE6TVNGVC5JUV9GSU5fRElWX0xJQUJfQ1VSUkVOVC45OTguMTEvMDcvMjAyNi4uLlVTRC5IAQAAAEtVAAADAAAAAADTvrVqb9/eCCB1Tm5v394IO0NJUS5OQVNEQVE6TVNGVC5JUV9DVVJSRU5UX1BPUlRfREVCVC45OTguMTEvMDcvMjAyNi4uLlVTRC5IAQAAAEtVAAACAAAABDUyNDcBCAAAAAUAAAABMQEAAAALLTE5MzQyNTQyNTADAAAAAzE2MAIAAAAEMTI5NwQAAAABMAcAAAAJNy8xMS8yMDI2CAAAAAk2LzMwLzIwMjMJAAAAATDTvrVqb9/eCCB1Tm5v394ILENJUS5OQVNEQVE6TVNGVC5JUV9BRS45OTQuMTEvMDcvMjAyNi4uLlVTRC5IAQAAAEtVAAACAAAABDY4MzABCAAAAAUAAAABMQEAAAALLTIxNDA5ODE0NjkDAAAAAzE2MAIAAAAEMTAxNgQAAAABMAcAAAAJNy8xMS8yMDI2CAAA</t>
  </si>
  <si>
    <t>AAk2LzMwLzIwMTkJAAAAATDTvrVqb9/eCCB1Tm5v394IN0NJUS5OQVNEQVE6TVNGVC5JUV9UT1RBTF9BU1NFVFMuMTAwMC4xMS8wNy8yMDI2Li4uVVNELkgBAAAAS1UAAAIAAAAGNjE5MDAzAQgAAAAFAAAAATEBAAAACy0xOTM0MjU0MjE2AwAAAAMxNjACAAAABDEwMDcEAAAAATAHAAAACTcvMTEvMjAyNggAAAAJNi8zMC8yMDI1CQAAAAEw0761am/f3gggdU5ub9/eCDZDSVEuTkFTREFROk1TRlQuSVFfUFJFRl9DT05WRVJULjk5Ni4xMS8wNy8yMDI2Li4uVVNELkgBAAAAS1UAAAMAAAAAANO+tWpv394Iuk1Obm/f3gg3Q0lRLk5BU0RBUTpNU0ZULklRX09USEVSX0xJQUJfTFQuOTk4LjExLzA3LzIwMjYuLi5VU0QuSAEAAABLVQAAAgAAAAUyNzY3MQEIAAAABQAAAAExAQAAAAstMTkzNDI1NDI1MAMAAAADMTYwAgAAAAQxMDYyBAAAAAEwBwAAAAk3LzExLzIwMjYIAAAACTYvMzAvMjAyMwkAAAABMNO+tWpv394Iuk1Obm/f3gg6Q0lRLk5BU0RBUTpNU0ZULklRX0ZJTl9ESVZfTElBQl9MVC4xMDAwLjExLzA3LzIwMjYuLi5VU0QuSAEAAABLVQAAAwAAAAAA0761am/f3gggdU5ub9/eCDlDSVEuTkFTREFROk1TRlQuSVFfRklOX0RJVl9ERUJUX0xULjk5NC4xMS8wNy8yMDI2Li4uVVNELkgBAAAAS1UAAAMAAAAAANO+tWpv394IIHVObm/f3ggyQ0lRLk5BU0RBUTpNU0ZULklRX0xUX0RFQlQuMTAwMC4xMS8w</t>
  </si>
  <si>
    <t>Ny8yMDI2Li4uVVNELkgBAAAAS1UAAAIAAAAFNDAxNTIBCAAAAAUAAAABMQEAAAALLTE5MzQyNTQyMTYDAAAAAzE2MAIAAAAEMTA0OQQAAAABMAcAAAAJNy8xMS8yMDI2CAAAAAk2LzMwLzIwMjUJAAAAATDTvrVqb9/eCCB1Tm5v394IP0NJUS5OQVNEQVE6TVNGVC5JUV9SVUFfQ0FQSVRBTF9MRUFTRV9ORVQuOTk0LjExLzA3LzIwMjYuLi5VU0QuSAEAAABLVQAAAwAAAAAA0761am/f3gi6TU5ub9/eCDdDSVEuTkFTREFROk1TRlQuSVFfUlVBX0FDQ1VNX0RFUC45OTYuMTEvMDcvMjAyNi4uLlVTRC5IAQAAAEtVAAADAAAAAADTvrVqb9/eCLpNTm5v394IO0NJUS5OQVNEQVE6TVNGVC5JUV9NSU5PUklUWV9JTlRFUkVTVC45OTguMTEvMDcvMjAyNi4uLlVTRC5IAQAAAEtVAAADAAAAAADTvrVqb9/eCLpNTm5v394ILUNJUS5OQVNEQVE6TVNGVC5JUV9SRS4xMDAwLjExLzA3LzIwMjYuLi5VU0QuSAEAAABLVQAAAgAAAAYyMzc3MzEBCAAAAAUAAAABMQEAAAALLTE5MzQyNTQyMTYDAAAAAzE2MAIAAAAEMTIyMgQAAAABMAcAAAAJNy8xMS8yMDI2CAAAAAk2LzMwLzIwMjUJAAAAATDTvrVqb9/eCLpNTm5v394ILkNJUS5OQVNEQVE6TVNGVC5JUV9BUElDLjk5NC4xMS8wNy8yMDI2Li4uVVNELkgBAAAAS1UAAAMAAAAAANO+tWpv394Iuk1Obm/f3gg7Q0lRLk5BU0RBUTpNU0ZULklRX1RPVEFMX09QRVJfTEVBU0VT</t>
  </si>
  <si>
    <t>Ljk5Ni4xMS8wNy8yMDI2Li4uVVNELkgBAAAAS1UAAAIAAAAFMTE1OTEBCAAAAAUAAAABMQEAAAALLTIwMzY4NDM4NDMDAAAAAzE2MAIAAAAFNDg5NzgEAAAAATAHAAAACTcvMTEvMjAyNggAAAAJNi8zMC8yMDIxCQAAAAEw0761am/f3gi6TU5ub9/eCD5DSVEuTkFTREFROk1TRlQuSVFfVE9UQUxfRklOQU5DRV9MRUFTRVMuOTk2LjExLzA3LzIwMjYuLi5VU0QuSAEAAABLVQAAAgAAAAUxMjU0MQEIAAAABQAAAAExAQAAAAstMjAzNjg0Mzg0MwMAAAADMTYwAgAAAAU0OTAzMQQAAAABMAcAAAAJNy8xMS8yMDI2CAAAAAk2LzMwLzIwMjEJAAAAATDTvrVqb9/eCLpNTm5v394IPUNJUS5OQVNEQVE6TVNGVC5JUV9BRF9FWENMX09QRVJfTEVBU0VTLjk5OC4xMS8wNy8yMDI2Li4uVVNELkgBAAAAS1UAAAIAAAAGLTY4MjUxAQgAAAAFAAAAATEBAAAACy0xOTM0MjU0MjUwAwAAAAMxNjACAAAABTQ4OTc1BAAAAAEwBwAAAAk3LzExLzIwMjYIAAAACTYvMzAvMjAyMwkAAAABMNO+tWpv394Iuk1Obm/f3ghBQ0lRLk5BU0RBUTpNU0ZULklRX1JVQV9PUEVSQVRJTkdfTEVBU0VfTkVULjk5NC4xMS8wNy8yMDI2Li4uVVNELkgBAAAAS1UAAAMAAAAAANO+tWpv394Iuk1Obm/f3ghEQ0lRLk5BU0RBUTpNU0ZULklRX1JVQV9PUEVSQVRJTkdfTEVBU0VfR1JPU1MuMTAwMC4xMS8wNy8yMDI2Li4uVVNELkgBAAAAS1UAAAIA</t>
  </si>
  <si>
    <t>AAAFMjQ4MjMBCAAAAAUAAAABMQEAAAALLTE5MzQyNTQyMTYDAAAAAzE2MAIAAAAFNDgzNzcEAAAAATAHAAAACTcvMTEvMjAyNggAAAAJNi8zMC8yMDI1CQAAAAEw0761am/f3gi6TU5ub9/eCDVDSVEuTkFTREFROk1TRlQuSVFfVE9UQUxfREVCVC4xMDAwLjExLzA3LzIwMjYuLi5VU0QuSAEAAABLVQAAAgAAAAYxMTIxODQBCAAAAAUAAAABMQEAAAALLTE5MzQyNTQyMTYDAAAAAzE2MAIAAAAENDE3MwQAAAABMAcAAAAJNy8xMS8yMDI2CAAAAAk2LzMwLzIwMjUJAAAAATDTvrVqb9/eCIY4Tm5v394IMkNJUS5OQVNEQVE6TVNGVC5JUV9HV19JTlRBTi45OTYuMTEvMDcvMjAyNi4uLlVTRC5IAQAAAEtVAAACAAAABTU3NTExAQgAAAAFAAAAATEBAAAACy0yMDM2ODQzODQzAwAAAAMxNjACAAAABTM1MzgxBAAAAAEwBwAAAAk3LzExLzIwMjYIAAAACTYvMzAvMjAyMQkAAAABMNO+tWpv394IhjhObm/f3gg7Q0lRLk5BU0RBUTpNU0ZULklRX0JWX1NIQVJFX1JFUE9SVEVELjk5OC4xMS8wNy8yMDI2Li4uVVNELkgBAAAAS1UAAAMAAAAAANO+tWpv394IhjhObm/f3ghFQ0lRLk5BU0RBUTpNU0ZULklRX1RPVEFMX0RFQlRfRVhDTF9PUEVSX0xFQVNFUy45OTQuMTEvMDcvMjAyNi4uLlVTRC5IAQAAAEtVAAACAAAABTc4NzUyAQgAAAAFAAAAATEBAAAACy0yMTQwOTgxNDY5AwAAAAMxNjACAAAABTQ4OTgyBAAAAAEw</t>
  </si>
  <si>
    <t>BwAAAAk3LzExLzIwMjYIAAAACTYvMzAvMjAxOQkAAAABMNO+tWpv394IhjhObm/f3ghTQ0lRLk5BU0RBUTpNU0ZULklRX0ZJTkFOQ0lOR19PQkxJR19DVVJSRU5UX0VYQ0xfT1BFUl9MRUFTRVMuMTAwMC4xMS8wNy8yMDI2Li4uVVNELkgBAAAAS1UAAAIAAAAENjE3MQEIAAAABQAAAAExAQAAAAstMTkzNDI1NDIxNgMAAAADMTYwAgAAAAU0ODk4MAQAAAABMAcAAAAJNy8xMS8yMDI2CAAAAAk2LzMwLzIwMjUJAAAAATDTvrVqb9/eCIY4Tm5v394INENJUS5OQVNEQVE6TVNGVC5JUV9PVEhFUl9JTlYuMTAwMC4xMS8wNy8yMDI2Li4uVVNELkgBAAAAS1UAAAMAAAAAANO+tWpv394IFyRObm/f3gg2Q0lRLk5BU0RBUTpNU0ZULklRX0ZJTklTSEVEX0lOVi45OTQuMTEvMDcvMjAyNi4uLlVTRC5IAQAAAEtVAAACAAAABDE2MTEBCAAAAAUAAAABMQEAAAALLTIxNDA5ODE0NjkDAAAAAzE2MAIAAAAEMzA3NQQAAAABMAcAAAAJNy8xMS8yMDI2CAAAAAk2LzMwLzIwMTkJAAAAATDTvrVqb9/eCBckTm5v394IOUNJUS5OQVNEQVE6TVNGVC5JUV9ORVRfV09SS0lOR19DQVAuOTk4LjExLzA3LzIwMjYuLi5VU0QuSAEAAABLVQAAAgAAAAYtMjIyOTUBCAAAAAUAAAABMQEAAAALLTE5MzQyNTQyNTADAAAAAzE2MAIAAAAEMTMxMQQAAAABMAcAAAAJNy8xMS8yMDI2CAAAAAk2LzMwLzIwMjMJAAAAATDTvrVqb9/eCBckTm5v</t>
  </si>
  <si>
    <t>394IM0NJUS5OQVNEQVE6TVNGVC5JUV9ORVRfREVCVC4xMDAwLjExLzA3LzIwMjYuLi5VU0QuSAEAAABLVQAAAgAAAAUxNzYxOQEIAAAABQAAAAExAQAAAAstMTkzNDI1NDIxNgMAAAADMTYwAgAAAAQ0MzY0BAAAAAEwBwAAAAk3LzExLzIwMjYIAAAACTYvMzAvMjAyNQkAAAABMNO+tWpv394IhjhObm/f3ghAQ0lRLk5BU0RBUTpNU0ZULklRX1RPVEFMX0RFQlRfTk9OX0NVUlJFTlQuOTk0LjExLzA3LzIwMjYuLi5VU0QuSAEAAABLVQAAAgAAAAU3OTEwNwEIAAAABQAAAAExAQAAAAstMjE0MDk4MTQ2OQMAAAADMTYwAgAAAAUyNTIyNAQAAAABMAcAAAAJNy8xMS8yMDI2CAAAAAk2LzMwLzIwMTkJAAAAATDTvrVqb9/eCIY4Tm5v394IS0NJUS5OQVNEQVE6TVNGVC5JUV9HRU5FUkFMX1BBUlRORVJfTUlOT1JJVFlfSU5URVJFU1QuOTk0LjExLzA3LzIwMjYuLi5VU0QuSAEAAABLVQAAAwAAAAAA0761am/f3giID05ub9/eCEhDSVEuTkFTREFROk1TRlQuSVFfR0VORVJBTF9QQVJUTkVSX0NPTU1PTl9FUVVJVFkuMTAwMC4xMS8wNy8yMDI2Li4uVVNELkgBAAAAS1UAAAMAAAAAANO+tWpv394IFyRObm/f3ghFQ0lRLk5BU0RBUTpNU0ZULklRX0RFRl9UQVhfVkFMVUFUSU9OX0FMTE9XQU5DRS45OTQuMTEvMDcvMjAyNi4uLlVTRC5IAQAAAEtVAAACAAAABDMyMTQBCAAAAAUAAAABMQEAAAALLTIxNDA5ODE0NjkD</t>
  </si>
  <si>
    <t>AAAAAzE2MAIAAAAFNDYwNDUEAAAAATAHAAAACTcvMTEvMjAyNggAAAAJNi8zMC8yMDE5CQAAAAEw0761am/f3ggXJE5ub9/eCD1DSVEuTkFTREFROk1TRlQuSVFfTUlOT1JJVFlfSU5UX1JFREVFTS45OTYuMTEvMDcvMjAyNi4uLlVTRC5IAQAAAEtVAAADAAAAAADTvrVqb9/eCBckTm5v394IMkNJUS5OQVNEQVE6TVNGVC5JUV9TT0ZUV0FSRS45OTguMTEvMDcvMjAyNi4uLlVTRC5IAQAAAEtVAAADAAAAAADTvrVqb9/eCBckTm5v394IT0NJUS5OQVNEQVE6TVNGVC5JUV9MSUFCSUxJVElFU19ORVRUSU5HX09USEVSX0FESlVTVE1FTlRTLjk5NC4xMS8wNy8yMDI2Li4uVVNELkgBAAAAS1UAAAMAAAAAANO+tWpv394IiA9Obm/f3gg+Q0lRLk5BU0RBUTpNU0ZULklRX0xJQUJJTElUSUVTX0xFVkVMXzIuMTAwMC4xMS8wNy8yMDI2Li4uVVNELkgBAAAAS1UAAAIAAAAFNDIyMzIA0761am/f3giID05ub9/eCDtDSVEuTkFTREFROk1TRlQuSVFfQVNTRVRTX0ZBSVJfVkFMVUUuOTk2LjExLzA3LzIwMjYuLi5VU0QuSAEAAABLVQAAAgAAAAYxMjM5ODkA0761am/f3giID05ub9/eCDhDSVEuTkFTREFROk1TRlQuSVFfQVNTRVRTX0xFVkVMXzIuOTk2LjExLzA3LzIwMjYuLi5VU0QuSAEAAABLVQAAAgAAAAUyNzg2OADTvrVqb9/eCIgPTm5v394ITUNJUS5OQVNEQVE6TVNGVC5JUV9MSVFVSURBVElPTl9WQUxVRV9Q</t>
  </si>
  <si>
    <t>UkVGRVJSRURfQ09OVkVSVC45OTguMTEvMDcvMjAyNi4uLlVTRC5IAQAAAEtVAAADAAAAAADTvrVqb9/eCIgPTm5v394IRUNJUS5OQVNEQVE6TVNGVC5JUV9SRVNUUklDVEVEX0NBU0hfTk9OX0NVUlJFTlQuOTk4LjExLzA3LzIwMjYuLi5VU0QuSAEAAABLVQAAAwAAAAAA0761am/f3giZ+01ub9/eCDxDSVEuTkFTREFROk1TRlQuSVFfRklOX0RJVl9TVF9JTlZFU1QuMTAwMC4xMS8wNy8yMDI2Li4uVVNELkgBAAAAS1UAAAMAAAAAANO+tWpv394ImftNbm/f3gg8Q0lRLk5BU0RBUTpNU0ZULklRX0ZJTl9ESVZfQ0FTSF9FUVVJVi45OTQuMTEvMDcvMjAyNi4uLlVTRC5IAQAAAEtVAAADAAAAAADTvrVqb9/eCJn7TW5v394IQENJUS5OQVNEQVE6TVNGVC5JUV9GSU5fRElWX1NUX0RFQlRfVE9UQUwuMTAwMC4xMS8wNy8yMDI2Li4uVVNELkgBAAAAS1UAAAMAAAAAANO+tWpv394ImftNbm/f3ghJQ0lRLk5BU0RBUTpNU0ZULklRX0ZBSVJfVkFMVUVfQ0hBTkdFX0lOQ0xfRUFSTklOR1MuOTk4LjExLzA3LzIwMjYuLi5VU0QuSAEAAABLVQAAAwAAAAAA0761am/f3giID05ub9/eCDhDSVEuTkFTREFROk1TRlQuSVFfQUNDVU1fQU1PUlRfR1cuOTk2LjExLzA3LzIwMjYuLi5VU0QuSAEAAABLVQAAAwAAAAAA0761am/f3gjp001ub9/eCD5DSVEuTkFTREFROk1TRlQuSVFfREVSSVZBVElWRV9BU1NFVFNfTFQuOTk4</t>
  </si>
  <si>
    <t>LjExLzA3LzIwMjYuLi5VU0QuSAEAAABLVQAAAgAAAAIxNgEIAAAABQAAAAExAQAAAAstMTkzNDI1NDI1MAMAAAADMTYwAgAAAAQxMTEwBAAAAAEwBwAAAAk3LzExLzIwMjYIAAAACTYvMzAvMjAyMwkAAAABMNO+tWpv394I6dNNbm/f3ghCQ0lRLk5BU0RBUTpNU0ZULklRX0RFUklWQVRJVkVfTElBQl9DVVJSRU5ULjEwMDAuMTEvMDcvMjAyNi4uLlVTRC5IAQAAAEtVAAACAAAABDE2MzkBCAAAAAUAAAABMQEAAAALLTE5MzQyNTQyMTYDAAAAAzE2MAIAAAAFNDA0MTcEAAAAATAHAAAACTcvMTEvMjAyNggAAAAJNi8zMC8yMDI1CQAAAAEw0761am/f3gjp001ub9/eCD1DSVEuTkFTREFROk1TRlQuSVFfTFRfREVCVF9ERVJJVkFUSVZFUy45OTQuMTEvMDcvMjAyNi4uLlVTRC5IAQAAAEtVAAADAAAAAADTvrVqb9/eCJn7TW5v394IQENJUS5OQVNEQVE6TVNGVC5JUV9DT05USU5HRU5UX0xJQUJJTElUSUVTLjk5Ni4xMS8wNy8yMDI2Li4uVVNELkgBAAAAS1UAAAMAAAAAANO+tWpv394ImftNbm/f3ghJQ0lRLk5BU0RBUTpNU0ZULklRX0ZBSVJfVkFMVUVfQ0hBTkdFX0lOQ0xfRUFSTklOR1MuOTk3LjExLzA3LzIwMjYuLi5VU0QuSAEAAABLVQAAAwAAAAAA0761am/f3gjp001ub9/eCD1DSVEuTkFTREFROk1TRlQuSVFfSU5URVJDT01QQU5ZX05PTl9DTC45OTguMTEvMDcvMjAyNi4uLlVTRC5IAQAAAEtVAAAD</t>
  </si>
  <si>
    <t>AAAAAADTvrVqb9/eCOnTTW5v394IPUNJUS5OQVNEQVE6TVNGVC5JUV9JTlRFUkNPTVBBTllfTk9OX0NBLjk5NC4xMS8wNy8yMDI2Li4uVVNELkgBAAAAS1UAAAMAAAAAANO+tWpv394I6dNNbm/f3gg0Q0lRLk5BU0RBUTpNU0ZULklRX0lOVEFOX05FVC4xMDAwLjExLzA3LzIwMjYuLi5VU0QuSAEAAABLVQAAAgAAAAUyMjYwNAEIAAAABQAAAAExAQAAAAstMTkzNDI1NDIxNgMAAAADMTYwAgAAAAU0ODk2MgQAAAABMAcAAAAJNy8xMS8yMDI2CAAAAAk2LzMwLzIwMjUJAAAAATDTvrVqb9/eCOnTTW5v394IMENJUS5OQVNEQVE6TVNGVC5JUV9HV19ORVQuOTk0LjExLzA3LzIwMjYuLi5VU0QuSAEAAABLVQAAAgAAAAU0MjAyNgEIAAAABQAAAAExAQAAAAstMjE0MDk4MTQ2OQMAAAADMTYwAgAAAAU0ODk2MAQAAAABMAcAAAAJNy8xMS8yMDI2CAAAAAk2LzMwLzIwMTkJAAAAATDTvrVqb9/eCOnTTW5v394IPUNJUS5OQVNEQVE6TVNGVC5JUV9TVF9ERUJUX0RFUklWQVRJVkVTLjk5OS4xMS8wNy8yMDI2Li4uVVNELkgBAAAAS1UAAAMAAAAAANO+tWpv394Ilr9Nbm/f3ghAQ0lRLk5BU0RBUTpNU0ZULklRX0NPTlRJTkdFTlRfTElBQklMSVRJRVMuOTk1LjExLzA3LzIwMjYuLi5VU0QuSAEAAABLVQAAAwAAAAAA0761am/f3giWv01ub9/eCEVDSVEuTkFTREFROk1TRlQuSVFfUkVTVFJJQ1RFRF9DQVNIX05PTl9D</t>
  </si>
  <si>
    <t>VVJSRU5ULjk5Ny4xMS8wNy8yMDI2Li4uVVNELkgBAAAAS1UAAAMAAAAAANO+tWpv394I6dNNbm/f3gg8Q0lRLk5BU0RBUTpNU0ZULklRX0RFQlRfRVFVSVZfTkVUX1BCTy45OTcuMTEvMDcvMjAyNi4uLlVTRC5IAQAAAEtVAAADAAAAAADTvrVqb9/eCOnTTW5v394IP0NJUS5OQVNEQVE6TVNGVC5JUV9GSU5fRElWX1NUX0RFQlRfVE9UQUwuOTk5LjExLzA3LzIwMjYuLi5VU0QuSAEAAABLVQAAAwAAAAAA0761am/f3gjp001ub9/eCD1DSVEuTkFTREFROk1TRlQuSVFfSU5URVJDT01QQU5ZX05PTl9DTC45OTcuMTEvMDcvMjAyNi4uLlVTRC5IAQAAAEtVAAADAAAAAADTvrVqb9/eCOqrTW5v394IM0NJUS5OQVNEQVE6TVNGVC5JUV9JTlRBTl9ORVQuOTk5LjExLzA3LzIwMjYuLi5VU0QuSAEAAABLVQAAAgAAAAUyNzU5NwEIAAAABQAAAAExAQAAAAstMTkzNDI1NDE4NQMAAAADMTYwAgAAAAU0ODk2MgQAAAABMAcAAAAJNy8xMS8yMDI2CAAAAAk2LzMwLzIwMjQJAAAAATDTvrVqb9/eCOqrTW5v394IOENJUS5OQVNEQVE6TVNGVC5JUV9BQ0NVTV9BTU9SVF9HVy45OTUuMTEvMDcvMjAyNi4uLlVTRC5IAQAAAEtVAAADAAAAAADTvrVqb9/eCJa/TW5v394IPkNJUS5OQVNEQVE6TVNGVC5JUV9ERVJJVkFUSVZFX0FTU0VUU19MVC45OTcuMTEvMDcvMjAyNi4uLlVTRC5IAQAAAEtVAAADAAAAAADTvrVqb9/eCJa/</t>
  </si>
  <si>
    <t>TW5v394IQUNJUS5OQVNEQVE6TVNGVC5JUV9ERVJJVkFUSVZFX0xJQUJfQ1VSUkVOVC45OTkuMTEvMDcvMjAyNi4uLlVTRC5IAQAAAEtVAAACAAAAAzQwMQEIAAAABQAAAAExAQAAAAstMTkzNDI1NDE4NQMAAAADMTYwAgAAAAU0MDQxNwQAAAABMAcAAAAJNy8xMS8yMDI2CAAAAAk2LzMwLzIwMjQJAAAAATDTvrVqb9/eCJa/TW5v394IQUNJUS5OQVNEQVE6TVNGVC5JUV9NSU5PUklUWV9JTlRFUkVTVF9UT1RBTC45OTYuMTEvMDcvMjAyNi4uLlVTRC5IAQAAAEtVAAADAAAAAADTvrVqb9/eCKOETW5v394INENJUS5OQVNEQVE6TVNGVC5JUV9UT1RBTF9ERUJULjk5OC4xMS8wNy8yMDI2Li4uVVNELkgBAAAAS1UAAAIAAAAFNzk0NDEBCAAAAAUAAAABMQEAAAALLTE5MzQyNTQyNTADAAAAAzE2MAIAAAAENDE3MwQAAAABMAcAAAAJNy8xMS8yMDI2CAAAAAk2LzMwLzIwMjMJAAAAATDTvrVqb9/eCKOETW5v394IPUNJUS5OQVNEQVE6TVNGVC5JUV9UQlZfU0hBUkVfUkVQT1JURUQuMTAwMC4xMS8wNy8yMDI2Li4uVVNELkgBAAAAS1UAAAMAAAAAANO+tWpv394Io4RNbm/f3ggzQ0lRLk5BU0RBUTpNU0ZULklRX1RCVl9TSEFSRS45OTQuMTEvMDcvMjAyNi4uLlVTRC5IAQAAAEtVAAACAAAACDYuODc2MDk1AQgAAAAFAAAAATEBAAAACy0yMTQwOTgxNDY5AwAAAAMxNjACAAAABDQxNTYEAAAAATAHAAAACTcvMTEv</t>
  </si>
  <si>
    <t>MjAyNggAAAAJNi8zMC8yMDE5CQAAAAEw0761am/f3gjqq01ub9/eCFJDSVEuTkFTREFROk1TRlQuSVFfRklOQU5DSU5HX09CTElHX0NVUlJFTlRfRVhDTF9PUEVSX0xFQVNFUy45OTguMTEvMDcvMjAyNi4uLlVTRC5IAQAAAEtVAAACAAAABDY0NDQBCAAAAAUAAAABMQEAAAALLTE5MzQyNTQyNTADAAAAAzE2MAIAAAAFNDg5ODAEAAAAATAHAAAACTcvMTEvMjAyNggAAAAJNi8zMC8yMDIzCQAAAAEw0761am/f3gjqq01ub9/eCDJDSVEuTkFTREFROk1TRlQuSVFfU09GVFdBUkUuOTk2LjExLzA3LzIwMjYuLi5VU0QuSAEAAABLVQAAAwAAAAAA0761am/f3gijhE1ub9/eCC5DSVEuTkFTREFROk1TRlQuSVFfTEFORC45OTYuMTEvMDcvMjAyNi4uLlVTRC5IAQAAAEtVAAACAAAABDM2NjABCAAAAAUAAAABMQEAAAALLTIwMzY4NDM4NDMDAAAAAzE2MAIAAAAEMzA5OAQAAAABMAcAAAAJNy8xMS8yMDI2CAAAAAk2LzMwLzIwMjEJAAAAATDTvrVqb9/eCKOETW5v394IMUNJUS5OQVNEQVE6TVNGVC5JUV9SQVdfSU5WLjk5OC4xMS8wNy8yMDI2Li4uVVNELkgBAAAAS1UAAAIAAAADNzA5AQgAAAAFAAAAATEBAAAACy0xOTM0MjU0MjUwAwAAAAMxNjACAAAABDMxNzEEAAAAATAHAAAACTcvMTEvMjAyNggAAAAJNi8zMC8yMDIzCQAAAAEw0761am/f3gijhE1ub9/eCDhDSVEuTkFTREFROk1TRlQuSVFfRVFVSVRZX01F</t>
  </si>
  <si>
    <t>VEhPRC4xMDAwLjExLzA3LzIwMjYuLi5VU0QuSAEAAABLVQAAAwAAAAAA0761am/f3gijhE1ub9/eCDpDSVEuTkFTREFROk1TRlQuSVFfQUxMT1dfRE9VQlRfQUNDVC45OTQuMTEvMDcvMjAyNi4uLlVTRC5IAQAAAEtVAAACAAAAAzQxMQEIAAAABQAAAAExAQAAAAstMjE0MDk4MTQ2OQMAAAADMTYwAgAAAAQzMDEyBAAAAAEwBwAAAAk3LzExLzIwMjYIAAAACTYvMzAvMjAxOQkAAAABMNO+tWpv394Io4RNbm/f3ghNQ0lRLk5BU0RBUTpNU0ZULklRX0xJUVVJREFUSU9OX1ZBTFVFX1BSRUZFUlJFRF9DT05WRVJULjk5Ni4xMS8wNy8yMDI2Li4uVVNELkgBAAAAS1UAAAMAAAAAANO+tWpv394I9XBNbm/f3ghHQ0lRLk5BU0RBUTpNU0ZULklRX0dFTkVSQUxfUEFSVE5FUl9DT01NT05fRVFVSVRZLjk5OC4xMS8wNy8yMDI2Li4uVVNELkgBAAAAS1UAAAMAAAAAANO+tWpv394I9XBNbm/f3ghBQ0lRLk5BU0RBUTpNU0ZULklRX01JTk9SSVRZX0lOVF9SRURFRU1fVE9ULjk5OC4xMS8wNy8yMDI2Li4uVVNELkgBAAAAS1UAAAMAAAAAANO+tWpv394I9XBNbm/f3gg9Q0lRLk5BU0RBUTpNU0ZULklRX01JTk9SSVRZX0lOVF9SRURFRU0uOTk0LjExLzA3LzIwMjYuLi5VU0QuSAEAAABLVQAAAwAAAAAA0761am/f3gj1cE1ub9/eCC5DSVEuTkFTREFROk1TRlQuSVFfQ0lQLjEwMDAuMTEvMDcvMjAyNi4uLlVTRC5IAQAA</t>
  </si>
  <si>
    <t>AEtVAAADAAAAAADTvrVqb9/eCKOETW5v394ISUNJUS5OQVNEQVE6TVNGVC5JUV9GQUlSX1ZBTFVFX0NIQU5HRV9JTkNMX0VBUk5JTkdTLjk5Ni4xMS8wNy8yMDI2Li4uVVNELkgBAAAAS1UAAAMAAAAAANO+tWpv394In0lNbm/f3gg9Q0lRLk5BU0RBUTpNU0ZULklRX0xJQUJJTElUSUVTX0xFVkVMXzIuOTk4LjExLzA3LzIwMjYuLi5VU0QuSAEAAABLVQAAAgAAAAU0NzAwNQDTvrVqb9/eCJ9JTW5v394IOUNJUS5OQVNEQVE6TVNGVC5JUV9BU1NFVFNfTEVWRUxfMy4xMDAwLjExLzA3LzIwMjYuLi5VU0QuSAEAAABLVQAAAgAAAAQyOTQ0ANO+tWpv394In0lNbm/f3gg4Q0lRLk5BU0RBUTpNU0ZULklRX0FTU0VUU19MRVZFTF8yLjk5NC4xMS8wNy8yMDI2Li4uVVNELkgBAAAAS1UAAAIAAAAFMjMyMDIA0761am/f3gj1cE1ub9/eCE1DSVEuTkFTREFROk1TRlQuSVFfTElRVUlEQVRJT05fVkFMVUVfUFJFRkVSUkVEX1JFREVFTS4xMDAwLjExLzA3LzIwMjYuLi5VU0QuSAEAAABLVQAAAwAAAAAA0761am/f3gj1cE1ub9/eCEBDSVEuTkFTREFROk1TRlQuSVFfQ09OVElOR0VOVF9MSUFCSUxJVElFUy45OTQuMTEvMDcvMjAyNi4uLlVTRC5IAQAAAEtVAAADAAAAAADTvrVqb9/eCJ9JTW5v394IPkNJUS5OQVNEQVE6TVNGVC5JUV9UT1RBTF9ERUJUX0VYQ0xfRklOLjEwMDAuMTEvMDcvMjAyNi4uLlVTRC5IAQAA</t>
  </si>
  <si>
    <t>AEtVAAACAAAABjExMjE4NAEIAAAABQAAAAExAQAAAAstMTkzNDI1NDIxNgMAAAADMTYwAgAAAAUyMTg2MAQAAAABMAcAAAAJNy8xMS8yMDI2CAAAAAk2LzMwLzIwMjUJAAAAATDTvrVqb9/eCJ9JTW5v394IP0NJUS5OQVNEQVE6TVNGVC5JUV9SRVNUUklDVEVEX0NBU0hfVE9UQUwuOTk0LjExLzA3LzIwMjYuLi5VU0QuSAEAAABLVQAAAwAAAAAA0761am/f3gifSU1ub9/eCDxDSVEuTkFTREFROk1TRlQuSVFfREVCVF9FUVVJVl9ORVRfUEJPLjk5Ni4xMS8wNy8yMDI2Li4uVVNELkgBAAAAS1UAAAMAAAAAANO+tWpv394In0lNbm/f3gg/Q0lRLk5BU0RBUTpNU0ZULklRX0ZJTl9ESVZfU1RfREVCVF9UT1RBTC45OTguMTEvMDcvMjAyNi4uLlVTRC5IAQAAAEtVAAADAAAAAADTvrVqb9/eCJ9JTW5v394IOENJUS5OQVNEQVE6TVNGVC5JUV9BQ0NVTV9BTU9SVF9HVy45OTQuMTEvMDcvMjAyNi4uLlVTRC5IAQAAAEtVAAADAAAAAADTvrVqb9/eCJ9JTW5v394IQ0NJUS5OQVNEQVE6TVNGVC5JUV9BQ0NVTV9BTU9SVF9JTlRBTl9BU1NFVFMuMTAwMC4xMS8wNy8yMDI2Li4uVVNELkgBAAAAS1UAAAIAAAAGLTIwOTUzAQgAAAAFAAAAATEBAAAACy0xOTM0MjU0MjE2AwAAAAMxNjACAAAABTI0MzMxBAAAAAEwBwAAAAk3LzExLzIwMjYIAAAACTYvMzAvMjAyNQkAAAABMNO+tWpv394In0lNbm/f3gg+Q0lRLk5BU0RB</t>
  </si>
  <si>
    <t>UTpNU0ZULklRX0RFUklWQVRJVkVfQVNTRVRTX0xULjk5Ni4xMS8wNy8yMDI2Li4uVVNELkgBAAAAS1UAAAIAAAACNDMBCAAAAAUAAAABMQEAAAALLTIwMzY4NDM4NDMDAAAAAzE2MAIAAAAEMTExMAQAAAABMAcAAAAJNy8xMS8yMDI2CAAAAAk2LzMwLzIwMjEJAAAAATDTvrVqb9/eCJ9JTW5v394IRUNJUS5OQVNEQVE6TVNGVC5JUV9ERVJJVkFUSVZFX0xJQUJfTk9OX0NVUlJFTlQuOTk2LjExLzA3LzIwMjYuLi5VU0QuSAEAAABLVQAAAgAAAAI1MwEIAAAABQAAAAExAQAAAAstMjAzNjg0Mzg0MwMAAAADMTYwAgAAAAU0MDQxOQQAAAABMAcAAAAJNy8xMS8yMDI2CAAAAAk2LzMwLzIwMjEJAAAAATDTvrVqb9/eCJ9JTW5v394IPUNJUS5OQVNEQVE6TVNGVC5JUV9TVF9ERUJUX0RFUklWQVRJVkVTLjk5OC4xMS8wNy8yMDI2Li4uVVNELkgBAAAAS1UAAAMAAAAAANO+tWpv394In0lNbm/f3gg9Q0lRLk5BU0RBUTpNU0ZULklRX0xJQUJJTElUSUVTX0xFVkVMXzIuOTk3LjExLzA3LzIwMjYuLi5VU0QuSAEAAABLVQAAAgAAAAU1MTQ1MQDTvrVqb9/eCJw1TW5v394IPUNJUS5OQVNEQVE6TVNGVC5JUV9UT1RBTF9SRVZfRU1QTE9ZRUUuMTAwMC4xMS8wNy8yMDI2Li4uVVNELkgBAAAAS1UAAAIAAAAIMTIzNS42MzEBCAAAAAUAAAABMQEAAAALLTE5MzQyNTQyMTYDAAAAAzE2MAIAAAAENDEyMwQAAAABMAcAAAAJ</t>
  </si>
  <si>
    <t>Ny8xMS8yMDI2CAAAAAk2LzMwLzIwMjUJAAAAATDTvrVqb9/eCJw1TW5v394IPUNJUS5OQVNEQVE6TVNGVC5JUV9JTlRFUkNPTVBBTllfTk9OX0NMLjk5Ni4xMS8wNy8yMDI2Li4uVVNELkgBAAAAS1UAAAMAAAAAANO+tWpv394InDVNbm/f3ggzQ0lRLk5BU0RBUTpNU0ZULklRX0lOVEFOX05FVC45OTguMTEvMDcvMjAyNi4uLlVTRC5IAQAAAEtVAAACAAAABDkzNjYBCAAAAAUAAAABMQEAAAALLTE5MzQyNTQyNTADAAAAAzE2MAIAAAAFNDg5NjIEAAAAATAHAAAACTcvMTEvMjAyNggAAAAJNi8zMC8yMDIzCQAAAAEw0761am/f3gicNU1ub9/eCD9DSVEuTkFTREFROk1TRlQuSVFfQURWQU5DRVNfRk9SX1NVUFBMSUVTLjk5OC4xMS8wNy8yMDI2Li4uVVNELkgBAAAAS1UAAAMAAAAAANO+tWpv394InDVNbm/f3gg9Q0lRLk5BU0RBUTpNU0ZULklRX1NUX0RFQlRfREVSSVZBVElWRVMuOTk3LjExLzA3LzIwMjYuLi5VU0QuSAEAAABLVQAAAwAAAAAA0761am/f3gguDk1ub9/eCD1DSVEuTkFTREFROk1TRlQuSVFfVE9UQUxfREVCVF9FWENMX0ZJTi45OTkuMTEvMDcvMjAyNi4uLlVTRC5IAQAAAEtVAAACAAAABTk3ODUyAQgAAAAFAAAAATEBAAAACy0xOTM0MjU0MTg1AwAAAAMxNjACAAAABTIxODYwBAAAAAEwBwAAAAk3LzExLzIwMjYIAAAACTYvMzAvMjAyNAkAAAABMNO+tWpv394ILg5Nbm/f3gg8Q0lRLk5B</t>
  </si>
  <si>
    <t>U0RBUTpNU0ZULklRX0RFQlRfRVFVSVZfTkVUX1BCTy45OTUuMTEvMDcvMjAyNi4uLlVTRC5IAQAAAEtVAAADAAAAAADTvrVqb9/eCC4OTW5v394IP0NJUS5OQVNEQVE6TVNGVC5JUV9GSU5fRElWX1NUX0RFQlRfVE9UQUwuOTk3LjExLzA3LzIwMjYuLi5VU0QuSAEAAABLVQAAAwAAAAAA0761am/f3gguDk1ub9/eCElDSVEuTkFTREFROk1TRlQuSVFfRkFJUl9WQUxVRV9DSEFOR0VfSU5DTF9FQVJOSU5HUy45OTUuMTEvMDcvMjAyNi4uLlVTRC5IAQAAAEtVAAADAAAAAADTvrVqb9/eCJw1TW5v394IPUNJUS5OQVNEQVE6TVNGVC5JUV9JTlRFUkNPTVBBTllfTk9OX0NMLjk5NS4xMS8wNy8yMDI2Li4uVVNELkgBAAAAS1UAAAMAAAAAANO+tWpv394ILg5Nbm/f3gg5Q0lRLk5BU0RBUTpNU0ZULklRX0lOVEVSQ09NUEFOWV9DQS45OTUuMTEvMDcvMjAyNi4uLlVTRC5IAQAAAEtVAAADAAAAAADTvrVqb9/eCC4OTW5v394IP0NJUS5OQVNEQVE6TVNGVC5JUV9BRFZBTkNFU19GT1JfU1VQUExJRVMuOTk3LjExLzA3LzIwMjYuLi5VU0QuSAEAAABLVQAAAwAAAAAA0761am/f3gguDk1ub9/eCEJDSVEuTkFTREFROk1TRlQuSVFfQUNDVU1fQU1PUlRfSU5UQU5fQVNTRVRTLjk5OS4xMS8wNy8yMDI2Li4uVVNELkgBAAAAS1UAAAIAAAAGLTE2OTEyAQgAAAAFAAAAATEBAAAACy0xOTM0MjU0MTg1AwAAAAMxNjACAAAA</t>
  </si>
  <si>
    <t>BTI0MzMxBAAAAAEwBwAAAAk3LzExLzIwMjYIAAAACTYvMzAvMjAyNAkAAAABMNO+tWpv394ILg5Nbm/f3ghFQ0lRLk5BU0RBUTpNU0ZULklRX0RFUklWQVRJVkVfTElBQl9OT05fQ1VSUkVOVC45OTUuMTEvMDcvMjAyNi4uLlVTRC5IAQAAAEtVAAACAAAAAjYxAQgAAAAFAAAAATEBAAAACy0yMDg3NDk2NjI3AwAAAAMxNjACAAAABTQwNDE5BAAAAAEwBwAAAAk3LzExLzIwMjYIAAAACTYvMzAvMjAyMAkAAAABMNO+tWpv394ILg5Nbm/f3gg8Q0lRLk5BU0RBUTpNU0ZULklRX1RPVEFMX1JFVl9FTVBMT1lFRS45OTkuMTEvMDcvMjAyNi4uLlVTRC5IAQAAAEtVAAACAAAACDEwNzUuMDk2AQgAAAAFAAAAATEBAAAACy0xOTM0MjU0MTg1AwAAAAMxNjACAAAABDQxMjMEAAAAATAHAAAACTcvMTEvMjAyNggAAAAJNi8zMC8yMDI0CQAAAAEw0761am/f3gguDk1ub9/eCChDSVEuTkFTREFROk1TRlQuSVFfQ0FTSF9DT05WRVJTSU9OLjIwMDAuAQAAAEtVAAACAAAACC00Ny4xMzYxAQgAAAAFAAAAATEBAAAACy0xODkzMjk4OTk1AwAAAAMxNjACAAAABDQxODQEAAAAATAHAAAACTcvMTEvMjAyNggAAAAJMy8zMS8yMDI2CQAAAAEw0761am/f3ghg+kxub9/eCClDSVEuTkFTREFROk1TRlQuSVFfREFZU19QQVlBQkxFX09VVC4yMDAwLgEAAABLVQAAAgAAAAkxMTQuOTQ4NzIBCAAAAAUAAAABMQEAAAALLTE4OTMyOTg5</t>
  </si>
  <si>
    <t>OTUDAAAAAzE2MAIAAAAENDE4MwQAAAABMAcAAAAJNy8xMS8yMDI2CAAAAAkzLzMxLzIwMjYJAAAAATDTvrVqb9/eCGD6TG5v394IK0NJUS5OQVNEQVE6TVNGVC5JUV9EQVlTX0lOVkVOVE9SWV9PVVQuMjAwMC4BAAAAS1UAAAIAAAAHMy43Mzk3OQEIAAAABQAAAAExAQAAAAstMTg5MzI5ODk5NQMAAAADMTYwAgAAAAQ0MDM1BAAAAAEwBwAAAAk3LzExLzIwMjYIAAAACTMvMzEvMjAyNgkAAAABMNO+tWpv394ILg5Nbm/f3ggoQ0lRLk5BU0RBUTpNU0ZULklRX0lOVkVOVE9SWV9UVVJOUy4yMDAwLgEAAABLVQAAAgAAAAk5Ny41OTM2MTMBCAAAAAUAAAABMQEAAAALLTE4OTMyOTg5OTUDAAAAAzE2MAIAAAAENDA4MgQAAAABMAcAAAAJNy8xMS8yMDI2CAAAAAkzLzMxLzIwMjYJAAAAATDTvrVqb9/eCC4OTW5v394IIUNJUS5OQVNEQVE6TVNGVC5JUV9BUl9UVVJOUy4yMDAwLgEAAABLVQAAAgAAAAg1LjY5NjYxOQEIAAAABQAAAAExAQAAAAstMTg5MzI5ODk5NQMAAAADMTYwAgAAAAQ0MDAxBAAAAAEwBwAAAAk3LzExLzIwMjYIAAAACTMvMzEvMjAyNgkAAAABMNO+tWpv394ILg5Nbm/f3gglQ0lRLk5BU0RBUTpNU0ZULklRX0NVUlJFTlRfUkFUSU8uNTAwLgEAAABLVQAAAgAAAAgxLjI4Mjk0OAEIAAAABQAAAAExAQAAAAstMTg5MzI5OTcwNwMAAAADMTYwAgAAAAQ0MDMwBAAAAAEwBwAAAAk3LzExLzIwMjYI</t>
  </si>
  <si>
    <t>AAAACTMvMzEvMjAyNgkAAAABMNO+tWpv394IYPpMbm/f3ggwQ0lRLk5BU0RBUTpNU0ZULklRX1JFVFVSTl9JTlZFU1RFRF9DQVBJVEFMLjIwMDAuAQAAAEtVAAACAAAABzIwLjU1NjMA0761am/f3ghg+kxub9/eCCZDSVEuTkFTREFROk1TRlQuSVFfUkVUVVJOX0FTU0VUUy4yMDAwLgEAAABLVQAAAgAAAAcxNC44MTQ0AQgAAAAFAAAAATEBAAAACy0xODkzMjk4OTk1AwAAAAMxNjACAAAABDQxNzgEAAAAATAHAAAACTcvMTEvMjAyNggAAAAJMy8zMS8yMDI2CQAAAAEw0761am/f3ghg+kxub9/eCCpDSVEuTkFTREFROk1TRlQuSVFfRklYRURfQVNTRVRfVFVSTlMuMjAwMC4BAAAAS1UAAAIAAAAIMS4yMzM1MDgBCAAAAAUAAAABMQEAAAALLTE4OTMyOTg5OTUDAAAAAzE2MAIAAAAENDA2NgQAAAABMAcAAAAJNy8xMS8yMDI2CAAAAAkzLzMxLzIwMjYJAAAAATDTvrVqb9/eCGD6TG5v394IJENJUS5OQVNEQVE6TVNGVC5JUV9BU1NFVF9UVVJOUy4yMDAwLgEAAABLVQAAAgAAAAcwLjUwNjQ2AQgAAAAFAAAAATEBAAAACy0xODkzMjk4OTk1AwAAAAMxNjACAAAABDQxNzcEAAAAATAHAAAACTcvMTEvMjAyNggAAAAJMy8zMS8yMDI2CQAAAAEw0761am/f3ghg+kxub9/eCClDSVEuTkFTREFROk1TRlQuSVFfVE9UQUxfREVCVF9FUVVJVFkuNTAwLgEAAABLVQAAAgAAAAczMC4yNzA3AQgAAAAFAAAAATEBAAAACy0x</t>
  </si>
  <si>
    <t>ODkzMjk5NzA3AwAAAAMxNjACAAAABDQwMzQEAAAAATAHAAAACTcvMTEvMjAyNggAAAAJMy8zMS8yMDI2CQAAAAEw0761am/f3ggQ00xub9/eCClDSVEuTkFTREFROk1TRlQuSVFfRUJJVERBX0NBUEVYX0lOVC4yMDAwLgEAAABLVQAAAgAAAAkzMi44NzgyNzkBCAAAAAUAAAABMQEAAAALLTE4OTMyOTg5OTUDAAAAAzE2MAIAAAAENDE5MQQAAAABMAcAAAAJNy8xMS8yMDI2CAAAAAkzLzMxLzIwMjYJAAAAATDTvrVqb9/eCBDTTG5v394II0NJUS5OQVNEQVE6TVNGVC5JUV9FQklUREFfSU5ULjIwMDAuAQAAAEtVAAACAAAACTY2Ljg4NDkyNAEIAAAABQAAAAExAQAAAAstMTg5MzI5ODk5NQMAAAADMTYwAgAAAAQ0MTkwBAAAAAEwBwAAAAk3LzExLzIwMjYIAAAACTMvMzEvMjAyNgkAAAABMNO+tWpv394IENNMbm/f3ggnQ0lRLk5BU0RBUTpNU0ZULklRX0RBWVNfU0FMRVNfT1VULjIwMDAuAQAAAEtVAAACAAAACDY0LjA3MjgzAQgAAAAFAAAAATEBAAAACy0xODkzMjk4OTk1AwAAAAMxNjACAAAABDQwNDIEAAAAATAHAAAACTcvMTEvMjAyNggAAAAJMy8zMS8yMDI2CQAAAAEw0761am/f3ggQ00xub9/eCCNDSVEuTkFTREFROk1TRlQuSVFfUVVJQ0tfUkFUSU8uNTAwLgEAAABLVQAAAgAAAAgxLjE0MjAxNQEIAAAABQAAAAExAQAAAAstMTg5MzI5OTcwNwMAAAADMTYwAgAAAAQ0MTIxBAAAAAEwBwAAAAk3LzEx</t>
  </si>
  <si>
    <t>LzIwMjYIAAAACTMvMzEvMjAyNgkAAAABMNO+tWpv394IENNMbm/f3ggrQ0lRLk5BU0RBUTpNU0ZULklRX0VQU18xWVJfQU5OX0dST1dUSC4yMDAwLgEAAABLVQAAAgAAAAcyOS43NTQzAQgAAAAFAAAAATEBAAAACy0xODkzMjk4OTk1AwAAAAMxNjACAAAABDQyMDAEAAAAATAHAAAACTcvMTEvMjAyNggAAAAJMy8zMS8yMDI2CQAAAAEw0761am/f3ggQ00xub9/eCCtDSVEuTkFTREFROk1TRlQuSVFfRVBTXzFZUl9BTk5fR1JPV1RILjEwMDAuAQAAAEtVAAACAAAABzE1LjU5MzIBCAAAAAUAAAABMQEAAAALLTE5MzQyNTQyMTYDAAAAAzE2MAIAAAAENDIwMAQAAAABMAcAAAAJNy8xMS8yMDI2CAAAAAk2LzMwLzIwMjUJAAAAATDTvrVqb9/eCBDTTG5v394IKUNJUS5OQVNEQVE6TVNGVC5JUV9FUFNfM1lSX0FOTl9DQUdSLjIwMDAuAQAAAEtVAAACAAAABzIyLjA3NzYBCAAAAAUAAAABMQEAAAALLTE4OTMyOTg5OTUDAAAAAzE2MAIAAAAENDIyNgQAAAABMAcAAAAJNy8xMS8yMDI2CAAAAAkzLzMxLzIwMjYJAAAAATDTvrVqb9/eCBDTTG5v394IJkNJUS5OQVNEQVE6TVNGVC5JUV9SRVRVUk5fRVFVSVRZLjIwMDAuAQAAAEtVAAACAAAABzM0LjAxNDEBCAAAAAUAAAABMQEAAAALLTE4OTMyOTg5OTUDAAAAAzE2MAIAAAAENDEyOAQAAAABMAcAAAAJNy8xMS8yMDI2CAAAAAkzLzMxLzIwMjYJAAAAATDTvrVqb9/e</t>
  </si>
  <si>
    <t>CBDTTG5v394IKkNJUS5OQVNEQVE6TVNGVC5JUV9UT1RBTF9ERUJUX0NBUElUQUwuNTAwLgEAAABLVQAAAgAAAAcyMy4yMzY3AQgAAAAFAAAAATEBAAAACy0xODkzMjk5NzA3AwAAAAMxNjACAAAABDQxODYEAAAAATAHAAAACTcvMTEvMjAyNggAAAAJMy8zMS8yMDI2CQAAAAEw0761am/f3ggQ00xub9/eCC5DSVEuTkFTREFROk1TRlQuSVFfRUJJVERBXzFZUl9BTk5fR1JPV1RILjEwMDAuAQAAAEtVAAACAAAABzIwLjkzMzYBCAAAAAUAAAABMQEAAAALLTE5MzQyNTQyMTYDAAAAAzE2MAIAAAAENDE5NgQAAAABMAcAAAAJNy8xMS8yMDI2CAAAAAk2LzMwLzIwMjUJAAAAATDTvrVqb9/eCM2+TG5v394ILENJUS5OQVNEQVE6TVNGVC5JUV9FQklUREFfM1lSX0FOTl9DQUdSLjIwMDAuAQAAAEtVAAACAAAABzIzLjAyNjEBCAAAAAUAAAABMQEAAAALLTE4OTMyOTg5OTUDAAAAAzE2MAIAAAAENDIyMgQAAAABMAcAAAAJNy8xMS8yMDI2CAAAAAkzLzMxLzIwMjYJAAAAATDTvrVqb9/eCM2+TG5v394ILENJUS5OQVNEQVE6TVNGVC5JUV9FQklUREFfNVlSX0FOTl9DQUdSLjIwMDAuAQAAAEtVAAACAAAABzE5LjQ3NzYBCAAAAAUAAAABMQEAAAALLTE4OTMyOTg5OTUDAAAAAzE2MAIAAAAENDIzNQQAAAABMAcAAAAJNy8xMS8yMDI2CAAAAAkzLzMxLzIwMjYJAAAAATDTvrVqb9/eCBDTTG5v394IKENJUS5OQVNEQVE6</t>
  </si>
  <si>
    <t>TVNGVC5JUV9ORVRfREVCVF9FQklUREEuMjAwMC4BAAAAS1UAAAIAAAAIMC4yNDY4NTEBCAAAAAUAAAABMQEAAAALLTE4OTMyOTg5OTUDAAAAAzE2MAIAAAAENDE5MwQAAAABMAcAAAAJNy8xMS8yMDI2CAAAAAkzLzMxLzIwMjYJAAAAATDTvrVqb9/eCBDTTG5v394IKkNJUS5OQVNEQVE6TVNGVC5JUV9UT1RBTF9ERUJUX0VCSVREQS4yMDAwLgEAAABLVQAAAgAAAAgwLjY1NTk0MgEIAAAABQAAAAExAQAAAAstMTg5MzI5ODk5NQMAAAADMTYwAgAAAAQ0MTkyBAAAAAEwBwAAAAk3LzExLzIwMjYIAAAACTMvMzEvMjAyNgkAAAABMNO+tWpv394IENNMbm/f3ggvQ0lRLk5BU0RBUTpNU0ZULklRX1RPVEFMX1JFVl8zWVJfQU5OX0NBR1IuMjAwMC4BAAAAS1UAAAIAAAAHMTUuMzA5MQEIAAAABQAAAAExAQAAAAstMTg5MzI5ODk5NQMAAAADMTYwAgAAAAQ0MjIwBAAAAAEwBwAAAAk3LzExLzIwMjYIAAAACTMvMzEvMjAyNgkAAAABMNO+tWpv394Izb5Mbm/f3ggvQ0lRLk5BU0RBUTpNU0ZULklRX1RPVEFMX1JFVl81WVJfQU5OX0NBR1IuMjAwMC4BAAAAS1UAAAIAAAAFMTQuNzUBCAAAAAUAAAABMQEAAAALLTE4OTMyOTg5OTUDAAAAAzE2MAIAAAAENDIzMwQAAAABMAcAAAAJNy8xMS8yMDI2CAAAAAkzLzMxLzIwMjYJAAAAATDTvrVqb9/eCM2+TG5v394IIkNJUS5OQVNEQVE6TVNGVC5JUV9OSV9NQVJHSU4uMjAw</t>
  </si>
  <si>
    <t>MC4BAAAAS1UAAAIAAAAHMzkuMzQyMwEIAAAABQAAAAExAQAAAAstMTg5MzI5ODk5NQMAAAADMTYwAgAAAAQ0MDk0BAAAAAEwBwAAAAk3LzExLzIwMjYIAAAACTMvMzEvMjAyNgkAAAABMNO+tWpv394Izb5Mbm/f3ggpQ0lRLk5BU0RBUTpNU0ZULklRX0VQU181WVJfQU5OX0NBR1IuMjAwMC4BAAAAS1UAAAIAAAAGMTguMDAyAQgAAAAFAAAAATEBAAAACy0xODkzMjk4OTk1AwAAAAMxNjACAAAABDQyMzkEAAAAATAHAAAACTcvMTEvMjAyNggAAAAJMy8zMS8yMDI2CQAAAAEw0761am/f3gjNvkxub9/eCC5DSVEuTkFTREFROk1TRlQuSVFfRUJJVERBXzFZUl9BTk5fR1JPV1RILjIwMDAuAQAAAEtVAAACAAAABzI1Ljk3NTQBCAAAAAUAAAABMQEAAAALLTE4OTMyOTg5OTUDAAAAAzE2MAIAAAAENDE5NgQAAAABMAcAAAAJNy8xMS8yMDI2CAAAAAkzLzMxLzIwMjYJAAAAATDTvrVqb9/eCM2+TG5v394IIUNJUS5OQVNEQVE6TVNGVC5JUV9OSV9NQVJHSU4uOTk4LgEAAABLVQAAAgAAAAczNC4xNDYyAQgAAAAFAAAAATEBAAAACy0xOTM0MjU0MjUwAwAAAAMxNjACAAAABDQwOTQEAAAAATAHAAAACTcvMTEvMjAyNggAAAAJNi8zMC8yMDIzCQAAAAEw0761am/f3gjoqExub9/eCCZDSVEuTkFTREFROk1TRlQuSVFfRUJJVERBX01BUkdJTi4yMDAwLgEAAABLVQAAAgAAAAc1Ny45NTU1AQgAAAAFAAAAATEBAAAACy0x</t>
  </si>
  <si>
    <t>ODkzMjk4OTk1AwAAAAMxNjACAAAABDQwNDcEAAAAATAHAAAACTcvMTEvMjAyNggAAAAJMy8zMS8yMDI2CQAAAAEw0761am/f3gjoqExub9/eCCZDSVEuTkFTREFROk1TRlQuSVFfRUJJVERBX01BUkdJTi4xMDAwLgEAAABLVQAAAgAAAAc1NS41NjA3AQgAAAAFAAAAATEBAAAACy0xOTM0MjU0MjE2AwAAAAMxNjACAAAABDQwNDcEAAAAATAHAAAACTcvMTEvMjAyNggAAAAJNi8zMC8yMDI1CQAAAAEw0761am/f3gjoqExub9/eCDFDSVEuTkFTREFROk1TRlQuSVFfVE9UQUxfUkVWXzFZUl9BTk5fR1JPV1RILjIwMDAuAQAAAEtVAAACAAAABzE3Ljg3NDUBCAAAAAUAAAABMQEAAAALLTE4OTMyOTg5OTUDAAAAAzE2MAIAAAAENDE5NAQAAAABMAcAAAAJNy8xMS8yMDI2CAAAAAkzLzMxLzIwMjYJAAAAATDTvrVqb9/eCOioTG5v394IMUNJUS5OQVNEQVE6TVNGVC5JUV9UT1RBTF9SRVZfMVlSX0FOTl9HUk9XVEguMTAwMC4BAAAAS1UAAAIAAAAHMTQuOTMyMQEIAAAABQAAAAExAQAAAAstMTkzNDI1NDIxNgMAAAADMTYwAgAAAAQ0MTk0BAAAAAEwBwAAAAk3LzExLzIwMjYIAAAACTYvMzAvMjAyNQkAAAABMNO+tWpv394I6KhMbm/f3gglQ0lRLk5BU0RBUTpNU0ZULklRX0dST1NTX01BUkdJTi4yMDAwLgEAAABLVQAAAgAAAAc2OC4zMDkyAQgAAAAFAAAAATEBAAAACy0xODkzMjk4OTk1AwAAAAMxNjACAAAABDQw</t>
  </si>
  <si>
    <t>NzQEAAAAATAHAAAACTcvMTEvMjAyNggAAAAJMy8zMS8yMDI2CQAAAAEw0761am/f3gjhk0xub9/eCCVDSVEuTkFTREFROk1TRlQuSVFfR1JPU1NfTUFSR0lOLjEwMDAuAQAAAEtVAAACAAAABzY4LjgyMzcBCAAAAAUAAAABMQEAAAALLTE5MzQyNTQyMTYDAAAAAzE2MAIAAAAENDA3NAQAAAABMAcAAAAJNy8xMS8yMDI2CAAAAAk2LzMwLzIwMjUJAAAAATDTvrVqb9/eCOGTTG5v394IJENJUS5OQVNEQVE6TVNGVC5JUV9HUk9TU19NQVJHSU4uOTk5LgEAAABLVQAAAgAAAAc2OS43NjQ0AQgAAAAFAAAAATEBAAAACy0xOTM0MjU0MTg1AwAAAAMxNjACAAAABDQwNzQEAAAAATAHAAAACTcvMTEvMjAyNggAAAAJNi8zMC8yMDI0CQAAAAEw0761am/f3gjoqExub9/eCCJDSVEuTkFTREFROk1TRlQuSVFfTklfTUFSR0lOLjEwMDAuAQAAAEtVAAACAAAABjM2LjE0NgEIAAAABQAAAAExAQAAAAstMTkzNDI1NDIxNgMAAAADMTYwAgAAAAQ0MDk0BAAAAAEwBwAAAAk3LzExLzIwMjYIAAAACTYvMzAvMjAyNQkAAAABMNO+tWpv394I6KhMbm/f3gghQ0lRLk5BU0RBUTpNU0ZULklRX05JX01BUkdJTi45OTkuAQAAAEtVAAACAAAABzM1Ljk1NTkBCAAAAAUAAAABMQEAAAALLTE5MzQyNTQxODUDAAAAAzE2MAIAAAAENDA5NAQAAAABMAcAAAAJNy8xMS8yMDI2CAAAAAk2LzMwLzIwMjQJAAAAATDTvrVqb9/eCOioTG5v394I</t>
  </si>
  <si>
    <t>JUNJUS5OQVNEQVE6TVNGVC5JUV9FQklUREFfTUFSR0lOLjk5OS4BAAAAS1UAAAIAAAAHNTIuODAzNQEIAAAABQAAAAExAQAAAAstMTkzNDI1NDE4NQMAAAADMTYwAgAAAAQ0MDQ3BAAAAAEwBwAAAAk3LzExLzIwMjYIAAAACTYvMzAvMjAyNAkAAAABMNO+tWpv394I4ZNMbm/f3gglQ0lRLk5BU0RBUTpNU0ZULklRX0VCSVREQV9NQVJHSU4uOTk4LgEAAABLVQAAAgAAAAc0OC4xNDMzAQgAAAAFAAAAATEBAAAACy0xOTM0MjU0MjUwAwAAAAMxNjACAAAABDQwNDcEAAAAATAHAAAACTcvMTEvMjAyNggAAAAJNi8zMC8yMDIzCQAAAAEw0761am/f3gjhk0xub9/eCCRDSVEuTkFTREFROk1TRlQuSVFfR1JPU1NfTUFSR0lOLjk5OC4BAAAAS1UAAAIAAAAFNjguOTIBCAAAAAUAAAABMQEAAAALLTE5MzQyNTQyNTADAAAAAzE2MAIAAAAENDA3NAQAAAABMAcAAAAJNy8xMS8yMDI2CAAAAAk2LzMwLzIwMjMJAAAAATDTvrVqb9/eCFx/TG5v394II0NJUS5OQVNEQVE6TVNGVC5JUV9QRVJJT0REQVRFLjIwMDAuAQAAAEtVAAAFAAAACjMxLzAzLzIwMjYA0761am/f3ghya0xub9/eCCNDSVEuTkFTREFROk1TRlQuSVFfUEVSSU9EREFURS4xMDAwLgEAAABLVQAABQAAAAozMC8wNi8yMDI1ANO+tWpv394IcmtMbm/f3ggxQ0lRLk5BU0RBUTpNU0ZULklRX0dQXzVZUl9BTk5fQ0FHUi45OTMuMTEvMDcvMjAyNgEAAABLVQAA</t>
  </si>
  <si>
    <t>AgAAAAY0LjYxNTQBCAAAAAUAAAABMQEAAAAKMjA0NzI3MTc0NQMAAAADMTYwAgAAAAQ0MjM0BAAAAAEwBwAAAAk3LzExLzIwMjYIAAAACTYvMzAvMjAxOAkAAAABMNO+tWpv394IqRdMbm/f3ggyQ0lRLk5BU0RBUTpNU0ZULklRX0VQU181WVJfQU5OX0NBR1IuOTkxLjExLzA3LzIwMjYBAAAAS1UAAAIAAAAHLTAuOTg1OAEIAAAABQAAAAExAQAAAAoxODk4NDg5NDcwAwAAAAMxNjACAAAABDQyMzkEAAAAATAHAAAACTcvMTEvMjAyNggAAAAJNi8zMC8yMDE2CQAAAAEw0761am/f3gipF0xub9/eCDpDSVEuTkFTREFROk1TRlQuSVFfVE9UQUxfUkVWXzFZUl9BTk5fR1JPV1RILjk5My4xMS8wNy8yMDI2AQAAAEtVAAACAAAABzE0LjI3ODYBCAAAAAUAAAABMQEAAAAKMjA0NzI3MTc0NQMAAAADMTYwAgAAAAQ0MTk0BAAAAAEwBwAAAAk3LzExLzIwMjYIAAAACTYvMzAvMjAxOAkAAAABMNO+tWpv394I7D5Mbm/f3ggzQ0lRLk5BU0RBUTpNU0ZULklRX05JXzFZUl9BTk5fR1JPV1RILjk5MS4xMS8wNy8yMDI2AQAAAEtVAAACAAAABzY4LjQ0OTEBCAAAAAUAAAABMQEAAAAKMTg5ODQ4OTQ3MAMAAAADMTYwAgAAAAQ0MTk5BAAAAAEwBwAAAAk3LzExLzIwMjYIAAAACTYvMzAvMjAxNgkAAAABMNO+tWpv394I7D5Mbm/f3ggyQ0lRLk5BU0RBUTpNU0ZULklRX0dQXzNZUl9BTk5fQ0FHUi4yMDAwLjExLzA3LzIwMjYB</t>
  </si>
  <si>
    <t>AAAAS1UAAAIAAAAHMTUuMTg5NgEIAAAABQAAAAExAQAAAAstMTg5MzI5ODk5NQMAAAADMTYwAgAAAAQ0MjIxBAAAAAEwBwAAAAk3LzExLzIwMjYIAAAACTMvMzEvMjAyNgkAAAABMNO+tWpv394I7D5Mbm/f3ghEQ0lRLk5BU0RBUTpNU0ZULklRX1RPVEFMX0RFQlRfRUJJVERBX0VYQ0xfT1BFUl9MRUFTRVMuOTkxLjExLzA3LzIwMjYBAAAAS1UAAAIAAAAIMS42NDk0NTgBCAAAAAUAAAABMQEAAAAKMTg5ODQ4OTQ3MAMAAAADMTYwAgAAAAU0ODk5NAQAAAABMAcAAAAJNy8xMS8yMDI2CAAAAAk2LzMwLzIwMTYJAAAAATDTvrVqb9/eCKkXTG5v394IOkNJUS5OQVNEQVE6TVNGVC5JUV9UT1RBTF9ERUJUX0VCSVREQV9DQVBFWC4yMDAwLjExLzA3LzIwMjYBAAAAS1UAAAIAAAAIMS4zMzQzOTcBCAAAAAUAAAABMQEAAAALLTE4OTMyOTg5OTUDAAAAAzE2MAIAAAAFMjMzMTMEAAAAATAHAAAACTcvMTEvMjAyNggAAAAJMy8zMS8yMDI2CQAAAAEw0761am/f3gipF0xub9/eCEhDSVEuTkFTREFROk1TRlQuSVFfTkVUX0RFQlRfRUJJVERBX0VYQ0xfT1BFUl9MRUFTRVNfQ0FQRVguOTkzLjExLzA3LzIwMjYBAAAAS1UAAAMAAAACTk0BCAAAAAUAAAABMQEAAAAKMjA0NzI3MTc0NQMAAAADMTYwAgAAAAU0OTE4MgQAAAABMAcAAAAJNy8xMS8yMDI2CAAAAAk2LzMwLzIwMTgJAAAAATDTvrVqb9/eCKkXTG5v394INUNJ</t>
  </si>
  <si>
    <t>US5OQVNEQVE6TVNGVC5JUV9UT1RBTF9ERUJUX0NBUElUQUwuMjAwMC4xMS8wNy8yMDI2AQAAAEtVAAACAAAABzIzLjIzNjcBCAAAAAUAAAABMQEAAAALLTE4OTMyOTg5OTUDAAAAAzE2MAIAAAAENDE4NgQAAAABMAcAAAAJNy8xMS8yMDI2CAAAAAkzLzMxLzIwMjYJAAAAATDTvrVqb9/eCKkXTG5v394IOUNJUS5OQVNEQVE6TVNGVC5JUV9UT1RBTF9MSUFCX1RPVEFMX0FTU0VUUy45OTMuMTEvMDcvMjAyNgEAAABLVQAAAgAAAAc2OC4wNDM3AQgAAAAFAAAAATEBAAAACjIwNDcyNzE3NDUDAAAAAzE2MAIAAAAENDE4OAQAAAABMAcAAAAJNy8xMS8yMDI2CAAAAAk2LzMwLzIwMTgJAAAAATDTvrVqb9/eCKkXTG5v394IMkNJUS5OQVNEQVE6TVNGVC5JUV9FQklUREFfQ0FQRVhfSU5ULjk5MS4xMS8wNy8yMDI2AQAAAEtVAAACAAAACTE5Ljg4OTc4MgEIAAAABQAAAAExAQAAAAoxODk4NDg5NDcwAwAAAAMxNjACAAAABDQxOTEEAAAAATAHAAAACTcvMTEvMjAyNggAAAAJNi8zMC8yMDE2CQAAAAEw0761am/f3gipF0xub9/eCDJDSVEuTkFTREFROk1TRlQuSVFfQ0ZPX0NVUlJFTlRfTElBQi45OTEuMTEvMDcvMjAyNgEAAABLVQAAAgAAAAgwLjU2MTQzMwEIAAAABQAAAAExAQAAAAoxODk4NDg5NDcwAwAAAAMxNjACAAAABDQxODUEAAAAATAHAAAACTcvMTEvMjAyNggAAAAJNi8zMC8yMDE2CQAAAAEw0761am/f</t>
  </si>
  <si>
    <t>3gipF0xub9/eCDNDSVEuTkFTREFROk1TRlQuSVFfREFZU19QQVlBQkxFX09VVC4yMDAwLjExLzA3LzIwMjYBAAAAS1UAAAIAAAAJMTE0Ljk0ODcyAQgAAAAFAAAAATEBAAAACy0xODkzMjk4OTk1AwAAAAMxNjACAAAABDQxODMEAAAAATAHAAAACTcvMTEvMjAyNggAAAAJMy8zMS8yMDI2CQAAAAEw0761am/f3gipF0xub9/eCDBDSVEuTkFTREFROk1TRlQuSVFfRUJJVERBX01BUkdJTi4yMDAwLjExLzA3LzIwMjYBAAAAS1UAAAIAAAAHNTcuOTU1NQEIAAAABQAAAAExAQAAAAstMTg5MzI5ODk5NQMAAAADMTYwAgAAAAQ0MDQ3BAAAAAEwBwAAAAk3LzExLzIwMjYIAAAACTMvMzEvMjAyNgkAAAABMNO+tWpv394IqRdMbm/f3ggqQ0lRLk5BU0RBUTpNU0ZULklRX0FSX1RVUk5TLjk5My4xMS8wNy8yMDI2AQAAAEtVAAACAAAACDQuNTEyNTk0AQgAAAAFAAAAATEBAAAACjIwNDcyNzE3NDUDAAAAAzE2MAIAAAAENDAwMQQAAAABMAcAAAAJNy8xMS8yMDI2CAAAAAk2LzMwLzIwMTgJAAAAATDTvrVqb9/eCKkXTG5v394IKUNJUS5OQVNEQVE6TVNGVC5JUV9HQUFQX0JTLjk5My4xMS8wNy8yMDI2AQAAAEtVAAADAAAAB1VTIEdBQVAA0761am/f3gjnA0xub9/eCC9DSVEuTkFTREFROk1TRlQuSVFfUkVUVVJOX0VRVUlUWS45OTEuMTEvMDcvMjAyNgEAAABLVQAAAgAAAAcyNy4wMTA3AQgAAAAFAAAAATEBAAAACjE4</t>
  </si>
  <si>
    <t>OTg0ODk0NzADAAAAAzE2MAIAAAAENDEyOAQAAAABMAcAAAAJNy8xMS8yMDI2CAAAAAk2LzMwLzIwMTYJAAAAATDTvrVqb9/eCOcDTG5v394IQUNJUS5OQVNEQVE6TVNGVC5JUV9FTVBMT1lFRVNfVU5ERVJfVU5JT05fQ09OVFJBQ1RTLjk5My4xMS8wNy8yMDI2AQAAAEtVAAADAAAAAADTvrVqb9/eCOcDTG5v394IMkNJUS5OQVNEQVE6TVNGVC5JUV9FUFNfNVlSX0FOTl9DQUdSLjk5Mi4xMS8wNy8yMDI2AQAAAEtVAAACAAAABzEwLjE5NzIBCAAAAAUAAAABMQEAAAAKMTk3MzM4MDk1MQMAAAADMTYwAgAAAAQ0MjM5BAAAAAEwBwAAAAk3LzExLzIwMjYIAAAACTYvMzAvMjAxNwkAAAABMNO+tWpv394I5wNMbm/f3ggzQ0lRLk5BU0RBUTpNU0ZULklRX05JXzFZUl9BTk5fR1JPV1RILjk5Mi4xMS8wNy8yMDI2AQAAAEtVAAACAAAABzI0LjEwMDQBCAAAAAUAAAABMQEAAAAKMTk3MzM4MDk1MQMAAAADMTYwAgAAAAQ0MTk5BAAAAAEwBwAAAAk3LzExLzIwMjYIAAAACTYvMzAvMjAxNwkAAAABMNO+tWpv394IqRdMbm/f3gg1Q0lRLk5BU0RBUTpNU0ZULklRX0VCSVREQV8zWVJfQU5OX0NBR1IuOTkwLjExLzA3LzIwMjYBAAAAS1UAAAIAAAAGMy4wMTAyAQgAAAAFAAAAATEBAAAACjE4NTE1MjU5MTIDAAAAAzE2MAIAAAAENDIyMgQAAAABMAcAAAAJNy8xMS8yMDI2CAAAAAk2LzMwLzIwMTUJAAAAATDTvrVqb9/e</t>
  </si>
  <si>
    <t>CIzcS25v394IRENJUS5OQVNEQVE6TVNGVC5JUV9UT1RBTF9ERUJUX0VCSVREQV9FWENMX09QRVJfTEVBU0VTLjk5Mi4xMS8wNy8yMDI2AQAAAEtVAAACAAAACDIuNTcyNzAyAQgAAAAFAAAAATEBAAAACjE5NzMzODA5NTEDAAAAAzE2MAIAAAAFNDg5OTQEAAAAATAHAAAACTcvMTEvMjAyNggAAAAJNi8zMC8yMDE3CQAAAAEw0761am/f3giM3Etub9/eCEpDSVEuTkFTREFROk1TRlQuSVFfVE9UQUxfREVCVF9FQklUREFfRVhDTF9PUEVSX0xFQVNFU19DQVBFWC45OTAuMTEvMDcvMjAyNgEAAABLVQAAAgAAAAgxLjI4MDcyOQEIAAAABQAAAAExAQAAAAoxODUxNTI1OTEyAwAAAAMxNjACAAAABTQ5MTgzBAAAAAEwBwAAAAk3LzExLzIwMjYIAAAACTYvMzAvMjAxNQkAAAABMNO+tWpv394IjNxLbm/f3ggwQ0lRLk5BU0RBUTpNU0ZULklRX0xUX0RFQlRfRVFVSVRZLjk5MC4xMS8wNy8yMDI2AQAAAEtVAAACAAAABzM0LjcyMzkBCAAAAAUAAAABMQEAAAAKMTg1MTUyNTkxMgMAAAADMTYwAgAAAAQ0MDg1BAAAAAEwBwAAAAk3LzExLzIwMjYIAAAACTYvMzAvMjAxNQkAAAABMNO+tWpv394I5wNMbm/f3ggyQ0lRLk5BU0RBUTpNU0ZULklRX0NGT19DVVJSRU5UX0xJQUIuOTkyLjExLzA3LzIwMjYBAAAAS1UAAAIAAAAIMC43MDg3MDkBCAAAAAUAAAABMQEAAAAKMTk3MzM4MDk1MQMAAAADMTYwAgAAAAQ0MTg1BAAA</t>
  </si>
  <si>
    <t>AAEwBwAAAAk3LzExLzIwMjYIAAAACTYvMzAvMjAxNwkAAAABMNO+tWpv394I5wNMbm/f3ggyQ0lRLk5BU0RBUTpNU0ZULklRX0RBWVNfUEFZQUJMRV9PVVQuOTkyLjExLzA3LzIwMjYBAAAAS1UAAAIAAAAJNzYuMjY0MTk1AQgAAAAFAAAAATEBAAAACjE5NzMzODA5NTEDAAAAAzE2MAIAAAAENDE4MwQAAAABMAcAAAAJNy8xMS8yMDI2CAAAAAk2LzMwLzIwMTcJAAAAATDTvrVqb9/eCIzcS25v394ILUNJUS5OQVNEQVE6TVNGVC5JUV9FQklUX01BUkdJTi45OTAuMTEvMDcvMjAyNgEAAABLVQAAAgAAAAczMC4xMDQ3AQgAAAAFAAAAATEBAAAACjE4NTE1MjU5MTIDAAAAAzE2MAIAAAAENDA1MwQAAAABMAcAAAAJNy8xMS8yMDI2CAAAAAk2LzMwLzIwMTUJAAAAATDTvrVqb9/eCIzcS25v394ILUNJUS5OQVNEQVE6TVNGVC5JUV9BU1NFVF9UVVJOUy45OTAuMTEvMDcvMjAyNgEAAABLVQAAAgAAAAgwLjUzOTU4OQEIAAAABQAAAAExAQAAAAoxODUxNTI1OTEyAwAAAAMxNjACAAAABDQxNzcEAAAAATAHAAAACTcvMTEvMjAyNggAAAAJNi8zMC8yMDE1CQAAAAEw0761am/f3giM3Etub9/eCC9DSVEuTkFTREFROk1TRlQuSVFfUkVUVVJOX0VRVUlUWS45OTIuMTEvMDcvMjAyNgEAAABLVQAAAgAAAAczMS45MTk1AQgAAAAFAAAAATEBAAAACjE5NzMzODA5NTEDAAAAAzE2MAIAAAAENDEyOAQAAAABMAcAAAAJNy8x</t>
  </si>
  <si>
    <t>MS8yMDI2CAAAAAk2LzMwLzIwMTcJAAAAATDTvrVqb9/eCIzcS25v394IMENJUS5OQVNEQVE6TVNGVC5JUV9DT1NUX0JPUlJPV0lORy45OTAuMTEvMDcvMjAyNgEAAABLVQAAAgAAAAYyLjc1MTQBCAAAAAUAAAABMQEAAAAKMTg1MTUyNTkxMgMAAAADMTYwAgAAAAUyMTY4MQQAAAABMAcAAAAJNy8xMS8yMDI2CAAAAAk2LzMwLzIwMTUJAAAAATDTvrVqb9/eCIzcS25v394IK0NJUS5OQVNEQVE6TVNGVC5JUV9QQVJUX1RJTUUuOTkwLjExLzA3LzIwMjYBAAAAS1UAAAMAAAAAANO+tWpv394IjNxLbm/f3ggyQ0lRLk5BU0RBUTpNU0ZULklRX0VQU18zWVJfQU5OX0NBR1IuOTkxLjExLzA3LzIwMjYBAAAAS1UAAAIAAAAHLTAuMjU5MQEIAAAABQAAAAExAQAAAAoxODk4NDg5NDcwAwAAAAMxNjACAAAABDQyMjYEAAAAATAHAAAACTcvMTEvMjAyNggAAAAJNi8zMC8yMDE2CQAAAAEw0761am/f3giM3Etub9/eCDZDSVEuTkFTREFROk1TRlQuSVFfRUJJVERBXzVZUl9BTk5fQ0FHUi4yMDAwLjExLzA3LzIwMjYBAAAAS1UAAAIAAAAHMTkuNDc3NgEIAAAABQAAAAExAQAAAAstMTg5MzI5ODk5NQMAAAADMTYwAgAAAAQ0MjM1BAAAAAEwBwAAAAk3LzExLzIwMjYIAAAACTMvMzEvMjAyNgkAAAABMNO+tWpv394IjNxLbm/f3ggyQ0lRLk5BU0RBUTpNU0ZULklRX0VQU181WVJfQU5OX0NBR1IuOTkzLjExLzA3LzIwMjYB</t>
  </si>
  <si>
    <t>AAAAS1UAAAIAAAAHLTMuNzYwOAEIAAAABQAAAAExAQAAAAoyMDQ3MjcxNzQ1AwAAAAMxNjACAAAABDQyMzkEAAAAATAHAAAACTcvMTEvMjAyNggAAAAJNi8zMC8yMDE4CQAAAAEw0761am/f3giM3Etub9/eCDRDSVEuTkFTREFROk1TRlQuSVFfR1BfMVlSX0FOTl9HUk9XVEguMjAwMC4xMS8wNy8yMDI2AQAAAEtVAAACAAAABzE2LjU2ODEBCAAAAAUAAAABMQEAAAALLTE4OTMyOTg5OTUDAAAAAzE2MAIAAAAENDE5NQQAAAABMAcAAAAJNy8xMS8yMDI2CAAAAAkzLzMxLzIwMjYJAAAAATDTvrVqb9/eCIzcS25v394IM0NJUS5OQVNEQVE6TVNGVC5JUV9OSV8xWVJfQU5OX0dST1dUSC45OTMuMTEvMDcvMjAyNgEAAABLVQAAAgAAAAgtMzQuOTg3NwEIAAAABQAAAAExAQAAAAoyMDQ3MjcxNzQ1AwAAAAMxNjACAAAABDQxOTkEAAAAATAHAAAACTcvMTEvMjAyNggAAAAJNi8zMC8yMDE4CQAAAAEw0761am/f3gifx0tub9/eCDVDSVEuTkFTREFROk1TRlQuSVFfRUJJVERBXzNZUl9BTk5fQ0FHUi45OTEuMTEvMDcvMjAyNgEAAABLVQAAAgAAAAYyLjM1NDcBCAAAAAUAAAABMQEAAAAKMTg5ODQ4OTQ3MAMAAAADMTYwAgAAAAQ0MjIyBAAAAAEwBwAAAAk3LzExLzIwMjYIAAAACTYvMzAvMjAxNgkAAAABMNO+tWpv394In8dLbm/f3ghEQ0lRLk5BU0RBUTpNU0ZULklRX1RPVEFMX0RFQlRfRUJJVERBX0VYQ0xfT1BF</t>
  </si>
  <si>
    <t>Ul9MRUFTRVMuOTkzLjExLzA3LzIwMjYBAAAAS1UAAAIAAAAIMS45NDY0MzgBCAAAAAUAAAABMQEAAAAKMjA0NzI3MTc0NQMAAAADMTYwAgAAAAU0ODk5NAQAAAABMAcAAAAJNy8xMS8yMDI2CAAAAAk2LzMwLzIwMTgJAAAAATDTvrVqb9/eCJ/HS25v394ISkNJUS5OQVNEQVE6TVNGVC5JUV9UT1RBTF9ERUJUX0VCSVREQV9FWENMX09QRVJfTEVBU0VTX0NBUEVYLjk5MS4xMS8wNy8yMDI2AQAAAEtVAAACAAAACDIuMjA2MDgzAQgAAAAFAAAAATEBAAAACjE4OTg0ODk0NzADAAAAAzE2MAIAAAAFNDkxODMEAAAAATAHAAAACTcvMTEvMjAyNggAAAAJNi8zMC8yMDE2CQAAAAEw0761am/f3gifx0tub9/eCDBDSVEuTkFTREFROk1TRlQuSVFfTFRfREVCVF9FUVVJVFkuOTkxLjExLzA3LzIwMjYBAAAAS1UAAAIAAAAHNTcuMzg4NQEIAAAABQAAAAExAQAAAAoxODk4NDg5NDcwAwAAAAMxNjACAAAABDQwODUEAAAAATAHAAAACTcvMTEvMjAyNggAAAAJNi8zMC8yMDE2CQAAAAEwQea1am/f3giM3Etub9/eCCtDSVEuTkFTREFROk1TRlQuSVFfRUJJVF9JTlQuMjAwMC4xMS8wNy8yMDI2AQAAAEtVAAACAAAACTUyLjEwMTA4NAEIAAAABQAAAAExAQAAAAstMTg5MzI5ODk5NQMAAAADMTYwAgAAAAQ0MTg5BAAAAAEwBwAAAAk3LzExLzIwMjYIAAAACTMvMzEvMjAyNgkAAAABMEHmtWpv394IwIpLbm/f3ggyQ0lRLk5B</t>
  </si>
  <si>
    <t>U0RBUTpNU0ZULklRX0lOVkVOVE9SWV9UVVJOUy4yMDAwLjExLzA3LzIwMjYBAAAAS1UAAAIAAAAJOTcuNTkzNjEzAQgAAAAFAAAAATEBAAAACy0xODkzMjk4OTk1AwAAAAMxNjACAAAABDQwODIEAAAAATAHAAAACTcvMTEvMjAyNggAAAAJMy8zMS8yMDI2CQAAAAEwQea1am/f3gjAiktub9/eCDJDSVEuTkFTREFROk1TRlQuSVFfREFZU19QQVlBQkxFX09VVC45OTMuMTEvMDcvMjAyNgEAAABLVQAAAgAAAAk3NS4yMjQ2NzUBCAAAAAUAAAABMQEAAAAKMjA0NzI3MTc0NQMAAAADMTYwAgAAAAQ0MTgzBAAAAAEwBwAAAAk3LzExLzIwMjYIAAAACTYvMzAvMjAxOAkAAAABMEHmtWpv394In8dLbm/f3ggvQ0lRLk5BU0RBUTpNU0ZULklRX0VCSVREQV9NQVJHSU4uOTkzLjExLzA3LzIwMjYBAAAAS1UAAAIAAAAHNDAuNzM3NQEIAAAABQAAAAExAQAAAAoyMDQ3MjcxNzQ1AwAAAAMxNjACAAAABDQwNDcEAAAAATAHAAAACTcvMTEvMjAyNggAAAAJNi8zMC8yMDE4CQAAAAEwQea1am/f3gifx0tub9/eCC1DSVEuTkFTREFROk1TRlQuSVFfQVNTRVRfVFVSTlMuOTkxLjExLzA3LzIwMjYBAAAAS1UAAAIAAAAIMC40OTU0ODIBCAAAAAUAAAABMQEAAAAKMTg5ODQ4OTQ3MAMAAAADMTYwAgAAAAQ0MTc3BAAAAAEwBwAAAAk3LzExLzIwMjYIAAAACTYvMzAvMjAxNgkAAAABMEHmtWpv394In8dLbm/f3ggwQ0lRLk5BU0RB</t>
  </si>
  <si>
    <t>UTpNU0ZULklRX1JFU1RBVEVNRU5UX0JTLjk5MS4xMS8wNy8yMDI2AQAAAEtVAAADAAAAAlJTAEHmtWpv394IwIpLbm/f3ggtQ0lRLk5BU0RBUTpNU0ZULklRX1BFUklPRERBVEUuMTk5OS4xMS8wNy8yMDI2AQAAAEtVAAAFAAAACjMxLzEyLzIwMjUAQea1am/f3gjAiktub9/eCC9DSVEuTkFTREFROk1TRlQuSVFfUkVUVVJOX0VRVUlUWS45OTMuMTEvMDcvMjAyNgEAAABLVQAAAgAAAAcxOS40NDYyAQgAAAAFAAAAATEBAAAACjIwNDcyNzE3NDUDAAAAAzE2MAIAAAAENDEyOAQAAAABMAcAAAAJNy8xMS8yMDI2CAAAAAk2LzMwLzIwMTgJAAAAATBB5rVqb9/eCMCKS25v394IMENJUS5OQVNEQVE6TVNGVC5JUV9DT1NUX0JPUlJPV0lORy45OTEuMTEvMDcvMjAyNgEAAABLVQAAAgAAAAYyLjg5MzUBCAAAAAUAAAABMQEAAAAKMTg5ODQ4OTQ3MAMAAAADMTYwAgAAAAUyMTY4MQQAAAABMAcAAAAJNy8xMS8yMDI2CAAAAAk2LzMwLzIwMTYJAAAAATBB5rVqb9/eCMCKS25v394IMENJUS5OQVNEQVE6TVNGVC5JUV9BVkdfRU1QTE9ZRUVTLjIwMDAuMTEvMDcvMjAyNgEAAABLVQAAAwAAAAAAQea1am/f3gjAiktub9/eCCtDSVEuTkFTREFROk1TRlQuSVFfUEFSVF9USU1FLjk5MS4xMS8wNy8yMDI2AQAAAEtVAAADAAAAAABB5rVqb9/eCMCKS25v394IMkNJUS5OQVNEQVE6TVNGVC5JUV9FUFNfM1lSX0FOTl9DQUdS</t>
  </si>
  <si>
    <t>Ljk5Mi4xMS8wNy8yMDI2AQAAAEtVAAACAAAABjcuMzEwNgEIAAAABQAAAAExAQAAAAoxOTczMzgwOTUxAwAAAAMxNjACAAAABDQyMjYEAAAAATAHAAAACTcvMTEvMjAyNggAAAAJNi8zMC8yMDE3CQAAAAEwQea1am/f3gjAiktub9/eCDNDSVEuTkFTREFROk1TRlQuSVFfRUJJVF81WVJfQU5OX0NBR1IuOTkwLjExLzA3LzIwMjYBAAAAS1UAAAIAAAAGMy4xNzMzAQgAAAAFAAAAATEBAAAACjE4NTE1MjU5MTIDAAAAAzE2MAIAAAAENDIzNgQAAAABMAcAAAAJNy8xMS8yMDI2CAAAAAk2LzMwLzIwMTUJAAAAATBB5rVqb9/eCMCKS25v394IN0NJUS5OQVNEQVE6TVNGVC5JUV9FQklUREFfMVlSX0FOTl9HUk9XVEguOTkwLjExLzA3LzIwMjYBAAAAS1UAAAIAAAAGNC40ODQ3AQgAAAAFAAAAATEBAAAACjE4NTE1MjU5MTIDAAAAAzE2MAIAAAAENDE5NgQAAAABMAcAAAAJNy8xMS8yMDI2CAAAAAk2LzMwLzIwMTUJAAAAATBB5rVqb9/eCMCKS25v394ISkNJUS5OQVNEQVE6TVNGVC5JUV9UT1RBTF9ERUJUX0VCSVREQV9FWENMX09QRVJfTEVBU0VTX0NBUEVYLjk5Mi4xMS8wNy8yMDI2AQAAAEtVAAACAAAACDMuMjkzODA3AQgAAAAFAAAAATEBAAAACjE5NzMzODA5NTEDAAAAAzE2MAIAAAAFNDkxODMEAAAAATAHAAAACTcvMTEvMjAyNggAAAAJNi8zMC8yMDE3CQAAAAEwQea1am/f3gjAiktub9/eCDBDSVEuTkFT</t>
  </si>
  <si>
    <t>REFROk1TRlQuSVFfTFRfREVCVF9FUVVJVFkuOTkyLjExLzA3LzIwMjYBAAAAS1UAAAIAAAAHOTUuNjIwOAEIAAAABQAAAAExAQAAAAoxOTczMzgwOTUxAwAAAAMxNjACAAAABDQwODUEAAAAATAHAAAACTcvMTEvMjAyNggAAAAJNi8zMC8yMDE3CQAAAAEwQea1am/f3gjAiktub9/eCCxDSVEuTkFTREFROk1TRlQuSVFfRUJJVERBX0lOVC45OTAuMTEvMDcvMjAyNgEAAABLVQAAAgAAAAk0Mi45ODU5MTUBCAAAAAUAAAABMQEAAAAKMTg1MTUyNTkxMgMAAAADMTYwAgAAAAQ0MTkwBAAAAAEwBwAAAAk3LzExLzIwMjYIAAAACTYvMzAvMjAxNQkAAAABMEHmtWpv394IwIpLbm/f3ghDQ0lRLk5BU0RBUTpNU0ZULklRX0VCSVREQV9FWENMX09QRVJfTEVBU0VTX0NBUEVYX0lOVC45OTAuMTEvMDcvMjAyNgEAAABLVQAAAgAAAAgzNS4zNzUxNgEIAAAABQAAAAExAQAAAAoxODUxNTI1OTEyAwAAAAMxNjACAAAABTQ5MTc0BAAAAAEwBwAAAAk3LzExLzIwMjYIAAAACTYvMzAvMjAxNQkAAAABMEHmtWpv394IwIpLbm/f3ggvQ0lRLk5BU0RBUTpNU0ZULklRX0NVUlJFTlRfUkFUSU8uOTkwLjExLzA3LzIwMjYBAAAAS1UAAAIAAAAIMi40NzM0MDIBCAAAAAUAAAABMQEAAAAKMTg1MTUyNTkxMgMAAAADMTYwAgAAAAQ0MDMwBAAAAAEwBwAAAAk3LzExLzIwMjYIAAAACTYvMzAvMjAxNQkAAAABMEHmtWpv394IwIpLbm/f</t>
  </si>
  <si>
    <t>3ggtQ0lRLk5BU0RBUTpNU0ZULklRX0FTU0VUX1RVUk5TLjk5Mi4xMS8wNy8yMDI2AQAAAEtVAAACAAAABzAuNDM1MjIBCAAAAAUAAAABMQEAAAAKMTk3MzM4MDk1MQMAAAADMTYwAgAAAAQ0MTc3BAAAAAEwBwAAAAk3LzExLzIwMjYIAAAACTYvMzAvMjAxNwkAAAABMEHmtWpv394IwIpLbm/f3ggwQ0lRLk5BU0RBUTpNU0ZULklRX1JFU1RBVEVNRU5UX0JTLjk5Mi4xMS8wNy8yMDI2AQAAAEtVAAADAAAAAlJTAEHmtWpv394IOGNLbm/f3ggvQ0lRLk5BU0RBUTpNU0ZULklRX1JFVFVSTl9BU1NFVFMuOTkwLjExLzA3LzIwMjYBAAAAS1UAAAIAAAAHMTAuMTUyNgEIAAAABQAAAAExAQAAAAoxODUxNTI1OTEyAwAAAAMxNjACAAAABDQxNzgEAAAAATAHAAAACTcvMTEvMjAyNggAAAAJNi8zMC8yMDE1CQAAAAEwQea1am/f3gg4Y0tub9/eCDBDSVEuTkFTREFROk1TRlQuSVFfQ09TVF9CT1JST1dJTkcuOTkyLjExLzA3LzIwMjYBAAAAS1UAAAIAAAAGMi45NjEzAQgAAAAFAAAAATEBAAAACjE5NzMzODA5NTEDAAAAAzE2MAIAAAAFMjE2ODEEAAAAATAHAAAACTcvMTEvMjAyNggAAAAJNi8zMC8yMDE3CQAAAAEwQea1am/f3gjAiktub9/eCDRDSVEuTkFTREFROk1TRlQuSVFfQVZHX1RFTVBfRU1QTE9ZRUVTLjk5MC4xMS8wNy8yMDI2AQAAAEtVAAADAAAAAABB5rVqb9/eCMCKS25v394IK0NJUS5OQVNEQVE6TVNG</t>
  </si>
  <si>
    <t>VC5JUV9QQVJUX1RJTUUuOTkyLjExLzA3LzIwMjYBAAAAS1UAAAMAAAAAAEHmtWpv394IwIpLbm/f3ggyQ0lRLk5BU0RBUTpNU0ZULklRX0VQU18zWVJfQU5OX0NBR1IuOTkzLjExLzA3LzIwMjYBAAAAS1UAAAIAAAAHMTIuOTAzMQEIAAAABQAAAAExAQAAAAoyMDQ3MjcxNzQ1AwAAAAMxNjACAAAABDQyMjYEAAAAATAHAAAACTcvMTEvMjAyNggAAAAJNi8zMC8yMDE4CQAAAAEwQea1am/f3gg4Y0tub9/eCDNDSVEuTkFTREFROk1TRlQuSVFfRUJJVF81WVJfQU5OX0NBR1IuOTkxLjExLzA3LzIwMjYBAAAAS1UAAAIAAAAGMC4wMTk5AQgAAAAFAAAAATEBAAAACjE4OTg0ODk0NzADAAAAAzE2MAIAAAAENDIzNgQAAAABMAcAAAAJNy8xMS8yMDI2CAAAAAk2LzMwLzIwMTYJAAAAATBB5rVqb9/eCDhjS25v394IN0NJUS5OQVNEQVE6TVNGVC5JUV9FQklUREFfMVlSX0FOTl9HUk9XVEguOTkxLjExLzA3LzIwMjYBAAAAS1UAAAIAAAAHLTEuNTA3MwEIAAAABQAAAAExAQAAAAoxODk4NDg5NDcwAwAAAAMxNjACAAAABDQxOTYEAAAAATAHAAAACTcvMTEvMjAyNggAAAAJNi8zMC8yMDE2CQAAAAEwQea1am/f3gg4Y0tub9/eCDVDSVEuTkFTREFROk1TRlQuSVFfRVBTXzFZUl9BTk5fR1JPV1RILjIwMDAuMTEvMDcvMjAyNgEAAABLVQAAAgAAAAcyOS43NTQzAQgAAAAFAAAAATEBAAAACy0xODkzMjk4OTk1AwAAAAMx</t>
  </si>
  <si>
    <t>NjACAAAABDQyMDAEAAAAATAHAAAACTcvMTEvMjAyNggAAAAJMy8zMS8yMDI2CQAAAAEwQea1am/f3gg4Y0tub9/eCDJDSVEuTkFTREFROk1TRlQuSVFfTkVUX0RFQlRfRUJJVERBLjIwMDAuMTEvMDcvMjAyNgEAAABLVQAAAgAAAAgwLjI0Njg1MQEIAAAABQAAAAExAQAAAAstMTg5MzI5ODk5NQMAAAADMTYwAgAAAAQ0MTkzBAAAAAEwBwAAAAk3LzExLzIwMjYIAAAACTMvMzEvMjAyNgkAAAABMEHmtWpv394IOGNLbm/f3ggwQ0lRLk5BU0RBUTpNU0ZULklRX0xUX0RFQlRfRVFVSVRZLjk5My4xMS8wNy8yMDI2AQAAAEtVAAACAAAABzk5LjA1MzQBCAAAAAUAAAABMQEAAAAKMjA0NzI3MTc0NQMAAAADMTYwAgAAAAQ0MDg1BAAAAAEwBwAAAAk3LzExLzIwMjYIAAAACTYvMzAvMjAxOAkAAAABMEHmtWpv394IOGNLbm/f3ggqQ0lRLk5BU0RBUTpNU0ZULklRX0VCSVRfSU5ULjk5My4xMS8wNy8yMDI2AQAAAEtVAAACAAAACTEyLjgyNzY2MQEIAAAABQAAAAExAQAAAAoyMDQ3MjcxNzQ1AwAAAAMxNjACAAAABDQxODkEAAAAATAHAAAACTcvMTEvMjAyNggAAAAJNi8zMC8yMDE4CQAAAAEwQea1am/f3gg4Y0tub9/eCENDSVEuTkFTREFROk1TRlQuSVFfRUJJVERBX0VYQ0xfT1BFUl9MRUFTRVNfQ0FQRVhfSU5ULjk5MS4xMS8wNy8yMDI2AQAAAEtVAAACAAAACTE5Ljg4OTc4MgEIAAAABQAAAAExAQAAAAoxODk4</t>
  </si>
  <si>
    <t>NDg5NDcwAwAAAAMxNjACAAAABTQ5MTc0BAAAAAEwBwAAAAk3LzExLzIwMjYIAAAACTYvMzAvMjAxNgkAAAABMEHmtWpv394IOGNLbm/f3ggvQ0lRLk5BU0RBUTpNU0ZULklRX0NVUlJFTlRfUkFUSU8uOTkxLjExLzA3LzIwMjYBAAAAS1UAAAIAAAAIMi4zNTI4ODEBCAAAAAUAAAABMQEAAAAKMTg5ODQ4OTQ3MAMAAAADMTYwAgAAAAQ0MDMwBAAAAAEwBwAAAAk3LzExLzIwMjYIAAAACTYvMzAvMjAxNgkAAAABMEHmtWpv394IOGNLbm/f3ggwQ0lRLk5BU0RBUTpNU0ZULklRX0RBWVNfU0FMRVNfT1VULjk5MS4xMS8wNy8yMDI2AQAAAEtVAAACAAAACTcyLjY0NDQxMgEIAAAABQAAAAExAQAAAAoxODk4NDg5NDcwAwAAAAMxNjACAAAABDQwNDIEAAAAATAHAAAACTcvMTEvMjAyNggAAAAJNi8zMC8yMDE2CQAAAAEwQea1am/f3gg4Y0tub9/eCDJDSVEuTkFTREFROk1TRlQuSVFfQ0FTSF9DT05WRVJTSU9OLjIwMDAuMTEvMDcvMjAyNgEAAABLVQAAAgAAAAgtNDcuMTM2MQEIAAAABQAAAAExAQAAAAstMTg5MzI5ODk5NQMAAAADMTYwAgAAAAQ0MTg0BAAAAAEwBwAAAAk3LzExLzIwMjYIAAAACTMvMzEvMjAyNgkAAAABMEHmtWpv394I505Lbm/f3gg3Q0lRLk5BU0RBUTpNU0ZULklRX1JFVFVSTl9DT01NT05fRVFVSVRZLjIwMDAuMTEvMDcvMjAyNgEAAABLVQAAAgAAAAczNC4wMTQxAQgAAAAFAAAAATEBAAAA</t>
  </si>
  <si>
    <t>Cy0xODkzMjk4OTk1AwAAAAMxNjACAAAABTMzMzIwBAAAAAEwBwAAAAk3LzExLzIwMjYIAAAACTMvMzEvMjAyNgkAAAABMEHmtWpv394I505Lbm/f3gguQ0lRLk5BU0RBUTpNU0ZULklRX0VCSVRfTUFSR0lOLjIwMDAuMTEvMDcvMjAyNgEAAABLVQAAAgAAAAc0Ni44MDE2AQgAAAAFAAAAATEBAAAACy0xODkzMjk4OTk1AwAAAAMxNjACAAAABDQwNTMEAAAAATAHAAAACTcvMTEvMjAyNggAAAAJMy8zMS8yMDI2CQAAAAEwQea1am/f3gjnTktub9/eCC1DSVEuTkFTREFROk1TRlQuSVFfQVNTRVRfVFVSTlMuOTkzLjExLzA3LzIwMjYBAAAAS1UAAAIAAAAIMC40MzM0OTgBCAAAAAUAAAABMQEAAAAKMjA0NzI3MTc0NQMAAAADMTYwAgAAAAQ0MTc3BAAAAAEwBwAAAAk3LzExLzIwMjYIAAAACTYvMzAvMjAxOAkAAAABMEHmtWpv394IOGNLbm/f3ggwQ0lRLk5BU0RBUTpNU0ZULklRX1JFU1RBVEVNRU5UX0JTLjk5My4xMS8wNy8yMDI2AQAAAEtVAAADAAAAAk5DAEHmtWpv394IOGNLbm/f3ggvQ0lRLk5BU0RBUTpNU0ZULklRX1JFVFVSTl9BU1NFVFMuOTkxLjExLzA3LzIwMjYBAAAAS1UAAAIAAAAGOS4yMzY1AQgAAAAFAAAAATEBAAAACjE4OTg0ODk0NzADAAAAAzE2MAIAAAAENDE3OAQAAAABMAcAAAAJNy8xMS8yMDI2CAAAAAk2LzMwLzIwMTYJAAAAATBB5rVqb9/eCOU6S25v394IMENJUS5OQVNEQVE6TVNG</t>
  </si>
  <si>
    <t>VC5JUV9DT1NUX0JPUlJPV0lORy45OTMuMTEvMDcvMjAyNgEAAABLVQAAAgAAAAYyLjk4NjMBCAAAAAUAAAABMQEAAAAKMjA0NzI3MTc0NQMAAAADMTYwAgAAAAUyMTY4MQQAAAABMAcAAAAJNy8xMS8yMDI2CAAAAAk2LzMwLzIwMTgJAAAAATBB5rVqb9/eCOdOS25v394INENJUS5OQVNEQVE6TVNGVC5JUV9BVkdfVEVNUF9FTVBMT1lFRVMuOTkxLjExLzA3LzIwMjYBAAAAS1UAAAMAAAAAAEHmtWpv394I505Lbm/f3ggrQ0lRLk5BU0RBUTpNU0ZULklRX1BBUlRfVElNRS45OTMuMTEvMDcvMjAyNgEAAABLVQAAAwAAAAAAQea1am/f3gjnTktub9/eCDNDSVEuTkFTREFROk1TRlQuSVFfRUJJVF8zWVJfQU5OX0NBR1IuOTkwLjExLzA3LzIwMjYBAAAAS1UAAAIAAAAGMC4yNTY5AQgAAAAFAAAAATEBAAAACjE4NTE1MjU5MTIDAAAAAzE2MAIAAAAENDIyMwQAAAABMAcAAAAJNy8xMS8yMDI2CAAAAAk2LzMwLzIwMTUJAAAAATBB5rVqb9/eCOdOS25v394IM0NJUS5OQVNEQVE6TVNGVC5JUV9FQklUXzVZUl9BTk5fQ0FHUi45OTIuMTEvMDcvMjAyNgEAAABLVQAAAgAAAAYwLjk2NDkBCAAAAAUAAAABMQEAAAAKMTk3MzM4MDk1MQMAAAADMTYwAgAAAAQ0MjM2BAAAAAEwBwAAAAk3LzExLzIwMjYIAAAACTYvMzAvMjAxNwkAAAABMEHmtWpv394I5TpLbm/f3gg3Q0lRLk5BU0RBUTpNU0ZULklRX0VCSVREQV8xWVJf</t>
  </si>
  <si>
    <t>QU5OX0dST1dUSC45OTIuMTEvMDcvMjAyNgEAAABLVQAAAgAAAAcxMi4yOTM1AQgAAAAFAAAAATEBAAAACjE5NzMzODA5NTEDAAAAAzE2MAIAAAAENDE5NgQAAAABMAcAAAAJNy8xMS8yMDI2CAAAAAk2LzMwLzIwMTcJAAAAATBB5rVqb9/eCOU6S25v394IOENJUS5OQVNEQVE6TVNGVC5JUV9UT1RBTF9SRVZfM1lSX0FOTl9DQUdSLjk5MC4xMS8wNy8yMDI2AQAAAEtVAAACAAAABjguMjc0NgEIAAAABQAAAAExAQAAAAoxODUxNTI1OTEyAwAAAAMxNjACAAAABDQyMjAEAAAAATAHAAAACTcvMTEvMjAyNggAAAAJNi8zMC8yMDE1CQAAAAEwQea1am/f3gjlOktub9/eCEJDSVEuTkFTREFROk1TRlQuSVFfTkVUX0RFQlRfRUJJVERBX0VYQ0xfT1BFUl9MRUFTRVMuOTkwLjExLzA3LzIwMjYBAAAAS1UAAAMAAAACTk0BCAAAAAUAAAABMQEAAAAKMTg1MTUyNTkxMgMAAAADMTYwAgAAAAU0OTE3NQQAAAABMAcAAAAJNy8xMS8yMDI2CAAAAAk2LzMwLzIwMTUJAAAAATBB5rVqb9/eCOU6S25v394IQ0NJUS5OQVNEQVE6TVNGVC5JUV9FQklUREFfRVhDTF9PUEVSX0xFQVNFU19DQVBFWF9JTlQuOTkyLjExLzA3LzIwMjYBAAAAS1UAAAIAAAAJMTMuMDUyMjA1AQgAAAAFAAAAATEBAAAACjE5NzMzODA5NTEDAAAAAzE2MAIAAAAFNDkxNzQEAAAAATAHAAAACTcvMTEvMjAyNggAAAAJNi8zMC8yMDE3CQAAAAEwQea1am/f</t>
  </si>
  <si>
    <t>3gjlOktub9/eCDBDSVEuTkFTREFROk1TRlQuSVFfREFZU19TQUxFU19PVVQuOTkyLjExLzA3LzIwMjYBAAAAS1UAAAIAAAAJNzYuOTI5OTU1AQgAAAAFAAAAATEBAAAACjE5NzMzODA5NTEDAAAAAzE2MAIAAAAENDA0MgQAAAABMAcAAAAJNy8xMS8yMDI2CAAAAAk2LzMwLzIwMTcJAAAAATBB5rVqb9/eCK4mS25v394IM0NJUS5OQVNEQVE6TVNGVC5JUV9UT1RBTF9ERUJUX0VRVUlUWS45OTAuMTEvMDcvMjAyNgEAAABLVQAAAgAAAAc0NC4xODQxAQgAAAAFAAAAATEBAAAACjE4NTE1MjU5MTIDAAAAAzE2MAIAAAAENDAzNAQAAAABMAcAAAAJNy8xMS8yMDI2CAAAAAk2LzMwLzIwMTUJAAAAATBB5rVqb9/eCK4mS25v394IM0NJUS5OQVNEQVE6TVNGVC5JUV9FQklUXzNZUl9BTk5fQ0FHUi45OTEuMTEvMDcvMjAyNgEAAABLVQAAAgAAAAYtMC4zNzYBCAAAAAUAAAABMQEAAAAKMTg5ODQ4OTQ3MAMAAAADMTYwAgAAAAQ0MjIzBAAAAAEwBwAAAAk3LzExLzIwMjYIAAAACTYvMzAvMjAxNgkAAAABMEHmtWpv394IriZLbm/f3gg5Q0lRLk5BU0RBUTpNU0ZULklRX1RPVEFMX1JFVl81WVJfQU5OX0NBR1IuMjAwMC4xMS8wNy8yMDI2AQAAAEtVAAACAAAABTE0Ljc1AQgAAAAFAAAAATEBAAAACy0xODkzMjk4OTk1AwAAAAMxNjACAAAABDQyMzMEAAAAATAHAAAACTcvMTEvMjAyNggAAAAJMy8zMS8yMDI2CQAAAAEw</t>
  </si>
  <si>
    <t>Qea1am/f3giuJktub9/eCCpDSVEuTkFTREFROk1TRlQuSVFfWl9TQ09SRS4yMDAwLjExLzA3LzIwMjYBAAAAS1UAAAIAAAAIOS4yODExOTEBCAAAAAUAAAABMQEAAAALLTE4OTMyOTg5OTUDAAAAAzE2MAIAAAAGMTAwMTIzBAAAAAEwBwAAAAk3LzExLzIwMjYIAAAACTMvMzEvMjAyNgkAAAABMEHmtWpv394IriZLbm/f3gg3Q0lRLk5BU0RBUTpNU0ZULklRX0VCSVREQV8xWVJfQU5OX0dST1dUSC45OTMuMTEvMDcvMjAyNgEAAABLVQAAAgAAAAcyMS4wNzk0AQgAAAAFAAAAATEBAAAACjIwNDcyNzE3NDUDAAAAAzE2MAIAAAAENDE5NgQAAAABMAcAAAAJNy8xMS8yMDI2CAAAAAk2LzMwLzIwMTgJAAAAATBB5rVqb9/eCOsSS25v394INENJUS5OQVNEQVE6TVNGVC5JUV9FUFNfMVlSX0FOTl9HUk9XVEguOTkzLjExLzA3LzIwMjYBAAAAS1UAAAIAAAAILTM0LjQ2MTYBCAAAAAUAAAABMQEAAAAKMjA0NzI3MTc0NQMAAAADMTYwAgAAAAQ0MjAwBAAAAAEwBwAAAAk3LzExLzIwMjYIAAAACTYvMzAvMjAxOAkAAAABMEHmtWpv394I6xJLbm/f3ghCQ0lRLk5BU0RBUTpNU0ZULklRX05FVF9ERUJUX0VCSVREQV9FWENMX09QRVJfTEVBU0VTLjk5MS4xMS8wNy8yMDI2AQAAAEtVAAADAAAAAk5NAQgAAAAFAAAAATEBAAAACjE4OTg0ODk0NzADAAAAAzE2MAIAAAAFNDkxNzUEAAAAATAHAAAACTcvMTEvMjAyNggAAAAJ</t>
  </si>
  <si>
    <t>Ni8zMC8yMDE2CQAAAAEwQea1am/f3gjrEktub9/eCDdDSVEuTkFTREFROk1TRlQuSVFfTkVUX0RFQlRfRUJJVERBX0NBUEVYLjk5MS4xMS8wNy8yMDI2AQAAAEtVAAADAAAAAk5NAQgAAAAFAAAAATEBAAAACjE4OTg0ODk0NzADAAAAAzE2MAIAAAAFMjMzMTQEAAAAATAHAAAACTcvMTEvMjAyNggAAAAJNi8zMC8yMDE2CQAAAAEwQea1am/f3giuJktub9/eCDJDSVEuTkFTREFROk1TRlQuSVFfTFRfREVCVF9DQVBJVEFMLjIwMDAuMTEvMDcvMjAyNgEAAABLVQAAAgAAAAcxOS44MjEyAQgAAAAFAAAAATEBAAAACy0xODkzMjk4OTk1AwAAAAMxNjACAAAABDQxODcEAAAAATAHAAAACTcvMTEvMjAyNggAAAAJMy8zMS8yMDI2CQAAAAEwQea1am/f3giuJktub9/eCC1DSVEuTkFTREFROk1TRlQuSVFfRUJJVERBX0lOVC4yMDAwLjExLzA3LzIwMjYBAAAAS1UAAAIAAAAJNjYuODg0OTI0AQgAAAAFAAAAATEBAAAACy0xODkzMjk4OTk1AwAAAAMxNjACAAAABDQxOTAEAAAAATAHAAAACTcvMTEvMjAyNggAAAAJMy8zMS8yMDI2CQAAAAEwQea1am/f3gh260pub9/eCENDSVEuTkFTREFROk1TRlQuSVFfRUJJVERBX0VYQ0xfT1BFUl9MRUFTRVNfQ0FQRVhfSU5ULjk5My4xMS8wNy8yMDI2AQAAAEtVAAACAAAACTEyLjE5MzkyNgEIAAAABQAAAAExAQAAAAoyMDQ3MjcxNzQ1AwAAAAMxNjACAAAABTQ5MTc0BAAAAAEw</t>
  </si>
  <si>
    <t>BwAAAAk3LzExLzIwMjYIAAAACTYvMzAvMjAxOAkAAAABMEHmtWpv394I6xJLbm/f3ggwQ0lRLk5BU0RBUTpNU0ZULklRX0RBWVNfU0FMRVNfT1VULjk5My4xMS8wNy8yMDI2AQAAAEtVAAACAAAACDgwLjg4NDczAQgAAAAFAAAAATEBAAAACjIwNDcyNzE3NDUDAAAAAzE2MAIAAAAENDA0MgQAAAABMAcAAAAJNy8xMS8yMDI2CAAAAAk2LzMwLzIwMTgJAAAAATBB5rVqb9/eCOsSS25v394IM0NJUS5OQVNEQVE6TVNGVC5JUV9UT1RBTF9ERUJUX0VRVUlUWS45OTEuMTEvMDcvMjAyNgEAAABLVQAAAgAAAAc3NS43NTQ1AQgAAAAFAAAAATEBAAAACjE4OTg0ODk0NzADAAAAAzE2MAIAAAAENDAzNAQAAAABMAcAAAAJNy8xMS8yMDI2CAAAAAk2LzMwLzIwMTYJAAAAATBB5rVqb9/eCOsSS25v394INkNJUS5OQVNEQVE6TVNGVC5JUV9SRVRVUk5fQ09NTU9OX0VRVUlUWS45OTMuMTEvMDcvMjAyNgEAAABLVQAAAgAAAAcxOS40NDYyAQgAAAAFAAAAATEBAAAACjIwNDcyNzE3NDUDAAAAAzE2MAIAAAAFMzMzMjAEAAAAATAHAAAACTcvMTEvMjAyNggAAAAJNi8zMC8yMDE4CQAAAAEwQea1am/f3gjrEktub9/eCCtDSVEuTkFTREFROk1TRlQuSVFfTklfTUFSR0lOLjk5MS4xMS8wNy8yMDI2AQAAAEtVAAACAAAABzIyLjUzMjEBCAAAAAUAAAABMQEAAAAKMTg5ODQ4OTQ3MAMAAAADMTYwAgAAAAQ0MDk0BAAAAAEwBwAA</t>
  </si>
  <si>
    <t>AAk3LzExLzIwMjYIAAAACTYvMzAvMjAxNgkAAAABMEHmtWpv394IdutKbm/f3gg0Q0lRLk5BU0RBUTpNU0ZULklRX0ZJWEVEX0FTU0VUX1RVUk5TLjIwMDAuMTEvMDcvMjAyNgEAAABLVQAAAgAAAAgxLjIzMzUwOAEIAAAABQAAAAExAQAAAAstMTg5MzI5ODk5NQMAAAADMTYwAgAAAAQ0MDY2BAAAAAEwBwAAAAk3LzExLzIwMjYIAAAACTMvMzEvMjAyNgkAAAABMEHmtWpv394IdutKbm/f3ggvQ0lRLk5BU0RBUTpNU0ZULklRX0NBTENfVFlQRV9CUy4yMDAwLjExLzA3LzIwMjYBAAAAS1UAAAMAAAADUkVQAEHmtWpv394IdutKbm/f3ggyQ0lRLk5BU0RBUTpNU0ZULklRX1RPVEFMX0VNUExPWUVFUy4yMDAwLjExLzA3LzIwMjYBAAAAS1UAAAMAAAAAAEHmtWpv394IdutKbm/f3ggzQ0lRLk5BU0RBUTpNU0ZULklRX0VCSVRfM1lSX0FOTl9DQUdSLjk5Mi4xMS8wNy8yMDI2AQAAAEtVAAACAAAABjEuNjk4MwEIAAAABQAAAAExAQAAAAoxOTczMzgwOTUxAwAAAAMxNjACAAAABDQyMjMEAAAAATAHAAAACTcvMTEvMjAyNggAAAAJNi8zMC8yMDE3CQAAAAEwQea1am/f3gh260pub9/eCDFDSVEuTkFTREFROk1TRlQuSVFfR1BfNVlSX0FOTl9DQUdSLjk5MC4xMS8wNy8yMDI2AQAAAEtVAAACAAAABjMuODYzNQEIAAAABQAAAAExAQAAAAoxODUxNTI1OTEyAwAAAAMxNjACAAAABDQyMzQEAAAAATAHAAAACTcvMTEv</t>
  </si>
  <si>
    <t>MjAyNggAAAAJNi8zMC8yMDE1CQAAAAEwQea1am/f3gh260pub9/eCDpDSVEuTkFTREFROk1TRlQuSVFfVE9UQUxfUkVWXzFZUl9BTk5fR1JPV1RILjk5MC4xMS8wNy8yMDI2AQAAAEtVAAACAAAABDcuNzcBCAAAAAUAAAABMQEAAAAKMTg1MTUyNTkxMgMAAAADMTYwAgAAAAQ0MTk0BAAAAAEwBwAAAAk3LzExLzIwMjYIAAAACTYvMzAvMjAxNQkAAAABMEHmtWpv394IdutKbm/f3gg3Q0lRLk5BU0RBUTpNU0ZULklRX05FVF9ERUJUX0VCSVREQV9DQVBFWC45OTIuMTEvMDcvMjAyNgEAAABLVQAAAwAAAAJOTQEIAAAABQAAAAExAQAAAAoxOTczMzgwOTUxAwAAAAMxNjACAAAABTIzMzE0BAAAAAEwBwAAAAk3LzExLzIwMjYIAAAACTYvMzAvMjAxNwkAAAABMEHmtWpv394IdutKbm/f3ggxQ0lRLk5BU0RBUTpNU0ZULklRX0xUX0RFQlRfQ0FQSVRBTC45OTIuMTEvMDcvMjAyNgEAAABLVQAAAgAAAAY0NS43NzEBCAAAAAUAAAABMQEAAAAKMTk3MzM4MDk1MQMAAAADMTYwAgAAAAQ0MTg3BAAAAAEwBwAAAAk3LzExLzIwMjYIAAAACTYvMzAvMjAxNwkAAAABMEHmtWpv394IdutKbm/f3gg9Q0lRLk5BU0RBUTpNU0ZULklRX0VCSVREQV9FWENMX09QRVJfTEVBU0VTX0lOVC45OTAuMTEvMDcvMjAyNgEAAABLVQAAAgAAAAk0Mi45ODU5MTUBCAAAAAUAAAABMQEAAAAKMTg1MTUyNTkxMgMAAAADMTYwAgAAAAU0OTE3</t>
  </si>
  <si>
    <t>MwQAAAABMAcAAAAJNy8xMS8yMDI2CAAAAAk2LzMwLzIwMTUJAAAAATBB5rVqb9/eCHbrSm5v394ILUNJUS5OQVNEQVE6TVNGVC5JUV9RVUlDS19SQVRJTy45OTAuMTEvMDcvMjAyNgEAAABLVQAAAgAAAAgyLjMwMjIzMwEIAAAABQAAAAExAQAAAAoxODUxNTI1OTEyAwAAAAMxNjACAAAABDQxMjEEAAAAATAHAAAACTcvMTEvMjAyNggAAAAJNi8zMC8yMDE1CQAAAAEwQea1am/f3giK10pub9/eCDNDSVEuTkFTREFROk1TRlQuSVFfVE9UQUxfREVCVF9FUVVJVFkuOTkyLjExLzA3LzIwMjYBAAAAS1UAAAIAAAAHMTA4LjkxMQEIAAAABQAAAAExAQAAAAoxOTczMzgwOTUxAwAAAAMxNjACAAAABDQwMzQEAAAAATAHAAAACTcvMTEvMjAyNggAAAAJNi8zMC8yMDE3CQAAAAEwQea1am/f3giK10pub9/eCCtDSVEuTkFTREFROk1TRlQuSVFfTklfTUFSR0lOLjk5Mi4xMS8wNy8yMDI2AQAAAEtVAAACAAAABjI2LjM5NAEIAAAABQAAAAExAQAAAAoxOTczMzgwOTUxAwAAAAMxNjACAAAABDQwOTQEAAAAATAHAAAACTcvMTEvMjAyNggAAAAJNi8zMC8yMDE3CQAAAAEwQea1am/f3gh260pub9/eCCpDSVEuTkFTREFROk1TRlQuSVFfQVJfVFVSTlMuOTkwLjExLzA3LzIwMjYBAAAAS1UAAAIAAAAINC45OTczMjkBCAAAAAUAAAABMQEAAAAKMTg1MTUyNTkxMgMAAAADMTYwAgAAAAQ0MDAxBAAAAAEwBwAAAAk3LzExLzIw</t>
  </si>
  <si>
    <t>MjYIAAAACTYvMzAvMjAxNQkAAAABMEHmtWpv394IdutKbm/f3ggpQ0lRLk5BU0RBUTpNU0ZULklRX0dBQVBfQlMuOTkwLjExLzA3LzIwMjYBAAAAS1UAAAMAAAAHVVMgR0FBUABB5rVqb9/eCHbrSm5v394IQUNJUS5OQVNEQVE6TVNGVC5JUV9FTVBMT1lFRVNfVU5ERVJfVU5JT05fQ09OVFJBQ1RTLjk5MC4xMS8wNy8yMDI2AQAAAEtVAAADAAAAAABB5rVqb9/eCEGwSm5v394IM0NJUS5OQVNEQVE6TVNGVC5JUV9OVU1CRVJfQURSSE9MREVSUy45OTAuMTEvMDcvMjAyNgEAAABLVQAAAwAAAAAAQea1am/f3giK10pub9/eCDFDSVEuTkFTREFROk1TRlQuSVFfTklfNVlSX0FOTl9DQUdSLjk5MS4xMS8wNy8yMDI2AQAAAEtVAAACAAAABi0yLjM2NQEIAAAABQAAAAExAQAAAAoxODk4NDg5NDcwAwAAAAMxNjACAAAABDQyMzgEAAAAATAHAAAACTcvMTEvMjAyNggAAAAJNi8zMC8yMDE2CQAAAAEwQea1am/f3giK10pub9/eCDlDSVEuTkFTREFROk1TRlQuSVFfVE9UQUxfUkVWXzNZUl9BTk5fQ0FHUi4yMDAwLjExLzA3LzIwMjYBAAAAS1UAAAIAAAAHMTUuMzA5MQEIAAAABQAAAAExAQAAAAstMTg5MzI5ODk5NQMAAAADMTYwAgAAAAQ0MjIwBAAAAAEwBwAAAAk3LzExLzIwMjYIAAAACTMvMzEvMjAyNgkAAAABMEHmtWpv394IitdKbm/f3ggzQ0lRLk5BU0RBUTpNU0ZULklRX0VCSVRfM1lSX0FOTl9DQUdSLjk5</t>
  </si>
  <si>
    <t>My4xMS8wNy8yMDI2AQAAAEtVAAACAAAABjcuNTYxNAEIAAAABQAAAAExAQAAAAoyMDQ3MjcxNzQ1AwAAAAMxNjACAAAABDQyMjMEAAAAATAHAAAACTcvMTEvMjAyNggAAAAJNi8zMC8yMDE4CQAAAAEwQea1am/f3giK10pub9/eCDFDSVEuTkFTREFROk1TRlQuSVFfR1BfNVlSX0FOTl9DQUdSLjk5MS4xMS8wNy8yMDI2AQAAAEtVAAACAAAABjEuNDMyOAEIAAAABQAAAAExAQAAAAoxODk4NDg5NDcwAwAAAAMxNjACAAAABDQyMzQEAAAAATAHAAAACTcvMTEvMjAyNggAAAAJNi8zMC8yMDE2CQAAAAEwQea1am/f3ghBsEpub9/eCDpDSVEuTkFTREFROk1TRlQuSVFfVE9UQUxfUkVWXzFZUl9BTk5fR1JPV1RILjk5MS4xMS8wNy8yMDI2AQAAAEtVAAACAAAABy0yLjU5MjUBCAAAAAUAAAABMQEAAAAKMTg5ODQ4OTQ3MAMAAAADMTYwAgAAAAQ0MTk0BAAAAAEwBwAAAAk3LzExLzIwMjYIAAAACTYvMzAvMjAxNgkAAAABMEHmtWpv394IQbBKbm/f3gg2Q0lRLk5BU0RBUTpNU0ZULklRX0VCSVRfMVlSX0FOTl9HUk9XVEguMjAwMC4xMS8wNy8yMDI2AQAAAEtVAAACAAAABzIxLjk2NTkBCAAAAAUAAAABMQEAAAALLTE4OTMyOTg5OTUDAAAAAzE2MAIAAAAENDE5NwQAAAABMAcAAAAJNy8xMS8yMDI2CAAAAAkzLzMxLzIwMjYJAAAAATBB5rVqb9/eCEGwSm5v394INENJUS5OQVNEQVE6TVNGVC5JUV9UT1RBTF9ERUJU</t>
  </si>
  <si>
    <t>X0VCSVREQS4yMDAwLjExLzA3LzIwMjYBAAAAS1UAAAIAAAAIMC42NTU5NDIBCAAAAAUAAAABMQEAAAALLTE4OTMyOTg5OTUDAAAAAzE2MAIAAAAENDE5MgQAAAABMAcAAAAJNy8xMS8yMDI2CAAAAAkzLzMxLzIwMjYJAAAAATBB5rVqb9/eCEGwSm5v394IN0NJUS5OQVNEQVE6TVNGVC5JUV9ORVRfREVCVF9FQklUREFfQ0FQRVguOTkzLjExLzA3LzIwMjYBAAAAS1UAAAMAAAACTk0BCAAAAAUAAAABMQEAAAAKMjA0NzI3MTc0NQMAAAADMTYwAgAAAAUyMzMxNAQAAAABMAcAAAAJNy8xMS8yMDI2CAAAAAk2LzMwLzIwMTgJAAAAATBB5rVqb9/eCEGwSm5v394IMUNJUS5OQVNEQVE6TVNGVC5JUV9MVF9ERUJUX0NBUElUQUwuOTkzLjExLzA3LzIwMjYBAAAAS1UAAAIAAAAGNDguMTMzAQgAAAAFAAAAATEBAAAACjIwNDcyNzE3NDUDAAAAAzE2MAIAAAAENDE4NwQAAAABMAcAAAAJNy8xMS8yMDI2CAAAAAk2LzMwLzIwMTgJAAAAATBB5rVqb9/eCEGwSm5v394IPUNJUS5OQVNEQVE6TVNGVC5JUV9FQklUREFfRVhDTF9PUEVSX0xFQVNFU19JTlQuOTkxLjExLzA3LzIwMjYBAAAAS1UAAAIAAAAJMjYuNjAxNzY5AQgAAAAFAAAAATEBAAAACjE4OTg0ODk0NzADAAAAAzE2MAIAAAAFNDkxNzMEAAAAATAHAAAACTcvMTEvMjAyNggAAAAJNi8zMC8yMDE2CQAAAAEwQea1am/f3ghBsEpub9/eCDNDSVEuTkFTREFROk1T</t>
  </si>
  <si>
    <t>RlQuSVFfRklYRURfQVNTRVRfVFVSTlMuOTkzLjExLzA3LzIwMjYBAAAAS1UAAAIAAAAIMy4zMjIzNDUBCAAAAAUAAAABMQEAAAAKMjA0NzI3MTc0NQMAAAADMTYwAgAAAAQ0MDY2BAAAAAEwBwAAAAk3LzExLzIwMjYIAAAACTYvMzAvMjAxOAkAAAABMEHmtWpv394IQbBKbm/f3ggtQ0lRLk5BU0RBUTpNU0ZULklRX1FVSUNLX1JBVElPLjk5MS4xMS8wNy8yMDI2AQAAAEtVAAACAAAACDIuMjEyMzQyAQgAAAAFAAAAATEBAAAACjE4OTg0ODk0NzADAAAAAzE2MAIAAAAENDEyMQQAAAABMAcAAAAJNy8xMS8yMDI2CAAAAAk2LzMwLzIwMTYJAAAAATBB5rVqb9/eCEGwSm5v394INUNJUS5OQVNEQVE6TVNGVC5JUV9EQVlTX0lOVkVOVE9SWV9PVVQuMjAwMC4xMS8wNy8yMDI2AQAAAEtVAAACAAAABzMuNzM5NzkBCAAAAAUAAAABMQEAAAALLTE4OTMyOTg5OTUDAAAAAzE2MAIAAAAENDAzNQQAAAABMAcAAAAJNy8xMS8yMDI2CAAAAAkzLzMxLzIwMjYJAAAAATBB5rVqb9/eCEGwSm5v394IMENJUS5OQVNEQVE6TVNGVC5JUV9SRVRVUk5fQ0FQSVRBTC45OTEuMTEvMDcvMjAyNgEAAABLVQAAAgAAAAYxNC4wNDMBCAAAAAUAAAABMQEAAAAKMTg5ODQ4OTQ3MAMAAAADMTYwAgAAAAQ0MzYzBAAAAAEwBwAAAAk3LzExLzIwMjYIAAAACTYvMzAvMjAxNgkAAAABMEHmtWpv394IxJtKbm/f3ggvQ0lRLk5BU0RBUTpNU0ZU</t>
  </si>
  <si>
    <t>LklRX0dST1NTX01BUkdJTi4yMDAwLjExLzA3LzIwMjYBAAAAS1UAAAIAAAAHNjguMzA5MgEIAAAABQAAAAExAQAAAAstMTg5MzI5ODk5NQMAAAADMTYwAgAAAAQ0MDc0BAAAAAEwBwAAAAk3LzExLzIwMjYIAAAACTMvMzEvMjAyNgkAAAABMEHmtWpv394IxJtKbm/f3ggrQ0lRLk5BU0RBUTpNU0ZULklRX05JX01BUkdJTi45OTMuMTEvMDcvMjAyNgEAAABLVQAAAgAAAAcxNS4wMTU0AQgAAAAFAAAAATEBAAAACjIwNDcyNzE3NDUDAAAAAzE2MAIAAAAENDA5NAQAAAABMAcAAAAJNy8xMS8yMDI2CAAAAAk2LzMwLzIwMTgJAAAAATBB5rVqb9/eCEGwSm5v394IKUNJUS5OQVNEQVE6TVNGVC5JUV9HQUFQX0JTLjk5MS4xMS8wNy8yMDI2AQAAAEtVAAADAAAAB1VTIEdBQVAAQea1am/f3ghBsEpub9/eCDFDSVEuTkFTREFROk1TRlQuSVFfTklfNVlSX0FOTl9DQUdSLjk5Mi4xMS8wNy8yMDI2AQAAAEtVAAACAAAABjguNDY1OQEIAAAABQAAAAExAQAAAAoxOTczMzgwOTUxAwAAAAMxNjACAAAABDQyMzgEAAAAATAHAAAACTcvMTEvMjAyNggAAAAJNi8zMC8yMDE3CQAAAAEwQea1am/f3ghBsEpub9/eCDpDSVEuTkFTREFROk1TRlQuSVFfVE9UQUxfUkVWXzFZUl9BTk5fR1JPV1RILjk5Mi4xMS8wNy8yMDI2AQAAAEtVAAACAAAABjUuOTQyNgEIAAAABQAAAAExAQAAAAoxOTczMzgwOTUxAwAAAAMxNjACAAAABDQx</t>
  </si>
  <si>
    <t>OTQEAAAAATAHAAAACTcvMTEvMjAyNggAAAAJNi8zMC8yMDE3CQAAAAEwQea1am/f3gjEm0pub9/eCDVDSVEuTkFTREFROk1TRlQuSVFfRUJJVF8xWVJfQU5OX0dST1dUSC45OTIuMTEvMDcvMjAyNgEAAABLVQAAAgAAAAY3Ljg4MjEBCAAAAAUAAAABMQEAAAAKMTk3MzM4MDk1MQMAAAADMTYwAgAAAAQ0MTk3BAAAAAEwBwAAAAk3LzExLzIwMjYIAAAACTYvMzAvMjAxNwkAAAABMEHmtWpv394IxJtKbm/f3ggxQ0lRLk5BU0RBUTpNU0ZULklRX0dQXzNZUl9BTk5fQ0FHUi45OTAuMTEvMDcvMjAyNgEAAABLVQAAAgAAAAYyLjUxNTkBCAAAAAUAAAABMQEAAAAKMTg1MTUyNTkxMgMAAAADMTYwAgAAAAQ0MjIxBAAAAAEwBwAAAAk3LzExLzIwMjYIAAAACTYvMzAvMjAxNQkAAAABMEHmtWpv394IxJtKbm/f3ghEQ0lRLk5BU0RBUTpNU0ZULklRX1RPVEFMX0RFQlRfRUJJVERBX0VYQ0xfT1BFUl9MRUFTRVMuOTkwLjExLzA3LzIwMjYBAAAAS1UAAAIAAAAIMS4wNTM5NzMBCAAAAAUAAAABMQEAAAAKMTg1MTUyNTkxMgMAAAADMTYwAgAAAAU0ODk5NAQAAAABMAcAAAAJNy8xMS8yMDI2CAAAAAk2LzMwLzIwMTUJAAAAATBB5rVqb9/eCMSbSm5v394IOUNJUS5OQVNEQVE6TVNGVC5JUV9UT1RBTF9ERUJUX0VCSVREQV9DQVBFWC45OTAuMTEvMDcvMjAyNgEAAABLVQAAAgAAAAgxLjI4MDcyOQEIAAAABQAAAAExAQAA</t>
  </si>
  <si>
    <t>AAoxODUxNTI1OTEyAwAAAAMxNjACAAAABTIzMzEzBAAAAAEwBwAAAAk3LzExLzIwMjYIAAAACTYvMzAvMjAxNQkAAAABMEHmtWpv394IxJtKbm/f3gg9Q0lRLk5BU0RBUTpNU0ZULklRX0VCSVREQV9FWENMX09QRVJfTEVBU0VTX0lOVC45OTIuMTEvMDcvMjAyNgEAAABLVQAAAgAAAAkxNi43MTA2MjEBCAAAAAUAAAABMQEAAAAKMTk3MzM4MDk1MQMAAAADMTYwAgAAAAU0OTE3MwQAAAABMAcAAAAJNy8xMS8yMDI2CAAAAAk2LzMwLzIwMTcJAAAAATBB5rVqb9/eCAKISm5v394ILUNJUS5OQVNEQVE6TVNGVC5JUV9RVUlDS19SQVRJTy45OTIuMTEvMDcvMjAyNgEAAABLVQAAAgAAAAgyLjc4NjQ3NAEIAAAABQAAAAExAQAAAAoxOTczMzgwOTUxAwAAAAMxNjACAAAABDQxMjEEAAAAATAHAAAACTcvMTEvMjAyNggAAAAJNi8zMC8yMDE3CQAAAAEwQea1am/f3ggCiEpub9/eCDJDSVEuTkFTREFROk1TRlQuSVFfREFZU19QQVlBQkxFX09VVC45OTAuMTEvMDcvMjAyNgEAAABLVQAAAgAAAAg3Ni44OTg5MwEIAAAABQAAAAExAQAAAAoxODUxNTI1OTEyAwAAAAMxNjACAAAABDQxODMEAAAAATAHAAAACTcvMTEvMjAyNggAAAAJNi8zMC8yMDE1CQAAAAEwQea1am/f3ggCiEpub9/eCC9DSVEuTkFTREFROk1TRlQuSVFfRUJJVERBX01BUkdJTi45OTAuMTEvMDcvMjAyNgEAAABLVQAAAgAAAAczNS44NzUxAQgAAAAF</t>
  </si>
  <si>
    <t>AAAAATEBAAAACjE4NTE1MjU5MTIDAAAAAzE2MAIAAAAENDA0NwQAAAABMAcAAAAJNy8xMS8yMDI2CAAAAAk2LzMwLzIwMTUJAAAAATBB5rVqb9/eCAKISm5v394IMENJUS5OQVNEQVE6TVNGVC5JUV9SRVRVUk5fQ0FQSVRBTC45OTIuMTEvMDcvMjAyNgEAAABLVQAAAgAAAAcxMS44MzU1AQgAAAAFAAAAATEBAAAACjE5NzMzODA5NTEDAAAAAzE2MAIAAAAENDM2MwQAAAABMAcAAAAJNy8xMS8yMDI2CAAAAAk2LzMwLzIwMTcJAAAAATBB5rVqb9/eCAKISm5v394IMkNJUS5OQVNEQVE6TVNGVC5JUV9OSV8zWVJfQU5OX0NBR1IuMjAwMC4xMS8wNy8yMDI2AQAAAEtVAAACAAAABjIxLjk2MwEIAAAABQAAAAExAQAAAAstMTg5MzI5ODk5NQMAAAADMTYwAgAAAAQ0MjI1BAAAAAEwBwAAAAk3LzExLzIwMjYIAAAACTMvMzEvMjAyNgkAAAABMEHmtWpv394IkGBKbm/f3ggxQ0lRLk5BU0RBUTpNU0ZULklRX05JXzVZUl9BTk5fQ0FHUi45OTMuMTEvMDcvMjAyNgEAAABLVQAAAgAAAAYtNS4zOTIBCAAAAAUAAAABMQEAAAAKMjA0NzI3MTc0NQMAAAADMTYwAgAAAAQ0MjM4BAAAAAEwBwAAAAk3LzExLzIwMjYIAAAACTYvMzAvMjAxOAkAAAABMEHmtWpv394IkGBKbm/f3gg1Q0lRLk5BU0RBUTpNU0ZULklRX0VCSVRfMVlSX0FOTl9HUk9XVEguOTkzLjExLzA3LzIwMjYBAAAAS1UAAAIAAAAHMTkuNTI1NAEIAAAABQAA</t>
  </si>
  <si>
    <t>AAExAQAAAAoyMDQ3MjcxNzQ1AwAAAAMxNjACAAAABDQxOTcEAAAAATAHAAAACTcvMTEvMjAyNggAAAAJNi8zMC8yMDE4CQAAAAEwQea1am/f3giQYEpub9/eCDFDSVEuTkFTREFROk1TRlQuSVFfR1BfM1lSX0FOTl9DQUdSLjk5MS4xMS8wNy8yMDI2AQAAAEtVAAACAAAABjAuNTI1MQEIAAAABQAAAAExAQAAAAoxODk4NDg5NDcwAwAAAAMxNjACAAAABDQyMjEEAAAAATAHAAAACTcvMTEvMjAyNggAAAAJNi8zMC8yMDE2CQAAAAEwQea1am/f3ggCiEpub9/eCDNDSVEuTkFTREFROk1TRlQuSVFfVE9UQUxfREVCVF9FQklUREEuOTkzLjExLzA3LzIwMjYBAAAAS1UAAAIAAAAIMS44ODAxNTMBCAAAAAUAAAABMQEAAAAKMjA0NzI3MTc0NQMAAAADMTYwAgAAAAQ0MTkyBAAAAAEwBwAAAAk3LzExLzIwMjYIAAAACTYvMzAvMjAxOAkAAAABMEHmtWpv394IAohKbm/f3gg5Q0lRLk5BU0RBUTpNU0ZULklRX1RPVEFMX0RFQlRfRUJJVERBX0NBUEVYLjk5MS4xMS8wNy8yMDI2AQAAAEtVAAACAAAACDIuMjA2MDgzAQgAAAAFAAAAATEBAAAACjE4OTg0ODk0NzADAAAAAzE2MAIAAAAFMjMzMTMEAAAAATAHAAAACTcvMTEvMjAyNggAAAAJNi8zMC8yMDE2CQAAAAEwQea1am/f3giQYEpub9/eCElDSVEuTkFTREFROk1TRlQuSVFfTkVUX0RFQlRfRUJJVERBX0VYQ0xfT1BFUl9MRUFTRVNfQ0FQRVguMjAwMC4xMS8wNy8y</t>
  </si>
  <si>
    <t>MDI2AQAAAEtVAAACAAAACDAuNTQxMTMxAQgAAAAFAAAAATEBAAAACy0xODkzMjk4OTk1AwAAAAMxNjACAAAABTQ5MTgyBAAAAAEwBwAAAAk3LzExLzIwMjYIAAAACTMvMzEvMjAyNgkAAAABMEHmtWpv394IkGBKbm/f3gg0Q0lRLk5BU0RBUTpNU0ZULklRX1RPVEFMX0RFQlRfQ0FQSVRBTC45OTEuMTEvMDcvMjAyNgEAAABLVQAAAgAAAAc0My4xMDI0AQgAAAAFAAAAATEBAAAACjE4OTg0ODk0NzADAAAAAzE2MAIAAAAENDE4NgQAAAABMAcAAAAJNy8xMS8yMDI2CAAAAAk2LzMwLzIwMTYJAAAAATBB5rVqb9/eCJBgSm5v394IOkNJUS5OQVNEQVE6TVNGVC5JUV9UT1RBTF9MSUFCX1RPVEFMX0FTU0VUUy4yMDAwLjExLzA3LzIwMjYBAAAAS1UAAAIAAAAHNDAuMzEyNQEIAAAABQAAAAExAQAAAAstMTg5MzI5ODk5NQMAAAADMTYwAgAAAAQ0MTg4BAAAAAEwBwAAAAk3LzExLzIwMjYIAAAACTMvMzEvMjAyNgkAAAABMEHmtWpv394IkGBKbm/f3gg9Q0lRLk5BU0RBUTpNU0ZULklRX0VCSVREQV9FWENMX09QRVJfTEVBU0VTX0lOVC45OTMuMTEvMDcvMjAyNgEAAABLVQAAAgAAAAkxNi40NTAwNTQBCAAAAAUAAAABMQEAAAAKMjA0NzI3MTc0NQMAAAADMTYwAgAAAAU0OTE3MwQAAAABMAcAAAAJNy8xMS8yMDI2CAAAAAk2LzMwLzIwMTgJAAAAATBB5rVqb9/eCJBgSm5v394IK0NJUS5OQVNEQVE6TVNGVC5JUV9B</t>
  </si>
  <si>
    <t>Ul9UVVJOUy4yMDAwLjExLzA3LzIwMjYBAAAAS1UAAAIAAAAINS42OTY2MTkBCAAAAAUAAAABMQEAAAALLTE4OTMyOTg5OTUDAAAAAzE2MAIAAAAENDAwMQQAAAABMAcAAAAJNy8xMS8yMDI2CAAAAAkzLzMxLzIwMjYJAAAAATBB5rVqb9/eCJhMSm5v394ILUNJUS5OQVNEQVE6TVNGVC5JUV9RVUlDS19SQVRJTy45OTMuMTEvMDcvMjAyNgEAAABLVQAAAgAAAAgyLjczODA4MwEIAAAABQAAAAExAQAAAAoyMDQ3MjcxNzQ1AwAAAAMxNjACAAAABDQxMjEEAAAAATAHAAAACTcvMTEvMjAyNggAAAAJNi8zMC8yMDE4CQAAAAEwQea1am/f3giQYEpub9/eCDJDSVEuTkFTREFROk1TRlQuSVFfREFZU19QQVlBQkxFX09VVC45OTEuMTEvMDcvMjAyNgEAAABLVQAAAgAAAAk3Ni44MzAzNTQBCAAAAAUAAAABMQEAAAAKMTg5ODQ4OTQ3MAMAAAADMTYwAgAAAAQ0MTgzBAAAAAEwBwAAAAk3LzExLzIwMjYIAAAACTYvMzAvMjAxNgkAAAABMEHmtWpv394IkGBKbm/f3ggvQ0lRLk5BU0RBUTpNU0ZULklRX0VCSVREQV9NQVJHSU4uOTkxLjExLzA3LzIwMjYBAAAAS1UAAAIAAAAHMzYuMjc0OAEIAAAABQAAAAExAQAAAAoxODk4NDg5NDcwAwAAAAMxNjACAAAABDQwNDcEAAAAATAHAAAACTcvMTEvMjAyNggAAAAJNi8zMC8yMDE2CQAAAAEwQea1am/f3giQYEpub9/eCDBDSVEuTkFTREFROk1TRlQuSVFfQ0FQRVhfUENUX1JF</t>
  </si>
  <si>
    <t>Vi4yMDAwLjExLzA3LzIwMjYBAAAAS1UAAAIAAAAHMzAuNTQ3NgEIAAAABQAAAAExAQAAAAstMTg5MzI5ODk5NQMAAAADMTYwAgAAAAUzNTM4MAQAAAABMAcAAAAJNy8xMS8yMDI2CAAAAAkzLzMxLzIwMjYJAAAAATBB5rVqb9/eCJBgSm5v394IMkNJUS5OQVNEQVE6TVNGVC5JUV9GSUxJTkdfQ1VSUkVOQ1kuMjAwMC4xMS8wNy8yMDI2AQAAAEtVAAADAAAAA1VTRACvF7Zqb9/eCJhMSm5v394IMENJUS5OQVNEQVE6TVNGVC5JUV9SRVRVUk5fQ0FQSVRBTC45OTMuMTEvMDcvMjAyNgEAAABLVQAAAgAAAAYxMi4zOTgBCAAAAAUAAAABMQEAAAAKMjA0NzI3MTc0NQMAAAADMTYwAgAAAAQ0MzYzBAAAAAEwBwAAAAk3LzExLzIwMjYIAAAACTYvMzAvMjAxOAkAAAABMEHmtWpv394ImExKbm/f3ghCQ0lRLk5BU0RBUTpNU0ZULklRX0VNUExPWUVFU19VTkRFUl9VTklPTl9DT05UUkFDVFMuMjAwMC4xMS8wNy8yMDI2AQAAAEtVAAADAAAAAABB5rVqb9/eCJhMSm5v394IM0NJUS5OQVNEQVE6TVNGVC5JUV9OVU1CRVJfQURSSE9MREVSUy45OTMuMTEvMDcvMjAyNgEAAABLVQAAAwAAAAAAQea1am/f3giYTEpub9/eCCxDSVEuTkFTREFROk1TRlQuSVFfRlVMTF9USU1FLjIwMDAuMTEvMDcvMjAyNgEAAABLVQAAAwAAAAAAQea1am/f3giYTEpub9/eCDJDSVEuTkFTREFROk1TRlQuSVFfRVBTXzNZUl9BTk5fQ0FHUi45</t>
  </si>
  <si>
    <t>OTAuMTEvMDcvMjAyNgEAAABLVQAAAgAAAActOS41NDk2AQgAAAAFAAAAATEBAAAACjE4NTE1MjU5MTIDAAAAAzE2MAIAAAAENDIyNgQAAAABMAcAAAAJNy8xMS8yMDI2CAAAAAk2LzMwLzIwMTUJAAAAATBB5rVqb9/eCPMkSm5v394INUNJUS5OQVNEQVE6TVNGVC5JUV9FQklUREFfNVlSX0FOTl9DQUdSLjk5MC4xMS8wNy8yMDI2AQAAAEtVAAACAAAABjQuNzYxOAEIAAAABQAAAAExAQAAAAoxODUxNTI1OTEyAwAAAAMxNjACAAAABDQyMzUEAAAAATAHAAAACTcvMTEvMjAyNggAAAAJNi8zMC8yMDE1CQAAAAEwQea1am/f3gjzJEpub9/eCDFDSVEuTkFTREFROk1TRlQuSVFfR1BfM1lSX0FOTl9DQUdSLjk5Mi4xMS8wNy8yMDI2AQAAAEtVAAACAAAABjEuNDA1NAEIAAAABQAAAAExAQAAAAoxOTczMzgwOTUxAwAAAAMxNjACAAAABDQyMjEEAAAAATAHAAAACTcvMTEvMjAyNggAAAAJNi8zMC8yMDE3CQAAAAEwQea1am/f3gjzJEpub9/eCDlDSVEuTkFTREFROk1TRlQuSVFfVE9UQUxfREVCVF9FQklUREFfQ0FQRVguOTkyLjExLzA3LzIwMjYBAAAAS1UAAAIAAAAIMy4xNDA4ODkBCAAAAAUAAAABMQEAAAAKMTk3MzM4MDk1MQMAAAADMTYwAgAAAAUyMzMxMwQAAAABMAcAAAAJNy8xMS8yMDI2CAAAAAk2LzMwLzIwMTcJAAAAATBB5rVqb9/eCPMkSm5v394INENJUS5OQVNEQVE6TVNGVC5JUV9UT1RBTF9ERUJU</t>
  </si>
  <si>
    <t>X0NBUElUQUwuOTkyLjExLzA3LzIwMjYBAAAAS1UAAAIAAAAHNTIuMTMyNwEIAAAABQAAAAExAQAAAAoxOTczMzgwOTUxAwAAAAMxNjACAAAABDQxODYEAAAAATAHAAAACTcvMTEvMjAyNggAAAAJNi8zMC8yMDE3CQAAAAEwQea1am/f3giYTEpub9/eCCpDSVEuTkFTREFROk1TRlQuSVFfRUJJVF9JTlQuOTkwLjExLzA3LzIwMjYBAAAAS1UAAAIAAAAJMzYuMDcxNzAyAQgAAAAFAAAAATEBAAAACjE4NTE1MjU5MTIDAAAAAzE2MAIAAAAENDE4OQQAAAABMAcAAAAJNy8xMS8yMDI2CAAAAAk2LzMwLzIwMTUJAAAAATBB5rVqb9/eCPMkSm5v394IMUNJUS5OQVNEQVE6TVNGVC5JUV9JTlZFTlRPUllfVFVSTlMuOTkwLjExLzA3LzIwMjYBAAAAS1UAAAIAAAAJMTEuODc5ODk5AQgAAAAFAAAAATEBAAAACjE4NTE1MjU5MTIDAAAAAzE2MAIAAAAENDA4MgQAAAABMAcAAAAJNy8xMS8yMDI2CAAAAAk2LzMwLzIwMTUJAAAAATBB5rVqb9/eCPMkSm5v394IL0NJUS5OQVNEQVE6TVNGVC5JUV9FQklUREFfTUFSR0lOLjk5Mi4xMS8wNy8yMDI2AQAAAEtVAAACAAAABzM4LjQ0OTQBCAAAAAUAAAABMQEAAAAKMTk3MzM4MDk1MQMAAAADMTYwAgAAAAQ0MDQ3BAAAAAEwBwAAAAk3LzExLzIwMjYIAAAACTYvMzAvMjAxNwkAAAABMEHmtWpv394I8yRKbm/f3ggvQ0lRLk5BU0RBUTpNU0ZULklRX0NBUEVYX1BDVF9SRVYuOTky</t>
  </si>
  <si>
    <t>LjExLzA3LzIwMjYBAAAAS1UAAAIAAAAGOC40MTc2AQgAAAAFAAAAATEBAAAACjE5NzMzODA5NTEDAAAAAzE2MAIAAAAFMzUzODAEAAAAATAHAAAACTcvMTEvMjAyNggAAAAJNi8zMC8yMDE3CQAAAAEwQea1am/f3gjzJEpub9/eCDBDSVEuTkFTREFROk1TRlQuSVFfUkVTVEFURU1FTlRfQlMuOTkwLjExLzA3LzIwMjYBAAAAS1UAAAMAAAACUlMAQea1am/f3gjzJEpub9/eCCxDSVEuTkFTREFROk1TRlQuSVFfUEVSSU9EREFURS45ODkuMTEvMDcvMjAyNgEAAABLVQAABQAAAAozMC8wNi8yMDE0AEHmtWpv394I8yRKbm/f3ggvQ0lRLk5BU0RBUTpNU0ZULklRX0FWR19FTVBMT1lFRVMuOTkwLjExLzA3LzIwMjYBAAAAS1UAAAMAAAAAAEHmtWpv394I8yRKbm/f3ggrQ0lRLk5BU0RBUTpNU0ZULklRX0ZVTExfVElNRS45OTIuMTEvMDcvMjAyNgEAAABLVQAAAgAAAAYxMjQwMDAAQea1am/f3gjzJEpub9/eCDFDSVEuTkFTREFROk1TRlQuSVFfTklfM1lSX0FOTl9DQUdSLjk5My4xMS8wNy8yMDI2AQAAAEtVAAACAAAABzEwLjc2NzYBCAAAAAUAAAABMQEAAAAKMjA0NzI3MTc0NQMAAAADMTYwAgAAAAQ0MjI1BAAAAAEwBwAAAAk3LzExLzIwMjYIAAAACTYvMzAvMjAxOAkAAAABMEHmtWpv394I8yRKbm/f3gg1Q0lRLk5BU0RBUTpNU0ZULklRX0VCSVREQV81WVJfQU5OX0NBR1IuOTkxLjExLzA3LzIwMjYBAAAA</t>
  </si>
  <si>
    <t>S1UAAAIAAAAGMi4xNzE4AQgAAAAFAAAAATEBAAAACjE4OTg0ODk0NzADAAAAAzE2MAIAAAAENDIzNQQAAAABMAcAAAAJNy8xMS8yMDI2CAAAAAk2LzMwLzIwMTYJAAAAATBB5rVqb9/eCPMkSm5v394IM0NJUS5OQVNEQVE6TVNGVC5JUV9HUF8xWVJfQU5OX0dST1dUSC45OTEuMTEvMDcvMjAyNgEAAABLVQAAAgAAAAYtMy41ODEBCAAAAAUAAAABMQEAAAAKMTg5ODQ4OTQ3MAMAAAADMTYwAgAAAAQ0MTk1BAAAAAEwBwAAAAk3LzExLzIwMjYIAAAACTYvMzAvMjAxNgkAAAABMEHmtWpv394IpxBKbm/f3gg0Q0lRLk5BU0RBUTpNU0ZULklRX05JXzFZUl9BTk5fR1JPV1RILjIwMDAuMTEvMDcvMjAyNgEAAABLVQAAAgAAAAcyOS41NzYyAQgAAAAFAAAAATEBAAAACy0xODkzMjk4OTk1AwAAAAMxNjACAAAABDQxOTkEAAAAATAHAAAACTcvMTEvMjAyNggAAAAJMy8zMS8yMDI2CQAAAAEwQea1am/f3ginEEpub9/eCDFDSVEuTkFTREFROk1TRlQuSVFfR1BfM1lSX0FOTl9DQUdSLjk5My4xMS8wNy8yMDI2AQAAAEtVAAACAAAABjUuOTUxMgEIAAAABQAAAAExAQAAAAoyMDQ3MjcxNzQ1AwAAAAMxNjACAAAABDQyMjEEAAAAATAHAAAACTcvMTEvMjAyNggAAAAJNi8zMC8yMDE4CQAAAAEwQea1am/f3ginEEpub9/eCEVDSVEuTkFTREFROk1TRlQuSVFfVE9UQUxfREVCVF9FQklUREFfRVhDTF9PUEVSX0xFQVNFUy4y</t>
  </si>
  <si>
    <t>MDAwLjExLzA3LzIwMjYBAAAAS1UAAAIAAAAIMC42ODAwMDYBCAAAAAUAAAABMQEAAAALLTE4OTMyOTg5OTUDAAAAAzE2MAIAAAAFNDg5OTQEAAAAATAHAAAACTcvMTEvMjAyNggAAAAJMy8zMS8yMDI2CQAAAAEwQea1am/f3ginEEpub9/eCDlDSVEuTkFTREFROk1TRlQuSVFfVE9UQUxfREVCVF9FQklUREFfQ0FQRVguOTkzLjExLzA3LzIwMjYBAAAAS1UAAAIAAAAIMi41MDY2MDIBCAAAAAUAAAABMQEAAAAKMjA0NzI3MTc0NQMAAAADMTYwAgAAAAUyMzMxMwQAAAABMAcAAAAJNy8xMS8yMDI2CAAAAAk2LzMwLzIwMTgJAAAAATBB5rVqb9/eCKcQSm5v394IKkNJUS5OQVNEQVE6TVNGVC5JUV9FQklUX0lOVC45OTEuMTEvMDcvMjAyNgEAAABLVQAAAgAAAAkyMS44NzI4ODgBCAAAAAUAAAABMQEAAAAKMTg5ODQ4OTQ3MAMAAAADMTYwAgAAAAQ0MTg5BAAAAAEwBwAAAAk3LzExLzIwMjYIAAAACTYvMzAvMjAxNgkAAAABMEHmtWpv394IGelJbm/f3ggzQ0lRLk5BU0RBUTpNU0ZULklRX0VCSVREQV9DQVBFWF9JTlQuMjAwMC4xMS8wNy8yMDI2AQAAAEtVAAACAAAACTMyLjg3ODI3OQEIAAAABQAAAAExAQAAAAstMTg5MzI5ODk5NQMAAAADMTYwAgAAAAQ0MTkxBAAAAAEwBwAAAAk3LzExLzIwMjYIAAAACTMvMzEvMjAyNgkAAAABMEHmtWpv394IGelJbm/f3ggzQ0lRLk5BU0RBUTpNU0ZULklRX0NGT19DVVJS</t>
  </si>
  <si>
    <t>RU5UX0xJQUIuMjAwMC4xMS8wNy8yMDI2AQAAAEtVAAACAAAACDEuMjQ0OTg1AQgAAAAFAAAAATEBAAAACy0xODkzMjk4OTk1AwAAAAMxNjACAAAABDQxODUEAAAAATAHAAAACTcvMTEvMjAyNggAAAAJMy8zMS8yMDI2CQAAAAEwQea1am/f3ggZ6Ulub9/eCDRDSVEuTkFTREFROk1TRlQuSVFfVE9UQUxfREVCVF9DQVBJVEFMLjk5My4xMS8wNy8yMDI2AQAAAEtVAAACAAAABzUxLjQwNjkBCAAAAAUAAAABMQEAAAAKMjA0NzI3MTc0NQMAAAADMTYwAgAAAAQ0MTg2BAAAAAEwBwAAAAk3LzExLzIwMjYIAAAACTYvMzAvMjAxOAkAAAABMEHmtWpv394IpxBKbm/f3ggvQ0lRLk5BU0RBUTpNU0ZULklRX0NBUEVYX1BDVF9SRVYuOTkzLjExLzA3LzIwMjYBAAAAS1UAAAIAAAAFMTAuNTQBCAAAAAUAAAABMQEAAAAKMjA0NzI3MTc0NQMAAAADMTYwAgAAAAUzNTM4MAQAAAABMAcAAAAJNy8xMS8yMDI2CAAAAAk2LzMwLzIwMTgJAAAAATBB5rVqb9/eCKcQSm5v394IMUNJUS5OQVNEQVE6TVNGVC5JUV9JTlZFTlRPUllfVFVSTlMuOTkxLjExLzA3LzIwMjYBAAAAS1UAAAIAAAAJMTIuNzIyNjg1AQgAAAAFAAAAATEBAAAACjE4OTg0ODk0NzADAAAAAzE2MAIAAAAENDA4MgQAAAABMAcAAAAJNy8xMS8yMDI2CAAAAAk2LzMwLzIwMTYJAAAAATBB5rVqb9/eCBnpSW5v394IMUNJUS5OQVNEQVE6TVNGVC5JUV9GSUxJTkdf</t>
  </si>
  <si>
    <t>Q1VSUkVOQ1kuOTkzLjExLzA3LzIwMjYBAAAAS1UAAAMAAAADVVNEADEstmpv394IGelJbm/f3ggwQ0lRLk5BU0RBUTpNU0ZULklRX1JFVFVSTl9FUVVJVFkuMjAwMC4xMS8wNy8yMDI2AQAAAEtVAAACAAAABzM0LjAxNDEBCAAAAAUAAAABMQEAAAALLTE4OTMyOTg5OTUDAAAAAzE2MAIAAAAENDEyOAQAAAABMAcAAAAJNy8xMS8yMDI2CAAAAAkzLzMxLzIwMjYJAAAAATBB5rVqb9/eCBnpSW5v394INUNJUS5OQVNEQVE6TVNGVC5JUV9FQklUREFfNVlSX0FOTl9DQUdSLjk5Mi4xMS8wNy8yMDI2AQAAAEtVAAACAAAABjMuODY3NgEIAAAABQAAAAExAQAAAAoxOTczMzgwOTUxAwAAAAMxNjACAAAABDQyMzUEAAAAATAHAAAACTcvMTEvMjAyNggAAAAJNi8zMC8yMDE3CQAAAAEwQea1am/f3ggZ6Ulub9/eCDNDSVEuTkFTREFROk1TRlQuSVFfR1BfMVlSX0FOTl9HUk9XVEguOTkyLjExLzA3LzIwMjYBAAAAS1UAAAIAAAAGNi43NDI3AQgAAAAFAAAAATEBAAAACjE5NzMzODA5NTEDAAAAAzE2MAIAAAAENDE5NQQAAAABMAcAAAAJNy8xMS8yMDI2CAAAAAk2LzMwLzIwMTcJAAAAATBB5rVqb9/eCBnpSW5v394INENJUS5OQVNEQVE6TVNGVC5JUV9FUFNfMVlSX0FOTl9HUk9XVEguOTkwLjExLzA3LzIwMjYBAAAAS1UAAAIAAAAILTQzLjcyNjMBCAAAAAUAAAABMQEAAAAKMTg1MTUyNTkxMgMAAAADMTYwAgAAAAQ0</t>
  </si>
  <si>
    <t>MjAwBAAAAAEwBwAAAAk3LzExLzIwMjYIAAAACTYvMzAvMjAxNQkAAAABMEHmtWpv394IRdVJbm/f3ggyQ0lRLk5BU0RBUTpNU0ZULklRX0VCSVREQV9DQVBFWF9JTlQuOTkyLjExLzA3LzIwMjYBAAAAS1UAAAIAAAAJMTMuNjg3NjY4AQgAAAAFAAAAATEBAAAACjE5NzMzODA5NTEDAAAAAzE2MAIAAAAENDE5MQQAAAABMAcAAAAJNy8xMS8yMDI2CAAAAAk2LzMwLzIwMTcJAAAAATBB5rVqb9/eCEXVSW5v394IMUNJUS5OQVNEQVE6TVNGVC5JUV9ORVRfREVCVF9FQklUREEuOTkwLjExLzA3LzIwMjYBAAAAS1UAAAMAAAACTk0BCAAAAAUAAAABMQEAAAAKMTg1MTUyNTkxMgMAAAADMTYwAgAAAAQ0MTkzBAAAAAEwBwAAAAk3LzExLzIwMjYIAAAACTYvMzAvMjAxNQkAAAABMEHmtWpv394IGelJbm/f3ggxQ0lRLk5BU0RBUTpNU0ZULklRX0NBU0hfQ09OVkVSU0lPTi45OTAuMTEvMDcvMjAyNgEAAABLVQAAAgAAAAkyNi44NjM2MzUBCAAAAAUAAAABMQEAAAAKMTg1MTUyNTkxMgMAAAADMTYwAgAAAAQ0MTg0BAAAAAEwBwAAAAk3LzExLzIwMjYIAAAACTYvMzAvMjAxNQkAAAABMEHmtWpv394IGelJbm/f3ggqQ0lRLk5BU0RBUTpNU0ZULklRX0VCSVRfSU5ULjk5Mi4xMS8wNy8yMDI2AQAAAEtVAAACAAAACDEzLjIwMDI3AQgAAAAFAAAAATEBAAAACjE5NzMzODA5NTEDAAAAAzE2MAIAAAAENDE4OQQAAAABMAcA</t>
  </si>
  <si>
    <t>AAAJNy8xMS8yMDI2CAAAAAk2LzMwLzIwMTcJAAAAATB7A7Zqb9/eCBnpSW5v394IMUNJUS5OQVNEQVE6TVNGVC5JUV9JTlZFTlRPUllfVFVSTlMuOTkyLjExLzA3LzIwMjYBAAAAS1UAAAIAAAAIMTUuNDYwNzQBCAAAAAUAAAABMQEAAAAKMTk3MzM4MDk1MQMAAAADMTYwAgAAAAQ0MDgyBAAAAAEwBwAAAAk3LzExLzIwMjYIAAAACTYvMzAvMjAxNwkAAAABMHsDtmpv394IRdVJbm/f3ggwQ0lRLk5BU0RBUTpNU0ZULklRX0RBWVNfU0FMRVNfT1VULjk5MC4xMS8wNy8yMDI2AQAAAEtVAAACAAAACDczLjAzODY5AQgAAAAFAAAAATEBAAAACjE4NTE1MjU5MTIDAAAAAzE2MAIAAAAENDA0MgQAAAABMAcAAAAJNy8xMS8yMDI2CAAAAAk2LzMwLzIwMTUJAAAAATB7A7Zqb9/eCEXVSW5v394INkNJUS5OQVNEQVE6TVNGVC5JUV9SRVRVUk5fQ09NTU9OX0VRVUlUWS45OTAuMTEvMDcvMjAyNgEAAABLVQAAAgAAAAcxNC4zNTU5AQgAAAAFAAAAATEBAAAACjE4NTE1MjU5MTIDAAAAAzE2MAIAAAAFMzMzMjAEAAAAATAHAAAACTcvMTEvMjAyNggAAAAJNi8zMC8yMDE1CQAAAAEwewO2am/f3ghF1Ulub9/eCC9DSVEuTkFTREFROk1TRlQuSVFfQVZHX0VNUExPWUVFUy45OTIuMTEvMDcvMjAyNgEAAABLVQAAAwAAAAAAewO2am/f3ghF1Ulub9/eCDNDSVEuTkFTREFROk1TRlQuSVFfRVBTXzVZUl9BTk5fQ0FHUi4yMDAw</t>
  </si>
  <si>
    <t>LjExLzA3LzIwMjYBAAAAS1UAAAIAAAAGMTguMDAyAQgAAAAFAAAAATEBAAAACy0xODkzMjk4OTk1AwAAAAMxNjACAAAABDQyMzkEAAAAATAHAAAACTcvMTEvMjAyNggAAAAJMy8zMS8yMDI2CQAAAAEwewO2am/f3ghF1Ulub9/eCDZDSVEuTkFTREFROk1TRlQuSVFfRUJJVERBXzNZUl9BTk5fQ0FHUi4yMDAwLjExLzA3LzIwMjYBAAAAS1UAAAIAAAAHMjMuMDI2MQEIAAAABQAAAAExAQAAAAstMTg5MzI5ODk5NQMAAAADMTYwAgAAAAQ0MjIyBAAAAAEwBwAAAAk3LzExLzIwMjYIAAAACTMvMzEvMjAyNgkAAAABMHsDtmpv394I1a1Jbm/f3ggzQ0lRLk5BU0RBUTpNU0ZULklRX0VQU18zWVJfQU5OX0NBR1IuMjAwMC4xMS8wNy8yMDI2AQAAAEtVAAACAAAABzIyLjA3NzYBCAAAAAUAAAABMQEAAAALLTE4OTMyOTg5OTUDAAAAAzE2MAIAAAAENDIyNgQAAAABMAcAAAAJNy8xMS8yMDI2CAAAAAkzLzMxLzIwMjYJAAAAATB7A7Zqb9/eCNWtSW5v394INUNJUS5OQVNEQVE6TVNGVC5JUV9FQklUREFfNVlSX0FOTl9DQUdSLjk5My4xMS8wNy8yMDI2AQAAAEtVAAACAAAABjcuODMyNQEIAAAABQAAAAExAQAAAAoyMDQ3MjcxNzQ1AwAAAAMxNjACAAAABDQyMzUEAAAAATAHAAAACTcvMTEvMjAyNggAAAAJNi8zMC8yMDE4CQAAAAEwewO2am/f3gjVrUlub9/eCDNDSVEuTkFTREFROk1TRlQuSVFfR1BfMVlSX0FOTl9H</t>
  </si>
  <si>
    <t>Uk9XVEguOTkzLjExLzA3LzIwMjYBAAAAS1UAAAIAAAAHMTUuNTYyNQEIAAAABQAAAAExAQAAAAoyMDQ3MjcxNzQ1AwAAAAMxNjACAAAABDQxOTUEAAAAATAHAAAACTcvMTEvMjAyNggAAAAJNi8zMC8yMDE4CQAAAAEwewO2am/f3gjVrUlub9/eCDRDSVEuTkFTREFROk1TRlQuSVFfRVBTXzFZUl9BTk5fR1JPV1RILjk5MS4xMS8wNy8yMDI2AQAAAEtVAAACAAAABzcyLjk3MjkBCAAAAAUAAAABMQEAAAAKMTg5ODQ4OTQ3MAMAAAADMTYwAgAAAAQ0MjAwBAAAAAEwBwAAAAk3LzExLzIwMjYIAAAACTYvMzAvMjAxNgkAAAABMHsDtmpv394I1a1Jbm/f3ggyQ0lRLk5BU0RBUTpNU0ZULklRX0VCSVREQV9DQVBFWF9JTlQuOTkzLjExLzA3LzIwMjYBAAAAS1UAAAIAAAAJMTIuNzczODc0AQgAAAAFAAAAATEBAAAACjIwNDcyNzE3NDUDAAAAAzE2MAIAAAAENDE5MQQAAAABMAcAAAAJNy8xMS8yMDI2CAAAAAk2LzMwLzIwMTgJAAAAATB7A7Zqb9/eCNWtSW5v394IMUNJUS5OQVNEQVE6TVNGVC5JUV9ORVRfREVCVF9FQklUREEuOTkxLjExLzA3LzIwMjYBAAAAS1UAAAMAAAACTk0BCAAAAAUAAAABMQEAAAAKMTg5ODQ4OTQ3MAMAAAADMTYwAgAAAAQ0MTkzBAAAAAEwBwAAAAk3LzExLzIwMjYIAAAACTYvMzAvMjAxNgkAAAABMHsDtmpv394I1a1Jbm/f3ghLQ0lRLk5BU0RBUTpNU0ZULklRX1RPVEFMX0RFQlRfRUJJ</t>
  </si>
  <si>
    <t>VERBX0VYQ0xfT1BFUl9MRUFTRVNfQ0FQRVguMjAwMC4xMS8wNy8yMDI2AQAAAEtVAAACAAAACDEuNDM3OTEyAQgAAAAFAAAAATEBAAAACy0xODkzMjk4OTk1AwAAAAMxNjACAAAABTQ5MTgzBAAAAAEwBwAAAAk3LzExLzIwMjYIAAAACTMvMzEvMjAyNgkAAAABMHsDtmpv394I1a1Jbm/f3ggxQ0lRLk5BU0RBUTpNU0ZULklRX0NBU0hfQ09OVkVSU0lPTi45OTEuMTEvMDcvMjAyNgEAAABLVQAAAgAAAAkyNC41ODEyOTIBCAAAAAUAAAABMQEAAAAKMTg5ODQ4OTQ3MAMAAAADMTYwAgAAAAQ0MTg0BAAAAAEwBwAAAAk3LzExLzIwMjYIAAAACTYvMzAvMjAxNgkAAAABMHsDtmpv394I1a1Jbm/f3ggxQ0lRLk5BU0RBUTpNU0ZULklRX0xUX0RFQlRfRVFVSVRZLjIwMDAuMTEvMDcvMjAyNgEAAABLVQAAAgAAAAcyNS44MjEzAQgAAAAFAAAAATEBAAAACy0xODkzMjk4OTk1AwAAAAMxNjACAAAABDQwODUEAAAAATAHAAAACTcvMTEvMjAyNggAAAAJMy8zMS8yMDI2CQAAAAEwewO2am/f3gjVrUlub9/eCC5DSVEuTkFTREFROk1TRlQuSVFfQVNTRVRfVFVSTlMuMjAwMC4xMS8wNy8yMDI2AQAAAEtVAAACAAAABzAuNTA2NDYBCAAAAAUAAAABMQEAAAALLTE4OTMyOTg5OTUDAAAAAzE2MAIAAAAENDE3NwQAAAABMAcAAAAJNy8xMS8yMDI2CAAAAAkzLzMxLzIwMjYJAAAAATB7A7Zqb9/eCEiZSW5v394IMUNJUS5OQVNE</t>
  </si>
  <si>
    <t>QVE6TVNGVC5JUV9JTlZFTlRPUllfVFVSTlMuOTkzLjExLzA3LzIwMjYBAAAAS1UAAAIAAAAJMTUuODM4NTI5AQgAAAAFAAAAATEBAAAACjIwNDcyNzE3NDUDAAAAAzE2MAIAAAAENDA4MgQAAAABMAcAAAAJNy8xMS8yMDI2CAAAAAk2LzMwLzIwMTgJAAAAATB7A7Zqb9/eCEiZSW5v394IMkNJUS5OQVNEQVE6TVNGVC5JUV9DRk9fQ1VSUkVOVF9MSUFCLjk5My4xMS8wNy8yMDI2AQAAAEtVAAACAAAACDAuNzUwMzA3AQgAAAAFAAAAATEBAAAACjIwNDcyNzE3NDUDAAAAAzE2MAIAAAAENDE4NQQAAAABMAcAAAAJNy8xMS8yMDI2CAAAAAk2LzMwLzIwMTgJAAAAATB7A7Zqb9/eCNWtSW5v394INkNJUS5OQVNEQVE6TVNGVC5JUV9SRVRVUk5fQ09NTU9OX0VRVUlUWS45OTEuMTEvMDcvMjAyNgEAAABLVQAAAgAAAAcyNy4wMTA3AQgAAAAFAAAAATEBAAAACjE4OTg0ODk0NzADAAAAAzE2MAIAAAAFMzMzMjAEAAAAATAHAAAACTcvMTEvMjAyNggAAAAJNi8zMC8yMDE2CQAAAAEwewO2am/f3gjVrUlub9/eCC1DSVEuTkFTREFROk1TRlQuSVFfRUJJVF9NQVJHSU4uOTkxLjExLzA3LzIwMjYBAAAAS1UAAAIAAAAHMjkuODI2NAEIAAAABQAAAAExAQAAAAoxODk4NDg5NDcwAwAAAAMxNjACAAAABDQwNTMEAAAAATAHAAAACTcvMTEvMjAyNggAAAAJNi8zMC8yMDE2CQAAAAEwewO2am/f3gjVrUlub9/eCDFDSVEuTkFT</t>
  </si>
  <si>
    <t>REFROk1TRlQuSVFfUkVTVEFURU1FTlRfQlMuMjAwMC4xMS8wNy8yMDI2AQAAAEtVAAADAAAAAU8AewO2am/f3ghImUlub9/eCDFDSVEuTkFTREFROk1TRlQuSVFfQ09TVF9CT1JST1dJTkcuMjAwMC4xMS8wNy8yMDI2AQAAAEtVAAACAAAABjIuNDgxMgEIAAAABQAAAAExAQAAAAstMTg5MzI5ODk5NQMAAAADMTYwAgAAAAUyMTY4MQQAAAABMAcAAAAJNy8xMS8yMDI2CAAAAAkzLzMxLzIwMjYJAAAAATB7A7Zqb9/eCEiZSW5v394ILENJUS5OQVNEQVE6TVNGVC5JUV9QQVJUX1RJTUUuMjAwMC4xMS8wNy8yMDI2AQAAAEtVAAADAAAAAAB7A7Zqb9/eCEiZSW5v394IL0NJUS5OQVNEQVE6TVNGVC5JUV9BVkdfRU1QTE9ZRUVTLjk5My4xMS8wNy8yMDI2AQAAAEtVAAADAAAAAAB7A7Zqb9/eCEiZSW5v394IOENJUS5OQVNEQVE6TVNGVC5JUV9UT1RBTF9SRVZfNVlSX0FOTl9DQUdSLjk5MC4xMS8wNy8yMDI2AQAAAEtVAAACAAAABjguNDEzNAEIAAAABQAAAAExAQAAAAoxODUxNTI1OTEyAwAAAAMxNjACAAAABDQyMzMEAAAAATAHAAAACTcvMTEvMjAyNggAAAAJNi8zMC8yMDE1CQAAAAEwewO2am/f3ghImUlub9/eCDRDSVEuTkFTREFROk1TRlQuSVFfRVBTXzFZUl9BTk5fR1JPV1RILjk5Mi4xMS8wNy8yMDI2AQAAAEtVAAACAAAABzI2Ljk1MzEBCAAAAAUAAAABMQEAAAAKMTk3MzM4MDk1MQMAAAADMTYwAgAA</t>
  </si>
  <si>
    <t>AAQ0MjAwBAAAAAEwBwAAAAk3LzExLzIwMjYIAAAACTYvMzAvMjAxNwkAAAABMHsDtmpv394Io4NJbm/f3gg1Q0lRLk5BU0RBUTpNU0ZULklRX0VCSVREQV8zWVJfQU5OX0NBR1IuOTkyLjExLzA3LzIwMjYBAAAAS1UAAAIAAAAGNC45MzkxAQgAAAAFAAAAATEBAAAACjE5NzMzODA5NTEDAAAAAzE2MAIAAAAENDIyMgQAAAABMAcAAAAJNy8xMS8yMDI2CAAAAAk2LzMwLzIwMTcJAAAAATB7A7Zqb9/eCKODSW5v394IN0NJUS5OQVNEQVE6TVNGVC5JUV9ORVRfREVCVF9FQklUREFfQ0FQRVguOTkwLjExLzA3LzIwMjYBAAAAS1UAAAMAAAACTk0BCAAAAAUAAAABMQEAAAAKMTg1MTUyNTkxMgMAAAADMTYwAgAAAAUyMzMxNAQAAAABMAcAAAAJNy8xMS8yMDI2CAAAAAk2LzMwLzIwMTUJAAAAATB7A7Zqb9/eCKODSW5v394IKUNJUS5OQVNEQVE6TVNGVC5JUV9aX1NDT1JFLjk5MC4xMS8wNy8yMDI2AQAAAEtVAAACAAAACDQuMDAyMjI4AQgAAAAFAAAAATEBAAAACjE4NTE1MjU5MTIDAAAAAzE2MAIAAAAGMTAwMTIzBAAAAAEwBwAAAAk3LzExLzIwMjYIAAAACTYvMzAvMjAxNQkAAAABMHsDtmpv394Io4NJbm/f3ggxQ0lRLk5BU0RBUTpNU0ZULklRX05FVF9ERUJUX0VCSVREQS45OTIuMTEvMDcvMjAyNgEAAABLVQAAAwAAAAJOTQEIAAAABQAAAAExAQAAAAoxOTczMzgwOTUxAwAAAAMxNjACAAAABDQxOTMEAAAA</t>
  </si>
  <si>
    <t>ATAHAAAACTcvMTEvMjAyNggAAAAJNi8zMC8yMDE3CQAAAAEwewO2am/f3gijg0lub9/eCDFDSVEuTkFTREFROk1TRlQuSVFfQ0FTSF9DT05WRVJTSU9OLjk5Mi4xMS8wNy8yMDI2AQAAAEtVAAACAAAACTI0LjI3MzU5NQEIAAAABQAAAAExAQAAAAoxOTczMzgwOTUxAwAAAAMxNjACAAAABDQxODQEAAAAATAHAAAACTcvMTEvMjAyNggAAAAJNi8zMC8yMDE3CQAAAAEwewO2am/f3gi9b0lub9/eCDFDSVEuTkFTREFROk1TRlQuSVFfTFRfREVCVF9DQVBJVEFMLjk5MC4xMS8wNy8yMDI2AQAAAEtVAAACAAAABjI0LjA4MwEIAAAABQAAAAExAQAAAAoxODUxNTI1OTEyAwAAAAMxNjACAAAABDQxODcEAAAAATAHAAAACTcvMTEvMjAyNggAAAAJNi8zMC8yMDE1CQAAAAEwewO2am/f3gi9b0lub9/eCC1DSVEuTkFTREFROk1TRlQuSVFfRUJJVF9NQVJHSU4uOTkyLjExLzA3LzIwMjYBAAAAS1UAAAIAAAAHMzAuMzcyNAEIAAAABQAAAAExAQAAAAoxOTczMzgwOTUxAwAAAAMxNjACAAAABDQwNTMEAAAAATAHAAAACTcvMTEvMjAyNggAAAAJNi8zMC8yMDE3CQAAAAEwewO2am/f3gijg0lub9/eCDNDSVEuTkFTREFROk1TRlQuSVFfRklYRURfQVNTRVRfVFVSTlMuOTkwLjExLzA3LzIwMjYBAAAAS1UAAAIAAAAINi43NDY0NDkBCAAAAAUAAAABMQEAAAAKMTg1MTUyNTkxMgMAAAADMTYwAgAAAAQ0MDY2BAAAAAEwBwAA</t>
  </si>
  <si>
    <t>AAk3LzExLzIwMjYIAAAACTYvMzAvMjAxNQkAAAABMHsDtmpv394Io4NJbm/f3gg4Q0lRLk5BU0RBUTpNU0ZULklRX1RPVEFMX1JFVl81WVJfQU5OX0NBR1IuOTkxLjExLzA3LzIwMjYBAAAAS1UAAAIAAAAGNS40NDAyAQgAAAAFAAAAATEBAAAACjE4OTg0ODk0NzADAAAAAzE2MAIAAAAENDIzMwQAAAABMAcAAAAJNy8xMS8yMDI2CAAAAAk2LzMwLzIwMTYJAAAAATB7A7Zqb9/eCKODSW5v394INENJUS5OQVNEQVE6TVNGVC5JUV9FQklUXzVZUl9BTk5fQ0FHUi4yMDAwLjExLzA3LzIwMjYBAAAAS1UAAAIAAAAHMTguMjU0MQEIAAAABQAAAAExAQAAAAstMTg5MzI5ODk5NQMAAAADMTYwAgAAAAQ0MjM2BAAAAAEwBwAAAAk3LzExLzIwMjYIAAAACTMvMzEvMjAyNgkAAAABMHsDtmpv394IvW9Jbm/f3gg4Q0lRLk5BU0RBUTpNU0ZULklRX0VCSVREQV8xWVJfQU5OX0dST1dUSC4yMDAwLjExLzA3LzIwMjYBAAAAS1UAAAIAAAAHMjUuOTc1NAEIAAAABQAAAAExAQAAAAstMTg5MzI5ODk5NQMAAAADMTYwAgAAAAQ0MTk2BAAAAAEwBwAAAAk3LzExLzIwMjYIAAAACTMvMzEvMjAyNgkAAAABMHsDtmpv394IvW9Jbm/f3gg1Q0lRLk5BU0RBUTpNU0ZULklRX0VCSVREQV8zWVJfQU5OX0NBR1IuOTkzLjExLzA3LzIwMjYBAAAAS1UAAAIAAAAHMTAuMjI0MQEIAAAABQAAAAExAQAAAAoyMDQ3MjcxNzQ1AwAAAAMxNjAC</t>
  </si>
  <si>
    <t>AAAABDQyMjIEAAAAATAHAAAACTcvMTEvMjAyNggAAAAJNi8zMC8yMDE4CQAAAAEwewO2am/f3gi9b0lub9/eCDFDSVEuTkFTREFROk1TRlQuSVFfTkVUX0RFQlRfRUJJVERBLjk5My4xMS8wNy8yMDI2AQAAAEtVAAADAAAAAk5NAQgAAAAFAAAAATEBAAAACjIwNDcyNzE3NDUDAAAAAzE2MAIAAAAENDE5MwQAAAABMAcAAAAJNy8xMS8yMDI2CAAAAAk2LzMwLzIwMTgJAAAAATB7A7Zqb9/eCL1vSW5v394ISkNJUS5OQVNEQVE6TVNGVC5JUV9UT1RBTF9ERUJUX0VCSVREQV9FWENMX09QRVJfTEVBU0VTX0NBUEVYLjk5My4xMS8wNy8yMDI2AQAAAEtVAAACAAAACDIuNjI1ODE3AQgAAAAFAAAAATEBAAAACjIwNDcyNzE3NDUDAAAAAzE2MAIAAAAFNDkxODMEAAAAATAHAAAACTcvMTEvMjAyNggAAAAJNi8zMC8yMDE4CQAAAAEwewO2am/f3gi9b0lub9/eCClDSVEuTkFTREFROk1TRlQuSVFfWl9TQ09SRS45OTEuMTEvMDcvMjAyNgEAAABLVQAAAgAAAAgzLjQzMTEwOQEIAAAABQAAAAExAQAAAAoxODk4NDg5NDcwAwAAAAMxNjACAAAABjEwMDEyMwQAAAABMAcAAAAJNy8xMS8yMDI2CAAAAAk2LzMwLzIwMTYJAAAAATB7A7Zqb9/eCEJISW5v394IMUNJUS5OQVNEQVE6TVNGVC5JUV9MVF9ERUJUX0NBUElUQUwuOTkxLjExLzA3LzIwMjYBAAAAS1UAAAIAAAAHMzIuNjUyNgEIAAAABQAAAAExAQAAAAoxODk4NDg5</t>
  </si>
  <si>
    <t>NDcwAwAAAAMxNjACAAAABDQxODcEAAAAATAHAAAACTcvMTEvMjAyNggAAAAJNi8zMC8yMDE2CQAAAAEwewO2am/f3ghCSElub9/eCCxDSVEuTkFTREFROk1TRlQuSVFfRUJJVERBX0lOVC45OTEuMTEvMDcvMjAyNgEAAABLVQAAAgAAAAkyNi42MDE3NjkBCAAAAAUAAAABMQEAAAAKMTg5ODQ4OTQ3MAMAAAADMTYwAgAAAAQ0MTkwBAAAAAEwBwAAAAk3LzExLzIwMjYIAAAACTYvMzAvMjAxNgkAAAABMHsDtmpv394IQkhJbm/f3ghEQ0lRLk5BU0RBUTpNU0ZULklRX0VCSVREQV9FWENMX09QRVJfTEVBU0VTX0NBUEVYX0lOVC4yMDAwLjExLzA3LzIwMjYBAAAAS1UAAAIAAAAJMzAuNTExMzY3AQgAAAAFAAAAATEBAAAACy0xODkzMjk4OTk1AwAAAAMxNjACAAAABTQ5MTc0BAAAAAEwBwAAAAk3LzExLzIwMjYIAAAACTMvMzEvMjAyNgkAAAABMHsDtmpv394IQkhJbm/f3ggwQ0lRLk5BU0RBUTpNU0ZULklRX0NVUlJFTlRfUkFUSU8uMjAwMC4xMS8wNy8yMDI2AQAAAEtVAAACAAAACDEuMjgyOTQ4AQgAAAAFAAAAATEBAAAACy0xODkzMjk4OTk1AwAAAAMxNjACAAAABDQwMzAEAAAAATAHAAAACTcvMTEvMjAyNggAAAAJMy8zMS8yMDI2CQAAAAEwewO2am/f3ghCSElub9/eCDFDSVEuTkFTREFROk1TRlQuSVFfREFZU19TQUxFU19PVVQuMjAwMC4xMS8wNy8yMDI2AQAAAEtVAAACAAAACDY0LjA3MjgzAQgAAAAF</t>
  </si>
  <si>
    <t>AAAAATEBAAAACy0xODkzMjk4OTk1AwAAAAMxNjACAAAABDQwNDIEAAAAATAHAAAACTcvMTEvMjAyNggAAAAJMy8zMS8yMDI2CQAAAAEwewO2am/f3ghCSElub9/eCDFDSVEuTkFTREFROk1TRlQuSVFfQ0FTSF9DT05WRVJTSU9OLjk5My4xMS8wNy8yMDI2AQAAAEtVAAACAAAACDI4LjcwNTA2AQgAAAAFAAAAATEBAAAACjIwNDcyNzE3NDUDAAAAAzE2MAIAAAAENDE4NAQAAAABMAcAAAAJNy8xMS8yMDI2CAAAAAk2LzMwLzIwMTgJAAAAATB7A7Zqb9/eCEJISW5v394ILUNJUS5OQVNEQVE6TVNGVC5JUV9FQklUX01BUkdJTi45OTMuMTEvMDcvMjAyNgEAAABLVQAAAgAAAAczMS43NjY5AQgAAAAFAAAAATEBAAAACjIwNDcyNzE3NDUDAAAAAzE2MAIAAAAENDA1MwQAAAABMAcAAAAJNy8xMS8yMDI2CAAAAAk2LzMwLzIwMTgJAAAAATB7A7Zqb9/eCEJISW5v394IM0NJUS5OQVNEQVE6TVNGVC5JUV9GSVhFRF9BU1NFVF9UVVJOUy45OTEuMTEvMDcvMjAyNgEAAABLVQAAAgAAAAg1LjUwOTk1OAEIAAAABQAAAAExAQAAAAoxODk4NDg5NDcwAwAAAAMxNjACAAAABDQwNjYEAAAAATAHAAAACTcvMTEvMjAyNggAAAAJNi8zMC8yMDE2CQAAAAEwewO2am/f3ghCSElub9/eCC5DSVEuTkFTREFROk1TRlQuSVFfQ0FMQ19UWVBFX0JTLjk5MS4xMS8wNy8yMDI2AQAAAEtVAAADAAAAA1JVUAB7A7Zqb9/eCEJISW5v394I</t>
  </si>
  <si>
    <t>MENJUS5OQVNEQVE6TVNGVC5JUV9SRVRVUk5fQVNTRVRTLjIwMDAuMTEvMDcvMjAyNgEAAABLVQAAAgAAAAcxNC44MTQ0AQgAAAAFAAAAATEBAAAACy0xODkzMjk4OTk1AwAAAAMxNjACAAAABDQxNzgEAAAAATAHAAAACTcvMTEvMjAyNggAAAAJMy8zMS8yMDI2CQAAAAEwewO2am/f3giCNElub9/eCDhDSVEuTkFTREFROk1TRlQuSVFfVE9UQUxfUkVWXzVZUl9BTk5fQ0FHUi45OTIuMTEvMDcvMjAyNgEAAABLVQAAAgAAAAY1LjU0NzcBCAAAAAUAAAABMQEAAAAKMTk3MzM4MDk1MQMAAAADMTYwAgAAAAQ0MjMzBAAAAAEwBwAAAAk3LzExLzIwMjYIAAAACTYvMzAvMjAxNwkAAAABMHsDtmpv394IgjRJbm/f3ggxQ0lRLk5BU0RBUTpNU0ZULklRX05JXzVZUl9BTk5fQ0FHUi45OTAuMTEvMDcvMjAyNgEAAABLVQAAAgAAAActOC4yNTY1AQgAAAAFAAAAATEBAAAACjE4NTE1MjU5MTIDAAAAAzE2MAIAAAAENDIzOAQAAAABMAcAAAAJNy8xMS8yMDI2CAAAAAk2LzMwLzIwMTUJAAAAATB7A7Zqb9/eCEJISW5v394INUNJUS5OQVNEQVE6TVNGVC5JUV9FQklUXzFZUl9BTk5fR1JPV1RILjk5MC4xMS8wNy8yMDI2AQAAAEtVAAACAAAABjEuMDI1NgEIAAAABQAAAAExAQAAAAoxODUxNTI1OTEyAwAAAAMxNjACAAAABDQxOTcEAAAAATAHAAAACTcvMTEvMjAyNggAAAAJNi8zMC8yMDE1CQAAAAEwewO2am/f3ghCSElu</t>
  </si>
  <si>
    <t>b9/eCClDSVEuTkFTREFROk1TRlQuSVFfWl9TQ09SRS45OTIuMTEvMDcvMjAyNgEAAABLVQAAAgAAAAgzLjE2ODMzNAEIAAAABQAAAAExAQAAAAoxOTczMzgwOTUxAwAAAAMxNjACAAAABjEwMDEyMwQAAAABMAcAAAAJNy8xMS8yMDI2CAAAAAk2LzMwLzIwMTcJAAAAATB7A7Zqb9/eCEJISW5v394ILENJUS5OQVNEQVE6TVNGVC5JUV9FQklUREFfSU5ULjk5Mi4xMS8wNy8yMDI2AQAAAEtVAAACAAAACTE3LjM0NjA4NAEIAAAABQAAAAExAQAAAAoxOTczMzgwOTUxAwAAAAMxNjACAAAABDQxOTAEAAAAATAHAAAACTcvMTEvMjAyNggAAAAJNi8zMC8yMDE3CQAAAAEwewO2am/f3giCNElub9/eCDNDSVEuTkFTREFROk1TRlQuSVFfVE9UQUxfREVCVF9FQklUREEuOTkwLjExLzA3LzIwMjYBAAAAS1UAAAIAAAAIMS4wNTM5NzMBCAAAAAUAAAABMQEAAAAKMTg1MTUyNTkxMgMAAAADMTYwAgAAAAQ0MTkyBAAAAAEwBwAAAAk3LzExLzIwMjYIAAAACTYvMzAvMjAxNQkAAAABMHsDtmpv394IgjRJbm/f3gg0Q0lRLk5BU0RBUTpNU0ZULklRX0RBWVNfSU5WRU5UT1JZX09VVC45OTAuMTEvMDcvMjAyNgEAAABLVQAAAgAAAAkzMC43MjM4NzUBCAAAAAUAAAABMQEAAAAKMTg1MTUyNTkxMgMAAAADMTYwAgAAAAQ0MDM1BAAAAAEwBwAAAAk3LzExLzIwMjYIAAAACTYvMzAvMjAxNQkAAAABMHsDtmpv394IgjRJbm/f3ggz</t>
  </si>
  <si>
    <t>Q0lRLk5BU0RBUTpNU0ZULklRX0ZJWEVEX0FTU0VUX1RVUk5TLjk5Mi4xMS8wNy8yMDI2AQAAAEtVAAACAAAACDMuOTcwNDM4AQgAAAAFAAAAATEBAAAACjE5NzMzODA5NTEDAAAAAzE2MAIAAAAENDA2NgQAAAABMAcAAAAJNy8xMS8yMDI2CAAAAAk2LzMwLzIwMTcJAAAAATB7A7Zqb9/eCII0SW5v394IL0NJUS5OQVNEQVE6TVNGVC5JUV9DVVJSRU5UX1JBVElPLjk5Mi4xMS8wNy8yMDI2AQAAAEtVAAACAAAACDIuOTE4NTc1AQgAAAAFAAAAATEBAAAACjE5NzMzODA5NTEDAAAAAzE2MAIAAAAENDAzMAQAAAABMAcAAAAJNy8xMS8yMDI2CAAAAAk2LzMwLzIwMTcJAAAAATB7A7Zqb9/eCII0SW5v394ILkNJUS5OQVNEQVE6TVNGVC5JUV9DQUxDX1RZUEVfQlMuOTkyLjExLzA3LzIwMjYBAAAAS1UAAAMAAAADUlVQAHsDtmpv394IMg1Jbm/f3ggwQ0lRLk5BU0RBUTpNU0ZULklRX1JFVFVSTl9DQVBJVEFMLjk5MC4xMS8wNy8yMDI2AQAAAEtVAAACAAAABzE1LjQxNDQBCAAAAAUAAAABMQEAAAAKMTg1MTUyNTkxMgMAAAADMTYwAgAAAAQ0MzYzBAAAAAEwBwAAAAk3LzExLzIwMjYIAAAACTYvMzAvMjAxNQkAAAABMHsDtmpv394IMg1Jbm/f3gguQ0lRLk5BU0RBUTpNU0ZULklRX0dST1NTX01BUkdJTi45OTAuMTEvMDcvMjAyNgEAAABLVQAAAgAAAAc2NC42OTU0AQgAAAAFAAAAATEBAAAACjE4NTE1MjU5MTID</t>
  </si>
  <si>
    <t>AAAAAzE2MAIAAAAENDA3NAQAAAABMAcAAAAJNy8xMS8yMDI2CAAAAAk2LzMwLzIwMTUJAAAAATB7A7Zqb9/eCDINSW5v394INENJUS5OQVNEQVE6TVNGVC5JUV9FQklUXzNZUl9BTk5fQ0FHUi4yMDAwLjExLzA3LzIwMjYBAAAAS1UAAAIAAAAHMjAuNTg0MwEIAAAABQAAAAExAQAAAAstMTg5MzI5ODk5NQMAAAADMTYwAgAAAAQ0MjIzBAAAAAEwBwAAAAk3LzExLzIwMjYIAAAACTMvMzEvMjAyNgkAAAABMHsDtmpv394IMg1Jbm/f3gg4Q0lRLk5BU0RBUTpNU0ZULklRX1RPVEFMX1JFVl81WVJfQU5OX0NBR1IuOTkzLjExLzA3LzIwMjYBAAAAS1UAAAIAAAAGNy4yMjg5AQgAAAAFAAAAATEBAAAACjIwNDcyNzE3NDUDAAAAAzE2MAIAAAAENDIzMwQAAAABMAcAAAAJNy8xMS8yMDI2CAAAAAk2LzMwLzIwMTgJAAAAATB7A7Zqb9/eCDINSW5v394IM0NJUS5OQVNEQVE6TVNGVC5JUV9FQklUXzVZUl9BTk5fQ0FHUi45OTMuMTEvMDcvMjAyNgEAAABLVQAAAgAAAAY0Ljk3ODUBCAAAAAUAAAABMQEAAAAKMjA0NzI3MTc0NQMAAAADMTYwAgAAAAQ0MjM2BAAAAAEwBwAAAAk3LzExLzIwMjYIAAAACTYvMzAvMjAxOAkAAAABMHsDtmpv394IMg1Jbm/f3gg1Q0lRLk5BU0RBUTpNU0ZULklRX0VCSVRfMVlSX0FOTl9HUk9XVEguOTkxLjExLzA3LzIwMjYBAAAAS1UAAAIAAAAHLTMuNDkyOQEIAAAABQAAAAExAQAAAAox</t>
  </si>
  <si>
    <t>ODk4NDg5NDcwAwAAAAMxNjACAAAABDQxOTcEAAAAATAHAAAACTcvMTEvMjAyNggAAAAJNi8zMC8yMDE2CQAAAAEwewO2am/f3ggyDUlub9/eCDhDSVEuTkFTREFROk1TRlQuSVFfVE9UQUxfUkVWXzNZUl9BTk5fQ0FHUi45OTEuMTEvMDcvMjAyNgEAAABLVQAAAgAAAAM1LjQBCAAAAAUAAAABMQEAAAAKMTg5ODQ4OTQ3MAMAAAADMTYwAgAAAAQ0MjIwBAAAAAEwBwAAAAk3LzExLzIwMjYIAAAACTYvMzAvMjAxNgkAAAABMHsDtmpv394IMg1Jbm/f3ghDQ0lRLk5BU0RBUTpNU0ZULklRX05FVF9ERUJUX0VCSVREQV9FWENMX09QRVJfTEVBU0VTLjIwMDAuMTEvMDcvMjAyNgEAAABLVQAAAgAAAAgwLjI1NTkwNwEIAAAABQAAAAExAQAAAAstMTg5MzI5ODk5NQMAAAADMTYwAgAAAAU0OTE3NQQAAAABMAcAAAAJNy8xMS8yMDI2CAAAAAkzLzMxLzIwMjYJAAAAATB7A7Zqb9/eCDINSW5v394IOENJUS5OQVNEQVE6TVNGVC5JUV9ORVRfREVCVF9FQklUREFfQ0FQRVguMjAwMC4xMS8wNy8yMDI2AQAAAEtVAAACAAAACDAuNTAyMTc1AQgAAAAFAAAAATEBAAAACy0xODkzMjk4OTk1AwAAAAMxNjACAAAABTIzMzE0BAAAAAEwBwAAAAk3LzExLzIwMjYIAAAACTMvMzEvMjAyNgkAAAABMHsDtmpv394IMg1Jbm/f3ggpQ0lRLk5BU0RBUTpNU0ZULklRX1pfU0NPUkUuOTkzLjExLzA3LzIwMjYBAAAAS1UAAAIAAAAIMy43</t>
  </si>
  <si>
    <t>MTU0OTQBCAAAAAUAAAABMQEAAAAKMjA0NzI3MTc0NQMAAAADMTYwAgAAAAYxMDAxMjMEAAAAATAHAAAACTcvMTEvMjAyNggAAAAJNi8zMC8yMDE4CQAAAAEwewO2am/f3giC+Uhub9/eCDFDSVEuTkFTREFROk1TRlQuSVFfTklfM1lSX0FOTl9DQUdSLjk5MC4xMS8wNy8yMDI2AQAAAEtVAAACAAAACC0xMC40NDgyAQgAAAAFAAAAATEBAAAACjE4NTE1MjU5MTIDAAAAAzE2MAIAAAAENDIyNQQAAAABMAcAAAAJNy8xMS8yMDI2CAAAAAk2LzMwLzIwMTUJAAAAATB7A7Zqb9/eCIL5SG5v394IOENJUS5OQVNEQVE6TVNGVC5JUV9UT1RBTF9SRVZfM1lSX0FOTl9DQUdSLjk5Mi4xMS8wNy8yMDI2AQAAAEtVAAACAAAABjMuNjA2NgEIAAAABQAAAAExAQAAAAoxOTczMzgwOTUxAwAAAAMxNjACAAAABDQyMjAEAAAAATAHAAAACTcvMTEvMjAyNggAAAAJNi8zMC8yMDE3CQAAAAEwewO2am/f3ggyDUlub9/eCEJDSVEuTkFTREFROk1TRlQuSVFfTkVUX0RFQlRfRUJJVERBX0VYQ0xfT1BFUl9MRUFTRVMuOTkyLjExLzA3LzIwMjYBAAAAS1UAAAMAAAACTk0BCAAAAAUAAAABMQEAAAAKMTk3MzM4MDk1MQMAAAADMTYwAgAAAAU0OTE3NQQAAAABMAcAAAAJNy8xMS8yMDI2CAAAAAk2LzMwLzIwMTcJAAAAATB7A7Zqb9/eCDINSW5v394ISENJUS5OQVNEQVE6TVNGVC5JUV9ORVRfREVCVF9FQklUREFfRVhDTF9PUEVSX0xF</t>
  </si>
  <si>
    <t>QVNFU19DQVBFWC45OTAuMTEvMDcvMjAyNgEAAABLVQAAAwAAAAJOTQEIAAAABQAAAAExAQAAAAoxODUxNTI1OTEyAwAAAAMxNjACAAAABTQ5MTgyBAAAAAEwBwAAAAk3LzExLzIwMjYIAAAACTYvMzAvMjAxNQkAAAABMHsDtmpv394IMg1Jbm/f3gg5Q0lRLk5BU0RBUTpNU0ZULklRX1RPVEFMX0xJQUJfVE9UQUxfQVNTRVRTLjk5MC4xMS8wNy8yMDI2AQAAAEtVAAACAAAABzU0LjA5OTcBCAAAAAUAAAABMQEAAAAKMTg1MTUyNTkxMgMAAAADMTYwAgAAAAQ0MTg4BAAAAAEwBwAAAAk3LzExLzIwMjYIAAAACTYvMzAvMjAxNQkAAAABMHsDtmpv394IINJIbm/f3ggzQ0lRLk5BU0RBUTpNU0ZULklRX1RPVEFMX0RFQlRfRUJJVERBLjk5Mi4xMS8wNy8yMDI2AQAAAEtVAAACAAAACDIuNDc4NDUyAQgAAAAFAAAAATEBAAAACjE5NzMzODA5NTEDAAAAAzE2MAIAAAAENDE5MgQAAAABMAcAAAAJNy8xMS8yMDI2CAAAAAk2LzMwLzIwMTcJAAAAATB7A7Zqb9/eCIL5SG5v394INENJUS5OQVNEQVE6TVNGVC5JUV9EQVlTX0lOVkVOVE9SWV9PVVQuOTkyLjExLzA3LzIwMjYBAAAAS1UAAAIAAAAJMjMuNjA3ODM1AQgAAAAFAAAAATEBAAAACjE5NzMzODA5NTEDAAAAAzE2MAIAAAAENDAzNQQAAAABMAcAAAAJNy8xMS8yMDI2CAAAAAk2LzMwLzIwMTcJAAAAATB7A7Zqb9/eCIL5SG5v394INENJUS5OQVNEQVE6TVNGVC5J</t>
  </si>
  <si>
    <t>UV9UT1RBTF9ERUJUX0NBUElUQUwuOTkwLjExLzA3LzIwMjYBAAAAS1UAAAIAAAAHMzAuNjQ0MgEIAAAABQAAAAExAQAAAAoxODUxNTI1OTEyAwAAAAMxNjACAAAABDQxODYEAAAAATAHAAAACTcvMTEvMjAyNggAAAAJNi8zMC8yMDE1CQAAAAEwewO2am/f3giC+Uhub9/eCDJDSVEuTkFTREFROk1TRlQuSVFfTklfNVlSX0FOTl9DQUdSLjIwMDAuMTEvMDcvMjAyNgEAAABLVQAAAgAAAAcxNy40NTQ5AQgAAAAFAAAAATEBAAAACy0xODkzMjk4OTk1AwAAAAMxNjACAAAABDQyMzgEAAAAATAHAAAACTcvMTEvMjAyNggAAAAJMy8zMS8yMDI2CQAAAAEwewO2am/f3giC+Uhub9/eCC9DSVEuTkFTREFROk1TRlQuSVFfQ0FQRVhfUENUX1JFVi45OTAuMTEvMDcvMjAyNgEAAABLVQAAAgAAAAY2LjM1MTcBCAAAAAUAAAABMQEAAAAKMTg1MTUyNTkxMgMAAAADMTYwAgAAAAUzNTM4MAQAAAABMAcAAAAJNy8xMS8yMDI2CAAAAAk2LzMwLzIwMTUJAAAAATB7A7Zqb9/eCCDSSG5v394IOENJUS5OQVNEQVE6TVNGVC5JUV9UT1RBTF9SRVZfM1lSX0FOTl9DQUdSLjk5My4xMS8wNy8yMDI2AQAAAEtVAAACAAAABjUuNjUxNgEIAAAABQAAAAExAQAAAAoyMDQ3MjcxNzQ1AwAAAAMxNjACAAAABDQyMjAEAAAAATAHAAAACTcvMTEvMjAyNggAAAAJNi8zMC8yMDE4CQAAAAEwewO2am/f3ggg0khub9/eCDFDSVEuTkFTREFROk1T</t>
  </si>
  <si>
    <t>RlQuSVFfTklfM1lSX0FOTl9DQUdSLjk5MS4xMS8wNy8yMDI2AQAAAEtVAAACAAAABy0yLjA2MDgBCAAAAAUAAAABMQEAAAAKMTg5ODQ4OTQ3MAMAAAADMTYwAgAAAAQ0MjI1BAAAAAEwBwAAAAk3LzExLzIwMjYIAAAACTYvMzAvMjAxNgkAAAABMHsDtmpv394IINJIbm/f3ggyQ0lRLk5BU0RBUTpNU0ZULklRX0dQXzVZUl9BTk5fQ0FHUi4yMDAwLjExLzA3LzIwMjYBAAAAS1UAAAIAAAAHMTQuNzI1OAEIAAAABQAAAAExAQAAAAstMTg5MzI5ODk5NQMAAAADMTYwAgAAAAQ0MjM0BAAAAAEwBwAAAAk3LzExLzIwMjYIAAAACTMvMzEvMjAyNgkAAAABMHsDtmpv394IINJIbm/f3ghIQ0lRLk5BU0RBUTpNU0ZULklRX05FVF9ERUJUX0VCSVREQV9FWENMX09QRVJfTEVBU0VTX0NBUEVYLjk5MS4xMS8wNy8yMDI2AQAAAEtVAAADAAAAAk5NAQgAAAAFAAAAATEBAAAACjE4OTg0ODk0NzADAAAAAzE2MAIAAAAFNDkxODIEAAAAATAHAAAACTcvMTEvMjAyNggAAAAJNi8zMC8yMDE2CQAAAAEwewO2am/f3ggg0khub9/eCDtDSVEuTkFTREFROk1TRlQuSVFfVE9UQUxfUkVWXzFZUl9BTk5fR1JPV1RILjIwMDAuMTEvMDcvMjAyNgEAAABLVQAAAgAAAAcxNy44NzQ1AQgAAAAFAAAAATEBAAAACy0xODkzMjk4OTk1AwAAAAMxNjACAAAABDQxOTQEAAAAATAHAAAACTcvMTEvMjAyNggAAAAJMy8zMS8yMDI2CQAAAAEwewO2</t>
  </si>
  <si>
    <t>am/f3ggg0khub9/eCD5DSVEuTkFTREFROk1TRlQuSVFfRUJJVERBX0VYQ0xfT1BFUl9MRUFTRVNfSU5ULjIwMDAuMTEvMDcvMjAyNgEAAABLVQAAAgAAAAk2NC41MTgwMTMBCAAAAAUAAAABMQEAAAALLTE4OTMyOTg5OTUDAAAAAzE2MAIAAAAFNDkxNzMEAAAAATAHAAAACTcvMTEvMjAyNggAAAAJMy8zMS8yMDI2CQAAAAEwewO2am/f3ggg0khub9/eCEJDSVEuTkFTREFROk1TRlQuSVFfTkVUX0RFQlRfRUJJVERBX0VYQ0xfT1BFUl9MRUFTRVMuOTkzLjExLzA3LzIwMjYBAAAAS1UAAAMAAAACTk0BCAAAAAUAAAABMQEAAAAKMjA0NzI3MTc0NQMAAAADMTYwAgAAAAU0OTE3NQQAAAABMAcAAAAJNy8xMS8yMDI2CAAAAAk2LzMwLzIwMTgJAAAAATB7A7Zqb9/eCCDSSG5v394IM0NJUS5OQVNEQVE6TVNGVC5JUV9UT1RBTF9ERUJUX0VRVUlUWS45OTMuMTEvMDcvMjAyNgEAAABLVQAAAgAAAAgxMDUuNzkwNwEIAAAABQAAAAExAQAAAAoyMDQ3MjcxNzQ1AwAAAAMxNjACAAAABDQwMzQEAAAAATAHAAAACTcvMTEvMjAyNggAAAAJNi8zMC8yMDE4CQAAAAEwewO2am/f3ggg0khub9/eCDlDSVEuTkFTREFROk1TRlQuSVFfVE9UQUxfTElBQl9UT1RBTF9BU1NFVFMuOTkxLjExLzA3LzIwMjYBAAAAS1UAAAIAAAAGNjIuNzg2AQgAAAAFAAAAATEBAAAACjE4OTg0ODk0NzADAAAAAzE2MAIAAAAENDE4OAQAAAABMAcA</t>
  </si>
  <si>
    <t>AAAJNy8xMS8yMDI2CAAAAAk2LzMwLzIwMTYJAAAAATB7A7Zqb9/eCCDSSG5v394IKkNJUS5OQVNEQVE6TVNGVC5JUV9BUl9UVVJOUy45OTEuMTEvMDcvMjAyNgEAAABLVQAAAgAAAAc1LjAzODIyAQgAAAAFAAAAATEBAAAACjE4OTg0ODk0NzADAAAAAzE2MAIAAAAENDAwMQQAAAABMAcAAAAJNy8xMS8yMDI2CAAAAAk2LzMwLzIwMTYJAAAAATB7A7Zqb9/eCC2+SG5v394ILkNJUS5OQVNEQVE6TVNGVC5JUV9RVUlDS19SQVRJTy4yMDAwLjExLzA3LzIwMjYBAAAAS1UAAAIAAAAIMS4xNDIwMTUBCAAAAAUAAAABMQEAAAALLTE4OTMyOTg5OTUDAAAAAzE2MAIAAAAENDEyMQQAAAABMAcAAAAJNy8xMS8yMDI2CAAAAAkzLzMxLzIwMjYJAAAAATB7A7Zqb9/eCC2+SG5v394INENJUS5OQVNEQVE6TVNGVC5JUV9EQVlTX0lOVkVOVE9SWV9PVVQuOTkzLjExLzA3LzIwMjYBAAAAS1UAAAIAAAAJMjMuMDQ1MDA1AQgAAAAFAAAAATEBAAAACjIwNDcyNzE3NDUDAAAAAzE2MAIAAAAENDAzNQQAAAABMAcAAAAJNy8xMS8yMDI2CAAAAAk2LzMwLzIwMTgJAAAAATB7A7Zqb9/eCC2+SG5v394IMUNJUS5OQVNEQVE6TVNGVC5JUV9SRVRVUk5fQ0FQSVRBTC4yMDAwLjExLzA3LzIwMjYBAAAAS1UAAAIAAAAHMTkuMjYwOAEIAAAABQAAAAExAQAAAAstMTg5MzI5ODk5NQMAAAADMTYwAgAAAAQ0MzYzBAAAAAEwBwAAAAk3LzEx</t>
  </si>
  <si>
    <t>LzIwMjYIAAAACTMvMzEvMjAyNgkAAAABMHsDtmpv394ILb5Ibm/f3gguQ0lRLk5BU0RBUTpNU0ZULklRX0dST1NTX01BUkdJTi45OTMuMTEvMDcvMjAyNgEAAABLVQAAAgAAAAc2NS4yNDczAQgAAAAFAAAAATEBAAAACjIwNDcyNzE3NDUDAAAAAzE2MAIAAAAENDA3NAQAAAABMAcAAAAJNy8xMS8yMDI2CAAAAAk2LzMwLzIwMTgJAAAAATB7A7Zqb9/eCCDSSG5v394IL0NJUS5OQVNEQVE6TVNGVC5JUV9DQVBFWF9QQ1RfUkVWLjk5MS4xMS8wNy8yMDI2AQAAAEtVAAACAAAABjkuMTUyNgEIAAAABQAAAAExAQAAAAoxODk4NDg5NDcwAwAAAAMxNjACAAAABTM1MzgwBAAAAAEwBwAAAAk3LzExLzIwMjYIAAAACTYvMzAvMjAxNgkAAAABMHsDtmpv394Ii5ZIbm/f3ggxQ0lRLk5BU0RBUTpNU0ZULklRX0dQXzVZUl9BTk5fQ0FHUi45OTIuMTEvMDcvMjAyNgEAAABLVQAAAgAAAAYyLjA4ODEBCAAAAAUAAAABMQEAAAAKMTk3MzM4MDk1MQMAAAADMTYwAgAAAAQ0MjM0BAAAAAEwBwAAAAk3LzExLzIwMjYIAAAACTYvMzAvMjAxNwkAAAABMHsDtmpv394Ii5ZIbm/f3ggyQ0lRLk5BU0RBUTpNU0ZULklRX0VQU181WVJfQU5OX0NBR1IuOTkwLjExLzA3LzIwMjYBAAAAS1UAAAIAAAAHLTYuNzU4NwEIAAAABQAAAAExAQAAAAoxODUxNTI1OTEyAwAAAAMxNjACAAAABDQyMzkEAAAAATAHAAAACTcvMTEvMjAyNggAAAAJ</t>
  </si>
  <si>
    <t>Ni8zMC8yMDE1CQAAAAEwewO2am/f3ggtvkhub9/eCCpDSVEuTkFTREFROk1TRlQuSVFfR0FBUF9CUy4yMDAwLjExLzA3LzIwMjYBAAAAS1UAAAMAAAAHVVMgR0FBUAB7A7Zqb9/eCC2+SG5v394IM0NJUS5OQVNEQVE6TVNGVC5JUV9OSV8xWVJfQU5OX0dST1dUSC45OTAuMTEvMDcvMjAyNgEAAABLVQAAAgAAAAgtNDQuNzYzMQEIAAAABQAAAAExAQAAAAoxODUxNTI1OTEyAwAAAAMxNjACAAAABDQxOTkEAAAAATAHAAAACTcvMTEvMjAyNggAAAAJNi8zMC8yMDE1CQAAAAEwewO2am/f3ggtvkhub9/eCDFDSVEuTkFTREFROk1TRlQuSVFfTklfM1lSX0FOTl9DQUdSLjk5Mi4xMS8wNy8yMDI2AQAAAEtVAAACAAAABjQuOTExNwEIAAAABQAAAAExAQAAAAoxOTczMzgwOTUxAwAAAAMxNjACAAAABDQyMjUEAAAAATAHAAAACTcvMTEvMjAyNggAAAAJNi8zMC8yMDE3CQAAAAEwewO2am/f3giLlkhub9/eCEhDSVEuTkFTREFROk1TRlQuSVFfTkVUX0RFQlRfRUJJVERBX0VYQ0xfT1BFUl9MRUFTRVNfQ0FQRVguOTkyLjExLzA3LzIwMjYBAAAAS1UAAAMAAAACTk0BCAAAAAUAAAABMQEAAAAKMTk3MzM4MDk1MQMAAAADMTYwAgAAAAU0OTE4MgQAAAABMAcAAAAJNy8xMS8yMDI2CAAAAAk2LzMwLzIwMTcJAAAAATB7A7Zqb9/eCIuWSG5v394IM0NJUS5OQVNEQVE6TVNGVC5JUV9HUF8xWVJfQU5OX0dST1dUSC45OTAu</t>
  </si>
  <si>
    <t>MTEvMDcvMjAyNgEAAABLVQAAAgAAAAUxLjMxNwEIAAAABQAAAAExAQAAAAoxODUxNTI1OTEyAwAAAAMxNjACAAAABDQxOTUEAAAAATAHAAAACTcvMTEvMjAyNggAAAAJNi8zMC8yMDE1CQAAAAEwewO2am/f3giLlkhub9/eCCpDSVEuTkFTREFROk1TRlQuSVFfQVJfVFVSTlMuOTkyLjExLzA3LzIwMjYBAAAAS1UAAAIAAAAINC43NDQ1NzEBCAAAAAUAAAABMQEAAAAKMTk3MzM4MDk1MQMAAAADMTYwAgAAAAQ0MDAxBAAAAAEwBwAAAAk3LzExLzIwMjYIAAAACTYvMzAvMjAxNwkAAAABMHsDtmpv394Ii5ZIbm/f3ggzQ0lRLk5BU0RBUTpNU0ZULklRX1RPVEFMX0RFQlRfRUJJVERBLjk5MS4xMS8wNy8yMDI2AQAAAEtVAAACAAAACDEuNjQ5NDU4AQgAAAAFAAAAATEBAAAACjE4OTg0ODk0NzADAAAAAzE2MAIAAAAENDE5MgQAAAABMAcAAAAJNy8xMS8yMDI2CAAAAAk2LzMwLzIwMTYJAAAAATB7A7Zqb9/eCIuWSG5v394IMUNJUS5OQVNEQVE6TVNGVC5JUV9UT1RBTF9FTVBMT1lFRVMuOTkwLjExLzA3LzIwMjYBAAAAS1UAAAIAAAAGMTE4MDAwAHsDtmpv394Ii5ZIbm/f3ggvQ0lRLk5BU0RBUTpNU0ZULklRX1JFVFVSTl9BU1NFVFMuOTkzLjExLzA3LzIwMjYBAAAAS1UAAAIAAAAGOC42MDY4AQgAAAAFAAAAATEBAAAACjIwNDcyNzE3NDUDAAAAAzE2MAIAAAAENDE3OAQAAAABMAcAAAAJNy8xMS8yMDI2CAAA</t>
  </si>
  <si>
    <t>AAk2LzMwLzIwMTgJAAAAATB7A7Zqb9/eCIuWSG5v394IMUNJUS5OQVNEQVE6TVNGVC5JUV9UT1RBTF9FTVBMT1lFRVMuOTkxLjExLzA3LzIwMjYBAAAAS1UAAAIAAAAGMTE0MDAwAHsDtmpv394Ii5ZIbm/f3gg1Q0lRLk5BU0RBUTpNU0ZULklRX0FWR19URU1QX0VNUExPWUVFUy4yMDAwLjExLzA3LzIwMjYBAAAAS1UAAAMAAAAAAHsDtmpv394Ii5ZIbm/f3gg/Q0lRLk5BU0RBUTpNU0ZULklRX1RPVEFMX09VVFNUQU5ESU5HX0ZJTElOR19EQVRFLjk5MC4xMS8wNy8yMDI2AQAAAEtVAAACAAAACzc5OTcuOTgwOTY5AQQAAAAFAAAAATUBAAAACjE4NTE1MjU5MTICAAAABTI0MTUzBgAAAAEwewO2am/f3gi1gkhub9/eCDFDSVEuTkFTREFROk1TRlQuSVFfVE9UQUxfRU1QTE9ZRUVTLjk5Mi4xMS8wNy8yMDI2AQAAAEtVAAACAAAABjEyNDAwMAB7A7Zqb9/eCLWCSG5v394INENJUS5OQVNEQVE6TVNGVC5JUV9BVkdfVEVNUF9FTVBMT1lFRVMuOTkyLjExLzA3LzIwMjYBAAAAS1UAAAMAAAAAAHsDtmpv394ItYJIbm/f3gg/Q0lRLk5BU0RBUTpNU0ZULklRX1RPVEFMX09VVFNUQU5ESU5HX0ZJTElOR19EQVRFLjk5MS4xMS8wNy8yMDI2AQAAAEtVAAACAAAACzc3OTIuNTE1NTczAQQAAAAFAAAAATUBAAAACjE4OTg0ODk0NzACAAAABTI0MTUzBgAAAAEwewO2am/f3giLlkhub9/eCDJDSVEuTkFTREFROk1TRlQu</t>
  </si>
  <si>
    <t>SVFfRUJJVERBX0NBUEVYX0lOVC45OTAuMTEvMDcvMjAyNgEAAABLVQAAAgAAAAgzNS4zNzUxNgEIAAAABQAAAAExAQAAAAoxODUxNTI1OTEyAwAAAAMxNjACAAAABDQxOTEEAAAAATAHAAAACTcvMTEvMjAyNggAAAAJNi8zMC8yMDE1CQAAAAEwewO2am/f3giLlkhub9/eCDRDSVEuTkFTREFROk1TRlQuSVFfQVZHX1RFTVBfRU1QTE9ZRUVTLjk5My4xMS8wNy8yMDI2AQAAAEtVAAADAAAAAAB7A7Zqb9/eCDxbSG5v394IP0NJUS5OQVNEQVE6TVNGVC5JUV9UT1RBTF9PVVRTVEFORElOR19GSUxJTkdfREFURS45OTIuMTEvMDcvMjAyNgEAAABLVQAAAgAAAAs3NzAyLjI0Mzk3OQEEAAAABQAAAAE1AQAAAAoxOTczMzgwOTUxAgAAAAUyNDE1MwYAAAABMHsDtmpv394IPFtIbm/f3gguQ0lRLk5BU0RBUTpNU0ZULklRX0NBTENfVFlQRV9DRi45OTAuMTEvMDcvMjAyNgEAAABLVQAAAwAAAANSRVAAewO2am/f3gi1gkhub9/eCC9DSVEuTkFTREFROk1TRlQuSVFfUkVUVVJOX0FTU0VUUy45OTIuMTEvMDcvMjAyNgEAAABLVQAAAgAAAAY4LjI2MTYBCAAAAAUAAAABMQEAAAAKMTk3MzM4MDk1MQMAAAADMTYwAgAAAAQ0MTc4BAAAAAEwBwAAAAk3LzExLzIwMjYIAAAACTYvMzAvMjAxNwkAAAABMHsDtmpv394ItYJIbm/f3ggsQ0lRLk5BU0RBUTpNU0ZULklRX0VCSVREQV9JTlQuOTkzLjExLzA3LzIwMjYBAAAAS1UA</t>
  </si>
  <si>
    <t>AAIAAAAJMTcuMDMwMDAzAQgAAAAFAAAAATEBAAAACjIwNDcyNzE3NDUDAAAAAzE2MAIAAAAENDE5MAQAAAABMAcAAAAJNy8xMS8yMDI2CAAAAAk2LzMwLzIwMTgJAAAAATB7A7Zqb9/eCLWCSG5v394IP0NJUS5OQVNEQVE6TVNGVC5JUV9UT1RBTF9PVVRTVEFORElOR19GSUxJTkdfREFURS45OTMuMTEvMDcvMjAyNgEAAABLVQAAAgAAAAs3NjY4LjIxNzMxNgEEAAAABQAAAAE1AQAAAAoyMDQ3MjcxNzQ1AgAAAAUyNDE1MwYAAAABMK8Xtmpv394IPFtIbm/f3ggwQ0lRLk5BU0RBUTpNU0ZULklRX1JFU1RBVEVNRU5UX0NGLjk5My4xMS8wNy8yMDI2AQAAAEtVAAADAAAAAk5DAK8Xtmpv394IPFtIbm/f3ggsQ0lRLk5BU0RBUTpNU0ZULklRX05JX01BUkdJTi4yMDAwLjExLzA3LzIwMjYBAAAAS1UAAAIAAAAHMzkuMzQyMwEIAAAABQAAAAExAQAAAAstMTg5MzI5ODk5NQMAAAADMTYwAgAAAAQ0MDk0BAAAAAEwBwAAAAk3LzExLzIwMjYIAAAACTMvMzEvMjAyNgkAAAABMK8Xtmpv394IPFtIbm/f3ggxQ0lRLk5BU0RBUTpNU0ZULklRX1BFUklPRExFTkdUSF9DRi45OTIuMTEvMDcvMjAyNgEAAABLVQAAAQAAAAIxMgCvF7Zqb9/eCDxbSG5v394IL0NJUS5OQVNEQVE6TVNGVC5JUV9DQUxDX1RZUEVfQ0YuMjAwMC4xMS8wNy8yMDI2AQAAAEtVAAADAAAAA0xUTQCvF7Zqb9/eCDxbSG5v394IK0NJUS5OQVNEQVE6</t>
  </si>
  <si>
    <t>TVNGVC5JUV9OSV9NQVJHSU4uOTkwLjExLzA3LzIwMjYBAAAAS1UAAAIAAAAHMTMuMDI5NAEIAAAABQAAAAExAQAAAAoxODUxNTI1OTEyAwAAAAMxNjACAAAABDQwOTQEAAAAATAHAAAACTcvMTEvMjAyNggAAAAJNi8zMC8yMDE1CQAAAAEwrxe2am/f3gg8W0hub9/eCDlDSVEuTkFTREFROk1TRlQuSVFfVE9UQUxfTElBQl9UT1RBTF9BU1NFVFMuOTkyLjExLzA3LzIwMjYBAAAAS1UAAAIAAAAHNjQuOTU5MwEIAAAABQAAAAExAQAAAAoxOTczMzgwOTUxAwAAAAMxNjACAAAABDQxODgEAAAAATAHAAAACTcvMTEvMjAyNggAAAAJNi8zMC8yMDE3CQAAAAEwrxe2am/f3gg8W0hub9/eCClDSVEuTkFTREFROk1TRlQuSVFfR0FBUF9DRi45OTAuMTEvMDcvMjAyNgEAAABLVQAAAwAAAAdVUyBHQUFQAK8Xtmpv394IPFtIbm/f3ggpQ0lRLk5BU0RBUTpNU0ZULklRX0dBQVBfQlMuOTkyLjExLzA3LzIwMjYBAAAAS1UAAAMAAAAHVVMgR0FBUACvF7Zqb9/eCDxbSG5v394IPENJUS5OQVNEQVE6TVNGVC5JUV9UT1RBTF9PVVRTVEFORElOR19CU19EQVRFLjIwMDAuMTEvMDcvMjAyNgEAAABLVQAAAgAAAAQ3NDI5AQQAAAAFAAAAATUBAAAACy0xODkzMjk4OTk1AgAAAAUyNDE1MgYAAAABMK8Xtmpv394IPFtIbm/f3ggpQ0lRLk5BU0RBUTpNU0ZULklRX0dBQVBfQ0YuOTkxLjExLzA3LzIwMjYBAAAAS1UAAAMAAAAHVVMg</t>
  </si>
  <si>
    <t>R0FBUACvF7Zqb9/eCGZHSG5v394IO0NJUS5OQVNEQVE6TVNGVC5JUV9UT1RBTF9PVVRTVEFORElOR19CU19EQVRFLjk5Mi4xMS8wNy8yMDI2AQAAAEtVAAACAAAABDc3MDgBBAAAAAUAAAABNQEAAAAKMTk3MzM4MDk1MQIAAAAFMjQxNTIGAAAAATCvF7Zqb9/eCGZHSG5v394INENJUS5OQVNEQVE6TVNGVC5JUV9UT1RBTF9ERUJUX0VRVUlUWS4yMDAwLjExLzA3LzIwMjYBAAAAS1UAAAIAAAAHMzAuMjcwNwEIAAAABQAAAAExAQAAAAstMTg5MzI5ODk5NQMAAAADMTYwAgAAAAQ0MDM0BAAAAAEwBwAAAAk3LzExLzIwMjYIAAAACTMvMzEvMjAyNgkAAAABMK8Xtmpv394IZkdIbm/f3ggpQ0lRLk5BU0RBUTpNU0ZULklRX0dBQVBfQ0YuOTkyLjExLzA3LzIwMjYBAAAAS1UAAAMAAAAHVVMgR0FBUACvF7Zqb9/eCDxbSG5v394ILkNJUS5OQVNEQVE6TVNGVC5JUV9DQUxDX1RZUEVfQlMuOTkwLjExLzA3LzIwMjYBAAAAS1UAAAMAAAADUlVQAK8Xtmpv394IPFtIbm/f3ggvQ0lRLk5BU0RBUTpNU0ZULklRX0FWR19FTVBMT1lFRVMuOTkxLjExLzA3LzIwMjYBAAAAS1UAAAMAAAAAAK8Xtmpv394I9R9Ibm/f3ggrQ0lRLk5BU0RBUTpNU0ZULklRX0ZVTExfVElNRS45OTMuMTEvMDcvMjAyNgEAAABLVQAAAgAAAAYxMzEwMDAArxe2am/f3ghmR0hub9/eCDtDSVEuTkFTREFROk1TRlQuSVFfVE9UQUxfT1VUU1RBTkRJ</t>
  </si>
  <si>
    <t>TkdfQlNfREFURS45OTMuMTEvMDcvMjAyNgEAAABLVQAAAgAAAAQ3Njc3AQQAAAAFAAAAATUBAAAACjIwNDcyNzE3NDUCAAAABTI0MTUyBgAAAAEwrxe2am/f3ghmR0hub9/eCClDSVEuTkFTREFROk1TRlQuSVFfR0FBUF9DRi45OTMuMTEvMDcvMjAyNgEAAABLVQAAAwAAAAdVUyBHQUFQAK8Xtmpv394IZkdIbm/f3gguQ0lRLk5BU0RBUTpNU0ZULklRX0NBTENfVFlQRV9CUy45OTMuMTEvMDcvMjAyNgEAAABLVQAAAwAAAANSVVAArxe2am/f3gj1H0hub9/eCDBDSVEuTkFTREFROk1TRlQuSVFfUkVTVEFURU1FTlRfQ0YuOTkwLjExLzA3LzIwMjYBAAAAS1UAAAMAAAACUlMArxe2am/f3gj1H0hub9/eCDBDSVEuTkFTREFROk1TRlQuSVFfUkVTVEFURU1FTlRfQ0YuOTkxLjExLzA3LzIwMjYBAAAAS1UAAAMAAAACUlMArxe2am/f3gj1H0hub9/eCC5DSVEuTkFTREFROk1TRlQuSVFfR1JPU1NfTUFSR0lOLjk5MS4xMS8wNy8yMDI2AQAAAEtVAAACAAAABzY0LjAzODgBCAAAAAUAAAABMQEAAAAKMTg5ODQ4OTQ3MAMAAAADMTYwAgAAAAQ0MDc0BAAAAAEwBwAAAAk3LzExLzIwMjYIAAAACTYvMzAvMjAxNgkAAAABMK8Xtmpv394I9R9Ibm/f3ggtQ0lRLk5BU0RBUTpNU0ZULklRX0lOVl9NRVRIT0QuMjAwMC4xMS8wNy8yMDI2AQAAAEtVAAADAAAAAACvF7Zqb9/eCPUfSG5v394IMENJUS5OQVNEQVE6TVNGVC5J</t>
  </si>
  <si>
    <t>UV9SRVNUQVRFTUVOVF9DRi45OTIuMTEvMDcvMjAyNgEAAABLVQAAAwAAAAJSUwCvF7Zqb9/eCPUfSG5v394ILkNJUS5OQVNEQVE6TVNGVC5JUV9HUk9TU19NQVJHSU4uOTkyLjExLzA3LzIwMjYBAAAAS1UAAAIAAAAHNjQuNTIyNAEIAAAABQAAAAExAQAAAAoxOTczMzgwOTUxAwAAAAMxNjACAAAABDQwNzQEAAAAATAHAAAACTcvMTEvMjAyNggAAAAJNi8zMC8yMDE3CQAAAAEwrxe2am/f3gj1H0hub9/eCDRDSVEuTkFTREFROk1TRlQuSVFfREFZU19JTlZFTlRPUllfT1VULjk5MS4xMS8wNy8yMDI2AQAAAEtVAAACAAAACTI4Ljc2NzIzNAEIAAAABQAAAAExAQAAAAoxODk4NDg5NDcwAwAAAAMxNjACAAAABDQwMzUEAAAAATAHAAAACTcvMTEvMjAyNggAAAAJNi8zMC8yMDE2CQAAAAEwrxe2am/f3gj1H0hub9/eCCtDSVEuTkFTREFROk1TRlQuSVFfRlVMTF9USU1FLjk5MC4xMS8wNy8yMDI2AQAAAEtVAAACAAAABjExODAwMACvF7Zqb9/eCPUfSG5v394INkNJUS5OQVNEQVE6TVNGVC5JUV9SRVRVUk5fQ09NTU9OX0VRVUlUWS45OTIuMTEvMDcvMjAyNgEAAABLVQAAAgAAAAczMS45MTk1AQgAAAAFAAAAATEBAAAACjE5NzMzODA5NTEDAAAAAzE2MAIAAAAFMzMzMjAEAAAAATAHAAAACTcvMTEvMjAyNggAAAAJNi8zMC8yMDE3CQAAAAEwrxe2am/f3gj1H0hub9/eCCtDSVEuTkFTREFROk1TRlQuSVFfRlVM</t>
  </si>
  <si>
    <t>TF9USU1FLjk5MS4xMS8wNy8yMDI2AQAAAEtVAAACAAAABjExNDAwMACvF7Zqb9/eCB8MSG5v394IQUNJUS5OQVNEQVE6TVNGVC5JUV9FTVBMT1lFRVNfVU5ERVJfVU5JT05fQ09OVFJBQ1RTLjk5MS4xMS8wNy8yMDI2AQAAAEtVAAADAAAAAACvF7Zqb9/eCB8MSG5v394INENJUS5OQVNEQVE6TVNGVC5JUV9OVU1CRVJfQURSSE9MREVSUy4yMDAwLjExLzA3LzIwMjYBAAAAS1UAAAMAAAAAAK8Xtmpv394IHwxIbm/f3ghAQ0lRLk5BU0RBUTpNU0ZULklRX1RPVEFMX09VVFNUQU5ESU5HX0ZJTElOR19EQVRFLjIwMDAuMTEvMDcvMjAyNgEAAABLVQAAAgAAAAs3NDI4LjQzNDcwNAEEAAAABQAAAAE1AQAAAAstMTg5MzI5ODk5NQIAAAAFMjQxNTMGAAAAATCvF7Zqb9/eCPUfSG5v394IMkNJUS5OQVNEQVE6TVNGVC5JUV9DRk9fQ1VSUkVOVF9MSUFCLjk5MC4xMS8wNy8yMDI2AQAAAEtVAAACAAAACDAuNTk3NTc4AQgAAAAFAAAAATEBAAAACjE4NTE1MjU5MTIDAAAAAzE2MAIAAAAENDE4NQQAAAABMAcAAAAJNy8xMS8yMDI2CAAAAAk2LzMwLzIwMTUJAAAAATCvF7Zqb9/eCPUfSG5v394ILkNJUS5OQVNEQVE6TVNGVC5JUV9DQUxDX1RZUEVfQ0YuOTkxLjExLzA3LzIwMjYBAAAAS1UAAAMAAAADUkVQAK8Xtmpv394IrORHbm/f3ghBQ0lRLk5BU0RBUTpNU0ZULklRX0VNUExPWUVFU19VTkRFUl9VTklPTl9DT05U</t>
  </si>
  <si>
    <t>UkFDVFMuOTkyLjExLzA3LzIwMjYBAAAAS1UAAAMAAAAAAK8Xtmpv394IHwxIbm/f3gg7Q0lRLk5BU0RBUTpNU0ZULklRX1RPVEFMX09VVFNUQU5ESU5HX0JTX0RBVEUuOTkwLjExLzA3LzIwMjYBAAAAS1UAAAIAAAAEODAyNwEEAAAABQAAAAE1AQAAAAoxODUxNTI1OTEyAgAAAAUyNDE1MgYAAAABMK8Xtmpv394IHwxIbm/f3ggvQ0lRLk5BU0RBUTpNU0ZULklRX0NVUlJFTlRfUkFUSU8uOTkzLjExLzA3LzIwMjYBAAAAS1UAAAIAAAAGMi45MDA4AQgAAAAFAAAAATEBAAAACjIwNDcyNzE3NDUDAAAAAzE2MAIAAAAENDAzMAQAAAABMAcAAAAJNy8xMS8yMDI2CAAAAAk2LzMwLzIwMTgJAAAAATCvF7Zqb9/eCB8MSG5v394IMUNJUS5OQVNEQVE6TVNGVC5JUV9GSUxJTkdfQ1VSUkVOQ1kuOTkwLjExLzA3LzIwMjYBAAAAS1UAAAMAAAADVVNEADEstmpv394IHwxIbm/f3ggsQ0lRLk5BU0RBUTpNU0ZULklRX0lOVl9NRVRIT0QuOTkwLjExLzA3LzIwMjYBAAAAS1UAAAMAAAAIQXZnIENvc3QArxe2am/f3gis5Edub9/eCDtDSVEuTkFTREFROk1TRlQuSVFfVE9UQUxfT1VUU1RBTkRJTkdfQlNfREFURS45OTEuMTEvMDcvMjAyNgEAAABLVQAAAgAAAAQ3ODA4AQQAAAAFAAAAATUBAAAACjE4OTg0ODk0NzACAAAABTI0MTUyBgAAAAEwrxe2am/f3gis5Edub9/eCDFDSVEuTkFTREFROk1TRlQuSVFfRklMSU5HX0NV</t>
  </si>
  <si>
    <t>UlJFTkNZLjk5MS4xMS8wNy8yMDI2AQAAAEtVAAADAAAAA1VTRAAxLLZqb9/eCKzkR25v394IMUNJUS5OQVNEQVE6TVNGVC5JUV9UT1RBTF9FTVBMT1lFRVMuOTkzLjExLzA3LzIwMjYBAAAAS1UAAAIAAAAGMTMxMDAwAK8Xtmpv394IrORHbm/f3ggzQ0lRLk5BU0RBUTpNU0ZULklRX05VTUJFUl9BRFJIT0xERVJTLjk5MS4xMS8wNy8yMDI2AQAAAEtVAAADAAAAAACvF7Zqb9/eCKzkR25v394ILENJUS5OQVNEQVE6TVNGVC5JUV9JTlZfTUVUSE9ELjk5MS4xMS8wNy8yMDI2AQAAAEtVAAADAAAACEF2ZyBDb3N0AK8Xtmpv394IrORHbm/f3ggxQ0lRLk5BU0RBUTpNU0ZULklRX0ZJTElOR19DVVJSRU5DWS45OTIuMTEvMDcvMjAyNgEAAABLVQAAAwAAAANVU0QAMSy2am/f3gis5Edub9/eCC9DSVEuTkFTREFROk1TRlQuSVFfUkVUVVJOX0VRVUlUWS45OTAuMTEvMDcvMjAyNgEAAABLVQAAAgAAAAcxNC4zNTU5AQgAAAAFAAAAATEBAAAACjE4NTE1MjU5MTIDAAAAAzE2MAIAAAAENDEyOAQAAAABMAcAAAAJNy8xMS8yMDI2CAAAAAk2LzMwLzIwMTUJAAAAATCvF7Zqb9/eCKzkR25v394IM0NJUS5OQVNEQVE6TVNGVC5JUV9OVU1CRVJfQURSSE9MREVSUy45OTIuMTEvMDcvMjAyNgEAAABLVQAAAwAAAAAArxe2am/f3gis5Edub9/eCCxDSVEuTkFTREFROk1TRlQuSVFfSU5WX01FVEhPRC45OTIuMTEvMDcvMjAy</t>
  </si>
  <si>
    <t>NgEAAABLVQAAAwAAAAhBdmcgQ29zdACvF7Zqb9/eCKzkR25v394IKkNJUS5OQVNEQVE6TVNGVC5JUV9HQUFQX0NGLjIwMDAuMTEvMDcvMjAyNgEAAABLVQAAAwAAAAAArxe2am/f3ggF0Udub9/eCCxDSVEuTkFTREFROk1TRlQuSVFfSU5WX01FVEhPRC45OTMuMTEvMDcvMjAyNgEAAABLVQAAAwAAAAhBdmcgQ29zdACvF7Zqb9/eCKzkR25v394IMUNJUS5OQVNEQVE6TVNGVC5JUV9SRVNUQVRFTUVOVF9JUy4yMDAwLjExLzA3LzIwMjYBAAAAS1UAAAMAAAABTwCvF7Zqb9/eCKzkR25v394ILkNJUS5OQVNEQVE6TVNGVC5JUV9QQVlPVVRfUkFUSU8uOTkxLjExLzA3LzIwMjYBAAAAS1UAAAIAAAAHNTMuNTg1OAEIAAAABQAAAAExAQAAAAoxODk4NDg5NDcwAwAAAAMxNjACAAAABDQzNzcEAAAAATAHAAAACTcvMTEvMjAyNggAAAAJNi8zMC8yMDE2CQAAAAEwrxe2am/f3ggF0Udub9/eCCxDSVEuTkFTREFROk1TRlQuSVFfU0FNRV9TVE9SRS45OTMuMTEvMDcvMjAyNgEAAABLVQAAAwAAAAAArxe2am/f3ggF0Udub9/eCDFDSVEuTkFTREFROk1TRlQuSVFfUEVSSU9ETEVOR1RIX0lTLjk5MS4xMS8wNy8yMDI2AQAAAEtVAAABAAAAAjEyAK8Xtmpv394IBdFHbm/f3ggwQ0lRLk5BU0RBUTpNU0ZULklRX1JFU1RBVEVNRU5UX0lTLjk5Mi4xMS8wNy8yMDI2AQAAAEtVAAADAAAAAlJTAK8Xtmpv394IBdFHbm/f3ghB</t>
  </si>
  <si>
    <t>Q0lRLk5BU0RBUTpNU0ZULklRX0RJU1RSSUJVVEFCTEVfQ0FTSF9TSEFSRVNfQkFTSUMuOTkwLjExLzA3LzIwMjYBAAAAS1UAAAMAAAAAAK8Xtmpv394IBdFHbm/f3gguQ0lRLk5BU0RBUTpNU0ZULklRX1BBWU9VVF9SQVRJTy45OTIuMTEvMDcvMjAyNgEAAABLVQAAAgAAAAY0Ni40NzEBCAAAAAUAAAABMQEAAAAKMTk3MzM4MDk1MQMAAAADMTYwAgAAAAQ0Mzc3BAAAAAEwBwAAAAk3LzExLzIwMjYIAAAACTYvMzAvMjAxNwkAAAABMK8Xtmpv394Iv6lHbm/f3ggyQ0lRLk5BU0RBUTpNU0ZULklRX1BFUklPRExFTkdUSF9DRi4yMDAwLjExLzA3LzIwMjYBAAAAS1UAAAEAAAACMTIArxe2am/f3gi/qUdub9/eCDBDSVEuTkFTREFROk1TRlQuSVFfUkVTVEFURU1FTlRfSVMuOTkzLjExLzA3LzIwMjYBAAAAS1UAAAMAAAACTkMArxe2am/f3gi/qUdub9/eCEFDSVEuTkFTREFROk1TRlQuSVFfRElTVFJJQlVUQUJMRV9DQVNIX1NIQVJFU19CQVNJQy45OTEuMTEvMDcvMjAyNgEAAABLVQAAAwAAAAAArxe2am/f3gi/qUdub9/eCDxDSVEuTkFTREFROk1TRlQuSVFfRElTVFJJQlVUQUJMRV9DQVNIX1BBWU9VVC4yMDAwLjExLzA3LzIwMjYBAAAAS1UAAAMAAAAAAK8Xtmpv394Iv6lHbm/f3ghBQ0lRLk5BU0RBUTpNU0ZULklRX0RJU1RSSUJVVEFCTEVfQ0FTSF9TSEFSRVNfQkFTSUMuOTkyLjExLzA3LzIwMjYBAAAA</t>
  </si>
  <si>
    <t>S1UAAAMAAAAAAK8Xtmpv394Iv6lHbm/f3ggvQ0lRLk5BU0RBUTpNU0ZULklRX0NBTENfVFlQRV9JUy4yMDAwLjExLzA3LzIwMjYBAAAAS1UAAAMAAAADTFRNAK8Xtmpv394Iv6lHbm/f3ghBQ0lRLk5BU0RBUTpNU0ZULklRX0RJU1RSSUJVVEFCTEVfQ0FTSF9TSEFSRVNfQkFTSUMuOTkzLjExLzA3LzIwMjYBAAAAS1UAAAMAAAAAAK8Xtmpv394Iv6lHbm/f3ggpQ0lRLk5BU0RBUTpNU0ZULklRX0dBQVBfSVMuOTkwLjExLzA3LzIwMjYBAAAAS1UAAAMAAAAHVVMgR0FBUACvF7Zqb9/eCL+pR25v394ILkNJUS5OQVNEQVE6TVNGVC5JUV9ESUxVVF9XRUlHSFQuOTkyLjExLzA3LzIwMjYBAAAAS1UAAAIAAAAENzgzMgCvF7Zqb9/eCL+pR25v394ILkNJUS5OQVNEQVE6TVNGVC5JUV9CQVNJQ19XRUlHSFQuOTkyLjExLzA3LzIwMjYBAAAAS1UAAAIAAAAENzc0NgCvF7Zqb9/eCP+VR25v394IKUNJUS5OQVNEQVE6TVNGVC5JUV9HQUFQX0lTLjk5MS4xMS8wNy8yMDI2AQAAAEtVAAADAAAAB1VTIEdBQVAArxe2am/f3gj/lUdub9/eCERDSVEuTkFTREFROk1TRlQuSVFfRElTVFJJQlVUQUJMRV9DQVNIX1NIQVJFU19ESUxVVEVELjIwMDAuMTEvMDcvMjAyNgEAAABLVQAAAwAAAAAAMSy2am/f3gj/lUdub9/eCDNDSVEuTkFTREFROk1TRlQuSVFfRFJfUkFUSU9fUFJJTUFSWS4yMDAwLjExLzA3LzIwMjYBAAAAS1UA</t>
  </si>
  <si>
    <t>AAIAAAAHMC4wNDE2NwCvF7Zqb9/eCKtuR25v394ILkNJUS5OQVNEQVE6TVNGVC5JUV9ESUxVVF9XRUlHSFQuOTkzLjExLzA3LzIwMjYBAAAAS1UAAAIAAAAENzc5NACvF7Zqb9/eCKtuR25v394IKUNJUS5OQVNEQVE6TVNGVC5JUV9HQUFQX0lTLjk5Mi4xMS8wNy8yMDI2AQAAAEtVAAADAAAAB1VTIEdBQVAArxe2am/f3girbkdub9/eCDFDSVEuTkFTREFROk1TRlQuSVFfRUZGRUNUX1RBWF9SQVRFLjk5MC4xMS8wNy8yMDI2AQAAAEtVAAACAAAABzM0LjExNjgBCAAAAAUAAAABMQEAAAAKMTg1MTUyNTkxMgMAAAADMTYwAgAAAAQ0Mzc2BAAAAAEwBwAAAAk3LzExLzIwMjYIAAAACTYvMzAvMjAxNQkAAAABMK8Xtmpv394Iq25Hbm/f3ggvQ0lRLk5BU0RBUTpNU0ZULklRX0ZJTElOR0RBVEVfSVMuOTkwLjExLzA3LzIwMjYBAAAAS1UAAAUAAAAKMDIvMDgvMjAxNwCvF7Zqb9/eCKtuR25v394IMUNJUS5OQVNEQVE6TVNGVC5JUV9FRkZFQ1RfVEFYX1JBVEUuOTkxLjExLzA3LzIwMjYBAAAAS1UAAAIAAAAHMTkuODkxNQEIAAAABQAAAAExAQAAAAoxODk4NDg5NDcwAwAAAAMxNjACAAAABDQzNzYEAAAAATAHAAAACTcvMTEvMjAyNggAAAAJNi8zMC8yMDE2CQAAAAEwrxe2am/f3girbkdub9/eCENDSVEuTkFTREFROk1TRlQuSVFfRElTVFJJQlVUQUJMRV9DQVNIX1NIQVJFU19ESUxVVEVELjk5My4xMS8wNy8y</t>
  </si>
  <si>
    <t>MDI2AQAAAEtVAAADAAAAAACvF7Zqb9/eCKtuR25v394ILkNJUS5OQVNEQVE6TVNGVC5JUV9DQUxDX1RZUEVfQ0YuOTkyLjExLzA3LzIwMjYBAAAAS1UAAAMAAAADUkVQAK8Xtmpv394Iq25Hbm/f3ggxQ0lRLk5BU0RBUTpNU0ZULklRX1BFUklPRExFTkdUSF9DRi45OTAuMTEvMDcvMjAyNgEAAABLVQAAAQAAAAIxMgCvF7Zqb9/eCKwzR25v394IMENJUS5OQVNEQVE6TVNGVC5JUV9SRVNUQVRFTUVOVF9JUy45OTAuMTEvMDcvMjAyNgEAAABLVQAAAwAAAAJOQwCvF7Zqb9/eCKwzR25v394IMUNJUS5OQVNEQVE6TVNGVC5JUV9FRkZFQ1RfVEFYX1JBVEUuOTkyLjExLzA3LzIwMjYBAAAAS1UAAAIAAAAHMTQuNzU1MwEIAAAABQAAAAExAQAAAAoxOTczMzgwOTUxAwAAAAMxNjACAAAABDQzNzYEAAAAATAHAAAACTcvMTEvMjAyNggAAAAJNi8zMC8yMDE3CQAAAAEwrxe2am/f3gisM0dub9/eCC5DSVEuTkFTREFROk1TRlQuSVFfQ0FMQ19UWVBFX0NGLjk5My4xMS8wNy8yMDI2AQAAAEtVAAADAAAAA1JFUACvF7Zqb9/eCPNaR25v394IMUNJUS5OQVNEQVE6TVNGVC5JUV9QRVJJT0RMRU5HVEhfQ0YuOTkxLjExLzA3LzIwMjYBAAAAS1UAAAEAAAACMTIArxe2am/f3gjzWkdub9/eCDFDSVEuTkFTREFROk1TRlQuSVFfRUZGRUNUX1RBWF9SQVRFLjk5My4xMS8wNy8yMDI2AQAAAEtVAAACAAAABzU0LjU2NzYBCAAA</t>
  </si>
  <si>
    <t>AAUAAAABMQEAAAAKMjA0NzI3MTc0NQMAAAADMTYwAgAAAAQ0Mzc2BAAAAAEwBwAAAAk3LzExLzIwMjYIAAAACTYvMzAvMjAxOAkAAAABMK8Xtmpv394IrDNHbm/f3ggwQ0lRLk5BU0RBUTpNU0ZULklRX1JFU1RBVEVNRU5UX0lTLjk5MS4xMS8wNy8yMDI2AQAAAEtVAAADAAAAAlJTAK8Xtmpv394IrDNHbm/f3ggtQ0lRLk5BU0RBUTpNU0ZULklRX1NBTUVfU1RPUkUuMjAwMC4xMS8wNy8yMDI2AQAAAEtVAAADAAAAAACvF7Zqb9/eCKwzR25v394IMUNJUS5OQVNEQVE6TVNGVC5JUV9QRVJJT0RMRU5HVEhfQ0YuOTkzLjExLzA3LzIwMjYBAAAAS1UAAAEAAAACMTIArxe2am/f3gisM0dub9/eCDtDSVEuTkFTREFROk1TRlQuSVFfRElTVFJJQlVUQUJMRV9DQVNIX1BBWU9VVC45OTAuMTEvMDcvMjAyNgEAAABLVQAAAwAAAAAArxe2am/f3gisM0dub9/eCDFDSVEuTkFTREFROk1TRlQuSVFfUkVTVEFURU1FTlRfQ0YuMjAwMC4xMS8wNy8yMDI2AQAAAEtVAAADAAAAAU8Arxe2am/f3gisM0dub9/eCDtDSVEuTkFTREFROk1TRlQuSVFfRElTVFJJQlVUQUJMRV9DQVNIX1BBWU9VVC45OTEuMTEvMDcvMjAyNgEAAABLVQAAAwAAAAAArxe2am/f3gisM0dub9/eCC9DSVEuTkFTREFROk1TRlQuSVFfUEFZT1VUX1JBVElPLjIwMDAuMTEvMDcvMjAyNgEAAABLVQAAAgAAAAcyMC42NDkxAQgAAAAFAAAAATEBAAAACy0x</t>
  </si>
  <si>
    <t>ODkzMjk4OTk1AwAAAAMxNjACAAAABDQzNzcEAAAAATAHAAAACTcvMTEvMjAyNggAAAAJMy8zMS8yMDI2CQAAAAEwrxe2am/f3gisM0dub9/eCDJDSVEuTkFTREFROk1TRlQuSVFfUEVSSU9ETEVOR1RIX0lTLjIwMDAuMTEvMDcvMjAyNgEAAABLVQAAAQAAAAIxMgCvF7Zqb9/eCKwzR25v394ILkNJUS5OQVNEQVE6TVNGVC5JUV9DQUxDX1RZUEVfSVMuOTkwLjExLzA3LzIwMjYBAAAAS1UAAAMAAAADUkVQAK8Xtmpv394IAiBHbm/f3gg7Q0lRLk5BU0RBUTpNU0ZULklRX0RJU1RSSUJVVEFCTEVfQ0FTSF9QQVlPVVQuOTkyLjExLzA3LzIwMjYBAAAAS1UAAAMAAAAAAK8Xtmpv394IAiBHbm/f3gguQ0lRLk5BU0RBUTpNU0ZULklRX0NBTENfVFlQRV9JUy45OTIuMTEvMDcvMjAyNgEAAABLVQAAAwAAAANSRVAArxe2am/f3ggCIEdub9/eCENDSVEuTkFTREFROk1TRlQuSVFfRElTVFJJQlVUQUJMRV9DQVNIX1NIQVJFU19ESUxVVEVELjk5MC4xMS8wNy8yMDI2AQAAAEtVAAADAAAAAAAxLLZqb9/eCAIgR25v394ILkNJUS5OQVNEQVE6TVNGVC5JUV9DQUxDX1RZUEVfSVMuOTkzLjExLzA3LzIwMjYBAAAAS1UAAAMAAAADUkVQAK8Xtmpv394ItvhGbm/f3ghDQ0lRLk5BU0RBUTpNU0ZULklRX0RJU1RSSUJVVEFCTEVfQ0FTSF9TSEFSRVNfRElMVVRFRC45OTEuMTEvMDcvMjAyNgEAAABLVQAAAwAAAAAAMSy2am/f</t>
  </si>
  <si>
    <t>3gi2+EZub9/eCClDSVEuTkFTREFROk1TRlQuSVFfR0FBUF9JUy45OTMuMTEvMDcvMjAyNgEAAABLVQAAAwAAAAdVUyBHQUFQADEstmpv394ItvhGbm/f3ggyQ0lRLk5BU0RBUTpNU0ZULklRX0VGRkVDVF9UQVhfUkFURS4yMDAwLjExLzA3LzIwMjYBAAAAS1UAAAIAAAAHMTguOTU1NgEIAAAABQAAAAExAQAAAAstMTg5MzI5ODk5NQMAAAADMTYwAgAAAAQ0Mzc2BAAAAAEwBwAAAAk3LzExLzIwMjYIAAAACTMvMzEvMjAyNgkAAAABMDEstmpv394ItvhGbm/f3gguQ0lRLk5BU0RBUTpNU0ZULklRX1BBWU9VVF9SQVRJTy45OTAuMTEvMDcvMjAyNgEAAABLVQAAAgAAAAc4MS4wNDY1AQgAAAAFAAAAATEBAAAACjE4NTE1MjU5MTIDAAAAAzE2MAIAAAAENDM3NwQAAAABMAcAAAAJNy8xMS8yMDI2CAAAAAk2LzMwLzIwMTUJAAAAATAxLLZqb9/eCLb4Rm5v394ILENJUS5OQVNEQVE6TVNGVC5JUV9TQU1FX1NUT1JFLjk5Mi4xMS8wNy8yMDI2AQAAAEtVAAADAAAAAAAxLLZqb9/eCLb4Rm5v394IMUNJUS5OQVNEQVE6TVNGVC5JUV9QRVJJT0RMRU5HVEhfSVMuOTkwLjExLzA3LzIwMjYBAAAAS1UAAAEAAAACMTIAMSy2am/f3gi2+EZub9/eCC9DSVEuTkFTREFROk1TRlQuSVFfRklMSU5HREFURV9JUy45OTMuMTEvMDcvMjAyNgEAAABLVQAABQAAAAozMS8wNy8yMDIwADEstmpv394ItvhGbm/f3ggvQ0lRLk5BU0RB</t>
  </si>
  <si>
    <t>UTpNU0ZULklRX0RJTFVUX1dFSUdIVC4yMDAwLjExLzA3LzIwMjYBAAAAS1UAAAIAAAAHNzQ1OC4yNQAxLLZqb9/eCBPlRm5v394IQ0NJUS5OQVNEQVE6TVNGVC5JUV9ESVNUUklCVVRBQkxFX0NBU0hfU0hBUkVTX0RJTFVURUQuOTkyLjExLzA3LzIwMjYBAAAAS1UAAAMAAAAAADEstmpv394IE+VGbm/f3ggvQ0lRLk5BU0RBUTpNU0ZULklRX0JBU0lDX1dFSUdIVC4yMDAwLjExLzA3LzIwMjYBAAAAS1UAAAIAAAAENzQzMAAxLLZqb9/eCLb4Rm5v394IMkNJUS5OQVNEQVE6TVNGVC5JUV9EUl9SQVRJT19QUklNQVJZLjk5My4xMS8wNy8yMDI2AQAAAEtVAAACAAAABzAuMDQxNjcAMSy2am/f3gjbvUZub9/eCC5DSVEuTkFTREFROk1TRlQuSVFfUEFZT1VUX1JBVElPLjk5My4xMS8wNy8yMDI2AQAAAEtVAAACAAAABzc2LjYzMzgBCAAAAAUAAAABMQEAAAAKMjA0NzI3MTc0NQMAAAADMTYwAgAAAAQ0Mzc3BAAAAAEwBwAAAAk3LzExLzIwMjYIAAAACTYvMzAvMjAxOAkAAAABMDEstmpv394IE+VGbm/f3gguQ0lRLk5BU0RBUTpNU0ZULklRX0JBU0lDX1dFSUdIVC45OTMuMTEvMDcvMjAyNgEAAABLVQAAAgAAAAQ3NzAwADEstmpv394I271Gbm/f3gguQ0lRLk5BU0RBUTpNU0ZULklRX0RJTFVUX1dFSUdIVC45OTAuMTEvMDcvMjAyNgEAAABLVQAAAgAAAAQ4MjU0ADEstmpv394I271Gbm/f3ghCQ0lRLk5BU0RB</t>
  </si>
  <si>
    <t>UTpNU0ZULklRX0RJU1RSSUJVVEFCTEVfQ0FTSF9TSEFSRVNfQkFTSUMuMjAwMC4xMS8wNy8yMDI2AQAAAEtVAAADAAAAAAAxLLZqb9/eCNu9Rm5v394ILkNJUS5OQVNEQVE6TVNGVC5JUV9ESUxVVF9XRUlHSFQuOTkxLjExLzA3LzIwMjYBAAAAS1UAAAIAAAAEODAxMwAxLLZqb9/eCNu9Rm5v394IMUNJUS5OQVNEQVE6TVNGVC5JUV9QRVJJT0RMRU5HVEhfSVMuOTkzLjExLzA3LzIwMjYBAAAAS1UAAAEAAAACMTIAMSy2am/f3gjbvUZub9/eCDJDSVEuTkFTREFROk1TRlQuSVFfRFJfUkFUSU9fUFJJTUFSWS45OTAuMTEvMDcvMjAyNgEAAABLVQAAAgAAAAcwLjA0MTY3ADEstmpv394I271Gbm/f3ggyQ0lRLk5BU0RBUTpNU0ZULklRX0RSX1JBVElPX1BSSU1BUlkuOTkxLjExLzA3LzIwMjYBAAAAS1UAAAIAAAAHMC4wNDE2NwAxLLZqb9/eCCmqRm5v394IMkNJUS5OQVNEQVE6TVNGVC5JUV9EUl9SQVRJT19QUklNQVJZLjk5Mi4xMS8wNy8yMDI2AQAAAEtVAAACAAAABzAuMDQxNjcAMSy2am/f3ggpqkZub9/eCC5DSVEuTkFTREFROk1TRlQuSVFfQkFTSUNfV0VJR0hULjk5MC4xMS8wNy8yMDI2AQAAAEtVAAACAAAABDgxNzcAMSy2am/f3ggpqkZub9/eCC5DSVEuTkFTREFROk1TRlQuSVFfQkFTSUNfV0VJR0hULjk5MS4xMS8wNy8yMDI2AQAAAEtVAAACAAAABDc5MjUAMSy2am/f3ggpqkZub9/eCDtDSVEu</t>
  </si>
  <si>
    <t>TkFTREFROk1TRlQuSVFfRElTVFJJQlVUQUJMRV9DQVNIX1BBWU9VVC45OTMuMTEvMDcvMjAyNgEAAABLVQAAAwAAAAAAMSy2am/f3ggpqkZub9/eCCxDSVEuTkFTREFROk1TRlQuSVFfU0FNRV9TVE9SRS45OTAuMTEvMDcvMjAyNgEAAABLVQAAAwAAAAAAMSy2am/f3gjngkZub9/eCDBDSVEuTkFTREFROk1TRlQuSVFfRklMSU5HREFURV9JUy4yMDAwLjExLzA3LzIwMjYBAAAAS1UAAAUAAAAKMjkvMDQvMjAyNgA8ubRqb9/eCOeCRm5v394ILENJUS5OQVNEQVE6TVNGVC5JUV9TQU1FX1NUT1JFLjk5MS4xMS8wNy8yMDI2AQAAAEtVAAADAAAAAAA8ubRqb9/eCOeCRm5v394IMUNJUS5OQVNEQVE6TVNGVC5JUV9QRVJJT0RMRU5HVEhfSVMuOTkyLjExLzA3LzIwMjYBAAAAS1UAAAEAAAACMTIAPLm0am/f3gjngkZub9/eCCpDSVEuTkFTREFROk1TRlQuSVFfR0FBUF9JUy4yMDAwLjExLzA3LzIwMjYBAAAAS1UAAAMAAAAAADy5tGpv394I54JGbm/f3ggvQ0lRLk5BU0RBUTpNU0ZULklRX0ZJTElOR0RBVEVfSVMuOTkxLjExLzA3LzIwMjYBAAAAS1UAAAUAAAAKMDMvMDgvMjAxOAA8ubRqb9/eCOeCRm5v394ILUNJUS5OQVNEQVE6TVNGVC5JUV9QRVJJT0REQVRFLjIwMDAuMTEvMDcvMjAyNgEAAABLVQAABQAAAAozMS8wMy8yMDI2ADy5tGpv394I54JGbm/f3gguQ0lRLk5BU0RBUTpNU0ZULklRX0NBTENfVFlQ</t>
  </si>
  <si>
    <t>RV9JUy45OTEuMTEvMDcvMjAyNgEAAABLVQAAAwAAAANSRVAAPLm0am/f3ggyb0Zub9/eCC9DSVEuTkFTREFROk1TRlQuSVFfRklMSU5HREFURV9JUy45OTIuMTEvMDcvMjAyNgEAAABLVQAABQAAAAowMS8wOC8yMDE5ADy5tGpv394IMm9Gbm/f3ghBQ0lRLk5BU0RBUTpNU0ZULklRX0RJU1RSSUJVVEFCTEVfQ0FTSF9TSEFSRVNfQkFTSUMuOTk1LjExLzA3LzIwMjYBAAAAS1UAAAMAAAAAABr8tGpv394I54JGbm/f3ghDQ0lRLk5BU0RBUTpNU0ZULklRX0RJU1RSSUJVVEFCTEVfQ0FTSF9TSEFSRVNfRElMVVRFRC45OTkuMTEvMDcvMjAyNgEAAABLVQAAAwAAAAAAGvy0am/f3gjngkZub9/eCC5DSVEuTkFTREFROk1TRlQuSVFfRElMVVRfV0VJR0hULjk5OC4xMS8wNy8yMDI2AQAAAEtVAAACAAAABDc0NzIAPLm0am/f3ggyb0Zub9/eCCpDSVEuTkFTREFROk1TRlQuSVFfR0FBUF9JUy4xMDAwLjExLzA3LzIwMjYBAAAAS1UAAAMAAAAHVVMgR0FBUAA8ubRqb9/eCDJvRm5v394IL0NJUS5OQVNEQVE6TVNGVC5JUV9GSUxJTkdEQVRFX0lTLjk5Ni4xMS8wNy8yMDI2AQAAAEtVAAAFAAAACjI3LzA3LzIwMjMAPLm0am/f3ggyb0Zub9/eCC9DSVEuTkFTREFROk1TRlQuSVFfRklMSU5HREFURV9JUy45OTcuMTEvMDcvMjAyNgEAAABLVQAABQAAAAozMC8wNy8yMDI0ADy5tGpv394IMm9Gbm/f3ggtQ0lRLk5BU0RB</t>
  </si>
  <si>
    <t>UTpNU0ZULklRX1BFUklPRERBVEUuMTAwMC4xMS8wNy8yMDI2AQAAAEtVAAAFAAAACjMwLzA2LzIwMjUAPLm0am/f3ggyb0Zub9/eCCxDSVEuTkFTREFROk1TRlQuSVFfU0FNRV9TVE9SRS45OTguMTEvMDcvMjAyNgEAAABLVQAAAwAAAAAAPLm0am/f3gjqR0Zub9/eCDFDSVEuTkFTREFROk1TRlQuSVFfUEVSSU9ETEVOR1RIX0lTLjk5Ny4xMS8wNy8yMDI2AQAAAEtVAAABAAAAAjEyADy5tGpv394I6kdGbm/f3ghBQ0lRLk5BU0RBUTpNU0ZULklRX0RJU1RSSUJVVEFCTEVfQ0FTSF9TSEFSRVNfQkFTSUMuOTk4LjExLzA3LzIwMjYBAAAAS1UAAAMAAAAAABr8tGpv394I6kdGbm/f3ggwQ0lRLk5BU0RBUTpNU0ZULklRX0ZJTElOR0RBVEVfSVMuMTAwMC4xMS8wNy8yMDI2AQAAAEtVAAAFAAAACjMwLzA3LzIwMjUAPLm0am/f3gjqR0Zub9/eCC9DSVEuTkFTREFROk1TRlQuSVFfRklMSU5HREFURV9JUy45OTUuMTEvMDcvMjAyNgEAAABLVQAABQAAAAoyOC8wNy8yMDIyADy5tGpv394I6kdGbm/f3ghBQ0lRLk5BU0RBUTpNU0ZULklRX0RJU1RSSUJVVEFCTEVfQ0FTSF9TSEFSRVNfQkFTSUMuOTk2LjExLzA3LzIwMjYBAAAAS1UAAAMAAAAAABr8tGpv394I6kdGbm/f3ggsQ0lRLk5BU0RBUTpNU0ZULklRX1NBTUVfU1RPUkUuOTk2LjExLzA3LzIwMjYBAAAAS1UAAAMAAAAAADy5tGpv394I6kdGbm/f3ggxQ0lR</t>
  </si>
  <si>
    <t>Lk5BU0RBUTpNU0ZULklRX1BFUklPRExFTkdUSF9JUy45OTYuMTEvMDcvMjAyNgEAAABLVQAAAQAAAAIxMgA8ubRqb9/eCOpHRm5v394IQUNJUS5OQVNEQVE6TVNGVC5JUV9ESVNUUklCVVRBQkxFX0NBU0hfU0hBUkVTX0JBU0lDLjk5Ny4xMS8wNy8yMDI2AQAAAEtVAAADAAAAAAAa/LRqb9/eCOczRm5v394IMkNJUS5OQVNEQVE6TVNGVC5JUV9FRkZFQ1RfVEFYX1JBVEUuMTAwMC4xMS8wNy8yMDI2AQAAAEtVAAACAAAABzE3LjYyOTYBCAAAAAUAAAABMQEAAAALLTE5MzQyNTQyMTYDAAAAAzE2MAIAAAAENDM3NgQAAAABMAcAAAAJNy8xMS8yMDI2CAAAAAk2LzMwLzIwMjUJAAAAATA8ubRqb9/eCOczRm5v394IMUNJUS5OQVNEQVE6TVNGVC5JUV9QRVJJT0RMRU5HVEhfSVMuOTk0LjExLzA3LzIwMjYBAAAAS1UAAAEAAAACMTIAPLm0am/f3gjqR0Zub9/eCC5DSVEuTkFTREFROk1TRlQuSVFfQkFTSUNfV0VJR0hULjk5Ny4xMS8wNy8yMDI2AQAAAEtVAAACAAAABDc0OTYAPLm0am/f3gjqR0Zub9/eCCxDSVEuTkFTREFROk1TRlQuSVFfU0FNRV9TVE9SRS45OTUuMTEvMDcvMjAyNgEAAABLVQAAAwAAAAAAPLm0am/f3gjqR0Zub9/eCDFDSVEuTkFTREFROk1TRlQuSVFfUEVSSU9ETEVOR1RIX0lTLjk5NS4xMS8wNy8yMDI2AQAAAEtVAAABAAAAAjEyADy5tGpv394I5zNGbm/f3ggyQ0lRLk5BU0RBUTpNU0ZU</t>
  </si>
  <si>
    <t>LklRX0RSX1JBVElPX1BSSU1BUlkuOTk1LjExLzA3LzIwMjYBAAAAS1UAAAIAAAAHMC4wNDE2NwA8ubRqb9/eCOczRm5v394ILkNJUS5OQVNEQVE6TVNGVC5JUV9CQVNJQ19XRUlHSFQuOTk0LjExLzA3LzIwMjYBAAAAS1UAAAIAAAAENzY3MwA8ubRqb9/eCOczRm5v394ILkNJUS5OQVNEQVE6TVNGVC5JUV9QQVlPVVRfUkFUSU8uOTk3LjExLzA3LzIwMjYBAAAAS1UAAAIAAAAHMjQuOTMxOQEIAAAABQAAAAExAQAAAAstMTk4NTkzMTIyNAMAAAADMTYwAgAAAAQ0Mzc3BAAAAAEwBwAAAAk3LzExLzIwMjYIAAAACTYvMzAvMjAyMgkAAAABMDy5tGpv394I5zNGbm/f3ggyQ0lRLk5BU0RBUTpNU0ZULklRX0RSX1JBVElPX1BSSU1BUlkuOTk2LjExLzA3LzIwMjYBAAAAS1UAAAIAAAAHMC4wNDE2NwA8ubRqb9/eCOczRm5v394ILkNJUS5OQVNEQVE6TVNGVC5JUV9CQVNJQ19XRUlHSFQuOTk1LjExLzA3LzIwMjYBAAAAS1UAAAIAAAAENzYxMAA8ubRqb9/eCK4fRm5v394IMUNJUS5OQVNEQVE6TVNGVC5JUV9QRVJJT0RMRU5HVEhfSVMuOTk5LjExLzA3LzIwMjYBAAAAS1UAAAEAAAACMTIAPLm0am/f3giuH0Zub9/eCDJDSVEuTkFTREFROk1TRlQuSVFfRFJfUkFUSU9fUFJJTUFSWS45OTQuMTEvMDcvMjAyNgEAAABLVQAAAgAAAAcwLjA0MTY3ADy5tGpv394Irh9Gbm/f3ghCQ0lRLk5BU0RBUTpNU0ZULklRX0RJ</t>
  </si>
  <si>
    <t>U1RSSUJVVEFCTEVfQ0FTSF9TSEFSRVNfQkFTSUMuMTAwMC4xMS8wNy8yMDI2AQAAAEtVAAADAAAAAAAa/LRqb9/eCK4fRm5v394ILkNJUS5OQVNEQVE6TVNGVC5JUV9QQVlPVVRfUkFUSU8uOTk2LjExLzA3LzIwMjYBAAAAS1UAAAIAAAAHMjYuOTYzOAEIAAAABQAAAAExAQAAAAstMjAzNjg0Mzg0MwMAAAADMTYwAgAAAAQ0Mzc3BAAAAAEwBwAAAAk3LzExLzIwMjYIAAAACTYvMzAvMjAyMQkAAAABMDy5tGpv394Irh9Gbm/f3ggyQ0lRLk5BU0RBUTpNU0ZULklRX1BFUklPRExFTkdUSF9JUy4xMDAwLjExLzA3LzIwMjYBAAAAS1UAAAEAAAACMTIAPLm0am/f3gjtC0Zub9/eCDJDSVEuTkFTREFROk1TRlQuSVFfRFJfUkFUSU9fUFJJTUFSWS45OTkuMTEvMDcvMjAyNgEAAABLVQAAAgAAAAcwLjA0MTY3ADy5tGpv394I7QtGbm/f3ghDQ0lRLk5BU0RBUTpNU0ZULklRX0RJU1RSSUJVVEFCTEVfQ0FTSF9TSEFSRVNfRElMVVRFRC45OTYuMTEvMDcvMjAyNgEAAABLVQAAAwAAAAAAGvy0am/f3gjtC0Zub9/eCDFDSVEuTkFTREFROk1TRlQuSVFfUEVSSU9ETEVOR1RIX0lTLjk5OC4xMS8wNy8yMDI2AQAAAEtVAAABAAAAAjEyADy5tGpv394Irh9Gbm/f3ghBQ0lRLk5BU0RBUTpNU0ZULklRX0RJU1RSSUJVVEFCTEVfQ0FTSF9TSEFSRVNfQkFTSUMuOTk5LjExLzA3LzIwMjYBAAAAS1UAAAMAAAAAABr8tGpv394I</t>
  </si>
  <si>
    <t>rh9Gbm/f3gguQ0lRLk5BU0RBUTpNU0ZULklRX0JBU0lDX1dFSUdIVC45OTkuMTEvMDcvMjAyNgEAAABLVQAAAgAAAAQ3NDMxADy5tGpv394InuRFbm/f3ggyQ0lRLk5BU0RBUTpNU0ZULklRX0RSX1JBVElPX1BSSU1BUlkuOTk4LjExLzA3LzIwMjYBAAAAS1UAAAIAAAAHMC4wNDE2NwA8ubRqb9/eCJ7kRW5v394IQ0NJUS5OQVNEQVE6TVNGVC5JUV9ESVNUUklCVVRBQkxFX0NBU0hfU0hBUkVTX0RJTFVURUQuOTk1LjExLzA3LzIwMjYBAAAAS1UAAAMAAAAAABr8tGpv394InuRFbm/f3gguQ0lRLk5BU0RBUTpNU0ZULklRX0RJTFVUX1dFSUdIVC45OTYuMTEvMDcvMjAyNgEAAABLVQAAAgAAAAQ3NjA4ADy5tGpv394I7QtGbm/f3ggvQ0lRLk5BU0RBUTpNU0ZULklRX0JBU0lDX1dFSUdIVC4xMDAwLjExLzA3LzIwMjYBAAAAS1UAAAIAAAAENzQzMwA8ubRqb9/eCNnQRW5v394ILkNJUS5OQVNEQVE6TVNGVC5JUV9CQVNJQ19XRUlHSFQuOTk4LjExLzA3LzIwMjYBAAAAS1UAAAIAAAAENzQ0NgA8ubRqb9/eCNnQRW5v394IMUNJUS5OQVNEQVE6TVNGVC5JUV9GSUxJTkdfQ1VSUkVOQ1kuOTk3LjExLzA3LzIwMjYBAAAAS1UAAAMAAAADVVNEABr8tGpv394InuRFbm/f3ghDQ0lRLk5BU0RBUTpNU0ZULklRX0RJU1RSSUJVVEFCTEVfQ0FTSF9TSEFSRVNfRElMVVRFRC45OTQuMTEvMDcvMjAyNgEAAABLVQAAAwAA</t>
  </si>
  <si>
    <t>AAAAGvy0am/f3gie5EVub9/eCC5DSVEuTkFTREFROk1TRlQuSVFfRElMVVRfV0VJR0hULjk5NS4xMS8wNy8yMDI2AQAAAEtVAAACAAAABDc2ODMAGvy0am/f3giMqUVub9/eCDBDSVEuTkFTREFROk1TRlQuSVFfUkVTVEFURU1FTlRfSVMuOTk3LjExLzA3LzIwMjYBAAAAS1UAAAMAAAACTkMAGvy0am/f3giMqUVub9/eCC9DSVEuTkFTREFROk1TRlQuSVFfRklMSU5HREFURV9JUy45OTQuMTEvMDcvMjAyNgEAAABLVQAABQAAAAoyOS8wNy8yMDIxABr8tGpv394IjKlFbm/f3ggvQ0lRLk5BU0RBUTpNU0ZULklRX0RJTFVUX1dFSUdIVC4xMDAwLjExLzA3LzIwMjYBAAAAS1UAAAIAAAAENzQ2NQAa/LRqb9/eCIypRW5v394IMENJUS5OQVNEQVE6TVNGVC5JUV9SRVNUQVRFTUVOVF9JUy45OTguMTEvMDcvMjAyNgEAAABLVQAAAwAAAAJSQwAa/LRqb9/eCIypRW5v394ILkNJUS5OQVNEQVE6TVNGVC5JUV9CQVNJQ19XRUlHSFQuOTk2LjExLzA3LzIwMjYBAAAAS1UAAAIAAAAENzU0NwAa/LRqb9/eCIypRW5v394ILkNJUS5OQVNEQVE6TVNGVC5JUV9DQUxDX1RZUEVfSVMuOTk0LjExLzA3LzIwMjYBAAAAS1UAAAMAAAADUkVQABr8tGpv394IjKlFbm/f3ghEQ0lRLk5BU0RBUTpNU0ZULklRX0RJU1RSSUJVVEFCTEVfQ0FTSF9TSEFSRVNfRElMVVRFRC4xMDAwLjExLzA3LzIwMjYBAAAAS1UAAAMAAAAAABr8tGpv</t>
  </si>
  <si>
    <t>394IjKlFbm/f3gguQ0lRLk5BU0RBUTpNU0ZULklRX0RJTFVUX1dFSUdIVC45OTkuMTEvMDcvMjAyNgEAAABLVQAAAgAAAAQ3NDY5ABr8tGpv394I1JVFbm/f3ggpQ0lRLk5BU0RBUTpNU0ZULklRX0dBQVBfSVMuOTk0LjExLzA3LzIwMjYBAAAAS1UAAAMAAAAHVVMgR0FBUAAa/LRqb9/eCNSVRW5v394IMUNJUS5OQVNEQVE6TVNGVC5JUV9SRVNUQVRFTUVOVF9JUy4xMDAwLjExLzA3LzIwMjYBAAAAS1UAAAMAAAABTwAa/LRqb9/eCIypRW5v394IQUNJUS5OQVNEQVE6TVNGVC5JUV9ESVNUUklCVVRBQkxFX0NBU0hfU0hBUkVTX0JBU0lDLjk5NC4xMS8wNy8yMDI2AQAAAEtVAAADAAAAAAAa/LRqb9/eCIduRW5v394ILkNJUS5OQVNEQVE6TVNGVC5JUV9QQVlPVVRfUkFUSU8uOTk0LjExLzA3LzIwMjYBAAAAS1UAAAIAAAAHMzUuMTk2MgEIAAAABQAAAAExAQAAAAstMjE0MDk4MTQ2OQMAAAADMTYwAgAAAAQ0Mzc3BAAAAAEwBwAAAAk3LzExLzIwMjYIAAAACTYvMzAvMjAxOQkAAAABMBr8tGpv394Ih25Fbm/f3ggpQ0lRLk5BU0RBUTpNU0ZULklRX0dBQVBfSVMuOTk5LjExLzA3LzIwMjYBAAAAS1UAAAMAAAAHVVMgR0FBUAAa/LRqb9/eCNSVRW5v394ILkNJUS5OQVNEQVE6TVNGVC5JUV9QQVlPVVRfUkFUSU8uOTk1LjExLzA3LzIwMjYBAAAAS1UAAAIAAAAHMzQuMTgzOQEIAAAABQAAAAExAQAAAAstMjA4</t>
  </si>
  <si>
    <t>NzQ5NjYyNwMAAAADMTYwAgAAAAQ0Mzc3BAAAAAEwBwAAAAk3LzExLzIwMjYIAAAACTYvMzAvMjAyMAkAAAABMBr8tGpv394I1JVFbm/f3ggsQ0lRLk5BU0RBUTpNU0ZULklRX1NBTUVfU1RPUkUuOTk3LjExLzA3LzIwMjYBAAAAS1UAAAMAAAAAABr8tGpv394I1JVFbm/f3ggwQ0lRLk5BU0RBUTpNU0ZULklRX1JFU1RBVEVNRU5UX0lTLjk5OS4xMS8wNy8yMDI2AQAAAEtVAAADAAAAAk5DABr8tGpv394Ih25Fbm/f3ggsQ0lRLk5BU0RBUTpNU0ZULklRX1NBTUVfU1RPUkUuOTk0LjExLzA3LzIwMjYBAAAAS1UAAAMAAAAAABr8tGpv394Ih25Fbm/f3ggxQ0lRLk5BU0RBUTpNU0ZULklRX0ZJTElOR19DVVJSRU5DWS45OTguMTEvMDcvMjAyNgEAAABLVQAAAwAAAANVU0QATjS1am/f3giHbkVub9/eCDFDSVEuTkFTREFROk1TRlQuSVFfRklMSU5HX0NVUlJFTkNZLjk5OS4xMS8wNy8yMDI2AQAAAEtVAAADAAAAA1VTRABONLVqb9/eCIduRW5v394IKUNJUS5OQVNEQVE6TVNGVC5JUV9HQUFQX0lTLjk5OC4xMS8wNy8yMDI2AQAAAEtVAAADAAAAB1VTIEdBQVAAGvy0am/f3giHbkVub9/eCENDSVEuTkFTREFROk1TRlQuSVFfRElTVFJJQlVUQUJMRV9DQVNIX1NIQVJFU19ESUxVVEVELjk5Ny4xMS8wNy8yMDI2AQAAAEtVAAADAAAAAAAa/LRqb9/eCIduRW5v394IMkNJUS5OQVNEQVE6TVNGVC5JUV9EUl9SQVRJ</t>
  </si>
  <si>
    <t>T19QUklNQVJZLjk5Ny4xMS8wNy8yMDI2AQAAAEtVAAACAAAABzAuMDQxNjcAGvy0am/f3giHbkVub9/eCDFDSVEuTkFTREFROk1TRlQuSVFfRklMSU5HX0NVUlJFTkNZLjk5Ni4xMS8wNy8yMDI2AQAAAEtVAAADAAAAA1VTRAAa/LRqb9/eCIduRW5v394IL0NJUS5OQVNEQVE6TVNGVC5JUV9QQVlPVVRfUkFUSU8uMTAwMC4xMS8wNy8yMDI2AQAAAEtVAAACAAAABzIzLjY0ODcBCAAAAAUAAAABMQEAAAALLTE5MzQyNTQyMTYDAAAAAzE2MAIAAAAENDM3NwQAAAABMAcAAAAJNy8xMS8yMDI2CAAAAAk2LzMwLzIwMjUJAAAAATAa/LRqb9/eCM1ZRW5v394IMUNJUS5OQVNEQVE6TVNGVC5JUV9FRkZFQ1RfVEFYX1JBVEUuOTk0LjExLzA3LzIwMjYBAAAAS1UAAAIAAAAHMTAuMTgxMgEIAAAABQAAAAExAQAAAAstMjE0MDk4MTQ2OQMAAAADMTYwAgAAAAQ0Mzc2BAAAAAEwBwAAAAk3LzExLzIwMjYIAAAACTYvMzAvMjAxOQkAAAABMBr8tGpv394IzVlFbm/f3gguQ0lRLk5BU0RBUTpNU0ZULklRX0NBTENfVFlQRV9JUy45OTkuMTEvMDcvMjAyNgEAAABLVQAAAwAAAANSRVAAGvy0am/f3giHbkVub9/eCDFDSVEuTkFTREFROk1TRlQuSVFfRklMSU5HX0NVUlJFTkNZLjk5NS4xMS8wNy8yMDI2AQAAAEtVAAADAAAAA1VTRABONLVqb9/eCNQ5RW5v394ILkNJUS5OQVNEQVE6TVNGVC5JUV9QQVlPVVRfUkFUSU8uOTk5</t>
  </si>
  <si>
    <t>LjExLzA3LzIwMjYBAAAAS1UAAAIAAAAHMjQuNzAxNQEIAAAABQAAAAExAQAAAAstMTkzNDI1NDE4NQMAAAADMTYwAgAAAAQ0Mzc3BAAAAAEwBwAAAAk3LzExLzIwMjYIAAAACTYvMzAvMjAyNAkAAAABMBr8tGpv394I1DlFbm/f3gguQ0lRLk5BU0RBUTpNU0ZULklRX0NBTENfVFlQRV9DRi45OTQuMTEvMDcvMjAyNgEAAABLVQAAAwAAAANSRVAAGvy0am/f3gjUOUVub9/eCC5DSVEuTkFTREFROk1TRlQuSVFfQ0FMQ19UWVBFX0lTLjk5OC4xMS8wNy8yMDI2AQAAAEtVAAADAAAAA1JFUAAa/LRqb9/eCM1ZRW5v394IMUNJUS5OQVNEQVE6TVNGVC5JUV9GSUxJTkdfQ1VSUkVOQ1kuOTk0LjExLzA3LzIwMjYBAAAAS1UAAAMAAAADVVNEAE40tWpv394IIyZFbm/f3gguQ0lRLk5BU0RBUTpNU0ZULklRX1BBWU9VVF9SQVRJTy45OTguMTEvMDcvMjAyNgEAAABLVQAAAgAAAAcyNy4zNjI4AQgAAAAFAAAAATEBAAAACy0xOTM0MjU0MjUwAwAAAAMxNjACAAAABDQzNzcEAAAAATAHAAAACTcvMTEvMjAyNggAAAAJNi8zMC8yMDIzCQAAAAEwGvy0am/f3ggjJkVub9/eCDtDSVEuTkFTREFROk1TRlQuSVFfRElTVFJJQlVUQUJMRV9DQVNIX1BBWU9VVC45OTguMTEvMDcvMjAyNgEAAABLVQAAAwAAAAAAGvy0am/f3ggjJkVub9/eCC1DSVEuTkFTREFROk1TRlQuSVFfU0FNRV9TVE9SRS4xMDAwLjExLzA3LzIwMjYBAAAA</t>
  </si>
  <si>
    <t>S1UAAAMAAAAAABr8tGpv394I1DlFbm/f3gguQ0lRLk5BU0RBUTpNU0ZULklRX0NBTENfVFlQRV9JUy45OTcuMTEvMDcvMjAyNgEAAABLVQAAAwAAAANSRVAAGvy0am/f3gjG/kRub9/eCClDSVEuTkFTREFROk1TRlQuSVFfR0FBUF9DRi45OTUuMTEvMDcvMjAyNgEAAABLVQAAAwAAAAdVUyBHQUFQABr8tGpv394Ixv5Ebm/f3gguQ0lRLk5BU0RBUTpNU0ZULklRX0NBTENfVFlQRV9JUy45OTUuMTEvMDcvMjAyNgEAAABLVQAAAwAAAANSRVAAGvy0am/f3gjG/kRub9/eCDtDSVEuTkFTREFROk1TRlQuSVFfRElTVFJJQlVUQUJMRV9DQVNIX1BBWU9VVC45OTcuMTEvMDcvMjAyNgEAAABLVQAAAwAAAAAAGvy0am/f3gjG/kRub9/eCCxDSVEuTkFTREFROk1TRlQuSVFfU0FNRV9TVE9SRS45OTkuMTEvMDcvMjAyNgEAAABLVQAAAwAAAAAAGvy0am/f3ggjJkVub9/eCC5DSVEuTkFTREFROk1TRlQuSVFfQ0FMQ19UWVBFX0lTLjk5Ni4xMS8wNy8yMDI2AQAAAEtVAAADAAAAA1JFUAAa/LRqb9/eCMb+RG5v394IMUNJUS5OQVNEQVE6TVNGVC5JUV9QRVJJT0RMRU5HVEhfQ0YuOTk4LjExLzA3LzIwMjYBAAAAS1UAAAEAAAACMTIAGvy0am/f3gjG/kRub9/eCDJDSVEuTkFTREFROk1TRlQuSVFfRklMSU5HX0NVUlJFTkNZLjEwMDAuMTEvMDcvMjAyNgEAAABLVQAAAwAAAANVU0QATjS1am/f3gjG/kRub9/eCDtDSVEu</t>
  </si>
  <si>
    <t>TkFTREFROk1TRlQuSVFfRElTVFJJQlVUQUJMRV9DQVNIX1BBWU9VVC45OTYuMTEvMDcvMjAyNgEAAABLVQAAAwAAAAAAGvy0am/f3gjG/kRub9/eCENDSVEuTkFTREFROk1TRlQuSVFfRElTVFJJQlVUQUJMRV9DQVNIX1NIQVJFU19ESUxVVEVELjk5OC4xMS8wNy8yMDI2AQAAAEtVAAADAAAAAAAa/LRqb9/eCMb+RG5v394ILkNJUS5OQVNEQVE6TVNGVC5JUV9ESUxVVF9XRUlHSFQuOTk0LjExLzA3LzIwMjYBAAAAS1UAAAIAAAAENzc1MwAa/LRqb9/eCB3rRG5v394IMUNJUS5OQVNEQVE6TVNGVC5JUV9FRkZFQ1RfVEFYX1JBVEUuOTk5LjExLzA3LzIwMjYBAAAAS1UAAAIAAAAHMTguMjMxMwEIAAAABQAAAAExAQAAAAstMTkzNDI1NDE4NQMAAAADMTYwAgAAAAQ0Mzc2BAAAAAEwBwAAAAk3LzExLzIwMjYIAAAACTYvMzAvMjAyNAkAAAABMBr8tGpv394IHetEbm/f3gg7Q0lRLk5BU0RBUTpNU0ZULklRX0RJU1RSSUJVVEFCTEVfQ0FTSF9QQVlPVVQuOTk1LjExLzA3LzIwMjYBAAAAS1UAAAMAAAAAABr8tGpv394IHetEbm/f3ggvQ0lRLk5BU0RBUTpNU0ZULklRX0ZJTElOR0RBVEVfSVMuOTk5LjExLzA3LzIwMjYBAAAAS1UAAAUAAAAKMzAvMDcvMjAyNQAa/LRqb9/eCB3rRG5v394IKkNJUS5OQVNEQVE6TVNGVC5JUV9HQUFQX0NGLjEwMDAuMTEvMDcvMjAyNgEAAABLVQAAAwAAAAdVUyBHQUFQABr8tGpv</t>
  </si>
  <si>
    <t>394IucNEbm/f3ggvQ0lRLk5BU0RBUTpNU0ZULklRX0ZJTElOR0RBVEVfSVMuOTk4LjExLzA3LzIwMjYBAAAAS1UAAAUAAAAKMzAvMDcvMjAyNQAa/LRqb9/eCLnDRG5v394IM0NJUS5OQVNEQVE6TVNGVC5JUV9EUl9SQVRJT19QUklNQVJZLjEwMDAuMTEvMDcvMjAyNgEAAABLVQAAAgAAAAcwLjA0MTY3ABr8tGpv394IucNEbm/f3ggpQ0lRLk5BU0RBUTpNU0ZULklRX0dBQVBfQ0YuOTk5LjExLzA3LzIwMjYBAAAAS1UAAAMAAAAHVVMgR0FBUAAa/LRqb9/eCB3rRG5v394IMUNJUS5OQVNEQVE6TVNGVC5JUV9QRVJJT0RMRU5HVEhfQ0YuOTk3LjExLzA3LzIwMjYBAAAAS1UAAAEAAAACMTIAGvy0am/f3ggd60Rub9/eCDBDSVEuTkFTREFROk1TRlQuSVFfUkVTVEFURU1FTlRfSVMuOTk2LjExLzA3LzIwMjYBAAAAS1UAAAMAAAACTkMAGvy0am/f3gi5w0Rub9/eCDFDSVEuTkFTREFROk1TRlQuSVFfRUZGRUNUX1RBWF9SQVRFLjk5OC4xMS8wNy8yMDI2AQAAAEtVAAACAAAABzE4Ljk3ODYBCAAAAAUAAAABMQEAAAALLTE5MzQyNTQyNTADAAAAAzE2MAIAAAAENDM3NgQAAAABMAcAAAAJNy8xMS8yMDI2CAAAAAk2LzMwLzIwMjMJAAAAATAa/LRqb9/eCLnDRG5v394IO0NJUS5OQVNEQVE6TVNGVC5JUV9ESVNUUklCVVRBQkxFX0NBU0hfUEFZT1VULjk5NC4xMS8wNy8yMDI2AQAAAEtVAAADAAAAAAAa/LRqb9/e</t>
  </si>
  <si>
    <t>CLnDRG5v394IMENJUS5OQVNEQVE6TVNGVC5JUV9SRVNUQVRFTUVOVF9JUy45OTUuMTEvMDcvMjAyNgEAAABLVQAAAwAAAAJOQwAa/LRqb9/eCPCvRG5v394IMUNJUS5OQVNEQVE6TVNGVC5JUV9FRkZFQ1RfVEFYX1JBVEUuOTk3LjExLzA3LzIwMjYBAAAAS1UAAAIAAAAHMTMuMTEzMwEIAAAABQAAAAExAQAAAAstMTk4NTkzMTIyNAMAAAADMTYwAgAAAAQ0Mzc2BAAAAAEwBwAAAAk3LzExLzIwMjYIAAAACTYvMzAvMjAyMgkAAAABMBr8tGpv394I8K9Ebm/f3ggxQ0lRLk5BU0RBUTpNU0ZULklRX1BFUklPRExFTkdUSF9DRi45OTQuMTEvMDcvMjAyNgEAAABLVQAAAQAAAAIxMgAa/LRqb9/eCJKIRG5v394IKUNJUS5OQVNEQVE6TVNGVC5JUV9HQUFQX0lTLjk5Ny4xMS8wNy8yMDI2AQAAAEtVAAADAAAAB1VTIEdBQVAAGvy0am/f3giSiERub9/eCDFDSVEuTkFTREFROk1TRlQuSVFfRUZGRUNUX1RBWF9SQVRFLjk5NS4xMS8wNy8yMDI2AQAAAEtVAAACAAAABzE2LjUwNzYBCAAAAAUAAAABMQEAAAALLTIwODc0OTY2MjcDAAAAAzE2MAIAAAAENDM3NgQAAAABMAcAAAAJNy8xMS8yMDI2CAAAAAk2LzMwLzIwMjAJAAAAATAa/LRqb9/eCJKIRG5v394IL0NJUS5OQVNEQVE6TVNGVC5JUV9DQUxDX1RZUEVfSVMuMTAwMC4xMS8wNy8yMDI2AQAAAEtVAAADAAAAA1JFUAAa/LRqb9/eCJKIRG5v394IMENJUS5OQVNE</t>
  </si>
  <si>
    <t>QVE6TVNGVC5JUV9SRVNUQVRFTUVOVF9JUy45OTQuMTEvMDcvMjAyNgEAAABLVQAAAwAAAAJOQwAa/LRqb9/eCPCvRG5v394IMUNJUS5OQVNEQVE6TVNGVC5JUV9FRkZFQ1RfVEFYX1JBVEUuOTk2LjExLzA3LzIwMjYBAAAAS1UAAAIAAAAHMTMuODI2NgEIAAAABQAAAAExAQAAAAstMjAzNjg0Mzg0MwMAAAADMTYwAgAAAAQ0Mzc2BAAAAAEwBwAAAAk3LzExLzIwMjYIAAAACTYvMzAvMjAyMQkAAAABMBr8tGpv394IkohEbm/f3gguQ0lRLk5BU0RBUTpNU0ZULklRX0RJTFVUX1dFSUdIVC45OTcuMTEvMDcvMjAyNgEAAABLVQAAAgAAAAQ3NTQwABr8tGpv394IkohEbm/f3ggxQ0lRLk5BU0RBUTpNU0ZULklRX1BFUklPRExFTkdUSF9DRi45OTkuMTEvMDcvMjAyNgEAAABLVQAAAQAAAAIxMgAa/LRqb9/eCJKIRG5v394IKUNJUS5OQVNEQVE6TVNGVC5JUV9HQUFQX0lTLjk5Ni4xMS8wNy8yMDI2AQAAAEtVAAADAAAAB1VTIEdBQVAAGvy0am/f3giSiERub9/eCDxDSVEuTkFTREFROk1TRlQuSVFfRElTVFJJQlVUQUJMRV9DQVNIX1BBWU9VVC4xMDAwLjExLzA3LzIwMjYBAAAAS1UAAAMAAAAAABr8tGpv394IvHREbm/f3ggwQ0lRLk5BU0RBUTpNU0ZULklRX1JFU1RBVEVNRU5UX0NGLjk5OC4xMS8wNy8yMDI2AQAAAEtVAAADAAAAAk5DABr8tGpv394IvHREbm/f3ggxQ0lRLk5BU0RBUTpNU0ZULklRX1BFUklP</t>
  </si>
  <si>
    <t>RExFTkdUSF9DRi45OTYuMTEvMDcvMjAyNgEAAABLVQAAAQAAAAIxMgAa/LRqb9/eCLx0RG5v394IKUNJUS5OQVNEQVE6TVNGVC5JUV9HQUFQX0lTLjk5NS4xMS8wNy8yMDI2AQAAAEtVAAADAAAAB1VTIEdBQVAAGvy0am/f3gi8dERub9/eCDtDSVEuTkFTREFROk1TRlQuSVFfRElTVFJJQlVUQUJMRV9DQVNIX1BBWU9VVC45OTkuMTEvMDcvMjAyNgEAAABLVQAAAwAAAAAAGvy0am/f3giSiERub9/eCDBDSVEuTkFTREFROk1TRlQuSVFfUkVUVVJOX0NBUElUQUwuOTk4LjExLzA3LzIwMjYBAAAAS1UAAAIAAAAHMjAuODU0MgEIAAAABQAAAAExAQAAAAstMTkzNDI1NDI1MAMAAAADMTYwAgAAAAQ0MzYzBAAAAAEwBwAAAAk3LzExLzIwMjYIAAAACTYvMzAvMjAyMwkAAAABMBr8tGpv394IaU1Ebm/f3ggwQ0lRLk5BU0RBUTpNU0ZULklRX0NPU1RfQk9SUk9XSU5HLjk5OC4xMS8wNy8yMDI2AQAAAEtVAAACAAAABjIuNTI3OAEIAAAABQAAAAExAQAAAAstMTkzNDI1NDI1MAMAAAADMTYwAgAAAAUyMTY4MQQAAAABMAcAAAAJNy8xMS8yMDI2CAAAAAk2LzMwLzIwMjMJAAAAATAa/LRqb9/eCGlNRG5v394INENJUS5OQVNEQVE6TVNGVC5JUV9BVkdfVEVNUF9FTVBMT1lFRVMuOTk3LjExLzA3LzIwMjYBAAAAS1UAAAMAAAAAABr8tGpv394IaU1Ebm/f3ggxQ0lRLk5BU0RBUTpNU0ZULklRX1RPVEFMX0VNUExPWUVF</t>
  </si>
  <si>
    <t>Uy45OTcuMTEvMDcvMjAyNgEAAABLVQAAAgAAAAYyMjEwMDAAGvy0am/f3gi8dERub9/eCD9DSVEuTkFTREFROk1TRlQuSVFfVE9UQUxfT1VUU1RBTkRJTkdfRklMSU5HX0RBVEUuOTk3LjExLzA3LzIwMjYBAAAAS1UAAAIAAAALNzQ1Ny44OTE4NzIBBAAAAAUAAAABNQEAAAALLTE5ODU5MzEyMjQCAAAABTI0MTUzBgAAAAEwGvy0am/f3ghpTURub9/eCDFDSVEuTkFTREFROk1TRlQuSVFfVE9UQUxfRU1QTE9ZRUVTLjk5NC4xMS8wNy8yMDI2AQAAAEtVAAACAAAABjE0NDAwMAAa/LRqb9/eCGlNRG5v394IP0NJUS5OQVNEQVE6TVNGVC5JUV9UT1RBTF9PVVRTVEFORElOR19GSUxJTkdfREFURS45OTUuMTEvMDcvMjAyNgEAAABLVQAAAgAAAAs3NTY3LjY1MjkzNQEEAAAABQAAAAE1AQAAAAstMjA4NzQ5NjYyNwIAAAAFMjQxNTMGAAAAATAa/LRqb9/eCGlNRG5v394ILkNJUS5OQVNEQVE6TVNGVC5JUV9DQUxDX1RZUEVfQ0YuOTk1LjExLzA3LzIwMjYBAAAAS1UAAAMAAAADUkVQABr8tGpv394IaU1Ebm/f3ggxQ0lRLk5BU0RBUTpNU0ZULklRX1BFUklPRExFTkdUSF9DRi45OTUuMTEvMDcvMjAyNgEAAABLVQAAAQAAAAIxMgAa/LRqb9/eCGlNRG5v394IKkNJUS5OQVNEQVE6TVNGVC5JUV9BUl9UVVJOUy45OTkuMTEvMDcvMjAyNgEAAABLVQAAAgAAAAg0LjY0MTkzNAEIAAAABQAAAAExAQAAAAstMTkzNDI1</t>
  </si>
  <si>
    <t>NDE4NQMAAAADMTYwAgAAAAQ0MDAxBAAAAAEwBwAAAAk3LzExLzIwMjYIAAAACTYvMzAvMjAyNAkAAAABMBr8tGpv394IazhEbm/f3ggvQ0lRLk5BU0RBUTpNU0ZULklRX1JFVFVSTl9FUVVJVFkuOTk4LjExLzA3LzIwMjYBAAAAS1UAAAIAAAAHMzguODIzOQEIAAAABQAAAAExAQAAAAstMTkzNDI1NDI1MAMAAAADMTYwAgAAAAQ0MTI4BAAAAAEwBwAAAAk3LzExLzIwMjYIAAAACTYvMzAvMjAyMwkAAAABMBr8tGpv394IazhEbm/f3ggwQ0lRLk5BU0RBUTpNU0ZULklRX0NPU1RfQk9SUk9XSU5HLjk5Ni4xMS8wNy8yMDI2AQAAAEtVAAACAAAABjIuODM0NwEIAAAABQAAAAExAQAAAAstMjAzNjg0Mzg0MwMAAAADMTYwAgAAAAUyMTY4MQQAAAABMAcAAAAJNy8xMS8yMDI2CAAAAAk2LzMwLzIwMjEJAAAAATAa/LRqb9/eCGs4RG5v394IP0NJUS5OQVNEQVE6TVNGVC5JUV9UT1RBTF9PVVRTVEFORElOR19GSUxJTkdfREFURS45OTQuMTEvMDcvMjAyNgEAAABLVQAAAgAAAAk3NjM1LjQwOTQBBAAAAAUAAAABNQEAAAALLTIxNDA5ODE0NjkCAAAABTI0MTUzBgAAAAEwGvy0am/f3ghrOERub9/eCDFDSVEuTkFTREFROk1TRlQuSVFfSU5WRU5UT1JZX1RVUk5TLjk5NC4xMS8wNy8yMDI2AQAAAEtVAAACAAAACTE4LjE2Mjk2MgEIAAAABQAAAAExAQAAAAstMjE0MDk4MTQ2OQMAAAADMTYwAgAAAAQ0MDgyBAAAAAEw</t>
  </si>
  <si>
    <t>BwAAAAk3LzExLzIwMjYIAAAACTYvMzAvMjAxOQkAAAABMBr8tGpv394IazhEbm/f3ggwQ0lRLk5BU0RBUTpNU0ZULklRX0NPU1RfQk9SUk9XSU5HLjk5Ny4xMS8wNy8yMDI2AQAAAEtVAAACAAAABjIuNTQ3OQEIAAAABQAAAAExAQAAAAstMTk4NTkzMTIyNAMAAAADMTYwAgAAAAUyMTY4MQQAAAABMAcAAAAJNy8xMS8yMDI2CAAAAAk2LzMwLzIwMjIJAAAAATAa/LRqb9/eCAAkRG5v394IL0NJUS5OQVNEQVE6TVNGVC5JUV9SRVRVUk5fRVFVSVRZLjk5Ny4xMS8wNy8yMDI2AQAAAEtVAAACAAAABzQ3LjE1MTMBCAAAAAUAAAABMQEAAAALLTE5ODU5MzEyMjQDAAAAAzE2MAIAAAAENDEyOAQAAAABMAcAAAAJNy8xMS8yMDI2CAAAAAk2LzMwLzIwMjIJAAAAATAa/LRqb9/eCAAkRG5v394IMENJUS5OQVNEQVE6TVNGVC5JUV9DT1NUX0JPUlJPV0lORy45OTUuMTEvMDcvMjAyNgEAAABLVQAAAgAAAAYzLjA3NDEBCAAAAAUAAAABMQEAAAALLTIwODc0OTY2MjcDAAAAAzE2MAIAAAAFMjE2ODEEAAAAATAHAAAACTcvMTEvMjAyNggAAAAJNi8zMC8yMDIwCQAAAAEwGvy0am/f3ggAJERub9/eCDNDSVEuTkFTREFROk1TRlQuSVFfTlVNQkVSX0FEUkhPTERFUlMuOTk4LjExLzA3LzIwMjYBAAAAS1UAAAMAAAAAABr8tGpv394IACREbm/f3ggyQ0lRLk5BU0RBUTpNU0ZULklRX1RPVEFMX0VNUExPWUVFUy4xMDAwLjEx</t>
  </si>
  <si>
    <t>LzA3LzIwMjYBAAAAS1UAAAIAAAAGMjI4MDAwABr8tGpv394IACREbm/f3ggvQ0lRLk5BU0RBUTpNU0ZULklRX0NVUlJFTlRfUkFUSU8uOTk2LjExLzA3LzIwMjYBAAAAS1UAAAIAAAAIMi4wNzk5OTMBCAAAAAUAAAABMQEAAAALLTIwMzY4NDM4NDMDAAAAAzE2MAIAAAAENDAzMAQAAAABMAcAAAAJNy8xMS8yMDI2CAAAAAk2LzMwLzIwMjEJAAAAATAa/LRqb9/eCNYORG5v394ILENJUS5OQVNEQVE6TVNGVC5JUV9JTlZfTUVUSE9ELjk5NS4xMS8wNy8yMDI2AQAAAEtVAAADAAAACEF2ZyBDb3N0ABr8tGpv394I1g5Ebm/f3ggvQ0lRLk5BU0RBUTpNU0ZULklRX1JFVFVSTl9FUVVJVFkuOTk0LjExLzA3LzIwMjYBAAAAS1UAAAIAAAAHNDIuNDEwNgEIAAAABQAAAAExAQAAAAstMjE0MDk4MTQ2OQMAAAADMTYwAgAAAAQ0MTI4BAAAAAEwBwAAAAk3LzExLzIwMjYIAAAACTYvMzAvMjAxOQkAAAABMBr8tGpv394I1g5Ebm/f3ggwQ0lRLk5BU0RBUTpNU0ZULklRX0NPU1RfQk9SUk9XSU5HLjk5NC4xMS8wNy8yMDI2AQAAAEtVAAACAAAABTMuMDg4AQgAAAAFAAAAATEBAAAACy0yMTQwOTgxNDY5AwAAAAMxNjACAAAABTIxNjgxBAAAAAEwBwAAAAk3LzExLzIwMjYIAAAACTYvMzAvMjAxOQkAAAABMBr8tGpv394I1g5Ebm/f3ggsQ0lRLk5BU0RBUTpNU0ZULklRX0lOVl9NRVRIT0QuOTk4LjExLzA3LzIwMjYBAAAA</t>
  </si>
  <si>
    <t>S1UAAAMAAAAIQXZnIENvc3QAGvy0am/f3gg/+kNub9/eCEBDSVEuTkFTREFROk1TRlQuSVFfVE9UQUxfT1VUU1RBTkRJTkdfRklMSU5HX0RBVEUuMTAwMC4xMS8wNy8yMDI2AQAAAEtVAAACAAAACzc0MzMuMTY2Mzc5AQQAAAAFAAAAATUBAAAACy0xOTM0MjU0MjE2AgAAAAUyNDE1MwYAAAABMBr8tGpv394IP/pDbm/f3ggvQ0lRLk5BU0RBUTpNU0ZULklRX0NBTENfVFlQRV9DRi4xMDAwLjExLzA3LzIwMjYBAAAAS1UAAAMAAAADUkVQABr8tGpv394IP/pDbm/f3ggyQ0lRLk5BU0RBUTpNU0ZULklRX1BFUklPRExFTkdUSF9DRi4xMDAwLjExLzA3LzIwMjYBAAAAS1UAAAEAAAACMTIAGvy0am/f3gjWDkRub9/eCDJDSVEuTkFTREFROk1TRlQuSVFfQ0ZPX0NVUlJFTlRfTElBQi45OTcuMTEvMDcvMjAyNgEAAABLVQAAAgAAAAgwLjkzNjQwMgEIAAAABQAAAAExAQAAAAstMTk4NTkzMTIyNAMAAAADMTYwAgAAAAQ0MTg1BAAAAAEwBwAAAAk3LzExLzIwMjYIAAAACTYvMzAvMjAyMgkAAAABMBr8tGpv394IeNJDbm/f3ggwQ0lRLk5BU0RBUTpNU0ZULklRX0RBWVNfU0FMRVNfT1VULjk5Ni4xMS8wNy8yMDI2AQAAAEtVAAACAAAACDc2LjA2MDE2AQgAAAAFAAAAATEBAAAACy0yMDM2ODQzODQzAwAAAAMxNjACAAAABDQwNDIEAAAAATAHAAAACTcvMTEvMjAyNggAAAAJNi8zMC8yMDIxCQAAAAEwGvy0am/f3gh4</t>
  </si>
  <si>
    <t>0kNub9/eCC5DSVEuTkFTREFROk1TRlQuSVFfR1JPU1NfTUFSR0lOLjk5NC4xMS8wNy8yMDI2AQAAAEtVAAACAAAABzY1LjkwMTkBCAAAAAUAAAABMQEAAAALLTIxNDA5ODE0NjkDAAAAAzE2MAIAAAAENDA3NAQAAAABMAcAAAAJNy8xMS8yMDI2CAAAAAk2LzMwLzIwMTkJAAAAATAa/LRqb9/eCHjSQ25v394IMENJUS5OQVNEQVE6TVNGVC5JUV9SRVNUQVRFTUVOVF9CUy45OTQuMTEvMDcvMjAyNgEAAABLVQAAAwAAAAJOQwAa/LRqb9/eCHjSQ25v394INENJUS5OQVNEQVE6TVNGVC5JUV9OVU1CRVJfQURSSE9MREVSUy4xMDAwLjExLzA3LzIwMjYBAAAAS1UAAAMAAAAAABr8tGpv394IP/pDbm/f3ghCQ0lRLk5BU0RBUTpNU0ZULklRX0VNUExPWUVFU19VTkRFUl9VTklPTl9DT05UUkFDVFMuMTAwMC4xMS8wNy8yMDI2AQAAAEtVAAADAAAAAAAa/LRqb9/eCHjSQ25v394IMENJUS5OQVNEQVE6TVNGVC5JUV9SRVNUQVRFTUVOVF9CUy45OTguMTEvMDcvMjAyNgEAAABLVQAAAwAAAAJOQwAa/LRqb9/eCHjSQ25v394IQUNJUS5OQVNEQVE6TVNGVC5JUV9FTVBMT1lFRVNfVU5ERVJfVU5JT05fQ09OVFJBQ1RTLjk5OS4xMS8wNy8yMDI2AQAAAEtVAAADAAAAAAAa/LRqb9/eCHjSQ25v394IP0NJUS5OQVNEQVE6TVNGVC5JUV9UT1RBTF9PVVRTVEFORElOR19GSUxJTkdfREFURS45OTkuMTEvMDcvMjAyNgEAAABL</t>
  </si>
  <si>
    <t>VQAAAgAAAAs3NDMzLjAzODM4MQEEAAAABQAAAAE1AQAAAAstMTkzNDI1NDE4NQIAAAAFMjQxNTMGAAAAATAa/LRqb9/eCHjSQ25v394ILkNJUS5OQVNEQVE6TVNGVC5JUV9DQUxDX1RZUEVfQ0YuOTk5LjExLzA3LzIwMjYBAAAAS1UAAAMAAAADUkVQABr8tGpv394IeNJDbm/f3ggzQ0lRLk5BU0RBUTpNU0ZULklRX0RBWVNfUEFZQUJMRV9PVVQuMTAwMC4xMS8wNy8yMDI2AQAAAEtVAAACAAAACjEwMy42NzQyMzUBCAAAAAUAAAABMQEAAAALLTE5MzQyNTQyMTYDAAAAAzE2MAIAAAAENDE4MwQAAAABMAcAAAAJNy8xMS8yMDI2CAAAAAk2LzMwLzIwMjUJAAAAATAa/LRqb9/eCMy9Q25v394IMENJUS5OQVNEQVE6TVNGVC5JUV9SRVNUQVRFTUVOVF9CUy45OTcuMTEvMDcvMjAyNgEAAABLVQAAAwAAAAJOQwAa/LRqb9/eCMy9Q25v394IQUNJUS5OQVNEQVE6TVNGVC5JUV9FTVBMT1lFRVNfVU5ERVJfVU5JT05fQ09OVFJBQ1RTLjk5OC4xMS8wNy8yMDI2AQAAAEtVAAADAAAAAAAa/LRqb9/eCMy9Q25v394IO0NJUS5OQVNEQVE6TVNGVC5JUV9UT1RBTF9PVVRTVEFORElOR19CU19EQVRFLjk5Ni4xMS8wNy8yMDI2AQAAAEtVAAACAAAABDc1MTkBBAAAAAUAAAABNQEAAAALLTIwMzY4NDM4NDMCAAAABTI0MTUyBgAAAAEwGvy0am/f3gh40kNub9/eCC5DSVEuTkFTREFROk1TRlQuSVFfQ0FMQ19UWVBFX0NGLjk5</t>
  </si>
  <si>
    <t>OC4xMS8wNy8yMDI2AQAAAEtVAAADAAAAA1JFUAAa/LRqb9/eCKapQ25v394IMENJUS5OQVNEQVE6TVNGVC5JUV9SRVNUQVRFTUVOVF9CUy45OTYuMTEvMDcvMjAyNgEAAABLVQAAAwAAAAJOQwAa/LRqb9/eCKapQ25v394IQUNJUS5OQVNEQVE6TVNGVC5JUV9FTVBMT1lFRVNfVU5ERVJfVU5JT05fQ09OVFJBQ1RTLjk5Ny4xMS8wNy8yMDI2AQAAAEtVAAADAAAAAAAa/LRqb9/eCKapQ25v394ILUNJUS5OQVNEQVE6TVNGVC5JUV9JTlZfTUVUSE9ELjEwMDAuMTEvMDcvMjAyNgEAAABLVQAAAwAAAAhBdmcgQ29zdAAa/LRqb9/eCKapQ25v394IO0NJUS5OQVNEQVE6TVNGVC5JUV9UT1RBTF9PVVRTVEFORElOR19CU19EQVRFLjk5NS4xMS8wNy8yMDI2AQAAAEtVAAACAAAABDc1NzEBBAAAAAUAAAABNQEAAAALLTIwODc0OTY2MjcCAAAABTI0MTUyBgAAAAEwGvy0am/f3gjMvUNub9/eCC5DSVEuTkFTREFROk1TRlQuSVFfQ0FMQ19UWVBFX0NGLjk5Ny4xMS8wNy8yMDI2AQAAAEtVAAADAAAAA1JFUAAa/LRqb9/eCNKUQ25v394ILENJUS5OQVNEQVE6TVNGVC5JUV9JTlZfTUVUSE9ELjk5OS4xMS8wNy8yMDI2AQAAAEtVAAADAAAACEF2ZyBDb3N0ABr8tGpv394I0pRDbm/f3gg7Q0lRLk5BU0RBUTpNU0ZULklRX1RPVEFMX09VVFNUQU5ESU5HX0JTX0RBVEUuOTk0LjExLzA3LzIwMjYBAAAAS1UAAAIAAAAENzY0</t>
  </si>
  <si>
    <t>MwEEAAAABQAAAAE1AQAAAAstMjE0MDk4MTQ2OQIAAAAFMjQxNTIGAAAAATAa/LRqb9/eCNKUQ25v394ILkNJUS5OQVNEQVE6TVNGVC5JUV9DQUxDX1RZUEVfQ0YuOTk2LjExLzA3LzIwMjYBAAAAS1UAAAMAAAADUkVQABr8tGpv394IpqlDbm/f3ggyQ0lRLk5BU0RBUTpNU0ZULklRX0RBWVNfUEFZQUJMRV9PVVQuOTk3LjExLzA3LzIwMjYBAAAAS1UAAAIAAAAJOTcuNzkwNDM1AQgAAAAFAAAAATEBAAAACy0xOTg1OTMxMjI0AwAAAAMxNjACAAAABDQxODMEAAAAATAHAAAACTcvMTEvMjAyNggAAAAJNi8zMC8yMDIyCQAAAAEwGvy0am/f3gimqUNub9/eCC5DSVEuTkFTREFROk1TRlQuSVFfR1JPU1NfTUFSR0lOLjk5OC4xMS8wNy8yMDI2AQAAAEtVAAACAAAABTY4LjkyAQgAAAAFAAAAATEBAAAACy0xOTM0MjU0MjUwAwAAAAMxNjACAAAABDQwNzQEAAAAATAHAAAACTcvMTEvMjAyNggAAAAJNi8zMC8yMDIzCQAAAAEwGvy0am/f3ggZgENub9/eCDBDSVEuTkFTREFROk1TRlQuSVFfRUJJVERBX01BUkdJTi4xMDAwLjExLzA3LzIwMjYBAAAAS1UAAAIAAAAHNTUuNTYwNwEIAAAABQAAAAExAQAAAAstMTkzNDI1NDIxNgMAAAADMTYwAgAAAAQ0MDQ3BAAAAAEwBwAAAAk3LzExLzIwMjYIAAAACTYvMzAvMjAyNQkAAAABMBr8tGpv394IGYBDbm/f3ggzQ0lRLk5BU0RBUTpNU0ZULklRX1RPVEFMX0RFQlRfRVFV</t>
  </si>
  <si>
    <t>SVRZLjk5NC4xMS8wNy8yMDI2AQAAAEtVAAACAAAABzg0LjQ4NjQBCAAAAAUAAAABMQEAAAALLTIxNDA5ODE0NjkDAAAAAzE2MAIAAAAENDAzNAQAAAABMAcAAAAJNy8xMS8yMDI2CAAAAAk2LzMwLzIwMTkJAAAAATAa/LRqb9/eCBmAQ25v394IL0NJUS5OQVNEQVE6TVNGVC5JUV9FQklUREFfTUFSR0lOLjk5Ni4xMS8wNy8yMDI2AQAAAEtVAAACAAAABzQ4LjA3OTUBCAAAAAUAAAABMQEAAAALLTIwMzY4NDM4NDMDAAAAAzE2MAIAAAAENDA0NwQAAAABMAcAAAAJNy8xMS8yMDI2CAAAAAk2LzMwLzIwMjEJAAAAATAa/LRqb9/eCBmAQ25v394IQUNJUS5OQVNEQVE6TVNGVC5JUV9FTVBMT1lFRVNfVU5ERVJfVU5JT05fQ09OVFJBQ1RTLjk5Ni4xMS8wNy8yMDI2AQAAAEtVAAADAAAAAAAa/LRqb9/eCNKUQ25v394IK0NJUS5OQVNEQVE6TVNGVC5JUV9GVUxMX1RJTUUuOTk2LjExLzA3LzIwMjYBAAAAS1UAAAIAAAAGMTgxMDAwABr8tGpv394I1WtDbm/f3ggvQ0lRLk5BU0RBUTpNU0ZULklRX0VCSVREQV9NQVJHSU4uOTk4LjExLzA3LzIwMjYBAAAAS1UAAAIAAAAHNDguMTQzMwEIAAAABQAAAAExAQAAAAstMTkzNDI1NDI1MAMAAAADMTYwAgAAAAQ0MDQ3BAAAAAEwBwAAAAk3LzExLzIwMjYIAAAACTYvMzAvMjAyMwkAAAABMBr8tGpv394I1WtDbm/f3ggvQ0lRLk5BU0RBUTpNU0ZULklRX0NBTENfVFlQRV9C</t>
  </si>
  <si>
    <t>Uy4xMDAwLjExLzA3LzIwMjYBAAAAS1UAAAMAAAADUkVQABr8tGpv394I1WtDbm/f3ggvQ0lRLk5BU0RBUTpNU0ZULklRX0FWR19FTVBMT1lFRVMuOTk4LjExLzA3LzIwMjYBAAAAS1UAAAMAAAAAABr8tGpv394IGYBDbm/f3ggsQ0lRLk5BU0RBUTpNU0ZULklRX0ZVTExfVElNRS4xMDAwLjExLzA3LzIwMjYBAAAAS1UAAAIAAAAGMjI4MDAwABr8tGpv394IGYBDbm/f3ggtQ0lRLk5BU0RBUTpNU0ZULklRX0VCSVRfTUFSR0lOLjk5NS4xMS8wNy8yMDI2AQAAAEtVAAACAAAABzM3LjAzMDMBCAAAAAUAAAABMQEAAAALLTIwODc0OTY2MjcDAAAAAzE2MAIAAAAENDA1MwQAAAABMAcAAAAJNy8xMS8yMDI2CAAAAAk2LzMwLzIwMjAJAAAAATAa/LRqb9/eCDFYQ25v394IL0NJUS5OQVNEQVE6TVNGVC5JUV9BVkdfRU1QTE9ZRUVTLjk5Ny4xMS8wNy8yMDI2AQAAAEtVAAADAAAAAAAa/LRqb9/eCDFYQ25v394IK0NJUS5OQVNEQVE6TVNGVC5JUV9GVUxMX1RJTUUuOTk5LjExLzA3LzIwMjYBAAAAS1UAAAIAAAAGMjI4MDAwABr8tGpv394I1WtDbm/f3ggwQ0lRLk5BU0RBUTpNU0ZULklRX1JFU1RBVEVNRU5UX0NGLjk5Ny4xMS8wNy8yMDI2AQAAAEtVAAADAAAAAk5DABr8tGpv394I1WtDbm/f3ggwQ0lRLk5BU0RBUTpNU0ZULklRX0xUX0RFQlRfRVFVSVRZLjk5OC4xMS8wNy8yMDI2AQAAAEtVAAACAAAABzM0LjIy</t>
  </si>
  <si>
    <t>ODkBCAAAAAUAAAABMQEAAAALLTE5MzQyNTQyNTADAAAAAzE2MAIAAAAENDA4NQQAAAABMAcAAAAJNy8xMS8yMDI2CAAAAAk2LzMwLzIwMjMJAAAAATAa/LRqb9/eCPQwQ25v394IL0NJUS5OQVNEQVE6TVNGVC5JUV9BVkdfRU1QTE9ZRUVTLjk5NC4xMS8wNy8yMDI2AQAAAEtVAAADAAAAAAAa/LRqb9/eCPQwQ25v394IK0NJUS5OQVNEQVE6TVNGVC5JUV9QQVJUX1RJTUUuOTk0LjExLzA3LzIwMjYBAAAAS1UAAAMAAAAAABr8tGpv394IMVhDbm/f3gg8Q0lRLk5BU0RBUTpNU0ZULklRX1RPVEFMX09VVFNUQU5ESU5HX0JTX0RBVEUuMTAwMC4xMS8wNy8yMDI2AQAAAEtVAAACAAAABDc0MzQBBAAAAAUAAAABNQEAAAALLTE5MzQyNTQyMTYCAAAABTI0MTUyBgAAAAEwGvy0am/f3ggxWENub9/eCDBDSVEuTkFTREFROk1TRlQuSVFfUkVTVEFURU1FTlRfQ0YuOTk2LjExLzA3LzIwMjYBAAAAS1UAAAMAAAACTkMAGvy0am/f3ggxWENub9/eCDBDSVEuTkFTREFROk1TRlQuSVFfTFRfREVCVF9FUVVJVFkuOTk1LjExLzA3LzIwMjYBAAAAS1UAAAIAAAAHNjQuNDE0NQEIAAAABQAAAAExAQAAAAstMjA4NzQ5NjYyNwMAAAADMTYwAgAAAAQ0MDg1BAAAAAEwBwAAAAk3LzExLzIwMjYIAAAACTYvMzAvMjAyMAkAAAABMBr8tGpv394I9DBDbm/f3gg0Q0lRLk5BU0RBUTpNU0ZULklRX0FWR19URU1QX0VNUExPWUVFUy45</t>
  </si>
  <si>
    <t>OTYuMTEvMDcvMjAyNgEAAABLVQAAAwAAAAAAGvy0am/f3gj0MENub9/eCCtDSVEuTkFTREFROk1TRlQuSVFfUEFSVF9USU1FLjk5OC4xMS8wNy8yMDI2AQAAAEtVAAADAAAAAAAa/LRqb9/eCPQwQ25v394IO0NJUS5OQVNEQVE6TVNGVC5JUV9UT1RBTF9PVVRTVEFORElOR19CU19EQVRFLjk5OS4xMS8wNy8yMDI2AQAAAEtVAAACAAAABDc0MzQBBAAAAAUAAAABNQEAAAALLTE5MzQyNTQxODUCAAAABTI0MTUyBgAAAAEwGvy0am/f3gj0MENub9/eCDBDSVEuTkFTREFROk1TRlQuSVFfUkVTVEFURU1FTlRfQ0YuOTk1LjExLzA3LzIwMjYBAAAAS1UAAAMAAAACTkMAGvy0am/f3gj0MENub9/eCCpDSVEuTkFTREFROk1TRlQuSVFfR0FBUF9CUy4xMDAwLjExLzA3LzIwMjYBAAAAS1UAAAMAAAAHVVMgR0FBUAAa/LRqb9/eCEQdQ25v394IKUNJUS5OQVNEQVE6TVNGVC5JUV9HQUFQX0NGLjk5OC4xMS8wNy8yMDI2AQAAAEtVAAADAAAAB1VTIEdBQVAAGvy0am/f3ghEHUNub9/eCDBDSVEuTkFTREFROk1TRlQuSVFfUkVTVEFURU1FTlRfQ0YuOTk0LjExLzA3LzIwMjYBAAAAS1UAAAMAAAACTkMAGvy0am/f3gj0MENub9/eCDlDSVEuTkFTREFROk1TRlQuSVFfVE9UQUxfTElBQl9UT1RBTF9BU1NFVFMuOTk5LjExLzA3LzIwMjYBAAAAS1UAAAIAAAAHNDcuNTc5NwEIAAAABQAAAAExAQAAAAstMTkzNDI1NDE4NQMA</t>
  </si>
  <si>
    <t>AAADMTYwAgAAAAQ0MTg4BAAAAAEwBwAAAAk3LzExLzIwMjYIAAAACTYvMzAvMjAyNAkAAAABMBr8tGpv394I9DBDbm/f3ggrQ0lRLk5BU0RBUTpNU0ZULklRX05JX01BUkdJTi45OTQuMTEvMDcvMjAyNgEAAABLVQAAAgAAAAczMS4xODE3AQgAAAAFAAAAATEBAAAACy0yMTQwOTgxNDY5AwAAAAMxNjACAAAABDQwOTQEAAAAATAHAAAACTcvMTEvMjAyNggAAAAJNi8zMC8yMDE5CQAAAAEwGvy0am/f3gj0MENub9/eCClDSVEuTkFTREFROk1TRlQuSVFfR0FBUF9CUy45OTkuMTEvMDcvMjAyNgEAAABLVQAAAwAAAAdVUyBHQUFQABr8tGpv394I9fVCbm/f3ggpQ0lRLk5BU0RBUTpNU0ZULklRX0dBQVBfQ0YuOTk3LjExLzA3LzIwMjYBAAAAS1UAAAMAAAAHVVMgR0FBUAAa/LRqb9/eCPX1Qm5v394IKkNJUS5OQVNEQVE6TVNGVC5JUV9FQklUX0lOVC45OTguMTEvMDcvMjAyNgEAAABLVQAAAgAAAAk0NC4zNzI0MzEBCAAAAAUAAAABMQEAAAALLTE5MzQyNTQyNTADAAAAAzE2MAIAAAAENDE4OQQAAAABMAcAAAAJNy8xMS8yMDI2CAAAAAk2LzMwLzIwMjMJAAAAATAa/LRqb9/eCEQdQ25v394INENJUS5OQVNEQVE6TVNGVC5JUV9BVkdfVEVNUF9FTVBMT1lFRVMuOTk1LjExLzA3LzIwMjYBAAAAS1UAAAMAAAAAABr8tGpv394IRB1Dbm/f3ggrQ0lRLk5BU0RBUTpNU0ZULklRX1BBUlRfVElNRS45OTcuMTEvMDcv</t>
  </si>
  <si>
    <t>MjAyNgEAAABLVQAAAwAAAAAAGvy0am/f3ghEHUNub9/eCDtDSVEuTkFTREFROk1TRlQuSVFfVE9UQUxfT1VUU1RBTkRJTkdfQlNfREFURS45OTguMTEvMDcvMjAyNgEAAABLVQAAAgAAAAQ3NDMyAQQAAAAFAAAAATUBAAAACy0xOTM0MjU0MjUwAgAAAAUyNDE1MgYAAAABMBr8tGpv394I9fVCbm/f3ggpQ0lRLk5BU0RBUTpNU0ZULklRX0dBQVBfQ0YuOTk2LjExLzA3LzIwMjYBAAAAS1UAAAMAAAAHVVMgR0FBUAAa/LRqb9/eCPX1Qm5v394ILUNJUS5OQVNEQVE6TVNGVC5JUV9BU1NFVF9UVVJOUy45OTQuMTEvMDcvMjAyNgEAAABLVQAAAgAAAAgwLjQ2MTQ2NwEIAAAABQAAAAExAQAAAAstMjE0MDk4MTQ2OQMAAAADMTYwAgAAAAQ0MTc3BAAAAAEwBwAAAAk3LzExLzIwMjYIAAAACTYvMzAvMjAxOQkAAAABMBr8tGpv394I9fVCbm/f3gg0Q0lRLk5BU0RBUTpNU0ZULklRX0FWR19URU1QX0VNUExPWUVFUy45OTQuMTEvMDcvMjAyNgEAAABLVQAAAwAAAAAAGvy0am/f3gj19UJub9/eCCtDSVEuTkFTREFROk1TRlQuSVFfUEFSVF9USU1FLjk5Ni4xMS8wNy8yMDI2AQAAAEtVAAADAAAAAAAa/LRqb9/eCPX1Qm5v394IO0NJUS5OQVNEQVE6TVNGVC5JUV9UT1RBTF9PVVRTVEFORElOR19CU19EQVRFLjk5Ny4xMS8wNy8yMDI2AQAAAEtVAAACAAAABDc0NjQBBAAAAAUAAAABNQEAAAALLTE5ODU5MzEyMjQCAAAA</t>
  </si>
  <si>
    <t>BTI0MTUyBgAAAAEwGvy0am/f3giU3UJub9/eCC1DSVEuTkFTREFROk1TRlQuSVFfQVNTRVRfVFVSTlMuOTk1LjExLzA3LzIwMjYBAAAAS1UAAAIAAAAIMC40ODY1NTUBCAAAAAUAAAABMQEAAAALLTIwODc0OTY2MjcDAAAAAzE2MAIAAAAENDE3NwQAAAABMAcAAAAJNy8xMS8yMDI2CAAAAAk2LzMwLzIwMjAJAAAAATAa/LRqb9/eCJTdQm5v394IL0NJUS5OQVNEQVE6TVNGVC5JUV9SRVRVUk5fQVNTRVRTLjk5NC4xMS8wNy8yMDI2AQAAAEtVAAACAAAABjkuODQ1NgEIAAAABQAAAAExAQAAAAstMjE0MDk4MTQ2OQMAAAADMTYwAgAAAAQ0MTc4BAAAAAEwBwAAAAk3LzExLzIwMjYIAAAACTYvMzAvMjAxOQkAAAABMBr8tGpv394IlN1Cbm/f3ggtQ0lRLk5BU0RBUTpNU0ZULklRX0FTU0VUX1RVUk5TLjk5OC4xMS8wNy8yMDI2AQAAAEtVAAACAAAACDAuNTQ1NTk4AQgAAAAFAAAAATEBAAAACy0xOTM0MjU0MjUwAwAAAAMxNjACAAAABDQxNzcEAAAAATAHAAAACTcvMTEvMjAyNggAAAAJNi8zMC8yMDIzCQAAAAEwGvy0am/f3gj19UJub9/eCC9DSVEuTkFTREFROk1TRlQuSVFfUkVUVVJOX0FTU0VUUy45OTYuMTEvMDcvMjAyNgEAAABLVQAAAgAAAAYxMy43NjEBCAAAAAUAAAABMQEAAAALLTIwMzY4NDM4NDMDAAAAAzE2MAIAAAAENDE3OAQAAAABMAcAAAAJNy8xMS8yMDI2CAAAAAk2LzMwLzIwMjEJAAAAATAa</t>
  </si>
  <si>
    <t>/LRqb9/eCPX1Qm5v394IK0NJUS5OQVNEQVE6TVNGVC5JUV9QQVJUX1RJTUUuOTk1LjExLzA3LzIwMjYBAAAAS1UAAAMAAAAAABr8tGpv394IzclCbm/f3gg0Q0lRLk5BU0RBUTpNU0ZULklRX0ZJWEVEX0FTU0VUX1RVUk5TLjEwMDAuMTEvMDcvMjAyNgEAAABLVQAAAgAAAAcxLjQ2NjAxAQgAAAAFAAAAATEBAAAACy0xOTM0MjU0MjE2AwAAAAMxNjACAAAABDQwNjYEAAAAATAHAAAACTcvMTEvMjAyNggAAAAJNi8zMC8yMDI1CQAAAAEwGvy0am/f3gjNyUJub9/eCClDSVEuTkFTREFROk1TRlQuSVFfR0FBUF9DRi45OTQuMTEvMDcvMjAyNgEAAABLVQAAAwAAAAdVUyBHQUFQABr8tGpv394IzclCbm/f3ggxQ0lRLk5BU0RBUTpNU0ZULklRX1JFU1RBVEVNRU5UX0NGLjEwMDAuMTEvMDcvMjAyNgEAAABLVQAAAwAAAAFPABr8tGpv394IzclCbm/f3gg9Q0lRLk5BU0RBUTpNU0ZULklRX0VCSVREQV9FWENMX09QRVJfTEVBU0VTX0lOVC45OTkuMTEvMDcvMjAyNgEAAABLVQAAAgAAAAk0My4zOTAyMTEBCAAAAAUAAAABMQEAAAALLTE5MzQyNTQxODUDAAAAAzE2MAIAAAAFNDkxNzMEAAAAATAHAAAACTcvMTEvMjAyNggAAAAJNi8zMC8yMDI0CQAAAAEwGvy0am/f3ghaokJub9/eCEVDSVEuTkFTREFROk1TRlQuSVFfVE9UQUxfREVCVF9FQklUREFfRVhDTF9PUEVSX0xFQVNFUy4xMDAwLjExLzA3LzIwMjYBAAAA</t>
  </si>
  <si>
    <t>S1UAAAIAAAAIMC43MTY3MDIBCAAAAAUAAAABMQEAAAALLTE5MzQyNTQyMTYDAAAAAzE2MAIAAAAFNDg5OTQEAAAAATAHAAAACTcvMTEvMjAyNggAAAAJNi8zMC8yMDI1CQAAAAEwGvy0am/f3ghaokJub9/eCDBDSVEuTkFTREFROk1TRlQuSVFfUkVUVVJOX0FTU0VUUy4xMDAwLjExLzA3LzIwMjYBAAAAS1UAAAIAAAAGMTQuMjAzAQgAAAAFAAAAATEBAAAACy0xOTM0MjU0MjE2AwAAAAMxNjACAAAABDQxNzgEAAAAATAHAAAACTcvMTEvMjAyNggAAAAJNi8zMC8yMDI1CQAAAAEwGvy0am/f3ghaokJub9/eCDVDSVEuTkFTREFROk1TRlQuSVFfQVZHX1RFTVBfRU1QTE9ZRUVTLjEwMDAuMTEvMDcvMjAyNgEAAABLVQAAAwAAAAAAGvy0am/f3ghaokJub9/eCDBDSVEuTkFTREFROk1TRlQuSVFfUkVTVEFURU1FTlRfQ0YuOTk5LjExLzA3LzIwMjYBAAAAS1UAAAMAAAACTkMAGvy0am/f3ghaokJub9/eCENDSVEuTkFTREFROk1TRlQuSVFfRUJJVERBX0VYQ0xfT1BFUl9MRUFTRVNfQ0FQRVhfSU5ULjk5Ni4xMS8wNy8yMDI2AQAAAEtVAAACAAAACTI1LjgzNDMzNAEIAAAABQAAAAExAQAAAAstMjAzNjg0Mzg0MwMAAAADMTYwAgAAAAU0OTE3NAQAAAABMAcAAAAJNy8xMS8yMDI2CAAAAAk2LzMwLzIwMjEJAAAAATAa/LRqb9/eCFqiQm5v394IMkNJUS5OQVNEQVE6TVNGVC5JUV9HUF8zWVJfQU5OX0NBR1IuMTAw</t>
  </si>
  <si>
    <t>MC4xMS8wNy8yMDI2AQAAAEtVAAACAAAABzEyLjY1MzkBCAAAAAUAAAABMQEAAAALLTE5MzQyNTQyMTYDAAAAAzE2MAIAAAAENDIyMQQAAAABMAcAAAAJNy8xMS8yMDI2CAAAAAk2LzMwLzIwMjUJAAAAATAa/LRqb9/eCFqiQm5v394IOENJUS5OQVNEQVE6TVNGVC5JUV9UT1RBTF9SRVZfM1lSX0FOTl9DQUdSLjk5NC4xMS8wNy8yMDI2AQAAAEtVAAACAAAABzExLjM0ODUBCAAAAAUAAAABMQEAAAALLTIxNDA5ODE0NjkDAAAAAzE2MAIAAAAENDIyMAQAAAABMAcAAAAJNy8xMS8yMDI2CAAAAAk2LzMwLzIwMTkJAAAAATAa/LRqb9/eCFqiQm5v394IN0NJUS5OQVNEQVE6TVNGVC5JUV9FQklUREFfMVlSX0FOTl9HUk9XVEguOTk2LjExLzA3LzIwMjYBAAAAS1UAAAIAAAAHMjMuODM4OAEIAAAABQAAAAExAQAAAAstMjAzNjg0Mzg0MwMAAAADMTYwAgAAAAQ0MTk2BAAAAAEwBwAAAAk3LzExLzIwMjYIAAAACTYvMzAvMjAyMQkAAAABMBr8tGpv394IWqJCbm/f3gg6Q0lRLk5BU0RBUTpNU0ZULklRX1RPVEFMX0RFQlRfRUJJVERBX0NBUEVYLjEwMDAuMTEvMDcvMjAyNgEAAABLVQAAAgAAAAgxLjE1MDU5MwEIAAAABQAAAAExAQAAAAstMTkzNDI1NDIxNgMAAAADMTYwAgAAAAUyMzMxMwQAAAABMAcAAAAJNy8xMS8yMDI2CAAAAAk2LzMwLzIwMjUJAAAAATAa/LRqb9/eCFqiQm5v394IQkNJUS5OQVNEQVE6TVNG</t>
  </si>
  <si>
    <t>VC5JUV9ORVRfREVCVF9FQklUREFfRVhDTF9PUEVSX0xFQVNFUy45OTQuMTEvMDcvMjAyNgEAAABLVQAAAwAAAAJOTQEIAAAABQAAAAExAQAAAAstMjE0MDk4MTQ2OQMAAAADMTYwAgAAAAU0OTE3NQQAAAABMAcAAAAJNy8xMS8yMDI2CAAAAAk2LzMwLzIwMTkJAAAAATAa/LRqb9/eCHiOQm5v394ILUNJUS5OQVNEQVE6TVNGVC5JUV9BU1NFVF9UVVJOUy45OTcuMTEvMDcvMjAyNgEAAABLVQAAAgAAAAgwLjU2NzYwNQEIAAAABQAAAAExAQAAAAstMTk4NTkzMTIyNAMAAAADMTYwAgAAAAQ0MTc3BAAAAAEwBwAAAAk3LzExLzIwMjYIAAAACTYvMzAvMjAyMgkAAAABMBr8tGpv394IeI5Cbm/f3ggvQ0lRLk5BU0RBUTpNU0ZULklRX0VCSVREQV9NQVJHSU4uOTk5LjExLzA3LzIwMjYBAAAAS1UAAAIAAAAHNTIuODAzNQEIAAAABQAAAAExAQAAAAstMTkzNDI1NDE4NQMAAAADMTYwAgAAAAQ0MDQ3BAAAAAEwBwAAAAk3LzExLzIwMjYIAAAACTYvMzAvMjAyNAkAAAABMBr8tGpv394IeI5Cbm/f3ggvQ0lRLk5BU0RBUTpNU0ZULklRX1JFVFVSTl9BU1NFVFMuOTk1LjExLzA3LzIwMjYBAAAAS1UAAAIAAAAHMTEuMjYwOAEIAAAABQAAAAExAQAAAAstMjA4NzQ5NjYyNwMAAAADMTYwAgAAAAQ0MTc4BAAAAAEwBwAAAAk3LzExLzIwMjYIAAAACTYvMzAvMjAyMAkAAAABMBr8tGpv394IeI5Cbm/f3ggzQ0lRLk5BU0RB</t>
  </si>
  <si>
    <t>UTpNU0ZULklRX0VCSVRfNVlSX0FOTl9DQUdSLjk5Ni4xMS8wNy8yMDI2AQAAAEtVAAACAAAABzIwLjc5MjUBCAAAAAUAAAABMQEAAAALLTIwMzY4NDM4NDMDAAAAAzE2MAIAAAAENDIzNgQAAAABMAcAAAAJNy8xMS8yMDI2CAAAAAk2LzMwLzIwMjEJAAAAATAa/LRqb9/eCFqiQm5v394IMkNJUS5OQVNEQVE6TVNGVC5JUV9FUFNfM1lSX0FOTl9DQUdSLjk5OC4xMS8wNy8yMDI2AQAAAEtVAAACAAAABzE4Ljg5MTUBCAAAAAUAAAABMQEAAAALLTE5MzQyNTQyNTADAAAAAzE2MAIAAAAENDIyNgQAAAABMAcAAAAJNy8xMS8yMDI2CAAAAAk2LzMwLzIwMjMJAAAAATAa/LRqb9/eCApnQm5v394IQ0NJUS5OQVNEQVE6TVNGVC5JUV9FQklUREFfRVhDTF9PUEVSX0xFQVNFU19DQVBFWF9JTlQuOTk1LjExLzA3LzIwMjYBAAAAS1UAAAIAAAAJMTkuMjI3MzI1AQgAAAAFAAAAATEBAAAACy0yMDg3NDk2NjI3AwAAAAMxNjACAAAABTQ5MTc0BAAAAAEwBwAAAAk3LzExLzIwMjYIAAAACTYvMzAvMjAyMAkAAAABMBr8tGpv394ICmdCbm/f3ggsQ0lRLk5BU0RBUTpNU0ZULklRX0VCSVREQV9JTlQuOTk1LjExLzA3LzIwMjYBAAAAS1UAAAIAAAAJMjUuOTc1Mjk5AQgAAAAFAAAAATEBAAAACy0yMDg3NDk2NjI3AwAAAAMxNjACAAAABDQxOTAEAAAAATAHAAAACTcvMTEvMjAyNggAAAAJNi8zMC8yMDIwCQAAAAEwGvy0am/f</t>
  </si>
  <si>
    <t>3ggKZ0Jub9/eCDBDSVEuTkFTREFROk1TRlQuSVFfTFRfREVCVF9FUVVJVFkuOTk3LjExLzA3LzIwMjYBAAAAS1UAAAIAAAAHNDMuNDUwMwEIAAAABQAAAAExAQAAAAstMTk4NTkzMTIyNAMAAAADMTYwAgAAAAQ0MDg1BAAAAAEwBwAAAAk3LzExLzIwMjYIAAAACTYvMzAvMjAyMgkAAAABMBr8tGpv394IeI5Cbm/f3ggyQ0lRLk5BU0RBUTpNU0ZULklRX0RBWVNfUEFZQUJMRV9PVVQuOTk5LjExLzA3LzIwMjYBAAAAS1UAAAIAAAAKMTAwLjY5NTAxOAEIAAAABQAAAAExAQAAAAstMTkzNDI1NDE4NQMAAAADMTYwAgAAAAQ0MTgzBAAAAAEwBwAAAAk3LzExLzIwMjYIAAAACTYvMzAvMjAyNAkAAAABMBr8tGpv394IeI5Cbm/f3ggvQ0lRLk5BU0RBUTpNU0ZULklRX0NVUlJFTlRfUkFUSU8uOTk1LjExLzA3LzIwMjYBAAAAS1UAAAIAAAAIMi41MTU3NjUBCAAAAAUAAAABMQEAAAALLTIwODc0OTY2MjcDAAAAAzE2MAIAAAAENDAzMAQAAAABMAcAAAAJNy8xMS8yMDI2CAAAAAk2LzMwLzIwMjAJAAAAATAa/LRqb9/eCApnQm5v394IMUNJUS5OQVNEQVE6TVNGVC5JUV9HUF8zWVJfQU5OX0NBR1IuOTk5LjExLzA3LzIwMjYBAAAAS1UAAAIAAAAHMTMuODU4NgEIAAAABQAAAAExAQAAAAstMTkzNDI1NDE4NQMAAAADMTYwAgAAAAQ0MjIxBAAAAAEwBwAAAAk3LzExLzIwMjYIAAAACTYvMzAvMjAyNAkAAAABMBr8tGpv</t>
  </si>
  <si>
    <t>394ICmdCbm/f3ggzQ0lRLk5BU0RBUTpNU0ZULklRX05JXzFZUl9BTk5fR1JPV1RILjk5OS4xMS8wNy8yMDI2AQAAAEtVAAACAAAABzIxLjgwMDQBCAAAAAUAAAABMQEAAAALLTE5MzQyNTQxODUDAAAAAzE2MAIAAAAENDE5OQQAAAABMAcAAAAJNy8xMS8yMDI2CAAAAAk2LzMwLzIwMjQJAAAAATAa/LRqb9/eCApnQm5v394IN0NJUS5OQVNEQVE6TVNGVC5JUV9FQklUREFfMVlSX0FOTl9HUk9XVEguOTk1LjExLzA3LzIwMjYBAAAAS1UAAAIAAAAHMTkuNjExNwEIAAAABQAAAAExAQAAAAstMjA4NzQ5NjYyNwMAAAADMTYwAgAAAAQ0MTk2BAAAAAEwBwAAAAk3LzExLzIwMjYIAAAACTYvMzAvMjAyMAkAAAABMBr8tGpv394ICmdCbm/f3ghKQ0lRLk5BU0RBUTpNU0ZULklRX1RPVEFMX0RFQlRfRUJJVERBX0VYQ0xfT1BFUl9MRUFTRVNfQ0FQRVguOTk3LjExLzA3LzIwMjYBAAAAS1UAAAIAAAAIMS4wNTgwNzIBCAAAAAUAAAABMQEAAAALLTE5ODU5MzEyMjQDAAAAAzE2MAIAAAAFNDkxODMEAAAAATAHAAAACTcvMTEvMjAyNggAAAAJNi8zMC8yMDIyCQAAAAEwGvy0am/f3ggKZ0Jub9/eCCtDSVEuTkFTREFROk1TRlQuSVFfQVJfVFVSTlMuMTAwMC4xMS8wNy8yMDI2AQAAAEtVAAACAAAABzQuNDQyNTgBCAAAAAUAAAABMQEAAAALLTE5MzQyNTQyMTYDAAAAAzE2MAIAAAAENDAwMQQAAAABMAcAAAAJNy8xMS8y</t>
  </si>
  <si>
    <t>MDI2CAAAAAk2LzMwLzIwMjUJAAAAATAa/LRqb9/eCL1SQm5v394ILUNJUS5OQVNEQVE6TVNGVC5JUV9BU1NFVF9UVVJOUy45OTYuMTEvMDcvMjAyNgEAAABLVQAAAgAAAAgwLjUyOTMzNQEIAAAABQAAAAExAQAAAAstMjAzNjg0Mzg0MwMAAAADMTYwAgAAAAQ0MTc3BAAAAAEwBwAAAAk3LzExLzIwMjYIAAAACTYvMzAvMjAyMQkAAAABMBr8tGpv394ICmdCbm/f3ggzQ0lRLk5BU0RBUTpNU0ZULklRX0VCSVRfNVlSX0FOTl9DQUdSLjk5NS4xMS8wNy8yMDI2AQAAAEtVAAACAAAABzEzLjQ1NTIBCAAAAAUAAAABMQEAAAALLTIwODc0OTY2MjcDAAAAAzE2MAIAAAAENDIzNgQAAAABMAcAAAAJNy8xMS8yMDI2CAAAAAk2LzMwLzIwMjAJAAAAATAa/LRqb9/eCApnQm5v394ILENJUS5OQVNEQVE6TVNGVC5JUV9FQklUREFfSU5ULjk5NC4xMS8wNy8yMDI2AQAAAEtVAAACAAAACTIwLjk0Nzg3NwEIAAAABQAAAAExAQAAAAstMjE0MDk4MTQ2OQMAAAADMTYwAgAAAAQ0MTkwBAAAAAEwBwAAAAk3LzExLzIwMjYIAAAACTYvMzAvMjAxOQkAAAABMBr8tGpv394IvVJCbm/f3ggwQ0lRLk5BU0RBUTpNU0ZULklRX0xUX0RFQlRfRVFVSVRZLjk5Ni4xMS8wNy8yMDI2AQAAAEtVAAACAAAABzUwLjMyMzIBCAAAAAUAAAABMQEAAAALLTIwMzY4NDM4NDMDAAAAAzE2MAIAAAAENDA4NQQAAAABMAcAAAAJNy8xMS8yMDI2CAAA</t>
  </si>
  <si>
    <t>AAk2LzMwLzIwMjEJAAAAATAa/LRqb9/eCL1SQm5v394IMkNJUS5OQVNEQVE6TVNGVC5JUV9EQVlTX1BBWUFCTEVfT1VULjk5OC4xMS8wNy8yMDI2AQAAAEtVAAACAAAACjEwNC43NjE5MzUBCAAAAAUAAAABMQEAAAALLTE5MzQyNTQyNTADAAAAAzE2MAIAAAAENDE4MwQAAAABMAcAAAAJNy8xMS8yMDI2CAAAAAk2LzMwLzIwMjMJAAAAATAa/LRqb9/eCL1SQm5v394IOENJUS5OQVNEQVE6TVNGVC5JUV9HQUlOX0lOVkVTVF9DRi45OTQuMTEvMDcvMjAyNi4uLlVTRC5IAQAAAEtVAAACAAAABC03OTIBCAAAAAUAAAABMQEAAAALLTIxNDA5ODE0NjkDAAAAAzE2MAIAAAAEMjA5MAQAAAABMAcAAAAJNy8xMS8yMDI2CAAAAAk2LzMwLzIwMTkJAAAAATDRZSxrb9/eCNg2Zm5v394IP0NJUS5OQVNEQVE6TVNGVC5JUV9NSU5PUklUWV9JTlRFUkVTVF9DRi4xMDAwLjExLzA3LzIwMjYuLi5VU0QuSAEAAABLVQAAAwAAAAAA0WUsa2/f3gjYNmZub9/eCDhDSVEuTkFTREFROk1TRlQuSVFfU1RfREVCVF9JU1NVRUQuOTk5LjExLzA3LzIwMjYuLi5VU0QuSAEAAABLVQAAAgAAAAQ1MjUwAQgAAAAFAAAAATEBAAAACy0xOTM0MjU0MTg1AwAAAAMxNjACAAAABDIwNDMEAAAAATAHAAAACTcvMTEvMjAyNggAAAAJNi8zMC8yMDI0CQAAAAEw0WUsa2/f3gjYNmZub9/eCEBDSVEuTkFTREFROk1TRlQuSVFfT1RIRVJfSU5WRVNU</t>
  </si>
  <si>
    <t>X0FDVF9TVVBQTC45OTkuMTEvMDcvMjAyNi4uLlVTRC5IAQAAAEtVAAACAAAABS0xMjk4AQgAAAAFAAAAATEBAAAACy0xOTM0MjU0MTg1AwAAAAMxNjACAAAABDIwNTEEAAAAATAHAAAACTcvMTEvMjAyNggAAAAJNi8zMC8yMDI0CQAAAAEw0WUsa2/f3gjYNmZub9/eCDxDSVEuTkFTREFROk1TRlQuSVFfSU5WRVNUX1NFQ1VSSVRZX0NGLjk5Ny4xMS8wNy8yMDI2Li4uVVNELkgBAAAAS1UAAAIAAAAFMTg0MzgBCAAAAAUAAAABMQEAAAALLTE5ODU5MzEyMjQDAAAAAzE2MAIAAAAEMjAyNwQAAAABMAcAAAAJNy8xMS8yMDI2CAAAAAk2LzMwLzIwMjIJAAAAATDRZSxrb9/eCNg2Zm5v394IOENJUS5OQVNEQVE6TVNGVC5JUV9DSEFOR0VfSU5DX1RBWC45OTkuMTEvMDcvMjAyNi4uLlVTRC5IAQAAAEtVAAACAAAABDE2ODcBCAAAAAUAAAABMQEAAAALLTE5MzQyNTQxODUDAAAAAzE2MAIAAAAEMjEwMQQAAAABMAcAAAAJNy8xMS8yMDI2CAAAAAk2LzMwLzIwMjQJAAAAATDRZSxrb9/eCNg2Zm5v394IM0NJUS5OQVNEQVE6TVNGVC5JUV9DSEFOR0VfQVAuOTk3LjExLzA3LzIwMjYuLi5VU0QuSAEAAABLVQAAAgAAAAQyOTQzAQgAAAAFAAAAATEBAAAACy0xOTg1OTMxMjI0AwAAAAMxNjACAAAABDIwMTcEAAAAATAHAAAACTcvMTEvMjAyNggAAAAJNi8zMC8yMDIyCQAAAAEw0WUsa2/f3gjYNmZub9/eCENDSVEuTkFT</t>
  </si>
  <si>
    <t>REFROk1TRlQuSVFfR1dfSU5UQU5fQU1PUlRfUEFSVElBTF9DRi45OTYuMTEvMDcvMjAyNi4uLlVTRC5IAQAAAEtVAAADAAAAAADRZSxrb9/eCNg2Zm5v394ILENJUS5OQVNEQVE6TVNGVC5JUV9GWC45OTcuMTEvMDcvMjAyNi4uLlVTRC5IAQAAAEtVAAACAAAABC0xNDEBCAAAAAUAAAABMQEAAAALLTE5ODU5MzEyMjQDAAAAAzE2MAIAAAAEMjE0NAQAAAABMAcAAAAJNy8xMS8yMDI2CAAAAAk2LzMwLzIwMjIJAAAAATDRZSxrb9/eCNg2Zm5v394IPENJUS5OQVNEQVE6TVNGVC5JUV9DT01NT05fUFJFRl9ESVZfQ0YuOTk3LjExLzA3LzIwMjYuLi5VU0QuSAEAAABLVQAAAwAAAAAA0WUsa2/f3gjYNmZub9/eCDRDSVEuTkFTREFROk1TRlQuSVFfQ09NTU9OX1JFUC45OTcuMTEvMDcvMjAyNi4uLlVTRC5IAQAAAEtVAAACAAAABi0zMjY5NgEIAAAABQAAAAExAQAAAAstMTk4NTkzMTIyNAMAAAADMTYwAgAAAAQyMTY0BAAAAAEwBwAAAAk3LzExLzIwMjYIAAAACTYvMzAvMjAyMgkAAAABMNFlLGtv394I2DZmbm/f3gg8Q0lRLk5BU0RBUTpNU0ZULklRX1RPVEFMX0RFQlRfSVNTVUVELjEwMDAuMTEvMDcvMjAyNi4uLlVTRC5IAQAAAEtVAAADAAAAAADRZSxrb9/eCNg2Zm5v394IRENJUS5OQVNEQVE6TVNGVC5JUV9DSEFOR0VfTkVUX1dPUktJTkdfQ0FQSVRBTC45OTguMTEvMDcvMjAyNi4uLlVTRC5IAQAAAEtV</t>
  </si>
  <si>
    <t>AAACAAAABDE4MTUBCAAAAAUAAAABMQEAAAALLTE5MzQyNTQyNTADAAAAAzE2MAIAAAAENDQyMQQAAAABMAcAAAAJNy8xMS8yMDI2CAAAAAk2LzMwLzIwMjMJAAAAATDRZSxrb9/eCJH6ZW5v394IOUNJUS5OQVNEQVE6TVNGVC5JUV9DQVNIX1RBWEVTX09QRVIuOTk0LjExLzA3LzIwMjYuLi5VU0QuSAEAAABLVQAAAwAAAAAA0WUsa2/f3giR+mVub9/eCEZDSVEuTkFTREFROk1TRlQuSVFfU0FMRV9QUk9DRUVEU19SRU5UQUxfQVNTRVRTLjEwMDAuMTEvMDcvMjAyNi4uLlVTRC5IAQAAAEtVAAADAAAAAADRZSxrb9/eCJH6ZW5v394IPkNJUS5OQVNEQVE6TVNGVC5JUV9ORUdBVElWRV9HV19BTU9SVF9DRi45OTUuMTEvMDcvMjAyNi4uLlVTRC5IAQAAAEtVAAADAAAAAADRZSxrb9/eCNg2Zm5v394IMUNJUS5OQVNEQVE6TVNGVC5JUV9ERVBfUlVBLjk5NS4xMS8wNy8yMDI2Li4uVVNELkgBAAAAS1UAAAMAAAAAANFlLGtv394I2DZmbm/f3gg6Q0lRLk5BU0RBUTpNU0ZULklRX0VCSVREQVJfRVhDTF9TQkMuOTk5LjExLzA3LzIwMjYuLi5VU0QuSAEAAABLVQAAAgAAAAYxNDM3MjIBCAAAAAUAAAABMQEAAAALLTE5MzQyNTQxODUDAAAAAzE2MAIAAAAFMjQxMzcEAAAAATAHAAAACTcvMTEvMjAyNggAAAAJNi8zMC8yMDI0CQAAAAEw0WUsa2/f3giR+mVub9/eCDhDSVEuTkFTREFROk1TRlQuSVFfRUJJVERBUl9F</t>
  </si>
  <si>
    <t>UV9JTkMuOTk1LjExLzA3LzIwMjYuLi5VU0QuSAEAAABLVQAAAgAAAAU2OTM0NQEIAAAABQAAAAExAQAAAAstMjA4NzQ5NjYyNwMAAAADMTYwAgAAAAUyNDEyOQQAAAABMAcAAAAJNy8xMS8yMDI2CAAAAAk2LzMwLzIwMjAJAAAAATDRZSxrb9/eCJH6ZW5v394INkNJUS5OQVNEQVE6TVNGVC5JUV9FQklUQV9FUV9JTkMuOTk3LjExLzA3LzIwMjYuLi5VU0QuSAEAAABLVQAAAgAAAAU4NTM1MQEIAAAABQAAAAExAQAAAAstMTk4NTkzMTIyNAMAAAADMTYwAgAAAAUyMTY3NgQAAAABMAcAAAAJNy8xMS8yMDI2CAAAAAk2LzMwLzIwMjIJAAAAATDRZSxrb9/eCJH6ZW5v394ITUNJUS5OQVNEQVE6TVNGVC5JUV9PUEVSQVRJTkdfTEVBU0VfTElBQklMSVRJRVNfTk9OQ0FTSC45OTcuMTEvMDcvMjAyNi4uLlVTRC5IAQAAAEtVAAADAAAAAADRZSxrb9/eCJH6ZW5v394INUNJUS5OQVNEQVE6TVNGVC5JUV9NQUlOVF9DQVBFWC45OTcuMTEvMDcvMjAyNi4uLlVTRC5IAQAAAEtVAAADAAAAAADRZSxrb9/eCJH6ZW5v394IS0NJUS5OQVNEQVE6TVNGVC5JUV9JTlRFUkVTVF9FWFBfTEVBU0VfTElBQklMSVRZX0RFQlQuOTk1LjExLzA3LzIwMjYuLi5VU0QuSAEAAABLVQAAAgAAAAMzMzYBCAAAAAUAAAABMQEAAAALLTIwODc0OTY2MjcDAAAAAzE2MAIAAAAFNDg5MDcEAAAAATAHAAAACTcvMTEvMjAyNggAAAAJNi8zMC8y</t>
  </si>
  <si>
    <t>MDIwCQAAAAEw0WUsa2/f3giR+mVub9/eCDFDSVEuTkFTREFROk1TRlQuSVFfTklfTk9STS45OTcuMTEvMDcvMjAyNi4uLlVTRC5IAQAAAEtVAAACAAAACDUyMDI2LjI1AQgAAAAFAAAAATEBAAAACy0xOTg1OTMxMjI0AwAAAAMxNjACAAAABDQzNzgEAAAAATAHAAAACTcvMTEvMjAyNggAAAAJNi8zMC8yMDIyCQAAAAEw0WUsa2/f3giR+mVub9/eCEFDSVEuTkFTREFROk1TRlQuSVFfREVGRVJSRURfRE9NRVNUSUNfVEFYRVMuOTk5LjExLzA3LzIwMjYuLi5VU0QuSAEAAABLVQAAAgAAAAUtNTE3MAEIAAAABQAAAAExAQAAAAstMTkzNDI1NDE4NQMAAAADMTYwAgAAAAQzMDU0BAAAAAEwBwAAAAk3LzExLzIwMjYIAAAACTYvMzAvMjAyNAkAAAABMNFlLGtv394Ikfplbm/f3ghBQ0lRLk5BU0RBUTpNU0ZULklRX0VYQ0lTRV9UQVhFU19FWENMX1NBTEVTLjk5NS4xMS8wNy8yMDI2Li4uVVNELkgBAAAAS1UAAAMAAAAAANFlLGtv394Ikfplbm/f3ghDQ0lRLk5BU0RBUTpNU0ZULklRX0VBUk5JTkdfUEFSRU5UX0VYQ0xfRVhUUkEuOTk3LjExLzA3LzIwMjYuLi5VU0QuSAEAAABLVQAAAgAAAAU3MjczOAEIAAAABQAAAAExAQAAAAstMTk4NTkzMTIyNAMAAAADMTYwAgAAAAU0MTU5NgQAAAABMAcAAAAJNy8xMS8yMDI2CAAAAAk2LzMwLzIwMjIJAAAAATDRZSxrb9/eCJH6ZW5v394IP0NJUS5OQVNEQVE6TVNGVC5J</t>
  </si>
  <si>
    <t>UV9ORVRfUkVOVEFMX0VYUF9TVVBQTEUuOTk3LjExLzA3LzIwMjYuLi5VU0QuSAEAAABLVQAAAgAAAAQyNDYxAQgAAAAFAAAAATEBAAAACy0xOTg1OTMxMjI0AwAAAAMxNjACAAAABTI0MjYzBAAAAAEwBwAAAAk3LzExLzIwMjYIAAAACTYvMzAvMjAyMgkAAAABMNFlLGtv394IrL1lbm/f3ggzQ0lRLk5BU0RBUTpNU0ZULklRX1JEX0VYUF9GTi45OTcuMTEvMDcvMjAyNi4uLlVTRC5IAQAAAEtVAAACAAAABTI0NTEyAQgAAAAFAAAAATEBAAAACy0xOTg1OTMxMjI0AwAAAAMxNjACAAAABDMxNjgEAAAAATAHAAAACTcvMTEvMjAyNggAAAAJNi8zMC8yMDIyCQAAAAEw0WUsa2/f3gisvWVub9/eCDVDSVEuTkFTREFROk1TRlQuSVFfQURWRVJUSVNJTkcuOTk5LjExLzA3LzIwMjYuLi5VU0QuSAEAAABLVQAAAgAAAAQxNzAwAQgAAAAFAAAAATEBAAAACy0xOTM0MjU0MTg1AwAAAAMxNjACAAAABDMwMTMEAAAAATAHAAAACTcvMTEvMjAyNggAAAAJNi8zMC8yMDI0CQAAAAEw0WUsa2/f3giR+mVub9/eCC1DSVEuTkFTREFROk1TRlQuSVFfRElDLjk5NS4xMS8wNy8yMDI2Li4uVVNELkgBAAAAS1UAAAMAAAAAANFlLGtv394Ikfplbm/f3ghJQ0lRLk5BU0RBUTpNU0ZULklRX0RJU1RSSUJVVEFCTEVfQ0FTSF9TVEFOREFSRElaRUQuOTk5LjExLzA3LzIwMjYuLi5VU0QuSAEAAABLVQAAAwAAAAAA0WUsa2/f3giR+mVu</t>
  </si>
  <si>
    <t>b9/eCEFDSVEuTkFTREFROk1TRlQuSVFfR0FJTl9CQVJHQUlOX0FDUV9TVVBQTEUuOTk1LjExLzA3LzIwMjYuLi5VU0QuSAEAAABLVQAAAwAAAAAA0WUsa2/f3gisvWVub9/eCD5DSVEuTkFTREFROk1TRlQuSVFfSU1QQUlSTUVOVF9HV19TVVBQTEUuOTk3LjExLzA3LzIwMjYuLi5VU0QuSAEAAABLVQAAAwAAAAAA0WUsa2/f3gisvWVub9/eCD9DSVEuTkFTREFROk1TRlQuSVFfSU1QVVRfT1BFUl9MRUFTRV9ERVBSLjk5OS4xMS8wNy8yMDI2Li4uVVNELkgBAAAAS1UAAAIAAAAIMjU5Ny45OTQBCAAAAAUAAAABMQEAAAALLTE5MzQyNTQxODUDAAAAAzE2MAIAAAAFMjE2NzMEAAAAATAHAAAACTcvMTEvMjAyNggAAAAJNi8zMC8yMDI0CQAAAAEw0WUsa2/f3gisvWVub9/eCEFDSVEuTkFTREFROk1TRlQuSVFfRVhQTE9SRV9EUklMTF9FWFBfVE9UQUwuOTk5LjExLzA3LzIwMjYuLi5VU0QuSAEAAABLVQAAAwAAAAAA0WUsa2/f3gisvWVub9/eCDdDSVEuTkFTREFROk1TRlQuSVFfQUlSQ1JBRlRfUkVOVC45OTUuMTEvMDcvMjAyNi4uLlVTRC5IAQAAAEtVAAADAAAAAADRZSxrb9/eCKy9ZW5v394IQUNJUS5OQVNEQVE6TVNGVC5JUV9TVE9DS19CQVNFRF9DT01QX1BSRVRBWC45OTcuMTEvMDcvMjAyNi4uLlVTRC5IAQAAAEtVAAACAAAABDc1MDIA0WUsa2/f3gisvWVub9/eCDpDSVEuTkFTREFROk1TRlQuSVFf</t>
  </si>
  <si>
    <t>UkVTVFJfU1RPQ0tfQ09NUC45OTkuMTEvMDcvMjAyNi4uLlVTRC5IAQAAAEtVAAADAAAAAADRZSxrb9/eCKy9ZW5v394IO0NJUS5OQVNEQVE6TVNGVC5JUV9TVE9DS19CQVNFRF9PVEhFUi45OTUuMTEvMDcvMjAyNi4uLlVTRC5IAQAAAEtVAAACAAAABDUyODkBCAAAAAUAAAABMQEAAAALLTIwODc0OTY2MjcDAAAAAzE2MAIAAAAFMjI2NzYEAAAAATAHAAAACTcvMTEvMjAyNggAAAAJNi8zMC8yMDIwCQAAAAEw0WUsa2/f3gisvWVub9/eCDhDSVEuTkFTREFROk1TRlQuSVFfU1RPQ0tfQkFTRURfU00uOTk3LjExLzA3LzIwMjYuLi5VU0QuSAEAAABLVQAAAwAAAAAA0WUsa2/f3gisvWVub9/eCDtDSVEuTkFTREFROk1TRlQuSVFfTkVHQVRJVkVfR1dfQU1PUlQuOTk5LjExLzA3LzIwMjYuLi5VU0QuSAEAAABLVQAAAwAAAAAA0WUsa2/f3gisvWVub9/eCDhDSVEuTkFTREFROk1TRlQuSVFfU1RPQ0tfQkFTRURfQ0YuOTk3LjExLzA3LzIwMjYuLi5VU0QuSAEAAABLVQAAAgAAAAQ3NTAyAQgAAAAFAAAAATEBAAAACy0xOTg1OTMxMjI0AwAAAAMxNjACAAAABDIxMjcEAAAAATAHAAAACTcvMTEvMjAyNggAAAAJNi8zMC8yMDIyCQAAAAEw0WUsa2/f3gisvWVub9/eCDJDSVEuTkFTREFROk1TRlQuSVFfTE9BTlNfQ0YuOTk3LjExLzA3LzIwMjYuLi5VU0QuSAEAAABLVQAAAwAAAAAA0WUsa2/f3gisvWVub9/eCD5D</t>
  </si>
  <si>
    <t>SVEuTkFTREFROk1TRlQuSVFfTUlOT1JJVFlfSU5URVJFU1RfQ0YuOTk5LjExLzA3LzIwMjYuLi5VU0QuSAEAAABLVQAAAwAAAAAA0WUsa2/f3gisvWVub9/eCC9DSVEuTkFTREFROk1TRlQuSVFfREFfQ0YuOTk1LjExLzA3LzIwMjYuLi5VU0QuSAEAAABLVQAAAgAAAAUxMjMwMAEIAAAABQAAAAExAQAAAAstMjA4NzQ5NjYyNwMAAAADMTYwAgAAAAQyMTYwBAAAAAEwBwAAAAk3LzExLzIwMjYIAAAACTYvMzAvMjAyMAkAAAABMNFlLGtv394IrL1lbm/f3gg1Q0lRLk5BU0RBUTpNU0ZULklRX0RBX1NVUFBMX0NGLjk5NS4xMS8wNy8yMDI2Li4uVVNELkgBAAAAS1UAAAIAAAAFMTA3MDABCAAAAAUAAAABMQEAAAALLTIwODc0OTY2MjcDAAAAAzE2MAIAAAAEMjE3MQQAAAABMAcAAAAJNy8xMS8yMDI2CAAAAAk2LzMwLzIwMjAJAAAAATDRZSxrb9/eCKy9ZW5v394IOUNJUS5OQVNEQVE6TVNGVC5JUV9JTlZFU1RfTE9BTlNfQ0YuOTk0LjExLzA3LzIwMjYuLi5VU0QuSAEAAABLVQAAAwAAAAAA0WUsa2/f3gh8qWVub9/eCEZDSVEuTkFTREFROk1TRlQuSVFfQ0hBTkdFX09USEVSX05FVF9PUEVSX0FTU0VUUy45OTkuMTEvMDcvMjAyNi4uLlVTRC5IAQAAAEtVAAACAAAABS0yODQ5AQgAAAAFAAAAATEBAAAACy0xOTM0MjU0MTg1AwAAAAMxNjACAAAABDIwNDUEAAAAATAHAAAACTcvMTEvMjAyNggAAAAJNi8zMC8y</t>
  </si>
  <si>
    <t>MDI0CQAAAAEw0WUsa2/f3gh8qWVub9/eCDhDSVEuTkFTREFROk1TRlQuSVFfQ0hBTkdFX0lOQ19UQVguOTk4LjExLzA3LzIwMjYuLi5VU0QuSAEAAABLVQAAAgAAAAQtMzU4AQgAAAAFAAAAATEBAAAACy0xOTM0MjU0MjUwAwAAAAMxNjACAAAABDIxMDEEAAAAATAHAAAACTcvMTEvMjAyNggAAAAJNi8zMC8yMDIzCQAAAAEw0WUsa2/f3gisvWVub9/eCDNDSVEuTkFTREFROk1TRlQuSVFfQ0hBTkdFX0FQLjk5Ni4xMS8wNy8yMDI2Li4uVVNELkgBAAAAS1UAAAIAAAAEMjc5OAEIAAAABQAAAAExAQAAAAstMjAzNjg0Mzg0MwMAAAADMTYwAgAAAAQyMDE3BAAAAAEwBwAAAAk3LzExLzIwMjYIAAAACTYvMzAvMjAyMQkAAAABMNFlLGtv394IrL1lbm/f3gg8Q0lRLk5BU0RBUTpNU0ZULklRX1BST1ZfQkFEX0RFQlRTX0NGLjEwMDAuMTEvMDcvMjAyNi4uLlVTRC5IAQAAAEtVAAADAAAAAADRZSxrb9/eCKy9ZW5v394INENJUS5OQVNEQVE6TVNGVC5JUV9DT01NT05fUkVQLjk5NS4xMS8wNy8yMDI2Li4uVVNELkgBAAAAS1UAAAIAAAAGLTIyOTY4AQgAAAAFAAAAATEBAAAACy0yMDg3NDk2NjI3AwAAAAMxNjACAAAABDIxNjQEAAAAATAHAAAACTcvMTEvMjAyNggAAAAJNi8zMC8yMDIwCQAAAAEw0WUsa2/f3gh8qWVub9/eCDtDSVEuTkFTREFROk1TRlQuSVFfVE9UQUxfREVCVF9SRVBBSUQuOTk3LjExLzA3LzIw</t>
  </si>
  <si>
    <t>MjYuLi5VU0QuSAEAAABLVQAAAgAAAAUtOTAyMwEIAAAABQAAAAExAQAAAAstMTk4NTkzMTIyNAMAAAADMTYwAgAAAAQyMTY2BAAAAAEwBwAAAAk3LzExLzIwMjYIAAAACTYvMzAvMjAyMgkAAAABMNFlLGtv394IfKllbm/f3gg4Q0lRLk5BU0RBUTpNU0ZULklRX1NUX0RFQlRfUkVQQUlELjk5Ny4xMS8wNy8yMDI2Li4uVVNELkgBAAAAS1UAAAMAAAAAANFlLGtv394IfKllbm/f3gg4Q0lRLk5BU0RBUTpNU0ZULklRX0xUX0RFQlRfSVNTVUVELjk5Ni4xMS8wNy8yMDI2Li4uVVNELkgBAAAAS1UAAAMAAAAAANFlLGtv394IfKllbm/f3gg1Q0lRLk5BU0RBUTpNU0ZULklRX0NBU0hfSU5WRVNULjk5NS4xMS8wNy8yMDI2Li4uVVNELkgBAAAAS1UAAAIAAAAGLTEyMjIzAQgAAAAFAAAAATEBAAAACy0yMDg3NDk2NjI3AwAAAAMxNjACAAAABDIwMDUEAAAAATAHAAAACTcvMTEvMjAyNggAAAAJNi8zMC8yMDIwCQAAAAEw0WUsa2/f3gh8qWVub9/eCEVDSVEuTkFTREFROk1TRlQuSVFfU0FMRV9QUk9DRUVEU19SRU5UQUxfQVNTRVRTLjk5OS4xMS8wNy8yMDI2Li4uVVNELkgBAAAAS1UAAAMAAAAAANFlLGtv394I1ZRlbm/f3ggxQ0lRLk5BU0RBUTpNU0ZULklRX0RFUF9SVUEuOTk0LjExLzA3LzIwMjYuLi5VU0QuSAEAAABLVQAAAwAAAAAA0WUsa2/f3gjVlGVub9/eCENDSVEuTkFTREFROk1TRlQuSVFfR1dfSU5U</t>
  </si>
  <si>
    <t>QU5fQU1PUlRfUEFSVElBTF9DRi45OTUuMTEvMDcvMjAyNi4uLlVTRC5IAQAAAEtVAAADAAAAAADRZSxrb9/eCNWUZW5v394ILENJUS5OQVNEQVE6TVNGVC5JUV9GWC45OTYuMTEvMDcvMjAyNi4uLlVTRC5IAQAAAEtVAAACAAAAAy0yOQEIAAAABQAAAAExAQAAAAstMjAzNjg0Mzg0MwMAAAADMTYwAgAAAAQyMTQ0BAAAAAEwBwAAAAk3LzExLzIwMjYIAAAACTYvMzAvMjAyMQkAAAABMNFlLGtv394I1ZRlbm/f3gg8Q0lRLk5BU0RBUTpNU0ZULklRX0NPTU1PTl9QUkVGX0RJVl9DRi45OTUuMTEvMDcvMjAyNi4uLlVTRC5IAQAAAEtVAAADAAAAAADRZSxrb9/eCNWUZW5v394IOENJUS5OQVNEQVE6TVNGVC5JUV9QUkVfT1BFTl9DT1NULjEwMDAuMTEvMDcvMjAyNi4uLlVTRC5IAQAAAEtVAAADAAAAAADRZSxrb9/eCAmBZW5v394ITUNJUS5OQVNEQVE6TVNGVC5JUV9PUEVSQVRJTkdfTEVBU0VfTElBQklMSVRJRVNfTk9OQ0FTSC45OTUuMTEvMDcvMjAyNi4uLlVTRC5IAQAAAEtVAAADAAAAAADRZSxrb9/eCAmBZW5v394INUNJUS5OQVNEQVE6TVNGVC5JUV9NQUlOVF9DQVBFWC45OTYuMTEvMDcvMjAyNi4uLlVTRC5IAQAAAEtVAAADAAAAAADRZSxrb9/eCAmBZW5v394INUNJUS5OQVNEQVE6TVNGVC5JUV9MRVZFUkVEX0ZDRi45OTUuMTEvMDcvMjAyNi4uLlVTRC5IAQAAAEtVAAACAAAABTM0MjU4AQgAAAAF</t>
  </si>
  <si>
    <t>AAAAATEBAAAACy0yMDg3NDk2NjI3AwAAAAMxNjACAAAABDQ0MjIEAAAAATAHAAAACTcvMTEvMjAyNggAAAAJNi8zMC8yMDIwCQAAAAEw0WUsa2/f3gjVlGVub9/eCDxDSVEuTkFTREFROk1TRlQuSVFfQ0FTSF9JTlRFUkVTVF9PUEVSLjk5OC4xMS8wNy8yMDI2Li4uVVNELkgBAAAAS1UAAAMAAAAAANFlLGtv394I1ZRlbm/f3gg1Q0lRLk5BU0RBUTpNU0ZULklRX1JFU1RSVUNUVVJFLjk5NC4xMS8wNy8yMDI2Li4uVVNELkgBAAAAS1UAAAMAAAAAANFlLGtv394Ihlllbm/f3ghDQ0lRLk5BU0RBUTpNU0ZULklRX09USEVSX05PTl9PUEVSX0VYUF9TVVBQTC4xMDAwLjExLzA3LzIwMjYuLi5VU0QuSAEAAABLVQAAAgAAAAM5ODQBCAAAAAUAAAABMQEAAAALLTE5MzQyNTQyMTYDAAAAAzE2MAIAAAACODUEAAAAATAHAAAACTcvMTEvMjAyNggAAAAJNi8zMC8yMDI1CQAAAAEw0WUsa2/f3giGWWVub9/eCDdDSVEuTkFTREFROk1TRlQuSVFfQ1VSUkVOQ1lfR0FJTi45OTQuMTEvMDcvMjAyNi4uLlVTRC5IAQAAAEtVAAACAAAAAy0xMQEIAAAABQAAAAExAQAAAAstMjE0MDk4MTQ2OQMAAAADMTYwAgAAAAIzOAQAAAABMAcAAAAJNy8xMS8yMDI2CAAAAAk2LzMwLzIwMTkJAAAAATDRZSxrb9/eCAmBZW5v394INkNJUS5OQVNEQVE6TVNGVC5JUV9JTlRFUkVTVF9FWFAuOTk2LjExLzA3LzIwMjYuLi5VU0QuSAEAAABL</t>
  </si>
  <si>
    <t>VQAAAgAAAAUtMjMzMAEIAAAABQAAAAExAQAAAAstMjAzNjg0Mzg0MwMAAAADMTYwAgAAAAI4MgQAAAABMAcAAAAJNy8xMS8yMDI2CAAAAAk2LzMwLzIwMjEJAAAAATDRZSxrb9/eCAmBZW5v394INENJUS5OQVNEQVE6TVNGVC5JUV9JTVBBSVJfT0lMLjk5OC4xMS8wNy8yMDI2Li4uVVNELkgBAAAAS1UAAAMAAAAAANFlLGtv394ICYFlbm/f3ggsQ0lRLk5BU0RBUTpNU0ZULklRX0RPLjk5NC4xMS8wNy8yMDI2Li4uVVNELkgBAAAAS1UAAAMAAAAAANFlLGtv394Ihlllbm/f3ggyQ0lRLk5BU0RBUTpNU0ZULklRX0lOQ19UQVguMTAwMC4xMS8wNy8yMDI2Li4uVVNELkgBAAAAS1UAAAIAAAAFMjE3OTUBCAAAAAUAAAABMQEAAAALLTE5MzQyNTQyMTYDAAAAAzE2MAIAAAACNzUEAAAAATAHAAAACTcvMTEvMjAyNggAAAAJNi8zMC8yMDI1CQAAAAEw0WUsa2/f3giGWWVub9/eCD1DSVEuTkFTREFROk1TRlQuSVFfT1RIRVJfVU5VU1VBTF9TVVBQTC45OTYuMTEvMDcvMjAyNi4uLlVTRC5IAQAAAEtVAAADAAAAAADRZSxrb9/eCIZZZW5v394ILkNJUS5OQVNEQVE6TVNGVC5JUV9JUFJELjk5Ni4xMS8wNy8yMDI2Li4uVVNELkgBAAAAS1UAAAMAAAAAANFlLGtv394Ihlllbm/f3gg3Q0lRLk5BU0RBUTpNU0ZULklRX0lNUEFJUk1FTlRfR1cuOTk4LjExLzA3LzIwMjYuLi5VU0QuSAEAAABLVQAAAwAAAAAA0WUsa2/f</t>
  </si>
  <si>
    <t>3giGWWVub9/eCDNDSVEuTkFTREFROk1TRlQuSVFfRVBTX05PUk0uMTAwMC4xMS8wNy8yMDI2Li4uVVNELkgBAAAAS1UAAAIAAAAJMTAuODQ0MTI0AQgAAAAFAAAAATEBAAAACy0xOTM0MjU0MjE2AwAAAAMxNjACAAAABDQzNzkEAAAAATAHAAAACTcvMTEvMjAyNggAAAAJNi8zMC8yMDI1CQAAAAEw0WUsa2/f3giGWWVub9/eCDlDSVEuTkFTREFROk1TRlQuSVFfRElMVVRfRVBTX0lOQ0wuMTAwMC4xMS8wNy8yMDI2Li4uVVNELkgBAAAAS1UAAAIAAAAFMTMuNjQBCAAAAAUAAAABMQEAAAALLTE5MzQyNTQyMTYDAAAAAzE2MAIAAAABOAQAAAABMAcAAAAJNy8xMS8yMDI2CAAAAAk2LzMwLzIwMjUJAAAAATDRZSxrb9/eCIZZZW5v394IOENJUS5OQVNEQVE6TVNGVC5JUV9CQVNJQ19FUFNfRVhDTC45OTYuMTEvMDcvMjAyNi4uLlVTRC5IAQAAAEtVAAACAAAABzguMTE4NTkBCAAAAAUAAAABMQEAAAALLTIwMzY4NDM4NDMDAAAAAzE2MAIAAAAEMzA2NAQAAAABMAcAAAAJNy8xMS8yMDI2CAAAAAk2LzMwLzIwMjEJAAAAATDRZSxrb9/eCIZZZW5v394IOENJUS5OQVNEQVE6TVNGVC5JUV9QUkVGX0RJVl9PVEhFUi45OTguMTEvMDcvMjAyNi4uLlVTRC5IAQAAAEtVAAADAAAAAADRZSxrb9/eCIZZZW5v394INENJUS5OQVNEQVE6TVNGVC5JUV9OSV9DT01QQU5ZLjk5OC4xMS8wNy8yMDI2Li4uVVNELkgBAAAAS1UA</t>
  </si>
  <si>
    <t>AAIAAAAFNzIzNjEBCAAAAAUAAAABMQEAAAALLTE5MzQyNTQyNTADAAAAAzE2MAIAAAAFNDE1NzEEAAAAATAHAAAACTcvMTEvMjAyNggAAAAJNi8zMC8yMDIzCQAAAAEw0WUsa2/f3giGWWVub9/eCD5DSVEuTkFTREFROk1TRlQuSVFfRUJJVF9FUV9JTkNfRVhDTF9TQkMuOTk2LjExLzA3LzIwMjYuLi5VU0QuSAEAAABLVQAAAgAAAAU3NjAzNAEIAAAABQAAAAExAQAAAAstMjAzNjg0Mzg0MwMAAAADMTYwAgAAAAUyNDEzMAQAAAABMAcAAAAJNy8xMS8yMDI2CAAAAAk2LzMwLzIwMjEJAAAAATDRZSxrb9/eCLhFZW5v394IQUNJUS5OQVNEQVE6TVNGVC5JUV9MRUFTRV9BREpVU1RNRU5UX0VCSVREQS45OTguMTEvMDcvMjAyNi4uLlVTRC5IAQAAAEtVAAACAAAABDI4NzUA0WUsa2/f3gi4RWVub9/eCDhDSVEuTkFTREFROk1TRlQuSVFfRUJJVERBX0VRX0lOQy4xMDAwLjExLzA3LzIwMjYuLi5VU0QuSAEAAABLVQAAAgAAAAYxNjIwNTIBCAAAAAUAAAABMQEAAAALLTE5MzQyNTQyMTYDAAAAAzE2MAIAAAAFMjE2NzcEAAAAATAHAAAACTcvMTEvMjAyNggAAAAJNi8zMC8yMDI1CQAAAAEw0WUsa2/f3gi4RWVub9/eCDBDSVEuTkFTREFROk1TRlQuSVFfRUJJVERBLjk5NC4xMS8wNy8yMDI2Li4uVVNELkgBAAAAS1UAAAIAAAAFNTQ1NTkBCAAAAAUAAAABMQEAAAALLTIxNDA5ODE0NjkDAAAAAzE2MAIAAAAENDA1</t>
  </si>
  <si>
    <t>MQQAAAABMAcAAAAJNy8xMS8yMDI2CAAAAAk2LzMwLzIwMTkJAAAAATDRZSxrb9/eCLhFZW5v394IQkNJUS5OQVNEQVE6TVNGVC5JUV9ESVNUUklCVVRBQkxFX0NBU0hfU0hBUkUuOTk2LjExLzA3LzIwMjYuLi5VU0QuSAEAAABLVQAAAwAAAAAA0WUsa2/f3giGWWVub9/eCD9DSVEuTkFTREFROk1TRlQuSVFfVE9UQUxfUkVWX0FTX1JFUE9SVEVELjk5Ni4xMS8wNy8yMDI2Li4uVVNELkgBAAAAS1UAAAIAAAAGMTY4MDg4AQgAAAAFAAAAATEBAAAACy0yMDM2ODQzODQzAwAAAAMxNjACAAAAAzMzOQQAAAABMAcAAAAJNy8xMS8yMDI2CAAAAAk2LzMwLzIwMjEJAAAAATDRZSxrb9/eCGoeZW5v394IOkNJUS5OQVNEQVE6TVNGVC5JUV9FQklUREFSX0VYQ0xfU0JDLjk5OC4xMS8wNy8yMDI2Li4uVVNELkgBAAAAS1UAAAIAAAAGMTE0NTA5AQgAAAAFAAAAATEBAAAACy0xOTM0MjU0MjUwAwAAAAMxNjACAAAABTI0MTM3BAAAAAEwBwAAAAk3LzExLzIwMjYIAAAACTYvMzAvMjAyMwkAAAABMNFlLGtv394Iah5lbm/f3gg4Q0lRLk5BU0RBUTpNU0ZULklRX0VCSVREQVJfRVFfSU5DLjk5NC4xMS8wNy8yMDI2Li4uVVNELkgBAAAAS1UAAAIAAAAFNTc5NzMBCAAAAAUAAAABMQEAAAALLTIxNDA5ODE0NjkDAAAAAzE2MAIAAAAFMjQxMjkEAAAAATAHAAAACTcvMTEvMjAyNggAAAAJNi8zMC8yMDE5CQAAAAEw0WUsa2/f</t>
  </si>
  <si>
    <t>3gi4RWVub9/eCDlDSVEuTkFTREFROk1TRlQuSVFfRUJJVEFfRVhDTF9TQkMuMTAwMC4xMS8wNy8yMDI2Li4uVVNELkgBAAAAS1UAAAIAAAAGMTQ2NTAyAQgAAAAFAAAAATEBAAAACy0xOTM0MjU0MjE2AwAAAAMxNjACAAAABTI0MTM2BAAAAAEwBwAAAAk3LzExLzIwMjYIAAAACTYvMzAvMjAyNQkAAAABMNFlLGtv394IuEVlbm/f3gg/Q0lRLk5BU0RBUTpNU0ZULklRX0VCSVRBX0VRX0lOQ19FWENMX1NCQy45OTQuMTEvMDcvMjAyNi4uLlVTRC5IAQAAAEtVAAACAAAABTQ5NTExAQgAAAAFAAAAATEBAAAACy0yMTQwOTgxNDY5AwAAAAMxNjACAAAABTI0MTMyBAAAAAEwBwAAAAk3LzExLzIwMjYIAAAACTYvMzAvMjAxOQkAAAABMNFlLGtv394IuEVlbm/f3ghBQ0lRLk5BU0RBUTpNU0ZULklRX0RFRkVSUkVEX0RPTUVTVElDX1RBWEVTLjk5OC4xMS8wNy8yMDI2Li4uVVNELkgBAAAAS1UAAAIAAAAFLTY2MjMBCAAAAAUAAAABMQEAAAALLTE5MzQyNTQyNTADAAAAAzE2MAIAAAAEMzA1NAQAAAABMAcAAAAJNy8xMS8yMDI2CAAAAAk2LzMwLzIwMjMJAAAAATDRZSxrb9/eCGoeZW5v394IPUNJUS5OQVNEQVE6TVNGVC5JUV9DVVJSX0RPTUVTVElDX1RBWEVTLjk5OC4xMS8wNy8yMDI2Li4uVVNELkgBAAAAS1UAAAIAAAAFMTYzMzEBCAAAAAUAAAABMQEAAAALLTE5MzQyNTQyNTADAAAAAzE2MAIAAAAEMzAyNwQA</t>
  </si>
  <si>
    <t>AAABMAcAAAAJNy8xMS8yMDI2CAAAAAk2LzMwLzIwMjMJAAAAATDRZSxrb9/eCGoeZW5v394IQUNJUS5OQVNEQVE6TVNGVC5JUV9FWENJU0VfVEFYRVNfRVhDTF9TQUxFUy45OTQuMTEvMDcvMjAyNi4uLlVTRC5IAQAAAEtVAAADAAAAAADRZSxrb9/eCGoeZW5v394IOkNJUS5OQVNEQVE6TVNGVC5JUV9JTlRFUkVTVF9JTkNPTUUuMTAwMC4xMS8wNy8yMDI2Li4uVVNELkgBAAAAS1UAAAIAAAAEMjY0NwEIAAAABQAAAAExAQAAAAstMTkzNDI1NDIxNgMAAAADMTYwAgAAAAMyMTAEAAAAATAHAAAACTcvMTEvMjAyNggAAAAJNi8zMC8yMDI1CQAAAAEw0WUsa2/f3ghqHmVub9/eCENDSVEuTkFTREFROk1TRlQuSVFfRUFSTklOR19QQVJFTlRfRVhDTF9FWFRSQS45OTYuMTEvMDcvMjAyNi4uLlVTRC5IAQAAAEtVAAACAAAABTYxMjcxAQgAAAAFAAAAATEBAAAACy0yMDM2ODQzODQzAwAAAAMxNjACAAAABTQxNTk2BAAAAAEwBwAAAAk3LzExLzIwMjYIAAAACTYvMzAvMjAyMQkAAAABMNFlLGtv394Iah5lbm/f3ghJQ0lRLk5BU0RBUTpNU0ZULklRX0RJU1RSSUJVVEFCTEVfQ0FTSF9TVEFOREFSRElaRUQuOTk4LjExLzA3LzIwMjYuLi5VU0QuSAEAAABLVQAAAwAAAAAA0WUsa2/f3gidCmVub9/eCDtDSVEuTkFTREFROk1TRlQuSVFfSU5UX0VYUF9JTkNMX0NBUC4xMDAwLjExLzA3LzIwMjYuLi5VU0QuSAEAAABL</t>
  </si>
  <si>
    <t>VQAAAgAAAAQyNDI1AQgAAAAFAAAAATEBAAAACy0xOTM0MjU0MjE2AwAAAAMxNjACAAAABTIxODYxBAAAAAEwBwAAAAk3LzExLzIwMjYIAAAACTYvMzAvMjAyNQkAAAABMNFlLGtv394Iah5lbm/f3ghLQ0lRLk5BU0RBUTpNU0ZULklRX0lOVEVSRVNUX0VYUF9MRUFTRV9MSUFCSUxJVFlfREVCVC45OTQuMTEvMDcvMjAyNi4uLlVTRC5IAQAAAEtVAAADAAAAAADRZSxrb9/eCGoeZW5v394IP0NJUS5OQVNEQVE6TVNGVC5JUV9DQVBJVEFMSVpFRF9JTlRFUkVTVC4xMDAwLjExLzA3LzIwMjYuLi5VU0QuSAEAAABLVQAAAwAAAAAA0WUsa2/f3ghqHmVub9/eCDFDSVEuTkFTREFROk1TRlQuSVFfTklfTk9STS45OTYuMTEvMDcvMjAyNi4uLlVTRC5IAQAAAEtVAAACAAAACDQzNjY4Ljc1AQgAAAAFAAAAATEBAAAACy0yMDM2ODQzODQzAwAAAAMxNjACAAAABDQzNzgEAAAAATAHAAAACTcvMTEvMjAyNggAAAAJNi8zMC8yMDIxCQAAAAEw0WUsa2/f3ghqHmVub9/eCDlDSVEuTkFTREFROk1TRlQuSVFfTUlOSU1VTV9SRU5UQUwuMTAwMC4xMS8wNy8yMDI2Li4uVVNELkgBAAAAS1UAAAMAAAAAANFlLGtv394InQplbm/f3gg7Q0lRLk5BU0RBUTpNU0ZULklRX0NPTlRJTkdFTlRfUkVOVEFMLjk5NC4xMS8wNy8yMDI2Li4uVVNELkgBAAAAS1UAAAMAAAAAANFlLGtv394InQplbm/f3ggzQ0lRLk5BU0RBUTpNU0ZULklR</t>
  </si>
  <si>
    <t>X1JEX0VYUF9GTi45OTYuMTEvMDcvMjAyNi4uLlVTRC5IAQAAAEtVAAACAAAABTIwNzE2AQgAAAAFAAAAATEBAAAACy0yMDM2ODQzODQzAwAAAAMxNjACAAAABDMxNjgEAAAAATAHAAAACTcvMTEvMjAyNggAAAAJNi8zMC8yMDIxCQAAAAEw0WUsa2/f3gidCmVub9/eCDVDSVEuTkFTREFROk1TRlQuSVFfQURWRVJUSVNJTkcuOTk4LjExLzA3LzIwMjYuLi5VU0QuSAEAAABLVQAAAgAAAAM5MDQBCAAAAAUAAAABMQEAAAALLTE5MzQyNTQyNTADAAAAAzE2MAIAAAAEMzAxMwQAAAABMAcAAAAJNy8xMS8yMDI2CAAAAAk2LzMwLzIwMjMJAAAAATDRZSxrb9/eCJ0KZW5v394ILUNJUS5OQVNEQVE6TVNGVC5JUV9ESUMuOTk0LjExLzA3LzIwMjYuLi5VU0QuSAEAAABLVQAAAwAAAAAA0WUsa2/f3gidCmVub9/eCDZDSVEuTkFTREFROk1TRlQuSVFfSVBSRF9TVVBQTEUuMTAwMC4xMS8wNy8yMDI2Li4uVVNELkgBAAAAS1UAAAMAAAAAANFlLGtv394ITONkbm/f3gg+Q0lRLk5BU0RBUTpNU0ZULklRX0lNUEFJUk1FTlRfR1dfU1VQUExFLjk5Ni4xMS8wNy8yMDI2Li4uVVNELkgBAAAAS1UAAAMAAAAAANFlLGtv394ITONkbm/f3ghBQ0lRLk5BU0RBUTpNU0ZULklRX1NBTEFSSUVTX09USEVSX0JFTkVGSVRTLjk5Ni4xMS8wNy8yMDI2Li4uVVNELkgBAAAAS1UAAAMAAAAAANFlLGtv394ITONkbm/f3ghBQ0lRLk5BU0RB</t>
  </si>
  <si>
    <t>UTpNU0ZULklRX0VYUExPUkVfRFJJTExfRVhQX1RPVEFMLjk5OC4xMS8wNy8yMDI2Li4uVVNELkgBAAAAS1UAAAMAAAAAANFlLGtv394ITONkbm/f3gg3Q0lRLk5BU0RBUTpNU0ZULklRX0FJUkNSQUZUX1JFTlQuOTk0LjExLzA3LzIwMjYuLi5VU0QuSAEAAABLVQAAAwAAAAAA0WUsa2/f3ghM42Rub9/eCDpDSVEuTkFTREFROk1TRlQuSVFfU1RPQ0tfQkFTRURfU0dBLjEwMDAuMTEvMDcvMjAyNi4uLlVTRC5IAQAAAEtVAAADAAAAAADRZSxrb9/eCEzjZG5v394IOENJUS5OQVNEQVE6TVNGVC5JUV9TVE9DS19CQVNFRF9TTS45OTYuMTEvMDcvMjAyNi4uLlVTRC5IAQAAAEtVAAADAAAAAADRZSxrb9/eCEzjZG5v394IO0NJUS5OQVNEQVE6TVNGVC5JUV9ORUdBVElWRV9HV19BTU9SVC45OTguMTEvMDcvMjAyNi4uLlVTRC5IAQAAAEtVAAADAAAAAADRZSxrb9/eCEzjZG5v394IPUNJUS5OQVNEQVE6TVNGVC5JUV9MRUdBTF9TRVRUTEVfU1VQUExFLjk5OC4xMS8wNy8yMDI2Li4uVVNELkgBAAAAS1UAAAMAAAAAANFlLGtv394ITONkbm/f3ghBQ0lRLk5BU0RBUTpNU0ZULklRX0dBSU5fQkFSR0FJTl9BQ1FfU1VQUExFLjk5NC4xMS8wNy8yMDI2Li4uVVNELkgBAAAAS1UAAAMAAAAAANFlLGtv394ITONkbm/f3gg1Q0lRLk5BU0RBUTpNU0ZULklRX0RBX1NVUFBMX0NGLjk5NC4xMS8wNy8yMDI2Li4uVVNELkgB</t>
  </si>
  <si>
    <t>AAAAS1UAAAIAAAAEOTcwMAEIAAAABQAAAAExAQAAAAstMjE0MDk4MTQ2OQMAAAADMTYwAgAAAAQyMTcxBAAAAAEwBwAAAAk3LzExLzIwMjYIAAAACTYvMzAvMjAxOQkAAAABMNFlLGtv394Iqs9kbm/f3ghBQ0lRLk5BU0RBUTpNU0ZULklRX1NUT0NLX0JBU0VEX0NPTVBfUFJFVEFYLjk5Ni4xMS8wNy8yMDI2Li4uVVNELkgBAAAAS1UAAAIAAAAENjExOADRZSxrb9/eCEzjZG5v394IOkNJUS5OQVNEQVE6TVNGVC5JUV9SRVNUUl9TVE9DS19DT01QLjk5OC4xMS8wNy8yMDI2Li4uVVNELkgBAAAAS1UAAAMAAAAAANFlLGtv394ITONkbm/f3gg5Q0lRLk5BU0RBUTpNU0ZULklRX1NUT0NLX0JBU0VEX0FULjEwMDAuMTEvMDcvMjAyNi4uLlVTRC5IAQAAAEtVAAADAAAAAADRZSxrb9/eCEzjZG5v394IO0NJUS5OQVNEQVE6TVNGVC5JUV9TVE9DS19CQVNFRF9PVEhFUi45OTQuMTEvMDcvMjAyNi4uLlVTRC5IAQAAAEtVAAACAAAABDQ2NTIBCAAAAAUAAAABMQEAAAALLTIxNDA5ODE0NjkDAAAAAzE2MAIAAAAFMjI2NzYEAAAAATAHAAAACTcvMTEvMjAyNggAAAAJNi8zMC8yMDE5CQAAAAEw0WUsa2/f3ghM42Rub9/eCDtDSVEuTkFTREFROk1TRlQuSVFfUFJPVl9CQURfREVCVFNfQ0YuOTk5LjExLzA3LzIwMjYuLi5VU0QuSAEAAABLVQAAAwAAAAAA0WUsa2/f3giqz2Rub9/eCD1DSVEuTkFTREFROk1TRlQuSVFf</t>
  </si>
  <si>
    <t>VEFYX0JFTkVGSVRfT1BUSU9OUy45OTQuMTEvMDcvMjAyNi4uLlVTRC5IAQAAAEtVAAADAAAAAADRZSxrb9/eCKrPZG5v394IMkNJUS5OQVNEQVE6TVNGVC5JUV9MT0FOU19DRi45OTYuMTEvMDcvMjAyNi4uLlVTRC5IAQAAAEtVAAADAAAAAADRZSxrb9/eCKrPZG5v394IPkNJUS5OQVNEQVE6TVNGVC5JUV9NSU5PUklUWV9JTlRFUkVTVF9DRi45OTguMTEvMDcvMjAyNi4uLlVTRC5IAQAAAEtVAAADAAAAAADRZSxrb9/eCKrPZG5v394IPENJUS5OQVNEQVE6TVNGVC5JUV9HV19JTlRBTl9BTU9SVF9DRi4xMDAwLjExLzA3LzIwMjYuLi5VU0QuSAEAAABLVQAAAgAAAAQ2MDAwAQgAAAAFAAAAATEBAAAACy0xOTM0MjU0MjE2AwAAAAMxNjACAAAABDIxODIEAAAAATAHAAAACTcvMTEvMjAyNggAAAAJNi8zMC8yMDI1CQAAAAEw0WUsa2/f3giqz2Rub9/eCDhDSVEuTkFTREFROk1TRlQuSVFfTFRfREVCVF9JU1NVRUQuOTk1LjExLzA3LzIwMjYuLi5VU0QuSAEAAABLVQAAAwAAAAAA0WUsa2/f3ghkqGRub9/eCDVDSVEuTkFTREFROk1TRlQuSVFfQ0FTSF9JTlZFU1QuOTk0LjExLzA3LzIwMjYuLi5VU0QuSAEAAABLVQAAAgAAAAYtMTU3NzMBCAAAAAUAAAABMQEAAAALLTIxNDA5ODE0NjkDAAAAAzE2MAIAAAAEMjAwNQQAAAABMAcAAAAJNy8xMS8yMDI2CAAAAAk2LzMwLzIwMTkJAAAAATDRZSxrb9/eCGSoZG5v</t>
  </si>
  <si>
    <t>394IMENJUS5OQVNEQVE6TVNGVC5JUV9DQVBFWC4xMDAwLjExLzA3LzIwMjYuLi5VU0QuSAEAAABLVQAAAgAAAAYtNjQ1NTEBCAAAAAUAAAABMQEAAAALLTE5MzQyNTQyMTYDAAAAAzE2MAIAAAAEMjAyMQQAAAABMAcAAAAJNy8xMS8yMDI2CAAAAAk2LzMwLzIwMjUJAAAAATDRZSxrb9/eCGSoZG5v394IRkNJUS5OQVNEQVE6TVNGVC5JUV9DSEFOR0VfT1RIRVJfTkVUX09QRVJfQVNTRVRTLjk5OC4xMS8wNy8yMDI2Li4uVVNELkgBAAAAS1UAAAIAAAAFLTE5OTkBCAAAAAUAAAABMQEAAAALLTE5MzQyNTQyNTADAAAAAzE2MAIAAAAEMjA0NQQAAAABMAcAAAAJNy8xMS8yMDI2CAAAAAk2LzMwLzIwMjMJAAAAATDRZSxrb9/eCGSoZG5v394IOENJUS5OQVNEQVE6TVNGVC5JUV9DSEFOR0VfSU5DX1RBWC45OTcuMTEvMDcvMjAyNi4uLlVTRC5IAQAAAEtVAAACAAAAAzY5NgEIAAAABQAAAAExAQAAAAstMTk4NTkzMTIyNAMAAAADMTYwAgAAAAQyMTAxBAAAAAEwBwAAAAk3LzExLzIwMjYIAAAACTYvMzAvMjAyMgkAAAABMNFlLGtv394Iqs9kbm/f3gg8Q0lRLk5BU0RBUTpNU0ZULklRX0NBU0hfSU5URVJFU1RfT1BFUi45OTcuMTEvMDcvMjAyNi4uLlVTRC5IAQAAAEtVAAADAAAAAADRZSxrb9/eCGSoZG5v394IRUNJUS5OQVNEQVE6TVNGVC5JUV9TQUxFX1BST0NFRURTX1JFTlRBTF9BU1NFVFMuOTk4LjExLzA3</t>
  </si>
  <si>
    <t>LzIwMjYuLi5VU0QuSAEAAABLVQAAAwAAAAAA0WUsa2/f3ghkqGRub9/eCEFDSVEuTkFTREFROk1TRlQuSVFfT1RIRVJfRklOQU5DRV9BQ1RfU1VQUEwuOTk4LjExLzA3LzIwMjYuLi5VU0QuSAEAAABLVQAAAgAAAAUtMTAwNgEIAAAABQAAAAExAQAAAAstMTkzNDI1NDI1MAMAAAADMTYwAgAAAAQyMDUwBAAAAAEwBwAAAAk3LzExLzIwMjYIAAAACTYvMzAvMjAyMwkAAAABMNFlLGtv394IZKhkbm/f3gg7Q0lRLk5BU0RBUTpNU0ZULklRX1RPVEFMX0RFQlRfUkVQQUlELjk5Ni4xMS8wNy8yMDI2Li4uVVNELkgBAAAAS1UAAAIAAAAFLTM3NTABCAAAAAUAAAABMQEAAAALLTIwMzY4NDM4NDMDAAAAAzE2MAIAAAAEMjE2NgQAAAABMAcAAAAJNy8xMS8yMDI2CAAAAAk2LzMwLzIwMjEJAAAAATDRZSxrb9/eCGSoZG5v394IOENJUS5OQVNEQVE6TVNGVC5JUV9TVF9ERUJUX1JFUEFJRC45OTYuMTEvMDcvMjAyNi4uLlVTRC5IAQAAAEtVAAADAAAAAADRZSxrb9/eCGSoZG5v394IOENJUS5OQVNEQVE6TVNGVC5JUV9ESUxVVF9FUFNfTk9STS45OTcuMTEvMDcvMjAyNi4uLlVTRC5IAQAAAEtVAAACAAAACDYuOTAwMDMzAQgAAAAFAAAAATEBAAAACy0xOTg1OTMxMjI0AwAAAAMxNjACAAAABDQzODAEAAAAATAHAAAACTcvMTEvMjAyNggAAAAJNi8zMC8yMDIyCQAAAAEw0WUsa2/f3ggxlGRub9/eCDhDSVEuTkFTREFR</t>
  </si>
  <si>
    <t>Ok1TRlQuSVFfRElMVVRfRVBTX0lOQ0wuOTk5LjExLzA3LzIwMjYuLi5VU0QuSAEAAABLVQAAAgAAAAQxMS44AQgAAAAFAAAAATEBAAAACy0xOTM0MjU0MTg1AwAAAAMxNjACAAAAATgEAAAAATAHAAAACTcvMTEvMjAyNggAAAAJNi8zMC8yMDI0CQAAAAEwHI0sa2/f3ggxlGRub9/eCDhDSVEuTkFTREFROk1TRlQuSVFfQkFTSUNfRVBTX0VYQ0wuOTk1LjExLzA3LzIwMjYuLi5VU0QuSAEAAABLVQAAAgAAAAg1LjgxODc5MQEIAAAABQAAAAExAQAAAAstMjA4NzQ5NjYyNwMAAAADMTYwAgAAAAQzMDY0BAAAAAEwBwAAAAk3LzExLzIwMjYIAAAACTYvMzAvMjAyMAkAAAABMByNLGtv394IMZRkbm/f3gg1Q0lRLk5BU0RBUTpNU0ZULklRX01BSU5UX0NBUEVYLjk5NS4xMS8wNy8yMDI2Li4uVVNELkgBAAAAS1UAAAMAAAAAAByNLGtv394IMZRkbm/f3gg5Q0lRLk5BU0RBUTpNU0ZULklRX0NBU0hfVEFYRVNfT1BFUi45OTkuMTEvMDcvMjAyNi4uLlVTRC5IAQAAAEtVAAADAAAAAAAcjSxrb9/eCDGUZG5v394IOENJUS5OQVNEQVE6TVNGVC5JUV9FQklUQV9FWENMX1NCQy45OTkuMTEvMDcvMjAyNi4uLlVTRC5IAQAAAEtVAAACAAAABjEyNDk2NwEIAAAABQAAAAExAQAAAAstMTkzNDI1NDE4NQMAAAADMTYwAgAAAAUyNDEzNgQAAAABMAcAAAAJNy8xMS8yMDI2CAAAAAk2LzMwLzIwMjQJAAAAATAcjSxrb9/eCFlr</t>
  </si>
  <si>
    <t>ZG5v394IPkNJUS5OQVNEQVE6TVNGVC5JUV9FQklUX0VRX0lOQ19FWENMX1NCQy45OTUuMTEvMDcvMjAyNi4uLlVTRC5IAQAAAEtVAAACAAAABTU4MjQ4AQgAAAAFAAAAATEBAAAACy0yMDg3NDk2NjI3AwAAAAMxNjACAAAABTI0MTMwBAAAAAEwBwAAAAk3LzExLzIwMjYIAAAACTYvMzAvMjAyMAkAAAABMByNLGtv394IUoBkbm/f3ghBQ0lRLk5BU0RBUTpNU0ZULklRX0xFQVNFX0FESlVTVE1FTlRfRUJJVERBLjk5Ny4xMS8wNy8yMDI2Li4uVVNELkgBAAAAS1UAAAIAAAAEMjQ2MQAcjSxrb9/eCFKAZG5v394IN0NJUS5OQVNEQVE6TVNGVC5JUV9FQklUREFfRVFfSU5DLjk5OS4xMS8wNy8yMDI2Li4uVVNELkgBAAAAS1UAAAIAAAAGMTMyOTg4AQgAAAAFAAAAATEBAAAACy0xOTM0MjU0MTg1AwAAAAMxNjACAAAABTIxNjc3BAAAAAEwBwAAAAk3LzExLzIwMjYIAAAACTYvMzAvMjAyNAkAAAABMByNLGtv394IUoBkbm/f3ghCQ0lRLk5BU0RBUTpNU0ZULklRX0RJU1RSSUJVVEFCTEVfQ0FTSF9TSEFSRS45OTUuMTEvMDcvMjAyNi4uLlVTRC5IAQAAAEtVAAADAAAAAAAcjSxrb9/eCFKAZG5v394IQENJUS5OQVNEQVE6TVNGVC5JUV9ERUZFUlJFRF9GT1JFSUdOX1RBWEVTLjk5NS4xMS8wNy8yMDI2Li4uVVNELkgBAAAAS1UAAAIAAAADLTQxAQgAAAAFAAAAATEBAAAACy0yMDg3NDk2NjI3AwAAAAMxNjACAAAA</t>
  </si>
  <si>
    <t>BDMwNTUEAAAAATAHAAAACTcvMTEvMjAyNggAAAAJNi8zMC8yMDIwCQAAAAEwHI0sa2/f3giaV2Rub9/eCD1DSVEuTkFTREFROk1TRlQuSVFfQ1VSUl9ET01FU1RJQ19UQVhFUy45OTcuMTEvMDcvMjAyNi4uLlVTRC5IAQAAAEtVAAACAAAABTEwMDA4AQgAAAAFAAAAATEBAAAACy0xOTg1OTMxMjI0AwAAAAMxNjACAAAABDMwMjcEAAAAATAHAAAACTcvMTEvMjAyNggAAAAJNi8zMC8yMDIyCQAAAAEwHI0sa2/f3giaV2Rub9/eCDlDSVEuTkFTREFROk1TRlQuSVFfSU5URVJFU1RfSU5DT01FLjk5OS4xMS8wNy8yMDI2Li4uVVNELkgBAAAAS1UAAAIAAAAEMzE1NwEIAAAABQAAAAExAQAAAAstMTkzNDI1NDE4NQMAAAADMTYwAgAAAAMyMTAEAAAAATAHAAAACTcvMTEvMjAyNggAAAAJNi8zMC8yMDI0CQAAAAEwHI0sa2/f3ghZa2Rub9/eCD9DSVEuTkFTREFROk1TRlQuSVFfVE9UQUxfUkVWX0FTX1JFUE9SVEVELjk5NS4xMS8wNy8yMDI2Li4uVVNELkgBAAAAS1UAAAIAAAAGMTQzMDE1AQgAAAAFAAAAATEBAAAACy0yMDg3NDk2NjI3AwAAAAMxNjACAAAAAzMzOQQAAAABMAcAAAAJNy8xMS8yMDI2CAAAAAk2LzMwLzIwMjAJAAAAATAcjSxrb9/eCFlrZG5v394IOkNJUS5OQVNEQVE6TVNGVC5JUV9FQklUREFSX0VYQ0xfU0JDLjk5Ny4xMS8wNy8yMDI2Li4uVVNELkgBAAAAS1UAAAIAAAAGMTA3OTQ2AQgAAAAF</t>
  </si>
  <si>
    <t>AAAAATEBAAAACy0xOTg1OTMxMjI0AwAAAAMxNjACAAAABTI0MTM3BAAAAAEwBwAAAAk3LzExLzIwMjYIAAAACTYvMzAvMjAyMgkAAAABMByNLGtv394IWWtkbm/f3gg1Q0lRLk5BU0RBUTpNU0ZULklRX0FEVkVSVElTSU5HLjk5Ny4xMS8wNy8yMDI2Li4uVVNELkgBAAAAS1UAAAIAAAAEMTUwMAEIAAAABQAAAAExAQAAAAstMTk4NTkzMTIyNAMAAAADMTYwAgAAAAQzMDEzBAAAAAEwBwAAAAk3LzExLzIwMjYIAAAACTYvMzAvMjAyMgkAAAABMByNLGtv394IITBkbm/f3ghJQ0lRLk5BU0RBUTpNU0ZULklRX0RJU1RSSUJVVEFCTEVfQ0FTSF9TVEFOREFSRElaRUQuOTk3LjExLzA3LzIwMjYuLi5VU0QuSAEAAABLVQAAAwAAAAAAHI0sa2/f3gghMGRub9/eCD1DSVEuTkFTREFROk1TRlQuSVFfTk9OQ0FTSF9QRU5TSU9OX0VYUC45OTcuMTEvMDcvMjAyNi4uLlVTRC5IAQAAAEtVAAADAAAAAAAcjSxrb9/eCJpXZG5v394IPkNJUS5OQVNEQVE6TVNGVC5JUV9DQVBJVEFMSVpFRF9JTlRFUkVTVC45OTkuMTEvMDcvMjAyNi4uLlVTRC5IAQAAAEtVAAADAAAAAAAcjSxrb9/eCJpXZG5v394IMUNJUS5OQVNEQVE6TVNGVC5JUV9OSV9OT1JNLjk5NS4xMS8wNy8yMDI2Li4uVVNELkgBAAAAS1UAAAIAAAAHMzMxMjcuNQEIAAAABQAAAAExAQAAAAstMjA4NzQ5NjYyNwMAAAADMTYwAgAAAAQ0Mzc4BAAAAAEwBwAAAAk3</t>
  </si>
  <si>
    <t>LzExLzIwMjYIAAAACTYvMzAvMjAyMAkAAAABMByNLGtv394Imldkbm/f3gg1Q0lRLk5BU0RBUTpNU0ZULklRX0lQUkRfU1VQUExFLjk5OS4xMS8wNy8yMDI2Li4uVVNELkgBAAAAS1UAAAMAAAAAAByNLGtv394IITBkbm/f3ghBQ0lRLk5BU0RBUTpNU0ZULklRX1NBTEFSSUVTX09USEVSX0JFTkVGSVRTLjk5NS4xMS8wNy8yMDI2Li4uVVNELkgBAAAAS1UAAAMAAAAAAByNLGtv394IITBkbm/f3ghBQ0lRLk5BU0RBUTpNU0ZULklRX0VYUExPUkVfRFJJTExfRVhQX1RPVEFMLjk5Ny4xMS8wNy8yMDI2Li4uVVNELkgBAAAAS1UAAAMAAAAAAByNLGtv394IITBkbm/f3gg4Q0lRLk5BU0RBUTpNU0ZULklRX01JTklNVU1fUkVOVEFMLjk5OS4xMS8wNy8yMDI2Li4uVVNELkgBAAAAS1UAAAMAAAAAAByNLGtv394IITBkbm/f3ggzQ0lRLk5BU0RBUTpNU0ZULklRX1JEX0VYUF9GTi45OTUuMTEvMDcvMjAyNi4uLlVTRC5IAQAAAEtVAAACAAAABTE5MjY5AQgAAAAFAAAAATEBAAAACy0yMDg3NDk2NjI3AwAAAAMxNjACAAAABDMxNjgEAAAAATAHAAAACTcvMTEvMjAyNggAAAAJNi8zMC8yMDIwCQAAAAEwHI0sa2/f3gghMGRub9/eCDtDSVEuTkFTREFROk1TRlQuSVFfU1RPQ0tfQkFTRURfVE9UQUwuOTk3LjExLzA3LzIwMjYuLi5VU0QuSAEAAABLVQAAAgAAAAQ3NTAyAQgAAAAFAAAAATEBAAAACy0xOTg1OTMxMjI0</t>
  </si>
  <si>
    <t>AwAAAAMxNjACAAAABTI0MDM0BAAAAAEwBwAAAAk3LzExLzIwMjYIAAAACTYvMzAvMjAyMgkAAAABMByNLGtv394IITBkbm/f3gg5Q0lRLk5BU0RBUTpNU0ZULklRX1NUT0NLX0JBU0VEX1NHQS45OTkuMTEvMDcvMjAyNi4uLlVTRC5IAQAAAEtVAAADAAAAAAAcjSxrb9/eCCEwZG5v394IOENJUS5OQVNEQVE6TVNGVC5JUV9TVE9DS19CQVNFRF9TTS45OTUuMTEvMDcvMjAyNi4uLlVTRC5IAQAAAEtVAAADAAAAAAAcjSxrb9/eCCEwZG5v394IPkNJUS5OQVNEQVE6TVNGVC5JUV9ORUdBVElWRV9HV19BTU9SVF9BVC45OTUuMTEvMDcvMjAyNi4uLlVTRC5IAQAAAEtVAAADAAAAAAAcjSxrb9/eCCEwZG5v394IPUNJUS5OQVNEQVE6TVNGVC5JUV9MRUdBTF9TRVRUTEVfU1VQUExFLjk5Ny4xMS8wNy8yMDI2Li4uVVNELkgBAAAAS1UAAAMAAAAAAByNLGtv394IITBkbm/f3gg+Q0lRLk5BU0RBUTpNU0ZULklRX01JTk9SSVRZX0lOVEVSRVNUX0NGLjk5Ny4xMS8wNy8yMDI2Li4uVVNELkgBAAAAS1UAAAMAAAAAAByNLGtv394I1vNjbm/f3gg7Q0lRLk5BU0RBUTpNU0ZULklRX0dXX0lOVEFOX0FNT1JUX0NGLjk5OS4xMS8wNy8yMDI2Li4uVVNELkgBAAAAS1UAAAIAAAAENDgwMAEIAAAABQAAAAExAQAAAAstMTkzNDI1NDE4NQMAAAADMTYwAgAAAAQyMTgyBAAAAAEwBwAAAAk3LzExLzIwMjYIAAAACTYvMzAvMjAy</t>
  </si>
  <si>
    <t>NAkAAAABMByNLGtv394I1vNjbm/f3gg6Q0lRLk5BU0RBUTpNU0ZULklRX1NUT0NLX0JBU0VEX0NPTVAuOTk5LjExLzA3LzIwMjYuLi5VU0QuSAEAAABLVQAAAgAAAAQ4OTA4AByNLGtv394I1vNjbm/f3ghBQ0lRLk5BU0RBUTpNU0ZULklRX1NUT0NLX0JBU0VEX0NPTVBfUFJFVEFYLjk5NS4xMS8wNy8yMDI2Li4uVVNELkgBAAAAS1UAAAIAAAAENTI4OQAcjSxrb9/eCCEwZG5v394IOkNJUS5OQVNEQVE6TVNGVC5JUV9SRVNUUl9TVE9DS19DT01QLjk5Ny4xMS8wNy8yMDI2Li4uVVNELkgBAAAAS1UAAAMAAAAAAByNLGtv394IITBkbm/f3ggvQ0lRLk5BU0RBUTpNU0ZULklRX0NBUEVYLjk5OS4xMS8wNy8yMDI2Li4uVVNELkgBAAAAS1UAAAIAAAAGLTQ0NDc3AQgAAAAFAAAAATEBAAAACy0xOTM0MjU0MTg1AwAAAAMxNjACAAAABDIwMjEEAAAAATAHAAAACTcvMTEvMjAyNggAAAAJNi8zMC8yMDI0CQAAAAEwHI0sa2/f3gjW82Nub9/eCDNDSVEuTkFTREFROk1TRlQuSVFfQ0FTSF9PUEVSLjk5NS4xMS8wNy8yMDI2Li4uVVNELkgBAAAAS1UAAAIAAAAFNjA2NzUBCAAAAAUAAAABMQEAAAALLTIwODc0OTY2MjcDAAAAAzE2MAIAAAAEMjAwNgQAAAABMAcAAAAJNy8xMS8yMDI2CAAAAAk2LzMwLzIwMjAJAAAAATAcjSxrb9/eCNbzY25v394IOUNJUS5OQVNEQVE6TVNGVC5JUV9PVEhFUl9PUEVSX0FDVC4xMDAw</t>
  </si>
  <si>
    <t>LjExLzA3LzIwMjYuLi5VU0QuSAEAAABLVQAAAgAAAAQtOTAzAQgAAAAFAAAAATEBAAAACy0xOTM0MjU0MjE2AwAAAAMxNjACAAAABDIwNDcEAAAAATAHAAAACTcvMTEvMjAyNggAAAAJNi8zMC8yMDI1CQAAAAEwHI0sa2/f3gjW82Nub9/eCDtDSVEuTkFTREFROk1TRlQuSVFfUFJPVl9CQURfREVCVFNfQ0YuOTk4LjExLzA3LzIwMjYuLi5VU0QuSAEAAABLVQAAAwAAAAAAHI0sa2/f3gjW82Nub9/eCDJDSVEuTkFTREFROk1TRlQuSVFfTE9BTlNfQ0YuOTk1LjExLzA3LzIwMjYuLi5VU0QuSAEAAABLVQAAAwAAAAAAHI0sa2/f3gjW82Nub9/eCDdDSVEuTkFTREFROk1TRlQuSVFfQ09NTU9OX0RJVl9DRi45OTguMTEvMDcvMjAyNi4uLlVTRC5IAQAAAEtVAAACAAAABi0xOTgwMAEIAAAABQAAAAExAQAAAAstMTkzNDI1NDI1MAMAAAADMTYwAgAAAAQyMDc0BAAAAAEwBwAAAAk3LzExLzIwMjYIAAAACTYvMzAvMjAyMwkAAAABMByNLGtv394I1vNjbm/f3gg7Q0lRLk5BU0RBUTpNU0ZULklRX1RPVEFMX0RFQlRfUkVQQUlELjk5NS4xMS8wNy8yMDI2Li4uVVNELkgBAAAAS1UAAAIAAAAFLTU1MTgBCAAAAAUAAAABMQEAAAALLTIwODc0OTY2MjcDAAAAAzE2MAIAAAAEMjE2NgQAAAABMAcAAAAJNy8xMS8yMDI2CAAAAAk2LzMwLzIwMjAJAAAAATAcjSxrb9/eCNbzY25v394IOENJUS5OQVNEQVE6TVNGVC5JUV9T</t>
  </si>
  <si>
    <t>VF9ERUJUX1JFUEFJRC45OTUuMTEvMDcvMjAyNi4uLlVTRC5IAQAAAEtVAAADAAAAAAAcjSxrb9/eCNbzY25v394IOENJUS5OQVNEQVE6TVNGVC5JUV9MVF9ERUJUX0lTU1VFRC45OTQuMTEvMDcvMjAyNi4uLlVTRC5IAQAAAEtVAAADAAAAAAAcjSxrb9/eCNbzY25v394IOkNJUS5OQVNEQVE6TVNGVC5JUV9DQVNIX0FDUVVJUkVfQ0YuMTAwMC4xMS8wNy8yMDI2Li4uVVNELkgBAAAAS1UAAAIAAAAFLTU5NzgBCAAAAAUAAAABMQEAAAALLTE5MzQyNTQyMTYDAAAAAzE2MAIAAAAEMjA1NwQAAAABMAcAAAAJNy8xMS8yMDI2CAAAAAk2LzMwLzIwMjUJAAAAATAcjSxrb9/eCNbzY25v394IOUNJUS5OQVNEQVE6TVNGVC5JUV9DQVNIX1RBWEVTX09QRVIuOTk2LjExLzA3LzIwMjYuLi5VU0QuSAEAAABLVQAAAwAAAAAAHI0sa2/f3gjW82Nub9/eCDxDSVEuTkFTREFROk1TRlQuSVFfQ0FTSF9JTlRFUkVTVF9PUEVSLjk5Ni4xMS8wNy8yMDI2Li4uVVNELkgBAAAAS1UAAAMAAAAAAByNLGtv394I1vNjbm/f3ghFQ0lRLk5BU0RBUTpNU0ZULklRX1NBTEVfUFJPQ0VFRFNfUkVOVEFMX0FTU0VUUy45OTcuMTEvMDcvMjAyNi4uLlVTRC5IAQAAAEtVAAADAAAAAAAcjSxrb9/eCNbzY25v394IP0NJUS5OQVNEQVE6TVNGVC5JUV9ORUdBVElWRV9HV19BTU9SVF9DRi4xMDAwLjExLzA3LzIwMjYuLi5VU0QuSAEAAABLVQAA</t>
  </si>
  <si>
    <t>AwAAAAAAHI0sa2/f3gjW82Nub9/eCEFDSVEuTkFTREFROk1TRlQuSVFfT1RIRVJfRklOQU5DRV9BQ1RfU1VQUEwuOTk3LjExLzA3LzIwMjYuLi5VU0QuSAEAAABLVQAAAgAAAAQtODYzAQgAAAAFAAAAATEBAAAACy0xOTg1OTMxMjI0AwAAAAMxNjACAAAABDIwNTAEAAAAATAHAAAACTcvMTEvMjAyNggAAAAJNi8zMC8yMDIyCQAAAAEwHI0sa2/f3gjW82Nub9/eCEJDSVEuTkFTREFROk1TRlQuSVFfRElTVFJJQlVUQUJMRV9DQVNIX1NIQVJFLjk5NC4xMS8wNy8yMDI2Li4uVVNELkgBAAAAS1UAAAMAAAAAAByNLGtv394I5Ldjbm/f3ggzQ0lRLk5BU0RBUTpNU0ZULklRX0RJVl9TSEFSRS45OTQuMTEvMDcvMjAyNi4uLlVTRC5IAQAAAEtVAAACAAAABDEuODQBCAAAAAUAAAABMQEAAAALLTIxNDA5ODE0NjkDAAAAAzE2MAIAAAAEMzA1OAQAAAABMAcAAAAJNy8xMS8yMDI2CAAAAAk2LzMwLzIwMTkJAAAAATAcjSxrb9/eCOS3Y25v394IOENJUS5OQVNEQVE6TVNGVC5JUV9ESUxVVF9FUFNfTk9STS45OTYuMTEvMDcvMjAyNi4uLlVTRC5IAQAAAEtVAAACAAAACDUuNzM5ODQ2AQgAAAAFAAAAATEBAAAACy0yMDM2ODQzODQzAwAAAAMxNjACAAAABDQzODAEAAAAATAHAAAACTcvMTEvMjAyNggAAAAJNi8zMC8yMDIxCQAAAAEwHI0sa2/f3gjkt2Nub9/eCDhDSVEuTkFTREFROk1TRlQuSVFfRElMVVRfRVBTX0lO</t>
  </si>
  <si>
    <t>Q0wuOTk4LjExLzA3LzIwMjYuLi5VU0QuSAEAAABLVQAAAgAAAAQ5LjY4AQgAAAAFAAAAATEBAAAACy0xOTM0MjU0MjUwAwAAAAMxNjACAAAAATgEAAAAATAHAAAACTcvMTEvMjAyNggAAAAJNi8zMC8yMDIzCQAAAAEwHI0sa2/f3gjkt2Nub9/eCDZDSVEuTkFTREFROk1TRlQuSVFfTEVWRVJFRF9GQ0YuMTAwMC4xMS8wNy8yMDI2Li4uVVNELkgBAAAAS1UAAAIAAAAJNjEwNzAuMzc1AQgAAAAFAAAAATEBAAAACy0xOTM0MjU0MjE2AwAAAAMxNjACAAAABDQ0MjIEAAAAATAHAAAACTcvMTEvMjAyNggAAAAJNi8zMC8yMDI1CQAAAAEwHI0sa2/f3gjW82Nub9/eCC9DSVEuTkFTREFROk1TRlQuSVFfRUJJVEEuOTk4LjExLzA3LzIwMjYuLi5VU0QuSAEAAABLVQAAAgAAAAU5MTAyMwEIAAAABQAAAAExAQAAAAstMTkzNDI1NDI1MAMAAAADMTYwAgAAAAYxMDA2ODkEAAAAATAHAAAACTcvMTEvMjAyNggAAAAJNi8zMC8yMDIzCQAAAAEwHI0sa2/f3gjkt2Nub9/eCD5DSVEuTkFTREFROk1TRlQuSVFfRUJJVF9FUV9JTkNfRVhDTF9TQkMuOTk0LjExLzA3LzIwMjYuLi5VU0QuSAEAAABLVQAAAgAAAAU0NzYxMQEIAAAABQAAAAExAQAAAAstMjE0MDk4MTQ2OQMAAAADMTYwAgAAAAUyNDEzMAQAAAABMAcAAAAJNy8xMS8yMDI2CAAAAAk2LzMwLzIwMTkJAAAAATAcjSxrb9/eCOS3Y25v394IL0NJUS5OQVNEQVE6TVNG</t>
  </si>
  <si>
    <t>VC5JUV9FQklULjEwMDAuMTEvMDcvMjAyNi4uLlVTRC5IAQAAAEtVAAACAAAABjEyODUyOAEIAAAABQAAAAExAQAAAAstMTkzNDI1NDIxNgMAAAADMTYwAgAAAAM0MDAEAAAAATAHAAAACTcvMTEvMjAyNggAAAAJNi8zMC8yMDI1CQAAAAEwHI0sa2/f3gjkt2Nub9/eCEFDSVEuTkFTREFROk1TRlQuSVFfTEVBU0VfQURKVVNUTUVOVF9FQklUREEuOTk2LjExLzA3LzIwMjYuLi5VU0QuSAEAAABLVQAAAgAAAAQyMTI3AByNLGtv394I5Ldjbm/f3ghAQ0lRLk5BU0RBUTpNU0ZULklRX0VCSVREQV9FUV9JTkNfRVhDTF9TQkMuOTk2LjExLzA3LzIwMjYuLi5VU0QuSAEAAABLVQAAAgAAAAU4NjkzNAEIAAAABQAAAAExAQAAAAstMjAzNjg0Mzg0MwMAAAADMTYwAgAAAAUyNDEzMQQAAAABMAcAAAAJNy8xMS8yMDI2CAAAAAk2LzMwLzIwMjEJAAAAATAcjSxrb9/eCOS3Y25v394IPUNJUS5OQVNEQVE6TVNGVC5JUV9BU19SRVBPUlRFRF9FQklUREEuMTAwMC4xMS8wNy8yMDI2Li4uVVNELkgBAAAAS1UAAAMAAAAAAByNLGtv394I5Ldjbm/f3gg/Q0lRLk5BU0RBUTpNU0ZULklRX1RPVEFMX1JFVl9BU19SRVBPUlRFRC45OTQuMTEvMDcvMjAyNi4uLlVTRC5IAQAAAEtVAAACAAAABjEyNTg0MwEIAAAABQAAAAExAQAAAAstMjE0MDk4MTQ2OQMAAAADMTYwAgAAAAMzMzkEAAAAATAHAAAACTcvMTEvMjAyNggAAAAJNi8z</t>
  </si>
  <si>
    <t>MC8yMDE5CQAAAAEwHI0sa2/f3gjkt2Nub9/eCDxDSVEuTkFTREFROk1TRlQuSVFfRkVFU19PVEhFUl9JTkNPTUUuMTAwMC4xMS8wNy8yMDI2Li4uVVNELkgBAAAAS1UAAAMAAAAAAByNLGtv394I5Ldjbm/f3gg6Q0lRLk5BU0RBUTpNU0ZULklRX0VCSVREQVJfRVhDTF9TQkMuOTk2LjExLzA3LzIwMjYuLi5VU0QuSAEAAABLVQAAAgAAAAU4OTA2MQEIAAAABQAAAAExAQAAAAstMjAzNjg0Mzg0MwMAAAADMTYwAgAAAAUyNDEzNwQAAAABMAcAAAAJNy8xMS8yMDI2CAAAAAk2LzMwLzIwMjEJAAAAATAcjSxrb9/eCOS3Y25v394IOENJUS5OQVNEQVE6TVNGVC5JUV9FQklUQV9FWENMX1NCQy45OTguMTEvMDcvMjAyNi4uLlVTRC5IAQAAAEtVAAACAAAABjEwMDYzNAEIAAAABQAAAAExAQAAAAstMTkzNDI1NDI1MAMAAAADMTYwAgAAAAUyNDEzNgQAAAABMAcAAAAJNy8xMS8yMDI2CAAAAAk2LzMwLzIwMjMJAAAAATAcjSxrb9/eCOS3Y25v394IPkNJUS5OQVNEQVE6TVNGVC5JUV9DQVBJVEFMSVpFRF9JTlRFUkVTVC45OTguMTEvMDcvMjAyNi4uLlVTRC5IAQAAAEtVAAADAAAAAAAcjSxrb9/eCOS3Y25v394IP0NJUS5OQVNEQVE6TVNGVC5JUV9ERUZFUlJFRF9UQVhFU19UT1RBTC4xMDAwLjExLzA3LzIwMjYuLi5VU0QuSAEAAABLVQAAAgAAAAUtNzA1NgEIAAAABQAAAAExAQAAAAstMTkzNDI1NDIxNgMAAAAD</t>
  </si>
  <si>
    <t>MTYwAgAAAAUzNTM4NQQAAAABMAcAAAAJNy8xMS8yMDI2CAAAAAk2LzMwLzIwMjUJAAAAATAcjSxrb9/eCOS3Y25v394IQENJUS5OQVNEQVE6TVNGVC5JUV9ERUZFUlJFRF9GT1JFSUdOX1RBWEVTLjk5NC4xMS8wNy8yMDI2Li4uVVNELkgBAAAAS1UAAAIAAAADMTk0AQgAAAAFAAAAATEBAAAACy0yMTQwOTgxNDY5AwAAAAMxNjACAAAABDMwNTUEAAAAATAHAAAACTcvMTEvMjAyNggAAAAJNi8zMC8yMDE5CQAAAAEwHI0sa2/f3gjkt2Nub9/eCD1DSVEuTkFTREFROk1TRlQuSVFfQ1VSUl9ET01FU1RJQ19UQVhFUy45OTYuMTEvMDcvMjAyNi4uLlVTRC5IAQAAAEtVAAACAAAABDQ1MTQBCAAAAAUAAAABMQEAAAALLTIwMzY4NDM4NDMDAAAAAzE2MAIAAAAEMzAyNwQAAAABMAcAAAAJNy8xMS8yMDI2CAAAAAk2LzMwLzIwMjEJAAAAATAcjSxrb9/eCOS3Y25v394IOUNJUS5OQVNEQVE6TVNGVC5JUV9JTlRFUkVTVF9JTkNPTUUuOTk4LjExLzA3LzIwMjYuLi5VU0QuSAEAAABLVQAAAgAAAAQyOTk0AQgAAAAFAAAAATEBAAAACy0xOTM0MjU0MjUwAwAAAAMxNjACAAAAAzIxMAQAAAABMAcAAAAJNy8xMS8yMDI2CAAAAAk2LzMwLzIwMjMJAAAAATAcjSxrb9/eCOS3Y25v394IOENJUS5OQVNEQVE6TVNGVC5JUV9ORVRfUkVOVEFMX0VYUC45OTguMTEvMDcvMjAyNi4uLlVTRC5IAQAAAEtVAAADAAAAAAAcjSxrb9/e</t>
  </si>
  <si>
    <t>CIijY25v394IM0NJUS5OQVNEQVE6TVNGVC5JUV9SRF9FWFBfRk4uOTk0LjExLzA3LzIwMjYuLi5VU0QuSAEAAABLVQAAAgAAAAUxNjg3NgEIAAAABQAAAAExAQAAAAstMjE0MDk4MTQ2OQMAAAADMTYwAgAAAAQzMTY4BAAAAAEwBwAAAAk3LzExLzIwMjYIAAAACTYvMzAvMjAxOQkAAAABMByNLGtv394IiKNjbm/f3gg6Q0lRLk5BU0RBUTpNU0ZULklRX1NBTEVTX01BUktFVElORy4xMDAwLjExLzA3LzIwMjYuLi5VU0QuSAEAAABLVQAAAgAAAAUyNTY1NAEIAAAABQAAAAExAQAAAAstMTkzNDI1NDIxNgMAAAADMTYwAgAAAAUyMTU2MQQAAAABMAcAAAAJNy8xMS8yMDI2CAAAAAk2LzMwLzIwMjUJAAAAATAcjSxrb9/eCIijY25v394INUNJUS5OQVNEQVE6TVNGVC5JUV9BRFZFUlRJU0lORy45OTYuMTEvMDcvMjAyNi4uLlVTRC5IAQAAAEtVAAACAAAABDE1MDABCAAAAAUAAAABMQEAAAALLTIwMzY4NDM4NDMDAAAAAzE2MAIAAAAEMzAxMwQAAAABMAcAAAAJNy8xMS8yMDI2CAAAAAk2LzMwLzIwMjEJAAAAATAcjSxrb9/eCIijY25v394IPUNJUS5OQVNEQVE6TVNGVC5JUV9OT05DQVNIX1BFTlNJT05fRVhQLjk5Ni4xMS8wNy8yMDI2Li4uVVNELkgBAAAAS1UAAAMAAAAAAByNLGtv394I5Ldjbm/f3gg9Q0lRLk5BU0RBUTpNU0ZULklRX1JFU1RSVUNUVVJFX1NVUFBMRS4xMDAwLjExLzA3LzIwMjYuLi5VU0Qu</t>
  </si>
  <si>
    <t>SAEAAABLVQAAAwAAAAAAHI0sa2/f3giFjmNub9/eCEFDSVEuTkFTREFROk1TRlQuSVFfU0FMQVJJRVNfT1RIRVJfQkVORUZJVFMuOTk0LjExLzA3LzIwMjYuLi5VU0QuSAEAAABLVQAAAwAAAAAAHI0sa2/f3giFjmNub9/eCENDSVEuTkFTREFROk1TRlQuSVFfSU1QVVRfT1BFUl9MRUFTRV9JTlRfRVhQLjEwMDAuMTEvMDcvMjAyNi4uLlVTRC5IAQAAAEtVAAACAAAACzEwMjAuNDM3NDcyAQgAAAAFAAAAATEBAAAACy0xOTM0MjU0MjE2AwAAAAMxNjACAAAABTIxNjcyBAAAAAEwBwAAAAk3LzExLzIwMjYIAAAACTYvMzAvMjAyNQkAAAABMByNLGtv394IiKNjbm/f3ghBQ0lRLk5BU0RBUTpNU0ZULklRX0VYUExPUkVfRFJJTExfRVhQX1RPVEFMLjk5Ni4xMS8wNy8yMDI2Li4uVVNELkgBAAAAS1UAAAMAAAAAAByNLGtv394IiKNjbm/f3gg4Q0lRLk5BU0RBUTpNU0ZULklRX01JTklNVU1fUkVOVEFMLjk5OC4xMS8wNy8yMDI2Li4uVVNELkgBAAAAS1UAAAMAAAAAANqgLGtv394IiKNjbm/f3gg5Q0lRLk5BU0RBUTpNU0ZULklRX1NUT0NLX0JBU0VEX1NHQS45OTguMTEvMDcvMjAyNi4uLlVTRC5IAQAAAEtVAAADAAAAAADaoCxrb9/eCIWOY25v394IO0NJUS5OQVNEQVE6TVNGVC5JUV9TVE9DS19CQVNFRF9DT0dTLjEwMDAuMTEvMDcvMjAyNi4uLlVTRC5IAQAAAEtVAAADAAAAAADaoCxrb9/eCIWOY25v394I</t>
  </si>
  <si>
    <t>PkNJUS5OQVNEQVE6TVNGVC5JUV9ORUdBVElWRV9HV19BTU9SVF9BVC45OTQuMTEvMDcvMjAyNi4uLlVTRC5IAQAAAEtVAAADAAAAAADaoCxrb9/eCIWOY25v394IPUNJUS5OQVNEQVE6TVNGVC5JUV9MRUdBTF9TRVRUTEVfU1VQUExFLjk5Ni4xMS8wNy8yMDI2Li4uVVNELkgBAAAAS1UAAAMAAAAAANqgLGtv394IhY5jbm/f3gg1Q0lRLk5BU0RBUTpNU0ZULklRX0lQUkRfU1VQUExFLjk5OC4xMS8wNy8yMDI2Li4uVVNELkgBAAAAS1UAAAMAAAAAANqgLGtv394IhY5jbm/f3gg6Q0lRLk5BU0RBUTpNU0ZULklRX1NUT0NLX0JBU0VEX0NPTVAuOTk4LjExLzA3LzIwMjYuLi5VU0QuSAEAAABLVQAAAgAAAAQ3OTYwANqgLGtv394I33ljbm/f3ghBQ0lRLk5BU0RBUTpNU0ZULklRX1NUT0NLX0JBU0VEX0NPTVBfUFJFVEFYLjk5NC4xMS8wNy8yMDI2Li4uVVNELkgBAAAAS1UAAAIAAAAENDY1MgDaoCxrb9/eCN95Y25v394IQUNJUS5OQVNEQVE6TVNGVC5JUV9TVE9DS19PUFRJT05TX0NPTVBfVEFYLjEwMDAuMTEvMDcvMjAyNi4uLlVTRC5IAQAAAEtVAAADAAAAAADaoCxrb9/eCN95Y25v394IQ0NJUS5OQVNEQVE6TVNGVC5JUV9TVE9DS19PUFRJT05TX0NPTVBfUFJFVEFYLjk5NC4xMS8wNy8yMDI2Li4uVVNELkgBAAAAS1UAAAMAAAAAANqgLGtv394I33ljbm/f3gg7Q0lRLk5BU0RBUTpNU0ZULklRX1NUT0NL</t>
  </si>
  <si>
    <t>X0JBU0VEX1RPVEFMLjk5Ni4xMS8wNy8yMDI2Li4uVVNELkgBAAAAS1UAAAIAAAAENjExOAEIAAAABQAAAAExAQAAAAstMjAzNjg0Mzg0MwMAAAADMTYwAgAAAAUyNDAzNAQAAAABMAcAAAAJNy8xMS8yMDI2CAAAAAk2LzMwLzIwMjEJAAAAATDaoCxrb9/eCN95Y25v394IN0NJUS5OQVNEQVE6TVNGVC5JUV9JTkNfRVFVSVRZX0NGLjk5OC4xMS8wNy8yMDI2Li4uVVNELkgBAAAAS1UAAAMAAAAAANqgLGtv394I72Vjbm/f3ggyQ0lRLk5BU0RBUTpNU0ZULklRX0xPQU5TX0NGLjk5NC4xMS8wNy8yMDI2Li4uVVNELkgBAAAAS1UAAAMAAAAAANqgLGtv394I72Vjbm/f3gg5Q0lRLk5BU0RBUTpNU0ZULklRX0dBSU5fSU5WRVNUX0NGLjEwMDAuMTEvMDcvMjAyNi4uLlVTRC5IAQAAAEtVAAACAAAAAzYwOQEIAAAABQAAAAExAQAAAAstMTkzNDI1NDIxNgMAAAADMTYwAgAAAAQyMDkwBAAAAAEwBwAAAAk3LzExLzIwMjYIAAAACTYvMzAvMjAyNQkAAAABMNqgLGtv394I72Vjbm/f3gg+Q0lRLk5BU0RBUTpNU0ZULklRX01JTk9SSVRZX0lOVEVSRVNUX0NGLjk5Ni4xMS8wNy8yMDI2Li4uVVNELkgBAAAAS1UAAAMAAAAAANqgLGtv394I33ljbm/f3gg0Q0lRLk5BU0RBUTpNU0ZULklRX09JTF9JTVBBSVIuOTk2LjExLzA3LzIwMjYuLi5VU0QuSAEAAABLVQAAAwAAAAAA2qAsa2/f3gjfeWNub9/eCDNDSVEuTkFTREFR</t>
  </si>
  <si>
    <t>Ok1TRlQuSVFfRElWRVNUX0NGLjk5Ny4xMS8wNy8yMDI2Li4uVVNELkgBAAAAS1UAAAMAAAAAANqgLGtv394IQVJjbm/f3gg1Q0lRLk5BU0RBUTpNU0ZULklRX1NBTEVfUFBFX0NGLjk5NS4xMS8wNy8yMDI2Li4uVVNELkgBAAAAS1UAAAMAAAAAANqgLGtv394I72Vjbm/f3ggzQ0lRLk5BU0RBUTpNU0ZULklRX0NBU0hfT1BFUi45OTQuMTEvMDcvMjAyNi4uLlVTRC5IAQAAAEtVAAACAAAABTUyMTg1AQgAAAAFAAAAATEBAAAACy0yMTQwOTgxNDY5AwAAAAMxNjACAAAABDIwMDYEAAAAATAHAAAACTcvMTEvMjAyNggAAAAJNi8zMC8yMDE5CQAAAAEw2qAsa2/f3gjvZWNub9/eCDhDSVEuTkFTREFROk1TRlQuSVFfT1RIRVJfT1BFUl9BQ1QuOTk5LjExLzA3LzIwMjYuLi5VU0QuSAEAAABLVQAAAgAAAAUtMjQ1MQEIAAAABQAAAAExAQAAAAstMTkzNDI1NDE4NQMAAAADMTYwAgAAAAQyMDQ3BAAAAAEwBwAAAAk3LzExLzIwMjYIAAAACTYvMzAvMjAyNAkAAAABMNqgLGtv394I72Vjbm/f3ggvQ0lRLk5BU0RBUTpNU0ZULklRX0RPX0NGLjk5NS4xMS8wNy8yMDI2Li4uVVNELkgBAAAAS1UAAAMAAAAAANqgLGtv394I72Vjbm/f3gg8Q0lRLk5BU0RBUTpNU0ZULklRX0NBU0hfSU5URVJFU1RfT1BFUi45OTUuMTEvMDcvMjAyNi4uLlVTRC5IAQAAAEtVAAADAAAAAADaoCxrb9/eCEFSY25v394IPkNJUS5OQVNEQVE6</t>
  </si>
  <si>
    <t>TVNGVC5JUV9ORUdBVElWRV9HV19BTU9SVF9DRi45OTkuMTEvMDcvMjAyNi4uLlVTRC5IAQAAAEtVAAADAAAAAADaoCxrb9/eCEFSY25v394IQUNJUS5OQVNEQVE6TVNGVC5JUV9PVEhFUl9GSU5BTkNFX0FDVF9TVVBQTC45OTUuMTEvMDcvMjAyNi4uLlVTRC5IAQAAAEtVAAACAAAABS0zNzUxAQgAAAAFAAAAATEBAAAACy0yMDg3NDk2NjI3AwAAAAMxNjACAAAABDIwNTAEAAAAATAHAAAACTcvMTEvMjAyNggAAAAJNi8zMC8yMDIwCQAAAAEw2qAsa2/f3ghBUmNub9/eCDdDSVEuTkFTREFROk1TRlQuSVFfQ09NTU9OX0RJVl9DRi45OTYuMTEvMDcvMjAyNi4uLlVTRC5IAQAAAEtVAAACAAAABi0xNjUyMQEIAAAABQAAAAExAQAAAAstMjAzNjg0Mzg0MwMAAAADMTYwAgAAAAQyMDc0BAAAAAEwBwAAAAk3LzExLzIwMjYIAAAACTYvMzAvMjAyMQkAAAABMNqgLGtv394IQVJjbm/f3gg7Q0lRLk5BU0RBUTpNU0ZULklRX1RPVEFMX0RFQlRfUkVQQUlELjk5NC4xMS8wNy8yMDI2Li4uVVNELkgBAAAAS1UAAAIAAAAFLTQwMDABCAAAAAUAAAABMQEAAAALLTIxNDA5ODE0NjkDAAAAAzE2MAIAAAAEMjE2NgQAAAABMAcAAAAJNy8xMS8yMDI2CAAAAAk2LzMwLzIwMTkJAAAAATDaoCxrb9/eCEFSY25v394IM0NJUS5OQVNEQVE6TVNGVC5JUV9TVF9JTlZFU1QuOTk5LjExLzA3LzIwMjYuLi5VU0QuSAEAAABLVQAAAgAA</t>
  </si>
  <si>
    <t>AAU1NzIyOAEIAAAABQAAAAExAQAAAAstMTkzNDI1NDE4NQMAAAADMTYwAgAAAAQxMDY5BAAAAAEwBwAAAAk3LzExLzIwMjYIAAAACTYvMzAvMjAyNAkAAAABMNqgLGtv394Iwipjbm/f3ghOQ0lRLk5BU0RBUTpNU0ZULklRX09QRVJBVElOR19MRUFTRV9MSUFCSUxJVElFU19OT05DQVNILjEwMDAuMTEvMDcvMjAyNi4uLlVTRC5IAQAAAEtVAAADAAAAAADaoCxrb9/eCMIqY25v394INUNJUS5OQVNEQVE6TVNGVC5JUV9NQUlOVF9DQVBFWC45OTguMTEvMDcvMjAyNi4uLlVTRC5IAQAAAEtVAAADAAAAAADaoCxrb9/eCMIqY25v394INUNJUS5OQVNEQVE6TVNGVC5JUV9MRVZFUkVEX0ZDRi45OTkuMTEvMDcvMjAyNi4uLlVTRC5IAQAAAEtVAAACAAAACDU2NzE3LjI1AQgAAAAFAAAAATEBAAAACy0xOTM0MjU0MTg1AwAAAAMxNjACAAAABDQ0MjIEAAAAATAHAAAACTcvMTEvMjAyNggAAAAJNi8zMC8yMDI0CQAAAAEw2qAsa2/f3gjCKmNub9/eCDtDSVEuTkFTREFROk1TRlQuSVFfQ0FTSF9UQVhFU19JTlZFU1QuOTk4LjExLzA3LzIwMjYuLi5VU0QuSAEAAABLVQAAAwAAAAAA2qAsa2/f3ghBUmNub9/eCD5DSVEuTkFTREFROk1TRlQuSVFfREVGRVJSRURfVEFYRVNfVE9UQUwuOTk5LjExLzA3LzIwMjYuLi5VU0QuSAEAAABLVQAAAgAAAAUtNDczOAEIAAAABQAAAAExAQAAAAstMTkzNDI1NDE4NQMAAAADMTYw</t>
  </si>
  <si>
    <t>AgAAAAUzNTM4NQQAAAABMAcAAAAJNy8xMS8yMDI2CAAAAAk2LzMwLzIwMjQJAAAAATDaoCxrb9/eCMIqY25v394INENJUS5OQVNEQVE6TVNGVC5JUV9DVVJSX1RBWEVTLjk5OS4xMS8wNy8yMDI2Li4uVVNELkgBAAAAS1UAAAIAAAAFMjQzODkBCAAAAAUAAAABMQEAAAALLTE5MzQyNTQxODUDAAAAAzE2MAIAAAAFMzUzODMEAAAAATAHAAAACTcvMTEvMjAyNggAAAAJNi8zMC8yMDI0CQAAAAEw2qAsa2/f3gjCKmNub9/eCD1DSVEuTkFTREFROk1TRlQuSVFfQ1VSUl9ET01FU1RJQ19UQVhFUy45OTUuMTEvMDcvMjAyNi4uLlVTRC5IAQAAAEtVAAACAAAABDQzMDABCAAAAAUAAAABMQEAAAALLTIwODc0OTY2MjcDAAAAAzE2MAIAAAAEMzAyNwQAAAABMAcAAAAJNy8xMS8yMDI2CAAAAAk2LzMwLzIwMjAJAAAAATDaoCxrb9/eCMIqY25v394IOUNJUS5OQVNEQVE6TVNGVC5JUV9JTlRFUkVTVF9JTkNPTUUuOTk3LjExLzA3LzIwMjYuLi5VU0QuSAEAAABLVQAAAgAAAAQyMDk0AQgAAAAFAAAAATEBAAAACy0xOTg1OTMxMjI0AwAAAAMxNjACAAAAAzIxMAQAAAABMAcAAAAJNy8xMS8yMDI2CAAAAAk2LzMwLzIwMjIJAAAAATDaoCxrb9/eCMIqY25v394ITENJUS5OQVNEQVE6TVNGVC5JUV9QUk9WX0JBRF9ERUJUU19QQVRJRU5UX1NFUlZJQ0VfUkVWLjk5Ny4xMS8wNy8yMDI2Li4uVVNELkgBAAAAS1UAAAMAAAAA</t>
  </si>
  <si>
    <t>ANqgLGtv394Iwipjbm/f3gg2Q0lRLk5BU0RBUTpNU0ZULklRX09USEVSX1JFTlRBTC45OTUuMTEvMDcvMjAyNi4uLlVTRC5IAQAAAEtVAAADAAAAAADaoCxrb9/eCOQWY25v394IOENJUS5OQVNEQVE6TVNGVC5JUV9ORVRfUkVOVEFMX0VYUC45OTcuMTEvMDcvMjAyNi4uLlVTRC5IAQAAAEtVAAADAAAAAADaoCxrb9/eCOQWY25v394IOUNJUS5OQVNEQVE6TVNGVC5JUV9TQUxFU19NQVJLRVRJTkcuOTk5LjExLzA3LzIwMjYuLi5VU0QuSAEAAABLVQAAAgAAAAUyNDQ1NgEIAAAABQAAAAExAQAAAAstMTkzNDI1NDE4NQMAAAADMTYwAgAAAAUyMTU2MQQAAAABMAcAAAAJNy8xMS8yMDI2CAAAAAk2LzMwLzIwMjQJAAAAATDaoCxrb9/eCMIqY25v394IPUNJUS5OQVNEQVE6TVNGVC5JUV9OT05DQVNIX1BFTlNJT05fRVhQLjk5NS4xMS8wNy8yMDI2Li4uVVNELkgBAAAAS1UAAAMAAAAAANqgLGtv394Iwipjbm/f3gg+Q0lRLk5BU0RBUTpNU0ZULklRX0NBUElUQUxJWkVEX0lOVEVSRVNULjk5Ny4xMS8wNy8yMDI2Li4uVVNELkgBAAAAS1UAAAMAAAAAANqgLGtv394Iwipjbm/f3gg9Q0lRLk5BU0RBUTpNU0ZULklRX0xFR0FMX1NFVFRMRV9TVVBQTEUuOTk1LjExLzA3LzIwMjYuLi5VU0QuSAEAAABLVQAAAwAAAAAA2qAsa2/f3gjkFmNub9/eCDVDSVEuTkFTREFROk1TRlQuSVFfSVBSRF9TVVBQTEUuOTk3LjEx</t>
  </si>
  <si>
    <t>LzA3LzIwMjYuLi5VU0QuSAEAAABLVQAAAwAAAAAA2qAsa2/f3gjkFmNub9/eCDdDSVEuTkFTREFROk1TRlQuSVFfTUVSR0VSX1NVUFBMRS45OTcuMTEvMDcvMjAyNi4uLlVTRC5IAQAAAEtVAAADAAAAAADaoCxrb9/eCOQWY25v394IQkNJUS5OQVNEQVE6TVNGVC5JUV9JTVBVVF9PUEVSX0xFQVNFX0lOVF9FWFAuOTk5LjExLzA3LzIwMjYuLi5VU0QuSAEAAABLVQAAAgAAAAc5NTcuMDA2AQgAAAAFAAAAATEBAAAACy0xOTM0MjU0MTg1AwAAAAMxNjACAAAABTIxNjcyBAAAAAEwBwAAAAk3LzExLzIwMjYIAAAACTYvMzAvMjAyNAkAAAABMNqgLGtv394I5BZjbm/f3ghBQ0lRLk5BU0RBUTpNU0ZULklRX0VYUExPUkVfRFJJTExfRVhQX1RPVEFMLjk5NS4xMS8wNy8yMDI2Li4uVVNELkgBAAAAS1UAAAMAAAAAANqgLGtv394I5BZjbm/f3ghAQ0lRLk5BU0RBUTpNU0ZULklRX1NUT0NLX09QVElPTlNfQ09NUF9UQVguOTk5LjExLzA3LzIwMjYuLi5VU0QuSAEAAABLVQAAAwAAAAAA2qAsa2/f3giW72Jub9/eCDtDSVEuTkFTREFROk1TRlQuSVFfU1RPQ0tfQkFTRURfVE9UQUwuOTk1LjExLzA3LzIwMjYuLi5VU0QuSAEAAABLVQAAAgAAAAQ1Mjg5AQgAAAAFAAAAATEBAAAACy0yMDg3NDk2NjI3AwAAAAMxNjACAAAABTI0MDM0BAAAAAEwBwAAAAk3LzExLzIwMjYIAAAACTYvMzAvMjAyMAkAAAABMNqgLGtv394I</t>
  </si>
  <si>
    <t>lu9ibm/f3gg5Q0lRLk5BU0RBUTpNU0ZULklRX1NUT0NLX0JBU0VEX1NHQS45OTcuMTEvMDcvMjAyNi4uLlVTRC5IAQAAAEtVAAADAAAAAADaoCxrb9/eCJbvYm5v394IOkNJUS5OQVNEQVE6TVNGVC5JUV9TVE9DS19CQVNFRF9DT0dTLjk5OS4xMS8wNy8yMDI2Li4uVVNELkgBAAAAS1UAAAMAAAAAANqgLGtv394Ilu9ibm/f3gg+Q0lRLk5BU0RBUTpNU0ZULklRX1RPVEFMX1VOVVNVQUxfU1VQUExFLjk5OS4xMS8wNy8yMDI2Li4uVVNELkgBAAAAS1UAAAMAAAAAANqgLGtv394Ilu9ibm/f3ggvQ0lRLk5BU0RBUTpNU0ZULklRX0RPX0NGLjk5NC4xMS8wNy8yMDI2Li4uVVNELkgBAAAAS1UAAAMAAAAAANqgLGtv394Ilu9ibm/f3gg3Q0lRLk5BU0RBUTpNU0ZULklRX0lOQ19FUVVJVFlfQ0YuOTk3LjExLzA3LzIwMjYuLi5VU0QuSAEAAABLVQAAAwAAAAAA2qAsa2/f3giW72Jub9/eCDhDSVEuTkFTREFROk1TRlQuSVFfR0FJTl9JTlZFU1RfQ0YuOTk5LjExLzA3LzIwMjYuLi5VU0QuSAEAAABLVQAAAgAAAAMzMDUBCAAAAAUAAAABMQEAAAALLTE5MzQyNTQxODUDAAAAAzE2MAIAAAAEMjA5MAQAAAABMAcAAAAJNy8xMS8yMDI2CAAAAAk2LzMwLzIwMjQJAAAAATDaoCxrb9/eCJbvYm5v394INENJUS5OQVNEQVE6TVNGVC5JUV9PSUxfSU1QQUlSLjk5NS4xMS8wNy8yMDI2Li4uVVNELkgBAAAAS1UAAAMAAAAA</t>
  </si>
  <si>
    <t>ANqgLGtv394Ilu9ibm/f3gg6Q0lRLk5BU0RBUTpNU0ZULklRX1NUT0NLX0JBU0VEX0NPTVAuOTk3LjExLzA3LzIwMjYuLi5VU0QuSAEAAABLVQAAAgAAAAQ2MjA5ANqgLGtv394Ilu9ibm/f3gg3Q0lRLk5BU0RBUTpNU0ZULklRX1NBTEVfSU5UQU5fQ0YuOTk4LjExLzA3LzIwMjYuLi5VU0QuSAEAAABLVQAAAwAAAAAA2qAsa2/f3gjf22Jub9/eCDNDSVEuTkFTREFROk1TRlQuSVFfRElWRVNUX0NGLjk5Ni4xMS8wNy8yMDI2Li4uVVNELkgBAAAAS1UAAAMAAAAAANqgLGtv394I39tibm/f3gg1Q0lRLk5BU0RBUTpNU0ZULklRX1NBTEVfUFBFX0NGLjk5NC4xMS8wNy8yMDI2Li4uVVNELkgBAAAAS1UAAAMAAAAAANqgLGtv394I39tibm/f3gg0Q0lRLk5BU0RBUTpNU0ZULklRX0NIQU5HRV9BUi4xMDAwLjExLzA3LzIwMjYuLi5VU0QuSAEAAABLVQAAAgAAAAYtMTA1ODEBCAAAAAUAAAABMQEAAAALLTE5MzQyNTQyMTYDAAAAAzE2MAIAAAAEMjAxOAQAAAABMAcAAAAJNy8xMS8yMDI2CAAAAAk2LzMwLzIwMjUJAAAAATDaoCxrb9/eCN/bYm5v394IP0NJUS5OQVNEQVE6TVNGVC5JUV9DSEFOR0VfVFJBRElOR19BU1NFVFMuOTk2LjExLzA3LzIwMjYuLi5VU0QuSAEAAABLVQAAAwAAAAAA2qAsa2/f3giW72Jub9/eCEZDSVEuTkFTREFROk1TRlQuSVFfREFfU1VQUExfQ0ZfRVhDTF9PUEVSX0xFQVNFUy45OTYu</t>
  </si>
  <si>
    <t>MTEvMDcvMjAyNi4uLlVTRC5IAQAAAEtVAAACAAAABDkzMDABCAAAAAUAAAABMQEAAAALLTIwMzY4NDM4NDMDAAAAAzE2MAIAAAAFNDg5ODMEAAAAATAHAAAACTcvMTEvMjAyNggAAAAJNi8zMC8yMDIxCQAAAAEw2qAsa2/f3gietGJub9/eCERDSVEuTkFTREFROk1TRlQuSVFfR1dfSU5UQU5fQU1PUlRfUEFSVElBTF9DRi4xMDAwLjExLzA3LzIwMjYuLi5VU0QuSAEAAABLVQAAAwAAAAAA2qAsa2/f3gietGJub9/eCDhDSVEuTkFTREFROk1TRlQuSVFfTUlTQ19BREpVU1RfQ0YuOTk3LjExLzA3LzIwMjYuLi5VU0QuSAEAAABLVQAAAwAAAAAA2qAsa2/f3gietGJub9/eCEFDSVEuTkFTREFROk1TRlQuSVFfT1RIRVJfRklOQU5DRV9BQ1RfU1VQUEwuOTk0LjExLzA3LzIwMjYuLi5VU0QuSAEAAABLVQAAAgAAAAQtNjc1AQgAAAAFAAAAATEBAAAACy0yMTQwOTgxNDY5AwAAAAMxNjACAAAABDIwNTAEAAAAATAHAAAACTcvMTEvMjAyNggAAAAJNi8zMC8yMDE5CQAAAAEw2qAsa2/f3gietGJub9/eCDdDSVEuTkFTREFROk1TRlQuSVFfQ09NTU9OX0RJVl9DRi45OTUuMTEvMDcvMjAyNi4uLlVTRC5IAQAAAEtVAAACAAAABi0xNTEzNwEIAAAABQAAAAExAQAAAAstMjA4NzQ5NjYyNwMAAAADMTYwAgAAAAQyMDc0BAAAAAEwBwAAAAk3LzExLzIwMjYIAAAACTYvMzAvMjAyMAkAAAABMNqgLGtv394InrRibm/f3gg0</t>
  </si>
  <si>
    <t>Q0lRLk5BU0RBUTpNU0ZULklRX0NVUlJfVEFYRVMuOTk4LjExLzA3LzIwMjYuLi5VU0QuSAEAAABLVQAAAgAAAAUyMzAwOQEIAAAABQAAAAExAQAAAAstMTkzNDI1NDI1MAMAAAADMTYwAgAAAAUzNTM4MwQAAAABMAcAAAAJNy8xMS8yMDI2CAAAAAk2LzMwLzIwMjMJAAAAATDaoCxrb9/eCJ60Ym5v394ITUNJUS5OQVNEQVE6TVNGVC5JUV9PUEVSQVRJTkdfTEVBU0VfTElBQklMSVRJRVNfTk9OQ0FTSC45OTkuMTEvMDcvMjAyNi4uLlVTRC5IAQAAAEtVAAADAAAAAADaoCxrb9/eCJ60Ym5v394IN0NJUS5OQVNEQVE6TVNGVC5JUV9ET19JTlZFU1RfQ0YuMTAwMC4xMS8wNy8yMDI2Li4uVVNELkgBAAAAS1UAAAMAAAAAANqgLGtv394InrRibm/f3gg1Q0lRLk5BU0RBUTpNU0ZULklRX0xFVkVSRURfRkNGLjk5OC4xMS8wNy8yMDI2Li4uVVNELkgBAAAAS1UAAAIAAAAFNDcyNjkBCAAAAAUAAAABMQEAAAALLTE5MzQyNTQyNTADAAAAAzE2MAIAAAAENDQyMgQAAAABMAcAAAAJNy8xMS8yMDI2CAAAAAk2LzMwLzIwMjMJAAAAATDaoCxrb9/eCJ60Ym5v394IO0NJUS5OQVNEQVE6TVNGVC5JUV9DQVNIX1RBWEVTX0lOVkVTVC45OTcuMTEvMDcvMjAyNi4uLlVTRC5IAQAAAEtVAAADAAAAAADaoCxrb9/eCJ60Ym5v394IPENJUS5OQVNEQVE6TVNGVC5JUV9ESVNUUklCVVRBQkxFX0NBU0guOTk4LjExLzA3LzIwMjYu</t>
  </si>
  <si>
    <t>Li5VU0QuSAEAAABLVQAAAwAAAAAA2qAsa2/f3gjnoGJub9/eCD1DSVEuTkFTREFROk1TRlQuSVFfTk9OQ0FTSF9QRU5TSU9OX0VYUC45OTQuMTEvMDcvMjAyNi4uLlVTRC5IAQAAAEtVAAADAAAAAADaoCxrb9/eCOegYm5v394ITENJUS5OQVNEQVE6TVNGVC5JUV9JTlRFUkVTVF9FWFBfTEVBU0VfTElBQklMSVRZX0RFQlQuMTAwMC4xMS8wNy8yMDI2Li4uVVNELkgBAAAAS1UAAAIAAAAEMTQxNwEIAAAABQAAAAExAQAAAAstMTkzNDI1NDIxNgMAAAADMTYwAgAAAAU0ODkwNwQAAAABMAcAAAAJNy8xMS8yMDI2CAAAAAk2LzMwLzIwMjUJAAAAATDaoCxrb9/eCJ60Ym5v394IPkNJUS5OQVNEQVE6TVNGVC5JUV9DQVBJVEFMSVpFRF9JTlRFUkVTVC45OTYuMTEvMDcvMjAyNi4uLlVTRC5IAQAAAEtVAAADAAAAAADaoCxrb9/eCJ60Ym5v394IQ0NJUS5OQVNEQVE6TVNGVC5JUV9OT05SRUNVUlJJTkdfSU5DT01FX1RBWEVTLjk5Ni4xMS8wNy8yMDI2Li4uVVNELkgBAAAAS1UAAAMAAAAAANqgLGtv394InrRibm/f3gg4Q0lRLk5BU0RBUTpNU0ZULklRX0FJUkNSQUZUX1JFTlQuMTAwMC4xMS8wNy8yMDI2Li4uVVNELkgBAAAAS1UAAAMAAAAAANqgLGtv394I56Bibm/f3gg2Q0lRLk5BU0RBUTpNU0ZULklRX09USEVSX1JFTlRBTC45OTQuMTEvMDcvMjAyNi4uLlVTRC5IAQAAAEtVAAADAAAAAADaoCxrb9/eCOeg</t>
  </si>
  <si>
    <t>Ym5v394IOENJUS5OQVNEQVE6TVNGVC5JUV9ORVRfUkVOVEFMX0VYUC45OTYuMTEvMDcvMjAyNi4uLlVTRC5IAQAAAEtVAAADAAAAAADaoCxrb9/eCOegYm5v394IOUNJUS5OQVNEQVE6TVNGVC5JUV9TQUxFU19NQVJLRVRJTkcuOTk4LjExLzA3LzIwMjYuLi5VU0QuSAEAAABLVQAAAgAAAAUyMjc1OQEIAAAABQAAAAExAQAAAAstMTkzNDI1NDI1MAMAAAADMTYwAgAAAAUyMTU2MQQAAAABMAcAAAAJNy8xMS8yMDI2CAAAAAk2LzMwLzIwMjMJAAAAATDaoCxrb9/eCOegYm5v394ILkNJUS5OQVNEQVE6TVNGVC5JUV9ESUMuMTAwMC4xMS8wNy8yMDI2Li4uVVNELkgBAAAAS1UAAAMAAAAAANqgLGtv394I56Bibm/f3gg9Q0lRLk5BU0RBUTpNU0ZULklRX0xFR0FMX1NFVFRMRV9TVVBQTEUuOTk0LjExLzA3LzIwMjYuLi5VU0QuSAEAAABLVQAAAwAAAAAA2qAsa2/f3gileWJub9/eCEJDSVEuTkFTREFROk1TRlQuSVFfR0FJTl9CQVJHQUlOX0FDUV9TVVBQTEUuMTAwMC4xMS8wNy8yMDI2Li4uVVNELkgBAAAAS1UAAAMAAAAAANqgLGtv394IpXlibm/f3gg6Q0lRLk5BU0RBUTpNU0ZULklRX0dBSU5fQkFSR0FJTl9BQ1EuOTk0LjExLzA3LzIwMjYuLi5VU0QuSAEAAABLVQAAAwAAAAAA2qAsa2/f3gileWJub9/eCDdDSVEuTkFTREFROk1TRlQuSVFfTUVSR0VSX1NVUFBMRS45OTYuMTEvMDcvMjAyNi4uLlVTRC5I</t>
  </si>
  <si>
    <t>AQAAAEtVAAADAAAAAADaoCxrb9/eCKV5Ym5v394IQkNJUS5OQVNEQVE6TVNGVC5JUV9JTVBVVF9PUEVSX0xFQVNFX0lOVF9FWFAuOTk4LjExLzA3LzIwMjYuLi5VU0QuSAEAAABLVQAAAgAAAAc1ODEuMzk0AQgAAAAFAAAAATEBAAAACy0xOTM0MjU0MjUwAwAAAAMxNjACAAAABTIxNjcyBAAAAAEwBwAAAAk3LzExLzIwMjYIAAAACTYvMzAvMjAyMwkAAAABMNqgLGtv394IpXlibm/f3gg7Q0lRLk5BU0RBUTpNU0ZULklRX1NUT0NLX0JBU0VEX1RPVEFMLjk5NC4xMS8wNy8yMDI2Li4uVVNELkgBAAAAS1UAAAIAAAAENDY1MgEIAAAABQAAAAExAQAAAAstMjE0MDk4MTQ2OQMAAAADMTYwAgAAAAUyNDAzNAQAAAABMAcAAAAJNy8xMS8yMDI2CAAAAAk2LzMwLzIwMTkJAAAAATDaoCxrb9/eCKV5Ym5v394IPENJUS5OQVNEQVE6TVNGVC5JUV9TVE9DS19CQVNFRF9PVEhFUi4xMDAwLjExLzA3LzIwMjYuLi5VU0QuSAEAAABLVQAAAgAAAAUxMTk3NAEIAAAABQAAAAExAQAAAAstMTkzNDI1NDIxNgMAAAADMTYwAgAAAAUyMjY3NgQAAAABMAcAAAAJNy8xMS8yMDI2CAAAAAk2LzMwLzIwMjUJAAAAATDaoCxrb9/eCKV5Ym5v394IOUNJUS5OQVNEQVE6TVNGVC5JUV9TVE9DS19CQVNFRF9TR0EuOTk2LjExLzA3LzIwMjYuLi5VU0QuSAEAAABLVQAAAwAAAAAA2qAsa2/f3gileWJub9/eCDhDSVEuTkFTREFROk1TRlQu</t>
  </si>
  <si>
    <t>SVFfU1RPQ0tfQkFTRURfUkQuOTk2LjExLzA3LzIwMjYuLi5VU0QuSAEAAABLVQAAAwAAAAAA2qAsa2/f3gileWJub9/eCD5DSVEuTkFTREFROk1TRlQuSVFfVE9UQUxfVU5VU1VBTF9TVVBQTEUuOTk4LjExLzA3LzIwMjYuLi5VU0QuSAEAAABLVQAAAwAAAAAA2qAsa2/f3gileWJub9/eCDRDSVEuTkFTREFROk1TRlQuSVFfT0lMX0lNUEFJUi45OTQuMTEvMDcvMjAyNi4uLlVTRC5IAQAAAEtVAAADAAAAAADaoCxrb9/eCGVlYm5v394INkNJUS5OQVNEQVE6TVNGVC5JUV9EQV9TVVBQTF9DRi4xMDAwLjExLzA3LzIwMjYuLi5VU0QuSAEAAABLVQAAAgAAAAUyMjAwMAEIAAAABQAAAAExAQAAAAstMTkzNDI1NDIxNgMAAAADMTYwAgAAAAQyMTcxBAAAAAEwBwAAAAk3LzExLzIwMjYIAAAACTYvMzAvMjAyNQkAAAABMNqgLGtv394IZWVibm/f3gg6Q0lRLk5BU0RBUTpNU0ZULklRX1NUT0NLX0JBU0VEX0NPTVAuOTk2LjExLzA3LzIwMjYuLi5VU0QuSAEAAABLVQAAAgAAAAQ1MDUzANqgLGtv394IpXlibm/f3ghAQ0lRLk5BU0RBUTpNU0ZULklRX1NUT0NLX09QVElPTlNfQ09NUF9UQVguOTk4LjExLzA3LzIwMjYuLi5VU0QuSAEAAABLVQAAAwAAAAAA2qAsa2/f3gileWJub9/eCD5DSVEuTkFTREFROk1TRlQuSVFfUkVTVFJfU1RPQ0tfQ09NUF9UQVguOTk4LjExLzA3LzIwMjYuLi5VU0QuSAEAAABLVQAAAwAA</t>
  </si>
  <si>
    <t>AAAA2qAsa2/f3gileWJub9/eCDpDSVEuTkFTREFROk1TRlQuSVFfQ0hBTkdFX0lOVkVOVE9SWS45OTcuMTEvMDcvMjAyNi4uLlVTRC5IAQAAAEtVAAACAAAABS0xMTIzAQgAAAAFAAAAATEBAAAACy0xOTg1OTMxMjI0AwAAAAMxNjACAAAABDIwOTkEAAAAATAHAAAACTcvMTEvMjAyNggAAAAJNi8zMC8yMDIyCQAAAAEw2qAsa2/f3ghlZWJub9/eCD9DSVEuTkFTREFROk1TRlQuSVFfQ0hBTkdFX1RSQURJTkdfQVNTRVRTLjk5NS4xMS8wNy8yMDI2Li4uVVNELkgBAAAAS1UAAAMAAAAAANqgLGtv394IZWVibm/f3gg3Q0lRLk5BU0RBUTpNU0ZULklRX0lOQ19FUVVJVFlfQ0YuOTk2LjExLzA3LzIwMjYuLi5VU0QuSAEAAABLVQAAAwAAAAAA2qAsa2/f3ghlZWJub9/eCDhDSVEuTkFTREFROk1TRlQuSVFfR0FJTl9JTlZFU1RfQ0YuOTk4LjExLzA3LzIwMjYuLi5VU0QuSAEAAABLVQAAAgAAAAMxOTYBCAAAAAUAAAABMQEAAAALLTE5MzQyNTQyNTADAAAAAzE2MAIAAAAEMjA5MAQAAAABMAcAAAAJNy8xMS8yMDI2CAAAAAk2LzMwLzIwMjMJAAAAATDaoCxrb9/eCGVlYm5v394IMENJUS5OQVNEQVE6TVNGVC5JUV9EQV9DRi4xMDAwLjExLzA3LzIwMjYuLi5VU0QuSAEAAABLVQAAAgAAAAUyODAwMAEIAAAABQAAAAExAQAAAAstMTkzNDI1NDIxNgMAAAADMTYwAgAAAAQyMTYwBAAAAAEwBwAAAAk3LzExLzIwMjYI</t>
  </si>
  <si>
    <t>AAAACTYvMzAvMjAyNQkAAAABMO+0LGtv394IZWVibm/f3gg2Q0lRLk5BU0RBUTpNU0ZULklRX0NBU0hfSU5WRVNULjEwMDAuMTEvMDcvMjAyNi4uLlVTRC5IAQAAAEtVAAACAAAABi03MjU5OQEIAAAABQAAAAExAQAAAAstMTkzNDI1NDIxNgMAAAADMTYwAgAAAAQyMDA1BAAAAAEwBwAAAAk3LzExLzIwMjYIAAAACTYvMzAvMjAyNQkAAAABMO+0LGtv394IMlFibm/f3gg5Q0lRLk5BU0RBUTpNU0ZULklRX0lOVkVTVF9MT0FOU19DRi45OTkuMTEvMDcvMjAyNi4uLlVTRC5IAQAAAEtVAAADAAAAAADvtCxrb9/eCDJRYm5v394IN0NJUS5OQVNEQVE6TVNGVC5JUV9TQUxFX0lOVEFOX0NGLjk5Ny4xMS8wNy8yMDI2Li4uVVNELkgBAAAAS1UAAAMAAAAAAO+0LGtv394IMlFibm/f3ggzQ0lRLk5BU0RBUTpNU0ZULklRX0RJVkVTVF9DRi45OTUuMTEvMDcvMjAyNi4uLlVTRC5IAQAAAEtVAAADAAAAAADvtCxrb9/eCDJRYm5v394IO0NJUS5OQVNEQVE6TVNGVC5JUV9DSEFOR0VfVU5FQVJOX1JFVi45OTguMTEvMDcvMjAyNi4uLlVTRC5IAQAAAEtVAAACAAAABDU1MzUBCAAAAAUAAAABMQEAAAALLTE5MzQyNTQyNTADAAAAAzE2MAIAAAAEMjEzOQQAAAABMAcAAAAJNy8xMS8yMDI2CAAAAAk2LzMwLzIwMjMJAAAAATDvtCxrb9/eCDJRYm5v394IRkNJUS5OQVNEQVE6TVNGVC5JUV9EQV9TVVBQTF9DRl9FWENMX09Q</t>
  </si>
  <si>
    <t>RVJfTEVBU0VTLjk5NS4xMS8wNy8yMDI2Li4uVVNELkgBAAAAS1UAAAIAAAAFMTA3MDABCAAAAAUAAAABMQEAAAALLTIwODc0OTY2MjcDAAAAAzE2MAIAAAAFNDg5ODMEAAAAATAHAAAACTcvMTEvMjAyNggAAAAJNi8zMC8yMDIwCQAAAAEw77Qsa2/f3gjDKWJub9/eCDRDSVEuTkFTREFROk1TRlQuSVFfREVQUkVfU1VQUC45OTYuMTEvMDcvMjAyNi4uLlVTRC5IAQAAAEtVAAACAAAABDkzMDABCAAAAAUAAAABMQEAAAALLTIwMzY4NDM4NDMDAAAAAzE2MAIAAAAEMjE0MwQAAAABMAcAAAAJNy8xMS8yMDI2CAAAAAk2LzMwLzIwMjEJAAAAATDvtCxrb9/eCMMpYm5v394IOENJUS5OQVNEQVE6TVNGVC5JUV9NSVNDX0FESlVTVF9DRi45OTYuMTEvMDcvMjAyNi4uLlVTRC5IAQAAAEtVAAADAAAAAADvtCxrb9/eCMMpYm5v394IO0NJUS5OQVNEQVE6TVNGVC5JUV9UT1RBTF9ESVZfUEFJRF9DRi45OTYuMTEvMDcvMjAyNi4uLlVTRC5IAQAAAEtVAAACAAAABi0xNjUyMQEIAAAABQAAAAExAQAAAAstMjAzNjg0Mzg0MwMAAAADMTYwAgAAAAQyMDIyBAAAAAEwBwAAAAk3LzExLzIwMjYIAAAACTYvMzAvMjAyMQkAAAABMO+0LGtv394Iwylibm/f3gg1Q0lRLk5BU0RBUTpNU0ZULklRX1BSRUZfSVNTVUVELjk5Ny4xMS8wNy8yMDI2Li4uVVNELkgBAAAAS1UAAAMAAAAAAO+0LGtv394IMlFibm/f3ghDQ0lRLk5BU0RB</t>
  </si>
  <si>
    <t>UTpNU0ZULklRX05PTlJFQ1VSUklOR19JTkNPTUVfVEFYRVMuOTk1LjExLzA3LzIwMjYuLi5VU0QuSAEAAABLVQAAAwAAAAAA77Qsa2/f3gjDKWJub9/eCExDSVEuTkFTREFROk1TRlQuSVFfTE9OR19URVJNX0RFQlRfUkVQQUlEX0VYQ0xfTEVBU0VTLjEwMDAuMTEvMDcvMjAyNi4uLlVTRC5IAQAAAEtVAAACAAAABS0zMjE2AQgAAAAFAAAAATEBAAAACy0xOTM0MjU0MjE2AwAAAAMxNjACAAAABTQ4OTg0BAAAAAEwBwAAAAk3LzExLzIwMjYIAAAACTYvMzAvMjAyNQkAAAABMO+0LGtv394Iwylibm/f3gg2Q0lRLk5BU0RBUTpNU0ZULklRX0RPX0lOVkVTVF9DRi45OTkuMTEvMDcvMjAyNi4uLlVTRC5IAQAAAEtVAAADAAAAAADvtCxrb9/eCMMpYm5v394INUNJUS5OQVNEQVE6TVNGVC5JUV9MRVZFUkVEX0ZDRi45OTcuMTEvMDcvMjAyNi4uLlVTRC5IAQAAAEtVAAACAAAABTQ5NDc5AQgAAAAFAAAAATEBAAAACy0xOTg1OTMxMjI0AwAAAAMxNjACAAAABDQ0MjIEAAAAATAHAAAACTcvMTEvMjAyNggAAAAJNi8zMC8yMDIyCQAAAAEw77Qsa2/f3gjDKWJub9/eCDtDSVEuTkFTREFROk1TRlQuSVFfQ0FTSF9UQVhFU19JTlZFU1QuOTk1LjExLzA3LzIwMjYuLi5VU0QuSAEAAABLVQAAAwAAAAAA77Qsa2/f3gjDKWJub9/eCDlDSVEuTkFTREFROk1TRlQuSVFfU0FMRVNfTUFSS0VUSU5HLjk5Ny4xMS8wNy8yMDI2</t>
  </si>
  <si>
    <t>Li4uVVNELkgBAAAAS1UAAAIAAAAFMjE4MjUBCAAAAAUAAAABMQEAAAALLTE5ODU5MzEyMjQDAAAAAzE2MAIAAAAFMjE1NjEEAAAAATAHAAAACTcvMTEvMjAyNggAAAAJNi8zMC8yMDIyCQAAAAEw77Qsa2/f3gh7FWJub9/eCC1DSVEuTkFTREFROk1TRlQuSVFfRElDLjk5OS4xMS8wNy8yMDI2Li4uVVNELkgBAAAAS1UAAAMAAAAAAO+0LGtv394Iwylibm/f3ghAQ0lRLk5BU0RBUTpNU0ZULklRX0FOTlVfRElTVFJJQlVUSU9OX1VOSVQuOTk1LjExLzA3LzIwMjYuLi5VU0QuSAEAAABLVQAAAwAAAAAA77Qsa2/f3gjDKWJub9/eCDxDSVEuTkFTREFROk1TRlQuSVFfRElTVFJJQlVUQUJMRV9DQVNILjk5Ny4xMS8wNy8yMDI2Li4uVVNELkgBAAAAS1UAAAMAAAAAAO+0LGtv394Iwylibm/f3ghLQ0lRLk5BU0RBUTpNU0ZULklRX0lOVEVSRVNUX0VYUF9MRUFTRV9MSUFCSUxJVFlfREVCVC45OTkuMTEvMDcvMjAyNi4uLlVTRC5IAQAAAEtVAAACAAAAAzczNAEIAAAABQAAAAExAQAAAAstMTkzNDI1NDE4NQMAAAADMTYwAgAAAAU0ODkwNwQAAAABMAcAAAAJNy8xMS8yMDI2CAAAAAk2LzMwLzIwMjQJAAAAATDvtCxrb9/eCMMpYm5v394IN0NJUS5OQVNEQVE6TVNGVC5JUV9NRVJHRVJfU1VQUExFLjk5NS4xMS8wNy8yMDI2Li4uVVNELkgBAAAAS1UAAAMAAAAAAO+0LGtv394IexVibm/f3ghCQ0lRLk5BU0RBUTpN</t>
  </si>
  <si>
    <t>U0ZULklRX0lNUFVUX09QRVJfTEVBU0VfSU5UX0VYUC45OTcuMTEvMDcvMjAyNi4uLlVTRC5IAQAAAEtVAAACAAAACjUwMS42MzA1NTIBCAAAAAUAAAABMQEAAAALLTE5ODU5MzEyMjQDAAAAAzE2MAIAAAAFMjE2NzIEAAAAATAHAAAACTcvMTEvMjAyNggAAAAJNi8zMC8yMDIyCQAAAAEw77Qsa2/f3gh7FWJub9/eCDdDSVEuTkFTREFROk1TRlQuSVFfQUlSQ1JBRlRfUkVOVC45OTkuMTEvMDcvMjAyNi4uLlVTRC5IAQAAAEtVAAADAAAAAADvtCxrb9/eCHsVYm5v394IO0NJUS5OQVNEQVE6TVNGVC5JUV9DT05USU5HRU5UX1JFTlRBTC45OTkuMTEvMDcvMjAyNi4uLlVTRC5IAQAAAEtVAAADAAAAAADvtCxrb9/eCHsVYm5v394IOENJUS5OQVNEQVE6TVNGVC5JUV9ORVRfUkVOVEFMX0VYUC45OTUuMTEvMDcvMjAyNi4uLlVTRC5IAQAAAEtVAAADAAAAAADvtCxrb9/eCHsVYm5v394IPkNJUS5OQVNEQVE6TVNGVC5JUV9SRVNUUl9TVE9DS19DT01QX1RBWC45OTcuMTEvMDcvMjAyNi4uLlVTRC5IAQAAAEtVAAADAAAAAADvtCxrb9/eCFQBYm5v394IO0NJUS5OQVNEQVE6TVNGVC5JUV9TVE9DS19CQVNFRF9PVEhFUi45OTkuMTEvMDcvMjAyNi4uLlVTRC5IAQAAAEtVAAACAAAABTEwNzM0AQgAAAAFAAAAATEBAAAACy0xOTM0MjU0MTg1AwAAAAMxNjACAAAABTIyNjc2BAAAAAEwBwAAAAk3LzExLzIwMjYIAAAA</t>
  </si>
  <si>
    <t>CTYvMzAvMjAyNAkAAAABMO+0LGtv394IVAFibm/f3gg4Q0lRLk5BU0RBUTpNU0ZULklRX1NUT0NLX0JBU0VEX1JELjk5NS4xMS8wNy8yMDI2Li4uVVNELkgBAAAAS1UAAAMAAAAAAO+0LGtv394IVAFibm/f3gg+Q0lRLk5BU0RBUTpNU0ZULklRX1RPVEFMX1VOVVNVQUxfU1VQUExFLjk5Ny4xMS8wNy8yMDI2Li4uVVNELkgBAAAAS1UAAAMAAAAAAO+0LGtv394IVAFibm/f3ghBQ0lRLk5BU0RBUTpNU0ZULklRX0dBSU5fQkFSR0FJTl9BQ1FfU1VQUExFLjk5OS4xMS8wNy8yMDI2Li4uVVNELkgBAAAAS1UAAAMAAAAAAO+0LGtv394IexVibm/f3gg4Q0lRLk5BU0RBUTpNU0ZULklRX0dBSU5fSU5WRVNUX0NGLjk5Ny4xMS8wNy8yMDI2Li4uVVNELkgBAAAAS1UAAAIAAAAELTQwOQEIAAAABQAAAAExAQAAAAstMTk4NTkzMTIyNAMAAAADMTYwAgAAAAQyMDkwBAAAAAEwBwAAAAk3LzExLzIwMjYIAAAACTYvMzAvMjAyMgkAAAABMO+0LGtv394IIOthbm/f3gg1Q0lRLk5BU0RBUTpNU0ZULklRX09USEVSX0FNT1JULjk5Ny4xMS8wNy8yMDI2Li4uVVNELkgBAAAAS1UAAAMAAAAAAO+0LGtv394IIOthbm/f3gg1Q0lRLk5BU0RBUTpNU0ZULklRX0RBX1NVUFBMX0NGLjk5OS4xMS8wNy8yMDI2Li4uVVNELkgBAAAAS1UAAAIAAAAFMTUyMDABCAAAAAUAAAABMQEAAAALLTE5MzQyNTQxODUDAAAAAzE2MAIAAAAEMjE3</t>
  </si>
  <si>
    <t>MQQAAAABMAcAAAAJNy8xMS8yMDI2CAAAAAk2LzMwLzIwMjQJAAAAATDvtCxrb9/eCFQBYm5v394IOkNJUS5OQVNEQVE6TVNGVC5JUV9TVE9DS19CQVNFRF9DT01QLjk5NS4xMS8wNy8yMDI2Li4uVVNELkgBAAAAS1UAAAIAAAAENDM1MQDvtCxrb9/eCFQBYm5v394IPENJUS5OQVNEQVE6TVNGVC5JUV9TVE9DS19PUFRJT05TX0NPTVAuOTk1LjExLzA3LzIwMjYuLi5VU0QuSAEAAABLVQAAAwAAAAAA77Qsa2/f3ghUAWJub9/eCDtDSVEuTkFTREFROk1TRlQuSVFfQ0hBTkdFX1VORUFSTl9SRVYuOTk3LjExLzA3LzIwMjYuLi5VU0QuSAEAAABLVQAAAgAAAAQ1MTA5AQgAAAAFAAAAATEBAAAACy0xOTg1OTMxMjI0AwAAAAMxNjACAAAABDIxMzkEAAAAATAHAAAACTcvMTEvMjAyNggAAAAJNi8zMC8yMDIyCQAAAAEw77Qsa2/f3ggDr2Fub9/eCDpDSVEuTkFTREFROk1TRlQuSVFfQ0hBTkdFX0lOVkVOVE9SWS45OTUuMTEvMDcvMjAyNi4uLlVTRC5IAQAAAEtVAAACAAAAAzE2OAEIAAAABQAAAAExAQAAAAstMjA4NzQ5NjYyNwMAAAADMTYwAgAAAAQyMDk5BAAAAAEwBwAAAAk3LzExLzIwMjYIAAAACTYvMzAvMjAyMAkAAAABMO+0LGtv394IIOthbm/f3gg/Q0lRLk5BU0RBUTpNU0ZULklRX0NIQU5HRV9UUkFESU5HX0FTU0VUUy45OTQuMTEvMDcvMjAyNi4uLlVTRC5IAQAAAEtVAAADAAAAAADvtCxrb9/eCCDr</t>
  </si>
  <si>
    <t>YW5v394IPUNJUS5OQVNEQVE6TVNGVC5JUV9UQVhfQkVORUZJVF9PUFRJT05TLjk5OS4xMS8wNy8yMDI2Li4uVVNELkgBAAAAS1UAAAMAAAAAAO+0LGtv394IIOthbm/f3gg3Q0lRLk5BU0RBUTpNU0ZULklRX0lOQ19FUVVJVFlfQ0YuOTk1LjExLzA3LzIwMjYuLi5VU0QuSAEAAABLVQAAAwAAAAAA77Qsa2/f3ggg62Fub9/eCDlDSVEuTkFTREFROk1TRlQuSVFfSU5WRVNUX0xPQU5TX0NGLjk5OC4xMS8wNy8yMDI2Li4uVVNELkgBAAAAS1UAAAMAAAAAAO+0LGtv394IA69hbm/f3gg3Q0lRLk5BU0RBUTpNU0ZULklRX1NBTEVfSU5UQU5fQ0YuOTk2LjExLzA3LzIwMjYuLi5VU0QuSAEAAABLVQAAAwAAAAAA77Qsa2/f3ggDr2Fub9/eCDNDSVEuTkFTREFROk1TRlQuSVFfRElWRVNUX0NGLjk5NC4xMS8wNy8yMDI2Li4uVVNELkgBAAAAS1UAAAMAAAAAAO+0LGtv394IA69hbm/f3gg0Q0lRLk5BU0RBUTpNU0ZULklRX0NBU0hfT1BFUi4xMDAwLjExLzA3LzIwMjYuLi5VU0QuSAEAAABLVQAAAgAAAAYxMzYxNjIBCAAAAAUAAAABMQEAAAALLTE5MzQyNTQyMTYDAAAAAzE2MAIAAAAEMjAwNgQAAAABMAcAAAAJNy8xMS8yMDI2CAAAAAk2LzMwLzIwMjUJAAAAATDvtCxrb9/eCAOvYW5v394IOENJUS5OQVNEQVE6TVNGVC5JUV9DSEFOR0VfREVGX1RBWC45OTkuMTEvMDcvMjAyNi4uLlVTRC5IAQAAAEtVAAADAAAA</t>
  </si>
  <si>
    <t>AADvtCxrb9/eCAOvYW5v394INUNJUS5OQVNEQVE6TVNGVC5JUV9QUkVGX0lTU1VFRC45OTYuMTEvMDcvMjAyNi4uLlVTRC5IAQAAAEtVAAADAAAAAADvtCxrb9/eCAOvYW5v394IPENJUS5OQVNEQVE6TVNGVC5JUV9UT1RBTF9ERUJUX1JFUEFJRC4xMDAwLjExLzA3LzIwMjYuLi5VU0QuSAEAAABLVQAAAgAAAAUtODk2MgEIAAAABQAAAAExAQAAAAstMTkzNDI1NDIxNgMAAAADMTYwAgAAAAQyMTY2BAAAAAEwBwAAAAk3LzExLzIwMjYIAAAACTYvMzAvMjAyNQkAAAABMO+0LGtv394IA69hbm/f3gg5Q0lRLk5BU0RBUTpNU0ZULklRX1NUX0RFQlRfUkVQQUlELjEwMDAuMTEvMDcvMjAyNi4uLlVTRC5IAQAAAEtVAAACAAAABS01NzQ2AQgAAAAFAAAAATEBAAAACy0xOTM0MjU0MjE2AwAAAAMxNjACAAAABDIwNDQEAAAAATAHAAAACTcvMTEvMjAyNggAAAAJNi8zMC8yMDI1CQAAAAEw77Qsa2/f3ggDr2Fub9/eCDhDSVEuTkFTREFROk1TRlQuSVFfTFRfREVCVF9JU1NVRUQuOTk5LjExLzA3LzIwMjYuLi5VU0QuSAEAAABLVQAAAgAAAAUyNDM5NQEIAAAABQAAAAExAQAAAAstMTkzNDI1NDE4NQMAAAADMTYwAgAAAAQyMDM0BAAAAAEwBwAAAAk3LzExLzIwMjYIAAAACTYvMzAvMjAyNAkAAAABMO+0LGtv394IA69hbm/f3gg1Q0lRLk5BU0RBUTpNU0ZULklRX0NBU0hfSU5WRVNULjk5OS4xMS8wNy8yMDI2Li4u</t>
  </si>
  <si>
    <t>VVNELkgBAAAAS1UAAAIAAAAGLTk2OTcwAQgAAAAFAAAAATEBAAAACy0xOTM0MjU0MTg1AwAAAAMxNjACAAAABDIwMDUEAAAAATAHAAAACTcvMTEvMjAyNggAAAAJNi8zMC8yMDI0CQAAAAEw77Qsa2/f3ggDr2Fub9/eCDdDSVEuTkFTREFROk1TRlQuSVFfQU1PUlRfRElDX0NGLjEwMDAuMTEvMDcvMjAyNi4uLlVTRC5IAQAAAEtVAAADAAAAAADvtCxrb9/eCAOvYW5v394IRkNJUS5OQVNEQVE6TVNGVC5JUV9EQV9TVVBQTF9DRl9FWENMX09QRVJfTEVBU0VTLjk5NC4xMS8wNy8yMDI2Li4uVVNELkgBAAAAS1UAAAIAAAAEOTcwMAEIAAAABQAAAAExAQAAAAstMjE0MDk4MTQ2OQMAAAADMTYwAgAAAAU0ODk4MwQAAAABMAcAAAAJNy8xMS8yMDI2CAAAAAk2LzMwLzIwMTkJAAAAATDvtCxrb9/eCAOvYW5v394INENJUS5OQVNEQVE6TVNGVC5JUV9ERVBSRV9TVVBQLjk5NS4xMS8wNy8yMDI2Li4uVVNELkgBAAAAS1UAAAIAAAAFMTA3MDABCAAAAAUAAAABMQEAAAALLTIwODc0OTY2MjcDAAAAAzE2MAIAAAAEMjE0MwQAAAABMAcAAAAJNy8xMS8yMDI2CAAAAAk2LzMwLzIwMjAJAAAAATDvtCxrb9/eCAOvYW5v394IOENJUS5OQVNEQVE6TVNGVC5JUV9NSVNDX0FESlVTVF9DRi45OTUuMTEvMDcvMjAyNi4uLlVTRC5IAQAAAEtVAAADAAAAAADvtCxrb9/eCAOvYW5v394IO0NJUS5OQVNEQVE6TVNGVC5JUV9UT1RB</t>
  </si>
  <si>
    <t>TF9ESVZfUEFJRF9DRi45OTUuMTEvMDcvMjAyNi4uLlVTRC5IAQAAAEtVAAACAAAABi0xNTEzNwEIAAAABQAAAAExAQAAAAstMjA4NzQ5NjYyNwMAAAADMTYwAgAAAAQyMDIyBAAAAAEwBwAAAAk3LzExLzIwMjYIAAAACTYvMzAvMjAyMAkAAAABMO+0LGtv394IA69hbm/f3ghLQ0lRLk5BU0RBUTpNU0ZULklRX0lOVEVSRVNUX0VYUF9MRUFTRV9MSUFCSUxJVFlfREVCVC45OTguMTEvMDcvMjAyNi4uLlVTRC5IAQAAAEtVAAACAAAAAzUwMQEIAAAABQAAAAExAQAAAAstMTkzNDI1NDI1MAMAAAADMTYwAgAAAAU0ODkwNwQAAAABMAcAAAAJNy8xMS8yMDI2CAAAAAk2LzMwLzIwMjMJAAAAATDvtCxrb9/eCNtyYW5v394IOENJUS5OQVNEQVE6TVNGVC5JUV9DQVNIX1NUX0lOVkVTVC45OTguMTEvMDcvMjAyNi4uLlVTRC5IAQAAAEtVAAACAAAABjExMTI1NgEIAAAABQAAAAExAQAAAAstMTkzNDI1NDI1MAMAAAADMTYwAgAAAAQxMDAyBAAAAAEwBwAAAAk3LzExLzIwMjYIAAAACTYvMzAvMjAyMwkAAAABMO+0LGtv394I23Jhbm/f3gg2Q0lRLk5BU0RBUTpNU0ZULklRX0RPX0lOVkVTVF9DRi45OTcuMTEvMDcvMjAyNi4uLlVTRC5IAQAAAEtVAAADAAAAAADvtCxrb9/eCAOvYW5v394IPkNJUS5OQVNEQVE6TVNGVC5JUV9DQVNIX0lOVEVSRVNUX0lOVkVTVC45OTYuMTEvMDcvMjAyNi4uLlVTRC5IAQAAAEtVAAAD</t>
  </si>
  <si>
    <t>AAAAAADvtCxrb9/eCAOvYW5v394IN0NJUS5OQVNEQVE6TVNGVC5JUV9DQVNIX0lOVEVSRVNULjk5OC4xMS8wNy8yMDI2Li4uVVNELkgBAAAAS1UAAAIAAAAEMTcwMAEIAAAABQAAAAExAQAAAAstMTkzNDI1NDI1MAMAAAADMTYwAgAAAAQzMDI4BAAAAAEwBwAAAAk3LzExLzIwMjYIAAAACTYvMzAvMjAyMwkAAAABMO+0LGtv394IA69hbm/f3gg0Q0lRLk5BU0RBUTpNU0ZULklRX1JEX0VYUF9GTi4xMDAwLjExLzA3LzIwMjYuLi5VU0QuSAEAAABLVQAAAgAAAAUzMjQ4OAEIAAAABQAAAAExAQAAAAstMTkzNDI1NDIxNgMAAAADMTYwAgAAAAQzMTY4BAAAAAEwBwAAAAk3LzExLzIwMjYIAAAACTYvMzAvMjAyNQkAAAABMO+0LGtv394I23Jhbm/f3ggwQ0lRLk5BU0RBUTpNU0ZULklRX0dBX0VYUC45OTQuMTEvMDcvMjAyNi4uLlVTRC5IAQAAAEtVAAACAAAABDQ4ODUBCAAAAAUAAAABMQEAAAALLTIxNDA5ODE0NjkDAAAAAzE2MAIAAAAFMjE1NjIEAAAAATAHAAAACTcvMTEvMjAyNggAAAAJNi8zMC8yMDE5CQAAAAEw77Qsa2/f3gjbcmFub9/eCC1DSVEuTkFTREFROk1TRlQuSVFfRElDLjk5OC4xMS8wNy8yMDI2Li4uVVNELkgBAAAAS1UAAAMAAAAAAO+0LGtv394I23Jhbm/f3ghAQ0lRLk5BU0RBUTpNU0ZULklRX0FOTlVfRElTVFJJQlVUSU9OX1VOSVQuOTk0LjExLzA3LzIwMjYuLi5VU0QuSAEAAABLVQAA</t>
  </si>
  <si>
    <t>AwAAAAAA77Qsa2/f3gjbcmFub9/eCDxDSVEuTkFTREFROk1TRlQuSVFfRElTVFJJQlVUQUJMRV9DQVNILjk5Ni4xMS8wNy8yMDI2Li4uVVNELkgBAAAAS1UAAAMAAAAAAO+0LGtv394I23Jhbm/f3ghCQ0lRLk5BU0RBUTpNU0ZULklRX1NBTEFSSUVTX09USEVSX0JFTkVGSVRTLjEwMDAuMTEvMDcvMjAyNi4uLlVTRC5IAQAAAEtVAAADAAAAAADvtCxrb9/eCNtyYW5v394IQkNJUS5OQVNEQVE6TVNGVC5JUV9JTVBVVF9PUEVSX0xFQVNFX0lOVF9FWFAuOTk2LjExLzA3LzIwMjYuLi5VU0QuSAEAAABLVQAAAgAAAAo0ODIuMzUyNTUyAQgAAAAFAAAAATEBAAAACy0yMDM2ODQzODQzAwAAAAMxNjACAAAABTIxNjcyBAAAAAEwBwAAAAk3LzExLzIwMjYIAAAACTYvMzAvMjAyMQkAAAABMO+0LGtv394I23Jhbm/f3ghEQ0lRLk5BU0RBUTpNU0ZULklRX0RFUFJFQ0lBVElPTl9SRU5UQUxfQVNTRVRTLjk5Ni4xMS8wNy8yMDI2Li4uVVNELkgBAAAAS1UAAAMAAAAAAO+0LGtv394I23Jhbm/f3gg7Q0lRLk5BU0RBUTpNU0ZULklRX0NPTlRJTkdFTlRfUkVOVEFMLjk5OC4xMS8wNy8yMDI2Li4uVVNELkgBAAAAS1UAAAMAAAAAAO+0LGtv394I23Jhbm/f3gg4Q0lRLk5BU0RBUTpNU0ZULklRX05FVF9SRU5UQUxfRVhQLjk5NC4xMS8wNy8yMDI2Li4uVVNELkgBAAAAS1UAAAMAAAAAAO+0LGtv394I23Jhbm/f3gg/Q0lR</t>
  </si>
  <si>
    <t>Lk5BU0RBUTpNU0ZULklRX05FR0FUSVZFX0dXX0FNT1JUX0FULjEwMDAuMTEvMDcvMjAyNi4uLlVTRC5IAQAAAEtVAAADAAAAAADvtCxrb9/eCNtyYW5v394IPkNJUS5OQVNEQVE6TVNGVC5JUV9UT1RBTF9VTlVTVUFMX1NVUFBMRS45OTYuMTEvMDcvMjAyNi4uLlVTRC5IAQAAAEtVAAADAAAAAADvtCxrb9/eCNtyYW5v394IQUNJUS5OQVNEQVE6TVNGVC5JUV9HQUlOX0JBUkdBSU5fQUNRX1NVUFBMRS45OTguMTEvMDcvMjAyNi4uLlVTRC5IAQAAAEtVAAADAAAAAADvtCxrb9/eCNtyYW5v394IQENJUS5OQVNEQVE6TVNGVC5JUV9BU1NFVF9XUklURURPV05fU1VQUExFLjk5OC4xMS8wNy8yMDI2Li4uVVNELkgBAAAAS1UAAAMAAAAAAO+0LGtv394I23Jhbm/f3gg3Q0lRLk5BU0RBUTpNU0ZULklRX01FUkdFUl9TVVBQTEUuOTk0LjExLzA3LzIwMjYuLi5VU0QuSAEAAABLVQAAAwAAAAAA77Qsa2/f3gjbcmFub9/eCDxDSVEuTkFTREFROk1TRlQuSVFfU1RPQ0tfT1BUSU9OU19DT01QLjk5NC4xMS8wNy8yMDI2Li4uVVNELkgBAAAAS1UAAAMAAAAAAO+0LGtv394Io0thbm/f3gg+Q0lRLk5BU0RBUTpNU0ZULklRX1JFU1RSX1NUT0NLX0NPTVBfVEFYLjk5Ni4xMS8wNy8yMDI2Li4uVVNELkgBAAAAS1UAAAMAAAAAAO+0LGtv394Io0thbm/f3gg7Q0lRLk5BU0RBUTpNU0ZULklRX1NUT0NLX0JBU0VEX09USEVS</t>
  </si>
  <si>
    <t>Ljk5OC4xMS8wNy8yMDI2Li4uVVNELkgBAAAAS1UAAAIAAAAEOTYxMQEIAAAABQAAAAExAQAAAAstMTkzNDI1NDI1MAMAAAADMTYwAgAAAAUyMjY3NgQAAAABMAcAAAAJNy8xMS8yMDI2CAAAAAk2LzMwLzIwMjMJAAAAATDvtCxrb9/eCKNLYW5v394IOUNJUS5OQVNEQVE6TVNGVC5JUV9TVE9DS19CQVNFRF9TTS4xMDAwLjExLzA3LzIwMjYuLi5VU0QuSAEAAABLVQAAAwAAAAAA77Qsa2/f3gjbcmFub9/eCDhDSVEuTkFTREFROk1TRlQuSVFfU1RPQ0tfQkFTRURfUkQuOTk0LjExLzA3LzIwMjYuLi5VU0QuSAEAAABLVQAAAwAAAAAA77Qsa2/f3gjbcmFub9/eCDNDSVEuTkFTREFROk1TRlQuSVFfTE9BTlNfQ0YuMTAwMC4xMS8wNy8yMDI2Li4uVVNELkgBAAAAS1UAAAMAAAAAAO+0LGtv394Io0thbm/f3gg8Q0lRLk5BU0RBUTpNU0ZULklRX0FTU0VUX1dSSVRFRE9XTl9DRi45OTQuMTEvMDcvMjAyNi4uLlVTRC5IAQAAAEtVAAADAAAAAADvtCxrb9/eCKNLYW5v394INUNJUS5OQVNEQVE6TVNGVC5JUV9PVEhFUl9BTU9SVC45OTYuMTEvMDcvMjAyNi4uLlVTRC5IAQAAAEtVAAADAAAAAADvtCxrb9/eCKNLYW5v394INUNJUS5OQVNEQVE6TVNGVC5JUV9EQV9TVVBQTF9DRi45OTguMTEvMDcvMjAyNi4uLlVTRC5IAQAAAEtVAAACAAAABTExMDAwAQgAAAAFAAAAATEBAAAACy0xOTM0MjU0MjUwAwAAAAMxNjAC</t>
  </si>
  <si>
    <t>AAAABDIxNzEEAAAAATAHAAAACTcvMTEvMjAyNggAAAAJNi8zMC8yMDIzCQAAAAEw77Qsa2/f3gijS2Fub9/eCEJDSVEuTkFTREFROk1TRlQuSVFfU1RPQ0tfQkFTRURfQ09NUF9QUkVUQVguMTAwMC4xMS8wNy8yMDI2Li4uVVNELkgBAAAAS1UAAAIAAAAFMTE5NzQA77Qsa2/f3gijS2Fub9/eCDhDSVEuTkFTREFROk1TRlQuSVFfQ0hBTkdFX0RFRl9UQVguOTk3LjExLzA3LzIwMjYuLi5VU0QuSAEAAABLVQAAAwAAAAAA77Qsa2/f3gj0N2Fub9/eCDtDSVEuTkFTREFROk1TRlQuSVFfQ0hBTkdFX1VORUFSTl9SRVYuOTk2LjExLzA3LzIwMjYuLi5VU0QuSAEAAABLVQAAAgAAAAQ0NjMzAQgAAAAFAAAAATEBAAAACy0yMDM2ODQzODQzAwAAAAMxNjACAAAABDIxMzkEAAAAATAHAAAACTcvMTEvMjAyNggAAAAJNi8zMC8yMDIxCQAAAAEw77Qsa2/f3gj0N2Fub9/eCDpDSVEuTkFTREFROk1TRlQuSVFfQ0hBTkdFX0lOVkVOVE9SWS45OTQuMTEvMDcvMjAyNi4uLlVTRC5IAQAAAEtVAAACAAAAAzU5NwEIAAAABQAAAAExAQAAAAstMjE0MDk4MTQ2OQMAAAADMTYwAgAAAAQyMDk5BAAAAAEwBwAAAAk3LzExLzIwMjYIAAAACTYvMzAvMjAxOQkAAAABMO+0LGtv394Io0thbm/f3gg9Q0lRLk5BU0RBUTpNU0ZULklRX1RBWF9CRU5FRklUX09QVElPTlMuOTk4LjExLzA3LzIwMjYuLi5VU0QuSAEAAABLVQAAAwAAAAAA</t>
  </si>
  <si>
    <t>77Qsa2/f3gijS2Fub9/eCDdDSVEuTkFTREFROk1TRlQuSVFfSU5DX0VRVUlUWV9DRi45OTQuMTEvMDcvMjAyNi4uLlVTRC5IAQAAAEtVAAADAAAAAADvtCxrb9/eCKNLYW5v394IOENJUS5OQVNEQVE6TVNGVC5JUV9MVF9ERUJUX0lTU1VFRC45OTguMTEvMDcvMjAyNi4uLlVTRC5IAQAAAEtVAAADAAAAAADvtCxrb9/eCK4QYW5v394INUNJUS5OQVNEQVE6TVNGVC5JUV9DQVNIX0lOVkVTVC45OTguMTEvMDcvMjAyNi4uLlVTRC5IAQAAAEtVAAACAAAABi0yMjY4MAEIAAAABQAAAAExAQAAAAstMTkzNDI1NDI1MAMAAAADMTYwAgAAAAQyMDA1BAAAAAEwBwAAAAk3LzExLzIwMjYIAAAACTYvMzAvMjAyMwkAAAABMA3JLGtv394I9Ddhbm/f3gg5Q0lRLk5BU0RBUTpNU0ZULklRX0lOVkVTVF9MT0FOU19DRi45OTcuMTEvMDcvMjAyNi4uLlVTRC5IAQAAAEtVAAADAAAAAAANySxrb9/eCPQ3YW5v394IN0NJUS5OQVNEQVE6TVNGVC5JUV9TQUxFX0lOVEFOX0NGLjk5NS4xMS8wNy8yMDI2Li4uVVNELkgBAAAAS1UAAAMAAAAAAA3JLGtv394I9Ddhbm/f3ggzQ0lRLk5BU0RBUTpNU0ZULklRX0NBU0hfT1BFUi45OTkuMTEvMDcvMjAyNi4uLlVTRC5IAQAAAEtVAAACAAAABjExODU0OAEIAAAABQAAAAExAQAAAAstMTkzNDI1NDE4NQMAAAADMTYwAgAAAAQyMDA2BAAAAAEwBwAAAAk3LzExLzIwMjYIAAAACTYvMzAv</t>
  </si>
  <si>
    <t>MjAyNAkAAAABMA3JLGtv394I9Ddhbm/f3gg7Q0lRLk5BU0RBUTpNU0ZULklRX1RPVEFMX0RJVl9QQUlEX0NGLjk5NC4xMS8wNy8yMDI2Li4uVVNELkgBAAAAS1UAAAIAAAAGLTEzODExAQgAAAAFAAAAATEBAAAACy0yMTQwOTgxNDY5AwAAAAMxNjACAAAABDIwMjIEAAAAATAHAAAACTcvMTEvMjAyNggAAAAJNi8zMC8yMDE5CQAAAAEwDcksa2/f3giuEGFub9/eCDhDSVEuTkFTREFROk1TRlQuSVFfQ09NTU9OX0RJVl9DRi4xMDAwLjExLzA3LzIwMjYuLi5VU0QuSAEAAABLVQAAAgAAAAYtMjQwODIBCAAAAAUAAAABMQEAAAALLTE5MzQyNTQyMTYDAAAAAzE2MAIAAAAEMjA3NAQAAAABMAcAAAAJNy8xMS8yMDI2CAAAAAk2LzMwLzIwMjUJAAAAATANySxrb9/eCK4QYW5v394INUNJUS5OQVNEQVE6TVNGVC5JUV9QUkVGX0lTU1VFRC45OTUuMTEvMDcvMjAyNi4uLlVTRC5IAQAAAEtVAAADAAAAAAANySxrb9/eCK4QYW5v394IO0NJUS5OQVNEQVE6TVNGVC5JUV9UT1RBTF9ERUJUX1JFUEFJRC45OTkuMTEvMDcvMjAyNi4uLlVTRC5IAQAAAEtVAAACAAAABi0yOTA3MAEIAAAABQAAAAExAQAAAAstMTkzNDI1NDE4NQMAAAADMTYwAgAAAAQyMTY2BAAAAAEwBwAAAAk3LzExLzIwMjYIAAAACTYvMzAvMjAyNAkAAAABMA3JLGtv394IrhBhbm/f3gg4Q0lRLk5BU0RBUTpNU0ZULklRX1NUX0RFQlRfUkVQQUlELjk5</t>
  </si>
  <si>
    <t>OS4xMS8wNy8yMDI2Li4uVVNELkgBAAAAS1UAAAMAAAAAAA3JLGtv394IrhBhbm/f3gg3Q0lRLk5BU0RBUTpNU0ZULklRX1VOTEVWRVJFRF9GQ0YuOTk4LjExLzA3LzIwMjYuLi5VU0QuSAEAAABLVQAAAgAAAAk0ODUxNS44NzUBCAAAAAUAAAABMQEAAAALLTE5MzQyNTQyNTADAAAAAzE2MAIAAAAENDQyMwQAAAABMAcAAAAJNy8xMS8yMDI2CAAAAAk2LzMwLzIwMjMJAAAAATANySxrb9/eCK4QYW5v394IP0NJUS5OQVNEQVE6TVNGVC5JUV9DQVNIX0lOVEVSRVNUX0lOVkVTVC4xMDAwLjExLzA3LzIwMjYuLi5VU0QuSAEAAABLVQAAAwAAAAAADcksa2/f3giuEGFub9/eCDZDSVEuTkFTREFROk1TRlQuSVFfQU1PUlRfRElDX0NGLjk5OS4xMS8wNy8yMDI2Li4uVVNELkgBAAAAS1UAAAMAAAAAAA3JLGtv394IrhBhbm/f3gg4Q0lRLk5BU0RBUTpNU0ZULklRX01JU0NfQURKVVNUX0NGLjk5NC4xMS8wNy8yMDI2Li4uVVNELkgBAAAAS1UAAAMAAAAAAA3JLGtv394IrhBhbm/f3ghCQ0lRLk5BU0RBUTpNU0ZULklRX09USEVSX0ZJTkFOQ0VfQUNUX1NVUFBMLjEwMDAuMTEvMDcvMjAyNi4uLlVTRC5IAQAAAEtVAAACAAAABS0yMjkxAQgAAAAFAAAAATEBAAAACy0xOTM0MjU0MjE2AwAAAAMxNjACAAAABDIwNTAEAAAAATAHAAAACTcvMTEvMjAyNggAAAAJNi8zMC8yMDI1CQAAAAEwDcksa2/f3giuEGFub9/eCD9D</t>
  </si>
  <si>
    <t>SVEuTkFTREFROk1TRlQuSVFfRUJJVERBX0xFQVNFX0FESlVTVEVELjk5NS4xMS8wNy8yMDI2Li4uVVNELkgBAAAAS1UAAAIAAAAFNjczMDIBCAAAAAUAAAABMQEAAAALLTIwODc0OTY2MjcDAAAAAzE2MAIAAAAFNDg5OTMEAAAAATAHAAAACTcvMTEvMjAyNggAAAAJNi8zMC8yMDIwCQAAAAEwDcksa2/f3gie+mBub9/eCDBDSVEuTkFTREFROk1TRlQuSVFfRUJJVERBLjk5Ny4xMS8wNy8yMDI2Li4uVVNELkgBAAAAS1UAAAIAAAAFOTc5ODMBCAAAAAUAAAABMQEAAAALLTE5ODU5MzEyMjQDAAAAAzE2MAIAAAAENDA1MQQAAAABMAcAAAAJNy8xMS8yMDI2CAAAAAk2LzMwLzIwMjIJAAAAATANySxrb9/eCJ76YG5v394IQkNJUS5OQVNEQVE6TVNGVC5JUV9ESVNUUklCVVRBQkxFX0NBU0hfU0hBUkUuOTk5LjExLzA3LzIwMjYuLi5VU0QuSAEAAABLVQAAAwAAAAAADcksa2/f3gie+mBub9/eCDNDSVEuTkFTREFROk1TRlQuSVFfRElWX1NIQVJFLjk5OS4xMS8wNy8yMDI2Li4uVVNELkgBAAAAS1UAAAIAAAABMwEIAAAABQAAAAExAQAAAAstMTkzNDI1NDE4NQMAAAADMTYwAgAAAAQzMDU4BAAAAAEwBwAAAAk3LzExLzIwMjYIAAAACTYvMzAvMjAyNAkAAAABMA3JLGtv394IrhBhbm/f3gg4Q0lRLk5BU0RBUTpNU0ZULklRX0NBU0hfU1RfSU5WRVNULjk5Ny4xMS8wNy8yMDI2Li4uVVNELkgBAAAAS1UAAAIAAAAG</t>
  </si>
  <si>
    <t>MTA0NzQ5AQgAAAAFAAAAATEBAAAACy0xOTg1OTMxMjI0AwAAAAMxNjACAAAABDEwMDIEAAAAATAHAAAACTcvMTEvMjAyNggAAAAJNi8zMC8yMDIyCQAAAAEwDcksa2/f3giuEGFub9/eCDFDSVEuTkFTREFROk1TRlQuSVFfTklfU0ZBUy45OTcuMTEvMDcvMjAyNi4uLlVTRC5IAQAAAEtVAAADAAAAAAANySxrb9/eCM26YG5v394IP0NJUS5OQVNEQVE6TVNGVC5JUV9UT1RBTF9SRVZfQVNfUkVQT1JURUQuOTk5LjExLzA3LzIwMjYuLi5VU0QuSAEAAABLVQAAAgAAAAYyNDUxMjIBCAAAAAUAAAABMQEAAAALLTE5MzQyNTQxODUDAAAAAzE2MAIAAAADMzM5BAAAAAEwBwAAAAk3LzExLzIwMjYIAAAACTYvMzAvMjAyNAkAAAABMGg4KGtv394Invpgbm/f3ghBQ0lRLk5BU0RBUTpNU0ZULklRX0VCSVREQVJfRVFfSU5DX0VYQ0xfU0JDLjk5NS4xMS8wNy8yMDI2Li4uVVNELkgBAAAAS1UAAAIAAAAFNzI1OTEBCAAAAAUAAAABMQEAAAALLTIwODc0OTY2MjcDAAAAAzE2MAIAAAAFMjQxMzMEAAAAATAHAAAACTcvMTEvMjAyNggAAAAJNi8zMC8yMDIwCQAAAAEwaDgoa2/f3gie+mBub9/eCD9DSVEuTkFTREFROk1TRlQuSVFfRUJJVEFfRVFfSU5DX0VYQ0xfU0JDLjk5Ny4xMS8wNy8yMDI2Li4uVVNELkgBAAAAS1UAAAIAAAAFOTI4NTMBCAAAAAUAAAABMQEAAAALLTE5ODU5MzEyMjQDAAAAAzE2MAIAAAAFMjQxMzIE</t>
  </si>
  <si>
    <t>AAAAATAHAAAACTcvMTEvMjAyNggAAAAJNi8zMC8yMDIyCQAAAAEwaDgoa2/f3gie+mBub9/eCD5DSVEuTkFTREFROk1TRlQuSVFfRUJJVF9FUV9JTkNfRVhDTF9TQkMuOTk5LjExLzA3LzIwMjYuLi5VU0QuSAEAAABLVQAAAgAAAAYxMjAxNjcBCAAAAAUAAAABMQEAAAALLTE5MzQyNTQxODUDAAAAAzE2MAIAAAAFMjQxMzAEAAAAATAHAAAACTcvMTEvMjAyNggAAAAJNi8zMC8yMDI0CQAAAAEwaDgoa2/f3gie+mBub9/eCEtDSVEuTkFTREFROk1TRlQuSVFfSU5URVJFU1RfRVhQX0xFQVNFX0xJQUJJTElUWV9ERUJULjk5Ny4xMS8wNy8yMDI2Li4uVVNELkgBAAAAS1UAAAIAAAADNDI5AQgAAAAFAAAAATEBAAAACy0xOTg1OTMxMjI0AwAAAAMxNjACAAAABTQ4OTA3BAAAAAEwBwAAAAk3LzExLzIwMjYIAAAACTYvMzAvMjAyMgkAAAABMGg4KGtv394Izbpgbm/f3ggyQ0lRLk5BU0RBUTpNU0ZULklRX0RJTFVUX05JLjk5Ny4xMS8wNy8yMDI2Li4uVVNELkgBAAAAS1UAAAIAAAAFNzI3NjEBCAAAAAUAAAABMQEAAAALLTE5ODU5MzEyMjQDAAAAAzE2MAIAAAAEMzUyMgQAAAABMAcAAAAJNy8xMS8yMDI2CAAAAAk2LzMwLzIwMjIJAAAAATBoOChrb9/eCM26YG5v394IQENJUS5OQVNEQVE6TVNGVC5JUV9ERUZFUlJFRF9GT1JFSUdOX1RBWEVTLjk5OS4xMS8wNy8yMDI2Li4uVVNELkgBAAAAS1UAAAIAAAADNDMy</t>
  </si>
  <si>
    <t>AQgAAAAFAAAAATEBAAAACy0xOTM0MjU0MTg1AwAAAAMxNjACAAAABDMwNTUEAAAAATAHAAAACTcvMTEvMjAyNggAAAAJNi8zMC8yMDI0CQAAAAEwaDgoa2/f3gjNumBub9/eCDRDSVEuTkFTREFROk1TRlQuSVFfQ1VSUl9UQVhFUy45OTUuMTEvMDcvMjAyNi4uLlVTRC5IAQAAAEtVAAACAAAABDg3NDQBCAAAAAUAAAABMQEAAAALLTIwODc0OTY2MjcDAAAAAzE2MAIAAAAFMzUzODMEAAAAATAHAAAACTcvMTEvMjAyNggAAAAJNi8zMC8yMDIwCQAAAAEwaDgoa2/f3gjNumBub9/eCEFDSVEuTkFTREFROk1TRlQuSVFfRVhDSVNFX1RBWEVTX0lOQ0xfU0FMRVMuOTk1LjExLzA3LzIwMjYuLi5VU0QuSAEAAABLVQAAAwAAAAAAaDgoa2/f3gjNumBub9/eCERDSVEuTkFTREFROk1TRlQuSVFfREVQUkVDSUFUSU9OX1JFTlRBTF9BU1NFVFMuOTk1LjExLzA3LzIwMjYuLi5VU0QuSAEAAABLVQAAAwAAAAAAaDgoa2/f3gjNumBub9/eCDtDSVEuTkFTREFROk1TRlQuSVFfQ09OVElOR0VOVF9SRU5UQUwuOTk3LjExLzA3LzIwMjYuLi5VU0QuSAEAAABLVQAAAwAAAAAAaDgoa2/f3gjNumBub9/eCDNDSVEuTkFTREFROk1TRlQuSVFfUkRfRVhQX0ZOLjk5OS4xMS8wNy8yMDI2Li4uVVNELkgBAAAAS1UAAAIAAAAFMjk1MTABCAAAAAUAAAABMQEAAAALLTE5MzQyNTQxODUDAAAAAzE2MAIAAAAEMzE2OAQAAAABMAcAAAAJ</t>
  </si>
  <si>
    <t>Ny8xMS8yMDI2CAAAAAk2LzMwLzIwMjQJAAAAATBoOChrb9/eCM26YG5v394ILUNJUS5OQVNEQVE6TVNGVC5JUV9ESUMuOTk3LjExLzA3LzIwMjYuLi5VU0QuSAEAAABLVQAAAwAAAAAAQbEoa2/f3gjNumBub9/eCDxDSVEuTkFTREFROk1TRlQuSVFfRElTVFJJQlVUQUJMRV9DQVNILjk5NS4xMS8wNy8yMDI2Li4uVVNELkgBAAAAS1UAAAMAAAAAAEGxKGtv394Izbpgbm/f3gg+Q0lRLk5BU0RBUTpNU0ZULklRX05FR0FUSVZFX0dXX0FNT1JUX0FULjk5OS4xMS8wNy8yMDI2Li4uVVNELkgBAAAAS1UAAAMAAAAAAEGxKGtv394Izbpgbm/f3gg+Q0lRLk5BU0RBUTpNU0ZULklRX1RPVEFMX1VOVVNVQUxfU1VQUExFLjk5NS4xMS8wNy8yMDI2Li4uVVNELkgBAAAAS1UAAAMAAAAAAEGxKGtv394Izbpgbm/f3gg7Q0lRLk5BU0RBUTpNU0ZULklRX0lOU19TRVRUTEVfU1VQUExFLjk5NS4xMS8wNy8yMDI2Li4uVVNELkgBAAAAS1UAAAMAAAAAAEGxKGtv394Izbpgbm/f3ghAQ0lRLk5BU0RBUTpNU0ZULklRX0FTU0VUX1dSSVRFRE9XTl9TVVBQTEUuOTk3LjExLzA3LzIwMjYuLi5VU0QuSAEAAABLVQAAAwAAAAAAQbEoa2/f3gjNumBub9/eCEFDSVEuTkFTREFROk1TRlQuSVFfU0FMQVJJRVNfT1RIRVJfQkVORUZJVFMuOTk5LjExLzA3LzIwMjYuLi5VU0QuSAEAAABLVQAAAwAAAAAAQbEoa2/f3gjNumBub9/eCEFD</t>
  </si>
  <si>
    <t>SVEuTkFTREFROk1TRlQuSVFfU1RPQ0tfQkFTRURfQ09NUF9QUkVUQVguOTk5LjExLzA3LzIwMjYuLi5VU0QuSAEAAABLVQAAAgAAAAUxMDczNABBsShrb9/eCM26YG5v394IQ0NJUS5OQVNEQVE6TVNGVC5JUV9TVE9DS19PUFRJT05TX0NPTVBfUFJFVEFYLjk5OS4xMS8wNy8yMDI2Li4uVVNELkgBAAAAS1UAAAMAAAAAAEGxKGtv394Izbpgbm/f3gg+Q0lRLk5BU0RBUTpNU0ZULklRX1JFU1RSX1NUT0NLX0NPTVBfVEFYLjk5NS4xMS8wNy8yMDI2Li4uVVNELkgBAAAAS1UAAAMAAAAAAEGxKGtv394Izbpgbm/f3gg7Q0lRLk5BU0RBUTpNU0ZULklRX1NUT0NLX0JBU0VEX09USEVSLjk5Ny4xMS8wNy8yMDI2Li4uVVNELkgBAAAAS1UAAAIAAAAENzUwMgEIAAAABQAAAAExAQAAAAstMTk4NTkzMTIyNAMAAAADMTYwAgAAAAUyMjY3NgQAAAABMAcAAAAJNy8xMS8yMDI2CAAAAAk2LzMwLzIwMjIJAAAAATBBsShrb9/eCM26YG5v394IOENJUS5OQVNEQVE6TVNGVC5JUV9TVE9DS19CQVNFRF9HQS45OTcuMTEvMDcvMjAyNi4uLlVTRC5IAQAAAEtVAAADAAAAAABBsShrb9/eCM26YG5v394IMENJUS5OQVNEQVE6TVNGVC5JUV9ET19DRi4xMDAwLjExLzA3LzIwMjYuLi5VU0QuSAEAAABLVQAAAwAAAAAAQbEoa2/f3giJk2Bub9/eCD1DSVEuTkFTREFROk1TRlQuSVFfVEFYX0JFTkVGSVRfT1BUSU9OUy45OTcuMTEv</t>
  </si>
  <si>
    <t>MDcvMjAyNi4uLlVTRC5IAQAAAEtVAAADAAAAAABBsShrb9/eCImTYG5v394IMkNJUS5OQVNEQVE6TVNGVC5JUV9MT0FOU19DRi45OTkuMTEvMDcvMjAyNi4uLlVTRC5IAQAAAEtVAAADAAAAAABBsShrb9/eCImTYG5v394INUNJUS5OQVNEQVE6TVNGVC5JUV9PVEhFUl9BTU9SVC45OTUuMTEvMDcvMjAyNi4uLlVTRC5IAQAAAEtVAAADAAAAAABBsShrb9/eCImTYG5v394INUNJUS5OQVNEQVE6TVNGVC5JUV9EQV9TVVBQTF9DRi45OTcuMTEvMDcvMjAyNi4uLlVTRC5IAQAAAEtVAAACAAAABTEyNjAwAQgAAAAFAAAAATEBAAAACy0xOTg1OTMxMjI0AwAAAAMxNjACAAAABDIxNzEEAAAAATAHAAAACTcvMTEvMjAyNggAAAAJNi8zMC8yMDIyCQAAAAEwQbEoa2/f3gjNumBub9/eCDdDSVEuTkFTREFROk1TRlQuSVFfU0FMRV9JTlRBTl9DRi45OTQuMTEvMDcvMjAyNi4uLlVTRC5IAQAAAEtVAAADAAAAAABBsShrb9/eCImTYG5v394INkNJUS5OQVNEQVE6TVNGVC5JUV9TQUxFX1BQRV9DRi4xMDAwLjExLzA3LzIwMjYuLi5VU0QuSAEAAABLVQAAAwAAAAAAQbEoa2/f3giJk2Bub9/eCDNDSVEuTkFTREFROk1TRlQuSVFfQ0FTSF9PUEVSLjk5OC4xMS8wNy8yMDI2Li4uVVNELkgBAAAAS1UAAAIAAAAFODc1ODIBCAAAAAUAAAABMQEAAAALLTE5MzQyNTQyNTADAAAAAzE2MAIAAAAEMjAwNgQAAAABMAcAAAAJNy8x</t>
  </si>
  <si>
    <t>MS8yMDI2CAAAAAk2LzMwLzIwMjMJAAAAATBBsShrb9/eCImTYG5v394IOENJUS5OQVNEQVE6TVNGVC5JUV9DSEFOR0VfREVGX1RBWC45OTYuMTEvMDcvMjAyNi4uLlVTRC5IAQAAAEtVAAADAAAAAABBsShrb9/eCImTYG5v394IO0NJUS5OQVNEQVE6TVNGVC5JUV9DSEFOR0VfVU5FQVJOX1JFVi45OTUuMTEvMDcvMjAyNi4uLlVTRC5IAQAAAEtVAAACAAAABDIyMTIBCAAAAAUAAAABMQEAAAALLTIwODc0OTY2MjcDAAAAAzE2MAIAAAAEMjEzOQQAAAABMAcAAAAJNy8xMS8yMDI2CAAAAAk2LzMwLzIwMjAJAAAAATBBsShrb9/eCImTYG5v394IN0NJUS5OQVNEQVE6TVNGVC5JUV9DT01NT05fSVNTVUVELjk5Ni4xMS8wNy8yMDI2Li4uVVNELkgBAAAAS1UAAAIAAAAEMTY5MwEIAAAABQAAAAExAQAAAAstMjAzNjg0Mzg0MwMAAAADMTYwAgAAAAQyMTY5BAAAAAEwBwAAAAk3LzExLzIwMjYIAAAACTYvMzAvMjAyMQkAAAABMEGxKGtv394IQX9gbm/f3gg4Q0lRLk5BU0RBUTpNU0ZULklRX0xUX0RFQlRfUkVQQUlELjk5NS4xMS8wNy8yMDI2Li4uVVNELkgBAAAAS1UAAAIAAAAFLTU1MTgBCAAAAAUAAAABMQEAAAALLTIwODc0OTY2MjcDAAAAAzE2MAIAAAAEMjAzNgQAAAABMAcAAAAJNy8xMS8yMDI2CAAAAAk2LzMwLzIwMjAJAAAAATBBsShrb9/eCImTYG5v394IOENJUS5OQVNEQVE6TVNGVC5JUV9MVF9ERUJU</t>
  </si>
  <si>
    <t>X0lTU1VFRC45OTcuMTEvMDcvMjAyNi4uLlVTRC5IAQAAAEtVAAADAAAAAABBsShrb9/eCImTYG5v394INUNJUS5OQVNEQVE6TVNGVC5JUV9DQVNIX0lOVkVTVC45OTcuMTEvMDcvMjAyNi4uLlVTRC5IAQAAAEtVAAACAAAABi0zMDMxMQEIAAAABQAAAAExAQAAAAstMTk4NTkzMTIyNAMAAAADMTYwAgAAAAQyMDA1BAAAAAEwBwAAAAk3LzExLzIwMjYIAAAACTYvMzAvMjAyMgkAAAABMEGxKGtv394IiZNgbm/f3gg5Q0lRLk5BU0RBUTpNU0ZULklRX0lOVkVTVF9MT0FOU19DRi45OTYuMTEvMDcvMjAyNi4uLlVTRC5IAQAAAEtVAAADAAAAAABBsShrb9/eCImTYG5v394INUNJUS5OQVNEQVE6TVNGVC5JUV9ERVBSRV9TVVBQLjEwMDAuMTEvMDcvMjAyNi4uLlVTRC5IAQAAAEtVAAACAAAABTIyMDAwAQgAAAAFAAAAATEBAAAACy0xOTM0MjU0MjE2AwAAAAMxNjACAAAABDIxNDMEAAAAATAHAAAACTcvMTEvMjAyNggAAAAJNi8zMC8yMDI1CQAAAAEwQbEoa2/f3ghBf2Bub9/eCD1DSVEuTkFTREFROk1TRlQuSVFfREFfU1VQUExfUEFSVElBTF9DRi45OTYuMTEvMDcvMjAyNi4uLlVTRC5IAQAAAEtVAAADAAAAAABBsShrb9/eCEF/YG5v394IQUNJUS5OQVNEQVE6TVNGVC5JUV9PVEhFUl9GSU5BTkNFX0FDVF9TVVBQTC45OTkuMTEvMDcvMjAyNi4uLlVTRC5IAQAAAEtVAAACAAAABS0xMzA5AQgAAAAFAAAAATEB</t>
  </si>
  <si>
    <t>AAAACy0xOTM0MjU0MTg1AwAAAAMxNjACAAAABDIwNTAEAAAAATAHAAAACTcvMTEvMjAyNggAAAAJNi8zMC8yMDI0CQAAAAEwQbEoa2/f3ghBf2Bub9/eCDdDSVEuTkFTREFROk1TRlQuSVFfQ09NTU9OX0RJVl9DRi45OTkuMTEvMDcvMjAyNi4uLlVTRC5IAQAAAEtVAAACAAAABi0yMTc3MQEIAAAABQAAAAExAQAAAAstMTkzNDI1NDE4NQMAAAADMTYwAgAAAAQyMDc0BAAAAAEwBwAAAAk3LzExLzIwMjYIAAAACTYvMzAvMjAyNAkAAAABMEGxKGtv394IQX9gbm/f3gg1Q0lRLk5BU0RBUTpNU0ZULklRX1BSRUZfSVNTVUVELjk5NC4xMS8wNy8yMDI2Li4uVVNELkgBAAAAS1UAAAMAAAAAAEGxKGtv394IQX9gbm/f3gg7Q0lRLk5BU0RBUTpNU0ZULklRX1BST1ZfQkFEX0RFQlRTX0NGLjk5Ni4xMS8wNy8yMDI2Li4uVVNELkgBAAAAS1UAAAMAAAAAAEGxKGtv394Ilmtgbm/f3ghHQ0lRLk5BU0RBUTpNU0ZULklRX1RPVEFMX0RFQlRfUkVQQUlEX0VYQ0xfTEVBU0VTLjk5Ni4xMS8wNy8yMDI2Li4uVVNELkgBAAAAS1UAAAIAAAAFLTM3NTABCAAAAAUAAAABMQEAAAALLTIwMzY4NDM4NDMDAAAAAzE2MAIAAAAFNDg5ODYEAAAAATAHAAAACTcvMTEvMjAyNggAAAAJNi8zMC8yMDIxCQAAAAEwQbEoa2/f3giWa2Bub9/eCDxDSVEuTkFTREFROk1TRlQuSVFfQ0FTSF9UQVhFU19JTlZFU1QuMTAwMC4xMS8wNy8yMDI2</t>
  </si>
  <si>
    <t>Li4uVVNELkgBAAAAS1UAAAMAAAAAAEGxKGtv394Ilmtgbm/f3gg+Q0lRLk5BU0RBUTpNU0ZULklRX0NBU0hfSU5URVJFU1RfSU5WRVNULjk5OS4xMS8wNy8yMDI2Li4uVVNELkgBAAAAS1UAAAMAAAAAAEGxKGtv394Ilmtgbm/f3gg2Q0lRLk5BU0RBUTpNU0ZULklRX0FNT1JUX0RJQ19DRi45OTYuMTEvMDcvMjAyNi4uLlVTRC5IAQAAAEtVAAADAAAAAABBsShrb9/eCEF/YG5v394INUNJUS5OQVNEQVE6TVNGVC5JUV9TQUxFX1BQRV9DRi45OTYuMTEvMDcvMjAyNi4uLlVTRC5IAQAAAEtVAAADAAAAAABBsShrb9/eCExEYG5v394IOENJUS5OQVNEQVE6TVNGVC5JUV9DSEFOR0VfREVGX1RBWC45OTguMTEvMDcvMjAyNi4uLlVTRC5IAQAAAEtVAAADAAAAAABBsShrb9/eCExEYG5v394IO0NJUS5OQVNEQVE6TVNGVC5JUV9DSEFOR0VfVU5FQVJOX1JFVi45OTQuMTEvMDcvMjAyNi4uLlVTRC5IAQAAAEtVAAACAAAABDQ0NjIBCAAAAAUAAAABMQEAAAALLTIxNDA5ODE0NjkDAAAAAzE2MAIAAAAEMjEzOQQAAAABMAcAAAAJNy8xMS8yMDI2CAAAAAk2LzMwLzIwMTkJAAAAATBBsShrb9/eCExEYG5v394IO0NJUS5OQVNEQVE6TVNGVC5JUV9DSEFOR0VfSU5WRU5UT1JZLjEwMDAuMTEvMDcvMjAyNi4uLlVTRC5IAQAAAEtVAAACAAAAAzMwOQEIAAAABQAAAAExAQAAAAstMTkzNDI1NDIxNgMAAAADMTYwAgAAAAQy</t>
  </si>
  <si>
    <t>MDk5BAAAAAEwBwAAAAk3LzExLzIwMjYIAAAACTYvMzAvMjAyNQkAAAABMEGxKGtv394Ilmtgbm/f3ggzQ0lRLk5BU0RBUTpNU0ZULklRX0NIQU5HRV9BUi45OTQuMTEvMDcvMjAyNi4uLlVTRC5IAQAAAEtVAAACAAAABS0yODEyAQgAAAAFAAAAATEBAAAACy0yMTQwOTgxNDY5AwAAAAMxNjACAAAABDIwMTgEAAAAATAHAAAACTcvMTEvMjAyNggAAAAJNi8zMC8yMDE5CQAAAAEwQbEoa2/f3giWa2Bub9/eCDhDSVEuTkFTREFROk1TRlQuSVFfU1RfREVCVF9SRVBBSUQuOTk4LjExLzA3LzIwMjYuLi5VU0QuSAEAAABLVQAAAwAAAAAAQbEoa2/f3ghMRGBub9/eCDhDSVEuTkFTREFROk1TRlQuSVFfU1RfREVCVF9JU1NVRUQuOTk4LjExLzA3LzIwMjYuLi5VU0QuSAEAAABLVQAAAwAAAAAAQbEoa2/f3ghMRGBub9/eCEBDSVEuTkFTREFROk1TRlQuSVFfT1RIRVJfSU5WRVNUX0FDVF9TVVBQTC45OTQuMTEvMDcvMjAyNi4uLlVTRC5IAQAAAEtVAAADAAAAAABBsShrb9/eCExEYG5v394IPUNJUS5OQVNEQVE6TVNGVC5JUV9JTlZFU1RfU0VDVVJJVFlfQ0YuMTAwMC4xMS8wNy8yMDI2Li4uVVNELkgBAAAAS1UAAAIAAAAFLTQzODcBCAAAAAUAAAABMQEAAAALLTE5MzQyNTQyMTYDAAAAAzE2MAIAAAAEMjAyNwQAAAABMAcAAAAJNy8xMS8yMDI2CAAAAAk2LzMwLzIwMjUJAAAAATBBsShrb9/eCExEYG5v394IPUNJ</t>
  </si>
  <si>
    <t>US5OQVNEQVE6TVNGVC5JUV9TQUxFX1JFQUxfRVNUQVRFX0NGLjk5Ni4xMS8wNy8yMDI2Li4uVVNELkgBAAAAS1UAAAMAAAAAAEGxKGtv394ITERgbm/f3gg0Q0lRLk5BU0RBUTpNU0ZULklRX0NBU0hfRklOQU4uOTk4LjExLzA3LzIwMjYuLi5VU0QuSAEAAABLVQAAAgAAAAYtNDM5MzUBCAAAAAUAAAABMQEAAAALLTE5MzQyNTQyNTADAAAAAzE2MAIAAAAEMjAwNAQAAAABMAcAAAAJNy8xMS8yMDI2CAAAAAk2LzMwLzIwMjMJAAAAATBBsShrb9/eCExEYG5v394IPUNJUS5OQVNEQVE6TVNGVC5JUV9DT01NT05fUFJFRl9ESVZfQ0YuMTAwMC4xMS8wNy8yMDI2Li4uVVNELkgBAAAAS1UAAAMAAAAAAEGxKGtv394ITERgbm/f3gg1Q0lRLk5BU0RBUTpNU0ZULklRX1BSRUZfRElWX0NGLjk5NC4xMS8wNy8yMDI2Li4uVVNELkgBAAAAS1UAAAMAAAAAAEGxKGtv394ITERgbm/f3ggzQ0lRLk5BU0RBUTpNU0ZULklRX1BSRUZfUkVQLjEwMDAuMTEvMDcvMjAyNi4uLlVTRC5IAQAAAEtVAAADAAAAAABBsShrb9/eCExEYG5v394INENJUS5OQVNEQVE6TVNGVC5JUV9DT01NT05fUkVQLjk5Ni4xMS8wNy8yMDI2Li4uVVNELkgBAAAAS1UAAAIAAAAGLTI3Mzg1AQgAAAAFAAAAATEBAAAACy0yMDM2ODQzODQzAwAAAAMxNjACAAAABDIxNjQEAAAAATAHAAAACTcvMTEvMjAyNggAAAAJNi8zMC8yMDIxCQAAAAEwQbEoa2/f</t>
  </si>
  <si>
    <t>3ghMRGBub9/eCD1DSVEuTkFTREFROk1TRlQuSVFfQ0FTSF9JTlRFUkVTVF9GSU5BTi45OTQuMTEvMDcvMjAyNi4uLlVTRC5IAQAAAEtVAAADAAAAAABBsShrb9/eCCkIYG5v394IO0NJUS5OQVNEQVE6TVNGVC5JUV9DQVNIX0lOVEVSRVNUX05FVC45OTYuMTEvMDcvMjAyNi4uLlVTRC5IAQAAAEtVAAADAAAAAABBsShrb9/eCCkIYG5v394INkNJUS5OQVNEQVE6TVNGVC5JUV9BTU9SVF9ESUNfQ0YuOTk4LjExLzA3LzIwMjYuLi5VU0QuSAEAAABLVQAAAwAAAAAAQbEoa2/f3ggpCGBub9/eCDJDSVEuTkFTREFROk1TRlQuSVFfREVQX1JVQS4xMDAwLjExLzA3LzIwMjYuLi5VU0QuSAEAAABLVQAAAwAAAAAAQbEoa2/f3ggpCGBub9/eCEdDSVEuTkFTREFROk1TRlQuSVFfREVQUkVDSUFUSU9OX1JFTlRBTF9BU1NFVFNfQ0YuOTk0LjExLzA3LzIwMjYuLi5VU0QuSAEAAABLVQAAAwAAAAAAQbEoa2/f3ggpCGBub9/eCDZDSVEuTkFTREFROk1TRlQuSVFfRE9fSU5WRVNUX0NGLjk5Ni4xMS8wNy8yMDI2Li4uVVNELkgBAAAAS1UAAAMAAAAAAEGxKGtv394IKQhgbm/f3ggyQ0lRLk5BU0RBUTpNU0ZULklRX0NGX1NIQVJFLjk5Ni4xMS8wNy8yMDI2Li4uVVNELkgBAAAAS1UAAAIAAAAINy40MzU4MDIBCAAAAAUAAAABMQEAAAALLTIwMzY4NDM4NDMDAAAAAzE2MAIAAAAFNDM5MjMEAAAAATAHAAAACTcvMTEvMjAy</t>
  </si>
  <si>
    <t>NggAAAAJNi8zMC8yMDIxCQAAAAEwQbEoa2/f3ggpCGBub9/eCD5DSVEuTkFTREFROk1TRlQuSVFfQ0hBTkdFX0RFRl9UQVhfVE9UQUwuOTk4LjExLzA3LzIwMjYuLi5VU0QuSAEAAABLVQAAAgAAAAUtNjA1OQEIAAAABQAAAAExAQAAAAstMTkzNDI1NDI1MAMAAAADMTYwAgAAAAUzMDkyNAQAAAABMAcAAAAJNy8xMS8yMDI2CAAAAAk2LzMwLzIwMjMJAAAAATBBsShrb9/eCCkIYG5v394IO0NJUS5OQVNEQVE6TVNGVC5JUV9DQVNIX1RBWEVTX0lOVkVTVC45OTQuMTEvMDcvMjAyNi4uLlVTRC5IAQAAAEtVAAADAAAAAABBsShrb9/eCCkIYG5v394INUNJUS5OQVNEQVE6TVNGVC5JUV9DQVNIX1RBWEVTLjEwMDAuMTEvMDcvMjAyNi4uLlVTRC5IAQAAAEtVAAACAAAABTI4NzAwAQgAAAAFAAAAATEBAAAACy0xOTM0MjU0MjE2AwAAAAMxNjACAAAABDMwNTMEAAAAATAHAAAACTcvMTEvMjAyNggAAAAJNi8zMC8yMDI1CQAAAAEwQbEoa2/f3ggpCGBub9/eCDlDSVEuTkFTREFROk1TRlQuSVFfQ0FTSF9TVF9JTlZFU1QuMTAwMC4xMS8wNy8yMDI2Li4uVVNELkgBAAAAS1UAAAIAAAAFOTQ1NjUBCAAAAAUAAAABMQEAAAALLTE5MzQyNTQyMTYDAAAAAzE2MAIAAAAEMTAwMgQAAAABMAcAAAAJNy8xMS8yMDI2CAAAAAk2LzMwLzIwMjUJAAAAATBBsShrb9/eCCkIYG5v394IM0NJUS5OQVNEQVE6TVNGVC5JUV9TVF9J</t>
  </si>
  <si>
    <t>TlZFU1QuOTk2LjExLzA3LzIwMjYuLi5VU0QuSAEAAABLVQAAAgAAAAYxMTYwMzIBCAAAAAUAAAABMQEAAAALLTIwMzY4NDM4NDMDAAAAAzE2MAIAAAAEMTA2OQQAAAABMAcAAAAJNy8xMS8yMDI2CAAAAAk2LzMwLzIwMjEJAAAAATBBsShrb9/eCCkIYG5v394IR0NJUS5OQVNEQVE6TVNGVC5JUV9UT1RBTF9ERUJUX1JFUEFJRF9FWENMX0xFQVNFUy45OTguMTEvMDcvMjAyNi4uLlVTRC5IAQAAAEtVAAACAAAABS0yNzUwAQgAAAAFAAAAATEBAAAACy0xOTM0MjU0MjUwAwAAAAMxNjACAAAABTQ4OTg2BAAAAAEwBwAAAAk3LzExLzIwMjYIAAAACTYvMzAvMjAyMwkAAAABMEGxKGtv394IKQhgbm/f3ghNQ0lRLk5BU0RBUTpNU0ZULklRX09QRVJBVElOR19MRUFTRV9MSUFCSUxJVElFU19OT05DQVNILjk5NC4xMS8wNy8yMDI2Li4uVVNELkgBAAAAS1UAAAMAAAAAAEGxKGtv394IKQhgbm/f3ghDQ0lRLk5BU0RBUTpNU0ZULklRX09QRVJBVElOR19MRUFTRV9QQVlNRU5UUy4xMDAwLjExLzA3LzIwMjYuLi5VU0QuSAEAAABLVQAAAwAAAAAAQbEoa2/f3ggpCGBub9/eCCxDSVEuTkFTREFROk1TRlQuSVFfQUQuOTk0LjExLzA3LzIwMjYuLi5VU0QuSAEAAABLVQAAAgAAAAYtMzUzMzABCAAAAAUAAAABMQEAAAALLTIxNDA5ODE0NjkDAAAAAzE2MAIAAAAEMTA3NQQAAAABMAcAAAAJNy8xMS8yMDI2CAAAAAk2LzMw</t>
  </si>
  <si>
    <t>LzIwMTkJAAAAATBBsShrb9/eCGX0X25v394IOUNJUS5OQVNEQVE6TVNGVC5JUV9SRVNUUklDVEVEX0NBU0guOTk2LjExLzA3LzIwMjYuLi5VU0QuSAEAAABLVQAAAwAAAAAAQbEoa2/f3ghl9F9ub9/eCD9DSVEuTkFTREFROk1TRlQuSVFfRklOX0RJVl9MT0FOU19DVVJSRU5ULjk5OC4xMS8wNy8yMDI2Li4uVVNELkgBAAAAS1UAAAMAAAAAAEGxKGtv394IKQhgbm/f3gg5Q0lRLk5BU0RBUTpNU0ZULklRX1NUX05PVEVfUkVDRUlWLjEwMDAuMTEvMDcvMjAyNi4uLlVTRC5IAQAAAEtVAAADAAAAAABBsShrb9/eCCkIYG5v394INkNJUS5OQVNEQVE6TVNGVC5JUV9PVEhFUl9SRUNFSVYuOTk0LjExLzA3LzIwMjYuLi5VU0QuSAEAAABLVQAAAwAAAAAAQbEoa2/f3ggpCGBub9/eCDJDSVEuTkFTREFROk1TRlQuSVFfU1RfREVCVC4xMDAwLjExLzA3LzIwMjYuLi5VU0QuSAEAAABLVQAAAwAAAAAAQbEoa2/f3ggZzV9ub9/eCCxDSVEuTkFTREFROk1TRlQuSVFfQVAuOTk3LjExLzA3LzIwMjYuLi5VU0QuSAEAAABLVQAAAgAAAAUxOTAwMAEIAAAABQAAAAExAQAAAAstMTk4NTkzMTIyNAMAAAADMTYwAgAAAAQxMDE4BAAAAAEwBwAAAAk3LzExLzIwMjYIAAAACTYvMzAvMjAyMgkAAAABMEGxKGtv394IGc1fbm/f3gg5Q0lRLk5BU0RBUTpNU0ZULklRX09USEVSX0xUX0FTU0VUUy45OTQuMTEvMDcvMjAyNi4uLlVT</t>
  </si>
  <si>
    <t>RC5IAQAAAEtVAAACAAAABDQ5ODcBCAAAAAUAAAABMQEAAAALLTIxNDA5ODE0NjkDAAAAAzE2MAIAAAAEMTA2MAQAAAABMAcAAAAJNy8xMS8yMDI2CAAAAAk2LzMwLzIwMTkJAAAAATBBsShrb9/eCBnNX25v394IL0NJUS5OQVNEQVE6TVNGVC5JUV9BUl9MVC45OTguMTEvMDcvMjAyNi4uLlVTRC5IAQAAAEtVAAACAAAABDQ1MDABCAAAAAUAAAABMQEAAAALLTE5MzQyNTQyNTADAAAAAzE2MAIAAAAEMTA4OAQAAAABMAcAAAAJNy8xMS8yMDI2CAAAAAk2LzMwLzIwMjMJAAAAATBBsShrb9/eCGX0X25v394ILkNJUS5OQVNEQVE6TVNGVC5JUV9OUFBFLjk5OS4xMS8wNy8yMDI2Li4uVVNELkgBAAAAS1UAAAIAAAAGMTU0NTUyAQgAAAAFAAAAATEBAAAACy0xOTM0MjU0MTg1AwAAAAMxNjACAAAABDEwMDQEAAAAATAHAAAACTcvMTEvMjAyNggAAAAJNi8zMC8yMDI0CQAAAAEwQbEoa2/f3ghl9F9ub9/eCDdDSVEuTkFTREFROk1TRlQuSVFfT1RIRVJfTElBQl9MVC45OTkuMTEvMDcvMjAyNi4uLlVTRC5IAQAAAEtVAAACAAAABTMwMTk5AQgAAAAFAAAAATEBAAAACy0xOTM0MjU0MTg1AwAAAAMxNjACAAAABDEwNjIEAAAAATAHAAAACTcvMTEvMjAyNggAAAAJNi8zMC8yMDI0CQAAAAEwQbEoa2/f3ggZzV9ub9/eCDFDSVEuTkFTREFROk1TRlQuSVFfUEVOU0lPTi45OTYuMTEvMDcvMjAyNi4uLlVTRC5IAQAAAEtV</t>
  </si>
  <si>
    <t>AAADAAAAAABBsShrb9/eCBnNX25v394IO0NJUS5OQVNEQVE6TVNGVC5JUV9MT05HX1RFUk1fTEVBU0VTLjEwMDAuMTEvMDcvMjAyNi4uLlVTRC5IAQAAAEtVAAACAAAABTYwNDM3AQgAAAAFAAAAATEBAAAACy0xOTM0MjU0MjE2AwAAAAMxNjACAAAABDExODMEAAAAATAHAAAACTcvMTEvMjAyNggAAAAJNi8zMC8yMDI1CQAAAAEwQbEoa2/f3ggZzV9ub9/eCDFDSVEuTkFTREFROk1TRlQuSVFfTFRfREVCVC45OTUuMTEvMDcvMjAyNi4uLlVTRC5IAQAAAEtVAAACAAAABTU5NTc4AQgAAAAFAAAAATEBAAAACy0yMDg3NDk2NjI3AwAAAAMxNjACAAAABDEwNDkEAAAAATAHAAAACTcvMTEvMjAyNggAAAAJNi8zMC8yMDIwCQAAAAEwQbEoa2/f3ggZzV9ub9/eCD5DSVEuTkFTREFROk1TRlQuSVFfRklOX0RJVl9MSUFCX0NVUlJFTlQuOTk2LjExLzA3LzIwMjYuLi5VU0QuSAEAAABLVQAAAwAAAAAAQbEoa2/f3ggZzV9ub9/eCDFDSVEuTkFTREFROk1TRlQuSVFfUlVBX05FVC45OTUuMTEvMDcvMjAyNi4uLlVTRC5IAQAAAEtVAAADAAAAAABBsShrb9/eCBS5X25v394IPUNJUS5OQVNEQVE6TVNGVC5JUV9UT1RBTF9DT01NT05fRVFVSVRZLjk5Ni4xMS8wNy8yMDI2Li4uVVNELkgBAAAAS1UAAAIAAAAGMTQxOTg4AQgAAAAFAAAAATEBAAAACy0yMDM2ODQzODQzAwAAAAMxNjACAAAABDEwMDYEAAAAATAHAAAACTcv</t>
  </si>
  <si>
    <t>MTEvMjAyNggAAAAJNi8zMC8yMDIxCQAAAAEwQbEoa2/f3ggUuV9ub9/eCC9DSVEuTkFTREFROk1TRlQuSVFfQVBJQy4xMDAwLjExLzA3LzIwMjYuLi5VU0QuSAEAAABLVQAAAwAAAAAAQbEoa2/f3ggUuV9ub9/eCDVDSVEuTkFTREFROk1TRlQuSVFfUFJFRl9FUVVJVFkuOTk3LjExLzA3LzIwMjYuLi5VU0QuSAEAAABLVQAAAwAAAAAAQbEoa2/f3ggZzV9ub9/eCDZDSVEuTkFTREFROk1TRlQuSVFfUFJFRl9DT05WRVJULjk5NC4xMS8wNy8yMDI2Li4uVVNELkgBAAAAS1UAAAMAAAAAAEGxKGtv394IGc1fbm/f3ghQQ0lRLk5BU0RBUTpNU0ZULklRX0NVUlJFTlRfUE9SVElPTl9PUEVSX0xFQVNFX0xJQUJJTElUSUVTLjk5OC4xMS8wNy8yMDI2Li4uVVNELkgBAAAAS1UAAAIAAAAEMjQwOQEIAAAABQAAAAExAQAAAAstMTkzNDI1NDI1MAMAAAADMTYwAgAAAAU0ODM4NQQAAAABMAcAAAAJNy8xMS8yMDI2CAAAAAk2LzMwLzIwMjMJAAAAATBBsShrb9/eCCqVX25v394IQkNJUS5OQVNEQVE6TVNGVC5JUV9GSU5BTkNFX0xFQVNFU19MT05HX1RFUk0uOTk1LjExLzA3LzIwMjYuLi5VU0QuSAEAAABLVQAAAgAAAAQ4OTU2AQgAAAAFAAAAATEBAAAACy0yMDg3NDk2NjI3AwAAAAMxNjACAAAABTQ4OTkxBAAAAAEwBwAAAAk3LzExLzIwMjYIAAAACTYvMzAvMjAyMAkAAAABMEGxKGtv394IFLlfbm/f3gg/Q0lRLk5B</t>
  </si>
  <si>
    <t>U0RBUTpNU0ZULklRX0dQUEVfRVhDTF9PUEVSX0xFQVNFUy45OTkuMTEvMDcvMjAyNi4uLlVTRC5IAQAAAEtVAAACAAAABjIxMjAxMgEIAAAABQAAAAExAQAAAAstMTkzNDI1NDE4NQMAAAADMTYwAgAAAAU0ODk3NAQAAAABMAcAAAAJNy8xMS8yMDI2CAAAAAk2LzMwLzIwMjQJAAAAATB/2Chrb9/eCBS5X25v394IR0NJUS5OQVNEQVE6TVNGVC5JUV9SVUFfT1BFUkFUSU5HX0xFQVNFX0FDQ1VNX0RFUC45OTYuMTEvMDcvMjAyNi4uLlVTRC5IAQAAAEtVAAADAAAAAAB/2Chrb9/eCBS5X25v394IQkNJUS5OQVNEQVE6TVNGVC5JUV9SVUFfQ0FQSVRBTF9MRUFTRV9HUk9TUy4xMDAwLjExLzA3LzIwMjYuLi5VU0QuSAEAAABLVQAAAwAAAAAAf9goa2/f3ggUuV9ub9/eCEFDSVEuTkFTREFROk1TRlQuSVFfTUlOT1JJVFlfSU5URVJFU1RfVE9UQUwuOTk1LjExLzA3LzIwMjYuLi5VU0QuSAEAAABLVQAAAwAAAAAAf9goa2/f3ggqlV9ub9/eCDRDSVEuTkFTREFROk1TRlQuSVFfVEJWX1NIQVJFLjEwMDAuMTEvMDcvMjAyNi4uLlVTRC5IAQAAAEtVAAACAAAACTI3LjA4NzE2NwEIAAAABQAAAAExAQAAAAstMTkzNDI1NDIxNgMAAAADMTYwAgAAAAQ0MTU2BAAAAAEwBwAAAAk3LzExLzIwMjYIAAAACTYvMzAvMjAyNQkAAAABMH/YKGtv394IKpVfbm/f3ggyQ0lRLk5BU0RBUTpNU0ZULklRX0JWX1NIQVJFLjk5OC4x</t>
  </si>
  <si>
    <t>MS8wNy8yMDI2Li4uVVNELkgBAAAAS1UAAAIAAAAJMjcuNzQ3OTgxAQgAAAAFAAAAATEBAAAACy0xOTM0MjU0MjUwAwAAAAMxNjACAAAABDQwMjAEAAAAATAHAAAACTcvMTEvMjAyNggAAAAJNi8zMC8yMDIzCQAAAAEwf9goa2/f3ggqlV9ub9/eCEVDSVEuTkFTREFROk1TRlQuSVFfVE9UQUxfREVCVF9FWENMX09QRVJfTEVBU0VTLjk5Ni4xMS8wNy8yMDI2Li4uVVNELkgBAAAAS1UAAAIAAAAFNzA2ODcBCAAAAAUAAAABMQEAAAALLTIwMzY4NDM4NDMDAAAAAzE2MAIAAAAFNDg5ODIEAAAAATAHAAAACTcvMTEvMjAyNggAAAAJNi8zMC8yMDIxCQAAAAEwf9goa2/f3ggqlV9ub9/eCFJDSVEuTkFTREFROk1TRlQuSVFfRklOQU5DSU5HX09CTElHX0NVUlJFTlRfRVhDTF9PUEVSX0xFQVNFUy45OTQuMTEvMDcvMjAyNi4uLlVTRC5IAQAAAEtVAAACAAAABDU4MzMBCAAAAAUAAAABMQEAAAALLTIxNDA5ODE0NjkDAAAAAzE2MAIAAAAFNDg5ODAEAAAAATAHAAAACTcvMTEvMjAyNggAAAAJNi8zMC8yMDE5CQAAAAEwf9goa2/f3ggqlV9ub9/eCDNDSVEuTkFTREFROk1TRlQuSVFfTUFDSElORVJZLjk5OS4xMS8wNy8yMDI2Li4uVVNELkgBAAAAS1UAAAIAAAAGMTAwMzEyAQgAAAAFAAAAATEBAAAACy0xOTM0MjU0MTg1AwAAAAMxNjACAAAABDMxMTQEAAAAATAHAAAACTcvMTEvMjAyNggAAAAJNi8zMC8yMDI0CQAA</t>
  </si>
  <si>
    <t>AAEwf9goa2/f3ggqlV9ub9/eCC5DSVEuTkFTREFROk1TRlQuSVFfTEFORC45OTkuMTEvMDcvMjAyNi4uLlVTRC5IAQAAAEtVAAACAAAABDgxNjMBCAAAAAUAAAABMQEAAAALLTE5MzQyNTQxODUDAAAAAzE2MAIAAAAEMzA5OAQAAAABMAcAAAAJNy8xMS8yMDI2CAAAAAk2LzMwLzIwMjQJAAAAATB/2Chrb9/eCCqVX25v394INkNJUS5OQVNEQVE6TVNGVC5JUV9GSU5JU0hFRF9JTlYuOTk5LjExLzA3LzIwMjYuLi5VU0QuSAEAAABLVQAAAwAAAAAAf9goa2/f3ggqlV9ub9/eCDpDSVEuTkFTREFROk1TRlQuSVFfQUxMT1dfRE9VQlRfQUNDVC45OTUuMTEvMDcvMjAyNi4uLlVTRC5IAQAAAEtVAAACAAAAAzc4OAEIAAAABQAAAAExAQAAAAstMjA4NzQ5NjYyNwMAAAADMTYwAgAAAAQzMDEyBAAAAAEwBwAAAAk3LzExLzIwMjYIAAAACTYvMzAvMjAyMAkAAAABMH/YKGtv394IKpVfbm/f3gg1Q0lRLk5BU0RBUTpNU0ZULklRX1dPUktJTkdfQ0FQLjk5NS4xMS8wNy8yMDI2Li4uVVNELkgBAAAAS1UAAAIAAAAGMTA5NjA1AQgAAAAFAAAAATEBAAAACy0yMDg3NDk2NjI3AwAAAAMxNjACAAAABDQxNjUEAAAAATAHAAAACTcvMTEvMjAyNggAAAAJNi8zMC8yMDIwCQAAAAEwf9goa2/f3ggqlV9ub9/eCEBDSVEuTkFTREFROk1TRlQuSVFfTElBQklMSVRJRVNfRkFJUl9WQUxVRS45OTkuMTEvMDcvMjAyNi4uLlVTRC5I</t>
  </si>
  <si>
    <t>AQAAAEtVAAACAAAABTQzMTAwAH/YKGtv394I821fbm/f3gg5Q0lRLk5BU0RBUTpNU0ZULklRX0FTU0VUU19MRVZFTF8xLjEwMDAuMTEvMDcvMjAyNi4uLlVTRC5IAQAAAEtVAAACAAAABTU2MDY1AH/YKGtv394I821fbm/f3ghQQ0lRLk5BU0RBUTpNU0ZULklRX0xJUVVJREFUSU9OX1ZBTFVFX1BSRUZFUlJFRF9OT05fUkVERUVNLjk5Ny4xMS8wNy8yMDI2Li4uVVNELkgBAAAAS1UAAAMAAAAAAH/YKGtv394I821fbm/f3ghGQ0lRLk5BU0RBUTpNU0ZULklRX0RFRl9UQVhfVkFMVUFUSU9OX0FMTE9XQU5DRS4xMDAwLjExLzA3LzIwMjYuLi5VU0QuSAEAAABLVQAAAgAAAAQxMTY5AQgAAAAFAAAAATEBAAAACy0xOTM0MjU0MjE2AwAAAAMxNjACAAAABTQ2MDQ1BAAAAAEwBwAAAAk3LzExLzIwMjYIAAAACTYvMzAvMjAyNQkAAAABMH/YKGtv394I821fbm/f3ghAQ0lRLk5BU0RBUTpNU0ZULklRX05BVFVSQUxfUkVTT1VSQ0VTX0NPU1QuOTk5LjExLzA3LzIwMjYuLi5VU0QuSAEAAABLVQAAAwAAAAAAf9goa2/f3gjzbV9ub9/eCDRDSVEuTkFTREFROk1TRlQuSVFfQ0FTSF9GSU5BTi45OTcuMTEvMDcvMjAyNi4uLlVTRC5IAQAAAEtVAAACAAAABi01ODg3NgEIAAAABQAAAAExAQAAAAstMTk4NTkzMTIyNAMAAAADMTYwAgAAAAQyMDA0BAAAAAEwBwAAAAk3LzExLzIwMjYIAAAACTYvMzAvMjAyMgkAAAABMH/Y</t>
  </si>
  <si>
    <t>KGtv394ILlpfbm/f3gg7Q0lRLk5BU0RBUTpNU0ZULklRX1RPVEFMX0RJVl9QQUlEX0NGLjk5Ny4xMS8wNy8yMDI2Li4uVVNELkgBAAAAS1UAAAIAAAAGLTE4MTM1AQgAAAAFAAAAATEBAAAACy0xOTg1OTMxMjI0AwAAAAMxNjACAAAABDIwMjIEAAAAATAHAAAACTcvMTEvMjAyNggAAAAJNi8zMC8yMDIyCQAAAAEwf9goa2/f3gguWl9ub9/eCDJDSVEuTkFTREFROk1TRlQuSVFfUFJFRl9SRVAuOTk5LjExLzA3LzIwMjYuLi5VU0QuSAEAAABLVQAAAwAAAAAAf9goa2/f3gguWl9ub9/eCD9DSVEuTkFTREFROk1TRlQuSVFfQURWQU5DRVNfRk9SX1NVUFBMSUVTLjk5NS4xMS8wNy8yMDI2Li4uVVNELkgBAAAAS1UAAAMAAAAAAH/YKGtv394ILlpfbm/f3gg9Q0lRLk5BU0RBUTpNU0ZULklRX0xUX0RFQlRfREVSSVZBVElWRVMuOTk4LjExLzA3LzIwMjYuLi5VU0QuSAEAAABLVQAAAwAAAAAAf9goa2/f3gjzbV9ub9/eCDRDSVEuTkFTREFROk1TRlQuSVFfQ0FTSF9UQVhFUy45OTkuMTEvMDcvMjAyNi4uLlVTRC5IAQAAAEtVAAACAAAABTIzNDAwAQgAAAAFAAAAATEBAAAACy0xOTM0MjU0MTg1AwAAAAMxNjACAAAABDMwNTMEAAAAATAHAAAACTcvMTEvMjAyNggAAAAJNi8zMC8yMDI0CQAAAAEwf9goa2/f3gjQMl9ub9/eCDtDSVEuTkFTREFROk1TRlQuSVFfQ0FTSF9JTlRFUkVTVF9ORVQuOTk1LjExLzA3LzIw</t>
  </si>
  <si>
    <t>MjYuLi5VU0QuSAEAAABLVQAAAwAAAAAAf9goa2/f3gjQMl9ub9/eCDZDSVEuTkFTREFROk1TRlQuSVFfQU1PUlRfRElDX0NGLjk5Ny4xMS8wNy8yMDI2Li4uVVNELkgBAAAAS1UAAAMAAAAAAH/YKGtv394I0DJfbm/f3ggxQ0lRLk5BU0RBUTpNU0ZULklRX0RFUF9SVUEuOTk5LjExLzA3LzIwMjYuLi5VU0QuSAEAAABLVQAAAwAAAAAAf9goa2/f3gguWl9ub9/eCENDSVEuTkFTREFROk1TRlQuSVFfR1dfSU5UQU5fQU1PUlRfUEFSVElBTF9DRi45OTkuMTEvMDcvMjAyNi4uLlVTRC5IAQAAAEtVAAADAAAAAAB/2Chrb9/eCC5aX25v394IM0NJUS5OQVNEQVE6TVNGVC5JUV9TVF9JTlZFU1QuOTk1LjExLzA3LzIwMjYuLi5VU0QuSAEAAABLVQAAAgAAAAYxMjI5MTYBCAAAAAUAAAABMQEAAAALLTIwODc0OTY2MjcDAAAAAzE2MAIAAAAEMTA2OQQAAAABMAcAAAAJNy8xMS8yMDI2CAAAAAk2LzMwLzIwMjAJAAAAATB/2Chrb9/eCNAyX25v394IR0NJUS5OQVNEQVE6TVNGVC5JUV9UT1RBTF9ERUJUX1JFUEFJRF9FWENMX0xFQVNFUy45OTcuMTEvMDcvMjAyNi4uLlVTRC5IAQAAAEtVAAACAAAABS05MDIzAQgAAAAFAAAAATEBAAAACy0xOTg1OTMxMjI0AwAAAAMxNjACAAAABTQ4OTg2BAAAAAEwBwAAAAk3LzExLzIwMjYIAAAACTYvMzAvMjAyMgkAAAABMH/YKGtv394I0DJfbm/f3ghCQ0lRLk5BU0RBUTpNU0ZU</t>
  </si>
  <si>
    <t>LklRX09QRVJBVElOR19MRUFTRV9QQVlNRU5UUy45OTkuMTEvMDcvMjAyNi4uLlVTRC5IAQAAAEtVAAADAAAAAAB/2Chrb9/eCNAyX25v394IMkNJUS5OQVNEQVE6TVNGVC5JUV9DRl9TSEFSRS45OTUuMTEvMDcvMjAyNi4uLlVTRC5IAQAAAEtVAAACAAAACDUuOTQ0MDIxAQgAAAAFAAAAATEBAAAACy0yMDg3NDk2NjI3AwAAAAMxNjACAAAABTQzOTIzBAAAAAEwBwAAAAk3LzExLzIwMjYIAAAACTYvMzAvMjAyMAkAAAABMH/YKGtv394I0DJfbm/f3gg+Q0lRLk5BU0RBUTpNU0ZULklRX0NIQU5HRV9ERUZfVEFYX1RPVEFMLjk5Ny4xMS8wNy8yMDI2Li4uVVNELkgBAAAAS1UAAAIAAAAFLTU3MDIBCAAAAAUAAAABMQEAAAALLTE5ODU5MzEyMjQDAAAAAzE2MAIAAAAFMzA5MjQEAAAAATAHAAAACTcvMTEvMjAyNggAAAAJNi8zMC8yMDIyCQAAAAEwf9goa2/f3gjQMl9ub9/eCDJDSVEuTkFTREFROk1TRlQuSVFfVE9UQUxfQ0EuOTk5LjExLzA3LzIwMjYuLi5VU0QuSAEAAABLVQAAAgAAAAYxNTk3MzQBCAAAAAUAAAABMQEAAAALLTE5MzQyNTQxODUDAAAAAzE2MAIAAAAEMTAwOAQAAAABMAcAAAAJNy8xMS8yMDI2CAAAAAk2LzMwLzIwMjQJAAAAATB/2Chrb9/eCJMfX25v394IOUNJUS5OQVNEQVE6TVNGVC5JUV9SRVNUUklDVEVEX0NBU0guOTk1LjExLzA3LzIwMjYuLi5VU0QuSAEAAABLVQAAAwAAAAAAf9go</t>
  </si>
  <si>
    <t>a2/f3gjQMl9ub9/eCD9DSVEuTkFTREFROk1TRlQuSVFfRklOX0RJVl9MT0FOU19DVVJSRU5ULjk5Ny4xMS8wNy8yMDI2Li4uVVNELkgBAAAAS1UAAAMAAAAAAH/YKGtv394I0DJfbm/f3gg2Q0lRLk5BU0RBUTpNU0ZULklRX1RPVEFMX1JFQ0VJVi45OTcuMTEvMDcvMjAyNi4uLlVTRC5IAQAAAEtVAAACAAAABTUwMzYxAQgAAAAFAAAAATEBAAAACy0xOTg1OTMxMjI0AwAAAAMxNjACAAAABDEwMDEEAAAAATAHAAAACTcvMTEvMjAyNggAAAAJNi8zMC8yMDIyCQAAAAEwf9goa2/f3gjQMl9ub9/eCDhDSVEuTkFTREFROk1TRlQuSVFfQ0FTSF9TVF9JTlZFU1QuOTk5LjExLzA3LzIwMjYuLi5VU0QuSAEAAABLVQAAAgAAAAU3NTU0MwEIAAAABQAAAAExAQAAAAstMTkzNDI1NDE4NQMAAAADMTYwAgAAAAQxMDAyBAAAAAEwBwAAAAk3LzExLzIwMjYIAAAACTYvMzAvMjAyNAkAAAABMH/YKGtv394I0DJfbm/f3ggxQ0lRLk5BU0RBUTpNU0ZULklRX1NUX0RFQlQuOTk5LjExLzA3LzIwMjYuLi5VU0QuSAEAAABLVQAAAgAAAAQ2NjkzAQgAAAAFAAAAATEBAAAACy0xOTM0MjU0MTg1AwAAAAMxNjACAAAABDEwNDYEAAAAATAHAAAACTcvMTEvMjAyNggAAAAJNi8zMC8yMDI0CQAAAAEwf9goa2/f3ggxC19ub9/eCCxDSVEuTkFTREFROk1TRlQuSVFfQVAuOTk2LjExLzA3LzIwMjYuLi5VU0QuSAEAAABLVQAAAgAAAAUx</t>
  </si>
  <si>
    <t>NTE2MwEIAAAABQAAAAExAQAAAAstMjAzNjg0Mzg0MwMAAAADMTYwAgAAAAQxMDE4BAAAAAEwBwAAAAk3LzExLzIwMjYIAAAACTYvMzAvMjAyMQkAAAABMH/YKGtv394Ikx9fbm/f3gg8Q0lRLk5BU0RBUTpNU0ZULklRX0RFRl9UQVhfQVNTRVRTX0xULjEwMDAuMTEvMDcvMjAyNi4uLlVTRC5IAQAAAEtVAAACAAAABTI5MTA4AQgAAAAFAAAAATEBAAAACy0xOTM0MjU0MjE2AwAAAAMxNjACAAAABDEwMjYEAAAAATAHAAAACTcvMTEvMjAyNggAAAAJNi8zMC8yMDI1CQAAAAEwf9goa2/f3giTH19ub9/eCC9DSVEuTkFTREFROk1TRlQuSVFfQVJfTFQuOTk3LjExLzA3LzIwMjYuLi5VU0QuSAEAAABLVQAAAgAAAAQzODAwAQgAAAAFAAAAATEBAAAACy0xOTg1OTMxMjI0AwAAAAMxNjACAAAABDEwODgEAAAAATAHAAAACTcvMTEvMjAyNggAAAAJNi8zMC8yMDIyCQAAAAEwf9goa2/f3giTH19ub9/eCDNDSVEuTkFTREFROk1TRlQuSVFfTFRfSU5WRVNULjk5Ni4xMS8wNy8yMDI2Li4uVVNELkgBAAAAS1UAAAIAAAAENTk4NAEIAAAABQAAAAExAQAAAAstMjAzNjg0Mzg0MwMAAAADMTYwAgAAAAQxMDU0BAAAAAEwBwAAAAk3LzExLzIwMjYIAAAACTYvMzAvMjAyMQkAAAABMH/YKGtv394Ikx9fbm/f3gg3Q0lRLk5BU0RBUTpNU0ZULklRX09USEVSX0xJQUJfTFQuOTk3LjExLzA3LzIwMjYuLi5VU0QuSAEAAABLVQAA</t>
  </si>
  <si>
    <t>AgAAAAUyNzc1MwEIAAAABQAAAAExAQAAAAstMTk4NTkzMTIyNAMAAAADMTYwAgAAAAQxMDYyBAAAAAEwBwAAAAk3LzExLzIwMjYIAAAACTYvMzAvMjAyMgkAAAABMH/YKGtv394Ii/Vebm/f3gg6Q0lRLk5BU0RBUTpNU0ZULklRX0xPTkdfVEVSTV9MRUFTRVMuOTk5LjExLzA3LzIwMjYuLi5VU0QuSAEAAABLVQAAAgAAAAU0MDI5MwEIAAAABQAAAAExAQAAAAstMTkzNDI1NDE4NQMAAAADMTYwAgAAAAQxMTgzBAAAAAEwBwAAAAk3LzExLzIwMjYIAAAACTYvMzAvMjAyNAkAAAABMH/YKGtv394IMQtfbm/f3ggxQ0lRLk5BU0RBUTpNU0ZULklRX0xUX0RFQlQuOTk0LjExLzA3LzIwMjYuLi5VU0QuSAEAAABLVQAAAgAAAAU2NjY2MgEIAAAABQAAAAExAQAAAAstMjE0MDk4MTQ2OQMAAAADMTYwAgAAAAQxMDQ5BAAAAAEwBwAAAAk3LzExLzIwMjYIAAAACTYvMzAvMjAxOQkAAAABMH/YKGtv394IMQtfbm/f3gg8Q0lRLk5BU0RBUTpNU0ZULklRX1VORUFSTl9SRVZfQ1VSUkVOVC45OTguMTEvMDcvMjAyNi4uLlVTRC5IAQAAAEtVAAACAAAABTUwOTAxAQgAAAAFAAAAATEBAAAACy0xOTM0MjU0MjUwAwAAAAMxNjACAAAABDEwNzQEAAAAATAHAAAACTcvMTEvMjAyNggAAAAJNi8zMC8yMDIzCQAAAAEwf9goa2/f3ggxC19ub9/eCD5DSVEuTkFTREFROk1TRlQuSVFfRklOX0RJVl9MSUFCX0NVUlJFTlQuOTk1LjEx</t>
  </si>
  <si>
    <t>LzA3LzIwMjYuLi5VU0QuSAEAAABLVQAAAwAAAAAAf9goa2/f3ggxC19ub9/eCDZDSVEuTkFTREFROk1TRlQuSVFfVE9UQUxfRVFVSVRZLjk5OC4xMS8wNy8yMDI2Li4uVVNELkgBAAAAS1UAAAIAAAAGMjA2MjIzAQgAAAAFAAAAATEBAAAACy0xOTM0MjU0MjUwAwAAAAMxNjACAAAABDEyNzUEAAAAATAHAAAACTcvMTEvMjAyNggAAAAJNi8zMC8yMDIzCQAAAAEwf9goa2/f3giL9V5ub9/eCD1DSVEuTkFTREFROk1TRlQuSVFfVE9UQUxfQ09NTU9OX0VRVUlUWS45OTUuMTEvMDcvMjAyNi4uLlVTRC5IAQAAAEtVAAACAAAABjExODMwNAEIAAAABQAAAAExAQAAAAstMjA4NzQ5NjYyNwMAAAADMTYwAgAAAAQxMDA2BAAAAAEwBwAAAAk3LzExLzIwMjYIAAAACTYvMzAvMjAyMAkAAAABMH/YKGtv394Ii/Vebm/f3gguQ0lRLk5BU0RBUTpNU0ZULklRX0FQSUMuOTk5LjExLzA3LzIwMjYuLi5VU0QuSAEAAABLVQAAAwAAAAAAf9goa2/f3giL9V5ub9/eCDVDSVEuTkFTREFROk1TRlQuSVFfUFJFRl9FUVVJVFkuOTk2LjExLzA3LzIwMjYuLi5VU0QuSAEAAABLVQAAAwAAAAAAf9goa2/f3giL9V5ub9/eCDZDSVEuTkFTREFROk1TRlQuSVFfUFJFRl9SRURFRU0uMTAwMC4xMS8wNy8yMDI2Li4uVVNELkgBAAAAS1UAAAMAAAAAAH/YKGtv394Ii/Vebm/f3ghQQ0lRLk5BU0RBUTpNU0ZULklRX0NVUlJFTlRfUE9SVElP</t>
  </si>
  <si>
    <t>Tl9PUEVSX0xFQVNFX0xJQUJJTElUSUVTLjk5Ny4xMS8wNy8yMDI2Li4uVVNELkgBAAAAS1UAAAIAAAAEMjIyOAEIAAAABQAAAAExAQAAAAstMTk4NTkzMTIyNAMAAAADMTYwAgAAAAU0ODM4NQQAAAABMAcAAAAJNy8xMS8yMDI2CAAAAAk2LzMwLzIwMjIJAAAAATB/2Chrb9/eCM25Xm5v394IQkNJUS5OQVNEQVE6TVNGVC5JUV9GSU5BTkNFX0xFQVNFU19MT05HX1RFUk0uOTk0LjExLzA3LzIwMjYuLi5VU0QuSAEAAABLVQAAAgAAAAQ2MjU3AQgAAAAFAAAAATEBAAAACy0yMTQwOTgxNDY5AwAAAAMxNjACAAAABTQ4OTkxBAAAAAEwBwAAAAk3LzExLzIwMjYIAAAACTYvMzAvMjAxOQkAAAABMH/YKGtv394Izblebm/f3gg/Q0lRLk5BU0RBUTpNU0ZULklRX0dQUEVfRVhDTF9PUEVSX0xFQVNFUy45OTguMTEvMDcvMjAyNi4uLlVTRC5IAQAAAEtVAAACAAAABjE2Mzg5MgEIAAAABQAAAAExAQAAAAstMTkzNDI1NDI1MAMAAAADMTYwAgAAAAU0ODk3NAQAAAABMAcAAAAJNy8xMS8yMDI2CAAAAAk2LzMwLzIwMjMJAAAAATB/2Chrb9/eCM25Xm5v394IQUNJUS5OQVNEQVE6TVNGVC5JUV9SVUFfQ0FQSVRBTF9MRUFTRV9HUk9TUy45OTkuMTEvMDcvMjAyNi4uLlVTRC5IAQAAAEtVAAADAAAAAAB/2Chrb9/eCM25Xm5v394IMUNJUS5OQVNEQVE6TVNGVC5JUV9SVUFfTkVULjk5NC4xMS8wNy8yMDI2Li4uVVNELkgB</t>
  </si>
  <si>
    <t>AAAAS1UAAAMAAAAAAH/YKGtv394Ii/Vebm/f3gguQ0lRLk5BU0RBUTpNU0ZULklRX1RCVi4xMDAwLjExLzA3LzIwMjYuLi5VU0QuSAEAAABLVQAAAgAAAAYyMDEzNjYBCAAAAAUAAAABMQEAAAALLTE5MzQyNTQyMTYDAAAAAzE2MAIAAAAEMTMxMAQAAAABMAcAAAAJNy8xMS8yMDI2CAAAAAk2LzMwLzIwMjUJAAAAATB/2Chrb9/eCM25Xm5v394IM0NJUS5OQVNEQVE6TVNGVC5JUV9UQlZfU0hBUkUuOTk5LjExLzA3LzIwMjYuLi5VU0QuSAEAAABLVQAAAgAAAAkxNi4zNjUzNDgBCAAAAAUAAAABMQEAAAALLTE5MzQyNTQxODUDAAAAAzE2MAIAAAAENDE1NgQAAAABMAcAAAAJNy8xMS8yMDI2CAAAAAk2LzMwLzIwMjQJAAAAATB/2Chrb9/eCM25Xm5v394IMkNJUS5OQVNEQVE6TVNGVC5JUV9CVl9TSEFSRS45OTcuMTEvMDcvMjAyNi4uLlVTRC5IAQAAAEtVAAACAAAABzIyLjMxMjcBCAAAAAUAAAABMQEAAAALLTE5ODU5MzEyMjQDAAAAAzE2MAIAAAAENDAyMAQAAAABMAcAAAAJNy8xMS8yMDI2CAAAAAk2LzMwLzIwMjIJAAAAATB/2Chrb9/eCM25Xm5v394IRUNJUS5OQVNEQVE6TVNGVC5JUV9UT1RBTF9ERUJUX0VYQ0xfT1BFUl9MRUFTRVMuOTk1LjExLzA3LzIwMjYuLi5VU0QuSAEAAABLVQAAAgAAAAU3MjgyMwEIAAAABQAAAAExAQAAAAstMjA4NzQ5NjYyNwMAAAADMTYwAgAAAAU0ODk4MgQAAAABMAcA</t>
  </si>
  <si>
    <t>AAAJNy8xMS8yMDI2CAAAAAk2LzMwLzIwMjAJAAAAATB/2Chrb9/eCM25Xm5v394IPENJUS5OQVNEQVE6TVNGVC5JUV9UT1RBTF9PUEVSX0xFQVNFUy4xMDAwLjExLzA3LzIwMjYuLi5VU0QuSAEAAABLVQAAAgAAAAUyMjg2MQEIAAAABQAAAAExAQAAAAstMTkzNDI1NDIxNgMAAAADMTYwAgAAAAU0ODk3OAQAAAABMAcAAAAJNy8xMS8yMDI2CAAAAAk2LzMwLzIwMjUJAAAAATB/2Chrb9/eCM25Xm5v394IMUNJUS5OQVNEQVE6TVNGVC5JUV9SQVdfSU5WLjk5OS4xMS8wNy8yMDI2Li4uVVNELkgBAAAAS1UAAAMAAAAAAH/YKGtv394Izblebm/f3gg1Q0lRLk5BU0RBUTpNU0ZULklRX1dPUktJTkdfQ0FQLjk5NC4xMS8wNy8yMDI2Li4uVVNELkgBAAAAS1UAAAIAAAAGMTA2MTMyAQgAAAAFAAAAATEBAAAACy0yMTQwOTgxNDY5AwAAAAMxNjACAAAABDQxNjUEAAAAATAHAAAACTcvMTEvMjAyNggAAAAJNi8zMC8yMDE5CQAAAAEwf9goa2/f3gjNuV5ub9/eCEFDSVEuTkFTREFROk1TRlQuSVFfTUlOT1JJVFlfSU5URVJFU1RfVE9UQUwuOTk0LjExLzA3LzIwMjYuLi5VU0QuSAEAAABLVQAAAwAAAAAAf9goa2/f3gjNuV5ub9/eCD1DSVEuTkFTREFROk1TRlQuSVFfVE9UQUxfREVCVF9DVVJSRU5ULjEwMDAuMTEvMDcvMjAyNi4uLlVTRC5IAQAAAEtVAAACAAAABTExNTk1AQgAAAAFAAAAATEBAAAACy0xOTM0MjU0</t>
  </si>
  <si>
    <t>MjE2AwAAAAMxNjACAAAABTI1MjIzBAAAAAEwBwAAAAk3LzExLzIwMjYIAAAACTYvMzAvMjAyNQkAAAABMH/YKGtv394Izblebm/f3gg1Q0lRLk5BU0RBUTpNU0ZULklRX0NBU0hfU0hBUkUuMTAwMC4xMS8wNy8yMDI2Li4uVVNELkgBAAAAS1UAAAIAAAAINC4wNjgwNjUBCAAAAAUAAAABMQEAAAALLTE5MzQyNTQyMTYDAAAAAzE2MAIAAAAENDM4MQQAAAABMAcAAAAJNy8xMS8yMDI2CAAAAAk2LzMwLzIwMjUJAAAAATB/2Chrb9/eCM25Xm5v394IQkNJUS5OQVNEQVE6TVNGVC5JUV9NSU5PUklUWV9JTlRfUkVERUVNX1RPVC4xMDAwLjExLzA3LzIwMjYuLi5VU0QuSAEAAABLVQAAAwAAAAAAf9goa2/f3giafV5ub9/eCC1DSVEuTkFTREFROk1TRlQuSVFfQ0lQLjk5Ni4xMS8wNy8yMDI2Li4uVVNELkgBAAAAS1UAAAMAAAAAAH/YKGtv394Izblebm/f3ggzQ0lRLk5BU0RBUTpNU0ZULklRX01BQ0hJTkVSWS45OTguMTEvMDcvMjAyNi4uLlVTRC5IAQAAAEtVAAACAAAABTgxMjA3AQgAAAAFAAAAATEBAAAACy0xOTM0MjU0MjUwAwAAAAMxNjACAAAABDMxMTQEAAAAATAHAAAACTcvMTEvMjAyNggAAAAJNi8zMC8yMDIzCQAAAAEwf9goa2/f3gjNuV5ub9/eCC5DSVEuTkFTREFROk1TRlQuSVFfTEFORC45OTguMTEvMDcvMjAyNi4uLlVTRC5IAQAAAEtVAAACAAAABDU2ODMBCAAAAAUAAAABMQEAAAALLTE5MzQy</t>
  </si>
  <si>
    <t>NTQyNTADAAAAAzE2MAIAAAAEMzA5OAQAAAABMAcAAAAJNy8xMS8yMDI2CAAAAAk2LzMwLzIwMjMJAAAAATB/2Chrb9/eCM25Xm5v394INkNJUS5OQVNEQVE6TVNGVC5JUV9GSU5JU0hFRF9JTlYuOTk4LjExLzA3LzIwMjYuLi5VU0QuSAEAAABLVQAAAgAAAAQxNzY4AQgAAAAFAAAAATEBAAAACy0xOTM0MjU0MjUwAwAAAAMxNjACAAAABDMwNzUEAAAAATAHAAAACTcvMTEvMjAyNggAAAAJNi8zMC8yMDIzCQAAAAEwf9goa2/f3gjNuV5ub9/eCEBDSVEuTkFTREFROk1TRlQuSVFfTElBQklMSVRJRVNfRkFJUl9WQUxVRS45OTYuMTEvMDcvMjAyNi4uLlVTRC5IAQAAAEtVAAACAAAABTcwMzM1AH/YKGtv394Imn1ebm/f3gg9Q0lRLk5BU0RBUTpNU0ZULklRX0xJQUJJTElUSUVTX0xFVkVMXzIuOTk5LjExLzA3LzIwMjYuLi5VU0QuSAEAAABLVQAAAgAAAAU0MzA5OQB/2Chrb9/eCJp9Xm5v394IOENJUS5OQVNEQVE6TVNGVC5JUV9BU1NFVFNfTEVWRUxfMi45OTUuMTEvMDcvMjAyNi4uLlVTRC5IAQAAAEtVAAACAAAABTMxNDg2AH/YKGtv394Imn1ebm/f3ghQQ0lRLk5BU0RBUTpNU0ZULklRX0xJUVVJREFUSU9OX1ZBTFVFX1BSRUZFUlJFRF9OT05fUkVERUVNLjk5Ni4xMS8wNy8yMDI2Li4uVVNELkgBAAAAS1UAAAMAAAAAAH/YKGtv394Imn1ebm/f3ghHQ0lRLk5BU0RBUTpNU0ZULklRX0dFTkVSQUxfUEFS</t>
  </si>
  <si>
    <t>VE5FUl9DT01NT05fRVFVSVRZLjk5Ny4xMS8wNy8yMDI2Li4uVVNELkgBAAAAS1UAAAMAAAAAAH/YKGtv394Imn1ebm/f3gg2Q0lRLk5BU0RBUTpNU0ZULklRX1RPVEFMX1JFQ0VJVi45OTYuMTEvMDcvMjAyNi4uLlVTRC5IAQAAAEtVAAACAAAABTM4MDQzAQgAAAAFAAAAATEBAAAACy0yMDM2ODQzODQzAwAAAAMxNjACAAAABDEwMDEEAAAAATAHAAAACTcvMTEvMjAyNggAAAAJNi8zMC8yMDIxCQAAAAEwf9goa2/f3giafV5ub9/eCD9DSVEuTkFTREFROk1TRlQuSVFfQURWQU5DRVNfRk9SX1NVUFBMSUVTLjk5NC4xMS8wNy8yMDI2Li4uVVNELkgBAAAAS1UAAAMAAAAAAH/YKGtv394Imn1ebm/f3gg9Q0lRLk5BU0RBUTpNU0ZULklRX0xUX0RFQlRfREVSSVZBVElWRVMuOTk3LjExLzA3LzIwMjYuLi5VU0QuSAEAAABLVQAAAwAAAAAAf9goa2/f3giafV5ub9/eCDhDSVEuTkFTREFROk1TRlQuSVFfT1JERVJfQkFDS0xPRy4xMDAwLjExLzA3LzIwMjYuLi5VU0QuSAEAAABLVQAAAwAAAAAAf9goa2/f3giafV5ub9/eCDxDSVEuTkFTREFROk1TRlQuSVFfRklOX0RJVl9DQVNIX0VRVUlWLjk5Ni4xMS8wNy8yMDI2Li4uVVNELkgBAAAAS1UAAAMAAAAAAH/YKGtv394Imn1ebm/f3ggzQ0lRLk5BU0RBUTpNU0ZULklRX0xUX0lOVkVTVC45OTUuMTEvMDcvMjAyNi4uLlVTRC5IAQAAAEtVAAACAAAABDI5NjUBCAAA</t>
  </si>
  <si>
    <t>AAUAAAABMQEAAAALLTIwODc0OTY2MjcDAAAAAzE2MAIAAAAEMTA1NAQAAAABMAcAAAAJNy8xMS8yMDI2CAAAAAk2LzMwLzIwMjAJAAAAATB/2Chrb9/eCGU2Xm5v394IMkNJUS5OQVNEQVE6TVNGVC5JUV9UT1RBTF9DQS45OTguMTEvMDcvMjAyNi4uLlVTRC5IAQAAAEtVAAACAAAABjE4NDI1NwEIAAAABQAAAAExAQAAAAstMTkzNDI1NDI1MAMAAAADMTYwAgAAAAQxMDA4BAAAAAEwBwAAAAk3LzExLzIwMjYIAAAACTYvMzAvMjAyMwkAAAABMH/YKGtv394IZTZebm/f3gg5Q0lRLk5BU0RBUTpNU0ZULklRX1JFU1RSSUNURURfQ0FTSC45OTQuMTEvMDcvMjAyNi4uLlVTRC5IAQAAAEtVAAADAAAAAAB/2Chrb9/eCGU2Xm5v394IOUNJUS5OQVNEQVE6TVNGVC5JUV9MT0FOU19GT1JfU0FMRS4xMDAwLjExLzA3LzIwMjYuLi5VU0QuSAEAAABLVQAAAwAAAAAAf9goa2/f3ghlNl5ub9/eCEBDSVEuTkFTREFROk1TRlQuSVFfRklOX0RJVl9BU1NFVFNfQ1VSUkVOVC45OTQuMTEvMDcvMjAyNi4uLlVTRC5IAQAAAEtVAAADAAAAAAB/2Chrb9/eCGU2Xm5v394IMUNJUS5OQVNEQVE6TVNGVC5JUV9TVF9ERUJULjk5OC4xMS8wNy8yMDI2Li4uVVNELkgBAAAAS1UAAAMAAAAAAH/YKGtv394IZTZebm/f3ggsQ0lRLk5BU0RBUTpNU0ZULklRX0FQLjk5NS4xMS8wNy8yMDI2Li4uVVNELkgBAAAAS1UAAAIAAAAFMTI1MzAB</t>
  </si>
  <si>
    <t>CAAAAAUAAAABMQEAAAALLTIwODc0OTY2MjcDAAAAAzE2MAIAAAAEMTAxOAQAAAABMAcAAAAJNy8xMS8yMDI2CAAAAAk2LzMwLzIwMjAJAAAAATB/2Chrb9/eCGU2Xm5v394IO0NJUS5OQVNEQVE6TVNGVC5JUV9ERUZfVEFYX0FTU0VUU19MVC45OTkuMTEvMDcvMjAyNi4uLlVTRC5IAQAAAEtVAAACAAAABTIyMjcwAQgAAAAFAAAAATEBAAAACy0xOTM0MjU0MTg1AwAAAAMxNjACAAAABDEwMjYEAAAAATAHAAAACTcvMTEvMjAyNggAAAAJNi8zMC8yMDI0CQAAAAEwf9goa2/f3ghlNl5ub9/eCDlDSVEuTkFTREFROk1TRlQuSVFfTE9BTlNfUkVDRUlWX0xULjk5NC4xMS8wNy8yMDI2Li4uVVNELkgBAAAAS1UAAAMAAAAAAH/YKGtv394IZTZebm/f3ggtQ0lRLk5BU0RBUTpNU0ZULklRX0dXLjEwMDAuMTEvMDcvMjAyNi4uLlVTRC5IAQAAAEtVAAACAAAABjExOTUwOQEIAAAABQAAAAExAQAAAAstMTkzNDI1NDIxNgMAAAADMTYwAgAAAAQxMTcxBAAAAAEwBwAAAAk3LzExLzIwMjYIAAAACTYvMzAvMjAyNQkAAAABMH/YKGtv394IZTZebm/f3gg1Q0lRLk5BU0RBUTpNU0ZULklRX1BSRUZfUkVERUVNLjk5OS4xMS8wNy8yMDI2Li4uVVNELkgBAAAAS1UAAAMAAAAAAH/YKGtv394IZTZebm/f3gg0Q0lRLk5BU0RBUTpNU0ZULklRX1RPVEFMX0xJQUIuOTk0LjExLzA3LzIwMjYuLi5VU0QuSAEAAABLVQAAAgAAAAYx</t>
  </si>
  <si>
    <t>ODQyMjYBCAAAAAUAAAABMQEAAAALLTIxNDA5ODE0NjkDAAAAAzE2MAIAAAAEMTI3NgQAAAABMAcAAAAJNy8xMS8yMDI2CAAAAAk2LzMwLzIwMTkJAAAAATB/2Chrb9/eCGU2Xm5v394IOUNJUS5OQVNEQVE6TVNGVC5JUV9GSU5fRElWX0RFQlRfTFQuOTk2LjExLzA3LzIwMjYuLi5VU0QuSAEAAABLVQAAAwAAAAAAf9goa2/f3ghlNl5ub9/eCDxDSVEuTkFTREFROk1TRlQuSVFfVU5FQVJOX1JFVl9DVVJSRU5ULjk5Ny4xMS8wNy8yMDI2Li4uVVNELkgBAAAAS1UAAAIAAAAFNDU1MzgBCAAAAAUAAAABMQEAAAALLTE5ODU5MzEyMjQDAAAAAzE2MAIAAAAEMTA3NAQAAAABMAcAAAAJNy8xMS8yMDI2CAAAAAk2LzMwLzIwMjIJAAAAATB/2Chrb9/eCGU2Xm5v394IPkNJUS5OQVNEQVE6TVNGVC5JUV9GSU5fRElWX0xJQUJfQ1VSUkVOVC45OTQuMTEvMDcvMjAyNi4uLlVTRC5IAQAAAEtVAAADAAAAAAB/2Chrb9/eCGU2Xm5v394IRUNJUS5OQVNEQVE6TVNGVC5JUV9SVUFfQ0FQSVRBTF9MRUFTRV9BQ0NVTV9ERVAuOTk2LjExLzA3LzIwMjYuLi5VU0QuSAEAAABLVQAAAwAAAAAAf9goa2/f3ggeD15ub9/eCDZDSVEuTkFTREFROk1TRlQuSVFfVE9UQUxfRVFVSVRZLjk5Ny4xMS8wNy8yMDI2Li4uVVNELkgBAAAAS1UAAAIAAAAGMTY2NTQyAQgAAAAFAAAAATEBAAAACy0xOTg1OTMxMjI0AwAAAAMxNjACAAAABDEy</t>
  </si>
  <si>
    <t>NzUEAAAAATAHAAAACTcvMTEvMjAyNggAAAAJNi8zMC8yMDIyCQAAAAEwf9goa2/f3ggeD15ub9/eCD1DSVEuTkFTREFROk1TRlQuSVFfVE9UQUxfQ09NTU9OX0VRVUlUWS45OTQuMTEvMDcvMjAyNi4uLlVTRC5IAQAAAEtVAAACAAAABjEwMjMzMAEIAAAABQAAAAExAQAAAAstMjE0MDk4MTQ2OQMAAAADMTYwAgAAAAQxMDA2BAAAAAEwBwAAAAk3LzExLzIwMjYIAAAACTYvMzAvMjAxOQkAAAABMH/YKGtv394IHg9ebm/f3gguQ0lRLk5BU0RBUTpNU0ZULklRX0FQSUMuOTk4LjExLzA3LzIwMjYuLi5VU0QuSAEAAABLVQAAAwAAAAAAf9goa2/f3ggeD15ub9/eCDVDSVEuTkFTREFROk1TRlQuSVFfUFJFRl9FUVVJVFkuOTk1LjExLzA3LzIwMjYuLi5VU0QuSAEAAABLVQAAAwAAAAAAf9goa2/f3ggeD15ub9/eCDJDSVEuTkFTREFROk1TRlQuSVFfQlZfU0hBUkUuOTk2LjExLzA3LzIwMjYuLi5VU0QuSAEAAABLVQAAAgAAAAkxOC44ODM4OTQBCAAAAAUAAAABMQEAAAALLTIwMzY4NDM4NDMDAAAAAzE2MAIAAAAENDAyMAQAAAABMAcAAAAJNy8xMS8yMDI2CAAAAAk2LzMwLzIwMjEJAAAAATB/2Chrb9/eCNv6XW5v394IO0NJUS5OQVNEQVE6TVNGVC5JUV9UT1RBTF9PUEVSX0xFQVNFUy45OTkuMTEvMDcvMjAyNi4uLlVTRC5IAQAAAEtVAAACAAAABTE5MDc3AQgAAAAFAAAAATEBAAAACy0xOTM0MjU0MTg1AwAA</t>
  </si>
  <si>
    <t>AAMxNjACAAAABTQ4OTc4BAAAAAEwBwAAAAk3LzExLzIwMjYIAAAACTYvMzAvMjAyNAkAAAABMH/YKGtv394I2/pdbm/f3ghQQ0lRLk5BU0RBUTpNU0ZULklRX0NVUlJFTlRfUE9SVElPTl9PUEVSX0xFQVNFX0xJQUJJTElUSUVTLjk5Ni4xMS8wNy8yMDI2Li4uVVNELkgBAAAAS1UAAAIAAAAEMTk2MgEIAAAABQAAAAExAQAAAAstMjAzNjg0Mzg0MwMAAAADMTYwAgAAAAU0ODM4NQQAAAABMAcAAAAJNy8xMS8yMDI2CAAAAAk2LzMwLzIwMjEJAAAAATB/2Chrb9/eCB4PXm5v394IQENJUS5OQVNEQVE6TVNGVC5JUV9OUFBFX0VYQ0xfT1BFUl9MRUFTRVMuMTAwMC4xMS8wNy8yMDI2Li4uVVNELkgBAAAAS1UAAAIAAAAGMjA0OTY2AQgAAAAFAAAAATEBAAAACy0xOTM0MjU0MjE2AwAAAAMxNjACAAAABTQ4OTc2BAAAAAEwBwAAAAk3LzExLzIwMjYIAAAACTYvMzAvMjAyNQkAAAABMH/YKGtv394IHg9ebm/f3gg/Q0lRLk5BU0RBUTpNU0ZULklRX0dQUEVfRVhDTF9PUEVSX0xFQVNFUy45OTcuMTEvMDcvMjAyNi4uLlVTRC5IAQAAAEtVAAACAAAABjEzNDA1OAEIAAAABQAAAAExAQAAAAstMTk4NTkzMTIyNAMAAAADMTYwAgAAAAU0ODk3NAQAAAABMAcAAAAJNy8xMS8yMDI2CAAAAAk2LzMwLzIwMjIJAAAAATB/2Chrb9/eCB4PXm5v394IMUNJUS5OQVNEQVE6TVNGVC5JUV9SQVdfSU5WLjk5Ny4xMS8wNy8yMDI2</t>
  </si>
  <si>
    <t>Li4uVVNELkgBAAAAS1UAAAIAAAAEMTE0NAEIAAAABQAAAAExAQAAAAstMTk4NTkzMTIyNAMAAAADMTYwAgAAAAQzMTcxBAAAAAEwBwAAAAk3LzExLzIwMjYIAAAACTYvMzAvMjAyMgkAAAABMH/YKGtv394IZL9dbm/f3ghAQ0lRLk5BU0RBUTpNU0ZULklRX1RPVEFMX0RFQlRfTk9OX0NVUlJFTlQuOTk2LjExLzA3LzIwMjYuLi5VU0QuSAEAAABLVQAAAgAAAAU3MTQ1MwEIAAAABQAAAAExAQAAAAstMjAzNjg0Mzg0MwMAAAADMTYwAgAAAAUyNTIyNAQAAAABMAcAAAAJNy8xMS8yMDI2CAAAAAk2LzMwLzIwMjEJAAAAATB/2Chrb9/eCGS/XW5v394INENJUS5OQVNEQVE6TVNGVC5JUV9DQVNIX1NIQVJFLjk5OS4xMS8wNy8yMDI2Li4uVVNELkgBAAAAS1UAAAIAAAAHMi40NjM2OAEIAAAABQAAAAExAQAAAAstMTkzNDI1NDE4NQMAAAADMTYwAgAAAAQ0MzgxBAAAAAEwBwAAAAk3LzExLzIwMjYIAAAACTYvMzAvMjAyNAkAAAABMH/YKGtv394IZL9dbm/f3ggtQ0lRLk5BU0RBUTpNU0ZULklRX1RCVi45OTkuMTEvMDcvMjAyNi4uLlVTRC5IAQAAAEtVAAACAAAABjEyMTY2MAEIAAAABQAAAAExAQAAAAstMTkzNDI1NDE4NQMAAAADMTYwAgAAAAQxMzEwBAAAAAEwBwAAAAk3LzExLzIwMjYIAAAACTYvMzAvMjAyNAkAAAABMH/YKGtv394I2/pdbm/f3ggzQ0lRLk5BU0RBUTpNU0ZULklRX1RCVl9TSEFSRS45OTgu</t>
  </si>
  <si>
    <t>MTEvMDcvMjAyNi4uLlVTRC5IAQAAAEtVAAACAAAACTE3LjM1MzQ3MQEIAAAABQAAAAExAQAAAAstMTkzNDI1NDI1MAMAAAADMTYwAgAAAAQ0MTU2BAAAAAEwBwAAAAk3LzExLzIwMjYIAAAACTYvMzAvMjAyMwkAAAABMH/YKGtv394I2/pdbm/f3gg+Q0lRLk5BU0RBUTpNU0ZULklRX01JTk9SSVRZX0lOVF9SRURFRU0uMTAwMC4xMS8wNy8yMDI2Li4uVVNELkgBAAAAS1UAAAMAAAAAAH/YKGtv394IZL9dbm/f3ggtQ0lRLk5BU0RBUTpNU0ZULklRX0NJUC45OTQuMTEvMDcvMjAyNi4uLlVTRC5IAQAAAEtVAAADAAAAAAB/2Chrb9/eCGS/XW5v394IMkNJUS5OQVNEQVE6TVNGVC5JUV9TT0ZUV0FSRS45OTUuMTEvMDcvMjAyNi4uLlVTRC5IAQAAAEtVAAADAAAAAAB/2Chrb9/eCGS/XW5v394ILkNJUS5OQVNEQVE6TVNGVC5JUV9MQU5ELjk5Ny4xMS8wNy8yMDI2Li4uVVNELkgBAAAAS1UAAAIAAAAENDczNAEIAAAABQAAAAExAQAAAAstMTk4NTkzMTIyNAMAAAADMTYwAgAAAAQzMDk4BAAAAAEwBwAAAAk3LzExLzIwMjYIAAAACTYvMzAvMjAyMgkAAAABMH/YKGtv394IZL9dbm/f3gg2Q0lRLk5BU0RBUTpNU0ZULklRX0ZJTklTSEVEX0lOVi45OTcuMTEvMDcvMjAyNi4uLlVTRC5IAQAAAEtVAAACAAAABDI1MTYBCAAAAAUAAAABMQEAAAALLTE5ODU5MzEyMjQDAAAAAzE2MAIAAAAEMzA3NQQAAAABMAcAAAAJ</t>
  </si>
  <si>
    <t>Ny8xMS8yMDI2CAAAAAk2LzMwLzIwMjIJAAAAATB/2Chrb9/eCGS/XW5v394IS0NJUS5OQVNEQVE6TVNGVC5JUV9BU1NFVFNfTkVUVElOR19PVEhFUl9BREpVU1RNRU5UUy4xMDAwLjExLzA3LzIwMjYuLi5VU0QuSAEAAABLVQAAAwAAAAAAf9goa2/f3ggwgl1ub9/eCFBDSVEuTkFTREFROk1TRlQuSVFfTElRVUlEQVRJT05fVkFMVUVfUFJFRkVSUkVEX05PTl9SRURFRU0uOTk1LjExLzA3LzIwMjYuLi5VU0QuSAEAAABLVQAAAwAAAAAAf9goa2/f3ghkv11ub9/eCExDSVEuTkFTREFROk1TRlQuSVFfR0VORVJBTF9QQVJUTkVSX01JTk9SSVRZX0lOVEVSRVNULjEwMDAuMTEvMDcvMjAyNi4uLlVTRC5IAQAAAEtVAAADAAAAAAB/2Chrb9/eCGS/XW5v394IR0NJUS5OQVNEQVE6TVNGVC5JUV9HRU5FUkFMX1BBUlRORVJfQ09NTU9OX0VRVUlUWS45OTYuMTEvMDcvMjAyNi4uLlVTRC5IAQAAAEtVAAADAAAAAAAw7Chrb9/eCGS/XW5v394IQUNJUS5OQVNEQVE6TVNGVC5JUV9NSU5PUklUWV9JTlRfUkVERUVNX1RPVC45OTkuMTEvMDcvMjAyNi4uLlVTRC5IAQAAAEtVAAADAAAAAAAw7Chrb9/eCGS/XW5v394IMkNJUS5OQVNEQVE6TVNGVC5JUV9UT1RBTF9DQS45OTcuMTEvMDcvMjAyNi4uLlVTRC5IAQAAAEtVAAACAAAABjE2OTY4NAEIAAAABQAAAAExAQAAAAstMTk4NTkzMTIyNAMAAAADMTYwAgAAAAQxMDA4</t>
  </si>
  <si>
    <t>BAAAAAEwBwAAAAk3LzExLzIwMjYIAAAACTYvMzAvMjAyMgkAAAABMDDsKGtv394IMIJdbm/f3gg4Q0lRLk5BU0RBUTpNU0ZULklRX0xPQU5TX0ZPUl9TQUxFLjk5OS4xMS8wNy8yMDI2Li4uVVNELkgBAAAAS1UAAAMAAAAAADDsKGtv394IMIJdbm/f3gg2Q0lRLk5BU0RBUTpNU0ZULklRX1RPVEFMX1JFQ0VJVi45OTUuMTEvMDcvMjAyNi4uLlVTRC5IAQAAAEtVAAACAAAABTMyMDExAQgAAAAFAAAAATEBAAAACy0yMDg3NDk2NjI3AwAAAAMxNjACAAAABDEwMDEEAAAAATAHAAAACTcvMTEvMjAyNggAAAAJNi8zMC8yMDIwCQAAAAEwMOwoa2/f3ggwgl1ub9/eCD1DSVEuTkFTREFROk1TRlQuSVFfRklOX0RJVl9DQVNIX0VRVUlWLjEwMDAuMTEvMDcvMjAyNi4uLlVTRC5IAQAAAEtVAAADAAAAAAAw7Chrb9/eCDCCXW5v394IPUNJUS5OQVNEQVE6TVNGVC5JUV9MSUFCSUxJVElFU19MRVZFTF8zLjk5NC4xMS8wNy8yMDI2Li4uVVNELkgBAAAAS1UAAAMAAAAAADDsKGtv394IMIJdbm/f3gg+Q0lRLk5BU0RBUTpNU0ZULklRX0NVUlJFTlRfUE9SVF9MRUFTRVMuMTAwMC4xMS8wNy8yMDI2Li4uVVNELkgBAAAAS1UAAAIAAAAEODU5NgEIAAAABQAAAAExAQAAAAstMTkzNDI1NDIxNgMAAAADMTYwAgAAAAQxMDkwBAAAAAEwBwAAAAk3LzExLzIwMjYIAAAACTYvMzAvMjAyNQkAAAABMDDsKGtv394IMIJdbm/f3ggx</t>
  </si>
  <si>
    <t>Q0lRLk5BU0RBUTpNU0ZULklRX1NUX0RFQlQuOTk3LjExLzA3LzIwMjYuLi5VU0QuSAEAAABLVQAAAwAAAAAAbygpa2/f3ggwgl1ub9/eCDtDSVEuTkFTREFROk1TRlQuSVFfREVGX1RBWF9BU1NFVFNfTFQuOTk4LjExLzA3LzIwMjYuLi5VU0QuSAEAAABLVQAAAgAAAAUyMDE2MwEIAAAABQAAAAExAQAAAAstMTkzNDI1NDI1MAMAAAADMTYwAgAAAAQxMDI2BAAAAAEwBwAAAAk3LzExLzIwMjYIAAAACTYvMzAvMjAyMwkAAAABMG8oKWtv394IMIJdbm/f3gg1Q0lRLk5BU0RBUTpNU0ZULklRX09USEVSX0lOVEFOLjk5Ny4xMS8wNy8yMDI2Li4uVVNELkgBAAAAS1UAAAIAAAAFMTEyOTgBCAAAAAUAAAABMQEAAAALLTE5ODU5MzEyMjQDAAAAAzE2MAIAAAAEMTA0MAQAAAABMAcAAAAJNy8xMS8yMDI2CAAAAAk2LzMwLzIwMjIJAAAAATBvKClrb9/eCDCCXW5v394IM0NJUS5OQVNEQVE6TVNGVC5JUV9MVF9JTlZFU1QuOTk0LjExLzA3LzIwMjYuLi5VU0QuSAEAAABLVQAAAgAAAAQyNjQ5AQgAAAAFAAAAATEBAAAACy0yMTQwOTgxNDY5AwAAAAMxNjACAAAABDEwNTQEAAAAATAHAAAACTcvMTEvMjAyNggAAAAJNi8zMC8yMDE5CQAAAAEwbygpa2/f3ggwgl1ub9/eCDVDSVEuTkFTREFROk1TRlQuSVFfUFJFRl9SRURFRU0uOTk4LjExLzA3LzIwMjYuLi5VU0QuSAEAAABLVQAAAwAAAAAAbygpa2/f3giWbF1ub9/e</t>
  </si>
  <si>
    <t>CDdDSVEuTkFTREFROk1TRlQuSVFfVU5FQVJOX1JFVl9MVC45OTcuMTEvMDcvMjAyNi4uLlVTRC5IAQAAAEtVAAACAAAABDI4NzABCAAAAAUAAAABMQEAAAALLTE5ODU5MzEyMjQDAAAAAzE2MAIAAAAEMTI1NgQAAAABMAcAAAAJNy8xMS8yMDI2CAAAAAk2LzMwLzIwMjIJAAAAATBvKClrb9/eCDCCXW5v394IOUNJUS5OQVNEQVE6TVNGVC5JUV9GSU5fRElWX0RFQlRfTFQuOTk1LjExLzA3LzIwMjYuLi5VU0QuSAEAAABLVQAAAwAAAAAAbygpa2/f3ggwgl1ub9/eCDhDSVEuTkFTREFROk1TRlQuSVFfT1RIRVJfQ0xfU1VQUEwuOTk5LjExLzA3LzIwMjYuLi5VU0QuSAEAAABLVQAAAgAAAAUxMzI1NgEIAAAABQAAAAExAQAAAAstMTkzNDI1NDE4NQMAAAADMTYwAgAAAAQxMDU3BAAAAAEwBwAAAAk3LzExLzIwMjYIAAAACTYvMzAvMjAyNAkAAAABMG8oKWtv394IMIJdbm/f3gg8Q0lRLk5BU0RBUTpNU0ZULklRX1VORUFSTl9SRVZfQ1VSUkVOVC45OTYuMTEvMDcvMjAyNi4uLlVTRC5IAQAAAEtVAAACAAAABTQxNTI1AQgAAAAFAAAAATEBAAAACy0yMDM2ODQzODQzAwAAAAMxNjACAAAABDEwNzQEAAAAATAHAAAACTcvMTEvMjAyNggAAAAJNi8zMC8yMDIxCQAAAAEwbygpa2/f3ggwgl1ub9/eCEVDSVEuTkFTREFROk1TRlQuSVFfUlVBX0NBUElUQUxfTEVBU0VfQUNDVU1fREVQLjk5NS4xMS8wNy8yMDI2Li4u</t>
  </si>
  <si>
    <t>VVNELkgBAAAAS1UAAAMAAAAAAG8oKWtv394IsFhdbm/f3ggzQ0lRLk5BU0RBUTpNU0ZULklRX1JVQV9HUk9TUy45OTkuMTEvMDcvMjAyNi4uLlVTRC5IAQAAAEtVAAADAAAAAABvKClrb9/eCLBYXW5v394INkNJUS5OQVNEQVE6TVNGVC5JUV9UT1RBTF9FUVVJVFkuOTk2LjExLzA3LzIwMjYuLi5VU0QuSAEAAABLVQAAAgAAAAYxNDE5ODgBCAAAAAUAAAABMQEAAAALLTIwMzY4NDM4NDMDAAAAAzE2MAIAAAAEMTI3NQQAAAABMAcAAAAJNy8xMS8yMDI2CAAAAAk2LzMwLzIwMjEJAAAAATBvKClrb9/eCLBYXW5v394IM0NJUS5OQVNEQVE6TVNGVC5JUV9UUkVBU1VSWS4xMDAwLjExLzA3LzIwMjYuLi5VU0QuSAEAAABLVQAAAwAAAAAAbygpa2/f3giWbF1ub9/eCC5DSVEuTkFTREFROk1TRlQuSVFfQVBJQy45OTcuMTEvMDcvMjAyNi4uLlVTRC5IAQAAAEtVAAADAAAAAABvKClrb9/eCJZsXW5v394IO0NJUS5OQVNEQVE6TVNGVC5JUV9UT1RBTF9PUEVSX0xFQVNFUy45OTguMTEvMDcvMjAyNi4uLlVTRC5IAQAAAEtVAAACAAAABTE1MTM3AQgAAAAFAAAAATEBAAAACy0xOTM0MjU0MjUwAwAAAAMxNjACAAAABTQ4OTc4BAAAAAEwBwAAAAk3LzExLzIwMjYIAAAACTYvMzAvMjAyMwkAAAABMG8oKWtv394IIx9dbm/f3ghQQ0lRLk5BU0RBUTpNU0ZULklRX0NVUlJFTlRfUE9SVElPTl9PUEVSX0xFQVNFX0xJQUJJ</t>
  </si>
  <si>
    <t>TElUSUVTLjk5NS4xMS8wNy8yMDI2Li4uVVNELkgBAAAAS1UAAAIAAAAEMTYxNgEIAAAABQAAAAExAQAAAAstMjA4NzQ5NjYyNwMAAAADMTYwAgAAAAU0ODM4NQQAAAABMAcAAAAJNy8xMS8yMDI2CAAAAAk2LzMwLzIwMjAJAAAAATBvKClrb9/eCCMfXW5v394IP0NJUS5OQVNEQVE6TVNGVC5JUV9OUFBFX0VYQ0xfT1BFUl9MRUFTRVMuOTk5LjExLzA3LzIwMjYuLi5VU0QuSAEAAABLVQAAAgAAAAYxMzU1OTEBCAAAAAUAAAABMQEAAAALLTE5MzQyNTQxODUDAAAAAzE2MAIAAAAFNDg5NzYEAAAAATAHAAAACTcvMTEvMjAyNggAAAAJNi8zMC8yMDI0CQAAAAEwbygpa2/f3ggjH11ub9/eCD1DSVEuTkFTREFROk1TRlQuSVFfQURfRVhDTF9PUEVSX0xFQVNFUy45OTQuMTEvMDcvMjAyNi4uLlVTRC5IAQAAAEtVAAACAAAABi0zNTMzMAEIAAAABQAAAAExAQAAAAstMjE0MDk4MTQ2OQMAAAADMTYwAgAAAAU0ODk3NQQAAAABMAcAAAAJNy8xMS8yMDI2CAAAAAk2LzMwLzIwMTkJAAAAATCqTylrb9/eCLBYXW5v394IQENJUS5OQVNEQVE6TVNGVC5JUV9SVUFfQ0FQSVRBTF9MRUFTRV9ORVQuMTAwMC4xMS8wNy8yMDI2Li4uVVNELkgBAAAAS1UAAAMAAAAAAKpPKWtv394IsFhdbm/f3ggxQ0lRLk5BU0RBUTpNU0ZULklRX1JBV19JTlYuOTk2LjExLzA3LzIwMjYuLi5VU0QuSAEAAABLVQAAAgAAAAQxMTkwAQgAAAAF</t>
  </si>
  <si>
    <t>AAAAATEBAAAACy0yMDM2ODQzODQzAwAAAAMxNjACAAAABDMxNzEEAAAAATAHAAAACTcvMTEvMjAyNggAAAAJNi8zMC8yMDIxCQAAAAEwqk8pa2/f3ggjH11ub9/eCDRDSVEuTkFTREFROk1TRlQuSVFfQ0FTSF9TSEFSRS45OTguMTEvMDcvMjAyNi4uLlVTRC5IAQAAAEtVAAACAAAACDQuNjY5NTM3AQgAAAAFAAAAATEBAAAACy0xOTM0MjU0MjUwAwAAAAMxNjACAAAABDQzODEEAAAAATAHAAAACTcvMTEvMjAyNggAAAAJNi8zMC8yMDIzCQAAAAEwqk8pa2/f3ggjH11ub9/eCC1DSVEuTkFTREFROk1TRlQuSVFfVEJWLjk5OC4xMS8wNy8yMDI2Li4uVVNELkgBAAAAS1UAAAIAAAAGMTI4OTcxAQgAAAAFAAAAATEBAAAACy0xOTM0MjU0MjUwAwAAAAMxNjACAAAABDEzMTAEAAAAATAHAAAACTcvMTEvMjAyNggAAAAJNi8zMC8yMDIzCQAAAAEwqk8pa2/f3ggjH11ub9/eCDNDSVEuTkFTREFROk1TRlQuSVFfVEJWX1NIQVJFLjk5Ny4xMS8wNy8yMDI2Li4uVVNELkgBAAAAS1UAAAIAAAAJMTEuNzUyNDExAQgAAAAFAAAAATEBAAAACy0xOTg1OTMxMjI0AwAAAAMxNjACAAAABDQxNTYEAAAAATAHAAAACTcvMTEvMjAyNggAAAAJNi8zMC8yMDIyCQAAAAEwqk8pa2/f3ggjH11ub9/eCDJDSVEuTkFTREFROk1TRlQuSVFfQlZfU0hBUkUuOTk1LjExLzA3LzIwMjYuLi5VU0QuSAEAAABLVQAAAgAAAAkxNS42MjU5NDEB</t>
  </si>
  <si>
    <t>CAAAAAUAAAABMQEAAAALLTIwODc0OTY2MjcDAAAAAzE2MAIAAAAENDAyMAQAAAABMAcAAAAJNy8xMS8yMDI2CAAAAAk2LzMwLzIwMjAJAAAAATCqTylrb9/eCCMfXW5v394IQ0NJUS5OQVNEQVE6TVNGVC5JUV9GSU5fRElWX01JTk9SSVRZX0lOVEVSRVNULjk5Ni4xMS8wNy8yMDI2Li4uVVNELkgBAAAAS1UAAAMAAAAAAKpPKWtv394IYQtdbm/f3gg9Q0lRLk5BU0RBUTpNU0ZULklRX01JTk9SSVRZX0lOVF9SRURFRU0uOTk5LjExLzA3LzIwMjYuLi5VU0QuSAEAAABLVQAAAwAAAAAAqk8pa2/f3ggjH11ub9/eCDJDSVEuTkFTREFROk1TRlQuSVFfU09GVFdBUkUuOTk0LjExLzA3LzIwMjYuLi5VU0QuSAEAAABLVQAAAwAAAAAAqk8pa2/f3ggjH11ub9/eCDNDSVEuTkFTREFROk1TRlQuSVFfQlVJTERJTkdTLjk5NC4xMS8wNy8yMDI2Li4uVVNELkgBAAAAS1UAAAIAAAAFMjYyODgBCAAAAAUAAAABMQEAAAALLTIxNDA5ODE0NjkDAAAAAzE2MAIAAAAEMzAyMwQAAAABMAcAAAAJNy8xMS8yMDI2CAAAAAk2LzMwLzIwMTkJAAAAATCqTylrb9/eCCMfXW5v394INkNJUS5OQVNEQVE6TVNGVC5JUV9GSU5JU0hFRF9JTlYuOTk2LjExLzA3LzIwMjYuLi5VU0QuSAEAAABLVQAAAgAAAAQxMzY3AQgAAAAFAAAAATEBAAAACy0yMDM2ODQzODQzAwAAAAMxNjACAAAABDMwNzUEAAAAATAHAAAACTcvMTEvMjAyNggAAAAJ</t>
  </si>
  <si>
    <t>Ni8zMC8yMDIxCQAAAAEwqk8pa2/f3ggjH11ub9/eCEBDSVEuTkFTREFROk1TRlQuSVFfQ09OVElOR0VOVF9MSUFCSUxJVElFUy45OTguMTEvMDcvMjAyNi4uLlVTRC5IAQAAAEtVAAADAAAAAACqTylrb9/eCBbkXG5v394IPENJUS5OQVNEQVE6TVNGVC5JUV9GSU5fRElWX0NBU0hfRVFVSVYuOTk5LjExLzA3LzIwMjYuLi5VU0QuSAEAAABLVQAAAwAAAAAAqk8pa2/f3ghhC11ub9/eCEpDSVEuTkFTREFROk1TRlQuSVFfQVNTRVRTX05FVFRJTkdfT1RIRVJfQURKVVNUTUVOVFMuOTk5LjExLzA3LzIwMjYuLi5VU0QuSAEAAABLVQAAAwAAAAAAqk8pa2/f3ghhC11ub9/eCEtDSVEuTkFTREFROk1TRlQuSVFfR0VORVJBTF9QQVJUTkVSX01JTk9SSVRZX0lOVEVSRVNULjk5OS4xMS8wNy8yMDI2Li4uVVNELkgBAAAAS1UAAAMAAAAAAKpPKWtv394IYQtdbm/f3ghHQ0lRLk5BU0RBUTpNU0ZULklRX0dFTkVSQUxfUEFSVE5FUl9DT01NT05fRVFVSVRZLjk5NS4xMS8wNy8yMDI2Li4uVVNELkgBAAAAS1UAAAMAAAAAAKpPKWtv394IYQtdbm/f3gg2Q0lRLk5BU0RBUTpNU0ZULklRX1RPVEFMX1JFQ0VJVi45OTQuMTEvMDcvMjAyNi4uLlVTRC5IAQAAAEtVAAACAAAABTI5NTI0AQgAAAAFAAAAATEBAAAACy0yMTQwOTgxNDY5AwAAAAMxNjACAAAABDEwMDEEAAAAATAHAAAACTcvMTEvMjAyNggAAAAJNi8zMC8yMDE5</t>
  </si>
  <si>
    <t>CQAAAAEwqk8pa2/f3ggW5Fxub9/eCDdDSVEuTkFTREFROk1TRlQuSVFfT1RIRVJfUkVDRUlWLjEwMDAuMTEvMDcvMjAyNi4uLlVTRC5IAQAAAEtVAAACAAAABDgyMDABCAAAAAUAAAABMQEAAAALLTE5MzQyNTQyMTYDAAAAAzE2MAIAAAAEMTIwNgQAAAABMAcAAAAJNy8xMS8yMDI2CAAAAAk2LzMwLzIwMjUJAAAAATCqTylrb9/eCBbkXG5v394IOENJUS5OQVNEQVE6TVNGVC5JUV9DQVNIX1NUX0lOVkVTVC45OTYuMTEvMDcvMjAyNi4uLlVTRC5IAQAAAEtVAAACAAAABjEzMDI1NgEIAAAABQAAAAExAQAAAAstMjAzNjg0Mzg0MwMAAAADMTYwAgAAAAQxMDAyBAAAAAEwBwAAAAk3LzExLzIwMjYIAAAACTYvMzAvMjAyMQkAAAABMKpPKWtv394IFuRcbm/f3gg0Q0lRLk5BU0RBUTpNU0ZULklRX0NBU0hfRVFVSVYuOTk2LjExLzA3LzIwMjYuLi5VU0QuSAEAAABLVQAAAgAAAAUxNDIyNAEIAAAABQAAAAExAQAAAAstMjAzNjg0Mzg0MwMAAAADMTYwAgAAAAQxMDk2BAAAAAEwBwAAAAk3LzExLzIwMjYIAAAACTYvMzAvMjAyMQkAAAABMKpPKWtv394IFuRcbm/f3ghAQ0lRLk5BU0RBUTpNU0ZULklRX0FEVkFOQ0VTX0ZPUl9TVVBQTElFUy4xMDAwLjExLzA3LzIwMjYuLi5VU0QuSAEAAABLVQAAAwAAAAAAqk8pa2/f3ggW5Fxub9/eCDVDSVEuTkFTREFROk1TRlQuSVFfT1RIRVJfSU5UQU4uOTk2LjExLzA3LzIw</t>
  </si>
  <si>
    <t>MjYuLi5VU0QuSAEAAABLVQAAAgAAAAQ3ODAwAQgAAAAFAAAAATEBAAAACy0yMDM2ODQzODQzAwAAAAMxNjACAAAABDEwNDAEAAAAATAHAAAACTcvMTEvMjAyNggAAAAJNi8zMC8yMDIxCQAAAAEwqk8pa2/f3gj7z1xub9/eCC1DSVEuTkFTREFROk1TRlQuSVFfQUQuMTAwMC4xMS8wNy8yMDI2Li4uVVNELkgBAAAAS1UAAAIAAAAGLTkzNjUzAQgAAAAFAAAAATEBAAAACy0xOTM0MjU0MjE2AwAAAAMxNjACAAAABDEwNzUEAAAAATAHAAAACTcvMTEvMjAyNggAAAAJNi8zMC8yMDI1CQAAAAEwqk8pa2/f3gj7z1xub9/eCDJDSVEuTkFTREFROk1TRlQuSVFfVE9UQUxfQ0EuOTk2LjExLzA3LzIwMjYuLi5VU0QuSAEAAABLVQAAAgAAAAYxODQ0MDYBCAAAAAUAAAABMQEAAAALLTIwMzY4NDM4NDMDAAAAAzE2MAIAAAAEMTAwOAQAAAABMAcAAAAJNy8xMS8yMDI2CAAAAAk2LzMwLzIwMjEJAAAAATCqTylrb9/eCBbkXG5v394IOENJUS5OQVNEQVE6TVNGVC5JUV9MT0FOU19GT1JfU0FMRS45OTguMTEvMDcvMjAyNi4uLlVTRC5IAQAAAEtVAAADAAAAAACqTylrb9/eCBbkXG5v394INUNJUS5OQVNEQVE6TVNGVC5JUV9QUkVQQUlEX0VYUC45OTguMTEvMDcvMjAyNi4uLlVTRC5IAQAAAEtVAAADAAAAAACqTylrb9/eCBbkXG5v394IPENJUS5OQVNEQVE6TVNGVC5JUV9VTkVBUk5fUkVWX0NVUlJFTlQuOTk1LjExLzA3</t>
  </si>
  <si>
    <t>LzIwMjYuLi5VU0QuSAEAAABLVQAAAgAAAAUzNjAwMAEIAAAABQAAAAExAQAAAAstMjA4NzQ5NjYyNwMAAAADMTYwAgAAAAQxMDc0BAAAAAEwBwAAAAk3LzExLzIwMjYIAAAACTYvMzAvMjAyMAkAAAABMKpPKWtv394Ipqdcbm/f3gg9Q0lRLk5BU0RBUTpNU0ZULklRX0NVUlJFTlRfUE9SVF9MRUFTRVMuOTk5LjExLzA3LzIwMjYuLi5VU0QuSAEAAABLVQAAAgAAAAQ1OTI5AQgAAAAFAAAAATEBAAAACy0xOTM0MjU0MTg1AwAAAAMxNjACAAAABDEwOTAEAAAAATAHAAAACTcvMTEvMjAyNggAAAAJNi8zMC8yMDI0CQAAAAEwqk8pa2/f3giDu1xub9/eCDFDSVEuTkFTREFROk1TRlQuSVFfU1RfREVCVC45OTYuMTEvMDcvMjAyNi4uLlVTRC5IAQAAAEtVAAADAAAAAACqTylrb9/eCIO7XG5v394IOkNJUS5OQVNEQVE6TVNGVC5JUV9PVEhFUl9MVF9BU1NFVFMuMTAwMC4xMS8wNy8yMDI2Li4uVVNELkgBAAAAS1UAAAIAAAAENjI1NwEIAAAABQAAAAExAQAAAAstMTkzNDI1NDIxNgMAAAADMTYwAgAAAAQxMDYwBAAAAAEwBwAAAAk3LzExLzIwMjYIAAAACTYvMzAvMjAyNQkAAAABMKpPKWtv394Ig7tcbm/f3gg4Q0lRLk5BU0RBUTpNU0ZULklRX0RFRl9DSEFSR0VTX0xULjk5NS4xMS8wNy8yMDI2Li4uVVNELkgBAAAAS1UAAAMAAAAAAKpPKWtv394I+89cbm/f3gguQ0lRLk5BU0RBUTpNU0ZULklRX0FQSUMuOTk2</t>
  </si>
  <si>
    <t>LjExLzA3LzIwMjYuLi5VU0QuSAEAAABLVQAAAwAAAAAAqk8pa2/f3gimp1xub9/eCDdDSVEuTkFTREFROk1TRlQuSVFfUFJFRl9DT05WRVJULjEwMDAuMTEvMDcvMjAyNi4uLlVTRC5IAQAAAEtVAAADAAAAAACqTylrb9/eCKanXG5v394IOUNJUS5OQVNEQVE6TVNGVC5JUV9QUkVGX05PTl9SRURFRU0uOTk1LjExLzA3LzIwMjYuLi5VU0QuSAEAAABLVQAAAwAAAAAAqk8pa2/f3gimp1xub9/eCDdDSVEuTkFTREFROk1TRlQuSVFfVU5FQVJOX1JFVl9MVC45OTYuMTEvMDcvMjAyNi4uLlVTRC5IAQAAAEtVAAACAAAABDI2MTYBCAAAAAUAAAABMQEAAAALLTIwMzY4NDM4NDMDAAAAAzE2MAIAAAAEMTI1NgQAAAABMAcAAAAJNy8xMS8yMDI2CAAAAAk2LzMwLzIwMjEJAAAAATCqTylrb9/eCKanXG5v394IOENJUS5OQVNEQVE6TVNGVC5JUV9PVEhFUl9DTF9TVVBQTC45OTguMTEvMDcvMjAyNi4uLlVTRC5IAQAAAEtVAAACAAAABTExMTM5AQgAAAAFAAAAATEBAAAACy0xOTM0MjU0MjUwAwAAAAMxNjACAAAABDEwNTcEAAAAATAHAAAACTcvMTEvMjAyNggAAAAJNi8zMC8yMDIzCQAAAAEwqk8pa2/f3gimp1xub9/eCENDSVEuTkFTREFROk1TRlQuSVFfUlVBX09QRVJBVElOR19MRUFTRV9HUk9TUy45OTcuMTEvMDcvMjAyNi4uLlVTRC5IAQAAAEtVAAACAAAABTEzMTQ4AQgAAAAFAAAAATEBAAAACy0xOTg1OTMx</t>
  </si>
  <si>
    <t>MjI0AwAAAAMxNjACAAAABTQ4Mzc3BAAAAAEwBwAAAAk3LzExLzIwMjYIAAAACTYvMzAvMjAyMgkAAAABMKpPKWtv394IapNcbm/f3ghFQ0lRLk5BU0RBUTpNU0ZULklRX1JVQV9DQVBJVEFMX0xFQVNFX0FDQ1VNX0RFUC45OTQuMTEvMDcvMjAyNi4uLlVTRC5IAQAAAEtVAAADAAAAAACqTylrb9/eCGqTXG5v394IM0NJUS5OQVNEQVE6TVNGVC5JUV9SVUFfR1JPU1MuOTk4LjExLzA3LzIwMjYuLi5VU0QuSAEAAABLVQAAAwAAAAAAqk8pa2/f3ghqk1xub9/eCDZDSVEuTkFTREFROk1TRlQuSVFfVE9UQUxfRVFVSVRZLjk5NS4xMS8wNy8yMDI2Li4uVVNELkgBAAAAS1UAAAIAAAAGMTE4MzA0AQgAAAAFAAAAATEBAAAACy0yMDg3NDk2NjI3AwAAAAMxNjACAAAABDEyNzUEAAAAATAHAAAACTcvMTEvMjAyNggAAAAJNi8zMC8yMDIwCQAAAAEwqk8pa2/f3ghqk1xub9/eCDJDSVEuTkFTREFROk1TRlQuSVFfVFJFQVNVUlkuOTk5LjExLzA3LzIwMjYuLi5VU0QuSAEAAABLVQAAAwAAAAAAqk8pa2/f3gimp1xub9/eCDNDSVEuTkFTREFROk1TRlQuSVFfVEJWX1NIQVJFLjk5Ni4xMS8wNy8yMDI2Li4uVVNELkgBAAAAS1UAAAIAAAAJMTEuMjM1MTM3AQgAAAAFAAAAATEBAAAACy0yMDM2ODQzODQzAwAAAAMxNjACAAAABDQxNTYEAAAAATAHAAAACTcvMTEvMjAyNggAAAAJNi8zMC8yMDIxCQAAAAEwqk8pa2/f3giI</t>
  </si>
  <si>
    <t>f1xub9/eCEZDSVEuTkFTREFROk1TRlQuSVFfVE9UQUxfREVCVF9FWENMX09QRVJfTEVBU0VTLjEwMDAuMTEvMDcvMjAyNi4uLlVTRC5IAQAAAEtVAAACAAAABTg5MzIzAQgAAAAFAAAAATEBAAAACy0xOTM0MjU0MjE2AwAAAAMxNjACAAAABTQ4OTgyBAAAAAEwBwAAAAk3LzExLzIwMjYIAAAACTYvMzAvMjAyNQkAAAABMKpPKWtv394IiH9cbm/f3ghSQ0lRLk5BU0RBUTpNU0ZULklRX0ZJTkFOQ0lOR19PQkxJR19DVVJSRU5UX0VYQ0xfT1BFUl9MRUFTRVMuOTk5LjExLzA3LzIwMjYuLi5VU0QuSAEAAABLVQAAAgAAAAUxMTI5MQEIAAAABQAAAAExAQAAAAstMTkzNDI1NDE4NQMAAAADMTYwAgAAAAU0ODk4MAQAAAABMAcAAAAJNy8xMS8yMDI2CAAAAAk2LzMwLzIwMjQJAAAAATCqTylrb9/eCIh/XG5v394IO0NJUS5OQVNEQVE6TVNGVC5JUV9UT1RBTF9PUEVSX0xFQVNFUy45OTcuMTEvMDcvMjAyNi4uLlVTRC5IAQAAAEtVAAACAAAABTEzNzE3AQgAAAAFAAAAATEBAAAACy0xOTg1OTMxMjI0AwAAAAMxNjACAAAABTQ4OTc4BAAAAAEwBwAAAAk3LzExLzIwMjYIAAAACTYvMzAvMjAyMgkAAAABMKpPKWtv394IapNcbm/f3gg/Q0lRLk5BU0RBUTpNU0ZULklRX05QUEVfRVhDTF9PUEVSX0xFQVNFUy45OTguMTEvMDcvMjAyNi4uLlVTRC5IAQAAAEtVAAACAAAABTk1NjQxAQgAAAAFAAAAATEBAAAACy0xOTM0</t>
  </si>
  <si>
    <t>MjU0MjUwAwAAAAMxNjACAAAABTQ4OTc2BAAAAAEwBwAAAAk3LzExLzIwMjYIAAAACTYvMzAvMjAyMwkAAAABMKpPKWtv394IapNcbm/f3gg9Q0lRLk5BU0RBUTpNU0ZULklRX01JTk9SSVRZX0lOVF9SRURFRU0uOTk4LjExLzA3LzIwMjYuLi5VU0QuSAEAAABLVQAAAwAAAAAAqk8pa2/f3gggWFxub9/eCC1DSVEuTkFTREFROk1TRlQuSVFfQ0lQLjk5OS4xMS8wNy8yMDI2Li4uVVNELkgBAAAAS1UAAAMAAAAAAKpPKWtv394IIFhcbm/f3ggxQ0lRLk5BU0RBUTpNU0ZULklRX1JBV19JTlYuOTk1LjExLzA3LzIwMjYuLi5VU0QuSAEAAABLVQAAAgAAAAM3MDABCAAAAAUAAAABMQEAAAALLTIwODc0OTY2MjcDAAAAAzE2MAIAAAAEMzE3MQQAAAABMAcAAAAJNy8xMS8yMDI2CAAAAAk2LzMwLzIwMjAJAAAAATCqTylrb9/eCIh/XG5v394INENJUS5OQVNEQVE6TVNGVC5JUV9UT1RBTF9ERUJULjk5NS4xMS8wNy8yMDI2Li4uVVNELkgBAAAAS1UAAAIAAAAFODIxMTABCAAAAAUAAAABMQEAAAALLTIwODc0OTY2MjcDAAAAAzE2MAIAAAAENDE3MwQAAAABMAcAAAAJNy8xMS8yMDI2CAAAAAk2LzMwLzIwMjAJAAAAATCqTylrb9/eCIh/XG5v394ILUNJUS5OQVNEQVE6TVNGVC5JUV9UQlYuOTk3LjExLzA3LzIwMjYuLi5VU0QuSAEAAABLVQAAAgAAAAU4NzcyMAEIAAAABQAAAAExAQAAAAstMTk4NTkzMTIyNAMAAAAD</t>
  </si>
  <si>
    <t>MTYwAgAAAAQxMzEwBAAAAAEwBwAAAAk3LzExLzIwMjYIAAAACTYvMzAvMjAyMgkAAAABMKpPKWtv394IiH9cbm/f3gg8Q0lRLk5BU0RBUTpNU0ZULklRX0ZJTl9ESVZfQ0FTSF9FUVVJVi45OTguMTEvMDcvMjAyNi4uLlVTRC5IAQAAAEtVAAADAAAAAACqTylrb9/eCCBYXG5v394ISUNJUS5OQVNEQVE6TVNGVC5JUV9GQUlSX1ZBTFVFX0NIQU5HRV9JTkNMX0VBUk5JTkdTLjk5NC4xMS8wNy8yMDI2Li4uVVNELkgBAAAAS1UAAAMAAAAAAKpPKWtv394IIFhcbm/f3gg7Q0lRLk5BU0RBUTpNU0ZULklRX0FTU0VUU19GQUlSX1ZBTFVFLjk5NS4xMS8wNy8yMDI2Li4uVVNELkgBAAAAS1UAAAIAAAAGMTMxMzk2AKpPKWtv394IIFhcbm/f3ghIQ0lRLk5BU0RBUTpNU0ZULklRX1RPVEFMX0dFTkVSQUxfUEFSVE5FUl9JTlRFUkVTVC45OTYuMTEvMDcvMjAyNi4uLlVTRC5IAQAAAEtVAAADAAAAAACqTylrb9/eCCBYXG5v394IQ0NJUS5OQVNEQVE6TVNGVC5JUV9GSU5fRElWX01JTk9SSVRZX0lOVEVSRVNULjk5NS4xMS8wNy8yMDI2Li4uVVNELkgBAAAAS1UAAAMAAAAAAKpPKWtv394IIFhcbm/f3gg2Q0lRLk5BU0RBUTpNU0ZULklRX09USEVSX1JFQ0VJVi45OTkuMTEvMDcvMjAyNi4uLlVTRC5IAQAAAEtVAAACAAAABTEwNTAwAQgAAAAFAAAAATEBAAAACy0xOTM0MjU0MTg1AwAAAAMxNjACAAAABDEyMDYEAAAA</t>
  </si>
  <si>
    <t>ATAHAAAACTcvMTEvMjAyNggAAAAJNi8zMC8yMDI0CQAAAAEwqk8pa2/f3gggWFxub9/eCDRDSVEuTkFTREFROk1TRlQuSVFfQ0FTSF9FUVVJVi45OTUuMTEvMDcvMjAyNi4uLlVTRC5IAQAAAEtVAAACAAAABTEzNTc2AQgAAAAFAAAAATEBAAAACy0yMDg3NDk2NjI3AwAAAAMxNjACAAAABDEwOTYEAAAAATAHAAAACTcvMTEvMjAyNggAAAAJNi8zMC8yMDIwCQAAAAEwqk8pa2/f3gggWFxub9/eCDZDSVEuTkFTREFROk1TRlQuSVFfR1dfSU5UQU5fTkVULjk5OC4xMS8wNy8yMDI2Li4uVVNELkgBAAAAS1UAAAMAAAAAAKpPKWtv394IIFhcbm/f3gg8Q0lRLk5BU0RBUTpNU0ZULklRX0dST1NTX0lOVEFOX0FTU0VUUy45OTcuMTEvMDcvMjAyNi4uLlVTRC5IAQAAAEtVAAACAAAABTIzNTc3AQgAAAAFAAAAATEBAAAACy0xOTg1OTMxMjI0AwAAAAMxNjACAAAABTI0MjkzBAAAAAEwBwAAAAk3LzExLzIwMjYIAAAACTYvMzAvMjAyMgkAAAABMKpPKWtv394IIFhcbm/f3ghBQ0lRLk5BU0RBUTpNU0ZULklRX0RFUklWQVRJVkVfTElBQl9DVVJSRU5ULjk5Ni4xMS8wNy8yMDI2Li4uVVNELkgBAAAAS1UAAAIAAAADMTgyAQgAAAAFAAAAATEBAAAACy0yMDM2ODQzODQzAwAAAAMxNjACAAAABTQwNDE3BAAAAAEwBwAAAAk3LzExLzIwMjYIAAAACTYvMzAvMjAyMQkAAAABMKpPKWtv394IIFhcbm/f3gg1Q0lRLk5BU0RB</t>
  </si>
  <si>
    <t>UTpNU0ZULklRX09USEVSX0lOVEFOLjk5NS4xMS8wNy8yMDI2Li4uVVNELkgBAAAAS1UAAAIAAAAENzAzOAEIAAAABQAAAAExAQAAAAstMjA4NzQ5NjYyNwMAAAADMTYwAgAAAAQxMDQwBAAAAAEwBwAAAAk3LzExLzIwMjYIAAAACTYvMzAvMjAyMAkAAAABMKpPKWtv394IO0Ncbm/f3ggsQ0lRLk5BU0RBUTpNU0ZULklRX0FELjk5OS4xMS8wNy8yMDI2Li4uVVNELkgBAAAAS1UAAAIAAAAGLTc2NDIxAQgAAAAFAAAAATEBAAAACy0xOTM0MjU0MTg1AwAAAAMxNjACAAAABDEwNzUEAAAAATAHAAAACTcvMTEvMjAyNggAAAAJNi8zMC8yMDI0CQAAAAEwqk8pa2/f3gg7Q1xub9/eCDJDSVEuTkFTREFROk1TRlQuSVFfVE9UQUxfQ0EuOTk1LjExLzA3LzIwMjYuLi5VU0QuSAEAAABLVQAAAgAAAAYxODE5MTUBCAAAAAUAAAABMQEAAAALLTIwODc0OTY2MjcDAAAAAzE2MAIAAAAEMTAwOAQAAAABMAcAAAAJNy8xMS8yMDI2CAAAAAk2LzMwLzIwMjAJAAAAATCqTylrb9/eCDtDXG5v394IQENJUS5OQVNEQVE6TVNGVC5JUV9ERUZfVEFYX0FTU0VUU19DVVJSRU5ULjk5NS4xMS8wNy8yMDI2Li4uVVNELkgBAAAAS1UAAAMAAAAAAKpPKWtv394IIFhcbm/f3gg1Q0lRLk5BU0RBUTpNU0ZULklRX1BSRVBBSURfRVhQLjk5Ny4xMS8wNy8yMDI2Li4uVVNELkgBAAAAS1UAAAMAAAAAAKpPKWtv394IIFhcbm/f3gg8Q0lRLk5B</t>
  </si>
  <si>
    <t>U0RBUTpNU0ZULklRX1VORUFSTl9SRVZfQ1VSUkVOVC45OTQuMTEvMDcvMjAyNi4uLlVTRC5IAQAAAEtVAAACAAAABTMyNjc2AQgAAAAFAAAAATEBAAAACy0yMTQwOTgxNDY5AwAAAAMxNjACAAAABDEwNzQEAAAAATAHAAAACTcvMTEvMjAyNggAAAAJNi8zMC8yMDE5CQAAAAEwqk8pa2/f3gihLlxub9/eCD1DSVEuTkFTREFROk1TRlQuSVFfQ1VSUkVOVF9QT1JUX0xFQVNFUy45OTguMTEvMDcvMjAyNi4uLlVTRC5IAQAAAEtVAAACAAAABDM2MDYBCAAAAAUAAAABMQEAAAALLTE5MzQyNTQyNTADAAAAAzE2MAIAAAAEMTA5MAQAAAABMAcAAAAJNy8xMS8yMDI2CAAAAAk2LzMwLzIwMjMJAAAAATCqTylrb9/eCDtDXG5v394IOUNJUS5OQVNEQVE6TVNGVC5JUV9PVEhFUl9MVF9BU1NFVFMuOTk5LjExLzA3LzIwMjYuLi5VU0QuSAEAAABLVQAAAgAAAAQ5MjkwAQgAAAAFAAAAATEBAAAACy0xOTM0MjU0MTg1AwAAAAMxNjACAAAABDEwNjAEAAAAATAHAAAACTcvMTEvMjAyNggAAAAJNi8zMC8yMDI0CQAAAAEwqk8pa2/f3gg7Q1xub9/eCDhDSVEuTkFTREFROk1TRlQuSVFfREVGX0NIQVJHRVNfTFQuOTk0LjExLzA3LzIwMjYuLi5VU0QuSAEAAABLVQAAAwAAAAAAqk8pa2/f3gg7Q1xub9/eCDtDSVEuTkFTREFROk1TRlQuSVFfRklOX0RJVl9BU1NFVFNfTFQuOTk4LjExLzA3LzIwMjYuLi5VU0QuSAEAAABLVQAA</t>
  </si>
  <si>
    <t>AwAAAAAAqk8pa2/f3gg7Q1xub9/eCDlDSVEuTkFTREFROk1TRlQuSVFfUFJFRl9OT05fUkVERUVNLjk5NC4xMS8wNy8yMDI2Li4uVVNELkgBAAAAS1UAAAMAAAAAAKpPKWtv394IoS5cbm/f3gg5Q0lRLk5BU0RBUTpNU0ZULklRX0RFRl9UQVhfTElBQl9MVC45OTguMTEvMDcvMjAyNi4uLlVTRC5IAQAAAEtVAAACAAAAAzQzMwEIAAAABQAAAAExAQAAAAstMTkzNDI1NDI1MAMAAAADMTYwAgAAAAQxMDI3BAAAAAEwBwAAAAk3LzExLzIwMjYIAAAACTYvMzAvMjAyMwkAAAABMKpPKWtv394IoS5cbm/f3gg3Q0lRLk5BU0RBUTpNU0ZULklRX1VORUFSTl9SRVZfTFQuOTk1LjExLzA3LzIwMjYuLi5VU0QuSAEAAABLVQAAAgAAAAQzMTgwAQgAAAAFAAAAATEBAAAACy0yMDg3NDk2NjI3AwAAAAMxNjACAAAABDEyNTYEAAAAATAHAAAACTcvMTEvMjAyNggAAAAJNi8zMC8yMDIwCQAAAAEwqk8pa2/f3gihLlxub9/eCDFDSVEuTkFTREFROk1TRlQuSVFfTFRfREVCVC45OTkuMTEvMDcvMjAyNi4uLlVTRC5IAQAAAEtVAAACAAAABTQyNjg4AQgAAAAFAAAAATEBAAAACy0xOTM0MjU0MTg1AwAAAAMxNjACAAAABDEwNDkEAAAAATAHAAAACTcvMTEvMjAyNggAAAAJNi8zMC8yMDI0CQAAAAEwqk8pa2/f3gihLlxub9/eCDhDSVEuTkFTREFROk1TRlQuSVFfT1RIRVJfQ0xfU1VQUEwuOTk3LjExLzA3LzIwMjYuLi5VU0Qu</t>
  </si>
  <si>
    <t>SAEAAABLVQAAAgAAAAQ5Nzc5AQgAAAAFAAAAATEBAAAACy0xOTg1OTMxMjI0AwAAAAMxNjACAAAABDEwNTcEAAAAATAHAAAACTcvMTEvMjAyNggAAAAJNi8zMC8yMDIyCQAAAAEwqk8pa2/f3gihLlxub9/eCDJDSVEuTkFTREFROk1TRlQuSVFfUlVBX05FVC4xMDAwLjExLzA3LzIwMjYuLi5VU0QuSAEAAABLVQAAAwAAAAAAqk8pa2/f3ghYGlxub9/eCDNDSVEuTkFTREFROk1TRlQuSVFfUlVBX0dST1NTLjk5Ny4xMS8wNy8yMDI2Li4uVVNELkgBAAAAS1UAAAMAAAAAAKpPKWtv394IWBpcbm/f3gg2Q0lRLk5BU0RBUTpNU0ZULklRX1RPVEFMX0VRVUlUWS45OTQuMTEvMDcvMjAyNi4uLlVTRC5IAQAAAEtVAAACAAAABjEwMjMzMAEIAAAABQAAAAExAQAAAAstMjE0MDk4MTQ2OQMAAAADMTYwAgAAAAQxMjc1BAAAAAEwBwAAAAk3LzExLzIwMjYIAAAACTYvMzAvMjAxOQkAAAABMKpPKWtv394IWBpcbm/f3ggyQ0lRLk5BU0RBUTpNU0ZULklRX1RSRUFTVVJZLjk5OC4xMS8wNy8yMDI2Li4uVVNELkgBAAAAS1UAAAMAAAAAAKpPKWtv394IWBpcbm/f3gg2Q0lRLk5BU0RBUTpNU0ZULklRX1BSRUZfQ09OVkVSVC45OTkuMTEvMDcvMjAyNi4uLlVTRC5IAQAAAEtVAAADAAAAAACqTylrb9/eCKEuXG5v394IRUNJUS5OQVNEQVE6TVNGVC5JUV9UT1RBTF9ERUJUX0VYQ0xfT1BFUl9MRUFTRVMuOTk5LjExLzA3LzIw</t>
  </si>
  <si>
    <t>MjYuLi5VU0QuSAEAAABLVQAAAgAAAAU3ODc3NQEIAAAABQAAAAExAQAAAAstMTkzNDI1NDE4NQMAAAADMTYwAgAAAAU0ODk4MgQAAAABMAcAAAAJNy8xMS8yMDI2CAAAAAk2LzMwLzIwMjQJAAAAATCqTylrb9/eCO4FXG5v394IUkNJUS5OQVNEQVE6TVNGVC5JUV9GSU5BTkNJTkdfT0JMSUdfQ1VSUkVOVF9FWENMX09QRVJfTEVBU0VTLjk5Ny4xMS8wNy8yMDI2Li4uVVNELkgBAAAAS1UAAAIAAAAEMzgwOQEIAAAABQAAAAExAQAAAAstMTk4NTkzMTIyNAMAAAADMTYwAgAAAAU0ODk4MAQAAAABMAcAAAAJNy8xMS8yMDI2CAAAAAk2LzMwLzIwMjIJAAAAATCqTylrb9/eCO4FXG5v394IQ0NJUS5OQVNEQVE6TVNGVC5JUV9GSU5BTkNFX0xFQVNFU19MT05HX1RFUk0uMTAwMC4xMS8wNy8yMDI2Li4uVVNELkgBAAAAS1UAAAIAAAAFNDMwMDABCAAAAAUAAAABMQEAAAALLTE5MzQyNTQyMTYDAAAAAzE2MAIAAAAFNDg5OTEEAAAAATAHAAAACTcvMTEvMjAyNggAAAAJNi8zMC8yMDI1CQAAAAEwqk8pa2/f3ghYGlxub9/eCEBDSVEuTkFTREFROk1TRlQuSVFfRklOQU5DRV9MRUFTRVNfQ1VSUkVOVC45OTUuMTEvMDcvMjAyNi4uLlVTRC5IAQAAAEtVAAACAAAAAzU0MAEIAAAABQAAAAExAQAAAAstMjA4NzQ5NjYyNwMAAAADMTYwAgAAAAU0ODk5MAQAAAABMAcAAAAJNy8xMS8yMDI2CAAAAAk2LzMwLzIwMjAJAAAA</t>
  </si>
  <si>
    <t>ATCqTylrb9/eCFgaXG5v394IQ0NJUS5OQVNEQVE6TVNGVC5JUV9SVUFfT1BFUkFUSU5HX0xFQVNFX0dST1NTLjk5Ni4xMS8wNy8yMDI2Li4uVVNELkgBAAAAS1UAAAIAAAAFMTEwODgBCAAAAAUAAAABMQEAAAALLTIwMzY4NDM4NDMDAAAAAzE2MAIAAAAFNDgzNzcEAAAAATAHAAAACTcvMTEvMjAyNggAAAAJNi8zMC8yMDIxCQAAAAEwqk8pa2/f3ghYGlxub9/eCDZDSVEuTkFTREFROk1TRlQuSVFfV09SS0lOR19DQVAuMTAwMC4xMS8wNy8yMDI2Li4uVVNELkgBAAAAS1UAAAIAAAAFNDk5MTMBCAAAAAUAAAABMQEAAAALLTE5MzQyNTQyMTYDAAAAAzE2MAIAAAAENDE2NQQAAAABMAcAAAAJNy8xMS8yMDI2CAAAAAk2LzMwLzIwMjUJAAAAATCqTylrb9/eCO4FXG5v394IQkNJUS5OQVNEQVE6TVNGVC5JUV9NSU5PUklUWV9JTlRFUkVTVF9UT1RBTC4xMDAwLjExLzA3LzIwMjYuLi5VU0QuSAEAAABLVQAAAwAAAAAAqk8pa2/f3gjuBVxub9/eCEFDSVEuTkFTREFROk1TRlQuSVFfVE9UQUxfREVCVF9OT05fQ1VSUkVOVC4xMDAwLjExLzA3LzIwMjYuLi5VU0QuSAEAAABLVQAAAgAAAAYxMDA1ODkBCAAAAAUAAAABMQEAAAALLTE5MzQyNTQyMTYDAAAAAzE2MAIAAAAFMjUyMjQEAAAAATAHAAAACTcvMTEvMjAyNggAAAAJNi8zMC8yMDI1CQAAAAEwqk8pa2/f3gjuBVxub9/eCDRDSVEuTkFTREFROk1TRlQuSVFf</t>
  </si>
  <si>
    <t>VE9UQUxfREVCVC45OTQuMTEvMDcvMjAyNi4uLlVTRC5IAQAAAEtVAAACAAAABTg2NDU1AQgAAAAFAAAAATEBAAAACy0yMTQwOTgxNDY5AwAAAAMxNjACAAAABDQxNzMEAAAAATAHAAAACTcvMTEvMjAyNggAAAAJNi8zMC8yMDE5CQAAAAEwqk8pa2/f3gjuBVxub9/eCDJDSVEuTkFTREFROk1TRlQuSVFfR1dfSU5UQU4uOTk0LjExLzA3LzIwMjYuLi5VU0QuSAEAAABLVQAAAgAAAAU0OTc3NgEIAAAABQAAAAExAQAAAAstMjE0MDk4MTQ2OQMAAAADMTYwAgAAAAUzNTM4MQQAAAABMAcAAAAJNy8xMS8yMDI2CAAAAAk2LzMwLzIwMTkJAAAAATCqTylrb9/eCO4FXG5v394IR0NJUS5OQVNEQVE6TVNGVC5JUV9HRU5FUkFMX1BBUlRORVJfQ09NTU9OX0VRVUlUWS45OTkuMTEvMDcvMjAyNi4uLlVTRC5IAQAAAEtVAAADAAAAAACqTylrb9/eCOvwW25v394IQ0NJUS5OQVNEQVE6TVNGVC5JUV9GSU5fRElWX01JTk9SSVRZX0lOVEVSRVNULjk5NC4xMS8wNy8yMDI2Li4uVVNELkgBAAAAS1UAAAMAAAAAAKpPKWtv394I6/Bbbm/f3ghFQ0lRLk5BU0RBUTpNU0ZULklRX0ZJTl9ESVZfTUlOT1JJVFlfSU5UX1JFREVFTS45OTUuMTEvMDcvMjAyNi4uLlVTRC5IAQAAAEtVAAADAAAAAACqTylrb9/eCOvwW25v394ILUNJUS5OQVNEQVE6TVNGVC5JUV9DSVAuOTk4LjExLzA3LzIwMjYuLi5VU0QuSAEAAABLVQAAAwAAAAAA</t>
  </si>
  <si>
    <t>qk8pa2/f3gjr8Ftub9/eCDtDSVEuTkFTREFROk1TRlQuSVFfQUxMT1dfRE9VQlRfQUNDVC4xMDAwLjExLzA3LzIwMjYuLi5VU0QuSAEAAABLVQAAAgAAAAM5NDQBCAAAAAUAAAABMQEAAAALLTE5MzQyNTQyMTYDAAAAAzE2MAIAAAAEMzAxMgQAAAABMAcAAAAJNy8xMS8yMDI2CAAAAAk2LzMwLzIwMjUJAAAAATCqTylrb9/eCOvwW25v394IPENJUS5OQVNEQVE6TVNGVC5JUV9HUk9TU19JTlRBTl9BU1NFVFMuOTk2LjExLzA3LzIwMjYuLi5VU0QuSAEAAABLVQAAAgAAAAUxOTk3NQEIAAAABQAAAAExAQAAAAstMjAzNjg0Mzg0MwMAAAADMTYwAgAAAAUyNDI5MwQAAAABMAcAAAAJNy8xMS8yMDI2CAAAAAk2LzMwLzIwMjEJAAAAATCqTylrb9/eCF7cW25v394IPENJUS5OQVNEQVE6TVNGVC5JUV9GSU5fRElWX0NBU0hfRVFVSVYuOTk3LjExLzA3LzIwMjYuLi5VU0QuSAEAAABLVQAAAwAAAAAAqk8pa2/f3ghe3Ftub9/eCDlDSVEuTkFTREFROk1TRlQuSVFfQVNTRVRTX0xFVkVMXzIuMTAwMC4xMS8wNy8yMDI2Li4uVVNELkgBAAAAS1UAAAIAAAAFMzA1ODUAqk8pa2/f3ghe3Ftub9/eCFFDSVEuTkFTREFROk1TRlQuSVFfTElRVUlEQVRJT05fVkFMVUVfUFJFRkVSUkVEX05PTl9SRURFRU0uMTAwMC4xMS8wNy8yMDI2Li4uVVNELkgBAAAAS1UAAAMAAAAAAKpPKWtv394I6/Bbbm/f3ghIQ0lRLk5BU0RBUTpN</t>
  </si>
  <si>
    <t>U0ZULklRX1RPVEFMX0dFTkVSQUxfUEFSVE5FUl9JTlRFUkVTVC45OTUuMTEvMDcvMjAyNi4uLlVTRC5IAQAAAEtVAAADAAAAAACqTylrb9/eCOvwW25v394INUNJUS5OQVNEQVE6TVNGVC5JUV9DT01NT05fUkVQLjEwMDAuMTEvMDcvMjAyNi4uLlVTRC5IAQAAAEtVAAACAAAABi0xODQyMAEIAAAABQAAAAExAQAAAAstMTkzNDI1NDIxNgMAAAADMTYwAgAAAAQyMTY0BAAAAAEwBwAAAAk3LzExLzIwMjYIAAAACTYvMzAvMjAyNQkAAAABMKpPKWtv394InMhbbm/f3gg3Q0lRLk5BU0RBUTpNU0ZULklRX0NPTU1PTl9JU1NVRUQuOTk0LjExLzA3LzIwMjYuLi5VU0QuSAEAAABLVQAAAgAAAAQxMTQyAQgAAAAFAAAAATEBAAAACy0yMTQwOTgxNDY5AwAAAAMxNjACAAAABDIxNjkEAAAAATAHAAAACTcvMTEvMjAyNggAAAAJNi8zMC8yMDE5CQAAAAEwqk8pa2/f3ghe3Ftub9/eCDlDSVEuTkFTREFROk1TRlQuSVFfTFRfREVCVF9SRVBBSUQuMTAwMC4xMS8wNy8yMDI2Li4uVVNELkgBAAAAS1UAAAIAAAAFLTMyMTYBCAAAAAUAAAABMQEAAAALLTE5MzQyNTQyMTYDAAAAAzE2MAIAAAAEMjAzNgQAAAABMAcAAAAJNy8xMS8yMDI2CAAAAAk2LzMwLzIwMjUJAAAAATCqTylrb9/eCF7cW25v394IO0NJUS5OQVNEQVE6TVNGVC5JUV9UT1RBTF9ERUJUX0lTU1VFRC45OTYuMTEvMDcvMjAyNi4uLlVTRC5IAQAAAEtVAAAD</t>
  </si>
  <si>
    <t>AAAAAACqTylrb9/eCF7cW25v394IQENJUS5OQVNEQVE6TVNGVC5JUV9PVEhFUl9JTlZFU1RfQUNUX1NVUFBMLjk5OC4xMS8wNy8yMDI2Li4uVVNELkgBAAAAS1UAAAIAAAAFLTMxMTYBCAAAAAUAAAABMQEAAAALLTE5MzQyNTQyNTADAAAAAzE2MAIAAAAEMjA1MQQAAAABMAcAAAAJNy8xMS8yMDI2CAAAAAk2LzMwLzIwMjMJAAAAATCqTylrb9/eCF7cW25v394IPkNJUS5OQVNEQVE6TVNGVC5JUV9ORUdBVElWRV9HV19BTU9SVF9DRi45OTYuMTEvMDcvMjAyNi4uLlVTRC5IAQAAAEtVAAADAAAAAACqTylrb9/eCJzIW25v394IR0NJUS5OQVNEQVE6TVNGVC5JUV9ERVBSRUNJQVRJT05fUkVOVEFMX0FTU0VUU19DRi45OTguMTEvMDcvMjAyNi4uLlVTRC5IAQAAAEtVAAADAAAAAACqTylrb9/eCJzIW25v394INENJUS5OQVNEQVE6TVNGVC5JUV9ORVRfQ0hBTkdFLjk5NC4xMS8wNy8yMDI2Li4uVVNELkgBAAAAS1UAAAIAAAAELTU5MAEIAAAABQAAAAExAQAAAAstMjE0MDk4MTQ2OQMAAAADMTYwAgAAAAQyMDkzBAAAAAEwBwAAAAk3LzExLzIwMjYIAAAACTYvMzAvMjAxOQkAAAABMKpPKWtv394InMhbbm/f3ghBQ0lRLk5BU0RBUTpNU0ZULklRX09USEVSX0ZJTkFOQ0VfQUNUX1NVUFBMLjk5Ni4xMS8wNy8yMDI2Li4uVVNELkgBAAAAS1UAAAIAAAAFLTI1MjMBCAAAAAUAAAABMQEAAAALLTIwMzY4NDM4NDMD</t>
  </si>
  <si>
    <t>AAAAAzE2MAIAAAAEMjA1MAQAAAABMAcAAAAJNy8xMS8yMDI2CAAAAAk2LzMwLzIwMjEJAAAAATCqTylrb9/eCJzIW25v394INUNJUS5OQVNEQVE6TVNGVC5JUV9QUkVGX0RJVl9DRi45OTguMTEvMDcvMjAyNi4uLlVTRC5IAQAAAEtVAAADAAAAAACqTylrb9/eCJzIW25v394IOkNJUS5OQVNEQVE6TVNGVC5JUV9DQVNIX1RBWEVTX0ZJTkFOLjk5Ni4xMS8wNy8yMDI2Li4uVVNELkgBAAAAS1UAAAMAAAAAAKpPKWtv394ItLRbbm/f3gg9Q0lRLk5BU0RBUTpNU0ZULklRX0NBU0hfSU5URVJFU1RfRklOQU4uOTk4LjExLzA3LzIwMjYuLi5VU0QuSAEAAABLVQAAAwAAAAAAqk8pa2/f3gi0tFtub9/eCDxDSVEuTkFTREFROk1TRlQuSVFfQ0FTSF9JTlRFUkVTVF9PUEVSLjk5NC4xMS8wNy8yMDI2Li4uVVNELkgBAAAAS1UAAAMAAAAAAKpPKWtv394ItLRbbm/f3gg8Q0lRLk5BU0RBUTpNU0ZULklRX0NBU0hfSU5URVJFU1RfTkVULjEwMDAuMTEvMDcvMjAyNi4uLlVTRC5IAQAAAEtVAAADAAAAAACqTylrb9/eCLS0W25v394IN0NJUS5OQVNEQVE6TVNGVC5JUV9DQVNIX0lOVEVSRVNULjk5NC4xMS8wNy8yMDI2Li4uVVNELkgBAAAAS1UAAAIAAAAEMjQwMAEIAAAABQAAAAExAQAAAAstMjE0MDk4MTQ2OQMAAAADMTYwAgAAAAQzMDI4BAAAAAEwBwAAAAk3LzExLzIwMjYIAAAACTYvMzAvMjAxOQkAAAABMFhjKWtv</t>
  </si>
  <si>
    <t>394InMhbbm/f3ghNQ0lRLk5BU0RBUTpNU0ZULklRX09QRVJBVElOR19MRUFTRV9MSUFCSUxJVElFU19OT05DQVNILjk5OC4xMS8wNy8yMDI2Li4uVVNELkgBAAAAS1UAAAMAAAAAAFhjKWtv394IcY1bbm/f3gg3Q0lRLk5BU0RBUTpNU0ZULklRX0RPX0ZJTkFOQ0VfQ0YuOTk4LjExLzA3LzIwMjYuLi5VU0QuSAEAAABLVQAAAwAAAAAAWGMpa2/f3ghxjVtub9/eCDVDSVEuTkFTREFROk1TRlQuSVFfTUFJTlRfQ0FQRVguOTk0LjExLzA3LzIwMjYuLi5VU0QuSAEAAABLVQAAAwAAAAAAWGMpa2/f3ghxjVtub9/eCDNDSVEuTkFTREFROk1TRlQuSVFfQ0ZfU0hBUkUuMTAwMC4xMS8wNy8yMDI2Li4uVVNELkgBAAAAS1UAAAIAAAAIOS42MzQxOTgBCAAAAAUAAAABMQEAAAALLTE5MzQyNTQyMTYDAAAAAzE2MAIAAAAFNDM5MjMEAAAAATAHAAAACTcvMTEvMjAyNggAAAAJNi8zMC8yMDI1CQAAAAEwWGMpa2/f3gi0tFtub9/eCDVDSVEuTkFTREFROk1TRlQuSVFfTEVWRVJFRF9GQ0YuOTk2LjExLzA3LzIwMjYuLi5VU0QuSAEAAABLVQAAAgAAAAg0MTMzNy4yNQEIAAAABQAAAAExAQAAAAstMjAzNjg0Mzg0MwMAAAADMTYwAgAAAAQ0NDIyBAAAAAEwBwAAAAk3LzExLzIwMjYIAAAACTYvMzAvMjAyMQkAAAABMFhjKWtv394ItLRbbm/f3ghAQ0lRLk5BU0RBUTpNU0ZULklRX0RFRl9UQVhfQVNTRVRTX0NVUlJFTlQu</t>
  </si>
  <si>
    <t>OTk0LjExLzA3LzIwMjYuLi5VU0QuSAEAAABLVQAAAwAAAAAAWGMpa2/f3ghxjVtub9/eCDVDSVEuTkFTREFROk1TRlQuSVFfUFJFUEFJRF9FWFAuOTk2LjExLzA3LzIwMjYuLi5VU0QuSAEAAABLVQAAAwAAAAAAWGMpa2/f3ghxjVtub9/eCDZDSVEuTkFTREFROk1TRlQuSVFfT1RIRVJfUkVDRUlWLjk5OC4xMS8wNy8yMDI2Li4uVVNELkgBAAAAS1UAAAIAAAAEOTIwMAEIAAAABQAAAAExAQAAAAstMTkzNDI1NDI1MAMAAAADMTYwAgAAAAQxMjA2BAAAAAEwBwAAAAk3LzExLzIwMjYIAAAACTYvMzAvMjAyMwkAAAABMFhjKWtv394IcY1bbm/f3gg0Q0lRLk5BU0RBUTpNU0ZULklRX1NUX0lOVkVTVC4xMDAwLjExLzA3LzIwMjYuLi5VU0QuSAEAAABLVQAAAgAAAAU2NDMyMwEIAAAABQAAAAExAQAAAAstMTkzNDI1NDIxNgMAAAADMTYwAgAAAAQxMDY5BAAAAAEwBwAAAAk3LzExLzIwMjYIAAAACTYvMzAvMjAyNQkAAAABMFhjKWtv394IcY1bbm/f3gg0Q0lRLk5BU0RBUTpNU0ZULklRX0NBU0hfRVFVSVYuOTk0LjExLzA3LzIwMjYuLi5VU0QuSAEAAABLVQAAAgAAAAUxMTM1NgEIAAAABQAAAAExAQAAAAstMjE0MDk4MTQ2OQMAAAADMTYwAgAAAAQxMDk2BAAAAAEwBwAAAAk3LzExLzIwMjYIAAAACTYvMzAvMjAxOQkAAAABMFhjKWtv394IcY1bbm/f3gg2Q0lRLk5BU0RBUTpNU0ZULklRX1RPVEFMX0FTU0VU</t>
  </si>
  <si>
    <t>Uy45OTYuMTEvMDcvMjAyNi4uLlVTRC5IAQAAAEtVAAACAAAABjMzMzc3OQEIAAAABQAAAAExAQAAAAstMjAzNjg0Mzg0MwMAAAADMTYwAgAAAAQxMDA3BAAAAAEwBwAAAAk3LzExLzIwMjYIAAAACTYvMzAvMjAyMQkAAAABMFhjKWtv394IHnlbbm/f3gg7Q0lRLk5BU0RBUTpNU0ZULklRX0ZJTl9ESVZfQVNTRVRTX0xULjk5Ny4xMS8wNy8yMDI2Li4uVVNELkgBAAAAS1UAAAMAAAAAAFhjKWtv394IcY1bbm/f3gg1Q0lRLk5BU0RBUTpNU0ZULklRX09USEVSX0lOVEFOLjk5NC4xMS8wNy8yMDI2Li4uVVNELkgBAAAAS1UAAAIAAAAENzc1MAEIAAAABQAAAAExAQAAAAstMjE0MDk4MTQ2OQMAAAADMTYwAgAAAAQxMDQwBAAAAAEwBwAAAAk3LzExLzIwMjYIAAAACTYvMzAvMjAxOQkAAAABMFhjKWtv394IcY1bbm/f3ggsQ0lRLk5BU0RBUTpNU0ZULklRX0FELjk5OC4xMS8wNy8yMDI2Li4uVVNELkgBAAAAS1UAAAIAAAAGLTY4MjUxAQgAAAAFAAAAATEBAAAACy0xOTM0MjU0MjUwAwAAAAMxNjACAAAABDEwNzUEAAAAATAHAAAACTcvMTEvMjAyNggAAAAJNi8zMC8yMDIzCQAAAAEwWGMpa2/f3ghxjVtub9/eCDpDSVEuTkFTREFROk1TRlQuSVFfUkVTVFJJQ1RFRF9DQVNILjEwMDAuMTEvMDcvMjAyNi4uLlVTRC5IAQAAAEtVAAADAAAAAABYYylrb9/eCHGNW25v394IN0NJUS5OQVNEQVE6TVNGVC5JUV9VTkVB</t>
  </si>
  <si>
    <t>Uk5fUkVWX0xULjk5NC4xMS8wNy8yMDI2Li4uVVNELkgBAAAAS1UAAAIAAAAENDUzMAEIAAAABQAAAAExAQAAAAstMjE0MDk4MTQ2OQMAAAADMTYwAgAAAAQxMjU2BAAAAAEwBwAAAAk3LzExLzIwMjYIAAAACTYvMzAvMjAxOQkAAAABMFhjKWtv394IXmVbbm/f3ggxQ0lRLk5BU0RBUTpNU0ZULklRX0xUX0RFQlQuOTk4LjExLzA3LzIwMjYuLi5VU0QuSAEAAABLVQAAAgAAAAU0MTk5MAEIAAAABQAAAAExAQAAAAstMTkzNDI1NDI1MAMAAAADMTYwAgAAAAQxMDQ5BAAAAAEwBwAAAAk3LzExLzIwMjYIAAAACTYvMzAvMjAyMwkAAAABMFhjKWtv394IHnlbbm/f3gg4Q0lRLk5BU0RBUTpNU0ZULklRX09USEVSX0NMX1NVUFBMLjk5NS4xMS8wNy8yMDI2Li4uVVNELkgBAAAAS1UAAAIAAAAENzg3MQEIAAAABQAAAAExAQAAAAstMjA4NzQ5NjYyNwMAAAADMTYwAgAAAAQxMDU3BAAAAAEwBwAAAAk3LzExLzIwMjYIAAAACTYvMzAvMjAyMAkAAAABMFhjKWtv394IHnlbbm/f3gg/Q0lRLk5BU0RBUTpNU0ZULklRX0ZJTl9ESVZfTElBQl9DVVJSRU5ULjEwMDAuMTEvMDcvMjAyNi4uLlVTRC5IAQAAAEtVAAADAAAAAABYYylrb9/eCB55W25v394IPUNJUS5OQVNEQVE6TVNGVC5JUV9DVVJSRU5UX1BPUlRfTEVBU0VTLjk5Ny4xMS8wNy8yMDI2Li4uVVNELkgBAAAAS1UAAAIAAAAEMzI4OAEIAAAABQAAAAExAQAAAAst</t>
  </si>
  <si>
    <t>MTk4NTkzMTIyNAMAAAADMTYwAgAAAAQxMDkwBAAAAAEwBwAAAAk3LzExLzIwMjYIAAAACTYvMzAvMjAyMgkAAAABMFhjKWtv394IHnlbbm/f3ggzQ0lRLk5BU0RBUTpNU0ZULklRX1JVQV9HUk9TUy45OTYuMTEvMDcvMjAyNi4uLlVTRC5IAQAAAEtVAAADAAAAAABYYylrb9/eCBA+W25v394IPkNJUS5OQVNEQVE6TVNGVC5JUV9UT1RBTF9DT01NT05fRVFVSVRZLjEwMDAuMTEvMDcvMjAyNi4uLlVTRC5IAQAAAEtVAAACAAAABjM0MzQ3OQEIAAAABQAAAAExAQAAAAstMTkzNDI1NDIxNgMAAAADMTYwAgAAAAQxMDA2BAAAAAEwBwAAAAk3LzExLzIwMjYIAAAACTYvMzAvMjAyNQkAAAABMFhjKWtv394IXmVbbm/f3ggyQ0lRLk5BU0RBUTpNU0ZULklRX1RSRUFTVVJZLjk5Ny4xMS8wNy8yMDI2Li4uVVNELkgBAAAAS1UAAAMAAAAAAFhjKWtv394IXmVbbm/f3gg0Q0lRLk5BU0RBUTpNU0ZULklRX1BSRUZfT1RIRVIuOTk2LjExLzA3LzIwMjYuLi5VU0QuSAEAAABLVQAAAwAAAAAAWGMpa2/f3gheZVtub9/eCDlDSVEuTkFTREFROk1TRlQuSVFfREVGX1RBWF9MSUFCX0xULjk5Ny4xMS8wNy8yMDI2Li4uVVNELkgBAAAAS1UAAAIAAAADMjMwAQgAAAAFAAAAATEBAAAACy0xOTg1OTMxMjI0AwAAAAMxNjACAAAABDEwMjcEAAAAATAHAAAACTcvMTEvMjAyNggAAAAJNi8zMC8yMDIyCQAAAAEwWGMpa2/f3gheZVtu</t>
  </si>
  <si>
    <t>b9/eCEJDSVEuTkFTREFROk1TRlQuSVFfRklOQU5DRV9MRUFTRVNfTE9OR19URVJNLjk5OS4xMS8wNy8yMDI2Li4uVVNELkgBAAAAS1UAAAIAAAAFMjQ3OTYBCAAAAAUAAAABMQEAAAALLTE5MzQyNTQxODUDAAAAAzE2MAIAAAAFNDg5OTEEAAAAATAHAAAACTcvMTEvMjAyNggAAAAJNi8zMC8yMDI0CQAAAAEwWGMpa2/f3ggQPltub9/eCEBDSVEuTkFTREFROk1TRlQuSVFfRklOQU5DRV9MRUFTRVNfQ1VSUkVOVC45OTQuMTEvMDcvMjAyNi4uLlVTRC5IAQAAAEtVAAACAAAAAzMxNwEIAAAABQAAAAExAQAAAAstMjE0MDk4MTQ2OQMAAAADMTYwAgAAAAU0ODk5MAQAAAABMAcAAAAJNy8xMS8yMDI2CAAAAAk2LzMwLzIwMTkJAAAAATBYYylrb9/eCBA+W25v394IQUNJUS5OQVNEQVE6TVNGVC5JUV9SVUFfT1BFUkFUSU5HX0xFQVNFX05FVC45OTguMTEvMDcvMjAyNi4uLlVTRC5IAQAAAEtVAAADAAAAAABYYylrb9/eCBA+W25v394IQ0NJUS5OQVNEQVE6TVNGVC5JUV9SVUFfT1BFUkFUSU5HX0xFQVNFX0dST1NTLjk5NS4xMS8wNy8yMDI2Li4uVVNELkgBAAAAS1UAAAIAAAAEODc1MwEIAAAABQAAAAExAQAAAAstMjA4NzQ5NjYyNwMAAAADMTYwAgAAAAU0ODM3NwQAAAABMAcAAAAJNy8xMS8yMDI2CAAAAAk2LzMwLzIwMjAJAAAAATBYYylrb9/eCBA+W25v394IMUNJUS5OQVNEQVE6TVNGVC5JUV9SVUFfTkVU</t>
  </si>
  <si>
    <t>Ljk5OS4xMS8wNy8yMDI2Li4uVVNELkgBAAAAS1UAAAMAAAAAAFhjKWtv394IED5bbm/f3gg1Q0lRLk5BU0RBUTpNU0ZULklRX1dPUktJTkdfQ0FQLjk5OS4xMS8wNy8yMDI2Li4uVVNELkgBAAAAS1UAAAIAAAAFMzQ0NDgBCAAAAAUAAAABMQEAAAALLTE5MzQyNTQxODUDAAAAAzE2MAIAAAAENDE2NQQAAAABMAcAAAAJNy8xMS8yMDI2CAAAAAk2LzMwLzIwMjQJAAAAATBYYylrb9/eCMUpW25v394IQUNJUS5OQVNEQVE6TVNGVC5JUV9NSU5PUklUWV9JTlRFUkVTVF9UT1RBTC45OTkuMTEvMDcvMjAyNi4uLlVTRC5IAQAAAEtVAAADAAAAAABYYylrb9/eCMUpW25v394IQENJUS5OQVNEQVE6TVNGVC5JUV9UT1RBTF9ERUJUX05PTl9DVVJSRU5ULjk5OS4xMS8wNy8yMDI2Li4uVVNELkgBAAAAS1UAAAIAAAAFODI5ODEBCAAAAAUAAAABMQEAAAALLTE5MzQyNTQxODUDAAAAAzE2MAIAAAAFMjUyMjQEAAAAATAHAAAACTcvMTEvMjAyNggAAAAJNi8zMC8yMDI0CQAAAAEwWGMpa2/f3ggQPltub9/eCEVDSVEuTkFTREFROk1TRlQuSVFfVE9UQUxfREVCVF9FWENMX09QRVJfTEVBU0VTLjk5OC4xMS8wNy8yMDI2Li4uVVNELkgBAAAAS1UAAAIAAAAFNjQzMDQBCAAAAAUAAAABMQEAAAALLTE5MzQyNTQyNTADAAAAAzE2MAIAAAAFNDg5ODIEAAAAATAHAAAACTcvMTEvMjAyNggAAAAJNi8zMC8yMDIzCQAAAAEwWGMp</t>
  </si>
  <si>
    <t>a2/f3ggQPltub9/eCFZDSVEuTkFTREFROk1TRlQuSVFfRklOQU5DSU5HX09CTElHX05PTl9DVVJSRU5UX0VYQ0xfT1BFUl9MRUFTRVMuOTk0LjExLzA3LzIwMjYuLi5VU0QuSAEAAABLVQAAAgAAAAU3MjkxOQEIAAAABQAAAAExAQAAAAstMjE0MDk4MTQ2OQMAAAADMTYwAgAAAAU0ODk4MQQAAAABMAcAAAAJNy8xMS8yMDI2CAAAAAk2LzMwLzIwMTkJAAAAATBYYylrb9/eCBA+W25v394IRUNJUS5OQVNEQVE6TVNGVC5JUV9HRU5FUkFMX1BBUlRORVJfUFJFRl9FUVVJVFkuOTk1LjExLzA3LzIwMjYuLi5VU0QuSAEAAABLVQAAAwAAAAAAWGMpa2/f3gjFKVtub9/eCEVDSVEuTkFTREFROk1TRlQuSVFfRklOX0RJVl9NSU5PUklUWV9JTlRfUkVERUVNLjk5NC4xMS8wNy8yMDI2Li4uVVNELkgBAAAAS1UAAAMAAAAAAFhjKWtv394IxSlbbm/f3ggtQ0lRLk5BU0RBUTpNU0ZULklRX0NJUC45OTcuMTEvMDcvMjAyNi4uLlVTRC5IAQAAAEtVAAADAAAAAABYYylrb9/eCMUpW25v394IM0NJUS5OQVNEQVE6TVNGVC5JUV9TT0ZUV0FSRS4xMDAwLjExLzA3LzIwMjYuLi5VU0QuSAEAAABLVQAAAwAAAAAAWGMpa2/f3gjFKVtub9/eCDdDSVEuTkFTREFROk1TRlQuSVFfRVFVSVRZX01FVEhPRC45OTcuMTEvMDcvMjAyNi4uLlVTRC5IAQAAAEtVAAADAAAAAABYYylrb9/eCMUpW25v394IQUNJUS5OQVNEQVE6TVNGVC5J</t>
  </si>
  <si>
    <t>UV9DT05USU5HRU5UX0xJQUJJTElUSUVTLjEwMDAuMTEvMDcvMjAyNi4uLlVTRC5IAQAAAEtVAAADAAAAAABYYylrb9/eCEcUW25v394IO0NJUS5OQVNEQVE6TVNGVC5JUV9GSU5fRElWX1NUX0lOVkVTVC45OTQuMTEvMDcvMjAyNi4uLlVTRC5IAQAAAEtVAAADAAAAAABYYylrb9/eCEcUW25v394IOENJUS5OQVNEQVE6TVNGVC5JUV9BU1NFVFNfTEVWRUxfMi45OTkuMTEvMDcvMjAyNi4uLlVTRC5IAQAAAEtVAAACAAAABTE2ODQwAFhjKWtv394IRxRbbm/f3ghQQ0lRLk5BU0RBUTpNU0ZULklRX0xJUVVJREFUSU9OX1ZBTFVFX1BSRUZFUlJFRF9OT05fUkVERUVNLjk5OS4xMS8wNy8yMDI2Li4uVVNELkgBAAAAS1UAAAMAAAAAAFhjKWtv394IRxRbbm/f3ghIQ0lRLk5BU0RBUTpNU0ZULklRX1RPVEFMX0dFTkVSQUxfUEFSVE5FUl9JTlRFUkVTVC45OTQuMTEvMDcvMjAyNi4uLlVTRC5IAQAAAEtVAAADAAAAAABYYylrb9/eCEcUW25v394IOkNJUS5OQVNEQVE6TVNGVC5JUV9DQVNIX1RBWEVTX0ZJTkFOLjk5NS4xMS8wNy8yMDI2Li4uVVNELkgBAAAAS1UAAAMAAAAAAFhjKWtv394IXd9abm/f3gg9Q0lRLk5BU0RBUTpNU0ZULklRX0NBU0hfSU5URVJFU1RfRklOQU4uOTk3LjExLzA3LzIwMjYuLi5VU0QuSAEAAABLVQAAAwAAAAAAWGMpa2/f3ghd31pub9/eCDBDSVEuTkFTREFROk1TRlQuSVFfR1dfTkVU</t>
  </si>
  <si>
    <t>Ljk5OS4xMS8wNy8yMDI2Li4uVVNELkgBAAAAS1UAAAIAAAAGMTE5MjIwAQgAAAAFAAAAATEBAAAACy0xOTM0MjU0MTg1AwAAAAMxNjACAAAABTQ4OTYwBAAAAAEwBwAAAAk3LzExLzIwMjYIAAAACTYvMzAvMjAyNAkAAAABMFhjKWtv394IXd9abm/f3gg9Q0lRLk5BU0RBUTpNU0ZULklRX0dST1NTX0lOVEFOX0FTU0VUUy4xMDAwLjExLzA3LzIwMjYuLi5VU0QuSAEAAABLVQAAAgAAAAU0MzU1NwEIAAAABQAAAAExAQAAAAstMTkzNDI1NDIxNgMAAAADMTYwAgAAAAUyNDI5MwQAAAABMAcAAAAJNy8xMS8yMDI2CAAAAAk2LzMwLzIwMjUJAAAAATBYYylrb9/eCEcUW25v394IRUNJUS5OQVNEQVE6TVNGVC5JUV9ERVJJVkFUSVZFX0xJQUJfTk9OX0NVUlJFTlQuOTk0LjExLzA3LzIwMjYuLi5VU0QuSAEAAABLVQAAAgAAAAIxNQEIAAAABQAAAAExAQAAAAstMjE0MDk4MTQ2OQMAAAADMTYwAgAAAAU0MDQxOQQAAAABMAcAAAAJNy8xMS8yMDI2CAAAAAk2LzMwLzIwMTkJAAAAATBYYylrb9/eCEcUW25v394INkNJUS5OQVNEQVE6TVNGVC5JUV9PVEhFUl9SRUNFSVYuOTk3LjExLzA3LzIwMjYuLi5VU0QuSAEAAABLVQAAAgAAAAQ2MTAwAQgAAAAFAAAAATEBAAAACy0xOTg1OTMxMjI0AwAAAAMxNjACAAAABDEyMDYEAAAAATAHAAAACTcvMTEvMjAyNggAAAAJNi8zMC8yMDIyCQAAAAEwWGMpa2/f3ghd31pub9/e</t>
  </si>
  <si>
    <t>CDhDSVEuTkFTREFROk1TRlQuSVFfVFJBRElOR19BU1NFVFMuOTk3LjExLzA3LzIwMjYuLi5VU0QuSAEAAABLVQAAAwAAAAAAWGMpa2/f3ghd31pub9/eCEtDSVEuTkFTREFROk1TRlQuSVFfTE9OR19URVJNX0RFQlRfUkVQQUlEX0VYQ0xfTEVBU0VTLjk5NS4xMS8wNy8yMDI2Li4uVVNELkgBAAAAS1UAAAIAAAAFLTU1MTgBCAAAAAUAAAABMQEAAAALLTIwODc0OTY2MjcDAAAAAzE2MAIAAAAFNDg5ODQEAAAAATAHAAAACTcvMTEvMjAyNggAAAAJNi8zMC8yMDIwCQAAAAEwWGMpa2/f3ghd31pub9/eCDdDSVEuTkFTREFROk1TRlQuSVFfRE9fRklOQU5DRV9DRi45OTcuMTEvMDcvMjAyNi4uLlVTRC5IAQAAAEtVAAADAAAAAABYYylrb9/eCF3fWm5v394IMkNJUS5OQVNEQVE6TVNGVC5JUV9DRl9TSEFSRS45OTkuMTEvMDcvMjAyNi4uLlVTRC5IAQAAAEtVAAACAAAACDkuOTY3ODM3AQgAAAAFAAAAATEBAAAACy0xOTM0MjU0MTg1AwAAAAMxNjACAAAABTQzOTIzBAAAAAEwBwAAAAk3LzExLzIwMjYIAAAACTYvMzAvMjAyNAkAAAABMFhjKWtv394IXd9abm/f3gg0Q0lRLk5BU0RBUTpNU0ZULklRX0xUX0lOVkVTVC4xMDAwLjExLzA3LzIwMjYuLi5VU0QuSAEAAABLVQAAAgAAAAUxNTQwNQEIAAAABQAAAAExAQAAAAstMTkzNDI1NDIxNgMAAAADMTYwAgAAAAQxMDU0BAAAAAEwBwAAAAk3LzExLzIwMjYIAAAA</t>
  </si>
  <si>
    <t>CTYvMzAvMjAyNQkAAAABMFhjKWtv394IXd9abm/f3ggsQ0lRLk5BU0RBUTpNU0ZULklRX0FELjk5Ny4xMS8wNy8yMDI2Li4uVVNELkgBAAAAS1UAAAIAAAAGLTU5NjYwAQgAAAAFAAAAATEBAAAACy0xOTg1OTMxMjI0AwAAAAMxNjACAAAABDEwNzUEAAAAATAHAAAACTcvMTEvMjAyNggAAAAJNi8zMC8yMDIyCQAAAAEwWGMpa2/f3ghd31pub9/eCDlDSVEuTkFTREFROk1TRlQuSVFfUkVTVFJJQ1RFRF9DQVNILjk5OS4xMS8wNy8yMDI2Li4uVVNELkgBAAAAS1UAAAMAAAAAAFhjKWtv394IXd9abm/f3ghAQ0lRLk5BU0RBUTpNU0ZULklRX0ZJTl9ESVZfQVNTRVRTX0NVUlJFTlQuOTk5LjExLzA3LzIwMjYuLi5VU0QuSAEAAABLVQAAAwAAAAAAWGMpa2/f3ghd31pub9/eCDVDSVEuTkFTREFROk1TRlQuSVFfUFJFUEFJRF9FWFAuOTk1LjExLzA3LzIwMjYuLi5VU0QuSAEAAABLVQAAAwAAAAAAWGMpa2/f3ghd31pub9/eCD5DSVEuTkFTREFROk1TRlQuSVFfRklOX0RJVl9ERUJUX0NVUlJFTlQuOTk0LjExLzA3LzIwMjYuLi5VU0QuSAEAAABLVQAAAwAAAAAAWGMpa2/f3ghd31pub9/eCC1DSVEuTkFTREFROk1TRlQuSVFfQVAuMTAwMC4xMS8wNy8yMDI2Li4uVVNELkgBAAAAS1UAAAIAAAAFMjc3MjQBCAAAAAUAAAABMQEAAAALLTE5MzQyNTQyMTYDAAAAAzE2MAIAAAAEMTAxOAQAAAABMAcAAAAJNy8xMS8y</t>
  </si>
  <si>
    <t>MDI2CAAAAAk2LzMwLzIwMjUJAAAAATBYYylrb9/eCF3fWm5v394INkNJUS5OQVNEQVE6TVNGVC5JUV9UT1RBTF9BU1NFVFMuOTk1LjExLzA3LzIwMjYuLi5VU0QuSAEAAABLVQAAAgAAAAYzMDEzMTEBCAAAAAUAAAABMQEAAAALLTIwODc0OTY2MjcDAAAAAzE2MAIAAAAEMTAwNwQAAAABMAcAAAAJNy8xMS8yMDI2CAAAAAk2LzMwLzIwMjAJAAAAATBYYylrb9/eCF3fWm5v394IOUNJUS5OQVNEQVE6TVNGVC5JUV9MT0FOU19SRUNFSVZfTFQuOTk5LjExLzA3LzIwMjYuLi5VU0QuSAEAAABLVQAAAwAAAAAAWGMpa2/f3ghd31pub9/eCDtDSVEuTkFTREFROk1TRlQuSVFfRklOX0RJVl9BU1NFVFNfTFQuOTk2LjExLzA3LzIwMjYuLi5VU0QuSAEAAABLVQAAAwAAAAAAWGMpa2/f3ghd31pub9/eCDRDSVEuTkFTREFROk1TRlQuSVFfVE9UQUxfTElBQi45OTkuMTEvMDcvMjAyNi4uLlVTRC5IAQAAAEtVAAACAAAABjI0MzY4NgEIAAAABQAAAAExAQAAAAstMTkzNDI1NDE4NQMAAAADMTYwAgAAAAQxMjc2BAAAAAEwBwAAAAk3LzExLzIwMjYIAAAACTYvMzAvMjAyNAkAAAABMFhjKWtv394IG8tabm/f3gg5Q0lRLk5BU0RBUTpNU0ZULklRX0RFRl9UQVhfTElBQl9MVC45OTYuMTEvMDcvMjAyNi4uLlVTRC5IAQAAAEtVAAACAAAAAzE5OAEIAAAABQAAAAExAQAAAAstMjAzNjg0Mzg0MwMAAAADMTYwAgAAAAQxMDI3</t>
  </si>
  <si>
    <t>BAAAAAEwBwAAAAk3LzExLzIwMjYIAAAACTYvMzAvMjAyMQkAAAABMFhjKWtv394IG8tabm/f3gg6Q0lRLk5BU0RBUTpNU0ZULklRX0ZJTl9ESVZfREVCVF9MVC4xMDAwLjExLzA3LzIwMjYuLi5VU0QuSAEAAABLVQAAAwAAAAAAWGMpa2/f3ggby1pub9/eCDFDSVEuTkFTREFROk1TRlQuSVFfTFRfREVCVC45OTcuMTEvMDcvMjAyNi4uLlVTRC5IAQAAAEtVAAACAAAABTQ3MDMyAQgAAAAFAAAAATEBAAAACy0xOTg1OTMxMjI0AwAAAAMxNjACAAAABDEwNDkEAAAAATAHAAAACTcvMTEvMjAyNggAAAAJNi8zMC8yMDIyCQAAAAEwWGMpa2/f3ggby1pub9/eCD5DSVEuTkFTREFROk1TRlQuSVFfRklOX0RJVl9MSUFCX0NVUlJFTlQuOTk5LjExLzA3LzIwMjYuLi5VU0QuSAEAAABLVQAAAwAAAAAAWGMpa2/f3ggby1pub9/eCDNDSVEuTkFTREFROk1TRlQuSVFfUlVBX0dST1NTLjk5NS4xMS8wNy8yMDI2Li4uVVNELkgBAAAAS1UAAAMAAAAAAFhjKWtv394Io7Rabm/f3gg9Q0lRLk5BU0RBUTpNU0ZULklRX1RPVEFMX0NPTU1PTl9FUVVJVFkuOTk5LjExLzA3LzIwMjYuLi5VU0QuSAEAAABLVQAAAgAAAAYyNjg0NzcBCAAAAAUAAAABMQEAAAALLTE5MzQyNTQxODUDAAAAAzE2MAIAAAAEMTAwNgQAAAABMAcAAAAJNy8xMS8yMDI2CAAAAAk2LzMwLzIwMjQJAAAAATBYYylrb9/eCKO0Wm5v394INkNJUS5OQVNEQVE6</t>
  </si>
  <si>
    <t>TVNGVC5JUV9PVEhFUl9FUVVJVFkuOTk0LjExLzA3LzIwMjYuLi5VU0QuSAEAAABLVQAAAgAAAAQtMzQwAQgAAAAFAAAAATEBAAAACy0yMTQwOTgxNDY5AwAAAAMxNjACAAAABDEwMjgEAAAAATAHAAAACTcvMTEvMjAyNggAAAAJNi8zMC8yMDE5CQAAAAEwWGMpa2/f3gijtFpub9/eCDZDSVEuTkFTREFROk1TRlQuSVFfUFJFRl9FUVVJVFkuMTAwMC4xMS8wNy8yMDI2Li4uVVNELkgBAAAAS1UAAAMAAAAAAFhjKWtv394Io7Rabm/f3gg0Q0lRLk5BU0RBUTpNU0ZULklRX1BSRUZfT1RIRVIuOTk1LjExLzA3LzIwMjYuLi5VU0QuSAEAAABLVQAAAwAAAAAAWGMpa2/f3ggby1pub9/eCFFDSVEuTkFTREFROk1TRlQuSVFfQ1VSUkVOVF9QT1JUSU9OX09QRVJfTEVBU0VfTElBQklMSVRJRVMuMTAwMC4xMS8wNy8yMDI2Li4uVVNELkgBAAAAS1UAAAIAAAAENTQyNAEIAAAABQAAAAExAQAAAAstMTkzNDI1NDIxNgMAAAADMTYwAgAAAAU0ODM4NQQAAAABMAcAAAAJNy8xMS8yMDI2CAAAAAk2LzMwLzIwMjUJAAAAATBYYylrb9/eCMqdWm5v394IPkNJUS5OQVNEQVE6TVNGVC5JUV9UT1RBTF9GSU5BTkNFX0xFQVNFUy45OTUuMTEvMDcvMjAyNi4uLlVTRC5IAQAAAEtVAAACAAAABDk0OTYBCAAAAAUAAAABMQEAAAALLTIwODc0OTY2MjcDAAAAAzE2MAIAAAAFNDkwMzEEAAAAATAHAAAACTcvMTEvMjAyNggAAAAJNi8z</t>
  </si>
  <si>
    <t>MC8yMDIwCQAAAAEwWGMpa2/f3gjKnVpub9/eCEFDSVEuTkFTREFROk1TRlQuSVFfUlVBX09QRVJBVElOR19MRUFTRV9ORVQuOTk3LjExLzA3LzIwMjYuLi5VU0QuSAEAAABLVQAAAwAAAAAAWGMpa2/f3gjKnVpub9/eCENDSVEuTkFTREFROk1TRlQuSVFfUlVBX09QRVJBVElOR19MRUFTRV9HUk9TUy45OTQuMTEvMDcvMjAyNi4uLlVTRC5IAQAAAEtVAAACAAAABDczNzkBCAAAAAUAAAABMQEAAAALLTIxNDA5ODE0NjkDAAAAAzE2MAIAAAAFNDgzNzcEAAAAATAHAAAACTcvMTEvMjAyNggAAAAJNi8zMC8yMDE5CQAAAAEwWGMpa2/f3gijtFpub9/eCDFDSVEuTkFTREFROk1TRlQuSVFfUlVBX05FVC45OTguMTEvMDcvMjAyNi4uLlVTRC5IAQAAAEtVAAADAAAAAABYYylrb9/eCKO0Wm5v394IOUNJUS5OQVNEQVE6TVNGVC5JUV9ORVRfV09SS0lOR19DQVAuOTk2LjExLzA3LzIwMjYuLi5VU0QuSAEAAABLVQAAAgAAAAYtMjM2ODIBCAAAAAUAAAABMQEAAAALLTIwMzY4NDM4NDMDAAAAAzE2MAIAAAAEMTMxMQQAAAABMAcAAAAJNy8xMS8yMDI2CAAAAAk2LzMwLzIwMjEJAAAAATBYYylrb9/eCMyJWm5v394IQUNJUS5OQVNEQVE6TVNGVC5JUV9NSU5PUklUWV9JTlRFUkVTVF9UT1RBTC45OTguMTEvMDcvMjAyNi4uLlVTRC5IAQAAAEtVAAADAAAAAABYYylrb9/eCMyJWm5v394IQENJUS5OQVNEQVE6TVNGVC5J</t>
  </si>
  <si>
    <t>UV9UT1RBTF9ERUJUX05PTl9DVVJSRU5ULjk5OC4xMS8wNy8yMDI2Li4uVVNELkgBAAAAS1UAAAIAAAAFNzA1ODgBCAAAAAUAAAABMQEAAAALLTE5MzQyNTQyNTADAAAAAzE2MAIAAAAFMjUyMjQEAAAAATAHAAAACTcvMTEvMjAyNggAAAAJNi8zMC8yMDIzCQAAAAEwWGMpa2/f3gjKnVpub9/eCDRDSVEuTkFTREFROk1TRlQuSVFfVE9UQUxfREVCVC45OTkuMTEvMDcvMjAyNi4uLlVTRC5IAQAAAEtVAAACAAAABTk3ODUyAQgAAAAFAAAAATEBAAAACy0xOTM0MjU0MTg1AwAAAAMxNjACAAAABDQxNzMEAAAAATAHAAAACTcvMTEvMjAyNggAAAAJNi8zMC8yMDI0CQAAAAEwWGMpa2/f3gjKnVpub9/eCEBDSVEuTkFTREFROk1TRlQuSVFfVE9UQUxfREVCVF9FWENMX0xFQVNFUy45OTUuMTEvMDcvMjAyNi4uLlVTRC5IAQAAAEtVAAACAAAABTYzMzI3AQgAAAAFAAAAATEBAAAACy0yMDg3NDk2NjI3AwAAAAMxNjACAAAABTQ4OTkyBAAAAAEwBwAAAAk3LzExLzIwMjYIAAAACTYvMzAvMjAyMAkAAAABMFhjKWtv394Iyp1abm/f3ghMQ0lRLk5BU0RBUTpNU0ZULklRX0xJUVVJREFUSU9OX1ZBTFVFX1BSRUZFUlJFRF9SRURFRU0uOTk0LjExLzA3LzIwMjYuLi5VU0QuSAEAAABLVQAAAwAAAAAAWGMpa2/f3ggOdFpub9/eCEVDSVEuTkFTREFROk1TRlQuSVFfR0VORVJBTF9QQVJUTkVSX1BSRUZfRVFVSVRZLjk5NC4x</t>
  </si>
  <si>
    <t>MS8wNy8yMDI2Li4uVVNELkgBAAAAS1UAAAMAAAAAAFhjKWtv394IzIlabm/f3gg/Q0lRLk5BU0RBUTpNU0ZULklRX0xFQVNFSE9MRF9JTVBST1ZFTUVOVC45OTQuMTEvMDcvMjAyNi4uLlVTRC5IAQAAAEtVAAACAAAABDUzMTYBCAAAAAUAAAABMQEAAAALLTIxNDA5ODE0NjkDAAAAAzE2MAIAAAAEMzEwMAQAAAABMAcAAAAJNy8xMS8yMDI2CAAAAAk2LzMwLzIwMTkJAAAAATBYYylrb9/eCMyJWm5v394IMkNJUS5OQVNEQVE6TVNGVC5JUV9TT0ZUV0FSRS45OTcuMTEvMDcvMjAyNi4uLlVTRC5IAQAAAEtVAAADAAAAAABYYylrb9/eCMyJWm5v394IN0NJUS5OQVNEQVE6TVNGVC5JUV9FUVVJVFlfTUVUSE9ELjk5Ni4xMS8wNy8yMDI2Li4uVVNELkgBAAAAS1UAAAMAAAAAAFhjKWtv394IzIlabm/f3ghAQ0lRLk5BU0RBUTpNU0ZULklRX0NPTlRJTkdFTlRfTElBQklMSVRJRVMuOTk5LjExLzA3LzIwMjYuLi5VU0QuSAEAAABLVQAAAwAAAAAAWGMpa2/f3ggOdFpub9/eCEVDSVEuTkFTREFROk1TRlQuSVFfUkVTVFJJQ1RFRF9DQVNIX05PTl9DVVJSRU5ULjk5NC4xMS8wNy8yMDI2Li4uVVNELkgBAAAAS1UAAAMAAAAAAFhjKWtv394IDnRabm/f3gg/Q0lRLk5BU0RBUTpNU0ZULklRX0ZJTl9ESVZfTFRfREVCVF9UT1RBTC45OTcuMTEvMDcvMjAyNi4uLlVTRC5IAQAAAEtVAAADAAAAAABYYylrb9/eCA50Wm5v</t>
  </si>
  <si>
    <t>394IPUNJUS5OQVNEQVE6TVNGVC5JUV9MSUFCSUxJVElFU19MRVZFTF8zLjk5OS4xMS8wNy8yMDI2Li4uVVNELkgBAAAAS1UAAAMAAAAAAFhjKWtv394IDnRabm/f3gg4Q0lRLk5BU0RBUTpNU0ZULklRX0FTU0VUU19MRVZFTF8yLjk5OC4xMS8wNy8yMDI2Li4uVVNELkgBAAAAS1UAAAIAAAAFMzQyMTgAWGMpa2/f3ggOdFpub9/eCD5DSVEuTkFTREFROk1TRlQuSVFfTkVHQVRJVkVfR1dfQU1PUlRfQ0YuOTk0LjExLzA3LzIwMjYuLi5VU0QuSAEAAABLVQAAAwAAAAAAWGMpa2/f3gg4YFpub9/eCEdDSVEuTkFTREFROk1TRlQuSVFfREFfU1VQUExfQ0ZfRVhDTF9PUEVSX0xFQVNFUy4xMDAwLjExLzA3LzIwMjYuLi5VU0QuSAEAAABLVQAAAgAAAAUyMjAwMAEIAAAABQAAAAExAQAAAAstMTkzNDI1NDIxNgMAAAADMTYwAgAAAAU0ODk4MwQAAAABMAcAAAAJNy8xMS8yMDI2CAAAAAk2LzMwLzIwMjUJAAAAATBYYylrb9/eCDhgWm5v394IR0NJUS5OQVNEQVE6TVNGVC5JUV9ERVBSRUNJQVRJT05fUkVOVEFMX0FTU0VUU19DRi45OTYuMTEvMDcvMjAyNi4uLlVTRC5IAQAAAEtVAAADAAAAAABYYylrb9/eCDhgWm5v394IMENJUS5OQVNEQVE6TVNGVC5JUV9HV19ORVQuOTk4LjExLzA3LzIwMjYuLi5VU0QuSAEAAABLVQAAAgAAAAU2Nzg4NgEIAAAABQAAAAExAQAAAAstMTkzNDI1NDI1MAMAAAADMTYwAgAAAAU0</t>
  </si>
  <si>
    <t>ODk2MAQAAAABMAcAAAAJNy8xMS8yMDI2CAAAAAk2LzMwLzIwMjMJAAAAATBYYylrb9/eCDhgWm5v394IQkNJUS5OQVNEQVE6TVNGVC5JUV9BQ0NVTV9BTU9SVF9JTlRBTl9BU1NFVFMuOTk0LjExLzA3LzIwMjYuLi5VU0QuSAEAAABLVQAAAgAAAAUtOTM4OQEIAAAABQAAAAExAQAAAAstMjE0MDk4MTQ2OQMAAAADMTYwAgAAAAUyNDMzMQQAAAABMAcAAAAJNy8xMS8yMDI2CAAAAAk2LzMwLzIwMTkJAAAAATBYYylrb9/eCA50Wm5v394IOkNJUS5OQVNEQVE6TVNGVC5JUV9DQVNIX1RBWEVTX0ZJTkFOLjk5NC4xMS8wNy8yMDI2Li4uVVNELkgBAAAAS1UAAAMAAAAAAEx3KWtv394Ivzhabm/f3gg6Q0lRLk5BU0RBUTpNU0ZULklRX0NBU0hfVEFYRVNfT1BFUi4xMDAwLjExLzA3LzIwMjYuLi5VU0QuSAEAAABLVQAAAwAAAAAATHcpa2/f3gi/OFpub9/eCD1DSVEuTkFTREFROk1TRlQuSVFfQ0FTSF9JTlRFUkVTVF9GSU5BTi45OTYuMTEvMDcvMjAyNi4uLlVTRC5IAQAAAEtVAAADAAAAAABMdylrb9/eCDhgWm5v394IO0NJUS5OQVNEQVE6TVNGVC5JUV9DQVNIX0lOVEVSRVNUX05FVC45OTguMTEvMDcvMjAyNi4uLlVTRC5IAQAAAEtVAAADAAAAAABMdylrb9/eCDhgWm5v394IQkNJUS5OQVNEQVE6TVNGVC5JUV9BTU9SVF9TT0ZUV0FSRV9BU1NFVFNfQ0YuOTk4LjExLzA3LzIwMjYuLi5VU0QuSAEAAABLVQAA</t>
  </si>
  <si>
    <t>AwAAAAAATHcpa2/f3gg4YFpub9/eCEhDSVEuTkFTREFROk1TRlQuSVFfVE9UQUxfREVCVF9SRVBBSURfRVhDTF9MRUFTRVMuMTAwMC4xMS8wNy8yMDI2Li4uVVNELkgBAAAAS1UAAAIAAAAFLTg5NjIBCAAAAAUAAAABMQEAAAALLTE5MzQyNTQyMTYDAAAAAzE2MAIAAAAFNDg5ODYEAAAAATAHAAAACTcvMTEvMjAyNggAAAAJNi8zMC8yMDI1CQAAAAEwTHcpa2/f3gi/OFpub9/eCEtDSVEuTkFTREFROk1TRlQuSVFfTE9OR19URVJNX0RFQlRfUkVQQUlEX0VYQ0xfTEVBU0VTLjk5NC4xMS8wNy8yMDI2Li4uVVNELkgBAAAAS1UAAAIAAAAFLTQwMDABCAAAAAUAAAABMQEAAAALLTIxNDA5ODE0NjkDAAAAAzE2MAIAAAAFNDg5ODQEAAAAATAHAAAACTcvMTEvMjAyNggAAAAJNi8zMC8yMDE5CQAAAAEwTHcpa2/f3gi/OFpub9/eCDdDSVEuTkFTREFROk1TRlQuSVFfRE9fRklOQU5DRV9DRi45OTYuMTEvMDcvMjAyNi4uLlVTRC5IAQAAAEtVAAADAAAAAABMdylrb9/eCL84Wm5v394IMkNJUS5OQVNEQVE6TVNGVC5JUV9DRl9TSEFSRS45OTguMTEvMDcvMjAyNi4uLlVTRC5IAQAAAEtVAAACAAAABzcuOTg3NTEBCAAAAAUAAAABMQEAAAALLTE5MzQyNTQyNTADAAAAAzE2MAIAAAAFNDM5MjMEAAAAATAHAAAACTcvMTEvMjAyNggAAAAJNi8zMC8yMDIzCQAAAAEwTHcpa2/f3gi/OFpub9/eCD9DSVEuTkFTREFROk1T</t>
  </si>
  <si>
    <t>RlQuSVFfQ0hBTkdFX0RFRl9UQVhfVE9UQUwuMTAwMC4xMS8wNy8yMDI2Li4uVVNELkgBAAAAS1UAAAIAAAAFLTcwNTYBCAAAAAUAAAABMQEAAAALLTE5MzQyNTQyMTYDAAAAAzE2MAIAAAAFMzA5MjQEAAAAATAHAAAACTcvMTEvMjAyNggAAAAJNi8zMC8yMDI1CQAAAAEwTHcpa2/f3gi/OFpub9/eCEBDSVEuTkFTREFROk1TRlQuSVFfRklOX0RJVl9BU1NFVFNfQ1VSUkVOVC45OTguMTEvMDcvMjAyNi4uLlVTRC5IAQAAAEtVAAADAAAAAABMdylrb9/eCL84Wm5v394INUNJUS5OQVNEQVE6TVNGVC5JUV9QUkVQQUlEX0VYUC45OTQuMTEvMDcvMjAyNi4uLlVTRC5IAQAAAEtVAAADAAAAAABMdylrb9/eCL84Wm5v394IN0NJUS5OQVNEQVE6TVNGVC5JUV9UT1RBTF9SRUNFSVYuMTAwMC4xMS8wNy8yMDI2Li4uVVNELkgBAAAAS1UAAAIAAAAFNzgxMDUBCAAAAAUAAAABMQEAAAALLTE5MzQyNTQyMTYDAAAAAzE2MAIAAAAEMTAwMQQAAAABMAcAAAAJNy8xMS8yMDI2CAAAAAk2LzMwLzIwMjUJAAAAATBMdylrb9/eCL84Wm5v394IOENJUS5OQVNEQVE6TVNGVC5JUV9TVF9OT1RFX1JFQ0VJVi45OTQuMTEvMDcvMjAyNi4uLlVTRC5IAQAAAEtVAAADAAAAAABMdylrb9/eCL84Wm5v394IOENJUS5OQVNEQVE6TVNGVC5JUV9UUkFESU5HX0FTU0VUUy45OTYuMTEvMDcvMjAyNi4uLlVTRC5IAQAAAEtVAAADAAAAAABM</t>
  </si>
  <si>
    <t>dylrb9/eCL84Wm5v394IOUNJUS5OQVNEQVE6TVNGVC5JUV9MT0FOU19SRUNFSVZfTFQuOTk4LjExLzA3LzIwMjYuLi5VU0QuSAEAAABLVQAAAwAAAAAATHcpa2/f3ghj/Flub9/eCDtDSVEuTkFTREFROk1TRlQuSVFfRklOX0RJVl9BU1NFVFNfTFQuOTk1LjExLzA3LzIwMjYuLi5VU0QuSAEAAABLVQAAAwAAAAAATHcpa2/f3ghj/Flub9/eCDNDSVEuTkFTREFROk1TRlQuSVFfTFRfSU5WRVNULjk5OS4xMS8wNy8yMDI2Li4uVVNELkgBAAAAS1UAAAIAAAAFMTQ2MDABCAAAAAUAAAABMQEAAAALLTE5MzQyNTQxODUDAAAAAzE2MAIAAAAEMTA1NAQAAAABMAcAAAAJNy8xMS8yMDI2CAAAAAk2LzMwLzIwMjQJAAAAATBMdylrb9/eCGP8WW5v394ILENJUS5OQVNEQVE6TVNGVC5JUV9BRC45OTYuMTEvMDcvMjAyNi4uLlVTRC5IAQAAAEtVAAACAAAABi01MTM1MQEIAAAABQAAAAExAQAAAAstMjAzNjg0Mzg0MwMAAAADMTYwAgAAAAQxMDc1BAAAAAEwBwAAAAk3LzExLzIwMjYIAAAACTYvMzAvMjAyMQkAAAABMEx3KWtv394IY/xZbm/f3gg4Q0lRLk5BU0RBUTpNU0ZULklRX09USEVSX0NBX1NVUFBMLjk5Ni4xMS8wNy8yMDI2Li4uVVNELkgBAAAAS1UAAAIAAAAFMTM0NzEBCAAAAAUAAAABMQEAAAALLTIwMzY4NDM4NDMDAAAAAzE2MAIAAAAEMTA1NQQAAAABMAcAAAAJNy8xMS8yMDI2CAAAAAk2LzMwLzIwMjEJ</t>
  </si>
  <si>
    <t>AAAAATBMdylrb9/eCL84Wm5v394IMUNJUS5OQVNEQVE6TVNGVC5JUV9MVF9ERUJULjk5Ni4xMS8wNy8yMDI2Li4uVVNELkgBAAAAS1UAAAIAAAAFNTAwNzQBCAAAAAUAAAABMQEAAAALLTIwMzY4NDM4NDMDAAAAAzE2MAIAAAAEMTA0OQQAAAABMAcAAAAJNy8xMS8yMDI2CAAAAAk2LzMwLzIwMjEJAAAAATBMdylrb9/eCGP8WW5v394IPUNJUS5OQVNEQVE6TVNGVC5JUV9VTkVBUk5fUkVWX0NVUlJFTlQuMTAwMC4xMS8wNy8yMDI2Li4uVVNELkgBAAAAS1UAAAIAAAAFNjQ1NTUBCAAAAAUAAAABMQEAAAALLTE5MzQyNTQyMTYDAAAAAzE2MAIAAAAEMTA3NAQAAAABMAcAAAAJNy8xMS8yMDI2CAAAAAk2LzMwLzIwMjUJAAAAATBMdylrb9/eCGP8WW5v394IPUNJUS5OQVNEQVE6TVNGVC5JUV9JTkNfVEFYX1BBWV9DVVJSRU5ULjk5NS4xMS8wNy8yMDI2Li4uVVNELkgBAAAAS1UAAAIAAAAEMjEzMAEIAAAABQAAAAExAQAAAAstMjA4NzQ5NjYyNwMAAAADMTYwAgAAAAQxMDk0BAAAAAEwBwAAAAk3LzExLzIwMjYIAAAACTYvMzAvMjAyMAkAAAABMEx3KWtv394IY/xZbm/f3ggsQ0lRLk5BU0RBUTpNU0ZULklRX0FFLjk5Ny4xMS8wNy8yMDI2Li4uVVNELkgBAAAAS1UAAAIAAAAFMTA2NjEBCAAAAAUAAAABMQEAAAALLTE5ODU5MzEyMjQDAAAAAzE2MAIAAAAEMTAxNgQAAAABMAcAAAAJNy8xMS8yMDI2CAAAAAk2</t>
  </si>
  <si>
    <t>LzMwLzIwMjIJAAAAATBMdylrb9/eCGP8WW5v394INkNJUS5OQVNEQVE6TVNGVC5JUV9UT1RBTF9BU1NFVFMuOTk0LjExLzA3LzIwMjYuLi5VU0QuSAEAAABLVQAAAgAAAAYyODY1NTYBCAAAAAUAAAABMQEAAAALLTIxNDA5ODE0NjkDAAAAAzE2MAIAAAAEMTAwNwQAAAABMAcAAAAJNy8xMS8yMDI2CAAAAAk2LzMwLzIwMTkJAAAAATBMdylrb9/eCGP8WW5v394IMENJUS5OQVNEQVE6TVNGVC5JUV9DT01NT04uOTk3LjExLzA3LzIwMjYuLi5VU0QuSAEAAABLVQAAAgAAAAU4NjkzOQEIAAAABQAAAAExAQAAAAstMTk4NTkzMTIyNAMAAAADMTYwAgAAAAQxMTAzBAAAAAEwBwAAAAk3LzExLzIwMjYIAAAACTYvMzAvMjAyMgkAAAABMEx3KWtv394IY/xZbm/f3gg0Q0lRLk5BU0RBUTpNU0ZULklRX1BSRUZfT1RIRVIuOTk0LjExLzA3LzIwMjYuLi5VU0QuSAEAAABLVQAAAwAAAAAATHcpa2/f3ghj/Flub9/eCDRDSVEuTkFTREFROk1TRlQuSVFfVE9UQUxfTElBQi45OTguMTEvMDcvMjAyNi4uLlVTRC5IAQAAAEtVAAACAAAABjIwNTc1MwEIAAAABQAAAAExAQAAAAstMTkzNDI1NDI1MAMAAAADMTYwAgAAAAQxMjc2BAAAAAEwBwAAAAk3LzExLzIwMjYIAAAACTYvMzAvMjAyMwkAAAABMEx3KWtv394IY/xZbm/f3gg5Q0lRLk5BU0RBUTpNU0ZULklRX0RFRl9UQVhfTElBQl9MVC45OTUuMTEvMDcvMjAyNi4uLlVT</t>
  </si>
  <si>
    <t>RC5IAQAAAEtVAAACAAAAAzIwNAEIAAAABQAAAAExAQAAAAstMjA4NzQ5NjYyNwMAAAADMTYwAgAAAAQxMDI3BAAAAAEwBwAAAAk3LzExLzIwMjYIAAAACTYvMzAvMjAyMAkAAAABMEx3KWtv394IY/xZbm/f3gg5Q0lRLk5BU0RBUTpNU0ZULklRX0ZJTl9ESVZfREVCVF9MVC45OTkuMTEvMDcvMjAyNi4uLlVTRC5IAQAAAEtVAAADAAAAAABMdylrb9/eCGP8WW5v394IPUNJUS5OQVNEQVE6TVNGVC5JUV9BRF9FWENMX09QRVJfTEVBU0VTLjk5OS4xMS8wNy8yMDI2Li4uVVNELkgBAAAAS1UAAAIAAAAGLTc2NDIxAQgAAAAFAAAAATEBAAAACy0xOTM0MjU0MTg1AwAAAAMxNjACAAAABTQ4OTc1BAAAAAEwBwAAAAk3LzExLzIwMjYIAAAACTYvMzAvMjAyNAkAAAABMEx3KWtv394IY/xZbm/f3ghBQ0lRLk5BU0RBUTpNU0ZULklRX1JVQV9PUEVSQVRJTkdfTEVBU0VfTkVULjk5Ni4xMS8wNy8yMDI2Li4uVVNELkgBAAAAS1UAAAMAAAAAAEx3KWtv394IY/xZbm/f3ghGQ0lRLk5BU0RBUTpNU0ZULklRX1JVQV9DQVBJVEFMX0xFQVNFX0FDQ1VNX0RFUC4xMDAwLjExLzA3LzIwMjYuLi5VU0QuSAEAAABLVQAAAwAAAAAATHcpa2/f3ghj/Flub9/eCDFDSVEuTkFTREFROk1TRlQuSVFfUlVBX05FVC45OTcuMTEvMDcvMjAyNi4uLlVTRC5IAQAAAEtVAAADAAAAAABMdylrb9/eCGP8WW5v394IPUNJUS5OQVNEQVE6TVNG</t>
  </si>
  <si>
    <t>VC5JUV9UT1RBTF9DT01NT05fRVFVSVRZLjk5OC4xMS8wNy8yMDI2Li4uVVNELkgBAAAAS1UAAAIAAAAGMjA2MjIzAQgAAAAFAAAAATEBAAAACy0xOTM0MjU0MjUwAwAAAAMxNjACAAAABDEwMDYEAAAAATAHAAAACTcvMTEvMjAyNggAAAAJNi8zMC8yMDIzCQAAAAEwTHcpa2/f3ghj/Flub9/eCDRDSVEuTkFTREFROk1TRlQuSVFfVE9UQUxfREVCVC45OTcuMTEvMDcvMjAyNi4uLlVTRC5IAQAAAEtVAAACAAAABTc4NDAwAQgAAAAFAAAAATEBAAAACy0xOTg1OTMxMjI0AwAAAAMxNjACAAAABDQxNzMEAAAAATAHAAAACTcvMTEvMjAyNggAAAAJNi8zMC8yMDIyCQAAAAEwTHcpa2/f3gij6Flub9/eCDNDSVEuTkFTREFROk1TRlQuSVFfQlZfU0hBUkUuMTAwMC4xMS8wNy8yMDI2Li4uVVNELkgBAAAAS1UAAAIAAAAJNDYuMjAzNzkzAQgAAAAFAAAAATEBAAAACy0xOTM0MjU0MjE2AwAAAAMxNjACAAAABDQwMjAEAAAAATAHAAAACTcvMTEvMjAyNggAAAAJNi8zMC8yMDI1CQAAAAEwTHcpa2/f3gij6Flub9/eCEBDSVEuTkFTREFROk1TRlQuSVFfVE9UQUxfREVCVF9FWENMX0xFQVNFUy45OTQuMTEvMDcvMjAyNi4uLlVTRC5IAQAAAEtVAAACAAAABTcyMTc4AQgAAAAFAAAAATEBAAAACy0yMTQwOTgxNDY5AwAAAAMxNjACAAAABTQ4OTkyBAAAAAEwBwAAAAk3LzExLzIwMjYIAAAACTYvMzAvMjAxOQkAAAABMEx3</t>
  </si>
  <si>
    <t>KWtv394Io+hZbm/f3ghLQ0lRLk5BU0RBUTpNU0ZULklRX0xUX1BPUlRJT05fT1BFUl9MRUFTRV9MSUFCSUxJVElFUy45OTcuMTEvMDcvMjAyNi4uLlVTRC5IAQAAAEtVAAACAAAABTExNDg5AQgAAAAFAAAAATEBAAAACy0xOTg1OTMxMjI0AwAAAAMxNjACAAAABTQ4MzgzBAAAAAEwBwAAAAk3LzExLzIwMjYIAAAACTYvMzAvMjAyMgkAAAABMEx3KWtv394IY/xZbm/f3gg+Q0lRLk5BU0RBUTpNU0ZULklRX1RPVEFMX0ZJTkFOQ0VfTEVBU0VTLjk5NC4xMS8wNy8yMDI2Li4uVVNELkgBAAAAS1UAAAIAAAAENjU3NAEIAAAABQAAAAExAQAAAAstMjE0MDk4MTQ2OQMAAAADMTYwAgAAAAU0OTAzMQQAAAABMAcAAAAJNy8xMS8yMDI2CAAAAAk2LzMwLzIwMTkJAAAAATBMdylrb9/eCGP8WW5v394IM0NJUS5OQVNEQVE6TVNGVC5JUV9CVUlMRElOR1MuOTk5LjExLzA3LzIwMjYuLi5VU0QuSAEAAABLVQAAAgAAAAU5Mzk0MwEIAAAABQAAAAExAQAAAAstMTkzNDI1NDE4NQMAAAADMTYwAgAAAAQzMDIzBAAAAAEwBwAAAAk3LzExLzIwMjYIAAAACTYvMzAvMjAyNAkAAAABMEx3KWtv394IN8FZbm/f3gg3Q0lRLk5BU0RBUTpNU0ZULklRX0VRVUlUWV9NRVRIT0QuOTk0LjExLzA3LzIwMjYuLi5VU0QuSAEAAABLVQAAAwAAAAAATHcpa2/f3gg3wVlub9/eCDlDSVEuTkFTREFROk1TRlQuSVFfTkVUX1dPUktJTkdfQ0FQ</t>
  </si>
  <si>
    <t>Ljk5NS4xMS8wNy8yMDI2Li4uVVNELkgBAAAAS1UAAAIAAAAGLTIwOTgyAQgAAAAFAAAAATEBAAAACy0yMDg3NDk2NjI3AwAAAAMxNjACAAAABDEzMTEEAAAAATAHAAAACTcvMTEvMjAyNggAAAAJNi8zMC8yMDIwCQAAAAEwTHcpa2/f3gij6Flub9/eCDNDSVEuTkFTREFROk1TRlQuSVFfVE9UQUxfQ0FQLjk5NS4xMS8wNy8yMDI2Li4uVVNELkgBAAAAS1UAAAIAAAAGMjAwNDE0AQgAAAAFAAAAATEBAAAACy0yMDg3NDk2NjI3AwAAAAMxNjACAAAABDQxNzUEAAAAATAHAAAACTcvMTEvMjAyNggAAAAJNi8zMC8yMDIwCQAAAAEwTHcpa2/f3gij6Flub9/eCEBDSVEuTkFTREFROk1TRlQuSVFfVE9UQUxfREVCVF9OT05fQ1VSUkVOVC45OTcuMTEvMDcvMjAyNi4uLlVTRC5IAQAAAEtVAAACAAAABTcyMzYzAQgAAAAFAAAAATEBAAAACy0xOTg1OTMxMjI0AwAAAAMxNjACAAAABTI1MjI0BAAAAAEwBwAAAAk3LzExLzIwMjYIAAAACTYvMzAvMjAyMgkAAAABMEx3KWtv394Io+hZbm/f3gg/Q0lRLk5BU0RBUTpNU0ZULklRX0ZJTl9ESVZfTFRfREVCVF9UT1RBTC45OTYuMTEvMDcvMjAyNi4uLlVTRC5IAQAAAEtVAAADAAAAAABMdylrb9/eCDfBWW5v394ISkNJUS5OQVNEQVE6TVNGVC5JUV9GQUlSX1ZBTFVFX0NIQU5HRV9JTkNMX0VBUk5JTkdTLjEwMDAuMTEvMDcvMjAyNi4uLlVTRC5IAQAAAEtVAAADAAAAAABM</t>
  </si>
  <si>
    <t>dylrb9/eCDfBWW5v394IPUNJUS5OQVNEQVE6TVNGVC5JUV9MSUFCSUxJVElFU19MRVZFTF8zLjk5OC4xMS8wNy8yMDI2Li4uVVNELkgBAAAAS1UAAAMAAAAAAEx3KWtv394IN8FZbm/f3gg7Q0lRLk5BU0RBUTpNU0ZULklRX0FTU0VUU19GQUlSX1ZBTFVFLjk5OC4xMS8wNy8yMDI2Li4uVVNELkgBAAAAS1UAAAIAAAAGMTA1OTM5AEx3KWtv394IN8FZbm/f3gg4Q0lRLk5BU0RBUTpNU0ZULklRX0FTU0VUU19MRVZFTF8yLjk5Ny4xMS8wNy8yMDI2Li4uVVNELkgBAAAAS1UAAAIAAAAFMTc5OTUATHcpa2/f3gg3wVlub9/eCEdDSVEuTkFTREFROk1TRlQuSVFfVE9UQUxfREVCVF9SRVBBSURfRVhDTF9MRUFTRVMuOTk5LjExLzA3LzIwMjYuLi5VU0QuSAEAAABLVQAAAgAAAAYtMjkwNzABCAAAAAUAAAABMQEAAAALLTE5MzQyNTQxODUDAAAAAzE2MAIAAAAFNDg5ODYEAAAAATAHAAAACTcvMTEvMjAyNggAAAAJNi8zMC8yMDI0CQAAAAEwTHcpa2/f3gjfhFlub9/eCEVDSVEuTkFTREFROk1TRlQuSVFfT1BFUkFUSU5HX0xFQVNFX0xJQUJJTElUSUVTLjk5OS4xMS8wNy8yMDI2Li4uVVNELkgBAAAAS1UAAAMAAAAAAEx3KWtv394I34RZbm/f3ggwQ0lRLk5BU0RBUTpNU0ZULklRX0dXX05FVC45OTcuMTEvMDcvMjAyNi4uLlVTRC5IAQAAAEtVAAACAAAABTY3NTI0AQgAAAAFAAAAATEBAAAACy0xOTg1OTMxMjI0</t>
  </si>
  <si>
    <t>AwAAAAMxNjACAAAABTQ4OTYwBAAAAAEwBwAAAAk3LzExLzIwMjYIAAAACTYvMzAvMjAyMgkAAAABMEx3KWtv394I34RZbm/f3ghCQ0lRLk5BU0RBUTpNU0ZULklRX0FDQ1VNX0FNT1JUX0lOVEFOX0FTU0VUUy45OTguMTEvMDcvMjAyNi4uLlVTRC5IAQAAAEtVAAACAAAABi0xNDEyNAEIAAAABQAAAAExAQAAAAstMTkzNDI1NDI1MAMAAAADMTYwAgAAAAUyNDMzMQQAAAABMAcAAAAJNy8xMS8yMDI2CAAAAAk2LzMwLzIwMjMJAAAAATBMdylrb9/eCDfBWW5v394IPkNJUS5OQVNEQVE6TVNGVC5JUV9XQVJSQU5UWV9MSUFCSUxJVElFUy45OTUuMTEvMDcvMjAyNi4uLlVTRC5IAQAAAEtVAAADAAAAAABMdylrb9/eCDfBWW5v394IM0NJUS5OQVNEQVE6TVNGVC5JUV9MVF9JTlZFU1QuOTk4LjExLzA3LzIwMjYuLi5VU0QuSAEAAABLVQAAAgAAAAQ5ODc5AQgAAAAFAAAAATEBAAAACy0xOTM0MjU0MjUwAwAAAAMxNjACAAAABDEwNTQEAAAAATAHAAAACTcvMTEvMjAyNggAAAAJNi8zMC8yMDIzCQAAAAEwTHcpa2/f3gjfhFlub9/eCDhDSVEuTkFTREFROk1TRlQuSVFfT1RIRVJfQ0FfU1VQUEwuOTk1LjExLzA3LzIwMjYuLi5VU0QuSAEAAABLVQAAAgAAAAUxMTUxNwEIAAAABQAAAAExAQAAAAstMjA4NzQ5NjYyNwMAAAADMTYwAgAAAAQxMDU1BAAAAAEwBwAAAAk3LzExLzIwMjYIAAAACTYvMzAvMjAyMAkAAAAB</t>
  </si>
  <si>
    <t>MEx3KWtv394I34RZbm/f3ghAQ0lRLk5BU0RBUTpNU0ZULklRX0ZJTl9ESVZfQVNTRVRTX0NVUlJFTlQuOTk3LjExLzA3LzIwMjYuLi5VU0QuSAEAAABLVQAAAwAAAAAATHcpa2/f3gjfhFlub9/eCDZDSVEuTkFTREFROk1TRlQuSVFfVE9UQUxfUkVDRUlWLjk5OS4xMS8wNy8yMDI2Li4uVVNELkgBAAAAS1UAAAIAAAAFNjc0MjQBCAAAAAUAAAABMQEAAAALLTE5MzQyNTQxODUDAAAAAzE2MAIAAAAEMTAwMQQAAAABMAcAAAAJNy8xMS8yMDI2CAAAAAk2LzMwLzIwMjQJAAAAATBMdylrb9/eCN+EWW5v394IOENJUS5OQVNEQVE6TVNGVC5JUV9UUkFESU5HX0FTU0VUUy45OTUuMTEvMDcvMjAyNi4uLlVTRC5IAQAAAEtVAAADAAAAAABMdylrb9/eCN+EWW5v394IPUNJUS5OQVNEQVE6TVNGVC5JUV9JTkNfVEFYX1BBWV9DVVJSRU5ULjk5NC4xMS8wNy8yMDI2Li4uVVNELkgBAAAAS1UAAAIAAAAENTY2NQEIAAAABQAAAAExAQAAAAstMjE0MDk4MTQ2OQMAAAADMTYwAgAAAAQxMDk0BAAAAAEwBwAAAAk3LzExLzIwMjYIAAAACTYvMzAvMjAxOQkAAAABMEx3KWtv394I34RZbm/f3ggsQ0lRLk5BU0RBUTpNU0ZULklRX0FFLjk5Ni4xMS8wNy8yMDI2Li4uVVNELkgBAAAAS1UAAAIAAAAFMTAwNTcBCAAAAAUAAAABMQEAAAALLTIwMzY4NDM4NDMDAAAAAzE2MAIAAAAEMTAxNgQAAAABMAcAAAAJNy8xMS8yMDI2CAAA</t>
  </si>
  <si>
    <t>AAk2LzMwLzIwMjEJAAAAATBMdylrb9/eCN+EWW5v394IOUNJUS5OQVNEQVE6TVNGVC5JUV9ERUZfQ0hBUkdFU19MVC4xMDAwLjExLzA3LzIwMjYuLi5VU0QuSAEAAABLVQAAAwAAAAAATHcpa2/f3gjfhFlub9/eCDlDSVEuTkFTREFROk1TRlQuSVFfTE9BTlNfUkVDRUlWX0xULjk5Ny4xMS8wNy8yMDI2Li4uVVNELkgBAAAAS1UAAAMAAAAAAEx3KWtv394I34RZbm/f3gg7Q0lRLk5BU0RBUTpNU0ZULklRX0ZJTl9ESVZfQVNTRVRTX0xULjk5NC4xMS8wNy8yMDI2Li4uVVNELkgBAAAAS1UAAAMAAAAAAEx3KWtv394I34RZbm/f3gg6Q0lRLk5BU0RBUTpNU0ZULklRX1BSRUZfTk9OX1JFREVFTS4xMDAwLjExLzA3LzIwMjYuLi5VU0QuSAEAAABLVQAAAwAAAAAATHcpa2/f3gjfhFlub9/eCDRDSVEuTkFTREFROk1TRlQuSVFfVE9UQUxfTElBQi45OTcuMTEvMDcvMjAyNi4uLlVTRC5IAQAAAEtVAAACAAAABjE5ODI5OAEIAAAABQAAAAExAQAAAAstMTk4NTkzMTIyNAMAAAADMTYwAgAAAAQxMjc2BAAAAAEwBwAAAAk3LzExLzIwMjYIAAAACTYvMzAvMjAyMgkAAAABMEx3KWtv394I34RZbm/f3gg5Q0lRLk5BU0RBUTpNU0ZULklRX0RFRl9UQVhfTElBQl9MVC45OTQuMTEvMDcvMjAyNi4uLlVTRC5IAQAAAEtVAAACAAAAAzIzMwEIAAAABQAAAAExAQAAAAstMjE0MDk4MTQ2OQMAAAADMTYwAgAAAAQxMDI3BAAA</t>
  </si>
  <si>
    <t>AAEwBwAAAAk3LzExLzIwMjYIAAAACTYvMzAvMjAxOQkAAAABMEx3KWtv394I34RZbm/f3gg5Q0lRLk5BU0RBUTpNU0ZULklRX0ZJTl9ESVZfREVCVF9MVC45OTguMTEvMDcvMjAyNi4uLlVTRC5IAQAAAEtVAAADAAAAAABMdylrb9/eCN+EWW5v394IPENJUS5OQVNEQVE6TVNGVC5JUV9VTkVBUk5fUkVWX0NVUlJFTlQuOTk5LjExLzA3LzIwMjYuLi5VU0QuSAEAAABLVQAAAgAAAAU1NzU4MgEIAAAABQAAAAExAQAAAAstMTkzNDI1NDE4NQMAAAADMTYwAgAAAAQxMDc0BAAAAAEwBwAAAAk3LzExLzIwMjYIAAAACTYvMzAvMjAyNAkAAAABMEx3KWtv394I34RZbm/f3ghFQ0lRLk5BU0RBUTpNU0ZULklRX1JVQV9DQVBJVEFMX0xFQVNFX0FDQ1VNX0RFUC45OTkuMTEvMDcvMjAyNi4uLlVTRC5IAQAAAEtVAAADAAAAAABMdylrb9/eCENIWW5v394IMUNJUS5OQVNEQVE6TVNGVC5JUV9SVUFfTkVULjk5Ni4xMS8wNy8yMDI2Li4uVVNELkgBAAAAS1UAAAMAAAAAAEx3KWtv394IQ0hZbm/f3gg3Q0lRLk5BU0RBUTpNU0ZULklRX1RPVEFMX0VRVUlUWS4xMDAwLjExLzA3LzIwMjYuLi5VU0QuSAEAAABLVQAAAgAAAAYzNDM0NzkBCAAAAAUAAAABMQEAAAALLTE5MzQyNTQyMTYDAAAAAzE2MAIAAAAEMTI3NQQAAAABMAcAAAAJNy8xMS8yMDI2CAAAAAk2LzMwLzIwMjUJAAAAATBMdylrb9/eCENIWW5v394IO0NJUS5O</t>
  </si>
  <si>
    <t>QVNEQVE6TVNGVC5JUV9NSU5PUklUWV9JTlRFUkVTVC45OTUuMTEvMDcvMjAyNi4uLlVTRC5IAQAAAEtVAAADAAAAAABMdylrb9/eCENIWW5v394IMENJUS5OQVNEQVE6TVNGVC5JUV9DT01NT04uOTk2LjExLzA3LzIwMjYuLi5VU0QuSAEAAABLVQAAAgAAAAU4MzExMQEIAAAABQAAAAExAQAAAAstMjAzNjg0Mzg0MwMAAAADMTYwAgAAAAQxMTAzBAAAAAEwBwAAAAk3LzExLzIwMjYIAAAACTYvMzAvMjAyMQkAAAABMEx3KWtv394I34RZbm/f3gg7Q0lRLk5BU0RBUTpNU0ZULklRX0JWX1NIQVJFX1JFUE9SVEVELjk5Ny4xMS8wNy8yMDI2Li4uVVNELkgBAAAAS1UAAAMAAAAAAEx3KWtv394IQ0hZbm/f3ghLQ0lRLk5BU0RBUTpNU0ZULklRX0xUX1BPUlRJT05fT1BFUl9MRUFTRV9MSUFCSUxJVElFUy45OTYuMTEvMDcvMjAyNi4uLlVTRC5IAQAAAEtVAAACAAAABDk2MjkBCAAAAAUAAAABMQEAAAALLTIwMzY4NDM4NDMDAAAAAzE2MAIAAAAFNDgzODMEAAAAATAHAAAACTcvMTEvMjAyNggAAAAJNi8zMC8yMDIxCQAAAAEwTHcpa2/f3ghDSFlub9/eCEFDSVEuTkFTREFROk1TRlQuSVFfRklOQU5DRV9MRUFTRVNfQ1VSUkVOVC4xMDAwLjExLzA3LzIwMjYuLi5VU0QuSAEAAABLVQAAAgAAAAQzMTcyAQgAAAAFAAAAATEBAAAACy0xOTM0MjU0MjE2AwAAAAMxNjACAAAABTQ4OTkwBAAAAAEwBwAAAAk3LzExLzIw</t>
  </si>
  <si>
    <t>MjYIAAAACTYvMzAvMjAyNQkAAAABMEx3KWtv394IQ0hZbm/f3gg9Q0lRLk5BU0RBUTpNU0ZULklRX0FEX0VYQ0xfT1BFUl9MRUFTRVMuOTk3LjExLzA3LzIwMjYuLi5VU0QuSAEAAABLVQAAAgAAAAYtNTk2NjABCAAAAAUAAAABMQEAAAALLTE5ODU5MzEyMjQDAAAAAzE2MAIAAAAFNDg5NzUEAAAAATAHAAAACTcvMTEvMjAyNggAAAAJNi8zMC8yMDIyCQAAAAEwTHcpa2/f3ghDSFlub9/eCEFDSVEuTkFTREFROk1TRlQuSVFfUlVBX09QRVJBVElOR19MRUFTRV9ORVQuOTk1LjExLzA3LzIwMjYuLi5VU0QuSAEAAABLVQAAAwAAAAAATHcpa2/f3ghDSFlub9/eCDJDSVEuTkFTREFROk1TRlQuSVFfUkFXX0lOVi4xMDAwLjExLzA3LzIwMjYuLi5VU0QuSAEAAABLVQAAAwAAAAAATHcpa2/f3ghDSFlub9/eCDlDSVEuTkFTREFROk1TRlQuSVFfTkVUX1dPUktJTkdfQ0FQLjk5NC4xMS8wNy8yMDI2Li4uVVNELkgBAAAAS1UAAAIAAAAGLTIwMzUyAQgAAAAFAAAAATEBAAAACy0yMTQwOTgxNDY5AwAAAAMxNjACAAAABDEzMTEEAAAAATAHAAAACTcvMTEvMjAyNggAAAAJNi8zMC8yMDE5CQAAAAEwTHcpa2/f3ghDSFlub9/eCDNDSVEuTkFTREFROk1TRlQuSVFfVE9UQUxfQ0FQLjk5NC4xMS8wNy8yMDI2Li4uVVNELkgBAAAAS1UAAAIAAAAGMTg4Nzg1AQgAAAAFAAAAATEBAAAACy0yMTQwOTgxNDY5AwAAAAMxNjAC</t>
  </si>
  <si>
    <t>AAAABDQxNzUEAAAAATAHAAAACTcvMTEvMjAyNggAAAAJNi8zMC8yMDE5CQAAAAEwTHcpa2/f3ghDSFlub9/eCDJDSVEuTkFTREFROk1TRlQuSVFfTkVUX0RFQlQuOTk0LjExLzA3LzIwMjYuLi5VU0QuSAEAAABLVQAAAgAAAAYtNDczNzcBCAAAAAUAAAABMQEAAAALLTIxNDA5ODE0NjkDAAAAAzE2MAIAAAAENDM2NAQAAAABMAcAAAAJNy8xMS8yMDI2CAAAAAk2LzMwLzIwMTkJAAAAATBMdylrb9/eCENIWW5v394INENJUS5OQVNEQVE6TVNGVC5JUV9UT1RBTF9ERUJULjk5Ni4xMS8wNy8yMDI2Li4uVVNELkgBAAAAS1UAAAIAAAAFODIyNzgBCAAAAAUAAAABMQEAAAALLTIwMzY4NDM4NDMDAAAAAzE2MAIAAAAENDE3MwQAAAABMAcAAAAJNy8xMS8yMDI2CAAAAAk2LzMwLzIwMjEJAAAAATBMdylrb9/eCENIWW5v394IOENJUS5OQVNEQVE6TVNGVC5JUV9BU1NFVFNfTEVWRUxfMy45OTQuMTEvMDcvMjAyNi4uLlVTRC5IAQAAAEtVAAACAAAAAjI1AEx3KWtv394IQ0hZbm/f3ghMQ0lRLk5BU0RBUTpNU0ZULklRX0xJUVVJREFUSU9OX1ZBTFVFX1BSRUZFUlJFRF9SRURFRU0uOTk5LjExLzA3LzIwMjYuLi5VU0QuSAEAAABLVQAAAwAAAAAATHcpa2/f3ghDSFlub9/eCENDSVEuTkFTREFROk1TRlQuSVFfRklOX0RJVl9NSU5PUklUWV9JTlRFUkVTVC45OTguMTEvMDcvMjAyNi4uLlVTRC5IAQAAAEtVAAADAAAA</t>
  </si>
  <si>
    <t>AABMdylrb9/eCENIWW5v394IM0NJUS5OQVNEQVE6TVNGVC5JUV9CVUlMRElOR1MuOTk4LjExLzA3LzIwMjYuLi5VU0QuSAEAAABLVQAAAgAAAAU2ODQ2NQEIAAAABQAAAAExAQAAAAstMTkzNDI1NDI1MAMAAAADMTYwAgAAAAQzMDIzBAAAAAEwBwAAAAk3LzExLzIwMjYIAAAACTYvMzAvMjAyMwkAAAABMEx3KWtv394IQ0hZbm/f3ggzQ0lRLk5BU0RBUTpNU0ZULklRX09USEVSX0lOVi45OTguMTEvMDcvMjAyNi4uLlVTRC5IAQAAAEtVAAADAAAAAABMdylrb9/eCENIWW5v394IRkNJUS5OQVNEQVE6TVNGVC5JUV9SRVNUUklDVEVEX0NBU0hfTk9OX0NVUlJFTlQuMTAwMC4xMS8wNy8yMDI2Li4uVVNELkgBAAAAS1UAAAMAAAAAAEx3KWtv394IcgtZbm/f3gg7Q0lRLk5BU0RBUTpNU0ZULklRX0ZJTl9ESVZfU1RfSU5WRVNULjk5Ni4xMS8wNy8yMDI2Li4uVVNELkgBAAAAS1UAAAMAAAAAAEx3KWtv394IcgtZbm/f3gg/Q0lRLk5BU0RBUTpNU0ZULklRX0ZJTl9ESVZfTFRfREVCVF9UT1RBTC45OTUuMTEvMDcvMjAyNi4uLlVTRC5IAQAAAEtVAAADAAAAAABMdylrb9/eCHILWW5v394ISUNJUS5OQVNEQVE6TVNGVC5JUV9GQUlSX1ZBTFVFX0NIQU5HRV9JTkNMX0VBUk5JTkdTLjk5OS4xMS8wNy8yMDI2Li4uVVNELkgBAAAAS1UAAAMAAAAAAEx3KWtv394IQ0hZbm/f3gg9Q0lRLk5BU0RBUTpNU0ZULklRX0xJ</t>
  </si>
  <si>
    <t>QUJJTElUSUVTX0xFVkVMXzMuOTk3LjExLzA3LzIwMjYuLi5VU0QuSAEAAABLVQAAAwAAAAAATHcpa2/f3ghDSFlub9/eCDlDSVEuTkFTREFROk1TRlQuSVFfQ0FTSF9UQVhFU19PUEVSLjk5OC4xMS8wNy8yMDI2Li4uVVNELkgBAAAAS1UAAAMAAAAAAEx3KWtv394IcgtZbm/f3gg9Q0lRLk5BU0RBUTpNU0ZULklRX0NBU0hfSU5URVJFU1RfT1BFUi4xMDAwLjExLzA3LzIwMjYuLi5VU0QuSAEAAABLVQAAAwAAAAAATHcpa2/f3ghyC1lub9/eCEBDSVEuTkFTREFROk1TRlQuSVFfQ0FTSF9JTlRFUkVTVF9SRUNFSVZFRC45OTQuMTEvMDcvMjAyNi4uLlVTRC5IAQAAAEtVAAADAAAAAABMdylrb9/eCHILWW5v394IQkNJUS5OQVNEQVE6TVNGVC5JUV9BQ0NVTV9BTU9SVF9JTlRBTl9BU1NFVFMuOTk3LjExLzA3LzIwMjYuLi5VU0QuSAEAAABLVQAAAgAAAAYtMTIyNzkBCAAAAAUAAAABMQEAAAALLTE5ODU5MzEyMjQDAAAAAzE2MAIAAAAFMjQzMzEEAAAAATAHAAAACTcvMTEvMjAyNggAAAAJNi8zMC8yMDIyCQAAAAEwTHcpa2/f3ghyC1lub9/eCD5DSVEuTkFTREFROk1TRlQuSVFfV0FSUkFOVFlfTElBQklMSVRJRVMuOTk0LjExLzA3LzIwMjYuLi5VU0QuSAEAAABLVQAAAwAAAAAATHcpa2/f3ghyC1lub9/eCEVDSVEuTkFTREFROk1TRlQuSVFfT1BFUkFUSU5HX0xFQVNFX0xJQUJJTElUSUVTLjk5OC4xMS8w</t>
  </si>
  <si>
    <t>Ny8yMDI2Li4uVVNELkgBAAAAS1UAAAMAAAAAAEx3KWtv394IcgtZbm/f3gg3Q0lRLk5BU0RBUTpNU0ZULklRX0RPX0ZJTkFOQ0VfQ0YuOTk0LjExLzA3LzIwMjYuLi5VU0QuSAEAAABLVQAAAwAAAAAATHcpa2/f3ghyC1lub9/eCDZDSVEuTkFTREFROk1TRlQuSVFfTUFJTlRfQ0FQRVguMTAwMC4xMS8wNy8yMDI2Li4uVVNELkgBAAAAS1UAAAMAAAAAAEx3KWtv394IcgtZbm/f3gg5Q0lRLk5BU0RBUTpNU0ZULklRX05FVF9ERUJUX0lTU1VFRC45OTQuMTEvMDcvMjAyNi4uLlVTRC5IAQAAAEtVAAACAAAABS00MDAwAQgAAAAFAAAAATEBAAAACy0yMTQwOTgxNDY5AwAAAAMxNjACAAAABDIwMDMEAAAAATAHAAAACTcvMTEvMjAyNggAAAAJNi8zMC8yMDE5CQAAAAEwTHcpa2/f3ghyC1lub9/eCERDSVEuTkFTREFROk1TRlQuSVFfQ0hBTkdFX05FVF9XT1JLSU5HX0NBUElUQUwuOTk2LjExLzA3LzIwMjYuLi5VU0QuSAEAAABLVQAAAgAAAAUtMjcwMAEIAAAABQAAAAExAQAAAAstMjAzNjg0Mzg0MwMAAAADMTYwAgAAAAQ0NDIxBAAAAAEwBwAAAAk3LzExLzIwMjYIAAAACTYvMzAvMjAyMQkAAAABMEx3KWtv394IcgtZbm/f3gg2Q0lRLk5BU0RBUTpNU0ZULklRX1RPVEFMX1JFQ0VJVi45OTguMTEvMDcvMjAyNi4uLlVTRC5IAQAAAEtVAAACAAAABTU3ODg4AQgAAAAFAAAAATEBAAAACy0xOTM0MjU0MjUwAwAA</t>
  </si>
  <si>
    <t>AAMxNjACAAAABDEwMDEEAAAAATAHAAAACTcvMTEvMjAyNggAAAAJNi8zMC8yMDIzCQAAAAEwTHcpa2/f3ghyC1lub9/eCCxDSVEuTkFTREFROk1TRlQuSVFfQVIuOTk4LjExLzA3LzIwMjYuLi5VU0QuSAEAAABLVQAAAgAAAAU0ODY4OAEIAAAABQAAAAExAQAAAAstMTkzNDI1NDI1MAMAAAADMTYwAgAAAAQxMDIxBAAAAAEwBwAAAAk3LzExLzIwMjYIAAAACTYvMzAvMjAyMwkAAAABMEx3KWtv394IcgtZbm/f3gg4Q0lRLk5BU0RBUTpNU0ZULklRX1RSQURJTkdfQVNTRVRTLjk5NC4xMS8wNy8yMDI2Li4uVVNELkgBAAAAS1UAAAMAAAAAAEx3KWtv394IcgtZbm/f3gg1Q0lRLk5BU0RBUTpNU0ZULklRX0NBU0hfRVFVSVYuMTAwMC4xMS8wNy8yMDI2Li4uVVNELkgBAAAAS1UAAAIAAAAFMzAyNDIBCAAAAAUAAAABMQEAAAALLTE5MzQyNTQyMTYDAAAAAzE2MAIAAAAEMTA5NgQAAAABMAcAAAAJNy8xMS8yMDI2CAAAAAk2LzMwLzIwMjUJAAAAATBAiylrb9/eCHILWW5v394IOUNJUS5OQVNEQVE6TVNGVC5JUV9BU1NFVF9XUklURURPV04uOTk2LjExLzA3LzIwMjYuLi5VU0QuSAEAAABLVQAAAwAAAAAAMOwoa2/f3ghefXVub9/eCDVDSVEuTkFTREFROk1TRlQuSVFfR0FJTl9JTlZFU1QuOTk1LjExLzA3LzIwMjYuLi5VU0QuSAEAAABLVQAAAgAAAAIzMgEIAAAABQAAAAExAQAAAAstMjA4NzQ5NjYyNwMAAAAD</t>
  </si>
  <si>
    <t>MTYwAgAAAAI2MgQAAAABMAcAAAAJNy8xMS8yMDI2CAAAAAk2LzMwLzIwMjAJAAAAATAw7Chrb9/eCF59dW5v394IMENJUS5OQVNEQVE6TVNGVC5JUV9NRVJHRVIuOTk1LjExLzA3LzIwMjYuLi5VU0QuSAEAAABLVQAAAwAAAAAAMOwoa2/f3ghefXVub9/eCDdDSVEuTkFTREFROk1TRlQuSVFfTklfQVZBSUxfRVhDTC45OTguMTEvMDcvMjAyNi4uLlVTRC5IAQAAAEtVAAACAAAABTcyMzYxAQgAAAAFAAAAATEBAAAACy0xOTM0MjU0MjUwAwAAAAMxNjACAAAAAzM3OQQAAAABMAcAAAAJNy8xMS8yMDI2CAAAAAk2LzMwLzIwMjMJAAAAATAw7Chrb9/eCBRBdW5v394IOENJUS5OQVNEQVE6TVNGVC5JUV9QUkVGX0RJVl9PVEhFUi45OTcuMTEvMDcvMjAyNi4uLlVTRC5IAQAAAEtVAAADAAAAAAAw7Chrb9/eCBRBdW5v394IPkNJUS5OQVNEQVE6TVNGVC5JUV9NSU5PUklUWV9JTlRFUkVTVF9JUy45OTYuMTEvMDcvMjAyNi4uLlVTRC5IAQAAAEtVAAADAAAAAAAw7Chrb9/eCBRBdW5v394ILENJUS5OQVNEQVE6TVNGVC5JUV9ETy45OTguMTEvMDcvMjAyNi4uLlVTRC5IAQAAAEtVAAADAAAAAAAw7Chrb9/eCBRBdW5v394IMUNJUS5OQVNEQVE6TVNGVC5JUV9JTkNfVEFYLjk5Ny4xMS8wNy8yMDI2Li4uVVNELkgBAAAAS1UAAAIAAAAFMTA5NzgBCAAAAAUAAAABMQEAAAALLTE5ODU5MzEyMjQDAAAAAzE2MAIAAAAC</t>
  </si>
  <si>
    <t>NzUEAAAAATAHAAAACTcvMTEvMjAyNggAAAAJNi8zMC8yMDIyCQAAAAEwMOwoa2/f3ghefXVub9/eCDdDSVEuTkFTREFROk1TRlQuSVFfRUJJVERBX0VRX0lOQy45OTcuMTEvMDcvMjAyNi4uLlVTRC5IAQAAAEtVAAACAAAABjEwMDQxMgEIAAAABQAAAAExAQAAAAstMTk4NTkzMTIyNAMAAAADMTYwAgAAAAUyMTY3NwQAAAABMAcAAAAJNy8xMS8yMDI2CAAAAAk2LzMwLzIwMjIJAAAAATAw7Chrb9/eCBRBdW5v394IM0NJUS5OQVNEQVE6TVNGVC5JUV9ESVZfU0hBUkUuOTk3LjExLzA3LzIwMjYuLi5VU0QuSAEAAABLVQAAAgAAAAQyLjQ4AQgAAAAFAAAAATEBAAAACy0xOTg1OTMxMjI0AwAAAAMxNjACAAAABDMwNTgEAAAAATAHAAAACTcvMTEvMjAyNggAAAAJNi8zMC8yMDIyCQAAAAEwMOwoa2/f3ggUQXVub9/eCE5DSVEuTkFTREFROk1TRlQuSVFfRElTVFJJQlVUQUJMRV9DQVNIX1BFUl9TSEFSRV9ESUxVVEVELjk5Ni4xMS8wNy8yMDI2Li4uVVNELkgBAAAAS1UAAAMAAAAAADDsKGtv394IFEF1bm/f3ggyQ0lRLk5BU0RBUTpNU0ZULklRX0VQU19OT1JNLjk5OS4xMS8wNy8yMDI2Li4uVVNELkgBAAAAS1UAAAIAAAAIOS4yMDE0MDIBCAAAAAUAAAABMQEAAAALLTE5MzQyNTQxODUDAAAAAzE2MAIAAAAENDM3OQQAAAABMAcAAAAJNy8xMS8yMDI2CAAAAAk2LzMwLzIwMjQJAAAAATAw7Chrb9/eCBRBdW5v</t>
  </si>
  <si>
    <t>394IOENJUS5OQVNEQVE6TVNGVC5JUV9CQVNJQ19FUFNfRVhDTC45OTguMTEvMDcvMjAyNi4uLlVTRC5IAQAAAEtVAAACAAAACDkuNzE4MTAzAQgAAAAFAAAAATEBAAAACy0xOTM0MjU0MjUwAwAAAAMxNjACAAAABDMwNjQEAAAAATAHAAAACTcvMTEvMjAyNggAAAAJNi8zMC8yMDIzCQAAAAEwMOwoa2/f3ggUQXVub9/eCDhDSVEuTkFTREFROk1TRlQuSVFfRUJJVERBUl9FUV9JTkMuOTk5LjExLzA3LzIwMjYuLi5VU0QuSAEAAABLVQAAAgAAAAYxMzY1NDMBCAAAAAUAAAABMQEAAAALLTE5MzQyNTQxODUDAAAAAzE2MAIAAAAFMjQxMjkEAAAAATAHAAAACTcvMTEvMjAyNggAAAAJNi8zMC8yMDI0CQAAAAEwMOwoa2/f3ggiBXVub9/eCD9DSVEuTkFTREFROk1TRlQuSVFfRUJJVEFfRVFfSU5DX0VYQ0xfU0JDLjk5OC4xMS8wNy8yMDI2Li4uVVNELkgBAAAAS1UAAAIAAAAGMTAwNjM0AQgAAAAFAAAAATEBAAAACy0xOTM0MjU0MjUwAwAAAAMxNjACAAAABTI0MTMyBAAAAAEwBwAAAAk3LzExLzIwMjYIAAAACTYvMzAvMjAyMwkAAAABMDDsKGtv394IIgV1bm/f3gg3Q0lRLk5BU0RBUTpNU0ZULklRX0VCSVRfRVhDTF9TQkMuOTk0LjExLzA3LzIwMjYuLi5VU0QuSAEAAABLVQAAAgAAAAU0NzYxMQEIAAAABQAAAAExAQAAAAstMjE0MDk4MTQ2OQMAAAADMTYwAgAAAAUyNDEzNAQAAAABMAcAAAAJNy8xMS8yMDI2</t>
  </si>
  <si>
    <t>CAAAAAk2LzMwLzIwMTkJAAAAATAw7Chrb9/eCCIFdW5v394ILkNJUS5OQVNEQVE6TVNGVC5JUV9FQklULjk5Ni4xMS8wNy8yMDI2Li4uVVNELkgBAAAAS1UAAAIAAAAFNjk5MTYBCAAAAAUAAAABMQEAAAALLTIwMzY4NDM4NDMDAAAAAzE2MAIAAAADNDAwBAAAAAEwBwAAAAk3LzExLzIwMjYIAAAACTYvMzAvMjAyMQkAAAABMDDsKGtv394IFEF1bm/f3gg/Q0lRLk5BU0RBUTpNU0ZULklRX0VCSVREQV9MRUFTRV9BREpVU1RFRC45OTYuMTEvMDcvMjAyNi4uLlVTRC5IAQAAAEtVAAACAAAABTgyOTQzAQgAAAAFAAAAATEBAAAACy0yMDM2ODQzODQzAwAAAAMxNjACAAAABTQ4OTkzBAAAAAEwBwAAAAk3LzExLzIwMjYIAAAACTYvMzAvMjAyMQkAAAABMDDsKGtv394IFEF1bm/f3ghAQ0lRLk5BU0RBUTpNU0ZULklRX0FOTlVfRElTVFJJQlVUSU9OX1VOSVQuOTk4LjExLzA3LzIwMjYuLi5VU0QuSAEAAABLVQAAAwAAAAAAMOwoa2/f3ggiBXVub9/eCDVDSVEuTkFTREFROk1TRlQuSVFfSU5UX0VYUF9MVEQuOTk2LjExLzA3LzIwMjYuLi5VU0QuSAEAAABLVQAAAgAAAAMzODYBCAAAAAUAAAABMQEAAAALLTIwMzY4NDM4NDMDAAAAAzE2MAIAAAAEMzEwMQQAAAABMAcAAAAJNy8xMS8yMDI2CAAAAAk2LzMwLzIwMjEJAAAAATAw7Chrb9/eCCIFdW5v394IQUNJUS5OQVNEQVE6TVNGVC5JUV9ERUZFUlJFRF9GT1JF</t>
  </si>
  <si>
    <t>SUdOX1RBWEVTLjEwMDAuMTEvMDcvMjAyNi4uLlVTRC5IAQAAAEtVAAACAAAAAzI4MQEIAAAABQAAAAExAQAAAAstMTkzNDI1NDIxNgMAAAADMTYwAgAAAAQzMDU1BAAAAAEwBwAAAAk3LzExLzIwMjYIAAAACTYvMzAvMjAyNQkAAAABMDDsKGtv394IIgV1bm/f3ghBQ0lRLk5BU0RBUTpNU0ZULklRX0VYQ0lTRV9UQVhFU19FWENMX1NBTEVTLjk5OC4xMS8wNy8yMDI2Li4uVVNELkgBAAAAS1UAAAMAAAAAADDsKGtv394IIgV1bm/f3ghMQ0lRLk5BU0RBUTpNU0ZULklRX1BST1ZfQkFEX0RFQlRTX1BBVElFTlRfU0VSVklDRV9SRVYuOTk4LjExLzA3LzIwMjYuLi5VU0QuSAEAAABLVQAAAwAAAAAAMOwoa2/f3ggiBXVub9/eCDNDSVEuTkFTREFROk1TRlQuSVFfU0dBX1NVUFBMLjk5Ni4xMS8wNy8yMDI2Li4uVVNELkgBAAAAS1UAAAIAAAAFMjUyMjQBCAAAAAUAAAABMQEAAAALLTIwMzY4NDM4NDMDAAAAAzE2MAIAAAADMTAyBAAAAAEwBwAAAAk3LzExLzIwMjYIAAAACTYvMzAvMjAyMQkAAAABMDDsKGtv394IJ/F0bm/f3gg5Q0lRLk5BU0RBUTpNU0ZULklRX0dBSU5fSU5WRVNUX1JFVi45OTQuMTEvMDcvMjAyNi4uLlVTRC5IAQAAAEtVAAADAAAAAAAw7Chrb9/eCCIFdW5v394IPkNJUS5OQVNEQVE6TVNGVC5JUV9TVE9DS19CQVNFRF9DT01QX1RBWC45OTkuMTEvMDcvMjAyNi4uLlVTRC5IAQAAAEtVAAAC</t>
  </si>
  <si>
    <t>AAAABS0xODI2ADDsKGtv394IIgV1bm/f3gg2Q0lRLk5BU0RBUTpNU0ZULklRX09USEVSX1JFTlRBTC45OTYuMTEvMDcvMjAyNi4uLlVTRC5IAQAAAEtVAAADAAAAAAAw7Chrb9/eCCIFdW5v394IM0NJUS5OQVNEQVE6TVNGVC5JUV9NQVJLRVRJTkcuOTk2LjExLzA3LzIwMjYuLi5VU0QuSAEAAABLVQAAAwAAAAAAMOwoa2/f3ggiBXVub9/eCDlDSVEuTkFTREFROk1TRlQuSVFfQVNTRVRfV1JJVEVET1dOLjk5NS4xMS8wNy8yMDI2Li4uVVNELkgBAAAAS1UAAAMAAAAAADDsKGtv394IF9x0bm/f3gg1Q0lRLk5BU0RBUTpNU0ZULklRX0dBSU5fSU5WRVNULjk5NC4xMS8wNy8yMDI2Li4uVVNELkgBAAAAS1UAAAIAAAADNjQ4AQgAAAAFAAAAATEBAAAACy0yMTQwOTgxNDY5AwAAAAMxNjACAAAAAjYyBAAAAAEwBwAAAAk3LzExLzIwMjYIAAAACTYvMzAvMjAxOQkAAAABMDDsKGtv394IF9x0bm/f3ggzQ0lRLk5BU0RBUTpNU0ZULklRX1NHQV9TVVBQTC45OTQuMTEvMDcvMjAyNi4uLlVTRC5IAQAAAEtVAAACAAAABTIzMDk4AQgAAAAFAAAAATEBAAAACy0yMTQwOTgxNDY5AwAAAAMxNjACAAAAAzEwMgQAAAABMAcAAAAJNy8xMS8yMDI2CAAAAAk2LzMwLzIwMTkJAAAAATAw7Chrb9/eCBfcdG5v394IMENJUS5OQVNEQVE6TVNGVC5JUV9SRF9FWFAuOTk5LjExLzA3LzIwMjYuLi5VU0QuSAEAAABLVQAAAgAAAAUy</t>
  </si>
  <si>
    <t>OTUxMAEIAAAABQAAAAExAQAAAAstMTkzNDI1NDE4NQMAAAADMTYwAgAAAAMxMDAEAAAAATAHAAAACTcvMTEvMjAyNggAAAAJNi8zMC8yMDI0CQAAAAEwMOwoa2/f3ggn8XRub9/eCDVDSVEuTkFTREFROk1TRlQuSVFfU1RPQ0tfQkFTRUQuOTk2LjExLzA3LzIwMjYuLi5VU0QuSAEAAABLVQAAAwAAAAAAMOwoa2/f3ggn8XRub9/eCDhDSVEuTkFTREFROk1TRlQuSVFfUFJFRl9ESVZfT1RIRVIuOTk2LjExLzA3LzIwMjYuLi5VU0QuSAEAAABLVQAAAwAAAAAAMOwoa2/f3gjOxXRub9/eCD5DSVEuTkFTREFROk1TRlQuSVFfTUlOT1JJVFlfSU5URVJFU1RfSVMuOTk1LjExLzA3LzIwMjYuLi5VU0QuSAEAAABLVQAAAwAAAAAAMOwoa2/f3gjOxXRub9/eCDlDSVEuTkFTREFROk1TRlQuSVFfRVhUUkFfQUNDX0lURU1TLjk5NS4xMS8wNy8yMDI2Li4uVVNELkgBAAAAS1UAAAMAAAAAADDsKGtv394IzsV0bm/f3gg0Q0lRLk5BU0RBUTpNU0ZULklRX0VBUk5JTkdfQ08uOTk0LjExLzA3LzIwMjYuLi5VU0QuSAEAAABLVQAAAgAAAAUzOTI0MAEIAAAABQAAAAExAQAAAAstMjE0MDk4MTQ2OQMAAAADMTYwAgAAAAE3BAAAAAEwBwAAAAk3LzExLzIwMjYIAAAACTYvMzAvMjAxOQkAAAABMDDsKGtv394IF9x0bm/f3gg0Q0lRLk5BU0RBUTpNU0ZULklRX0lOU19TRVRUTEUuOTk1LjExLzA3LzIwMjYuLi5VU0QuSAEAAABL</t>
  </si>
  <si>
    <t>VQAAAwAAAAAAMOwoa2/f3ggX3HRub9/eCDdDSVEuTkFTREFROk1TRlQuSVFfRUJJVERBX0VRX0lOQy45OTQuMTEvMDcvMjAyNi4uLlVTRC5IAQAAAEtVAAACAAAABTU2MjY2AQgAAAAFAAAAATEBAAAACy0yMTQwOTgxNDY5AwAAAAMxNjACAAAABTIxNjc3BAAAAAEwBwAAAAk3LzExLzIwMjYIAAAACTYvMzAvMjAxOQkAAAABMDDsKGtv394IILJ0bm/f3ggzQ0lRLk5BU0RBUTpNU0ZULklRX0RJVl9TSEFSRS45OTYuMTEvMDcvMjAyNi4uLlVTRC5IAQAAAEtVAAACAAAABDIuMjQBCAAAAAUAAAABMQEAAAALLTIwMzY4NDM4NDMDAAAAAzE2MAIAAAAEMzA1OAQAAAABMAcAAAAJNy8xMS8yMDI2CAAAAAk2LzMwLzIwMjEJAAAAATAw7Chrb9/eCCCydG5v394IMkNJUS5OQVNEQVE6TVNGVC5JUV9FUFNfTk9STS45OTguMTEvMDcvMjAyNi4uLlVTRC5IAQAAAEtVAAACAAAACDcuNTI4NzA2AQgAAAAFAAAAATEBAAAACy0xOTM0MjU0MjUwAwAAAAMxNjACAAAABDQzNzkEAAAAATAHAAAACTcvMTEvMjAyNggAAAAJNi8zMC8yMDIzCQAAAAEwMOwoa2/f3gggsnRub9/eCDhDSVEuTkFTREFROk1TRlQuSVFfQkFTSUNfRVBTX0VYQ0wuOTk3LjExLzA3LzIwMjYuLi5VU0QuSAEAAABLVQAAAgAAAAg5LjcwMzU3NQEIAAAABQAAAAExAQAAAAstMTk4NTkzMTIyNAMAAAADMTYwAgAAAAQzMDY0BAAAAAEwBwAAAAk3LzExLzIw</t>
  </si>
  <si>
    <t>MjYIAAAACTYvMzAvMjAyMgkAAAABMDDsKGtv394IILJ0bm/f3gg3Q0lRLk5BU0RBUTpNU0ZULklRX05JX0FWQUlMX0VYQ0wuOTk2LjExLzA3LzIwMjYuLi5VU0QuSAEAAABLVQAAAgAAAAU2MTI3MQEIAAAABQAAAAExAQAAAAstMjAzNjg0Mzg0MwMAAAADMTYwAgAAAAMzNzkEAAAAATAHAAAACTcvMTEvMjAyNggAAAAJNi8zMC8yMDIxCQAAAAEwMOwoa2/f3gggsnRub9/eCEBDSVEuTkFTREFROk1TRlQuSVFfREVGRVJSRURfRk9SRUlHTl9UQVhFUy45OTcuMTEvMDcvMjAyNi4uLlVTRC5IAQAAAEtVAAACAAAAAzE3NQEIAAAABQAAAAExAQAAAAstMTk4NTkzMTIyNAMAAAADMTYwAgAAAAQzMDU1BAAAAAEwBwAAAAk3LzExLzIwMjYIAAAACTYvMzAvMjAyMgkAAAABMDDsKGtv394I5Yp0bm/f3ghDQ0lRLk5BU0RBUTpNU0ZULklRX0VBUk5JTkdfUEFSRU5UX0VYQ0xfRVhUUkEuOTk0LjExLzA3LzIwMjYuLi5VU0QuSAEAAABLVQAAAgAAAAUzOTI0MAEIAAAABQAAAAExAQAAAAstMjE0MDk4MTQ2OQMAAAADMTYwAgAAAAU0MTU5NgQAAAABMAcAAAAJNy8xMS8yMDI2CAAAAAk2LzMwLzIwMTkJAAAAATAw7Chrb9/eCOWKdG5v394IQUNJUS5OQVNEQVE6TVNGVC5JUV9FQklUREFSX0VRX0lOQ19FWENMX1NCQy45OTYuMTEvMDcvMjAyNi4uLlVTRC5IAQAAAEtVAAACAAAABTg5MDYxAQgAAAAFAAAAATEBAAAACy0y</t>
  </si>
  <si>
    <t>MDM2ODQzODQzAwAAAAMxNjACAAAABTI0MTMzBAAAAAEwBwAAAAk3LzExLzIwMjYIAAAACTYvMzAvMjAyMQkAAAABMDDsKGtv394I5Yp0bm/f3gg/Q0lRLk5BU0RBUTpNU0ZULklRX0VCSVRBX0VRX0lOQ19FWENMX1NCQy45OTUuMTEvMDcvMjAyNi4uLlVTRC5IAQAAAEtVAAACAAAABTU5ODQ4AQgAAAAFAAAAATEBAAAACy0yMDg3NDk2NjI3AwAAAAMxNjACAAAABTI0MTMyBAAAAAEwBwAAAAk3LzExLzIwMjYIAAAACTYvMzAvMjAyMAkAAAABMDDsKGtv394I5Yp0bm/f3gguQ0lRLk5BU0RBUTpNU0ZULklRX0VCSVQuOTk0LjExLzA3LzIwMjYuLi5VU0QuSAEAAABLVQAAAgAAAAU0Mjk1OQEIAAAABQAAAAExAQAAAAstMjE0MDk4MTQ2OQMAAAADMTYwAgAAAAM0MDAEAAAAATAHAAAACTcvMTEvMjAyNggAAAAJNi8zMC8yMDE5CQAAAAEwMOwoa2/f3gjlinRub9/eCDlDSVEuTkFTREFROk1TRlQuSVFfT1RIRVJfUkVWX1NVUFBMLjk5NS4xMS8wNy8yMDI2Li4uVVNELkgBAAAAS1UAAAMAAAAAADDsKGtv394ImnZ0bm/f3gg1Q0lRLk5BU0RBUTpNU0ZULklRX0lOU19ESVZfUkVWLjk5Ny4xMS8wNy8yMDI2Li4uVVNELkgBAAAAS1UAAAMAAAAAADDsKGtv394I5Yp0bm/f3ggwQ0lRLk5BU0RBUTpNU0ZULklRX1JEX0VYUC45OTcuMTEvMDcvMjAyNi4uLlVTRC5IAQAAAEtVAAACAAAABTI0NTEyAQgAAAAFAAAAATEB</t>
  </si>
  <si>
    <t>AAAACy0xOTg1OTMxMjI0AwAAAAMxNjACAAAAAzEwMAQAAAABMAcAAAAJNy8xMS8yMDI2CAAAAAk2LzMwLzIwMjIJAAAAATAw7Chrb9/eCOWKdG5v394IP0NJUS5OQVNEQVE6TVNGVC5JUV9UT1RBTF9VTlVTVUFMX1NVUFBMRS4xMDAwLjExLzA3LzIwMjYuLi5VU0QuSAEAAABLVQAAAwAAAAAAMOwoa2/f3gjlinRub9/eCDNDSVEuTkFTREFROk1TRlQuSVFfTUFSS0VUSU5HLjk5NS4xMS8wNy8yMDI2Li4uVVNELkgBAAAAS1UAAAMAAAAAADDsKGtv394I5Yp0bm/f3gg4Q0lRLk5BU0RBUTpNU0ZULklRX0dXX0lOVEFOX0FNT1JULjk5OS4xMS8wNy8yMDI2Li4uVVNELkgBAAAAS1UAAAMAAAAAADDsKGtv394Io2B0bm/f3ggyQ0lRLk5BU0RBUTpNU0ZULklRX0RBX1NVUFBMLjk5NC4xMS8wNy8yMDI2Li4uVVNELkgBAAAAS1UAAAMAAAAAADDsKGtv394ImnZ0bm/f3gg4Q0lRLk5BU0RBUTpNU0ZULklRX1BST1ZfQkFEX0RFQlRTLjk5Ny4xMS8wNy8yMDI2Li4uVVNELkgBAAAAS1UAAAMAAAAAADDsKGtv394ImnZ0bm/f3gg5Q0lRLk5BU0RBUTpNU0ZULklRX0ZJTl9ESVZfSU5UX0VYUC45OTkuMTEvMDcvMjAyNi4uLlVTRC5IAQAAAEtVAAADAAAAAAAw7Chrb9/eCJp2dG5v394INUNJUS5OQVNEQVE6TVNGVC5JUV9GSU5fRElWX0VYUC45OTUuMTEvMDcvMjAyNi4uLlVTRC5IAQAAAEtVAAADAAAAAAAw7Chrb9/e</t>
  </si>
  <si>
    <t>CJp2dG5v394IMkNJUS5OQVNEQVE6TVNGVC5JUV9FUFNfTk9STS45OTcuMTEvMDcvMjAyNi4uLlVTRC5IAQAAAEtVAAACAAAACDYuOTQwNTM0AQgAAAAFAAAAATEBAAAACy0xOTg1OTMxMjI0AwAAAAMxNjACAAAABDQzNzkEAAAAATAHAAAACTcvMTEvMjAyNggAAAAJNi8zMC8yMDIyCQAAAAEwMOwoa2/f3ggqTHRub9/eCDdDSVEuTkFTREFROk1TRlQuSVFfTklfQVZBSUxfRVhDTC45OTUuMTEvMDcvMjAyNi4uLlVTRC5IAQAAAEtVAAACAAAABTQ0MjgxAQgAAAAFAAAAATEBAAAACy0yMDg3NDk2NjI3AwAAAAMxNjACAAAAAzM3OQQAAAABMAcAAAAJNy8xMS8yMDI2CAAAAAk2LzMwLzIwMjAJAAAAATAw7Chrb9/eCCpMdG5v394IOENJUS5OQVNEQVE6TVNGVC5JUV9QUkVGX0RJVl9PVEhFUi45OTUuMTEvMDcvMjAyNi4uLlVTRC5IAQAAAEtVAAADAAAAAAAw7Chrb9/eCKNgdG5v394IPkNJUS5OQVNEQVE6TVNGVC5JUV9NSU5PUklUWV9JTlRFUkVTVF9JUy45OTQuMTEvMDcvMjAyNi4uLlVTRC5IAQAAAEtVAAADAAAAAAAw7Chrb9/eCKNgdG5v394IOUNJUS5OQVNEQVE6TVNGVC5JUV9BU1NFVF9XUklURURPV04uOTk0LjExLzA3LzIwMjYuLi5VU0QuSAEAAABLVQAAAwAAAAAAMOwoa2/f3gijYHRub9/eCDNDSVEuTkFTREFROk1TRlQuSVFfTUFSS0VUSU5HLjk5NC4xMS8wNy8yMDI2Li4uVVNELkgBAAAAS1UA</t>
  </si>
  <si>
    <t>AAMAAAAAADDsKGtv394I1Dd0bm/f3gg0Q0lRLk5BU0RBUTpNU0ZULklRX0NPTU1PTl9ESVYuOTk0LjExLzA3LzIwMjYuLi5VU0QuSAEAAABLVQAAAgAAAAUxNDEwMwAw7Chrb9/eCNQ3dG5v394IQENJUS5OQVNEQVE6TVNGVC5JUV9ERUZFUlJFRF9GT1JFSUdOX1RBWEVTLjk5Ni4xMS8wNy8yMDI2Li4uVVNELkgBAAAAS1UAAAIAAAACMjkBCAAAAAUAAAABMQEAAAALLTIwMzY4NDM4NDMDAAAAAzE2MAIAAAAEMzA1NQQAAAABMAcAAAAJNy8xMS8yMDI2CAAAAAk2LzMwLzIwMjEJAAAAATAw7Chrb9/eCCpMdG5v394IQkNJUS5OQVNEQVE6TVNGVC5JUV9ESVNUUklCVVRBQkxFX0NBU0hfU0hBUkUuOTk4LjExLzA3LzIwMjYuLi5VU0QuSAEAAABLVQAAAwAAAAAAMOwoa2/f3ggqTHRub9/eCDNDSVEuTkFTREFROk1TRlQuSVFfRElWX1NIQVJFLjk5NS4xMS8wNy8yMDI2Li4uVVNELkgBAAAAS1UAAAIAAAAEMi4wNAEIAAAABQAAAAExAQAAAAstMjA4NzQ5NjYyNwMAAAADMTYwAgAAAAQzMDU4BAAAAAEwBwAAAAk3LzExLzIwMjYIAAAACTYvMzAvMjAyMAkAAAABMDDsKGtv394IKkx0bm/f3gg1Q0lRLk5BU0RBUTpNU0ZULklRX0ZJTl9ESVZfRVhQLjk5Ni4xMS8wNy8yMDI2Li4uVVNELkgBAAAAS1UAAAMAAAAAADDsKGtv394I/yN0bm/f3ggtQ0lRLk5BU0RBUTpNU0ZULklRX1JFVi45OTYuMTEvMDcvMjAyNi4u</t>
  </si>
  <si>
    <t>LlVTRC5IAQAAAEtVAAACAAAABjE2ODA4OAEIAAAABQAAAAExAQAAAAstMjAzNjg0Mzg0MwMAAAADMTYwAgAAAAMxMTIEAAAAATAHAAAACTcvMTEvMjAyNggAAAAJNi8zMC8yMDIxCQAAAAEwMOwoa2/f3gj/I3Rub9/eCDVDSVEuTkFTREFROk1TRlQuSVFfU1RPQ0tfQkFTRUQuOTk3LjExLzA3LzIwMjYuLi5VU0QuSAEAAABLVQAAAwAAAAAAMOwoa2/f3gjUN3Rub9/eCDtDSVEuTkFTREFROk1TRlQuSVFfR1dfSU5UQU5fQU1PUlRfQ0YuOTk3LjExLzA3LzIwMjYuLi5VU0QuSAEAAABLVQAAAgAAAAQyMDAwAQgAAAAFAAAAATEBAAAACy0xOTg1OTMxMjI0AwAAAAMxNjACAAAABDIxODIEAAAAATAHAAAACTcvMTEvMjAyNggAAAAJNi8zMC8yMDIyCQAAAAEwMOwoa2/f3gjUN3Rub9/eCDtDSVEuTkFTREFROk1TRlQuSVFfTkVHQVRJVkVfR1dfQU1PUlQuOTk1LjExLzA3LzIwMjYuLi5VU0QuSAEAAABLVQAAAwAAAAAAMOwoa2/f3gjUN3Rub9/eCC5DSVEuTkFTREFROk1TRlQuSVFfRUJJVC45OTkuMTEvMDcvMjAyNi4uLlVTRC5IAQAAAEtVAAACAAAABjEwOTQzMwEIAAAABQAAAAExAQAAAAstMTkzNDI1NDE4NQMAAAADMTYwAgAAAAM0MDAEAAAAATAHAAAACTcvMTEvMjAyNggAAAAJNi8zMC8yMDI0CQAAAAEwMOwoa2/f3giT/HNub9/eCEJDSVEuTkFTREFROk1TRlQuSVFfRElTVFJJQlVUQUJMRV9DQVNIX1NI</t>
  </si>
  <si>
    <t>QVJFLjk5Ny4xMS8wNy8yMDI2Li4uVVNELkgBAAAAS1UAAAMAAAAAADDsKGtv394Ik/xzbm/f3ggyQ0lRLk5BU0RBUTpNU0ZULklRX0VQU19OT1JNLjk5Ni4xMS8wNy8yMDI2Li4uVVNELkgBAAAAS1UAAAIAAAAINS43ODYyMzkBCAAAAAUAAAABMQEAAAALLTIwMzY4NDM4NDMDAAAAAzE2MAIAAAAENDM3OQQAAAABMAcAAAAJNy8xMS8yMDI2CAAAAAk2LzMwLzIwMjEJAAAAATAw7Chrb9/eCJP8c25v394IOENJUS5OQVNEQVE6TVNGVC5JUV9ESUxVVF9FUFNfRVhDTC45OTguMTEvMDcvMjAyNi4uLlVTRC5IAQAAAEtVAAACAAAABDkuNjgBCAAAAAUAAAABMQEAAAALLTE5MzQyNTQyNTADAAAAAzE2MAIAAAADMTQyBAAAAAEwBwAAAAk3LzExLzIwMjYIAAAACTYvMzAvMjAyMwkAAAABMDDsKGtv394I/yN0bm/f3gg6Q0lRLk5BU0RBUTpNU0ZULklRX0ZJTl9ESVZfSU5UX0VYUC4xMDAwLjExLzA3LzIwMjYuLi5VU0QuSAEAAABLVQAAAwAAAAAAMOwoa2/f3gj/I3Rub9/eCDhDSVEuTkFTREFROk1TRlQuSVFfUFJPVl9CQURfREVCVFMuOTk1LjExLzA3LzIwMjYuLi5VU0QuSAEAAABLVQAAAwAAAAAAMOwoa2/f3giT/HNub9/eCDVDSVEuTkFTREFROk1TRlQuSVFfSU5TX0RJVl9SRVYuOTk1LjExLzA3LzIwMjYuLi5VU0QuSAEAAABLVQAAAwAAAAAAMOwoa2/f3giT/HNub9/eCDdDSVEuTkFTREFROk1TRlQuSVFf</t>
  </si>
  <si>
    <t>TklfQVZBSUxfRVhDTC45OTQuMTEvMDcvMjAyNi4uLlVTRC5IAQAAAEtVAAACAAAABTM5MjQwAQgAAAAFAAAAATEBAAAACy0yMTQwOTgxNDY5AwAAAAMxNjACAAAAAzM3OQQAAAABMAcAAAAJNy8xMS8yMDI2CAAAAAk2LzMwLzIwMTkJAAAAATAw7Chrb9/eCJP8c25v394IOUNJUS5OQVNEQVE6TVNGVC5JUV9HQUlOX0FTU0VUU19SRVYuOTk3LjExLzA3LzIwMjYuLi5VU0QuSAEAAABLVQAAAwAAAAAAMOwoa2/f3giT/HNub9/eCC1DSVEuTkFTREFROk1TRlQuSVFfUkVWLjk5Ny4xMS8wNy8yMDI2Li4uVVNELkgBAAAAS1UAAAIAAAAGMTk4MjcwAQgAAAAFAAAAATEBAAAACy0xOTg1OTMxMjI0AwAAAAMxNjACAAAAAzExMgQAAAABMAcAAAAJNy8xMS8yMDI2CAAAAAk2LzMwLzIwMjIJAAAAATAw7Chrb9/eCJP8c25v394IN0NJUS5OQVNEQVE6TVNGVC5JUV9DVVJSRU5DWV9HQUlOLjk5OS4xMS8wNy8yMDI2Li4uVVNELkgBAAAAS1UAAAIAAAADMTIzAQgAAAAFAAAAATEBAAAACy0xOTM0MjU0MTg1AwAAAAMxNjACAAAAAjM4BAAAAAEwBwAAAAk3LzExLzIwMjYIAAAACTYvMzAvMjAyNAkAAAABMDDsKGtv394IWudzbm/f3gg6Q0lRLk5BU0RBUTpNU0ZULklRX05FVF9JTlRFUkVTVF9FWFAuOTk4LjExLzA3LzIwMjYuLi5VU0QuSAEAAABLVQAAAgAAAAM5OTkBCAAAAAUAAAABMQEAAAALLTE5MzQyNTQyNTADAAAA</t>
  </si>
  <si>
    <t>AzE2MAIAAAADMzY4BAAAAAEwBwAAAAk3LzExLzIwMjYIAAAACTYvMzAvMjAyMwkAAAABMDDsKGtv394IWudzbm/f3ggzQ0lRLk5BU0RBUTpNU0ZULklRX09QRVJfSU5DLjEwMDAuMTEvMDcvMjAyNi4uLlVTRC5IAQAAAEtVAAACAAAABjEyODUyOAEIAAAABQAAAAExAQAAAAstMTkzNDI1NDIxNgMAAAADMTYwAgAAAAIyMQQAAAABMAcAAAAJNy8xMS8yMDI2CAAAAAk2LzMwLzIwMjUJAAAAATAw7Chrb9/eCFrnc25v394IOkNJUS5OQVNEQVE6TVNGVC5JUV9UT1RBTF9PVEhFUl9PUEVSLjk5Ni4xMS8wNy8yMDI2Li4uVVNELkgBAAAAS1UAAAIAAAAFNDU5NDABCAAAAAUAAAABMQEAAAALLTIwMzY4NDM4NDMDAAAAAzE2MAIAAAADMzgwBAAAAAEwBwAAAAk3LzExLzIwMjYIAAAACTYvMzAvMjAyMQkAAAABMDDsKGtv394IWudzbm/f3gg0Q0lRLk5BU0RBUTpNU0ZULklRX0lNUEFJUl9PSUwuOTk1LjExLzA3LzIwMjYuLi5VU0QuSAEAAABLVQAAAwAAAAAAMOwoa2/f3giT/HNub9/eCC5DSVEuTkFTREFROk1TRlQuSVFfRUJJVC45OTguMTEvMDcvMjAyNi4uLlVTRC5IAQAAAEtVAAACAAAABTg4NTIzAQgAAAAFAAAAATEBAAAACy0xOTM0MjU0MjUwAwAAAAMxNjACAAAAAzQwMAQAAAABMAcAAAAJNy8xMS8yMDI2CAAAAAk2LzMwLzIwMjMJAAAAATAw7Chrb9/eCCusc25v394IQENJUS5OQVNEQVE6TVNGVC5JUV9F</t>
  </si>
  <si>
    <t>QklUREFfTEVBU0VfQURKVVNURUQuMTAwMC4xMS8wNy8yMDI2Li4uVVNELkgBAAAAS1UAAAIAAAAGMTYyMDUyAQgAAAAFAAAAATEBAAAACy0xOTM0MjU0MjE2AwAAAAMxNjACAAAABTQ4OTkzBAAAAAEwBwAAAAk3LzExLzIwMjYIAAAACTYvMzAvMjAyNQkAAAABMDDsKGtv394Id9Nzbm/f3gg4Q0lRLk5BU0RBUTpNU0ZULklRX0RJTFVUX0VQU19FWENMLjk5Ny4xMS8wNy8yMDI2Li4uVVNELkgBAAAAS1UAAAIAAAAEOS42NQEIAAAABQAAAAExAQAAAAstMTk4NTkzMTIyNAMAAAADMTYwAgAAAAMxNDIEAAAAATAHAAAACTcvMTEvMjAyNggAAAAJNi8zMC8yMDIyCQAAAAEwMOwoa2/f3gh303Nub9/eCDFDSVEuTkFTREFROk1TRlQuSVFfTUVSR0VSLjEwMDAuMTEvMDcvMjAyNi4uLlVTRC5IAQAAAEtVAAADAAAAAAAw7Chrb9/eCHfTc25v394IMkNJUS5OQVNEQVE6TVNGVC5JUV9FQlRfRVhDTC45OTkuMTEvMDcvMjAyNi4uLlVTRC5IAQAAAEtVAAACAAAABjEwOTQwMQEIAAAABQAAAAExAQAAAAstMTkzNDI1NDE4NQMAAAADMTYwAgAAAAE0BAAAAAEwBwAAAAk3LzExLzIwMjYIAAAACTYvMzAvMjAyNAkAAAABMDDsKGtv394Id9Nzbm/f3ggzQ0lRLk5BU0RBUTpNU0ZULklRX1RPVEFMX1JFVi45OTQuMTEvMDcvMjAyNi4uLlVTRC5IAQAAAEtVAAACAAAABjEyNTg0MwEIAAAABQAAAAExAQAAAAstMjE0MDk4MTQ2</t>
  </si>
  <si>
    <t>OQMAAAADMTYwAgAAAAIyOAQAAAABMAcAAAAJNy8xMS8yMDI2CAAAAAk2LzMwLzIwMTkJAAAAATAw7Chrb9/eCCusc25v394IPkNJUS5OQVNEQVE6TVNGVC5JUV9NSU5PUklUWV9JTlRFUkVTVF9DRi45OTUuMTEvMDcvMjAyNi4uLlVTRC5IAQAAAEtVAAADAAAAAAAw7Chrb9/eCCusc25v394IRUNJUS5OQVNEQVE6TVNGVC5JUV9ERVBSRUNJQVRJT05fUkVOVEFMX0FTU0VUUy4xMDAwLjExLzA3LzIwMjYuLi5VU0QuSAEAAABLVQAAAwAAAAAAMOwoa2/f3ggrrHNub9/eCEJDSVEuTkFTREFROk1TRlQuSVFfRVhDSVNFX1RBWEVTX0lOQ0xfU0FMRVMuMTAwMC4xMS8wNy8yMDI2Li4uVVNELkgBAAAAS1UAAAMAAAAAADDsKGtv394IK6xzbm/f3gg4Q0lRLk5BU0RBUTpNU0ZULklRX0VCSVRfRVhDTF9TQkMuMTAwMC4xMS8wNy8yMDI2Li4uVVNELkgBAAAAS1UAAAIAAAAGMTQwNTAyAQgAAAAFAAAAATEBAAAACy0xOTM0MjU0MjE2AwAAAAMxNjACAAAABTI0MTM0BAAAAAEwBwAAAAk3LzExLzIwMjYIAAAACTYvMzAvMjAyNQkAAAABMFYAKWtv394IK6xzbm/f3ggzQ0lRLk5BU0RBUTpNU0ZULklRX1RPVEFMX1JFVi45OTkuMTEvMDcvMjAyNi4uLlVTRC5IAQAAAEtVAAACAAAABjI0NTEyMgEIAAAABQAAAAExAQAAAAstMTkzNDI1NDE4NQMAAAADMTYwAgAAAAIyOAQAAAABMAcAAAAJNy8xMS8yMDI2CAAAAAk2LzMw</t>
  </si>
  <si>
    <t>LzIwMjQJAAAAATBWAClrb9/eCHCYc25v394IOUNJUS5OQVNEQVE6TVNGVC5JUV9HQUlOX0lOVkVTVF9SRVYuOTk5LjExLzA3LzIwMjYuLi5VU0QuSAEAAABLVQAAAwAAAAAAVgApa2/f3ghwmHNub9/eCDhDSVEuTkFTREFROk1TRlQuSVFfUFJFRl9ESVZfT1RIRVIuOTk0LjExLzA3LzIwMjYuLi5VU0QuSAEAAABLVQAAAwAAAAAAVgApa2/f3ghwmHNub9/eCC1DSVEuTkFTREFROk1TRlQuSVFfUkVWLjk5NC4xMS8wNy8yMDI2Li4uVVNELkgBAAAAS1UAAAIAAAAGMTI1ODQzAQgAAAAFAAAAATEBAAAACy0yMTQwOTgxNDY5AwAAAAMxNjACAAAAAzExMgQAAAABMAcAAAAJNy8xMS8yMDI2CAAAAAk2LzMwLzIwMTkJAAAAATBWAClrb9/eCHCYc25v394INUNJUS5OQVNEQVE6TVNGVC5JUV9JTlRfSU5WX0lOQy45OTkuMTEvMDcvMjAyNi4uLlVTRC5IAQAAAEtVAAADAAAAAABWAClrb9/eCCusc25v394ILkNJUS5OQVNEQVE6TVNGVC5JUV9DT0dTLjk5Ni4xMS8wNy8yMDI2Li4uVVNELkgBAAAAS1UAAAIAAAAFNTIyMzIBCAAAAAUAAAABMQEAAAALLTIwMzY4NDM4NDMDAAAAAzE2MAIAAAACMzQEAAAAATAHAAAACTcvMTEvMjAyNggAAAAJNi8zMC8yMDIxCQAAAAEwVgApa2/f3gghcXNub9/eCDlDSVEuTkFTREFROk1TRlQuSVFfR0FJTl9JTlZFU1RfUkVWLjk5OC4xMS8wNy8yMDI2Li4uVVNELkgBAAAAS1UAAAMA</t>
  </si>
  <si>
    <t>AAAAAFYAKWtv394IIXFzbm/f3gg1Q0lRLk5BU0RBUTpNU0ZULklRX0lOU19ESVZfUkVWLjk5NC4xMS8wNy8yMDI2Li4uVVNELkgBAAAAS1UAAAMAAAAAAFYAKWtv394IIXFzbm/f3gguQ0lRLk5BU0RBUTpNU0ZULklRX1JFVi4xMDAwLjExLzA3LzIwMjYuLi5VU0QuSAEAAABLVQAAAgAAAAYyODE3MjQBCAAAAAUAAAABMQEAAAALLTE5MzQyNTQyMTYDAAAAAzE2MAIAAAADMTEyBAAAAAEwBwAAAAk3LzExLzIwMjYIAAAACTYvMzAvMjAyNQkAAAABMFYAKWtv394IIXFzbm/f3gg5Q0lRLk5BU0RBUTpNU0ZULklRX0ZJTl9ESVZfSU5UX0VYUC45OTcuMTEvMDcvMjAyNi4uLlVTRC5IAQAAAEtVAAADAAAAAABWAClrb9/eCHCYc25v394INENJUS5OQVNEQVE6TVNGVC5JUV9JTVBBSVJfT0lMLjk5NC4xMS8wNy8yMDI2Li4uVVNELkgBAAAAS1UAAAMAAAAAAFYAKWtv394Ic11zbm/f3gg3Q0lRLk5BU0RBUTpNU0ZULklRX1BSRV9PUEVOX0NPU1QuOTk4LjExLzA3LzIwMjYuLi5VU0QuSAEAAABLVQAAAwAAAAAAVgApa2/f3gghcXNub9/eCDhDSVEuTkFTREFROk1TRlQuSVFfUFJPVl9CQURfREVCVFMuOTk0LjExLzA3LzIwMjYuLi5VU0QuSAEAAABLVQAAAwAAAAAAVgApa2/f3gghcXNub9/eCDRDSVEuTkFTREFROk1TRlQuSVFfU0dBX1NVUFBMLjEwMDAuMTEvMDcvMjAyNi4uLlVTRC5IAQAAAEtVAAACAAAABTMy</t>
  </si>
  <si>
    <t>ODc3AQgAAAAFAAAAATEBAAAACy0xOTM0MjU0MjE2AwAAAAMxNjACAAAAAzEwMgQAAAABMAcAAAAJNy8xMS8yMDI2CAAAAAk2LzMwLzIwMjUJAAAAATBWAClrb9/eCCFxc25v394IOUNJUS5OQVNEQVE6TVNGVC5JUV9GSU5fRElWX0lOVF9FWFAuOTk2LjExLzA3LzIwMjYuLi5VU0QuSAEAAABLVQAAAwAAAAAAVgApa2/f3gghcXNub9/eCDJDSVEuTkFTREFROk1TRlQuSVFfRUJUX0VYQ0wuOTk4LjExLzA3LzIwMjYuLi5VU0QuSAEAAABLVQAAAgAAAAU4OTY5NAEIAAAABQAAAAExAQAAAAstMTkzNDI1NDI1MAMAAAADMTYwAgAAAAE0BAAAAAEwBwAAAAk3LzExLzIwMjYIAAAACTYvMzAvMjAyMwkAAAABMFYAKWtv394IKjZzbm/f3gg3Q0lRLk5BU0RBUTpNU0ZULklRX0NVUlJFTkNZX0dBSU4uOTk4LjExLzA3LzIwMjYuLi5VU0QuSAEAAABLVQAAAgAAAAMxMDgBCAAAAAUAAAABMQEAAAALLTE5MzQyNTQyNTADAAAAAzE2MAIAAAACMzgEAAAAATAHAAAACTcvMTEvMjAyNggAAAAJNi8zMC8yMDIzCQAAAAEwVgApa2/f3ghzXXNub9/eCDpDSVEuTkFTREFROk1TRlQuSVFfTkVUX0lOVEVSRVNUX0VYUC45OTcuMTEvMDcvMjAyNi4uLlVTRC5IAQAAAEtVAAACAAAAAjQ3AQgAAAAFAAAAATEBAAAACy0xOTg1OTMxMjI0AwAAAAMxNjACAAAAAzM2OAQAAAABMAcAAAAJNy8xMS8yMDI2CAAAAAk2LzMwLzIwMjIJAAAA</t>
  </si>
  <si>
    <t>ATBWAClrb9/eCHNdc25v394INkNJUS5OQVNEQVE6TVNGVC5JUV9JTlRFUkVTVF9FWFAuOTk3LjExLzA3LzIwMjYuLi5VU0QuSAEAAABLVQAAAgAAAAUtMjA0NwEIAAAABQAAAAExAQAAAAstMTk4NTkzMTIyNAMAAAADMTYwAgAAAAI4MgQAAAABMAcAAAAJNy8xMS8yMDI2CAAAAAk2LzMwLzIwMjIJAAAAATBWAClrb9/eCHNdc25v394IOkNJUS5OQVNEQVE6TVNGVC5JUV9UT1RBTF9PVEhFUl9PUEVSLjk5NS4xMS8wNy8yMDI2Li4uVVNELkgBAAAAS1UAAAIAAAAFNDM5NzgBCAAAAAUAAAABMQEAAAALLTIwODc0OTY2MjcDAAAAAzE2MAIAAAADMzgwBAAAAAEwBwAAAAk3LzExLzIwMjYIAAAACTYvMzAvMjAyMAkAAAABMFYAKWtv394Ic11zbm/f3gg0Q0lRLk5BU0RBUTpNU0ZULklRX0VBUk5JTkdfQ08uOTk5LjExLzA3LzIwMjYuLi5VU0QuSAEAAABLVQAAAgAAAAU4ODEzNgEIAAAABQAAAAExAQAAAAstMTkzNDI1NDE4NQMAAAADMTYwAgAAAAE3BAAAAAEwBwAAAAk3LzExLzIwMjYIAAAACTYvMzAvMjAyNAkAAAABMFYAKWtv394IKjZzbm/f3gg1Q0lRLk5BU0RBUTpNU0ZULklRX0lOU19TRVRUTEUuMTAwMC4xMS8wNy8yMDI2Li4uVVNELkgBAAAAS1UAAAMAAAAAAFYAKWtv394IKjZzbm/f3gg6Q0lRLk5BU0RBUTpNU0ZULklRX0FTU0VUX1dSSVRFRE9XTi4xMDAwLjExLzA3LzIwMjYuLi5VU0QuSAEAAABL</t>
  </si>
  <si>
    <t>VQAAAwAAAAAAVgApa2/f3ggqNnNub9/eCDZDSVEuTkFTREFROk1TRlQuSVFfR0FJTl9JTlZFU1QuMTAwMC4xMS8wNy8yMDI2Li4uVVNELkgBAAAAS1UAAAIAAAAFLTUzNDABCAAAAAUAAAABMQEAAAALLTE5MzQyNTQyMTYDAAAAAzE2MAIAAAACNjIEAAAAATAHAAAACTcvMTEvMjAyNggAAAAJNi8zMC8yMDI1CQAAAAEwVgApa2/f3ggqNnNub9/eCDBDSVEuTkFTREFROk1TRlQuSVFfTUVSR0VSLjk5OS4xMS8wNy8yMDI2Li4uVVNELkgBAAAAS1UAAAMAAAAAAFYAKWtv394IKjZzbm/f3gg/Q0lRLk5BU0RBUTpNU0ZULklRX0VCSVREQV9MRUFTRV9BREpVU1RFRC45OTkuMTEvMDcvMjAyNi4uLlVTRC5IAQAAAEtVAAACAAAABjEzMjk4OAEIAAAABQAAAAExAQAAAAstMTkzNDI1NDE4NQMAAAADMTYwAgAAAAU0ODk5MwQAAAABMAcAAAAJNy8xMS8yMDI2CAAAAAk2LzMwLzIwMjQJAAAAATBWAClrb9/eCHAic25v394IQENJUS5OQVNEQVE6TVNGVC5JUV9FQklUREFfRVFfSU5DX0VYQ0xfU0JDLjk5NS4xMS8wNy8yMDI2Li4uVVNELkgBAAAAS1UAAAIAAAAFNzA1NDgBCAAAAAUAAAABMQEAAAALLTIwODc0OTY2MjcDAAAAAzE2MAIAAAAFMjQxMzEEAAAAATAHAAAACTcvMTEvMjAyNggAAAAJNi8zMC8yMDIwCQAAAAEwVgApa2/f3ghwInNub9/eCDhDSVEuTkFTREFROk1TRlQuSVFfRElMVVRfRVBTX0VYQ0wuOTk2</t>
  </si>
  <si>
    <t>LjExLzA3LzIwMjYuLi5VU0QuSAEAAABLVQAAAgAAAAQ4LjA1AQgAAAAFAAAAATEBAAAACy0yMDM2ODQzODQzAwAAAAMxNjACAAAAAzE0MgQAAAABMAcAAAAJNy8xMS8yMDI2CAAAAAk2LzMwLzIwMjEJAAAAATBWAClrb9/eCCo2c25v394IOUNJUS5OQVNEQVE6TVNGVC5JUV9CQVNJQ19FUFNfRVhDTC4xMDAwLjExLzA3LzIwMjYuLi5VU0QuSAEAAABLVQAAAgAAAAkxMy42OTk5ODYBCAAAAAUAAAABMQEAAAALLTE5MzQyNTQyMTYDAAAAAzE2MAIAAAAEMzA2NAQAAAABMAcAAAAJNy8xMS8yMDI2CAAAAAk2LzMwLzIwMjUJAAAAATBWAClrb9/eCCo2c25v394IOkNJUS5OQVNEQVE6TVNGVC5JUV9FWFRSQV9BQ0NfSVRFTVMuMTAwMC4xMS8wNy8yMDI2Li4uVVNELkgBAAAAS1UAAAMAAAAAAFYAKWtv394IKjZzbm/f3ghBQ0lRLk5BU0RBUTpNU0ZULklRX0VYQ0lTRV9UQVhFU19JTkNMX1NBTEVTLjk5Ny4xMS8wNy8yMDI2Li4uVVNELkgBAAAAS1UAAAMAAAAAAFYAKWtv394IHvtybm/f3ggxQ0lRLk5BU0RBUTpNU0ZULklRX05JX1NGQVMuOTk4LjExLzA3LzIwMjYuLi5VU0QuSAEAAABLVQAAAwAAAAAAVgApa2/f3gge+3Jub9/eCEJDSVEuTkFTREFROk1TRlQuSVFfRUJJVERBUl9FUV9JTkNfRVhDTF9TQkMuMTAwMC4xMS8wNy8yMDI2Li4uVVNELkgBAAAAS1UAAAIAAAAGMTc0MDI2AQgAAAAFAAAAATEBAAAA</t>
  </si>
  <si>
    <t>Cy0xOTM0MjU0MjE2AwAAAAMxNjACAAAABTI0MTMzBAAAAAEwBwAAAAk3LzExLzIwMjYIAAAACTYvMzAvMjAyNQkAAAABMFYAKWtv394IHvtybm/f3gg3Q0lRLk5BU0RBUTpNU0ZULklRX0VCSVRfRVhDTF9TQkMuOTk5LjExLzA3LzIwMjYuLi5VU0QuSAEAAABLVQAAAgAAAAYxMjAxNjcBCAAAAAUAAAABMQEAAAALLTE5MzQyNTQxODUDAAAAAzE2MAIAAAAFMjQxMzQEAAAAATAHAAAACTcvMTEvMjAyNggAAAAJNi8zMC8yMDI0CQAAAAEwVgApa2/f3ghwInNub9/eCC5DSVEuTkFTREFROk1TRlQuSVFfRUJJVC45OTcuMTEvMDcvMjAyNi4uLlVTRC5IAQAAAEtVAAACAAAABTgzMzgzAQgAAAAFAAAAATEBAAAACy0xOTg1OTMxMjI0AwAAAAMxNjACAAAAAzQwMAQAAAABMAcAAAAJNy8xMS8yMDI2CAAAAAk2LzMwLzIwMjIJAAAAATBWAClrb9/eCHAic25v394IM0NJUS5OQVNEQVE6TVNGVC5JUV9UT1RBTF9SRVYuOTk1LjExLzA3LzIwMjYuLi5VU0QuSAEAAABLVQAAAgAAAAYxNDMwMTUBCAAAAAUAAAABMQEAAAALLTIwODc0OTY2MjcDAAAAAzE2MAIAAAACMjgEAAAAATAHAAAACTcvMTEvMjAyNggAAAAJNi8zMC8yMDIwCQAAAAEwVgApa2/f3ghq53Jub9/eCDhDSVEuTkFTREFROk1TRlQuSVFfU1RPQ0tfQkFTRURfUkQuOTk4LjExLzA3LzIwMjYuLi5VU0QuSAEAAABLVQAAAwAAAAAAVgApa2/f3gge+3Jub9/e</t>
  </si>
  <si>
    <t>CERDSVEuTkFTREFROk1TRlQuSVFfREVQUkVDSUFUSU9OX1JFTlRBTF9BU1NFVFMuOTk3LjExLzA3LzIwMjYuLi5VU0QuSAEAAABLVQAAAwAAAAAAVgApa2/f3gge+3Jub9/eCDBDSVEuTkFTREFROk1TRlQuSVFfR0FfRVhQLjk5OS4xMS8wNy8yMDI2Li4uVVNELkgBAAAAS1UAAAIAAAAENzYwOQEIAAAABQAAAAExAQAAAAstMTkzNDI1NDE4NQMAAAADMTYwAgAAAAUyMTU2MgQAAAABMAcAAAAJNy8xMS8yMDI2CAAAAAk2LzMwLzIwMjQJAAAAATBWAClrb9/eCB77cm5v394INENJUS5OQVNEQVE6TVNGVC5JUV9DT01NT05fRElWLjk5OS4xMS8wNy8yMDI2Li4uVVNELkgBAAAAS1UAAAIAAAAFMjIyOTUAVgApa2/f3gge+3Jub9/eCDlDSVEuTkFTREFROk1TRlQuSVFfR0FJTl9JTlZFU1RfUkVWLjk5Ny4xMS8wNy8yMDI2Li4uVVNELkgBAAAAS1UAAAMAAAAAAFYAKWtv394I9b9ybm/f3ggtQ0lRLk5BU0RBUTpNU0ZULklRX1JFVi45OTkuMTEvMDcvMjAyNi4uLlVTRC5IAQAAAEtVAAACAAAABjI0NTEyMgEIAAAABQAAAAExAQAAAAstMTkzNDI1NDE4NQMAAAADMTYwAgAAAAMxMTIEAAAAATAHAAAACTcvMTEvMjAyNggAAAAJNi8zMC8yMDI0CQAAAAEwVgApa2/f3gj1v3Jub9/eCDhDSVEuTkFTREFROk1TRlQuSVFfRVhQTE9SRV9EUklMTC4xMDAwLjExLzA3LzIwMjYuLi5VU0QuSAEAAABLVQAAAwAAAAAAVgAp</t>
  </si>
  <si>
    <t>a2/f3gj1v3Jub9/eCDZDSVEuTkFTREFROk1TRlQuSVFfSU5UX0lOVl9JTkMuMTAwMC4xMS8wNy8yMDI2Li4uVVNELkgBAAAAS1UAAAMAAAAAAFYAKWtv394Iaudybm/f3gg1Q0lRLk5BU0RBUTpNU0ZULklRX0ZJTl9ESVZfRVhQLjk5OS4xMS8wNy8yMDI2Li4uVVNELkgBAAAAS1UAAAMAAAAAAFYAKWtv394Iaudybm/f3gg2Q0lRLk5BU0RBUTpNU0ZULklRX0lOVEVSRVNUX0VYUC45OTUuMTEvMDcvMjAyNi4uLlVTRC5IAQAAAEtVAAACAAAABS0yNTkxAQgAAAAFAAAAATEBAAAACy0yMDg3NDk2NjI3AwAAAAMxNjACAAAAAjgyBAAAAAEwBwAAAAk3LzExLzIwMjYIAAAACTYvMzAvMjAyMAkAAAABMFYAKWtv394I9b9ybm/f3gg6Q0lRLk5BU0RBUTpNU0ZULklRX1RPVEFMX09USEVSX09QRVIuOTk0LjExLzA3LzIwMjYuLi5VU0QuSAEAAABLVQAAAgAAAAUzOTk3NAEIAAAABQAAAAExAQAAAAstMjE0MDk4MTQ2OQMAAAADMTYwAgAAAAMzODAEAAAAATAHAAAACTcvMTEvMjAyNggAAAAJNi8zMC8yMDE5CQAAAAEwVgApa2/f3gj1v3Jub9/eCDdDSVEuTkFTREFROk1TRlQuSVFfUFJFX09QRU5fQ09TVC45OTcuMTEvMDcvMjAyNi4uLlVTRC5IAQAAAEtVAAADAAAAAABWAClrb9/eCPW/cm5v394IM0NJUS5OQVNEQVE6TVNGVC5JUV9TR0FfU1VQUEwuOTk5LjExLzA3LzIwMjYuLi5VU0QuSAEAAABLVQAAAgAAAAUz</t>
  </si>
  <si>
    <t>MjA2NQEIAAAABQAAAAExAQAAAAstMTkzNDI1NDE4NQMAAAADMTYwAgAAAAMxMDIEAAAAATAHAAAACTcvMTEvMjAyNggAAAAJNi8zMC8yMDI0CQAAAAEwVgApa2/f3gj1v3Jub9/eCC5DSVEuTkFTREFROk1TRlQuSVFfQ09HUy45OTUuMTEvMDcvMjAyNi4uLlVTRC5IAQAAAEtVAAACAAAABTQ2MDc4AQgAAAAFAAAAATEBAAAACy0yMDg3NDk2NjI3AwAAAAMxNjACAAAAAjM0BAAAAAEwBwAAAAk3LzExLzIwMjYIAAAACTYvMzAvMjAyMAkAAAABMFYAKWtv394I9b9ybm/f3gg1Q0lRLk5BU0RBUTpNU0ZULklRX0dBSU5fSU5WRVNULjk5OC4xMS8wNy8yMDI2Li4uVVNELkgBAAAAS1UAAAIAAAAELTM4MwEIAAAABQAAAAExAQAAAAstMTkzNDI1NDI1MAMAAAADMTYwAgAAAAI2MgQAAAABMAcAAAAJNy8xMS8yMDI2CAAAAAk2LzMwLzIwMjMJAAAAATBWAClrb9/eCKKEcm5v394IMENJUS5OQVNEQVE6TVNGVC5JUV9NRVJHRVIuOTk4LjExLzA3LzIwMjYuLi5VU0QuSAEAAABLVQAAAwAAAAAAVgApa2/f3ggdrHJub9/eCDJDSVEuTkFTREFROk1TRlQuSVFfRUJUX0VYQ0wuOTk3LjExLzA3LzIwMjYuLi5VU0QuSAEAAABLVQAAAgAAAAU4MzI0MgEIAAAABQAAAAExAQAAAAstMTk4NTkzMTIyNAMAAAADMTYwAgAAAAE0BAAAAAEwBwAAAAk3LzExLzIwMjYIAAAACTYvMzAvMjAyMgkAAAABMFYAKWtv394IHaxybm/f3gg3</t>
  </si>
  <si>
    <t>Q0lRLk5BU0RBUTpNU0ZULklRX0NVUlJFTkNZX0dBSU4uOTk3LjExLzA3LzIwMjYuLi5VU0QuSAEAAABLVQAAAgAAAAMyMzIBCAAAAAUAAAABMQEAAAALLTE5ODU5MzEyMjQDAAAAAzE2MAIAAAACMzgEAAAAATAHAAAACTcvMTEvMjAyNggAAAAJNi8zMC8yMDIyCQAAAAEwVgApa2/f3ggdrHJub9/eCDpDSVEuTkFTREFROk1TRlQuSVFfTkVUX0lOVEVSRVNUX0VYUC45OTYuMTEvMDcvMjAyNi4uLlVTRC5IAQAAAEtVAAACAAAABC0xOTkBCAAAAAUAAAABMQEAAAALLTIwMzY4NDM4NDMDAAAAAzE2MAIAAAADMzY4BAAAAAEwBwAAAAk3LzExLzIwMjYIAAAACTYvMzAvMjAyMQkAAAABMFYAKWtv394IHaxybm/f3gg5Q0lRLk5BU0RBUTpNU0ZULklRX0VYVFJBX0FDQ19JVEVNUy45OTkuMTEvMDcvMjAyNi4uLlVTRC5IAQAAAEtVAAADAAAAAABWAClrb9/eCKKEcm5v394INENJUS5OQVNEQVE6TVNGVC5JUV9FQVJOSU5HX0NPLjk5OC4xMS8wNy8yMDI2Li4uVVNELkgBAAAAS1UAAAIAAAAFNzIzNjEBCAAAAAUAAAABMQEAAAALLTE5MzQyNTQyNTADAAAAAzE2MAIAAAABNwQAAAABMAcAAAAJNy8xMS8yMDI2CAAAAAk2LzMwLzIwMjMJAAAAATBWAClrb9/eCKKEcm5v394ILUNJUS5OQVNEQVE6TVNGVC5JUV9FQlQuOTk4LjExLzA3LzIwMjYuLi5VU0QuSAEAAABLVQAAAgAAAAU4OTMxMQEIAAAABQAAAAExAQAAAAst</t>
  </si>
  <si>
    <t>MTkzNDI1NDI1MAMAAAADMTYwAgAAAAMxMzkEAAAAATAHAAAACTcvMTEvMjAyNggAAAAJNi8zMC8yMDIzCQAAAAEwVgApa2/f3giihHJub9/eCDZDSVEuTkFTREFROk1TRlQuSVFfTEVHQUxfU0VUVExFLjk5Ny4xMS8wNy8yMDI2Li4uVVNELkgBAAAAS1UAAAMAAAAAAFYAKWtv394IooRybm/f3gg5Q0lRLk5BU0RBUTpNU0ZULklRX0FTU0VUX1dSSVRFRE9XTi45OTkuMTEvMDcvMjAyNi4uLlVTRC5IAQAAAEtVAAADAAAAAABWAClrb9/eCKKEcm5v394IQENJUS5OQVNEQVE6TVNGVC5JUV9FQklUREFfRVFfSU5DX0VYQ0xfU0JDLjk5NC4xMS8wNy8yMDI2Li4uVVNELkgBAAAAS1UAAAIAAAAFNTkyMTEBCAAAAAUAAAABMQEAAAALLTIxNDA5ODE0NjkDAAAAAzE2MAIAAAAFMjQxMzEEAAAAATAHAAAACTcvMTEvMjAyNggAAAAJNi8zMC8yMDE5CQAAAAEwVgApa2/f3ghwSXJub9/eCDhDSVEuTkFTREFROk1TRlQuSVFfRElMVVRfRVBTX0VYQ0wuOTk1LjExLzA3LzIwMjYuLi5VU0QuSAEAAABLVQAAAgAAAAQ1Ljc2AQgAAAAFAAAAATEBAAAACy0yMDg3NDk2NjI3AwAAAAMxNjACAAAAAzE0MgQAAAABMAcAAAAJNy8xMS8yMDI2CAAAAAk2LzMwLzIwMjAJAAAAATBWAClrb9/eCHBJcm5v394IOENJUS5OQVNEQVE6TVNGVC5JUV9OSV9BVkFJTF9FWENMLjEwMDAuMTEvMDcvMjAyNi4uLlVTRC5IAQAAAEtVAAACAAAA</t>
  </si>
  <si>
    <t>BjEwMTgzMgEIAAAABQAAAAExAQAAAAstMTkzNDI1NDIxNgMAAAADMTYwAgAAAAMzNzkEAAAAATAHAAAACTcvMTEvMjAyNggAAAAJNi8zMC8yMDI1CQAAAAEwVgApa2/f3gjNcHJub9/eCDlDSVEuTkFTREFROk1TRlQuSVFfUFJFRl9ESVZfT1RIRVIuMTAwMC4xMS8wNy8yMDI2Li4uVVNELkgBAAAAS1UAAAMAAAAAAFYAKWtv394IzXBybm/f3gg/Q0lRLk5BU0RBUTpNU0ZULklRX01JTk9SSVRZX0lOVEVSRVNUX0lTLjEwMDAuMTEvMDcvMjAyNi4uLlVTRC5IAQAAAEtVAAADAAAAAABWAClrb9/eCM1wcm5v394IMUNJUS5OQVNEQVE6TVNGVC5JUV9OSV9TRkFTLjk5NS4xMS8wNy8yMDI2Li4uVVNELkgBAAAAS1UAAAMAAAAAAFYAKWtv394InTVybm/f3ghBQ0lRLk5BU0RBUTpNU0ZULklRX0VCSVREQVJfRVFfSU5DX0VYQ0xfU0JDLjk5OC4xMS8wNy8yMDI2Li4uVVNELkgBAAAAS1UAAAIAAAAGMTE0NTA5AQgAAAAFAAAAATEBAAAACy0xOTM0MjU0MjUwAwAAAAMxNjACAAAABTI0MTMzBAAAAAEwBwAAAAk3LzExLzIwMjYIAAAACTYvMzAvMjAyMwkAAAABMFYAKWtv394IcElybm/f3ghAQ0lRLk5BU0RBUTpNU0ZULklRX0VCSVRBX0VRX0lOQ19FWENMX1NCQy4xMDAwLjExLzA3LzIwMjYuLi5VU0QuSAEAAABLVQAAAgAAAAYxNDY1MDIBCAAAAAUAAAABMQEAAAALLTE5MzQyNTQyMTYDAAAAAzE2MAIAAAAFMjQx</t>
  </si>
  <si>
    <t>MzIEAAAAATAHAAAACTcvMTEvMjAyNggAAAAJNi8zMC8yMDI1CQAAAAEwVgApa2/f3ghwSXJub9/eCDVDSVEuTkFTREFROk1TRlQuSVFfRUJJVF9FUV9JTkMuOTk0LjExLzA3LzIwMjYuLi5VU0QuSAEAAABLVQAAAgAAAAU0Mjk1OQEIAAAABQAAAAExAQAAAAstMjE0MDk4MTQ2OQMAAAADMTYwAgAAAAUyMTY3NQQAAAABMAcAAAAJNy8xMS8yMDI2CAAAAAk2LzMwLzIwMTkJAAAAATBWAClrb9/eCHBJcm5v394IP0NJUS5OQVNEQVE6TVNGVC5JUV9FQklUREFfTEVBU0VfQURKVVNURUQuOTk4LjExLzA3LzIwMjYuLi5VU0QuSAEAAABLVQAAAgAAAAYxMDQ4OTgBCAAAAAUAAAABMQEAAAALLTE5MzQyNTQyNTADAAAAAzE2MAIAAAAFNDg5OTMEAAAAATAHAAAACTcvMTEvMjAyNggAAAAJNi8zMC8yMDIzCQAAAAEwVgApa2/f3ghwSXJub9/eCDZDSVEuTkFTREFROk1TRlQuSVFfTUFJTlRfUkVQQUlSLjk5NS4xMS8wNy8yMDI2Li4uVVNELkgBAAAAS1UAAAMAAAAAAFYAKWtv394IOw5ybm/f3ggwQ0lRLk5BU0RBUTpNU0ZULklRX0dBX0VYUC45OTguMTEvMDcvMjAyNi4uLlVTRC5IAQAAAEtVAAACAAAABDc1NzUBCAAAAAUAAAABMQEAAAALLTE5MzQyNTQyNTADAAAAAzE2MAIAAAAFMjE1NjIEAAAAATAHAAAACTcvMTEvMjAyNggAAAAJNi8zMC8yMDIzCQAAAAEwVgApa2/f3gg7DnJub9/eCDpDSVEuTkFTREFROk1T</t>
  </si>
  <si>
    <t>RlQuSVFfSU5UX0VYUF9JTkNMX0NBUC45OTcuMTEvMDcvMjAyNi4uLlVTRC5IAQAAAEtVAAACAAAABDIwNDcBCAAAAAUAAAABMQEAAAALLTE5ODU5MzEyMjQDAAAAAzE2MAIAAAAFMjE4NjEEAAAAATAHAAAACTcvMTEvMjAyNggAAAAJNi8zMC8yMDIyCQAAAAEwVgApa2/f3gg7DnJub9/eCENDSVEuTkFTREFROk1TRlQuSVFfTk9OUkVDVVJSSU5HX0lOQ09NRV9UQVhFUy45OTQuMTEvMDcvMjAyNi4uLlVTRC5IAQAAAEtVAAACAAAAAzE1NwEIAAAABQAAAAExAQAAAAstMjE0MDk4MTQ2OQMAAAADMTYwAgAAAAU0ODgzOQQAAAABMAcAAAAJNy8xMS8yMDI2CAAAAAk2LzMwLzIwMTkJAAAAATBWAClrb9/eCJ01cm5v394IPUNJUS5OQVNEQVE6TVNGVC5JUV9DVVJSX0RPTUVTVElDX1RBWEVTLjk5NC4xMS8wNy8yMDI2Li4uVVNELkgBAAAAS1UAAAIAAAAENTM4MAEIAAAABQAAAAExAQAAAAstMjE0MDk4MTQ2OQMAAAADMTYwAgAAAAQzMDI3BAAAAAEwBwAAAAk3LzExLzIwMjYIAAAACTYvMzAvMjAxOQkAAAABMFYAKWtv394InTVybm/f3gg5Q0lRLk5BU0RBUTpNU0ZULklRX0ZJTl9ESVZfSU5UX0VYUC45OTguMTEvMDcvMjAyNi4uLlVTRC5IAQAAAEtVAAADAAAAAABWAClrb9/eCDsOcm5v394IOUNJUS5OQVNEQVE6TVNGVC5JUV9PVEhFUl9SRVZfU1VQUEwuOTk0LjExLzA3LzIwMjYuLi5VU0QuSAEAAABLVQAA</t>
  </si>
  <si>
    <t>AwAAAAAAVgApa2/f3gg7DnJub9/eCDNDSVEuTkFTREFROk1TRlQuSVFfU0dBX1NVUFBMLjk5NS4xMS8wNy8yMDI2Li4uVVNELkgBAAAAS1UAAAIAAAAFMjQ3MDkBCAAAAAUAAAABMQEAAAALLTIwODc0OTY2MjcDAAAAAzE2MAIAAAADMTAyBAAAAAEwBwAAAAk3LzExLzIwMjYIAAAACTYvMzAvMjAyMAkAAAABMFYAKWtv394IOw5ybm/f3gg1Q0lRLk5BU0RBUTpNU0ZULklRX0ZJTl9ESVZfRVhQLjk5OC4xMS8wNy8yMDI2Li4uVVNELkgBAAAAS1UAAAMAAAAAAFYAKWtv394IOw5ybm/f3gg8Q0lRLk5BU0RBUTpNU0ZULklRX0FTU0VUX1dSSVRFRE9XTl9DRi45OTUuMTEvMDcvMjAyNi4uLlVTRC5IAQAAAEtVAAADAAAAAABWAClrb9/eCDsOcm5v394IOkNJUS5OQVNEQVE6TVNGVC5JUV9ORVRfSU5URVJFU1RfRVhQLjk5NS4xMS8wNy8yMDI2Li4uVVNELkgBAAAAS1UAAAIAAAACODkBCAAAAAUAAAABMQEAAAALLTIwODc0OTY2MjcDAAAAAzE2MAIAAAADMzY4BAAAAAEwBwAAAAk3LzExLzIwMjYIAAAACTYvMzAvMjAyMAkAAAABMFYAKWtv394I0Plxbm/f3gg2Q0lRLk5BU0RBUTpNU0ZULklRX0lOVEVSRVNUX0VYUC45OTQuMTEvMDcvMjAyNi4uLlVTRC5IAQAAAEtVAAACAAAABS0yNjg2AQgAAAAFAAAAATEBAAAACy0yMTQwOTgxNDY5AwAAAAMxNjACAAAAAjgyBAAAAAEwBwAAAAk3LzExLzIwMjYIAAAACTYv</t>
  </si>
  <si>
    <t>MzAvMjAxOQkAAAABMFYAKWtv394I0Plxbm/f3ggyQ0lRLk5BU0RBUTpNU0ZULklRX0RBX1NVUFBMLjk5OS4xMS8wNy8yMDI2Li4uVVNELkgBAAAAS1UAAAMAAAAAAFYAKWtv394I0Plxbm/f3gg3Q0lRLk5BU0RBUTpNU0ZULklRX1BSRV9PUEVOX0NPU1QuOTk2LjExLzA3LzIwMjYuLi5VU0QuSAEAAABLVQAAAwAAAAAAVgApa2/f3gjQ+XFub9/eCDZDSVEuTkFTREFROk1TRlQuSVFfRklOX0RJVl9FWFAuMTAwMC4xMS8wNy8yMDI2Li4uVVNELkgBAAAAS1UAAAMAAAAAAFYAKWtv394IOw5ybm/f3gguQ0lRLk5BU0RBUTpNU0ZULklRX0lQUkQuOTk1LjExLzA3LzIwMjYuLi5VU0QuSAEAAABLVQAAAwAAAAAAVgApa2/f3gjH5XFub9/eCDVDSVEuTkFTREFROk1TRlQuSVFfR0FJTl9BU1NFVFMuOTk1LjExLzA3LzIwMjYuLi5VU0QuSAEAAABLVQAAAwAAAAAAVgApa2/f3gjH5XFub9/eCDBDSVEuTkFTREFROk1TRlQuSVFfTUVSR0VSLjk5Ny4xMS8wNy8yMDI2Li4uVVNELkgBAAAAS1UAAAMAAAAAAFYAKWtv394Ix+Vxbm/f3ggyQ0lRLk5BU0RBUTpNU0ZULklRX0VCVF9FWENMLjk5Ni4xMS8wNy8yMDI2Li4uVVNELkgBAAAAS1UAAAIAAAAFNjk4NzABCAAAAAUAAAABMQEAAAALLTIwMzY4NDM4NDMDAAAAAzE2MAIAAAABNAQAAAABMAcAAAAJNy8xMS8yMDI2CAAAAAk2LzMwLzIwMjEJAAAAATBWAClrb9/eCND5</t>
  </si>
  <si>
    <t>cW5v394IN0NJUS5OQVNEQVE6TVNGVC5JUV9DVVJSRU5DWV9HQUlOLjk5NS4xMS8wNy8yMDI2Li4uVVNELkgBAAAAS1UAAAIAAAAELTE3MQEIAAAABQAAAAExAQAAAAstMjA4NzQ5NjYyNwMAAAADMTYwAgAAAAIzOAQAAAABMAcAAAAJNy8xMS8yMDI2CAAAAAk2LzMwLzIwMjAJAAAAATBWAClrb9/eCND5cW5v394IPkNJUS5OQVNEQVE6TVNGVC5JUV9NSU5PUklUWV9JTlRFUkVTVF9JUy45OTguMTEvMDcvMjAyNi4uLlVTRC5IAQAAAEtVAAADAAAAAABWAClrb9/eCD7RcW5v394IOUNJUS5OQVNEQVE6TVNGVC5JUV9FWFRSQV9BQ0NfSVRFTVMuOTk4LjExLzA3LzIwMjYuLi5VU0QuSAEAAABLVQAAAwAAAAAAVgApa2/f3gg+0XFub9/eCDRDSVEuTkFTREFROk1TRlQuSVFfRUFSTklOR19DTy45OTcuMTEvMDcvMjAyNi4uLlVTRC5IAQAAAEtVAAACAAAABTcyNzM4AQgAAAAFAAAAATEBAAAACy0xOTg1OTMxMjI0AwAAAAMxNjACAAAAATcEAAAAATAHAAAACTcvMTEvMjAyNggAAAAJNi8zMC8yMDIyCQAAAAEwVgApa2/f3gjH5XFub9/eCC1DSVEuTkFTREFROk1TRlQuSVFfRUJULjk5Ny4xMS8wNy8yMDI2Li4uVVNELkgBAAAAS1UAAAIAAAAFODM3MTYBCAAAAAUAAAABMQEAAAALLTE5ODU5MzEyMjQDAAAAAzE2MAIAAAADMTM5BAAAAAEwBwAAAAk3LzExLzIwMjYIAAAACTYvMzAvMjAyMgkAAAABMFYAKWtv394I</t>
  </si>
  <si>
    <t>x+Vxbm/f3gg2Q0lRLk5BU0RBUTpNU0ZULklRX0xFR0FMX1NFVFRMRS45OTYuMTEvMDcvMjAyNi4uLlVTRC5IAQAAAEtVAAADAAAAAABWAClrb9/eCMflcW5v394IQUNJUS5OQVNEQVE6TVNGVC5JUV9MRUFTRV9BREpVU1RNRU5UX0VCSVREQS45OTUuMTEvMDcvMjAyNi4uLlVTRC5IAQAAAEtVAAACAAAABDIwNDMAVgApa2/f3gigvHFub9/eCENDSVEuTkFTREFROk1TRlQuSVFfRElTVFJJQlVUQUJMRV9DQVNIX1NIQVJFLjEwMDAuMTEvMDcvMjAyNi4uLlVTRC5IAQAAAEtVAAADAAAAAABWAClrb9/eCD7RcW5v394IOENJUS5OQVNEQVE6TVNGVC5JUV9ESUxVVF9FUFNfRVhDTC45OTQuMTEvMDcvMjAyNi4uLlVTRC5IAQAAAEtVAAACAAAABDUuMDYBCAAAAAUAAAABMQEAAAALLTIxNDA5ODE0NjkDAAAAAzE2MAIAAAADMTQyBAAAAAEwBwAAAAk3LzExLzIwMjYIAAAACTYvMzAvMjAxOQkAAAABMFYAKWtv394IPtFxbm/f3gg3Q0lRLk5BU0RBUTpNU0ZULklRX05JX0FWQUlMX0VYQ0wuOTk5LjExLzA3LzIwMjYuLi5VU0QuSAEAAABLVQAAAgAAAAU4ODEzNgEIAAAABQAAAAExAQAAAAstMTkzNDI1NDE4NQMAAAADMTYwAgAAAAMzNzkEAAAAATAHAAAACTcvMTEvMjAyNggAAAAJNi8zMC8yMDI0CQAAAAEwVgApa2/f3gg+0XFub9/eCDhDSVEuTkFTREFROk1TRlQuSVFfUFJFRl9ESVZfT1RIRVIuOTk5LjExLzA3</t>
  </si>
  <si>
    <t>LzIwMjYuLi5VU0QuSAEAAABLVQAAAwAAAAAAVgApa2/f3gg+0XFub9/eCD1DSVEuTkFTREFROk1TRlQuSVFfTk9OQ0FTSF9QRU5TSU9OX0VYUC45OTkuMTEvMDcvMjAyNi4uLlVTRC5IAQAAAEtVAAADAAAAAABWAClrb9/eCKC8cW5v394IMUNJUS5OQVNEQVE6TVNGVC5JUV9OSV9TRkFTLjk5NC4xMS8wNy8yMDI2Li4uVVNELkgBAAAAS1UAAAMAAAAAAFYAKWtv394IoLxxbm/f3ghBQ0lRLk5BU0RBUTpNU0ZULklRX0VCSVREQVJfRVFfSU5DX0VYQ0xfU0JDLjk5Ny4xMS8wNy8yMDI2Li4uVVNELkgBAAAAS1UAAAIAAAAGMTA3OTE0AQgAAAAFAAAAATEBAAAACy0xOTg1OTMxMjI0AwAAAAMxNjACAAAABTI0MTMzBAAAAAEwBwAAAAk3LzExLzIwMjYIAAAACTYvMzAvMjAyMgkAAAABMFYAKWtv394IoLxxbm/f3gg4Q0lRLk5BU0RBUTpNU0ZULklRX0VCSVRBX0VYQ0xfU0JDLjk5Ny4xMS8wNy8yMDI2Li4uVVNELkgBAAAAS1UAAAIAAAAFOTI4ODUBCAAAAAUAAAABMQEAAAALLTE5ODU5MzEyMjQDAAAAAzE2MAIAAAAFMjQxMzYEAAAAATAHAAAACTcvMTEvMjAyNggAAAAJNi8zMC8yMDIyCQAAAAEwVgApa2/f3gigvHFub9/eCC9DSVEuTkFTREFROk1TRlQuSVFfRUJJVEEuOTk3LjExLzA3LzIwMjYuLi5VU0QuSAEAAABLVQAAAgAAAAU4NTM4MwEIAAAABQAAAAExAQAAAAstMTk4NTkzMTIyNAMAAAADMTYwAgAA</t>
  </si>
  <si>
    <t>AAYxMDA2ODkEAAAAATAHAAAACTcvMTEvMjAyNggAAAAJNi8zMC8yMDIyCQAAAAEwVgApa2/f3gigvHFub9/eCDhDSVEuTkFTREFROk1TRlQuSVFfUFJPVl9CQURfREVCVFMuOTk2LjExLzA3LzIwMjYuLi5VU0QuSAEAAABLVQAAAwAAAAAAVgApa2/f3gidp3Fub9/eCDVDSVEuTkFTREFROk1TRlQuSVFfSU5TX0RJVl9SRVYuOTk2LjExLzA3LzIwMjYuLi5VU0QuSAEAAABLVQAAAwAAAAAAVgApa2/f3gidp3Fub9/eCDhDSVEuTkFTREFROk1TRlQuSVFfQ1JFRElUX0xPU1NfQ0YuOTk5LjExLzA3LzIwMjYuLi5VU0QuSAEAAABLVQAAAwAAAAAAVgApa2/f3gidp3Fub9/eCDZDSVEuTkFTREFROk1TRlQuSVFfTUFJTlRfUkVQQUlSLjk5NC4xMS8wNy8yMDI2Li4uVVNELkgBAAAAS1UAAAMAAAAAAFYAKWtv394Inadxbm/f3ggwQ0lRLk5BU0RBUTpNU0ZULklRX0dBX0VYUC45OTUuMTEvMDcvMjAyNi4uLlVTRC5IAQAAAEtVAAACAAAABDUxMTEBCAAAAAUAAAABMQEAAAALLTIwODc0OTY2MjcDAAAAAzE2MAIAAAAFMjE1NjIEAAAAATAHAAAACTcvMTEvMjAyNggAAAAJNi8zMC8yMDIwCQAAAAEwVgApa2/f3gidp3Fub9/eCDVDSVEuTkFTREFROk1TRlQuSVFfR0FJTl9BU1NFVFMuOTk0LjExLzA3LzIwMjYuLi5VU0QuSAEAAABLVQAAAwAAAAAARRQpa2/f3gi/fHFub9/eCDdDSVEuTkFTREFROk1TRlQuSVFfSU1Q</t>
  </si>
  <si>
    <t>QUlSTUVOVF9HVy45OTQuMTEvMDcvMjAyNi4uLlVTRC5IAQAAAEtVAAADAAAAAABFFClrb9/eCEqTcW5v394IOUNJUS5OQVNEQVE6TVNGVC5JUV9HQUlOX0lOVkVTVF9SRVYuOTk1LjExLzA3LzIwMjYuLi5VU0QuSAEAAABLVQAAAwAAAAAARRQpa2/f3ghKk3Fub9/eCDpDSVEuTkFTREFROk1TRlQuSVFfT1RIRVJfUkVWX1NVUFBMLjEwMDAuMTEvMDcvMjAyNi4uLlVTRC5IAQAAAEtVAAADAAAAAABFFClrb9/eCEqTcW5v394IOUNJUS5OQVNEQVE6TVNGVC5JUV9HQUlOX0lOVkVTVF9SRVYuOTk2LjExLzA3LzIwMjYuLi5VU0QuSAEAAABLVQAAAwAAAAAARRQpa2/f3ghKk3Fub9/eCDlDSVEuTkFTREFROk1TRlQuSVFfRVhUUkFfQUNDX0lURU1TLjk5Ny4xMS8wNy8yMDI2Li4uVVNELkgBAAAAS1UAAAMAAAAAAEUUKWtv394IvWhxbm/f3gg0Q0lRLk5BU0RBUTpNU0ZULklRX0VBUk5JTkdfQ08uOTk2LjExLzA3LzIwMjYuLi5VU0QuSAEAAABLVQAAAgAAAAU2MTI3MQEIAAAABQAAAAExAQAAAAstMjAzNjg0Mzg0MwMAAAADMTYwAgAAAAE3BAAAAAEwBwAAAAk3LzExLzIwMjYIAAAACTYvMzAvMjAyMQkAAAABMEUUKWtv394Iv3xxbm/f3ggtQ0lRLk5BU0RBUTpNU0ZULklRX0VCVC45OTUuMTEvMDcvMjAyNi4uLlVTRC5IAQAAAEtVAAACAAAABTUzMDM2AQgAAAAFAAAAATEBAAAACy0yMDg3NDk2NjI3AwAAAAMx</t>
  </si>
  <si>
    <t>NjACAAAAAzEzOQQAAAABMAcAAAAJNy8xMS8yMDI2CAAAAAk2LzMwLzIwMjAJAAAAATBFFClrb9/eCL98cW5v394INkNJUS5OQVNEQVE6TVNGVC5JUV9MRUdBTF9TRVRUTEUuOTk1LjExLzA3LzIwMjYuLi5VU0QuSAEAAABLVQAAAwAAAAAARRQpa2/f3gi/fHFub9/eCC5DSVEuTkFTREFROk1TRlQuSVFfSVBSRC45OTQuMTEvMDcvMjAyNi4uLlVTRC5IAQAAAEtVAAADAAAAAABFFClrb9/eCL98cW5v394IO0NJUS5OQVNEQVE6TVNGVC5JUV9TUEVDSUFMX0RJVl9TSEFSRS45OTUuMTEvMDcvMjAyNi4uLlVTRC5IAQAAAEtVAAADAAAAAABFFClrb9/eCIdTcW5v394IOENJUS5OQVNEQVE6TVNGVC5JUV9ESUxVVF9FUFNfTk9STS45OTUuMTEvMDcvMjAyNi4uLlVTRC5IAQAAAEtVAAACAAAACDQuMzExNzkyAQgAAAAFAAAAATEBAAAACy0yMDg3NDk2NjI3AwAAAAMxNjACAAAABDQzODAEAAAAATAHAAAACTcvMTEvMjAyNggAAAAJNi8zMC8yMDIwCQAAAAEwRRQpa2/f3giHU3Fub9/eCDhDSVEuTkFTREFROk1TRlQuSVFfQkFTSUNfRVBTX0lOQ0wuOTk2LjExLzA3LzIwMjYuLi5VU0QuSAEAAABLVQAAAgAAAAc4LjExODU5AQgAAAAFAAAAATEBAAAACy0yMDM2ODQzODQzAwAAAAMxNjACAAAAATkEAAAAATAHAAAACTcvMTEvMjAyNggAAAAJNi8zMC8yMDIxCQAAAAEwRRQpa2/f3gi9aHFub9/eCDdDSVEuTkFTREFR</t>
  </si>
  <si>
    <t>Ok1TRlQuSVFfTklfQVZBSUxfSU5DTC45OTUuMTEvMDcvMjAyNi4uLlVTRC5IAQAAAEtVAAACAAAABTQ0MjgxAQgAAAAFAAAAATEBAAAACy0yMDg3NDk2NjI3AwAAAAMxNjACAAAAAjE2BAAAAAEwBwAAAAk3LzExLzIwMjYIAAAACTYvMzAvMjAyMAkAAAABMEUUKWtv394IvWhxbm/f3gg+Q0lRLk5BU0RBUTpNU0ZULklRX01JTk9SSVRZX0lOVEVSRVNUX0lTLjk5Ny4xMS8wNy8yMDI2Li4uVVNELkgBAAAAS1UAAAMAAAAAAEUUKWtv394IvWhxbm/f3gg7Q0lRLk5BU0RBUTpNU0ZULklRX05FVF9SRU5UQUxfRVhQX0ZOLjk5NC4xMS8wNy8yMDI2Li4uVVNELkgBAAAAS1UAAAIAAAAEMTcwNwEIAAAABQAAAAExAQAAAAstMjE0MDk4MTQ2OQMAAAADMTYwAgAAAAQzMTcwBAAAAAEwBwAAAAk3LzExLzIwMjYIAAAACTYvMzAvMjAxOQkAAAABMEUUKWtv394Iyj9xbm/f3gg9Q0lRLk5BU0RBUTpNU0ZULklRX05PTkNBU0hfUEVOU0lPTl9FWFAuOTk4LjExLzA3LzIwMjYuLi5VU0QuSAEAAABLVQAAAwAAAAAARRQpa2/f3gjKP3Fub9/eCERDSVEuTkFTREFROk1TRlQuSVFfTk9OUkVDVVJSSU5HX0lOQ09NRV9UQVhFUy4xMDAwLjExLzA3LzIwMjYuLi5VU0QuSAEAAABLVQAAAwAAAAAARRQpa2/f3gjKP3Fub9/eCDpDSVEuTkFTREFROk1TRlQuSVFfRUJJVERBUl9FWENMX1NCQy45OTUuMTEvMDcvMjAyNi4uLlVTRC5I</t>
  </si>
  <si>
    <t>AQAAAEtVAAACAAAABTcyNTkxAQgAAAAFAAAAATEBAAAACy0yMDg3NDk2NjI3AwAAAAMxNjACAAAABTI0MTM3BAAAAAEwBwAAAAk3LzExLzIwMjYIAAAACTYvMzAvMjAyMAkAAAABMEUUKWtv394Iyj9xbm/f3ggvQ0lRLk5BU0RBUTpNU0ZULklRX0VCSVRBLjk5Ni4xMS8wNy8yMDI2Li4uVVNELkgBAAAAS1UAAAIAAAAFNzE1MTYBCAAAAAUAAAABMQEAAAALLTIwMzY4NDM4NDMDAAAAAzE2MAIAAAAGMTAwNjg5BAAAAAEwBwAAAAk3LzExLzIwMjYIAAAACTYvMzAvMjAyMQkAAAABMEUUKWtv394Ih1Nxbm/f3gg0Q0lRLk5BU0RBUTpNU0ZULklRX1RPVEFMX1JFVi4xMDAwLjExLzA3LzIwMjYuLi5VU0QuSAEAAABLVQAAAgAAAAYyODE3MjQBCAAAAAUAAAABMQEAAAALLTE5MzQyNTQyMTYDAAAAAzE2MAIAAAACMjgEAAAAATAHAAAACTcvMTEvMjAyNggAAAAJNi8zMC8yMDI1CQAAAAEwRRQpa2/f3ghvGHFub9/eCDlDSVEuTkFTREFROk1TRlQuSVFfR1dfSU5UQU5fQU1PUlQuMTAwMC4xMS8wNy8yMDI2Li4uVVNELkgBAAAAS1UAAAMAAAAAAEUUKWtv394Ibxhxbm/f3gg1Q0lRLk5BU0RBUTpNU0ZULklRX0lOVF9JTlZfSU5DLjk5OC4xMS8wNy8yMDI2Li4uVVNELkgBAAAAS1UAAAMAAAAAAEUUKWtv394Ibxhxbm/f3gg1Q0lRLk5BU0RBUTpNU0ZULklRX0ZJTl9ESVZfRVhQLjk5Ny4xMS8wNy8yMDI2Li4uVVNE</t>
  </si>
  <si>
    <t>LkgBAAAAS1UAAAMAAAAAAEUUKWtv394Iyj9xbm/f3gg4Q0lRLk5BU0RBUTpNU0ZULklRX1NUT0NLX0JBU0VEX0dBLjk5OS4xMS8wNy8yMDI2Li4uVVNELkgBAAAAS1UAAAMAAAAAAEUUKWtv394Iyj9xbm/f3gg1Q0lRLk5BU0RBUTpNU0ZULklRX0lOU19ESVZfRVhQLjk5Ni4xMS8wNy8yMDI2Li4uVVNELkgBAAAAS1UAAAMAAAAAAEUUKWtv394Ibxhxbm/f3gg5Q0lRLk5BU0RBUTpNU0ZULklRX09USEVSX1JFVl9TVVBQTC45OTguMTEvMDcvMjAyNi4uLlVTRC5IAQAAAEtVAAADAAAAAABFFClrb9/eCG8YcW5v394IOkNJUS5OQVNEQVE6TVNGVC5JUV9ORVRfSU5URVJFU1RfRVhQLjk5NC4xMS8wNy8yMDI2Li4uVVNELkgBAAAAS1UAAAIAAAACNzYBCAAAAAUAAAABMQEAAAALLTIxNDA5ODE0NjkDAAAAAzE2MAIAAAADMzY4BAAAAAEwBwAAAAk3LzExLzIwMjYIAAAACTYvMzAvMjAxOQkAAAABMEUUKWtv394Ibxhxbm/f3gg1Q0lRLk5BU0RBUTpNU0ZULklRX0lNUEFJUl9PSUwuMTAwMC4xMS8wNy8yMDI2Li4uVVNELkgBAAAAS1UAAAMAAAAAAEUUKWtv394Ibxhxbm/f3gguQ0lRLk5BU0RBUTpNU0ZULklRX0NPR1MuOTk0LjExLzA3LzIwMjYuLi5VU0QuSAEAAABLVQAAAgAAAAU0MjkxMAEIAAAABQAAAAExAQAAAAstMjE0MDk4MTQ2OQMAAAADMTYwAgAAAAIzNAQAAAABMAcAAAAJNy8xMS8yMDI2CAAAAAk2</t>
  </si>
  <si>
    <t>LzMwLzIwMTkJAAAAATBFFClrb9/eCG8YcW5v394INENJUS5OQVNEQVE6TVNGVC5JUV9JTVBBSVJfT0lMLjk5OS4xMS8wNy8yMDI2Li4uVVNELkgBAAAAS1UAAAMAAAAAAEUUKWtv394IH/Fwbm/f3ggyQ0lRLk5BU0RBUTpNU0ZULklRX0RBX1NVUFBMLjk5Ny4xMS8wNy8yMDI2Li4uVVNELkgBAAAAS1UAAAMAAAAAAEUUKWtv394Ibxhxbm/f3gg3Q0lRLk5BU0RBUTpNU0ZULklRX1BSRV9PUEVOX0NPU1QuOTk0LjExLzA3LzIwMjYuLi5VU0QuSAEAAABLVQAAAwAAAAAARRQpa2/f3ghvGHFub9/eCDlDSVEuTkFTREFROk1TRlQuSVFfUFJPVl9CQURfREVCVFMuMTAwMC4xMS8wNy8yMDI2Li4uVVNELkgBAAAAS1UAAAMAAAAAAEUUKWtv394Ibxhxbm/f3gg3Q0lRLk5BU0RBUTpNU0ZULklRX0VYUExPUkVfRFJJTEwuOTk0LjExLzA3LzIwMjYuLi5VU0QuSAEAAABLVQAAAwAAAAAARRQpa2/f3ghvGHFub9/eCDlDSVEuTkFTREFROk1TRlQuSVFfRVhUUkFfQUNDX0lURU1TLjk5Ni4xMS8wNy8yMDI2Li4uVVNELkgBAAAAS1UAAAMAAAAAAEUUKWtv394IH/Fwbm/f3gg0Q0lRLk5BU0RBUTpNU0ZULklRX0VBUk5JTkdfQ08uOTk1LjExLzA3LzIwMjYuLi5VU0QuSAEAAABLVQAAAgAAAAU0NDI4MQEIAAAABQAAAAExAQAAAAstMjA4NzQ5NjYyNwMAAAADMTYwAgAAAAE3BAAAAAEwBwAAAAk3LzExLzIwMjYIAAAACTYv</t>
  </si>
  <si>
    <t>MzAvMjAyMAkAAAABMEUUKWtv394IH/Fwbm/f3ggtQ0lRLk5BU0RBUTpNU0ZULklRX0VCVC45OTQuMTEvMDcvMjAyNi4uLlVTRC5IAQAAAEtVAAACAAAABTQzNjg4AQgAAAAFAAAAATEBAAAACy0yMTQwOTgxNDY5AwAAAAMxNjACAAAAAzEzOQQAAAABMAcAAAAJNy8xMS8yMDI2CAAAAAk2LzMwLzIwMTkJAAAAATBFFClrb9/eCB/xcG5v394INkNJUS5OQVNEQVE6TVNGVC5JUV9MRUdBTF9TRVRUTEUuOTk0LjExLzA3LzIwMjYuLi5VU0QuSAEAAABLVQAAAwAAAAAARRQpa2/f3ggf8XBub9/eCDtDSVEuTkFTREFROk1TRlQuSVFfVE9UQUxfT1RIRVJfT1BFUi4xMDAwLjExLzA3LzIwMjYuLi5VU0QuSAEAAABLVQAAAgAAAAU2NTM2NQEIAAAABQAAAAExAQAAAAstMTkzNDI1NDIxNgMAAAADMTYwAgAAAAMzODAEAAAAATAHAAAACTcvMTEvMjAyNggAAAAJNi8zMC8yMDI1CQAAAAEwRRQpa2/f3ggf8XBub9/eCDtDSVEuTkFTREFROk1TRlQuSVFfU1BFQ0lBTF9ESVZfU0hBUkUuOTk0LjExLzA3LzIwMjYuLi5VU0QuSAEAAABLVQAAAwAAAAAARRQpa2/f3ghH3XBub9/eCDhDSVEuTkFTREFROk1TRlQuSVFfRElMVVRfRVBTX05PUk0uOTk0LjExLzA3LzIwMjYuLi5VU0QuSAEAAABLVQAAAgAAAAgzLjQ2OTYyNAEIAAAABQAAAAExAQAAAAstMjE0MDk4MTQ2OQMAAAADMTYwAgAAAAQ0MzgwBAAAAAEwBwAAAAk3LzEx</t>
  </si>
  <si>
    <t>LzIwMjYIAAAACTYvMzAvMjAxOQkAAAABMEUUKWtv394IR91wbm/f3gg4Q0lRLk5BU0RBUTpNU0ZULklRX0JBU0lDX0VQU19JTkNMLjk5NS4xMS8wNy8yMDI2Li4uVVNELkgBAAAAS1UAAAIAAAAINS44MTg3OTEBCAAAAAUAAAABMQEAAAALLTIwODc0OTY2MjcDAAAAAzE2MAIAAAABOQQAAAABMAcAAAAJNy8xMS8yMDI2CAAAAAk2LzMwLzIwMjAJAAAAATBFFClrb9/eCEfdcG5v394IN0NJUS5OQVNEQVE6TVNGVC5JUV9OSV9BVkFJTF9JTkNMLjk5NC4xMS8wNy8yMDI2Li4uVVNELkgBAAAAS1UAAAIAAAAFMzkyNDABCAAAAAUAAAABMQEAAAALLTIxNDA5ODE0NjkDAAAAAzE2MAIAAAACMTYEAAAAATAHAAAACTcvMTEvMjAyNggAAAAJNi8zMC8yMDE5CQAAAAEwRRQpa2/f3ggf8XBub9/eCCxDSVEuTkFTREFROk1TRlQuSVFfTkkuOTk0LjExLzA3LzIwMjYuLi5VU0QuSAEAAABLVQAAAgAAAAUzOTI0MAEIAAAABQAAAAExAQAAAAstMjE0MDk4MTQ2OQMAAAADMTYwAgAAAAIxNQQAAAABMAcAAAAJNy8xMS8yMDI2CAAAAAk2LzMwLzIwMTkJAAAAATBFFClrb9/eCB/xcG5v394IMUNJUS5OQVNEQVE6TVNGVC5JUV9FQklUREFSLjk5NS4xMS8wNy8yMDI2Li4uVVNELkgBAAAAS1UAAAIAAAAFNjczMDIBCAAAAAUAAAABMQEAAAALLTIwODc0OTY2MjcDAAAAAzE2MAIAAAAFMjE2NzQEAAAAATAHAAAACTcvMTEvMjAy</t>
  </si>
  <si>
    <t>NggAAAAJNi8zMC8yMDIwCQAAAAEwRRQpa2/f3gjftXBub9/eCC9DSVEuTkFTREFROk1TRlQuSVFfRUJJVEEuOTk1LjExLzA3LzIwMjYuLi5VU0QuSAEAAABLVQAAAgAAAAU1NDU1OQEIAAAABQAAAAExAQAAAAstMjA4NzQ5NjYyNwMAAAADMTYwAgAAAAYxMDA2ODkEAAAAATAHAAAACTcvMTEvMjAyNggAAAAJNi8zMC8yMDIwCQAAAAEwRRQpa2/f3gjftXBub9/eCDVDSVEuTkFTREFROk1TRlQuSVFfRUJJVF9FUV9JTkMuOTk5LjExLzA3LzIwMjYuLi5VU0QuSAEAAABLVQAAAgAAAAYxMDk0MzMBCAAAAAUAAAABMQEAAAALLTE5MzQyNTQxODUDAAAAAzE2MAIAAAAFMjE2NzUEAAAAATAHAAAACTcvMTEvMjAyNggAAAAJNi8zMC8yMDI0CQAAAAEwRRQpa2/f3gjftXBub9/eCEJDSVEuTkFTREFROk1TRlQuSVFfTEVBU0VfQURKVVNUTUVOVF9FQklUREEuMTAwMC4xMS8wNy8yMDI2Li4uVVNELkgBAAAAS1UAAAIAAAAENTUyNABFFClrb9/eCEfdcG5v394IQENJUS5OQVNEQVE6TVNGVC5JUV9FQklUREFfRVFfSU5DX0VYQ0xfU0JDLjk5OS4xMS8wNy8yMDI2Li4uVVNELkgBAAAAS1UAAAIAAAAGMTQwMTY3AQgAAAAFAAAAATEBAAAACy0xOTM0MjU0MTg1AwAAAAMxNjACAAAABTI0MTMxBAAAAAEwBwAAAAk3LzExLzIwMjYIAAAACTYvMzAvMjAyNAkAAAABMEUUKWtv394IR91wbm/f3gg/Q0lRLk5BU0RBUTpNU0ZU</t>
  </si>
  <si>
    <t>LklRX0lNUFVUX09QRVJfTEVBU0VfREVQUi45OTguMTEvMDcvMjAyNi4uLlVTRC5IAQAAAEtVAAACAAAACDIyOTMuNjA2AQgAAAAFAAAAATEBAAAACy0xOTM0MjU0MjUwAwAAAAMxNjACAAAABTIxNjczBAAAAAEwBwAAAAk3LzExLzIwMjYIAAAACTYvMzAvMjAyMwkAAAABMEUUKWtv394I37Vwbm/f3ggzQ0lRLk5BU0RBUTpNU0ZULklRX0RBX0VCSVREQS45OTUuMTEvMDcvMjAyNi4uLlVTRC5IAQAAAEtVAAACAAAABTEyMzAwAQgAAAAFAAAAATEBAAAACy0yMDg3NDk2NjI3AwAAAAMxNjACAAAABDIyMDYEAAAAATAHAAAACTcvMTEvMjAyNggAAAAJNi8zMC8yMDIwCQAAAAEwRRQpa2/f3gjftXBub9/eCENDSVEuTkFTREFROk1TRlQuSVFfTk9OUkVDVVJSSU5HX0lOQ09NRV9UQVhFUy45OTkuMTEvMDcvMjAyNi4uLlVTRC5IAQAAAEtVAAADAAAAAABFFClrb9/eCN+1cG5v394IPUNJUS5OQVNEQVE6TVNGVC5JUV9DVVJSX0RPTUVTVElDX1RBWEVTLjk5OS4xMS8wNy8yMDI2Li4uVVNELkgBAAAAS1UAAAIAAAAFMTQ1MzEBCAAAAAUAAAABMQEAAAALLTE5MzQyNTQxODUDAAAAAzE2MAIAAAAEMzAyNwQAAAABMAcAAAAJNy8xMS8yMDI2CAAAAAk2LzMwLzIwMjQJAAAAATBFFClrb9/eCN+1cG5v394IQENJUS5OQVNEQVE6TVNGVC5JUV9UT1RBTF9SRVZfQVNfUkVQT1JURUQuMTAwMC4xMS8wNy8yMDI2Li4uVVNE</t>
  </si>
  <si>
    <t>LkgBAAAAS1UAAAIAAAAGMjgxNzI0AQgAAAAFAAAAATEBAAAACy0xOTM0MjU0MjE2AwAAAAMxNjACAAAAAzMzOQQAAAABMAcAAAAJNy8xMS8yMDI2CAAAAAk2LzMwLzIwMjUJAAAAATBFFClrb9/eCN+1cG5v394INUNJUS5OQVNEQVE6TVNGVC5JUV9JTlNfRElWX1JFVi45OTguMTEvMDcvMjAyNi4uLlVTRC5IAQAAAEtVAAADAAAAAABFFClrb9/eCB2hcG5v394ILUNJUS5OQVNEQVE6TVNGVC5JUV9SRVYuOTk1LjExLzA3LzIwMjYuLi5VU0QuSAEAAABLVQAAAgAAAAYxNDMwMTUBCAAAAAUAAAABMQEAAAALLTIwODc0OTY2MjcDAAAAAzE2MAIAAAADMTEyBAAAAAEwBwAAAAk3LzExLzIwMjYIAAAACTYvMzAvMjAyMAkAAAABMEUUKWtv394IHaFwbm/f3ggsQ0lRLk5BU0RBUTpNU0ZULklRX0dQLjk5OS4xMS8wNy8yMDI2Li4uVVNELkgBAAAAS1UAAAIAAAAGMTcxMDA4AQgAAAAFAAAAATEBAAAACy0xOTM0MjU0MTg1AwAAAAMxNjACAAAAAjEwBAAAAAEwBwAAAAk3LzExLzIwMjYIAAAACTYvMzAvMjAyNAkAAAABMEUUKWtv394IHaFwbm/f3gg7Q0lRLk5BU0RBUTpNU0ZULklRX1BST1ZfQkFEX0RFQlRTX0NGLjk5Ny4xMS8wNy8yMDI2Li4uVVNELkgBAAAAS1UAAAMAAAAAAEUUKWtv394IHaFwbm/f3ghDQ0lRLk5BU0RBUTpNU0ZULklRX1NUT0NLX0JBU0VEX0VYUExPUkVfRFJJTEwuOTk2LjExLzA3LzIwMjYu</t>
  </si>
  <si>
    <t>Li5VU0QuSAEAAABLVQAAAwAAAAAARRQpa2/f3ggdoXBub9/eCDVDSVEuTkFTREFROk1TRlQuSVFfRklOX0RJVl9SRVYuOTk1LjExLzA3LzIwMjYuLi5VU0QuSAEAAABLVQAAAwAAAAAARRQpa2/f3gjlVHBub9/eCDNDSVEuTkFTREFROk1TRlQuSVFfU0dBX1NVUFBMLjk5OC4xMS8wNy8yMDI2Li4uVVNELkgBAAAAS1UAAAIAAAAFMzAzMzQBCAAAAAUAAAABMQEAAAALLTE5MzQyNTQyNTADAAAAAzE2MAIAAAADMTAyBAAAAAEwBwAAAAk3LzExLzIwMjYIAAAACTYvMzAvMjAyMwkAAAABMEUUKWtv394I5VRwbm/f3ggtQ0lRLk5BU0RBUTpNU0ZULklRX1JFVi45OTguMTEvMDcvMjAyNi4uLlVTRC5IAQAAAEtVAAACAAAABjIxMTkxNQEIAAAABQAAAAExAQAAAAstMTkzNDI1NDI1MAMAAAADMTYwAgAAAAMxMTIEAAAAATAHAAAACTcvMTEvMjAyNggAAAAJNi8zMC8yMDIzCQAAAAEwRRQpa2/f3gjlVHBub9/eCDVDSVEuTkFTREFROk1TRlQuSVFfT1RIRVJfT1BFUi4xMDAwLjExLzA3LzIwMjYuLi5VU0QuSAEAAABLVQAAAwAAAAAARRQpa2/f3gjlVHBub9/eCDhDSVEuTkFTREFROk1TRlQuSVFfR1dfSU5UQU5fQU1PUlQuOTk4LjExLzA3LzIwMjYuLi5VU0QuSAEAAABLVQAAAwAAAAAARRQpa2/f3gjlVHBub9/eCDJDSVEuTkFTREFROk1TRlQuSVFfREFfU1VQUEwuOTk4LjExLzA3LzIwMjYuLi5VU0QuSAEAAABL</t>
  </si>
  <si>
    <t>VQAAAwAAAAAARRQpa2/f3gjlVHBub9/eCDdDSVEuTkFTREFROk1TRlQuSVFfUFJFX09QRU5fQ09TVC45OTUuMTEvMDcvMjAyNi4uLlVTRC5IAQAAAEtVAAADAAAAAABFFClrb9/eCOVUcG5v394IM0NJUS5OQVNEQVE6TVNGVC5JUV9TR0FfU1VQUEwuOTk3LjExLzA3LzIwMjYuLi5VU0QuSAEAAABLVQAAAgAAAAUyNzcyNQEIAAAABQAAAAExAQAAAAstMTk4NTkzMTIyNAMAAAADMTYwAgAAAAMxMDIEAAAAATAHAAAACTcvMTEvMjAyNggAAAAJNi8zMC8yMDIyCQAAAAEwRRQpa2/f3gjlVHBub9/eCDVDSVEuTkFTREFROk1TRlQuSVFfSU5TX0RJVl9FWFAuOTk3LjExLzA3LzIwMjYuLi5VU0QuSAEAAABLVQAAAwAAAAAARRQpa2/f3gjlVHBub9/eCDlDSVEuTkFTREFROk1TRlQuSVFfT1RIRVJfUkVWX1NVUFBMLjk5OS4xMS8wNy8yMDI2Li4uVVNELkgBAAAAS1UAAAMAAAAAAEUUKWtv394I5VRwbm/f3gg1Q0lRLk5BU0RBUTpNU0ZULklRX0lOU19ESVZfRVhQLjk5NS4xMS8wNy8yMDI2Li4uVVNELkgBAAAAS1UAAAMAAAAAAEUUKWtv394I5VRwbm/f3gg5Q0lRLk5BU0RBUTpNU0ZULklRX09USEVSX1JFVl9TVVBQTC45OTcuMTEvMDcvMjAyNi4uLlVTRC5IAQAAAEtVAAADAAAAAABFFClrb9/eCOVUcG5v394INUNJUS5OQVNEQVE6TVNGVC5JUV9JTlNfRElWX1JFVi45OTkuMTEvMDcvMjAyNi4uLlVTRC5IAQAA</t>
  </si>
  <si>
    <t>AEtVAAADAAAAAABFFClrb9/eCOVUcG5v394INkNJUS5OQVNEQVE6TVNGVC5JUV9JTlNfRElWX1JFVi4xMDAwLjExLzA3LzIwMjYuLi5VU0QuSAEAAABLVQAAAwAAAAAARRQpa2/f3gjlVHBub9/eCDVDSVEuTkFTREFROk1TRlQuSVFfRklOX0RJVl9SRVYuOTk0LjExLzA3LzIwMjYuLi5VU0QuSAEAAABLVQAAAwAAAAAARRQpa2/f3gjlVHBub9/eCDhDSVEuTkFTREFROk1TRlQuSVFfQkFTSUNfRVBTX0lOQ0wuOTk0LjExLzA3LzIwMjYuLi5VU0QuSAEAAABLVQAAAgAAAAg1LjExNDAzNgEIAAAABQAAAAExAQAAAAstMjE0MDk4MTQ2OQMAAAADMTYwAgAAAAE5BAAAAAEwBwAAAAk3LzExLzIwMjYIAAAACTYvMzAvMjAxOQkAAAABMEUUKWtv394IrS1wbm/f3gg6Q0lRLk5BU0RBUTpNU0ZULklRX1RPVEFMX09USEVSX09QRVIuOTk5LjExLzA3LzIwMjYuLi5VU0QuSAEAAABLVQAAAgAAAAU2MTU3NQEIAAAABQAAAAExAQAAAAstMTkzNDI1NDE4NQMAAAADMTYwAgAAAAMzODAEAAAAATAHAAAACTcvMTEvMjAyNggAAAAJNi8zMC8yMDI0CQAAAAEwRRQpa2/f3gjlVHBub9/eCDRDSVEuTkFTREFROk1TRlQuSVFfSU1QQUlSX09JTC45OTcuMTEvMDcvMjAyNi4uLlVTRC5IAQAAAEtVAAADAAAAAABFFClrb9/eCOVUcG5v394IMkNJUS5OQVNEQVE6TVNGVC5JUV9EQV9TVVBQTC45OTYuMTEvMDcvMjAyNi4uLlVTRC5I</t>
  </si>
  <si>
    <t>AQAAAEtVAAADAAAAAABFFClrb9/eCOVUcG5v394IOENJUS5OQVNEQVE6TVNGVC5JUV9QUk9WX0JBRF9ERUJUUy45OTkuMTEvMDcvMjAyNi4uLlVTRC5IAQAAAEtVAAADAAAAAABFFClrb9/eCOVUcG5v394IL0NJUS5OQVNEQVE6TVNGVC5JUV9FQklUQS45OTQuMTEvMDcvMjAyNi4uLlVTRC5IAQAAAEtVAAACAAAABTQ0ODU5AQgAAAAFAAAAATEBAAAACy0yMTQwOTgxNDY5AwAAAAMxNjACAAAABjEwMDY4OQQAAAABMAcAAAAJNy8xMS8yMDI2CAAAAAk2LzMwLzIwMTkJAAAAATBFFClrb9/eCK0tcG5v394INUNJUS5OQVNEQVE6TVNGVC5JUV9FQklUX0VRX0lOQy45OTguMTEvMDcvMjAyNi4uLlVTRC5IAQAAAEtVAAACAAAABTg4NTIzAQgAAAAFAAAAATEBAAAACy0xOTM0MjU0MjUwAwAAAAMxNjACAAAABTIxNjc1BAAAAAEwBwAAAAk3LzExLzIwMjYIAAAACTYvMzAvMjAyMwkAAAABMEUUKWtv394IrS1wbm/f3ghBQ0lRLk5BU0RBUTpNU0ZULklRX0xFQVNFX0FESlVTVE1FTlRfRUJJVERBLjk5OS4xMS8wNy8yMDI2Li4uVVNELkgBAAAAS1UAAAIAAAAEMzU1NQBFFClrb9/eCK0tcG5v394IQENJUS5OQVNEQVE6TVNGVC5JUV9FQklUREFfRVFfSU5DX0VYQ0xfU0JDLjk5OC4xMS8wNy8yMDI2Li4uVVNELkgBAAAAS1UAAAIAAAAGMTExNjM0AQgAAAAFAAAAATEBAAAACy0xOTM0MjU0MjUwAwAAAAMxNjACAAAA</t>
  </si>
  <si>
    <t>BTI0MTMxBAAAAAEwBwAAAAk3LzExLzIwMjYIAAAACTYvMzAvMjAyMwkAAAABMEUUKWtv394IrS1wbm/f3gg5Q0lRLk5BU0RBUTpNU0ZULklRX0RJTFVUX0VQU19FWENMLjEwMDAuMTEvMDcvMjAyNi4uLlVTRC5IAQAAAEtVAAACAAAABTEzLjY0AQgAAAAFAAAAATEBAAAACy0xOTM0MjU0MjE2AwAAAAMxNjACAAAAAzE0MgQAAAABMAcAAAAJNy8xMS8yMDI2CAAAAAk2LzMwLzIwMjUJAAAAATBFFClrb9/eCK0tcG5v394IQ0NJUS5OQVNEQVE6TVNGVC5JUV9OT05SRUNVUlJJTkdfSU5DT01FX1RBWEVTLjk5OC4xMS8wNy8yMDI2Li4uVVNELkgBAAAAS1UAAAMAAAAAAEUUKWtv394IKhVwbm/f3gg8Q0lRLk5BU0RBUTpNU0ZULklRX0NVUlJfRk9SRUlHTl9UQVhFUy45OTYuMTEvMDcvMjAyNi4uLlVTRC5IAQAAAEtVAAACAAAABDU0NjcBCAAAAAUAAAABMQEAAAALLTIwMzY4NDM4NDMDAAAAAzE2MAIAAAAEMzAzMAQAAAABMAcAAAAJNy8xMS8yMDI2CAAAAAk2LzMwLzIwMjEJAAAAATBFFClrb9/eCK0tcG5v394IMkNJUS5OQVNEQVE6TVNGVC5JUV9OSV9TRkFTLjEwMDAuMTEvMDcvMjAyNi4uLlVTRC5IAQAAAEtVAAADAAAAAABFFClrb9/eCK0tcG5v394IP0NJUS5OQVNEQVE6TVNGVC5JUV9UT1RBTF9SRVZfQVNfUkVQT1JURUQuOTk3LjExLzA3LzIwMjYuLi5VU0QuSAEAAABLVQAAAgAAAAYxOTgyNzABCAAA</t>
  </si>
  <si>
    <t>AAUAAAABMQEAAAALLTE5ODU5MzEyMjQDAAAAAzE2MAIAAAADMzM5BAAAAAEwBwAAAAk3LzExLzIwMjYIAAAACTYvMzAvMjAyMgkAAAABMEUUKWtv394IrS1wbm/f3ggxQ0lRLk5BU0RBUTpNU0ZULklRX0VCSVREQVIuOTk0LjExLzA3LzIwMjYuLi5VU0QuSAEAAABLVQAAAgAAAAU1NjI2NgEIAAAABQAAAAExAQAAAAstMjE0MDk4MTQ2OQMAAAADMTYwAgAAAAUyMTY3NAQAAAABMAcAAAAJNy8xMS8yMDI2CAAAAAk2LzMwLzIwMTkJAAAAATBFFClrb9/eCK0tcG5v394IO0NJUS5OQVNEQVE6TVNGVC5JUV9ORVRfSU5URVJFU1RfRVhQLjEwMDAuMTEvMDcvMjAyNi4uLlVTRC5IAQAAAEtVAAACAAAAAzIyMgEIAAAABQAAAAExAQAAAAstMTkzNDI1NDIxNgMAAAADMTYwAgAAAAMzNjgEAAAAATAHAAAACTcvMTEvMjAyNggAAAAJNi8zMC8yMDI1CQAAAAEwRRQpa2/f3ggqFXBub9/eCDlDSVEuTkFTREFROk1TRlQuSVFfR0FJTl9BU1NFVFNfUkVWLjk5Ni4xMS8wNy8yMDI2Li4uVVNELkgBAAAAS1UAAAMAAAAAAEUUKWtv394IKhVwbm/f3gg4Q0lRLk5BU0RBUTpNU0ZULklRX09USEVSX09QRVJfQUNULjk5OC4xMS8wNy8yMDI2Li4uVVNELkgBAAAAS1UAAAIAAAAFLTU2OTgBCAAAAAUAAAABMQEAAAALLTE5MzQyNTQyNTADAAAAAzE2MAIAAAAEMjA0NwQAAAABMAcAAAAJNy8xMS8yMDI2CAAAAAk2LzMwLzIwMjMJ</t>
  </si>
  <si>
    <t>AAAAATBFFClrb9/eCCoVcG5v394IP0NJUS5OQVNEQVE6TVNGVC5JUV9JTVBVVF9PUEVSX0xFQVNFX0RFUFIuOTk1LjExLzA3LzIwMjYuLi5VU0QuSAEAAABLVQAAAgAAAAsxNTQwLjU2OTA5NgEIAAAABQAAAAExAQAAAAstMjA4NzQ5NjYyNwMAAAADMTYwAgAAAAUyMTY3MwQAAAABMAcAAAAJNy8xMS8yMDI2CAAAAAk2LzMwLzIwMjAJAAAAATBFFClrb9/eCCoVcG5v394IM0NJUS5OQVNEQVE6TVNGVC5JUV9EQV9FQklUREEuOTk0LjExLzA3LzIwMjYuLi5VU0QuSAEAAABLVQAAAgAAAAUxMTYwMAEIAAAABQAAAAExAQAAAAstMjE0MDk4MTQ2OQMAAAADMTYwAgAAAAQyMjA2BAAAAAEwBwAAAAk3LzExLzIwMjYIAAAACTYvMzAvMjAxOQkAAAABMEUUKWtv394IKhVwbm/f3gg1Q0lRLk5BU0RBUTpNU0ZULklRX0VCSVRfRVFfSU5DLjk5Ny4xMS8wNy8yMDI2Li4uVVNELkgBAAAAS1UAAAIAAAAFODMzNTEBCAAAAAUAAAABMQEAAAALLTE5ODU5MzEyMjQDAAAAAzE2MAIAAAAFMjE2NzUEAAAAATAHAAAACTcvMTEvMjAyNggAAAAJNi8zMC8yMDIyCQAAAAEwRRQpa2/f3ggt2G9ub9/eCEBDSVEuTkFTREFROk1TRlQuSVFfRUJJVERBX0VRX0lOQ19FWENMX1NCQy45OTcuMTEvMDcvMjAyNi4uLlVTRC5IAQAAAEtVAAACAAAABjEwNTQ1MwEIAAAABQAAAAExAQAAAAstMTk4NTkzMTIyNAMAAAADMTYwAgAAAAUyNDEz</t>
  </si>
  <si>
    <t>MQQAAAABMAcAAAAJNy8xMS8yMDI2CAAAAAk2LzMwLzIwMjIJAAAAATBFFClrb9/eCC3Yb25v394IMENJUS5OQVNEQVE6TVNGVC5JUV9FQklUREEuOTk1LjExLzA3LzIwMjYuLi5VU0QuSAEAAABLVQAAAgAAAAU2NTI1OQEIAAAABQAAAAExAQAAAAstMjA4NzQ5NjYyNwMAAAADMTYwAgAAAAQ0MDUxBAAAAAEwBwAAAAk3LzExLzIwMjYIAAAACTYvMzAvMjAyMAkAAAABMEUUKWtv394ILdhvbm/f3gg4Q0lRLk5BU0RBUTpNU0ZULklRX0RJTFVUX0VQU19FWENMLjk5OS4xMS8wNy8yMDI2Li4uVVNELkgBAAAAS1UAAAIAAAAEMTEuOAEIAAAABQAAAAExAQAAAAstMTkzNDI1NDE4NQMAAAADMTYwAgAAAAMxNDIEAAAAATAHAAAACTcvMTEvMjAyNggAAAAJNi8zMC8yMDI0CQAAAAEwRRQpa2/f3ggt2G9ub9/eCDZDSVEuTkFTREFROk1TRlQuSVFfR0FJTl9BU1NFVFMuMTAwMC4xMS8wNy8yMDI2Li4uVVNELkgBAAAAS1UAAAMAAAAAAEUUKWtv394ILdhvbm/f3gguQ0lRLk5BU0RBUTpNU0ZULklRX0NPR1MuOTk5LjExLzA3LzIwMjYuLi5VU0QuSAEAAABLVQAAAgAAAAU3NDExNAEIAAAABQAAAAExAQAAAAstMTkzNDI1NDE4NQMAAAADMTYwAgAAAAIzNAQAAAABMAcAAAAJNy8xMS8yMDI2CAAAAAk2LzMwLzIwMjQJAAAAATBFFClrb9/eCC3Yb25v394IO0NJUS5OQVNEQVE6TVNGVC5JUV9ORVRfUkVOVEFMX0VYUF9G</t>
  </si>
  <si>
    <t>Ti45OTkuMTEvMDcvMjAyNi4uLlVTRC5IAQAAAEtVAAACAAAABDM1NTUBCAAAAAUAAAABMQEAAAALLTE5MzQyNTQxODUDAAAAAzE2MAIAAAAEMzE3MAQAAAABMAcAAAAJNy8xMS8yMDI2CAAAAAk2LzMwLzIwMjQJAAAAATBFFClrb9/eCC3Yb25v394IPENJUS5OQVNEQVE6TVNGVC5JUV9DVVJSX0ZPUkVJR05fVEFYRVMuOTk1LjExLzA3LzIwMjYuLi5VU0QuSAEAAABLVQAAAgAAAAQ0NDQ0AQgAAAAFAAAAATEBAAAACy0yMDg3NDk2NjI3AwAAAAMxNjACAAAABDMwMzAEAAAAATAHAAAACTcvMTEvMjAyNggAAAAJNi8zMC8yMDIwCQAAAAEwRRQpa2/f3ggt2G9ub9/eCDFDSVEuTkFTREFROk1TRlQuSVFfTklfU0ZBUy45OTkuMTEvMDcvMjAyNi4uLlVTRC5IAQAAAEtVAAADAAAAAABFFClrb9/eCC3Yb25v394IPENJUS5OQVNEQVE6TVNGVC5JUV9BU19SRVBPUlRFRF9FQklUREEuOTk0LjExLzA3LzIwMjYuLi5VU0QuSAEAAABLVQAAAwAAAAAARRQpa2/f3ggt2G9ub9/eCDpDSVEuTkFTREFROk1TRlQuSVFfTkVUX0lOVEVSRVNUX0VYUC45OTkuMTEvMDcvMjAyNi4uLlVTRC5IAQAAAEtVAAACAAAAAzE3NAEIAAAABQAAAAExAQAAAAstMTkzNDI1NDE4NQMAAAADMTYwAgAAAAMzNjgEAAAAATAHAAAACTcvMTEvMjAyNggAAAAJNi8zMC8yMDI0CQAAAAEwRRQpa2/f3ggt2G9ub9/eCDZDSVEuTkFTREFROk1TRlQu</t>
  </si>
  <si>
    <t>SVFfSU5URVJFU1RfRVhQLjk5OS4xMS8wNy8yMDI2Li4uVVNELkgBAAAAS1UAAAIAAAAFLTI5ODMBCAAAAAUAAAABMQEAAAALLTE5MzQyNTQxODUDAAAAAzE2MAIAAAACODIEAAAAATAHAAAACTcvMTEvMjAyNggAAAAJNi8zMC8yMDI0CQAAAAEwRRQpa2/f3ggt2G9ub9/eCDpDSVEuTkFTREFROk1TRlQuSVFfVE9UQUxfT1RIRVJfT1BFUi45OTcuMTEvMDcvMjAyNi4uLlVTRC5IAQAAAEtVAAACAAAABTUyMjM3AQgAAAAFAAAAATEBAAAACy0xOTg1OTMxMjI0AwAAAAMxNjACAAAAAzM4MAQAAAABMAcAAAAJNy8xMS8yMDI2CAAAAAk2LzMwLzIwMjIJAAAAATBFFClrb9/eCC3Yb25v394INUNJUS5OQVNEQVE6TVNGVC5JUV9TVE9DS19CQVNFRC45OTUuMTEvMDcvMjAyNi4uLlVTRC5IAQAAAEtVAAADAAAAAABvKClrb9/eCC3Yb25v394ILENJUS5OQVNEQVE6TVNGVC5JUV9HUC45OTcuMTEvMDcvMjAyNi4uLlVTRC5IAQAAAEtVAAACAAAABjEzNTYyMAEIAAAABQAAAAExAQAAAAstMTk4NTkzMTIyNAMAAAADMTYwAgAAAAIxMAQAAAABMAcAAAAJNy8xMS8yMDI2CAAAAAk2LzMwLzIwMjIJAAAAATBvKClrb9/eCC3Yb25v394IL0NJUS5OQVNEQVE6TVNGVC5JUV9JUFJELjEwMDAuMTEvMDcvMjAyNi4uLlVTRC5IAQAAAEtVAAADAAAAAABvKClrb9/eCELEb25v394INUNJUS5OQVNEQVE6TVNGVC5JUV9HQUlOX0FT</t>
  </si>
  <si>
    <t>U0VUUy45OTkuMTEvMDcvMjAyNi4uLlVTRC5IAQAAAEtVAAADAAAAAABvKClrb9/eCC3Yb25v394IN0NJUS5OQVNEQVE6TVNGVC5JUV9JTVBBSVJNRU5UX0dXLjk5OS4xMS8wNy8yMDI2Li4uVVNELkgBAAAAS1UAAAMAAAAAAG8oKWtv394ILdhvbm/f3gg1Q0lRLk5BU0RBUTpNU0ZULklRX1JFU1RSVUNUVVJFLjk5OC4xMS8wNy8yMDI2Li4uVVNELkgBAAAAS1UAAAMAAAAAAG8oKWtv394ILdhvbm/f3gg4Q0lRLk5BU0RBUTpNU0ZULklRX0NVUlJFTkNZX0dBSU4uMTAwMC4xMS8wNy8yMDI2Li4uVVNELkgBAAAAS1UAAAIAAAAELTc2NwEIAAAABQAAAAExAQAAAAstMTkzNDI1NDIxNgMAAAADMTYwAgAAAAIzOAQAAAABMAcAAAAJNy8xMS8yMDI2CAAAAAk2LzMwLzIwMjUJAAAAATBvKClrb9/eCC3Yb25v394IMENJUS5OQVNEQVE6TVNGVC5JUV9FQklUQS4xMDAwLjExLzA3LzIwMjYuLi5VU0QuSAEAAABLVQAAAgAAAAYxMzQ1MjgBCAAAAAUAAAABMQEAAAALLTE5MzQyNTQyMTYDAAAAAzE2MAIAAAAGMTAwNjg5BAAAAAEwBwAAAAk3LzExLzIwMjYIAAAACTYvMzAvMjAyNQkAAAABMG8oKWtv394IQsRvbm/f3gg1Q0lRLk5BU0RBUTpNU0ZULklRX0VCSVRfRVFfSU5DLjk5Ni4xMS8wNy8yMDI2Li4uVVNELkgBAAAAS1UAAAIAAAAFNjk5MTYBCAAAAAUAAAABMQEAAAALLTIwMzY4NDM4NDMDAAAAAzE2MAIAAAAF</t>
  </si>
  <si>
    <t>MjE2NzUEAAAAATAHAAAACTcvMTEvMjAyNggAAAAJNi8zMC8yMDIxCQAAAAEwbygpa2/f3ghCxG9ub9/eCDlDSVEuTkFTREFROk1TRlQuSVFfRUJJVERBX0VYQ0xfU0JDLjk5NC4xMS8wNy8yMDI2Li4uVVNELkgBAAAAS1UAAAIAAAAFNTkyMTEBCAAAAAUAAAABMQEAAAALLTIxNDA5ODE0NjkDAAAAAzE2MAIAAAAFMjQxMzUEAAAAATAHAAAACTcvMTEvMjAyNggAAAAJNi8zMC8yMDE5CQAAAAEwbygpa2/f3ghCxG9ub9/eCDhDSVEuTkFTREFROk1TRlQuSVFfRElMVVRfRVBTX05PUk0uOTk5LjExLzA3LzIwMjYuLi5VU0QuSAEAAABLVQAAAgAAAAg5LjE1NDU4OAEIAAAABQAAAAExAQAAAAstMTkzNDI1NDE4NQMAAAADMTYwAgAAAAQ0MzgwBAAAAAEwBwAAAAk3LzExLzIwMjYIAAAACTYvMzAvMjAyNAkAAAABMG8oKWtv394IQsRvbm/f3gg3Q0lRLk5BU0RBUTpNU0ZULklRX0xFR0FMX1NFVFRMRS4xMDAwLjExLzA3LzIwMjYuLi5VU0QuSAEAAABLVQAAAwAAAAAAbygpa2/f3ghCxG9ub9/eCDlDSVEuTkFTREFROk1TRlQuSVFfTkVUX1JFTlRBTF9FWFAuMTAwMC4xMS8wNy8yMDI2Li4uVVNELkgBAAAAS1UAAAMAAAAAAG8oKWtv394IHrBvbm/f3ggyQ0lRLk5BU0RBUTpNU0ZULklRX05JX05PUk0uMTAwMC4xMS8wNy8yMDI2Li4uVVNELkgBAAAAS1UAAAIAAAAJODA2MDQuMzc1AQgAAAAFAAAAATEBAAAACy0x</t>
  </si>
  <si>
    <t>OTM0MjU0MjE2AwAAAAMxNjACAAAABDQzNzgEAAAAATAHAAAACTcvMTEvMjAyNggAAAAJNi8zMC8yMDI1CQAAAAEwbygpa2/f3ggesG9ub9/eCDxDSVEuTkFTREFROk1TRlQuSVFfQ1VSUl9GT1JFSUdOX1RBWEVTLjk5NC4xMS8wNy8yMDI2Li4uVVNELkgBAAAAS1UAAAIAAAAENTUzMQEIAAAABQAAAAExAQAAAAstMjE0MDk4MTQ2OQMAAAADMTYwAgAAAAQzMDMwBAAAAAEwBwAAAAk3LzExLzIwMjYIAAAACTYvMzAvMjAxOQkAAAABMG8oKWtv394IHrBvbm/f3gg7Q0lRLk5BU0RBUTpNU0ZULklRX0lOVkVTVE1FTlRfSU5DT01FLjk5NC4xMS8wNy8yMDI2Li4uVVNELkgBAAAAS1UAAAMAAAAAAG8oKWtv394IHrBvbm/f3gg2Q0lRLk5BU0RBUTpNU0ZULklRX0VCSVREQV9DQVBFWC45OTcuMTEvMDcvMjAyNi4uLlVTRC5IAQAAAEtVAAACAAAABTc0MDk3AQgAAAAFAAAAATEBAAAACy0xOTg1OTMxMjI0AwAAAAMxNjACAAAABTM1Mzc5BAAAAAEwBwAAAAk3LzExLzIwMjYIAAAACTYvMzAvMjAyMgkAAAABMG8oKWtv394IHrBvbm/f3gg5Q0lRLk5BU0RBUTpNU0ZULklRX0dBSU5fQVNTRVRTX1JFVi45OTQuMTEvMDcvMjAyNi4uLlVTRC5IAQAAAEtVAAADAAAAAABvKClrb9/eCF2cb25v394INENJUS5OQVNEQVE6TVNGVC5JUV9JTVBBSVJfT0lMLjk5Ni4xMS8wNy8yMDI2Li4uVVNELkgBAAAAS1UAAAMAAAAAAG8o</t>
  </si>
  <si>
    <t>KWtv394IXZxvbm/f3ggvQ0lRLk5BU0RBUTpNU0ZULklRX0NPR1MuMTAwMC4xMS8wNy8yMDI2Li4uVVNELkgBAAAAS1UAAAIAAAAFODc4MzEBCAAAAAUAAAABMQEAAAALLTE5MzQyNTQyMTYDAAAAAzE2MAIAAAACMzQEAAAAATAHAAAACTcvMTEvMjAyNggAAAAJNi8zMC8yMDI1CQAAAAEwbygpa2/f3ghdnG9ub9/eCDhDSVEuTkFTREFROk1TRlQuSVFfU1RPQ0tfQkFTRURfQVQuOTk3LjExLzA3LzIwMjYuLi5VU0QuSAEAAABLVQAAAwAAAAAAbygpa2/f3ghdnG9ub9/eCDxDSVEuTkFTREFROk1TRlQuSVFfUkVTVFJVQ1RVUkVfU1VQUExFLjk5OS4xMS8wNy8yMDI2Li4uVVNELkgBAAAAS1UAAAMAAAAAAG8oKWtv394IHrBvbm/f3gg2Q0lRLk5BU0RBUTpNU0ZULklRX0xFR0FMX1NFVFRMRS45OTkuMTEvMDcvMjAyNi4uLlVTRC5IAQAAAEtVAAADAAAAAABvKClrb9/eCPt0b25v394ILkNJUS5OQVNEQVE6TVNGVC5JUV9JUFJELjk5OS4xMS8wNy8yMDI2Li4uVVNELkgBAAAAS1UAAAMAAAAAAG8oKWtv394I+3Rvbm/f3gg1Q0lRLk5BU0RBUTpNU0ZULklRX0dBSU5fQVNTRVRTLjk5OC4xMS8wNy8yMDI2Li4uVVNELkgBAAAAS1UAAAMAAAAAAG8oKWtv394IXZxvbm/f3gg1Q0lRLk5BU0RBUTpNU0ZULklRX1JFU1RSVUNUVVJFLjk5Ny4xMS8wNy8yMDI2Li4uVVNELkgBAAAAS1UAAAMAAAAAAG8oKWtv394IXZxv</t>
  </si>
  <si>
    <t>bm/f3gguQ0lRLk5BU0RBUTpNU0ZULklRX0NPR1MuOTk4LjExLzA3LzIwMjYuLi5VU0QuSAEAAABLVQAAAgAAAAU2NTg2MwEIAAAABQAAAAExAQAAAAstMTkzNDI1NDI1MAMAAAADMTYwAgAAAAIzNAQAAAABMAcAAAAJNy8xMS8yMDI2CAAAAAk2LzMwLzIwMjMJAAAAATBvKClrb9/eCF2cb25v394IOUNJUS5OQVNEQVE6TVNGVC5JUV9CQVNJQ19FUFNfSU5DTC4xMDAwLjExLzA3LzIwMjYuLi5VU0QuSAEAAABLVQAAAgAAAAkxMy42OTk5ODYBCAAAAAUAAAABMQEAAAALLTE5MzQyNTQyMTYDAAAAAzE2MAIAAAABOQQAAAABMAcAAAAJNy8xMS8yMDI2CAAAAAk2LzMwLzIwMjUJAAAAATBvKClrb9/eCPt0b25v394IOENJUS5OQVNEQVE6TVNGVC5JUV9OSV9BVkFJTF9JTkNMLjEwMDAuMTEvMDcvMjAyNi4uLlVTRC5IAQAAAEtVAAACAAAABjEwMTgzMgEIAAAABQAAAAExAQAAAAstMTkzNDI1NDIxNgMAAAADMTYwAgAAAAIxNgQAAAABMAcAAAAJNy8xMS8yMDI2CAAAAAk2LzMwLzIwMjUJAAAAATBvKClrb9/eCPt0b25v394ILENJUS5OQVNEQVE6TVNGVC5JUV9OSS45OTkuMTEvMDcvMjAyNi4uLlVTRC5IAQAAAEtVAAACAAAABTg4MTM2AQgAAAAFAAAAATEBAAAACy0xOTM0MjU0MTg1AwAAAAMxNjACAAAAAjE1BAAAAAEwBwAAAAk3LzExLzIwMjYIAAAACTYvMzAvMjAyNAkAAAABMG8oKWtv394I+3Rvbm/f3gg1</t>
  </si>
  <si>
    <t>Q0lRLk5BU0RBUTpNU0ZULklRX0VBUk5JTkdfQ08uMTAwMC4xMS8wNy8yMDI2Li4uVVNELkgBAAAAS1UAAAIAAAAGMTAxODMyAQgAAAAFAAAAATEBAAAACy0xOTM0MjU0MjE2AwAAAAMxNjACAAAAATcEAAAAATAHAAAACTcvMTEvMjAyNggAAAAJNi8zMC8yMDI1CQAAAAEwbygpa2/f3gj7dG9ub9/eCC5DSVEuTkFTREFROk1TRlQuSVFfRUJULjEwMDAuMTEvMDcvMjAyNi4uLlVTRC5IAQAAAEtVAAACAAAABjEyMzYyNwEIAAAABQAAAAExAQAAAAstMTkzNDI1NDIxNgMAAAADMTYwAgAAAAMxMzkEAAAAATAHAAAACTcvMTEvMjAyNggAAAAJNi8zMC8yMDI1CQAAAAEwbygpa2/f3gj7dG9ub9/eCDVDSVEuTkFTREFROk1TRlQuSVFfRUJJVF9FUV9JTkMuOTk1LjExLzA3LzIwMjYuLi5VU0QuSAEAAABLVQAAAgAAAAU1Mjk1OQEIAAAABQAAAAExAQAAAAstMjA4NzQ5NjYyNwMAAAADMTYwAgAAAAUyMTY3NQQAAAABMAcAAAAJNy8xMS8yMDI2CAAAAAk2LzMwLzIwMjAJAAAAATBvKClrb9/eCPt0b25v394IMUNJUS5OQVNEQVE6TVNGVC5JUV9FQklUREEuMTAwMC4xMS8wNy8yMDI2Li4uVVNELkgBAAAAS1UAAAIAAAAGMTU2NTI4AQgAAAAFAAAAATEBAAAACy0xOTM0MjU0MjE2AwAAAAMxNjACAAAABDQwNTEEAAAAATAHAAAACTcvMTEvMjAyNggAAAAJNi8zMC8yMDI1CQAAAAEwbygpa2/f3gj7dG9ub9/eCDxDSVEu</t>
  </si>
  <si>
    <t>TkFTREFROk1TRlQuSVFfU1BFQ0lBTF9ESVZfU0hBUkUuMTAwMC4xMS8wNy8yMDI2Li4uVVNELkgBAAAAS1UAAAMAAAAAAG8oKWtv394I+3Rvbm/f3gg5Q0lRLk5BU0RBUTpNU0ZULklRX1RPVEFMX1JFVl9TSEFSRS45OTUuMTEvMDcvMjAyNi4uLlVTRC5IAQAAAEtVAAACAAAACTE4Ljc5MzAzNQEIAAAABQAAAAExAQAAAAstMjA4NzQ5NjYyNwMAAAADMTYwAgAAAAQ0MzgyBAAAAAEwBwAAAAk3LzExLzIwMjYIAAAACTYvMzAvMjAyMAkAAAABMG8oKWtv394I+3Rvbm/f3gg4Q0lRLk5BU0RBUTpNU0ZULklRX0RJTFVUX0VQU19OT1JNLjk5OC4xMS8wNy8yMDI2Li4uVVNELkgBAAAAS1UAAAIAAAAINy41MDI1MDkBCAAAAAUAAAABMQEAAAALLTE5MzQyNTQyNTADAAAAAzE2MAIAAAAENDM4MAQAAAABMAcAAAAJNy8xMS8yMDI2CAAAAAk2LzMwLzIwMjMJAAAAATBvKClrb9/eCPt0b25v394IOENJUS5OQVNEQVE6TVNGVC5JUV9ORVRfUkVOVEFMX0VYUC45OTkuMTEvMDcvMjAyNi4uLlVTRC5IAQAAAEtVAAADAAAAAABvKClrb9/eCFFhb25v394IMkNJUS5OQVNEQVE6TVNGVC5JUV9ESUxVVF9OSS45OTUuMTEvMDcvMjAyNi4uLlVTRC5IAQAAAEtVAAACAAAACDQ0MjU0LjA4AQgAAAAFAAAAATEBAAAACy0yMDg3NDk2NjI3AwAAAAMxNjACAAAABDM1MjIEAAAAATAHAAAACTcvMTEvMjAyNggAAAAJNi8zMC8yMDIw</t>
  </si>
  <si>
    <t>CQAAAAEwbygpa2/f3ghRYW9ub9/eCDZDSVEuTkFTREFROk1TRlQuSVFfRUJJVERBX0NBUEVYLjk5Ni4xMS8wNy8yMDI2Li4uVVNELkgBAAAAS1UAAAIAAAAFNjAxOTQBCAAAAAUAAAABMQEAAAALLTIwMzY4NDM4NDMDAAAAAzE2MAIAAAAFMzUzNzkEAAAAATAHAAAACTcvMTEvMjAyNggAAAAJNi8zMC8yMDIxCQAAAAEwbygpa2/f3ghRYW9ub9/eCDFDSVEuTkFTREFROk1TRlQuSVFfRUJJVERBUi45OTkuMTEvMDcvMjAyNi4uLlVTRC5IAQAAAEtVAAACAAAABjEzMjk4OAEIAAAABQAAAAExAQAAAAstMTkzNDI1NDE4NQMAAAADMTYwAgAAAAUyMTY3NAQAAAABMAcAAAAJNy8xMS8yMDI2CAAAAAk2LzMwLzIwMjQJAAAAATBvKClrb9/eCFFhb25v394IL0NJUS5OQVNEQVE6TVNGVC5JUV9FQklUQS45OTkuMTEvMDcvMjAyNi4uLlVTRC5IAQAAAEtVAAACAAAABjExNDIzMwEIAAAABQAAAAExAQAAAAstMTkzNDI1NDE4NQMAAAADMTYwAgAAAAYxMDA2ODkEAAAAATAHAAAACTcvMTEvMjAyNggAAAAJNi8zMC8yMDI0CQAAAAEwbygpa2/f3gj7dG9ub9/eCDpDSVEuTkFTREFROk1TRlQuSVFfVE9UQUxfT1RIRVJfT1BFUi45OTguMTEvMDcvMjAyNi4uLlVTRC5IAQAAAEtVAAACAAAABTU3NTI5AQgAAAAFAAAAATEBAAAACy0xOTM0MjU0MjUwAwAAAAMxNjACAAAAAzM4MAQAAAABMAcAAAAJNy8xMS8yMDI2CAAAAAk2</t>
  </si>
  <si>
    <t>LzMwLzIwMjMJAAAAATBvKClrb9/eCAg6b25v394IOUNJUS5OQVNEQVE6TVNGVC5JUV9PVEhFUl9SRVZfU1VQUEwuOTk2LjExLzA3LzIwMjYuLi5VU0QuSAEAAABLVQAAAwAAAAAAbygpa2/f3ggIOm9ub9/eCDhDSVEuTkFTREFROk1TRlQuSVFfQ0hBTkdFX0lOQ19UQVguOTk0LjExLzA3LzIwMjYuLi5VU0QuSAEAAABLVQAAAgAAAAQyOTI5AQgAAAAFAAAAATEBAAAACy0yMTQwOTgxNDY5AwAAAAMxNjACAAAABDIxMDEEAAAAATAHAAAACTcvMTEvMjAyNggAAAAJNi8zMC8yMDE5CQAAAAEwbygpa2/f3ggIOm9ub9/eCEFDSVEuTkFTREFROk1TRlQuSVFfUkVTVFJfU1RPQ0tfQ09NUF9QUkVUQVguOTk0LjExLzA3LzIwMjYuLi5VU0QuSAEAAABLVQAAAwAAAAAAbygpa2/f3ggIOm9ub9/eCDdDSVEuTkFTREFROk1TRlQuSVFfTUVSR0VSX1NVUFBMRS45OTguMTEvMDcvMjAyNi4uLlVTRC5IAQAAAEtVAAADAAAAAABvKClrb9/eCAg6b25v394ILENJUS5OQVNEQVE6TVNGVC5JUV9HUC45OTUuMTEvMDcvMjAyNi4uLlVTRC5IAQAAAEtVAAACAAAABTk2OTM3AQgAAAAFAAAAATEBAAAACy0yMDg3NDk2NjI3AwAAAAMxNjACAAAAAjEwBAAAAAEwBwAAAAk3LzExLzIwMjYIAAAACTYvMzAvMjAyMAkAAAABMG8oKWtv394ICDpvbm/f3gguQ0lRLk5BU0RBUTpNU0ZULklRX0NPR1MuOTk3LjExLzA3LzIwMjYuLi5VU0Qu</t>
  </si>
  <si>
    <t>SAEAAABLVQAAAgAAAAU2MjY1MAEIAAAABQAAAAExAQAAAAstMTk4NTkzMTIyNAMAAAADMTYwAgAAAAIzNAQAAAABMAcAAAAJNy8xMS8yMDI2CAAAAAk2LzMwLzIwMjIJAAAAATBvKClrb9/eCAg6b25v394INUNJUS5OQVNEQVE6TVNGVC5JUV9JTlRfSU5WX0lOQy45OTcuMTEvMDcvMjAyNi4uLlVTRC5IAQAAAEtVAAADAAAAAABvKClrb9/eCAg6b25v394INUNJUS5OQVNEQVE6TVNGVC5JUV9GSU5fRElWX1JFVi45OTkuMTEvMDcvMjAyNi4uLlVTRC5IAQAAAEtVAAADAAAAAABvKClrb9/eCAg6b25v394IN0NJUS5OQVNEQVE6TVNGVC5JUV9JTVBBSVJNRU5UX0dXLjk5Ny4xMS8wNy8yMDI2Li4uVVNELkgBAAAAS1UAAAMAAAAAAG8oKWtv394ICDpvbm/f3ghCQ0lRLk5BU0RBUTpNU0ZULklRX09USEVSX05PTl9PUEVSX0VYUF9TVVBQTC45OTYuMTEvMDcvMjAyNi4uLlVTRC5IAQAAAEtVAAACAAAAAjIwAQgAAAAFAAAAATEBAAAACy0yMDM2ODQzODQzAwAAAAMxNjACAAAAAjg1BAAAAAEwBwAAAAk3LzExLzIwMjYIAAAACTYvMzAvMjAyMQkAAAABMG8oKWtv394IkSVvbm/f3gg0Q0lRLk5BU0RBUTpNU0ZULklRX0lOQ19FUVVJVFkuOTk1LjExLzA3LzIwMjYuLi5VU0QuSAEAAABLVQAAAwAAAAAAbygpa2/f3giRJW9ub9/eCD1DSVEuTkFTREFROk1TRlQuSVFfSU5URVJFU1RfSU5WRVNUX0lOQy45OTQuMTEv</t>
  </si>
  <si>
    <t>MDcvMjAyNi4uLlVTRC5IAQAAAEtVAAACAAAABDI3NjIBCAAAAAUAAAABMQEAAAALLTIxNDA5ODE0NjkDAAAAAzE2MAIAAAACNjUEAAAAATAHAAAACTcvMTEvMjAyNggAAAAJNi8zMC8yMDE5CQAAAAEwbygpa2/f3giRJW9ub9/eCDBDSVEuTkFTREFROk1TRlQuSVFfUkRfRVhQLjk5Ni4xMS8wNy8yMDI2Li4uVVNELkgBAAAAS1UAAAIAAAAFMjA3MTYBCAAAAAUAAAABMQEAAAALLTIwMzY4NDM4NDMDAAAAAzE2MAIAAAADMTAwBAAAAAEwBwAAAAk3LzExLzIwMjYIAAAACTYvMzAvMjAyMQkAAAABMG8oKWtv394IkSVvbm/f3gg3Q0lRLk5BU0RBUTpNU0ZULklRX0VYUExPUkVfRFJJTEwuOTk5LjExLzA3LzIwMjYuLi5VU0QuSAEAAABLVQAAAwAAAAAAbygpa2/f3ggIOm9ub9/eCDZDSVEuTkFTREFROk1TRlQuSVFfTEVHQUxfU0VUVExFLjk5OC4xMS8wNy8yMDI2Li4uVVNELkgBAAAAS1UAAAMAAAAAAG8oKWtv394ITBFvbm/f3gguQ0lRLk5BU0RBUTpNU0ZULklRX0lQUkQuOTk3LjExLzA3LzIwMjYuLi5VU0QuSAEAAABLVQAAAwAAAAAAbygpa2/f3ghMEW9ub9/eCDVDSVEuTkFTREFROk1TRlQuSVFfR0FJTl9BU1NFVFMuOTk3LjExLzA3LzIwMjYuLi5VU0QuSAEAAABLVQAAAwAAAAAAbygpa2/f3ghMEW9ub9/eCDdDSVEuTkFTREFROk1TRlQuSVFfSU1QQUlSTUVOVF9HVy45OTYuMTEvMDcvMjAyNi4uLlVT</t>
  </si>
  <si>
    <t>RC5IAQAAAEtVAAADAAAAAABvKClrb9/eCEwRb25v394INUNJUS5OQVNEQVE6TVNGVC5JUV9SRVNUUlVDVFVSRS45OTYuMTEvMDcvMjAyNi4uLlVTRC5IAQAAAEtVAAADAAAAAABvKClrb9/eCJElb25v394IN0NJUS5OQVNEQVE6TVNGVC5JUV9OSV9BVkFJTF9JTkNMLjk5OS4xMS8wNy8yMDI2Li4uVVNELkgBAAAAS1UAAAIAAAAFODgxMzYBCAAAAAUAAAABMQEAAAALLTE5MzQyNTQxODUDAAAAAzE2MAIAAAACMTYEAAAAATAHAAAACTcvMTEvMjAyNggAAAAJNi8zMC8yMDI0CQAAAAEwbygpa2/f3gi2/G5ub9/eCCxDSVEuTkFTREFROk1TRlQuSVFfTkkuOTk4LjExLzA3LzIwMjYuLi5VU0QuSAEAAABLVQAAAgAAAAU3MjM2MQEIAAAABQAAAAExAQAAAAstMTkzNDI1NDI1MAMAAAADMTYwAgAAAAIxNQQAAAABMAcAAAAJNy8xMS8yMDI2CAAAAAk2LzMwLzIwMjMJAAAAATBvKClrb9/eCLb8bm5v394INENJUS5OQVNEQVE6TVNGVC5JUV9OSV9DT01QQU5ZLjk5Ny4xMS8wNy8yMDI2Li4uVVNELkgBAAAAS1UAAAIAAAAFNzI3MzgBCAAAAAUAAAABMQEAAAALLTE5ODU5MzEyMjQDAAAAAzE2MAIAAAAFNDE1NzEEAAAAATAHAAAACTcvMTEvMjAyNggAAAAJNi8zMC8yMDIyCQAAAAEwbygpa2/f3gi2/G5ub9/eCCxDSVEuTkFTREFROk1TRlQuSVFfRE8uOTk3LjExLzA3LzIwMjYuLi5VU0QuSAEAAABLVQAAAwAAAAAA</t>
  </si>
  <si>
    <t>bygpa2/f3gi2/G5ub9/eCC1DSVEuTkFTREFROk1TRlQuSVFfRUJULjk5OS4xMS8wNy8yMDI2Li4uVVNELkgBAAAAS1UAAAIAAAAGMTA3Nzg3AQgAAAAFAAAAATEBAAAACy0xOTM0MjU0MTg1AwAAAAMxNjACAAAAAzEzOQQAAAABMAcAAAAJNy8xMS8yMDI2CAAAAAk2LzMwLzIwMjQJAAAAATBvKClrb9/eCEwRb25v394IMENJUS5OQVNEQVE6TVNGVC5JUV9FQklUREEuOTk5LjExLzA3LzIwMjYuLi5VU0QuSAEAAABLVQAAAgAAAAYxMjk0MzMBCAAAAAUAAAABMQEAAAALLTE5MzQyNTQxODUDAAAAAzE2MAIAAAAENDA1MQQAAAABMAcAAAAJNy8xMS8yMDI2CAAAAAk2LzMwLzIwMjQJAAAAATBvKClrb9/eCP/obm5v394IO0NJUS5OQVNEQVE6TVNGVC5JUV9TUEVDSUFMX0RJVl9TSEFSRS45OTkuMTEvMDcvMjAyNi4uLlVTRC5IAQAAAEtVAAADAAAAAABvKClrb9/eCP/obm5v394IOUNJUS5OQVNEQVE6TVNGVC5JUV9UT1RBTF9SRVZfU0hBUkUuOTk0LjExLzA3LzIwMjYuLi5VU0QuSAEAAABLVQAAAgAAAAkxNi40MDA3NTUBCAAAAAUAAAABMQEAAAALLTIxNDA5ODE0NjkDAAAAAzE2MAIAAAAENDM4MgQAAAABMAcAAAAJNy8xMS8yMDI2CAAAAAk2LzMwLzIwMTkJAAAAATBvKClrb9/eCLb8bm5v394ITkNJUS5OQVNEQVE6TVNGVC5JUV9ESVNUUklCVVRBQkxFX0NBU0hfUEVSX1NIQVJFX0RJTFVURUQuOTk1LjEx</t>
  </si>
  <si>
    <t>LzA3LzIwMjYuLi5VU0QuSAEAAABLVQAAAwAAAAAAbygpa2/f3gi2/G5ub9/eCDhDSVEuTkFTREFROk1TRlQuSVFfQkFTSUNfRVBTX0lOQ0wuOTk5LjExLzA3LzIwMjYuLi5VU0QuSAEAAABLVQAAAgAAAAkxMS44NjA1ODQBCAAAAAUAAAABMQEAAAALLTE5MzQyNTQxODUDAAAAAzE2MAIAAAABOQQAAAABMAcAAAAJNy8xMS8yMDI2CAAAAAk2LzMwLzIwMjQJAAAAATBvKClrb9/eCLb8bm5v394IMkNJUS5OQVNEQVE6TVNGVC5JUV9ESUxVVF9OSS45OTQuMTEvMDcvMjAyNi4uLlVTRC5IAQAAAEtVAAACAAAACDM5MjMwLjE4AQgAAAAFAAAAATEBAAAACy0yMTQwOTgxNDY5AwAAAAMxNjACAAAABDM1MjIEAAAAATAHAAAACTcvMTEvMjAyNggAAAAJNi8zMC8yMDE5CQAAAAEwbygpa2/f3gj/6G5ub9/eCDRDSVEuTkFTREFROk1TRlQuSVFfQ1VSUl9UQVhFUy45OTcuMTEvMDcvMjAyNi4uLlVTRC5IAQAAAEtVAAACAAAABTE2NjgwAQgAAAAFAAAAATEBAAAACy0xOTg1OTMxMjI0AwAAAAMxNjACAAAABTM1MzgzBAAAAAEwBwAAAAk3LzExLzIwMjYIAAAACTYvMzAvMjAyMgkAAAABMG8oKWtv394I/+hubm/f3gg2Q0lRLk5BU0RBUTpNU0ZULklRX0VCSVREQV9DQVBFWC45OTUuMTEvMDcvMjAyNi4uLlVTRC5IAQAAAEtVAAACAAAABTQ5ODE4AQgAAAAFAAAAATEBAAAACy0yMDg3NDk2NjI3AwAAAAMxNjACAAAABTM1</t>
  </si>
  <si>
    <t>Mzc5BAAAAAEwBwAAAAk3LzExLzIwMjYIAAAACTYvMzAvMjAyMAkAAAABMG8oKWtv394I/+hubm/f3ggxQ0lRLk5BU0RBUTpNU0ZULklRX0VCSVREQVIuOTk4LjExLzA3LzIwMjYuLi5VU0QuSAEAAABLVQAAAgAAAAYxMDQ4OTgBCAAAAAUAAAABMQEAAAALLTE5MzQyNTQyNTADAAAAAzE2MAIAAAAFMjE2NzQEAAAAATAHAAAACTcvMTEvMjAyNggAAAAJNi8zMC8yMDIzCQAAAAEwbygpa2/f3gj/6G5ub9/eCDZDSVEuTkFTREFROk1TRlQuSVFfRUJJVEFfRVFfSU5DLjk5Ni4xMS8wNy8yMDI2Li4uVVNELkgBAAAAS1UAAAIAAAAFNzE1MTYBCAAAAAUAAAABMQEAAAALLTIwMzY4NDM4NDMDAAAAAzE2MAIAAAAFMjE2NzYEAAAAATAHAAAACTcvMTEvMjAyNggAAAAJNi8zMC8yMDIxCQAAAAEwbygpa2/f3gj/6G5ub9/eCDZDSVEuTkFTREFROk1TRlQuSVFfSU5TX0RJVl9FWFAuMTAwMC4xMS8wNy8yMDI2Li4uVVNELkgBAAAAS1UAAAMAAAAAAG8oKWtv394IoMFubm/f3gg2Q0lRLk5BU0RBUTpNU0ZULklRX0ZJTl9ESVZfUkVWLjEwMDAuMTEvMDcvMjAyNi4uLlVTRC5IAQAAAEtVAAADAAAAAABvKClrb9/eCKDBbm5v394IRkNJUS5OQVNEQVE6TVNGVC5JUV9DSEFOR0VfT1RIRVJfTkVUX09QRVJfQVNTRVRTLjk5Ni4xMS8wNy8yMDI2Li4uVVNELkgBAAAAS1UAAAIAAAAEMTE2MAEIAAAABQAAAAExAQAAAAstMjAz</t>
  </si>
  <si>
    <t>Njg0Mzg0MwMAAAADMTYwAgAAAAQyMDQ1BAAAAAEwBwAAAAk3LzExLzIwMjYIAAAACTYvMzAvMjAyMQkAAAABMG8oKWtv394IoMFubm/f3gg/Q0lRLk5BU0RBUTpNU0ZULklRX05FVF9SRU5UQUxfRVhQX1NVUFBMRS45OTYuMTEvMDcvMjAyNi4uLlVTRC5IAQAAAEtVAAACAAAABDIxMjcBCAAAAAUAAAABMQEAAAALLTIwMzY4NDM4NDMDAAAAAzE2MAIAAAAFMjQyNjMEAAAAATAHAAAACTcvMTEvMjAyNggAAAAJNi8zMC8yMDIxCQAAAAEwbygpa2/f3gigwW5ub9/eCD1DSVEuTkFTREFROk1TRlQuSVFfRElTVFJJQlVUQUJMRV9DQVNILjEwMDAuMTEvMDcvMjAyNi4uLlVTRC5IAQAAAEtVAAADAAAAAABvKClrb9/eCP/obm5v394INENJUS5OQVNEQVE6TVNGVC5JUV9JTkNfRVFVSVRZLjk5NC4xMS8wNy8yMDI2Li4uVVNELkgBAAAAS1UAAAMAAAAAAG8oKWtv394IoMFubm/f3ggzQ0lRLk5BU0RBUTpNU0ZULklRX0RBX1NVUFBMLjEwMDAuMTEvMDcvMjAyNi4uLlVTRC5IAQAAAEtVAAADAAAAAABvKClrb9/eCKDBbm5v394IMENJUS5OQVNEQVE6TVNGVC5JUV9SRF9FWFAuOTk1LjExLzA3LzIwMjYuLi5VU0QuSAEAAABLVQAAAgAAAAUxOTI2OQEIAAAABQAAAAExAQAAAAstMjA4NzQ5NjYyNwMAAAADMTYwAgAAAAMxMDAEAAAAATAHAAAACTcvMTEvMjAyNggAAAAJNi8zMC8yMDIwCQAAAAEwbygpa2/f3gigwW5u</t>
  </si>
  <si>
    <t>b9/eCDdDSVEuTkFTREFROk1TRlQuSVFfRVhQTE9SRV9EUklMTC45OTguMTEvMDcvMjAyNi4uLlVTRC5IAQAAAEtVAAADAAAAAABvKClrb9/eCKDBbm5v394ILENJUS5OQVNEQVE6TVNGVC5JUV9HUC45OTQuMTEvMDcvMjAyNi4uLlVTRC5IAQAAAEtVAAACAAAABTgyOTMzAQgAAAAFAAAAATEBAAAACy0yMTQwOTgxNDY5AwAAAAMxNjACAAAAAjEwBAAAAAEwBwAAAAk3LzExLzIwMjYIAAAACTYvMzAvMjAxOQkAAAABMG8oKWtv394IoMFubm/f3gg0Q0lRLk5BU0RBUTpNU0ZULklRX0lOU19TRVRUTEUuOTk0LjExLzA3LzIwMjYuLi5VU0QuSAEAAABLVQAAAwAAAAAAbygpa2/f3gjfrW5ub9/eCDVDSVEuTkFTREFROk1TRlQuSVFfR0FJTl9BU1NFVFMuOTk2LjExLzA3LzIwMjYuLi5VU0QuSAEAAABLVQAAAwAAAAAAbygpa2/f3gigwW5ub9/eCDdDSVEuTkFTREFROk1TRlQuSVFfSU1QQUlSTUVOVF9HVy45OTUuMTEvMDcvMjAyNi4uLlVTRC5IAQAAAEtVAAADAAAAAABvKClrb9/eCKDBbm5v394INUNJUS5OQVNEQVE6TVNGVC5JUV9SRVNUUlVDVFVSRS45OTUuMTEvMDcvMjAyNi4uLlVTRC5IAQAAAEtVAAADAAAAAABvKClrb9/eCKDBbm5v394IQkNJUS5OQVNEQVE6TVNGVC5JUV9PVEhFUl9OT05fT1BFUl9FWFBfU1VQUEwuOTk0LjExLzA3LzIwMjYuLi5VU0QuSAEAAABLVQAAAgAAAAIxNgEIAAAABQAAAAEx</t>
  </si>
  <si>
    <t>AQAAAAstMjE0MDk4MTQ2OQMAAAADMTYwAgAAAAI4NQQAAAABMAcAAAAJNy8xMS8yMDI2CAAAAAk2LzMwLzIwMTkJAAAAATBvKClrb9/eCKDBbm5v394ILENJUS5OQVNEQVE6TVNGVC5JUV9OSS45OTcuMTEvMDcvMjAyNi4uLlVTRC5IAQAAAEtVAAACAAAABTcyNzM4AQgAAAAFAAAAATEBAAAACy0xOTg1OTMxMjI0AwAAAAMxNjACAAAAAjE1BAAAAAEwBwAAAAk3LzExLzIwMjYIAAAACTYvMzAvMjAyMgkAAAABMG8oKWtv394I361ubm/f3gg0Q0lRLk5BU0RBUTpNU0ZULklRX05JX0NPTVBBTlkuOTk2LjExLzA3LzIwMjYuLi5VU0QuSAEAAABLVQAAAgAAAAU2MTI3MQEIAAAABQAAAAExAQAAAAstMjAzNjg0Mzg0MwMAAAADMTYwAgAAAAU0MTU3MQQAAAABMAcAAAAJNy8xMS8yMDI2CAAAAAk2LzMwLzIwMjEJAAAAATBvKClrb9/eCN+tbm5v394ILENJUS5OQVNEQVE6TVNGVC5JUV9ETy45OTYuMTEvMDcvMjAyNi4uLlVTRC5IAQAAAEtVAAADAAAAAABvKClrb9/eCN+tbm5v394IMUNJUS5OQVNEQVE6TVNGVC5JUV9JTkNfVEFYLjk5Ni4xMS8wNy8yMDI2Li4uVVNELkgBAAAAS1UAAAIAAAAEOTgzMQEIAAAABQAAAAExAQAAAAstMjAzNjg0Mzg0MwMAAAADMTYwAgAAAAI3NQQAAAABMAcAAAAJNy8xMS8yMDI2CAAAAAk2LzMwLzIwMjEJAAAAATBvKClrb9/eCN+tbm5v394IPUNJUS5OQVNEQVE6TVNGVC5JUV9P</t>
  </si>
  <si>
    <t>VEhFUl9VTlVTVUFMX1NVUFBMLjk5NS4xMS8wNy8yMDI2Li4uVVNELkgBAAAAS1UAAAMAAAAAAG8oKWtv394I361ubm/f3ggwQ0lRLk5BU0RBUTpNU0ZULklRX0VCSVREQS45OTguMTEvMDcvMjAyNi4uLlVTRC5IAQAAAEtVAAACAAAABjEwMjAyMwEIAAAABQAAAAExAQAAAAstMTkzNDI1NDI1MAMAAAADMTYwAgAAAAQ0MDUxBAAAAAEwBwAAAAk3LzExLzIwMjYIAAAACTYvMzAvMjAyMwkAAAABMG8oKWtv394Ih4Zubm/f3ghOQ0lRLk5BU0RBUTpNU0ZULklRX0RJU1RSSUJVVEFCTEVfQ0FTSF9QRVJfU0hBUkVfRElMVVRFRC45OTQuMTEvMDcvMjAyNi4uLlVTRC5IAQAAAEtVAAADAAAAAABvKClrb9/eCIeGbm5v394IOENJUS5OQVNEQVE6TVNGVC5JUV9ESUxVVF9FUFNfSU5DTC45OTQuMTEvMDcvMjAyNi4uLlVTRC5IAQAAAEtVAAACAAAABDUuMDYBCAAAAAUAAAABMQEAAAALLTIxNDA5ODE0NjkDAAAAAzE2MAIAAAABOAQAAAABMAcAAAAJNy8xMS8yMDI2CAAAAAk2LzMwLzIwMTkJAAAAATBvKClrb9/eCIeGbm5v394IOENJUS5OQVNEQVE6TVNGVC5JUV9CQVNJQ19FUFNfSU5DTC45OTguMTEvMDcvMjAyNi4uLlVTRC5IAQAAAEtVAAACAAAACDkuNzE4MTAzAQgAAAAFAAAAATEBAAAACy0xOTM0MjU0MjUwAwAAAAMxNjACAAAAATkEAAAAATAHAAAACTcvMTEvMjAyNggAAAAJNi8zMC8yMDIzCQAAAAEwbygp</t>
  </si>
  <si>
    <t>a2/f3giHhm5ub9/eCDdDSVEuTkFTREFROk1TRlQuSVFfTklfQVZBSUxfSU5DTC45OTcuMTEvMDcvMjAyNi4uLlVTRC5IAQAAAEtVAAACAAAABTcyNzM4AQgAAAAFAAAAATEBAAAACy0xOTg1OTMxMjI0AwAAAAMxNjACAAAAAjE2BAAAAAEwBwAAAAk3LzExLzIwMjYIAAAACTYvMzAvMjAyMgkAAAABMG8oKWtv394I361ubm/f3gg2Q0lRLk5BU0RBUTpNU0ZULklRX0VCSVREQV9DQVBFWC45OTQuMTEvMDcvMjAyNi4uLlVTRC5IAQAAAEtVAAACAAAABTQwNjM0AQgAAAAFAAAAATEBAAAACy0yMTQwOTgxNDY5AwAAAAMxNjACAAAABTM1Mzc5BAAAAAEwBwAAAAk3LzExLzIwMjYIAAAACTYvMzAvMjAxOQkAAAABMG8oKWtv394Ih4Zubm/f3ggxQ0lRLk5BU0RBUTpNU0ZULklRX0VCSVREQVIuOTk3LjExLzA3LzIwMjYuLi5VU0QuSAEAAABLVQAAAgAAAAYxMDA0NDQBCAAAAAUAAAABMQEAAAALLTE5ODU5MzEyMjQDAAAAAzE2MAIAAAAFMjE2NzQEAAAAATAHAAAACTcvMTEvMjAyNggAAAAJNi8zMC8yMDIyCQAAAAEwbygpa2/f3giHhm5ub9/eCDZDSVEuTkFTREFROk1TRlQuSVFfRUJJVEFfRVFfSU5DLjk5NS4xMS8wNy8yMDI2Li4uVVNELkgBAAAAS1UAAAIAAAAFNTQ1NTkBCAAAAAUAAAABMQEAAAALLTIwODc0OTY2MjcDAAAAAzE2MAIAAAAFMjE2NzYEAAAAATAHAAAACTcvMTEvMjAyNggAAAAJNi8zMC8yMDIw</t>
  </si>
  <si>
    <t>CQAAAAEwbygpa2/f3giHhm5ub9/eCDZDSVEuTkFTREFROk1TRlQuSVFfRUJJVF9FUV9JTkMuMTAwMC4xMS8wNy8yMDI2Li4uVVNELkgBAAAAS1UAAAIAAAAGMTI4NTI4AQgAAAAFAAAAATEBAAAACy0xOTM0MjU0MjE2AwAAAAMxNjACAAAABTIxNjc1BAAAAAEwBwAAAAk3LzExLzIwMjYIAAAACTYvMzAvMjAyNQkAAAABMG8oKWtv394Ih4Zubm/f3ghLQ0lRLk5BU0RBUTpNU0ZULklRX0VCSVREQV9FUV9JTkNfRVhDTF9PUEVSX0xFQVNFX0FESi45OTcuMTEvMDcvMjAyNi4uLlVTRC5IAQAAAEtVAAACAAAABTk3OTUxAQgAAAAFAAAAATEBAAAACy0xOTg1OTMxMjI0AwAAAAMxNjACAAAABTQ4OTg3BAAAAAEwBwAAAAk3LzExLzIwMjYIAAAACTYvMzAvMjAyMgkAAAABMG8oKWtv394Ih4Zubm/f3gg/Q0lRLk5BU0RBUTpNU0ZULklRX1JFU1RSX1NUT0NLX0NPTVBfVEFYLjEwMDAuMTEvMDcvMjAyNi4uLlVTRC5IAQAAAEtVAAADAAAAAABvKClrb9/eCDtebm5v394ISUNJUS5OQVNEQVE6TVNGVC5JUV9ESVNUUklCVVRBQkxFX0NBU0hfU1RBTkRBUkRJWkVELjk5NS4xMS8wNy8yMDI2Li4uVVNELkgBAAAAS1UAAAMAAAAAAG8oKWtv394IO15ubm/f3gg0Q0lRLk5BU0RBUTpNU0ZULklRX0NVUlJfVEFYRVMuOTk2LjExLzA3LzIwMjYuLi5VU0QuSAEAAABLVQAAAgAAAAQ5OTgxAQgAAAAFAAAAATEBAAAACy0yMDM2</t>
  </si>
  <si>
    <t>ODQzODQzAwAAAAMxNjACAAAABTM1MzgzBAAAAAEwBwAAAAk3LzExLzIwMjYIAAAACTYvMzAvMjAyMQkAAAABMG8oKWtv394IUXJubm/f3gg7Q0lRLk5BU0RBUTpNU0ZULklRX0lOVkVTVE1FTlRfSU5DT01FLjk5OS4xMS8wNy8yMDI2Li4uVVNELkgBAAAAS1UAAAMAAAAAAG8oKWtv394IUXJubm/f3gg8Q0lRLk5BU0RBUTpNU0ZULklRX0FTX1JFUE9SVEVEX0VCSVREQS45OTkuMTEvMDcvMjAyNi4uLlVTRC5IAQAAAEtVAAADAAAAAABvKClrb9/eCFFybm5v394INUNJUS5OQVNEQVE6TVNGVC5JUV9GSU5fRElWX1JFVi45OTguMTEvMDcvMjAyNi4uLlVTRC5IAQAAAEtVAAADAAAAAAC67ytrb9/eCLhJbm5v394IMkNJUS5OQVNEQVE6TVNGVC5JUV9PUEVSX0lOQy45OTQuMTEvMDcvMjAyNi4uLlVTRC5IAQAAAEtVAAACAAAABTQyOTU5AQgAAAAFAAAAATEBAAAACy0yMTQwOTgxNDY5AwAAAAMxNjACAAAAAjIxBAAAAAEwBwAAAAk3LzExLzIwMjYIAAAACTYvMzAvMjAxOQkAAAABMLrvK2tv394IuElubm/f3gg1Q0lRLk5BU0RBUTpNU0ZULklRX1NUT0NLX0JBU0VELjk5NC4xMS8wNy8yMDI2Li4uVVNELkgBAAAAS1UAAAMAAAAAALrvK2tv394IuElubm/f3gg5Q0lRLk5BU0RBUTpNU0ZULklRX0dBSU5fQVNTRVRTX1JFVi45OTUuMTEvMDcvMjAyNi4uLlVTRC5IAQAAAEtVAAADAAAAAAC67ytrb9/eCDtebm5v</t>
  </si>
  <si>
    <t>394IL0NJUS5OQVNEQVE6TVNGVC5JUV9DQVBFWC45OTguMTEvMDcvMjAyNi4uLlVTRC5IAQAAAEtVAAACAAAABi0yODEwNwEIAAAABQAAAAExAQAAAAstMTkzNDI1NDI1MAMAAAADMTYwAgAAAAQyMDIxBAAAAAEwBwAAAAk3LzExLzIwMjYIAAAACTYvMzAvMjAyMwkAAAABMLrvK2tv394IO15ubm/f3gg4Q0lRLk5BU0RBUTpNU0ZULklRX0dXX0lOVEFOX0FNT1JULjk5Ny4xMS8wNy8yMDI2Li4uVVNELkgBAAAAS1UAAAMAAAAAALrvK2tv394I5vltbm/f3ggwQ0lRLk5BU0RBUTpNU0ZULklRX1JEX0VYUC45OTQuMTEvMDcvMjAyNi4uLlVTRC5IAQAAAEtVAAACAAAABTE2ODc2AQgAAAAFAAAAATEBAAAACy0yMTQwOTgxNDY5AwAAAAMxNjACAAAAAzEwMAQAAAABMAcAAAAJNy8xMS8yMDI2CAAAAAk2LzMwLzIwMTkJAAAAATC67ytrb9/eCEUhbm5v394IN0NJUS5OQVNEQVE6TVNGVC5JUV9FWFBMT1JFX0RSSUxMLjk5Ny4xMS8wNy8yMDI2Li4uVVNELkgBAAAAS1UAAAMAAAAAALrvK2tv394IRSFubm/f3gg1Q0lRLk5BU0RBUTpNU0ZULklRX0lOU19ESVZfRVhQLjk5OS4xMS8wNy8yMDI2Li4uVVNELkgBAAAAS1UAAAMAAAAAALrvK2tv394IEzVubm/f3gg1Q0lRLk5BU0RBUTpNU0ZULklRX0lOVF9JTlZfSU5DLjk5NS4xMS8wNy8yMDI2Li4uVVNELkgBAAAAS1UAAAMAAAAAALrvK2tv394IEzVubm/f3ggsQ0lR</t>
  </si>
  <si>
    <t>Lk5BU0RBUTpNU0ZULklRX05JLjk5Ni4xMS8wNy8yMDI2Li4uVVNELkgBAAAAS1UAAAIAAAAFNjEyNzEBCAAAAAUAAAABMQEAAAALLTIwMzY4NDM4NDMDAAAAAzE2MAIAAAACMTUEAAAAATAHAAAACTcvMTEvMjAyNggAAAAJNi8zMC8yMDIxCQAAAAEwuu8ra2/f3gjm+W1ub9/eCDRDSVEuTkFTREFROk1TRlQuSVFfTklfQ09NUEFOWS45OTUuMTEvMDcvMjAyNi4uLlVTRC5IAQAAAEtVAAACAAAABTQ0MjgxAQgAAAAFAAAAATEBAAAACy0yMDg3NDk2NjI3AwAAAAMxNjACAAAABTQxNTcxBAAAAAEwBwAAAAk3LzExLzIwMjYIAAAACTYvMzAvMjAyMAkAAAABMLrvK2tv394I5vltbm/f3ggsQ0lRLk5BU0RBUTpNU0ZULklRX0RPLjk5NS4xMS8wNy8yMDI2Li4uVVNELkgBAAAAS1UAAAMAAAAAALrvK2tv394I5vltbm/f3ggxQ0lRLk5BU0RBUTpNU0ZULklRX0lOQ19UQVguOTk0LjExLzA3LzIwMjYuLi5VU0QuSAEAAABLVQAAAgAAAAQ0NDQ4AQgAAAAFAAAAATEBAAAACy0yMTQwOTgxNDY5AwAAAAMxNjACAAAAAjc1BAAAAAEwBwAAAAk3LzExLzIwMjYIAAAACTYvMzAvMjAxOQkAAAABMLrvK2tv394I5vltbm/f3gg9Q0lRLk5BU0RBUTpNU0ZULklRX09USEVSX1VOVVNVQUxfU1VQUEwuOTk0LjExLzA3LzIwMjYuLi5VU0QuSAEAAABLVQAAAwAAAAAAuu8ra2/f3gjm+W1ub9/eCEtDSVEuTkFTREFROk1TRlQuSVFf</t>
  </si>
  <si>
    <t>RUJJVERBX0VRX0lOQ19FWENMX09QRVJfTEVBU0VfQURKLjk5Ni4xMS8wNy8yMDI2Li4uVVNELkgBAAAAS1UAAAIAAAAFODA4MTYBCAAAAAUAAAABMQEAAAALLTIwMzY4NDM4NDMDAAAAAzE2MAIAAAAFNDg5ODcEAAAAATAHAAAACTcvMTEvMjAyNggAAAAJNi8zMC8yMDIxCQAAAAEwuu8ra2/f3gjm+W1ub9/eCDlDSVEuTkFTREFROk1TRlQuSVFfRUJJVERBX0VYQ0xfU0JDLjk5OC4xMS8wNy8yMDI2Li4uVVNELkgBAAAAS1UAAAIAAAAGMTExNjM0AQgAAAAFAAAAATEBAAAACy0xOTM0MjU0MjUwAwAAAAMxNjACAAAABTI0MTM1BAAAAAEwBwAAAAk3LzExLzIwMjYIAAAACTYvMzAvMjAyMwkAAAABMLrvK2tv394I5vltbm/f3gg6Q0lRLk5BU0RBUTpNU0ZULklRX1RPVEFMX1JFVl9TSEFSRS4xMDAwLjExLzA3LzIwMjYuLi5VU0QuSAEAAABLVQAAAgAAAAkzNy45MDE3ODkBCAAAAAUAAAABMQEAAAALLTE5MzQyNTQyMTYDAAAAAzE2MAIAAAAENDM4MgQAAAABMAcAAAAJNy8xMS8yMDI2CAAAAAk2LzMwLzIwMjUJAAAAATC67ytrb9/eCOb5bW5v394IOENJUS5OQVNEQVE6TVNGVC5JUV9CQVNJQ19FUFNfSU5DTC45OTcuMTEvMDcvMjAyNi4uLlVTRC5IAQAAAEtVAAACAAAACDkuNzAzNTc1AQgAAAAFAAAAATEBAAAACy0xOTg1OTMxMjI0AwAAAAMxNjACAAAAATkEAAAAATAHAAAACTcvMTEvMjAyNggAAAAJNi8z</t>
  </si>
  <si>
    <t>MC8yMDIyCQAAAAEwuu8ra2/f3gjm+W1ub9/eCDdDSVEuTkFTREFROk1TRlQuSVFfTklfQVZBSUxfSU5DTC45OTYuMTEvMDcvMjAyNi4uLlVTRC5IAQAAAEtVAAACAAAABTYxMjcxAQgAAAAFAAAAATEBAAAACy0yMDM2ODQzODQzAwAAAAMxNjACAAAAAjE2BAAAAAEwBwAAAAk3LzExLzIwMjYIAAAACTYvMzAvMjAyMQkAAAABMLrvK2tv394I5vltbm/f3gg7Q0lRLk5BU0RBUTpNU0ZULklRX0lOVkVTVE1FTlRfSU5DT01FLjk5OC4xMS8wNy8yMDI2Li4uVVNELkgBAAAAS1UAAAMAAAAAALrvK2tv394IguVtbm/f3ghMQ0lRLk5BU0RBUTpNU0ZULklRX1BST1ZfQkFEX0RFQlRTX1BBVElFTlRfU0VSVklDRV9SRVYuOTk2LjExLzA3LzIwMjYuLi5VU0QuSAEAAABLVQAAAwAAAAAAuu8ra2/f3giC5W1ub9/eCDFDSVEuTkFTREFROk1TRlQuSVFfRUJJVERBUi45OTYuMTEvMDcvMjAyNi4uLlVTRC5IAQAAAEtVAAACAAAABTgyOTQzAQgAAAAFAAAAATEBAAAACy0yMDM2ODQzODQzAwAAAAMxNjACAAAABTIxNjc0BAAAAAEwBwAAAAk3LzExLzIwMjYIAAAACTYvMzAvMjAyMQkAAAABMLrvK2tv394IguVtbm/f3gg2Q0lRLk5BU0RBUTpNU0ZULklRX0VCSVRBX0VRX0lOQy45OTQuMTEvMDcvMjAyNi4uLlVTRC5IAQAAAEtVAAACAAAABTQ0ODU5AQgAAAAFAAAAATEBAAAACy0yMTQwOTgxNDY5AwAAAAMxNjACAAAABTIx</t>
  </si>
  <si>
    <t>Njc2BAAAAAEwBwAAAAk3LzExLzIwMjYIAAAACTYvMzAvMjAxOQkAAAABMLrvK2tv394IguVtbm/f3gg+Q0lRLk5BU0RBUTpNU0ZULklRX0VCSVRfRVFfSU5DX0VYQ0xfU0JDLjk5Ny4xMS8wNy8yMDI2Li4uVVNELkgBAAAAS1UAAAIAAAAFOTA4NTMBCAAAAAUAAAABMQEAAAALLTE5ODU5MzEyMjQDAAAAAzE2MAIAAAAFMjQxMzAEAAAAATAHAAAACTcvMTEvMjAyNggAAAAJNi8zMC8yMDIyCQAAAAEwuu8ra2/f3giC5W1ub9/eCDNDSVEuTkFTREFROk1TRlQuSVFfRUJUX0VYQ0wuMTAwMC4xMS8wNy8yMDI2Li4uVVNELkgBAAAAS1UAAAIAAAAGMTI4OTY3AQgAAAAFAAAAATEBAAAACy0xOTM0MjU0MjE2AwAAAAMxNjACAAAAATQEAAAAATAHAAAACTcvMTEvMjAyNggAAAAJNi8zMC8yMDI1CQAAAAEwuu8ra2/f3ghJu21ub9/eCDdDSVEuTkFTREFROk1TRlQuSVFfQ1VSUkVOQ1lfR0FJTi45OTYuMTEvMDcvMjAyNi4uLlVTRC5IAQAAAEtVAAACAAAAAzEzMwEIAAAABQAAAAExAQAAAAstMjAzNjg0Mzg0MwMAAAADMTYwAgAAAAIzOAQAAAABMAcAAAAJNy8xMS8yMDI2CAAAAAk2LzMwLzIwMjEJAAAAATC67ytrb9/eCEm7bW5v394INkNJUS5OQVNEQVE6TVNGVC5JUV9JTlRFUkVTVF9FWFAuOTk4LjExLzA3LzIwMjYuLi5VU0QuSAEAAABLVQAAAgAAAAUtMTk5NQEIAAAABQAAAAExAQAAAAstMTkzNDI1NDI1MAMA</t>
  </si>
  <si>
    <t>AAADMTYwAgAAAAI4MgQAAAABMAcAAAAJNy8xMS8yMDI2CAAAAAk2LzMwLzIwMjMJAAAAATC67ytrb9/eCEm7bW5v394IOkNJUS5OQVNEQVE6TVNGVC5JUV9SRVNUUl9TVE9DS19DT01QLjk5NS4xMS8wNy8yMDI2Li4uVVNELkgBAAAAS1UAAAMAAAAAALrvK2tv394IguVtbm/f3ghAQ0lRLk5BU0RBUTpNU0ZULklRX0FTU0VUX1dSSVRFRE9XTl9TVVBQTEUuOTk5LjExLzA3LzIwMjYuLi5VU0QuSAEAAABLVQAAAwAAAAAAuu8ra2/f3giC5W1ub9/eCDlDSVEuTkFTREFROk1TRlQuSVFfRVhUUkFfQUNDX0lURU1TLjk5NC4xMS8wNy8yMDI2Li4uVVNELkgBAAAAS1UAAAMAAAAAALrvK2tv394IJYBtbm/f3ggtQ0lRLk5BU0RBUTpNU0ZULklRX0VCVC45OTYuMTEvMDcvMjAyNi4uLlVTRC5IAQAAAEtVAAACAAAABTcxMTAyAQgAAAAFAAAAATEBAAAACy0yMDM2ODQzODQzAwAAAAMxNjACAAAAAzEzOQQAAAABMAcAAAAJNy8xMS8yMDI2CAAAAAk2LzMwLzIwMjEJAAAAATC67ytrb9/eCIanbW5v394ILkNJUS5OQVNEQVE6TVNGVC5JUV9JUFJELjk5OC4xMS8wNy8yMDI2Li4uVVNELkgBAAAAS1UAAAMAAAAAALrvK2tv394Ihqdtbm/f3gg4Q0lRLk5BU0RBUTpNU0ZULklRX0lNUEFJUk1FTlRfR1cuMTAwMC4xMS8wNy8yMDI2Li4uVVNELkgBAAAAS1UAAAMAAAAAALrvK2tv394ISbttbm/f3ggwQ0lRLk5BU0RBUTpN</t>
  </si>
  <si>
    <t>U0ZULklRX01FUkdFUi45OTQuMTEvMDcvMjAyNi4uLlVTRC5IAQAAAEtVAAADAAAAAAC67ytrb9/eCEm7bW5v394IM0NJUS5OQVNEQVE6TVNGVC5JUV9ESVZfU0hBUkUuOTk4LjExLzA3LzIwMjYuLi5VU0QuSAEAAABLVQAAAgAAAAQyLjcyAQgAAAAFAAAAATEBAAAACy0xOTM0MjU0MjUwAwAAAAMxNjACAAAABDMwNTgEAAAAATAHAAAACTcvMTEvMjAyNggAAAAJNi8zMC8yMDIzCQAAAAEwuu8ra2/f3ghhbG1ub9/eCDlDSVEuTkFTREFROk1TRlQuSVFfRElMVVRfRVBTX05PUk0uMTAwMC4xMS8wNy8yMDI2Li4uVVNELkgBAAAAS1UAAAIAAAAJMTAuNzk3NjM4AQgAAAAFAAAAATEBAAAACy0xOTM0MjU0MjE2AwAAAAMxNjACAAAABDQzODAEAAAAATAHAAAACTcvMTEvMjAyNggAAAAJNi8zMC8yMDI1CQAAAAEwuu8ra2/f3ghhbG1ub9/eCDJDSVEuTkFTREFROk1TRlQuSVFfRVBTX05PUk0uOTk0LjExLzA3LzIwMjYuLi5VU0QuSAEAAABLVQAAAgAAAAgzLjUwNTc5OQEIAAAABQAAAAExAQAAAAstMjE0MDk4MTQ2OQMAAAADMTYwAgAAAAQ0Mzc5BAAAAAEwBwAAAAk3LzExLzIwMjYIAAAACTYvMzAvMjAxOQkAAAABMLrvK2tv394IJYBtbm/f3gg3Q0lRLk5BU0RBUTpNU0ZULklRX05JX0FWQUlMX0lOQ0wuOTk4LjExLzA3LzIwMjYuLi5VU0QuSAEAAABLVQAAAgAAAAU3MjM2MQEIAAAABQAAAAExAQAAAAstMTkz</t>
  </si>
  <si>
    <t>NDI1NDI1MAMAAAADMTYwAgAAAAIxNgQAAAABMAcAAAAJNy8xMS8yMDI2CAAAAAk2LzMwLzIwMjMJAAAAATC67ytrb9/eCCWAbW5v394INUNJUS5OQVNEQVE6TVNGVC5JUV9OSV9DT01QQU5ZLjEwMDAuMTEvMDcvMjAyNi4uLlVTRC5IAQAAAEtVAAACAAAABjEwMTgzMgEIAAAABQAAAAExAQAAAAstMTkzNDI1NDIxNgMAAAADMTYwAgAAAAU0MTU3MQQAAAABMAcAAAAJNy8xMS8yMDI2CAAAAAk2LzMwLzIwMjUJAAAAATC67ytrb9/eCCWAbW5v394IS0NJUS5OQVNEQVE6TVNGVC5JUV9FQklUREFfRVFfSU5DX0VYQ0xfT1BFUl9MRUFTRV9BREouOTk4LjExLzA3LzIwMjYuLi5VU0QuSAEAAABLVQAAAgAAAAYxMDIwMjMBCAAAAAUAAAABMQEAAAALLTE5MzQyNTQyNTADAAAAAzE2MAIAAAAFNDg5ODcEAAAAATAHAAAACTcvMTEvMjAyNggAAAAJNi8zMC8yMDIzCQAAAAEwuu8ra2/f3ggPRW1ub9/eCD9DSVEuTkFTREFROk1TRlQuSVFfRUJJVERBX0xFQVNFX0FESlVTVEVELjk5NC4xMS8wNy8yMDI2Li4uVVNELkgBAAAAS1UAAAIAAAAFNTYyNjYBCAAAAAUAAAABMQEAAAALLTIxNDA5ODE0NjkDAAAAAzE2MAIAAAAFNDg5OTMEAAAAATAHAAAACTcvMTEvMjAyNggAAAAJNi8zMC8yMDE5CQAAAAEwuu8ra2/f3ggPRW1ub9/eCEFDSVEuTkFTREFROk1TRlQuSVFfRUJJVERBX0VRX0lOQ19FWENMX1NCQy4xMDAwLjEx</t>
  </si>
  <si>
    <t>LzA3LzIwMjYuLi5VU0QuSAEAAABLVQAAAgAAAAYxNjg1MDIBCAAAAAUAAAABMQEAAAALLTE5MzQyNTQyMTYDAAAAAzE2MAIAAAAFMjQxMzEEAAAAATAHAAAACTcvMTEvMjAyNggAAAAJNi8zMC8yMDI1CQAAAAEwuu8ra2/f3ggPRW1ub9/eCDBDSVEuTkFTREFROk1TRlQuSVFfRUJJVERBLjk5Ni4xMS8wNy8yMDI2Li4uVVNELkgBAAAAS1UAAAIAAAAFODA4MTYBCAAAAAUAAAABMQEAAAALLTIwMzY4NDM4NDMDAAAAAzE2MAIAAAAENDA1MQQAAAABMAcAAAAJNy8xMS8yMDI2CAAAAAk2LzMwLzIwMjEJAAAAATC67ytrb9/eCA9FbW5v394IO0NJUS5OQVNEQVE6TVNGVC5JUV9TUEVDSUFMX0RJVl9TSEFSRS45OTYuMTEvMDcvMjAyNi4uLlVTRC5IAQAAAEtVAAADAAAAAAC67ytrb9/eCA9FbW5v394IO0NJUS5OQVNEQVE6TVNGVC5JUV9FQklUREFSX0VYQ0xfU0JDLjEwMDAuMTEvMDcvMjAyNi4uLlVTRC5IAQAAAEtVAAACAAAABjE3NDAyNgEIAAAABQAAAAExAQAAAAstMTkzNDI1NDIxNgMAAAADMTYwAgAAAAUyNDEzNwQAAAABMAcAAAAJNy8xMS8yMDI2CAAAAAk2LzMwLzIwMjUJAAAAATC67ytrb9/eCEoxbW5v394IQUNJUS5OQVNEQVE6TVNGVC5JUV9FQklUREFSX0VRX0lOQ19FWENMX1NCQy45OTQuMTEvMDcvMjAyNi4uLlVTRC5IAQAAAEtVAAACAAAABTYwOTE4AQgAAAAFAAAAATEBAAAACy0yMTQwOTgx</t>
  </si>
  <si>
    <t>NDY5AwAAAAMxNjACAAAABTI0MTMzBAAAAAEwBwAAAAk3LzExLzIwMjYIAAAACTYvMzAvMjAxOQkAAAABMLrvK2tv394ISjFtbm/f3ggyQ0lRLk5BU0RBUTpNU0ZULklRX0VCSVREQVIuMTAwMC4xMS8wNy8yMDI2Li4uVVNELkgBAAAAS1UAAAIAAAAGMTYyMDUyAQgAAAAFAAAAATEBAAAACy0xOTM0MjU0MjE2AwAAAAMxNjACAAAABTIxNjc0BAAAAAEwBwAAAAk3LzExLzIwMjYIAAAACTYvMzAvMjAyNQkAAAABMLrvK2tv394ISjFtbm/f3gg/Q0lRLk5BU0RBUTpNU0ZULklRX0VCSVRBX0VRX0lOQ19FWENMX1NCQy45OTYuMTEvMDcvMjAyNi4uLlVTRC5IAQAAAEtVAAACAAAABTc3NjM0AQgAAAAFAAAAATEBAAAACy0yMDM2ODQzODQzAwAAAAMxNjACAAAABTI0MTMyBAAAAAEwBwAAAAk3LzExLzIwMjYIAAAACTYvMzAvMjAyMQkAAAABMLrvK2tv394ISjFtbm/f3gg+Q0lRLk5BU0RBUTpNU0ZULklRX0VCSVRfRVFfSU5DX0VYQ0xfU0JDLjk5OC4xMS8wNy8yMDI2Li4uVVNELkgBAAAAS1UAAAIAAAAFOTgxMzQBCAAAAAUAAAABMQEAAAALLTE5MzQyNTQyNTADAAAAAzE2MAIAAAAFMjQxMzAEAAAAATAHAAAACTcvMTEvMjAyNggAAAAJNi8zMC8yMDIzCQAAAAEwuu8ra2/f3ggPRW1ub9/eCEBDSVEuTkFTREFROk1TRlQuSVFfREVGRVJSRURfRk9SRUlHTl9UQVhFUy45OTguMTEvMDcvMjAyNi4uLlVTRC5IAQAA</t>
  </si>
  <si>
    <t>AEtVAAACAAAAAzU2NAEIAAAABQAAAAExAQAAAAstMTkzNDI1NDI1MAMAAAADMTYwAgAAAAQzMDU1BAAAAAEwBwAAAAk3LzExLzIwMjYIAAAACTYvMzAvMjAyMwkAAAABMLrvK2tv394I5Qltbm/f3gg+Q0lRLk5BU0RBUTpNU0ZULklRX0NVUlJfRE9NRVNUSUNfVEFYRVMuMTAwMC4xMS8wNy8yMDI2Li4uVVNELkgBAAAAS1UAAAIAAAAFMTc0MjgBCAAAAAUAAAABMQEAAAALLTE5MzQyNTQyMTYDAAAAAzE2MAIAAAAEMzAyNwQAAAABMAcAAAAJNy8xMS8yMDI2CAAAAAk2LzMwLzIwMjUJAAAAATC67ytrb9/eCOUJbW5v394IQUNJUS5OQVNEQVE6TVNGVC5JUV9FWENJU0VfVEFYRVNfSU5DTF9TQUxFUy45OTQuMTEvMDcvMjAyNi4uLlVTRC5IAQAAAEtVAAADAAAAAAC67ytrb9/eCEoxbW5v394IMUNJUS5OQVNEQVE6TVNGVC5JUV9OSV9TRkFTLjk5Ni4xMS8wNy8yMDI2Li4uVVNELkgBAAAAS1UAAAMAAAAAALrvK2tv394ISjFtbm/f3gg/Q0lRLk5BU0RBUTpNU0ZULklRX1RPVEFMX1JFVl9BU19SRVBPUlRFRC45OTguMTEvMDcvMjAyNi4uLlVTRC5IAQAAAEtVAAACAAAABjIxMTkxNQEIAAAABQAAAAExAQAAAAstMTkzNDI1NDI1MAMAAAADMTYwAgAAAAMzMzkEAAAAATAHAAAACTcvMTEvMjAyNggAAAAJNi8zMC8yMDIzCQAAAAEwuu8ra2/f3ghKMW1ub9/eCDRDSVEuTkFTREFROk1TRlQuSVFfQ09NTU9OX0RJ</t>
  </si>
  <si>
    <t>Vi45OTYuMTEvMDcvMjAyNi4uLlVTRC5IAQAAAEtVAAACAAAABTE2ODcxALrvK2tv394I5Qltbm/f3gg8Q0lRLk5BU0RBUTpNU0ZULklRX0RJU1RSSUJVVEFCTEVfQ0FTSC45OTQuMTEvMDcvMjAyNi4uLlVTRC5IAQAAAEtVAAADAAAAAAC67ytrb9/eCOUJbW5v394IPkNJUS5OQVNEQVE6TVNGVC5JUV9OT05DQVNIX1BFTlNJT05fRVhQLjEwMDAuMTEvMDcvMjAyNi4uLlVTRC5IAQAAAEtVAAADAAAAAAC67ytrb9/eCOUJbW5v394IOkNJUS5OQVNEQVE6TVNGVC5JUV9JTlRfRVhQX0lOQ0xfQ0FQLjk5NC4xMS8wNy8yMDI2Li4uVVNELkgBAAAAS1UAAAIAAAAEMjY4NgEIAAAABQAAAAExAQAAAAstMjE0MDk4MTQ2OQMAAAADMTYwAgAAAAUyMTg2MQQAAAABMAcAAAAJNy8xMS8yMDI2CAAAAAk2LzMwLzIwMTkJAAAAATC67ytrb9/eCOUJbW5v394IMkNJUS5OQVNEQVE6TVNGVC5JUV9ESUxVVF9OSS45OTYuMTEvMDcvMjAyNi4uLlVTRC5IAQAAAEtVAAACAAAABzYxMjQ0LjQBCAAAAAUAAAABMQEAAAALLTIwMzY4NDM4NDMDAAAAAzE2MAIAAAAEMzUyMgQAAAABMAcAAAAJNy8xMS8yMDI2CAAAAAk2LzMwLzIwMjEJAAAAATC67ytrb9/eCOUJbW5v394IN0NJUS5OQVNEQVE6TVNGVC5JUV9PVEhFUl9SRU5UQUwuMTAwMC4xMS8wNy8yMDI2Li4uVVNELkgBAAAAS1UAAAMAAAAAALrvK2tv394ILfZsbm/f3gg7Q0lR</t>
  </si>
  <si>
    <t>Lk5BU0RBUTpNU0ZULklRX0NPTlRJTkdFTlRfUkVOVEFMLjk5Ni4xMS8wNy8yMDI2Li4uVVNELkgBAAAAS1UAAAMAAAAAALrvK2tv394ILfZsbm/f3ggzQ0lRLk5BU0RBUTpNU0ZULklRX1JEX0VYUF9GTi45OTguMTEvMDcvMjAyNi4uLlVTRC5IAQAAAEtVAAACAAAABTI3MTk1AQgAAAAFAAAAATEBAAAACy0xOTM0MjU0MjUwAwAAAAMxNjACAAAABDMxNjgEAAAAATAHAAAACTcvMTEvMjAyNggAAAAJNi8zMC8yMDIzCQAAAAEwuu8ra2/f3gjlCW1ub9/eCDNDSVEuTkFTREFROk1TRlQuSVFfTUFSS0VUSU5HLjk5OC4xMS8wNy8yMDI2Li4uVVNELkgBAAAAS1UAAAMAAAAAALrvK2tv394I5Qltbm/f3ggtQ0lRLk5BU0RBUTpNU0ZULklRX0RJQy45OTYuMTEvMDcvMjAyNi4uLlVTRC5IAQAAAEtVAAADAAAAAAC67ytrb9/eCOUJbW5v394IO0NJUS5OQVNEQVE6TVNGVC5JUV9JTlNfU0VUVExFX1NVUFBMRS45OTQuMTEvMDcvMjAyNi4uLlVTRC5IAQAAAEtVAAADAAAAAAC67ytrb9/eCMzObG5v394IQENJUS5OQVNEQVE6TVNGVC5JUV9BU1NFVF9XUklURURPV05fU1VQUExFLjk5Ni4xMS8wNy8yMDI2Li4uVVNELkgBAAAAS1UAAAMAAAAAALrvK2tv394ILfZsbm/f3ghBQ0lRLk5BU0RBUTpNU0ZULklRX1NBTEFSSUVTX09USEVSX0JFTkVGSVRTLjk5OC4xMS8wNy8yMDI2Li4uVVNELkgBAAAAS1UAAAMAAAAAALrv</t>
  </si>
  <si>
    <t>K2tv394ILfZsbm/f3ghCQ0lRLk5BU0RBUTpNU0ZULklRX0VYUExPUkVfRFJJTExfRVhQX1RPVEFMLjEwMDAuMTEvMDcvMjAyNi4uLlVTRC5IAQAAAEtVAAADAAAAAAC67ytrb9/eCC32bG5v394IRENJUS5OQVNEQVE6TVNGVC5JUV9ERVBSRUNJQVRJT05fUkVOVEFMX0FTU0VUUy45OTQuMTEvMDcvMjAyNi4uLlVTRC5IAQAAAEtVAAADAAAAAAC67ytrb9/eCC32bG5v394IPENJUS5OQVNEQVE6TVNGVC5JUV9TVE9DS19CQVNFRF9UT1RBTC4xMDAwLjExLzA3LzIwMjYuLi5VU0QuSAEAAABLVQAAAgAAAAUxMTk3NAEIAAAABQAAAAExAQAAAAstMTkzNDI1NDIxNgMAAAADMTYwAgAAAAUyNDAzNAQAAAABMAcAAAAJNy8xMS8yMDI2CAAAAAk2LzMwLzIwMjUJAAAAATC67ytrb9/eCMzObG5v394IOENJUS5OQVNEQVE6TVNGVC5JUV9TVE9DS19CQVNFRF9BVC45OTQuMTEvMDcvMjAyNi4uLlVTRC5IAQAAAEtVAAADAAAAAAC67ytrb9/eCMzObG5v394IOENJUS5OQVNEQVE6TVNGVC5JUV9TVE9DS19CQVNFRF9HQS45OTYuMTEvMDcvMjAyNi4uLlVTRC5IAQAAAEtVAAADAAAAAAC67ytrb9/eCMzObG5v394IPkNJUS5OQVNEQVE6TVNGVC5JUV9ORUdBVElWRV9HV19BTU9SVF9BVC45OTguMTEvMDcvMjAyNi4uLlVTRC5IAQAAAEtVAAADAAAAAAC67ytrb9/eCMzObG5v394IPkNJUS5OQVNEQVE6TVNGVC5JUV9MRUdB</t>
  </si>
  <si>
    <t>TF9TRVRUTEVfU1VQUExFLjEwMDAuMTEvMDcvMjAyNi4uLlVTRC5IAQAAAEtVAAADAAAAAAC67ytrb9/eCMzObG5v394INUNJUS5OQVNEQVE6TVNGVC5JUV9PSUxfSU1QQUlSLjEwMDAuMTEvMDcvMjAyNi4uLlVTRC5IAQAAAEtVAAADAAAAAAC67ytrb9/eCMzObG5v394INUNJUS5OQVNEQVE6TVNGVC5JUV9EQV9TVVBQTF9DRi45OTYuMTEvMDcvMjAyNi4uLlVTRC5IAQAAAEtVAAACAAAABDkzMDABCAAAAAUAAAABMQEAAAALLTIwMzY4NDM4NDMDAAAAAzE2MAIAAAAEMjE3MQQAAAABMAcAAAAJNy8xMS8yMDI2CAAAAAk2LzMwLzIwMjEJAAAAATC67ytrb9/eCMzObG5v394IPkNJUS5OQVNEQVE6TVNGVC5JUV9TVE9DS19CQVNFRF9DT01QX1RBWC45OTYuMTEvMDcvMjAyNi4uLlVTRC5IAQAAAEtVAAACAAAABS0xMDY1ALrvK2tv394IzM5sbm/f3ghDQ0lRLk5BU0RBUTpNU0ZULklRX1NUT0NLX09QVElPTlNfQ09NUF9QUkVUQVguOTk4LjExLzA3LzIwMjYuLi5VU0QuSAEAAABLVQAAAwAAAAAAuu8ra2/f3gjMzmxub9/eCD5DSVEuTkFTREFROk1TRlQuSVFfUkVTVFJfU1RPQ0tfQ09NUF9UQVguOTk0LjExLzA3LzIwMjYuLi5VU0QuSAEAAABLVQAAAwAAAAAAuu8ra2/f3gjMzmxub9/eCC9DSVEuTkFTREFROk1TRlQuSVFfRE9fQ0YuOTk5LjExLzA3LzIwMjYuLi5VU0QuSAEAAABLVQAAAwAAAAAAuu8ra2/f</t>
  </si>
  <si>
    <t>3ghBumxub9/eCD1DSVEuTkFTREFROk1TRlQuSVFfVEFYX0JFTkVGSVRfT1BUSU9OUy45OTYuMTEvMDcvMjAyNi4uLlVTRC5IAQAAAEtVAAADAAAAAAC67ytrb9/eCEG6bG5v394IMkNJUS5OQVNEQVE6TVNGVC5JUV9MT0FOU19DRi45OTguMTEvMDcvMjAyNi4uLlVTRC5IAQAAAEtVAAADAAAAAAC67ytrb9/eCEG6bG5v394IOENJUS5OQVNEQVE6TVNGVC5JUV9HQUlOX0FTU0VUU19DRi45OTguMTEvMDcvMjAyNi4uLlVTRC5IAQAAAEtVAAADAAAAAAC67ytrb9/eCEG6bG5v394INUNJUS5OQVNEQVE6TVNGVC5JUV9PVEhFUl9BTU9SVC45OTQuMTEvMDcvMjAyNi4uLlVTRC5IAQAAAEtVAAADAAAAAAC67ytrb9/eCMzObG5v394IOUNJUS5OQVNEQVE6TVNGVC5JUV9JTlZFU1RfTE9BTlNfQ0YuOTk1LjExLzA3LzIwMjYuLi5VU0QuSAEAAABLVQAAAwAAAAAAGhcsa2/f3ghLpmxub9/eCDVDSVEuTkFTREFROk1TRlQuSVFfU0FMRV9QUEVfQ0YuOTk5LjExLzA3LzIwMjYuLi5VU0QuSAEAAABLVQAAAwAAAAAAGhcsa2/f3ghLpmxub9/eCDNDSVEuTkFTREFROk1TRlQuSVFfQ0FTSF9PUEVSLjk5Ny4xMS8wNy8yMDI2Li4uVVNELkgBAAAAS1UAAAIAAAAFODkwMzUBCAAAAAUAAAABMQEAAAALLTE5ODU5MzEyMjQDAAAAAzE2MAIAAAAEMjAwNgQAAAABMAcAAAAJNy8xMS8yMDI2CAAAAAk2LzMwLzIwMjIJAAAAATAa</t>
  </si>
  <si>
    <t>Fyxrb9/eCEumbG5v394IOENJUS5OQVNEQVE6TVNGVC5JUV9DSEFOR0VfREVGX1RBWC45OTUuMTEvMDcvMjAyNi4uLlVTRC5IAQAAAEtVAAADAAAAAAAaFyxrb9/eCEG6bG5v394IQENJUS5OQVNEQVE6TVNGVC5JUV9DSEFOR0VfVFJBRElOR19BU1NFVFMuMTAwMC4xMS8wNy8yMDI2Li4uVVNELkgBAAAAS1UAAAMAAAAAABoXLGtv394IQbpsbm/f3gg0Q0lRLk5BU0RBUTpNU0ZULklRX0NBU0hfRklOQU4uOTk1LjExLzA3LzIwMjYuLi5VU0QuSAEAAABLVQAAAgAAAAYtNDYwMzEBCAAAAAUAAAABMQEAAAALLTIwODc0OTY2MjcDAAAAAzE2MAIAAAAEMjAwNAQAAAABMAcAAAAJNy8xMS8yMDI2CAAAAAk2LzMwLzIwMjAJAAAAATAaFyxrb9/eCACSbG5v394INUNJUS5OQVNEQVE6TVNGVC5JUV9QUkVGX0RJVl9DRi45OTYuMTEvMDcvMjAyNi4uLlVTRC5IAQAAAEtVAAADAAAAAAAaFyxrb9/eCEumbG5v394IN0NJUS5OQVNEQVE6TVNGVC5JUV9DT01NT05fSVNTVUVELjk5NS4xMS8wNy8yMDI2Li4uVVNELkgBAAAAS1UAAAIAAAAEMTM0MwEIAAAABQAAAAExAQAAAAstMjA4NzQ5NjYyNwMAAAADMTYwAgAAAAQyMTY5BAAAAAEwBwAAAAk3LzExLzIwMjYIAAAACTYvMzAvMjAyMAkAAAABMBoXLGtv394IS6Zsbm/f3gg4Q0lRLk5BU0RBUTpNU0ZULklRX0xUX0RFQlRfUkVQQUlELjk5NC4xMS8wNy8yMDI2Li4uVVNE</t>
  </si>
  <si>
    <t>LkgBAAAAS1UAAAIAAAAFLTQwMDABCAAAAAUAAAABMQEAAAALLTIxNDA5ODE0NjkDAAAAAzE2MAIAAAAEMjAzNgQAAAABMAcAAAAJNy8xMS8yMDI2CAAAAAk2LzMwLzIwMTkJAAAAATAaFyxrb9/eCEumbG5v394IO0NJUS5OQVNEQVE6TVNGVC5JUV9UT1RBTF9ERUJUX0lTU1VFRC45OTQuMTEvMDcvMjAyNi4uLlVTRC5IAQAAAEtVAAADAAAAAAAaFyxrb9/eCEumbG5v394IOENJUS5OQVNEQVE6TVNGVC5JUV9DQVNIX0lOVEVSRVNULjEwMDAuMTEvMDcvMjAyNi4uLlVTRC5IAQAAAEtVAAACAAAABDE2MDABCAAAAAUAAAABMQEAAAALLTE5MzQyNTQyMTYDAAAAAzE2MAIAAAAEMzAyOAQAAAABMAcAAAAJNy8xMS8yMDI2CAAAAAk2LzMwLzIwMjUJAAAAATAaFyxrb9/eCACSbG5v394IRkNJUS5OQVNEQVE6TVNGVC5JUV9EQV9TVVBQTF9DRl9FWENMX09QRVJfTEVBU0VTLjk5OS4xMS8wNy8yMDI2Li4uVVNELkgBAAAAS1UAAAIAAAAFMTUyMDABCAAAAAUAAAABMQEAAAALLTE5MzQyNTQxODUDAAAAAzE2MAIAAAAFNDg5ODMEAAAAATAHAAAACTcvMTEvMjAyNggAAAAJNi8zMC8yMDI0CQAAAAEwGhcsa2/f3ggAkmxub9/eCDRDSVEuTkFTREFROk1TRlQuSVFfREVQUkVfU1VQUC45OTkuMTEvMDcvMjAyNi4uLlVTRC5IAQAAAEtVAAACAAAABTE1MjAwAQgAAAAFAAAAATEBAAAACy0xOTM0MjU0MTg1AwAAAAMxNjAC</t>
  </si>
  <si>
    <t>AAAABDIxNDMEAAAAATAHAAAACTcvMTEvMjAyNggAAAAJNi8zMC8yMDI0CQAAAAEwGhcsa2/f3ggAkmxub9/eCD1DSVEuTkFTREFROk1TRlQuSVFfREFfU1VQUExfUEFSVElBTF9DRi45OTUuMTEvMDcvMjAyNi4uLlVTRC5IAQAAAEtVAAADAAAAAAAaFyxrb9/eCACSbG5v394IOUNJUS5OQVNEQVE6TVNGVC5JUV9NSVNDX0FESlVTVF9DRi4xMDAwLjExLzA3LzIwMjYuLi5VU0QuSAEAAABLVQAAAwAAAAAAGhcsa2/f3ggAkmxub9/eCDNDSVEuTkFTREFROk1TRlQuSVFfTUFSS0VUSU5HLjk5Ny4xMS8wNy8yMDI2Li4uVVNELkgBAAAAS1UAAAMAAAAAABoXLGtv394IT35sbm/f3gg0Q0lRLk5BU0RBUTpNU0ZULklRX0NPTU1PTl9ESVYuOTk1LjExLzA3LzIwMjYuLi5VU0QuSAEAAABLVQAAAgAAAAUxNTQ4MwAaFyxrb9/eCE9+bG5v394IR0NJUS5OQVNEQVE6TVNGVC5JUV9UT1RBTF9ERUJUX1JFUEFJRF9FWENMX0xFQVNFUy45OTUuMTEvMDcvMjAyNi4uLlVTRC5IAQAAAEtVAAACAAAABS01NTE4AQgAAAAFAAAAATEBAAAACy0yMDg3NDk2NjI3AwAAAAMxNjACAAAABTQ4OTg2BAAAAAEwBwAAAAk3LzExLzIwMjYIAAAACTYvMzAvMjAyMAkAAAABMBoXLGtv394IT35sbm/f3gg7Q0lRLk5BU0RBUTpNU0ZULklRX0NBU0hfVEFYRVNfSU5WRVNULjk5OS4xMS8wNy8yMDI2Li4uVVNELkgBAAAAS1UAAAMAAAAAABoX</t>
  </si>
  <si>
    <t>LGtv394IT35sbm/f3gg+Q0lRLk5BU0RBUTpNU0ZULklRX0NBU0hfSU5URVJFU1RfSU5WRVNULjk5Ny4xMS8wNy8yMDI2Li4uVVNELkgBAAAAS1UAAAMAAAAAABoXLGtv394IT35sbm/f3ghBQ0lRLk5BU0RBUTpNU0ZULklRX1NBTEFSSUVTX09USEVSX0JFTkVGSVRTLjk5Ny4xMS8wNy8yMDI2Li4uVVNELkgBAAAAS1UAAAMAAAAAABoXLGtv394IBFdsbm/f3gg2Q0lRLk5BU0RBUTpNU0ZULklRX01BSU5UX1JFUEFJUi45OTcuMTEvMDcvMjAyNi4uLlVTRC5IAQAAAEtVAAADAAAAAAAaFyxrb9/eCARXbG5v394INkNJUS5OQVNEQVE6TVNGVC5JUV9PVEhFUl9SRU5UQUwuOTk5LjExLzA3LzIwMjYuLi5VU0QuSAEAAABLVQAAAwAAAAAAGhcsa2/f3ggEV2xub9/eCDtDSVEuTkFTREFROk1TRlQuSVFfQ09OVElOR0VOVF9SRU5UQUwuOTk1LjExLzA3LzIwMjYuLi5VU0QuSAEAAABLVQAAAwAAAAAAGhcsa2/f3ggEV2xub9/eCDtDSVEuTkFTREFROk1TRlQuSVFfTkVUX1JFTlRBTF9FWFBfRk4uOTk1LjExLzA3LzIwMjYuLi5VU0QuSAEAAABLVQAAAgAAAAQyMDQzAQgAAAAFAAAAATEBAAAACy0yMDg3NDk2NjI3AwAAAAMxNjACAAAABDMxNzAEAAAAATAHAAAACTcvMTEvMjAyNggAAAAJNi8zMC8yMDIwCQAAAAEwGhcsa2/f3ghPfmxub9/eCDhDSVEuTkFTREFROk1TRlQuSVFfU1RPQ0tfQkFTRURfR0EuOTk1LjEx</t>
  </si>
  <si>
    <t>LzA3LzIwMjYuLi5VU0QuSAEAAABLVQAAAwAAAAAAGhcsa2/f3ggEV2xub9/eCD5DSVEuTkFTREFROk1TRlQuSVFfTkVHQVRJVkVfR1dfQU1PUlRfQVQuOTk3LjExLzA3LzIwMjYuLi5VU0QuSAEAAABLVQAAAwAAAAAAGhcsa2/f3ggEV2xub9/eCD1DSVEuTkFTREFROk1TRlQuSVFfTEVHQUxfU0VUVExFX1NVUFBMRS45OTkuMTEvMDcvMjAyNi4uLlVTRC5IAQAAAEtVAAADAAAAAAAaFyxrb9/eCARXbG5v394IOkNJUS5OQVNEQVE6TVNGVC5JUV9HQUlOX0JBUkdBSU5fQUNRLjk5OS4xMS8wNy8yMDI2Li4uVVNELkgBAAAAS1UAAAMAAAAAABoXLGtv394IBFdsbm/f3ghAQ0lRLk5BU0RBUTpNU0ZULklRX0FTU0VUX1dSSVRFRE9XTl9TVVBQTEUuOTk1LjExLzA3LzIwMjYuLi5VU0QuSAEAAABLVQAAAwAAAAAAGhcsa2/f3ggEV2xub9/eCDhDSVEuTkFTREFROk1TRlQuSVFfR0FJTl9BU1NFVFNfQ0YuOTk3LjExLzA3LzIwMjYuLi5VU0QuSAEAAABLVQAAAwAAAAAAGhcsa2/f3gjeQmxub9/eCDRDSVEuTkFTREFROk1TRlQuSVFfT0lMX0lNUEFJUi45OTkuMTEvMDcvMjAyNi4uLlVTRC5IAQAAAEtVAAADAAAAAAAaFyxrb9/eCARXbG5v394IPkNJUS5OQVNEQVE6TVNGVC5JUV9TVE9DS19CQVNFRF9DT01QX1RBWC45OTUuMTEvMDcvMjAyNi4uLlVTRC5IAQAAAEtVAAACAAAABC05MzgAGhcsa2/f3ggEV2xub9/e</t>
  </si>
  <si>
    <t>CENDSVEuTkFTREFROk1TRlQuSVFfU1RPQ0tfT1BUSU9OU19DT01QX1BSRVRBWC45OTcuMTEvMDcvMjAyNi4uLlVTRC5IAQAAAEtVAAADAAAAAAAaFyxrb9/eCARXbG5v394IO0NJUS5OQVNEQVE6TVNGVC5JUV9TVE9DS19CQVNFRF9UT1RBTC45OTkuMTEvMDcvMjAyNi4uLlVTRC5IAQAAAEtVAAACAAAABTEwNzM0AQgAAAAFAAAAATEBAAAACy0xOTM0MjU0MTg1AwAAAAMxNjACAAAABTI0MDM0BAAAAAEwBwAAAAk3LzExLzIwMjYIAAAACTYvMzAvMjAyNAkAAAABMBoXLGtv394IBFdsbm/f3ggzQ0lRLk5BU0RBUTpNU0ZULklRX0NBU0hfT1BFUi45OTYuMTEvMDcvMjAyNi4uLlVTRC5IAQAAAEtVAAACAAAABTc2NzQwAQgAAAAFAAAAATEBAAAACy0yMDM2ODQzODQzAwAAAAMxNjACAAAABDIwMDYEAAAAATAHAAAACTcvMTEvMjAyNggAAAAJNi8zMC8yMDIxCQAAAAEwGhcsa2/f3gjeQmxub9/eCD9DSVEuTkFTREFROk1TRlQuSVFfQ0hBTkdFX1RSQURJTkdfQVNTRVRTLjk5OS4xMS8wNy8yMDI2Li4uVVNELkgBAAAAS1UAAAMAAAAAABoXLGtv394I3kJsbm/f3ggvQ0lRLk5BU0RBUTpNU0ZULklRX0RPX0NGLjk5Ny4xMS8wNy8yMDI2Li4uVVNELkgBAAAAS1UAAAMAAAAAABoXLGtv394I3kJsbm/f3gg9Q0lRLk5BU0RBUTpNU0ZULklRX1RBWF9CRU5FRklUX09QVElPTlMuOTk1LjExLzA3LzIwMjYuLi5VU0Qu</t>
  </si>
  <si>
    <t>SAEAAABLVQAAAwAAAAAAGhcsa2/f3gjeQmxub9/eCDhDSVEuTkFTREFROk1TRlQuSVFfQ1JFRElUX0xPU1NfQ0YuOTk1LjExLzA3LzIwMjYuLi5VU0QuSAEAAABLVQAAAwAAAAAAGhcsa2/f3gjeQmxub9/eCDhDSVEuTkFTREFROk1TRlQuSVFfTUlTQ19BREpVU1RfQ0YuOTk5LjExLzA3LzIwMjYuLi5VU0QuSAEAAABLVQAAAwAAAAAAGhcsa2/f3giDLmxub9/eCDxDSVEuTkFTREFROk1TRlQuSVFfVE9UQUxfRElWX1BBSURfQ0YuMTAwMC4xMS8wNy8yMDI2Li4uVVNELkgBAAAAS1UAAAIAAAAGLTI0MDgyAQgAAAAFAAAAATEBAAAACy0xOTM0MjU0MjE2AwAAAAMxNjACAAAABDIwMjIEAAAAATAHAAAACTcvMTEvMjAyNggAAAAJNi8zMC8yMDI1CQAAAAEwGhcsa2/f3giDLmxub9/eCDVDSVEuTkFTREFROk1TRlQuSVFfUFJFRl9ESVZfQ0YuOTk1LjExLzA3LzIwMjYuLi5VU0QuSAEAAABLVQAAAwAAAAAAGhcsa2/f3giDLmxub9/eCDRDSVEuTkFTREFROk1TRlQuSVFfRElWRVNUX0NGLjEwMDAuMTEvMDcvMjAyNi4uLlVTRC5IAQAAAEtVAAADAAAAAAAaFyxrb9/eCIMubG5v394INUNJUS5OQVNEQVE6TVNGVC5JUV9TQUxFX1BQRV9DRi45OTguMTEvMDcvMjAyNi4uLlVTRC5IAQAAAEtVAAADAAAAAAAaFyxrb9/eCIMubG5v394IN0NJUS5OQVNEQVE6TVNGVC5JUV9VTkxFVkVSRURfRkNGLjk5OS4xMS8wNy8y</t>
  </si>
  <si>
    <t>MDI2Li4uVVNELkgBAAAAS1UAAAIAAAAJNTg1ODEuNjI1AQgAAAAFAAAAATEBAAAACy0xOTM0MjU0MTg1AwAAAAMxNjACAAAABDQ0MjMEAAAAATAHAAAACTcvMTEvMjAyNggAAAAJNi8zMC8yMDI0CQAAAAEwGhcsa2/f3gg4Gmxub9/eCDtDSVEuTkFTREFROk1TRlQuSVFfQ0FTSF9JTlRFUkVTVF9ORVQuOTk3LjExLzA3LzIwMjYuLi5VU0QuSAEAAABLVQAAAwAAAAAAGhcsa2/f3gg4Gmxub9/eCEZDSVEuTkFTREFROk1TRlQuSVFfREFfU1VQUExfQ0ZfRVhDTF9PUEVSX0xFQVNFUy45OTguMTEvMDcvMjAyNi4uLlVTRC5IAQAAAEtVAAACAAAABTExMDAwAQgAAAAFAAAAATEBAAAACy0xOTM0MjU0MjUwAwAAAAMxNjACAAAABTQ4OTgzBAAAAAEwBwAAAAk3LzExLzIwMjYIAAAACTYvMzAvMjAyMwkAAAABMBoXLGtv394IOBpsbm/f3gg0Q0lRLk5BU0RBUTpNU0ZULklRX0RFUFJFX1NVUFAuOTk4LjExLzA3LzIwMjYuLi5VU0QuSAEAAABLVQAAAgAAAAUxMTAwMAEIAAAABQAAAAExAQAAAAstMTkzNDI1NDI1MAMAAAADMTYwAgAAAAQyMTQzBAAAAAEwBwAAAAk3LzExLzIwMjYIAAAACTYvMzAvMjAyMwkAAAABMBoXLGtv394IOBpsbm/f3gg9Q0lRLk5BU0RBUTpNU0ZULklRX0RBX1NVUFBMX1BBUlRJQUxfQ0YuOTk0LjExLzA3LzIwMjYuLi5VU0QuSAEAAABLVQAAAwAAAAAAGhcsa2/f3giDLmxub9/eCEBDSVEu</t>
  </si>
  <si>
    <t>TkFTREFROk1TRlQuSVFfQVNTRVRfV1JJVEVET1dOX1NVUFBMRS45OTQuMTEvMDcvMjAyNi4uLlVTRC5IAQAAAEtVAAADAAAAAAAaFyxrb9/eCMXxa25v394IOENJUS5OQVNEQVE6TVNGVC5JUV9NRVJHRVJfU1VQUExFLjEwMDAuMTEvMDcvMjAyNi4uLlVTRC5IAQAAAEtVAAADAAAAAAAaFyxrb9/eCMXxa25v394IPENJUS5OQVNEQVE6TVNGVC5JUV9SRVNUUlVDVFVSRV9TVVBQTEUuOTk0LjExLzA3LzIwMjYuLi5VU0QuSAEAAABLVQAAAwAAAAAAGhcsa2/f3gjF8Wtub9/eCDZDSVEuTkFTREFROk1TRlQuSVFfTUFJTlRfUkVQQUlSLjk5Ni4xMS8wNy8yMDI2Li4uVVNELkgBAAAAS1UAAAMAAAAAABoXLGtv394IvgVsbm/f3ghHQ0lRLk5BU0RBUTpNU0ZULklRX1RPVEFMX0RFQlRfUkVQQUlEX0VYQ0xfTEVBU0VTLjk5NC4xMS8wNy8yMDI2Li4uVVNELkgBAAAAS1UAAAIAAAAFLTQwMDABCAAAAAUAAAABMQEAAAALLTIxNDA5ODE0NjkDAAAAAzE2MAIAAAAFNDg5ODYEAAAAATAHAAAACTcvMTEvMjAyNggAAAAJNi8zMC8yMDE5CQAAAAEwGhcsa2/f3gi+BWxub9/eCDhDSVEuTkFTREFROk1TRlQuSVFfU1RPQ0tfQkFTRURfR0EuOTk0LjExLzA3LzIwMjYuLi5VU0QuSAEAAABLVQAAAwAAAAAAGhcsa2/f3gi93Wtub9/eCDlDSVEuTkFTREFROk1TRlQuSVFfU1RPQ0tfQkFTRURfUkQuMTAwMC4xMS8wNy8yMDI2</t>
  </si>
  <si>
    <t>Li4uVVNELkgBAAAAS1UAAAMAAAAAABoXLGtv394IxfFrbm/f3gg+Q0lRLk5BU0RBUTpNU0ZULklRX05FR0FUSVZFX0dXX0FNT1JUX0FULjk5Ni4xMS8wNy8yMDI2Li4uVVNELkgBAAAAS1UAAAMAAAAAABoXLGtv394IxfFrbm/f3gg+Q0lRLk5BU0RBUTpNU0ZULklRX09USEVSX1VOVVNVQUxfU1VQUExFLjk5Ni4xMS8wNy8yMDI2Li4uVVNELkgBAAAAS1UAAAMAAAAAABoXLGtv394IxfFrbm/f3gg6Q0lRLk5BU0RBUTpNU0ZULklRX0dBSU5fQkFSR0FJTl9BQ1EuOTk4LjExLzA3LzIwMjYuLi5VU0QuSAEAAABLVQAAAwAAAAAAGhcsa2/f3gjF8Wtub9/eCD5DSVEuTkFTREFROk1TRlQuSVFfU1RPQ0tfQkFTRURfQ09NUF9UQVguOTk0LjExLzA3LzIwMjYuLi5VU0QuSAEAAABLVQAAAgAAAAQtODE2ABoXLGtv394Ivd1rbm/f3gg9Q0lRLk5BU0RBUTpNU0ZULklRX1NUT0NLX09QVElPTlNfQ09NUC4xMDAwLjExLzA3LzIwMjYuLi5VU0QuSAEAAABLVQAAAwAAAAAAGhcsa2/f3gi93Wtub9/eCENDSVEuTkFTREFROk1TRlQuSVFfU1RPQ0tfT1BUSU9OU19DT01QX1BSRVRBWC45OTYuMTEvMDcvMjAyNi4uLlVTRC5IAQAAAEtVAAADAAAAAAAaFyxrb9/eCL3da25v394IO0NJUS5OQVNEQVE6TVNGVC5JUV9TVE9DS19CQVNFRF9UT1RBTC45OTguMTEvMDcvMjAyNi4uLlVTRC5IAQAAAEtVAAACAAAABDk2MTEBCAAA</t>
  </si>
  <si>
    <t>AAUAAAABMQEAAAALLTE5MzQyNTQyNTADAAAAAzE2MAIAAAAFMjQwMzQEAAAAATAHAAAACTcvMTEvMjAyNggAAAAJNi8zMC8yMDIzCQAAAAEwGhcsa2/f3gi93Wtub9/eCENDSVEuTkFTREFROk1TRlQuSVFfU1RPQ0tfQkFTRURfRVhQTE9SRV9EUklMTC45OTguMTEvMDcvMjAyNi4uLlVTRC5IAQAAAEtVAAADAAAAAAAaFyxrb9/eCL3da25v394IOENJUS5OQVNEQVE6TVNGVC5JUV9JTkNfRVFVSVRZX0NGLjEwMDAuMTEvMDcvMjAyNi4uLlVTRC5IAQAAAEtVAAADAAAAAAAaFyxrb9/eCAfKa25v394IOENJUS5OQVNEQVE6TVNGVC5JUV9DUkVESVRfTE9TU19DRi45OTQuMTEvMDcvMjAyNi4uLlVTRC5IAQAAAEtVAAADAAAAAAAaFyxrb9/eCAfKa25v394IOENJUS5OQVNEQVE6TVNGVC5JUV9HQUlOX0FTU0VUU19DRi45OTYuMTEvMDcvMjAyNi4uLlVTRC5IAQAAAEtVAAADAAAAAAAaFyxrb9/eCAfKa25v394INENJUS5OQVNEQVE6TVNGVC5JUV9PSUxfSU1QQUlSLjk5OC4xMS8wNy8yMDI2Li4uVVNELkgBAAAAS1UAAAMAAAAAABoXLGtv394IB8prbm/f3gg7Q0lRLk5BU0RBUTpNU0ZULklRX1NUT0NLX0JBU0VEX0NPTVAuMTAwMC4xMS8wNy8yMDI2Li4uVVNELkgBAAAAS1UAAAIAAAAEOTk0NwAaFyxrb9/eCAfKa25v394IM0NJUS5OQVNEQVE6TVNGVC5JUV9ESVZFU1RfQ0YuOTk5LjExLzA3LzIwMjYuLi5V</t>
  </si>
  <si>
    <t>U0QuSAEAAABLVQAAAwAAAAAAGhcsa2/f3gjEomtub9/eCDVDSVEuTkFTREFROk1TRlQuSVFfU0FMRV9QUEVfQ0YuOTk3LjExLzA3LzIwMjYuLi5VU0QuSAEAAABLVQAAAwAAAAAAGhcsa2/f3gjEomtub9/eCDpDSVEuTkFTREFROk1TRlQuSVFfQ0hBTkdFX0lOVkVOVE9SWS45OTkuMTEvMDcvMjAyNi4uLlVTRC5IAQAAAEtVAAACAAAABDEyODQBCAAAAAUAAAABMQEAAAALLTE5MzQyNTQxODUDAAAAAzE2MAIAAAAEMjA5OQQAAAABMAcAAAAJNy8xMS8yMDI2CAAAAAk2LzMwLzIwMjQJAAAAATAaFyxrb9/eCMSia25v394IP0NJUS5OQVNEQVE6TVNGVC5JUV9DSEFOR0VfVFJBRElOR19BU1NFVFMuOTk4LjExLzA3LzIwMjYuLi5VU0QuSAEAAABLVQAAAwAAAAAAGhcsa2/f3gjEomtub9/eCC9DSVEuTkFTREFROk1TRlQuSVFfRE9fQ0YuOTk2LjExLzA3LzIwMjYuLi5VU0QuSAEAAABLVQAAAwAAAAAAGhcsa2/f3ggHymtub9/eCEBDSVEuTkFTREFROk1TRlQuSVFfREFfQ0ZfRVhDTF9PUEVSX0xFQVNFUy45OTQuMTEvMDcvMjAyNi4uLlVTRC5IAQAAAEtVAAACAAAABTExNjAwAQgAAAAFAAAAATEBAAAACy0yMTQwOTgxNDY5AwAAAAMxNjACAAAABTQ4OTg1BAAAAAEwBwAAAAk3LzExLzIwMjYIAAAACTYvMzAvMjAxOQkAAAABMBoXLGtv394IxKJrbm/f3ghHQ0lRLk5BU0RBUTpNU0ZULklRX0RFUFJFQ0lBVElP</t>
  </si>
  <si>
    <t>Tl9SRU5UQUxfQVNTRVRTX0NGLjk5NS4xMS8wNy8yMDI2Li4uVVNELkgBAAAAS1UAAAMAAAAAABoXLGtv394IxKJrbm/f3gg4Q0lRLk5BU0RBUTpNU0ZULklRX01JU0NfQURKVVNUX0NGLjk5OC4xMS8wNy8yMDI2Li4uVVNELkgBAAAAS1UAAAMAAAAAABoXLGtv394IxKJrbm/f3gg7Q0lRLk5BU0RBUTpNU0ZULklRX1RPVEFMX0RJVl9QQUlEX0NGLjk5OS4xMS8wNy8yMDI2Li4uVVNELkgBAAAAS1UAAAIAAAAGLTIxNzcxAQgAAAAFAAAAATEBAAAACy0xOTM0MjU0MTg1AwAAAAMxNjACAAAABDIwMjIEAAAAATAHAAAACTcvMTEvMjAyNggAAAAJNi8zMC8yMDI0CQAAAAEwGhcsa2/f3gjEomtub9/eCDVDSVEuTkFTREFROk1TRlQuSVFfUFJFRl9JU1NVRUQuOTk5LjExLzA3LzIwMjYuLi5VU0QuSAEAAABLVQAAAwAAAAAAGhcsa2/f3gjEomtub9/eCDdDSVEuTkFTREFROk1TRlQuSVFfTUVSR0VSX1NVUFBMRS45OTkuMTEvMDcvMjAyNi4uLlVTRC5IAQAAAEtVAAADAAAAAAAaFyxrb9/eCAqPa25v394IN0NJUS5OQVNEQVE6TVNGVC5JUV9ET19GSU5BTkNFX0NGLjk5NS4xMS8wNy8yMDI2Li4uVVNELkgBAAAAS1UAAAMAAAAAABoXLGtv394IxKJrbm/f3ggyQ0lRLk5BU0RBUTpNU0ZULklRX0NGX1NIQVJFLjk5NC4xMS8wNy8yMDI2Li4uVVNELkgBAAAAS1UAAAIAAAAINC45ODYzMTUBCAAAAAUAAAABMQEAAAAL</t>
  </si>
  <si>
    <t>LTIxNDA5ODE0NjkDAAAAAzE2MAIAAAAFNDM5MjMEAAAAATAHAAAACTcvMTEvMjAyNggAAAAJNi8zMC8yMDE5CQAAAAEwGhcsa2/f3gjEomtub9/eCDtDSVEuTkFTREFROk1TRlQuSVFfQ0FTSF9UQVhFU19GSU5BTi4xMDAwLjExLzA3LzIwMjYuLi5VU0QuSAEAAABLVQAAAwAAAAAAGhcsa2/f3gjEomtub9/eCDtDSVEuTkFTREFROk1TRlQuSVFfQ0FTSF9JTlRFUkVTVF9ORVQuOTk0LjExLzA3LzIwMjYuLi5VU0QuSAEAAABLVQAAAwAAAAAAGhcsa2/f3gjEomtub9/eCEFDSVEuTkFTREFROk1TRlQuSVFfUkVTVFJfU1RPQ0tfQ09NUF9QUkVUQVguOTk1LjExLzA3LzIwMjYuLi5VU0QuSAEAAABLVQAAAwAAAAAAGhcsa2/f3ggKj2tub9/eCENDSVEuTkFTREFROk1TRlQuSVFfU1RPQ0tfQkFTRURfRVhQTE9SRV9EUklMTC45OTcuMTEvMDcvMjAyNi4uLlVTRC5IAQAAAEtVAAADAAAAAAAaFyxrb9/eCAqPa25v394IOENJUS5OQVNEQVE6TVNGVC5JUV9TVE9DS19CQVNFRF9SRC45OTkuMTEvMDcvMjAyNi4uLlVTRC5IAQAAAEtVAAADAAAAAAAaFyxrb9/eCAqPa25v394IPkNJUS5OQVNEQVE6TVNGVC5JUV9PVEhFUl9VTlVTVUFMX1NVUFBMRS45OTUuMTEvMDcvMjAyNi4uLlVTRC5IAQAAAEtVAAADAAAAAAAaFyxrb9/eCAqPa25v394IOkNJUS5OQVNEQVE6TVNGVC5JUV9HQUlOX0JBUkdBSU5fQUNRLjk5Ny4x</t>
  </si>
  <si>
    <t>MS8wNy8yMDI2Li4uVVNELkgBAAAAS1UAAAMAAAAAABoXLGtv394ICo9rbm/f3gg4Q0lRLk5BU0RBUTpNU0ZULklRX0dBSU5fQVNTRVRTX0NGLjk5NS4xMS8wNy8yMDI2Li4uVVNELkgBAAAAS1UAAAMAAAAAABoXLGtv394Is2drbm/f3gg0Q0lRLk5BU0RBUTpNU0ZULklRX09JTF9JTVBBSVIuOTk3LjExLzA3LzIwMjYuLi5VU0QuSAEAAABLVQAAAwAAAAAAGhcsa2/f3gizZ2tub9/eCC9DSVEuTkFTREFROk1TRlQuSVFfTklfQ0YuOTk3LjExLzA3LzIwMjYuLi5VU0QuSAEAAABLVQAAAgAAAAU3MjczOAEIAAAABQAAAAExAQAAAAstMTk4NTkzMTIyNAMAAAADMTYwAgAAAAQyMTUwBAAAAAEwBwAAAAk3LzExLzIwMjYIAAAACTYvMzAvMjAyMgkAAAABMBoXLGtv394Is2drbm/f3gg8Q0lRLk5BU0RBUTpNU0ZULklRX1NUT0NLX09QVElPTlNfQ09NUC45OTkuMTEvMDcvMjAyNi4uLlVTRC5IAQAAAEtVAAADAAAAAAAaFyxrb9/eCLNna25v394IQ0NJUS5OQVNEQVE6TVNGVC5JUV9TVE9DS19PUFRJT05TX0NPTVBfUFJFVEFYLjk5NS4xMS8wNy8yMDI2Li4uVVNELkgBAAAAS1UAAAMAAAAAABoXLGtv394Is2drbm/f3gg8Q0lRLk5BU0RBUTpNU0ZULklRX0NIQU5HRV9VTkVBUk5fUkVWLjEwMDAuMTEvMDcvMjAyNi4uLlVTRC5IAQAAAEtVAAACAAAABDU0MzgBCAAAAAUAAAABMQEAAAALLTE5MzQyNTQyMTYDAAAA</t>
  </si>
  <si>
    <t>AzE2MAIAAAAEMjEzOQQAAAABMAcAAAAJNy8xMS8yMDI2CAAAAAk2LzMwLzIwMjUJAAAAATAaFyxrb9/eCLNna25v394IOkNJUS5OQVNEQVE6TVNGVC5JUV9DSEFOR0VfSU5WRU5UT1JZLjk5OC4xMS8wNy8yMDI2Li4uVVNELkgBAAAAS1UAAAIAAAAEMTI0MgEIAAAABQAAAAExAQAAAAstMTkzNDI1NDI1MAMAAAADMTYwAgAAAAQyMDk5BAAAAAEwBwAAAAk3LzExLzIwMjYIAAAACTYvMzAvMjAyMwkAAAABMBoXLGtv394Is2drbm/f3gg/Q0lRLk5BU0RBUTpNU0ZULklRX0NIQU5HRV9UUkFESU5HX0FTU0VUUy45OTcuMTEvMDcvMjAyNi4uLlVTRC5IAQAAAEtVAAADAAAAAAAaFyxrb9/eCLNna25v394IN0NJUS5OQVNEQVE6TVNGVC5JUV9JTkNfRVFVSVRZX0NGLjk5OS4xMS8wNy8yMDI2Li4uVVNELkgBAAAAS1UAAAMAAAAAABoXLGtv394Is2drbm/f3gg8Q0lRLk5BU0RBUTpNU0ZULklRX0FTU0VUX1dSSVRFRE9XTl9DRi45OTkuMTEvMDcvMjAyNi4uLlVTRC5IAQAAAEtVAAADAAAAAAAaFyxrb9/eCLNna25v394IO0NJUS5OQVNEQVE6TVNGVC5JUV9UT1RBTF9ESVZfUEFJRF9DRi45OTguMTEvMDcvMjAyNi4uLlVTRC5IAQAAAEtVAAACAAAABi0xOTgwMAEIAAAABQAAAAExAQAAAAstMTkzNDI1NDI1MAMAAAADMTYwAgAAAAQyMDIyBAAAAAEwBwAAAAk3LzExLzIwMjYIAAAACTYvMzAvMjAyMwkAAAABMBoX</t>
  </si>
  <si>
    <t>LGtv394IZ1Nrbm/f3ggyQ0lRLk5BU0RBUTpNU0ZULklRX1BSRUZfUkVQLjk5NS4xMS8wNy8yMDI2Li4uVVNELkgBAAAAS1UAAAMAAAAAABoXLGtv394IZ1Nrbm/f3gg4Q0lRLk5BU0RBUTpNU0ZULklRX1NBTEVfSU5UQU5fQ0YuMTAwMC4xMS8wNy8yMDI2Li4uVVNELkgBAAAAS1UAAAMAAAAAABoXLGtv394IZ1Nrbm/f3ggzQ0lRLk5BU0RBUTpNU0ZULklRX0RJVkVTVF9DRi45OTguMTEvMDcvMjAyNi4uLlVTRC5IAQAAAEtVAAADAAAAAAAaFyxrb9/eCGdTa25v394IOUNJUS5OQVNEQVE6TVNGVC5JUV9DQVNIX0FDUVVJUkVfQ0YuOTk0LjExLzA3LzIwMjYuLi5VU0QuSAEAAABLVQAAAgAAAAUtMjM4OAEIAAAABQAAAAExAQAAAAstMjE0MDk4MTQ2OQMAAAADMTYwAgAAAAQyMDU3BAAAAAEwBwAAAAk3LzExLzIwMjYIAAAACTYvMzAvMjAxOQkAAAABMBoXLGtv394Is2drbm/f3gg2Q0lRLk5BU0RBUTpNU0ZULklRX09USEVSX0FNT1JULjEwMDAuMTEvMDcvMjAyNi4uLlVTRC5IAQAAAEtVAAADAAAAAAAaFyxrb9/eCLM/a25v394IL0NJUS5OQVNEQVE6TVNGVC5JUV9EQV9DRi45OTQuMTEvMDcvMjAyNi4uLlVTRC5IAQAAAEtVAAACAAAABTExNjAwAQgAAAAFAAAAATEBAAAACy0yMTQwOTgxNDY5AwAAAAMxNjACAAAABDIxNjAEAAAAATAHAAAACTcvMTEvMjAyNggAAAAJNi8zMC8yMDE5CQAAAAEwGhcsa2/f</t>
  </si>
  <si>
    <t>3gizP2tub9/eCC9DSVEuTkFTREFROk1TRlQuSVFfTklfQ0YuOTk2LjExLzA3LzIwMjYuLi5VU0QuSAEAAABLVQAAAgAAAAU2MTI3MQEIAAAABQAAAAExAQAAAAstMjAzNjg0Mzg0MwMAAAADMTYwAgAAAAQyMTUwBAAAAAEwBwAAAAk3LzExLzIwMjYIAAAACTYvMzAvMjAyMQkAAAABMBoXLGtv394Isz9rbm/f3gg9Q0lRLk5BU0RBUTpNU0ZULklRX0dBSU5fQkFSR0FJTl9BQ1FfQ0YuOTk0LjExLzA3LzIwMjYuLi5VU0QuSAEAAABLVQAAAwAAAAAAGhcsa2/f3ghnU2tub9/eCDRDSVEuTkFTREFROk1TRlQuSVFfTkVUX0NIQU5HRS45OTUuMTEvMDcvMjAyNi4uLlVTRC5IAQAAAEtVAAACAAAABDIyMjABCAAAAAUAAAABMQEAAAALLTIwODc0OTY2MjcDAAAAAzE2MAIAAAAEMjA5MwQAAAABMAcAAAAJNy8xMS8yMDI2CAAAAAk2LzMwLzIwMjAJAAAAATAaFyxrb9/eCGdTa25v394IO0NJUS5OQVNEQVE6TVNGVC5JUV9DSEFOR0VfVU5FQVJOX1JFVi45OTkuMTEvMDcvMjAyNi4uLlVTRC5IAQAAAEtVAAACAAAABDUzNDgBCAAAAAUAAAABMQEAAAALLTE5MzQyNTQxODUDAAAAAzE2MAIAAAAEMjEzOQQAAAABMAcAAAAJNy8xMS8yMDI2CAAAAAk2LzMwLzIwMjQJAAAAATAaFyxrb9/eCGwYa25v394IM0NJUS5OQVNEQVE6TVNGVC5JUV9DSEFOR0VfQVAuOTk1LjExLzA3LzIwMjYuLi5VU0QuSAEAAABLVQAAAgAAAAQz</t>
  </si>
  <si>
    <t>MDE4AQgAAAAFAAAAATEBAAAACy0yMDg3NDk2NjI3AwAAAAMxNjACAAAABDIwMTcEAAAAATAHAAAACTcvMTEvMjAyNggAAAAJNi8zMC8yMDIwCQAAAAEwGhcsa2/f3ghsGGtub9/eCDhDSVEuTkFTREFROk1TRlQuSVFfU1RPQ0tfQkFTRURfQ0YuOTk2LjExLzA3LzIwMjYuLi5VU0QuSAEAAABLVQAAAgAAAAQ2MTE4AQgAAAAFAAAAATEBAAAACy0yMDM2ODQzODQzAwAAAAMxNjACAAAABDIxMjcEAAAAATAHAAAACTcvMTEvMjAyNggAAAAJNi8zMC8yMDIxCQAAAAEwGhcsa2/f3gizP2tub9/eCDxDSVEuTkFTREFROk1TRlQuSVFfQVNTRVRfV1JJVEVET1dOX0NGLjk5OC4xMS8wNy8yMDI2Li4uVVNELkgBAAAAS1UAAAMAAAAAAMwqLGtv394Isz9rbm/f3gg4Q0lRLk5BU0RBUTpNU0ZULklRX0dBSU5fQVNTRVRTX0NGLjk5NC4xMS8wNy8yMDI2Li4uVVNELkgBAAAAS1UAAAMAAAAAAMwqLGtv394Isz9rbm/f3gg4Q0lRLk5BU0RBUTpNU0ZULklRX0xUX0RFQlRfUkVQQUlELjk5OS4xMS8wNy8yMDI2Li4uVVNELkgBAAAAS1UAAAIAAAAGLTI5MDcwAQgAAAAFAAAAATEBAAAACy0xOTM0MjU0MTg1AwAAAAMxNjACAAAABDIwMzYEAAAAATAHAAAACTcvMTEvMjAyNggAAAAJNi8zMC8yMDI0CQAAAAEwzCosa2/f3ghsGGtub9/eCDtDSVEuTkFTREFROk1TRlQuSVFfVE9UQUxfREVCVF9JU1NVRUQuOTk5LjExLzA3LzIw</t>
  </si>
  <si>
    <t>MjYuLi5VU0QuSAEAAABLVQAAAgAAAAUyOTY0NQEIAAAABQAAAAExAQAAAAstMTkzNDI1NDE4NQMAAAADMTYwAgAAAAQyMTYxBAAAAAEwBwAAAAk3LzExLzIwMjYIAAAACTYvMzAvMjAyNAkAAAABMMwqLGtv394IbBhrbm/f3gg6Q0lRLk5BU0RBUTpNU0ZULklRX0lOVkVTVF9MT0FOU19DRi4xMDAwLjExLzA3LzIwMjYuLi5VU0QuSAEAAABLVQAAAwAAAAAAzCosa2/f3ghsGGtub9/eCDdDSVEuTkFTREFROk1TRlQuSVFfU0FMRV9JTlRBTl9DRi45OTkuMTEvMDcvMjAyNi4uLlVTRC5IAQAAAEtVAAADAAAAAADMKixrb9/eCGwYa25v394IPUNJUS5OQVNEQVE6TVNGVC5JUV9TQUxFX1JFQUxfRVNUQVRFX0NGLjk5NS4xMS8wNy8yMDI2Li4uVVNELkgBAAAAS1UAAAMAAAAAAMwqLGtv394IbBhrbm/f3gg1Q0lRLk5BU0RBUTpNU0ZULklRX0NBU0hfRklOQU4uMTAwMC4xMS8wNy8yMDI2Li4uVVNELkgBAAAAS1UAAAIAAAAGLTUxNjk5AQgAAAAFAAAAATEBAAAACy0xOTM0MjU0MjE2AwAAAAMxNjACAAAABDIwMDQEAAAAATAHAAAACTcvMTEvMjAyNggAAAAJNi8zMC8yMDI1CQAAAAEwzCosa2/f3ghsGGtub9/eCDhDSVEuTkFTREFROk1TRlQuSVFfU1BFQ0lBTF9ESVZfQ0YuOTk0LjExLzA3LzIwMjYuLi5VU0QuSAEAAABLVQAAAwAAAAAAzCosa2/f3ghsGGtub9/eCDZDSVEuTkFTREFROk1TRlQuSVFfUFJFRl9E</t>
  </si>
  <si>
    <t>SVZfQ0YuMTAwMC4xMS8wNy8yMDI2Li4uVVNELkgBAAAAS1UAAAMAAAAAAMwqLGtv394IbBhrbm/f3ggyQ0lRLk5BU0RBUTpNU0ZULklRX1BSRUZfUkVQLjk5NC4xMS8wNy8yMDI2Li4uVVNELkgBAAAAS1UAAAMAAAAAAMwqLGtv394IbBhrbm/f3gg4Q0lRLk5BU0RBUTpNU0ZULklRX0NPTU1PTl9JU1NVRUQuMTAwMC4xMS8wNy8yMDI2Li4uVVNELkgBAAAAS1UAAAIAAAAEMjA1NgEIAAAABQAAAAExAQAAAAstMTkzNDI1NDIxNgMAAAADMTYwAgAAAAQyMTY5BAAAAAEwBwAAAAk3LzExLzIwMjYIAAAACTYvMzAvMjAyNQkAAAABMMwqLGtv394IbBhrbm/f3ghCQ0lRLk5BU0RBUTpNU0ZULklRX09QRVJBVElOR19MRUFTRV9QQVlNRU5UUy45OTQuMTEvMDcvMjAyNi4uLlVTRC5IAQAAAEtVAAADAAAAAADMKixrb9/eCLkEa25v394IPUNJUS5OQVNEQVE6TVNGVC5JUV9DQVNIX0lOVEVSRVNUX0ZJTkFOLjk5OS4xMS8wNy8yMDI2Li4uVVNELkgBAAAAS1UAAAMAAAAAAMwqLGtv394IuQRrbm/f3ghCQ0lRLk5BU0RBUTpNU0ZULklRX0FNT1JUX1NPRlRXQVJFX0FTU0VUU19DRi45OTcuMTEvMDcvMjAyNi4uLlVTRC5IAQAAAEtVAAADAAAAAADMKixrb9/eCLkEa25v394IQENJUS5OQVNEQVE6TVNGVC5JUV9EQV9DRl9FWENMX09QRVJfTEVBU0VTLjk5OC4xMS8wNy8yMDI2Li4uVVNELkgBAAAAS1UAAAIAAAAFMTM1</t>
  </si>
  <si>
    <t>MDABCAAAAAUAAAABMQEAAAALLTE5MzQyNTQyNTADAAAAAzE2MAIAAAAFNDg5ODUEAAAAATAHAAAACTcvMTEvMjAyNggAAAAJNi8zMC8yMDIzCQAAAAEwzCosa2/f3gi5BGtub9/eCD1DSVEuTkFTREFROk1TRlQuSVFfREFfU1VQUExfUEFSVElBTF9DRi45OTkuMTEvMDcvMjAyNi4uLlVTRC5IAQAAAEtVAAADAAAAAADMKixrb9/eCLkEa25v394IQUNJUS5OQVNEQVE6TVNGVC5JUV9FWENJU0VfVEFYRVNfSU5DTF9TQUxFUy45OTkuMTEvMDcvMjAyNi4uLlVTRC5IAQAAAEtVAAADAAAAAADMKixrb9/eCHTdam5v394IO0NJUS5OQVNEQVE6TVNGVC5JUV9JTlZFU1RNRU5UX0lOQ09NRS45OTUuMTEvMDcvMjAyNi4uLlVTRC5IAQAAAEtVAAADAAAAAADMKixrb9/eCHTdam5v394IQ0NJUS5OQVNEQVE6TVNGVC5JUV9FQVJOSU5HX1BBUkVOVF9FWENMX0VYVFJBLjk5NS4xMS8wNy8yMDI2Li4uVVNELkgBAAAAS1UAAAIAAAAFNDQyODEBCAAAAAUAAAABMQEAAAALLTIwODc0OTY2MjcDAAAAAzE2MAIAAAAFNDE1OTYEAAAAATAHAAAACTcvMTEvMjAyNggAAAAJNi8zMC8yMDIwCQAAAAEwzCosa2/f3gh03Wpub9/eCEFDSVEuTkFTREFROk1TRlQuSVFfRUJJVERBUl9FUV9JTkNfRVhDTF9TQkMuOTk5LjExLzA3LzIwMjYuLi5VU0QuSAEAAABLVQAAAgAAAAYxNDM3MjIBCAAAAAUAAAABMQEAAAALLTE5MzQyNTQxODUD</t>
  </si>
  <si>
    <t>AAAAAzE2MAIAAAAFMjQxMzMEAAAAATAHAAAACTcvMTEvMjAyNggAAAAJNi8zMC8yMDI0CQAAAAEwzCosa2/f3gi5BGtub9/eCD1DSVEuTkFTREFROk1TRlQuSVFfR0FJTl9CQVJHQUlOX0FDUV9DRi45OTcuMTEvMDcvMjAyNi4uLlVTRC5IAQAAAEtVAAADAAAAAADMKixrb9/eCLkEa25v394IPENJUS5OQVNEQVE6TVNGVC5JUV9ESVNUUklCVVRBQkxFX0NBU0guOTk5LjExLzA3LzIwMjYuLi5VU0QuSAEAAABLVQAAAwAAAAAAzCosa2/f3gh03Wpub9/eCDpDSVEuTkFTREFROk1TRlQuSVFfSU5UX0VYUF9JTkNMX0NBUC45OTkuMTEvMDcvMjAyNi4uLlVTRC5IAQAAAEtVAAACAAAABDI5ODMBCAAAAAUAAAABMQEAAAALLTE5MzQyNTQxODUDAAAAAzE2MAIAAAAFMjE4NjEEAAAAATAHAAAACTcvMTEvMjAyNggAAAAJNi8zMC8yMDI0CQAAAAEwzCosa2/f3gh03Wpub9/eCDVDSVEuTkFTREFROk1TRlQuSVFfSU5UX0VYUF9MVEQuOTk1LjExLzA3LzIwMjYuLi5VU0QuSAEAAABLVQAAAgAAAAMzMzYBCAAAAAUAAAABMQEAAAALLTIwODc0OTY2MjcDAAAAAzE2MAIAAAAEMzEwMQQAAAABMAcAAAAJNy8xMS8yMDI2CAAAAAk2LzMwLzIwMjAJAAAAATDMKixrb9/eCHTdam5v394IQ0NJUS5OQVNEQVE6TVNGVC5JUV9OT05SRUNVUlJJTkdfSU5DT01FX1RBWEVTLjk5Ny4xMS8wNy8yMDI2Li4uVVNELkgBAAAAS1UAAAMA</t>
  </si>
  <si>
    <t>AAAAAMwqLGtv394IdN1qbm/f3ghBQ0lRLk5BU0RBUTpNU0ZULklRX0RFRkVSUkVEX0RPTUVTVElDX1RBWEVTLjk5Ny4xMS8wNy8yMDI2Li4uVVNELkgBAAAAS1UAAAIAAAAFLTU4NzcBCAAAAAUAAAABMQEAAAALLTE5ODU5MzEyMjQDAAAAAzE2MAIAAAAEMzA1NAQAAAABMAcAAAAJNy8xMS8yMDI2CAAAAAk2LzMwLzIwMjIJAAAAATDMKixrb9/eCHTdam5v394IP0NJUS5OQVNEQVE6TVNGVC5JUV9JTVBVVF9PUEVSX0xFQVNFX0RFUFIuOTk3LjExLzA3LzIwMjYuLi5VU0QuSAEAAABLVQAAAgAAAAsxOTU5LjM2OTQ0OAEIAAAABQAAAAExAQAAAAstMTk4NTkzMTIyNAMAAAADMTYwAgAAAAUyMTY3MwQAAAABMAcAAAAJNy8xMS8yMDI2CAAAAAk2LzMwLzIwMjIJAAAAATDMKixrb9/eCMPJam5v394IRENJUS5OQVNEQVE6TVNGVC5JUV9ERVBSRUNJQVRJT05fUkVOVEFMX0FTU0VUUy45OTkuMTEvMDcvMjAyNi4uLlVTRC5IAQAAAEtVAAADAAAAAADMKixrb9/eCHTdam5v394IP0NJUS5OQVNEQVE6TVNGVC5JUV9ORVRfUkVOVEFMX0VYUF9TVVBQTEUuOTk1LjExLzA3LzIwMjYuLi5VU0QuSAEAAABLVQAAAgAAAAQyMDQzAQgAAAAFAAAAATEBAAAACy0yMDg3NDk2NjI3AwAAAAMxNjACAAAABTI0MjYzBAAAAAEwBwAAAAk3LzExLzIwMjYIAAAACTYvMzAvMjAyMAkAAAABMMwqLGtv394IdN1qbm/f3ggwQ0lRLk5B</t>
  </si>
  <si>
    <t>U0RBUTpNU0ZULklRX0dBX0VYUC45OTcuMTEvMDcvMjAyNi4uLlVTRC5IAQAAAEtVAAACAAAABDU5MDABCAAAAAUAAAABMQEAAAALLTE5ODU5MzEyMjQDAAAAAzE2MAIAAAAFMjE1NjIEAAAAATAHAAAACTcvMTEvMjAyNggAAAAJNi8zMC8yMDIyCQAAAAEwzCosa2/f3gh03Wpub9/eCEBDSVEuTkFTREFROk1TRlQuSVFfQU5OVV9ESVNUUklCVVRJT05fVU5JVC45OTcuMTEvMDcvMjAyNi4uLlVTRC5IAQAAAEtVAAADAAAAAADMKixrb9/eCHTdam5v394IOENJUS5OQVNEQVE6TVNGVC5JUV9TVE9DS19CQVNFRF9SRC45OTcuMTEvMDcvMjAyNi4uLlVTRC5IAQAAAEtVAAADAAAAAADMKixrb9/eCMPJam5v394IO0NJUS5OQVNEQVE6TVNGVC5JUV9ORUdBVElWRV9HV19BTU9SVC45OTcuMTEvMDcvMjAyNi4uLlVTRC5IAQAAAEtVAAADAAAAAADMKixrb9/eCMPJam5v394IO0NJUS5OQVNEQVE6TVNGVC5JUV9JTlNfU0VUVExFX1NVUFBMRS45OTkuMTEvMDcvMjAyNi4uLlVTRC5IAQAAAEtVAAADAAAAAADMKixrb9/eCMPJam5v394IOkNJUS5OQVNEQVE6TVNGVC5JUV9HQUlOX0JBUkdBSU5fQUNRLjk5NS4xMS8wNy8yMDI2Li4uVVNELkgBAAAAS1UAAAMAAAAAAMwqLGtv394Iw8lqbm/f3gg+Q0lRLk5BU0RBUTpNU0ZULklRX0lNUEFJUk1FTlRfR1dfU1VQUExFLjk5NS4xMS8wNy8yMDI2Li4uVVNELkgBAAAAS1UA</t>
  </si>
  <si>
    <t>AAMAAAAAAMwqLGtv394Iw8lqbm/f3ggvQ0lRLk5BU0RBUTpNU0ZULklRX05JX0NGLjk5NS4xMS8wNy8yMDI2Li4uVVNELkgBAAAAS1UAAAIAAAAFNDQyODEBCAAAAAUAAAABMQEAAAALLTIwODc0OTY2MjcDAAAAAzE2MAIAAAAEMjE1MAQAAAABMAcAAAAJNy8xMS8yMDI2CAAAAAk2LzMwLzIwMjAJAAAAATDMKixrb9/eCHeiam5v394IPENJUS5OQVNEQVE6TVNGVC5JUV9TVE9DS19PUFRJT05TX0NPTVAuOTk3LjExLzA3LzIwMjYuLi5VU0QuSAEAAABLVQAAAwAAAAAAzCosa2/f3gh3ompub9/eCD5DSVEuTkFTREFROk1TRlQuSVFfUkVTVFJfU1RPQ0tfQ09NUF9UQVguOTk5LjExLzA3LzIwMjYuLi5VU0QuSAEAAABLVQAAAwAAAAAAzCosa2/f3gh3ompub9/eCDhDSVEuTkFTREFROk1TRlQuSVFfU1RPQ0tfQkFTRURfQVQuOTk5LjExLzA3LzIwMjYuLi5VU0QuSAEAAABLVQAAAwAAAAAAzCosa2/f3gh3ompub9/eCENDSVEuTkFTREFROk1TRlQuSVFfU1RPQ0tfQkFTRURfRVhQTE9SRV9EUklMTC45OTUuMTEvMDcvMjAyNi4uLlVTRC5IAQAAAEtVAAADAAAAAADMKixrb9/eCMPJam5v394IOENJUS5OQVNEQVE6TVNGVC5JUV9DSEFOR0VfSU5DX1RBWC45OTYuMTEvMDcvMjAyNi4uLlVTRC5IAQAAAEtVAAACAAAABS0yMzA5AQgAAAAFAAAAATEBAAAACy0yMDM2ODQzODQzAwAAAAMxNjACAAAABDIxMDEEAAAA</t>
  </si>
  <si>
    <t>ATAHAAAACTcvMTEvMjAyNggAAAAJNi8zMC8yMDIxCQAAAAEwzCosa2/f3gh3ompub9/eCDNDSVEuTkFTREFROk1TRlQuSVFfQ0hBTkdFX0FQLjk5NC4xMS8wNy8yMDI2Li4uVVNELkgBAAAAS1UAAAIAAAADMjMyAQgAAAAFAAAAATEBAAAACy0yMTQwOTgxNDY5AwAAAAMxNjACAAAABDIwMTcEAAAAATAHAAAACTcvMTEvMjAyNggAAAAJNi8zMC8yMDE5CQAAAAEwzCosa2/f3gh3ompub9/eCDhDSVEuTkFTREFROk1TRlQuSVFfU1RPQ0tfQkFTRURfQ0YuOTk1LjExLzA3LzIwMjYuLi5VU0QuSAEAAABLVQAAAgAAAAQ1Mjg5AQgAAAAFAAAAATEBAAAACy0yMDg3NDk2NjI3AwAAAAMxNjACAAAABDIxMjcEAAAAATAHAAAACTcvMTEvMjAyNggAAAAJNi8zMC8yMDIwCQAAAAEwzCosa2/f3gh3ompub9/eCDxDSVEuTkFTREFROk1TRlQuSVFfQVNTRVRfV1JJVEVET1dOX0NGLjk5Ny4xMS8wNy8yMDI2Li4uVVNELkgBAAAAS1UAAAMAAAAAAMwqLGtv394Id6Jqbm/f3gg1Q0lRLk5BU0RBUTpNU0ZULklRX09USEVSX0FNT1JULjk5OS4xMS8wNy8yMDI2Li4uVVNELkgBAAAAS1UAAAMAAAAAAMwqLGtv394Id6Jqbm/f3gg4Q0lRLk5BU0RBUTpNU0ZULklRX1NUX0RFQlRfSVNTVUVELjk5Ny4xMS8wNy8yMDI2Li4uVVNELkgBAAAAS1UAAAMAAAAAAMwqLGtv394Iw45qbm/f3ghAQ0lRLk5BU0RBUTpNU0ZULklRX09USEVS</t>
  </si>
  <si>
    <t>X0lOVkVTVF9BQ1RfU1VQUEwuOTk3LjExLzA3LzIwMjYuLi5VU0QuSAEAAABLVQAAAgAAAAUtMjgyNQEIAAAABQAAAAExAQAAAAstMTk4NTkzMTIyNAMAAAADMTYwAgAAAAQyMDUxBAAAAAEwBwAAAAk3LzExLzIwMjYIAAAACTYvMzAvMjAyMgkAAAABMMwqLGtv394Iw45qbm/f3gg8Q0lRLk5BU0RBUTpNU0ZULklRX0lOVkVTVF9TRUNVUklUWV9DRi45OTUuMTEvMDcvMjAyNi4uLlVTRC5IAQAAAEtVAAACAAAABDY5ODABCAAAAAUAAAABMQEAAAALLTIwODc0OTY2MjcDAAAAAzE2MAIAAAAEMjAyNwQAAAABMAcAAAAJNy8xMS8yMDI2CAAAAAk2LzMwLzIwMjAJAAAAATDMKixrb9/eCHeiam5v394IPUNJUS5OQVNEQVE6TVNGVC5JUV9TQUxFX1JFQUxfRVNUQVRFX0NGLjk5NC4xMS8wNy8yMDI2Li4uVVNELkgBAAAAS1UAAAMAAAAAAMwqLGtv394Id6Jqbm/f3gg5Q0lRLk5BU0RBUTpNU0ZULklRX0NIQU5HRV9ERUZfVEFYLjEwMDAuMTEvMDcvMjAyNi4uLlVTRC5IAQAAAEtVAAADAAAAAADMKixrb9/eCHeiam5v394INENJUS5OQVNEQVE6TVNGVC5JUV9DQVNIX0ZJTkFOLjk5OS4xMS8wNy8yMDI2Li4uVVNELkgBAAAAS1UAAAIAAAAGLTM3NzU3AQgAAAAFAAAAATEBAAAACy0xOTM0MjU0MTg1AwAAAAMxNjACAAAABDIwMDQEAAAAATAHAAAACTcvMTEvMjAyNggAAAAJNi8zMC8yMDI0CQAAAAEwzCosa2/f3ght</t>
  </si>
  <si>
    <t>Z2pub9/eCDVDSVEuTkFTREFROk1TRlQuSVFfUFJFRl9ESVZfQ0YuOTk5LjExLzA3LzIwMjYuLi5VU0QuSAEAAABLVQAAAwAAAAAAzCosa2/f3ghtZ2pub9/eCDdDSVEuTkFTREFROk1TRlQuSVFfQ09NTU9OX0lTU1VFRC45OTguMTEvMDcvMjAyNi4uLlVTRC5IAQAAAEtVAAACAAAABDE4NjYBCAAAAAUAAAABMQEAAAALLTE5MzQyNTQyNTADAAAAAzE2MAIAAAAEMjE2OQQAAAABMAcAAAAJNy8xMS8yMDI2CAAAAAk2LzMwLzIwMjMJAAAAATDMKixrb9/eCG1nam5v394IOENJUS5OQVNEQVE6TVNGVC5JUV9MVF9ERUJUX1JFUEFJRC45OTguMTEvMDcvMjAyNi4uLlVTRC5IAQAAAEtVAAACAAAABS0yNzUwAQgAAAAFAAAAATEBAAAACy0xOTM0MjU0MjUwAwAAAAMxNjACAAAABDIwMzYEAAAAATAHAAAACTcvMTEvMjAyNggAAAAJNi8zMC8yMDIzCQAAAAEwzCosa2/f3ghtZ2pub9/eCDtDSVEuTkFTREFROk1TRlQuSVFfVE9UQUxfREVCVF9JU1NVRUQuOTk4LjExLzA3LzIwMjYuLi5VU0QuSAEAAABLVQAAAwAAAAAAzCosa2/f3ghtZ2pub9/eCD1DSVEuTkFTREFROk1TRlQuSVFfQ0FTSF9JTlRFUkVTVF9GSU5BTi45OTUuMTEvMDcvMjAyNi4uLlVTRC5IAQAAAEtVAAADAAAAAADMKixrb9/eCG1nam5v394IQkNJUS5OQVNEQVE6TVNGVC5JUV9BTU9SVF9TT0ZUV0FSRV9BU1NFVFNfQ0YuOTk2LjExLzA3LzIwMjYu</t>
  </si>
  <si>
    <t>Li5VU0QuSAEAAABLVQAAAwAAAAAAzCosa2/f3ghtZ2pub9/eCEBDSVEuTkFTREFROk1TRlQuSVFfREFfQ0ZfRVhDTF9PUEVSX0xFQVNFUy45OTcuMTEvMDcvMjAyNi4uLlVTRC5IAQAAAEtVAAACAAAABTE0NjAwAQgAAAAFAAAAATEBAAAACy0xOTg1OTMxMjI0AwAAAAMxNjACAAAABTQ4OTg1BAAAAAEwBwAAAAk3LzExLzIwMjYIAAAACTYvMzAvMjAyMgkAAAABMMwqLGtv394IbWdqbm/f3ghIQ0lRLk5BU0RBUTpNU0ZULklRX0RFUFJFQ0lBVElPTl9SRU5UQUxfQVNTRVRTX0NGLjEwMDAuMTEvMDcvMjAyNi4uLlVTRC5IAQAAAEtVAAADAAAAAADMKixrb9/eCG1nam5v394IPUNJUS5OQVNEQVE6TVNGVC5JUV9EQV9TVVBQTF9QQVJUSUFMX0NGLjk5Ny4xMS8wNy8yMDI2Li4uVVNELkgBAAAAS1UAAAMAAAAAAMwqLGtv394IbWdqbm/f3ggzQ0lRLk5BU0RBUTpNU0ZULklRX0RJTFVUX05JLjEwMDAuMTEvMDcvMjAyNi4uLlVTRC5IAQAAAEtVAAACAAAACDEwMTgyMi42AQgAAAAFAAAAATEBAAAACy0xOTM0MjU0MjE2AwAAAAMxNjACAAAABDM1MjIEAAAAATAHAAAACTcvMTEvMjAyNggAAAAJNi8zMC8yMDI1CQAAAAEwzCosa2/f3ghZU2pub9/eCDFDSVEuTkFTREFROk1TRlQuSVFfTklfTk9STS45OTQuMTEvMDcvMjAyNi4uLlVTRC5IAQAAAEtVAAACAAAABTI2OTAwAQgAAAAFAAAAATEBAAAACy0yMTQwOTgx</t>
  </si>
  <si>
    <t>NDY5AwAAAAMxNjACAAAABDQzNzgEAAAAATAHAAAACTcvMTEvMjAyNggAAAAJNi8zMC8yMDE5CQAAAAEwzCosa2/f3ghZU2pub9/eCEFDSVEuTkFTREFROk1TRlQuSVFfREVGRVJSRURfRE9NRVNUSUNfVEFYRVMuOTk2LjExLzA3LzIwMjYuLi5VU0QuSAEAAABLVQAAAgAAAAQtMTc5AQgAAAAFAAAAATEBAAAACy0yMDM2ODQzODQzAwAAAAMxNjACAAAABDMwNTQEAAAAATAHAAAACTcvMTEvMjAyNggAAAAJNi8zMC8yMDIxCQAAAAEwzCosa2/f3ghZU2pub9/eCEFDSVEuTkFTREFROk1TRlQuSVFfRVhDSVNFX1RBWEVTX0lOQ0xfU0FMRVMuOTk4LjExLzA3LzIwMjYuLi5VU0QuSAEAAABLVQAAAwAAAAAAzCosa2/f3ghZU2pub9/eCD5DSVEuTkFTREFROk1TRlQuSVFfQ0hBTkdFX0RFRl9UQVhfVE9UQUwuOTk5LjExLzA3LzIwMjYuLi5VU0QuSAEAAABLVQAAAgAAAAUtNDczOAEIAAAABQAAAAExAQAAAAstMTkzNDI1NDE4NQMAAAADMTYwAgAAAAUzMDkyNAQAAAABMAcAAAAJNy8xMS8yMDI2CAAAAAk2LzMwLzIwMjQJAAAAATDMKixrb9/eCG1nam5v394INUNJUS5OQVNEQVE6TVNGVC5JUV9DT01NT05fRElWLjEwMDAuMTEvMDcvMjAyNi4uLlVTRC5IAQAAAEtVAAACAAAABTI0Njc4AMwqLGtv394ITz9qbm/f3ghAQ0lRLk5BU0RBUTpNU0ZULklRX0FOTlVfRElTVFJJQlVUSU9OX1VOSVQuOTk2LjExLzA3LzIw</t>
  </si>
  <si>
    <t>MjYuLi5VU0QuSAEAAABLVQAAAwAAAAAAzCosa2/f3ghPP2pub9/eCElDSVEuTkFTREFROk1TRlQuSVFfRElTVFJJQlVUQUJMRV9DQVNIX1NUQU5EQVJESVpFRC45OTYuMTEvMDcvMjAyNi4uLlVTRC5IAQAAAEtVAAADAAAAAADMKixrb9/eCE8/am5v394IOkNJUS5OQVNEQVE6TVNGVC5JUV9JTlRfRVhQX0lOQ0xfQ0FQLjk5OC4xMS8wNy8yMDI2Li4uVVNELkgBAAAAS1UAAAIAAAAEMTk5NQEIAAAABQAAAAExAQAAAAstMTkzNDI1NDI1MAMAAAADMTYwAgAAAAUyMTg2MQQAAAABMAcAAAAJNy8xMS8yMDI2CAAAAAk2LzMwLzIwMjMJAAAAATDMKixrb9/eCFlTam5v394INUNJUS5OQVNEQVE6TVNGVC5JUV9JTlRfRVhQX0xURC45OTQuMTEvMDcvMjAyNi4uLlVTRC5IAQAAAEtVAAACAAAAAzI0NwEIAAAABQAAAAExAQAAAAstMjE0MDk4MTQ2OQMAAAADMTYwAgAAAAQzMTAxBAAAAAEwBwAAAAk3LzExLzIwMjYIAAAACTYvMzAvMjAxOQkAAAABMMwqLGtv394IWVNqbm/f3ghEQ0lRLk5BU0RBUTpNU0ZULklRX0RFUFJFQ0lBVElPTl9SRU5UQUxfQVNTRVRTLjk5OC4xMS8wNy8yMDI2Li4uVVNELkgBAAAAS1UAAAMAAAAAAMwqLGtv394I0ypqbm/f3gg8Q0lRLk5BU0RBUTpNU0ZULklRX0NPTlRJTkdFTlRfUkVOVEFMLjEwMDAuMTEvMDcvMjAyNi4uLlVTRC5IAQAAAEtVAAADAAAAAADMKixrb9/eCE8/am5v394I</t>
  </si>
  <si>
    <t>P0NJUS5OQVNEQVE6TVNGVC5JUV9ORVRfUkVOVEFMX0VYUF9TVVBQTEUuOTk0LjExLzA3LzIwMjYuLi5VU0QuSAEAAABLVQAAAgAAAAQxNzA3AQgAAAAFAAAAATEBAAAACy0yMTQwOTgxNDY5AwAAAAMxNjACAAAABTI0MjYzBAAAAAEwBwAAAAk3LzExLzIwMjYIAAAACTYvMzAvMjAxOQkAAAABMMwqLGtv394ITz9qbm/f3gg8Q0lRLk5BU0RBUTpNU0ZULklRX05FVF9SRU5UQUxfRVhQX0ZOLjEwMDAuMTEvMDcvMjAyNi4uLlVTRC5IAQAAAEtVAAACAAAABDU1MjQBCAAAAAUAAAABMQEAAAALLTE5MzQyNTQyMTYDAAAAAzE2MAIAAAAEMzE3MAQAAAABMAcAAAAJNy8xMS8yMDI2CAAAAAk2LzMwLzIwMjUJAAAAATDMKixrb9/eCE8/am5v394IMENJUS5OQVNEQVE6TVNGVC5JUV9HQV9FWFAuOTk2LjExLzA3LzIwMjYuLi5VU0QuSAEAAABLVQAAAgAAAAQ1MTA3AQgAAAAFAAAAATEBAAAACy0yMDM2ODQzODQzAwAAAAMxNjACAAAABTIxNTYyBAAAAAEwBwAAAAk3LzExLzIwMjYIAAAACTYvMzAvMjAyMQkAAAABMMwqLGtv394ITz9qbm/f3gg7Q0lRLk5BU0RBUTpNU0ZULklRX05FR0FUSVZFX0dXX0FNT1JULjk5Ni4xMS8wNy8yMDI2Li4uVVNELkgBAAAAS1UAAAMAAAAAAMwqLGtv394I3RZqbm/f3gg7Q0lRLk5BU0RBUTpNU0ZULklRX0lOU19TRVRUTEVfU1VQUExFLjk5OC4xMS8wNy8yMDI2Li4uVVNELkgBAAAA</t>
  </si>
  <si>
    <t>S1UAAAMAAAAAAMwqLGtv394I0ypqbm/f3ghBQ0lRLk5BU0RBUTpNU0ZULklRX0FTU0VUX1dSSVRFRE9XTl9TVVBQTEUuMTAwMC4xMS8wNy8yMDI2Li4uVVNELkgBAAAAS1UAAAMAAAAAAMwqLGtv394I0ypqbm/f3gg+Q0lRLk5BU0RBUTpNU0ZULklRX0lNUEFJUk1FTlRfR1dfU1VQUExFLjk5NC4xMS8wNy8yMDI2Li4uVVNELkgBAAAAS1UAAAMAAAAAAMwqLGtv394I0ypqbm/f3gg/Q0lRLk5BU0RBUTpNU0ZULklRX0lNUFVUX09QRVJfTEVBU0VfREVQUi45OTYuMTEvMDcvMjAyNi4uLlVTRC5IAQAAAEtVAAACAAAACzE2NDQuNjQ3NDQ4AQgAAAAFAAAAATEBAAAACy0yMDM2ODQzODQzAwAAAAMxNjACAAAABTIxNjczBAAAAAEwBwAAAAk3LzExLzIwMjYIAAAACTYvMzAvMjAyMQkAAAABMMwqLGtv394I0ypqbm/f3gg6Q0lRLk5BU0RBUTpNU0ZULklRX1JFU1RSX1NUT0NLX0NPTVAuOTk2LjExLzA3LzIwMjYuLi5VU0QuSAEAAABLVQAAAwAAAAAAzCosa2/f3gjdFmpub9/eCDhDSVEuTkFTREFROk1TRlQuSVFfU1RPQ0tfQkFTRURfQVQuOTk4LjExLzA3LzIwMjYuLi5VU0QuSAEAAABLVQAAAwAAAAAAzCosa2/f3gjdFmpub9/eCENDSVEuTkFTREFROk1TRlQuSVFfU1RPQ0tfQkFTRURfRVhQTE9SRV9EUklMTC45OTQuMTEvMDcvMjAyNi4uLlVTRC5IAQAAAEtVAAADAAAAAADMKixrb9/eCN0Wam5v394IOUNJ</t>
  </si>
  <si>
    <t>US5OQVNEQVE6TVNGVC5JUV9TVE9DS19CQVNFRF9HQS4xMDAwLjExLzA3LzIwMjYuLi5VU0QuSAEAAABLVQAAAwAAAAAAzCosa2/f3gjdFmpub9/eCDhDSVEuTkFTREFROk1TRlQuSVFfU1RPQ0tfQkFTRURfU00uOTk0LjExLzA3LzIwMjYuLi5VU0QuSAEAAABLVQAAAwAAAAAAzCosa2/f3gjdFmpub9/eCDVDSVEuTkFTREFROk1TRlQuSVFfT1RIRVJfQU1PUlQuOTk4LjExLzA3LzIwMjYuLi5VU0QuSAEAAABLVQAAAwAAAAAAzCosa2/f3gjkAmpub9/eCDtDSVEuTkFTREFROk1TRlQuSVFfR1dfSU5UQU5fQU1PUlRfQ0YuOTk4LjExLzA3LzIwMjYuLi5VU0QuSAEAAABLVQAAAgAAAAQyNTAwAQgAAAAFAAAAATEBAAAACy0xOTM0MjU0MjUwAwAAAAMxNjACAAAABDIxODIEAAAAATAHAAAACTcvMTEvMjAyNggAAAAJNi8zMC8yMDIzCQAAAAEwzCosa2/f3gjkAmpub9/eCC9DSVEuTkFTREFROk1TRlQuSVFfTklfQ0YuOTk0LjExLzA3LzIwMjYuLi5VU0QuSAEAAABLVQAAAgAAAAUzOTI0MAEIAAAABQAAAAExAQAAAAstMjE0MDk4MTQ2OQMAAAADMTYwAgAAAAQyMTUwBAAAAAEwBwAAAAk3LzExLzIwMjYIAAAACTYvMzAvMjAxOQkAAAABMMwqLGtv394I5AJqbm/f3gg/Q0lRLk5BU0RBUTpNU0ZULklRX1NUT0NLX0JBU0VEX0NPTVBfVEFYLjEwMDAuMTEvMDcvMjAyNi4uLlVTRC5IAQAAAEtVAAACAAAABS0yMDI3</t>
  </si>
  <si>
    <t>AMwqLGtv394I5AJqbm/f3gg8Q0lRLk5BU0RBUTpNU0ZULklRX1NUT0NLX09QVElPTlNfQ09NUC45OTYuMTEvMDcvMjAyNi4uLlVTRC5IAQAAAEtVAAADAAAAAADMKixrb9/eCN0Wam5v394IOENJUS5OQVNEQVE6TVNGVC5JUV9DSEFOR0VfSU5DX1RBWC45OTUuMTEvMDcvMjAyNi4uLlVTRC5IAQAAAEtVAAACAAAABS0zNjMxAQgAAAAFAAAAATEBAAAACy0yMDg3NDk2NjI3AwAAAAMxNjACAAAABDIxMDEEAAAAATAHAAAACTcvMTEvMjAyNggAAAAJNi8zMC8yMDIwCQAAAAEwzCosa2/f3ggw72lub9/eCD5DSVEuTkFTREFROk1TRlQuSVFfVEFYX0JFTkVGSVRfT1BUSU9OUy4xMDAwLjExLzA3LzIwMjYuLi5VU0QuSAEAAABLVQAAAwAAAAAAzCosa2/f3ggw72lub9/eCDhDSVEuTkFTREFROk1TRlQuSVFfU1RPQ0tfQkFTRURfQ0YuOTk0LjExLzA3LzIwMjYuLi5VU0QuSAEAAABLVQAAAgAAAAQ0NjUyAQgAAAAFAAAAATEBAAAACy0yMTQwOTgxNDY5AwAAAAMxNjACAAAABDIxMjcEAAAAATAHAAAACTcvMTEvMjAyNggAAAAJNi8zMC8yMDE5CQAAAAEwzCosa2/f3ggw72lub9/eCDlDSVEuTkFTREFROk1TRlQuSVFfQ1JFRElUX0xPU1NfQ0YuMTAwMC4xMS8wNy8yMDI2Li4uVVNELkgBAAAAS1UAAAMAAAAAAMwqLGtv394IMO9pbm/f3gg8Q0lRLk5BU0RBUTpNU0ZULklRX0FTU0VUX1dSSVRFRE9XTl9DRi45OTYu</t>
  </si>
  <si>
    <t>MTEvMDcvMjAyNi4uLlVTRC5IAQAAAEtVAAADAAAAAADMKixrb9/eCOQCam5v394IO0NJUS5OQVNEQVE6TVNGVC5JUV9UT1RBTF9ERUJUX0lTU1VFRC45OTcuMTEvMDcvMjAyNi4uLlVTRC5IAQAAAEtVAAADAAAAAADMKixrb9/eCOrHaW5v394IOENJUS5OQVNEQVE6TVNGVC5JUV9TVF9ERUJUX0lTU1VFRC45OTYuMTEvMDcvMjAyNi4uLlVTRC5IAQAAAEtVAAADAAAAAADMKixrb9/eCOrHaW5v394IQENJUS5OQVNEQVE6TVNGVC5JUV9PVEhFUl9JTlZFU1RfQUNUX1NVUFBMLjk5Ni4xMS8wNy8yMDI2Li4uVVNELkgBAAAAS1UAAAIAAAAELTkyMgEIAAAABQAAAAExAQAAAAstMjAzNjg0Mzg0MwMAAAADMTYwAgAAAAQyMDUxBAAAAAEwBwAAAAk3LzExLzIwMjYIAAAACTYvMzAvMjAyMQkAAAABMMwqLGtv394I6sdpbm/f3gg8Q0lRLk5BU0RBUTpNU0ZULklRX0lOVkVTVF9TRUNVUklUWV9DRi45OTQuMTEvMDcvMjAyNi4uLlVTRC5IAQAAAEtVAAACAAAAAzU0MAEIAAAABQAAAAExAQAAAAstMjE0MDk4MTQ2OQMAAAADMTYwAgAAAAQyMDI3BAAAAAEwBwAAAAk3LzExLzIwMjYIAAAACTYvMzAvMjAxOQkAAAABMMwqLGtv394IMO9pbm/f3ghGQ0lRLk5BU0RBUTpNU0ZULklRX0NIQU5HRV9PVEhFUl9ORVRfT1BFUl9BU1NFVFMuOTk3LjExLzA3LzIwMjYuLi5VU0QuSAEAAABLVQAAAgAAAAQtMzQ1AQgAAAAFAAAA</t>
  </si>
  <si>
    <t>ATEBAAAACy0xOTg1OTMxMjI0AwAAAAMxNjACAAAABDIwNDUEAAAAATAHAAAACTcvMTEvMjAyNggAAAAJNi8zMC8yMDIyCQAAAAEwzCosa2/f3ggw72lub9/eCENDSVEuTkFTREFROk1TRlQuSVFfR1dfSU5UQU5fQU1PUlRfUEFSVElBTF9DRi45OTQuMTEvMDcvMjAyNi4uLlVTRC5IAQAAAEtVAAADAAAAAADMKixrb9/eCOrHaW5v394ILENJUS5OQVNEQVE6TVNGVC5JUV9GWC45OTQuMTEvMDcvMjAyNi4uLlVTRC5IAQAAAEtVAAACAAAABC0xMTUBCAAAAAUAAAABMQEAAAALLTIxNDA5ODE0NjkDAAAAAzE2MAIAAAAEMjE0NAQAAAABMAcAAAAJNy8xMS8yMDI2CAAAAAk2LzMwLzIwMTkJAAAAATDMKixrb9/eCOrHaW5v394INUNJUS5OQVNEQVE6TVNGVC5JUV9QUkVGX0RJVl9DRi45OTcuMTEvMDcvMjAyNi4uLlVTRC5IAQAAAEtVAAADAAAAAADMKixrb9/eCOrHaW5v394IN0NJUS5OQVNEQVE6TVNGVC5JUV9DT01NT05fSVNTVUVELjk5Ny4xMS8wNy8yMDI2Li4uVVNELkgBAAAAS1UAAAIAAAAEMTg0MQEIAAAABQAAAAExAQAAAAstMTk4NTkzMTIyNAMAAAADMTYwAgAAAAQyMTY5BAAAAAEwBwAAAAk3LzExLzIwMjYIAAAACTYvMzAvMjAyMgkAAAABMMwqLGtv394I6sdpbm/f3gg4Q0lRLk5BU0RBUTpNU0ZULklRX0xUX0RFQlRfUkVQQUlELjk5Ny4xMS8wNy8yMDI2Li4uVVNELkgBAAAAS1UAAAIAAAAFLTkw</t>
  </si>
  <si>
    <t>MjMBCAAAAAUAAAABMQEAAAALLTE5ODU5MzEyMjQDAAAAAzE2MAIAAAAEMjAzNgQAAAABMAcAAAAJNy8xMS8yMDI2CAAAAAk2LzMwLzIwMjIJAAAAATDMKixrb9/eCOrHaW5v394IPkNJUS5OQVNEQVE6TVNGVC5JUV9DSEFOR0VfREVGX1RBWF9UT1RBTC45OTYuMTEvMDcvMjAyNi4uLlVTRC5IAQAAAEtVAAACAAAABC0xNTABCAAAAAUAAAABMQEAAAALLTIwMzY4NDM4NDMDAAAAAzE2MAIAAAAFMzA5MjQEAAAAATAHAAAACTcvMTEvMjAyNggAAAAJNi8zMC8yMDIxCQAAAAEwzCosa2/f3gjqx2lub9/eCDtDSVEuTkFTREFROk1TRlQuSVFfQ0FTSF9JTlRFUkVTVF9ORVQuOTk5LjExLzA3LzIwMjYuLi5VU0QuSAEAAABLVQAAAwAAAAAAzCosa2/f3gjqx2lub9/eCEJDSVEuTkFTREFROk1TRlQuSVFfQU1PUlRfU09GVFdBUkVfQVNTRVRTX0NGLjk5NC4xMS8wNy8yMDI2Li4uVVNELkgBAAAAS1UAAAMAAAAAAMwqLGtv394I6sdpbm/f3ghAQ0lRLk5BU0RBUTpNU0ZULklRX0RBX0NGX0VYQ0xfT1BFUl9MRUFTRVMuOTk2LjExLzA3LzIwMjYuLi5VU0QuSAEAAABLVQAAAgAAAAUxMDkwMAEIAAAABQAAAAExAQAAAAstMjAzNjg0Mzg0MwMAAAADMTYwAgAAAAU0ODk4NQQAAAABMAcAAAAJNy8xMS8yMDI2CAAAAAk2LzMwLzIwMjEJAAAAATDMKixrb9/eCOrHaW5v394IR0NJUS5OQVNEQVE6TVNGVC5JUV9ERVBSRUNJ</t>
  </si>
  <si>
    <t>QVRJT05fUkVOVEFMX0FTU0VUU19DRi45OTkuMTEvMDcvMjAyNi4uLlVTRC5IAQAAAEtVAAADAAAAAADMKixrb9/eCOrHaW5v394IOENJUS5OQVNEQVE6TVNGVC5JUV9MVF9ERUJUX1JFUEFJRC45OTYuMTEvMDcvMjAyNi4uLlVTRC5IAQAAAEtVAAACAAAABS0zNzUwAQgAAAAFAAAAATEBAAAACy0yMDM2ODQzODQzAwAAAAMxNjACAAAABDIwMzYEAAAAATAHAAAACTcvMTEvMjAyNggAAAAJNi8zMC8yMDIxCQAAAAEwzCosa2/f3ghps2lub9/eCDtDSVEuTkFTREFROk1TRlQuSVFfVE9UQUxfREVCVF9JU1NVRUQuOTk1LjExLzA3LzIwMjYuLi5VU0QuSAEAAABLVQAAAwAAAAAAzCosa2/f3ghps2lub9/eCDhDSVEuTkFTREFROk1TRlQuSVFfU1RfREVCVF9JU1NVRUQuOTk1LjExLzA3LzIwMjYuLi5VU0QuSAEAAABLVQAAAwAAAAAAzCosa2/f3ghps2lub9/eCEBDSVEuTkFTREFROk1TRlQuSVFfT1RIRVJfSU5WRVNUX0FDVF9TVVBQTC45OTUuMTEvMDcvMjAyNi4uLlVTRC5IAQAAAEtVAAACAAAABS0xMjQxAQgAAAAFAAAAATEBAAAACy0yMDg3NDk2NjI3AwAAAAMxNjACAAAABDIwNTEEAAAAATAHAAAACTcvMTEvMjAyNggAAAAJNi8zMC8yMDIwCQAAAAEwzCosa2/f3ghps2lub9/eCDJDSVEuTkFTREFROk1TRlQuSVFfQ0ZfU0hBUkUuOTk3LjExLzA3LzIwMjYuLi5VU0QuSAEAAABLVQAAAgAAAAg4LjY5MTE2</t>
  </si>
  <si>
    <t>OAEIAAAABQAAAAExAQAAAAstMTk4NTkzMTIyNAMAAAADMTYwAgAAAAU0MzkyMwQAAAABMAcAAAAJNy8xMS8yMDI2CAAAAAk2LzMwLzIwMjIJAAAAATDMKixrb9/eCGmzaW5v394IQENJUS5OQVNEQVE6TVNGVC5JUV9EQV9DRl9FWENMX09QRVJfTEVBU0VTLjk5NS4xMS8wNy8yMDI2Li4uVVNELkgBAAAAS1UAAAIAAAAFMTIzMDABCAAAAAUAAAABMQEAAAALLTIwODc0OTY2MjcDAAAAAzE2MAIAAAAFNDg5ODUEAAAAATAHAAAACTcvMTEvMjAyNggAAAAJNi8zMC8yMDIwCQAAAAEwzCosa2/f3ghDn2lub9/eCEdDSVEuTkFTREFROk1TRlQuSVFfREVQUkVDSUFUSU9OX1JFTlRBTF9BU1NFVFNfQ0YuOTk3LjExLzA3LzIwMjYuLi5VU0QuSAEAAABLVQAAAwAAAAAAzCosa2/f3ghDn2lub9/eCDVDSVEuTkFTREFROk1TRlQuSVFfTkVUX0NIQU5HRS4xMDAwLjExLzA3LzIwMjYuLi5VU0QuSAEAAABLVQAAAgAAAAUxMTkyNwEIAAAABQAAAAExAQAAAAstMTkzNDI1NDIxNgMAAAADMTYwAgAAAAQyMDkzBAAAAAEwBwAAAAk3LzExLzIwMjYIAAAACTYvMzAvMjAyNQkAAAABMMwqLGtv394IQ59pbm/f3gg4Q0lRLk5BU0RBUTpNU0ZULklRX1NQRUNJQUxfRElWX0NGLjk5OS4xMS8wNy8yMDI2Li4uVVNELkgBAAAAS1UAAAMAAAAAAMwqLGtv394IQ59pbm/f3gg8Q0lRLk5BU0RBUTpNU0ZULklRX0NPTU1PTl9QUkVGX0RJ</t>
  </si>
  <si>
    <t>Vl9DRi45OTQuMTEvMDcvMjAyNi4uLlVTRC5IAQAAAEtVAAADAAAAAADMKixrb9/eCGmzaW5v394INENJUS5OQVNEQVE6TVNGVC5JUV9ESVZfU0hBUkUuMTAwMC4xMS8wNy8yMDI2Li4uVVNELkgBAAAAS1UAAAIAAAAEMy4zMgEIAAAABQAAAAExAQAAAAstMTkzNDI1NDIxNgMAAAADMTYwAgAAAAQzMDU4BAAAAAEwBwAAAAk3LzExLzIwMjYIAAAACTYvMzAvMjAyNQkAAAABMMwqLGtv394I7oppbm/f3ghCQ0lRLk5BU0RBUTpNU0ZULklRX09QRVJBVElOR19MRUFTRV9QQVlNRU5UUy45OTguMTEvMDcvMjAyNi4uLlVTRC5IAQAAAEtVAAADAAAAAADMKixrb9/eCO6KaW5v394IPkNJUS5OQVNEQVE6TVNGVC5JUV9DSEFOR0VfREVGX1RBWF9UT1RBTC45OTUuMTEvMDcvMjAyNi4uLlVTRC5IAQAAAEtVAAACAAAAAjExAQgAAAAFAAAAATEBAAAACy0yMDg3NDk2NjI3AwAAAAMxNjACAAAABTMwOTI0BAAAAAEwBwAAAAk3LzExLzIwMjYIAAAACTYvMzAvMjAyMAkAAAABMMwqLGtv394IQ59pbm/f3gg0Q0lRLk5BU0RBUTpNU0ZULklRX0NBU0hfVEFYRVMuOTk0LjExLzA3LzIwMjYuLi5VU0QuSAEAAABLVQAAAgAAAAQ4NDAwAQgAAAAFAAAAATEBAAAACy0yMTQwOTgxNDY5AwAAAAMxNjACAAAABDMwNTMEAAAAATAHAAAACTcvMTEvMjAyNggAAAAJNi8zMC8yMDE5CQAAAAEwzCosa2/f3ghDn2lub9/eCEBDSVEuTkFT</t>
  </si>
  <si>
    <t>REFROk1TRlQuSVFfQ0FTSF9JTlRFUkVTVF9SRUNFSVZFRC45OTUuMTEvMDcvMjAyNi4uLlVTRC5IAQAAAEtVAAADAAAAAADMKixrb9/eCEOfaW5v394IN0NJUS5OQVNEQVE6TVNGVC5JUV9FQklUX0VYQ0xfU0JDLjk5OC4xMS8wNy8yMDI2Li4uVVNELkgBAAAAS1UAAAIAAAAFOTgxMzQBCAAAAAUAAAABMQEAAAALLTE5MzQyNTQyNTADAAAAAzE2MAIAAAAFMjQxMzQEAAAAATAHAAAACTcvMTEvMjAyNggAAAAJNi8zMC8yMDIzCQAAAAEwzCosa2/f3gg+d2lub9/eCExDSVEuTkFTREFROk1TRlQuSVFfRUJJVERBX0VRX0lOQ19FWENMX09QRVJfTEVBU0VfQURKLjEwMDAuMTEvMDcvMjAyNi4uLlVTRC5IAQAAAEtVAAACAAAABjE1NjUyOAEIAAAABQAAAAExAQAAAAstMTkzNDI1NDIxNgMAAAADMTYwAgAAAAU0ODk4NwQAAAABMAcAAAAJNy8xMS8yMDI2CAAAAAk2LzMwLzIwMjUJAAAAATDMKixrb9/eCO6KaW5v394IQUNJUS5OQVNEQVE6TVNGVC5JUV9MRUFTRV9BREpVU1RNRU5UX0VCSVREQS45OTQuMTEvMDcvMjAyNi4uLlVTRC5IAQAAAEtVAAACAAAABDE3MDcAzCosa2/f3gjuimlub9/eCDdDSVEuTkFTREFROk1TRlQuSVFfRUJJVERBX0VRX0lOQy45OTYuMTEvMDcvMjAyNi4uLlVTRC5IAQAAAEtVAAACAAAABTgyOTQzAQgAAAAFAAAAATEBAAAACy0yMDM2ODQzODQzAwAAAAMxNjACAAAABTIxNjc3BAAA</t>
  </si>
  <si>
    <t>AAEwBwAAAAk3LzExLzIwMjYIAAAACTYvMzAvMjAyMQkAAAABMMwqLGtv394I7oppbm/f3gg7Q0lRLk5BU0RBUTpNU0ZULklRX1NQRUNJQUxfRElWX1NIQVJFLjk5OC4xMS8wNy8yMDI2Li4uVVNELkgBAAAAS1UAAAMAAAAAAMwqLGtv394I7oppbm/f3gg5Q0lRLk5BU0RBUTpNU0ZULklRX0lOVEVSRVNUX0lOQ09NRS45OTYuMTEvMDcvMjAyNi4uLlVTRC5IAQAAAEtVAAACAAAABDIxMzEBCAAAAAUAAAABMQEAAAALLTIwMzY4NDM4NDMDAAAAAzE2MAIAAAADMjEwBAAAAAEwBwAAAAk3LzExLzIwMjYIAAAACTYvMzAvMjAyMQkAAAABMMwqLGtv394IPndpbm/f3gg8Q0lRLk5BU0RBUTpNU0ZULklRX0FTX1JFUE9SVEVEX0VCSVREQS45OTguMTEvMDcvMjAyNi4uLlVTRC5IAQAAAEtVAAADAAAAAADMKixrb9/eCD53aW5v394IN0NJUS5OQVNEQVE6TVNGVC5JUV9FQklUREFfQ0FQRVguMTAwMC4xMS8wNy8yMDI2Li4uVVNELkgBAAAAS1UAAAIAAAAFOTE5NzcBCAAAAAUAAAABMQEAAAALLTE5MzQyNTQyMTYDAAAAAzE2MAIAAAAFMzUzNzkEAAAAATAHAAAACTcvMTEvMjAyNggAAAAJNi8zMC8yMDI1CQAAAAEwzCosa2/f3gg+d2lub9/eCDpDSVEuTkFTREFROk1TRlQuSVFfRUJJVERBUl9FWENMX1NCQy45OTQuMTEvMDcvMjAyNi4uLlVTRC5IAQAAAEtVAAACAAAABTYwOTE4AQgAAAAFAAAAATEBAAAACy0yMTQw</t>
  </si>
  <si>
    <t>OTgxNDY5AwAAAAMxNjACAAAABTI0MTM3BAAAAAEwBwAAAAk3LzExLzIwMjYIAAAACTYvMzAvMjAxOQkAAAABMMwqLGtv394IPndpbm/f3gg4Q0lRLk5BU0RBUTpNU0ZULklRX0VCSVRBX0VYQ0xfU0JDLjk5Ni4xMS8wNy8yMDI2Li4uVVNELkgBAAAAS1UAAAIAAAAFNzc2MzQBCAAAAAUAAAABMQEAAAALLTIwMzY4NDM4NDMDAAAAAzE2MAIAAAAFMjQxMzYEAAAAATAHAAAACTcvMTEvMjAyNggAAAAJNi8zMC8yMDIxCQAAAAEwzCosa2/f3gg+d2lub9/eCDJDSVEuTkFTREFROk1TRlQuSVFfRElMVVRfTkkuOTk4LjExLzA3LzIwMjYuLi5VU0QuSAEAAABLVQAAAgAAAAg3MjMyOC45NgEIAAAABQAAAAExAQAAAAstMTkzNDI1NDI1MAMAAAADMTYwAgAAAAQzNTIyBAAAAAEwBwAAAAk3LzExLzIwMjYIAAAACTYvMzAvMjAyMwkAAAABMMwqLGtv394I9k9pbm/f3gg+Q0lRLk5BU0RBUTpNU0ZULklRX0RFRkVSUkVEX1RBWEVTX1RPVEFMLjk5OC4xMS8wNy8yMDI2Li4uVVNELkgBAAAAS1UAAAIAAAAFLTYwNTkBCAAAAAUAAAABMQEAAAALLTE5MzQyNTQyNTADAAAAAzE2MAIAAAAFMzUzODUEAAAAATAHAAAACTcvMTEvMjAyNggAAAAJNi8zMC8yMDIzCQAAAAEwzCosa2/f3gj2T2lub9/eCEFDSVEuTkFTREFROk1TRlQuSVFfREVGRVJSRURfRE9NRVNUSUNfVEFYRVMuOTk0LjExLzA3LzIwMjYuLi5VU0QuSAEAAABL</t>
  </si>
  <si>
    <t>VQAAAgAAAAUtNjY1NwEIAAAABQAAAAExAQAAAAstMjE0MDk4MTQ2OQMAAAADMTYwAgAAAAQzMDU0BAAAAAEwBwAAAAk3LzExLzIwMjYIAAAACTYvMzAvMjAxOQkAAAABMMwqLGtv394I9k9pbm/f3gg9Q0lRLk5BU0RBUTpNU0ZULklRX0NVUlJfRk9SRUlHTl9UQVhFUy4xMDAwLjExLzA3LzIwMjYuLi5VU0QuSAEAAABLVQAAAgAAAAUxMTQyMwEIAAAABQAAAAExAQAAAAstMTkzNDI1NDIxNgMAAAADMTYwAgAAAAQzMDMwBAAAAAEwBwAAAAk3LzExLzIwMjYIAAAACTYvMzAvMjAyNQkAAAABMMwqLGtv394I9k9pbm/f3ghBQ0lRLk5BU0RBUTpNU0ZULklRX0VYQ0lTRV9UQVhFU19JTkNMX1NBTEVTLjk5Ni4xMS8wNy8yMDI2Li4uVVNELkgBAAAAS1UAAAMAAAAAAMwqLGtv394I9k9pbm/f3gg1Q0lRLk5BU0RBUTpNU0ZULklRX0FEVkVSVElTSU5HLjk5NC4xMS8wNy8yMDI2Li4uVVNELkgBAAAAS1UAAAIAAAAEMTYwMAEIAAAABQAAAAExAQAAAAstMjE0MDk4MTQ2OQMAAAADMTYwAgAAAAQzMDEzBAAAAAEwBwAAAAk3LzExLzIwMjYIAAAACTYvMzAvMjAxOQkAAAABMMwqLGtv394I9k9pbm/f3gg0Q0lRLk5BU0RBUTpNU0ZULklRX0NPTU1PTl9ESVYuOTk4LjExLzA3LzIwMjYuLi5VU0QuSAEAAABLVQAAAgAAAAUyMDIyNgDMKixrb9/eCPZPaW5v394ISUNJUS5OQVNEQVE6TVNGVC5JUV9ESVNUUklCVVRBQkxF</t>
  </si>
  <si>
    <t>X0NBU0hfU1RBTkRBUkRJWkVELjk5NC4xMS8wNy8yMDI2Li4uVVNELkgBAAAAS1UAAAMAAAAAAMwqLGtv394I9k9pbm/f3gg0Q0lRLk5BU0RBUTpNU0ZULklRX0RBX0VCSVREQS4xMDAwLjExLzA3LzIwMjYuLi5VU0QuSAEAAABLVQAAAgAAAAUyODAwMAEIAAAABQAAAAExAQAAAAstMTkzNDI1NDIxNgMAAAADMTYwAgAAAAQyMjA2BAAAAAEwBwAAAAk3LzExLzIwMjYIAAAACTYvMzAvMjAyNQkAAAABMMwqLGtv394I9k9pbm/f3gg6Q0lRLk5BU0RBUTpNU0ZULklRX0lOVF9FWFBfSU5DTF9DQVAuOTk2LjExLzA3LzIwMjYuLi5VU0QuSAEAAABLVQAAAgAAAAQyMzMwAQgAAAAFAAAAATEBAAAACy0yMDM2ODQzODQzAwAAAAMxNjACAAAABTIxODYxBAAAAAEwBwAAAAk3LzExLzIwMjYIAAAACTYvMzAvMjAyMQkAAAABMMwqLGtv394I9k9pbm/f3gg3Q0lRLk5BU0RBUTpNU0ZULklRX01BSU5UX1JFUEFJUi4xMDAwLjExLzA3LzIwMjYuLi5VU0QuSAEAAABLVQAAAwAAAAAAzCosa2/f3ggDPGlub9/eCEFDSVEuTkFTREFROk1TRlQuSVFfRVhQTE9SRV9EUklMTF9FWFBfVE9UQUwuOTk0LjExLzA3LzIwMjYuLi5VU0QuSAEAAABLVQAAAwAAAAAAzCosa2/f3ggDPGlub9/eCDhDSVEuTkFTREFROk1TRlQuSVFfTUlOSU1VTV9SRU5UQUwuOTk2LjExLzA3LzIwMjYuLi5VU0QuSAEAAABLVQAAAwAAAAAAzCosa2/f3gj2</t>
  </si>
  <si>
    <t>T2lub9/eCDtDSVEuTkFTREFROk1TRlQuSVFfTkVUX1JFTlRBTF9FWFBfRk4uOTk4LjExLzA3LzIwMjYuLi5VU0QuSAEAAABLVQAAAgAAAAQyODc1AQgAAAAFAAAAATEBAAAACy0xOTM0MjU0MjUwAwAAAAMxNjACAAAABDMxNzAEAAAAATAHAAAACTcvMTEvMjAyNggAAAAJNi8zMC8yMDIzCQAAAAEwzCosa2/f3gj2T2lub9/eCDRDSVEuTkFTREFROk1TRlQuSVFfTUFSS0VUSU5HLjEwMDAuMTEvMDcvMjAyNi4uLlVTRC5IAQAAAEtVAAADAAAAAADMKixrb9/eCPZPaW5v394IP0NJUS5OQVNEQVE6TVNGVC5JUV9PVEhFUl9VTlVTVUFMX1NVUFBMRS4xMDAwLjExLzA3LzIwMjYuLi5VU0QuSAEAAABLVQAAAwAAAAAAzCosa2/f3gj9J2lub9/eCDtDSVEuTkFTREFROk1TRlQuSVFfSU5TX1NFVFRMRV9TVVBQTEUuOTk2LjExLzA3LzIwMjYuLi5VU0QuSAEAAABLVQAAAwAAAAAAzCosa2/f3ggDPGlub9/eCDVDSVEuTkFTREFROk1TRlQuSVFfSVBSRF9TVVBQTEUuOTk2LjExLzA3LzIwMjYuLi5VU0QuSAEAAABLVQAAAwAAAAAAzCosa2/f3ggDPGlub9/eCDxDSVEuTkFTREFROk1TRlQuSVFfUkVTVFJVQ1RVUkVfU1VQUExFLjk5OC4xMS8wNy8yMDI2Li4uVVNELkgBAAAAS1UAAAMAAAAAAMwqLGtv394IAzxpbm/f3gg/Q0lRLk5BU0RBUTpNU0ZULklRX0lNUFVUX09QRVJfTEVBU0VfREVQUi45OTQuMTEvMDcvMjAy</t>
  </si>
  <si>
    <t>Ni4uLlVTRC5IAQAAAEtVAAACAAAACjEyODUuMzAyNzIBCAAAAAUAAAABMQEAAAALLTIxNDA5ODE0NjkDAAAAAzE2MAIAAAAFMjE2NzMEAAAAATAHAAAACTcvMTEvMjAyNggAAAAJNi8zMC8yMDE5CQAAAAEwzCosa2/f3ggDPGlub9/eCEJDSVEuTkFTREFROk1TRlQuSVFfUkVTVFJfU1RPQ0tfQ09NUF9QUkVUQVguMTAwMC4xMS8wNy8yMDI2Li4uVVNELkgBAAAAS1UAAAMAAAAAAMwqLGtv394I/Sdpbm/f3gg4Q0lRLk5BU0RBUTpNU0ZULklRX1NUT0NLX0JBU0VEX0FULjk5Ni4xMS8wNy8yMDI2Li4uVVNELkgBAAAAS1UAAAMAAAAAAMwqLGtv394I/Sdpbm/f3gg4Q0lRLk5BU0RBUTpNU0ZULklRX1NUT0NLX0JBU0VEX0dBLjk5OC4xMS8wNy8yMDI2Li4uVVNELkgBAAAAS1UAAAMAAAAAAMwqLGtv394I/Sdpbm/f3gg6Q0lRLk5BU0RBUTpNU0ZULklRX1NUT0NLX0JBU0VEX0NPR1MuOTk4LjExLzA3LzIwMjYuLi5VU0QuSAEAAABLVQAAAwAAAAAAzCosa2/f3gj9J2lub9/eCDtDSVEuTkFTREFROk1TRlQuSVFfTkVHQVRJVkVfR1dfQU1PUlQuOTk0LjExLzA3LzIwMjYuLi5VU0QuSAEAAABLVQAAAwAAAAAAzCosa2/f3gj9J2lub9/eCD5DSVEuTkFTREFROk1TRlQuSVFfTUlOT1JJVFlfSU5URVJFU1RfQ0YuOTk0LjExLzA3LzIwMjYuLi5VU0QuSAEAAABLVQAAAwAAAAAAzCosa2/f3gg0CWlub9/eCDtDSVEu</t>
  </si>
  <si>
    <t>TkFTREFROk1TRlQuSVFfR1dfSU5UQU5fQU1PUlRfQ0YuOTk2LjExLzA3LzIwMjYuLi5VU0QuSAEAAABLVQAAAgAAAAQxNjAwAQgAAAAFAAAAATEBAAAACy0yMDM2ODQzODQzAwAAAAMxNjACAAAABDIxODIEAAAAATAHAAAACTcvMTEvMjAyNggAAAAJNi8zMC8yMDIxCQAAAAEwzCosa2/f3gg0CWlub9/eCD5DSVEuTkFTREFROk1TRlQuSVFfU1RPQ0tfQkFTRURfQ09NUF9UQVguOTk4LjExLzA3LzIwMjYuLi5VU0QuSAEAAABLVQAAAgAAAAUtMTY1MQDMKixrb9/eCDQJaW5v394IRENJUS5OQVNEQVE6TVNGVC5JUV9TVE9DS19PUFRJT05TX0NPTVBfUFJFVEFYLjEwMDAuMTEvMDcvMjAyNi4uLlVTRC5IAQAAAEtVAAADAAAAAADMKixrb9/eCDQJaW5v394IOkNJUS5OQVNEQVE6TVNGVC5JUV9SRVNUUl9TVE9DS19DT01QLjk5NC4xMS8wNy8yMDI2Li4uVVNELkgBAAAAS1UAAAMAAAAAAMwqLGtv394I/Sdpbm/f3ggzQ0lRLk5BU0RBUTpNU0ZULklRX0NIQU5HRV9BUi45OTkuMTEvMDcvMjAyNi4uLlVTRC5IAQAAAEtVAAACAAAABS03MTkxAQgAAAAFAAAAATEBAAAACy0xOTM0MjU0MTg1AwAAAAMxNjACAAAABDIwMTgEAAAAATAHAAAACTcvMTEvMjAyNggAAAAJNi8zMC8yMDI0CQAAAAEwzCosa2/f3gidzWhub9/eCDhDSVEuTkFTREFROk1TRlQuSVFfT1RIRVJfT1BFUl9BQ1QuOTk3LjExLzA3LzIwMjYuLi5V</t>
  </si>
  <si>
    <t>U0QuSAEAAABLVQAAAgAAAAUtNTg0MgEIAAAABQAAAAExAQAAAAstMTk4NTkzMTIyNAMAAAADMTYwAgAAAAQyMDQ3BAAAAAEwBwAAAAk3LzExLzIwMjYIAAAACTYvMzAvMjAyMgkAAAABMMwqLGtv394Inc1obm/f3gg7Q0lRLk5BU0RBUTpNU0ZULklRX1BST1ZfQkFEX0RFQlRTX0NGLjk5NS4xMS8wNy8yMDI2Li4uVVNELkgBAAAAS1UAAAMAAAAAAMwqLGtv394Inc1obm/f3gg4Q0lRLk5BU0RBUTpNU0ZULklRX0NSRURJVF9MT1NTX0NGLjk5OC4xMS8wNy8yMDI2Li4uVVNELkgBAAAAS1UAAAMAAAAAAMwqLGtv394Inc1obm/f3gg5Q0lRLk5BU0RBUTpNU0ZULklRX0dBSU5fQVNTRVRTX0NGLjEwMDAuMTEvMDcvMjAyNi4uLlVTRC5IAQAAAEtVAAADAAAAAADMKixrb9/eCJ3NaG5v394IOENJUS5OQVNEQVE6TVNGVC5JUV9TVF9ERUJUX0lTU1VFRC45OTQuMTEvMDcvMjAyNi4uLlVTRC5IAQAAAEtVAAADAAAAAADMKixrb9/eCJ3NaG5v394IPkNJUS5OQVNEQVE6TVNGVC5JUV9TQUxFX1JFQUxfRVNUQVRFX0NGLjEwMDAuMTEvMDcvMjAyNi4uLlVTRC5IAQAAAEtVAAADAAAAAADMKixrb9/eCJ3NaG5v394IOUNJUS5OQVNEQVE6TVNGVC5JUV9DQVNIX0FDUVVJUkVfQ0YuOTk5LjExLzA3LzIwMjYuLi5VU0QuSAEAAABLVQAAAgAAAAYtNjkxMzIBCAAAAAUAAAABMQEAAAALLTE5MzQyNTQxODUDAAAAAzE2MAIA</t>
  </si>
  <si>
    <t>AAAEMjA1NwQAAAABMAcAAAAJNy8xMS8yMDI2CAAAAAk2LzMwLzIwMjQJAAAAATDMKixrb9/eCJ3NaG5v394IL0NJUS5OQVNEQVE6TVNGVC5JUV9DQVBFWC45OTcuMTEvMDcvMjAyNi4uLlVTRC5IAQAAAEtVAAACAAAABi0yMzg4NgEIAAAABQAAAAExAQAAAAstMTk4NTkzMTIyNAMAAAADMTYwAgAAAAQyMDIxBAAAAAEwBwAAAAk3LzExLzIwMjYIAAAACTYvMzAvMjAyMgkAAAABMMwqLGtv394Inc1obm/f3ghGQ0lRLk5BU0RBUTpNU0ZULklRX0NIQU5HRV9PVEhFUl9ORVRfT1BFUl9BU1NFVFMuOTk1LjExLzA3LzIwMjYuLi5VU0QuSAEAAABLVQAAAgAAAAQtNjczAQgAAAAFAAAAATEBAAAACy0yMDg3NDk2NjI3AwAAAAMxNjACAAAABDIwNDUEAAAAATAHAAAACTcvMTEvMjAyNggAAAAJNi8zMC8yMDIwCQAAAAEwzCosa2/f3gidzWhub9/eCDlDSVEuTkFTREFROk1TRlQuSVFfTkVUX0RFQlRfSVNTVUVELjk5Ni4xMS8wNy8yMDI2Li4uVVNELkgBAAAAS1UAAAIAAAAFLTM3NTABCAAAAAUAAAABMQEAAAALLTIwMzY4NDM4NDMDAAAAAzE2MAIAAAAEMjAwMwQAAAABMAcAAAAJNy8xMS8yMDI2CAAAAAk2LzMwLzIwMjEJAAAAATDMKixrb9/eCJ3NaG5v394IRUNJUS5OQVNEQVE6TVNGVC5JUV9TQUxFX1BST0NFRURTX1JFTlRBTF9BU1NFVFMuOTk2LjExLzA3LzIwMjYuLi5VU0QuSAEAAABLVQAAAwAAAAAAzCos</t>
  </si>
  <si>
    <t>a2/f3gidzWhub9/eCDRDSVEuTkFTREFROk1TRlQuSVFfTkVUX0NIQU5HRS45OTguMTEvMDcvMjAyNi4uLlVTRC5IAQAAAEtVAAACAAAABTIwNzczAQgAAAAFAAAAATEBAAAACy0xOTM0MjU0MjUwAwAAAAMxNjACAAAABDIwOTMEAAAAATAHAAAACTcvMTEvMjAyNggAAAAJNi8zMC8yMDIzCQAAAAEwzCosa2/f3gidzWhub9/eCDhDSVEuTkFTREFROk1TRlQuSVFfU1BFQ0lBTF9ESVZfQ0YuOTk4LjExLzA3LzIwMjYuLi5VU0QuSAEAAABLVQAAAwAAAAAAzCosa2/f3gidzWhub9/eCDJDSVEuTkFTREFROk1TRlQuSVFfUFJFRl9SRVAuOTk4LjExLzA3LzIwMjYuLi5VU0QuSAEAAABLVQAAAwAAAAAAzCosa2/f3gidzWhub9/eCDVDSVEuTkFTREFROk1TRlQuSVFfR0FJTl9JTlZFU1QuOTk5LjExLzA3LzIwMjYuLi5VU0QuSAEAAABLVQAAAgAAAAUtMTYxNAEIAAAABQAAAAExAQAAAAstMTkzNDI1NDE4NQMAAAADMTYwAgAAAAI2MgQAAAABMAcAAAAJNy8xMS8yMDI2CAAAAAk2LzMwLzIwMjQJAAAAATDMKixrb9/eCGemaG5v394IQkNJUS5OQVNEQVE6TVNGVC5JUV9PVEhFUl9OT05fT1BFUl9FWFBfU1VQUEwuOTk1LjExLzA3LzIwMjYuLi5VU0QuSAEAAABLVQAAAgAAAAMxMjcBCAAAAAUAAAABMQEAAAALLTIwODc0OTY2MjcDAAAAAzE2MAIAAAACODUEAAAAATAHAAAACTcvMTEvMjAyNggAAAAJNi8zMC8yMDIw</t>
  </si>
  <si>
    <t>CQAAAAEwzCosa2/f3ghnpmhub9/eCD1DSVEuTkFTREFROk1TRlQuSVFfSU5URVJFU1RfSU5WRVNUX0lOQy45OTcuMTEvMDcvMjAyNi4uLlVTRC5IAQAAAEtVAAACAAAABDIwOTQBCAAAAAUAAAABMQEAAAALLTE5ODU5MzEyMjQDAAAAAzE2MAIAAAACNjUEAAAAATAHAAAACTcvMTEvMjAyNggAAAAJNi8zMC8yMDIyCQAAAAEwzCosa2/f3ghnpmhub9/eCDRDSVEuTkFTREFROk1TRlQuSVFfT1RIRVJfT1BFUi45OTkuMTEvMDcvMjAyNi4uLlVTRC5IAQAAAEtVAAADAAAAAADMKixrb9/eCJ3NaG5v394IQkNJUS5OQVNEQVE6TVNGVC5JUV9PUEVSQVRJTkdfTEVBU0VfUEFZTUVOVFMuOTk3LjExLzA3LzIwMjYuLi5VU0QuSAEAAABLVQAAAwAAAAAAzCosa2/f3gidzWhub9/eCDhDSVEuTkFTREFROk1TRlQuSVFfRElMVVRfRVBTX0lOQ0wuOTk1LjExLzA3LzIwMjYuLi5VU0QuSAEAAABLVQAAAgAAAAQ1Ljc2AQgAAAAFAAAAATEBAAAACy0yMDg3NDk2NjI3AwAAAAMxNjACAAAAATgEAAAAATAHAAAACTcvMTEvMjAyNggAAAAJNi8zMC8yMDIwCQAAAAEwzCosa2/f3ghnpmhub9/eCDdDSVEuTkFTREFROk1TRlQuSVFfTklfQVZBSUxfRVhDTC45OTcuMTEvMDcvMjAyNi4uLlVTRC5IAQAAAEtVAAACAAAABTcyNzM4AQgAAAAFAAAAATEBAAAACy0xOTg1OTMxMjI0AwAAAAMxNjACAAAAAzM3OQQAAAABMAcAAAAJNy8x</t>
  </si>
  <si>
    <t>MS8yMDI2CAAAAAk2LzMwLzIwMjIJAAAAATDMKixrb9/eCGemaG5v394IPkNJUS5OQVNEQVE6TVNGVC5JUV9NSU5PUklUWV9JTlRFUkVTVF9JUy45OTkuMTEvMDcvMjAyNi4uLlVTRC5IAQAAAEtVAAADAAAAAADMKixrb9/eCGemaG5v394IMUNJUS5OQVNEQVE6TVNGVC5JUV9JTkNfVEFYLjk5NS4xMS8wNy8yMDI2Li4uVVNELkgBAAAAS1UAAAIAAAAEODc1NQEIAAAABQAAAAExAQAAAAstMjA4NzQ5NjYyNwMAAAADMTYwAgAAAAI3NQQAAAABMAcAAAAJNy8xMS8yMDI2CAAAAAk2LzMwLzIwMjAJAAAAATDMKixrb9/eCGemaG5v394INENJUS5OQVNEQVE6TVNGVC5JUV9JTlNfU0VUVExFLjk5Ny4xMS8wNy8yMDI2Li4uVVNELkgBAAAAS1UAAAMAAAAAAMwqLGtv394IZ6Zobm/f3gg5Q0lRLk5BU0RBUTpNU0ZULklRX0VCSVREQV9FWENMX1NCQy45OTkuMTEvMDcvMjAyNi4uLlVTRC5IAQAAAEtVAAACAAAABjE0MDE2NwEIAAAABQAAAAExAQAAAAstMTkzNDI1NDE4NQMAAAADMTYwAgAAAAUyNDEzNQQAAAABMAcAAAAJNy8xMS8yMDI2CAAAAAk2LzMwLzIwMjQJAAAAATDMKixrb9/eCGemaG5v394IN0NJUS5OQVNEQVE6TVNGVC5JUV9FQklUREFfRVFfSU5DLjk5NS4xMS8wNy8yMDI2Li4uVVNELkgBAAAAS1UAAAIAAAAFNjczMDIBCAAAAAUAAAABMQEAAAALLTIwODc0OTY2MjcDAAAAAzE2MAIAAAAFMjE2NzcE</t>
  </si>
  <si>
    <t>AAAAATAHAAAACTcvMTEvMjAyNggAAAAJNi8zMC8yMDIwCQAAAAEwzCosa2/f3ghnpmhub9/eCDtDSVEuTkFTREFROk1TRlQuSVFfU1BFQ0lBTF9ESVZfU0hBUkUuOTk3LjExLzA3LzIwMjYuLi5VU0QuSAEAAABLVQAAAwAAAAAAzCosa2/f3ghnpmhub9/eCE5DSVEuTkFTREFROk1TRlQuSVFfRElTVFJJQlVUQUJMRV9DQVNIX1BFUl9TSEFSRV9ESUxVVEVELjk5OS4xMS8wNy8yMDI2Li4uVVNELkgBAAAAS1UAAAMAAAAAAMwqLGtv394IZ6Zobm/f3ggyQ0lRLk5BU0RBUTpNU0ZULklRX0VQU19OT1JNLjk5NS4xMS8wNy8yMDI2Li4uVVNELkgBAAAAS1UAAAIAAAAINC4zNTMxNTMBCAAAAAUAAAABMQEAAAALLTIwODc0OTY2MjcDAAAAAzE2MAIAAAAENDM3OQQAAAABMAcAAAAJNy8xMS8yMDI2CAAAAAk2LzMwLzIwMjAJAAAAATDMKixrb9/eCGemaG5v394IPENJUS5OQVNEQVE6TVNGVC5JUV9BU19SRVBPUlRFRF9FQklUREEuOTk3LjExLzA3LzIwMjYuLi5VU0QuSAEAAABLVQAAAwAAAAAAzCosa2/f3gimkmhub9/eCDZDSVEuTkFTREFROk1TRlQuSVFfRUJJVERBX0NBUEVYLjk5OS4xMS8wNy8yMDI2Li4uVVNELkgBAAAAS1UAAAIAAAAFODQ5NTYBCAAAAAUAAAABMQEAAAALLTE5MzQyNTQxODUDAAAAAzE2MAIAAAAFMzUzNzkEAAAAATAHAAAACTcvMTEvMjAyNggAAAAJNi8zMC8yMDI0CQAAAAEwzCosa2/f</t>
  </si>
  <si>
    <t>3gimkmhub9/eCDhDSVEuTkFTREFROk1TRlQuSVFfRUJJVEFfRVhDTF9TQkMuOTk1LjExLzA3LzIwMjYuLi5VU0QuSAEAAABLVQAAAgAAAAU1OTg0OAEIAAAABQAAAAExAQAAAAstMjA4NzQ5NjYyNwMAAAADMTYwAgAAAAUyNDEzNgQAAAABMAcAAAAJNy8xMS8yMDI2CAAAAAk2LzMwLzIwMjAJAAAAATDMKixrb9/eCKaSaG5v394IN0NJUS5OQVNEQVE6TVNGVC5JUV9FQklUX0VYQ0xfU0JDLjk5Ny4xMS8wNy8yMDI2Li4uVVNELkgBAAAAS1UAAAIAAAAFOTA4ODUBCAAAAAUAAAABMQEAAAALLTE5ODU5MzEyMjQDAAAAAzE2MAIAAAAFMjQxMzQEAAAAATAHAAAACTcvMTEvMjAyNggAAAAJNi8zMC8yMDIyCQAAAAEwzCosa2/f3gimkmhub9/eCEtDSVEuTkFTREFROk1TRlQuSVFfRUJJVERBX0VRX0lOQ19FWENMX09QRVJfTEVBU0VfQURKLjk5OS4xMS8wNy8yMDI2Li4uVVNELkgBAAAAS1UAAAIAAAAGMTI5NDMzAQgAAAAFAAAAATEBAAAACy0xOTM0MjU0MTg1AwAAAAMxNjACAAAABTQ4OTg3BAAAAAEwBwAAAAk3LzExLzIwMjYIAAAACTYvMzAvMjAyNAkAAAABMMwqLGtv394IppJobm/f3gg6Q0lRLk5BU0RBUTpNU0ZULklRX0lOVF9FWFBfSU5DTF9DQVAuOTk1LjExLzA3LzIwMjYuLi5VU0QuSAEAAABLVQAAAgAAAAQyNTkxAQgAAAAFAAAAATEBAAAACy0yMDg3NDk2NjI3AwAAAAMxNjACAAAABTIxODYxBAAA</t>
  </si>
  <si>
    <t>AAEwBwAAAAk3LzExLzIwMjYIAAAACTYvMzAvMjAyMAkAAAABMMwqLGtv394IZGtobm/f3gg+Q0lRLk5BU0RBUTpNU0ZULklRX0NBUElUQUxJWkVEX0lOVEVSRVNULjk5NS4xMS8wNy8yMDI2Li4uVVNELkgBAAAAS1UAAAMAAAAAAMwqLGtv394IZGtobm/f3gg+Q0lRLk5BU0RBUTpNU0ZULklRX0RFRkVSUkVEX1RBWEVTX1RPVEFMLjk5Ny4xMS8wNy8yMDI2Li4uVVNELkgBAAAAS1UAAAIAAAAFLTU3MDIBCAAAAAUAAAABMQEAAAALLTE5ODU5MzEyMjQDAAAAAzE2MAIAAAAFMzUzODUEAAAAATAHAAAACTcvMTEvMjAyNggAAAAJNi8zMC8yMDIyCQAAAAEwzCosa2/f3ghka2hub9/eCDxDSVEuTkFTREFROk1TRlQuSVFfQ1VSUl9GT1JFSUdOX1RBWEVTLjk5OS4xMS8wNy8yMDI2Li4uVVNELkgBAAAAS1UAAAIAAAAEOTg1OAEIAAAABQAAAAExAQAAAAstMTkzNDI1NDE4NQMAAAADMTYwAgAAAAQzMDMwBAAAAAEwBwAAAAk3LzExLzIwMjYIAAAACTYvMzAvMjAyNAkAAAABMMwqLGtv394IZGtobm/f3gg5Q0lRLk5BU0RBUTpNU0ZULklRX0lOVEVSRVNUX0lOQ09NRS45OTUuMTEvMDcvMjAyNi4uLlVTRC5IAQAAAEtVAAACAAAABDI2ODABCAAAAAUAAAABMQEAAAALLTIwODc0OTY2MjcDAAAAAzE2MAIAAAADMjEwBAAAAAEwBwAAAAk3LzExLzIwMjYIAAAACTYvMzAvMjAyMAkAAAABMMwqLGtv394IZGtobm/f3gg4</t>
  </si>
  <si>
    <t>Q0lRLk5BU0RBUTpNU0ZULklRX01JTklNVU1fUkVOVEFMLjk5NS4xMS8wNy8yMDI2Li4uVVNELkgBAAAAS1UAAAMAAAAAAMwqLGtv394IZGtobm/f3gg7Q0lRLk5BU0RBUTpNU0ZULklRX05FVF9SRU5UQUxfRVhQX0ZOLjk5Ny4xMS8wNy8yMDI2Li4uVVNELkgBAAAAS1UAAAIAAAAEMjQ2MQEIAAAABQAAAAExAQAAAAstMTk4NTkzMTIyNAMAAAADMTYwAgAAAAQzMTcwBAAAAAEwBwAAAAk3LzExLzIwMjYIAAAACTYvMzAvMjAyMgkAAAABMMwqLGtv394IZGtobm/f3ggzQ0lRLk5BU0RBUTpNU0ZULklRX01BUktFVElORy45OTkuMTEvMDcvMjAyNi4uLlVTRC5IAQAAAEtVAAADAAAAAADMKixrb9/eCGRraG5v394INENJUS5OQVNEQVE6TVNGVC5JUV9DT01NT05fRElWLjk5Ny4xMS8wNy8yMDI2Li4uVVNELkgBAAAAS1UAAAIAAAAFMTg1NTIAzCosa2/f3ghka2hub9/eCDNDSVEuTkFTREFROk1TRlQuSVFfREFfRUJJVERBLjk5OS4xMS8wNy8yMDI2Li4uVVNELkgBAAAAS1UAAAIAAAAFMjAwMDABCAAAAAUAAAABMQEAAAALLTE5MzQyNTQxODUDAAAAAzE2MAIAAAAEMjIwNgQAAAABMAcAAAAJNy8xMS8yMDI2CAAAAAk2LzMwLzIwMjQJAAAAATDMKixrb9/eCGRraG5v394IOkNJUS5OQVNEQVE6TVNGVC5JUV9TVE9DS19CQVNFRF9DT0dTLjk5Ny4xMS8wNy8yMDI2Li4uVVNELkgBAAAAS1UAAAMAAAAAAMwqLGtv</t>
  </si>
  <si>
    <t>394IsVdobm/f3gg+Q0lRLk5BU0RBUTpNU0ZULklRX09USEVSX1VOVVNVQUxfU1VQUExFLjk5OS4xMS8wNy8yMDI2Li4uVVNELkgBAAAAS1UAAAMAAAAAAMwqLGtv394IZGtobm/f3gg1Q0lRLk5BU0RBUTpNU0ZULklRX0lQUkRfU1VQUExFLjk5NS4xMS8wNy8yMDI2Li4uVVNELkgBAAAAS1UAAAMAAAAAAMwqLGtv394IZGtobm/f3gg8Q0lRLk5BU0RBUTpNU0ZULklRX1JFU1RSVUNUVVJFX1NVUFBMRS45OTcuMTEvMDcvMjAyNi4uLlVTRC5IAQAAAEtVAAADAAAAAADMKixrb9/eCGRraG5v394INkNJUS5OQVNEQVE6TVNGVC5JUV9NQUlOVF9SRVBBSVIuOTk5LjExLzA3LzIwMjYuLi5VU0QuSAEAAABLVQAAAwAAAAAAzCosa2/f3ghka2hub9/eCD5DSVEuTkFTREFROk1TRlQuSVFfU1RPQ0tfQkFTRURfQ09NUF9UQVguOTk3LjExLzA3LzIwMjYuLi5VU0QuSAEAAABLVQAAAgAAAAUtMTI5MwAXUixrb9/eCLFXaG5v394IQENJUS5OQVNEQVE6TVNGVC5JUV9TVE9DS19PUFRJT05TX0NPTVBfVEFYLjk5Ny4xMS8wNy8yMDI2Li4uVVNELkgBAAAAS1UAAAMAAAAAABdSLGtv394IsVdobm/f3ghBQ0lRLk5BU0RBUTpNU0ZULklRX1JFU1RSX1NUT0NLX0NPTVBfUFJFVEFYLjk5OS4xMS8wNy8yMDI2Li4uVVNELkgBAAAAS1UAAAMAAAAAABdSLGtv394IsVdobm/f3gg4Q0lRLk5BU0RBUTpNU0ZULklRX1NUT0NLX0JB</t>
  </si>
  <si>
    <t>U0VEX0FULjk5NS4xMS8wNy8yMDI2Li4uVVNELkgBAAAAS1UAAAMAAAAAABdSLGtv394IsVdobm/f3gg5Q0lRLk5BU0RBUTpNU0ZULklRX1NUT0NLX0JBU0VEX1NHQS45OTUuMTEvMDcvMjAyNi4uLlVTRC5IAQAAAEtVAAADAAAAAAAXUixrb9/eCLFXaG5v394IO0NJUS5OQVNEQVE6TVNGVC5JUV9QUk9WX0JBRF9ERUJUU19DRi45OTQuMTEvMDcvMjAyNi4uLlVTRC5IAQAAAEtVAAADAAAAAAAXUixrb9/eCGQwaG5v394IOENJUS5OQVNEQVE6TVNGVC5JUV9DUkVESVRfTE9TU19DRi45OTcuMTEvMDcvMjAyNi4uLlVTRC5IAQAAAEtVAAADAAAAAAAXUixrb9/eCGQwaG5v394IOENJUS5OQVNEQVE6TVNGVC5JUV9HQUlOX0FTU0VUU19DRi45OTkuMTEvMDcvMjAyNi4uLlVTRC5IAQAAAEtVAAADAAAAAAAXUixrb9/eCGQwaG5v394IL0NJUS5OQVNEQVE6TVNGVC5JUV9EQV9DRi45OTkuMTEvMDcvMjAyNi4uLlVTRC5IAQAAAEtVAAACAAAABTIwMDAwAQgAAAAFAAAAATEBAAAACy0xOTM0MjU0MTg1AwAAAAMxNjACAAAABDIxNjAEAAAAATAHAAAACTcvMTEvMjAyNggAAAAJNi8zMC8yMDI0CQAAAAEwF1Isa2/f3ghkMGhub9/eCDtDSVEuTkFTREFROk1TRlQuSVFfR1dfSU5UQU5fQU1PUlRfQ0YuOTk1LjExLzA3LzIwMjYuLi5VU0QuSAEAAABLVQAAAgAAAAQxNjAwAQgAAAAFAAAAATEBAAAACy0yMDg3NDk2NjI3</t>
  </si>
  <si>
    <t>AwAAAAMxNjACAAAABDIxODIEAAAAATAHAAAACTcvMTEvMjAyNggAAAAJNi8zMC8yMDIwCQAAAAEwF1Isa2/f3ghkMGhub9/eCC9DSVEuTkFTREFROk1TRlQuSVFfQ0FQRVguOTk2LjExLzA3LzIwMjYuLi5VU0QuSAEAAABLVQAAAgAAAAYtMjA2MjIBCAAAAAUAAAABMQEAAAALLTIwMzY4NDM4NDMDAAAAAzE2MAIAAAAEMjAyMQQAAAABMAcAAAAJNy8xMS8yMDI2CAAAAAk2LzMwLzIwMjEJAAAAATAXUixrb9/eCGQwaG5v394IRkNJUS5OQVNEQVE6TVNGVC5JUV9DSEFOR0VfT1RIRVJfTkVUX09QRVJfQVNTRVRTLjk5NC4xMS8wNy8yMDI2Li4uVVNELkgBAAAAS1UAAAIAAAAFLTE1NDIBCAAAAAUAAAABMQEAAAALLTIxNDA5ODE0NjkDAAAAAzE2MAIAAAAEMjA0NQQAAAABMAcAAAAJNy8xMS8yMDI2CAAAAAk2LzMwLzIwMTkJAAAAATAXUixrb9/eCGQwaG5v394INENJUS5OQVNEQVE6TVNGVC5JUV9DSEFOR0VfQVAuMTAwMC4xMS8wNy8yMDI2Li4uVVNELkgBAAAAS1UAAAIAAAADNTY5AQgAAAAFAAAAATEBAAAACy0xOTM0MjU0MjE2AwAAAAMxNjACAAAABDIwMTcEAAAAATAHAAAACTcvMTEvMjAyNggAAAAJNi8zMC8yMDI1CQAAAAEwF1Isa2/f3ghkMGhub9/eCDNDSVEuTkFTREFROk1TRlQuSVFfQ0hBTkdFX0FSLjk5OC4xMS8wNy8yMDI2Li4uVVNELkgBAAAAS1UAAAIAAAAFLTQwODcBCAAAAAUAAAABMQEA</t>
  </si>
  <si>
    <t>AAALLTE5MzQyNTQyNTADAAAAAzE2MAIAAAAEMjAxOAQAAAABMAcAAAAJNy8xMS8yMDI2CAAAAAk2LzMwLzIwMjMJAAAAATAXUixrb9/eCGQwaG5v394IOENJUS5OQVNEQVE6TVNGVC5JUV9PVEhFUl9PUEVSX0FDVC45OTYuMTEvMDcvMjAyNi4uLlVTRC5IAQAAAEtVAAACAAAAAzYzNgEIAAAABQAAAAExAQAAAAstMjAzNjg0Mzg0MwMAAAADMTYwAgAAAAQyMDQ3BAAAAAEwBwAAAAk3LzExLzIwMjYIAAAACTYvMzAvMjAyMQkAAAABMBdSLGtv394IZDBobm/f3gg0Q0lRLk5BU0RBUTpNU0ZULklRX05FVF9DSEFOR0UuOTk3LjExLzA3LzIwMjYuLi5VU0QuSAEAAABLVQAAAgAAAAQtMjkzAQgAAAAFAAAAATEBAAAACy0xOTg1OTMxMjI0AwAAAAMxNjACAAAABDIwOTMEAAAAATAHAAAACTcvMTEvMjAyNggAAAAJNi8zMC8yMDIyCQAAAAEwF1Isa2/f3gjiG2hub9/eCDhDSVEuTkFTREFROk1TRlQuSVFfU1BFQ0lBTF9ESVZfQ0YuOTk3LjExLzA3LzIwMjYuLi5VU0QuSAEAAABLVQAAAwAAAAAAF1Isa2/f3gjiG2hub9/eCDJDSVEuTkFTREFROk1TRlQuSVFfUFJFRl9SRVAuOTk3LjExLzA3LzIwMjYuLi5VU0QuSAEAAABLVQAAAwAAAAAAF1Isa2/f3gjiG2hub9/eCD1DSVEuTkFTREFROk1TRlQuSVFfU0FMRV9SRUFMX0VTVEFURV9DRi45OTkuMTEvMDcvMjAyNi4uLlVTRC5IAQAAAEtVAAADAAAAAAAXUixrb9/e</t>
  </si>
  <si>
    <t>CGQwaG5v394IOUNJUS5OQVNEQVE6TVNGVC5JUV9DQVNIX0FDUVVJUkVfQ0YuOTk3LjExLzA3LzIwMjYuLi5VU0QuSAEAAABLVQAAAgAAAAYtMjIwMzgBCAAAAAUAAAABMQEAAAALLTE5ODU5MzEyMjQDAAAAAzE2MAIAAAAEMjA1NwQAAAABMAcAAAAJNy8xMS8yMDI2CAAAAAk2LzMwLzIwMjIJAAAAATAXUixrb9/eCGQwaG5v394IN0NJUS5OQVNEQVE6TVNGVC5JUV9FQklUX0VYQ0xfU0JDLjk5Ni4xMS8wNy8yMDI2Li4uVVNELkgBAAAAS1UAAAIAAAAFNzYwMzQBCAAAAAUAAAABMQEAAAALLTIwMzY4NDM4NDMDAAAAAzE2MAIAAAAFMjQxMzQEAAAAATAHAAAACTcvMTEvMjAyNggAAAAJNi8zMC8yMDIxCQAAAAEwF1Isa2/f3ghy4Gdub9/eCEVDSVEuTkFTREFROk1TRlQuSVFfT1BFUkFUSU5HX0xFQVNFX0xJQUJJTElUSUVTLjk5NC4xMS8wNy8yMDI2Li4uVVNELkgBAAAAS1UAAAMAAAAAABdSLGtv394IcuBnbm/f3gg5Q0lRLk5BU0RBUTpNU0ZULklRX05FVF9ERUJUX0lTU1VFRC45OTUuMTEvMDcvMjAyNi4uLlVTRC5IAQAAAEtVAAACAAAABS01NTE4AQgAAAAFAAAAATEBAAAACy0yMDg3NDk2NjI3AwAAAAMxNjACAAAABDIwMDMEAAAAATAHAAAACTcvMTEvMjAyNggAAAAJNi8zMC8yMDIwCQAAAAEwF1Isa2/f3gjiG2hub9/eCEBDSVEuTkFTREFROk1TRlQuSVFfQ0FTSF9JTlRFUkVTVF9SRUNFSVZFRC45</t>
  </si>
  <si>
    <t>OTYuMTEvMDcvMjAyNi4uLlVTRC5IAQAAAEtVAAADAAAAAAAXUixrb9/eCOIbaG5v394IRUNJUS5OQVNEQVE6TVNGVC5JUV9TQUxFX1BST0NFRURTX1JFTlRBTF9BU1NFVFMuOTk1LjExLzA3LzIwMjYuLi5VU0QuSAEAAABLVQAAAwAAAAAAF1Isa2/f3gjiG2hub9/eCDxDSVEuTkFTREFROk1TRlQuSVFfQVNfUkVQT1JURURfRUJJVERBLjk5Ni4xMS8wNy8yMDI2Li4uVVNELkgBAAAAS1UAAAMAAAAAABdSLGtv394IcuBnbm/f3gg2Q0lRLk5BU0RBUTpNU0ZULklRX0VCSVREQV9DQVBFWC45OTguMTEvMDcvMjAyNi4uLlVTRC5IAQAAAEtVAAACAAAABTczOTE2AQgAAAAFAAAAATEBAAAACy0xOTM0MjU0MjUwAwAAAAMxNjACAAAABTM1Mzc5BAAAAAEwBwAAAAk3LzExLzIwMjYIAAAACTYvMzAvMjAyMwkAAAABMBdSLGtv394IcuBnbm/f3gg4Q0lRLk5BU0RBUTpNU0ZULklRX0VCSVREQVJfRVFfSU5DLjk5OC4xMS8wNy8yMDI2Li4uVVNELkgBAAAAS1UAAAIAAAAGMTA3NzczAQgAAAAFAAAAATEBAAAACy0xOTM0MjU0MjUwAwAAAAMxNjACAAAABTI0MTI5BAAAAAEwBwAAAAk3LzExLzIwMjYIAAAACTYvMzAvMjAyMwkAAAABMBdSLGtv394IcuBnbm/f3gg4Q0lRLk5BU0RBUTpNU0ZULklRX0VCSVRBX0VYQ0xfU0JDLjk5NC4xMS8wNy8yMDI2Li4uVVNELkgBAAAAS1UAAAIAAAAFNDk1MTEBCAAAAAUAAAABMQEA</t>
  </si>
  <si>
    <t>AAALLTIxNDA5ODE0NjkDAAAAAzE2MAIAAAAFMjQxMzYEAAAAATAHAAAACTcvMTEvMjAyNggAAAAJNi8zMC8yMDE5CQAAAAEwF1Isa2/f3ghy4Gdub9/eCDdDSVEuTkFTREFROk1TRlQuSVFfRUJJVEFfRVFfSU5DLjEwMDAuMTEvMDcvMjAyNi4uLlVTRC5IAQAAAEtVAAACAAAABjEzNDUyOAEIAAAABQAAAAExAQAAAAstMTkzNDI1NDIxNgMAAAADMTYwAgAAAAUyMTY3NgQAAAABMAcAAAAJNy8xMS8yMDI2CAAAAAk2LzMwLzIwMjUJAAAAATAXUixrb9/eCHLgZ25v394IPkNJUS5OQVNEQVE6TVNGVC5JUV9ERUZFUlJFRF9UQVhFU19UT1RBTC45OTYuMTEvMDcvMjAyNi4uLlVTRC5IAQAAAEtVAAACAAAABC0xNTABCAAAAAUAAAABMQEAAAALLTIwMzY4NDM4NDMDAAAAAzE2MAIAAAAFMzUzODUEAAAAATAHAAAACTcvMTEvMjAyNggAAAAJNi8zMC8yMDIxCQAAAAEwF1Isa2/f3ghy4Gdub9/eCDxDSVEuTkFTREFROk1TRlQuSVFfQ1VSUl9GT1JFSUdOX1RBWEVTLjk5OC4xMS8wNy8yMDI2Li4uVVNELkgBAAAAS1UAAAIAAAAENjY3OAEIAAAABQAAAAExAQAAAAstMTkzNDI1NDI1MAMAAAADMTYwAgAAAAQzMDMwBAAAAAEwBwAAAAk3LzExLzIwMjYIAAAACTYvMzAvMjAyMwkAAAABMBdSLGtv394IcuBnbm/f3gg8Q0lRLk5BU0RBUTpNU0ZULklRX0lOVkVTVE1FTlRfSU5DT01FLjEwMDAuMTEvMDcvMjAyNi4uLlVT</t>
  </si>
  <si>
    <t>RC5IAQAAAEtVAAADAAAAAAAXUixrb9/eCHLgZ25v394IOUNJUS5OQVNEQVE6TVNGVC5JUV9JTlRFUkVTVF9JTkNPTUUuOTk0LjExLzA3LzIwMjYuLi5VU0QuSAEAAABLVQAAAgAAAAQyNzYyAQgAAAAFAAAAATEBAAAACy0yMTQwOTgxNDY5AwAAAAMxNjACAAAAAzIxMAQAAAABMAcAAAAJNy8xMS8yMDI2CAAAAAk2LzMwLzIwMTkJAAAAATAXUixrb9/eCHLgZ25v394IRENJUS5OQVNEQVE6TVNGVC5JUV9FQVJOSU5HX1BBUkVOVF9FWENMX0VYVFJBLjEwMDAuMTEvMDcvMjAyNi4uLlVTRC5IAQAAAEtVAAACAAAABjEwMTgzMgEIAAAABQAAAAExAQAAAAstMTkzNDI1NDIxNgMAAAADMTYwAgAAAAU0MTU5NgQAAAABMAcAAAAJNy8xMS8yMDI2CAAAAAk2LzMwLzIwMjUJAAAAATAXUixrb9/eCHLgZ25v394IO0NJUS5OQVNEQVE6TVNGVC5JUV9ORVRfUkVOVEFMX0VYUF9GTi45OTYuMTEvMDcvMjAyNi4uLlVTRC5IAQAAAEtVAAACAAAABDIxMjcBCAAAAAUAAAABMQEAAAALLTIwMzY4NDM4NDMDAAAAAzE2MAIAAAAEMzE3MAQAAAABMAcAAAAJNy8xMS8yMDI2CAAAAAk2LzMwLzIwMjEJAAAAATAXUixrb9/eCHLgZ25v394IOUNJUS5OQVNEQVE6TVNGVC5JUV9TQUxFU19NQVJLRVRJTkcuOTk2LjExLzA3LzIwMjYuLi5VU0QuSAEAAABLVQAAAgAAAAUyMDExNwEIAAAABQAAAAExAQAAAAstMjAzNjg0Mzg0MwMAAAAD</t>
  </si>
  <si>
    <t>MTYwAgAAAAUyMTU2MQQAAAABMAcAAAAJNy8xMS8yMDI2CAAAAAk2LzMwLzIwMjEJAAAAATAXUixrb9/eCHLgZ25v394IM0NJUS5OQVNEQVE6TVNGVC5JUV9EQV9FQklUREEuOTk4LjExLzA3LzIwMjYuLi5VU0QuSAEAAABLVQAAAgAAAAUxMzUwMAEIAAAABQAAAAExAQAAAAstMTkzNDI1NDI1MAMAAAADMTYwAgAAAAQyMjA2BAAAAAEwBwAAAAk3LzExLzIwMjYIAAAACTYvMzAvMjAyMwkAAAABMBdSLGtv394IcuBnbm/f3gg2Q0lRLk5BU0RBUTpNU0ZULklRX0lOVF9FWFBfTFRELjEwMDAuMTEvMDcvMjAyNi4uLlVTRC5IAQAAAEtVAAACAAAABDE0MTcBCAAAAAUAAAABMQEAAAALLTE5MzQyNTQyMTYDAAAAAzE2MAIAAAAEMzEwMQQAAAABMAcAAAAJNy8xMS8yMDI2CAAAAAk2LzMwLzIwMjUJAAAAATAXUixrb9/eCHLgZ25v394IPkNJUS5OQVNEQVE6TVNGVC5JUV9DQVBJVEFMSVpFRF9JTlRFUkVTVC45OTQuMTEvMDcvMjAyNi4uLlVTRC5IAQAAAEtVAAADAAAAAAAXUixrb9/eCHLgZ25v394IPENJUS5OQVNEQVE6TVNGVC5JUV9SRVNUUlVDVFVSRV9TVVBQTEUuOTk2LjExLzA3LzIwMjYuLi5VU0QuSAEAAABLVQAAAwAAAAAAF1Isa2/f3gizpGdub9/eCDZDSVEuTkFTREFROk1TRlQuSVFfTUFJTlRfUkVQQUlSLjk5OC4xMS8wNy8yMDI2Li4uVVNELkgBAAAAS1UAAAMAAAAAABdSLGtv394Is6Rnbm/f3gg3</t>
  </si>
  <si>
    <t>Q0lRLk5BU0RBUTpNU0ZULklRX0FJUkNSQUZUX1JFTlQuOTk4LjExLzA3LzIwMjYuLi5VU0QuSAEAAABLVQAAAwAAAAAAF1Isa2/f3ghy4Gdub9/eCDhDSVEuTkFTREFROk1TRlQuSVFfTUlOSU1VTV9SRU5UQUwuOTk0LjExLzA3LzIwMjYuLi5VU0QuSAEAAABLVQAAAwAAAAAAF1Isa2/f3ghy4Gdub9/eCEBDSVEuTkFTREFROk1TRlQuSVFfTkVUX1JFTlRBTF9FWFBfU1VQUExFLjEwMDAuMTEvMDcvMjAyNi4uLlVTRC5IAQAAAEtVAAACAAAABDU1MjQBCAAAAAUAAAABMQEAAAALLTE5MzQyNTQyMTYDAAAAAzE2MAIAAAAFMjQyNjMEAAAAATAHAAAACTcvMTEvMjAyNggAAAAJNi8zMC8yMDI1CQAAAAEwF1Isa2/f3ghy4Gdub9/eCDpDSVEuTkFTREFROk1TRlQuSVFfU1RPQ0tfQkFTRURfQ09HUy45OTYuMTEvMDcvMjAyNi4uLlVTRC5IAQAAAEtVAAADAAAAAAAXUixrb9/eCLOkZ25v394IPkNJUS5OQVNEQVE6TVNGVC5JUV9PVEhFUl9VTlVTVUFMX1NVUFBMRS45OTguMTEvMDcvMjAyNi4uLlVTRC5IAQAAAEtVAAADAAAAAAAXUixrb9/eCLOkZ25v394IO0NJUS5OQVNEQVE6TVNGVC5JUV9HQUlOX0JBUkdBSU5fQUNRLjEwMDAuMTEvMDcvMjAyNi4uLlVTRC5IAQAAAEtVAAADAAAAAAAXUixrb9/eCLOkZ25v394INUNJUS5OQVNEQVE6TVNGVC5JUV9JUFJEX1NVUFBMRS45OTQuMTEvMDcvMjAyNi4uLlVTRC5I</t>
  </si>
  <si>
    <t>AQAAAEtVAAADAAAAAAAXUixrb9/eCLOkZ25v394IP0NJUS5OQVNEQVE6TVNGVC5JUV9JTVBBSVJNRU5UX0dXX1NVUFBMRS4xMDAwLjExLzA3LzIwMjYuLi5VU0QuSAEAAABLVQAAAwAAAAAAF1Isa2/f3gizpGdub9/eCDpDSVEuTkFTREFROk1TRlQuSVFfU1RPQ0tfQkFTRURfQ09NUC45OTQuMTEvMDcvMjAyNi4uLlVTRC5IAQAAAEtVAAACAAAABDM4MzYAF1Isa2/f3gizpGdub9/eCEBDSVEuTkFTREFROk1TRlQuSVFfU1RPQ0tfT1BUSU9OU19DT01QX1RBWC45OTYuMTEvMDcvMjAyNi4uLlVTRC5IAQAAAEtVAAADAAAAAAAXUixrb9/eCLOkZ25v394IQUNJUS5OQVNEQVE6TVNGVC5JUV9SRVNUUl9TVE9DS19DT01QX1BSRVRBWC45OTguMTEvMDcvMjAyNi4uLlVTRC5IAQAAAEtVAAADAAAAAAAXUixrb9/eCLOkZ25v394IRENJUS5OQVNEQVE6TVNGVC5JUV9TVE9DS19CQVNFRF9FWFBMT1JFX0RSSUxMLjEwMDAuMTEvMDcvMjAyNi4uLlVTRC5IAQAAAEtVAAADAAAAAAAXUixrb9/eCLOkZ25v394IOUNJUS5OQVNEQVE6TVNGVC5JUV9TVE9DS19CQVNFRF9TR0EuOTk0LjExLzA3LzIwMjYuLi5VU0QuSAEAAABLVQAAAwAAAAAAF1Isa2/f3gizpGdub9/eCDhDSVEuTkFTREFROk1TRlQuSVFfQ1JFRElUX0xPU1NfQ0YuOTk2LjExLzA3LzIwMjYuLi5VU0QuSAEAAABLVQAAAwAAAAAAF1Isa2/f3gizpGdub9/e</t>
  </si>
  <si>
    <t>CDhDSVEuTkFTREFROk1TRlQuSVFfR0FJTl9JTlZFU1RfQ0YuOTk2LjExLzA3LzIwMjYuLi5VU0QuSAEAAABLVQAAAgAAAAUtMTI0OQEIAAAABQAAAAExAQAAAAstMjAzNjg0Mzg0MwMAAAADMTYwAgAAAAQyMDkwBAAAAAEwBwAAAAk3LzExLzIwMjYIAAAACTYvMzAvMjAyMQkAAAABMBdSLGtv394Is6Rnbm/f3ggvQ0lRLk5BU0RBUTpNU0ZULklRX0RBX0NGLjk5OC4xMS8wNy8yMDI2Li4uVVNELkgBAAAAS1UAAAIAAAAFMTM1MDABCAAAAAUAAAABMQEAAAALLTE5MzQyNTQyNTADAAAAAzE2MAIAAAAEMjE2MAQAAAABMAcAAAAJNy8xMS8yMDI2CAAAAAk2LzMwLzIwMjMJAAAAATAXUixrb9/eCLOkZ25v394IO0NJUS5OQVNEQVE6TVNGVC5JUV9HV19JTlRBTl9BTU9SVF9DRi45OTQuMTEvMDcvMjAyNi4uLlVTRC5IAQAAAEtVAAACAAAABDE5MDABCAAAAAUAAAABMQEAAAALLTIxNDA5ODE0NjkDAAAAAzE2MAIAAAAEMjE4MgQAAAABMAcAAAAJNy8xMS8yMDI2CAAAAAk2LzMwLzIwMTkJAAAAATAXUixrb9/eCLOkZ25v394IMENJUS5OQVNEQVE6TVNGVC5JUV9OSV9DRi4xMDAwLjExLzA3LzIwMjYuLi5VU0QuSAEAAABLVQAAAgAAAAYxMDE4MzIBCAAAAAUAAAABMQEAAAALLTE5MzQyNTQyMTYDAAAAAzE2MAIAAAAEMjE1MAQAAAABMAcAAAAJNy8xMS8yMDI2CAAAAAk2LzMwLzIwMjUJAAAAATAXUixrb9/eCLOk</t>
  </si>
  <si>
    <t>Z25v394IL0NJUS5OQVNEQVE6TVNGVC5JUV9DQVBFWC45OTUuMTEvMDcvMjAyNi4uLlVTRC5IAQAAAEtVAAACAAAABi0xNTQ0MQEIAAAABQAAAAExAQAAAAstMjA4NzQ5NjYyNwMAAAADMTYwAgAAAAQyMDIxBAAAAAEwBwAAAAk3LzExLzIwMjYIAAAACTYvMzAvMjAyMAkAAAABMBdSLGtv394IoZBnbm/f3ggzQ0lRLk5BU0RBUTpNU0ZULklRX0NIQU5HRV9BUC45OTkuMTEvMDcvMjAyNi4uLlVTRC5IAQAAAEtVAAACAAAABDM1NDUBCAAAAAUAAAABMQEAAAALLTE5MzQyNTQxODUDAAAAAzE2MAIAAAAEMjAxNwQAAAABMAcAAAAJNy8xMS8yMDI2CAAAAAk2LzMwLzIwMjQJAAAAATAXUixrb9/eCKGQZ25v394IM0NJUS5OQVNEQVE6TVNGVC5JUV9DSEFOR0VfQVIuOTk3LjExLzA3LzIwMjYuLi5VU0QuSAEAAABLVQAAAgAAAAUtNjgzNAEIAAAABQAAAAExAQAAAAstMTk4NTkzMTIyNAMAAAADMTYwAgAAAAQyMDE4BAAAAAEwBwAAAAk3LzExLzIwMjYIAAAACTYvMzAvMjAyMgkAAAABMBdSLGtv394IoZBnbm/f3gg4Q0lRLk5BU0RBUTpNU0ZULklRX09USEVSX09QRVJfQUNULjk5NS4xMS8wNy8yMDI2Li4uVVNELkgBAAAAS1UAAAIAAAADNTA3AQgAAAAFAAAAATEBAAAACy0yMDg3NDk2NjI3AwAAAAMxNjACAAAABDIwNDcEAAAAATAHAAAACTcvMTEvMjAyNggAAAAJNi8zMC8yMDIwCQAAAAEwF1Isa2/f3gizpGdu</t>
  </si>
  <si>
    <t>b9/eCDlDSVEuTkFTREFROk1TRlQuSVFfU1RPQ0tfQkFTRURfQ0YuMTAwMC4xMS8wNy8yMDI2Li4uVVNELkgBAAAAS1UAAAIAAAAFMTE5NzQBCAAAAAUAAAABMQEAAAALLTE5MzQyNTQyMTYDAAAAAzE2MAIAAAAEMjEyNwQAAAABMAcAAAAJNy8xMS8yMDI2CAAAAAk2LzMwLzIwMjUJAAAAATAXUixrb9/eCLOkZ25v394IMkNJUS5OQVNEQVE6TVNGVC5JUV9QUkVGX1JFUC45OTYuMTEvMDcvMjAyNi4uLlVTRC5IAQAAAEtVAAADAAAAAAAXUixrb9/eCLR7Z25v394INENJUS5OQVNEQVE6TVNGVC5JUV9DT01NT05fUkVQLjk5OS4xMS8wNy8yMDI2Li4uVVNELkgBAAAAS1UAAAIAAAAGLTE3MjU0AQgAAAAFAAAAATEBAAAACy0xOTM0MjU0MTg1AwAAAAMxNjACAAAABDIxNjQEAAAAATAHAAAACTcvMTEvMjAyNggAAAAJNi8zMC8yMDI0CQAAAAEwF1Isa2/f3gi0e2dub9/eCDxDSVEuTkFTREFROk1TRlQuSVFfSU5WRVNUX1NFQ1VSSVRZX0NGLjk5OS4xMS8wNy8yMDI2Li4uVVNELkgBAAAAS1UAAAIAAAAFMTc5MzcBCAAAAAUAAAABMQEAAAALLTE5MzQyNTQxODUDAAAAAzE2MAIAAAAEMjAyNwQAAAABMAcAAAAJNy8xMS8yMDI2CAAAAAk2LzMwLzIwMjQJAAAAATAXUixrb9/eCKGQZ25v394IPUNJUS5OQVNEQVE6TVNGVC5JUV9TQUxFX1JFQUxfRVNUQVRFX0NGLjk5OC4xMS8wNy8yMDI2Li4uVVNELkgBAAAAS1UA</t>
  </si>
  <si>
    <t>AAMAAAAAABdSLGtv394IoZBnbm/f3gg5Q0lRLk5BU0RBUTpNU0ZULklRX0NBU0hfQUNRVUlSRV9DRi45OTYuMTEvMDcvMjAyNi4uLlVTRC5IAQAAAEtVAAACAAAABS04OTA5AQgAAAAFAAAAATEBAAAACy0yMDM2ODQzODQzAwAAAAMxNjACAAAABDIwNTcEAAAAATAHAAAACTcvMTEvMjAyNggAAAAJNi8zMC8yMDIxCQAAAAEwF1Isa2/f3gihkGdub9/eCEVDSVEuTkFTREFROk1TRlQuSVFfU0FMRV9QUk9DRUVEU19SRU5UQUxfQVNTRVRTLjk5NC4xMS8wNy8yMDI2Li4uVVNELkgBAAAAS1UAAAMAAAAAABdSLGtv394I9Wdnbm/f3ghBQ0lRLk5BU0RBUTpNU0ZULklRX0RBX0NGX0VYQ0xfT1BFUl9MRUFTRVMuMTAwMC4xMS8wNy8yMDI2Li4uVVNELkgBAAAAS1UAAAIAAAAFMjgwMDABCAAAAAUAAAABMQEAAAALLTE5MzQyNTQyMTYDAAAAAzE2MAIAAAAFNDg5ODUEAAAAATAHAAAACTcvMTEvMjAyNggAAAAJNi8zMC8yMDI1CQAAAAEwF1Isa2/f3gj1Z2dub9/eCENDSVEuTkFTREFROk1TRlQuSVFfR1dfSU5UQU5fQU1PUlRfUEFSVElBTF9DRi45OTguMTEvMDcvMjAyNi4uLlVTRC5IAQAAAEtVAAADAAAAAAAXUixrb9/eCPVnZ25v394ILENJUS5OQVNEQVE6TVNGVC5JUV9GWC45OTkuMTEvMDcvMjAyNi4uLlVTRC5IAQAAAEtVAAACAAAABC0yMTABCAAAAAUAAAABMQEAAAALLTE5MzQyNTQxODUDAAAAAzE2MAIA</t>
  </si>
  <si>
    <t>AAAEMjE0NAQAAAABMAcAAAAJNy8xMS8yMDI2CAAAAAk2LzMwLzIwMjQJAAAAATAXUixrb9/eCLR7Z25v394IOENJUS5OQVNEQVE6TVNGVC5JUV9TUEVDSUFMX0RJVl9DRi45OTYuMTEvMDcvMjAyNi4uLlVTRC5IAQAAAEtVAAADAAAAAAAXUixrb9/eCLR7Z25v394INkNJUS5OQVNEQVE6TVNGVC5JUV9FQklUQV9FUV9JTkMuOTk5LjExLzA3LzIwMjYuLi5VU0QuSAEAAABLVQAAAgAAAAYxMTQyMzMBCAAAAAUAAAABMQEAAAALLTE5MzQyNTQxODUDAAAAAzE2MAIAAAAFMjE2NzYEAAAAATAHAAAACTcvMTEvMjAyNggAAAAJNi8zMC8yMDI0CQAAAAEwF1Isa2/f3givQGdub9/eCC5DSVEuTkFTREFROk1TRlQuSVFfRUJJVC45OTUuMTEvMDcvMjAyNi4uLlVTRC5IAQAAAEtVAAACAAAABTUyOTU5AQgAAAAFAAAAATEBAAAACy0yMDg3NDk2NjI3AwAAAAMxNjACAAAAAzQwMAQAAAABMAcAAAAJNy8xMS8yMDI2CAAAAAk2LzMwLzIwMjAJAAAAATAXUixrb9/eCK9AZ25v394IOUNJUS5OQVNEQVE6TVNGVC5JUV9FQklUREFfRVhDTF9TQkMuOTk3LjExLzA3LzIwMjYuLi5VU0QuSAEAAABLVQAAAgAAAAYxMDU0ODUBCAAAAAUAAAABMQEAAAALLTE5ODU5MzEyMjQDAAAAAzE2MAIAAAAFMjQxMzUEAAAAATAHAAAACTcvMTEvMjAyNggAAAAJNi8zMC8yMDIyCQAAAAEwF1Isa2/f3gj1Z2dub9/eCERDSVEuTkFTREFROk1T</t>
  </si>
  <si>
    <t>RlQuSVFfQ0hBTkdFX05FVF9XT1JLSU5HX0NBUElUQUwuOTk3LjExLzA3LzIwMjYuLi5VU0QuSAEAAABLVQAAAgAAAAQtNDI4AQgAAAAFAAAAATEBAAAACy0xOTg1OTMxMjI0AwAAAAMxNjACAAAABDQ0MjEEAAAAATAHAAAACTcvMTEvMjAyNggAAAAJNi8zMC8yMDIyCQAAAAEwF1Isa2/f3gj1Z2dub9/eCDRDSVEuTkFTREFROk1TRlQuSVFfQ0FTSF9UQVhFUy45OTguMTEvMDcvMjAyNi4uLlVTRC5IAQAAAEtVAAACAAAABTIzMTAwAQgAAAAFAAAAATEBAAAACy0xOTM0MjU0MjUwAwAAAAMxNjACAAAABDMwNTMEAAAAATAHAAAACTcvMTEvMjAyNggAAAAJNi8zMC8yMDIzCQAAAAEwF1Isa2/f3gj1Z2dub9/eCEFDSVEuTkFTREFROk1TRlQuSVFfRVhDSVNFX1RBWEVTX0VYQ0xfU0FMRVMuOTk3LjExLzA3LzIwMjYuLi5VU0QuSAEAAABLVQAAAwAAAAAAF1Isa2/f3givQGdub9/eCENDSVEuTkFTREFROk1TRlQuSVFfRUFSTklOR19QQVJFTlRfRVhDTF9FWFRSQS45OTkuMTEvMDcvMjAyNi4uLlVTRC5IAQAAAEtVAAACAAAABTg4MTM2AQgAAAAFAAAAATEBAAAACy0xOTM0MjU0MTg1AwAAAAMxNjACAAAABTQxNTk2BAAAAAEwBwAAAAk3LzExLzIwMjYIAAAACTYvMzAvMjAyNAkAAAABMBdSLGtv394Ir0Bnbm/f3gg8Q0lRLk5BU0RBUTpNU0ZULklRX0FTX1JFUE9SVEVEX0VCSVREQS45OTUuMTEvMDcvMjAyNi4u</t>
  </si>
  <si>
    <t>LlVTRC5IAQAAAEtVAAADAAAAAAAXUixrb9/eCK9AZ25v394IO0NJUS5OQVNEQVE6TVNGVC5JUV9GRUVTX09USEVSX0lOQ09NRS45OTUuMTEvMDcvMjAyNi4uLlVTRC5IAQAAAEtVAAADAAAAAAAXUixrb9/eCK9AZ25v394IOENJUS5OQVNEQVE6TVNGVC5JUV9FQklUREFSX0VRX0lOQy45OTcuMTEvMDcvMjAyNi4uLlVTRC5IAQAAAEtVAAACAAAABjEwMjg3MwEIAAAABQAAAAExAQAAAAstMTk4NTkzMTIyNAMAAAADMTYwAgAAAAUyNDEyOQQAAAABMAcAAAAJNy8xMS8yMDI2CAAAAAk2LzMwLzIwMjIJAAAAATAXUixrb9/eCK9AZ25v394IM0NJUS5OQVNEQVE6TVNGVC5JUV9EQV9FQklUREEuOTk3LjExLzA3LzIwMjYuLi5VU0QuSAEAAABLVQAAAgAAAAUxNDYwMAEIAAAABQAAAAExAQAAAAstMTk4NTkzMTIyNAMAAAADMTYwAgAAAAQyMjA2BAAAAAEwBwAAAAk3LzExLzIwMjYIAAAACTYvMzAvMjAyMgkAAAABMBdSLGtv394Ir0Bnbm/f3gg1Q0lRLk5BU0RBUTpNU0ZULklRX0lOVF9FWFBfTFRELjk5OS4xMS8wNy8yMDI2Li4uVVNELkgBAAAAS1UAAAIAAAADNzM0AQgAAAAFAAAAATEBAAAACy0xOTM0MjU0MTg1AwAAAAMxNjACAAAABDMxMDEEAAAAATAHAAAACTcvMTEvMjAyNggAAAAJNi8zMC8yMDI0CQAAAAEwF1Isa2/f3givQGdub9/eCDFDSVEuTkFTREFROk1TRlQuSVFfTklfTk9STS45OTkuMTEvMDcv</t>
  </si>
  <si>
    <t>MjAyNi4uLlVTRC5IAQAAAEtVAAACAAAACTY4Mzc1LjYyNQEIAAAABQAAAAExAQAAAAstMTkzNDI1NDE4NQMAAAADMTYwAgAAAAQ0Mzc4BAAAAAEwBwAAAAk3LzExLzIwMjYIAAAACTYvMzAvMjAyNAkAAAABMBdSLGtv394Ir0Bnbm/f3gg+Q0lRLk5BU0RBUTpNU0ZULklRX0RFRkVSUkVEX1RBWEVTX1RPVEFMLjk5NS4xMS8wNy8yMDI2Li4uVVNELkgBAAAAS1UAAAIAAAACMTEBCAAAAAUAAAABMQEAAAALLTIwODc0OTY2MjcDAAAAAzE2MAIAAAAFMzUzODUEAAAAATAHAAAACTcvMTEvMjAyNggAAAAJNi8zMC8yMDIwCQAAAAEwF1Isa2/f3givQGdub9/eCDxDSVEuTkFTREFROk1TRlQuSVFfQ1VSUl9GT1JFSUdOX1RBWEVTLjk5Ny4xMS8wNy8yMDI2Li4uVVNELkgBAAAAS1UAAAIAAAAENjY3MgEIAAAABQAAAAExAQAAAAstMTk4NTkzMTIyNAMAAAADMTYwAgAAAAQzMDMwBAAAAAEwBwAAAAk3LzExLzIwMjYIAAAACTYvMzAvMjAyMgkAAAABMBdSLGtv394Ir0Bnbm/f3gg8Q0lRLk5BU0RBUTpNU0ZULklRX1JFU1RSVUNUVVJFX1NVUFBMRS45OTUuMTEvMDcvMjAyNi4uLlVTRC5IAQAAAEtVAAADAAAAAAAXUixrb9/eCF0EZ25v394IQkNJUS5OQVNEQVE6TVNGVC5JUV9JTVBVVF9PUEVSX0xFQVNFX0lOVF9FWFAuOTk1LjExLzA3LzIwMjYuLi5VU0QuSAEAAABLVQAAAgAAAAo1MDIuNDMwOTA0AQgAAAAFAAAA</t>
  </si>
  <si>
    <t>ATEBAAAACy0yMDg3NDk2NjI3AwAAAAMxNjACAAAABTIxNjcyBAAAAAEwBwAAAAk3LzExLzIwMjYIAAAACTYvMzAvMjAyMAkAAAABMBdSLGtv394IXQRnbm/f3gg3Q0lRLk5BU0RBUTpNU0ZULklRX0FJUkNSQUZUX1JFTlQuOTk3LjExLzA3LzIwMjYuLi5VU0QuSAEAAABLVQAAAwAAAAAAF1Isa2/f3ghdBGdub9/eCD9DSVEuTkFTREFROk1TRlQuSVFfTkVUX1JFTlRBTF9FWFBfU1VQUExFLjk5OS4xMS8wNy8yMDI2Li4uVVNELkgBAAAAS1UAAAIAAAAEMzU1NQEIAAAABQAAAAExAQAAAAstMTkzNDI1NDE4NQMAAAADMTYwAgAAAAUyNDI2MwQAAAABMAcAAAAJNy8xMS8yMDI2CAAAAAk2LzMwLzIwMjQJAAAAATAXUixrb9/eCF0EZ25v394IOUNJUS5OQVNEQVE6TVNGVC5JUV9TQUxFU19NQVJLRVRJTkcuOTk1LjExLzA3LzIwMjYuLi5VU0QuSAEAAABLVQAAAgAAAAUxOTU5OAEIAAAABQAAAAExAQAAAAstMjA4NzQ5NjYyNwMAAAADMTYwAgAAAAUyMTU2MQQAAAABMAcAAAAJNy8xMS8yMDI2CAAAAAk2LzMwLzIwMjAJAAAAATAXUixrb9/eCF0EZ25v394IOENJUS5OQVNEQVE6TVNGVC5JUV9TVE9DS19CQVNFRF9TTS45OTkuMTEvMDcvMjAyNi4uLlVTRC5IAQAAAEtVAAADAAAAAAAXUixrb9/eCF0EZ25v394IOkNJUS5OQVNEQVE6TVNGVC5JUV9TVE9DS19CQVNFRF9DT0dTLjk5NS4xMS8wNy8yMDI2Li4uVVNE</t>
  </si>
  <si>
    <t>LkgBAAAAS1UAAAMAAAAAABdSLGtv394IXQRnbm/f3gg+Q0lRLk5BU0RBUTpNU0ZULklRX09USEVSX1VOVVNVQUxfU1VQUExFLjk5Ny4xMS8wNy8yMDI2Li4uVVNELkgBAAAAS1UAAAMAAAAAABdSLGtv394IXQRnbm/f3ghBQ0lRLk5BU0RBUTpNU0ZULklRX0dBSU5fQkFSR0FJTl9BQ1FfU1VQUExFLjk5Ny4xMS8wNy8yMDI2Li4uVVNELkgBAAAAS1UAAAMAAAAAANFlLGtv394IXQRnbm/f3gg+Q0lRLk5BU0RBUTpNU0ZULklRX0lNUEFJUk1FTlRfR1dfU1VQUExFLjk5OS4xMS8wNy8yMDI2Li4uVVNELkgBAAAAS1UAAAMAAAAAANFlLGtv394IXQRnbm/f3ggvQ0lRLk5BU0RBUTpNU0ZULklRX0RBX0NGLjk5Ny4xMS8wNy8yMDI2Li4uVVNELkgBAAAAS1UAAAIAAAAFMTQ2MDABCAAAAAUAAAABMQEAAAALLTE5ODU5MzEyMjQDAAAAAzE2MAIAAAAEMjE2MAQAAAABMAcAAAAJNy8xMS8yMDI2CAAAAAk2LzMwLzIwMjIJAAAAATDRZSxrb9/eCF0EZ25v394IL0NJUS5OQVNEQVE6TVNGVC5JUV9OSV9DRi45OTkuMTEvMDcvMjAyNi4uLlVTRC5IAQAAAEtVAAACAAAABTg4MTM2AQgAAAAFAAAAATEBAAAACy0xOTM0MjU0MTg1AwAAAAMxNjACAAAABDIxNTAEAAAAATAHAAAACTcvMTEvMjAyNggAAAAJNi8zMC8yMDI0CQAAAAEw0WUsa2/f3ghdBGdub9/eCEBDSVEuTkFTREFROk1TRlQuSVFfU1RPQ0tfT1BUSU9OU19D</t>
  </si>
  <si>
    <t>T01QX1RBWC45OTUuMTEvMDcvMjAyNi4uLlVTRC5IAQAAAEtVAAADAAAAAADRZSxrb9/eCF0EZ25v394IQUNJUS5OQVNEQVE6TVNGVC5JUV9SRVNUUl9TVE9DS19DT01QX1BSRVRBWC45OTcuMTEvMDcvMjAyNi4uLlVTRC5IAQAAAEtVAAADAAAAAADRZSxrb9/eCF0EZ25v394IQ0NJUS5OQVNEQVE6TVNGVC5JUV9TVE9DS19CQVNFRF9FWFBMT1JFX0RSSUxMLjk5OS4xMS8wNy8yMDI2Li4uVVNELkgBAAAAS1UAAAMAAAAAANFlLGtv394IXQRnbm/f3ggzQ0lRLk5BU0RBUTpNU0ZULklRX0NIQU5HRV9BUC45OTguMTEvMDcvMjAyNi4uLlVTRC5IAQAAAEtVAAACAAAABS0yNzIxAQgAAAAFAAAAATEBAAAACy0xOTM0MjU0MjUwAwAAAAMxNjACAAAABDIwMTcEAAAAATAHAAAACTcvMTEvMjAyNggAAAAJNi8zMC8yMDIzCQAAAAEw0WUsa2/f3ghdBGdub9/eCDNDSVEuTkFTREFROk1TRlQuSVFfQ0hBTkdFX0FSLjk5Ni4xMS8wNy8yMDI2Li4uVVNELkgBAAAAS1UAAAIAAAAFLTY0ODEBCAAAAAUAAAABMQEAAAALLTIwMzY4NDM4NDMDAAAAAzE2MAIAAAAEMjAxOAQAAAABMAcAAAAJNy8xMS8yMDI2CAAAAAk2LzMwLzIwMjEJAAAAATDRZSxrb9/eCF0EZ25v394IOENJUS5OQVNEQVE6TVNGVC5JUV9PVEhFUl9PUEVSX0FDVC45OTQuMTEvMDcvMjAyNi4uLlVTRC5IAQAAAEtVAAACAAAABS02MzgxAQgAAAAFAAAAATEB</t>
  </si>
  <si>
    <t>AAAACy0yMTQwOTgxNDY5AwAAAAMxNjACAAAABDIwNDcEAAAAATAHAAAACTcvMTEvMjAyNggAAAAJNi8zMC8yMDE5CQAAAAEw0WUsa2/f3ghdBGdub9/eCDhDSVEuTkFTREFROk1TRlQuSVFfU1RPQ0tfQkFTRURfQ0YuOTk5LjExLzA3LzIwMjYuLi5VU0QuSAEAAABLVQAAAgAAAAUxMDczNAEIAAAABQAAAAExAQAAAAstMTkzNDI1NDE4NQMAAAADMTYwAgAAAAQyMTI3BAAAAAEwBwAAAAk3LzExLzIwMjYIAAAACTYvMzAvMjAyNAkAAAABMNFlLGtv394IXQRnbm/f3gg4Q0lRLk5BU0RBUTpNU0ZULklRX0dBSU5fSU5WRVNUX0NGLjk5NS4xMS8wNy8yMDI2Li4uVVNELkgBAAAAS1UAAAIAAAAELTIxOQEIAAAABQAAAAExAQAAAAstMjA4NzQ5NjYyNwMAAAADMTYwAgAAAAQyMDkwBAAAAAEwBwAAAAk3LzExLzIwMjYIAAAACTYvMzAvMjAyMAkAAAABMNFlLGtv394IXQRnbm/f3ghBQ0lRLk5BU0RBUTpNU0ZULklRX09USEVSX0lOVkVTVF9BQ1RfU1VQUEwuMTAwMC4xMS8wNy8yMDI2Li4uVVNELkgBAAAAS1UAAAIAAAAEMjMxNwEIAAAABQAAAAExAQAAAAstMTkzNDI1NDIxNgMAAAADMTYwAgAAAAQyMDUxBAAAAAEwBwAAAAk3LzExLzIwMjYIAAAACTYvMzAvMjAyNQkAAAABMNFlLGtv394IB8hmbm/f3gg8Q0lRLk5BU0RBUTpNU0ZULklRX0lOVkVTVF9TRUNVUklUWV9DRi45OTguMTEvMDcvMjAyNi4uLlVTRC5I</t>
  </si>
  <si>
    <t>AQAAAEtVAAACAAAABTEwMjEzAQgAAAAFAAAAATEBAAAACy0xOTM0MjU0MjUwAwAAAAMxNjACAAAABDIwMjcEAAAAATAHAAAACTcvMTEvMjAyNggAAAAJNi8zMC8yMDIzCQAAAAEw0WUsa2/f3ggHyGZub9/eCD1DSVEuTkFTREFROk1TRlQuSVFfU0FMRV9SRUFMX0VTVEFURV9DRi45OTcuMTEvMDcvMjAyNi4uLlVTRC5IAQAAAEtVAAADAAAAAADRZSxrb9/eCAfIZm5v394IOUNJUS5OQVNEQVE6TVNGVC5JUV9DQVNIX0FDUVVJUkVfQ0YuOTk1LjExLzA3LzIwMjYuLi5VU0QuSAEAAABLVQAAAgAAAAUtMjUyMQEIAAAABQAAAAExAQAAAAstMjA4NzQ5NjYyNwMAAAADMTYwAgAAAAQyMDU3BAAAAAEwBwAAAAk3LzExLzIwMjYIAAAACTYvMzAvMjAyMAkAAAABMNFlLGtv394IB8hmbm/f3gg5Q0lRLk5BU0RBUTpNU0ZULklRX0NIQU5HRV9JTkNfVEFYLjEwMDAuMTEvMDcvMjAyNi4uLlVTRC5IAQAAAEtVAAACAAAAAy0zOAEIAAAABQAAAAExAQAAAAstMTkzNDI1NDIxNgMAAAADMTYwAgAAAAQyMTAxBAAAAAEwBwAAAAk3LzExLzIwMjYIAAAACTYvMzAvMjAyNQkAAAABMNFlLGtv394IB8hmbm/f3ghDQ0lRLk5BU0RBUTpNU0ZULklRX0dXX0lOVEFOX0FNT1JUX1BBUlRJQUxfQ0YuOTk3LjExLzA3LzIwMjYuLi5VU0QuSAEAAABLVQAAAwAAAAAA0WUsa2/f3ggHyGZub9/eCCxDSVEuTkFTREFROk1TRlQuSVFfRlgu</t>
  </si>
  <si>
    <t>OTk4LjExLzA3LzIwMjYuLi5VU0QuSAEAAABLVQAAAgAAAAQtMTk0AQgAAAAFAAAAATEBAAAACy0xOTM0MjU0MjUwAwAAAAMxNjACAAAABDIxNDQEAAAAATAHAAAACTcvMTEvMjAyNggAAAAJNi8zMC8yMDIzCQAAAAEw0WUsa2/f3ggHyGZub9/eCDxDSVEuTkFTREFROk1TRlQuSVFfQ09NTU9OX1BSRUZfRElWX0NGLjk5OS4xMS8wNy8yMDI2Li4uVVNELkgBAAAAS1UAAAMAAAAAANFlLGtv394IB8hmbm/f3gg0Q0lRLk5BU0RBUTpNU0ZULklRX0NPTU1PTl9SRVAuOTk4LjExLzA3LzIwMjYuLi5VU0QuSAEAAABLVQAAAgAAAAYtMjIyNDUBCAAAAAUAAAABMQEAAAALLTE5MzQyNTQyNTADAAAAAzE2MAIAAAAEMjE2NAQAAAABMAcAAAAJNy8xMS8yMDI2CAAAAAk2LzMwLzIwMjMJAAAAATDRZSxrb9/eCAfIZm5v394IOUNJUS5OQVNEQVE6TVNGVC5JUV9TVF9ERUJUX0lTU1VFRC4xMDAwLjExLzA3LzIwMjYuLi5VU0QuSAEAAABLVQAAAwAAAAAA0WUsa2/f3ggHyGZub9/eCEVDSVEuTkFTREFROk1TRlQuSVFfT1BFUkFUSU5HX0xFQVNFX0xJQUJJTElUSUVTLjk5Ni4xMS8wNy8yMDI2Li4uVVNELkgBAAAAS1UAAAMAAAAAANFlLGtv394IB8hmbm/f3gg6Q0lRLk5BU0RBUTpNU0ZULklRX05FVF9ERUJUX0lTU1VFRC4xMDAwLjExLzA3LzIwMjYuLi5VU0QuSAEAAABLVQAAAgAAAAUtODk2MgEIAAAABQAAAAExAQAA</t>
  </si>
  <si>
    <t>AAstMTkzNDI1NDIxNgMAAAADMTYwAgAAAAQyMDAzBAAAAAEwBwAAAAk3LzExLzIwMjYIAAAACTYvMzAvMjAyNQkAAAABMNFlLGtv394IB8hmbm/f3ghEQ0lRLk5BU0RBUTpNU0ZULklRX0NIQU5HRV9ORVRfV09SS0lOR19DQVBJVEFMLjk5NC4xMS8wNy8yMDI2Li4uVVNELkgBAAAAS1UAAAIAAAAFLTM0MzUBCAAAAAUAAAABMQEAAAALLTIxNDA5ODE0NjkDAAAAAzE2MAIAAAAENDQyMQQAAAABMAcAAAAJNy8xMS8yMDI2CAAAAAk2LzMwLzIwMTkJAAAAATDRZSxrb9/eCAfIZm5v394IOUNJUS5OQVNEQVE6TVNGVC5JUV9DQVNIX1RBWEVTX09QRVIuOTk1LjExLzA3LzIwMjYuLi5VU0QuSAEAAABLVQAAAwAAAAAA0WUsa2/f3ggHyGZub9/eCD5DSVEuTkFTREFROk1TRlQuSVFfTkVHQVRJVkVfR1dfQU1PUlRfQ0YuOTk3LjExLzA3LzIwMjYuLi5VU0QuSAEAAABLVQAAAwAAAAAA0WUsa2/f3ggHyGZub9/eCEJDSVEuTkFTREFROk1TRlQuSVFfREVGRVJSRURfRE9NRVNUSUNfVEFYRVMuMTAwMC4xMS8wNy8yMDI2Li4uVVNELkgBAAAAS1UAAAIAAAAFLTczMzcBCAAAAAUAAAABMQEAAAALLTE5MzQyNTQyMTYDAAAAAzE2MAIAAAAEMzA1NAQAAAABMAcAAAAJNy8xMS8yMDI2CAAAAAk2LzMwLzIwMjUJAAAAATDRZSxrb9/eCI+yZm5v394INENJUS5OQVNEQVE6TVNGVC5JUV9DVVJSX1RBWEVTLjk5NC4xMS8wNy8y</t>
  </si>
  <si>
    <t>MDI2Li4uVVNELkgBAAAAS1UAAAIAAAAFMTA5MTEBCAAAAAUAAAABMQEAAAALLTIxNDA5ODE0NjkDAAAAAzE2MAIAAAAFMzUzODMEAAAAATAHAAAACTcvMTEvMjAyNggAAAAJNi8zMC8yMDE5CQAAAAEw0WUsa2/f3giPsmZub9/eCEFDSVEuTkFTREFROk1TRlQuSVFfRVhDSVNFX1RBWEVTX0VYQ0xfU0FMRVMuOTk2LjExLzA3LzIwMjYuLi5VU0QuSAEAAABLVQAAAwAAAAAA0WUsa2/f3giPsmZub9/eCENDSVEuTkFTREFROk1TRlQuSVFfRUFSTklOR19QQVJFTlRfRVhDTF9FWFRSQS45OTguMTEvMDcvMjAyNi4uLlVTRC5IAQAAAEtVAAACAAAABTcyMzYxAQgAAAAFAAAAATEBAAAACy0xOTM0MjU0MjUwAwAAAAMxNjACAAAABTQxNTk2BAAAAAEwBwAAAAk3LzExLzIwMjYIAAAACTYvMzAvMjAyMwkAAAABMNFlLGtv394IB8hmbm/f3gg7Q0lRLk5BU0RBUTpNU0ZULklRX0ZFRVNfT1RIRVJfSU5DT01FLjk5NC4xMS8wNy8yMDI2Li4uVVNELkgBAAAAS1UAAAMAAAAAANFlLGtv394IB8hmbm/f3ghKQ0lRLk5BU0RBUTpNU0ZULklRX0RJU1RSSUJVVEFCTEVfQ0FTSF9TVEFOREFSRElaRUQuMTAwMC4xMS8wNy8yMDI2Li4uVVNELkgBAAAAS1UAAAMAAAAAANFlLGtv394IVJ1mbm/f3ggzQ0lRLk5BU0RBUTpNU0ZULklRX0RBX0VCSVREQS45OTYuMTEvMDcvMjAyNi4uLlVTRC5IAQAAAEtVAAACAAAABTEwOTAwAQgA</t>
  </si>
  <si>
    <t>AAAFAAAAATEBAAAACy0yMDM2ODQzODQzAwAAAAMxNjACAAAABDIyMDYEAAAAATAHAAAACTcvMTEvMjAyNggAAAAJNi8zMC8yMDIxCQAAAAEw0WUsa2/f3ghUnWZub9/eCEtDSVEuTkFTREFROk1TRlQuSVFfSU5URVJFU1RfRVhQX0xFQVNFX0xJQUJJTElUWV9ERUJULjk5Ni4xMS8wNy8yMDI2Li4uVVNELkgBAAAAS1UAAAIAAAADMzg2AQgAAAAFAAAAATEBAAAACy0yMDM2ODQzODQzAwAAAAMxNjACAAAABTQ4OTA3BAAAAAEwBwAAAAk3LzExLzIwMjYIAAAACTYvMzAvMjAyMQkAAAABMNFlLGtv394IVJ1mbm/f3ggxQ0lRLk5BU0RBUTpNU0ZULklRX05JX05PUk0uOTk4LjExLzA3LzIwMjYuLi5VU0QuSAEAAABLVQAAAgAAAAg1NjA1OC43NQEIAAAABQAAAAExAQAAAAstMTkzNDI1NDI1MAMAAAADMTYwAgAAAAQ0Mzc4BAAAAAEwBwAAAAk3LzExLzIwMjYIAAAACTYvMzAvMjAyMwkAAAABMNFlLGtv394IVJ1mbm/f3gg+Q0lRLk5BU0RBUTpNU0ZULklRX0RFRkVSUkVEX1RBWEVTX1RPVEFMLjk5NC4xMS8wNy8yMDI2Li4uVVNELkgBAAAAS1UAAAIAAAAFLTY0NjMBCAAAAAUAAAABMQEAAAALLTIxNDA5ODE0NjkDAAAAAzE2MAIAAAAFMzUzODUEAAAAATAHAAAACTcvMTEvMjAyNggAAAAJNi8zMC8yMDE5CQAAAAEw0WUsa2/f3ghUnWZub9/eCDdDSVEuTkFTREFROk1TRlQuSVFfQUlSQ1JBRlRfUkVOVC45OTYu</t>
  </si>
  <si>
    <t>MTEvMDcvMjAyNi4uLlVTRC5IAQAAAEtVAAADAAAAAADRZSxrb9/eCOGIZm5v394IP0NJUS5OQVNEQVE6TVNGVC5JUV9ORVRfUkVOVEFMX0VYUF9TVVBQTEUuOTk4LjExLzA3LzIwMjYuLi5VU0QuSAEAAABLVQAAAgAAAAQyODc1AQgAAAAFAAAAATEBAAAACy0xOTM0MjU0MjUwAwAAAAMxNjACAAAABTI0MjYzBAAAAAEwBwAAAAk3LzExLzIwMjYIAAAACTYvMzAvMjAyMwkAAAABMNFlLGtv394I4Yhmbm/f3ggxQ0lRLk5BU0RBUTpNU0ZULklRX0dBX0VYUC4xMDAwLjExLzA3LzIwMjYuLi5VU0QuSAEAAABLVQAAAgAAAAQ3MjIzAQgAAAAFAAAAATEBAAAACy0xOTM0MjU0MjE2AwAAAAMxNjACAAAABTIxNTYyBAAAAAEwBwAAAAk3LzExLzIwMjYIAAAACTYvMzAvMjAyNQkAAAABMNFlLGtv394I4Yhmbm/f3gg5Q0lRLk5BU0RBUTpNU0ZULklRX1NBTEVTX01BUktFVElORy45OTQuMTEvMDcvMjAyNi4uLlVTRC5IAQAAAEtVAAACAAAABTE4MjEzAQgAAAAFAAAAATEBAAAACy0yMTQwOTgxNDY5AwAAAAMxNjACAAAABTIxNTYxBAAAAAEwBwAAAAk3LzExLzIwMjYIAAAACTYvMzAvMjAxOQkAAAABMNFlLGtv394IVJ1mbm/f3gg2Q0lRLk5BU0RBUTpNU0ZULklRX0FEVkVSVElTSU5HLjEwMDAuMTEvMDcvMjAyNi4uLlVTRC5IAQAAAEtVAAACAAAABDIxMDABCAAAAAUAAAABMQEAAAALLTE5MzQyNTQyMTYDAAAAAzE2</t>
  </si>
  <si>
    <t>MAIAAAAEMzAxMwQAAAABMAcAAAAJNy8xMS8yMDI2CAAAAAk2LzMwLzIwMjUJAAAAATDRZSxrb9/eCFSdZm5v394IPkNJUS5OQVNEQVE6TVNGVC5JUV9UT1RBTF9VTlVTVUFMX1NVUFBMRS45OTQuMTEvMDcvMjAyNi4uLlVTRC5IAQAAAEtVAAADAAAAAADRZSxrb9/eCBtzZm5v394IQUNJUS5OQVNEQVE6TVNGVC5JUV9HQUlOX0JBUkdBSU5fQUNRX1NVUFBMRS45OTYuMTEvMDcvMjAyNi4uLlVTRC5IAQAAAEtVAAADAAAAAADRZSxrb9/eCOGIZm5v394IPkNJUS5OQVNEQVE6TVNGVC5JUV9JTVBBSVJNRU5UX0dXX1NVUFBMRS45OTguMTEvMDcvMjAyNi4uLlVTRC5IAQAAAEtVAAADAAAAAADRZSxrb9/eCOGIZm5v394IQENJUS5OQVNEQVE6TVNGVC5JUV9JTVBVVF9PUEVSX0xFQVNFX0RFUFIuMTAwMC4xMS8wNy8yMDI2Li4uVVNELkgBAAAAS1UAAAIAAAALNDUwMy41NjI1MjgBCAAAAAUAAAABMQEAAAALLTE5MzQyNTQyMTYDAAAAAzE2MAIAAAAFMjE2NzMEAAAAATAHAAAACTcvMTEvMjAyNggAAAAJNi8zMC8yMDI1CQAAAAEw0WUsa2/f3gjhiGZub9/eCEJDSVEuTkFTREFROk1TRlQuSVFfSU1QVVRfT1BFUl9MRUFTRV9JTlRfRVhQLjk5NC4xMS8wNy8yMDI2Li4uVVNELkgBAAAAS1UAAAIAAAAJNDIxLjY5NzI4AQgAAAAFAAAAATEBAAAACy0yMTQwOTgxNDY5AwAAAAMxNjACAAAABTIxNjcyBAAAAAEwBwAA</t>
  </si>
  <si>
    <t>AAk3LzExLzIwMjYIAAAACTYvMzAvMjAxOQkAAAABMNFlLGtv394I4Yhmbm/f3ghBQ0lRLk5BU0RBUTpNU0ZULklRX1JFU1RSX1NUT0NLX0NPTVBfUFJFVEFYLjk5Ni4xMS8wNy8yMDI2Li4uVVNELkgBAAAAS1UAAAMAAAAAANFlLGtv394IG3Nmbm/f3gg7Q0lRLk5BU0RBUTpNU0ZULklRX1NUT0NLX0JBU0VEX09USEVSLjk5Ni4xMS8wNy8yMDI2Li4uVVNELkgBAAAAS1UAAAIAAAAENjExOAEIAAAABQAAAAExAQAAAAstMjAzNjg0Mzg0MwMAAAADMTYwAgAAAAUyMjY3NgQAAAABMAcAAAAJNy8xMS8yMDI2CAAAAAk2LzMwLzIwMjEJAAAAATDRZSxrb9/eCBtzZm5v394IOENJUS5OQVNEQVE6TVNGVC5JUV9TVE9DS19CQVNFRF9TTS45OTguMTEvMDcvMjAyNi4uLlVTRC5IAQAAAEtVAAADAAAAAADRZSxrb9/eCBtzZm5v394IOkNJUS5OQVNEQVE6TVNGVC5JUV9TVE9DS19CQVNFRF9DT0dTLjk5NC4xMS8wNy8yMDI2Li4uVVNELkgBAAAAS1UAAAMAAAAAANFlLGtv394IG3Nmbm/f3gg8Q0lRLk5BU0RBUTpNU0ZULklRX05FR0FUSVZFX0dXX0FNT1JULjEwMDAuMTEvMDcvMjAyNi4uLlVTRC5IAQAAAEtVAAADAAAAAADRZSxrb9/eCBtzZm5v394IL0NJUS5OQVNEQVE6TVNGVC5JUV9EQV9DRi45OTYuMTEvMDcvMjAyNi4uLlVTRC5IAQAAAEtVAAACAAAABTEwOTAwAQgAAAAFAAAAATEBAAAACy0yMDM2ODQzODQz</t>
  </si>
  <si>
    <t>AwAAAAMxNjACAAAABDIxNjAEAAAAATAHAAAACTcvMTEvMjAyNggAAAAJNi8zMC8yMDIxCQAAAAEw0WUsa2/f3gjYNmZub9/eCC9DSVEuTkFTREFROk1TRlQuSVFfTklfQ0YuOTk4LjExLzA3LzIwMjYuLi5VU0QuSAEAAABLVQAAAgAAAAU3MjM2MQEIAAAABQAAAAExAQAAAAstMTkzNDI1NDI1MAMAAAADMTYwAgAAAAQyMTUwBAAAAAEwBwAAAAk3LzExLzIwMjYIAAAACTYvMzAvMjAyMwkAAAABMNFlLGtv394I2DZmbm/f3ghBQ0lRLk5BU0RBUTpNU0ZULklRX1NUT0NLX0JBU0VEX0NPTVBfUFJFVEFYLjk5OC4xMS8wNy8yMDI2Li4uVVNELkgBAAAAS1UAAAIAAAAEOTYxMQDRZSxrb9/eCNg2Zm5v394IQENJUS5OQVNEQVE6TVNGVC5JUV9TVE9DS19PUFRJT05TX0NPTVBfVEFYLjk5NC4xMS8wNy8yMDI2Li4uVVNELkgBAAAAS1UAAAMAAAAAANFlLGtv394IG3Nmbm/f3gg7Q0lRLk5BU0RBUTpNU0ZULklRX1JFU1RSX1NUT0NLX0NPTVAuMTAwMC4xMS8wNy8yMDI2Li4uVVNELkgBAAAAS1UAAAMAAAAAANFlLGtv394IG3Nmbm/f3ggzQ0lRLk5BU0RBUTpNU0ZULklRX0NIQU5HRV9BUi45OTUuMTEvMDcvMjAyNi4uLlVTRC5IAQAAAEtVAAACAAAABS0yNTc3AQgAAAAFAAAAATEBAAAACy0yMDg3NDk2NjI3AwAAAAMxNjACAAAABDIwMTgEAAAAATAHAAAACTcvMTEvMjAyNggAAAAJNi8zMC8yMDIwCQAAAAEw0WUs</t>
  </si>
  <si>
    <t>a2/f3gjYNmZub9/eCDhDSVEuTkFTREFROk1TRlQuSVFfU1RPQ0tfQkFTRURfQ0YuOTk4LjExLzA3LzIwMjYuLi5VU0QuSAEAAABLVQAAAgAAAAQ5NjExAQgAAAAFAAAAATEBAAAACy0xOTM0MjU0MjUwAwAAAAMxNjACAAAABDIxMjcEAAAAATAHAAAACTcvMTEvMjAyNggAAAAJNi8zMC8yMDIzCQAAAAEw0WUsa2/f3gjYNmZub9/eCD1DSVEuTkFTREFROk1TRlQuSVFfQVNTRVRfV1JJVEVET1dOX0NGLjEwMDAuMTEvMDcvMjAyNi4uLlVTRC5IAQAAAEtVAAADAAAAAADRZSxrb9/eCNg2Zm5v394IM0NJUS5OQVNEQVE6TVNGVC5JUV9ESVZFU1RfQ0YuOTkxLjExLzA3LzIwMjYuLi5VU0QuSAEAAABLVQAAAwAAAAAAUY+Sa2/f3gj6T4dub9/eCDdDSVEuTkFTREFROk1TRlQuSVFfU0FMRV9JTlRBTl9DRi45OTIuMTEvMDcvMjAyNi4uLlVTRC5IAQAAAEtVAAADAAAAAABRj5Jrb9/eCA+Mh25v394IP0NJUS5OQVNEQVE6TVNGVC5JUV9DSEFOR0VfVFJBRElOR19BU1NFVFMuOTkwLjExLzA3LzIwMjYuLi5VU0QuSAEAAABLVQAAAwAAAAAAUY+Sa2/f3ggPjIdub9/eCDpDSVEuTkFTREFROk1TRlQuSVFfQ0hBTkdFX0lOVkVOVE9SWS45OTIuMTEvMDcvMjAyNi4uLlVTRC5IAQAAAEtVAAACAAAAAjUwAQgAAAAFAAAAATEBAAAACjE5NzMzODA5NTEDAAAAAzE2MAIAAAAEMjA5OQQAAAABMAcAAAAJNy8xMS8yMDI2CAAA</t>
  </si>
  <si>
    <t>AAk2LzMwLzIwMTcJAAAAATBRj5Jrb9/eCA+Mh25v394IOENJUS5OQVNEQVE6TVNGVC5JUV9HQUlOX0lOVkVTVF9DRi45OTMuMTEvMDcvMjAyNi4uLlVTRC5IAQAAAEtVAAACAAAABS0yMjEyAQgAAAAFAAAAATEBAAAACjIwNDcyNzE3NDUDAAAAAzE2MAIAAAAEMjA5MAQAAAABMAcAAAAJNy8xMS8yMDI2CAAAAAk2LzMwLzIwMTgJAAAAATBRj5Jrb9/eCPpPh25v394IN0NJUS5OQVNEQVE6TVNGVC5JUV9JTkNfRVFVSVRZX0NGLjk5MS4xMS8wNy8yMDI2Li4uVVNELkgBAAAAS1UAAAMAAAAAAFGPkmtv394I+k+Hbm/f3gg6Q0lRLk5BU0RBUTpNU0ZULklRX1NUT0NLX0JBU0VEX0NPTVAuOTkxLjExLzA3LzIwMjYuLi5VU0QuSAEAAABLVQAAAgAAAAQxNzg2AFGPkmtv394I+k+Hbm/f3gg8Q0lRLk5BU0RBUTpNU0ZULklRX0dXX0lOVEFOX0FNT1JUX0NGLjIwMDAuMTEvMDcvMjAyNi4uLlVTRC5IAQAAAEtVAAACAAAABDUyMDABCAAAAAUAAAABMQEAAAALLTE4OTMyOTg5OTUDAAAAAzE2MAIAAAAEMjE4MgQAAAABMAcAAAAJNy8xMS8yMDI2CAAAAAkzLzMxLzIwMjYJAAAAATBRj5Jrb9/eCPpPh25v394IOUNJUS5OQVNEQVE6TVNGVC5JUV9TVE9DS19CQVNFRF9BVC4yMDAwLjExLzA3LzIwMjYuLi5VU0QuSAEAAABLVQAAAwAAAAAAUY+Sa2/f3gj6T4dub9/eCD5DSVEuTkFTREFROk1TRlQuSVFfUkVTVFJfU1RP</t>
  </si>
  <si>
    <t>Q0tfQ09NUF9UQVguOTkzLjExLzA3LzIwMjYuLi5VU0QuSAEAAABLVQAAAwAAAAAAUY+Sa2/f3gj6T4dub9/eCEBDSVEuTkFTREFROk1TRlQuSVFfU1RPQ0tfT1BUSU9OU19DT01QX1RBWC45OTMuMTEvMDcvMjAyNi4uLlVTRC5IAQAAAEtVAAADAAAAAABRj5Jrb9/eCPpPh25v394IOENJUS5OQVNEQVE6TVNGVC5JUV9TVE9DS19CQVNFRF9SRC45OTEuMTEvMDcvMjAyNi4uLlVTRC5IAQAAAEtVAAADAAAAAABRj5Jrb9/eCPpPh25v394IOUNJUS5OQVNEQVE6TVNGVC5JUV9TVE9DS19CQVNFRF9TR0EuOTkxLjExLzA3LzIwMjYuLi5VU0QuSAEAAABLVQAAAwAAAAAAUY+Sa2/f3gj6T4dub9/eCDZDSVEuTkFTREFROk1TRlQuSVFfSVBSRF9TVVBQTEUuMjAwMC4xMS8wNy8yMDI2Li4uVVNELkgBAAAAS1UAAAMAAAAAAFGPkmtv394I+k+Hbm/f3gg8Q0lRLk5BU0RBUTpNU0ZULklRX0lOU19TRVRUTEVfU1VQUExFLjIwMDAuMTEvMDcvMjAyNi4uLlVTRC5IAQAAAEtVAAADAAAAAABRj5Jrb9/eCAIUh25v394IPkNJUS5OQVNEQVE6TVNGVC5JUV9UT1RBTF9VTlVTVUFMX1NVUFBMRS45OTMuMTEvMDcvMjAyNi4uLlVTRC5IAQAAAEtVAAADAAAAAABRj5Jrb9/eCAIUh25v394IQkNJUS5OQVNEQVE6TVNGVC5JUV9JTVBVVF9PUEVSX0xFQVNFX0lOVF9FWFAuOTkzLjExLzA3LzIwMjYuLi5VU0QuSAEAAABLVQAAAgAA</t>
  </si>
  <si>
    <t>AAkzNzguNjYyODQBCAAAAAUAAAABMQEAAAAKMjA0NzI3MTc0NQMAAAADMTYwAgAAAAUyMTY3MgQAAAABMAcAAAAJNy8xMS8yMDI2CAAAAAk2LzMwLzIwMTgJAAAAATBRj5Jrb9/eCAIUh25v394IN0NJUS5OQVNEQVE6TVNGVC5JUV9NRVJHRVJfU1VQUExFLjk5MS4xMS8wNy8yMDI2Li4uVVNELkgBAAAAS1UAAAMAAAAAAFGPkmtv394IAhSHbm/f3gg5Q0lRLk5BU0RBUTpNU0ZULklRX1NBTEVTX01BUktFVElORy45OTMuMTEvMDcvMjAyNi4uLlVTRC5IAQAAAEtVAAACAAAABTE3NDY5AQgAAAAFAAAAATEBAAAACjIwNDcyNzE3NDUDAAAAAzE2MAIAAAAFMjE1NjEEAAAAATAHAAAACTcvMTEvMjAyNggAAAAJNi8zMC8yMDE4CQAAAAEwUY+Sa2/f3ggCFIdub9/eCDhDSVEuTkFTREFROk1TRlQuSVFfTkVUX1JFTlRBTF9FWFAuOTkxLjExLzA3LzIwMjYuLi5VU0QuSAEAAABLVQAAAwAAAAAAUY+Sa2/f3ggCFIdub9/eCDlDSVEuTkFTREFROk1TRlQuSVFfTUlOSU1VTV9SRU5UQUwuMjAwMC4xMS8wNy8yMDI2Li4uVVNELkgBAAAAS1UAAAMAAAAAAFGPkmtv394IAhSHbm/f3gg7Q0lRLk5BU0RBUTpNU0ZULklRX0lOVF9FWFBfSU5DTF9DQVAuMjAwMC4xMS8wNy8yMDI2Li4uVVNELkgBAAAAS1UAAAIAAAAEMjg1OQEIAAAABQAAAAExAQAAAAstMTg5MzI5ODk5NQMAAAADMTYwAgAAAAUyMTg2MQQAAAABMAcAAAAJ</t>
  </si>
  <si>
    <t>Ny8xMS8yMDI2CAAAAAkzLzMxLzIwMjYJAAAAATBRj5Jrb9/eCAIUh25v394IPENJUS5OQVNEQVE6TVNGVC5JUV9ESVNUUklCVVRBQkxFX0NBU0guOTkzLjExLzA3LzIwMjYuLi5VU0QuSAEAAABLVQAAAwAAAAAAUY+Sa2/f3ggCFIdub9/eCENDSVEuTkFTREFROk1TRlQuSVFfTk9OUkVDVVJSSU5HX0lOQ09NRV9UQVhFUy45OTEuMTEvMDcvMjAyNi4uLlVTRC5IAQAAAEtVAAADAAAAAABRj5Jrb9/eCAIUh25v394IPkNJUS5OQVNEQVE6TVNGVC5JUV9DQVBJVEFMSVpFRF9JTlRFUkVTVC45OTEuMTEvMDcvMjAyNi4uLlVTRC5IAQAAAEtVAAACAAAAAjU4AQgAAAAFAAAAATEBAAAACjE4OTg0ODk0NzADAAAAAzE2MAIAAAAEMzAzMgQAAAABMAcAAAAJNy8xMS8yMDI2CAAAAAk2LzMwLzIwMTYJAAAAATBRj5Jrb9/eCL/shm5v394IOkNJUS5OQVNEQVE6TVNGVC5JUV9JTlRFUkVTVF9JTkNPTUUuMjAwMC4xMS8wNy8yMDI2Li4uVVNELkgBAAAAS1UAAAIAAAAEMzMxNQEIAAAABQAAAAExAQAAAAstMTg5MzI5ODk5NQMAAAADMTYwAgAAAAMyMTAEAAAAATAHAAAACTcvMTEvMjAyNggAAAAJMy8zMS8yMDI2CQAAAAEwUY+Sa2/f3gi/7IZub9/eCEJDSVEuTkFTREFROk1TRlQuSVFfRVhDSVNFX1RBWEVTX0lOQ0xfU0FMRVMuMjAwMC4xMS8wNy8yMDI2Li4uVVNELkgBAAAAS1UAAAMAAAAAAFGPkmtv394IAhSHbm/f</t>
  </si>
  <si>
    <t>3gg0Q0lRLk5BU0RBUTpNU0ZULklRX0NVUlJfVEFYRVMuOTkzLjExLzA3LzIwMjYuLi5VU0QuSAEAAABLVQAAAgAAAAUyNTA0NgEIAAAABQAAAAExAQAAAAoyMDQ3MjcxNzQ1AwAAAAMxNjACAAAABTM1MzgzBAAAAAEwBwAAAAk3LzExLzIwMjYIAAAACTYvMzAvMjAxOAkAAAABMFGPkmtv394IAhSHbm/f3gg7Q0lRLk5BU0RBUTpNU0ZULklRX0ZFRVNfT1RIRVJfSU5DT01FLjk5My4xMS8wNy8yMDI2Li4uVVNELkgBAAAAS1UAAAMAAAAAAFGPkmtv394IAhSHbm/f3ghMQ0lRLk5BU0RBUTpNU0ZULklRX1BST1ZfQkFEX0RFQlRTX1BBVElFTlRfU0VSVklDRV9SRVYuOTkxLjExLzA3LzIwMjYuLi5VU0QuSAEAAABLVQAAAwAAAAAAUY+Sa2/f3gi/7IZub9/eCC9DSVEuTkFTREFROk1TRlQuSVFfRUJJVEEuOTkxLjExLzA3LzIwMjYuLi5VU0QuSAEAAABLVQAAAgAAAAUyODE2NgEIAAAABQAAAAExAQAAAAoxODk4NDg5NDcwAwAAAAMxNjACAAAABjEwMDY4OQQAAAABMAcAAAAJNy8xMS8yMDI2CAAAAAk2LzMwLzIwMTYJAAAAATBRj5Jrb9/eCL/shm5v394IOUNJUS5OQVNEQVE6TVNGVC5JUV9FQklUQV9FWENMX1NCQy4yMDAwLjExLzA3LzIwMjYuLi5VU0QuSAEAAABLVQAAAgAAAAYxNjY1MTMBCAAAAAUAAAABMQEAAAALLTE4OTMyOTg5OTUDAAAAAzE2MAIAAAAFMjQxMzYEAAAAATAHAAAACTcvMTEvMjAyNggA</t>
  </si>
  <si>
    <t>AAAJMy8zMS8yMDI2CQAAAAEwUY+Sa2/f3gi/7IZub9/eCDxDSVEuTkFTREFROk1TRlQuSVFfQ0FTSF9JTlRFUkVTVF9PUEVSLjk5MS4xMS8wNy8yMDI2Li4uVVNELkgBAAAAS1UAAAMAAAAAAFGPkmtv394Iv+yGbm/f3gg5Q0lRLk5BU0RBUTpNU0ZULklRX0xUX0RFQlRfUkVQQUlELjIwMDAuMTEvMDcvMjAyNi4uLlVTRC5IAQAAAEtVAAADAAAAAABRj5Jrb9/eCL/shm5v394IN0NJUS5OQVNEQVE6TVNGVC5JUV9DT01NT05fRElWX0NGLjk5MS4xMS8wNy8yMDI2Li4uVVNELkgBAAAAS1UAAAIAAAAGLTExMDA2AQgAAAAFAAAAATEBAAAACjE4OTg0ODk0NzADAAAAAzE2MAIAAAAEMjA3NAQAAAABMAcAAAAJNy8xMS8yMDI2CAAAAAk2LzMwLzIwMTYJAAAAATBRj5Jrb9/eCH4jhm5v394IQUNJUS5OQVNEQVE6TVNGVC5JUV9PVEhFUl9GSU5BTkNFX0FDVF9TVVBQTC45OTAuMTEvMDcvMjAyNi4uLlVTRC5IAQAAAEtVAAACAAAAAzM2MgEIAAAABQAAAAExAQAAAAoxODUxNTI1OTEyAwAAAAMxNjACAAAABDIwNTAEAAAAATAHAAAACTcvMTEvMjAyNggAAAAJNi8zMC8yMDE1CQAAAAEwUY+Sa2/f3gjV2IZub9/eCDdDSVEuTkFTREFROk1TRlQuSVFfU0FMRV9JTlRBTl9DRi45OTMuMTEvMDcvMjAyNi4uLlVTRC5IAQAAAEtVAAADAAAAAABRj5Jrb9/eCNXYhm5v394IR0NJUS5OQVNEQVE6TVNGVC5JUV9DSEFOR0Vf</t>
  </si>
  <si>
    <t>T1RIRVJfTkVUX09QRVJfQVNTRVRTLjIwMDAuMTEvMDcvMjAyNi4uLlVTRC5IAQAAAEtVAAACAAAABS01MDQwAQgAAAAFAAAAATEBAAAACy0xODkzMjk4OTk1AwAAAAMxNjACAAAABDIwNDUEAAAAATAHAAAACTcvMTEvMjAyNggAAAAJMy8zMS8yMDI2CQAAAAEwUY+Sa2/f3gi/7IZub9/eCDVDSVEuTkFTREFROk1TRlQuSVFfU0FMRV9QUEVfQ0YuOTkwLjExLzA3LzIwMjYuLi5VU0QuSAEAAABLVQAAAwAAAAAAUY+Sa2/f3gi/7IZub9/eCDNDSVEuTkFTREFROk1TRlQuSVFfRElWRVNUX0NGLjk5Mi4xMS8wNy8yMDI2Li4uVVNELkgBAAAAS1UAAAMAAAAAAFGPkmtv394IfiOGbm/f3gg3Q0lRLk5BU0RBUTpNU0ZULklRX0lOQ19FUVVJVFlfQ0YuOTkyLjExLzA3LzIwMjYuLi5VU0QuSAEAAABLVQAAAwAAAAAAUY+Sa2/f3gh+I4Zub9/eCDxDSVEuTkFTREFROk1TRlQuSVFfUFJPVl9CQURfREVCVFNfQ0YuMjAwMC4xMS8wNy8yMDI2Li4uVVNELkgBAAAAS1UAAAMAAAAAAFGPkmtv394IfiOGbm/f3gg/Q0lRLk5BU0RBUTpNU0ZULklRX0NIQU5HRV9UUkFESU5HX0FTU0VUUy45OTEuMTEvMDcvMjAyNi4uLlVTRC5IAQAAAEtVAAADAAAAAABRj5Jrb9/eCH4jhm5v394INENJUS5OQVNEQVE6TVNGVC5JUV9PSUxfSU1QQUlSLjk5MC4xMS8wNy8yMDI2Li4uVVNELkgBAAAAS1UAAAMAAAAAAFGPkmtv394IfiOGbm/f</t>
  </si>
  <si>
    <t>3gg6Q0lRLk5BU0RBUTpNU0ZULklRX1NUT0NLX0JBU0VEX0NPTVAuOTkyLjExLzA3LzIwMjYuLi5VU0QuSAEAAABLVQAAAgAAAAQyMjAwAFGPkmtv394ISeuFbm/f3gg5Q0lRLk5BU0RBUTpNU0ZULklRX1NUT0NLX0JBU0VEX1NHQS45OTIuMTEvMDcvMjAyNi4uLlVTRC5IAQAAAEtVAAADAAAAAABRj5Jrb9/eCEnrhW5v394IO0NJUS5OQVNEQVE6TVNGVC5JUV9TVE9DS19CQVNFRF9UT1RBTC45OTAuMTEvMDcvMjAyNi4uLlVTRC5IAQAAAEtVAAACAAAABDI1NzQBCAAAAAUAAAABMQEAAAAKMTg1MTUyNTkxMgMAAAADMTYwAgAAAAUyNDAzNAQAAAABMAcAAAAJNy8xMS8yMDI2CAAAAAk2LzMwLzIwMTUJAAAAATBRj5Jrb9/eCH4jhm5v394IPUNJUS5OQVNEQVE6TVNGVC5JUV9MRUdBTF9TRVRUTEVfU1VQUExFLjk5MC4xMS8wNy8yMDI2Li4uVVNELkgBAAAAS1UAAAMAAAAAAFGPkmtv394IfiOGbm/f3gg3Q0lRLk5BU0RBUTpNU0ZULklRX01FUkdFUl9TVVBQTEUuOTkyLjExLzA3LzIwMjYuLi5VU0QuSAEAAABLVQAAAwAAAAAAUY+Sa2/f3gh+I4Zub9/eCDVDSVEuTkFTREFROk1TRlQuSVFfSVBSRF9TVVBQTEUuOTkyLjExLzA3LzIwMjYuLi5VU0QuSAEAAABLVQAAAwAAAAAAUY+Sa2/f3ghJ64Vub9/eCDhDSVEuTkFTREFROk1TRlQuSVFfTkVUX1JFTlRBTF9FWFAuOTkyLjExLzA3LzIwMjYuLi5VU0QuSAEA</t>
  </si>
  <si>
    <t>AABLVQAAAwAAAAAAUY+Sa2/f3ghJ64Vub9/eCDZDSVEuTkFTREFROk1TRlQuSVFfT1RIRVJfUkVOVEFMLjk5MC4xMS8wNy8yMDI2Li4uVVNELkgBAAAAS1UAAAMAAAAAAFGPkmtv394ISeuFbm/f3ghBQ0lRLk5BU0RBUTpNU0ZULklRX0VYUExPUkVfRFJJTExfRVhQX1RPVEFMLjk5MC4xMS8wNy8yMDI2Li4uVVNELkgBAAAAS1UAAAMAAAAAAFGPkmtv394ISeuFbm/f3gg+Q0lRLk5BU0RBUTpNU0ZULklRX0NBUElUQUxJWkVEX0lOVEVSRVNULjk5Mi4xMS8wNy8yMDI2Li4uVVNELkgBAAAAS1UAAAMAAAAAAFGPkmtv394ISeuFbm/f3gg9Q0lRLk5BU0RBUTpNU0ZULklRX05PTkNBU0hfUEVOU0lPTl9FWFAuOTkwLjExLzA3LzIwMjYuLi5VU0QuSAEAAABLVQAAAwAAAAAAUY+Sa2/f3gj9w4Vub9/eCD1DSVEuTkFTREFROk1TRlQuSVFfQ1VSUl9ET01FU1RJQ19UQVhFUy45OTAuMTEvMDcvMjAyNi4uLlVTRC5IAQAAAEtVAAACAAAABDQwMjUBCAAAAAUAAAABMQEAAAAKMTg1MTUyNTkxMgMAAAADMTYwAgAAAAQzMDI3BAAAAAEwBwAAAAk3LzExLzIwMjYIAAAACTYvMzAvMjAxNQkAAAABMFGPkmtv394I/cOFbm/f3ghMQ0lRLk5BU0RBUTpNU0ZULklRX1BST1ZfQkFEX0RFQlRTX1BBVElFTlRfU0VSVklDRV9SRVYuOTkyLjExLzA3LzIwMjYuLi5VU0QuSAEAAABLVQAAAwAAAAAAUY+Sa2/f3ghJ64Vub9/eCDlD</t>
  </si>
  <si>
    <t>SVEuTkFTREFROk1TRlQuSVFfSU5URVJFU1RfSU5DT01FLjk5Mi4xMS8wNy8yMDI2Li4uVVNELkgBAAAAS1UAAAIAAAAEMTM4NwEIAAAABQAAAAExAQAAAAoxOTczMzgwOTUxAwAAAAMxNjACAAAAAzIxMAQAAAABMAcAAAAJNy8xMS8yMDI2CAAAAAk2LzMwLzIwMTcJAAAAATBRj5Jrb9/eCEnrhW5v394IOkNJUS5OQVNEQVE6TVNGVC5JUV9FQklUREFSX0VYQ0xfU0JDLjk5MC4xMS8wNy8yMDI2Li4uVVNELkgBAAAAS1UAAAIAAAAFMzcxMzUBCAAAAAUAAAABMQEAAAAKMTg1MTUyNTkxMgMAAAADMTYwAgAAAAUyNDEzNwQAAAABMAcAAAAJNy8xMS8yMDI2CAAAAAk2LzMwLzIwMTUJAAAAATBRj5Jrb9/eCEnrhW5v394ISENJUS5OQVNEQVE6TVNGVC5JUV9ERVBSRUNJQVRJT05fUkVOVEFMX0FTU0VUU19DRi4yMDAwLjExLzA3LzIwMjYuLi5VU0QuSAEAAABLVQAAAwAAAAAAUY+Sa2/f3gj9w4Vub9/eCEVDSVEuTkFTREFROk1TRlQuSVFfU0FMRV9QUk9DRUVEU19SRU5UQUxfQVNTRVRTLjk5My4xMS8wNy8yMDI2Li4uVVNELkgBAAAAS1UAAAMAAAAAAFGPkmtv394I/cOFbm/f3gg8Q0lRLk5BU0RBUTpNU0ZULklRX0NBU0hfSU5URVJFU1RfT1BFUi45OTIuMTEvMDcvMjAyNi4uLlVTRC5IAQAAAEtVAAADAAAAAABRj5Jrb9/eCP3DhW5v394IQUNJUS5OQVNEQVE6TVNGVC5JUV9PVEhFUl9GSU5BTkNFX0FDVF9T</t>
  </si>
  <si>
    <t>VVBQTC45OTMuMTEvMDcvMjAyNi4uLlVTRC5IAQAAAEtVAAACAAAABC05NzEBCAAAAAUAAAABMQEAAAAKMjA0NzI3MTc0NQMAAAADMTYwAgAAAAQyMDUwBAAAAAEwBwAAAAk3LzExLzIwMjYIAAAACTYvMzAvMjAxOAkAAAABMFGPkmtv394I/cOFbm/f3gg8Q0lRLk5BU0RBUTpNU0ZULklRX1RPVEFMX0RFQlRfSVNTVUVELjIwMDAuMTEvMDcvMjAyNi4uLlVTRC5IAQAAAEtVAAADAAAAAABRj5Jrb9/eCP3DhW5v394IO0NJUS5OQVNEQVE6TVNGVC5JUV9UT1RBTF9ERUJUX1JFUEFJRC45OTAuMTEvMDcvMjAyNi4uLlVTRC5IAQAAAEtVAAACAAAABS0xNTAwAQgAAAAFAAAAATEBAAAACjE4NTE1MjU5MTIDAAAAAzE2MAIAAAAEMjE2NgQAAAABMAcAAAAJNy8xMS8yMDI2CAAAAAk2LzMwLzIwMTUJAAAAATBRj5Jrb9/eCFGwhW5v394IN0NJUS5OQVNEQVE6TVNGVC5JUV9DT01NT05fRElWX0NGLjk5My4xMS8wNy8yMDI2Li4uVVNELkgBAAAAS1UAAAIAAAAGLTEyNjk5AQgAAAAFAAAAATEBAAAACjIwNDcyNzE3NDUDAAAAAzE2MAIAAAAEMjA3NAQAAAABMAcAAAAJNy8xMS8yMDI2CAAAAAk2LzMwLzIwMTgJAAAAATBRj5Jrb9/eCFGwhW5v394INUNJUS5OQVNEQVE6TVNGVC5JUV9TQUxFX1BQRV9DRi45OTEuMTEvMDcvMjAyNi4uLlVTRC5IAQAAAEtVAAADAAAAAABRj5Jrb9/eCP3DhW5v394IM0NJUS5OQVNEQVE6</t>
  </si>
  <si>
    <t>TVNGVC5JUV9DQVNIX09QRVIuOTkwLjExLzA3LzIwMjYuLi5VU0QuSAEAAABLVQAAAgAAAAUyOTY2OAEIAAAABQAAAAExAQAAAAoxODUxNTI1OTEyAwAAAAMxNjACAAAABDIwMDYEAAAAATAHAAAACTcvMTEvMjAyNggAAAAJNi8zMC8yMDE1CQAAAAEwUY+Sa2/f3gj9w4Vub9/eCD1DSVEuTkFTREFROk1TRlQuSVFfQVNTRVRfV1JJVEVET1dOX0NGLjIwMDAuMTEvMDcvMjAyNi4uLlVTRC5IAQAAAEtVAAADAAAAAABRj5Jrb9/eCP3DhW5v394IN0NJUS5OQVNEQVE6TVNGVC5JUV9JTkNfRVFVSVRZX0NGLjk5My4xMS8wNy8yMDI2Li4uVVNELkgBAAAAS1UAAAMAAAAAAFGPkmtv394IBImFbm/f3ggvQ0lRLk5BU0RBUTpNU0ZULklRX0RPX0NGLjk5MC4xMS8wNy8yMDI2Li4uVVNELkgBAAAAS1UAAAMAAAAAAFGPkmtv394IBImFbm/f3gg6Q0lRLk5BU0RBUTpNU0ZULklRX1NUT0NLX0JBU0VEX0NPTVAuOTkzLjExLzA3LzIwMjYuLi5VU0QuSAEAAABLVQAAAgAAAAQzMTE3AFGPkmtv394IBImFbm/f3gg0Q0lRLk5BU0RBUTpNU0ZULklRX09JTF9JTVBBSVIuOTkxLjExLzA3LzIwMjYuLi5VU0QuSAEAAABLVQAAAwAAAAAAUY+Sa2/f3ghRsIVub9/eCD5DSVEuTkFTREFROk1TRlQuSVFfTUlOT1JJVFlfSU5URVJFU1RfQ0YuOTkxLjExLzA3LzIwMjYuLi5VU0QuSAEAAABLVQAAAwAAAAAAUY+Sa2/f3ghRsIVub9/e</t>
  </si>
  <si>
    <t>CDtDSVEuTkFTREFROk1TRlQuSVFfU1RPQ0tfQkFTRURfVE9UQUwuOTkxLjExLzA3LzIwMjYuLi5VU0QuSAEAAABLVQAAAgAAAAQyNjY4AQgAAAAFAAAAATEBAAAACjE4OTg0ODk0NzADAAAAAzE2MAIAAAAFMjQwMzQEAAAAATAHAAAACTcvMTEvMjAyNggAAAAJNi8zMC8yMDE2CQAAAAEwUY+Sa2/f3ggEiYVub9/eCDtDSVEuTkFTREFROk1TRlQuSVFfUkVTVFJfU1RPQ0tfQ09NUC4yMDAwLjExLzA3LzIwMjYuLi5VU0QuSAEAAABLVQAAAwAAAAAAUY+Sa2/f3ggEiYVub9/eCD1DSVEuTkFTREFROk1TRlQuSVFfU1RPQ0tfT1BUSU9OU19DT01QLjIwMDAuMTEvMDcvMjAyNi4uLlVTRC5IAQAAAEtVAAADAAAAAABRj5Jrb9/eCASJhW5v394IPENJUS5OQVNEQVE6TVNGVC5JUV9ORUdBVElWRV9HV19BTU9SVC4yMDAwLjExLzA3LzIwMjYuLi5VU0QuSAEAAABLVQAAAwAAAAAAUY+Sa2/f3ggEiYVub9/eCDlDSVEuTkFTREFROk1TRlQuSVFfU1RPQ0tfQkFTRURfU0dBLjk5My4xMS8wNy8yMDI2Li4uVVNELkgBAAAAS1UAAAMAAAAAAFGPkmtv394IBImFbm/f3gg1Q0lRLk5BU0RBUTpNU0ZULklRX0lQUkRfU1VQUExFLjk5My4xMS8wNy8yMDI2Li4uVVNELkgBAAAAS1UAAAMAAAAAAFGPkmtv394IpHCFbm/f3gg9Q0lRLk5BU0RBUTpNU0ZULklRX0xFR0FMX1NFVFRMRV9TVVBQTEUuOTkxLjExLzA3LzIwMjYuLi5V</t>
  </si>
  <si>
    <t>U0QuSAEAAABLVQAAAwAAAAAAUY+Sa2/f3gikcIVub9/eCEFDSVEuTkFTREFROk1TRlQuSVFfRVhQTE9SRV9EUklMTF9FWFBfVE9UQUwuOTkxLjExLzA3LzIwMjYuLi5VU0QuSAEAAABLVQAAAwAAAAAAUY+Sa2/f3gikcIVub9/eCEBDSVEuTkFTREFROk1TRlQuSVFfSU1QVVRfT1BFUl9MRUFTRV9ERVBSLjIwMDAuMTEvMDcvMjAyNi4uLlVTRC5IAQAAAEtVAAADAAAAAABRj5Jrb9/eCKRwhW5v394IMUNJUS5OQVNEQVE6TVNGVC5JUV9HQV9FWFAuMjAwMC4xMS8wNy8yMDI2Li4uVVNELkgBAAAAS1UAAAIAAAAENzY1OQEIAAAABQAAAAExAQAAAAstMTg5MzI5ODk5NQMAAAADMTYwAgAAAAUyMTU2MgQAAAABMAcAAAAJNy8xMS8yMDI2CAAAAAkzLzMxLzIwMjYJAAAAATBRj5Jrb9/eCASJhW5v394IOENJUS5OQVNEQVE6TVNGVC5JUV9ORVRfUkVOVEFMX0VYUC45OTMuMTEvMDcvMjAyNi4uLlVTRC5IAQAAAEtVAAADAAAAAABRj5Jrb9/eCHlJhW5v394IOENJUS5OQVNEQVE6TVNGVC5JUV9NSU5JTVVNX1JFTlRBTC45OTMuMTEvMDcvMjAyNi4uLlVTRC5IAQAAAEtVAAADAAAAAABRj5Jrb9/eCHlJhW5v394INUNJUS5OQVNEQVE6TVNGVC5JUV9BRFZFUlRJU0lORy45OTEuMTEvMDcvMjAyNi4uLlVTRC5IAQAAAEtVAAACAAAABDE2MDABCAAAAAUAAAABMQEAAAAKMTg5ODQ4OTQ3MAMAAAADMTYwAgAAAAQzMDEz</t>
  </si>
  <si>
    <t>BAAAAAEwBwAAAAk3LzExLzIwMjYIAAAACTYvMzAvMjAxNgkAAAABMFGPkmtv394IeUmFbm/f3gg9Q0lRLk5BU0RBUTpNU0ZULklRX05PTkNBU0hfUEVOU0lPTl9FWFAuOTkxLjExLzA3LzIwMjYuLi5VU0QuSAEAAABLVQAAAwAAAAAAUY+Sa2/f3gh5SYVub9/eCEpDSVEuTkFTREFROk1TRlQuSVFfRElTVFJJQlVUQUJMRV9DQVNIX1NUQU5EQVJESVpFRC4yMDAwLjExLzA3LzIwMjYuLi5VU0QuSAEAAABLVQAAAwAAAAAAUY+Sa2/f3gikcIVub9/eCEFDSVEuTkFTREFROk1TRlQuSVFfQU5OVV9ESVNUUklCVVRJT05fVU5JVC4yMDAwLjExLzA3LzIwMjYuLi5VU0QuSAEAAABLVQAAAwAAAAAAUY+Sa2/f3gh5SYVub9/eCEJDSVEuTkFTREFROk1TRlQuSVFfREVGRVJSRURfRE9NRVNUSUNfVEFYRVMuMjAwMC4xMS8wNy8yMDI2Li4uVVNELkgBAAAAS1UAAAIAAAAFLTczMzcBCAAAAAUAAAABMQEAAAALLTE4OTMyOTg5OTUDAAAAAzE2MAIAAAAEMzA1NAQAAAABMAcAAAAJNy8xMS8yMDI2CAAAAAkzLzMxLzIwMjYJAAAAATBRj5Jrb9/eCHlJhW5v394IPkNJUS5OQVNEQVE6TVNGVC5JUV9DQVBJVEFMSVpFRF9JTlRFUkVTVC45OTMuMTEvMDcvMjAyNi4uLlVTRC5IAQAAAEtVAAADAAAAAABRj5Jrb9/eCHlJhW5v394IOUNJUS5OQVNEQVE6TVNGVC5JUV9JTlRFUkVTVF9JTkNPTUUuOTkzLjExLzA3LzIwMjYuLi5V</t>
  </si>
  <si>
    <t>U0QuSAEAAABLVQAAAgAAAAQyMjE0AQgAAAAFAAAAATEBAAAACjIwNDcyNzE3NDUDAAAAAzE2MAIAAAADMjEwBAAAAAEwBwAAAAk3LzExLzIwMjYIAAAACTYvMzAvMjAxOAkAAAABMFGPkmtv394IeUmFbm/f3gg9Q0lRLk5BU0RBUTpNU0ZULklRX0NVUlJfRE9NRVNUSUNfVEFYRVMuOTkxLjExLzA3LzIwMjYuLi5VU0QuSAEAAABLVQAAAgAAAAM2ODEBCAAAAAUAAAABMQEAAAAKMTg5ODQ4OTQ3MAMAAAADMTYwAgAAAAQzMDI3BAAAAAEwBwAAAAk3LzExLzIwMjYIAAAACTYvMzAvMjAxNgkAAAABMFGPkmtv394IeUmFbm/f3gg6Q0lRLk5BU0RBUTpNU0ZULklRX0VCSVREQVJfRVhDTF9TQkMuOTkxLjExLzA3LzIwMjYuLi5VU0QuSAEAAABLVQAAAgAAAAUzNjY3MAEIAAAABQAAAAExAQAAAAoxODk4NDg5NDcwAwAAAAMxNjACAAAABTI0MTM3BAAAAAEwBwAAAAk3LzExLzIwMjYIAAAACTYvMzAvMjAxNgkAAAABMFGPkmtv394IzTWFbm/f3gg2Q0lRLk5BU0RBUTpNU0ZULklRX0VCSVRfRVFfSU5DLjIwMDAuMTEvMDcvMjAyNi4uLlVTRC5IAQAAAEtVAAACAAAABjE1NTk0NQEIAAAABQAAAAExAQAAAAstMTg5MzI5ODk5NQMAAAADMTYwAgAAAAUyMTY3NQQAAAABMAcAAAAJNy8xMS8yMDI2CAAAAAkzLzMxLzIwMjYJAAAAATBRj5Jrb9/eCM01hW5v394IL0NJUS5OQVNEQVE6TVNGVC5JUV9FQklUQS45OTMuMTEv</t>
  </si>
  <si>
    <t>MDcvMjAyNi4uLlVTRC5IAQAAAEtVAAACAAAABTM3MjU4AQgAAAAFAAAAATEBAAAACjIwNDcyNzE3NDUDAAAAAzE2MAIAAAAGMTAwNjg5BAAAAAEwBwAAAAk3LzExLzIwMjYIAAAACTYvMzAvMjAxOAkAAAABMFGPkmtv394IzTWFbm/f3gg4Q0lRLk5BU0RBUTpNU0ZULklRX0VCSVRBX0VYQ0xfU0JDLjk5My4xMS8wNy8yMDI2Li4uVVNELkgBAAAAS1UAAAIAAAAFNDExOTgBCAAAAAUAAAABMQEAAAAKMjA0NzI3MTc0NQMAAAADMTYwAgAAAAUyNDEzNgQAAAABMAcAAAAJNy8xMS8yMDI2CAAAAAk2LzMwLzIwMTgJAAAAATBRj5Jrb9/eCM01hW5v394INUNJUS5OQVNEQVE6TVNGVC5JUV9NQUlOVF9DQVBFWC45OTEuMTEvMDcvMjAyNi4uLlVTRC5IAQAAAEtVAAADAAAAAABRj5Jrb9/eCHlJhW5v394IRUNJUS5OQVNEQVE6TVNGVC5JUV9PUEVSQVRJTkdfTEVBU0VfTElBQklMSVRJRVMuOTkzLjExLzA3LzIwMjYuLi5VU0QuSAEAAABLVQAAAwAAAAAAUY+Sa2/f3giODoVub9/eCEFDSVEuTkFTREFROk1TRlQuSVFfTEVBU0VfQURKVVNUTUVOVF9FQklUREEuOTkxLjExLzA3LzIwMjYuLi5VU0QuSAEAAABLVQAAAwAAAAAAUY+Sa2/f3giODoVub9/eCDxDSVEuTkFTREFROk1TRlQuSVFfQ0FTSF9JTlRFUkVTVF9PUEVSLjk5My4xMS8wNy8yMDI2Li4uVVNELkgBAAAAS1UAAAMAAAAAAFGPkmtv394Ijg6Fbm/f3ggx</t>
  </si>
  <si>
    <t>Q0lRLk5BU0RBUTpNU0ZULklRX0RFUF9SVUEuOTkwLjExLzA3LzIwMjYuLi5VU0QuSAEAAABLVQAAAwAAAAAAUY+Sa2/f3giODoVub9/eCDhDSVEuTkFTREFROk1TRlQuSVFfU1RfREVCVF9SRVBBSUQuOTkwLjExLzA3LzIwMjYuLi5VU0QuSAEAAABLVQAAAwAAAAAAUY+Sa2/f3gjNNYVub9/eCDtDSVEuTkFTREFROk1TRlQuSVFfVE9UQUxfREVCVF9SRVBBSUQuOTkxLjExLzA3LzIwMjYuLi5VU0QuSAEAAABLVQAAAgAAAAUtMjc5NgEIAAAABQAAAAExAQAAAAoxODk4NDg5NDcwAwAAAAMxNjACAAAABDIxNjYEAAAAATAHAAAACTcvMTEvMjAyNggAAAAJNi8zMC8yMDE2CQAAAAEwUY+Sa2/f3giODoVub9/eCDxDSVEuTkFTREFROk1TRlQuSVFfQ09NTU9OX1BSRUZfRElWX0NGLjk5MC4xMS8wNy8yMDI2Li4uVVNELkgBAAAAS1UAAAMAAAAAAFGPkmtv394Ijg6Fbm/f3ghBQ0lRLk5BU0RBUTpNU0ZULklRX09USEVSX0lOVkVTVF9BQ1RfU1VQUEwuMjAwMC4xMS8wNy8yMDI2Li4uVVNELkgBAAAAS1UAAAIAAAAFLTY4MDMBCAAAAAUAAAABMQEAAAALLTE4OTMyOTg5OTUDAAAAAzE2MAIAAAAEMjA1MQQAAAABMAcAAAAJNy8xMS8yMDI2CAAAAAkzLzMxLzIwMjYJAAAAATBRj5Jrb9/eCI4OhW5v394IOUNJUS5OQVNEQVE6TVNGVC5JUV9TVF9ERUJUX0lTU1VFRC4yMDAwLjExLzA3LzIwMjYuLi5VU0QuSAEAAABL</t>
  </si>
  <si>
    <t>VQAAAwAAAAAAUY+Sa2/f3giODoVub9/eCDlDSVEuTkFTREFROk1TRlQuSVFfQ0hBTkdFX0lOQ19UQVguMjAwMC4xMS8wNy8yMDI2Li4uVVNELkgBAAAAS1UAAAIAAAAELTUyNQEIAAAABQAAAAExAQAAAAstMTg5MzI5ODk5NQMAAAADMTYwAgAAAAQyMTAxBAAAAAEwBwAAAAk3LzExLzIwMjYIAAAACTMvMzEvMjAyNgkAAAABMFGPkmtv394Ijg6Fbm/f3ghGQ0lRLk5BU0RBUTpNU0ZULklRX0NIQU5HRV9PVEhFUl9ORVRfT1BFUl9BU1NFVFMuOTkzLjExLzA3LzIwMjYuLi5VU0QuSAEAAABLVQAAAgAAAAQtNDU5AQgAAAAFAAAAATEBAAAACjIwNDcyNzE3NDUDAAAAAzE2MAIAAAAEMjA0NQQAAAABMAcAAAAJNy8xMS8yMDI2CAAAAAk2LzMwLzIwMTgJAAAAATBRj5Jrb9/eCB76hG5v394IMkNJUS5OQVNEQVE6TVNGVC5JUV9MT0FOU19DRi45OTAuMTEvMDcvMjAyNi4uLlVTRC5IAQAAAEtVAAADAAAAAABRj5Jrb9/eCB76hG5v394IO0NJUS5OQVNEQVE6TVNGVC5JUV9QUk9WX0JBRF9ERUJUU19DRi45OTMuMTEvMDcvMjAyNi4uLlVTRC5IAQAAAEtVAAADAAAAAABRj5Jrb9/eCB76hG5v394IPkNJUS5OQVNEQVE6TVNGVC5JUV9NSU5PUklUWV9JTlRFUkVTVF9DRi45OTIuMTEvMDcvMjAyNi4uLlVTRC5IAQAAAEtVAAADAAAAAABRj5Jrb9/eCB76hG5v394IOkNJUS5OQVNEQVE6TVNGVC5JUV9SRVNUUl9TVE9D</t>
  </si>
  <si>
    <t>S19DT01QLjk5Mi4xMS8wNy8yMDI2Li4uVVNELkgBAAAAS1UAAAMAAAAAAFGPkmtv394Ijg6Fbm/f3ghBQ0lRLk5BU0RBUTpNU0ZULklRX1NUT0NLX0JBU0VEX0NPTVBfUFJFVEFYLjk5MC4xMS8wNy8yMDI2Li4uVVNELkgBAAAAS1UAAAIAAAAEMjU3NABRj5Jrb9/eCBzmhG5v394IOENJUS5OQVNEQVE6TVNGVC5JUV9TVE9DS19CQVNFRF9TTS45OTAuMTEvMDcvMjAyNi4uLlVTRC5IAQAAAEtVAAADAAAAAABRj5Jrb9/eCBzmhG5v394IO0NJUS5OQVNEQVE6TVNGVC5JUV9TVE9DS19CQVNFRF9UT1RBTC45OTIuMTEvMDcvMjAyNi4uLlVTRC5IAQAAAEtVAAACAAAABDMyNjYBCAAAAAUAAAABMQEAAAAKMTk3MzM4MDk1MQMAAAADMTYwAgAAAAUyNDAzNAQAAAABMAcAAAAJNy8xMS8yMDI2CAAAAAk2LzMwLzIwMTcJAAAAATBRj5Jrb9/eCBzmhG5v394IPUNJUS5OQVNEQVE6TVNGVC5JUV9MRUdBTF9TRVRUTEVfU1VQUExFLjk5Mi4xMS8wNy8yMDI2Li4uVVNELkgBAAAAS1UAAAMAAAAAAFGPkmtv394IHOaEbm/f3gg+Q0lRLk5BU0RBUTpNU0ZULklRX05FR0FUSVZFX0dXX0FNT1JUX0FULjk5MC4xMS8wNy8yMDI2Li4uVVNELkgBAAAAS1UAAAMAAAAAAFGPkmtv394IHvqEbm/f3ghBQ0lRLk5BU0RBUTpNU0ZULklRX0VYUExPUkVfRFJJTExfRVhQX1RPVEFMLjk5Mi4xMS8wNy8yMDI2Li4uVVNELkgBAAAAS1UA</t>
  </si>
  <si>
    <t>AAMAAAAAAFGPkmtv394ISrGEbm/f3ghBQ0lRLk5BU0RBUTpNU0ZULklRX1NBTEFSSUVTX09USEVSX0JFTkVGSVRTLjk5MC4xMS8wNy8yMDI2Li4uVVNELkgBAAAAS1UAAAMAAAAAAFGPkmtv394IjtCEbm/f3ggzQ0lRLk5BU0RBUTpNU0ZULklRX1JEX0VYUF9GTi45OTAuMTEvMDcvMjAyNi4uLlVTRC5IAQAAAEtVAAACAAAABTEyMDQ2AQgAAAAFAAAAATEBAAAACjE4NTE1MjU5MTIDAAAAAzE2MAIAAAAEMzE2OAQAAAABMAcAAAAJNy8xMS8yMDI2CAAAAAk2LzMwLzIwMTUJAAAAATBRj5Jrb9/eCI7QhG5v394INUNJUS5OQVNEQVE6TVNGVC5JUV9BRFZFUlRJU0lORy45OTIuMTEvMDcvMjAyNi4uLlVTRC5IAQAAAEtVAAACAAAABDE1MDABCAAAAAUAAAABMQEAAAAKMTk3MzM4MDk1MQMAAAADMTYwAgAAAAQzMDEzBAAAAAEwBwAAAAk3LzExLzIwMjYIAAAACTYvMzAvMjAxNwkAAAABMFGPkmtv394IjtCEbm/f3ghJQ0lRLk5BU0RBUTpNU0ZULklRX0RJU1RSSUJVVEFCTEVfQ0FTSF9TVEFOREFSRElaRUQuOTkyLjExLzA3LzIwMjYuLi5VU0QuSAEAAABLVQAAAwAAAAAAUY+Sa2/f3giO0IRub9/eCDFDSVEuTkFTREFROk1TRlQuSVFfTklfTk9STS45OTAuMTEvMDcvMjAyNi4uLlVTRC5IAQAAAEtVAAACAAAACTE3Mzg4LjEyNQEIAAAABQAAAAExAQAAAAoxODUxNTI1OTEyAwAAAAMxNjACAAAABDQzNzgEAAAA</t>
  </si>
  <si>
    <t>ATAHAAAACTcvMTEvMjAyNggAAAAJNi8zMC8yMDE1CQAAAAEwUY+Sa2/f3ghKsYRub9/eCD1DSVEuTkFTREFROk1TRlQuSVFfTk9OQ0FTSF9QRU5TSU9OX0VYUC45OTIuMTEvMDcvMjAyNi4uLlVTRC5IAQAAAEtVAAADAAAAAABRj5Jrb9/eCEqxhG5v394IPUNJUS5OQVNEQVE6TVNGVC5JUV9DVVJSX0RPTUVTVElDX1RBWEVTLjk5Mi4xMS8wNy8yMDI2Li4uVVNELkgBAAAAS1UAAAIAAAAEMjc2OQEIAAAABQAAAAExAQAAAAoxOTczMzgwOTUxAwAAAAMxNjACAAAABDMwMjcEAAAAATAHAAAACTcvMTEvMjAyNggAAAAJNi8zMC8yMDE3CQAAAAEwUY+Sa2/f3ghKsYRub9/eCEBDSVEuTkFTREFROk1TRlQuSVFfREVGRVJSRURfRk9SRUlHTl9UQVhFUy45OTAuMTEvMDcvMjAyNi4uLlVTRC5IAQAAAEtVAAADAAAAAABRj5Jrb9/eCEqxhG5v394IOkNJUS5OQVNEQVE6TVNGVC5JUV9FQklUREFSX0VYQ0xfU0JDLjk5Mi4xMS8wNy8yMDI2Li4uVVNELkgBAAAAS1UAAAIAAAAFNDE4MDkBCAAAAAUAAAABMQEAAAAKMTk3MzM4MDk1MQMAAAADMTYwAgAAAAUyNDEzNwQAAAABMAcAAAAJNy8xMS8yMDI2CAAAAAk2LzMwLzIwMTcJAAAAATBRj5Jrb9/eCEqxhG5v394IP0NJUS5OQVNEQVE6TVNGVC5JUV9UT1RBTF9SRVZfQVNfUkVQT1JURUQuOTkwLjExLzA3LzIwMjYuLi5VU0QuSAEAAABLVQAAAgAAAAU5MzU4MAEIAAAA</t>
  </si>
  <si>
    <t>BQAAAAExAQAAAAoxODUxNTI1OTEyAwAAAAMxNjACAAAAAzMzOQQAAAABMAcAAAAJNy8xMS8yMDI2CAAAAAk2LzMwLzIwMTUJAAAAATBRj5Jrb9/eCPWahG5v394INUNJUS5OQVNEQVE6TVNGVC5JUV9DQVNIX1RBWEVTLjIwMDAuMTEvMDcvMjAyNi4uLlVTRC5IAQAAAEtVAAACAAAABTI4NzAwAQgAAAAFAAAAATEBAAAACy0xODkzMjk4OTk1AwAAAAMxNjACAAAABDMwNTMEAAAAATAHAAAACTcvMTEvMjAyNggAAAAJMy8zMS8yMDI2CQAAAAEwUY+Sa2/f3gj1moRub9/eCERDSVEuTkFTREFROk1TRlQuSVFfQ0hBTkdFX05FVF9XT1JLSU5HX0NBUElUQUwuOTkxLjExLzA3LzIwMjYuLi5VU0QuSAEAAABLVQAAAgAAAAUtMzg1MAEIAAAABQAAAAExAQAAAAoxODk4NDg5NDcwAwAAAAMxNjACAAAABDQ0MjEEAAAAATAHAAAACTcvMTEvMjAyNggAAAAJNi8zMC8yMDE2CQAAAAEwUY+Sa2/f3gj1moRub9/eCENDSVEuTkFTREFROk1TRlQuSVFfR1dfSU5UQU5fQU1PUlRfUEFSVElBTF9DRi45OTEuMTEvMDcvMjAyNi4uLlVTRC5IAQAAAEtVAAADAAAAAABRj5Jrb9/eCPWahG5v394IMUNJUS5OQVNEQVE6TVNGVC5JUV9ERVBfUlVBLjk5Mi4xMS8wNy8yMDI2Li4uVVNELkgBAAAAS1UAAAMAAAAAAFGPkmtv394I9ZqEbm/f3ghBQ0lRLk5BU0RBUTpNU0ZULklRX0RBX0NGX0VYQ0xfT1BFUl9MRUFTRVMuMjAwMC4xMS8w</t>
  </si>
  <si>
    <t>Ny8yMDI2Li4uVVNELkgBAAAAS1UAAAIAAAAFMzU1MDABCAAAAAUAAAABMQEAAAALLTE4OTMyOTg5OTUDAAAAAzE2MAIAAAAFNDg5ODUEAAAAATAHAAAACTcvMTEvMjAyNggAAAAJMy8zMS8yMDI2CQAAAAEwUY+Sa2/f3giBcYRub9/eCDRDSVEuTkFTREFROk1TRlQuSVFfQ09NTU9OX1JFUC45OTAuMTEvMDcvMjAyNi4uLlVTRC5IAQAAAEtVAAACAAAABi0xNDQ0MwEIAAAABQAAAAExAQAAAAoxODUxNTI1OTEyAwAAAAMxNjACAAAABDIxNjQEAAAAATAHAAAACTcvMTEvMjAyNggAAAAJNi8zMC8yMDE1CQAAAAEwUY+Sa2/f3gj0hoRub9/eCDxDSVEuTkFTREFROk1TRlQuSVFfQ09NTU9OX1BSRUZfRElWX0NGLjk5Mi4xMS8wNy8yMDI2Li4uVVNELkgBAAAAS1UAAAMAAAAAAFGPkmtv394I9IaEbm/f3ggsQ0lRLk5BU0RBUTpNU0ZULklRX0ZYLjk5MS4xMS8wNy8yMDI2Li4uVVNELkgBAAAAS1UAAAIAAAADLTY3AQgAAAAFAAAAATEBAAAACjE4OTg0ODk0NzADAAAAAzE2MAIAAAAEMjE0NAQAAAABMAcAAAAJNy8xMS8yMDI2CAAAAAk2LzMwLzIwMTYJAAAAATBRj5Jrb9/eCPSGhG5v394IPUNJUS5OQVNEQVE6TVNGVC5JUV9JTlZFU1RfU0VDVVJJVFlfQ0YuMjAwMC4xMS8wNy8yMDI2Li4uVVNELkgBAAAAS1UAAAIAAAAFLTgxNzkBCAAAAAUAAAABMQEAAAALLTE4OTMyOTg5OTUDAAAAAzE2MAIAAAAEMjAyNwQA</t>
  </si>
  <si>
    <t>AAABMAcAAAAJNy8xMS8yMDI2CAAAAAkzLzMxLzIwMjYJAAAAATBRj5Jrb9/eCPSGhG5v394INUNJUS5OQVNEQVE6TVNGVC5JUV9DQVNIX0lOVkVTVC45OTAuMTEvMDcvMjAyNi4uLlVTRC5IAQAAAEtVAAACAAAABi0yMzAwMQEIAAAABQAAAAExAQAAAAoxODUxNTI1OTEyAwAAAAMxNjACAAAABDIwMDUEAAAAATAHAAAACTcvMTEvMjAyNggAAAAJNi8zMC8yMDE1CQAAAAEwUY+Sa2/f3ghaRoRub9/eCDhDSVEuTkFTREFROk1TRlQuSVFfTFRfREVCVF9JU1NVRUQuOTkxLjExLzA3LzIwMjYuLi5VU0QuSAEAAABLVQAAAgAAAAUxMzg4NAEIAAAABQAAAAExAQAAAAoxODk4NDg5NDcwAwAAAAMxNjACAAAABDIwMzQEAAAAATAHAAAACTcvMTEvMjAyNggAAAAJNi8zMC8yMDE2CQAAAAEwUY+Sa2/f3ghaRoRub9/eCDhDSVEuTkFTREFROk1TRlQuSVFfU1RfREVCVF9SRVBBSUQuOTkxLjExLzA3LzIwMjYuLi5VU0QuSAEAAABLVQAAAwAAAAAAUY+Sa2/f3giBcYRub9/eCDtDSVEuTkFTREFROk1TRlQuSVFfVE9UQUxfREVCVF9SRVBBSUQuOTkyLjExLzA3LzIwMjYuLi5VU0QuSAEAAABLVQAAAgAAAAYtMTI4ODUBCAAAAAUAAAABMQEAAAAKMTk3MzM4MDk1MQMAAAADMTYwAgAAAAQyMTY2BAAAAAEwBwAAAAk3LzExLzIwMjYIAAAACTYvMzAvMjAxNwkAAAABMFGPkmtv394IgXGEbm/f3gg4Q0lRLk5BU0RBUTpNU0ZU</t>
  </si>
  <si>
    <t>LklRX0NIQU5HRV9JTkNfVEFYLjk5Mi4xMS8wNy8yMDI2Li4uVVNELkgBAAAAS1UAAAIAAAAEMTc5MgEIAAAABQAAAAExAQAAAAoxOTczMzgwOTUxAwAAAAMxNjACAAAABDIxMDEEAAAAATAHAAAACTcvMTEvMjAyNggAAAAJNi8zMC8yMDE3CQAAAAEwUY+Sa2/f3giBcYRub9/eCDlDSVEuTkFTREFROk1TRlQuSVFfU1RPQ0tfQkFTRURfQ0YuMjAwMC4xMS8wNy8yMDI2Li4uVVNELkgBAAAAS1UAAAIAAAAFMTIzNTYBCAAAAAUAAAABMQEAAAALLTE4OTMyOTg5OTUDAAAAAzE2MAIAAAAEMjEyNwQAAAABMAcAAAAJNy8xMS8yMDI2CAAAAAkzLzMxLzIwMjYJAAAAATBRj5Jrb9/eCFpGhG5v394IPkNJUS5OQVNEQVE6TVNGVC5JUV9NSU5PUklUWV9JTlRFUkVTVF9DRi45OTMuMTEvMDcvMjAyNi4uLlVTRC5IAQAAAEtVAAADAAAAAABRj5Jrb9/eCFpGhG5v394IMkNJUS5OQVNEQVE6TVNGVC5JUV9MT0FOU19DRi45OTEuMTEvMDcvMjAyNi4uLlVTRC5IAQAAAEtVAAADAAAAAABRj5Jrb9/eCFpGhG5v394IQUNJUS5OQVNEQVE6TVNGVC5JUV9TVE9DS19CQVNFRF9DT01QX1BSRVRBWC45OTEuMTEvMDcvMjAyNi4uLlVTRC5IAQAAAEtVAAACAAAABDI2NjgAUY+Sa2/f3ghaRoRub9/eCDBDSVEuTkFTREFROk1TRlQuSVFfTklfQ0YuMjAwMC4xMS8wNy8yMDI2Li4uVVNELkgBAAAAS1UAAAIAAAAGMTI1MjE2AQgAAAAF</t>
  </si>
  <si>
    <t>AAAAATEBAAAACy0xODkzMjk4OTk1AwAAAAMxNjACAAAABDIxNTAEAAAAATAHAAAACTcvMTEvMjAyNggAAAAJMy8zMS8yMDI2CQAAAAEwUY+Sa2/f3ghaRoRub9/eCERDSVEuTkFTREFROk1TRlQuSVFfU1RPQ0tfQkFTRURfRVhQTE9SRV9EUklMTC4yMDAwLjExLzA3LzIwMjYuLi5VU0QuSAEAAABLVQAAAwAAAAAAUY+Sa2/f3ghOMYRub9/eCDpDSVEuTkFTREFROk1TRlQuSVFfUkVTVFJfU1RPQ0tfQ09NUC45OTMuMTEvMDcvMjAyNi4uLlVTRC5IAQAAAEtVAAADAAAAAABRj5Jrb9/eCFpGhG5v394IPUNJUS5OQVNEQVE6TVNGVC5JUV9MRUdBTF9TRVRUTEVfU1VQUExFLjk5My4xMS8wNy8yMDI2Li4uVVNELkgBAAAAS1UAAAMAAAAAAFGPkmtv394IWkaEbm/f3gg7Q0lRLk5BU0RBUTpNU0ZULklRX05FR0FUSVZFX0dXX0FNT1JULjk5My4xMS8wNy8yMDI2Li4uVVNELkgBAAAAS1UAAAMAAAAAAFGPkmtv394IWkaEbm/f3gg4Q0lRLk5BU0RBUTpNU0ZULklRX1NUT0NLX0JBU0VEX1NNLjk5MS4xMS8wNy8yMDI2Li4uVVNELkgBAAAAS1UAAAMAAAAAAFGPkmtv394IWkaEbm/f3ghBQ0lRLk5BU0RBUTpNU0ZULklRX1NBTEFSSUVTX09USEVSX0JFTkVGSVRTLjk5MS4xMS8wNy8yMDI2Li4uVVNELkgBAAAAS1UAAAMAAAAAAFGPkmtv394ItxyEbm/f3gg+Q0lRLk5BU0RBUTpNU0ZULklRX0lNUEFJUk1FTlRfR1df</t>
  </si>
  <si>
    <t>U1VQUExFLjk5MS4xMS8wNy8yMDI2Li4uVVNELkgBAAAAS1UAAAMAAAAAAFGPkmtv394ITjGEbm/f3gg7Q0lRLk5BU0RBUTpNU0ZULklRX0dBSU5fQkFSR0FJTl9BQ1EuMjAwMC4xMS8wNy8yMDI2Li4uVVNELkgBAAAAS1UAAAMAAAAAAFGPkmtv394ITjGEbm/f3ghAQ0lRLk5BU0RBUTpNU0ZULklRX05FVF9SRU5UQUxfRVhQX1NVUFBMRS4yMDAwLjExLzA3LzIwMjYuLi5VU0QuSAEAAABLVQAAAwAAAAAAUY+Sa2/f3ghOMYRub9/eCDdDSVEuTkFTREFROk1TRlQuSVFfT1RIRVJfUkVOVEFMLjIwMDAuMTEvMDcvMjAyNi4uLlVTRC5IAQAAAEtVAAADAAAAAABRj5Jrb9/eCE4xhG5v394IQUNJUS5OQVNEQVE6TVNGVC5JUV9FWFBMT1JFX0RSSUxMX0VYUF9UT1RBTC45OTMuMTEvMDcvMjAyNi4uLlVTRC5IAQAAAEtVAAADAAAAAABRj5Jrb9/eCHUHhG5v394INUNJUS5OQVNEQVE6TVNGVC5JUV9BRFZFUlRJU0lORy45OTMuMTEvMDcvMjAyNi4uLlVTRC5IAQAAAEtVAAACAAAABDE2MDABCAAAAAUAAAABMQEAAAAKMjA0NzI3MTc0NQMAAAADMTYwAgAAAAQzMDEzBAAAAAEwBwAAAAk3LzExLzIwMjYIAAAACTYvMzAvMjAxOAkAAAABMFGPkmtv394ItxyEbm/f3ggzQ0lRLk5BU0RBUTpNU0ZULklRX1JEX0VYUF9GTi45OTEuMTEvMDcvMjAyNi4uLlVTRC5IAQAAAEtVAAACAAAABTExOTg4AQgAAAAFAAAAATEBAAAA</t>
  </si>
  <si>
    <t>CjE4OTg0ODk0NzADAAAAAzE2MAIAAAAEMzE2OAQAAAABMAcAAAAJNy8xMS8yMDI2CAAAAAk2LzMwLzIwMTYJAAAAATBRj5Jrb9/eCLcchG5v394INkNJUS5OQVNEQVE6TVNGVC5JUV9JTlRfRVhQX0xURC4yMDAwLjExLzA3LzIwMjYuLi5VU0QuSAEAAABLVQAAAwAAAAAAUY+Sa2/f3gi3HIRub9/eCElDSVEuTkFTREFROk1TRlQuSVFfRElTVFJJQlVUQUJMRV9DQVNIX1NUQU5EQVJESVpFRC45OTMuMTEvMDcvMjAyNi4uLlVTRC5IAQAAAEtVAAADAAAAAABRj5Jrb9/eCLcchG5v394IPUNJUS5OQVNEQVE6TVNGVC5JUV9DVVJSX0RPTUVTVElDX1RBWEVTLjk5My4xMS8wNy8yMDI2Li4uVVNELkgBAAAAS1UAAAIAAAAFMjA2OTgBCAAAAAUAAAABMQEAAAAKMjA0NzI3MTc0NQMAAAADMTYwAgAAAAQzMDI3BAAAAAEwBwAAAAk3LzExLzIwMjYIAAAACTYvMzAvMjAxOAkAAAABMFGPkmtv394ItOWDbm/f3ghBQ0lRLk5BU0RBUTpNU0ZULklRX0RFRkVSUkVEX0RPTUVTVElDX1RBWEVTLjk5My4xMS8wNy8yMDI2Li4uVVNELkgBAAAAS1UAAAIAAAAFLTQ3NTABCAAAAAUAAAABMQEAAAAKMjA0NzI3MTc0NQMAAAADMTYwAgAAAAQzMDU0BAAAAAEwBwAAAAk3LzExLzIwMjYIAAAACTYvMzAvMjAxOAkAAAABMFGPkmtv394IdQeEbm/f3ggxQ0lRLk5BU0RBUTpNU0ZULklRX05JX05PUk0uOTkxLjExLzA3LzIwMjYuLi5V</t>
  </si>
  <si>
    <t>U0QuSAEAAABLVQAAAgAAAAUxNjMyMAEIAAAABQAAAAExAQAAAAoxODk4NDg5NDcwAwAAAAMxNjACAAAABDQzNzgEAAAAATAHAAAACTcvMTEvMjAyNggAAAAJNi8zMC8yMDE2CQAAAAEwUY+Sa2/f3gh1B4Rub9/eCD9DSVEuTkFTREFROk1TRlQuSVFfVE9UQUxfUkVWX0FTX1JFUE9SVEVELjk5MS4xMS8wNy8yMDI2Li4uVVNELkgBAAAAS1UAAAIAAAAFOTExNTQBCAAAAAUAAAABMQEAAAAKMTg5ODQ4OTQ3MAMAAAADMTYwAgAAAAMzMzkEAAAAATAHAAAACTcvMTEvMjAyNggAAAAJNi8zMC8yMDE2CQAAAAEwUY+Sa2/f3gh1B4Rub9/eCENDSVEuTkFTREFROk1TRlQuSVFfRUFSTklOR19QQVJFTlRfRVhDTF9FWFRSQS45OTEuMTEvMDcvMjAyNi4uLlVTRC5IAQAAAEtVAAACAAAABTIwNTM5AQgAAAAFAAAAATEBAAAACjE4OTg0ODk0NzADAAAAAzE2MAIAAAAFNDE1OTYEAAAAATAHAAAACTcvMTEvMjAyNggAAAAJNi8zMC8yMDE2CQAAAAEwUY+Sa2/f3gh1B4Rub9/eCDxDSVEuTkFTREFROk1TRlQuSVFfSU5WRVNUTUVOVF9JTkNPTUUuMjAwMC4xMS8wNy8yMDI2Li4uVVNELkgBAAAAS1UAAAMAAAAAAFGPkmtv394ItOWDbm/f3gg3Q0lRLk5BU0RBUTpNU0ZULklRX0VCSVRBX0VRX0lOQy4yMDAwLjExLzA3LzIwMjYuLi5VU0QuSAEAAABLVQAAAgAAAAYxNjExNDUBCAAAAAUAAAABMQEAAAALLTE4OTMyOTg5OTUD</t>
  </si>
  <si>
    <t>AAAAAzE2MAIAAAAFMjE2NzYEAAAAATAHAAAACTcvMTEvMjAyNggAAAAJMy8zMS8yMDI2CQAAAAEwUY+Sa2/f3gi05YNub9/eCDJDSVEuTkFTREFROk1TRlQuSVFfRUJJVERBUi4yMDAwLjExLzA3LzIwMjYuLi5VU0QuSAEAAABLVQAAAwAAAAAAUY+Sa2/f3gi05YNub9/eCDpDSVEuTkFTREFROk1TRlQuSVFfRUJJVERBUl9FWENMX1NCQy45OTMuMTEvMDcvMjAyNi4uLlVTRC5IAQAAAEtVAAACAAAABTUwNDgzAQgAAAAFAAAAATEBAAAACjIwNDcyNzE3NDUDAAAAAzE2MAIAAAAFMjQxMzcEAAAAATAHAAAACTcvMTEvMjAyNggAAAAJNi8zMC8yMDE4CQAAAAEwUY+Sa2/f3gi05YNub9/eCEFDSVEuTkFTREFROk1TRlQuSVFfTEVBU0VfQURKVVNUTUVOVF9FQklUREEuOTkzLjExLzA3LzIwMjYuLi5VU0QuSAEAAABLVQAAAgAAAAQxNTg1AFGPkmtv394ItOWDbm/f3gg+Q0lRLk5BU0RBUTpNU0ZULklRX0VCSVRfRVFfSU5DX0VYQ0xfU0JDLjk5MS4xMS8wNy8yMDI2Li4uVVNELkgBAAAAS1UAAAIAAAAFMjk4NTYBCAAAAAUAAAABMQEAAAAKMTg5ODQ4OTQ3MAMAAAADMTYwAgAAAAUyNDEzMAQAAAABMAcAAAAJNy8xMS8yMDI2CAAAAAk2LzMwLzIwMTYJAAAAATBRj5Jrb9/eCFHRg25v394IQkNJUS5OQVNEQVE6TVNGVC5JUV9ESVNUUklCVVRBQkxFX0NBU0hfU0hBUkUuOTkxLjExLzA3LzIwMjYuLi5VU0QuSAEA</t>
  </si>
  <si>
    <t>AABLVQAAAwAAAAAAUY+Sa2/f3ghR0YNub9/eCDlDSVEuTkFTREFROk1TRlQuSVFfRElMVVRfRVBTX0VYQ0wuMjAwMC4xMS8wNy8yMDI2Li4uVVNELkgBAAAAS1UAAAIAAAAJMTYuNzg5NzYxAQgAAAAFAAAAATEBAAAACy0xODkzMjk4OTk1AwAAAAMxNjACAAAAAzE0MgQAAAABMAcAAAAJNy8xMS8yMDI2CAAAAAkzLzMxLzIwMjYJAAAAATBRj5Jrb9/eCFHRg25v394INENJUS5OQVNEQVE6TVNGVC5JUV9OSV9DT01QQU5ZLjk5My4xMS8wNy8yMDI2Li4uVVNELkgBAAAAS1UAAAIAAAAFMTY1NzEBCAAAAAUAAAABMQEAAAAKMjA0NzI3MTc0NQMAAAADMTYwAgAAAAU0MTU3MQQAAAABMAcAAAAJNy8xMS8yMDI2CAAAAAk2LzMwLzIwMTgJAAAAATBRj5Jrb9/eCLTlg25v394IOENJUS5OQVNEQVE6TVNGVC5JUV9QUkVGX0RJVl9PVEhFUi45OTMuMTEvMDcvMjAyNi4uLlVTRC5IAQAAAEtVAAADAAAAAABRj5Jrb9/eCLTlg25v394IOENJUS5OQVNEQVE6TVNGVC5JUV9CQVNJQ19FUFNfRVhDTC45OTEuMTEvMDcvMjAyNi4uLlVTRC5IAQAAAEtVAAACAAAACDIuNTkxNjcxAQgAAAAFAAAAATEBAAAACjE4OTg0ODk0NzADAAAAAzE2MAIAAAAEMzA2NAQAAAABMAcAAAAJNy8xMS8yMDI2CAAAAAk2LzMwLzIwMTYJAAAAATBRj5Jrb9/eCK+8g25v394ILkNJUS5OQVNEQVE6TVNGVC5JUV9JUFJELjk5MS4xMS8wNy8yMDI2</t>
  </si>
  <si>
    <t>Li4uVVNELkgBAAAAS1UAAAMAAAAAAFGPkmtv394Ir7yDbm/f3gg9Q0lRLk5BU0RBUTpNU0ZULklRX09USEVSX1VOVVNVQUxfU1VQUEwuOTkxLjExLzA3LzIwMjYuLi5VU0QuSAEAAABLVQAAAwAAAAAAUY+Sa2/f3givvINub9/eCDVDSVEuTkFTREFROk1TRlQuSVFfRUFSTklOR19DTy4yMDAwLjExLzA3LzIwMjYuLi5VU0QuSAEAAABLVQAAAgAAAAYxMjUyMTYBCAAAAAUAAAABMQEAAAALLTE4OTMyOTg5OTUDAAAAAzE2MAIAAAABNwQAAAABMAcAAAAJNy8xMS8yMDI2CAAAAAkzLzMxLzIwMjYJAAAAATBRj5Jrb9/eCFHRg25v394INUNJUS5OQVNEQVE6TVNGVC5JUV9JTkNfRVFVSVRZLjIwMDAuMTEvMDcvMjAyNi4uLlVTRC5IAQAAAEtVAAACAAAABDY5ODgBCAAAAAUAAAABMQEAAAALLTE4OTMyOTg5OTUDAAAAAzE2MAIAAAACNDcEAAAAATAHAAAACTcvMTEvMjAyNggAAAAJMy8zMS8yMDI2CQAAAAEwUY+Sa2/f3ghR0YNub9/eCDNDSVEuTkFTREFROk1TRlQuSVFfRUJUX0VYQ0wuMjAwMC4xMS8wNy8yMDI2Li4uVVNELkgBAAAAS1UAAAIAAAAGMTU4MTM4AQgAAAAFAAAAATEBAAAACy0xODkzMjk4OTk1AwAAAAMxNjACAAAAATQEAAAAATAHAAAACTcvMTEvMjAyNggAAAAJMy8zMS8yMDI2CQAAAAEwUY+Sa2/f3giJqINub9/eCDdDSVEuTkFTREFROk1TRlQuSVFfSU1QQUlSTUVOVF9HVy45OTMuMTEvMDcv</t>
  </si>
  <si>
    <t>MjAyNi4uLlVTRC5IAQAAAEtVAAADAAAAAABRj5Jrb9/eCImog25v394INENJUS5OQVNEQVE6TVNGVC5JUV9JTVBBSVJfT0lMLjk5My4xMS8wNy8yMDI2Li4uVVNELkgBAAAAS1UAAAMAAAAAAFGPkmtv394IiaiDbm/f3gg2Q0lRLk5BU0RBUTpNU0ZULklRX0lOVEVSRVNUX0VYUC45OTEuMTEvMDcvMjAyNi4uLlVTRC5IAQAAAEtVAAACAAAABS0xMjQzAQgAAAAFAAAAATEBAAAACjE4OTg0ODk0NzADAAAAAzE2MAIAAAACODIEAAAAATAHAAAACTcvMTEvMjAyNggAAAAJNi8zMC8yMDE2CQAAAAEwUY+Sa2/f3givvINub9/eCEBDSVEuTkFTREFROk1TRlQuSVFfQ0FTSF9JTlRFUkVTVF9SRUNFSVZFRC45OTIuMTEvMDcvMjAyNi4uLlVTRC5IAQAAAEtVAAADAAAAAABRj5Jrb9/eCK+8g25v394INENJUS5OQVNEQVE6TVNGVC5JUV9DQVNIX1RBWEVTLjk5My4xMS8wNy8yMDI2Li4uVVNELkgBAAAAS1UAAAIAAAAENTUwMAEIAAAABQAAAAExAQAAAAoyMDQ3MjcxNzQ1AwAAAAMxNjACAAAABDMwNTMEAAAAATAHAAAACTcvMTEvMjAyNggAAAAJNi8zMC8yMDE4CQAAAAEwUY+Sa2/f3ggnk4Nub9/eCERDSVEuTkFTREFROk1TRlQuSVFfQ0hBTkdFX05FVF9XT1JLSU5HX0NBUElUQUwuOTkyLjExLzA3LzIwMjYuLi5VU0QuSAEAAABLVQAAAgAAAAQ1MjIyAQgAAAAFAAAAATEBAAAACjE5NzMzODA5NTEDAAAAAzE2MAIA</t>
  </si>
  <si>
    <t>AAAENDQyMQQAAAABMAcAAAAJNy8xMS8yMDI2CAAAAAk2LzMwLzIwMTcJAAAAATBRj5Jrb9/eCCeTg25v394IQ0NJUS5OQVNEQVE6TVNGVC5JUV9HV19JTlRBTl9BTU9SVF9QQVJUSUFMX0NGLjk5Mi4xMS8wNy8yMDI2Li4uVVNELkgBAAAAS1UAAAMAAAAAADa4kmtv394IJ5ODbm/f3ggxQ0lRLk5BU0RBUTpNU0ZULklRX0RFUF9SVUEuOTkzLjExLzA3LzIwMjYuLi5VU0QuSAEAAABLVQAAAwAAAAAANriSa2/f3ggnk4Nub9/eCD5DSVEuTkFTREFROk1TRlQuSVFfTkVHQVRJVkVfR1dfQU1PUlRfQ0YuOTkwLjExLzA3LzIwMjYuLi5VU0QuSAEAAABLVQAAAwAAAAAANriSa2/f3giJqINub9/eCDRDSVEuTkFTREFROk1TRlQuSVFfQ09NTU9OX1JFUC45OTEuMTEvMDcvMjAyNi4uLlVTRC5IAQAAAEtVAAACAAAABi0xNTk2OQEIAAAABQAAAAExAQAAAAoxODk4NDg5NDcwAwAAAAMxNjACAAAABDIxNjQEAAAAATAHAAAACTcvMTEvMjAyNggAAAAJNi8zMC8yMDE2CQAAAAEwNriSa2/f3ghUfINub9/eCDxDSVEuTkFTREFROk1TRlQuSVFfQ09NTU9OX1BSRUZfRElWX0NGLjk5My4xMS8wNy8yMDI2Li4uVVNELkgBAAAAS1UAAAMAAAAAADa4kmtv394IVHyDbm/f3ggsQ0lRLk5BU0RBUTpNU0ZULklRX0ZYLjk5Mi4xMS8wNy8yMDI2Li4uVVNELkgBAAAAS1UAAAIAAAACMTkBCAAAAAUAAAABMQEAAAAKMTk3MzM4MDk1</t>
  </si>
  <si>
    <t>MQMAAAADMTYwAgAAAAQyMTQ0BAAAAAEwBwAAAAk3LzExLzIwMjYIAAAACTYvMzAvMjAxNwkAAAABMDa4kmtv394IVHyDbm/f3gg8Q0lRLk5BU0RBUTpNU0ZULklRX0lOVkVTVF9TRUNVUklUWV9DRi45OTIuMTEvMDcvMjAyNi4uLlVTRC5IAQAAAEtVAAACAAAABi0xMjUxMQEIAAAABQAAAAExAQAAAAoxOTczMzgwOTUxAwAAAAMxNjACAAAABDIwMjcEAAAAATAHAAAACTcvMTEvMjAyNggAAAAJNi8zMC8yMDE3CQAAAAEwNriSa2/f3ghUfINub9/eCEBDSVEuTkFTREFROk1TRlQuSVFfT1RIRVJfSU5WRVNUX0FDVF9TVVBQTC45OTMuMTEvMDcvMjAyNi4uLlVTRC5IAQAAAEtVAAACAAAAAy05OAEIAAAABQAAAAExAQAAAAoyMDQ3MjcxNzQ1AwAAAAMxNjACAAAABDIwNTEEAAAAATAHAAAACTcvMTEvMjAyNggAAAAJNi8zMC8yMDE4CQAAAAEwNriSa2/f3ggnk4Nub9/eCDhDSVEuTkFTREFROk1TRlQuSVFfU1RfREVCVF9SRVBBSUQuOTkyLjExLzA3LzIwMjYuLi5VU0QuSAEAAABLVQAAAgAAAAUtNDk2MwEIAAAABQAAAAExAQAAAAoxOTczMzgwOTUxAwAAAAMxNjACAAAABDIwNDQEAAAAATAHAAAACTcvMTEvMjAyNggAAAAJNi8zMC8yMDE3CQAAAAEwNriSa2/f3ggEaINub9/eCDtDSVEuTkFTREFROk1TRlQuSVFfVE9UQUxfREVCVF9SRVBBSUQuOTkzLjExLzA3LzIwMjYuLi5VU0QuSAEAAABLVQAAAgAAAAYt</t>
  </si>
  <si>
    <t>MTczODQBCAAAAAUAAAABMQEAAAAKMjA0NzI3MTc0NQMAAAADMTYwAgAAAAQyMTY2BAAAAAEwBwAAAAk3LzExLzIwMjYIAAAACTYvMzAvMjAxOAkAAAABMDa4kmtv394IBGiDbm/f3gg4Q0lRLk5BU0RBUTpNU0ZULklRX0NIQU5HRV9JTkNfVEFYLjk5My4xMS8wNy8yMDI2Li4uVVNELkgBAAAAS1UAAAIAAAAFMTgxODMBCAAAAAUAAAABMQEAAAAKMjA0NzI3MTc0NQMAAAADMTYwAgAAAAQyMTAxBAAAAAEwBwAAAAk3LzExLzIwMjYIAAAACTYvMzAvMjAxOAkAAAABMDa4kmtv394IBGiDbm/f3gg4Q0lRLk5BU0RBUTpNU0ZULklRX1NUT0NLX0JBU0VEX0NGLjk5Mi4xMS8wNy8yMDI2Li4uVVNELkgBAAAAS1UAAAIAAAAEMzI2NgEIAAAABQAAAAExAQAAAAoxOTczMzgwOTUxAwAAAAMxNjACAAAABDIxMjcEAAAAATAHAAAACTcvMTEvMjAyNggAAAAJNi8zMC8yMDE3CQAAAAEwNriSa2/f3ghUfINub9/eCDNDSVEuTkFTREFROk1TRlQuSVFfQ0hBTkdFX0FQLjk5MS4xMS8wNy8yMDI2Li4uVVNELkgBAAAAS1UAAAIAAAACODgBCAAAAAUAAAABMQEAAAAKMTg5ODQ4OTQ3MAMAAAADMTYwAgAAAAQyMDE3BAAAAAEwBwAAAAk3LzExLzIwMjYIAAAACTYvMzAvMjAxNgkAAAABMDa4kmtv394IVHyDbm/f3ggvQ0lRLk5BU0RBUTpNU0ZULklRX0RBX0NGLjk5MC4xMS8wNy8yMDI2Li4uVVNELkgBAAAAS1UAAAIAAAAENTQw</t>
  </si>
  <si>
    <t>MAEIAAAABQAAAAExAQAAAAoxODUxNTI1OTEyAwAAAAMxNjACAAAABDIxNjAEAAAAATAHAAAACTcvMTEvMjAyNggAAAAJNi8zMC8yMDE1CQAAAAEwNriSa2/f3gjKUINub9/eCDJDSVEuTkFTREFROk1TRlQuSVFfTE9BTlNfQ0YuOTkyLjExLzA3LzIwMjYuLi5VU0QuSAEAAABLVQAAAwAAAAAANriSa2/f3gjKUINub9/eCEFDSVEuTkFTREFROk1TRlQuSVFfU1RPQ0tfQkFTRURfQ09NUF9QUkVUQVguOTkyLjExLzA3LzIwMjYuLi5VU0QuSAEAAABLVQAAAgAAAAQzMjY2ADa4kmtv394IylCDbm/f3gg1Q0lRLk5BU0RBUTpNU0ZULklRX0RBX1NVUFBMX0NGLjk5MC4xMS8wNy8yMDI2Li4uVVNELkgBAAAAS1UAAAIAAAAENDEwMAEIAAAABQAAAAExAQAAAAoxODUxNTI1OTEyAwAAAAMxNjACAAAABDIxNzEEAAAAATAHAAAACTcvMTEvMjAyNggAAAAJNi8zMC8yMDE1CQAAAAEwNriSa2/f3gjKUINub9/eCDtDSVEuTkFTREFROk1TRlQuSVFfU1RPQ0tfQkFTRURfT1RIRVIuOTkwLjExLzA3LzIwMjYuLi5VU0QuSAEAAABLVQAAAgAAAAQyNTc0AQgAAAAFAAAAATEBAAAACjE4NTE1MjU5MTIDAAAAAzE2MAIAAAAFMjI2NzYEAAAAATAHAAAACTcvMTEvMjAyNggAAAAJNi8zMC8yMDE1CQAAAAEwNriSa2/f3ggEaINub9/eCDhDSVEuTkFTREFROk1TRlQuSVFfU1RPQ0tfQkFTRURfU00uOTkyLjExLzA3LzIwMjYuLi5V</t>
  </si>
  <si>
    <t>U0QuSAEAAABLVQAAAwAAAAAANriSa2/f3gh2O4Nub9/eCD5DSVEuTkFTREFROk1TRlQuSVFfSU1QQUlSTUVOVF9HV19TVVBQTEUuOTkyLjExLzA3LzIwMjYuLi5VU0QuSAEAAABLVQAAAwAAAAAANriSa2/f3gh2O4Nub9/eCEFDSVEuTkFTREFROk1TRlQuSVFfR0FJTl9CQVJHQUlOX0FDUV9TVVBQTEUuOTkwLjExLzA3LzIwMjYuLi5VU0QuSAEAAABLVQAAAwAAAAAANriSa2/f3gh2O4Nub9/eCD9DSVEuTkFTREFROk1TRlQuSVFfTkVUX1JFTlRBTF9FWFBfU1VQUExFLjk5Mi4xMS8wNy8yMDI2Li4uVVNELkgBAAAAS1UAAAIAAAAEMTQxMgEIAAAABQAAAAExAQAAAAoxOTczMzgwOTUxAwAAAAMxNjACAAAABTI0MjYzBAAAAAEwBwAAAAk3LzExLzIwMjYIAAAACTYvMzAvMjAxNwkAAAABMDa4kmtv394IylCDbm/f3gg3Q0lRLk5BU0RBUTpNU0ZULklRX0FJUkNSQUZUX1JFTlQuOTkwLjExLzA3LzIwMjYuLi5VU0QuSAEAAABLVQAAAwAAAAAANriSa2/f3gjKUINub9/eCDNDSVEuTkFTREFROk1TRlQuSVFfUkRfRVhQX0ZOLjk5Mi4xMS8wNy8yMDI2Li4uVVNELkgBAAAAS1UAAAIAAAAFMTMwMzcBCAAAAAUAAAABMQEAAAAKMTk3MzM4MDk1MQMAAAADMTYwAgAAAAQzMTY4BAAAAAEwBwAAAAk3LzExLzIwMjYIAAAACTYvMzAvMjAxNwkAAAABMDa4kmtv394IxCaDbm/f3ggtQ0lRLk5BU0RBUTpNU0ZULklRX0RJ</t>
  </si>
  <si>
    <t>Qy45OTAuMTEvMDcvMjAyNi4uLlVTRC5IAQAAAEtVAAADAAAAAAA2uJJrb9/eCMQmg25v394IS0NJUS5OQVNEQVE6TVNGVC5JUV9JTlRFUkVTVF9FWFBfTEVBU0VfTElBQklMSVRZX0RFQlQuOTkwLjExLzA3LzIwMjYuLi5VU0QuSAEAAABLVQAAAwAAAAAANriSa2/f3gjEJoNub9/eCDFDSVEuTkFTREFROk1TRlQuSVFfTklfTk9STS45OTIuMTEvMDcvMjAyNi4uLlVTRC5IAQAAAEtVAAACAAAACDE3Mzg2LjI1AQgAAAAFAAAAATEBAAAACjE5NzMzODA5NTEDAAAAAzE2MAIAAAAENDM3OAQAAAABMAcAAAAJNy8xMS8yMDI2CAAAAAk2LzMwLzIwMTcJAAAAATA2uJJrb9/eCHY7g25v394IQ0NJUS5OQVNEQVE6TVNGVC5JUV9FQVJOSU5HX1BBUkVOVF9FWENMX0VYVFJBLjk5Mi4xMS8wNy8yMDI2Li4uVVNELkgBAAAAS1UAAAIAAAAFMjU0ODkBCAAAAAUAAAABMQEAAAAKMTk3MzM4MDk1MQMAAAADMTYwAgAAAAU0MTU5NgQAAAABMAcAAAAJNy8xMS8yMDI2CAAAAAk2LzMwLzIwMTcJAAAAATA2uJJrb9/eCHY7g25v394IQUNJUS5OQVNEQVE6TVNGVC5JUV9FWENJU0VfVEFYRVNfRVhDTF9TQUxFUy45OTAuMTEvMDcvMjAyNi4uLlVTRC5IAQAAAEtVAAADAAAAAAA2uJJrb9/eCBgTg25v394INkNJUS5OQVNEQVE6TVNGVC5JUV9FQklUQV9FUV9JTkMuOTkyLjExLzA3LzIwMjYuLi5VU0QuSAEAAABLVQAAAgAAAAUz</t>
  </si>
  <si>
    <t>MTAzMQEIAAAABQAAAAExAQAAAAoxOTczMzgwOTUxAwAAAAMxNjACAAAABTIxNjc2BAAAAAEwBwAAAAk3LzExLzIwMjYIAAAACTYvMzAvMjAxNwkAAAABMDa4kmtv394IGBODbm/f3gg4Q0lRLk5BU0RBUTpNU0ZULklRX0VCSVREQVJfRVFfSU5DLjk5MC4xMS8wNy8yMDI2Li4uVVNELkgBAAAAS1UAAAIAAAAFMzQ1NjEBCAAAAAUAAAABMQEAAAAKMTg1MTUyNTkxMgMAAAADMTYwAgAAAAUyNDEyOQQAAAABMAcAAAAJNy8xMS8yMDI2CAAAAAk2LzMwLzIwMTUJAAAAATA2uJJrb9/eCBgTg25v394IOUNJUS5OQVNEQVE6TVNGVC5JUV9FQklUREFfRVhDTF9TQkMuOTkwLjExLzA3LzIwMjYuLi5VU0QuSAEAAABLVQAAAgAAAAUzNjE0NgEIAAAABQAAAAExAQAAAAoxODUxNTI1OTEyAwAAAAMxNjACAAAABTI0MTM1BAAAAAEwBwAAAAk3LzExLzIwMjYIAAAACTYvMzAvMjAxNQkAAAABMDa4kmtv394IxCaDbm/f3gg+Q0lRLk5BU0RBUTpNU0ZULklRX0VCSVRfRVFfSU5DX0VYQ0xfU0JDLjk5Mi4xMS8wNy8yMDI2Li4uVVNELkgBAAAAS1UAAAIAAAAFMzI1OTcBCAAAAAUAAAABMQEAAAAKMTk3MzM4MDk1MQMAAAADMTYwAgAAAAUyNDEzMAQAAAABMAcAAAAJNy8xMS8yMDI2CAAAAAk2LzMwLzIwMTcJAAAAATA2uJJrb9/eCMQmg25v394IQkNJUS5OQVNEQVE6TVNGVC5JUV9ESVNUUklCVVRBQkxFX0NBU0hfU0hBUkUu</t>
  </si>
  <si>
    <t>OTkyLjExLzA3LzIwMjYuLi5VU0QuSAEAAABLVQAAAwAAAAAANriSa2/f3gjW64Jub9/eCDBDSVEuTkFTREFROk1TRlQuSVFfRUJJVERBLjk5MC4xMS8wNy8yMDI2Li4uVVNELkgBAAAAS1UAAAIAAAAFMzM1NzIBCAAAAAUAAAABMQEAAAAKMTg1MTUyNTkxMgMAAAADMTYwAgAAAAQ0MDUxBAAAAAEwBwAAAAk3LzExLzIwMjYIAAAACTYvMzAvMjAxNQkAAAABMDa4kmtv394I1uuCbm/f3gg5Q0lRLk5BU0RBUTpNU0ZULklRX05FVF9ERUJUX0lTU1VFRC45OTIuMTEvMDcvMjAyNi4uLlVTRC5IAQAAAEtVAAACAAAABTMxNDU5AQgAAAAFAAAAATEBAAAACjE5NzMzODA5NTEDAAAAAzE2MAIAAAAEMjAwMwQAAAABMAcAAAAJNy8xMS8yMDI2CAAAAAk2LzMwLzIwMTcJAAAAATA2uJJrb9/eCNbrgm5v394IQ0NJUS5OQVNEQVE6TVNGVC5JUV9HV19JTlRBTl9BTU9SVF9QQVJUSUFMX0NGLjk5My4xMS8wNy8yMDI2Li4uVVNELkgBAAAAS1UAAAMAAAAAADa4kmtv394I1uuCbm/f3ghFQ0lRLk5BU0RBUTpNU0ZULklRX1NBTEVfUFJPQ0VFRFNfUkVOVEFMX0FTU0VUUy45OTEuMTEvMDcvMjAyNi4uLlVTRC5IAQAAAEtVAAADAAAAAAA2uJJrb9/eCNbrgm5v394IMkNJUS5OQVNEQVE6TVNGVC5JUV9QUkVGX1JFUC45OTEuMTEvMDcvMjAyNi4uLlVTRC5IAQAAAEtVAAADAAAAAAA2uJJrb9/eCDzXgm5v394ILENJUS5OQVNE</t>
  </si>
  <si>
    <t>QVE6TVNGVC5JUV9GWC45OTMuMTEvMDcvMjAyNi4uLlVTRC5IAQAAAEtVAAACAAAAAjUwAQgAAAAFAAAAATEBAAAACjIwNDcyNzE3NDUDAAAAAzE2MAIAAAAEMjE0NAQAAAABMAcAAAAJNy8xMS8yMDI2CAAAAAk2LzMwLzIwMTgJAAAAATA2uJJrb9/eCNbrgm5v394INENJUS5OQVNEQVE6TVNGVC5JUV9DT01NT05fUkVQLjk5My4xMS8wNy8yMDI2Li4uVVNELkgBAAAAS1UAAAIAAAAGLTEwNzIxAQgAAAAFAAAAATEBAAAACjIwNDcyNzE3NDUDAAAAAzE2MAIAAAAEMjE2NAQAAAABMAcAAAAJNy8xMS8yMDI2CAAAAAk2LzMwLzIwMTgJAAAAATA2uJJrb9/eCNbrgm5v394IQ0NJUS5OQVNEQVE6TVNGVC5JUV9PUEVSQVRJTkdfTEVBU0VfUEFZTUVOVFMuMjAwMC4xMS8wNy8yMDI2Li4uVVNELkgBAAAAS1UAAAMAAAAAADa4kmtv394I1uuCbm/f3gg9Q0lRLk5BU0RBUTpNU0ZULklRX1NBTEVfUkVBTF9FU1RBVEVfQ0YuOTkxLjExLzA3LzIwMjYuLi5VU0QuSAEAAABLVQAAAwAAAAAANriSa2/f3gjW64Jub9/eCDxDSVEuTkFTREFROk1TRlQuSVFfSU5WRVNUX1NFQ1VSSVRZX0NGLjk5My4xMS8wNy8yMDI2Li4uVVNELkgBAAAAS1UAAAIAAAAENjU1NwEIAAAABQAAAAExAQAAAAoyMDQ3MjcxNzQ1AwAAAAMxNjACAAAABDIwMjcEAAAAATAHAAAACTcvMTEvMjAyNggAAAAJNi8zMC8yMDE4CQAAAAEwNriSa2/f3ghM</t>
  </si>
  <si>
    <t>w4Jub9/eCDRDSVEuTkFTREFROk1TRlQuSVFfQ0FTSF9UQVhFUy45OTAuMTEvMDcvMjAyNi4uLlVTRC5IAQAAAEtVAAACAAAABDQ0MDABCAAAAAUAAAABMQEAAAAKMTg1MTUyNTkxMgMAAAADMTYwAgAAAAQzMDUzBAAAAAEwBwAAAAk3LzExLzIwMjYIAAAACTYvMzAvMjAxNQkAAAABMDa4kmtv394IPNeCbm/f3gg4Q0lRLk5BU0RBUTpNU0ZULklRX1NQRUNJQUxfRElWX0NGLjk5MS4xMS8wNy8yMDI2Li4uVVNELkgBAAAAS1UAAAMAAAAAADa4kmtv394IPNeCbm/f3gg0Q0lRLk5BU0RBUTpNU0ZULklRX05FVF9DSEFOR0UuOTkxLjExLzA3LzIwMjYuLi5VU0QuSAEAAABLVQAAAgAAAAM5MTUBCAAAAAUAAAABMQEAAAAKMTg5ODQ4OTQ3MAMAAAADMTYwAgAAAAQyMDkzBAAAAAEwBwAAAAk3LzExLzIwMjYIAAAACTYvMzAvMjAxNgkAAAABMDa4kmtv394IPNeCbm/f3ggyQ0lRLk5BU0RBUTpNU0ZULklRX1BSRUZfUkVQLjk5Mi4xMS8wNy8yMDI2Li4uVVNELkgBAAAAS1UAAAMAAAAAADa4kmtv394IPNeCbm/f3gg5Q0lRLk5BU0RBUTpNU0ZULklRX0NBU0hfQUNRVUlSRV9DRi45OTEuMTEvMDcvMjAyNi4uLlVTRC5IAQAAAEtVAAACAAAABS0xMzkzAQgAAAAFAAAAATEBAAAACjE4OTg0ODk0NzADAAAAAzE2MAIAAAAEMjA1NwQAAAABMAcAAAAJNy8xMS8yMDI2CAAAAAk2LzMwLzIwMTYJAAAAATA2uJJrb9/eCKmu</t>
  </si>
  <si>
    <t>gm5v394IPUNJUS5OQVNEQVE6TVNGVC5JUV9TQUxFX1JFQUxfRVNUQVRFX0NGLjk5My4xMS8wNy8yMDI2Li4uVVNELkgBAAAAS1UAAAMAAAAAADa4kmtv394ITMOCbm/f3ggzQ0lRLk5BU0RBUTpNU0ZULklRX0NIQU5HRV9BUi45OTEuMTEvMDcvMjAyNi4uLlVTRC5IAQAAAEtVAAACAAAAAzU2MgEIAAAABQAAAAExAQAAAAoxODk4NDg5NDcwAwAAAAMxNjACAAAABDIwMTgEAAAAATAHAAAACTcvMTEvMjAyNggAAAAJNi8zMC8yMDE2CQAAAAEwNriSa2/f3ghMw4Jub9/eCDNDSVEuTkFTREFROk1TRlQuSVFfQ0hBTkdFX0FQLjk5My4xMS8wNy8yMDI2Li4uVVNELkgBAAAAS1UAAAIAAAAEMTE0OAEIAAAABQAAAAExAQAAAAoyMDQ3MjcxNzQ1AwAAAAMxNjACAAAABDIwMTcEAAAAATAHAAAACTcvMTEvMjAyNggAAAAJNi8zMC8yMDE4CQAAAAEwNriSa2/f3ghMw4Jub9/eCDRDSVEuTkFTREFROk1TRlQuSVFfQ0FTSF9PUEVSLjIwMDAuMTEvMDcvMjAyNi4uLlVTRC5IAQAAAEtVAAACAAAABjE3MDE0MQEIAAAABQAAAAExAQAAAAstMTg5MzI5ODk5NQMAAAADMTYwAgAAAAQyMDA2BAAAAAEwBwAAAAk3LzExLzIwMjYIAAAACTMvMzEvMjAyNgkAAAABMDa4kmtv394ITMOCbm/f3ggwQ0lRLk5BU0RBUTpNU0ZULklRX0RPX0NGLjIwMDAuMTEvMDcvMjAyNi4uLlVTRC5IAQAAAEtVAAADAAAAAAA2uJJrb9/eCC2ggm5v</t>
  </si>
  <si>
    <t>394IL0NJUS5OQVNEQVE6TVNGVC5JUV9EQV9DRi45OTIuMTEvMDcvMjAyNi4uLlVTRC5IAQAAAEtVAAACAAAABDc4MDABCAAAAAUAAAABMQEAAAAKMTk3MzM4MDk1MQMAAAADMTYwAgAAAAQyMTYwBAAAAAEwBwAAAAk3LzExLzIwMjYIAAAACTYvMzAvMjAxNwkAAAABMDa4kmtv394ILaCCbm/f3gg4Q0lRLk5BU0RBUTpNU0ZULklRX0dBSU5fSU5WRVNUX0NGLjk5MC4xMS8wNy8yMDI2Li4uVVNELkgBAAAAS1UAAAIAAAAELTQ0MwEIAAAABQAAAAExAQAAAAoxODUxNTI1OTEyAwAAAAMxNjACAAAABDIwOTAEAAAAATAHAAAACTcvMTEvMjAyNggAAAAJNi8zMC8yMDE1CQAAAAEwNriSa2/f3giproJub9/eCEFDSVEuTkFTREFROk1TRlQuSVFfUkVTVFJfU1RPQ0tfQ09NUF9QUkVUQVguOTkyLjExLzA3LzIwMjYuLi5VU0QuSAEAAABLVQAAAwAAAAAANriSa2/f3giproJub9/eCEBDSVEuTkFTREFROk1TRlQuSVFfU1RPQ0tfT1BUSU9OU19DT01QX1RBWC45OTAuMTEvMDcvMjAyNi4uLlVTRC5IAQAAAEtVAAADAAAAAAA2uJJrb9/eCKmugm5v394IOkNJUS5OQVNEQVE6TVNGVC5JUV9TVE9DS19CQVNFRF9DT0dTLjk5MC4xMS8wNy8yMDI2Li4uVVNELkgBAAAAS1UAAAMAAAAAADa4kmtv394IPoyCbm/f3ghBQ0lRLk5BU0RBUTpNU0ZULklRX0dBSU5fQkFSR0FJTl9BQ1FfU1VQUExFLjk5Mi4xMS8wNy8yMDI2Li4u</t>
  </si>
  <si>
    <t>VVNELkgBAAAAS1UAAAMAAAAAADa4kmtv394IPoyCbm/f3gg+Q0lRLk5BU0RBUTpNU0ZULklRX09USEVSX1VOVVNVQUxfU1VQUExFLjk5Mi4xMS8wNy8yMDI2Li4uVVNELkgBAAAAS1UAAAMAAAAAADa4kmtv394IPoyCbm/f3ghCQ0lRLk5BU0RBUTpNU0ZULklRX0lNUFVUX09QRVJfTEVBU0VfSU5UX0VYUC45OTAuMTEvMDcvMjAyNi4uLlVTRC5IAQAAAEtVAAACAAAACjIxNy42OTA3NjgBCAAAAAUAAAABMQEAAAAKMTg1MTUyNTkxMgMAAAADMTYwAgAAAAUyMTY3MgQAAAABMAcAAAAJNy8xMS8yMDI2CAAAAAk2LzMwLzIwMTUJAAAAATA2uJJrb9/eCC2ggm5v394IPENJUS5OQVNEQVE6TVNGVC5JUV9SRVNUUlVDVFVSRV9TVVBQTEUuOTkwLjExLzA3LzIwMjYuLi5VU0QuSAEAAABLVQAAAwAAAAAANriSa2/f3ggtoIJub9/eCDdDSVEuTkFTREFROk1TRlQuSVFfQUlSQ1JBRlRfUkVOVC45OTIuMTEvMDcvMjAyNi4uLlVTRC5IAQAAAEtVAAADAAAAAAA2uJJrb9/eCE5Bgm5v394IOUNJUS5OQVNEQVE6TVNGVC5JUV9TQUxFU19NQVJLRVRJTkcuOTkwLjExLzA3LzIwMjYuLi5VU0QuSAEAAABLVQAAAgAAAAUxNTcxMwEIAAAABQAAAAExAQAAAAoxODUxNTI1OTEyAwAAAAMxNjACAAAABTIxNTYxBAAAAAEwBwAAAAk3LzExLzIwMjYIAAAACTYvMzAvMjAxNQkAAAABMDa4kmtv394IS32Cbm/f3ggzQ0lRLk5BU0RB</t>
  </si>
  <si>
    <t>UTpNU0ZULklRX0RBX0VCSVREQS45OTIuMTEvMDcvMjAyNi4uLlVTRC5IAQAAAEtVAAACAAAABDc4MDABCAAAAAUAAAABMQEAAAAKMTk3MzM4MDk1MQMAAAADMTYwAgAAAAQyMjA2BAAAAAEwBwAAAAk3LzExLzIwMjYIAAAACTYvMzAvMjAxNwkAAAABMDa4kmtv394IS32Cbm/f3gg+Q0lRLk5BU0RBUTpNU0ZULklRX0RFRkVSUkVEX1RBWEVTX1RPVEFMLjk5MC4xMS8wNy8yMDI2Li4uVVNELkgBAAAAS1UAAAIAAAADMjI0AQgAAAAFAAAAATEBAAAACjE4NTE1MjU5MTIDAAAAAzE2MAIAAAAFMzUzODUEAAAAATAHAAAACTcvMTEvMjAyNggAAAAJNi8zMC8yMDE1CQAAAAEwNriSa2/f3ghLfYJub9/eCEFDSVEuTkFTREFROk1TRlQuSVFfRVhDSVNFX1RBWEVTX0VYQ0xfU0FMRVMuOTkyLjExLzA3LzIwMjYuLi5VU0QuSAEAAABLVQAAAwAAAAAANriSa2/f3gg+jIJub9/eCDxDSVEuTkFTREFROk1TRlQuSVFfQ1VSUl9GT1JFSUdOX1RBWEVTLjk5Mi4xMS8wNy8yMDI2Li4uVVNELkgBAAAAS1UAAAIAAAAEMjQ3MgEIAAAABQAAAAExAQAAAAoxOTczMzgwOTUxAwAAAAMxNjACAAAABDMwMzAEAAAAATAHAAAACTcvMTEvMjAyNggAAAAJNi8zMC8yMDE3CQAAAAEwNriSa2/f3ghOQYJub9/eCDxDSVEuTkFTREFROk1TRlQuSVFfQ0FTSF9JTlRFUkVTVF9ORVQuMjAwMC4xMS8wNy8yMDI2Li4uVVNELkgBAAAAS1UAAAMA</t>
  </si>
  <si>
    <t>AAAAADa4kmtv394ITkGCbm/f3ggzQ0lRLk5BU0RBUTpNU0ZULklRX0NGX1NIQVJFLjIwMDAuMTEvMDcvMjAyNi4uLlVTRC5IAQAAAEtVAAACAAAACDkuODEzNzI4AQgAAAAFAAAAATEBAAAACy0xODkzMjk4OTk1AwAAAAMxNjACAAAABTQzOTIzBAAAAAEwBwAAAAk3LzExLzIwMjYIAAAACTMvMzEvMjAyNgkAAAABMDa4kmtv394ITkGCbm/f3ghCQ0lRLk5BU0RBUTpNU0ZULklRX09QRVJBVElOR19MRUFTRV9QQVlNRU5UUy45OTMuMTEvMDcvMjAyNi4uLlVTRC5IAQAAAEtVAAADAAAAAAA2uJJrb9/eCE5Bgm5v394INENJUS5OQVNEQVE6TVNGVC5JUV9ORVRfQ0hBTkdFLjk5Mi4xMS8wNy8yMDI2Li4uVVNELkgBAAAAS1UAAAIAAAAEMTE1MwEIAAAABQAAAAExAQAAAAoxOTczMzgwOTUxAwAAAAMxNjACAAAABDIwOTMEAAAAATAHAAAACTcvMTEvMjAyNggAAAAJNi8zMC8yMDE3CQAAAAEwNriSa2/f3ghOQYJub9/eCDJDSVEuTkFTREFROk1TRlQuSVFfUFJFRl9SRVAuOTkzLjExLzA3LzIwMjYuLi5VU0QuSAEAAABLVQAAAwAAAAAANriSa2/f3ghOQYJub9/eCDhDSVEuTkFTREFROk1TRlQuSVFfU1BFQ0lBTF9ESVZfQ0YuOTkzLjExLzA3LzIwMjYuLi5VU0QuSAEAAABLVQAAAwAAAAAANriSa2/f3ghOQYJub9/eCC9DSVEuTkFTREFROk1TRlQuSVFfQ0FQRVguOTkwLjExLzA3LzIwMjYuLi5VU0QuSAEAAABL</t>
  </si>
  <si>
    <t>VQAAAgAAAAUtNTk0NAEIAAAABQAAAAExAQAAAAoxODUxNTI1OTEyAwAAAAMxNjACAAAABDIwMjEEAAAAATAHAAAACTcvMTEvMjAyNggAAAAJNi8zMC8yMDE1CQAAAAEwNriSa2/f3ghOQYJub9/eCDlDSVEuTkFTREFROk1TRlQuSVFfQ0FTSF9BQ1FVSVJFX0NGLjk5Mi4xMS8wNy8yMDI2Li4uVVNELkgBAAAAS1UAAAIAAAAGLTI1OTQ0AQgAAAAFAAAAATEBAAAACjE5NzMzODA5NTEDAAAAAzE2MAIAAAAEMjA1NwQAAAABMAcAAAAJNy8xMS8yMDI2CAAAAAk2LzMwLzIwMTcJAAAAATA2uJJrb9/eCE5Bgm5v394IPkNJUS5OQVNEQVE6TVNGVC5JUV9UQVhfQkVORUZJVF9PUFRJT05TLjIwMDAuMTEvMDcvMjAyNi4uLlVTRC5IAQAAAEtVAAADAAAAAAA2uJJrb9/eCE5Bgm5v394IOENJUS5OQVNEQVE6TVNGVC5JUV9PVEhFUl9PUEVSX0FDVC45OTEuMTEvMDcvMjAyNi4uLlVTRC5IAQAAAEtVAAACAAAABDMxNTQBCAAAAAUAAAABMQEAAAAKMTg5ODQ4OTQ3MAMAAAADMTYwAgAAAAQyMDQ3BAAAAAEwBwAAAAk3LzExLzIwMjYIAAAACTYvMzAvMjAxNgkAAAABMDa4kmtv394IpC2Cbm/f3ggzQ0lRLk5BU0RBUTpNU0ZULklRX0NIQU5HRV9BUi45OTIuMTEvMDcvMjAyNi4uLlVTRC5IAQAAAEtVAAACAAAABS0xMjE2AQgAAAAFAAAAATEBAAAACjE5NzMzODA5NTEDAAAAAzE2MAIAAAAEMjAxOAQAAAABMAcAAAAJNy8x</t>
  </si>
  <si>
    <t>MS8yMDI2CAAAAAk2LzMwLzIwMTcJAAAAATA2uJJrb9/eCKQtgm5v394IL0NJUS5OQVNEQVE6TVNGVC5JUV9EQV9DRi45OTMuMTEvMDcvMjAyNi4uLlVTRC5IAQAAAEtVAAACAAAABDk5MDABCAAAAAUAAAABMQEAAAAKMjA0NzI3MTc0NQMAAAADMTYwAgAAAAQyMTYwBAAAAAEwBwAAAAk3LzExLzIwMjYIAAAACTYvMzAvMjAxOAkAAAABMDa4kmtv394ITkGCbm/f3gg4Q0lRLk5BU0RBUTpNU0ZULklRX0dBSU5fSU5WRVNUX0NGLjk5MS4xMS8wNy8yMDI2Li4uVVNELkgBAAAAS1UAAAIAAAAELTIyMwEIAAAABQAAAAExAQAAAAoxODk4NDg5NDcwAwAAAAMxNjACAAAABDIwOTAEAAAAATAHAAAACTcvMTEvMjAyNggAAAAJNi8zMC8yMDE2CQAAAAEwNriSa2/f3ghOQYJub9/eCDhDSVEuTkFTREFROk1TRlQuSVFfQ1JFRElUX0xPU1NfQ0YuOTkxLjExLzA3LzIwMjYuLi5VU0QuSAEAAABLVQAAAwAAAAAANriSa2/f3ghOQYJub9/eCEBDSVEuTkFTREFROk1TRlQuSVFfU1RPQ0tfT1BUSU9OU19DT01QX1RBWC45OTEuMTEvMDcvMjAyNi4uLlVTRC5IAQAAAEtVAAADAAAAAAA2uJJrb9/eCFkGgm5v394IP0NJUS5OQVNEQVE6TVNGVC5JUV9TVE9DS19CQVNFRF9DT01QX1RBWC4yMDAwLjExLzA3LzIwMjYuLi5VU0QuSAEAAABLVQAAAgAAAAUtMjAyNwA2uJJrb9/eCFkGgm5v394INkNJUS5OQVNEQVE6TVNGVC5JUV9E</t>
  </si>
  <si>
    <t>QV9TVVBQTF9DRi4yMDAwLjExLzA3LzIwMjYuLi5VU0QuSAEAAABLVQAAAgAAAAUzMDMwMAEIAAAABQAAAAExAQAAAAstMTg5MzI5ODk5NQMAAAADMTYwAgAAAAQyMTcxBAAAAAEwBwAAAAk3LzExLzIwMjYIAAAACTMvMzEvMjAyNgkAAAABMDa4kmtv394IWQaCbm/f3gg5Q0lRLk5BU0RBUTpNU0ZULklRX1NUT0NLX0JBU0VEX0dBLjIwMDAuMTEvMDcvMjAyNi4uLlVTRC5IAQAAAEtVAAADAAAAAAA2uJJrb9/eCFkGgm5v394IQUNJUS5OQVNEQVE6TVNGVC5JUV9SRVNUUl9TVE9DS19DT01QX1BSRVRBWC45OTMuMTEvMDcvMjAyNi4uLlVTRC5IAQAAAEtVAAADAAAAAAA2uJJrb9/eCKQtgm5v394IPkNJUS5OQVNEQVE6TVNGVC5JUV9PVEhFUl9VTlVTVUFMX1NVUFBMRS45OTMuMTEvMDcvMjAyNi4uLlVTRC5IAQAAAEtVAAADAAAAAAA2uJJrb9/eCFkGgm5v394IOkNJUS5OQVNEQVE6TVNGVC5JUV9TVE9DS19CQVNFRF9DT0dTLjk5MS4xMS8wNy8yMDI2Li4uVVNELkgBAAAAS1UAAAMAAAAAADa4kmtv394IWQaCbm/f3gg8Q0lRLk5BU0RBUTpNU0ZULklRX1JFU1RSVUNUVVJFX1NVUFBMRS45OTEuMTEvMDcvMjAyNi4uLlVTRC5IAQAAAEtVAAADAAAAAAA2uJJrb9/eCFkGgm5v394IQUNJUS5OQVNEQVE6TVNGVC5JUV9BU1NFVF9XUklURURPV05fU1VQUExFLjIwMDAuMTEvMDcvMjAyNi4uLlVTRC5IAQAAAEtV</t>
  </si>
  <si>
    <t>AAADAAAAAAA2uJJrb9/eCFkGgm5v394IPENJUS5OQVNEQVE6TVNGVC5JUV9DT05USU5HRU5UX1JFTlRBTC4yMDAwLjExLzA3LzIwMjYuLi5VU0QuSAEAAABLVQAAAwAAAAAANriSa2/f3ghZBoJub9/eCDdDSVEuTkFTREFROk1TRlQuSVFfQUlSQ1JBRlRfUkVOVC45OTMuMTEvMDcvMjAyNi4uLlVTRC5IAQAAAEtVAAADAAAAAAA2uJJrb9/eCMbKgW5v394INkNJUS5OQVNEQVE6TVNGVC5JUV9NQUlOVF9SRVBBSVIuOTkzLjExLzA3LzIwMjYuLi5VU0QuSAEAAABLVQAAAwAAAAAANriSa2/f3gjGyoFub9/eCDlDSVEuTkFTREFROk1TRlQuSVFfU0FMRVNfTUFSS0VUSU5HLjk5MS4xMS8wNy8yMDI2Li4uVVNELkgBAAAAS1UAAAIAAAAFMTQ2MzUBCAAAAAUAAAABMQEAAAAKMTg5ODQ4OTQ3MAMAAAADMTYwAgAAAAUyMTU2MQQAAAABMAcAAAAJNy8xMS8yMDI2CAAAAAk2LzMwLzIwMTYJAAAAATA2uJJrb9/eCMbKgW5v394IO0NJUS5OQVNEQVE6TVNGVC5JUV9ORVRfUkVOVEFMX0VYUF9GTi45OTEuMTEvMDcvMjAyNi4uLlVTRC5IAQAAAEtVAAACAAAAAzkzNgEIAAAABQAAAAExAQAAAAoxODk4NDg5NDcwAwAAAAMxNjACAAAABDMxNzAEAAAAATAHAAAACTcvMTEvMjAyNggAAAAJNi8zMC8yMDE2CQAAAAEwNriSa2/f3gjGyoFub9/eCDVDSVEuTkFTREFROk1TRlQuSVFfQ09NTU9OX0RJVi4yMDAwLjExLzA3LzIw</t>
  </si>
  <si>
    <t>MjYuLi5VU0QuSAEAAABLVQAAAgAAAAUyNjQ0OAA2uJJrb9/eCMbKgW5v394ILkNJUS5OQVNEQVE6TVNGVC5JUV9ESUMuMjAwMC4xMS8wNy8yMDI2Li4uVVNELkgBAAAAS1UAAAMAAAAAADa4kmtv394IxsqBbm/f3ggzQ0lRLk5BU0RBUTpNU0ZULklRX0RJTFVUX05JLjIwMDAuMTEvMDcvMjAyNi4uLlVTRC5IAQAAAEtVAAACAAAACTEyNTIyMi4yNAEIAAAABQAAAAExAQAAAAstMTg5MzI5ODk5NQMAAAADMTYwAgAAAAQzNTIyBAAAAAEwBwAAAAk3LzExLzIwMjYIAAAACTMvMzEvMjAyNgkAAAABMDa4kmtv394IxsqBbm/f3ggzQ0lRLk5BU0RBUTpNU0ZULklRX0RBX0VCSVREQS45OTMuMTEvMDcvMjAyNi4uLlVTRC5IAQAAAEtVAAACAAAABDk5MDABCAAAAAUAAAABMQEAAAAKMjA0NzI3MTc0NQMAAAADMTYwAgAAAAQyMjA2BAAAAAEwBwAAAAk3LzExLzIwMjYIAAAACTYvMzAvMjAxOAkAAAABMDa4kmtv394IxsqBbm/f3gg8Q0lRLk5BU0RBUTpNU0ZULklRX0NVUlJfRk9SRUlHTl9UQVhFUy45OTMuMTEvMDcvMjAyNi4uLlVTRC5IAQAAAEtVAAACAAAABDQzNDgBCAAAAAUAAAABMQEAAAAKMjA0NzI3MTc0NQMAAAADMTYwAgAAAAQzMDMwBAAAAAEwBwAAAAk3LzExLzIwMjYIAAAACTYvMzAvMjAxOAkAAAABMDa4kmtv394IxsqBbm/f3gg+Q0lRLk5BU0RBUTpNU0ZULklRX0RFRkVSUkVEX1RBWEVTX1RPVEFM</t>
  </si>
  <si>
    <t>Ljk5MS4xMS8wNy8yMDI2Li4uVVNELkgBAAAAS1UAAAIAAAAEMjQ3OQEIAAAABQAAAAExAQAAAAoxODk4NDg5NDcwAwAAAAMxNjACAAAABTM1Mzg1BAAAAAEwBwAAAAk3LzExLzIwMjYIAAAACTYvMzAvMjAxNgkAAAABMDa4kmtv394IxsqBbm/f3gg8Q0lRLk5BU0RBUTpNU0ZULklRX0FTX1JFUE9SVEVEX0VCSVREQS45OTEuMTEvMDcvMjAyNi4uLlVTRC5IAQAAAEtVAAADAAAAAAA2uJJrb9/eCAu3gW5v394IMkNJUS5OQVNEQVE6TVNGVC5JUV9OSV9TRkFTLjIwMDAuMTEvMDcvMjAyNi4uLlVTRC5IAQAAAEtVAAADAAAAAAA2uJJrb9/eCMbKgW5v394IOENJUS5OQVNEQVE6TVNGVC5JUV9FQklUREFSX0VRX0lOQy45OTMuMTEvMDcvMjAyNi4uLlVTRC5IAQAAAEtVAAACAAAABTQ4MTI4AQgAAAAFAAAAATEBAAAACjIwNDcyNzE3NDUDAAAAAzE2MAIAAAAFMjQxMjkEAAAAATAHAAAACTcvMTEvMjAyNggAAAAJNi8zMC8yMDE4CQAAAAEwPcySa2/f3gjGyoFub9/eCDZDSVEuTkFTREFROk1TRlQuSVFfRUJJVERBX0NBUEVYLjk5My4xMS8wNy8yMDI2Li4uVVNELkgBAAAAS1UAAAIAAAAFMzMzMjYBCAAAAAUAAAABMQEAAAAKMjA0NzI3MTc0NQMAAAADMTYwAgAAAAUzNTM3OQQAAAABMAcAAAAJNy8xMS8yMDI2CAAAAAk2LzMwLzIwMTgJAAAAATA9zJJrb9/eCMbKgW5v394IQENJUS5OQVNEQVE6TVNGVC5JUV9D</t>
  </si>
  <si>
    <t>QVNIX0lOVEVSRVNUX1JFQ0VJVkVELjk5MC4xMS8wNy8yMDI2Li4uVVNELkgBAAAAS1UAAAMAAAAAAD3Mkmtv394IxsqBbm/f3gg+Q0lRLk5BU0RBUTpNU0ZULklRX0NIQU5HRV9ERUZfVEFYX1RPVEFMLjk5MS4xMS8wNy8yMDI2Li4uVVNELkgBAAAAS1UAAAIAAAAEMjQ3OQEIAAAABQAAAAExAQAAAAoxODk4NDg5NDcwAwAAAAMxNjACAAAABTMwOTI0BAAAAAEwBwAAAAk3LzExLzIwMjYIAAAACTYvMzAvMjAxNgkAAAABMD3Mkmtv394Ik4+Bbm/f3ggyQ0lRLk5BU0RBUTpNU0ZULklRX0NGX1NIQVJFLjk5Mi4xMS8wNy8yMDI2Li4uVVNELkgBAAAAS1UAAAIAAAAINC4wNTA4NjQBCAAAAAUAAAABMQEAAAAKMTk3MzM4MDk1MQMAAAADMTYwAgAAAAU0MzkyMwQAAAABMAcAAAAJNy8xMS8yMDI2CAAAAAk2LzMwLzIwMTcJAAAAATA9zJJrb9/eCAu3gW5v394INENJUS5OQVNEQVE6TVNGVC5JUV9ORVRfQ0hBTkdFLjk5My4xMS8wNy8yMDI2Li4uVVNELkgBAAAAS1UAAAIAAAAENDI4MwEIAAAABQAAAAExAQAAAAoyMDQ3MjcxNzQ1AwAAAAMxNjACAAAABDIwOTMEAAAAATAHAAAACTcvMTEvMjAyNggAAAAJNi8zMC8yMDE4CQAAAAEwPcySa2/f3ggLt4Fub9/eCEdDSVEuTkFTREFROk1TRlQuSVFfREVQUkVDSUFUSU9OX1JFTlRBTF9BU1NFVFNfQ0YuOTkxLjExLzA3LzIwMjYuLi5VU0QuSAEAAABLVQAAAwAAAAAA</t>
  </si>
  <si>
    <t>PcySa2/f3ggLt4Fub9/eCDZDSVEuTkFTREFROk1TRlQuSVFfQ0FTSF9JTlZFU1QuMjAwMC4xMS8wNy8yMDI2Li4uVVNELkgBAAAAS1UAAAIAAAAHLTExNTI0MQEIAAAABQAAAAExAQAAAAstMTg5MzI5ODk5NQMAAAADMTYwAgAAAAQyMDA1BAAAAAEwBwAAAAk3LzExLzIwMjYIAAAACTMvMzEvMjAyNgkAAAABMD3Mkmtv394IC7eBbm/f3gg5Q0lRLk5BU0RBUTpNU0ZULklRX0NIQU5HRV9ERUZfVEFYLjIwMDAuMTEvMDcvMjAyNi4uLlVTRC5IAQAAAEtVAAADAAAAAAA9zJJrb9/eCJOPgW5v394IL0NJUS5OQVNEQVE6TVNGVC5JUV9DQVBFWC45OTEuMTEvMDcvMjAyNi4uLlVTRC5IAQAAAEtVAAACAAAABS04MzQzAQgAAAAFAAAAATEBAAAACjE4OTg0ODk0NzADAAAAAzE2MAIAAAAEMjAyMQQAAAABMAcAAAAJNy8xMS8yMDI2CAAAAAk2LzMwLzIwMTYJAAAAATA9zJJrb9/eCJOPgW5v394IOUNJUS5OQVNEQVE6TVNGVC5JUV9DQVNIX0FDUVVJUkVfQ0YuOTkzLjExLzA3LzIwMjYuLi5VU0QuSAEAAABLVQAAAgAAAAQtODg4AQgAAAAFAAAAATEBAAAACjIwNDcyNzE3NDUDAAAAAzE2MAIAAAAEMjA1NwQAAAABMAcAAAAJNy8xMS8yMDI2CAAAAAk2LzMwLzIwMTgJAAAAATA9zJJrb9/eCJOPgW5v394IOENJUS5OQVNEQVE6TVNGVC5JUV9DUkVESVRfTE9TU19DRi45OTIuMTEvMDcvMjAyNi4uLlVTRC5IAQAAAEtV</t>
  </si>
  <si>
    <t>AAADAAAAAAA9zJJrb9/eCJOPgW5v394IO0NJUS5OQVNEQVE6TVNGVC5JUV9QUk9WX0JBRF9ERUJUU19DRi45OTAuMTEvMDcvMjAyNi4uLlVTRC5IAQAAAEtVAAADAAAAAAA9zJJrb9/eCJOPgW5v394IOENJUS5OQVNEQVE6TVNGVC5JUV9PVEhFUl9PUEVSX0FDVC45OTIuMTEvMDcvMjAyNi4uLlVTRC5IAQAAAEtVAAACAAAAAzE0OQEIAAAABQAAAAExAQAAAAoxOTczMzgwOTUxAwAAAAMxNjACAAAABDIwNDcEAAAAATAHAAAACTcvMTEvMjAyNggAAAAJNi8zMC8yMDE3CQAAAAEwPcySa2/f3gi8U4Fub9/eCDNDSVEuTkFTREFROk1TRlQuSVFfQ0hBTkdFX0FSLjk5My4xMS8wNy8yMDI2Li4uVVNELkgBAAAAS1UAAAIAAAAFLTM4NjIBCAAAAAUAAAABMQEAAAAKMjA0NzI3MTc0NQMAAAADMTYwAgAAAAQyMDE4BAAAAAEwBwAAAAk3LzExLzIwMjYIAAAACTYvMzAvMjAxOAkAAAABMD3Mkmtv394IvFOBbm/f3gg7Q0lRLk5BU0RBUTpNU0ZULklRX0dXX0lOVEFOX0FNT1JUX0NGLjk5MC4xMS8wNy8yMDI2Li4uVVNELkgBAAAAS1UAAAIAAAAEMTMwMAEIAAAABQAAAAExAQAAAAoxODUxNTI1OTEyAwAAAAMxNjACAAAABDIxODIEAAAAATAHAAAACTcvMTEvMjAyNggAAAAJNi8zMC8yMDE1CQAAAAEwPcySa2/f3gi8U4Fub9/eCD5DSVEuTkFTREFROk1TRlQuSVFfQ0hBTkdFX0RFRl9UQVhfVE9UQUwuOTkyLjExLzA3</t>
  </si>
  <si>
    <t>LzIwMjYuLi5VU0QuSAEAAABLVQAAAgAAAAQtODI5AQgAAAAFAAAAATEBAAAACjE5NzMzODA5NTEDAAAAAzE2MAIAAAAFMzA5MjQEAAAAATAHAAAACTcvMTEvMjAyNggAAAAJNi8zMC8yMDE3CQAAAAEwPcySa2/f3giTj4Fub9/eCDJDSVEuTkFTREFROk1TRlQuSVFfQ0ZfU0hBUkUuOTkzLjExLzA3LzIwMjYuLi5VU0QuSAEAAABLVQAAAgAAAAg0LjE4ODU3MQEIAAAABQAAAAExAQAAAAoyMDQ3MjcxNzQ1AwAAAAMxNjACAAAABTQzOTIzBAAAAAEwBwAAAAk3LzExLzIwMjYIAAAACTYvMzAvMjAxOAkAAAABMD3Mkmtv394Ik4+Bbm/f3ghCQ0lRLk5BU0RBUTpNU0ZULklRX09QRVJBVElOR19MRUFTRV9QQVlNRU5UUy45OTAuMTEvMDcvMjAyNi4uLlVTRC5IAQAAAEtVAAADAAAAAAA9zJJrb9/eCLxTgW5v394IR0NJUS5OQVNEQVE6TVNGVC5JUV9ERVBSRUNJQVRJT05fUkVOVEFMX0FTU0VUU19DRi45OTIuMTEvMDcvMjAyNi4uLlVTRC5IAQAAAEtVAAADAAAAAAA9zJJrb9/eCLxTgW5v394IQENJUS5OQVNEQVE6TVNGVC5JUV9EQV9DRl9FWENMX09QRVJfTEVBU0VTLjk5My4xMS8wNy8yMDI2Li4uVVNELkgBAAAAS1UAAAIAAAAEOTkwMAEIAAAABQAAAAExAQAAAAoyMDQ3MjcxNzQ1AwAAAAMxNjACAAAABTQ4OTg1BAAAAAEwBwAAAAk3LzExLzIwMjYIAAAACTYvMzAvMjAxOAkAAAABMD3Mkmtv394IvFOBbm/f</t>
  </si>
  <si>
    <t>3gg3Q0lRLk5BU0RBUTpNU0ZULklRX0FNT1JUX0RJQ19DRi4yMDAwLjExLzA3LzIwMjYuLi5VU0QuSAEAAABLVQAAAwAAAAAAPcySa2/f3gi8U4Fub9/eCDtDSVEuTkFTREFROk1TRlQuSVFfQ0FTSF9JTlRFUkVTVF9ORVQuOTkzLjExLzA3LzIwMjYuLi5VU0QuSAEAAABLVQAAAwAAAAAAPcySa2/f3gi8U4Fub9/eCD1DSVEuTkFTREFROk1TRlQuSVFfQ0FTSF9JTlRFUkVTVF9GSU5BTi45OTAuMTEvMDcvMjAyNi4uLlVTRC5IAQAAAEtVAAADAAAAAAA9zJJrb9/eCNw/gW5v394INkNJUS5OQVNEQVE6TVNGVC5JUV9QUkVGX0RJVl9DRi4yMDAwLjExLzA3LzIwMjYuLi5VU0QuSAEAAABLVQAAAwAAAAAAPcySa2/f3gjcP4Fub9/eCDVDSVEuTkFTREFROk1TRlQuSVFfQ0FTSF9GSU5BTi4yMDAwLjExLzA3LzIwMjYuLi5VU0QuSAEAAABLVQAAAgAAAAYtNTE2MTEBCAAAAAUAAAABMQEAAAALLTE4OTMyOTg5OTUDAAAAAzE2MAIAAAAEMjAwNAQAAAABMAcAAAAJNy8xMS8yMDI2CAAAAAkzLzMxLzIwMjYJAAAAATA9zJJrb9/eCLxTgW5v394IPkNJUS5OQVNEQVE6TVNGVC5JUV9EQV9TVVBQTF9QQVJUSUFMX0NGLjIwMDAuMTEvMDcvMjAyNi4uLlVTRC5IAQAAAEtVAAADAAAAAAA9zJJrb9/eCLxTgW5v394IOENJUS5OQVNEQVE6TVNGVC5JUV9TVF9ERUJUX0lTU1VFRC45OTAuMTEvMDcvMjAyNi4uLlVTRC5IAQAA</t>
  </si>
  <si>
    <t>AEtVAAACAAAABDQ0ODEBCAAAAAUAAAABMQEAAAAKMTg1MTUyNTkxMgMAAAADMTYwAgAAAAQyMDQzBAAAAAEwBwAAAAk3LzExLzIwMjYIAAAACTYvMzAvMjAxNQkAAAABMD3Mkmtv394IvFOBbm/f3gg7Q0lRLk5BU0RBUTpNU0ZULklRX1RPVEFMX0RFQlRfSVNTVUVELjk5MC4xMS8wNy8yMDI2Li4uVVNELkgBAAAAS1UAAAIAAAAFMTUxNjEBCAAAAAUAAAABMQEAAAAKMTg1MTUyNTkxMgMAAAADMTYwAgAAAAQyMTYxBAAAAAEwBwAAAAk3LzExLzIwMjYIAAAACTYvMzAvMjAxNQkAAAABMD3Mkmtv394INyyBbm/f3gg4Q0lRLk5BU0RBUTpNU0ZULklRX0xUX0RFQlRfUkVQQUlELjk5MS4xMS8wNy8yMDI2Li4uVVNELkgBAAAAS1UAAAIAAAAFLTI3OTYBCAAAAAUAAAABMQEAAAAKMTg5ODQ4OTQ3MAMAAAADMTYwAgAAAAQyMDM2BAAAAAEwBwAAAAk3LzExLzIwMjYIAAAACTYvMzAvMjAxNgkAAAABMD3Mkmtv394INyyBbm/f3gg4Q0lRLk5BU0RBUTpNU0ZULklRX0NPTU1PTl9JU1NVRUQuMjAwMC4xMS8wNy8yMDI2Li4uVVNELkgBAAAAS1UAAAIAAAAEMjAzNwEIAAAABQAAAAExAQAAAAstMTg5MzI5ODk5NQMAAAADMTYwAgAAAAQyMTY5BAAAAAEwBwAAAAk3LzExLzIwMjYIAAAACTMvMzEvMjAyNgkAAAABMD3Mkmtv394INyyBbm/f3ggvQ0lRLk5BU0RBUTpNU0ZULklRX0NBUEVYLjk5Mi4xMS8wNy8yMDI2Li4u</t>
  </si>
  <si>
    <t>VVNELkgBAAAAS1UAAAIAAAAFLTgxMjkBCAAAAAUAAAABMQEAAAAKMTk3MzM4MDk1MQMAAAADMTYwAgAAAAQyMDIxBAAAAAEwBwAAAAk3LzExLzIwMjYIAAAACTYvMzAvMjAxNwkAAAABMD3Mkmtv394I3D+Bbm/f3gg6Q0lRLk5BU0RBUTpNU0ZULklRX0lOVkVTVF9MT0FOU19DRi4yMDAwLjExLzA3LzIwMjYuLi5VU0QuSAEAAABLVQAAAwAAAAAAPcySa2/f3gjcP4Fub9/eCDhDSVEuTkFTREFROk1TRlQuSVFfT1RIRVJfT1BFUl9BQ1QuOTkzLjExLzA3LzIwMjYuLi5VU0QuSAEAAABLVQAAAgAAAAUtNDc4MgEIAAAABQAAAAExAQAAAAoyMDQ3MjcxNzQ1AwAAAAMxNjACAAAABDIwNDcEAAAAATAHAAAACTcvMTEvMjAyNggAAAAJNi8zMC8yMDE4CQAAAAEwPcySa2/f3giMGIFub9/eCEZDSVEuTkFTREFROk1TRlQuSVFfQ0hBTkdFX09USEVSX05FVF9PUEVSX0FTU0VUUy45OTAuMTEvMDcvMjAyNi4uLlVTRC5IAQAAAEtVAAACAAAABDEzODMBCAAAAAUAAAABMQEAAAAKMTg1MTUyNTkxMgMAAAADMTYwAgAAAAQyMDQ1BAAAAAEwBwAAAAk3LzExLzIwMjYIAAAACTYvMzAvMjAxNQkAAAABMD3Mkmtv394IjBiBbm/f3gg4Q0lRLk5BU0RBUTpNU0ZULklRX0NSRURJVF9MT1NTX0NGLjk5My4xMS8wNy8yMDI2Li4uVVNELkgBAAAAS1UAAAMAAAAAAD3Mkmtv394IjBiBbm/f3gg7Q0lRLk5BU0RBUTpNU0ZULklRX1BS</t>
  </si>
  <si>
    <t>T1ZfQkFEX0RFQlRTX0NGLjk5MS4xMS8wNy8yMDI2Li4uVVNELkgBAAAAS1UAAAMAAAAAAD3Mkmtv394INyyBbm/f3gg+Q0lRLk5BU0RBUTpNU0ZULklRX1NUT0NLX0JBU0VEX0NPTVBfVEFYLjk5My4xMS8wNy8yMDI2Li4uVVNELkgBAAAAS1UAAAIAAAAELTgyMwA9zJJrb9/eCDcsgW5v394IO0NJUS5OQVNEQVE6TVNGVC5JUV9HV19JTlRBTl9BTU9SVF9DRi45OTEuMTEvMDcvMjAyNi4uLlVTRC5IAQAAAEtVAAACAAAAAzk3OAEIAAAABQAAAAExAQAAAAoxODk4NDg5NDcwAwAAAAMxNjACAAAABDIxODIEAAAAATAHAAAACTcvMTEvMjAyNggAAAAJNi8zMC8yMDE2CQAAAAEwPcySa2/f3ghP8YBub9/eCDZDSVEuTkFTREFROk1TRlQuSVFfT1RIRVJfQU1PUlQuMjAwMC4xMS8wNy8yMDI2Li4uVVNELkgBAAAAS1UAAAMAAAAAAD3Mkmtv394IT/GAbm/f3gg4Q0lRLk5BU0RBUTpNU0ZULklRX1NUT0NLX0JBU0VEX0FULjk5MS4xMS8wNy8yMDI2Li4uVVNELkgBAAAAS1UAAAMAAAAAAD3Mkmtv394IT/GAbm/f3gg/Q0lRLk5BU0RBUTpNU0ZULklRX1JFU1RSX1NUT0NLX0NPTVBfVEFYLjIwMDAuMTEvMDcvMjAyNi4uLlVTRC5IAQAAAEtVAAADAAAAAAA9zJJrb9/eCE/xgG5v394IP0NJUS5OQVNEQVE6TVNGVC5JUV9UT1RBTF9VTlVTVUFMX1NVUFBMRS4yMDAwLjExLzA3LzIwMjYuLi5VU0QuSAEAAABLVQAAAwAA</t>
  </si>
  <si>
    <t>AAAAPcySa2/f3giMGIFub9/eCDpDSVEuTkFTREFROk1TRlQuSVFfU1RPQ0tfQkFTRURfQ09HUy45OTMuMTEvMDcvMjAyNi4uLlVTRC5IAQAAAEtVAAADAAAAAAA9zJJrb9/eCE/xgG5v394IOENJUS5OQVNEQVE6TVNGVC5JUV9TVE9DS19CQVNFRF9HQS45OTMuMTEvMDcvMjAyNi4uLlVTRC5IAQAAAEtVAAADAAAAAAA9zJJrb9/eCE/xgG5v394INUNJUS5OQVNEQVE6TVNGVC5JUV9JUFJEX1NVUFBMRS45OTEuMTEvMDcvMjAyNi4uLlVTRC5IAQAAAEtVAAADAAAAAAA9zJJrb9/eCE/xgG5v394IO0NJUS5OQVNEQVE6TVNGVC5JUV9JTlNfU0VUVExFX1NVUFBMRS45OTEuMTEvMDcvMjAyNi4uLlVTRC5IAQAAAEtVAAADAAAAAAA9zJJrb9/eCE/xgG5v394IPUNJUS5OQVNEQVE6TVNGVC5JUV9HQUlOX0JBUkdBSU5fQUNRX0NGLjk5MS4xMS8wNy8yMDI2Li4uVVNELkgBAAAAS1UAAAMAAAAAAD3Mkmtv394IT/GAbm/f3ghDQ0lRLk5BU0RBUTpNU0ZULklRX0lNUFVUX09QRVJfTEVBU0VfSU5UX0VYUC4yMDAwLjExLzA3LzIwMjYuLi5VU0QuSAEAAABLVQAAAwAAAAAAPcySa2/f3ggEyYBub9/eCDxDSVEuTkFTREFROk1TRlQuSVFfUkVTVFJVQ1RVUkVfU1VQUExFLjk5My4xMS8wNy8yMDI2Li4uVVNELkgBAAAAS1UAAAMAAAAAAD3Mkmtv394I/tyAbm/f3ghCQ0lRLk5BU0RBUTpNU0ZULklRX0FNT1JUX1NPRlRX</t>
  </si>
  <si>
    <t>QVJFX0FTU0VUU19DRi45OTEuMTEvMDcvMjAyNi4uLlVTRC5IAQAAAEtVAAACAAAAAjY5AQgAAAAFAAAAATEBAAAACjE4OTg0ODk0NzADAAAAAzE2MAIAAAAFNDYwMTEEAAAAATAHAAAACTcvMTEvMjAyNggAAAAJNi8zMC8yMDE2CQAAAAEwPcySa2/f3gj+3IBub9/eCD1DSVEuTkFTREFROk1TRlQuSVFfQ0FTSF9JTlRFUkVTVF9GSU5BTi45OTEuMTEvMDcvMjAyNi4uLlVTRC5IAQAAAEtVAAADAAAAAAA9zJJrb9/eCP7cgG5v394INENJUS5OQVNEQVE6TVNGVC5JUV9DQVNIX0ZJTkFOLjk5Mi4xMS8wNy8yMDI2Li4uVVNELkgBAAAAS1UAAAIAAAAEODQwOAEIAAAABQAAAAExAQAAAAoxOTczMzgwOTUxAwAAAAMxNjACAAAABDIwMDQEAAAAATAHAAAACTcvMTEvMjAyNggAAAAJNi8zMC8yMDE3CQAAAAEwPcySa2/f3gj+3IBub9/eCD1DSVEuTkFTREFROk1TRlQuSVFfREFfU1VQUExfUEFSVElBTF9DRi45OTIuMTEvMDcvMjAyNi4uLlVTRC5IAQAAAEtVAAADAAAAAAA9zJJrb9/eCE+0gG5v394IO0NJUS5OQVNEQVE6TVNGVC5JUV9UT1RBTF9ERUJUX0lTU1VFRC45OTEuMTEvMDcvMjAyNi4uLlVTRC5IAQAAAEtVAAACAAAABTIxMDc5AQgAAAAFAAAAATEBAAAACjE4OTg0ODk0NzADAAAAAzE2MAIAAAAEMjE2MQQAAAABMAcAAAAJNy8xMS8yMDI2CAAAAAk2LzMwLzIwMTYJAAAAATA9zJJrb9/eCE+0gG5v394I</t>
  </si>
  <si>
    <t>OENJUS5OQVNEQVE6TVNGVC5JUV9MVF9ERUJUX1JFUEFJRC45OTIuMTEvMDcvMjAyNi4uLlVTRC5IAQAAAEtVAAACAAAABS03OTIyAQgAAAAFAAAAATEBAAAACjE5NzMzODA5NTEDAAAAAzE2MAIAAAAEMjAzNgQAAAABMAcAAAAJNy8xMS8yMDI2CAAAAAk2LzMwLzIwMTcJAAAAATA9zJJrb9/eCATJgG5v394IN0NJUS5OQVNEQVE6TVNGVC5JUV9DT01NT05fSVNTVUVELjk5Mi4xMS8wNy8yMDI2Li4uVVNELkgBAAAAS1UAAAIAAAADNzcyAQgAAAAFAAAAATEBAAAACjE5NzMzODA5NTEDAAAAAzE2MAIAAAAEMjE2OQQAAAABMAcAAAAJNy8xMS8yMDI2CAAAAAk2LzMwLzIwMTcJAAAAATA9zJJrb9/eCATJgG5v394INUNJUS5OQVNEQVE6TVNGVC5JUV9QUkVGX0RJVl9DRi45OTIuMTEvMDcvMjAyNi4uLlVTRC5IAQAAAEtVAAADAAAAAAA9zJJrb9/eCATJgG5v394IOENJUS5OQVNEQVE6TVNGVC5JUV9TQUxFX0lOVEFOX0NGLjIwMDAuMTEvMDcvMjAyNi4uLlVTRC5IAQAAAEtVAAADAAAAAAA9zJJrb9/eCGqegG5v394IQENJUS5OQVNEQVE6TVNGVC5JUV9PVEhFUl9JTlZFU1RfQUNUX1NVUFBMLjk5MS4xMS8wNy8yMDI2Li4uVVNELkgBAAAAS1UAAAIAAAADMjAzAQgAAAAFAAAAATEBAAAACjE4OTg0ODk0NzADAAAAAzE2MAIAAAAEMjA1MQQAAAABMAcAAAAJNy8xMS8yMDI2CAAAAAk2LzMwLzIwMTYJAAAAATA9</t>
  </si>
  <si>
    <t>zJJrb9/eCGqegG5v394IOENJUS5OQVNEQVE6TVNGVC5JUV9TVF9ERUJUX0lTU1VFRC45OTEuMTEvMDcvMjAyNi4uLlVTRC5IAQAAAEtVAAACAAAABDcxOTUBCAAAAAUAAAABMQEAAAAKMTg5ODQ4OTQ3MAMAAAADMTYwAgAAAAQyMDQzBAAAAAEwBwAAAAk3LzExLzIwMjYIAAAACTYvMzAvMjAxNgkAAAABMD3Mkmtv394Iap6Abm/f3gg8Q0lRLk5BU0RBUTpNU0ZULklRX0NIQU5HRV9VTkVBUk5fUkVWLjIwMDAuMTEvMDcvMjAyNi4uLlVTRC5IAQAAAEtVAAACAAAABDUyOTQBCAAAAAUAAAABMQEAAAALLTE4OTMyOTg5OTUDAAAAAzE2MAIAAAAEMjEzOQQAAAABMAcAAAAJNy8xMS8yMDI2CAAAAAkzLzMxLzIwMjYJAAAAATA9zJJrb9/eCE+0gG5v394IRkNJUS5OQVNEQVE6TVNGVC5JUV9DSEFOR0VfT1RIRVJfTkVUX09QRVJfQVNTRVRTLjk5MS4xMS8wNy8yMDI2Li4uVVNELkgBAAAAS1UAAAIAAAAFLTI5MDcBCAAAAAUAAAABMQEAAAAKMTg5ODQ4OTQ3MAMAAAADMTYwAgAAAAQyMDQ1BAAAAAEwBwAAAAk3LzExLzIwMjYIAAAACTYvMzAvMjAxNgkAAAABMD3Mkmtv394IT7SAbm/f3ggvQ0lRLk5BU0RBUTpNU0ZULklRX0NBUEVYLjk5My4xMS8wNy8yMDI2Li4uVVNELkgBAAAAS1UAAAIAAAAGLTExNjMyAQgAAAAFAAAAATEBAAAACjIwNDcyNzE3NDUDAAAAAzE2MAIAAAAEMjAyMQQAAAABMAcAAAAJNy8xMS8y</t>
  </si>
  <si>
    <t>MDI2CAAAAAk2LzMwLzIwMTgJAAAAATA9zJJrb9/eCH2KgG5v394IPENJUS5OQVNEQVE6TVNGVC5JUV9BU1NFVF9XUklURURPV05fQ0YuOTkwLjExLzA3LzIwMjYuLi5VU0QuSAEAAABLVQAAAgAAAAQ3NDk4AQgAAAAFAAAAATEBAAAACjE4NTE1MjU5MTIDAAAAAzE2MAIAAAAEMjAxOQQAAAABMAcAAAAJNy8xMS8yMDI2CAAAAAk2LzMwLzIwMTUJAAAAATA9zJJrb9/eCH2KgG5v394IO0NJUS5OQVNEQVE6TVNGVC5JUV9QUk9WX0JBRF9ERUJUU19DRi45OTIuMTEvMDcvMjAyNi4uLlVTRC5IAQAAAEtVAAADAAAAAAA9zJJrb9/eCH2KgG5v394IO0NJUS5OQVNEQVE6TVNGVC5JUV9HV19JTlRBTl9BTU9SVF9DRi45OTIuMTEvMDcvMjAyNi4uLlVTRC5IAQAAAEtVAAACAAAABDE3MDABCAAAAAUAAAABMQEAAAAKMTk3MzM4MDk1MQMAAAADMTYwAgAAAAQyMTgyBAAAAAEwBwAAAAk3LzExLzIwMjYIAAAACTYvMzAvMjAxNwkAAAABMD3Mkmtv394IfYqAbm/f3gg+Q0lRLk5BU0RBUTpNU0ZULklRX01JTk9SSVRZX0lOVEVSRVNUX0NGLjk5MC4xMS8wNy8yMDI2Li4uVVNELkgBAAAAS1UAAAMAAAAAAD3Mkmtv394Iap6Abm/f3gg6Q0lRLk5BU0RBUTpNU0ZULklRX1JFU1RSX1NUT0NLX0NPTVAuOTkwLjExLzA3LzIwMjYuLi5VU0QuSAEAAABLVQAAAwAAAAAAPcySa2/f3ghdOoBub9/eCDhDSVEuTkFTREFROk1TRlQu</t>
  </si>
  <si>
    <t>SVFfU1RPQ0tfQkFTRURfQVQuOTkyLjExLzA3LzIwMjYuLi5VU0QuSAEAAABLVQAAAwAAAAAAPcySa2/f3gj6dYBub9/eCDtDSVEuTkFTREFROk1TRlQuSVFfSU5TX1NFVFRMRV9TVVBQTEUuOTkyLjExLzA3LzIwMjYuLi5VU0QuSAEAAABLVQAAAwAAAAAAPcySa2/f3gj6dYBub9/eCDtDSVEuTkFTREFROk1TRlQuSVFfTkVHQVRJVkVfR1dfQU1PUlQuOTkwLjExLzA3LzIwMjYuLi5VU0QuSAEAAABLVQAAAwAAAAAAPcySa2/f3gj6dYBub9/eCD9DSVEuTkFTREFROk1TRlQuSVFfSU1QVVRfT1BFUl9MRUFTRV9ERVBSLjk5MC4xMS8wNy8yMDI2Li4uVVNELkgBAAAAS1UAAAIAAAAKNzcxLjMwOTIzMgEIAAAABQAAAAExAQAAAAoxODUxNTI1OTEyAwAAAAMxNjACAAAABTIxNjczBAAAAAEwBwAAAAk3LzExLzIwMjYIAAAACTYvMzAvMjAxNQkAAAABMD3Mkmtv394I+nWAbm/f3gg9Q0lRLk5BU0RBUTpNU0ZULklRX0NBU0hfSU5URVJFU1RfRklOQU4uOTkyLjExLzA3LzIwMjYuLi5VU0QuSAEAAABLVQAAAwAAAAAAPcySa2/f3ghdOoBub9/eCDpDSVEuTkFTREFROk1TRlQuSVFfQ0FTSF9UQVhFU19GSU5BTi45OTMuMTEvMDcvMjAyNi4uLlVTRC5IAQAAAEtVAAADAAAAAAA9zJJrb9/eCF06gG5v394IN0NJUS5OQVNEQVE6TVNGVC5JUV9ET19JTlZFU1RfQ0YuMjAwMC4xMS8wNy8yMDI2Li4uVVNELkgBAAAAS1UA</t>
  </si>
  <si>
    <t>AAMAAAAAAD3Mkmtv394IXTqAbm/f3ghCQ0lRLk5BU0RBUTpNU0ZULklRX0FNT1JUX1NPRlRXQVJFX0FTU0VUU19DRi45OTIuMTEvMDcvMjAyNi4uLlVTRC5IAQAAAEtVAAADAAAAAAA9zJJrb9/eCF06gG5v394IN0NJUS5OQVNEQVE6TVNGVC5JUV9DT01NT05fSVNTVUVELjk5My4xMS8wNy8yMDI2Li4uVVNELkgBAAAAS1UAAAIAAAAEMTAwMgEIAAAABQAAAAExAQAAAAoyMDQ3MjcxNzQ1AwAAAAMxNjACAAAABDIxNjkEAAAAATAHAAAACTcvMTEvMjAyNggAAAAJNi8zMC8yMDE4CQAAAAEwPcySa2/f3ghdOoBub9/eCDZDSVEuTkFTREFROk1TRlQuSVFfUFJFRl9JU1NVRUQuMjAwMC4xMS8wNy8yMDI2Li4uVVNELkgBAAAAS1UAAAMAAAAAAD3Mkmtv394IXTqAbm/f3gg0Q0lRLk5BU0RBUTpNU0ZULklRX0NBU0hfRklOQU4uOTkzLjExLzA3LzIwMjYuLi5VU0QuSAEAAABLVQAAAgAAAAYtMzM1OTABCAAAAAUAAAABMQEAAAAKMjA0NzI3MTc0NQMAAAADMTYwAgAAAAQyMDA0BAAAAAEwBwAAAAk3LzExLzIwMjYIAAAACTYvMzAvMjAxOAkAAAABMD3Mkmtv394IXTqAbm/f3gg8Q0lRLk5BU0RBUTpNU0ZULklRX0lOVkVTVF9TRUNVUklUWV9DRi45OTAuMTEvMDcvMjAyNi4uLlVTRC5IAQAAAEtVAAACAAAABi0xMjg2OAEIAAAABQAAAAExAQAAAAoxODUxNTI1OTEyAwAAAAMxNjACAAAABDIwMjcEAAAAATAHAAAA</t>
  </si>
  <si>
    <t>CTcvMTEvMjAyNggAAAAJNi8zMC8yMDE1CQAAAAEwPcySa2/f3ghdOoBub9/eCEBDSVEuTkFTREFROk1TRlQuSVFfT1RIRVJfSU5WRVNUX0FDVF9TVVBQTC45OTIuMTEvMDcvMjAyNi4uLlVTRC5IAQAAAEtVAAACAAAABC0xOTcBCAAAAAUAAAABMQEAAAAKMTk3MzM4MDk1MQMAAAADMTYwAgAAAAQyMDUxBAAAAAEwBwAAAAk3LzExLzIwMjYIAAAACTYvMzAvMjAxNwkAAAABMD3Mkmtv394IXTqAbm/f3gg4Q0lRLk5BU0RBUTpNU0ZULklRX1NUX0RFQlRfSVNTVUVELjk5Mi4xMS8wNy8yMDI2Li4uVVNELkgBAAAAS1UAAAMAAAAAAD3Mkmtv394IXTqAbm/f3gg7Q0lRLk5BU0RBUTpNU0ZULklRX1RPVEFMX0RFQlRfSVNTVUVELjk5My4xMS8wNy8yMDI2Li4uVVNELkgBAAAAS1UAAAIAAAAENzE4MwEIAAAABQAAAAExAQAAAAoyMDQ3MjcxNzQ1AwAAAAMxNjACAAAABDIxNjEEAAAAATAHAAAACTcvMTEvMjAyNggAAAAJNi8zMC8yMDE4CQAAAAEwPcySa2/f3ghK/39ub9/eCDhDSVEuTkFTREFROk1TRlQuSVFfTFRfREVCVF9SRVBBSUQuOTkzLjExLzA3LzIwMjYuLi5VU0QuSAEAAABLVQAAAgAAAAYtMTAwNjABCAAAAAUAAAABMQEAAAAKMjA0NzI3MTc0NQMAAAADMTYwAgAAAAQyMDM2BAAAAAEwBwAAAAk3LzExLzIwMjYIAAAACTYvMzAvMjAxOAkAAAABMD3Mkmtv394IniaAbm/f3gg4Q0lRLk5BU0RBUTpNU0ZU</t>
  </si>
  <si>
    <t>LklRX0NIQU5HRV9JTkNfVEFYLjk5MC4xMS8wNy8yMDI2Li4uVVNELkgBAAAAS1UAAAMAAAAAAD3Mkmtv394IniaAbm/f3ghGQ0lRLk5BU0RBUTpNU0ZULklRX0NIQU5HRV9PVEhFUl9ORVRfT1BFUl9BU1NFVFMuOTkyLjExLzA3LzIwMjYuLi5VU0QuSAEAAABLVQAAAgAAAAMzNDkBCAAAAAUAAAABMQEAAAAKMTk3MzM4MDk1MQMAAAADMTYwAgAAAAQyMDQ1BAAAAAEwBwAAAAk3LzExLzIwMjYIAAAACTYvMzAvMjAxNwkAAAABMD3Mkmtv394IniaAbm/f3gg4Q0lRLk5BU0RBUTpNU0ZULklRX0lOQ19FUVVJVFlfQ0YuMjAwMC4xMS8wNy8yMDI2Li4uVVNELkgBAAAAS1UAAAMAAAAAAD3Mkmtv394IXTqAbm/f3gg7Q0lRLk5BU0RBUTpNU0ZULklRX0NIQU5HRV9JTlZFTlRPUlkuMjAwMC4xMS8wNy8yMDI2Li4uVVNELkgBAAAAS1UAAAIAAAAELTM2NAEIAAAABQAAAAExAQAAAAstMTg5MzI5ODk5NQMAAAADMTYwAgAAAAQyMDk5BAAAAAEwBwAAAAk3LzExLzIwMjYIAAAACTMvMzEvMjAyNgkAAAABMD3Mkmtv394ISv9/bm/f3gg1Q0lRLk5BU0RBUTpNU0ZULklRX09USEVSX0FNT1JULjk5My4xMS8wNy8yMDI2Li4uVVNELkgBAAAAS1UAAAMAAAAAAD3Mkmtv394ISv9/bm/f3gg8Q0lRLk5BU0RBUTpNU0ZULklRX0FTU0VUX1dSSVRFRE9XTl9DRi45OTEuMTEvMDcvMjAyNi4uLlVTRC5IAQAAAEtVAAACAAAAAzYz</t>
  </si>
  <si>
    <t>MAEIAAAABQAAAAExAQAAAAoxODk4NDg5NDcwAwAAAAMxNjACAAAABDIwMTkEAAAAATAHAAAACTcvMTEvMjAyNggAAAAJNi8zMC8yMDE2CQAAAAEwPcySa2/f3ghK/39ub9/eCDxDSVEuTkFTREFROk1TRlQuSVFfU1RPQ0tfT1BUSU9OU19DT01QLjk5MS4xMS8wNy8yMDI2Li4uVVNELkgBAAAAS1UAAAMAAAAAAD3Mkmtv394ISv9/bm/f3gg7Q0lRLk5BU0RBUTpNU0ZULklRX1NUT0NLX0JBU0VEX0NPTVAuMjAwMC4xMS8wNy8yMDI2Li4uVVNELkgBAAAAS1UAAAIAAAAEOTk0NwA9zJJrb9/eCEr/f25v394IO0NJUS5OQVNEQVE6TVNGVC5JUV9HV19JTlRBTl9BTU9SVF9DRi45OTMuMTEvMDcvMjAyNi4uLlVTRC5IAQAAAEtVAAACAAAABDIyMDABCAAAAAUAAAABMQEAAAAKMjA0NzI3MTc0NQMAAAADMTYwAgAAAAQyMTgyBAAAAAEwBwAAAAk3LzExLzIwMjYIAAAACTYvMzAvMjAxOAkAAAABMD3Mkmtv394Ig+t/bm/f3gg6Q0lRLk5BU0RBUTpNU0ZULklRX1NUT0NLX0JBU0VEX1NHQS4yMDAwLjExLzA3LzIwMjYuLi5VU0QuSAEAAABLVQAAAwAAAAAAPcySa2/f3giD639ub9/eCDhDSVEuTkFTREFROk1TRlQuSVFfU1RPQ0tfQkFTRURfQVQuOTkzLjExLzA3LzIwMjYuLi5VU0QuSAEAAABLVQAAAwAAAAAAPcySa2/f3giD639ub9/eCDpDSVEuTkFTREFROk1TRlQuSVFfUkVTVFJfU1RPQ0tfQ09NUC45OTEuMTEv</t>
  </si>
  <si>
    <t>MDcvMjAyNi4uLlVTRC5IAQAAAEtVAAADAAAAAAA9zJJrb9/eCIPrf25v394IO0NJUS5OQVNEQVE6TVNGVC5JUV9JTlNfU0VUVExFX1NVUFBMRS45OTMuMTEvMDcvMjAyNi4uLlVTRC5IAQAAAEtVAAADAAAAAAA9zJJrb9/eCEr/f25v394IO0NJUS5OQVNEQVE6TVNGVC5JUV9ORUdBVElWRV9HV19BTU9SVC45OTEuMTEvMDcvMjAyNi4uLlVTRC5IAQAAAEtVAAADAAAAAAA9zJJrb9/eCCfEf25v394IOUNJUS5OQVNEQVE6TVNGVC5JUV9TVE9DS19CQVNFRF9SRC4yMDAwLjExLzA3LzIwMjYuLi5VU0QuSAEAAABLVQAAAwAAAAAAPcySa2/f3ggnxH9ub9/eCD9DSVEuTkFTREFROk1TRlQuSVFfSU1QVVRfT1BFUl9MRUFTRV9ERVBSLjk5MS4xMS8wNy8yMDI2Li4uVVNELkgBAAAAS1UAAAIAAAAJNzE5LjMzNDcyAQgAAAAFAAAAATEBAAAACjE4OTg0ODk0NzADAAAAAzE2MAIAAAAFMjE2NzMEAAAAATAHAAAACTcvMTEvMjAyNggAAAAJNi8zMC8yMDE2CQAAAAEwPcySa2/f3ggnxH9ub9/eCDhDSVEuTkFTREFROk1TRlQuSVFfTUVSR0VSX1NVUFBMRS4yMDAwLjExLzA3LzIwMjYuLi5VU0QuSAEAAABLVQAAAwAAAAAAPcySa2/f3ggnxH9ub9/eCDlDSVEuTkFTREFROk1TRlQuSVFfTkVUX1JFTlRBTF9FWFAuMjAwMC4xMS8wNy8yMDI2Li4uVVNELkgBAAAAS1UAAAMAAAAAAD3Mkmtv394IJ8R/bm/f3ghEQ0lRLk5B</t>
  </si>
  <si>
    <t>U0RBUTpNU0ZULklRX0RFUFJFQ0lBVElPTl9SRU5UQUxfQVNTRVRTLjk5My4xMS8wNy8yMDI2Li4uVVNELkgBAAAAS1UAAAMAAAAAAD3Mkmtv394IJ8R/bm/f3ggwQ0lRLk5BU0RBUTpNU0ZULklRX0dBX0VYUC45OTEuMTEvMDcvMjAyNi4uLlVTRC5IAQAAAEtVAAACAAAABDQ1NjMBCAAAAAUAAAABMQEAAAAKMTg5ODQ4OTQ3MAMAAAADMTYwAgAAAAUyMTU2MgQAAAABMAcAAAAJNy8xMS8yMDI2CAAAAAk2LzMwLzIwMTYJAAAAATA9zJJrb9/eCCfEf25v394IQENJUS5OQVNEQVE6TVNGVC5JUV9BTk5VX0RJU1RSSUJVVElPTl9VTklULjk5MS4xMS8wNy8yMDI2Li4uVVNELkgBAAAAS1UAAAMAAAAAAD3Mkmtv394IJ8R/bm/f3gg4Q0lRLk5BU0RBUTpNU0ZULklRX1VOTEVWRVJFRF9GQ0YuMjAwMC4xMS8wNy8yMDI2Li4uVVNELkgBAAAAS1UAAAIAAAAJMzg3OTguMTI1AQgAAAAFAAAAATEBAAAACy0xODkzMjk4OTk1AwAAAAMxNjACAAAABDQ0MjMEAAAAATAHAAAACTcvMTEvMjAyNggAAAAJMy8zMS8yMDI2CQAAAAEwPcySa2/f3ggnxH9ub9/eCDdDSVEuTkFTREFROk1TRlQuSVFfRE9fRklOQU5DRV9DRi45OTAuMTEvMDcvMjAyNi4uLlVTRC5IAQAAAEtVAAADAAAAAAA9zJJrb9/eCCfEf25v394ISUNJUS5OQVNEQVE6TVNGVC5JUV9ESVNUUklCVVRBQkxFX0NBU0hfU1RBTkRBUkRJWkVELjk5MS4xMS8wNy8y</t>
  </si>
  <si>
    <t>MDI2Li4uVVNELkgBAAAAS1UAAAMAAAAAAD3Mkmtv394ImIJ/bm/f3ghCQ0lRLk5BU0RBUTpNU0ZULklRX0FNT1JUX1NPRlRXQVJFX0FTU0VUU19DRi45OTMuMTEvMDcvMjAyNi4uLlVTRC5IAQAAAEtVAAADAAAAAAA9zJJrb9/eCJiCf25v394IPENJUS5OQVNEQVE6TVNGVC5JUV9UT1RBTF9ESVZfUEFJRF9DRi4yMDAwLjExLzA3LzIwMjYuLi5VU0QuSAEAAABLVQAAAgAAAAYtMjU4NTYBCAAAAAUAAAABMQEAAAALLTE4OTMyOTg5OTUDAAAAAzE2MAIAAAAEMjAyMgQAAAABMAcAAAAJNy8xMS8yMDI2CAAAAAkzLzMxLzIwMjYJAAAAATA9zJJrb9/eCJiCf25v394IOENJUS5OQVNEQVE6TVNGVC5JUV9TVF9ERUJUX0lTU1VFRC45OTMuMTEvMDcvMjAyNi4uLlVTRC5IAQAAAEtVAAADAAAAAAA9zJJrb9/eCJiCf25v394IMkNJUS5OQVNEQVE6TVNGVC5JUV9QUkVGX1JFUC45OTAuMTEvMDcvMjAyNi4uLlVTRC5IAQAAAEtVAAADAAAAAAA9zJJrb9/eCJiCf25v394INENJUS5OQVNEQVE6TVNGVC5JUV9ESVZFU1RfQ0YuMjAwMC4xMS8wNy8yMDI2Li4uVVNELkgBAAAAS1UAAAMAAAAAAD3Mkmtv394ImIJ/bm/f3gg8Q0lRLk5BU0RBUTpNU0ZULklRX0lOVkVTVF9TRUNVUklUWV9DRi45OTEuMTEvMDcvMjAyNi4uLlVTRC5IAQAAAEtVAAACAAAABi0xNDQxNwEIAAAABQAAAAExAQAAAAoxODk4NDg5NDcwAwAAAAMx</t>
  </si>
  <si>
    <t>NjACAAAABDIwMjcEAAAAATAHAAAACTcvMTEvMjAyNggAAAAJNi8zMC8yMDE2CQAAAAEwPcySa2/f3giYgn9ub9/eCDNDSVEuTkFTREFROk1TRlQuSVFfQ0hBTkdFX0FQLjk5MC4xMS8wNy8yMDI2Li4uVVNELkgBAAAAS1UAAAIAAAAFLTEwNTQBCAAAAAUAAAABMQEAAAAKMTg1MTUyNTkxMgMAAAADMTYwAgAAAAQyMDE3BAAAAAEwBwAAAAk3LzExLzIwMjYIAAAACTYvMzAvMjAxNQkAAAABMD3Mkmtv394ImIJ/bm/f3gg4Q0lRLk5BU0RBUTpNU0ZULklRX0NIQU5HRV9JTkNfVEFYLjk5MS4xMS8wNy8yMDI2Li4uVVNELkgBAAAAS1UAAAIAAAAELTI5OAEIAAAABQAAAAExAQAAAAoxODk4NDg5NDcwAwAAAAMxNjACAAAABDIxMDEEAAAAATAHAAAACTcvMTEvMjAyNggAAAAJNi8zMC8yMDE2CQAAAAEwPcySa2/f3giYgn9ub9/eCDxDSVEuTkFTREFROk1TRlQuSVFfQVNTRVRfV1JJVEVET1dOX0NGLjk5Mi4xMS8wNy8yMDI2Li4uVVNELkgBAAAAS1UAAAMAAAAAAD3Mkmtv394ImIJ/bm/f3gg4Q0lRLk5BU0RBUTpNU0ZULklRX1NUT0NLX0JBU0VEX0NGLjk5MC4xMS8wNy8yMDI2Li4uVVNELkgBAAAAS1UAAAIAAAAEMjU3NAEIAAAABQAAAAExAQAAAAoxODUxNTI1OTEyAwAAAAMxNjACAAAABDIxMjcEAAAAATAHAAAACTcvMTEvMjAyNggAAAAJNi8zMC8yMDE1CQAAAAEwPcySa2/f3giYgn9ub9/eCC9DSVEuTkFT</t>
  </si>
  <si>
    <t>REFROk1TRlQuSVFfTklfQ0YuOTkwLjExLzA3LzIwMjYuLi5VU0QuSAEAAABLVQAAAgAAAAUxMjE5MwEIAAAABQAAAAExAQAAAAoxODUxNTI1OTEyAwAAAAMxNjACAAAABDIxNTAEAAAAATAHAAAACTcvMTEvMjAyNggAAAAJNi8zMC8yMDE1CQAAAAEwPcySa2/f3giYgn9ub9/eCDxDSVEuTkFTREFROk1TRlQuSVFfU1RPQ0tfT1BUSU9OU19DT01QLjk5Mi4xMS8wNy8yMDI2Li4uVVNELkgBAAAAS1UAAAMAAAAAAD3Mkmtv394ImIJ/bm/f3gg7Q0lRLk5BU0RBUTpNU0ZULklRX05FR0FUSVZFX0dXX0FNT1JULjk5Mi4xMS8wNy8yMDI2Li4uVVNELkgBAAAAS1UAAAMAAAAAAD3Mkmtv394ImIJ/bm/f3gg4Q0lRLk5BU0RBUTpNU0ZULklRX1NUT0NLX0JBU0VEX1JELjk5Mi4xMS8wNy8yMDI2Li4uVVNELkgBAAAAS1UAAAMAAAAAAD3Mkmtv394ImIJ/bm/f3ghDQ0lRLk5BU0RBUTpNU0ZULklRX1NUT0NLX0JBU0VEX0VYUExPUkVfRFJJTEwuOTkwLjExLzA3LzIwMjYuLi5VU0QuSAEAAABLVQAAAwAAAAAAPcySa2/f3ggqW39ub9/eCD5DSVEuTkFTREFROk1TRlQuSVFfSU1QQUlSTUVOVF9HV19TVVBQTEUuOTkwLjExLzA3LzIwMjYuLi5VU0QuSAEAAABLVQAAAwAAAAAAPcySa2/f3ggqW39ub9/eCDpDSVEuTkFTREFROk1TRlQuSVFfR0FJTl9CQVJHQUlOX0FDUS45OTAuMTEvMDcvMjAyNi4uLlVTRC5IAQAAAEtV</t>
  </si>
  <si>
    <t>AAADAAAAAAA9zJJrb9/eCCpbf25v394IP0NJUS5OQVNEQVE6TVNGVC5JUV9JTVBVVF9PUEVSX0xFQVNFX0RFUFIuOTkyLjExLzA3LzIwMjYuLi5VU0QuSAEAAABLVQAAAgAAAAsxMDc3LjQ5MTU1MgEIAAAABQAAAAExAQAAAAoxOTczMzgwOTUxAwAAAAMxNjACAAAABTIxNjczBAAAAAEwBwAAAAk3LzExLzIwMjYIAAAACTYvMzAvMjAxNwkAAAABMD3Mkmtv394ImIJ/bm/f3ggwQ0lRLk5BU0RBUTpNU0ZULklRX0dBX0VYUC45OTIuMTEvMDcvMjAyNi4uLlVTRC5IAQAAAEtVAAACAAAABDQ0ODEBCAAAAAUAAAABMQEAAAAKMTk3MzM4MDk1MQMAAAADMTYwAgAAAAUyMTU2MgQAAAABMAcAAAAJNy8xMS8yMDI2CAAAAAk2LzMwLzIwMTcJAAAAATA9zJJrb9/eCJiCf25v394IP0NJUS5OQVNEQVE6TVNGVC5JUV9ORVRfUkVOVEFMX0VYUF9TVVBQTEUuOTkwLjExLzA3LzIwMjYuLi5VU0QuSAEAAABLVQAAAgAAAAM5ODkBCAAAAAUAAAABMQEAAAAKMTg1MTUyNTkxMgMAAAADMTYwAgAAAAUyNDI2MwQAAAABMAcAAAAJNy8xMS8yMDI2CAAAAAk2LzMwLzIwMTUJAAAAATA9zJJrb9/eCCpbf25v394IQENJUS5OQVNEQVE6TVNGVC5JUV9BTk5VX0RJU1RSSUJVVElPTl9VTklULjk5Mi4xMS8wNy8yMDI2Li4uVVNELkgBAAAAS1UAAAMAAAAAAD3Mkmtv394IKlt/bm/f3ghBQ0lRLk5BU0RBUTpNU0ZULklRX0RFRkVSUkVE</t>
  </si>
  <si>
    <t>X0RPTUVTVElDX1RBWEVTLjk5Mi4xMS8wNy8yMDI2Li4uVVNELkgBAAAAS1UAAAIAAAAELTI4NQEIAAAABQAAAAExAQAAAAoxOTczMzgwOTUxAwAAAAMxNjACAAAABDMwNTQEAAAAATAHAAAACTcvMTEvMjAyNggAAAAJNi8zMC8yMDE3CQAAAAEwPcySa2/f3ggqW39ub9/eCENDSVEuTkFTREFROk1TRlQuSVFfTk9OUkVDVVJSSU5HX0lOQ09NRV9UQVhFUy45OTIuMTEvMDcvMjAyNi4uLlVTRC5IAQAAAEtVAAADAAAAAAA9zJJrb9/eCCpbf25v394INUNJUS5OQVNEQVE6TVNGVC5JUV9JTlRfRVhQX0xURC45OTAuMTEvMDcvMjAyNi4uLlVTRC5IAQAAAEtVAAADAAAAAABoOChrb9/eCCpbf25v394IQ0NJUS5OQVNEQVE6TVNGVC5JUV9FQVJOSU5HX1BBUkVOVF9FWENMX0VYVFJBLjk5MC4xMS8wNy8yMDI2Li4uVVNELkgBAAAAS1UAAAIAAAAFMTIxOTMBCAAAAAUAAAABMQEAAAAKMTg1MTUyNTkxMgMAAAADMTYwAgAAAAU0MTU5NgQAAAABMAcAAAAJNy8xMS8yMDI2CAAAAAk2LzMwLzIwMTUJAAAAATBoOChrb9/eCIBHf25v394IO0NJUS5OQVNEQVE6TVNGVC5JUV9JTlZFU1RNRU5UX0lOQ09NRS45OTAuMTEvMDcvMjAyNi4uLlVTRC5IAQAAAEtVAAADAAAAAABoOChrb9/eCIBHf25v394INUNJUS5OQVNEQVE6TVNGVC5JUV9FQklUX0VRX0lOQy45OTIuMTEvMDcvMjAyNi4uLlVTRC5IAQAAAEtVAAACAAAABTI5</t>
  </si>
  <si>
    <t>MzMxAQgAAAAFAAAAATEBAAAACjE5NzMzODA5NTEDAAAAAzE2MAIAAAAFMjE2NzUEAAAAATAHAAAACTcvMTEvMjAyNggAAAAJNi8zMC8yMDE3CQAAAAEwaDgoa2/f3ggqW39ub9/eCDZDSVEuTkFTREFROk1TRlQuSVFfRUJJVEFfRVFfSU5DLjk5MC4xMS8wNy8yMDI2Li4uVVNELkgBAAAAS1UAAAIAAAAFMjk0NzIBCAAAAAUAAAABMQEAAAAKMTg1MTUyNTkxMgMAAAADMTYwAgAAAAUyMTY3NgQAAAABMAcAAAAJNy8xMS8yMDI2CAAAAAk2LzMwLzIwMTUJAAAAATBoOChrb9/eCCpbf25v394IOUNJUS5OQVNEQVE6TVNGVC5JUV9UT1RBTF9SRVZfU0hBUkUuOTkyLjExLzA3LzIwMjYuLi5VU0QuSAEAAABLVQAAAgAAAAkxMi40NjcyMDgBCAAAAAUAAAABMQEAAAAKMTk3MzM4MDk1MQMAAAADMTYwAgAAAAQ0MzgyBAAAAAEwBwAAAAk3LzExLzIwMjYIAAAACTYvMzAvMjAxNwkAAAABMGg4KGtv394IKlt/bm/f3gg4Q0lRLk5BU0RBUTpNU0ZULklRX1BSRUZfRElWX09USEVSLjk5Mi4xMS8wNy8yMDI2Li4uVVNELkgBAAAAS1UAAAMAAAAAAGg4KGtv394IQSB/bm/f3gg4Q0lRLk5BU0RBUTpNU0ZULklRX0JBU0lDX0VQU19JTkNMLjk5Mi4xMS8wNy8yMDI2Li4uVVNELkgBAAAAS1UAAAIAAAAIMy4yOTA2MDEBCAAAAAUAAAABMQEAAAAKMTk3MzM4MDk1MQMAAAADMTYwAgAAAAE5BAAAAAEwBwAAAAk3LzExLzIwMjYI</t>
  </si>
  <si>
    <t>AAAACTYvMzAvMjAxNwkAAAABMGg4KGtv394IQSB/bm/f3gg4Q0lRLk5BU0RBUTpNU0ZULklRX0RJTFVUX0VQU19FWENMLjk5MC4xMS8wNy8yMDI2Li4uVVNELkgBAAAAS1UAAAIAAAAEMS40OAEIAAAABQAAAAExAQAAAAoxODUxNTI1OTEyAwAAAAMxNjACAAAAAzE0MgQAAAABMAcAAAAJNy8xMS8yMDI2CAAAAAk2LzMwLzIwMTUJAAAAATBoOChrb9/eCEEgf25v394IPUNJUS5OQVNEQVE6TVNGVC5JUV9PVEhFUl9VTlVTVUFMX1NVUFBMLjk5MC4xMS8wNy8yMDI2Li4uVVNELkgBAAAAS1UAAAMAAAAAAGg4KGtv394IgEd/bm/f3gg0Q0lRLk5BU0RBUTpNU0ZULklRX0VBUk5JTkdfQ08uOTkwLjExLzA3LzIwMjYuLi5VU0QuSAEAAABLVQAAAgAAAAUxMjE5MwEIAAAABQAAAAExAQAAAAoxODUxNTI1OTEyAwAAAAMxNjACAAAAATcEAAAAATAHAAAACTcvMTEvMjAyNggAAAAJNi8zMC8yMDE1CQAAAAEwaDgoa2/f3giAR39ub9/eCDlDSVEuTkFTREFROk1TRlQuSVFfQVNTRVRfV1JJVEVET1dOLjk5Mi4xMS8wNy8yMDI2Li4uVVNELkgBAAAAS1UAAAMAAAAAAGg4KGtv394I2gt/bm/f3gg5Q0lRLk5BU0RBUTpNU0ZULklRX0NBU0hfQUNRVUlSRV9DRi45OTAuMTEvMDcvMjAyNi4uLlVTRC5IAQAAAEtVAAACAAAABS0zNzIzAQgAAAAFAAAAATEBAAAACjE4NTE1MjU5MTIDAAAAAzE2MAIAAAAEMjA1NwQAAAABMAcA</t>
  </si>
  <si>
    <t>AAAJNy8xMS8yMDI2CAAAAAk2LzMwLzIwMTUJAAAAATBoOChrb9/eCNoLf25v394INENJUS5OQVNEQVE6TVNGVC5JUV9JTkNfRVFVSVRZLjk5MC4xMS8wNy8yMDI2Li4uVVNELkgBAAAAS1UAAAMAAAAAAGg4KGtv394IQSB/bm/f3gg+Q0lRLk5BU0RBUTpNU0ZULklRX0NBUElUQUxJWkVEX0lOVEVSRVNULjk5MC4xMS8wNy8yMDI2Li4uVVNELkgBAAAAS1UAAAIAAAACMjUBCAAAAAUAAAABMQEAAAAKMTg1MTUyNTkxMgMAAAADMTYwAgAAAAQzMDMyBAAAAAEwBwAAAAk3LzExLzIwMjYIAAAACTYvMzAvMjAxNQkAAAABMGg4KGtv394IQSB/bm/f3gg4Q0lRLk5BU0RBUTpNU0ZULklRX01JTklNVU1fUkVOVEFMLjk5Mi4xMS8wNy8yMDI2Li4uVVNELkgBAAAAS1UAAAMAAAAAAGg4KGtv394IQSB/bm/f3gg7Q0lRLk5BU0RBUTpNU0ZULklRX0ZFRVNfT1RIRVJfSU5DT01FLjk5MC4xMS8wNy8yMDI2Li4uVVNELkgBAAAAS1UAAAMAAAAAAGg4KGtv394IKvh+bm/f3ghBQ0lRLk5BU0RBUTpNU0ZULklRX0RFRkVSUkVEX0RPTUVTVElDX1RBWEVTLjk5MS4xMS8wNy8yMDI2Li4uVVNELkgBAAAAS1UAAAIAAAAEMjAzMAEIAAAABQAAAAExAQAAAAoxODk4NDg5NDcwAwAAAAMxNjACAAAABDMwNTQEAAAAATAHAAAACTcvMTEvMjAyNggAAAAJNi8zMC8yMDE2CQAAAAEwaDgoa2/f3ggq+H5ub9/eCDdDSVEuTkFTREFROk1T</t>
  </si>
  <si>
    <t>RlQuSVFfRUJJVERBX0VRX0lOQy45OTMuMTEvMDcvMjAyNi4uLlVTRC5IAQAAAEtVAAACAAAABTQ2NTQzAQgAAAAFAAAAATEBAAAACjIwNDcyNzE3NDUDAAAAAzE2MAIAAAAFMjE2NzcEAAAAATAHAAAACTcvMTEvMjAyNggAAAAJNi8zMC8yMDE4CQAAAAEwaDgoa2/f3ggq+H5ub9/eCE5DSVEuTkFTREFROk1TRlQuSVFfRElTVFJJQlVUQUJMRV9DQVNIX1BFUl9TSEFSRV9ESUxVVEVELjk5My4xMS8wNy8yMDI2Li4uVVNELkgBAAAAS1UAAAMAAAAAAGg4KGtv394I2gt/bm/f3gg4Q0lRLk5BU0RBUTpNU0ZULklRX0RJTFVUX0VQU19JTkNMLjk5My4xMS8wNy8yMDI2Li4uVVNELkgBAAAAS1UAAAIAAAAEMi4xMwEIAAAABQAAAAExAQAAAAoyMDQ3MjcxNzQ1AwAAAAMxNjACAAAAATgEAAAAATAHAAAACTcvMTEvMjAyNggAAAAJNi8zMC8yMDE4CQAAAAEwaDgoa2/f3gjaC39ub9/eCDlDSVEuTkFTREFROk1TRlQuSVFfQVNTRVRfV1JJVEVET1dOLjk5My4xMS8wNy8yMDI2Li4uVVNELkgBAAAAS1UAAAMAAAAAAGg4KGtv394IvdB+bm/f3gg0Q0lRLk5BU0RBUTpNU0ZULklRX0lOU19TRVRUTEUuOTkzLjExLzA3LzIwMjYuLi5VU0QuSAEAAABLVQAAAwAAAAAAaDgoa2/f3gi90H5ub9/eCD1DSVEuTkFTREFROk1TRlQuSVFfSU5URVJFU1RfSU5WRVNUX0lOQy45OTIuMTEvMDcvMjAyNi4uLlVTRC5IAQAAAEtVAAAC</t>
  </si>
  <si>
    <t>AAAABDEzODcBCAAAAAUAAAABMQEAAAAKMTk3MzM4MDk1MQMAAAADMTYwAgAAAAI2NQQAAAABMAcAAAAJNy8xMS8yMDI2CAAAAAk2LzMwLzIwMTcJAAAAATBoOChrb9/eCCr4fm5v394INENJUS5OQVNEQVE6TVNGVC5JUV9JTkNfRVFVSVRZLjk5My4xMS8wNy8yMDI2Li4uVVNELkgBAAAAS1UAAAMAAAAAAGg4KGtv394IKvh+bm/f3ghCQ0lRLk5BU0RBUTpNU0ZULklRX09USEVSX05PTl9PUEVSX0VYUF9TVVBQTC45OTMuMTEvMDcvMjAyNi4uLlVTRC5IAQAAAEtVAAACAAAABC0zOTYBCAAAAAUAAAABMQEAAAAKMjA0NzI3MTc0NQMAAAADMTYwAgAAAAI4NQQAAAABMAcAAAAJNy8xMS8yMDI2CAAAAAk2LzMwLzIwMTgJAAAAATBoOChrb9/eCCr4fm5v394IMENJUS5OQVNEQVE6TVNGVC5JUV9NRVJHRVIuOTkxLjExLzA3LzIwMjYuLi5VU0QuSAEAAABLVQAAAwAAAAAAaDgoa2/f3gi90H5ub9/eCDVDSVEuTkFTREFROk1TRlQuSVFfR0FJTl9JTlZFU1QuOTkyLjExLzA3LzIwMjYuLi5VU0QuSAEAAABLVQAAAgAAAAQyMzg5AQgAAAAFAAAAATEBAAAACjE5NzMzODA5NTEDAAAAAzE2MAIAAAACNjIEAAAAATAHAAAACTcvMTEvMjAyNggAAAAJNi8zMC8yMDE3CQAAAAEwaDgoa2/f3gi90H5ub9/eCDVDSVEuTkFTREFROk1TRlQuSVFfU1RPQ0tfQkFTRUQuOTkxLjExLzA3LzIwMjYuLi5VU0QuSAEAAABLVQAAAwAA</t>
  </si>
  <si>
    <t>AAAAaDgoa2/f3gi90H5ub9/eCDVDSVEuTkFTREFROk1TRlQuSVFfSU1QQUlSX09JTC4yMDAwLjExLzA3LzIwMjYuLi5VU0QuSAEAAABLVQAAAwAAAAAAaDgoa2/f3gi90H5ub9/eCDJDSVEuTkFTREFROk1TRlQuSVFfT1BFUl9JTkMuOTkxLjExLzA3LzIwMjYuLi5VU0QuSAEAAABLVQAAAgAAAAUyNzE4OAEIAAAABQAAAAExAQAAAAoxODk4NDg5NDcwAwAAAAMxNjACAAAAAjIxBAAAAAEwBwAAAAk3LzExLzIwMjYIAAAACTYvMzAvMjAxNgkAAAABMGg4KGtv394IvdB+bm/f3gg6Q0lRLk5BU0RBUTpNU0ZULklRX09USEVSX1JFVl9TVVBQTC4yMDAwLjExLzA3LzIwMjYuLi5VU0QuSAEAAABLVQAAAwAAAAAAaDgoa2/f3giSlH5ub9/eCDVDSVEuTkFTREFROk1TRlQuSVFfRklOX0RJVl9FWFAuOTkzLjExLzA3LzIwMjYuLi5VU0QuSAEAAABLVQAAAwAAAAAAaDgoa2/f3giSlH5ub9/eCDNDSVEuTkFTREFROk1TRlQuSVFfU0dBX1NVUFBMLjk5MS4xMS8wNy8yMDI2Li4uVVNELkgBAAAAS1UAAAIAAAAFMTkxOTgBCAAAAAUAAAABMQEAAAAKMTg5ODQ4OTQ3MAMAAAADMTYwAgAAAAMxMDIEAAAAATAHAAAACTcvMTEvMjAyNggAAAAJNi8zMC8yMDE2CQAAAAEwaDgoa2/f3gi90H5ub9/eCDlDSVEuTkFTREFROk1TRlQuSVFfR0FJTl9BU1NFVFNfUkVWLjk5Mi4xMS8wNy8yMDI2Li4uVVNELkgBAAAAS1UAAAMAAAAA</t>
  </si>
  <si>
    <t>AGg4KGtv394IvdB+bm/f3gg6Q0lRLk5BU0RBUTpNU0ZULklRX0dBSU5fQVNTRVRTX1JFVi4yMDAwLjExLzA3LzIwMjYuLi5VU0QuSAEAAABLVQAAAwAAAAAAaDgoa2/f3gi90H5ub9/eCDVDSVEuTkFTREFROk1TRlQuSVFfRklOX0RJVl9SRVYuOTkxLjExLzA3LzIwMjYuLi5VU0QuSAEAAABLVQAAAwAAAAAAaDgoa2/f3giSlH5ub9/eCDNDSVEuTkFTREFROk1TRlQuSVFfVE9UQUxfUkVWLjk5My4xMS8wNy8yMDI2Li4uVVNELkgBAAAAS1UAAAIAAAAGMTEwMzYwAQgAAAAFAAAAATEBAAAACjIwNDcyNzE3NDUDAAAAAzE2MAIAAAACMjgEAAAAATAHAAAACTcvMTEvMjAyNggAAAAJNi8zMC8yMDE4CQAAAAEwaDgoa2/f3giSlH5ub9/eCDNDSVEuTkFTREFROk1TRlQuSVFfVE9UQUxfUkVWLjk5Mi4xMS8wNy8yMDI2Li4uVVNELkgBAAAAS1UAAAIAAAAFOTY1NzEBCAAAAAUAAAABMQEAAAAKMTk3MzM4MDk1MQMAAAADMTYwAgAAAAIyOAQAAAABMAcAAAAJNy8xMS8yMDI2CAAAAAk2LzMwLzIwMTcJAAAAATBoOChrb9/eCJKUfm5v394IP0NJUS5OQVNEQVE6TVNGVC5JUV9ORVRfUkVOVEFMX0VYUF9TVVBQTEUuOTkzLjExLzA3LzIwMjYuLi5VU0QuSAEAAABLVQAAAgAAAAQxNTg1AQgAAAAFAAAAATEBAAAACjIwNDcyNzE3NDUDAAAAAzE2MAIAAAAFMjQyNjMEAAAAATAHAAAACTcvMTEvMjAyNggAAAAJNi8zMC8y</t>
  </si>
  <si>
    <t>MDE4CQAAAAEwaDgoa2/f3giSlH5ub9/eCDVDSVEuTkFTREFROk1TRlQuSVFfSVBSRF9TVVBQTEUuOTkwLjExLzA3LzIwMjYuLi5VU0QuSAEAAABLVQAAAwAAAAAAaDgoa2/f3giSlH5ub9/eCDJDSVEuTkFTREFROk1TRlQuSVFfRElMVVRfTkkuOTkzLjExLzA3LzIwMjYuLi5VU0QuSAEAAABLVQAAAgAAAAgxNjYwMS4yMgEIAAAABQAAAAExAQAAAAoyMDQ3MjcxNzQ1AwAAAAMxNjACAAAABDM1MjIEAAAAATAHAAAACTcvMTEvMjAyNggAAAAJNi8zMC8yMDE4CQAAAAEwaDgoa2/f3giHgH5ub9/eCDlDSVEuTkFTREFROk1TRlQuSVFfVE9UQUxfUkVWX1NIQVJFLjk5MS4xMS8wNy8yMDI2Li4uVVNELkgBAAAAS1UAAAIAAAAJMTEuNTAyMDgyAQgAAAAFAAAAATEBAAAACjE4OTg0ODk0NzADAAAAAzE2MAIAAAAENDM4MgQAAAABMAcAAAAJNy8xMS8yMDI2CAAAAAk2LzMwLzIwMTYJAAAAATBoOChrb9/eCJKUfm5v394IOUNJUS5OQVNEQVE6TVNGVC5JUV9FQklUREFfRVhDTF9TQkMuOTkxLjExLzA3LzIwMjYuLi5VU0QuSAEAAABLVQAAAgAAAAUzNTczNAEIAAAABQAAAAExAQAAAAoxODk4NDg5NDcwAwAAAAMxNjACAAAABTI0MTM1BAAAAAEwBwAAAAk3LzExLzIwMjYIAAAACTYvMzAvMjAxNgkAAAABMGg4KGtv394IkpR+bm/f3gg0Q0lRLk5BU0RBUTpNU0ZULklRX09USEVSX09QRVIuOTkwLjExLzA3LzIwMjYu</t>
  </si>
  <si>
    <t>Li5VU0QuSAEAAABLVQAAAwAAAAAAaDgoa2/f3giSlH5ub9/eCDJDSVEuTkFTREFROk1TRlQuSVFfT1BFUl9JTkMuOTkyLjExLzA3LzIwMjYuLi5VU0QuSAEAAABLVQAAAgAAAAUyOTMzMQEIAAAABQAAAAExAQAAAAoxOTczMzgwOTUxAwAAAAMxNjACAAAAAjIxBAAAAAEwBwAAAAk3LzExLzIwMjYIAAAACTYvMzAvMjAxNwkAAAABMGg4KGtv394IkpR+bm/f3gg9Q0lRLk5BU0RBUTpNU0ZULklRX0lOVEVSRVNUX0lOVkVTVF9JTkMuOTkzLjExLzA3LzIwMjYuLi5VU0QuSAEAAABLVQAAAgAAAAQyMjE0AQgAAAAFAAAAATEBAAAACjIwNDcyNzE3NDUDAAAAAzE2MAIAAAACNjUEAAAAATAHAAAACTcvMTEvMjAyNggAAAAJNi8zMC8yMDE4CQAAAAEwaDgoa2/f3gj6W35ub9/eCDVDSVEuTkFTREFROk1TRlQuSVFfU1RPQ0tfQkFTRUQuOTkyLjExLzA3LzIwMjYuLi5VU0QuSAEAAABLVQAAAwAAAAAAaDgoa2/f3gj6W35ub9/eCDhDSVEuTkFTREFROk1TRlQuSVFfR1dfSU5UQU5fQU1PUlQuOTkwLjExLzA3LzIwMjYuLi5VU0QuSAEAAABLVQAAAwAAAAAAaDgoa2/f3giHgH5ub9/eCC1DSVEuTkFTREFROk1TRlQuSVFfUkVWLjk5Mi4xMS8wNy8yMDI2Li4uVVNELkgBAAAAS1UAAAIAAAAFOTY1NzEBCAAAAAUAAAABMQEAAAAKMTk3MzM4MDk1MQMAAAADMTYwAgAAAAMxMTIEAAAAATAHAAAACTcvMTEvMjAyNggAAAAJ</t>
  </si>
  <si>
    <t>Ni8zMC8yMDE3CQAAAAEwaDgoa2/f3giHgH5ub9/eCDNDSVEuTkFTREFROk1TRlQuSVFfVE9UQUxfUkVWLjk5MC4xMS8wNy8yMDI2Li4uVVNELkgBAAAAS1UAAAIAAAAFOTM1ODABCAAAAAUAAAABMQEAAAAKMTg1MTUyNTkxMgMAAAADMTYwAgAAAAIyOAQAAAABMAcAAAAJNy8xMS8yMDI2CAAAAAk2LzMwLzIwMTUJAAAAATBoOChrb9/eCIeAfm5v394IPkNJUS5OQVNEQVE6TVNGVC5JUV9JTVBBSVJNRU5UX0dXX1NVUFBMRS45OTMuMTEvMDcvMjAyNi4uLlVTRC5IAQAAAEtVAAADAAAAAABoOChrb9/eCD9Ifm5v394IQUNJUS5OQVNEQVE6TVNGVC5JUV9SRVNUUl9TVE9DS19DT01QX1BSRVRBWC45OTEuMTEvMDcvMjAyNi4uLlVTRC5IAQAAAEtVAAADAAAAAABoOChrb9/eCD9Ifm5v394IN0NJUS5OQVNEQVE6TVNGVC5JUV9FWFBMT1JFX0RSSUxMLjk5Mi4xMS8wNy8yMDI2Li4uVVNELkgBAAAAS1UAAAMAAAAAAGg4KGtv394I+lt+bm/f3gg7Q0lRLk5BU0RBUTpNU0ZULklRX0lOVkVTVE1FTlRfSU5DT01FLjk5Mi4xMS8wNy8yMDI2Li4uVVNELkgBAAAAS1UAAAMAAAAAAGg4KGtv394I+lt+bm/f3gg+Q0lRLk5BU0RBUTpNU0ZULklRX0VCSVRfRVFfSU5DX0VYQ0xfU0JDLjk5MC4xMS8wNy8yMDI2Li4uVVNELkgBAAAAS1UAAAIAAAAFMzA3NDYBCAAAAAUAAAABMQEAAAAKMTg1MTUyNTkxMgMAAAADMTYwAgAA</t>
  </si>
  <si>
    <t>AAUyNDEzMAQAAAABMAcAAAAJNy8xMS8yMDI2CAAAAAk2LzMwLzIwMTUJAAAAATBoOChrb9/eCPpbfm5v394IPENJUS5OQVNEQVE6TVNGVC5JUV9BU19SRVBPUlRFRF9FQklUREEuOTkwLjExLzA3LzIwMjYuLi5VU0QuSAEAAABLVQAAAwAAAAAAaDgoa2/f3gi9IH5ub9/eCDlDSVEuTkFTREFROk1TRlQuSVFfRUJJVERBX0VYQ0xfU0JDLjk5Mi4xMS8wNy8yMDI2Li4uVVNELkgBAAAAS1UAAAIAAAAFNDAzOTcBCAAAAAUAAAABMQEAAAAKMTk3MzM4MDk1MQMAAAADMTYwAgAAAAUyNDEzNQQAAAABMAcAAAAJNy8xMS8yMDI2CAAAAAk2LzMwLzIwMTcJAAAAATBoOChrb9/eCL0gfm5v394IS0NJUS5OQVNEQVE6TVNGVC5JUV9FQklUREFfRVFfSU5DX0VYQ0xfT1BFUl9MRUFTRV9BREouOTkwLjExLzA3LzIwMjYuLi5VU0QuSAEAAABLVQAAAgAAAAUzMzU3MgEIAAAABQAAAAExAQAAAAoxODUxNTI1OTEyAwAAAAMxNjACAAAABTQ4OTg3BAAAAAEwBwAAAAk3LzExLzIwMjYIAAAACTYvMzAvMjAxNQkAAAABMGg4KGtv394IvSB+bm/f3gg0Q0lRLk5BU0RBUTpNU0ZULklRX09USEVSX09QRVIuOTkxLjExLzA3LzIwMjYuLi5VU0QuSAEAAABLVQAAAwAAAAAAaDgoa2/f3gi9IH5ub9/eCDJDSVEuTkFTREFROk1TRlQuSVFfT1BFUl9JTkMuOTkzLjExLzA3LzIwMjYuLi5VU0QuSAEAAABLVQAAAgAAAAUzNTA1OAEIAAAA</t>
  </si>
  <si>
    <t>BQAAAAExAQAAAAoyMDQ3MjcxNzQ1AwAAAAMxNjACAAAAAjIxBAAAAAEwBwAAAAk3LzExLzIwMjYIAAAACTYvMzAvMjAxOAkAAAABMGg4KGtv394IP0h+bm/f3gg1Q0lRLk5BU0RBUTpNU0ZULklRX1NUT0NLX0JBU0VELjk5My4xMS8wNy8yMDI2Li4uVVNELkgBAAAAS1UAAAMAAAAAAGg4KGtv394IvSB+bm/f3ggzQ0lRLk5BU0RBUTpNU0ZULklRX0RBX1NVUFBMLjIwMDAuMTEvMDcvMjAyNi4uLlVTRC5IAQAAAEtVAAADAAAAAABoOChrb9/eCL0gfm5v394IOUNJUS5OQVNEQVE6TVNGVC5JUV9HQUlOX0FTU0VUU19SRVYuOTkzLjExLzA3LzIwMjYuLi5VU0QuSAEAAABLVQAAAwAAAAAAaDgoa2/f3gi9IH5ub9/eCDNDSVEuTkFTREFROk1TRlQuSVFfVE9UQUxfUkVWLjk5MS4xMS8wNy8yMDI2Li4uVVNELkgBAAAAS1UAAAIAAAAFOTExNTQBCAAAAAUAAAABMQEAAAAKMTg5ODQ4OTQ3MAMAAAADMTYwAgAAAAIyOAQAAAABMAcAAAAJNy8xMS8yMDI2CAAAAAk2LzMwLzIwMTYJAAAAATBoOChrb9/eCL0gfm5v394INkNJUS5OQVNEQVE6TVNGVC5JUV9JTlNfRElWX0VYUC4yMDAwLjExLzA3LzIwMjYuLi5VU0QuSAEAAABLVQAAAwAAAAAAaDgoa2/f3gi9IH5ub9/eCDRDSVEuTkFTREFROk1TRlQuSVFfT1RIRVJfT1BFUi45OTIuMTEvMDcvMjAyNi4uLlVTRC5IAQAAAEtVAAADAAAAAABoOChrb9/eCHPkfW5v394I</t>
  </si>
  <si>
    <t>O0NJUS5OQVNEQVE6TVNGVC5JUV9JTlZFU1RNRU5UX0lOQ09NRS45OTMuMTEvMDcvMjAyNi4uLlVTRC5IAQAAAEtVAAADAAAAAABoOChrb9/eCHPkfW5v394IPUNJUS5OQVNEQVE6TVNGVC5JUV9DVVJSX0ZPUkVJR05fVEFYRVMuMjAwMC4xMS8wNy8yMDI2Li4uVVNELkgBAAAAS1UAAAIAAAAFMTE0MjMBCAAAAAUAAAABMQEAAAALLTE4OTMyOTg5OTUDAAAAAzE2MAIAAAAEMzAzMAQAAAABMAcAAAAJNy8xMS8yMDI2CAAAAAkzLzMxLzIwMjYJAAAAATDRdChrb9/eCHPkfW5v394IPUNJUS5OQVNEQVE6TVNGVC5JUV9ESVNUUklCVVRBQkxFX0NBU0guMjAwMC4xMS8wNy8yMDI2Li4uVVNELkgBAAAAS1UAAAMAAAAAANF0KGtv394Ic+R9bm/f3gg8Q0lRLk5BU0RBUTpNU0ZULklRX0FTX1JFUE9SVEVEX0VCSVREQS45OTIuMTEvMDcvMjAyNi4uLlVTRC5IAQAAAEtVAAADAAAAAADRdChrb9/eCHPkfW5v394IOUNJUS5OQVNEQVE6TVNGVC5JUV9FQklUREFfRVhDTF9TQkMuOTkzLjExLzA3LzIwMjYuLi5VU0QuSAEAAABLVQAAAgAAAAU0ODg5OAEIAAAABQAAAAExAQAAAAoyMDQ3MjcxNzQ1AwAAAAMxNjACAAAABTI0MTM1BAAAAAEwBwAAAAk3LzExLzIwMjYIAAAACTYvMzAvMjAxOAkAAAABMNF0KGtv394Ic+R9bm/f3ghLQ0lRLk5BU0RBUTpNU0ZULklRX0VCSVREQV9FUV9JTkNfRVhDTF9PUEVSX0xFQVNFX0FE</t>
  </si>
  <si>
    <t>Si45OTEuMTEvMDcvMjAyNi4uLlVTRC5IAQAAAEtVAAACAAAABTMzMDY2AQgAAAAFAAAAATEBAAAACjE4OTg0ODk0NzADAAAAAzE2MAIAAAAFNDg5ODcEAAAAATAHAAAACTcvMTEvMjAyNggAAAAJNi8zMC8yMDE2CQAAAAEw0XQoa2/f3ghz5H1ub9/eCDpDSVEuTkFTREFROk1TRlQuSVFfRVhUUkFfQUNDX0lURU1TLjIwMDAuMTEvMDcvMjAyNi4uLlVTRC5IAQAAAEtVAAADAAAAAADRdChrb9/eCHPkfW5v394IM0NJUS5OQVNEQVE6TVNGVC5JUV9DSEFOR0VfQVAuOTkyLjExLzA3LzIwMjYuLi5VU0QuSAEAAABLVQAAAgAAAAI4MQEIAAAABQAAAAExAQAAAAoxOTczMzgwOTUxAwAAAAMxNjACAAAABDIwMTcEAAAAATAHAAAACTcvMTEvMjAyNggAAAAJNi8zMC8yMDE3CQAAAAEw0XQoa2/f3ghz5H1ub9/eCDBDSVEuTkFTREFROk1TRlQuSVFfUkRfRVhQLjk5MC4xMS8wNy8yMDI2Li4uVVNELkgBAAAAS1UAAAIAAAAFMTIwNDYBCAAAAAUAAAABMQEAAAAKMTg1MTUyNTkxMgMAAAADMTYwAgAAAAMxMDAEAAAAATAHAAAACTcvMTEvMjAyNggAAAAJNi8zMC8yMDE1CQAAAAEw0XQoa2/f3ghz5H1ub9/eCElDSVEuTkFTREFROk1TRlQuSVFfRElTVFJJQlVUQUJMRV9DQVNIX1NUQU5EQVJESVpFRC45OTAuMTEvMDcvMjAyNi4uLlVTRC5IAQAAAEtVAAADAAAAAADRdChrb9/eCC2ofW5v394IPENJUS5OQVNEQVE6TVNG</t>
  </si>
  <si>
    <t>VC5JUV9BU19SRVBPUlRFRF9FQklUREEuOTkzLjExLzA3LzIwMjYuLi5VU0QuSAEAAABLVQAAAwAAAAAA0XQoa2/f3ghz5H1ub9/eCEtDSVEuTkFTREFROk1TRlQuSVFfRUJJVERBX0VRX0lOQ19FWENMX09QRVJfTEVBU0VfQURKLjk5Mi4xMS8wNy8yMDI2Li4uVVNELkgBAAAAS1UAAAIAAAAFMzcxMzEBCAAAAAUAAAABMQEAAAAKMTk3MzM4MDk1MQMAAAADMTYwAgAAAAU0ODk4NwQAAAABMAcAAAAJNy8xMS8yMDI2CAAAAAk2LzMwLzIwMTcJAAAAATDRdChrb9/eCHPkfW5v394IMUNJUS5OQVNEQVE6TVNGVC5JUV9FQklUREFSLjk5Mi4xMS8wNy8yMDI2Li4uVVNELkgBAAAAS1UAAAIAAAAFMzg1NDMBCAAAAAUAAAABMQEAAAAKMTk3MzM4MDk1MQMAAAADMTYwAgAAAAUyMTY3NAQAAAABMAcAAAAJNy8xMS8yMDI2CAAAAAk2LzMwLzIwMTcJAAAAATDRdChrb9/eCHPkfW5v394IPENJUS5OQVNEQVE6TVNGVC5JUV9TUEVDSUFMX0RJVl9TSEFSRS4yMDAwLjExLzA3LzIwMjYuLi5VU0QuSAEAAABLVQAAAwAAAAAA0XQoa2/f3ghz5H1ub9/eCDBDSVEuTkFTREFROk1TRlQuSVFfRUJJVERBLjk5MS4xMS8wNy8yMDI2Li4uVVNELkgBAAAAS1UAAAIAAAAFMzMwNjYBCAAAAAUAAAABMQEAAAAKMTg5ODQ4OTQ3MAMAAAADMTYwAgAAAAQ0MDUxBAAAAAEwBwAAAAk3LzExLzIwMjYIAAAACTYvMzAvMjAxNgkAAAABMNF0</t>
  </si>
  <si>
    <t>KGtv394ILah9bm/f3ggsQ0lRLk5BU0RBUTpNU0ZULklRX05JLjk5MC4xMS8wNy8yMDI2Li4uVVNELkgBAAAAS1UAAAIAAAAFMTIxOTMBCAAAAAUAAAABMQEAAAAKMTg1MTUyNTkxMgMAAAADMTYwAgAAAAIxNQQAAAABMAcAAAAJNy8xMS8yMDI2CAAAAAk2LzMwLzIwMTUJAAAAATDRdChrb9/eCC2ofW5v394IN0NJUS5OQVNEQVE6TVNGVC5JUV9OSV9BVkFJTF9JTkNMLjk5MS4xMS8wNy8yMDI2Li4uVVNELkgBAAAAS1UAAAIAAAAFMjA1MzkBCAAAAAUAAAABMQEAAAAKMTg5ODQ4OTQ3MAMAAAADMTYwAgAAAAIxNgQAAAABMAcAAAAJNy8xMS8yMDI2CAAAAAk2LzMwLzIwMTYJAAAAATDRdChrb9/eCC2ofW5v394IOUNJUS5OQVNEQVE6TVNGVC5JUV9CQVNJQ19FUFNfSU5DTC4yMDAwLjExLzA3LzIwMjYuLi5VU0QuSAEAAABLVQAAAgAAAAkxNi44NTI3NTkBCAAAAAUAAAABMQEAAAALLTE4OTMyOTg5OTUDAAAAAzE2MAIAAAABOQQAAAABMAcAAAAJNy8xMS8yMDI2CAAAAAkzLzMxLzIwMjYJAAAAATDRdChrb9/eCC2ofW5v394ILkNJUS5OQVNEQVE6TVNGVC5JUV9FQlQuMjAwMC4xMS8wNy8yMDI2Li4uVVNELkgBAAAAS1UAAAIAAAAGMTU0NTAzAQgAAAAFAAAAATEBAAAACy0xODkzMjk4OTk1AwAAAAMxNjACAAAAAzEzOQQAAAABMAcAAAAJNy8xMS8yMDI2CAAAAAkzLzMxLzIwMjYJAAAAATDRdChrb9/eCC2o</t>
  </si>
  <si>
    <t>fW5v394ILENJUS5OQVNEQVE6TVNGVC5JUV9ETy45OTAuMTEvMDcvMjAyNi4uLlVTRC5IAQAAAEtVAAADAAAAAADRdChrb9/eCC2ofW5v394INENJUS5OQVNEQVE6TVNGVC5JUV9OSV9DT01QQU5ZLjk5MC4xMS8wNy8yMDI2Li4uVVNELkgBAAAAS1UAAAIAAAAFMTIxOTMBCAAAAAUAAAABMQEAAAAKMTg1MTUyNTkxMgMAAAADMTYwAgAAAAU0MTU3MQQAAAABMAcAAAAJNy8xMS8yMDI2CAAAAAk2LzMwLzIwMTUJAAAAATDRdChrb9/eCC2ofW5v394IOENJUS5OQVNEQVE6TVNGVC5JUV9QUkVfT1BFTl9DT1NULjIwMDAuMTEvMDcvMjAyNi4uLlVTRC5IAQAAAEtVAAADAAAAAADRdChrb9/eCC2ofW5v394IOENJUS5OQVNEQVE6TVNGVC5JUV9HV19JTlRBTl9BTU9SVC45OTEuMTEvMDcvMjAyNi4uLlVTRC5IAQAAAEtVAAADAAAAAADRdChrb9/eCC2ofW5v394INENJUS5OQVNEQVE6TVNGVC5JUV9PVEhFUl9PUEVSLjk5My4xMS8wNy8yMDI2Li4uVVNELkgBAAAAS1UAAAMAAAAAANF0KGtv394ILah9bm/f3gg1Q0lRLk5BU0RBUTpNU0ZULklRX0lOU19ESVZfRVhQLjk5My4xMS8wNy8yMDI2Li4uVVNELkgBAAAAS1UAAAMAAAAAANF0KGtv394IfJR9bm/f3gg3Q0lRLk5BU0RBUTpNU0ZULklRX0VYUExPUkVfRFJJTEwuOTkxLjExLzA3LzIwMjYuLi5VU0QuSAEAAABLVQAAAwAAAAAA0XQoa2/f3gh8lH1ub9/eCDxD</t>
  </si>
  <si>
    <t>SVEuTkFTREFROk1TRlQuSVFfUkVTVFJVQ1RVUkVfU1VQUExFLjk5Mi4xMS8wNy8yMDI2Li4uVVNELkgBAAAAS1UAAAMAAAAAANF0KGtv394IfJR9bm/f3gg4Q0lRLk5BU0RBUTpNU0ZULklRX1NUT0NLX0JBU0VEX0FULjk5MC4xMS8wNy8yMDI2Li4uVVNELkgBAAAAS1UAAAMAAAAAANF0KGtv394ILah9bm/f3ggzQ0lRLk5BU0RBUTpNU0ZULklRX0NIQU5HRV9BUi45OTAuMTEvMDcvMjAyNi4uLlVTRC5IAQAAAEtVAAACAAAABDE0NTYBCAAAAAUAAAABMQEAAAAKMTg1MTUyNTkxMgMAAAADMTYwAgAAAAQyMDE4BAAAAAEwBwAAAAk3LzExLzIwMjYIAAAACTYvMzAvMjAxNQkAAAABMNF0KGtv394ILah9bm/f3ggxQ0lRLk5BU0RBUTpNU0ZULklRX05JX05PUk0uOTkzLjExLzA3LzIwMjYuLi5VU0QuSAEAAABLVQAAAgAAAAkyMTI0Ni44NzUBCAAAAAUAAAABMQEAAAAKMjA0NzI3MTc0NQMAAAADMTYwAgAAAAQ0Mzc4BAAAAAEwBwAAAAk3LzExLzIwMjYIAAAACTYvMzAvMjAxOAkAAAABMNF0KGtv394IwWx9bm/f3ggzQ0lRLk5BU0RBUTpNU0ZULklRX0RBX0VCSVREQS45OTEuMTEvMDcvMjAyNi4uLlVTRC5IAQAAAEtVAAACAAAABDU4NzgBCAAAAAUAAAABMQEAAAAKMTg5ODQ4OTQ3MAMAAAADMTYwAgAAAAQyMjA2BAAAAAEwBwAAAAk3LzExLzIwMjYIAAAACTYvMzAvMjAxNgkAAAABMNF0KGtv394IwWx9bm/f</t>
  </si>
  <si>
    <t>3ghLQ0lRLk5BU0RBUTpNU0ZULklRX0VCSVREQV9FUV9JTkNfRVhDTF9PUEVSX0xFQVNFX0FESi45OTMuMTEvMDcvMjAyNi4uLlVTRC5IAQAAAEtVAAACAAAABTQ0OTU4AQgAAAAFAAAAATEBAAAACjIwNDcyNzE3NDUDAAAAAzE2MAIAAAAFNDg5ODcEAAAAATAHAAAACTcvMTEvMjAyNggAAAAJNi8zMC8yMDE4CQAAAAEw0XQoa2/f3gjBbH1ub9/eCDBDSVEuTkFTREFROk1TRlQuSVFfRUJJVEEuMjAwMC4xMS8wNy8yMDI2Li4uVVNELkgBAAAAS1UAAAIAAAAGMTU0MTU3AQgAAAAFAAAAATEBAAAACy0xODkzMjk4OTk1AwAAAAMxNjACAAAABjEwMDY4OQQAAAABMAcAAAAJNy8xMS8yMDI2CAAAAAkzLzMxLzIwMjYJAAAAATDRdChrb9/eCMFsfW5v394IMUNJUS5OQVNEQVE6TVNGVC5JUV9FQklUREFSLjk5My4xMS8wNy8yMDI2Li4uVVNELkgBAAAAS1UAAAIAAAAFNDY1NDMBCAAAAAUAAAABMQEAAAAKMjA0NzI3MTc0NQMAAAADMTYwAgAAAAUyMTY3NAQAAAABMAcAAAAJNy8xMS8yMDI2CAAAAAk2LzMwLzIwMTgJAAAAATDRdChrb9/eCHyUfW5v394INkNJUS5OQVNEQVE6TVNGVC5JUV9FQklUREFfQ0FQRVguOTkwLjExLzA3LzIwMjYuLi5VU0QuSAEAAABLVQAAAgAAAAUyNzYyOAEIAAAABQAAAAExAQAAAAoxODUxNTI1OTEyAwAAAAMxNjACAAAABTM1Mzc5BAAAAAEwBwAAAAk3LzExLzIwMjYIAAAACTYvMzAv</t>
  </si>
  <si>
    <t>MjAxNQkAAAABMNF0KGtv394IwWx9bm/f3gg7Q0lRLk5BU0RBUTpNU0ZULklRX1NQRUNJQUxfRElWX1NIQVJFLjk5Mi4xMS8wNy8yMDI2Li4uVVNELkgBAAAAS1UAAAMAAAAAANF0KGtv394IwWx9bm/f3gg3Q0lRLk5BU0RBUTpNU0ZULklRX05JX0FWQUlMX0lOQ0wuOTkyLjExLzA3LzIwMjYuLi5VU0QuSAEAAABLVQAAAgAAAAUyNTQ4OQEIAAAABQAAAAExAQAAAAoxOTczMzgwOTUxAwAAAAMxNjACAAAAAjE2BAAAAAEwBwAAAAk3LzExLzIwMjYIAAAACTYvMzAvMjAxNwkAAAABMNF0KGtv394IwWx9bm/f3gg4Q0lRLk5BU0RBUTpNU0ZULklRX0JBU0lDX0VQU19JTkNMLjk5My4xMS8wNy8yMDI2Li4uVVNELkgBAAAAS1UAAAIAAAAIMi4xNTIwNzcBCAAAAAUAAAABMQEAAAAKMjA0NzI3MTc0NQMAAAADMTYwAgAAAAE5BAAAAAEwBwAAAAk3LzExLzIwMjYIAAAACTYvMzAvMjAxOAkAAAABMNF0KGtv394IwWx9bm/f3ghOQ0lRLk5BU0RBUTpNU0ZULklRX0RJU1RSSUJVVEFCTEVfQ0FTSF9QRVJfU0hBUkVfRElMVVRFRC45OTAuMTEvMDcvMjAyNi4uLlVTRC5IAQAAAEtVAAADAAAAAADRdChrb9/eCMFsfW5v394IN0NJUS5OQVNEQVE6TVNGVC5JUV9MRUdBTF9TRVRUTEUuMjAwMC4xMS8wNy8yMDI2Li4uVVNELkgBAAAAS1UAAAMAAAAAANF0KGtv394I/zB9bm/f3ggxQ0lRLk5BU0RBUTpNU0ZULklRX0lOQ19U</t>
  </si>
  <si>
    <t>QVguOTkwLjExLzA3LzIwMjYuLi5VU0QuSAEAAABLVQAAAgAAAAQ2MzE0AQgAAAAFAAAAATEBAAAACjE4NTE1MjU5MTIDAAAAAzE2MAIAAAACNzUEAAAAATAHAAAACTcvMTEvMjAyNggAAAAJNi8zMC8yMDE1CQAAAAEw0XQoa2/f3gj/MH1ub9/eCCxDSVEuTkFTREFROk1TRlQuSVFfRE8uOTkxLjExLzA3LzIwMjYuLi5VU0QuSAEAAABLVQAAAwAAAAAA0XQoa2/f3gj/MH1ub9/eCDRDSVEuTkFTREFROk1TRlQuSVFfTklfQ09NUEFOWS45OTEuMTEvMDcvMjAyNi4uLlVTRC5IAQAAAEtVAAACAAAABTIwNTM5AQgAAAAFAAAAATEBAAAACjE4OTg0ODk0NzADAAAAAzE2MAIAAAAFNDE1NzEEAAAAATAHAAAACTcvMTEvMjAyNggAAAAJNi8zMC8yMDE2CQAAAAEw0XQoa2/f3gj/MH1ub9/eCCxDSVEuTkFTREFROk1TRlQuSVFfTkkuOTkxLjExLzA3LzIwMjYuLi5VU0QuSAEAAABLVQAAAgAAAAUyMDUzOQEIAAAABQAAAAExAQAAAAoxODk4NDg5NDcwAwAAAAMxNjACAAAAAjE1BAAAAAEwBwAAAAk3LzExLzIwMjYIAAAACTYvMzAvMjAxNgkAAAABMNF0KGtv394I/zB9bm/f3gg4Q0lRLk5BU0RBUTpNU0ZULklRX0NVUlJFTkNZX0dBSU4uMjAwMC4xMS8wNy8yMDI2Li4uVVNELkgBAAAAS1UAAAIAAAAFLTE0NDEBCAAAAAUAAAABMQEAAAALLTE4OTMyOTg5OTUDAAAAAzE2MAIAAAACMzgEAAAAATAHAAAACTcvMTEvMjAy</t>
  </si>
  <si>
    <t>NggAAAAJMy8zMS8yMDI2CQAAAAEw0XQoa2/f3gj/MH1ub9/eCDVDSVEuTkFTREFROk1TRlQuSVFfUkVTVFJVQ1RVUkUuOTkwLjExLzA3LzIwMjYuLi5VU0QuSAEAAABLVQAAAgAAAAUtMjEwMAEIAAAABQAAAAExAQAAAAoxODUxNTI1OTEyAwAAAAMxNjACAAAAAjk4BAAAAAEwBwAAAAk3LzExLzIwMjYIAAAACTYvMzAvMjAxNQkAAAABMNF0KGtv394I/zB9bm/f3gg3Q0lRLk5BU0RBUTpNU0ZULklRX0lNUEFJUk1FTlRfR1cuOTkwLjExLzA3LzIwMjYuLi5VU0QuSAEAAABLVQAAAgAAAAUtNTEwMAEIAAAABQAAAAExAQAAAAoxODUxNTI1OTEyAwAAAAMxNjACAAAAAzIwOQQAAAABMAcAAAAJNy8xMS8yMDI2CAAAAAk2LzMwLzIwMTUJAAAAATDRdChrb9/eCP8wfW5v394IL0NJUS5OQVNEQVE6TVNGVC5JUV9JUFJELjIwMDAuMTEvMDcvMjAyNi4uLlVTRC5IAQAAAEtVAAADAAAAAADRdChrb9/eCP8wfW5v394IO0NJUS5OQVNEQVE6TVNGVC5JUV9TVE9DS19CQVNFRF9PVEhFUi45OTEuMTEvMDcvMjAyNi4uLlVTRC5IAQAAAEtVAAACAAAABDI2NjgBCAAAAAUAAAABMQEAAAAKMTg5ODQ4OTQ3MAMAAAADMTYwAgAAAAUyMjY3NgQAAAABMAcAAAAJNy8xMS8yMDI2CAAAAAk2LzMwLzIwMTYJAAAAATDRdChrb9/eCP8wfW5v394INUNJUS5OQVNEQVE6TVNGVC5JUV9JTlNfRElWX1JFVi45OTEuMTEvMDcvMjAyNi4u</t>
  </si>
  <si>
    <t>LlVTRC5IAQAAAEtVAAADAAAAAADRdChrb9/eCKwJfW5v394IO0NJUS5OQVNEQVE6TVNGVC5JUV9ORVRfUkVOVEFMX0VYUF9GTi45OTIuMTEvMDcvMjAyNi4uLlVTRC5IAQAAAEtVAAACAAAABDE0MTIBCAAAAAUAAAABMQEAAAAKMTk3MzM4MDk1MQMAAAADMTYwAgAAAAQzMTcwBAAAAAEwBwAAAAk3LzExLzIwMjYIAAAACTYvMzAvMjAxNwkAAAABMNF0KGtv394IrAl9bm/f3gg2Q0lRLk5BU0RBUTpNU0ZULklRX0VCSVREQV9DQVBFWC45OTEuMTEvMDcvMjAyNi4uLlVTRC5IAQAAAEtVAAACAAAABTI0NzIzAQgAAAAFAAAAATEBAAAACjE4OTg0ODk0NzADAAAAAzE2MAIAAAAFMzUzNzkEAAAAATAHAAAACTcvMTEvMjAyNggAAAAJNi8zMC8yMDE2CQAAAAEw0XQoa2/f3gj/MH1ub9/eCDhDSVEuTkFTREFROk1TRlQuSVFfRElMVVRfRVBTX05PUk0uOTkzLjExLzA3LzIwMjYuLi5VU0QuSAEAAABLVQAAAgAAAAgyLjcyNjA1NQEIAAAABQAAAAExAQAAAAoyMDQ3MjcxNzQ1AwAAAAMxNjACAAAABDQzODAEAAAAATAHAAAACTcvMTEvMjAyNggAAAAJNi8zMC8yMDE4CQAAAAEw0XQoa2/f3gj/MH1ub9/eCDtDSVEuTkFTREFROk1TRlQuSVFfU1BFQ0lBTF9ESVZfU0hBUkUuOTkzLjExLzA3LzIwMjYuLi5VU0QuSAEAAABLVQAAAwAAAAAA0XQoa2/f3gj/MH1ub9/eCDRDSVEuTkFTREFROk1TRlQuSVFfTklfQ09NUEFO</t>
  </si>
  <si>
    <t>WS45OTIuMTEvMDcvMjAyNi4uLlVTRC5IAQAAAEtVAAACAAAABTI1NDg5AQgAAAAFAAAAATEBAAAACjE5NzMzODA5NTEDAAAAAzE2MAIAAAAFNDE1NzEEAAAAATAHAAAACTcvMTEvMjAyNggAAAAJNi8zMC8yMDE3CQAAAAEw0XQoa2/f3gisCX1ub9/eCCxDSVEuTkFTREFROk1TRlQuSVFfTkkuOTkzLjExLzA3LzIwMjYuLi5VU0QuSAEAAABLVQAAAgAAAAUxNjU3MQEIAAAABQAAAAExAQAAAAoyMDQ3MjcxNzQ1AwAAAAMxNjACAAAAAjE1BAAAAAEwBwAAAAk3LzExLzIwMjYIAAAACTYvMzAvMjAxOAkAAAABMNF0KGtv394IrAl9bm/f3gg3Q0lRLk5BU0RBUTpNU0ZULklRX05JX0FWQUlMX0lOQ0wuOTkzLjExLzA3LzIwMjYuLi5VU0QuSAEAAABLVQAAAgAAAAUxNjU3MQEIAAAABQAAAAExAQAAAAoyMDQ3MjcxNzQ1AwAAAAMxNjACAAAAAjE2BAAAAAEwBwAAAAk3LzExLzIwMjYIAAAACTYvMzAvMjAxOAkAAAABMNF0KGtv394IrAl9bm/f3gg4Q0lRLk5BU0RBUTpNU0ZULklRX0RJTFVUX0VQU19JTkNMLjk5MC4xMS8wNy8yMDI2Li4uVVNELkgBAAAAS1UAAAIAAAAEMS40OAEIAAAABQAAAAExAQAAAAoxODUxNTI1OTEyAwAAAAMxNjACAAAAATgEAAAAATAHAAAACTcvMTEvMjAyNggAAAAJNi8zMC8yMDE1CQAAAAEw0XQoa2/f3gisCX1ub9/eCDVDSVEuTkFTREFROk1TRlQuSVFfR0FJTl9BU1NFVFMuOTkxLjEx</t>
  </si>
  <si>
    <t>LzA3LzIwMjYuLi5VU0QuSAEAAABLVQAAAwAAAAAA0XQoa2/f3gisCX1ub9/eCC5DSVEuTkFTREFROk1TRlQuSVFfSVBSRC45OTIuMTEvMDcvMjAyNi4uLlVTRC5IAQAAAEtVAAADAAAAAADRdChrb9/eCMv1fG5v394INkNJUS5OQVNEQVE6TVNGVC5JUV9MRUdBTF9TRVRUTEUuOTkzLjExLzA3LzIwMjYuLi5VU0QuSAEAAABLVQAAAwAAAAAA0XQoa2/f3gjL9Xxub9/eCDFDSVEuTkFTREFROk1TRlQuSVFfSU5DX1RBWC45OTEuMTEvMDcvMjAyNi4uLlVTRC5IAQAAAEtVAAACAAAABDUxMDABCAAAAAUAAAABMQEAAAAKMTg5ODQ4OTQ3MAMAAAADMTYwAgAAAAI3NQQAAAABMAcAAAAJNy8xMS8yMDI2CAAAAAk2LzMwLzIwMTYJAAAAATDRdChrb9/eCMv1fG5v394ILENJUS5OQVNEQVE6TVNGVC5JUV9ETy45OTIuMTEvMDcvMjAyNi4uLlVTRC5IAQAAAEtVAAADAAAAAADRdChrb9/eCKwJfW5v394IN0NJUS5OQVNEQVE6TVNGVC5JUV9JTlRFUkVTVF9FWFAuMjAwMC4xMS8wNy8yMDI2Li4uVVNELkgBAAAAS1UAAAIAAAAFLTI4NTkBCAAAAAUAAAABMQEAAAALLTE4OTMyOTg5OTUDAAAAAzE2MAIAAAACODIEAAAAATAHAAAACTcvMTEvMjAyNggAAAAJMy8zMS8yMDI2CQAAAAEw0XQoa2/f3gisCX1ub9/eCDtDSVEuTkFTREFROk1TRlQuSVFfTkVUX0lOVEVSRVNUX0VYUC4yMDAwLjExLzA3LzIwMjYuLi5VU0QuSAEA</t>
  </si>
  <si>
    <t>AABLVQAAAgAAAAM0NTYBCAAAAAUAAAABMQEAAAALLTE4OTMyOTg5OTUDAAAAAzE2MAIAAAADMzY4BAAAAAEwBwAAAAk3LzExLzIwMjYIAAAACTMvMzEvMjAyNgkAAAABMNF0KGtv394IUM58bm/f3ghCQ0lRLk5BU0RBUTpNU0ZULklRX09USEVSX05PTl9PUEVSX0VYUF9TVVBQTC45OTAuMTEvMDcvMjAyNi4uLlVTRC5IAQAAAEtVAAACAAAAAzE0MgEIAAAABQAAAAExAQAAAAoxODUxNTI1OTEyAwAAAAMxNjACAAAAAjg1BAAAAAEwBwAAAAk3LzExLzIwMjYIAAAACTYvMzAvMjAxNQkAAAABMNF0KGtv394IUM58bm/f3gg1Q0lRLk5BU0RBUTpNU0ZULklRX1JFU1RSVUNUVVJFLjk5MS4xMS8wNy8yMDI2Li4uVVNELkgBAAAAS1UAAAIAAAAELTQ4MAEIAAAABQAAAAExAQAAAAoxODk4NDg5NDcwAwAAAAMxNjACAAAAAjk4BAAAAAEwBwAAAAk3LzExLzIwMjYIAAAACTYvMzAvMjAxNgkAAAABMNF0KGtv394IUM58bm/f3gg3Q0lRLk5BU0RBUTpNU0ZULklRX0lNUEFJUk1FTlRfR1cuOTkxLjExLzA3LzIwMjYuLi5VU0QuSAEAAABLVQAAAwAAAAAA0XQoa2/f3gjL9Xxub9/eCDBDSVEuTkFTREFROk1TRlQuSVFfUkRfRVhQLjk5MS4xMS8wNy8yMDI2Li4uVVNELkgBAAAAS1UAAAIAAAAFMTE5ODgBCAAAAAUAAAABMQEAAAAKMTg5ODQ4OTQ3MAMAAAADMTYwAgAAAAMxMDAEAAAAATAHAAAACTcvMTEvMjAyNggAAAAJ</t>
  </si>
  <si>
    <t>Ni8zMC8yMDE2CQAAAAEw0XQoa2/f3gjL9Xxub9/eCC9DSVEuTkFTREFROk1TRlQuSVFfQ09HUy4yMDAwLjExLzA3LzIwMjYuLi5VU0QuSAEAAABLVQAAAgAAAAYxMDA4NjMBCAAAAAUAAAABMQEAAAALLTE4OTMyOTg5OTUDAAAAAzE2MAIAAAACMzQEAAAAATAHAAAACTcvMTEvMjAyNggAAAAJMy8zMS8yMDI2CQAAAAEw0XQoa2/f3ghQznxub9/eCDpDSVEuTkFTREFROk1TRlQuSVFfRklOX0RJVl9JTlRfRVhQLjIwMDAuMTEvMDcvMjAyNi4uLlVTRC5IAQAAAEtVAAADAAAAAADRdChrb9/eCFDOfG5v394IN0NJUS5OQVNEQVE6TVNGVC5JUV9FWFBMT1JFX0RSSUxMLjk5My4xMS8wNy8yMDI2Li4uVVNELkgBAAAAS1UAAAMAAAAAANF0KGtv394IUM58bm/f3gg1Q0lRLk5BU0RBUTpNU0ZULklRX0lOVF9JTlZfSU5DLjk5Mi4xMS8wNy8yMDI2Li4uVVNELkgBAAAAS1UAAAMAAAAAANF0KGtv394IUM58bm/f3gg1Q0lRLk5BU0RBUTpNU0ZULklRX0ZJTl9ESVZfUkVWLjk5My4xMS8wNy8yMDI2Li4uVVNELkgBAAAAS1UAAAMAAAAAANF0KGtv394IUM58bm/f3gg1Q0lRLk5BU0RBUTpNU0ZULklRX0lOVF9JTlZfSU5DLjk5MS4xMS8wNy8yMDI2Li4uVVNELkgBAAAAS1UAAAMAAAAAANF0KGtv394IZLl8bm/f3ghCQ0lRLk5BU0RBUTpNU0ZULklRX09USEVSX05PTl9PUEVSX0VYUF9TVVBQTC45OTIuMTEvMDcvMjAy</t>
  </si>
  <si>
    <t>Ni4uLlVTRC5IAQAAAEtVAAACAAAABC0xMTYBCAAAAAUAAAABMQEAAAAKMTk3MzM4MDk1MQMAAAADMTYwAgAAAAI4NQQAAAABMAcAAAAJNy8xMS8yMDI2CAAAAAk2LzMwLzIwMTcJAAAAATDRdChrb9/eCGS5fG5v394INUNJUS5OQVNEQVE6TVNGVC5JUV9SRVNUUlVDVFVSRS45OTMuMTEvMDcvMjAyNi4uLlVTRC5IAQAAAEtVAAADAAAAAADRdChrb9/eCGS5fG5v394IOUNJUS5OQVNEQVE6TVNGVC5JUV9QUk9WX0JBRF9ERUJUUy4yMDAwLjExLzA3LzIwMjYuLi5VU0QuSAEAAABLVQAAAwAAAAAA0XQoa2/f3ghkuXxub9/eCDtDSVEuTkFTREFROk1TRlQuSVFfVE9UQUxfT1RIRVJfT1BFUi4yMDAwLjExLzA3LzIwMjYuLi5VU0QuSAEAAABLVQAAAgAAAAU2ODQ1MwEIAAAABQAAAAExAQAAAAstMTg5MzI5ODk5NQMAAAADMTYwAgAAAAMzODAEAAAAATAHAAAACTcvMTEvMjAyNggAAAAJMy8zMS8yMDI2CQAAAAEw0XQoa2/f3ghkuXxub9/eCDZDSVEuTkFTREFROk1TRlQuSVFfSU5TX0RJVl9SRVYuMjAwMC4xMS8wNy8yMDI2Li4uVVNELkgBAAAAS1UAAAMAAAAAANF0KGtv394IbHx8bm/f3gguQ0lRLk5BU0RBUTpNU0ZULklRX0NPR1MuOTkzLjExLzA3LzIwMjYuLi5VU0QuSAEAAABLVQAAAgAAAAUzODM1MwEIAAAABQAAAAExAQAAAAoyMDQ3MjcxNzQ1AwAAAAMxNjACAAAAAjM0BAAAAAEwBwAAAAk3LzExLzIw</t>
  </si>
  <si>
    <t>MjYIAAAACTYvMzAvMjAxOAkAAAABMNF0KGtv394IbHx8bm/f3gguQ0lRLk5BU0RBUTpNU0ZULklRX0NPR1MuOTkxLjExLzA3LzIwMjYuLi5VU0QuSAEAAABLVQAAAgAAAAUzMjc4MAEIAAAABQAAAAExAQAAAAoxODk4NDg5NDcwAwAAAAMxNjACAAAAAjM0BAAAAAEwBwAAAAk3LzExLzIwMjYIAAAACTYvMzAvMjAxNgkAAAABMNF0KGtv394IbHx8bm/f3gg4Q0lRLk5BU0RBUTpNU0ZULklRX0VYUExPUkVfRFJJTEwuMjAwMC4xMS8wNy8yMDI2Li4uVVNELkgBAAAAS1UAAAMAAAAAANF0KGtv394IbHx8bm/f3gg7Q0lRLk5BU0RBUTpNU0ZULklRX05FVF9SRU5UQUxfRVhQX0ZOLjk5My4xMS8wNy8yMDI2Li4uVVNELkgBAAAAS1UAAAIAAAAEMTU4NQEIAAAABQAAAAExAQAAAAoyMDQ3MjcxNzQ1AwAAAAMxNjACAAAABDMxNzAEAAAAATAHAAAACTcvMTEvMjAyNggAAAAJNi8zMC8yMDE4CQAAAAEw0XQoa2/f3ghkuXxub9/eCDlDSVEuTkFTREFROk1TRlQuSVFfSU5URVJFU1RfSU5DT01FLjk5MC4xMS8wNy8yMDI2Li4uVVNELkgBAAAAS1UAAAIAAAADNzY2AQgAAAAFAAAAATEBAAAACjE4NTE1MjU5MTIDAAAAAzE2MAIAAAADMjEwBAAAAAEwBwAAAAk3LzExLzIwMjYIAAAACTYvMzAvMjAxNQkAAAABMNF0KGtv394IbHx8bm/f3gg2Q0lRLk5BU0RBUTpNU0ZULklRX0VCSVREQV9DQVBFWC45OTIuMTEvMDcvMjAy</t>
  </si>
  <si>
    <t>Ni4uLlVTRC5IAQAAAEtVAAACAAAABTI5MDAyAQgAAAAFAAAAATEBAAAACjE5NzMzODA5NTEDAAAAAzE2MAIAAAAFMzUzNzkEAAAAATAHAAAACTcvMTEvMjAyNggAAAAJNi8zMC8yMDE3CQAAAAEw0XQoa2/f3ghsfHxub9/eCEJDSVEuTkFTREFROk1TRlQuSVFfT1RIRVJfTk9OX09QRVJfRVhQX1NVUFBMLjk5MS4xMS8wNy8yMDI2Li4uVVNELkgBAAAAS1UAAAIAAAAELTIzOQEIAAAABQAAAAExAQAAAAoxODk4NDg5NDcwAwAAAAMxNjACAAAAAjg1BAAAAAEwBwAAAAk3LzExLzIwMjYIAAAACTYvMzAvMjAxNgkAAAABMNF0KGtv394IbHx8bm/f3gg1Q0lRLk5BU0RBUTpNU0ZULklRX1JFU1RSVUNUVVJFLjk5Mi4xMS8wNy8yMDI2Li4uVVNELkgBAAAAS1UAAAIAAAAELTMwNgEIAAAABQAAAAExAQAAAAoxOTczMzgwOTUxAwAAAAMxNjACAAAAAjk4BAAAAAEwBwAAAAk3LzExLzIwMjYIAAAACTYvMzAvMjAxNwkAAAABMNF0KGtv394IbHx8bm/f3gg3Q0lRLk5BU0RBUTpNU0ZULklRX0lNUEFJUk1FTlRfR1cuOTkyLjExLzA3LzIwMjYuLi5VU0QuSAEAAABLVQAAAwAAAAAA0XQoa2/f3ghsfHxub9/eCDVDSVEuTkFTREFROk1TRlQuSVFfR0FJTl9BU1NFVFMuOTkzLjExLzA3LzIwMjYuLi5VU0QuSAEAAABLVQAAAwAAAAAA0XQoa2/f3ghsfHxub9/eCC5DSVEuTkFTREFROk1TRlQuSVFfSVBSRC45OTMuMTEvMDcv</t>
  </si>
  <si>
    <t>MjAyNi4uLlVTRC5IAQAAAEtVAAADAAAAAADRdChrb9/eCGx8fG5v394IPUNJUS5OQVNEQVE6TVNGVC5JUV9JTlRFUkVTVF9JTlZFU1RfSU5DLjk5MC4xMS8wNy8yMDI2Li4uVVNELkgBAAAAS1UAAAIAAAADNzY2AQgAAAAFAAAAATEBAAAACjE4NTE1MjU5MTIDAAAAAzE2MAIAAAACNjUEAAAAATAHAAAACTcvMTEvMjAyNggAAAAJNi8zMC8yMDE1CQAAAAEw0XQoa2/f3ghsfHxub9/eCDRDSVEuTkFTREFROk1TRlQuSVFfSU5DX0VRVUlUWS45OTEuMTEvMDcvMjAyNi4uLlVTRC5IAQAAAEtVAAADAAAAAADRdChrb9/eCGx8fG5v394ILENJUS5OQVNEQVE6TVNGVC5JUV9HUC45OTAuMTEvMDcvMjAyNi4uLlVTRC5IAQAAAEtVAAACAAAABTYwNTQyAQgAAAAFAAAAATEBAAAACjE4NTE1MjU5MTIDAAAAAzE2MAIAAAACMTAEAAAAATAHAAAACTcvMTEvMjAyNggAAAAJNi8zMC8yMDE1CQAAAAEw0XQoa2/f3ghsfHxub9/eCCxDSVEuTkFTREFROk1TRlQuSVFfR1AuOTkxLjExLzA3LzIwMjYuLi5VU0QuSAEAAABLVQAAAgAAAAU1ODM3NAEIAAAABQAAAAExAQAAAAoxODk4NDg5NDcwAwAAAAMxNjACAAAAAjEwBAAAAAEwBwAAAAk3LzExLzIwMjYIAAAACTYvMzAvMjAxNgkAAAABMNF0KGtv394IYUB8bm/f3gguQ0lRLk5BU0RBUTpNU0ZULklRX0NPR1MuOTkyLjExLzA3LzIwMjYuLi5VU0QuSAEAAABLVQAAAgAAAAUz</t>
  </si>
  <si>
    <t>NDI2MQEIAAAABQAAAAExAQAAAAoxOTczMzgwOTUxAwAAAAMxNjACAAAAAjM0BAAAAAEwBwAAAAk3LzExLzIwMjYIAAAACTYvMzAvMjAxNwkAAAABMNF0KGtv394IYUB8bm/f3ggyQ0lRLk5BU0RBUTpNU0ZULklRX0VCVF9FWENMLjk5MS4xMS8wNy8yMDI2Li4uVVNELkgBAAAAS1UAAAIAAAAFMjYxMTIBCAAAAAUAAAABMQEAAAAKMTg5ODQ4OTQ3MAMAAAADMTYwAgAAAAE0BAAAAAEwBwAAAAk3LzExLzIwMjYIAAAACTYvMzAvMjAxNgkAAAABMNF0KGtv394IYUB8bm/f3ggsQ0lRLk5BU0RBUTpNU0ZULklRX0dQLjk5Mi4xMS8wNy8yMDI2Li4uVVNELkgBAAAAS1UAAAIAAAAFNjIzMTABCAAAAAUAAAABMQEAAAAKMTk3MzM4MDk1MQMAAAADMTYwAgAAAAIxMAQAAAABMAcAAAAJNy8xMS8yMDI2CAAAAAk2LzMwLzIwMTcJAAAAATDRdChrb9/eCGFAfG5v394IOENJUS5OQVNEQVE6TVNGVC5JUV9TVE9DS19CQVNFRF9DRi45OTMuMTEvMDcvMjAyNi4uLlVTRC5IAQAAAEtVAAACAAAABDM5NDABCAAAAAUAAAABMQEAAAAKMjA0NzI3MTc0NQMAAAADMTYwAgAAAAQyMTI3BAAAAAEwBwAAAAk3LzExLzIwMjYIAAAACTYvMzAvMjAxOAkAAAABMNF0KGtv394IbHx8bm/f3gg2Q0lRLk5BU0RBUTpNU0ZULklRX0ZJTl9ESVZfUkVWLjIwMDAuMTEvMDcvMjAyNi4uLlVTRC5IAQAAAEtVAAADAAAAAADRdChrb9/eCGFAfG5v</t>
  </si>
  <si>
    <t>394IN0NJUS5OQVNEQVE6TVNGVC5JUV9NQUlOVF9SRVBBSVIuMjAwMC4xMS8wNy8yMDI2Li4uVVNELkgBAAAAS1UAAAMAAAAAANF0KGtv394IYUB8bm/f3ghAQ0lRLk5BU0RBUTpNU0ZULklRX1RPVEFMX1JFVl9BU19SRVBPUlRFRC4yMDAwLjExLzA3LzIwMjYuLi5VU0QuSAEAAABLVQAAAgAAAAYzMTgyNzMBCAAAAAUAAAABMQEAAAALLTE4OTMyOTg5OTUDAAAAAzE2MAIAAAADMzM5BAAAAAEwBwAAAAk3LzExLzIwMjYIAAAACTMvMzEvMjAyNgkAAAABMNF0KGtv394IYUB8bm/f3gg5Q0lRLk5BU0RBUTpNU0ZULklRX0lOVEVSRVNUX0lOQ09NRS45OTEuMTEvMDcvMjAyNi4uLlVTRC5IAQAAAEtVAAACAAAAAzkwMwEIAAAABQAAAAExAQAAAAoxODk4NDg5NDcwAwAAAAMxNjACAAAAAzIxMAQAAAABMAcAAAAJNy8xMS8yMDI2CAAAAAk2LzMwLzIwMTYJAAAAATDRdChrb9/eCGFAfG5v394IPENJUS5OQVNEQVE6TVNGVC5JUV9DVVJSX0ZPUkVJR05fVEFYRVMuOTkwLjExLzA3LzIwMjYuLi5VU0QuSAEAAABLVQAAAgAAAAQyMDY1AQgAAAAFAAAAATEBAAAACjE4NTE1MjU5MTIDAAAAAzE2MAIAAAAEMzAzMAQAAAABMAcAAAAJNy8xMS8yMDI2CAAAAAk2LzMwLzIwMTUJAAAAATDRdChrb9/eCGFAfG5v394IQENJUS5OQVNEQVE6TVNGVC5JUV9FQklUREFfRVFfSU5DX0VYQ0xfU0JDLjk5Mi4xMS8wNy8yMDI2Li4u</t>
  </si>
  <si>
    <t>VVNELkgBAAAAS1UAAAIAAAAFNDAzOTcBCAAAAAUAAAABMQEAAAAKMTk3MzM4MDk1MQMAAAADMTYwAgAAAAUyNDEzMQQAAAABMAcAAAAJNy8xMS8yMDI2CAAAAAk2LzMwLzIwMTcJAAAAATDRdChrb9/eCGFAfG5v394IQUNJUS5OQVNEQVE6TVNGVC5JUV9MRUFTRV9BREpVU1RNRU5UX0VCSVREQS45OTIuMTEvMDcvMjAyNi4uLlVTRC5IAQAAAEtVAAACAAAABDE0MTIA0XQoa2/f3ghhQHxub9/eCDVDSVEuTkFTREFROk1TRlQuSVFfRUJJVF9FUV9JTkMuOTkwLjExLzA3LzIwMjYuLi5VU0QuSAEAAABLVQAAAgAAAAUyODE3MgEIAAAABQAAAAExAQAAAAoxODUxNTI1OTEyAwAAAAMxNjACAAAABTIxNjc1BAAAAAEwBwAAAAk3LzExLzIwMjYIAAAACTYvMzAvMjAxNQkAAAABMNF0KGtv394IYUB8bm/f3ggxQ0lRLk5BU0RBUTpNU0ZULklRX0VCSVREQVIuOTkwLjExLzA3LzIwMjYuLi5VU0QuSAEAAABLVQAAAgAAAAUzNDU2MQEIAAAABQAAAAExAQAAAAoxODUxNTI1OTEyAwAAAAMxNjACAAAABTIxNjc0BAAAAAEwBwAAAAk3LzExLzIwMjYIAAAACTYvMzAvMjAxNQkAAAABMNF0KGtv394IYUB8bm/f3gg2Q0lRLk5BU0RBUTpNU0ZULklRX0lOVEVSRVNUX0VYUC45OTMuMTEvMDcvMjAyNi4uLlVTRC5IAQAAAEtVAAACAAAABS0yNzMzAQgAAAAFAAAAATEBAAAACjIwNDcyNzE3NDUDAAAAAzE2MAIAAAACODIEAAAA</t>
  </si>
  <si>
    <t>ATAHAAAACTcvMTEvMjAyNggAAAAJNi8zMC8yMDE4CQAAAAEw0XQoa2/f3ghhQHxub9/eCDJDSVEuTkFTREFROk1TRlQuSVFfREFfU1VQUEwuOTkzLjExLzA3LzIwMjYuLi5VU0QuSAEAAABLVQAAAwAAAAAA0XQoa2/f3gjKA3xub9/eCDlDSVEuTkFTREFROk1TRlQuSVFfR0FJTl9JTlZFU1RfUkVWLjk5Mi4xMS8wNy8yMDI2Li4uVVNELkgBAAAAS1UAAAMAAAAAANF0KGtv394IygN8bm/f3gguQ0lRLk5BU0RBUTpNU0ZULklRX0NPR1MuOTkwLjExLzA3LzIwMjYuLi5VU0QuSAEAAABLVQAAAgAAAAUzMzAzOAEIAAAABQAAAAExAQAAAAoxODUxNTI1OTEyAwAAAAMxNjACAAAAAjM0BAAAAAEwBwAAAAk3LzExLzIwMjYIAAAACTYvMzAvMjAxNQkAAAABMNF0KGtv394IygN8bm/f3gg3Q0lRLk5BU0RBUTpNU0ZULklRX1BSRV9PUEVOX0NPU1QuOTkyLjExLzA3LzIwMjYuLi5VU0QuSAEAAABLVQAAAwAAAAAA0XQoa2/f3gjKA3xub9/eCDZDSVEuTkFTREFROk1TRlQuSVFfSU5URVJFU1RfRVhQLjk5Mi4xMS8wNy8yMDI2Li4uVVNELkgBAAAAS1UAAAIAAAAFLTIyMjIBCAAAAAUAAAABMQEAAAAKMTk3MzM4MDk1MQMAAAADMTYwAgAAAAI4MgQAAAABMAcAAAAJNy8xMS8yMDI2CAAAAAk2LzMwLzIwMTcJAAAAATDRdChrb9/eCGFAfG5v394INUNJUS5OQVNEQVE6TVNGVC5JUV9GSU5fRElWX1JFVi45OTAuMTEvMDcv</t>
  </si>
  <si>
    <t>MjAyNi4uLlVTRC5IAQAAAEtVAAADAAAAAADRdChrb9/eCMoDfG5v394IOUNJUS5OQVNEQVE6TVNGVC5JUV9TVE9DS19CQVNFRF9TR0EuOTkwLjExLzA3LzIwMjYuLi5VU0QuSAEAAABLVQAAAwAAAAAA0XQoa2/f3gjKA3xub9/eCDZDSVEuTkFTREFROk1TRlQuSVFfSU5UX0lOVl9JTkMuMjAwMC4xMS8wNy8yMDI2Li4uVVNELkgBAAAAS1UAAAMAAAAAANF0KGtv394IygN8bm/f3gg5Q0lRLk5BU0RBUTpNU0ZULklRX0ZJTl9ESVZfSU5UX0VYUC45OTMuMTEvMDcvMjAyNi4uLlVTRC5IAQAAAEtVAAADAAAAAADRdChrb9/eCMoDfG5v394IPENJUS5OQVNEQVE6TVNGVC5JUV9DVVJSX0ZPUkVJR05fVEFYRVMuOTkxLjExLzA3LzIwMjYuLi5VU0QuSAEAAABLVQAAAgAAAAQxOTQwAQgAAAAFAAAAATEBAAAACjE4OTg0ODk0NzADAAAAAzE2MAIAAAAEMzAzMAQAAAABMAcAAAAJNy8xMS8yMDI2CAAAAAk2LzMwLzIwMTYJAAAAATDRdChrb9/eCMoDfG5v394IRENJUS5OQVNEQVE6TVNGVC5JUV9OT05SRUNVUlJJTkdfSU5DT01FX1RBWEVTLjIwMDAuMTEvMDcvMjAyNi4uLlVTRC5IAQAAAEtVAAADAAAAAADRdChrb9/eCDXte25v394IP0NJUS5OQVNEQVE6TVNGVC5JUV9UT1RBTF9SRVZfQVNfUkVQT1JURUQuOTkyLjExLzA3LzIwMjYuLi5VU0QuSAEAAABLVQAAAgAAAAU5NjU3MQEIAAAABQAAAAExAQAAAAoxOTcz</t>
  </si>
  <si>
    <t>MzgwOTUxAwAAAAMxNjACAAAAAzMzOQQAAAABMAcAAAAJNy8xMS8yMDI2CAAAAAk2LzMwLzIwMTcJAAAAATDRdChrb9/eCMoDfG5v394IQENJUS5OQVNEQVE6TVNGVC5JUV9FQklUREFfRVFfSU5DX0VYQ0xfU0JDLjk5My4xMS8wNy8yMDI2Li4uVVNELkgBAAAAS1UAAAIAAAAFNDg4OTgBCAAAAAUAAAABMQEAAAAKMjA0NzI3MTc0NQMAAAADMTYwAgAAAAUyNDEzMQQAAAABMAcAAAAJNy8xMS8yMDI2CAAAAAk2LzMwLzIwMTgJAAAAATDRdChrb9/eCMoDfG5v394INUNJUS5OQVNEQVE6TVNGVC5JUV9FQklUX0VRX0lOQy45OTEuMTEvMDcvMjAyNi4uLlVTRC5IAQAAAEtVAAACAAAABTI3MTg4AQgAAAAFAAAAATEBAAAACjE4OTg0ODk0NzADAAAAAzE2MAIAAAAFMjE2NzUEAAAAATAHAAAACTcvMTEvMjAyNggAAAAJNi8zMC8yMDE2CQAAAAEw0XQoa2/f3gjKA3xub9/eCDNDSVEuTkFTREFROk1TRlQuSVFfRVBTX05PUk0uMjAwMC4xMS8wNy8yMDI2Li4uVVNELkgBAAAAS1UAAAIAAAAJMTMuMzAyMzIxAQgAAAAFAAAAATEBAAAACy0xODkzMjk4OTk1AwAAAAMxNjACAAAABDQzNzkEAAAAATAHAAAACTcvMTEvMjAyNggAAAAJMy8zMS8yMDI2CQAAAAEw0XQoa2/f3gjKA3xub9/eCDpDSVEuTkFTREFROk1TRlQuSVFfVE9UQUxfT1RIRVJfT1BFUi45OTMuMTEvMDcvMjAyNi4uLlVTRC5IAQAAAEtVAAACAAAABTM2</t>
  </si>
  <si>
    <t>OTQ5AQgAAAAFAAAAATEBAAAACjIwNDcyNzE3NDUDAAAAAzE2MAIAAAADMzgwBAAAAAEwBwAAAAk3LzExLzIwMjYIAAAACTYvMzAvMjAxOAkAAAABMNF0KGtv394IfNl7bm/f3gg1Q0lRLk5BU0RBUTpNU0ZULklRX1NUT0NLX0JBU0VELjk5MC4xMS8wNy8yMDI2Li4uVVNELkgBAAAAS1UAAAMAAAAAANF0KGtv394INe17bm/f3gg0Q0lRLk5BU0RBUTpNU0ZULklRX0lNUEFJUl9PSUwuOTkxLjExLzA3LzIwMjYuLi5VU0QuSAEAAABLVQAAAwAAAAAA0XQoa2/f3gg17Xtub9/eCD5DSVEuTkFTREFROk1TRlQuSVFfSU5URVJFU1RfSU5WRVNUX0lOQy4yMDAwLjExLzA3LzIwMjYuLi5VU0QuSAEAAABLVQAAAgAAAAQzMzE1AQgAAAAFAAAAATEBAAAACy0xODkzMjk4OTk1AwAAAAMxNjACAAAAAjY1BAAAAAEwBwAAAAk3LzExLzIwMjYIAAAACTMvMzEvMjAyNgkAAAABMEOJKGtv394INe17bm/f3gg5Q0lRLk5BU0RBUTpNU0ZULklRX0dBSU5fQVNTRVRTX1JFVi45OTAuMTEvMDcvMjAyNi4uLlVTRC5IAQAAAEtVAAADAAAAAABDiShrb9/eCDXte25v394IOENJUS5OQVNEQVE6TVNGVC5JUV9TVE9DS19CQVNFRF9TTS45OTMuMTEvMDcvMjAyNi4uLlVTRC5IAQAAAEtVAAADAAAAAABDiShrb9/eCHzZe25v394IL0NJUS5OQVNEQVE6TVNGVC5JUV9FQklUQS45OTIuMTEvMDcvMjAyNi4uLlVTRC5IAQAAAEtVAAACAAAA</t>
  </si>
  <si>
    <t>BTMxMDMxAQgAAAAFAAAAATEBAAAACjE5NzMzODA5NTEDAAAAAzE2MAIAAAAGMTAwNjg5BAAAAAEwBwAAAAk3LzExLzIwMjYIAAAACTYvMzAvMjAxNwkAAAABMEOJKGtv394IfNl7bm/f3gg/Q0lRLk5BU0RBUTpNU0ZULklRX1RPVEFMX1JFVl9BU19SRVBPUlRFRC45OTMuMTEvMDcvMjAyNi4uLlVTRC5IAQAAAEtVAAACAAAABjExMDM2MAEIAAAABQAAAAExAQAAAAoyMDQ3MjcxNzQ1AwAAAAMxNjACAAAAAzMzOQQAAAABMAcAAAAJNy8xMS8yMDI2CAAAAAk2LzMwLzIwMTgJAAAAATBDiShrb9/eCHzZe25v394INENJUS5OQVNEQVE6TVNGVC5JUV9ESVZfU0hBUkUuMjAwMC4xMS8wNy8yMDI2Li4uVVNELkgBAAAAS1UAAAIAAAAEMy41NgEIAAAABQAAAAExAQAAAAstMTg5MzI5ODk5NQMAAAADMTYwAgAAAAQzMDU4BAAAAAEwBwAAAAk3LzExLzIwMjYIAAAACTMvMzEvMjAyNgkAAAABMEOJKGtv394IfNl7bm/f3ghDQ0lRLk5BU0RBUTpNU0ZULklRX0RJU1RSSUJVVEFCTEVfQ0FTSF9TSEFSRS4yMDAwLjExLzA3LzIwMjYuLi5VU0QuSAEAAABLVQAAAwAAAAAAQ4koa2/f3gh82Xtub9/eCDhDSVEuTkFTREFROk1TRlQuSVFfRElMVVRfRVBTX05PUk0uOTkwLjExLzA3LzIwMjYuLi5VU0QuSAEAAABLVQAAAgAAAAcyLjEwNjYzAQgAAAAFAAAAATEBAAAACjE4NTE1MjU5MTIDAAAAAzE2MAIAAAAENDM4MAQAAAAB</t>
  </si>
  <si>
    <t>MAcAAAAJNy8xMS8yMDI2CAAAAAk2LzMwLzIwMTUJAAAAATBDiShrb9/eCLjFe25v394INENJUS5OQVNEQVE6TVNGVC5JUV9JTVBBSVJfT0lMLjk5Mi4xMS8wNy8yMDI2Li4uVVNELkgBAAAAS1UAAAMAAAAAAEOJKGtv394IuMV7bm/f3ggsQ0lRLk5BU0RBUTpNU0ZULklRX0dQLjk5My4xMS8wNy8yMDI2Li4uVVNELkgBAAAAS1UAAAIAAAAFNzIwMDcBCAAAAAUAAAABMQEAAAAKMjA0NzI3MTc0NQMAAAADMTYwAgAAAAIxMAQAAAABMAcAAAAJNy8xMS8yMDI2CAAAAAk2LzMwLzIwMTgJAAAAATBDiShrb9/eCLjFe25v394IOENJUS5OQVNEQVE6TVNGVC5JUV9QUk9WX0JBRF9ERUJUUy45OTMuMTEvMDcvMjAyNi4uLlVTRC5IAQAAAEtVAAADAAAAAABDiShrb9/eCLjFe25v394IMkNJUS5OQVNEQVE6TVNGVC5JUV9EQV9TVVBQTC45OTAuMTEvMDcvMjAyNi4uLlVTRC5IAQAAAEtVAAADAAAAAABDiShrb9/eCLjFe25v394IOUNJUS5OQVNEQVE6TVNGVC5JUV9HQUlOX0FTU0VUU19SRVYuOTkxLjExLzA3LzIwMjYuLi5VU0QuSAEAAABLVQAAAwAAAAAAQ4koa2/f3ghmnntub9/eCDlDSVEuTkFTREFROk1TRlQuSVFfT1RIRVJfUkVWX1NVUFBMLjk5MS4xMS8wNy8yMDI2Li4uVVNELkgBAAAAS1UAAAMAAAAAAEOJKGtv394IZp57bm/f3gg2Q0lRLk5BU0RBUTpNU0ZULklRX0ZJTl9ESVZfRVhQLjIwMDAuMTEvMDcv</t>
  </si>
  <si>
    <t>MjAyNi4uLlVTRC5IAQAAAEtVAAADAAAAAABDiShrb9/eCGaee25v394IOENJUS5OQVNEQVE6TVNGVC5JUV9QUk9WX0JBRF9ERUJUUy45OTEuMTEvMDcvMjAyNi4uLlVTRC5IAQAAAEtVAAADAAAAAABDiShrb9/eCGaee25v394IN0NJUS5OQVNEQVE6TVNGVC5JUV9DVVJSRU5DWV9HQUlOLjk5MC4xMS8wNy8yMDI2Li4uVVNELkgBAAAAS1UAAAIAAAAELTQ3OAEIAAAABQAAAAExAQAAAAoxODUxNTI1OTEyAwAAAAMxNjACAAAAAjM4BAAAAAEwBwAAAAk3LzExLzIwMjYIAAAACTYvMzAvMjAxNQkAAAABMEOJKGtv394IZp57bm/f3gg5Q0lRLk5BU0RBUTpNU0ZULklRX0dBSU5fQVNTRVRTX0NGLjIwMDAuMTEvMDcvMjAyNi4uLlVTRC5IAQAAAEtVAAADAAAAAABDiShrb9/eCGaee25v394IQUNJUS5OQVNEQVE6TVNGVC5JUV9ERUZFUlJFRF9GT1JFSUdOX1RBWEVTLjIwMDAuMTEvMDcvMjAyNi4uLlVTRC5IAQAAAEtVAAACAAAAAzI4MQEIAAAABQAAAAExAQAAAAstMTg5MzI5ODk5NQMAAAADMTYwAgAAAAQzMDU1BAAAAAEwBwAAAAk3LzExLzIwMjYIAAAACTMvMzEvMjAyNgkAAAABMEOJKGtv394IZp57bm/f3gg6Q0lRLk5BU0RBUTpNU0ZULklRX0lOVF9FWFBfSU5DTF9DQVAuOTkwLjExLzA3LzIwMjYuLi5VU0QuSAEAAABLVQAAAgAAAAM4MDYBCAAAAAUAAAABMQEAAAAKMTg1MTUyNTkxMgMAAAADMTYwAgAA</t>
  </si>
  <si>
    <t>AAUyMTg2MQQAAAABMAcAAAAJNy8xMS8yMDI2CAAAAAk2LzMwLzIwMTUJAAAAATBDiShrb9/eCGaee25v394IQENJUS5OQVNEQVE6TVNGVC5JUV9FQklUQV9FUV9JTkNfRVhDTF9TQkMuMjAwMC4xMS8wNy8yMDI2Li4uVVNELkgBAAAAS1UAAAIAAAAGMTczNTAxAQgAAAAFAAAAATEBAAAACy0xODkzMjk4OTk1AwAAAAMxNjACAAAABTI0MTMyBAAAAAEwBwAAAAk3LzExLzIwMjYIAAAACTMvMzEvMjAyNgkAAAABMEOJKGtv394IZp57bm/f3gg7Q0lRLk5BU0RBUTpNU0ZULklRX1NQRUNJQUxfRElWX1NIQVJFLjk5MC4xMS8wNy8yMDI2Li4uVVNELkgBAAAAS1UAAAMAAAAAAEOJKGtv394IZp57bm/f3gg4Q0lRLk5BU0RBUTpNU0ZULklRX0RJTFVUX0VQU19OT1JNLjk5MS4xMS8wNy8yMDI2Li4uVVNELkgBAAAAS1UAAAIAAAAHMi4wMzY2OQEIAAAABQAAAAExAQAAAAoxODk4NDg5NDcwAwAAAAMxNjACAAAABDQzODAEAAAAATAHAAAACTcvMTEvMjAyNggAAAAJNi8zMC8yMDE2CQAAAAEwQ4koa2/f3giHiXtub9/eCD9DSVEuTkFTREFROk1TRlQuSVFfTUlOT1JJVFlfSU5URVJFU1RfSVMuMjAwMC4xMS8wNy8yMDI2Li4uVVNELkgBAAAAS1UAAAMAAAAAAEOJKGtv394Ih4l7bm/f3gg5Q0lRLk5BU0RBUTpNU0ZULklRX1BSRUZfRElWX09USEVSLjIwMDAuMTEvMDcvMjAyNi4uLlVTRC5IAQAAAEtVAAADAAAAAABD</t>
  </si>
  <si>
    <t>iShrb9/eCIeJe25v394IOENJUS5OQVNEQVE6TVNGVC5JUV9OSV9BVkFJTF9FWENMLjIwMDAuMTEvMDcvMjAyNi4uLlVTRC5IAQAAAEtVAAACAAAABjEyNTIxNgEIAAAABQAAAAExAQAAAAstMTg5MzI5ODk5NQMAAAADMTYwAgAAAAMzNzkEAAAAATAHAAAACTcvMTEvMjAyNggAAAAJMy8zMS8yMDI2CQAAAAEwQ4koa2/f3giHiXtub9/eCD5DSVEuTkFTREFROk1TRlQuSVFfT1RIRVJfVU5VU1VBTF9TVVBQTC4yMDAwLjExLzA3LzIwMjYuLi5VU0QuSAEAAABLVQAAAwAAAAAAQ4koa2/f3ghmnntub9/eCDJDSVEuTkFTREFROk1TRlQuSVFfREFfU1VQUEwuOTkxLjExLzA3LzIwMjYuLi5VU0QuSAEAAABLVQAAAwAAAAAAQ4koa2/f3gguTXtub9/eCDlDSVEuTkFTREFROk1TRlQuSVFfT1RIRVJfUkVWX1NVUFBMLjk5Mi4xMS8wNy8yMDI2Li4uVVNELkgBAAAAS1UAAAMAAAAAAEOJKGtv394ILk17bm/f3gg1Q0lRLk5BU0RBUTpNU0ZULklRX0lOU19ESVZfRVhQLjk5MC4xMS8wNy8yMDI2Li4uVVNELkgBAAAAS1UAAAMAAAAAAEOJKGtv394ILk17bm/f3gg0Q0lRLk5BU0RBUTpNU0ZULklRX1NHQV9TVVBQTC4yMDAwLjExLzA3LzIwMjYuLi5VU0QuSAEAAABLVQAAAgAAAAUzNDA1OQEIAAAABQAAAAExAQAAAAstMTg5MzI5ODk5NQMAAAADMTYwAgAAAAMxMDIEAAAAATAHAAAACTcvMTEvMjAyNggAAAAJMy8zMS8y</t>
  </si>
  <si>
    <t>MDI2CQAAAAEwQ4koa2/f3gguTXtub9/eCDVDSVEuTkFTREFROk1TRlQuSVFfR0FJTl9BU1NFVFMuOTkwLjExLzA3LzIwMjYuLi5VU0QuSAEAAABLVQAAAwAAAAAAQ4koa2/f3gguTXtub9/eCDRDSVEuTkFTREFROk1TRlQuSVFfRUFSTklOR19DTy45OTIuMTEvMDcvMjAyNi4uLlVTRC5IAQAAAEtVAAACAAAABTI1NDg5AQgAAAAFAAAAATEBAAAACjE5NzMzODA5NTEDAAAAAzE2MAIAAAABNwQAAAABMAcAAAAJNy8xMS8yMDI2CAAAAAk2LzMwLzIwMTcJAAAAATBDiShrb9/eCC5Ne25v394IOUNJUS5OQVNEQVE6TVNGVC5JUV9GSU5fRElWX0lOVF9FWFAuOTkxLjExLzA3LzIwMjYuLi5VU0QuSAEAAABLVQAAAwAAAAAAQ4koa2/f3gguTXtub9/eCDdDSVEuTkFTREFROk1TRlQuSVFfUFJFX09QRU5fQ09TVC45OTMuMTEvMDcvMjAyNi4uLlVTRC5IAQAAAEtVAAADAAAAAABDiShrb9/eCC5Ne25v394INENJUS5OQVNEQVE6TVNGVC5JUV9DT01NT05fRElWLjk5Mi4xMS8wNy8yMDI2Li4uVVNELkgBAAAAS1UAAAIAAAAFMTIwNDAAQ4koa2/f3gguTXtub9/eCDBDSVEuTkFTREFROk1TRlQuSVFfR0FfRVhQLjk5MC4xMS8wNy8yMDI2Li4uVVNELkgBAAAAS1UAAAIAAAAENDYxMQEIAAAABQAAAAExAQAAAAoxODUxNTI1OTEyAwAAAAMxNjACAAAABTIxNTYyBAAAAAEwBwAAAAk3LzExLzIwMjYIAAAACTYvMzAvMjAx</t>
  </si>
  <si>
    <t>NQkAAAABMEOJKGtv394ILk17bm/f3gg/Q0lRLk5BU0RBUTpNU0ZULklRX05FR0FUSVZFX0dXX0FNT1JUX0FULjIwMDAuMTEvMDcvMjAyNi4uLlVTRC5IAQAAAEtVAAADAAAAAABDiShrb9/eCHwze25v394IRENJUS5OQVNEQVE6TVNGVC5JUV9FQVJOSU5HX1BBUkVOVF9FWENMX0VYVFJBLjIwMDAuMTEvMDcvMjAyNi4uLlVTRC5IAQAAAEtVAAACAAAABjEyNTIxNgEIAAAABQAAAAExAQAAAAstMTg5MzI5ODk5NQMAAAADMTYwAgAAAAU0MTU5NgQAAAABMAcAAAAJNy8xMS8yMDI2CAAAAAkzLzMxLzIwMjYJAAAAATBDiShrb9/eCHwze25v394IPkNJUS5OQVNEQVE6TVNGVC5JUV9ERUZFUlJFRF9UQVhFU19UT1RBTC45OTIuMTEvMDcvMjAyNi4uLlVTRC5IAQAAAEtVAAACAAAABC04MjkBCAAAAAUAAAABMQEAAAAKMTk3MzM4MDk1MQMAAAADMTYwAgAAAAUzNTM4NQQAAAABMAcAAAAJNy8xMS8yMDI2CAAAAAk2LzMwLzIwMTcJAAAAATBDiShrb9/eCHwze25v394IOkNJUS5OQVNEQVE6TVNGVC5JUV9JTlRfRVhQX0lOQ0xfQ0FQLjk5MS4xMS8wNy8yMDI2Li4uVVNELkgBAAAAS1UAAAIAAAAEMTMwMQEIAAAABQAAAAExAQAAAAoxODk4NDg5NDcwAwAAAAMxNjACAAAABTIxODYxBAAAAAEwBwAAAAk3LzExLzIwMjYIAAAACTYvMzAvMjAxNgkAAAABMEOJKGtv394IfDN7bm/f3gg4Q0lRLk5BU0RBUTpNU0ZULklR</t>
  </si>
  <si>
    <t>X0VCSVRBX0VYQ0xfU0JDLjk5MC4xMS8wNy8yMDI2Li4uVVNELkgBAAAAS1UAAAIAAAAFMzIwNDYBCAAAAAUAAAABMQEAAAAKMTg1MTUyNTkxMgMAAAADMTYwAgAAAAUyNDEzNgQAAAABMAcAAAAJNy8xMS8yMDI2CAAAAAk2LzMwLzIwMTUJAAAAATBDiShrb9/eCC5Ne25v394IQkNJUS5OQVNEQVE6TVNGVC5JUV9FQklUREFSX0VRX0lOQ19FWENMX1NCQy4yMDAwLjExLzA3LzIwMjYuLi5VU0QuSAEAAABLVQAAAwAAAAAAQ4koa2/f3gj6Hntub9/eCDtDSVEuTkFTREFROk1TRlQuSVFfU1BFQ0lBTF9ESVZfU0hBUkUuOTkxLjExLzA3LzIwMjYuLi5VU0QuSAEAAABLVQAAAwAAAAAAQ4koa2/f3gj6Hntub9/eCDhDSVEuTkFTREFROk1TRlQuSVFfRUJJVERBX0VRX0lOQy4yMDAwLjExLzA3LzIwMjYuLi5VU0QuSAEAAABLVQAAAgAAAAYxOTgyMTIBCAAAAAUAAAABMQEAAAALLTE4OTMyOTg5OTUDAAAAAzE2MAIAAAAFMjE2NzcEAAAAATAHAAAACTcvMTEvMjAyNggAAAAJMy8zMS8yMDI2CQAAAAEwQ4koa2/f3gh8M3tub9/eCDdDSVEuTkFTREFROk1TRlQuSVFfTklfQVZBSUxfSU5DTC45OTAuMTEvMDcvMjAyNi4uLlVTRC5IAQAAAEtVAAACAAAABTEyMTkzAQgAAAAFAAAAATEBAAAACjE4NTE1MjU5MTIDAAAAAzE2MAIAAAACMTYEAAAAATAHAAAACTcvMTEvMjAyNggAAAAJNi8zMC8yMDE1CQAAAAEwQ4koa2/f</t>
  </si>
  <si>
    <t>3gh8M3tub9/eCDhDSVEuTkFTREFROk1TRlQuSVFfQkFTSUNfRVBTX0lOQ0wuOTkxLjExLzA3LzIwMjYuLi5VU0QuSAEAAABLVQAAAgAAAAgyLjU5MTY3MQEIAAAABQAAAAExAQAAAAoxODk4NDg5NDcwAwAAAAMxNjACAAAAATkEAAAAATAHAAAACTcvMTEvMjAyNggAAAAJNi8zMC8yMDE2CQAAAAEwQ4koa2/f3gh8M3tub9/eCDlDSVEuTkFTREFROk1TRlQuSVFfQkFTSUNfRVBTX0VYQ0wuMjAwMC4xMS8wNy8yMDI2Li4uVVNELkgBAAAAS1UAAAIAAAAJMTYuODUyNzU5AQgAAAAFAAAAATEBAAAACy0xODkzMjk4OTk1AwAAAAMxNjACAAAABDMwNjQEAAAAATAHAAAACTcvMTEvMjAyNggAAAAJMy8zMS8yMDI2CQAAAAEwQ4koa2/f3ghUC3tub9/eCDhDSVEuTkFTREFROk1TRlQuSVFfRElMVVRfRVBTX05PUk0uOTkyLjExLzA3LzIwMjYuLi5VU0QuSAEAAABLVQAAAgAAAAgyLjIxOTg5OQEIAAAABQAAAAExAQAAAAoxOTczMzgwOTUxAwAAAAMxNjACAAAABDQzODAEAAAAATAHAAAACTcvMTEvMjAyNggAAAAJNi8zMC8yMDE3CQAAAAEwQ4koa2/f3ghUC3tub9/eCDVDSVEuTkFTREFROk1TRlQuSVFfSU5TX1NFVFRMRS4yMDAwLjExLzA3LzIwMjYuLi5VU0QuSAEAAABLVQAAAwAAAAAAQ4koa2/f3gj6Hntub9/eCC1DSVEuTkFTREFROk1TRlQuSVFfRUJULjk5MC4xMS8wNy8yMDI2Li4uVVNELkgBAAAAS1UAAAIA</t>
  </si>
  <si>
    <t>AAAFMTg1MDcBCAAAAAUAAAABMQEAAAAKMTg1MTUyNTkxMgMAAAADMTYwAgAAAAMxMzkEAAAAATAHAAAACTcvMTEvMjAyNggAAAAJNi8zMC8yMDE1CQAAAAEwQ4koa2/f3gj6Hntub9/eCDRDSVEuTkFTREFROk1TRlQuSVFfRUFSTklOR19DTy45OTEuMTEvMDcvMjAyNi4uLlVTRC5IAQAAAEtVAAACAAAABTIwNTM5AQgAAAAFAAAAATEBAAAACjE4OTg0ODk0NzADAAAAAzE2MAIAAAABNwQAAAABMAcAAAAJNy8xMS8yMDI2CAAAAAk2LzMwLzIwMTYJAAAAATBDiShrb9/eCPoee25v394IOUNJUS5OQVNEQVE6TVNGVC5JUV9FWFRSQV9BQ0NfSVRFTVMuOTkxLjExLzA3LzIwMjYuLi5VU0QuSAEAAABLVQAAAwAAAAAAQ4koa2/f3ggV5Hpub9/eCD5DSVEuTkFTREFROk1TRlQuSVFfTUlOT1JJVFlfSU5URVJFU1RfSVMuOTkyLjExLzA3LzIwMjYuLi5VU0QuSAEAAABLVQAAAwAAAAAAQ4koa2/f3ghUC3tub9/eCDZDSVEuTkFTREFROk1TRlQuSVFfR0FJTl9JTlZFU1QuMjAwMC4xMS8wNy8yMDI2Li4uVVNELkgBAAAAS1UAAAIAAAAFLTM2MzUBCAAAAAUAAAABMQEAAAALLTE4OTMyOTg5OTUDAAAAAzE2MAIAAAACNjIEAAAAATAHAAAACTcvMTEvMjAyNggAAAAJMy8zMS8yMDI2CQAAAAEwQ4koa2/f3ghUC3tub9/eCDpDSVEuTkFTREFROk1TRlQuSVFfQVNTRVRfV1JJVEVET1dOLjIwMDAuMTEvMDcvMjAyNi4uLlVT</t>
  </si>
  <si>
    <t>RC5IAQAAAEtVAAADAAAAAABDiShrb9/eCFQLe25v394IMkNJUS5OQVNEQVE6TVNGVC5JUV9EQV9TVVBQTC45OTIuMTEvMDcvMjAyNi4uLlVTRC5IAQAAAEtVAAADAAAAAABDiShrb9/eCFQLe25v394IOUNJUS5OQVNEQVE6TVNGVC5JUV9PVEhFUl9SRVZfU1VQUEwuOTkzLjExLzA3LzIwMjYuLi5VU0QuSAEAAABLVQAAAwAAAAAAQ4koa2/f3ggV5Hpub9/eCDVDSVEuTkFTREFROk1TRlQuSVFfSU5TX0RJVl9FWFAuOTkxLjExLzA3LzIwMjYuLi5VU0QuSAEAAABLVQAAAwAAAAAAQ4koa2/f3ggV5Hpub9/eCDZDSVEuTkFTREFROk1TRlQuSVFfU1RPQ0tfQkFTRUQuMjAwMC4xMS8wNy8yMDI2Li4uVVNELkgBAAAAS1UAAAMAAAAAAEOJKGtv394IFeR6bm/f3gg3Q0lRLk5BU0RBUTpNU0ZULklRX1BSRV9PUEVOX0NPU1QuOTkwLjExLzA3LzIwMjYuLi5VU0QuSAEAAABLVQAAAwAAAAAAQ4koa2/f3ggV5Hpub9/eCC1DSVEuTkFTREFROk1TRlQuSVFfRUJULjk5MS4xMS8wNy8yMDI2Li4uVVNELkgBAAAAS1UAAAIAAAAFMjU2MzkBCAAAAAUAAAABMQEAAAAKMTg5ODQ4OTQ3MAMAAAADMTYwAgAAAAMxMzkEAAAAATAHAAAACTcvMTEvMjAyNggAAAAJNi8zMC8yMDE2CQAAAAEwQ4koa2/f3ggV5Hpub9/eCD5DSVEuTkFTREFROk1TRlQuSVFfTUlOT1JJVFlfSU5URVJFU1RfSVMuOTkzLjExLzA3LzIwMjYuLi5VU0Qu</t>
  </si>
  <si>
    <t>SAEAAABLVQAAAwAAAAAAQ4koa2/f3ghn0Hpub9/eCC5DSVEuTkFTREFROk1TRlQuSVFfUkVWLjIwMDAuMTEvMDcvMjAyNi4uLlVTRC5IAQAAAEtVAAACAAAABjMxODI3MwEIAAAABQAAAAExAQAAAAstMTg5MzI5ODk5NQMAAAADMTYwAgAAAAMxMTIEAAAAATAHAAAACTcvMTEvMjAyNggAAAAJMy8zMS8yMDI2CQAAAAEwQ4koa2/f3ggV5Hpub9/eCDlDSVEuTkFTREFROk1TRlQuSVFfR0FJTl9JTlZFU1RfUkVWLjk5MC4xMS8wNy8yMDI2Li4uVVNELkgBAAAAS1UAAAMAAAAAAEOJKGtv394IFeR6bm/f3gg1Q0lRLk5BU0RBUTpNU0ZULklRX0lOU19ESVZfRVhQLjk5Mi4xMS8wNy8yMDI2Li4uVVNELkgBAAAAS1UAAAMAAAAAAEOJKGtv394IFeR6bm/f3ggzQ0lRLk5BU0RBUTpNU0ZULklRX1NHQV9TVVBQTC45OTIuMTEvMDcvMjAyNi4uLlVTRC5IAQAAAEtVAAACAAAABTE5OTQyAQgAAAAFAAAAATEBAAAACjE5NzMzODA5NTEDAAAAAzE2MAIAAAADMTAyBAAAAAEwBwAAAAk3LzExLzIwMjYIAAAACTYvMzAvMjAxNwkAAAABMEOJKGtv394IFeR6bm/f3gg6Q0lRLk5BU0RBUTpNU0ZULklRX1NUT0NLX0JBU0VEX0NPR1MuOTkyLjExLzA3LzIwMjYuLi5VU0QuSAEAAABLVQAAAwAAAAAAQ4koa2/f3ggVqXpub9/eCC9DSVEuTkFTREFROk1TRlQuSVFfREFfQ0YuOTkxLjExLzA3LzIwMjYuLi5VU0QuSAEAAABLVQAA</t>
  </si>
  <si>
    <t>AgAAAAQ1ODc4AQgAAAAFAAAAATEBAAAACjE4OTg0ODk0NzADAAAAAzE2MAIAAAAEMjE2MAQAAAABMAcAAAAJNy8xMS8yMDI2CAAAAAk2LzMwLzIwMTYJAAAAATBDiShrb9/eCGfQem5v394INUNJUS5OQVNEQVE6TVNGVC5JUV9JTlNfRElWX1JFVi45OTAuMTEvMDcvMjAyNi4uLlVTRC5IAQAAAEtVAAADAAAAAABDiShrb9/eCGfQem5v394IPkNJUS5OQVNEQVE6TVNGVC5JUV9ERUZFUlJFRF9UQVhFU19UT1RBTC45OTMuMTEvMDcvMjAyNi4uLlVTRC5IAQAAAEtVAAACAAAABS01MTQzAQgAAAAFAAAAATEBAAAACjIwNDcyNzE3NDUDAAAAAzE2MAIAAAAFMzUzODUEAAAAATAHAAAACTcvMTEvMjAyNggAAAAJNi8zMC8yMDE4CQAAAAEwQ4koa2/f3ghn0Hpub9/eCDpDSVEuTkFTREFROk1TRlQuSVFfSU5UX0VYUF9JTkNMX0NBUC45OTIuMTEvMDcvMjAyNi4uLlVTRC5IAQAAAEtVAAACAAAABDIyMjIBCAAAAAUAAAABMQEAAAAKMTk3MzM4MDk1MQMAAAADMTYwAgAAAAUyMTg2MQQAAAABMAcAAAAJNy8xMS8yMDI2CAAAAAk2LzMwLzIwMTcJAAAAATBDiShrb9/eCGfQem5v394INENJUS5OQVNEQVE6TVNGVC5JUV9DT01NT05fRElWLjk5My4xMS8wNy8yMDI2Li4uVVNELkgBAAAAS1UAAAIAAAAFMTI5MTcAQ4koa2/f3ggVqXpub9/eCDRDSVEuTkFTREFROk1TRlQuSVFfTUFSS0VUSU5HLjIwMDAuMTEvMDcvMjAy</t>
  </si>
  <si>
    <t>Ni4uLlVTRC5IAQAAAEtVAAADAAAAAABDiShrb9/eCBWpem5v394IRUNJUS5OQVNEQVE6TVNGVC5JUV9ERVBSRUNJQVRJT05fUkVOVEFMX0FTU0VUUy4yMDAwLjExLzA3LzIwMjYuLi5VU0QuSAEAAABLVQAAAwAAAAAAQ4koa2/f3ggVqXpub9/eCDhDSVEuTkFTREFROk1TRlQuSVFfRUJJVEFfRVhDTF9TQkMuOTkxLjExLzA3LzIwMjYuLi5VU0QuSAEAAABLVQAAAgAAAAUzMDgzNAEIAAAABQAAAAExAQAAAAoxODk4NDg5NDcwAwAAAAMxNjACAAAABTI0MTM2BAAAAAEwBwAAAAk3LzExLzIwMjYIAAAACTYvMzAvMjAxNgkAAAABMEOJKGtv394IFal6bm/f3ghBQ0lRLk5BU0RBUTpNU0ZULklRX0VCSVREQVJfRVFfSU5DX0VYQ0xfU0JDLjk5Mi4xMS8wNy8yMDI2Li4uVVNELkgBAAAAS1UAAAIAAAAFNDE4MDkBCAAAAAUAAAABMQEAAAAKMTk3MzM4MDk1MQMAAAADMTYwAgAAAAUyNDEzMwQAAAABMAcAAAAJNy8xMS8yMDI2CAAAAAk2LzMwLzIwMTcJAAAAATBDiShrb9/eCBWpem5v394IMUNJUS5OQVNEQVE6TVNGVC5JUV9OSV9TRkFTLjk5MC4xMS8wNy8yMDI2Li4uVVNELkgBAAAAS1UAAAMAAAAAAEOJKGtv394IFal6bm/f3ghBQ0lRLk5BU0RBUTpNU0ZULklRX0VYQ0lTRV9UQVhFU19JTkNMX1NBTEVTLjk5MS4xMS8wNy8yMDI2Li4uVVNELkgBAAAAS1UAAAMAAAAAAEOJKGtv394IFal6bm/f3ghAQ0lRLk5B</t>
  </si>
  <si>
    <t>U0RBUTpNU0ZULklRX0VCSVREQV9FUV9JTkNfRVhDTF9TQkMuOTkwLjExLzA3LzIwMjYuLi5VU0QuSAEAAABLVQAAAgAAAAUzNjE0NgEIAAAABQAAAAExAQAAAAoxODUxNTI1OTEyAwAAAAMxNjACAAAABTI0MTMxBAAAAAEwBwAAAAk3LzExLzIwMjYIAAAACTYvMzAvMjAxNQkAAAABMEOJKGtv394IFal6bm/f3ghAQ0lRLk5BU0RBUTpNU0ZULklRX0VCSVREQV9MRUFTRV9BREpVU1RFRC4yMDAwLjExLzA3LzIwMjYuLi5VU0QuSAEAAABLVQAAAgAAAAYxOTEyMjQBCAAAAAUAAAABMQEAAAALLTE4OTMyOTg5OTUDAAAAAzE2MAIAAAAFNDg5OTMEAAAAATAHAAAACTcvMTEvMjAyNggAAAAJMy8zMS8yMDI2CQAAAAEwQ4koa2/f3ggVqXpub9/eCDdDSVEuTkFTREFROk1TRlQuSVFfRUJJVF9FWENMX1NCQy45OTEuMTEvMDcvMjAyNi4uLlVTRC5IAQAAAEtVAAACAAAABTI5ODU2AQgAAAAFAAAAATEBAAAACjE4OTg0ODk0NzADAAAAAzE2MAIAAAAFMjQxMzQEAAAAATAHAAAACTcvMTEvMjAyNggAAAAJNi8zMC8yMDE2CQAAAAEwQ4koa2/f3ggVqXpub9/eCDFDSVEuTkFTREFROk1TRlQuSVFfTUVSR0VSLjIwMDAuMTEvMDcvMjAyNi4uLlVTRC5IAQAAAEtVAAADAAAAAABDiShrb9/eCMWUem5v394ILkNJUS5OQVNEQVE6TVNGVC5JUV9JUFJELjk5MC4xMS8wNy8yMDI2Li4uVVNELkgBAAAAS1UAAAMAAAAAAEOJKGtv</t>
  </si>
  <si>
    <t>394IxZR6bm/f3gg2Q0lRLk5BU0RBUTpNU0ZULklRX0xFR0FMX1NFVFRMRS45OTEuMTEvMDcvMjAyNi4uLlVTRC5IAQAAAEtVAAADAAAAAABDiShrb9/eCMWUem5v394IOUNJUS5OQVNEQVE6TVNGVC5JUV9FWFRSQV9BQ0NfSVRFTVMuOTkyLjExLzA3LzIwMjYuLi5VU0QuSAEAAABLVQAAAwAAAAAAQ4koa2/f3gjFlHpub9/eCDNDSVEuTkFTREFROk1TRlQuSVFfT1BFUl9JTkMuMjAwMC4xMS8wNy8yMDI2Li4uVVNELkgBAAAAS1UAAAIAAAAGMTQ4OTU3AQgAAAAFAAAAATEBAAAACy0xODkzMjk4OTk1AwAAAAMxNjACAAAAAjIxBAAAAAEwBwAAAAk3LzExLzIwMjYIAAAACTMvMzEvMjAyNgkAAAABMEOJKGtv394IxZR6bm/f3ghEQ0lRLk5BU0RBUTpNU0ZULklRX0RFUFJFQ0lBVElPTl9SRU5UQUxfQVNTRVRTLjk5Mi4xMS8wNy8yMDI2Li4uVVNELkgBAAAAS1UAAAMAAAAAAEOJKGtv394IOmx6bm/f3gg8Q0lRLk5BU0RBUTpNU0ZULklRX0ZFRVNfT1RIRVJfSU5DT01FLjIwMDAuMTEvMDcvMjAyNi4uLlVTRC5IAQAAAEtVAAADAAAAAABDiShrb9/eCHaAem5v394IQ0NJUS5OQVNEQVE6TVNGVC5JUV9FQVJOSU5HX1BBUkVOVF9FWENMX0VYVFJBLjk5My4xMS8wNy8yMDI2Li4uVVNELkgBAAAAS1UAAAIAAAAFMTY1NzEBCAAAAAUAAAABMQEAAAAKMjA0NzI3MTc0NQMAAAADMTYwAgAAAAU0MTU5NgQAAAABMAcA</t>
  </si>
  <si>
    <t>AAAJNy8xMS8yMDI2CAAAAAk2LzMwLzIwMTgJAAAAATBDiShrb9/eCHaAem5v394IQUNJUS5OQVNEQVE6TVNGVC5JUV9FWENJU0VfVEFYRVNfSU5DTF9TQUxFUy45OTIuMTEvMDcvMjAyNi4uLlVTRC5IAQAAAEtVAAADAAAAAABDiShrb9/eCHaAem5v394IOkNJUS5OQVNEQVE6TVNGVC5JUV9JTlRfRVhQX0lOQ0xfQ0FQLjk5My4xMS8wNy8yMDI2Li4uVVNELkgBAAAAS1UAAAIAAAAEMjczMwEIAAAABQAAAAExAQAAAAoyMDQ3MjcxNzQ1AwAAAAMxNjACAAAABTIxODYxBAAAAAEwBwAAAAk3LzExLzIwMjYIAAAACTYvMzAvMjAxOAkAAAABMEOJKGtv394IdoB6bm/f3ghBQ0lRLk5BU0RBUTpNU0ZULklRX0xFQVNFX0FESlVTVE1FTlRfRUJJVERBLjk5MC4xMS8wNy8yMDI2Li4uVVNELkgBAAAAS1UAAAMAAAAAAEOJKGtv394IG1h6bm/f3gguQ0lRLk5BU0RBUTpNU0ZULklRX0VCSVQuOTkzLjExLzA3LzIwMjYuLi5VU0QuSAEAAABLVQAAAgAAAAUzNTA1OAEIAAAABQAAAAExAQAAAAoyMDQ3MjcxNzQ1AwAAAAMxNjACAAAAAzQwMAQAAAABMAcAAAAJNy8xMS8yMDI2CAAAAAk2LzMwLzIwMTgJAAAAATBDiShrb9/eCDpsem5v394IN0NJUS5OQVNEQVE6TVNGVC5JUV9FQklUX0VYQ0xfU0JDLjk5Mi4xMS8wNy8yMDI2Li4uVVNELkgBAAAAS1UAAAIAAAAFMzI1OTcBCAAAAAUAAAABMQEAAAAKMTk3MzM4MDk1MQMA</t>
  </si>
  <si>
    <t>AAADMTYwAgAAAAUyNDEzNAQAAAABMAcAAAAJNy8xMS8yMDI2CAAAAAk2LzMwLzIwMTcJAAAAATBDiShrb9/eCDpsem5v394IOENJUS5OQVNEQVE6TVNGVC5JUV9FQklUQV9FWENMX1NCQy45OTIuMTEvMDcvMjAyNi4uLlVTRC5IAQAAAEtVAAACAAAABTM0Mjk3AQgAAAAFAAAAATEBAAAACjE5NzMzODA5NTEDAAAAAzE2MAIAAAAFMjQxMzYEAAAAATAHAAAACTcvMTEvMjAyNggAAAAJNi8zMC8yMDE3CQAAAAEwQ4koa2/f3gg6bHpub9/eCEFDSVEuTkFTREFROk1TRlQuSVFfRUJJVERBUl9FUV9JTkNfRVhDTF9TQkMuOTkzLjExLzA3LzIwMjYuLi5VU0QuSAEAAABLVQAAAgAAAAU1MDQ4MwEIAAAABQAAAAExAQAAAAoyMDQ3MjcxNzQ1AwAAAAMxNjACAAAABTI0MTMzBAAAAAEwBwAAAAk3LzExLzIwMjYIAAAACTYvMzAvMjAxOAkAAAABMEOJKGtv394IOmx6bm/f3ghPQ0lRLk5BU0RBUTpNU0ZULklRX0RJU1RSSUJVVEFCTEVfQ0FTSF9QRVJfU0hBUkVfRElMVVRFRC4yMDAwLjExLzA3LzIwMjYuLi5VU0QuSAEAAABLVQAAAwAAAAAAQ4koa2/f3gjrQ3pub9/eCEBDSVEuTkFTREFROk1TRlQuSVFfRUJJVERBX0VRX0lOQ19FWENMX1NCQy45OTEuMTEvMDcvMjAyNi4uLlVTRC5IAQAAAEtVAAACAAAABTM1NzM0AQgAAAAFAAAAATEBAAAACjE4OTg0ODk0NzADAAAAAzE2MAIAAAAFMjQxMzEEAAAAATAHAAAACTcv</t>
  </si>
  <si>
    <t>MTEvMjAyNggAAAAJNi8zMC8yMDE2CQAAAAEwQ4koa2/f3ggbWHpub9/eCDlDSVEuTkFTREFROk1TRlQuSVFfRElMVVRfRVBTX0lOQ0wuMjAwMC4xMS8wNy8yMDI2Li4uVVNELkgBAAAAS1UAAAIAAAAJMTYuNzg5NzYxAQgAAAAFAAAAATEBAAAACy0xODkzMjk4OTk1AwAAAAMxNjACAAAAATgEAAAAATAHAAAACTcvMTEvMjAyNggAAAAJMy8zMS8yMDI2CQAAAAEwQ4koa2/f3ggbWHpub9/eCDZDSVEuTkFTREFROk1TRlQuSVFfTEVHQUxfU0VUVExFLjk5Mi4xMS8wNy8yMDI2Li4uVVNELkgBAAAAS1UAAAMAAAAAAEOJKGtv394IG1h6bm/f3ggtQ0lRLk5BU0RBUTpNU0ZULklRX0VCVC45OTIuMTEvMDcvMjAyNi4uLlVTRC5IAQAAAEtVAAACAAAABTI5OTAxAQgAAAAFAAAAATEBAAAACjE5NzMzODA5NTEDAAAAAzE2MAIAAAADMTM5BAAAAAEwBwAAAAk3LzExLzIwMjYIAAAACTYvMzAvMjAxNwkAAAABMEOJKGtv394IG1h6bm/f3gg0Q0lRLk5BU0RBUTpNU0ZULklRX0VBUk5JTkdfQ08uOTkzLjExLzA3LzIwMjYuLi5VU0QuSAEAAABLVQAAAgAAAAUxNjU3MQEIAAAABQAAAAExAQAAAAoyMDQ3MjcxNzQ1AwAAAAMxNjACAAAAATcEAAAAATAHAAAACTcvMTEvMjAyNggAAAAJNi8zMC8yMDE4CQAAAAEwQ4koa2/f3gjKL3pub9/eCDlDSVEuTkFTREFROk1TRlQuSVFfRVhUUkFfQUNDX0lURU1TLjk5My4xMS8wNy8y</t>
  </si>
  <si>
    <t>MDI2Li4uVVNELkgBAAAAS1UAAAMAAAAAAEOJKGtv394I60N6bm/f3gg3Q0lRLk5BU0RBUTpNU0ZULklRX0NVUlJFTkNZX0dBSU4uOTkxLjExLzA3LzIwMjYuLi5VU0QuSAEAAABLVQAAAgAAAAQtNDk3AQgAAAAFAAAAATEBAAAACjE4OTg0ODk0NzADAAAAAzE2MAIAAAACMzgEAAAAATAHAAAACTcvMTEvMjAyNggAAAAJNi8zMC8yMDE2CQAAAAEwQ4koa2/f3gjrQ3pub9/eCDJDSVEuTkFTREFROk1TRlQuSVFfRUJUX0VYQ0wuOTkyLjExLzA3LzIwMjYuLi5VU0QuSAEAAABLVQAAAgAAAAUyNzgxOAEIAAAABQAAAAExAQAAAAoxOTczMzgwOTUxAwAAAAMxNjACAAAAATQEAAAAATAHAAAACTcvMTEvMjAyNggAAAAJNi8zMC8yMDE3CQAAAAEwQ4koa2/f3gjrQ3pub9/eCDBDSVEuTkFTREFROk1TRlQuSVFfTUVSR0VSLjk5Mi4xMS8wNy8yMDI2Li4uVVNELkgBAAAAS1UAAAMAAAAAAEOJKGtv394I60N6bm/f3gg1Q0lRLk5BU0RBUTpNU0ZULklRX0dBSU5fSU5WRVNULjk5My4xMS8wNy8yMDI2Li4uVVNELkgBAAAAS1UAAAIAAAAEMjQ3OQEIAAAABQAAAAExAQAAAAoyMDQ3MjcxNzQ1AwAAAAMxNjACAAAAAjYyBAAAAAEwBwAAAAk3LzExLzIwMjYIAAAACTYvMzAvMjAxOAkAAAABMEOJKGtv394I2ht6bm/f3gg1Q0lRLk5BU0RBUTpNU0ZULklRX09USEVSX09QRVIuMjAwMC4xMS8wNy8yMDI2Li4uVVNELkgBAAAA</t>
  </si>
  <si>
    <t>S1UAAAMAAAAAAEOJKGtv394Iyi96bm/f3gg2Q0lRLk5BU0RBUTpNU0ZULklRX0lOVEVSRVNUX0VYUC45OTAuMTEvMDcvMjAyNi4uLlVTRC5IAQAAAEtVAAACAAAABC03ODEBCAAAAAUAAAABMQEAAAAKMTg1MTUyNTkxMgMAAAADMTYwAgAAAAI4MgQAAAABMAcAAAAJNy8xMS8yMDI2CAAAAAk2LzMwLzIwMTUJAAAAATBDiShrb9/eCMovem5v394IOkNJUS5OQVNEQVE6TVNGVC5JUV9ORVRfSU5URVJFU1RfRVhQLjk5MS4xMS8wNy8yMDI2Li4uVVNELkgBAAAAS1UAAAIAAAAELTM0MAEIAAAABQAAAAExAQAAAAoxODk4NDg5NDcwAwAAAAMxNjACAAAAAzM2OAQAAAABMAcAAAAJNy8xMS8yMDI2CAAAAAk2LzMwLzIwMTYJAAAAATBDiShrb9/eCMovem5v394IM0NJUS5OQVNEQVE6TVNGVC5JUV9TR0FfU1VQUEwuOTkzLjExLzA3LzIwMjYuLi5VU0QuSAEAAABLVQAAAgAAAAUyMjIyMwEIAAAABQAAAAExAQAAAAoyMDQ3MjcxNzQ1AwAAAAMxNjACAAAAAzEwMgQAAAABMAcAAAAJNy8xMS8yMDI2CAAAAAk2LzMwLzIwMTgJAAAAATBDiShrb9/eCMovem5v394IN0NJUS5OQVNEQVE6TVNGVC5JUV9QUkVfT1BFTl9DT1NULjk5MS4xMS8wNy8yMDI2Li4uVVNELkgBAAAAS1UAAAMAAAAAAEOJKGtv394IjQd6bm/f3ggtQ0lRLk5BU0RBUTpNU0ZULklRX1JFVi45OTMuMTEvMDcvMjAyNi4uLlVTRC5IAQAAAEtVAAACAAAA</t>
  </si>
  <si>
    <t>BjExMDM2MAEIAAAABQAAAAExAQAAAAoyMDQ3MjcxNzQ1AwAAAAMxNjACAAAAAzExMgQAAAABMAcAAAAJNy8xMS8yMDI2CAAAAAk2LzMwLzIwMTgJAAAAATBDiShrb9/eCNobem5v394IOUNJUS5OQVNEQVE6TVNGVC5JUV9HQUlOX0lOVkVTVF9SRVYuOTkxLjExLzA3LzIwMjYuLi5VU0QuSAEAAABLVQAAAwAAAAAAQ4koa2/f3gjaG3pub9/eCDRDSVEuTkFTREFROk1TRlQuSVFfVE9UQUxfUkVWLjIwMDAuMTEvMDcvMjAyNi4uLlVTRC5IAQAAAEtVAAACAAAABjMxODI3MwEIAAAABQAAAAExAQAAAAstMTg5MzI5ODk5NQMAAAADMTYwAgAAAAIyOAQAAAABMAcAAAAJNy8xMS8yMDI2CAAAAAkzLzMxLzIwMjYJAAAAATBDiShrb9/eCNobem5v394IL0NJUS5OQVNEQVE6TVNGVC5JUV9OSV9DRi45OTMuMTEvMDcvMjAyNi4uLlVTRC5IAQAAAEtVAAACAAAABTE2NTcxAQgAAAAFAAAAATEBAAAACjIwNDcyNzE3NDUDAAAAAzE2MAIAAAAEMjE1MAQAAAABMAcAAAAJNy8xMS8yMDI2CAAAAAk2LzMwLzIwMTgJAAAAATBDiShrb9/eCNobem5v394IOkNJUS5OQVNEQVE6TVNGVC5JUV9UT1RBTF9PVEhFUl9PUEVSLjk5MC4xMS8wNy8yMDI2Li4uVVNELkgBAAAAS1UAAAIAAAAFMzIzNzABCAAAAAUAAAABMQEAAAAKMTg1MTUyNTkxMgMAAAADMTYwAgAAAAMzODAEAAAAATAHAAAACTcvMTEvMjAyNggAAAAJNi8zMC8yMDE1</t>
  </si>
  <si>
    <t>CQAAAAEwQ4koa2/f3giz83lub9/eCDpDSVEuTkFTREFROk1TRlQuSVFfTkVUX0lOVEVSRVNUX0VYUC45OTIuMTEvMDcvMjAyNi4uLlVTRC5IAQAAAEtVAAACAAAABC04MzUBCAAAAAUAAAABMQEAAAAKMTk3MzM4MDk1MQMAAAADMTYwAgAAAAMzNjgEAAAAATAHAAAACTcvMTEvMjAyNggAAAAJNi8zMC8yMDE3CQAAAAEwQ4koa2/f3giNB3pub9/eCDdDSVEuTkFTREFROk1TRlQuSVFfQ1VSUkVOQ1lfR0FJTi45OTIuMTEvMDcvMjAyNi4uLlVTRC5IAQAAAEtVAAACAAAABC01NjIBCAAAAAUAAAABMQEAAAAKMTk3MzM4MDk1MQMAAAADMTYwAgAAAAIzOAQAAAABMAcAAAAJNy8xMS8yMDI2CAAAAAk2LzMwLzIwMTcJAAAAATBDiShrb9/eCI0Hem5v394IS0NJUS5OQVNEQVE6TVNGVC5JUV9JTlRFUkVTVF9FWFBfTEVBU0VfTElBQklMSVRZX0RFQlQuOTkxLjExLzA3LzIwMjYuLi5VU0QuSAEAAABLVQAAAgAAAAIyOAEIAAAABQAAAAExAQAAAAoxODk4NDg5NDcwAwAAAAMxNjACAAAABTQ4OTA3BAAAAAEwBwAAAAk3LzExLzIwMjYIAAAACTYvMzAvMjAxNgkAAAABMCCdKGtv394IjQd6bm/f3gg3Q0lRLk5BU0RBUTpNU0ZULklRX0FJUkNSQUZUX1JFTlQuOTkxLjExLzA3LzIwMjYuLi5VU0QuSAEAAABLVQAAAwAAAAAAIJ0oa2/f3giNB3pub9/eCEFDSVEuTkFTREFROk1TRlQuSVFfRVhDSVNFX1RBWEVTX0lOQ0xf</t>
  </si>
  <si>
    <t>U0FMRVMuOTkzLjExLzA3LzIwMjYuLi5VU0QuSAEAAABLVQAAAwAAAAAAIJ0oa2/f3ghL3nlub9/eCD9DSVEuTkFTREFROk1TRlQuSVFfRUJJVERBX0xFQVNFX0FESlVTVEVELjk5My4xMS8wNy8yMDI2Li4uVVNELkgBAAAAS1UAAAIAAAAFNDY1NDMBCAAAAAUAAAABMQEAAAAKMjA0NzI3MTc0NQMAAAADMTYwAgAAAAU0ODk5MwQAAAABMAcAAAAJNy8xMS8yMDI2CAAAAAk2LzMwLzIwMTgJAAAAATAgnShrb9/eCLPzeW5v394IN0NJUS5OQVNEQVE6TVNGVC5JUV9FQklUX0VYQ0xfU0JDLjk5My4xMS8wNy8yMDI2Li4uVVNELkgBAAAAS1UAAAIAAAAFMzg5OTgBCAAAAAUAAAABMQEAAAAKMjA0NzI3MTc0NQMAAAADMTYwAgAAAAUyNDEzNAQAAAABMAcAAAAJNy8xMS8yMDI2CAAAAAk2LzMwLzIwMTgJAAAAATAgnShrb9/eCLPzeW5v394IOkNJUS5OQVNEQVE6TVNGVC5JUV9UT1RBTF9SRVZfU0hBUkUuMjAwMC4xMS8wNy8yMDI2Li4uVVNELkgBAAAAS1UAAAIAAAAJNDIuODM2MjA0AQgAAAAFAAAAATEBAAAACy0xODkzMjk4OTk1AwAAAAMxNjACAAAABDQzODIEAAAAATAHAAAACTcvMTEvMjAyNggAAAAJMy8zMS8yMDI2CQAAAAEwIJ0oa2/f3giz83lub9/eCDhDSVEuTkFTREFROk1TRlQuSVFfRElMVVRfRVBTX0VYQ0wuOTkxLjExLzA3LzIwMjYuLi5VU0QuSAEAAABLVQAAAgAAAAQyLjU2AQgAAAAFAAAAATEB</t>
  </si>
  <si>
    <t>AAAACjE4OTg0ODk0NzADAAAAAzE2MAIAAAADMTQyBAAAAAEwBwAAAAk3LzExLzIwMjYIAAAACTYvMzAvMjAxNgkAAAABMCCdKGtv394Is/N5bm/f3ggtQ0lRLk5BU0RBUTpNU0ZULklRX0VCVC45OTMuMTEvMDcvMjAyNi4uLlVTRC5IAQAAAEtVAAACAAAABTM2NDc0AQgAAAAFAAAAATEBAAAACjIwNDcyNzE3NDUDAAAAAzE2MAIAAAADMTM5BAAAAAEwBwAAAAk3LzExLzIwMjYIAAAACTYvMzAvMjAxOAkAAAABMCCdKGtv394Iasp5bm/f3gg5Q0lRLk5BU0RBUTpNU0ZULklRX0dBSU5fSU5WRVNUX1JFVi45OTMuMTEvMDcvMjAyNi4uLlVTRC5IAQAAAEtVAAADAAAAAAAgnShrb9/eCEveeW5v394IMkNJUS5OQVNEQVE6TVNGVC5JUV9FQlRfRVhDTC45OTMuMTEvMDcvMjAyNi4uLlVTRC5IAQAAAEtVAAACAAAABTMzOTk1AQgAAAAFAAAAATEBAAAACjIwNDcyNzE3NDUDAAAAAzE2MAIAAAABNAQAAAABMAcAAAAJNy8xMS8yMDI2CAAAAAk2LzMwLzIwMTgJAAAAATAgnShrb9/eCEveeW5v394IMENJUS5OQVNEQVE6TVNGVC5JUV9NRVJHRVIuOTkzLjExLzA3LzIwMjYuLi5VU0QuSAEAAABLVQAAAwAAAAAAIJ0oa2/f3ghL3nlub9/eCDlDSVEuTkFTREFROk1TRlQuSVFfRklOX0RJVl9JTlRfRVhQLjk5Mi4xMS8wNy8yMDI2Li4uVVNELkgBAAAAS1UAAAMAAAAAACCdKGtv394IS955bm/f3gg4Q0lRLk5BU0RBUTpN</t>
  </si>
  <si>
    <t>U0ZULklRX1BST1ZfQkFEX0RFQlRTLjk5MC4xMS8wNy8yMDI2Li4uVVNELkgBAAAAS1UAAAMAAAAAACCdKGtv394IsbV5bm/f3gg/Q0lRLk5BU0RBUTpNU0ZULklRX09USEVSX1VOVVNVQUxfU1VQUExFLjIwMDAuMTEvMDcvMjAyNi4uLlVTRC5IAQAAAEtVAAADAAAAAAAgnShrb9/eCLG1eW5v394IQkNJUS5OQVNEQVE6TVNGVC5JUV9ESVNUUklCVVRBQkxFX0NBU0hfU0hBUkUuOTkwLjExLzA3LzIwMjYuLi5VU0QuSAEAAABLVQAAAwAAAAAAIJ0oa2/f3ghqynlub9/eCDhDSVEuTkFTREFROk1TRlQuSVFfRElMVVRfRVBTX0VYQ0wuOTkyLjExLzA3LzIwMjYuLi5VU0QuSAEAAABLVQAAAgAAAAQzLjI1AQgAAAAFAAAAATEBAAAACjE5NzMzODA5NTEDAAAAAzE2MAIAAAADMTQyBAAAAAEwBwAAAAk3LzExLzIwMjYIAAAACTYvMzAvMjAxNwkAAAABMCCdKGtv394Iasp5bm/f3gg5Q0lRLk5BU0RBUTpNU0ZULklRX0dXX0lOVEFOX0FNT1JULjIwMDAuMTEvMDcvMjAyNi4uLlVTRC5IAQAAAEtVAAADAAAAAAAgnShrb9/eCGrKeW5v394IOkNJUS5OQVNEQVE6TVNGVC5JUV9UT1RBTF9PVEhFUl9PUEVSLjk5MS4xMS8wNy8yMDI2Li4uVVNELkgBAAAAS1UAAAIAAAAFMzExODYBCAAAAAUAAAABMQEAAAAKMTg5ODQ4OTQ3MAMAAAADMTYwAgAAAAMzODAEAAAAATAHAAAACTcvMTEvMjAyNggAAAAJNi8zMC8yMDE2CQAA</t>
  </si>
  <si>
    <t>AAEwIJ0oa2/f3ggGoHlub9/eCDpDSVEuTkFTREFROk1TRlQuSVFfTkVUX0lOVEVSRVNUX0VYUC45OTMuMTEvMDcvMjAyNi4uLlVTRC5IAQAAAEtVAAACAAAABC01MTkBCAAAAAUAAAABMQEAAAAKMjA0NzI3MTc0NQMAAAADMTYwAgAAAAMzNjgEAAAAATAHAAAACTcvMTEvMjAyNggAAAAJNi8zMC8yMDE4CQAAAAEwIJ0oa2/f3ggGoHlub9/eCDdDSVEuTkFTREFROk1TRlQuSVFfQ1VSUkVOQ1lfR0FJTi45OTMuMTEvMDcvMjAyNi4uLlVTRC5IAQAAAEtVAAACAAAABC0xNDgBCAAAAAUAAAABMQEAAAAKMjA0NzI3MTc0NQMAAAADMTYwAgAAAAIzOAQAAAABMAcAAAAJNy8xMS8yMDI2CAAAAAk2LzMwLzIwMTgJAAAAATAgnShrb9/eCLG1eW5v394IPkNJUS5OQVNEQVE6TVNGVC5JUV9TVE9DS19CQVNFRF9DT01QX1RBWC45OTIuMTEvMDcvMjAyNi4uLlVTRC5IAQAAAEtVAAACAAAABS0xMDY2ACCdKGtv394IsbV5bm/f3ghAQ0lRLk5BU0RBUTpNU0ZULklRX0RFRkVSUkVEX0ZPUkVJR05fVEFYRVMuOTkxLjExLzA3LzIwMjYuLi5VU0QuSAEAAABLVQAAAgAAAAM0NDkBCAAAAAUAAAABMQEAAAAKMTg5ODQ4OTQ3MAMAAAADMTYwAgAAAAQzMDU1BAAAAAEwBwAAAAk3LzExLzIwMjYIAAAACTYvMzAvMjAxNgkAAAABMCCdKGtv394IsbV5bm/f3ghMQ0lRLk5BU0RBUTpNU0ZULklRX0VCSVREQV9FUV9JTkNfRVhDTF9P</t>
  </si>
  <si>
    <t>UEVSX0xFQVNFX0FESi4yMDAwLjExLzA3LzIwMjYuLi5VU0QuSAEAAABLVQAAAgAAAAYxOTE0NDUBCAAAAAUAAAABMQEAAAALLTE4OTMyOTg5OTUDAAAAAzE2MAIAAAAFNDg5ODcEAAAAATAHAAAACTcvMTEvMjAyNggAAAAJMy8zMS8yMDI2CQAAAAEwIJ0oa2/f3gi5eHlub9/eCDNDSVEuTkFTREFROk1TRlQuSVFfRElWX1NIQVJFLjk5MC4xMS8wNy8yMDI2Li4uVVNELkgBAAAAS1UAAAIAAAAEMS4yNAEIAAAABQAAAAExAQAAAAoxODUxNTI1OTEyAwAAAAMxNjACAAAABDMwNTgEAAAAATAHAAAACTcvMTEvMjAyNggAAAAJNi8zMC8yMDE1CQAAAAEwIJ0oa2/f3gi5eHlub9/eCEJDSVEuTkFTREFROk1TRlQuSVFfRElTVFJJQlVUQUJMRV9DQVNIX1NIQVJFLjk5My4xMS8wNy8yMDI2Li4uVVNELkgBAAAAS1UAAAMAAAAAACCdKGtv394IuXh5bm/f3gg4Q0lRLk5BU0RBUTpNU0ZULklRX05JX0FWQUlMX0lOQ0wuMjAwMC4xMS8wNy8yMDI2Li4uVVNELkgBAAAAS1UAAAIAAAAGMTI1MjE2AQgAAAAFAAAAATEBAAAACy0xODkzMjk4OTk1AwAAAAMxNjACAAAAAjE2BAAAAAEwBwAAAAk3LzExLzIwMjYIAAAACTMvMzEvMjAyNgkAAAABMCCdKGtv394IBqB5bm/f3gg4Q0lRLk5BU0RBUTpNU0ZULklRX0RJTFVUX0VQU19FWENMLjk5My4xMS8wNy8yMDI2Li4uVVNELkgBAAAAS1UAAAIAAAAEMi4xMwEIAAAABQAAAAEx</t>
  </si>
  <si>
    <t>AQAAAAoyMDQ3MjcxNzQ1AwAAAAMxNjACAAAAAzE0MgQAAAABMAcAAAAJNy8xMS8yMDI2CAAAAAk2LzMwLzIwMTgJAAAAATAgnShrb9/eCAageW5v394IMkNJUS5OQVNEQVE6TVNGVC5JUV9FUFNfTk9STS45OTAuMTEvMDcvMjAyNi4uLlVTRC5IAQAAAEtVAAACAAAACDIuMTI2NDY3AQgAAAAFAAAAATEBAAAACjE4NTE1MjU5MTIDAAAAAzE2MAIAAAAENDM3OQQAAAABMAcAAAAJNy8xMS8yMDI2CAAAAAk2LzMwLzIwMTUJAAAAATAgnShrb9/eCLl4eW5v394INENJUS5OQVNEQVE6TVNGVC5JUV9JTVBBSVJfT0lMLjk5MC4xMS8wNy8yMDI2Li4uVVNELkgBAAAAS1UAAAMAAAAAACCdKGtv394IuXh5bm/f3ghBQ0lRLk5BU0RBUTpNU0ZULklRX1NUT0NLX0JBU0VEX0NPTVBfUFJFVEFYLjk5My4xMS8wNy8yMDI2Li4uVVNELkgBAAAAS1UAAAIAAAAEMzk0MAAgnShrb9/eCLl4eW5v394ILkNJUS5OQVNEQVE6TVNGVC5JUV9FQklULjk5MC4xMS8wNy8yMDI2Li4uVVNELkgBAAAAS1UAAAIAAAAFMjgxNzIBCAAAAAUAAAABMQEAAAAKMTg1MTUyNTkxMgMAAAADMTYwAgAAAAM0MDAEAAAAATAHAAAACTcvMTEvMjAyNggAAAAJNi8zMC8yMDE1CQAAAAEwIJ0oa2/f3gi5eHlub9/eCD9DSVEuTkFTREFROk1TRlQuSVFfRUJJVEFfRVFfSU5DX0VYQ0xfU0JDLjk5MC4xMS8wNy8yMDI2Li4uVVNELkgBAAAAS1UAAAIAAAAF</t>
  </si>
  <si>
    <t>MzIwNDYBCAAAAAUAAAABMQEAAAAKMTg1MTUyNTkxMgMAAAADMTYwAgAAAAUyNDEzMgQAAAABMAcAAAAJNy8xMS8yMDI2CAAAAAk2LzMwLzIwMTUJAAAAATAgnShrb9/eCLl4eW5v394IOUNJUS5OQVNEQVE6TVNGVC5JUV9FQklUREFSX0VRX0lOQy4yMDAwLjExLzA3LzIwMjYuLi5VU0QuSAEAAABLVQAAAwAAAAAAIJ0oa2/f3giLZHlub9/eCDNDSVEuTkFTREFROk1TRlQuSVFfRElWX1NIQVJFLjk5MS4xMS8wNy8yMDI2Li4uVVNELkgBAAAAS1UAAAIAAAAEMS40NAEIAAAABQAAAAExAQAAAAoxODk4NDg5NDcwAwAAAAMxNjACAAAABDMwNTgEAAAAATAHAAAACTcvMTEvMjAyNggAAAAJNi8zMC8yMDE2CQAAAAEwIJ0oa2/f3giLZHlub9/eCDFDSVEuTkFTREFROk1TRlQuSVFfRUJJVERBLjIwMDAuMTEvMDcvMjAyNi4uLlVTRC5IAQAAAEtVAAACAAAABjE4NDQ1NwEIAAAABQAAAAExAQAAAAstMTg5MzI5ODk5NQMAAAADMTYwAgAAAAQ0MDUxBAAAAAEwBwAAAAk3LzExLzIwMjYIAAAACTMvMzEvMjAyNgkAAAABMCCdKGtv394Ii2R5bm/f3ggtQ0lRLk5BU0RBUTpNU0ZULklRX05JLjIwMDAuMTEvMDcvMjAyNi4uLlVTRC5IAQAAAEtVAAACAAAABjEyNTIxNgEIAAAABQAAAAExAQAAAAstMTg5MzI5ODk5NQMAAAADMTYwAgAAAAIxNQQAAAABMAcAAAAJNy8xMS8yMDI2CAAAAAkzLzMxLzIwMjYJAAAAATAgnShr</t>
  </si>
  <si>
    <t>b9/eCItkeW5v394IN0NJUS5OQVNEQVE6TVNGVC5JUV9OSV9BVkFJTF9FWENMLjk5MC4xMS8wNy8yMDI2Li4uVVNELkgBAAAAS1UAAAIAAAAFMTIxOTMBCAAAAAUAAAABMQEAAAAKMTg1MTUyNTkxMgMAAAADMTYwAgAAAAMzNzkEAAAAATAHAAAACTcvMTEvMjAyNggAAAAJNi8zMC8yMDE1CQAAAAEwIJ0oa2/f3gi5eHlub9/eCDhDSVEuTkFTREFROk1TRlQuSVFfQkFTSUNfRVBTX0VYQ0wuOTkwLjExLzA3LzIwMjYuLi5VU0QuSAEAAABLVQAAAgAAAAgxLjQ5MTEzMwEIAAAABQAAAAExAQAAAAoxODUxNTI1OTEyAwAAAAMxNjACAAAABDMwNjQEAAAAATAHAAAACTcvMTEvMjAyNggAAAAJNi8zMC8yMDE1CQAAAAEwIJ0oa2/f3ghAUHlub9/eCDJDSVEuTkFTREFROk1TRlQuSVFfRVBTX05PUk0uOTkxLjExLzA3LzIwMjYuLi5VU0QuSAEAAABLVQAAAgAAAAgyLjA1OTMwNQEIAAAABQAAAAExAQAAAAoxODk4NDg5NDcwAwAAAAMxNjACAAAABDQzNzkEAAAAATAHAAAACTcvMTEvMjAyNggAAAAJNi8zMC8yMDE2CQAAAAEwIJ0oa2/f3ghAUHlub9/eCDVDSVEuTkFTREFROk1TRlQuSVFfTklfQ09NUEFOWS4yMDAwLjExLzA3LzIwMjYuLi5VU0QuSAEAAABLVQAAAgAAAAYxMjUyMTYBCAAAAAUAAAABMQEAAAALLTE4OTMyOTg5OTUDAAAAAzE2MAIAAAAFNDE1NzEEAAAAATAHAAAACTcvMTEvMjAyNggAAAAJMy8zMS8y</t>
  </si>
  <si>
    <t>MDI2CQAAAAEwIJ0oa2/f3ghAUHlub9/eCDhDSVEuTkFTREFROk1TRlQuSVFfR1dfSU5UQU5fQU1PUlQuOTkzLjExLzA3LzIwMjYuLi5VU0QuSAEAAABLVQAAAwAAAAAAIJ0oa2/f3giLZHlub9/eCE1DSVEuTkFTREFROk1TRlQuSVFfUFJPVl9CQURfREVCVFNfUEFUSUVOVF9TRVJWSUNFX1JFVi4yMDAwLjExLzA3LzIwMjYuLi5VU0QuSAEAAABLVQAAAwAAAAAAIJ0oa2/f3giLZHlub9/eCEFDSVEuTkFTREFROk1TRlQuSVFfRVhDSVNFX1RBWEVTX0VYQ0xfU0FMRVMuOTkxLjExLzA3LzIwMjYuLi5VU0QuSAEAAABLVQAAAwAAAAAAIJ0oa2/f3gjwO3lub9/eCD9DSVEuTkFTREFROk1TRlQuSVFfQ0FQSVRBTElaRURfSU5URVJFU1QuMjAwMC4xMS8wNy8yMDI2Li4uVVNELkgBAAAAS1UAAAMAAAAAACCdKGtv394I8Dt5bm/f3gg6Q0lRLk5BU0RBUTpNU0ZULklRX0VCSVREQV9FWENMX1NCQy4yMDAwLjExLzA3LzIwMjYuLi5VU0QuSAEAAABLVQAAAgAAAAYxOTY4MTMBCAAAAAUAAAABMQEAAAALLTE4OTMyOTg5OTUDAAAAAzE2MAIAAAAFMjQxMzUEAAAAATAHAAAACTcvMTEvMjAyNggAAAAJMy8zMS8yMDI2CQAAAAEwIJ0oa2/f3gjwO3lub9/eCC5DSVEuTkFTREFROk1TRlQuSVFfRUJJVC45OTEuMTEvMDcvMjAyNi4uLlVTRC5IAQAAAEtVAAACAAAABTI3MTg4AQgAAAAFAAAAATEBAAAACjE4OTg0ODk0NzAD</t>
  </si>
  <si>
    <t>AAAAAzE2MAIAAAADNDAwBAAAAAEwBwAAAAk3LzExLzIwMjYIAAAACTYvMzAvMjAxNgkAAAABMCCdKGtv394IQFB5bm/f3gg/Q0lRLk5BU0RBUTpNU0ZULklRX0VCSVRfRVFfSU5DX0VYQ0xfU0JDLjIwMDAuMTEvMDcvMjAyNi4uLlVTRC5IAQAAAEtVAAACAAAABjE2ODMwMQEIAAAABQAAAAExAQAAAAstMTg5MzI5ODk5NQMAAAADMTYwAgAAAAUyNDEzMAQAAAABMAcAAAAJNy8xMS8yMDI2CAAAAAkzLzMxLzIwMjYJAAAAATAgnShrb9/eCEBQeW5v394IP0NJUS5OQVNEQVE6TVNGVC5JUV9FQklUQV9FUV9JTkNfRVhDTF9TQkMuOTkxLjExLzA3LzIwMjYuLi5VU0QuSAEAAABLVQAAAgAAAAUzMDgzNAEIAAAABQAAAAExAQAAAAoxODk4NDg5NDcwAwAAAAMxNjACAAAABTI0MTMyBAAAAAEwBwAAAAk3LzExLzIwMjYIAAAACTYvMzAvMjAxNgkAAAABMCCdKGtv394IaSd5bm/f3ggzQ0lRLk5BU0RBUTpNU0ZULklRX0RJVl9TSEFSRS45OTIuMTEvMDcvMjAyNi4uLlVTRC5IAQAAAEtVAAACAAAABDEuNTYBCAAAAAUAAAABMQEAAAAKMTk3MzM4MDk1MQMAAAADMTYwAgAAAAQzMDU4BAAAAAEwBwAAAAk3LzExLzIwMjYIAAAACTYvMzAvMjAxNwkAAAABMCCdKGtv394IaSd5bm/f3gg3Q0lRLk5BU0RBUTpNU0ZULklRX0VCSVREQV9FUV9JTkMuOTkwLjExLzA3LzIwMjYuLi5VU0QuSAEAAABLVQAAAgAAAAUzMzU3MgEI</t>
  </si>
  <si>
    <t>AAAABQAAAAExAQAAAAoxODUxNTI1OTEyAwAAAAMxNjACAAAABTIxNjc3BAAAAAEwBwAAAAk3LzExLzIwMjYIAAAACTYvMzAvMjAxNQkAAAABMCCdKGtv394IaSd5bm/f3gg4Q0lRLk5BU0RBUTpNU0ZULklRX1BSRUZfRElWX09USEVSLjk5MC4xMS8wNy8yMDI2Li4uVVNELkgBAAAAS1UAAAMAAAAAACCdKGtv394I8Dt5bm/f3gg3Q0lRLk5BU0RBUTpNU0ZULklRX05JX0FWQUlMX0VYQ0wuOTkxLjExLzA3LzIwMjYuLi5VU0QuSAEAAABLVQAAAgAAAAUyMDUzOQEIAAAABQAAAAExAQAAAAoxODk4NDg5NDcwAwAAAAMxNjACAAAAAzM3OQQAAAABMAcAAAAJNy8xMS8yMDI2CAAAAAk2LzMwLzIwMTYJAAAAATAgnShrb9/eCPA7eW5v394IOENJUS5OQVNEQVE6TVNGVC5JUV9CQVNJQ19FUFNfRVhDTC45OTIuMTEvMDcvMjAyNi4uLlVTRC5IAQAAAEtVAAACAAAACDMuMjkwNjAxAQgAAAAFAAAAATEBAAAACjE5NzMzODA5NTEDAAAAAzE2MAIAAAAEMzA2NAQAAAABMAcAAAAJNy8xMS8yMDI2CAAAAAk2LzMwLzIwMTcJAAAAATAgnShrb9/eCMMSeW5v394IMkNJUS5OQVNEQVE6TVNGVC5JUV9FUFNfTk9STS45OTIuMTEvMDcvMjAyNi4uLlVTRC5IAQAAAEtVAAACAAAACDIuMjQ0NTQ1AQgAAAAFAAAAATEBAAAACjE5NzMzODA5NTEDAAAAAzE2MAIAAAAENDM3OQQAAAABMAcAAAAJNy8xMS8yMDI2CAAAAAk2LzMwLzIw</t>
  </si>
  <si>
    <t>MTcJAAAAATAgnShrb9/eCMMSeW5v394INENJUS5OQVNEQVE6TVNGVC5JUV9JTlNfU0VUVExFLjk5MC4xMS8wNy8yMDI2Li4uVVNELkgBAAAAS1UAAAMAAAAAACCdKGtv394IwxJ5bm/f3ggyQ0lRLk5BU0RBUTpNU0ZULklRX0lOQ19UQVguMjAwMC4xMS8wNy8yMDI2Li4uVVNELkgBAAAAS1UAAAIAAAAFMjkyODcBCAAAAAUAAAABMQEAAAALLTE4OTMyOTg5OTUDAAAAAzE2MAIAAAACNzUEAAAAATAHAAAACTcvMTEvMjAyNggAAAAJMy8zMS8yMDI2CQAAAAEwIJ0oa2/f3gjDEnlub9/eCC1DSVEuTkFTREFROk1TRlQuSVFfRE8uMjAwMC4xMS8wNy8yMDI2Li4uVVNELkgBAAAAS1UAAAMAAAAAACCdKGtv394IaSd5bm/f3gg+Q0lRLk5BU0RBUTpNU0ZULklRX01JTk9SSVRZX0lOVEVSRVNUX0lTLjk5MC4xMS8wNy8yMDI2Li4uVVNELkgBAAAAS1UAAAMAAAAAACCdKGtv394IKv54bm/f3gg4Q0lRLk5BU0RBUTpNU0ZULklRX0lNUEFJUk1FTlRfR1cuMjAwMC4xMS8wNy8yMDI2Li4uVVNELkgBAAAAS1UAAAMAAAAAACCdKGtv394IKv54bm/f3gg2Q0lRLk5BU0RBUTpNU0ZULklRX0dBSU5fQVNTRVRTLjIwMDAuMTEvMDcvMjAyNi4uLlVTRC5IAQAAAEtVAAADAAAAAAAgnShrb9/eCCr+eG5v394IMUNJUS5OQVNEQVE6TVNGVC5JUV9SRF9FWFAuMjAwMC4xMS8wNy8yMDI2Li4uVVNELkgBAAAAS1UAAAIAAAAFMzQz</t>
  </si>
  <si>
    <t>OTQBCAAAAAUAAAABMQEAAAALLTE4OTMyOTg5OTUDAAAAAzE2MAIAAAADMTAwBAAAAAEwBwAAAAk3LzExLzIwMjYIAAAACTMvMzEvMjAyNgkAAAABMCCdKGtv394IKv54bm/f3gg1Q0lRLk5BU0RBUTpNU0ZULklRX0ZJTl9ESVZfRVhQLjk5MC4xMS8wNy8yMDI2Li4uVVNELkgBAAAAS1UAAAMAAAAAACCdKGtv394IwxJ5bm/f3gg4Q0lRLk5BU0RBUTpNU0ZULklRX1BST1ZfQkFEX0RFQlRTLjk5Mi4xMS8wNy8yMDI2Li4uVVNELkgBAAAAS1UAAAMAAAAAACCdKGtv394Ixel4bm/f3gg1Q0lRLk5BU0RBUTpNU0ZULklRX0lOU19ESVZfUkVWLjk5Mi4xMS8wNy8yMDI2Li4uVVNELkgBAAAAS1UAAAMAAAAAACCdKGtv394Ixel4bm/f3gg5Q0lRLk5BU0RBUTpNU0ZULklRX09USEVSX1JFVl9TVVBQTC45OTAuMTEvMDcvMjAyNi4uLlVTRC5IAQAAAEtVAAADAAAAAAAgnShrb9/eCMXpeG5v394INUNJUS5OQVNEQVE6TVNGVC5JUV9GSU5fRElWX1JFVi45OTIuMTEvMDcvMjAyNi4uLlVTRC5IAQAAAEtVAAADAAAAAAAgnShrb9/eCMXpeG5v394INUNJUS5OQVNEQVE6TVNGVC5JUV9BRFZFUlRJU0lORy45OTAuMTEvMDcvMjAyNi4uLlVTRC5IAQAAAEtVAAACAAAABDE5MDABCAAAAAUAAAABMQEAAAAKMTg1MTUyNTkxMgMAAAADMTYwAgAAAAQzMDEzBAAAAAEwBwAAAAk3LzExLzIwMjYIAAAACTYvMzAvMjAxNQkAAAAB</t>
  </si>
  <si>
    <t>MCCdKGtv394Ixel4bm/f3gg4Q0lRLk5BU0RBUTpNU0ZULklRX01JTklNVU1fUkVOVEFMLjk5MC4xMS8wNy8yMDI2Li4uVVNELkgBAAAAS1UAAAMAAAAAACCdKGtv394IksF4bm/f3ghBQ0lRLk5BU0RBUTpNU0ZULklRX0dBSU5fQkFSR0FJTl9BQ1FfU1VQUExFLjk5MS4xMS8wNy8yMDI2Li4uVVNELkgBAAAAS1UAAAMAAAAAACCdKGtv394IjNV4bm/f3ghEQ0lRLk5BU0RBUTpNU0ZULklRX1NUT0NLX09QVElPTlNfQ09NUF9QUkVUQVguMjAwMC4xMS8wNy8yMDI2Li4uVVNELkgBAAAAS1UAAAMAAAAAACCdKGtv394IjNV4bm/f3gg1Q0lRLk5BU0RBUTpNU0ZULklRX0NVUlJfVEFYRVMuMjAwMC4xMS8wNy8yMDI2Li4uVVNELkgBAAAAS1UAAAIAAAAFMjg4NTEBCAAAAAUAAAABMQEAAAALLTE4OTMyOTg5OTUDAAAAAzE2MAIAAAAFMzUzODMEAAAAATAHAAAACTcvMTEvMjAyNggAAAAJMy8zMS8yMDI2CQAAAAEwIJ0oa2/f3giM1Xhub9/eCDVDSVEuTkFTREFROk1TRlQuSVFfSU5UX0VYUF9MVEQuOTkyLjExLzA3LzIwMjYuLi5VU0QuSAEAAABLVQAAAgAAAAI2OAEIAAAABQAAAAExAQAAAAoxOTczMzgwOTUxAwAAAAMxNjACAAAABDMxMDEEAAAAATAHAAAACTcvMTEvMjAyNggAAAAJNi8zMC8yMDE3CQAAAAEwIJ0oa2/f3giM1Xhub9/eCDdDSVEuTkFTREFROk1TRlQuSVFfRUJJVF9FWENMX1NCQy45OTAuMTEv</t>
  </si>
  <si>
    <t>MDcvMjAyNi4uLlVTRC5IAQAAAEtVAAACAAAABTMwNzQ2AQgAAAAFAAAAATEBAAAACjE4NTE1MjU5MTIDAAAAAzE2MAIAAAAFMjQxMzQEAAAAATAHAAAACTcvMTEvMjAyNggAAAAJNi8zMC8yMDE1CQAAAAEwIJ0oa2/f3gg3rXhub9/eCDhDSVEuTkFTREFROk1TRlQuSVFfRUJJVERBUl9FUV9JTkMuOTkxLjExLzA3LzIwMjYuLi5VU0QuSAEAAABLVQAAAgAAAAUzNDAwMgEIAAAABQAAAAExAQAAAAoxODk4NDg5NDcwAwAAAAMxNjACAAAABTI0MTI5BAAAAAEwBwAAAAk3LzExLzIwMjYIAAAACTYvMzAvMjAxNgkAAAABMCCdKGtv394IksF4bm/f3ghOQ0lRLk5BU0RBUTpNU0ZULklRX0RJU1RSSUJVVEFCTEVfQ0FTSF9QRVJfU0hBUkVfRElMVVRFRC45OTEuMTEvMDcvMjAyNi4uLlVTRC5IAQAAAEtVAAADAAAAAAAgnShrb9/eCJLBeG5v394IM0NJUS5OQVNEQVE6TVNGVC5JUV9ESVZfU0hBUkUuOTkzLjExLzA3LzIwMjYuLi5VU0QuSAEAAABLVQAAAgAAAAQxLjY4AQgAAAAFAAAAATEBAAAACjIwNDcyNzE3NDUDAAAAAzE2MAIAAAAEMzA1OAQAAAABMAcAAAAJNy8xMS8yMDI2CAAAAAk2LzMwLzIwMTgJAAAAATAgnShrb9/eCJLBeG5v394IN0NJUS5OQVNEQVE6TVNGVC5JUV9FQklUREFfRVFfSU5DLjk5MS4xMS8wNy8yMDI2Li4uVVNELkgBAAAAS1UAAAIAAAAFMzMwNjYBCAAAAAUAAAABMQEAAAAKMTg5ODQ4</t>
  </si>
  <si>
    <t>OTQ3MAMAAAADMTYwAgAAAAUyMTY3NwQAAAABMAcAAAAJNy8xMS8yMDI2CAAAAAk2LzMwLzIwMTYJAAAAATAgnShrb9/eCJLBeG5v394IOENJUS5OQVNEQVE6TVNGVC5JUV9QUkVGX0RJVl9PVEhFUi45OTEuMTEvMDcvMjAyNi4uLlVTRC5IAQAAAEtVAAADAAAAAAAgnShrb9/eCCOZeG5v394IN0NJUS5OQVNEQVE6TVNGVC5JUV9OSV9BVkFJTF9FWENMLjk5Mi4xMS8wNy8yMDI2Li4uVVNELkgBAAAAS1UAAAIAAAAFMjU0ODkBCAAAAAUAAAABMQEAAAAKMTk3MzM4MDk1MQMAAAADMTYwAgAAAAMzNzkEAAAAATAHAAAACTcvMTEvMjAyNggAAAAJNi8zMC8yMDE3CQAAAAEwIJ0oa2/f3ggjmXhub9/eCDhDSVEuTkFTREFROk1TRlQuSVFfQkFTSUNfRVBTX0VYQ0wuOTkzLjExLzA3LzIwMjYuLi5VU0QuSAEAAABLVQAAAgAAAAgyLjE1MjA3NwEIAAAABQAAAAExAQAAAAoyMDQ3MjcxNzQ1AwAAAAMxNjACAAAABDMwNjQEAAAAATAHAAAACTcvMTEvMjAyNggAAAAJNi8zMC8yMDE4CQAAAAEwIJ0oa2/f3gg3rXhub9/eCDhDSVEuTkFTREFROk1TRlQuSVFfRElMVVRfRVBTX0lOQ0wuOTkxLjExLzA3LzIwMjYuLi5VU0QuSAEAAABLVQAAAgAAAAQyLjU2AQgAAAAFAAAAATEBAAAACjE4OTg0ODk0NzADAAAAAzE2MAIAAAABOAQAAAABMAcAAAAJNy8xMS8yMDI2CAAAAAk2LzMwLzIwMTYJAAAAATAgnShrb9/eCDeteG5v</t>
  </si>
  <si>
    <t>394IMkNJUS5OQVNEQVE6TVNGVC5JUV9FUFNfTk9STS45OTMuMTEvMDcvMjAyNi4uLlVTRC5IAQAAAEtVAAACAAAACDIuNzU5MzM0AQgAAAAFAAAAATEBAAAACjIwNDcyNzE3NDUDAAAAAzE2MAIAAAAENDM3OQQAAAABMAcAAAAJNy8xMS8yMDI2CAAAAAk2LzMwLzIwMTgJAAAAATAgnShrb9/eCDeteG5v394INENJUS5OQVNEQVE6TVNGVC5JUV9JTlNfU0VUVExFLjk5MS4xMS8wNy8yMDI2Li4uVVNELkgBAAAAS1UAAAMAAAAAACCdKGtv394I64F4bm/f3gg9Q0lRLk5BU0RBUTpNU0ZULklRX09USEVSX1VOVVNVQUxfU1VQUEwuOTkyLjExLzA3LzIwMjYuLi5VU0QuSAEAAABLVQAAAwAAAAAAIJ0oa2/f3gjrgXhub9/eCDFDSVEuTkFTREFROk1TRlQuSVFfSU5DX1RBWC45OTIuMTEvMDcvMjAyNi4uLlVTRC5IAQAAAEtVAAACAAAABDQ0MTIBCAAAAAUAAAABMQEAAAAKMTk3MzM4MDk1MQMAAAADMTYwAgAAAAI3NQQAAAABMAcAAAAJNy8xMS8yMDI2CAAAAAk2LzMwLzIwMTcJAAAAATAgnShrb9/eCOuBeG5v394IOUNJUS5OQVNEQVE6TVNGVC5JUV9FWFRSQV9BQ0NfSVRFTVMuOTkwLjExLzA3LzIwMjYuLi5VU0QuSAEAAABLVQAAAwAAAAAAIJ0oa2/f3gjrgXhub9/eCD5DSVEuTkFTREFROk1TRlQuSVFfTUlOT1JJVFlfSU5URVJFU1RfSVMuOTkxLjExLzA3LzIwMjYuLi5VU0QuSAEAAABLVQAAAwAAAAAAIJ0o</t>
  </si>
  <si>
    <t>a2/f3ggjmXhub9/eCENDSVEuTkFTREFROk1TRlQuSVFfT1RIRVJfTk9OX09QRVJfRVhQX1NVUFBMLjIwMDAuMTEvMDcvMjAyNi4uLlVTRC5IAQAAAEtVAAACAAAABDMxNzgBCAAAAAUAAAABMQEAAAALLTE4OTMyOTg5OTUDAAAAAzE2MAIAAAACODUEAAAAATAHAAAACTcvMTEvMjAyNggAAAAJMy8zMS8yMDI2CQAAAAEwIJ0oa2/f3gjvVnhub9/eCDZDSVEuTkFTREFROk1TRlQuSVFfUkVTVFJVQ1RVUkUuMjAwMC4xMS8wNy8yMDI2Li4uVVNELkgBAAAAS1UAAAMAAAAAACCdKGtv394I71Z4bm/f3gg1Q0lRLk5BU0RBUTpNU0ZULklRX0dBSU5fSU5WRVNULjk5MC4xMS8wNy8yMDI2Li4uVVNELkgBAAAAS1UAAAIAAAADNjk3AQgAAAAFAAAAATEBAAAACjE4NTE1MjU5MTIDAAAAAzE2MAIAAAACNjIEAAAAATAHAAAACTcvMTEvMjAyNggAAAAJNi8zMC8yMDE1CQAAAAEwIJ0oa2/f3gjZbXhub9/eCDlDSVEuTkFTREFROk1TRlQuSVFfQVNTRVRfV1JJVEVET1dOLjk5MC4xMS8wNy8yMDI2Li4uVVNELkgBAAAAS1UAAAIAAAAFLTIzNzYBCAAAAAUAAAABMQEAAAAKMTg1MTUyNTkxMgMAAAADMTYwAgAAAAIzMgQAAAABMAcAAAAJNy8xMS8yMDI2CAAAAAk2LzMwLzIwMTUJAAAAATAgnShrb9/eCNlteG5v394IMENJUS5OQVNEQVE6TVNGVC5JUV9SRF9FWFAuOTkyLjExLzA3LzIwMjYuLi5VU0QuSAEAAABLVQAAAgAA</t>
  </si>
  <si>
    <t>AAUxMzAzNwEIAAAABQAAAAExAQAAAAoxOTczMzgwOTUxAwAAAAMxNjACAAAAAzEwMAQAAAABMAcAAAAJNy8xMS8yMDI2CAAAAAk2LzMwLzIwMTcJAAAAATAgnShrb9/eCNlteG5v394INUNJUS5OQVNEQVE6TVNGVC5JUV9GSU5fRElWX0VYUC45OTEuMTEvMDcvMjAyNi4uLlVTRC5IAQAAAEtVAAADAAAAAAAgnShrb9/eCA1DeG5v394ILUNJUS5OQVNEQVE6TVNGVC5JUV9HUC4yMDAwLjExLzA3LzIwMjYuLi5VU0QuSAEAAABLVQAAAgAAAAYyMTc0MTABCAAAAAUAAAABMQEAAAALLTE4OTMyOTg5OTUDAAAAAzE2MAIAAAACMTAEAAAAATAHAAAACTcvMTEvMjAyNggAAAAJMy8zMS8yMDI2CQAAAAEwIJ0oa2/f3ggNQ3hub9/eCDVDSVEuTkFTREFROk1TRlQuSVFfSU5TX0RJVl9SRVYuOTkzLjExLzA3LzIwMjYuLi5VU0QuSAEAAABLVQAAAwAAAAAAIJ0oa2/f3ggNQ3hub9/eCDVDSVEuTkFTREFROk1TRlQuSVFfSU5UX0lOVl9JTkMuOTkzLjExLzA3LzIwMjYuLi5VU0QuSAEAAABLVQAAAwAAAAAAIJ0oa2/f3ggNQ3hub9/eCDlDSVEuTkFTREFROk1TRlQuSVFfQVNTRVRfV1JJVEVET1dOLjk5MS4xMS8wNy8yMDI2Li4uVVNELkgBAAAAS1UAAAIAAAAELTYzMAEIAAAABQAAAAExAQAAAAoxODk4NDg5NDcwAwAAAAMxNjACAAAAAjMyBAAAAAEwBwAAAAk3LzExLzIwMjYIAAAACTYvMzAvMjAxNgkAAAABMCCdKGtv</t>
  </si>
  <si>
    <t>394I71Z4bm/f3gg0Q0lRLk5BU0RBUTpNU0ZULklRX0lOU19TRVRUTEUuOTkyLjExLzA3LzIwMjYuLi5VU0QuSAEAAABLVQAAAwAAAAAAIJ0oa2/f3gj3LXhub9/eCDFDSVEuTkFTREFROk1TRlQuSVFfSU5DX1RBWC45OTMuMTEvMDcvMjAyNi4uLlVTRC5IAQAAAEtVAAACAAAABTE5OTAzAQgAAAAFAAAAATEBAAAACjIwNDcyNzE3NDUDAAAAAzE2MAIAAAACNzUEAAAAATAHAAAACTcvMTEvMjAyNggAAAAJNi8zMC8yMDE4CQAAAAEwIJ0oa2/f3gj3LXhub9/eCCxDSVEuTkFTREFROk1TRlQuSVFfRE8uOTkzLjExLzA3LzIwMjYuLi5VU0QuSAEAAABLVQAAAwAAAAAAIJ0oa2/f3gj3LXhub9/eCDBDSVEuTkFTREFROk1TRlQuSVFfUkRfRVhQLjk5My4xMS8wNy8yMDI2Li4uVVNELkgBAAAAS1UAAAIAAAAFMTQ3MjYBCAAAAAUAAAABMQEAAAAKMjA0NzI3MTc0NQMAAAADMTYwAgAAAAMxMDAEAAAAATAHAAAACTcvMTEvMjAyNggAAAAJNi8zMC8yMDE4CQAAAAEwIJ0oa2/f3gj3LXhub9/eCDJDSVEuTkFTREFROk1TRlQuSVFfRUJUX0VYQ0wuOTkwLjExLzA3LzIwMjYuLi5VU0QuSAEAAABLVQAAAgAAAAUyNzgyMQEIAAAABQAAAAExAQAAAAoxODUxNTI1OTEyAwAAAAMxNjACAAAAATQEAAAAATAHAAAACTcvMTEvMjAyNggAAAAJNi8zMC8yMDE1CQAAAAEwIJ0oa2/f3gj3LXhub9/eCDBDSVEuTkFTREFROk1TRlQu</t>
  </si>
  <si>
    <t>SVFfTUVSR0VSLjk5MC4xMS8wNy8yMDI2Li4uVVNELkgBAAAAS1UAAAIAAAAELTQzNQEIAAAABQAAAAExAQAAAAoxODUxNTI1OTEyAwAAAAMxNjACAAAAAjgwBAAAAAEwBwAAAAk3LzExLzIwMjYIAAAACTYvMzAvMjAxNQkAAAABMCCdKGtv394IExp4bm/f3ggzQ0lRLk5BU0RBUTpNU0ZULklRX1NHQV9TVVBQTC45OTAuMTEvMDcvMjAyNi4uLlVTRC5IAQAAAEtVAAACAAAABTIwMzI0AQgAAAAFAAAAATEBAAAACjE4NTE1MjU5MTIDAAAAAzE2MAIAAAADMTAyBAAAAAEwBwAAAAk3LzExLzIwMjYIAAAACTYvMzAvMjAxNQkAAAABMCCdKGtv394IExp4bm/f3ggtQ0lRLk5BU0RBUTpNU0ZULklRX1JFVi45OTEuMTEvMDcvMjAyNi4uLlVTRC5IAQAAAEtVAAACAAAABTkxMTU0AQgAAAAFAAAAATEBAAAACjE4OTg0ODk0NzADAAAAAzE2MAIAAAADMTEyBAAAAAEwBwAAAAk3LzExLzIwMjYIAAAACTYvMzAvMjAxNgkAAAABMCCdKGtv394IExp4bm/f3gg5Q0lRLk5BU0RBUTpNU0ZULklRX0ZJTl9ESVZfSU5UX0VYUC45OTAuMTEvMDcvMjAyNi4uLlVTRC5IAQAAAEtVAAADAAAAAAAgnShrb9/eCBMaeG5v394IN0NJUS5OQVNEQVE6TVNGVC5JUV9FWFBMT1JFX0RSSUxMLjk5MC4xMS8wNy8yMDI2Li4uVVNELkgBAAAAS1UAAAMAAAAAACCdKGtv394IExp4bm/f3ghAQ0lRLk5BU0RBUTpNU0ZULklRX1NUT0NLX09QVElP</t>
  </si>
  <si>
    <t>TlNfQ09NUF9UQVguOTkyLjExLzA3LzIwMjYuLi5VU0QuSAEAAABLVQAAAwAAAAAAIJ0oa2/f3ggfBXhub9/eCEFDSVEuTkFTREFROk1TRlQuSVFfREVGRVJSRURfRE9NRVNUSUNfVEFYRVMuOTkwLjExLzA3LzIwMjYuLi5VU0QuSAEAAABLVQAAAwAAAAAAIJ0oa2/f3ggfBXhub9/eCDhDSVEuTkFTREFROk1TRlQuSVFfTUlOSU1VTV9SRU5UQUwuOTkxLjExLzA3LzIwMjYuLi5VU0QuSAEAAABLVQAAAwAAAAAAIJ0oa2/f3ggfBXhub9/eCDZDSVEuTkFTREFROk1TRlQuSVFfRUJJVEFfRVFfSU5DLjk5My4xMS8wNy8yMDI2Li4uVVNELkgBAAAAS1UAAAIAAAAFMzcyNTgBCAAAAAUAAAABMQEAAAAKMjA0NzI3MTc0NQMAAAADMTYwAgAAAAUyMTY3NgQAAAABMAcAAAAJNy8xMS8yMDI2CAAAAAk2LzMwLzIwMTgJAAAAATBBsShrb9/eCB8FeG5v394IOENJUS5OQVNEQVE6TVNGVC5JUV9FQklUREFSX0VRX0lOQy45OTIuMTEvMDcvMjAyNi4uLlVTRC5IAQAAAEtVAAACAAAABTM5OTU1AQgAAAAFAAAAATEBAAAACjE5NzMzODA5NTEDAAAAAzE2MAIAAAAFMjQxMjkEAAAAATAHAAAACTcvMTEvMjAyNggAAAAJNi8zMC8yMDE3CQAAAAEwQbEoa2/f3ggfBXhub9/eCDdDSVEuTkFTREFROk1TRlQuSVFfRUJJVERBX0NBUEVYLjIwMDAuMTEvMDcvMjAyNi4uLlVTRC5IAQAAAEtVAAACAAAABTg3MjMyAQgAAAAFAAAAATEB</t>
  </si>
  <si>
    <t>AAAACy0xODkzMjk4OTk1AwAAAAMxNjACAAAABTM1Mzc5BAAAAAEwBwAAAAk3LzExLzIwMjYIAAAACTMvMzEvMjAyNgkAAAABMEGxKGtv394ICPF3bm/f3gg3Q0lRLk5BU0RBUTpNU0ZULklRX0VCSVREQV9FUV9JTkMuOTkyLjExLzA3LzIwMjYuLi5VU0QuSAEAAABLVQAAAgAAAAUzODU0MwEIAAAABQAAAAExAQAAAAoxOTczMzgwOTUxAwAAAAMxNjACAAAABTIxNjc3BAAAAAEwBwAAAAk3LzExLzIwMjYIAAAACTYvMzAvMjAxNwkAAAABMEGxKGtv394ICPF3bm/f3gg+Q0lRLk5BU0RBUTpNU0ZULklRX0VCSVRfRVFfSU5DX0VYQ0xfU0JDLjk5My4xMS8wNy8yMDI2Li4uVVNELkgBAAAAS1UAAAIAAAAFMzg5OTgBCAAAAAUAAAABMQEAAAAKMjA0NzI3MTc0NQMAAAADMTYwAgAAAAUyNDEzMAQAAAABMAcAAAAJNy8xMS8yMDI2CAAAAAk2LzMwLzIwMTgJAAAAATBBsShrb9/eCAjxd25v394IOENJUS5OQVNEQVE6TVNGVC5JUV9ESUxVVF9FUFNfSU5DTC45OTIuMTEvMDcvMjAyNi4uLlVTRC5IAQAAAEtVAAACAAAABDMuMjUBCAAAAAUAAAABMQEAAAAKMTk3MzM4MDk1MQMAAAADMTYwAgAAAAE4BAAAAAEwBwAAAAk3LzExLzIwMjYIAAAACTYvMzAvMjAxNwkAAAABMEGxKGtv394ICPF3bm/f3ghOQ0lRLk5BU0RBUTpNU0ZULklRX0RJU1RSSUJVVEFCTEVfQ0FTSF9QRVJfU0hBUkVfRElMVVRFRC45OTIuMTEvMDcv</t>
  </si>
  <si>
    <t>MjAyNi4uLlVTRC5IAQAAAEtVAAADAAAAAABBsShrb9/eCAjxd25v394INUNJUS5OQVNEQVE6TVNGVC5JUV9HQUlOX0lOVkVTVC45OTEuMTEvMDcvMjAyNi4uLlVTRC5IAQAAAEtVAAACAAAAAzYzNwEIAAAABQAAAAExAQAAAAoxODk4NDg5NDcwAwAAAAMxNjACAAAAAjYyBAAAAAEwBwAAAAk3LzExLzIwMjYIAAAACTYvMzAvMjAxNgkAAAABMEGxKGtv394Itcl3bm/f3gg9Q0lRLk5BU0RBUTpNU0ZULklRX09USEVSX1VOVVNVQUxfU1VQUEwuOTkzLjExLzA3LzIwMjYuLi5VU0QuSAEAAABLVQAAAwAAAAAAQbEoa2/f3gi1yXdub9/eCDdDSVEuTkFTREFROk1TRlQuSVFfTklfQVZBSUxfRVhDTC45OTMuMTEvMDcvMjAyNi4uLlVTRC5IAQAAAEtVAAACAAAABTE2NTcxAQgAAAAFAAAAATEBAAAACjIwNDcyNzE3NDUDAAAAAzE2MAIAAAADMzc5BAAAAAEwBwAAAAk3LzExLzIwMjYIAAAACTYvMzAvMjAxOAkAAAABMEGxKGtv394Itcl3bm/f3gg1Q0lRLk5BU0RBUTpNU0ZULklRX0ZJTl9ESVZfRVhQLjk5Mi4xMS8wNy8yMDI2Li4uVVNELkgBAAAAS1UAAAMAAAAAAEGxKGtv394Itcl3bm/f3ggyQ0lRLk5BU0RBUTpNU0ZULklRX09QRVJfSU5DLjk5MC4xMS8wNy8yMDI2Li4uVVNELkgBAAAAS1UAAAIAAAAFMjgxNzIBCAAAAAUAAAABMQEAAAAKMTg1MTUyNTkxMgMAAAADMTYwAgAAAAIyMQQAAAABMAcAAAAJNy8x</t>
  </si>
  <si>
    <t>MS8yMDI2CAAAAAk2LzMwLzIwMTUJAAAAATBBsShrb9/eCLXJd25v394IPUNJUS5OQVNEQVE6TVNGVC5JUV9JTlRFUkVTVF9JTlZFU1RfSU5DLjk5MS4xMS8wNy8yMDI2Li4uVVNELkgBAAAAS1UAAAIAAAADOTAzAQgAAAAFAAAAATEBAAAACjE4OTg0ODk0NzADAAAAAzE2MAIAAAACNjUEAAAAATAHAAAACTcvMTEvMjAyNggAAAAJNi8zMC8yMDE2CQAAAAEwQbEoa2/f3gi1yXdub9/eCDRDSVEuTkFTREFROk1TRlQuSVFfSU5DX0VRVUlUWS45OTIuMTEvMDcvMjAyNi4uLlVTRC5IAQAAAEtVAAADAAAAAABBsShrb9/eCLXJd25v394IOkNJUS5OQVNEQVE6TVNGVC5JUV9HQUlOX0lOVkVTVF9SRVYuMjAwMC4xMS8wNy8yMDI2Li4uVVNELkgBAAAAS1UAAAMAAAAAAEGxKGtv394Itcl3bm/f3ggtQ0lRLk5BU0RBUTpNU0ZULklRX1JFVi45OTAuMTEvMDcvMjAyNi4uLlVTRC5IAQAAAEtVAAACAAAABTkzNTgwAQgAAAAFAAAAATEBAAAACjE4NTE1MjU5MTIDAAAAAzE2MAIAAAADMTEyBAAAAAEwBwAAAAk3LzExLzIwMjYIAAAACTYvMzAvMjAxNQkAAAABMEGxKGtv394Itcl3bm/f3gg1Q0lRLk5BU0RBUTpNU0ZULklRX0lOVF9JTlZfSU5DLjk5MC4xMS8wNy8yMDI2Li4uVVNELkgBAAAAS1UAAAMAAAAAAEGxKGtv394Itcl3bm/f3gg1Q0lRLk5BU0RBUTpNU0ZULklRX0ZJTl9ESVZfUkVWLjk5Ni4xMS8wNy8yMDI2</t>
  </si>
  <si>
    <t>Li4uVVNELkgBAAAAS1UAAAMAAAAAAEGxKGtv394Ib6B3bm/f3gg1Q0lRLk5BU0RBUTpNU0ZULklRX0ZJTl9ESVZfRVhQLjk5NC4xMS8wNy8yMDI2Li4uVVNELkgBAAAAS1UAAAMAAAAAAEGxKGtv394I1bV3bm/f3gg0Q0lRLk5BU0RBUTpNU0ZULklRX0lOQ19FUVVJVFkuOTk2LjExLzA3LzIwMjYuLi5VU0QuSAEAAABLVQAAAwAAAAAAQbEoa2/f3gjVtXdub9/eCDdDSVEuTkFTREFROk1TRlQuSVFfUFJFX09QRU5fQ09TVC45OTkuMTEvMDcvMjAyNi4uLlVTRC5IAQAAAEtVAAADAAAAAABBsShrb9/eCNW1d25v394INUNJUS5OQVNEQVE6TVNGVC5JUV9JTlNfRElWX0VYUC45OTQuMTEvMDcvMjAyNi4uLlVTRC5IAQAAAEtVAAADAAAAAABBsShrb9/eCNW1d25v394IS0NJUS5OQVNEQVE6TVNGVC5JUV9FQklUREFfRVFfSU5DX0VYQ0xfT1BFUl9MRUFTRV9BREouOTk1LjExLzA3LzIwMjYuLi5VU0QuSAEAAABLVQAAAgAAAAU2NTI1OQEIAAAABQAAAAExAQAAAAstMjA4NzQ5NjYyNwMAAAADMTYwAgAAAAU0ODk4NwQAAAABMAcAAAAJNy8xMS8yMDI2CAAAAAk2LzMwLzIwMjAJAAAAATBBsShrb9/eCIiMd25v394IOUNJUS5OQVNEQVE6TVNGVC5JUV9FQklUREFfRVhDTF9TQkMuOTk2LjExLzA3LzIwMjYuLi5VU0QuSAEAAABLVQAAAgAAAAU4NjkzNAEIAAAABQAAAAExAQAAAAstMjAzNjg0Mzg0MwMAAAADMTYw</t>
  </si>
  <si>
    <t>AgAAAAUyNDEzNQQAAAABMAcAAAAJNy8xMS8yMDI2CAAAAAk2LzMwLzIwMjEJAAAAATBBsShrb9/eCG+gd25v394IOUNJUS5OQVNEQVE6TVNGVC5JUV9UT1RBTF9SRVZfU0hBUkUuOTk5LjExLzA3LzIwMjYuLi5VU0QuSAEAAABLVQAAAgAAAAkzMi45ODY0MDgBCAAAAAUAAAABMQEAAAALLTE5MzQyNTQxODUDAAAAAzE2MAIAAAAENDM4MgQAAAABMAcAAAAJNy8xMS8yMDI2CAAAAAk2LzMwLzIwMjQJAAAAATBBsShrb9/eCG+gd25v394IOENJUS5OQVNEQVE6TVNGVC5JUV9CQVNJQ19FUFNfRVhDTC45OTQuMTEvMDcvMjAyNi4uLlVTRC5IAQAAAEtVAAACAAAACDUuMTE0MDM2AQgAAAAFAAAAATEBAAAACy0yMTQwOTgxNDY5AwAAAAMxNjACAAAABDMwNjQEAAAAATAHAAAACTcvMTEvMjAyNggAAAAJNi8zMC8yMDE5CQAAAAEwQbEoa2/f3ghvoHdub9/eCCxDSVEuTkFTREFROk1TRlQuSVFfTkkuOTk1LjExLzA3LzIwMjYuLi5VU0QuSAEAAABLVQAAAgAAAAU0NDI4MQEIAAAABQAAAAExAQAAAAstMjA4NzQ5NjYyNwMAAAADMTYwAgAAAAIxNQQAAAABMAcAAAAJNy8xMS8yMDI2CAAAAAk2LzMwLzIwMjAJAAAAATBBsShrb9/eCG+gd25v394IOENJUS5OQVNEQVE6TVNGVC5JUV9QUk9WX0JBRF9ERUJUUy45OTguMTEvMDcvMjAyNi4uLlVTRC5IAQAAAEtVAAADAAAAAABBsShrb9/eCIt2d25v394IOkNJUS5OQVNE</t>
  </si>
  <si>
    <t>QVE6TVNGVC5JUV9HQUlOX0JBUkdBSU5fQUNRLjk5Ni4xMS8wNy8yMDI2Li4uVVNELkgBAAAAS1UAAAMAAAAAAEGxKGtv394Ii3Z3bm/f3ggyQ0lRLk5BU0RBUTpNU0ZULklRX0RJTFVUX05JLjk5OS4xMS8wNy8yMDI2Li4uVVNELkgBAAAAS1UAAAIAAAAHODgxMzQuMgEIAAAABQAAAAExAQAAAAstMTkzNDI1NDE4NQMAAAADMTYwAgAAAAQzNTIyBAAAAAEwBwAAAAk3LzExLzIwMjYIAAAACTYvMzAvMjAyNAkAAAABMEGxKGtv394IiIx3bm/f3gg7Q0lRLk5BU0RBUTpNU0ZULklRX0lOVkVTVE1FTlRfSU5DT01FLjk5Ny4xMS8wNy8yMDI2Li4uVVNELkgBAAAAS1UAAAMAAAAAAEGxKGtv394IiIx3bm/f3ghMQ0lRLk5BU0RBUTpNU0ZULklRX1BST1ZfQkFEX0RFQlRTX1BBVElFTlRfU0VSVklDRV9SRVYuOTk1LjExLzA3LzIwMjYuLi5VU0QuSAEAAABLVQAAAwAAAAAAQbEoa2/f3giIjHdub9/eCDVDSVEuTkFTREFROk1TRlQuSVFfSU5UX0lOVl9JTkMuOTk2LjExLzA3LzIwMjYuLi5VU0QuSAEAAABLVQAAAwAAAAAAQbEoa2/f3gisYndub9/eCD1DSVEuTkFTREFROk1TRlQuSVFfSU5URVJFU1RfSU5WRVNUX0lOQy45OTUuMTEvMDcvMjAyNi4uLlVTRC5IAQAAAEtVAAACAAAABDI2ODABCAAAAAUAAAABMQEAAAALLTIwODc0OTY2MjcDAAAAAzE2MAIAAAACNjUEAAAAATAHAAAACTcvMTEvMjAyNggAAAAJNi8z</t>
  </si>
  <si>
    <t>MC8yMDIwCQAAAAEwQbEoa2/f3gisYndub9/eCCxDSVEuTkFTREFROk1TRlQuSVFfR1AuOTk2LjExLzA3LzIwMjYuLi5VU0QuSAEAAABLVQAAAgAAAAYxMTU4NTYBCAAAAAUAAAABMQEAAAALLTIwMzY4NDM4NDMDAAAAAzE2MAIAAAACMTAEAAAAATAHAAAACTcvMTEvMjAyNggAAAAJNi8zMC8yMDIxCQAAAAEwQbEoa2/f3giLdndub9/eCDpDSVEuTkFTREFROk1TRlQuSVFfR0FJTl9JTlZFU1RfUkVWLjEwMDAuMTEvMDcvMjAyNi4uLlVTRC5IAQAAAEtVAAADAAAAAABBsShrb9/eCIt2d25v394IMkNJUS5OQVNEQVE6TVNGVC5JUV9EQV9TVVBQTC45OTUuMTEvMDcvMjAyNi4uLlVTRC5IAQAAAEtVAAADAAAAAABBsShrb9/eCIt2d25v394INUNJUS5OQVNEQVE6TVNGVC5JUV9JTlNfRElWX0VYUC45OTguMTEvMDcvMjAyNi4uLlVTRC5IAQAAAEtVAAADAAAAAABBsShrb9/eCA5Od25v394IM0NJUS5OQVNEQVE6TVNGVC5JUV9UT1RBTF9SRVYuOTk4LjExLzA3LzIwMjYuLi5VU0QuSAEAAABLVQAAAgAAAAYyMTE5MTUBCAAAAAUAAAABMQEAAAALLTE5MzQyNTQyNTADAAAAAzE2MAIAAAACMjgEAAAAATAHAAAACTcvMTEvMjAyNggAAAAJNi8zMC8yMDIzCQAAAAEwQbEoa2/f3gisYndub9/eCDVDSVEuTkFTREFROk1TRlQuSVFfSU5UX0lOVl9JTkMuOTk0LjExLzA3LzIwMjYuLi5VU0QuSAEAAABLVQAAAwAAAAAA</t>
  </si>
  <si>
    <t>QbEoa2/f3gisYndub9/eCDpDSVEuTkFTREFROk1TRlQuSVFfR0FJTl9BU1NFVFNfUkVWLjEwMDAuMTEvMDcvMjAyNi4uLlVTRC5IAQAAAEtVAAADAAAAAABBsShrb9/eCKxid25v394INUNJUS5OQVNEQVE6TVNGVC5JUV9GSU5fRElWX1JFVi45OTcuMTEvMDcvMjAyNi4uLlVTRC5IAQAAAEtVAAADAAAAAABBsShrb9/eCKxid25v394INENJUS5OQVNEQVE6TVNGVC5JUV9OSV9DT01QQU5ZLjk5NC4xMS8wNy8yMDI2Li4uVVNELkgBAAAAS1UAAAIAAAAFMzkyNDABCAAAAAUAAAABMQEAAAALLTIxNDA5ODE0NjkDAAAAAzE2MAIAAAAFNDE1NzEEAAAAATAHAAAACTcvMTEvMjAyNggAAAAJNi8zMC8yMDE5CQAAAAEwQbEoa2/f3ggOTndub9/eCDRDSVEuTkFTREFROk1TRlQuSVFfT1RIRVJfT1BFUi45OTguMTEvMDcvMjAyNi4uLlVTRC5IAQAAAEtVAAADAAAAAABBsShrb9/eCA5Od25v394IOENJUS5OQVNEQVE6TVNGVC5JUV9HV19JTlRBTl9BTU9SVC45OTYuMTEvMDcvMjAyNi4uLlVTRC5IAQAAAEtVAAADAAAAAABBsShrb9/eCA5Od25v394INkNJUS5OQVNEQVE6TVNGVC5JUV9TVE9DS19CQVNFRC4xMDAwLjExLzA3LzIwMjYuLi5VU0QuSAEAAABLVQAAAwAAAAAAQbEoa2/f3ggOTndub9/eCDdDSVEuTkFTREFROk1TRlQuSVFfRVhQTE9SRV9EUklMTC45OTYuMTEvMDcvMjAyNi4uLlVTRC5IAQAAAEtVAAAD</t>
  </si>
  <si>
    <t>AAAAAABBsShrb9/eCA5Od25v394INUNJUS5OQVNEQVE6TVNGVC5JUV9TVE9DS19CQVNFRC45OTkuMTEvMDcvMjAyNi4uLlVTRC5IAQAAAEtVAAADAAAAAABBsShrb9/eCPw3d25v394IN0NJUS5OQVNEQVE6TVNGVC5JUV9FWFBMT1JFX0RSSUxMLjk5NS4xMS8wNy8yMDI2Li4uVVNELkgBAAAAS1UAAAMAAAAAAEGxKGtv394I/Dd3bm/f3gg5Q0lRLk5BU0RBUTpNU0ZULklRX0ZJTl9ESVZfSU5UX0VYUC45OTUuMTEvMDcvMjAyNi4uLlVTRC5IAQAAAEtVAAADAAAAAABBsShrb9/eCPw3d25v394IM0NJUS5OQVNEQVE6TVNGVC5JUV9UT1RBTF9SRVYuOTk3LjExLzA3LzIwMjYuLi5VU0QuSAEAAABLVQAAAgAAAAYxOTgyNzABCAAAAAUAAAABMQEAAAALLTE5ODU5MzEyMjQDAAAAAzE2MAIAAAACMjgEAAAAATAHAAAACTcvMTEvMjAyNggAAAAJNi8zMC8yMDIyCQAAAAEwQbEoa2/f3gj8N3dub9/eCDlDSVEuTkFTREFROk1TRlQuSVFfR0FJTl9BU1NFVFNfUkVWLjk5OS4xMS8wNy8yMDI2Li4uVVNELkgBAAAAS1UAAAMAAAAAAEGxKGtv394I/Dd3bm/f3gg1Q0lRLk5BU0RBUTpNU0ZULklRX0lOQ19FUVVJVFkuMTAwMC4xMS8wNy8yMDI2Li4uVVNELkgBAAAAS1UAAAMAAAAAAEGxKGtv394IshB3bm/f3gg+Q0lRLk5BU0RBUTpNU0ZULklRX0lOVEVSRVNUX0lOVkVTVF9JTkMuMTAwMC4xMS8wNy8yMDI2Li4uVVNE</t>
  </si>
  <si>
    <t>LkgBAAAAS1UAAAIAAAAEMjY0NwEIAAAABQAAAAExAQAAAAstMTkzNDI1NDIxNgMAAAADMTYwAgAAAAI2NQQAAAABMAcAAAAJNy8xMS8yMDI2CAAAAAk2LzMwLzIwMjUJAAAAATBBsShrb9/eCLIQd25v394IMkNJUS5OQVNEQVE6TVNGVC5JUV9PUEVSX0lOQy45OTkuMTEvMDcvMjAyNi4uLlVTRC5IAQAAAEtVAAACAAAABjEwOTQzMwEIAAAABQAAAAExAQAAAAstMTkzNDI1NDE4NQMAAAADMTYwAgAAAAIyMQQAAAABMAcAAAAJNy8xMS8yMDI2CAAAAAk2LzMwLzIwMjQJAAAAATBBsShrb9/eCLIQd25v394INENJUS5OQVNEQVE6TVNGVC5JUV9PVEhFUl9PUEVSLjk5Ny4xMS8wNy8yMDI2Li4uVVNELkgBAAAAS1UAAAMAAAAAAEGxKGtv394IshB3bm/f3gg4Q0lRLk5BU0RBUTpNU0ZULklRX0dXX0lOVEFOX0FNT1JULjk5NS4xMS8wNy8yMDI2Li4uVVNELkgBAAAAS1UAAAMAAAAAAEGxKGtv394IshB3bm/f3gg7Q0lRLk5BU0RBUTpNU0ZULklRX0ZFRVNfT1RIRVJfSU5DT01FLjk5OS4xMS8wNy8yMDI2Li4uVVNELkgBAAAAS1UAAAMAAAAAAEGxKGtv394IbtV2bm/f3gg2Q0lRLk5BU0RBUTpNU0ZULklRX0VCSVRBX0VRX0lOQy45OTguMTEvMDcvMjAyNi4uLlVTRC5IAQAAAEtVAAACAAAABTkxMDIzAQgAAAAFAAAAATEBAAAACy0xOTM0MjU0MjUwAwAAAAMxNjACAAAABTIxNjc2BAAAAAEwBwAAAAk3LzExLzIw</t>
  </si>
  <si>
    <t>MjYIAAAACTYvMzAvMjAyMwkAAAABMEGxKGtv394I2fx2bm/f3ghLQ0lRLk5BU0RBUTpNU0ZULklRX0VCSVREQV9FUV9JTkNfRVhDTF9PUEVSX0xFQVNFX0FESi45OTQuMTEvMDcvMjAyNi4uLlVTRC5IAQAAAEtVAAACAAAABTU0NTU5AQgAAAAFAAAAATEBAAAACy0yMTQwOTgxNDY5AwAAAAMxNjACAAAABTQ4OTg3BAAAAAEwBwAAAAk3LzExLzIwMjYIAAAACTYvMzAvMjAxOQkAAAABMEGxKGtv394I2fx2bm/f3gg5Q0lRLk5BU0RBUTpNU0ZULklRX0VCSVREQV9FWENMX1NCQy45OTUuMTEvMDcvMjAyNi4uLlVTRC5IAQAAAEtVAAACAAAABTcwNTQ4AQgAAAAFAAAAATEBAAAACy0yMDg3NDk2NjI3AwAAAAMxNjACAAAABTI0MTM1BAAAAAEwBwAAAAk3LzExLzIwMjYIAAAACTYvMzAvMjAyMAkAAAABMEGxKGtv394I2fx2bm/f3gg5Q0lRLk5BU0RBUTpNU0ZULklRX1RPVEFMX1JFVl9TSEFSRS45OTguMTEvMDcvMjAyNi4uLlVTRC5IAQAAAEtVAAACAAAACTI4LjQ2MDI0NwEIAAAABQAAAAExAQAAAAstMTkzNDI1NDI1MAMAAAADMTYwAgAAAAQ0MzgyBAAAAAEwBwAAAAk3LzExLzIwMjYIAAAACTYvMzAvMjAyMwkAAAABMEGxKGtv394IshB3bm/f3ghCQ0lRLk5BU0RBUTpNU0ZULklRX09USEVSX05PTl9PUEVSX0VYUF9TVVBQTC45OTcuMTEvMDcvMjAyNi4uLlVTRC5IAQAAAEtVAAACAAAABC0zODgBCAAAAAUA</t>
  </si>
  <si>
    <t>AAABMQEAAAALLTE5ODU5MzEyMjQDAAAAAzE2MAIAAAACODUEAAAAATAHAAAACTcvMTEvMjAyNggAAAAJNi8zMC8yMDIyCQAAAAEwQbEoa2/f3ghu1XZub9/eCDdDSVEuTkFTREFROk1TRlQuSVFfSU5URVJFU1RfRVhQLjEwMDAuMTEvMDcvMjAyNi4uLlVTRC5IAQAAAEtVAAACAAAABS0yNDI1AQgAAAAFAAAAATEBAAAACy0xOTM0MjU0MjE2AwAAAAMxNjACAAAAAjgyBAAAAAEwBwAAAAk3LzExLzIwMjYIAAAACTYvMzAvMjAyNQkAAAABMEGxKGtv394IbtV2bm/f3ggsQ0lRLk5BU0RBUTpNU0ZULklRX0dQLjk5OC4xMS8wNy8yMDI2Li4uVVNELkgBAAAAS1UAAAIAAAAGMTQ2MDUyAQgAAAAFAAAAATEBAAAACy0xOTM0MjU0MjUwAwAAAAMxNjACAAAAAjEwBAAAAAEwBwAAAAk3LzExLzIwMjYIAAAACTYvMzAvMjAyMwkAAAABMEGxKGtv394IbtV2bm/f3gg7Q0lRLk5BU0RBUTpNU0ZULklRX0lOVkVTVE1FTlRfSU5DT01FLjk5Ni4xMS8wNy8yMDI2Li4uVVNELkgBAAAAS1UAAAMAAAAAAEGxKGtv394IbtV2bm/f3ghMQ0lRLk5BU0RBUTpNU0ZULklRX1BST1ZfQkFEX0RFQlRTX1BBVElFTlRfU0VSVklDRV9SRVYuOTk0LjExLzA3LzIwMjYuLi5VU0QuSAEAAABLVQAAAwAAAAAAQbEoa2/f3ghu1XZub9/eCDVDSVEuTkFTREFROk1TRlQuSVFfU1RPQ0tfQkFTRUQuOTk4LjExLzA3LzIwMjYuLi5VU0QuSAEAAABL</t>
  </si>
  <si>
    <t>VQAAAwAAAAAAQbEoa2/f3gjFwHZub9/eCC1DSVEuTkFTREFROk1TRlQuSVFfR1AuMTAwMC4xMS8wNy8yMDI2Li4uVVNELkgBAAAAS1UAAAIAAAAGMTkzODkzAQgAAAAFAAAAATEBAAAACy0xOTM0MjU0MjE2AwAAAAMxNjACAAAAAjEwBAAAAAEwBwAAAAk3LzExLzIwMjYIAAAACTYvMzAvMjAyNQkAAAABMEGxKGtv394IxcB2bm/f3gg5Q0lRLk5BU0RBUTpNU0ZULklRX0ZJTl9ESVZfSU5UX0VYUC45OTQuMTEvMDcvMjAyNi4uLlVTRC5IAQAAAEtVAAADAAAAAABBsShrb9/eCMXAdm5v394IM0NJUS5OQVNEQVE6TVNGVC5JUV9UT1RBTF9SRVYuOTk2LjExLzA3LzIwMjYuLi5VU0QuSAEAAABLVQAAAgAAAAYxNjgwODgBCAAAAAUAAAABMQEAAAALLTIwMzY4NDM4NDMDAAAAAzE2MAIAAAACMjgEAAAAATAHAAAACTcvMTEvMjAyNggAAAAJNi8zMC8yMDIxCQAAAAEwQbEoa2/f3ghu1XZub9/eCDlDSVEuTkFTREFROk1TRlQuSVFfR0FJTl9BU1NFVFNfUkVWLjk5OC4xMS8wNy8yMDI2Li4uVVNELkgBAAAAS1UAAAMAAAAAAEGxKGtv394IbtV2bm/f3gg0Q0lRLk5BU0RBUTpNU0ZULklRX0lOQ19FUVVJVFkuOTk5LjExLzA3LzIwMjYuLi5VU0QuSAEAAABLVQAAAwAAAAAAQbEoa2/f3ggarHZub9/eCD1DSVEuTkFTREFROk1TRlQuSVFfSU5URVJFU1RfSU5WRVNUX0lOQy45OTkuMTEvMDcvMjAyNi4uLlVTRC5IAQAA</t>
  </si>
  <si>
    <t>AEtVAAACAAAABDMxNTcBCAAAAAUAAAABMQEAAAALLTE5MzQyNTQxODUDAAAAAzE2MAIAAAACNjUEAAAAATAHAAAACTcvMTEvMjAyNggAAAAJNi8zMC8yMDI0CQAAAAEwQbEoa2/f3ggarHZub9/eCDJDSVEuTkFTREFROk1TRlQuSVFfT1BFUl9JTkMuOTk4LjExLzA3LzIwMjYuLi5VU0QuSAEAAABLVQAAAgAAAAU4ODUyMwEIAAAABQAAAAExAQAAAAstMTkzNDI1NDI1MAMAAAADMTYwAgAAAAIyMQQAAAABMAcAAAAJNy8xMS8yMDI2CAAAAAk2LzMwLzIwMjMJAAAAATBBsShrb9/eCBqsdm5v394INENJUS5OQVNEQVE6TVNGVC5JUV9PVEhFUl9PUEVSLjk5Ni4xMS8wNy8yMDI2Li4uVVNELkgBAAAAS1UAAAMAAAAAAEGxKGtv394IGqx2bm/f3gg4Q0lRLk5BU0RBUTpNU0ZULklRX0dXX0lOVEFOX0FNT1JULjk5NC4xMS8wNy8yMDI2Li4uVVNELkgBAAAAS1UAAAMAAAAAAEGxKGtv394IxcB2bm/f3ghPQ0lRLk5BU0RBUTpNU0ZULklRX0RJU1RSSUJVVEFCTEVfQ0FTSF9QRVJfU0hBUkVfRElMVVRFRC4xMDAwLjExLzA3LzIwMjYuLi5VU0QuSAEAAABLVQAAAwAAAAAAQbEoa2/f3giPl3Zub9/eCDhDSVEuTkFTREFROk1TRlQuSVFfRElMVVRfRVBTX0lOQ0wuOTk3LjExLzA3LzIwMjYuLi5VU0QuSAEAAABLVQAAAgAAAAQ5LjY1AQgAAAAFAAAAATEBAAAACy0xOTg1OTMxMjI0AwAAAAMxNjACAAAAATgEAAAAATAH</t>
  </si>
  <si>
    <t>AAAACTcvMTEvMjAyNggAAAAJNi8zMC8yMDIyCQAAAAEwQbEoa2/f3giPl3Zub9/eCD5DSVEuTkFTREFROk1TRlQuSVFfT1RIRVJfVU5VU1VBTF9TVVBQTC4xMDAwLjExLzA3LzIwMjYuLi5VU0QuSAEAAABLVQAAAwAAAAAAQbEoa2/f3giPl3Zub9/eCDZDSVEuTkFTREFROk1TRlQuSVFfUkVTVFJVQ1RVUkUuMTAwMC4xMS8wNy8yMDI2Li4uVVNELkgBAAAAS1UAAAMAAAAAAEGxKGtv394Ij5d2bm/f3ghCQ0lRLk5BU0RBUTpNU0ZULklRX09USEVSX05PTl9PUEVSX0VYUF9TVVBQTC45OTkuMTEvMDcvMjAyNi4uLlVTRC5IAQAAAEtVAAACAAAABC0zMjkBCAAAAAUAAAABMQEAAAALLTE5MzQyNTQxODUDAAAAAzE2MAIAAAACODUEAAAAATAHAAAACTcvMTEvMjAyNggAAAAJNi8zMC8yMDI0CQAAAAEwQbEoa2/f3ggarHZub9/eCDhDSVEuTkFTREFROk1TRlQuSVFfTUlOSU1VTV9SRU5UQUwuOTk3LjExLzA3LzIwMjYuLi5VU0QuSAEAAABLVQAAAwAAAAAAQbEoa2/f3ghlcHZub9/eCDVDSVEuTkFTREFROk1TRlQuSVFfQ1VSUl9UQVhFUy4xMDAwLjExLzA3LzIwMjYuLi5VU0QuSAEAAABLVQAAAgAAAAUyODg1MQEIAAAABQAAAAExAQAAAAstMTkzNDI1NDIxNgMAAAADMTYwAgAAAAUzNTM4MwQAAAABMAcAAAAJNy8xMS8yMDI2CAAAAAk2LzMwLzIwMjUJAAAAATBBsShrb9/eCGVwdm5v394IO0NJUS5OQVNEQVE6</t>
  </si>
  <si>
    <t>TVNGVC5JUV9GRUVTX09USEVSX0lOQ09NRS45OTguMTEvMDcvMjAyNi4uLlVTRC5IAQAAAEtVAAADAAAAAABBsShrb9/eCGVwdm5v394IOENJUS5OQVNEQVE6TVNGVC5JUV9FQklUREFSX0VRX0lOQy45OTYuMTEvMDcvMjAyNi4uLlVTRC5IAQAAAEtVAAACAAAABTg1MDcwAQgAAAAFAAAAATEBAAAACy0yMDM2ODQzODQzAwAAAAMxNjACAAAABTI0MTI5BAAAAAEwBwAAAAk3LzExLzIwMjYIAAAACTYvMzAvMjAyMQkAAAABMEGxKGtv394Ij5d2bm/f3gg5Q0lRLk5BU0RBUTpNU0ZULklRX1RPVEFMX1JFVl9TSEFSRS45OTcuMTEvMDcvMjAyNi4uLlVTRC5IAQAAAEtVAAACAAAACTI2LjQ1MDEwNgEIAAAABQAAAAExAQAAAAstMTk4NTkzMTIyNAMAAAADMTYwAgAAAAQ0MzgyBAAAAAEwBwAAAAk3LzExLzIwMjYIAAAACTYvMzAvMjAyMgkAAAABMEGxKGtv394Ij5d2bm/f3ggyQ0lRLk5BU0RBUTpNU0ZULklRX09QRVJfSU5DLjk5Ny4xMS8wNy8yMDI2Li4uVVNELkgBAAAAS1UAAAIAAAAFODMzODMBCAAAAAUAAAABMQEAAAALLTE5ODU5MzEyMjQDAAAAAzE2MAIAAAACMjEEAAAAATAHAAAACTcvMTEvMjAyNggAAAAJNi8zMC8yMDIyCQAAAAEwQbEoa2/f3ghlcHZub9/eCDRDSVEuTkFTREFROk1TRlQuSVFfT1RIRVJfT1BFUi45OTUuMTEvMDcvMjAyNi4uLlVTRC5IAQAAAEtVAAADAAAAAABBsShrb9/eCGVwdm5v</t>
  </si>
  <si>
    <t>394IMUNJUS5OQVNEQVE6TVNGVC5JUV9SRF9FWFAuMTAwMC4xMS8wNy8yMDI2Li4uVVNELkgBAAAAS1UAAAIAAAAFMzI0ODgBCAAAAAUAAAABMQEAAAALLTE5MzQyNTQyMTYDAAAAAzE2MAIAAAADMTAwBAAAAAEwBwAAAAk3LzExLzIwMjYIAAAACTYvMzAvMjAyNQkAAAABMEGxKGtv394IZXB2bm/f3gg8Q0lRLk5BU0RBUTpNU0ZULklRX1NUT0NLX09QVElPTlNfQ09NUC45OTguMTEvMDcvMjAyNi4uLlVTRC5IAQAAAEtVAAADAAAAAABBsShrb9/eCGVwdm5v394IPENJUS5OQVNEQVE6TVNGVC5JUV9JTlNfU0VUVExFX1NVUFBMRS4xMDAwLjExLzA3LzIwMjYuLi5VU0QuSAEAAABLVQAAAwAAAAAAQbEoa2/f3ghlcHZub9/eCDVDSVEuTkFTREFROk1TRlQuSVFfR0FJTl9JTlZFU1QuOTk3LjExLzA3LzIwMjYuLi5VU0QuSAEAAABLVQAAAgAAAAM0NzQBCAAAAAUAAAABMQEAAAALLTE5ODU5MzEyMjQDAAAAAzE2MAIAAAACNjIEAAAAATAHAAAACTcvMTEvMjAyNggAAAAJNi8zMC8yMDIyCQAAAAEwQbEoa2/f3ghlcHZub9/eCDVDSVEuTkFTREFROk1TRlQuSVFfUkVTVFJVQ1RVUkUuOTk5LjExLzA3LzIwMjYuLi5VU0QuSAEAAABLVQAAAwAAAAAAQbEoa2/f3ghlcHZub9/eCEJDSVEuTkFTREFROk1TRlQuSVFfT1RIRVJfTk9OX09QRVJfRVhQX1NVUFBMLjk5OC4xMS8wNy8yMDI2Li4uVVNELkgBAAAAS1UAAAIA</t>
  </si>
  <si>
    <t>AAACNjQBCAAAAAUAAAABMQEAAAALLTE5MzQyNTQyNTADAAAAAzE2MAIAAAACODUEAAAAATAHAAAACTcvMTEvMjAyNggAAAAJNi8zMC8yMDIzCQAAAAEwQbEoa2/f3ghlcHZub9/eCDRDSVEuTkFTREFROk1TRlQuSVFfSU5DX0VRVUlUWS45OTguMTEvMDcvMjAyNi4uLlVTRC5IAQAAAEtVAAADAAAAAABBsShrb9/eCGVwdm5v394IPUNJUS5OQVNEQVE6TVNGVC5JUV9JTlRFUkVTVF9JTlZFU1RfSU5DLjk5OC4xMS8wNy8yMDI2Li4uVVNELkgBAAAAS1UAAAIAAAAEMjk5NAEIAAAABQAAAAExAQAAAAstMTkzNDI1NDI1MAMAAAADMTYwAgAAAAI2NQQAAAABMAcAAAAJNy8xMS8yMDI2CAAAAAk2LzMwLzIwMjMJAAAAATBBsShrb9/eCGVwdm5v394ILUNJUS5OQVNEQVE6TVNGVC5JUV9ETy4xMDAwLjExLzA3LzIwMjYuLi5VU0QuSAEAAABLVQAAAwAAAAAAQbEoa2/f3giRXHZub9/eCDFDSVEuTkFTREFROk1TRlQuSVFfSU5DX1RBWC45OTkuMTEvMDcvMjAyNi4uLlVTRC5IAQAAAEtVAAACAAAABTE5NjUxAQgAAAAFAAAAATEBAAAACy0xOTM0MjU0MTg1AwAAAAMxNjACAAAAAjc1BAAAAAEwBwAAAAk3LzExLzIwMjYIAAAACTYvMzAvMjAyNAkAAAABMEGxKGtv394IkVx2bm/f3gg9Q0lRLk5BU0RBUTpNU0ZULklRX09USEVSX1VOVVNVQUxfU1VQUEwuOTk5LjExLzA3LzIwMjYuLi5VU0QuSAEAAABLVQAAAwAAAAAA</t>
  </si>
  <si>
    <t>QbEoa2/f3giRXHZub9/eCDRDSVEuTkFTREFROk1TRlQuSVFfSU5TX1NFVFRMRS45OTkuMTEvMDcvMjAyNi4uLlVTRC5IAQAAAEtVAAADAAAAAABBsShrb9/eCJFcdm5v394IOUNJUS5OQVNEQVE6TVNGVC5JUV9BU1NFVF9XUklURURPV04uOTk4LjExLzA3LzIwMjYuLi5VU0QuSAEAAABLVQAAAwAAAAAAQbEoa2/f3giRXHZub9/eCD9DSVEuTkFTREFROk1TRlQuSVFfRUJJVF9FUV9JTkNfRVhDTF9TQkMuMTAwMC4xMS8wNy8yMDI2Li4uVVNELkgBAAAAS1UAAAIAAAAGMTQwNTAyAQgAAAAFAAAAATEBAAAACy0xOTM0MjU0MjE2AwAAAAMxNjACAAAABTI0MTMwBAAAAAEwBwAAAAk3LzExLzIwMjYIAAAACTYvMzAvMjAyNQkAAAABMEGxKGtv394IRTV2bm/f3gg6Q0lRLk5BU0RBUTpNU0ZULklRX0VCSVREQV9FWENMX1NCQy4xMDAwLjExLzA3LzIwMjYuLi5VU0QuSAEAAABLVQAAAgAAAAYxNjg1MDIBCAAAAAUAAAABMQEAAAALLTE5MzQyNTQyMTYDAAAAAzE2MAIAAAAFMjQxMzUEAAAAATAHAAAACTcvMTEvMjAyNggAAAAJNi8zMC8yMDI1CQAAAAEwQbEoa2/f3ghFNXZub9/eCDlDSVEuTkFTREFROk1TRlQuSVFfVE9UQUxfUkVWX1NIQVJFLjk5Ni4xMS8wNy8yMDI2Li4uVVNELkgBAAAAS1UAAAIAAAAJMjIuMjcyMTYxAQgAAAAFAAAAATEBAAAACy0yMDM2ODQzODQzAwAAAAMxNjACAAAABDQzODIEAAAAATAH</t>
  </si>
  <si>
    <t>AAAACTcvMTEvMjAyNggAAAAJNi8zMC8yMDIxCQAAAAEwQbEoa2/f3ghFNXZub9/eCE5DSVEuTkFTREFROk1TRlQuSVFfRElTVFJJQlVUQUJMRV9DQVNIX1BFUl9TSEFSRV9ESUxVVEVELjk5OC4xMS8wNy8yMDI2Li4uVVNELkgBAAAAS1UAAAMAAAAAAEGxKGtv394IRTV2bm/f3gg4Q0lRLk5BU0RBUTpNU0ZULklRX0RJTFVUX0VQU19JTkNMLjk5Ni4xMS8wNy8yMDI2Li4uVVNELkgBAAAAS1UAAAIAAAAEOC4wNQEIAAAABQAAAAExAQAAAAstMjAzNjg0Mzg0MwMAAAADMTYwAgAAAAE4BAAAAAEwBwAAAAk3LzExLzIwMjYIAAAACTYvMzAvMjAyMQkAAAABMEGxKGtv394IkVx2bm/f3gg1Q0lRLk5BU0RBUTpNU0ZULklRX0lOVF9FWFBfTFRELjk5OC4xMS8wNy8yMDI2Li4uVVNELkgBAAAAS1UAAAIAAAADNTAxAQgAAAAFAAAAATEBAAAACy0xOTM0MjU0MjUwAwAAAAMxNjACAAAABDMxMDEEAAAAATAHAAAACTcvMTEvMjAyNggAAAAJNi8zMC8yMDIzCQAAAAEwQbEoa2/f3ghFNXZub9/eCEFDSVEuTkFTREFROk1TRlQuSVFfREVGRVJSRURfRE9NRVNUSUNfVEFYRVMuOTk1LjExLzA3LzIwMjYuLi5VU0QuSAEAAABLVQAAAgAAAAI1MgEIAAAABQAAAAExAQAAAAstMjA4NzQ5NjYyNwMAAAADMTYwAgAAAAQzMDU0BAAAAAEwBwAAAAk3LzExLzIwMjYIAAAACTYvMzAvMjAyMAkAAAABMEGxKGtv394IRTV2bm/f3ghC</t>
  </si>
  <si>
    <t>Q0lRLk5BU0RBUTpNU0ZULklRX0VYQ0lTRV9UQVhFU19FWENMX1NBTEVTLjEwMDAuMTEvMDcvMjAyNi4uLlVTRC5IAQAAAEtVAAADAAAAAABBsShrb9/eCEU1dm5v394ITUNJUS5OQVNEQVE6TVNGVC5JUV9QUk9WX0JBRF9ERUJUU19QQVRJRU5UX1NFUlZJQ0VfUkVWLjEwMDAuMTEvMDcvMjAyNi4uLlVTRC5IAQAAAEtVAAADAAAAAABBsShrb9/eCEU1dm5v394IO0NJUS5OQVNEQVE6TVNGVC5JUV9GRUVTX09USEVSX0lOQ09NRS45OTcuMTEvMDcvMjAyNi4uLlVTRC5IAQAAAEtVAAADAAAAAABBsShrb9/eCEU1dm5v394IMkNJUS5OQVNEQVE6TVNGVC5JUV9PUEVSX0lOQy45OTYuMTEvMDcvMjAyNi4uLlVTRC5IAQAAAEtVAAACAAAABTY5OTE2AQgAAAAFAAAAATEBAAAACy0yMDM2ODQzODQzAwAAAAMxNjACAAAAAjIxBAAAAAEwBwAAAAk3LzExLzIwMjYIAAAACTYvMzAvMjAyMQkAAAABMEGxKGtv394IlyF2bm/f3gg0Q0lRLk5BU0RBUTpNU0ZULklRX09USEVSX09QRVIuOTk0LjExLzA3LzIwMjYuLi5VU0QuSAEAAABLVQAAAwAAAAAAQbEoa2/f3giXIXZub9/eCDtDSVEuTkFTREFROk1TRlQuSVFfSU5TX1NFVFRMRV9TVVBQTEUuOTk3LjExLzA3LzIwMjYuLi5VU0QuSAEAAABLVQAAAwAAAAAAQbEoa2/f3ghFNXZub9/eCDZDSVEuTkFTREFROk1TRlQuSVFfT1RIRVJfUkVOVEFMLjk5OC4xMS8wNy8yMDI2</t>
  </si>
  <si>
    <t>Li4uVVNELkgBAAAAS1UAAAMAAAAAAEGxKGtv394IRTV2bm/f3ghBQ0lRLk5BU0RBUTpNU0ZULklRX0FOTlVfRElTVFJJQlVUSU9OX1VOSVQuMTAwMC4xMS8wNy8yMDI2Li4uVVNELkgBAAAAS1UAAAMAAAAAAEGxKGtv394IRTV2bm/f3gg1Q0lRLk5BU0RBUTpNU0ZULklRX0dBSU5fSU5WRVNULjk5Ni4xMS8wNy8yMDI2Li4uVVNELkgBAAAAS1UAAAIAAAAEMTIzMgEIAAAABQAAAAExAQAAAAstMjAzNjg0Mzg0MwMAAAADMTYwAgAAAAI2MgQAAAABMAcAAAAJNy8xMS8yMDI2CAAAAAk2LzMwLzIwMjEJAAAAATBBsShrb9/eCFP6dW5v394IMENJUS5OQVNEQVE6TVNGVC5JUV9NRVJHRVIuOTk2LjExLzA3LzIwMjYuLi5VU0QuSAEAAABLVQAAAwAAAAAAQbEoa2/f3ghT+nVub9/eCDJDSVEuTkFTREFROk1TRlQuSVFfRUJUX0VYQ0wuOTk1LjExLzA3LzIwMjYuLi5VU0QuSAEAAABLVQAAAgAAAAU1MzAwNAEIAAAABQAAAAExAQAAAAstMjA4NzQ5NjYyNwMAAAADMTYwAgAAAAE0BAAAAAEwBwAAAAk3LzExLzIwMjYIAAAACTYvMzAvMjAyMAkAAAABMEGxKGtv394IU/p1bm/f3gg0Q0lRLk5BU0RBUTpNU0ZULklRX0lOQ19FUVVJVFkuOTk3LjExLzA3LzIwMjYuLi5VU0QuSAEAAABLVQAAAgAAAAMtMzIBCAAAAAUAAAABMQEAAAALLTE5ODU5MzEyMjQDAAAAAzE2MAIAAAACNDcEAAAAATAHAAAACTcvMTEvMjAyNggA</t>
  </si>
  <si>
    <t>AAAJNi8zMC8yMDIyCQAAAAEwQbEoa2/f3giXIXZub9/eCD1DSVEuTkFTREFROk1TRlQuSVFfSU5URVJFU1RfSU5WRVNUX0lOQy45OTYuMTEvMDcvMjAyNi4uLlVTRC5IAQAAAEtVAAACAAAABDIxMzEBCAAAAAUAAAABMQEAAAALLTIwMzY4NDM4NDMDAAAAAzE2MAIAAAACNjUEAAAAATAHAAAACTcvMTEvMjAyNggAAAAJNi8zMC8yMDIxCQAAAAEwQbEoa2/f3giXIXZub9/eCCxDSVEuTkFTREFROk1TRlQuSVFfRE8uOTk5LjExLzA3LzIwMjYuLi5VU0QuSAEAAABLVQAAAwAAAAAAQbEoa2/f3ggA5nVub9/eCDFDSVEuTkFTREFROk1TRlQuSVFfSU5DX1RBWC45OTguMTEvMDcvMjAyNi4uLlVTRC5IAQAAAEtVAAACAAAABTE2OTUwAQgAAAAFAAAAATEBAAAACy0xOTM0MjU0MjUwAwAAAAMxNjACAAAAAjc1BAAAAAEwBwAAAAk3LzExLzIwMjYIAAAACTYvMzAvMjAyMwkAAAABMEGxKGtv394IU/p1bm/f3gg9Q0lRLk5BU0RBUTpNU0ZULklRX09USEVSX1VOVVNVQUxfU1VQUEwuOTk4LjExLzA3LzIwMjYuLi5VU0QuSAEAAABLVQAAAwAAAAAAQbEoa2/f3ghT+nVub9/eCDRDSVEuTkFTREFROk1TRlQuSVFfSU5TX1NFVFRMRS45OTguMTEvMDcvMjAyNi4uLlVTRC5IAQAAAEtVAAADAAAAAABBsShrb9/eCFP6dW5v394IOUNJUS5OQVNEQVE6TVNGVC5JUV9BU1NFVF9XUklURURPV04uOTk3LjExLzA3LzIwMjYuLi5V</t>
  </si>
  <si>
    <t>U0QuSAEAAABLVQAAAwAAAAAAQbEoa2/f3ghT+nVub9/eCDdDSVEuTkFTREFROk1TRlQuSVFfRUJJVERBX0VRX0lOQy45OTguMTEvMDcvMjAyNi4uLlVTRC5IAQAAAEtVAAACAAAABjEwNDg5OAEIAAAABQAAAAExAQAAAAstMTkzNDI1NDI1MAMAAAADMTYwAgAAAAUyMTY3NwQAAAABMAcAAAAJNy8xMS8yMDI2CAAAAAk2LzMwLzIwMjMJAAAAATBBsShrb9/eCD7SdW5v394ITkNJUS5OQVNEQVE6TVNGVC5JUV9ESVNUUklCVVRBQkxFX0NBU0hfUEVSX1NIQVJFX0RJTFVURUQuOTk3LjExLzA3LzIwMjYuLi5VU0QuSAEAAABLVQAAAwAAAAAAQbEoa2/f3gg+0nVub9/eCDhDSVEuTkFTREFROk1TRlQuSVFfQkFTSUNfRVBTX0VYQ0wuOTk5LjExLzA3LzIwMjYuLi5VU0QuSAEAAABLVQAAAgAAAAkxMS44NjA1ODQBCAAAAAUAAAABMQEAAAALLTE5MzQyNTQxODUDAAAAAzE2MAIAAAAEMzA2NAQAAAABMAcAAAAJNy8xMS8yMDI2CAAAAAk2LzMwLzIwMjQJAAAAATBBsShrb9/eCADmdW5v394ILUNJUS5OQVNEQVE6TVNGVC5JUV9OSS4xMDAwLjExLzA3LzIwMjYuLi5VU0QuSAEAAABLVQAAAgAAAAYxMDE4MzIBCAAAAAUAAAABMQEAAAALLTE5MzQyNTQyMTYDAAAAAzE2MAIAAAACMTUEAAAAATAHAAAACTcvMTEvMjAyNggAAAAJNi8zMC8yMDI1CQAAAAEwQbEoa2/f3ggA5nVub9/eCDRDSVEuTkFTREFROk1TRlQuSVFf</t>
  </si>
  <si>
    <t>TklfQ09NUEFOWS45OTkuMTEvMDcvMjAyNi4uLlVTRC5IAQAAAEtVAAACAAAABTg4MTM2AQgAAAAFAAAAATEBAAAACy0xOTM0MjU0MTg1AwAAAAMxNjACAAAABTQxNTcxBAAAAAEwBwAAAAk3LzExLzIwMjYIAAAACTYvMzAvMjAyNAkAAAABMEGxKGtv394IAOZ1bm/f3gg7Q0lRLk5BU0RBUTpNU0ZULklRX0ZFRVNfT1RIRVJfSU5DT01FLjk5Ni4xMS8wNy8yMDI2Li4uVVNELkgBAAAAS1UAAAMAAAAAAEGxKGtv394I8ap1bm/f3gg5Q0lRLk5BU0RBUTpNU0ZULklRX0VCSVREQVJfRVFfSU5DLjEwMDAuMTEvMDcvMjAyNi4uLlVTRC5IAQAAAEtVAAACAAAABjE2NzU3NgEIAAAABQAAAAExAQAAAAstMTkzNDI1NDIxNgMAAAADMTYwAgAAAAUyNDEyOQQAAAABMAcAAAAJNy8xMS8yMDI2CAAAAAk2LzMwLzIwMjUJAAAAATBBsShrb9/eCPGqdW5v394IP0NJUS5OQVNEQVE6TVNGVC5JUV9FQklUQV9FUV9JTkNfRVhDTF9TQkMuOTk5LjExLzA3LzIwMjYuLi5VU0QuSAEAAABLVQAAAgAAAAYxMjQ5NjcBCAAAAAUAAAABMQEAAAALLTE5MzQyNTQxODUDAAAAAzE2MAIAAAAFMjQxMzIEAAAAATAHAAAACTcvMTEvMjAyNggAAAAJNi8zMC8yMDI0CQAAAAEwQbEoa2/f3gg+0nVub9/eCDdDSVEuTkFTREFROk1TRlQuSVFfRUJJVF9FWENMX1NCQy45OTUuMTEvMDcvMjAyNi4uLlVTRC5IAQAAAEtVAAACAAAABTU4MjQ4AQgA</t>
  </si>
  <si>
    <t>AAAFAAAAATEBAAAACy0yMDg3NDk2NjI3AwAAAAMxNjACAAAABTI0MTM0BAAAAAEwBwAAAAk3LzExLzIwMjYIAAAACTYvMzAvMjAyMAkAAAABMEGxKGtv394IPtJ1bm/f3gg/Q0lRLk5BU0RBUTpNU0ZULklRX0VCSVREQV9MRUFTRV9BREpVU1RFRC45OTcuMTEvMDcvMjAyNi4uLlVTRC5IAQAAAEtVAAACAAAABjEwMDQ0NAEIAAAABQAAAAExAQAAAAstMTk4NTkzMTIyNAMAAAADMTYwAgAAAAU0ODk5MwQAAAABMAcAAAAJNy8xMS8yMDI2CAAAAAk2LzMwLzIwMjIJAAAAATBBsShrb9/eCD7SdW5v394INUNJUS5OQVNEQVE6TVNGVC5JUV9BRFZFUlRJU0lORy45OTUuMTEvMDcvMjAyNi4uLlVTRC5IAQAAAEtVAAACAAAABDE2MDABCAAAAAUAAAABMQEAAAALLTIwODc0OTY2MjcDAAAAAzE2MAIAAAAEMzAxMwQAAAABMAcAAAAJNy8xMS8yMDI2CAAAAAk2LzMwLzIwMjAJAAAAATBBsShrb9/eCPGqdW5v394IQENJUS5OQVNEQVE6TVNGVC5JUV9BTk5VX0RJU1RSSUJVVElPTl9VTklULjk5OS4xMS8wNy8yMDI2Li4uVVNELkgBAAAAS1UAAAMAAAAAAEGxKGtv394I8ap1bm/f3gg1Q0lRLk5BU0RBUTpNU0ZULklRX0lOVF9FWFBfTFRELjk5Ny4xMS8wNy8yMDI2Li4uVVNELkgBAAAAS1UAAAIAAAADNDI5AQgAAAAFAAAAATEBAAAACy0xOTg1OTMxMjI0AwAAAAMxNjACAAAABDMxMDEEAAAAATAHAAAACTcvMTEvMjAy</t>
  </si>
  <si>
    <t>NggAAAAJNi8zMC8yMDIyCQAAAAEwQbEoa2/f3gjxqnVub9/eCEFDSVEuTkFTREFROk1TRlQuSVFfRVhDSVNFX1RBWEVTX0VYQ0xfU0FMRVMuOTk5LjExLzA3LzIwMjYuLi5VU0QuSAEAAABLVQAAAwAAAAAAQbEoa2/f3gjxqnVub9/eCExDSVEuTkFTREFROk1TRlQuSVFfUFJPVl9CQURfREVCVFNfUEFUSUVOVF9TRVJWSUNFX1JFVi45OTkuMTEvMDcvMjAyNi4uLlVTRC5IAQAAAEtVAAADAAAAAABBsShrb9/eCPGqdW5v394IMkNJUS5OQVNEQVE6TVNGVC5JUV9FQlRfRVhDTC45OTQuMTEvMDcvMjAyNi4uLlVTRC5IAQAAAEtVAAACAAAABTQzMDQwAQgAAAAFAAAAATEBAAAACy0yMTQwOTgxNDY5AwAAAAMxNjACAAAAATQEAAAAATAHAAAACTcvMTEvMjAyNggAAAAJNi8zMC8yMDE5CQAAAAEwQbEoa2/f3ghefXVub9/eCDJDSVEuTkFTREFROk1TRlQuSVFfT1BFUl9JTkMuOTk1LjExLzA3LzIwMjYuLi5VU0QuSAEAAABLVQAAAgAAAAU1Mjk1OQEIAAAABQAAAAExAQAAAAstMjA4NzQ5NjYyNwMAAAADMTYwAgAAAAIyMQQAAAABMAcAAAAJNy8xMS8yMDI2CAAAAAk2LzMwLzIwMjAJAAAAATBBsShrb9/eCF59dW5v394IMENJUS5OQVNEQVE6TVNGVC5JUV9SRF9FWFAuOTk4LjExLzA3LzIwMjYuLi5VU0QuSAEAAABLVQAAAgAAAAUyNzE5NQEIAAAABQAAAAExAQAAAAstMTkzNDI1NDI1MAMAAAADMTYwAgAAAAMx</t>
  </si>
  <si>
    <t>MDAEAAAAATAHAAAACTcvMTEvMjAyNggAAAAJNi8zMC8yMDIzCQAAAAEwQbEoa2/f3ghefXVub9/eCD5DSVEuTkFTREFROk1TRlQuSVFfT1RIRVJfVU5VU1VBTF9TVVBQTEUuOTk0LjExLzA3LzIwMjYuLi5VU0QuSAEAAABLVQAAAwAAAAAAQbEoa2/f3ghefXVub9/eCDZDSVEuTkFTREFROk1TRlQuSVFfT1RIRVJfUkVOVEFMLjk5Ny4xMS8wNy8yMDI2Li4uVVNELkgBAAAAS1UAAAMAAAAAAEGxKGtv394I8ap1bm/f3gg9Q0lRLk5BU0RBUTpNU0ZULklRX09USEVSX1VOVVNVQUxfU1VQUEwuOTk3LjExLzA3LzIwMjYuLi5VU0QuSAEAAABLVQAAAwAAAAAAQbEoa2/f3ghefXVub9/eCDRDSVEuTkFTREFROk1TRlQuSVFfSU5TX1NFVFRMRS45OTYuMTEvMDcvMjAyNi4uLlVTRC5IAQAAAEtVAAADAAAAAAAw7Chrb9/eCF59dW5v394IJ0NJUS5OQVNEQVE6TVNGVC5JUV9MQVNUU0FMRVBSSUNFLi5VU0QuSAEAAABLVQAAAgAAAAUzODUuMQDbGH5rb9/eCDwsom5v394IIkNJUS5OQVNEQVE6TVNGVC5JUV9ZRUFSSElHSC4uVVNELkgBAAAAS1UAAAIAAAAGNTU1LjQ1ANsYfmtv394IIsmhbm/f3gghQ0lRLk5BU0RBUTpNU0ZULklRX1lFQVJMT1cuLlVTRC5IAQAAAEtVAAACAAAABTM0OS4yANsYfmtv394IuYyhbm/f3ggnQ0lRLk5BU0RBUTpNU0ZULklRX0VCSVREQS4yMDAwLi4uLlVTRC5IAQAAAEtVAAACAAAABjE4</t>
  </si>
  <si>
    <t>NDQ1NwEIAAAABQAAAAExAQAAAAstMTg5MzI5ODk5NQMAAAADMTYwAgAAAAQ0MDUxBAAAAAEwBwAAAAk3LzExLzIwMjYIAAAACTMvMzEvMjAyNgkAAAABMNsYfmtv394IPCyibm/f3ggqQ0lRLk5BU0RBUTpNU0ZULklRX1RPVEFMX1JFVi4yMDAwLi4uLlVTRC5IAQAAAEtVAAACAAAABjMxODI3MwEIAAAABQAAAAExAQAAAAstMTg5MzI5ODk5NQMAAAADMTYwAgAAAAIyOAQAAAABMAcAAAAJNy8xMS8yMDI2CAAAAAkzLzMxLzIwMjYJAAAAATDbGH5rb9/eCDwsom5v394IKkNJUS5OQVNEQVE6TVNGVC5JUV9UT1RBTF9SRVYuMTAwMC4uLi5VU0QuSAEAAABLVQAAAgAAAAYyODE3MjQBCAAAAAUAAAABMQEAAAALLTE5MzQyNTQyMTYDAAAAAzE2MAIAAAACMjgEAAAAATAHAAAACTcvMTEvMjAyNggAAAAJNi8zMC8yMDI1CQAAAAEw2xh+a2/f3gg8LKJub9/eCC9DSVEuTkFTREFROk1TRlQuSVFfRElMVVRfRVBTX0VYQ0wuMjAwMC4uLi5VU0QuSAEAAABLVQAAAgAAAAkxNi43ODk3NjEBCAAAAAUAAAABMQEAAAALLTE4OTMyOTg5OTUDAAAAAzE2MAIAAAADMTQyBAAAAAEwBwAAAAk3LzExLzIwMjYIAAAACTMvMzEvMjAyNgkAAAABMNsYfmtv394IPCyibm/f3ggvQ0lRLk5BU0RBUTpNU0ZULklRX0RJTFVUX0VQU19FWENMLjEwMDAuLi4uVVNELkgBAAAAS1UAAAIAAAAFMTMuNjQBCAAAAAUAAAABMQEAAAALLTE5MzQy</t>
  </si>
  <si>
    <t>NTQyMTYDAAAAAzE2MAIAAAADMTQyBAAAAAEwBwAAAAk3LzExLzIwMjYIAAAACTYvMzAvMjAyNQkAAAABMNsYfmtv394IPCyibm/f3ggrQ0lRLk5BU0RBUTpNU0ZULklRX1RPVEFMX0RFQlQuNTAwLi4uRi5VU0QuSAEAAABLVQAAAgAAAAYxMjU0MzIBCAAAAAUAAAABMQEAAAALLTE4OTMyOTk3MDcDAAAAAzE2MAIAAAAENDE3MwQAAAABMAcAAAAJNy8xMS8yMDI2CAAAAAkzLzMxLzIwMjYJAAAAATDbGH5rb9/eCA0Yom5v394IL0NJUS5OQVNEQVE6TVNGVC5JUV9DQVNIX1NUX0lOVkVTVC41MDAuLi5GLlVTRC5IAQAAAEtVAAACAAAABTc4MjI4AQgAAAAFAAAAATEBAAAACy0xODkzMjk5NzA3AwAAAAMxNjACAAAABDEwMDIEAAAAATAHAAAACTcvMTEvMjAyNggAAAAJMy8zMS8yMDI2CQAAAAEw2xh+a2/f3ggNGKJub9/eCCdDSVEuTkFTREFROk1TRlQuSVFfRUJJVERBLjEwMDAuLi4uVVNELkgBAAAAS1UAAAIAAAAGMTU2NTI4AQgAAAAFAAAAATEBAAAACy0xOTM0MjU0MjE2AwAAAAMxNjACAAAABDQwNTEEAAAAATAHAAAACTcvMTEvMjAyNggAAAAJNi8zMC8yMDI1CQAAAAEw2xh+a2/f3ggNGKJub9/eCDhDSVEuTkFTREFROk1TRlQuSVFfTUlOT1JJVFlfSU5URVJFU1RfVE9UQUwuNTAwLi4uRi5VU0QuSAEAAABLVQAAAwAAAAAA2xh+a2/f3ggNGKJub9/eCCxDSVEuTkFTREFROk1TRlQuSVFfUFJFRl9FUVVJ</t>
  </si>
  <si>
    <t>VFkuNTAwLi4uRi5VU0QuSAEAAABLVQAAAwAAAAAA2xh+a2/f3ggNGKJub9/eCDhDSVEuTkFTREFROk1TRlQuSVFfQUNDVU1fQU1PUlRfR1cuOTkzLjExLzA3LzIwMjYuLi5VU0QuSAEAAABLVQAAAwAAAAAA2xh+a2/f3ghSBKJub9/eCDBDSVEuTkFTREFROk1TRlQuSVFfR1dfTkVULjk5MS4xMS8wNy8yMDI2Li4uVVNELkgBAAAAS1UAAAMAAAAAANsYfmtv394IUgSibm/f3gg+Q0lRLk5BU0RBUTpNU0ZULklRX0lOVEVSQ09NUEFOWV9OT05fQ0EuMjAwMC4xMS8wNy8yMDI2Li4uVVNELkgBAAAAS1UAAAMAAAAAANsYfmtv394IUgSibm/f3gg9Q0lRLk5BU0RBUTpNU0ZULklRX0xUX0RFQlRfREVSSVZBVElWRVMuOTkxLjExLzA3LzIwMjYuLi5VU0QuSAEAAABLVQAAAwAAAAAA2xh+a2/f3ghSBKJub9/eCERDSVEuTkFTREFROk1TRlQuSVFfREVSSVZBVElWRV9UUkFESU5HX0FTU0VUUy4yMDAwLjExLzA3LzIwMjYuLi5VU0QuSAEAAABLVQAAAwAAAAAA2xh+a2/f3ghSBKJub9/eCDxDSVEuTkFTREFROk1TRlQuSVFfR1JPU1NfSU5UQU5fQVNTRVRTLjk5My4xMS8wNy8yMDI2Li4uVVNELkgBAAAAS1UAAAIAAAAFMTU5MzYBCAAAAAUAAAABMQEAAAAKMjA0NzI3MTc0NQMAAAADMTYwAgAAAAUyNDI5MwQAAAABMAcAAAAJNy8xMS8yMDI2CAAAAAk2LzMwLzIwMTgJAAAAATDbGH5rb9/eCIbwoW5v394IQENJUS5O</t>
  </si>
  <si>
    <t>QVNEQVE6TVNGVC5JUV9ERUJUX0VRVUlWX09QRVJfTEVBU0UuMjAwMC4xMS8wNy8yMDI2Li4uVVNELkgBAAAAS1UAAAMAAAAAANsYfmtv394IhvChbm/f3gg/Q0lRLk5BU0RBUTpNU0ZULklRX1JFU1RSSUNURURfQ0FTSF9UT1RBTC45OTMuMTEvMDcvMjAyNi4uLlVTRC5IAQAAAEtVAAADAAAAAADbGH5rb9/eCIbwoW5v394IPkNJUS5OQVNEQVE6TVNGVC5JUV9XQVJSQU5UWV9MSUFCSUxJVElFUy45OTEuMTEvMDcvMjAyNi4uLlVTRC5IAQAAAEtVAAADAAAAAADbGH5rb9/eCIbwoW5v394IP0NJUS5OQVNEQVE6TVNGVC5JUV9GSU5fRElWX0xUX0RFQlRfVE9UQUwuOTkxLjExLzA3LzIwMjYuLi5VU0QuSAEAAABLVQAAAwAAAAAA2xh+a2/f3giG8KFub9/eCD1DSVEuTkFTREFROk1TRlQuSVFfRklOX0RJVl9DQVNIX0VRVUlWLjIwMDAuMTEvMDcvMjAyNi4uLlVTRC5IAQAAAEtVAAADAAAAAADbGH5rb9/eCCLJoW5v394IUENJUS5OQVNEQVE6TVNGVC5JUV9MSUFCSUxJVElFU19ORVRUSU5HX09USEVSX0FESlVTVE1FTlRTLjIwMDAuMTEvMDcvMjAyNi4uLlVTRC5IAQAAAEtVAAADAAAAAADbGH5rb9/eCCLJoW5v394IPUNJUS5OQVNEQVE6TVNGVC5JUV9MSUFCSUxJVElFU19MRVZFTF8xLjk5MS4xMS8wNy8yMDI2Li4uVVNELkgBAAAAS1UAAAIAAAACMTcAky1+a2/f3ggiyaFub9/eCDlDSVEuTkFTREFROk1T</t>
  </si>
  <si>
    <t>RlQuSVFfSU5URVJDT01QQU5ZX0NMLjk5MC4xMS8wNy8yMDI2Li4uVVNELkgBAAAAS1UAAAMAAAAAAJMtfmtv394IIsmhbm/f3ggwQ0lRLk5BU0RBUTpNU0ZULklRX0dXX05FVC45OTIuMTEvMDcvMjAyNi4uLlVTRC5IAQAAAEtVAAADAAAAAACTLX5rb9/eCCLJoW5v394IPUNJUS5OQVNEQVE6TVNGVC5JUV9MVF9ERUJUX0RFUklWQVRJVkVTLjk5Mi4xMS8wNy8yMDI2Li4uVVNELkgBAAAAS1UAAAMAAAAAAJMtfmtv394IIsmhbm/f3ghDQ0lRLk5BU0RBUTpNU0ZULklRX0RFUklWQVRJVkVfQVNTRVRTX0NVUlJFTlQuOTkwLjExLzA3LzIwMjYuLi5VU0QuSAEAAABLVQAAAgAAAAM3MDgBCAAAAAUAAAABMQEAAAAKMTg1MTUyNTkxMgMAAAADMTYwAgAAAAQxMTA5BAAAAAEwBwAAAAk3LzExLzIwMjYIAAAACTYvMzAvMjAxNQkAAAABMJMtfmtv394IIsmhbm/f3gg/Q0lRLk5BU0RBUTpNU0ZULklRX0ZJTl9ESVZfTFRfREVCVF9UT1RBTC45OTIuMTEvMDcvMjAyNi4uLlVTRC5IAQAAAEtVAAADAAAAAACTLX5rb9/eCCLJoW5v394IPENJUS5OQVNEQVE6TVNGVC5JUV9GSU5fRElWX0NBU0hfRVFVSVYuOTkyLjExLzA3LzIwMjYuLi5VU0QuSAEAAABLVQAAAwAAAAAAky1+a2/f3ggRtKFub9/eCD1DSVEuTkFTREFROk1TRlQuSVFfTElBQklMSVRJRVNfTEVWRUxfMS45OTIuMTEvMDcvMjAyNi4uLlVTRC5IAQAAAEtV</t>
  </si>
  <si>
    <t>AAADAAAAAACTLX5rb9/eCBG0oW5v394IQENJUS5OQVNEQVE6TVNGVC5JUV9MSUFCSUxJVElFU19GQUlSX1ZBTFVFLjk5MC4xMS8wNy8yMDI2Li4uVVNELkgBAAAAS1UAAAIAAAAFMzA1NTcAky1+a2/f3ggRtKFub9/eCEhDSVEuTkFTREFROk1TRlQuSVFfVE9UQUxfR0VORVJBTF9QQVJUTkVSX0lOVEVSRVNULjk5MC4xMS8wNy8yMDI2Li4uVVNELkgBAAAAS1UAAAMAAAAAAJMtfmtv394IEbShbm/f3ghFQ0lRLk5BU0RBUTpNU0ZULklRX0RFRl9UQVhfVkFMVUFUSU9OX0FMTE9XQU5DRS45OTIuMTEvMDcvMjAyNi4uLlVTRC5IAQAAAEtVAAACAAAABDMzMTABCAAAAAUAAAABMQEAAAAKMTk3MzM4MDk1MQMAAAADMTYwAgAAAAU0NjA0NQQAAAABMAcAAAAJNy8xMS8yMDI2CAAAAAk2LzMwLzIwMTcJAAAAATCTLX5rb9/eCBG0oW5v394INkNJUS5OQVNEQVE6TVNGVC5JUV9GSU5JU0hFRF9JTlYuOTkyLjExLzA3LzIwMjYuLi5VU0QuSAEAAABLVQAAAgAAAAQxMjM5AQgAAAAFAAAAATEBAAAACjE5NzMzODA5NTEDAAAAAzE2MAIAAAAEMzA3NQQAAAABMAcAAAAJNy8xMS8yMDI2CAAAAAk2LzMwLzIwMTcJAAAAATCTLX5rb9/eCLmMoW5v394IM0NJUS5OQVNEQVE6TVNGVC5JUV9NQUNISU5FUlkuOTkwLjExLzA3LzIwMjYuLi5VU0QuSAEAAABLVQAAAgAAAAUxNzE5MQEIAAAABQAAAAExAQAAAAoxODUxNTI1OTEy</t>
  </si>
  <si>
    <t>AwAAAAMxNjACAAAABDMxMTQEAAAAATAHAAAACTcvMTEvMjAyNggAAAAJNi8zMC8yMDE1CQAAAAEwky1+a2/f3gi5jKFub9/eCDVDSVEuTkFTREFROk1TRlQuSVFfV09SS0lOR19DQVAuOTkwLjExLzA3LzIwMjYuLi5VU0QuSAEAAABLVQAAAgAAAAU3MzE1MAEIAAAABQAAAAExAQAAAAoxODUxNTI1OTEyAwAAAAMxNjACAAAABDQxNjUEAAAAATAHAAAACTcvMTEvMjAyNggAAAAJNi8zMC8yMDE1CQAAAAEwky1+a2/f3gi5jKFub9/eCDRDSVEuTkFTREFROk1TRlQuSVFfQ0FTSF9TSEFSRS45OTIuMTEvMDcvMjAyNi4uLlVTRC5IAQAAAEtVAAACAAAACDAuOTk0MTYxAQgAAAAFAAAAATEBAAAACjE5NzMzODA5NTEDAAAAAzE2MAIAAAAENDM4MQQAAAABMAcAAAAJNy8xMS8yMDI2CAAAAAk2LzMwLzIwMTcJAAAAATCTLX5rb9/eCLmMoW5v394IQENJUS5OQVNEQVE6TVNGVC5JUV9UT1RBTF9ERUJUX05PTl9DVVJSRU5ULjk5Mi4xMS8wNy8yMDI2Li4uVVNELkgBAAAAS1UAAAIAAAAFODM4NzABCAAAAAUAAAABMQEAAAAKMTk3MzM4MDk1MQMAAAADMTYwAgAAAAUyNTIyNAQAAAABMAcAAAAJNy8xMS8yMDI2CAAAAAk2LzMwLzIwMTcJAAAAATCTLX5rb9/eCLmMoW5v394IQENJUS5OQVNEQVE6TVNGVC5JUV9UT1RBTF9ERUJUX0VYQ0xfTEVBU0VTLjk5MC4xMS8wNy8yMDI2Li4uVVNELkgBAAAAS1UAAAIAAAAFMzUz</t>
  </si>
  <si>
    <t>ODQBCAAAAAUAAAABMQEAAAAKMTg1MTUyNTkxMgMAAAADMTYwAgAAAAU0ODk5MgQAAAABMAcAAAAJNy8xMS8yMDI2CAAAAAk2LzMwLzIwMTUJAAAAATCTLX5rb9/eCLmMoW5v394IMkNJUS5OQVNEQVE6TVNGVC5JUV9CVl9TSEFSRS45OTAuMTEvMDcvMjAyNi4uLlVTRC5IAQAAAEtVAAACAAAACDkuOTc2NzAzAQgAAAAFAAAAATEBAAAACjE4NTE1MjU5MTIDAAAAAzE2MAIAAAAENDAyMAQAAAABMAcAAAAJNy8xMS8yMDI2CAAAAAk2LzMwLzIwMTUJAAAAATCTLX5rb9/eCLmMoW5v394IPUNJUS5OQVNEQVE6TVNGVC5JUV9UT1RBTF9SRVZfRU1QTE9ZRUUuMjAwMC4xMS8wNy8yMDI2Li4uVVNELkgBAAAAS1UAAAMAAAAAAJMtfmtv394I43ihbm/f3gg9Q0lRLk5BU0RBUTpNU0ZULklRX0xUX01BUktfU0VDVVJJVElFUy4yMDAwLjExLzA3LzIwMjYuLi5VU0QuSAEAAABLVQAAAwAAAAAAky1+a2/f3gjjeKFub9/eCDBDSVEuTkFTREFROk1TRlQuSVFfR1dfTkVULjk5My4xMS8wNy8yMDI2Li4uVVNELkgBAAAAS1UAAAMAAAAAAJMtfmtv394IuYyhbm/f3gg5Q0lRLk5BU0RBUTpNU0ZULklRX0lOVEVSQ09NUEFOWV9DTC45OTEuMTEvMDcvMjAyNi4uLlVTRC5IAQAAAEtVAAADAAAAAACTLX5rb9/eCLmMoW5v394IPUNJUS5OQVNEQVE6TVNGVC5JUV9MVF9ERUJUX0RFUklWQVRJVkVTLjk5My4xMS8wNy8yMDI2Li4u</t>
  </si>
  <si>
    <t>VVNELkgBAAAAS1UAAAMAAAAAAJMtfmtv394IuYyhbm/f3ghDQ0lRLk5BU0RBUTpNU0ZULklRX0RFUklWQVRJVkVfQVNTRVRTX0NVUlJFTlQuOTkxLjExLzA3LzIwMjYuLi5VU0QuSAEAAABLVQAAAgAAAAMyNDEBCAAAAAUAAAABMQEAAAAKMTg5ODQ4OTQ3MAMAAAADMTYwAgAAAAQxMTA5BAAAAAEwBwAAAAk3LzExLzIwMjYIAAAACTYvMzAvMjAxNgkAAAABMJMtfmtv394IiFGhbm/f3ghDQ0lRLk5BU0RBUTpNU0ZULklRX0FDQ1VNX0FNT1JUX0lOVEFOX0FTU0VUUy4yMDAwLjExLzA3LzIwMjYuLi5VU0QuSAEAAABLVQAAAgAAAAYtMjQ1ODYBCAAAAAUAAAABMQEAAAALLTE4OTMyOTg5OTUDAAAAAzE2MAIAAAAFMjQzMzEEAAAAATAHAAAACTcvMTEvMjAyNggAAAAJMy8zMS8yMDI2CQAAAAEwky1+a2/f3giIUaFub9/eCD5DSVEuTkFTREFROk1TRlQuSVFfVE9UQUxfREVCVF9FWENMX0ZJTi4yMDAwLjExLzA3LzIwMjYuLi5VU0QuSAEAAABLVQAAAgAAAAYxMjU0MzIBCAAAAAUAAAABMQEAAAALLTE4OTMyOTg5OTUDAAAAAzE2MAIAAAAFMjE4NjAEAAAAATAHAAAACTcvMTEvMjAyNggAAAAJMy8zMS8yMDI2CQAAAAEwky1+a2/f3giIUaFub9/eCDxDSVEuTkFTREFROk1TRlQuSVFfRklOX0RJVl9DQVNIX0VRVUlWLjk5My4xMS8wNy8yMDI2Li4uVVNELkgBAAAAS1UAAAMAAAAAAJMtfmtv394I43ihbm/f3ghP</t>
  </si>
  <si>
    <t>Q0lRLk5BU0RBUTpNU0ZULklRX0xJQUJJTElUSUVTX05FVFRJTkdfT1RIRVJfQURKVVNUTUVOVFMuOTkzLjExLzA3LzIwMjYuLi5VU0QuSAEAAABLVQAAAwAAAAAAqEN+a2/f3gjjeKFub9/eCDxDSVEuTkFTREFROk1TRlQuSVFfVE9UQUxfUkVWX0VNUExPWUVFLjk5Mi4xMS8wNy8yMDI2Li4uVVNELkgBAAAAS1UAAAIAAAAHNzc4Ljc5OAEIAAAABQAAAAExAQAAAAoxOTczMzgwOTUxAwAAAAMxNjACAAAABDQxMjMEAAAAATAHAAAACTcvMTEvMjAyNggAAAAJNi8zMC8yMDE3CQAAAAEwqEN+a2/f3giIUaFub9/eCD9DSVEuTkFTREFROk1TRlQuSVFfQURWQU5DRVNfRk9SX1NVUFBMSUVTLjk5MC4xMS8wNy8yMDI2Li4uVVNELkgBAAAAS1UAAAMAAAAAAKhDfmtv394IiFGhbm/f3ghDQ0lRLk5BU0RBUTpNU0ZULklRX0RFUklWQVRJVkVfQVNTRVRTX0NVUlJFTlQuOTkyLjExLzA3LzIwMjYuLi5VU0QuSAEAAABLVQAAAgAAAAMyODQBCAAAAAUAAAABMQEAAAAKMTk3MzM4MDk1MQMAAAADMTYwAgAAAAQxMTA5BAAAAAEwBwAAAAk3LzExLzIwMjYIAAAACTYvMzAvMjAxNwkAAAABMKhDfmtv394IiFGhbm/f3ghCQ0lRLk5BU0RBUTpNU0ZULklRX0FDQ1VNX0FNT1JUX0lOVEFOX0FTU0VUUy45OTIuMTEvMDcvMjAyNi4uLlVTRC5IAQAAAEtVAAACAAAABS02NTYxAQgAAAAFAAAAATEBAAAACjE5NzMzODA5NTEDAAAA</t>
  </si>
  <si>
    <t>AzE2MAIAAAAFMjQzMzEEAAAAATAHAAAACTcvMTEvMjAyNggAAAAJNi8zMC8yMDE3CQAAAAEwqEN+a2/f3giIUaFub9/eCDdDSVEuTkFTREFROk1TRlQuSVFfT1JERVJfQkFDS0xPRy45OTAuMTEvMDcvMjAyNi4uLlVTRC5IAQAAAEtVAAADAAAAAACoQ35rb9/eCIhRoW5v394IPUNJUS5OQVNEQVE6TVNGVC5JUV9TVF9ERUJUX0RFUklWQVRJVkVTLjk5MC4xMS8wNy8yMDI2Li4uVVNELkgBAAAAS1UAAAMAAAAAAKhDfmtv394I2D2hbm/f3ghMQ0lRLk5BU0RBUTpNU0ZULklRX0xJUVVJREFUSU9OX1ZBTFVFX1BSRUZFUlJFRF9SRURFRU0uOTkyLjExLzA3LzIwMjYuLi5VU0QuSAEAAABLVQAAAwAAAAAAqEN+a2/f3gjYPaFub9/eCEpDSVEuTkFTREFROk1TRlQuSVFfQVNTRVRTX05FVFRJTkdfT1RIRVJfQURKVVNUTUVOVFMuOTkwLjExLzA3LzIwMjYuLi5VU0QuSAEAAABLVQAAAgAAAAQtMTYyAKhDfmtv394I2D2hbm/f3ghBQ0lRLk5BU0RBUTpNU0ZULklRX01JTk9SSVRZX0lOVF9SRURFRU1fVE9ULjk5MC4xMS8wNy8yMDI2Li4uVVNELkgBAAAAS1UAAAMAAAAAAKhDfmtv394I2D2hbm/f3ggzQ0lRLk5BU0RBUTpNU0ZULklRX01BQ0hJTkVSWS45OTIuMTEvMDcvMjAyNi4uLlVTRC5IAQAAAEtVAAACAAAABTI1NDU4AQgAAAAFAAAAATEBAAAACjE5NzMzODA5NTEDAAAAAzE2MAIAAAAEMzExNAQAAAABMAcA</t>
  </si>
  <si>
    <t>AAAJNy8xMS8yMDI2CAAAAAk2LzMwLzIwMTcJAAAAATCoQ35rb9/eCNg9oW5v394ILUNJUS5OQVNEQVE6TVNGVC5JUV9DSVAuOTkyLjExLzA3LzIwMjYuLi5VU0QuSAEAAABLVQAAAwAAAAAAqEN+a2/f3giLFqFub9/eCDVDSVEuTkFTREFROk1TRlQuSVFfV09SS0lOR19DQVAuOTkyLjExLzA3LzIwMjYuLi5VU0QuSAEAAABLVQAAAgAAAAYxMDY5NTEBCAAAAAUAAAABMQEAAAAKMTk3MzM4MDk1MQMAAAADMTYwAgAAAAQ0MTY1BAAAAAEwBwAAAAk3LzExLzIwMjYIAAAACTYvMzAvMjAxNwkAAAABMKhDfmtv394Iixahbm/f3gg1Q0lRLk5BU0RBUTpNU0ZULklRX0FSX1VOQklMTEVELjk5MC4xMS8wNy8yMDI2Li4uVVNELkgBAAAAS1UAAAMAAAAAAKhDfmtv394Iixahbm/f3ggxQ0lRLk5BU0RBUTpNU0ZULklRX1JBV19JTlYuOTkwLjExLzA3LzIwMjYuLi5VU0QuSAEAAABLVQAAAgAAAAQxMTAwAQgAAAAFAAAAATEBAAAACjE4NTE1MjU5MTIDAAAAAzE2MAIAAAAEMzE3MQQAAAABMAcAAAAJNy8xMS8yMDI2CAAAAAk2LzMwLzIwMTUJAAAAATCoQ35rb9/eCIsWoW5v394ILUNJUS5OQVNEQVE6TVNGVC5JUV9UQlYuOTkwLjExLzA3LzIwMjYuLi5VU0QuSAEAAABLVQAAAgAAAAU1ODMwOQEIAAAABQAAAAExAQAAAAoxODUxNTI1OTEyAwAAAAMxNjACAAAABDEzMTAEAAAAATAHAAAACTcvMTEvMjAyNggAAAAJNi8z</t>
  </si>
  <si>
    <t>MC8yMDE1CQAAAAEwqEN+a2/f3giLFqFub9/eCDJDSVEuTkFTREFROk1TRlQuSVFfQlZfU0hBUkUuOTkyLjExLzA3LzIwMjYuLi5VU0QuSAEAAABLVQAAAgAAAAkxMS4zNzkyMTYBCAAAAAUAAAABMQEAAAAKMTk3MzM4MDk1MQMAAAADMTYwAgAAAAQ0MDIwBAAAAAEwBwAAAAk3LzExLzIwMjYIAAAACTYvMzAvMjAxNwkAAAABMKhDfmtv394I5wGhbm/f3ghAQ0lRLk5BU0RBUTpNU0ZULklRX0ZJTkFOQ0VfTEVBU0VTX0NVUlJFTlQuOTkyLjExLzA3LzIwMjYuLi5VU0QuSAEAAABLVQAAAgAAAAMxMTMBCAAAAAUAAAABMQEAAAAKMTk3MzM4MDk1MQMAAAADMTYwAgAAAAU0ODk5MAQAAAABMAcAAAAJNy8xMS8yMDI2CAAAAAk2LzMwLzIwMTcJAAAAATCoQ35rb9/eCOcBoW5v394IS0NJUS5OQVNEQVE6TVNGVC5JUV9MVF9QT1JUSU9OX09QRVJfTEVBU0VfTElBQklMSVRJRVMuOTkwLjExLzA3LzIwMjYuLi5VU0QuSAEAAABLVQAAAwAAAAAAqEN+a2/f3giLFqFub9/eCEFDSVEuTkFTREFROk1TRlQuSVFfUlVBX0NBUElUQUxfTEVBU0VfR1JPU1MuOTkwLjExLzA3LzIwMjYuLi5VU0QuSAEAAABLVQAAAwAAAAAAqEN+a2/f3giLFqFub9/eCD1DSVEuTkFTREFROk1TRlQuSVFfVE9UQUxfQ09NTU9OX0VRVUlUWS45OTIuMTEvMDcvMjAyNi4uLlVTRC5IAQAAAEtVAAACAAAABTg3NzExAQgAAAAFAAAAATEBAAAACjE5</t>
  </si>
  <si>
    <t>NzMzODA5NTEDAAAAAzE2MAIAAAAEMTAwNgQAAAABMAcAAAAJNy8xMS8yMDI2CAAAAAk2LzMwLzIwMTcJAAAAATBTWH5rb9/eCIsWoW5v394IO0NJUS5OQVNEQVE6TVNGVC5JUV9UT1RBTF9MSUFCX0VRVUlUWS45OTIuMTEvMDcvMjAyNi4uLlVTRC5IAQAAAEtVAAACAAAABjI1MDMxMgEIAAAABQAAAAExAQAAAAoxOTczMzgwOTUxAwAAAAMxNjACAAAABDEwMTMEAAAAATAHAAAACTcvMTEvMjAyNggAAAAJNi8zMC8yMDE3CQAAAAEwU1h+a2/f3gixxaBub9/eCDlDSVEuTkFTREFROk1TRlQuSVFfREVGX1RBWF9MSUFCX0xULjk5Mi4xMS8wNy8yMDI2Li4uVVNELkgBAAAAS1UAAAIAAAAENTczNAEIAAAABQAAAAExAQAAAAoxOTczMzgwOTUxAwAAAAMxNjACAAAABDEwMjcEAAAAATAHAAAACTcvMTEvMjAyNggAAAAJNi8zMC8yMDE3CQAAAAEwU1h+a2/f3gixxaBub9/eCDlDSVEuTkFTREFROk1TRlQuSVFfUFJFRl9OT05fUkVERUVNLjk5MC4xMS8wNy8yMDI2Li4uVVNELkgBAAAAS1UAAAMAAAAAAFNYfmtv394IscWgbm/f3gg1Q0lRLk5BU0RBUTpNU0ZULklRX1BSRUZfRVFVSVRZLjk5MC4xMS8wNy8yMDI2Li4uVVNELkgBAAAAS1UAAAMAAAAAAFNYfmtv394I5wGhbm/f3gg+Q0lRLk5BU0RBUTpNU0ZULklRX0RFRl9UQVhfTElBQl9DVVJSRU5ULjk5MC4xMS8wNy8yMDI2Li4uVVNELkgBAAAAS1UAAAMAAAAA</t>
  </si>
  <si>
    <t>AFNYfmtv394I5wGhbm/f3gg+Q0lRLk5BU0RBUTpNU0ZULklRX0ZJTl9ESVZfREVCVF9DVVJSRU5ULjk5Mi4xMS8wNy8yMDI2Li4uVVNELkgBAAAAS1UAAAMAAAAAAFNYfmtv394IscWgbm/f3gg6Q0lRLk5BU0RBUTpNU0ZULklRX0ZJTl9ESVZfTE9BTlNfTFQuOTkyLjExLzA3LzIwMjYuLi5VU0QuSAEAAABLVQAAAwAAAAAAU1h+a2/f3gixxaBub9/eCDtDSVEuTkFTREFROk1TRlQuSVFfREVGX1RBWF9BU1NFVFNfTFQuOTkwLjExLzA3LzIwMjYuLi5VU0QuSAEAAABLVQAAAgAAAAMyMjgBCAAAAAUAAAABMQEAAAAKMTg1MTUyNTkxMgMAAAADMTYwAgAAAAQxMDI2BAAAAAEwBwAAAAk3LzExLzIwMjYIAAAACTYvMzAvMjAxNQkAAAABMFNYfmtv394IscWgbm/f3gg8Q0lRLk5BU0RBUTpNU0ZULklRX1RPVEFMX1JFVl9FTVBMT1lFRS45OTMuMTEvMDcvMjAyNi4uLlVTRC5IAQAAAEtVAAACAAAABzg0Mi40NDIBCAAAAAUAAAABMQEAAAAKMjA0NzI3MTc0NQMAAAADMTYwAgAAAAQ0MTIzBAAAAAEwBwAAAAk3LzExLzIwMjYIAAAACTYvMzAvMjAxOAkAAAABMFNYfmtv394IscWgbm/f3gg/Q0lRLk5BU0RBUTpNU0ZULklRX0FEVkFOQ0VTX0ZPUl9TVVBQTElFUy45OTEuMTEvMDcvMjAyNi4uLlVTRC5IAQAAAEtVAAADAAAAAABTWH5rb9/eCLHFoG5v394INENJUS5OQVNEQVE6TVNGVC5JUV9JTlRBTl9ORVQuMjAw</t>
  </si>
  <si>
    <t>MC4xMS8wNy8yMDI2Li4uVVNELkgBAAAAS1UAAAIAAAAFMTkzMjUBCAAAAAUAAAABMQEAAAALLTE4OTMyOTg5OTUDAAAAAzE2MAIAAAAFNDg5NjIEAAAAATAHAAAACTcvMTEvMjAyNggAAAAJMy8zMS8yMDI2CQAAAAEwU1h+a2/f3gixxaBub9/eCEJDSVEuTkFTREFROk1TRlQuSVFfREVSSVZBVElWRV9MSUFCX0NVUlJFTlQuMjAwMC4xMS8wNy8yMDI2Li4uVVNELkgBAAAAS1UAAAIAAAADNjMwAQgAAAAFAAAAATEBAAAACy0xODkzMjk4OTk1AwAAAAMxNjACAAAABTQwNDE3BAAAAAEwBwAAAAk3LzExLzIwMjYIAAAACTMvMzEvMjAyNgkAAAABMFNYfmtv394IscWgbm/f3ghCQ0lRLk5BU0RBUTpNU0ZULklRX0FDQ1VNX0FNT1JUX0lOVEFOX0FTU0VUUy45OTMuMTEvMDcvMjAyNi4uLlVTRC5IAQAAAEtVAAACAAAABS03ODgzAQgAAAAFAAAAATEBAAAACjIwNDcyNzE3NDUDAAAAAzE2MAIAAAAFMjQzMzEEAAAAATAHAAAACTcvMTEvMjAyNggAAAAJNi8zMC8yMDE4CQAAAAEwU1h+a2/f3gixxaBub9/eCD1DSVEuTkFTREFROk1TRlQuSVFfVE9UQUxfREVCVF9FWENMX0ZJTi45OTMuMTEvMDcvMjAyNi4uLlVTRC5IAQAAAEtVAAACAAAABTg3NTA4AQgAAAAFAAAAATEBAAAACjIwNDcyNzE3NDUDAAAAAzE2MAIAAAAFMjE4NjAEAAAAATAHAAAACTcvMTEvMjAyNggAAAAJNi8zMC8yMDE4CQAAAAEwU1h+a2/f3gix</t>
  </si>
  <si>
    <t>xaBub9/eCD1DSVEuTkFTREFROk1TRlQuSVFfU1RfREVCVF9ERVJJVkFUSVZFUy45OTEuMTEvMDcvMjAyNi4uLlVTRC5IAQAAAEtVAAADAAAAAABTWH5rb9/eCLHFoG5v394IP0NJUS5OQVNEQVE6TVNGVC5JUV9GSU5fRElWX1NUX0RFQlRfVE9UQUwuOTkxLjExLzA3LzIwMjYuLi5VU0QuSAEAAABLVQAAAwAAAAAAU1h+a2/f3gieiqBub9/eCDxDSVEuTkFTREFROk1TRlQuSVFfRklOX0RJVl9TVF9JTlZFU1QuMjAwMC4xMS8wNy8yMDI2Li4uVVNELkgBAAAAS1UAAAMAAAAAAFNYfmtv394I8bGgbm/f3gg+Q0lRLk5BU0RBUTpNU0ZULklRX0xJQUJJTElUSUVTX0xFVkVMXzIuMjAwMC4xMS8wNy8yMDI2Li4uVVNELkgBAAAAS1UAAAIAAAAFMzcyNzEAU1h+a2/f3gjxsaBub9/eCEFDSVEuTkFTREFROk1TRlQuSVFfTElBQklMSVRJRVNfRkFJUl9WQUxVRS4yMDAwLjExLzA3LzIwMjYuLi5VU0QuSAEAAABLVQAAAgAAAAUzNzI3MQBTWH5rb9/eCPGxoG5v394ITENJUS5OQVNEQVE6TVNGVC5JUV9MSVFVSURBVElPTl9WQUxVRV9QUkVGRVJSRURfUkVERUVNLjk5My4xMS8wNy8yMDI2Li4uVVNELkgBAAAAS1UAAAMAAAAAAFNYfmtv394I8bGgbm/f3ghKQ0lRLk5BU0RBUTpNU0ZULklRX0FTU0VUU19ORVRUSU5HX09USEVSX0FESlVTVE1FTlRTLjk5MS4xMS8wNy8yMDI2Li4uVVNELkgBAAAAS1UAAAIAAAAELTQw</t>
  </si>
  <si>
    <t>MQBTWH5rb9/eCJ6KoG5v394IQUNJUS5OQVNEQVE6TVNGVC5JUV9NSU5PUklUWV9JTlRfUkVERUVNX1RPVC45OTEuMTEvMDcvMjAyNi4uLlVTRC5IAQAAAEtVAAADAAAAAABTWH5rb9/eCJ6KoG5v394ISENJUS5OQVNEQVE6TVNGVC5JUV9HRU5FUkFMX1BBUlRORVJfQ09NTU9OX0VRVUlUWS4yMDAwLjExLzA3LzIwMjYuLi5VU0QuSAEAAABLVQAAAwAAAAAAU1h+a2/f3gieiqBub9/eCDRDSVEuTkFTREFROk1TRlQuSVFfT1RIRVJfSU5WLjIwMDAuMTEvMDcvMjAyNi4uLlVTRC5IAQAAAEtVAAADAAAAAABTWH5rb9/eCJ6KoG5v394ILUNJUS5OQVNEQVE6TVNGVC5JUV9DSVAuOTkzLjExLzA3LzIwMjYuLi5VU0QuSAEAAABLVQAAAwAAAAAAU1h+a2/f3gieiqBub9/eCDVDSVEuTkFTREFROk1TRlQuSVFfV09SS0lOR19DQVAuOTkzLjExLzA3LzIwMjYuLi5VU0QuSAEAAABLVQAAAgAAAAYxMTExNzQBCAAAAAUAAAABMQEAAAAKMjA0NzI3MTc0NQMAAAADMTYwAgAAAAQ0MTY1BAAAAAEwBwAAAAk3LzExLzIwMjYIAAAACTYvMzAvMjAxOAkAAAABMFNYfmtv394I2U6gbm/f3gg3Q0lRLk5BU0RBUTpNU0ZULklRX0VRVUlUWV9NRVRIT0QuOTkzLjExLzA3LzIwMjYuLi5VU0QuSAEAAABLVQAAAwAAAAAAU1h+a2/f3gjZTqBub9/eCDFDSVEuTkFTREFROk1TRlQuSVFfUkFXX0lOVi45OTEuMTEvMDcvMjAyNi4uLlVT</t>
  </si>
  <si>
    <t>RC5IAQAAAEtVAAACAAAAAzYxMgEIAAAABQAAAAExAQAAAAoxODk4NDg5NDcwAwAAAAMxNjACAAAABDMxNzEEAAAAATAHAAAACTcvMTEvMjAyNggAAAAJNi8zMC8yMDE2CQAAAAEwU1h+a2/f3gjZTqBub9/eCDRDSVEuTkFTREFROk1TRlQuSVFfVE9UQUxfREVCVC45OTEuMTEvMDcvMjAyNi4uLlVTRC5IAQAAAEtVAAACAAAABTU0NTQxAQgAAAAFAAAAATEBAAAACjE4OTg0ODk0NzADAAAAAzE2MAIAAAAENDE3MwQAAAABMAcAAAAJNy8xMS8yMDI2CAAAAAk2LzMwLzIwMTYJAAAAATBTWH5rb9/eCJ6KoG5v394IM0NJUS5OQVNEQVE6TVNGVC5JUV9ORVRfREVCVC4yMDAwLjExLzA3LzIwMjYuLi5VU0QuSAEAAABLVQAAAgAAAAU0NzIwNAEIAAAABQAAAAExAQAAAAstMTg5MzI5ODk5NQMAAAADMTYwAgAAAAQ0MzY0BAAAAAEwBwAAAAk3LzExLzIwMjYIAAAACTMvMzEvMjAyNgkAAAABMFNYfmtv394Inoqgbm/f3gg9Q0lRLk5BU0RBUTpNU0ZULklRX0lOVEVSQ09NUEFOWV9OT05fQ0wuOTkxLjExLzA3LzIwMjYuLi5VU0QuSAEAAABLVQAAAwAAAAAAU1h+a2/f3gjZTqBub9/eCDNDSVEuTkFTREFROk1TRlQuSVFfR1JPU1NfR1cuMjAwMC4xMS8wNy8yMDI2Li4uVVNELkgBAAAAS1UAAAMAAAAAAFNYfmtv394I2U6gbm/f3gg/Q0lRLk5BU0RBUTpNU0ZULklRX0FEVkFOQ0VTX0ZPUl9TVVBQTElFUy45OTMuMTEv</t>
  </si>
  <si>
    <t>MDcvMjAyNi4uLlVTRC5IAQAAAEtVAAADAAAAAABTWH5rb9/eCNlOoG5v394IM0NJUS5OQVNEQVE6TVNGVC5JUV9JTlRBTl9ORVQuOTkzLjExLzA3LzIwMjYuLi5VU0QuSAEAAABLVQAAAwAAAAAAU1h+a2/f3gjZTqBub9/eCD1DSVEuTkFTREFROk1TRlQuSVFfU1RfREVCVF9ERVJJVkFUSVZFUy45OTMuMTEvMDcvMjAyNi4uLlVTRC5IAQAAAEtVAAADAAAAAABTWH5rb9/eCNlOoG5v394IRUNJUS5OQVNEQVE6TVNGVC5JUV9ERVJJVkFUSVZFX0xJQUJfTk9OX0NVUlJFTlQuOTkxLjExLzA3LzIwMjYuLi5VU0QuSAEAAABLVQAAAwAAAAAAU1h+a2/f3ghWE6Bub9/eCD5DSVEuTkFTREFROk1TRlQuSVFfREVSSVZBVElWRV9BU1NFVFNfTFQuOTkxLjExLzA3LzIwMjYuLi5VU0QuSAEAAABLVQAAAgAAAAItNwEIAAAABQAAAAExAQAAAAoxODk4NDg5NDcwAwAAAAMxNjACAAAABDExMTAEAAAAATAHAAAACTcvMTEvMjAyNggAAAAJNi8zMC8yMDE2CQAAAAEwU1h+a2/f3gjSOqBub9/eCDxDSVEuTkFTREFROk1TRlQuSVFfREVCVF9FUVVJVl9ORVRfUEJPLjk5MS4xMS8wNy8yMDI2Li4uVVNELkgBAAAAS1UAAAMAAAAAAFNYfmtv394I0jqgbm/f3ghGQ0lRLk5BU0RBUTpNU0ZULklRX1JFU1RSSUNURURfQ0FTSF9OT05fQ1VSUkVOVC4yMDAwLjExLzA3LzIwMjYuLi5VU0QuSAEAAABLVQAAAwAAAAAAU1h+a2/f3gjZ</t>
  </si>
  <si>
    <t>TqBub9/eCDhDSVEuTkFTREFROk1TRlQuSVFfT1JERVJfQkFDS0xPRy4yMDAwLjExLzA3LzIwMjYuLi5VU0QuSAEAAABLVQAAAwAAAAAAU1h+a2/f3gjZTqBub9/eCD9DSVEuTkFTREFROk1TRlQuSVFfRklOX0RJVl9TVF9ERUJUX1RPVEFMLjk5My4xMS8wNy8yMDI2Li4uVVNELkgBAAAAS1UAAAMAAAAAAFNYfmtv394I5tWfbm/f3gg9Q0lRLk5BU0RBUTpNU0ZULklRX0xJQUJJTElUSUVTX0xFVkVMXzIuOTkzLjExLzA3LzIwMjYuLi5VU0QuSAEAAABLVQAAAgAAAAU3NzcwNgBTWH5rb9/eCFYToG5v394ISUNJUS5OQVNEQVE6TVNGVC5JUV9GQUlSX1ZBTFVFX0NIQU5HRV9JTkNMX0VBUk5JTkdTLjk5MS4xMS8wNy8yMDI2Li4uVVNELkgBAAAAS1UAAAMAAAAAAFNYfmtv394IVhOgbm/f3ghNQ0lRLk5BU0RBUTpNU0ZULklRX0xJUVVJREFUSU9OX1ZBTFVFX1BSRUZFUlJFRF9DT05WRVJULjk5MS4xMS8wNy8yMDI2Li4uVVNELkgBAAAAS1UAAAMAAAAAAFNYfmtv394IVhOgbm/f3gg5Q0lRLk5BU0RBUTpNU0ZULklRX0FTU0VUU19MRVZFTF8xLjIwMDAuMTEvMDcvMjAyNi4uLlVTRC5IAQAAAEtVAAACAAAABTUzNjgwAFNYfmtv394IVhOgbm/f3ghAQ0lRLk5BU0RBUTpNU0ZULklRX0xFQVNFSE9MRF9JTVBST1ZFTUVOVC4yMDAwLjExLzA3LzIwMjYuLi5VU0QuSAEAAABLVQAAAgAAAAUxNTQ0NAEIAAAABQAA</t>
  </si>
  <si>
    <t>AAExAQAAAAstMTg5MzI5ODk5NQMAAAADMTYwAgAAAAQzMTAwBAAAAAEwBwAAAAk3LzExLzIwMjYIAAAACTMvMzEvMjAyNgkAAAABMLJ/fmtv394I5tWfbm/f3ghBQ0lRLk5BU0RBUTpNU0ZULklRX01JTk9SSVRZX0lOVF9SRURFRU1fVE9ULjk5My4xMS8wNy8yMDI2Li4uVVNELkgBAAAAS1UAAAMAAAAAALJ/fmtv394I5tWfbm/f3ghHQ0lRLk5BU0RBUTpNU0ZULklRX0dFTkVSQUxfUEFSVE5FUl9DT01NT05fRVFVSVRZLjk5My4xMS8wNy8yMDI2Li4uVVNELkgBAAAAS1UAAAMAAAAAALJ/fmtv394I5tWfbm/f3ggxQ0lRLk5BU0RBUTpNU0ZULklRX1JBV19JTlYuOTkzLjExLzA3LzIwMjYuLi5VU0QuSAEAAABLVQAAAgAAAAM2NTUBCAAAAAUAAAABMQEAAAAKMjA0NzI3MTc0NQMAAAADMTYwAgAAAAQzMTcxBAAAAAEwBwAAAAk3LzExLzIwMjYIAAAACTYvMzAvMjAxOAkAAAABMLJ/fmtv394I5tWfbm/f3gguQ0lRLk5BU0RBUTpNU0ZULklRX0xBTkQuOTkxLjExLzA3LzIwMjYuLi5VU0QuSAEAAABLVQAAAgAAAAM4MjQBCAAAAAUAAAABMQEAAAAKMTg5ODQ4OTQ3MAMAAAADMTYwAgAAAAQzMDk4BAAAAAEwBwAAAAk3LzExLzIwMjYIAAAACTYvMzAvMjAxNgkAAAABMLJ/fmtv394I5tWfbm/f3ggyQ0lRLk5BU0RBUTpNU0ZULklRX1NPRlRXQVJFLjk5MS4xMS8wNy8yMDI2Li4uVVNELkgBAAAAS1UAAAMAAAAA</t>
  </si>
  <si>
    <t>ALJ/fmtv394Ixpmfbm/f3ghBQ0lRLk5BU0RBUTpNU0ZULklRX01JTk9SSVRZX0lOVEVSRVNUX1RPVEFMLjk5MS4xMS8wNy8yMDI2Li4uVVNELkgBAAAAS1UAAAMAAAAAALJ/fmtv394Ixpmfbm/f3gg6Q0lRLk5BU0RBUTpNU0ZULklRX05FVF9XT1JLSU5HX0NBUC4yMDAwLjExLzA3LzIwMjYuLi5VU0QuSAEAAABLVQAAAgAAAAYtMjExMjMBCAAAAAUAAAABMQEAAAALLTE4OTMyOTg5OTUDAAAAAzE2MAIAAAAEMTMxMQQAAAABMAcAAAAJNy8xMS8yMDI2CAAAAAkzLzMxLzIwMjYJAAAAATCyf35rb9/eCMaZn25v394INkNJUS5OQVNEQVE6TVNGVC5JUV9BUl9VTkJJTExFRC4yMDAwLjExLzA3LzIwMjYuLi5VU0QuSAEAAABLVQAAAwAAAAAAsn9+a2/f3gjm1Z9ub9/eCDRDSVEuTkFTREFROk1TRlQuSVFfVE9UQUxfREVCVC45OTMuMTEvMDcvMjAyNi4uLlVTRC5IAQAAAEtVAAACAAAABTg3NTA4AQgAAAAFAAAAATEBAAAACjIwNDcyNzE3NDUDAAAAAzE2MAIAAAAENDE3MwQAAAABMAcAAAAJNy8xMS8yMDI2CAAAAAk2LzMwLzIwMTgJAAAAATCyf35rb9/eCObVn25v394IPUNJUS5OQVNEQVE6TVNGVC5JUV9JTlRFUkNPTVBBTllfTk9OX0NMLjk5Mi4xMS8wNy8yMDI2Li4uVVNELkgBAAAAS1UAAAMAAAAAALJ/fmtv394IhYWfbm/f3gg4Q0lRLk5BU0RBUTpNU0ZULklRX0FDQ1VNX0FNT1JUX0dXLjk5MC4xMS8w</t>
  </si>
  <si>
    <t>Ny8yMDI2Li4uVVNELkgBAAAAS1UAAAMAAAAAALJ/fmtv394IhYWfbm/f3gg+Q0lRLk5BU0RBUTpNU0ZULklRX0RFUklWQVRJVkVfQVNTRVRTX0xULjk5Mi4xMS8wNy8yMDI2Li4uVVNELkgBAAAAS1UAAAIAAAACLTIBCAAAAAUAAAABMQEAAAAKMTk3MzM4MDk1MQMAAAADMTYwAgAAAAQxMTEwBAAAAAEwBwAAAAk3LzExLzIwMjYIAAAACTYvMzAvMjAxNwkAAAABMLJ/fmtv394IhYWfbm/f3gg8Q0lRLk5BU0RBUTpNU0ZULklRX0RFQlRfRVFVSVZfTkVUX1BCTy45OTIuMTEvMDcvMjAyNi4uLlVTRC5IAQAAAEtVAAADAAAAAACyf35rb9/eCMaZn25v394IRUNJUS5OQVNEQVE6TVNGVC5JUV9SRVNUUklDVEVEX0NBU0hfTk9OX0NVUlJFTlQuOTkyLjExLzA3LzIwMjYuLi5VU0QuSAEAAABLVQAAAwAAAAAAsn9+a2/f3gjGmZ9ub9/eCEBDSVEuTkFTREFROk1TRlQuSVFfQ09OVElOR0VOVF9MSUFCSUxJVElFUy45OTAuMTEvMDcvMjAyNi4uLlVTRC5IAQAAAEtVAAADAAAAAACyf35rb9/eCOldn25v394ISUNJUS5OQVNEQVE6TVNGVC5JUV9GQUlSX1ZBTFVFX0NIQU5HRV9JTkNMX0VBUk5JTkdTLjk5Mi4xMS8wNy8yMDI2Li4uVVNELkgBAAAAS1UAAAMAAAAAALJ/fmtv394I6V2fbm/f3ghNQ0lRLk5BU0RBUTpNU0ZULklRX0xJUVVJREFUSU9OX1ZBTFVFX1BSRUZFUlJFRF9DT05WRVJULjk5Mi4xMS8wNy8yMDI2</t>
  </si>
  <si>
    <t>Li4uVVNELkgBAAAAS1UAAAMAAAAAALJ/fmtv394I6V2fbm/f3gg4Q0lRLk5BU0RBUTpNU0ZULklRX0FTU0VUU19MRVZFTF8yLjk5MC4xMS8wNy8yMDI2Li4uVVNELkgBAAAAS1UAAAIAAAAFMjI3NjEAsn9+a2/f3gjpXZ9ub9/eCD1DSVEuTkFTREFROk1TRlQuSVFfTUlOT1JJVFlfSU5UX1JFREVFTS45OTAuMTEvMDcvMjAyNi4uLlVTRC5IAQAAAEtVAAADAAAAAACyf35rb9/eCLNxn25v394IOkNJUS5OQVNEQVE6TVNGVC5JUV9JTlRFUkNPTVBBTllfQ0EuMjAwMC4xMS8wNy8yMDI2Li4uVVNELkgBAAAAS1UAAAMAAAAAALJ/fmtv394IkDafbm/f3gg9Q0lRLk5BU0RBUTpNU0ZULklRX0lOVEVSQ09NUEFOWV9OT05fQ0wuOTkzLjExLzA3LzIwMjYuLi5VU0QuSAEAAABLVQAAAwAAAAAAsn9+a2/f3giQNp9ub9/eCD5DSVEuTkFTREFROk1TRlQuSVFfREVSSVZBVElWRV9BU1NFVFNfTFQuOTkzLjExLzA3LzIwMjYuLi5VU0QuSAEAAABLVQAAAgAAAAIyMgEIAAAABQAAAAExAQAAAAoyMDQ3MjcxNzQ1AwAAAAMxNjACAAAABDExMTAEAAAAATAHAAAACTcvMTEvMjAyNggAAAAJNi8zMC8yMDE4CQAAAAEwsn9+a2/f3giQNp9ub9/eCDhDSVEuTkFTREFROk1TRlQuSVFfQUNDVU1fQU1PUlRfR1cuOTkxLjExLzA3LzIwMjYuLi5VU0QuSAEAAABLVQAAAwAAAAAAsn9+a2/f3giQNp9ub9/eCDdDSVEuTkFTREFROk1T</t>
  </si>
  <si>
    <t>RlQuSVFfR1dfSU5UQU5fTkVULjIwMDAuMTEvMDcvMjAyNi4uLlVTRC5IAQAAAEtVAAADAAAAAACyf35rb9/eCJA2n25v394IQENJUS5OQVNEQVE6TVNGVC5JUV9DT05USU5HRU5UX0xJQUJJTElUSUVTLjk5MS4xMS8wNy8yMDI2Li4uVVNELkgBAAAAS1UAAAMAAAAAALJ/fmtv394IxSGfbm/f3ghIQ0lRLk5BU0RBUTpNU0ZULklRX0NVUlJFTlRfUE9SVF9ERUJUX0RFUklWQVRJVkVTLjIwMDAuMTEvMDcvMjAyNi4uLlVTRC5IAQAAAEtVAAADAAAAAACyf35rb9/eCJA2n25v394IPUNJUS5OQVNEQVE6TVNGVC5JUV9JTlRFUkNPTVBBTllfTk9OX0NBLjk5MC4xMS8wNy8yMDI2Li4uVVNELkgBAAAAS1UAAAMAAAAAALJ/fmtv394IkDafbm/f3gg2Q0lRLk5BU0RBUTpNU0ZULklRX0dXX0lOVEFOX05FVC45OTIuMTEvMDcvMjAyNi4uLlVTRC5IAQAAAEtVAAADAAAAAACyf35rb9/eCJA2n25v394IPUNJUS5OQVNEQVE6TVNGVC5JUV9JTlRFUkNPTVBBTllfTk9OX0NBLjk5MS4xMS8wNy8yMDI2Li4uVVNELkgBAAAAS1UAAAMAAAAAALJ/fmtv394IkDafbm/f3gg9Q0lRLk5BU0RBUTpNU0ZULklRX0dST1NTX0lOVEFOX0FTU0VUUy4yMDAwLjExLzA3LzIwMjYuLi5VU0QuSAEAAABLVQAAAgAAAAU0MzkxMQEIAAAABQAAAAExAQAAAAstMTg5MzI5ODk5NQMAAAADMTYwAgAAAAUyNDI5MwQAAAABMAcAAAAJNy8xMS8y</t>
  </si>
  <si>
    <t>MDI2CAAAAAkzLzMxLzIwMjYJAAAAATCyf35rb9/eCMANn25v394INkNJUS5OQVNEQVE6TVNGVC5JUV9HV19JTlRBTl9ORVQuOTkzLjExLzA3LzIwMjYuLi5VU0QuSAEAAABLVQAAAwAAAAAAeJN+a2/f3gjADZ9ub9/eCEdDSVEuTkFTREFROk1TRlQuSVFfQ1VSUkVOVF9QT1JUX0RFQlRfREVSSVZBVElWRVMuOTkzLjExLzA3LzIwMjYuLi5VU0QuSAEAAABLVQAAAwAAAAAAeJN+a2/f3gjFIZ9ub9/eCENDSVEuTkFTREFROk1TRlQuSVFfREVSSVZBVElWRV9UUkFESU5HX0FTU0VUUy45OTEuMTEvMDcvMjAyNi4uLlVTRC5IAQAAAEtVAAADAAAAAAB4k35rb9/eCMUhn25v394IP0NJUS5OQVNEQVE6TVNGVC5JUV9ERUJUX0VRVUlWX09QRVJfTEVBU0UuOTkxLjExLzA3LzIwMjYuLi5VU0QuSAEAAABLVQAAAgAAAAQ3NDg4AQgAAAAFAAAAATEBAAAACjE4OTg0ODk0NzADAAAAAzE2MAIAAAAFMjE2NzEEAAAAATAHAAAACTcvMTEvMjAyNggAAAAJNi8zMC8yMDE2CQAAAAEweJN+a2/f3gjFIZ9ub9/eCEBDSVEuTkFTREFROk1TRlQuSVFfUkVTVFJJQ1RFRF9DQVNIX1RPVEFMLjIwMDAuMTEvMDcvMjAyNi4uLlVTRC5IAQAAAEtVAAADAAAAAAB4k35rb9/eCKf5nm5v394IQENJUS5OQVNEQVE6TVNGVC5JUV9DT05USU5HRU5UX0xJQUJJTElUSUVTLjk5My4xMS8wNy8yMDI2Li4uVVNELkgBAAAAS1UAAAMAAAAAAHiT</t>
  </si>
  <si>
    <t>fmtv394Ip/mebm/f3gg8Q0lRLk5BU0RBUTpNU0ZULklRX0ZJTl9ESVZfQ0FTSF9FUVVJVi45OTEuMTEvMDcvMjAyNi4uLlVTRC5IAQAAAEtVAAADAAAAAAB4k35rb9/eCKf5nm5v394IPENJUS5OQVNEQVE6TVNGVC5JUV9UT1RBTF9SRVZfRU1QTE9ZRUUuOTkwLjExLzA3LzIwMjYuLi5VU0QuSAEAAABLVQAAAgAAAAY3OTMuMDUBCAAAAAUAAAABMQEAAAAKMTg1MTUyNTkxMgMAAAADMTYwAgAAAAQ0MTIzBAAAAAEwBwAAAAk3LzExLzIwMjYIAAAACTYvMzAvMjAxNQkAAAABMHiTfmtv394IwA2fbm/f3gg9Q0lRLk5BU0RBUTpNU0ZULklRX0lOVEVSQ09NUEFOWV9OT05fQ0EuOTkyLjExLzA3LzIwMjYuLi5VU0QuSAEAAABLVQAAAwAAAAAAeJN+a2/f3gjADZ9ub9/eCENDSVEuTkFTREFROk1TRlQuSVFfREVSSVZBVElWRV9UUkFESU5HX0FTU0VUUy45OTIuMTEvMDcvMjAyNi4uLlVTRC5IAQAAAEtVAAADAAAAAAB4k35rb9/eCO/lnm5v394IQkNJUS5OQVNEQVE6TVNGVC5JUV9BQ0NVTV9BTU9SVF9JTlRBTl9BU1NFVFMuOTkwLjExLzA3LzIwMjYuLi5VU0QuSAEAAABLVQAAAgAAAAUtNDcxNwEIAAAABQAAAAExAQAAAAoxODUxNTI1OTEyAwAAAAMxNjACAAAABTI0MzMxBAAAAAEwBwAAAAk3LzExLzIwMjYIAAAACTYvMzAvMjAxNQkAAAABMHiTfmtv394I7+Webm/f3gg/Q0lRLk5BU0RBUTpNU0ZULklRX0RF</t>
  </si>
  <si>
    <t>QlRfRVFVSVZfT1BFUl9MRUFTRS45OTIuMTEvMDcvMjAyNi4uLlVTRC5IAQAAAEtVAAACAAAABTExMjk2AQgAAAAFAAAAATEBAAAACjE5NzMzODA5NTEDAAAAAzE2MAIAAAAFMjE2NzEEAAAAATAHAAAACTcvMTEvMjAyNggAAAAJNi8zMC8yMDE3CQAAAAEweJN+a2/f3gjv5Z5ub9/eCD1DSVEuTkFTREFROk1TRlQuSVFfVE9UQUxfREVCVF9FWENMX0ZJTi45OTAuMTEvMDcvMjAyNi4uLlVTRC5IAQAAAEtVAAACAAAABTM1Mzg0AQgAAAAFAAAAATEBAAAACjE4NTE1MjU5MTIDAAAAAzE2MAIAAAAFMjE4NjAEAAAAATAHAAAACTcvMTEvMjAyNggAAAAJNi8zMC8yMDE1CQAAAAEweJN+a2/f3gjv5Z5ub9/eCE9DSVEuTkFTREFROk1TRlQuSVFfTElBQklMSVRJRVNfTkVUVElOR19PVEhFUl9BREpVU1RNRU5UUy45OTIuMTEvMDcvMjAyNi4uLlVTRC5IAQAAAEtVAAACAAAABC0yMjgAeJN+a2/f3gin+Z5ub9/eCExDSVEuTkFTREFROk1TRlQuSVFfTElRVUlEQVRJT05fVkFMVUVfUFJFRkVSUkVEX1JFREVFTS45OTAuMTEvMDcvMjAyNi4uLlVTRC5IAQAAAEtVAAADAAAAAAB4k35rb9/eCKq+nm5v394IOENJUS5OQVNEQVE6TVNGVC5JUV9BU1NFVFNfTEVWRUxfMy45OTAuMTEvMDcvMjAyNi4uLlVTRC5IAQAAAEtVAAACAAAAAjIwAHiTfmtv394Iqr6ebm/f3gg8Q0lRLk5BU0RBUTpNU0ZULklRX1RPVEFMX1JFVl9F</t>
  </si>
  <si>
    <t>TVBMT1lFRS45OTEuMTEvMDcvMjAyNi4uLlVTRC5IAQAAAEtVAAACAAAABzc5OS41OTYBCAAAAAUAAAABMQEAAAAKMTg5ODQ4OTQ3MAMAAAADMTYwAgAAAAQ0MTIzBAAAAAEwBwAAAAk3LzExLzIwMjYIAAAACTYvMzAvMjAxNgkAAAABMHiTfmtv394Iqr6ebm/f3gg8Q0lRLk5BU0RBUTpNU0ZULklRX0xUX01BUktfU0VDVVJJVElFUy45OTEuMTEvMDcvMjAyNi4uLlVTRC5IAQAAAEtVAAADAAAAAAB4k35rb9/eCKq+nm5v394IMUNJUS5OQVNEQVE6TVNGVC5JUV9HV19ORVQuMjAwMC4xMS8wNy8yMDI2Li4uVVNELkgBAAAAS1UAAAIAAAAGMTE5NjYxAQgAAAAFAAAAATEBAAAACy0xODkzMjk4OTk1AwAAAAMxNjACAAAABTQ4OTYwBAAAAAEwBwAAAAk3LzExLzIwMjYIAAAACTMvMzEvMjAyNgkAAAABMHiTfmtv394Iqr6ebm/f3gg9Q0lRLk5BU0RBUTpNU0ZULklRX0lOVEVSQ09NUEFOWV9OT05fQ0EuOTkzLjExLzA3LzIwMjYuLi5VU0QuSAEAAABLVQAAAwAAAAAAeJN+a2/f3gjmqp5ub9/eCD5DSVEuTkFTREFROk1TRlQuSVFfTFRfREVCVF9ERVJJVkFUSVZFUy4yMDAwLjExLzA3LzIwMjYuLi5VU0QuSAEAAABLVQAAAwAAAAAAeJN+a2/f3gjmqp5ub9/eCENDSVEuTkFTREFROk1TRlQuSVFfREVSSVZBVElWRV9UUkFESU5HX0FTU0VUUy45OTMuMTEvMDcvMjAyNi4uLlVTRC5IAQAAAEtVAAADAAAAAAB4k35r</t>
  </si>
  <si>
    <t>b9/eCOaqnm5v394IQkNJUS5OQVNEQVE6TVNGVC5JUV9BQ0NVTV9BTU9SVF9JTlRBTl9BU1NFVFMuOTkxLjExLzA3LzIwMjYuLi5VU0QuSAEAAABLVQAAAgAAAAUtNTM2NwEIAAAABQAAAAExAQAAAAoxODk4NDg5NDcwAwAAAAMxNjACAAAABTI0MzMxBAAAAAEwBwAAAAk3LzExLzIwMjYIAAAACTYvMzAvMjAxNgkAAAABMHiTfmtv394Iqr6ebm/f3gg/Q0lRLk5BU0RBUTpNU0ZULklRX0RFQlRfRVFVSVZfT1BFUl9MRUFTRS45OTMuMTEvMDcvMjAyNi4uLlVTRC5IAQAAAEtVAAACAAAABTEyNjgwAQgAAAAFAAAAATEBAAAACjIwNDcyNzE3NDUDAAAAAzE2MAIAAAAFMjE2NzEEAAAAATAHAAAACTcvMTEvMjAyNggAAAAJNi8zMC8yMDE4CQAAAAEweJN+a2/f3giqvp5ub9/eCD1DSVEuTkFTREFROk1TRlQuSVFfVE9UQUxfREVCVF9FWENMX0ZJTi45OTEuMTEvMDcvMjAyNi4uLlVTRC5IAQAAAEtVAAACAAAABTU0NTQxAQgAAAAFAAAAATEBAAAACjE4OTg0ODk0NzADAAAAAzE2MAIAAAAFMjE4NjAEAAAAATAHAAAACTcvMTEvMjAyNggAAAAJNi8zMC8yMDE2CQAAAAEweJN+a2/f3giSg55ub9/eCD9DSVEuTkFTREFROk1TRlQuSVFfV0FSUkFOVFlfTElBQklMSVRJRVMuMjAwMC4xMS8wNy8yMDI2Li4uVVNELkgBAAAAS1UAAAMAAAAAAHiTfmtv394IkoOebm/f3ghAQ0lRLk5BU0RBUTpNU0ZULklRX0ZJTl9ESVZf</t>
  </si>
  <si>
    <t>TFRfREVCVF9UT1RBTC4yMDAwLjExLzA3LzIwMjYuLi5VU0QuSAEAAABLVQAAAwAAAAAAeJN+a2/f3giSg55ub9/eCDNDSVEuTkFTREFROk1TRlQuSVFfSU5UQU5fTkVULjk5MC4xMS8wNy8yMDI2Li4uVVNELkgBAAAAS1UAAAMAAAAAAHiTfmtv394IkoOebm/f3gg8Q0lRLk5BU0RBUTpNU0ZULklRX0xUX01BUktfU0VDVVJJVElFUy45OTIuMTEvMDcvMjAyNi4uLlVTRC5IAQAAAEtVAAADAAAAAAB4k35rb9/eCJKDnm5v394IPkNJUS5OQVNEQVE6TVNGVC5JUV9XQVJSQU5UWV9MSUFCSUxJVElFUy45OTIuMTEvMDcvMjAyNi4uLlVTRC5IAQAAAEtVAAADAAAAAAB4k35rb9/eCJlInm5v394IQUNJUS5OQVNEQVE6TVNGVC5JUV9ERVJJVkFUSVZFX0xJQUJfQ1VSUkVOVC45OTAuMTEvMDcvMjAyNi4uLlVTRC5IAQAAAEtVAAACAAAAAjU3AQgAAAAFAAAAATEBAAAACjE4NTE1MjU5MTIDAAAAAzE2MAIAAAAFNDA0MTcEAAAAATAHAAAACTcvMTEvMjAyNggAAAAJNi8zMC8yMDE1CQAAAAEwA6h+a2/f3giZSJ5ub9/eCDtDSVEuTkFTREFROk1TRlQuSVFfRklOX0RJVl9TVF9JTlZFU1QuOTkwLjExLzA3LzIwMjYuLi5VU0QuSAEAAABLVQAAAwAAAAAAA6h+a2/f3gjfb55ub9/eCD1DSVEuTkFTREFROk1TRlQuSVFfVE9UQUxfREVCVF9FWENMX0ZJTi45OTIuMTEvMDcvMjAyNi4uLlVTRC5IAQAAAEtVAAACAAAABTk1</t>
  </si>
  <si>
    <t>NTI3AQgAAAAFAAAAATEBAAAACjE5NzMzODA5NTEDAAAAAzE2MAIAAAAFMjE4NjAEAAAAATAHAAAACTcvMTEvMjAyNggAAAAJNi8zMC8yMDE3CQAAAAEwA6h+a2/f3gjfb55ub9/eCD9DSVEuTkFTREFROk1TRlQuSVFfRklOX0RJVl9TVF9ERUJUX1RPVEFMLjk5MC4xMS8wNy8yMDI2Li4uVVNELkgBAAAAS1UAAAMAAAAAAAOofmtv394I32+ebm/f3gg4Q0lRLk5BU0RBUTpNU0ZULklRX0FTU0VUU19MRVZFTF8zLjk5Mi4xMS8wNy8yMDI2Li4uVVNELkgBAAAAS1UAAAIAAAACMTkAA6h+a2/f3giZSJ5ub9/eCD1DSVEuTkFTREFROk1TRlQuSVFfTElBQklMSVRJRVNfTEVWRUxfMi45OTAuMTEvMDcvMjAyNi4uLlVTRC5IAQAAAEtVAAACAAAABTMwNjU5AAOofmtv394ImUiebm/f3ggzQ0lRLk5BU0RBUTpNU0ZULklRX0lOVEFOX05FVC45OTEuMTEvMDcvMjAyNi4uLlVTRC5IAQAAAEtVAAADAAAAAAADqH5rb9/eCJlInm5v394IOkNJUS5OQVNEQVE6TVNGVC5JUV9JTlRFUkNPTVBBTllfQ0wuMjAwMC4xMS8wNy8yMDI2Li4uVVNELkgBAAAAS1UAAAMAAAAAAAOofmtv394ImUiebm/f3ghEQ0lRLk5BU0RBUTpNU0ZULklRX0RFUklWQVRJVkVfQVNTRVRTX0NVUlJFTlQuMjAwMC4xMS8wNy8yMDI2Li4uVVNELkgBAAAAS1UAAAIAAAADNzQ4AQgAAAAFAAAAATEBAAAACy0xODkzMjk4OTk1AwAAAAMxNjACAAAABDEx</t>
  </si>
  <si>
    <t>MDkEAAAAATAHAAAACTcvMTEvMjAyNggAAAAJMy8zMS8yMDI2CQAAAAEwA6h+a2/f3giZSJ5ub9/eCDxDSVEuTkFTREFROk1TRlQuSVFfTFRfTUFSS19TRUNVUklUSUVTLjk5My4xMS8wNy8yMDI2Li4uVVNELkgBAAAAS1UAAAMAAAAAAAOofmtv394ILDSebm/f3gg+Q0lRLk5BU0RBUTpNU0ZULklRX1dBUlJBTlRZX0xJQUJJTElUSUVTLjk5My4xMS8wNy8yMDI2Li4uVVNELkgBAAAAS1UAAAMAAAAAAAOofmtv394ILDSebm/f3ghBQ0lRLk5BU0RBUTpNU0ZULklRX0RFUklWQVRJVkVfTElBQl9DVVJSRU5ULjk5MS4xMS8wNy8yMDI2Li4uVVNELkgBAAAAS1UAAAIAAAADMjMyAQgAAAAFAAAAATEBAAAACjE4OTg0ODk0NzADAAAAAzE2MAIAAAAFNDA0MTcEAAAAATAHAAAACTcvMTEvMjAyNggAAAAJNi8zMC8yMDE2CQAAAAEwA6h+a2/f3ggsNJ5ub9/eCDtDSVEuTkFTREFROk1TRlQuSVFfRklOX0RJVl9TVF9JTlZFU1QuOTkxLjExLzA3LzIwMjYuLi5VU0QuSAEAAABLVQAAAwAAAAAAA6h+a2/f3ggsNJ5ub9/eCD9DSVEuTkFTREFROk1TRlQuSVFfRklOX0RJVl9MVF9ERUJUX1RPVEFMLjk5My4xMS8wNy8yMDI2Li4uVVNELkgBAAAAS1UAAAMAAAAAAAOofmtv394ImUiebm/f3ghAQ0lRLk5BU0RBUTpNU0ZULklRX0xJQUJJTElUSUVTX0ZBSVJfVkFMVUUuOTkxLjExLzA3LzIwMjYuLi5VU0QuSAEAAABLVQAA</t>
  </si>
  <si>
    <t>AgAAAAU0NDIzMgADqH5rb9/eCGcMnm5v394IQENJUS5OQVNEQVE6TVNGVC5JUV9BRFZBTkNFU19GT1JfU1VQUExJRVMuMjAwMC4xMS8wNy8yMDI2Li4uVVNELkgBAAAAS1UAAAMAAAAAAAOofmtv394IbyCebm/f3gg5Q0lRLk5BU0RBUTpNU0ZULklRX0lOVEVSQ09NUEFOWV9DTC45OTMuMTEvMDcvMjAyNi4uLlVTRC5IAQAAAEtVAAADAAAAAAADqH5rb9/eCG8gnm5v394IMkNJUS5OQVNEQVE6TVNGVC5JUV9HUk9TU19HVy45OTEuMTEvMDcvMjAyNi4uLlVTRC5IAQAAAEtVAAADAAAAAAADqH5rb9/eCG8gnm5v394INkNJUS5OQVNEQVE6TVNGVC5JUV9HV19JTlRBTl9ORVQuOTkwLjExLzA3LzIwMjYuLi5VU0QuSAEAAABLVQAAAwAAAAAAA6h+a2/f3ghvIJ5ub9/eCDJDSVEuTkFTREFROk1TRlQuSVFfR1JPU1NfR1cuOTkyLjExLzA3LzIwMjYuLi5VU0QuSAEAAABLVQAAAwAAAAAAA6h+a2/f3gi0+J1ub9/eCDdDSVEuTkFTREFROk1TRlQuSVFfT1JERVJfQkFDS0xPRy45OTIuMTEvMDcvMjAyNi4uLlVTRC5IAQAAAEtVAAADAAAAAAADqH5rb9/eCLT4nW5v394IR0NJUS5OQVNEQVE6TVNGVC5JUV9DVVJSRU5UX1BPUlRfREVCVF9ERVJJVkFUSVZFUy45OTAuMTEvMDcvMjAyNi4uLlVTRC5IAQAAAEtVAAADAAAAAAADqH5rb9/eCGcMnm5v394IOUNJUS5OQVNEQVE6TVNGVC5JUV9JTlRFUkNPTVBBTllfQ0wu</t>
  </si>
  <si>
    <t>OTkyLjExLzA3LzIwMjYuLi5VU0QuSAEAAABLVQAAAwAAAAAAA6h+a2/f3ghnDJ5ub9/eCDdDSVEuTkFTREFROk1TRlQuSVFfT1JERVJfQkFDS0xPRy45OTMuMTEvMDcvMjAyNi4uLlVTRC5IAQAAAEtVAAADAAAAAAADqH5rb9/eCGcMnm5v394IQENJUS5OQVNEQVE6TVNGVC5JUV9MSUFCSUxJVElFU19GQUlSX1ZBTFVFLjk5Mi4xMS8wNy8yMDI2Li4uVVNELkgBAAAAS1UAAAIAAAAFODA0NTYAA6h+a2/f3ghm0Z1ub9/eCDxDSVEuTkFTREFROk1TRlQuSVFfRklOX0RJVl9DQVNIX0VRVUlWLjk5MC4xMS8wNy8yMDI2Li4uVVNELkgBAAAAS1UAAAMAAAAAAAOofmtv394IZtGdbm/f3ghGQ0lRLk5BU0RBUTpNU0ZULklRX0RFRl9UQVhfVkFMVUFUSU9OX0FMTE9XQU5DRS4yMDAwLjExLzA3LzIwMjYuLi5VU0QuSAEAAABLVQAAAwAAAAAAA6h+a2/f3ghm0Z1ub9/eCDhDSVEuTkFTREFROk1TRlQuSVFfQVNTRVRTX0xFVkVMXzIuOTkxLjExLzA3LzIwMjYuLi5VU0QuSAEAAABLVQAAAgAAAAUyNDk2MwADqH5rb9/eCGbRnW5v394ISkNJUS5OQVNEQVE6TVNGVC5JUV9BU1NFVFNfTkVUVElOR19PVEhFUl9BREpVU1RNRU5UUy45OTMuMTEvMDcvMjAyNi4uLlVTRC5IAQAAAEtVAAADAAAAAAADqH5rb9/eCGbRnW5v394IPUNJUS5OQVNEQVE6TVNGVC5JUV9NSU5PUklUWV9JTlRfUkVERUVNLjk5My4xMS8wNy8yMDI2</t>
  </si>
  <si>
    <t>Li4uVVNELkgBAAAAS1UAAAMAAAAAAAOofmtv394Ibr2dbm/f3ghDQ0lRLk5BU0RBUTpNU0ZULklRX0ZJTl9ESVZfTUlOT1JJVFlfSU5URVJFU1QuOTkwLjExLzA3LzIwMjYuLi5VU0QuSAEAAABLVQAAAwAAAAAAA6h+a2/f3ghuvZ1ub9/eCDNDSVEuTkFTREFROk1TRlQuSVFfVEJWX1NIQVJFLjk5MS4xMS8wNy8yMDI2Li4uVVNELkgBAAAAS1UAAAIAAAAINi40NTM4OTMBCAAAAAUAAAABMQEAAAAKMTg5ODQ4OTQ3MAMAAAADMTYwAgAAAAQ0MTU2BAAAAAEwBwAAAAk3LzExLzIwMjYIAAAACTYvMzAvMjAxNgkAAAABMAOofmtv394Ibr2dbm/f3ggtQ0lRLk5BU0RBUTpNU0ZULklRX1RCVi45OTIuMTEvMDcvMjAyNi4uLlVTRC5IAQAAAEtVAAACAAAABTQyNDgzAQgAAAAFAAAAATEBAAAACjE5NzMzODA5NTEDAAAAAzE2MAIAAAAEMTMxMAQAAAABMAcAAAAJNy8xMS8yMDI2CAAAAAk2LzMwLzIwMTcJAAAAATADqH5rb9/eCGbRnW5v394INENJUS5OQVNEQVE6TVNGVC5JUV9UT1RBTF9ERUJULjk5MC4xMS8wNy8yMDI2Li4uVVNELkgBAAAAS1UAAAIAAAAFMzUzODQBCAAAAAUAAAABMQEAAAAKMTg1MTUyNTkxMgMAAAADMTYwAgAAAAQ0MTczBAAAAAEwBwAAAAk3LzExLzIwMjYIAAAACTYvMzAvMjAxNQkAAAABMAOofmtv394IZtGdbm/f3ghAQ0lRLk5BU0RBUTpNU0ZULklRX1RPVEFMX0RFQlRfTk9OX0NVUlJF</t>
  </si>
  <si>
    <t>TlQuOTkwLjExLzA3LzIwMjYuLi5VU0QuSAEAAABLVQAAAgAAAAUyNzgwOAEIAAAABQAAAAExAQAAAAoxODUxNTI1OTEyAwAAAAMxNjACAAAABTI1MjI0BAAAAAEwBwAAAAk3LzExLzIwMjYIAAAACTYvMzAvMjAxNQkAAAABMAOofmtv394IHpadbm/f3gg7Q0lRLk5BU0RBUTpNU0ZULklRX1RPVEFMX09QRVJfTEVBU0VTLjk5Mi4xMS8wNy8yMDI2Li4uVVNELkgBAAAAS1UAAAIAAAAENjc5NQEIAAAABQAAAAExAQAAAAoxOTczMzgwOTUxAwAAAAMxNjACAAAABTQ4OTc4BAAAAAEwBwAAAAk3LzExLzIwMjYIAAAACTYvMzAvMjAxNwkAAAABMAOofmtv394IHpadbm/f3ghBQ0lRLk5BU0RBUTpNU0ZULklRX1RPVEFMX0RFQlRfRVhDTF9MRUFTRVMuMjAwMC4xMS8wNy8yMDI2Li4uVVNELkgBAAAAS1UAAAIAAAAFNDAyNjIBCAAAAAUAAAABMQEAAAALLTE4OTMyOTg5OTUDAAAAAzE2MAIAAAAFNDg5OTIEAAAAATAHAAAACTcvMTEvMjAyNggAAAAJMy8zMS8yMDI2CQAAAAEwA6h+a2/f3ggelp1ub9/eCD9DSVEuTkFTREFROk1TRlQuSVFfTlBQRV9FWENMX09QRVJfTEVBU0VTLjk5My4xMS8wNy8yMDI2Li4uVVNELkgBAAAAS1UAAAIAAAAFMjk0NjABCAAAAAUAAAABMQEAAAAKMjA0NzI3MTc0NQMAAAADMTYwAgAAAAU0ODk3NgQAAAABMAcAAAAJNy8xMS8yMDI2CAAAAAk2LzMwLzIwMTgJAAAAATADqH5rb9/eCB6W</t>
  </si>
  <si>
    <t>nW5v394INkNJUS5OQVNEQVE6TVNGVC5JUV9UT1RBTF9FUVVJVFkuOTkwLjExLzA3LzIwMjYuLi5VU0QuSAEAAABLVQAAAgAAAAU4MDA4MwEIAAAABQAAAAExAQAAAAoxODUxNTI1OTEyAwAAAAMxNjACAAAABDEyNzUEAAAAATAHAAAACTcvMTEvMjAyNggAAAAJNi8zMC8yMDE1CQAAAAEwA6h+a2/f3ggelp1ub9/eCDNDSVEuTkFTREFROk1TRlQuSVFfUlVBX0dST1NTLjk5My4xMS8wNy8yMDI2Li4uVVNELkgBAAAAS1UAAAMAAAAAAAOofmtv394I81qdbm/f3ghCQ0lRLk5BU0RBUTpNU0ZULklRX1JVQV9DQVBJVEFMX0xFQVNFX0dST1NTLjIwMDAuMTEvMDcvMjAyNi4uLlVTRC5IAQAAAEtVAAADAAAAAAADqH5rb9/eCF+CnW5v394IQ0NJUS5OQVNEQVE6TVNGVC5JUV9SVUFfT1BFUkFUSU5HX0xFQVNFX0dST1NTLjk5Mi4xMS8wNy8yMDI2Li4uVVNELkgBAAAAS1UAAAIAAAAENjU1NQEIAAAABQAAAAExAQAAAAoxOTczMzgwOTUxAwAAAAMxNjACAAAABTQ4Mzc3BAAAAAEwBwAAAAk3LzExLzIwMjYIAAAACTYvMzAvMjAxNwkAAAABMAOofmtv394IX4Kdbm/f3gguQ0lRLk5BU0RBUTpNU0ZULklRX0FQSUMuOTkxLjExLzA3LzIwMjYuLi5VU0QuSAEAAABLVQAAAwAAAAAAA6h+a2/f3ghfgp1ub9/eCDtDSVEuTkFTREFROk1TRlQuSVFfTE9OR19URVJNX0xFQVNFUy4yMDAwLjExLzA3LzIwMjYuLi5VU0QuSAEA</t>
  </si>
  <si>
    <t>AABLVQAAAgAAAAU3NTU3MgEIAAAABQAAAAExAQAAAAstMTg5MzI5ODk5NQMAAAADMTYwAgAAAAQxMTgzBAAAAAEwBwAAAAk3LzExLzIwMjYIAAAACTMvMzEvMjAyNgkAAAABMAOofmtv394IHpadbm/f3gg3Q0lRLk5BU0RBUTpNU0ZULklRX1VORUFSTl9SRVZfTFQuOTkyLjExLzA3LzIwMjYuLi5VU0QuSAEAAABLVQAAAgAAAAQyNjQzAQgAAAAFAAAAATEBAAAACjE5NzMzODA5NTEDAAAAAzE2MAIAAAAEMTI1NgQAAAABMAcAAAAJNy8xMS8yMDI2CAAAAAk2LzMwLzIwMTcJAAAAATADqH5rb9/eCPNanW5v394INUNJUS5OQVNEQVE6TVNGVC5JUV9QUkVGX1JFREVFTS45OTMuMTEvMDcvMjAyNi4uLlVTRC5IAQAAAEtVAAADAAAAAAAYvH5rb9/eCPNanW5v394IPENJUS5OQVNEQVE6TVNGVC5JUV9VTkVBUk5fUkVWX0NVUlJFTlQuOTkwLjExLzA3LzIwMjYuLi5VU0QuSAEAAABLVQAAAgAAAAUyMzIyMwEIAAAABQAAAAExAQAAAAoxODUxNTI1OTEyAwAAAAMxNjACAAAABDEwNzQEAAAAATAHAAAACTcvMTEvMjAyNggAAAAJNi8zMC8yMDE1CQAAAAEwGLx+a2/f3gjzWp1ub9/eCDhDSVEuTkFTREFROk1TRlQuSVFfT1RIRVJfQ0xfU1VQUEwuOTkzLjExLzA3LzIwMjYuLi5VU0QuSAEAAABLVQAAAgAAAAQ3MTY5AQgAAAAFAAAAATEBAAAACjIwNDcyNzE3NDUDAAAAAzE2MAIAAAAEMTA1NwQAAAABMAcAAAAJNy8x</t>
  </si>
  <si>
    <t>MS8yMDI2CAAAAAk2LzMwLzIwMTgJAAAAATAYvH5rb9/eCPNanW5v394IOENJUS5OQVNEQVE6TVNGVC5JUV9ERUZfQ0hBUkdFU19MVC45OTAuMTEvMDcvMjAyNi4uLlVTRC5IAQAAAEtVAAADAAAAAAAYvH5rb9/eCPNanW5v394IMUNJUS5OQVNEQVE6TVNGVC5JUV9TVF9ERUJULjk5MS4xMS8wNy8yMDI2Li4uVVNELkgBAAAAS1UAAAIAAAAFMTMxOTgBCAAAAAUAAAABMQEAAAAKMTg5ODQ4OTQ3MAMAAAADMTYwAgAAAAQxMDQ2BAAAAAEwBwAAAAk3LzExLzIwMjYIAAAACTYvMzAvMjAxNgkAAAABMBi8fmtv394Ieh+dbm/f3ggyQ0lRLk5BU0RBUTpNU0ZULklRX1RPVEFMX0NBLjk5MS4xMS8wNy8yMDI2Li4uVVNELkgBAAAAS1UAAAIAAAAGMTM5NjYwAQgAAAAFAAAAATEBAAAACjE4OTg0ODk0NzADAAAAAzE2MAIAAAAEMTAwOAQAAAABMAcAAAAJNy8xMS8yMDI2CAAAAAk2LzMwLzIwMTYJAAAAATAYvH5rb9/eCHofnW5v394INUNJUS5OQVNEQVE6TVNGVC5JUV9PVEhFUl9JTlRBTi45OTEuMTEvMDcvMjAyNi4uLlVTRC5IAQAAAEtVAAACAAAABDM3MzMBCAAAAAUAAAABMQEAAAAKMTg5ODQ4OTQ3MAMAAAADMTYwAgAAAAQxMDQwBAAAAAEwBwAAAAk3LzExLzIwMjYIAAAACTYvMzAvMjAxNgkAAAABMBi8fmtv394I70adbm/f3gg5Q0lRLk5BU0RBUTpNU0ZULklRX1NUX05PVEVfUkVDRUlWLjIwMDAuMTEvMDcv</t>
  </si>
  <si>
    <t>MjAyNi4uLlVTRC5IAQAAAEtVAAADAAAAAAAYvH5rb9/eCO9GnW5v394INUNJUS5OQVNEQVE6TVNGVC5JUV9QUkVQQUlEX0VYUC45OTMuMTEvMDcvMjAyNi4uLlVTRC5IAQAAAEtVAAADAAAAAAAYvH5rb9/eCO9GnW5v394IOENJUS5OQVNEQVE6TVNGVC5JUV9MT0FOU19GT1JfU0FMRS45OTMuMTEvMDcvMjAyNi4uLlVTRC5IAQAAAEtVAAADAAAAAAAYvH5rb9/eCHofnW5v394INENJUS5OQVNEQVE6TVNGVC5JUV9DQVNIX0VRVUlWLjk5MS4xMS8wNy8yMDI2Li4uVVNELkgBAAAAS1UAAAIAAAAENjUxMAEIAAAABQAAAAExAQAAAAoxODk4NDg5NDcwAwAAAAMxNjACAAAABDEwOTYEAAAAATAHAAAACTcvMTEvMjAyNggAAAAJNi8zMC8yMDE2CQAAAAEwGLx+a2/f3gh6H51ub9/eCDhDSVEuTkFTREFROk1TRlQuSVFfQ0FTSF9TVF9JTlZFU1QuOTkxLjExLzA3LzIwMjYuLi5VU0QuSAEAAABLVQAAAgAAAAYxMTMwNDEBCAAAAAUAAAABMQEAAAAKMTg5ODQ4OTQ3MAMAAAADMTYwAgAAAAQxMDAyBAAAAAEwBwAAAAk3LzExLzIwMjYIAAAACTYvMzAvMjAxNgkAAAABMBi8fmtv394Ieh+dbm/f3gg/Q0lRLk5BU0RBUTpNU0ZULklRX0FEVkFOQ0VTX0ZPUl9TVVBQTElFUy45OTIuMTEvMDcvMjAyNi4uLlVTRC5IAQAAAEtVAAADAAAAAAAYvH5rb9/eCHofnW5v394IQENJUS5OQVNEQVE6TVNGVC5JUV9MSUFCSUxJVElF</t>
  </si>
  <si>
    <t>U19GQUlSX1ZBTFVFLjk5My4xMS8wNy8yMDI2Li4uVVNELkgBAAAAS1UAAAIAAAAFNzc3MDcAGLx+a2/f3gh6H51ub9/eCEdDSVEuTkFTREFROk1TRlQuSVFfR0VORVJBTF9QQVJUTkVSX0NPTU1PTl9FUVVJVFkuOTkwLjExLzA3LzIwMjYuLi5VU0QuSAEAAABLVQAAAwAAAAAAGLx+a2/f3giD9pxub9/eCEZDSVEuTkFTREFROk1TRlQuSVFfR0VORVJBTF9QQVJUTkVSX1BSRUZfRVFVSVRZLjIwMDAuMTEvMDcvMjAyNi4uLlVTRC5IAQAAAEtVAAADAAAAAAAYvH5rb9/eCLIKnW5v394ITkNJUS5OQVNEQVE6TVNGVC5JUV9MSVFVSURBVElPTl9WQUxVRV9QUkVGRVJSRURfQ09OVkVSVC4yMDAwLjExLzA3LzIwMjYuLi5VU0QuSAEAAABLVQAAAwAAAAAAGLx+a2/f3giyCp1ub9/eCC9DSVEuTkFTREFROk1TRlQuSVFfTEFORC4yMDAwLjExLzA3LzIwMjYuLi5VU0QuSAEAAABLVQAAAgAAAAQ5ODEzAQgAAAAFAAAAATEBAAAACy0xODkzMjk4OTk1AwAAAAMxNjACAAAABDMwOTgEAAAAATAHAAAACTcvMTEvMjAyNggAAAAJMy8zMS8yMDI2CQAAAAEwGLx+a2/f3giyCp1ub9/eCDRDSVEuTkFTREFROk1TRlQuSVFfTUFDSElORVJZLjIwMDAuMTEvMDcvMjAyNi4uLlVTRC5IAQAAAEtVAAACAAAABjE5NzQzNAEIAAAABQAAAAExAQAAAAstMTg5MzI5ODk5NQMAAAADMTYwAgAAAAQzMTE0BAAAAAEwBwAAAAk3LzExLzIw</t>
  </si>
  <si>
    <t>MjYIAAAACTMvMzEvMjAyNgkAAAABMBi8fmtv394Isgqdbm/f3ghBQ0lRLk5BU0RBUTpNU0ZULklRX05BVFVSQUxfUkVTT1VSQ0VTX0NPU1QuMjAwMC4xMS8wNy8yMDI2Li4uVVNELkgBAAAAS1UAAAMAAAAAABi8fmtv394IP+Kcbm/f3ghDQ0lRLk5BU0RBUTpNU0ZULklRX0ZJTl9ESVZfTUlOT1JJVFlfSU5URVJFU1QuOTkxLjExLzA3LzIwMjYuLi5VU0QuSAEAAABLVQAAAwAAAAAAGLx+a2/f3gg/4pxub9/eCDZDSVEuTkFTREFROk1TRlQuSVFfRklOSVNIRURfSU5WLjk5MS4xMS8wNy8yMDI2Li4uVVNELkgBAAAAS1UAAAIAAAAEMTQ4MQEIAAAABQAAAAExAQAAAAoxODk4NDg5NDcwAwAAAAMxNjACAAAABDMwNzUEAAAAATAHAAAACTcvMTEvMjAyNggAAAAJNi8zMC8yMDE2CQAAAAEwGLx+a2/f3gg/4pxub9/eCDNDSVEuTkFTREFROk1TRlQuSVFfVEJWX1NIQVJFLjk5Mi4xMS8wNy8yMDI2Li4uVVNELkgBAAAAS1UAAAIAAAAINS41MTE1NDYBCAAAAAUAAAABMQEAAAAKMTk3MzM4MDk1MQMAAAADMTYwAgAAAAQ0MTU2BAAAAAEwBwAAAAk3LzExLzIwMjYIAAAACTYvMzAvMjAxNwkAAAABMBi8fmtv394Ig/acbm/f3ggtQ0lRLk5BU0RBUTpNU0ZULklRX1RCVi45OTMuMTEvMDcvMjAyNi4uLlVTRC5IAQAAAEtVAAACAAAABTM4OTgyAQgAAAAFAAAAATEBAAAACjIwNDcyNzE3NDUDAAAAAzE2MAIAAAAEMTMx</t>
  </si>
  <si>
    <t>MAQAAAABMAcAAAAJNy8xMS8yMDI2CAAAAAk2LzMwLzIwMTgJAAAAATAYvH5rb9/eCIP2nG5v394INENJUS5OQVNEQVE6TVNGVC5JUV9DQVNIX1NIQVJFLjk5My4xMS8wNy8yMDI2Li4uVVNELkgBAAAAS1UAAAIAAAAIMS41NTYwNzYBCAAAAAUAAAABMQEAAAAKMjA0NzI3MTc0NQMAAAADMTYwAgAAAAQ0MzgxBAAAAAEwBwAAAAk3LzExLzIwMjYIAAAACTYvMzAvMjAxOAkAAAABMBi8fmtv394IN6ecbm/f3ghAQ0lRLk5BU0RBUTpNU0ZULklRX1RPVEFMX0RFQlRfTk9OX0NVUlJFTlQuOTkxLjExLzA3LzIwMjYuLi5VU0QuSAEAAABLVQAAAgAAAAU0MTMxOAEIAAAABQAAAAExAQAAAAoxODk4NDg5NDcwAwAAAAMxNjACAAAABTI1MjI0BAAAAAEwBwAAAAk3LzExLzIwMjYIAAAACTYvMzAvMjAxNgkAAAABMBi8fmtv394IN6ecbm/f3ghBQ0lRLk5BU0RBUTpNU0ZULklRX01JTk9SSVRZX0lOVEVSRVNUX1RPVEFMLjk5MC4xMS8wNy8yMDI2Li4uVVNELkgBAAAAS1UAAAMAAAAAABi8fmtv394Igs6cbm/f3gg7Q0lRLk5BU0RBUTpNU0ZULklRX1RPVEFMX09QRVJfTEVBU0VTLjk5My4xMS8wNy8yMDI2Li4uVVNELkgBAAAAS1UAAAIAAAAENjk2NwEIAAAABQAAAAExAQAAAAoyMDQ3MjcxNzQ1AwAAAAMxNjACAAAABTQ4OTc4BAAAAAEwBwAAAAk3LzExLzIwMjYIAAAACTYvMzAvMjAxOAkAAAABMBi8fmtv394Igs6c</t>
  </si>
  <si>
    <t>bm/f3ggyQ0lRLk5BU0RBUTpNU0ZULklRX0JWX1NIQVJFLjk5MS4xMS8wNy8yMDI2Li4uVVNELkgBAAAAS1UAAAIAAAAIOS4yMjA5MjcBCAAAAAUAAAABMQEAAAAKMTg5ODQ4OTQ3MAMAAAADMTYwAgAAAAQ0MDIwBAAAAAEwBwAAAAk3LzExLzIwMjYIAAAACTYvMzAvMjAxNgkAAAABMBi8fmtv394Igs6cbm/f3ghAQ0lRLk5BU0RBUTpNU0ZULklRX0dQUEVfRVhDTF9PUEVSX0xFQVNFUy4yMDAwLjExLzA3LzIwMjYuLi5VU0QuSAEAAABLVQAAAgAAAAYzOTQ5NTEBCAAAAAUAAAABMQEAAAALLTE4OTMyOTg5OTUDAAAAAzE2MAIAAAAFNDg5NzQEAAAAATAHAAAACTcvMTEvMjAyNggAAAAJMy8zMS8yMDI2CQAAAAEwGLx+a2/f3gg3p5xub9/eCFBDSVEuTkFTREFROk1TRlQuSVFfQ1VSUkVOVF9QT1JUSU9OX09QRVJfTEVBU0VfTElBQklMSVRJRVMuOTkwLjExLzA3LzIwMjYuLi5VU0QuSAEAAABLVQAAAwAAAAAAGLx+a2/f3gg3p5xub9/eCDZDSVEuTkFTREFROk1TRlQuSVFfVE9UQUxfRVFVSVRZLjk5MS4xMS8wNy8yMDI2Li4uVVNELkgBAAAAS1UAAAIAAAAFNzE5OTcBCAAAAAUAAAABMQEAAAAKMTg5ODQ4OTQ3MAMAAAADMTYwAgAAAAQxMjc1BAAAAAEwBwAAAAk3LzExLzIwMjYIAAAACTYvMzAvMjAxNgkAAAABMBi8fmtv394IN6ecbm/f3ghFQ0lRLk5BU0RBUTpNU0ZULklRX1JVQV9DQVBJVEFMX0xFQVNF</t>
  </si>
  <si>
    <t>X0FDQ1VNX0RFUC45OTAuMTEvMDcvMjAyNi4uLlVTRC5IAQAAAEtVAAADAAAAAAAYvH5rb9/eCDennG5v394ILkNJUS5OQVNEQVE6TVNGVC5JUV9BUElDLjk5Mi4xMS8wNy8yMDI2Li4uVVNELkgBAAAAS1UAAAMAAAAAABi8fmtv394IN6ecbm/f3gg5Q0lRLk5BU0RBUTpNU0ZULklRX0ZJTl9ESVZfREVCVF9MVC45OTAuMTEvMDcvMjAyNi4uLlVTRC5IAQAAAEtVAAADAAAAAAAYvH5rb9/eCF5snG5v394IOENJUS5OQVNEQVE6TVNGVC5JUV9PVEhFUl9MSUFCX0xULjIwMDAuMTEvMDcvMjAyNi4uLlVTRC5IAQAAAEtVAAACAAAABTMwNTUzAQgAAAAFAAAAATEBAAAACy0xODkzMjk4OTk1AwAAAAMxNjACAAAABDEwNjIEAAAAATAHAAAACTcvMTEvMjAyNggAAAAJMy8zMS8yMDI2CQAAAAEwGLx+a2/f3giRk5xub9/eCDxDSVEuTkFTREFROk1TRlQuSVFfVU5FQVJOX1JFVl9DVVJSRU5ULjk5MS4xMS8wNy8yMDI2Li4uVVNELkgBAAAAS1UAAAIAAAAFMjc0NjgBCAAAAAUAAAABMQEAAAAKMTg5ODQ4OTQ3MAMAAAADMTYwAgAAAAQxMDc0BAAAAAEwBwAAAAk3LzExLzIwMjYIAAAACTYvMzAvMjAxNgkAAAABMBi8fmtv394IkZOcbm/f3gg7Q0lRLk5BU0RBUTpNU0ZULklRX0RFRl9UQVhfQVNTRVRTX0xULjk5My4xMS8wNy8yMDI2Li4uVVNELkgBAAAAS1UAAAIAAAAEMTM2OQEIAAAABQAAAAExAQAAAAoyMDQ3Mjcx</t>
  </si>
  <si>
    <t>NzQ1AwAAAAMxNjACAAAABDEwMjYEAAAAATAHAAAACTcvMTEvMjAyNggAAAAJNi8zMC8yMDE4CQAAAAEwGLx+a2/f3giRk5xub9/eCDFDSVEuTkFTREFROk1TRlQuSVFfU1RfREVCVC45OTIuMTEvMDcvMjAyNi4uLlVTRC5IAQAAAEtVAAACAAAABDkwNzIBCAAAAAUAAAABMQEAAAAKMTk3MzM4MDk1MQMAAAADMTYwAgAAAAQxMDQ2BAAAAAEwBwAAAAk3LzExLzIwMjYIAAAACTYvMzAvMjAxNwkAAAABMBi8fmtv394IkZOcbm/f3ggyQ0lRLk5BU0RBUTpNU0ZULklRX1RPVEFMX0NBLjk5Mi4xMS8wNy8yMDI2Li4uVVNELkgBAAAAS1UAAAIAAAAGMTYyNjk2AQgAAAAFAAAAATEBAAAACjE5NzMzODA5NTEDAAAAAzE2MAIAAAAEMTAwOAQAAAABMAcAAAAJNy8xMS8yMDI2CAAAAAk2LzMwLzIwMTcJAAAAATAYvH5rb9/eCF5snG5v394IL0NJUS5OQVNEQVE6TVNGVC5JUV9OUFBFLjIwMDAuMTEvMDcvMjAyNi4uLlVTRC5IAQAAAEtVAAACAAAABjMwNzYzMQEIAAAABQAAAAExAQAAAAstMTg5MzI5ODk5NQMAAAADMTYwAgAAAAQxMDA0BAAAAAEwBwAAAAk3LzExLzIwMjYIAAAACTMvMzEvMjAyNgkAAAABMBi8fmtv394IXmycbm/f3gg1Q0lRLk5BU0RBUTpNU0ZULklRX09USEVSX0lOVEFOLjk5Mi4xMS8wNy8yMDI2Li4uVVNELkgBAAAAS1UAAAIAAAAFMTAxMDYBCAAAAAUAAAABMQEAAAAKMTk3MzM4MDk1MQMAAAAD</t>
  </si>
  <si>
    <t>MTYwAgAAAAQxMDQwBAAAAAEwBwAAAAk3LzExLzIwMjYIAAAACTYvMzAvMjAxNwkAAAABMBi8fmtv394IXmycbm/f3gg2Q0lRLk5BU0RBUTpNU0ZULklRX1RPVEFMX1JFQ0VJVi45OTAuMTEvMDcvMjAyNi4uLlVTRC5IAQAAAEtVAAACAAAABTE3OTA4AQgAAAAFAAAAATEBAAAACjE4NTE1MjU5MTIDAAAAAzE2MAIAAAAEMTAwMQQAAAABMAcAAAAJNy8xMS8yMDI2CAAAAAk2LzMwLzIwMTUJAAAAATAYvH5rb9/eCF5snG5v394IOENJUS5OQVNEQVE6TVNGVC5JUV9DQVNIX1NUX0lOVkVTVC45OTIuMTEvMDcvMjAyNi4uLlVTRC5IAQAAAEtVAAACAAAABjEzMjkwMQEIAAAABQAAAAExAQAAAAoxOTczMzgwOTUxAwAAAAMxNjACAAAABDEwMDIEAAAAATAHAAAACTcvMTEvMjAyNggAAAAJNi8zMC8yMDE3CQAAAAEwE9B+a2/f3ghebJxub9/eCEJDSVEuTkFTREFROk1TRlQuSVFfT1BFUkFUSU5HX0xFQVNFX1BBWU1FTlRTLjk5Mi4xMS8wNy8yMDI2Li4uVVNELkgBAAAAS1UAAAMAAAAAABPQfmtv394IuVicbm/f3ghHQ0lRLk5BU0RBUTpNU0ZULklRX1RPVEFMX0RFQlRfUkVQQUlEX0VYQ0xfTEVBU0VTLjk5MC4xMS8wNy8yMDI2Li4uVVNELkgBAAAAS1UAAAIAAAAFLTE1MDABCAAAAAUAAAABMQEAAAAKMTg1MTUyNTkxMgMAAAADMTYwAgAAAAU0ODk4NgQAAAABMAcAAAAJNy8xMS8yMDI2CAAAAAk2LzMwLzIwMTUJ</t>
  </si>
  <si>
    <t>AAAAATAT0H5rb9/eCLlYnG5v394IPkNJUS5OQVNEQVE6TVNGVC5JUV9DSEFOR0VfREVGX1RBWF9UT1RBTC45OTAuMTEvMDcvMjAyNi4uLlVTRC5IAQAAAEtVAAACAAAAAzIyNAEIAAAABQAAAAExAQAAAAoxODUxNTI1OTEyAwAAAAMxNjACAAAABTMwOTI0BAAAAAEwBwAAAAk3LzExLzIwMjYIAAAACTYvMzAvMjAxNQkAAAABMBPQfmtv394IuVicbm/f3gg1Q0lRLk5BU0RBUTpNU0ZULklRX01BSU5UX0NBUEVYLjk5Mi4xMS8wNy8yMDI2Li4uVVNELkgBAAAAS1UAAAMAAAAAABPQfmtv394IXmycbm/f3gg5Q0lRLk5BU0RBUTpNU0ZULklRX0NBU0hfVEFYRVNfT1BFUi45OTAuMTEvMDcvMjAyNi4uLlVTRC5IAQAAAEtVAAADAAAAAAAT0H5rb9/eCF5snG5v394IPkNJUS5OQVNEQVE6TVNGVC5JUV9ERVJJVkFUSVZFX0FTU0VUU19MVC45OTAuMTEvMDcvMjAyNi4uLlVTRC5IAQAAAEtVAAADAAAAAAAT0H5rb9/eCIIxnG5v394IQENJUS5OQVNEQVE6TVNGVC5JUV9GSU5fRElWX1NUX0RFQlRfVE9UQUwuMjAwMC4xMS8wNy8yMDI2Li4uVVNELkgBAAAAS1UAAAMAAAAAABPQfmtv394IgjGcbm/f3ghLQ0lRLk5BU0RBUTpNU0ZULklRX0dFTkVSQUxfUEFSVE5FUl9NSU5PUklUWV9JTlRFUkVTVC45OTAuMTEvMDcvMjAyNi4uLlVTRC5IAQAAAEtVAAADAAAAAAAT0H5rb9/eCIIxnG5v394IUENJUS5OQVNEQVE6TVNG</t>
  </si>
  <si>
    <t>VC5JUV9MSVFVSURBVElPTl9WQUxVRV9QUkVGRVJSRURfTk9OX1JFREVFTS45OTAuMTEvMDcvMjAyNi4uLlVTRC5IAQAAAEtVAAADAAAAAAAT0H5rb9/eCLlYnG5v394IMkNJUS5OQVNEQVE6TVNGVC5JUV9TT0ZUV0FSRS45OTAuMTEvMDcvMjAyNi4uLlVTRC5IAQAAAEtVAAADAAAAAAAT0H5rb9/eCLlYnG5v394ILUNJUS5OQVNEQVE6TVNGVC5JUV9DSVAuOTkwLjExLzA3LzIwMjYuLi5VU0QuSAEAAABLVQAAAwAAAAAAE9B+a2/f3gjeHZxub9/eCEdDSVEuTkFTREFROk1TRlQuSVFfR0VORVJBTF9QQVJUTkVSX0NPTU1PTl9FUVVJVFkuOTkxLjExLzA3LzIwMjYuLi5VU0QuSAEAAABLVQAAAwAAAAAAE9B+a2/f3giCMZxub9/eCDZDSVEuTkFTREFROk1TRlQuSVFfRklOSVNIRURfSU5WLjk5My4xMS8wNy8yMDI2Li4uVVNELkgBAAAAS1UAAAIAAAAEMTk1MwEIAAAABQAAAAExAQAAAAoyMDQ3MjcxNzQ1AwAAAAMxNjACAAAABDMwNzUEAAAAATAHAAAACTcvMTEvMjAyNggAAAAJNi8zMC8yMDE4CQAAAAEwE9B+a2/f3giCMZxub9/eCC5DSVEuTkFTREFROk1TRlQuSVFfTEFORC45OTIuMTEvMDcvMjAyNi4uLlVTRC5IAQAAAEtVAAACAAAABDExMDcBCAAAAAUAAAABMQEAAAAKMTk3MzM4MDk1MQMAAAADMTYwAgAAAAQzMDk4BAAAAAEwBwAAAAk3LzExLzIwMjYIAAAACTYvMzAvMjAxNwkAAAABMBPQfmtv394I</t>
  </si>
  <si>
    <t>gjGcbm/f3ghBQ0lRLk5BU0RBUTpNU0ZULklRX01JTk9SSVRZX0lOVEVSRVNUX1RPVEFMLjk5Mi4xMS8wNy8yMDI2Li4uVVNELkgBAAAAS1UAAAMAAAAAABPQfmtv394IgjGcbm/f3ghXQ0lRLk5BU0RBUTpNU0ZULklRX0ZJTkFOQ0lOR19PQkxJR19OT05fQ1VSUkVOVF9FWENMX09QRVJfTEVBU0VTLjIwMDAuMTEvMDcvMjAyNi4uLlVTRC5IAQAAAEtVAAACAAAABTkwMjkyAQgAAAAFAAAAATEBAAAACy0xODkzMjk4OTk1AwAAAAMxNjACAAAABTQ4OTgxBAAAAAEwBwAAAAk3LzExLzIwMjYIAAAACTMvMzEvMjAyNgkAAAABMBPQfmtv394Ip/abbm/f3ggyQ0lRLk5BU0RBUTpNU0ZULklRX0JWX1NIQVJFLjk5My4xMS8wNy8yMDI2Li4uVVNELkgBAAAAS1UAAAIAAAAJMTAuNzc0NzgxAQgAAAAFAAAAATEBAAAACjIwNDcyNzE3NDUDAAAAAzE2MAIAAAAENDAyMAQAAAABMAcAAAAJNy8xMS8yMDI2CAAAAAk2LzMwLzIwMTgJAAAAATAT0H5rb9/eCKf2m25v394IM0NJUS5OQVNEQVE6TVNGVC5JUV9UQlZfU0hBUkUuOTkzLjExLzA3LzIwMjYuLi5VU0QuSAEAAABLVQAAAgAAAAg1LjA3Nzc2NAEIAAAABQAAAAExAQAAAAoyMDQ3MjcxNzQ1AwAAAAMxNjACAAAABDQxNTYEAAAAATAHAAAACTcvMTEvMjAyNggAAAAJNi8zMC8yMDE4CQAAAAEwE9B+a2/f3gjeHZxub9/eCD9DSVEuTkFTREFROk1TRlQuSVFfR1BQRV9F</t>
  </si>
  <si>
    <t>WENMX09QRVJfTEVBU0VTLjk5Mi4xMS8wNy8yMDI2Li4uVVNELkgBAAAAS1UAAAIAAAAFNDc5MTMBCAAAAAUAAAABMQEAAAAKMTk3MzM4MDk1MQMAAAADMTYwAgAAAAU0ODk3NAQAAAABMAcAAAAJNy8xMS8yMDI2CAAAAAk2LzMwLzIwMTcJAAAAATAT0H5rb9/eCN4dnG5v394IUENJUS5OQVNEQVE6TVNGVC5JUV9DVVJSRU5UX1BPUlRJT05fT1BFUl9MRUFTRV9MSUFCSUxJVElFUy45OTEuMTEvMDcvMjAyNi4uLlVTRC5IAQAAAEtVAAADAAAAAAAT0H5rb9/eCN4dnG5v394IRUNJUS5OQVNEQVE6TVNGVC5JUV9SVUFfQ0FQSVRBTF9MRUFTRV9BQ0NVTV9ERVAuOTkxLjExLzA3LzIwMjYuLi5VU0QuSAEAAABLVQAAAwAAAAAAE9B+a2/f3gin9ptub9/eCDVDSVEuTkFTREFROk1TRlQuSVFfUFJFRl9FUVVJVFkuOTkxLjExLzA3LzIwMjYuLi5VU0QuSAEAAABLVQAAAwAAAAAAE9B+a2/f3gin9ptub9/eCC5DSVEuTkFTREFROk1TRlQuSVFfQVBJQy45OTMuMTEvMDcvMjAyNi4uLlVTRC5IAQAAAEtVAAADAAAAAAAT0H5rb9/eCKf2m25v394IN0NJUS5OQVNEQVE6TVNGVC5JUV9PVEhFUl9FUVVJVFkuMjAwMC4xMS8wNy8yMDI2Li4uVVNELkgBAAAAS1UAAAIAAAAFLTMyMjgBCAAAAAUAAAABMQEAAAALLTE4OTMyOTg5OTUDAAAAAzE2MAIAAAAEMTAyOAQAAAABMAcAAAAJNy8xMS8yMDI2CAAAAAkzLzMxLzIwMjYJ</t>
  </si>
  <si>
    <t>AAAAATAT0H5rb9/eCKf2m25v394INkNJUS5OQVNEQVE6TVNGVC5JUV9UT1RBTF9FUVVJVFkuOTkyLjExLzA3LzIwMjYuLi5VU0QuSAEAAABLVQAAAgAAAAU4NzcxMQEIAAAABQAAAAExAQAAAAoxOTczMzgwOTUxAwAAAAMxNjACAAAABDEyNzUEAAAAATAHAAAACTcvMTEvMjAyNggAAAAJNi8zMC8yMDE3CQAAAAEwE9B+a2/f3gin9ptub9/eCDdDSVEuTkFTREFROk1TRlQuSVFfT1RIRVJfTElBQl9MVC45OTIuMTEvMDcvMjAyNi4uLlVTRC5IAQAAAEtVAAACAAAABTE0NjA5AQgAAAAFAAAAATEBAAAACjE5NzMzODA5NTEDAAAAAzE2MAIAAAAEMTA2MgQAAAABMAcAAAAJNy8xMS8yMDI2CAAAAAk2LzMwLzIwMTcJAAAAATAT0H5rb9/eCP3im25v394IP0NJUS5OQVNEQVE6TVNGVC5JUV9GSU5fRElWX0RFQlRfQ1VSUkVOVC4yMDAwLjExLzA3LzIwMjYuLi5VU0QuSAEAAABLVQAAAwAAAAAAE9B+a2/f3gj94ptub9/eCDxDSVEuTkFTREFROk1TRlQuSVFfVU5FQVJOX1JFVl9DVVJSRU5ULjk5Mi4xMS8wNy8yMDI2Li4uVVNELkgBAAAAS1UAAAIAAAAFMjQwMTMBCAAAAAUAAAABMQEAAAAKMTk3MzM4MDk1MQMAAAADMTYwAgAAAAQxMDc0BAAAAAEwBwAAAAk3LzExLzIwMjYIAAAACTYvMzAvMjAxNwkAAAABMBPQfmtv394I/eKbbm/f3gg5Q0lRLk5BU0RBUTpNU0ZULklRX0ZJTl9ESVZfREVCVF9MVC45OTEuMTEv</t>
  </si>
  <si>
    <t>MDcvMjAyNi4uLlVTRC5IAQAAAEtVAAADAAAAAAAT0H5rb9/eCKf2m25v394ILENJUS5OQVNEQVE6TVNGVC5JUV9BUC45OTAuMTEvMDcvMjAyNi4uLlVTRC5IAQAAAEtVAAACAAAABDY1OTEBCAAAAAUAAAABMQEAAAAKMTg1MTUyNTkxMgMAAAADMTYwAgAAAAQxMDE4BAAAAAEwBwAAAAk3LzExLzIwMjYIAAAACTYvMzAvMjAxNQkAAAABMBPQfmtv394Ip/abbm/f3ggxQ0lRLk5BU0RBUTpNU0ZULklRX1NUX0RFQlQuOTkzLjExLzA3LzIwMjYuLi5VU0QuSAEAAABLVQAAAwAAAAAAE9B+a2/f3gi5u5tub9/eCDNDSVEuTkFTREFROk1TRlQuSVFfTFRfSU5WRVNULjk5MC4xMS8wNy8yMDI2Li4uVVNELkgBAAAAS1UAAAIAAAAFMTIwNTMBCAAAAAUAAAABMQEAAAAKMTg1MTUyNTkxMgMAAAADMTYwAgAAAAQxMDU0BAAAAAEwBwAAAAk3LzExLzIwMjYIAAAACTYvMzAvMjAxNQkAAAABMBPQfmtv394Iububbm/f3ggwQ0lRLk5BU0RBUTpNU0ZULklRX0FSX0xULjIwMDAuMTEvMDcvMjAyNi4uLlVTRC5IAQAAAEtVAAACAAAABDUxMDABCAAAAAUAAAABMQEAAAALLTE4OTMyOTg5OTUDAAAAAzE2MAIAAAAEMTA4OAQAAAABMAcAAAAJNy8xMS8yMDI2CAAAAAkzLzMxLzIwMjYJAAAAATAT0H5rb9/eCLm7m25v394IQENJUS5OQVNEQVE6TVNGVC5JUV9GSU5fRElWX0xPQU5TX0NVUlJFTlQuMjAwMC4xMS8wNy8yMDI2Li4u</t>
  </si>
  <si>
    <t>VVNELkgBAAAAS1UAAAMAAAAAABPQfmtv394Iububbm/f3ghBQ0lRLk5BU0RBUTpNU0ZULklRX0RFRl9UQVhfQVNTRVRTX0NVUlJFTlQuMjAwMC4xMS8wNy8yMDI2Li4uVVNELkgBAAAAS1UAAAMAAAAAABPQfmtv394Iububbm/f3ggyQ0lRLk5BU0RBUTpNU0ZULklRX1RPVEFMX0NBLjk5My4xMS8wNy8yMDI2Li4uVVNELkgBAAAAS1UAAAIAAAAGMTY5NjYyAQgAAAAFAAAAATEBAAAACjIwNDcyNzE3NDUDAAAAAzE2MAIAAAAEMTAwOAQAAAABMAcAAAAJNy8xMS8yMDI2CAAAAAk2LzMwLzIwMTgJAAAAATAT0H5rb9/eCP+nm25v394IOENJUS5OQVNEQVE6TVNGVC5JUV9DQVNIX1NUX0lOVkVTVC45OTMuMTEvMDcvMjAyNi4uLlVTRC5IAQAAAEtVAAACAAAABjEzMzY2NAEIAAAABQAAAAExAQAAAAoyMDQ3MjcxNzQ1AwAAAAMxNjACAAAABDEwMDIEAAAAATAHAAAACTcvMTEvMjAyNggAAAAJNi8zMC8yMDE4CQAAAAEwE9B+a2/f3gj/p5tub9/eCDZDSVEuTkFTREFROk1TRlQuSVFfVE9UQUxfUkVDRUlWLjk5MS4xMS8wNy8yMDI2Li4uVVNELkgBAAAAS1UAAAIAAAAFMTgyNzcBCAAAAAUAAAABMQEAAAAKMTg5ODQ4OTQ3MAMAAAADMTYwAgAAAAQxMDAxBAAAAAEwBwAAAAk3LzExLzIwMjYIAAAACTYvMzAvMjAxNgkAAAABMBPQfmtv394I/6ebbm/f3gg9Q0lRLk5BU0RBUTpNU0ZULklRX0xUX0RFQlRfREVSSVZB</t>
  </si>
  <si>
    <t>VElWRVMuOTkwLjExLzA3LzIwMjYuLi5VU0QuSAEAAABLVQAAAwAAAAAAE9B+a2/f3gi5u5tub9/eCENDSVEuTkFTREFROk1TRlQuSVFfREVSSVZBVElWRV9BU1NFVFNfQ1VSUkVOVC45OTMuMTEvMDcvMjAyNi4uLlVTRC5IAQAAAEtVAAACAAAAAzM2NAEIAAAABQAAAAExAQAAAAoyMDQ3MjcxNzQ1AwAAAAMxNjACAAAABDExMDkEAAAAATAHAAAACTcvMTEvMjAyNggAAAAJNi8zMC8yMDE4CQAAAAEwE9B+a2/f3gi5u5tub9/eCClDSVEuTkFTREFROk1TRlQuSVFfRVBTX0VTVC4xMDAwMi4uLi5VU0QuSAEAAABLVQAAAgAAAAcyMC45NTM2AQ4AAAAFAAAAAjExAQAAAAcyNjMwNDEzAgAAAAk0NzU1MDIzNTEDAAAABjEwMDE3MwQAAAABMgYAAAABMAcAAAADMTYwCAAAAAEwCQAAAAExCgAAAAEwCwAAAAsxNDg2MDY1MjMxOAwAAAABNw0AAAAJNy8xMi8yMDI2EAAAAAk3LzExLzIwMjbZXH9rb9/eCDwsom5v394IKUNJUS5OQVNEQVE6TVNGVC5JUV9FUFNfRVNULjEwMDAxLi4uLlVTRC5IAQAAAEtVAAACAAAABzE3LjkxODYBDgAAAAUAAAACMTEBAAAABzI2MzA0MTMCAAAACTQ3NTUwMjM1MAMAAAAGMTAwMTczBAAAAAEyBgAAAAEwBwAAAAMxNjAIAAAAATAJAAAAATEKAAAAATALAAAACzE0ODYwNjUyMzAyDAAAAAE3DQAAAAk3LzEyLzIwMjYQAAAACTcvMTEvMjAyNtlcf2tv394IPCyibm/f3ggsQ0lRLk5BU0RB</t>
  </si>
  <si>
    <t>UTpNU0ZULklRX0VCSVREQV9FU1QuMTAwMDIuLi4uVVNELkgBAAAAS1UAAAIAAAALMjY2MDcwLjEzNDMBDgAAAAUAAAACMTEBAAAAATACAAAACTQ3NTUwMjM1MQMAAAAGMTAwMTg3BAAAAAEyBgAAAAEwBwAAAAMxNjAIAAAAATAJAAAAATEKAAAAATALAAAACzE0ODU4Njg2MTM5DAAAAAE3DQAAAAk3LzEyLzIwMjYQAAAACTcvMTEvMjAyNtlcf2tv394IPCyibm/f3ggsQ0lRLk5BU0RBUTpNU0ZULklRX0VCSVREQV9FU1QuMTAwMDEuLi4uVVNELkgBAAAAS1UAAAIAAAALMjE3MDc4LjI3ODQBDgAAAAUAAAACMTEBAAAAATACAAAACTQ3NTUwMjM1MAMAAAAGMTAwMTg3BAAAAAEyBgAAAAEwBwAAAAMxNjAIAAAAATAJAAAAATEKAAAAATALAAAACzE0ODU4Njg2MTI3DAAAAAE3DQAAAAk3LzEyLzIwMjYQAAAACTcvMTEvMjAyNtlcf2tv394IPCyibm/f3ggtQ0lRLk5BU0RBUTpNU0ZULklRX1JFVkVOVUVfRVNULjEwMDAxLi4uLlVTRC5IAQAAAEtVAAACAAAACzM1NDUxNy45Nzc4AQ4AAAAFAAAAAjExAQAAAAEwAgAAAAk0NzU1MDIzNTADAAAABjEwMDE4MAQAAAABMgYAAAABMAcAAAADMTYwCAAAAAEwCQAAAAExCgAAAAEwCwAAAAsxNDg2MDY1MzcxMAwAAAABNw0AAAAJNy8xMi8yMDI2EAAAAAk3LzExLzIwMjbZXH9rb9/eCDwsom5v394ILUNJUS5OQVNEQVE6TVNGVC5JUV9SRVZFTlVFX0VTVC4xMDAwMi4uLi5V</t>
  </si>
  <si>
    <t>U0QuSAEAAABLVQAAAgAAAAo0MTUwODEuNzgzAQ4AAAAFAAAAAjExAQAAAAEwAgAAAAk0NzU1MDIzNTEDAAAABjEwMDE4MAQAAAABMgYAAAABMAcAAAADMTYwCAAAAAEwCQAAAAExCgAAAAEwCwAAAAsxNDg2MDY1MzcyNgwAAAABNw0AAAAJNy8xMi8yMDI2EAAAAAk3LzExLzIwMjbZXH9rb9/eCDwsom5v394IPENJUS5OQVNEQVE6TVNGVC5JUV9GSU5fRElWX0RFQlRfVE9UQUwuOTkwLjExLzA3LzIwMjYuLi5VU0QuSAEAAABLVQAAAwAAAAAAE9B+a2/f3giugJtub9/eCFBDSVEuTkFTREFROk1TRlQuSVFfTElRVUlEQVRJT05fVkFMVUVfUFJFRkVSUkVEX05PTl9SRURFRU0uOTkxLjExLzA3LzIwMjYuLi5VU0QuSAEAAABLVQAAAwAAAAAAE9B+a2/f3giugJtub9/eCD5DSVEuTkFTREFROk1TRlQuSVFfTElBQklMSVRJRVNfTEVWRUxfMS4yMDAwLjExLzA3LzIwMjYuLi5VU0QuSAEAAABLVQAAAwAAAAAAE9B+a2/f3giugJtub9/eCC1DSVEuTkFTREFROk1TRlQuSVFfQ0lQLjk5MS4xMS8wNy8yMDI2Li4uVVNELkgBAAAAS1UAAAMAAAAAABPQfmtv394IroCbbm/f3gg9Q0lRLk5BU0RBUTpNU0ZULklRX01JTk9SSVRZX0lOVF9SRURFRU0uOTkxLjExLzA3LzIwMjYuLi5VU0QuSAEAAABLVQAAAwAAAAAAE9B+a2/f3giugJtub9/eCEdDSVEuTkFTREFROk1TRlQuSVFfR0VORVJBTF9QQVJUTkVSX0NPTU1PTl9F</t>
  </si>
  <si>
    <t>UVVJVFkuOTkyLjExLzA3LzIwMjYuLi5VU0QuSAEAAABLVQAAAwAAAAAAE9B+a2/f3ghFbJtub9/eCEtDSVEuTkFTREFROk1TRlQuSVFfR0VORVJBTF9QQVJUTkVSX01JTk9SSVRZX0lOVEVSRVNULjk5MS4xMS8wNy8yMDI2Li4uVVNELkgBAAAAS1UAAAMAAAAAABPQfmtv394IRWybbm/f3gguQ0lRLk5BU0RBUTpNU0ZULklRX0xBTkQuOTkzLjExLzA3LzIwMjYuLi5VU0QuSAEAAABLVQAAAgAAAAQxMjU0AQgAAAAFAAAAATEBAAAACjIwNDcyNzE3NDUDAAAAAzE2MAIAAAAEMzA5OAQAAAABMAcAAAAJNy8xMS8yMDI2CAAAAAk2LzMwLzIwMTgJAAAAATAT0H5rb9/eCK6Am25v394IM0NJUS5OQVNEQVE6TVNGVC5JUV9NQUNISU5FUlkuOTkzLjExLzA3LzIwMjYuLi5VU0QuSAEAAABLVQAAAgAAAAUzMjA5MAEIAAAABQAAAAExAQAAAAoyMDQ3MjcxNzQ1AwAAAAMxNjACAAAABDMxMTQEAAAAATAHAAAACTcvMTEvMjAyNggAAAAJNi8zMC8yMDE4CQAAAAEwE9B+a2/f3giugJtub9/eCDRDSVEuTkFTREFROk1TRlQuSVFfVE9UQUxfQ0FQLjIwMDAuMTEvMDcvMjAyNi4uLlVTRC5IAQAAAEtVAAACAAAABjUzOTc5OQEIAAAABQAAAAExAQAAAAstMTg5MzI5ODk5NQMAAAADMTYwAgAAAAQ0MTc1BAAAAAEwBwAAAAk3LzExLzIwMjYIAAAACTMvMzEvMjAyNgkAAAABMBPQfmtv394IroCbbm/f3ghFQ0lRLk5BU0RBUTpN</t>
  </si>
  <si>
    <t>U0ZULklRX1RPVEFMX0RFQlRfRVhDTF9PUEVSX0xFQVNFUy45OTAuMTEvMDcvMjAyNi4uLlVTRC5IAQAAAEtVAAACAAAABTM1Mzg0AQgAAAAFAAAAATEBAAAACjE4NTE1MjU5MTIDAAAAAzE2MAIAAAAFNDg5ODIEAAAAATAHAAAACTcvMTEvMjAyNggAAAAJNi8zMC8yMDE1CQAAAAEwE9B+a2/f3ggtRJtub9/eCEFDSVEuTkFTREFROk1TRlQuSVFfRklOQU5DRV9MRUFTRVNfQ1VSUkVOVC4yMDAwLjExLzA3LzIwMjYuLi5VU0QuSAEAAABLVQAAAgAAAAQ0MDYzAQgAAAAFAAAAATEBAAAACy0xODkzMjk4OTk1AwAAAAMxNjACAAAABTQ4OTkwBAAAAAEwBwAAAAk3LzExLzIwMjYIAAAACTMvMzEvMjAyNgkAAAABMBPQfmtv394IVFibbm/f3ghQQ0lRLk5BU0RBUTpNU0ZULklRX0NVUlJFTlRfUE9SVElPTl9PUEVSX0xFQVNFX0xJQUJJTElUSUVTLjk5Mi4xMS8wNy8yMDI2Li4uVVNELkgBAAAAS1UAAAIAAAAEMTQyMwEIAAAABQAAAAExAQAAAAoxOTczMzgwOTUxAwAAAAMxNjACAAAABTQ4Mzg1BAAAAAEwBwAAAAk3LzExLzIwMjYIAAAACTYvMzAvMjAxNwkAAAABMBPQfmtv394IVFibbm/f3gg4Q0lRLk5BU0RBUTpNU0ZULklRX1JVQV9BQ0NVTV9ERVAuMjAwMC4xMS8wNy8yMDI2Li4uVVNELkgBAAAAS1UAAAMAAAAAABPQfmtv394IRWybbm/f3gg/Q0lRLk5BU0RBUTpNU0ZULklRX0dQUEVfRVhDTF9PUEVSX0xF</t>
  </si>
  <si>
    <t>QVNFUy45OTMuMTEvMDcvMjAyNi4uLlVTRC5IAQAAAEtVAAACAAAABTU4NjgzAQgAAAAFAAAAATEBAAAACjIwNDcyNzE3NDUDAAAAAzE2MAIAAAAFNDg5NzQEAAAAATAHAAAACTcvMTEvMjAyNggAAAAJNi8zMC8yMDE4CQAAAAEwE9B+a2/f3ghFbJtub9/eCD1DSVEuTkFTREFROk1TRlQuSVFfVE9UQUxfQ09NTU9OX0VRVUlUWS45OTAuMTEvMDcvMjAyNi4uLlVTRC5IAQAAAEtVAAACAAAABTgwMDgzAQgAAAAFAAAAATEBAAAACjE4NTE1MjU5MTIDAAAAAzE2MAIAAAAEMTAwNgQAAAABMAcAAAAJNy8xMS8yMDI2CAAAAAk2LzMwLzIwMTUJAAAAATAT0H5rb9/eCHswm25v394INkNJUS5OQVNEQVE6TVNGVC5JUV9UT1RBTF9FUVVJVFkuOTkzLjExLzA3LzIwMjYuLi5VU0QuSAEAAABLVQAAAgAAAAU4MjcxOAEIAAAABQAAAAExAQAAAAoyMDQ3MjcxNzQ1AwAAAAMxNjACAAAABDEyNzUEAAAAATAHAAAACTcvMTEvMjAyNggAAAAJNi8zMC8yMDE4CQAAAAEwE9B+a2/f3gh7MJtub9/eCDdDSVEuTkFTREFROk1TRlQuSVFfT1RIRVJfTElBQl9MVC45OTMuMTEvMDcvMjAyNi4uLlVTRC5IAQAAAEtVAAACAAAABTMxMzUxAQgAAAAFAAAAATEBAAAACjIwNDcyNzE3NDUDAAAAAzE2MAIAAAAEMTA2MgQAAAABMAcAAAAJNy8xMS8yMDI2CAAAAAk2LzMwLzIwMTgJAAAAATAT0H5rb9/eCC1Em25v394IOkNJUS5OQVNEQVE6</t>
  </si>
  <si>
    <t>TVNGVC5JUV9QUkVGX05PTl9SRURFRU0uMjAwMC4xMS8wNy8yMDI2Li4uVVNELkgBAAAAS1UAAAMAAAAAABPQfmtv394ILUSbbm/f3gg1Q0lRLk5BU0RBUTpNU0ZULklRX1BSRUZfRVFVSVRZLjk5Mi4xMS8wNy8yMDI2Li4uVVNELkgBAAAAS1UAAAMAAAAAABPQfmtv394ILUSbbm/f3gg8Q0lRLk5BU0RBUTpNU0ZULklRX1VORUFSTl9SRVZfQ1VSUkVOVC45OTMuMTEvMDcvMjAyNi4uLlVTRC5IAQAAAEtVAAACAAAABTI4OTA1AQgAAAAFAAAAATEBAAAACjIwNDcyNzE3NDUDAAAAAzE2MAIAAAAEMTA3NAQAAAABMAcAAAAJNy8xMS8yMDI2CAAAAAk2LzMwLzIwMTgJAAAAATAT0H5rb9/eCB8Jm25v394IM0NJUS5OQVNEQVE6TVNGVC5JUV9UT1RBTF9DTC4yMDAwLjExLzA3LzIwMjYuLi5VU0QuSAEAAABLVQAAAgAAAAYxMzY2NjEBCAAAAAUAAAABMQEAAAALLTE4OTMyOTg5OTUDAAAAAzE2MAIAAAAEMTAwOQQAAAABMAcAAAAJNy8xMS8yMDI2CAAAAAkzLzMxLzIwMjYJAAAAATAT0H5rb9/eCB8Jm25v394ILENJUS5OQVNEQVE6TVNGVC5JUV9BUC45OTEuMTEvMDcvMjAyNi4uLlVTRC5IAQAAAEtVAAACAAAABDY4OTgBCAAAAAUAAAABMQEAAAAKMTg5ODQ4OTQ3MAMAAAADMTYwAgAAAAQxMDE4BAAAAAEwBwAAAAk3LzExLzIwMjYIAAAACTYvMzAvMjAxNgkAAAABMBPQfmtv394IHwmbbm/f3gg+Q0lRLk5BU0RB</t>
  </si>
  <si>
    <t>UTpNU0ZULklRX0ZJTl9ESVZfTElBQl9DVVJSRU5ULjk5MC4xMS8wNy8yMDI2Li4uVVNELkgBAAAAS1UAAAMAAAAAABPQfmtv394IezCbbm/f3ggzQ0lRLk5BU0RBUTpNU0ZULklRX0xUX0lOVkVTVC45OTEuMTEvMDcvMjAyNi4uLlVTRC5IAQAAAEtVAAACAAAABTEwNDM4AQgAAAAFAAAAATEBAAAACjE4OTg0ODk0NzADAAAAAzE2MAIAAAAEMTA1NAQAAAABMAcAAAAJNy8xMS8yMDI2CAAAAAk2LzMwLzIwMTYJAAAAATAT0H5rb9/eCHswm25v394IL0NJUS5OQVNEQVE6TVNGVC5JUV9BUl9MVC45OTIuMTEvMDcvMjAyNi4uLlVTRC5IAQAAAEtVAAACAAAABDE3MDABCAAAAAUAAAABMQEAAAAKMTk3MzM4MDk1MQMAAAADMTYwAgAAAAQxMDg4BAAAAAEwBwAAAAk3LzExLzIwMjYIAAAACTYvMzAvMjAxNwkAAAABMBPQfmtv394IqvSabm/f3gg/Q0lRLk5BU0RBUTpNU0ZULklRX0ZJTl9ESVZfTE9BTlNfQ1VSUkVOVC45OTIuMTEvMDcvMjAyNi4uLlVTRC5IAQAAAEtVAAADAAAAAAAT0H5rb9/eCKr0mm5v394IOUNJUS5OQVNEQVE6TVNGVC5JUV9SRVNUUklDVEVEX0NBU0guOTkwLjExLzA3LzIwMjYuLi5VU0QuSAEAAABLVQAAAwAAAAAAE9B+a2/f3ggfCZtub9/eCDNDSVEuTkFTREFROk1TRlQuSVFfU1RfSU5WRVNULjk5MC4xMS8wNy8yMDI2Li4uVVNELkgBAAAAS1UAAAIAAAAFOTA3OTYBCAAAAAUAAAABMQEA</t>
  </si>
  <si>
    <t>AAAKMTg1MTUyNTkxMgMAAAADMTYwAgAAAAQxMDY5BAAAAAEwBwAAAAk3LzExLzIwMjYIAAAACTYvMzAvMjAxNQkAAAABMBPQfmtv394IHwmbbm/f3gg2Q0lRLk5BU0RBUTpNU0ZULklRX1RPVEFMX1JFQ0VJVi45OTIuMTEvMDcvMjAyNi4uLlVTRC5IAQAAAEtVAAACAAAABTIyNDMxAQgAAAAFAAAAATEBAAAACjE5NzMzODA5NTEDAAAAAzE2MAIAAAAEMTAwMQQAAAABMAcAAAAJNy8xMS8yMDI2CAAAAAk2LzMwLzIwMTcJAAAAATAT0H5rb9/eCB8Jm25v394IR0NJUS5OQVNEQVE6TVNGVC5JUV9UT1RBTF9ERUJUX1JFUEFJRF9FWENMX0xFQVNFUy45OTIuMTEvMDcvMjAyNi4uLlVTRC5IAQAAAEtVAAACAAAABi0xMjg4NQEIAAAABQAAAAExAQAAAAoxOTczMzgwOTUxAwAAAAMxNjACAAAABTQ4OTg2BAAAAAEwBwAAAAk3LzExLzIwMjYIAAAACTYvMzAvMjAxNwkAAAABMBPQfmtv394I1+Cabm/f3gg8Q0lRLk5BU0RBUTpNU0ZULklRX0ZJTl9ESVZfREVCVF9UT1RBTC45OTEuMTEvMDcvMjAyNi4uLlVTRC5IAQAAAEtVAAADAAAAAAAT0H5rb9/eCNfgmm5v394IPUNJUS5OQVNEQVE6TVNGVC5JUV9MSUFCSUxJVElFU19MRVZFTF8yLjk5MS4xMS8wNy8yMDI2Li4uVVNELkgBAAAAS1UAAAIAAAAFNDQ2MTMAE9B+a2/f3gjX4Jpub9/eCEtDSVEuTkFTREFROk1TRlQuSVFfR0VORVJBTF9QQVJUTkVSX01JTk9SSVRZ</t>
  </si>
  <si>
    <t>X0lOVEVSRVNULjk5Mi4xMS8wNy8yMDI2Li4uVVNELkgBAAAAS1UAAAMAAAAAABPQfmtv394IqvSabm/f3ghQQ0lRLk5BU0RBUTpNU0ZULklRX0xJUVVJREFUSU9OX1ZBTFVFX1BSRUZFUlJFRF9OT05fUkVERUVNLjk5Mi4xMS8wNy8yMDI2Li4uVVNELkgBAAAAS1UAAAMAAAAAABPQfmtv394IqvSabm/f3ghNQ0lRLk5BU0RBUTpNU0ZULklRX0xJUVVJREFUSU9OX1ZBTFVFX1BSRUZFUlJFRF9SRURFRU0uMjAwMC4xMS8wNy8yMDI2Li4uVVNELkgBAAAAS1UAAAMAAAAAABPQfmtv394IMbyabm/f3gg9Q0lRLk5BU0RBUTpNU0ZULklRX01JTk9SSVRZX0lOVF9SRURFRU0uOTkyLjExLzA3LzIwMjYuLi5VU0QuSAEAAABLVQAAAwAAAAAAE9B+a2/f3ggxvJpub9/eCDVDSVEuTkFTREFROk1TRlQuSVFfV09SS0lOR19DQVAuOTkxLjExLzA3LzIwMjYuLi5VU0QuSAEAAABLVQAAAgAAAAU4MDMwMwEIAAAABQAAAAExAQAAAAoxODk4NDg5NDcwAwAAAAMxNjACAAAABDQxNjUEAAAAATAHAAAACTcvMTEvMjAyNggAAAAJNi8zMC8yMDE2CQAAAAEwE9B+a2/f3gg305pub9/eCDpDSVEuTkFTREFROk1TRlQuSVFfQUxMT1dfRE9VQlRfQUNDVC45OTAuMTEvMDcvMjAyNi4uLlVTRC5IAQAAAEtVAAACAAAAAzMzNQEIAAAABQAAAAExAQAAAAoxODUxNTI1OTEyAwAAAAMxNjACAAAABDMwMTIEAAAAATAHAAAACTcvMTEvMjAy</t>
  </si>
  <si>
    <t>NggAAAAJNi8zMC8yMDE1CQAAAAEwE9B+a2/f3gg305pub9/eCFBDSVEuTkFTREFROk1TRlQuSVFfQ1VSUkVOVF9QT1JUSU9OX09QRVJfTEVBU0VfTElBQklMSVRJRVMuOTkzLjExLzA3LzIwMjYuLi5VU0QuSAEAAABLVQAAAgAAAAQxMzk5AQgAAAAFAAAAATEBAAAACjIwNDcyNzE3NDUDAAAAAzE2MAIAAAAFNDgzODUEAAAAATAHAAAACTcvMTEvMjAyNggAAAAJNi8zMC8yMDE4CQAAAAEwE9B+a2/f3gg305pub9/eCDdDSVEuTkFTREFROk1TRlQuSVFfVE9UQUxfTEVBU0VTLjIwMDAuMTEvMDcvMjAyNi4uLlVTRC5IAQAAAEtVAAACAAAABTg1MTcwAQgAAAAFAAAAATEBAAAACy0xODkzMjk4OTk1AwAAAAMxNjACAAAABTQ4OTc5BAAAAAEwBwAAAAk3LzExLzIwMjYIAAAACTMvMzEvMjAyNgkAAAABMBPQfmtv394IPaeabm/f3ghFQ0lRLk5BU0RBUTpNU0ZULklRX1RPVEFMX0RFQlRfRVhDTF9PUEVSX0xFQVNFUy45OTEuMTEvMDcvMjAyNi4uLlVTRC5IAQAAAEtVAAACAAAABTU0NTQxAQgAAAAFAAAAATEBAAAACjE4OTg0ODk0NzADAAAAAzE2MAIAAAAFNDg5ODIEAAAAATAHAAAACTcvMTEvMjAyNggAAAAJNi8zMC8yMDE2CQAAAAEwE9B+a2/f3gg9p5pub9/eCEdDSVEuTkFTREFROk1TRlQuSVFfUlVBX09QRVJBVElOR19MRUFTRV9BQ0NVTV9ERVAuOTkxLjExLzA3LzIwMjYuLi5VU0QuSAEAAABLVQAAAwAA</t>
  </si>
  <si>
    <t>AAAAE9B+a2/f3gg9p5pub9/eCEJDSVEuTkFTREFROk1TRlQuSVFfRklOQU5DRV9MRUFTRVNfTE9OR19URVJNLjk5MC4xMS8wNy8yMDI2Li4uVVNELkgBAAAAS1UAAAMAAAAAABPQfmtv394IPaeabm/f3gg9Q0lRLk5BU0RBUTpNU0ZULklRX1RPVEFMX0NPTU1PTl9FUVVJVFkuOTkxLjExLzA3LzIwMjYuLi5VU0QuSAEAAABLVQAAAgAAAAU3MTk5NwEIAAAABQAAAAExAQAAAAoxODk4NDg5NDcwAwAAAAMxNjACAAAABDEwMDYEAAAAATAHAAAACTcvMTEvMjAyNggAAAAJNi8zMC8yMDE2CQAAAAEwE9B+a2/f3ggxvJpub9/eCDFDSVEuTkFTREFROk1TRlQuSVFfUlVBX05FVC45OTAuMTEvMDcvMjAyNi4uLlVTRC5IAQAAAEtVAAADAAAAAAAT0H5rb9/eCOx8mm5v394INkNJUS5OQVNEQVE6TVNGVC5JUV9QUkVGX0NPTlZFUlQuOTkwLjExLzA3LzIwMjYuLi5VU0QuSAEAAABLVQAAAwAAAAAAE9B+a2/f3ghakppub9/eCDVDSVEuTkFTREFROk1TRlQuSVFfUFJFRl9FUVVJVFkuOTkzLjExLzA3LzIwMjYuLi5VU0QuSAEAAABLVQAAAwAAAAAAE9B+a2/f3ghakppub9/eCC1DSVEuTkFTREFROk1TRlQuSVFfUkUuMjAwMC4xMS8wNy8yMDI2Li4uVVNELkgBAAAAS1UAAAIAAAAGMzAyNTI2AQgAAAAFAAAAATEBAAAACy0xODkzMjk4OTk1AwAAAAMxNjACAAAABDEyMjIEAAAAATAHAAAACTcvMTEvMjAyNggAAAAJMy8z</t>
  </si>
  <si>
    <t>MS8yMDI2CQAAAAEwE9B+a2/f3ghakppub9/eCDFDSVEuTkFTREFROk1TRlQuSVFfTFRfREVCVC45OTAuMTEvMDcvMjAyNi4uLlVTRC5IAQAAAEtVAAACAAAABTI3ODA4AQgAAAAFAAAAATEBAAAACjE4NTE1MjU5MTIDAAAAAzE2MAIAAAAEMTA0OQQAAAABMAcAAAAJNy8xMS8yMDI2CAAAAAk2LzMwLzIwMTUJAAAAATCX935rb9/eCFqSmm5v394IMUNJUS5OQVNEQVE6TVNGVC5JUV9QRU5TSU9OLjk5MS4xMS8wNy8yMDI2Li4uVVNELkgBAAAAS1UAAAMAAAAAAJf3fmtv394IF2iabm/f3gg+Q0lRLk5BU0RBUTpNU0ZULklRX0ZJTl9ESVZfTElBQl9DVVJSRU5ULjk5MS4xMS8wNy8yMDI2Li4uVVNELkgBAAAAS1UAAAMAAAAAAJf3fmtv394IF2iabm/f3ggvQ0lRLk5BU0RBUTpNU0ZULklRX0FSX0xULjk5My4xMS8wNy8yMDI2Li4uVVNELkgBAAAAS1UAAAIAAAAEMTgwMAEIAAAABQAAAAExAQAAAAoyMDQ3MjcxNzQ1AwAAAAMxNjACAAAABDEwODgEAAAAATAHAAAACTcvMTEvMjAyNggAAAAJNi8zMC8yMDE4CQAAAAEwl/d+a2/f3ggXaJpub9/eCDlDSVEuTkFTREFROk1TRlQuSVFfREVGX0NIQVJHRVNfTFQuMjAwMC4xMS8wNy8yMDI2Li4uVVNELkgBAAAAS1UAAAMAAAAAAJf3fmtv394I7Hyabm/f3ggsQ0lRLk5BU0RBUTpNU0ZULklRX0FQLjk5Mi4xMS8wNy8yMDI2Li4uVVNELkgBAAAAS1UAAAIAAAAENzM5</t>
  </si>
  <si>
    <t>MAEIAAAABQAAAAExAQAAAAoxOTczMzgwOTUxAwAAAAMxNjACAAAABDEwMTgEAAAAATAHAAAACTcvMTEvMjAyNggAAAAJNi8zMC8yMDE3CQAAAAEwl/d+a2/f3gjsfJpub9/eCDlDSVEuTkFTREFROk1TRlQuSVFfUkVTVFJJQ1RFRF9DQVNILjk5MS4xMS8wNy8yMDI2Li4uVVNELkgBAAAAS1UAAAMAAAAAAJf3fmtv394Ibj+abm/f3ggvQ0lRLk5BU0RBUTpNU0ZULklRX0dQUEUuMjAwMC4xMS8wNy8yMDI2Li4uVVNELkgBAAAAS1UAAAIAAAAGNDE5MzU0AQgAAAAFAAAAATEBAAAACy0xODkzMjk4OTk1AwAAAAMxNjACAAAABDExNjkEAAAAATAHAAAACTcvMTEvMjAyNggAAAAJMy8zMS8yMDI2CQAAAAEwl/d+a2/f3ghIU5pub9/eCC1DSVEuTkFTREFROk1TRlQuSVFfQVIuMjAwMC4xMS8wNy8yMDI2Li4uVVNELkgBAAAAS1UAAAIAAAAFNjAwNDEBCAAAAAUAAAABMQEAAAALLTE4OTMyOTg5OTUDAAAAAzE2MAIAAAAEMTAyMQQAAAABMAcAAAAJNy8xMS8yMDI2CAAAAAkzLzMxLzIwMjYJAAAAATCX935rb9/eCEhTmm5v394IP0NJUS5OQVNEQVE6TVNGVC5JUV9GSU5fRElWX0xPQU5TX0NVUlJFTlQuOTkzLjExLzA3LzIwMjYuLi5VU0QuSAEAAABLVQAAAwAAAAAAl/d+a2/f3ghIU5pub9/eCDNDSVEuTkFTREFROk1TRlQuSVFfU1RfSU5WRVNULjk5MS4xMS8wNy8yMDI2Li4uVVNELkgBAAAAS1UAAAIAAAAGMTA2</t>
  </si>
  <si>
    <t>NTMxAQgAAAAFAAAAATEBAAAACjE4OTg0ODk0NzADAAAAAzE2MAIAAAAEMTA2OQQAAAABMAcAAAAJNy8xMS8yMDI2CAAAAAk2LzMwLzIwMTYJAAAAATCX935rb9/eCEhTmm5v394INkNJUS5OQVNEQVE6TVNGVC5JUV9ET19JTlZFU1RfQ0YuOTkxLjExLzA3LzIwMjYuLi5VU0QuSAEAAABLVQAAAwAAAAAAl/d+a2/f3ggWGJpub9/eCEZDSVEuTkFTREFROk1TRlQuSVFfT1BFUkFUSU5HX0xFQVNFX0xJQUJJTElUSUVTLjIwMDAuMTEvMDcvMjAyNi4uLlVTRC5IAQAAAEtVAAADAAAAAACX935rb9/eCBYYmm5v394IR0NJUS5OQVNEQVE6TVNGVC5JUV9UT1RBTF9ERUJUX1JFUEFJRF9FWENMX0xFQVNFUy45OTMuMTEvMDcvMjAyNi4uLlVTRC5IAQAAAEtVAAACAAAABi0xNzM4NAEIAAAABQAAAAExAQAAAAoyMDQ3MjcxNzQ1AwAAAAMxNjACAAAABTQ4OTg2BAAAAAEwBwAAAAk3LzExLzIwMjYIAAAACTYvMzAvMjAxOAkAAAABMJf3fmtv394Ibj+abm/f3gg6Q0lRLk5BU0RBUTpNU0ZULklRX0NBU0hfVEFYRVNfT1BFUi4yMDAwLjExLzA3LzIwMjYuLi5VU0QuSAEAAABLVQAAAwAAAAAAl/d+a2/f3ghuP5pub9/eCD5DSVEuTkFTREFROk1TRlQuSVFfQ0hBTkdFX0RFRl9UQVhfVE9UQUwuOTkzLjExLzA3LzIwMjYuLi5VU0QuSAEAAABLVQAAAgAAAAUtNTE0MwEIAAAABQAAAAExAQAAAAoyMDQ3MjcxNzQ1AwAAAAMx</t>
  </si>
  <si>
    <t>NjACAAAABTMwOTI0BAAAAAEwBwAAAAk3LzExLzIwMjYIAAAACTYvMzAvMjAxOAkAAAABMJf3fmtv394Ibj+abm/f3ggyQ0lRLk5BU0RBUTpNU0ZULklRX0NGX1NIQVJFLjk5MS4xMS8wNy8yMDI2Li4uVVNELkgBAAAAS1UAAAIAAAAIMy4xNTIzMDIBCAAAAAUAAAABMQEAAAAKMTg5ODQ4OTQ3MAMAAAADMTYwAgAAAAU0MzkyMwQAAAABMAcAAAAJNy8xMS8yMDI2CAAAAAk2LzMwLzIwMTYJAAAAATCX935rb9/eCBYYmm5v394INkNJUS5OQVNEQVE6TVNGVC5JUV9BTU9SVF9ESUNfQ0YuOTkzLjExLzA3LzIwMjYuLi5VU0QuSAEAAABLVQAAAwAAAAAAl/d+a2/f3ggWGJpub9/eCDtDSVEuTkFTREFROk1TRlQuSVFfQ0FTSF9JTlRFUkVTVF9ORVQuOTkxLjExLzA3LzIwMjYuLi5VU0QuSAEAAABLVQAAAwAAAAAAl/d+a2/f3ggWGJpub9/eCD9DSVEuTkFTREFROk1TRlQuSVFfQ0FTSF9JTlRFUkVTVF9JTlZFU1QuMjAwMC4xMS8wNy8yMDI2Li4uVVNELkgBAAAAS1UAAAMAAAAAAJf3fmtv394IFhiabm/f3gg5Q0lRLk5BU0RBUTpNU0ZULklRX0FDQ1VNX0FNT1JUX0dXLjIwMDAuMTEvMDcvMjAyNi4uLlVTRC5IAQAAAEtVAAADAAAAAACX935rb9/eCBYYmm5v394IPENJUS5OQVNEQVE6TVNGVC5JUV9GSU5fRElWX0RFQlRfVE9UQUwuOTkyLjExLzA3LzIwMjYuLi5VU0QuSAEAAABLVQAAAwAAAAAAl/d+a2/f3ghF</t>
  </si>
  <si>
    <t>BJpub9/eCD5DSVEuTkFTREFROk1TRlQuSVFfU1RfREVCVF9ERVJJVkFUSVZFUy4yMDAwLjExLzA3LzIwMjYuLi5VU0QuSAEAAABLVQAAAwAAAAAAl/d+a2/f3ghFBJpub9/eCDlDSVEuTkFTREFROk1TRlQuSVFfQVNTRVRTX0xFVkVMXzMuMjAwMC4xMS8wNy8yMDI2Li4uVVNELkgBAAAAS1UAAAIAAAAEMTgxNgCX935rb9/eCEUEmm5v394IS0NJUS5OQVNEQVE6TVNGVC5JUV9HRU5FUkFMX1BBUlRORVJfTUlOT1JJVFlfSU5URVJFU1QuOTkzLjExLzA3LzIwMjYuLi5VU0QuSAEAAABLVQAAAwAAAAAAl/d+a2/f3ghFBJpub9/eCDhDSVEuTkFTREFROk1TRlQuSVFfQVNTRVRTX0xFVkVMXzEuOTkwLjExLzA3LzIwMjYuLi5VU0QuSAEAAABLVQAAAgAAAAU4MTc1MACX935rb9/eCBYYmm5v394IMkNJUS5OQVNEQVE6TVNGVC5JUV9XSVBfSU5WLjIwMDAuMTEvMDcvMjAyNi4uLlVTRC5IAQAAAEtVAAADAAAAAACX935rb9/eCMLcmW5v394IOkNJUS5OQVNEQVE6TVNGVC5JUV9BTExPV19ET1VCVF9BQ0NULjk5MS4xMS8wNy8yMDI2Li4uVVNELkgBAAAAS1UAAAIAAAADNDI2AQgAAAAFAAAAATEBAAAACjE4OTg0ODk0NzADAAAAAzE2MAIAAAAEMzAxMgQAAAABMAcAAAAJNy8xMS8yMDI2CAAAAAk2LzMwLzIwMTYJAAAAATCX935rb9/eCMLcmW5v394INUNJUS5OQVNEQVE6TVNGVC5JUV9BUl9VTkJJTExFRC45OTEu</t>
  </si>
  <si>
    <t>MTEvMDcvMjAyNi4uLlVTRC5IAQAAAEtVAAADAAAAAACX935rb9/eCMLcmW5v394IMENJUS5OQVNEQVE6TVNGVC5JUV9MSUZPUi4yMDAwLjExLzA3LzIwMjYuLi5VU0QuSAEAAABLVQAAAwAAAAAAl/d+a2/f3gjC3Jlub9/eCFJDSVEuTkFTREFROk1TRlQuSVFfRklOQU5DSU5HX09CTElHX0NVUlJFTlRfRVhDTF9PUEVSX0xFQVNFUy45OTAuMTEvMDcvMjAyNi4uLlVTRC5IAQAAAEtVAAACAAAABDc1NzYBCAAAAAUAAAABMQEAAAAKMTg1MTUyNTkxMgMAAAADMTYwAgAAAAU0ODk4MAQAAAABMAcAAAAJNy8xMS8yMDI2CAAAAAk2LzMwLzIwMTUJAAAAATCX935rb9/eCMLcmW5v394IRUNJUS5OQVNEQVE6TVNGVC5JUV9UT1RBTF9ERUJUX0VYQ0xfT1BFUl9MRUFTRVMuOTkyLjExLzA3LzIwMjYuLi5VU0QuSAEAAABLVQAAAgAAAAU4ODczMgEIAAAABQAAAAExAQAAAAoxOTczMzgwOTUxAwAAAAMxNjACAAAABTQ4OTgyBAAAAAEwBwAAAAk3LzExLzIwMjYIAAAACTYvMzAvMjAxNwkAAAABMJf3fmtv394I6seZbm/f3ghHQ0lRLk5BU0RBUTpNU0ZULklRX1JVQV9PUEVSQVRJTkdfTEVBU0VfQUNDVU1fREVQLjk5Mi4xMS8wNy8yMDI2Li4uVVNELkgBAAAAS1UAAAMAAAAAAJf3fmtv394I6seZbm/f3ghCQ0lRLk5BU0RBUTpNU0ZULklRX0ZJTkFOQ0VfTEVBU0VTX0xPTkdfVEVSTS45OTEuMTEvMDcvMjAyNi4uLlVT</t>
  </si>
  <si>
    <t>RC5IAQAAAEtVAAACAAAAAzc2MQEIAAAABQAAAAExAQAAAAoxODk4NDg5NDcwAwAAAAMxNjACAAAABTQ4OTkxBAAAAAEwBwAAAAk3LzExLzIwMjYIAAAACTYvMzAvMjAxNgkAAAABMJf3fmtv394IwtyZbm/f3gg3Q0lRLk5BU0RBUTpNU0ZULklRX1JVQV9BQ0NVTV9ERVAuOTkzLjExLzA3LzIwMjYuLi5VU0QuSAEAAABLVQAAAwAAAAAAl/d+a2/f3gjC3Jlub9/eCDZDSVEuTkFTREFROk1TRlQuSVFfUFJFRl9DT05WRVJULjk5MS4xMS8wNy8yMDI2Li4uVVNELkgBAAAAS1UAAAMAAAAAAJf3fmtv394IwtyZbm/f3ggyQ0lRLk5BU0RBUTpNU0ZULklRX1RSRUFTVVJZLjk5MC4xMS8wNy8yMDI2Li4uVVNELkgBAAAAS1UAAAMAAAAAAJf3fmtv394IErOZbm/f3ggyQ0lRLk5BU0RBUTpNU0ZULklRX1RPVEFMX0NMLjk5My4xMS8wNy8yMDI2Li4uVVNELkgBAAAAS1UAAAIAAAAFNTg0ODgBCAAAAAUAAAABMQEAAAAKMjA0NzI3MTc0NQMAAAADMTYwAgAAAAQxMDA5BAAAAAEwBwAAAAk3LzExLzIwMjYIAAAACTYvMzAvMjAxOAkAAAABMJf3fmtv394IErOZbm/f3ggxQ0lRLk5BU0RBUTpNU0ZULklRX1BFTlNJT04uOTkyLjExLzA3LzIwMjYuLi5VU0QuSAEAAABLVQAAAwAAAAAAl/d+a2/f3ggSs5lub9/eCDxDSVEuTkFTREFROk1TRlQuSVFfQ1VSUkVOVF9QT1JUX0RFQlQuMjAwMC4xMS8wNy8yMDI2Li4uVVNELkgB</t>
  </si>
  <si>
    <t>AAAAS1UAAAIAAAAEODgzOQEIAAAABQAAAAExAQAAAAstMTg5MzI5ODk5NQMAAAADMTYwAgAAAAQxMjk3BAAAAAEwBwAAAAk3LzExLzIwMjYIAAAACTMvMzEvMjAyNgkAAAABMJf3fmtv394I6seZbm/f3gg+Q0lRLk5BU0RBUTpNU0ZULklRX0ZJTl9ESVZfTElBQl9DVVJSRU5ULjk5Mi4xMS8wNy8yMDI2Li4uVVNELkgBAAAAS1UAAAMAAAAAAJf3fmtv394I6seZbm/f3gg6Q0lRLk5BU0RBUTpNU0ZULklRX0ZJTl9ESVZfTE9BTlNfTFQuOTkxLjExLzA3LzIwMjYuLi5VU0QuSAEAAABLVQAAAwAAAAAAl/d+a2/f3gjBnplub9/eCDlDSVEuTkFTREFROk1TRlQuSVFfT1RIRVJfTFRfQVNTRVRTLjk5MC4xMS8wNy8yMDI2Li4uVVNELkgBAAAAS1UAAAIAAAAEMjg4OQEIAAAABQAAAAExAQAAAAoxODUxNTI1OTEyAwAAAAMxNjACAAAABDEwNjAEAAAAATAHAAAACTcvMTEvMjAyNggAAAAJNi8zMC8yMDE1CQAAAAEwl/d+a2/f3gjBnplub9/eCCxDSVEuTkFTREFROk1TRlQuSVFfQVAuOTkzLjExLzA3LzIwMjYuLi5VU0QuSAEAAABLVQAAAgAAAAQ4NjE3AQgAAAAFAAAAATEBAAAACjIwNDcyNzE3NDUDAAAAAzE2MAIAAAAEMTAxOAQAAAABMAcAAAAJNy8xMS8yMDI2CAAAAAk2LzMwLzIwMTgJAAAAATCX935rb9/eCMGemW5v394IOUNJUS5OQVNEQVE6TVNGVC5JUV9SRVNUUklDVEVEX0NBU0guOTkyLjExLzA3LzIw</t>
  </si>
  <si>
    <t>MjYuLi5VU0QuSAEAAABLVQAAAwAAAAAAl/d+a2/f3ggSs5lub9/eCCxDSVEuTkFTREFROk1TRlQuSVFfQUQuOTkwLjExLzA3LzIwMjYuLi5VU0QuSAEAAABLVQAAAgAAAAYtMTc2MDYBCAAAAAUAAAABMQEAAAAKMTg1MTUyNTkxMgMAAAADMTYwAgAAAAQxMDc1BAAAAAEwBwAAAAk3LzExLzIwMjYIAAAACTYvMzAvMjAxNQkAAAABMJf3fmtv394IErOZbm/f3gg2Q0lRLk5BU0RBUTpNU0ZULklRX09USEVSX1JFQ0VJVi45OTAuMTEvMDcvMjAyNi4uLlVTRC5IAQAAAEtVAAADAAAAAACX935rb9/eCKmJmW5v394IM0NJUS5OQVNEQVE6TVNGVC5JUV9TVF9JTlZFU1QuOTkyLjExLzA3LzIwMjYuLi5VU0QuSAEAAABLVQAAAgAAAAYxMjUyMzgBCAAAAAUAAAABMQEAAAAKMTk3MzM4MDk1MQMAAAADMTYwAgAAAAQxMDY5BAAAAAEwBwAAAAk3LzExLzIwMjYIAAAACTYvMzAvMjAxNwkAAAABMJf3fmtv394IqYmZbm/f3gg2Q0lRLk5BU0RBUTpNU0ZULklRX0RPX0lOVkVTVF9DRi45OTIuMTEvMDcvMjAyNi4uLlVTRC5IAQAAAEtVAAADAAAAAACX935rb9/eCKmJmW5v394ITUNJUS5OQVNEQVE6TVNGVC5JUV9PUEVSQVRJTkdfTEVBU0VfTElBQklMSVRJRVNfTk9OQ0FTSC45OTAuMTEvMDcvMjAyNi4uLlVTRC5IAQAAAEtVAAADAAAAAACX935rb9/eCKmJmW5v394IO0NJUS5OQVNEQVE6TVNGVC5JUV9DQVNIX1RBWEVT</t>
  </si>
  <si>
    <t>X0lOVkVTVC45OTAuMTEvMDcvMjAyNi4uLlVTRC5IAQAAAEtVAAADAAAAAACX935rb9/eCMGemW5v394IO0NJUS5OQVNEQVE6TVNGVC5JUV9DQVNIX0lOVEVSRVNUX05FVC45OTIuMTEvMDcvMjAyNi4uLlVTRC5IAQAAAEtVAAADAAAAAACX935rb9/eCGF1mW5v394IPkNJUS5OQVNEQVE6TVNGVC5JUV9DQVNIX0lOVEVSRVNUX0lOVkVTVC45OTIuMTEvMDcvMjAyNi4uLlVTRC5IAQAAAEtVAAADAAAAAACX935rb9/eCGF1mW5v394IR0NJUS5OQVNEQVE6TVNGVC5JUV9ERVBSRUNJQVRJT05fUkVOVEFMX0FTU0VUU19DRi45OTAuMTEvMDcvMjAyNi4uLlVTRC5IAQAAAEtVAAADAAAAAACX935rb9/eCGF1mW5v394IQENJUS5OQVNEQVE6TVNGVC5JUV9EQV9DRl9FWENMX09QRVJfTEVBU0VTLjk5MC4xMS8wNy8yMDI2Li4uVVNELkgBAAAAS1UAAAIAAAAENTQwMAEIAAAABQAAAAExAQAAAAoxODUxNTI1OTEyAwAAAAMxNjACAAAABTQ4OTg1BAAAAAEwBwAAAAk3LzExLzIwMjYIAAAACTYvMzAvMjAxNQkAAAABMJf3fmtv394IYXWZbm/f3gg1Q0lRLk5BU0RBUTpNU0ZULklRX1BSRUZfRElWX0NGLjk5MC4xMS8wNy8yMDI2Li4uVVNELkgBAAAAS1UAAAMAAAAAAJf3fmtv394IYXWZbm/f3gg0Q0lRLk5BU0RBUTpNU0ZULklRX0NPTU1PTl9SRVAuOTkyLjExLzA3LzIwMjYuLi5VU0QuSAEAAABLVQAAAgAAAAYtMTE3</t>
  </si>
  <si>
    <t>ODgBCAAAAAUAAAABMQEAAAAKMTk3MzM4MDk1MQMAAAADMTYwAgAAAAQyMTY0BAAAAAEwBwAAAAk3LzExLzIwMjYIAAAACTYvMzAvMjAxNwkAAAABMJf3fmtv394Iw0uZbm/f3gg9Q0lRLk5BU0RBUTpNU0ZULklRX1NBTEVfUkVBTF9FU1RBVEVfQ0YuOTkyLjExLzA3LzIwMjYuLi5VU0QuSAEAAABLVQAAAwAAAAAAl/d+a2/f3gjDS5lub9/eCEBDSVEuTkFTREFROk1TRlQuSVFfT1RIRVJfSU5WRVNUX0FDVF9TVVBQTC45OTAuMTEvMDcvMjAyNi4uLlVTRC5IAQAAAEtVAAACAAAABC00NjYBCAAAAAUAAAABMQEAAAAKMTg1MTUyNTkxMgMAAAADMTYwAgAAAAQyMDUxBAAAAAEwBwAAAAk3LzExLzIwMjYIAAAACTYvMzAvMjAxNQkAAAABMJf3fmtv394IgmCZbm/f3gg7Q0lRLk5BU0RBUTpNU0ZULklRX0NIQU5HRV9VTkVBUk5fUkVWLjk5MC4xMS8wNy8yMDI2Li4uVVNELkgBAAAAS1UAAAMAAAAAAJf3fmtv394IgmCZbm/f3gg/Q0lRLk5BU0RBUTpNU0ZULklRX0NIQU5HRV9UUkFESU5HX0FTU0VUUy45OTIuMTEvMDcvMjAyNi4uLlVTRC5IAQAAAEtVAAADAAAAAACX935rb9/eCIJgmW5v394IR0NJUS5OQVNEQVE6TVNGVC5JUV9DVVJSRU5UX1BPUlRfREVCVF9ERVJJVkFUSVZFUy45OTEuMTEvMDcvMjAyNi4uLlVTRC5IAQAAAEtVAAADAAAAAACMC39rb9/eCB4kmW5v394IPENJUS5OQVNEQVE6TVNGVC5JUV9M</t>
  </si>
  <si>
    <t>VF9NQVJLX1NFQ1VSSVRJRVMuOTkwLjExLzA3LzIwMjYuLi5VU0QuSAEAAABLVQAAAwAAAAAAjAt/a2/f3ggeJJlub9/eCDxDSVEuTkFTREFROk1TRlQuSVFfRklOX0RJVl9ERUJUX1RPVEFMLjk5My4xMS8wNy8yMDI2Li4uVVNELkgBAAAAS1UAAAMAAAAAAIwLf2tv394Iw0uZbm/f3gg9Q0lRLk5BU0RBUTpNU0ZULklRX0RFQlRfRVFVSVZfTkVUX1BCTy4yMDAwLjExLzA3LzIwMjYuLi5VU0QuSAEAAABLVQAAAwAAAAAAjAt/a2/f3gjDS5lub9/eCDhDSVEuTkFTREFROk1TRlQuSVFfQVNTRVRTX0xFVkVMXzEuOTkxLjExLzA3LzIwMjYuLi5VU0QuSAEAAABLVQAAAgAAAAU5NDQzOACMC39rb9/eCMNLmW5v394ISkNJUS5OQVNEQVE6TVNGVC5JUV9BU1NFVFNfTkVUVElOR19PVEhFUl9BREpVU1RNRU5UUy45OTIuMTEvMDcvMjAyNi4uLlVTRC5IAQAAAEtVAAACAAAABC0yMjcAjAt/a2/f3ggeJJlub9/eCEZDSVEuTkFTREFROk1TRlQuSVFfRklOX0RJVl9NSU5PUklUWV9JTlRfUkVERUVNLjIwMDAuMTEvMDcvMjAyNi4uLlVTRC5IAQAAAEtVAAADAAAAAACMC39rb9/eCB4kmW5v394IOkNJUS5OQVNEQVE6TVNGVC5JUV9BTExPV19ET1VCVF9BQ0NULjk5Mi4xMS8wNy8yMDI2Li4uVVNELkgBAAAAS1UAAAIAAAADMzQ1AQgAAAAFAAAAATEBAAAACjE5NzMzODA5NTEDAAAAAzE2MAIAAAAEMzAxMgQAAAABMAcA</t>
  </si>
  <si>
    <t>AAAJNy8xMS8yMDI2CAAAAAk2LzMwLzIwMTcJAAAAATCMC39rb9/eCB4kmW5v394INUNJUS5OQVNEQVE6TVNGVC5JUV9BUl9VTkJJTExFRC45OTIuMTEvMDcvMjAyNi4uLlVTRC5IAQAAAEtVAAADAAAAAACMC39rb9/eCB4kmW5v394IL0NJUS5OQVNEQVE6TVNGVC5JUV9MSUZPUi45OTIuMTEvMDcvMjAyNi4uLlVTRC5IAQAAAEtVAAADAAAAAACMC39rb9/eCB4kmW5v394INkNJUS5OQVNEQVE6TVNGVC5JUV9GSU5JU0hFRF9JTlYuOTkwLjExLzA3LzIwMjYuLi5VU0QuSAEAAABLVQAAAgAAAAQxNjAwAQgAAAAFAAAAATEBAAAACjE4NTE1MjU5MTIDAAAAAzE2MAIAAAAEMzA3NQQAAAABMAcAAAAJNy8xMS8yMDI2CAAAAAk2LzMwLzIwMTUJAAAAATCMC39rb9/eCEUQmW5v394IPUNJUS5OQVNEQVE6TVNGVC5JUV9UQlZfU0hBUkVfUkVQT1JURUQuMjAwMC4xMS8wNy8yMDI2Li4uVVNELkgBAAAAS1UAAAMAAAAAAIwLf2tv394IRRCZbm/f3ghSQ0lRLk5BU0RBUTpNU0ZULklRX0ZJTkFOQ0lOR19PQkxJR19DVVJSRU5UX0VYQ0xfT1BFUl9MRUFTRVMuOTkxLjExLzA3LzIwMjYuLi5VU0QuSAEAAABLVQAAAgAAAAUxMzIyMwEIAAAABQAAAAExAQAAAAoxODk4NDg5NDcwAwAAAAMxNjACAAAABTQ4OTgwBAAAAAEwBwAAAAk3LzExLzIwMjYIAAAACTYvMzAvMjAxNgkAAAABMIwLf2tv394IRRCZbm/f3gg8Q0lRLk5B</t>
  </si>
  <si>
    <t>U0RBUTpNU0ZULklRX0JWX1NIQVJFX1JFUE9SVEVELjIwMDAuMTEvMDcvMjAyNi4uLlVTRC5IAQAAAEtVAAADAAAAAACMC39rb9/eCEUQmW5v394IPkNJUS5OQVNEQVE6TVNGVC5JUV9BRF9FWENMX09QRVJfTEVBU0VTLjIwMDAuMTEvMDcvMjAyNi4uLlVTRC5IAQAAAEtVAAACAAAABy0xMTE3MjMBCAAAAAUAAAABMQEAAAALLTE4OTMyOTg5OTUDAAAAAzE2MAIAAAAFNDg5NzUEAAAAATAHAAAACTcvMTEvMjAyNggAAAAJMy8zMS8yMDI2CQAAAAEwjAt/a2/f3ggeJJlub9/eCEJDSVEuTkFTREFROk1TRlQuSVFfRklOQU5DRV9MRUFTRVNfTE9OR19URVJNLjk5Mi4xMS8wNy8yMDI2Li4uVVNELkgBAAAAS1UAAAIAAAAEMjQyNQEIAAAABQAAAAExAQAAAAoxOTczMzgwOTUxAwAAAAMxNjACAAAABTQ4OTkxBAAAAAEwBwAAAAk3LzExLzIwMjYIAAAACTYvMzAvMjAxNwkAAAABMIwLf2tv394IwuiYbm/f3gg8Q0lRLk5BU0RBUTpNU0ZULklRX1RPVEFMX0xJQUJfRVFVSVRZLjIwMDAuMTEvMDcvMjAyNi4uLlVTRC5IAQAAAEtVAAACAAAABjY5NDIyOAEIAAAABQAAAAExAQAAAAstMTg5MzI5ODk5NQMAAAADMTYwAgAAAAQxMDEzBAAAAAEwBwAAAAk3LzExLzIwMjYIAAAACTMvMzEvMjAyNgkAAAABMIwLf2tv394IwuiYbm/f3gg/Q0lRLk5BU0RBUTpNU0ZULklRX1JVQV9DQVBJVEFMX0xFQVNFX05FVC45OTAuMTEv</t>
  </si>
  <si>
    <t>MDcvMjAyNi4uLlVTRC5IAQAAAEtVAAADAAAAAACMC39rb9/eCMLomG5v394IR0NJUS5OQVNEQVE6TVNGVC5JUV9SVUFfT1BFUkFUSU5HX0xFQVNFX0FDQ1VNX0RFUC45OTMuMTEvMDcvMjAyNi4uLlVTRC5IAQAAAEtVAAADAAAAAACMC39rb9/eCMLomG5v394IMkNJUS5OQVNEQVE6TVNGVC5JUV9UUkVBU1VSWS45OTEuMTEvMDcvMjAyNi4uLlVTRC5IAQAAAEtVAAADAAAAAACMC39rb9/eCMLomG5v394IOUNJUS5OQVNEQVE6TVNGVC5JUV9GSU5fRElWX0xJQUJfTFQuOTkwLjExLzA3LzIwMjYuLi5VU0QuSAEAAABLVQAAAwAAAAAAjAt/a2/f3gjs1Jhub9/eCDFDSVEuTkFTREFROk1TRlQuSVFfUEVOU0lPTi45OTMuMTEvMDcvMjAyNi4uLlVTRC5IAQAAAEtVAAADAAAAAACMC39rb9/eCOzUmG5v394INUNJUS5OQVNEQVE6TVNGVC5JUV9UT1RBTF9MSUFCLjIwMDAuMTEvMDcvMjAyNi4uLlVTRC5IAQAAAEtVAAACAAAABjI3OTg2MQEIAAAABQAAAAExAQAAAAstMTg5MzI5ODk5NQMAAAADMTYwAgAAAAQxMjc2BAAAAAEwBwAAAAk3LzExLzIwMjYIAAAACTMvMzEvMjAyNgkAAAABMIwLf2tv394IwuiYbm/f3gg2Q0lRLk5BU0RBUTpNU0ZULklRX1BSRUZfQ09OVkVSVC45OTIuMTEvMDcvMjAyNi4uLlVTRC5IAQAAAEtVAAADAAAAAACMC39rb9/eCMLomG5v394IP0NJUS5OQVNEQVE6TVNGVC5JUV9ERUZfVEFY</t>
  </si>
  <si>
    <t>X0xJQUJfQ1VSUkVOVC4yMDAwLjExLzA3LzIwMjYuLi5VU0QuSAEAAABLVQAAAwAAAAAAjAt/a2/f3gjC6Jhub9/eCDlDSVEuTkFTREFROk1TRlQuSVFfT1RIRVJfTFRfQVNTRVRTLjk5MS4xMS8wNy8yMDI2Li4uVVNELkgBAAAAS1UAAAIAAAAEMzE5MAEIAAAABQAAAAExAQAAAAoxODk4NDg5NDcwAwAAAAMxNjACAAAABDEwNjAEAAAAATAHAAAACTcvMTEvMjAyNggAAAAJNi8zMC8yMDE2CQAAAAEwjAt/a2/f3ghorZhub9/eCD1DSVEuTkFTREFROk1TRlQuSVFfQ1VSUkVOVF9QT1JUX0xFQVNFUy45OTAuMTEvMDcvMjAyNi4uLlVTRC5IAQAAAEtVAAADAAAAAACMC39rb9/eCGitmG5v394ILkNJUS5OQVNEQVE6TVNGVC5JUV9HUFBFLjk5My4xMS8wNy8yMDI2Li4uVVNELkgBAAAAS1UAAAIAAAAFNjUzNjkBCAAAAAUAAAABMQEAAAAKMjA0NzI3MTc0NQMAAAADMTYwAgAAAAQxMTY5BAAAAAEwBwAAAAk3LzExLzIwMjYIAAAACTYvMzAvMjAxOAkAAAABMIwLf2tv394IaK2Ybm/f3ggsQ0lRLk5BU0RBUTpNU0ZULklRX0dXLjk5MC4xMS8wNy8yMDI2Li4uVVNELkgBAAAAS1UAAAIAAAAFMTY5MzkBCAAAAAUAAAABMQEAAAAKMTg1MTUyNTkxMgMAAAADMTYwAgAAAAQxMTcxBAAAAAEwBwAAAAk3LzExLzIwMjYIAAAACTYvMzAvMjAxNQkAAAABMIwLf2tv394I7NSYbm/f3gg6Q0lRLk5BU0RBUTpNU0ZULklRX0ZJ</t>
  </si>
  <si>
    <t>Tl9ESVZfTE9BTlNfTFQuOTkzLjExLzA3LzIwMjYuLi5VU0QuSAEAAABLVQAAAwAAAAAAjAt/a2/f3gjs1Jhub9/eCDNDSVEuTkFTREFROk1TRlQuSVFfSU5WRU5UT1JZLjk5MS4xMS8wNy8yMDI2Li4uVVNELkgBAAAAS1UAAAIAAAAEMjI1MQEIAAAABQAAAAExAQAAAAoxODk4NDg5NDcwAwAAAAMxNjACAAAABDEwNDMEAAAAATAHAAAACTcvMTEvMjAyNggAAAAJNi8zMC8yMDE2CQAAAAEwjAt/a2/f3ghorZhub9/eCEFDSVEuTkFTREFROk1TRlQuSVFfRklOX0RJVl9BU1NFVFNfQ1VSUkVOVC4yMDAwLjExLzA3LzIwMjYuLi5VU0QuSAEAAABLVQAAAwAAAAAAjAt/a2/f3ghorZhub9/eCDlDSVEuTkFTREFROk1TRlQuSVFfUkVTVFJJQ1RFRF9DQVNILjk5My4xMS8wNy8yMDI2Li4uVVNELkgBAAAAS1UAAAMAAAAAAIwLf2tv394IaK2Ybm/f3ggzQ0lRLk5BU0RBUTpNU0ZULklRX1NUX0lOVkVTVC45OTMuMTEvMDcvMjAyNi4uLlVTRC5IAQAAAEtVAAACAAAABjEyMTcxOAEIAAAABQAAAAExAQAAAAoyMDQ3MjcxNzQ1AwAAAAMxNjACAAAABDEwNjkEAAAAATAHAAAACTcvMTEvMjAyNggAAAAJNi8zMC8yMDE4CQAAAAEwjAt/a2/f3ghorZhub9/eCDZDSVEuTkFTREFROk1TRlQuSVFfT1RIRVJfUkVDRUlWLjk5MS4xMS8wNy8yMDI2Li4uVVNELkgBAAAAS1UAAAMAAAAAAIwLf2tv394IaK2Ybm/f3ghNQ0lRLk5B</t>
  </si>
  <si>
    <t>U0RBUTpNU0ZULklRX09QRVJBVElOR19MRUFTRV9MSUFCSUxJVElFU19OT05DQVNILjk5MS4xMS8wNy8yMDI2Li4uVVNELkgBAAAAS1UAAAMAAAAAAIwLf2tv394IgJmYbm/f3gg+Q0lRLk5BU0RBUTpNU0ZULklRX0dBSU5fQkFSR0FJTl9BQ1FfQ0YuMjAwMC4xMS8wNy8yMDI2Li4uVVNELkgBAAAAS1UAAAMAAAAAAIwLf2tv394IgJmYbm/f3ghFQ0lRLk5BU0RBUTpNU0ZULklRX0NIQU5HRV9ORVRfV09SS0lOR19DQVBJVEFMLjIwMDAuMTEvMDcvMjAyNi4uLlVTRC5IAQAAAEtVAAACAAAABDQ5MzEBCAAAAAUAAAABMQEAAAALLTE4OTMyOTg5OTUDAAAAAzE2MAIAAAAENDQyMQQAAAABMAcAAAAJNy8xMS8yMDI2CAAAAAkzLzMxLzIwMjYJAAAAATCMC39rb9/eCICZmG5v394INkNJUS5OQVNEQVE6TVNGVC5JUV9ET19JTlZFU1RfQ0YuOTkzLjExLzA3LzIwMjYuLi5VU0QuSAEAAABLVQAAAwAAAAAAjAt/a2/f3giAmZhub9/eCD5DSVEuTkFTREFROk1TRlQuSVFfQ0FTSF9JTlRFUkVTVF9JTlZFU1QuOTkzLjExLzA3LzIwMjYuLi5VU0QuSAEAAABLVQAAAwAAAAAAjAt/a2/f3ghorZhub9/eCDtDSVEuTkFTREFROk1TRlQuSVFfQ0FTSF9UQVhFU19JTlZFU1QuOTkxLjExLzA3LzIwMjYuLi5VU0QuSAEAAABLVQAAAwAAAAAAjAt/a2/f3gi/cZhub9/eCDRDSVEuTkFTREFROk1TRlQuSVFfREVQUkVfU1VQUC45</t>
  </si>
  <si>
    <t>OTMuMTEvMDcvMjAyNi4uLlVTRC5IAQAAAEtVAAACAAAABDc3MDABCAAAAAUAAAABMQEAAAAKMjA0NzI3MTc0NQMAAAADMTYwAgAAAAQyMTQzBAAAAAEwBwAAAAk3LzExLzIwMjYIAAAACTYvMzAvMjAxOAkAAAABMIwLf2tv394Iv3GYbm/f3ghAQ0lRLk5BU0RBUTpNU0ZULklRX0RBX0NGX0VYQ0xfT1BFUl9MRUFTRVMuOTkxLjExLzA3LzIwMjYuLi5VU0QuSAEAAABLVQAAAgAAAAQ1ODc4AQgAAAAFAAAAATEBAAAACjE4OTg0ODk0NzADAAAAAzE2MAIAAAAFNDg5ODUEAAAAATAHAAAACTcvMTEvMjAyNggAAAAJNi8zMC8yMDE2CQAAAAEwjAt/a2/f3gi/cZhub9/eCENDSVEuTkFTREFROk1TRlQuSVFfQU1PUlRfU09GVFdBUkVfQVNTRVRTX0NGLjIwMDAuMTEvMDcvMjAyNi4uLlVTRC5IAQAAAEtVAAADAAAAAACMC39rb9/eCL9xmG5v394IOUNJUS5OQVNEQVE6TVNGVC5JUV9JTlRFUkNPTVBBTllfQ0EuOTkxLjExLzA3LzIwMjYuLi5VU0QuSAEAAABLVQAAAwAAAAAAjAt/a2/f3gi/cZhub9/eCD9DSVEuTkFTREFROk1TRlQuSVFfREVCVF9FUVVJVl9PUEVSX0xFQVNFLjk5MC4xMS8wNy8yMDI2Li4uVVNELkgBAAAAS1UAAAIAAAAENzkxMgEIAAAABQAAAAExAQAAAAoxODUxNTI1OTEyAwAAAAMxNjACAAAABTIxNjcxBAAAAAEwBwAAAAk3LzExLzIwMjYIAAAACTYvMzAvMjAxNQkAAAABMIwLf2tv394IKjaY</t>
  </si>
  <si>
    <t>bm/f3ghHQ0lRLk5BU0RBUTpNU0ZULklRX0NVUlJFTlRfUE9SVF9ERUJUX0RFUklWQVRJVkVTLjk5Mi4xMS8wNy8yMDI2Li4uVVNELkgBAAAAS1UAAAMAAAAAAIwLf2tv394IlF2Ybm/f3ghBQ0lRLk5BU0RBUTpNU0ZULklRX01JTk9SSVRZX0lOVF9SRURFRU1fVE9ULjk5Mi4xMS8wNy8yMDI2Li4uVVNELkgBAAAAS1UAAAMAAAAAAIwLf2tv394IlF2Ybm/f3ghNQ0lRLk5BU0RBUTpNU0ZULklRX0xJUVVJREFUSU9OX1ZBTFVFX1BSRUZFUlJFRF9DT05WRVJULjk5MC4xMS8wNy8yMDI2Li4uVVNELkgBAAAAS1UAAAMAAAAAAIwLf2tv394Iv3GYbm/f3gg4Q0lRLk5BU0RBUTpNU0ZULklRX0FTU0VUU19MRVZFTF8xLjk5Mi4xMS8wNy8yMDI2Li4uVVNELkgBAAAAS1UAAAIAAAAGMTEzMTIxAIwLf2tv394Iv3GYbm/f3ggxQ0lRLk5BU0RBUTpNU0ZULklRX1dJUF9JTlYuOTkzLjExLzA3LzIwMjYuLi5VU0QuSAEAAABLVQAAAgAAAAI1NAEIAAAABQAAAAExAQAAAAoyMDQ3MjcxNzQ1AwAAAAMxNjACAAAABDMyMTkEAAAAATAHAAAACTcvMTEvMjAyNggAAAAJNi8zMC8yMDE4CQAAAAEwjAt/a2/f3ggqNphub9/eCC5DSVEuTkFTREFROk1TRlQuSVFfTEFORC45OTAuMTEvMDcvMjAyNi4uLlVTRC5IAQAAAEtVAAACAAAAAzc2OQEIAAAABQAAAAExAQAAAAoxODUxNTI1OTEyAwAAAAMxNjACAAAABDMwOTgEAAAAATAH</t>
  </si>
  <si>
    <t>AAAACTcvMTEvMjAyNggAAAAJNi8zMC8yMDE1CQAAAAEwjAt/a2/f3ggqNphub9/eCDpDSVEuTkFTREFROk1TRlQuSVFfQUxMT1dfRE9VQlRfQUNDVC45OTMuMTEvMDcvMjAyNi4uLlVTRC5IAQAAAEtVAAACAAAAAzM3NwEIAAAABQAAAAExAQAAAAoyMDQ3MjcxNzQ1AwAAAAMxNjACAAAABDMwMTIEAAAAATAHAAAACTcvMTEvMjAyNggAAAAJNi8zMC8yMDE4CQAAAAEwjAt/a2/f3ggqNphub9/eCDVDSVEuTkFTREFROk1TRlQuSVFfQVJfVU5CSUxMRUQuOTkzLjExLzA3LzIwMjYuLi5VU0QuSAEAAABLVQAAAwAAAAAAjAt/a2/f3ggqNphub9/eCC9DSVEuTkFTREFROk1TRlQuSVFfTElGT1IuOTkzLjExLzA3LzIwMjYuLi5VU0QuSAEAAABLVQAAAwAAAAAAjAt/a2/f3ggqNphub9/eCDNDSVEuTkFTREFROk1TRlQuSVFfVEJWX1NIQVJFLjk5MC4xMS8wNy8yMDI2Li4uVVNELkgBAAAAS1UAAAIAAAAINy4yNjQxMDgBCAAAAAUAAAABMQEAAAAKMTg1MTUyNTkxMgMAAAADMTYwAgAAAAQ0MTU2BAAAAAEwBwAAAAk3LzExLzIwMjYIAAAACTYvMzAvMjAxNQkAAAABMIwLf2tv394IyiGYbm/f3ggtQ0lRLk5BU0RBUTpNU0ZULklRX1RCVi45OTEuMTEvMDcvMjAyNi4uLlVTRC5IAQAAAEtVAAACAAAABTUwMzkyAQgAAAAFAAAAATEBAAAACjE4OTg0ODk0NzADAAAAAzE2MAIAAAAEMTMxMAQAAAABMAcAAAAJNy8xMS8y</t>
  </si>
  <si>
    <t>MDI2CAAAAAk2LzMwLzIwMTYJAAAAATCMC39rb9/eCMohmG5v394IM0NJUS5OQVNEQVE6TVNGVC5JUV9HV19JTlRBTi4yMDAwLjExLzA3LzIwMjYuLi5VU0QuSAEAAABLVQAAAgAAAAYxMzg5ODYBCAAAAAUAAAABMQEAAAALLTE4OTMyOTg5OTUDAAAAAzE2MAIAAAAFMzUzODEEAAAAATAHAAAACTcvMTEvMjAyNggAAAAJMy8zMS8yMDI2CQAAAAEwjAt/a2/f3gjKIZhub9/eCDVDSVEuTkFTREFROk1TRlQuSVFfVE9UQUxfREVCVC4yMDAwLjExLzA3LzIwMjYuLi5VU0QuSAEAAABLVQAAAgAAAAYxMjU0MzIBCAAAAAUAAAABMQEAAAALLTE4OTMyOTg5OTUDAAAAAzE2MAIAAAAENDE3MwQAAAABMAcAAAAJNy8xMS8yMDI2CAAAAAkzLzMxLzIwMjYJAAAAATCMC39rb9/eCCo2mG5v394ITENJUS5OQVNEQVE6TVNGVC5JUV9MVF9QT1JUSU9OX09QRVJfTEVBU0VfTElBQklMSVRJRVMuMjAwMC4xMS8wNy8yMDI2Li4uVVNELkgBAAAAS1UAAAIAAAAFMTY3MDMBCAAAAAUAAAABMQEAAAALLTE4OTMyOTg5OTUDAAAAAzE2MAIAAAAFNDgzODMEAAAAATAHAAAACTcvMTEvMjAyNggAAAAJMy8zMS8yMDI2CQAAAAEwjAt/a2/f3ggqNphub9/eCD9DSVEuTkFTREFROk1TRlQuSVFfUlVBX0NBUElUQUxfTEVBU0VfTkVULjk5MS4xMS8wNy8yMDI2Li4uVVNELkgBAAAAS1UAAAMAAAAAAIwLf2tv394ItAyYbm/f3gg/Q0lRLk5B</t>
  </si>
  <si>
    <t>U0RBUTpNU0ZULklRX05QUEVfRVhDTF9PUEVSX0xFQVNFUy45OTAuMTEvMDcvMjAyNi4uLlVTRC5IAQAAAEtVAAACAAAABTE0NzMxAQgAAAAFAAAAATEBAAAACjE4NTE1MjU5MTIDAAAAAzE2MAIAAAAFNDg5NzYEAAAAATAHAAAACTcvMTEvMjAyNggAAAAJNi8zMC8yMDE1CQAAAAEwjAt/a2/f3gi0DJhub9/eCEJDSVEuTkFTREFROk1TRlQuSVFfRklOQU5DRV9MRUFTRVNfTE9OR19URVJNLjk5My4xMS8wNy8yMDI2Li4uVVNELkgBAAAAS1UAAAIAAAAENDEyNQEIAAAABQAAAAExAQAAAAoyMDQ3MjcxNzQ1AwAAAAMxNjACAAAABTQ4OTkxBAAAAAEwBwAAAAk3LzExLzIwMjYIAAAACTYvMzAvMjAxOAkAAAABMIwLf2tv394ItAyYbm/f3gg7Q0lRLk5BU0RBUTpNU0ZULklRX1RPVEFMX0xJQUJfRVFVSVRZLjk5My4xMS8wNy8yMDI2Li4uVVNELkgBAAAAS1UAAAIAAAAGMjU4ODQ4AQgAAAAFAAAAATEBAAAACjIwNDcyNzE3NDUDAAAAAzE2MAIAAAAEMTAxMwQAAAABMAcAAAAJNy8xMS8yMDI2CAAAAAk2LzMwLzIwMTgJAAAAATCMC39rb9/eCLQMmG5v394INUNJUS5OQVNEQVE6TVNGVC5JUV9QUkVGX1JFREVFTS45OTAuMTEvMDcvMjAyNi4uLlVTRC5IAQAAAEtVAAADAAAAAACMC39rb9/eCMohmG5v394INkNJUS5OQVNEQVE6TVNGVC5JUV9QUkVGX0NPTlZFUlQuOTkzLjExLzA3LzIwMjYuLi5VU0QuSAEAAABL</t>
  </si>
  <si>
    <t>VQAAAwAAAAAAjAt/a2/f3gjv+Jdub9/eCDFDSVEuTkFTREFROk1TRlQuSVFfQ09NTU9OLjIwMDAuMTEvMDcvMjAyNi4uLlVTRC5IAQAAAEtVAAACAAAABjExNTA2OQEIAAAABQAAAAExAQAAAAstMTg5MzI5ODk5NQMAAAADMTYwAgAAAAQxMTAzBAAAAAEwBwAAAAk3LzExLzIwMjYIAAAACTMvMzEvMjAyNgkAAAABMIwLf2tv394I7/iXbm/f3gg5Q0lRLk5BU0RBUTpNU0ZULklRX0ZJTl9ESVZfTElBQl9MVC45OTEuMTEvMDcvMjAyNi4uLlVTRC5IAQAAAEtVAAADAAAAAAC4IH9rb9/eCO/4l25v394IPUNJUS5OQVNEQVE6TVNGVC5JUV9DVVJSRU5UX1BPUlRfTEVBU0VTLjk5MS4xMS8wNy8yMDI2Li4uVVNELkgBAAAAS1UAAAIAAAACMjUBCAAAAAUAAAABMQEAAAAKMTg5ODQ4OTQ3MAMAAAADMTYwAgAAAAQxMDkwBAAAAAEwBwAAAAk3LzExLzIwMjYIAAAACTYvMzAvMjAxNgkAAAABMLggf2tv394I7/iXbm/f3gg+Q0lRLk5BU0RBUTpNU0ZULklRX0RFRl9UQVhfTElBQl9DVVJSRU5ULjk5Mi4xMS8wNy8yMDI2Li4uVVNELkgBAAAAS1UAAAMAAAAAALggf2tv394ItAyYbm/f3gg6Q0lRLk5BU0RBUTpNU0ZULklRX0xPQU5TX1JFQ0VJVl9MVC4yMDAwLjExLzA3LzIwMjYuLi5VU0QuSAEAAABLVQAAAwAAAAAAuCB/a2/f3giS0Zdub9/eCDlDSVEuTkFTREFROk1TRlQuSVFfT1RIRVJfTFRfQVNTRVRTLjk5Mi4x</t>
  </si>
  <si>
    <t>MS8wNy8yMDI2Li4uVVNELkgBAAAAS1UAAAIAAAAENDEyOAEIAAAABQAAAAExAQAAAAoxOTczMzgwOTUxAwAAAAMxNjACAAAABDEwNjAEAAAAATAHAAAACTcvMTEvMjAyNggAAAAJNi8zMC8yMDE3CQAAAAEwuCB/a2/f3giS0Zdub9/eCCxDSVEuTkFTREFROk1TRlQuSVFfR1cuOTkxLjExLzA3LzIwMjYuLi5VU0QuSAEAAABLVQAAAgAAAAUxNzg3MgEIAAAABQAAAAExAQAAAAoxODk4NDg5NDcwAwAAAAMxNjACAAAABDExNzEEAAAAATAHAAAACTcvMTEvMjAyNggAAAAJNi8zMC8yMDE2CQAAAAEwuCB/a2/f3giS0Zdub9/eCDNDSVEuTkFTREFROk1TRlQuSVFfSU5WRU5UT1JZLjk5Mi4xMS8wNy8yMDI2Li4uVVNELkgBAAAAS1UAAAIAAAAEMjE4MQEIAAAABQAAAAExAQAAAAoxOTczMzgwOTUxAwAAAAMxNjACAAAABDEwNDMEAAAAATAHAAAACTcvMTEvMjAyNggAAAAJNi8zMC8yMDE3CQAAAAEwuCB/a2/f3giS0Zdub9/eCDhDSVEuTkFTREFROk1TRlQuSVFfTE9BTlNfRk9SX1NBTEUuOTkwLjExLzA3LzIwMjYuLi5VU0QuSAEAAABLVQAAAwAAAAAAuCB/a2/f3giS0Zdub9/eCD1DSVEuTkFTREFROk1TRlQuSVFfR0FJTl9CQVJHQUlOX0FDUV9DRi45OTIuMTEvMDcvMjAyNi4uLlVTRC5IAQAAAEtVAAADAAAAAAC4IH9rb9/eCM69l25v394IOUNJUS5OQVNEQVE6TVNGVC5JUV9ORVRfREVCVF9JU1NVRUQuOTkw</t>
  </si>
  <si>
    <t>LjExLzA3LzIwMjYuLi5VU0QuSAEAAABLVQAAAgAAAAUxMzY2MQEIAAAABQAAAAExAQAAAAoxODUxNTI1OTEyAwAAAAMxNjACAAAABDIwMDMEAAAAATAHAAAACTcvMTEvMjAyNggAAAAJNi8zMC8yMDE1CQAAAAEwuCB/a2/f3giS0Zdub9/eCE1DSVEuTkFTREFROk1TRlQuSVFfT1BFUkFUSU5HX0xFQVNFX0xJQUJJTElUSUVTX05PTkNBU0guOTkyLjExLzA3LzIwMjYuLi5VU0QuSAEAAABLVQAAAwAAAAAAuCB/a2/f3giS0Zdub9/eCDtDSVEuTkFTREFROk1TRlQuSVFfQ0FTSF9UQVhFU19JTlZFU1QuOTkyLjExLzA3LzIwMjYuLi5VU0QuSAEAAABLVQAAAwAAAAAAuCB/a2/f3giS0Zdub9/eCDVDSVEuTkFTREFROk1TRlQuSVFfTEVWRVJFRF9GQ0YuOTkwLjExLzA3LzIwMjYuLi5VU0QuSAEAAABLVQAAAgAAAAkyMDkyNi4zNzUBCAAAAAUAAAABMQEAAAAKMTg1MTUyNTkxMgMAAAADMTYwAgAAAAQ0NDIyBAAAAAEwBwAAAAk3LzExLzIwMjYIAAAACTYvMzAvMjAxNQkAAAABMLggf2tv394IktGXbm/f3ghFQ0lRLk5BU0RBUTpNU0ZULklRX1NBTEVfUFJPQ0VFRFNfUkVOVEFMX0FTU0VUUy45OTAuMTEvMDcvMjAyNi4uLlVTRC5IAQAAAEtVAAADAAAAAAC4IH9rb9/eCHOWl25v394IQENJUS5OQVNEQVE6TVNGVC5JUV9EQV9DRl9FWENMX09QRVJfTEVBU0VTLjk5Mi4xMS8wNy8yMDI2Li4uVVNELkgBAAAAS1UA</t>
  </si>
  <si>
    <t>AAIAAAAENzgwMAEIAAAABQAAAAExAQAAAAoxOTczMzgwOTUxAwAAAAMxNjACAAAABTQ4OTg1BAAAAAEwBwAAAAk3LzExLzIwMjYIAAAACTYvMzAvMjAxNwkAAAABMLggf2tv394Ic5aXbm/f3gg4Q0lRLk5BU0RBUTpNU0ZULklRX1NQRUNJQUxfRElWX0NGLjk5Mi4xMS8wNy8yMDI2Li4uVVNELkgBAAAAS1UAAAMAAAAAALggf2tv394Izr2Xbm/f3gg4Q0lRLk5BU0RBUTpNU0ZULklRX01JU0NfQURKVVNUX0NGLjk5MC4xMS8wNy8yMDI2Li4uVVNELkgBAAAAS1UAAAMAAAAAALggf2tv394Izr2Xbm/f3gg4Q0lRLk5BU0RBUTpNU0ZULklRX0FDQ1VNX0FNT1JUX0dXLjk5Mi4xMS8wNy8yMDI2Li4uVVNELkgBAAAAS1UAAAMAAAAAALggf2tv394Izr2Xbm/f3gg5Q0lRLk5BU0RBUTpNU0ZULklRX0lOVEVSQ09NUEFOWV9DQS45OTIuMTEvMDcvMjAyNi4uLlVTRC5IAQAAAEtVAAADAAAAAAC4IH9rb9/eCHOWl25v394IPkNJUS5OQVNEQVE6TVNGVC5JUV9MSUFCSUxJVElFU19MRVZFTF8zLjIwMDAuMTEvMDcvMjAyNi4uLlVTRC5IAQAAAEtVAAADAAAAAAC4IH9rb9/eCHOWl25v394IP0NJUS5OQVNEQVE6TVNGVC5JUV9GSU5fRElWX1NUX0RFQlRfVE9UQUwuOTkyLjExLzA3LzIwMjYuLi5VU0QuSAEAAABLVQAAAwAAAAAAuCB/a2/f3ghzlpdub9/eCDxDSVEuTkFTREFROk1TRlQuSVFfREVCVF9FUVVJVl9ORVRf</t>
  </si>
  <si>
    <t>UEJPLjk5My4xMS8wNy8yMDI2Li4uVVNELkgBAAAAS1UAAAMAAAAAALggf2tv394Ic5aXbm/f3ghNQ0lRLk5BU0RBUTpNU0ZULklRX0xJUVVJREFUSU9OX1ZBTFVFX1BSRUZFUlJFRF9DT05WRVJULjk5My4xMS8wNy8yMDI2Li4uVVNELkgBAAAAS1UAAAMAAAAAALggf2tv394Ic5aXbm/f3gg4Q0lRLk5BU0RBUTpNU0ZULklRX0FTU0VUU19MRVZFTF8xLjk5My4xMS8wNy8yMDI2Li4uVVNELkgBAAAAS1UAAAIAAAAGMTA3NTcxALggf2tv394IFIKXbm/f3gg0Q0lRLk5BU0RBUTpNU0ZULklRX0NBU0hfU0hBUkUuOTkwLjExLzA3LzIwMjYuLi5VU0QuSAEAAABLVQAAAgAAAAgwLjY5NzAyMgEIAAAABQAAAAExAQAAAAoxODUxNTI1OTEyAwAAAAMxNjACAAAABDQzODEEAAAAATAHAAAACTcvMTEvMjAyNggAAAAJNi8zMC8yMDE1CQAAAAEwuCB/a2/f3ggUgpdub9/eCDxDSVEuTkFTREFROk1TRlQuSVFfVE9UQUxfREVCVF9DVVJSRU5ULjk5MC4xMS8wNy8yMDI2Li4uVVNELkgBAAAAS1UAAAIAAAAENzU3NgEIAAAABQAAAAExAQAAAAoxODUxNTI1OTEyAwAAAAMxNjACAAAABTI1MjIzBAAAAAEwBwAAAAk3LzExLzIwMjYIAAAACTYvMzAvMjAxNQkAAAABMLggf2tv394IFIKXbm/f3ggyQ0lRLk5BU0RBUTpNU0ZULklRX05FVF9ERUJULjk5MC4xMS8wNy8yMDI2Li4uVVNELkgBAAAAS1UAAAIAAAAGLTYxMDA3AQgA</t>
  </si>
  <si>
    <t>AAAFAAAAATEBAAAACjE4NTE1MjU5MTIDAAAAAzE2MAIAAAAENDM2NAQAAAABMAcAAAAJNy8xMS8yMDI2CAAAAAk2LzMwLzIwMTUJAAAAATC4IH9rb9/eCBSCl25v394IO0NJUS5OQVNEQVE6TVNGVC5JUV9CVl9TSEFSRV9SRVBPUlRFRC45OTMuMTEvMDcvMjAyNi4uLlVTRC5IAQAAAEtVAAADAAAAAAC4IH9rb9/eCHOWl25v394IP0NJUS5OQVNEQVE6TVNGVC5JUV9OUFBFX0VYQ0xfT1BFUl9MRUFTRVMuOTkxLjExLzA3LzIwMjYuLi5VU0QuSAEAAABLVQAAAgAAAAUxODM1NgEIAAAABQAAAAExAQAAAAoxODk4NDg5NDcwAwAAAAMxNjACAAAABTQ4OTc2BAAAAAEwBwAAAAk3LzExLzIwMjYIAAAACTYvMzAvMjAxNgkAAAABMLggf2tv394I3m2Xbm/f3gg7Q0lRLk5BU0RBUTpNU0ZULklRX1RPVEFMX09QRVJfTEVBU0VTLjk5MC4xMS8wNy8yMDI2Li4uVVNELkgBAAAAS1UAAAMAAAAAALggf2tv394I3m2Xbm/f3ggyQ0lRLk5BU0RBUTpNU0ZULklRX1JVQV9ORVQuMjAwMC4xMS8wNy8yMDI2Li4uVVNELkgBAAAAS1UAAAMAAAAAALggf2tv394I3m2Xbm/f3gg/Q0lRLk5BU0RBUTpNU0ZULklRX1JVQV9DQVBJVEFMX0xFQVNFX05FVC45OTIuMTEvMDcvMjAyNi4uLlVTRC5IAQAAAEtVAAADAAAAAAC4IH9rb9/eCN5tl25v394ILkNJUS5OQVNEQVE6TVNGVC5JUV9BUElDLjk5MC4xMS8wNy8yMDI2Li4uVVNELkgB</t>
  </si>
  <si>
    <t>AAAAS1UAAAMAAAAAALggf2tv394I3m2Xbm/f3gg7Q0lRLk5BU0RBUTpNU0ZULklRX01JTk9SSVRZX0lOVEVSRVNULjk5MS4xMS8wNy8yMDI2Li4uVVNELkgBAAAAS1UAAAMAAAAAALggf2tv394I6RuXbm/f3gg5Q0lRLk5BU0RBUTpNU0ZULklRX0ZJTl9ESVZfTElBQl9MVC45OTIuMTEvMDcvMjAyNi4uLlVTRC5IAQAAAEtVAAADAAAAAAC4IH9rb9/eCG5Yl25v394INUNJUS5OQVNEQVE6TVNGVC5JUV9QUkVGX1JFREVFTS45OTEuMTEvMDcvMjAyNi4uLlVTRC5IAQAAAEtVAAADAAAAAAC4IH9rb9/eCG5Yl25v394IPkNJUS5OQVNEQVE6TVNGVC5JUV9ERUZfVEFYX0xJQUJfQ1VSUkVOVC45OTMuMTEvMDcvMjAyNi4uLlVTRC5IAQAAAEtVAAADAAAAAAC4IH9rb9/eCG5Yl25v394IMkNJUS5OQVNEQVE6TVNGVC5JUV9MVF9ERUJULjIwMDAuMTEvMDcvMjAyNi4uLlVTRC5IAQAAAEtVAAACAAAABTMxNDIzAQgAAAAFAAAAATEBAAAACy0xODkzMjk4OTk1AwAAAAMxNjACAAAABDEwNDkEAAAAATAHAAAACTcvMTEvMjAyNggAAAAJMy8zMS8yMDI2CQAAAAEwuCB/a2/f3ghuWJdub9/eCDtDSVEuTkFTREFROk1TRlQuSVFfREVGX1RBWF9BU1NFVFNfTFQuOTkxLjExLzA3LzIwMjYuLi5VU0QuSAEAAABLVQAAAgAAAAMyMTkBCAAAAAUAAAABMQEAAAAKMTg5ODQ4OTQ3MAMAAAADMTYwAgAAAAQxMDI2BAAAAAEwBwAA</t>
  </si>
  <si>
    <t>AAk3LzExLzIwMjYIAAAACTYvMzAvMjAxNgkAAAABMLggf2tv394I6RuXbm/f3gg5Q0lRLk5BU0RBUTpNU0ZULklRX09USEVSX0xUX0FTU0VUUy45OTMuMTEvMDcvMjAyNi4uLlVTRC5IAQAAAEtVAAACAAAABDQyNzMBCAAAAAUAAAABMQEAAAAKMjA0NzI3MTc0NQMAAAADMTYwAgAAAAQxMDYwBAAAAAEwBwAAAAk3LzExLzIwMjYIAAAACTYvMzAvMjAxOAkAAAABMLggf2tv394I6RuXbm/f3ggtQ0lRLk5BU0RBUTpNU0ZULklRX0FFLjIwMDAuMTEvMDcvMjAyNi4uLlVTRC5IAQAAAEtVAAACAAAABTExMjcwAQgAAAAFAAAAATEBAAAACy0xODkzMjk4OTk1AwAAAAMxNjACAAAABDEwMTYEAAAAATAHAAAACTcvMTEvMjAyNggAAAAJMy8zMS8yMDI2CQAAAAEwuCB/a2/f3gjpG5dub9/eCC1DSVEuTkFTREFROk1TRlQuSVFfQUQuMjAwMC4xMS8wNy8yMDI2Li4uVVNELkgBAAAAS1UAAAIAAAAHLTExMTcyMwEIAAAABQAAAAExAQAAAAstMTg5MzI5ODk5NQMAAAADMTYwAgAAAAQxMDc1BAAAAAEwBwAAAAk3LzExLzIwMjYIAAAACTMvMzEvMjAyNgkAAAABMLggf2tv394I6RuXbm/f3ggsQ0lRLk5BU0RBUTpNU0ZULklRX0dXLjk5Mi4xMS8wNy8yMDI2Li4uVVNELkgBAAAAS1UAAAIAAAAFMzUxMjIBCAAAAAUAAAABMQEAAAAKMTk3MzM4MDk1MQMAAAADMTYwAgAAAAQxMTcxBAAAAAEwBwAAAAk3LzExLzIwMjYIAAAA</t>
  </si>
  <si>
    <t>CTYvMzAvMjAxNwkAAAABMLggf2tv394I6RuXbm/f3ggzQ0lRLk5BU0RBUTpNU0ZULklRX0lOVkVOVE9SWS45OTMuMTEvMDcvMjAyNi4uLlVTRC5IAQAAAEtVAAACAAAABDI2NjIBCAAAAAUAAAABMQEAAAAKMjA0NzI3MTc0NQMAAAADMTYwAgAAAAQxMDQzBAAAAAEwBwAAAAk3LzExLzIwMjYIAAAACTYvMzAvMjAxOAkAAAABMLggf2tv394I6RuXbm/f3gg4Q0lRLk5BU0RBUTpNU0ZULklRX0xPQU5TX0ZPUl9TQUxFLjk5MS4xMS8wNy8yMDI2Li4uVVNELkgBAAAAS1UAAAMAAAAAALggf2tv394I6RuXbm/f3gg5Q0lRLk5BU0RBUTpNU0ZULklRX09USEVSX0NBX1NVUFBMLjIwMDAuMTEvMDcvMjAyNi4uLlVTRC5IAQAAAEtVAAACAAAABTE4MDQxAQgAAAAFAAAAATEBAAAACy0xODkzMjk4OTk1AwAAAAMxNjACAAAABDEwNTUEAAAAATAHAAAACTcvMTEvMjAyNggAAAAJMy8zMS8yMDI2CQAAAAEwuCB/a2/f3gjpG5dub9/eCDlDSVEuTkFTREFROk1TRlQuSVFfVFJBRElOR19BU1NFVFMuMjAwMC4xMS8wNy8yMDI2Li4uVVNELkgBAAAAS1UAAAMAAAAAALggf2tv394I6RuXbm/f3gg4Q0lRLk5BU0RBUTpNU0ZULklRX0RPX0ZJTkFOQ0VfQ0YuMjAwMC4xMS8wNy8yMDI2Li4uVVNELkgBAAAAS1UAAAMAAAAAALggf2tv394I6RuXbm/f3gg9Q0lRLk5BU0RBUTpNU0ZULklRX0dBSU5fQkFSR0FJTl9BQ1FfQ0YuOTkz</t>
  </si>
  <si>
    <t>LjExLzA3LzIwMjYuLi5VU0QuSAEAAABLVQAAAwAAAAAAuCB/a2/f3ggp85Zub9/eCERDSVEuTkFTREFROk1TRlQuSVFfQ0hBTkdFX05FVF9XT1JLSU5HX0NBUElUQUwuOTkzLjExLzA3LzIwMjYuLi5VU0QuSAEAAABLVQAAAgAAAAUtMjYyNAEIAAAABQAAAAExAQAAAAoyMDQ3MjcxNzQ1AwAAAAMxNjACAAAABDQ0MjEEAAAAATAHAAAACTcvMTEvMjAyNggAAAAJNi8zMC8yMDE4CQAAAAEwuCB/a2/f3giiB5dub9/eCDlDSVEuTkFTREFROk1TRlQuSVFfTkVUX0RFQlRfSVNTVUVELjk5MS4xMS8wNy8yMDI2Li4uVVNELkgBAAAAS1UAAAIAAAAFMTgyODMBCAAAAAUAAAABMQEAAAAKMTg5ODQ4OTQ3MAMAAAADMTYwAgAAAAQyMDAzBAAAAAEwBwAAAAk3LzExLzIwMjYIAAAACTYvMzAvMjAxNgkAAAABMLggf2tv394IogeXbm/f3ghAQ0lRLk5BU0RBUTpNU0ZULklRX0NBU0hfSU5URVJFU1RfUkVDRUlWRUQuOTkxLjExLzA3LzIwMjYuLi5VU0QuSAEAAABLVQAAAwAAAAAAuCB/a2/f3giiB5dub9/eCD5DSVEuTkFTREFROk1TRlQuSVFfQ0FTSF9JTlRFUkVTVF9GSU5BTi4yMDAwLjExLzA3LzIwMjYuLi5VU0QuSAEAAABLVQAAAwAAAAAAuCB/a2/f3gjpG5dub9/eCDtDSVEuTkFTREFROk1TRlQuSVFfQ0FTSF9UQVhFU19JTlZFU1QuOTkzLjExLzA3LzIwMjYuLi5VU0QuSAEAAABLVQAAAwAAAAAAuCB/a2/f3ghe</t>
  </si>
  <si>
    <t>35Zub9/eCDJDSVEuTkFTREFROk1TRlQuSVFfR1JPU1NfR1cuOTkwLjExLzA3LzIwMjYuLi5VU0QuSAEAAABLVQAAAwAAAAAAuCB/a2/f3ghe35Zub9/eCDlDSVEuTkFTREFROk1TRlQuSVFfSU5URVJDT01QQU5ZX0NBLjk5My4xMS8wNy8yMDI2Li4uVVNELkgBAAAAS1UAAAMAAAAAALggf2tv394IKfOWbm/f3gg/Q0lRLk5BU0RBUTpNU0ZULklRX1JFU1RSSUNURURfQ0FTSF9UT1RBTC45OTAuMTEvMDcvMjAyNi4uLlVTRC5IAQAAAEtVAAADAAAAAAC4IH9rb9/eCCnzlm5v394IQ0NJUS5OQVNEQVE6TVNGVC5JUV9ERVJJVkFUSVZFX1RSQURJTkdfQVNTRVRTLjk5MC4xMS8wNy8yMDI2Li4uVVNELkgBAAAAS1UAAAMAAAAAALggf2tv394IKfOWbm/f3ghPQ0lRLk5BU0RBUTpNU0ZULklRX0xJQUJJTElUSUVTX05FVFRJTkdfT1RIRVJfQURKVVNUTUVOVFMuOTkwLjExLzA3LzIwMjYuLi5VU0QuSAEAAABLVQAAAgAAAAQtMTYxALggf2tv394I+LeWbm/f3ghFQ0lRLk5BU0RBUTpNU0ZULklRX0RFRl9UQVhfVkFMVUFUSU9OX0FMTE9XQU5DRS45OTAuMTEvMDcvMjAyNi4uLlVTRC5IAQAAAEtVAAACAAAABDIyNjUBCAAAAAUAAAABMQEAAAAKMTg1MTUyNTkxMgMAAAADMTYwAgAAAAU0NjA0NQQAAAABMAcAAAAJNy8xMS8yMDI2CAAAAAk2LzMwLzIwMTUJAAAAATC4IH9rb9/eCPi3lm5v394INENJUS5OQVNEQVE6</t>
  </si>
  <si>
    <t>TVNGVC5JUV9CVUlMRElOR1MuMjAwMC4xMS8wNy8yMDI2Li4uVVNELkgBAAAAS1UAAAIAAAAGMTcyMjYwAQgAAAAFAAAAATEBAAAACy0xODkzMjk4OTk1AwAAAAMxNjACAAAABDMwMjMEAAAAATAHAAAACTcvMTEvMjAyNggAAAAJMy8zMS8yMDI2CQAAAAEwuCB/a2/f3gj4t5Zub9/eCDNDSVEuTkFTREFROk1TRlQuSVFfU09GVFdBUkUuMjAwMC4xMS8wNy8yMDI2Li4uVVNELkgBAAAAS1UAAAMAAAAAALggf2tv394IXt+Wbm/f3ggyQ0lRLk5BU0RBUTpNU0ZULklRX05FVF9ERUJULjk5MS4xMS8wNy8yMDI2Li4uVVNELkgBAAAAS1UAAAIAAAAGLTU4NTAwAQgAAAAFAAAAATEBAAAACjE4OTg0ODk0NzADAAAAAzE2MAIAAAAENDM2NAQAAAABMAcAAAAJNy8xMS8yMDI2CAAAAAk2LzMwLzIwMTYJAAAAATC4IH9rb9/eCF7flm5v394IM0NJUS5OQVNEQVE6TVNGVC5JUV9UT1RBTF9DQVAuOTkxLjExLzA3LzIwMjYuLi5VU0QuSAEAAABLVQAAAgAAAAYxMjY1MzgBCAAAAAUAAAABMQEAAAAKMTg5ODQ4OTQ3MAMAAAADMTYwAgAAAAQ0MTc1BAAAAAEwBwAAAAk3LzExLzIwMjYIAAAACTYvMzAvMjAxNgkAAAABMLggf2tv394I+LeWbm/f3gg0Q0lRLk5BU0RBUTpNU0ZULklRX0NBU0hfU0hBUkUuOTkxLjExLzA3LzIwMjYuLi5VU0QuSAEAAABLVQAAAgAAAAcwLjgzMzc2AQgAAAAFAAAAATEBAAAACjE4OTg0ODk0NzAD</t>
  </si>
  <si>
    <t>AAAAAzE2MAIAAAAENDM4MQQAAAABMAcAAAAJNy8xMS8yMDI2CAAAAAk2LzMwLzIwMTYJAAAAATC4IH9rb9/eCPi3lm5v394IPENJUS5OQVNEQVE6TVNGVC5JUV9UT1RBTF9ERUJUX0NVUlJFTlQuOTkxLjExLzA3LzIwMjYuLi5VU0QuSAEAAABLVQAAAgAAAAUxMzIyMwEIAAAABQAAAAExAQAAAAoxODk4NDg5NDcwAwAAAAMxNjACAAAABTI1MjIzBAAAAAEwBwAAAAk3LzExLzIwMjYIAAAACTYvMzAvMjAxNgkAAAABMLggf2tv394I+LeWbm/f3ghLQ0lRLk5BU0RBUTpNU0ZULklRX0xUX1BPUlRJT05fT1BFUl9MRUFTRV9MSUFCSUxJVElFUy45OTMuMTEvMDcvMjAyNi4uLlVTRC5IAQAAAEtVAAACAAAABDU1NjgBCAAAAAUAAAABMQEAAAAKMjA0NzI3MTc0NQMAAAADMTYwAgAAAAU0ODM4MwQAAAABMAcAAAAJNy8xMS8yMDI2CAAAAAk2LzMwLzIwMTgJAAAAATC4IH9rb9/eCPi3lm5v394IP0NJUS5OQVNEQVE6TVNGVC5JUV9SVUFfQ0FQSVRBTF9MRUFTRV9ORVQuOTkzLjExLzA3LzIwMjYuLi5VU0QuSAEAAABLVQAAAwAAAAAAuCB/a2/f3gj4t5Zub9/eCEJDSVEuTkFTREFROk1TRlQuSVFfUlVBX09QRVJBVElOR19MRUFTRV9ORVQuMjAwMC4xMS8wNy8yMDI2Li4uVVNELkgBAAAAS1UAAAMAAAAAALggf2tv394IMKSWbm/f3gg/Q0lRLk5BU0RBUTpNU0ZULklRX05QUEVfRVhDTF9PUEVSX0xFQVNFUy45OTIu</t>
  </si>
  <si>
    <t>MTEvMDcvMjAyNi4uLlVTRC5IAQAAAEtVAAACAAAABTIzNzM0AQgAAAAFAAAAATEBAAAACjE5NzMzODA5NTEDAAAAAzE2MAIAAAAFNDg5NzYEAAAAATAHAAAACTcvMTEvMjAyNggAAAAJNi8zMC8yMDE3CQAAAAEwuCB/a2/f3ggwpJZub9/eCDtDSVEuTkFTREFROk1TRlQuSVFfTUlOT1JJVFlfSU5URVJFU1QuOTkyLjExLzA3LzIwMjYuLi5VU0QuSAEAAABLVQAAAwAAAAAAuCB/a2/f3ggwpJZub9/eCEFDSVEuTkFTREFROk1TRlQuSVFfUlVBX0NBUElUQUxfTEVBU0VfR1JPU1MuOTkxLjExLzA3LzIwMjYuLi5VU0QuSAEAAABLVQAAAwAAAAAAuCB/a2/f3ggwpJZub9/eCDVDSVEuTkFTREFROk1TRlQuSVFfUFJFRl9SRURFRU0uOTkyLjExLzA3LzIwMjYuLi5VU0QuSAEAAABLVQAAAwAAAAAAojV/a2/f3ggwpJZub9/eCDBDSVEuTkFTREFROk1TRlQuSVFfQ09NTU9OLjk5My4xMS8wNy8yMDI2Li4uVVNELkgBAAAAS1UAAAIAAAAFNzEyMjMBCAAAAAUAAAABMQEAAAAKMjA0NzI3MTc0NQMAAAADMTYwAgAAAAQxMTAzBAAAAAEwBwAAAAk3LzExLzIwMjYIAAAACTYvMzAvMjAxOAkAAAABMKI1f2tv394IyHyWbm/f3gg6Q0lRLk5BU0RBUTpNU0ZULklRX0xPTkdfVEVSTV9MRUFTRVMuOTkwLjExLzA3LzIwMjYuLi5VU0QuSAEAAABLVQAAAwAAAAAAojV/a2/f3gjIfJZub9/eCDlDSVEuTkFTREFROk1TRlQuSVFf</t>
  </si>
  <si>
    <t>RklOX0RJVl9MSUFCX0xULjk5My4xMS8wNy8yMDI2Li4uVVNELkgBAAAAS1UAAAMAAAAAAKI1f2tv394IyHyWbm/f3gg6Q0lRLk5BU0RBUTpNU0ZULklRX0RFRl9UQVhfTElBQl9MVC4yMDAwLjExLzA3LzIwMjYuLi5VU0QuSAEAAABLVQAAAgAAAAQyODk5AQgAAAAFAAAAATEBAAAACy0xODkzMjk4OTk1AwAAAAMxNjACAAAABDEwMjcEAAAAATAHAAAACTcvMTEvMjAyNggAAAAJMy8zMS8yMDI2CQAAAAEwojV/a2/f3gjIfJZub9/eCDFDSVEuTkFTREFROk1TRlQuSVFfU1RfREVCVC45OTAuMTEvMDcvMjAyNi4uLlVTRC5IAQAAAEtVAAACAAAABDUwNzcBCAAAAAUAAAABMQEAAAAKMTg1MTUyNTkxMgMAAAADMTYwAgAAAAQxMDQ2BAAAAAEwBwAAAAk3LzExLzIwMjYIAAAACTYvMzAvMjAxNQkAAAABMKI1f2tv394IyHyWbm/f3gg9Q0lRLk5BU0RBUTpNU0ZULklRX0lOQ19UQVhfUEFZX0NVUlJFTlQuOTkxLjExLzA3LzIwMjYuLi5VU0QuSAEAAABLVQAAAgAAAAM1ODABCAAAAAUAAAABMQEAAAAKMTg5ODQ4OTQ3MAMAAAADMTYwAgAAAAQxMDk0BAAAAAEwBwAAAAk3LzExLzIwMjYIAAAACTYvMzAvMjAxNgkAAAABMKI1f2tv394IAWmWbm/f3gg8Q0lRLk5BU0RBUTpNU0ZULklRX0ZJTl9ESVZfQVNTRVRTX0xULjIwMDAuMTEvMDcvMjAyNi4uLlVTRC5IAQAAAEtVAAADAAAAAACiNX9rb9/eCAFplm5v394IO0NJ</t>
  </si>
  <si>
    <t>US5OQVNEQVE6TVNGVC5JUV9ERUZfVEFYX0FTU0VUU19MVC45OTIuMTEvMDcvMjAyNi4uLlVTRC5IAQAAAEtVAAACAAAAAzI0OAEIAAAABQAAAAExAQAAAAoxOTczMzgwOTUxAwAAAAMxNjACAAAABDEwMjYEAAAAATAHAAAACTcvMTEvMjAyNggAAAAJNi8zMC8yMDE3CQAAAAEwojV/a2/f3gjIfJZub9/eCDhDSVEuTkFTREFROk1TRlQuSVFfT1RIRVJfQ0FfU1VQUEwuOTkyLjExLzA3LzIwMjYuLi5VU0QuSAEAAABLVQAAAgAAAAQ1MTgzAQgAAAAFAAAAATEBAAAACjE5NzMzODA5NTEDAAAAAzE2MAIAAAAEMTA1NQQAAAABMAcAAAAJNy8xMS8yMDI2CAAAAAk2LzMwLzIwMTcJAAAAATCiNX9rb9/eCMh8lm5v394ILkNJUS5OQVNEQVE6TVNGVC5JUV9OUFBFLjk5MC4xMS8wNy8yMDI2Li4uVVNELkgBAAAAS1UAAAIAAAAFMTQ3MzEBCAAAAAUAAAABMQEAAAAKMTg1MTUyNTkxMgMAAAADMTYwAgAAAAQxMDA0BAAAAAEwBwAAAAk3LzExLzIwMjYIAAAACTYvMzAvMjAxNQkAAAABMKI1f2tv394IyHyWbm/f3ggsQ0lRLk5BU0RBUTpNU0ZULklRX0dXLjk5My4xMS8wNy8yMDI2Li4uVVNELkgBAAAAS1UAAAIAAAAFMzU2ODMBCAAAAAUAAAABMQEAAAAKMjA0NzI3MTc0NQMAAAADMTYwAgAAAAQxMTcxBAAAAAEwBwAAAAk3LzExLzIwMjYIAAAACTYvMzAvMjAxOAkAAAABMKI1f2tv394IjEGWbm/f3gg4Q0lRLk5BU0RB</t>
  </si>
  <si>
    <t>UTpNU0ZULklRX1NUX05PVEVfUkVDRUlWLjk5MC4xMS8wNy8yMDI2Li4uVVNELkgBAAAAS1UAAAMAAAAAAKI1f2tv394IjEGWbm/f3gg4Q0lRLk5BU0RBUTpNU0ZULklRX0xPQU5TX0ZPUl9TQUxFLjk5Mi4xMS8wNy8yMDI2Li4uVVNELkgBAAAAS1UAAAMAAAAAAKI1f2tv394IjEGWbm/f3gg4Q0lRLk5BU0RBUTpNU0ZULklRX0NBU0hfU1RfSU5WRVNULjk5MC4xMS8wNy8yMDI2Li4uVVNELkgBAAAAS1UAAAIAAAAFOTYzOTEBCAAAAAUAAAABMQEAAAAKMTg1MTUyNTkxMgMAAAADMTYwAgAAAAQxMDAyBAAAAAEwBwAAAAk3LzExLzIwMjYIAAAACTYvMzAvMjAxNQkAAAABMKI1f2tv394IAWmWbm/f3ggyQ0lRLk5BU0RBUTpNU0ZULklRX0dST1NTX0dXLjk5My4xMS8wNy8yMDI2Li4uVVNELkgBAAAAS1UAAAMAAAAAAKI1f2tv394IAWmWbm/f3gg8Q0lRLk5BU0RBUTpNU0ZULklRX0RFQlRfRVFVSVZfTkVUX1BCTy45OTAuMTEvMDcvMjAyNi4uLlVTRC5IAQAAAEtVAAADAAAAAACiNX9rb9/eCIxBlm5v394IP0NJUS5OQVNEQVE6TVNGVC5JUV9SRVNUUklDVEVEX0NBU0hfVE9UQUwuOTkxLjExLzA3LzIwMjYuLi5VU0QuSAEAAABLVQAAAwAAAAAAojV/a2/f3giMQZZub9/eCD1DSVEuTkFTREFROk1TRlQuSVFfU1RfREVCVF9ERVJJVkFUSVZFUy45OTIuMTEvMDcvMjAyNi4uLlVTRC5IAQAAAEtVAAADAAAAAACi</t>
  </si>
  <si>
    <t>NX9rb9/eCIxBlm5v394IOENJUS5OQVNEQVE6TVNGVC5JUV9BU1NFVFNfTEVWRUxfMy45OTEuMTEvMDcvMjAyNi4uLlVTRC5IAQAAAEtVAAACAAAAAjE5AKI1f2tv394IjEGWbm/f3gg8Q0lRLk5BU0RBUTpNU0ZULklRX0FTU0VUU19GQUlSX1ZBTFVFLjIwMDAuMTEvMDcvMjAyNi4uLlVTRC5IAQAAAEtVAAACAAAABTc5NzQxAKI1f2tv394IjEGWbm/f3ghPQ0lRLk5BU0RBUTpNU0ZULklRX0xJQUJJTElUSUVTX05FVFRJTkdfT1RIRVJfQURKVVNUTUVOVFMuOTkxLjExLzA3LzIwMjYuLi5VU0QuSAEAAABLVQAAAgAAAAQtMzk4AKI1f2tv394I0ReWbm/f3gg/Q0lRLk5BU0RBUTpNU0ZULklRX0xFQVNFSE9MRF9JTVBST1ZFTUVOVC45OTAuMTEvMDcvMjAyNi4uLlVTRC5IAQAAAEtVAAACAAAABDM1NzcBCAAAAAUAAAABMQEAAAAKMTg1MTUyNTkxMgMAAAADMTYwAgAAAAQzMTAwBAAAAAEwBwAAAAk3LzExLzIwMjYIAAAACTYvMzAvMjAxNQkAAAABMKI1f2tv394IayyWbm/f3ghFQ0lRLk5BU0RBUTpNU0ZULklRX0RFRl9UQVhfVkFMVUFUSU9OX0FMTE9XQU5DRS45OTEuMTEvMDcvMjAyNi4uLlVTRC5IAQAAAEtVAAACAAAABDQ3MjkBCAAAAAUAAAABMQEAAAAKMTg5ODQ4OTQ3MAMAAAADMTYwAgAAAAU0NjA0NQQAAAABMAcAAAAJNy8xMS8yMDI2CAAAAAk2LzMwLzIwMTYJAAAAATCiNX9rb9/eCGsslm5v394I</t>
  </si>
  <si>
    <t>M0NJUS5OQVNEQVE6TVNGVC5JUV9NQUNISU5FUlkuOTkxLjExLzA3LzIwMjYuLi5VU0QuSAEAAABLVQAAAgAAAAUyMTI4MAEIAAAABQAAAAExAQAAAAoxODk4NDg5NDcwAwAAAAMxNjACAAAABDMxMTQEAAAAATAHAAAACTcvMTEvMjAyNggAAAAJNi8zMC8yMDE2CQAAAAEwojV/a2/f3ghrLJZub9/eCEBDSVEuTkFTREFROk1TRlQuSVFfTkFUVVJBTF9SRVNPVVJDRVNfQ09TVC45OTAuMTEvMDcvMjAyNi4uLlVTRC5IAQAAAEtVAAADAAAAAACiNX9rb9/eCGsslm5v394IPENJUS5OQVNEQVE6TVNGVC5JUV9UT1RBTF9ERUJUX0NVUlJFTlQuOTkyLjExLzA3LzIwMjYuLi5VU0QuSAEAAABLVQAAAgAAAAUxMTY1NwEIAAAABQAAAAExAQAAAAoxOTczMzgwOTUxAwAAAAMxNjACAAAABTI1MjIzBAAAAAEwBwAAAAk3LzExLzIwMjYIAAAACTYvMzAvMjAxNwkAAAABMKI1f2tv394IYQKWbm/f3ggyQ0lRLk5BU0RBUTpNU0ZULklRX05FVF9ERUJULjk5Mi4xMS8wNy8yMDI2Li4uVVNELkgBAAAAS1UAAAIAAAAGLTM3Mzc0AQgAAAAFAAAAATEBAAAACjE5NzMzODA5NTEDAAAAAzE2MAIAAAAENDM2NAQAAAABMAcAAAAJNy8xMS8yMDI2CAAAAAk2LzMwLzIwMTcJAAAAATCiNX9rb9/eCGEClm5v394IM0NJUS5OQVNEQVE6TVNGVC5JUV9UT1RBTF9DQVAuOTkyLjExLzA3LzIwMjYuLi5VU0QuSAEAAABLVQAAAgAAAAYxODMy</t>
  </si>
  <si>
    <t>MzgBCAAAAAUAAAABMQEAAAAKMTk3MzM4MDk1MQMAAAADMTYwAgAAAAQ0MTc1BAAAAAEwBwAAAAk3LzExLzIwMjYIAAAACTYvMzAvMjAxNwkAAAABMKI1f2tv394I0ReWbm/f3gg5Q0lRLk5BU0RBUTpNU0ZULklRX05FVF9XT1JLSU5HX0NBUC45OTIuMTEvMDcvMjAyNi4uLlVTRC5IAQAAAEtVAAACAAAABi0xNDI5MwEIAAAABQAAAAExAQAAAAoxOTczMzgwOTUxAwAAAAMxNjACAAAABDEzMTEEAAAAATAHAAAACTcvMTEvMjAyNggAAAAJNi8zMC8yMDE3CQAAAAEwojV/a2/f3gjRF5Zub9/eCEBDSVEuTkFTREFROk1TRlQuSVFfVE9UQUxfREVCVF9FWENMX0xFQVNFUy45OTEuMTEvMDcvMjAyNi4uLlVTRC5IAQAAAEtVAAACAAAABTUzNzU1AQgAAAAFAAAAATEBAAAACjE4OTg0ODk0NzADAAAAAzE2MAIAAAAFNDg5OTIEAAAAATAHAAAACTcvMTEvMjAyNggAAAAJNi8zMC8yMDE2CQAAAAEwojV/a2/f3gjRF5Zub9/eCD9DSVEuTkFTREFROk1TRlQuSVFfVE9UQUxfRklOQU5DRV9MRUFTRVMuMjAwMC4xMS8wNy8yMDI2Li4uVVNELkgBAAAAS1UAAAIAAAAFNjI5MzIBCAAAAAUAAAABMQEAAAALLTE4OTMyOTg5OTUDAAAAAzE2MAIAAAAFNDkwMzEEAAAAATAHAAAACTcvMTEvMjAyNggAAAAJMy8zMS8yMDI2CQAAAAEwojV/a2/f3ggR6pVub9/eCEFDSVEuTkFTREFROk1TRlQuSVFfUlVBX0NBUElUQUxfTEVBU0Vf</t>
  </si>
  <si>
    <t>R1JPU1MuOTkyLjExLzA3LzIwMjYuLi5VU0QuSAEAAABLVQAAAwAAAAAAojV/a2/f3ggR6pVub9/eCD9DSVEuTkFTREFROk1TRlQuSVFfR1BQRV9FWENMX09QRVJfTEVBU0VTLjk5MC4xMS8wNy8yMDI2Li4uVVNELkgBAAAAS1UAAAIAAAAFMzIzMzcBCAAAAAUAAAABMQEAAAAKMTg1MTUyNTkxMgMAAAADMTYwAgAAAAU0ODk3NAQAAAABMAcAAAAJNy8xMS8yMDI2CAAAAAk2LzMwLzIwMTUJAAAAATCiNX9rb9/eCBHqlW5v394INkNJUS5OQVNEQVE6TVNGVC5JUV9PVEhFUl9FUVVJVFkuOTkwLjExLzA3LzIwMjYuLi5VU0QuSAEAAABLVQAAAgAAAAQyNTIyAQgAAAAFAAAAATEBAAAACjE4NTE1MjU5MTIDAAAAAzE2MAIAAAAEMTAyOAQAAAABMAcAAAAJNy8xMS8yMDI2CAAAAAk2LzMwLzIwMTUJAAAAATCiNX9rb9/eCGEClm5v394IO0NJUS5OQVNEQVE6TVNGVC5JUV9NSU5PUklUWV9JTlRFUkVTVC45OTMuMTEvMDcvMjAyNi4uLlVTRC5IAQAAAEtVAAADAAAAAACiNX9rb9/eCGEClm5v394INENJUS5OQVNEQVE6TVNGVC5JUV9SVUFfR1JPU1MuMjAwMC4xMS8wNy8yMDI2Li4uVVNELkgBAAAAS1UAAAMAAAAAAKI1f2tv394IttWVbm/f3gg3Q0lRLk5BU0RBUTpNU0ZULklRX09USEVSX0xJQUJfTFQuOTkwLjExLzA3LzIwMjYuLi5VU0QuSAEAAABLVQAAAgAAAAUxMzU0NAEIAAAABQAAAAExAQAAAAoxODUxNTI1</t>
  </si>
  <si>
    <t>OTEyAwAAAAMxNjACAAAABDEwNjIEAAAAATAHAAAACTcvMTEvMjAyNggAAAAJNi8zMC8yMDE1CQAAAAEwojV/a2/f3gi21ZVub9/eCDVDSVEuTkFTREFROk1TRlQuSVFfUFJFRl9PVEhFUi4yMDAwLjExLzA3LzIwMjYuLi5VU0QuSAEAAABLVQAAAwAAAAAAojV/a2/f3gi21ZVub9/eCDpDSVEuTkFTREFROk1TRlQuSVFfTE9OR19URVJNX0xFQVNFUy45OTEuMTEvMDcvMjAyNi4uLlVTRC5IAQAAAEtVAAACAAAAAzc2MQEIAAAABQAAAAExAQAAAAoxODk4NDg5NDcwAwAAAAMxNjACAAAABDExODMEAAAAATAHAAAACTcvMTEvMjAyNggAAAAJNi8zMC8yMDE2CQAAAAEwojV/a2/f3gi21ZVub9/eCDdDSVEuTkFTREFROk1TRlQuSVFfVE9UQUxfQVNTRVRTLjIwMDAuMTEvMDcvMjAyNi4uLlVTRC5IAQAAAEtVAAACAAAABjY5NDIyOAEIAAAABQAAAAExAQAAAAstMTg5MzI5ODk5NQMAAAADMTYwAgAAAAQxMDA3BAAAAAEwBwAAAAk3LzExLzIwMjYIAAAACTMvMzEvMjAyNgkAAAABMKI1f2tv394IttWVbm/f3ggsQ0lRLk5BU0RBUTpNU0ZULklRX0FFLjk5My4xMS8wNy8yMDI2Li4uVVNELkgBAAAAS1UAAAIAAAAENjEwMwEIAAAABQAAAAExAQAAAAoyMDQ3MjcxNzQ1AwAAAAMxNjACAAAABDEwMTYEAAAAATAHAAAACTcvMTEvMjAyNggAAAAJNi8zMC8yMDE4CQAAAAEwojV/a2/f3ginmpVub9/eCD1DSVEuTkFTREFR</t>
  </si>
  <si>
    <t>Ok1TRlQuSVFfSU5DX1RBWF9QQVlfQ1VSUkVOVC45OTIuMTEvMDcvMjAyNi4uLlVTRC5IAQAAAEtVAAACAAAAAzcxOAEIAAAABQAAAAExAQAAAAoxOTczMzgwOTUxAwAAAAMxNjACAAAABDEwOTQEAAAAATAHAAAACTcvMTEvMjAyNggAAAAJNi8zMC8yMDE3CQAAAAEwojV/a2/f3gjpwZVub9/eCC9DSVEuTkFTREFROk1TRlQuSVFfQVJfTFQuOTkwLjExLzA3LzIwMjYuLi5VU0QuSAEAAABLVQAAAwAAAAAAojV/a2/f3gjpwZVub9/eCDhDSVEuTkFTREFROk1TRlQuSVFfT1RIRVJfQ0FfU1VQUEwuOTkzLjExLzA3LzIwMjYuLi5VU0QuSAEAAABLVQAAAgAAAAQ2ODU1AQgAAAAFAAAAATEBAAAACjIwNDcyNzE3NDUDAAAAAzE2MAIAAAAEMTA1NQQAAAABMAcAAAAJNy8xMS8yMDI2CAAAAAk2LzMwLzIwMTgJAAAAATCiNX9rb9/eCOnBlW5v394ILkNJUS5OQVNEQVE6TVNGVC5JUV9OUFBFLjk5MS4xMS8wNy8yMDI2Li4uVVNELkgBAAAAS1UAAAIAAAAFMTgzNTYBCAAAAAUAAAABMQEAAAAKMTg5ODQ4OTQ3MAMAAAADMTYwAgAAAAQxMDA0BAAAAAEwBwAAAAk3LzExLzIwMjYIAAAACTYvMzAvMjAxNgkAAAABMKI1f2tv394I6cGVbm/f3gg4Q0lRLk5BU0RBUTpNU0ZULklRX1RSQURJTkdfQVNTRVRTLjk5My4xMS8wNy8yMDI2Li4uVVNELkgBAAAAS1UAAAMAAAAAAKI1f2tv394Ip5qVbm/f3gg4Q0lRLk5BU0RBUTpN</t>
  </si>
  <si>
    <t>U0ZULklRX1NUX05PVEVfUkVDRUlWLjk5MS4xMS8wNy8yMDI2Li4uVVNELkgBAAAAS1UAAAMAAAAAAKI1f2tv394Ip5qVbm/f3gg2Q0lRLk5BU0RBUTpNU0ZULklRX1BSRVBBSURfRVhQLjIwMDAuMTEvMDcvMjAyNi4uLlVTRC5IAQAAAEtVAAADAAAAAACiNX9rb9/eCKealW5v394IS0NJUS5OQVNEQVE6TVNGVC5JUV9MT05HX1RFUk1fREVCVF9SRVBBSURfRVhDTF9MRUFTRVMuOTkxLjExLzA3LzIwMjYuLi5VU0QuSAEAAABLVQAAAgAAAAUtMjc5NgEIAAAABQAAAAExAQAAAAoxODk4NDg5NDcwAwAAAAMxNjACAAAABTQ4OTg0BAAAAAEwBwAAAAk3LzExLzIwMjYIAAAACTYvMzAvMjAxNgkAAAABMKI1f2tv394Ip5qVbm/f3gg2Q0lRLk5BU0RBUTpNU0ZULklRX0xFVkVSRURfRkNGLjIwMDAuMTEvMDcvMjAyNi4uLlVTRC5IAQAAAEtVAAACAAAACDM3MDExLjI1AQgAAAAFAAAAATEBAAAACy0xODkzMjk4OTk1AwAAAAMxNjACAAAABDQ0MjIEAAAAATAHAAAACTcvMTEvMjAyNggAAAAJMy8zMS8yMDI2CQAAAAEwojV/a2/f3ginmpVub9/eCDlDSVEuTkFTREFROk1TRlQuSVFfTkVUX0RFQlRfSVNTVUVELjk5My4xMS8wNy8yMDI2Li4uVVNELkgBAAAAS1UAAAIAAAAGLTEwMjAxAQgAAAAFAAAAATEBAAAACjIwNDcyNzE3NDUDAAAAAzE2MAIAAAAEMjAwMwQAAAABMAcAAAAJNy8xMS8yMDI2CAAAAAk2LzMwLzIw</t>
  </si>
  <si>
    <t>MTgJAAAAATCiNX9rb9/eCLFflW5v394IQkNJUS5OQVNEQVE6TVNGVC5JUV9PUEVSQVRJTkdfTEVBU0VfUEFZTUVOVFMuOTkxLjExLzA3LzIwMjYuLi5VU0QuSAEAAABLVQAAAwAAAAAAojV/a2/f3gj3hpVub9/eCDRDSVEuTkFTREFROk1TRlQuSVFfQ0FTSF9UQVhFUy45OTEuMTEvMDcvMjAyNi4uLlVTRC5IAQAAAEtVAAACAAAABDM5MDABCAAAAAUAAAABMQEAAAAKMTg5ODQ4OTQ3MAMAAAADMTYwAgAAAAQzMDUzBAAAAAEwBwAAAAk3LzExLzIwMjYIAAAACTYvMzAvMjAxNgkAAAABMKI1f2tv394I94aVbm/f3gg7Q0lRLk5BU0RBUTpNU0ZULklRX0NBU0hfVEFYRVNfRklOQU4uMjAwMC4xMS8wNy8yMDI2Li4uVVNELkgBAAAAS1UAAAMAAAAAAKI1f2tv394Ip5qVbm/f3gg/Q0lRLk5BU0RBUTpNU0ZULklRX05FR0FUSVZFX0dXX0FNT1JUX0NGLjIwMDAuMTEvMDcvMjAyNi4uLlVTRC5IAQAAAEtVAAADAAAAAACiNX9rb9/eCKealW5v394IQENJUS5OQVNEQVE6TVNGVC5JUV9DQVNIX0lOVEVSRVNUX1JFQ0VJVkVELjk5My4xMS8wNy8yMDI2Li4uVVNELkgBAAAAS1UAAAMAAAAAAKI1f2tv394IAUyVbm/f3gg9Q0lRLk5BU0RBUTpNU0ZULklRX0RBX1NVUFBMX1BBUlRJQUxfQ0YuOTkzLjExLzA3LzIwMjYuLi5VU0QuSAEAAABLVQAAAwAAAAAAojV/a2/f3gixX5Vub9/eCDFDSVEuTkFTREFROk1TRlQuSVFf</t>
  </si>
  <si>
    <t>REVQX1JVQS45OTEuMTEvMDcvMjAyNi4uLlVTRC5IAQAAAEtVAAADAAAAAACiNX9rb9/eCLFflW5v394INUNJUS5OQVNEQVE6TVNGVC5JUV9QUkVGX0lTU1VFRC45OTMuMTEvMDcvMjAyNi4uLlVTRC5IAQAAAEtVAAADAAAAAACiNX9rb9/eCLFflW5v394IPENJUS5OQVNEQVE6TVNGVC5JUV9DT01NT05fUFJFRl9ESVZfQ0YuOTkxLjExLzA3LzIwMjYuLi5VU0QuSAEAAABLVQAAAwAAAAAAojV/a2/f3gixX5Vub9/eCEJDSVEuTkFTREFROk1TRlQuSVFfT1RIRVJfRklOQU5DRV9BQ1RfU1VQUEwuMjAwMC4xMS8wNy8yMDI2Li4uVVNELkgBAAAAS1UAAAIAAAAFLTI1NTQBCAAAAAUAAAABMQEAAAALLTE4OTMyOTg5OTUDAAAAAzE2MAIAAAAEMjA1MAQAAAABMAcAAAAJNy8xMS8yMDI2CAAAAAkzLzMxLzIwMjYJAAAAATCiNX9rb9/eCLsklW5v394IOUNJUS5OQVNEQVE6TVNGVC5JUV9JTlRFUkNPTVBBTllfQ0EuOTkwLjExLzA3LzIwMjYuLi5VU0QuSAEAAABLVQAAAwAAAAAAojV/a2/f3gi7JJVub9/eCD9DSVEuTkFTREFROk1TRlQuSVFfUkVTVFJJQ1RFRF9DQVNIX1RPVEFMLjk5Mi4xMS8wNy8yMDI2Li4uVVNELkgBAAAAS1UAAAMAAAAAAKI1f2tv394IuySVbm/f3gg9Q0lRLk5BU0RBUTpNU0ZULklRX0xJQUJJTElUSUVTX0xFVkVMXzEuOTkwLjExLzA3LzIwMjYuLi5VU0QuSAEAAABLVQAAAgAAAAE1AKI1</t>
  </si>
  <si>
    <t>f2tv394IAUyVbm/f3ghFQ0lRLk5BU0RBUTpNU0ZULklRX0RFRl9UQVhfVkFMVUFUSU9OX0FMTE9XQU5DRS45OTMuMTEvMDcvMjAyNi4uLlVTRC5IAQAAAEtVAAACAAAABDMxODYBCAAAAAUAAAABMQEAAAAKMjA0NzI3MTc0NQMAAAADMTYwAgAAAAU0NjA0NQQAAAABMAcAAAAJNy8xMS8yMDI2CAAAAAk2LzMwLzIwMTgJAAAAATCiNX9rb9/eCAFMlW5v394IRUNJUS5OQVNEQVE6TVNGVC5JUV9HRU5FUkFMX1BBUlRORVJfUFJFRl9FUVVJVFkuOTkxLjExLzA3LzIwMjYuLi5VU0QuSAEAAABLVQAAAwAAAAAAojV/a2/f3gi7JJVub9/eCDhDSVEuTkFTREFROk1TRlQuSVFfQVNTRVRTX0xFVkVMXzMuOTkzLjExLzA3LzIwMjYuLi5VU0QuSAEAAABLVQAAAgAAAAIzNQCiNX9rb9/eCLsklW5v394IQENJUS5OQVNEQVE6TVNGVC5JUV9OQVRVUkFMX1JFU09VUkNFU19DT1NULjk5MS4xMS8wNy8yMDI2Li4uVVNELkgBAAAAS1UAAAMAAAAAAKI1f2tv394IuySVbm/f3gg/Q0lRLk5BU0RBUTpNU0ZULklRX0xFQVNFSE9MRF9JTVBST1ZFTUVOVC45OTEuMTEvMDcvMjAyNi4uLlVTRC5IAQAAAEtVAAACAAAABDM2NTkBCAAAAAUAAAABMQEAAAAKMTg5ODQ4OTQ3MAMAAAADMTYwAgAAAAQzMTAwBAAAAAEwBwAAAAk3LzExLzIwMjYIAAAACTYvMzAvMjAxNgkAAAABMKI1f2tv394IuySVbm/f3ggzQ0lRLk5BU0RBUTpNU0ZU</t>
  </si>
  <si>
    <t>LklRX1RPVEFMX0NBUC45OTMuMTEvMDcvMjAyNi4uLlVTRC5IAQAAAEtVAAACAAAABjE3MDIyNgEIAAAABQAAAAExAQAAAAoyMDQ3MjcxNzQ1AwAAAAMxNjACAAAABDQxNzUEAAAAATAHAAAACTcvMTEvMjAyNggAAAAJNi8zMC8yMDE4CQAAAAEwojV/a2/f3gi7JJVub9/eCDlDSVEuTkFTREFROk1TRlQuSVFfTkVUX1dPUktJTkdfQ0FQLjk5My4xMS8wNy8yMDI2Li4uVVNELkgBAAAAS1UAAAIAAAAGLTE2OTE3AQgAAAAFAAAAATEBAAAACjIwNDcyNzE3NDUDAAAAAzE2MAIAAAAEMTMxMQQAAAABMAcAAAAJNy8xMS8yMDI2CAAAAAk2LzMwLzIwMTgJAAAAATCiNX9rb9/eCOAPlW5v394IPENJUS5OQVNEQVE6TVNGVC5JUV9UT1RBTF9ERUJUX0NVUlJFTlQuOTkzLjExLzA3LzIwMjYuLi5VU0QuSAEAAABLVQAAAgAAAAQ1NTczAQgAAAAFAAAAATEBAAAACjIwNDcyNzE3NDUDAAAAAzE2MAIAAAAFMjUyMjMEAAAAATAHAAAACTcvMTEvMjAyNggAAAAJNi8zMC8yMDE4CQAAAAEwojV/a2/f3gjgD5Vub9/eCDJDSVEuTkFTREFROk1TRlQuSVFfTkVUX0RFQlQuOTkzLjExLzA3LzIwMjYuLi5VU0QuSAEAAABLVQAAAgAAAAYtNDYxNTYBCAAAAAUAAAABMQEAAAAKMjA0NzI3MTc0NQMAAAADMTYwAgAAAAQ0MzY0BAAAAAEwBwAAAAk3LzExLzIwMjYIAAAACTYvMzAvMjAxOAkAAAABMKI1f2tv394I4A+Vbm/f3ghWQ0lR</t>
  </si>
  <si>
    <t>Lk5BU0RBUTpNU0ZULklRX0ZJTkFOQ0lOR19PQkxJR19OT05fQ1VSUkVOVF9FWENMX09QRVJfTEVBU0VTLjk5MC4xMS8wNy8yMDI2Li4uVVNELkgBAAAAS1UAAAIAAAAFMjc4MDgBCAAAAAUAAAABMQEAAAAKMTg1MTUyNTkxMgMAAAADMTYwAgAAAAU0ODk4MQQAAAABMAcAAAAJNy8xMS8yMDI2CAAAAAk2LzMwLzIwMTUJAAAAATCiNX9rb9/eCOAPlW5v394IQENJUS5OQVNEQVE6TVNGVC5JUV9UT1RBTF9ERUJUX0VYQ0xfTEVBU0VTLjk5Mi4xMS8wNy8yMDI2Li4uVVNELkgBAAAAS1UAAAIAAAAFODYxOTQBCAAAAAUAAAABMQEAAAAKMTk3MzM4MDk1MQMAAAADMTYwAgAAAAU0ODk5MgQAAAABMAcAAAAJNy8xMS8yMDI2CAAAAAk2LzMwLzIwMTcJAAAAATCiNX9rb9/eCLsklW5v394IRENJUS5OQVNEQVE6TVNGVC5JUV9SVUFfT1BFUkFUSU5HX0xFQVNFX0dST1NTLjIwMDAuMTEvMDcvMjAyNi4uLlVTRC5IAQAAAEtVAAACAAAABTI0NDAzAQgAAAAFAAAAATEBAAAACy0xODkzMjk4OTk1AwAAAAMxNjACAAAABTQ4Mzc3BAAAAAEwBwAAAAk3LzExLzIwMjYIAAAACTMvMzEvMjAyNgkAAAABMKI1f2tv394IpNOUbm/f3gg/Q0lRLk5BU0RBUTpNU0ZULklRX0dQUEVfRVhDTF9PUEVSX0xFQVNFUy45OTEuMTEvMDcvMjAyNi4uLlVTRC5IAQAAAEtVAAACAAAABTM4MTU2AQgAAAAFAAAAATEBAAAACjE4OTg0ODk0NzAD</t>
  </si>
  <si>
    <t>AAAAAzE2MAIAAAAFNDg5NzQEAAAAATAHAAAACTcvMTEvMjAyNggAAAAJNi8zMC8yMDE2CQAAAAEwojV/a2/f3gik05Rub9/eCD5DSVEuTkFTREFROk1TRlQuSVFfVE9UQUxfRklOQU5DRV9MRUFTRVMuOTkyLjExLzA3LzIwMjYuLi5VU0QuSAEAAABLVQAAAgAAAAQyNTM4AQgAAAAFAAAAATEBAAAACjE5NzMzODA5NTEDAAAAAzE2MAIAAAAFNDkwMzEEAAAAATAHAAAACTcvMTEvMjAyNggAAAAJNi8zMC8yMDE3CQAAAAEwojV/a2/f3gik05Rub9/eCDdDSVEuTkFTREFROk1TRlQuSVFfUlVBX0FDQ1VNX0RFUC45OTAuMTEvMDcvMjAyNi4uLlVTRC5IAQAAAEtVAAADAAAAAACiNX9rb9/eCKTTlG5v394IQUNJUS5OQVNEQVE6TVNGVC5JUV9SVUFfQ0FQSVRBTF9MRUFTRV9HUk9TUy45OTMuMTEvMDcvMjAyNi4uLlVTRC5IAQAAAEtVAAADAAAAAACiNX9rb9/eCKTTlG5v394INENJUS5OQVNEQVE6TVNGVC5JUV9QUkVGX09USEVSLjk5Mi4xMS8wNy8yMDI2Li4uVVNELkgBAAAAS1UAAAMAAAAAAKI1f2tv394IpNOUbm/f3gg2Q0lRLk5BU0RBUTpNU0ZULklRX09USEVSX0VRVUlUWS45OTEuMTEvMDcvMjAyNi4uLlVTRC5IAQAAAEtVAAACAAAABDE1MzcBCAAAAAUAAAABMQEAAAAKMTg5ODQ4OTQ3MAMAAAADMTYwAgAAAAQxMDI4BAAAAAEwBwAAAAk3LzExLzIwMjYIAAAACTYvMzAvMjAxNgkAAAABMKI1f2tv394I</t>
  </si>
  <si>
    <t>pNOUbm/f3gg6Q0lRLk5BU0RBUTpNU0ZULklRX0xPTkdfVEVSTV9MRUFTRVMuOTkyLjExLzA3LzIwMjYuLi5VU0QuSAEAAABLVQAAAgAAAAQ3Nzk3AQgAAAAFAAAAATEBAAAACjE5NzMzODA5NTEDAAAAAzE2MAIAAAAEMTE4MwQAAAABMAcAAAAJNy8xMS8yMDI2CAAAAAk2LzMwLzIwMTcJAAAAATCiNX9rb9/eCKTTlG5v394IN0NJUS5OQVNEQVE6TVNGVC5JUV9PVEhFUl9MSUFCX0xULjk5MS4xMS8wNy8yMDI2Li4uVVNELkgBAAAAS1UAAAIAAAAFMTI4NzkBCAAAAAUAAAABMQEAAAAKMTg5ODQ4OTQ3MAMAAAADMTYwAgAAAAQxMDYyBAAAAAEwBwAAAAk3LzExLzIwMjYIAAAACTYvMzAvMjAxNgkAAAABMKI1f2tv394IpNOUbm/f3gg+Q0lRLk5BU0RBUTpNU0ZULklRX0ZJTl9ESVZfREVCVF9DVVJSRU5ULjk5MC4xMS8wNy8yMDI2Li4uVVNELkgBAAAAS1UAAAMAAAAAAKI1f2tv394IpNOUbm/f3gg9Q0lRLk5BU0RBUTpNU0ZULklRX0lOQ19UQVhfUEFZX0NVUlJFTlQuOTkzLjExLzA3LzIwMjYuLi5VU0QuSAEAAABLVQAAAgAAAAQyMTIxAQgAAAAFAAAAATEBAAAACjIwNDcyNzE3NDUDAAAAAzE2MAIAAAAEMTA5NAQAAAABMAcAAAAJNy8xMS8yMDI2CAAAAAk2LzMwLzIwMTgJAAAAATCiNX9rb9/eCGuslG5v394IOUNJUS5OQVNEQVE6TVNGVC5JUV9PVEhFUl9DTF9TVVBQTC4yMDAwLjExLzA3LzIwMjYuLi5V</t>
  </si>
  <si>
    <t>U0QuSAEAAABLVQAAAgAAAAUxNDk1NAEIAAAABQAAAAExAQAAAAstMTg5MzI5ODk5NQMAAAADMTYwAgAAAAQxMDU3BAAAAAEwBwAAAAk3LzExLzIwMjYIAAAACTMvMzEvMjAyNgkAAAABMKI1f2tv394Ia6yUbm/f3ggvQ0lRLk5BU0RBUTpNU0ZULklRX0FSX0xULjk5MS4xMS8wNy8yMDI2Li4uVVNELkgBAAAAS1UAAAMAAAAAAKI1f2tv394IpNOUbm/f3gg2Q0lRLk5BU0RBUTpNU0ZULklRX1RPVEFMX0FTU0VUUy45OTIuMTEvMDcvMjAyNi4uLlVTRC5IAQAAAEtVAAACAAAABjI1MDMxMgEIAAAABQAAAAExAQAAAAoxOTczMzgwOTUxAwAAAAMxNjACAAAABDEwMDcEAAAAATAHAAAACTcvMTEvMjAyNggAAAAJNi8zMC8yMDE3CQAAAAEwojV/a2/f3gik05Rub9/eCC5DSVEuTkFTREFROk1TRlQuSVFfTlBQRS45OTIuMTEvMDcvMjAyNi4uLlVTRC5IAQAAAEtVAAACAAAABTMwMjg5AQgAAAAFAAAAATEBAAAACjE5NzMzODA5NTEDAAAAAzE2MAIAAAAEMTAwNAQAAAABMAcAAAAJNy8xMS8yMDI2CAAAAAk2LzMwLzIwMTcJAAAAATCiNX9rb9/eCKTTlG5v394IOENJUS5OQVNEQVE6TVNGVC5JUV9TVF9OT1RFX1JFQ0VJVi45OTIuMTEvMDcvMjAyNi4uLlVTRC5IAQAAAEtVAAADAAAAAACiNX9rb9/eCGuslG5v394IP0NJUS5OQVNEQVE6TVNGVC5JUV9GSU5fRElWX0xPQU5TX0NVUlJFTlQuOTkwLjExLzA3LzIwMjYu</t>
  </si>
  <si>
    <t>Li5VU0QuSAEAAABLVQAAAwAAAAAAojV/a2/f3ghrrJRub9/eCEtDSVEuTkFTREFROk1TRlQuSVFfTE9OR19URVJNX0RFQlRfUkVQQUlEX0VYQ0xfTEVBU0VTLjk5Mi4xMS8wNy8yMDI2Li4uVVNELkgBAAAAS1UAAAIAAAAFLTc5MjIBCAAAAAUAAAABMQEAAAAKMTk3MzM4MDk1MQMAAAADMTYwAgAAAAU0ODk4NAQAAAABMAcAAAAJNy8xMS8yMDI2CAAAAAk2LzMwLzIwMTcJAAAAATCiNX9rb9/eCGuslG5v394IOkNJUS5OQVNEQVE6TVNGVC5JUV9DQVNIX1RBWEVTX0ZJTkFOLjk5Mi4xMS8wNy8yMDI2Li4uVVNELkgBAAAAS1UAAAMAAAAAAKI1f2tv394Ia6yUbm/f3gg3Q0lRLk5BU0RBUTpNU0ZULklRX1VOTEVWRVJFRF9GQ0YuOTkwLjExLzA3LzIwMjYuLi5VU0QuSAEAAABLVQAAAgAAAAcyMTQxNC41AQgAAAAFAAAAATEBAAAACjE4NTE1MjU5MTIDAAAAAzE2MAIAAAAENDQyMwQAAAABMAcAAAAJNy8xMS8yMDI2CAAAAAk2LzMwLzIwMTUJAAAAATCiNX9rb9/eCGuslG5v394INENJUS5OQVNEQVE6TVNGVC5JUV9DQVNIX1RBWEVTLjk5Mi4xMS8wNy8yMDI2Li4uVVNELkgBAAAAS1UAAAIAAAAEMjQwMAEIAAAABQAAAAExAQAAAAoxOTczMzgwOTUxAwAAAAMxNjACAAAABDMwNTMEAAAAATAHAAAACTcvMTEvMjAyNggAAAAJNi8zMC8yMDE3CQAAAAEwojV/a2/f3gitmJRub9/eCEZDSVEuTkFTREFROk1TRlQu</t>
  </si>
  <si>
    <t>SVFfREVSSVZBVElWRV9MSUFCX05PTl9DVVJSRU5ULjIwMDAuMTEvMDcvMjAyNi4uLlVTRC5IAQAAAEtVAAACAAAAAzExNgEIAAAABQAAAAExAQAAAAstMTg5MzI5ODk5NQMAAAADMTYwAgAAAAU0MDQxOQQAAAABMAcAAAAJNy8xMS8yMDI2CAAAAAkzLzMxLzIwMjYJAAAAATCiNX9rb9/eCK2YlG5v394IM0NJUS5OQVNEQVE6TVNGVC5JUV9JTlRBTl9ORVQuOTkyLjExLzA3LzIwMjYuLi5VU0QuSAEAAABLVQAAAwAAAAAAojV/a2/f3gitmJRub9/eCElDSVEuTkFTREFROk1TRlQuSVFfVE9UQUxfR0VORVJBTF9QQVJUTkVSX0lOVEVSRVNULjIwMDAuMTEvMDcvMjAyNi4uLlVTRC5IAQAAAEtVAAADAAAAAACiNX9rb9/eCK2YlG5v394IPUNJUS5OQVNEQVE6TVNGVC5JUV9MSUFCSUxJVElFU19MRVZFTF8xLjk5My4xMS8wNy8yMDI2Li4uVVNELkgBAAAAS1UAAAIAAAABMQCiNX9rb9/eCGuslG5v394IQENJUS5OQVNEQVE6TVNGVC5JUV9OQVRVUkFMX1JFU09VUkNFU19DT1NULjk5Mi4xMS8wNy8yMDI2Li4uVVNELkgBAAAAS1UAAAMAAAAAAKI1f2tv394IWXGUbm/f3gg/Q0lRLk5BU0RBUTpNU0ZULklRX0xFQVNFSE9MRF9JTVBST1ZFTUVOVC45OTIuMTEvMDcvMjAyNi4uLlVTRC5IAQAAAEtVAAACAAAABDUwNjQBCAAAAAUAAAABMQEAAAAKMTk3MzM4MDk1MQMAAAADMTYwAgAAAAQzMTAwBAAAAAEwBwAAAAk3</t>
  </si>
  <si>
    <t>LzExLzIwMjYIAAAACTYvMzAvMjAxNwkAAAABMKI1f2tv394IWXGUbm/f3ghFQ0lRLk5BU0RBUTpNU0ZULklRX0ZJTl9ESVZfTUlOT1JJVFlfSU5UX1JFREVFTS45OTEuMTEvMDcvMjAyNi4uLlVTRC5IAQAAAEtVAAADAAAAAACiNX9rb9/eCFlxlG5v394IRUNJUS5OQVNEQVE6TVNGVC5JUV9HRU5FUkFMX1BBUlRORVJfUFJFRl9FUVVJVFkuOTkyLjExLzA3LzIwMjYuLi5VU0QuSAEAAABLVQAAAwAAAAAAojV/a2/f3ghZcZRub9/eCDhDSVEuTkFTREFROk1TRlQuSVFfRVFVSVRZX01FVEhPRC4yMDAwLjExLzA3LzIwMjYuLi5VU0QuSAEAAABLVQAAAwAAAAAAojV/a2/f3ghZcZRub9/eCDJDSVEuTkFTREFROk1TRlQuSVFfR1dfSU5UQU4uOTkwLjExLzA3LzIwMjYuLi5VU0QuSAEAAABLVQAAAgAAAAUyMTc3NAEIAAAABQAAAAExAQAAAAoxODUxNTI1OTEyAwAAAAMxNjACAAAABTM1MzgxBAAAAAEwBwAAAAk3LzExLzIwMjYIAAAACTYvMzAvMjAxNQkAAAABMKI1f2tv394Ig1uUbm/f3ghWQ0lRLk5BU0RBUTpNU0ZULklRX0ZJTkFOQ0lOR19PQkxJR19OT05fQ1VSUkVOVF9FWENMX09QRVJfTEVBU0VTLjk5MS4xMS8wNy8yMDI2Li4uVVNELkgBAAAAS1UAAAIAAAAFNDEzMTgBCAAAAAUAAAABMQEAAAAKMTg5ODQ4OTQ3MAMAAAADMTYwAgAAAAU0ODk4MQQAAAABMAcAAAAJNy8xMS8yMDI2CAAAAAk2LzMwLzIw</t>
  </si>
  <si>
    <t>MTYJAAAAATCiNX9rb9/eCINblG5v394IQENJUS5OQVNEQVE6TVNGVC5JUV9UT1RBTF9ERUJUX0VYQ0xfTEVBU0VTLjk5My4xMS8wNy8yMDI2Li4uVVNELkgBAAAAS1UAAAIAAAAFNzYyNDABCAAAAAUAAAABMQEAAAAKMjA0NzI3MTc0NQMAAAADMTYwAgAAAAU0ODk5MgQAAAABMAcAAAAJNy8xMS8yMDI2CAAAAAk2LzMwLzIwMTgJAAAAATCiNX9rb9/eCFlxlG5v394INENJUS5OQVNEQVE6TVNGVC5JUV9UQlZfU0hBUkUuMjAwMC4xMS8wNy8yMDI2Li4uVVNELkgBAAAAS1UAAAIAAAAIMzcuMDY4MzgBCAAAAAUAAAABMQEAAAALLTE4OTMyOTg5OTUDAAAAAzE2MAIAAAAENDE1NgQAAAABMAcAAAAJNy8xMS8yMDI2CAAAAAkzLzMxLzIwMjYJAAAAATCiNX9rb9/eCFlxlG5v394IPkNJUS5OQVNEQVE6TVNGVC5JUV9UT1RBTF9GSU5BTkNFX0xFQVNFUy45OTMuMTEvMDcvMjAyNi4uLlVTRC5IAQAAAEtVAAACAAAABDQzMDEBCAAAAAUAAAABMQEAAAAKMjA0NzI3MTc0NQMAAAADMTYwAgAAAAU0OTAzMQQAAAABMAcAAAAJNy8xMS8yMDI2CAAAAAk2LzMwLzIwMTgJAAAAATCiNX9rb9/eCFlxlG5v394IPENJUS5OQVNEQVE6TVNGVC5JUV9UT1RBTF9PUEVSX0xFQVNFUy4yMDAwLjExLzA3LzIwMjYuLi5VU0QuSAEAAABLVQAAAgAAAAUyMjIzOAEIAAAABQAAAAExAQAAAAstMTg5MzI5ODk5NQMAAAADMTYwAgAAAAU0</t>
  </si>
  <si>
    <t>ODk3OAQAAAABMAcAAAAJNy8xMS8yMDI2CAAAAAkzLzMxLzIwMjYJAAAAATCiNX9rb9/eCI0flG5v394IN0NJUS5OQVNEQVE6TVNGVC5JUV9SVUFfQUNDVU1fREVQLjk5MS4xMS8wNy8yMDI2Li4uVVNELkgBAAAAS1UAAAMAAAAAAKI1f2tv394IjR+Ubm/f3ghHQ0lRLk5BU0RBUTpNU0ZULklRX1JVQV9PUEVSQVRJTkdfTEVBU0VfQUNDVU1fREVQLjk5MC4xMS8wNy8yMDI2Li4uVVNELkgBAAAAS1UAAAMAAAAAAKI1f2tv394IjR+Ubm/f3ggvQ0lRLk5BU0RBUTpNU0ZULklRX0FQSUMuMjAwMC4xMS8wNy8yMDI2Li4uVVNELkgBAAAAS1UAAAMAAAAAAKI1f2tv394Ig1uUbm/f3gg2Q0lRLk5BU0RBUTpNU0ZULklRX09USEVSX0VRVUlUWS45OTIuMTEvMDcvMjAyNi4uLlVTRC5IAQAAAEtVAAACAAAAAzYyNwEIAAAABQAAAAExAQAAAAoxOTczMzgwOTUxAwAAAAMxNjACAAAABDEwMjgEAAAAATAHAAAACTcvMTEvMjAyNggAAAAJNi8zMC8yMDE3CQAAAAEwojV/a2/f3giDW5Rub9/eCDhDSVEuTkFTREFROk1TRlQuSVFfVU5FQVJOX1JFVl9MVC4yMDAwLjExLzA3LzIwMjYuLi5VU0QuSAEAAABLVQAAAgAAAAQyNzUzAQgAAAAFAAAAATEBAAAACy0xODkzMjk4OTk1AwAAAAMxNjACAAAABDEyNTYEAAAAATAHAAAACTcvMTEvMjAyNggAAAAJMy8zMS8yMDI2CQAAAAEwojV/a2/f3giNH5Rub9/eCDRDSVEuTkFTREFR</t>
  </si>
  <si>
    <t>Ok1TRlQuSVFfUFJFRl9PVEhFUi45OTMuMTEvMDcvMjAyNi4uLlVTRC5IAQAAAEtVAAADAAAAAACiNX9rb9/eCI0flG5v394IMkNJUS5OQVNEQVE6TVNGVC5JUV9UT1RBTF9DTC45OTAuMTEvMDcvMjAyNi4uLlVTRC5IAQAAAEtVAAACAAAABTQ5NjQ3AQgAAAAFAAAAATEBAAAACjE4NTE1MjU5MTIDAAAAAzE2MAIAAAAEMTAwOQQAAAABMAcAAAAJNy8xMS8yMDI2CAAAAAk2LzMwLzIwMTUJAAAAATCiNX9rb9/eCI0flG5v394IOkNJUS5OQVNEQVE6TVNGVC5JUV9MT05HX1RFUk1fTEVBU0VTLjk5My4xMS8wNy8yMDI2Li4uVVNELkgBAAAAS1UAAAIAAAAEOTY5MwEIAAAABQAAAAExAQAAAAoyMDQ3MjcxNzQ1AwAAAAMxNjACAAAABDExODMEAAAAATAHAAAACTcvMTEvMjAyNggAAAAJNi8zMC8yMDE4CQAAAAEwojV/a2/f3giNH5Rub9/eCDZDSVEuTkFTREFROk1TRlQuSVFfVE9UQUxfQVNTRVRTLjk5My4xMS8wNy8yMDI2Li4uVVNELkgBAAAAS1UAAAIAAAAGMjU4ODQ4AQgAAAAFAAAAATEBAAAACjIwNDcyNzE3NDUDAAAAAzE2MAIAAAAEMTAwNwQAAAABMAcAAAAJNy8xMS8yMDI2CAAAAAk2LzMwLzIwMTgJAAAAATCiNX9rb9/eCI0flG5v394IMkNJUS5OQVNEQVE6TVNGVC5JUV9TVF9ERUJULjIwMDAuMTEvMDcvMjAyNi4uLlVTRC5IAQAAAEtVAAADAAAAAACiNX9rb9/eCIrik25v394IPkNJUS5OQVNEQVE6</t>
  </si>
  <si>
    <t>TVNGVC5JUV9GSU5fRElWX0RFQlRfQ1VSUkVOVC45OTEuMTEvMDcvMjAyNi4uLlVTRC5IAQAAAEtVAAADAAAAAACiNX9rb9/eCI0flG5v394ILkNJUS5OQVNEQVE6TVNGVC5JUV9OUFBFLjk5My4xMS8wNy8yMDI2Li4uVVNELkgBAAAAS1UAAAIAAAAFMzYxNDYBCAAAAAUAAAABMQEAAAAKMjA0NzI3MTc0NQMAAAADMTYwAgAAAAQxMDA0BAAAAAEwBwAAAAk3LzExLzIwMjYIAAAACTYvMzAvMjAxOAkAAAABMKI1f2tv394IjR+Ubm/f3gg2Q0lRLk5BU0RBUTpNU0ZULklRX09USEVSX0lOVEFOLjIwMDAuMTEvMDcvMjAyNi4uLlVTRC5IAQAAAEtVAAACAAAABTE5MzI1AQgAAAAFAAAAATEBAAAACy0xODkzMjk4OTk1AwAAAAMxNjACAAAABDEwNDAEAAAAATAHAAAACTcvMTEvMjAyNggAAAAJMy8zMS8yMDI2CQAAAAEwojV/a2/f3giNH5Rub9/eCD9DSVEuTkFTREFROk1TRlQuSVFfRklOX0RJVl9MT0FOU19DVVJSRU5ULjk5MS4xMS8wNy8yMDI2Li4uVVNELkgBAAAAS1UAAAMAAAAAAKI1f2tv394IjR+Ubm/f3ghAQ0lRLk5BU0RBUTpNU0ZULklRX0RFRl9UQVhfQVNTRVRTX0NVUlJFTlQuOTkxLjExLzA3LzIwMjYuLi5VU0QuSAEAAABLVQAAAwAAAAAAojV/a2/f3giK4pNub9/eCDNDSVEuTkFTREFROk1TRlQuSVFfVE9UQUxfQ0EuMjAwMC4xMS8wNy8yMDI2Li4uVVNELkgBAAAAS1UAAAIAAAAGMTc1MzI5AQgA</t>
  </si>
  <si>
    <t>AAAFAAAAATEBAAAACy0xODkzMjk4OTk1AwAAAAMxNjACAAAABDEwMDgEAAAAATAHAAAACTcvMTEvMjAyNggAAAAJMy8zMS8yMDI2CQAAAAEwojV/a2/f3giK4pNub9/eCDVDSVEuTkFTREFROk1TRlQuSVFfQ0FTSF9FUVVJVi4yMDAwLjExLzA3LzIwMjYuLi5VU0QuSAEAAABLVQAAAgAAAAUzMjEwNQEIAAAABQAAAAExAQAAAAstMTg5MzI5ODk5NQMAAAADMTYwAgAAAAQxMDk2BAAAAAEwBwAAAAk3LzExLzIwMjYIAAAACTMvMzEvMjAyNgkAAAABMKI1f2tv394IiuKTbm/f3gg5Q0lRLk5BU0RBUTpNU0ZULklRX0NBU0hfU1RfSU5WRVNULjIwMDAuMTEvMDcvMjAyNi4uLlVTRC5IAQAAAEtVAAACAAAABTc4MjI4AQgAAAAFAAAAATEBAAAACy0xODkzMjk4OTk1AwAAAAMxNjACAAAABDEwMDIEAAAAATAHAAAACTcvMTEvMjAyNggAAAAJMy8zMS8yMDI2CQAAAAEwojV/a2/f3giK4pNub9/eCDhDSVEuTkFTREFROk1TRlQuSVFfU1RfTk9URV9SRUNFSVYuOTkzLjExLzA3LzIwMjYuLi5VU0QuSAEAAABLVQAAAwAAAAAAojV/a2/f3giK4pNub9/eCEtDSVEuTkFTREFROk1TRlQuSVFfTE9OR19URVJNX0RFQlRfUkVQQUlEX0VYQ0xfTEVBU0VTLjk5My4xMS8wNy8yMDI2Li4uVVNELkgBAAAAS1UAAAIAAAAGLTEwMDYwAQgAAAAFAAAAATEBAAAACjIwNDcyNzE3NDUDAAAAAzE2MAIAAAAFNDg5ODQEAAAAATAHAAAA</t>
  </si>
  <si>
    <t>CTcvMTEvMjAyNggAAAAJNi8zMC8yMDE4CQAAAAEwojV/a2/f3giK4pNub9/eCDtDSVEuTkFTREFROk1TRlQuSVFfRklOX0RJVl9TVF9JTlZFU1QuOTkyLjExLzA3LzIwMjYuLi5VU0QuSAEAAABLVQAAAwAAAAAAojV/a2/f3giK4pNub9/eCEVDSVEuTkFTREFROk1TRlQuSVFfUkVTVFJJQ1RFRF9DQVNIX05PTl9DVVJSRU5ULjk5My4xMS8wNy8yMDI2Li4uVVNELkgBAAAAS1UAAAMAAAAAAKI1f2tv394IiuKTbm/f3ghFQ0lRLk5BU0RBUTpNU0ZULklRX0RFUklWQVRJVkVfTElBQl9OT05fQ1VSUkVOVC45OTIuMTEvMDcvMjAyNi4uLlVTRC5IAQAAAEtVAAACAAAAATEBCAAAAAUAAAABMQEAAAAKMTk3MzM4MDk1MQMAAAADMTYwAgAAAAU0MDQxOQQAAAABMAcAAAAJNy8xMS8yMDI2CAAAAAk2LzMwLzIwMTcJAAAAATCiNX9rb9/eCIrik25v394IRUNJUS5OQVNEQVE6TVNGVC5JUV9GSU5fRElWX01JTk9SSVRZX0lOVF9SRURFRU0uOTkyLjExLzA3LzIwMjYuLi5VU0QuSAEAAABLVQAAAwAAAAAAojV/a2/f3giK4pNub9/eCERDSVEuTkFTREFROk1TRlQuSVFfRklOX0RJVl9NSU5PUklUWV9JTlRFUkVTVC4yMDAwLjExLzA3LzIwMjYuLi5VU0QuSAEAAABLVQAAAwAAAAAAojV/a2/f3gjPuZNub9/eCEVDSVEuTkFTREFROk1TRlQuSVFfR0VORVJBTF9QQVJUTkVSX1BSRUZfRVFVSVRZLjk5My4xMS8wNy8yMDI2</t>
  </si>
  <si>
    <t>Li4uVVNELkgBAAAAS1UAAAMAAAAAAKI1f2tv394Ias6Tbm/f3ghIQ0lRLk5BU0RBUTpNU0ZULklRX1RPVEFMX0dFTkVSQUxfUEFSVE5FUl9JTlRFUkVTVC45OTIuMTEvMDcvMjAyNi4uLlVTRC5IAQAAAEtVAAADAAAAAACiNX9rb9/eCGrOk25v394ITENJUS5OQVNEQVE6TVNGVC5JUV9MSVFVSURBVElPTl9WQUxVRV9QUkVGRVJSRURfUkVERUVNLjk5MS4xMS8wNy8yMDI2Li4uVVNELkgBAAAAS1UAAAMAAAAAAKI1f2tv394Ias6Tbm/f3ggyQ0lRLk5BU0RBUTpNU0ZULklRX1JBV19JTlYuMjAwMC4xMS8wNy8yMDI2Li4uVVNELkgBAAAAS1UAAAMAAAAAANlcf2tv394Ias6Tbm/f3gg3Q0lRLk5BU0RBUTpNU0ZULklRX0ZJTklTSEVEX0lOVi4yMDAwLjExLzA3LzIwMjYuLi5VU0QuSAEAAABLVQAAAwAAAAAA2Vx/a2/f3giIoJNub9/eCEBDSVEuTkFTREFROk1TRlQuSVFfTkFUVVJBTF9SRVNPVVJDRVNfQ09TVC45OTMuMTEvMDcvMjAyNi4uLlVTRC5IAQAAAEtVAAADAAAAAADZXH9rb9/eCIigk25v394IP0NJUS5OQVNEQVE6TVNGVC5JUV9MRUFTRUhPTERfSU1QUk9WRU1FTlQuOTkzLjExLzA3LzIwMjYuLi5VU0QuSAEAAABLVQAAAgAAAAQ0NzM1AQgAAAAFAAAAATEBAAAACjIwNDcyNzE3NDUDAAAAAzE2MAIAAAAEMzEwMAQAAAABMAcAAAAJNy8xMS8yMDI2CAAAAAk2LzMwLzIwMTgJAAAAATDZXH9rb9/e</t>
  </si>
  <si>
    <t>CM+5k25v394IPENJUS5OQVNEQVE6TVNGVC5JUV9UQlZfU0hBUkVfUkVQT1JURUQuOTkwLjExLzA3LzIwMjYuLi5VU0QuSAEAAABLVQAAAwAAAAAA2Vx/a2/f3gjPuZNub9/eCDJDSVEuTkFTREFROk1TRlQuSVFfR1dfSU5UQU4uOTkxLjExLzA3LzIwMjYuLi5VU0QuSAEAAABLVQAAAgAAAAUyMTYwNQEIAAAABQAAAAExAQAAAAoxODk4NDg5NDcwAwAAAAMxNjACAAAABTM1MzgxBAAAAAEwBwAAAAk3LzExLzIwMjYIAAAACTYvMzAvMjAxNgkAAAABMNlcf2tv394Iz7mTbm/f3gg2Q0lRLk5BU0RBUTpNU0ZULklRX1RPVEFMX0xFQVNFUy45OTAuMTEvMDcvMjAyNi4uLlVTRC5IAQAAAEtVAAADAAAAAADZXH9rb9/eCCxik25v394IVkNJUS5OQVNEQVE6TVNGVC5JUV9GSU5BTkNJTkdfT0JMSUdfTk9OX0NVUlJFTlRfRVhDTF9PUEVSX0xFQVNFUy45OTIuMTEvMDcvMjAyNi4uLlVTRC5IAQAAAEtVAAACAAAABTc4NDk4AQgAAAAFAAAAATEBAAAACjE5NzMzODA5NTEDAAAAAzE2MAIAAAAFNDg5ODEEAAAAATAHAAAACTcvMTEvMjAyNggAAAAJNi8zMC8yMDE3CQAAAAEw2Vx/a2/f3ggsYpNub9/eCENDSVEuTkFTREFROk1TRlQuSVFfUlVBX09QRVJBVElOR19MRUFTRV9HUk9TUy45OTMuMTEvMDcvMjAyNi4uLlVTRC5IAQAAAEtVAAACAAAABDY2ODYBCAAAAAUAAAABMQEAAAAKMjA0NzI3MTc0NQMAAAADMTYwAgAA</t>
  </si>
  <si>
    <t>AAU0ODM3NwQAAAABMAcAAAAJNy8xMS8yMDI2CAAAAAk2LzMwLzIwMTgJAAAAATDZXH9rb9/eCCxik25v394IQENJUS5OQVNEQVE6TVNGVC5JUV9GSU5BTkNFX0xFQVNFU19DVVJSRU5ULjk5MS4xMS8wNy8yMDI2Li4uVVNELkgBAAAAS1UAAAIAAAACMjUBCAAAAAUAAAABMQEAAAAKMTg5ODQ4OTQ3MAMAAAADMTYwAgAAAAU0ODk5MAQAAAABMAcAAAAJNy8xMS8yMDI2CAAAAAk2LzMwLzIwMTYJAAAAATDZXH9rb9/eCCxik25v394INkNJUS5OQVNEQVE6TVNGVC5JUV9PVEhFUl9FUVVJVFkuOTkzLjExLzA3LzIwMjYuLi5VU0QuSAEAAABLVQAAAgAAAAUtMjE4NwEIAAAABQAAAAExAQAAAAoyMDQ3MjcxNzQ1AwAAAAMxNjACAAAABDEwMjgEAAAAATAHAAAACTcvMTEvMjAyNggAAAAJNi8zMC8yMDE4CQAAAAEw2Vx/a2/f3giIoJNub9/eCDdDSVEuTkFTREFROk1TRlQuSVFfVE9UQUxfRVFVSVRZLjIwMDAuMTEvMDcvMjAyNi4uLlVTRC5IAQAAAEtVAAACAAAABjQxNDM2NwEIAAAABQAAAAExAQAAAAstMTg5MzI5ODk5NQMAAAADMTYwAgAAAAQxMjc1BAAAAAEwBwAAAAk3LzExLzIwMjYIAAAACTMvMzEvMjAyNgkAAAABMNlcf2tv394ILGKTbm/f3gg3Q0lRLk5BU0RBUTpNU0ZULklRX1JVQV9BQ0NVTV9ERVAuOTkyLjExLzA3LzIwMjYuLi5VU0QuSAEAAABLVQAAAwAAAAAA2Vx/a2/f3ggsYpNub9/eCDlDSVEu</t>
  </si>
  <si>
    <t>TkFTREFROk1TRlQuSVFfUFJFRl9OT05fUkVERUVNLjk5MS4xMS8wNy8yMDI2Li4uVVNELkgBAAAAS1UAAAMAAAAAANlcf2tv394ILGKTbm/f3ggsQ0lRLk5BU0RBUTpNU0ZULklRX1JFLjk5MC4xMS8wNy8yMDI2Li4uVVNELkgBAAAAS1UAAAIAAAAEOTA5NgEIAAAABQAAAAExAQAAAAoxODUxNTI1OTEyAwAAAAMxNjACAAAABDEyMjIEAAAAATAHAAAACTcvMTEvMjAyNggAAAAJNi8zMC8yMDE1CQAAAAEw2Vx/a2/f3ggsYpNub9/eCDJDSVEuTkFTREFROk1TRlQuSVFfVE9UQUxfQ0wuOTkxLjExLzA3LzIwMjYuLi5VU0QuSAEAAABLVQAAAgAAAAU1OTM1NwEIAAAABQAAAAExAQAAAAoxODk4NDg5NDcwAwAAAAMxNjACAAAABDEwMDkEAAAAATAHAAAACTcvMTEvMjAyNggAAAAJNi8zMC8yMDE2CQAAAAEw2Vx/a2/f3ggsYpNub9/eCDFDSVEuTkFTREFROk1TRlQuSVFfUEVOU0lPTi45OTAuMTEvMDcvMjAyNi4uLlVTRC5IAQAAAEtVAAADAAAAAADZXH9rb9/eCGklk25v394IO0NJUS5OQVNEQVE6TVNGVC5JUV9DVVJSRU5UX1BPUlRfREVCVC45OTAuMTEvMDcvMjAyNi4uLlVTRC5IAQAAAEtVAAACAAAABDI0OTkBCAAAAAUAAAABMQEAAAAKMTg1MTUyNTkxMgMAAAADMTYwAgAAAAQxMjk3BAAAAAEwBwAAAAk3LzExLzIwMjYIAAAACTYvMzAvMjAxNQkAAAABMNlcf2tv394IaSWTbm/f3gg+Q0lRLk5BU0RBUTpN</t>
  </si>
  <si>
    <t>U0ZULklRX0ZJTl9ESVZfREVCVF9DVVJSRU5ULjk5My4xMS8wNy8yMDI2Li4uVVNELkgBAAAAS1UAAAMAAAAAANlcf2tv394ILGKTbm/f3gg6Q0lRLk5BU0RBUTpNU0ZULklRX0ZJTl9ESVZfTE9BTlNfTFQuOTkwLjExLzA3LzIwMjYuLi5VU0QuSAEAAABLVQAAAwAAAAAA2Vx/a2/f3ggsYpNub9/eCDhDSVEuTkFTREFROk1TRlQuSVFfREVGX0NIQVJHRVNfTFQuOTkxLjExLzA3LzIwMjYuLi5VU0QuSAEAAABLVQAAAwAAAAAA2Vx/a2/f3ggsYpNub9/eCEBDSVEuTkFTREFROk1TRlQuSVFfREVGX1RBWF9BU1NFVFNfQ1VSUkVOVC45OTIuMTEvMDcvMjAyNi4uLlVTRC5IAQAAAEtVAAADAAAAAADZXH9rb9/eCGklk25v394ILkNJUS5OQVNEQVE6TVNGVC5JUV9HUFBFLjk5MC4xMS8wNy8yMDI2Li4uVVNELkgBAAAAS1UAAAIAAAAFMzIzMzcBCAAAAAUAAAABMQEAAAAKMTg1MTUyNTkxMgMAAAADMTYwAgAAAAQxMTY5BAAAAAEwBwAAAAk3LzExLzIwMjYIAAAACTYvMzAvMjAxNQkAAAABMNlcf2tv394IaSWTbm/f3ggsQ0lRLk5BU0RBUTpNU0ZULklRX0FSLjk5MC4xMS8wNy8yMDI2Li4uVVNELkgBAAAAS1UAAAIAAAAFMTc5MDgBCAAAAAUAAAABMQEAAAAKMTg1MTUyNTkxMgMAAAADMTYwAgAAAAQxMDIxBAAAAAEwBwAAAAk3LzExLzIwMjYIAAAACTYvMzAvMjAxNQkAAAABMNlcf2tv394IaSWTbm/f3gg0Q0lR</t>
  </si>
  <si>
    <t>Lk5BU0RBUTpNU0ZULklRX0NBU0hfRVFVSVYuOTkyLjExLzA3LzIwMjYuLi5VU0QuSAEAAABLVQAAAgAAAAQ3NjYzAQgAAAAFAAAAATEBAAAACjE5NzMzODA5NTEDAAAAAzE2MAIAAAAEMTA5NgQAAAABMAcAAAAJNy8xMS8yMDI2CAAAAAk2LzMwLzIwMTcJAAAAATDZXH9rb9/eCGklk25v394INkNJUS5OQVNEQVE6TVNGVC5JUV9ET19JTlZFU1RfQ0YuOTkwLjExLzA3LzIwMjYuLi5VU0QuSAEAAABLVQAAAwAAAAAA2Vx/a2/f3ghpJZNub9/eCEVDSVEuTkFTREFROk1TRlQuSVFfT1BFUkFUSU5HX0xFQVNFX0xJQUJJTElUSUVTLjk5MC4xMS8wNy8yMDI2Li4uVVNELkgBAAAAS1UAAAMAAAAAANlcf2tv394IaSWTbm/f3gg3Q0lRLk5BU0RBUTpNU0ZULklRX1VOTEVWRVJFRF9GQ0YuOTkyLjExLzA3LzIwMjYuLi5VU0QuSAEAAABLVQAAAgAAAAkxNjA0Ni44NzUBCAAAAAUAAAABMQEAAAAKMTk3MzM4MDk1MQMAAAADMTYwAgAAAAQ0NDIzBAAAAAEwBwAAAAk3LzExLzIwMjYIAAAACTYvMzAvMjAxNwkAAAABMNlcf2tv394IaSWTbm/f3gg3Q0lRLk5BU0RBUTpNU0ZULklRX0NBU0hfSU5URVJFU1QuOTkyLjExLzA3LzIwMjYuLi5VU0QuSAEAAABLVQAAAgAAAAQxNjAwAQgAAAAFAAAAATEBAAAACjE5NzMzODA5NTEDAAAAAzE2MAIAAAAEMzAyOAQAAAABMAcAAAAJNy8xMS8yMDI2CAAAAAk2LzMwLzIwMTcJAAAA</t>
  </si>
  <si>
    <t>ATDZXH9rb9/eCGklk25v394IPkNJUS5OQVNEQVE6TVNGVC5JUV9DQVNIX0lOVEVSRVNUX0lOVkVTVC45OTAuMTEvMDcvMjAyNi4uLlVTRC5IAQAAAEtVAAADAAAAAADZXH9rb9/eCGklk25v394IRUNJUS5OQVNEQVE6TVNGVC5JUV9ERVJJVkFUSVZFX0xJQUJfTk9OX0NVUlJFTlQuOTkzLjExLzA3LzIwMjYuLi5VU0QuSAEAAABLVQAAAgAAAAExAQgAAAAFAAAAATEBAAAACjIwNDcyNzE3NDUDAAAAAzE2MAIAAAAFNDA0MTkEAAAAATAHAAAACTcvMTEvMjAyNggAAAAJNi8zMC8yMDE4CQAAAAEw2Vx/a2/f3ghpJZNub9/eCEpDSVEuTkFTREFROk1TRlQuSVFfRkFJUl9WQUxVRV9DSEFOR0VfSU5DTF9FQVJOSU5HUy4yMDAwLjExLzA3LzIwMjYuLi5VU0QuSAEAAABLVQAAAwAAAAAA2Vx/a2/f3ghw6JJub9/eCDtDSVEuTkFTREFROk1TRlQuSVFfRklOX0RJVl9TVF9JTlZFU1QuOTkzLjExLzA3LzIwMjYuLi5VU0QuSAEAAABLVQAAAwAAAAAA2Vx/a2/f3ghw6JJub9/eCEhDSVEuTkFTREFROk1TRlQuSVFfVE9UQUxfR0VORVJBTF9QQVJUTkVSX0lOVEVSRVNULjk5My4xMS8wNy8yMDI2Li4uVVNELkgBAAAAS1UAAAMAAAAAANlcf2tv394IcOiSbm/f3gg7Q0lRLk5BU0RBUTpNU0ZULklRX0FTU0VUU19GQUlSX1ZBTFVFLjk5MS4xMS8wNy8yMDI2Li4uVVNELkgBAAAAS1UAAAIAAAAGMTE5MDE5ANlcf2tv394I</t>
  </si>
  <si>
    <t>cOiSbm/f3ggzQ0lRLk5BU0RBUTpNU0ZULklRX0JVSUxESU5HUy45OTAuMTEvMDcvMjAyNi4uLlVTRC5IAQAAAEtVAAACAAAABTEwODAwAQgAAAAFAAAAATEBAAAACjE4NTE1MjU5MTIDAAAAAzE2MAIAAAAEMzAyMwQAAAABMAcAAAAJNy8xMS8yMDI2CAAAAAk2LzMwLzIwMTUJAAAAATDZXH9rb9/eCGklk25v394IRUNJUS5OQVNEQVE6TVNGVC5JUV9GSU5fRElWX01JTk9SSVRZX0lOVF9SRURFRU0uOTkzLjExLzA3LzIwMjYuLi5VU0QuSAEAAABLVQAAAwAAAAAA2Vx/a2/f3ghw6JJub9/eCENDSVEuTkFTREFROk1TRlQuSVFfRklOX0RJVl9NSU5PUklUWV9JTlRFUkVTVC45OTIuMTEvMDcvMjAyNi4uLlVTRC5IAQAAAEtVAAADAAAAAADZXH9rb9/eCHDokm5v394IL0NJUS5OQVNEQVE6TVNGVC5JUV9MSUZPUi45OTAuMTEvMDcvMjAyNi4uLlVTRC5IAQAAAEtVAAADAAAAAADZXH9rb9/eCHDokm5v394IMUNJUS5OQVNEQVE6TVNGVC5JUV9XSVBfSU5WLjk5MC4xMS8wNy8yMDI2Li4uVVNELkgBAAAAS1UAAAIAAAADMjAyAQgAAAAFAAAAATEBAAAACjE4NTE1MjU5MTIDAAAAAzE2MAIAAAAEMzIxOQQAAAABMAcAAAAJNy8xMS8yMDI2CAAAAAk2LzMwLzIwMTUJAAAAATAcCZJrb9/eCHDokm5v394IM0NJUS5OQVNEQVE6TVNGVC5JUV9PVEhFUl9JTlYuOTkwLjExLzA3LzIwMjYuLi5VU0QuSAEAAABLVQAAAwAA</t>
  </si>
  <si>
    <t>AAAAHAmSa2/f3ghw6JJub9/eCDxDSVEuTkFTREFROk1TRlQuSVFfVEJWX1NIQVJFX1JFUE9SVEVELjk5MS4xMS8wNy8yMDI2Li4uVVNELkgBAAAAS1UAAAMAAAAAABwJkmtv394Io9SSbm/f3ggyQ0lRLk5BU0RBUTpNU0ZULklRX0dXX0lOVEFOLjk5Mi4xMS8wNy8yMDI2Li4uVVNELkgBAAAAS1UAAAIAAAAFNDUyMjgBCAAAAAUAAAABMQEAAAAKMTk3MzM4MDk1MQMAAAADMTYwAgAAAAUzNTM4MQQAAAABMAcAAAAJNy8xMS8yMDI2CAAAAAk2LzMwLzIwMTcJAAAAATAcCZJrb9/eCKPUkm5v394INkNJUS5OQVNEQVE6TVNGVC5JUV9UT1RBTF9MRUFTRVMuOTkxLjExLzA3LzIwMjYuLi5VU0QuSAEAAABLVQAAAgAAAAM3ODYBCAAAAAUAAAABMQEAAAAKMTg5ODQ4OTQ3MAMAAAADMTYwAgAAAAU0ODk3OQQAAAABMAcAAAAJNy8xMS8yMDI2CAAAAAk2LzMwLzIwMTYJAAAAATAcCZJrb9/eCKPUkm5v394IVkNJUS5OQVNEQVE6TVNGVC5JUV9GSU5BTkNJTkdfT0JMSUdfTk9OX0NVUlJFTlRfRVhDTF9PUEVSX0xFQVNFUy45OTMuMTEvMDcvMjAyNi4uLlVTRC5IAQAAAEtVAAACAAAABTc2MzY3AQgAAAAFAAAAATEBAAAACjIwNDcyNzE3NDUDAAAAAzE2MAIAAAAFNDg5ODEEAAAAATAHAAAACTcvMTEvMjAyNggAAAAJNi8zMC8yMDE4CQAAAAEwHAmSa2/f3ghw6JJub9/eCDNDSVEuTkFTREFROk1TRlQuSVFfQlZfU0hB</t>
  </si>
  <si>
    <t>UkUuMjAwMC4xMS8wNy8yMDI2Li4uVVNELkgBAAAAS1UAAAIAAAAJNTUuNzc2OTU1AQgAAAAFAAAAATEBAAAACy0xODkzMjk4OTk1AwAAAAMxNjACAAAABDQwMjAEAAAAATAHAAAACTcvMTEvMjAyNggAAAAJMy8zMS8yMDI2CQAAAAEwHAmSa2/f3ghw6JJub9/eCD1DSVEuTkFTREFROk1TRlQuSVFfQURfRVhDTF9PUEVSX0xFQVNFUy45OTAuMTEvMDcvMjAyNi4uLlVTRC5IAQAAAEtVAAACAAAABi0xNzYwNgEIAAAABQAAAAExAQAAAAoxODUxNTI1OTEyAwAAAAMxNjACAAAABTQ4OTc1BAAAAAEwBwAAAAk3LzExLzIwMjYIAAAACTYvMzAvMjAxNQkAAAABMBwJkmtv394IZa2Sbm/f3ghAQ0lRLk5BU0RBUTpNU0ZULklRX0ZJTkFOQ0VfTEVBU0VTX0NVUlJFTlQuOTkzLjExLzA3LzIwMjYuLi5VU0QuSAEAAABLVQAAAgAAAAMxNzYBCAAAAAUAAAABMQEAAAAKMjA0NzI3MTc0NQMAAAADMTYwAgAAAAU0ODk5MAQAAAABMAcAAAAJNy8xMS8yMDI2CAAAAAk2LzMwLzIwMTgJAAAAATAcCZJrb9/eCGWtkm5v394IO0NJUS5OQVNEQVE6TVNGVC5JUV9UT1RBTF9MSUFCX0VRVUlUWS45OTAuMTEvMDcvMjAyNi4uLlVTRC5IAQAAAEtVAAACAAAABjE3NDQ3MgEIAAAABQAAAAExAQAAAAoxODUxNTI1OTEyAwAAAAMxNjACAAAABDEwMTMEAAAAATAHAAAACTcvMTEvMjAyNggAAAAJNi8zMC8yMDE1CQAAAAEwHAmSa2/f3ghl</t>
  </si>
  <si>
    <t>rZJub9/eCEZDSVEuTkFTREFROk1TRlQuSVFfUlVBX0NBUElUQUxfTEVBU0VfQUNDVU1fREVQLjIwMDAuMTEvMDcvMjAyNi4uLlVTRC5IAQAAAEtVAAADAAAAAAAcCZJrb9/eCGWtkm5v394ILENJUS5OQVNEQVE6TVNGVC5JUV9SRS45OTEuMTEvMDcvMjAyNi4uLlVTRC5IAQAAAEtVAAACAAAABDIyODIBCAAAAAUAAAABMQEAAAAKMTg5ODQ4OTQ3MAMAAAADMTYwAgAAAAQxMjIyBAAAAAEwBwAAAAk3LzExLzIwMjYIAAAACTYvMzAvMjAxNgkAAAABMBwJkmtv394Io9SSbm/f3gg3Q0lRLk5BU0RBUTpNU0ZULklRX1VORUFSTl9SRVZfTFQuOTkzLjExLzA3LzIwMjYuLi5VU0QuSAEAAABLVQAAAgAAAAQzODE1AQgAAAAFAAAAATEBAAAACjIwNDcyNzE3NDUDAAAAAzE2MAIAAAAEMTI1NgQAAAABMAcAAAAJNy8xMS8yMDI2CAAAAAk2LzMwLzIwMTgJAAAAATAcCZJrb9/eCD1xkm5v394IOUNJUS5OQVNEQVE6TVNGVC5JUV9QUkVGX05PTl9SRURFRU0uOTkyLjExLzA3LzIwMjYuLi5VU0QuSAEAAABLVQAAAwAAAAAAHAmSa2/f3ghlrZJub9/eCD1DSVEuTkFTREFROk1TRlQuSVFfVU5FQVJOX1JFVl9DVVJSRU5ULjIwMDAuMTEvMDcvMjAyNi4uLlVTRC5IAQAAAEtVAAACAAAABTUwOTI0AQgAAAAFAAAAATEBAAAACy0xODkzMjk4OTk1AwAAAAMxNjACAAAABDEwNzQEAAAAATAHAAAACTcvMTEvMjAyNggAAAAJMy8z</t>
  </si>
  <si>
    <t>MS8yMDI2CQAAAAEwHAmSa2/f3ghlrZJub9/eCDJDSVEuTkFTREFROk1TRlQuSVFfVE9UQUxfQ0wuOTkyLjExLzA3LzIwMjYuLi5VU0QuSAEAAABLVQAAAgAAAAU1NTc0NQEIAAAABQAAAAExAQAAAAoxOTczMzgwOTUxAwAAAAMxNjACAAAABDEwMDkEAAAAATAHAAAACTcvMTEvMjAyNggAAAAJNi8zMC8yMDE3CQAAAAEwHAmSa2/f3ghlrZJub9/eCDhDSVEuTkFTREFROk1TRlQuSVFfREVGX0NIQVJHRVNfTFQuOTkyLjExLzA3LzIwMjYuLi5VU0QuSAEAAABLVQAAAwAAAAAAHAmSa2/f3ghlrZJub9/eCDtDSVEuTkFTREFROk1TRlQuSVFfQ1VSUkVOVF9QT1JUX0RFQlQuOTkxLjExLzA3LzIwMjYuLi5VU0QuSAEAAABLVQAAAwAAAAAAHAmSa2/f3gg9cZJub9/eCC5DSVEuTkFTREFROk1TRlQuSVFfR1BQRS45OTEuMTEvMDcvMjAyNi4uLlVTRC5IAQAAAEtVAAACAAAABTM4MTU2AQgAAAAFAAAAATEBAAAACjE4OTg0ODk0NzADAAAAAzE2MAIAAAAEMTE2OQQAAAABMAcAAAAJNy8xMS8yMDI2CAAAAAk2LzMwLzIwMTYJAAAAATAcCZJrb9/eCD1xkm5v394INUNJUS5OQVNEQVE6TVNGVC5JUV9PVEhFUl9JTlRBTi45OTMuMTEvMDcvMjAyNi4uLlVTRC5IAQAAAEtVAAACAAAABDgwNTMBCAAAAAUAAAABMQEAAAAKMjA0NzI3MTc0NQMAAAADMTYwAgAAAAQxMDQwBAAAAAEwBwAAAAk3LzExLzIwMjYIAAAACTYvMzAv</t>
  </si>
  <si>
    <t>MjAxOAkAAAABMBwJkmtv394IPXGSbm/f3gg3Q0lRLk5BU0RBUTpNU0ZULklRX1RPVEFMX1JFQ0VJVi4yMDAwLjExLzA3LzIwMjYuLi5VU0QuSAEAAABLVQAAAgAAAAU3Nzg0MQEIAAAABQAAAAExAQAAAAstMTg5MzI5ODk5NQMAAAADMTYwAgAAAAQxMDAxBAAAAAEwBwAAAAk3LzExLzIwMjYIAAAACTMvMzEvMjAyNgkAAAABMBwJkmtv394IPXGSbm/f3ghAQ0lRLk5BU0RBUTpNU0ZULklRX0RFRl9UQVhfQVNTRVRTX0NVUlJFTlQuOTkzLjExLzA3LzIwMjYuLi5VU0QuSAEAAABLVQAAAwAAAAAAHAmSa2/f3gg9cZJub9/eCDRDSVEuTkFTREFROk1TRlQuSVFfQ0FTSF9FUVVJVi45OTMuMTEvMDcvMjAyNi4uLlVTRC5IAQAAAEtVAAACAAAABTExOTQ2AQgAAAAFAAAAATEBAAAACjIwNDcyNzE3NDUDAAAAAzE2MAIAAAAEMTA5NgQAAAABMAcAAAAJNy8xMS8yMDI2CAAAAAk2LzMwLzIwMTgJAAAAATAcCZJrb9/eCPRJkm5v394ILENJUS5OQVNEQVE6TVNGVC5JUV9BUi45OTEuMTEvMDcvMjAyNi4uLlVTRC5IAQAAAEtVAAACAAAABTE4Mjc3AQgAAAAFAAAAATEBAAAACjE4OTg0ODk0NzADAAAAAzE2MAIAAAAEMTAyMQQAAAABMAcAAAAJNy8xMS8yMDI2CAAAAAk2LzMwLzIwMTYJAAAAATAcCZJrb9/eCPRJkm5v394IRUNJUS5OQVNEQVE6TVNGVC5JUV9PUEVSQVRJTkdfTEVBU0VfTElBQklMSVRJRVMuOTkxLjEx</t>
  </si>
  <si>
    <t>LzA3LzIwMjYuLi5VU0QuSAEAAABLVQAAAwAAAAAAHAmSa2/f3gg9cZJub9/eCEhDSVEuTkFTREFROk1TRlQuSVFfVE9UQUxfREVCVF9SRVBBSURfRVhDTF9MRUFTRVMuMjAwMC4xMS8wNy8yMDI2Li4uVVNELkgBAAAAS1UAAAIAAAAFLTMwMDABCAAAAAUAAAABMQEAAAALLTE4OTMyOTg5OTUDAAAAAzE2MAIAAAAFNDg5ODYEAAAAATAHAAAACTcvMTEvMjAyNggAAAAJMy8zMS8yMDI2CQAAAAEwHAmSa2/f3gg9cZJub9/eCD9DSVEuTkFTREFROk1TRlQuSVFfQ0hBTkdFX0RFRl9UQVhfVE9UQUwuMjAwMC4xMS8wNy8yMDI2Li4uVVNELkgBAAAAS1UAAAIAAAAENzMxOAEIAAAABQAAAAExAQAAAAstMTg5MzI5ODk5NQMAAAADMTYwAgAAAAUzMDkyNAQAAAABMAcAAAAJNy8xMS8yMDI2CAAAAAkzLzMxLzIwMjYJAAAAATAcCZJrb9/eCD1xkm5v394IN0NJUS5OQVNEQVE6TVNGVC5JUV9VTkxFVkVSRURfRkNGLjk5My4xMS8wNy8yMDI2Li4uVVNELkgBAAAAS1UAAAIAAAAIMjY3NDMuMjUBCAAAAAUAAAABMQEAAAAKMjA0NzI3MTc0NQMAAAADMTYwAgAAAAQ0NDIzBAAAAAEwBwAAAAk3LzExLzIwMjYIAAAACTYvMzAvMjAxOAkAAAABMOgckmtv394I9EmSbm/f3gg1Q0lRLk5BU0RBUTpNU0ZULklRX01BSU5UX0NBUEVYLjk5My4xMS8wNy8yMDI2Li4uVVNELkgBAAAAS1UAAAMAAAAAAOgckmtv394I9EmSbm/f3gg5</t>
  </si>
  <si>
    <t>Q0lRLk5BU0RBUTpNU0ZULklRX0NBU0hfVEFYRVNfT1BFUi45OTEuMTEvMDcvMjAyNi4uLlVTRC5IAQAAAEtVAAADAAAAAADoHJJrb9/eCPRJkm5v394IRUNJUS5OQVNEQVE6TVNGVC5JUV9SRVNUUklDVEVEX0NBU0hfTk9OX0NVUlJFTlQuOTkwLjExLzA3LzIwMjYuLi5VU0QuSAEAAABLVQAAAwAAAAAA6BySa2/f3gj0SZJub9/eCD1DSVEuTkFTREFROk1TRlQuSVFfTElBQklMSVRJRVNfTEVWRUxfMy45OTAuMTEvMDcvMjAyNi4uLlVTRC5IAQAAAEtVAAACAAAAAjU0AOgckmtv394I9EmSbm/f3gg7Q0lRLk5BU0RBUTpNU0ZULklRX0FTU0VUU19GQUlSX1ZBTFVFLjk5Mi4xMS8wNy8yMDI2Li4uVVNELkgBAAAAS1UAAAIAAAAGMTMzOTg1AOgckmtv394I1A6Sbm/f3ggzQ0lRLk5BU0RBUTpNU0ZULklRX0JVSUxESU5HUy45OTEuMTEvMDcvMjAyNi4uLlVTRC5IAQAAAEtVAAACAAAABTEyMzkzAQgAAAAFAAAAATEBAAAACjE4OTg0ODk0NzADAAAAAzE2MAIAAAAEMzAyMwQAAAABMAcAAAAJNy8xMS8yMDI2CAAAAAk2LzMwLzIwMTYJAAAAATDoHJJrb9/eCCQ2km5v394IQ0NJUS5OQVNEQVE6TVNGVC5JUV9GSU5fRElWX01JTk9SSVRZX0lOVEVSRVNULjk5My4xMS8wNy8yMDI2Li4uVVNELkgBAAAAS1UAAAMAAAAAAOgckmtv394IJDaSbm/f3ggvQ0lRLk5BU0RBUTpNU0ZULklRX0xJRk9SLjk5MS4xMS8wNy8y</t>
  </si>
  <si>
    <t>MDI2Li4uVVNELkgBAAAAS1UAAAMAAAAAAOgckmtv394IJDaSbm/f3ggxQ0lRLk5BU0RBUTpNU0ZULklRX1dJUF9JTlYuOTkxLjExLzA3LzIwMjYuLi5VU0QuSAEAAABLVQAAAgAAAAMxNTgBCAAAAAUAAAABMQEAAAAKMTg5ODQ4OTQ3MAMAAAADMTYwAgAAAAQzMjE5BAAAAAEwBwAAAAk3LzExLzIwMjYIAAAACTYvMzAvMjAxNgkAAAABMOgckmtv394I9EmSbm/f3ggzQ0lRLk5BU0RBUTpNU0ZULklRX09USEVSX0lOVi45OTEuMTEvMDcvMjAyNi4uLlVTRC5IAQAAAEtVAAADAAAAAADoHJJrb9/eCNQOkm5v394IPENJUS5OQVNEQVE6TVNGVC5JUV9UQlZfU0hBUkVfUkVQT1JURUQuOTkyLjExLzA3LzIwMjYuLi5VU0QuSAEAAABLVQAAAwAAAAAA6BySa2/f3gjUDpJub9/eCDJDSVEuTkFTREFROk1TRlQuSVFfR1dfSU5UQU4uOTkzLjExLzA3LzIwMjYuLi5VU0QuSAEAAABLVQAAAgAAAAU0MzczNgEIAAAABQAAAAExAQAAAAoyMDQ3MjcxNzQ1AwAAAAMxNjACAAAABTM1MzgxBAAAAAEwBwAAAAk3LzExLzIwMjYIAAAACTYvMzAvMjAxOAkAAAABMOgckmtv394I1A6Sbm/f3gg0Q0lRLk5BU0RBUTpNU0ZULklRX1RPVEFMX0RFQlQuOTkyLjExLzA3LzIwMjYuLi5VU0QuSAEAAABLVQAAAgAAAAU5NTUyNwEIAAAABQAAAAExAQAAAAoxOTczMzgwOTUxAwAAAAMxNjACAAAABDQxNzMEAAAAATAHAAAACTcvMTEvMjAy</t>
  </si>
  <si>
    <t>NggAAAAJNi8zMC8yMDE3CQAAAAEw6BySa2/f3gjUDpJub9/eCDZDSVEuTkFTREFROk1TRlQuSVFfVE9UQUxfTEVBU0VTLjk5Mi4xMS8wNy8yMDI2Li4uVVNELkgBAAAAS1UAAAIAAAAEOTMzMwEIAAAABQAAAAExAQAAAAoxOTczMzgwOTUxAwAAAAMxNjACAAAABTQ4OTc5BAAAAAEwBwAAAAk3LzExLzIwMjYIAAAACTYvMzAvMjAxNwkAAAABMOgckmtv394I1A6Sbm/f3gg7Q0lRLk5BU0RBUTpNU0ZULklRX0JWX1NIQVJFX1JFUE9SVEVELjk5MC4xMS8wNy8yMDI2Li4uVVNELkgBAAAAS1UAAAMAAAAAAOgckmtv394IO/qRbm/f3gg9Q0lRLk5BU0RBUTpNU0ZULklRX0FEX0VYQ0xfT1BFUl9MRUFTRVMuOTkxLjExLzA3LzIwMjYuLi5VU0QuSAEAAABLVQAAAgAAAAYtMTk4MDABCAAAAAUAAAABMQEAAAAKMTg5ODQ4OTQ3MAMAAAADMTYwAgAAAAU0ODk3NQQAAAABMAcAAAAJNy8xMS8yMDI2CAAAAAk2LzMwLzIwMTYJAAAAATDoHJJrb9/eCDv6kW5v394IUUNJUS5OQVNEQVE6TVNGVC5JUV9DVVJSRU5UX1BPUlRJT05fT1BFUl9MRUFTRV9MSUFCSUxJVElFUy4yMDAwLjExLzA3LzIwMjYuLi5VU0QuSAEAAABLVQAAAgAAAAQ1NTM1AQgAAAAFAAAAATEBAAAACy0xODkzMjk4OTk1AwAAAAMxNjACAAAABTQ4Mzg1BAAAAAEwBwAAAAk3LzExLzIwMjYIAAAACTMvMzEvMjAyNgkAAAABMOgckmtv394IO/qRbm/f3gg7</t>
  </si>
  <si>
    <t>Q0lRLk5BU0RBUTpNU0ZULklRX1RPVEFMX0xJQUJfRVFVSVRZLjk5MS4xMS8wNy8yMDI2Li4uVVNELkgBAAAAS1UAAAIAAAAGMTkzNDY4AQgAAAAFAAAAATEBAAAACjE4OTg0ODk0NzADAAAAAzE2MAIAAAAEMTAxMwQAAAABMAcAAAAJNy8xMS8yMDI2CAAAAAk2LzMwLzIwMTYJAAAAATDoHJJrb9/eCNQOkm5v394IRUNJUS5OQVNEQVE6TVNGVC5JUV9SVUFfQ0FQSVRBTF9MRUFTRV9BQ0NVTV9ERVAuOTkyLjExLzA3LzIwMjYuLi5VU0QuSAEAAABLVQAAAwAAAAAA6BySa2/f3gjUDpJub9/eCDZDSVEuTkFTREFROk1TRlQuSVFfUFJFRl9FUVVJVFkuMjAwMC4xMS8wNy8yMDI2Li4uVVNELkgBAAAAS1UAAAMAAAAAAOgckmtv394IDb2Rbm/f3ggsQ0lRLk5BU0RBUTpNU0ZULklRX1JFLjk5Mi4xMS8wNy8yMDI2Li4uVVNELkgBAAAAS1UAAAIAAAAFMTc3NjkBCAAAAAUAAAABMQEAAAAKMTk3MzM4MDk1MQMAAAADMTYwAgAAAAQxMjIyBAAAAAEwBwAAAAk3LzExLzIwMjYIAAAACTYvMzAvMjAxNwkAAAABMOgckmtv394IDb2Rbm/f3gg6Q0lRLk5BU0RBUTpNU0ZULklRX0ZJTl9ESVZfREVCVF9MVC4yMDAwLjExLzA3LzIwMjYuLi5VU0QuSAEAAABLVQAAAwAAAAAA6BySa2/f3ggNvZFub9/eCDRDSVEuTkFTREFROk1TRlQuSVFfVE9UQUxfTElBQi45OTAuMTEvMDcvMjAyNi4uLlVTRC5IAQAAAEtVAAACAAAABTk0</t>
  </si>
  <si>
    <t>Mzg5AQgAAAAFAAAAATEBAAAACjE4NTE1MjU5MTIDAAAAAzE2MAIAAAAEMTI3NgQAAAABMAcAAAAJNy8xMS8yMDI2CAAAAAk2LzMwLzIwMTUJAAAAATDoHJJrb9/eCA29kW5v394IOUNJUS5OQVNEQVE6TVNGVC5JUV9QUkVGX05PTl9SRURFRU0uOTkzLjExLzA3LzIwMjYuLi5VU0QuSAEAAABLVQAAAwAAAAAA6BySa2/f3gg7+pFub9/eCD5DSVEuTkFTREFROk1TRlQuSVFfREVGX1RBWF9MSUFCX0NVUlJFTlQuOTkxLjExLzA3LzIwMjYuLi5VU0QuSAEAAABLVQAAAwAAAAAA6BySa2/f3ggNvZFub9/eCDlDSVEuTkFTREFROk1TRlQuSVFfTE9BTlNfUkVDRUlWX0xULjk5MC4xMS8wNy8yMDI2Li4uVVNELkgBAAAAS1UAAAMAAAAAAOgckmtv394IDb2Rbm/f3gg4Q0lRLk5BU0RBUTpNU0ZULklRX0RFRl9DSEFSR0VTX0xULjk5My4xMS8wNy8yMDI2Li4uVVNELkgBAAAAS1UAAAMAAAAAAOgckmtv394IDb2Rbm/f3ggtQ0lRLk5BU0RBUTpNU0ZULklRX0FQLjIwMDAuMTEvMDcvMjAyNi4uLlVTRC5IAQAAAEtVAAACAAAABTM3NTEzAQgAAAAFAAAAATEBAAAACy0xODkzMjk4OTk1AwAAAAMxNjACAAAABDEwMTgEAAAAATAHAAAACTcvMTEvMjAyNggAAAAJMy8zMS8yMDI2CQAAAAEw6BySa2/f3ggNvZFub9/eCDtDSVEuTkFTREFROk1TRlQuSVFfQ1VSUkVOVF9QT1JUX0RFQlQuOTkyLjExLzA3LzIwMjYuLi5VU0Qu</t>
  </si>
  <si>
    <t>SAEAAABLVQAAAgAAAAQxMDQ5AQgAAAAFAAAAATEBAAAACjE5NzMzODA5NTEDAAAAAzE2MAIAAAAEMTI5NwQAAAABMAcAAAAJNy8xMS8yMDI2CAAAAAk2LzMwLzIwMTcJAAAAATDoHJJrb9/eCA29kW5v394ILkNJUS5OQVNEQVE6TVNGVC5JUV9HUFBFLjk5Mi4xMS8wNy8yMDI2Li4uVVNELkgBAAAAS1UAAAIAAAAFNTQ0NjgBCAAAAAUAAAABMQEAAAAKMTk3MzM4MDk1MQMAAAADMTYwAgAAAAQxMTY5BAAAAAEwBwAAAAk3LzExLzIwMjYIAAAACTYvMzAvMjAxNwkAAAABMOgckmtv394IdIGRbm/f3gg0Q0lRLk5BU0RBUTpNU0ZULklRX0xUX0lOVkVTVC4yMDAwLjExLzA3LzIwMjYuLi5VU0QuSAEAAABLVQAAAgAAAAUzMzY4MwEIAAAABQAAAAExAQAAAAstMTg5MzI5ODk5NQMAAAADMTYwAgAAAAQxMDU0BAAAAAEwBwAAAAk3LzExLzIwMjYIAAAACTMvMzEvMjAyNgkAAAABMOgckmtv394IdIGRbm/f3ggzQ0lRLk5BU0RBUTpNU0ZULklRX0lOVkVOVE9SWS45OTAuMTEvMDcvMjAyNi4uLlVTRC5IAQAAAEtVAAACAAAABDI5MDIBCAAAAAUAAAABMQEAAAAKMTg1MTUyNTkxMgMAAAADMTYwAgAAAAQxMDQzBAAAAAEwBwAAAAk3LzExLzIwMjYIAAAACTYvMzAvMjAxNQkAAAABMOgckmtv394IdIGRbm/f3ghAQ0lRLk5BU0RBUTpNU0ZULklRX0ZJTl9ESVZfQVNTRVRTX0NVUlJFTlQuOTkwLjExLzA3LzIwMjYuLi5V</t>
  </si>
  <si>
    <t>U0QuSAEAAABLVQAAAwAAAAAA6BySa2/f3ggNvZFub9/eCCxDSVEuTkFTREFROk1TRlQuSVFfQVIuOTkyLjExLzA3LzIwMjYuLi5VU0QuSAEAAABLVQAAAgAAAAUyMjQzMQEIAAAABQAAAAExAQAAAAoxOTczMzgwOTUxAwAAAAMxNjACAAAABDEwMjEEAAAAATAHAAAACTcvMTEvMjAyNggAAAAJNi8zMC8yMDE3CQAAAAEw6BySa2/f3ggNvZFub9/eCEVDSVEuTkFTREFROk1TRlQuSVFfT1BFUkFUSU5HX0xFQVNFX0xJQUJJTElUSUVTLjk5Mi4xMS8wNy8yMDI2Li4uVVNELkgBAAAAS1UAAAMAAAAAAOgckmtv394IdIGRbm/f3gg9Q0lRLk5BU0RBUTpNU0ZULklRX0dBSU5fQkFSR0FJTl9BQ1FfQ0YuOTkwLjExLzA3LzIwMjYuLi5VU0QuSAEAAABLVQAAAwAAAAAA6BySa2/f3gh0gZFub9/eCERDSVEuTkFTREFROk1TRlQuSVFfQ0hBTkdFX05FVF9XT1JLSU5HX0NBUElUQUwuOTkwLjExLzA3LzIwMjYuLi5VU0QuSAEAAABLVQAAAgAAAAUtMTY5OAEIAAAABQAAAAExAQAAAAoxODUxNTI1OTEyAwAAAAMxNjACAAAABDQ0MjEEAAAAATAHAAAACTcvMTEvMjAyNggAAAAJNi8zMC8yMDE1CQAAAAEw6BySa2/f3gh0gZFub9/eCDlDSVEuTkFTREFROk1TRlQuSVFfQ0FTSF9UQVhFU19PUEVSLjk5Mi4xMS8wNy8yMDI2Li4uVVNELkgBAAAAS1UAAAMAAAAAAOgckmtv394IdIGRbm/f3gg0Q0lRLk5BU0RBUTpNU0ZULklR</t>
  </si>
  <si>
    <t>X0RFUFJFX1NVUFAuOTkyLjExLzA3LzIwMjYuLi5VU0QuSAEAAABLVQAAAgAAAAQ2MTAwAQgAAAAFAAAAATEBAAAACjE5NzMzODA5NTEDAAAAAzE2MAIAAAAEMjE0MwQAAAABMAcAAAAJNy8xMS8yMDI2CAAAAAk2LzMwLzIwMTcJAAAAATDoHJJrb9/eCHSBkW5v394IRkNJUS5OQVNEQVE6TVNGVC5JUV9EQV9TVVBQTF9DRl9FWENMX09QRVJfTEVBU0VTLjk5Mi4xMS8wNy8yMDI2Li4uVVNELkgBAAAAS1UAAAIAAAAENjEwMAEIAAAABQAAAAExAQAAAAoxOTczMzgwOTUxAwAAAAMxNjACAAAABTQ4OTgzBAAAAAEwBwAAAAk3LzExLzIwMjYIAAAACTYvMzAvMjAxNwkAAAABMOgckmtv394ISW2Rbm/f3ghCQ0lRLk5BU0RBUTpNU0ZULklRX0FNT1JUX1NPRlRXQVJFX0FTU0VUU19DRi45OTAuMTEvMDcvMjAyNi4uLlVTRC5IAQAAAEtVAAACAAAAAjc5AQgAAAAFAAAAATEBAAAACjE4NTE1MjU5MTIDAAAAAzE2MAIAAAAFNDYwMTEEAAAAATAHAAAACTcvMTEvMjAyNggAAAAJNi8zMC8yMDE1CQAAAAEw6BySa2/f3ghJbZFub9/eCDhDSVEuTkFTREFROk1TRlQuSVFfU1BFQ0lBTF9ESVZfQ0YuOTkwLjExLzA3LzIwMjYuLi5VU0QuSAEAAABLVQAAAwAAAAAA6BySa2/f3gh0gZFub9/eCCxDSVEuTkFTREFROk1TRlQuSVFfRlguOTkwLjExLzA3LzIwMjYuLi5VU0QuSAEAAABLVQAAAgAAAAMtNzMBCAAAAAUAAAABMQEA</t>
  </si>
  <si>
    <t>AAAKMTg1MTUyNTkxMgMAAAADMTYwAgAAAAQyMTQ0BAAAAAEwBwAAAAk3LzExLzIwMjYIAAAACTYvMzAvMjAxNQkAAAABMOgckmtv394IdIGRbm/f3gg3Q0lRLk5BU0RBUTpNU0ZULklRX0NPTU1PTl9ESVZfQ0YuOTkyLjExLzA3LzIwMjYuLi5VU0QuSAEAAABLVQAAAgAAAAYtMTE4NDUBCAAAAAUAAAABMQEAAAAKMTk3MzM4MDk1MQMAAAADMTYwAgAAAAQyMDc0BAAAAAEwBwAAAAk3LzExLzIwMjYIAAAACTYvMzAvMjAxNwkAAAABMOgckmtv394IdIGRbm/f3gg4Q0lRLk5BU0RBUTpNU0ZULklRX0xUX0RFQlRfSVNTVUVELjk5MC4xMS8wNy8yMDI2Li4uVVNELkgBAAAAS1UAAAIAAAAFMTA2ODABCAAAAAUAAAABMQEAAAAKMTg1MTUyNTkxMgMAAAADMTYwAgAAAAQyMDM0BAAAAAEwBwAAAAk3LzExLzIwMjYIAAAACTYvMzAvMjAxNQkAAAABMOgckmtv394IyEWRbm/f3ghBQ0lRLk5BU0RBUTpNU0ZULklRX0NPTlRJTkdFTlRfTElBQklMSVRJRVMuMjAwMC4xMS8wNy8yMDI2Li4uVVNELkgBAAAAS1UAAAMAAAAAAOgckmtv394IyEWRbm/f3ghFQ0lRLk5BU0RBUTpNU0ZULklRX0RFUklWQVRJVkVfTElBQl9OT05fQ1VSUkVOVC45OTAuMTEvMDcvMjAyNi4uLlVTRC5IAQAAAEtVAAADAAAAAADoHJJrb9/eCMhFkW5v394IMENJUS5OQVNEQVE6TVNGVC5JUV9HV19ORVQuOTkwLjExLzA3LzIwMjYuLi5VU0QuSAEA</t>
  </si>
  <si>
    <t>AABLVQAAAwAAAAAA6BySa2/f3gjIRZFub9/eCEVDSVEuTkFTREFROk1TRlQuSVFfUkVTVFJJQ1RFRF9DQVNIX05PTl9DVVJSRU5ULjk5MS4xMS8wNy8yMDI2Li4uVVNELkgBAAAAS1UAAAMAAAAAAOgckmtv394IyEWRbm/f3gg7Q0lRLk5BU0RBUTpNU0ZULklRX0FTU0VUU19GQUlSX1ZBTFVFLjk5My4xMS8wNy8yMDI2Li4uVVNELkgBAAAAS1UAAAIAAAAGMTMwNTY0AOgckmtv394IIQqRbm/f3gg9Q0lRLk5BU0RBUTpNU0ZULklRX0xJQUJJTElUSUVTX0xFVkVMXzMuOTkxLjExLzA3LzIwMjYuLi5VU0QuSAEAAABLVQAAAwAAAAAA6BySa2/f3gghCpFub9/eCDJDSVEuTkFTREFROk1TRlQuSVFfU09GVFdBUkUuOTkyLjExLzA3LzIwMjYuLi5VU0QuSAEAAABLVQAAAwAAAAAA6BySa2/f3gghCpFub9/eCDFDSVEuTkFTREFROk1TRlQuSVFfV0lQX0lOVi45OTIuMTEvMDcvMjAyNi4uLlVTRC5IAQAAAEtVAAACAAAAAzE0NQEIAAAABQAAAAExAQAAAAoxOTczMzgwOTUxAwAAAAMxNjACAAAABDMyMTkEAAAAATAHAAAACTcvMTEvMjAyNggAAAAJNi8zMC8yMDE3CQAAAAEw6BySa2/f3gghCpFub9/eCDNDSVEuTkFTREFROk1TRlQuSVFfT1RIRVJfSU5WLjk5Mi4xMS8wNy8yMDI2Li4uVVNELkgBAAAAS1UAAAMAAAAAAOgckmtv394IyEWRbm/f3ggzQ0lRLk5BU0RBUTpNU0ZULklRX0JVSUxESU5HUy45OTIuMTEv</t>
  </si>
  <si>
    <t>MDcvMjAyNi4uLlVTRC5IAQAAAEtVAAACAAAABTE2Mjg0AQgAAAAFAAAAATEBAAAACjE5NzMzODA5NTEDAAAAAzE2MAIAAAAEMzAyMwQAAAABMAcAAAAJNy8xMS8yMDI2CAAAAAk2LzMwLzIwMTcJAAAAATDoHJJrb9/eCCEKkW5v394IO0NJUS5OQVNEQVE6TVNGVC5JUV9CVl9TSEFSRV9SRVBPUlRFRC45OTEuMTEvMDcvMjAyNi4uLlVTRC5IAQAAAEtVAAADAAAAAADoHJJrb9/eCCEKkW5v394IPENJUS5OQVNEQVE6TVNGVC5JUV9UQlZfU0hBUkVfUkVQT1JURUQuOTkzLjExLzA3LzIwMjYuLi5VU0QuSAEAAABLVQAAAwAAAAAA6BySa2/f3gghCpFub9/eCD1DSVEuTkFTREFROk1TRlQuSVFfQURfRVhDTF9PUEVSX0xFQVNFUy45OTIuMTEvMDcvMjAyNi4uLlVTRC5IAQAAAEtVAAACAAAABi0yNDE3OQEIAAAABQAAAAExAQAAAAoxOTczMzgwOTUxAwAAAAMxNjACAAAABTQ4OTc1BAAAAAEwBwAAAAk3LzExLzIwMjYIAAAACTYvMzAvMjAxNwkAAAABMOgckmtv394IIQqRbm/f3ghLQ0lRLk5BU0RBUTpNU0ZULklRX0xUX1BPUlRJT05fT1BFUl9MRUFTRV9MSUFCSUxJVElFUy45OTEuMTEvMDcvMjAyNi4uLlVTRC5IAQAAAEtVAAADAAAAAADoHJJrb9/eCCEKkW5v394INkNJUS5OQVNEQVE6TVNGVC5JUV9UT1RBTF9MRUFTRVMuOTkzLjExLzA3LzIwMjYuLi5VU0QuSAEAAABLVQAAAgAAAAUxMTI2OAEIAAAABQAA</t>
  </si>
  <si>
    <t>AAExAQAAAAoyMDQ3MjcxNzQ1AwAAAAMxNjACAAAABTQ4OTc5BAAAAAEwBwAAAAk3LzExLzIwMjYIAAAACTYvMzAvMjAxOAkAAAABMOgckmtv394IU/aQbm/f3ghFQ0lRLk5BU0RBUTpNU0ZULklRX1JVQV9DQVBJVEFMX0xFQVNFX0FDQ1VNX0RFUC45OTMuMTEvMDcvMjAyNi4uLlVTRC5IAQAAAEtVAAADAAAAAADoHJJrb9/eCFP2kG5v394ISENJUS5OQVNEQVE6TVNGVC5JUV9SVUFfT1BFUkFUSU5HX0xFQVNFX0FDQ1VNX0RFUC4yMDAwLjExLzA3LzIwMjYuLi5VU0QuSAEAAABLVQAAAwAAAAAA6BySa2/f3gghCpFub9/eCDBDSVEuTkFTREFROk1TRlQuSVFfQ09NTU9OLjk5MC4xMS8wNy8yMDI2Li4uVVNELkgBAAAAS1UAAAIAAAAFNjg0NjUBCAAAAAUAAAABMQEAAAAKMTg1MTUyNTkxMgMAAAADMTYwAgAAAAQxMTAzBAAAAAEwBwAAAAk3LzExLzIwMjYIAAAACTYvMzAvMjAxNQkAAAABMOgckmtv394IIQqRbm/f3ggsQ0lRLk5BU0RBUTpNU0ZULklRX1JFLjk5My4xMS8wNy8yMDI2Li4uVVNELkgBAAAAS1UAAAIAAAAFMTM2ODIBCAAAAAUAAAABMQEAAAAKMjA0NzI3MTc0NQMAAAADMTYwAgAAAAQxMjIyBAAAAAEwBwAAAAk3LzExLzIwMjYIAAAACTYvMzAvMjAxOAkAAAABMOgckmtv394IIQqRbm/f3gg+Q0lRLk5BU0RBUTpNU0ZULklRX1RPVEFMX0NPTU1PTl9FUVVJVFkuMjAwMC4xMS8wNy8yMDI2Li4u</t>
  </si>
  <si>
    <t>VVNELkgBAAAAS1UAAAIAAAAGNDE0MzY3AQgAAAAFAAAAATEBAAAACy0xODkzMjk4OTk1AwAAAAMxNjACAAAABDEwMDYEAAAAATAHAAAACTcvMTEvMjAyNggAAAAJMy8zMS8yMDI2CQAAAAEw6BySa2/f3gjWzpBub9/eCDRDSVEuTkFTREFROk1TRlQuSVFfVE9UQUxfTElBQi45OTEuMTEvMDcvMjAyNi4uLlVTRC5IAQAAAEtVAAACAAAABjEyMTQ3MQEIAAAABQAAAAExAQAAAAoxODk4NDg5NDcwAwAAAAMxNjACAAAABDEyNzYEAAAAATAHAAAACTcvMTEvMjAyNggAAAAJNi8zMC8yMDE2CQAAAAEw6BySa2/f3gjWzpBub9/eCD9DSVEuTkFTREFROk1TRlQuSVFfRklOX0RJVl9MSUFCX0NVUlJFTlQuMjAwMC4xMS8wNy8yMDI2Li4uVVNELkgBAAAAS1UAAAMAAAAAAOgckmtv394I1s6Qbm/f3gg5Q0lRLk5BU0RBUTpNU0ZULklRX0ZJTl9ESVZfREVCVF9MVC45OTIuMTEvMDcvMjAyNi4uLlVTRC5IAQAAAEtVAAADAAAAAADoHJJrb9/eCFP2kG5v394ILENJUS5OQVNEQVE6TVNGVC5JUV9BRS45OTAuMTEvMDcvMjAyNi4uLlVTRC5IAQAAAEtVAAACAAAABDUwOTYBCAAAAAUAAAABMQEAAAAKMTg1MTUyNTkxMgMAAAADMTYwAgAAAAQxMDE2BAAAAAEwBwAAAAk3LzExLzIwMjYIAAAACTYvMzAvMjAxNQkAAAABMOgckmtv394IU/aQbm/f3gg7Q0lRLk5BU0RBUTpNU0ZULklRX0NVUlJFTlRfUE9SVF9ERUJULjk5My4x</t>
  </si>
  <si>
    <t>MS8wNy8yMDI2Li4uVVNELkgBAAAAS1UAAAIAAAAEMzk5OAEIAAAABQAAAAExAQAAAAoyMDQ3MjcxNzQ1AwAAAAMxNjACAAAABDEyOTcEAAAAATAHAAAACTcvMTEvMjAyNggAAAAJNi8zMC8yMDE4CQAAAAEw6BySa2/f3gjWzpBub9/eCDNDSVEuTkFTREFROk1TRlQuSVFfTFRfSU5WRVNULjk5Mi4xMS8wNy8yMDI2Li4uVVNELkgBAAAAS1UAAAIAAAAENjAyMwEIAAAABQAAAAExAQAAAAoxOTczMzgwOTUxAwAAAAMxNjACAAAABDEwNTQEAAAAATAHAAAACTcvMTEvMjAyNggAAAAJNi8zMC8yMDE3CQAAAAEw6BySa2/f3gjWzpBub9/eCDlDSVEuTkFTREFROk1TRlQuSVFfTE9BTlNfUkVDRUlWX0xULjk5MS4xMS8wNy8yMDI2Li4uVVNELkgBAAAAS1UAAAMAAAAAAOgckmtv394I1s6Qbm/f3ghAQ0lRLk5BU0RBUTpNU0ZULklRX0ZJTl9ESVZfQVNTRVRTX0NVUlJFTlQuOTkxLjExLzA3LzIwMjYuLi5VU0QuSAEAAABLVQAAAwAAAAAA6BySa2/f3gjWzpBub9/eCDpDSVEuTkFTREFROk1TRlQuSVFfUkVTVFJJQ1RFRF9DQVNILjIwMDAuMTEvMDcvMjAyNi4uLlVTRC5IAQAAAEtVAAADAAAAAADoHJJrb9/eCNbOkG5v394INENJUS5OQVNEQVE6TVNGVC5JUV9TVF9JTlZFU1QuMjAwMC4xMS8wNy8yMDI2Li4uVVNELkgBAAAAS1UAAAIAAAAFNDYxMjMBCAAAAAUAAAABMQEAAAALLTE4OTMyOTg5OTUDAAAAAzE2MAIA</t>
  </si>
  <si>
    <t>AAAEMTA2OQQAAAABMAcAAAAJNy8xMS8yMDI2CAAAAAkzLzMxLzIwMjYJAAAAATDoHJJrb9/eCHCRkG5v394ILENJUS5OQVNEQVE6TVNGVC5JUV9BUi45OTMuMTEvMDcvMjAyNi4uLlVTRC5IAQAAAEtVAAACAAAABTI2NDgxAQgAAAAFAAAAATEBAAAACjIwNDcyNzE3NDUDAAAAAzE2MAIAAAAEMTAyMQQAAAABMAcAAAAJNy8xMS8yMDI2CAAAAAk2LzMwLzIwMTgJAAAAATDoHJJrb9/eCHCRkG5v394INkNJUS5OQVNEQVE6TVNGVC5JUV9UT1RBTF9SRUNFSVYuOTkzLjExLzA3LzIwMjYuLi5VU0QuSAEAAABLVQAAAgAAAAUyNjQ4MQEIAAAABQAAAAExAQAAAAoyMDQ3MjcxNzQ1AwAAAAMxNjACAAAABDEwMDEEAAAAATAHAAAACTcvMTEvMjAyNggAAAAJNi8zMC8yMDE4CQAAAAEw6BySa2/f3ghwkZBub9/eCD5DSVEuTkFTREFROk1TRlQuSVFfSU5URVJDT01QQU5ZX05PTl9DTC4yMDAwLjExLzA3LzIwMjYuLi5VU0QuSAEAAABLVQAAAwAAAAAA6BySa2/f3ghwkZBub9/eCD5DSVEuTkFTREFROk1TRlQuSVFfV0FSUkFOVFlfTElBQklMSVRJRVMuOTkwLjExLzA3LzIwMjYuLi5VU0QuSAEAAABLVQAAAwAAAAAA6BySa2/f3ghwkZBub9/eCD1DSVEuTkFTREFROk1TRlQuSVFfTElBQklMSVRJRVNfTEVWRUxfMy45OTIuMTEvMDcvMjAyNi4uLlVTRC5IAQAAAEtVAAACAAAAAjM5AOgckmtv394IcJGQbm/f3gg/Q0lR</t>
  </si>
  <si>
    <t>Lk5BU0RBUTpNU0ZULklRX0ZJTl9ESVZfTFRfREVCVF9UT1RBTC45OTAuMTEvMDcvMjAyNi4uLlVTRC5IAQAAAEtVAAADAAAAAADoHJJrb9/eCHCRkG5v394IRUNJUS5OQVNEQVE6TVNGVC5JUV9HRU5FUkFMX1BBUlRORVJfUFJFRl9FUVVJVFkuOTkwLjExLzA3LzIwMjYuLi5VU0QuSAEAAABLVQAAAwAAAAAA6BySa2/f3ghwkZBub9/eCFFDSVEuTkFTREFROk1TRlQuSVFfTElRVUlEQVRJT05fVkFMVUVfUFJFRkVSUkVEX05PTl9SRURFRU0uMjAwMC4xMS8wNy8yMDI2Li4uVVNELkgBAAAAS1UAAAMAAAAAAOgckmtv394IcJGQbm/f3gg5Q0lRLk5BU0RBUTpNU0ZULklRX0FTU0VUU19MRVZFTF8yLjIwMDAuMTEvMDcvMjAyNi4uLlVTRC5IAQAAAEtVAAACAAAABTI0MjQ1AOgckmtv394IcJGQbm/f3ggzQ0lRLk5BU0RBUTpNU0ZULklRX09USEVSX0lOVi45OTMuMTEvMDcvMjAyNi4uLlVTRC5IAQAAAEtVAAADAAAAAADoHJJrb9/eCJVWkG5v394IM0NJUS5OQVNEQVE6TVNGVC5JUV9CVUlMRElOR1MuOTkzLjExLzA3LzIwMjYuLi5VU0QuSAEAAABLVQAAAgAAAAUyMDYwNAEIAAAABQAAAAExAQAAAAoyMDQ3MjcxNzQ1AwAAAAMxNjACAAAABDMwMjMEAAAAATAHAAAACTcvMTEvMjAyNggAAAAJNi8zMC8yMDE4CQAAAAEw6BySa2/f3giVVpBub9/eCDJDSVEuTkFTREFROk1TRlQuSVFfU09GVFdBUkUuOTkzLjEx</t>
  </si>
  <si>
    <t>LzA3LzIwMjYuLi5VU0QuSAEAAABLVQAAAwAAAAAA6BySa2/f3giVVpBub9/eCEJDSVEuTkFTREFROk1TRlQuSVFfTUlOT1JJVFlfSU5URVJFU1RfVE9UQUwuMjAwMC4xMS8wNy8yMDI2Li4uVVNELkgBAAAAS1UAAAMAAAAAAOgckmtv394IlVaQbm/f3gg2Q0lRLk5BU0RBUTpNU0ZULklRX1dPUktJTkdfQ0FQLjIwMDAuMTEvMDcvMjAyNi4uLlVTRC5IAQAAAEtVAAACAAAABTM4NjY4AQgAAAAFAAAAATEBAAAACy0xODkzMjk4OTk1AwAAAAMxNjACAAAABDQxNjUEAAAAATAHAAAACTcvMTEvMjAyNggAAAAJMy8zMS8yMDI2CQAAAAEw6BySa2/f3ghwkZBub9/eCDtDSVEuTkFTREFROk1TRlQuSVFfQUxMT1dfRE9VQlRfQUNDVC4yMDAwLjExLzA3LzIwMjYuLi5VU0QuSAEAAABLVQAAAgAAAAM3OTQBCAAAAAUAAAABMQEAAAALLTE4OTMyOTg5OTUDAAAAAzE2MAIAAAAEMzAxMgQAAAABMAcAAAAJNy8xMS8yMDI2CAAAAAkzLzMxLzIwMjYJAAAAATDoHJJrb9/eCJVWkG5v394IO0NJUS5OQVNEQVE6TVNGVC5JUV9CVl9TSEFSRV9SRVBPUlRFRC45OTIuMTEvMDcvMjAyNi4uLlVTRC5IAQAAAEtVAAADAAAAAADoHJJrb9/eCJVWkG5v394IQUNJUS5OQVNEQVE6TVNGVC5JUV9UT1RBTF9ERUJUX05PTl9DVVJSRU5ULjIwMDAuMTEvMDcvMjAyNi4uLlVTRC5IAQAAAEtVAAACAAAABjEwNjk5NQEIAAAABQAAAAExAQAA</t>
  </si>
  <si>
    <t>AAstMTg5MzI5ODk5NQMAAAADMTYwAgAAAAUyNTIyNAQAAAABMAcAAAAJNy8xMS8yMDI2CAAAAAkzLzMxLzIwMjYJAAAAATDoHJJrb9/eCJVWkG5v394IS0NJUS5OQVNEQVE6TVNGVC5JUV9MVF9QT1JUSU9OX09QRVJfTEVBU0VfTElBQklMSVRJRVMuOTkyLjExLzA3LzIwMjYuLi5VU0QuSAEAAABLVQAAAgAAAAQ1MzcyAQgAAAAFAAAAATEBAAAACjE5NzMzODA5NTEDAAAAAzE2MAIAAAAFNDgzODMEAAAAATAHAAAACTcvMTEvMjAyNggAAAAJNi8zMC8yMDE3CQAAAAEw6BySa2/f3giVVpBub9/eCEFDSVEuTkFTREFROk1TRlQuSVFfUlVBX09QRVJBVElOR19MRUFTRV9ORVQuOTkwLjExLzA3LzIwMjYuLi5VU0QuSAEAAABLVQAAAwAAAAAA6BySa2/f3giVVpBub9/eCD1DSVEuTkFTREFROk1TRlQuSVFfQURfRVhDTF9PUEVSX0xFQVNFUy45OTMuMTEvMDcvMjAyNi4uLlVTRC5IAQAAAEtVAAACAAAABi0yOTIyMwEIAAAABQAAAAExAQAAAAoyMDQ3MjcxNzQ1AwAAAAMxNjACAAAABTQ4OTc1BAAAAAEwBwAAAAk3LzExLzIwMjYIAAAACTYvMzAvMjAxOAkAAAABMOgckmtv394IGhmQbm/f3ghDQ0lRLk5BU0RBUTpNU0ZULklRX0ZJTkFOQ0VfTEVBU0VTX0xPTkdfVEVSTS4yMDAwLjExLzA3LzIwMjYuLi5VU0QuSAEAAABLVQAAAgAAAAU1ODg2OQEIAAAABQAAAAExAQAAAAstMTg5MzI5ODk5NQMAAAADMTYwAgAA</t>
  </si>
  <si>
    <t>AAU0ODk5MQQAAAABMAcAAAAJNy8xMS8yMDI2CAAAAAkzLzMxLzIwMjYJAAAAATDoHJJrb9/eCBoZkG5v394IO0NJUS5OQVNEQVE6TVNGVC5JUV9NSU5PUklUWV9JTlRFUkVTVC45OTAuMTEvMDcvMjAyNi4uLlVTRC5IAQAAAEtVAAADAAAAAADoHJJrb9/eCJVWkG5v394IMUNJUS5OQVNEQVE6TVNGVC5JUV9SVUFfTkVULjk5MS4xMS8wNy8yMDI2Li4uVVNELkgBAAAAS1UAAAMAAAAAAOgckmtv394IlVaQbm/f3ggwQ0lRLk5BU0RBUTpNU0ZULklRX0NPTU1PTi45OTEuMTEvMDcvMjAyNi4uLlVTRC5IAQAAAEtVAAACAAAABTY4MTc4AQgAAAAFAAAAATEBAAAACjE4OTg0ODk0NzADAAAAAzE2MAIAAAAEMTEwMwQAAAABMAcAAAAJNy8xMS8yMDI2CAAAAAk2LzMwLzIwMTYJAAAAATDoHJJrb9/eCJVWkG5v394IMUNJUS5OQVNEQVE6TVNGVC5JUV9MVF9ERUJULjk5MS4xMS8wNy8yMDI2Li4uVVNELkgBAAAAS1UAAAIAAAAFNDA1NTcBCAAAAAUAAAABMQEAAAAKMTg5ODQ4OTQ3MAMAAAADMTYwAgAAAAQxMDQ5BAAAAAEwBwAAAAk3LzExLzIwMjYIAAAACTYvMzAvMjAxNgkAAAABMOgckmtv394IGhmQbm/f3gg5Q0lRLk5BU0RBUTpNU0ZULklRX0ZJTl9ESVZfREVCVF9MVC45OTMuMTEvMDcvMjAyNi4uLlVTRC5IAQAAAEtVAAADAAAAAADoHJJrb9/eCBoZkG5v394IMkNJUS5OQVNEQVE6TVNGVC5JUV9QRU5TSU9O</t>
  </si>
  <si>
    <t>LjIwMDAuMTEvMDcvMjAyNi4uLlVTRC5IAQAAAEtVAAADAAAAAADoHJJrb9/eCBoZkG5v394INENJUS5OQVNEQVE6TVNGVC5JUV9UT1RBTF9MSUFCLjk5Mi4xMS8wNy8yMDI2Li4uVVNELkgBAAAAS1UAAAIAAAAGMTYyNjAxAQgAAAAFAAAAATEBAAAACjE5NzMzODA5NTEDAAAAAzE2MAIAAAAEMTI3NgQAAAABMAcAAAAJNy8xMS8yMDI2CAAAAAk2LzMwLzIwMTcJAAAAATDoHJJrb9/eCBoZkG5v394IPUNJUS5OQVNEQVE6TVNGVC5JUV9JTkNfVEFYX1BBWV9DVVJSRU5ULjk5MC4xMS8wNy8yMDI2Li4uVVNELkgBAAAAS1UAAAIAAAADNjA2AQgAAAAFAAAAATEBAAAACjE4NTE1MjU5MTIDAAAAAzE2MAIAAAAEMTA5NAQAAAABMAcAAAAJNy8xMS8yMDI2CAAAAAk2LzMwLzIwMTUJAAAAATDoHJJrb9/eCBoZkG5v394IO0NJUS5OQVNEQVE6TVNGVC5JUV9GSU5fRElWX0xPQU5TX0xULjIwMDAuMTEvMDcvMjAyNi4uLlVTRC5IAQAAAEtVAAADAAAAAADoHJJrb9/eCBoZkG5v394IOUNJUS5OQVNEQVE6TVNGVC5JUV9MT0FOU19SRUNFSVZfTFQuOTkyLjExLzA3LzIwMjYuLi5VU0QuSAEAAABLVQAAAwAAAAAA6BySa2/f3ggaGZBub9/eCCxDSVEuTkFTREFROk1TRlQuSVFfQUUuOTkxLjExLzA3LzIwMjYuLi5VU0QuSAEAAABLVQAAAgAAAAQ1MjY0AQgAAAAFAAAAATEBAAAACjE4OTg0ODk0NzADAAAAAzE2MAIAAAAE</t>
  </si>
  <si>
    <t>MTAxNgQAAAABMAcAAAAJNy8xMS8yMDI2CAAAAAk2LzMwLzIwMTYJAAAAATDoHJJrb9/eCBoZkG5v394IOENJUS5OQVNEQVE6TVNGVC5JUV9PVEhFUl9DQV9TVVBQTC45OTAuMTEvMDcvMjAyNi4uLlVTRC5IAQAAAEtVAAACAAAABDU1OTYBCAAAAAUAAAABMQEAAAAKMTg1MTUyNTkxMgMAAAADMTYwAgAAAAQxMDU1BAAAAAEwBwAAAAk3LzExLzIwMjYIAAAACTYvMzAvMjAxNQkAAAABMOgckmtv394IGhmQbm/f3ggzQ0lRLk5BU0RBUTpNU0ZULklRX0xUX0lOVkVTVC45OTMuMTEvMDcvMjAyNi4uLlVTRC5IAQAAAEtVAAACAAAABDE4NjIBCAAAAAUAAAABMQEAAAAKMjA0NzI3MTc0NQMAAAADMTYwAgAAAAQxMDU0BAAAAAEwBwAAAAk3LzExLzIwMjYIAAAACTYvMzAvMjAxOAkAAAABMOgckmtv394IGhmQbm/f3ghAQ0lRLk5BU0RBUTpNU0ZULklRX0ZJTl9ESVZfQVNTRVRTX0NVUlJFTlQuOTkyLjExLzA3LzIwMjYuLi5VU0QuSAEAAABLVQAAAwAAAAAA6BySa2/f3gjC8I9ub9/eCDhDSVEuTkFTREFROk1TRlQuSVFfVFJBRElOR19BU1NFVFMuOTkwLjExLzA3LzIwMjYuLi5VU0QuSAEAAABLVQAAAwAAAAAA6BySa2/f3gjC8I9ub9/eCEFDSVEuTkFTREFROk1TRlQuSVFfREVSSVZBVElWRV9MSUFCX0NVUlJFTlQuOTkyLjExLzA3LzIwMjYuLi5VU0QuSAEAAABLVQAAAgAAAAMxMTMBCAAAAAUAAAABMQEAAAAK</t>
  </si>
  <si>
    <t>MTk3MzM4MDk1MQMAAAADMTYwAgAAAAU0MDQxNwQAAAABMAcAAAAJNy8xMS8yMDI2CAAAAAk2LzMwLzIwMTcJAAAAATDoHJJrb9/eCMLwj25v394IP0NJUS5OQVNEQVE6TVNGVC5JUV9ERVJJVkFUSVZFX0FTU0VUU19MVC4yMDAwLjExLzA3LzIwMjYuLi5VU0QuSAEAAABLVQAAAgAAAAE0AQgAAAAFAAAAATEBAAAACy0xODkzMjk4OTk1AwAAAAMxNjACAAAABDExMTAEAAAAATAHAAAACTcvMTEvMjAyNggAAAAJMy8zMS8yMDI2CQAAAAEw6BySa2/f3gjC8I9ub9/eCElDSVEuTkFTREFROk1TRlQuSVFfRkFJUl9WQUxVRV9DSEFOR0VfSU5DTF9FQVJOSU5HUy45OTAuMTEvMDcvMjAyNi4uLlVTRC5IAQAAAEtVAAADAAAAAADoHJJrb9/eCBoZkG5v394IUENJUS5OQVNEQVE6TVNGVC5JUV9MSVFVSURBVElPTl9WQUxVRV9QUkVGRVJSRURfTk9OX1JFREVFTS45OTMuMTEvMDcvMjAyNi4uLlVTRC5IAQAAAEtVAAADAAAAAADoHJJrb9/eCA7bj25v394IOENJUS5OQVNEQVE6TVNGVC5JUV9BU1NFVFNfTEVWRUxfMi45OTIuMTEvMDcvMjAyNi4uLlVTRC5IAQAAAEtVAAACAAAABTIxMDcyAOgckmtv394IwvCPbm/f3gg9Q0lRLk5BU0RBUTpNU0ZULklRX0xJQUJJTElUSUVTX0xFVkVMXzMuOTkzLjExLzA3LzIwMjYuLi5VU0QuSAEAAABLVQAAAwAAAAAA6BySa2/f3gjC8I9ub9/eCC5DSVEuTkFTREFROk1TRlQuSVFf</t>
  </si>
  <si>
    <t>Q0lQLjIwMDAuMTEvMDcvMjAyNi4uLlVTRC5IAQAAAEtVAAADAAAAAADoHJJrb9/eCMLwj25v394IN0NJUS5OQVNEQVE6TVNGVC5JUV9FUVVJVFlfTUVUSE9ELjk5MC4xMS8wNy8yMDI2Li4uVVNELkgBAAAAS1UAAAMAAAAAAOgckmtv394IwvCPbm/f3ghAQ0lRLk5BU0RBUTpNU0ZULklRX1RPVEFMX0RFQlRfTk9OX0NVUlJFTlQuOTkzLjExLzA3LzIwMjYuLi5VU0QuSAEAAABLVQAAAgAAAAU4MTkzNQEIAAAABQAAAAExAQAAAAoyMDQ3MjcxNzQ1AwAAAAMxNjACAAAABTI1MjI0BAAAAAEwBwAAAAk3LzExLzIwMjYIAAAACTYvMzAvMjAxOAkAAAABMOgckmtv394IYcWPbm/f3ggzQ0lRLk5BU0RBUTpNU0ZULklRX1RPVEFMX0NBUC45OTAuMTEvMDcvMjAyNi4uLlVTRC5IAQAAAEtVAAACAAAABjExNTQ2NwEIAAAABQAAAAExAQAAAAoxODUxNTI1OTEyAwAAAAMxNjACAAAABDQxNzUEAAAAATAHAAAACTcvMTEvMjAyNggAAAAJNi8zMC8yMDE1CQAAAAEw6BySa2/f3ggO249ub9/eCDlDSVEuTkFTREFROk1TRlQuSVFfTkVUX1dPUktJTkdfQ0FQLjk5MC4xMS8wNy8yMDI2Li4uVVNELkgBAAAAS1UAAAIAAAAGLTE1NjY1AQgAAAAFAAAAATEBAAAACjE4NTE1MjU5MTIDAAAAAzE2MAIAAAAEMTMxMQQAAAABMAcAAAAJNy8xMS8yMDI2CAAAAAk2LzMwLzIwMTUJAAAAATDoHJJrb9/eCA7bj25v394IU0NJUS5OQVNE</t>
  </si>
  <si>
    <t>QVE6TVNGVC5JUV9GSU5BTkNJTkdfT0JMSUdfQ1VSUkVOVF9FWENMX09QRVJfTEVBU0VTLjIwMDAuMTEvMDcvMjAyNi4uLlVTRC5IAQAAAEtVAAACAAAABTEyOTAyAQgAAAAFAAAAATEBAAAACy0xODkzMjk4OTk1AwAAAAMxNjACAAAABTQ4OTgwBAAAAAEwBwAAAAk3LzExLzIwMjYIAAAACTMvMzEvMjAyNgkAAAABMOgckmtv394IDtuPbm/f3ghGQ0lRLk5BU0RBUTpNU0ZULklRX1RPVEFMX0RFQlRfRVhDTF9PUEVSX0xFQVNFUy4yMDAwLjExLzA3LzIwMjYuLi5VU0QuSAEAAABLVQAAAgAAAAYxMDMxOTQBCAAAAAUAAAABMQEAAAALLTE4OTMyOTg5OTUDAAAAAzE2MAIAAAAFNDg5ODIEAAAAATAHAAAACTcvMTEvMjAyNggAAAAJMy8zMS8yMDI2CQAAAAEw6BySa2/f3ggO249ub9/eCD5DSVEuTkFTREFROk1TRlQuSVFfVE9UQUxfRklOQU5DRV9MRUFTRVMuOTkwLjExLzA3LzIwMjYuLi5VU0QuSAEAAABLVQAAAwAAAAAA6BySa2/f3ghMr49ub9/eCDFDSVEuTkFTREFROk1TRlQuSVFfUlVBX05FVC45OTIuMTEvMDcvMjAyNi4uLlVTRC5IAQAAAEtVAAADAAAAAADoHJJrb9/eCGHFj25v394IQUNJUS5OQVNEQVE6TVNGVC5JUV9SVUFfT1BFUkFUSU5HX0xFQVNFX05FVC45OTEuMTEvMDcvMjAyNi4uLlVTRC5IAQAAAEtVAAADAAAAAADoHJJrb9/eCGHFj25v394IMENJUS5OQVNEQVE6TVNGVC5JUV9DT01NT04u</t>
  </si>
  <si>
    <t>OTkyLjExLzA3LzIwMjYuLi5VU0QuSAEAAABLVQAAAgAAAAU2OTMxNQEIAAAABQAAAAExAQAAAAoxOTczMzgwOTUxAwAAAAMxNjACAAAABDExMDMEAAAAATAHAAAACTcvMTEvMjAyNggAAAAJNi8zMC8yMDE3CQAAAAEw6BySa2/f3ghhxY9ub9/eCD1DSVEuTkFTREFROk1TRlQuSVFfVE9UQUxfQ09NTU9OX0VRVUlUWS45OTMuMTEvMDcvMjAyNi4uLlVTRC5IAQAAAEtVAAACAAAABTgyNzE4AQgAAAAFAAAAATEBAAAACjIwNDcyNzE3NDUDAAAAAzE2MAIAAAAEMTAwNgQAAAABMAcAAAAJNy8xMS8yMDI2CAAAAAk2LzMwLzIwMTgJAAAAATDoHJJrb9/eCGHFj25v394IOUNJUS5OQVNEQVE6TVNGVC5JUV9ERUZfVEFYX0xJQUJfTFQuOTkwLjExLzA3LzIwMjYuLi5VU0QuSAEAAABLVQAAAgAAAAQxMjk1AQgAAAAFAAAAATEBAAAACjE4NTE1MjU5MTIDAAAAAzE2MAIAAAAEMTAyNwQAAAABMAcAAAAJNy8xMS8yMDI2CAAAAAk2LzMwLzIwMTUJAAAAATDoHJJrb9/eCABtj25v394INENJUS5OQVNEQVE6TVNGVC5JUV9UT1RBTF9MSUFCLjk5My4xMS8wNy8yMDI2Li4uVVNELkgBAAAAS1UAAAIAAAAGMTc2MTMwAQgAAAAFAAAAATEBAAAACjIwNDcyNzE3NDUDAAAAAzE2MAIAAAAEMTI3NgQAAAABMAcAAAAJNy8xMS8yMDI2CAAAAAk2LzMwLzIwMTgJAAAAATDoHJJrb9/eCEyvj25v394IN0NJUS5OQVNEQVE6TVNGVC5J</t>
  </si>
  <si>
    <t>UV9QUkVGX0NPTlZFUlQuMjAwMC4xMS8wNy8yMDI2Li4uVVNELkgBAAAAS1UAAAMAAAAAAOgckmtv394ITK+Pbm/f3gg+Q0lRLk5BU0RBUTpNU0ZULklRX0ZJTl9ESVZfTElBQl9DVVJSRU5ULjk5My4xMS8wNy8yMDI2Li4uVVNELkgBAAAAS1UAAAMAAAAAAOgckmtv394ITK+Pbm/f3ggxQ0lRLk5BU0RBUTpNU0ZULklRX0xUX0RFQlQuOTkyLjExLzA3LzIwMjYuLi5VU0QuSAEAAABLVQAAAgAAAAU3NjA3MwEIAAAABQAAAAExAQAAAAoxOTczMzgwOTUxAwAAAAMxNjACAAAABDEwNDkEAAAAATAHAAAACTcvMTEvMjAyNggAAAAJNi8zMC8yMDE3CQAAAAEw6BySa2/f3ghMr49ub9/eCDpDSVEuTkFTREFROk1TRlQuSVFfT1RIRVJfTFRfQVNTRVRTLjIwMDAuMTEvMDcvMjAyNi4uLlVTRC5IAQAAAEtVAAACAAAABTMzNDk5AQgAAAAFAAAAATEBAAAACy0xODkzMjk4OTk1AwAAAAMxNjACAAAABDEwNjAEAAAAATAHAAAACTcvMTEvMjAyNggAAAAJMy8zMS8yMDI2CQAAAAEw6BySa2/f3ggAbY9ub9/eCCxDSVEuTkFTREFROk1TRlQuSVFfQUUuOTkyLjExLzA3LzIwMjYuLi5VU0QuSAEAAABLVQAAAgAAAAQ1ODE5AQgAAAAFAAAAATEBAAAACjE5NzMzODA5NTEDAAAAAzE2MAIAAAAEMTAxNgQAAAABMAcAAAAJNy8xMS8yMDI2CAAAAAk2LzMwLzIwMTcJAAAAATDoHJJrb9/eCABtj25v394ILENJUS5OQVNEQVE6TVNG</t>
  </si>
  <si>
    <t>VC5JUV9BRC45OTEuMTEvMDcvMjAyNi4uLlVTRC5IAQAAAEtVAAACAAAABi0xOTgwMAEIAAAABQAAAAExAQAAAAoxODk4NDg5NDcwAwAAAAMxNjACAAAABDEwNzUEAAAAATAHAAAACTcvMTEvMjAyNggAAAAJNi8zMC8yMDE2CQAAAAEw6BySa2/f3ggAbY9ub9/eCDtDSVEuTkFTREFROk1TRlQuSVFfRklOX0RJVl9BU1NFVFNfTFQuOTkwLjExLzA3LzIwMjYuLi5VU0QuSAEAAABLVQAAAwAAAAAA6BySa2/f3ggAbY9ub9/eCDlDSVEuTkFTREFROk1TRlQuSVFfTE9BTlNfUkVDRUlWX0xULjk5My4xMS8wNy8yMDI2Li4uVVNELkgBAAAAS1UAAAMAAAAAAOgckmtv394IAG2Pbm/f3gg0Q0lRLk5BU0RBUTpNU0ZULklRX0lOVkVOVE9SWS4yMDAwLjExLzA3LzIwMjYuLi5VU0QuSAEAAABLVQAAAgAAAAQxMjE5AQgAAAAFAAAAATEBAAAACy0xODkzMjk4OTk1AwAAAAMxNjACAAAABDEwNDMEAAAAATAHAAAACTcvMTEvMjAyNggAAAAJMy8zMS8yMDI2CQAAAAEw6BySa2/f3ggAbY9ub9/eCEBDSVEuTkFTREFROk1TRlQuSVFfRklOX0RJVl9BU1NFVFNfQ1VSUkVOVC45OTMuMTEvMDcvMjAyNi4uLlVTRC5IAQAAAEtVAAADAAAAAADoHJJrb9/eCABtj25v394IOENJUS5OQVNEQVE6TVNGVC5JUV9PVEhFUl9DQV9TVVBQTC45OTEuMTEvMDcvMjAyNi4uLlVTRC5IAQAAAEtVAAACAAAABDYwOTEBCAAAAAUAAAABMQEAAAAK</t>
  </si>
  <si>
    <t>MTg5ODQ4OTQ3MAMAAAADMTYwAgAAAAQxMDU1BAAAAAEwBwAAAAk3LzExLzIwMjYIAAAACTYvMzAvMjAxNgkAAAABMOgckmtv394IAG2Pbm/f3gg3Q0lRLk5BU0RBUTpNU0ZULklRX09USEVSX1JFQ0VJVi4yMDAwLjExLzA3LzIwMjYuLi5VU0QuSAEAAABLVQAAAgAAAAUxNzgwMAEIAAAABQAAAAExAQAAAAstMTg5MzI5ODk5NQMAAAADMTYwAgAAAAQxMjA2BAAAAAEwBwAAAAk3LzExLzIwMjYIAAAACTMvMzEvMjAyNgkAAAABMOgckmtv394IAG2Pbm/f3ghAQ0lRLk5BU0RBUTpNU0ZULklRX0NPTlRJTkdFTlRfTElBQklMSVRJRVMuOTkyLjExLzA3LzIwMjYuLi5VU0QuSAEAAABLVQAAAwAAAAAA6BySa2/f3ggAbY9ub9/eCEFDSVEuTkFTREFROk1TRlQuSVFfREVSSVZBVElWRV9MSUFCX0NVUlJFTlQuOTkzLjExLzA3LzIwMjYuLi5VU0QuSAEAAABLVQAAAgAAAAMyODgBCAAAAAUAAAABMQEAAAAKMjA0NzI3MTc0NQMAAAADMTYwAgAAAAU0MDQxNwQAAAABMAcAAAAJNy8xMS8yMDI2CAAAAAk2LzMwLzIwMTgJAAAAATDoHJJrb9/eCFVYj25v394IPENJUS5OQVNEQVE6TVNGVC5JUV9HUk9TU19JTlRBTl9BU1NFVFMuOTkwLjExLzA3LzIwMjYuLi5VU0QuSAEAAABLVQAAAgAAAAQ5NTUyAQgAAAAFAAAAATEBAAAACjE4NTE1MjU5MTIDAAAAAzE2MAIAAAAFMjQyOTMEAAAAATAHAAAACTcvMTEvMjAyNggAAAAJ</t>
  </si>
  <si>
    <t>Ni8zMC8yMDE1CQAAAAEw6BySa2/f3ggAbY9ub9/eCDZDSVEuTkFTREFROk1TRlQuSVFfR1dfSU5UQU5fTkVULjk5MS4xMS8wNy8yMDI2Li4uVVNELkgBAAAAS1UAAAMAAAAAAOgckmtv394IAG2Pbm/f3ghJQ0lRLk5BU0RBUTpNU0ZULklRX0ZBSVJfVkFMVUVfQ0hBTkdFX0lOQ0xfRUFSTklOR1MuOTkzLjExLzA3LzIwMjYuLi5VU0QuSAEAAABLVQAAAwAAAAAA6BySa2/f3ggAbY9ub9/eCDhDSVEuTkFTREFROk1TRlQuSVFfQVNTRVRTX0xFVkVMXzIuOTkzLjExLzA3LzIwMjYuLi5VU0QuSAEAAABLVQAAAgAAAAUyMjk1OADoHJJrb9/eCABtj25v394IOUNJUS5OQVNEQVE6TVNGVC5JUV9ORVRfV09SS0lOR19DQVAuOTkxLjExLzA3LzIwMjYuLi5VU0QuSAEAAABLVQAAAgAAAAYtMTk1MTUBCAAAAAUAAAABMQEAAAAKMTg5ODQ4OTQ3MAMAAAADMTYwAgAAAAQxMzExBAAAAAEwBwAAAAk3LzExLzIwMjYIAAAACTYvMzAvMjAxNgkAAAABMOgckmtv394IaUSPbm/f3gg3Q0lRLk5BU0RBUTpNU0ZULklRX0VRVUlUWV9NRVRIT0QuOTkxLjExLzA3LzIwMjYuLi5VU0QuSAEAAABLVQAAAwAAAAAA6BySa2/f3ghVWI9ub9/eCEFDSVEuTkFTREFROk1TRlQuSVFfTUlOT1JJVFlfSU5URVJFU1RfVE9UQUwuOTkzLjExLzA3LzIwMjYuLi5VU0QuSAEAAABLVQAAAwAAAAAA6BySa2/f3ghVWI9ub9/eCFJDSVEuTkFTREFR</t>
  </si>
  <si>
    <t>Ok1TRlQuSVFfRklOQU5DSU5HX09CTElHX0NVUlJFTlRfRVhDTF9PUEVSX0xFQVNFUy45OTIuMTEvMDcvMjAyNi4uLlVTRC5IAQAAAEtVAAACAAAABTEwMjM0AQgAAAAFAAAAATEBAAAACjE5NzMzODA5NTEDAAAAAzE2MAIAAAAFNDg5ODAEAAAAATAHAAAACTcvMTEvMjAyNggAAAAJNi8zMC8yMDE3CQAAAAEw6BySa2/f3ghVWI9ub9/eCEVDSVEuTkFTREFROk1TRlQuSVFfVE9UQUxfREVCVF9FWENMX09QRVJfTEVBU0VTLjk5My4xMS8wNy8yMDI2Li4uVVNELkgBAAAAS1UAAAIAAAAFODA1NDEBCAAAAAUAAAABMQEAAAAKMjA0NzI3MTc0NQMAAAADMTYwAgAAAAU0ODk4MgQAAAABMAcAAAAJNy8xMS8yMDI2CAAAAAk2LzMwLzIwMTgJAAAAATDoHJJrb9/eCFVYj25v394IQUNJUS5OQVNEQVE6TVNGVC5JUV9SVUFfT1BFUkFUSU5HX0xFQVNFX05FVC45OTIuMTEvMDcvMjAyNi4uLlVTRC5IAQAAAEtVAAADAAAAAADoHJJrb9/eCJ0wj25v394IPkNJUS5OQVNEQVE6TVNGVC5JUV9UT1RBTF9GSU5BTkNFX0xFQVNFUy45OTEuMTEvMDcvMjAyNi4uLlVTRC5IAQAAAEtVAAACAAAAAzc4NgEIAAAABQAAAAExAQAAAAoxODk4NDg5NDcwAwAAAAMxNjACAAAABTQ5MDMxBAAAAAEwBwAAAAk3LzExLzIwMjYIAAAACTYvMzAvMjAxNgkAAAABMOgckmtv394InTCPbm/f3ggzQ0lRLk5BU0RBUTpNU0ZULklRX1JVQV9HUk9T</t>
  </si>
  <si>
    <t>Uy45OTAuMTEvMDcvMjAyNi4uLlVTRC5IAQAAAEtVAAADAAAAAADoHJJrb9/eCGlEj25v394IMUNJUS5OQVNEQVE6TVNGVC5JUV9SVUFfTkVULjk5My4xMS8wNy8yMDI2Li4uVVNELkgBAAAAS1UAAAMAAAAAAOgckmtv394IaUSPbm/f3ghAQ0lRLk5BU0RBUTpNU0ZULklRX1JVQV9DQVBJVEFMX0xFQVNFX05FVC4yMDAwLjExLzA3LzIwMjYuLi5VU0QuSAEAAABLVQAAAwAAAAAA6BySa2/f3ghpRI9ub9/eCDRDSVEuTkFTREFROk1TRlQuSVFfUFJFRl9PVEhFUi45OTAuMTEvMDcvMjAyNi4uLlVTRC5IAQAAAEtVAAADAAAAAADoHJJrb9/eCGfOjm5v394IM0NJUS5OQVNEQVE6TVNGVC5JUV9UUkVBU1VSWS4yMDAwLjExLzA3LzIwMjYuLi5VU0QuSAEAAABLVQAAAwAAAAAA6BySa2/f3ghnzo5ub9/eCDpDSVEuTkFTREFROk1TRlQuSVFfRklOX0RJVl9MSUFCX0xULjIwMDAuMTEvMDcvMjAyNi4uLlVTRC5IAQAAAEtVAAADAAAAAADoHJJrb9/eCGfOjm5v394IOUNJUS5OQVNEQVE6TVNGVC5JUV9ERUZfVEFYX0xJQUJfTFQuOTkxLjExLzA3LzIwMjYuLi5VU0QuSAEAAABLVQAAAgAAAAQxNDc2AQgAAAAFAAAAATEBAAAACjE4OTg0ODk0NzADAAAAAzE2MAIAAAAEMTAyNwQAAAABMAcAAAAJNy8xMS8yMDI2CAAAAAk2LzMwLzIwMTYJAAAAATDoHJJrb9/eCF0Jj25v394IPkNJUS5OQVNEQVE6TVNGVC5JUV9DVVJS</t>
  </si>
  <si>
    <t>RU5UX1BPUlRfTEVBU0VTLjIwMDAuMTEvMDcvMjAyNi4uLlVTRC5IAQAAAEtVAAACAAAABDk1OTgBCAAAAAUAAAABMQEAAAALLTE4OTMyOTg5OTUDAAAAAzE2MAIAAAAEMTA5MAQAAAABMAcAAAAJNy8xMS8yMDI2CAAAAAkzLzMxLzIwMjYJAAAAATDoHJJrb9/eCJ0wj25v394IOENJUS5OQVNEQVE6TVNGVC5JUV9PVEhFUl9DTF9TVVBQTC45OTAuMTEvMDcvMjAyNi4uLlVTRC5IAQAAAEtVAAACAAAABDY1NTUBCAAAAAUAAAABMQEAAAAKMTg1MTUyNTkxMgMAAAADMTYwAgAAAAQxMDU3BAAAAAEwBwAAAAk3LzExLzIwMjYIAAAACTYvMzAvMjAxNQkAAAABMOgckmtv394IaZOObm/f3ggxQ0lRLk5BU0RBUTpNU0ZULklRX0xUX0RFQlQuOTkzLjExLzA3LzIwMjYuLi5VU0QuSAEAAABLVQAAAgAAAAU3MjI0MgEIAAAABQAAAAExAQAAAAoyMDQ3MjcxNzQ1AwAAAAMxNjACAAAABDEwNDkEAAAAATAHAAAACTcvMTEvMjAyNggAAAAJNi8zMC8yMDE4CQAAAAEw6BySa2/f3giwuo5ub9/eCDZDSVEuTkFTREFROk1TRlQuSVFfVE9UQUxfQVNTRVRTLjk5MC4xMS8wNy8yMDI2Li4uVVNELkgBAAAAS1UAAAIAAAAGMTc0NDcyAQgAAAAFAAAAATEBAAAACjE4NTE1MjU5MTIDAAAAAzE2MAIAAAAEMTAwNwQAAAABMAcAAAAJNy8xMS8yMDI2CAAAAAk2LzMwLzIwMTUJAAAAATDoHJJrb9/eCLC6jm5v394ILENJUS5OQVNEQVE6</t>
  </si>
  <si>
    <t>TVNGVC5JUV9BRC45OTIuMTEvMDcvMjAyNi4uLlVTRC5IAQAAAEtVAAACAAAABi0yNDE3OQEIAAAABQAAAAExAQAAAAoxOTczMzgwOTUxAwAAAAMxNjACAAAABDEwNzUEAAAAATAHAAAACTcvMTEvMjAyNggAAAAJNi8zMC8yMDE3CQAAAAEw6BySa2/f3giwuo5ub9/eCDtDSVEuTkFTREFROk1TRlQuSVFfRklOX0RJVl9BU1NFVFNfTFQuOTkxLjExLzA3LzIwMjYuLi5VU0QuSAEAAABLVQAAAwAAAAAA6BySa2/f3giwuo5ub9/eCDVDSVEuTkFTREFROk1TRlQuSVFfUFJFUEFJRF9FWFAuOTkwLjExLzA3LzIwMjYuLi5VU0QuSAEAAABLVQAAAwAAAAAA6BySa2/f3ghpk45ub9/eCDxDSVEuTkFTREFROk1TRlQuSVFfR1JPU1NfSU5UQU5fQVNTRVRTLjk5MS4xMS8wNy8yMDI2Li4uVVNELkgBAAAAS1UAAAIAAAAEOTEwMAEIAAAABQAAAAExAQAAAAoxODk4NDg5NDcwAwAAAAMxNjACAAAABTI0MjkzBAAAAAEwBwAAAAk3LzExLzIwMjYIAAAACTYvMzAvMjAxNgkAAAABMOgckmtv394IaZOObm/f3ghLQ0lRLk5BU0RBUTpNU0ZULklRX0FTU0VUU19ORVRUSU5HX09USEVSX0FESlVTVE1FTlRTLjIwMDAuMTEvMDcvMjAyNi4uLlVTRC5IAQAAAEtVAAADAAAAAADoHJJrb9/eCGmTjm5v394IPkNJUS5OQVNEQVE6TVNGVC5JUV9NSU5PUklUWV9JTlRfUkVERUVNLjIwMDAuMTEvMDcvMjAyNi4uLlVTRC5IAQAAAEtVAAAD</t>
  </si>
  <si>
    <t>AAAAAADoHJJrb9/eCGmTjm5v394ITENJUS5OQVNEQVE6TVNGVC5JUV9HRU5FUkFMX1BBUlRORVJfTUlOT1JJVFlfSU5URVJFU1QuMjAwMC4xMS8wNy8yMDI2Li4uVVNELkgBAAAAS1UAAAMAAAAAAOgckmtv394IaZOObm/f3gg3Q0lRLk5BU0RBUTpNU0ZULklRX0VRVUlUWV9NRVRIT0QuOTkyLjExLzA3LzIwMjYuLi5VU0QuSAEAAABLVQAAAwAAAAAA6BySa2/f3gi4f45ub9/eCFJDSVEuTkFTREFROk1TRlQuSVFfRklOQU5DSU5HX09CTElHX0NVUlJFTlRfRVhDTF9PUEVSX0xFQVNFUy45OTMuMTEvMDcvMjAyNi4uLlVTRC5IAQAAAEtVAAACAAAABDQxNzQBCAAAAAUAAAABMQEAAAAKMjA0NzI3MTc0NQMAAAADMTYwAgAAAAU0ODk4MAQAAAABMAcAAAAJNy8xMS8yMDI2CAAAAAk2LzMwLzIwMTgJAAAAATDoHJJrb9/eCGmTjm5v394IQ0NJUS5OQVNEQVE6TVNGVC5JUV9SVUFfT1BFUkFUSU5HX0xFQVNFX0dST1NTLjk5MC4xMS8wNy8yMDI2Li4uVVNELkgBAAAAS1UAAAMAAAAAAOgckmtv394IaZOObm/f3ghBQ0lRLk5BU0RBUTpNU0ZULklRX1JVQV9PUEVSQVRJTkdfTEVBU0VfTkVULjk5My4xMS8wNy8yMDI2Li4uVVNELkgBAAAAS1UAAAMAAAAAAOgckmtv394IaZOObm/f3ghAQ0lRLk5BU0RBUTpNU0ZULklRX05QUEVfRVhDTF9PUEVSX0xFQVNFUy4yMDAwLjExLzA3LzIwMjYuLi5VU0QuSAEAAABLVQAA</t>
  </si>
  <si>
    <t>AgAAAAYyODMyMjgBCAAAAAUAAAABMQEAAAALLTE4OTMyOTg5OTUDAAAAAzE2MAIAAAAFNDg5NzYEAAAAATAHAAAACTcvMTEvMjAyNggAAAAJMy8zMS8yMDI2CQAAAAEw6BySa2/f3ghpk45ub9/eCDJDSVEuTkFTREFROk1TRlQuSVFfVFJFQVNVUlkuOTkyLjExLzA3LzIwMjYuLi5VU0QuSAEAAABLVQAAAwAAAAAA6BySa2/f3ghyWI5ub9/eCDNDSVEuTkFTREFROk1TRlQuSVFfUlVBX0dST1NTLjk5MS4xMS8wNy8yMDI2Li4uVVNELkgBAAAAS1UAAAMAAAAAAOgckmtv394IcliObm/f3gg0Q0lRLk5BU0RBUTpNU0ZULklRX1BSRUZfT1RIRVIuOTkxLjExLzA3LzIwMjYuLi5VU0QuSAEAAABLVQAAAwAAAAAA6BySa2/f3gi4f45ub9/eCDhDSVEuTkFTREFROk1TRlQuSVFfT1RIRVJfQ0xfU1VQUEwuOTkxLjExLzA3LzIwMjYuLi5VU0QuSAEAAABLVQAAAgAAAAQ1OTI0AQgAAAAFAAAAATEBAAAACjE4OTg0ODk0NzADAAAAAzE2MAIAAAAEMTA1NwQAAAABMAcAAAAJNy8xMS8yMDI2CAAAAAk2LzMwLzIwMTYJAAAAATDoHJJrb9/eCLh/jm5v394IN0NJUS5OQVNEQVE6TVNGVC5JUV9VTkVBUk5fUkVWX0xULjk5MC4xMS8wNy8yMDI2Li4uVVNELkgBAAAAS1UAAAIAAAAEMjA5NQEIAAAABQAAAAExAQAAAAoxODUxNTI1OTEyAwAAAAMxNjACAAAABDEyNTYEAAAAATAHAAAACTcvMTEvMjAyNggAAAAJNi8zMC8yMDE1</t>
  </si>
  <si>
    <t>CQAAAAEw6BySa2/f3gi4f45ub9/eCDlDSVEuTkFTREFROk1TRlQuSVFfREVGX1RBWF9MSUFCX0xULjk5My4xMS8wNy8yMDI2Li4uVVNELkgBAAAAS1UAAAIAAAADNTQxAQgAAAAFAAAAATEBAAAACjIwNDcyNzE3NDUDAAAAAzE2MAIAAAAEMTAyNwQAAAABMAcAAAAJNy8xMS8yMDI2CAAAAAk2LzMwLzIwMTgJAAAAATDoHJJrb9/eCBFEjm5v394IPUNJUS5OQVNEQVE6TVNGVC5JUV9DVVJSRU5UX1BPUlRfTEVBU0VTLjk5Mi4xMS8wNy8yMDI2Li4uVVNELkgBAAAAS1UAAAIAAAAEMTUzNgEIAAAABQAAAAExAQAAAAoxOTczMzgwOTUxAwAAAAMxNjACAAAABDEwOTAEAAAAATAHAAAACTcvMTEvMjAyNggAAAAJNi8zMC8yMDE3CQAAAAEw6BySa2/f3ghyWI5ub9/eCC1DSVEuTkFTREFROk1TRlQuSVFfR1cuMjAwMC4xMS8wNy8yMDI2Li4uVVNELkgBAAAAS1UAAAIAAAAGMTE5NjYxAQgAAAAFAAAAATEBAAAACy0xODkzMjk4OTk1AwAAAAMxNjACAAAABDExNzEEAAAAATAHAAAACTcvMTEvMjAyNggAAAAJMy8zMS8yMDI2CQAAAAEw6BySa2/f3ghyWI5ub9/eCDtDSVEuTkFTREFROk1TRlQuSVFfRklOX0RJVl9BU1NFVFNfTFQuOTkyLjExLzA3LzIwMjYuLi5VU0QuSAEAAABLVQAAAwAAAAAA6BySa2/f3ghyWI5ub9/eCDZDSVEuTkFTREFROk1TRlQuSVFfVE9UQUxfQVNTRVRTLjk5MS4xMS8wNy8yMDI2Li4uVVNE</t>
  </si>
  <si>
    <t>LkgBAAAAS1UAAAIAAAAGMTkzNDY4AQgAAAAFAAAAATEBAAAACjE4OTg0ODk0NzADAAAAAzE2MAIAAAAEMTAwNwQAAAABMAcAAAAJNy8xMS8yMDI2CAAAAAk2LzMwLzIwMTYJAAAAATDoHJJrb9/eCHJYjm5v394IOUNJUS5OQVNEQVE6TVNGVC5JUV9MT0FOU19GT1JfU0FMRS4yMDAwLjExLzA3LzIwMjYuLi5VU0QuSAEAAABLVQAAAwAAAAAA6BySa2/f3gj/CI5ub9/eCCxDSVEuTkFTREFROk1TRlQuSVFfQUQuOTkzLjExLzA3LzIwMjYuLi5VU0QuSAEAAABLVQAAAgAAAAYtMjkyMjMBCAAAAAUAAAABMQEAAAAKMjA0NzI3MTc0NQMAAAADMTYwAgAAAAQxMDc1BAAAAAEwBwAAAAk3LzExLzIwMjYIAAAACTYvMzAvMjAxOAkAAAABMOgckmtv394IWDCObm/f3gg2Q0lRLk5BU0RBUTpNU0ZULklRX09USEVSX1JFQ0VJVi45OTMuMTEvMDcvMjAyNi4uLlVTRC5IAQAAAEtVAAADAAAAAADoHJJrb9/eCFgwjm5v394INUNJUS5OQVNEQVE6TVNGVC5JUV9QUkVQQUlEX0VYUC45OTEuMTEvMDcvMjAyNi4uLlVTRC5IAQAAAEtVAAADAAAAAADoHJJrb9/eCBFEjm5v394IOkNJUS5OQVNEQVE6TVNGVC5JUV9ORVRfREVCVF9JU1NVRUQuMjAwMC4xMS8wNy8yMDI2Li4uVVNELkgBAAAAS1UAAAIAAAAFLTMwMDABCAAAAAUAAAABMQEAAAALLTE4OTMyOTg5OTUDAAAAAzE2MAIAAAAEMjAwMwQAAAABMAcAAAAJNy8xMS8yMDI2</t>
  </si>
  <si>
    <t>CAAAAAkzLzMxLzIwMjYJAAAAATDoHJJrb9/eCBFEjm5v394IN0NJUS5OQVNEQVE6TVNGVC5JUV9ET19GSU5BTkNFX0NGLjk5My4xMS8wNy8yMDI2Li4uVVNELkgBAAAAS1UAAAMAAAAAAOgckmtv394I/wiObm/f3ghNQ0lRLk5BU0RBUTpNU0ZULklRX09QRVJBVElOR19MRUFTRV9MSUFCSUxJVElFU19OT05DQVNILjk5My4xMS8wNy8yMDI2Li4uVVNELkgBAAAAS1UAAAMAAAAAAOgckmtv394I/wiObm/f3gg9Q0lRLk5BU0RBUTpNU0ZULklRX0NBU0hfSU5URVJFU1RfRklOQU4uOTkzLjExLzA3LzIwMjYuLi5VU0QuSAEAAABLVQAAAwAAAAAAOkSSa2/f3gj/CI5ub9/eCDpDSVEuTkFTREFROk1TRlQuSVFfQ0FTSF9UQVhFU19GSU5BTi45OTEuMTEvMDcvMjAyNi4uLlVTRC5IAQAAAEtVAAADAAAAAAA6RJJrb9/eCP8Ijm5v394INUNJUS5OQVNEQVE6TVNGVC5JUV9MRVZFUkVEX0ZDRi45OTEuMTEvMDcvMjAyNi4uLlVTRC5IAQAAAEtVAAACAAAACTIwMzM3LjYyNQEIAAAABQAAAAExAQAAAAoxODk4NDg5NDcwAwAAAAMxNjACAAAABDQ0MjIEAAAAATAHAAAACTcvMTEvMjAyNggAAAAJNi8zMC8yMDE2CQAAAAEwOkSSa2/f3gj/CI5ub9/eCD5DSVEuTkFTREFROk1TRlQuSVFfTkVHQVRJVkVfR1dfQU1PUlRfQ0YuOTkxLjExLzA3LzIwMjYuLi5VU0QuSAEAAABLVQAAAwAAAAAAOkSSa2/f3ggi9Y1ub9/eCEZD</t>
  </si>
  <si>
    <t>SVEuTkFTREFROk1TRlQuSVFfU0FMRV9QUk9DRUVEU19SRU5UQUxfQVNTRVRTLjIwMDAuMTEvMDcvMjAyNi4uLlVTRC5IAQAAAEtVAAADAAAAAAA6RJJrb9/eCCL1jW5v394IQUNJUS5OQVNEQVE6TVNGVC5JUV9DQVNIX0lOVEVSRVNUX1JFQ0VJVkVELjIwMDAuMTEvMDcvMjAyNi4uLlVTRC5IAQAAAEtVAAADAAAAAAA6RJJrb9/eCCL1jW5v394IOUNJUS5OQVNEQVE6TVNGVC5JUV9NSVNDX0FESlVTVF9DRi4yMDAwLjExLzA3LzIwMjYuLi5VU0QuSAEAAABLVQAAAwAAAAAAOkSSa2/f3ggi9Y1ub9/eCEdDSVEuTkFTREFROk1TRlQuSVFfREVQUkVDSUFUSU9OX1JFTlRBTF9BU1NFVFNfQ0YuOTkzLjExLzA3LzIwMjYuLi5VU0QuSAEAAABLVQAAAwAAAAAAOkSSa2/f3gj/CI5ub9/eCDVDSVEuTkFTREFROk1TRlQuSVFfUFJFRl9ESVZfQ0YuOTkzLjExLzA3LzIwMjYuLi5VU0QuSAEAAABLVQAAAwAAAAAAOkSSa2/f3gi6zY1ub9/eCEFDSVEuTkFTREFROk1TRlQuSVFfT1RIRVJfRklOQU5DRV9BQ1RfU1VQUEwuOTkxLjExLzA3LzIwMjYuLi5VU0QuSAEAAABLVQAAAgAAAAQtMzY5AQgAAAAFAAAAATEBAAAACjE4OTg0ODk0NzADAAAAAzE2MAIAAAAEMjA1MAQAAAABMAcAAAAJNy8xMS8yMDI2CAAAAAk2LzMwLzIwMTYJAAAAATA6RJJrb9/eCLrNjW5v394IPENJUS5OQVNEQVE6TVNGVC5JUV9HUk9TU19JTlRB</t>
  </si>
  <si>
    <t>Tl9BU1NFVFMuOTkyLjExLzA3LzIwMjYuLi5VU0QuSAEAAABLVQAAAgAAAAUxNjY2NwEIAAAABQAAAAExAQAAAAoxOTczMzgwOTUxAwAAAAMxNjACAAAABTI0MjkzBAAAAAEwBwAAAAk3LzExLzIwMjYIAAAACTYvMzAvMjAxNwkAAAABMDpEkmtv394Ius2Nbm/f3gg9Q0lRLk5BU0RBUTpNU0ZULklRX0lOVEVSQ09NUEFOWV9OT05fQ0wuOTkwLjExLzA3LzIwMjYuLi5VU0QuSAEAAABLVQAAAwAAAAAAOkSSa2/f3gi6zY1ub9/eCD1DSVEuTkFTREFROk1TRlQuSVFfRklOX0RJVl9ERUJUX1RPVEFMLjIwMDAuMTEvMDcvMjAyNi4uLlVTRC5IAQAAAEtVAAADAAAAAAA6RJJrb9/eCLrNjW5v394IN0NJUS5OQVNEQVE6TVNGVC5JUV9PUkRFUl9CQUNLTE9HLjk5MS4xMS8wNy8yMDI2Li4uVVNELkgBAAAAS1UAAAMAAAAAADpEkmtv394IFLONbm/f3gg7Q0lRLk5BU0RBUTpNU0ZULklRX0FTU0VUU19GQUlSX1ZBTFVFLjk5MC4xMS8wNy8yMDI2Li4uVVNELkgBAAAAS1UAAAIAAAAGMTA0MzY5ADpEkmtv394IFLONbm/f3gg9Q0lRLk5BU0RBUTpNU0ZULklRX0xJQUJJTElUSUVTX0xFVkVMXzIuOTkyLjExLzA3LzIwMjYuLi5VU0QuSAEAAABLVQAAAgAAAAU4MDY0NQA6RJJrb9/eCBSzjW5v394IRUNJUS5OQVNEQVE6TVNGVC5JUV9GSU5fRElWX01JTk9SSVRZX0lOVF9SRURFRU0uOTkwLjExLzA3LzIwMjYuLi5VU0Qu</t>
  </si>
  <si>
    <t>SAEAAABLVQAAAwAAAAAAOkSSa2/f3gi6zY1ub9/eCEJDSVEuTkFTREFROk1TRlQuSVFfTUlOT1JJVFlfSU5UX1JFREVFTV9UT1QuMjAwMC4xMS8wNy8yMDI2Li4uVVNELkgBAAAAS1UAAAMAAAAAADpEkmtv394Ius2Nbm/f3ghIQ0lRLk5BU0RBUTpNU0ZULklRX1RPVEFMX0dFTkVSQUxfUEFSVE5FUl9JTlRFUkVTVC45OTEuMTEvMDcvMjAyNi4uLlVTRC5IAQAAAEtVAAADAAAAAAA6RJJrb9/eCJ+ejW5v394IMUNJUS5OQVNEQVE6TVNGVC5JUV9SQVdfSU5WLjk5Mi4xMS8wNy8yMDI2Li4uVVNELkgBAAAAS1UAAAIAAAADNzk3AQgAAAAFAAAAATEBAAAACjE5NzMzODA5NTEDAAAAAzE2MAIAAAAEMzE3MQQAAAABMAcAAAAJNy8xMS8yMDI2CAAAAAk2LzMwLzIwMTcJAAAAATA6RJJrb9/eCJ+ejW5v394IPUNJUS5OQVNEQVE6TVNGVC5JUV9UT1RBTF9ERUJUX0NVUlJFTlQuMjAwMC4xMS8wNy8yMDI2Li4uVVNELkgBAAAAS1UAAAIAAAAFMTg0MzcBCAAAAAUAAAABMQEAAAALLTE4OTMyOTg5OTUDAAAAAzE2MAIAAAAFMjUyMjMEAAAAATAHAAAACTcvMTEvMjAyNggAAAAJMy8zMS8yMDI2CQAAAAEwOkSSa2/f3ggUs41ub9/eCC5DSVEuTkFTREFROk1TRlQuSVFfVEJWLjIwMDAuMTEvMDcvMjAyNi4uLlVTRC5IAQAAAEtVAAACAAAABjI3NTM4MQEIAAAABQAAAAExAQAAAAstMTg5MzI5ODk5NQMAAAADMTYwAgAA</t>
  </si>
  <si>
    <t>AAQxMzEwBAAAAAEwBwAAAAk3LzExLzIwMjYIAAAACTMvMzEvMjAyNgkAAAABMDpEkmtv394IFLONbm/f3gg1Q0lRLk5BU0RBUTpNU0ZULklRX0NBU0hfU0hBUkUuMjAwMC4xMS8wNy8yMDI2Li4uVVNELkgBAAAAS1UAAAIAAAAINC4zMjE1NzcBCAAAAAUAAAABMQEAAAALLTE4OTMyOTg5OTUDAAAAAzE2MAIAAAAENDM4MQQAAAABMAcAAAAJNy8xMS8yMDI2CAAAAAkzLzMxLzIwMjYJAAAAATA6RJJrb9/eCBSzjW5v394IO0NJUS5OQVNEQVE6TVNGVC5JUV9UT1RBTF9PUEVSX0xFQVNFUy45OTEuMTEvMDcvMjAyNi4uLlVTRC5IAQAAAEtVAAADAAAAAAA6RJJrb9/eCASKjW5v394IQ0NJUS5OQVNEQVE6TVNGVC5JUV9SVUFfT1BFUkFUSU5HX0xFQVNFX0dST1NTLjk5MS4xMS8wNy8yMDI2Li4uVVNELkgBAAAAS1UAAAMAAAAAADpEkmtv394In56Nbm/f3ghAQ0lRLk5BU0RBUTpNU0ZULklRX0ZJTkFOQ0VfTEVBU0VTX0NVUlJFTlQuOTkwLjExLzA3LzIwMjYuLi5VU0QuSAEAAABLVQAAAwAAAAAAOkSSa2/f3gifno1ub9/eCDJDSVEuTkFTREFROk1TRlQuSVFfVFJFQVNVUlkuOTkzLjExLzA3LzIwMjYuLi5VU0QuSAEAAABLVQAAAwAAAAAAOkSSa2/f3gifno1ub9/eCDxDSVEuTkFTREFROk1TRlQuSVFfTUlOT1JJVFlfSU5URVJFU1QuMjAwMC4xMS8wNy8yMDI2Li4uVVNELkgBAAAAS1UAAAMAAAAAADpEkmtv</t>
  </si>
  <si>
    <t>394In56Nbm/f3ggzQ0lRLk5BU0RBUTpNU0ZULklRX1JVQV9HUk9TUy45OTIuMTEvMDcvMjAyNi4uLlVTRC5IAQAAAEtVAAADAAAAAAA6RJJrb9/eCJJ0jW5v394INkNJUS5OQVNEQVE6TVNGVC5JUV9QUkVGX1JFREVFTS4yMDAwLjExLzA3LzIwMjYuLi5VU0QuSAEAAABLVQAAAwAAAAAAOkSSa2/f3ggEio1ub9/eCDhDSVEuTkFTREFROk1TRlQuSVFfT1RIRVJfQ0xfU1VQUEwuOTkyLjExLzA3LzIwMjYuLi5VU0QuSAEAAABLVQAAAgAAAAQ2MTQ4AQgAAAAFAAAAATEBAAAACjE5NzMzODA5NTEDAAAAAzE2MAIAAAAEMTA1NwQAAAABMAcAAAAJNy8xMS8yMDI2CAAAAAk2LzMwLzIwMTcJAAAAATA6RJJrb9/eCASKjW5v394IN0NJUS5OQVNEQVE6TVNGVC5JUV9VTkVBUk5fUkVWX0xULjk5MS4xMS8wNy8yMDI2Li4uVVNELkgBAAAAS1UAAAIAAAAENjQ0MQEIAAAABQAAAAExAQAAAAoxODk4NDg5NDcwAwAAAAMxNjACAAAABDEyNTYEAAAAATAHAAAACTcvMTEvMjAyNggAAAAJNi8zMC8yMDE2CQAAAAEwOkSSa2/f3ggEio1ub9/eCD1DSVEuTkFTREFROk1TRlQuSVFfQ1VSUkVOVF9QT1JUX0xFQVNFUy45OTMuMTEvMDcvMjAyNi4uLlVTRC5IAQAAAEtVAAACAAAABDE1NzUBCAAAAAUAAAABMQEAAAAKMjA0NzI3MTc0NQMAAAADMTYwAgAAAAQxMDkwBAAAAAEwBwAAAAk3LzExLzIwMjYIAAAACTYvMzAvMjAxOAkA</t>
  </si>
  <si>
    <t>AAABMDpEkmtv394IBIqNbm/f3gg+Q0lRLk5BU0RBUTpNU0ZULklRX0lOQ19UQVhfUEFZX0NVUlJFTlQuMjAwMC4xMS8wNy8yMDI2Li4uVVNELkgBAAAAS1UAAAIAAAAEMzU2MwEIAAAABQAAAAExAQAAAAstMTg5MzI5ODk5NQMAAAADMTYwAgAAAAQxMDk0BAAAAAEwBwAAAAk3LzExLzIwMjYIAAAACTMvMzEvMjAyNgkAAAABMDpEkmtv394IknSNbm/f3gg1Q0lRLk5BU0RBUTpNU0ZULklRX09USEVSX0lOVEFOLjk5MC4xMS8wNy8yMDI2Li4uVVNELkgBAAAAS1UAAAIAAAAENDgzNQEIAAAABQAAAAExAQAAAAoxODUxNTI1OTEyAwAAAAMxNjACAAAABDEwNDAEAAAAATAHAAAACTcvMTEvMjAyNggAAAAJNi8zMC8yMDE1CQAAAAEwOkSSa2/f3giSdI1ub9/eCDtDSVEuTkFTREFROk1TRlQuSVFfRklOX0RJVl9BU1NFVFNfTFQuOTkzLjExLzA3LzIwMjYuLi5VU0QuSAEAAABLVQAAAwAAAAAAOkSSa2/f3giSdI1ub9/eCDxDSVEuTkFTREFROk1TRlQuSVFfREVGX1RBWF9BU1NFVFNfTFQuMjAwMC4xMS8wNy8yMDI2Li4uVVNELkgBAAAAS1UAAAMAAAAAADpEkmtv394IknSNbm/f3ghAQ0lRLk5BU0RBUTpNU0ZULklRX0RFRl9UQVhfQVNTRVRTX0NVUlJFTlQuOTkwLjExLzA3LzIwMjYuLi5VU0QuSAEAAABLVQAAAwAAAAAAOkSSa2/f3giSdI1ub9/eCDJDSVEuTkFTREFROk1TRlQuSVFfVE9UQUxfQ0EuOTkwLjEx</t>
  </si>
  <si>
    <t>LzA3LzIwMjYuLi5VU0QuSAEAAABLVQAAAgAAAAYxMjI3OTcBCAAAAAUAAAABMQEAAAAKMTg1MTUyNTkxMgMAAAADMTYwAgAAAAQxMDA4BAAAAAEwBwAAAAk3LzExLzIwMjYIAAAACTYvMzAvMjAxNQkAAAABMDpEkmtv394IzV+Nbm/f3gg1Q0lRLk5BU0RBUTpNU0ZULklRX1BSRVBBSURfRVhQLjk5Mi4xMS8wNy8yMDI2Li4uVVNELkgBAAAAS1UAAAMAAAAAADpEkmtv394IzV+Nbm/f3gg0Q0lRLk5BU0RBUTpNU0ZULklRX0NBU0hfRVFVSVYuOTkwLjExLzA3LzIwMjYuLi5VU0QuSAEAAABLVQAAAgAAAAQ1NTk1AQgAAAAFAAAAATEBAAAACjE4NTE1MjU5MTIDAAAAAzE2MAIAAAAEMTA5NgQAAAABMAcAAAAJNy8xMS8yMDI2CAAAAAk2LzMwLzIwMTUJAAAAATA6RJJrb9/eCM1fjW5v394INUNJUS5OQVNEQVE6TVNGVC5JUV9NQUlOVF9DQVBFWC45OTAuMTEvMDcvMjAyNi4uLlVTRC5IAQAAAEtVAAADAAAAAAA6RJJrb9/eCM1fjW5v394INUNJUS5OQVNEQVE6TVNGVC5JUV9MRVZFUkVEX0ZDRi45OTIuMTEvMDcvMjAyNi4uLlVTRC5IAQAAAEtVAAACAAAACTE0NjU4LjEyNQEIAAAABQAAAAExAQAAAAoxOTczMzgwOTUxAwAAAAMxNjACAAAABDQ0MjIEAAAAATAHAAAACTcvMTEvMjAyNggAAAAJNi8zMC8yMDE3CQAAAAEwOkSSa2/f3gjNX41ub9/eCD5DSVEuTkFTREFROk1TRlQuSVFfTkVHQVRJVkVfR1dfQU1P</t>
  </si>
  <si>
    <t>UlRfQ0YuOTkyLjExLzA3LzIwMjYuLi5VU0QuSAEAAABLVQAAAwAAAAAAOkSSa2/f3gj2SY1ub9/eCEVDSVEuTkFTREFROk1TRlQuSVFfU0FMRV9QUk9DRUVEU19SRU5UQUxfQVNTRVRTLjk5Mi4xMS8wNy8yMDI2Li4uVVNELkgBAAAAS1UAAAMAAAAAADpEkmtv394I9kmNbm/f3gg8Q0lRLk5BU0RBUTpNU0ZULklRX0NBU0hfSU5URVJFU1RfT1BFUi45OTAuMTEvMDcvMjAyNi4uLlVTRC5IAQAAAEtVAAADAAAAAAA6RJJrb9/eCPZJjW5v394INENJUS5OQVNEQVE6TVNGVC5JUV9ORVRfQ0hBTkdFLjk5MC4xMS8wNy8yMDI2Li4uVVNELkgBAAAAS1UAAAIAAAAFLTMwNzQBCAAAAAUAAAABMQEAAAAKMTg1MTUyNTkxMgMAAAADMTYwAgAAAAQyMDkzBAAAAAEwBwAAAAk3LzExLzIwMjYIAAAACTYvMzAvMjAxNQkAAAABMDpEkmtv394I9kmNbm/f3ghDQ0lRLk5BU0RBUTpNU0ZULklRX0dXX0lOVEFOX0FNT1JUX1BBUlRJQUxfQ0YuOTkwLjExLzA3LzIwMjYuLi5VU0QuSAEAAABLVQAAAwAAAAAAOkSSa2/f3gj2SY1ub9/eCEFDSVEuTkFTREFROk1TRlQuSVFfT1RIRVJfRklOQU5DRV9BQ1RfU1VQUEwuOTkyLjExLzA3LzIwMjYuLi5VU0QuSAEAAABLVQAAAgAAAAQtMTkwAQgAAAAFAAAAATEBAAAACjE5NzMzODA5NTEDAAAAAzE2MAIAAAAEMjA1MAQAAAABMAcAAAAJNy8xMS8yMDI2CAAAAAk2LzMwLzIwMTcJAAAA</t>
  </si>
  <si>
    <t>ATA6RJJrb9/eCGk1jW5v394IO0NJUS5OQVNEQVE6TVNGVC5JUV9UT1RBTF9ERUJUX0lTU1VFRC45OTIuMTEvMDcvMjAyNi4uLlVTRC5IAQAAAEtVAAACAAAABTQ0MzQ0AQgAAAAFAAAAATEBAAAACjE5NzMzODA5NTEDAAAAAzE2MAIAAAAEMjE2MQQAAAABMAcAAAAJNy8xMS8yMDI2CAAAAAk2LzMwLzIwMTcJAAAAATA6RJJrb9/eCGk1jW5v394IN0NJUS5OQVNEQVE6TVNGVC5JUV9DT01NT05fSVNTVUVELjk5MC4xMS8wNy8yMDI2Li4uVVNELkgBAAAAS1UAAAIAAAADNjM0AQgAAAAFAAAAATEBAAAACjE4NTE1MjU5MTIDAAAAAzE2MAIAAAAEMjE2OQQAAAABMAcAAAAJNy8xMS8yMDI2CAAAAAk2LzMwLzIwMTUJAAAAATA6RJJrb9/eCGk1jW5v394IM0NJUS5OQVNEQVE6TVNGVC5JUV9ESVZFU1RfQ0YuOTkwLjExLzA3LzIwMjYuLi5VU0QuSAEAAABLVQAAAwAAAAAAOkSSa2/f3ghpNY1ub9/eCDNDSVEuTkFTREFROk1TRlQuSVFfQ0FTSF9PUEVSLjk5Mi4xMS8wNy8yMDI2Li4uVVNELkgBAAAAS1UAAAIAAAAFMzk1MDcBCAAAAAUAAAABMQEAAAAKMTk3MzM4MDk1MQMAAAADMTYwAgAAAAQyMDA2BAAAAAEwBwAAAAk3LzExLzIwMjYIAAAACTYvMzAvMjAxNwkAAAABMDpEkmtv394I9kmNbm/f3gg3Q0lRLk5BU0RBUTpNU0ZULklRX0RPX0ZJTkFOQ0VfQ0YuOTkxLjExLzA3LzIwMjYuLi5VU0QuSAEAAABLVQAA</t>
  </si>
  <si>
    <t>AwAAAAAAOkSSa2/f3giyHo1ub9/eCDZDSVEuTkFTREFROk1TRlQuSVFfT1RIRVJfUkVDRUlWLjk5Mi4xMS8wNy8yMDI2Li4uVVNELkgBAAAAS1UAAAMAAAAAADpEkmtv394Ish6Nbm/f3gg4Q0lRLk5BU0RBUTpNU0ZULklRX09USEVSX09QRVJfQUNULjk5MC4xMS8wNy8yMDI2Li4uVVNELkgBAAAAS1UAAAIAAAADODU0AQgAAAAFAAAAATEBAAAACjE4NTE1MjU5MTIDAAAAAzE2MAIAAAAEMjA0NwQAAAABMAcAAAAJNy8xMS8yMDI2CAAAAAk2LzMwLzIwMTUJAAAAATA6RJJrb9/eCLIejW5v394IOENJUS5OQVNEQVE6TVNGVC5JUV9DQVNIX0lOVEVSRVNULjIwMDAuMTEvMDcvMjAyNi4uLlVTRC5IAQAAAEtVAAACAAAABDE2MDABCAAAAAUAAAABMQEAAAALLTE4OTMyOTg5OTUDAAAAAzE2MAIAAAAEMzAyOAQAAAABMAcAAAAJNy8xMS8yMDI2CAAAAAkzLzMxLzIwMjYJAAAAATA6RJJrb9/eCLIejW5v394IMkNJUS5OQVNEQVE6TVNGVC5JUV9DRl9TSEFSRS45OTAuMTEvMDcvMjAyNi4uLlVTRC5IAQAAAEtVAAACAAAACDIuOTAxMzA4AQgAAAAFAAAAATEBAAAACjE4NTE1MjU5MTIDAAAAAzE2MAIAAAAFNDM5MjMEAAAAATAHAAAACTcvMTEvMjAyNggAAAAJNi8zMC8yMDE1CQAAAAEwOkSSa2/f3ghpNY1ub9/eCDhDSVEuTkFTREFROk1TRlQuSVFfTUlTQ19BREpVU1RfQ0YuOTkzLjExLzA3LzIwMjYuLi5VU0Qu</t>
  </si>
  <si>
    <t>SAEAAABLVQAAAwAAAAAAOkSSa2/f3ggC1Yxub9/eCEdDSVEuTkFTREFROk1TRlQuSVFfREFfU1VQUExfQ0ZfRVhDTF9PUEVSX0xFQVNFUy4yMDAwLjExLzA3LzIwMjYuLi5VU0QuSAEAAABLVQAAAgAAAAUzMDMwMAEIAAAABQAAAAExAQAAAAstMTg5MzI5ODk5NQMAAAADMTYwAgAAAAU0ODk4MwQAAAABMAcAAAAJNy8xMS8yMDI2CAAAAAkzLzMxLzIwMjYJAAAAATA6RJJrb9/eCALVjG5v394IO0NJUS5OQVNEQVE6TVNGVC5JUV9UT1RBTF9ESVZfUEFJRF9DRi45OTMuMTEvMDcvMjAyNi4uLlVTRC5IAQAAAEtVAAACAAAABi0xMjY5OQEIAAAABQAAAAExAQAAAAoyMDQ3MjcxNzQ1AwAAAAMxNjACAAAABDIwMjIEAAAAATAHAAAACTcvMTEvMjAyNggAAAAJNi8zMC8yMDE4CQAAAAEwOkSSa2/f3ggC1Yxub9/eCD1DSVEuTkFTREFROk1TRlQuSVFfU0FMRV9SRUFMX0VTVEFURV9DRi45OTAuMTEvMDcvMjAyNi4uLlVTRC5IAQAAAEtVAAADAAAAAAA6RJJrb9/eCLIejW5v394IOkNJUS5OQVNEQVE6TVNGVC5JUV9DSEFOR0VfSU5WRU5UT1JZLjk5My4xMS8wNy8yMDI2Li4uVVNELkgBAAAAS1UAAAIAAAAELTQ2NQEIAAAABQAAAAExAQAAAAoyMDQ3MjcxNzQ1AwAAAAMxNjACAAAABDIwOTkEAAAAATAHAAAACTcvMTEvMjAyNggAAAAJNi8zMC8yMDE4CQAAAAEwOkSSa2/f3giyHo1ub9/eCDhDSVEuTkFTREFROk1T</t>
  </si>
  <si>
    <t>RlQuSVFfU1RPQ0tfQkFTRURfQ0YuOTkxLjExLzA3LzIwMjYuLi5VU0QuSAEAAABLVQAAAgAAAAQyNjY4AQgAAAAFAAAAATEBAAAACjE4OTg0ODk0NzADAAAAAzE2MAIAAAAEMjEyNwQAAAABMAcAAAAJNy8xMS8yMDI2CAAAAAk2LzMwLzIwMTYJAAAAATA6RJJrb9/eCALVjG5v394IQENJUS5OQVNEQVE6TVNGVC5JUV9DSEFOR0VfVFJBRElOR19BU1NFVFMuMjAwMC4xMS8wNy8yMDI2Li4uVVNELkgBAAAAS1UAAAMAAAAAADpEkmtv394IAtWMbm/f3gg1Q0lRLk5BU0RBUTpNU0ZULklRX09JTF9JTVBBSVIuMjAwMC4xMS8wNy8yMDI2Li4uVVNELkgBAAAAS1UAAAMAAAAAADpEkmtv394IAtWMbm/f3gg/Q0lRLk5BU0RBUTpNU0ZULklRX01JTk9SSVRZX0lOVEVSRVNUX0NGLjIwMDAuMTEvMDcvMjAyNi4uLlVTRC5IAQAAAEtVAAADAAAAAAA6RJJrb9/eCALVjG5v394IPENJUS5OQVNEQVE6TVNGVC5JUV9BU1NFVF9XUklURURPV05fQ0YuOTkzLjExLzA3LzIwMjYuLi5VU0QuSAEAAABLVQAAAwAAAAAAOkSSa2/f3ggC1Yxub9/eCDxDSVEuTkFTREFROk1TRlQuSVFfU1RPQ0tfT1BUSU9OU19DT01QLjk5My4xMS8wNy8yMDI2Li4uVVNELkgBAAAAS1UAAAMAAAAAADpEkmtv394IAtWMbm/f3ggvQ0lRLk5BU0RBUTpNU0ZULklRX05JX0NGLjk5MS4xMS8wNy8yMDI2Li4uVVNELkgBAAAAS1UAAAIAAAAFMjA1MzkB</t>
  </si>
  <si>
    <t>CAAAAAUAAAABMQEAAAAKMTg5ODQ4OTQ3MAMAAAADMTYwAgAAAAQyMTUwBAAAAAEwBwAAAAk3LzExLzIwMjYIAAAACTYvMzAvMjAxNgkAAAABMDpEkmtv394IAtWMbm/f3gg4Q0lRLk5BU0RBUTpNU0ZULklRX1NUT0NLX0JBU0VEX1JELjk5My4xMS8wNy8yMDI2Li4uVVNELkgBAAAAS1UAAAMAAAAAADpEkmtv394IAtWMbm/f3ghDQ0lRLk5BU0RBUTpNU0ZULklRX1NUT0NLX0JBU0VEX0VYUExPUkVfRFJJTEwuOTkxLjExLzA3LzIwMjYuLi5VU0QuSAEAAABLVQAAAwAAAAAAOkSSa2/f3ggC1Yxub9/eCDxDSVEuTkFTREFROk1TRlQuSVFfU1RPQ0tfQkFTRURfVE9UQUwuMjAwMC4xMS8wNy8yMDI2Li4uVVNELkgBAAAAS1UAAAIAAAAFMTIzNTYBCAAAAAUAAAABMQEAAAALLTE4OTMyOTg5OTUDAAAAAzE2MAIAAAAFMjQwMzQEAAAAATAHAAAACTcvMTEvMjAyNggAAAAJMy8zMS8yMDI2CQAAAAEwOkSSa2/f3ggC1Yxub9/eCDpDSVEuTkFTREFROk1TRlQuSVFfR0FJTl9CQVJHQUlOX0FDUS45OTEuMTEvMDcvMjAyNi4uLlVTRC5IAQAAAEtVAAADAAAAAAA6RJJrb9/eCKOtjG5v394IPkNJUS5OQVNEQVE6TVNGVC5JUV9MRUdBTF9TRVRUTEVfU1VQUExFLjIwMDAuMTEvMDcvMjAyNi4uLlVTRC5IAQAAAEtVAAADAAAAAAA6RJJrb9/eCKOtjG5v394IQkNJUS5OQVNEQVE6TVNGVC5JUV9FWFBMT1JFX0RSSUxMX0VY</t>
  </si>
  <si>
    <t>UF9UT1RBTC4yMDAwLjExLzA3LzIwMjYuLi5VU0QuSAEAAABLVQAAAwAAAAAAOkSSa2/f3ggC1Yxub9/eCD9DSVEuTkFTREFROk1TRlQuSVFfSU1QVVRfT1BFUl9MRUFTRV9ERVBSLjk5My4xMS8wNy8yMDI2Li4uVVNELkgBAAAAS1UAAAIAAAAKMTIwNi4zMzcxNgEIAAAABQAAAAExAQAAAAoyMDQ3MjcxNzQ1AwAAAAMxNjACAAAABTIxNjczBAAAAAEwBwAAAAk3LzExLzIwMjYIAAAACTYvMzAvMjAxOAkAAAABMDpEkmtv394IAtWMbm/f3gg3Q0lRLk5BU0RBUTpNU0ZULklRX01FUkdFUl9TVVBQTEUuOTkzLjExLzA3LzIwMjYuLi5VU0QuSAEAAABLVQAAAwAAAAAAOkSSa2/f3ggC1Yxub9/eCD9DSVEuTkFTREFROk1TRlQuSVFfTkVUX1JFTlRBTF9FWFBfU1VQUExFLjk5MS4xMS8wNy8yMDI2Li4uVVNELkgBAAAAS1UAAAIAAAADOTM2AQgAAAAFAAAAATEBAAAACjE4OTg0ODk0NzADAAAAAzE2MAIAAAAFMjQyNjMEAAAAATAHAAAACTcvMTEvMjAyNggAAAAJNi8zMC8yMDE2CQAAAAEwOkSSa2/f3gijrYxub9/eCDZDSVEuTkFTREFROk1TRlQuSVFfT1RIRVJfUkVOVEFMLjk5MS4xMS8wNy8yMDI2Li4uVVNELkgBAAAAS1UAAAMAAAAAADpEkmtv394Io62Mbm/f3gg2Q0lRLk5BU0RBUTpNU0ZULklRX0FEVkVSVElTSU5HLjIwMDAuMTEvMDcvMjAyNi4uLlVTRC5IAQAAAEtVAAADAAAAAAA6RJJrb9/eCKOtjG5v</t>
  </si>
  <si>
    <t>394IMENJUS5OQVNEQVE6TVNGVC5JUV9HQV9FWFAuOTkzLjExLzA3LzIwMjYuLi5VU0QuSAEAAABLVQAAAgAAAAQ0NzU0AQgAAAAFAAAAATEBAAAACjIwNDcyNzE3NDUDAAAAAzE2MAIAAAAFMjE1NjIEAAAAATAHAAAACTcvMTEvMjAyNggAAAAJNi8zMC8yMDE4CQAAAAEwOkSSa2/f3gijrYxub9/eCEBDSVEuTkFTREFROk1TRlQuSVFfQU5OVV9ESVNUUklCVVRJT05fVU5JVC45OTMuMTEvMDcvMjAyNi4uLlVTRC5IAQAAAEtVAAADAAAAAAA6RJJrb9/eCKOtjG5v394IQ0NJUS5OQVNEQVE6TVNGVC5JUV9OT05SRUNVUlJJTkdfSU5DT01FX1RBWEVTLjk5My4xMS8wNy8yMDI2Li4uVVNELkgBAAAAS1UAAAIAAAAFMTM2OTYBCAAAAAUAAAABMQEAAAAKMjA0NzI3MTc0NQMAAAADMTYwAgAAAAU0ODgzOQQAAAABMAcAAAAJNy8xMS8yMDI2CAAAAAk2LzMwLzIwMTgJAAAAATA6RJJrb9/eCCeWjG5v394INUNJUS5OQVNEQVE6TVNGVC5JUV9JTlRfRVhQX0xURC45OTEuMTEvMDcvMjAyNi4uLlVTRC5IAQAAAEtVAAACAAAAAjI4AQgAAAAFAAAAATEBAAAACjE4OTg0ODk0NzADAAAAAzE2MAIAAAAEMzEwMQQAAAABMAcAAAAJNy8xMS8yMDI2CAAAAAk2LzMwLzIwMTYJAAAAATA6RJJrb9/eCCeWjG5v394IPkNJUS5OQVNEQVE6TVNGVC5JUV9OT05DQVNIX1BFTlNJT05fRVhQLjIwMDAuMTEvMDcvMjAyNi4uLlVTRC5I</t>
  </si>
  <si>
    <t>AQAAAEtVAAADAAAAAAA6RJJrb9/eCCeWjG5v394IO0NJUS5OQVNEQVE6TVNGVC5JUV9JTlZFU1RNRU5UX0lOQ09NRS45OTEuMTEvMDcvMjAyNi4uLlVTRC5IAQAAAEtVAAADAAAAAAA6RJJrb9/eCKOtjG5v394IPkNJUS5OQVNEQVE6TVNGVC5JUV9DVVJSX0RPTUVTVElDX1RBWEVTLjIwMDAuMTEvMDcvMjAyNi4uLlVTRC5IAQAAAEtVAAACAAAABTE3NDI4AQgAAAAFAAAAATEBAAAACy0xODkzMjk4OTk1AwAAAAMxNjACAAAABDMwMjcEAAAAATAHAAAACTcvMTEvMjAyNggAAAAJMy8zMS8yMDI2CQAAAAEwOkSSa2/f3gijrYxub9/eCDtDSVEuTkFTREFROk1TRlQuSVFfRUJJVERBUl9FWENMX1NCQy4yMDAwLjExLzA3LzIwMjYuLi5VU0QuSAEAAABLVQAAAwAAAAAAOkSSa2/f3gj6WIxub9/eCExDSVEuTkFTREFROk1TRlQuSVFfUFJPVl9CQURfREVCVFNfUEFUSUVOVF9TRVJWSUNFX1JFVi45OTMuMTEvMDcvMjAyNi4uLlVTRC5IAQAAAEtVAAADAAAAAAA6RJJrb9/eCPpYjG5v394INkNJUS5OQVNEQVE6TVNGVC5JUV9FQklUQV9FUV9JTkMuOTkxLjExLzA3LzIwMjYuLi5VU0QuSAEAAABLVQAAAgAAAAUyODE2NgEIAAAABQAAAAExAQAAAAoxODk4NDg5NDcwAwAAAAMxNjACAAAABTIxNjc2BAAAAAEwBwAAAAk3LzExLzIwMjYIAAAACTYvMzAvMjAxNgkAAAABMDpEkmtv394I+liMbm/f3ggxQ0lRLk5BU0RB</t>
  </si>
  <si>
    <t>UTpNU0ZULklRX0VCSVREQVIuOTkxLjExLzA3LzIwMjYuLi5VU0QuSAEAAABLVQAAAgAAAAUzNDAwMgEIAAAABQAAAAExAQAAAAoxODk4NDg5NDcwAwAAAAMxNjACAAAABTIxNjc0BAAAAAEwBwAAAAk3LzExLzIwMjYIAAAACTYvMzAvMjAxNgkAAAABMDpEkmtv394I+liMbm/f3ghBQ0lRLk5BU0RBUTpNU0ZULklRX0VCSVREQV9FUV9JTkNfRVhDTF9TQkMuMjAwMC4xMS8wNy8yMDI2Li4uVVNELkgBAAAAS1UAAAIAAAAGMjAzODAxAQgAAAAFAAAAATEBAAAACy0xODkzMjk4OTk1AwAAAAMxNjACAAAABTI0MTMxBAAAAAEwBwAAAAk3LzExLzIwMjYIAAAACTMvMzEvMjAyNgkAAAABMDpEkmtv394IJ5aMbm/f3ghCQ0lRLk5BU0RBUTpNU0ZULklRX0xFQVNFX0FESlVTVE1FTlRfRUJJVERBLjIwMDAuMTEvMDcvMjAyNi4uLlVTRC5IAQAAAEtVAAACAAAABDY3NjcAOkSSa2/f3gj6WIxub9/eCDVDSVEuTkFTREFROk1TRlQuSVFfRUJJVF9FUV9JTkMuOTkzLjExLzA3LzIwMjYuLi5VU0QuSAEAAABLVQAAAgAAAAUzNTA1OAEIAAAABQAAAAExAQAAAAoyMDQ3MjcxNzQ1AwAAAAMxNjACAAAABTIxNjc1BAAAAAEwBwAAAAk3LzExLzIwMjYIAAAACTYvMzAvMjAxOAkAAAABMDpEkmtv394I+liMbm/f3gg5Q0lRLk5BU0RBUTpNU0ZULklRX1RPVEFMX1JFVl9TSEFSRS45OTMuMTEvMDcvMjAyNi4uLlVTRC5IAQAAAEtV</t>
  </si>
  <si>
    <t>AAACAAAACTE0LjMzMjQ2NwEIAAAABQAAAAExAQAAAAoyMDQ3MjcxNzQ1AwAAAAMxNjACAAAABDQzODIEAAAAATAHAAAACTcvMTEvMjAyNggAAAAJNi8zMC8yMDE4CQAAAAEwOkSSa2/f3gj6WIxub9/eCDdDSVEuTkFTREFROk1TRlQuSVFfRE9fRklOQU5DRV9DRi45OTIuMTEvMDcvMjAyNi4uLlVTRC5IAQAAAEtVAAADAAAAAAA6RJJrb9/eCPpYjG5v394ITENJUS5OQVNEQVE6TVNGVC5JUV9MT05HX1RFUk1fREVCVF9SRVBBSURfRVhDTF9MRUFTRVMuMjAwMC4xMS8wNy8yMDI2Li4uVVNELkgBAAAAS1UAAAIAAAAFLTMwMDABCAAAAAUAAAABMQEAAAALLTE4OTMyOTg5OTUDAAAAAzE2MAIAAAAFNDg5ODQEAAAAATAHAAAACTcvMTEvMjAyNggAAAAJMy8zMS8yMDI2CQAAAAEwOkSSa2/f3gj6WIxub9/eCDlDSVEuTkFTREFROk1TRlQuSVFfRElMVVRfRVBTX05PUk0uMjAwMC4xMS8wNy8yMDI2Li4uVVNELkgBAAAAS1UAAAIAAAAJMTMuMjUxOTM1AQgAAAAFAAAAATEBAAAACy0xODkzMjk4OTk1AwAAAAMxNjACAAAABDQzODAEAAAAATAHAAAACTcvMTEvMjAyNggAAAAJMy8zMS8yMDI2CQAAAAEwOkSSa2/f3gjfG4xub9/eCDtDSVEuTkFTREFROk1TRlQuSVFfQ0FTSF9JTlRFUkVTVF9ORVQuOTkwLjExLzA3LzIwMjYuLi5VU0QuSAEAAABLVQAAAwAAAAAAOkSSa2/f3gj6WIxub9/eCDxDSVEuTkFTREFROk1T</t>
  </si>
  <si>
    <t>RlQuSVFfQ0FTSF9UQVhFU19JTlZFU1QuMjAwMC4xMS8wNy8yMDI2Li4uVVNELkgBAAAAS1UAAAMAAAAAADpEkmtv394I+liMbm/f3gg1Q0lRLk5BU0RBUTpNU0ZULklRX0RFUFJFX1NVUFAuMjAwMC4xMS8wNy8yMDI2Li4uVVNELkgBAAAAS1UAAAIAAAAFMzAzMDABCAAAAAUAAAABMQEAAAALLTE4OTMyOTg5OTUDAAAAAzE2MAIAAAAEMjE0MwQAAAABMAcAAAAJNy8xMS8yMDI2CAAAAAkzLzMxLzIwMjYJAAAAATA6RJJrb9/eCPpYjG5v394IRkNJUS5OQVNEQVE6TVNGVC5JUV9EQV9TVVBQTF9DRl9FWENMX09QRVJfTEVBU0VTLjk5My4xMS8wNy8yMDI2Li4uVVNELkgBAAAAS1UAAAIAAAAENzcwMAEIAAAABQAAAAExAQAAAAoyMDQ3MjcxNzQ1AwAAAAMxNjACAAAABTQ4OTgzBAAAAAEwBwAAAAk3LzExLzIwMjYIAAAACTYvMzAvMjAxOAkAAAABMDpEkmtv394I+liMbm/f3ggzQ0lRLk5BU0RBUTpNU0ZULklRX0RJVkVTVF9DRi45OTMuMTEvMDcvMjAyNi4uLlVTRC5IAQAAAEtVAAADAAAAAAA6RJJrb9/eCN8bjG5v394INkNJUS5OQVNEQVE6TVNGVC5JUV9TQUxFX1BQRV9DRi4yMDAwLjExLzA3LzIwMjYuLi5VU0QuSAEAAABLVQAAAwAAAAAAOkSSa2/f3gjfG4xub9/eCC9DSVEuTkFTREFROk1TRlQuSVFfRE9fQ0YuOTkxLjExLzA3LzIwMjYuLi5VU0QuSAEAAABLVQAAAwAAAAAAOkSSa2/f3gjfG4xub9/e</t>
  </si>
  <si>
    <t>CD9DSVEuTkFTREFROk1TRlQuSVFfQ0hBTkdFX1RSQURJTkdfQVNTRVRTLjk5My4xMS8wNy8yMDI2Li4uVVNELkgBAAAAS1UAAAMAAAAAADpEkmtv394I3xuMbm/f3gg0Q0lRLk5BU0RBUTpNU0ZULklRX09JTF9JTVBBSVIuOTkyLjExLzA3LzIwMjYuLi5VU0QuSAEAAABLVQAAAwAAAAAAOkSSa2/f3gjfG4xub9/eCDhDSVEuTkFTREFROk1TRlQuSVFfR0FJTl9BU1NFVFNfQ0YuOTkwLjExLzA3LzIwMjYuLi5VU0QuSAEAAABLVQAAAwAAAAAAOkSSa2/f3gjfG4xub9/eCENDSVEuTkFTREFROk1TRlQuSVFfU1RPQ0tfT1BUSU9OU19DT01QX1BSRVRBWC45OTAuMTEvMDcvMjAyNi4uLlVTRC5IAQAAAEtVAAADAAAAAAA6RJJrb9/eCN8bjG5v394IL0NJUS5OQVNEQVE6TVNGVC5JUV9OSV9DRi45OTIuMTEvMDcvMjAyNi4uLlVTRC5IAQAAAEtVAAACAAAABTI1NDg5AQgAAAAFAAAAATEBAAAACjE5NzMzODA5NTEDAAAAAzE2MAIAAAAEMjE1MAQAAAABMAcAAAAJNy8xMS8yMDI2CAAAAAk2LzMwLzIwMTcJAAAAATA6RJJrb9/eCN8bjG5v394IQ0NJUS5OQVNEQVE6TVNGVC5JUV9TVE9DS19CQVNFRF9FWFBMT1JFX0RSSUxMLjk5Mi4xMS8wNy8yMDI2Li4uVVNELkgBAAAAS1UAAAMAAAAAADpEkmtv394I3xuMbm/f3ghBQ0lRLk5BU0RBUTpNU0ZULklRX1JFU1RSX1NUT0NLX0NPTVBfUFJFVEFYLjk5MC4xMS8wNy8y</t>
  </si>
  <si>
    <t>MDI2Li4uVVNELkgBAAAAS1UAAAMAAAAAADpEkmtv394I3xuMbm/f3gg6Q0lRLk5BU0RBUTpNU0ZULklRX0dBSU5fQkFSR0FJTl9BQ1EuOTkyLjExLzA3LzIwMjYuLi5VU0QuSAEAAABLVQAAAwAAAAAAOkSSa2/f3gjf34tub9/eCD5DSVEuTkFTREFROk1TRlQuSVFfT1RIRVJfVU5VU1VBTF9TVVBQTEUuOTkwLjExLzA3LzIwMjYuLi5VU0QuSAEAAABLVQAAAwAAAAAAOkSSa2/f3gjf34tub9/eCDZDSVEuTkFTREFROk1TRlQuSVFfTUFJTlRfUkVQQUlSLjk5MC4xMS8wNy8yMDI2Li4uVVNELkgBAAAAS1UAAAMAAAAAADpEkmtv394I3xuMbm/f3gg2Q0lRLk5BU0RBUTpNU0ZULklRX09USEVSX1JFTlRBTC45OTIuMTEvMDcvMjAyNi4uLlVTRC5IAQAAAEtVAAADAAAAAAA6RJJrb9/eCN8bjG5v394IM0NJUS5OQVNEQVE6TVNGVC5JUV9NQVJLRVRJTkcuOTkwLjExLzA3LzIwMjYuLi5VU0QuSAEAAABLVQAAAwAAAAAAOkSSa2/f3gjfG4xub9/eCEdDSVEuTkFTREFROk1TRlQuSVFfVE9UQUxfREVCVF9SRVBBSURfRVhDTF9MRUFTRVMuOTkxLjExLzA3LzIwMjYuLi5VU0QuSAEAAABLVQAAAgAAAAUtMjc5NgEIAAAABQAAAAExAQAAAAoxODk4NDg5NDcwAwAAAAMxNjACAAAABTQ4OTg2BAAAAAEwBwAAAAk3LzExLzIwMjYIAAAACTYvMzAvMjAxNgkAAAABMDpEkmtv394I39+Lbm/f3ggzQ0lRLk5BU0RBUTpNU0ZU</t>
  </si>
  <si>
    <t>LklRX0RBX0VCSVREQS45OTAuMTEvMDcvMjAyNi4uLlVTRC5IAQAAAEtVAAACAAAABDU0MDABCAAAAAUAAAABMQEAAAAKMTg1MTUyNTkxMgMAAAADMTYwAgAAAAQyMjA2BAAAAAEwBwAAAAk3LzExLzIwMjYIAAAACTYvMzAvMjAxNQkAAAABMDpEkmtv394I39+Lbm/f3gg6Q0lRLk5BU0RBUTpNU0ZULklRX0NBU0hfVEFYRVNfRklOQU4uOTkwLjExLzA3LzIwMjYuLi5VU0QuSAEAAABLVQAAAwAAAAAAOkSSa2/f3gjf34tub9/eCDdDSVEuTkFTREFROk1TRlQuSVFfVU5MRVZFUkVEX0ZDRi45OTEuMTEvMDcvMjAyNi4uLlVTRC5IAQAAAEtVAAACAAAABzIxMTE0LjUBCAAAAAUAAAABMQEAAAAKMTg5ODQ4OTQ3MAMAAAADMTYwAgAAAAQ0NDIzBAAAAAEwBwAAAAk3LzExLzIwMjYIAAAACTYvMzAvMjAxNgkAAAABMDpEkmtv394I39+Lbm/f3gg0Q0lRLk5BU0RBUTpNU0ZULklRX0NBU0hfRklOQU4uOTkwLjExLzA3LzIwMjYuLi5VU0QuSAEAAABLVQAAAgAAAAUtOTY2OAEIAAAABQAAAAExAQAAAAoxODUxNTI1OTEyAwAAAAMxNjACAAAABDIwMDQEAAAAATAHAAAACTcvMTEvMjAyNggAAAAJNi8zMC8yMDE1CQAAAAEwOkSSa2/f3gjf34tub9/eCDhDSVEuTkFTREFROk1TRlQuSVFfQ09NTU9OX0RJVl9DRi4yMDAwLjExLzA3LzIwMjYuLi5VU0QuSAEAAABLVQAAAgAAAAYtMjU4NTYBCAAAAAUAAAABMQEAAAALLTE4</t>
  </si>
  <si>
    <t>OTMyOTg5OTUDAAAAAzE2MAIAAAAEMjA3NAQAAAABMAcAAAAJNy8xMS8yMDI2CAAAAAkzLzMxLzIwMjYJAAAAATA6RJJrb9/eCN/fi25v394INUNJUS5OQVNEQVE6TVNGVC5JUV9TQUxFX1BQRV9DRi45OTIuMTEvMDcvMjAyNi4uLlVTRC5IAQAAAEtVAAADAAAAAAA6RJJrb9/eCN/fi25v394IM0NJUS5OQVNEQVE6TVNGVC5JUV9MT0FOU19DRi4yMDAwLjExLzA3LzIwMjYuLi5VU0QuSAEAAABLVQAAAwAAAAAAOkSSa2/f3gjf34tub9/eCC9DSVEuTkFTREFROk1TRlQuSVFfRE9fQ0YuOTkyLjExLzA3LzIwMjYuLi5VU0QuSAEAAABLVQAAAwAAAAAAOkSSa2/f3gjf34tub9/eCDRDSVEuTkFTREFROk1TRlQuSVFfT0lMX0lNUEFJUi45OTMuMTEvMDcvMjAyNi4uLlVTRC5IAQAAAEtVAAADAAAAAAA6RJJrb9/eCN/fi25v394IOENJUS5OQVNEQVE6TVNGVC5JUV9HQUlOX0FTU0VUU19DRi45OTEuMTEvMDcvMjAyNi4uLlVTRC5IAQAAAEtVAAADAAAAAAA6RJJrb9/eCPNni25v394IQ0NJUS5OQVNEQVE6TVNGVC5JUV9TVE9DS19PUFRJT05TX0NPTVBfUFJFVEFYLjk5MS4xMS8wNy8yMDI2Li4uVVNELkgBAAAAS1UAAAMAAAAAADpEkmtv394I82eLbm/f3ghCQ0lRLk5BU0RBUTpNU0ZULklRX1NUT0NLX0JBU0VEX0NPTVBfUFJFVEFYLjIwMDAuMTEvMDcvMjAyNi4uLlVTRC5IAQAAAEtVAAACAAAABTEyMzU2ADpE</t>
  </si>
  <si>
    <t>kmtv394I82eLbm/f3gg5Q0lRLk5BU0RBUTpNU0ZULklRX1NUT0NLX0JBU0VEX1NNLjIwMDAuMTEvMDcvMjAyNi4uLlVTRC5IAQAAAEtVAAADAAAAAAA6RJJrb9/eCKCki25v394IQ0NJUS5OQVNEQVE6TVNGVC5JUV9TVE9DS19CQVNFRF9FWFBMT1JFX0RSSUxMLjk5My4xMS8wNy8yMDI2Li4uVVNELkgBAAAAS1UAAAMAAAAAADpEkmtv394IEMyLbm/f3gg7Q0lRLk5BU0RBUTpNU0ZULklRX1NUT0NLX0JBU0VEX1RPVEFMLjk5My4xMS8wNy8yMDI2Li4uVVNELkgBAAAAS1UAAAIAAAAEMzk0MAEIAAAABQAAAAExAQAAAAoyMDQ3MjcxNzQ1AwAAAAMxNjACAAAABTI0MDM0BAAAAAEwBwAAAAk3LzExLzIwMjYIAAAACTYvMzAvMjAxOAkAAAABMDpEkmtv394IrNWKbm/f3gg6Q0lRLk5BU0RBUTpNU0ZULklRX0dBSU5fQkFSR0FJTl9BQ1EuOTkzLjExLzA3LzIwMjYuLi5VU0QuSAEAAABLVQAAAwAAAAAAOkSSa2/f3ggRFItub9/eCD5DSVEuTkFTREFROk1TRlQuSVFfT1RIRVJfVU5VU1VBTF9TVVBQTEUuOTkxLjExLzA3LzIwMjYuLi5VU0QuSAEAAABLVQAAAwAAAAAAOkSSa2/f3ghYPotub9/eCD5DSVEuTkFTREFROk1TRlQuSVFfTkVHQVRJVkVfR1dfQU1PUlRfQVQuOTkxLjExLzA3LzIwMjYuLi5VU0QuSAEAAABLVQAAAwAAAAAAOkSSa2/f3ghYPotub9/eCDZDSVEuTkFTREFROk1TRlQuSVFfTUFJTlRfUkVQ</t>
  </si>
  <si>
    <t>QUlSLjk5MS4xMS8wNy8yMDI2Li4uVVNELkgBAAAAS1UAAAMAAAAAADpEkmtv394IWD6Lbm/f3ghCQ0lRLk5BU0RBUTpNU0ZULklRX1NBTEFSSUVTX09USEVSX0JFTkVGSVRTLjIwMDAuMTEvMDcvMjAyNi4uLlVTRC5IAQAAAEtVAAADAAAAAAA6RJJrb9/eCKzVim5v394IP0NJUS5OQVNEQVE6TVNGVC5JUV9JTVBBSVJNRU5UX0dXX1NVUFBMRS4yMDAwLjExLzA3LzIwMjYuLi5VU0QuSAEAAABLVQAAAwAAAAAAOkSSa2/f3gis1Ypub9/eCDRDSVEuTkFTREFROk1TRlQuSVFfUkRfRVhQX0ZOLjIwMDAuMTEvMDcvMjAyNi4uLlVTRC5IAQAAAEtVAAACAAAABTM0Mzk0AQgAAAAFAAAAATEBAAAACy0xODkzMjk4OTk1AwAAAAMxNjACAAAABDMxNjgEAAAAATAHAAAACTcvMTEvMjAyNggAAAAJMy8zMS8yMDI2CQAAAAEwOkSSa2/f3gis1Ypub9/eCDZDSVEuTkFTREFROk1TRlQuSVFfT1RIRVJfUkVOVEFMLjk5My4xMS8wNy8yMDI2Li4uVVNELkgBAAAAS1UAAAMAAAAAADpEkmtv394IrNWKbm/f3ggzQ0lRLk5BU0RBUTpNU0ZULklRX01BUktFVElORy45OTEuMTEvMDcvMjAyNi4uLlVTRC5IAQAAAEtVAAADAAAAAAA6RJJrb9/eCKzVim5v394IMkNJUS5OQVNEQVE6TVNGVC5JUV9OSV9OT1JNLjIwMDAuMTEvMDcvMjAyNi4uLlVTRC5IAQAAAEtVAAACAAAACDk4ODM2LjI1AQgAAAAFAAAAATEBAAAACy0xODkzMjk4</t>
  </si>
  <si>
    <t>OTk1AwAAAAMxNjACAAAABDQzNzgEAAAAATAHAAAACTcvMTEvMjAyNggAAAAJMy8zMS8yMDI2CQAAAAEwOkSSa2/f3gis1Ypub9/eCDVDSVEuTkFTREFROk1TRlQuSVFfSU5UX0VYUF9MVEQuOTkzLjExLzA3LzIwMjYuLi5VU0QuSAEAAABLVQAAAgAAAAMxNzUBCAAAAAUAAAABMQEAAAAKMjA0NzI3MTc0NQMAAAADMTYwAgAAAAQzMTAxBAAAAAEwBwAAAAk3LzExLzIwMjYIAAAACTYvMzAvMjAxOAkAAAABMDpEkmtv394IrNWKbm/f3gg9Q0lRLk5BU0RBUTpNU0ZULklRX05PTkNBU0hfUEVOU0lPTl9FWFAuOTkzLjExLzA3LzIwMjYuLi5VU0QuSAEAAABLVQAAAwAAAAAAOkSSa2/f3gis1Ypub9/eCDhDSVEuTkFTREFROk1TRlQuSVFfVFJBRElOR19BU1NFVFMuOTkxLjExLzA3LzIwMjYuLi5VU0QuSAEAAABLVQAAAwAAAAAAOkSSa2/f3gis1Ypub9/eCDZDSVEuTkFTREFROk1TRlQuSVFfQU1PUlRfRElDX0NGLjk5MS4xMS8wNy8yMDI2Li4uVVNELkgBAAAAS1UAAAMAAAAAADpEkmtv394IrNWKbm/f3gg3Q0lRLk5BU0RBUTpNU0ZULklRX0NBU0hfSU5URVJFU1QuOTkwLjExLzA3LzIwMjYuLi5VU0QuSAEAAABLVQAAAgAAAAM2MjABCAAAAAUAAAABMQEAAAAKMTg1MTUyNTkxMgMAAAADMTYwAgAAAAQzMDI4BAAAAAEwBwAAAAk3LzExLzIwMjYIAAAACTYvMzAvMjAxNQkAAAABMDpEkmtv394IspSKbm/f3gg9</t>
  </si>
  <si>
    <t>Q0lRLk5BU0RBUTpNU0ZULklRX0NBU0hfSU5URVJFU1RfT1BFUi4yMDAwLjExLzA3LzIwMjYuLi5VU0QuSAEAAABLVQAAAwAAAAAAOkSSa2/f3giylIpub9/eCDVDSVEuTkFTREFROk1TRlQuSVFfUFJFRl9ESVZfQ0YuOTkxLjExLzA3LzIwMjYuLi5VU0QuSAEAAABLVQAAAwAAAAAAOkSSa2/f3giylIpub9/eCDRDSVEuTkFTREFROk1TRlQuSVFfQ0FTSF9GSU5BTi45OTEuMTEvMDcvMjAyNi4uLlVTRC5IAQAAAEtVAAACAAAABS04MzkzAQgAAAAFAAAAATEBAAAACjE4OTg0ODk0NzADAAAAAzE2MAIAAAAEMjAwNAQAAAABMAcAAAAJNy8xMS8yMDI2CAAAAAk2LzMwLzIwMTYJAAAAATA6RJJrb9/eCLKUim5v394IPUNJUS5OQVNEQVE6TVNGVC5JUV9EQV9TVVBQTF9QQVJUSUFMX0NGLjk5MC4xMS8wNy8yMDI2Li4uVVNELkgBAAAAS1UAAAMAAAAAADpEkmtv394IrNWKbm/f3gg5Q0lRLk5BU0RBUTpNU0ZULklRX0xUX0RFQlRfSVNTVUVELjIwMDAuMTEvMDcvMjAyNi4uLlVTRC5IAQAAAEtVAAADAAAAAAA6RJJrb9/eCLKUim5v394IOUNJUS5OQVNEQVE6TVNGVC5JUV9TVF9ERUJUX1JFUEFJRC4yMDAwLjExLzA3LzIwMjYuLi5VU0QuSAEAAABLVQAAAwAAAAAAOkSSa2/f3giylIpub9/eCDxDSVEuTkFTREFROk1TRlQuSVFfVE9UQUxfREVCVF9SRVBBSUQuMjAwMC4xMS8wNy8yMDI2Li4uVVNELkgBAAAAS1UA</t>
  </si>
  <si>
    <t>AAIAAAAFLTMwMDABCAAAAAUAAAABMQEAAAALLTE4OTMyOTg5OTUDAAAAAzE2MAIAAAAEMjE2NgQAAAABMAcAAAAJNy8xMS8yMDI2CAAAAAkzLzMxLzIwMjYJAAAAATA6RJJrb9/eCLKUim5v394IM0NJUS5OQVNEQVE6TVNGVC5JUV9DQVNIX09QRVIuOTkxLjExLzA3LzIwMjYuLi5VU0QuSAEAAABLVQAAAgAAAAUzMzMyNQEIAAAABQAAAAExAQAAAAoxODk4NDg5NDcwAwAAAAMxNjACAAAABDIwMDYEAAAAATAHAAAACTcvMTEvMjAyNggAAAAJNi8zMC8yMDE2CQAAAAEwOkSSa2/f3giylIpub9/eCDVDSVEuTkFTREFROk1TRlQuSVFfU0FMRV9QUEVfQ0YuOTkzLjExLzA3LzIwMjYuLi5VU0QuSAEAAABLVQAAAwAAAAAAOkSSa2/f3giylIpub9/eCC9DSVEuTkFTREFROk1TRlQuSVFfRE9fQ0YuOTkzLjExLzA3LzIwMjYuLi5VU0QuSAEAAABLVQAAAwAAAAAAOkSSa2/f3giylIpub9/eCDhDSVEuTkFTREFROk1TRlQuSVFfQ0hBTkdFX0RFRl9UQVguOTkwLjExLzA3LzIwMjYuLi5VU0QuSAEAAABLVQAAAwAAAAAAOkSSa2/f3giylIpub9/eCDhDSVEuTkFTREFROk1TRlQuSVFfR0FJTl9BU1NFVFNfQ0YuOTkyLjExLzA3LzIwMjYuLi5VU0QuSAEAAABLVQAAAwAAAAAAOkSSa2/f3giylIpub9/eCDhDSVEuTkFTREFROk1TRlQuSVFfQ1JFRElUX0xPU1NfQ0YuOTkwLjExLzA3LzIwMjYuLi5VU0QuSAEAAABLVQAA</t>
  </si>
  <si>
    <t>AwAAAAAAOkSSa2/f3giylIpub9/eCD1DSVEuTkFTREFROk1TRlQuSVFfVEFYX0JFTkVGSVRfT1BUSU9OUy45OTAuMTEvMDcvMjAyNi4uLlVTRC5IAQAAAEtVAAADAAAAAAA6RJJrb9/eCLKUim5v394IPkNJUS5OQVNEQVE6TVNGVC5JUV9TVE9DS19CQVNFRF9DT01QX1RBWC45OTAuMTEvMDcvMjAyNi4uLlVTRC5IAQAAAEtVAAACAAAABC04NjgAOkSSa2/f3ghFbYpub9/eCENDSVEuTkFTREFROk1TRlQuSVFfU1RPQ0tfT1BUSU9OU19DT01QX1BSRVRBWC45OTIuMTEvMDcvMjAyNi4uLlVTRC5IAQAAAEtVAAADAAAAAAA6RJJrb9/eCEVtim5v394IPkNJUS5OQVNEQVE6TVNGVC5JUV9ORUdBVElWRV9HV19BTU9SVF9BVC45OTIuMTEvMDcvMjAyNi4uLlVTRC5IAQAAAEtVAAADAAAAAAA6RJJrb9/eCEVtim5v394IOENJUS5OQVNEQVE6TVNGVC5JUV9TVE9DS19CQVNFRF9HQS45OTAuMTEvMDcvMjAyNi4uLlVTRC5IAQAAAEtVAAADAAAAAAA6RJJrb9/eCEVtim5v394IQENJUS5OQVNEQVE6TVNGVC5JUV9BU1NFVF9XUklURURPV05fU1VQUExFLjk5MC4xMS8wNy8yMDI2Li4uVVNELkgBAAAAS1UAAAMAAAAAADpEkmtv394IRW2Kbm/f3gg2Q0lRLk5BU0RBUTpNU0ZULklRX01BSU5UX1JFUEFJUi45OTIuMTEvMDcvMjAyNi4uLlVTRC5IAQAAAEtVAAADAAAAAAA6RJJrb9/eCIFZim5v394IQUNJUS5OQVNEQVE6</t>
  </si>
  <si>
    <t>TVNGVC5JUV9TQUxBUklFU19PVEhFUl9CRU5FRklUUy45OTIuMTEvMDcvMjAyNi4uLlVTRC5IAQAAAEtVAAADAAAAAAA6RJJrb9/eCEVtim5v394IM0NJUS5OQVNEQVE6TVNGVC5JUV9NQVJLRVRJTkcuOTkyLjExLzA3LzIwMjYuLi5VU0QuSAEAAABLVQAAAwAAAAAAOkSSa2/f3ghFbYpub9/eCDtDSVEuTkFTREFROk1TRlQuSVFfTkVUX1JFTlRBTF9FWFBfRk4uOTkwLjExLzA3LzIwMjYuLi5VU0QuSAEAAABLVQAAAgAAAAM5ODkBCAAAAAUAAAABMQEAAAAKMTg1MTUyNTkxMgMAAAADMTYwAgAAAAQzMTcwBAAAAAEwBwAAAAk3LzExLzIwMjYIAAAACTYvMzAvMjAxNQkAAAABMDpEkmtv394IRW2Kbm/f3gg7Q0lRLk5BU0RBUTpNU0ZULklRX0NPTlRJTkdFTlRfUkVOVEFMLjk5MC4xMS8wNy8yMDI2Li4uVVNELkgBAAAAS1UAAAMAAAAAADpEkmtv394IRW2Kbm/f3gg0Q0lRLk5BU0RBUTpNU0ZULklRX0NPTU1PTl9ESVYuOTkwLjExLzA3LzIwMjYuLi5VU0QuSAEAAABLVQAAAgAAAAUxMDA2MwA6RJJrb9/eCBQyim5v394IQENJUS5OQVNEQVE6TVNGVC5JUV9ERUZFUlJFRF9GT1JFSUdOX1RBWEVTLjk5Mi4xMS8wNy8yMDI2Li4uVVNELkgBAAAAS1UAAAIAAAAELTU0NAEIAAAABQAAAAExAQAAAAoxOTczMzgwOTUxAwAAAAMxNjACAAAABDMwNTUEAAAAATAHAAAACTcvMTEvMjAyNggAAAAJNi8zMC8yMDE3CQAA</t>
  </si>
  <si>
    <t>AAEwOkSSa2/f3ggUMopub9/eCDJDSVEuTkFTREFROk1TRlQuSVFfRElMVVRfTkkuOTkwLjExLzA3LzIwMjYuLi5VU0QuSAEAAABLVQAAAgAAAAgxMjIxNS45MgEIAAAABQAAAAExAQAAAAoxODUxNTI1OTEyAwAAAAMxNjACAAAABDM1MjIEAAAAATAHAAAACTcvMTEvMjAyNggAAAAJNi8zMC8yMDE1CQAAAAEwOkSSa2/f3giBWYpub9/eCDhDSVEuTkFTREFROk1TRlQuSVFfVFJBRElOR19BU1NFVFMuOTkyLjExLzA3LzIwMjYuLi5VU0QuSAEAAABLVQAAAwAAAAAAOkSSa2/f3giBWYpub9/eCDZDSVEuTkFTREFROk1TRlQuSVFfQU1PUlRfRElDX0NGLjk5Mi4xMS8wNy8yMDI2Li4uVVNELkgBAAAAS1UAAAMAAAAAADpEkmtv394IgVmKbm/f3gg3Q0lRLk5BU0RBUTpNU0ZULklRX0NBU0hfSU5URVJFU1QuOTkxLjExLzA3LzIwMjYuLi5VU0QuSAEAAABLVQAAAgAAAAQxMTAwAQgAAAAFAAAAATEBAAAACjE4OTg0ODk0NzADAAAAAzE2MAIAAAAEMzAyOAQAAAABMAcAAAAJNy8xMS8yMDI2CAAAAAk2LzMwLzIwMTYJAAAAATA6RJJrb9/eCBQyim5v394IPkNJUS5OQVNEQVE6TVNGVC5JUV9DQVNIX0lOVEVSRVNUX0lOVkVTVC45OTEuMTEvMDcvMjAyNi4uLlVTRC5IAQAAAEtVAAADAAAAAAA6RJJrb9/eCBQyim5v394IPUNJUS5OQVNEQVE6TVNGVC5JUV9DT01NT05fUFJFRl9ESVZfQ0YuMjAwMC4xMS8wNy8yMDI2</t>
  </si>
  <si>
    <t>Li4uVVNELkgBAAAAS1UAAAMAAAAAADpEkmtv394IFDKKbm/f3gg9Q0lRLk5BU0RBUTpNU0ZULklRX0RBX1NVUFBMX1BBUlRJQUxfQ0YuOTkxLjExLzA3LzIwMjYuLi5VU0QuSAEAAABLVQAAAwAAAAAAOkSSa2/f3ggUMopub9/eCDVDSVEuTkFTREFROk1TRlQuSVFfQ0FTSF9JTlZFU1QuOTkxLjExLzA3LzIwMjYuLi5VU0QuSAEAAABLVQAAAgAAAAYtMjM5NTABCAAAAAUAAAABMQEAAAAKMTg5ODQ4OTQ3MAMAAAADMTYwAgAAAAQyMDA1BAAAAAEwBwAAAAk3LzExLzIwMjYIAAAACTYvMzAvMjAxNgkAAAABMDpEkmtv394IFDKKbm/f3gg4Q0lRLk5BU0RBUTpNU0ZULklRX0xUX0RFQlRfSVNTVUVELjk5Mi4xMS8wNy8yMDI2Li4uVVNELkgBAAAAS1UAAAIAAAAFNDQzNDQBCAAAAAUAAAABMQEAAAAKMTk3MzM4MDk1MQMAAAADMTYwAgAAAAQyMDM0BAAAAAEwBwAAAAk3LzExLzIwMjYIAAAACTYvMzAvMjAxNwkAAAABMDpEkmtv394IjBqKbm/f3gg4Q0lRLk5BU0RBUTpNU0ZULklRX0xUX0RFQlRfUkVQQUlELjk5MC4xMS8wNy8yMDI2Li4uVVNELkgBAAAAS1UAAAIAAAAFLTE1MDABCAAAAAUAAAABMQEAAAAKMTg1MTUyNTkxMgMAAAADMTYwAgAAAAQyMDM2BAAAAAEwBwAAAAk3LzExLzIwMjYIAAAACTYvMzAvMjAxNQkAAAABMDpEkmtv394IjBqKbm/f3gg3Q0lRLk5BU0RBUTpNU0ZULklRX0NPTU1PTl9JU1NV</t>
  </si>
  <si>
    <t>RUQuOTkxLjExLzA3LzIwMjYuLi5VU0QuSAEAAABLVQAAAgAAAAM2NjgBCAAAAAUAAAABMQEAAAAKMTg5ODQ4OTQ3MAMAAAADMTYwAgAAAAQyMTY5BAAAAAEwBwAAAAk3LzExLzIwMjYIAAAACTYvMzAvMjAxNgkAAAABMDpEkmtv394IjBqKbm/f3gg1Q0lRLk5BU0RBUTpNU0ZULklRX0NPTU1PTl9SRVAuMjAwMC4xMS8wNy8yMDI2Li4uVVNELkgBAAAAS1UAAAIAAAAGLTIyMjM4AQgAAAAFAAAAATEBAAAACy0xODkzMjk4OTk1AwAAAAMxNjACAAAABDIxNjQEAAAAATAHAAAACTcvMTEvMjAyNggAAAAJMy8zMS8yMDI2CQAAAAEwOkSSa2/f3giMGopub9/eCDNDSVEuTkFTREFROk1TRlQuSVFfQ0FTSF9PUEVSLjk5My4xMS8wNy8yMDI2Li4uVVNELkgBAAAAS1UAAAIAAAAFNDM4ODQBCAAAAAUAAAABMQEAAAAKMjA0NzI3MTc0NQMAAAADMTYwAgAAAAQyMDA2BAAAAAEwBwAAAAk3LzExLzIwMjYIAAAACTYvMzAvMjAxOAkAAAABMDpEkmtv394IFDKKbm/f3gg5Q0lRLk5BU0RBUTpNU0ZULklRX0lOVkVTVF9MT0FOU19DRi45OTAuMTEvMDcvMjAyNi4uLlVTRC5IAQAAAEtVAAADAAAAAAA6RJJrb9/eCBneiW5v394INENJUS5OQVNEQVE6TVNGVC5JUV9DSEFOR0VfQVAuMjAwMC4xMS8wNy8yMDI2Li4uVVNELkgBAAAAS1UAAAIAAAAEMjI1MQEIAAAABQAAAAExAQAAAAstMTg5MzI5ODk5NQMAAAADMTYwAgAAAAQy</t>
  </si>
  <si>
    <t>MDE3BAAAAAEwBwAAAAk3LzExLzIwMjYIAAAACTMvMzEvMjAyNgkAAAABMDpEkmtv394IGd6Jbm/f3gg4Q0lRLk5BU0RBUTpNU0ZULklRX0NIQU5HRV9ERUZfVEFYLjk5MS4xMS8wNy8yMDI2Li4uVVNELkgBAAAAS1UAAAMAAAAAADpEkmtv394IGd6Jbm/f3gg4Q0lRLk5BU0RBUTpNU0ZULklRX0dBSU5fQVNTRVRTX0NGLjk5My4xMS8wNy8yMDI2Li4uVVNELkgBAAAAS1UAAAMAAAAAADpEkmtv394IGd6Jbm/f3ggyQ0lRLk5BU0RBUTpNU0ZULklRX0xPQU5TX0NGLjk5My4xMS8wNy8yMDI2Li4uVVNELkgBAAAAS1UAAAMAAAAAADpEkmtv394IjBqKbm/f3gg9Q0lRLk5BU0RBUTpNU0ZULklRX1RBWF9CRU5FRklUX09QVElPTlMuOTkxLjExLzA3LzIwMjYuLi5VU0QuSAEAAABLVQAAAwAAAAAAOkSSa2/f3ggZ3olub9/eCD5DSVEuTkFTREFROk1TRlQuSVFfU1RPQ0tfQkFTRURfQ09NUF9UQVguOTkxLjExLzA3LzIwMjYuLi5VU0QuSAEAAABLVQAAAgAAAAQtODgyADpEkmtv394IGd6Jbm/f3gg1Q0lRLk5BU0RBUTpNU0ZULklRX0RBX1NVUFBMX0NGLjk5MS4xMS8wNy8yMDI2Li4uVVNELkgBAAAAS1UAAAIAAAAENDkwMAEIAAAABQAAAAExAQAAAAoxODk4NDg5NDcwAwAAAAMxNjACAAAABDIxNzEEAAAAATAHAAAACTcvMTEvMjAyNggAAAAJNi8zMC8yMDE2CQAAAAEwOkSSa2/f3ggZ3olub9/eCDBDSVEuTkFT</t>
  </si>
  <si>
    <t>REFROk1TRlQuSVFfREFfQ0YuMjAwMC4xMS8wNy8yMDI2Li4uVVNELkgBAAAAS1UAAAIAAAAFMzU1MDABCAAAAAUAAAABMQEAAAALLTE4OTMyOTg5OTUDAAAAAzE2MAIAAAAEMjE2MAQAAAABMAcAAAAJNy8xMS8yMDI2CAAAAAkzLzMxLzIwMjYJAAAAATA6RJJrb9/eCBneiW5v394IPENJUS5OQVNEQVE6TVNGVC5JUV9TVE9DS19CQVNFRF9PVEhFUi4yMDAwLjExLzA3LzIwMjYuLi5VU0QuSAEAAABLVQAAAgAAAAUxMjM1NgEIAAAABQAAAAExAQAAAAstMTg5MzI5ODk5NQMAAAADMTYwAgAAAAUyMjY3NgQAAAABMAcAAAAJNy8xMS8yMDI2CAAAAAkzLzMxLzIwMjYJAAAAATA6RJJrb9/eCBneiW5v394IQkNJUS5OQVNEQVE6TVNGVC5JUV9SRVNUUl9TVE9DS19DT01QX1BSRVRBWC4yMDAwLjExLzA3LzIwMjYuLi5VU0QuSAEAAABLVQAAAwAAAAAAOkSSa2/f3ggZ3olub9/eCENDSVEuTkFTREFROk1TRlQuSVFfU1RPQ0tfT1BUSU9OU19DT01QX1BSRVRBWC45OTMuMTEvMDcvMjAyNi4uLlVTRC5IAQAAAEtVAAADAAAAAAA6RJJrb9/eCBneiW5v394IPkNJUS5OQVNEQVE6TVNGVC5JUV9ORUdBVElWRV9HV19BTU9SVF9BVC45OTMuMTEvMDcvMjAyNi4uLlVTRC5IAQAAAEtVAAADAAAAAAA6RJJrb9/eCBneiW5v394IOENJUS5OQVNEQVE6TVNGVC5JUV9TVE9DS19CQVNFRF9HQS45OTEuMTEvMDcvMjAyNi4uLlVT</t>
  </si>
  <si>
    <t>RC5IAQAAAEtVAAADAAAAAAA6RJJrb9/eCBneiW5v394IQENJUS5OQVNEQVE6TVNGVC5JUV9BU1NFVF9XUklURURPV05fU1VQUExFLjk5MS4xMS8wNy8yMDI2Li4uVVNELkgBAAAAS1UAAAMAAAAAADpEkmtv394IGd6Jbm/f3ghCQ0lRLk5BU0RBUTpNU0ZULklRX0dBSU5fQkFSR0FJTl9BQ1FfU1VQUExFLjIwMDAuMTEvMDcvMjAyNi4uLlVTRC5IAQAAAEtVAAADAAAAAAA6RJJrb9/eCGjKiW5v394IOENJUS5OQVNEQVE6TVNGVC5JUV9BSVJDUkFGVF9SRU5ULjIwMDAuMTEvMDcvMjAyNi4uLlVTRC5IAQAAAEtVAAADAAAAAAA6RJJrb9/eCGjKiW5v394IQUNJUS5OQVNEQVE6TVNGVC5JUV9TQUxBUklFU19PVEhFUl9CRU5FRklUUy45OTMuMTEvMDcvMjAyNi4uLlVTRC5IAQAAAEtVAAADAAAAAAA6RJJrb9/eCGjKiW5v394IM0NJUS5OQVNEQVE6TVNGVC5JUV9NQVJLRVRJTkcuOTkzLjExLzA3LzIwMjYuLi5VU0QuSAEAAABLVQAAAwAAAAAAOkSSa2/f3ghoyolub9/eCDNDSVEuTkFTREFROk1TRlQuSVFfUkRfRVhQX0ZOLjk5My4xMS8wNy8yMDI2Li4uVVNELkgBAAAAS1UAAAIAAAAFMTQ3MjYBCAAAAAUAAAABMQEAAAAKMjA0NzI3MTc0NQMAAAADMTYwAgAAAAQzMTY4BAAAAAEwBwAAAAk3LzExLzIwMjYIAAAACTYvMzAvMjAxOAkAAAABMDpEkmtv394IGd6Jbm/f3gg7Q0lRLk5BU0RBUTpNU0ZULklRX0NP</t>
  </si>
  <si>
    <t>TlRJTkdFTlRfUkVOVEFMLjk5MS4xMS8wNy8yMDI2Li4uVVNELkgBAAAAS1UAAAMAAAAAADpEkmtv394ILaOJbm/f3gg0Q0lRLk5BU0RBUTpNU0ZULklRX0NPTU1PTl9ESVYuOTkxLjExLzA3LzIwMjYuLi5VU0QuSAEAAABLVQAAAgAAAAUxMTMyOQA6RJJrb9/eCC2jiW5v394ILUNJUS5OQVNEQVE6TVNGVC5JUV9ESUMuOTkxLjExLzA3LzIwMjYuLi5VU0QuSAEAAABLVQAAAwAAAAAAOkSSa2/f3ggto4lub9/eCExDSVEuTkFTREFROk1TRlQuSVFfSU5URVJFU1RfRVhQX0xFQVNFX0xJQUJJTElUWV9ERUJULjIwMDAuMTEvMDcvMjAyNi4uLlVTRC5IAQAAAEtVAAACAAAABDIyNjABCAAAAAUAAAABMQEAAAALLTE4OTMyOTg5OTUDAAAAAzE2MAIAAAAFNDg5MDcEAAAAATAHAAAACTcvMTEvMjAyNggAAAAJMy8zMS8yMDI2CQAAAAEwOkSSa2/f3ggto4lub9/eCDRDSVEuTkFTREFROk1TRlQuSVFfREFfRUJJVERBLjIwMDAuMTEvMDcvMjAyNi4uLlVTRC5IAQAAAEtVAAACAAAABTM1NTAwAQgAAAAFAAAAATEBAAAACy0xODkzMjk4OTk1AwAAAAMxNjACAAAABDIyMDYEAAAAATAHAAAACTcvMTEvMjAyNggAAAAJMy8zMS8yMDI2CQAAAAEwOkSSa2/f3ghoyolub9/eCEBDSVEuTkFTREFROk1TRlQuSVFfREVGRVJSRURfRk9SRUlHTl9UQVhFUy45OTMuMTEvMDcvMjAyNi4uLlVTRC5IAQAAAEtVAAACAAAABC0zOTMB</t>
  </si>
  <si>
    <t>CAAAAAUAAAABMQEAAAAKMjA0NzI3MTc0NQMAAAADMTYwAgAAAAQzMDU1BAAAAAEwBwAAAAk3LzExLzIwMjYIAAAACTYvMzAvMjAxOAkAAAABMDpEkmtv394ILaOJbm/f3ggyQ0lRLk5BU0RBUTpNU0ZULklRX0RJTFVUX05JLjk5MS4xMS8wNy8yMDI2Li4uVVNELkgBAAAAS1UAAAIAAAAIMjA1MTMuMjgBCAAAAAUAAAABMQEAAAAKMTg5ODQ4OTQ3MAMAAAADMTYwAgAAAAQzNTIyBAAAAAEwBwAAAAk3LzExLzIwMjYIAAAACTYvMzAvMjAxNgkAAAABMDpEkmtv394ILaOJbm/f3ggxQ0lRLk5BU0RBUTpNU0ZULklRX05JX1NGQVMuOTkxLjExLzA3LzIwMjYuLi5VU0QuSAEAAABLVQAAAwAAAAAAOkSSa2/f3ggto4lub9/eCEJDSVEuTkFTREFROk1TRlQuSVFfRVhDSVNFX1RBWEVTX0VYQ0xfU0FMRVMuMjAwMC4xMS8wNy8yMDI2Li4uVVNELkgBAAAAS1UAAAMAAAAAADpEkmtv394ILaOJbm/f3ghEQ0lRLk5BU0RBUTpNU0ZULklRX0dXX0lOVEFOX0FNT1JUX1BBUlRJQUxfQ0YuMjAwMC4xMS8wNy8yMDI2Li4uVVNELkgBAAAAS1UAAAMAAAAAADpEkmtv394ILaOJbm/f3ggyQ0lRLk5BU0RBUTpNU0ZULklRX0RFUF9SVUEuMjAwMC4xMS8wNy8yMDI2Li4uVVNELkgBAAAAS1UAAAMAAAAAADpEkmtv394IyWeJbm/f3gg3Q0lRLk5BU0RBUTpNU0ZULklRX0NBU0hfSU5URVJFU1QuOTkzLjExLzA3LzIwMjYuLi5VU0Qu</t>
  </si>
  <si>
    <t>SAEAAABLVQAAAwAAAAAAOkSSa2/f3gjJZ4lub9/eCDtDSVEuTkFTREFROk1TRlQuSVFfVE9UQUxfRElWX1BBSURfQ0YuOTkwLjExLzA3LzIwMjYuLi5VU0QuSAEAAABLVQAAAgAAAAUtOTg4MgEIAAAABQAAAAExAQAAAAoxODUxNTI1OTEyAwAAAAMxNjACAAAABDIwMjIEAAAAATAHAAAACTcvMTEvMjAyNggAAAAJNi8zMC8yMDE1CQAAAAEwOkSSa2/f3gjJZ4lub9/eCC1DSVEuTkFTREFROk1TRlQuSVFfRlguMjAwMC4xMS8wNy8yMDI2Li4uVVNELkgBAAAAS1UAAAIAAAADLTEyAQgAAAAFAAAAATEBAAAACy0xODkzMjk4OTk1AwAAAAMxNjACAAAABDIxNDQEAAAAATAHAAAACTcvMTEvMjAyNggAAAAJMy8zMS8yMDI2CQAAAAEwOkSSa2/f3gjJZ4lub9/eCDVDSVEuTkFTREFROk1TRlQuSVFfQ0FTSF9JTlZFU1QuOTkyLjExLzA3LzIwMjYuLi5VU0QuSAEAAABLVQAAAgAAAAYtNDY3ODEBCAAAAAUAAAABMQEAAAAKMTk3MzM4MDk1MQMAAAADMTYwAgAAAAQyMDA1BAAAAAEwBwAAAAk3LzExLzIwMjYIAAAACTYvMzAvMjAxNwkAAAABMDpEkmtv394ILaOJbm/f3gg4Q0lRLk5BU0RBUTpNU0ZULklRX0xUX0RFQlRfSVNTVUVELjk5My4xMS8wNy8yMDI2Li4uVVNELkgBAAAAS1UAAAIAAAAENzE4MwEIAAAABQAAAAExAQAAAAoyMDQ3MjcxNzQ1AwAAAAMxNjACAAAABDIwMzQEAAAAATAHAAAACTcvMTEvMjAyNggA</t>
  </si>
  <si>
    <t>AAAJNi8zMC8yMDE4CQAAAAEwOkSSa2/f3gjJZ4lub9/eCDhDSVEuTkFTREFROk1TRlQuSVFfU1RfREVCVF9SRVBBSUQuOTkzLjExLzA3LzIwMjYuLi5VU0QuSAEAAABLVQAAAgAAAAUtNzMyNAEIAAAABQAAAAExAQAAAAoyMDQ3MjcxNzQ1AwAAAAMxNjACAAAABDIwNDQEAAAAATAHAAAACTcvMTEvMjAyNggAAAAJNi8zMC8yMDE4CQAAAAEwOkSSa2/f3gjJZ4lub9/eCDVDSVEuTkFTREFROk1TRlQuSVFfUFJFRl9JU1NVRUQuOTkwLjExLzA3LzIwMjYuLi5VU0QuSAEAAABLVQAAAwAAAAAAOkSSa2/f3gjJZ4lub9/eCD5DSVEuTkFTREFROk1TRlQuSVFfU0FMRV9SRUFMX0VTVEFURV9DRi4yMDAwLjExLzA3LzIwMjYuLi5VU0QuSAEAAABLVQAAAwAAAAAAOkSSa2/f3gjJZ4lub9/eCDlDSVEuTkFTREFROk1TRlQuSVFfSU5WRVNUX0xPQU5TX0NGLjk5MS4xMS8wNy8yMDI2Li4uVVNELkgBAAAAS1UAAAMAAAAAADpEkmtv394IyWeJbm/f3gg0Q0lRLk5BU0RBUTpNU0ZULklRX0NIQU5HRV9BUi4yMDAwLjExLzA3LzIwMjYuLi5VU0QuSAEAAABLVQAAAgAAAAUtNzgzMgEIAAAABQAAAAExAQAAAAstMTg5MzI5ODk5NQMAAAADMTYwAgAAAAQyMDE4BAAAAAEwBwAAAAk3LzExLzIwMjYIAAAACTMvMzEvMjAyNgkAAAABMDpEkmtv394IyWeJbm/f3gg7Q0lRLk5BU0RBUTpNU0ZULklRX0NIQU5HRV9VTkVBUk5fUkVW</t>
  </si>
  <si>
    <t>Ljk5MS4xMS8wNy8yMDI2Li4uVVNELkgBAAAAS1UAAAIAAAAEMjU2NQEIAAAABQAAAAExAQAAAAoxODk4NDg5NDcwAwAAAAMxNjACAAAABDIxMzkEAAAAATAHAAAACTcvMTEvMjAyNggAAAAJNi8zMC8yMDE2CQAAAAEwOkSSa2/f3gjJZ4lub9/eCDhDSVEuTkFTREFROk1TRlQuSVFfQ0hBTkdFX0RFRl9UQVguOTkyLjExLzA3LzIwMjYuLi5VU0QuSAEAAABLVQAAAwAAAAAAOkSSa2/f3gjJZ4lub9/eCD1DSVEuTkFTREFROk1TRlQuSVFfVEFYX0JFTkVGSVRfT1BUSU9OUy45OTIuMTEvMDcvMjAyNi4uLlVTRC5IAQAAAEtVAAADAAAAAAA6RJJrb9/eCMlniW5v394INUNJUS5OQVNEQVE6TVNGVC5JUV9EQV9TVVBQTF9DRi45OTIuMTEvMDcvMjAyNi4uLlVTRC5IAQAAAEtVAAACAAAABDYxMDABCAAAAAUAAAABMQEAAAAKMTk3MzM4MDk1MQMAAAADMTYwAgAAAAQyMTcxBAAAAAEwBwAAAAk3LzExLzIwMjYIAAAACTYvMzAvMjAxNwkAAAABMDpEkmtv394IyWeJbm/f3gg1Q0lRLk5BU0RBUTpNU0ZULklRX09USEVSX0FNT1JULjk5MC4xMS8wNy8yMDI2Li4uVVNELkgBAAAAS1UAAAIAAAACNzkBCAAAAAUAAAABMQEAAAAKMTg1MTUyNTkxMgMAAAADMTYwAgAAAAQyMDE0BAAAAAEwBwAAAAk3LzExLzIwMjYIAAAACTYvMzAvMjAxNQkAAAABMDpEkmtv394I4SyJbm/f3gg7Q0lRLk5BU0RBUTpNU0ZULklRX1NUT0NL</t>
  </si>
  <si>
    <t>X0JBU0VEX09USEVSLjk5Mi4xMS8wNy8yMDI2Li4uVVNELkgBAAAAS1UAAAIAAAAEMzI2NgEIAAAABQAAAAExAQAAAAoxOTczMzgwOTUxAwAAAAMxNjACAAAABTIyNjc2BAAAAAEwBwAAAAk3LzExLzIwMjYIAAAACTYvMzAvMjAxNwkAAAABMDpEkmtv394IGlSJbm/f3gg+Q0lRLk5BU0RBUTpNU0ZULklRX1JFU1RSX1NUT0NLX0NPTVBfVEFYLjk5MC4xMS8wNy8yMDI2Li4uVVNELkgBAAAAS1UAAAMAAAAAADpEkmtv394IGlSJbm/f3gg+Q0lRLk5BU0RBUTpNU0ZULklRX1RPVEFMX1VOVVNVQUxfU1VQUExFLjk5MC4xMS8wNy8yMDI2Li4uVVNELkgBAAAAS1UAAAMAAAAAADpEkmtv394IGlSJbm/f3gg4Q0lRLk5BU0RBUTpNU0ZULklRX1NUT0NLX0JBU0VEX0dBLjk5Mi4xMS8wNy8yMDI2Li4uVVNELkgBAAAAS1UAAAMAAAAAADpEkmtv394IyWeJbm/f3ghAQ0lRLk5BU0RBUTpNU0ZULklRX0FTU0VUX1dSSVRFRE9XTl9TVVBQTEUuOTkyLjExLzA3LzIwMjYuLi5VU0QuSAEAAABLVQAAAwAAAAAAOkSSa2/f3gjhLIlub9/eCDtDSVEuTkFTREFROk1TRlQuSVFfSU5TX1NFVFRMRV9TVVBQTEUuOTkwLjExLzA3LzIwMjYuLi5VU0QuSAEAAABLVQAAAwAAAAAAOkSSa2/f3gjhLIlub9/eCERDSVEuTkFTREFROk1TRlQuSVFfREVQUkVDSUFUSU9OX1JFTlRBTF9BU1NFVFMuOTkwLjExLzA3LzIwMjYuLi5VU0QuSAEA</t>
  </si>
  <si>
    <t>AABLVQAAAwAAAAAAOkSSa2/f3gjhLIlub9/eCDtDSVEuTkFTREFROk1TRlQuSVFfQ09OVElOR0VOVF9SRU5UQUwuOTkyLjExLzA3LzIwMjYuLi5VU0QuSAEAAABLVQAAAwAAAAAAOkSSa2/f3gjhLIlub9/eCC1DSVEuTkFTREFROk1TRlQuSVFfRElDLjk5Mi4xMS8wNy8yMDI2Li4uVVNELkgBAAAAS1UAAAMAAAAAADpEkmtv394I4SyJbm/f3ghLQ0lRLk5BU0RBUTpNU0ZULklRX0lOVEVSRVNUX0VYUF9MRUFTRV9MSUFCSUxJVFlfREVCVC45OTIuMTEvMDcvMjAyNi4uLlVTRC5IAQAAAEtVAAACAAAAAjY4AQgAAAAFAAAAATEBAAAACjE5NzMzODA5NTEDAAAAAzE2MAIAAAAFNDg5MDcEAAAAATAHAAAACTcvMTEvMjAyNggAAAAJNi8zMC8yMDE3CQAAAAEwOkSSa2/f3gis8Ihub9/eCDxDSVEuTkFTREFROk1TRlQuSVFfRElTVFJJQlVUQUJMRV9DQVNILjk5MC4xMS8wNy8yMDI2Li4uVVNELkgBAAAAS1UAAAMAAAAAADpEkmtv394IrPCIbm/f3gg0Q0lRLk5BU0RBUTpNU0ZULklRX0NVUlJfVEFYRVMuOTkwLjExLzA3LzIwMjYuLi5VU0QuSAEAAABLVQAAAgAAAAQ2MDkwAQgAAAAFAAAAATEBAAAACjE4NTE1MjU5MTIDAAAAAzE2MAIAAAAFMzUzODMEAAAAATAHAAAACTcvMTEvMjAyNggAAAAJNi8zMC8yMDE1CQAAAAEwOkSSa2/f3gjhLIlub9/eCDJDSVEuTkFTREFROk1TRlQuSVFfRElMVVRfTkkuOTkyLjEx</t>
  </si>
  <si>
    <t>LzA3LzIwMjYuLi5VU0QuSAEAAABLVQAAAgAAAAUyNTQ1NAEIAAAABQAAAAExAQAAAAoxOTczMzgwOTUxAwAAAAMxNjACAAAABDM1MjIEAAAAATAHAAAACTcvMTEvMjAyNggAAAAJNi8zMC8yMDE3CQAAAAEwOkSSa2/f3gjhLIlub9/eCDFDSVEuTkFTREFROk1TRlQuSVFfTklfU0ZBUy45OTIuMTEvMDcvMjAyNi4uLlVTRC5IAQAAAEtVAAADAAAAAAA6RJJrb9/eCOEsiW5v394IQUNJUS5OQVNEQVE6TVNGVC5JUV9FWENJU0VfVEFYRVNfSU5DTF9TQUxFUy45OTAuMTEvMDcvMjAyNi4uLlVTRC5IAQAAAEtVAAADAAAAAAA6RJJrb9/eCKzwiG5v394IQUNJUS5OQVNEQVE6TVNGVC5JUV9FQklUREFSX0VRX0lOQ19FWENMX1NCQy45OTAuMTEvMDcvMjAyNi4uLlVTRC5IAQAAAEtVAAACAAAABTM3MTM1AQgAAAAFAAAAATEBAAAACjE4NTE1MjU5MTIDAAAAAzE2MAIAAAAFMjQxMzMEAAAAATAHAAAACTcvMTEvMjAyNggAAAAJNi8zMC8yMDE1CQAAAAEwOkSSa2/f3gis8Ihub9/eCD9DSVEuTkFTREFROk1TRlQuSVFfRUJJVEFfRVFfSU5DX0VYQ0xfU0JDLjk5Mi4xMS8wNy8yMDI2Li4uVVNELkgBAAAAS1UAAAIAAAAFMzQyOTcBCAAAAAUAAAABMQEAAAAKMTk3MzM4MDk1MQMAAAADMTYwAgAAAAUyNDEzMgQAAAABMAcAAAAJNy8xMS8yMDI2CAAAAAk2LzMwLzIwMTcJAAAAATCaepJrb9/eCKzwiG5v394IMENJUS5O</t>
  </si>
  <si>
    <t>QVNEQVE6TVNGVC5JUV9FQklUREEuOTkyLjExLzA3LzIwMjYuLi5VU0QuSAEAAABLVQAAAgAAAAUzNzEzMQEIAAAABQAAAAExAQAAAAoxOTczMzgwOTUxAwAAAAMxNjACAAAABDQwNTEEAAAAATAHAAAACTcvMTEvMjAyNggAAAAJNi8zMC8yMDE3CQAAAAEwmnqSa2/f3gis8Ihub9/eCD9DSVEuTkFTREFROk1TRlQuSVFfRUJJVERBX0xFQVNFX0FESlVTVEVELjk5MC4xMS8wNy8yMDI2Li4uVVNELkgBAAAAS1UAAAIAAAAFMzM1NzIBCAAAAAUAAAABMQEAAAAKMTg1MTUyNTkxMgMAAAADMTYwAgAAAAU0ODk5MwQAAAABMAcAAAAJNy8xMS8yMDI2CAAAAAk2LzMwLzIwMTUJAAAAATCaepJrb9/eCKzwiG5v394INkNJUS5OQVNEQVE6TVNGVC5JUV9NQUlOVF9DQVBFWC4yMDAwLjExLzA3LzIwMjYuLi5VU0QuSAEAAABLVQAAAwAAAAAAmnqSa2/f3gis8Ihub9/eCE5DSVEuTkFTREFROk1TRlQuSVFfT1BFUkFUSU5HX0xFQVNFX0xJQUJJTElUSUVTX05PTkNBU0guMjAwMC4xMS8wNy8yMDI2Li4uVVNELkgBAAAAS1UAAAMAAAAAAJp6kmtv394IrPCIbm/f3gg4Q0lRLk5BU0RBUTpNU0ZULklRX01JU0NfQURKVVNUX0NGLjk5MS4xMS8wNy8yMDI2Li4uVVNELkgBAAAAS1UAAAMAAAAAAJp6kmtv394IrPCIbm/f3gg0Q0lRLk5BU0RBUTpNU0ZULklRX0RFUFJFX1NVUFAuOTkwLjExLzA3LzIwMjYuLi5VU0QuSAEAAABL</t>
  </si>
  <si>
    <t>VQAAAgAAAAQ0MTAwAQgAAAAFAAAAATEBAAAACjE4NTE1MjU5MTIDAAAAAzE2MAIAAAAEMjE0MwQAAAABMAcAAAAJNy8xMS8yMDI2CAAAAAk2LzMwLzIwMTUJAAAAATCaepJrb9/eCKzwiG5v394IRkNJUS5OQVNEQVE6TVNGVC5JUV9EQV9TVVBQTF9DRl9FWENMX09QRVJfTEVBU0VTLjk5MC4xMS8wNy8yMDI2Li4uVVNELkgBAAAAS1UAAAIAAAAENDEwMAEIAAAABQAAAAExAQAAAAoxODUxNTI1OTEyAwAAAAMxNjACAAAABTQ4OTgzBAAAAAEwBwAAAAk3LzExLzIwMjYIAAAACTYvMzAvMjAxNQkAAAABMJp6kmtv394IrPCIbm/f3gg1Q0lRLk5BU0RBUTpNU0ZULklRX1BSRUZfSVNTVUVELjk5MS4xMS8wNy8yMDI2Li4uVVNELkgBAAAAS1UAAAMAAAAAAJp6kmtv394IrPCIbm/f3gg7Q0lRLk5BU0RBUTpNU0ZULklRX1RPVEFMX0RJVl9QQUlEX0NGLjk5MS4xMS8wNy8yMDI2Li4uVVNELkgBAAAAS1UAAAIAAAAGLTExMDA2AQgAAAAFAAAAATEBAAAACjE4OTg0ODk0NzADAAAAAzE2MAIAAAAEMjAyMgQAAAABMAcAAAAJNy8xMS8yMDI2CAAAAAk2LzMwLzIwMTYJAAAAATCaepJrb9/eCKzwiG5v394IN0NJUS5OQVNEQVE6TVNGVC5JUV9TQUxFX0lOVEFOX0NGLjk5MC4xMS8wNy8yMDI2Li4uVVNELkgBAAAAS1UAAAMAAAAAAJp6kmtv394IrPCIbm/f3gg5Q0lRLk5BU0RBUTpNU0ZULklRX0lOVkVTVF9MT0FOU19D</t>
  </si>
  <si>
    <t>Ri45OTIuMTEvMDcvMjAyNi4uLlVTRC5IAQAAAEtVAAADAAAAAACaepJrb9/eCKzwiG5v394INUNJUS5OQVNEQVE6TVNGVC5JUV9DQVNIX0lOVkVTVC45OTMuMTEvMDcvMjAyNi4uLlVTRC5IAQAAAEtVAAACAAAABS02MDYxAQgAAAAFAAAAATEBAAAACjIwNDcyNzE3NDUDAAAAAzE2MAIAAAAEMjAwNQQAAAABMAcAAAAJNy8xMS8yMDI2CAAAAAk2LzMwLzIwMTgJAAAAATCaepJrb9/eCKzwiG5v394IOkNJUS5OQVNEQVE6TVNGVC5JUV9DSEFOR0VfSU5WRU5UT1JZLjk5MC4xMS8wNy8yMDI2Li4uVVNELkgBAAAAS1UAAAIAAAAELTI3MgEIAAAABQAAAAExAQAAAAoxODUxNTI1OTEyAwAAAAMxNjACAAAABDIwOTkEAAAAATAHAAAACTcvMTEvMjAyNggAAAAJNi8zMC8yMDE1CQAAAAEwmnqSa2/f3ghBtIhub9/eCDtDSVEuTkFTREFROk1TRlQuSVFfQ0hBTkdFX1VORUFSTl9SRVYuOTkyLjExLzA3LzIwMjYuLi5VU0QuSAEAAABLVQAAAgAAAAQzODIwAQgAAAAFAAAAATEBAAAACjE5NzMzODA5NTEDAAAAAzE2MAIAAAAEMjEzOQQAAAABMAcAAAAJNy8xMS8yMDI2CAAAAAk2LzMwLzIwMTcJAAAAATCaepJrb9/eCEG0iG5v394IOENJUS5OQVNEQVE6TVNGVC5JUV9DSEFOR0VfREVGX1RBWC45OTMuMTEvMDcvMjAyNi4uLlVTRC5IAQAAAEtVAAADAAAAAACaepJrb9/eCEG0iG5v394IOUNJUS5OQVNEQVE6TVNGVC5J</t>
  </si>
  <si>
    <t>UV9DUkVESVRfTE9TU19DRi4yMDAwLjExLzA3LzIwMjYuLi5VU0QuSAEAAABLVQAAAwAAAAAAmnqSa2/f3ghBtIhub9/eCD1DSVEuTkFTREFROk1TRlQuSVFfVEFYX0JFTkVGSVRfT1BUSU9OUy45OTMuMTEvMDcvMjAyNi4uLlVTRC5IAQAAAEtVAAADAAAAAACaepJrb9/eCKzwiG5v394INUNJUS5OQVNEQVE6TVNGVC5JUV9EQV9TVVBQTF9DRi45OTMuMTEvMDcvMjAyNi4uLlVTRC5IAQAAAEtVAAACAAAABDc3MDABCAAAAAUAAAABMQEAAAAKMjA0NzI3MTc0NQMAAAADMTYwAgAAAAQyMTcxBAAAAAEwBwAAAAk3LzExLzIwMjYIAAAACTYvMzAvMjAxOAkAAAABMJp6kmtv394IQbSIbm/f3gg1Q0lRLk5BU0RBUTpNU0ZULklRX09USEVSX0FNT1JULjk5MS4xMS8wNy8yMDI2Li4uVVNELkgBAAAAS1UAAAIAAAACNjkBCAAAAAUAAAABMQEAAAAKMTg5ODQ4OTQ3MAMAAAADMTYwAgAAAAQyMDE0BAAAAAEwBwAAAAk3LzExLzIwMjYIAAAACTYvMzAvMjAxNgkAAAABMJp6kmtv394IQbSIbm/f3gg5Q0lRLk5BU0RBUTpNU0ZULklRX0dBSU5fSU5WRVNUX0NGLjIwMDAuMTEvMDcvMjAyNi4uLlVTRC5IAQAAAEtVAAACAAAABi0xMDA4MgEIAAAABQAAAAExAQAAAAstMTg5MzI5ODk5NQMAAAADMTYwAgAAAAQyMDkwBAAAAAEwBwAAAAk3LzExLzIwMjYIAAAACTMvMzEvMjAyNgkAAAABMJp6kmtv394IQbSIbm/f3gg+Q0lR</t>
  </si>
  <si>
    <t>Lk5BU0RBUTpNU0ZULklRX1JFU1RSX1NUT0NLX0NPTVBfVEFYLjk5MS4xMS8wNy8yMDI2Li4uVVNELkgBAAAAS1UAAAMAAAAAAJp6kmtv394IQbSIbm/f3ghBQ0lRLk5BU0RBUTpNU0ZULklRX1NUT0NLX09QVElPTlNfQ09NUF9UQVguMjAwMC4xMS8wNy8yMDI2Li4uVVNELkgBAAAAS1UAAAMAAAAAAJp6kmtv394IQbSIbm/f3gg7Q0lRLk5BU0RBUTpNU0ZULklRX1NUT0NLX0JBU0VEX0NPR1MuMjAwMC4xMS8wNy8yMDI2Li4uVVNELkgBAAAAS1UAAAMAAAAAAJp6kmtv394IQbSIbm/f3gg7Q0lRLk5BU0RBUTpNU0ZULklRX1NUT0NLX0JBU0VEX09USEVSLjk5My4xMS8wNy8yMDI2Li4uVVNELkgBAAAAS1UAAAIAAAAEMzk0MAEIAAAABQAAAAExAQAAAAoyMDQ3MjcxNzQ1AwAAAAMxNjACAAAABTIyNjc2BAAAAAEwBwAAAAk3LzExLzIwMjYIAAAACTYvMzAvMjAxOAkAAAABMJp6kmtv394IQbSIbm/f3ghBQ0lRLk5BU0RBUTpNU0ZULklRX0dBSU5fQkFSR0FJTl9BQ1FfU1VQUExFLjk5My4xMS8wNy8yMDI2Li4uVVNELkgBAAAAS1UAAAMAAAAAAJp6kmtv394IQbSIbm/f3gg+Q0lRLk5BU0RBUTpNU0ZULklRX1RPVEFMX1VOVVNVQUxfU1VQUExFLjk5MS4xMS8wNy8yMDI2Li4uVVNELkgBAAAAS1UAAAMAAAAAAJp6kmtv394IQbSIbm/f3ghCQ0lRLk5BU0RBUTpNU0ZULklRX0lNUFVUX09QRVJfTEVBU0VfSU5U</t>
  </si>
  <si>
    <t>X0VYUC45OTEuMTEvMDcvMjAyNi4uLlVTRC5IAQAAAEtVAAACAAAACTIxNi42NjUyOAEIAAAABQAAAAExAQAAAAoxODk4NDg5NDcwAwAAAAMxNjACAAAABTIxNjcyBAAAAAEwBwAAAAk3LzExLzIwMjYIAAAACTYvMzAvMjAxNgkAAAABMJp6kmtv394IQbSIbm/f3gg9Q0lRLk5BU0RBUTpNU0ZULklRX1JFU1RSVUNUVVJFX1NVUFBMRS4yMDAwLjExLzA3LzIwMjYuLi5VU0QuSAEAAABLVQAAAwAAAAAAmnqSa2/f3gjQd4hub9/eCEBDSVEuTkFTREFROk1TRlQuSVFfQVNTRVRfV1JJVEVET1dOX1NVUFBMRS45OTMuMTEvMDcvMjAyNi4uLlVTRC5IAQAAAEtVAAADAAAAAACaepJrb9/eCEG0iG5v394IPENJUS5OQVNEQVE6TVNGVC5JUV9ORVRfUkVOVEFMX0VYUF9GTi4yMDAwLjExLzA3LzIwMjYuLi5VU0QuSAEAAABLVQAAAwAAAAAAmnqSa2/f3ghBtIhub9/eCDtDSVEuTkFTREFROk1TRlQuSVFfQ09OVElOR0VOVF9SRU5UQUwuOTkzLjExLzA3LzIwMjYuLi5VU0QuSAEAAABLVQAAAwAAAAAAmnqSa2/f3ghBtIhub9/eCERDSVEuTkFTREFROk1TRlQuSVFfREVQUkVDSUFUSU9OX1JFTlRBTF9BU1NFVFMuOTkxLjExLzA3LzIwMjYuLi5VU0QuSAEAAABLVQAAAwAAAAAAmnqSa2/f3ghBtIhub9/eCC1DSVEuTkFTREFROk1TRlQuSVFfRElDLjk5My4xMS8wNy8yMDI2Li4uVVNELkgBAAAAS1UAAAMAAAAAAJp6kmtv</t>
  </si>
  <si>
    <t>394I0HeIbm/f3gg6Q0lRLk5BU0RBUTpNU0ZULklRX1NBTEVTX01BUktFVElORy4yMDAwLjExLzA3LzIwMjYuLi5VU0QuSAEAAABLVQAAAgAAAAUyNjQwMAEIAAAABQAAAAExAQAAAAstMTg5MzI5ODk5NQMAAAADMTYwAgAAAAUyMTU2MQQAAAABMAcAAAAJNy8xMS8yMDI2CAAAAAkzLzMxLzIwMjYJAAAAATCaepJrb9/eCNB3iG5v394IPENJUS5OQVNEQVE6TVNGVC5JUV9ESVNUUklCVVRBQkxFX0NBU0guOTkxLjExLzA3LzIwMjYuLi5VU0QuSAEAAABLVQAAAwAAAAAAmnqSa2/f3gjQd4hub9/eCD9DSVEuTkFTREFROk1TRlQuSVFfREVGRVJSRURfVEFYRVNfVE9UQUwuMjAwMC4xMS8wNy8yMDI2Li4uVVNELkgBAAAAS1UAAAIAAAAFLTcwNTYBCAAAAAUAAAABMQEAAAALLTE4OTMyOTg5OTUDAAAAAzE2MAIAAAAFMzUzODUEAAAAATAHAAAACTcvMTEvMjAyNggAAAAJMy8zMS8yMDI2CQAAAAEwmnqSa2/f3gjQd4hub9/eCEtDSVEuTkFTREFROk1TRlQuSVFfSU5URVJFU1RfRVhQX0xFQVNFX0xJQUJJTElUWV9ERUJULjk5My4xMS8wNy8yMDI2Li4uVVNELkgBAAAAS1UAAAMAAAAAAJp6kmtv394I0HeIbm/f3ghBQ0lRLk5BU0RBUTpNU0ZULklRX0VYQ0lTRV9UQVhFU19FWENMX1NBTEVTLjk5My4xMS8wNy8yMDI2Li4uVVNELkgBAAAAS1UAAAMAAAAAAJp6kmtv394I0HeIbm/f3gg0Q0lRLk5BU0RBUTpNU0ZU</t>
  </si>
  <si>
    <t>LklRX0NVUlJfVEFYRVMuOTkxLjExLzA3LzIwMjYuLi5VU0QuSAEAAABLVQAAAgAAAAQyNjIxAQgAAAAFAAAAATEBAAAACjE4OTg0ODk0NzADAAAAAzE2MAIAAAAFMzUzODMEAAAAATAHAAAACTcvMTEvMjAyNggAAAAJNi8zMC8yMDE2CQAAAAEwmnqSa2/f3gjQd4hub9/eCDtDSVEuTkFTREFROk1TRlQuSVFfRkVFU19PVEhFUl9JTkNPTUUuOTkxLjExLzA3LzIwMjYuLi5VU0QuSAEAAABLVQAAAwAAAAAAmnqSa2/f3gjQd4hub9/eCD1DSVEuTkFTREFROk1TRlQuSVFfQVNfUkVQT1JURURfRUJJVERBLjIwMDAuMTEvMDcvMjAyNi4uLlVTRC5IAQAAAEtVAAADAAAAAACaepJrb9/eCNB3iG5v394IMUNJUS5OQVNEQVE6TVNGVC5JUV9OSV9TRkFTLjk5My4xMS8wNy8yMDI2Li4uVVNELkgBAAAAS1UAAAMAAAAAAJp6kmtv394I0HeIbm/f3gg4Q0lRLk5BU0RBUTpNU0ZULklRX0VCSVRfRVhDTF9TQkMuMjAwMC4xMS8wNy8yMDI2Li4uVVNELkgBAAAAS1UAAAIAAAAGMTYxMzEzAQgAAAAFAAAAATEBAAAACy0xODkzMjk4OTk1AwAAAAMxNjACAAAABTI0MTM0BAAAAAEwBwAAAAk3LzExLzIwMjYIAAAACTMvMzEvMjAyNgkAAAABMJp6kmtv394I0HeIbm/f3gg/Q0lRLk5BU0RBUTpNU0ZULklRX0VCSVRBX0VRX0lOQ19FWENMX1NCQy45OTMuMTEvMDcvMjAyNi4uLlVTRC5IAQAAAEtVAAACAAAABTQxMTk4AQgAAAAF</t>
  </si>
  <si>
    <t>AAAAATEBAAAACjIwNDcyNzE3NDUDAAAAAzE2MAIAAAAFMjQxMzIEAAAAATAHAAAACTcvMTEvMjAyNggAAAAJNi8zMC8yMDE4CQAAAAEwmnqSa2/f3gjQd4hub9/eCEFDSVEuTkFTREFROk1TRlQuSVFfRUJJVERBUl9FUV9JTkNfRVhDTF9TQkMuOTkxLjExLzA3LzIwMjYuLi5VU0QuSAEAAABLVQAAAgAAAAUzNjY3MAEIAAAABQAAAAExAQAAAAoxODk4NDg5NDcwAwAAAAMxNjACAAAABTI0MTMzBAAAAAEwBwAAAAk3LzExLzIwMjYIAAAACTYvMzAvMjAxNgkAAAABMJp6kmtv394I0HeIbm/f3ggwQ0lRLk5BU0RBUTpNU0ZULklRX0VCSVREQS45OTMuMTEvMDcvMjAyNi4uLlVTRC5IAQAAAEtVAAACAAAABTQ0OTU4AQgAAAAFAAAAATEBAAAACjIwNDcyNzE3NDUDAAAAAzE2MAIAAAAENDA1MQQAAAABMAcAAAAJNy8xMS8yMDI2CAAAAAk2LzMwLzIwMTgJAAAAATCaepJrb9/eCNB3iG5v394IP0NJUS5OQVNEQVE6TVNGVC5JUV9FQklUREFfTEVBU0VfQURKVVNURUQuOTkxLjExLzA3LzIwMjYuLi5VU0QuSAEAAABLVQAAAgAAAAUzMzA2NgEIAAAABQAAAAExAQAAAAoxODk4NDg5NDcwAwAAAAMxNjACAAAABTQ4OTkzBAAAAAEwBwAAAAk3LzExLzIwMjYIAAAACTYvMzAvMjAxNgkAAAABMJp6kmtv394I0HeIbm/f3ggvQ0lRLk5BU0RBUTpNU0ZULklRX0VCSVQuMjAwMC4xMS8wNy8yMDI2Li4uVVNELkgBAAAAS1UA</t>
  </si>
  <si>
    <t>AAIAAAAGMTQ4OTU3AQgAAAAFAAAAATEBAAAACy0xODkzMjk4OTk1AwAAAAMxNjACAAAAAzQwMAQAAAABMAcAAAAJNy8xMS8yMDI2CAAAAAkzLzMxLzIwMjYJAAAAATCaepJrb9/eCMRjiG5v394INUNJUS5OQVNEQVE6TVNGVC5JUV9MRVZFUkVEX0ZDRi45OTMuMTEvMDcvMjAyNi4uLlVTRC5IAQAAAEtVAAACAAAACTI1MDM1LjEyNQEIAAAABQAAAAExAQAAAAoyMDQ3MjcxNzQ1AwAAAAMxNjACAAAABDQ0MjIEAAAAATAHAAAACTcvMTEvMjAyNggAAAAJNi8zMC8yMDE4CQAAAAEwmnqSa2/f3gjEY4hub9/eCEtDSVEuTkFTREFROk1TRlQuSVFfTE9OR19URVJNX0RFQlRfUkVQQUlEX0VYQ0xfTEVBU0VTLjk5MC4xMS8wNy8yMDI2Li4uVVNELkgBAAAAS1UAAAIAAAAFLTE1MDABCAAAAAUAAAABMQEAAAAKMTg1MTUyNTkxMgMAAAADMTYwAgAAAAU0ODk4NAQAAAABMAcAAAAJNy8xMS8yMDI2CAAAAAk2LzMwLzIwMTUJAAAAATCaepJrb9/eCMRjiG5v394INENJUS5OQVNEQVE6TVNGVC5JUV9ERVBSRV9TVVBQLjk5MS4xMS8wNy8yMDI2Li4uVVNELkgBAAAAS1UAAAIAAAAENDkwMAEIAAAABQAAAAExAQAAAAoxODk4NDg5NDcwAwAAAAMxNjACAAAABDIxNDMEAAAAATAHAAAACTcvMTEvMjAyNggAAAAJNi8zMC8yMDE2CQAAAAEwmnqSa2/f3gjEY4hub9/eCEZDSVEuTkFTREFROk1TRlQuSVFfREFfU1VQUExfQ0Zf</t>
  </si>
  <si>
    <t>RVhDTF9PUEVSX0xFQVNFUy45OTEuMTEvMDcvMjAyNi4uLlVTRC5IAQAAAEtVAAACAAAABDQ5MDABCAAAAAUAAAABMQEAAAAKMTg5ODQ4OTQ3MAMAAAADMTYwAgAAAAU0ODk4MwQAAAABMAcAAAAJNy8xMS8yMDI2CAAAAAk2LzMwLzIwMTYJAAAAATCaepJrb9/eCNB3iG5v394INkNJUS5OQVNEQVE6TVNGVC5JUV9BTU9SVF9ESUNfQ0YuOTkwLjExLzA3LzIwMjYuLi5VU0QuSAEAAABLVQAAAwAAAAAAmnqSa2/f3gibTYhub9/eCDVDSVEuTkFTREFROk1TRlQuSVFfUFJFRl9JU1NVRUQuOTkyLjExLzA3LzIwMjYuLi5VU0QuSAEAAABLVQAAAwAAAAAAmnqSa2/f3gibTYhub9/eCDNDSVEuTkFTREFROk1TRlQuSVFfUFJFRl9SRVAuMjAwMC4xMS8wNy8yMDI2Li4uVVNELkgBAAAAS1UAAAMAAAAAAJp6kmtv394Im02Ibm/f3gg7Q0lRLk5BU0RBUTpNU0ZULklRX1RPVEFMX0RJVl9QQUlEX0NGLjk5Mi4xMS8wNy8yMDI2Li4uVVNELkgBAAAAS1UAAAIAAAAGLTExODQ1AQgAAAAFAAAAATEBAAAACjE5NzMzODA5NTEDAAAAAzE2MAIAAAAEMjAyMgQAAAABMAcAAAAJNy8xMS8yMDI2CAAAAAk2LzMwLzIwMTcJAAAAATCaepJrb9/eCJtNiG5v394IOENJUS5OQVNEQVE6TVNGVC5JUV9NSVNDX0FESlVTVF9DRi45OTIuMTEvMDcvMjAyNi4uLlVTRC5IAQAAAEtVAAADAAAAAACaepJrb9/eCMRjiG5v394IOUNJUS5OQVNE</t>
  </si>
  <si>
    <t>QVE6TVNGVC5JUV9JTlZFU1RfTE9BTlNfQ0YuOTkzLjExLzA3LzIwMjYuLi5VU0QuSAEAAABLVQAAAwAAAAAAmnqSa2/f3ghyOYhub9/eCDpDSVEuTkFTREFROk1TRlQuSVFfQ0FTSF9BQ1FVSVJFX0NGLjIwMDAuMTEvMDcvMjAyNi4uLlVTRC5IAQAAAEtVAAACAAAABS0zMDM0AQgAAAAFAAAAATEBAAAACy0xODkzMjk4OTk1AwAAAAMxNjACAAAABDIwNTcEAAAAATAHAAAACTcvMTEvMjAyNggAAAAJMy8zMS8yMDI2CQAAAAEwmnqSa2/f3ghyOYhub9/eCDdDSVEuTkFTREFROk1TRlQuSVFfU0FMRV9JTlRBTl9DRi45OTEuMTEvMDcvMjAyNi4uLlVTRC5IAQAAAEtVAAADAAAAAACaepJrb9/eCHI5iG5v394IOUNJUS5OQVNEQVE6TVNGVC5JUV9PVEhFUl9PUEVSX0FDVC4yMDAwLjExLzA3LzIwMjYuLi5VU0QuSAEAAABLVQAAAgAAAAUxMzM2NwEIAAAABQAAAAExAQAAAAstMTg5MzI5ODk5NQMAAAADMTYwAgAAAAQyMDQ3BAAAAAEwBwAAAAk3LzExLzIwMjYIAAAACTMvMzEvMjAyNgkAAAABMJp6kmtv394Im02Ibm/f3gg6Q0lRLk5BU0RBUTpNU0ZULklRX0NIQU5HRV9JTlZFTlRPUlkuOTkxLjExLzA3LzIwMjYuLi5VU0QuSAEAAABLVQAAAgAAAAM2MDABCAAAAAUAAAABMQEAAAAKMTg5ODQ4OTQ3MAMAAAADMTYwAgAAAAQyMDk5BAAAAAEwBwAAAAk3LzExLzIwMjYIAAAACTYvMzAvMjAxNgkAAAABMJp6kmtv</t>
  </si>
  <si>
    <t>394Im02Ibm/f3gg7Q0lRLk5BU0RBUTpNU0ZULklRX0NIQU5HRV9VTkVBUk5fUkVWLjk5My4xMS8wNy8yMDI2Li4uVVNELkgBAAAAS1UAAAIAAAAENTkyMgEIAAAABQAAAAExAQAAAAoyMDQ3MjcxNzQ1AwAAAAMxNjACAAAABDIxMzkEAAAAATAHAAAACTcvMTEvMjAyNggAAAAJNi8zMC8yMDE4CQAAAAEwmnqSa2/f3giMJYhub9/eCDVDSVEuTkFTREFROk1TRlQuSVFfT1RIRVJfQU1PUlQuOTkyLjExLzA3LzIwMjYuLi5VU0QuSAEAAABLVQAAAwAAAAAAmnqSa2/f3giMJYhub9/eCDhDSVEuTkFTREFROk1TRlQuSVFfR0FJTl9JTlZFU1RfQ0YuOTkyLjExLzA3LzIwMjYuLi5VU0QuSAEAAABLVQAAAgAAAAUtMjA3MwEIAAAABQAAAAExAQAAAAoxOTczMzgwOTUxAwAAAAMxNjACAAAABDIwOTAEAAAAATAHAAAACTcvMTEvMjAyNggAAAAJNi8zMC8yMDE3CQAAAAEwmnqSa2/f3giMJYhub9/eCDdDSVEuTkFTREFROk1TRlQuSVFfSU5DX0VRVUlUWV9DRi45OTAuMTEvMDcvMjAyNi4uLlVTRC5IAQAAAEtVAAADAAAAAACaepJrb9/eCIwliG5v394IPENJUS5OQVNEQVE6TVNGVC5JUV9TVE9DS19PUFRJT05TX0NPTVAuOTkwLjExLzA3LzIwMjYuLi5VU0QuSAEAAABLVQAAAwAAAAAAmnqSa2/f3ghyOYhub9/eCDpDSVEuTkFTREFROk1TRlQuSVFfU1RPQ0tfQkFTRURfQ09NUC45OTAuMTEvMDcvMjAyNi4uLlVTRC5I</t>
  </si>
  <si>
    <t>AQAAAEtVAAACAAAABDE3MDYAmnqSa2/f3gjiEYhub9/eCD5DSVEuTkFTREFROk1TRlQuSVFfUkVTVFJfU1RPQ0tfQ09NUF9UQVguOTkyLjExLzA3LzIwMjYuLi5VU0QuSAEAAABLVQAAAwAAAAAAmnqSa2/f3gjiEYhub9/eCD5DSVEuTkFTREFROk1TRlQuSVFfVE9UQUxfVU5VU1VBTF9TVVBQTEUuOTkyLjExLzA3LzIwMjYuLi5VU0QuSAEAAABLVQAAAwAAAAAAmnqSa2/f3giMJYhub9/eCDhDSVEuTkFTREFROk1TRlQuSVFfU1RPQ0tfQkFTRURfUkQuOTkwLjExLzA3LzIwMjYuLi5VU0QuSAEAAABLVQAAAwAAAAAAmnqSa2/f3giMJYhub9/eCDdDSVEuTkFTREFROk1TRlQuSVFfTUVSR0VSX1NVUFBMRS45OTAuMTEvMDcvMjAyNi4uLlVTRC5IAQAAAEtVAAADAAAAAACaepJrb9/eCIwliG5v394IQkNJUS5OQVNEQVE6TVNGVC5JUV9JTVBVVF9PUEVSX0xFQVNFX0lOVF9FWFAuOTkyLjExLzA3LzIwMjYuLi5VU0QuSAEAAABLVQAAAgAAAAozMzQuNTA4NDQ4AQgAAAAFAAAAATEBAAAACjE5NzMzODA5NTEDAAAAAzE2MAIAAAAFMjE2NzIEAAAAATAHAAAACTcvMTEvMjAyNggAAAAJNi8zMC8yMDE3CQAAAAEwmnqSa2/f3giX6odub9/eCDlDSVEuTkFTREFROk1TRlQuSVFfU0FMRVNfTUFSS0VUSU5HLjk5Mi4xMS8wNy8yMDI2Li4uVVNELkgBAAAAS1UAAAIAAAAFMTU0NjEBCAAAAAUAAAABMQEAAAAKMTk3MzM4</t>
  </si>
  <si>
    <t>MDk1MQMAAAADMTYwAgAAAAUyMTU2MQQAAAABMAcAAAAJNy8xMS8yMDI2CAAAAAk2LzMwLzIwMTcJAAAAATCaepJrb9/eCJfqh25v394IOENJUS5OQVNEQVE6TVNGVC5JUV9ORVRfUkVOVEFMX0VYUC45OTAuMTEvMDcvMjAyNi4uLlVTRC5IAQAAAEtVAAADAAAAAACaepJrb9/eCJfqh25v394IQENJUS5OQVNEQVE6TVNGVC5JUV9BTk5VX0RJU1RSSUJVVElPTl9VTklULjk5MC4xMS8wNy8yMDI2Li4uVVNELkgBAAAAS1UAAAMAAAAAAJp6kmtv394Il+qHbm/f3gg8Q0lRLk5BU0RBUTpNU0ZULklRX0RJU1RSSUJVVEFCTEVfQ0FTSC45OTIuMTEvMDcvMjAyNi4uLlVTRC5IAQAAAEtVAAADAAAAAACaepJrb9/eCOIRiG5v394INENJUS5OQVNEQVE6TVNGVC5JUV9DVVJSX1RBWEVTLjk5Mi4xMS8wNy8yMDI2Li4uVVNELkgBAAAAS1UAAAIAAAAENTI0MQEIAAAABQAAAAExAQAAAAoxOTczMzgwOTUxAwAAAAMxNjACAAAABTM1MzgzBAAAAAEwBwAAAAk3LzExLzIwMjYIAAAACTYvMzAvMjAxNwkAAAABMJp6kmtv394IxtaHbm/f3ghDQ0lRLk5BU0RBUTpNU0ZULklRX05PTlJFQ1VSUklOR19JTkNPTUVfVEFYRVMuOTkwLjExLzA3LzIwMjYuLi5VU0QuSAEAAABLVQAAAwAAAAAAmnqSa2/f3giX6odub9/eCExDSVEuTkFTREFROk1TRlQuSVFfUFJPVl9CQURfREVCVFNfUEFUSUVOVF9TRVJWSUNFX1JFVi45OTAuMTEv</t>
  </si>
  <si>
    <t>MDcvMjAyNi4uLlVTRC5IAQAAAEtVAAADAAAAAACaepJrb9/eCJfqh25v394IO0NJUS5OQVNEQVE6TVNGVC5JUV9GRUVTX09USEVSX0lOQ09NRS45OTIuMTEvMDcvMjAyNi4uLlVTRC5IAQAAAEtVAAADAAAAAACaepJrb9/eCJfqh25v394IP0NJUS5OQVNEQVE6TVNGVC5JUV9FQklUREFfTEVBU0VfQURKVVNURUQuOTkyLjExLzA3LzIwMjYuLi5VU0QuSAEAAABLVQAAAgAAAAUzODU0MwEIAAAABQAAAAExAQAAAAoxOTczMzgwOTUxAwAAAAMxNjACAAAABTQ4OTkzBAAAAAEwBwAAAAk3LzExLzIwMjYIAAAACTYvMzAvMjAxNwkAAAABMJp6kmtv394Il+qHbm/f3gguQ0lRLk5BU0RBUTpNU0ZULklRX0VCSVQuOTkyLjExLzA3LzIwMjYuLi5VU0QuSAEAAABLVQAAAgAAAAUyOTMzMQEIAAAABQAAAAExAQAAAAoxOTczMzgwOTUxAwAAAAMxNjACAAAAAzQwMAQAAAABMAcAAAAJNy8xMS8yMDI2CAAAAAk2LzMwLzIwMTcJAAAAATCaepJrb9/eCA+Mh25v394IL0NJUS5OQVNEQVE6TVNGVC5JUV9FQklUQS45OTAuMTEvMDcvMjAyNi4uLlVTRC5IAQAAAEtVAAACAAAABTI5NDcyAQgAAAAFAAAAATEBAAAACjE4NTE1MjU5MTIDAAAAAzE2MAIAAAAGMTAwNjg5BAAAAAEwBwAAAAk3LzExLzIwMjYIAAAACTYvMzAvMjAxNQkAAAABMJp6kmtv394IkMiHbm/f3gg5Q0lRLk5BU0RBUTpNU0ZULklRX1RPVEFMX1JFVl9TSEFS</t>
  </si>
  <si>
    <t>RS45OTAuMTEvMDcvMjAyNi4uLlVTRC5IAQAAAEtVAAACAAAACTExLjQ0NDI5NAEIAAAABQAAAAExAQAAAAoxODUxNTI1OTEyAwAAAAMxNjACAAAABDQzODIEAAAAATAHAAAACTcvMTEvMjAyNggAAAAJNi8zMC8yMDE1CQAAAAEwmnqSa2/f3giQyIdub9/eCCxDSVEuTkFTREFROk1TRlQuSVFfTkkuOTkyLjExLzA3LzIwMjYuLi5VU0QuSAEAAABLVQAAAgAAAAUyNTQ4OQEIAAAABQAAAAExAQAAAAoxOTczMzgwOTUxAwAAAAMxNjACAAAAAjE1BAAAAAEwBwAAAAk3LzExLzIwMjYIAAAACTYvMzAvMjAxNwkAAAABMJp6kmtv394IkMiHbm/f3gg4Q0lRLk5BU0RBUTpNU0ZULklRX0JBU0lDX0VQU19JTkNMLjk5MC4xMS8wNy8yMDI2Li4uVVNELkgBAAAAS1UAAAIAAAAIMS40OTExMzMBCAAAAAUAAAABMQEAAAAKMTg1MTUyNTkxMgMAAAADMTYwAgAAAAE5BAAAAAEwBwAAAAk3LzExLzIwMjYIAAAACTYvMzAvMjAxNQkAAAABMJp6kmtv394IxtaHbm/f3gg2Q0lRLk5BU0RBUTpNU0ZULklRX0xFR0FMX1NFVFRMRS45OTAuMTEvMDcvMjAyNi4uLlVTRC5IAQAAAEtVAAADAAAAAACaepJrb9/eCA+Mh25v394INUNJUS5OQVNEQVE6TVNGVC5JUV9HQUlOX0FTU0VUUy45OTIuMTEvMDcvMjAyNi4uLlVTRC5IAQAAAEtVAAADAAAAAACaepJrb9/eCA+Mh25v394IOENJUS5OQVNEQVE6TVNGVC5JUV9HV19JTlRBTl9BTU9S</t>
  </si>
  <si>
    <t>VC45OTIuMTEvMDcvMjAyNi4uLlVTRC5IAQAAAEtVAAADAAAAAACaepJrb9/eCA+Mh25v394IOkNJUS5OQVNEQVE6TVNGVC5JUV9UT1RBTF9PVEhFUl9PUEVSLjk5Mi4xMS8wNy8yMDI2Li4uVVNELkgBAAAAS1UAAAIAAAAFMzI5NzkBCAAAAAUAAAABMQEAAAAKMTk3MzM4MDk1MQMAAAADMTYwAgAAAAMzODAEAAAAATAHAAAACTcvMTEvMjAyNggAAAAJNi8zMC8yMDE3CQAAAAEwmnqSa2/f3ggPjIdub9/eCDpDSVEuTkFTREFROk1TRlQuSVFfTkVUX0lOVEVSRVNUX0VYUC45OTAuMTEvMDcvMjAyNi4uLlVTRC5IAQAAAEtVAAACAAAAAy0xNQEIAAAABQAAAAExAQAAAAoxODUxNTI1OTEyAwAAAAMxNjACAAAAAzM2OAQAAAABMAcAAAAJNy8xMS8yMDI2CAAAAAk2LzMwLzIwMTUJAAAAATCaepJrb9/eCA+Mh25v394IPkNJUS5OQVNEQVE6TVNGVC5JUV9ORUdBVElWRV9HV19BTU9SVF9DRi45OTMuMTEvMDcvMjAyNi4uLlVTRC5IAQAAAEtVAAADAAAAAACaepJrb9/eCA+Mh25v394IOUNJUS5OQVNEQVE6TVNGVC5JUV9DQVNIX1RBWEVTX09QRVIuOTkzLjExLzA3LzIwMjYuLi5VU0QuSAEAAABLVQAAAwAAAAAAmnqSa2/f3ggPjIdub9/eCDlDSVEuTkFTREFROk1TRlQuSVFfU1BFQ0lBTF9ESVZfQ0YuMjAwMC4xMS8wNy8yMDI2Li4uVVNELkgBAAAAS1UAAAMAAAAAAFGPkmtv394ID4yHbm/f3gg1Q0lRLk5BU0RB</t>
  </si>
  <si>
    <t>UTpNU0ZULklRX05FVF9DSEFOR0UuMjAwMC4xMS8wNy8yMDI2Li4uVVNELkgBAAAAS1UAAAIAAAAEMzI3NwEIAAAABQAAAAExAQAAAAstMTg5MzI5ODk5NQMAAAADMTYwAgAAAAQyMDkzBAAAAAEwBwAAAAk3LzExLzIwMjYIAAAACTMvMzEvMjAyNgkAAAABMFGPkmtv394ID4yHbm/f3gg3Q0lRLk5BU0RBUTpNU0ZULklRX0NPTU1PTl9ESVZfQ0YuOTkwLjExLzA3LzIwMjYuLi5VU0QuSAEAAABLVQAAAgAAAAUtOTg4MgEIAAAABQAAAAExAQAAAAoxODUxNTI1OTEyAwAAAAMxNjACAAAABDIwNzQEAAAAATAHAAAACTcvMTEvMjAyNggAAAAJNi8zMC8yMDE1CQAAAAEwUY+Sa2/f3ggPjIdub9/eCDBDSVEuTkFTREFROk1TRlQuSVFfQ0FQRVguMjAwMC4xMS8wNy8yMDI2Li4uVVNELkgBAAAAS1UAAAIAAAAGLTk3MjI1AQgAAAAFAAAAATEBAAAACy0xODkzMjk4OTk1AwAAAAMxNjACAAAABDIwMjEEAAAAATAHAAAACTcvMTEvMjAyNggAAAAJMy8zMS8yMDI2CQAAAAEwUY+Sa2/f3gj6T4dub9/eCCFDSVEuTkFTREFRR1M6QU1aTi5JUV9DT01QQU5ZX05BTUUBAAAAPUkAAAMAAAAQQW1hem9uLmNvbSwgSW5jLgDj8lpvb9/eCG6D429v394IHENJUS5OWVNFOk5PVy5JUV9DT01QQU5ZX05BTUUBAAAAv3ReAQMAAAAQU2VydmljZU5vdywgSW5jLgDj8lpvb9/eCD9Z4m9v394IHUNJUS5OWVNFOlNOT1cuSVFfQ09NUEFO</t>
  </si>
  <si>
    <t>WV9OQU1FAQAAALA8ZBADAAAADlNub3dmbGFrZSBJbmMuAOPyWm9v394Iyj/hb2/f3ggaQ0lRLk5ZU0U6Uy5JUV9DT01QQU5ZX05BTUUBAAAAlOmGDgMAAAARU2VudGluZWxPbmUsIEluYy4A4/Jab2/f3gjGPOBvb9/eCCFDSVEuTkFTREFRR1M6TlZEQS5JUV9DT01QQU5ZX05BTUUBAAAAM34AAAMAAAASTlZJRElBIENvcnBvcmF0aW9uAOPyWm9v394I6Oreb2/f3ggiQ0lRLk5BU0RBUUdTOkdPT0dMLklRX0NPTVBBTllfTkFNRQEAAACocQAAAwAAAA1BbHBoYWJldCBJbmMuAOPyWm9v394IMEfdb2/f3ggcQ0lRLk5ZU0U6Q1JNLklRX0NPTVBBTllfTkFNRQEAAAAl4AEAAwAAABBTYWxlc2ZvcmNlLCBJbmMuAOPyWm9v394IIxvcb2/f3ggdQ0lRLk5ZU0U6T1JDTC5JUV9DT01QQU5ZX05BTUUBAAAA51YAAAMAAAAST3JhY2xlIENvcnBvcmF0aW9uAOPyWm9v394I8F7Zb2/f3ggjQ0lRLk5BU0RBUUdTOkFNWk4uSVFfWUVBUkxPVy4uVVNELkgBAAAAPUkAAAIAAAADMTk2AOPyWm9v394ID8Djb2/f3ggkQ0lRLk5BU0RBUUdTOkFNWk4uSVFfWUVBUkhJR0guLlVTRC5IAQAAAD1JAAACAAAABjI3OC41NgDj8lpvb9/eCA/A429v394IKUNJUS5OQVNEQVFHUzpBTVpOLklRX0xBU1RTQUxFUFJJQ0UuLlVTRC5IAQAAAD1JAAACAAAABjI0NS4zNADj8lpvb9/eCA/A429v394IJ0NJUS5OQVNEQVFHUzpBTVpOLklRX1NI</t>
  </si>
  <si>
    <t>QVJFU09VVFNUQU5ESU5HLgEAAAA9SQAAAgAAAAwxMDc1Ny4xMDk0MzYA4/Jab2/f3ghug+Nvb9/eCB5DSVEuTllTRTpOT1cuSVFfWUVBUkxPVy4uVVNELkgBAAAAv3ReAQIAAAAFODEuMjQA4/Jab2/f3ggzbeJvb9/eCB9DSVEuTllTRTpOT1cuSVFfWUVBUkhJR0guLlVTRC5IAQAAAL90XgECAAAABTIxMC4yAOPyWm9v394I7DHib2/f3ggkQ0lRLk5ZU0U6Tk9XLklRX0xBU1RTQUxFUFJJQ0UuLlVTRC5IAQAAAL90XgECAAAABjEwNy43MQDj8lpvb9/eCD9Z4m9v394IIkNJUS5OWVNFOk5PVy5JUV9TSEFSRVNPVVRTVEFORElORy4BAAAAv3ReAQIAAAAIMTAzMS4zMDgA4/Jab2/f3gg/WeJvb9/eCCBDSVEuTllTRTpTTk9XLklRX1lFQVJISUdILi5VU0QuSAEAAACwPGQQAgAAAAYyODQuOTkA4/Jab2/f3gjgeuFvb9/eCCVDSVEuTllTRTpTTk9XLklRX0xBU1RTQUxFUFJJQ0UuLlVTRC5IAQAAALA8ZBACAAAABjI2MS40NQDj8lpvb9/eCOB64W9v394IH0NJUS5OWVNFOlNOT1cuSVFfWUVBUkxPVy4uVVNELkgBAAAAsDxkEAIAAAAFMTE4LjMA4/Jab2/f3gjgeuFvb9/eCCNDSVEuTllTRTpTTk9XLklRX1NIQVJFU09VVFNUQU5ESU5HLgEAAACwPGQQAgAAAAozNDYuNjAyOTE1AOPyWm9v394Iyj/hb2/f3ggdQ0lRLk5ZU0U6Uy5JUV9ZRUFSSElHSC4uVVNELkgBAAAAlOmGDgIAAAAEMjEuNADj8lpvb9/eCCEB</t>
  </si>
  <si>
    <t>4G9v394IIkNJUS5OWVNFOlMuSVFfTEFTVFNBTEVQUklDRS4uVVNELkgBAAAAlOmGDgIAAAAFMTcuODgA4/Jab2/f3gghAeBvb9/eCBxDSVEuTllTRTpTLklRX1lFQVJMT1cuLlVTRC5IAQAAAJTphg4CAAAABTExLjgxAOPyWm9v394Ixjzgb2/f3gggQ0lRLk5ZU0U6Uy5JUV9TSEFSRVNPVVRTVEFORElORy4BAAAAlOmGDgIAAAAKMzQyLjgwMzcyMwDj8lpvb9/eCMY84G9v394IJENJUS5OQVNEQVFHUzpOVkRBLklRX1lFQVJISUdILi5VU0QuSAEAAAAzfgAAAgAAAAYyMzYuNTQA4/Jab2/f3ghNEt9vb9/eCClDSVEuTkFTREFRR1M6TlZEQS5JUV9MQVNUU0FMRVBSSUNFLi5VU0QuSAEAAAAzfgAAAgAAAAYyMTAuOTYA4/Jab2/f3ggLJt9vb9/eCCNDSVEuTkFTREFRR1M6TlZEQS5JUV9ZRUFSTE9XLi5VU0QuSAEAAAAzfgAAAgAAAAYxNjIuMDIA4/Jab2/f3gjo6t5vb9/eCCdDSVEuTkFTREFRR1M6TlZEQS5JUV9TSEFSRVNPVVRTVEFORElORy4BAAAAM34AAAIAAAAMMjQyMjAuNTI1MjI1AOPyWm9v394I6Oreb2/f3ggkQ0lRLk5BU0RBUUdTOkdPT0dMLklRX1lFQVJMT1cuLlVTRC5IAQAAAKhxAAACAAAABjE3Ni40OADj8lpvb9/eCK293W9v394IJUNJUS5OQVNEQVFHUzpHT09HTC5JUV9ZRUFSSElHSC4uVVNELkgBAAAAqHEAAAIAAAAGNDA4LjYxAOPyWm9v394Irb3db2/f3ggqQ0lRLk5BU0RBUUdTOkdP</t>
  </si>
  <si>
    <t>T0dMLklRX0xBU1RTQUxFUFJJQ0UuLlVTRC5IAQAAAKhxAAACAAAABjM1Ny4xOADj8lpvb9/eCJHR3W9v394IKENJUS5OQVNEQVFHUzpHT09HTC5JUV9TSEFSRVNPVVRTVEFORElORy4BAAAAqHEAAAIAAAAMMTIyMDIuOTA5NjY5AOPyWm9v394IMEfdb2/f3ggeQ0lRLk5ZU0U6Q1JNLklRX1lFQVJMT1cuLlVTRC5IAQAAACXgAQACAAAABjE0Ni4zMgDj8lpvb9/eCH9C3G9v394IH0NJUS5OWVNFOkNSTS5JUV9ZRUFSSElHSC4uVVNELkgBAAAAJeABAAIAAAADMjc0AOPyWm9v394Izwbcb2/f3ggkQ0lRLk5ZU0U6Q1JNLklRX0xBU1RTQUxFUFJJQ0UuLlVTRC5IAQAAACXgAQACAAAABjE2My4zMgDj8lpvb9/eCCMb3G9v394IIkNJUS5OWVNFOkNSTS5JUV9TSEFSRVNPVVRTVEFORElORy4BAAAAJeABAAIAAAADODE5AOPyWm9v394IIxvcb2/f3ggfQ0lRLk5ZU0U6T1JDTC5JUV9ZRUFSTE9XLi5VU0QuSAEAAADnVgAAAgAAAAYxMzQuNTcA4/Jab2/f3giBYNpvb9/eCCVDSVEuTllTRTpPUkNMLklRX0xBU1RTQUxFUFJJQ0UuLlVTRC5IAQAAAOdWAAACAAAABjE0MC42NADj8lpvb9/eCIFg2m9v394IIENJUS5OWVNFOk9SQ0wuSVFfWUVBUkhJR0guLlVTRC5IAQAAAOdWAAACAAAABjM0NS43MgDj8lpvb9/eCIFg2m9v394II0NJUS5OWVNFOk9SQ0wuSVFfU0hBUkVTT1VUU1RBTkRJTkcuAQAAAOdWAAACAAAACDI4</t>
  </si>
  <si>
    <t>ODAuNDcxAOPyWm9v394I8F7Zb2/f3ggqQ0lRLk5BU0RBUUdTOkFNWk4uSVFfVEVWX0VCSVREQV9GV0QuMTAwMDEuAQAAAD1JAAACAAAADzEyLjkzMzE0OTE3OTQ3OAENAAAABQAAAAE5AQAAAAcyNTg4NTY4AgAAAAoxMDAyNTcyOTI2AwAAAAYxMDAzMDgEAAAAATIGAAAAATAHAAAAAzE2MAgAAAABMAkAAAABMQoAAAABMAsAAAALMTQ4NjE3MTI5NzkMAAAAATcNAAAACTcvMTIvMjAyNuPyWm9v394IboPjb2/f3ggnQ0lRLk5BU0RBUUdTOkFNWk4uSVFfUEVfRVhDTF9GV0QuMTAwMDIuAQAAAD1JAAACAAAAEDI0LjgwMjA2MDY3MTc0MDIBDQAAAAUAAAABOQEAAAAHMjU4ODU2OAIAAAAKMTAwMjU3MjkyNwMAAAAGMTAwMzA5BAAAAAEyBgAAAAEwBwAAAAMxNjAIAAAAATAJAAAAATEKAAAAATALAAAACzE0ODU5MDY3MjY1DAAAAAE3DQAAAAk3LzEyLzIwMjbj8lpvb9/eCBNc429v394IJ0NJUS5OQVNEQVFHUzpBTVpOLklRX1BFX0VYQ0xfRldELjEwMDAxLgEAAAA9SQAAAgAAABAyOC4yMjY4NjQxODc5ODU4AQ0AAAAFAAAAATkBAAAABzI1ODg1NjgCAAAACjEwMDI1NzI5MjYDAAAABjEwMDMwOQQAAAABMgYAAAABMAcAAAADMTYwCAAAAAEwCQAAAAExCgAAAAEwCwAAAAsxNDg1OTA2NzI3OQwAAAABNw0AAAAJNy8xMi8yMDI24/Jab2/f3ggTXONvb9/eCCpDSVEuTkFTREFRR1M6QU1aTi5JUV9URVZfRUJJVERB</t>
  </si>
  <si>
    <t>X0ZXRC4xMDAwMi4BAAAAPUkAAAIAAAAQMTAuNDI5NTA4MjMxMzI3MwENAAAABQAAAAE5AQAAAAcyNTg4NTY4AgAAAAoxMDAyNTcyOTI3AwAAAAYxMDAzMDgEAAAAATIGAAAAATAHAAAAAzE2MAgAAAABMAkAAAABMQoAAAABMAsAAAALMTQ4NjE3MTI5NzMMAAAAATcNAAAACTcvMTIvMjAyNuPyWm9v394IE1zjb2/f3ggiQ0lRLk5ZU0U6Tk9XLklRX1BFX0VYQ0xfRldELjEwMDAxLgEAAAC/dF4BAgAAABAyNi4xMjU3NjU1NjkwOTgzAQ0AAAAFAAAAATkBAAAACTIxMDAzOTI3NQIAAAAKMTAwMTc4MjMzOAMAAAAGMTAwMzA5BAAAAAEyBgAAAAEwBwAAAAMxNjAIAAAAATAJAAAAATEKAAAAATALAAAACzE0ODYyMTMyMTQ4DAAAAAE3DQAAAAk3LzEyLzIwMjbj8lpvb9/eCPa14W9v394IIkNJUS5OWVNFOk5PVy5JUV9QRV9FWENMX0ZXRC4xMDAwMi4BAAAAv3ReAQIAAAAQMjEuNDMzNzE2ODYyNDExMQENAAAABQAAAAE5AQAAAAkyMTAwMzkyNzUCAAAACjEwMDE3ODIzNDMDAAAABjEwMDMwOQQAAAABMgYAAAABMAcAAAADMTYwCAAAAAEwCQAAAAExCgAAAAEwCwAAAAsxNDg2MjEzMjEzNgwAAAABNw0AAAAJNy8xMi8yMDI24/Jab2/f3gj2teFvb9/eCCVDSVEuTllTRTpOT1cuSVFfVEVWX0VCSVREQV9GV0QuMTAwMDEuAQAAAL90XgECAAAAEDE3LjkyMDQxOTI4MTMxNzkBDQAAAAUAAAABOQEAAAAJMjEwMDM5Mjc1</t>
  </si>
  <si>
    <t>AgAAAAoxMDAxNzgyMzM4AwAAAAYxMDAzMDgEAAAAATIGAAAAATAHAAAAAzE2MAgAAAABMAkAAAABMQoAAAABMAsAAAALMTQ4NTg2ODE2NTUMAAAAATcNAAAACTcvMTIvMjAyNuPyWm9v394IqI7hb2/f3gglQ0lRLk5ZU0U6Tk9XLklRX1RFVl9FQklUREFfRldELjEwMDAyLgEAAAC/dF4BAgAAABAxNC44NDUwODg0MTcxNzkxAQ0AAAAFAAAAATkBAAAACTIxMDAzOTI3NQIAAAAKMTAwMTc4MjM0MwMAAAAGMTAwMzA4BAAAAAEyBgAAAAEwBwAAAAMxNjAIAAAAATAJAAAAATEKAAAAATALAAAACzE0ODU4NjgxNzQzDAAAAAE3DQAAAAk3LzEyLzIwMjbj8lpvb9/eCKiO4W9v394IJkNJUS5OWVNFOlNOT1cuSVFfVEVWX0VCSVREQV9GV0QuMTAwMDIuAQAAALA8ZBACAAAAEDYzLjQ2MzYyNTA5ODI5MTQBDQAAAAUAAAABOQEAAAAJNjgzNDQ2MzQ2AgAAAAoxMDA0Nzk4MDYyAwAAAAYxMDAzMDgEAAAAATIGAAAAATAHAAAAAzE2MAgAAAABMAkAAAABMQoAAAABMAsAAAALMTQ4NDEzMDE1OTUMAAAAATcNAAAACTcvMTIvMjAyNuPyWm9v394Iaxjhb2/f3ggmQ0lRLk5ZU0U6U05PVy5JUV9URVZfRUJJVERBX0ZXRC4xMDAwMS4BAAAAsDxkEAIAAAAPODQuNDU3ODY5NzY1NDg4AQ0AAAAFAAAAATkBAAAACTY4MzQ0NjM0NgIAAAAKMTAwNDc5ODA2MQMAAAAGMTAwMzA4BAAAAAEyBgAAAAEwBwAAAAMxNjAIAAAAATAJAAAA</t>
  </si>
  <si>
    <t>ATEKAAAAATALAAAACzE0ODQxMzAxNjczDAAAAAE3DQAAAAk3LzEyLzIwMjbj8lpvb9/eCGsY4W9v394II0NJUS5OWVNFOlNOT1cuSVFfUEVfRVhDTF9GV0QuMTAwMDIuAQAAALA8ZBACAAAAEDk3LjMxNDQ5OTQ2OTU5OTcBDQAAAAUAAAABOQEAAAAJNjgzNDQ2MzQ2AgAAAAoxMDA0Nzk4MDYyAwAAAAYxMDAzMDkEAAAAATIGAAAAATAHAAAAAzE2MAgAAAABMAkAAAABMQoAAAABMAsAAAALMTQ4NDEzMTU4MzUMAAAAATcNAAAACTcvMTIvMjAyNuPyWm9v394Iaxjhb2/f3ggjQ0lRLk5ZU0U6U05PVy5JUV9QRV9FWENMX0ZXRC4xMDAwMS4BAAAAsDxkEAIAAAAQMTM1LjM2MTExODMwMTgzOAENAAAABQAAAAE5AQAAAAk2ODM0NDYzNDYCAAAACjEwMDQ3OTgwNjEDAAAABjEwMDMwOQQAAAABMgYAAAABMAcAAAADMTYwCAAAAAEwCQAAAAExCgAAAAEwCwAAAAsxNDg0MTMxNjA0NQwAAAABNw0AAAAJNy8xMi8yMDI24/Jab2/f3ghrGOFvb9/eCCBDSVEuTllTRTpTLklRX1BFX0VYQ0xfRldELjEwMDAxLgEAAACU6YYOAgAAAA81MS4zNTQyMjM1MTE1MDMBDQAAAAUAAAABOQEAAAAJNzE3MDc3MTcwAgAAAAoxMDA1MTA2MDAxAwAAAAYxMDAzMDkEAAAAATIGAAAAATAHAAAAAzE2MAgAAAABMAkAAAABMQoAAAABMAsAAAALMTQ4NTM4NDU4OTQMAAAAATcNAAAACTcvMTIvMjAyNuPyWm9v394I953fb2/f3gggQ0lRLk5Z</t>
  </si>
  <si>
    <t>U0U6Uy5JUV9QRV9FWENMX0ZXRC4xMDAwMi4BAAAAlOmGDgIAAAAQMzYuMjI4ODAwNjgwODA5NwENAAAABQAAAAE5AQAAAAk3MTcwNzcxNzACAAAACjEwMDUxMDYwMDYDAAAABjEwMDMwOQQAAAABMgYAAAABMAcAAAADMTYwCAAAAAEwCQAAAAExCgAAAAEwCwAAAAsxNDg1Mzg0MjA1NwwAAAABNw0AAAAJNy8xMi8yMDI24/Jab2/f3ghAid9vb9/eCCNDSVEuTllTRTpTLklRX1RFVl9FQklUREFfRldELjEwMDAxLgEAAACU6YYOAgAAABA0Mi4yNDQ2NzAyODM3NjQ2AQ0AAAAFAAAAATkBAAAACTcxNzA3NzE3MAIAAAAKMTAwNTEwNjAwMQMAAAAGMTAwMzA4BAAAAAEyBgAAAAEwBwAAAAMxNjAIAAAAATAJAAAAATEKAAAAATALAAAACzE0ODUzODQxMzk0DAAAAAE3DQAAAAk3LzEyLzIwMjbj8lpvb9/eCP10329v394II0NJUS5OWVNFOlMuSVFfVEVWX0VCSVREQV9GV0QuMTAwMDIuAQAAAJTphg4CAAAADzI3LjQ4MDUxNzE5NTIzNQENAAAABQAAAAE5AQAAAAk3MTcwNzcxNzACAAAACjEwMDUxMDYwMDYDAAAABjEwMDMwOAQAAAABMgYAAAABMAcAAAADMTYwCAAAAAEwCQAAAAExCgAAAAEwCwAAAAsxNDg1Mzg1Mzg3MgwAAAABNw0AAAAJNy8xMi8yMDI24/Jab2/f3gj9dN9vb9/eCCpDSVEuTkFTREFRR1M6TlZEQS5JUV9URVZfRUJJVERBX0ZXRC4xMDAwMi4BAAAAM34AAAIAAAAQMTMuMzU4ODcyNzM3MTMwOQEN</t>
  </si>
  <si>
    <t>AAAABQAAAAE5AQAAAAcyNjM1MTU0AgAAAAoxMDAyMjA0MTQzAwAAAAYxMDAzMDgEAAAAATIGAAAAATAHAAAAAzE2MAgAAAABMAkAAAABMQoAAAABMAsAAAALMTQ4NTU4NTgyODkMAAAAATcNAAAACTcvMTIvMjAyNuPyWm9v394Idw3eb2/f3ggnQ0lRLk5BU0RBUUdTOk5WREEuSVFfUEVfRVhDTF9GV0QuMTAwMDEuAQAAADN+AAACAAAAEDIzLjUwMDczNjM0NzQ5MzYBDQAAAAUAAAABOQEAAAAHMjYzNTE1NAIAAAAKMTAwMjIwNDE0MgMAAAAGMTAwMzA5BAAAAAEyBgAAAAEwBwAAAAMxNjAIAAAAATAJAAAAATEKAAAAATALAAAACzE0ODYxMzE5ODc1DAAAAAE3DQAAAAk3LzEyLzIwMjbj8lpvb9/eCBDm3W9v394IJ0NJUS5OQVNEQVFHUzpOVkRBLklRX1BFX0VYQ0xfRldELjEwMDAyLgEAAAAzfgAAAgAAABAxNi40OTQwOTczNTU1MTgzAQ0AAAAFAAAAATkBAAAABzI2MzUxNTQCAAAACjEwMDIyMDQxNDMDAAAABjEwMDMwOQQAAAABMgYAAAABMAcAAAADMTYwCAAAAAEwCQAAAAExCgAAAAEwCwAAAAsxNDg2MTMxOTg1NwwAAAABNw0AAAAJNy8xMi8yMDI24/Jab2/f3ggQ5t1vb9/eCCpDSVEuTkFTREFRR1M6TlZEQS5JUV9URVZfRUJJVERBX0ZXRC4xMDAwMS4BAAAAM34AAAIAAAAQMTkuMTQ1MTgwMzAzNzQ2NQENAAAABQAAAAE5AQAAAAcyNjM1MTU0AgAAAAoxMDAyMjA0MTQyAwAAAAYxMDAzMDgEAAAAATIG</t>
  </si>
  <si>
    <t>AAAAATAHAAAAAzE2MAgAAAABMAkAAAABMQoAAAABMAsAAAALMTQ4NTU4NTgzMDcMAAAAATcNAAAACTcvMTIvMjAyNuPyWm9v394IkdHdb2/f3ggoQ0lRLk5BU0RBUUdTOkdPT0dMLklRX1BFX0VYQ0xfRldELjEwMDAxLgEAAACocQAAAgAAABAyNS4xMDQzNzMxMjg2NjM2AQ0AAAAFAAAAATkBAAAACDExMzExNjYyAgAAAAoxMDAyNDg3MTgxAwAAAAYxMDAzMDkEAAAAATIGAAAAATAHAAAAAzE2MAgAAAABMAkAAAABMQoAAAABMAsAAAALMTQ4NjA1NDI3MDQMAAAAATcNAAAACTcvMTIvMjAyNuPyWm9v394IMEfdb2/f3ggrQ0lRLk5BU0RBUUdTOkdPT0dMLklRX1RFVl9FQklUREFfRldELjEwMDAyLgEAAACocQAAAgAAABAxNS4xMzgzMTcwOTUxMTcxAQ0AAAAFAAAAATkBAAAACDExMzExNjYyAgAAAAoxMDAyNDg3MTgyAwAAAAYxMDAzMDgEAAAAATIGAAAAATAHAAAAAzE2MAgAAAABMAkAAAABMQoAAAABMAsAAAALMTQ4NjE2Mjg0NDYMAAAAATcNAAAACTcvMTIvMjAyNuPyWm9v394IlPfcb2/f3ggrQ0lRLk5BU0RBUUdTOkdPT0dMLklRX1RFVl9FQklUREFfRldELjEwMDAxLgEAAACocQAAAgAAABAxOC45MzUxNTc0NDQzMDYyAQ0AAAAFAAAAATkBAAAACDExMzExNjYyAgAAAAoxMDAyNDg3MTgxAwAAAAYxMDAzMDgEAAAAATIGAAAAATAHAAAAAzE2MAgAAAABMAkAAAABMQoAAAABMAsAAAALMTQ4NjE2Mjg0</t>
  </si>
  <si>
    <t>NTIMAAAAATcNAAAACTcvMTIvMjAyNuPyWm9v394IlPfcb2/f3ggoQ0lRLk5BU0RBUUdTOkdPT0dMLklRX1BFX0VYQ0xfRldELjEwMDAyLgEAAACocQAAAgAAABAyNC41MTA1NTA2OTQ4MDE5AQ0AAAAFAAAAATkBAAAACDExMzExNjYyAgAAAAoxMDAyNDg3MTgyAwAAAAYxMDAzMDkEAAAAATIGAAAAATAHAAAAAzE2MAgAAAABMAkAAAABMQoAAAABMAsAAAALMTQ4NjA1NDI1NzIMAAAAATcNAAAACTcvMTIvMjAyNuPyWm9v394IlPfcb2/f3ggiQ0lRLk5ZU0U6Q1JNLklRX1BFX0VYQ0xfRldELjEwMDAyLgEAAAAl4AEAAgAAABAxMC41MjgzOTIyMzQ4MjcyAQ0AAAAFAAAAATkBAAAACDEwNDU4MjI2AgAAAAoxMDAyMzI2MTA4AwAAAAYxMDAzMDkEAAAAATIGAAAAATAHAAAAAzE2MAgAAAABMAkAAAABMQoAAAABMAsAAAALMTQ4NjIxMjYzOTMMAAAAATcNAAAACTcvMTIvMjAyNuPyWm9v394I6mTbb2/f3gglQ0lRLk5ZU0U6Q1JNLklRX1RFVl9FQklUREFfRldELjEwMDAxLgEAAAAl4AEAAgAAABA5LjE4MjI0ODQxNDEzMDk1AQ0AAAAFAAAAATkBAAAACDEwNDU4MjI2AgAAAAoxMDAyMzI2MTA3AwAAAAYxMDAzMDgEAAAAATIGAAAAATAHAAAAAzE2MAgAAAABMAkAAAABMQoAAAABMAsAAAALMTQ4NTg3MDkxNDkMAAAAATcNAAAACTcvMTIvMjAyNuPyWm9v394Ir0/bb2/f3gglQ0lRLk5ZU0U6Q1JNLklRX1RFVl9F</t>
  </si>
  <si>
    <t>QklUREFfRldELjEwMDAyLgEAAAAl4AEAAgAAABA4LjUwNTcxOTQ4MTI1MjQ4AQ0AAAAFAAAAATkBAAAACDEwNDU4MjI2AgAAAAoxMDAyMzI2MTA4AwAAAAYxMDAzMDgEAAAAATIGAAAAATAHAAAAAzE2MAgAAAABMAkAAAABMQoAAAABMAsAAAALMTQ4NTg3MDkxMDcMAAAAATcNAAAACTcvMTIvMjAyNuPyWm9v394Ir0/bb2/f3ggiQ0lRLk5ZU0U6Q1JNLklRX1BFX0VYQ0xfRldELjEwMDAxLgEAAAAl4AEAAgAAABAxMS41NjA0MDcyMzMyNTMxAQ0AAAAFAAAAATkBAAAACDEwNDU4MjI2AgAAAAoxMDAyMzI2MTA3AwAAAAYxMDAzMDkEAAAAATIGAAAAATAHAAAAAzE2MAgAAAABMAkAAAABMQoAAAABMAsAAAALMTQ4NjIxMjY0MDUMAAAAATcNAAAACTcvMTIvMjAyNuPyWm9v394I6mTbb2/f3ggmQ0lRLk5ZU0U6T1JDTC5JUV9URVZfRUJJVERBX0ZXRC4xMDAwMi4BAAAA51YAAAIAAAAQOS4yMDg2NzM2MzQ4Nzc2MQENAAAABQAAAAE5AQAAAAcyNjM2MDc3AgAAAAk2NTE1Nzk2MTMDAAAABjEwMDMwOAQAAAABMgYAAAABMAcAAAADMTYwCAAAAAEwCQAAAAExCgAAAAEwCwAAAAsxNDg0OTc2NDg2OQwAAAABNw0AAAAJNy8xMi8yMDI24/Jab2/f3gg1Htpvb9/eCCZDSVEuTllTRTpPUkNMLklRX1RFVl9FQklUREFfRldELjEwMDAxLgEAAADnVgAAAgAAABAxMi42ODQxOTA2ODQwMDgzAQ0AAAAFAAAAATkBAAAABzI2</t>
  </si>
  <si>
    <t>MzYwNzcCAAAACTY1MTU3OTYxMgMAAAAGMTAwMzA4BAAAAAEyBgAAAAEwBwAAAAMxNjAIAAAAATAJAAAAATEKAAAAATALAAAACzE0ODQ5NzY0OTE2DAAAAAE3DQAAAAk3LzEyLzIwMjbj8lpvb9/eCDUe2m9v394II0NJUS5OWVNFOk9SQ0wuSVFfUEVfRVhDTF9GV0QuMTAwMDIuAQAAAOdWAAACAAAADzE1LjMxNzQyNDg3Nzc0NgENAAAABQAAAAE5AQAAAAcyNjM2MDc3AgAAAAk2NTE1Nzk2MTMDAAAABjEwMDMwOQQAAAABMgYAAAABMAcAAAADMTYwCAAAAAEwCQAAAAExCgAAAAEwCwAAAAsxNDg1MzcxMjEwNgwAAAABNw0AAAAJNy8xMi8yMDI24/Jab2/f3ggdCNpvb9/eCCNDSVEuTllTRTpPUkNMLklRX1BFX0VYQ0xfRldELjEwMDAxLgEAAADnVgAAAgAAABAxOC42ODk5NDkzNjgwOTc5AQ0AAAAFAAAAATkBAAAABzI2MzYwNzcCAAAACTY1MTU3OTYxMgMAAAAGMTAwMzA5BAAAAAEyBgAAAAEwBwAAAAMxNjAIAAAAATAJAAAAATEKAAAAATALAAAACzE0ODUzNzEyMDU0DAAAAAE3DQAAAAk3LzEyLzIwMjbj8lpvb9/eCFfd2W9v394IMUNJUS5OQVNEQVFHUzpBTVpOLklRX0NBU0hfU1RfSU5WRVNULjUwMC4uLkYuVVNELkgBAAAAPUkAAAIAAAAGMTQzMDg5AQgAAAAFAAAAATEBAAAACy0xODkyMTg2MDU3AwAAAAMxNjACAAAABDEwMDIEAAAAATAHAAAACTcvMTEvMjAyNggAAAAJMy8zMS8yMDI2CQAAAAEw4/Ja</t>
  </si>
  <si>
    <t>b2/f3ggPwONvb9/eCCxDSVEuTkFTREFRR1M6QU1aTi5JUV9UT1RBTF9SRVYuMjAwMC4uLi5VU0QuSAEAAAA9SQAAAgAAAAY3NDI3NzYBCAAAAAUAAAABMQEAAAALLTE4OTIxODM4NjgDAAAAAzE2MAIAAAACMjgEAAAAATAHAAAACTcvMTEvMjAyNggAAAAJMy8zMS8yMDI2CQAAAAEw4/Jab2/f3ggPwONvb9/eCCxDSVEuTkFTREFRR1M6QU1aTi5JUV9UT1RBTF9SRVYuMTAwMC4uLi5VU0QuSAEAAAA9SQAAAgAAAAY3MTY5MjQBCAAAAAUAAAABMQEAAAALLTE5MDc3MTk1MjADAAAAAzE2MAIAAAACMjgEAAAAATAHAAAACTcvMTEvMjAyNggAAAAKMTIvMzEvMjAyNQkAAAABMOPyWm9v394IboPjb2/f3gg6Q0lRLk5BU0RBUUdTOkFNWk4uSVFfTUlOT1JJVFlfSU5URVJFU1RfVE9UQUwuNTAwLi4uRi5VU0QuSAEAAAA9SQAAAwAAAAAA4/Jab2/f3ghug+Nvb9/eCC5DSVEuTkFTREFRR1M6QU1aTi5JUV9QUkVGX0VRVUlUWS41MDAuLi5GLlVTRC5IAQAAAD1JAAADAAAAAADj8lpvb9/eCG6D429v394ILUNJUS5OQVNEQVFHUzpBTVpOLklRX1RPVEFMX0RFQlQuNTAwLi4uRi5VU0QuSAEAAAA9SQAAAgAAAAYyMzU1NDABCAAAAAUAAAABMQEAAAALLTE4OTIxODYwNTcDAAAAAzE2MAIAAAAENDE3MwQAAAABMAcAAAAJNy8xMS8yMDI2CAAAAAkzLzMxLzIwMjYJAAAAATDj8lpvb9/eCA/A429v394IKUNJUS5OQVNEQVFH</t>
  </si>
  <si>
    <t>UzpBTVpOLklRX0VCSVREQS4yMDAwLi4uLlVTRC5IAQAAAD1JAAACAAAABjE1NTg2MQEIAAAABQAAAAExAQAAAAstMTg5MjE4Mzg2OAMAAAADMTYwAgAAAAQ0MDUxBAAAAAEwBwAAAAk3LzExLzIwMjYIAAAACTMvMzEvMjAyNgkAAAABMOPyWm9v394IboPjb2/f3ggpQ0lRLk5BU0RBUUdTOkFNWk4uSVFfRUJJVERBLjEwMDAuLi4uVVNELkgBAAAAPUkAAAIAAAAGMTQ1NzMxAQgAAAAFAAAAATEBAAAACy0xOTA3NzE5NTIwAwAAAAMxNjACAAAABDQwNTEEAAAAATAHAAAACTcvMTEvMjAyNggAAAAKMTIvMzEvMjAyNQkAAAABMOPyWm9v394IboPjb2/f3ggxQ0lRLk5BU0RBUUdTOkFNWk4uSVFfRElMVVRfRVBTX0VYQ0wuMjAwMC4uLi5VU0QuSAEAAAA9SQAAAgAAAAg4LjM2MTQyMgEIAAAABQAAAAExAQAAAAstMTg5MjE4Mzg2OAMAAAADMTYwAgAAAAMxNDIEAAAAATAHAAAACTcvMTEvMjAyNggAAAAJMy8zMS8yMDI2CQAAAAEw4/Jab2/f3ghug+Nvb9/eCDFDSVEuTkFTREFRR1M6QU1aTi5JUV9ESUxVVF9FUFNfRVhDTC4xMDAwLi4uLlVTRC5IAQAAAD1JAAACAAAABDcuMTcBCAAAAAUAAAABMQEAAAALLTE5MDc3MTk1MjADAAAAAzE2MAIAAAADMTQyBAAAAAEwBwAAAAk3LzExLzIwMjYIAAAACjEyLzMxLzIwMjUJAAAAATDj8lpvb9/eCG6D429v394IJUNJUS5OQVNEQVFHUzpBTVpOLklRX1BFUklPRERBVEUu</t>
  </si>
  <si>
    <t>MjAwMC4BAAAAPUkAAAUAAAAKMzEvMDMvMjAyNgDj8lpvb9/eCBNc429v394IJUNJUS5OQVNEQVFHUzpBTVpOLklRX1BFUklPRERBVEUuMTAwMC4BAAAAPUkAAAUAAAAKMzEvMTIvMjAyNQDj8lpvb9/eCBNc429v394IJ0NJUS5OQVNEQVFHUzpBTVpOLklRX0dST1NTX01BUkdJTi4xMDAwLgEAAAA9SQAAAgAAAAc1MC4yODU2AQgAAAAFAAAAATEBAAAACy0xOTA3NzE5NTIwAwAAAAMxNjACAAAABDQwNzQEAAAAATAHAAAACTcvMTEvMjAyNggAAAAKMTIvMzEvMjAyNQkAAAABMOPyWm9v394IE1zjb2/f3ggmQ0lRLk5BU0RBUUdTOkFNWk4uSVFfR1JPU1NfTUFSR0lOLjk5OS4BAAAAPUkAAAIAAAAHNDguODU0MwEIAAAABQAAAAExAQAAAAstMTkwNzcxOTUyOQMAAAADMTYwAgAAAAQ0MDc0BAAAAAEwBwAAAAk3LzExLzIwMjYIAAAACjEyLzMxLzIwMjQJAAAAATDj8lpvb9/eCBNc429v394IJkNJUS5OQVNEQVFHUzpBTVpOLklRX0dST1NTX01BUkdJTi45OTguAQAAAD1JAAACAAAABjQ2Ljk4MgEIAAAABQAAAAExAQAAAAstMTkwNzcxOTUyOAMAAAADMTYwAgAAAAQ0MDc0BAAAAAEwBwAAAAk3LzExLzIwMjYIAAAACjEyLzMxLzIwMjMJAAAAATDj8lpvb9/eCAxI429v394IKENJUS5OQVNEQVFHUzpBTVpOLklRX0VCSVREQV9NQVJHSU4uMjAwMC4BAAAAPUkAAAIAAAAHMjAuOTgzNQEIAAAABQAAAAExAQAAAAst</t>
  </si>
  <si>
    <t>MTg5MjE4Mzg2OAMAAAADMTYwAgAAAAQ0MDQ3BAAAAAEwBwAAAAk3LzExLzIwMjYIAAAACTMvMzEvMjAyNgkAAAABMOPyWm9v394IDEjjb2/f3ggoQ0lRLk5BU0RBUUdTOkFNWk4uSVFfRUJJVERBX01BUkdJTi4xMDAwLgEAAAA9SQAAAgAAAAcyMC4zMjcyAQgAAAAFAAAAATEBAAAACy0xOTA3NzE5NTIwAwAAAAMxNjACAAAABDQwNDcEAAAAATAHAAAACTcvMTEvMjAyNggAAAAKMTIvMzEvMjAyNQkAAAABMOPyWm9v394IDEjjb2/f3ggnQ0lRLk5BU0RBUUdTOkFNWk4uSVFfRUJJVERBX01BUkdJTi45OTkuAQAAAD1JAAACAAAABzE5LjAyNzUBCAAAAAUAAAABMQEAAAALLTE5MDc3MTk1MjkDAAAAAzE2MAIAAAAENDA0NwQAAAABMAcAAAAJNy8xMS8yMDI2CAAAAAoxMi8zMS8yMDI0CQAAAAEw4/Jab2/f3ghsIONvb9/eCCdDSVEuTkFTREFRR1M6QU1aTi5JUV9FQklUREFfTUFSR0lOLjk5OC4BAAAAPUkAAAIAAAAHMTQuODc3NwEIAAAABQAAAAExAQAAAAstMTkwNzcxOTUyOAMAAAADMTYwAgAAAAQ0MDQ3BAAAAAEwBwAAAAk3LzExLzIwMjYIAAAACjEyLzMxLzIwMjMJAAAAATDj8lpvb9/eCGwg429v394IJ0NJUS5OQVNEQVFHUzpBTVpOLklRX0dST1NTX01BUkdJTi4yMDAwLgEAAAA9SQAAAgAAAAY1MC42MDQBCAAAAAUAAAABMQEAAAALLTE4OTIxODM4NjgDAAAAAzE2MAIAAAAENDA3NAQAAAABMAcAAAAJ</t>
  </si>
  <si>
    <t>Ny8xMS8yMDI2CAAAAAkzLzMxLzIwMjYJAAAAATDj8lpvb9/eCGwg429v394IMUNJUS5OQVNEQVFHUzpBTVpOLklRX1RPVEFMX1JFVl81WVJfQU5OX0NBR1IuMjAwMC4BAAAAPUkAAAIAAAAHMTIuMTI0OAEIAAAABQAAAAExAQAAAAstMTg5MjE4Mzg2OAMAAAADMTYwAgAAAAQ0MjMzBAAAAAEwBwAAAAk3LzExLzIwMjYIAAAACTMvMzEvMjAyNgkAAAABMOPyWm9v394IbCDjb2/f3ggkQ0lRLk5BU0RBUUdTOkFNWk4uSVFfTklfTUFSR0lOLjIwMDAuAQAAAD1JAAACAAAABzEyLjIyNDEBCAAAAAUAAAABMQEAAAALLTE4OTIxODM4NjgDAAAAAzE2MAIAAAAENDA5NAQAAAABMAcAAAAJNy8xMS8yMDI2CAAAAAkzLzMxLzIwMjYJAAAAATDj8lpvb9/eCGwg429v394IJENJUS5OQVNEQVFHUzpBTVpOLklRX05JX01BUkdJTi4xMDAwLgEAAAA9SQAAAgAAAAcxMC44MzM3AQgAAAAFAAAAATEBAAAACy0xOTA3NzE5NTIwAwAAAAMxNjACAAAABDQwOTQEAAAAATAHAAAACTcvMTEvMjAyNggAAAAKMTIvMzEvMjAyNQkAAAABMOPyWm9v394IbCDjb2/f3ggjQ0lRLk5BU0RBUUdTOkFNWk4uSVFfTklfTUFSR0lOLjk5OS4BAAAAPUkAAAIAAAAGOS4yODcxAQgAAAAFAAAAATEBAAAACy0xOTA3NzE5NTI5AwAAAAMxNjACAAAABDQwOTQEAAAAATAHAAAACTcvMTEvMjAyNggAAAAKMTIvMzEvMjAyNAkAAAABMOPyWm9v394IbCDj</t>
  </si>
  <si>
    <t>b2/f3ggjQ0lRLk5BU0RBUUdTOkFNWk4uSVFfTklfTUFSR0lOLjk5OC4BAAAAPUkAAAIAAAAGNS4yOTMyAQgAAAAFAAAAATEBAAAACy0xOTA3NzE5NTI4AwAAAAMxNjACAAAABDQwOTQEAAAAATAHAAAACTcvMTEvMjAyNggAAAAKMTIvMzEvMjAyMwkAAAABMOPyWm9v394IbCDjb2/f3gguQ0lRLk5BU0RBUUdTOkFNWk4uSVFfRUJJVERBXzNZUl9BTk5fQ0FHUi4yMDAwLgEAAAA9SQAAAgAAAAczOC45MzczAQgAAAAFAAAAATEBAAAACy0xODkyMTgzODY4AwAAAAMxNjACAAAABDQyMjIEAAAAATAHAAAACTcvMTEvMjAyNggAAAAJMy8zMS8yMDI2CQAAAAEw4/Jab2/f3ghsIONvb9/eCC5DSVEuTkFTREFRR1M6QU1aTi5JUV9FQklUREFfNVlSX0FOTl9DQUdSLjIwMDAuAQAAAD1JAAACAAAABzIzLjA4NDYBCAAAAAUAAAABMQEAAAALLTE4OTIxODM4NjgDAAAAAzE2MAIAAAAENDIzNQQAAAABMAcAAAAJNy8xMS8yMDI2CAAAAAkzLzMxLzIwMjYJAAAAATDj8lpvb9/eCGwg429v394IM0NJUS5OQVNEQVFHUzpBTVpOLklRX1RPVEFMX1JFVl8xWVJfQU5OX0dST1dUSC4yMDAwLgEAAAA9SQAAAgAAAAcxNC4yMTgyAQgAAAAFAAAAATEBAAAACy0xODkyMTgzODY4AwAAAAMxNjACAAAABDQxOTQEAAAAATAHAAAACTcvMTEvMjAyNggAAAAJMy8zMS8yMDI2CQAAAAEw4/Jab2/f3ghKDONvb9/eCDNDSVEuTkFTREFRR1M6</t>
  </si>
  <si>
    <t>QU1aTi5JUV9UT1RBTF9SRVZfMVlSX0FOTl9HUk9XVEguMTAwMC4BAAAAPUkAAAIAAAAHMTIuMzc3NwEIAAAABQAAAAExAQAAAAstMTkwNzcxOTUyMAMAAAADMTYwAgAAAAQ0MTk0BAAAAAEwBwAAAAk3LzExLzIwMjYIAAAACjEyLzMxLzIwMjUJAAAAATDj8lpvb9/eCEoM429v394IMUNJUS5OQVNEQVFHUzpBTVpOLklRX1RPVEFMX1JFVl8zWVJfQU5OX0NBR1IuMjAwMC4BAAAAPUkAAAIAAAAHMTIuMjY5NAEIAAAABQAAAAExAQAAAAstMTg5MjE4Mzg2OAMAAAADMTYwAgAAAAQ0MjIwBAAAAAEwBwAAAAk3LzExLzIwMjYIAAAACTMvMzEvMjAyNgkAAAABMOPyWm9v394ISgzjb2/f3ggtQ0lRLk5BU0RBUUdTOkFNWk4uSVFfRVBTXzFZUl9BTk5fR1JPV1RILjEwMDAuAQAAAD1JAAACAAAABzI5LjY1NjQBCAAAAAUAAAABMQEAAAALLTE5MDc3MTk1MjADAAAAAzE2MAIAAAAENDIwMAQAAAABMAcAAAAJNy8xMS8yMDI2CAAAAAoxMi8zMS8yMDI1CQAAAAEw4/Jab2/f3ghKDONvb9/eCCtDSVEuTkFTREFRR1M6QU1aTi5JUV9FUFNfM1lSX0FOTl9DQUdSLjIwMDAuAQAAAD1JAAACAAAACDE3MC44OTI2AQgAAAAFAAAAATEBAAAACy0xODkyMTgzODY4AwAAAAMxNjACAAAABDQyMjYEAAAAATAHAAAACTcvMTEvMjAyNggAAAAJMy8zMS8yMDI2CQAAAAEw4/Jab2/f3ghKDONvb9/eCCtDSVEuTkFTREFRR1M6QU1aTi5J</t>
  </si>
  <si>
    <t>UV9FUFNfNVlSX0FOTl9DQUdSLjIwMDAuAQAAAD1JAAACAAAABzI2LjA0NTcBCAAAAAUAAAABMQEAAAALLTE4OTIxODM4NjgDAAAAAzE2MAIAAAAENDIzOQQAAAABMAcAAAAJNy8xMS8yMDI2CAAAAAkzLzMxLzIwMjYJAAAAATDj8lpvb9/eCIHk4m9v394IMENJUS5OQVNEQVFHUzpBTVpOLklRX0VCSVREQV8xWVJfQU5OX0dST1dUSC4yMDAwLgEAAAA9SQAAAgAAAAcyMi42NjMzAQgAAAAFAAAAATEBAAAACy0xODkyMTgzODY4AwAAAAMxNjACAAAABDQxOTYEAAAAATAHAAAACTcvMTEvMjAyNggAAAAJMy8zMS8yMDI2CQAAAAEw4/Jab2/f3giB5OJvb9/eCDBDSVEuTkFTREFRR1M6QU1aTi5JUV9FQklUREFfMVlSX0FOTl9HUk9XVEguMTAwMC4BAAAAPUkAAAIAAAAHMjAuMDUzOAEIAAAABQAAAAExAQAAAAstMTkwNzcxOTUyMAMAAAADMTYwAgAAAAQ0MTk2BAAAAAEwBwAAAAk3LzExLzIwMjYIAAAACjEyLzMxLzIwMjUJAAAAATDj8lpvb9/eCIHk4m9v394IK0NJUS5OQVNEQVFHUzpBTVpOLklRX0VCSVREQV9DQVBFWF9JTlQuMjAwMC4BAAAAPUkAAAIAAAAIOC43OTYyODgBCAAAAAUAAAABMQEAAAALLTE4OTIxODM4NjgDAAAAAzE2MAIAAAAENDE5MQQAAAABMAcAAAAJNy8xMS8yMDI2CAAAAAkzLzMxLzIwMjYJAAAAATDj8lpvb9/eCIHk4m9v394IJUNJUS5OQVNEQVFHUzpBTVpOLklRX0VCSVREQV9JTlQu</t>
  </si>
  <si>
    <t>MjAwMC4BAAAAPUkAAAIAAAAINjguNDEwNTgBCAAAAAUAAAABMQEAAAALLTE4OTIxODM4NjgDAAAAAzE2MAIAAAAENDE5MAQAAAABMAcAAAAJNy8xMS8yMDI2CAAAAAkzLzMxLzIwMjYJAAAAATDj8lpvb9/eCIHk4m9v394IKkNJUS5OQVNEQVFHUzpBTVpOLklRX05FVF9ERUJUX0VCSVREQS4yMDAwLgEAAAA9SQAAAgAAAAgwLjUzMzUyMwEIAAAABQAAAAExAQAAAAstMTg5MjE4Mzg2OAMAAAADMTYwAgAAAAQ0MTkzBAAAAAEwBwAAAAk3LzExLzIwMjYIAAAACTMvMzEvMjAyNgkAAAABMOPyWm9v394IgeTib2/f3ggsQ0lRLk5BU0RBUUdTOkFNWk4uSVFfVE9UQUxfREVCVF9FQklUREEuMjAwMC4BAAAAPUkAAAIAAAAIMS4zNTkyNzEBCAAAAAUAAAABMQEAAAALLTE4OTIxODM4NjgDAAAAAzE2MAIAAAAENDE5MgQAAAABMAcAAAAJNy8xMS8yMDI2CAAAAAkzLzMxLzIwMjYJAAAAATDj8lpvb9/eCIHk4m9v394ILUNJUS5OQVNEQVFHUzpBTVpOLklRX0VQU18xWVJfQU5OX0dST1dUSC4yMDAwLgEAAAA9SQAAAgAAAAczNi4yMjk3AQgAAAAFAAAAATEBAAAACy0xODkyMTgzODY4AwAAAAMxNjACAAAABDQyMDAEAAAAATAHAAAACTcvMTEvMjAyNggAAAAJMy8zMS8yMDI2CQAAAAEw4/Jab2/f3giB5OJvb9/eCDJDSVEuTkFTREFRR1M6QU1aTi5JUV9SRVRVUk5fSU5WRVNURURfQ0FQSVRBTC4yMDAwLgEAAAA9SQAA</t>
  </si>
  <si>
    <t>AgAAAAcxNS45MTE2AOPyWm9v394IgeTib2/f3ggoQ0lRLk5BU0RBUUdTOkFNWk4uSVFfUkVUVVJOX0FTU0VUUy4yMDAwLgEAAAA9SQAAAgAAAAY2Ljg0NTIBCAAAAAUAAAABMQEAAAALLTE4OTIxODM4NjgDAAAAAzE2MAIAAAAENDE3OAQAAAABMAcAAAAJNy8xMS8yMDI2CAAAAAkzLzMxLzIwMjYJAAAAATDj8lpvb9/eCIHk4m9v394IKENJUS5OQVNEQVFHUzpBTVpOLklRX1JFVFVSTl9FUVVJVFkuMjAwMC4BAAAAPUkAAAIAAAAHMjQuMjg0NgEIAAAABQAAAAExAQAAAAstMTg5MjE4Mzg2OAMAAAADMTYwAgAAAAQ0MTI4BAAAAAEwBwAAAAk3LzExLzIwMjYIAAAACTMvMzEvMjAyNgkAAAABMOPyWm9v394Is9Dib2/f3ggsQ0lRLk5BU0RBUUdTOkFNWk4uSVFfVE9UQUxfREVCVF9DQVBJVEFMLjUwMC4BAAAAPUkAAAIAAAAHMzQuNzY4NAEIAAAABQAAAAExAQAAAAstMTg5MjE4NjA1NwMAAAADMTYwAgAAAAQ0MTg2BAAAAAEwBwAAAAk3LzExLzIwMjYIAAAACTMvMzEvMjAyNgkAAAABMOPyWm9v394Is9Dib2/f3ggrQ0lRLk5BU0RBUUdTOkFNWk4uSVFfVE9UQUxfREVCVF9FUVVJVFkuNTAwLgEAAAA9SQAAAgAAAAc1My4yOTk5AQgAAAAFAAAAATEBAAAACy0xODkyMTg2MDU3AwAAAAMxNjACAAAABDQwMzQEAAAAATAHAAAACTcvMTEvMjAyNggAAAAJMy8zMS8yMDI2CQAAAAEw4/Jab2/f3giz0OJvb9/eCCtD</t>
  </si>
  <si>
    <t>SVEuTkFTREFRR1M6QU1aTi5JUV9EQVlTX1BBWUFCTEVfT1VULjIwMDAuAQAAAD1JAAACAAAACTEwNi4yNDYzOQEIAAAABQAAAAExAQAAAAstMTg5MjE4Mzg2OAMAAAADMTYwAgAAAAQ0MTgzBAAAAAEwBwAAAAk3LzExLzIwMjYIAAAACTMvMzEvMjAyNgkAAAABMOPyWm9v394Is9Dib2/f3ggtQ0lRLk5BU0RBUUdTOkFNWk4uSVFfREFZU19JTlZFTlRPUllfT1VULjIwMDAuAQAAAD1JAAACAAAACTM2LjAxMTI2NQEIAAAABQAAAAExAQAAAAstMTg5MjE4Mzg2OAMAAAADMTYwAgAAAAQ0MDM1BAAAAAEwBwAAAAk3LzExLzIwMjYIAAAACTMvMzEvMjAyNgkAAAABMOPyWm9v394IgeTib2/f3ggpQ0lRLk5BU0RBUUdTOkFNWk4uSVFfREFZU19TQUxFU19PVVQuMjAwMC4BAAAAPUkAAAIAAAAJMjUuNjI2Mjg1AQgAAAAFAAAAATEBAAAACy0xODkyMTgzODY4AwAAAAMxNjACAAAABDQwNDIEAAAAATAHAAAACTcvMTEvMjAyNggAAAAJMy8zMS8yMDI2CQAAAAEw4/Jab2/f3ghLqeJvb9/eCCVDSVEuTkFTREFRR1M6QU1aTi5JUV9RVUlDS19SQVRJTy41MDAuAQAAAD1JAAACAAAACDAuOTczODY0AQgAAAAFAAAAATEBAAAACy0xODkyMTg2MDU3AwAAAAMxNjACAAAABDQxMjEEAAAAATAHAAAACTcvMTEvMjAyNggAAAAJMy8zMS8yMDI2CQAAAAEw4/Jab2/f3ghLqeJvb9/eCCdDSVEuTkFTREFRR1M6QU1aTi5JUV9DVVJS</t>
  </si>
  <si>
    <t>RU5UX1JBVElPLjUwMC4BAAAAPUkAAAIAAAAIMS4xNzcxNTMBCAAAAAUAAAABMQEAAAALLTE4OTIxODYwNTcDAAAAAzE2MAIAAAAENDAzMAQAAAABMAcAAAAJNy8xMS8yMDI2CAAAAAkzLzMxLzIwMjYJAAAAATDj8lpvb9/eCEup4m9v394IKkNJUS5OQVNEQVFHUzpBTVpOLklRX0lOVkVOVE9SWV9UVVJOUy4yMDAwLgEAAAA9SQAAAgAAAAkxMC4xMzU2NjYBCAAAAAUAAAABMQEAAAALLTE4OTIxODM4NjgDAAAAAzE2MAIAAAAENDA4MgQAAAABMAcAAAAJNy8xMS8yMDI2CAAAAAkzLzMxLzIwMjYJAAAAATDj8lpvb9/eCEup4m9v394II0NJUS5OQVNEQVFHUzpBTVpOLklRX0FSX1RVUk5TLjIwMDAuAQAAAD1JAAACAAAACTE0LjI0MzA2OAEIAAAABQAAAAExAQAAAAstMTg5MjE4Mzg2OAMAAAADMTYwAgAAAAQ0MDAxBAAAAAEwBwAAAAk3LzExLzIwMjYIAAAACTMvMzEvMjAyNgkAAAABMOPyWm9v394IS6nib2/f3ggsQ0lRLk5BU0RBUUdTOkFNWk4uSVFfRklYRURfQVNTRVRfVFVSTlMuMjAwMC4BAAAAPUkAAAIAAAAIMS43NzM4NDYBCAAAAAUAAAABMQEAAAALLTE4OTIxODM4NjgDAAAAAzE2MAIAAAAENDA2NgQAAAABMAcAAAAJNy8xMS8yMDI2CAAAAAkzLzMxLzIwMjYJAAAAATDj8lpvb9/eCEup4m9v394IJkNJUS5OQVNEQVFHUzpBTVpOLklRX0FTU0VUX1RVUk5TLjIwMDAuAQAAAD1JAAACAAAACDAuOTUy</t>
  </si>
  <si>
    <t>MzQ2AQgAAAAFAAAAATEBAAAACy0xODkyMTgzODY4AwAAAAMxNjACAAAABDQxNzcEAAAAATAHAAAACTcvMTEvMjAyNggAAAAJMy8zMS8yMDI2CQAAAAEw4/Jab2/f3ghLqeJvb9/eCCpDSVEuTkFTREFRR1M6QU1aTi5JUV9DQVNIX0NPTlZFUlNJT04uMjAwMC4BAAAAPUkAAAIAAAAJLTQ0LjYwODg0AQgAAAAFAAAAATEBAAAACy0xODkyMTgzODY4AwAAAAMxNjACAAAABDQxODQEAAAAATAHAAAACTcvMTEvMjAyNggAAAAJMy8zMS8yMDI2CQAAAAEw4/Jab2/f3ghLqeJvb9/eCCRDSVEuTllTRTpOT1cuSVFfRUJJVERBLjIwMDAuLi4uVVNELkgBAAAAv3ReAQIAAAAEMjg4OAEIAAAABQAAAAExAQAAAAstMTg5NTIwODM5OQMAAAADMTYwAgAAAAQ0MDUxBAAAAAEwBwAAAAk3LzExLzIwMjYIAAAACTMvMzEvMjAyNgkAAAABMOPyWm9v394I/oDib2/f3ggsQ0lRLk5ZU0U6Tk9XLklRX0RJTFVUX0VQU19FWENMLjEwMDAuLi4uVVNELkgBAAAAv3ReAQIAAAAEMS42NwEIAAAABQAAAAExAQAAAAstMTkwODQ4NDM3OAMAAAADMTYwAgAAAAMxNDIEAAAAATAHAAAACTcvMTEvMjAyNggAAAAKMTIvMzEvMjAyNQkAAAABMOPyWm9v394IEZXib2/f3ggsQ0lRLk5ZU0U6Tk9XLklRX0RJTFVUX0VQU19FWENMLjIwMDAuLi4uVVNELkgBAAAAv3ReAQIAAAAIMS42Nzk4MDEBCAAAAAUAAAABMQEAAAALLTE4OTUyMDgzOTkDAAAA</t>
  </si>
  <si>
    <t>AzE2MAIAAAADMTQyBAAAAAEwBwAAAAk3LzExLzIwMjYIAAAACTMvMzEvMjAyNgkAAAABMOPyWm9v394IEZXib2/f3ggnQ0lRLk5ZU0U6Tk9XLklRX1RPVEFMX1JFVi4xMDAwLi4uLlVTRC5IAQAAAL90XgECAAAABTEzMjc4AQgAAAAFAAAAATEBAAAACy0xOTA4NDg0Mzc4AwAAAAMxNjACAAAAAjI4BAAAAAEwBwAAAAk3LzExLzIwMjYIAAAACjEyLzMxLzIwMjUJAAAAATDj8lpvb9/eCDNt4m9v394IJ0NJUS5OWVNFOk5PVy5JUV9UT1RBTF9SRVYuMjAwMC4uLi5VU0QuSAEAAAC/dF4BAgAAAAUxMzk2MAEIAAAABQAAAAExAQAAAAstMTg5NTIwODM5OQMAAAADMTYwAgAAAAIyOAQAAAABMAcAAAAJNy8xMS8yMDI2CAAAAAkzLzMxLzIwMjYJAAAAATDj8lpvb9/eCP6A4m9v394IJENJUS5OWVNFOk5PVy5JUV9FQklUREEuMTAwMC4uLi5VU0QuSAEAAAC/dF4BAgAAAAQyNzM4AQgAAAAFAAAAATEBAAAACy0xOTA4NDg0Mzc4AwAAAAMxNjACAAAABDQwNTEEAAAAATAHAAAACTcvMTEvMjAyNggAAAAKMTIvMzEvMjAyNQkAAAABMOPyWm9v394I/oDib2/f3ggsQ0lRLk5ZU0U6Tk9XLklRX0NBU0hfU1RfSU5WRVNULjUwMC4uLkYuVVNELkgBAAAAv3ReAQIAAAAENTE4MgEIAAAABQAAAAExAQAAAAstMTg5NTIxMjk2MgMAAAADMTYwAgAAAAQxMDAyBAAAAAEwBwAAAAk3LzExLzIwMjYIAAAACTMvMzEvMjAyNgkAAAAB</t>
  </si>
  <si>
    <t>MOPyWm9v394IP1nib2/f3ggoQ0lRLk5ZU0U6Tk9XLklRX1RPVEFMX0RFQlQuNTAwLi4uRi5VU0QuSAEAAAC/dF4BAgAAAAQyNDMxAQgAAAAFAAAAATEBAAAACy0xODk1MjEyOTYyAwAAAAMxNjACAAAABDQxNzMEAAAAATAHAAAACTcvMTEvMjAyNggAAAAJMy8zMS8yMDI2CQAAAAEw4/Jab2/f3ggzbeJvb9/eCClDSVEuTllTRTpOT1cuSVFfUFJFRl9FUVVJVFkuNTAwLi4uRi5VU0QuSAEAAAC/dF4BAwAAAAAA4/Jab2/f3ggzbeJvb9/eCDVDSVEuTllTRTpOT1cuSVFfTUlOT1JJVFlfSU5URVJFU1RfVE9UQUwuNTAwLi4uRi5VU0QuSAEAAAC/dF4BAwAAAAAA4/Jab2/f3ggzbeJvb9/eCB5DSVEuTllTRTpOT1cuSVFfQVJfVFVSTlMuMjAwMC4BAAAAv3ReAQIAAAAIOS4wODg1NDEBCAAAAAUAAAABMQEAAAALLTE4OTUyMDgzOTkDAAAAAzE2MAIAAAAENDAwMQQAAAABMAcAAAAJNy8xMS8yMDI2CAAAAAkzLzMxLzIwMjYJAAAAATDj8lpvb9/eCD9Z4m9v394IJUNJUS5OWVNFOk5PVy5JUV9JTlZFTlRPUllfVFVSTlMuMjAwMC4BAAAAv3ReAQMAAAAAAOPyWm9v394I7DHib2/f3ggoQ0lRLk5ZU0U6Tk9XLklRX0RBWVNfSU5WRU5UT1JZX09VVC4yMDAwLgEAAAC/dF4BAwAAAAAA4/Jab2/f3gjsMeJvb9/eCCZDSVEuTllTRTpOT1cuSVFfREFZU19QQVlBQkxFX09VVC4yMDAwLgEAAAC/dF4BAgAAAAk0MS4wNTEx</t>
  </si>
  <si>
    <t>ODUBCAAAAAUAAAABMQEAAAALLTE4OTUyMDgzOTkDAAAAAzE2MAIAAAAENDE4MwQAAAABMAcAAAAJNy8xMS8yMDI2CAAAAAkzLzMxLzIwMjYJAAAAATDj8lpvb9/eCOwx4m9v394IJUNJUS5OWVNFOk5PVy5JUV9DQVNIX0NPTlZFUlNJT04uMjAwMC4BAAAAv3ReAQMAAAAAAOPyWm9v394I7DHib2/f3gghQ0lRLk5ZU0U6Tk9XLklRX0FTU0VUX1RVUk5TLjIwMDAuAQAAAL90XgECAAAACDAuNjE1NjE1AQgAAAAFAAAAATEBAAAACy0xODk1MjA4Mzk5AwAAAAMxNjACAAAABDQxNzcEAAAAATAHAAAACTcvMTEvMjAyNggAAAAJMy8zMS8yMDI2CQAAAAEw4/Jab2/f3gjsMeJvb9/eCCdDSVEuTllTRTpOT1cuSVFfRklYRURfQVNTRVRfVFVSTlMuMjAwMC4BAAAAv3ReAQIAAAAINC44MzM3OTUBCAAAAAUAAAABMQEAAAALLTE4OTUyMDgzOTkDAAAAAzE2MAIAAAAENDA2NgQAAAABMAcAAAAJNy8xMS8yMDI2CAAAAAkzLzMxLzIwMjYJAAAAATDj8lpvb9/eCOwx4m9v394II0NJUS5OWVNFOk5PVy5JUV9SRVRVUk5fQVNTRVRTLjIwMDAuAQAAAL90XgECAAAABjUuNjU1NgEIAAAABQAAAAExAQAAAAstMTg5NTIwODM5OQMAAAADMTYwAgAAAAQ0MTc4BAAAAAEwBwAAAAk3LzExLzIwMjYIAAAACTMvMzEvMjAyNgkAAAABMOPyWm9v394I7DHib2/f3ggtQ0lRLk5ZU0U6Tk9XLklRX1JFVFVSTl9JTlZFU1RFRF9DQVBJVEFM</t>
  </si>
  <si>
    <t>LjIwMDAuAQAAAL90XgECAAAABzEzLjE2MjUA4/Jab2/f3gjsMeJvb9/eCCJDSVEuTllTRTpOT1cuSVFfQ1VSUkVOVF9SQVRJTy41MDAuAQAAAL90XgECAAAACDAuODQ0OTM2AQgAAAAFAAAAATEBAAAACy0xODk1MjEyOTYyAwAAAAMxNjACAAAABDQwMzAEAAAAATAHAAAACTcvMTEvMjAyNggAAAAJMy8zMS8yMDI2CQAAAAEw4/Jab2/f3gjsMeJvb9/eCCBDSVEuTllTRTpOT1cuSVFfUVVJQ0tfUkFUSU8uNTAwLgEAAAC/dF4BAgAAAAgwLjY5MDY3NAEIAAAABQAAAAExAQAAAAstMTg5NTIxMjk2MgMAAAADMTYwAgAAAAQ0MTIxBAAAAAEwBwAAAAk3LzExLzIwMjYIAAAACTMvMzEvMjAyNgkAAAABMOPyWm9v394I7DHib2/f3ggkQ0lRLk5ZU0U6Tk9XLklRX0RBWVNfU0FMRVNfT1VULjIwMDAuAQAAAL90XgECAAAACDQwLjE2MDIyAQgAAAAFAAAAATEBAAAACy0xODk1MjA4Mzk5AwAAAAMxNjACAAAABDQwNDIEAAAAATAHAAAACTcvMTEvMjAyNggAAAAJMy8zMS8yMDI2CQAAAAEw4/Jab2/f3gioHeJvb9/eCCBDSVEuTllTRTpOT1cuSVFfRUJJVERBX0lOVC4yMDAwLgEAAAC/dF4BAgAAAAoxMzIuMjE3MzkxAQgAAAAFAAAAATEBAAAACy0xODk1MjA4Mzk5AwAAAAMxNjACAAAABDQxOTAEAAAAATAHAAAACTcvMTEvMjAyNggAAAAJMy8zMS8yMDI2CQAAAAEw4/Jab2/f3gioHeJvb9/eCCZDSVEuTllTRTpOT1cu</t>
  </si>
  <si>
    <t>SVFfRUJJVERBX0NBUEVYX0lOVC4yMDAwLgEAAAC/dF4BAgAAAAk5Ny4yNjA4NjkBCAAAAAUAAAABMQEAAAALLTE4OTUyMDgzOTkDAAAAAzE2MAIAAAAENDE5MQQAAAABMAcAAAAJNy8xMS8yMDI2CAAAAAkzLzMxLzIwMjYJAAAAATDj8lpvb9/eCKgd4m9v394IJkNJUS5OWVNFOk5PVy5JUV9UT1RBTF9ERUJUX0VRVUlUWS41MDAuAQAAAL90XgECAAAABzIwLjcyODEBCAAAAAUAAAABMQEAAAALLTE4OTUyMTI5NjIDAAAAAzE2MAIAAAAENDAzNAQAAAABMAcAAAAJNy8xMS8yMDI2CAAAAAkzLzMxLzIwMjYJAAAAATDj8lpvb9/eCKgd4m9v394IJ0NJUS5OWVNFOk5PVy5JUV9UT1RBTF9ERUJUX0NBUElUQUwuNTAwLgEAAAC/dF4BAgAAAAcxNy4xNjkyAQgAAAAFAAAAATEBAAAACy0xODk1MjEyOTYyAwAAAAMxNjACAAAABDQxODYEAAAAATAHAAAACTcvMTEvMjAyNggAAAAJMy8zMS8yMDI2CQAAAAEw4/Jab2/f3gioHeJvb9/eCCNDSVEuTllTRTpOT1cuSVFfUkVUVVJOX0VRVUlUWS4yMDAwLgEAAAC/dF4BAgAAAAcxNi4wNjk4AQgAAAAFAAAAATEBAAAACy0xODk1MjA4Mzk5AwAAAAMxNjACAAAABDQxMjgEAAAAATAHAAAACTcvMTEvMjAyNggAAAAJMy8zMS8yMDI2CQAAAAEw4/Jab2/f3giA4eFvb9/eCCZDSVEuTllTRTpOT1cuSVFfRVBTXzNZUl9BTk5fQ0FHUi4yMDAwLgEAAAC/dF4BAgAAAAY2Mi40MTUB</t>
  </si>
  <si>
    <t>CAAAAAUAAAABMQEAAAALLTE4OTUyMDgzOTkDAAAAAzE2MAIAAAAENDIyNgQAAAABMAcAAAAJNy8xMS8yMDI2CAAAAAkzLzMxLzIwMjYJAAAAATDj8lpvb9/eCIDh4W9v394IKENJUS5OWVNFOk5PVy5JUV9FUFNfMVlSX0FOTl9HUk9XVEguMTAwMC4BAAAAv3ReAQIAAAAHMjEuODk3OAEIAAAABQAAAAExAQAAAAstMTkwODQ4NDM3OAMAAAADMTYwAgAAAAQ0MjAwBAAAAAEwBwAAAAk3LzExLzIwMjYIAAAACjEyLzMxLzIwMjUJAAAAATDj8lpvb9/eCIDh4W9v394IKENJUS5OWVNFOk5PVy5JUV9FUFNfMVlSX0FOTl9HUk9XVEguMjAwMC4BAAAAv3ReAQIAAAAHMTMuNzkyMwEIAAAABQAAAAExAQAAAAstMTg5NTIwODM5OQMAAAADMTYwAgAAAAQ0MjAwBAAAAAEwBwAAAAk3LzExLzIwMjYIAAAACTMvMzEvMjAyNgkAAAABMOPyWm9v394IgOHhb2/f3ggnQ0lRLk5ZU0U6Tk9XLklRX1RPVEFMX0RFQlRfRUJJVERBLjIwMDAuAQAAAL90XgECAAAACDAuNzk5NDA4AQgAAAAFAAAAATEBAAAACy0xODk1MjA4Mzk5AwAAAAMxNjACAAAABDQxOTIEAAAAATAHAAAACTcvMTEvMjAyNggAAAAJMy8zMS8yMDI2CQAAAAEw4/Jab2/f3giA4eFvb9/eCCVDSVEuTllTRTpOT1cuSVFfTkVUX0RFQlRfRUJJVERBLjIwMDAuAQAAAL90XgEDAAAAAk5NAQgAAAAFAAAAATEBAAAACy0xODk1MjA4Mzk5AwAAAAMxNjACAAAABDQxOTME</t>
  </si>
  <si>
    <t>AAAAATAHAAAACTcvMTEvMjAyNggAAAAJMy8zMS8yMDI2CQAAAAEw4/Jab2/f3giA4eFvb9/eCClDSVEuTllTRTpOT1cuSVFfRUJJVERBXzVZUl9BTk5fQ0FHUi4yMDAwLgEAAAC/dF4BAgAAAAczNi4zNDEzAQgAAAAFAAAAATEBAAAACy0xODk1MjA4Mzk5AwAAAAMxNjACAAAABDQyMzUEAAAAATAHAAAACTcvMTEvMjAyNggAAAAJMy8zMS8yMDI2CQAAAAEw4/Jab2/f3giA4eFvb9/eCClDSVEuTllTRTpOT1cuSVFfRUJJVERBXzNZUl9BTk5fQ0FHUi4yMDAwLgEAAAC/dF4BAgAAAAc0OS4xNzM4AQgAAAAFAAAAATEBAAAACy0xODk1MjA4Mzk5AwAAAAMxNjACAAAABDQyMjIEAAAAATAHAAAACTcvMTEvMjAyNggAAAAJMy8zMS8yMDI2CQAAAAEw4/Jab2/f3giA4eFvb9/eCCtDSVEuTllTRTpOT1cuSVFfRUJJVERBXzFZUl9BTk5fR1JPV1RILjEwMDAuAQAAAL90XgECAAAABzM5LjYyMjYBCAAAAAUAAAABMQEAAAALLTE5MDg0ODQzNzgDAAAAAzE2MAIAAAAENDE5NgQAAAABMAcAAAAJNy8xMS8yMDI2CAAAAAoxMi8zMS8yMDI1CQAAAAEw4/Jab2/f3giA4eFvb9/eCCtDSVEuTllTRTpOT1cuSVFfRUJJVERBXzFZUl9BTk5fR1JPV1RILjIwMDAuAQAAAL90XgECAAAABjM2Ljg3MgEIAAAABQAAAAExAQAAAAstMTg5NTIwODM5OQMAAAADMTYwAgAAAAQ0MTk2BAAAAAEwBwAAAAk3LzExLzIwMjYIAAAACTMvMzEv</t>
  </si>
  <si>
    <t>MjAyNgkAAAABMOPyWm9v394IgOHhb2/f3ggmQ0lRLk5ZU0U6Tk9XLklRX0VQU181WVJfQU5OX0NBR1IuMjAwMC4BAAAAv3ReAQIAAAAHNjEuNjczMQEIAAAABQAAAAExAQAAAAstMTg5NTIwODM5OQMAAAADMTYwAgAAAAQ0MjM5BAAAAAEwBwAAAAk3LzExLzIwMjYIAAAACTMvMzEvMjAyNgkAAAABMOPyWm9v394IgOHhb2/f3ggfQ0lRLk5ZU0U6Tk9XLklRX05JX01BUkdJTi4yMDAwLgEAAAC/dF4BAgAAAAcxMi41ODU5AQgAAAAFAAAAATEBAAAACy0xODk1MjA4Mzk5AwAAAAMxNjACAAAABDQwOTQEAAAAATAHAAAACTcvMTEvMjAyNggAAAAJMy8zMS8yMDI2CQAAAAEw4/Jab2/f3giA4eFvb9/eCCxDSVEuTllTRTpOT1cuSVFfVE9UQUxfUkVWXzVZUl9BTk5fQ0FHUi4yMDAwLgEAAAC/dF4BAgAAAAcyMy42MzI4AQgAAAAFAAAAATEBAAAACy0xODk1MjA4Mzk5AwAAAAMxNjACAAAABDQyMzMEAAAAATAHAAAACTcvMTEvMjAyNggAAAAJMy8zMS8yMDI2CQAAAAEw4/Jab2/f3giA4eFvb9/eCCxDSVEuTllTRTpOT1cuSVFfVE9UQUxfUkVWXzNZUl9BTk5fQ0FHUi4yMDAwLgEAAAC/dF4BAgAAAAcyMi4zNjY1AQgAAAAFAAAAATEBAAAACy0xODk1MjA4Mzk5AwAAAAMxNjACAAAABDQyMjAEAAAAATAHAAAACTcvMTEvMjAyNggAAAAJMy8zMS8yMDI2CQAAAAEw4/Jab2/f3giA4eFvb9/eCC5DSVEuTllTRTpOT1cu</t>
  </si>
  <si>
    <t>SVFfVE9UQUxfUkVWXzFZUl9BTk5fR1JPV1RILjEwMDAuAQAAAL90XgECAAAABzIwLjg4NDkBCAAAAAUAAAABMQEAAAALLTE5MDg0ODQzNzgDAAAAAzE2MAIAAAAENDE5NAQAAAABMAcAAAAJNy8xMS8yMDI2CAAAAAoxMi8zMS8yMDI1CQAAAAEw4/Jab2/f3giA4eFvb9/eCC5DSVEuTllTRTpOT1cuSVFfVE9UQUxfUkVWXzFZUl9BTk5fR1JPV1RILjIwMDAuAQAAAL90XgECAAAABzIxLjcxOTQBCAAAAAUAAAABMQEAAAALLTE4OTUyMDgzOTkDAAAAAzE2MAIAAAAENDE5NAQAAAABMAcAAAAJNy8xMS8yMDI2CAAAAAkzLzMxLzIwMjYJAAAAATDj8lpvb9/eCGvK4W9v394II0NJUS5OWVNFOk5PVy5JUV9FQklUREFfTUFSR0lOLjEwMDAuAQAAAL90XgECAAAABzIwLjYyMDUBCAAAAAUAAAABMQEAAAALLTE5MDg0ODQzNzgDAAAAAzE2MAIAAAAENDA0NwQAAAABMAcAAAAJNy8xMS8yMDI2CAAAAAoxMi8zMS8yMDI1CQAAAAEw4/Jab2/f3ghryuFvb9/eCCNDSVEuTllTRTpOT1cuSVFfRUJJVERBX01BUkdJTi4yMDAwLgEAAAC/dF4BAgAAAAcyMC42ODc2AQgAAAAFAAAAATEBAAAACy0xODk1MjA4Mzk5AwAAAAMxNjACAAAABDQwNDcEAAAAATAHAAAACTcvMTEvMjAyNggAAAAJMy8zMS8yMDI2CQAAAAEw4/Jab2/f3giA4eFvb9/eCB5DSVEuTllTRTpOT1cuSVFfTklfTUFSR0lOLjk5OC4BAAAAv3ReAQIAAAAHMTku</t>
  </si>
  <si>
    <t>Mjk1NQEIAAAABQAAAAExAQAAAAstMTkwODQ4NDM5MQMAAAADMTYwAgAAAAQ0MDk0BAAAAAEwBwAAAAk3LzExLzIwMjYIAAAACjEyLzMxLzIwMjMJAAAAATDj8lpvb9/eCIDh4W9v394IHkNJUS5OWVNFOk5PVy5JUV9OSV9NQVJHSU4uOTk5LgEAAAC/dF4BAgAAAAcxMi45NzM0AQgAAAAFAAAAATEBAAAACy0xOTA4NDg0MzYwAwAAAAMxNjACAAAABDQwOTQEAAAAATAHAAAACTcvMTEvMjAyNggAAAAKMTIvMzEvMjAyNAkAAAABMOPyWm9v394IgOHhb2/f3ggfQ0lRLk5ZU0U6Tk9XLklRX05JX01BUkdJTi4xMDAwLgEAAAC/dF4BAgAAAAcxMy4xNjQ2AQgAAAAFAAAAATEBAAAACy0xOTA4NDg0Mzc4AwAAAAMxNjACAAAABDQwOTQEAAAAATAHAAAACTcvMTEvMjAyNggAAAAKMTIvMzEvMjAyNQkAAAABMOPyWm9v394Ia8rhb2/f3gghQ0lRLk5ZU0U6Tk9XLklRX0dST1NTX01BUkdJTi45OTkuAQAAAL90XgECAAAABzc5LjE3ODgBCAAAAAUAAAABMQEAAAALLTE5MDg0ODQzNjADAAAAAzE2MAIAAAAENDA3NAQAAAABMAcAAAAJNy8xMS8yMDI2CAAAAAoxMi8zMS8yMDI0CQAAAAEw4/Jab2/f3ghryuFvb9/eCCJDSVEuTllTRTpOT1cuSVFfR1JPU1NfTUFSR0lOLjEwMDAuAQAAAL90XgECAAAABzc3LjUzNDIBCAAAAAUAAAABMQEAAAALLTE5MDg0ODQzNzgDAAAAAzE2MAIAAAAENDA3NAQAAAABMAcAAAAJNy8xMS8y</t>
  </si>
  <si>
    <t>MDI2CAAAAAoxMi8zMS8yMDI1CQAAAAEw4/Jab2/f3ghryuFvb9/eCCJDSVEuTllTRTpOT1cuSVFfR1JPU1NfTUFSR0lOLjIwMDAuAQAAAL90XgECAAAABzc2LjU2MTYBCAAAAAUAAAABMQEAAAALLTE4OTUyMDgzOTkDAAAAAzE2MAIAAAAENDA3NAQAAAABMAcAAAAJNy8xMS8yMDI2CAAAAAkzLzMxLzIwMjYJAAAAATDj8lpvb9/eCGvK4W9v394IIkNJUS5OWVNFOk5PVy5JUV9FQklUREFfTUFSR0lOLjk5OC4BAAAAv3ReAQIAAAAHMTUuMTgyMgEIAAAABQAAAAExAQAAAAstMTkwODQ4NDM5MQMAAAADMTYwAgAAAAQ0MDQ3BAAAAAEwBwAAAAk3LzExLzIwMjYIAAAACjEyLzMxLzIwMjMJAAAAATDj8lpvb9/eCGvK4W9v394IIkNJUS5OWVNFOk5PVy5JUV9FQklUREFfTUFSR0lOLjk5OS4BAAAAv3ReAQIAAAAHMTcuODUzMgEIAAAABQAAAAExAQAAAAstMTkwODQ4NDM2MAMAAAADMTYwAgAAAAQ0MDQ3BAAAAAEwBwAAAAk3LzExLzIwMjYIAAAACjEyLzMxLzIwMjQJAAAAATDj8lpvb9/eCPa14W9v394IIUNJUS5OWVNFOk5PVy5JUV9HUk9TU19NQVJHSU4uOTk4LgEAAAC/dF4BAgAAAAc3OC41ODY1AQgAAAAFAAAAATEBAAAACy0xOTA4NDg0MzkxAwAAAAMxNjACAAAABDQwNzQEAAAAATAHAAAACTcvMTEvMjAyNggAAAAKMTIvMzEvMjAyMwkAAAABMOPyWm9v394IqI7hb2/f3gggQ0lRLk5ZU0U6Tk9XLklRX1BF</t>
  </si>
  <si>
    <t>UklPRERBVEUuMTAwMC4BAAAAv3ReAQUAAAAKMzEvMTIvMjAyNQDj8lpvb9/eCKiO4W9v394IIENJUS5OWVNFOk5PVy5JUV9QRVJJT0REQVRFLjIwMDAuAQAAAL90XgEFAAAACjMxLzAzLzIwMjYA4/Jab2/f3gjgeuFvb9/eCDZDSVEuTllTRTpTTk9XLklRX01JTk9SSVRZX0lOVEVSRVNUX1RPVEFMLjUwMC4uLkYuVVNELkgBAAAAsDxkEAMAAAAAAOPyWm9v394IqI7hb2/f3ggqQ0lRLk5ZU0U6U05PVy5JUV9QUkVGX0VRVUlUWS41MDAuLi5GLlVTRC5IAQAAALA8ZBADAAAAAADj8lpvb9/eCKiO4W9v394IKUNJUS5OWVNFOlNOT1cuSVFfVE9UQUxfREVCVC41MDAuLi5GLlVTRC5IAQAAALA8ZBACAAAACDI3NzIuMDk1AQgAAAAFAAAAATEBAAAACy0xODg2MjU2ODkxAwAAAAMxNjACAAAABDQxNzMEAAAAATAHAAAACTcvMTEvMjAyNggAAAAJNC8zMC8yMDI2CQAAAAEw4/Jab2/f3giMU+Fvb9/eCC1DSVEuTllTRTpTTk9XLklRX0NBU0hfU1RfSU5WRVNULjUwMC4uLkYuVVNELkgBAAAAsDxkEAIAAAAIMjk1NC45OTgBCAAAAAUAAAABMQEAAAALLTE4ODYyNTY4OTEDAAAAAzE2MAIAAAAEMTAwMgQAAAABMAcAAAAJNy8xMS8yMDI2CAAAAAk0LzMwLzIwMjYJAAAAATDj8lpvb9/eCIxT4W9v394IJUNJUS5OWVNFOlNOT1cuSVFfRUJJVERBLjEwMDAuLi4uVVNELkgBAAAAsDxkEAIAAAAJLTExNzcuNjA3AQgAAAAF</t>
  </si>
  <si>
    <t>AAAAATEBAAAACy0xOTAwNzAwMDU4AwAAAAMxNjACAAAABDQwNTEEAAAAATAHAAAACTcvMTEvMjAyNggAAAAJMS8zMS8yMDI2CQAAAAEw4/Jab2/f3gjgeuFvb9/eCChDSVEuTllTRTpTTk9XLklRX1RPVEFMX1JFVi4yMDAwLi4uLlVTRC5IAQAAALA8ZBACAAAACDUwMzIuODIzAQgAAAAFAAAAATEBAAAACy0xODg2MjU2ODA0AwAAAAMxNjACAAAAAjI4BAAAAAEwBwAAAAk3LzExLzIwMjYIAAAACTQvMzAvMjAyNgkAAAABMOPyWm9v394IjFPhb2/f3ggoQ0lRLk5ZU0U6U05PVy5JUV9UT1RBTF9SRVYuMTAwMC4uLi5VU0QuSAEAAACwPGQQAgAAAAg0NjgzLjk0NgEIAAAABQAAAAExAQAAAAstMTkwMDcwMDA1OAMAAAADMTYwAgAAAAIyOAQAAAABMAcAAAAJNy8xMS8yMDI2CAAAAAkxLzMxLzIwMjYJAAAAATDj8lpvb9/eCIxT4W9v394ILUNJUS5OWVNFOlNOT1cuSVFfRElMVVRfRVBTX0VYQ0wuMjAwMC4uLi5VU0QuSAEAAACwPGQQAgAAAAktMy41MTM4NzYBCAAAAAUAAAABMQEAAAALLTE4ODYyNTY4MDQDAAAAAzE2MAIAAAADMTQyBAAAAAEwBwAAAAk3LzExLzIwMjYIAAAACTQvMzAvMjAyNgkAAAABMOPyWm9v394IjFPhb2/f3ggtQ0lRLk5ZU0U6U05PVy5JUV9ESUxVVF9FUFNfRVhDTC4xMDAwLi4uLlVTRC5IAQAAALA8ZBACAAAACC0zLjk0NTYxAQgAAAAFAAAAATEBAAAACy0xOTAwNzAwMDU4AwAAAAMx</t>
  </si>
  <si>
    <t>NjACAAAAAzE0MgQAAAABMAcAAAAJNy8xMS8yMDI2CAAAAAkxLzMxLzIwMjYJAAAAATDj8lpvb9/eCIxT4W9v394IJUNJUS5OWVNFOlNOT1cuSVFfRUJJVERBLjIwMDAuLi4uVVNELkgBAAAAsDxkEAIAAAAJLTExMjYuNjY3AQgAAAAFAAAAATEBAAAACy0xODg2MjU2ODA0AwAAAAMxNjACAAAABDQwNTEEAAAAATAHAAAACTcvMTEvMjAyNggAAAAJNC8zMC8yMDI2CQAAAAEw4/Jab2/f3giMU+Fvb9/eCCFDSVEuTllTRTpTTk9XLklRX1BFUklPRERBVEUuMjAwMC4BAAAAsDxkEAUAAAAKMzAvMDQvMjAyNgDj8lpvb9/eCMo/4W9v394IIUNJUS5OWVNFOlNOT1cuSVFfUEVSSU9EREFURS4xMDAwLgEAAACwPGQQBQAAAAozMS8wMS8yMDI2AOPyWm9v394Iaxjhb2/f3ggjQ0lRLk5ZU0U6U05PVy5JUV9FQklUREFfTUFSR0lOLjk5OC4BAAAAsDxkEAIAAAAILTM1LjE2MDMBCAAAAAUAAAABMQEAAAALLTE5MDA3MDAxNjMDAAAAAzE2MAIAAAAENDA0NwQAAAABMAcAAAAJNy8xMS8yMDI2CAAAAAkxLzMxLzIwMjQJAAAAATDj8lpvb9/eCOID4W9v394II0NJUS5OWVNFOlNOT1cuSVFfR1JPU1NfTUFSR0lOLjIwMDAuAQAAALA8ZBACAAAABzY3LjE0NTIBCAAAAAUAAAABMQEAAAALLTE4ODYyNTY4MDQDAAAAAzE2MAIAAAAENDA3NAQAAAABMAcAAAAJNy8xMS8yMDI2CAAAAAk0LzMwLzIwMjYJAAAAATDj8lpvb9/eCOID</t>
  </si>
  <si>
    <t>4W9v394II0NJUS5OWVNFOlNOT1cuSVFfR1JPU1NfTUFSR0lOLjEwMDAuAQAAALA8ZBACAAAABzY3LjE2ODYBCAAAAAUAAAABMQEAAAALLTE5MDA3MDAwNTgDAAAAAzE2MAIAAAAENDA3NAQAAAABMAcAAAAJNy8xMS8yMDI2CAAAAAkxLzMxLzIwMjYJAAAAATDj8lpvb9/eCOID4W9v394IIkNJUS5OWVNFOlNOT1cuSVFfR1JPU1NfTUFSR0lOLjk5OS4BAAAAsDxkEAIAAAAHNjYuNTA0NgEIAAAABQAAAAExAQAAAAstMTkwMDY5OTk3NQMAAAADMTYwAgAAAAQ0MDc0BAAAAAEwBwAAAAk3LzExLzIwMjYIAAAACTEvMzEvMjAyNQkAAAABMOPyWm9v394I4gPhb2/f3ggiQ0lRLk5ZU0U6U05PVy5JUV9HUk9TU19NQVJHSU4uOTk4LgEAAACwPGQQAgAAAAc2Ny45ODI4AQgAAAAFAAAAATEBAAAACy0xOTAwNzAwMTYzAwAAAAMxNjACAAAABDQwNzQEAAAAATAHAAAACTcvMTEvMjAyNggAAAAJMS8zMS8yMDI0CQAAAAEw4/Jab2/f3giO7+Bvb9/eCB9DSVEuTllTRTpTTk9XLklRX05JX01BUkdJTi45OTkuAQAAALA8ZBACAAAACC0zNS40NTIyAQgAAAAFAAAAATEBAAAACy0xOTAwNjk5OTc1AwAAAAMxNjACAAAABDQwOTQEAAAAATAHAAAACTcvMTEvMjAyNggAAAAJMS8zMS8yMDI1CQAAAAEw4/Jab2/f3giO7+Bvb9/eCB9DSVEuTllTRTpTTk9XLklRX05JX01BUkdJTi45OTguAQAAALA8ZBACAAAACC0yOS43OTE1AQgA</t>
  </si>
  <si>
    <t>AAAFAAAAATEBAAAACy0xOTAwNzAwMTYzAwAAAAMxNjACAAAABDQwOTQEAAAAATAHAAAACTcvMTEvMjAyNggAAAAJMS8zMS8yMDI0CQAAAAEw4/Jab2/f3giO7+Bvb9/eCCRDSVEuTllTRTpTTk9XLklRX0VCSVREQV9NQVJHSU4uMjAwMC4BAAAAsDxkEAIAAAAILTIyLjM4NjMBCAAAAAUAAAABMQEAAAALLTE4ODYyNTY4MDQDAAAAAzE2MAIAAAAENDA0NwQAAAABMAcAAAAJNy8xMS8yMDI2CAAAAAk0LzMwLzIwMjYJAAAAATDj8lpvb9/eCI7v4G9v394IJENJUS5OWVNFOlNOT1cuSVFfRUJJVERBX01BUkdJTi4xMDAwLgEAAACwPGQQAgAAAAgtMjUuMTQxMwEIAAAABQAAAAExAQAAAAstMTkwMDcwMDA1OAMAAAADMTYwAgAAAAQ0MDQ3BAAAAAEwBwAAAAk3LzExLzIwMjYIAAAACTEvMzEvMjAyNgkAAAABMOPyWm9v394Iju/gb2/f3ggjQ0lRLk5ZU0U6U05PVy5JUV9FQklUREFfTUFSR0lOLjk5OS4BAAAAsDxkEAIAAAAILTM2LjY3MjgBCAAAAAUAAAABMQEAAAALLTE5MDA2OTk5NzUDAAAAAzE2MAIAAAAENDA0NwQAAAABMAcAAAAJNy8xMS8yMDI2CAAAAAkxLzMxLzIwMjUJAAAAATDj8lpvb9/eCLzb4G9v394IL0NJUS5OWVNFOlNOT1cuSVFfVE9UQUxfUkVWXzFZUl9BTk5fR1JPV1RILjEwMDAuAQAAALA8ZBACAAAABzI5LjE2MjUBCAAAAAUAAAABMQEAAAALLTE5MDA3MDAwNTgDAAAAAzE2MAIAAAAENDE5</t>
  </si>
  <si>
    <t>NAQAAAABMAcAAAAJNy8xMS8yMDI2CAAAAAkxLzMxLzIwMjYJAAAAATDj8lpvb9/eCLzb4G9v394ILUNJUS5OWVNFOlNOT1cuSVFfVE9UQUxfUkVWXzNZUl9BTk5fQ0FHUi4yMDAwLgEAAACwPGQQAgAAAAYzMC40NTUBCAAAAAUAAAABMQEAAAALLTE4ODYyNTY4MDQDAAAAAzE2MAIAAAAENDIyMAQAAAABMAcAAAAJNy8xMS8yMDI2CAAAAAk0LzMwLzIwMjYJAAAAATDj8lpvb9/eCLzb4G9v394ILUNJUS5OWVNFOlNOT1cuSVFfVE9UQUxfUkVWXzVZUl9BTk5fQ0FHUi4yMDAwLgEAAACwPGQQAgAAAAc0Ny44NTkyAQgAAAAFAAAAATEBAAAACy0xODg2MjU2ODA0AwAAAAMxNjACAAAABDQyMzMEAAAAATAHAAAACTcvMTEvMjAyNggAAAAJNC8zMC8yMDI2CQAAAAEw4/Jab2/f3gi82+Bvb9/eCCBDSVEuTllTRTpTTk9XLklRX05JX01BUkdJTi4yMDAwLgEAAACwPGQQAgAAAAgtMjMuNzg1NwEIAAAABQAAAAExAQAAAAstMTg4NjI1NjgwNAMAAAADMTYwAgAAAAQ0MDk0BAAAAAEwBwAAAAk3LzExLzIwMjYIAAAACTQvMzAvMjAyNgkAAAABMOPyWm9v394Iju/gb2/f3gggQ0lRLk5ZU0U6U05PVy5JUV9OSV9NQVJHSU4uMTAwMC4BAAAAsDxkEAIAAAAILTI4LjQyOTMBCAAAAAUAAAABMQEAAAALLTE5MDA3MDAwNTgDAAAAAzE2MAIAAAAENDA5NAQAAAABMAcAAAAJNy8xMS8yMDI2CAAAAAkxLzMxLzIwMjYJAAAAATDj</t>
  </si>
  <si>
    <t>8lpvb9/eCEq04G9v394ILENJUS5OWVNFOlNOT1cuSVFfRUJJVERBXzFZUl9BTk5fR1JPV1RILjIwMDAuAQAAALA8ZBADAAAAAk5NAQgAAAAFAAAAATEBAAAACy0xODg2MjU2ODA0AwAAAAMxNjACAAAABDQxOTYEAAAAATAHAAAACTcvMTEvMjAyNggAAAAJNC8zMC8yMDI2CQAAAAEw4/Jab2/f3ghKtOBvb9/eCCxDSVEuTllTRTpTTk9XLklRX0VCSVREQV8xWVJfQU5OX0dST1dUSC4xMDAwLgEAAACwPGQQAwAAAAJOTQEIAAAABQAAAAExAQAAAAstMTkwMDcwMDA1OAMAAAADMTYwAgAAAAQ0MTk2BAAAAAEwBwAAAAk3LzExLzIwMjYIAAAACTEvMzEvMjAyNgkAAAABMOPyWm9v394ISrTgb2/f3ggqQ0lRLk5ZU0U6U05PVy5JUV9FQklUREFfM1lSX0FOTl9DQUdSLjIwMDAuAQAAALA8ZBADAAAAAk5NAQgAAAAFAAAAATEBAAAACy0xODg2MjU2ODA0AwAAAAMxNjACAAAABDQyMjIEAAAAATAHAAAACTcvMTEvMjAyNggAAAAJNC8zMC8yMDI2CQAAAAEw4/Jab2/f3ghKtOBvb9/eCCpDSVEuTllTRTpTTk9XLklRX0VCSVREQV81WVJfQU5OX0NBR1IuMjAwMC4BAAAAsDxkEAMAAAACTk0BCAAAAAUAAAABMQEAAAALLTE4ODYyNTY4MDQDAAAAAzE2MAIAAAAENDIzNQQAAAABMAcAAAAJNy8xMS8yMDI2CAAAAAk0LzMwLzIwMjYJAAAAATDj8lpvb9/eCLzb4G9v394IL0NJUS5OWVNFOlNOT1cuSVFfVE9UQUxfUkVWXzFZ</t>
  </si>
  <si>
    <t>Ul9BTk5fR1JPV1RILjIwMDAuAQAAALA8ZBACAAAABzMxLjA3MTIBCAAAAAUAAAABMQEAAAALLTE4ODYyNTY4MDQDAAAAAzE2MAIAAAAENDE5NAQAAAABMAcAAAAJNy8xMS8yMDI2CAAAAAk0LzMwLzIwMjYJAAAAATDj8lpvb9/eCEq04G9v394IKENJUS5OWVNFOlNOT1cuSVFfVE9UQUxfREVCVF9FQklUREEuMjAwMC4BAAAAsDxkEAMAAAACTk0BCAAAAAUAAAABMQEAAAALLTE4ODYyNTY4MDQDAAAAAzE2MAIAAAAENDE5MgQAAAABMAcAAAAJNy8xMS8yMDI2CAAAAAk0LzMwLzIwMjYJAAAAATDj8lpvb9/eCEq04G9v394IKUNJUS5OWVNFOlNOT1cuSVFfRVBTXzFZUl9BTk5fR1JPV1RILjIwMDAuAQAAALA8ZBADAAAAAk5NAQgAAAAFAAAAATEBAAAACy0xODg2MjU2ODA0AwAAAAMxNjACAAAABDQyMDAEAAAAATAHAAAACTcvMTEvMjAyNggAAAAJNC8zMC8yMDI2CQAAAAEw4/Jab2/f3ghKtOBvb9/eCClDSVEuTllTRTpTTk9XLklRX0VQU18xWVJfQU5OX0dST1dUSC4xMDAwLgEAAACwPGQQAwAAAAJOTQEIAAAABQAAAAExAQAAAAstMTkwMDcwMDA1OAMAAAADMTYwAgAAAAQ0MjAwBAAAAAEwBwAAAAk3LzExLzIwMjYIAAAACTEvMzEvMjAyNgkAAAABMOPyWm9v394ISrTgb2/f3ggnQ0lRLk5ZU0U6U05PVy5JUV9FUFNfM1lSX0FOTl9DQUdSLjIwMDAuAQAAALA8ZBADAAAAAk5NAQgAAAAFAAAAATEBAAAACy0x</t>
  </si>
  <si>
    <t>ODg2MjU2ODA0AwAAAAMxNjACAAAABDQyMjYEAAAAATAHAAAACTcvMTEvMjAyNggAAAAJNC8zMC8yMDI2CQAAAAEw4/Jab2/f3ghKtOBvb9/eCCdDSVEuTllTRTpTTk9XLklRX0VQU181WVJfQU5OX0NBR1IuMjAwMC4BAAAAsDxkEAMAAAACTk0BCAAAAAUAAAABMQEAAAALLTE4ODYyNTY4MDQDAAAAAzE2MAIAAAAENDIzOQQAAAABMAcAAAAJNy8xMS8yMDI2CAAAAAk0LzMwLzIwMjYJAAAAATDj8lpvb9/eCNJ44G9v394IKENJUS5OWVNFOlNOT1cuSVFfVE9UQUxfREVCVF9DQVBJVEFMLjUwMC4BAAAAsDxkEAIAAAAHNTguODMyOAEIAAAABQAAAAExAQAAAAstMTg4NjI1Njg5MQMAAAADMTYwAgAAAAQ0MTg2BAAAAAEwBwAAAAk3LzExLzIwMjYIAAAACTQvMzAvMjAyNgkAAAABMOPyWm9v394I0njgb2/f3ggnQ0lRLk5ZU0U6U05PVy5JUV9UT1RBTF9ERUJUX0VRVUlUWS41MDAuAQAAALA8ZBACAAAACDE0Mi45MTE5AQgAAAAFAAAAATEBAAAACy0xODg2MjU2ODkxAwAAAAMxNjACAAAABDQwMzQEAAAAATAHAAAACTcvMTEvMjAyNggAAAAJNC8zMC8yMDI2CQAAAAEw4/Jab2/f3gjSeOBvb9/eCCdDSVEuTllTRTpTTk9XLklRX0VCSVREQV9DQVBFWF9JTlQuMjAwMC4BAAAAsDxkEAMAAAACTk0BCAAAAAUAAAABMQEAAAALLTE4ODYyNTY4MDQDAAAAAzE2MAIAAAAENDE5MQQAAAABMAcAAAAJNy8xMS8yMDI2CAAA</t>
  </si>
  <si>
    <t>AAk0LzMwLzIwMjYJAAAAATDj8lpvb9/eCEq04G9v394IIUNJUS5OWVNFOlNOT1cuSVFfRUJJVERBX0lOVC4yMDAwLgEAAACwPGQQAwAAAAJOTQEIAAAABQAAAAExAQAAAAstMTg4NjI1NjgwNAMAAAADMTYwAgAAAAQ0MTkwBAAAAAEwBwAAAAk3LzExLzIwMjYIAAAACTQvMzAvMjAyNgkAAAABMOPyWm9v394ISrTgb2/f3ggmQ0lRLk5ZU0U6U05PVy5JUV9ORVRfREVCVF9FQklUREEuMjAwMC4BAAAAsDxkEAMAAAACTk0BCAAAAAUAAAABMQEAAAALLTE4ODYyNTY4MDQDAAAAAzE2MAIAAAAENDE5MwQAAAABMAcAAAAJNy8xMS8yMDI2CAAAAAk0LzMwLzIwMjYJAAAAATDj8lpvb9/eCNJ44G9v394IIUNJUS5OWVNFOlNOT1cuSVFfUVVJQ0tfUkFUSU8uNTAwLgEAAACwPGQQAgAAAAgwLjk0MTQxOQEIAAAABQAAAAExAQAAAAstMTg4NjI1Njg5MQMAAAADMTYwAgAAAAQ0MTIxBAAAAAEwBwAAAAk3LzExLzIwMjYIAAAACTQvMzAvMjAyNgkAAAABMOPyWm9v394I0njgb2/f3ggjQ0lRLk5ZU0U6U05PVy5JUV9DVVJSRU5UX1JBVElPLjUwMC4BAAAAsDxkEAIAAAAIMS4wNTI4OTkBCAAAAAUAAAABMQEAAAALLTE4ODYyNTY4OTEDAAAAAzE2MAIAAAAENDAzMAQAAAABMAcAAAAJNy8xMS8yMDI2CAAAAAk0LzMwLzIwMjYJAAAAATDj8lpvb9/eCNJ44G9v394ILkNJUS5OWVNFOlNOT1cuSVFfUkVUVVJOX0lOVkVTVEVE</t>
  </si>
  <si>
    <t>X0NBUElUQUwuMjAwMC4BAAAAsDxkEAIAAAAILTI0LjM5NDUA4/Jab2/f3gjSeOBvb9/eCCRDSVEuTllTRTpTTk9XLklRX1JFVFVSTl9BU1NFVFMuMjAwMC4BAAAAsDxkEAIAAAAHLTkuNjc5NgEIAAAABQAAAAExAQAAAAstMTg4NjI1NjgwNAMAAAADMTYwAgAAAAQ0MTc4BAAAAAEwBwAAAAk3LzExLzIwMjYIAAAACTQvMzAvMjAyNgkAAAABMOPyWm9v394I0njgb2/f3ggkQ0lRLk5ZU0U6U05PVy5JUV9SRVRVUk5fRVFVSVRZLjIwMDAuAQAAALA8ZBACAAAACC01NC44Njg5AQgAAAAFAAAAATEBAAAACy0xODg2MjU2ODA0AwAAAAMxNjACAAAABDQxMjgEAAAAATAHAAAACTcvMTEvMjAyNggAAAAJNC8zMC8yMDI2CQAAAAEw4/Jab2/f3gjSeOBvb9/eCCJDSVEuTllTRTpTTk9XLklRX0FTU0VUX1RVUk5TLjIwMDAuAQAAALA8ZBACAAAACDAuNjAyMzEyAQgAAAAFAAAAATEBAAAACy0xODg2MjU2ODA0AwAAAAMxNjACAAAABDQxNzcEAAAAATAHAAAACTcvMTEvMjAyNggAAAAJNC8zMC8yMDI2CQAAAAEw4/Jab2/f3gjSeOBvb9/eCCZDSVEuTllTRTpTTk9XLklRX0NBU0hfQ09OVkVSU0lPTi4yMDAwLgEAAACwPGQQAwAAAAAA4/Jab2/f3gjSeOBvb9/eCCdDSVEuTllTRTpTTk9XLklRX0RBWVNfUEFZQUJMRV9PVVQuMjAwMC4BAAAAsDxkEAIAAAAJMjMuMjEzNjM1AQgAAAAFAAAAATEBAAAACy0xODg2MjU2ODA0</t>
  </si>
  <si>
    <t>AwAAAAMxNjACAAAABDQxODMEAAAAATAHAAAACTcvMTEvMjAyNggAAAAJNC8zMC8yMDI2CQAAAAEw4/Jab2/f3gjSeOBvb9/eCClDSVEuTllTRTpTTk9XLklRX0RBWVNfSU5WRU5UT1JZX09VVC4yMDAwLgEAAACwPGQQAwAAAAAA4/Jab2/f3gjSeOBvb9/eCCVDSVEuTllTRTpTTk9XLklRX0RBWVNfU0FMRVNfT1VULjIwMDAuAQAAALA8ZBACAAAACTQwLjI1OTEzNQEIAAAABQAAAAExAQAAAAstMTg4NjI1NjgwNAMAAAADMTYwAgAAAAQ0MDQyBAAAAAEwBwAAAAk3LzExLzIwMjYIAAAACTQvMzAvMjAyNgkAAAABMOPyWm9v394Ixjzgb2/f3ggmQ0lRLk5ZU0U6U05PVy5JUV9JTlZFTlRPUllfVFVSTlMuMjAwMC4BAAAAsDxkEAMAAAAAAOPyWm9v394I0njgb2/f3ggfQ0lRLk5ZU0U6U05PVy5JUV9BUl9UVVJOUy4yMDAwLgEAAACwPGQQAgAAAAg5LjA2NjIyMQEIAAAABQAAAAExAQAAAAstMTg4NjI1NjgwNAMAAAADMTYwAgAAAAQ0MDAxBAAAAAEwBwAAAAk3LzExLzIwMjYIAAAACTQvMzAvMjAyNgkAAAABMOPyWm9v394I0njgb2/f3ggoQ0lRLk5ZU0U6U05PVy5JUV9GSVhFRF9BU1NFVF9UVVJOUy4yMDAwLgEAAACwPGQQAgAAAAkxMS4yMDgwMTEBCAAAAAUAAAABMQEAAAALLTE4ODYyNTY4MDQDAAAAAzE2MAIAAAAENDA2NgQAAAABMAcAAAAJNy8xMS8yMDI2CAAAAAk0LzMwLzIwMjYJAAAAATDj8lpvb9/e</t>
  </si>
  <si>
    <t>CNJ44G9v394IKkNJUS5OWVNFOlMuSVFfRElMVVRfRVBTX0VYQ0wuMTAwMC4uLi5VU0QuSAEAAACU6YYOAgAAAAktMS4zNjU0MDMBCAAAAAUAAAABMQEAAAALLTE5MDA4NjAxOTgDAAAAAzE2MAIAAAADMTQyBAAAAAEwBwAAAAk3LzExLzIwMjYIAAAACTEvMzEvMjAyNgkAAAABMOPyWm9v394Ixjzgb2/f3ggqQ0lRLk5ZU0U6Uy5JUV9ESUxVVF9FUFNfRVhDTC4yMDAwLi4uLlVTRC5IAQAAAJTphg4CAAAACS0wLjk1ODg5NwEIAAAABQAAAAExAQAAAAstMTg4NjM5ODQ4OQMAAAADMTYwAgAAAAMxNDIEAAAAATAHAAAACTcvMTEvMjAyNggAAAAJNC8zMC8yMDI2CQAAAAEw4/Jab2/f3gjGPOBvb9/eCCJDSVEuTllTRTpTLklRX0VCSVREQS4xMDAwLi4uLlVTRC5IAQAAAJTphg4CAAAACC0yNjguMTExAQgAAAAFAAAAATEBAAAACy0xOTAwODYwMTk4AwAAAAMxNjACAAAABDQwNTEEAAAAATAHAAAACTcvMTEvMjAyNggAAAAJMS8zMS8yMDI2CQAAAAEw4/Jab2/f3gjGPOBvb9/eCCJDSVEuTllTRTpTLklRX0VCSVREQS4yMDAwLi4uLlVTRC5IAQAAAJTphg4CAAAABy0yNTkuNDkBCAAAAAUAAAABMQEAAAALLTE4ODYzOTg0ODkDAAAAAzE2MAIAAAAENDA1MQQAAAABMAcAAAAJNy8xMS8yMDI2CAAAAAk0LzMwLzIwMjYJAAAAATDj8lpvb9/eCMY84G9v394IJkNJUS5OWVNFOlMuSVFfVE9UQUxfREVCVC41MDAuLi5G</t>
  </si>
  <si>
    <t>LlVTRC5IAQAAAJTphg4CAAAAATABCAAAAAUAAAABMQEAAAALLTE4ODYzOTg3NjUDAAAAAzE2MAIAAAAENDE3MwQAAAABMAcAAAAJNy8xMS8yMDI2CAAAAAk0LzMwLzIwMjYJAAAAATDj8lpvb9/eCMY84G9v394IJ0NJUS5OWVNFOlMuSVFfUFJFRl9FUVVJVFkuNTAwLi4uRi5VU0QuSAEAAACU6YYOAwAAAAAA4/Jab2/f3gjGPOBvb9/eCDNDSVEuTllTRTpTLklRX01JTk9SSVRZX0lOVEVSRVNUX1RPVEFMLjUwMC4uLkYuVVNELkgBAAAAlOmGDgMAAAAAAOPyWm9v394Ixjzgb2/f3gglQ0lRLk5ZU0U6Uy5JUV9UT1RBTF9SRVYuMTAwMC4uLi5VU0QuSAEAAACU6YYOAgAAAAgxMDAxLjI3OAEIAAAABQAAAAExAQAAAAstMTkwMDg2MDE5OAMAAAADMTYwAgAAAAIyOAQAAAABMAcAAAAJNy8xMS8yMDI2CAAAAAkxLzMxLzIwMjYJAAAAATDj8lpvb9/eCMY84G9v394IJUNJUS5OWVNFOlMuSVFfVE9UQUxfUkVWLjIwMDAuLi4uVVNELkgBAAAAlOmGDgIAAAAIMTA0OC45MDYBCAAAAAUAAAABMQEAAAALLTE4ODYzOTg0ODkDAAAAAzE2MAIAAAACMjgEAAAAATAHAAAACTcvMTEvMjAyNggAAAAJNC8zMC8yMDI2CQAAAAEw4/Jab2/f3gjGPOBvb9/eCCpDSVEuTllTRTpTLklRX0NBU0hfU1RfSU5WRVNULjUwMC4uLkYuVVNELkgBAAAAlOmGDgIAAAAHNjU2Ljc4NwEIAAAABQAAAAExAQAAAAstMTg4NjM5ODc2NQMAAAAD</t>
  </si>
  <si>
    <t>MTYwAgAAAAQxMDAyBAAAAAEwBwAAAAk3LzExLzIwMjYIAAAACTQvMzAvMjAyNgkAAAABMOPyWm9v394Ixjzgb2/f3gglQ0lRLk5ZU0U6Uy5JUV9GSVhFRF9BU1NFVF9UVVJOUy4yMDAwLgEAAACU6YYOAgAAAAkxMi44MjM5MDkBCAAAAAUAAAABMQEAAAALLTE4ODYzOTg0ODkDAAAAAzE2MAIAAAAENDA2NgQAAAABMAcAAAAJNy8xMS8yMDI2CAAAAAk0LzMwLzIwMjYJAAAAATDj8lpvb9/eCCEB4G9v394IHENJUS5OWVNFOlMuSVFfQVJfVFVSTlMuMjAwMC4BAAAAlOmGDgIAAAAINi4yNDkxMDQBCAAAAAUAAAABMQEAAAALLTE4ODYzOTg0ODkDAAAAAzE2MAIAAAAENDAwMQQAAAABMAcAAAAJNy8xMS8yMDI2CAAAAAk0LzMwLzIwMjYJAAAAATDj8lpvb9/eCCEB4G9v394II0NJUS5OWVNFOlMuSVFfSU5WRU5UT1JZX1RVUk5TLjIwMDAuAQAAAJTphg4DAAAAAADj8lpvb9/eCCEB4G9v394IIkNJUS5OWVNFOlMuSVFfREFZU19TQUxFU19PVVQuMjAwMC4BAAAAlOmGDgIAAAAINTguNDA4MDMBCAAAAAUAAAABMQEAAAALLTE4ODYzOTg0ODkDAAAAAzE2MAIAAAAENDA0MgQAAAABMAcAAAAJNy8xMS8yMDI2CAAAAAk0LzMwLzIwMjYJAAAAATDj8lpvb9/eCCEB4G9v394IJkNJUS5OWVNFOlMuSVFfREFZU19JTlZFTlRPUllfT1VULjIwMDAuAQAAAJTphg4DAAAAAADj8lpvb9/eCCEB4G9v394IJENJUS5OWVNFOlMu</t>
  </si>
  <si>
    <t>SVFfREFZU19QQVlBQkxFX09VVC4yMDAwLgEAAACU6YYOAgAAAAgxOC45ODgwMwEIAAAABQAAAAExAQAAAAstMTg4NjM5ODQ4OQMAAAADMTYwAgAAAAQ0MTgzBAAAAAEwBwAAAAk3LzExLzIwMjYIAAAACTQvMzAvMjAyNgkAAAABMOPyWm9v394IIQHgb2/f3ggjQ0lRLk5ZU0U6Uy5JUV9DQVNIX0NPTlZFUlNJT04uMjAwMC4BAAAAlOmGDgMAAAAAAOPyWm9v394IIQHgb2/f3ggfQ0lRLk5ZU0U6Uy5JUV9BU1NFVF9UVVJOUy4yMDAwLgEAAACU6YYOAgAAAAgwLjQ0MjU1MwEIAAAABQAAAAExAQAAAAstMTg4NjM5ODQ4OQMAAAADMTYwAgAAAAQ0MTc3BAAAAAEwBwAAAAk3LzExLzIwMjYIAAAACTQvMzAvMjAyNgkAAAABMOPyWm9v394IIQHgb2/f3gghQ0lRLk5ZU0U6Uy5JUV9SRVRVUk5fRVFVSVRZLjIwMDAuAQAAAJTphg4CAAAACC0yMS4zNTYyAQgAAAAFAAAAATEBAAAACy0xODg2Mzk4NDg5AwAAAAMxNjACAAAABDQxMjgEAAAAATAHAAAACTcvMTEvMjAyNggAAAAJNC8zMC8yMDI2CQAAAAEw4/Jab2/f3gghAeBvb9/eCCFDSVEuTllTRTpTLklRX1JFVFVSTl9BU1NFVFMuMjAwMC4BAAAAlOmGDgIAAAAHLTcuOTQyOQEIAAAABQAAAAExAQAAAAstMTg4NjM5ODQ4OQMAAAADMTYwAgAAAAQ0MTc4BAAAAAEwBwAAAAk3LzExLzIwMjYIAAAACTQvMzAvMjAyNgkAAAABMOPyWm9v394IIQHgb2/f3ggrQ0lRLk5Z</t>
  </si>
  <si>
    <t>U0U6Uy5JUV9SRVRVUk5fSU5WRVNURURfQ0FQSVRBTC4yMDAwLgEAAACU6YYOAgAAAAgtMjEuMjY2NwDj8lpvb9/eCCEB4G9v394IIENJUS5OWVNFOlMuSVFfQ1VSUkVOVF9SQVRJTy41MDAuAQAAAJTphg4CAAAACDEuNDM2Njg0AQgAAAAFAAAAATEBAAAACy0xODg2Mzk4NzY1AwAAAAMxNjACAAAABDQwMzAEAAAAATAHAAAACTcvMTEvMjAyNggAAAAJNC8zMC8yMDI2CQAAAAEw4/Jab2/f3gghAeBvb9/eCB5DSVEuTllTRTpTLklRX1FVSUNLX1JBVElPLjUwMC4BAAAAlOmGDgIAAAAIMS4yNDU3MjMBCAAAAAUAAAABMQEAAAALLTE4ODYzOTg3NjUDAAAAAzE2MAIAAAAENDEyMQQAAAABMAcAAAAJNy8xMS8yMDI2CAAAAAk0LzMwLzIwMjYJAAAAATDj8lpvb9/eCCEB4G9v394II0NJUS5OWVNFOlMuSVFfTkVUX0RFQlRfRUJJVERBLjIwMDAuAQAAAJTphg4DAAAAAk5NAQgAAAAFAAAAATEBAAAACy0xODg2Mzk4NDg5AwAAAAMxNjACAAAABDQxOTMEAAAAATAHAAAACTcvMTEvMjAyNggAAAAJNC8zMC8yMDI2CQAAAAEw4/Jab2/f3gghAeBvb9/eCB5DSVEuTllTRTpTLklRX0VCSVREQV9JTlQuMjAwMC4BAAAAlOmGDgMAAAAAAOPyWm9v394IIQHgb2/f3ggkQ0lRLk5ZU0U6Uy5JUV9FQklUREFfQ0FQRVhfSU5ULjIwMDAuAQAAAJTphg4DAAAAAADj8lpvb9/eCBDt329v394IJENJUS5OWVNFOlMuSVFfVE9UQUxf</t>
  </si>
  <si>
    <t>REVCVF9FUVVJVFkuNTAwLgEAAACU6YYOAwAAAAAA4/Jab2/f3ggQ7d9vb9/eCCVDSVEuTllTRTpTLklRX1RPVEFMX0RFQlRfQ0FQSVRBTC41MDAuAQAAAJTphg4DAAAAAADj8lpvb9/eCCEB4G9v394IJENJUS5OWVNFOlMuSVFfRVBTXzVZUl9BTk5fQ0FHUi4yMDAwLgEAAACU6YYOAwAAAAJOTQEIAAAABQAAAAExAQAAAAstMTg4NjM5ODQ4OQMAAAADMTYwAgAAAAQ0MjM5BAAAAAEwBwAAAAk3LzExLzIwMjYIAAAACTQvMzAvMjAyNgkAAAABMOPyWm9v394IIQHgb2/f3ggkQ0lRLk5ZU0U6Uy5JUV9FUFNfM1lSX0FOTl9DQUdSLjIwMDAuAQAAAJTphg4DAAAAAk5NAQgAAAAFAAAAATEBAAAACy0xODg2Mzk4NDg5AwAAAAMxNjACAAAABDQyMjYEAAAAATAHAAAACTcvMTEvMjAyNggAAAAJNC8zMC8yMDI2CQAAAAEw4/Jab2/f3gghAeBvb9/eCCZDSVEuTllTRTpTLklRX0VQU18xWVJfQU5OX0dST1dUSC4xMDAwLgEAAACU6YYOAwAAAAJOTQEIAAAABQAAAAExAQAAAAstMTkwMDg2MDE5OAMAAAADMTYwAgAAAAQ0MjAwBAAAAAEwBwAAAAk3LzExLzIwMjYIAAAACTEvMzEvMjAyNgkAAAABMOPyWm9v394IEO3fb2/f3ggmQ0lRLk5ZU0U6Uy5JUV9FUFNfMVlSX0FOTl9HUk9XVEguMjAwMC4BAAAAlOmGDgMAAAACTk0BCAAAAAUAAAABMQEAAAALLTE4ODYzOTg0ODkDAAAAAzE2MAIAAAAENDIwMAQAAAABMAcAAAAJ</t>
  </si>
  <si>
    <t>Ny8xMS8yMDI2CAAAAAk0LzMwLzIwMjYJAAAAATDj8lpvb9/eCBDt329v394IJUNJUS5OWVNFOlMuSVFfVE9UQUxfREVCVF9FQklUREEuMjAwMC4BAAAAlOmGDgMAAAAAAOPyWm9v394IEO3fb2/f3ggsQ0lRLk5ZU0U6Uy5JUV9UT1RBTF9SRVZfMVlSX0FOTl9HUk9XVEguMjAwMC4BAAAAlOmGDgIAAAAHMjEuMzgyMQEIAAAABQAAAAExAQAAAAstMTg4NjM5ODQ4OQMAAAADMTYwAgAAAAQ0MTk0BAAAAAEwBwAAAAk3LzExLzIwMjYIAAAACTQvMzAvMjAyNgkAAAABMOPyWm9v394IEO3fb2/f3ggnQ0lRLk5ZU0U6Uy5JUV9FQklUREFfNVlSX0FOTl9DQUdSLjIwMDAuAQAAAJTphg4DAAAAAk5NAQgAAAAFAAAAATEBAAAACy0xODg2Mzk4NDg5AwAAAAMxNjACAAAABDQyMzUEAAAAATAHAAAACTcvMTEvMjAyNggAAAAJNC8zMC8yMDI2CQAAAAEw4/Jab2/f3ggQ7d9vb9/eCCdDSVEuTllTRTpTLklRX0VCSVREQV8zWVJfQU5OX0NBR1IuMjAwMC4BAAAAlOmGDgMAAAACTk0BCAAAAAUAAAABMQEAAAALLTE4ODYzOTg0ODkDAAAAAzE2MAIAAAAENDIyMgQAAAABMAcAAAAJNy8xMS8yMDI2CAAAAAk0LzMwLzIwMjYJAAAAATDj8lpvb9/eCD7Z329v394IKUNJUS5OWVNFOlMuSVFfRUJJVERBXzFZUl9BTk5fR1JPV1RILjEwMDAuAQAAAJTphg4DAAAAAk5NAQgAAAAFAAAAATEBAAAACy0xOTAwODYwMTk4AwAAAAMxNjAC</t>
  </si>
  <si>
    <t>AAAABDQxOTYEAAAAATAHAAAACTcvMTEvMjAyNggAAAAJMS8zMS8yMDI2CQAAAAEw4/Jab2/f3gg+2d9vb9/eCClDSVEuTllTRTpTLklRX0VCSVREQV8xWVJfQU5OX0dST1dUSC4yMDAwLgEAAACU6YYOAwAAAAJOTQEIAAAABQAAAAExAQAAAAstMTg4NjM5ODQ4OQMAAAADMTYwAgAAAAQ0MTk2BAAAAAEwBwAAAAk3LzExLzIwMjYIAAAACTQvMzAvMjAyNgkAAAABMOPyWm9v394IPtnfb2/f3ggdQ0lRLk5ZU0U6Uy5JUV9OSV9NQVJHSU4uMTAwMC4BAAAAlOmGDgIAAAAILTQ1LjAxNTkBCAAAAAUAAAABMQEAAAALLTE5MDA4NjAxOTgDAAAAAzE2MAIAAAAENDA5NAQAAAABMAcAAAAJNy8xMS8yMDI2CAAAAAkxLzMxLzIwMjYJAAAAATDj8lpvb9/eCD7Z329v394IHUNJUS5OWVNFOlMuSVFfTklfTUFSR0lOLjIwMDAuAQAAAJTphg4CAAAACC0zMC4zODQ2AQgAAAAFAAAAATEBAAAACy0xODg2Mzk4NDg5AwAAAAMxNjACAAAABDQwOTQEAAAAATAHAAAACTcvMTEvMjAyNggAAAAJNC8zMC8yMDI2CQAAAAEw4/Jab2/f3gg+2d9vb9/eCCpDSVEuTllTRTpTLklRX1RPVEFMX1JFVl81WVJfQU5OX0NBR1IuMjAwMC4BAAAAlOmGDgIAAAAHNTYuMjg2NQEIAAAABQAAAAExAQAAAAstMTg4NjM5ODQ4OQMAAAADMTYwAgAAAAQ0MjMzBAAAAAEwBwAAAAk3LzExLzIwMjYIAAAACTQvMzAvMjAyNgkAAAABMOPyWm9v394IaMXf</t>
  </si>
  <si>
    <t>b2/f3ggqQ0lRLk5ZU0U6Uy5JUV9UT1RBTF9SRVZfM1lSX0FOTl9DQUdSLjIwMDAuAQAAAJTphg4CAAAABzMwLjAwOTkBCAAAAAUAAAABMQEAAAALLTE4ODYzOTg0ODkDAAAAAzE2MAIAAAAENDIyMAQAAAABMAcAAAAJNy8xMS8yMDI2CAAAAAk0LzMwLzIwMjYJAAAAATDj8lpvb9/eCGjF329v394ILENJUS5OWVNFOlMuSVFfVE9UQUxfUkVWXzFZUl9BTk5fR1JPV1RILjEwMDAuAQAAAJTphg4CAAAABzIxLjg4OTkBCAAAAAUAAAABMQEAAAALLTE5MDA4NjAxOTgDAAAAAzE2MAIAAAAENDE5NAQAAAABMAcAAAAJNy8xMS8yMDI2CAAAAAkxLzMxLzIwMjYJAAAAATDj8lpvb9/eCGjF329v394IIENJUS5OWVNFOlMuSVFfRUJJVERBX01BUkdJTi45OTkuAQAAAJTphg4CAAAACC0zNi4zODU1AQgAAAAFAAAAATEBAAAACy0xOTAwODYwMTk5AwAAAAMxNjACAAAABDQwNDcEAAAAATAHAAAACTcvMTEvMjAyNggAAAAJMS8zMS8yMDI1CQAAAAEw4/Jab2/f3ghoxd9vb9/eCCFDSVEuTllTRTpTLklRX0VCSVREQV9NQVJHSU4uMTAwMC4BAAAAlOmGDgIAAAAILTI2Ljc3NjgBCAAAAAUAAAABMQEAAAALLTE5MDA4NjAxOTgDAAAAAzE2MAIAAAAENDA0NwQAAAABMAcAAAAJNy8xMS8yMDI2CAAAAAkxLzMxLzIwMjYJAAAAATDj8lpvb9/eCGjF329v394IIUNJUS5OWVNFOlMuSVFfRUJJVERBX01BUkdJTi4yMDAwLgEAAACU</t>
  </si>
  <si>
    <t>6YYOAgAAAAgtMjQuNzM5MQEIAAAABQAAAAExAQAAAAstMTg4NjM5ODQ4OQMAAAADMTYwAgAAAAQ0MDQ3BAAAAAEwBwAAAAk3LzExLzIwMjYIAAAACTQvMzAvMjAyNgkAAAABMOPyWm9v394I953fb2/f3ggcQ0lRLk5ZU0U6Uy5JUV9OSV9NQVJHSU4uOTk4LgEAAACU6YYOAgAAAAgtNTQuNTI2NAEIAAAABQAAAAExAQAAAAstMTkwMDg2MDIwMAMAAAADMTYwAgAAAAQ0MDk0BAAAAAEwBwAAAAk3LzExLzIwMjYIAAAACTEvMzEvMjAyNAkAAAABMOPyWm9v394I953fb2/f3ggcQ0lRLk5ZU0U6Uy5JUV9OSV9NQVJHSU4uOTk5LgEAAACU6YYOAgAAAAgtMzUuMTEzMQEIAAAABQAAAAExAQAAAAstMTkwMDg2MDE5OQMAAAADMTYwAgAAAAQ0MDk0BAAAAAEwBwAAAAk3LzExLzIwMjYIAAAACTEvMzEvMjAyNQkAAAABMOPyWm9v394I953fb2/f3ggfQ0lRLk5ZU0U6Uy5JUV9HUk9TU19NQVJHSU4uOTk4LgEAAACU6YYOAgAAAAc3MS4yNTMzAQgAAAAFAAAAATEBAAAACy0xOTAwODYwMjAwAwAAAAMxNjACAAAABDQwNzQEAAAAATAHAAAACTcvMTEvMjAyNggAAAAJMS8zMS8yMDI0CQAAAAEw4/Jab2/f3gj3nd9vb9/eCB9DSVEuTllTRTpTLklRX0dST1NTX01BUkdJTi45OTkuAQAAAJTphg4CAAAABzc0LjMwMTEBCAAAAAUAAAABMQEAAAALLTE5MDA4NjAxOTkDAAAAAzE2MAIAAAAENDA3NAQAAAABMAcAAAAJNy8xMS8y</t>
  </si>
  <si>
    <t>MDI2CAAAAAkxLzMxLzIwMjUJAAAAATDj8lpvb9/eCPed329v394IIENJUS5OWVNFOlMuSVFfR1JPU1NfTUFSR0lOLjEwMDAuAQAAAJTphg4CAAAABzc0LjExNTMBCAAAAAUAAAABMQEAAAALLTE5MDA4NjAxOTgDAAAAAzE2MAIAAAAENDA3NAQAAAABMAcAAAAJNy8xMS8yMDI2CAAAAAkxLzMxLzIwMjYJAAAAATDj8lpvb9/eCPed329v394IIENJUS5OWVNFOlMuSVFfR1JPU1NfTUFSR0lOLjIwMDAuAQAAAJTphg4CAAAABzczLjI0NzMBCAAAAAUAAAABMQEAAAALLTE4ODYzOTg0ODkDAAAAAzE2MAIAAAAENDA3NAQAAAABMAcAAAAJNy8xMS8yMDI2CAAAAAk0LzMwLzIwMjYJAAAAATDj8lpvb9/eCPed329v394IIENJUS5OWVNFOlMuSVFfRUJJVERBX01BUkdJTi45OTguAQAAAJTphg4CAAAACC01NC42MDQ0AQgAAAAFAAAAATEBAAAACy0xOTAwODYwMjAwAwAAAAMxNjACAAAABDQwNDcEAAAAATAHAAAACTcvMTEvMjAyNggAAAAJMS8zMS8yMDI0CQAAAAEw4/Jab2/f3gj3nd9vb9/eCB5DSVEuTllTRTpTLklRX1BFUklPRERBVEUuMTAwMC4BAAAAlOmGDgUAAAAKMzEvMDEvMjAyNgDj8lpvb9/eCGxN329v394IHkNJUS5OWVNFOlMuSVFfUEVSSU9EREFURS4yMDAwLgEAAACU6YYOBQAAAAozMC8wNC8yMDI2AOPyWm9v394IPmHfb2/f3ggxQ0lRLk5BU0RBUUdTOk5WREEuSVFfRElMVVRfRVBTX0VYQ0wuMTAw</t>
  </si>
  <si>
    <t>MC4uLi5VU0QuSAEAAAAzfgAAAgAAAAM0LjkBCAAAAAUAAAABMQEAAAALLTE5MDUwODE3NTcDAAAAAzE2MAIAAAADMTQyBAAAAAEwBwAAAAk3LzExLzIwMjYIAAAACTEvMjUvMjAyNgkAAAABMOPyWm9v394ICybfb2/f3ggxQ0lRLk5BU0RBUUdTOk5WREEuSVFfRElMVVRfRVBTX0VYQ0wuMjAwMC4uLi5VU0QuSAEAAAAzfgAAAgAAAAc2LjUyOTY1AQgAAAAFAAAAATEBAAAACy0xODg3ODk0NDQ0AwAAAAMxNjACAAAAAzE0MgQAAAABMAcAAAAJNy8xMS8yMDI2CAAAAAk0LzI2LzIwMjYJAAAAATDj8lpvb9/eCAsm329v394ILENJUS5OQVNEQVFHUzpOVkRBLklRX1RPVEFMX1JFVi4yMDAwLi4uLlVTRC5IAQAAADN+AAACAAAABjI1MzQ5MQEIAAAABQAAAAExAQAAAAstMTg4Nzg5NDQ0NAMAAAADMTYwAgAAAAIyOAQAAAABMAcAAAAJNy8xMS8yMDI2CAAAAAk0LzI2LzIwMjYJAAAAATDj8lpvb9/eCGxN329v394IKUNJUS5OQVNEQVFHUzpOVkRBLklRX0VCSVREQS4xMDAwLi4uLlVTRC5IAQAAADN+AAACAAAABjEzMzIzMAEIAAAABQAAAAExAQAAAAstMTkwNTA4MTc1NwMAAAADMTYwAgAAAAQ0MDUxBAAAAAEwBwAAAAk3LzExLzIwMjYIAAAACTEvMjUvMjAyNgkAAAABMOPyWm9v394ICybfb2/f3ggpQ0lRLk5BU0RBUUdTOk5WREEuSVFfRUJJVERBLjIwMDAuLi4uVVNELkgBAAAAM34AAAIAAAAGMTY1NTE0AQgA</t>
  </si>
  <si>
    <t>AAAFAAAAATEBAAAACy0xODg3ODk0NDQ0AwAAAAMxNjACAAAABDQwNTEEAAAAATAHAAAACTcvMTEvMjAyNggAAAAJNC8yNi8yMDI2CQAAAAEw4/Jab2/f3ggLJt9vb9/eCDFDSVEuTkFTREFRR1M6TlZEQS5JUV9DQVNIX1NUX0lOVkVTVC41MDAuLi5GLlVTRC5IAQAAADN+AAACAAAABTUzMTcyAQgAAAAFAAAAATEBAAAACy0xODg3ODk3MzIwAwAAAAMxNjACAAAABDEwMDIEAAAAATAHAAAACTcvMTEvMjAyNggAAAAJNC8yNi8yMDI2CQAAAAEw4/Jab2/f3ggLJt9vb9/eCC1DSVEuTkFTREFRR1M6TlZEQS5JUV9UT1RBTF9ERUJULjUwMC4uLkYuVVNELkgBAAAAM34AAAIAAAAFMTI4MTQBCAAAAAUAAAABMQEAAAALLTE4ODc4OTczMjADAAAAAzE2MAIAAAAENDE3MwQAAAABMAcAAAAJNy8xMS8yMDI2CAAAAAk0LzI2LzIwMjYJAAAAATDj8lpvb9/eCAsm329v394ILkNJUS5OQVNEQVFHUzpOVkRBLklRX1BSRUZfRVFVSVRZLjUwMC4uLkYuVVNELkgBAAAAM34AAAMAAAAAAOPyWm9v394ITRLfb2/f3gg6Q0lRLk5BU0RBUUdTOk5WREEuSVFfTUlOT1JJVFlfSU5URVJFU1RfVE9UQUwuNTAwLi4uRi5VU0QuSAEAAAAzfgAAAwAAAAAA4/Jab2/f3ghNEt9vb9/eCCxDSVEuTkFTREFRR1M6TlZEQS5JUV9UT1RBTF9SRVYuMTAwMC4uLi5VU0QuSAEAAAAzfgAAAgAAAAYyMTU5MzgBCAAAAAUAAAABMQEAAAALLTE5MDUw</t>
  </si>
  <si>
    <t>ODE3NTcDAAAAAzE2MAIAAAACMjgEAAAAATAHAAAACTcvMTEvMjAyNggAAAAJMS8yNS8yMDI2CQAAAAEw4/Jab2/f3ghNEt9vb9/eCCpDSVEuTkFTREFRR1M6TlZEQS5JUV9DQVNIX0NPTlZFUlNJT04uMjAwMC4BAAAAM34AAAIAAAAKMTAxLjc1NTgzNgEIAAAABQAAAAExAQAAAAstMTg4Nzg5NDQ0NAMAAAADMTYwAgAAAAQ0MTg0BAAAAAEwBwAAAAk3LzExLzIwMjYIAAAACTQvMjYvMjAyNgkAAAABMOPyWm9v394I6Oreb2/f3ggmQ0lRLk5BU0RBUUdTOk5WREEuSVFfQVNTRVRfVFVSTlMuMjAwMC4BAAAAM34AAAIAAAAIMS4zMTc3NjcBCAAAAAUAAAABMQEAAAALLTE4ODc4OTQ0NDQDAAAAAzE2MAIAAAAENDE3NwQAAAABMAcAAAAJNy8xMS8yMDI2CAAAAAk0LzI2LzIwMjYJAAAAATDj8lpvb9/eCOjq3m9v394ILENJUS5OQVNEQVFHUzpOVkRBLklRX0ZJWEVEX0FTU0VUX1RVUk5TLjIwMDAuAQAAADN+AAACAAAACDE5Ljc5ODU3AQgAAAAFAAAAATEBAAAACy0xODg3ODk0NDQ0AwAAAAMxNjACAAAABDQwNjYEAAAAATAHAAAACTcvMTEvMjAyNggAAAAJNC8yNi8yMDI2CQAAAAEw4/Jab2/f3gg81t5vb9/eCCNDSVEuTkFTREFRR1M6TlZEQS5JUV9BUl9UVVJOUy4yMDAwLgEAAAAzfgAAAgAAAAg4LjA2NzU2NgEIAAAABQAAAAExAQAAAAstMTg4Nzg5NDQ0NAMAAAADMTYwAgAAAAQ0MDAxBAAAAAEwBwAAAAk3</t>
  </si>
  <si>
    <t>LzExLzIwMjYIAAAACTQvMjYvMjAyNgkAAAABMOPyWm9v394IPNbeb2/f3ggqQ0lRLk5BU0RBUUdTOk5WREEuSVFfSU5WRU5UT1JZX1RVUk5TLjIwMDAuAQAAADN+AAACAAAACDMuNTMwMjQ1AQgAAAAFAAAAATEBAAAACy0xODg3ODk0NDQ0AwAAAAMxNjACAAAABDQwODIEAAAAATAHAAAACTcvMTEvMjAyNggAAAAJNC8yNi8yMDI2CQAAAAEw4/Jab2/f3gg81t5vb9/eCCdDSVEuTkFTREFRR1M6TlZEQS5JUV9DVVJSRU5UX1JBVElPLjUwMC4BAAAAM34AAAIAAAAIMy40NDA3NzUBCAAAAAUAAAABMQEAAAALLTE4ODc4OTczMjADAAAAAzE2MAIAAAAENDAzMAQAAAABMAcAAAAJNy8xMS8yMDI2CAAAAAk0LzI2LzIwMjYJAAAAATDj8lpvb9/eCOjq3m9v394IJUNJUS5OQVNEQVFHUzpOVkRBLklRX1FVSUNLX1JBVElPLjUwMC4BAAAAM34AAAIAAAAIMi4xMzkzMjEBCAAAAAUAAAABMQEAAAALLTE4ODc4OTczMjADAAAAAzE2MAIAAAAENDEyMQQAAAABMAcAAAAJNy8xMS8yMDI2CAAAAAk0LzI2LzIwMjYJAAAAATDj8lpvb9/eCOjq3m9v394IKUNJUS5OQVNEQVFHUzpOVkRBLklRX0RBWVNfU0FMRVNfT1VULjIwMDAuAQAAADN+AAACAAAACTQ1LjExODg5MgEIAAAABQAAAAExAQAAAAstMTg4Nzg5NDQ0NAMAAAADMTYwAgAAAAQ0MDQyBAAAAAEwBwAAAAk3LzExLzIwMjYIAAAACTQvMjYvMjAyNgkAAAABMOPyWm9v</t>
  </si>
  <si>
    <t>394I15neb2/f3ggtQ0lRLk5BU0RBUUdTOk5WREEuSVFfREFZU19JTlZFTlRPUllfT1VULjIwMDAuAQAAADN+AAACAAAACjEwMy4xMDg4MjQBCAAAAAUAAAABMQEAAAALLTE4ODc4OTQ0NDQDAAAAAzE2MAIAAAAENDAzNQQAAAABMAcAAAAJNy8xMS8yMDI2CAAAAAk0LzI2LzIwMjYJAAAAATDj8lpvb9/eCNeZ3m9v394IK0NJUS5OQVNEQVFHUzpOVkRBLklRX0RBWVNfUEFZQUJMRV9PVVQuMjAwMC4BAAAAM34AAAIAAAAINDYuNDcxODgBCAAAAAUAAAABMQEAAAALLTE4ODc4OTQ0NDQDAAAAAzE2MAIAAAAENDE4MwQAAAABMAcAAAAJNy8xMS8yMDI2CAAAAAk0LzI2LzIwMjYJAAAAATDj8lpvb9/eCDzW3m9v394IK0NJUS5OQVNEQVFHUzpOVkRBLklRX1RPVEFMX0RFQlRfRVFVSVRZLjUwMC4BAAAAM34AAAIAAAAGNi41NTUzAQgAAAAFAAAAATEBAAAACy0xODg3ODk3MzIwAwAAAAMxNjACAAAABDQwMzQEAAAAATAHAAAACTcvMTEvMjAyNggAAAAJNC8yNi8yMDI2CQAAAAEw4/Jab2/f3gg81t5vb9/eCCxDSVEuTkFTREFRR1M6TlZEQS5JUV9UT1RBTF9ERUJUX0NBUElUQUwuNTAwLgEAAAAzfgAAAgAAAAU2LjE1MgEIAAAABQAAAAExAQAAAAstMTg4Nzg5NzMyMAMAAAADMTYwAgAAAAQ0MTg2BAAAAAEwBwAAAAk3LzExLzIwMjYIAAAACTQvMjYvMjAyNgkAAAABMOPyWm9v394IPNbeb2/f3ggoQ0lRLk5BU0RB</t>
  </si>
  <si>
    <t>UUdTOk5WREEuSVFfUkVUVVJOX0VRVUlUWS4yMDAwLgEAAAAzfgAAAgAAAAcxMTQuMjg4AQgAAAAFAAAAATEBAAAACy0xODg3ODk0NDQ0AwAAAAMxNjACAAAABDQxMjgEAAAAATAHAAAACTcvMTEvMjAyNggAAAAJNC8yNi8yMDI2CQAAAAEw4/Jab2/f3gjXmd5vb9/eCChDSVEuTkFTREFRR1M6TlZEQS5JUV9SRVRVUk5fQVNTRVRTLjIwMDAuAQAAADN+AAACAAAABzUyLjcyNzEBCAAAAAUAAAABMQEAAAALLTE4ODc4OTQ0NDQDAAAAAzE2MAIAAAAENDE3OAQAAAABMAcAAAAJNy8xMS8yMDI2CAAAAAk0LzI2LzIwMjYJAAAAATDj8lpvb9/eCNeZ3m9v394IMkNJUS5OQVNEQVFHUzpOVkRBLklRX1JFVFVSTl9JTlZFU1RFRF9DQVBJVEFMLjIwMDAuAQAAADN+AAACAAAABzEwNC45MTUA4/Jab2/f3gjXmd5vb9/eCC1DSVEuTkFTREFRR1M6TlZEQS5JUV9FUFNfMVlSX0FOTl9HUk9XVEguMjAwMC4BAAAAM34AAAIAAAAIMTEwLjU4NDYBCAAAAAUAAAABMQEAAAALLTE4ODc4OTQ0NDQDAAAAAzE2MAIAAAAENDIwMAQAAAABMAcAAAAJNy8xMS8yMDI2CAAAAAk0LzI2LzIwMjYJAAAAATDj8lpvb9/eCNeZ3m9v394ILENJUS5OQVNEQVFHUzpOVkRBLklRX1RPVEFMX0RFQlRfRUJJVERBLjIwMDAuAQAAADN+AAACAAAACDAuMDc3MTcxAQgAAAAFAAAAATEBAAAACy0xODg3ODk0NDQ0AwAAAAMxNjACAAAABDQxOTIEAAAA</t>
  </si>
  <si>
    <t>ATAHAAAACTcvMTEvMjAyNggAAAAJNC8yNi8yMDI2CQAAAAEw4/Jab2/f3gjXmd5vb9/eCCpDSVEuTkFTREFRR1M6TlZEQS5JUV9ORVRfREVCVF9FQklUREEuMjAwMC4BAAAAM34AAAMAAAACTk0BCAAAAAUAAAABMQEAAAALLTE4ODc4OTQ0NDQDAAAAAzE2MAIAAAAENDE5MwQAAAABMAcAAAAJNy8xMS8yMDI2CAAAAAk0LzI2LzIwMjYJAAAAATDj8lpvb9/eCGVd3m9v394IJUNJUS5OQVNEQVFHUzpOVkRBLklRX0VCSVREQV9JTlQuMjAwMC4BAAAAM34AAAIAAAAKNTU3LjIwMTM0MgEIAAAABQAAAAExAQAAAAstMTg4Nzg5NDQ0NAMAAAADMTYwAgAAAAQ0MTkwBAAAAAEwBwAAAAk3LzExLzIwMjYIAAAACTQvMjYvMjAyNgkAAAABMOPyWm9v394I15neb2/f3ggrQ0lRLk5BU0RBUUdTOk5WREEuSVFfRUJJVERBX0NBUEVYX0lOVC4yMDAwLgEAAAAzfgAAAgAAAAo1MzUuMTQ3NjUxAQgAAAAFAAAAATEBAAAACy0xODg3ODk0NDQ0AwAAAAMxNjACAAAABDQxOTEEAAAAATAHAAAACTcvMTEvMjAyNggAAAAJNC8yNi8yMDI2CQAAAAEw4/Jab2/f3gjXmd5vb9/eCDBDSVEuTkFTREFRR1M6TlZEQS5JUV9FQklUREFfMVlSX0FOTl9HUk9XVEguMTAwMC4BAAAAM34AAAIAAAAHNTkuOTA3MwEIAAAABQAAAAExAQAAAAstMTkwNTA4MTc1NwMAAAADMTYwAgAAAAQ0MTk2BAAAAAEwBwAAAAk3LzExLzIwMjYIAAAACTEvMjUv</t>
  </si>
  <si>
    <t>MjAyNgkAAAABMOPyWm9v394I15neb2/f3ggwQ0lRLk5BU0RBUUdTOk5WREEuSVFfRUJJVERBXzFZUl9BTk5fR1JPV1RILjIwMDAuAQAAADN+AAACAAAABzg3LjU1NzYBCAAAAAUAAAABMQEAAAALLTE4ODc4OTQ0NDQDAAAAAzE2MAIAAAAENDE5NgQAAAABMAcAAAAJNy8xMS8yMDI2CAAAAAk0LzI2LzIwMjYJAAAAATDj8lpvb9/eCNeZ3m9v394IK0NJUS5OQVNEQVFHUzpOVkRBLklRX0VQU181WVJfQU5OX0NBR1IuMjAwMC4BAAAAM34AAAIAAAAHOTguNDM1NwEIAAAABQAAAAExAQAAAAstMTg4Nzg5NDQ0NAMAAAADMTYwAgAAAAQ0MjM5BAAAAAEwBwAAAAk3LzExLzIwMjYIAAAACTQvMjYvMjAyNgkAAAABMOPyWm9v394IZV3eb2/f3ggrQ0lRLk5BU0RBUUdTOk5WREEuSVFfRVBTXzNZUl9BTk5fQ0FHUi4yMDAwLgEAAAAzfgAAAgAAAAgyMjUuMzYxMgEIAAAABQAAAAExAQAAAAstMTg4Nzg5NDQ0NAMAAAADMTYwAgAAAAQ0MjI2BAAAAAEwBwAAAAk3LzExLzIwMjYIAAAACTQvMjYvMjAyNgkAAAABMOPyWm9v394IZV3eb2/f3ggtQ0lRLk5BU0RBUUdTOk5WREEuSVFfRVBTXzFZUl9BTk5fR1JPV1RILjEwMDAuAQAAADN+AAACAAAABzY2LjY2NjYBCAAAAAUAAAABMQEAAAALLTE5MDUwODE3NTcDAAAAAzE2MAIAAAAENDIwMAQAAAABMAcAAAAJNy8xMS8yMDI2CAAAAAkxLzI1LzIwMjYJAAAAATDj8lpvb9/e</t>
  </si>
  <si>
    <t>CGVd3m9v394IMUNJUS5OQVNEQVFHUzpOVkRBLklRX1RPVEFMX1JFVl8zWVJfQU5OX0NBR1IuMjAwMC4BAAAAM34AAAIAAAAIMTEzLjk2NTYBCAAAAAUAAAABMQEAAAALLTE4ODc4OTQ0NDQDAAAAAzE2MAIAAAAENDIyMAQAAAABMAcAAAAJNy8xMS8yMDI2CAAAAAk0LzI2LzIwMjYJAAAAATDj8lpvb9/eCGVd3m9v394IM0NJUS5OQVNEQVFHUzpOVkRBLklRX1RPVEFMX1JFVl8xWVJfQU5OX0dST1dUSC4xMDAwLgEAAAAzfgAAAgAAAAc2NS40NzM1AQgAAAAFAAAAATEBAAAACy0xOTA1MDgxNzU3AwAAAAMxNjACAAAABDQxOTQEAAAAATAHAAAACTcvMTEvMjAyNggAAAAJMS8yNS8yMDI2CQAAAAEw4/Jab2/f3ghlXd5vb9/eCDNDSVEuTkFTREFRR1M6TlZEQS5JUV9UT1RBTF9SRVZfMVlSX0FOTl9HUk9XVEguMjAwMC4BAAAAM34AAAIAAAAHNzAuNjgzNwEIAAAABQAAAAExAQAAAAstMTg4Nzg5NDQ0NAMAAAADMTYwAgAAAAQ0MTk0BAAAAAEwBwAAAAk3LzExLzIwMjYIAAAACTQvMjYvMjAyNgkAAAABMOPyWm9v394IZV3eb2/f3gguQ0lRLk5BU0RBUUdTOk5WREEuSVFfRUJJVERBXzVZUl9BTk5fQ0FHUi4yMDAwLgEAAAAzfgAAAgAAAAc4OC40MDA5AQgAAAAFAAAAATEBAAAACy0xODg3ODk0NDQ0AwAAAAMxNjACAAAABDQyMzUEAAAAATAHAAAACTcvMTEvMjAyNggAAAAJNC8yNi8yMDI2CQAAAAEw4/Jab2/f</t>
  </si>
  <si>
    <t>3ghlXd5vb9/eCC5DSVEuTkFTREFRR1M6TlZEQS5JUV9FQklUREFfM1lSX0FOTl9DQUdSLjIwMDAuAQAAADN+AAACAAAACDIwMC42NTc4AQgAAAAFAAAAATEBAAAACy0xODg3ODk0NDQ0AwAAAAMxNjACAAAABDQyMjIEAAAAATAHAAAACTcvMTEvMjAyNggAAAAJNC8yNi8yMDI2CQAAAAEw4/Jab2/f3ghlXd5vb9/eCCNDSVEuTkFTREFRR1M6TlZEQS5JUV9OSV9NQVJHSU4uOTk4LgEAAAAzfgAAAgAAAAc0OC44NDkzAQgAAAAFAAAAATEBAAAACy0xOTA1MDgxNzU5AwAAAAMxNjACAAAABDQwOTQEAAAAATAHAAAACTcvMTEvMjAyNggAAAAJMS8yOC8yMDI0CQAAAAEw4/Jab2/f3ghlXd5vb9/eCCNDSVEuTkFTREFRR1M6TlZEQS5JUV9OSV9NQVJHSU4uOTk5LgEAAAAzfgAAAgAAAAY1NS44NDgBCAAAAAUAAAABMQEAAAALLTE5MDUwODE3MzkDAAAAAzE2MAIAAAAENDA5NAQAAAABMAcAAAAJNy8xMS8yMDI2CAAAAAkxLzI2LzIwMjUJAAAAATDj8lpvb9/eCGVd3m9v394IJENJUS5OQVNEQVFHUzpOVkRBLklRX05JX01BUkdJTi4xMDAwLgEAAAAzfgAAAgAAAAc1NS42MDI1AQgAAAAFAAAAATEBAAAACy0xOTA1MDgxNzU3AwAAAAMxNjACAAAABDQwOTQEAAAAATAHAAAACTcvMTEvMjAyNggAAAAJMS8yNS8yMDI2CQAAAAEw4/Jab2/f3gg+Id5vb9/eCCRDSVEuTkFTREFRR1M6TlZEQS5JUV9OSV9NQVJHSU4uMjAw</t>
  </si>
  <si>
    <t>MC4BAAAAM34AAAIAAAAHNjIuOTY1OQEIAAAABQAAAAExAQAAAAstMTg4Nzg5NDQ0NAMAAAADMTYwAgAAAAQ0MDk0BAAAAAEwBwAAAAk3LzExLzIwMjYIAAAACTQvMjYvMjAyNgkAAAABMOPyWm9v394IPiHeb2/f3ggxQ0lRLk5BU0RBUUdTOk5WREEuSVFfVE9UQUxfUkVWXzVZUl9BTk5fQ0FHUi4yMDAwLgEAAAAzfgAAAgAAAAc2Ny40NDc3AQgAAAAFAAAAATEBAAAACy0xODg3ODk0NDQ0AwAAAAMxNjACAAAABDQyMzMEAAAAATAHAAAACTcvMTEvMjAyNggAAAAJNC8yNi8yMDI2CQAAAAEw4/Jab2/f3gg+Id5vb9/eCCdDSVEuTkFTREFRR1M6TlZEQS5JUV9HUk9TU19NQVJHSU4uMjAwMC4BAAAAM34AAAIAAAAHNzQuMTQ1NAEIAAAABQAAAAExAQAAAAstMTg4Nzg5NDQ0NAMAAAADMTYwAgAAAAQ0MDc0BAAAAAEwBwAAAAk3LzExLzIwMjYIAAAACTQvMjYvMjAyNgkAAAABMOPyWm9v394IPiHeb2/f3ggnQ0lRLk5BU0RBUUdTOk5WREEuSVFfRUJJVERBX01BUkdJTi45OTguAQAAADN+AAACAAAABzU2LjU5NjkBCAAAAAUAAAABMQEAAAALLTE5MDUwODE3NTkDAAAAAzE2MAIAAAAENDA0NwQAAAABMAcAAAAJNy8xMS8yMDI2CAAAAAkxLzI4LzIwMjQJAAAAATDj8lpvb9/eCD4h3m9v394IJ0NJUS5OQVNEQVFHUzpOVkRBLklRX0VCSVREQV9NQVJHSU4uOTk5LgEAAAAzfgAAAgAAAAc2My44NDU5AQgAAAAFAAAA</t>
  </si>
  <si>
    <t>ATEBAAAACy0xOTA1MDgxNzM5AwAAAAMxNjACAAAABDQwNDcEAAAAATAHAAAACTcvMTEvMjAyNggAAAAJMS8yNi8yMDI1CQAAAAEw4/Jab2/f3gg+Id5vb9/eCChDSVEuTkFTREFRR1M6TlZEQS5JUV9FQklUREFfTUFSR0lOLjEwMDAuAQAAADN+AAACAAAABzYxLjY5ODIBCAAAAAUAAAABMQEAAAALLTE5MDUwODE3NTcDAAAAAzE2MAIAAAAENDA0NwQAAAABMAcAAAAJNy8xMS8yMDI2CAAAAAkxLzI1LzIwMjYJAAAAATDj8lpvb9/eCD4h3m9v394IKENJUS5OQVNEQVFHUzpOVkRBLklRX0VCSVREQV9NQVJHSU4uMjAwMC4BAAAAM34AAAIAAAAHNjUuMjkzOAEIAAAABQAAAAExAQAAAAstMTg4Nzg5NDQ0NAMAAAADMTYwAgAAAAQ0MDQ3BAAAAAEwBwAAAAk3LzExLzIwMjYIAAAACTQvMjYvMjAyNgkAAAABMOPyWm9v394IPiHeb2/f3ggmQ0lRLk5BU0RBUUdTOk5WREEuSVFfR1JPU1NfTUFSR0lOLjk5OC4BAAAAM34AAAIAAAAHNzIuNzE3NQEIAAAABQAAAAExAQAAAAstMTkwNTA4MTc1OQMAAAADMTYwAgAAAAQ0MDc0BAAAAAEwBwAAAAk3LzExLzIwMjYIAAAACTEvMjgvMjAyNAkAAAABMOPyWm9v394Idw3eb2/f3ggmQ0lRLk5BU0RBUUdTOk5WREEuSVFfR1JPU1NfTUFSR0lOLjk5OS4BAAAAM34AAAIAAAAHNzQuOTg4NgEIAAAABQAAAAExAQAAAAstMTkwNTA4MTczOQMAAAADMTYwAgAAAAQ0MDc0BAAAAAEw</t>
  </si>
  <si>
    <t>BwAAAAk3LzExLzIwMjYIAAAACTEvMjYvMjAyNQkAAAABMOPyWm9v394Idw3eb2/f3ggnQ0lRLk5BU0RBUUdTOk5WREEuSVFfR1JPU1NfTUFSR0lOLjEwMDAuAQAAADN+AAACAAAABjcxLjA2OAEIAAAABQAAAAExAQAAAAstMTkwNTA4MTc1NwMAAAADMTYwAgAAAAQ0MDc0BAAAAAEwBwAAAAk3LzExLzIwMjYIAAAACTEvMjUvMjAyNgkAAAABMOPyWm9v394Idw3eb2/f3gglQ0lRLk5BU0RBUUdTOk5WREEuSVFfUEVSSU9EREFURS4xMDAwLgEAAAAzfgAABQAAAAoyNS8wMS8yMDI2AOPyWm9v394IEObdb2/f3gglQ0lRLk5BU0RBUUdTOk5WREEuSVFfUEVSSU9EREFURS4yMDAwLgEAAAAzfgAABQAAAAoyNi8wNC8yMDI2AOPyWm9v394IEObdb2/f3gguQ0lRLk5BU0RBUUdTOkdPT0dMLklRX1RPVEFMX0RFQlQuNTAwLi4uRi5VU0QuSAEAAACocQAAAgAAAAU5NTg3NgEIAAAABQAAAAExAQAAAAstMTg5Mjc2NjI1NQMAAAADMTYwAgAAAAQ0MTczBAAAAAEwBwAAAAk3LzExLzIwMjYIAAAACTMvMzEvMjAyNgkAAAABMOPyWm9v394Irb3db2/f3ggyQ0lRLk5BU0RBUUdTOkdPT0dMLklRX0NBU0hfU1RfSU5WRVNULjUwMC4uLkYuVVNELkgBAAAAqHEAAAIAAAAGMTI2ODQwAQgAAAAFAAAAATEBAAAACy0xODkyNzY2MjU1AwAAAAMxNjACAAAABDEwMDIEAAAAATAHAAAACTcvMTEvMjAyNggAAAAJMy8zMS8yMDI2CQAA</t>
  </si>
  <si>
    <t>AAEw4/Jab2/f3gitvd1vb9/eCC1DSVEuTkFTREFRR1M6R09PR0wuSVFfVE9UQUxfUkVWLjIwMDAuLi4uVVNELkgBAAAAqHEAAAIAAAAGNDIyNDk4AQgAAAAFAAAAATEBAAAACy0xODkyNzY1MzU4AwAAAAMxNjACAAAAAjI4BAAAAAEwBwAAAAk3LzExLzIwMjYIAAAACTMvMzEvMjAyNgkAAAABMOPyWm9v394I2Kndb2/f3ggtQ0lRLk5BU0RBUUdTOkdPT0dMLklRX1RPVEFMX1JFVi4xMDAwLi4uLlVTRC5IAQAAAKhxAAACAAAABjQwMjgzNgEIAAAABQAAAAExAQAAAAstMTkwNzgyMzE3NgMAAAADMTYwAgAAAAIyOAQAAAABMAcAAAAJNy8xMS8yMDI2CAAAAAoxMi8zMS8yMDI1CQAAAAEw4/Jab2/f3gjYqd1vb9/eCDtDSVEuTkFTREFRR1M6R09PR0wuSVFfTUlOT1JJVFlfSU5URVJFU1RfVE9UQUwuNTAwLi4uRi5VU0QuSAEAAACocQAAAwAAAAAA4/Jab2/f3gjYqd1vb9/eCC9DSVEuTkFTREFRR1M6R09PR0wuSVFfUFJFRl9FUVVJVFkuNTAwLi4uRi5VU0QuSAEAAACocQAAAwAAAAAA4/Jab2/f3gjYqd1vb9/eCCpDSVEuTkFTREFRR1M6R09PR0wuSVFfRUJJVERBLjIwMDAuLi4uVVNELkgBAAAAqHEAAAIAAAAGMTYxMzE2AQgAAAAFAAAAATEBAAAACy0xODkyNzY1MzU4AwAAAAMxNjACAAAABDQwNTEEAAAAATAHAAAACTcvMTEvMjAyNggAAAAJMy8zMS8yMDI2CQAAAAEw4/Jab2/f3gh7gt1vb9/eCCpDSVEu</t>
  </si>
  <si>
    <t>TkFTREFRR1M6R09PR0wuSVFfRUJJVERBLjEwMDAuLi4uVVNELkgBAAAAqHEAAAIAAAAGMTUwMTc1AQgAAAAFAAAAATEBAAAACy0xOTA3ODIzMTc2AwAAAAMxNjACAAAABDQwNTEEAAAAATAHAAAACTcvMTEvMjAyNggAAAAKMTIvMzEvMjAyNQkAAAABMOPyWm9v394Ie4Ldb2/f3ggyQ0lRLk5BU0RBUUdTOkdPT0dMLklRX0RJTFVUX0VQU19FWENMLjIwMDAuLi4uVVNELkgBAAAAqHEAAAIAAAAJMTMuMTA3MzMyAQgAAAAFAAAAATEBAAAACy0xODkyNzY1MzU4AwAAAAMxNjACAAAAAzE0MgQAAAABMAcAAAAJNy8xMS8yMDI2CAAAAAkzLzMxLzIwMjYJAAAAATDj8lpvb9/eCKJu3W9v394IMkNJUS5OQVNEQVFHUzpHT09HTC5JUV9ESUxVVF9FUFNfRVhDTC4xMDAwLi4uLlVTRC5IAQAAAKhxAAACAAAACTEwLjgwMDU3MgEIAAAABQAAAAExAQAAAAstMTkwNzgyMzE3NgMAAAADMTYwAgAAAAMxNDIEAAAAATAHAAAACTcvMTEvMjAyNggAAAAKMTIvMzEvMjAyNQkAAAABMOPyWm9v394Iom7db2/f3ggmQ0lRLk5BU0RBUUdTOkdPT0dMLklRX1BFUklPRERBVEUuMjAwMC4BAAAAqHEAAAUAAAAKMzEvMDMvMjAyNgDj8lpvb9/eCHuC3W9v394IJkNJUS5OQVNEQVFHUzpHT09HTC5JUV9QRVJJT0REQVRFLjEwMDAuAQAAAKhxAAAFAAAACjMxLzEyLzIwMjUA4/Jab2/f3ggwR91vb9/eCCdDSVEuTkFTREFRR1M6R09PR0wu</t>
  </si>
  <si>
    <t>SVFfR1JPU1NfTUFSR0lOLjk5OS4BAAAAqHEAAAIAAAAHNTguMjAwNAEIAAAABQAAAAExAQAAAAstMTkwNzgyMzIxMAMAAAADMTYwAgAAAAQ0MDc0BAAAAAEwBwAAAAk3LzExLzIwMjYIAAAACjEyLzMxLzIwMjQJAAAAATDj8lpvb9/eCPEy3W9v394IJ0NJUS5OQVNEQVFHUzpHT09HTC5JUV9HUk9TU19NQVJHSU4uOTk4LgEAAACocQAAAgAAAAY1Ni42MjUBCAAAAAUAAAABMQEAAAALLTE5MDc4MjMyMTEDAAAAAzE2MAIAAAAENDA3NAQAAAABMAcAAAAJNy8xMS8yMDI2CAAAAAoxMi8zMS8yMDIzCQAAAAEw4/Jab2/f3gjxMt1vb9/eCClDSVEuTkFTREFRR1M6R09PR0wuSVFfRUJJVERBX01BUkdJTi4xMDAwLgEAAACocQAAAgAAAAczNy4yNzk0AQgAAAAFAAAAATEBAAAACy0xOTA3ODIzMTc2AwAAAAMxNjACAAAABDQwNDcEAAAAATAHAAAACTcvMTEvMjAyNggAAAAKMTIvMzEvMjAyNQkAAAABMOPyWm9v394IlPfcb2/f3ggoQ0lRLk5BU0RBUUdTOkdPT0dMLklRX0VCSVREQV9NQVJHSU4uOTk5LgEAAACocQAAAgAAAAczNi40ODQxAQgAAAAFAAAAATEBAAAACy0xOTA3ODIzMjEwAwAAAAMxNjACAAAABDQwNDcEAAAAATAHAAAACTcvMTEvMjAyNggAAAAKMTIvMzEvMjAyNAkAAAABMOPyWm9v394IlPfcb2/f3ggoQ0lRLk5BU0RBUUdTOkdPT0dMLklRX0VCSVREQV9NQVJHSU4uOTk4LgEAAACocQAAAgAAAAYz</t>
  </si>
  <si>
    <t>MS4zMDgBCAAAAAUAAAABMQEAAAALLTE5MDc4MjMyMTEDAAAAAzE2MAIAAAAENDA0NwQAAAABMAcAAAAJNy8xMS8yMDI2CAAAAAoxMi8zMS8yMDIzCQAAAAEw4/Jab2/f3giU99xvb9/eCChDSVEuTkFTREFRR1M6R09PR0wuSVFfR1JPU1NfTUFSR0lOLjIwMDAuAQAAAKhxAAACAAAABzYwLjM2NzgBCAAAAAUAAAABMQEAAAALLTE4OTI3NjUzNTgDAAAAAzE2MAIAAAAENDA3NAQAAAABMAcAAAAJNy8xMS8yMDI2CAAAAAkzLzMxLzIwMjYJAAAAATDj8lpvb9/eCJT33G9v394IKENJUS5OQVNEQVFHUzpHT09HTC5JUV9HUk9TU19NQVJHSU4uMTAwMC4BAAAAqHEAAAIAAAAHNTkuNjUyMwEIAAAABQAAAAExAQAAAAstMTkwNzgyMzE3NgMAAAADMTYwAgAAAAQ0MDc0BAAAAAEwBwAAAAk3LzExLzIwMjYIAAAACjEyLzMxLzIwMjUJAAAAATDj8lpvb9/eCJT33G9v394IJUNJUS5OQVNEQVFHUzpHT09HTC5JUV9OSV9NQVJHSU4uMjAwMC4BAAAAqHEAAAIAAAAHMzcuOTE5MgEIAAAABQAAAAExAQAAAAstMTg5Mjc2NTM1OAMAAAADMTYwAgAAAAQ0MDk0BAAAAAEwBwAAAAk3LzExLzIwMjYIAAAACTMvMzEvMjAyNgkAAAABMOPyWm9v394IlPfcb2/f3gglQ0lRLk5BU0RBUUdTOkdPT0dMLklRX05JX01BUkdJTi4xMDAwLgEAAACocQAAAgAAAAczMi44MDk4AQgAAAAFAAAAATEBAAAACy0xOTA3ODIzMTc2AwAAAAMxNjAC</t>
  </si>
  <si>
    <t>AAAABDQwOTQEAAAAATAHAAAACTcvMTEvMjAyNggAAAAKMTIvMzEvMjAyNQkAAAABMOPyWm9v394IlPfcb2/f3ggkQ0lRLk5BU0RBUUdTOkdPT0dMLklRX05JX01BUkdJTi45OTkuAQAAAKhxAAACAAAABzI4LjYwMzYBCAAAAAUAAAABMQEAAAALLTE5MDc4MjMyMTADAAAAAzE2MAIAAAAENDA5NAQAAAABMAcAAAAJNy8xMS8yMDI2CAAAAAoxMi8zMS8yMDI0CQAAAAEw4/Jab2/f3giU99xvb9/eCCRDSVEuTkFTREFRR1M6R09PR0wuSVFfTklfTUFSR0lOLjk5OC4BAAAAqHEAAAIAAAAHMjQuMDA2NgEIAAAABQAAAAExAQAAAAstMTkwNzgyMzIxMQMAAAADMTYwAgAAAAQ0MDk0BAAAAAEwBwAAAAk3LzExLzIwMjYIAAAACjEyLzMxLzIwMjMJAAAAATDj8lpvb9/eCJHj3G9v394IKUNJUS5OQVNEQVFHUzpHT09HTC5JUV9FQklUREFfTUFSR0lOLjIwMDAuAQAAAKhxAAACAAAABzM4LjE4MTQBCAAAAAUAAAABMQEAAAALLTE4OTI3NjUzNTgDAAAAAzE2MAIAAAAENDA0NwQAAAABMAcAAAAJNy8xMS8yMDI2CAAAAAkzLzMxLzIwMjYJAAAAATDj8lpvb9/eCJHj3G9v394IL0NJUS5OQVNEQVFHUzpHT09HTC5JUV9FQklUREFfNVlSX0FOTl9DQUdSLjIwMDAuAQAAAKhxAAACAAAABzIwLjY4ODEBCAAAAAUAAAABMQEAAAALLTE4OTI3NjUzNTgDAAAAAzE2MAIAAAAENDIzNQQAAAABMAcAAAAJNy8xMS8yMDI2CAAAAAkz</t>
  </si>
  <si>
    <t>LzMxLzIwMjYJAAAAATDj8lpvb9/eCJHj3G9v394INENJUS5OQVNEQVFHUzpHT09HTC5JUV9UT1RBTF9SRVZfMVlSX0FOTl9HUk9XVEguMjAwMC4BAAAAqHEAAAIAAAAHMTcuNDU0MQEIAAAABQAAAAExAQAAAAstMTg5Mjc2NTM1OAMAAAADMTYwAgAAAAQ0MTk0BAAAAAEwBwAAAAk3LzExLzIwMjYIAAAACTMvMzEvMjAyNgkAAAABMOPyWm9v394IlPfcb2/f3gg0Q0lRLk5BU0RBUUdTOkdPT0dMLklRX1RPVEFMX1JFVl8xWVJfQU5OX0dST1dUSC4xMDAwLgEAAACocQAAAgAAAAUxNS4wOQEIAAAABQAAAAExAQAAAAstMTkwNzgyMzE3NgMAAAADMTYwAgAAAAQ0MTk0BAAAAAEwBwAAAAk3LzExLzIwMjYIAAAACjEyLzMxLzIwMjUJAAAAATDj8lpvb9/eCJT33G9v394IMkNJUS5OQVNEQVFHUzpHT09HTC5JUV9UT1RBTF9SRVZfM1lSX0FOTl9DQUdSLjIwMDAuAQAAAKhxAAACAAAABjE0LjA3NQEIAAAABQAAAAExAQAAAAstMTg5Mjc2NTM1OAMAAAADMTYwAgAAAAQ0MjIwBAAAAAEwBwAAAAk3LzExLzIwMjYIAAAACTMvMzEvMjAyNgkAAAABMOPyWm9v394IiM7cb2/f3ggyQ0lRLk5BU0RBUUdTOkdPT0dMLklRX1RPVEFMX1JFVl81WVJfQU5OX0NBR1IuMjAwMC4BAAAAqHEAAAIAAAAHMTYuNTIzMQEIAAAABQAAAAExAQAAAAstMTg5Mjc2NTM1OAMAAAADMTYwAgAAAAQ0MjMzBAAAAAEwBwAAAAk3LzExLzIwMjYI</t>
  </si>
  <si>
    <t>AAAACTMvMzEvMjAyNgkAAAABMOPyWm9v394IiM7cb2/f3ggsQ0lRLk5BU0RBUUdTOkdPT0dMLklRX0VQU18zWVJfQU5OX0NBR1IuMjAwMC4BAAAAqHEAAAIAAAAHNDIuODQwOQEIAAAABQAAAAExAQAAAAstMTg5Mjc2NTM1OAMAAAADMTYwAgAAAAQ0MjI2BAAAAAEwBwAAAAk3LzExLzIwMjYIAAAACTMvMzEvMjAyNgkAAAABMOPyWm9v394IiM7cb2/f3ggsQ0lRLk5BU0RBUUdTOkdPT0dMLklRX0VQU181WVJfQU5OX0NBR1IuMjAwMC4BAAAAqHEAAAIAAAAHMjguNDI1NAEIAAAABQAAAAExAQAAAAstMTg5Mjc2NTM1OAMAAAADMTYwAgAAAAQ0MjM5BAAAAAEwBwAAAAk3LzExLzIwMjYIAAAACTMvMzEvMjAyNgkAAAABMOPyWm9v394IiM7cb2/f3ggxQ0lRLk5BU0RBUUdTOkdPT0dMLklRX0VCSVREQV8xWVJfQU5OX0dST1dUSC4yMDAwLgEAAACocQAAAgAAAAcyMC4zNTcyAQgAAAAFAAAAATEBAAAACy0xODkyNzY1MzU4AwAAAAMxNjACAAAABDQxOTYEAAAAATAHAAAACTcvMTEvMjAyNggAAAAJMy8zMS8yMDI2CQAAAAEw4/Jab2/f3giR49xvb9/eCDFDSVEuTkFTREFRR1M6R09PR0wuSVFfRUJJVERBXzFZUl9BTk5fR1JPV1RILjEwMDAuAQAAAKhxAAACAAAABzE3LjU5ODkBCAAAAAUAAAABMQEAAAALLTE5MDc4MjMxNzYDAAAAAzE2MAIAAAAENDE5NgQAAAABMAcAAAAJNy8xMS8yMDI2CAAAAAoxMi8zMS8y</t>
  </si>
  <si>
    <t>MDI1CQAAAAEw4/Jab2/f3gjCutxvb9/eCC9DSVEuTkFTREFRR1M6R09PR0wuSVFfRUJJVERBXzNZUl9BTk5fQ0FHUi4yMDAwLgEAAACocQAAAgAAAAcyNC4wNTczAQgAAAAFAAAAATEBAAAACy0xODkyNzY1MzU4AwAAAAMxNjACAAAABDQyMjIEAAAAATAHAAAACTcvMTEvMjAyNggAAAAJMy8zMS8yMDI2CQAAAAEw4/Jab2/f3gjCutxvb9/eCCZDSVEuTkFTREFRR1M6R09PR0wuSVFfRUJJVERBX0lOVC4yMDAwLgEAAACocQAAAgAAAAoxMzQuODU0MjUxAQgAAAAFAAAAATEBAAAACy0xODkyNzY1MzU4AwAAAAMxNjACAAAABDQxOTAEAAAAATAHAAAACTcvMTEvMjAyNggAAAAJMy8zMS8yMDI2CQAAAAEw4/Jab2/f3gjCutxvb9/eCCtDSVEuTkFTREFRR1M6R09PR0wuSVFfTkVUX0RFQlRfRUJJVERBLjIwMDAuAQAAAKhxAAADAAAAAk5NAQgAAAAFAAAAATEBAAAACy0xODkyNzY1MzU4AwAAAAMxNjACAAAABDQxOTMEAAAAATAHAAAACTcvMTEvMjAyNggAAAAJMy8zMS8yMDI2CQAAAAEw4/Jab2/f3gjCutxvb9/eCC1DSVEuTkFTREFRR1M6R09PR0wuSVFfVE9UQUxfREVCVF9FQklUREEuMjAwMC4BAAAAqHEAAAIAAAAIMC41NzU2NzYBCAAAAAUAAAABMQEAAAALLTE4OTI3NjUzNTgDAAAAAzE2MAIAAAAENDE5MgQAAAABMAcAAAAJNy8xMS8yMDI2CAAAAAkzLzMxLzIwMjYJAAAAATDj8lpvb9/eCIjO3G9v394I</t>
  </si>
  <si>
    <t>LkNJUS5OQVNEQVFHUzpHT09HTC5JUV9FUFNfMVlSX0FOTl9HUk9XVEguMjAwMC4BAAAAqHEAAAIAAAAHNDYuMzc2MQEIAAAABQAAAAExAQAAAAstMTg5Mjc2NTM1OAMAAAADMTYwAgAAAAQ0MjAwBAAAAAEwBwAAAAk3LzExLzIwMjYIAAAACTMvMzEvMjAyNgkAAAABMOPyWm9v394IX5Pcb2/f3gguQ0lRLk5BU0RBUUdTOkdPT0dMLklRX0VQU18xWVJfQU5OX0dST1dUSC4xMDAwLgEAAACocQAAAgAAAAczNC4zNjYyAQgAAAAFAAAAATEBAAAACy0xOTA3ODIzMTc2AwAAAAMxNjACAAAABDQyMDAEAAAAATAHAAAACTcvMTEvMjAyNggAAAAKMTIvMzEvMjAyNQkAAAABMOPyWm9v394IX5Pcb2/f3ggpQ0lRLk5BU0RBUUdTOkdPT0dMLklRX1JFVFVSTl9BU1NFVFMuMjAwMC4BAAAAqHEAAAIAAAAGMTQuNjQxAQgAAAAFAAAAATEBAAAACy0xODkyNzY1MzU4AwAAAAMxNjACAAAABDQxNzgEAAAAATAHAAAACTcvMTEvMjAyNggAAAAJMy8zMS8yMDI2CQAAAAEw4/Jab2/f3ghfk9xvb9/eCClDSVEuTkFTREFRR1M6R09PR0wuSVFfUkVUVVJOX0VRVUlUWS4yMDAwLgEAAACocQAAAgAAAAczOC44ODQ4AQgAAAAFAAAAATEBAAAACy0xODkyNzY1MzU4AwAAAAMxNjACAAAABDQxMjgEAAAAATAHAAAACTcvMTEvMjAyNggAAAAJMy8zMS8yMDI2CQAAAAEw4/Jab2/f3ghfk9xvb9/eCC1DSVEuTkFTREFRR1M6R09PR0wuSVFf</t>
  </si>
  <si>
    <t>VE9UQUxfREVCVF9DQVBJVEFMLjUwMC4BAAAAqHEAAAIAAAAGMTYuNjg1AQgAAAAFAAAAATEBAAAACy0xODkyNzY2MjU1AwAAAAMxNjACAAAABDQxODYEAAAAATAHAAAACTcvMTEvMjAyNggAAAAJMy8zMS8yMDI2CQAAAAEw4/Jab2/f3gjCutxvb9/eCCxDSVEuTkFTREFRR1M6R09PR0wuSVFfVE9UQUxfREVCVF9FUVVJVFkuNTAwLgEAAACocQAAAgAAAAcyMC4wMjY0AQgAAAAFAAAAATEBAAAACy0xODkyNzY2MjU1AwAAAAMxNjACAAAABDQwMzQEAAAAATAHAAAACTcvMTEvMjAyNggAAAAJMy8zMS8yMDI2CQAAAAEw4/Jab2/f3ghfk9xvb9/eCCxDSVEuTkFTREFRR1M6R09PR0wuSVFfRUJJVERBX0NBUEVYX0lOVC4yMDAwLgEAAACocQAAAgAAAAk0NS44NDY5NjMBCAAAAAUAAAABMQEAAAALLTE4OTI3NjUzNTgDAAAAAzE2MAIAAAAENDE5MQQAAAABMAcAAAAJNy8xMS8yMDI2CAAAAAkzLzMxLzIwMjYJAAAAATDj8lpvb9/eCF+T3G9v394ILkNJUS5OQVNEQVFHUzpHT09HTC5JUV9EQVlTX0lOVkVOVE9SWV9PVVQuMjAwMC4BAAAAqHEAAAMAAAAAAOPyWm9v394IX5Pcb2/f3ggqQ0lRLk5BU0RBUUdTOkdPT0dMLklRX0RBWVNfU0FMRVNfT1VULjIwMDAuAQAAAKhxAAACAAAACDQ5LjI0MjE1AQgAAAAFAAAAATEBAAAACy0xODkyNzY1MzU4AwAAAAMxNjACAAAABDQwNDIEAAAAATAHAAAACTcvMTEvMjAyNggA</t>
  </si>
  <si>
    <t>AAAJMy8zMS8yMDI2CQAAAAEw4/Jab2/f3ghfk9xvb9/eCCZDSVEuTkFTREFRR1M6R09PR0wuSVFfUVVJQ0tfUkFUSU8uNTAwLgEAAACocQAAAgAAAAgxLjcwNzM2OQEIAAAABQAAAAExAQAAAAstMTg5Mjc2NjI1NQMAAAADMTYwAgAAAAQ0MTIxBAAAAAEwBwAAAAk3LzExLzIwMjYIAAAACTMvMzEvMjAyNgkAAAABMOPyWm9v394IX5Pcb2/f3ggoQ0lRLk5BU0RBUUdTOkdPT0dMLklRX0NVUlJFTlRfUkFUSU8uNTAwLgEAAACocQAAAgAAAAgxLjkyMjQ0NgEIAAAABQAAAAExAQAAAAstMTg5Mjc2NjI1NQMAAAADMTYwAgAAAAQ0MDMwBAAAAAEwBwAAAAk3LzExLzIwMjYIAAAACTMvMzEvMjAyNgkAAAABMOPyWm9v394I1X7cb2/f3ggzQ0lRLk5BU0RBUUdTOkdPT0dMLklRX1JFVFVSTl9JTlZFU1RFRF9DQVBJVEFMLjIwMDAuAQAAAKhxAAACAAAABzMxLjU2MDIA4/Jab2/f3gjVftxvb9/eCCRDSVEuTkFTREFRR1M6R09PR0wuSVFfQVJfVFVSTlMuMjAwMC4BAAAAqHEAAAIAAAAHNy40MTIzMQEIAAAABQAAAAExAQAAAAstMTg5Mjc2NTM1OAMAAAADMTYwAgAAAAQ0MDAxBAAAAAEwBwAAAAk3LzExLzIwMjYIAAAACTMvMzEvMjAyNgkAAAABMOPyWm9v394I1X7cb2/f3ggtQ0lRLk5BU0RBUUdTOkdPT0dMLklRX0ZJWEVEX0FTU0VUX1RVUk5TLjIwMDAuAQAAAKhxAAACAAAACDEuNzA1OTgzAQgAAAAFAAAAATEB</t>
  </si>
  <si>
    <t>AAAACy0xODkyNzY1MzU4AwAAAAMxNjACAAAABDQwNjYEAAAAATAHAAAACTcvMTEvMjAyNggAAAAJMy8zMS8yMDI2CQAAAAEw4/Jab2/f3gjVftxvb9/eCCdDSVEuTkFTREFRR1M6R09PR0wuSVFfQVNTRVRfVFVSTlMuMjAwMC4BAAAAqHEAAAIAAAAIMC43MTY1MjcBCAAAAAUAAAABMQEAAAALLTE4OTI3NjUzNTgDAAAAAzE2MAIAAAAENDE3NwQAAAABMAcAAAAJNy8xMS8yMDI2CAAAAAkzLzMxLzIwMjYJAAAAATDj8lpvb9/eCF+T3G9v394IK0NJUS5OQVNEQVFHUzpHT09HTC5JUV9DQVNIX0NPTlZFUlNJT04uMjAwMC4BAAAAqHEAAAMAAAAAAOPyWm9v394Ijmrcb2/f3ggsQ0lRLk5BU0RBUUdTOkdPT0dMLklRX0RBWVNfUEFZQUJMRV9PVVQuMjAwMC4BAAAAqHEAAAIAAAAJMjcuNjI3OTQ1AQgAAAAFAAAAATEBAAAACy0xODkyNzY1MzU4AwAAAAMxNjACAAAABDQxODMEAAAAATAHAAAACTcvMTEvMjAyNggAAAAJMy8zMS8yMDI2CQAAAAEw4/Jab2/f3giOatxvb9/eCCtDSVEuTkFTREFRR1M6R09PR0wuSVFfSU5WRU5UT1JZX1RVUk5TLjIwMDAuAQAAAKhxAAADAAAAAADj8lpvb9/eCI5q3G9v394ILENJUS5OWVNFOkNSTS5JUV9ESUxVVF9FUFNfRVhDTC4xMDAwLi4uLlVTRC5IAQAAACXgAQACAAAAAzcuOAEIAAAABQAAAAExAQAAAAstMTkwMzgzMzMyNgMAAAADMTYwAgAAAAMxNDIEAAAAATAHAAAACTcv</t>
  </si>
  <si>
    <t>MTEvMjAyNggAAAAJMS8zMS8yMDI2CQAAAAEw4/Jab2/f3giOatxvb9/eCCxDSVEuTllTRTpDUk0uSVFfRElMVVRfRVBTX0VYQ0wuMjAwMC4uLi5VU0QuSAEAAAAl4AEAAgAAAAg4LjYxNDU3MQEIAAAABQAAAAExAQAAAAstMTg4NjU1NTUxMQMAAAADMTYwAgAAAAMxNDIEAAAAATAHAAAACTcvMTEvMjAyNggAAAAJNC8zMC8yMDI2CQAAAAEw4/Jab2/f3gjVftxvb9/eCCRDSVEuTllTRTpDUk0uSVFfRUJJVERBLjEwMDAuLi4uVVNELkgBAAAAJeABAAIAAAAFMTI1NDgBCAAAAAUAAAABMQEAAAALLTE5MDM4MzMzMjYDAAAAAzE2MAIAAAAENDA1MQQAAAABMAcAAAAJNy8xMS8yMDI2CAAAAAkxLzMxLzIwMjYJAAAAATDj8lpvb9/eCERW3G9v394IJENJUS5OWVNFOkNSTS5JUV9FQklUREEuMjAwMC4uLi5VU0QuSAEAAAAl4AEAAgAAAAUxMjg5NQEIAAAABQAAAAExAQAAAAstMTg4NjU1NTUxMQMAAAADMTYwAgAAAAQ0MDUxBAAAAAEwBwAAAAk3LzExLzIwMjYIAAAACTQvMzAvMjAyNgkAAAABMOPyWm9v394Ijmrcb2/f3ggpQ0lRLk5ZU0U6Q1JNLklRX1BSRUZfRVFVSVRZLjUwMC4uLkYuVVNELkgBAAAAJeABAAMAAAAAAOPyWm9v394If0Lcb2/f3gg1Q0lRLk5ZU0U6Q1JNLklRX01JTk9SSVRZX0lOVEVSRVNUX1RPVEFMLjUwMC4uLkYuVVNELkgBAAAAJeABAAMAAAAAAOPyWm9v394If0Lcb2/f3ggnQ0lRLk5Z</t>
  </si>
  <si>
    <t>U0U6Q1JNLklRX1RPVEFMX1JFVi4xMDAwLi4uLlVTRC5IAQAAACXgAQACAAAABTQxNTI1AQgAAAAFAAAAATEBAAAACy0xOTAzODMzMzI2AwAAAAMxNjACAAAAAjI4BAAAAAEwBwAAAAk3LzExLzIwMjYIAAAACTEvMzEvMjAyNgkAAAABMOPyWm9v394IRFbcb2/f3ggnQ0lRLk5ZU0U6Q1JNLklRX1RPVEFMX1JFVi4yMDAwLi4uLlVTRC5IAQAAACXgAQACAAAABTQyODI5AQgAAAAFAAAAATEBAAAACy0xODg2NTU1NTExAwAAAAMxNjACAAAAAjI4BAAAAAEwBwAAAAk3LzExLzIwMjYIAAAACTQvMzAvMjAyNgkAAAABMOPyWm9v394IIxvcb2/f3ggsQ0lRLk5ZU0U6Q1JNLklRX0NBU0hfU1RfSU5WRVNULjUwMC4uLkYuVVNELkgBAAAAJeABAAIAAAAFMTE4MzcBCAAAAAUAAAABMQEAAAALLTE4ODY1NTU1NDgDAAAAAzE2MAIAAAAEMTAwMgQAAAABMAcAAAAJNy8xMS8yMDI2CAAAAAk0LzMwLzIwMjYJAAAAATDj8lpvb9/eCCMb3G9v394IKENJUS5OWVNFOkNSTS5JUV9UT1RBTF9ERUJULjUwMC4uLkYuVVNELkgBAAAAJeABAAIAAAAFNDI1NDgBCAAAAAUAAAABMQEAAAALLTE4ODY1NTU1NDgDAAAAAzE2MAIAAAAENDE3MwQAAAABMAcAAAAJNy8xMS8yMDI2CAAAAAk0LzMwLzIwMjYJAAAAATDj8lpvb9/eCCMb3G9v394IJUNJUS5OWVNFOkNSTS5JUV9JTlZFTlRPUllfVFVSTlMuMjAwMC4BAAAAJeABAAMAAAAAAOPy</t>
  </si>
  <si>
    <t>Wm9v394IIxvcb2/f3ggmQ0lRLk5ZU0U6Q1JNLklRX0RBWVNfUEFZQUJMRV9PVVQuMjAwMC4BAAAAJeABAAIAAAAKMTU2LjAwNjQ3NQEIAAAABQAAAAExAQAAAAstMTg4NjU1NTUxMQMAAAADMTYwAgAAAAQ0MTgzBAAAAAEwBwAAAAk3LzExLzIwMjYIAAAACTQvMzAvMjAyNgkAAAABMOPyWm9v394ITfHbb2/f3gglQ0lRLk5ZU0U6Q1JNLklRX0NBU0hfQ09OVkVSU0lPTi4yMDAwLgEAAAAl4AEAAwAAAAAA4/Jab2/f3gjPBtxvb9/eCCFDSVEuTllTRTpDUk0uSVFfQVNTRVRfVFVSTlMuMjAwMC4BAAAAJeABAAIAAAAIMC40MTcyNTMBCAAAAAUAAAABMQEAAAALLTE4ODY1NTU1MTEDAAAAAzE2MAIAAAAENDE3NwQAAAABMAcAAAAJNy8xMS8yMDI2CAAAAAk0LzMwLzIwMjYJAAAAATDj8lpvb9/eCM8G3G9v394IJ0NJUS5OWVNFOkNSTS5JUV9GSVhFRF9BU1NFVF9UVVJOUy4yMDAwLgEAAAAl4AEAAgAAAAg4LjMxNzExOAEIAAAABQAAAAExAQAAAAstMTg4NjU1NTUxMQMAAAADMTYwAgAAAAQ0MDY2BAAAAAEwBwAAAAk3LzExLzIwMjYIAAAACTQvMzAvMjAyNgkAAAABMOPyWm9v394Izwbcb2/f3ggeQ0lRLk5ZU0U6Q1JNLklRX0FSX1RVUk5TLjIwMDAuAQAAACXgAQACAAAACDkuMDc5NzExAQgAAAAFAAAAATEBAAAACy0xODg2NTU1NTExAwAAAAMxNjACAAAABDQwMDEEAAAAATAHAAAACTcvMTEvMjAyNggAAAAJ</t>
  </si>
  <si>
    <t>NC8zMC8yMDI2CQAAAAEw4/Jab2/f3gjPBtxvb9/eCC1DSVEuTllTRTpDUk0uSVFfUkVUVVJOX0lOVkVTVEVEX0NBUElUQUwuMjAwMC4BAAAAJeABAAIAAAAGOC42NjEzAOPyWm9v394I0tzbb2/f3ggiQ0lRLk5ZU0U6Q1JNLklRX0NVUlJFTlRfUkFUSU8uNTAwLgEAAAAl4AEAAgAAAAcwLjc4NTg3AQgAAAAFAAAAATEBAAAACy0xODg2NTU1NTQ4AwAAAAMxNjACAAAABDQwMzAEAAAAATAHAAAACTcvMTEvMjAyNggAAAAJNC8zMC8yMDI2CQAAAAEw4/Jab2/f3gjS3Ntvb9/eCCBDSVEuTllTRTpDUk0uSVFfUVVJQ0tfUkFUSU8uNTAwLgEAAAAl4AEAAgAAAAgwLjYxNTExOAEIAAAABQAAAAExAQAAAAstMTg4NjU1NTU0OAMAAAADMTYwAgAAAAQ0MTIxBAAAAAEwBwAAAAk3LzExLzIwMjYIAAAACTQvMzAvMjAyNgkAAAABMOPyWm9v394ITfHbb2/f3ggkQ0lRLk5ZU0U6Q1JNLklRX0RBWVNfU0FMRVNfT1VULjIwMDAuAQAAACXgAQACAAAACTQwLjE5OTI3NQEIAAAABQAAAAExAQAAAAstMTg4NjU1NTUxMQMAAAADMTYwAgAAAAQ0MDQyBAAAAAEwBwAAAAk3LzExLzIwMjYIAAAACTQvMzAvMjAyNgkAAAABMOPyWm9v394ITfHbb2/f3ggoQ0lRLk5ZU0U6Q1JNLklRX0RBWVNfSU5WRU5UT1JZX09VVC4yMDAwLgEAAAAl4AEAAwAAAAAA4/Jab2/f3ghN8dtvb9/eCCZDSVEuTllTRTpDUk0uSVFfRUJJVERBX0NBUEVY</t>
  </si>
  <si>
    <t>X0lOVC4yMDAwLgEAAAAl4AEAAgAAAAkyMS42NTIxNzMBCAAAAAUAAAABMQEAAAALLTE4ODY1NTU1MTEDAAAAAzE2MAIAAAAENDE5MQQAAAABMAcAAAAJNy8xMS8yMDI2CAAAAAk0LzMwLzIwMjYJAAAAATDj8lpvb9/eCDe1229v394IJkNJUS5OWVNFOkNSTS5JUV9UT1RBTF9ERUJUX0VRVUlUWS41MDAuAQAAACXgAQACAAAACDEyNC4yODIxAQgAAAAFAAAAATEBAAAACy0xODg2NTU1NTQ4AwAAAAMxNjACAAAABDQwMzQEAAAAATAHAAAACTcvMTEvMjAyNggAAAAJNC8zMC8yMDI2CQAAAAEw4/Jab2/f3gjS3Ntvb9/eCCdDSVEuTllTRTpDUk0uSVFfVE9UQUxfREVCVF9DQVBJVEFMLjUwMC4BAAAAJeABAAIAAAAHNTUuNDEzMwEIAAAABQAAAAExAQAAAAstMTg4NjU1NTU0OAMAAAADMTYwAgAAAAQ0MTg2BAAAAAEwBwAAAAk3LzExLzIwMjYIAAAACTQvMzAvMjAyNgkAAAABMOPyWm9v394I0tzbb2/f3ggjQ0lRLk5ZU0U6Q1JNLklRX1JFVFVSTl9FUVVJVFkuMjAwMC4BAAAAJeABAAIAAAAHMTYuOTA4MQEIAAAABQAAAAExAQAAAAstMTg4NjU1NTUxMQMAAAADMTYwAgAAAAQ0MTI4BAAAAAEwBwAAAAk3LzExLzIwMjYIAAAACTQvMzAvMjAyNgkAAAABMOPyWm9v394I0tzbb2/f3ggjQ0lRLk5ZU0U6Q1JNLklRX1JFVFVSTl9BU1NFVFMuMjAwMC4BAAAAJeABAAIAAAAGNS43MDI5AQgAAAAFAAAAATEBAAAACy0x</t>
  </si>
  <si>
    <t>ODg2NTU1NTExAwAAAAMxNjACAAAABDQxNzgEAAAAATAHAAAACTcvMTEvMjAyNggAAAAJNC8zMC8yMDI2CQAAAAEw4/Jab2/f3gjS3Ntvb9/eCChDSVEuTllTRTpDUk0uSVFfRVBTXzFZUl9BTk5fR1JPV1RILjEwMDAuAQAAACXgAQACAAAABzIyLjY0MTUBCAAAAAUAAAABMQEAAAALLTE5MDM4MzMzMjYDAAAAAzE2MAIAAAAENDIwMAQAAAABMAcAAAAJNy8xMS8yMDI2CAAAAAkxLzMxLzIwMjYJAAAAATDj8lpvb9/eCDe1229v394IKENJUS5OWVNFOkNSTS5JUV9FUFNfMVlSX0FOTl9HUk9XVEguMjAwMC4BAAAAJeABAAIAAAAHMzQuODAzNgEIAAAABQAAAAExAQAAAAstMTg4NjU1NTUxMQMAAAADMTYwAgAAAAQ0MjAwBAAAAAEwBwAAAAk3LzExLzIwMjYIAAAACTQvMzAvMjAyNgkAAAABMOPyWm9v394IN7Xbb2/f3ggnQ0lRLk5ZU0U6Q1JNLklRX1RPVEFMX0RFQlRfRUJJVERBLjIwMDAuAQAAACXgAQACAAAACDMuMTQ5ODM3AQgAAAAFAAAAATEBAAAACy0xODg2NTU1NTExAwAAAAMxNjACAAAABDQxOTIEAAAAATAHAAAACTcvMTEvMjAyNggAAAAJNC8zMC8yMDI2CQAAAAEw4/Jab2/f3gg3tdtvb9/eCCVDSVEuTllTRTpDUk0uSVFfTkVUX0RFQlRfRUJJVERBLjIwMDAuAQAAACXgAQACAAAACDIuMjczNTQxAQgAAAAFAAAAATEBAAAACy0xODg2NTU1NTExAwAAAAMxNjACAAAABDQxOTMEAAAAATAHAAAACTcv</t>
  </si>
  <si>
    <t>MTEvMjAyNggAAAAJNC8zMC8yMDI2CQAAAAEw4/Jab2/f3gg3tdtvb9/eCCBDSVEuTllTRTpDUk0uSVFfRUJJVERBX0lOVC4yMDAwLgEAAAAl4AEAAgAAAAkyMi41ODg2MjgBCAAAAAUAAAABMQEAAAALLTE4ODY1NTU1MTEDAAAAAzE2MAIAAAAENDE5MAQAAAABMAcAAAAJNy8xMS8yMDI2CAAAAAk0LzMwLzIwMjYJAAAAATDj8lpvb9/eCDe1229v394IKUNJUS5OWVNFOkNSTS5JUV9FQklUREFfM1lSX0FOTl9DQUdSLjIwMDAuAQAAACXgAQACAAAABzIyLjAzNjUBCAAAAAUAAAABMQEAAAALLTE4ODY1NTU1MTEDAAAAAzE2MAIAAAAENDIyMgQAAAABMAcAAAAJNy8xMS8yMDI2CAAAAAk0LzMwLzIwMjYJAAAAATDj8lpvb9/eCDe1229v394IK0NJUS5OWVNFOkNSTS5JUV9FQklUREFfMVlSX0FOTl9HUk9XVEguMTAwMC4BAAAAJeABAAIAAAAHMTIuNjA4OAEIAAAABQAAAAExAQAAAAstMTkwMzgzMzMyNgMAAAADMTYwAgAAAAQ0MTk2BAAAAAEwBwAAAAk3LzExLzIwMjYIAAAACTEvMzEvMjAyNgkAAAABMOPyWm9v394IN7Xbb2/f3ggrQ0lRLk5ZU0U6Q1JNLklRX0VCSVREQV8xWVJfQU5OX0dST1dUSC4yMDAwLgEAAAAl4AEAAgAAAAcxMy40MzI0AQgAAAAFAAAAATEBAAAACy0xODg2NTU1NTExAwAAAAMxNjACAAAABDQxOTYEAAAAATAHAAAACTcvMTEvMjAyNggAAAAJNC8zMC8yMDI2CQAAAAEw4/Jab2/f3gg3</t>
  </si>
  <si>
    <t>tdtvb9/eCCZDSVEuTllTRTpDUk0uSVFfRVBTXzVZUl9BTk5fQ0FHUi4yMDAwLgEAAAAl4AEAAgAAAAcxMi42Nzc0AQgAAAAFAAAAATEBAAAACy0xODg2NTU1NTExAwAAAAMxNjACAAAABDQyMzkEAAAAATAHAAAACTcvMTEvMjAyNggAAAAJNC8zMC8yMDI2CQAAAAEw4/Jab2/f3gg3tdtvb9/eCCZDSVEuTllTRTpDUk0uSVFfRVBTXzNZUl9BTk5fQ0FHUi4yMDAwLgEAAAAl4AEAAgAAAAgxODMuMTkxMgEIAAAABQAAAAExAQAAAAstMTg4NjU1NTUxMQMAAAADMTYwAgAAAAQ0MjI2BAAAAAEwBwAAAAk3LzExLzIwMjYIAAAACTQvMzAvMjAyNgkAAAABMOPyWm9v394IN7Xbb2/f3ggsQ0lRLk5ZU0U6Q1JNLklRX1RPVEFMX1JFVl81WVJfQU5OX0NBR1IuMjAwMC4BAAAAJeABAAIAAAAHMTMuODkxNwEIAAAABQAAAAExAQAAAAstMTg4NjU1NTUxMQMAAAADMTYwAgAAAAQ0MjMzBAAAAAEwBwAAAAk3LzExLzIwMjYIAAAACTQvMzAvMjAyNgkAAAABMOPyWm9v394IqKDbb2/f3ggsQ0lRLk5ZU0U6Q1JNLklRX1RPVEFMX1JFVl8zWVJfQU5OX0NBR1IuMjAwMC4BAAAAJeABAAIAAAAGOS45ODg3AQgAAAAFAAAAATEBAAAACy0xODg2NTU1NTExAwAAAAMxNjACAAAABDQyMjAEAAAAATAHAAAACTcvMTEvMjAyNggAAAAJNC8zMC8yMDI2CQAAAAEw4/Jab2/f3giooNtvb9/eCC5DSVEuTllTRTpDUk0uSVFfVE9UQUxfUkVW</t>
  </si>
  <si>
    <t>XzFZUl9BTk5fR1JPV1RILjEwMDAuAQAAACXgAQACAAAABjkuNTc5MQEIAAAABQAAAAExAQAAAAstMTkwMzgzMzMyNgMAAAADMTYwAgAAAAQ0MTk0BAAAAAEwBwAAAAk3LzExLzIwMjYIAAAACTEvMzEvMjAyNgkAAAABMOPyWm9v394IqKDbb2/f3gguQ0lRLk5ZU0U6Q1JNLklRX1RPVEFMX1JFVl8xWVJfQU5OX0dST1dUSC4yMDAwLgEAAAAl4AEAAgAAAAcxMC45ODE4AQgAAAAFAAAAATEBAAAACy0xODg2NTU1NTExAwAAAAMxNjACAAAABDQxOTQEAAAAATAHAAAACTcvMTEvMjAyNggAAAAJNC8zMC8yMDI2CQAAAAEw4/Jab2/f3giooNtvb9/eCClDSVEuTllTRTpDUk0uSVFfRUJJVERBXzVZUl9BTk5fQ0FHUi4yMDAwLgEAAAAl4AEAAgAAAAYyNy41MzQBCAAAAAUAAAABMQEAAAALLTE4ODY1NTU1MTEDAAAAAzE2MAIAAAAENDIzNQQAAAABMAcAAAAJNy8xMS8yMDI2CAAAAAk0LzMwLzIwMjYJAAAAATDj8lpvb9/eCDe1229v394II0NJUS5OWVNFOkNSTS5JUV9FQklUREFfTUFSR0lOLjIwMDAuAQAAACXgAQACAAAABzMwLjEwODEBCAAAAAUAAAABMQEAAAALLTE4ODY1NTU1MTEDAAAAAzE2MAIAAAAENDA0NwQAAAABMAcAAAAJNy8xMS8yMDI2CAAAAAk0LzMwLzIwMjYJAAAAATDj8lpvb9/eCDJ5229v394IHkNJUS5OWVNFOkNSTS5JUV9OSV9NQVJHSU4uOTk4LgEAAAAl4AEAAgAAAAcxMS44NjU2AQgAAAAF</t>
  </si>
  <si>
    <t>AAAAATEBAAAACy0xOTAzODMzMzM0AwAAAAMxNjACAAAABDQwOTQEAAAAATAHAAAACTcvMTEvMjAyNggAAAAJMS8zMS8yMDI0CQAAAAEw4/Jab2/f3ggyedtvb9/eCB5DSVEuTllTRTpDUk0uSVFfTklfTUFSR0lOLjk5OS4BAAAAJeABAAIAAAAGMTYuMzUzAQgAAAAFAAAAATEBAAAACy0xOTAzODMzMzM3AwAAAAMxNjACAAAABDQwOTQEAAAAATAHAAAACTcvMTEvMjAyNggAAAAJMS8zMS8yMDI1CQAAAAEw4/Jab2/f3ggyedtvb9/eCB9DSVEuTllTRTpDUk0uSVFfTklfTUFSR0lOLjEwMDAuAQAAACXgAQACAAAABzE3Ljk1NzgBCAAAAAUAAAABMQEAAAALLTE5MDM4MzMzMjYDAAAAAzE2MAIAAAAENDA5NAQAAAABMAcAAAAJNy8xMS8yMDI2CAAAAAkxLzMxLzIwMjYJAAAAATDj8lpvb9/eCDJ5229v394IH0NJUS5OWVNFOkNSTS5JUV9OSV9NQVJHSU4uMjAwMC4BAAAAJeABAAIAAAAHMTguNzMyNgEIAAAABQAAAAExAQAAAAstMTg4NjU1NTUxMQMAAAADMTYwAgAAAAQ0MDk0BAAAAAEwBwAAAAk3LzExLzIwMjYIAAAACTQvMzAvMjAyNgkAAAABMOPyWm9v394IqKDbb2/f3ggiQ0lRLk5ZU0U6Q1JNLklRX0dST1NTX01BUkdJTi4xMDAwLgEAAAAl4AEAAgAAAAY3Ny42NzYBCAAAAAUAAAABMQEAAAALLTE5MDM4MzMzMjYDAAAAAzE2MAIAAAAENDA3NAQAAAABMAcAAAAJNy8xMS8yMDI2CAAAAAkxLzMxLzIwMjYJ</t>
  </si>
  <si>
    <t>AAAAATDj8lpvb9/eCDJ5229v394IIkNJUS5OWVNFOkNSTS5JUV9HUk9TU19NQVJHSU4uMjAwMC4BAAAAJeABAAIAAAAHNzcuNjQzNgEIAAAABQAAAAExAQAAAAstMTg4NjU1NTUxMQMAAAADMTYwAgAAAAQ0MDc0BAAAAAEwBwAAAAk3LzExLzIwMjYIAAAACTQvMzAvMjAyNgkAAAABMOPyWm9v394IMnnbb2/f3ggiQ0lRLk5ZU0U6Q1JNLklRX0VCSVREQV9NQVJHSU4uOTk4LgEAAAAl4AEAAgAAAAcyOC41NjgxAQgAAAAFAAAAATEBAAAACy0xOTAzODMzMzM0AwAAAAMxNjACAAAABDQwNDcEAAAAATAHAAAACTcvMTEvMjAyNggAAAAJMS8zMS8yMDI0CQAAAAEw4/Jab2/f3ggyedtvb9/eCCJDSVEuTllTRTpDUk0uSVFfRUJJVERBX01BUkdJTi45OTkuAQAAACXgAQACAAAABzI5LjQwNDkBCAAAAAUAAAABMQEAAAALLTE5MDM4MzMzMzcDAAAAAzE2MAIAAAAENDA0NwQAAAABMAcAAAAJNy8xMS8yMDI2CAAAAAkxLzMxLzIwMjUJAAAAATDj8lpvb9/eCDJ5229v394II0NJUS5OWVNFOkNSTS5JUV9FQklUREFfTUFSR0lOLjEwMDAuAQAAACXgAQACAAAABzMwLjIxNzkBCAAAAAUAAAABMQEAAAALLTE5MDM4MzMzMjYDAAAAAzE2MAIAAAAENDA0NwQAAAABMAcAAAAJNy8xMS8yMDI2CAAAAAkxLzMxLzIwMjYJAAAAATDj8lpvb9/eCDJ5229v394IIUNJUS5OWVNFOkNSTS5JUV9HUk9TU19NQVJHSU4uOTk4LgEAAAAl</t>
  </si>
  <si>
    <t>4AEAAgAAAAY3NS40OTcBCAAAAAUAAAABMQEAAAALLTE5MDM4MzMzMzQDAAAAAzE2MAIAAAAENDA3NAQAAAABMAcAAAAJNy8xMS8yMDI2CAAAAAkxLzMxLzIwMjQJAAAAATDj8lpvb9/eCOpk229v394IIUNJUS5OWVNFOkNSTS5JUV9HUk9TU19NQVJHSU4uOTk5LgEAAAAl4AEAAgAAAAc3Ny4xOTIyAQgAAAAFAAAAATEBAAAACy0xOTAzODMzMzM3AwAAAAMxNjACAAAABDQwNzQEAAAAATAHAAAACTcvMTEvMjAyNggAAAAJMS8zMS8yMDI1CQAAAAEw4/Jab2/f3ggyedtvb9/eCCBDSVEuTllTRTpDUk0uSVFfUEVSSU9EREFURS4yMDAwLgEAAAAl4AEABQAAAAozMC8wNC8yMDI2AOPyWm9v394Ir0/bb2/f3gggQ0lRLk5ZU0U6Q1JNLklRX1BFUklPRERBVEUuMTAwMC4BAAAAJeABAAUAAAAKMzEvMDEvMjAyNgDj8lpvb9/eCOI6229v394INkNJUS5OWVNFOk9SQ0wuSVFfTUlOT1JJVFlfSU5URVJFU1RfVE9UQUwuNTAwLi4uRi5VU0QuSAEAAADnVgAAAgAAAAM1NDgBCAAAAAUAAAABMQEAAAALLTE4ODM1MDQwODYDAAAAAzE2MAIAAAAEMTMxMgQAAAABMAcAAAAJNy8xMS8yMDI2CAAAAAk1LzMxLzIwMjYJAAAAATDj8lpvb9/eCIl02m9v394IKkNJUS5OWVNFOk9SQ0wuSVFfUFJFRl9FUVVJVFkuNTAwLi4uRi5VU0QuSAEAAADnVgAAAgAAAAQ0OTU0AQgAAAAFAAAAATEBAAAACy0xODgzNTA0MDg2AwAAAAMxNjAC</t>
  </si>
  <si>
    <t>AAAABDEwMDUEAAAAATAHAAAACTcvMTEvMjAyNggAAAAJNS8zMS8yMDI2CQAAAAEw4/Jab2/f3giJdNpvb9/eCClDSVEuTllTRTpPUkNMLklRX1RPVEFMX0RFQlQuNTAwLi4uRi5VU0QuSAEAAADnVgAAAgAAAAYxNjc0MzIBCAAAAAUAAAABMQEAAAALLTE4ODM1MDQwODYDAAAAAzE2MAIAAAAENDE3MwQAAAABMAcAAAAJNy8xMS8yMDI2CAAAAAk1LzMxLzIwMjYJAAAAATDj8lpvb9/eCFJM2m9v394ILUNJUS5OWVNFOk9SQ0wuSVFfQ0FTSF9TVF9JTlZFU1QuNTAwLi4uRi5VU0QuSAEAAADnVgAAAgAAAAUzMTg5NAEIAAAABQAAAAExAQAAAAstMTg4MzUwNDA4NgMAAAADMTYwAgAAAAQxMDAyBAAAAAEwBwAAAAk3LzExLzIwMjYIAAAACTUvMzEvMjAyNgkAAAABMOPyWm9v394IUkzab2/f3gglQ0lRLk5ZU0U6T1JDTC5JUV9FQklUREEuMTAwMC4uLi5VU0QuSAEAAADnVgAAAgAAAAUzMDQ5NAEIAAAABQAAAAExAQAAAAstMTg4MzUwNTM5NwMAAAADMTYwAgAAAAQ0MDUxBAAAAAEwBwAAAAk3LzExLzIwMjYIAAAACTUvMzEvMjAyNgkAAAABMOPyWm9v394IUkzab2/f3ggoQ0lRLk5ZU0U6T1JDTC5JUV9UT1RBTF9SRVYuMjAwMC4uLi5VU0QuSAEAAADnVgAAAgAAAAU2NzM1NwEIAAAABQAAAAExAQAAAAstMTg4MzUwNDA4NAMAAAADMTYwAgAAAAIyOAQAAAABMAcAAAAJNy8xMS8yMDI2CAAAAAk1LzMxLzIwMjYJ</t>
  </si>
  <si>
    <t>AAAAATDj8lpvb9/eCGg02m9v394IKENJUS5OWVNFOk9SQ0wuSVFfVE9UQUxfUkVWLjEwMDAuLi4uVVNELkgBAAAA51YAAAIAAAAFNjczNTcBCAAAAAUAAAABMQEAAAALLTE4ODM1MDUzOTcDAAAAAzE2MAIAAAACMjgEAAAAATAHAAAACTcvMTEvMjAyNggAAAAJNS8zMS8yMDI2CQAAAAEw4/Jab2/f3ghoNNpvb9/eCC1DSVEuTllTRTpPUkNMLklRX0RJTFVUX0VQU19FWENMLjIwMDAuLi4uVVNELkgBAAAA51YAAAIAAAAENS44MwEIAAAABQAAAAExAQAAAAstMTg4MzUwNDA4NAMAAAADMTYwAgAAAAMxNDIEAAAAATAHAAAACTcvMTEvMjAyNggAAAAJNS8zMS8yMDI2CQAAAAEw4/Jab2/f3ghoNNpvb9/eCC1DSVEuTllTRTpPUkNMLklRX0RJTFVUX0VQU19FWENMLjEwMDAuLi4uVVNELkgBAAAA51YAAAIAAAAENS44MwEIAAAABQAAAAExAQAAAAstMTg4MzUwNTM5NwMAAAADMTYwAgAAAAMxNDIEAAAAATAHAAAACTcvMTEvMjAyNggAAAAJNS8zMS8yMDI2CQAAAAEw4/Jab2/f3ghoNNpvb9/eCCVDSVEuTllTRTpPUkNMLklRX0VCSVREQS4yMDAwLi4uLlVTRC5IAQAAAOdWAAACAAAABTMwNDk0AQgAAAAFAAAAATEBAAAACy0xODgzNTA0MDg0AwAAAAMxNjACAAAABDQwNTEEAAAAATAHAAAACTcvMTEvMjAyNggAAAAJNS8zMS8yMDI2CQAAAAEw4/Jab2/f3gg1Htpvb9/eCCFDSVEuTllTRTpPUkNMLklRX1BFUklP</t>
  </si>
  <si>
    <t>RERBVEUuMjAwMC4BAAAA51YAAAUAAAAKMzEvMDUvMjAyNgDj8lpvb9/eCGg02m9v394IIUNJUS5OWVNFOk9SQ0wuSVFfUEVSSU9EREFURS4xMDAwLgEAAADnVgAABQAAAAozMS8wNS8yMDI2AOPyWm9v394IHQjab2/f3ggiQ0lRLk5ZU0U6T1JDTC5JUV9HUk9TU19NQVJHSU4uOTk4LgEAAADnVgAAAgAAAAc3MS40MDcyAQgAAAAFAAAAATEBAAAACy0xODgzNTA1Mzk1AwAAAAMxNjACAAAABDQwNzQEAAAAATAHAAAACTcvMTEvMjAyNggAAAAJNS8zMS8yMDI0CQAAAAEw4/Jab2/f3gg88tlvb9/eCCNDSVEuTllTRTpPUkNMLklRX0VCSVREQV9NQVJHSU4uOTk5LgEAAADnVgAAAgAAAAczOC45MDgzAQgAAAAFAAAAATEBAAAACy0xODgzNTA1MzkyAwAAAAMxNjACAAAABDQwNDcEAAAAATAHAAAACTcvMTEvMjAyNggAAAAJNS8zMS8yMDI1CQAAAAEw4/Jab2/f3ghX3dlvb9/eCCNDSVEuTllTRTpPUkNMLklRX0VCSVREQV9NQVJHSU4uOTk4LgEAAADnVgAAAgAAAAc0MS4zNDM2AQgAAAAFAAAAATEBAAAACy0xODgzNTA1Mzk1AwAAAAMxNjACAAAABDQwNDcEAAAAATAHAAAACTcvMTEvMjAyNggAAAAJNS8zMS8yMDI0CQAAAAEw4/Jab2/f3gg88tlvb9/eCCNDSVEuTllTRTpPUkNMLklRX0dST1NTX01BUkdJTi4yMDAwLgEAAADnVgAAAgAAAAc2NS44MjI0AQgAAAAFAAAAATEBAAAACy0xODgzNTA0MDg0AwAAAAMx</t>
  </si>
  <si>
    <t>NjACAAAABDQwNzQEAAAAATAHAAAACTcvMTEvMjAyNggAAAAJNS8zMS8yMDI2CQAAAAEw4/Jab2/f3gg88tlvb9/eCCNDSVEuTllTRTpPUkNMLklRX0dST1NTX01BUkdJTi4xMDAwLgEAAADnVgAAAgAAAAc2NS44MjI0AQgAAAAFAAAAATEBAAAACy0xODgzNTA1Mzk3AwAAAAMxNjACAAAABDQwNzQEAAAAATAHAAAACTcvMTEvMjAyNggAAAAJNS8zMS8yMDI2CQAAAAEw4/Jab2/f3gg88tlvb9/eCCJDSVEuTllTRTpPUkNMLklRX0dST1NTX01BUkdJTi45OTkuAQAAAOdWAAACAAAABzcwLjUwOTkBCAAAAAUAAAABMQEAAAALLTE4ODM1MDUzOTIDAAAAAzE2MAIAAAAENDA3NAQAAAABMAcAAAAJNy8xMS8yMDI2CAAAAAk1LzMxLzIwMjUJAAAAATDj8lpvb9/eCCXJ2W9v394IIENJUS5OWVNFOk9SQ0wuSVFfTklfTUFSR0lOLjEwMDAuAQAAAOdWAAACAAAABzI1LjM2NzgBCAAAAAUAAAABMQEAAAALLTE4ODM1MDUzOTcDAAAAAzE2MAIAAAAENDA5NAQAAAABMAcAAAAJNy8xMS8yMDI2CAAAAAk1LzMxLzIwMjYJAAAAATDj8lpvb9/eCFfd2W9v394IH0NJUS5OWVNFOk9SQ0wuSVFfTklfTUFSR0lOLjk5OS4BAAAA51YAAAIAAAAGMjEuNjc4AQgAAAAFAAAAATEBAAAACy0xODgzNTA1MzkyAwAAAAMxNjACAAAABDQwOTQEAAAAATAHAAAACTcvMTEvMjAyNggAAAAJNS8zMS8yMDI1CQAAAAEw4/Jab2/f3ghX3dlvb9/e</t>
  </si>
  <si>
    <t>CB9DSVEuTllTRTpPUkNMLklRX05JX01BUkdJTi45OTguAQAAAOdWAAACAAAABzE5Ljc2MzUBCAAAAAUAAAABMQEAAAALLTE4ODM1MDUzOTUDAAAAAzE2MAIAAAAENDA5NAQAAAABMAcAAAAJNy8xMS8yMDI2CAAAAAk1LzMxLzIwMjQJAAAAATDj8lpvb9/eCFfd2W9v394IJENJUS5OWVNFOk9SQ0wuSVFfRUJJVERBX01BUkdJTi4yMDAwLgEAAADnVgAAAgAAAAc0NS4yNzIyAQgAAAAFAAAAATEBAAAACy0xODgzNTA0MDg0AwAAAAMxNjACAAAABDQwNDcEAAAAATAHAAAACTcvMTEvMjAyNggAAAAJNS8zMS8yMDI2CQAAAAEw4/Jab2/f3ghX3dlvb9/eCCRDSVEuTllTRTpPUkNMLklRX0VCSVREQV9NQVJHSU4uMTAwMC4BAAAA51YAAAIAAAAHNDUuMjcyMgEIAAAABQAAAAExAQAAAAstMTg4MzUwNTM5NwMAAAADMTYwAgAAAAQ0MDQ3BAAAAAEwBwAAAAk3LzExLzIwMjYIAAAACTUvMzEvMjAyNgkAAAABMOPyWm9v394IJcnZb2/f3ggvQ0lRLk5ZU0U6T1JDTC5JUV9UT1RBTF9SRVZfMVlSX0FOTl9HUk9XVEguMjAwMC4BAAAA51YAAAIAAAAHMTcuMzQ4NwEIAAAABQAAAAExAQAAAAstMTg4MzUwNDA4NAMAAAADMTYwAgAAAAQ0MTk0BAAAAAEwBwAAAAk3LzExLzIwMjYIAAAACTUvMzEvMjAyNgkAAAABMOPyWm9v394IJcnZb2/f3ggvQ0lRLk5ZU0U6T1JDTC5JUV9UT1RBTF9SRVZfMVlSX0FOTl9HUk9XVEguMTAw</t>
  </si>
  <si>
    <t>MC4BAAAA51YAAAIAAAAHMTcuMzQ4NwEIAAAABQAAAAExAQAAAAstMTg4MzUwNTM5NwMAAAADMTYwAgAAAAQ0MTk0BAAAAAEwBwAAAAk3LzExLzIwMjYIAAAACTUvMzEvMjAyNgkAAAABMOPyWm9v394IJcnZb2/f3ggtQ0lRLk5ZU0U6T1JDTC5JUV9UT1RBTF9SRVZfM1lSX0FOTl9DQUdSLjIwMDAuAQAAAOdWAAACAAAABzEwLjQ3NjcBCAAAAAUAAAABMQEAAAALLTE4ODM1MDQwODQDAAAAAzE2MAIAAAAENDIyMAQAAAABMAcAAAAJNy8xMS8yMDI2CAAAAAk1LzMxLzIwMjYJAAAAATDj8lpvb9/eCCXJ2W9v394ILUNJUS5OWVNFOk9SQ0wuSVFfVE9UQUxfUkVWXzVZUl9BTk5fQ0FHUi4yMDAwLgEAAADnVgAAAgAAAAcxMC43MjExAQgAAAAFAAAAATEBAAAACy0xODgzNTA0MDg0AwAAAAMxNjACAAAABDQyMzMEAAAAATAHAAAACTcvMTEvMjAyNggAAAAJNS8zMS8yMDI2CQAAAAEw4/Jab2/f3gglydlvb9/eCCBDSVEuTllTRTpPUkNMLklRX05JX01BUkdJTi4yMDAwLgEAAADnVgAAAgAAAAcyNS4zNjc4AQgAAAAFAAAAATEBAAAACy0xODgzNTA0MDg0AwAAAAMxNjACAAAABDQwOTQEAAAAATAHAAAACTcvMTEvMjAyNggAAAAJNS8zMS8yMDI2CQAAAAEw4/Jab2/f3giXs9lvb9/eCCdDSVEuTllTRTpPUkNMLklRX0VQU181WVJfQU5OX0NBR1IuMjAwMC4BAAAA51YAAAIAAAAGNS4wODI3AQgAAAAFAAAAATEBAAAA</t>
  </si>
  <si>
    <t>Cy0xODgzNTA0MDg0AwAAAAMxNjACAAAABDQyMzkEAAAAATAHAAAACTcvMTEvMjAyNggAAAAJNS8zMS8yMDI2CQAAAAEw4/Jab2/f3giXs9lvb9/eCCxDSVEuTllTRTpPUkNMLklRX0VCSVREQV8xWVJfQU5OX0dST1dUSC4yMDAwLgEAAADnVgAAAgAAAAczNi41NDIzAQgAAAAFAAAAATEBAAAACy0xODgzNTA0MDg0AwAAAAMxNjACAAAABDQxOTYEAAAAATAHAAAACTcvMTEvMjAyNggAAAAJNS8zMS8yMDI2CQAAAAEw4/Jab2/f3giXs9lvb9/eCCxDSVEuTllTRTpPUkNMLklRX0VCSVREQV8xWVJfQU5OX0dST1dUSC4xMDAwLgEAAADnVgAAAgAAAAczNi41NDIzAQgAAAAFAAAAATEBAAAACy0xODgzNTA1Mzk3AwAAAAMxNjACAAAABDQxOTYEAAAAATAHAAAACTcvMTEvMjAyNggAAAAJNS8zMS8yMDI2CQAAAAEw4/Jab2/f3giXs9lvb9/eCCpDSVEuTllTRTpPUkNMLklRX0VCSVREQV8zWVJfQU5OX0NBR1IuMjAwMC4BAAAA51YAAAIAAAAHMTUuNTI1NAEIAAAABQAAAAExAQAAAAstMTg4MzUwNDA4NAMAAAADMTYwAgAAAAQ0MjIyBAAAAAEwBwAAAAk3LzExLzIwMjYIAAAACTUvMzEvMjAyNgkAAAABMOPyWm9v394Il7PZb2/f3ggqQ0lRLk5ZU0U6T1JDTC5JUV9FQklUREFfNVlSX0FOTl9DQUdSLjIwMDAuAQAAAOdWAAACAAAABzEwLjQyOTUBCAAAAAUAAAABMQEAAAALLTE4ODM1MDQwODQDAAAAAzE2MAIAAAAE</t>
  </si>
  <si>
    <t>NDIzNQQAAAABMAcAAAAJNy8xMS8yMDI2CAAAAAk1LzMxLzIwMjYJAAAAATDj8lpvb9/eCCad2W9v394IJkNJUS5OWVNFOk9SQ0wuSVFfTkVUX0RFQlRfRUJJVERBLjIwMDAuAQAAAOdWAAACAAAACDQuMDcxNjc3AQgAAAAFAAAAATEBAAAACy0xODgzNTA0MDg0AwAAAAMxNjACAAAABDQxOTMEAAAAATAHAAAACTcvMTEvMjAyNggAAAAJNS8zMS8yMDI2CQAAAAEw4/Jab2/f3ggmndlvb9/eCChDSVEuTllTRTpPUkNMLklRX1RPVEFMX0RFQlRfRUJJVERBLjIwMDAuAQAAAOdWAAACAAAABjUuMDI5OAEIAAAABQAAAAExAQAAAAstMTg4MzUwNDA4NAMAAAADMTYwAgAAAAQ0MTkyBAAAAAEwBwAAAAk3LzExLzIwMjYIAAAACTUvMzEvMjAyNgkAAAABMOPyWm9v394IJp3Zb2/f3ggpQ0lRLk5ZU0U6T1JDTC5JUV9FUFNfMVlSX0FOTl9HUk9XVEguMjAwMC4BAAAA51YAAAIAAAAHMzQuMzMxNwEIAAAABQAAAAExAQAAAAstMTg4MzUwNDA4NAMAAAADMTYwAgAAAAQ0MjAwBAAAAAEwBwAAAAk3LzExLzIwMjYIAAAACTUvMzEvMjAyNgkAAAABMOPyWm9v394IJp3Zb2/f3ggpQ0lRLk5ZU0U6T1JDTC5JUV9FUFNfMVlSX0FOTl9HUk9XVEguMTAwMC4BAAAA51YAAAIAAAAHMzQuMzMxNwEIAAAABQAAAAExAQAAAAstMTg4MzUwNTM5NwMAAAADMTYwAgAAAAQ0MjAwBAAAAAEwBwAAAAk3LzExLzIwMjYIAAAACTUvMzEvMjAy</t>
  </si>
  <si>
    <t>NgkAAAABMOPyWm9v394Il7PZb2/f3ggnQ0lRLk5ZU0U6T1JDTC5JUV9FUFNfM1lSX0FOTl9DQUdSLjIwMDAuAQAAAOdWAAACAAAABjIzLjgzNQEIAAAABQAAAAExAQAAAAstMTg4MzUwNDA4NAMAAAADMTYwAgAAAAQ0MjI2BAAAAAEwBwAAAAk3LzExLzIwMjYIAAAACTUvMzEvMjAyNgkAAAABMOPyWm9v394IKIjZb2/f3ggkQ0lRLk5ZU0U6T1JDTC5JUV9SRVRVUk5fRVFVSVRZLjIwMDAuAQAAAOdWAAACAAAABjUzLjM3NgEIAAAABQAAAAExAQAAAAstMTg4MzUwNDA4NAMAAAADMTYwAgAAAAQ0MTI4BAAAAAEwBwAAAAk3LzExLzIwMjYIAAAACTUvMzEvMjAyNgkAAAABMOPyWm9v394IKIjZb2/f3ggoQ0lRLk5ZU0U6T1JDTC5JUV9UT1RBTF9ERUJUX0NBUElUQUwuNTAwLgEAAADnVgAAAgAAAAc3OS41NDQ2AQgAAAAFAAAAATEBAAAACy0xODgzNTA0MDg2AwAAAAMxNjACAAAABDQxODYEAAAAATAHAAAACTcvMTEvMjAyNggAAAAJNS8zMS8yMDI2CQAAAAEw4/Jab2/f3ggoiNlvb9/eCCdDSVEuTllTRTpPUkNMLklRX1RPVEFMX0RFQlRfRVFVSVRZLjUwMC4BAAAA51YAAAIAAAAIMzg4Ljg3MDMBCAAAAAUAAAABMQEAAAALLTE4ODM1MDQwODYDAAAAAzE2MAIAAAAENDAzNAQAAAABMAcAAAAJNy8xMS8yMDI2CAAAAAk1LzMxLzIwMjYJAAAAATDj8lpvb9/eCCad2W9v394IJ0NJUS5OWVNFOk9SQ0wuSVFfRUJJ</t>
  </si>
  <si>
    <t>VERBX0NBUEVYX0lOVC4yMDAwLgEAAADnVgAAAwAAAAJOTQEIAAAABQAAAAExAQAAAAstMTg4MzUwNDA4NAMAAAADMTYwAgAAAAQ0MTkxBAAAAAEwBwAAAAk3LzExLzIwMjYIAAAACTUvMzEvMjAyNgkAAAABMOPyWm9v394IJp3Zb2/f3gghQ0lRLk5ZU0U6T1JDTC5JUV9FQklUREFfSU5ULjIwMDAuAQAAAOdWAAACAAAACDcuMjM4MDk1AQgAAAAFAAAAATEBAAAACy0xODgzNTA0MDg0AwAAAAMxNjACAAAABDQxOTAEAAAAATAHAAAACTcvMTEvMjAyNggAAAAJNS8zMS8yMDI2CQAAAAEw4/Jab2/f3giNc9lvb9/eCCVDSVEuTllTRTpPUkNMLklRX0RBWVNfU0FMRVNfT1VULjIwMDAuAQAAAOdWAAACAAAACDUxLjMyNDg0AQgAAAAFAAAAATEBAAAACy0xODgzNTA0MDg0AwAAAAMxNjACAAAABDQwNDIEAAAAATAHAAAACTcvMTEvMjAyNggAAAAJNS8zMS8yMDI2CQAAAAEw4/Jab2/f3giNc9lvb9/eCCFDSVEuTllTRTpPUkNMLklRX1FVSUNLX1JBVElPLjUwMC4BAAAA51YAAAIAAAAIMS4wMTIzMzEBCAAAAAUAAAABMQEAAAALLTE4ODM1MDQwODYDAAAAAzE2MAIAAAAENDEyMQQAAAABMAcAAAAJNy8xMS8yMDI2CAAAAAk1LzMxLzIwMjYJAAAAATDj8lpvb9/eCCiI2W9v394II0NJUS5OWVNFOk9SQ0wuSVFfQ1VSUkVOVF9SQVRJTy41MDAuAQAAAOdWAAACAAAACDEuMTE1MDAzAQgAAAAFAAAAATEBAAAACy0xODgz</t>
  </si>
  <si>
    <t>NTA0MDg2AwAAAAMxNjACAAAABDQwMzAEAAAAATAHAAAACTcvMTEvMjAyNggAAAAJNS8zMS8yMDI2CQAAAAEw4/Jab2/f3ggoiNlvb9/eCC5DSVEuTllTRTpPUkNMLklRX1JFVFVSTl9JTlZFU1RFRF9DQVBJVEFMLjIwMDAuAQAAAOdWAAACAAAABTYuNjM5AOPyWm9v394IKIjZb2/f3ggkQ0lRLk5ZU0U6T1JDTC5JUV9SRVRVUk5fQVNTRVRTLjIwMDAuAQAAAOdWAAACAAAABjYuNTA1NAEIAAAABQAAAAExAQAAAAstMTg4MzUwNDA4NAMAAAADMTYwAgAAAAQ0MTc4BAAAAAEwBwAAAAk3LzExLzIwMjYIAAAACTUvMzEvMjAyNgkAAAABMOPyWm9v394I8F7Zb2/f3ggoQ0lRLk5ZU0U6T1JDTC5JUV9GSVhFRF9BU1NFVF9UVVJOUy4yMDAwLgEAAADnVgAAAgAAAAgwLjcyMzA0OAEIAAAABQAAAAExAQAAAAstMTg4MzUwNDA4NAMAAAADMTYwAgAAAAQ0MDY2BAAAAAEwBwAAAAk3LzExLzIwMjYIAAAACTUvMzEvMjAyNgkAAAABMOPyWm9v394I8F7Zb2/f3ggiQ0lRLk5ZU0U6T1JDTC5JUV9BU1NFVF9UVVJOUy4yMDAwLgEAAADnVgAAAgAAAAYwLjMxMzIBCAAAAAUAAAABMQEAAAALLTE4ODM1MDQwODQDAAAAAzE2MAIAAAAENDE3NwQAAAABMAcAAAAJNy8xMS8yMDI2CAAAAAk1LzMxLzIwMjYJAAAAATDj8lpvb9/eCPBe2W9v394IJkNJUS5OWVNFOk9SQ0wuSVFfQ0FTSF9DT05WRVJTSU9OLjIwMDAuAQAAAOdWAAAD</t>
  </si>
  <si>
    <t>AAAAAADj8lpvb9/eCI1z2W9v394IJ0NJUS5OWVNFOk9SQ0wuSVFfREFZU19QQVlBQkxFX09VVC4yMDAwLgEAAADnVgAAAgAAAAoxMjcuNTUzOTk1AQgAAAAFAAAAATEBAAAACy0xODgzNTA0MDg0AwAAAAMxNjACAAAABDQxODMEAAAAATAHAAAACTcvMTEvMjAyNggAAAAJNS8zMS8yMDI2CQAAAAEw4/Jab2/f3giNc9lvb9/eCClDSVEuTllTRTpPUkNMLklRX0RBWVNfSU5WRU5UT1JZX09VVC4yMDAwLgEAAADnVgAAAwAAAAAA4/Jab2/f3gihStlvb9/eCCZDSVEuTllTRTpPUkNMLklRX0lOVkVOVE9SWV9UVVJOUy4yMDAwLgEAAADnVgAAAwAAAAAA4/Jab2/f3gihStlvb9/eCB9DSVEuTllTRTpPUkNMLklRX0FSX1RVUk5TLjIwMDAuAQAAAOdWAAACAAAACDcuMTExNTQ1AQgAAAAFAAAAATEBAAAACy0xODgzNTA0MDg0AwAAAAMxNjACAAAABDQwMDEEAAAAATAHAAAACTcvMTEvMjAyNggAAAAJNS8zMS8yMDI2CQAAAAEw4/Jab2/f3gihStlvb9/eCC5DSVEuTkFTREFRR1M6QU1aTi5JUV9FQklUREFfRVNULjEwMDAxLi4uLlVTRC5IAQAAAD1JAAACAAAADDIxMTIwOS4yMTA2MgEOAAAABQAAAAIxMQEAAAABMAIAAAAKMTAwMjU3MjkyNgMAAAAGMTAwMTg3BAAAAAEyBgAAAAEwBwAAAAMxNjAIAAAAATAJAAAAATEKAAAAATALAAAACzE0ODYxNzEyOTc5DAAAAAE3DQAAAAk3LzEyLzIwMjYQAAAACTcvMTEvMjAy</t>
  </si>
  <si>
    <t>NuPyWm9v394ID8Djb2/f3ggvQ0lRLk5BU0RBUUdTOkFNWk4uSVFfUkVWRU5VRV9FU1QuMTAwMDIuLi4uVVNELkgBAAAAPUkAAAIAAAAMOTMwNjI0LjMyNjUyAQ4AAAAFAAAAAjExAQAAAAEwAgAAAAoxMDAyNTcyOTI3AwAAAAYxMDAxODAEAAAAATIGAAAAATAHAAAAAzE2MAgAAAABMAkAAAABMQoAAAABMAsAAAALMTQ4NjE3MTMwMDMMAAAAATcNAAAACTcvMTIvMjAyNhAAAAAJNy8xMS8yMDI24/Jab2/f3ghug+Nvb9/eCC9DSVEuTkFTREFRR1M6QU1aTi5JUV9SRVZFTlVFX0VTVC4xMDAwMS4uLi5VU0QuSAEAAAA9SQAAAgAAAAw4MjMyMzkuMDQ5OTMBDgAAAAUAAAACMTEBAAAAATACAAAACjEwMDI1NzI5MjYDAAAABjEwMDE4MAQAAAABMgYAAAABMAcAAAADMTYwCAAAAAEwCQAAAAExCgAAAAEwCwAAAAsxNDg2MTcxMzA1MwwAAAABNw0AAAAJNy8xMi8yMDI2EAAAAAk3LzExLzIwMjbj8lpvb9/eCG6D429v394IK0NJUS5OQVNEQVFHUzpBTVpOLklRX0VQU19FU1QuMTAwMDIuLi4uVVNELkgBAAAAPUkAAAIAAAAHOS44OTE5MgEOAAAABQAAAAIxMQEAAAAHMjU4ODU2OAIAAAAKMTAwMjU3MjkyNwMAAAAGMTAwMTczBAAAAAEyBgAAAAEwBwAAAAMxNjAIAAAAATAJAAAAATEKAAAAATALAAAACzE0ODU5MDY3MjY1DAAAAAE3DQAAAAk3LzEyLzIwMjYQAAAACTcvMTEvMjAyNuPyWm9v394IboPjb2/f3ggrQ0lR</t>
  </si>
  <si>
    <t>Lk5BU0RBUUdTOkFNWk4uSVFfRVBTX0VTVC4xMDAwMS4uLi5VU0QuSAEAAAA9SQAAAgAAAAc4LjY5MTcyAQ4AAAAFAAAAAjExAQAAAAcyNTg4NTY4AgAAAAoxMDAyNTcyOTI2AwAAAAYxMDAxNzMEAAAAATIGAAAAATAHAAAAAzE2MAgAAAABMAkAAAABMQoAAAABMAsAAAALMTQ4NTkwNjcyNzkMAAAAATcNAAAACTcvMTIvMjAyNhAAAAAJNy8xMS8yMDI24/Jab2/f3ghug+Nvb9/eCC5DSVEuTkFTREFRR1M6QU1aTi5JUV9FQklUREFfRVNULjEwMDAyLi4uLlVTRC5IAQAAAD1JAAACAAAADDI2MTkxMC43NDA5OQEOAAAABQAAAAIxMQEAAAABMAIAAAAKMTAwMjU3MjkyNwMAAAAGMTAwMTg3BAAAAAEyBgAAAAEwBwAAAAMxNjAIAAAAATAJAAAAATEKAAAAATALAAAACzE0ODYxNzEyOTczDAAAAAE3DQAAAAk3LzEyLzIwMjYQAAAACTcvMTEvMjAyNuPyWm9v394IboPjb2/f3ggmQ0lRLk5ZU0U6Tk9XLklRX0VQU19FU1QuMTAwMDEuLi4uVVNELkgBAAAAv3ReAQIAAAAHNC4xMjI3NQEOAAAABQAAAAIxMQEAAAAJMjEwMDM5Mjc1AgAAAAoxMDAxNzgyMzM4AwAAAAYxMDAxNzMEAAAAATIGAAAAATAHAAAAAzE2MAgAAAABMAkAAAABMQoAAAABMAsAAAALMTQ4NjIxMzIxNDgMAAAAATcNAAAACTcvMTIvMjAyNhAAAAAJNy8xMS8yMDI24/Jab2/f3ghLqeJvb9/eCCZDSVEuTllTRTpOT1cuSVFfRVBTX0VTVC4xMDAwMi4u</t>
  </si>
  <si>
    <t>Li5VU0QuSAEAAAC/dF4BAgAAAAc1LjAyNTI2AQ4AAAAFAAAAAjExAQAAAAkyMTAwMzkyNzUCAAAACjEwMDE3ODIzNDMDAAAABjEwMDE3MwQAAAABMgYAAAABMAcAAAADMTYwCAAAAAEwCQAAAAExCgAAAAEwCwAAAAsxNDg2MjEzMjEzNgwAAAABNw0AAAAJNy8xMi8yMDI2EAAAAAk3LzExLzIwMjbj8lpvb9/eCEup4m9v394IKUNJUS5OWVNFOk5PVy5JUV9FQklUREFfRVNULjEwMDAxLi4uLlVTRC5IAQAAAL90XgECAAAACjU4OTMuMTIwMTkBDgAAAAUAAAACMTEBAAAAATACAAAACjEwMDE3ODIzMzgDAAAABjEwMDE4NwQAAAABMgYAAAABMAcAAAADMTYwCAAAAAEwCQAAAAExCgAAAAEwCwAAAAsxNDg1ODY4MTY1NQwAAAABNw0AAAAJNy8xMi8yMDI2EAAAAAk3LzExLzIwMjbj8lpvb9/eCBGV4m9v394IKUNJUS5OWVNFOk5PVy5JUV9FQklUREFfRVNULjEwMDAyLi4uLlVTRC5IAQAAAL90XgECAAAACjcxMTMuOTQ3ODQBDgAAAAUAAAACMTEBAAAAATACAAAACjEwMDE3ODIzNDMDAAAABjEwMDE4NwQAAAABMgYAAAABMAcAAAADMTYwCAAAAAEwCQAAAAExCgAAAAEwCwAAAAsxNDg1ODY4MTc0MwwAAAABNw0AAAAJNy8xMi8yMDI2EAAAAAk3LzExLzIwMjbj8lpvb9/eCBGV4m9v394IKkNJUS5OWVNFOk5PVy5JUV9SRVZFTlVFX0VTVC4xMDAwMS4uLi5VU0QuSAEAAAC/dF4BAgAAAAsxNjE5OS40MDQ4NQEOAAAA</t>
  </si>
  <si>
    <t>BQAAAAIxMQEAAAABMAIAAAAKMTAwMTc4MjMzOAMAAAAGMTAwMTgwBAAAAAEyBgAAAAEwBwAAAAMxNjAIAAAAATAJAAAAATEKAAAAATALAAAACzE0ODYyMTMxOTAyDAAAAAE3DQAAAAk3LzEyLzIwMjYQAAAACTcvMTEvMjAyNuPyWm9v394I/oDib2/f3ggqQ0lRLk5ZU0U6Tk9XLklRX1JFVkVOVUVfRVNULjEwMDAyLi4uLlVTRC5IAQAAAL90XgECAAAACzE5MjIyLjA1MDk1AQ4AAAAFAAAAAjExAQAAAAEwAgAAAAoxMDAxNzgyMzQzAwAAAAYxMDAxODAEAAAAATIGAAAAATAHAAAAAzE2MAgAAAABMAkAAAABMQoAAAABMAsAAAALMTQ4NjIxMzE4NDIMAAAAATcNAAAACTcvMTIvMjAyNhAAAAAJNy8xMS8yMDI24/Jab2/f3gj+gOJvb9/eCCtDSVEuTllTRTpTTk9XLklRX1JFVkVOVUVfRVNULjEwMDAyLi4uLlVTRC5IAQAAALA8ZBACAAAACDc2MzkuNjM2AQ4AAAAFAAAAAjExAQAAAAEwAgAAAAoxMDA0Nzk4MDYyAwAAAAYxMDAxODAEAAAAATIGAAAAATAHAAAAAzE2MAgAAAABMAkAAAABMQoAAAABMAsAAAALMTQ4NDEzMDg2MzMMAAAAATcNAAAACTcvMTIvMjAyNhAAAAAJNy8xMS8yMDI24/Jab2/f3gjgeuFvb9/eCCtDSVEuTllTRTpTTk9XLklRX1JFVkVOVUVfRVNULjEwMDAxLi4uLlVTRC5IAQAAALA8ZBACAAAACjYxMDAuNjk2OTcBDgAAAAUAAAACMTEBAAAAATACAAAACjEwMDQ3OTgwNjEDAAAABjEwMDE4</t>
  </si>
  <si>
    <t>MAQAAAABMgYAAAABMAcAAAADMTYwCAAAAAEwCQAAAAExCgAAAAEwCwAAAAsxNDg0MTMxMjEzNwwAAAABNw0AAAAJNy8xMi8yMDI2EAAAAAk3LzExLzIwMjbj8lpvb9/eCIxT4W9v394IKkNJUS5OWVNFOlNOT1cuSVFfRUJJVERBX0VTVC4xMDAwMi4uLi5VU0QuSAEAAACwPGQQAgAAAAkxNDAyLjMzNTcBDgAAAAUAAAACMTEBAAAAATACAAAACjEwMDQ3OTgwNjIDAAAABjEwMDE4NwQAAAABMgYAAAABMAcAAAADMTYwCAAAAAEwCQAAAAExCgAAAAEwCwAAAAsxNDg0MTMwMTU5NQwAAAABNw0AAAAJNy8xMi8yMDI2EAAAAAk3LzExLzIwMjbj8lpvb9/eCIxT4W9v394IKkNJUS5OWVNFOlNOT1cuSVFfRUJJVERBX0VTVC4xMDAwMS4uLi5VU0QuSAEAAACwPGQQAgAAAAoxMDUzLjc0Nzk1AQ4AAAAFAAAAAjExAQAAAAEwAgAAAAoxMDA0Nzk4MDYxAwAAAAYxMDAxODcEAAAAATIGAAAAATAHAAAAAzE2MAgAAAABMAkAAAABMQoAAAABMAsAAAALMTQ4NDEzMDE2NzMMAAAAATcNAAAACTcvMTIvMjAyNhAAAAAJNy8xMS8yMDI24/Jab2/f3giMU+Fvb9/eCCdDSVEuTllTRTpTTk9XLklRX0VQU19FU1QuMTAwMDIuLi4uVVNELkgBAAAAsDxkEAIAAAAHMi42ODY2NQEOAAAABQAAAAIxMQEAAAAJNjgzNDQ2MzQ2AgAAAAoxMDA0Nzk4MDYyAwAAAAYxMDAxNzMEAAAAATIGAAAAATAHAAAAAzE2MAgAAAABMAkAAAABMQoAAAAB</t>
  </si>
  <si>
    <t>MAsAAAALMTQ4NDEzMTU4MzUMAAAAATcNAAAACTcvMTIvMjAyNhAAAAAJNy8xMS8yMDI24/Jab2/f3giMU+Fvb9/eCCdDSVEuTllTRTpTTk9XLklRX0VQU19FU1QuMTAwMDEuLi4uVVNELkgBAAAAsDxkEAIAAAAGMS45MzE1AQ4AAAAFAAAAAjExAQAAAAk2ODM0NDYzNDYCAAAACjEwMDQ3OTgwNjEDAAAABjEwMDE3MwQAAAABMgYAAAABMAcAAAADMTYwCAAAAAEwCQAAAAExCgAAAAEwCwAAAAsxNDg0MTMxNjA0NQwAAAABNw0AAAAJNy8xMi8yMDI2EAAAAAk3LzExLzIwMjbj8lpvb9/eCIxT4W9v394IJ0NJUS5OWVNFOlMuSVFfRUJJVERBX0VTVC4xMDAwMi4uLi5VU0QuSAEAAACU6YYOAgAAAAkxOTkuMTQyNjcBDgAAAAUAAAACMTEBAAAAATACAAAACjEwMDUxMDYwMDYDAAAABjEwMDE4NwQAAAABMgYAAAABMAcAAAADMTYwCAAAAAEwCQAAAAExCgAAAAEwCwAAAAsxNDg1Mzg1Mzg3MgwAAAABNw0AAAAJNy8xMi8yMDI2EAAAAAk3LzExLzIwMjbj8lpvb9/eCNJ44G9v394IJENJUS5OWVNFOlMuSVFfRVBTX0VTVC4xMDAwMS4uLi5VU0QuSAEAAACU6YYOAgAAAAcwLjM0ODE3AQ4AAAAFAAAAAjExAQAAAAk3MTcwNzcxNzACAAAACjEwMDUxMDYwMDEDAAAABjEwMDE3MwQAAAABMgYAAAABMAcAAAADMTYwCAAAAAEwCQAAAAExCgAAAAEwCwAAAAsxNDg1Mzg0NTg5NAwAAAABNw0AAAAJNy8xMi8yMDI2EAAAAAk3</t>
  </si>
  <si>
    <t>LzExLzIwMjbj8lpvb9/eCMY84G9v394IJENJUS5OWVNFOlMuSVFfRVBTX0VTVC4xMDAwMi4uLi5VU0QuSAEAAACU6YYOAgAAAAcwLjQ5MzUzAQ4AAAAFAAAAAjExAQAAAAk3MTcwNzcxNzACAAAACjEwMDUxMDYwMDYDAAAABjEwMDE3MwQAAAABMgYAAAABMAcAAAADMTYwCAAAAAEwCQAAAAExCgAAAAEwCwAAAAsxNDg1Mzg0MjA1NwwAAAABNw0AAAAJNy8xMi8yMDI2EAAAAAk3LzExLzIwMjbj8lpvb9/eCMY84G9v394IKENJUS5OWVNFOlMuSVFfUkVWRU5VRV9FU1QuMTAwMDEuLi4uVVNELkgBAAAAlOmGDgIAAAAKMTIwMC4xOTI3MgEOAAAABQAAAAIxMQEAAAABMAIAAAAKMTAwNTEwNjAwMQMAAAAGMTAwMTgwBAAAAAEyBgAAAAEwBwAAAAMxNjAIAAAAATAJAAAAATEKAAAAATALAAAACzE0ODUzODQ5NTk4DAAAAAE3DQAAAAk3LzEyLzIwMjYQAAAACTcvMTEvMjAyNuPyWm9v394Ixjzgb2/f3ggoQ0lRLk5ZU0U6Uy5JUV9SRVZFTlVFX0VTVC4xMDAwMi4uLi5VU0QuSAEAAACU6YYOAgAAAAkxNDEyLjMyNzYBDgAAAAUAAAACMTEBAAAAATACAAAACjEwMDUxMDYwMDYDAAAABjEwMDE4MAQAAAABMgYAAAABMAcAAAADMTYwCAAAAAEwCQAAAAExCgAAAAEwCwAAAAsxNDg1Mzg0NDU3MAwAAAABNw0AAAAJNy8xMi8yMDI2EAAAAAk3LzExLzIwMjbj8lpvb9/eCMY84G9v394IJ0NJUS5OWVNFOlMuSVFfRUJJVERB</t>
  </si>
  <si>
    <t>X0VTVC4xMDAwMS4uLi5VU0QuSAEAAACU6YYOAgAAAAcxMjkuNTQ0AQ4AAAAFAAAAAjExAQAAAAEwAgAAAAoxMDA1MTA2MDAxAwAAAAYxMDAxODcEAAAAATIGAAAAATAHAAAAAzE2MAgAAAABMAkAAAABMQoAAAABMAsAAAALMTQ4NTM4NDEzOTQMAAAAATcNAAAACTcvMTIvMjAyNhAAAAAJNy8xMS8yMDI24/Jab2/f3gjGPOBvb9/eCCtDSVEuTkFTREFRR1M6TlZEQS5JUV9FUFNfRVNULjEwMDAyLi4uLlVTRC5IAQAAADN+AAACAAAACDEyLjc5MDAzAQ4AAAAFAAAAAjExAQAAAAcyNjM1MTU0AgAAAAoxMDAyMjA0MTQzAwAAAAYxMDAxNzMEAAAAATIGAAAAATAHAAAAAzE2MAgAAAABMAkAAAABMQoAAAABMAsAAAALMTQ4NjEzMTk4NTcMAAAAATcNAAAACTcvMTIvMjAyNhAAAAAJNy8xMS8yMDI24/Jab2/f3gg+Yd9vb9/eCC5DSVEuTkFTREFRR1M6TlZEQS5JUV9FQklUREFfRVNULjEwMDAxLi4uLlVTRC5IAQAAADN+AAACAAAADDI2NDc3Ny4wMzExNAEOAAAABQAAAAIxMQEAAAABMAIAAAAKMTAwMjIwNDE0MgMAAAAGMTAwMTg3BAAAAAEyBgAAAAEwBwAAAAMxNjAIAAAAATAJAAAAATEKAAAAATALAAAACzE0ODU1ODU4MzA3DAAAAAE3DQAAAAk3LzEyLzIwMjYQAAAACTcvMTEvMjAyNuPyWm9v394IPmHfb2/f3gguQ0lRLk5BU0RBUUdTOk5WREEuSVFfRUJJVERBX0VTVC4xMDAwMi4uLi5VU0QuSAEAAAAzfgAA</t>
  </si>
  <si>
    <t>AgAAAAwzNzk0NjMuNDU0ODMBDgAAAAUAAAACMTEBAAAAATACAAAACjEwMDIyMDQxNDMDAAAABjEwMDE4NwQAAAABMgYAAAABMAcAAAADMTYwCAAAAAEwCQAAAAExCgAAAAEwCwAAAAsxNDg1NTg1ODI4OQwAAAABNw0AAAAJNy8xMi8yMDI2EAAAAAk3LzExLzIwMjbj8lpvb9/eCD5h329v394IK0NJUS5OQVNEQVFHUzpOVkRBLklRX0VQU19FU1QuMTAwMDEuLi4uVVNELkgBAAAAM34AAAIAAAAHOC45NzY3NAEOAAAABQAAAAIxMQEAAAAHMjYzNTE1NAIAAAAKMTAwMjIwNDE0MgMAAAAGMTAwMTczBAAAAAEyBgAAAAEwBwAAAAMxNjAIAAAAATAJAAAAATEKAAAAATALAAAACzE0ODYxMzE5ODc1DAAAAAE3DQAAAAk3LzEyLzIwMjYQAAAACTcvMTEvMjAyNuPyWm9v394IbE3fb2/f3ggvQ0lRLk5BU0RBUUdTOk5WREEuSVFfUkVWRU5VRV9FU1QuMTAwMDEuLi4uVVNELkgBAAAAM34AAAIAAAAMMzkyNzkzLjE2OTI2AQ4AAAAFAAAAAjExAQAAAAEwAgAAAAoxMDAyMjA0MTQyAwAAAAYxMDAxODAEAAAAATIGAAAAATAHAAAAAzE2MAgAAAABMAkAAAABMQoAAAABMAsAAAALMTQ4NjEzMTk2NjcMAAAAATcNAAAACTcvMTIvMjAyNhAAAAAJNy8xMS8yMDI24/Jab2/f3ghsTd9vb9/eCC9DSVEuTkFTREFRR1M6TlZEQS5JUV9SRVZFTlVFX0VTVC4xMDAwMi4uLi5VU0QuSAEAAAAzfgAAAgAAAAw1NTU1MTMuNzk4MDYBDgAA</t>
  </si>
  <si>
    <t>AAUAAAACMTEBAAAAATACAAAACjEwMDIyMDQxNDMDAAAABjEwMDE4MAQAAAABMgYAAAABMAcAAAADMTYwCAAAAAEwCQAAAAExCgAAAAEwCwAAAAsxNDg2MTMxOTU3NQwAAAABNw0AAAAJNy8xMi8yMDI2EAAAAAk3LzExLzIwMjbj8lpvb9/eCAsm329v394IMENJUS5OQVNEQVFHUzpHT09HTC5JUV9SRVZFTlVFX0VTVC4xMDAwMS4uLi5VU0QuSAEAAACocQAAAgAAAAw0ODg1NDMuNjYyNDYBDgAAAAUAAAACMTEBAAAAATACAAAACjEwMDI0ODcxODEDAAAABjEwMDE4MAQAAAABMgYAAAABMAcAAAADMTYwCAAAAAEwCQAAAAExCgAAAAEwCwAAAAsxNDg2MTYyODUyMgwAAAABNw0AAAAJNy8xMi8yMDI2EAAAAAk3LzExLzIwMjbj8lpvb9/eCHuC3W9v394IL0NJUS5OQVNEQVFHUzpHT09HTC5JUV9FQklUREFfRVNULjEwMDAyLi4uLlVTRC5IAQAAAKhxAAACAAAADDI4NTA5NC4xOTUyNQEOAAAABQAAAAIxMQEAAAABMAIAAAAKMTAwMjQ4NzE4MgMAAAAGMTAwMTg3BAAAAAEyBgAAAAEwBwAAAAMxNjAIAAAAATAJAAAAATEKAAAAATALAAAACzE0ODYxNjI4NDQ2DAAAAAE3DQAAAAk3LzEyLzIwMjYQAAAACTcvMTEvMjAyNuPyWm9v394Ie4Ldb2/f3ggvQ0lRLk5BU0RBUUdTOkdPT0dMLklRX0VCSVREQV9FU1QuMTAwMDEuLi4uVVNELkgBAAAAqHEAAAIAAAAMMjI3OTI3LjY3MDY1AQ4AAAAFAAAAAjExAQAAAAEwAgAA</t>
  </si>
  <si>
    <t>AAoxMDAyNDg3MTgxAwAAAAYxMDAxODcEAAAAATIGAAAAATAHAAAAAzE2MAgAAAABMAkAAAABMQoAAAABMAsAAAALMTQ4NjE2Mjg0NTIMAAAAATcNAAAACTcvMTIvMjAyNhAAAAAJNy8xMS8yMDI24/Jab2/f3gh7gt1vb9/eCDBDSVEuTkFTREFRR1M6R09PR0wuSVFfUkVWRU5VRV9FU1QuMTAwMDIuLi4uVVNELkgBAAAAqHEAAAIAAAALNTgzNzEzLjc3NTQBDgAAAAUAAAACMTEBAAAAATACAAAACjEwMDI0ODcxODIDAAAABjEwMDE4MAQAAAABMgYAAAABMAcAAAADMTYwCAAAAAEwCQAAAAExCgAAAAEwCwAAAAsxNDg2MTYyODQ3NgwAAAABNw0AAAAJNy8xMi8yMDI2EAAAAAk3LzExLzIwMjbj8lpvb9/eCHuC3W9v394ILENJUS5OQVNEQVFHUzpHT09HTC5JUV9FUFNfRVNULjEwMDAyLi4uLlVTRC5IAQAAAKhxAAACAAAABzE0LjU3MjUBDgAAAAUAAAACMTEBAAAACDExMzExNjYyAgAAAAoxMDAyNDg3MTgyAwAAAAYxMDAxNzMEAAAAATIGAAAAATAHAAAAAzE2MAgAAAABMAkAAAABMQoAAAABMAsAAAALMTQ4NjA1NDI1NzIMAAAAATcNAAAACTcvMTIvMjAyNhAAAAAJNy8xMS8yMDI24/Jab2/f3giibt1vb9/eCCxDSVEuTkFTREFRR1M6R09PR0wuSVFfRVBTX0VTVC4xMDAwMS4uLi5VU0QuSAEAAACocQAAAgAAAAcxNC4yMjc4AQ4AAAAFAAAAAjExAQAAAAgxMTMxMTY2MgIAAAAKMTAwMjQ4NzE4MQMAAAAGMTAw</t>
  </si>
  <si>
    <t>MTczBAAAAAEyBgAAAAEwBwAAAAMxNjAIAAAAATAJAAAAATEKAAAAATALAAAACzE0ODYwNTQyNzA0DAAAAAE3DQAAAAk3LzEyLzIwMjYQAAAACTcvMTEvMjAyNuPyWm9v394Iom7db2/f3ggmQ0lRLk5ZU0U6Q1JNLklRX0VQU19FU1QuMTAwMDEuLi4uVVNELkgBAAAAJeABAAIAAAAIMTQuMTI3NTMBDgAAAAUAAAACMTEBAAAACDEwNDU4MjI2AgAAAAoxMDAyMzI2MTA3AwAAAAYxMDAxNzMEAAAAATIGAAAAATAHAAAAAzE2MAgAAAABMAkAAAABMQoAAAABMAsAAAALMTQ4NjIxMjY0MDUMAAAAATcNAAAACTcvMTIvMjAyNhAAAAAJNy8xMS8yMDI24/Jab2/f3ghEVtxvb9/eCCZDSVEuTllTRTpDUk0uSVFfRVBTX0VTVC4xMDAwMi4uLi5VU0QuSAEAAAAl4AEAAgAAAAgxNS41MTIzNAEOAAAABQAAAAIxMQEAAAAIMTA0NTgyMjYCAAAACjEwMDIzMjYxMDgDAAAABjEwMDE3MwQAAAABMgYAAAABMAcAAAADMTYwCAAAAAEwCQAAAAExCgAAAAEwCwAAAAsxNDg2MjEyNjM5MwwAAAABNw0AAAAJNy8xMi8yMDI2EAAAAAk3LzExLzIwMjbj8lpvb9/eCERW3G9v394IKkNJUS5OWVNFOkNSTS5JUV9SRVZFTlVFX0VTVC4xMDAwMi4uLi5VU0QuSAEAAAAl4AEAAgAAAAs1MDU0MS41MzY0MQEOAAAABQAAAAIxMQEAAAABMAIAAAAKMTAwMjMyNjEwOAMAAAAGMTAwMTgwBAAAAAEyBgAAAAEwBwAAAAMxNjAIAAAAATAJAAAAATEK</t>
  </si>
  <si>
    <t>AAAAATALAAAACzE0ODYyMTI2MjM3DAAAAAE3DQAAAAk3LzEyLzIwMjYQAAAACTcvMTEvMjAyNuPyWm9v394IRFbcb2/f3ggpQ0lRLk5ZU0U6Q1JNLklRX0VCSVREQV9FU1QuMTAwMDEuLi4uVVNELkgBAAAAJeABAAIAAAALMTc5MTEuNzQzNjgBDgAAAAUAAAACMTEBAAAAATACAAAACjEwMDIzMjYxMDcDAAAABjEwMDE4NwQAAAABMgYAAAABMAcAAAADMTYwCAAAAAEwCQAAAAExCgAAAAEwCwAAAAsxNDg1ODcwOTE0OQwAAAABNw0AAAAJNy8xMi8yMDI2EAAAAAk3LzExLzIwMjbj8lpvb9/eCH9C3G9v394IKUNJUS5OWVNFOkNSTS5JUV9FQklUREFfRVNULjEwMDAyLi4uLlVTRC5IAQAAACXgAQACAAAACzE5MzM2LjQxMDA5AQ4AAAAFAAAAAjExAQAAAAEwAgAAAAoxMDAyMzI2MTA4AwAAAAYxMDAxODcEAAAAATIGAAAAATAHAAAAAzE2MAgAAAABMAkAAAABMQoAAAABMAsAAAALMTQ4NTg3MDkxMDcMAAAAATcNAAAACTcvMTIvMjAyNhAAAAAJNy8xMS8yMDI24/Jab2/f3gh/Qtxvb9/eCCpDSVEuTllTRTpDUk0uSVFfUkVWRU5VRV9FU1QuMTAwMDEuLi4uVVNELkgBAAAAJeABAAIAAAALNDYxMDUuMTM3NTUBDgAAAAUAAAACMTEBAAAAATACAAAACjEwMDIzMjYxMDcDAAAABjEwMDE4MAQAAAABMgYAAAABMAcAAAADMTYwCAAAAAEwCQAAAAExCgAAAAEwCwAAAAsxNDg2MjEyNjI0MwwAAAABNw0AAAAJNy8xMi8y</t>
  </si>
  <si>
    <t>MDI2EAAAAAk3LzExLzIwMjbj8lpvb9/eCCMb3G9v394IK0NJUS5OWVNFOk9SQ0wuSVFfUkVWRU5VRV9FU1QuMTAwMDIuLi4uVVNELkgBAAAA51YAAAIAAAALMTA3MjQxLjExODIBDgAAAAUAAAACMTEBAAAAATACAAAACTY1MTU3OTYxMwMAAAAGMTAwMTgwBAAAAAEyBgAAAAEwBwAAAAMxNjAIAAAAATAJAAAAATEKAAAAATALAAAACzE0ODUzNzExODM4DAAAAAE3DQAAAAk3LzEyLzIwMjYQAAAACTcvMTEvMjAyNuPyWm9v394IgWDab2/f3ggrQ0lRLk5ZU0U6T1JDTC5JUV9SRVZFTlVFX0VTVC4xMDAwMS4uLi5VU0QuSAEAAADnVgAAAgAAAAo3NjY0Mi42MTk5AQ4AAAAFAAAAAjExAQAAAAEwAgAAAAk2NTE1Nzk2MTIDAAAABjEwMDE4MAQAAAABMgYAAAABMAcAAAADMTYwCAAAAAEwCQAAAAExCgAAAAEwCwAAAAsxNDg1MzcxMTgwMgwAAAABNw0AAAAJNy8xMi8yMDI2EAAAAAk3LzExLzIwMjbj8lpvb9/eCIFg2m9v394IKkNJUS5OWVNFOk9SQ0wuSVFfRUJJVERBX0VTVC4xMDAwMi4uLi5VU0QuSAEAAADnVgAAAgAAAAo1OTMwOC4xNTQ4AQ4AAAAFAAAAAjExAQAAAAEwAgAAAAk2NTE1Nzk2MTMDAAAABjEwMDE4NwQAAAABMgYAAAABMAcAAAADMTYwCAAAAAEwCQAAAAExCgAAAAEwCwAAAAsxNDg0OTc2NDg2OQwAAAABNw0AAAAJNy8xMi8yMDI2EAAAAAk3LzExLzIwMjalL1tvb9/eCFJM2m9v394IKkNJUS5O</t>
  </si>
  <si>
    <t>WVNFOk9SQ0wuSVFfRUJJVERBX0VTVC4xMDAwMS4uLi5VU0QuSAEAAADnVgAAAgAAAAo0MzA1Ny40OTIyAQ4AAAAFAAAAAjExAQAAAAEwAgAAAAk2NTE1Nzk2MTIDAAAABjEwMDE4NwQAAAABMgYAAAABMAcAAAADMTYwCAAAAAEwCQAAAAExCgAAAAEwCwAAAAsxNDg0OTc2NDkxNgwAAAABNw0AAAAJNy8xMi8yMDI2EAAAAAk3LzExLzIwMjalL1tvb9/eCDUe2m9v394IJ0NJUS5OWVNFOk9SQ0wuSVFfRVBTX0VTVC4xMDAwMi4uLi5VU0QuSAEAAADnVgAAAgAAAAY5LjE4MTcBDgAAAAUAAAACMTEBAAAABzI2MzYwNzcCAAAACTY1MTU3OTYxMwMAAAAGMTAwMTczBAAAAAEyBgAAAAEwBwAAAAMxNjAIAAAAATAJAAAAATEKAAAAATALAAAACzE0ODUzNzEyMTA2DAAAAAE3DQAAAAk3LzEyLzIwMjYQAAAACTcvMTEvMjAyNqUvW29v394INR7ab2/f3ggnQ0lRLk5ZU0U6T1JDTC5JUV9FUFNfRVNULjEwMDAxLi4uLlVTRC5IAQAAAOdWAAACAAAABjcuNTI0OQEOAAAABQAAAAIxMQEAAAAHMjYzNjA3NwIAAAAJNjUxNTc5NjEyAwAAAAYxMDAxNzMEAAAAATIGAAAAATAHAAAAAzE2MAgAAAABMAkAAAABMQoAAAABMAsAAAALMTQ4NTM3MTIwNTQMAAAAATcNAAAACTcvMTIvMjAyNhAAAAAJNy8xMS8yMDI2pS9bb2/f3gg1Htpvb9/eCCVDSVEuTkFTREFRR1M6QU1aTi5JUV9URVZfRUJJVERBLjIwMDAuAQAAAD1JAAACAAAA</t>
  </si>
  <si>
    <t>EDE1LjgxNjEwOTI1MjY2NzcBBwAAAAUAAAABMQEAAAALLTE4OTIxODM4NjgDAAAAATACAAAABjEwMDA2MwQAAAABMAcAAAAJNy8xMC8yMDI2CAAAAAk3LzEwLzIwMjalL1tvb9/eCG6D429v394IKENJUS5OQVNEQVFHUzpBTVpOLklRX1RFVl9UT1RBTF9SRVYuMjAwMC4BAAAAPUkAAAIAAAAQMy42Nzc1NTU4NTY3MTYyMQEHAAAABQAAAAExAQAAAAstMTg5MjE4Mzg2OAMAAAABMAIAAAAGMTAwMDYxBAAAAAEwBwAAAAk3LzEwLzIwMjYIAAAACTcvMTAvMjAyNqUvW29v394IE1zjb2/f3ggiQ0lRLk5BU0RBUUdTOkFNWk4uSVFfUEVfRVhDTC4yMDAwLgEAAAA9SQAAAgAAABAyOS4zNDE4OTkwMjE0ODIyAQcAAAAFAAAAATEBAAAACy0xODkyMTgzODY4AwAAAAEwAgAAAAYxMDAwNjYEAAAAATAHAAAACTcvMTAvMjAyNggAAAAJNy8xMC8yMDI2pS9bb2/f3ggTXONvb9/eCB9DSVEuTkFTREFRR1M6QU1aTi5JUV9QVEJWLjIwMDAuAQAAAD1JAAACAAAAEDYuMzA0OTE1MzU5MTk2ODIBBwAAAAUAAAABMQEAAAALLTE4OTIxODM4NjgDAAAAATACAAAABjEwMDA2OAQAAAABMAcAAAAJNy8xMC8yMDI2CAAAAAk3LzEwLzIwMjalL1tvb9/eCAxI429v394IHkNJUS5OQVNEQVFHUzpBTVpOLklRX1BCVi4yMDAwLgEAAAA9SQAAAgAAABA1Ljk3MDM2MTY1ODc4MjI3AQcAAAAFAAAAATEBAAAACy0xODkyMTgzODY4AwAAAAEw</t>
  </si>
  <si>
    <t>AgAAAAYxMDAwNjcEAAAAATAHAAAACTcvMTAvMjAyNggAAAAJNy8xMC8yMDI2pS9bb2/f3ggMSONvb9/eCBlDSVEuTllTRTpOT1cuSVFfUEJWLjIwMDAuAQAAAL90XgECAAAAEDkuNDcxNTM3Mjg3Mzk2MDQBBwAAAAUAAAABMQEAAAALLTE4OTUyMDgzOTkDAAAAATACAAAABjEwMDA2NwQAAAABMAcAAAAJNy8xMC8yMDI2CAAAAAk3LzEwLzIwMjalL1tvb9/eCPa14W9v394IGkNJUS5OWVNFOk5PVy5JUV9QVEJWLjIwMDAuAQAAAL90XgECAAAAEDE5LjQ2MDc4OTI0NjkzMzgBBwAAAAUAAAABMQEAAAALLTE4OTUyMDgzOTkDAAAAATACAAAABjEwMDA2OAQAAAABMAcAAAAJNy8xMC8yMDI2CAAAAAk3LzEwLzIwMjalL1tvb9/eCPa14W9v394IIENJUS5OWVNFOk5PVy5JUV9URVZfRUJJVERBLjIwMDAuAQAAAL90XgECAAAAEDM0LjcyNzc4MTg3NDM4MzQBBwAAAAUAAAABMQEAAAALLTE4OTUyMDgzOTkDAAAAATACAAAABjEwMDA2MwQAAAABMAcAAAAJNy8xMC8yMDI2CAAAAAk3LzEwLzIwMjalL1tvb9/eCKiO4W9v394IHUNJUS5OWVNFOk5PVy5JUV9QRV9FWENMLjIwMDAuAQAAAL90XgECAAAAEDY0LjEyMDY5MDQ4NjU1MTcBBwAAAAUAAAABMQEAAAALLTE4OTUyMDgzOTkDAAAAATACAAAABjEwMDA2NgQAAAABMAcAAAAJNy8xMC8yMDI2CAAAAAk3LzEwLzIwMjalL1tvb9/eCPa14W9v394II0NJUS5OWVNFOk5P</t>
  </si>
  <si>
    <t>Vy5JUV9URVZfVE9UQUxfUkVWLjIwMDAuAQAAAL90XgECAAAAEDcuNTY0OTg0NTc1OTMxMjMBBwAAAAUAAAABMQEAAAALLTE4OTUyMDgzOTkDAAAAATACAAAABjEwMDA2MQQAAAABMAcAAAAJNy8xMC8yMDI2CAAAAAk3LzEwLzIwMjalL1tvb9/eCKiO4W9v394IJENJUS5OWVNFOlNOT1cuSVFfVEVWX1RPVEFMX1JFVi4yMDAwLgEAAACwPGQQAgAAABAxNy42ODMzNzcxMjc4NTY1AQcAAAAFAAAAATEBAAAACy0xODg2MjU2ODA0AwAAAAEwAgAAAAYxMDAwNjEEAAAAATAHAAAACTcvMTAvMjAyNggAAAAJNy8xMC8yMDI2pS9bb2/f3gjKP+Fvb9/eCB5DSVEuTllTRTpTTk9XLklRX1BFX0VYQ0wuMjAwMC4BAAAAsDxkEAMAAAACTk0BBwAAAAUAAAABMQEAAAALLTE4ODYyNTY4MDQDAAAAATACAAAABjEwMDA2NgQAAAABMAcAAAAJNy8xMC8yMDI2CAAAAAk3LzEwLzIwMjalL1tvb9/eCGsY4W9v394IIUNJUS5OWVNFOlNOT1cuSVFfVEVWX0VCSVREQS4yMDAwLgEAAACwPGQQAwAAAAJOTQEHAAAABQAAAAExAQAAAAstMTg4NjI1NjgwNAMAAAABMAIAAAAGMTAwMDYzBAAAAAEwBwAAAAk3LzEwLzIwMjYIAAAACTcvMTAvMjAyNqUvW29v394Iaxjhb2/f3ggbQ0lRLk5ZU0U6U05PVy5JUV9QVEJWLjIwMDAuAQAAALA8ZBADAAAAAk5NAQcAAAAFAAAAATEBAAAACy0xODg2MjU2ODA0AwAAAAEwAgAAAAYxMDAwNjgEAAAA</t>
  </si>
  <si>
    <t>ATAHAAAACTcvMTAvMjAyNggAAAAJNy8xMC8yMDI2pS9bb2/f3ghrGOFvb9/eCBpDSVEuTllTRTpTTk9XLklRX1BCVi4yMDAwLgEAAACwPGQQAgAAABA0Ni43MTc0MzI1MjY0MTE2AQcAAAAFAAAAATEBAAAACy0xODg2MjU2ODA0AwAAAAEwAgAAAAYxMDAwNjcEAAAAATAHAAAACTcvMTAvMjAyNggAAAAJNy8xMC8yMDI2pS9bb2/f3ghrGOFvb9/eCBtDSVEuTllTRTpTLklRX1BFX0VYQ0wuMjAwMC4BAAAAlOmGDgMAAAACTk0BBwAAAAUAAAABMQEAAAALLTE4ODYzOTg0ODkDAAAAATACAAAABjEwMDA2NgQAAAABMAcAAAAJNy8xMC8yMDI2CAAAAAk3LzEwLzIwMjalL1tvb9/eCPed329v394IF0NJUS5OWVNFOlMuSVFfUEJWLjIwMDAuAQAAAJTphg4CAAAAEDQuMjQ1NjAwODg3ODcxOTcBBwAAAAUAAAABMQEAAAALLTE4ODYzOTg0ODkDAAAAATACAAAABjEwMDA2NwQAAAABMAcAAAAJNy8xMC8yMDI2CAAAAAk3LzEwLzIwMjalL1tvb9/eCECJ329v394IGENJUS5OWVNFOlMuSVFfUFRCVi4yMDAwLgEAAACU6YYOAgAAABAxNS4wMjM0MDQ3NTA1MjE2AQcAAAAFAAAAATEBAAAACy0xODg2Mzk4NDg5AwAAAAEwAgAAAAYxMDAwNjgEAAAAATAHAAAACTcvMTAvMjAyNggAAAAJNy8xMC8yMDI2pS9bb2/f3ghAid9vb9/eCB5DSVEuTllTRTpTLklRX1RFVl9FQklUREEuMjAwMC4BAAAAlOmGDgMAAAACTk0BBwAAAAUA</t>
  </si>
  <si>
    <t>AAABMQEAAAALLTE4ODYzOTg0ODkDAAAAATACAAAABjEwMDA2MwQAAAABMAcAAAAJNy8xMC8yMDI2CAAAAAk3LzEwLzIwMjalL1tvb9/eCPed329v394IIUNJUS5OWVNFOlMuSVFfVEVWX1RPVEFMX1JFVi4yMDAwLgEAAACU6YYOAgAAABA1LjIxNzM4MjI2OTk0NjAyAQcAAAAFAAAAATEBAAAACy0xODg2Mzk4NDg5AwAAAAEwAgAAAAYxMDAwNjEEAAAAATAHAAAACTcvMTAvMjAyNggAAAAJNy8xMC8yMDI2pS9bb2/f3ghAid9vb9/eCB5DSVEuTkFTREFRR1M6TlZEQS5JUV9QQlYuMjAwMC4BAAAAM34AAAIAAAAPMjYuMTM5ODU4MTUzODQ5AQcAAAAFAAAAATEBAAAACy0xODg3ODk0NDQ0AwAAAAEwAgAAAAYxMDAwNjcEAAAAATAHAAAACTcvMTAvMjAyNggAAAAJNy8xMC8yMDI2pS9bb2/f3gg+Id5vb9/eCB9DSVEuTkFTREFRR1M6TlZEQS5JUV9QVEJWLjIwMDAuAQAAADN+AAACAAAAEDI5LjgwMDg5OTMxMDIyNTYBBwAAAAUAAAABMQEAAAALLTE4ODc4OTQ0NDQDAAAAATACAAAABjEwMDA2OAQAAAABMAcAAAAJNy8xMC8yMDI2CAAAAAk3LzEwLzIwMjalL1tvb9/eCD4h3m9v394IIkNJUS5OQVNEQVFHUzpOVkRBLklRX1BFX0VYQ0wuMjAwMC4BAAAAM34AAAIAAAAQMzIuMzA4MDEwMzgzNDA0OQEHAAAABQAAAAExAQAAAAstMTg4Nzg5NDQ0NAMAAAABMAIAAAAGMTAwMDY2BAAAAAEwBwAAAAk3LzEwLzIwMjYI</t>
  </si>
  <si>
    <t>AAAACTcvMTAvMjAyNqUvW29v394IPiHeb2/f3ggoQ0lRLk5BU0RBUUdTOk5WREEuSVFfVEVWX1RPVEFMX1JFVi4yMDAwLgEAAAAzfgAAAgAAABAxOS45OTc1Njk5MzkyMzI2AQcAAAAFAAAAATEBAAAACy0xODg3ODk0NDQ0AwAAAAEwAgAAAAYxMDAwNjEEAAAAATAHAAAACTcvMTAvMjAyNggAAAAJNy8xMC8yMDI2pS9bb2/f3ggQ5t1vb9/eCCVDSVEuTkFTREFRR1M6TlZEQS5JUV9URVZfRUJJVERBLjIwMDAuAQAAADN+AAACAAAAEDMwLjUyODkxMzY4MzM1MjgBBwAAAAUAAAABMQEAAAALLTE4ODc4OTQ0NDQDAAAAATACAAAABjEwMDA2MwQAAAABMAcAAAAJNy8xMC8yMDI2CAAAAAk3LzEwLzIwMjalL1tvb9/eCJHR3W9v394IJkNJUS5OQVNEQVFHUzpHT09HTC5JUV9URVZfRUJJVERBLjIwMDAuAQAAAKhxAAACAAAAEDI1Ljg1NzYzNjEyMDkyNzIBBwAAAAUAAAABMQEAAAALLTE4OTI3NjUzNTgDAAAAATACAAAABjEwMDA2MwQAAAABMAcAAAAJNy8xMC8yMDI2CAAAAAk3LzEwLzIwMjalL1tvb9/eCDBH3W9v394IKUNJUS5OQVNEQVFHUzpHT09HTC5JUV9URVZfVE9UQUxfUkVWLjIwMDAuAQAAAKhxAAACAAAAEDEwLjIxNTA2OTI1Mzk4ODcBBwAAAAUAAAABMQEAAAALLTE4OTI3NjUzNTgDAAAAATACAAAABjEwMDA2MQQAAAABMAcAAAAJNy8xMC8yMDI2CAAAAAk3LzEwLzIwMjalL1tvb9/eCDBH3W9v394I</t>
  </si>
  <si>
    <t>I0NJUS5OQVNEQVFHUzpHT09HTC5JUV9QRV9FWENMLjIwMDAuAQAAAKhxAAACAAAAEDI3LjI1MDM5Njk1MzM5OTgBBwAAAAUAAAABMQEAAAALLTE4OTI3NjUzNTgDAAAAATACAAAABjEwMDA2NgQAAAABMAcAAAAJNy8xMC8yMDI2CAAAAAk3LzEwLzIwMjalL1tvb9/eCDBH3W9v394IIENJUS5OQVNEQVFHUzpHT09HTC5JUV9QVEJWLjIwMDAuAQAAAKhxAAACAAAAEDEwLjUxNTkxMzY0Mzk2OTYBBwAAAAUAAAABMQEAAAALLTE4OTI3NjUzNTgDAAAAATACAAAABjEwMDA2OAQAAAABMAcAAAAJNy8xMC8yMDI2CAAAAAk3LzEwLzIwMjalL1tvb9/eCPEy3W9v394IH0NJUS5OQVNEQVFHUzpHT09HTC5JUV9QQlYuMjAwMC4BAAAAqHEAAAIAAAAQOS4wMzk0MzQyMDkwNjI3OQEHAAAABQAAAAExAQAAAAstMTg5Mjc2NTM1OAMAAAABMAIAAAAGMTAwMDY3BAAAAAEwBwAAAAk3LzEwLzIwMjYIAAAACTcvMTAvMjAyNqUvW29v394IlPfcb2/f3ggZQ0lRLk5ZU0U6Q1JNLklRX1BCVi4yMDAwLgEAAAAl4AEAAgAAABAzLjkwNzA4NTgwNTg0MzM5AQcAAAAFAAAAATEBAAAACy0xODg2NTU1NTExAwAAAAEwAgAAAAYxMDAwNjcEAAAAATAHAAAACTcvMTAvMjAyNggAAAAJNy8xMC8yMDI2pS9bb2/f3gjqZNtvb9/eCBpDSVEuTllTRTpDUk0uSVFfUFRCVi4yMDAwLgEAAAAl4AEAAwAAAAJOTQEHAAAABQAAAAExAQAAAAstMTg4</t>
  </si>
  <si>
    <t>NjU1NTUxMQMAAAABMAIAAAAGMTAwMDY4BAAAAAEwBwAAAAk3LzEwLzIwMjYIAAAACTcvMTAvMjAyNqUvW29v394I6mTbb2/f3ggdQ0lRLk5ZU0U6Q1JNLklRX1BFX0VYQ0wuMjAwMC4BAAAAJeABAAIAAAAQMTguOTU4NTc2MTE0ODE3NgEHAAAABQAAAAExAQAAAAstMTg4NjU1NTUxMQMAAAABMAIAAAAGMTAwMDY2BAAAAAEwBwAAAAk3LzEwLzIwMjYIAAAACTcvMTAvMjAyNqUvW29v394I6mTbb2/f3ggjQ0lRLk5ZU0U6Q1JNLklRX1RFVl9UT1RBTF9SRVYuMjAwMC4BAAAAJeABAAIAAAAQMy44NDAxNTY5MDMwMzI5OQEHAAAABQAAAAExAQAAAAstMTg4NjU1NTUxMQMAAAABMAIAAAAGMTAwMDYxBAAAAAEwBwAAAAk3LzEwLzIwMjYIAAAACTcvMTAvMjAyNqUvW29v394I4jrbb2/f3gggQ0lRLk5ZU0U6Q1JNLklRX1RFVl9FQklUREEuMjAwMC4BAAAAJeABAAIAAAAOMTIuMTc1NzUzNjI3NDgBBwAAAAUAAAABMQEAAAALLTE4ODY1NTU1MTEDAAAAATACAAAABjEwMDA2MwQAAAABMAcAAAAJNy8xMC8yMDI2CAAAAAk3LzEwLzIwMjalL1tvb9/eCK9P229v394INUNJUUFWRy5OQVNEQVE6TVNGVC5JUV9QVEJWLjIwMDAuMzAvMDYvMjAxNC4zMC8wNi8yMDE1AQAAAEtVAAACAAAAEDUuODkzMzU1NzI3MDAzMjcApS9bb2/f3ghkE9tvb9/eCDRDSVFBVkcuTkFTREFROk1TRlQuSVFfUEJWLjIwMDAuMzAvMDYvMjAx</t>
  </si>
  <si>
    <t>NC4zMC8wNi8yMDE1AQAAAEtVAAACAAAAEDQuMTExNjExNzMyODY1MTIApS9bb2/f3ghkE9tvb9/eCDhDSVFBVkcuTkFTREFROk1TRlQuSVFfUEVfRVhDTC4yMDAwLjMwLzA2LzIwMTQuMzAvMDYvMjAxNQEAAABLVQAAAgAAABAxNy44NjIyMDgzMTY2ODM3AKUvW29v394IZBPbb2/f3gg5Q0lRQVZHLk5BU0RBUTpNU0ZULklRX1RFVl9FQklULjIwMDAuMzAvMDYvMjAxNC4zMC8wNi8yMDE1AQAAAEtVAAACAAAAEDEwLjg4Njk2NDQ3MDEzMjIApS9bb2/f3ghkE9tvb9/eCD5DSVFBVkcuTkFTREFROk1TRlQuSVFfVEVWX1RPVEFMX1JFVi4yMDAwLjMwLzA2LzIwMTQuMzAvMDYvMjAxNQEAAABLVQAAAgAAAA8zLjM5MDM4ODMxODI2ODgApS9bb2/f3ghkE9tvb9/eCDtDSVFBVkcuTkFTREFROk1TRlQuSVFfVEVWX0VCSVREQS4yMDAwLjMwLzA2LzIwMTQuMzAvMDYvMjAxNQEAAABLVQAAAgAAABA5LjMxNzU2OTA5NDQzODE2AKUvW29v394IJP7ab2/f3gg0Q0lRQVZHLk5BU0RBUTpNU0ZULklRX1BCVi4yMDAwLjMwLzA2LzIwMTYuMzAvMDYvMjAxNwEAAABLVQAAAgAAABA2Ljg3MDQ2NzMwODM3MTUyAKUvW29v394IJP7ab2/f3gg1Q0lRQVZHLk5BU0RBUTpNU0ZULklRX1BUQlYuMjAwMC4zMC8wNi8yMDE2LjMwLzA2LzIwMTcBAAAAS1UAAAIAAAAQMTQuNTg5OTQyMDM1NjYxMgClL1tvb9/eCCT+2m9v394IOENJ</t>
  </si>
  <si>
    <t>UUFWRy5OQVNEQVE6TVNGVC5JUV9QRV9FWENMLjIwMDAuMzAvMDYvMjAxNi4zMC8wNi8yMDE3AQAAAEtVAAACAAAAEDI5Ljg5MTE4MTYzMjk5NDEApS9bb2/f3ggk/tpvb9/eCDlDSVFBVkcuTkFTREFROk1TRlQuSVFfVEVWX0VCSVQuMjAwMC4zMC8wNi8yMDE2LjMwLzA2LzIwMTcBAAAAS1UAAAIAAAAQMjAuNTkwOTAxOTQzNTIzMwClL1tvb9/eCGQT229v394IO0NJUUFWRy5OQVNEQVE6TVNGVC5JUV9URVZfRUJJVERBLjIwMDAuMzAvMDYvMjAxNi4zMC8wNi8yMDE3AQAAAEtVAAACAAAAEDE1LjY4MjY4NDIxNzYxNDQApS9bb2/f3giu1Npvb9/eCD5DSVFBVkcuTkFTREFROk1TRlQuSVFfVEVWX1RPVEFMX1JFVi4yMDAwLjMwLzA2LzIwMTYuMzAvMDYvMjAxNwEAAABLVQAAAgAAABA1LjA1NTI3MjE0MjUzMTQxAKUvW29v394IrtTab2/f3gg0Q0lRQVZHLk5BU0RBUTpNU0ZULklRX1BCVi4yMDAwLjMwLzA2LzIwMTcuMzAvMDYvMjAxOAEAAABLVQAAAgAAABA4LjM1Mzk0MTA3MjY3OTcxAKUvW29v394Iounab2/f3gg1Q0lRQVZHLk5BU0RBUTpNU0ZULklRX1BUQlYuMjAwMC4zMC8wNi8yMDE3LjMwLzA2LzIwMTgBAAAAS1UAAAIAAAAQMTkuNjA2NjM1ODk5Mjk2NAClL1tvb9/eCKLp2m9v394IOENJUUFWRy5OQVNEQVE6TVNGVC5JUV9QRV9FWENMLjIwMDAuMzAvMDYvMjAxNy4zMC8wNi8yMDE4AQAAAEtV</t>
  </si>
  <si>
    <t>AAACAAAAEDQ2LjcwNjgwNTk1NzUzNDIApS9bb2/f3gii6dpvb9/eCDtDSVFBVkcuTkFTREFROk1TRlQuSVFfVEVWX0VCSVREQS4yMDAwLjMwLzA2LzIwMTcuMzAvMDYvMjAxOAEAAABLVQAAAgAAABAxOC41NTM2NTkwNzgwOTYzAKUvW29v394IjKrab2/f3gg5Q0lRQVZHLk5BU0RBUTpNU0ZULklRX1RFVl9FQklULjIwMDAuMzAvMDYvMjAxNy4zMC8wNi8yMDE4AQAAAEtVAAACAAAAEDI1Ljk4MjY1MDc2Nzc0MjYApS9bb2/f3gibwNpvb9/eCD5DSVFBVkcuTkFTREFROk1TRlQuSVFfVEVWX1RPVEFMX1JFVi4yMDAwLjMwLzA2LzIwMTcuMzAvMDYvMjAxOAEAAABLVQAAAgAAABA2LjYyMzg4MTI3ODc5NDYzAKUvW29v394Im8Dab2/f3gg1Q0lRQVZHLk5BU0RBUTpNU0ZULklRX1BUQlYuMjAwMC4zMC8wNi8yMDE1LjMwLzA2LzIwMTYBAAAAS1UAAAIAAAAQNy4yMjYxODU5Mzk2OTMyNAClL1tvb9/eCJvA2m9v394IOENJUUFWRy5OQVNEQVE6TVNGVC5JUV9QRV9FWENMLjIwMDAuMzAvMDYvMjAxNS4zMC8wNi8yMDE2AQAAAEtVAAACAAAAEDM0LjYyMjY5NjQyNzIwMjgApS9bb2/f3giu1Npvb9/eCDRDSVFBVkcuTkFTREFROk1TRlQuSVFfUEJWLjIwMDAuMzAvMDYvMjAxNS4zMC8wNi8yMDE2AQAAAEtVAAACAAAAEDUuMTU1OTEwNDgxMzE4MjYApS9bb2/f3ggYidpvb9/eCDlDSVFBVkcuTkFTREFROk1TRlQu</t>
  </si>
  <si>
    <t>SVFfVEVWX0VCSVQuMjAwMC4zMC8wNi8yMDE1LjMwLzA2LzIwMTYBAAAAS1UAAAIAAAAQMTMuMTEyNDAwNjgwNDY4NQClL1tvb9/eCBiJ2m9v394IPkNJUUFWRy5OQVNEQVE6TVNGVC5JUV9URVZfVE9UQUxfUkVWLjIwMDAuMzAvMDYvMjAxNS4zMC8wNi8yMDE2AQAAAEtVAAACAAAAEDMuNzg3MzcxMDg5MTY5MjgApS9bb2/f3ggYidpvb9/eCDtDSVFBVkcuTkFTREFROk1TRlQuSVFfVEVWX0VCSVREQS4yMDAwLjMwLzA2LzIwMTUuMzAvMDYvMjAxNgEAAABLVQAAAgAAABAxMC44MTU4NzMxNDA5MTA2AKUvW29v394IjKrab2/f3gg1Q0lRQVZHLk5BU0RBUTpNU0ZULklRX1BUQlYuMjAwMC4zMS8xMi8yMDI1LjMxLzAzLzIwMjYBAAAAS1UAAAIAAAAQMTIuOTM5NTQwMDY4MjI3NQClL1tvb9/eCIyq2m9v394IPkNJUUFWRy5OQVNEQVE6TVNGVC5JUV9URVZfVE9UQUxfUkVWLjIwMDAuMzEvMTIvMjAyNS4zMS8wMy8yMDI2AQAAAEtVAAACAAAAEDEwLjQyODk1ODgzNzI3MjUApS9bb2/f3giJdNpvb9/eCDtDSVFBVkcuTkFTREFROk1TRlQuSVFfVEVWX0VCSVREQS4yMDAwLjMxLzEyLzIwMjUuMzEvMDMvMjAyNgEAAABLVQAAAgAAABAxNy4zNTQ3Mjg5OTU1MTgxAKUvW29v394IiXTab2/f3gg5Q0lRQVZHLk5BU0RBUTpNU0ZULklRX1RFVl9FQklULjIwMDAuMzEvMTIvMjAyNS4zMS8wMy8yMDI2AQAAAEtVAAAC</t>
  </si>
  <si>
    <t>AAAAEDIyLjAwMzUwOTE4MTU0NDIApS9bb2/f3ggYidpvb9/eCDhDSVFBVkcuTkFTREFROk1TRlQuSVFfUEVfRVhDTC4yMDAwLjMxLzEyLzIwMjUuMzEvMDMvMjAyNgEAAABLVQAAAgAAABAyNy40MTM2NzAwNjIzOTA1AKUvW29v394IGInab2/f3gg0Q0lRQVZHLk5BU0RBUTpNU0ZULklRX1BCVi4yMDAwLjMxLzEyLzIwMjUuMzEvMDMvMjAyNgEAAABLVQAAAgAAABA4LjE3Mjg5NDAyODY3MzkzAKUvW29v394IGInab2/f3ggkQ0lRLk5ZU0U6T1JDTC5JUV9URVZfVE9UQUxfUkVWLjIwMDAuAQAAAOdWAAACAAAAEDguMTA4MjgwMzc4MjgyODgBBwAAAAUAAAABMQEAAAALLTE4ODM1MDQwODQDAAAAATACAAAABjEwMDA2MQQAAAABMAcAAAAJNy8xMC8yMDI2CAAAAAk3LzEwLzIwMjalL1tvb9/eCB0I2m9v394IHkNJUS5OWVNFOk9SQ0wuSVFfUEVfRVhDTC4yMDAwLgEAAADnVgAAAgAAABAyNC4xMjM0OTkxNDIzNjcxAQcAAAAFAAAAATEBAAAACy0xODgzNTA0MDg0AwAAAAEwAgAAAAYxMDAwNjYEAAAAATAHAAAACTcvMTAvMjAyNggAAAAJNy8xMC8yMDI2pS9bb2/f3ggdCNpvb9/eCCFDSVEuTllTRTpPUkNMLklRX1RFVl9FQklUREEuMjAwMC4BAAAA51YAAAIAAAAQMTYuNDA2Nzk2NDg2NDIxNQEHAAAABQAAAAExAQAAAAstMTg4MzUwNDA4NAMAAAABMAIAAAAGMTAwMDYzBAAAAAEwBwAAAAk3LzEwLzIwMjYI</t>
  </si>
  <si>
    <t>AAAACTcvMTAvMjAyNqUvW29v394IPPLZb2/f3ggbQ0lRLk5ZU0U6T1JDTC5JUV9QVEJWLjIwMDAuAQAAAOdWAAADAAAAAk5NAQcAAAAFAAAAATEBAAAACy0xODgzNTA0MDg0AwAAAAEwAgAAAAYxMDAwNjgEAAAAATAHAAAACTcvMTAvMjAyNggAAAAJNy8xMC8yMDI2pS9bb2/f3ggdCNpvb9/eCBpDSVEuTllTRTpPUkNMLklRX1BCVi4yMDAwLgEAAADnVgAAAgAAAA8xMC43ODU2MjA5ODE4OTgBBwAAAAUAAAABMQEAAAALLTE4ODM1MDQwODQDAAAAATACAAAABjEwMDA2NwQAAAABMAcAAAAJNy8xMC8yMDI2CAAAAAk3LzEwLzIwMjalL1tvb9/eCB0I2m9v394IOUNJUUFWRy5OQVNEQVE6TVNGVC5JUV9URVZfRUJJVC4yMDAwLjMwLzA2LzIwMTguMzAvMDYvMjAxOQEAAABLVQAAAgAAAA8yMi4yMDAxMTU5MTM2MDkApS9bb2/f3gjhIdlvb9/eCDtDSVFBVkcuTkFTREFROk1TRlQuSVFfVEVWX0VCSVREQS4yMDAwLjMwLzA2LzIwMTguMzAvMDYvMjAxOQEAAABLVQAAAgAAABAxNi43Njc1NDA0NDY5MjA0AKUvW29v394IPzbZb2/f3gg1Q0lRQVZHLk5BU0RBUTpNU0ZULklRX1BUQlYuMjAwMC4zMC8wNi8yMDE4LjMwLzA2LzIwMTkBAAAAS1UAAAIAAAAQMjAuODg1ODU0MjEzMjczNAClL1tvb9/eCD822W9v394INENJUUFWRy5OQVNEQVE6TVNGVC5JUV9QQlYuMjAwMC4zMC8wNi8yMDE4LjMwLzA2LzIwMTkBAAAA</t>
  </si>
  <si>
    <t>S1UAAAIAAAAQOS44NjYzNDk5OTk5MzYzOQClL1tvb9/eCD822W9v394IOENJUUFWRy5OQVNEQVE6TVNGVC5JUV9QRV9FWENMLjIwMDAuMzAvMDYvMjAxOC4zMC8wNi8yMDE5AQAAAEtVAAACAAAAEDQwLjE3NDM5MzQ3MjM2MDYApS9bb2/f3gihStlvb9/eCD5DSVFBVkcuTkFTREFROk1TRlQuSVFfVEVWX1RPVEFMX1JFVi4yMDAwLjMwLzA2LzIwMTguMzAvMDYvMjAxOQEAAABLVQAAAgAAABA3LjEzOTc5NTcxNTM3Mjg3AKUvW29v394Img3Zb2/f3gg4Q0lRQVZHLk5BU0RBUTpNU0ZULklRX1BFX0VYQ0wuMjAwMC4zMC8wNi8yMDE5LjMwLzA2LzIwMjABAAAAS1UAAAIAAAAQMjguOTM4MjgwNjc5MzEwMwClL1tvb9/eCJoN2W9v394IOUNJUUFWRy5OQVNEQVE6TVNGVC5JUV9URVZfRUJJVC4yMDAwLjMwLzA2LzIwMTkuMzAvMDYvMjAyMAEAAABLVQAAAgAAABAyNC41NTQ0MzQyNDU4OTIxAKUvW29v394Img3Zb2/f3gg1Q0lRQVZHLk5BU0RBUTpNU0ZULklRX1BUQlYuMjAwMC4zMC8wNi8yMDE5LjMwLzA2LzIwMjABAAAAS1UAAAIAAAAQMjAuODU2Nzc0MDg1MjA5MwClL1tvb9/eCOEh2W9v394INENJUUFWRy5OQVNEQVE6TVNGVC5JUV9QQlYuMjAwMC4zMC8wNi8yMDE5LjMwLzA2LzIwMjABAAAAS1UAAAIAAAAQMTEuMTg3MzMzOTY4MjE1NAClL1tvb9/eCOEh2W9v394IO0NJUUFWRy5OQVNEQVE6TVNGVC5J</t>
  </si>
  <si>
    <t>UV9URVZfRUJJVERBLjIwMDAuMzAvMDYvMjAxOS4zMC8wNi8yMDIwAQAAAEtVAAACAAAADzE5LjAyMjgxMTk4MjAxNgClL1tvb9/eCHbl2G9v394IPkNJUUFWRy5OQVNEQVE6TVNGVC5JUV9URVZfVE9UQUxfUkVWLjIwMDAuMzAvMDYvMjAxOS4zMC8wNi8yMDIwAQAAAEtVAAACAAAAEDguNzU0MTI0NzI3NTkzNjcApS9bb2/f3ghL+dhvb9/eCDRDSVFBVkcuTkFTREFROk1TRlQuSVFfUEJWLjIwMDAuMzAvMDYvMjAyMC4zMC8wNi8yMDIxAQAAAEtVAAACAAAAEDEzLjcxODc2Nzk4ODg5OTMApS9bb2/f3ghL+dhvb9/eCDhDSVFBVkcuTkFTREFROk1TRlQuSVFfUEVfRVhDTC4yMDAwLjMwLzA2LzIwMjAuMzAvMDYvMjAyMQEAAABLVQAAAgAAABAzNS41ODM1OTQwMDc2NDE0AKUvW29v394IS/nYb2/f3gg1Q0lRQVZHLk5BU0RBUTpNU0ZULklRX1BUQlYuMjAwMC4zMC8wNi8yMDIwLjMwLzA2LzIwMjEBAAAAS1UAAAIAAAAQMjMuNDM5NDk0MDkzMjAzMgClL1tvb9/eCEv52G9v394IOUNJUUFWRy5OQVNEQVE6TVNGVC5JUV9URVZfRUJJVC4yMDAwLjMwLzA2LzIwMjAuMzAvMDYvMjAyMQEAAABLVQAAAgAAABAyOC45OTA1Mjg2ODkzMzc2AKUvW29v394Isr3Yb2/f3gg7Q0lRQVZHLk5BU0RBUTpNU0ZULklRX1RFVl9FQklUREEuMjAwMC4zMC8wNi8yMDIwLjMwLzA2LzIwMjEBAAAAS1UAAAIAAAAPMjMuMzE0MzM4</t>
  </si>
  <si>
    <t>MDQwMzQ1AKUvW29v394Isr3Yb2/f3gg+Q0lRQVZHLk5BU0RBUTpNU0ZULklRX1RFVl9UT1RBTF9SRVYuMjAwMC4zMC8wNi8yMDIwLjMwLzA2LzIwMjEBAAAAS1UAAAIAAAAQMTEuMTQ3MTU5MTM4MjM1NgClL1tvb9/eCLK92G9v394INUNJUUFWRy5OQVNEQVE6TVNGVC5JUV9QVEJWLjIwMDAuMzAvMDYvMjAyMS4zMC8wNi8yMDIyAQAAAEtVAAACAAAAEDI0Ljc2OTM1MTg0MTc0MzcApS9bb2/f3gh25dhvb9/eCDRDSVFBVkcuTkFTREFROk1TRlQuSVFfUEJWLjIwMDAuMzAvMDYvMjAyMS4zMC8wNi8yMDIyAQAAAEtVAAACAAAAEDE0LjcxMjYzNjM2NzIyNzgApS9bb2/f3gh25dhvb9/eCD5DSVFBVkcuTkFTREFROk1TRlQuSVFfVEVWX1RPVEFMX1JFVi4yMDAwLjMwLzA2LzIwMjEuMzAvMDYvMjAyMgEAAABLVQAAAgAAAA8xMi4zMTM4MzQwNjkzMDkApS9bb2/f3giyvdhvb9/eCDhDSVFBVkcuTkFTREFROk1TRlQuSVFfUEVfRVhDTC4yMDAwLjMwLzA2LzIwMjEuMzAvMDYvMjAyMgEAAABLVQAAAgAAAA8zMy44NzIwMzU4ODY0OTEApS9bb2/f3giyvdhvb9/eCDlDSVFBVkcuTkFTREFROk1TRlQuSVFfVEVWX0VCSVQuMjAwMC4zMC8wNi8yMDIxLjMwLzA2LzIwMjIBAAAAS1UAAAIAAAAPMjkuMzI0OTk0MDc4ODE3AKUvW29v394Isr3Yb2/f3gg7Q0lRQVZHLk5BU0RBUTpNU0ZULklRX1RFVl9FQklUREEuMjAw</t>
  </si>
  <si>
    <t>MC4zMC8wNi8yMDIxLjMwLzA2LzIwMjIBAAAAS1UAAAIAAAAQMjQuNzAyODcyNTkxMDQ5OQClL1tvb9/eCLK92G9v394INUNJUUFWRy5OQVNEQVE6TVNGVC5JUV9QVEJWLjIwMDAuMzAvMDYvMjAyMi4zMC8wNi8yMDIzAQAAAEtVAAACAAAAEDIwLjI0MDA5NjU5NTkwNTkApS9bb2/f3giyvdhvb9/eCDtDSVFBVkcuTkFTREFROk1TRlQuSVFfVEVWX0VCSVREQS4yMDAwLjMwLzA2LzIwMjIuMzAvMDYvMjAyMwEAAABLVQAAAgAAABAxOS41MDU1ODAyMTIzMjA1AKUvW29v394I/KjYb2/f3gg+Q0lRQVZHLk5BU0RBUTpNU0ZULklRX1RFVl9UT1RBTF9SRVYuMjAwMC4zMC8wNi8yMDIyLjMwLzA2LzIwMjMBAAAAS1UAAAIAAAAQOS43MzU2ODk4NTUwNDExNgClL1tvb9/eCLK92G9v394INENJUUFWRy5OQVNEQVE6TVNGVC5JUV9QQlYuMjAwMC4zMC8wNi8yMDIyLjMwLzA2LzIwMjMBAAAAS1UAAAIAAAAQMTEuMjQ1NzczNDc5MDkyNwClL1tvb9/eCLK92G9v394IOENJUUFWRy5OQVNEQVE6TVNGVC5JUV9QRV9FWENMLjIwMDAuMzAvMDYvMjAyMi4zMC8wNi8yMDIzAQAAAEtVAAACAAAAEDI4Ljc5OTAxMTgxMzg5NTMApS9bb2/f3giyvdhvb9/eCDlDSVFBVkcuTkFTREFROk1TRlQuSVFfVEVWX0VCSVQuMjAwMC4zMC8wNi8yMDIyLjMwLzA2LzIwMjMBAAAAS1UAAAIAAAAQMjMuNDA3MTA5MzcwOTA5OAClL1tvb9/e</t>
  </si>
  <si>
    <t>CLK92G9v394IOUNJUUFWRy5OQVNEQVE6TVNGVC5JUV9URVZfRUJJVC4yMDAwLjMwLzA2LzIwMjMuMzAvMDYvMjAyNAEAAABLVQAAAgAAABAyOC45NDIxNjYxODgwOTg3AKUvW29v394IgpTYb2/f3gg7Q0lRQVZHLk5BU0RBUTpNU0ZULklRX1RFVl9FQklUREEuMjAwMC4zMC8wNi8yMDIzLjMwLzA2LzIwMjQBAAAAS1UAAAIAAAAQMjQuMjQzMDg1MDI1OTI1OQClL1tvb9/eCPyo2G9v394INUNJUUFWRy5OQVNEQVE6TVNGVC5JUV9QVEJWLjIwMDAuMzAvMDYvMjAyMy4zMC8wNi8yMDI0AQAAAEtVAAACAAAAEDI0LjgzNjY0NjI4NjEzODkApS9bb2/f3gj8qNhvb9/eCDRDSVFBVkcuTkFTREFROk1TRlQuSVFfUEJWLjIwMDAuMzAvMDYvMjAyMy4zMC8wNi8yMDI0AQAAAEtVAAACAAAAEDEyLjQ1MDgzODMyNzc2NDMApS9bb2/f3gj8qNhvb9/eCDhDSVFBVkcuTkFTREFROk1TRlQuSVFfUEVfRVhDTC4yMDAwLjMwLzA2LzIwMjMuMzAvMDYvMjAyNAEAAABLVQAAAgAAABAzNS45OTE5ODk1OTQ2MTU4AKUvW29v394I/KjYb2/f3gg+Q0lRQVZHLk5BU0RBUTpNU0ZULklRX1RFVl9UT1RBTF9SRVYuMjAwMC4zMC8wNi8yMDIzLjMwLzA2LzIwMjQBAAAAS1UAAAIAAAAQMTIuNjE0MjQ1MDA1MDQ3NAClL1tvb9/eCN9r2G9v394IOENJUUFWRy5OQVNEQVE6TVNGVC5JUV9QRV9FWENMLjIwMDAuMzAvMDYvMjAyNC4zMC8w</t>
  </si>
  <si>
    <t>Ni8yMDI1AQAAAEtVAAACAAAAEDM0Ljc4ODgzMzg2MjA4MjEApS9bb2/f3ghvgNhvb9/eCDlDSVFBVkcuTkFTREFROk1TRlQuSVFfVEVWX0VCSVQuMjAwMC4zMC8wNi8yMDI0LjMwLzA2LzIwMjUBAAAAS1UAAAIAAAAQMjguMzM0NDc1MjI5NjkxOQClL1tvb9/eCG+A2G9v394IO0NJUUFWRy5OQVNEQVE6TVNGVC5JUV9URVZfRUJJVERBLjIwMDAuMzAvMDYvMjAyNC4zMC8wNi8yMDI1AQAAAEtVAAACAAAAEDIyLjg0MjI1NTI3MTQwMTcApS9bb2/f3giClNhvb9/eCD5DSVFBVkcuTkFTREFROk1TRlQuSVFfVEVWX1RPVEFMX1JFVi4yMDAwLjMwLzA2LzIwMjQuMzAvMDYvMjAyNQEAAABLVQAAAgAAAA8xMi40NzQ5Njc5NTQ3NzYApS9bb2/f3giClNhvb9/eCDVDSVFBVkcuTkFTREFROk1TRlQuSVFfUFRCVi4yMDAwLjMwLzA2LzIwMjQuMzAvMDYvMjAyNQEAAABLVQAAAgAAABAyMi40NjYzNzk1MTUzMTU1AKUvW29v394I32vYb2/f3gg0Q0lRQVZHLk5BU0RBUTpNU0ZULklRX1BCVi4yMDAwLjMwLzA2LzIwMjQuMzAvMDYvMjAyNQEAAABLVQAAAgAAABAxMC45NDU2NTQwMjIzNDE3AKUvW29v394I32vYb2/f3ggoQ0lRLk5ZU0U6T1JDTC5JUV9QRV9FWENMLjIwMDAuMzEvMDUvMjAyNgEAAADnVgAAAgAAABA0MC41MTMyMzIyMDUxNjY2AQcAAAAFAAAAATEBAAAACy0xOTAyMTc2NDc3AwAAAAEwAgAAAAYxMDAw</t>
  </si>
  <si>
    <t>NjYEAAAAATAHAAAACTUvMjkvMjAyNggAAAAJNS8yOS8yMDI2SQlmcG/f3giQ1IJwb9/eCC5DSVEuTllTRTpPUkNMLklRX1RFVl9UT1RBTF9SRVYuMjAwMC4zMS8wNS8yMDI2AQAAAOdWAAACAAAAEDEyLjE0MDIxODg5NDQzNzkBBwAAAAUAAAABMQEAAAALLTE5MDIxNzY0NzcDAAAAATACAAAABjEwMDA2MQQAAAABMAcAAAAJNS8yOS8yMDI2CAAAAAk1LzI5LzIwMjZJCWZwb9/eCJDUgnBv394IK0NJUS5OWVNFOk9SQ0wuSVFfVEVWX0VCSVREQS4yMDAwLjMxLzA1LzIwMjYBAAAA51YAAAIAAAAQMjYuMDM0MDI0OTYyNTE2NwEHAAAABQAAAAExAQAAAAstMTkwMjE3NjQ3NwMAAAABMAIAAAAGMTAwMDYzBAAAAAEwBwAAAAk1LzI5LzIwMjYIAAAACTUvMjkvMjAyNkkJZnBv394I9/uCcG/f3g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</si>
</sst>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&quot;$&quot;#,##0.00_);\(&quot;$&quot;#,##0.00\)"/>
    <numFmt numFmtId="165" formatCode="0.0%"/>
    <numFmt numFmtId="166" formatCode="0.0\x"/>
    <numFmt numFmtId="167" formatCode="_(#,##0_);_(\(#,##0\);_(&quot; - &quot;??_);_(@_)"/>
    <numFmt numFmtId="168" formatCode="_(#,##0.0_);_(\(#,##0.0\);_(&quot; - &quot;??_);_(@_)"/>
    <numFmt numFmtId="169" formatCode="&quot;$&quot;#,##0.0_);\(&quot;$&quot;#,##0.0\)"/>
    <numFmt numFmtId="170" formatCode="#,##0.0_);\(#,##0.0\)"/>
    <numFmt numFmtId="171" formatCode="#,##0.000;\(#,##0.000\)"/>
    <numFmt numFmtId="172" formatCode="#,##0.0;\(#,##0.0\)"/>
    <numFmt numFmtId="173" formatCode="0.0;\(0.0\)"/>
    <numFmt numFmtId="174" formatCode="_(* #,##0.0_);_(* \(#,##0.0\);_(* &quot; - &quot;_);_(@_)"/>
  </numFmts>
  <fonts count="12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7"/>
      <name val="Arial"/>
      <family val="2"/>
    </font>
    <font>
      <b/>
      <sz val="10"/>
      <color indexed="17"/>
      <name val="Arial"/>
      <family val="2"/>
    </font>
    <font>
      <b/>
      <sz val="10"/>
      <color indexed="8"/>
      <name val="Arial"/>
      <family val="2"/>
    </font>
    <font>
      <sz val="10"/>
      <color indexed="17"/>
      <name val="Arial"/>
      <family val="2"/>
    </font>
    <font>
      <sz val="10"/>
      <name val="Times New Roman"/>
      <family val="1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9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Protection="0">
      <alignment horizontal="left"/>
    </xf>
    <xf numFmtId="171" fontId="3" fillId="0" borderId="0" applyFill="0" applyBorder="0" applyProtection="0">
      <alignment horizontal="right" vertical="top"/>
    </xf>
    <xf numFmtId="14" fontId="3" fillId="0" borderId="0" applyFill="0" applyBorder="0" applyProtection="0">
      <alignment horizontal="left" vertical="top"/>
    </xf>
    <xf numFmtId="172" fontId="3" fillId="0" borderId="0" applyFill="0" applyBorder="0" applyProtection="0">
      <alignment horizontal="left" vertical="top" wrapText="1"/>
    </xf>
    <xf numFmtId="0" fontId="1" fillId="0" borderId="0"/>
    <xf numFmtId="0" fontId="10" fillId="0" borderId="0"/>
  </cellStyleXfs>
  <cellXfs count="70">
    <xf numFmtId="0" fontId="0" fillId="0" borderId="0" xfId="0"/>
    <xf numFmtId="0" fontId="5" fillId="0" borderId="0" xfId="0" applyFont="1"/>
    <xf numFmtId="0" fontId="4" fillId="0" borderId="0" xfId="0" applyFont="1" applyAlignment="1">
      <alignment horizontal="left"/>
    </xf>
    <xf numFmtId="0" fontId="4" fillId="0" borderId="0" xfId="0" applyFont="1"/>
    <xf numFmtId="170" fontId="6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left" indent="1"/>
    </xf>
    <xf numFmtId="170" fontId="7" fillId="0" borderId="3" xfId="0" applyNumberFormat="1" applyFont="1" applyBorder="1" applyAlignment="1">
      <alignment horizontal="right"/>
    </xf>
    <xf numFmtId="170" fontId="7" fillId="0" borderId="0" xfId="0" applyNumberFormat="1" applyFont="1" applyAlignment="1">
      <alignment horizontal="right"/>
    </xf>
    <xf numFmtId="170" fontId="6" fillId="0" borderId="1" xfId="0" applyNumberFormat="1" applyFont="1" applyBorder="1" applyAlignment="1">
      <alignment horizontal="right"/>
    </xf>
    <xf numFmtId="170" fontId="7" fillId="0" borderId="4" xfId="0" applyNumberFormat="1" applyFont="1" applyBorder="1" applyAlignment="1">
      <alignment horizontal="right"/>
    </xf>
    <xf numFmtId="170" fontId="7" fillId="0" borderId="5" xfId="0" applyNumberFormat="1" applyFont="1" applyBorder="1" applyAlignment="1">
      <alignment horizontal="right"/>
    </xf>
    <xf numFmtId="39" fontId="6" fillId="0" borderId="0" xfId="0" applyNumberFormat="1" applyFont="1" applyAlignment="1">
      <alignment horizontal="right"/>
    </xf>
    <xf numFmtId="168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74" fontId="6" fillId="0" borderId="0" xfId="0" applyNumberFormat="1" applyFont="1" applyAlignment="1">
      <alignment horizontal="right"/>
    </xf>
    <xf numFmtId="168" fontId="4" fillId="0" borderId="0" xfId="0" applyNumberFormat="1" applyFont="1"/>
    <xf numFmtId="169" fontId="4" fillId="0" borderId="0" xfId="0" applyNumberFormat="1" applyFont="1"/>
    <xf numFmtId="37" fontId="6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166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70" fontId="5" fillId="0" borderId="0" xfId="0" applyNumberFormat="1" applyFont="1" applyAlignment="1">
      <alignment horizontal="right"/>
    </xf>
    <xf numFmtId="14" fontId="7" fillId="0" borderId="1" xfId="0" applyNumberFormat="1" applyFont="1" applyBorder="1" applyAlignment="1">
      <alignment horizontal="right"/>
    </xf>
    <xf numFmtId="14" fontId="4" fillId="0" borderId="1" xfId="0" applyNumberFormat="1" applyFont="1" applyBorder="1" applyAlignment="1">
      <alignment horizontal="right"/>
    </xf>
    <xf numFmtId="165" fontId="5" fillId="0" borderId="0" xfId="0" applyNumberFormat="1" applyFont="1" applyAlignment="1">
      <alignment horizontal="right"/>
    </xf>
    <xf numFmtId="165" fontId="4" fillId="0" borderId="3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5" fontId="4" fillId="0" borderId="0" xfId="0" applyNumberFormat="1" applyFont="1" applyAlignment="1">
      <alignment horizontal="right"/>
    </xf>
    <xf numFmtId="165" fontId="4" fillId="0" borderId="4" xfId="0" applyNumberFormat="1" applyFont="1" applyBorder="1" applyAlignment="1">
      <alignment horizontal="right"/>
    </xf>
    <xf numFmtId="165" fontId="4" fillId="0" borderId="5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centerContinuous"/>
    </xf>
    <xf numFmtId="0" fontId="4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4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left"/>
    </xf>
    <xf numFmtId="165" fontId="5" fillId="0" borderId="0" xfId="1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73" fontId="5" fillId="0" borderId="0" xfId="0" applyNumberFormat="1" applyFont="1" applyAlignment="1">
      <alignment horizontal="right"/>
    </xf>
    <xf numFmtId="0" fontId="4" fillId="0" borderId="1" xfId="0" applyFont="1" applyBorder="1" applyAlignment="1">
      <alignment horizontal="left"/>
    </xf>
    <xf numFmtId="170" fontId="9" fillId="0" borderId="0" xfId="0" applyNumberFormat="1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2" xfId="0" applyFont="1" applyBorder="1"/>
    <xf numFmtId="49" fontId="2" fillId="0" borderId="0" xfId="0" applyNumberFormat="1" applyFont="1" applyAlignment="1">
      <alignment horizontal="center"/>
    </xf>
    <xf numFmtId="169" fontId="2" fillId="0" borderId="0" xfId="0" applyNumberFormat="1" applyFont="1"/>
    <xf numFmtId="39" fontId="2" fillId="0" borderId="0" xfId="0" applyNumberFormat="1" applyFont="1"/>
    <xf numFmtId="164" fontId="2" fillId="0" borderId="0" xfId="0" applyNumberFormat="1" applyFont="1"/>
    <xf numFmtId="170" fontId="2" fillId="0" borderId="0" xfId="0" applyNumberFormat="1" applyFont="1" applyAlignment="1">
      <alignment horizontal="right"/>
    </xf>
    <xf numFmtId="170" fontId="2" fillId="0" borderId="0" xfId="0" applyNumberFormat="1" applyFont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7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lef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8" fontId="4" fillId="0" borderId="0" xfId="0" applyNumberFormat="1" applyFont="1" applyAlignment="1">
      <alignment horizontal="right"/>
    </xf>
    <xf numFmtId="0" fontId="11" fillId="0" borderId="0" xfId="0" applyFont="1"/>
    <xf numFmtId="1" fontId="4" fillId="0" borderId="5" xfId="0" applyNumberFormat="1" applyFont="1" applyBorder="1" applyAlignment="1">
      <alignment horizontal="left"/>
    </xf>
    <xf numFmtId="0" fontId="7" fillId="0" borderId="5" xfId="0" applyFont="1" applyBorder="1" applyAlignment="1">
      <alignment horizontal="left"/>
    </xf>
    <xf numFmtId="14" fontId="7" fillId="0" borderId="5" xfId="0" applyNumberFormat="1" applyFont="1" applyBorder="1" applyAlignment="1">
      <alignment horizontal="right"/>
    </xf>
    <xf numFmtId="39" fontId="7" fillId="0" borderId="5" xfId="0" applyNumberFormat="1" applyFont="1" applyBorder="1" applyAlignment="1">
      <alignment horizontal="right"/>
    </xf>
    <xf numFmtId="165" fontId="4" fillId="0" borderId="5" xfId="1" applyNumberFormat="1" applyFont="1" applyBorder="1" applyAlignment="1">
      <alignment horizontal="right"/>
    </xf>
    <xf numFmtId="170" fontId="4" fillId="0" borderId="5" xfId="0" applyNumberFormat="1" applyFont="1" applyBorder="1" applyAlignment="1">
      <alignment horizontal="right"/>
    </xf>
    <xf numFmtId="166" fontId="7" fillId="0" borderId="5" xfId="0" applyNumberFormat="1" applyFont="1" applyBorder="1" applyAlignment="1">
      <alignment horizontal="right"/>
    </xf>
    <xf numFmtId="166" fontId="4" fillId="0" borderId="5" xfId="0" applyNumberFormat="1" applyFont="1" applyBorder="1" applyAlignment="1">
      <alignment horizontal="right"/>
    </xf>
    <xf numFmtId="173" fontId="4" fillId="0" borderId="5" xfId="0" applyNumberFormat="1" applyFont="1" applyBorder="1" applyAlignment="1">
      <alignment horizontal="right"/>
    </xf>
    <xf numFmtId="14" fontId="0" fillId="0" borderId="0" xfId="0" applyNumberFormat="1"/>
  </cellXfs>
  <cellStyles count="8">
    <cellStyle name="Normal" xfId="0" builtinId="0"/>
    <cellStyle name="Normal 2" xfId="7" xr:uid="{00000000-0005-0000-0000-000001000000}"/>
    <cellStyle name="Normal 4" xfId="6" xr:uid="{00000000-0005-0000-0000-000002000000}"/>
    <cellStyle name="Per cent" xfId="1" builtinId="5"/>
    <cellStyle name="Style 21" xfId="2" xr:uid="{00000000-0005-0000-0000-000006000000}"/>
    <cellStyle name="Style 22" xfId="3" xr:uid="{00000000-0005-0000-0000-000007000000}"/>
    <cellStyle name="Style 23" xfId="4" xr:uid="{00000000-0005-0000-0000-000008000000}"/>
    <cellStyle name="Style 24" xfId="5" xr:uid="{00000000-0005-0000-0000-000009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FFE26D"/>
      <rgbColor rgb="000000FF"/>
      <rgbColor rgb="00009EA6"/>
      <rgbColor rgb="00DFB793"/>
      <rgbColor rgb="001E3086"/>
      <rgbColor rgb="00800000"/>
      <rgbColor rgb="00008000"/>
      <rgbColor rgb="00000080"/>
      <rgbColor rgb="00808000"/>
      <rgbColor rgb="00800080"/>
      <rgbColor rgb="00008080"/>
      <rgbColor rgb="00FFE26D"/>
      <rgbColor rgb="005A5A5A"/>
      <rgbColor rgb="00E31837"/>
      <rgbColor rgb="0000B1B0"/>
      <rgbColor rgb="00919195"/>
      <rgbColor rgb="00B5E1E1"/>
      <rgbColor rgb="00006C67"/>
      <rgbColor rgb="00643CE6"/>
      <rgbColor rgb="00000000"/>
      <rgbColor rgb="007D2364"/>
      <rgbColor rgb="00E31837"/>
      <rgbColor rgb="0000B1B0"/>
      <rgbColor rgb="00919195"/>
      <rgbColor rgb="00B5E1E1"/>
      <rgbColor rgb="00006C67"/>
      <rgbColor rgb="00643CE6"/>
      <rgbColor rgb="00000000"/>
      <rgbColor rgb="007D2364"/>
      <rgbColor rgb="00E1E1E1"/>
      <rgbColor rgb="000059C2"/>
      <rgbColor rgb="00A5BF88"/>
      <rgbColor rgb="00DCDCFF"/>
      <rgbColor rgb="00E41F1F"/>
      <rgbColor rgb="00FF0000"/>
      <rgbColor rgb="0073868B"/>
      <rgbColor rgb="00969696"/>
      <rgbColor rgb="003366FF"/>
      <rgbColor rgb="0033CCCC"/>
      <rgbColor rgb="0099CC00"/>
      <rgbColor rgb="00008C03"/>
      <rgbColor rgb="00FF9900"/>
      <rgbColor rgb="00FF6600"/>
      <rgbColor rgb="00666699"/>
      <rgbColor rgb="00DFDFDF"/>
      <rgbColor rgb="00003366"/>
      <rgbColor rgb="00339966"/>
      <rgbColor rgb="00003300"/>
      <rgbColor rgb="00333300"/>
      <rgbColor rgb="00993300"/>
      <rgbColor rgb="003264AF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4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patri/AppData/Roaming/Microsoft/Excel/Portfolio%20Snapshot%20(version%201).xlsb" TargetMode="External"/><Relationship Id="rId2" Type="http://schemas.openxmlformats.org/officeDocument/2006/relationships/externalLinkPath" Target="file:///C:\Users\patri\AppData\Roaming\Microsoft\Excel\Portfolio%20Snapshot%20(version%201).xlsb" TargetMode="External"/><Relationship Id="rId1" Type="http://schemas.openxmlformats.org/officeDocument/2006/relationships/externalLinkPath" Target="/Users/patri/AppData/Roaming/Microsoft/Excel/Portfolio%20Snapshot%20(version%201)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janam/Desktop/20.02%20Release%20-%20Copy/Key%20Stats/Key%20Stats%20-%20Standard%2020.2.xlsm" TargetMode="External"/><Relationship Id="rId1" Type="http://schemas.openxmlformats.org/officeDocument/2006/relationships/externalLinkPath" Target="/Users/yjanam/Desktop/20.02%20Release%20-%20Copy/Key%20Stats/Key%20Stats%20-%20Standard%2020.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crego/AppData/Local/Capital%20IQ/Office%20Plug-in/Templates/+Multi-Language/Financial%20Snapshot%20Tearsheet.xls" TargetMode="External"/><Relationship Id="rId1" Type="http://schemas.openxmlformats.org/officeDocument/2006/relationships/externalLinkPath" Target="/Users/crego/AppData/Local/Capital%20IQ/Office%20Plug-in/Templates/+Multi-Language/Financial%20Snapshot%20Tearsheet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patri/AppData/Local/Capital%20IQ/Office%20Plug-in/Templates/Portfolio%20and%20Index/CIQ%20Alpha%20Models.xls" TargetMode="External"/><Relationship Id="rId2" Type="http://schemas.openxmlformats.org/officeDocument/2006/relationships/externalLinkPath" Target="file:///C:\Users\patri\AppData\Local\Capital%20IQ\Office%20Plug-in\Templates\Portfolio%20and%20Index\CIQ%20Alpha%20Models.xls" TargetMode="External"/><Relationship Id="rId1" Type="http://schemas.openxmlformats.org/officeDocument/2006/relationships/externalLinkPath" Target="/Users/patri/AppData/Local/Capital%20IQ/Office%20Plug-in/Templates/Portfolio%20and%20Index/CIQ%20Alpha%20Model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view"/>
      <sheetName val="Summary"/>
      <sheetName val="Portfolio"/>
      <sheetName val="Benchmark"/>
      <sheetName val="PortContrib"/>
      <sheetName val="BenchContrib"/>
      <sheetName val="Chart Data"/>
      <sheetName val="Data"/>
    </sheetNames>
    <sheetDataSet>
      <sheetData sheetId="0"/>
      <sheetData sheetId="1"/>
      <sheetData sheetId="2">
        <row r="7">
          <cell r="AI7" t="str">
            <v>(User access restricted)</v>
          </cell>
          <cell r="AJ7" t="str">
            <v>(User access restricted)</v>
          </cell>
          <cell r="AL7" t="str">
            <v>(User access restricted)</v>
          </cell>
          <cell r="AM7" t="str">
            <v>(User access restricted)</v>
          </cell>
          <cell r="AO7" t="str">
            <v>(User access restricted)</v>
          </cell>
          <cell r="AP7" t="str">
            <v>(User access restricted)</v>
          </cell>
          <cell r="AR7" t="str">
            <v>(User access restricted)</v>
          </cell>
          <cell r="AS7" t="str">
            <v>(User access restricted)</v>
          </cell>
          <cell r="AU7" t="str">
            <v>(User access restricted)</v>
          </cell>
          <cell r="AV7" t="str">
            <v>(User access restricted)</v>
          </cell>
          <cell r="AX7" t="str">
            <v>(User access restricted)</v>
          </cell>
          <cell r="AY7" t="str">
            <v>(User access restricted)</v>
          </cell>
          <cell r="BA7" t="str">
            <v>(User access restricted)</v>
          </cell>
          <cell r="BB7" t="str">
            <v>(User access restricted)</v>
          </cell>
          <cell r="BD7" t="str">
            <v>(User access restricted)</v>
          </cell>
          <cell r="BE7" t="str">
            <v>(User access restricted)</v>
          </cell>
          <cell r="BG7" t="str">
            <v>(User access restricted)</v>
          </cell>
          <cell r="BH7" t="str">
            <v>(User access restricted)</v>
          </cell>
          <cell r="BJ7" t="str">
            <v>(User access restricted)</v>
          </cell>
          <cell r="BK7" t="str">
            <v>(User access restricted)</v>
          </cell>
          <cell r="BM7" t="str">
            <v>(User access restricted)</v>
          </cell>
          <cell r="BN7" t="str">
            <v>(User access restricted)</v>
          </cell>
        </row>
      </sheetData>
      <sheetData sheetId="3">
        <row r="7">
          <cell r="AI7" t="str">
            <v>(User access restricted)</v>
          </cell>
          <cell r="AJ7" t="str">
            <v>(User access restricted)</v>
          </cell>
          <cell r="AL7" t="str">
            <v>(User access restricted)</v>
          </cell>
          <cell r="AM7" t="str">
            <v>(User access restricted)</v>
          </cell>
          <cell r="AO7" t="str">
            <v>(User access restricted)</v>
          </cell>
          <cell r="AP7" t="str">
            <v>(User access restricted)</v>
          </cell>
          <cell r="AR7" t="str">
            <v>(User access restricted)</v>
          </cell>
          <cell r="AS7" t="str">
            <v>(User access restricted)</v>
          </cell>
          <cell r="AU7" t="str">
            <v>(User access restricted)</v>
          </cell>
          <cell r="AV7" t="str">
            <v>(User access restricted)</v>
          </cell>
          <cell r="AX7" t="str">
            <v>(User access restricted)</v>
          </cell>
          <cell r="AY7" t="str">
            <v>(User access restricted)</v>
          </cell>
          <cell r="BA7" t="str">
            <v>(User access restricted)</v>
          </cell>
          <cell r="BB7" t="str">
            <v>(User access restricted)</v>
          </cell>
          <cell r="BD7" t="str">
            <v>(User access restricted)</v>
          </cell>
          <cell r="BE7" t="str">
            <v>(User access restricted)</v>
          </cell>
          <cell r="BG7" t="str">
            <v>(User access restricted)</v>
          </cell>
          <cell r="BH7" t="str">
            <v>(User access restricted)</v>
          </cell>
          <cell r="BJ7" t="str">
            <v>(User access restricted)</v>
          </cell>
          <cell r="BK7" t="str">
            <v>(User access restricted)</v>
          </cell>
          <cell r="BM7" t="str">
            <v>(User access restricted)</v>
          </cell>
          <cell r="BN7" t="str">
            <v>(User access restricted)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Key Stats"/>
      <sheetName val="Income Statement"/>
      <sheetName val="Balance Sheet"/>
      <sheetName val="Cash Flow"/>
      <sheetName val="Multiples"/>
      <sheetName val="Capitalization"/>
      <sheetName val="Capital Structure Summary"/>
      <sheetName val="Capital Structure Details"/>
      <sheetName val="Ratios"/>
      <sheetName val="Supplemental"/>
      <sheetName val="Pension-OPE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">
          <cell r="U6" t="str">
            <v>IQDCS921164068</v>
          </cell>
        </row>
        <row r="7">
          <cell r="U7" t="str">
            <v>IQDCS922008726</v>
          </cell>
        </row>
        <row r="8">
          <cell r="U8" t="str">
            <v>IQDCS921164065</v>
          </cell>
        </row>
        <row r="9">
          <cell r="U9" t="str">
            <v>IQDCS923200891</v>
          </cell>
        </row>
        <row r="10">
          <cell r="U10" t="str">
            <v>IQDCS922584855</v>
          </cell>
        </row>
        <row r="11">
          <cell r="U11" t="str">
            <v>IQDCS920779925</v>
          </cell>
        </row>
        <row r="12">
          <cell r="U12" t="str">
            <v>IQDCS922920408</v>
          </cell>
        </row>
        <row r="13">
          <cell r="U13" t="str">
            <v>IQDCS920779921</v>
          </cell>
        </row>
        <row r="14">
          <cell r="U14" t="str">
            <v>IQDCS920779609</v>
          </cell>
        </row>
        <row r="15">
          <cell r="U15" t="str">
            <v>IQDCS920779615</v>
          </cell>
        </row>
        <row r="16">
          <cell r="U16" t="str">
            <v>IQDCS920779926</v>
          </cell>
        </row>
        <row r="17">
          <cell r="U17" t="str">
            <v>IQDCS922921278</v>
          </cell>
        </row>
        <row r="18">
          <cell r="U18" t="str">
            <v>IQDCS920779614</v>
          </cell>
        </row>
        <row r="19">
          <cell r="U19" t="str">
            <v>IQDCS920779928</v>
          </cell>
        </row>
        <row r="20">
          <cell r="U20" t="str">
            <v>IQDCS922921284</v>
          </cell>
        </row>
        <row r="21">
          <cell r="U21" t="str">
            <v>IQDCS921345359</v>
          </cell>
        </row>
        <row r="22">
          <cell r="U22" t="str">
            <v>IQDCS922920407</v>
          </cell>
        </row>
        <row r="23">
          <cell r="U23" t="str">
            <v>IQDCS920779608</v>
          </cell>
        </row>
        <row r="24">
          <cell r="U24" t="str">
            <v>IQDCS922921285</v>
          </cell>
        </row>
        <row r="25">
          <cell r="U25" t="str">
            <v>IQDCS920779922</v>
          </cell>
        </row>
        <row r="26">
          <cell r="U26" t="str">
            <v>IQDCS922921279</v>
          </cell>
        </row>
        <row r="27">
          <cell r="U27" t="str">
            <v>IQDCS920779620</v>
          </cell>
        </row>
        <row r="28">
          <cell r="U28" t="str">
            <v>IQDCS919289665</v>
          </cell>
        </row>
        <row r="29">
          <cell r="U29" t="str">
            <v>IQDCS920779612</v>
          </cell>
        </row>
        <row r="30">
          <cell r="U30" t="str">
            <v>IQDCS922921287</v>
          </cell>
        </row>
        <row r="35">
          <cell r="U35" t="str">
            <v>IQDCS921164068</v>
          </cell>
        </row>
        <row r="36">
          <cell r="U36" t="str">
            <v>IQDCS922008726</v>
          </cell>
        </row>
        <row r="37">
          <cell r="U37" t="str">
            <v>IQDCS921164065</v>
          </cell>
        </row>
        <row r="38">
          <cell r="U38" t="str">
            <v>IQDCS922031102</v>
          </cell>
        </row>
        <row r="39">
          <cell r="U39" t="str">
            <v>IQDCS922373212</v>
          </cell>
        </row>
        <row r="40">
          <cell r="U40" t="str">
            <v>IQDCS921164072</v>
          </cell>
        </row>
        <row r="41">
          <cell r="U41" t="str">
            <v>IQDCS920779925</v>
          </cell>
        </row>
        <row r="42">
          <cell r="U42" t="str">
            <v>IQDCS920779921</v>
          </cell>
        </row>
        <row r="43">
          <cell r="U43" t="str">
            <v>IQDCS920779609</v>
          </cell>
        </row>
        <row r="44">
          <cell r="U44" t="str">
            <v>IQDCS920779615</v>
          </cell>
        </row>
        <row r="45">
          <cell r="U45" t="str">
            <v>IQDCS920779926</v>
          </cell>
        </row>
        <row r="46">
          <cell r="U46" t="str">
            <v>IQDCS920779614</v>
          </cell>
        </row>
        <row r="47">
          <cell r="U47" t="str">
            <v>IQDCS920779928</v>
          </cell>
        </row>
        <row r="48">
          <cell r="U48" t="str">
            <v>IQDCS920780032</v>
          </cell>
        </row>
        <row r="49">
          <cell r="U49" t="str">
            <v>IQDCS921345359</v>
          </cell>
        </row>
        <row r="50">
          <cell r="U50" t="str">
            <v>IQDCS920779608</v>
          </cell>
        </row>
        <row r="51">
          <cell r="U51" t="str">
            <v>IQDCS920779922</v>
          </cell>
        </row>
        <row r="52">
          <cell r="U52" t="str">
            <v>IQDCS920779620</v>
          </cell>
        </row>
        <row r="53">
          <cell r="U53" t="str">
            <v>IQDCS919289665</v>
          </cell>
        </row>
        <row r="54">
          <cell r="U54" t="str">
            <v>IQDCS920779612</v>
          </cell>
        </row>
        <row r="55">
          <cell r="U55" t="str">
            <v>IQDCS919289795</v>
          </cell>
        </row>
        <row r="56">
          <cell r="U56" t="str">
            <v>IQDCS920779918</v>
          </cell>
        </row>
        <row r="57">
          <cell r="U57" t="str">
            <v>IQDCS920779617</v>
          </cell>
        </row>
        <row r="58">
          <cell r="U58" t="str">
            <v>IQDCS920779919</v>
          </cell>
        </row>
        <row r="59">
          <cell r="U59" t="str">
            <v>IQDCS921164084</v>
          </cell>
        </row>
        <row r="64">
          <cell r="U64" t="str">
            <v>IQDCS921164068</v>
          </cell>
        </row>
        <row r="65">
          <cell r="U65" t="str">
            <v>IQDCS921164072</v>
          </cell>
        </row>
        <row r="66">
          <cell r="U66" t="str">
            <v>IQDCS920779925</v>
          </cell>
        </row>
        <row r="67">
          <cell r="U67" t="str">
            <v>IQDCS920779921</v>
          </cell>
        </row>
        <row r="68">
          <cell r="U68" t="str">
            <v>IQDCS920779609</v>
          </cell>
        </row>
        <row r="69">
          <cell r="U69" t="str">
            <v>IQDCS920779615</v>
          </cell>
        </row>
        <row r="70">
          <cell r="U70" t="str">
            <v>IQDCS920779926</v>
          </cell>
        </row>
        <row r="71">
          <cell r="U71" t="str">
            <v>IQDCS920779614</v>
          </cell>
        </row>
        <row r="72">
          <cell r="U72" t="str">
            <v>IQDCS920779928</v>
          </cell>
        </row>
        <row r="73">
          <cell r="U73" t="str">
            <v>IQDCS920780032</v>
          </cell>
        </row>
        <row r="74">
          <cell r="U74" t="str">
            <v>IQDCS920779608</v>
          </cell>
        </row>
        <row r="75">
          <cell r="U75" t="str">
            <v>IQDCS920779922</v>
          </cell>
        </row>
        <row r="76">
          <cell r="U76" t="str">
            <v>IQDCS920779620</v>
          </cell>
        </row>
        <row r="77">
          <cell r="U77" t="str">
            <v>IQDCS919289665</v>
          </cell>
        </row>
        <row r="78">
          <cell r="U78" t="str">
            <v>IQDCS920779612</v>
          </cell>
        </row>
        <row r="79">
          <cell r="U79" t="str">
            <v>IQDCS919289795</v>
          </cell>
        </row>
        <row r="80">
          <cell r="U80" t="str">
            <v>IQDCS920779918</v>
          </cell>
        </row>
        <row r="81">
          <cell r="U81" t="str">
            <v>IQDCS920779617</v>
          </cell>
        </row>
        <row r="82">
          <cell r="U82" t="str">
            <v>IQDCS920779919</v>
          </cell>
        </row>
        <row r="83">
          <cell r="U83" t="str">
            <v>IQDCS919771151</v>
          </cell>
        </row>
        <row r="84">
          <cell r="U84" t="str">
            <v>IQDCS921164084</v>
          </cell>
        </row>
        <row r="85">
          <cell r="U85" t="str">
            <v>IQDCS921164085</v>
          </cell>
        </row>
        <row r="86">
          <cell r="U86" t="str">
            <v>IQDCS921164070</v>
          </cell>
        </row>
        <row r="87">
          <cell r="U87" t="str">
            <v>IQDCS921164071</v>
          </cell>
        </row>
        <row r="88">
          <cell r="U88" t="str">
            <v>IQDCS916957982</v>
          </cell>
        </row>
      </sheetData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napshot"/>
      <sheetName val="Data"/>
      <sheetName val="Lanugage Index"/>
    </sheetNames>
    <sheetDataSet>
      <sheetData sheetId="0" refreshError="1"/>
      <sheetData sheetId="1">
        <row r="9">
          <cell r="A9">
            <v>43558</v>
          </cell>
          <cell r="B9">
            <v>143.63</v>
          </cell>
          <cell r="C9">
            <v>2.6816499999999999</v>
          </cell>
        </row>
        <row r="10">
          <cell r="A10">
            <v>43559</v>
          </cell>
          <cell r="B10">
            <v>142.78</v>
          </cell>
          <cell r="C10">
            <v>2.7714599999999998</v>
          </cell>
        </row>
        <row r="11">
          <cell r="A11">
            <v>43560</v>
          </cell>
          <cell r="B11">
            <v>143.28</v>
          </cell>
          <cell r="C11">
            <v>2.7319900000000001</v>
          </cell>
        </row>
        <row r="12">
          <cell r="A12">
            <v>43563</v>
          </cell>
          <cell r="B12">
            <v>143.38999999999999</v>
          </cell>
          <cell r="C12">
            <v>2.1182300000000001</v>
          </cell>
        </row>
        <row r="13">
          <cell r="A13">
            <v>43564</v>
          </cell>
          <cell r="B13">
            <v>142.11000000000001</v>
          </cell>
          <cell r="C13">
            <v>3.0384600000000002</v>
          </cell>
        </row>
        <row r="14">
          <cell r="A14">
            <v>43565</v>
          </cell>
          <cell r="B14">
            <v>143.02000000000001</v>
          </cell>
          <cell r="C14">
            <v>2.6783100000000002</v>
          </cell>
        </row>
        <row r="15">
          <cell r="A15">
            <v>43566</v>
          </cell>
          <cell r="B15">
            <v>143.78</v>
          </cell>
          <cell r="C15">
            <v>2.9419900000000001</v>
          </cell>
        </row>
        <row r="16">
          <cell r="A16">
            <v>43567</v>
          </cell>
          <cell r="B16">
            <v>144.35</v>
          </cell>
          <cell r="C16">
            <v>2.8988999999999998</v>
          </cell>
        </row>
        <row r="17">
          <cell r="A17">
            <v>43570</v>
          </cell>
          <cell r="B17">
            <v>143.9</v>
          </cell>
          <cell r="C17">
            <v>3.6031599999999999</v>
          </cell>
        </row>
        <row r="18">
          <cell r="A18">
            <v>43571</v>
          </cell>
          <cell r="B18">
            <v>145.13999999999999</v>
          </cell>
          <cell r="C18">
            <v>6.3016699999999997</v>
          </cell>
        </row>
        <row r="19">
          <cell r="A19">
            <v>43572</v>
          </cell>
          <cell r="B19">
            <v>139.11000000000001</v>
          </cell>
          <cell r="C19">
            <v>12.525690000000001</v>
          </cell>
        </row>
        <row r="20">
          <cell r="A20">
            <v>43573</v>
          </cell>
          <cell r="B20">
            <v>140.33000000000001</v>
          </cell>
          <cell r="C20">
            <v>4.9600200000000001</v>
          </cell>
        </row>
        <row r="21">
          <cell r="A21">
            <v>43577</v>
          </cell>
          <cell r="B21">
            <v>138.88999999999999</v>
          </cell>
          <cell r="C21">
            <v>4.4943299999999997</v>
          </cell>
        </row>
        <row r="22">
          <cell r="A22">
            <v>43578</v>
          </cell>
          <cell r="B22">
            <v>140.44</v>
          </cell>
          <cell r="C22">
            <v>4.4622400000000004</v>
          </cell>
        </row>
        <row r="23">
          <cell r="A23">
            <v>43579</v>
          </cell>
          <cell r="B23">
            <v>139.94999999999999</v>
          </cell>
          <cell r="C23">
            <v>2.7748699999999999</v>
          </cell>
        </row>
        <row r="24">
          <cell r="A24">
            <v>43580</v>
          </cell>
          <cell r="B24">
            <v>138.63</v>
          </cell>
          <cell r="C24">
            <v>2.91011</v>
          </cell>
        </row>
        <row r="25">
          <cell r="A25">
            <v>43581</v>
          </cell>
          <cell r="B25">
            <v>139.44</v>
          </cell>
          <cell r="C25">
            <v>2.3198300000000001</v>
          </cell>
        </row>
        <row r="26">
          <cell r="A26">
            <v>43584</v>
          </cell>
          <cell r="B26">
            <v>139.05000000000001</v>
          </cell>
          <cell r="C26">
            <v>2.9583300000000001</v>
          </cell>
        </row>
        <row r="27">
          <cell r="A27">
            <v>43585</v>
          </cell>
          <cell r="B27">
            <v>140.27000000000001</v>
          </cell>
          <cell r="C27">
            <v>4.6388299999999996</v>
          </cell>
        </row>
        <row r="28">
          <cell r="A28">
            <v>43586</v>
          </cell>
          <cell r="B28">
            <v>140.56</v>
          </cell>
          <cell r="C28">
            <v>3.0536799999999999</v>
          </cell>
        </row>
        <row r="29">
          <cell r="A29">
            <v>43587</v>
          </cell>
          <cell r="B29">
            <v>139.59</v>
          </cell>
          <cell r="C29">
            <v>3.54135</v>
          </cell>
        </row>
        <row r="30">
          <cell r="A30">
            <v>43588</v>
          </cell>
          <cell r="B30">
            <v>140.25</v>
          </cell>
          <cell r="C30">
            <v>2.5800299999999998</v>
          </cell>
        </row>
        <row r="31">
          <cell r="A31">
            <v>43591</v>
          </cell>
          <cell r="B31">
            <v>140.38</v>
          </cell>
          <cell r="C31">
            <v>2.79366</v>
          </cell>
        </row>
        <row r="32">
          <cell r="A32">
            <v>43592</v>
          </cell>
          <cell r="B32">
            <v>137.63999999999999</v>
          </cell>
          <cell r="C32">
            <v>4.7267700000000001</v>
          </cell>
        </row>
        <row r="33">
          <cell r="A33">
            <v>43593</v>
          </cell>
          <cell r="B33">
            <v>138</v>
          </cell>
          <cell r="C33">
            <v>3.8189099999999998</v>
          </cell>
        </row>
        <row r="34">
          <cell r="A34">
            <v>43594</v>
          </cell>
          <cell r="B34">
            <v>135.34</v>
          </cell>
          <cell r="C34">
            <v>4.1929400000000001</v>
          </cell>
        </row>
        <row r="35">
          <cell r="A35">
            <v>43595</v>
          </cell>
          <cell r="B35">
            <v>135.32</v>
          </cell>
          <cell r="C35">
            <v>3.9776899999999999</v>
          </cell>
        </row>
        <row r="36">
          <cell r="A36">
            <v>43598</v>
          </cell>
          <cell r="B36">
            <v>131.41999999999999</v>
          </cell>
          <cell r="C36">
            <v>4.9580200000000003</v>
          </cell>
        </row>
        <row r="37">
          <cell r="A37">
            <v>43599</v>
          </cell>
          <cell r="B37">
            <v>133.31</v>
          </cell>
          <cell r="C37">
            <v>3.28037</v>
          </cell>
        </row>
        <row r="38">
          <cell r="A38">
            <v>43600</v>
          </cell>
          <cell r="B38">
            <v>134.4</v>
          </cell>
          <cell r="C38">
            <v>2.5510100000000002</v>
          </cell>
        </row>
        <row r="39">
          <cell r="A39">
            <v>43601</v>
          </cell>
          <cell r="B39">
            <v>135.88</v>
          </cell>
          <cell r="C39">
            <v>3.0174699999999999</v>
          </cell>
        </row>
        <row r="40">
          <cell r="A40">
            <v>43602</v>
          </cell>
          <cell r="B40">
            <v>134.32</v>
          </cell>
          <cell r="C40">
            <v>2.6191399999999998</v>
          </cell>
        </row>
        <row r="41">
          <cell r="A41">
            <v>43605</v>
          </cell>
          <cell r="B41">
            <v>135.12</v>
          </cell>
          <cell r="C41">
            <v>3.2646500000000001</v>
          </cell>
        </row>
        <row r="42">
          <cell r="A42">
            <v>43606</v>
          </cell>
          <cell r="B42">
            <v>136.44999999999999</v>
          </cell>
          <cell r="C42">
            <v>2.5034999999999998</v>
          </cell>
        </row>
        <row r="43">
          <cell r="A43">
            <v>43607</v>
          </cell>
          <cell r="B43">
            <v>136.35</v>
          </cell>
          <cell r="C43">
            <v>1.84982</v>
          </cell>
        </row>
        <row r="44">
          <cell r="A44">
            <v>43608</v>
          </cell>
          <cell r="B44">
            <v>132.38999999999999</v>
          </cell>
          <cell r="C44">
            <v>5.3434400000000002</v>
          </cell>
        </row>
        <row r="45">
          <cell r="A45">
            <v>43609</v>
          </cell>
          <cell r="B45">
            <v>132.28</v>
          </cell>
          <cell r="C45">
            <v>2.59612</v>
          </cell>
        </row>
        <row r="46">
          <cell r="A46">
            <v>43613</v>
          </cell>
          <cell r="B46">
            <v>130.46</v>
          </cell>
          <cell r="C46">
            <v>4.9091199999999997</v>
          </cell>
        </row>
        <row r="47">
          <cell r="A47">
            <v>43614</v>
          </cell>
          <cell r="B47">
            <v>129.69</v>
          </cell>
          <cell r="C47">
            <v>3.6789800000000001</v>
          </cell>
        </row>
        <row r="48">
          <cell r="A48">
            <v>43615</v>
          </cell>
          <cell r="B48">
            <v>129.57</v>
          </cell>
          <cell r="C48">
            <v>2.7418800000000001</v>
          </cell>
        </row>
        <row r="49">
          <cell r="A49">
            <v>43616</v>
          </cell>
          <cell r="B49">
            <v>126.99</v>
          </cell>
          <cell r="C49">
            <v>3.5393400000000002</v>
          </cell>
        </row>
        <row r="50">
          <cell r="A50">
            <v>43619</v>
          </cell>
          <cell r="B50">
            <v>128.27000000000001</v>
          </cell>
          <cell r="C50">
            <v>4.26708</v>
          </cell>
        </row>
        <row r="51">
          <cell r="A51">
            <v>43620</v>
          </cell>
          <cell r="B51">
            <v>132.69</v>
          </cell>
          <cell r="C51">
            <v>3.9135399999999998</v>
          </cell>
        </row>
        <row r="52">
          <cell r="A52">
            <v>43621</v>
          </cell>
          <cell r="B52">
            <v>131.49</v>
          </cell>
          <cell r="C52">
            <v>3.1615799999999998</v>
          </cell>
        </row>
        <row r="53">
          <cell r="A53">
            <v>43622</v>
          </cell>
          <cell r="B53">
            <v>132.22</v>
          </cell>
          <cell r="C53">
            <v>2.2982499999999999</v>
          </cell>
        </row>
        <row r="54">
          <cell r="A54">
            <v>43623</v>
          </cell>
          <cell r="B54">
            <v>133.31</v>
          </cell>
          <cell r="C54">
            <v>2.5533999999999999</v>
          </cell>
        </row>
        <row r="55">
          <cell r="A55">
            <v>43626</v>
          </cell>
          <cell r="B55">
            <v>134.74</v>
          </cell>
          <cell r="C55">
            <v>2.91133</v>
          </cell>
        </row>
        <row r="56">
          <cell r="A56">
            <v>43627</v>
          </cell>
          <cell r="B56">
            <v>135.94999999999999</v>
          </cell>
          <cell r="C56">
            <v>3.4073500000000001</v>
          </cell>
        </row>
        <row r="57">
          <cell r="A57">
            <v>43628</v>
          </cell>
          <cell r="B57">
            <v>134.87</v>
          </cell>
          <cell r="C57">
            <v>2.25474</v>
          </cell>
        </row>
        <row r="58">
          <cell r="A58">
            <v>43629</v>
          </cell>
          <cell r="B58">
            <v>135.76</v>
          </cell>
          <cell r="C58">
            <v>2.9554200000000002</v>
          </cell>
        </row>
        <row r="59">
          <cell r="A59">
            <v>43630</v>
          </cell>
          <cell r="B59">
            <v>135.15</v>
          </cell>
          <cell r="C59">
            <v>2.1933699999999998</v>
          </cell>
        </row>
        <row r="60">
          <cell r="A60">
            <v>43633</v>
          </cell>
          <cell r="B60">
            <v>134.94999999999999</v>
          </cell>
          <cell r="C60">
            <v>2.1941299999999999</v>
          </cell>
        </row>
        <row r="61">
          <cell r="A61">
            <v>43634</v>
          </cell>
          <cell r="B61">
            <v>136.38</v>
          </cell>
          <cell r="C61">
            <v>2.9146999999999998</v>
          </cell>
        </row>
        <row r="62">
          <cell r="A62">
            <v>43635</v>
          </cell>
          <cell r="B62">
            <v>137.08000000000001</v>
          </cell>
          <cell r="C62">
            <v>2.38252</v>
          </cell>
        </row>
        <row r="63">
          <cell r="A63">
            <v>43636</v>
          </cell>
          <cell r="B63">
            <v>138.85</v>
          </cell>
          <cell r="C63">
            <v>3.0710199999999999</v>
          </cell>
        </row>
        <row r="64">
          <cell r="A64">
            <v>43637</v>
          </cell>
          <cell r="B64">
            <v>139.19999999999999</v>
          </cell>
          <cell r="C64">
            <v>5.2887599999999999</v>
          </cell>
        </row>
        <row r="65">
          <cell r="A65">
            <v>43640</v>
          </cell>
          <cell r="B65">
            <v>139.35</v>
          </cell>
          <cell r="C65">
            <v>2.18614</v>
          </cell>
        </row>
        <row r="66">
          <cell r="A66">
            <v>43641</v>
          </cell>
          <cell r="B66">
            <v>138.36000000000001</v>
          </cell>
          <cell r="C66">
            <v>2.80125</v>
          </cell>
        </row>
        <row r="67">
          <cell r="A67">
            <v>43642</v>
          </cell>
          <cell r="B67">
            <v>138.52000000000001</v>
          </cell>
          <cell r="C67">
            <v>2.28457</v>
          </cell>
        </row>
        <row r="68">
          <cell r="A68">
            <v>43643</v>
          </cell>
          <cell r="B68">
            <v>138.52000000000001</v>
          </cell>
          <cell r="C68">
            <v>2.1498200000000001</v>
          </cell>
        </row>
        <row r="69">
          <cell r="A69">
            <v>43644</v>
          </cell>
          <cell r="B69">
            <v>137.9</v>
          </cell>
          <cell r="C69">
            <v>6.1540400000000002</v>
          </cell>
        </row>
        <row r="70">
          <cell r="A70">
            <v>43647</v>
          </cell>
          <cell r="B70">
            <v>139.88</v>
          </cell>
          <cell r="C70">
            <v>3.3871799999999999</v>
          </cell>
        </row>
        <row r="71">
          <cell r="A71">
            <v>43648</v>
          </cell>
          <cell r="B71">
            <v>140.22</v>
          </cell>
          <cell r="C71">
            <v>2.4100899999999998</v>
          </cell>
        </row>
        <row r="72">
          <cell r="A72">
            <v>43649</v>
          </cell>
          <cell r="B72">
            <v>141.54</v>
          </cell>
          <cell r="C72">
            <v>1.9303600000000001</v>
          </cell>
        </row>
        <row r="73">
          <cell r="A73">
            <v>43651</v>
          </cell>
          <cell r="B73">
            <v>141.38</v>
          </cell>
          <cell r="C73">
            <v>2.1350899999999999</v>
          </cell>
        </row>
        <row r="74">
          <cell r="A74">
            <v>43654</v>
          </cell>
          <cell r="B74">
            <v>140.57</v>
          </cell>
          <cell r="C74">
            <v>2.3954900000000001</v>
          </cell>
        </row>
        <row r="75">
          <cell r="A75">
            <v>43655</v>
          </cell>
          <cell r="B75">
            <v>139.33000000000001</v>
          </cell>
          <cell r="C75">
            <v>3.3652299999999999</v>
          </cell>
        </row>
        <row r="76">
          <cell r="A76">
            <v>43656</v>
          </cell>
          <cell r="B76">
            <v>140.47</v>
          </cell>
          <cell r="C76">
            <v>2.5139300000000002</v>
          </cell>
        </row>
        <row r="77">
          <cell r="A77">
            <v>43657</v>
          </cell>
          <cell r="B77">
            <v>141.24</v>
          </cell>
          <cell r="C77">
            <v>2.1333299999999999</v>
          </cell>
        </row>
        <row r="78">
          <cell r="A78">
            <v>43658</v>
          </cell>
          <cell r="B78">
            <v>142.74</v>
          </cell>
          <cell r="C78">
            <v>2.7862800000000001</v>
          </cell>
        </row>
        <row r="79">
          <cell r="A79">
            <v>43661</v>
          </cell>
          <cell r="B79">
            <v>143.32</v>
          </cell>
          <cell r="C79">
            <v>2.3683100000000001</v>
          </cell>
        </row>
        <row r="80">
          <cell r="A80">
            <v>43662</v>
          </cell>
          <cell r="B80">
            <v>143.53</v>
          </cell>
          <cell r="C80">
            <v>3.4746899999999998</v>
          </cell>
        </row>
        <row r="81">
          <cell r="A81">
            <v>43663</v>
          </cell>
          <cell r="B81">
            <v>143.07</v>
          </cell>
          <cell r="C81">
            <v>6.0642699999999996</v>
          </cell>
        </row>
        <row r="82">
          <cell r="A82">
            <v>43664</v>
          </cell>
          <cell r="B82">
            <v>149.63</v>
          </cell>
          <cell r="C82">
            <v>12.69539</v>
          </cell>
        </row>
        <row r="83">
          <cell r="A83">
            <v>43665</v>
          </cell>
          <cell r="B83">
            <v>149.68</v>
          </cell>
          <cell r="C83">
            <v>7.29068</v>
          </cell>
        </row>
        <row r="84">
          <cell r="A84">
            <v>43668</v>
          </cell>
          <cell r="B84">
            <v>149.74</v>
          </cell>
          <cell r="C84">
            <v>4.0932399999999998</v>
          </cell>
        </row>
        <row r="85">
          <cell r="A85">
            <v>43669</v>
          </cell>
          <cell r="B85">
            <v>150.38</v>
          </cell>
          <cell r="C85">
            <v>3.7422</v>
          </cell>
        </row>
        <row r="86">
          <cell r="A86">
            <v>43670</v>
          </cell>
          <cell r="B86">
            <v>150.03</v>
          </cell>
          <cell r="C86">
            <v>2.9524400000000002</v>
          </cell>
        </row>
        <row r="87">
          <cell r="A87">
            <v>43671</v>
          </cell>
          <cell r="B87">
            <v>150.38999999999999</v>
          </cell>
          <cell r="C87">
            <v>3.1021100000000001</v>
          </cell>
        </row>
        <row r="88">
          <cell r="A88">
            <v>43672</v>
          </cell>
          <cell r="B88">
            <v>151.36000000000001</v>
          </cell>
          <cell r="C88">
            <v>2.90449</v>
          </cell>
        </row>
        <row r="89">
          <cell r="A89">
            <v>43675</v>
          </cell>
          <cell r="B89">
            <v>150.88</v>
          </cell>
          <cell r="C89">
            <v>2.0755300000000001</v>
          </cell>
        </row>
        <row r="90">
          <cell r="A90">
            <v>43676</v>
          </cell>
          <cell r="B90">
            <v>149.77000000000001</v>
          </cell>
          <cell r="C90">
            <v>2.63273</v>
          </cell>
        </row>
        <row r="91">
          <cell r="A91">
            <v>43677</v>
          </cell>
          <cell r="B91">
            <v>148.24</v>
          </cell>
          <cell r="C91">
            <v>3.7229100000000002</v>
          </cell>
        </row>
        <row r="92">
          <cell r="A92">
            <v>43678</v>
          </cell>
          <cell r="B92">
            <v>150.32</v>
          </cell>
          <cell r="C92">
            <v>6.3440099999999999</v>
          </cell>
        </row>
        <row r="93">
          <cell r="A93">
            <v>43679</v>
          </cell>
          <cell r="B93">
            <v>147.25</v>
          </cell>
          <cell r="C93">
            <v>8.1017200000000003</v>
          </cell>
        </row>
        <row r="94">
          <cell r="A94">
            <v>43682</v>
          </cell>
          <cell r="B94">
            <v>140.76</v>
          </cell>
          <cell r="C94">
            <v>7.1148699999999998</v>
          </cell>
        </row>
        <row r="95">
          <cell r="A95">
            <v>43683</v>
          </cell>
          <cell r="B95">
            <v>140.72999999999999</v>
          </cell>
          <cell r="C95">
            <v>5.0706499999999997</v>
          </cell>
        </row>
        <row r="96">
          <cell r="A96">
            <v>43684</v>
          </cell>
          <cell r="B96">
            <v>139.11000000000001</v>
          </cell>
          <cell r="C96">
            <v>5.9318799999999996</v>
          </cell>
        </row>
        <row r="97">
          <cell r="A97">
            <v>43685</v>
          </cell>
          <cell r="B97">
            <v>140.1</v>
          </cell>
          <cell r="C97">
            <v>5.2614400000000003</v>
          </cell>
        </row>
        <row r="98">
          <cell r="A98">
            <v>43686</v>
          </cell>
          <cell r="B98">
            <v>136.13</v>
          </cell>
          <cell r="C98">
            <v>5.2445899999999996</v>
          </cell>
        </row>
        <row r="99">
          <cell r="A99">
            <v>43689</v>
          </cell>
          <cell r="B99">
            <v>134.12</v>
          </cell>
          <cell r="C99">
            <v>4.1936400000000003</v>
          </cell>
        </row>
        <row r="100">
          <cell r="A100">
            <v>43690</v>
          </cell>
          <cell r="B100">
            <v>135.79</v>
          </cell>
          <cell r="C100">
            <v>4.5511699999999999</v>
          </cell>
        </row>
        <row r="101">
          <cell r="A101">
            <v>43691</v>
          </cell>
          <cell r="B101">
            <v>131.25</v>
          </cell>
          <cell r="C101">
            <v>5.11416</v>
          </cell>
        </row>
        <row r="102">
          <cell r="A102">
            <v>43692</v>
          </cell>
          <cell r="B102">
            <v>131.91999999999999</v>
          </cell>
          <cell r="C102">
            <v>3.73895</v>
          </cell>
        </row>
        <row r="103">
          <cell r="A103">
            <v>43693</v>
          </cell>
          <cell r="B103">
            <v>133.76</v>
          </cell>
          <cell r="C103">
            <v>3.0119899999999999</v>
          </cell>
        </row>
        <row r="104">
          <cell r="A104">
            <v>43696</v>
          </cell>
          <cell r="B104">
            <v>135.04</v>
          </cell>
          <cell r="C104">
            <v>3.1654399999999998</v>
          </cell>
        </row>
        <row r="105">
          <cell r="A105">
            <v>43697</v>
          </cell>
          <cell r="B105">
            <v>133</v>
          </cell>
          <cell r="C105">
            <v>3.0189300000000001</v>
          </cell>
        </row>
        <row r="106">
          <cell r="A106">
            <v>43698</v>
          </cell>
          <cell r="B106">
            <v>134.25</v>
          </cell>
          <cell r="C106">
            <v>2.8067700000000002</v>
          </cell>
        </row>
        <row r="107">
          <cell r="A107">
            <v>43699</v>
          </cell>
          <cell r="B107">
            <v>134.32</v>
          </cell>
          <cell r="C107">
            <v>2.6950099999999999</v>
          </cell>
        </row>
        <row r="108">
          <cell r="A108">
            <v>43700</v>
          </cell>
          <cell r="B108">
            <v>129.57</v>
          </cell>
          <cell r="C108">
            <v>4.8187600000000002</v>
          </cell>
        </row>
        <row r="109">
          <cell r="A109">
            <v>43703</v>
          </cell>
          <cell r="B109">
            <v>129.99</v>
          </cell>
          <cell r="C109">
            <v>2.83684</v>
          </cell>
        </row>
        <row r="110">
          <cell r="A110">
            <v>43704</v>
          </cell>
          <cell r="B110">
            <v>131.16999999999999</v>
          </cell>
          <cell r="C110">
            <v>4.7283900000000001</v>
          </cell>
        </row>
        <row r="111">
          <cell r="A111">
            <v>43705</v>
          </cell>
          <cell r="B111">
            <v>132.76</v>
          </cell>
          <cell r="C111">
            <v>2.7203599999999999</v>
          </cell>
        </row>
        <row r="112">
          <cell r="A112">
            <v>43706</v>
          </cell>
          <cell r="B112">
            <v>134.88</v>
          </cell>
          <cell r="C112">
            <v>2.9728400000000001</v>
          </cell>
        </row>
        <row r="113">
          <cell r="A113">
            <v>43707</v>
          </cell>
          <cell r="B113">
            <v>135.53</v>
          </cell>
          <cell r="C113">
            <v>2.9605899999999998</v>
          </cell>
        </row>
        <row r="114">
          <cell r="A114">
            <v>43711</v>
          </cell>
          <cell r="B114">
            <v>134.1</v>
          </cell>
          <cell r="C114">
            <v>2.8282400000000001</v>
          </cell>
        </row>
        <row r="115">
          <cell r="A115">
            <v>43712</v>
          </cell>
          <cell r="B115">
            <v>136.32</v>
          </cell>
          <cell r="C115">
            <v>2.2620800000000001</v>
          </cell>
        </row>
        <row r="116">
          <cell r="A116">
            <v>43713</v>
          </cell>
          <cell r="B116">
            <v>140.97</v>
          </cell>
          <cell r="C116">
            <v>5.0129099999999998</v>
          </cell>
        </row>
        <row r="117">
          <cell r="A117">
            <v>43714</v>
          </cell>
          <cell r="B117">
            <v>140.57</v>
          </cell>
          <cell r="C117">
            <v>2.5771999999999999</v>
          </cell>
        </row>
        <row r="118">
          <cell r="A118">
            <v>43717</v>
          </cell>
          <cell r="B118">
            <v>142.6</v>
          </cell>
          <cell r="C118">
            <v>4.2269399999999999</v>
          </cell>
        </row>
        <row r="119">
          <cell r="A119">
            <v>43718</v>
          </cell>
          <cell r="B119">
            <v>145.05000000000001</v>
          </cell>
          <cell r="C119">
            <v>4.9797399999999996</v>
          </cell>
        </row>
        <row r="120">
          <cell r="A120">
            <v>43719</v>
          </cell>
          <cell r="B120">
            <v>143.6</v>
          </cell>
          <cell r="C120">
            <v>3.8697300000000001</v>
          </cell>
        </row>
        <row r="121">
          <cell r="A121">
            <v>43720</v>
          </cell>
          <cell r="B121">
            <v>143.62</v>
          </cell>
          <cell r="C121">
            <v>2.50543</v>
          </cell>
        </row>
        <row r="122">
          <cell r="A122">
            <v>43721</v>
          </cell>
          <cell r="B122">
            <v>143.66999999999999</v>
          </cell>
          <cell r="C122">
            <v>2.20661</v>
          </cell>
        </row>
        <row r="123">
          <cell r="A123">
            <v>43724</v>
          </cell>
          <cell r="B123">
            <v>142.47999999999999</v>
          </cell>
          <cell r="C123">
            <v>1.9285000000000001</v>
          </cell>
        </row>
        <row r="124">
          <cell r="A124">
            <v>43725</v>
          </cell>
          <cell r="B124">
            <v>142.19999999999999</v>
          </cell>
          <cell r="C124">
            <v>2.94049</v>
          </cell>
        </row>
        <row r="125">
          <cell r="A125">
            <v>43726</v>
          </cell>
          <cell r="B125">
            <v>142.22</v>
          </cell>
          <cell r="C125">
            <v>1.99516</v>
          </cell>
        </row>
        <row r="126">
          <cell r="A126">
            <v>43727</v>
          </cell>
          <cell r="B126">
            <v>142.97</v>
          </cell>
          <cell r="C126">
            <v>3.1820900000000001</v>
          </cell>
        </row>
        <row r="127">
          <cell r="A127">
            <v>43728</v>
          </cell>
          <cell r="B127">
            <v>141.88</v>
          </cell>
          <cell r="C127">
            <v>5.2178800000000001</v>
          </cell>
        </row>
        <row r="128">
          <cell r="A128">
            <v>43731</v>
          </cell>
          <cell r="B128">
            <v>142.07</v>
          </cell>
          <cell r="C128">
            <v>1.85006</v>
          </cell>
        </row>
        <row r="129">
          <cell r="A129">
            <v>43732</v>
          </cell>
          <cell r="B129">
            <v>141.68</v>
          </cell>
          <cell r="C129">
            <v>3.3111700000000002</v>
          </cell>
        </row>
        <row r="130">
          <cell r="A130">
            <v>43733</v>
          </cell>
          <cell r="B130">
            <v>143.16</v>
          </cell>
          <cell r="C130">
            <v>2.5462099999999999</v>
          </cell>
        </row>
        <row r="131">
          <cell r="A131">
            <v>43734</v>
          </cell>
          <cell r="B131">
            <v>143.55000000000001</v>
          </cell>
          <cell r="C131">
            <v>2.31454</v>
          </cell>
        </row>
        <row r="132">
          <cell r="A132">
            <v>43735</v>
          </cell>
          <cell r="B132">
            <v>143.24</v>
          </cell>
          <cell r="C132">
            <v>2.3570799999999998</v>
          </cell>
        </row>
        <row r="133">
          <cell r="A133">
            <v>43738</v>
          </cell>
          <cell r="B133">
            <v>145.41999999999999</v>
          </cell>
          <cell r="C133">
            <v>4.0044300000000002</v>
          </cell>
        </row>
        <row r="134">
          <cell r="A134">
            <v>43739</v>
          </cell>
          <cell r="B134">
            <v>143.66</v>
          </cell>
          <cell r="C134">
            <v>2.9737100000000001</v>
          </cell>
        </row>
        <row r="135">
          <cell r="A135">
            <v>43740</v>
          </cell>
          <cell r="B135">
            <v>141.69</v>
          </cell>
          <cell r="C135">
            <v>3.34728</v>
          </cell>
        </row>
        <row r="136">
          <cell r="A136">
            <v>43741</v>
          </cell>
          <cell r="B136">
            <v>142.02000000000001</v>
          </cell>
          <cell r="C136">
            <v>3.1617199999999999</v>
          </cell>
        </row>
        <row r="137">
          <cell r="A137">
            <v>43742</v>
          </cell>
          <cell r="B137">
            <v>142.99</v>
          </cell>
          <cell r="C137">
            <v>2.4494799999999999</v>
          </cell>
        </row>
        <row r="138">
          <cell r="A138">
            <v>43745</v>
          </cell>
          <cell r="B138">
            <v>141.28</v>
          </cell>
          <cell r="C138">
            <v>2.4887999999999999</v>
          </cell>
        </row>
        <row r="139">
          <cell r="A139">
            <v>43746</v>
          </cell>
          <cell r="B139">
            <v>138.38</v>
          </cell>
          <cell r="C139">
            <v>3.3440799999999999</v>
          </cell>
        </row>
        <row r="140">
          <cell r="A140">
            <v>43747</v>
          </cell>
          <cell r="B140">
            <v>139.66999999999999</v>
          </cell>
          <cell r="C140">
            <v>2.63347</v>
          </cell>
        </row>
        <row r="141">
          <cell r="A141">
            <v>43748</v>
          </cell>
          <cell r="B141">
            <v>141.13</v>
          </cell>
          <cell r="C141">
            <v>2.64669</v>
          </cell>
        </row>
        <row r="142">
          <cell r="A142">
            <v>43749</v>
          </cell>
          <cell r="B142">
            <v>142.76</v>
          </cell>
          <cell r="C142">
            <v>3.0186700000000002</v>
          </cell>
        </row>
        <row r="143">
          <cell r="A143">
            <v>43752</v>
          </cell>
          <cell r="B143">
            <v>142.04</v>
          </cell>
          <cell r="C143">
            <v>2.3256100000000002</v>
          </cell>
        </row>
        <row r="144">
          <cell r="A144">
            <v>43753</v>
          </cell>
          <cell r="B144">
            <v>143</v>
          </cell>
          <cell r="C144">
            <v>3.0470000000000002</v>
          </cell>
        </row>
        <row r="145">
          <cell r="A145">
            <v>43754</v>
          </cell>
          <cell r="B145">
            <v>142.11000000000001</v>
          </cell>
          <cell r="C145">
            <v>5.9157099999999998</v>
          </cell>
        </row>
        <row r="146">
          <cell r="A146">
            <v>43755</v>
          </cell>
          <cell r="B146">
            <v>134.26</v>
          </cell>
          <cell r="C146">
            <v>15.83081</v>
          </cell>
        </row>
        <row r="147">
          <cell r="A147">
            <v>43756</v>
          </cell>
          <cell r="B147">
            <v>134.09</v>
          </cell>
          <cell r="C147">
            <v>7.1783799999999998</v>
          </cell>
        </row>
        <row r="148">
          <cell r="A148">
            <v>43759</v>
          </cell>
          <cell r="B148">
            <v>132.58000000000001</v>
          </cell>
          <cell r="C148">
            <v>6.3729800000000001</v>
          </cell>
        </row>
        <row r="149">
          <cell r="A149">
            <v>43760</v>
          </cell>
          <cell r="B149">
            <v>133.96</v>
          </cell>
          <cell r="C149">
            <v>4.1958000000000002</v>
          </cell>
        </row>
        <row r="150">
          <cell r="A150">
            <v>43761</v>
          </cell>
          <cell r="B150">
            <v>134.38</v>
          </cell>
          <cell r="C150">
            <v>3.6273499999999999</v>
          </cell>
        </row>
        <row r="151">
          <cell r="A151">
            <v>43762</v>
          </cell>
          <cell r="B151">
            <v>134.07</v>
          </cell>
          <cell r="C151">
            <v>2.61931</v>
          </cell>
        </row>
        <row r="152">
          <cell r="A152">
            <v>43763</v>
          </cell>
          <cell r="B152">
            <v>135.44</v>
          </cell>
          <cell r="C152">
            <v>2.5790600000000001</v>
          </cell>
        </row>
        <row r="153">
          <cell r="A153">
            <v>43766</v>
          </cell>
          <cell r="B153">
            <v>135.97</v>
          </cell>
          <cell r="C153">
            <v>3.2261299999999999</v>
          </cell>
        </row>
        <row r="154">
          <cell r="A154">
            <v>43767</v>
          </cell>
          <cell r="B154">
            <v>133.82</v>
          </cell>
          <cell r="C154">
            <v>4.1607200000000004</v>
          </cell>
        </row>
        <row r="155">
          <cell r="A155">
            <v>43768</v>
          </cell>
          <cell r="B155">
            <v>135.25</v>
          </cell>
          <cell r="C155">
            <v>2.25299</v>
          </cell>
        </row>
        <row r="156">
          <cell r="A156">
            <v>43769</v>
          </cell>
          <cell r="B156">
            <v>133.72999999999999</v>
          </cell>
          <cell r="C156">
            <v>3.4121199999999998</v>
          </cell>
        </row>
        <row r="157">
          <cell r="A157">
            <v>43770</v>
          </cell>
          <cell r="B157">
            <v>135.53</v>
          </cell>
          <cell r="C157">
            <v>3.0897899999999998</v>
          </cell>
        </row>
        <row r="158">
          <cell r="A158">
            <v>43773</v>
          </cell>
          <cell r="B158">
            <v>137.66999999999999</v>
          </cell>
          <cell r="C158">
            <v>3.3353899999999999</v>
          </cell>
        </row>
        <row r="159">
          <cell r="A159">
            <v>43774</v>
          </cell>
          <cell r="B159">
            <v>137.88999999999999</v>
          </cell>
          <cell r="C159">
            <v>3.0149599999999999</v>
          </cell>
        </row>
        <row r="160">
          <cell r="A160">
            <v>43775</v>
          </cell>
          <cell r="B160">
            <v>138.78</v>
          </cell>
          <cell r="C160">
            <v>4.47729</v>
          </cell>
        </row>
        <row r="161">
          <cell r="A161">
            <v>43776</v>
          </cell>
          <cell r="B161">
            <v>137.69</v>
          </cell>
          <cell r="C161">
            <v>4.0739099999999997</v>
          </cell>
        </row>
        <row r="162">
          <cell r="A162">
            <v>43777</v>
          </cell>
          <cell r="B162">
            <v>137.61000000000001</v>
          </cell>
          <cell r="C162">
            <v>2.2786</v>
          </cell>
        </row>
        <row r="163">
          <cell r="A163">
            <v>43780</v>
          </cell>
          <cell r="B163">
            <v>135.47</v>
          </cell>
          <cell r="C163">
            <v>2.5687600000000002</v>
          </cell>
        </row>
        <row r="164">
          <cell r="A164">
            <v>43781</v>
          </cell>
          <cell r="B164">
            <v>135.59</v>
          </cell>
          <cell r="C164">
            <v>3.0465399999999998</v>
          </cell>
        </row>
        <row r="165">
          <cell r="A165">
            <v>43782</v>
          </cell>
          <cell r="B165">
            <v>134.47999999999999</v>
          </cell>
          <cell r="C165">
            <v>3.0609199999999999</v>
          </cell>
        </row>
        <row r="166">
          <cell r="A166">
            <v>43783</v>
          </cell>
          <cell r="B166">
            <v>134</v>
          </cell>
          <cell r="C166">
            <v>4.2314699999999998</v>
          </cell>
        </row>
        <row r="167">
          <cell r="A167">
            <v>43784</v>
          </cell>
          <cell r="B167">
            <v>134.4</v>
          </cell>
          <cell r="C167">
            <v>3.2626599999999999</v>
          </cell>
        </row>
        <row r="168">
          <cell r="A168">
            <v>43787</v>
          </cell>
          <cell r="B168">
            <v>134.31</v>
          </cell>
          <cell r="C168">
            <v>3.2108699999999999</v>
          </cell>
        </row>
        <row r="169">
          <cell r="A169">
            <v>43788</v>
          </cell>
          <cell r="B169">
            <v>134.52000000000001</v>
          </cell>
          <cell r="C169">
            <v>2.9950700000000001</v>
          </cell>
        </row>
        <row r="170">
          <cell r="A170">
            <v>43789</v>
          </cell>
          <cell r="B170">
            <v>133.19999999999999</v>
          </cell>
          <cell r="C170">
            <v>4.1401500000000002</v>
          </cell>
        </row>
        <row r="171">
          <cell r="A171">
            <v>43790</v>
          </cell>
          <cell r="B171">
            <v>133.84</v>
          </cell>
          <cell r="C171">
            <v>3.3453400000000002</v>
          </cell>
        </row>
        <row r="172">
          <cell r="A172">
            <v>43791</v>
          </cell>
          <cell r="B172">
            <v>134.34</v>
          </cell>
          <cell r="C172">
            <v>3.2978000000000001</v>
          </cell>
        </row>
        <row r="173">
          <cell r="A173">
            <v>43794</v>
          </cell>
          <cell r="B173">
            <v>135.97</v>
          </cell>
          <cell r="C173">
            <v>2.5901700000000001</v>
          </cell>
        </row>
        <row r="174">
          <cell r="A174">
            <v>43795</v>
          </cell>
          <cell r="B174">
            <v>135.09</v>
          </cell>
          <cell r="C174">
            <v>3.7933400000000002</v>
          </cell>
        </row>
        <row r="175">
          <cell r="A175">
            <v>43796</v>
          </cell>
          <cell r="B175">
            <v>133.77000000000001</v>
          </cell>
          <cell r="C175">
            <v>3.2828300000000001</v>
          </cell>
        </row>
        <row r="176">
          <cell r="A176">
            <v>43798</v>
          </cell>
          <cell r="B176">
            <v>134.44999999999999</v>
          </cell>
          <cell r="C176">
            <v>1.8252600000000001</v>
          </cell>
        </row>
        <row r="177">
          <cell r="A177">
            <v>43801</v>
          </cell>
          <cell r="B177">
            <v>132.91</v>
          </cell>
          <cell r="C177">
            <v>3.0678299999999998</v>
          </cell>
        </row>
        <row r="178">
          <cell r="A178">
            <v>43802</v>
          </cell>
          <cell r="B178">
            <v>132.12</v>
          </cell>
          <cell r="C178">
            <v>3.7110699999999999</v>
          </cell>
        </row>
        <row r="179">
          <cell r="A179">
            <v>43803</v>
          </cell>
          <cell r="B179">
            <v>131.99</v>
          </cell>
          <cell r="C179">
            <v>3.53077</v>
          </cell>
        </row>
        <row r="180">
          <cell r="A180">
            <v>43804</v>
          </cell>
          <cell r="B180">
            <v>131.91</v>
          </cell>
          <cell r="C180">
            <v>3.5985800000000001</v>
          </cell>
        </row>
        <row r="181">
          <cell r="A181">
            <v>43805</v>
          </cell>
          <cell r="B181">
            <v>133.22</v>
          </cell>
          <cell r="C181">
            <v>3.4379900000000001</v>
          </cell>
        </row>
        <row r="182">
          <cell r="A182">
            <v>43808</v>
          </cell>
          <cell r="B182">
            <v>133.91999999999999</v>
          </cell>
          <cell r="C182">
            <v>2.9788000000000001</v>
          </cell>
        </row>
        <row r="183">
          <cell r="A183">
            <v>43809</v>
          </cell>
          <cell r="B183">
            <v>133.91</v>
          </cell>
          <cell r="C183">
            <v>3.4803899999999999</v>
          </cell>
        </row>
        <row r="184">
          <cell r="A184">
            <v>43810</v>
          </cell>
          <cell r="B184">
            <v>133.76</v>
          </cell>
          <cell r="C184">
            <v>3.9533100000000001</v>
          </cell>
        </row>
        <row r="185">
          <cell r="A185">
            <v>43811</v>
          </cell>
          <cell r="B185">
            <v>135.32</v>
          </cell>
          <cell r="C185">
            <v>4.8241899999999998</v>
          </cell>
        </row>
        <row r="186">
          <cell r="A186">
            <v>43812</v>
          </cell>
          <cell r="B186">
            <v>134.21</v>
          </cell>
          <cell r="C186">
            <v>2.5349699999999999</v>
          </cell>
        </row>
        <row r="187">
          <cell r="A187">
            <v>43815</v>
          </cell>
          <cell r="B187">
            <v>134.13</v>
          </cell>
          <cell r="C187">
            <v>3.0493299999999999</v>
          </cell>
        </row>
        <row r="188">
          <cell r="A188">
            <v>43816</v>
          </cell>
          <cell r="B188">
            <v>134.22</v>
          </cell>
          <cell r="C188">
            <v>2.9075500000000001</v>
          </cell>
        </row>
        <row r="189">
          <cell r="A189">
            <v>43817</v>
          </cell>
          <cell r="B189">
            <v>134.41</v>
          </cell>
          <cell r="C189">
            <v>3.1023499999999999</v>
          </cell>
        </row>
        <row r="190">
          <cell r="A190">
            <v>43818</v>
          </cell>
          <cell r="B190">
            <v>134.56</v>
          </cell>
          <cell r="C190">
            <v>3.8667199999999999</v>
          </cell>
        </row>
        <row r="191">
          <cell r="A191">
            <v>43819</v>
          </cell>
          <cell r="B191">
            <v>135.59</v>
          </cell>
          <cell r="C191">
            <v>7.1120700000000001</v>
          </cell>
        </row>
        <row r="192">
          <cell r="A192">
            <v>43822</v>
          </cell>
          <cell r="B192">
            <v>135.55000000000001</v>
          </cell>
          <cell r="C192">
            <v>2.8031700000000002</v>
          </cell>
        </row>
        <row r="193">
          <cell r="A193">
            <v>43823</v>
          </cell>
          <cell r="B193">
            <v>134.97999999999999</v>
          </cell>
          <cell r="C193">
            <v>1.2020900000000001</v>
          </cell>
        </row>
        <row r="194">
          <cell r="A194">
            <v>43825</v>
          </cell>
          <cell r="B194">
            <v>134.91</v>
          </cell>
          <cell r="C194">
            <v>2.1307100000000001</v>
          </cell>
        </row>
        <row r="195">
          <cell r="A195">
            <v>43826</v>
          </cell>
          <cell r="B195">
            <v>135.27000000000001</v>
          </cell>
          <cell r="C195">
            <v>2.75271</v>
          </cell>
        </row>
        <row r="196">
          <cell r="A196">
            <v>43829</v>
          </cell>
          <cell r="B196">
            <v>132.81</v>
          </cell>
          <cell r="C196">
            <v>4.1189400000000003</v>
          </cell>
        </row>
        <row r="197">
          <cell r="A197">
            <v>43830</v>
          </cell>
          <cell r="B197">
            <v>134.04</v>
          </cell>
          <cell r="C197">
            <v>3.7780100000000001</v>
          </cell>
        </row>
        <row r="198">
          <cell r="A198">
            <v>43832</v>
          </cell>
          <cell r="B198">
            <v>135.41999999999999</v>
          </cell>
          <cell r="C198">
            <v>3.1488299999999998</v>
          </cell>
        </row>
        <row r="199">
          <cell r="A199">
            <v>43833</v>
          </cell>
          <cell r="B199">
            <v>134.34</v>
          </cell>
          <cell r="C199">
            <v>2.3736799999999998</v>
          </cell>
        </row>
        <row r="200">
          <cell r="A200">
            <v>43836</v>
          </cell>
          <cell r="B200">
            <v>134.1</v>
          </cell>
          <cell r="C200">
            <v>2.42631</v>
          </cell>
        </row>
        <row r="201">
          <cell r="A201">
            <v>43837</v>
          </cell>
          <cell r="B201">
            <v>134.19</v>
          </cell>
          <cell r="C201">
            <v>3.27597</v>
          </cell>
        </row>
        <row r="202">
          <cell r="A202">
            <v>43838</v>
          </cell>
          <cell r="B202">
            <v>135.31</v>
          </cell>
          <cell r="C202">
            <v>4.3461400000000001</v>
          </cell>
        </row>
        <row r="203">
          <cell r="A203">
            <v>43839</v>
          </cell>
          <cell r="B203">
            <v>136.74</v>
          </cell>
          <cell r="C203">
            <v>3.7328299999999999</v>
          </cell>
        </row>
        <row r="204">
          <cell r="A204">
            <v>43840</v>
          </cell>
          <cell r="B204">
            <v>136.69</v>
          </cell>
          <cell r="C204">
            <v>3.2556400000000001</v>
          </cell>
        </row>
        <row r="205">
          <cell r="A205">
            <v>43843</v>
          </cell>
          <cell r="B205">
            <v>136.6</v>
          </cell>
          <cell r="C205">
            <v>3.5315699999999999</v>
          </cell>
        </row>
        <row r="206">
          <cell r="A206">
            <v>43844</v>
          </cell>
          <cell r="B206">
            <v>135.82</v>
          </cell>
          <cell r="C206">
            <v>3.6834600000000002</v>
          </cell>
        </row>
        <row r="207">
          <cell r="A207">
            <v>43845</v>
          </cell>
          <cell r="B207">
            <v>136.62</v>
          </cell>
          <cell r="C207">
            <v>4.0459500000000004</v>
          </cell>
        </row>
        <row r="208">
          <cell r="A208">
            <v>43846</v>
          </cell>
          <cell r="B208">
            <v>137.97999999999999</v>
          </cell>
          <cell r="C208">
            <v>4.3209099999999996</v>
          </cell>
        </row>
        <row r="209">
          <cell r="A209">
            <v>43847</v>
          </cell>
          <cell r="B209">
            <v>138.31</v>
          </cell>
          <cell r="C209">
            <v>5.6233399999999998</v>
          </cell>
        </row>
        <row r="210">
          <cell r="A210">
            <v>43851</v>
          </cell>
          <cell r="B210">
            <v>139.16999999999999</v>
          </cell>
          <cell r="C210">
            <v>7.2440800000000003</v>
          </cell>
        </row>
        <row r="211">
          <cell r="A211">
            <v>43852</v>
          </cell>
          <cell r="B211">
            <v>143.88999999999999</v>
          </cell>
          <cell r="C211">
            <v>16.47043</v>
          </cell>
        </row>
        <row r="212">
          <cell r="A212">
            <v>43853</v>
          </cell>
          <cell r="B212">
            <v>142.87</v>
          </cell>
          <cell r="C212">
            <v>5.6577900000000003</v>
          </cell>
        </row>
        <row r="213">
          <cell r="A213">
            <v>43854</v>
          </cell>
          <cell r="B213">
            <v>140.56</v>
          </cell>
          <cell r="C213">
            <v>5.58019</v>
          </cell>
        </row>
        <row r="214">
          <cell r="A214">
            <v>43857</v>
          </cell>
          <cell r="B214">
            <v>138.62</v>
          </cell>
          <cell r="C214">
            <v>4.1665599999999996</v>
          </cell>
        </row>
        <row r="215">
          <cell r="A215">
            <v>43858</v>
          </cell>
          <cell r="B215">
            <v>139.55000000000001</v>
          </cell>
          <cell r="C215">
            <v>3.4515600000000002</v>
          </cell>
        </row>
        <row r="216">
          <cell r="A216">
            <v>43859</v>
          </cell>
          <cell r="B216">
            <v>137.69</v>
          </cell>
          <cell r="C216">
            <v>3.05471</v>
          </cell>
        </row>
        <row r="217">
          <cell r="A217">
            <v>43860</v>
          </cell>
          <cell r="B217">
            <v>136.77000000000001</v>
          </cell>
          <cell r="C217">
            <v>5.0579099999999997</v>
          </cell>
        </row>
        <row r="218">
          <cell r="A218">
            <v>43861</v>
          </cell>
          <cell r="B218">
            <v>143.72999999999999</v>
          </cell>
          <cell r="C218">
            <v>18.99456</v>
          </cell>
        </row>
        <row r="219">
          <cell r="A219">
            <v>43864</v>
          </cell>
          <cell r="B219">
            <v>146.27000000000001</v>
          </cell>
          <cell r="C219">
            <v>8.8874999999999993</v>
          </cell>
        </row>
        <row r="220">
          <cell r="A220">
            <v>43865</v>
          </cell>
          <cell r="B220">
            <v>149.11000000000001</v>
          </cell>
          <cell r="C220">
            <v>5.6209699999999998</v>
          </cell>
        </row>
        <row r="221">
          <cell r="A221">
            <v>43866</v>
          </cell>
          <cell r="B221">
            <v>156.33000000000001</v>
          </cell>
          <cell r="C221">
            <v>14.38682</v>
          </cell>
        </row>
        <row r="222">
          <cell r="A222">
            <v>43867</v>
          </cell>
          <cell r="B222">
            <v>156.76</v>
          </cell>
          <cell r="C222">
            <v>8.4005500000000008</v>
          </cell>
        </row>
        <row r="223">
          <cell r="A223">
            <v>43868</v>
          </cell>
          <cell r="B223">
            <v>153.41</v>
          </cell>
          <cell r="C223">
            <v>6.4234299999999998</v>
          </cell>
        </row>
        <row r="224">
          <cell r="A224">
            <v>43871</v>
          </cell>
          <cell r="B224">
            <v>154.43</v>
          </cell>
          <cell r="C224">
            <v>5.2398100000000003</v>
          </cell>
        </row>
        <row r="225">
          <cell r="A225">
            <v>43872</v>
          </cell>
          <cell r="B225">
            <v>153.47999999999999</v>
          </cell>
          <cell r="C225">
            <v>3.8351099999999998</v>
          </cell>
        </row>
        <row r="226">
          <cell r="A226">
            <v>43873</v>
          </cell>
          <cell r="B226">
            <v>155.31</v>
          </cell>
          <cell r="C226">
            <v>4.4380100000000002</v>
          </cell>
        </row>
        <row r="227">
          <cell r="A227">
            <v>43874</v>
          </cell>
          <cell r="B227">
            <v>154.31</v>
          </cell>
          <cell r="C227">
            <v>3.8207</v>
          </cell>
        </row>
        <row r="228">
          <cell r="A228">
            <v>43875</v>
          </cell>
          <cell r="B228">
            <v>150.69999999999999</v>
          </cell>
          <cell r="C228">
            <v>6.09924</v>
          </cell>
        </row>
        <row r="229">
          <cell r="A229">
            <v>43879</v>
          </cell>
          <cell r="B229">
            <v>151.1</v>
          </cell>
          <cell r="C229">
            <v>3.3435100000000002</v>
          </cell>
        </row>
        <row r="230">
          <cell r="A230">
            <v>43880</v>
          </cell>
          <cell r="B230">
            <v>150.86000000000001</v>
          </cell>
          <cell r="C230">
            <v>2.7332800000000002</v>
          </cell>
        </row>
        <row r="231">
          <cell r="A231">
            <v>43881</v>
          </cell>
          <cell r="B231">
            <v>151.22</v>
          </cell>
          <cell r="C231">
            <v>2.8807100000000001</v>
          </cell>
        </row>
        <row r="232">
          <cell r="A232">
            <v>43882</v>
          </cell>
          <cell r="B232">
            <v>149.84</v>
          </cell>
          <cell r="C232">
            <v>3.5372599999999998</v>
          </cell>
        </row>
        <row r="233">
          <cell r="A233">
            <v>43885</v>
          </cell>
          <cell r="B233">
            <v>146.43</v>
          </cell>
          <cell r="C233">
            <v>5.4524100000000004</v>
          </cell>
        </row>
        <row r="234">
          <cell r="A234">
            <v>43886</v>
          </cell>
          <cell r="B234">
            <v>141.71</v>
          </cell>
          <cell r="C234">
            <v>6.2115499999999999</v>
          </cell>
        </row>
        <row r="235">
          <cell r="A235">
            <v>43887</v>
          </cell>
          <cell r="B235">
            <v>139.75</v>
          </cell>
          <cell r="C235">
            <v>5.4095399999999998</v>
          </cell>
        </row>
        <row r="236">
          <cell r="A236">
            <v>43888</v>
          </cell>
          <cell r="B236">
            <v>133.11000000000001</v>
          </cell>
          <cell r="C236">
            <v>8.4211299999999998</v>
          </cell>
        </row>
        <row r="237">
          <cell r="A237">
            <v>43889</v>
          </cell>
          <cell r="B237">
            <v>130.15</v>
          </cell>
          <cell r="C237">
            <v>13.012230000000001</v>
          </cell>
        </row>
        <row r="238">
          <cell r="A238">
            <v>43892</v>
          </cell>
          <cell r="B238">
            <v>134.30000000000001</v>
          </cell>
          <cell r="C238">
            <v>8.5314200000000007</v>
          </cell>
        </row>
        <row r="239">
          <cell r="A239">
            <v>43893</v>
          </cell>
          <cell r="B239">
            <v>128.9</v>
          </cell>
          <cell r="C239">
            <v>7.8960699999999999</v>
          </cell>
        </row>
        <row r="240">
          <cell r="A240">
            <v>43894</v>
          </cell>
          <cell r="B240">
            <v>134.22</v>
          </cell>
          <cell r="C240">
            <v>4.9963699999999998</v>
          </cell>
        </row>
        <row r="241">
          <cell r="A241">
            <v>43895</v>
          </cell>
          <cell r="B241">
            <v>129.55000000000001</v>
          </cell>
          <cell r="C241">
            <v>5.4462299999999999</v>
          </cell>
        </row>
        <row r="242">
          <cell r="A242">
            <v>43896</v>
          </cell>
          <cell r="B242">
            <v>127.73</v>
          </cell>
          <cell r="C242">
            <v>8.1932600000000004</v>
          </cell>
        </row>
        <row r="243">
          <cell r="A243">
            <v>43899</v>
          </cell>
          <cell r="B243">
            <v>117.81</v>
          </cell>
          <cell r="C243">
            <v>10.757490000000001</v>
          </cell>
        </row>
        <row r="244">
          <cell r="A244">
            <v>43900</v>
          </cell>
          <cell r="B244">
            <v>124.77</v>
          </cell>
          <cell r="C244">
            <v>11.410690000000001</v>
          </cell>
        </row>
        <row r="245">
          <cell r="A245">
            <v>43901</v>
          </cell>
          <cell r="B245">
            <v>117.97</v>
          </cell>
          <cell r="C245">
            <v>8.4510400000000008</v>
          </cell>
        </row>
        <row r="246">
          <cell r="A246">
            <v>43902</v>
          </cell>
          <cell r="B246">
            <v>102.81</v>
          </cell>
          <cell r="C246">
            <v>12.51266</v>
          </cell>
        </row>
        <row r="247">
          <cell r="A247">
            <v>43903</v>
          </cell>
          <cell r="B247">
            <v>107.95</v>
          </cell>
          <cell r="C247">
            <v>12.50211</v>
          </cell>
        </row>
        <row r="248">
          <cell r="A248">
            <v>43906</v>
          </cell>
          <cell r="B248">
            <v>99.08</v>
          </cell>
          <cell r="C248">
            <v>10.567959999999999</v>
          </cell>
        </row>
        <row r="249">
          <cell r="A249">
            <v>43907</v>
          </cell>
          <cell r="B249">
            <v>106.65</v>
          </cell>
          <cell r="C249">
            <v>9.2583400000000005</v>
          </cell>
        </row>
        <row r="250">
          <cell r="A250">
            <v>43908</v>
          </cell>
          <cell r="B250">
            <v>103.55</v>
          </cell>
          <cell r="C250">
            <v>8.7724600000000006</v>
          </cell>
        </row>
        <row r="251">
          <cell r="A251">
            <v>43909</v>
          </cell>
          <cell r="B251">
            <v>100.34</v>
          </cell>
          <cell r="C251">
            <v>8.3965200000000006</v>
          </cell>
        </row>
        <row r="252">
          <cell r="A252">
            <v>43910</v>
          </cell>
          <cell r="B252">
            <v>95.39</v>
          </cell>
          <cell r="C252">
            <v>10.54646</v>
          </cell>
        </row>
        <row r="253">
          <cell r="A253">
            <v>43913</v>
          </cell>
          <cell r="B253">
            <v>94.77</v>
          </cell>
          <cell r="C253">
            <v>9.7293900000000004</v>
          </cell>
        </row>
        <row r="254">
          <cell r="A254">
            <v>43914</v>
          </cell>
          <cell r="B254">
            <v>105.48</v>
          </cell>
          <cell r="C254">
            <v>7.9739399999999998</v>
          </cell>
        </row>
        <row r="255">
          <cell r="A255">
            <v>43915</v>
          </cell>
          <cell r="B255">
            <v>105.85</v>
          </cell>
          <cell r="C255">
            <v>8.6540499999999998</v>
          </cell>
        </row>
        <row r="256">
          <cell r="A256">
            <v>43916</v>
          </cell>
          <cell r="B256">
            <v>112.89</v>
          </cell>
          <cell r="C256">
            <v>7.1580500000000002</v>
          </cell>
        </row>
        <row r="257">
          <cell r="A257">
            <v>43917</v>
          </cell>
          <cell r="B257">
            <v>108.03</v>
          </cell>
          <cell r="C257">
            <v>6.4230400000000003</v>
          </cell>
        </row>
        <row r="258">
          <cell r="A258">
            <v>43920</v>
          </cell>
          <cell r="B258">
            <v>112.93</v>
          </cell>
          <cell r="C258">
            <v>5.56454</v>
          </cell>
        </row>
        <row r="259">
          <cell r="A259">
            <v>43921</v>
          </cell>
          <cell r="B259">
            <v>110.93</v>
          </cell>
          <cell r="C259">
            <v>6.3466800000000001</v>
          </cell>
        </row>
        <row r="260">
          <cell r="A260">
            <v>43922</v>
          </cell>
          <cell r="B260">
            <v>105.14</v>
          </cell>
          <cell r="C260">
            <v>6.1129499999999997</v>
          </cell>
        </row>
        <row r="261">
          <cell r="A261">
            <v>43923</v>
          </cell>
          <cell r="B261">
            <v>110</v>
          </cell>
          <cell r="C261">
            <v>6.3286699999999998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me"/>
      <sheetName val="Value Model"/>
      <sheetName val="Growth Model"/>
      <sheetName val="Quality Model"/>
      <sheetName val="Momentum Model"/>
      <sheetName val="Factors"/>
    </sheetNames>
    <sheetDataSet>
      <sheetData sheetId="0"/>
      <sheetData sheetId="1">
        <row r="10">
          <cell r="A10" t="str">
            <v>(User access restricted)</v>
          </cell>
        </row>
      </sheetData>
      <sheetData sheetId="2">
        <row r="10">
          <cell r="A10" t="str">
            <v>(User access restricted)</v>
          </cell>
        </row>
      </sheetData>
      <sheetData sheetId="3">
        <row r="10">
          <cell r="A10" t="str">
            <v>(User access restricted)</v>
          </cell>
        </row>
      </sheetData>
      <sheetData sheetId="4">
        <row r="10">
          <cell r="A10" t="str">
            <v>(User access restricted)</v>
          </cell>
        </row>
      </sheetData>
      <sheetData sheetId="5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F52D9D7-B53F-4669-843D-D99C91072628}" autoFormatId="16" applyNumberFormats="0" applyBorderFormats="0" applyFontFormats="0" applyPatternFormats="0" applyAlignmentFormats="0" applyWidthHeightFormats="0">
  <queryTableRefresh nextId="4">
    <queryTableFields count="2">
      <queryTableField id="2" name="Name" tableColumnId="2"/>
      <queryTableField id="1" name="Value" tableColumnId="1"/>
    </queryTableFields>
  </queryTableRefresh>
  <extLst>
    <ext xmlns:x15="http://schemas.microsoft.com/office/spreadsheetml/2010/11/main" uri="{883FBD77-0823-4a55-B5E3-86C4891E6966}">
      <x15:queryTable sourceDataName="Query - financials_input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5A11AE-CA0F-4FEE-A7A6-6739C5883E91}" name="financials_input" displayName="financials_input" ref="A1:B6" tableType="queryTable" totalsRowShown="0">
  <autoFilter ref="A1:B6" xr:uid="{F05A11AE-CA0F-4FEE-A7A6-6739C5883E91}"/>
  <tableColumns count="2">
    <tableColumn id="2" xr3:uid="{54D31CCF-3CD9-4810-854F-1ED992163180}" uniqueName="2" name="Name" queryTableFieldId="2"/>
    <tableColumn id="1" xr3:uid="{9FD20C48-6091-498E-9A37-F7E8CBC468B5}" uniqueName="1" name="Valu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&amp;P Updated">
      <a:dk1>
        <a:srgbClr val="000000"/>
      </a:dk1>
      <a:lt1>
        <a:srgbClr val="FFFFFF"/>
      </a:lt1>
      <a:dk2>
        <a:srgbClr val="5A5A5A"/>
      </a:dk2>
      <a:lt2>
        <a:srgbClr val="DFDFDF"/>
      </a:lt2>
      <a:accent1>
        <a:srgbClr val="E31837"/>
      </a:accent1>
      <a:accent2>
        <a:srgbClr val="00B1B0"/>
      </a:accent2>
      <a:accent3>
        <a:srgbClr val="919195"/>
      </a:accent3>
      <a:accent4>
        <a:srgbClr val="B5E1E1"/>
      </a:accent4>
      <a:accent5>
        <a:srgbClr val="006C67"/>
      </a:accent5>
      <a:accent6>
        <a:srgbClr val="5A3CE6"/>
      </a:accent6>
      <a:hlink>
        <a:srgbClr val="0000FF"/>
      </a:hlink>
      <a:folHlink>
        <a:srgbClr val="800080"/>
      </a:folHlink>
    </a:clrScheme>
    <a:fontScheme name="S&amp;P Capital IQ Font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FB2D-E8CD-4063-9892-A2F3F3C66C85}">
  <dimension ref="A1:B6"/>
  <sheetViews>
    <sheetView workbookViewId="0">
      <selection activeCell="B3" sqref="B3"/>
    </sheetView>
  </sheetViews>
  <sheetFormatPr defaultRowHeight="12.75" x14ac:dyDescent="0.2"/>
  <cols>
    <col min="1" max="1" width="10.7109375" bestFit="1" customWidth="1"/>
    <col min="2" max="2" width="14.5703125" bestFit="1" customWidth="1"/>
  </cols>
  <sheetData>
    <row r="1" spans="1:2" x14ac:dyDescent="0.2">
      <c r="A1" t="s">
        <v>257</v>
      </c>
      <c r="B1" t="s">
        <v>274</v>
      </c>
    </row>
    <row r="2" spans="1:2" x14ac:dyDescent="0.2">
      <c r="A2" t="s">
        <v>513</v>
      </c>
      <c r="B2" t="s">
        <v>605</v>
      </c>
    </row>
    <row r="3" spans="1:2" x14ac:dyDescent="0.2">
      <c r="A3" t="s">
        <v>577</v>
      </c>
      <c r="B3" t="s">
        <v>578</v>
      </c>
    </row>
    <row r="4" spans="1:2" x14ac:dyDescent="0.2">
      <c r="A4" t="s">
        <v>579</v>
      </c>
      <c r="B4" t="s">
        <v>606</v>
      </c>
    </row>
    <row r="5" spans="1:2" x14ac:dyDescent="0.2">
      <c r="A5" t="s">
        <v>580</v>
      </c>
      <c r="B5" t="s">
        <v>607</v>
      </c>
    </row>
    <row r="6" spans="1:2" x14ac:dyDescent="0.2">
      <c r="A6" t="s">
        <v>581</v>
      </c>
      <c r="B6" t="s">
        <v>387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92C4-8904-4FD6-9FED-D6B02BEAEA80}">
  <dimension ref="A1:O8"/>
  <sheetViews>
    <sheetView workbookViewId="0">
      <selection activeCell="I32" sqref="I32"/>
    </sheetView>
  </sheetViews>
  <sheetFormatPr defaultRowHeight="12.75" x14ac:dyDescent="0.2"/>
  <cols>
    <col min="1" max="1" width="10.7109375" bestFit="1" customWidth="1"/>
    <col min="2" max="2" width="10" customWidth="1"/>
  </cols>
  <sheetData>
    <row r="1" spans="1:15" x14ac:dyDescent="0.2">
      <c r="A1" t="str">
        <f>Input_Raw!A1</f>
        <v>Name</v>
      </c>
      <c r="B1" t="str">
        <f>Input_Raw!B1</f>
        <v>Value</v>
      </c>
    </row>
    <row r="2" spans="1:15" x14ac:dyDescent="0.2">
      <c r="A2" t="str">
        <f>Input_Raw!A2</f>
        <v>ticker</v>
      </c>
      <c r="B2" t="str">
        <f>Input_Raw!B2</f>
        <v>NASDAQ:MSFT</v>
      </c>
      <c r="D2">
        <v>990</v>
      </c>
      <c r="E2">
        <f>D2+1</f>
        <v>991</v>
      </c>
      <c r="F2">
        <f>E2+1</f>
        <v>992</v>
      </c>
      <c r="G2">
        <f t="shared" ref="G2:N2" si="0">F2+1</f>
        <v>993</v>
      </c>
      <c r="H2">
        <f t="shared" si="0"/>
        <v>994</v>
      </c>
      <c r="I2">
        <f t="shared" si="0"/>
        <v>995</v>
      </c>
      <c r="J2">
        <f t="shared" si="0"/>
        <v>996</v>
      </c>
      <c r="K2">
        <f t="shared" si="0"/>
        <v>997</v>
      </c>
      <c r="L2">
        <f t="shared" si="0"/>
        <v>998</v>
      </c>
      <c r="M2">
        <f t="shared" si="0"/>
        <v>999</v>
      </c>
      <c r="N2">
        <f t="shared" si="0"/>
        <v>1000</v>
      </c>
      <c r="O2">
        <v>2000</v>
      </c>
    </row>
    <row r="3" spans="1:15" x14ac:dyDescent="0.2">
      <c r="A3" t="str">
        <f>Input_Raw!A3</f>
        <v>date_year</v>
      </c>
      <c r="B3" t="str">
        <f>Input_Raw!B3</f>
        <v>2026</v>
      </c>
    </row>
    <row r="4" spans="1:15" x14ac:dyDescent="0.2">
      <c r="A4" t="str">
        <f>Input_Raw!A4</f>
        <v>date_month</v>
      </c>
      <c r="B4" t="str">
        <f>Input_Raw!B4</f>
        <v>7</v>
      </c>
    </row>
    <row r="5" spans="1:15" x14ac:dyDescent="0.2">
      <c r="A5" t="str">
        <f>Input_Raw!A5</f>
        <v>date_day</v>
      </c>
      <c r="B5" t="str">
        <f>Input_Raw!B5</f>
        <v>11</v>
      </c>
    </row>
    <row r="6" spans="1:15" x14ac:dyDescent="0.2">
      <c r="A6" s="42" t="s">
        <v>582</v>
      </c>
      <c r="B6" s="69">
        <f>DATE(B3,B4,B5)</f>
        <v>46214</v>
      </c>
    </row>
    <row r="7" spans="1:15" x14ac:dyDescent="0.2">
      <c r="A7" t="str">
        <f>Input_Raw!A6</f>
        <v>currency</v>
      </c>
      <c r="B7" t="str">
        <f>Input_Raw!B6</f>
        <v>USD</v>
      </c>
    </row>
    <row r="8" spans="1:15" x14ac:dyDescent="0.2">
      <c r="A8" s="42" t="s">
        <v>583</v>
      </c>
      <c r="B8" s="42" t="s">
        <v>576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  <pageSetUpPr fitToPage="1"/>
  </sheetPr>
  <dimension ref="A1:BN537"/>
  <sheetViews>
    <sheetView showGridLines="0" zoomScale="85" zoomScaleNormal="85" zoomScaleSheetLayoutView="100" workbookViewId="0">
      <pane xSplit="1" ySplit="1" topLeftCell="B2" activePane="bottomRight" state="frozen"/>
      <selection activeCell="F51" sqref="F51"/>
      <selection pane="topRight" activeCell="F51" sqref="F51"/>
      <selection pane="bottomLeft" activeCell="F51" sqref="F51"/>
      <selection pane="bottomRight" activeCell="M4" sqref="M4"/>
    </sheetView>
  </sheetViews>
  <sheetFormatPr defaultColWidth="9.140625" defaultRowHeight="12.75" x14ac:dyDescent="0.2"/>
  <cols>
    <col min="1" max="1" width="34.5703125" bestFit="1" customWidth="1"/>
    <col min="2" max="13" width="13.28515625" customWidth="1"/>
    <col min="14" max="14" width="5.85546875" style="59" customWidth="1"/>
    <col min="15" max="18" width="9.140625" style="42"/>
    <col min="19" max="19" width="9.140625" style="42" customWidth="1"/>
    <col min="20" max="21" width="9.140625" style="59" customWidth="1"/>
    <col min="22" max="66" width="9.140625" style="59"/>
    <col min="67" max="16384" width="9.140625" style="42"/>
  </cols>
  <sheetData>
    <row r="1" spans="1:66" ht="12.75" customHeight="1" thickBot="1" x14ac:dyDescent="0.25">
      <c r="A1" s="3" t="s">
        <v>604</v>
      </c>
      <c r="B1" s="32" t="str">
        <f t="shared" ref="B1:L1" si="0">"FY"&amp;RIGHT(YEAR(B2),2)</f>
        <v>FY15</v>
      </c>
      <c r="C1" s="32" t="str">
        <f t="shared" si="0"/>
        <v>FY16</v>
      </c>
      <c r="D1" s="32" t="str">
        <f t="shared" si="0"/>
        <v>FY17</v>
      </c>
      <c r="E1" s="32" t="str">
        <f t="shared" si="0"/>
        <v>FY18</v>
      </c>
      <c r="F1" s="32" t="str">
        <f t="shared" si="0"/>
        <v>FY19</v>
      </c>
      <c r="G1" s="32" t="str">
        <f t="shared" si="0"/>
        <v>FY20</v>
      </c>
      <c r="H1" s="32" t="str">
        <f t="shared" si="0"/>
        <v>FY21</v>
      </c>
      <c r="I1" s="32" t="str">
        <f t="shared" si="0"/>
        <v>FY22</v>
      </c>
      <c r="J1" s="32" t="str">
        <f t="shared" si="0"/>
        <v>FY23</v>
      </c>
      <c r="K1" s="32" t="str">
        <f t="shared" si="0"/>
        <v>FY24</v>
      </c>
      <c r="L1" s="32" t="str">
        <f t="shared" si="0"/>
        <v>FY25</v>
      </c>
      <c r="M1" s="32" t="s">
        <v>266</v>
      </c>
      <c r="N1" s="42"/>
      <c r="S1" s="3"/>
      <c r="T1" s="2"/>
      <c r="U1" s="3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</row>
    <row r="2" spans="1:66" ht="12.75" customHeight="1" thickTop="1" x14ac:dyDescent="0.2">
      <c r="A2" s="3" t="s">
        <v>408</v>
      </c>
      <c r="B2" s="23">
        <f>_xll.ciqfunctions.udf.CIQ(InputTicker, "IQ_PERIODDATE",Input!D$2,Date)</f>
        <v>42185</v>
      </c>
      <c r="C2" s="23">
        <f>_xll.ciqfunctions.udf.CIQ(InputTicker, "IQ_PERIODDATE",Input!E$2,Date)</f>
        <v>42551</v>
      </c>
      <c r="D2" s="23">
        <f>_xll.ciqfunctions.udf.CIQ(InputTicker, "IQ_PERIODDATE",Input!F$2,Date)</f>
        <v>42916</v>
      </c>
      <c r="E2" s="23">
        <f>_xll.ciqfunctions.udf.CIQ(InputTicker, "IQ_PERIODDATE",Input!G$2,Date)</f>
        <v>43281</v>
      </c>
      <c r="F2" s="23">
        <f>_xll.ciqfunctions.udf.CIQ(InputTicker, "IQ_PERIODDATE",Input!H$2,Date)</f>
        <v>43646</v>
      </c>
      <c r="G2" s="23">
        <f>_xll.ciqfunctions.udf.CIQ(InputTicker, "IQ_PERIODDATE",Input!I$2,Date)</f>
        <v>44012</v>
      </c>
      <c r="H2" s="23">
        <f>_xll.ciqfunctions.udf.CIQ(InputTicker, "IQ_PERIODDATE",Input!J$2,Date)</f>
        <v>44377</v>
      </c>
      <c r="I2" s="23">
        <f>_xll.ciqfunctions.udf.CIQ(InputTicker, "IQ_PERIODDATE",Input!K$2,Date)</f>
        <v>44742</v>
      </c>
      <c r="J2" s="23">
        <f>_xll.ciqfunctions.udf.CIQ(InputTicker, "IQ_PERIODDATE",Input!L$2,Date)</f>
        <v>45107</v>
      </c>
      <c r="K2" s="23">
        <f>_xll.ciqfunctions.udf.CIQ(InputTicker, "IQ_PERIODDATE",Input!M$2,Date)</f>
        <v>45473</v>
      </c>
      <c r="L2" s="23">
        <f>_xll.ciqfunctions.udf.CIQ(InputTicker, "IQ_PERIODDATE",Input!N$2,Date)</f>
        <v>45838</v>
      </c>
      <c r="M2" s="23">
        <f>_xll.ciqfunctions.udf.CIQ(InputTicker, "IQ_PERIODDATE",Input!O$2,Date)</f>
        <v>46112</v>
      </c>
      <c r="N2" s="42"/>
      <c r="S2" s="44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</row>
    <row r="3" spans="1:66" ht="12.75" customHeight="1" x14ac:dyDescent="0.2">
      <c r="A3" s="1" t="s">
        <v>57</v>
      </c>
      <c r="B3" s="4">
        <f>_xll.ciqfunctions.udf.CIQ(InputTicker, "IQ_REV",Input!D$2,Date,,,Ccy,Conv)</f>
        <v>93580</v>
      </c>
      <c r="C3" s="4">
        <f>_xll.ciqfunctions.udf.CIQ(InputTicker, "IQ_REV",Input!E$2,Date,,,Ccy,Conv)</f>
        <v>91154</v>
      </c>
      <c r="D3" s="41">
        <f>_xll.ciqfunctions.udf.CIQ(InputTicker, "IQ_REV",Input!F$2,Date,,,Ccy,Conv)</f>
        <v>96571</v>
      </c>
      <c r="E3" s="4">
        <f>_xll.ciqfunctions.udf.CIQ(InputTicker, "IQ_REV",Input!G$2,Date,,,Ccy,Conv)</f>
        <v>110360</v>
      </c>
      <c r="F3" s="4">
        <f>_xll.ciqfunctions.udf.CIQ(InputTicker, "IQ_REV",Input!H$2,Date,,,Ccy,Conv)</f>
        <v>125843</v>
      </c>
      <c r="G3" s="4">
        <f>_xll.ciqfunctions.udf.CIQ(InputTicker, "IQ_REV",Input!I$2,Date,,,Ccy,Conv)</f>
        <v>143015</v>
      </c>
      <c r="H3" s="4">
        <f>_xll.ciqfunctions.udf.CIQ(InputTicker, "IQ_REV",Input!J$2,Date,,,Ccy,Conv)</f>
        <v>168088</v>
      </c>
      <c r="I3" s="4">
        <f>_xll.ciqfunctions.udf.CIQ(InputTicker, "IQ_REV",Input!K$2,Date,,,Ccy,Conv)</f>
        <v>198270</v>
      </c>
      <c r="J3" s="4">
        <f>_xll.ciqfunctions.udf.CIQ(InputTicker, "IQ_REV",Input!L$2,Date,,,Ccy,Conv)</f>
        <v>211915</v>
      </c>
      <c r="K3" s="4">
        <f>_xll.ciqfunctions.udf.CIQ(InputTicker, "IQ_REV",Input!M$2,Date,,,Ccy,Conv)</f>
        <v>245122</v>
      </c>
      <c r="L3" s="4">
        <f>_xll.ciqfunctions.udf.CIQ(InputTicker, "IQ_REV",Input!N$2,Date,,,Ccy,Conv)</f>
        <v>281724</v>
      </c>
      <c r="M3" s="4">
        <f>_xll.ciqfunctions.udf.CIQ(InputTicker, "IQ_REV",Input!O$2,Date,,,Ccy,Conv)</f>
        <v>318273</v>
      </c>
      <c r="N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</row>
    <row r="4" spans="1:66" ht="12.75" customHeight="1" x14ac:dyDescent="0.2">
      <c r="A4" s="1" t="s">
        <v>157</v>
      </c>
      <c r="B4" s="4">
        <f>_xll.ciqfunctions.udf.CIQ(InputTicker,"IQ_FIN_DIV_REV",Input!D$2,Date,,,Ccy,Conv)</f>
        <v>0</v>
      </c>
      <c r="C4" s="4">
        <f>_xll.ciqfunctions.udf.CIQ(InputTicker,"IQ_FIN_DIV_REV",Input!E$2,Date,,,Ccy,Conv)</f>
        <v>0</v>
      </c>
      <c r="D4" s="4">
        <f>_xll.ciqfunctions.udf.CIQ(InputTicker,"IQ_FIN_DIV_REV",Input!F$2,Date,,,Ccy,Conv)</f>
        <v>0</v>
      </c>
      <c r="E4" s="4">
        <f>_xll.ciqfunctions.udf.CIQ(InputTicker,"IQ_FIN_DIV_REV",Input!G$2,Date,,,Ccy,Conv)</f>
        <v>0</v>
      </c>
      <c r="F4" s="4">
        <f>_xll.ciqfunctions.udf.CIQ(InputTicker,"IQ_FIN_DIV_REV",Input!H$2,Date,,,Ccy,Conv)</f>
        <v>0</v>
      </c>
      <c r="G4" s="4">
        <f>_xll.ciqfunctions.udf.CIQ(InputTicker,"IQ_FIN_DIV_REV",Input!I$2,Date,,,Ccy,Conv)</f>
        <v>0</v>
      </c>
      <c r="H4" s="4">
        <f>_xll.ciqfunctions.udf.CIQ(InputTicker,"IQ_FIN_DIV_REV",Input!J$2,Date,,,Ccy,Conv)</f>
        <v>0</v>
      </c>
      <c r="I4" s="4">
        <f>_xll.ciqfunctions.udf.CIQ(InputTicker,"IQ_FIN_DIV_REV",Input!K$2,Date,,,Ccy,Conv)</f>
        <v>0</v>
      </c>
      <c r="J4" s="4">
        <f>_xll.ciqfunctions.udf.CIQ(InputTicker,"IQ_FIN_DIV_REV",Input!L$2,Date,,,Ccy,Conv)</f>
        <v>0</v>
      </c>
      <c r="K4" s="4">
        <f>_xll.ciqfunctions.udf.CIQ(InputTicker,"IQ_FIN_DIV_REV",Input!M$2,Date,,,Ccy,Conv)</f>
        <v>0</v>
      </c>
      <c r="L4" s="4">
        <f>_xll.ciqfunctions.udf.CIQ(InputTicker,"IQ_FIN_DIV_REV",Input!N$2,Date,,,Ccy,Conv)</f>
        <v>0</v>
      </c>
      <c r="M4" s="4">
        <f>_xll.ciqfunctions.udf.CIQ(InputTicker,"IQ_FIN_DIV_REV",Input!O$2,Date,,,Ccy,Conv)</f>
        <v>0</v>
      </c>
      <c r="N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</row>
    <row r="5" spans="1:66" ht="12.75" customHeight="1" x14ac:dyDescent="0.2">
      <c r="A5" s="1" t="s">
        <v>158</v>
      </c>
      <c r="B5" s="4">
        <f>_xll.ciqfunctions.udf.CIQ(InputTicker, "IQ_INS_DIV_REV",Input!D$2,Date,,,Ccy,Conv)</f>
        <v>0</v>
      </c>
      <c r="C5" s="4">
        <f>_xll.ciqfunctions.udf.CIQ(InputTicker, "IQ_INS_DIV_REV",Input!E$2,Date,,,Ccy,Conv)</f>
        <v>0</v>
      </c>
      <c r="D5" s="4">
        <f>_xll.ciqfunctions.udf.CIQ(InputTicker, "IQ_INS_DIV_REV",Input!F$2,Date,,,Ccy,Conv)</f>
        <v>0</v>
      </c>
      <c r="E5" s="4">
        <f>_xll.ciqfunctions.udf.CIQ(InputTicker, "IQ_INS_DIV_REV",Input!G$2,Date,,,Ccy,Conv)</f>
        <v>0</v>
      </c>
      <c r="F5" s="4">
        <f>_xll.ciqfunctions.udf.CIQ(InputTicker, "IQ_INS_DIV_REV",Input!H$2,Date,,,Ccy,Conv)</f>
        <v>0</v>
      </c>
      <c r="G5" s="4">
        <f>_xll.ciqfunctions.udf.CIQ(InputTicker, "IQ_INS_DIV_REV",Input!I$2,Date,,,Ccy,Conv)</f>
        <v>0</v>
      </c>
      <c r="H5" s="4">
        <f>_xll.ciqfunctions.udf.CIQ(InputTicker, "IQ_INS_DIV_REV",Input!J$2,Date,,,Ccy,Conv)</f>
        <v>0</v>
      </c>
      <c r="I5" s="4">
        <f>_xll.ciqfunctions.udf.CIQ(InputTicker, "IQ_INS_DIV_REV",Input!K$2,Date,,,Ccy,Conv)</f>
        <v>0</v>
      </c>
      <c r="J5" s="4">
        <f>_xll.ciqfunctions.udf.CIQ(InputTicker, "IQ_INS_DIV_REV",Input!L$2,Date,,,Ccy,Conv)</f>
        <v>0</v>
      </c>
      <c r="K5" s="4">
        <f>_xll.ciqfunctions.udf.CIQ(InputTicker, "IQ_INS_DIV_REV",Input!M$2,Date,,,Ccy,Conv)</f>
        <v>0</v>
      </c>
      <c r="L5" s="4">
        <f>_xll.ciqfunctions.udf.CIQ(InputTicker, "IQ_INS_DIV_REV",Input!N$2,Date,,,Ccy,Conv)</f>
        <v>0</v>
      </c>
      <c r="M5" s="4">
        <f>_xll.ciqfunctions.udf.CIQ(InputTicker, "IQ_INS_DIV_REV",Input!O$2,Date,,,Ccy,Conv)</f>
        <v>0</v>
      </c>
      <c r="N5" s="42"/>
      <c r="P5" s="45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</row>
    <row r="6" spans="1:66" ht="12.75" customHeight="1" x14ac:dyDescent="0.2">
      <c r="A6" s="1" t="s">
        <v>276</v>
      </c>
      <c r="B6" s="4">
        <f>_xll.ciqfunctions.udf.CIQ(InputTicker, "IQ_GAIN_ASSETS_REV",Input!D$2,Date,,,Ccy,Conv)</f>
        <v>0</v>
      </c>
      <c r="C6" s="4">
        <f>_xll.ciqfunctions.udf.CIQ(InputTicker, "IQ_GAIN_ASSETS_REV",Input!E$2,Date,,,Ccy,Conv)</f>
        <v>0</v>
      </c>
      <c r="D6" s="4">
        <f>_xll.ciqfunctions.udf.CIQ(InputTicker, "IQ_GAIN_ASSETS_REV",Input!F$2,Date,,,Ccy,Conv)</f>
        <v>0</v>
      </c>
      <c r="E6" s="4">
        <f>_xll.ciqfunctions.udf.CIQ(InputTicker, "IQ_GAIN_ASSETS_REV",Input!G$2,Date,,,Ccy,Conv)</f>
        <v>0</v>
      </c>
      <c r="F6" s="4">
        <f>_xll.ciqfunctions.udf.CIQ(InputTicker, "IQ_GAIN_ASSETS_REV",Input!H$2,Date,,,Ccy,Conv)</f>
        <v>0</v>
      </c>
      <c r="G6" s="4">
        <f>_xll.ciqfunctions.udf.CIQ(InputTicker, "IQ_GAIN_ASSETS_REV",Input!I$2,Date,,,Ccy,Conv)</f>
        <v>0</v>
      </c>
      <c r="H6" s="4">
        <f>_xll.ciqfunctions.udf.CIQ(InputTicker, "IQ_GAIN_ASSETS_REV",Input!J$2,Date,,,Ccy,Conv)</f>
        <v>0</v>
      </c>
      <c r="I6" s="4">
        <f>_xll.ciqfunctions.udf.CIQ(InputTicker, "IQ_GAIN_ASSETS_REV",Input!K$2,Date,,,Ccy,Conv)</f>
        <v>0</v>
      </c>
      <c r="J6" s="4">
        <f>_xll.ciqfunctions.udf.CIQ(InputTicker, "IQ_GAIN_ASSETS_REV",Input!L$2,Date,,,Ccy,Conv)</f>
        <v>0</v>
      </c>
      <c r="K6" s="4">
        <f>_xll.ciqfunctions.udf.CIQ(InputTicker, "IQ_GAIN_ASSETS_REV",Input!M$2,Date,,,Ccy,Conv)</f>
        <v>0</v>
      </c>
      <c r="L6" s="4">
        <f>_xll.ciqfunctions.udf.CIQ(InputTicker, "IQ_GAIN_ASSETS_REV",Input!N$2,Date,,,Ccy,Conv)</f>
        <v>0</v>
      </c>
      <c r="M6" s="4">
        <f>_xll.ciqfunctions.udf.CIQ(InputTicker, "IQ_GAIN_ASSETS_REV",Input!O$2,Date,,,Ccy,Conv)</f>
        <v>0</v>
      </c>
      <c r="N6" s="42"/>
      <c r="P6" s="45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</row>
    <row r="7" spans="1:66" ht="12.75" customHeight="1" x14ac:dyDescent="0.2">
      <c r="A7" s="1" t="s">
        <v>277</v>
      </c>
      <c r="B7" s="4">
        <f>_xll.ciqfunctions.udf.CIQ(InputTicker, "IQ_GAIN_INVEST_REV",Input!D$2,Date,,,Ccy,Conv)</f>
        <v>0</v>
      </c>
      <c r="C7" s="4">
        <f>_xll.ciqfunctions.udf.CIQ(InputTicker, "IQ_GAIN_INVEST_REV",Input!E$2,Date,,,Ccy,Conv)</f>
        <v>0</v>
      </c>
      <c r="D7" s="4">
        <f>_xll.ciqfunctions.udf.CIQ(InputTicker, "IQ_GAIN_INVEST_REV",Input!F$2,Date,,,Ccy,Conv)</f>
        <v>0</v>
      </c>
      <c r="E7" s="4">
        <f>_xll.ciqfunctions.udf.CIQ(InputTicker, "IQ_GAIN_INVEST_REV",Input!G$2,Date,,,Ccy,Conv)</f>
        <v>0</v>
      </c>
      <c r="F7" s="4">
        <f>_xll.ciqfunctions.udf.CIQ(InputTicker, "IQ_GAIN_INVEST_REV",Input!H$2,Date,,,Ccy,Conv)</f>
        <v>0</v>
      </c>
      <c r="G7" s="4">
        <f>_xll.ciqfunctions.udf.CIQ(InputTicker, "IQ_GAIN_INVEST_REV",Input!I$2,Date,,,Ccy,Conv)</f>
        <v>0</v>
      </c>
      <c r="H7" s="4">
        <f>_xll.ciqfunctions.udf.CIQ(InputTicker, "IQ_GAIN_INVEST_REV",Input!J$2,Date,,,Ccy,Conv)</f>
        <v>0</v>
      </c>
      <c r="I7" s="4">
        <f>_xll.ciqfunctions.udf.CIQ(InputTicker, "IQ_GAIN_INVEST_REV",Input!K$2,Date,,,Ccy,Conv)</f>
        <v>0</v>
      </c>
      <c r="J7" s="4">
        <f>_xll.ciqfunctions.udf.CIQ(InputTicker, "IQ_GAIN_INVEST_REV",Input!L$2,Date,,,Ccy,Conv)</f>
        <v>0</v>
      </c>
      <c r="K7" s="4">
        <f>_xll.ciqfunctions.udf.CIQ(InputTicker, "IQ_GAIN_INVEST_REV",Input!M$2,Date,,,Ccy,Conv)</f>
        <v>0</v>
      </c>
      <c r="L7" s="4">
        <f>_xll.ciqfunctions.udf.CIQ(InputTicker, "IQ_GAIN_INVEST_REV",Input!N$2,Date,,,Ccy,Conv)</f>
        <v>0</v>
      </c>
      <c r="M7" s="4">
        <f>_xll.ciqfunctions.udf.CIQ(InputTicker, "IQ_GAIN_INVEST_REV",Input!O$2,Date,,,Ccy,Conv)</f>
        <v>0</v>
      </c>
      <c r="N7" s="42"/>
      <c r="P7" s="45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 t="s">
        <v>603</v>
      </c>
      <c r="AH7" s="42" t="s">
        <v>603</v>
      </c>
      <c r="AI7" s="42"/>
      <c r="AJ7" s="42" t="s">
        <v>603</v>
      </c>
      <c r="AK7" s="42" t="s">
        <v>603</v>
      </c>
      <c r="AL7" s="42"/>
      <c r="AM7" s="42" t="s">
        <v>603</v>
      </c>
      <c r="AN7" s="42" t="s">
        <v>603</v>
      </c>
      <c r="AO7" s="42"/>
      <c r="AP7" s="42" t="s">
        <v>603</v>
      </c>
      <c r="AQ7" s="42" t="s">
        <v>603</v>
      </c>
      <c r="AR7" s="42"/>
      <c r="AS7" s="42" t="s">
        <v>603</v>
      </c>
      <c r="AT7" s="42" t="s">
        <v>603</v>
      </c>
      <c r="AU7" s="42"/>
      <c r="AV7" s="42" t="s">
        <v>603</v>
      </c>
      <c r="AW7" s="42" t="s">
        <v>603</v>
      </c>
      <c r="AX7" s="42"/>
      <c r="AY7" s="42" t="s">
        <v>603</v>
      </c>
      <c r="AZ7" s="42" t="s">
        <v>603</v>
      </c>
      <c r="BA7" s="42"/>
      <c r="BB7" s="42" t="s">
        <v>603</v>
      </c>
      <c r="BC7" s="42" t="s">
        <v>603</v>
      </c>
      <c r="BD7" s="42"/>
      <c r="BE7" s="42" t="s">
        <v>603</v>
      </c>
      <c r="BF7" s="42" t="s">
        <v>603</v>
      </c>
      <c r="BG7" s="42"/>
      <c r="BH7" s="42" t="s">
        <v>603</v>
      </c>
      <c r="BI7" s="42" t="s">
        <v>603</v>
      </c>
      <c r="BJ7" s="42"/>
      <c r="BK7" s="42" t="s">
        <v>603</v>
      </c>
      <c r="BL7" s="42" t="s">
        <v>603</v>
      </c>
      <c r="BM7" s="42"/>
      <c r="BN7" s="42"/>
    </row>
    <row r="8" spans="1:66" ht="12.75" customHeight="1" x14ac:dyDescent="0.2">
      <c r="A8" s="1" t="s">
        <v>159</v>
      </c>
      <c r="B8" s="4">
        <f>_xll.ciqfunctions.udf.CIQ(InputTicker, "IQ_INT_INV_INC",Input!D$2,Date,,,Ccy,Conv)</f>
        <v>0</v>
      </c>
      <c r="C8" s="4">
        <f>_xll.ciqfunctions.udf.CIQ(InputTicker, "IQ_INT_INV_INC",Input!E$2,Date,,,Ccy,Conv)</f>
        <v>0</v>
      </c>
      <c r="D8" s="4">
        <f>_xll.ciqfunctions.udf.CIQ(InputTicker, "IQ_INT_INV_INC",Input!F$2,Date,,,Ccy,Conv)</f>
        <v>0</v>
      </c>
      <c r="E8" s="4">
        <f>_xll.ciqfunctions.udf.CIQ(InputTicker, "IQ_INT_INV_INC",Input!G$2,Date,,,Ccy,Conv)</f>
        <v>0</v>
      </c>
      <c r="F8" s="4">
        <f>_xll.ciqfunctions.udf.CIQ(InputTicker, "IQ_INT_INV_INC",Input!H$2,Date,,,Ccy,Conv)</f>
        <v>0</v>
      </c>
      <c r="G8" s="4">
        <f>_xll.ciqfunctions.udf.CIQ(InputTicker, "IQ_INT_INV_INC",Input!I$2,Date,,,Ccy,Conv)</f>
        <v>0</v>
      </c>
      <c r="H8" s="4">
        <f>_xll.ciqfunctions.udf.CIQ(InputTicker, "IQ_INT_INV_INC",Input!J$2,Date,,,Ccy,Conv)</f>
        <v>0</v>
      </c>
      <c r="I8" s="4">
        <f>_xll.ciqfunctions.udf.CIQ(InputTicker, "IQ_INT_INV_INC",Input!K$2,Date,,,Ccy,Conv)</f>
        <v>0</v>
      </c>
      <c r="J8" s="4">
        <f>_xll.ciqfunctions.udf.CIQ(InputTicker, "IQ_INT_INV_INC",Input!L$2,Date,,,Ccy,Conv)</f>
        <v>0</v>
      </c>
      <c r="K8" s="4">
        <f>_xll.ciqfunctions.udf.CIQ(InputTicker, "IQ_INT_INV_INC",Input!M$2,Date,,,Ccy,Conv)</f>
        <v>0</v>
      </c>
      <c r="L8" s="4">
        <f>_xll.ciqfunctions.udf.CIQ(InputTicker, "IQ_INT_INV_INC",Input!N$2,Date,,,Ccy,Conv)</f>
        <v>0</v>
      </c>
      <c r="M8" s="4">
        <f>_xll.ciqfunctions.udf.CIQ(InputTicker, "IQ_INT_INV_INC",Input!O$2,Date,,,Ccy,Conv)</f>
        <v>0</v>
      </c>
      <c r="N8" s="42"/>
      <c r="P8" s="45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</row>
    <row r="9" spans="1:66" ht="12.75" customHeight="1" x14ac:dyDescent="0.2">
      <c r="A9" s="1" t="s">
        <v>123</v>
      </c>
      <c r="B9" s="4">
        <f>_xll.ciqfunctions.udf.CIQ(InputTicker, "IQ_OTHER_REV_SUPPL",Input!D$2,Date,,,Ccy,Conv)</f>
        <v>0</v>
      </c>
      <c r="C9" s="4">
        <f>_xll.ciqfunctions.udf.CIQ(InputTicker, "IQ_OTHER_REV_SUPPL",Input!E$2,Date,,,Ccy,Conv)</f>
        <v>0</v>
      </c>
      <c r="D9" s="4">
        <f>_xll.ciqfunctions.udf.CIQ(InputTicker, "IQ_OTHER_REV_SUPPL",Input!F$2,Date,,,Ccy,Conv)</f>
        <v>0</v>
      </c>
      <c r="E9" s="4">
        <f>_xll.ciqfunctions.udf.CIQ(InputTicker, "IQ_OTHER_REV_SUPPL",Input!G$2,Date,,,Ccy,Conv)</f>
        <v>0</v>
      </c>
      <c r="F9" s="4">
        <f>_xll.ciqfunctions.udf.CIQ(InputTicker, "IQ_OTHER_REV_SUPPL",Input!H$2,Date,,,Ccy,Conv)</f>
        <v>0</v>
      </c>
      <c r="G9" s="4">
        <f>_xll.ciqfunctions.udf.CIQ(InputTicker, "IQ_OTHER_REV_SUPPL",Input!I$2,Date,,,Ccy,Conv)</f>
        <v>0</v>
      </c>
      <c r="H9" s="4">
        <f>_xll.ciqfunctions.udf.CIQ(InputTicker, "IQ_OTHER_REV_SUPPL",Input!J$2,Date,,,Ccy,Conv)</f>
        <v>0</v>
      </c>
      <c r="I9" s="4">
        <f>_xll.ciqfunctions.udf.CIQ(InputTicker, "IQ_OTHER_REV_SUPPL",Input!K$2,Date,,,Ccy,Conv)</f>
        <v>0</v>
      </c>
      <c r="J9" s="4">
        <f>_xll.ciqfunctions.udf.CIQ(InputTicker, "IQ_OTHER_REV_SUPPL",Input!L$2,Date,,,Ccy,Conv)</f>
        <v>0</v>
      </c>
      <c r="K9" s="4">
        <f>_xll.ciqfunctions.udf.CIQ(InputTicker, "IQ_OTHER_REV_SUPPL",Input!M$2,Date,,,Ccy,Conv)</f>
        <v>0</v>
      </c>
      <c r="L9" s="4">
        <f>_xll.ciqfunctions.udf.CIQ(InputTicker, "IQ_OTHER_REV_SUPPL",Input!N$2,Date,,,Ccy,Conv)</f>
        <v>0</v>
      </c>
      <c r="M9" s="4">
        <f>_xll.ciqfunctions.udf.CIQ(InputTicker, "IQ_OTHER_REV_SUPPL",Input!O$2,Date,,,Ccy,Conv)</f>
        <v>0</v>
      </c>
      <c r="N9" s="42"/>
      <c r="P9" s="45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</row>
    <row r="10" spans="1:66" ht="12.75" customHeight="1" x14ac:dyDescent="0.2">
      <c r="A10" s="5" t="s">
        <v>58</v>
      </c>
      <c r="B10" s="6">
        <f>_xll.ciqfunctions.udf.CIQ(InputTicker, "IQ_TOTAL_REV",Input!D$2,Date,,,Ccy,Conv)</f>
        <v>93580</v>
      </c>
      <c r="C10" s="6">
        <f>_xll.ciqfunctions.udf.CIQ(InputTicker, "IQ_TOTAL_REV",Input!E$2,Date,,,Ccy,Conv)</f>
        <v>91154</v>
      </c>
      <c r="D10" s="6">
        <f>_xll.ciqfunctions.udf.CIQ(InputTicker, "IQ_TOTAL_REV",Input!F$2,Date,,,Ccy,Conv)</f>
        <v>96571</v>
      </c>
      <c r="E10" s="6">
        <f>_xll.ciqfunctions.udf.CIQ(InputTicker, "IQ_TOTAL_REV",Input!G$2,Date,,,Ccy,Conv)</f>
        <v>110360</v>
      </c>
      <c r="F10" s="6">
        <f>_xll.ciqfunctions.udf.CIQ(InputTicker, "IQ_TOTAL_REV",Input!H$2,Date,,,Ccy,Conv)</f>
        <v>125843</v>
      </c>
      <c r="G10" s="6">
        <f>_xll.ciqfunctions.udf.CIQ(InputTicker, "IQ_TOTAL_REV",Input!I$2,Date,,,Ccy,Conv)</f>
        <v>143015</v>
      </c>
      <c r="H10" s="6">
        <f>_xll.ciqfunctions.udf.CIQ(InputTicker, "IQ_TOTAL_REV",Input!J$2,Date,,,Ccy,Conv)</f>
        <v>168088</v>
      </c>
      <c r="I10" s="6">
        <f>_xll.ciqfunctions.udf.CIQ(InputTicker, "IQ_TOTAL_REV",Input!K$2,Date,,,Ccy,Conv)</f>
        <v>198270</v>
      </c>
      <c r="J10" s="6">
        <f>_xll.ciqfunctions.udf.CIQ(InputTicker, "IQ_TOTAL_REV",Input!L$2,Date,,,Ccy,Conv)</f>
        <v>211915</v>
      </c>
      <c r="K10" s="6">
        <f>_xll.ciqfunctions.udf.CIQ(InputTicker, "IQ_TOTAL_REV",Input!M$2,Date,,,Ccy,Conv)</f>
        <v>245122</v>
      </c>
      <c r="L10" s="6">
        <f>_xll.ciqfunctions.udf.CIQ(InputTicker, "IQ_TOTAL_REV",Input!N$2,Date,,,Ccy,Conv)</f>
        <v>281724</v>
      </c>
      <c r="M10" s="6">
        <f>_xll.ciqfunctions.udf.CIQ(InputTicker, "IQ_TOTAL_REV",Input!O$2,Date,,,Ccy,Conv)</f>
        <v>318273</v>
      </c>
      <c r="N10" s="46"/>
      <c r="P10" s="45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</row>
    <row r="11" spans="1:66" ht="12.75" customHeight="1" x14ac:dyDescent="0.2">
      <c r="A11" s="1" t="s">
        <v>124</v>
      </c>
      <c r="B11" s="4">
        <f>_xll.ciqfunctions.udf.CIQ(InputTicker, "IQ_COGS",Input!D$2,Date,,,Ccy,Conv)</f>
        <v>33038</v>
      </c>
      <c r="C11" s="4">
        <f>_xll.ciqfunctions.udf.CIQ(InputTicker, "IQ_COGS",Input!E$2,Date,,,Ccy,Conv)</f>
        <v>32780</v>
      </c>
      <c r="D11" s="4">
        <f>_xll.ciqfunctions.udf.CIQ(InputTicker, "IQ_COGS",Input!F$2,Date,,,Ccy,Conv)</f>
        <v>34261</v>
      </c>
      <c r="E11" s="4">
        <f>_xll.ciqfunctions.udf.CIQ(InputTicker, "IQ_COGS",Input!G$2,Date,,,Ccy,Conv)</f>
        <v>38353</v>
      </c>
      <c r="F11" s="4">
        <f>_xll.ciqfunctions.udf.CIQ(InputTicker, "IQ_COGS",Input!H$2,Date,,,Ccy,Conv)</f>
        <v>42910</v>
      </c>
      <c r="G11" s="4">
        <f>_xll.ciqfunctions.udf.CIQ(InputTicker, "IQ_COGS",Input!I$2,Date,,,Ccy,Conv)</f>
        <v>46078</v>
      </c>
      <c r="H11" s="4">
        <f>_xll.ciqfunctions.udf.CIQ(InputTicker, "IQ_COGS",Input!J$2,Date,,,Ccy,Conv)</f>
        <v>52232</v>
      </c>
      <c r="I11" s="4">
        <f>_xll.ciqfunctions.udf.CIQ(InputTicker, "IQ_COGS",Input!K$2,Date,,,Ccy,Conv)</f>
        <v>62650</v>
      </c>
      <c r="J11" s="4">
        <f>_xll.ciqfunctions.udf.CIQ(InputTicker, "IQ_COGS",Input!L$2,Date,,,Ccy,Conv)</f>
        <v>65863</v>
      </c>
      <c r="K11" s="4">
        <f>_xll.ciqfunctions.udf.CIQ(InputTicker, "IQ_COGS",Input!M$2,Date,,,Ccy,Conv)</f>
        <v>74114</v>
      </c>
      <c r="L11" s="4">
        <f>_xll.ciqfunctions.udf.CIQ(InputTicker, "IQ_COGS",Input!N$2,Date,,,Ccy,Conv)</f>
        <v>87831</v>
      </c>
      <c r="M11" s="4">
        <f>_xll.ciqfunctions.udf.CIQ(InputTicker, "IQ_COGS",Input!O$2,Date,,,Ccy,Conv)</f>
        <v>100863</v>
      </c>
      <c r="N11" s="46"/>
      <c r="P11" s="45"/>
      <c r="Q11" s="46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</row>
    <row r="12" spans="1:66" ht="12.75" customHeight="1" x14ac:dyDescent="0.2">
      <c r="A12" s="1" t="s">
        <v>160</v>
      </c>
      <c r="B12" s="4">
        <f>_xll.ciqfunctions.udf.CIQ(InputTicker, "IQ_FIN_DIV_EXP",Input!D$2,Date,,,Ccy,Conv)</f>
        <v>0</v>
      </c>
      <c r="C12" s="4">
        <f>_xll.ciqfunctions.udf.CIQ(InputTicker, "IQ_FIN_DIV_EXP",Input!E$2,Date,,,Ccy,Conv)</f>
        <v>0</v>
      </c>
      <c r="D12" s="4">
        <f>_xll.ciqfunctions.udf.CIQ(InputTicker, "IQ_FIN_DIV_EXP",Input!F$2,Date,,,Ccy,Conv)</f>
        <v>0</v>
      </c>
      <c r="E12" s="4">
        <f>_xll.ciqfunctions.udf.CIQ(InputTicker, "IQ_FIN_DIV_EXP",Input!G$2,Date,,,Ccy,Conv)</f>
        <v>0</v>
      </c>
      <c r="F12" s="4">
        <f>_xll.ciqfunctions.udf.CIQ(InputTicker, "IQ_FIN_DIV_EXP",Input!H$2,Date,,,Ccy,Conv)</f>
        <v>0</v>
      </c>
      <c r="G12" s="4">
        <f>_xll.ciqfunctions.udf.CIQ(InputTicker, "IQ_FIN_DIV_EXP",Input!I$2,Date,,,Ccy,Conv)</f>
        <v>0</v>
      </c>
      <c r="H12" s="4">
        <f>_xll.ciqfunctions.udf.CIQ(InputTicker, "IQ_FIN_DIV_EXP",Input!J$2,Date,,,Ccy,Conv)</f>
        <v>0</v>
      </c>
      <c r="I12" s="4">
        <f>_xll.ciqfunctions.udf.CIQ(InputTicker, "IQ_FIN_DIV_EXP",Input!K$2,Date,,,Ccy,Conv)</f>
        <v>0</v>
      </c>
      <c r="J12" s="4">
        <f>_xll.ciqfunctions.udf.CIQ(InputTicker, "IQ_FIN_DIV_EXP",Input!L$2,Date,,,Ccy,Conv)</f>
        <v>0</v>
      </c>
      <c r="K12" s="4">
        <f>_xll.ciqfunctions.udf.CIQ(InputTicker, "IQ_FIN_DIV_EXP",Input!M$2,Date,,,Ccy,Conv)</f>
        <v>0</v>
      </c>
      <c r="L12" s="4">
        <f>_xll.ciqfunctions.udf.CIQ(InputTicker, "IQ_FIN_DIV_EXP",Input!N$2,Date,,,Ccy,Conv)</f>
        <v>0</v>
      </c>
      <c r="M12" s="4">
        <f>_xll.ciqfunctions.udf.CIQ(InputTicker, "IQ_FIN_DIV_EXP",Input!O$2,Date,,,Ccy,Conv)</f>
        <v>0</v>
      </c>
      <c r="N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</row>
    <row r="13" spans="1:66" ht="12.75" customHeight="1" x14ac:dyDescent="0.2">
      <c r="A13" s="1" t="s">
        <v>161</v>
      </c>
      <c r="B13" s="4">
        <f>_xll.ciqfunctions.udf.CIQ(InputTicker, "IQ_INS_DIV_EXP",Input!D$2,Date,,,Ccy,Conv)</f>
        <v>0</v>
      </c>
      <c r="C13" s="4">
        <f>_xll.ciqfunctions.udf.CIQ(InputTicker, "IQ_INS_DIV_EXP",Input!E$2,Date,,,Ccy,Conv)</f>
        <v>0</v>
      </c>
      <c r="D13" s="4">
        <f>_xll.ciqfunctions.udf.CIQ(InputTicker, "IQ_INS_DIV_EXP",Input!F$2,Date,,,Ccy,Conv)</f>
        <v>0</v>
      </c>
      <c r="E13" s="4">
        <f>_xll.ciqfunctions.udf.CIQ(InputTicker, "IQ_INS_DIV_EXP",Input!G$2,Date,,,Ccy,Conv)</f>
        <v>0</v>
      </c>
      <c r="F13" s="4">
        <f>_xll.ciqfunctions.udf.CIQ(InputTicker, "IQ_INS_DIV_EXP",Input!H$2,Date,,,Ccy,Conv)</f>
        <v>0</v>
      </c>
      <c r="G13" s="4">
        <f>_xll.ciqfunctions.udf.CIQ(InputTicker, "IQ_INS_DIV_EXP",Input!I$2,Date,,,Ccy,Conv)</f>
        <v>0</v>
      </c>
      <c r="H13" s="4">
        <f>_xll.ciqfunctions.udf.CIQ(InputTicker, "IQ_INS_DIV_EXP",Input!J$2,Date,,,Ccy,Conv)</f>
        <v>0</v>
      </c>
      <c r="I13" s="4">
        <f>_xll.ciqfunctions.udf.CIQ(InputTicker, "IQ_INS_DIV_EXP",Input!K$2,Date,,,Ccy,Conv)</f>
        <v>0</v>
      </c>
      <c r="J13" s="4">
        <f>_xll.ciqfunctions.udf.CIQ(InputTicker, "IQ_INS_DIV_EXP",Input!L$2,Date,,,Ccy,Conv)</f>
        <v>0</v>
      </c>
      <c r="K13" s="4">
        <f>_xll.ciqfunctions.udf.CIQ(InputTicker, "IQ_INS_DIV_EXP",Input!M$2,Date,,,Ccy,Conv)</f>
        <v>0</v>
      </c>
      <c r="L13" s="4">
        <f>_xll.ciqfunctions.udf.CIQ(InputTicker, "IQ_INS_DIV_EXP",Input!N$2,Date,,,Ccy,Conv)</f>
        <v>0</v>
      </c>
      <c r="M13" s="4">
        <f>_xll.ciqfunctions.udf.CIQ(InputTicker, "IQ_INS_DIV_EXP",Input!O$2,Date,,,Ccy,Conv)</f>
        <v>0</v>
      </c>
      <c r="N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</row>
    <row r="14" spans="1:66" ht="12.75" customHeight="1" x14ac:dyDescent="0.2">
      <c r="A14" s="1" t="s">
        <v>162</v>
      </c>
      <c r="B14" s="4">
        <f>_xll.ciqfunctions.udf.CIQ(InputTicker, "IQ_FIN_DIV_INT_EXP",Input!D$2,Date,,,Ccy,Conv)</f>
        <v>0</v>
      </c>
      <c r="C14" s="4">
        <f>_xll.ciqfunctions.udf.CIQ(InputTicker, "IQ_FIN_DIV_INT_EXP",Input!E$2,Date,,,Ccy,Conv)</f>
        <v>0</v>
      </c>
      <c r="D14" s="4">
        <f>_xll.ciqfunctions.udf.CIQ(InputTicker, "IQ_FIN_DIV_INT_EXP",Input!F$2,Date,,,Ccy,Conv)</f>
        <v>0</v>
      </c>
      <c r="E14" s="4">
        <f>_xll.ciqfunctions.udf.CIQ(InputTicker, "IQ_FIN_DIV_INT_EXP",Input!G$2,Date,,,Ccy,Conv)</f>
        <v>0</v>
      </c>
      <c r="F14" s="4">
        <f>_xll.ciqfunctions.udf.CIQ(InputTicker, "IQ_FIN_DIV_INT_EXP",Input!H$2,Date,,,Ccy,Conv)</f>
        <v>0</v>
      </c>
      <c r="G14" s="4">
        <f>_xll.ciqfunctions.udf.CIQ(InputTicker, "IQ_FIN_DIV_INT_EXP",Input!I$2,Date,,,Ccy,Conv)</f>
        <v>0</v>
      </c>
      <c r="H14" s="4">
        <f>_xll.ciqfunctions.udf.CIQ(InputTicker, "IQ_FIN_DIV_INT_EXP",Input!J$2,Date,,,Ccy,Conv)</f>
        <v>0</v>
      </c>
      <c r="I14" s="4">
        <f>_xll.ciqfunctions.udf.CIQ(InputTicker, "IQ_FIN_DIV_INT_EXP",Input!K$2,Date,,,Ccy,Conv)</f>
        <v>0</v>
      </c>
      <c r="J14" s="4">
        <f>_xll.ciqfunctions.udf.CIQ(InputTicker, "IQ_FIN_DIV_INT_EXP",Input!L$2,Date,,,Ccy,Conv)</f>
        <v>0</v>
      </c>
      <c r="K14" s="4">
        <f>_xll.ciqfunctions.udf.CIQ(InputTicker, "IQ_FIN_DIV_INT_EXP",Input!M$2,Date,,,Ccy,Conv)</f>
        <v>0</v>
      </c>
      <c r="L14" s="4">
        <f>_xll.ciqfunctions.udf.CIQ(InputTicker, "IQ_FIN_DIV_INT_EXP",Input!N$2,Date,,,Ccy,Conv)</f>
        <v>0</v>
      </c>
      <c r="M14" s="4">
        <f>_xll.ciqfunctions.udf.CIQ(InputTicker, "IQ_FIN_DIV_INT_EXP",Input!O$2,Date,,,Ccy,Conv)</f>
        <v>0</v>
      </c>
      <c r="N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</row>
    <row r="15" spans="1:66" ht="12.75" customHeight="1" x14ac:dyDescent="0.2">
      <c r="A15" s="5" t="s">
        <v>53</v>
      </c>
      <c r="B15" s="6">
        <f>_xll.ciqfunctions.udf.CIQ(InputTicker, "IQ_GP",Input!D$2,Date,,,Ccy,Conv)</f>
        <v>60542</v>
      </c>
      <c r="C15" s="6">
        <f>_xll.ciqfunctions.udf.CIQ(InputTicker, "IQ_GP",Input!E$2,Date,,,Ccy,Conv)</f>
        <v>58374</v>
      </c>
      <c r="D15" s="6">
        <f>_xll.ciqfunctions.udf.CIQ(InputTicker, "IQ_GP",Input!F$2,Date,,,Ccy,Conv)</f>
        <v>62310</v>
      </c>
      <c r="E15" s="6">
        <f>_xll.ciqfunctions.udf.CIQ(InputTicker, "IQ_GP",Input!G$2,Date,,,Ccy,Conv)</f>
        <v>72007</v>
      </c>
      <c r="F15" s="6">
        <f>_xll.ciqfunctions.udf.CIQ(InputTicker, "IQ_GP",Input!H$2,Date,,,Ccy,Conv)</f>
        <v>82933</v>
      </c>
      <c r="G15" s="6">
        <f>_xll.ciqfunctions.udf.CIQ(InputTicker, "IQ_GP",Input!I$2,Date,,,Ccy,Conv)</f>
        <v>96937</v>
      </c>
      <c r="H15" s="6">
        <f>_xll.ciqfunctions.udf.CIQ(InputTicker, "IQ_GP",Input!J$2,Date,,,Ccy,Conv)</f>
        <v>115856</v>
      </c>
      <c r="I15" s="6">
        <f>_xll.ciqfunctions.udf.CIQ(InputTicker, "IQ_GP",Input!K$2,Date,,,Ccy,Conv)</f>
        <v>135620</v>
      </c>
      <c r="J15" s="6">
        <f>_xll.ciqfunctions.udf.CIQ(InputTicker, "IQ_GP",Input!L$2,Date,,,Ccy,Conv)</f>
        <v>146052</v>
      </c>
      <c r="K15" s="6">
        <f>_xll.ciqfunctions.udf.CIQ(InputTicker, "IQ_GP",Input!M$2,Date,,,Ccy,Conv)</f>
        <v>171008</v>
      </c>
      <c r="L15" s="6">
        <f>_xll.ciqfunctions.udf.CIQ(InputTicker, "IQ_GP",Input!N$2,Date,,,Ccy,Conv)</f>
        <v>193893</v>
      </c>
      <c r="M15" s="6">
        <f>_xll.ciqfunctions.udf.CIQ(InputTicker, "IQ_GP",Input!O$2,Date,,,Ccy,Conv)</f>
        <v>217410</v>
      </c>
      <c r="N15" s="46"/>
      <c r="P15" s="46"/>
      <c r="Q15" s="46"/>
      <c r="R15" s="46"/>
      <c r="T15" s="42"/>
      <c r="U15" s="42"/>
      <c r="V15" s="46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</row>
    <row r="16" spans="1:66" ht="12.75" customHeight="1" x14ac:dyDescent="0.2">
      <c r="A16" s="1" t="s">
        <v>125</v>
      </c>
      <c r="B16" s="4">
        <f>_xll.ciqfunctions.udf.CIQ(InputTicker, "IQ_SGA_SUPPL",Input!D$2,Date,,,Ccy,Conv)</f>
        <v>20324</v>
      </c>
      <c r="C16" s="4">
        <f>_xll.ciqfunctions.udf.CIQ(InputTicker, "IQ_SGA_SUPPL",Input!E$2,Date,,,Ccy,Conv)</f>
        <v>19198</v>
      </c>
      <c r="D16" s="4">
        <f>_xll.ciqfunctions.udf.CIQ(InputTicker, "IQ_SGA_SUPPL",Input!F$2,Date,,,Ccy,Conv)</f>
        <v>19942</v>
      </c>
      <c r="E16" s="4">
        <f>_xll.ciqfunctions.udf.CIQ(InputTicker, "IQ_SGA_SUPPL",Input!G$2,Date,,,Ccy,Conv)</f>
        <v>22223</v>
      </c>
      <c r="F16" s="4">
        <f>_xll.ciqfunctions.udf.CIQ(InputTicker, "IQ_SGA_SUPPL",Input!H$2,Date,,,Ccy,Conv)</f>
        <v>23098</v>
      </c>
      <c r="G16" s="4">
        <f>_xll.ciqfunctions.udf.CIQ(InputTicker, "IQ_SGA_SUPPL",Input!I$2,Date,,,Ccy,Conv)</f>
        <v>24709</v>
      </c>
      <c r="H16" s="4">
        <f>_xll.ciqfunctions.udf.CIQ(InputTicker, "IQ_SGA_SUPPL",Input!J$2,Date,,,Ccy,Conv)</f>
        <v>25224</v>
      </c>
      <c r="I16" s="4">
        <f>_xll.ciqfunctions.udf.CIQ(InputTicker, "IQ_SGA_SUPPL",Input!K$2,Date,,,Ccy,Conv)</f>
        <v>27725</v>
      </c>
      <c r="J16" s="4">
        <f>_xll.ciqfunctions.udf.CIQ(InputTicker, "IQ_SGA_SUPPL",Input!L$2,Date,,,Ccy,Conv)</f>
        <v>30334</v>
      </c>
      <c r="K16" s="4">
        <f>_xll.ciqfunctions.udf.CIQ(InputTicker, "IQ_SGA_SUPPL",Input!M$2,Date,,,Ccy,Conv)</f>
        <v>32065</v>
      </c>
      <c r="L16" s="4">
        <f>_xll.ciqfunctions.udf.CIQ(InputTicker, "IQ_SGA_SUPPL",Input!N$2,Date,,,Ccy,Conv)</f>
        <v>32877</v>
      </c>
      <c r="M16" s="4">
        <f>_xll.ciqfunctions.udf.CIQ(InputTicker, "IQ_SGA_SUPPL",Input!O$2,Date,,,Ccy,Conv)</f>
        <v>34059</v>
      </c>
      <c r="N16" s="46"/>
      <c r="P16" s="46"/>
      <c r="Q16" s="46"/>
      <c r="R16" s="46"/>
      <c r="T16" s="42"/>
      <c r="U16" s="42"/>
      <c r="V16" s="46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</row>
    <row r="17" spans="1:66" ht="12.75" customHeight="1" x14ac:dyDescent="0.2">
      <c r="A17" s="1" t="s">
        <v>209</v>
      </c>
      <c r="B17" s="4">
        <f>_xll.ciqfunctions.udf.CIQ(InputTicker, "IQ_EXPLORE_DRILL",Input!D$2,Date,,,Ccy,Conv)</f>
        <v>0</v>
      </c>
      <c r="C17" s="4">
        <f>_xll.ciqfunctions.udf.CIQ(InputTicker, "IQ_EXPLORE_DRILL",Input!E$2,Date,,,Ccy,Conv)</f>
        <v>0</v>
      </c>
      <c r="D17" s="4">
        <f>_xll.ciqfunctions.udf.CIQ(InputTicker, "IQ_EXPLORE_DRILL",Input!F$2,Date,,,Ccy,Conv)</f>
        <v>0</v>
      </c>
      <c r="E17" s="4">
        <f>_xll.ciqfunctions.udf.CIQ(InputTicker, "IQ_EXPLORE_DRILL",Input!G$2,Date,,,Ccy,Conv)</f>
        <v>0</v>
      </c>
      <c r="F17" s="4">
        <f>_xll.ciqfunctions.udf.CIQ(InputTicker, "IQ_EXPLORE_DRILL",Input!H$2,Date,,,Ccy,Conv)</f>
        <v>0</v>
      </c>
      <c r="G17" s="4">
        <f>_xll.ciqfunctions.udf.CIQ(InputTicker, "IQ_EXPLORE_DRILL",Input!I$2,Date,,,Ccy,Conv)</f>
        <v>0</v>
      </c>
      <c r="H17" s="4">
        <f>_xll.ciqfunctions.udf.CIQ(InputTicker, "IQ_EXPLORE_DRILL",Input!J$2,Date,,,Ccy,Conv)</f>
        <v>0</v>
      </c>
      <c r="I17" s="4">
        <f>_xll.ciqfunctions.udf.CIQ(InputTicker, "IQ_EXPLORE_DRILL",Input!K$2,Date,,,Ccy,Conv)</f>
        <v>0</v>
      </c>
      <c r="J17" s="4">
        <f>_xll.ciqfunctions.udf.CIQ(InputTicker, "IQ_EXPLORE_DRILL",Input!L$2,Date,,,Ccy,Conv)</f>
        <v>0</v>
      </c>
      <c r="K17" s="4">
        <f>_xll.ciqfunctions.udf.CIQ(InputTicker, "IQ_EXPLORE_DRILL",Input!M$2,Date,,,Ccy,Conv)</f>
        <v>0</v>
      </c>
      <c r="L17" s="4">
        <f>_xll.ciqfunctions.udf.CIQ(InputTicker, "IQ_EXPLORE_DRILL",Input!N$2,Date,,,Ccy,Conv)</f>
        <v>0</v>
      </c>
      <c r="M17" s="4">
        <f>_xll.ciqfunctions.udf.CIQ(InputTicker, "IQ_EXPLORE_DRILL",Input!O$2,Date,,,Ccy,Conv)</f>
        <v>0</v>
      </c>
      <c r="N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</row>
    <row r="18" spans="1:66" ht="12.75" customHeight="1" x14ac:dyDescent="0.2">
      <c r="A18" s="1" t="s">
        <v>210</v>
      </c>
      <c r="B18" s="4">
        <f>_xll.ciqfunctions.udf.CIQ(InputTicker, "IQ_PROV_BAD_DEBTS",Input!D$2,Date,,,Ccy,Conv)</f>
        <v>0</v>
      </c>
      <c r="C18" s="4">
        <f>_xll.ciqfunctions.udf.CIQ(InputTicker, "IQ_PROV_BAD_DEBTS",Input!E$2,Date,,,Ccy,Conv)</f>
        <v>0</v>
      </c>
      <c r="D18" s="4">
        <f>_xll.ciqfunctions.udf.CIQ(InputTicker, "IQ_PROV_BAD_DEBTS",Input!F$2,Date,,,Ccy,Conv)</f>
        <v>0</v>
      </c>
      <c r="E18" s="4">
        <f>_xll.ciqfunctions.udf.CIQ(InputTicker, "IQ_PROV_BAD_DEBTS",Input!G$2,Date,,,Ccy,Conv)</f>
        <v>0</v>
      </c>
      <c r="F18" s="4">
        <f>_xll.ciqfunctions.udf.CIQ(InputTicker, "IQ_PROV_BAD_DEBTS",Input!H$2,Date,,,Ccy,Conv)</f>
        <v>0</v>
      </c>
      <c r="G18" s="4">
        <f>_xll.ciqfunctions.udf.CIQ(InputTicker, "IQ_PROV_BAD_DEBTS",Input!I$2,Date,,,Ccy,Conv)</f>
        <v>0</v>
      </c>
      <c r="H18" s="4">
        <f>_xll.ciqfunctions.udf.CIQ(InputTicker, "IQ_PROV_BAD_DEBTS",Input!J$2,Date,,,Ccy,Conv)</f>
        <v>0</v>
      </c>
      <c r="I18" s="4">
        <f>_xll.ciqfunctions.udf.CIQ(InputTicker, "IQ_PROV_BAD_DEBTS",Input!K$2,Date,,,Ccy,Conv)</f>
        <v>0</v>
      </c>
      <c r="J18" s="4">
        <f>_xll.ciqfunctions.udf.CIQ(InputTicker, "IQ_PROV_BAD_DEBTS",Input!L$2,Date,,,Ccy,Conv)</f>
        <v>0</v>
      </c>
      <c r="K18" s="4">
        <f>_xll.ciqfunctions.udf.CIQ(InputTicker, "IQ_PROV_BAD_DEBTS",Input!M$2,Date,,,Ccy,Conv)</f>
        <v>0</v>
      </c>
      <c r="L18" s="4">
        <f>_xll.ciqfunctions.udf.CIQ(InputTicker, "IQ_PROV_BAD_DEBTS",Input!N$2,Date,,,Ccy,Conv)</f>
        <v>0</v>
      </c>
      <c r="M18" s="4">
        <f>_xll.ciqfunctions.udf.CIQ(InputTicker, "IQ_PROV_BAD_DEBTS",Input!O$2,Date,,,Ccy,Conv)</f>
        <v>0</v>
      </c>
      <c r="N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</row>
    <row r="19" spans="1:66" ht="12.75" customHeight="1" x14ac:dyDescent="0.2">
      <c r="A19" s="1" t="s">
        <v>203</v>
      </c>
      <c r="B19" s="4">
        <f>_xll.ciqfunctions.udf.CIQ(InputTicker, "IQ_STOCK_BASED",Input!D$2,Date,,,Ccy,Conv)</f>
        <v>0</v>
      </c>
      <c r="C19" s="4">
        <f>_xll.ciqfunctions.udf.CIQ(InputTicker, "IQ_STOCK_BASED",Input!E$2,Date,,,Ccy,Conv)</f>
        <v>0</v>
      </c>
      <c r="D19" s="4">
        <f>_xll.ciqfunctions.udf.CIQ(InputTicker, "IQ_STOCK_BASED",Input!F$2,Date,,,Ccy,Conv)</f>
        <v>0</v>
      </c>
      <c r="E19" s="4">
        <f>_xll.ciqfunctions.udf.CIQ(InputTicker, "IQ_STOCK_BASED",Input!G$2,Date,,,Ccy,Conv)</f>
        <v>0</v>
      </c>
      <c r="F19" s="4">
        <f>_xll.ciqfunctions.udf.CIQ(InputTicker, "IQ_STOCK_BASED",Input!H$2,Date,,,Ccy,Conv)</f>
        <v>0</v>
      </c>
      <c r="G19" s="4">
        <f>_xll.ciqfunctions.udf.CIQ(InputTicker, "IQ_STOCK_BASED",Input!I$2,Date,,,Ccy,Conv)</f>
        <v>0</v>
      </c>
      <c r="H19" s="4">
        <f>_xll.ciqfunctions.udf.CIQ(InputTicker, "IQ_STOCK_BASED",Input!J$2,Date,,,Ccy,Conv)</f>
        <v>0</v>
      </c>
      <c r="I19" s="4">
        <f>_xll.ciqfunctions.udf.CIQ(InputTicker, "IQ_STOCK_BASED",Input!K$2,Date,,,Ccy,Conv)</f>
        <v>0</v>
      </c>
      <c r="J19" s="4">
        <f>_xll.ciqfunctions.udf.CIQ(InputTicker, "IQ_STOCK_BASED",Input!L$2,Date,,,Ccy,Conv)</f>
        <v>0</v>
      </c>
      <c r="K19" s="4">
        <f>_xll.ciqfunctions.udf.CIQ(InputTicker, "IQ_STOCK_BASED",Input!M$2,Date,,,Ccy,Conv)</f>
        <v>0</v>
      </c>
      <c r="L19" s="4">
        <f>_xll.ciqfunctions.udf.CIQ(InputTicker, "IQ_STOCK_BASED",Input!N$2,Date,,,Ccy,Conv)</f>
        <v>0</v>
      </c>
      <c r="M19" s="4">
        <f>_xll.ciqfunctions.udf.CIQ(InputTicker, "IQ_STOCK_BASED",Input!O$2,Date,,,Ccy,Conv)</f>
        <v>0</v>
      </c>
      <c r="N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</row>
    <row r="20" spans="1:66" ht="12.75" customHeight="1" x14ac:dyDescent="0.2">
      <c r="A20" s="1" t="s">
        <v>211</v>
      </c>
      <c r="B20" s="4">
        <f>_xll.ciqfunctions.udf.CIQ(InputTicker, "IQ_PRE_OPEN_COST",Input!D$2,Date,,,Ccy,Conv)</f>
        <v>0</v>
      </c>
      <c r="C20" s="4">
        <f>_xll.ciqfunctions.udf.CIQ(InputTicker, "IQ_PRE_OPEN_COST",Input!E$2,Date,,,Ccy,Conv)</f>
        <v>0</v>
      </c>
      <c r="D20" s="4">
        <f>_xll.ciqfunctions.udf.CIQ(InputTicker, "IQ_PRE_OPEN_COST",Input!F$2,Date,,,Ccy,Conv)</f>
        <v>0</v>
      </c>
      <c r="E20" s="4">
        <f>_xll.ciqfunctions.udf.CIQ(InputTicker, "IQ_PRE_OPEN_COST",Input!G$2,Date,,,Ccy,Conv)</f>
        <v>0</v>
      </c>
      <c r="F20" s="4">
        <f>_xll.ciqfunctions.udf.CIQ(InputTicker, "IQ_PRE_OPEN_COST",Input!H$2,Date,,,Ccy,Conv)</f>
        <v>0</v>
      </c>
      <c r="G20" s="4">
        <f>_xll.ciqfunctions.udf.CIQ(InputTicker, "IQ_PRE_OPEN_COST",Input!I$2,Date,,,Ccy,Conv)</f>
        <v>0</v>
      </c>
      <c r="H20" s="4">
        <f>_xll.ciqfunctions.udf.CIQ(InputTicker, "IQ_PRE_OPEN_COST",Input!J$2,Date,,,Ccy,Conv)</f>
        <v>0</v>
      </c>
      <c r="I20" s="4">
        <f>_xll.ciqfunctions.udf.CIQ(InputTicker, "IQ_PRE_OPEN_COST",Input!K$2,Date,,,Ccy,Conv)</f>
        <v>0</v>
      </c>
      <c r="J20" s="4">
        <f>_xll.ciqfunctions.udf.CIQ(InputTicker, "IQ_PRE_OPEN_COST",Input!L$2,Date,,,Ccy,Conv)</f>
        <v>0</v>
      </c>
      <c r="K20" s="4">
        <f>_xll.ciqfunctions.udf.CIQ(InputTicker, "IQ_PRE_OPEN_COST",Input!M$2,Date,,,Ccy,Conv)</f>
        <v>0</v>
      </c>
      <c r="L20" s="4">
        <f>_xll.ciqfunctions.udf.CIQ(InputTicker, "IQ_PRE_OPEN_COST",Input!N$2,Date,,,Ccy,Conv)</f>
        <v>0</v>
      </c>
      <c r="M20" s="4">
        <f>_xll.ciqfunctions.udf.CIQ(InputTicker, "IQ_PRE_OPEN_COST",Input!O$2,Date,,,Ccy,Conv)</f>
        <v>0</v>
      </c>
      <c r="N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</row>
    <row r="21" spans="1:66" ht="12.75" customHeight="1" x14ac:dyDescent="0.2">
      <c r="A21" s="1" t="s">
        <v>59</v>
      </c>
      <c r="B21" s="4">
        <f>_xll.ciqfunctions.udf.CIQ(InputTicker, "IQ_RD_EXP",Input!D$2,Date,,,Ccy,Conv)</f>
        <v>12046</v>
      </c>
      <c r="C21" s="4">
        <f>_xll.ciqfunctions.udf.CIQ(InputTicker, "IQ_RD_EXP",Input!E$2,Date,,,Ccy,Conv)</f>
        <v>11988</v>
      </c>
      <c r="D21" s="4">
        <f>_xll.ciqfunctions.udf.CIQ(InputTicker, "IQ_RD_EXP",Input!F$2,Date,,,Ccy,Conv)</f>
        <v>13037</v>
      </c>
      <c r="E21" s="4">
        <f>_xll.ciqfunctions.udf.CIQ(InputTicker, "IQ_RD_EXP",Input!G$2,Date,,,Ccy,Conv)</f>
        <v>14726</v>
      </c>
      <c r="F21" s="4">
        <f>_xll.ciqfunctions.udf.CIQ(InputTicker, "IQ_RD_EXP",Input!H$2,Date,,,Ccy,Conv)</f>
        <v>16876</v>
      </c>
      <c r="G21" s="4">
        <f>_xll.ciqfunctions.udf.CIQ(InputTicker, "IQ_RD_EXP",Input!I$2,Date,,,Ccy,Conv)</f>
        <v>19269</v>
      </c>
      <c r="H21" s="4">
        <f>_xll.ciqfunctions.udf.CIQ(InputTicker, "IQ_RD_EXP",Input!J$2,Date,,,Ccy,Conv)</f>
        <v>20716</v>
      </c>
      <c r="I21" s="4">
        <f>_xll.ciqfunctions.udf.CIQ(InputTicker, "IQ_RD_EXP",Input!K$2,Date,,,Ccy,Conv)</f>
        <v>24512</v>
      </c>
      <c r="J21" s="4">
        <f>_xll.ciqfunctions.udf.CIQ(InputTicker, "IQ_RD_EXP",Input!L$2,Date,,,Ccy,Conv)</f>
        <v>27195</v>
      </c>
      <c r="K21" s="4">
        <f>_xll.ciqfunctions.udf.CIQ(InputTicker, "IQ_RD_EXP",Input!M$2,Date,,,Ccy,Conv)</f>
        <v>29510</v>
      </c>
      <c r="L21" s="4">
        <f>_xll.ciqfunctions.udf.CIQ(InputTicker, "IQ_RD_EXP",Input!N$2,Date,,,Ccy,Conv)</f>
        <v>32488</v>
      </c>
      <c r="M21" s="4">
        <f>_xll.ciqfunctions.udf.CIQ(InputTicker, "IQ_RD_EXP",Input!O$2,Date,,,Ccy,Conv)</f>
        <v>34394</v>
      </c>
      <c r="N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</row>
    <row r="22" spans="1:66" ht="12.75" customHeight="1" x14ac:dyDescent="0.2">
      <c r="A22" s="1" t="s">
        <v>126</v>
      </c>
      <c r="B22" s="4">
        <f>_xll.ciqfunctions.udf.CIQ(InputTicker, "IQ_DA_SUPPL",Input!D$2,Date,,,Ccy,Conv)</f>
        <v>0</v>
      </c>
      <c r="C22" s="4">
        <f>_xll.ciqfunctions.udf.CIQ(InputTicker, "IQ_DA_SUPPL",Input!E$2,Date,,,Ccy,Conv)</f>
        <v>0</v>
      </c>
      <c r="D22" s="4">
        <f>_xll.ciqfunctions.udf.CIQ(InputTicker, "IQ_DA_SUPPL",Input!F$2,Date,,,Ccy,Conv)</f>
        <v>0</v>
      </c>
      <c r="E22" s="4">
        <f>_xll.ciqfunctions.udf.CIQ(InputTicker, "IQ_DA_SUPPL",Input!G$2,Date,,,Ccy,Conv)</f>
        <v>0</v>
      </c>
      <c r="F22" s="4">
        <f>_xll.ciqfunctions.udf.CIQ(InputTicker, "IQ_DA_SUPPL",Input!H$2,Date,,,Ccy,Conv)</f>
        <v>0</v>
      </c>
      <c r="G22" s="4">
        <f>_xll.ciqfunctions.udf.CIQ(InputTicker, "IQ_DA_SUPPL",Input!I$2,Date,,,Ccy,Conv)</f>
        <v>0</v>
      </c>
      <c r="H22" s="4">
        <f>_xll.ciqfunctions.udf.CIQ(InputTicker, "IQ_DA_SUPPL",Input!J$2,Date,,,Ccy,Conv)</f>
        <v>0</v>
      </c>
      <c r="I22" s="4">
        <f>_xll.ciqfunctions.udf.CIQ(InputTicker, "IQ_DA_SUPPL",Input!K$2,Date,,,Ccy,Conv)</f>
        <v>0</v>
      </c>
      <c r="J22" s="4">
        <f>_xll.ciqfunctions.udf.CIQ(InputTicker, "IQ_DA_SUPPL",Input!L$2,Date,,,Ccy,Conv)</f>
        <v>0</v>
      </c>
      <c r="K22" s="4">
        <f>_xll.ciqfunctions.udf.CIQ(InputTicker, "IQ_DA_SUPPL",Input!M$2,Date,,,Ccy,Conv)</f>
        <v>0</v>
      </c>
      <c r="L22" s="4">
        <f>_xll.ciqfunctions.udf.CIQ(InputTicker, "IQ_DA_SUPPL",Input!N$2,Date,,,Ccy,Conv)</f>
        <v>0</v>
      </c>
      <c r="M22" s="4">
        <f>_xll.ciqfunctions.udf.CIQ(InputTicker, "IQ_DA_SUPPL",Input!O$2,Date,,,Ccy,Conv)</f>
        <v>0</v>
      </c>
      <c r="N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</row>
    <row r="23" spans="1:66" ht="12.75" customHeight="1" x14ac:dyDescent="0.2">
      <c r="A23" s="1" t="s">
        <v>141</v>
      </c>
      <c r="B23" s="4">
        <f>_xll.ciqfunctions.udf.CIQ(InputTicker, "IQ_GW_INTAN_AMORT",Input!D$2,Date,,,Ccy,Conv)</f>
        <v>0</v>
      </c>
      <c r="C23" s="4">
        <f>_xll.ciqfunctions.udf.CIQ(InputTicker, "IQ_GW_INTAN_AMORT",Input!E$2,Date,,,Ccy,Conv)</f>
        <v>0</v>
      </c>
      <c r="D23" s="4">
        <f>_xll.ciqfunctions.udf.CIQ(InputTicker, "IQ_GW_INTAN_AMORT",Input!F$2,Date,,,Ccy,Conv)</f>
        <v>0</v>
      </c>
      <c r="E23" s="4">
        <f>_xll.ciqfunctions.udf.CIQ(InputTicker, "IQ_GW_INTAN_AMORT",Input!G$2,Date,,,Ccy,Conv)</f>
        <v>0</v>
      </c>
      <c r="F23" s="4">
        <f>_xll.ciqfunctions.udf.CIQ(InputTicker, "IQ_GW_INTAN_AMORT",Input!H$2,Date,,,Ccy,Conv)</f>
        <v>0</v>
      </c>
      <c r="G23" s="4">
        <f>_xll.ciqfunctions.udf.CIQ(InputTicker, "IQ_GW_INTAN_AMORT",Input!I$2,Date,,,Ccy,Conv)</f>
        <v>0</v>
      </c>
      <c r="H23" s="4">
        <f>_xll.ciqfunctions.udf.CIQ(InputTicker, "IQ_GW_INTAN_AMORT",Input!J$2,Date,,,Ccy,Conv)</f>
        <v>0</v>
      </c>
      <c r="I23" s="4">
        <f>_xll.ciqfunctions.udf.CIQ(InputTicker, "IQ_GW_INTAN_AMORT",Input!K$2,Date,,,Ccy,Conv)</f>
        <v>0</v>
      </c>
      <c r="J23" s="4">
        <f>_xll.ciqfunctions.udf.CIQ(InputTicker, "IQ_GW_INTAN_AMORT",Input!L$2,Date,,,Ccy,Conv)</f>
        <v>0</v>
      </c>
      <c r="K23" s="4">
        <f>_xll.ciqfunctions.udf.CIQ(InputTicker, "IQ_GW_INTAN_AMORT",Input!M$2,Date,,,Ccy,Conv)</f>
        <v>0</v>
      </c>
      <c r="L23" s="4">
        <f>_xll.ciqfunctions.udf.CIQ(InputTicker, "IQ_GW_INTAN_AMORT",Input!N$2,Date,,,Ccy,Conv)</f>
        <v>0</v>
      </c>
      <c r="M23" s="4">
        <f>_xll.ciqfunctions.udf.CIQ(InputTicker, "IQ_GW_INTAN_AMORT",Input!O$2,Date,,,Ccy,Conv)</f>
        <v>0</v>
      </c>
      <c r="N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</row>
    <row r="24" spans="1:66" ht="12.75" customHeight="1" x14ac:dyDescent="0.2">
      <c r="A24" s="1" t="s">
        <v>197</v>
      </c>
      <c r="B24" s="4">
        <f>_xll.ciqfunctions.udf.CIQ(InputTicker, "IQ_IMPAIR_OIL",Input!D$2,Date,,,Ccy,Conv)</f>
        <v>0</v>
      </c>
      <c r="C24" s="4">
        <f>_xll.ciqfunctions.udf.CIQ(InputTicker, "IQ_IMPAIR_OIL",Input!E$2,Date,,,Ccy,Conv)</f>
        <v>0</v>
      </c>
      <c r="D24" s="4">
        <f>_xll.ciqfunctions.udf.CIQ(InputTicker, "IQ_IMPAIR_OIL",Input!F$2,Date,,,Ccy,Conv)</f>
        <v>0</v>
      </c>
      <c r="E24" s="4">
        <f>_xll.ciqfunctions.udf.CIQ(InputTicker, "IQ_IMPAIR_OIL",Input!G$2,Date,,,Ccy,Conv)</f>
        <v>0</v>
      </c>
      <c r="F24" s="4">
        <f>_xll.ciqfunctions.udf.CIQ(InputTicker, "IQ_IMPAIR_OIL",Input!H$2,Date,,,Ccy,Conv)</f>
        <v>0</v>
      </c>
      <c r="G24" s="4">
        <f>_xll.ciqfunctions.udf.CIQ(InputTicker, "IQ_IMPAIR_OIL",Input!I$2,Date,,,Ccy,Conv)</f>
        <v>0</v>
      </c>
      <c r="H24" s="4">
        <f>_xll.ciqfunctions.udf.CIQ(InputTicker, "IQ_IMPAIR_OIL",Input!J$2,Date,,,Ccy,Conv)</f>
        <v>0</v>
      </c>
      <c r="I24" s="4">
        <f>_xll.ciqfunctions.udf.CIQ(InputTicker, "IQ_IMPAIR_OIL",Input!K$2,Date,,,Ccy,Conv)</f>
        <v>0</v>
      </c>
      <c r="J24" s="4">
        <f>_xll.ciqfunctions.udf.CIQ(InputTicker, "IQ_IMPAIR_OIL",Input!L$2,Date,,,Ccy,Conv)</f>
        <v>0</v>
      </c>
      <c r="K24" s="4">
        <f>_xll.ciqfunctions.udf.CIQ(InputTicker, "IQ_IMPAIR_OIL",Input!M$2,Date,,,Ccy,Conv)</f>
        <v>0</v>
      </c>
      <c r="L24" s="4">
        <f>_xll.ciqfunctions.udf.CIQ(InputTicker, "IQ_IMPAIR_OIL",Input!N$2,Date,,,Ccy,Conv)</f>
        <v>0</v>
      </c>
      <c r="M24" s="4">
        <f>_xll.ciqfunctions.udf.CIQ(InputTicker, "IQ_IMPAIR_OIL",Input!O$2,Date,,,Ccy,Conv)</f>
        <v>0</v>
      </c>
      <c r="N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</row>
    <row r="25" spans="1:66" ht="12.75" customHeight="1" x14ac:dyDescent="0.2">
      <c r="A25" s="1" t="s">
        <v>61</v>
      </c>
      <c r="B25" s="8">
        <f>_xll.ciqfunctions.udf.CIQ(InputTicker, "IQ_OTHER_OPER",Input!D$2,Date,,,Ccy,Conv)</f>
        <v>0</v>
      </c>
      <c r="C25" s="8">
        <f>_xll.ciqfunctions.udf.CIQ(InputTicker, "IQ_OTHER_OPER",Input!E$2,Date,,,Ccy,Conv)</f>
        <v>0</v>
      </c>
      <c r="D25" s="8">
        <f>_xll.ciqfunctions.udf.CIQ(InputTicker, "IQ_OTHER_OPER",Input!F$2,Date,,,Ccy,Conv)</f>
        <v>0</v>
      </c>
      <c r="E25" s="8">
        <f>_xll.ciqfunctions.udf.CIQ(InputTicker, "IQ_OTHER_OPER",Input!G$2,Date,,,Ccy,Conv)</f>
        <v>0</v>
      </c>
      <c r="F25" s="8">
        <f>_xll.ciqfunctions.udf.CIQ(InputTicker, "IQ_OTHER_OPER",Input!H$2,Date,,,Ccy,Conv)</f>
        <v>0</v>
      </c>
      <c r="G25" s="8">
        <f>_xll.ciqfunctions.udf.CIQ(InputTicker, "IQ_OTHER_OPER",Input!I$2,Date,,,Ccy,Conv)</f>
        <v>0</v>
      </c>
      <c r="H25" s="8">
        <f>_xll.ciqfunctions.udf.CIQ(InputTicker, "IQ_OTHER_OPER",Input!J$2,Date,,,Ccy,Conv)</f>
        <v>0</v>
      </c>
      <c r="I25" s="8">
        <f>_xll.ciqfunctions.udf.CIQ(InputTicker, "IQ_OTHER_OPER",Input!K$2,Date,,,Ccy,Conv)</f>
        <v>0</v>
      </c>
      <c r="J25" s="8">
        <f>_xll.ciqfunctions.udf.CIQ(InputTicker, "IQ_OTHER_OPER",Input!L$2,Date,,,Ccy,Conv)</f>
        <v>0</v>
      </c>
      <c r="K25" s="8">
        <f>_xll.ciqfunctions.udf.CIQ(InputTicker, "IQ_OTHER_OPER",Input!M$2,Date,,,Ccy,Conv)</f>
        <v>0</v>
      </c>
      <c r="L25" s="8">
        <f>_xll.ciqfunctions.udf.CIQ(InputTicker, "IQ_OTHER_OPER",Input!N$2,Date,,,Ccy,Conv)</f>
        <v>0</v>
      </c>
      <c r="M25" s="8">
        <f>_xll.ciqfunctions.udf.CIQ(InputTicker, "IQ_OTHER_OPER",Input!O$2,Date,,,Ccy,Conv)</f>
        <v>0</v>
      </c>
      <c r="N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</row>
    <row r="26" spans="1:66" ht="12.75" customHeight="1" x14ac:dyDescent="0.2">
      <c r="A26" s="5" t="s">
        <v>62</v>
      </c>
      <c r="B26" s="7">
        <f>_xll.ciqfunctions.udf.CIQ(InputTicker, "IQ_TOTAL_OTHER_OPER",Input!D$2,Date,,,Ccy,Conv)</f>
        <v>32370</v>
      </c>
      <c r="C26" s="7">
        <f>_xll.ciqfunctions.udf.CIQ(InputTicker, "IQ_TOTAL_OTHER_OPER",Input!E$2,Date,,,Ccy,Conv)</f>
        <v>31186</v>
      </c>
      <c r="D26" s="7">
        <f>_xll.ciqfunctions.udf.CIQ(InputTicker, "IQ_TOTAL_OTHER_OPER",Input!F$2,Date,,,Ccy,Conv)</f>
        <v>32979</v>
      </c>
      <c r="E26" s="7">
        <f>_xll.ciqfunctions.udf.CIQ(InputTicker, "IQ_TOTAL_OTHER_OPER",Input!G$2,Date,,,Ccy,Conv)</f>
        <v>36949</v>
      </c>
      <c r="F26" s="7">
        <f>_xll.ciqfunctions.udf.CIQ(InputTicker, "IQ_TOTAL_OTHER_OPER",Input!H$2,Date,,,Ccy,Conv)</f>
        <v>39974</v>
      </c>
      <c r="G26" s="7">
        <f>_xll.ciqfunctions.udf.CIQ(InputTicker, "IQ_TOTAL_OTHER_OPER",Input!I$2,Date,,,Ccy,Conv)</f>
        <v>43978</v>
      </c>
      <c r="H26" s="7">
        <f>_xll.ciqfunctions.udf.CIQ(InputTicker, "IQ_TOTAL_OTHER_OPER",Input!J$2,Date,,,Ccy,Conv)</f>
        <v>45940</v>
      </c>
      <c r="I26" s="7">
        <f>_xll.ciqfunctions.udf.CIQ(InputTicker, "IQ_TOTAL_OTHER_OPER",Input!K$2,Date,,,Ccy,Conv)</f>
        <v>52237</v>
      </c>
      <c r="J26" s="7">
        <f>_xll.ciqfunctions.udf.CIQ(InputTicker, "IQ_TOTAL_OTHER_OPER",Input!L$2,Date,,,Ccy,Conv)</f>
        <v>57529</v>
      </c>
      <c r="K26" s="7">
        <f>_xll.ciqfunctions.udf.CIQ(InputTicker, "IQ_TOTAL_OTHER_OPER",Input!M$2,Date,,,Ccy,Conv)</f>
        <v>61575</v>
      </c>
      <c r="L26" s="7">
        <f>_xll.ciqfunctions.udf.CIQ(InputTicker, "IQ_TOTAL_OTHER_OPER",Input!N$2,Date,,,Ccy,Conv)</f>
        <v>65365</v>
      </c>
      <c r="M26" s="7">
        <f>_xll.ciqfunctions.udf.CIQ(InputTicker, "IQ_TOTAL_OTHER_OPER",Input!O$2,Date,,,Ccy,Conv)</f>
        <v>68453</v>
      </c>
      <c r="N26" s="46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</row>
    <row r="27" spans="1:66" ht="12.75" customHeight="1" thickBot="1" x14ac:dyDescent="0.25">
      <c r="A27" s="5" t="s">
        <v>63</v>
      </c>
      <c r="B27" s="9">
        <f>_xll.ciqfunctions.udf.CIQ(InputTicker, "IQ_OPER_INC",Input!D$2,Date,,,Ccy,Conv)</f>
        <v>28172</v>
      </c>
      <c r="C27" s="9">
        <f>_xll.ciqfunctions.udf.CIQ(InputTicker, "IQ_OPER_INC",Input!E$2,Date,,,Ccy,Conv)</f>
        <v>27188</v>
      </c>
      <c r="D27" s="9">
        <f>_xll.ciqfunctions.udf.CIQ(InputTicker, "IQ_OPER_INC",Input!F$2,Date,,,Ccy,Conv)</f>
        <v>29331</v>
      </c>
      <c r="E27" s="9">
        <f>_xll.ciqfunctions.udf.CIQ(InputTicker, "IQ_OPER_INC",Input!G$2,Date,,,Ccy,Conv)</f>
        <v>35058</v>
      </c>
      <c r="F27" s="9">
        <f>_xll.ciqfunctions.udf.CIQ(InputTicker, "IQ_OPER_INC",Input!H$2,Date,,,Ccy,Conv)</f>
        <v>42959</v>
      </c>
      <c r="G27" s="9">
        <f>_xll.ciqfunctions.udf.CIQ(InputTicker, "IQ_OPER_INC",Input!I$2,Date,,,Ccy,Conv)</f>
        <v>52959</v>
      </c>
      <c r="H27" s="9">
        <f>_xll.ciqfunctions.udf.CIQ(InputTicker, "IQ_OPER_INC",Input!J$2,Date,,,Ccy,Conv)</f>
        <v>69916</v>
      </c>
      <c r="I27" s="9">
        <f>_xll.ciqfunctions.udf.CIQ(InputTicker, "IQ_OPER_INC",Input!K$2,Date,,,Ccy,Conv)</f>
        <v>83383</v>
      </c>
      <c r="J27" s="9">
        <f>_xll.ciqfunctions.udf.CIQ(InputTicker, "IQ_OPER_INC",Input!L$2,Date,,,Ccy,Conv)</f>
        <v>88523</v>
      </c>
      <c r="K27" s="9">
        <f>_xll.ciqfunctions.udf.CIQ(InputTicker, "IQ_OPER_INC",Input!M$2,Date,,,Ccy,Conv)</f>
        <v>109433</v>
      </c>
      <c r="L27" s="9">
        <f>_xll.ciqfunctions.udf.CIQ(InputTicker, "IQ_OPER_INC",Input!N$2,Date,,,Ccy,Conv)</f>
        <v>128528</v>
      </c>
      <c r="M27" s="9">
        <f>_xll.ciqfunctions.udf.CIQ(InputTicker, "IQ_OPER_INC",Input!O$2,Date,,,Ccy,Conv)</f>
        <v>148957</v>
      </c>
      <c r="N27" s="46"/>
      <c r="P27" s="46"/>
      <c r="Q27" s="46"/>
      <c r="R27" s="46"/>
      <c r="T27" s="42"/>
      <c r="U27" s="42"/>
      <c r="V27" s="46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</row>
    <row r="28" spans="1:66" ht="12.75" customHeight="1" thickTop="1" x14ac:dyDescent="0.2">
      <c r="A28" s="1" t="s">
        <v>52</v>
      </c>
      <c r="B28" s="4">
        <f>_xll.ciqfunctions.udf.CIQ(InputTicker, "IQ_INTEREST_EXP",Input!D$2,Date,,,Ccy,Conv)</f>
        <v>-781</v>
      </c>
      <c r="C28" s="4">
        <f>_xll.ciqfunctions.udf.CIQ(InputTicker, "IQ_INTEREST_EXP",Input!E$2,Date,,,Ccy,Conv)</f>
        <v>-1243</v>
      </c>
      <c r="D28" s="4">
        <f>_xll.ciqfunctions.udf.CIQ(InputTicker, "IQ_INTEREST_EXP",Input!F$2,Date,,,Ccy,Conv)</f>
        <v>-2222</v>
      </c>
      <c r="E28" s="4">
        <f>_xll.ciqfunctions.udf.CIQ(InputTicker, "IQ_INTEREST_EXP",Input!G$2,Date,,,Ccy,Conv)</f>
        <v>-2733</v>
      </c>
      <c r="F28" s="4">
        <f>_xll.ciqfunctions.udf.CIQ(InputTicker, "IQ_INTEREST_EXP",Input!H$2,Date,,,Ccy,Conv)</f>
        <v>-2686</v>
      </c>
      <c r="G28" s="4">
        <f>_xll.ciqfunctions.udf.CIQ(InputTicker, "IQ_INTEREST_EXP",Input!I$2,Date,,,Ccy,Conv)</f>
        <v>-2591</v>
      </c>
      <c r="H28" s="4">
        <f>_xll.ciqfunctions.udf.CIQ(InputTicker, "IQ_INTEREST_EXP",Input!J$2,Date,,,Ccy,Conv)</f>
        <v>-2330</v>
      </c>
      <c r="I28" s="4">
        <f>_xll.ciqfunctions.udf.CIQ(InputTicker, "IQ_INTEREST_EXP",Input!K$2,Date,,,Ccy,Conv)</f>
        <v>-2047</v>
      </c>
      <c r="J28" s="4">
        <f>_xll.ciqfunctions.udf.CIQ(InputTicker, "IQ_INTEREST_EXP",Input!L$2,Date,,,Ccy,Conv)</f>
        <v>-1995</v>
      </c>
      <c r="K28" s="4">
        <f>_xll.ciqfunctions.udf.CIQ(InputTicker, "IQ_INTEREST_EXP",Input!M$2,Date,,,Ccy,Conv)</f>
        <v>-2983</v>
      </c>
      <c r="L28" s="4">
        <f>_xll.ciqfunctions.udf.CIQ(InputTicker, "IQ_INTEREST_EXP",Input!N$2,Date,,,Ccy,Conv)</f>
        <v>-2425</v>
      </c>
      <c r="M28" s="4">
        <f>_xll.ciqfunctions.udf.CIQ(InputTicker, "IQ_INTEREST_EXP",Input!O$2,Date,,,Ccy,Conv)</f>
        <v>-2859</v>
      </c>
      <c r="N28" s="46"/>
      <c r="P28" s="46"/>
      <c r="Q28" s="46"/>
      <c r="R28" s="46"/>
      <c r="T28" s="42"/>
      <c r="U28" s="42"/>
      <c r="V28" s="46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</row>
    <row r="29" spans="1:66" ht="12.75" customHeight="1" x14ac:dyDescent="0.2">
      <c r="A29" s="1" t="s">
        <v>64</v>
      </c>
      <c r="B29" s="4">
        <f>_xll.ciqfunctions.udf.CIQ(InputTicker, "IQ_INTEREST_INVEST_INC",Input!D$2,Date,,,Ccy,Conv)</f>
        <v>766</v>
      </c>
      <c r="C29" s="4">
        <f>_xll.ciqfunctions.udf.CIQ(InputTicker, "IQ_INTEREST_INVEST_INC",Input!E$2,Date,,,Ccy,Conv)</f>
        <v>903</v>
      </c>
      <c r="D29" s="4">
        <f>_xll.ciqfunctions.udf.CIQ(InputTicker, "IQ_INTEREST_INVEST_INC",Input!F$2,Date,,,Ccy,Conv)</f>
        <v>1387</v>
      </c>
      <c r="E29" s="4">
        <f>_xll.ciqfunctions.udf.CIQ(InputTicker, "IQ_INTEREST_INVEST_INC",Input!G$2,Date,,,Ccy,Conv)</f>
        <v>2214</v>
      </c>
      <c r="F29" s="4">
        <f>_xll.ciqfunctions.udf.CIQ(InputTicker, "IQ_INTEREST_INVEST_INC",Input!H$2,Date,,,Ccy,Conv)</f>
        <v>2762</v>
      </c>
      <c r="G29" s="4">
        <f>_xll.ciqfunctions.udf.CIQ(InputTicker, "IQ_INTEREST_INVEST_INC",Input!I$2,Date,,,Ccy,Conv)</f>
        <v>2680</v>
      </c>
      <c r="H29" s="4">
        <f>_xll.ciqfunctions.udf.CIQ(InputTicker, "IQ_INTEREST_INVEST_INC",Input!J$2,Date,,,Ccy,Conv)</f>
        <v>2131</v>
      </c>
      <c r="I29" s="4">
        <f>_xll.ciqfunctions.udf.CIQ(InputTicker, "IQ_INTEREST_INVEST_INC",Input!K$2,Date,,,Ccy,Conv)</f>
        <v>2094</v>
      </c>
      <c r="J29" s="4">
        <f>_xll.ciqfunctions.udf.CIQ(InputTicker, "IQ_INTEREST_INVEST_INC",Input!L$2,Date,,,Ccy,Conv)</f>
        <v>2994</v>
      </c>
      <c r="K29" s="4">
        <f>_xll.ciqfunctions.udf.CIQ(InputTicker, "IQ_INTEREST_INVEST_INC",Input!M$2,Date,,,Ccy,Conv)</f>
        <v>3157</v>
      </c>
      <c r="L29" s="4">
        <f>_xll.ciqfunctions.udf.CIQ(InputTicker, "IQ_INTEREST_INVEST_INC",Input!N$2,Date,,,Ccy,Conv)</f>
        <v>2647</v>
      </c>
      <c r="M29" s="4">
        <f>_xll.ciqfunctions.udf.CIQ(InputTicker, "IQ_INTEREST_INVEST_INC",Input!O$2,Date,,,Ccy,Conv)</f>
        <v>3315</v>
      </c>
      <c r="N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</row>
    <row r="30" spans="1:66" ht="12.75" customHeight="1" x14ac:dyDescent="0.2">
      <c r="A30" s="5" t="s">
        <v>65</v>
      </c>
      <c r="B30" s="6">
        <f>_xll.ciqfunctions.udf.CIQ(InputTicker, "IQ_NET_INTEREST_EXP",Input!D$2,Date,,,Ccy,Conv)</f>
        <v>-15</v>
      </c>
      <c r="C30" s="6">
        <f>_xll.ciqfunctions.udf.CIQ(InputTicker, "IQ_NET_INTEREST_EXP",Input!E$2,Date,,,Ccy,Conv)</f>
        <v>-340</v>
      </c>
      <c r="D30" s="6">
        <f>_xll.ciqfunctions.udf.CIQ(InputTicker, "IQ_NET_INTEREST_EXP",Input!F$2,Date,,,Ccy,Conv)</f>
        <v>-835</v>
      </c>
      <c r="E30" s="6">
        <f>_xll.ciqfunctions.udf.CIQ(InputTicker, "IQ_NET_INTEREST_EXP",Input!G$2,Date,,,Ccy,Conv)</f>
        <v>-519</v>
      </c>
      <c r="F30" s="6">
        <f>_xll.ciqfunctions.udf.CIQ(InputTicker, "IQ_NET_INTEREST_EXP",Input!H$2,Date,,,Ccy,Conv)</f>
        <v>76</v>
      </c>
      <c r="G30" s="6">
        <f>_xll.ciqfunctions.udf.CIQ(InputTicker, "IQ_NET_INTEREST_EXP",Input!I$2,Date,,,Ccy,Conv)</f>
        <v>89</v>
      </c>
      <c r="H30" s="6">
        <f>_xll.ciqfunctions.udf.CIQ(InputTicker, "IQ_NET_INTEREST_EXP",Input!J$2,Date,,,Ccy,Conv)</f>
        <v>-199</v>
      </c>
      <c r="I30" s="6">
        <f>_xll.ciqfunctions.udf.CIQ(InputTicker, "IQ_NET_INTEREST_EXP",Input!K$2,Date,,,Ccy,Conv)</f>
        <v>47</v>
      </c>
      <c r="J30" s="6">
        <f>_xll.ciqfunctions.udf.CIQ(InputTicker, "IQ_NET_INTEREST_EXP",Input!L$2,Date,,,Ccy,Conv)</f>
        <v>999</v>
      </c>
      <c r="K30" s="6">
        <f>_xll.ciqfunctions.udf.CIQ(InputTicker, "IQ_NET_INTEREST_EXP",Input!M$2,Date,,,Ccy,Conv)</f>
        <v>174</v>
      </c>
      <c r="L30" s="6">
        <f>_xll.ciqfunctions.udf.CIQ(InputTicker, "IQ_NET_INTEREST_EXP",Input!N$2,Date,,,Ccy,Conv)</f>
        <v>222</v>
      </c>
      <c r="M30" s="6">
        <f>_xll.ciqfunctions.udf.CIQ(InputTicker, "IQ_NET_INTEREST_EXP",Input!O$2,Date,,,Ccy,Conv)</f>
        <v>456</v>
      </c>
      <c r="N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</row>
    <row r="31" spans="1:66" ht="12.75" customHeight="1" x14ac:dyDescent="0.2">
      <c r="A31" s="1" t="s">
        <v>163</v>
      </c>
      <c r="B31" s="4">
        <f>_xll.ciqfunctions.udf.CIQ(InputTicker, "IQ_INC_EQUITY",Input!D$2,Date,,,Ccy,Conv)</f>
        <v>0</v>
      </c>
      <c r="C31" s="4">
        <f>_xll.ciqfunctions.udf.CIQ(InputTicker, "IQ_INC_EQUITY",Input!E$2,Date,,,Ccy,Conv)</f>
        <v>0</v>
      </c>
      <c r="D31" s="4">
        <f>_xll.ciqfunctions.udf.CIQ(InputTicker, "IQ_INC_EQUITY",Input!F$2,Date,,,Ccy,Conv)</f>
        <v>0</v>
      </c>
      <c r="E31" s="4">
        <f>_xll.ciqfunctions.udf.CIQ(InputTicker, "IQ_INC_EQUITY",Input!G$2,Date,,,Ccy,Conv)</f>
        <v>0</v>
      </c>
      <c r="F31" s="4">
        <f>_xll.ciqfunctions.udf.CIQ(InputTicker, "IQ_INC_EQUITY",Input!H$2,Date,,,Ccy,Conv)</f>
        <v>0</v>
      </c>
      <c r="G31" s="4">
        <f>_xll.ciqfunctions.udf.CIQ(InputTicker, "IQ_INC_EQUITY",Input!I$2,Date,,,Ccy,Conv)</f>
        <v>0</v>
      </c>
      <c r="H31" s="4">
        <f>_xll.ciqfunctions.udf.CIQ(InputTicker, "IQ_INC_EQUITY",Input!J$2,Date,,,Ccy,Conv)</f>
        <v>0</v>
      </c>
      <c r="I31" s="4">
        <f>_xll.ciqfunctions.udf.CIQ(InputTicker, "IQ_INC_EQUITY",Input!K$2,Date,,,Ccy,Conv)</f>
        <v>-32</v>
      </c>
      <c r="J31" s="4">
        <f>_xll.ciqfunctions.udf.CIQ(InputTicker, "IQ_INC_EQUITY",Input!L$2,Date,,,Ccy,Conv)</f>
        <v>0</v>
      </c>
      <c r="K31" s="4">
        <f>_xll.ciqfunctions.udf.CIQ(InputTicker, "IQ_INC_EQUITY",Input!M$2,Date,,,Ccy,Conv)</f>
        <v>0</v>
      </c>
      <c r="L31" s="4">
        <f>_xll.ciqfunctions.udf.CIQ(InputTicker, "IQ_INC_EQUITY",Input!N$2,Date,,,Ccy,Conv)</f>
        <v>0</v>
      </c>
      <c r="M31" s="4">
        <f>_xll.ciqfunctions.udf.CIQ(InputTicker, "IQ_INC_EQUITY",Input!O$2,Date,,,Ccy,Conv)</f>
        <v>6988</v>
      </c>
      <c r="N31" s="46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</row>
    <row r="32" spans="1:66" ht="12.75" customHeight="1" x14ac:dyDescent="0.2">
      <c r="A32" s="1" t="s">
        <v>164</v>
      </c>
      <c r="B32" s="4">
        <f>_xll.ciqfunctions.udf.CIQ(InputTicker, "IQ_CURRENCY_GAIN",Input!D$2,Date,,,Ccy,Conv)</f>
        <v>-478</v>
      </c>
      <c r="C32" s="4">
        <f>_xll.ciqfunctions.udf.CIQ(InputTicker, "IQ_CURRENCY_GAIN",Input!E$2,Date,,,Ccy,Conv)</f>
        <v>-497</v>
      </c>
      <c r="D32" s="4">
        <f>_xll.ciqfunctions.udf.CIQ(InputTicker, "IQ_CURRENCY_GAIN",Input!F$2,Date,,,Ccy,Conv)</f>
        <v>-562</v>
      </c>
      <c r="E32" s="4">
        <f>_xll.ciqfunctions.udf.CIQ(InputTicker, "IQ_CURRENCY_GAIN",Input!G$2,Date,,,Ccy,Conv)</f>
        <v>-148</v>
      </c>
      <c r="F32" s="4">
        <f>_xll.ciqfunctions.udf.CIQ(InputTicker, "IQ_CURRENCY_GAIN",Input!H$2,Date,,,Ccy,Conv)</f>
        <v>-11</v>
      </c>
      <c r="G32" s="4">
        <f>_xll.ciqfunctions.udf.CIQ(InputTicker, "IQ_CURRENCY_GAIN",Input!I$2,Date,,,Ccy,Conv)</f>
        <v>-171</v>
      </c>
      <c r="H32" s="4">
        <f>_xll.ciqfunctions.udf.CIQ(InputTicker, "IQ_CURRENCY_GAIN",Input!J$2,Date,,,Ccy,Conv)</f>
        <v>133</v>
      </c>
      <c r="I32" s="4">
        <f>_xll.ciqfunctions.udf.CIQ(InputTicker, "IQ_CURRENCY_GAIN",Input!K$2,Date,,,Ccy,Conv)</f>
        <v>232</v>
      </c>
      <c r="J32" s="4">
        <f>_xll.ciqfunctions.udf.CIQ(InputTicker, "IQ_CURRENCY_GAIN",Input!L$2,Date,,,Ccy,Conv)</f>
        <v>108</v>
      </c>
      <c r="K32" s="4">
        <f>_xll.ciqfunctions.udf.CIQ(InputTicker, "IQ_CURRENCY_GAIN",Input!M$2,Date,,,Ccy,Conv)</f>
        <v>123</v>
      </c>
      <c r="L32" s="4">
        <f>_xll.ciqfunctions.udf.CIQ(InputTicker, "IQ_CURRENCY_GAIN",Input!N$2,Date,,,Ccy,Conv)</f>
        <v>-767</v>
      </c>
      <c r="M32" s="4">
        <f>_xll.ciqfunctions.udf.CIQ(InputTicker, "IQ_CURRENCY_GAIN",Input!O$2,Date,,,Ccy,Conv)</f>
        <v>-1441</v>
      </c>
      <c r="N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</row>
    <row r="33" spans="1:66" ht="12.75" customHeight="1" x14ac:dyDescent="0.2">
      <c r="A33" s="1" t="s">
        <v>127</v>
      </c>
      <c r="B33" s="4">
        <f>_xll.ciqfunctions.udf.CIQ(InputTicker, "IQ_OTHER_NON_OPER_EXP_SUPPL",Input!D$2,Date,,,Ccy,Conv)</f>
        <v>142</v>
      </c>
      <c r="C33" s="4">
        <f>_xll.ciqfunctions.udf.CIQ(InputTicker, "IQ_OTHER_NON_OPER_EXP_SUPPL",Input!E$2,Date,,,Ccy,Conv)</f>
        <v>-239</v>
      </c>
      <c r="D33" s="4">
        <f>_xll.ciqfunctions.udf.CIQ(InputTicker, "IQ_OTHER_NON_OPER_EXP_SUPPL",Input!F$2,Date,,,Ccy,Conv)</f>
        <v>-116</v>
      </c>
      <c r="E33" s="4">
        <f>_xll.ciqfunctions.udf.CIQ(InputTicker, "IQ_OTHER_NON_OPER_EXP_SUPPL",Input!G$2,Date,,,Ccy,Conv)</f>
        <v>-396</v>
      </c>
      <c r="F33" s="4">
        <f>_xll.ciqfunctions.udf.CIQ(InputTicker, "IQ_OTHER_NON_OPER_EXP_SUPPL",Input!H$2,Date,,,Ccy,Conv)</f>
        <v>16</v>
      </c>
      <c r="G33" s="4">
        <f>_xll.ciqfunctions.udf.CIQ(InputTicker, "IQ_OTHER_NON_OPER_EXP_SUPPL",Input!I$2,Date,,,Ccy,Conv)</f>
        <v>127</v>
      </c>
      <c r="H33" s="4">
        <f>_xll.ciqfunctions.udf.CIQ(InputTicker, "IQ_OTHER_NON_OPER_EXP_SUPPL",Input!J$2,Date,,,Ccy,Conv)</f>
        <v>20</v>
      </c>
      <c r="I33" s="4">
        <f>_xll.ciqfunctions.udf.CIQ(InputTicker, "IQ_OTHER_NON_OPER_EXP_SUPPL",Input!K$2,Date,,,Ccy,Conv)</f>
        <v>-388</v>
      </c>
      <c r="J33" s="4">
        <f>_xll.ciqfunctions.udf.CIQ(InputTicker, "IQ_OTHER_NON_OPER_EXP_SUPPL",Input!L$2,Date,,,Ccy,Conv)</f>
        <v>64</v>
      </c>
      <c r="K33" s="4">
        <f>_xll.ciqfunctions.udf.CIQ(InputTicker, "IQ_OTHER_NON_OPER_EXP_SUPPL",Input!M$2,Date,,,Ccy,Conv)</f>
        <v>-329</v>
      </c>
      <c r="L33" s="4">
        <f>_xll.ciqfunctions.udf.CIQ(InputTicker, "IQ_OTHER_NON_OPER_EXP_SUPPL",Input!N$2,Date,,,Ccy,Conv)</f>
        <v>984</v>
      </c>
      <c r="M33" s="4">
        <f>_xll.ciqfunctions.udf.CIQ(InputTicker, "IQ_OTHER_NON_OPER_EXP_SUPPL",Input!O$2,Date,,,Ccy,Conv)</f>
        <v>3178</v>
      </c>
      <c r="N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</row>
    <row r="34" spans="1:66" ht="12.75" customHeight="1" x14ac:dyDescent="0.2">
      <c r="A34" s="5" t="s">
        <v>66</v>
      </c>
      <c r="B34" s="6">
        <f>_xll.ciqfunctions.udf.CIQ(InputTicker, "IQ_EBT_EXCL",Input!D$2,Date,,,Ccy,Conv)</f>
        <v>27821</v>
      </c>
      <c r="C34" s="6">
        <f>_xll.ciqfunctions.udf.CIQ(InputTicker, "IQ_EBT_EXCL",Input!E$2,Date,,,Ccy,Conv)</f>
        <v>26112</v>
      </c>
      <c r="D34" s="6">
        <f>_xll.ciqfunctions.udf.CIQ(InputTicker, "IQ_EBT_EXCL",Input!F$2,Date,,,Ccy,Conv)</f>
        <v>27818</v>
      </c>
      <c r="E34" s="6">
        <f>_xll.ciqfunctions.udf.CIQ(InputTicker, "IQ_EBT_EXCL",Input!G$2,Date,,,Ccy,Conv)</f>
        <v>33995</v>
      </c>
      <c r="F34" s="6">
        <f>_xll.ciqfunctions.udf.CIQ(InputTicker, "IQ_EBT_EXCL",Input!H$2,Date,,,Ccy,Conv)</f>
        <v>43040</v>
      </c>
      <c r="G34" s="6">
        <f>_xll.ciqfunctions.udf.CIQ(InputTicker, "IQ_EBT_EXCL",Input!I$2,Date,,,Ccy,Conv)</f>
        <v>53004</v>
      </c>
      <c r="H34" s="6">
        <f>_xll.ciqfunctions.udf.CIQ(InputTicker, "IQ_EBT_EXCL",Input!J$2,Date,,,Ccy,Conv)</f>
        <v>69870</v>
      </c>
      <c r="I34" s="6">
        <f>_xll.ciqfunctions.udf.CIQ(InputTicker, "IQ_EBT_EXCL",Input!K$2,Date,,,Ccy,Conv)</f>
        <v>83242</v>
      </c>
      <c r="J34" s="6">
        <f>_xll.ciqfunctions.udf.CIQ(InputTicker, "IQ_EBT_EXCL",Input!L$2,Date,,,Ccy,Conv)</f>
        <v>89694</v>
      </c>
      <c r="K34" s="6">
        <f>_xll.ciqfunctions.udf.CIQ(InputTicker, "IQ_EBT_EXCL",Input!M$2,Date,,,Ccy,Conv)</f>
        <v>109401</v>
      </c>
      <c r="L34" s="6">
        <f>_xll.ciqfunctions.udf.CIQ(InputTicker, "IQ_EBT_EXCL",Input!N$2,Date,,,Ccy,Conv)</f>
        <v>128967</v>
      </c>
      <c r="M34" s="6">
        <f>_xll.ciqfunctions.udf.CIQ(InputTicker, "IQ_EBT_EXCL",Input!O$2,Date,,,Ccy,Conv)</f>
        <v>158138</v>
      </c>
      <c r="N34" s="46"/>
      <c r="P34" s="46"/>
      <c r="Q34" s="46"/>
      <c r="R34" s="46"/>
      <c r="T34" s="42"/>
      <c r="U34" s="42"/>
      <c r="V34" s="46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</row>
    <row r="35" spans="1:66" ht="12.75" customHeight="1" x14ac:dyDescent="0.2">
      <c r="A35" s="1" t="s">
        <v>165</v>
      </c>
      <c r="B35" s="4">
        <f>_xll.ciqfunctions.udf.CIQ(InputTicker, "IQ_RESTRUCTURE",Input!D$2,Date,,,Ccy,Conv)</f>
        <v>-2100</v>
      </c>
      <c r="C35" s="4">
        <f>_xll.ciqfunctions.udf.CIQ(InputTicker, "IQ_RESTRUCTURE",Input!E$2,Date,,,Ccy,Conv)</f>
        <v>-480</v>
      </c>
      <c r="D35" s="4">
        <f>_xll.ciqfunctions.udf.CIQ(InputTicker, "IQ_RESTRUCTURE",Input!F$2,Date,,,Ccy,Conv)</f>
        <v>-306</v>
      </c>
      <c r="E35" s="4">
        <f>_xll.ciqfunctions.udf.CIQ(InputTicker, "IQ_RESTRUCTURE",Input!G$2,Date,,,Ccy,Conv)</f>
        <v>0</v>
      </c>
      <c r="F35" s="4">
        <f>_xll.ciqfunctions.udf.CIQ(InputTicker, "IQ_RESTRUCTURE",Input!H$2,Date,,,Ccy,Conv)</f>
        <v>0</v>
      </c>
      <c r="G35" s="4">
        <f>_xll.ciqfunctions.udf.CIQ(InputTicker, "IQ_RESTRUCTURE",Input!I$2,Date,,,Ccy,Conv)</f>
        <v>0</v>
      </c>
      <c r="H35" s="4">
        <f>_xll.ciqfunctions.udf.CIQ(InputTicker, "IQ_RESTRUCTURE",Input!J$2,Date,,,Ccy,Conv)</f>
        <v>0</v>
      </c>
      <c r="I35" s="4">
        <f>_xll.ciqfunctions.udf.CIQ(InputTicker, "IQ_RESTRUCTURE",Input!K$2,Date,,,Ccy,Conv)</f>
        <v>0</v>
      </c>
      <c r="J35" s="4">
        <f>_xll.ciqfunctions.udf.CIQ(InputTicker, "IQ_RESTRUCTURE",Input!L$2,Date,,,Ccy,Conv)</f>
        <v>0</v>
      </c>
      <c r="K35" s="4">
        <f>_xll.ciqfunctions.udf.CIQ(InputTicker, "IQ_RESTRUCTURE",Input!M$2,Date,,,Ccy,Conv)</f>
        <v>0</v>
      </c>
      <c r="L35" s="4">
        <f>_xll.ciqfunctions.udf.CIQ(InputTicker, "IQ_RESTRUCTURE",Input!N$2,Date,,,Ccy,Conv)</f>
        <v>0</v>
      </c>
      <c r="M35" s="4">
        <f>_xll.ciqfunctions.udf.CIQ(InputTicker, "IQ_RESTRUCTURE",Input!O$2,Date,,,Ccy,Conv)</f>
        <v>0</v>
      </c>
      <c r="N35" s="46"/>
      <c r="P35" s="46"/>
      <c r="Q35" s="46"/>
      <c r="R35" s="46"/>
      <c r="T35" s="42"/>
      <c r="U35" s="42"/>
      <c r="V35" s="46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</row>
    <row r="36" spans="1:66" ht="12.75" customHeight="1" x14ac:dyDescent="0.2">
      <c r="A36" s="1" t="s">
        <v>128</v>
      </c>
      <c r="B36" s="4">
        <f>_xll.ciqfunctions.udf.CIQ(InputTicker, "IQ_MERGER",Input!D$2,Date,,,Ccy,Conv)</f>
        <v>-435</v>
      </c>
      <c r="C36" s="4">
        <f>_xll.ciqfunctions.udf.CIQ(InputTicker, "IQ_MERGER",Input!E$2,Date,,,Ccy,Conv)</f>
        <v>0</v>
      </c>
      <c r="D36" s="4">
        <f>_xll.ciqfunctions.udf.CIQ(InputTicker, "IQ_MERGER",Input!F$2,Date,,,Ccy,Conv)</f>
        <v>0</v>
      </c>
      <c r="E36" s="4">
        <f>_xll.ciqfunctions.udf.CIQ(InputTicker, "IQ_MERGER",Input!G$2,Date,,,Ccy,Conv)</f>
        <v>0</v>
      </c>
      <c r="F36" s="4">
        <f>_xll.ciqfunctions.udf.CIQ(InputTicker, "IQ_MERGER",Input!H$2,Date,,,Ccy,Conv)</f>
        <v>0</v>
      </c>
      <c r="G36" s="4">
        <f>_xll.ciqfunctions.udf.CIQ(InputTicker, "IQ_MERGER",Input!I$2,Date,,,Ccy,Conv)</f>
        <v>0</v>
      </c>
      <c r="H36" s="4">
        <f>_xll.ciqfunctions.udf.CIQ(InputTicker, "IQ_MERGER",Input!J$2,Date,,,Ccy,Conv)</f>
        <v>0</v>
      </c>
      <c r="I36" s="4">
        <f>_xll.ciqfunctions.udf.CIQ(InputTicker, "IQ_MERGER",Input!K$2,Date,,,Ccy,Conv)</f>
        <v>0</v>
      </c>
      <c r="J36" s="4">
        <f>_xll.ciqfunctions.udf.CIQ(InputTicker, "IQ_MERGER",Input!L$2,Date,,,Ccy,Conv)</f>
        <v>0</v>
      </c>
      <c r="K36" s="4">
        <f>_xll.ciqfunctions.udf.CIQ(InputTicker, "IQ_MERGER",Input!M$2,Date,,,Ccy,Conv)</f>
        <v>0</v>
      </c>
      <c r="L36" s="4">
        <f>_xll.ciqfunctions.udf.CIQ(InputTicker, "IQ_MERGER",Input!N$2,Date,,,Ccy,Conv)</f>
        <v>0</v>
      </c>
      <c r="M36" s="4">
        <f>_xll.ciqfunctions.udf.CIQ(InputTicker, "IQ_MERGER",Input!O$2,Date,,,Ccy,Conv)</f>
        <v>0</v>
      </c>
      <c r="N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</row>
    <row r="37" spans="1:66" ht="12.75" customHeight="1" x14ac:dyDescent="0.2">
      <c r="A37" s="1" t="s">
        <v>67</v>
      </c>
      <c r="B37" s="4">
        <f>_xll.ciqfunctions.udf.CIQ(InputTicker, "IQ_IMPAIRMENT_GW",Input!D$2,Date,,,Ccy,Conv)</f>
        <v>-5100</v>
      </c>
      <c r="C37" s="4">
        <f>_xll.ciqfunctions.udf.CIQ(InputTicker, "IQ_IMPAIRMENT_GW",Input!E$2,Date,,,Ccy,Conv)</f>
        <v>0</v>
      </c>
      <c r="D37" s="4">
        <f>_xll.ciqfunctions.udf.CIQ(InputTicker, "IQ_IMPAIRMENT_GW",Input!F$2,Date,,,Ccy,Conv)</f>
        <v>0</v>
      </c>
      <c r="E37" s="4">
        <f>_xll.ciqfunctions.udf.CIQ(InputTicker, "IQ_IMPAIRMENT_GW",Input!G$2,Date,,,Ccy,Conv)</f>
        <v>0</v>
      </c>
      <c r="F37" s="4">
        <f>_xll.ciqfunctions.udf.CIQ(InputTicker, "IQ_IMPAIRMENT_GW",Input!H$2,Date,,,Ccy,Conv)</f>
        <v>0</v>
      </c>
      <c r="G37" s="4">
        <f>_xll.ciqfunctions.udf.CIQ(InputTicker, "IQ_IMPAIRMENT_GW",Input!I$2,Date,,,Ccy,Conv)</f>
        <v>0</v>
      </c>
      <c r="H37" s="4">
        <f>_xll.ciqfunctions.udf.CIQ(InputTicker, "IQ_IMPAIRMENT_GW",Input!J$2,Date,,,Ccy,Conv)</f>
        <v>0</v>
      </c>
      <c r="I37" s="4">
        <f>_xll.ciqfunctions.udf.CIQ(InputTicker, "IQ_IMPAIRMENT_GW",Input!K$2,Date,,,Ccy,Conv)</f>
        <v>0</v>
      </c>
      <c r="J37" s="4">
        <f>_xll.ciqfunctions.udf.CIQ(InputTicker, "IQ_IMPAIRMENT_GW",Input!L$2,Date,,,Ccy,Conv)</f>
        <v>0</v>
      </c>
      <c r="K37" s="4">
        <f>_xll.ciqfunctions.udf.CIQ(InputTicker, "IQ_IMPAIRMENT_GW",Input!M$2,Date,,,Ccy,Conv)</f>
        <v>0</v>
      </c>
      <c r="L37" s="4">
        <f>_xll.ciqfunctions.udf.CIQ(InputTicker, "IQ_IMPAIRMENT_GW",Input!N$2,Date,,,Ccy,Conv)</f>
        <v>0</v>
      </c>
      <c r="M37" s="4">
        <f>_xll.ciqfunctions.udf.CIQ(InputTicker, "IQ_IMPAIRMENT_GW",Input!O$2,Date,,,Ccy,Conv)</f>
        <v>0</v>
      </c>
      <c r="N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</row>
    <row r="38" spans="1:66" ht="12.75" customHeight="1" x14ac:dyDescent="0.2">
      <c r="A38" s="1" t="s">
        <v>68</v>
      </c>
      <c r="B38" s="4">
        <f>_xll.ciqfunctions.udf.CIQ(InputTicker, "IQ_GAIN_INVEST",Input!D$2,Date,,,Ccy,Conv)</f>
        <v>697</v>
      </c>
      <c r="C38" s="4">
        <f>_xll.ciqfunctions.udf.CIQ(InputTicker, "IQ_GAIN_INVEST",Input!E$2,Date,,,Ccy,Conv)</f>
        <v>637</v>
      </c>
      <c r="D38" s="4">
        <f>_xll.ciqfunctions.udf.CIQ(InputTicker, "IQ_GAIN_INVEST",Input!F$2,Date,,,Ccy,Conv)</f>
        <v>2389</v>
      </c>
      <c r="E38" s="4">
        <f>_xll.ciqfunctions.udf.CIQ(InputTicker, "IQ_GAIN_INVEST",Input!G$2,Date,,,Ccy,Conv)</f>
        <v>2479</v>
      </c>
      <c r="F38" s="4">
        <f>_xll.ciqfunctions.udf.CIQ(InputTicker, "IQ_GAIN_INVEST",Input!H$2,Date,,,Ccy,Conv)</f>
        <v>648</v>
      </c>
      <c r="G38" s="4">
        <f>_xll.ciqfunctions.udf.CIQ(InputTicker, "IQ_GAIN_INVEST",Input!I$2,Date,,,Ccy,Conv)</f>
        <v>32</v>
      </c>
      <c r="H38" s="4">
        <f>_xll.ciqfunctions.udf.CIQ(InputTicker, "IQ_GAIN_INVEST",Input!J$2,Date,,,Ccy,Conv)</f>
        <v>1232</v>
      </c>
      <c r="I38" s="4">
        <f>_xll.ciqfunctions.udf.CIQ(InputTicker, "IQ_GAIN_INVEST",Input!K$2,Date,,,Ccy,Conv)</f>
        <v>474</v>
      </c>
      <c r="J38" s="4">
        <f>_xll.ciqfunctions.udf.CIQ(InputTicker, "IQ_GAIN_INVEST",Input!L$2,Date,,,Ccy,Conv)</f>
        <v>-383</v>
      </c>
      <c r="K38" s="4">
        <f>_xll.ciqfunctions.udf.CIQ(InputTicker, "IQ_GAIN_INVEST",Input!M$2,Date,,,Ccy,Conv)</f>
        <v>-1614</v>
      </c>
      <c r="L38" s="4">
        <f>_xll.ciqfunctions.udf.CIQ(InputTicker, "IQ_GAIN_INVEST",Input!N$2,Date,,,Ccy,Conv)</f>
        <v>-5340</v>
      </c>
      <c r="M38" s="4">
        <f>_xll.ciqfunctions.udf.CIQ(InputTicker, "IQ_GAIN_INVEST",Input!O$2,Date,,,Ccy,Conv)</f>
        <v>-3635</v>
      </c>
      <c r="N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</row>
    <row r="39" spans="1:66" ht="12.75" customHeight="1" x14ac:dyDescent="0.2">
      <c r="A39" s="1" t="s">
        <v>69</v>
      </c>
      <c r="B39" s="4">
        <f>_xll.ciqfunctions.udf.CIQ(InputTicker, "IQ_GAIN_ASSETS",Input!D$2,Date,,,Ccy,Conv)</f>
        <v>0</v>
      </c>
      <c r="C39" s="4">
        <f>_xll.ciqfunctions.udf.CIQ(InputTicker, "IQ_GAIN_ASSETS",Input!E$2,Date,,,Ccy,Conv)</f>
        <v>0</v>
      </c>
      <c r="D39" s="4">
        <f>_xll.ciqfunctions.udf.CIQ(InputTicker, "IQ_GAIN_ASSETS",Input!F$2,Date,,,Ccy,Conv)</f>
        <v>0</v>
      </c>
      <c r="E39" s="4">
        <f>_xll.ciqfunctions.udf.CIQ(InputTicker, "IQ_GAIN_ASSETS",Input!G$2,Date,,,Ccy,Conv)</f>
        <v>0</v>
      </c>
      <c r="F39" s="4">
        <f>_xll.ciqfunctions.udf.CIQ(InputTicker, "IQ_GAIN_ASSETS",Input!H$2,Date,,,Ccy,Conv)</f>
        <v>0</v>
      </c>
      <c r="G39" s="4">
        <f>_xll.ciqfunctions.udf.CIQ(InputTicker, "IQ_GAIN_ASSETS",Input!I$2,Date,,,Ccy,Conv)</f>
        <v>0</v>
      </c>
      <c r="H39" s="4">
        <f>_xll.ciqfunctions.udf.CIQ(InputTicker, "IQ_GAIN_ASSETS",Input!J$2,Date,,,Ccy,Conv)</f>
        <v>0</v>
      </c>
      <c r="I39" s="4">
        <f>_xll.ciqfunctions.udf.CIQ(InputTicker, "IQ_GAIN_ASSETS",Input!K$2,Date,,,Ccy,Conv)</f>
        <v>0</v>
      </c>
      <c r="J39" s="4">
        <f>_xll.ciqfunctions.udf.CIQ(InputTicker, "IQ_GAIN_ASSETS",Input!L$2,Date,,,Ccy,Conv)</f>
        <v>0</v>
      </c>
      <c r="K39" s="4">
        <f>_xll.ciqfunctions.udf.CIQ(InputTicker, "IQ_GAIN_ASSETS",Input!M$2,Date,,,Ccy,Conv)</f>
        <v>0</v>
      </c>
      <c r="L39" s="4">
        <f>_xll.ciqfunctions.udf.CIQ(InputTicker, "IQ_GAIN_ASSETS",Input!N$2,Date,,,Ccy,Conv)</f>
        <v>0</v>
      </c>
      <c r="M39" s="4">
        <f>_xll.ciqfunctions.udf.CIQ(InputTicker, "IQ_GAIN_ASSETS",Input!O$2,Date,,,Ccy,Conv)</f>
        <v>0</v>
      </c>
      <c r="N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</row>
    <row r="40" spans="1:66" ht="12.75" customHeight="1" x14ac:dyDescent="0.2">
      <c r="A40" s="1" t="s">
        <v>166</v>
      </c>
      <c r="B40" s="4">
        <f>_xll.ciqfunctions.udf.CIQ(InputTicker, "IQ_ASSET_WRITEDOWN",Input!D$2,Date,,,Ccy,Conv)</f>
        <v>-2376</v>
      </c>
      <c r="C40" s="4">
        <f>_xll.ciqfunctions.udf.CIQ(InputTicker, "IQ_ASSET_WRITEDOWN",Input!E$2,Date,,,Ccy,Conv)</f>
        <v>-630</v>
      </c>
      <c r="D40" s="4">
        <f>_xll.ciqfunctions.udf.CIQ(InputTicker, "IQ_ASSET_WRITEDOWN",Input!F$2,Date,,,Ccy,Conv)</f>
        <v>0</v>
      </c>
      <c r="E40" s="4">
        <f>_xll.ciqfunctions.udf.CIQ(InputTicker, "IQ_ASSET_WRITEDOWN",Input!G$2,Date,,,Ccy,Conv)</f>
        <v>0</v>
      </c>
      <c r="F40" s="4">
        <f>_xll.ciqfunctions.udf.CIQ(InputTicker, "IQ_ASSET_WRITEDOWN",Input!H$2,Date,,,Ccy,Conv)</f>
        <v>0</v>
      </c>
      <c r="G40" s="4">
        <f>_xll.ciqfunctions.udf.CIQ(InputTicker, "IQ_ASSET_WRITEDOWN",Input!I$2,Date,,,Ccy,Conv)</f>
        <v>0</v>
      </c>
      <c r="H40" s="4">
        <f>_xll.ciqfunctions.udf.CIQ(InputTicker, "IQ_ASSET_WRITEDOWN",Input!J$2,Date,,,Ccy,Conv)</f>
        <v>0</v>
      </c>
      <c r="I40" s="4">
        <f>_xll.ciqfunctions.udf.CIQ(InputTicker, "IQ_ASSET_WRITEDOWN",Input!K$2,Date,,,Ccy,Conv)</f>
        <v>0</v>
      </c>
      <c r="J40" s="4">
        <f>_xll.ciqfunctions.udf.CIQ(InputTicker, "IQ_ASSET_WRITEDOWN",Input!L$2,Date,,,Ccy,Conv)</f>
        <v>0</v>
      </c>
      <c r="K40" s="4">
        <f>_xll.ciqfunctions.udf.CIQ(InputTicker, "IQ_ASSET_WRITEDOWN",Input!M$2,Date,,,Ccy,Conv)</f>
        <v>0</v>
      </c>
      <c r="L40" s="4">
        <f>_xll.ciqfunctions.udf.CIQ(InputTicker, "IQ_ASSET_WRITEDOWN",Input!N$2,Date,,,Ccy,Conv)</f>
        <v>0</v>
      </c>
      <c r="M40" s="4">
        <f>_xll.ciqfunctions.udf.CIQ(InputTicker, "IQ_ASSET_WRITEDOWN",Input!O$2,Date,,,Ccy,Conv)</f>
        <v>0</v>
      </c>
      <c r="N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</row>
    <row r="41" spans="1:66" ht="12.75" customHeight="1" x14ac:dyDescent="0.2">
      <c r="A41" s="1" t="s">
        <v>278</v>
      </c>
      <c r="B41" s="4">
        <f>_xll.ciqfunctions.udf.CIQ(InputTicker, "IQ_IPRD",Input!D$2,Date,,,Ccy,Conv)</f>
        <v>0</v>
      </c>
      <c r="C41" s="4">
        <f>_xll.ciqfunctions.udf.CIQ(InputTicker, "IQ_IPRD",Input!E$2,Date,,,Ccy,Conv)</f>
        <v>0</v>
      </c>
      <c r="D41" s="4">
        <f>_xll.ciqfunctions.udf.CIQ(InputTicker, "IQ_IPRD",Input!F$2,Date,,,Ccy,Conv)</f>
        <v>0</v>
      </c>
      <c r="E41" s="4">
        <f>_xll.ciqfunctions.udf.CIQ(InputTicker, "IQ_IPRD",Input!G$2,Date,,,Ccy,Conv)</f>
        <v>0</v>
      </c>
      <c r="F41" s="4">
        <f>_xll.ciqfunctions.udf.CIQ(InputTicker, "IQ_IPRD",Input!H$2,Date,,,Ccy,Conv)</f>
        <v>0</v>
      </c>
      <c r="G41" s="4">
        <f>_xll.ciqfunctions.udf.CIQ(InputTicker, "IQ_IPRD",Input!I$2,Date,,,Ccy,Conv)</f>
        <v>0</v>
      </c>
      <c r="H41" s="4">
        <f>_xll.ciqfunctions.udf.CIQ(InputTicker, "IQ_IPRD",Input!J$2,Date,,,Ccy,Conv)</f>
        <v>0</v>
      </c>
      <c r="I41" s="4">
        <f>_xll.ciqfunctions.udf.CIQ(InputTicker, "IQ_IPRD",Input!K$2,Date,,,Ccy,Conv)</f>
        <v>0</v>
      </c>
      <c r="J41" s="4">
        <f>_xll.ciqfunctions.udf.CIQ(InputTicker, "IQ_IPRD",Input!L$2,Date,,,Ccy,Conv)</f>
        <v>0</v>
      </c>
      <c r="K41" s="4">
        <f>_xll.ciqfunctions.udf.CIQ(InputTicker, "IQ_IPRD",Input!M$2,Date,,,Ccy,Conv)</f>
        <v>0</v>
      </c>
      <c r="L41" s="4">
        <f>_xll.ciqfunctions.udf.CIQ(InputTicker, "IQ_IPRD",Input!N$2,Date,,,Ccy,Conv)</f>
        <v>0</v>
      </c>
      <c r="M41" s="4">
        <f>_xll.ciqfunctions.udf.CIQ(InputTicker, "IQ_IPRD",Input!O$2,Date,,,Ccy,Conv)</f>
        <v>0</v>
      </c>
      <c r="N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</row>
    <row r="42" spans="1:66" ht="12.75" customHeight="1" x14ac:dyDescent="0.2">
      <c r="A42" s="1" t="s">
        <v>167</v>
      </c>
      <c r="B42" s="4">
        <f>_xll.ciqfunctions.udf.CIQ(InputTicker, "IQ_INS_SETTLE",Input!D$2,Date,,,Ccy,Conv)</f>
        <v>0</v>
      </c>
      <c r="C42" s="4">
        <f>_xll.ciqfunctions.udf.CIQ(InputTicker, "IQ_INS_SETTLE",Input!E$2,Date,,,Ccy,Conv)</f>
        <v>0</v>
      </c>
      <c r="D42" s="4">
        <f>_xll.ciqfunctions.udf.CIQ(InputTicker, "IQ_INS_SETTLE",Input!F$2,Date,,,Ccy,Conv)</f>
        <v>0</v>
      </c>
      <c r="E42" s="4">
        <f>_xll.ciqfunctions.udf.CIQ(InputTicker, "IQ_INS_SETTLE",Input!G$2,Date,,,Ccy,Conv)</f>
        <v>0</v>
      </c>
      <c r="F42" s="4">
        <f>_xll.ciqfunctions.udf.CIQ(InputTicker, "IQ_INS_SETTLE",Input!H$2,Date,,,Ccy,Conv)</f>
        <v>0</v>
      </c>
      <c r="G42" s="4">
        <f>_xll.ciqfunctions.udf.CIQ(InputTicker, "IQ_INS_SETTLE",Input!I$2,Date,,,Ccy,Conv)</f>
        <v>0</v>
      </c>
      <c r="H42" s="4">
        <f>_xll.ciqfunctions.udf.CIQ(InputTicker, "IQ_INS_SETTLE",Input!J$2,Date,,,Ccy,Conv)</f>
        <v>0</v>
      </c>
      <c r="I42" s="4">
        <f>_xll.ciqfunctions.udf.CIQ(InputTicker, "IQ_INS_SETTLE",Input!K$2,Date,,,Ccy,Conv)</f>
        <v>0</v>
      </c>
      <c r="J42" s="4">
        <f>_xll.ciqfunctions.udf.CIQ(InputTicker, "IQ_INS_SETTLE",Input!L$2,Date,,,Ccy,Conv)</f>
        <v>0</v>
      </c>
      <c r="K42" s="4">
        <f>_xll.ciqfunctions.udf.CIQ(InputTicker, "IQ_INS_SETTLE",Input!M$2,Date,,,Ccy,Conv)</f>
        <v>0</v>
      </c>
      <c r="L42" s="4">
        <f>_xll.ciqfunctions.udf.CIQ(InputTicker, "IQ_INS_SETTLE",Input!N$2,Date,,,Ccy,Conv)</f>
        <v>0</v>
      </c>
      <c r="M42" s="4">
        <f>_xll.ciqfunctions.udf.CIQ(InputTicker, "IQ_INS_SETTLE",Input!O$2,Date,,,Ccy,Conv)</f>
        <v>0</v>
      </c>
      <c r="N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  <c r="BA42" s="42"/>
      <c r="BB42" s="42"/>
      <c r="BC42" s="42"/>
      <c r="BD42" s="42"/>
      <c r="BE42" s="42"/>
      <c r="BF42" s="42"/>
      <c r="BG42" s="42"/>
      <c r="BH42" s="42"/>
      <c r="BI42" s="42"/>
      <c r="BJ42" s="42"/>
      <c r="BK42" s="42"/>
      <c r="BL42" s="42"/>
      <c r="BM42" s="42"/>
      <c r="BN42" s="42"/>
    </row>
    <row r="43" spans="1:66" ht="12.75" customHeight="1" x14ac:dyDescent="0.2">
      <c r="A43" s="1" t="s">
        <v>168</v>
      </c>
      <c r="B43" s="4">
        <f>_xll.ciqfunctions.udf.CIQ(InputTicker, "IQ_LEGAL_SETTLE",Input!D$2,Date,,,Ccy,Conv)</f>
        <v>0</v>
      </c>
      <c r="C43" s="4">
        <f>_xll.ciqfunctions.udf.CIQ(InputTicker, "IQ_LEGAL_SETTLE",Input!E$2,Date,,,Ccy,Conv)</f>
        <v>0</v>
      </c>
      <c r="D43" s="4">
        <f>_xll.ciqfunctions.udf.CIQ(InputTicker, "IQ_LEGAL_SETTLE",Input!F$2,Date,,,Ccy,Conv)</f>
        <v>0</v>
      </c>
      <c r="E43" s="4">
        <f>_xll.ciqfunctions.udf.CIQ(InputTicker, "IQ_LEGAL_SETTLE",Input!G$2,Date,,,Ccy,Conv)</f>
        <v>0</v>
      </c>
      <c r="F43" s="4">
        <f>_xll.ciqfunctions.udf.CIQ(InputTicker, "IQ_LEGAL_SETTLE",Input!H$2,Date,,,Ccy,Conv)</f>
        <v>0</v>
      </c>
      <c r="G43" s="4">
        <f>_xll.ciqfunctions.udf.CIQ(InputTicker, "IQ_LEGAL_SETTLE",Input!I$2,Date,,,Ccy,Conv)</f>
        <v>0</v>
      </c>
      <c r="H43" s="4">
        <f>_xll.ciqfunctions.udf.CIQ(InputTicker, "IQ_LEGAL_SETTLE",Input!J$2,Date,,,Ccy,Conv)</f>
        <v>0</v>
      </c>
      <c r="I43" s="4">
        <f>_xll.ciqfunctions.udf.CIQ(InputTicker, "IQ_LEGAL_SETTLE",Input!K$2,Date,,,Ccy,Conv)</f>
        <v>0</v>
      </c>
      <c r="J43" s="4">
        <f>_xll.ciqfunctions.udf.CIQ(InputTicker, "IQ_LEGAL_SETTLE",Input!L$2,Date,,,Ccy,Conv)</f>
        <v>0</v>
      </c>
      <c r="K43" s="4">
        <f>_xll.ciqfunctions.udf.CIQ(InputTicker, "IQ_LEGAL_SETTLE",Input!M$2,Date,,,Ccy,Conv)</f>
        <v>0</v>
      </c>
      <c r="L43" s="4">
        <f>_xll.ciqfunctions.udf.CIQ(InputTicker, "IQ_LEGAL_SETTLE",Input!N$2,Date,,,Ccy,Conv)</f>
        <v>0</v>
      </c>
      <c r="M43" s="4">
        <f>_xll.ciqfunctions.udf.CIQ(InputTicker, "IQ_LEGAL_SETTLE",Input!O$2,Date,,,Ccy,Conv)</f>
        <v>0</v>
      </c>
      <c r="N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  <c r="BJ43" s="42"/>
      <c r="BK43" s="42"/>
      <c r="BL43" s="42"/>
      <c r="BM43" s="42"/>
      <c r="BN43" s="42"/>
    </row>
    <row r="44" spans="1:66" ht="12.75" customHeight="1" x14ac:dyDescent="0.2">
      <c r="A44" s="1" t="s">
        <v>129</v>
      </c>
      <c r="B44" s="8">
        <f>_xll.ciqfunctions.udf.CIQ(InputTicker, "IQ_OTHER_UNUSUAL_SUPPL",Input!D$2,Date,,,Ccy,Conv)</f>
        <v>0</v>
      </c>
      <c r="C44" s="8">
        <f>_xll.ciqfunctions.udf.CIQ(InputTicker, "IQ_OTHER_UNUSUAL_SUPPL",Input!E$2,Date,,,Ccy,Conv)</f>
        <v>0</v>
      </c>
      <c r="D44" s="8">
        <f>_xll.ciqfunctions.udf.CIQ(InputTicker, "IQ_OTHER_UNUSUAL_SUPPL",Input!F$2,Date,,,Ccy,Conv)</f>
        <v>0</v>
      </c>
      <c r="E44" s="8">
        <f>_xll.ciqfunctions.udf.CIQ(InputTicker, "IQ_OTHER_UNUSUAL_SUPPL",Input!G$2,Date,,,Ccy,Conv)</f>
        <v>0</v>
      </c>
      <c r="F44" s="8">
        <f>_xll.ciqfunctions.udf.CIQ(InputTicker, "IQ_OTHER_UNUSUAL_SUPPL",Input!H$2,Date,,,Ccy,Conv)</f>
        <v>0</v>
      </c>
      <c r="G44" s="8">
        <f>_xll.ciqfunctions.udf.CIQ(InputTicker, "IQ_OTHER_UNUSUAL_SUPPL",Input!I$2,Date,,,Ccy,Conv)</f>
        <v>0</v>
      </c>
      <c r="H44" s="8">
        <f>_xll.ciqfunctions.udf.CIQ(InputTicker, "IQ_OTHER_UNUSUAL_SUPPL",Input!J$2,Date,,,Ccy,Conv)</f>
        <v>0</v>
      </c>
      <c r="I44" s="8">
        <f>_xll.ciqfunctions.udf.CIQ(InputTicker, "IQ_OTHER_UNUSUAL_SUPPL",Input!K$2,Date,,,Ccy,Conv)</f>
        <v>0</v>
      </c>
      <c r="J44" s="8">
        <f>_xll.ciqfunctions.udf.CIQ(InputTicker, "IQ_OTHER_UNUSUAL_SUPPL",Input!L$2,Date,,,Ccy,Conv)</f>
        <v>0</v>
      </c>
      <c r="K44" s="8">
        <f>_xll.ciqfunctions.udf.CIQ(InputTicker, "IQ_OTHER_UNUSUAL_SUPPL",Input!M$2,Date,,,Ccy,Conv)</f>
        <v>0</v>
      </c>
      <c r="L44" s="8">
        <f>_xll.ciqfunctions.udf.CIQ(InputTicker, "IQ_OTHER_UNUSUAL_SUPPL",Input!N$2,Date,,,Ccy,Conv)</f>
        <v>0</v>
      </c>
      <c r="M44" s="8">
        <f>_xll.ciqfunctions.udf.CIQ(InputTicker, "IQ_OTHER_UNUSUAL_SUPPL",Input!O$2,Date,,,Ccy,Conv)</f>
        <v>0</v>
      </c>
      <c r="N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  <c r="BJ44" s="42"/>
      <c r="BK44" s="42"/>
      <c r="BL44" s="42"/>
      <c r="BM44" s="42"/>
      <c r="BN44" s="42"/>
    </row>
    <row r="45" spans="1:66" ht="12.75" customHeight="1" x14ac:dyDescent="0.2">
      <c r="A45" s="5" t="s">
        <v>70</v>
      </c>
      <c r="B45" s="6">
        <f>_xll.ciqfunctions.udf.CIQ(InputTicker, "IQ_EBT",Input!D$2,Date,,,Ccy,Conv)</f>
        <v>18507</v>
      </c>
      <c r="C45" s="6">
        <f>_xll.ciqfunctions.udf.CIQ(InputTicker, "IQ_EBT",Input!E$2,Date,,,Ccy,Conv)</f>
        <v>25639</v>
      </c>
      <c r="D45" s="6">
        <f>_xll.ciqfunctions.udf.CIQ(InputTicker, "IQ_EBT",Input!F$2,Date,,,Ccy,Conv)</f>
        <v>29901</v>
      </c>
      <c r="E45" s="6">
        <f>_xll.ciqfunctions.udf.CIQ(InputTicker, "IQ_EBT",Input!G$2,Date,,,Ccy,Conv)</f>
        <v>36474</v>
      </c>
      <c r="F45" s="6">
        <f>_xll.ciqfunctions.udf.CIQ(InputTicker, "IQ_EBT",Input!H$2,Date,,,Ccy,Conv)</f>
        <v>43688</v>
      </c>
      <c r="G45" s="6">
        <f>_xll.ciqfunctions.udf.CIQ(InputTicker, "IQ_EBT",Input!I$2,Date,,,Ccy,Conv)</f>
        <v>53036</v>
      </c>
      <c r="H45" s="6">
        <f>_xll.ciqfunctions.udf.CIQ(InputTicker, "IQ_EBT",Input!J$2,Date,,,Ccy,Conv)</f>
        <v>71102</v>
      </c>
      <c r="I45" s="6">
        <f>_xll.ciqfunctions.udf.CIQ(InputTicker, "IQ_EBT",Input!K$2,Date,,,Ccy,Conv)</f>
        <v>83716</v>
      </c>
      <c r="J45" s="6">
        <f>_xll.ciqfunctions.udf.CIQ(InputTicker, "IQ_EBT",Input!L$2,Date,,,Ccy,Conv)</f>
        <v>89311</v>
      </c>
      <c r="K45" s="6">
        <f>_xll.ciqfunctions.udf.CIQ(InputTicker, "IQ_EBT",Input!M$2,Date,,,Ccy,Conv)</f>
        <v>107787</v>
      </c>
      <c r="L45" s="6">
        <f>_xll.ciqfunctions.udf.CIQ(InputTicker, "IQ_EBT",Input!N$2,Date,,,Ccy,Conv)</f>
        <v>123627</v>
      </c>
      <c r="M45" s="6">
        <f>_xll.ciqfunctions.udf.CIQ(InputTicker, "IQ_EBT",Input!O$2,Date,,,Ccy,Conv)</f>
        <v>154503</v>
      </c>
      <c r="N45" s="46"/>
      <c r="P45" s="46"/>
      <c r="Q45" s="46"/>
      <c r="R45" s="46"/>
      <c r="T45" s="42"/>
      <c r="U45" s="42"/>
      <c r="V45" s="46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</row>
    <row r="46" spans="1:66" ht="12.75" customHeight="1" x14ac:dyDescent="0.2">
      <c r="A46" s="1" t="s">
        <v>71</v>
      </c>
      <c r="B46" s="4">
        <f>_xll.ciqfunctions.udf.CIQ(InputTicker, "IQ_INC_TAX",Input!D$2,Date,,,Ccy,Conv)</f>
        <v>6314</v>
      </c>
      <c r="C46" s="4">
        <f>_xll.ciqfunctions.udf.CIQ(InputTicker, "IQ_INC_TAX",Input!E$2,Date,,,Ccy,Conv)</f>
        <v>5100</v>
      </c>
      <c r="D46" s="4">
        <f>_xll.ciqfunctions.udf.CIQ(InputTicker, "IQ_INC_TAX",Input!F$2,Date,,,Ccy,Conv)</f>
        <v>4412</v>
      </c>
      <c r="E46" s="4">
        <f>_xll.ciqfunctions.udf.CIQ(InputTicker, "IQ_INC_TAX",Input!G$2,Date,,,Ccy,Conv)</f>
        <v>19903</v>
      </c>
      <c r="F46" s="4">
        <f>_xll.ciqfunctions.udf.CIQ(InputTicker, "IQ_INC_TAX",Input!H$2,Date,,,Ccy,Conv)</f>
        <v>4448</v>
      </c>
      <c r="G46" s="4">
        <f>_xll.ciqfunctions.udf.CIQ(InputTicker, "IQ_INC_TAX",Input!I$2,Date,,,Ccy,Conv)</f>
        <v>8755</v>
      </c>
      <c r="H46" s="4">
        <f>_xll.ciqfunctions.udf.CIQ(InputTicker, "IQ_INC_TAX",Input!J$2,Date,,,Ccy,Conv)</f>
        <v>9831</v>
      </c>
      <c r="I46" s="4">
        <f>_xll.ciqfunctions.udf.CIQ(InputTicker, "IQ_INC_TAX",Input!K$2,Date,,,Ccy,Conv)</f>
        <v>10978</v>
      </c>
      <c r="J46" s="4">
        <f>_xll.ciqfunctions.udf.CIQ(InputTicker, "IQ_INC_TAX",Input!L$2,Date,,,Ccy,Conv)</f>
        <v>16950</v>
      </c>
      <c r="K46" s="4">
        <f>_xll.ciqfunctions.udf.CIQ(InputTicker, "IQ_INC_TAX",Input!M$2,Date,,,Ccy,Conv)</f>
        <v>19651</v>
      </c>
      <c r="L46" s="4">
        <f>_xll.ciqfunctions.udf.CIQ(InputTicker, "IQ_INC_TAX",Input!N$2,Date,,,Ccy,Conv)</f>
        <v>21795</v>
      </c>
      <c r="M46" s="4">
        <f>_xll.ciqfunctions.udf.CIQ(InputTicker, "IQ_INC_TAX",Input!O$2,Date,,,Ccy,Conv)</f>
        <v>29287</v>
      </c>
      <c r="N46" s="46"/>
      <c r="P46" s="46"/>
      <c r="Q46" s="46"/>
      <c r="R46" s="46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</row>
    <row r="47" spans="1:66" ht="12.75" customHeight="1" x14ac:dyDescent="0.2">
      <c r="A47" s="5" t="s">
        <v>72</v>
      </c>
      <c r="B47" s="6">
        <f>_xll.ciqfunctions.udf.CIQ(InputTicker, "IQ_EARNING_CO",Input!D$2,Date,,,Ccy,Conv)</f>
        <v>12193</v>
      </c>
      <c r="C47" s="6">
        <f>_xll.ciqfunctions.udf.CIQ(InputTicker, "IQ_EARNING_CO",Input!E$2,Date,,,Ccy,Conv)</f>
        <v>20539</v>
      </c>
      <c r="D47" s="6">
        <f>_xll.ciqfunctions.udf.CIQ(InputTicker, "IQ_EARNING_CO",Input!F$2,Date,,,Ccy,Conv)</f>
        <v>25489</v>
      </c>
      <c r="E47" s="6">
        <f>_xll.ciqfunctions.udf.CIQ(InputTicker, "IQ_EARNING_CO",Input!G$2,Date,,,Ccy,Conv)</f>
        <v>16571</v>
      </c>
      <c r="F47" s="6">
        <f>_xll.ciqfunctions.udf.CIQ(InputTicker, "IQ_EARNING_CO",Input!H$2,Date,,,Ccy,Conv)</f>
        <v>39240</v>
      </c>
      <c r="G47" s="6">
        <f>_xll.ciqfunctions.udf.CIQ(InputTicker, "IQ_EARNING_CO",Input!I$2,Date,,,Ccy,Conv)</f>
        <v>44281</v>
      </c>
      <c r="H47" s="6">
        <f>_xll.ciqfunctions.udf.CIQ(InputTicker, "IQ_EARNING_CO",Input!J$2,Date,,,Ccy,Conv)</f>
        <v>61271</v>
      </c>
      <c r="I47" s="6">
        <f>_xll.ciqfunctions.udf.CIQ(InputTicker, "IQ_EARNING_CO",Input!K$2,Date,,,Ccy,Conv)</f>
        <v>72738</v>
      </c>
      <c r="J47" s="6">
        <f>_xll.ciqfunctions.udf.CIQ(InputTicker, "IQ_EARNING_CO",Input!L$2,Date,,,Ccy,Conv)</f>
        <v>72361</v>
      </c>
      <c r="K47" s="6">
        <f>_xll.ciqfunctions.udf.CIQ(InputTicker, "IQ_EARNING_CO",Input!M$2,Date,,,Ccy,Conv)</f>
        <v>88136</v>
      </c>
      <c r="L47" s="6">
        <f>_xll.ciqfunctions.udf.CIQ(InputTicker, "IQ_EARNING_CO",Input!N$2,Date,,,Ccy,Conv)</f>
        <v>101832</v>
      </c>
      <c r="M47" s="6">
        <f>_xll.ciqfunctions.udf.CIQ(InputTicker, "IQ_EARNING_CO",Input!O$2,Date,,,Ccy,Conv)</f>
        <v>125216</v>
      </c>
      <c r="N47" s="46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2"/>
      <c r="BJ47" s="42"/>
      <c r="BK47" s="42"/>
      <c r="BL47" s="42"/>
      <c r="BM47" s="42"/>
      <c r="BN47" s="42"/>
    </row>
    <row r="48" spans="1:66" ht="12.75" customHeight="1" x14ac:dyDescent="0.2">
      <c r="A48" s="1" t="s">
        <v>73</v>
      </c>
      <c r="B48" s="4">
        <f>_xll.ciqfunctions.udf.CIQ(InputTicker, "IQ_DO",Input!D$2,Date,,,Ccy,Conv)</f>
        <v>0</v>
      </c>
      <c r="C48" s="4">
        <f>_xll.ciqfunctions.udf.CIQ(InputTicker, "IQ_DO",Input!E$2,Date,,,Ccy,Conv)</f>
        <v>0</v>
      </c>
      <c r="D48" s="4">
        <f>_xll.ciqfunctions.udf.CIQ(InputTicker, "IQ_DO",Input!F$2,Date,,,Ccy,Conv)</f>
        <v>0</v>
      </c>
      <c r="E48" s="4">
        <f>_xll.ciqfunctions.udf.CIQ(InputTicker, "IQ_DO",Input!G$2,Date,,,Ccy,Conv)</f>
        <v>0</v>
      </c>
      <c r="F48" s="4">
        <f>_xll.ciqfunctions.udf.CIQ(InputTicker, "IQ_DO",Input!H$2,Date,,,Ccy,Conv)</f>
        <v>0</v>
      </c>
      <c r="G48" s="4">
        <f>_xll.ciqfunctions.udf.CIQ(InputTicker, "IQ_DO",Input!I$2,Date,,,Ccy,Conv)</f>
        <v>0</v>
      </c>
      <c r="H48" s="4">
        <f>_xll.ciqfunctions.udf.CIQ(InputTicker, "IQ_DO",Input!J$2,Date,,,Ccy,Conv)</f>
        <v>0</v>
      </c>
      <c r="I48" s="4">
        <f>_xll.ciqfunctions.udf.CIQ(InputTicker, "IQ_DO",Input!K$2,Date,,,Ccy,Conv)</f>
        <v>0</v>
      </c>
      <c r="J48" s="4">
        <f>_xll.ciqfunctions.udf.CIQ(InputTicker, "IQ_DO",Input!L$2,Date,,,Ccy,Conv)</f>
        <v>0</v>
      </c>
      <c r="K48" s="4">
        <f>_xll.ciqfunctions.udf.CIQ(InputTicker, "IQ_DO",Input!M$2,Date,,,Ccy,Conv)</f>
        <v>0</v>
      </c>
      <c r="L48" s="4">
        <f>_xll.ciqfunctions.udf.CIQ(InputTicker, "IQ_DO",Input!N$2,Date,,,Ccy,Conv)</f>
        <v>0</v>
      </c>
      <c r="M48" s="4">
        <f>_xll.ciqfunctions.udf.CIQ(InputTicker, "IQ_DO",Input!O$2,Date,,,Ccy,Conv)</f>
        <v>0</v>
      </c>
      <c r="N48" s="46"/>
      <c r="P48" s="46"/>
      <c r="Q48" s="46"/>
      <c r="R48" s="46"/>
      <c r="T48" s="42"/>
      <c r="U48" s="42"/>
      <c r="V48" s="46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</row>
    <row r="49" spans="1:66" ht="12.75" customHeight="1" x14ac:dyDescent="0.2">
      <c r="A49" s="1" t="s">
        <v>74</v>
      </c>
      <c r="B49" s="4">
        <f>_xll.ciqfunctions.udf.CIQ(InputTicker, "IQ_EXTRA_ACC_ITEMS",Input!D$2,Date,,,Ccy,Conv)</f>
        <v>0</v>
      </c>
      <c r="C49" s="4">
        <f>_xll.ciqfunctions.udf.CIQ(InputTicker, "IQ_EXTRA_ACC_ITEMS",Input!E$2,Date,,,Ccy,Conv)</f>
        <v>0</v>
      </c>
      <c r="D49" s="4">
        <f>_xll.ciqfunctions.udf.CIQ(InputTicker, "IQ_EXTRA_ACC_ITEMS",Input!F$2,Date,,,Ccy,Conv)</f>
        <v>0</v>
      </c>
      <c r="E49" s="4">
        <f>_xll.ciqfunctions.udf.CIQ(InputTicker, "IQ_EXTRA_ACC_ITEMS",Input!G$2,Date,,,Ccy,Conv)</f>
        <v>0</v>
      </c>
      <c r="F49" s="4">
        <f>_xll.ciqfunctions.udf.CIQ(InputTicker, "IQ_EXTRA_ACC_ITEMS",Input!H$2,Date,,,Ccy,Conv)</f>
        <v>0</v>
      </c>
      <c r="G49" s="4">
        <f>_xll.ciqfunctions.udf.CIQ(InputTicker, "IQ_EXTRA_ACC_ITEMS",Input!I$2,Date,,,Ccy,Conv)</f>
        <v>0</v>
      </c>
      <c r="H49" s="4">
        <f>_xll.ciqfunctions.udf.CIQ(InputTicker, "IQ_EXTRA_ACC_ITEMS",Input!J$2,Date,,,Ccy,Conv)</f>
        <v>0</v>
      </c>
      <c r="I49" s="4">
        <f>_xll.ciqfunctions.udf.CIQ(InputTicker, "IQ_EXTRA_ACC_ITEMS",Input!K$2,Date,,,Ccy,Conv)</f>
        <v>0</v>
      </c>
      <c r="J49" s="4">
        <f>_xll.ciqfunctions.udf.CIQ(InputTicker, "IQ_EXTRA_ACC_ITEMS",Input!L$2,Date,,,Ccy,Conv)</f>
        <v>0</v>
      </c>
      <c r="K49" s="4">
        <f>_xll.ciqfunctions.udf.CIQ(InputTicker, "IQ_EXTRA_ACC_ITEMS",Input!M$2,Date,,,Ccy,Conv)</f>
        <v>0</v>
      </c>
      <c r="L49" s="4">
        <f>_xll.ciqfunctions.udf.CIQ(InputTicker, "IQ_EXTRA_ACC_ITEMS",Input!N$2,Date,,,Ccy,Conv)</f>
        <v>0</v>
      </c>
      <c r="M49" s="4">
        <f>_xll.ciqfunctions.udf.CIQ(InputTicker, "IQ_EXTRA_ACC_ITEMS",Input!O$2,Date,,,Ccy,Conv)</f>
        <v>0</v>
      </c>
      <c r="N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2"/>
      <c r="BI49" s="42"/>
      <c r="BJ49" s="42"/>
      <c r="BK49" s="42"/>
      <c r="BL49" s="42"/>
      <c r="BM49" s="42"/>
      <c r="BN49" s="42"/>
    </row>
    <row r="50" spans="1:66" ht="12.75" customHeight="1" x14ac:dyDescent="0.2">
      <c r="A50" s="5" t="s">
        <v>21</v>
      </c>
      <c r="B50" s="10">
        <f>_xll.ciqfunctions.udf.CIQ(InputTicker, "IQ_NI_COMPANY",Input!D$2,Date,,,Ccy,Conv)</f>
        <v>12193</v>
      </c>
      <c r="C50" s="10">
        <f>_xll.ciqfunctions.udf.CIQ(InputTicker, "IQ_NI_COMPANY",Input!E$2,Date,,,Ccy,Conv)</f>
        <v>20539</v>
      </c>
      <c r="D50" s="10">
        <f>_xll.ciqfunctions.udf.CIQ(InputTicker, "IQ_NI_COMPANY",Input!F$2,Date,,,Ccy,Conv)</f>
        <v>25489</v>
      </c>
      <c r="E50" s="10">
        <f>_xll.ciqfunctions.udf.CIQ(InputTicker, "IQ_NI_COMPANY",Input!G$2,Date,,,Ccy,Conv)</f>
        <v>16571</v>
      </c>
      <c r="F50" s="10">
        <f>_xll.ciqfunctions.udf.CIQ(InputTicker, "IQ_NI_COMPANY",Input!H$2,Date,,,Ccy,Conv)</f>
        <v>39240</v>
      </c>
      <c r="G50" s="10">
        <f>_xll.ciqfunctions.udf.CIQ(InputTicker, "IQ_NI_COMPANY",Input!I$2,Date,,,Ccy,Conv)</f>
        <v>44281</v>
      </c>
      <c r="H50" s="10">
        <f>_xll.ciqfunctions.udf.CIQ(InputTicker, "IQ_NI_COMPANY",Input!J$2,Date,,,Ccy,Conv)</f>
        <v>61271</v>
      </c>
      <c r="I50" s="10">
        <f>_xll.ciqfunctions.udf.CIQ(InputTicker, "IQ_NI_COMPANY",Input!K$2,Date,,,Ccy,Conv)</f>
        <v>72738</v>
      </c>
      <c r="J50" s="10">
        <f>_xll.ciqfunctions.udf.CIQ(InputTicker, "IQ_NI_COMPANY",Input!L$2,Date,,,Ccy,Conv)</f>
        <v>72361</v>
      </c>
      <c r="K50" s="10">
        <f>_xll.ciqfunctions.udf.CIQ(InputTicker, "IQ_NI_COMPANY",Input!M$2,Date,,,Ccy,Conv)</f>
        <v>88136</v>
      </c>
      <c r="L50" s="10">
        <f>_xll.ciqfunctions.udf.CIQ(InputTicker, "IQ_NI_COMPANY",Input!N$2,Date,,,Ccy,Conv)</f>
        <v>101832</v>
      </c>
      <c r="M50" s="10">
        <f>_xll.ciqfunctions.udf.CIQ(InputTicker, "IQ_NI_COMPANY",Input!O$2,Date,,,Ccy,Conv)</f>
        <v>125216</v>
      </c>
      <c r="N50" s="46"/>
      <c r="P50" s="46"/>
      <c r="Q50" s="46"/>
      <c r="R50" s="46"/>
      <c r="T50" s="42"/>
      <c r="U50" s="42"/>
      <c r="V50" s="46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2"/>
      <c r="BJ50" s="42"/>
      <c r="BK50" s="42"/>
      <c r="BL50" s="42"/>
      <c r="BM50" s="42"/>
      <c r="BN50" s="42"/>
    </row>
    <row r="51" spans="1:66" ht="12.75" customHeight="1" x14ac:dyDescent="0.2">
      <c r="A51" s="1" t="s">
        <v>169</v>
      </c>
      <c r="B51" s="4">
        <f>_xll.ciqfunctions.udf.CIQ(InputTicker, "IQ_MINORITY_INTEREST_IS",Input!D$2,Date,,,Ccy,Conv)</f>
        <v>0</v>
      </c>
      <c r="C51" s="4">
        <f>_xll.ciqfunctions.udf.CIQ(InputTicker, "IQ_MINORITY_INTEREST_IS",Input!E$2,Date,,,Ccy,Conv)</f>
        <v>0</v>
      </c>
      <c r="D51" s="4">
        <f>_xll.ciqfunctions.udf.CIQ(InputTicker, "IQ_MINORITY_INTEREST_IS",Input!F$2,Date,,,Ccy,Conv)</f>
        <v>0</v>
      </c>
      <c r="E51" s="4">
        <f>_xll.ciqfunctions.udf.CIQ(InputTicker, "IQ_MINORITY_INTEREST_IS",Input!G$2,Date,,,Ccy,Conv)</f>
        <v>0</v>
      </c>
      <c r="F51" s="4">
        <f>_xll.ciqfunctions.udf.CIQ(InputTicker, "IQ_MINORITY_INTEREST_IS",Input!H$2,Date,,,Ccy,Conv)</f>
        <v>0</v>
      </c>
      <c r="G51" s="4">
        <f>_xll.ciqfunctions.udf.CIQ(InputTicker, "IQ_MINORITY_INTEREST_IS",Input!I$2,Date,,,Ccy,Conv)</f>
        <v>0</v>
      </c>
      <c r="H51" s="4">
        <f>_xll.ciqfunctions.udf.CIQ(InputTicker, "IQ_MINORITY_INTEREST_IS",Input!J$2,Date,,,Ccy,Conv)</f>
        <v>0</v>
      </c>
      <c r="I51" s="4">
        <f>_xll.ciqfunctions.udf.CIQ(InputTicker, "IQ_MINORITY_INTEREST_IS",Input!K$2,Date,,,Ccy,Conv)</f>
        <v>0</v>
      </c>
      <c r="J51" s="4">
        <f>_xll.ciqfunctions.udf.CIQ(InputTicker, "IQ_MINORITY_INTEREST_IS",Input!L$2,Date,,,Ccy,Conv)</f>
        <v>0</v>
      </c>
      <c r="K51" s="4">
        <f>_xll.ciqfunctions.udf.CIQ(InputTicker, "IQ_MINORITY_INTEREST_IS",Input!M$2,Date,,,Ccy,Conv)</f>
        <v>0</v>
      </c>
      <c r="L51" s="4">
        <f>_xll.ciqfunctions.udf.CIQ(InputTicker, "IQ_MINORITY_INTEREST_IS",Input!N$2,Date,,,Ccy,Conv)</f>
        <v>0</v>
      </c>
      <c r="M51" s="4">
        <f>_xll.ciqfunctions.udf.CIQ(InputTicker, "IQ_MINORITY_INTEREST_IS",Input!O$2,Date,,,Ccy,Conv)</f>
        <v>0</v>
      </c>
      <c r="N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</row>
    <row r="52" spans="1:66" ht="12.75" customHeight="1" thickBot="1" x14ac:dyDescent="0.25">
      <c r="A52" s="5" t="s">
        <v>22</v>
      </c>
      <c r="B52" s="9">
        <f>_xll.ciqfunctions.udf.CIQ(InputTicker, "IQ_NI",Input!D$2,Date,,,Ccy,Conv)</f>
        <v>12193</v>
      </c>
      <c r="C52" s="9">
        <f>_xll.ciqfunctions.udf.CIQ(InputTicker, "IQ_NI",Input!E$2,Date,,,Ccy,Conv)</f>
        <v>20539</v>
      </c>
      <c r="D52" s="9">
        <f>_xll.ciqfunctions.udf.CIQ(InputTicker, "IQ_NI",Input!F$2,Date,,,Ccy,Conv)</f>
        <v>25489</v>
      </c>
      <c r="E52" s="9">
        <f>_xll.ciqfunctions.udf.CIQ(InputTicker, "IQ_NI",Input!G$2,Date,,,Ccy,Conv)</f>
        <v>16571</v>
      </c>
      <c r="F52" s="9">
        <f>_xll.ciqfunctions.udf.CIQ(InputTicker, "IQ_NI",Input!H$2,Date,,,Ccy,Conv)</f>
        <v>39240</v>
      </c>
      <c r="G52" s="9">
        <f>_xll.ciqfunctions.udf.CIQ(InputTicker, "IQ_NI",Input!I$2,Date,,,Ccy,Conv)</f>
        <v>44281</v>
      </c>
      <c r="H52" s="9">
        <f>_xll.ciqfunctions.udf.CIQ(InputTicker, "IQ_NI",Input!J$2,Date,,,Ccy,Conv)</f>
        <v>61271</v>
      </c>
      <c r="I52" s="9">
        <f>_xll.ciqfunctions.udf.CIQ(InputTicker, "IQ_NI",Input!K$2,Date,,,Ccy,Conv)</f>
        <v>72738</v>
      </c>
      <c r="J52" s="9">
        <f>_xll.ciqfunctions.udf.CIQ(InputTicker, "IQ_NI",Input!L$2,Date,,,Ccy,Conv)</f>
        <v>72361</v>
      </c>
      <c r="K52" s="9">
        <f>_xll.ciqfunctions.udf.CIQ(InputTicker, "IQ_NI",Input!M$2,Date,,,Ccy,Conv)</f>
        <v>88136</v>
      </c>
      <c r="L52" s="9">
        <f>_xll.ciqfunctions.udf.CIQ(InputTicker, "IQ_NI",Input!N$2,Date,,,Ccy,Conv)</f>
        <v>101832</v>
      </c>
      <c r="M52" s="9">
        <f>_xll.ciqfunctions.udf.CIQ(InputTicker, "IQ_NI",Input!O$2,Date,,,Ccy,Conv)</f>
        <v>125216</v>
      </c>
      <c r="N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</row>
    <row r="53" spans="1:66" ht="12.75" customHeight="1" thickTop="1" x14ac:dyDescent="0.2">
      <c r="A53" s="1" t="s">
        <v>75</v>
      </c>
      <c r="B53" s="4">
        <f>_xll.ciqfunctions.udf.CIQ(InputTicker, "IQ_PREF_DIV_OTHER",Input!D$2,Date,,,Ccy,Conv)</f>
        <v>0</v>
      </c>
      <c r="C53" s="4">
        <f>_xll.ciqfunctions.udf.CIQ(InputTicker, "IQ_PREF_DIV_OTHER",Input!E$2,Date,,,Ccy,Conv)</f>
        <v>0</v>
      </c>
      <c r="D53" s="4">
        <f>_xll.ciqfunctions.udf.CIQ(InputTicker, "IQ_PREF_DIV_OTHER",Input!F$2,Date,,,Ccy,Conv)</f>
        <v>0</v>
      </c>
      <c r="E53" s="4">
        <f>_xll.ciqfunctions.udf.CIQ(InputTicker, "IQ_PREF_DIV_OTHER",Input!G$2,Date,,,Ccy,Conv)</f>
        <v>0</v>
      </c>
      <c r="F53" s="4">
        <f>_xll.ciqfunctions.udf.CIQ(InputTicker, "IQ_PREF_DIV_OTHER",Input!H$2,Date,,,Ccy,Conv)</f>
        <v>0</v>
      </c>
      <c r="G53" s="4">
        <f>_xll.ciqfunctions.udf.CIQ(InputTicker, "IQ_PREF_DIV_OTHER",Input!I$2,Date,,,Ccy,Conv)</f>
        <v>0</v>
      </c>
      <c r="H53" s="4">
        <f>_xll.ciqfunctions.udf.CIQ(InputTicker, "IQ_PREF_DIV_OTHER",Input!J$2,Date,,,Ccy,Conv)</f>
        <v>0</v>
      </c>
      <c r="I53" s="4">
        <f>_xll.ciqfunctions.udf.CIQ(InputTicker, "IQ_PREF_DIV_OTHER",Input!K$2,Date,,,Ccy,Conv)</f>
        <v>0</v>
      </c>
      <c r="J53" s="4">
        <f>_xll.ciqfunctions.udf.CIQ(InputTicker, "IQ_PREF_DIV_OTHER",Input!L$2,Date,,,Ccy,Conv)</f>
        <v>0</v>
      </c>
      <c r="K53" s="4">
        <f>_xll.ciqfunctions.udf.CIQ(InputTicker, "IQ_PREF_DIV_OTHER",Input!M$2,Date,,,Ccy,Conv)</f>
        <v>0</v>
      </c>
      <c r="L53" s="4">
        <f>_xll.ciqfunctions.udf.CIQ(InputTicker, "IQ_PREF_DIV_OTHER",Input!N$2,Date,,,Ccy,Conv)</f>
        <v>0</v>
      </c>
      <c r="M53" s="4">
        <f>_xll.ciqfunctions.udf.CIQ(InputTicker, "IQ_PREF_DIV_OTHER",Input!O$2,Date,,,Ccy,Conv)</f>
        <v>0</v>
      </c>
      <c r="N53" s="46"/>
      <c r="P53" s="46"/>
      <c r="Q53" s="46"/>
      <c r="R53" s="46"/>
      <c r="T53" s="42"/>
      <c r="U53" s="42"/>
      <c r="V53" s="46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</row>
    <row r="54" spans="1:66" ht="12.75" customHeight="1" x14ac:dyDescent="0.2">
      <c r="A54" s="5" t="s">
        <v>76</v>
      </c>
      <c r="B54" s="7">
        <f>_xll.ciqfunctions.udf.CIQ(InputTicker, "IQ_NI_AVAIL_INCL",Input!D$2,Date,,,Ccy,Conv)</f>
        <v>12193</v>
      </c>
      <c r="C54" s="7">
        <f>_xll.ciqfunctions.udf.CIQ(InputTicker, "IQ_NI_AVAIL_INCL",Input!E$2,Date,,,Ccy,Conv)</f>
        <v>20539</v>
      </c>
      <c r="D54" s="7">
        <f>_xll.ciqfunctions.udf.CIQ(InputTicker, "IQ_NI_AVAIL_INCL",Input!F$2,Date,,,Ccy,Conv)</f>
        <v>25489</v>
      </c>
      <c r="E54" s="7">
        <f>_xll.ciqfunctions.udf.CIQ(InputTicker, "IQ_NI_AVAIL_INCL",Input!G$2,Date,,,Ccy,Conv)</f>
        <v>16571</v>
      </c>
      <c r="F54" s="7">
        <f>_xll.ciqfunctions.udf.CIQ(InputTicker, "IQ_NI_AVAIL_INCL",Input!H$2,Date,,,Ccy,Conv)</f>
        <v>39240</v>
      </c>
      <c r="G54" s="7">
        <f>_xll.ciqfunctions.udf.CIQ(InputTicker, "IQ_NI_AVAIL_INCL",Input!I$2,Date,,,Ccy,Conv)</f>
        <v>44281</v>
      </c>
      <c r="H54" s="7">
        <f>_xll.ciqfunctions.udf.CIQ(InputTicker, "IQ_NI_AVAIL_INCL",Input!J$2,Date,,,Ccy,Conv)</f>
        <v>61271</v>
      </c>
      <c r="I54" s="7">
        <f>_xll.ciqfunctions.udf.CIQ(InputTicker, "IQ_NI_AVAIL_INCL",Input!K$2,Date,,,Ccy,Conv)</f>
        <v>72738</v>
      </c>
      <c r="J54" s="7">
        <f>_xll.ciqfunctions.udf.CIQ(InputTicker, "IQ_NI_AVAIL_INCL",Input!L$2,Date,,,Ccy,Conv)</f>
        <v>72361</v>
      </c>
      <c r="K54" s="7">
        <f>_xll.ciqfunctions.udf.CIQ(InputTicker, "IQ_NI_AVAIL_INCL",Input!M$2,Date,,,Ccy,Conv)</f>
        <v>88136</v>
      </c>
      <c r="L54" s="7">
        <f>_xll.ciqfunctions.udf.CIQ(InputTicker, "IQ_NI_AVAIL_INCL",Input!N$2,Date,,,Ccy,Conv)</f>
        <v>101832</v>
      </c>
      <c r="M54" s="7">
        <f>_xll.ciqfunctions.udf.CIQ(InputTicker, "IQ_NI_AVAIL_INCL",Input!O$2,Date,,,Ccy,Conv)</f>
        <v>125216</v>
      </c>
      <c r="N54" s="46"/>
      <c r="P54" s="46"/>
      <c r="Q54" s="46"/>
      <c r="R54" s="46"/>
      <c r="T54" s="42"/>
      <c r="U54" s="42"/>
      <c r="V54" s="46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42"/>
      <c r="BL54" s="42"/>
      <c r="BM54" s="42"/>
      <c r="BN54" s="42"/>
    </row>
    <row r="55" spans="1:66" ht="12.75" customHeight="1" x14ac:dyDescent="0.2">
      <c r="A55" s="5" t="s">
        <v>77</v>
      </c>
      <c r="B55" s="7">
        <f>_xll.ciqfunctions.udf.CIQ(InputTicker, "IQ_NI_AVAIL_EXCL",Input!D$2,Date,,,Ccy,Conv)</f>
        <v>12193</v>
      </c>
      <c r="C55" s="7">
        <f>_xll.ciqfunctions.udf.CIQ(InputTicker, "IQ_NI_AVAIL_EXCL",Input!E$2,Date,,,Ccy,Conv)</f>
        <v>20539</v>
      </c>
      <c r="D55" s="7">
        <f>_xll.ciqfunctions.udf.CIQ(InputTicker, "IQ_NI_AVAIL_EXCL",Input!F$2,Date,,,Ccy,Conv)</f>
        <v>25489</v>
      </c>
      <c r="E55" s="7">
        <f>_xll.ciqfunctions.udf.CIQ(InputTicker, "IQ_NI_AVAIL_EXCL",Input!G$2,Date,,,Ccy,Conv)</f>
        <v>16571</v>
      </c>
      <c r="F55" s="7">
        <f>_xll.ciqfunctions.udf.CIQ(InputTicker, "IQ_NI_AVAIL_EXCL",Input!H$2,Date,,,Ccy,Conv)</f>
        <v>39240</v>
      </c>
      <c r="G55" s="7">
        <f>_xll.ciqfunctions.udf.CIQ(InputTicker, "IQ_NI_AVAIL_EXCL",Input!I$2,Date,,,Ccy,Conv)</f>
        <v>44281</v>
      </c>
      <c r="H55" s="7">
        <f>_xll.ciqfunctions.udf.CIQ(InputTicker, "IQ_NI_AVAIL_EXCL",Input!J$2,Date,,,Ccy,Conv)</f>
        <v>61271</v>
      </c>
      <c r="I55" s="7">
        <f>_xll.ciqfunctions.udf.CIQ(InputTicker, "IQ_NI_AVAIL_EXCL",Input!K$2,Date,,,Ccy,Conv)</f>
        <v>72738</v>
      </c>
      <c r="J55" s="7">
        <f>_xll.ciqfunctions.udf.CIQ(InputTicker, "IQ_NI_AVAIL_EXCL",Input!L$2,Date,,,Ccy,Conv)</f>
        <v>72361</v>
      </c>
      <c r="K55" s="7">
        <f>_xll.ciqfunctions.udf.CIQ(InputTicker, "IQ_NI_AVAIL_EXCL",Input!M$2,Date,,,Ccy,Conv)</f>
        <v>88136</v>
      </c>
      <c r="L55" s="7">
        <f>_xll.ciqfunctions.udf.CIQ(InputTicker, "IQ_NI_AVAIL_EXCL",Input!N$2,Date,,,Ccy,Conv)</f>
        <v>101832</v>
      </c>
      <c r="M55" s="7">
        <f>_xll.ciqfunctions.udf.CIQ(InputTicker, "IQ_NI_AVAIL_EXCL",Input!O$2,Date,,,Ccy,Conv)</f>
        <v>125216</v>
      </c>
      <c r="N55" s="46"/>
      <c r="P55" s="46"/>
      <c r="Q55" s="46"/>
      <c r="R55" s="46"/>
      <c r="T55" s="42"/>
      <c r="U55" s="42"/>
      <c r="V55" s="46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2"/>
      <c r="BJ55" s="42"/>
      <c r="BK55" s="42"/>
      <c r="BL55" s="42"/>
      <c r="BM55" s="42"/>
      <c r="BN55" s="42"/>
    </row>
    <row r="56" spans="1:66" ht="12.75" customHeight="1" x14ac:dyDescent="0.2">
      <c r="A56" s="1" t="s">
        <v>78</v>
      </c>
      <c r="B56" s="11">
        <f>_xll.ciqfunctions.udf.CIQ(InputTicker, "IQ_BASIC_EPS_INCL",Input!D$2,Date,,,Ccy,Conv)</f>
        <v>1.4911300000000001</v>
      </c>
      <c r="C56" s="11">
        <f>_xll.ciqfunctions.udf.CIQ(InputTicker, "IQ_BASIC_EPS_INCL",Input!E$2,Date,,,Ccy,Conv)</f>
        <v>2.5916700000000001</v>
      </c>
      <c r="D56" s="11">
        <f>_xll.ciqfunctions.udf.CIQ(InputTicker, "IQ_BASIC_EPS_INCL",Input!F$2,Date,,,Ccy,Conv)</f>
        <v>3.2906</v>
      </c>
      <c r="E56" s="11">
        <f>_xll.ciqfunctions.udf.CIQ(InputTicker, "IQ_BASIC_EPS_INCL",Input!G$2,Date,,,Ccy,Conv)</f>
        <v>2.1520800000000002</v>
      </c>
      <c r="F56" s="11">
        <f>_xll.ciqfunctions.udf.CIQ(InputTicker, "IQ_BASIC_EPS_INCL",Input!H$2,Date,,,Ccy,Conv)</f>
        <v>5.1140400000000001</v>
      </c>
      <c r="G56" s="11">
        <f>_xll.ciqfunctions.udf.CIQ(InputTicker, "IQ_BASIC_EPS_INCL",Input!I$2,Date,,,Ccy,Conv)</f>
        <v>5.8187899999999999</v>
      </c>
      <c r="H56" s="11">
        <f>_xll.ciqfunctions.udf.CIQ(InputTicker, "IQ_BASIC_EPS_INCL",Input!J$2,Date,,,Ccy,Conv)</f>
        <v>8.1185899999999993</v>
      </c>
      <c r="I56" s="11">
        <f>_xll.ciqfunctions.udf.CIQ(InputTicker, "IQ_BASIC_EPS_INCL",Input!K$2,Date,,,Ccy,Conv)</f>
        <v>9.7035800000000005</v>
      </c>
      <c r="J56" s="11">
        <f>_xll.ciqfunctions.udf.CIQ(InputTicker, "IQ_BASIC_EPS_INCL",Input!L$2,Date,,,Ccy,Conv)</f>
        <v>9.7180999999999997</v>
      </c>
      <c r="K56" s="11">
        <f>_xll.ciqfunctions.udf.CIQ(InputTicker, "IQ_BASIC_EPS_INCL",Input!M$2,Date,,,Ccy,Conv)</f>
        <v>11.860580000000001</v>
      </c>
      <c r="L56" s="11">
        <f>_xll.ciqfunctions.udf.CIQ(InputTicker, "IQ_BASIC_EPS_INCL",Input!N$2,Date,,,Ccy,Conv)</f>
        <v>13.69999</v>
      </c>
      <c r="M56" s="11">
        <f>_xll.ciqfunctions.udf.CIQ(InputTicker, "IQ_BASIC_EPS_INCL",Input!O$2,Date,,,Ccy,Conv)</f>
        <v>16.85276</v>
      </c>
      <c r="N56" s="47"/>
      <c r="P56" s="48"/>
      <c r="Q56" s="48"/>
      <c r="R56" s="48"/>
      <c r="T56" s="42"/>
      <c r="U56" s="42"/>
      <c r="V56" s="48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</row>
    <row r="57" spans="1:66" ht="12.75" customHeight="1" x14ac:dyDescent="0.2">
      <c r="A57" s="1" t="s">
        <v>79</v>
      </c>
      <c r="B57" s="11">
        <f>_xll.ciqfunctions.udf.CIQ(InputTicker, "IQ_BASIC_EPS_EXCL",Input!D$2,Date,,,Ccy,Conv)</f>
        <v>1.4911300000000001</v>
      </c>
      <c r="C57" s="11">
        <f>_xll.ciqfunctions.udf.CIQ(InputTicker, "IQ_BASIC_EPS_EXCL",Input!E$2,Date,,,Ccy,Conv)</f>
        <v>2.5916700000000001</v>
      </c>
      <c r="D57" s="11">
        <f>_xll.ciqfunctions.udf.CIQ(InputTicker, "IQ_BASIC_EPS_EXCL",Input!F$2,Date,,,Ccy,Conv)</f>
        <v>3.2906</v>
      </c>
      <c r="E57" s="11">
        <f>_xll.ciqfunctions.udf.CIQ(InputTicker, "IQ_BASIC_EPS_EXCL",Input!G$2,Date,,,Ccy,Conv)</f>
        <v>2.1520800000000002</v>
      </c>
      <c r="F57" s="11">
        <f>_xll.ciqfunctions.udf.CIQ(InputTicker, "IQ_BASIC_EPS_EXCL",Input!H$2,Date,,,Ccy,Conv)</f>
        <v>5.1140400000000001</v>
      </c>
      <c r="G57" s="11">
        <f>_xll.ciqfunctions.udf.CIQ(InputTicker, "IQ_BASIC_EPS_EXCL",Input!I$2,Date,,,Ccy,Conv)</f>
        <v>5.8187899999999999</v>
      </c>
      <c r="H57" s="11">
        <f>_xll.ciqfunctions.udf.CIQ(InputTicker, "IQ_BASIC_EPS_EXCL",Input!J$2,Date,,,Ccy,Conv)</f>
        <v>8.1185899999999993</v>
      </c>
      <c r="I57" s="11">
        <f>_xll.ciqfunctions.udf.CIQ(InputTicker, "IQ_BASIC_EPS_EXCL",Input!K$2,Date,,,Ccy,Conv)</f>
        <v>9.7035800000000005</v>
      </c>
      <c r="J57" s="11">
        <f>_xll.ciqfunctions.udf.CIQ(InputTicker, "IQ_BASIC_EPS_EXCL",Input!L$2,Date,,,Ccy,Conv)</f>
        <v>9.7180999999999997</v>
      </c>
      <c r="K57" s="11">
        <f>_xll.ciqfunctions.udf.CIQ(InputTicker, "IQ_BASIC_EPS_EXCL",Input!M$2,Date,,,Ccy,Conv)</f>
        <v>11.860580000000001</v>
      </c>
      <c r="L57" s="11">
        <f>_xll.ciqfunctions.udf.CIQ(InputTicker, "IQ_BASIC_EPS_EXCL",Input!N$2,Date,,,Ccy,Conv)</f>
        <v>13.69999</v>
      </c>
      <c r="M57" s="11">
        <f>_xll.ciqfunctions.udf.CIQ(InputTicker, "IQ_BASIC_EPS_EXCL",Input!O$2,Date,,,Ccy,Conv)</f>
        <v>16.85276</v>
      </c>
      <c r="N57" s="47"/>
      <c r="P57" s="48"/>
      <c r="Q57" s="48"/>
      <c r="R57" s="48"/>
      <c r="T57" s="42"/>
      <c r="U57" s="42"/>
      <c r="V57" s="48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  <c r="BA57" s="42"/>
      <c r="BB57" s="42"/>
      <c r="BC57" s="42"/>
      <c r="BD57" s="42"/>
      <c r="BE57" s="42"/>
      <c r="BF57" s="42"/>
      <c r="BG57" s="42"/>
      <c r="BH57" s="42"/>
      <c r="BI57" s="42"/>
      <c r="BJ57" s="42"/>
      <c r="BK57" s="42"/>
      <c r="BL57" s="42"/>
      <c r="BM57" s="42"/>
      <c r="BN57" s="42"/>
    </row>
    <row r="58" spans="1:66" ht="12.75" customHeight="1" x14ac:dyDescent="0.2">
      <c r="A58" s="1" t="s">
        <v>80</v>
      </c>
      <c r="B58" s="12">
        <f>_xll.ciqfunctions.udf.CIQ(InputTicker, "IQ_BASIC_WEIGHT",Input!D$2,Date)</f>
        <v>8177</v>
      </c>
      <c r="C58" s="12">
        <f>_xll.ciqfunctions.udf.CIQ(InputTicker, "IQ_BASIC_WEIGHT",Input!E$2,Date)</f>
        <v>7925</v>
      </c>
      <c r="D58" s="12">
        <f>_xll.ciqfunctions.udf.CIQ(InputTicker, "IQ_BASIC_WEIGHT",Input!F$2,Date)</f>
        <v>7746</v>
      </c>
      <c r="E58" s="12">
        <f>_xll.ciqfunctions.udf.CIQ(InputTicker, "IQ_BASIC_WEIGHT",Input!G$2,Date)</f>
        <v>7700</v>
      </c>
      <c r="F58" s="12">
        <f>_xll.ciqfunctions.udf.CIQ(InputTicker, "IQ_BASIC_WEIGHT",Input!H$2,Date)</f>
        <v>7673</v>
      </c>
      <c r="G58" s="12">
        <f>_xll.ciqfunctions.udf.CIQ(InputTicker, "IQ_BASIC_WEIGHT",Input!I$2,Date)</f>
        <v>7610</v>
      </c>
      <c r="H58" s="12">
        <f>_xll.ciqfunctions.udf.CIQ(InputTicker, "IQ_BASIC_WEIGHT",Input!J$2,Date)</f>
        <v>7547</v>
      </c>
      <c r="I58" s="12">
        <f>_xll.ciqfunctions.udf.CIQ(InputTicker, "IQ_BASIC_WEIGHT",Input!K$2,Date)</f>
        <v>7496</v>
      </c>
      <c r="J58" s="12">
        <f>_xll.ciqfunctions.udf.CIQ(InputTicker, "IQ_BASIC_WEIGHT",Input!L$2,Date)</f>
        <v>7446</v>
      </c>
      <c r="K58" s="12">
        <f>_xll.ciqfunctions.udf.CIQ(InputTicker, "IQ_BASIC_WEIGHT",Input!M$2,Date)</f>
        <v>7431</v>
      </c>
      <c r="L58" s="12">
        <f>_xll.ciqfunctions.udf.CIQ(InputTicker, "IQ_BASIC_WEIGHT",Input!N$2,Date)</f>
        <v>7433</v>
      </c>
      <c r="M58" s="12">
        <f>_xll.ciqfunctions.udf.CIQ(InputTicker, "IQ_BASIC_WEIGHT",Input!O$2,Date)</f>
        <v>7430</v>
      </c>
      <c r="N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</row>
    <row r="59" spans="1:66" ht="12.75" customHeight="1" x14ac:dyDescent="0.2">
      <c r="A59" s="1" t="s">
        <v>81</v>
      </c>
      <c r="B59" s="11">
        <f>_xll.ciqfunctions.udf.CIQ(InputTicker, "IQ_DILUT_EPS_INCL",Input!D$2,Date,,,Ccy,Conv)</f>
        <v>1.48</v>
      </c>
      <c r="C59" s="11">
        <f>_xll.ciqfunctions.udf.CIQ(InputTicker, "IQ_DILUT_EPS_INCL",Input!E$2,Date,,,Ccy,Conv)</f>
        <v>2.56</v>
      </c>
      <c r="D59" s="11">
        <f>_xll.ciqfunctions.udf.CIQ(InputTicker, "IQ_DILUT_EPS_INCL",Input!F$2,Date,,,Ccy,Conv)</f>
        <v>3.25</v>
      </c>
      <c r="E59" s="11">
        <f>_xll.ciqfunctions.udf.CIQ(InputTicker, "IQ_DILUT_EPS_INCL",Input!G$2,Date,,,Ccy,Conv)</f>
        <v>2.13</v>
      </c>
      <c r="F59" s="11">
        <f>_xll.ciqfunctions.udf.CIQ(InputTicker, "IQ_DILUT_EPS_INCL",Input!H$2,Date,,,Ccy,Conv)</f>
        <v>5.0599999999999996</v>
      </c>
      <c r="G59" s="11">
        <f>_xll.ciqfunctions.udf.CIQ(InputTicker, "IQ_DILUT_EPS_INCL",Input!I$2,Date,,,Ccy,Conv)</f>
        <v>5.76</v>
      </c>
      <c r="H59" s="11">
        <f>_xll.ciqfunctions.udf.CIQ(InputTicker, "IQ_DILUT_EPS_INCL",Input!J$2,Date,,,Ccy,Conv)</f>
        <v>8.0500000000000007</v>
      </c>
      <c r="I59" s="11">
        <f>_xll.ciqfunctions.udf.CIQ(InputTicker, "IQ_DILUT_EPS_INCL",Input!K$2,Date,,,Ccy,Conv)</f>
        <v>9.65</v>
      </c>
      <c r="J59" s="11">
        <f>_xll.ciqfunctions.udf.CIQ(InputTicker, "IQ_DILUT_EPS_INCL",Input!L$2,Date,,,Ccy,Conv)</f>
        <v>9.68</v>
      </c>
      <c r="K59" s="11">
        <f>_xll.ciqfunctions.udf.CIQ(InputTicker, "IQ_DILUT_EPS_INCL",Input!M$2,Date,,,Ccy,Conv)</f>
        <v>11.8</v>
      </c>
      <c r="L59" s="11">
        <f>_xll.ciqfunctions.udf.CIQ(InputTicker, "IQ_DILUT_EPS_INCL",Input!N$2,Date,,,Ccy,Conv)</f>
        <v>13.64</v>
      </c>
      <c r="M59" s="11">
        <f>_xll.ciqfunctions.udf.CIQ(InputTicker, "IQ_DILUT_EPS_INCL",Input!O$2,Date,,,Ccy,Conv)</f>
        <v>16.789760000000001</v>
      </c>
      <c r="N59" s="48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</row>
    <row r="60" spans="1:66" ht="12.75" customHeight="1" x14ac:dyDescent="0.2">
      <c r="A60" s="1" t="s">
        <v>82</v>
      </c>
      <c r="B60" s="11">
        <f>_xll.ciqfunctions.udf.CIQ(InputTicker, "IQ_DILUT_EPS_EXCL",Input!D$2,Date,,,Ccy,Conv)</f>
        <v>1.48</v>
      </c>
      <c r="C60" s="11">
        <f>_xll.ciqfunctions.udf.CIQ(InputTicker, "IQ_DILUT_EPS_EXCL",Input!E$2,Date,,,Ccy,Conv)</f>
        <v>2.56</v>
      </c>
      <c r="D60" s="11">
        <f>_xll.ciqfunctions.udf.CIQ(InputTicker, "IQ_DILUT_EPS_EXCL",Input!F$2,Date,,,Ccy,Conv)</f>
        <v>3.25</v>
      </c>
      <c r="E60" s="11">
        <f>_xll.ciqfunctions.udf.CIQ(InputTicker, "IQ_DILUT_EPS_EXCL",Input!G$2,Date,,,Ccy,Conv)</f>
        <v>2.13</v>
      </c>
      <c r="F60" s="11">
        <f>_xll.ciqfunctions.udf.CIQ(InputTicker, "IQ_DILUT_EPS_EXCL",Input!H$2,Date,,,Ccy,Conv)</f>
        <v>5.0599999999999996</v>
      </c>
      <c r="G60" s="11">
        <f>_xll.ciqfunctions.udf.CIQ(InputTicker, "IQ_DILUT_EPS_EXCL",Input!I$2,Date,,,Ccy,Conv)</f>
        <v>5.76</v>
      </c>
      <c r="H60" s="11">
        <f>_xll.ciqfunctions.udf.CIQ(InputTicker, "IQ_DILUT_EPS_EXCL",Input!J$2,Date,,,Ccy,Conv)</f>
        <v>8.0500000000000007</v>
      </c>
      <c r="I60" s="11">
        <f>_xll.ciqfunctions.udf.CIQ(InputTicker, "IQ_DILUT_EPS_EXCL",Input!K$2,Date,,,Ccy,Conv)</f>
        <v>9.65</v>
      </c>
      <c r="J60" s="11">
        <f>_xll.ciqfunctions.udf.CIQ(InputTicker, "IQ_DILUT_EPS_EXCL",Input!L$2,Date,,,Ccy,Conv)</f>
        <v>9.68</v>
      </c>
      <c r="K60" s="11">
        <f>_xll.ciqfunctions.udf.CIQ(InputTicker, "IQ_DILUT_EPS_EXCL",Input!M$2,Date,,,Ccy,Conv)</f>
        <v>11.8</v>
      </c>
      <c r="L60" s="11">
        <f>_xll.ciqfunctions.udf.CIQ(InputTicker, "IQ_DILUT_EPS_EXCL",Input!N$2,Date,,,Ccy,Conv)</f>
        <v>13.64</v>
      </c>
      <c r="M60" s="11">
        <f>_xll.ciqfunctions.udf.CIQ(InputTicker, "IQ_DILUT_EPS_EXCL",Input!O$2,Date,,,Ccy,Conv)</f>
        <v>16.789760000000001</v>
      </c>
      <c r="N60" s="48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2"/>
      <c r="BJ60" s="42"/>
      <c r="BK60" s="42"/>
      <c r="BL60" s="42"/>
      <c r="BM60" s="42"/>
      <c r="BN60" s="42"/>
    </row>
    <row r="61" spans="1:66" ht="12.75" customHeight="1" x14ac:dyDescent="0.2">
      <c r="A61" s="1" t="s">
        <v>83</v>
      </c>
      <c r="B61" s="12">
        <f>_xll.ciqfunctions.udf.CIQ(InputTicker, "IQ_DILUT_WEIGHT",Input!D$2,Date)</f>
        <v>8254</v>
      </c>
      <c r="C61" s="12">
        <f>_xll.ciqfunctions.udf.CIQ(InputTicker, "IQ_DILUT_WEIGHT",Input!E$2,Date)</f>
        <v>8013</v>
      </c>
      <c r="D61" s="12">
        <f>_xll.ciqfunctions.udf.CIQ(InputTicker, "IQ_DILUT_WEIGHT",Input!F$2,Date)</f>
        <v>7832</v>
      </c>
      <c r="E61" s="12">
        <f>_xll.ciqfunctions.udf.CIQ(InputTicker, "IQ_DILUT_WEIGHT",Input!G$2,Date)</f>
        <v>7794</v>
      </c>
      <c r="F61" s="12">
        <f>_xll.ciqfunctions.udf.CIQ(InputTicker, "IQ_DILUT_WEIGHT",Input!H$2,Date)</f>
        <v>7753</v>
      </c>
      <c r="G61" s="12">
        <f>_xll.ciqfunctions.udf.CIQ(InputTicker, "IQ_DILUT_WEIGHT",Input!I$2,Date)</f>
        <v>7683</v>
      </c>
      <c r="H61" s="12">
        <f>_xll.ciqfunctions.udf.CIQ(InputTicker, "IQ_DILUT_WEIGHT",Input!J$2,Date)</f>
        <v>7608</v>
      </c>
      <c r="I61" s="12">
        <f>_xll.ciqfunctions.udf.CIQ(InputTicker, "IQ_DILUT_WEIGHT",Input!K$2,Date)</f>
        <v>7540</v>
      </c>
      <c r="J61" s="12">
        <f>_xll.ciqfunctions.udf.CIQ(InputTicker, "IQ_DILUT_WEIGHT",Input!L$2,Date)</f>
        <v>7472</v>
      </c>
      <c r="K61" s="12">
        <f>_xll.ciqfunctions.udf.CIQ(InputTicker, "IQ_DILUT_WEIGHT",Input!M$2,Date)</f>
        <v>7469</v>
      </c>
      <c r="L61" s="12">
        <f>_xll.ciqfunctions.udf.CIQ(InputTicker, "IQ_DILUT_WEIGHT",Input!N$2,Date)</f>
        <v>7465</v>
      </c>
      <c r="M61" s="12">
        <f>_xll.ciqfunctions.udf.CIQ(InputTicker, "IQ_DILUT_WEIGHT",Input!O$2,Date)</f>
        <v>7458.25</v>
      </c>
      <c r="N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2"/>
      <c r="BJ61" s="42"/>
      <c r="BK61" s="42"/>
      <c r="BL61" s="42"/>
      <c r="BM61" s="42"/>
      <c r="BN61" s="42"/>
    </row>
    <row r="62" spans="1:66" ht="12.75" customHeight="1" x14ac:dyDescent="0.2">
      <c r="A62" s="1" t="s">
        <v>311</v>
      </c>
      <c r="B62" s="11">
        <f>_xll.ciqfunctions.udf.CIQ(InputTicker, "IQ_EPS_NORM",Input!D$2,Date,,,Ccy,Conv)</f>
        <v>2.1264699999999999</v>
      </c>
      <c r="C62" s="11">
        <f>_xll.ciqfunctions.udf.CIQ(InputTicker, "IQ_EPS_NORM",Input!E$2,Date,,,Ccy,Conv)</f>
        <v>2.05931</v>
      </c>
      <c r="D62" s="11">
        <f>_xll.ciqfunctions.udf.CIQ(InputTicker, "IQ_EPS_NORM",Input!F$2,Date,,,Ccy,Conv)</f>
        <v>2.2445499999999998</v>
      </c>
      <c r="E62" s="11">
        <f>_xll.ciqfunctions.udf.CIQ(InputTicker, "IQ_EPS_NORM",Input!G$2,Date,,,Ccy,Conv)</f>
        <v>2.7593299999999998</v>
      </c>
      <c r="F62" s="11">
        <f>_xll.ciqfunctions.udf.CIQ(InputTicker, "IQ_EPS_NORM",Input!H$2,Date,,,Ccy,Conv)</f>
        <v>3.5057999999999998</v>
      </c>
      <c r="G62" s="11">
        <f>_xll.ciqfunctions.udf.CIQ(InputTicker, "IQ_EPS_NORM",Input!I$2,Date,,,Ccy,Conv)</f>
        <v>4.3531500000000003</v>
      </c>
      <c r="H62" s="11">
        <f>_xll.ciqfunctions.udf.CIQ(InputTicker, "IQ_EPS_NORM",Input!J$2,Date,,,Ccy,Conv)</f>
        <v>5.7862400000000003</v>
      </c>
      <c r="I62" s="11">
        <f>_xll.ciqfunctions.udf.CIQ(InputTicker, "IQ_EPS_NORM",Input!K$2,Date,,,Ccy,Conv)</f>
        <v>6.9405299999999999</v>
      </c>
      <c r="J62" s="11">
        <f>_xll.ciqfunctions.udf.CIQ(InputTicker, "IQ_EPS_NORM",Input!L$2,Date,,,Ccy,Conv)</f>
        <v>7.5287100000000002</v>
      </c>
      <c r="K62" s="11">
        <f>_xll.ciqfunctions.udf.CIQ(InputTicker, "IQ_EPS_NORM",Input!M$2,Date,,,Ccy,Conv)</f>
        <v>9.2013999999999996</v>
      </c>
      <c r="L62" s="11">
        <f>_xll.ciqfunctions.udf.CIQ(InputTicker, "IQ_EPS_NORM",Input!N$2,Date,,,Ccy,Conv)</f>
        <v>10.84412</v>
      </c>
      <c r="M62" s="11">
        <f>_xll.ciqfunctions.udf.CIQ(InputTicker, "IQ_EPS_NORM",Input!O$2,Date,,,Ccy,Conv)</f>
        <v>13.30232</v>
      </c>
      <c r="N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  <c r="BA62" s="42"/>
      <c r="BB62" s="42"/>
      <c r="BC62" s="42"/>
      <c r="BD62" s="42"/>
      <c r="BE62" s="42"/>
      <c r="BF62" s="42"/>
      <c r="BG62" s="42"/>
      <c r="BH62" s="42"/>
      <c r="BI62" s="42"/>
      <c r="BJ62" s="42"/>
      <c r="BK62" s="42"/>
      <c r="BL62" s="42"/>
      <c r="BM62" s="42"/>
      <c r="BN62" s="42"/>
    </row>
    <row r="63" spans="1:66" ht="12.75" customHeight="1" x14ac:dyDescent="0.2">
      <c r="A63" s="1" t="s">
        <v>312</v>
      </c>
      <c r="B63" s="11">
        <f>_xll.ciqfunctions.udf.CIQ(InputTicker, "IQ_DILUT_EPS_NORM",Input!D$2,Date,,,Ccy,Conv)</f>
        <v>2.10663</v>
      </c>
      <c r="C63" s="11">
        <f>_xll.ciqfunctions.udf.CIQ(InputTicker, "IQ_DILUT_EPS_NORM",Input!E$2,Date,,,Ccy,Conv)</f>
        <v>2.0366900000000001</v>
      </c>
      <c r="D63" s="11">
        <f>_xll.ciqfunctions.udf.CIQ(InputTicker, "IQ_DILUT_EPS_NORM",Input!F$2,Date,,,Ccy,Conv)</f>
        <v>2.2199</v>
      </c>
      <c r="E63" s="11">
        <f>_xll.ciqfunctions.udf.CIQ(InputTicker, "IQ_DILUT_EPS_NORM",Input!G$2,Date,,,Ccy,Conv)</f>
        <v>2.7260599999999999</v>
      </c>
      <c r="F63" s="11">
        <f>_xll.ciqfunctions.udf.CIQ(InputTicker, "IQ_DILUT_EPS_NORM",Input!H$2,Date,,,Ccy,Conv)</f>
        <v>3.4696199999999999</v>
      </c>
      <c r="G63" s="11">
        <f>_xll.ciqfunctions.udf.CIQ(InputTicker, "IQ_DILUT_EPS_NORM",Input!I$2,Date,,,Ccy,Conv)</f>
        <v>4.3117900000000002</v>
      </c>
      <c r="H63" s="11">
        <f>_xll.ciqfunctions.udf.CIQ(InputTicker, "IQ_DILUT_EPS_NORM",Input!J$2,Date,,,Ccy,Conv)</f>
        <v>5.7398499999999997</v>
      </c>
      <c r="I63" s="11">
        <f>_xll.ciqfunctions.udf.CIQ(InputTicker, "IQ_DILUT_EPS_NORM",Input!K$2,Date,,,Ccy,Conv)</f>
        <v>6.9000300000000001</v>
      </c>
      <c r="J63" s="11">
        <f>_xll.ciqfunctions.udf.CIQ(InputTicker, "IQ_DILUT_EPS_NORM",Input!L$2,Date,,,Ccy,Conv)</f>
        <v>7.50251</v>
      </c>
      <c r="K63" s="11">
        <f>_xll.ciqfunctions.udf.CIQ(InputTicker, "IQ_DILUT_EPS_NORM",Input!M$2,Date,,,Ccy,Conv)</f>
        <v>9.1545900000000007</v>
      </c>
      <c r="L63" s="11">
        <f>_xll.ciqfunctions.udf.CIQ(InputTicker, "IQ_DILUT_EPS_NORM",Input!N$2,Date,,,Ccy,Conv)</f>
        <v>10.797639999999999</v>
      </c>
      <c r="M63" s="11">
        <f>_xll.ciqfunctions.udf.CIQ(InputTicker, "IQ_DILUT_EPS_NORM",Input!O$2,Date,,,Ccy,Conv)</f>
        <v>13.251939999999999</v>
      </c>
      <c r="N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  <c r="BA63" s="42"/>
      <c r="BB63" s="42"/>
      <c r="BC63" s="42"/>
      <c r="BD63" s="42"/>
      <c r="BE63" s="42"/>
      <c r="BF63" s="42"/>
      <c r="BG63" s="42"/>
      <c r="BH63" s="42"/>
      <c r="BI63" s="42"/>
      <c r="BJ63" s="42"/>
      <c r="BK63" s="42"/>
      <c r="BL63" s="42"/>
      <c r="BM63" s="42"/>
      <c r="BN63" s="42"/>
    </row>
    <row r="64" spans="1:66" ht="12.75" customHeight="1" x14ac:dyDescent="0.2">
      <c r="A64" s="1" t="s">
        <v>391</v>
      </c>
      <c r="B64" s="4">
        <f>_xll.ciqfunctions.udf.CIQ(InputTicker, "IQ_DISTRIBUTABLE_CASH_PER_SHARE_DILUTED",Input!D$2,Date,,,Ccy,Conv)</f>
        <v>0</v>
      </c>
      <c r="C64" s="4">
        <f>_xll.ciqfunctions.udf.CIQ(InputTicker, "IQ_DISTRIBUTABLE_CASH_PER_SHARE_DILUTED",Input!E$2,Date,,,Ccy,Conv)</f>
        <v>0</v>
      </c>
      <c r="D64" s="4">
        <f>_xll.ciqfunctions.udf.CIQ(InputTicker, "IQ_DISTRIBUTABLE_CASH_PER_SHARE_DILUTED",Input!F$2,Date,,,Ccy,Conv)</f>
        <v>0</v>
      </c>
      <c r="E64" s="4">
        <f>_xll.ciqfunctions.udf.CIQ(InputTicker, "IQ_DISTRIBUTABLE_CASH_PER_SHARE_DILUTED",Input!G$2,Date,,,Ccy,Conv)</f>
        <v>0</v>
      </c>
      <c r="F64" s="4">
        <f>_xll.ciqfunctions.udf.CIQ(InputTicker, "IQ_DISTRIBUTABLE_CASH_PER_SHARE_DILUTED",Input!H$2,Date,,,Ccy,Conv)</f>
        <v>0</v>
      </c>
      <c r="G64" s="4">
        <f>_xll.ciqfunctions.udf.CIQ(InputTicker, "IQ_DISTRIBUTABLE_CASH_PER_SHARE_DILUTED",Input!I$2,Date,,,Ccy,Conv)</f>
        <v>0</v>
      </c>
      <c r="H64" s="4">
        <f>_xll.ciqfunctions.udf.CIQ(InputTicker, "IQ_DISTRIBUTABLE_CASH_PER_SHARE_DILUTED",Input!J$2,Date,,,Ccy,Conv)</f>
        <v>0</v>
      </c>
      <c r="I64" s="4">
        <f>_xll.ciqfunctions.udf.CIQ(InputTicker, "IQ_DISTRIBUTABLE_CASH_PER_SHARE_DILUTED",Input!K$2,Date,,,Ccy,Conv)</f>
        <v>0</v>
      </c>
      <c r="J64" s="4">
        <f>_xll.ciqfunctions.udf.CIQ(InputTicker, "IQ_DISTRIBUTABLE_CASH_PER_SHARE_DILUTED",Input!L$2,Date,,,Ccy,Conv)</f>
        <v>0</v>
      </c>
      <c r="K64" s="4">
        <f>_xll.ciqfunctions.udf.CIQ(InputTicker, "IQ_DISTRIBUTABLE_CASH_PER_SHARE_DILUTED",Input!M$2,Date,,,Ccy,Conv)</f>
        <v>0</v>
      </c>
      <c r="L64" s="4">
        <f>_xll.ciqfunctions.udf.CIQ(InputTicker, "IQ_DISTRIBUTABLE_CASH_PER_SHARE_DILUTED",Input!N$2,Date,,,Ccy,Conv)</f>
        <v>0</v>
      </c>
      <c r="M64" s="4">
        <f>_xll.ciqfunctions.udf.CIQ(InputTicker, "IQ_DISTRIBUTABLE_CASH_PER_SHARE_DILUTED",Input!O$2,Date,,,Ccy,Conv)</f>
        <v>0</v>
      </c>
      <c r="N64" s="42"/>
      <c r="P64" s="48"/>
      <c r="Q64" s="48"/>
      <c r="R64" s="48"/>
      <c r="T64" s="42"/>
      <c r="U64" s="42"/>
      <c r="V64" s="48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  <c r="BA64" s="42"/>
      <c r="BB64" s="42"/>
      <c r="BC64" s="42"/>
      <c r="BD64" s="42"/>
      <c r="BE64" s="42"/>
      <c r="BF64" s="42"/>
      <c r="BG64" s="42"/>
      <c r="BH64" s="42"/>
      <c r="BI64" s="42"/>
      <c r="BJ64" s="42"/>
      <c r="BK64" s="42"/>
      <c r="BL64" s="42"/>
      <c r="BM64" s="42"/>
      <c r="BN64" s="42"/>
    </row>
    <row r="65" spans="1:66" ht="12.75" customHeight="1" x14ac:dyDescent="0.2">
      <c r="A65" s="1" t="s">
        <v>389</v>
      </c>
      <c r="B65" s="4">
        <f>_xll.ciqfunctions.udf.CIQ(InputTicker, "IQ_DISTRIBUTABLE_CASH_SHARES_BASIC",Input!D$2,Date)</f>
        <v>0</v>
      </c>
      <c r="C65" s="4">
        <f>_xll.ciqfunctions.udf.CIQ(InputTicker, "IQ_DISTRIBUTABLE_CASH_SHARES_BASIC",Input!E$2,Date)</f>
        <v>0</v>
      </c>
      <c r="D65" s="4">
        <f>_xll.ciqfunctions.udf.CIQ(InputTicker, "IQ_DISTRIBUTABLE_CASH_SHARES_BASIC",Input!F$2,Date)</f>
        <v>0</v>
      </c>
      <c r="E65" s="4">
        <f>_xll.ciqfunctions.udf.CIQ(InputTicker, "IQ_DISTRIBUTABLE_CASH_SHARES_BASIC",Input!G$2,Date)</f>
        <v>0</v>
      </c>
      <c r="F65" s="4">
        <f>_xll.ciqfunctions.udf.CIQ(InputTicker, "IQ_DISTRIBUTABLE_CASH_SHARES_BASIC",Input!H$2,Date)</f>
        <v>0</v>
      </c>
      <c r="G65" s="4">
        <f>_xll.ciqfunctions.udf.CIQ(InputTicker, "IQ_DISTRIBUTABLE_CASH_SHARES_BASIC",Input!I$2,Date)</f>
        <v>0</v>
      </c>
      <c r="H65" s="4">
        <f>_xll.ciqfunctions.udf.CIQ(InputTicker, "IQ_DISTRIBUTABLE_CASH_SHARES_BASIC",Input!J$2,Date)</f>
        <v>0</v>
      </c>
      <c r="I65" s="4">
        <f>_xll.ciqfunctions.udf.CIQ(InputTicker, "IQ_DISTRIBUTABLE_CASH_SHARES_BASIC",Input!K$2,Date)</f>
        <v>0</v>
      </c>
      <c r="J65" s="4">
        <f>_xll.ciqfunctions.udf.CIQ(InputTicker, "IQ_DISTRIBUTABLE_CASH_SHARES_BASIC",Input!L$2,Date)</f>
        <v>0</v>
      </c>
      <c r="K65" s="4">
        <f>_xll.ciqfunctions.udf.CIQ(InputTicker, "IQ_DISTRIBUTABLE_CASH_SHARES_BASIC",Input!M$2,Date)</f>
        <v>0</v>
      </c>
      <c r="L65" s="4">
        <f>_xll.ciqfunctions.udf.CIQ(InputTicker, "IQ_DISTRIBUTABLE_CASH_SHARES_BASIC",Input!N$2,Date)</f>
        <v>0</v>
      </c>
      <c r="M65" s="4">
        <f>_xll.ciqfunctions.udf.CIQ(InputTicker, "IQ_DISTRIBUTABLE_CASH_SHARES_BASIC",Input!O$2,Date)</f>
        <v>0</v>
      </c>
      <c r="N65" s="49"/>
      <c r="P65" s="48"/>
      <c r="Q65" s="48"/>
      <c r="R65" s="48"/>
      <c r="T65" s="42"/>
      <c r="U65" s="42"/>
      <c r="V65" s="48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  <c r="BA65" s="42"/>
      <c r="BB65" s="42"/>
      <c r="BC65" s="42"/>
      <c r="BD65" s="42"/>
      <c r="BE65" s="42"/>
      <c r="BF65" s="42"/>
      <c r="BG65" s="42"/>
      <c r="BH65" s="42"/>
      <c r="BI65" s="42"/>
      <c r="BJ65" s="42"/>
      <c r="BK65" s="42"/>
      <c r="BL65" s="42"/>
      <c r="BM65" s="42"/>
      <c r="BN65" s="42"/>
    </row>
    <row r="66" spans="1:66" ht="12.75" customHeight="1" x14ac:dyDescent="0.2">
      <c r="A66" s="1" t="s">
        <v>390</v>
      </c>
      <c r="B66" s="4">
        <f>_xll.ciqfunctions.udf.CIQ(InputTicker, "IQ_DISTRIBUTABLE_CASH_SHARES_DILUTED",Input!D$2,Date)</f>
        <v>0</v>
      </c>
      <c r="C66" s="4">
        <f>_xll.ciqfunctions.udf.CIQ(InputTicker, "IQ_DISTRIBUTABLE_CASH_SHARES_DILUTED",Input!E$2,Date)</f>
        <v>0</v>
      </c>
      <c r="D66" s="4">
        <f>_xll.ciqfunctions.udf.CIQ(InputTicker, "IQ_DISTRIBUTABLE_CASH_SHARES_DILUTED",Input!F$2,Date)</f>
        <v>0</v>
      </c>
      <c r="E66" s="4">
        <f>_xll.ciqfunctions.udf.CIQ(InputTicker, "IQ_DISTRIBUTABLE_CASH_SHARES_DILUTED",Input!G$2,Date)</f>
        <v>0</v>
      </c>
      <c r="F66" s="4">
        <f>_xll.ciqfunctions.udf.CIQ(InputTicker, "IQ_DISTRIBUTABLE_CASH_SHARES_DILUTED",Input!H$2,Date)</f>
        <v>0</v>
      </c>
      <c r="G66" s="4">
        <f>_xll.ciqfunctions.udf.CIQ(InputTicker, "IQ_DISTRIBUTABLE_CASH_SHARES_DILUTED",Input!I$2,Date)</f>
        <v>0</v>
      </c>
      <c r="H66" s="4">
        <f>_xll.ciqfunctions.udf.CIQ(InputTicker, "IQ_DISTRIBUTABLE_CASH_SHARES_DILUTED",Input!J$2,Date)</f>
        <v>0</v>
      </c>
      <c r="I66" s="4">
        <f>_xll.ciqfunctions.udf.CIQ(InputTicker, "IQ_DISTRIBUTABLE_CASH_SHARES_DILUTED",Input!K$2,Date)</f>
        <v>0</v>
      </c>
      <c r="J66" s="4">
        <f>_xll.ciqfunctions.udf.CIQ(InputTicker, "IQ_DISTRIBUTABLE_CASH_SHARES_DILUTED",Input!L$2,Date)</f>
        <v>0</v>
      </c>
      <c r="K66" s="4">
        <f>_xll.ciqfunctions.udf.CIQ(InputTicker, "IQ_DISTRIBUTABLE_CASH_SHARES_DILUTED",Input!M$2,Date)</f>
        <v>0</v>
      </c>
      <c r="L66" s="4">
        <f>_xll.ciqfunctions.udf.CIQ(InputTicker, "IQ_DISTRIBUTABLE_CASH_SHARES_DILUTED",Input!N$2,Date)</f>
        <v>0</v>
      </c>
      <c r="M66" s="4">
        <f>_xll.ciqfunctions.udf.CIQ(InputTicker, "IQ_DISTRIBUTABLE_CASH_SHARES_DILUTED",Input!O$2,Date)</f>
        <v>0</v>
      </c>
      <c r="N66" s="49"/>
      <c r="P66" s="48"/>
      <c r="Q66" s="48"/>
      <c r="R66" s="48"/>
      <c r="T66" s="42"/>
      <c r="U66" s="42"/>
      <c r="V66" s="48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42"/>
      <c r="BJ66" s="42"/>
      <c r="BK66" s="42"/>
      <c r="BL66" s="42"/>
      <c r="BM66" s="42"/>
      <c r="BN66" s="42"/>
    </row>
    <row r="67" spans="1:66" ht="12.75" customHeight="1" x14ac:dyDescent="0.2">
      <c r="A67" s="1" t="s">
        <v>316</v>
      </c>
      <c r="B67" s="11">
        <f>_xll.ciqfunctions.udf.CIQ(InputTicker, "IQ_DIV_SHARE",Input!D$2,Date,,,Ccy,Conv)</f>
        <v>1.24</v>
      </c>
      <c r="C67" s="11">
        <f>_xll.ciqfunctions.udf.CIQ(InputTicker, "IQ_DIV_SHARE",Input!E$2,Date,,,Ccy,Conv)</f>
        <v>1.44</v>
      </c>
      <c r="D67" s="11">
        <f>_xll.ciqfunctions.udf.CIQ(InputTicker, "IQ_DIV_SHARE",Input!F$2,Date,,,Ccy,Conv)</f>
        <v>1.56</v>
      </c>
      <c r="E67" s="11">
        <f>_xll.ciqfunctions.udf.CIQ(InputTicker, "IQ_DIV_SHARE",Input!G$2,Date,,,Ccy,Conv)</f>
        <v>1.68</v>
      </c>
      <c r="F67" s="11">
        <f>_xll.ciqfunctions.udf.CIQ(InputTicker, "IQ_DIV_SHARE",Input!H$2,Date,,,Ccy,Conv)</f>
        <v>1.84</v>
      </c>
      <c r="G67" s="11">
        <f>_xll.ciqfunctions.udf.CIQ(InputTicker, "IQ_DIV_SHARE",Input!I$2,Date,,,Ccy,Conv)</f>
        <v>2.04</v>
      </c>
      <c r="H67" s="11">
        <f>_xll.ciqfunctions.udf.CIQ(InputTicker, "IQ_DIV_SHARE",Input!J$2,Date,,,Ccy,Conv)</f>
        <v>2.2400000000000002</v>
      </c>
      <c r="I67" s="11">
        <f>_xll.ciqfunctions.udf.CIQ(InputTicker, "IQ_DIV_SHARE",Input!K$2,Date,,,Ccy,Conv)</f>
        <v>2.48</v>
      </c>
      <c r="J67" s="11">
        <f>_xll.ciqfunctions.udf.CIQ(InputTicker, "IQ_DIV_SHARE",Input!L$2,Date,,,Ccy,Conv)</f>
        <v>2.72</v>
      </c>
      <c r="K67" s="11">
        <f>_xll.ciqfunctions.udf.CIQ(InputTicker, "IQ_DIV_SHARE",Input!M$2,Date,,,Ccy,Conv)</f>
        <v>3</v>
      </c>
      <c r="L67" s="11">
        <f>_xll.ciqfunctions.udf.CIQ(InputTicker, "IQ_DIV_SHARE",Input!N$2,Date,,,Ccy,Conv)</f>
        <v>3.32</v>
      </c>
      <c r="M67" s="11">
        <f>_xll.ciqfunctions.udf.CIQ(InputTicker, "IQ_DIV_SHARE",Input!O$2,Date,,,Ccy,Conv)</f>
        <v>3.56</v>
      </c>
      <c r="N67" s="47"/>
      <c r="P67" s="48"/>
      <c r="Q67" s="48"/>
      <c r="R67" s="48"/>
      <c r="T67" s="42"/>
      <c r="U67" s="42"/>
      <c r="V67" s="48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</row>
    <row r="68" spans="1:66" ht="12.75" customHeight="1" x14ac:dyDescent="0.2">
      <c r="A68" s="1" t="s">
        <v>429</v>
      </c>
      <c r="B68" s="4">
        <f>_xll.ciqfunctions.udf.CIQ(InputTicker, "IQ_DR_RATIO_PRIMARY",Input!D$2,Date)</f>
        <v>4.1669999999999999E-2</v>
      </c>
      <c r="C68" s="4">
        <f>_xll.ciqfunctions.udf.CIQ(InputTicker, "IQ_DR_RATIO_PRIMARY",Input!E$2,Date)</f>
        <v>4.1669999999999999E-2</v>
      </c>
      <c r="D68" s="4">
        <f>_xll.ciqfunctions.udf.CIQ(InputTicker, "IQ_DR_RATIO_PRIMARY",Input!F$2,Date)</f>
        <v>4.1669999999999999E-2</v>
      </c>
      <c r="E68" s="4">
        <f>_xll.ciqfunctions.udf.CIQ(InputTicker, "IQ_DR_RATIO_PRIMARY",Input!G$2,Date)</f>
        <v>4.1669999999999999E-2</v>
      </c>
      <c r="F68" s="4">
        <f>_xll.ciqfunctions.udf.CIQ(InputTicker, "IQ_DR_RATIO_PRIMARY",Input!H$2,Date)</f>
        <v>4.1669999999999999E-2</v>
      </c>
      <c r="G68" s="4">
        <f>_xll.ciqfunctions.udf.CIQ(InputTicker, "IQ_DR_RATIO_PRIMARY",Input!I$2,Date)</f>
        <v>4.1669999999999999E-2</v>
      </c>
      <c r="H68" s="4">
        <f>_xll.ciqfunctions.udf.CIQ(InputTicker, "IQ_DR_RATIO_PRIMARY",Input!J$2,Date)</f>
        <v>4.1669999999999999E-2</v>
      </c>
      <c r="I68" s="4">
        <f>_xll.ciqfunctions.udf.CIQ(InputTicker, "IQ_DR_RATIO_PRIMARY",Input!K$2,Date)</f>
        <v>4.1669999999999999E-2</v>
      </c>
      <c r="J68" s="4">
        <f>_xll.ciqfunctions.udf.CIQ(InputTicker, "IQ_DR_RATIO_PRIMARY",Input!L$2,Date)</f>
        <v>4.1669999999999999E-2</v>
      </c>
      <c r="K68" s="4">
        <f>_xll.ciqfunctions.udf.CIQ(InputTicker, "IQ_DR_RATIO_PRIMARY",Input!M$2,Date)</f>
        <v>4.1669999999999999E-2</v>
      </c>
      <c r="L68" s="4">
        <f>_xll.ciqfunctions.udf.CIQ(InputTicker, "IQ_DR_RATIO_PRIMARY",Input!N$2,Date)</f>
        <v>4.1669999999999999E-2</v>
      </c>
      <c r="M68" s="4">
        <f>_xll.ciqfunctions.udf.CIQ(InputTicker, "IQ_DR_RATIO_PRIMARY",Input!O$2,Date)</f>
        <v>4.1669999999999999E-2</v>
      </c>
      <c r="N68" s="48"/>
      <c r="P68" s="48"/>
      <c r="Q68" s="48"/>
      <c r="R68" s="48"/>
      <c r="T68" s="42"/>
      <c r="U68" s="42"/>
      <c r="V68" s="48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  <c r="BA68" s="42"/>
      <c r="BB68" s="42"/>
      <c r="BC68" s="42"/>
      <c r="BD68" s="42"/>
      <c r="BE68" s="42"/>
      <c r="BF68" s="42"/>
      <c r="BG68" s="42"/>
      <c r="BH68" s="42"/>
      <c r="BI68" s="42"/>
      <c r="BJ68" s="42"/>
      <c r="BK68" s="42"/>
      <c r="BL68" s="42"/>
      <c r="BM68" s="42"/>
      <c r="BN68" s="42"/>
    </row>
    <row r="69" spans="1:66" ht="12.75" customHeight="1" x14ac:dyDescent="0.2">
      <c r="A69" s="1" t="s">
        <v>314</v>
      </c>
      <c r="B69" s="11">
        <f>_xll.ciqfunctions.udf.CIQ(InputTicker, "IQ_TOTAL_REV_SHARE",Input!D$2,Date,,,Ccy,Conv)</f>
        <v>11.444290000000001</v>
      </c>
      <c r="C69" s="11">
        <f>_xll.ciqfunctions.udf.CIQ(InputTicker, "IQ_TOTAL_REV_SHARE",Input!E$2,Date,,,Ccy,Conv)</f>
        <v>11.502079999999999</v>
      </c>
      <c r="D69" s="11">
        <f>_xll.ciqfunctions.udf.CIQ(InputTicker, "IQ_TOTAL_REV_SHARE",Input!F$2,Date,,,Ccy,Conv)</f>
        <v>12.46721</v>
      </c>
      <c r="E69" s="11">
        <f>_xll.ciqfunctions.udf.CIQ(InputTicker, "IQ_TOTAL_REV_SHARE",Input!G$2,Date,,,Ccy,Conv)</f>
        <v>14.332470000000001</v>
      </c>
      <c r="F69" s="11">
        <f>_xll.ciqfunctions.udf.CIQ(InputTicker, "IQ_TOTAL_REV_SHARE",Input!H$2,Date,,,Ccy,Conv)</f>
        <v>16.400759999999998</v>
      </c>
      <c r="G69" s="11">
        <f>_xll.ciqfunctions.udf.CIQ(InputTicker, "IQ_TOTAL_REV_SHARE",Input!I$2,Date,,,Ccy,Conv)</f>
        <v>18.793040000000001</v>
      </c>
      <c r="H69" s="11">
        <f>_xll.ciqfunctions.udf.CIQ(InputTicker, "IQ_TOTAL_REV_SHARE",Input!J$2,Date,,,Ccy,Conv)</f>
        <v>22.27216</v>
      </c>
      <c r="I69" s="11">
        <f>_xll.ciqfunctions.udf.CIQ(InputTicker, "IQ_TOTAL_REV_SHARE",Input!K$2,Date,,,Ccy,Conv)</f>
        <v>26.450109999999999</v>
      </c>
      <c r="J69" s="11">
        <f>_xll.ciqfunctions.udf.CIQ(InputTicker, "IQ_TOTAL_REV_SHARE",Input!L$2,Date,,,Ccy,Conv)</f>
        <v>28.460249999999998</v>
      </c>
      <c r="K69" s="11">
        <f>_xll.ciqfunctions.udf.CIQ(InputTicker, "IQ_TOTAL_REV_SHARE",Input!M$2,Date,,,Ccy,Conv)</f>
        <v>32.986409999999999</v>
      </c>
      <c r="L69" s="11">
        <f>_xll.ciqfunctions.udf.CIQ(InputTicker, "IQ_TOTAL_REV_SHARE",Input!N$2,Date,,,Ccy,Conv)</f>
        <v>37.901789999999998</v>
      </c>
      <c r="M69" s="11">
        <f>_xll.ciqfunctions.udf.CIQ(InputTicker, "IQ_TOTAL_REV_SHARE",Input!O$2,Date,,,Ccy,Conv)</f>
        <v>42.836199999999998</v>
      </c>
      <c r="N69" s="48"/>
      <c r="P69" s="48"/>
      <c r="Q69" s="48"/>
      <c r="R69" s="48"/>
      <c r="T69" s="42"/>
      <c r="U69" s="42"/>
      <c r="V69" s="48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  <c r="BA69" s="42"/>
      <c r="BB69" s="42"/>
      <c r="BC69" s="42"/>
      <c r="BD69" s="42"/>
      <c r="BE69" s="42"/>
      <c r="BF69" s="42"/>
      <c r="BG69" s="42"/>
      <c r="BH69" s="42"/>
      <c r="BI69" s="42"/>
      <c r="BJ69" s="42"/>
      <c r="BK69" s="42"/>
      <c r="BL69" s="42"/>
      <c r="BM69" s="42"/>
      <c r="BN69" s="42"/>
    </row>
    <row r="70" spans="1:66" ht="12.75" customHeight="1" x14ac:dyDescent="0.2">
      <c r="A70" s="1" t="s">
        <v>313</v>
      </c>
      <c r="B70" s="11">
        <f>_xll.ciqfunctions.udf.CIQ(InputTicker, "IQ_DISTRIBUTABLE_CASH_SHARE",Input!D$2,Date,,,Ccy,Conv)</f>
        <v>0</v>
      </c>
      <c r="C70" s="11">
        <f>_xll.ciqfunctions.udf.CIQ(InputTicker, "IQ_DISTRIBUTABLE_CASH_SHARE",Input!E$2,Date,,,Ccy,Conv)</f>
        <v>0</v>
      </c>
      <c r="D70" s="11">
        <f>_xll.ciqfunctions.udf.CIQ(InputTicker, "IQ_DISTRIBUTABLE_CASH_SHARE",Input!F$2,Date,,,Ccy,Conv)</f>
        <v>0</v>
      </c>
      <c r="E70" s="11">
        <f>_xll.ciqfunctions.udf.CIQ(InputTicker, "IQ_DISTRIBUTABLE_CASH_SHARE",Input!G$2,Date,,,Ccy,Conv)</f>
        <v>0</v>
      </c>
      <c r="F70" s="11">
        <f>_xll.ciqfunctions.udf.CIQ(InputTicker, "IQ_DISTRIBUTABLE_CASH_SHARE",Input!H$2,Date,,,Ccy,Conv)</f>
        <v>0</v>
      </c>
      <c r="G70" s="11">
        <f>_xll.ciqfunctions.udf.CIQ(InputTicker, "IQ_DISTRIBUTABLE_CASH_SHARE",Input!I$2,Date,,,Ccy,Conv)</f>
        <v>0</v>
      </c>
      <c r="H70" s="11">
        <f>_xll.ciqfunctions.udf.CIQ(InputTicker, "IQ_DISTRIBUTABLE_CASH_SHARE",Input!J$2,Date,,,Ccy,Conv)</f>
        <v>0</v>
      </c>
      <c r="I70" s="11">
        <f>_xll.ciqfunctions.udf.CIQ(InputTicker, "IQ_DISTRIBUTABLE_CASH_SHARE",Input!K$2,Date,,,Ccy,Conv)</f>
        <v>0</v>
      </c>
      <c r="J70" s="11">
        <f>_xll.ciqfunctions.udf.CIQ(InputTicker, "IQ_DISTRIBUTABLE_CASH_SHARE",Input!L$2,Date,,,Ccy,Conv)</f>
        <v>0</v>
      </c>
      <c r="K70" s="11">
        <f>_xll.ciqfunctions.udf.CIQ(InputTicker, "IQ_DISTRIBUTABLE_CASH_SHARE",Input!M$2,Date,,,Ccy,Conv)</f>
        <v>0</v>
      </c>
      <c r="L70" s="11">
        <f>_xll.ciqfunctions.udf.CIQ(InputTicker, "IQ_DISTRIBUTABLE_CASH_SHARE",Input!N$2,Date,,,Ccy,Conv)</f>
        <v>0</v>
      </c>
      <c r="M70" s="11">
        <f>_xll.ciqfunctions.udf.CIQ(InputTicker, "IQ_DISTRIBUTABLE_CASH_SHARE",Input!O$2,Date,,,Ccy,Conv)</f>
        <v>0</v>
      </c>
      <c r="N70" s="48"/>
      <c r="P70" s="48"/>
      <c r="Q70" s="48"/>
      <c r="R70" s="48"/>
      <c r="T70" s="42"/>
      <c r="U70" s="42"/>
      <c r="V70" s="48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  <c r="BA70" s="42"/>
      <c r="BB70" s="42"/>
      <c r="BC70" s="42"/>
      <c r="BD70" s="42"/>
      <c r="BE70" s="42"/>
      <c r="BF70" s="42"/>
      <c r="BG70" s="42"/>
      <c r="BH70" s="42"/>
      <c r="BI70" s="42"/>
      <c r="BJ70" s="42"/>
      <c r="BK70" s="42"/>
      <c r="BL70" s="42"/>
      <c r="BM70" s="42"/>
      <c r="BN70" s="42"/>
    </row>
    <row r="71" spans="1:66" ht="12.75" customHeight="1" x14ac:dyDescent="0.2">
      <c r="A71" s="1" t="s">
        <v>315</v>
      </c>
      <c r="B71" s="11">
        <f>_xll.ciqfunctions.udf.CIQ(InputTicker, "IQ_SPECIAL_DIV_SHARE",Input!D$2,Date,,,Ccy,Conv)</f>
        <v>0</v>
      </c>
      <c r="C71" s="11">
        <f>_xll.ciqfunctions.udf.CIQ(InputTicker, "IQ_SPECIAL_DIV_SHARE",Input!E$2,Date,,,Ccy,Conv)</f>
        <v>0</v>
      </c>
      <c r="D71" s="11">
        <f>_xll.ciqfunctions.udf.CIQ(InputTicker, "IQ_SPECIAL_DIV_SHARE",Input!F$2,Date,,,Ccy,Conv)</f>
        <v>0</v>
      </c>
      <c r="E71" s="11">
        <f>_xll.ciqfunctions.udf.CIQ(InputTicker, "IQ_SPECIAL_DIV_SHARE",Input!G$2,Date,,,Ccy,Conv)</f>
        <v>0</v>
      </c>
      <c r="F71" s="11">
        <f>_xll.ciqfunctions.udf.CIQ(InputTicker, "IQ_SPECIAL_DIV_SHARE",Input!H$2,Date,,,Ccy,Conv)</f>
        <v>0</v>
      </c>
      <c r="G71" s="11">
        <f>_xll.ciqfunctions.udf.CIQ(InputTicker, "IQ_SPECIAL_DIV_SHARE",Input!I$2,Date,,,Ccy,Conv)</f>
        <v>0</v>
      </c>
      <c r="H71" s="11">
        <f>_xll.ciqfunctions.udf.CIQ(InputTicker, "IQ_SPECIAL_DIV_SHARE",Input!J$2,Date,,,Ccy,Conv)</f>
        <v>0</v>
      </c>
      <c r="I71" s="11">
        <f>_xll.ciqfunctions.udf.CIQ(InputTicker, "IQ_SPECIAL_DIV_SHARE",Input!K$2,Date,,,Ccy,Conv)</f>
        <v>0</v>
      </c>
      <c r="J71" s="11">
        <f>_xll.ciqfunctions.udf.CIQ(InputTicker, "IQ_SPECIAL_DIV_SHARE",Input!L$2,Date,,,Ccy,Conv)</f>
        <v>0</v>
      </c>
      <c r="K71" s="11">
        <f>_xll.ciqfunctions.udf.CIQ(InputTicker, "IQ_SPECIAL_DIV_SHARE",Input!M$2,Date,,,Ccy,Conv)</f>
        <v>0</v>
      </c>
      <c r="L71" s="11">
        <f>_xll.ciqfunctions.udf.CIQ(InputTicker, "IQ_SPECIAL_DIV_SHARE",Input!N$2,Date,,,Ccy,Conv)</f>
        <v>0</v>
      </c>
      <c r="M71" s="11">
        <f>_xll.ciqfunctions.udf.CIQ(InputTicker, "IQ_SPECIAL_DIV_SHARE",Input!O$2,Date,,,Ccy,Conv)</f>
        <v>0</v>
      </c>
      <c r="N71" s="48"/>
      <c r="P71" s="48"/>
      <c r="Q71" s="48"/>
      <c r="R71" s="48"/>
      <c r="T71" s="42"/>
      <c r="U71" s="42"/>
      <c r="V71" s="48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  <c r="BA71" s="42"/>
      <c r="BB71" s="42"/>
      <c r="BC71" s="42"/>
      <c r="BD71" s="42"/>
      <c r="BE71" s="42"/>
      <c r="BF71" s="42"/>
      <c r="BG71" s="42"/>
      <c r="BH71" s="42"/>
      <c r="BI71" s="42"/>
      <c r="BJ71" s="42"/>
      <c r="BK71" s="42"/>
      <c r="BL71" s="42"/>
      <c r="BM71" s="42"/>
      <c r="BN71" s="42"/>
    </row>
    <row r="72" spans="1:66" ht="12.75" customHeight="1" x14ac:dyDescent="0.2">
      <c r="A72" s="1" t="s">
        <v>216</v>
      </c>
      <c r="B72" s="13">
        <f>_xll.ciqfunctions.udf.CIQ(InputTicker, "IQ_FILINGDATE_IS",Input!D$2,Date)</f>
        <v>42949</v>
      </c>
      <c r="C72" s="13">
        <f>_xll.ciqfunctions.udf.CIQ(InputTicker, "IQ_FILINGDATE_IS",Input!E$2,Date)</f>
        <v>43315</v>
      </c>
      <c r="D72" s="13">
        <f>_xll.ciqfunctions.udf.CIQ(InputTicker, "IQ_FILINGDATE_IS",Input!F$2,Date)</f>
        <v>43678</v>
      </c>
      <c r="E72" s="13">
        <f>_xll.ciqfunctions.udf.CIQ(InputTicker, "IQ_FILINGDATE_IS",Input!G$2,Date)</f>
        <v>44043</v>
      </c>
      <c r="F72" s="13">
        <f>_xll.ciqfunctions.udf.CIQ(InputTicker, "IQ_FILINGDATE_IS",Input!H$2,Date)</f>
        <v>44406</v>
      </c>
      <c r="G72" s="13">
        <f>_xll.ciqfunctions.udf.CIQ(InputTicker, "IQ_FILINGDATE_IS",Input!I$2,Date)</f>
        <v>44770</v>
      </c>
      <c r="H72" s="13">
        <f>_xll.ciqfunctions.udf.CIQ(InputTicker, "IQ_FILINGDATE_IS",Input!J$2,Date)</f>
        <v>45134</v>
      </c>
      <c r="I72" s="13">
        <f>_xll.ciqfunctions.udf.CIQ(InputTicker, "IQ_FILINGDATE_IS",Input!K$2,Date)</f>
        <v>45503</v>
      </c>
      <c r="J72" s="13">
        <f>_xll.ciqfunctions.udf.CIQ(InputTicker, "IQ_FILINGDATE_IS",Input!L$2,Date)</f>
        <v>45868</v>
      </c>
      <c r="K72" s="13">
        <f>_xll.ciqfunctions.udf.CIQ(InputTicker, "IQ_FILINGDATE_IS",Input!M$2,Date)</f>
        <v>45868</v>
      </c>
      <c r="L72" s="13">
        <f>_xll.ciqfunctions.udf.CIQ(InputTicker, "IQ_FILINGDATE_IS",Input!N$2,Date)</f>
        <v>45868</v>
      </c>
      <c r="M72" s="13">
        <f>_xll.ciqfunctions.udf.CIQ(InputTicker, "IQ_FILINGDATE_IS",Input!O$2,Date)</f>
        <v>46141</v>
      </c>
      <c r="N72" s="42"/>
      <c r="P72" s="46"/>
      <c r="Q72" s="46"/>
      <c r="R72" s="46"/>
      <c r="T72" s="42"/>
      <c r="U72" s="42"/>
      <c r="V72" s="46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  <c r="BA72" s="42"/>
      <c r="BB72" s="42"/>
      <c r="BC72" s="42"/>
      <c r="BD72" s="42"/>
      <c r="BE72" s="42"/>
      <c r="BF72" s="42"/>
      <c r="BG72" s="42"/>
      <c r="BH72" s="42"/>
      <c r="BI72" s="42"/>
      <c r="BJ72" s="42"/>
      <c r="BK72" s="42"/>
      <c r="BL72" s="42"/>
      <c r="BM72" s="42"/>
      <c r="BN72" s="42"/>
    </row>
    <row r="73" spans="1:66" ht="12.75" customHeight="1" x14ac:dyDescent="0.2">
      <c r="A73" s="1" t="s">
        <v>317</v>
      </c>
      <c r="B73" s="18">
        <f>_xll.ciqfunctions.udf.CIQ(InputTicker,"IQ_PERIODLENGTH_IS",Input!D$2,Date)</f>
        <v>12</v>
      </c>
      <c r="C73" s="18">
        <f>_xll.ciqfunctions.udf.CIQ(InputTicker,"IQ_PERIODLENGTH_IS",Input!E$2,Date)</f>
        <v>12</v>
      </c>
      <c r="D73" s="18">
        <f>_xll.ciqfunctions.udf.CIQ(InputTicker,"IQ_PERIODLENGTH_IS",Input!F$2,Date)</f>
        <v>12</v>
      </c>
      <c r="E73" s="18">
        <f>_xll.ciqfunctions.udf.CIQ(InputTicker,"IQ_PERIODLENGTH_IS",Input!G$2,Date)</f>
        <v>12</v>
      </c>
      <c r="F73" s="18">
        <f>_xll.ciqfunctions.udf.CIQ(InputTicker,"IQ_PERIODLENGTH_IS",Input!H$2,Date)</f>
        <v>12</v>
      </c>
      <c r="G73" s="18">
        <f>_xll.ciqfunctions.udf.CIQ(InputTicker,"IQ_PERIODLENGTH_IS",Input!I$2,Date)</f>
        <v>12</v>
      </c>
      <c r="H73" s="18">
        <f>_xll.ciqfunctions.udf.CIQ(InputTicker,"IQ_PERIODLENGTH_IS",Input!J$2,Date)</f>
        <v>12</v>
      </c>
      <c r="I73" s="18">
        <f>_xll.ciqfunctions.udf.CIQ(InputTicker,"IQ_PERIODLENGTH_IS",Input!K$2,Date)</f>
        <v>12</v>
      </c>
      <c r="J73" s="18">
        <f>_xll.ciqfunctions.udf.CIQ(InputTicker,"IQ_PERIODLENGTH_IS",Input!L$2,Date)</f>
        <v>12</v>
      </c>
      <c r="K73" s="18">
        <f>_xll.ciqfunctions.udf.CIQ(InputTicker,"IQ_PERIODLENGTH_IS",Input!M$2,Date)</f>
        <v>12</v>
      </c>
      <c r="L73" s="18">
        <f>_xll.ciqfunctions.udf.CIQ(InputTicker,"IQ_PERIODLENGTH_IS",Input!N$2,Date)</f>
        <v>12</v>
      </c>
      <c r="M73" s="18">
        <f>_xll.ciqfunctions.udf.CIQ(InputTicker,"IQ_PERIODLENGTH_IS",Input!O$2,Date)</f>
        <v>12</v>
      </c>
      <c r="N73" s="42"/>
      <c r="P73" s="46"/>
      <c r="Q73" s="46"/>
      <c r="R73" s="46"/>
      <c r="T73" s="42"/>
      <c r="U73" s="42"/>
      <c r="V73" s="46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  <c r="BA73" s="42"/>
      <c r="BB73" s="42"/>
      <c r="BC73" s="42"/>
      <c r="BD73" s="42"/>
      <c r="BE73" s="42"/>
      <c r="BF73" s="42"/>
      <c r="BG73" s="42"/>
      <c r="BH73" s="42"/>
      <c r="BI73" s="42"/>
      <c r="BJ73" s="42"/>
      <c r="BK73" s="42"/>
      <c r="BL73" s="42"/>
      <c r="BM73" s="42"/>
      <c r="BN73" s="42"/>
    </row>
    <row r="74" spans="1:66" ht="12.75" customHeight="1" x14ac:dyDescent="0.2">
      <c r="A74" s="1" t="s">
        <v>84</v>
      </c>
      <c r="B74" s="4">
        <f>_xll.ciqfunctions.udf.CIQ(InputTicker,"IQ_EBITDA",Input!D$2,Date,,,Ccy,Conv)</f>
        <v>33572</v>
      </c>
      <c r="C74" s="4">
        <f>_xll.ciqfunctions.udf.CIQ(InputTicker,"IQ_EBITDA",Input!E$2,Date,,,Ccy,Conv)</f>
        <v>33066</v>
      </c>
      <c r="D74" s="4">
        <f>_xll.ciqfunctions.udf.CIQ(InputTicker,"IQ_EBITDA",Input!F$2,Date,,,Ccy,Conv)</f>
        <v>37131</v>
      </c>
      <c r="E74" s="4">
        <f>_xll.ciqfunctions.udf.CIQ(InputTicker,"IQ_EBITDA",Input!G$2,Date,,,Ccy,Conv)</f>
        <v>44958</v>
      </c>
      <c r="F74" s="4">
        <f>_xll.ciqfunctions.udf.CIQ(InputTicker,"IQ_EBITDA",Input!H$2,Date,,,Ccy,Conv)</f>
        <v>54559</v>
      </c>
      <c r="G74" s="4">
        <f>_xll.ciqfunctions.udf.CIQ(InputTicker,"IQ_EBITDA",Input!I$2,Date,,,Ccy,Conv)</f>
        <v>65259</v>
      </c>
      <c r="H74" s="4">
        <f>_xll.ciqfunctions.udf.CIQ(InputTicker,"IQ_EBITDA",Input!J$2,Date,,,Ccy,Conv)</f>
        <v>80816</v>
      </c>
      <c r="I74" s="4">
        <f>_xll.ciqfunctions.udf.CIQ(InputTicker,"IQ_EBITDA",Input!K$2,Date,,,Ccy,Conv)</f>
        <v>97983</v>
      </c>
      <c r="J74" s="4">
        <f>_xll.ciqfunctions.udf.CIQ(InputTicker,"IQ_EBITDA",Input!L$2,Date,,,Ccy,Conv)</f>
        <v>102023</v>
      </c>
      <c r="K74" s="4">
        <f>_xll.ciqfunctions.udf.CIQ(InputTicker,"IQ_EBITDA",Input!M$2,Date,,,Ccy,Conv)</f>
        <v>129433</v>
      </c>
      <c r="L74" s="4">
        <f>_xll.ciqfunctions.udf.CIQ(InputTicker,"IQ_EBITDA",Input!N$2,Date,,,Ccy,Conv)</f>
        <v>156528</v>
      </c>
      <c r="M74" s="4">
        <f>_xll.ciqfunctions.udf.CIQ(InputTicker,"IQ_EBITDA",Input!O$2,Date,,,Ccy,Conv)</f>
        <v>184457</v>
      </c>
      <c r="N74" s="42"/>
      <c r="P74" s="46"/>
      <c r="Q74" s="46"/>
      <c r="R74" s="46"/>
      <c r="T74" s="42"/>
      <c r="U74" s="42"/>
      <c r="V74" s="46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  <c r="BA74" s="42"/>
      <c r="BB74" s="42"/>
      <c r="BC74" s="42"/>
      <c r="BD74" s="42"/>
      <c r="BE74" s="42"/>
      <c r="BF74" s="42"/>
      <c r="BG74" s="42"/>
      <c r="BH74" s="42"/>
      <c r="BI74" s="42"/>
      <c r="BJ74" s="42"/>
      <c r="BK74" s="42"/>
      <c r="BL74" s="42"/>
      <c r="BM74" s="42"/>
      <c r="BN74" s="42"/>
    </row>
    <row r="75" spans="1:66" ht="12.75" customHeight="1" x14ac:dyDescent="0.2">
      <c r="A75" s="1" t="s">
        <v>286</v>
      </c>
      <c r="B75" s="4">
        <f>_xll.ciqfunctions.udf.CIQ(InputTicker,"IQ_EBITDA_EQ_INC",Input!D$2,Date,,,Ccy,Conv)</f>
        <v>33572</v>
      </c>
      <c r="C75" s="4">
        <f>_xll.ciqfunctions.udf.CIQ(InputTicker,"IQ_EBITDA_EQ_INC",Input!E$2,Date,,,Ccy,Conv)</f>
        <v>33066</v>
      </c>
      <c r="D75" s="4">
        <f>_xll.ciqfunctions.udf.CIQ(InputTicker,"IQ_EBITDA_EQ_INC",Input!F$2,Date,,,Ccy,Conv)</f>
        <v>38543</v>
      </c>
      <c r="E75" s="4">
        <f>_xll.ciqfunctions.udf.CIQ(InputTicker,"IQ_EBITDA_EQ_INC",Input!G$2,Date,,,Ccy,Conv)</f>
        <v>46543</v>
      </c>
      <c r="F75" s="4">
        <f>_xll.ciqfunctions.udf.CIQ(InputTicker,"IQ_EBITDA_EQ_INC",Input!H$2,Date,,,Ccy,Conv)</f>
        <v>56266</v>
      </c>
      <c r="G75" s="4">
        <f>_xll.ciqfunctions.udf.CIQ(InputTicker,"IQ_EBITDA_EQ_INC",Input!I$2,Date,,,Ccy,Conv)</f>
        <v>67302</v>
      </c>
      <c r="H75" s="4">
        <f>_xll.ciqfunctions.udf.CIQ(InputTicker,"IQ_EBITDA_EQ_INC",Input!J$2,Date,,,Ccy,Conv)</f>
        <v>82943</v>
      </c>
      <c r="I75" s="4">
        <f>_xll.ciqfunctions.udf.CIQ(InputTicker,"IQ_EBITDA_EQ_INC",Input!K$2,Date,,,Ccy,Conv)</f>
        <v>100412</v>
      </c>
      <c r="J75" s="4">
        <f>_xll.ciqfunctions.udf.CIQ(InputTicker,"IQ_EBITDA_EQ_INC",Input!L$2,Date,,,Ccy,Conv)</f>
        <v>104898</v>
      </c>
      <c r="K75" s="4">
        <f>_xll.ciqfunctions.udf.CIQ(InputTicker,"IQ_EBITDA_EQ_INC",Input!M$2,Date,,,Ccy,Conv)</f>
        <v>132988</v>
      </c>
      <c r="L75" s="4">
        <f>_xll.ciqfunctions.udf.CIQ(InputTicker,"IQ_EBITDA_EQ_INC",Input!N$2,Date,,,Ccy,Conv)</f>
        <v>162052</v>
      </c>
      <c r="M75" s="4">
        <f>_xll.ciqfunctions.udf.CIQ(InputTicker,"IQ_EBITDA_EQ_INC",Input!O$2,Date,,,Ccy,Conv)</f>
        <v>198212</v>
      </c>
      <c r="N75" s="50"/>
      <c r="P75" s="46"/>
      <c r="Q75" s="46"/>
      <c r="R75" s="46"/>
      <c r="T75" s="42"/>
      <c r="U75" s="42"/>
      <c r="V75" s="46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  <c r="BA75" s="42"/>
      <c r="BB75" s="42"/>
      <c r="BC75" s="42"/>
      <c r="BD75" s="42"/>
      <c r="BE75" s="42"/>
      <c r="BF75" s="42"/>
      <c r="BG75" s="42"/>
      <c r="BH75" s="42"/>
      <c r="BI75" s="42"/>
      <c r="BJ75" s="42"/>
      <c r="BK75" s="42"/>
      <c r="BL75" s="42"/>
      <c r="BM75" s="42"/>
      <c r="BN75" s="42"/>
    </row>
    <row r="76" spans="1:66" ht="12.75" customHeight="1" x14ac:dyDescent="0.2">
      <c r="A76" s="1" t="s">
        <v>287</v>
      </c>
      <c r="B76" s="4">
        <f>_xll.ciqfunctions.udf.CIQ(InputTicker,"IQ_EBITDA_EQ_INC_EXCL_SBC",Input!D$2,Date,,,Ccy,Conv)</f>
        <v>36146</v>
      </c>
      <c r="C76" s="4">
        <f>_xll.ciqfunctions.udf.CIQ(InputTicker,"IQ_EBITDA_EQ_INC_EXCL_SBC",Input!E$2,Date,,,Ccy,Conv)</f>
        <v>35734</v>
      </c>
      <c r="D76" s="4">
        <f>_xll.ciqfunctions.udf.CIQ(InputTicker,"IQ_EBITDA_EQ_INC_EXCL_SBC",Input!F$2,Date,,,Ccy,Conv)</f>
        <v>40397</v>
      </c>
      <c r="E76" s="4">
        <f>_xll.ciqfunctions.udf.CIQ(InputTicker,"IQ_EBITDA_EQ_INC_EXCL_SBC",Input!G$2,Date,,,Ccy,Conv)</f>
        <v>48898</v>
      </c>
      <c r="F76" s="4">
        <f>_xll.ciqfunctions.udf.CIQ(InputTicker,"IQ_EBITDA_EQ_INC_EXCL_SBC",Input!H$2,Date,,,Ccy,Conv)</f>
        <v>59211</v>
      </c>
      <c r="G76" s="4">
        <f>_xll.ciqfunctions.udf.CIQ(InputTicker,"IQ_EBITDA_EQ_INC_EXCL_SBC",Input!I$2,Date,,,Ccy,Conv)</f>
        <v>70548</v>
      </c>
      <c r="H76" s="4">
        <f>_xll.ciqfunctions.udf.CIQ(InputTicker,"IQ_EBITDA_EQ_INC_EXCL_SBC",Input!J$2,Date,,,Ccy,Conv)</f>
        <v>86934</v>
      </c>
      <c r="I76" s="4">
        <f>_xll.ciqfunctions.udf.CIQ(InputTicker,"IQ_EBITDA_EQ_INC_EXCL_SBC",Input!K$2,Date,,,Ccy,Conv)</f>
        <v>105453</v>
      </c>
      <c r="J76" s="4">
        <f>_xll.ciqfunctions.udf.CIQ(InputTicker,"IQ_EBITDA_EQ_INC_EXCL_SBC",Input!L$2,Date,,,Ccy,Conv)</f>
        <v>111634</v>
      </c>
      <c r="K76" s="4">
        <f>_xll.ciqfunctions.udf.CIQ(InputTicker,"IQ_EBITDA_EQ_INC_EXCL_SBC",Input!M$2,Date,,,Ccy,Conv)</f>
        <v>140167</v>
      </c>
      <c r="L76" s="4">
        <f>_xll.ciqfunctions.udf.CIQ(InputTicker,"IQ_EBITDA_EQ_INC_EXCL_SBC",Input!N$2,Date,,,Ccy,Conv)</f>
        <v>168502</v>
      </c>
      <c r="M76" s="4">
        <f>_xll.ciqfunctions.udf.CIQ(InputTicker,"IQ_EBITDA_EQ_INC_EXCL_SBC",Input!O$2,Date,,,Ccy,Conv)</f>
        <v>203801</v>
      </c>
      <c r="N76" s="50"/>
      <c r="P76" s="46"/>
      <c r="Q76" s="46"/>
      <c r="R76" s="46"/>
      <c r="T76" s="42"/>
      <c r="U76" s="42"/>
      <c r="V76" s="46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  <c r="BA76" s="42"/>
      <c r="BB76" s="42"/>
      <c r="BC76" s="42"/>
      <c r="BD76" s="42"/>
      <c r="BE76" s="42"/>
      <c r="BF76" s="42"/>
      <c r="BG76" s="42"/>
      <c r="BH76" s="42"/>
      <c r="BI76" s="42"/>
      <c r="BJ76" s="42"/>
      <c r="BK76" s="42"/>
      <c r="BL76" s="42"/>
      <c r="BM76" s="42"/>
      <c r="BN76" s="42"/>
    </row>
    <row r="77" spans="1:66" ht="12.75" customHeight="1" x14ac:dyDescent="0.2">
      <c r="A77" s="1" t="s">
        <v>288</v>
      </c>
      <c r="B77" s="4">
        <f>_xll.ciqfunctions.udf.CIQ(InputTicker,"IQ_EBITDA_EXCL_SBC",Input!D$2,Date,,,Ccy,Conv)</f>
        <v>36146</v>
      </c>
      <c r="C77" s="4">
        <f>_xll.ciqfunctions.udf.CIQ(InputTicker,"IQ_EBITDA_EXCL_SBC",Input!E$2,Date,,,Ccy,Conv)</f>
        <v>35734</v>
      </c>
      <c r="D77" s="4">
        <f>_xll.ciqfunctions.udf.CIQ(InputTicker,"IQ_EBITDA_EXCL_SBC",Input!F$2,Date,,,Ccy,Conv)</f>
        <v>40397</v>
      </c>
      <c r="E77" s="4">
        <f>_xll.ciqfunctions.udf.CIQ(InputTicker,"IQ_EBITDA_EXCL_SBC",Input!G$2,Date,,,Ccy,Conv)</f>
        <v>48898</v>
      </c>
      <c r="F77" s="4">
        <f>_xll.ciqfunctions.udf.CIQ(InputTicker,"IQ_EBITDA_EXCL_SBC",Input!H$2,Date,,,Ccy,Conv)</f>
        <v>59211</v>
      </c>
      <c r="G77" s="4">
        <f>_xll.ciqfunctions.udf.CIQ(InputTicker,"IQ_EBITDA_EXCL_SBC",Input!I$2,Date,,,Ccy,Conv)</f>
        <v>70548</v>
      </c>
      <c r="H77" s="4">
        <f>_xll.ciqfunctions.udf.CIQ(InputTicker,"IQ_EBITDA_EXCL_SBC",Input!J$2,Date,,,Ccy,Conv)</f>
        <v>86934</v>
      </c>
      <c r="I77" s="4">
        <f>_xll.ciqfunctions.udf.CIQ(InputTicker,"IQ_EBITDA_EXCL_SBC",Input!K$2,Date,,,Ccy,Conv)</f>
        <v>105485</v>
      </c>
      <c r="J77" s="4">
        <f>_xll.ciqfunctions.udf.CIQ(InputTicker,"IQ_EBITDA_EXCL_SBC",Input!L$2,Date,,,Ccy,Conv)</f>
        <v>111634</v>
      </c>
      <c r="K77" s="4">
        <f>_xll.ciqfunctions.udf.CIQ(InputTicker,"IQ_EBITDA_EXCL_SBC",Input!M$2,Date,,,Ccy,Conv)</f>
        <v>140167</v>
      </c>
      <c r="L77" s="4">
        <f>_xll.ciqfunctions.udf.CIQ(InputTicker,"IQ_EBITDA_EXCL_SBC",Input!N$2,Date,,,Ccy,Conv)</f>
        <v>168502</v>
      </c>
      <c r="M77" s="4">
        <f>_xll.ciqfunctions.udf.CIQ(InputTicker,"IQ_EBITDA_EXCL_SBC",Input!O$2,Date,,,Ccy,Conv)</f>
        <v>196813</v>
      </c>
      <c r="N77" s="50"/>
      <c r="P77" s="46"/>
      <c r="Q77" s="46"/>
      <c r="R77" s="46"/>
      <c r="T77" s="42"/>
      <c r="U77" s="42"/>
      <c r="V77" s="46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  <c r="BA77" s="42"/>
      <c r="BB77" s="42"/>
      <c r="BC77" s="42"/>
      <c r="BD77" s="42"/>
      <c r="BE77" s="42"/>
      <c r="BF77" s="42"/>
      <c r="BG77" s="42"/>
      <c r="BH77" s="42"/>
      <c r="BI77" s="42"/>
      <c r="BJ77" s="42"/>
      <c r="BK77" s="42"/>
      <c r="BL77" s="42"/>
      <c r="BM77" s="42"/>
      <c r="BN77" s="42"/>
    </row>
    <row r="78" spans="1:66" ht="12.75" customHeight="1" x14ac:dyDescent="0.2">
      <c r="A78" s="1" t="s">
        <v>460</v>
      </c>
      <c r="B78" s="4">
        <f>_xll.ciqfunctions.udf.CIQ(InputTicker,"IQ_EBITDA_LEASE_ADJUSTED",Input!D$2,Date,,,Ccy,Conv)</f>
        <v>33572</v>
      </c>
      <c r="C78" s="4">
        <f>_xll.ciqfunctions.udf.CIQ(InputTicker,"IQ_EBITDA_LEASE_ADJUSTED",Input!E$2,Date,,,Ccy,Conv)</f>
        <v>33066</v>
      </c>
      <c r="D78" s="4">
        <f>_xll.ciqfunctions.udf.CIQ(InputTicker,"IQ_EBITDA_LEASE_ADJUSTED",Input!F$2,Date,,,Ccy,Conv)</f>
        <v>38543</v>
      </c>
      <c r="E78" s="4">
        <f>_xll.ciqfunctions.udf.CIQ(InputTicker,"IQ_EBITDA_LEASE_ADJUSTED",Input!G$2,Date,,,Ccy,Conv)</f>
        <v>46543</v>
      </c>
      <c r="F78" s="4">
        <f>_xll.ciqfunctions.udf.CIQ(InputTicker,"IQ_EBITDA_LEASE_ADJUSTED",Input!H$2,Date,,,Ccy,Conv)</f>
        <v>56266</v>
      </c>
      <c r="G78" s="4">
        <f>_xll.ciqfunctions.udf.CIQ(InputTicker,"IQ_EBITDA_LEASE_ADJUSTED",Input!I$2,Date,,,Ccy,Conv)</f>
        <v>67302</v>
      </c>
      <c r="H78" s="4">
        <f>_xll.ciqfunctions.udf.CIQ(InputTicker,"IQ_EBITDA_LEASE_ADJUSTED",Input!J$2,Date,,,Ccy,Conv)</f>
        <v>82943</v>
      </c>
      <c r="I78" s="4">
        <f>_xll.ciqfunctions.udf.CIQ(InputTicker,"IQ_EBITDA_LEASE_ADJUSTED",Input!K$2,Date,,,Ccy,Conv)</f>
        <v>100444</v>
      </c>
      <c r="J78" s="4">
        <f>_xll.ciqfunctions.udf.CIQ(InputTicker,"IQ_EBITDA_LEASE_ADJUSTED",Input!L$2,Date,,,Ccy,Conv)</f>
        <v>104898</v>
      </c>
      <c r="K78" s="4">
        <f>_xll.ciqfunctions.udf.CIQ(InputTicker,"IQ_EBITDA_LEASE_ADJUSTED",Input!M$2,Date,,,Ccy,Conv)</f>
        <v>132988</v>
      </c>
      <c r="L78" s="4">
        <f>_xll.ciqfunctions.udf.CIQ(InputTicker,"IQ_EBITDA_LEASE_ADJUSTED",Input!N$2,Date,,,Ccy,Conv)</f>
        <v>162052</v>
      </c>
      <c r="M78" s="4">
        <f>_xll.ciqfunctions.udf.CIQ(InputTicker,"IQ_EBITDA_LEASE_ADJUSTED",Input!O$2,Date,,,Ccy,Conv)</f>
        <v>191224</v>
      </c>
      <c r="N78" s="50"/>
      <c r="P78" s="46"/>
      <c r="Q78" s="46"/>
      <c r="R78" s="46"/>
      <c r="T78" s="42"/>
      <c r="U78" s="42"/>
      <c r="V78" s="46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  <c r="BA78" s="42"/>
      <c r="BB78" s="42"/>
      <c r="BC78" s="42"/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</row>
    <row r="79" spans="1:66" ht="12.75" customHeight="1" x14ac:dyDescent="0.2">
      <c r="A79" s="1" t="s">
        <v>461</v>
      </c>
      <c r="B79" s="4">
        <f>_xll.ciqfunctions.udf.CIQ(InputTicker,"IQ_LEASE_ADJUSTMENT_EBITDA",Input!D$2,Date,,,Ccy,Conv)</f>
        <v>0</v>
      </c>
      <c r="C79" s="4">
        <f>_xll.ciqfunctions.udf.CIQ(InputTicker,"IQ_LEASE_ADJUSTMENT_EBITDA",Input!E$2,Date,,,Ccy,Conv)</f>
        <v>0</v>
      </c>
      <c r="D79" s="4">
        <f>_xll.ciqfunctions.udf.CIQ(InputTicker,"IQ_LEASE_ADJUSTMENT_EBITDA",Input!F$2,Date,,,Ccy,Conv)</f>
        <v>1412</v>
      </c>
      <c r="E79" s="4">
        <f>_xll.ciqfunctions.udf.CIQ(InputTicker,"IQ_LEASE_ADJUSTMENT_EBITDA",Input!G$2,Date,,,Ccy,Conv)</f>
        <v>1585</v>
      </c>
      <c r="F79" s="4">
        <f>_xll.ciqfunctions.udf.CIQ(InputTicker,"IQ_LEASE_ADJUSTMENT_EBITDA",Input!H$2,Date,,,Ccy,Conv)</f>
        <v>1707</v>
      </c>
      <c r="G79" s="4">
        <f>_xll.ciqfunctions.udf.CIQ(InputTicker,"IQ_LEASE_ADJUSTMENT_EBITDA",Input!I$2,Date,,,Ccy,Conv)</f>
        <v>2043</v>
      </c>
      <c r="H79" s="4">
        <f>_xll.ciqfunctions.udf.CIQ(InputTicker,"IQ_LEASE_ADJUSTMENT_EBITDA",Input!J$2,Date,,,Ccy,Conv)</f>
        <v>2127</v>
      </c>
      <c r="I79" s="4">
        <f>_xll.ciqfunctions.udf.CIQ(InputTicker,"IQ_LEASE_ADJUSTMENT_EBITDA",Input!K$2,Date,,,Ccy,Conv)</f>
        <v>2461</v>
      </c>
      <c r="J79" s="4">
        <f>_xll.ciqfunctions.udf.CIQ(InputTicker,"IQ_LEASE_ADJUSTMENT_EBITDA",Input!L$2,Date,,,Ccy,Conv)</f>
        <v>2875</v>
      </c>
      <c r="K79" s="4">
        <f>_xll.ciqfunctions.udf.CIQ(InputTicker,"IQ_LEASE_ADJUSTMENT_EBITDA",Input!M$2,Date,,,Ccy,Conv)</f>
        <v>3555</v>
      </c>
      <c r="L79" s="4">
        <f>_xll.ciqfunctions.udf.CIQ(InputTicker,"IQ_LEASE_ADJUSTMENT_EBITDA",Input!N$2,Date,,,Ccy,Conv)</f>
        <v>5524</v>
      </c>
      <c r="M79" s="4">
        <f>_xll.ciqfunctions.udf.CIQ(InputTicker,"IQ_LEASE_ADJUSTMENT_EBITDA",Input!O$2,Date,,,Ccy,Conv)</f>
        <v>6767</v>
      </c>
      <c r="N79" s="50"/>
      <c r="P79" s="46"/>
      <c r="Q79" s="46"/>
      <c r="R79" s="46"/>
      <c r="T79" s="42"/>
      <c r="U79" s="42"/>
      <c r="V79" s="46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  <c r="BA79" s="42"/>
      <c r="BB79" s="42"/>
      <c r="BC79" s="42"/>
      <c r="BD79" s="42"/>
      <c r="BE79" s="42"/>
      <c r="BF79" s="42"/>
      <c r="BG79" s="42"/>
      <c r="BH79" s="42"/>
      <c r="BI79" s="42"/>
      <c r="BJ79" s="42"/>
      <c r="BK79" s="42"/>
      <c r="BL79" s="42"/>
      <c r="BM79" s="42"/>
      <c r="BN79" s="42"/>
    </row>
    <row r="80" spans="1:66" ht="12.75" customHeight="1" x14ac:dyDescent="0.2">
      <c r="A80" s="1" t="s">
        <v>462</v>
      </c>
      <c r="B80" s="4">
        <f>_xll.ciqfunctions.udf.CIQ(InputTicker,"IQ_EBITDA_EQ_INC_EXCL_OPER_LEASE_ADJ",Input!D$2,Date,,,Ccy,Conv)</f>
        <v>33572</v>
      </c>
      <c r="C80" s="4">
        <f>_xll.ciqfunctions.udf.CIQ(InputTicker,"IQ_EBITDA_EQ_INC_EXCL_OPER_LEASE_ADJ",Input!E$2,Date,,,Ccy,Conv)</f>
        <v>33066</v>
      </c>
      <c r="D80" s="4">
        <f>_xll.ciqfunctions.udf.CIQ(InputTicker,"IQ_EBITDA_EQ_INC_EXCL_OPER_LEASE_ADJ",Input!F$2,Date,,,Ccy,Conv)</f>
        <v>37131</v>
      </c>
      <c r="E80" s="4">
        <f>_xll.ciqfunctions.udf.CIQ(InputTicker,"IQ_EBITDA_EQ_INC_EXCL_OPER_LEASE_ADJ",Input!G$2,Date,,,Ccy,Conv)</f>
        <v>44958</v>
      </c>
      <c r="F80" s="4">
        <f>_xll.ciqfunctions.udf.CIQ(InputTicker,"IQ_EBITDA_EQ_INC_EXCL_OPER_LEASE_ADJ",Input!H$2,Date,,,Ccy,Conv)</f>
        <v>54559</v>
      </c>
      <c r="G80" s="4">
        <f>_xll.ciqfunctions.udf.CIQ(InputTicker,"IQ_EBITDA_EQ_INC_EXCL_OPER_LEASE_ADJ",Input!I$2,Date,,,Ccy,Conv)</f>
        <v>65259</v>
      </c>
      <c r="H80" s="4">
        <f>_xll.ciqfunctions.udf.CIQ(InputTicker,"IQ_EBITDA_EQ_INC_EXCL_OPER_LEASE_ADJ",Input!J$2,Date,,,Ccy,Conv)</f>
        <v>80816</v>
      </c>
      <c r="I80" s="4">
        <f>_xll.ciqfunctions.udf.CIQ(InputTicker,"IQ_EBITDA_EQ_INC_EXCL_OPER_LEASE_ADJ",Input!K$2,Date,,,Ccy,Conv)</f>
        <v>97951</v>
      </c>
      <c r="J80" s="4">
        <f>_xll.ciqfunctions.udf.CIQ(InputTicker,"IQ_EBITDA_EQ_INC_EXCL_OPER_LEASE_ADJ",Input!L$2,Date,,,Ccy,Conv)</f>
        <v>102023</v>
      </c>
      <c r="K80" s="4">
        <f>_xll.ciqfunctions.udf.CIQ(InputTicker,"IQ_EBITDA_EQ_INC_EXCL_OPER_LEASE_ADJ",Input!M$2,Date,,,Ccy,Conv)</f>
        <v>129433</v>
      </c>
      <c r="L80" s="4">
        <f>_xll.ciqfunctions.udf.CIQ(InputTicker,"IQ_EBITDA_EQ_INC_EXCL_OPER_LEASE_ADJ",Input!N$2,Date,,,Ccy,Conv)</f>
        <v>156528</v>
      </c>
      <c r="M80" s="4">
        <f>_xll.ciqfunctions.udf.CIQ(InputTicker,"IQ_EBITDA_EQ_INC_EXCL_OPER_LEASE_ADJ",Input!O$2,Date,,,Ccy,Conv)</f>
        <v>191445</v>
      </c>
      <c r="N80" s="50"/>
      <c r="P80" s="46"/>
      <c r="Q80" s="46"/>
      <c r="R80" s="46"/>
      <c r="T80" s="42"/>
      <c r="U80" s="42"/>
      <c r="V80" s="46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  <c r="BA80" s="42"/>
      <c r="BB80" s="42"/>
      <c r="BC80" s="42"/>
      <c r="BD80" s="42"/>
      <c r="BE80" s="42"/>
      <c r="BF80" s="42"/>
      <c r="BG80" s="42"/>
      <c r="BH80" s="42"/>
      <c r="BI80" s="42"/>
      <c r="BJ80" s="42"/>
      <c r="BK80" s="42"/>
      <c r="BL80" s="42"/>
      <c r="BM80" s="42"/>
      <c r="BN80" s="42"/>
    </row>
    <row r="81" spans="1:66" ht="12.75" customHeight="1" x14ac:dyDescent="0.2">
      <c r="A81" s="1" t="s">
        <v>307</v>
      </c>
      <c r="B81" s="4">
        <f>_xll.ciqfunctions.udf.CIQ(InputTicker,"IQ_EBIT",Input!D$2,Date,,,Ccy,Conv)</f>
        <v>28172</v>
      </c>
      <c r="C81" s="4">
        <f>_xll.ciqfunctions.udf.CIQ(InputTicker,"IQ_EBIT",Input!E$2,Date,,,Ccy,Conv)</f>
        <v>27188</v>
      </c>
      <c r="D81" s="4">
        <f>_xll.ciqfunctions.udf.CIQ(InputTicker,"IQ_EBIT",Input!F$2,Date,,,Ccy,Conv)</f>
        <v>29331</v>
      </c>
      <c r="E81" s="4">
        <f>_xll.ciqfunctions.udf.CIQ(InputTicker,"IQ_EBIT",Input!G$2,Date,,,Ccy,Conv)</f>
        <v>35058</v>
      </c>
      <c r="F81" s="4">
        <f>_xll.ciqfunctions.udf.CIQ(InputTicker,"IQ_EBIT",Input!H$2,Date,,,Ccy,Conv)</f>
        <v>42959</v>
      </c>
      <c r="G81" s="4">
        <f>_xll.ciqfunctions.udf.CIQ(InputTicker,"IQ_EBIT",Input!I$2,Date,,,Ccy,Conv)</f>
        <v>52959</v>
      </c>
      <c r="H81" s="4">
        <f>_xll.ciqfunctions.udf.CIQ(InputTicker,"IQ_EBIT",Input!J$2,Date,,,Ccy,Conv)</f>
        <v>69916</v>
      </c>
      <c r="I81" s="4">
        <f>_xll.ciqfunctions.udf.CIQ(InputTicker,"IQ_EBIT",Input!K$2,Date,,,Ccy,Conv)</f>
        <v>83383</v>
      </c>
      <c r="J81" s="4">
        <f>_xll.ciqfunctions.udf.CIQ(InputTicker,"IQ_EBIT",Input!L$2,Date,,,Ccy,Conv)</f>
        <v>88523</v>
      </c>
      <c r="K81" s="4">
        <f>_xll.ciqfunctions.udf.CIQ(InputTicker,"IQ_EBIT",Input!M$2,Date,,,Ccy,Conv)</f>
        <v>109433</v>
      </c>
      <c r="L81" s="4">
        <f>_xll.ciqfunctions.udf.CIQ(InputTicker,"IQ_EBIT",Input!N$2,Date,,,Ccy,Conv)</f>
        <v>128528</v>
      </c>
      <c r="M81" s="4">
        <f>_xll.ciqfunctions.udf.CIQ(InputTicker,"IQ_EBIT",Input!O$2,Date,,,Ccy,Conv)</f>
        <v>148957</v>
      </c>
      <c r="N81" s="50"/>
      <c r="P81" s="46"/>
      <c r="Q81" s="46"/>
      <c r="R81" s="46"/>
      <c r="T81" s="42"/>
      <c r="U81" s="42"/>
      <c r="V81" s="46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  <c r="BA81" s="42"/>
      <c r="BB81" s="42"/>
      <c r="BC81" s="42"/>
      <c r="BD81" s="42"/>
      <c r="BE81" s="42"/>
      <c r="BF81" s="42"/>
      <c r="BG81" s="42"/>
      <c r="BH81" s="42"/>
      <c r="BI81" s="42"/>
      <c r="BJ81" s="42"/>
      <c r="BK81" s="42"/>
      <c r="BL81" s="42"/>
      <c r="BM81" s="42"/>
      <c r="BN81" s="42"/>
    </row>
    <row r="82" spans="1:66" ht="12.75" customHeight="1" x14ac:dyDescent="0.2">
      <c r="A82" s="1" t="s">
        <v>289</v>
      </c>
      <c r="B82" s="4">
        <f>_xll.ciqfunctions.udf.CIQ(InputTicker,"IQ_EBIT_EQ_INC",Input!D$2,Date,,,Ccy,Conv)</f>
        <v>28172</v>
      </c>
      <c r="C82" s="4">
        <f>_xll.ciqfunctions.udf.CIQ(InputTicker,"IQ_EBIT_EQ_INC",Input!E$2,Date,,,Ccy,Conv)</f>
        <v>27188</v>
      </c>
      <c r="D82" s="4">
        <f>_xll.ciqfunctions.udf.CIQ(InputTicker,"IQ_EBIT_EQ_INC",Input!F$2,Date,,,Ccy,Conv)</f>
        <v>29331</v>
      </c>
      <c r="E82" s="4">
        <f>_xll.ciqfunctions.udf.CIQ(InputTicker,"IQ_EBIT_EQ_INC",Input!G$2,Date,,,Ccy,Conv)</f>
        <v>35058</v>
      </c>
      <c r="F82" s="4">
        <f>_xll.ciqfunctions.udf.CIQ(InputTicker,"IQ_EBIT_EQ_INC",Input!H$2,Date,,,Ccy,Conv)</f>
        <v>42959</v>
      </c>
      <c r="G82" s="4">
        <f>_xll.ciqfunctions.udf.CIQ(InputTicker,"IQ_EBIT_EQ_INC",Input!I$2,Date,,,Ccy,Conv)</f>
        <v>52959</v>
      </c>
      <c r="H82" s="4">
        <f>_xll.ciqfunctions.udf.CIQ(InputTicker,"IQ_EBIT_EQ_INC",Input!J$2,Date,,,Ccy,Conv)</f>
        <v>69916</v>
      </c>
      <c r="I82" s="4">
        <f>_xll.ciqfunctions.udf.CIQ(InputTicker,"IQ_EBIT_EQ_INC",Input!K$2,Date,,,Ccy,Conv)</f>
        <v>83351</v>
      </c>
      <c r="J82" s="4">
        <f>_xll.ciqfunctions.udf.CIQ(InputTicker,"IQ_EBIT_EQ_INC",Input!L$2,Date,,,Ccy,Conv)</f>
        <v>88523</v>
      </c>
      <c r="K82" s="4">
        <f>_xll.ciqfunctions.udf.CIQ(InputTicker,"IQ_EBIT_EQ_INC",Input!M$2,Date,,,Ccy,Conv)</f>
        <v>109433</v>
      </c>
      <c r="L82" s="4">
        <f>_xll.ciqfunctions.udf.CIQ(InputTicker,"IQ_EBIT_EQ_INC",Input!N$2,Date,,,Ccy,Conv)</f>
        <v>128528</v>
      </c>
      <c r="M82" s="4">
        <f>_xll.ciqfunctions.udf.CIQ(InputTicker,"IQ_EBIT_EQ_INC",Input!O$2,Date,,,Ccy,Conv)</f>
        <v>155945</v>
      </c>
      <c r="N82" s="50"/>
      <c r="P82" s="46"/>
      <c r="Q82" s="46"/>
      <c r="R82" s="46"/>
      <c r="T82" s="42"/>
      <c r="U82" s="42"/>
      <c r="V82" s="46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  <c r="BA82" s="42"/>
      <c r="BB82" s="42"/>
      <c r="BC82" s="42"/>
      <c r="BD82" s="42"/>
      <c r="BE82" s="42"/>
      <c r="BF82" s="42"/>
      <c r="BG82" s="42"/>
      <c r="BH82" s="42"/>
      <c r="BI82" s="42"/>
      <c r="BJ82" s="42"/>
      <c r="BK82" s="42"/>
      <c r="BL82" s="42"/>
      <c r="BM82" s="42"/>
      <c r="BN82" s="42"/>
    </row>
    <row r="83" spans="1:66" ht="12.75" customHeight="1" x14ac:dyDescent="0.2">
      <c r="A83" s="1" t="s">
        <v>290</v>
      </c>
      <c r="B83" s="4">
        <f>_xll.ciqfunctions.udf.CIQ(InputTicker,"IQ_EBIT_EQ_INC_EXCL_SBC",Input!D$2,Date,,,Ccy,Conv)</f>
        <v>30746</v>
      </c>
      <c r="C83" s="4">
        <f>_xll.ciqfunctions.udf.CIQ(InputTicker,"IQ_EBIT_EQ_INC_EXCL_SBC",Input!E$2,Date,,,Ccy,Conv)</f>
        <v>29856</v>
      </c>
      <c r="D83" s="4">
        <f>_xll.ciqfunctions.udf.CIQ(InputTicker,"IQ_EBIT_EQ_INC_EXCL_SBC",Input!F$2,Date,,,Ccy,Conv)</f>
        <v>32597</v>
      </c>
      <c r="E83" s="4">
        <f>_xll.ciqfunctions.udf.CIQ(InputTicker,"IQ_EBIT_EQ_INC_EXCL_SBC",Input!G$2,Date,,,Ccy,Conv)</f>
        <v>38998</v>
      </c>
      <c r="F83" s="4">
        <f>_xll.ciqfunctions.udf.CIQ(InputTicker,"IQ_EBIT_EQ_INC_EXCL_SBC",Input!H$2,Date,,,Ccy,Conv)</f>
        <v>47611</v>
      </c>
      <c r="G83" s="4">
        <f>_xll.ciqfunctions.udf.CIQ(InputTicker,"IQ_EBIT_EQ_INC_EXCL_SBC",Input!I$2,Date,,,Ccy,Conv)</f>
        <v>58248</v>
      </c>
      <c r="H83" s="4">
        <f>_xll.ciqfunctions.udf.CIQ(InputTicker,"IQ_EBIT_EQ_INC_EXCL_SBC",Input!J$2,Date,,,Ccy,Conv)</f>
        <v>76034</v>
      </c>
      <c r="I83" s="4">
        <f>_xll.ciqfunctions.udf.CIQ(InputTicker,"IQ_EBIT_EQ_INC_EXCL_SBC",Input!K$2,Date,,,Ccy,Conv)</f>
        <v>90853</v>
      </c>
      <c r="J83" s="4">
        <f>_xll.ciqfunctions.udf.CIQ(InputTicker,"IQ_EBIT_EQ_INC_EXCL_SBC",Input!L$2,Date,,,Ccy,Conv)</f>
        <v>98134</v>
      </c>
      <c r="K83" s="4">
        <f>_xll.ciqfunctions.udf.CIQ(InputTicker,"IQ_EBIT_EQ_INC_EXCL_SBC",Input!M$2,Date,,,Ccy,Conv)</f>
        <v>120167</v>
      </c>
      <c r="L83" s="4">
        <f>_xll.ciqfunctions.udf.CIQ(InputTicker,"IQ_EBIT_EQ_INC_EXCL_SBC",Input!N$2,Date,,,Ccy,Conv)</f>
        <v>140502</v>
      </c>
      <c r="M83" s="4">
        <f>_xll.ciqfunctions.udf.CIQ(InputTicker,"IQ_EBIT_EQ_INC_EXCL_SBC",Input!O$2,Date,,,Ccy,Conv)</f>
        <v>168301</v>
      </c>
      <c r="N83" s="50"/>
      <c r="P83" s="46"/>
      <c r="Q83" s="46"/>
      <c r="R83" s="46"/>
      <c r="T83" s="42"/>
      <c r="U83" s="42"/>
      <c r="V83" s="46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  <c r="BA83" s="42"/>
      <c r="BB83" s="42"/>
      <c r="BC83" s="42"/>
      <c r="BD83" s="42"/>
      <c r="BE83" s="42"/>
      <c r="BF83" s="42"/>
      <c r="BG83" s="42"/>
      <c r="BH83" s="42"/>
      <c r="BI83" s="42"/>
      <c r="BJ83" s="42"/>
      <c r="BK83" s="42"/>
      <c r="BL83" s="42"/>
      <c r="BM83" s="42"/>
      <c r="BN83" s="42"/>
    </row>
    <row r="84" spans="1:66" ht="12.75" customHeight="1" x14ac:dyDescent="0.2">
      <c r="A84" s="1" t="s">
        <v>291</v>
      </c>
      <c r="B84" s="4">
        <f>_xll.ciqfunctions.udf.CIQ(InputTicker,"IQ_EBIT_EXCL_SBC",Input!D$2,Date,,,Ccy,Conv)</f>
        <v>30746</v>
      </c>
      <c r="C84" s="4">
        <f>_xll.ciqfunctions.udf.CIQ(InputTicker,"IQ_EBIT_EXCL_SBC",Input!E$2,Date,,,Ccy,Conv)</f>
        <v>29856</v>
      </c>
      <c r="D84" s="4">
        <f>_xll.ciqfunctions.udf.CIQ(InputTicker,"IQ_EBIT_EXCL_SBC",Input!F$2,Date,,,Ccy,Conv)</f>
        <v>32597</v>
      </c>
      <c r="E84" s="4">
        <f>_xll.ciqfunctions.udf.CIQ(InputTicker,"IQ_EBIT_EXCL_SBC",Input!G$2,Date,,,Ccy,Conv)</f>
        <v>38998</v>
      </c>
      <c r="F84" s="4">
        <f>_xll.ciqfunctions.udf.CIQ(InputTicker,"IQ_EBIT_EXCL_SBC",Input!H$2,Date,,,Ccy,Conv)</f>
        <v>47611</v>
      </c>
      <c r="G84" s="4">
        <f>_xll.ciqfunctions.udf.CIQ(InputTicker,"IQ_EBIT_EXCL_SBC",Input!I$2,Date,,,Ccy,Conv)</f>
        <v>58248</v>
      </c>
      <c r="H84" s="4">
        <f>_xll.ciqfunctions.udf.CIQ(InputTicker,"IQ_EBIT_EXCL_SBC",Input!J$2,Date,,,Ccy,Conv)</f>
        <v>76034</v>
      </c>
      <c r="I84" s="4">
        <f>_xll.ciqfunctions.udf.CIQ(InputTicker,"IQ_EBIT_EXCL_SBC",Input!K$2,Date,,,Ccy,Conv)</f>
        <v>90885</v>
      </c>
      <c r="J84" s="4">
        <f>_xll.ciqfunctions.udf.CIQ(InputTicker,"IQ_EBIT_EXCL_SBC",Input!L$2,Date,,,Ccy,Conv)</f>
        <v>98134</v>
      </c>
      <c r="K84" s="4">
        <f>_xll.ciqfunctions.udf.CIQ(InputTicker,"IQ_EBIT_EXCL_SBC",Input!M$2,Date,,,Ccy,Conv)</f>
        <v>120167</v>
      </c>
      <c r="L84" s="4">
        <f>_xll.ciqfunctions.udf.CIQ(InputTicker,"IQ_EBIT_EXCL_SBC",Input!N$2,Date,,,Ccy,Conv)</f>
        <v>140502</v>
      </c>
      <c r="M84" s="4">
        <f>_xll.ciqfunctions.udf.CIQ(InputTicker,"IQ_EBIT_EXCL_SBC",Input!O$2,Date,,,Ccy,Conv)</f>
        <v>161313</v>
      </c>
      <c r="N84" s="50"/>
      <c r="P84" s="46"/>
      <c r="Q84" s="46"/>
      <c r="R84" s="46"/>
      <c r="T84" s="42"/>
      <c r="U84" s="42"/>
      <c r="V84" s="46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  <c r="BA84" s="42"/>
      <c r="BB84" s="42"/>
      <c r="BC84" s="42"/>
      <c r="BD84" s="42"/>
      <c r="BE84" s="42"/>
      <c r="BF84" s="42"/>
      <c r="BG84" s="42"/>
      <c r="BH84" s="42"/>
      <c r="BI84" s="42"/>
      <c r="BJ84" s="42"/>
      <c r="BK84" s="42"/>
      <c r="BL84" s="42"/>
      <c r="BM84" s="42"/>
      <c r="BN84" s="42"/>
    </row>
    <row r="85" spans="1:66" ht="12.75" customHeight="1" x14ac:dyDescent="0.2">
      <c r="A85" s="1" t="s">
        <v>308</v>
      </c>
      <c r="B85" s="4">
        <f>_xll.ciqfunctions.udf.CIQ(InputTicker,"IQ_EBITA",Input!D$2,Date,,,Ccy,Conv)</f>
        <v>29472</v>
      </c>
      <c r="C85" s="4">
        <f>_xll.ciqfunctions.udf.CIQ(InputTicker,"IQ_EBITA",Input!E$2,Date,,,Ccy,Conv)</f>
        <v>28166</v>
      </c>
      <c r="D85" s="4">
        <f>_xll.ciqfunctions.udf.CIQ(InputTicker,"IQ_EBITA",Input!F$2,Date,,,Ccy,Conv)</f>
        <v>31031</v>
      </c>
      <c r="E85" s="4">
        <f>_xll.ciqfunctions.udf.CIQ(InputTicker,"IQ_EBITA",Input!G$2,Date,,,Ccy,Conv)</f>
        <v>37258</v>
      </c>
      <c r="F85" s="4">
        <f>_xll.ciqfunctions.udf.CIQ(InputTicker,"IQ_EBITA",Input!H$2,Date,,,Ccy,Conv)</f>
        <v>44859</v>
      </c>
      <c r="G85" s="4">
        <f>_xll.ciqfunctions.udf.CIQ(InputTicker,"IQ_EBITA",Input!I$2,Date,,,Ccy,Conv)</f>
        <v>54559</v>
      </c>
      <c r="H85" s="4">
        <f>_xll.ciqfunctions.udf.CIQ(InputTicker,"IQ_EBITA",Input!J$2,Date,,,Ccy,Conv)</f>
        <v>71516</v>
      </c>
      <c r="I85" s="4">
        <f>_xll.ciqfunctions.udf.CIQ(InputTicker,"IQ_EBITA",Input!K$2,Date,,,Ccy,Conv)</f>
        <v>85383</v>
      </c>
      <c r="J85" s="4">
        <f>_xll.ciqfunctions.udf.CIQ(InputTicker,"IQ_EBITA",Input!L$2,Date,,,Ccy,Conv)</f>
        <v>91023</v>
      </c>
      <c r="K85" s="4">
        <f>_xll.ciqfunctions.udf.CIQ(InputTicker,"IQ_EBITA",Input!M$2,Date,,,Ccy,Conv)</f>
        <v>114233</v>
      </c>
      <c r="L85" s="4">
        <f>_xll.ciqfunctions.udf.CIQ(InputTicker,"IQ_EBITA",Input!N$2,Date,,,Ccy,Conv)</f>
        <v>134528</v>
      </c>
      <c r="M85" s="4">
        <f>_xll.ciqfunctions.udf.CIQ(InputTicker,"IQ_EBITA",Input!O$2,Date,,,Ccy,Conv)</f>
        <v>154157</v>
      </c>
      <c r="N85" s="50"/>
      <c r="P85" s="46"/>
      <c r="Q85" s="46"/>
      <c r="R85" s="46"/>
      <c r="T85" s="42"/>
      <c r="U85" s="42"/>
      <c r="V85" s="46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  <c r="BA85" s="42"/>
      <c r="BB85" s="42"/>
      <c r="BC85" s="42"/>
      <c r="BD85" s="42"/>
      <c r="BE85" s="42"/>
      <c r="BF85" s="42"/>
      <c r="BG85" s="42"/>
      <c r="BH85" s="42"/>
      <c r="BI85" s="42"/>
      <c r="BJ85" s="42"/>
      <c r="BK85" s="42"/>
      <c r="BL85" s="42"/>
      <c r="BM85" s="42"/>
      <c r="BN85" s="42"/>
    </row>
    <row r="86" spans="1:66" ht="12.75" customHeight="1" x14ac:dyDescent="0.2">
      <c r="A86" s="1" t="s">
        <v>292</v>
      </c>
      <c r="B86" s="4">
        <f>_xll.ciqfunctions.udf.CIQ(InputTicker,"IQ_EBITA_EQ_INC",Input!D$2,Date,,,Ccy,Conv)</f>
        <v>29472</v>
      </c>
      <c r="C86" s="4">
        <f>_xll.ciqfunctions.udf.CIQ(InputTicker,"IQ_EBITA_EQ_INC",Input!E$2,Date,,,Ccy,Conv)</f>
        <v>28166</v>
      </c>
      <c r="D86" s="4">
        <f>_xll.ciqfunctions.udf.CIQ(InputTicker,"IQ_EBITA_EQ_INC",Input!F$2,Date,,,Ccy,Conv)</f>
        <v>31031</v>
      </c>
      <c r="E86" s="4">
        <f>_xll.ciqfunctions.udf.CIQ(InputTicker,"IQ_EBITA_EQ_INC",Input!G$2,Date,,,Ccy,Conv)</f>
        <v>37258</v>
      </c>
      <c r="F86" s="4">
        <f>_xll.ciqfunctions.udf.CIQ(InputTicker,"IQ_EBITA_EQ_INC",Input!H$2,Date,,,Ccy,Conv)</f>
        <v>44859</v>
      </c>
      <c r="G86" s="4">
        <f>_xll.ciqfunctions.udf.CIQ(InputTicker,"IQ_EBITA_EQ_INC",Input!I$2,Date,,,Ccy,Conv)</f>
        <v>54559</v>
      </c>
      <c r="H86" s="4">
        <f>_xll.ciqfunctions.udf.CIQ(InputTicker,"IQ_EBITA_EQ_INC",Input!J$2,Date,,,Ccy,Conv)</f>
        <v>71516</v>
      </c>
      <c r="I86" s="4">
        <f>_xll.ciqfunctions.udf.CIQ(InputTicker,"IQ_EBITA_EQ_INC",Input!K$2,Date,,,Ccy,Conv)</f>
        <v>85351</v>
      </c>
      <c r="J86" s="4">
        <f>_xll.ciqfunctions.udf.CIQ(InputTicker,"IQ_EBITA_EQ_INC",Input!L$2,Date,,,Ccy,Conv)</f>
        <v>91023</v>
      </c>
      <c r="K86" s="4">
        <f>_xll.ciqfunctions.udf.CIQ(InputTicker,"IQ_EBITA_EQ_INC",Input!M$2,Date,,,Ccy,Conv)</f>
        <v>114233</v>
      </c>
      <c r="L86" s="4">
        <f>_xll.ciqfunctions.udf.CIQ(InputTicker,"IQ_EBITA_EQ_INC",Input!N$2,Date,,,Ccy,Conv)</f>
        <v>134528</v>
      </c>
      <c r="M86" s="4">
        <f>_xll.ciqfunctions.udf.CIQ(InputTicker,"IQ_EBITA_EQ_INC",Input!O$2,Date,,,Ccy,Conv)</f>
        <v>161145</v>
      </c>
      <c r="N86" s="50"/>
      <c r="P86" s="46"/>
      <c r="Q86" s="46"/>
      <c r="R86" s="46"/>
      <c r="T86" s="42"/>
      <c r="U86" s="42"/>
      <c r="V86" s="46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  <c r="BA86" s="42"/>
      <c r="BB86" s="42"/>
      <c r="BC86" s="42"/>
      <c r="BD86" s="42"/>
      <c r="BE86" s="42"/>
      <c r="BF86" s="42"/>
      <c r="BG86" s="42"/>
      <c r="BH86" s="42"/>
      <c r="BI86" s="42"/>
      <c r="BJ86" s="42"/>
      <c r="BK86" s="42"/>
      <c r="BL86" s="42"/>
      <c r="BM86" s="42"/>
      <c r="BN86" s="42"/>
    </row>
    <row r="87" spans="1:66" ht="12.75" customHeight="1" x14ac:dyDescent="0.2">
      <c r="A87" s="1" t="s">
        <v>293</v>
      </c>
      <c r="B87" s="4">
        <f>_xll.ciqfunctions.udf.CIQ(InputTicker,"IQ_EBITA_EQ_INC_EXCL_SBC",Input!D$2,Date,,,Ccy,Conv)</f>
        <v>32046</v>
      </c>
      <c r="C87" s="4">
        <f>_xll.ciqfunctions.udf.CIQ(InputTicker,"IQ_EBITA_EQ_INC_EXCL_SBC",Input!E$2,Date,,,Ccy,Conv)</f>
        <v>30834</v>
      </c>
      <c r="D87" s="4">
        <f>_xll.ciqfunctions.udf.CIQ(InputTicker,"IQ_EBITA_EQ_INC_EXCL_SBC",Input!F$2,Date,,,Ccy,Conv)</f>
        <v>34297</v>
      </c>
      <c r="E87" s="4">
        <f>_xll.ciqfunctions.udf.CIQ(InputTicker,"IQ_EBITA_EQ_INC_EXCL_SBC",Input!G$2,Date,,,Ccy,Conv)</f>
        <v>41198</v>
      </c>
      <c r="F87" s="4">
        <f>_xll.ciqfunctions.udf.CIQ(InputTicker,"IQ_EBITA_EQ_INC_EXCL_SBC",Input!H$2,Date,,,Ccy,Conv)</f>
        <v>49511</v>
      </c>
      <c r="G87" s="4">
        <f>_xll.ciqfunctions.udf.CIQ(InputTicker,"IQ_EBITA_EQ_INC_EXCL_SBC",Input!I$2,Date,,,Ccy,Conv)</f>
        <v>59848</v>
      </c>
      <c r="H87" s="4">
        <f>_xll.ciqfunctions.udf.CIQ(InputTicker,"IQ_EBITA_EQ_INC_EXCL_SBC",Input!J$2,Date,,,Ccy,Conv)</f>
        <v>77634</v>
      </c>
      <c r="I87" s="4">
        <f>_xll.ciqfunctions.udf.CIQ(InputTicker,"IQ_EBITA_EQ_INC_EXCL_SBC",Input!K$2,Date,,,Ccy,Conv)</f>
        <v>92853</v>
      </c>
      <c r="J87" s="4">
        <f>_xll.ciqfunctions.udf.CIQ(InputTicker,"IQ_EBITA_EQ_INC_EXCL_SBC",Input!L$2,Date,,,Ccy,Conv)</f>
        <v>100634</v>
      </c>
      <c r="K87" s="4">
        <f>_xll.ciqfunctions.udf.CIQ(InputTicker,"IQ_EBITA_EQ_INC_EXCL_SBC",Input!M$2,Date,,,Ccy,Conv)</f>
        <v>124967</v>
      </c>
      <c r="L87" s="4">
        <f>_xll.ciqfunctions.udf.CIQ(InputTicker,"IQ_EBITA_EQ_INC_EXCL_SBC",Input!N$2,Date,,,Ccy,Conv)</f>
        <v>146502</v>
      </c>
      <c r="M87" s="4">
        <f>_xll.ciqfunctions.udf.CIQ(InputTicker,"IQ_EBITA_EQ_INC_EXCL_SBC",Input!O$2,Date,,,Ccy,Conv)</f>
        <v>173501</v>
      </c>
      <c r="N87" s="50"/>
      <c r="P87" s="46"/>
      <c r="Q87" s="46"/>
      <c r="R87" s="46"/>
      <c r="T87" s="42"/>
      <c r="U87" s="42"/>
      <c r="V87" s="46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  <c r="BA87" s="42"/>
      <c r="BB87" s="42"/>
      <c r="BC87" s="42"/>
      <c r="BD87" s="42"/>
      <c r="BE87" s="42"/>
      <c r="BF87" s="42"/>
      <c r="BG87" s="42"/>
      <c r="BH87" s="42"/>
      <c r="BI87" s="42"/>
      <c r="BJ87" s="42"/>
      <c r="BK87" s="42"/>
      <c r="BL87" s="42"/>
      <c r="BM87" s="42"/>
      <c r="BN87" s="42"/>
    </row>
    <row r="88" spans="1:66" ht="12.75" customHeight="1" x14ac:dyDescent="0.2">
      <c r="A88" s="1" t="s">
        <v>294</v>
      </c>
      <c r="B88" s="4">
        <f>_xll.ciqfunctions.udf.CIQ(InputTicker,"IQ_EBITA_EXCL_SBC",Input!D$2,Date,,,Ccy,Conv)</f>
        <v>32046</v>
      </c>
      <c r="C88" s="4">
        <f>_xll.ciqfunctions.udf.CIQ(InputTicker,"IQ_EBITA_EXCL_SBC",Input!E$2,Date,,,Ccy,Conv)</f>
        <v>30834</v>
      </c>
      <c r="D88" s="4">
        <f>_xll.ciqfunctions.udf.CIQ(InputTicker,"IQ_EBITA_EXCL_SBC",Input!F$2,Date,,,Ccy,Conv)</f>
        <v>34297</v>
      </c>
      <c r="E88" s="4">
        <f>_xll.ciqfunctions.udf.CIQ(InputTicker,"IQ_EBITA_EXCL_SBC",Input!G$2,Date,,,Ccy,Conv)</f>
        <v>41198</v>
      </c>
      <c r="F88" s="4">
        <f>_xll.ciqfunctions.udf.CIQ(InputTicker,"IQ_EBITA_EXCL_SBC",Input!H$2,Date,,,Ccy,Conv)</f>
        <v>49511</v>
      </c>
      <c r="G88" s="4">
        <f>_xll.ciqfunctions.udf.CIQ(InputTicker,"IQ_EBITA_EXCL_SBC",Input!I$2,Date,,,Ccy,Conv)</f>
        <v>59848</v>
      </c>
      <c r="H88" s="4">
        <f>_xll.ciqfunctions.udf.CIQ(InputTicker,"IQ_EBITA_EXCL_SBC",Input!J$2,Date,,,Ccy,Conv)</f>
        <v>77634</v>
      </c>
      <c r="I88" s="4">
        <f>_xll.ciqfunctions.udf.CIQ(InputTicker,"IQ_EBITA_EXCL_SBC",Input!K$2,Date,,,Ccy,Conv)</f>
        <v>92885</v>
      </c>
      <c r="J88" s="4">
        <f>_xll.ciqfunctions.udf.CIQ(InputTicker,"IQ_EBITA_EXCL_SBC",Input!L$2,Date,,,Ccy,Conv)</f>
        <v>100634</v>
      </c>
      <c r="K88" s="4">
        <f>_xll.ciqfunctions.udf.CIQ(InputTicker,"IQ_EBITA_EXCL_SBC",Input!M$2,Date,,,Ccy,Conv)</f>
        <v>124967</v>
      </c>
      <c r="L88" s="4">
        <f>_xll.ciqfunctions.udf.CIQ(InputTicker,"IQ_EBITA_EXCL_SBC",Input!N$2,Date,,,Ccy,Conv)</f>
        <v>146502</v>
      </c>
      <c r="M88" s="4">
        <f>_xll.ciqfunctions.udf.CIQ(InputTicker,"IQ_EBITA_EXCL_SBC",Input!O$2,Date,,,Ccy,Conv)</f>
        <v>166513</v>
      </c>
      <c r="N88" s="50"/>
      <c r="P88" s="46"/>
      <c r="Q88" s="46"/>
      <c r="R88" s="46"/>
      <c r="T88" s="42"/>
      <c r="U88" s="42"/>
      <c r="V88" s="46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  <c r="BA88" s="42"/>
      <c r="BB88" s="42"/>
      <c r="BC88" s="42"/>
      <c r="BD88" s="42"/>
      <c r="BE88" s="42"/>
      <c r="BF88" s="42"/>
      <c r="BG88" s="42"/>
      <c r="BH88" s="42"/>
      <c r="BI88" s="42"/>
      <c r="BJ88" s="42"/>
      <c r="BK88" s="42"/>
      <c r="BL88" s="42"/>
      <c r="BM88" s="42"/>
      <c r="BN88" s="42"/>
    </row>
    <row r="89" spans="1:66" ht="12.75" customHeight="1" x14ac:dyDescent="0.2">
      <c r="A89" s="1" t="s">
        <v>309</v>
      </c>
      <c r="B89" s="4">
        <f>_xll.ciqfunctions.udf.CIQ(InputTicker,"IQ_EBITDAR",Input!D$2,Date,,,Ccy,Conv)</f>
        <v>34561</v>
      </c>
      <c r="C89" s="4">
        <f>_xll.ciqfunctions.udf.CIQ(InputTicker,"IQ_EBITDAR",Input!E$2,Date,,,Ccy,Conv)</f>
        <v>34002</v>
      </c>
      <c r="D89" s="4">
        <f>_xll.ciqfunctions.udf.CIQ(InputTicker,"IQ_EBITDAR",Input!F$2,Date,,,Ccy,Conv)</f>
        <v>38543</v>
      </c>
      <c r="E89" s="4">
        <f>_xll.ciqfunctions.udf.CIQ(InputTicker,"IQ_EBITDAR",Input!G$2,Date,,,Ccy,Conv)</f>
        <v>46543</v>
      </c>
      <c r="F89" s="4">
        <f>_xll.ciqfunctions.udf.CIQ(InputTicker,"IQ_EBITDAR",Input!H$2,Date,,,Ccy,Conv)</f>
        <v>56266</v>
      </c>
      <c r="G89" s="4">
        <f>_xll.ciqfunctions.udf.CIQ(InputTicker,"IQ_EBITDAR",Input!I$2,Date,,,Ccy,Conv)</f>
        <v>67302</v>
      </c>
      <c r="H89" s="4">
        <f>_xll.ciqfunctions.udf.CIQ(InputTicker,"IQ_EBITDAR",Input!J$2,Date,,,Ccy,Conv)</f>
        <v>82943</v>
      </c>
      <c r="I89" s="4">
        <f>_xll.ciqfunctions.udf.CIQ(InputTicker,"IQ_EBITDAR",Input!K$2,Date,,,Ccy,Conv)</f>
        <v>100444</v>
      </c>
      <c r="J89" s="4">
        <f>_xll.ciqfunctions.udf.CIQ(InputTicker,"IQ_EBITDAR",Input!L$2,Date,,,Ccy,Conv)</f>
        <v>104898</v>
      </c>
      <c r="K89" s="4">
        <f>_xll.ciqfunctions.udf.CIQ(InputTicker,"IQ_EBITDAR",Input!M$2,Date,,,Ccy,Conv)</f>
        <v>132988</v>
      </c>
      <c r="L89" s="4">
        <f>_xll.ciqfunctions.udf.CIQ(InputTicker,"IQ_EBITDAR",Input!N$2,Date,,,Ccy,Conv)</f>
        <v>162052</v>
      </c>
      <c r="M89" s="4">
        <f>_xll.ciqfunctions.udf.CIQ(InputTicker,"IQ_EBITDAR",Input!O$2,Date,,,Ccy,Conv)</f>
        <v>0</v>
      </c>
      <c r="N89" s="50"/>
      <c r="P89" s="46"/>
      <c r="Q89" s="46"/>
      <c r="R89" s="46"/>
      <c r="T89" s="42"/>
      <c r="U89" s="42"/>
      <c r="V89" s="46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  <c r="BA89" s="42"/>
      <c r="BB89" s="42"/>
      <c r="BC89" s="42"/>
      <c r="BD89" s="42"/>
      <c r="BE89" s="42"/>
      <c r="BF89" s="42"/>
      <c r="BG89" s="42"/>
      <c r="BH89" s="42"/>
      <c r="BI89" s="42"/>
      <c r="BJ89" s="42"/>
      <c r="BK89" s="42"/>
      <c r="BL89" s="42"/>
      <c r="BM89" s="42"/>
      <c r="BN89" s="42"/>
    </row>
    <row r="90" spans="1:66" ht="12.75" customHeight="1" x14ac:dyDescent="0.2">
      <c r="A90" s="1" t="s">
        <v>295</v>
      </c>
      <c r="B90" s="4">
        <f>_xll.ciqfunctions.udf.CIQ(InputTicker,"IQ_EBITDAR_EQ_INC",Input!D$2,Date,,,Ccy,Conv)</f>
        <v>34561</v>
      </c>
      <c r="C90" s="4">
        <f>_xll.ciqfunctions.udf.CIQ(InputTicker,"IQ_EBITDAR_EQ_INC",Input!E$2,Date,,,Ccy,Conv)</f>
        <v>34002</v>
      </c>
      <c r="D90" s="4">
        <f>_xll.ciqfunctions.udf.CIQ(InputTicker,"IQ_EBITDAR_EQ_INC",Input!F$2,Date,,,Ccy,Conv)</f>
        <v>39955</v>
      </c>
      <c r="E90" s="4">
        <f>_xll.ciqfunctions.udf.CIQ(InputTicker,"IQ_EBITDAR_EQ_INC",Input!G$2,Date,,,Ccy,Conv)</f>
        <v>48128</v>
      </c>
      <c r="F90" s="4">
        <f>_xll.ciqfunctions.udf.CIQ(InputTicker,"IQ_EBITDAR_EQ_INC",Input!H$2,Date,,,Ccy,Conv)</f>
        <v>57973</v>
      </c>
      <c r="G90" s="4">
        <f>_xll.ciqfunctions.udf.CIQ(InputTicker,"IQ_EBITDAR_EQ_INC",Input!I$2,Date,,,Ccy,Conv)</f>
        <v>69345</v>
      </c>
      <c r="H90" s="4">
        <f>_xll.ciqfunctions.udf.CIQ(InputTicker,"IQ_EBITDAR_EQ_INC",Input!J$2,Date,,,Ccy,Conv)</f>
        <v>85070</v>
      </c>
      <c r="I90" s="4">
        <f>_xll.ciqfunctions.udf.CIQ(InputTicker,"IQ_EBITDAR_EQ_INC",Input!K$2,Date,,,Ccy,Conv)</f>
        <v>102873</v>
      </c>
      <c r="J90" s="4">
        <f>_xll.ciqfunctions.udf.CIQ(InputTicker,"IQ_EBITDAR_EQ_INC",Input!L$2,Date,,,Ccy,Conv)</f>
        <v>107773</v>
      </c>
      <c r="K90" s="4">
        <f>_xll.ciqfunctions.udf.CIQ(InputTicker,"IQ_EBITDAR_EQ_INC",Input!M$2,Date,,,Ccy,Conv)</f>
        <v>136543</v>
      </c>
      <c r="L90" s="4">
        <f>_xll.ciqfunctions.udf.CIQ(InputTicker,"IQ_EBITDAR_EQ_INC",Input!N$2,Date,,,Ccy,Conv)</f>
        <v>167576</v>
      </c>
      <c r="M90" s="4">
        <f>_xll.ciqfunctions.udf.CIQ(InputTicker,"IQ_EBITDAR_EQ_INC",Input!O$2,Date,,,Ccy,Conv)</f>
        <v>0</v>
      </c>
      <c r="N90" s="50"/>
      <c r="P90" s="46"/>
      <c r="Q90" s="46"/>
      <c r="R90" s="46"/>
      <c r="T90" s="42"/>
      <c r="U90" s="42"/>
      <c r="V90" s="46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  <c r="BJ90" s="42"/>
      <c r="BK90" s="42"/>
      <c r="BL90" s="42"/>
      <c r="BM90" s="42"/>
      <c r="BN90" s="42"/>
    </row>
    <row r="91" spans="1:66" ht="12.75" customHeight="1" x14ac:dyDescent="0.2">
      <c r="A91" s="1" t="s">
        <v>296</v>
      </c>
      <c r="B91" s="4">
        <f>_xll.ciqfunctions.udf.CIQ(InputTicker,"IQ_EBITDAR_EQ_INC_EXCL_SBC",Input!D$2,Date,,,Ccy,Conv)</f>
        <v>37135</v>
      </c>
      <c r="C91" s="4">
        <f>_xll.ciqfunctions.udf.CIQ(InputTicker,"IQ_EBITDAR_EQ_INC_EXCL_SBC",Input!E$2,Date,,,Ccy,Conv)</f>
        <v>36670</v>
      </c>
      <c r="D91" s="4">
        <f>_xll.ciqfunctions.udf.CIQ(InputTicker,"IQ_EBITDAR_EQ_INC_EXCL_SBC",Input!F$2,Date,,,Ccy,Conv)</f>
        <v>41809</v>
      </c>
      <c r="E91" s="4">
        <f>_xll.ciqfunctions.udf.CIQ(InputTicker,"IQ_EBITDAR_EQ_INC_EXCL_SBC",Input!G$2,Date,,,Ccy,Conv)</f>
        <v>50483</v>
      </c>
      <c r="F91" s="4">
        <f>_xll.ciqfunctions.udf.CIQ(InputTicker,"IQ_EBITDAR_EQ_INC_EXCL_SBC",Input!H$2,Date,,,Ccy,Conv)</f>
        <v>60918</v>
      </c>
      <c r="G91" s="4">
        <f>_xll.ciqfunctions.udf.CIQ(InputTicker,"IQ_EBITDAR_EQ_INC_EXCL_SBC",Input!I$2,Date,,,Ccy,Conv)</f>
        <v>72591</v>
      </c>
      <c r="H91" s="4">
        <f>_xll.ciqfunctions.udf.CIQ(InputTicker,"IQ_EBITDAR_EQ_INC_EXCL_SBC",Input!J$2,Date,,,Ccy,Conv)</f>
        <v>89061</v>
      </c>
      <c r="I91" s="4">
        <f>_xll.ciqfunctions.udf.CIQ(InputTicker,"IQ_EBITDAR_EQ_INC_EXCL_SBC",Input!K$2,Date,,,Ccy,Conv)</f>
        <v>107914</v>
      </c>
      <c r="J91" s="4">
        <f>_xll.ciqfunctions.udf.CIQ(InputTicker,"IQ_EBITDAR_EQ_INC_EXCL_SBC",Input!L$2,Date,,,Ccy,Conv)</f>
        <v>114509</v>
      </c>
      <c r="K91" s="4">
        <f>_xll.ciqfunctions.udf.CIQ(InputTicker,"IQ_EBITDAR_EQ_INC_EXCL_SBC",Input!M$2,Date,,,Ccy,Conv)</f>
        <v>143722</v>
      </c>
      <c r="L91" s="4">
        <f>_xll.ciqfunctions.udf.CIQ(InputTicker,"IQ_EBITDAR_EQ_INC_EXCL_SBC",Input!N$2,Date,,,Ccy,Conv)</f>
        <v>174026</v>
      </c>
      <c r="M91" s="4">
        <f>_xll.ciqfunctions.udf.CIQ(InputTicker,"IQ_EBITDAR_EQ_INC_EXCL_SBC",Input!O$2,Date,,,Ccy,Conv)</f>
        <v>0</v>
      </c>
      <c r="N91" s="50"/>
      <c r="P91" s="46"/>
      <c r="Q91" s="46"/>
      <c r="R91" s="46"/>
      <c r="T91" s="42"/>
      <c r="U91" s="42"/>
      <c r="V91" s="46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  <c r="BA91" s="42"/>
      <c r="BB91" s="42"/>
      <c r="BC91" s="42"/>
      <c r="BD91" s="42"/>
      <c r="BE91" s="42"/>
      <c r="BF91" s="42"/>
      <c r="BG91" s="42"/>
      <c r="BH91" s="42"/>
      <c r="BI91" s="42"/>
      <c r="BJ91" s="42"/>
      <c r="BK91" s="42"/>
      <c r="BL91" s="42"/>
      <c r="BM91" s="42"/>
      <c r="BN91" s="42"/>
    </row>
    <row r="92" spans="1:66" ht="12.75" customHeight="1" x14ac:dyDescent="0.2">
      <c r="A92" s="1" t="s">
        <v>297</v>
      </c>
      <c r="B92" s="4">
        <f>_xll.ciqfunctions.udf.CIQ(InputTicker,"IQ_EBITDAR_EXCL_SBC",Input!D$2,Date,,,Ccy,Conv)</f>
        <v>37135</v>
      </c>
      <c r="C92" s="4">
        <f>_xll.ciqfunctions.udf.CIQ(InputTicker,"IQ_EBITDAR_EXCL_SBC",Input!E$2,Date,,,Ccy,Conv)</f>
        <v>36670</v>
      </c>
      <c r="D92" s="4">
        <f>_xll.ciqfunctions.udf.CIQ(InputTicker,"IQ_EBITDAR_EXCL_SBC",Input!F$2,Date,,,Ccy,Conv)</f>
        <v>41809</v>
      </c>
      <c r="E92" s="4">
        <f>_xll.ciqfunctions.udf.CIQ(InputTicker,"IQ_EBITDAR_EXCL_SBC",Input!G$2,Date,,,Ccy,Conv)</f>
        <v>50483</v>
      </c>
      <c r="F92" s="4">
        <f>_xll.ciqfunctions.udf.CIQ(InputTicker,"IQ_EBITDAR_EXCL_SBC",Input!H$2,Date,,,Ccy,Conv)</f>
        <v>60918</v>
      </c>
      <c r="G92" s="4">
        <f>_xll.ciqfunctions.udf.CIQ(InputTicker,"IQ_EBITDAR_EXCL_SBC",Input!I$2,Date,,,Ccy,Conv)</f>
        <v>72591</v>
      </c>
      <c r="H92" s="4">
        <f>_xll.ciqfunctions.udf.CIQ(InputTicker,"IQ_EBITDAR_EXCL_SBC",Input!J$2,Date,,,Ccy,Conv)</f>
        <v>89061</v>
      </c>
      <c r="I92" s="4">
        <f>_xll.ciqfunctions.udf.CIQ(InputTicker,"IQ_EBITDAR_EXCL_SBC",Input!K$2,Date,,,Ccy,Conv)</f>
        <v>107946</v>
      </c>
      <c r="J92" s="4">
        <f>_xll.ciqfunctions.udf.CIQ(InputTicker,"IQ_EBITDAR_EXCL_SBC",Input!L$2,Date,,,Ccy,Conv)</f>
        <v>114509</v>
      </c>
      <c r="K92" s="4">
        <f>_xll.ciqfunctions.udf.CIQ(InputTicker,"IQ_EBITDAR_EXCL_SBC",Input!M$2,Date,,,Ccy,Conv)</f>
        <v>143722</v>
      </c>
      <c r="L92" s="4">
        <f>_xll.ciqfunctions.udf.CIQ(InputTicker,"IQ_EBITDAR_EXCL_SBC",Input!N$2,Date,,,Ccy,Conv)</f>
        <v>174026</v>
      </c>
      <c r="M92" s="4">
        <f>_xll.ciqfunctions.udf.CIQ(InputTicker,"IQ_EBITDAR_EXCL_SBC",Input!O$2,Date,,,Ccy,Conv)</f>
        <v>0</v>
      </c>
      <c r="N92" s="50"/>
      <c r="P92" s="46"/>
      <c r="Q92" s="46"/>
      <c r="R92" s="46"/>
      <c r="T92" s="42"/>
      <c r="U92" s="42"/>
      <c r="V92" s="46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  <c r="BJ92" s="42"/>
      <c r="BK92" s="42"/>
      <c r="BL92" s="42"/>
      <c r="BM92" s="42"/>
      <c r="BN92" s="42"/>
    </row>
    <row r="93" spans="1:66" ht="12.75" customHeight="1" x14ac:dyDescent="0.2">
      <c r="A93" s="1" t="s">
        <v>430</v>
      </c>
      <c r="B93" s="4">
        <f>_xll.ciqfunctions.udf.CIQ(InputTicker,"IQ_EBITDA_CAPEX",Input!D$2,Date,,,Ccy,Conv)</f>
        <v>27628</v>
      </c>
      <c r="C93" s="4">
        <f>_xll.ciqfunctions.udf.CIQ(InputTicker,"IQ_EBITDA_CAPEX",Input!E$2,Date,,,Ccy,Conv)</f>
        <v>24723</v>
      </c>
      <c r="D93" s="4">
        <f>_xll.ciqfunctions.udf.CIQ(InputTicker,"IQ_EBITDA_CAPEX",Input!F$2,Date,,,Ccy,Conv)</f>
        <v>29002</v>
      </c>
      <c r="E93" s="4">
        <f>_xll.ciqfunctions.udf.CIQ(InputTicker,"IQ_EBITDA_CAPEX",Input!G$2,Date,,,Ccy,Conv)</f>
        <v>33326</v>
      </c>
      <c r="F93" s="4">
        <f>_xll.ciqfunctions.udf.CIQ(InputTicker,"IQ_EBITDA_CAPEX",Input!H$2,Date,,,Ccy,Conv)</f>
        <v>40634</v>
      </c>
      <c r="G93" s="4">
        <f>_xll.ciqfunctions.udf.CIQ(InputTicker,"IQ_EBITDA_CAPEX",Input!I$2,Date,,,Ccy,Conv)</f>
        <v>49818</v>
      </c>
      <c r="H93" s="4">
        <f>_xll.ciqfunctions.udf.CIQ(InputTicker,"IQ_EBITDA_CAPEX",Input!J$2,Date,,,Ccy,Conv)</f>
        <v>60194</v>
      </c>
      <c r="I93" s="4">
        <f>_xll.ciqfunctions.udf.CIQ(InputTicker,"IQ_EBITDA_CAPEX",Input!K$2,Date,,,Ccy,Conv)</f>
        <v>74097</v>
      </c>
      <c r="J93" s="4">
        <f>_xll.ciqfunctions.udf.CIQ(InputTicker,"IQ_EBITDA_CAPEX",Input!L$2,Date,,,Ccy,Conv)</f>
        <v>73916</v>
      </c>
      <c r="K93" s="4">
        <f>_xll.ciqfunctions.udf.CIQ(InputTicker,"IQ_EBITDA_CAPEX",Input!M$2,Date,,,Ccy,Conv)</f>
        <v>84956</v>
      </c>
      <c r="L93" s="4">
        <f>_xll.ciqfunctions.udf.CIQ(InputTicker,"IQ_EBITDA_CAPEX",Input!N$2,Date,,,Ccy,Conv)</f>
        <v>91977</v>
      </c>
      <c r="M93" s="4">
        <f>_xll.ciqfunctions.udf.CIQ(InputTicker,"IQ_EBITDA_CAPEX",Input!O$2,Date,,,Ccy,Conv)</f>
        <v>87232</v>
      </c>
      <c r="N93" s="49"/>
      <c r="P93" s="46"/>
      <c r="Q93" s="46"/>
      <c r="R93" s="46"/>
      <c r="T93" s="42"/>
      <c r="U93" s="42"/>
      <c r="V93" s="46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  <c r="BA93" s="42"/>
      <c r="BB93" s="42"/>
      <c r="BC93" s="42"/>
      <c r="BD93" s="42"/>
      <c r="BE93" s="42"/>
      <c r="BF93" s="42"/>
      <c r="BG93" s="42"/>
      <c r="BH93" s="42"/>
      <c r="BI93" s="42"/>
      <c r="BJ93" s="42"/>
      <c r="BK93" s="42"/>
      <c r="BL93" s="42"/>
      <c r="BM93" s="42"/>
      <c r="BN93" s="42"/>
    </row>
    <row r="94" spans="1:66" ht="12.75" customHeight="1" x14ac:dyDescent="0.2">
      <c r="A94" s="1" t="s">
        <v>39</v>
      </c>
      <c r="B94" s="4">
        <f>_xll.ciqfunctions.udf.CIQ(InputTicker,"IQ_FEES_OTHER_INCOME",Input!D$2,Date,,,Ccy,Conv)</f>
        <v>0</v>
      </c>
      <c r="C94" s="4">
        <f>_xll.ciqfunctions.udf.CIQ(InputTicker,"IQ_FEES_OTHER_INCOME",Input!E$2,Date,,,Ccy,Conv)</f>
        <v>0</v>
      </c>
      <c r="D94" s="4">
        <f>_xll.ciqfunctions.udf.CIQ(InputTicker,"IQ_FEES_OTHER_INCOME",Input!F$2,Date,,,Ccy,Conv)</f>
        <v>0</v>
      </c>
      <c r="E94" s="4">
        <f>_xll.ciqfunctions.udf.CIQ(InputTicker,"IQ_FEES_OTHER_INCOME",Input!G$2,Date,,,Ccy,Conv)</f>
        <v>0</v>
      </c>
      <c r="F94" s="4">
        <f>_xll.ciqfunctions.udf.CIQ(InputTicker,"IQ_FEES_OTHER_INCOME",Input!H$2,Date,,,Ccy,Conv)</f>
        <v>0</v>
      </c>
      <c r="G94" s="4">
        <f>_xll.ciqfunctions.udf.CIQ(InputTicker,"IQ_FEES_OTHER_INCOME",Input!I$2,Date,,,Ccy,Conv)</f>
        <v>0</v>
      </c>
      <c r="H94" s="4">
        <f>_xll.ciqfunctions.udf.CIQ(InputTicker,"IQ_FEES_OTHER_INCOME",Input!J$2,Date,,,Ccy,Conv)</f>
        <v>0</v>
      </c>
      <c r="I94" s="4">
        <f>_xll.ciqfunctions.udf.CIQ(InputTicker,"IQ_FEES_OTHER_INCOME",Input!K$2,Date,,,Ccy,Conv)</f>
        <v>0</v>
      </c>
      <c r="J94" s="4">
        <f>_xll.ciqfunctions.udf.CIQ(InputTicker,"IQ_FEES_OTHER_INCOME",Input!L$2,Date,,,Ccy,Conv)</f>
        <v>0</v>
      </c>
      <c r="K94" s="4">
        <f>_xll.ciqfunctions.udf.CIQ(InputTicker,"IQ_FEES_OTHER_INCOME",Input!M$2,Date,,,Ccy,Conv)</f>
        <v>0</v>
      </c>
      <c r="L94" s="4">
        <f>_xll.ciqfunctions.udf.CIQ(InputTicker,"IQ_FEES_OTHER_INCOME",Input!N$2,Date,,,Ccy,Conv)</f>
        <v>0</v>
      </c>
      <c r="M94" s="4">
        <f>_xll.ciqfunctions.udf.CIQ(InputTicker,"IQ_FEES_OTHER_INCOME",Input!O$2,Date,,,Ccy,Conv)</f>
        <v>0</v>
      </c>
      <c r="N94" s="50"/>
      <c r="P94" s="46"/>
      <c r="Q94" s="46"/>
      <c r="R94" s="46"/>
      <c r="T94" s="42"/>
      <c r="U94" s="42"/>
      <c r="V94" s="46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  <c r="BA94" s="42"/>
      <c r="BB94" s="42"/>
      <c r="BC94" s="42"/>
      <c r="BD94" s="42"/>
      <c r="BE94" s="42"/>
      <c r="BF94" s="42"/>
      <c r="BG94" s="42"/>
      <c r="BH94" s="42"/>
      <c r="BI94" s="42"/>
      <c r="BJ94" s="42"/>
      <c r="BK94" s="42"/>
      <c r="BL94" s="42"/>
      <c r="BM94" s="42"/>
      <c r="BN94" s="42"/>
    </row>
    <row r="95" spans="1:66" ht="12.75" customHeight="1" x14ac:dyDescent="0.2">
      <c r="A95" s="1" t="s">
        <v>318</v>
      </c>
      <c r="B95" s="4">
        <f>_xll.ciqfunctions.udf.CIQ(InputTicker,"IQ_SAME_STORE",Input!D$2,Date)</f>
        <v>0</v>
      </c>
      <c r="C95" s="4">
        <f>_xll.ciqfunctions.udf.CIQ(InputTicker,"IQ_SAME_STORE",Input!E$2,Date)</f>
        <v>0</v>
      </c>
      <c r="D95" s="4">
        <f>_xll.ciqfunctions.udf.CIQ(InputTicker,"IQ_SAME_STORE",Input!F$2,Date)</f>
        <v>0</v>
      </c>
      <c r="E95" s="4">
        <f>_xll.ciqfunctions.udf.CIQ(InputTicker,"IQ_SAME_STORE",Input!G$2,Date)</f>
        <v>0</v>
      </c>
      <c r="F95" s="4">
        <f>_xll.ciqfunctions.udf.CIQ(InputTicker,"IQ_SAME_STORE",Input!H$2,Date)</f>
        <v>0</v>
      </c>
      <c r="G95" s="4">
        <f>_xll.ciqfunctions.udf.CIQ(InputTicker,"IQ_SAME_STORE",Input!I$2,Date)</f>
        <v>0</v>
      </c>
      <c r="H95" s="4">
        <f>_xll.ciqfunctions.udf.CIQ(InputTicker,"IQ_SAME_STORE",Input!J$2,Date)</f>
        <v>0</v>
      </c>
      <c r="I95" s="4">
        <f>_xll.ciqfunctions.udf.CIQ(InputTicker,"IQ_SAME_STORE",Input!K$2,Date)</f>
        <v>0</v>
      </c>
      <c r="J95" s="4">
        <f>_xll.ciqfunctions.udf.CIQ(InputTicker,"IQ_SAME_STORE",Input!L$2,Date)</f>
        <v>0</v>
      </c>
      <c r="K95" s="4">
        <f>_xll.ciqfunctions.udf.CIQ(InputTicker,"IQ_SAME_STORE",Input!M$2,Date)</f>
        <v>0</v>
      </c>
      <c r="L95" s="4">
        <f>_xll.ciqfunctions.udf.CIQ(InputTicker,"IQ_SAME_STORE",Input!N$2,Date)</f>
        <v>0</v>
      </c>
      <c r="M95" s="4">
        <f>_xll.ciqfunctions.udf.CIQ(InputTicker,"IQ_SAME_STORE",Input!O$2,Date)</f>
        <v>0</v>
      </c>
      <c r="N95" s="42"/>
      <c r="P95" s="46"/>
      <c r="Q95" s="46"/>
      <c r="R95" s="46"/>
      <c r="T95" s="42"/>
      <c r="U95" s="42"/>
      <c r="V95" s="46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  <c r="BA95" s="42"/>
      <c r="BB95" s="42"/>
      <c r="BC95" s="42"/>
      <c r="BD95" s="42"/>
      <c r="BE95" s="42"/>
      <c r="BF95" s="42"/>
      <c r="BG95" s="42"/>
      <c r="BH95" s="42"/>
      <c r="BI95" s="42"/>
      <c r="BJ95" s="42"/>
      <c r="BK95" s="42"/>
      <c r="BL95" s="42"/>
      <c r="BM95" s="42"/>
      <c r="BN95" s="42"/>
    </row>
    <row r="96" spans="1:66" ht="12.75" customHeight="1" x14ac:dyDescent="0.2">
      <c r="A96" s="1" t="s">
        <v>215</v>
      </c>
      <c r="B96" s="4">
        <f>_xll.ciqfunctions.udf.CIQ(InputTicker, "IQ_TOTAL_REV_AS_REPORTED",Input!D$2,Date,,,Ccy,Conv)</f>
        <v>93580</v>
      </c>
      <c r="C96" s="4">
        <f>_xll.ciqfunctions.udf.CIQ(InputTicker, "IQ_TOTAL_REV_AS_REPORTED",Input!E$2,Date,,,Ccy,Conv)</f>
        <v>91154</v>
      </c>
      <c r="D96" s="4">
        <f>_xll.ciqfunctions.udf.CIQ(InputTicker, "IQ_TOTAL_REV_AS_REPORTED",Input!F$2,Date,,,Ccy,Conv)</f>
        <v>96571</v>
      </c>
      <c r="E96" s="4">
        <f>_xll.ciqfunctions.udf.CIQ(InputTicker, "IQ_TOTAL_REV_AS_REPORTED",Input!G$2,Date,,,Ccy,Conv)</f>
        <v>110360</v>
      </c>
      <c r="F96" s="4">
        <f>_xll.ciqfunctions.udf.CIQ(InputTicker, "IQ_TOTAL_REV_AS_REPORTED",Input!H$2,Date,,,Ccy,Conv)</f>
        <v>125843</v>
      </c>
      <c r="G96" s="4">
        <f>_xll.ciqfunctions.udf.CIQ(InputTicker, "IQ_TOTAL_REV_AS_REPORTED",Input!I$2,Date,,,Ccy,Conv)</f>
        <v>143015</v>
      </c>
      <c r="H96" s="4">
        <f>_xll.ciqfunctions.udf.CIQ(InputTicker, "IQ_TOTAL_REV_AS_REPORTED",Input!J$2,Date,,,Ccy,Conv)</f>
        <v>168088</v>
      </c>
      <c r="I96" s="4">
        <f>_xll.ciqfunctions.udf.CIQ(InputTicker, "IQ_TOTAL_REV_AS_REPORTED",Input!K$2,Date,,,Ccy,Conv)</f>
        <v>198270</v>
      </c>
      <c r="J96" s="4">
        <f>_xll.ciqfunctions.udf.CIQ(InputTicker, "IQ_TOTAL_REV_AS_REPORTED",Input!L$2,Date,,,Ccy,Conv)</f>
        <v>211915</v>
      </c>
      <c r="K96" s="4">
        <f>_xll.ciqfunctions.udf.CIQ(InputTicker, "IQ_TOTAL_REV_AS_REPORTED",Input!M$2,Date,,,Ccy,Conv)</f>
        <v>245122</v>
      </c>
      <c r="L96" s="4">
        <f>_xll.ciqfunctions.udf.CIQ(InputTicker, "IQ_TOTAL_REV_AS_REPORTED",Input!N$2,Date,,,Ccy,Conv)</f>
        <v>281724</v>
      </c>
      <c r="M96" s="4">
        <f>_xll.ciqfunctions.udf.CIQ(InputTicker, "IQ_TOTAL_REV_AS_REPORTED",Input!O$2,Date,,,Ccy,Conv)</f>
        <v>318273</v>
      </c>
      <c r="N96" s="49"/>
      <c r="P96" s="46"/>
      <c r="Q96" s="46"/>
      <c r="R96" s="46"/>
      <c r="T96" s="42"/>
      <c r="U96" s="42"/>
      <c r="V96" s="46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  <c r="BA96" s="42"/>
      <c r="BB96" s="42"/>
      <c r="BC96" s="42"/>
      <c r="BD96" s="42"/>
      <c r="BE96" s="42"/>
      <c r="BF96" s="42"/>
      <c r="BG96" s="42"/>
      <c r="BH96" s="42"/>
      <c r="BI96" s="42"/>
      <c r="BJ96" s="42"/>
      <c r="BK96" s="42"/>
      <c r="BL96" s="42"/>
      <c r="BM96" s="42"/>
      <c r="BN96" s="42"/>
    </row>
    <row r="97" spans="1:66" ht="12.75" customHeight="1" x14ac:dyDescent="0.2">
      <c r="A97" s="1" t="s">
        <v>463</v>
      </c>
      <c r="B97" s="4">
        <f>_xll.ciqfunctions.udf.CIQ(InputTicker, "IQ_AS_REPORTED_EBITDA",Input!D$2,Date,,,Ccy,Conv)</f>
        <v>0</v>
      </c>
      <c r="C97" s="4">
        <f>_xll.ciqfunctions.udf.CIQ(InputTicker, "IQ_AS_REPORTED_EBITDA",Input!E$2,Date,,,Ccy,Conv)</f>
        <v>0</v>
      </c>
      <c r="D97" s="4">
        <f>_xll.ciqfunctions.udf.CIQ(InputTicker, "IQ_AS_REPORTED_EBITDA",Input!F$2,Date,,,Ccy,Conv)</f>
        <v>0</v>
      </c>
      <c r="E97" s="4">
        <f>_xll.ciqfunctions.udf.CIQ(InputTicker, "IQ_AS_REPORTED_EBITDA",Input!G$2,Date,,,Ccy,Conv)</f>
        <v>0</v>
      </c>
      <c r="F97" s="4">
        <f>_xll.ciqfunctions.udf.CIQ(InputTicker, "IQ_AS_REPORTED_EBITDA",Input!H$2,Date,,,Ccy,Conv)</f>
        <v>0</v>
      </c>
      <c r="G97" s="4">
        <f>_xll.ciqfunctions.udf.CIQ(InputTicker, "IQ_AS_REPORTED_EBITDA",Input!I$2,Date,,,Ccy,Conv)</f>
        <v>0</v>
      </c>
      <c r="H97" s="4">
        <f>_xll.ciqfunctions.udf.CIQ(InputTicker, "IQ_AS_REPORTED_EBITDA",Input!J$2,Date,,,Ccy,Conv)</f>
        <v>0</v>
      </c>
      <c r="I97" s="4">
        <f>_xll.ciqfunctions.udf.CIQ(InputTicker, "IQ_AS_REPORTED_EBITDA",Input!K$2,Date,,,Ccy,Conv)</f>
        <v>0</v>
      </c>
      <c r="J97" s="4">
        <f>_xll.ciqfunctions.udf.CIQ(InputTicker, "IQ_AS_REPORTED_EBITDA",Input!L$2,Date,,,Ccy,Conv)</f>
        <v>0</v>
      </c>
      <c r="K97" s="4">
        <f>_xll.ciqfunctions.udf.CIQ(InputTicker, "IQ_AS_REPORTED_EBITDA",Input!M$2,Date,,,Ccy,Conv)</f>
        <v>0</v>
      </c>
      <c r="L97" s="4">
        <f>_xll.ciqfunctions.udf.CIQ(InputTicker, "IQ_AS_REPORTED_EBITDA",Input!N$2,Date,,,Ccy,Conv)</f>
        <v>0</v>
      </c>
      <c r="M97" s="4">
        <f>_xll.ciqfunctions.udf.CIQ(InputTicker, "IQ_AS_REPORTED_EBITDA",Input!O$2,Date,,,Ccy,Conv)</f>
        <v>0</v>
      </c>
      <c r="N97" s="49"/>
      <c r="P97" s="46"/>
      <c r="Q97" s="46"/>
      <c r="R97" s="46"/>
      <c r="T97" s="42"/>
      <c r="U97" s="42"/>
      <c r="V97" s="46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  <c r="BA97" s="42"/>
      <c r="BB97" s="42"/>
      <c r="BC97" s="42"/>
      <c r="BD97" s="42"/>
      <c r="BE97" s="42"/>
      <c r="BF97" s="42"/>
      <c r="BG97" s="42"/>
      <c r="BH97" s="42"/>
      <c r="BI97" s="42"/>
      <c r="BJ97" s="42"/>
      <c r="BK97" s="42"/>
      <c r="BL97" s="42"/>
      <c r="BM97" s="42"/>
      <c r="BN97" s="42"/>
    </row>
    <row r="98" spans="1:66" ht="12.75" customHeight="1" x14ac:dyDescent="0.2">
      <c r="A98" s="1" t="s">
        <v>0</v>
      </c>
      <c r="B98" s="4">
        <f>_xll.ciqfunctions.udf.CIQ(InputTicker, "IQ_PROV_BAD_DEBTS_PATIENT_SERVICE_REV",Input!D$2,Date,,,Ccy,Conv)</f>
        <v>0</v>
      </c>
      <c r="C98" s="4">
        <f>_xll.ciqfunctions.udf.CIQ(InputTicker, "IQ_PROV_BAD_DEBTS_PATIENT_SERVICE_REV",Input!E$2,Date,,,Ccy,Conv)</f>
        <v>0</v>
      </c>
      <c r="D98" s="4">
        <f>_xll.ciqfunctions.udf.CIQ(InputTicker, "IQ_PROV_BAD_DEBTS_PATIENT_SERVICE_REV",Input!F$2,Date,,,Ccy,Conv)</f>
        <v>0</v>
      </c>
      <c r="E98" s="4">
        <f>_xll.ciqfunctions.udf.CIQ(InputTicker, "IQ_PROV_BAD_DEBTS_PATIENT_SERVICE_REV",Input!G$2,Date,,,Ccy,Conv)</f>
        <v>0</v>
      </c>
      <c r="F98" s="4">
        <f>_xll.ciqfunctions.udf.CIQ(InputTicker, "IQ_PROV_BAD_DEBTS_PATIENT_SERVICE_REV",Input!H$2,Date,,,Ccy,Conv)</f>
        <v>0</v>
      </c>
      <c r="G98" s="4">
        <f>_xll.ciqfunctions.udf.CIQ(InputTicker, "IQ_PROV_BAD_DEBTS_PATIENT_SERVICE_REV",Input!I$2,Date,,,Ccy,Conv)</f>
        <v>0</v>
      </c>
      <c r="H98" s="4">
        <f>_xll.ciqfunctions.udf.CIQ(InputTicker, "IQ_PROV_BAD_DEBTS_PATIENT_SERVICE_REV",Input!J$2,Date,,,Ccy,Conv)</f>
        <v>0</v>
      </c>
      <c r="I98" s="4">
        <f>_xll.ciqfunctions.udf.CIQ(InputTicker, "IQ_PROV_BAD_DEBTS_PATIENT_SERVICE_REV",Input!K$2,Date,,,Ccy,Conv)</f>
        <v>0</v>
      </c>
      <c r="J98" s="4">
        <f>_xll.ciqfunctions.udf.CIQ(InputTicker, "IQ_PROV_BAD_DEBTS_PATIENT_SERVICE_REV",Input!L$2,Date,,,Ccy,Conv)</f>
        <v>0</v>
      </c>
      <c r="K98" s="4">
        <f>_xll.ciqfunctions.udf.CIQ(InputTicker, "IQ_PROV_BAD_DEBTS_PATIENT_SERVICE_REV",Input!M$2,Date,,,Ccy,Conv)</f>
        <v>0</v>
      </c>
      <c r="L98" s="4">
        <f>_xll.ciqfunctions.udf.CIQ(InputTicker, "IQ_PROV_BAD_DEBTS_PATIENT_SERVICE_REV",Input!N$2,Date,,,Ccy,Conv)</f>
        <v>0</v>
      </c>
      <c r="M98" s="4">
        <f>_xll.ciqfunctions.udf.CIQ(InputTicker, "IQ_PROV_BAD_DEBTS_PATIENT_SERVICE_REV",Input!O$2,Date,,,Ccy,Conv)</f>
        <v>0</v>
      </c>
      <c r="N98" s="49"/>
      <c r="P98" s="46"/>
      <c r="Q98" s="46"/>
      <c r="R98" s="46"/>
      <c r="T98" s="42"/>
      <c r="U98" s="42"/>
      <c r="V98" s="46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  <c r="BA98" s="42"/>
      <c r="BB98" s="42"/>
      <c r="BC98" s="42"/>
      <c r="BD98" s="42"/>
      <c r="BE98" s="42"/>
      <c r="BF98" s="42"/>
      <c r="BG98" s="42"/>
      <c r="BH98" s="42"/>
      <c r="BI98" s="42"/>
      <c r="BJ98" s="42"/>
      <c r="BK98" s="42"/>
      <c r="BL98" s="42"/>
      <c r="BM98" s="42"/>
      <c r="BN98" s="42"/>
    </row>
    <row r="99" spans="1:66" ht="12.75" customHeight="1" x14ac:dyDescent="0.2">
      <c r="A99" s="1" t="s">
        <v>23</v>
      </c>
      <c r="B99" s="4">
        <f>_xll.ciqfunctions.udf.CIQ(InputTicker, "IQ_EARNING_PARENT_EXCL_EXTRA",Input!D$2,Date,,,Ccy,Conv)</f>
        <v>12193</v>
      </c>
      <c r="C99" s="4">
        <f>_xll.ciqfunctions.udf.CIQ(InputTicker, "IQ_EARNING_PARENT_EXCL_EXTRA",Input!E$2,Date,,,Ccy,Conv)</f>
        <v>20539</v>
      </c>
      <c r="D99" s="4">
        <f>_xll.ciqfunctions.udf.CIQ(InputTicker, "IQ_EARNING_PARENT_EXCL_EXTRA",Input!F$2,Date,,,Ccy,Conv)</f>
        <v>25489</v>
      </c>
      <c r="E99" s="4">
        <f>_xll.ciqfunctions.udf.CIQ(InputTicker, "IQ_EARNING_PARENT_EXCL_EXTRA",Input!G$2,Date,,,Ccy,Conv)</f>
        <v>16571</v>
      </c>
      <c r="F99" s="4">
        <f>_xll.ciqfunctions.udf.CIQ(InputTicker, "IQ_EARNING_PARENT_EXCL_EXTRA",Input!H$2,Date,,,Ccy,Conv)</f>
        <v>39240</v>
      </c>
      <c r="G99" s="4">
        <f>_xll.ciqfunctions.udf.CIQ(InputTicker, "IQ_EARNING_PARENT_EXCL_EXTRA",Input!I$2,Date,,,Ccy,Conv)</f>
        <v>44281</v>
      </c>
      <c r="H99" s="4">
        <f>_xll.ciqfunctions.udf.CIQ(InputTicker, "IQ_EARNING_PARENT_EXCL_EXTRA",Input!J$2,Date,,,Ccy,Conv)</f>
        <v>61271</v>
      </c>
      <c r="I99" s="4">
        <f>_xll.ciqfunctions.udf.CIQ(InputTicker, "IQ_EARNING_PARENT_EXCL_EXTRA",Input!K$2,Date,,,Ccy,Conv)</f>
        <v>72738</v>
      </c>
      <c r="J99" s="4">
        <f>_xll.ciqfunctions.udf.CIQ(InputTicker, "IQ_EARNING_PARENT_EXCL_EXTRA",Input!L$2,Date,,,Ccy,Conv)</f>
        <v>72361</v>
      </c>
      <c r="K99" s="4">
        <f>_xll.ciqfunctions.udf.CIQ(InputTicker, "IQ_EARNING_PARENT_EXCL_EXTRA",Input!M$2,Date,,,Ccy,Conv)</f>
        <v>88136</v>
      </c>
      <c r="L99" s="4">
        <f>_xll.ciqfunctions.udf.CIQ(InputTicker, "IQ_EARNING_PARENT_EXCL_EXTRA",Input!N$2,Date,,,Ccy,Conv)</f>
        <v>101832</v>
      </c>
      <c r="M99" s="4">
        <f>_xll.ciqfunctions.udf.CIQ(InputTicker, "IQ_EARNING_PARENT_EXCL_EXTRA",Input!O$2,Date,,,Ccy,Conv)</f>
        <v>125216</v>
      </c>
      <c r="N99" s="49"/>
      <c r="P99" s="46"/>
      <c r="Q99" s="46"/>
      <c r="R99" s="46"/>
      <c r="T99" s="42"/>
      <c r="U99" s="42"/>
      <c r="V99" s="46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  <c r="BA99" s="42"/>
      <c r="BB99" s="42"/>
      <c r="BC99" s="42"/>
      <c r="BD99" s="42"/>
      <c r="BE99" s="42"/>
      <c r="BF99" s="42"/>
      <c r="BG99" s="42"/>
      <c r="BH99" s="42"/>
      <c r="BI99" s="42"/>
      <c r="BJ99" s="42"/>
      <c r="BK99" s="42"/>
      <c r="BL99" s="42"/>
      <c r="BM99" s="42"/>
      <c r="BN99" s="42"/>
    </row>
    <row r="100" spans="1:66" ht="12.75" customHeight="1" x14ac:dyDescent="0.2">
      <c r="A100" s="1" t="s">
        <v>213</v>
      </c>
      <c r="B100" s="4">
        <f>_xll.ciqfunctions.udf.CIQ(InputTicker, "IQ_NI_SFAS",Input!D$2,Date,,,Ccy,Conv)</f>
        <v>0</v>
      </c>
      <c r="C100" s="4">
        <f>_xll.ciqfunctions.udf.CIQ(InputTicker, "IQ_NI_SFAS",Input!E$2,Date,,,Ccy,Conv)</f>
        <v>0</v>
      </c>
      <c r="D100" s="4">
        <f>_xll.ciqfunctions.udf.CIQ(InputTicker, "IQ_NI_SFAS",Input!F$2,Date,,,Ccy,Conv)</f>
        <v>0</v>
      </c>
      <c r="E100" s="4">
        <f>_xll.ciqfunctions.udf.CIQ(InputTicker, "IQ_NI_SFAS",Input!G$2,Date,,,Ccy,Conv)</f>
        <v>0</v>
      </c>
      <c r="F100" s="4">
        <f>_xll.ciqfunctions.udf.CIQ(InputTicker, "IQ_NI_SFAS",Input!H$2,Date,,,Ccy,Conv)</f>
        <v>0</v>
      </c>
      <c r="G100" s="4">
        <f>_xll.ciqfunctions.udf.CIQ(InputTicker, "IQ_NI_SFAS",Input!I$2,Date,,,Ccy,Conv)</f>
        <v>0</v>
      </c>
      <c r="H100" s="4">
        <f>_xll.ciqfunctions.udf.CIQ(InputTicker, "IQ_NI_SFAS",Input!J$2,Date,,,Ccy,Conv)</f>
        <v>0</v>
      </c>
      <c r="I100" s="4">
        <f>_xll.ciqfunctions.udf.CIQ(InputTicker, "IQ_NI_SFAS",Input!K$2,Date,,,Ccy,Conv)</f>
        <v>0</v>
      </c>
      <c r="J100" s="4">
        <f>_xll.ciqfunctions.udf.CIQ(InputTicker, "IQ_NI_SFAS",Input!L$2,Date,,,Ccy,Conv)</f>
        <v>0</v>
      </c>
      <c r="K100" s="4">
        <f>_xll.ciqfunctions.udf.CIQ(InputTicker, "IQ_NI_SFAS",Input!M$2,Date,,,Ccy,Conv)</f>
        <v>0</v>
      </c>
      <c r="L100" s="4">
        <f>_xll.ciqfunctions.udf.CIQ(InputTicker, "IQ_NI_SFAS",Input!N$2,Date,,,Ccy,Conv)</f>
        <v>0</v>
      </c>
      <c r="M100" s="4">
        <f>_xll.ciqfunctions.udf.CIQ(InputTicker, "IQ_NI_SFAS",Input!O$2,Date,,,Ccy,Conv)</f>
        <v>0</v>
      </c>
      <c r="N100" s="49"/>
      <c r="P100" s="46"/>
      <c r="Q100" s="46"/>
      <c r="R100" s="46"/>
      <c r="T100" s="42"/>
      <c r="U100" s="42"/>
      <c r="V100" s="46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  <c r="BA100" s="42"/>
      <c r="BB100" s="42"/>
      <c r="BC100" s="42"/>
      <c r="BD100" s="42"/>
      <c r="BE100" s="42"/>
      <c r="BF100" s="42"/>
      <c r="BG100" s="42"/>
      <c r="BH100" s="42"/>
      <c r="BI100" s="42"/>
      <c r="BJ100" s="42"/>
      <c r="BK100" s="42"/>
      <c r="BL100" s="42"/>
      <c r="BM100" s="42"/>
      <c r="BN100" s="42"/>
    </row>
    <row r="101" spans="1:66" ht="12.75" customHeight="1" x14ac:dyDescent="0.2">
      <c r="A101" s="1" t="s">
        <v>442</v>
      </c>
      <c r="B101" s="4">
        <f>_xll.ciqfunctions.udf.CIQ(InputTicker, "IQ_INTEREST_INCOME",Input!D$2,Date,,,Ccy,Conv)</f>
        <v>766</v>
      </c>
      <c r="C101" s="4">
        <f>_xll.ciqfunctions.udf.CIQ(InputTicker, "IQ_INTEREST_INCOME",Input!E$2,Date,,,Ccy,Conv)</f>
        <v>903</v>
      </c>
      <c r="D101" s="4">
        <f>_xll.ciqfunctions.udf.CIQ(InputTicker, "IQ_INTEREST_INCOME",Input!F$2,Date,,,Ccy,Conv)</f>
        <v>1387</v>
      </c>
      <c r="E101" s="4">
        <f>_xll.ciqfunctions.udf.CIQ(InputTicker, "IQ_INTEREST_INCOME",Input!G$2,Date,,,Ccy,Conv)</f>
        <v>2214</v>
      </c>
      <c r="F101" s="4">
        <f>_xll.ciqfunctions.udf.CIQ(InputTicker, "IQ_INTEREST_INCOME",Input!H$2,Date,,,Ccy,Conv)</f>
        <v>2762</v>
      </c>
      <c r="G101" s="4">
        <f>_xll.ciqfunctions.udf.CIQ(InputTicker, "IQ_INTEREST_INCOME",Input!I$2,Date,,,Ccy,Conv)</f>
        <v>2680</v>
      </c>
      <c r="H101" s="4">
        <f>_xll.ciqfunctions.udf.CIQ(InputTicker, "IQ_INTEREST_INCOME",Input!J$2,Date,,,Ccy,Conv)</f>
        <v>2131</v>
      </c>
      <c r="I101" s="4">
        <f>_xll.ciqfunctions.udf.CIQ(InputTicker, "IQ_INTEREST_INCOME",Input!K$2,Date,,,Ccy,Conv)</f>
        <v>2094</v>
      </c>
      <c r="J101" s="4">
        <f>_xll.ciqfunctions.udf.CIQ(InputTicker, "IQ_INTEREST_INCOME",Input!L$2,Date,,,Ccy,Conv)</f>
        <v>2994</v>
      </c>
      <c r="K101" s="4">
        <f>_xll.ciqfunctions.udf.CIQ(InputTicker, "IQ_INTEREST_INCOME",Input!M$2,Date,,,Ccy,Conv)</f>
        <v>3157</v>
      </c>
      <c r="L101" s="4">
        <f>_xll.ciqfunctions.udf.CIQ(InputTicker, "IQ_INTEREST_INCOME",Input!N$2,Date,,,Ccy,Conv)</f>
        <v>2647</v>
      </c>
      <c r="M101" s="4">
        <f>_xll.ciqfunctions.udf.CIQ(InputTicker, "IQ_INTEREST_INCOME",Input!O$2,Date,,,Ccy,Conv)</f>
        <v>3315</v>
      </c>
      <c r="N101" s="49"/>
      <c r="P101" s="46"/>
      <c r="Q101" s="46"/>
      <c r="R101" s="46"/>
      <c r="T101" s="42"/>
      <c r="U101" s="42"/>
      <c r="V101" s="46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  <c r="BA101" s="42"/>
      <c r="BB101" s="42"/>
      <c r="BC101" s="42"/>
      <c r="BD101" s="42"/>
      <c r="BE101" s="42"/>
      <c r="BF101" s="42"/>
      <c r="BG101" s="42"/>
      <c r="BH101" s="42"/>
      <c r="BI101" s="42"/>
      <c r="BJ101" s="42"/>
      <c r="BK101" s="42"/>
      <c r="BL101" s="42"/>
      <c r="BM101" s="42"/>
      <c r="BN101" s="42"/>
    </row>
    <row r="102" spans="1:66" ht="12.75" customHeight="1" x14ac:dyDescent="0.2">
      <c r="A102" s="1" t="s">
        <v>444</v>
      </c>
      <c r="B102" s="4">
        <f>_xll.ciqfunctions.udf.CIQ(InputTicker, "IQ_INVESTMENT_INCOME",Input!D$2,Date,,,Ccy,Conv)</f>
        <v>0</v>
      </c>
      <c r="C102" s="4">
        <f>_xll.ciqfunctions.udf.CIQ(InputTicker, "IQ_INVESTMENT_INCOME",Input!E$2,Date,,,Ccy,Conv)</f>
        <v>0</v>
      </c>
      <c r="D102" s="4">
        <f>_xll.ciqfunctions.udf.CIQ(InputTicker, "IQ_INVESTMENT_INCOME",Input!F$2,Date,,,Ccy,Conv)</f>
        <v>0</v>
      </c>
      <c r="E102" s="4">
        <f>_xll.ciqfunctions.udf.CIQ(InputTicker, "IQ_INVESTMENT_INCOME",Input!G$2,Date,,,Ccy,Conv)</f>
        <v>0</v>
      </c>
      <c r="F102" s="4">
        <f>_xll.ciqfunctions.udf.CIQ(InputTicker, "IQ_INVESTMENT_INCOME",Input!H$2,Date,,,Ccy,Conv)</f>
        <v>0</v>
      </c>
      <c r="G102" s="4">
        <f>_xll.ciqfunctions.udf.CIQ(InputTicker, "IQ_INVESTMENT_INCOME",Input!I$2,Date,,,Ccy,Conv)</f>
        <v>0</v>
      </c>
      <c r="H102" s="4">
        <f>_xll.ciqfunctions.udf.CIQ(InputTicker, "IQ_INVESTMENT_INCOME",Input!J$2,Date,,,Ccy,Conv)</f>
        <v>0</v>
      </c>
      <c r="I102" s="4">
        <f>_xll.ciqfunctions.udf.CIQ(InputTicker, "IQ_INVESTMENT_INCOME",Input!K$2,Date,,,Ccy,Conv)</f>
        <v>0</v>
      </c>
      <c r="J102" s="4">
        <f>_xll.ciqfunctions.udf.CIQ(InputTicker, "IQ_INVESTMENT_INCOME",Input!L$2,Date,,,Ccy,Conv)</f>
        <v>0</v>
      </c>
      <c r="K102" s="4">
        <f>_xll.ciqfunctions.udf.CIQ(InputTicker, "IQ_INVESTMENT_INCOME",Input!M$2,Date,,,Ccy,Conv)</f>
        <v>0</v>
      </c>
      <c r="L102" s="4">
        <f>_xll.ciqfunctions.udf.CIQ(InputTicker, "IQ_INVESTMENT_INCOME",Input!N$2,Date,,,Ccy,Conv)</f>
        <v>0</v>
      </c>
      <c r="M102" s="4">
        <f>_xll.ciqfunctions.udf.CIQ(InputTicker, "IQ_INVESTMENT_INCOME",Input!O$2,Date,,,Ccy,Conv)</f>
        <v>0</v>
      </c>
      <c r="N102" s="49"/>
      <c r="P102" s="46"/>
      <c r="Q102" s="46"/>
      <c r="R102" s="46"/>
      <c r="T102" s="42"/>
      <c r="U102" s="42"/>
      <c r="V102" s="46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  <c r="BA102" s="42"/>
      <c r="BB102" s="42"/>
      <c r="BC102" s="42"/>
      <c r="BD102" s="42"/>
      <c r="BE102" s="42"/>
      <c r="BF102" s="42"/>
      <c r="BG102" s="42"/>
      <c r="BH102" s="42"/>
      <c r="BI102" s="42"/>
      <c r="BJ102" s="42"/>
      <c r="BK102" s="42"/>
      <c r="BL102" s="42"/>
      <c r="BM102" s="42"/>
      <c r="BN102" s="42"/>
    </row>
    <row r="103" spans="1:66" ht="12.75" customHeight="1" x14ac:dyDescent="0.2">
      <c r="A103" s="1" t="s">
        <v>373</v>
      </c>
      <c r="B103" s="4">
        <f>_xll.ciqfunctions.udf.CIQ(InputTicker, "IQ_EXCISE_TAXES_EXCL_SALES",Input!D$2,Date,,,Ccy,Conv)</f>
        <v>0</v>
      </c>
      <c r="C103" s="4">
        <f>_xll.ciqfunctions.udf.CIQ(InputTicker, "IQ_EXCISE_TAXES_EXCL_SALES",Input!E$2,Date,,,Ccy,Conv)</f>
        <v>0</v>
      </c>
      <c r="D103" s="4">
        <f>_xll.ciqfunctions.udf.CIQ(InputTicker, "IQ_EXCISE_TAXES_EXCL_SALES",Input!F$2,Date,,,Ccy,Conv)</f>
        <v>0</v>
      </c>
      <c r="E103" s="4">
        <f>_xll.ciqfunctions.udf.CIQ(InputTicker, "IQ_EXCISE_TAXES_EXCL_SALES",Input!G$2,Date,,,Ccy,Conv)</f>
        <v>0</v>
      </c>
      <c r="F103" s="4">
        <f>_xll.ciqfunctions.udf.CIQ(InputTicker, "IQ_EXCISE_TAXES_EXCL_SALES",Input!H$2,Date,,,Ccy,Conv)</f>
        <v>0</v>
      </c>
      <c r="G103" s="4">
        <f>_xll.ciqfunctions.udf.CIQ(InputTicker, "IQ_EXCISE_TAXES_EXCL_SALES",Input!I$2,Date,,,Ccy,Conv)</f>
        <v>0</v>
      </c>
      <c r="H103" s="4">
        <f>_xll.ciqfunctions.udf.CIQ(InputTicker, "IQ_EXCISE_TAXES_EXCL_SALES",Input!J$2,Date,,,Ccy,Conv)</f>
        <v>0</v>
      </c>
      <c r="I103" s="4">
        <f>_xll.ciqfunctions.udf.CIQ(InputTicker, "IQ_EXCISE_TAXES_EXCL_SALES",Input!K$2,Date,,,Ccy,Conv)</f>
        <v>0</v>
      </c>
      <c r="J103" s="4">
        <f>_xll.ciqfunctions.udf.CIQ(InputTicker, "IQ_EXCISE_TAXES_EXCL_SALES",Input!L$2,Date,,,Ccy,Conv)</f>
        <v>0</v>
      </c>
      <c r="K103" s="4">
        <f>_xll.ciqfunctions.udf.CIQ(InputTicker, "IQ_EXCISE_TAXES_EXCL_SALES",Input!M$2,Date,,,Ccy,Conv)</f>
        <v>0</v>
      </c>
      <c r="L103" s="4">
        <f>_xll.ciqfunctions.udf.CIQ(InputTicker, "IQ_EXCISE_TAXES_EXCL_SALES",Input!N$2,Date,,,Ccy,Conv)</f>
        <v>0</v>
      </c>
      <c r="M103" s="4">
        <f>_xll.ciqfunctions.udf.CIQ(InputTicker, "IQ_EXCISE_TAXES_EXCL_SALES",Input!O$2,Date,,,Ccy,Conv)</f>
        <v>0</v>
      </c>
      <c r="N103" s="49"/>
      <c r="P103" s="46"/>
      <c r="Q103" s="46"/>
      <c r="R103" s="46"/>
      <c r="T103" s="42"/>
      <c r="U103" s="42"/>
      <c r="V103" s="46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  <c r="BA103" s="42"/>
      <c r="BB103" s="42"/>
      <c r="BC103" s="42"/>
      <c r="BD103" s="42"/>
      <c r="BE103" s="42"/>
      <c r="BF103" s="42"/>
      <c r="BG103" s="42"/>
      <c r="BH103" s="42"/>
      <c r="BI103" s="42"/>
      <c r="BJ103" s="42"/>
      <c r="BK103" s="42"/>
      <c r="BL103" s="42"/>
      <c r="BM103" s="42"/>
      <c r="BN103" s="42"/>
    </row>
    <row r="104" spans="1:66" ht="12.75" customHeight="1" x14ac:dyDescent="0.2">
      <c r="A104" s="1" t="s">
        <v>374</v>
      </c>
      <c r="B104" s="4">
        <f>_xll.ciqfunctions.udf.CIQ(InputTicker, "IQ_EXCISE_TAXES_INCL_SALES",Input!D$2,Date,,,Ccy,Conv)</f>
        <v>0</v>
      </c>
      <c r="C104" s="4">
        <f>_xll.ciqfunctions.udf.CIQ(InputTicker, "IQ_EXCISE_TAXES_INCL_SALES",Input!E$2,Date,,,Ccy,Conv)</f>
        <v>0</v>
      </c>
      <c r="D104" s="4">
        <f>_xll.ciqfunctions.udf.CIQ(InputTicker, "IQ_EXCISE_TAXES_INCL_SALES",Input!F$2,Date,,,Ccy,Conv)</f>
        <v>0</v>
      </c>
      <c r="E104" s="4">
        <f>_xll.ciqfunctions.udf.CIQ(InputTicker, "IQ_EXCISE_TAXES_INCL_SALES",Input!G$2,Date,,,Ccy,Conv)</f>
        <v>0</v>
      </c>
      <c r="F104" s="4">
        <f>_xll.ciqfunctions.udf.CIQ(InputTicker, "IQ_EXCISE_TAXES_INCL_SALES",Input!H$2,Date,,,Ccy,Conv)</f>
        <v>0</v>
      </c>
      <c r="G104" s="4">
        <f>_xll.ciqfunctions.udf.CIQ(InputTicker, "IQ_EXCISE_TAXES_INCL_SALES",Input!I$2,Date,,,Ccy,Conv)</f>
        <v>0</v>
      </c>
      <c r="H104" s="4">
        <f>_xll.ciqfunctions.udf.CIQ(InputTicker, "IQ_EXCISE_TAXES_INCL_SALES",Input!J$2,Date,,,Ccy,Conv)</f>
        <v>0</v>
      </c>
      <c r="I104" s="4">
        <f>_xll.ciqfunctions.udf.CIQ(InputTicker, "IQ_EXCISE_TAXES_INCL_SALES",Input!K$2,Date,,,Ccy,Conv)</f>
        <v>0</v>
      </c>
      <c r="J104" s="4">
        <f>_xll.ciqfunctions.udf.CIQ(InputTicker, "IQ_EXCISE_TAXES_INCL_SALES",Input!L$2,Date,,,Ccy,Conv)</f>
        <v>0</v>
      </c>
      <c r="K104" s="4">
        <f>_xll.ciqfunctions.udf.CIQ(InputTicker, "IQ_EXCISE_TAXES_INCL_SALES",Input!M$2,Date,,,Ccy,Conv)</f>
        <v>0</v>
      </c>
      <c r="L104" s="4">
        <f>_xll.ciqfunctions.udf.CIQ(InputTicker, "IQ_EXCISE_TAXES_INCL_SALES",Input!N$2,Date,,,Ccy,Conv)</f>
        <v>0</v>
      </c>
      <c r="M104" s="4">
        <f>_xll.ciqfunctions.udf.CIQ(InputTicker, "IQ_EXCISE_TAXES_INCL_SALES",Input!O$2,Date,,,Ccy,Conv)</f>
        <v>0</v>
      </c>
      <c r="N104" s="49"/>
      <c r="P104" s="46"/>
      <c r="Q104" s="46"/>
      <c r="R104" s="46"/>
      <c r="T104" s="42"/>
      <c r="U104" s="42"/>
      <c r="V104" s="46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  <c r="BA104" s="42"/>
      <c r="BB104" s="42"/>
      <c r="BC104" s="42"/>
      <c r="BD104" s="42"/>
      <c r="BE104" s="42"/>
      <c r="BF104" s="42"/>
      <c r="BG104" s="42"/>
      <c r="BH104" s="42"/>
      <c r="BI104" s="42"/>
      <c r="BJ104" s="42"/>
      <c r="BK104" s="42"/>
      <c r="BL104" s="42"/>
      <c r="BM104" s="42"/>
      <c r="BN104" s="42"/>
    </row>
    <row r="105" spans="1:66" ht="12.75" customHeight="1" x14ac:dyDescent="0.2">
      <c r="A105" s="1" t="s">
        <v>319</v>
      </c>
      <c r="B105" s="4">
        <f>_xll.ciqfunctions.udf.CIQ(InputTicker, "IQ_CURR_DOMESTIC_TAXES",Input!D$2,Date,,,Ccy,Conv)</f>
        <v>4025</v>
      </c>
      <c r="C105" s="4">
        <f>_xll.ciqfunctions.udf.CIQ(InputTicker, "IQ_CURR_DOMESTIC_TAXES",Input!E$2,Date,,,Ccy,Conv)</f>
        <v>681</v>
      </c>
      <c r="D105" s="4">
        <f>_xll.ciqfunctions.udf.CIQ(InputTicker, "IQ_CURR_DOMESTIC_TAXES",Input!F$2,Date,,,Ccy,Conv)</f>
        <v>2769</v>
      </c>
      <c r="E105" s="4">
        <f>_xll.ciqfunctions.udf.CIQ(InputTicker, "IQ_CURR_DOMESTIC_TAXES",Input!G$2,Date,,,Ccy,Conv)</f>
        <v>20698</v>
      </c>
      <c r="F105" s="4">
        <f>_xll.ciqfunctions.udf.CIQ(InputTicker, "IQ_CURR_DOMESTIC_TAXES",Input!H$2,Date,,,Ccy,Conv)</f>
        <v>5380</v>
      </c>
      <c r="G105" s="4">
        <f>_xll.ciqfunctions.udf.CIQ(InputTicker, "IQ_CURR_DOMESTIC_TAXES",Input!I$2,Date,,,Ccy,Conv)</f>
        <v>4300</v>
      </c>
      <c r="H105" s="4">
        <f>_xll.ciqfunctions.udf.CIQ(InputTicker, "IQ_CURR_DOMESTIC_TAXES",Input!J$2,Date,,,Ccy,Conv)</f>
        <v>4514</v>
      </c>
      <c r="I105" s="4">
        <f>_xll.ciqfunctions.udf.CIQ(InputTicker, "IQ_CURR_DOMESTIC_TAXES",Input!K$2,Date,,,Ccy,Conv)</f>
        <v>10008</v>
      </c>
      <c r="J105" s="4">
        <f>_xll.ciqfunctions.udf.CIQ(InputTicker, "IQ_CURR_DOMESTIC_TAXES",Input!L$2,Date,,,Ccy,Conv)</f>
        <v>16331</v>
      </c>
      <c r="K105" s="4">
        <f>_xll.ciqfunctions.udf.CIQ(InputTicker, "IQ_CURR_DOMESTIC_TAXES",Input!M$2,Date,,,Ccy,Conv)</f>
        <v>14531</v>
      </c>
      <c r="L105" s="4">
        <f>_xll.ciqfunctions.udf.CIQ(InputTicker, "IQ_CURR_DOMESTIC_TAXES",Input!N$2,Date,,,Ccy,Conv)</f>
        <v>17428</v>
      </c>
      <c r="M105" s="4">
        <f>_xll.ciqfunctions.udf.CIQ(InputTicker, "IQ_CURR_DOMESTIC_TAXES",Input!O$2,Date,,,Ccy,Conv)</f>
        <v>17428</v>
      </c>
      <c r="N105" s="49"/>
      <c r="P105" s="46"/>
      <c r="Q105" s="46"/>
      <c r="R105" s="46"/>
      <c r="T105" s="42"/>
      <c r="U105" s="42"/>
      <c r="V105" s="46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  <c r="BA105" s="42"/>
      <c r="BB105" s="42"/>
      <c r="BC105" s="42"/>
      <c r="BD105" s="42"/>
      <c r="BE105" s="42"/>
      <c r="BF105" s="42"/>
      <c r="BG105" s="42"/>
      <c r="BH105" s="42"/>
      <c r="BI105" s="42"/>
      <c r="BJ105" s="42"/>
      <c r="BK105" s="42"/>
      <c r="BL105" s="42"/>
      <c r="BM105" s="42"/>
      <c r="BN105" s="42"/>
    </row>
    <row r="106" spans="1:66" ht="12.75" customHeight="1" x14ac:dyDescent="0.2">
      <c r="A106" s="1" t="s">
        <v>320</v>
      </c>
      <c r="B106" s="4">
        <f>_xll.ciqfunctions.udf.CIQ(InputTicker, "IQ_CURR_FOREIGN_TAXES",Input!D$2,Date,,,Ccy,Conv)</f>
        <v>2065</v>
      </c>
      <c r="C106" s="4">
        <f>_xll.ciqfunctions.udf.CIQ(InputTicker, "IQ_CURR_FOREIGN_TAXES",Input!E$2,Date,,,Ccy,Conv)</f>
        <v>1940</v>
      </c>
      <c r="D106" s="4">
        <f>_xll.ciqfunctions.udf.CIQ(InputTicker, "IQ_CURR_FOREIGN_TAXES",Input!F$2,Date,,,Ccy,Conv)</f>
        <v>2472</v>
      </c>
      <c r="E106" s="4">
        <f>_xll.ciqfunctions.udf.CIQ(InputTicker, "IQ_CURR_FOREIGN_TAXES",Input!G$2,Date,,,Ccy,Conv)</f>
        <v>4348</v>
      </c>
      <c r="F106" s="4">
        <f>_xll.ciqfunctions.udf.CIQ(InputTicker, "IQ_CURR_FOREIGN_TAXES",Input!H$2,Date,,,Ccy,Conv)</f>
        <v>5531</v>
      </c>
      <c r="G106" s="4">
        <f>_xll.ciqfunctions.udf.CIQ(InputTicker, "IQ_CURR_FOREIGN_TAXES",Input!I$2,Date,,,Ccy,Conv)</f>
        <v>4444</v>
      </c>
      <c r="H106" s="4">
        <f>_xll.ciqfunctions.udf.CIQ(InputTicker, "IQ_CURR_FOREIGN_TAXES",Input!J$2,Date,,,Ccy,Conv)</f>
        <v>5467</v>
      </c>
      <c r="I106" s="4">
        <f>_xll.ciqfunctions.udf.CIQ(InputTicker, "IQ_CURR_FOREIGN_TAXES",Input!K$2,Date,,,Ccy,Conv)</f>
        <v>6672</v>
      </c>
      <c r="J106" s="4">
        <f>_xll.ciqfunctions.udf.CIQ(InputTicker, "IQ_CURR_FOREIGN_TAXES",Input!L$2,Date,,,Ccy,Conv)</f>
        <v>6678</v>
      </c>
      <c r="K106" s="4">
        <f>_xll.ciqfunctions.udf.CIQ(InputTicker, "IQ_CURR_FOREIGN_TAXES",Input!M$2,Date,,,Ccy,Conv)</f>
        <v>9858</v>
      </c>
      <c r="L106" s="4">
        <f>_xll.ciqfunctions.udf.CIQ(InputTicker, "IQ_CURR_FOREIGN_TAXES",Input!N$2,Date,,,Ccy,Conv)</f>
        <v>11423</v>
      </c>
      <c r="M106" s="4">
        <f>_xll.ciqfunctions.udf.CIQ(InputTicker, "IQ_CURR_FOREIGN_TAXES",Input!O$2,Date,,,Ccy,Conv)</f>
        <v>11423</v>
      </c>
      <c r="N106" s="49"/>
      <c r="P106" s="46"/>
      <c r="Q106" s="46"/>
      <c r="R106" s="46"/>
      <c r="T106" s="42"/>
      <c r="U106" s="42"/>
      <c r="V106" s="46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  <c r="BA106" s="42"/>
      <c r="BB106" s="42"/>
      <c r="BC106" s="42"/>
      <c r="BD106" s="42"/>
      <c r="BE106" s="42"/>
      <c r="BF106" s="42"/>
      <c r="BG106" s="42"/>
      <c r="BH106" s="42"/>
      <c r="BI106" s="42"/>
      <c r="BJ106" s="42"/>
      <c r="BK106" s="42"/>
      <c r="BL106" s="42"/>
      <c r="BM106" s="42"/>
      <c r="BN106" s="42"/>
    </row>
    <row r="107" spans="1:66" ht="12.75" customHeight="1" x14ac:dyDescent="0.2">
      <c r="A107" s="1" t="s">
        <v>432</v>
      </c>
      <c r="B107" s="4">
        <f>_xll.ciqfunctions.udf.CIQ(InputTicker, "IQ_CURR_TAXES",Input!D$2,Date,,,Ccy,Conv)</f>
        <v>6090</v>
      </c>
      <c r="C107" s="4">
        <f>_xll.ciqfunctions.udf.CIQ(InputTicker, "IQ_CURR_TAXES",Input!E$2,Date,,,Ccy,Conv)</f>
        <v>2621</v>
      </c>
      <c r="D107" s="4">
        <f>_xll.ciqfunctions.udf.CIQ(InputTicker, "IQ_CURR_TAXES",Input!F$2,Date,,,Ccy,Conv)</f>
        <v>5241</v>
      </c>
      <c r="E107" s="4">
        <f>_xll.ciqfunctions.udf.CIQ(InputTicker, "IQ_CURR_TAXES",Input!G$2,Date,,,Ccy,Conv)</f>
        <v>25046</v>
      </c>
      <c r="F107" s="4">
        <f>_xll.ciqfunctions.udf.CIQ(InputTicker, "IQ_CURR_TAXES",Input!H$2,Date,,,Ccy,Conv)</f>
        <v>10911</v>
      </c>
      <c r="G107" s="4">
        <f>_xll.ciqfunctions.udf.CIQ(InputTicker, "IQ_CURR_TAXES",Input!I$2,Date,,,Ccy,Conv)</f>
        <v>8744</v>
      </c>
      <c r="H107" s="4">
        <f>_xll.ciqfunctions.udf.CIQ(InputTicker, "IQ_CURR_TAXES",Input!J$2,Date,,,Ccy,Conv)</f>
        <v>9981</v>
      </c>
      <c r="I107" s="4">
        <f>_xll.ciqfunctions.udf.CIQ(InputTicker, "IQ_CURR_TAXES",Input!K$2,Date,,,Ccy,Conv)</f>
        <v>16680</v>
      </c>
      <c r="J107" s="4">
        <f>_xll.ciqfunctions.udf.CIQ(InputTicker, "IQ_CURR_TAXES",Input!L$2,Date,,,Ccy,Conv)</f>
        <v>23009</v>
      </c>
      <c r="K107" s="4">
        <f>_xll.ciqfunctions.udf.CIQ(InputTicker, "IQ_CURR_TAXES",Input!M$2,Date,,,Ccy,Conv)</f>
        <v>24389</v>
      </c>
      <c r="L107" s="4">
        <f>_xll.ciqfunctions.udf.CIQ(InputTicker, "IQ_CURR_TAXES",Input!N$2,Date,,,Ccy,Conv)</f>
        <v>28851</v>
      </c>
      <c r="M107" s="4">
        <f>_xll.ciqfunctions.udf.CIQ(InputTicker, "IQ_CURR_TAXES",Input!O$2,Date,,,Ccy,Conv)</f>
        <v>28851</v>
      </c>
      <c r="N107" s="49"/>
      <c r="P107" s="46"/>
      <c r="Q107" s="46"/>
      <c r="R107" s="46"/>
      <c r="T107" s="42"/>
      <c r="U107" s="42"/>
      <c r="V107" s="46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  <c r="BA107" s="42"/>
      <c r="BB107" s="42"/>
      <c r="BC107" s="42"/>
      <c r="BD107" s="42"/>
      <c r="BE107" s="42"/>
      <c r="BF107" s="42"/>
      <c r="BG107" s="42"/>
      <c r="BH107" s="42"/>
      <c r="BI107" s="42"/>
      <c r="BJ107" s="42"/>
      <c r="BK107" s="42"/>
      <c r="BL107" s="42"/>
      <c r="BM107" s="42"/>
      <c r="BN107" s="42"/>
    </row>
    <row r="108" spans="1:66" ht="12.75" customHeight="1" x14ac:dyDescent="0.2">
      <c r="A108" s="1" t="s">
        <v>321</v>
      </c>
      <c r="B108" s="4">
        <f>_xll.ciqfunctions.udf.CIQ(InputTicker, "IQ_DEFERRED_DOMESTIC_TAXES",Input!D$2,Date,,,Ccy,Conv)</f>
        <v>0</v>
      </c>
      <c r="C108" s="4">
        <f>_xll.ciqfunctions.udf.CIQ(InputTicker, "IQ_DEFERRED_DOMESTIC_TAXES",Input!E$2,Date,,,Ccy,Conv)</f>
        <v>2030</v>
      </c>
      <c r="D108" s="4">
        <f>_xll.ciqfunctions.udf.CIQ(InputTicker, "IQ_DEFERRED_DOMESTIC_TAXES",Input!F$2,Date,,,Ccy,Conv)</f>
        <v>-285</v>
      </c>
      <c r="E108" s="4">
        <f>_xll.ciqfunctions.udf.CIQ(InputTicker, "IQ_DEFERRED_DOMESTIC_TAXES",Input!G$2,Date,,,Ccy,Conv)</f>
        <v>-4750</v>
      </c>
      <c r="F108" s="4">
        <f>_xll.ciqfunctions.udf.CIQ(InputTicker, "IQ_DEFERRED_DOMESTIC_TAXES",Input!H$2,Date,,,Ccy,Conv)</f>
        <v>-6657</v>
      </c>
      <c r="G108" s="4">
        <f>_xll.ciqfunctions.udf.CIQ(InputTicker, "IQ_DEFERRED_DOMESTIC_TAXES",Input!I$2,Date,,,Ccy,Conv)</f>
        <v>52</v>
      </c>
      <c r="H108" s="4">
        <f>_xll.ciqfunctions.udf.CIQ(InputTicker, "IQ_DEFERRED_DOMESTIC_TAXES",Input!J$2,Date,,,Ccy,Conv)</f>
        <v>-179</v>
      </c>
      <c r="I108" s="4">
        <f>_xll.ciqfunctions.udf.CIQ(InputTicker, "IQ_DEFERRED_DOMESTIC_TAXES",Input!K$2,Date,,,Ccy,Conv)</f>
        <v>-5877</v>
      </c>
      <c r="J108" s="4">
        <f>_xll.ciqfunctions.udf.CIQ(InputTicker, "IQ_DEFERRED_DOMESTIC_TAXES",Input!L$2,Date,,,Ccy,Conv)</f>
        <v>-6623</v>
      </c>
      <c r="K108" s="4">
        <f>_xll.ciqfunctions.udf.CIQ(InputTicker, "IQ_DEFERRED_DOMESTIC_TAXES",Input!M$2,Date,,,Ccy,Conv)</f>
        <v>-5170</v>
      </c>
      <c r="L108" s="4">
        <f>_xll.ciqfunctions.udf.CIQ(InputTicker, "IQ_DEFERRED_DOMESTIC_TAXES",Input!N$2,Date,,,Ccy,Conv)</f>
        <v>-7337</v>
      </c>
      <c r="M108" s="4">
        <f>_xll.ciqfunctions.udf.CIQ(InputTicker, "IQ_DEFERRED_DOMESTIC_TAXES",Input!O$2,Date,,,Ccy,Conv)</f>
        <v>-7337</v>
      </c>
      <c r="N108" s="49"/>
      <c r="P108" s="46"/>
      <c r="Q108" s="46"/>
      <c r="R108" s="46"/>
      <c r="T108" s="42"/>
      <c r="U108" s="42"/>
      <c r="V108" s="46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  <c r="BA108" s="42"/>
      <c r="BB108" s="42"/>
      <c r="BC108" s="42"/>
      <c r="BD108" s="42"/>
      <c r="BE108" s="42"/>
      <c r="BF108" s="42"/>
      <c r="BG108" s="42"/>
      <c r="BH108" s="42"/>
      <c r="BI108" s="42"/>
      <c r="BJ108" s="42"/>
      <c r="BK108" s="42"/>
      <c r="BL108" s="42"/>
      <c r="BM108" s="42"/>
      <c r="BN108" s="42"/>
    </row>
    <row r="109" spans="1:66" ht="12.75" customHeight="1" x14ac:dyDescent="0.2">
      <c r="A109" s="1" t="s">
        <v>322</v>
      </c>
      <c r="B109" s="4">
        <f>_xll.ciqfunctions.udf.CIQ(InputTicker, "IQ_DEFERRED_FOREIGN_TAXES",Input!D$2,Date,,,Ccy,Conv)</f>
        <v>0</v>
      </c>
      <c r="C109" s="4">
        <f>_xll.ciqfunctions.udf.CIQ(InputTicker, "IQ_DEFERRED_FOREIGN_TAXES",Input!E$2,Date,,,Ccy,Conv)</f>
        <v>449</v>
      </c>
      <c r="D109" s="4">
        <f>_xll.ciqfunctions.udf.CIQ(InputTicker, "IQ_DEFERRED_FOREIGN_TAXES",Input!F$2,Date,,,Ccy,Conv)</f>
        <v>-544</v>
      </c>
      <c r="E109" s="4">
        <f>_xll.ciqfunctions.udf.CIQ(InputTicker, "IQ_DEFERRED_FOREIGN_TAXES",Input!G$2,Date,,,Ccy,Conv)</f>
        <v>-393</v>
      </c>
      <c r="F109" s="4">
        <f>_xll.ciqfunctions.udf.CIQ(InputTicker, "IQ_DEFERRED_FOREIGN_TAXES",Input!H$2,Date,,,Ccy,Conv)</f>
        <v>194</v>
      </c>
      <c r="G109" s="4">
        <f>_xll.ciqfunctions.udf.CIQ(InputTicker, "IQ_DEFERRED_FOREIGN_TAXES",Input!I$2,Date,,,Ccy,Conv)</f>
        <v>-41</v>
      </c>
      <c r="H109" s="4">
        <f>_xll.ciqfunctions.udf.CIQ(InputTicker, "IQ_DEFERRED_FOREIGN_TAXES",Input!J$2,Date,,,Ccy,Conv)</f>
        <v>29</v>
      </c>
      <c r="I109" s="4">
        <f>_xll.ciqfunctions.udf.CIQ(InputTicker, "IQ_DEFERRED_FOREIGN_TAXES",Input!K$2,Date,,,Ccy,Conv)</f>
        <v>175</v>
      </c>
      <c r="J109" s="4">
        <f>_xll.ciqfunctions.udf.CIQ(InputTicker, "IQ_DEFERRED_FOREIGN_TAXES",Input!L$2,Date,,,Ccy,Conv)</f>
        <v>564</v>
      </c>
      <c r="K109" s="4">
        <f>_xll.ciqfunctions.udf.CIQ(InputTicker, "IQ_DEFERRED_FOREIGN_TAXES",Input!M$2,Date,,,Ccy,Conv)</f>
        <v>432</v>
      </c>
      <c r="L109" s="4">
        <f>_xll.ciqfunctions.udf.CIQ(InputTicker, "IQ_DEFERRED_FOREIGN_TAXES",Input!N$2,Date,,,Ccy,Conv)</f>
        <v>281</v>
      </c>
      <c r="M109" s="4">
        <f>_xll.ciqfunctions.udf.CIQ(InputTicker, "IQ_DEFERRED_FOREIGN_TAXES",Input!O$2,Date,,,Ccy,Conv)</f>
        <v>281</v>
      </c>
      <c r="N109" s="49"/>
      <c r="P109" s="46"/>
      <c r="Q109" s="46"/>
      <c r="R109" s="46"/>
      <c r="T109" s="42"/>
      <c r="U109" s="42"/>
      <c r="V109" s="46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  <c r="BA109" s="42"/>
      <c r="BB109" s="42"/>
      <c r="BC109" s="42"/>
      <c r="BD109" s="42"/>
      <c r="BE109" s="42"/>
      <c r="BF109" s="42"/>
      <c r="BG109" s="42"/>
      <c r="BH109" s="42"/>
      <c r="BI109" s="42"/>
      <c r="BJ109" s="42"/>
      <c r="BK109" s="42"/>
      <c r="BL109" s="42"/>
      <c r="BM109" s="42"/>
      <c r="BN109" s="42"/>
    </row>
    <row r="110" spans="1:66" ht="12.75" customHeight="1" x14ac:dyDescent="0.2">
      <c r="A110" s="1" t="s">
        <v>433</v>
      </c>
      <c r="B110" s="4">
        <f>_xll.ciqfunctions.udf.CIQ(InputTicker, "IQ_DEFERRED_TAXES_TOTAL",Input!D$2,Date,,,Ccy,Conv)</f>
        <v>224</v>
      </c>
      <c r="C110" s="4">
        <f>_xll.ciqfunctions.udf.CIQ(InputTicker, "IQ_DEFERRED_TAXES_TOTAL",Input!E$2,Date,,,Ccy,Conv)</f>
        <v>2479</v>
      </c>
      <c r="D110" s="4">
        <f>_xll.ciqfunctions.udf.CIQ(InputTicker, "IQ_DEFERRED_TAXES_TOTAL",Input!F$2,Date,,,Ccy,Conv)</f>
        <v>-829</v>
      </c>
      <c r="E110" s="4">
        <f>_xll.ciqfunctions.udf.CIQ(InputTicker, "IQ_DEFERRED_TAXES_TOTAL",Input!G$2,Date,,,Ccy,Conv)</f>
        <v>-5143</v>
      </c>
      <c r="F110" s="4">
        <f>_xll.ciqfunctions.udf.CIQ(InputTicker, "IQ_DEFERRED_TAXES_TOTAL",Input!H$2,Date,,,Ccy,Conv)</f>
        <v>-6463</v>
      </c>
      <c r="G110" s="4">
        <f>_xll.ciqfunctions.udf.CIQ(InputTicker, "IQ_DEFERRED_TAXES_TOTAL",Input!I$2,Date,,,Ccy,Conv)</f>
        <v>11</v>
      </c>
      <c r="H110" s="4">
        <f>_xll.ciqfunctions.udf.CIQ(InputTicker, "IQ_DEFERRED_TAXES_TOTAL",Input!J$2,Date,,,Ccy,Conv)</f>
        <v>-150</v>
      </c>
      <c r="I110" s="4">
        <f>_xll.ciqfunctions.udf.CIQ(InputTicker, "IQ_DEFERRED_TAXES_TOTAL",Input!K$2,Date,,,Ccy,Conv)</f>
        <v>-5702</v>
      </c>
      <c r="J110" s="4">
        <f>_xll.ciqfunctions.udf.CIQ(InputTicker, "IQ_DEFERRED_TAXES_TOTAL",Input!L$2,Date,,,Ccy,Conv)</f>
        <v>-6059</v>
      </c>
      <c r="K110" s="4">
        <f>_xll.ciqfunctions.udf.CIQ(InputTicker, "IQ_DEFERRED_TAXES_TOTAL",Input!M$2,Date,,,Ccy,Conv)</f>
        <v>-4738</v>
      </c>
      <c r="L110" s="4">
        <f>_xll.ciqfunctions.udf.CIQ(InputTicker, "IQ_DEFERRED_TAXES_TOTAL",Input!N$2,Date,,,Ccy,Conv)</f>
        <v>-7056</v>
      </c>
      <c r="M110" s="4">
        <f>_xll.ciqfunctions.udf.CIQ(InputTicker, "IQ_DEFERRED_TAXES_TOTAL",Input!O$2,Date,,,Ccy,Conv)</f>
        <v>-7056</v>
      </c>
      <c r="N110" s="49"/>
      <c r="P110" s="46"/>
      <c r="Q110" s="46"/>
      <c r="R110" s="46"/>
      <c r="T110" s="42"/>
      <c r="U110" s="42"/>
      <c r="V110" s="46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  <c r="BA110" s="42"/>
      <c r="BB110" s="42"/>
      <c r="BC110" s="42"/>
      <c r="BD110" s="42"/>
      <c r="BE110" s="42"/>
      <c r="BF110" s="42"/>
      <c r="BG110" s="42"/>
      <c r="BH110" s="42"/>
      <c r="BI110" s="42"/>
      <c r="BJ110" s="42"/>
      <c r="BK110" s="42"/>
      <c r="BL110" s="42"/>
      <c r="BM110" s="42"/>
      <c r="BN110" s="42"/>
    </row>
    <row r="111" spans="1:66" ht="12.75" customHeight="1" x14ac:dyDescent="0.2">
      <c r="A111" s="1" t="s">
        <v>458</v>
      </c>
      <c r="B111" s="4">
        <f>_xll.ciqfunctions.udf.CIQ(InputTicker, "IQ_NONRECURRING_INCOME_TAXES",Input!D$2,Date,,,Ccy,Conv)</f>
        <v>0</v>
      </c>
      <c r="C111" s="4">
        <f>_xll.ciqfunctions.udf.CIQ(InputTicker, "IQ_NONRECURRING_INCOME_TAXES",Input!E$2,Date,,,Ccy,Conv)</f>
        <v>0</v>
      </c>
      <c r="D111" s="4">
        <f>_xll.ciqfunctions.udf.CIQ(InputTicker, "IQ_NONRECURRING_INCOME_TAXES",Input!F$2,Date,,,Ccy,Conv)</f>
        <v>0</v>
      </c>
      <c r="E111" s="4">
        <f>_xll.ciqfunctions.udf.CIQ(InputTicker, "IQ_NONRECURRING_INCOME_TAXES",Input!G$2,Date,,,Ccy,Conv)</f>
        <v>13696</v>
      </c>
      <c r="F111" s="4">
        <f>_xll.ciqfunctions.udf.CIQ(InputTicker, "IQ_NONRECURRING_INCOME_TAXES",Input!H$2,Date,,,Ccy,Conv)</f>
        <v>157</v>
      </c>
      <c r="G111" s="4">
        <f>_xll.ciqfunctions.udf.CIQ(InputTicker, "IQ_NONRECURRING_INCOME_TAXES",Input!I$2,Date,,,Ccy,Conv)</f>
        <v>0</v>
      </c>
      <c r="H111" s="4">
        <f>_xll.ciqfunctions.udf.CIQ(InputTicker, "IQ_NONRECURRING_INCOME_TAXES",Input!J$2,Date,,,Ccy,Conv)</f>
        <v>0</v>
      </c>
      <c r="I111" s="4">
        <f>_xll.ciqfunctions.udf.CIQ(InputTicker, "IQ_NONRECURRING_INCOME_TAXES",Input!K$2,Date,,,Ccy,Conv)</f>
        <v>0</v>
      </c>
      <c r="J111" s="4">
        <f>_xll.ciqfunctions.udf.CIQ(InputTicker, "IQ_NONRECURRING_INCOME_TAXES",Input!L$2,Date,,,Ccy,Conv)</f>
        <v>0</v>
      </c>
      <c r="K111" s="4">
        <f>_xll.ciqfunctions.udf.CIQ(InputTicker, "IQ_NONRECURRING_INCOME_TAXES",Input!M$2,Date,,,Ccy,Conv)</f>
        <v>0</v>
      </c>
      <c r="L111" s="4">
        <f>_xll.ciqfunctions.udf.CIQ(InputTicker, "IQ_NONRECURRING_INCOME_TAXES",Input!N$2,Date,,,Ccy,Conv)</f>
        <v>0</v>
      </c>
      <c r="M111" s="4">
        <f>_xll.ciqfunctions.udf.CIQ(InputTicker, "IQ_NONRECURRING_INCOME_TAXES",Input!O$2,Date,,,Ccy,Conv)</f>
        <v>0</v>
      </c>
      <c r="N111" s="49"/>
      <c r="P111" s="46"/>
      <c r="Q111" s="46"/>
      <c r="R111" s="46"/>
      <c r="T111" s="42"/>
      <c r="U111" s="42"/>
      <c r="V111" s="46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  <c r="BA111" s="42"/>
      <c r="BB111" s="42"/>
      <c r="BC111" s="42"/>
      <c r="BD111" s="42"/>
      <c r="BE111" s="42"/>
      <c r="BF111" s="42"/>
      <c r="BG111" s="42"/>
      <c r="BH111" s="42"/>
      <c r="BI111" s="42"/>
      <c r="BJ111" s="42"/>
      <c r="BK111" s="42"/>
      <c r="BL111" s="42"/>
      <c r="BM111" s="42"/>
      <c r="BN111" s="42"/>
    </row>
    <row r="112" spans="1:66" ht="12.75" customHeight="1" x14ac:dyDescent="0.2">
      <c r="A112" s="1" t="s">
        <v>323</v>
      </c>
      <c r="B112" s="4">
        <f>_xll.ciqfunctions.udf.CIQ(InputTicker, "IQ_NI_NORM",Input!D$2,Date,,,Ccy,Conv)</f>
        <v>17388.125</v>
      </c>
      <c r="C112" s="4">
        <f>_xll.ciqfunctions.udf.CIQ(InputTicker, "IQ_NI_NORM",Input!E$2,Date,,,Ccy,Conv)</f>
        <v>16320</v>
      </c>
      <c r="D112" s="4">
        <f>_xll.ciqfunctions.udf.CIQ(InputTicker, "IQ_NI_NORM",Input!F$2,Date,,,Ccy,Conv)</f>
        <v>17386.25</v>
      </c>
      <c r="E112" s="4">
        <f>_xll.ciqfunctions.udf.CIQ(InputTicker, "IQ_NI_NORM",Input!G$2,Date,,,Ccy,Conv)</f>
        <v>21246.875</v>
      </c>
      <c r="F112" s="4">
        <f>_xll.ciqfunctions.udf.CIQ(InputTicker, "IQ_NI_NORM",Input!H$2,Date,,,Ccy,Conv)</f>
        <v>26900</v>
      </c>
      <c r="G112" s="4">
        <f>_xll.ciqfunctions.udf.CIQ(InputTicker, "IQ_NI_NORM",Input!I$2,Date,,,Ccy,Conv)</f>
        <v>33127.5</v>
      </c>
      <c r="H112" s="4">
        <f>_xll.ciqfunctions.udf.CIQ(InputTicker, "IQ_NI_NORM",Input!J$2,Date,,,Ccy,Conv)</f>
        <v>43668.75</v>
      </c>
      <c r="I112" s="4">
        <f>_xll.ciqfunctions.udf.CIQ(InputTicker, "IQ_NI_NORM",Input!K$2,Date,,,Ccy,Conv)</f>
        <v>52026.25</v>
      </c>
      <c r="J112" s="4">
        <f>_xll.ciqfunctions.udf.CIQ(InputTicker, "IQ_NI_NORM",Input!L$2,Date,,,Ccy,Conv)</f>
        <v>56058.75</v>
      </c>
      <c r="K112" s="4">
        <f>_xll.ciqfunctions.udf.CIQ(InputTicker, "IQ_NI_NORM",Input!M$2,Date,,,Ccy,Conv)</f>
        <v>68375.625</v>
      </c>
      <c r="L112" s="4">
        <f>_xll.ciqfunctions.udf.CIQ(InputTicker, "IQ_NI_NORM",Input!N$2,Date,,,Ccy,Conv)</f>
        <v>80604.375</v>
      </c>
      <c r="M112" s="4">
        <f>_xll.ciqfunctions.udf.CIQ(InputTicker, "IQ_NI_NORM",Input!O$2,Date,,,Ccy,Conv)</f>
        <v>98836.25</v>
      </c>
      <c r="N112" s="49"/>
      <c r="P112" s="46"/>
      <c r="Q112" s="46"/>
      <c r="R112" s="46"/>
      <c r="T112" s="42"/>
      <c r="U112" s="42"/>
      <c r="V112" s="46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</row>
    <row r="113" spans="1:66" ht="12.75" customHeight="1" x14ac:dyDescent="0.2">
      <c r="A113" s="1" t="s">
        <v>348</v>
      </c>
      <c r="B113" s="4">
        <f>_xll.ciqfunctions.udf.CIQ(InputTicker, "IQ_DILUT_NI",Input!D$2,Date,,,Ccy,Conv)</f>
        <v>12215.92</v>
      </c>
      <c r="C113" s="4">
        <f>_xll.ciqfunctions.udf.CIQ(InputTicker, "IQ_DILUT_NI",Input!E$2,Date,,,Ccy,Conv)</f>
        <v>20513.28</v>
      </c>
      <c r="D113" s="4">
        <f>_xll.ciqfunctions.udf.CIQ(InputTicker, "IQ_DILUT_NI",Input!F$2,Date,,,Ccy,Conv)</f>
        <v>25454</v>
      </c>
      <c r="E113" s="4">
        <f>_xll.ciqfunctions.udf.CIQ(InputTicker, "IQ_DILUT_NI",Input!G$2,Date,,,Ccy,Conv)</f>
        <v>16601.22</v>
      </c>
      <c r="F113" s="4">
        <f>_xll.ciqfunctions.udf.CIQ(InputTicker, "IQ_DILUT_NI",Input!H$2,Date,,,Ccy,Conv)</f>
        <v>39230.18</v>
      </c>
      <c r="G113" s="4">
        <f>_xll.ciqfunctions.udf.CIQ(InputTicker, "IQ_DILUT_NI",Input!I$2,Date,,,Ccy,Conv)</f>
        <v>44254.080000000002</v>
      </c>
      <c r="H113" s="4">
        <f>_xll.ciqfunctions.udf.CIQ(InputTicker, "IQ_DILUT_NI",Input!J$2,Date,,,Ccy,Conv)</f>
        <v>61244.4</v>
      </c>
      <c r="I113" s="4">
        <f>_xll.ciqfunctions.udf.CIQ(InputTicker, "IQ_DILUT_NI",Input!K$2,Date,,,Ccy,Conv)</f>
        <v>72761</v>
      </c>
      <c r="J113" s="4">
        <f>_xll.ciqfunctions.udf.CIQ(InputTicker, "IQ_DILUT_NI",Input!L$2,Date,,,Ccy,Conv)</f>
        <v>72328.960000000006</v>
      </c>
      <c r="K113" s="4">
        <f>_xll.ciqfunctions.udf.CIQ(InputTicker, "IQ_DILUT_NI",Input!M$2,Date,,,Ccy,Conv)</f>
        <v>88134.2</v>
      </c>
      <c r="L113" s="4">
        <f>_xll.ciqfunctions.udf.CIQ(InputTicker, "IQ_DILUT_NI",Input!N$2,Date,,,Ccy,Conv)</f>
        <v>101822.6</v>
      </c>
      <c r="M113" s="4">
        <f>_xll.ciqfunctions.udf.CIQ(InputTicker, "IQ_DILUT_NI",Input!O$2,Date,,,Ccy,Conv)</f>
        <v>125222.24</v>
      </c>
      <c r="N113" s="49"/>
      <c r="P113" s="46"/>
      <c r="Q113" s="46"/>
      <c r="R113" s="46"/>
      <c r="T113" s="42"/>
      <c r="U113" s="42"/>
      <c r="V113" s="46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  <c r="BA113" s="42"/>
      <c r="BB113" s="42"/>
      <c r="BC113" s="42"/>
      <c r="BD113" s="42"/>
      <c r="BE113" s="42"/>
      <c r="BF113" s="42"/>
      <c r="BG113" s="42"/>
      <c r="BH113" s="42"/>
      <c r="BI113" s="42"/>
      <c r="BJ113" s="42"/>
      <c r="BK113" s="42"/>
      <c r="BL113" s="42"/>
      <c r="BM113" s="42"/>
      <c r="BN113" s="42"/>
    </row>
    <row r="114" spans="1:66" ht="12.75" customHeight="1" x14ac:dyDescent="0.2">
      <c r="A114" s="1" t="s">
        <v>310</v>
      </c>
      <c r="B114" s="4">
        <f>_xll.ciqfunctions.udf.CIQ(InputTicker, "IQ_CAPITALIZED_INTEREST",Input!D$2,Date,,,Ccy,Conv)</f>
        <v>25</v>
      </c>
      <c r="C114" s="4">
        <f>_xll.ciqfunctions.udf.CIQ(InputTicker, "IQ_CAPITALIZED_INTEREST",Input!E$2,Date,,,Ccy,Conv)</f>
        <v>58</v>
      </c>
      <c r="D114" s="4">
        <f>_xll.ciqfunctions.udf.CIQ(InputTicker, "IQ_CAPITALIZED_INTEREST",Input!F$2,Date,,,Ccy,Conv)</f>
        <v>0</v>
      </c>
      <c r="E114" s="4">
        <f>_xll.ciqfunctions.udf.CIQ(InputTicker, "IQ_CAPITALIZED_INTEREST",Input!G$2,Date,,,Ccy,Conv)</f>
        <v>0</v>
      </c>
      <c r="F114" s="4">
        <f>_xll.ciqfunctions.udf.CIQ(InputTicker, "IQ_CAPITALIZED_INTEREST",Input!H$2,Date,,,Ccy,Conv)</f>
        <v>0</v>
      </c>
      <c r="G114" s="4">
        <f>_xll.ciqfunctions.udf.CIQ(InputTicker, "IQ_CAPITALIZED_INTEREST",Input!I$2,Date,,,Ccy,Conv)</f>
        <v>0</v>
      </c>
      <c r="H114" s="4">
        <f>_xll.ciqfunctions.udf.CIQ(InputTicker, "IQ_CAPITALIZED_INTEREST",Input!J$2,Date,,,Ccy,Conv)</f>
        <v>0</v>
      </c>
      <c r="I114" s="4">
        <f>_xll.ciqfunctions.udf.CIQ(InputTicker, "IQ_CAPITALIZED_INTEREST",Input!K$2,Date,,,Ccy,Conv)</f>
        <v>0</v>
      </c>
      <c r="J114" s="4">
        <f>_xll.ciqfunctions.udf.CIQ(InputTicker, "IQ_CAPITALIZED_INTEREST",Input!L$2,Date,,,Ccy,Conv)</f>
        <v>0</v>
      </c>
      <c r="K114" s="4">
        <f>_xll.ciqfunctions.udf.CIQ(InputTicker, "IQ_CAPITALIZED_INTEREST",Input!M$2,Date,,,Ccy,Conv)</f>
        <v>0</v>
      </c>
      <c r="L114" s="4">
        <f>_xll.ciqfunctions.udf.CIQ(InputTicker, "IQ_CAPITALIZED_INTEREST",Input!N$2,Date,,,Ccy,Conv)</f>
        <v>0</v>
      </c>
      <c r="M114" s="4">
        <f>_xll.ciqfunctions.udf.CIQ(InputTicker, "IQ_CAPITALIZED_INTEREST",Input!O$2,Date,,,Ccy,Conv)</f>
        <v>0</v>
      </c>
      <c r="N114" s="49"/>
      <c r="P114" s="46"/>
      <c r="Q114" s="46"/>
      <c r="R114" s="46"/>
      <c r="T114" s="42"/>
      <c r="U114" s="42"/>
      <c r="V114" s="46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  <c r="BA114" s="42"/>
      <c r="BB114" s="42"/>
      <c r="BC114" s="42"/>
      <c r="BD114" s="42"/>
      <c r="BE114" s="42"/>
      <c r="BF114" s="42"/>
      <c r="BG114" s="42"/>
      <c r="BH114" s="42"/>
      <c r="BI114" s="42"/>
      <c r="BJ114" s="42"/>
      <c r="BK114" s="42"/>
      <c r="BL114" s="42"/>
      <c r="BM114" s="42"/>
      <c r="BN114" s="42"/>
    </row>
    <row r="115" spans="1:66" ht="12.75" customHeight="1" x14ac:dyDescent="0.2">
      <c r="A115" s="1" t="s">
        <v>324</v>
      </c>
      <c r="B115" s="4">
        <f>_xll.ciqfunctions.udf.CIQ(InputTicker, "IQ_INT_EXP_LTD",Input!D$2,Date,,,Ccy,Conv)</f>
        <v>0</v>
      </c>
      <c r="C115" s="4">
        <f>_xll.ciqfunctions.udf.CIQ(InputTicker, "IQ_INT_EXP_LTD",Input!E$2,Date,,,Ccy,Conv)</f>
        <v>28</v>
      </c>
      <c r="D115" s="4">
        <f>_xll.ciqfunctions.udf.CIQ(InputTicker, "IQ_INT_EXP_LTD",Input!F$2,Date,,,Ccy,Conv)</f>
        <v>68</v>
      </c>
      <c r="E115" s="4">
        <f>_xll.ciqfunctions.udf.CIQ(InputTicker, "IQ_INT_EXP_LTD",Input!G$2,Date,,,Ccy,Conv)</f>
        <v>175</v>
      </c>
      <c r="F115" s="4">
        <f>_xll.ciqfunctions.udf.CIQ(InputTicker, "IQ_INT_EXP_LTD",Input!H$2,Date,,,Ccy,Conv)</f>
        <v>247</v>
      </c>
      <c r="G115" s="4">
        <f>_xll.ciqfunctions.udf.CIQ(InputTicker, "IQ_INT_EXP_LTD",Input!I$2,Date,,,Ccy,Conv)</f>
        <v>336</v>
      </c>
      <c r="H115" s="4">
        <f>_xll.ciqfunctions.udf.CIQ(InputTicker, "IQ_INT_EXP_LTD",Input!J$2,Date,,,Ccy,Conv)</f>
        <v>386</v>
      </c>
      <c r="I115" s="4">
        <f>_xll.ciqfunctions.udf.CIQ(InputTicker, "IQ_INT_EXP_LTD",Input!K$2,Date,,,Ccy,Conv)</f>
        <v>429</v>
      </c>
      <c r="J115" s="4">
        <f>_xll.ciqfunctions.udf.CIQ(InputTicker, "IQ_INT_EXP_LTD",Input!L$2,Date,,,Ccy,Conv)</f>
        <v>501</v>
      </c>
      <c r="K115" s="4">
        <f>_xll.ciqfunctions.udf.CIQ(InputTicker, "IQ_INT_EXP_LTD",Input!M$2,Date,,,Ccy,Conv)</f>
        <v>734</v>
      </c>
      <c r="L115" s="4">
        <f>_xll.ciqfunctions.udf.CIQ(InputTicker, "IQ_INT_EXP_LTD",Input!N$2,Date,,,Ccy,Conv)</f>
        <v>1417</v>
      </c>
      <c r="M115" s="4">
        <f>_xll.ciqfunctions.udf.CIQ(InputTicker, "IQ_INT_EXP_LTD",Input!O$2,Date,,,Ccy,Conv)</f>
        <v>0</v>
      </c>
      <c r="N115" s="49"/>
      <c r="P115" s="46"/>
      <c r="Q115" s="46"/>
      <c r="R115" s="46"/>
      <c r="T115" s="42"/>
      <c r="U115" s="42"/>
      <c r="V115" s="46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  <c r="BA115" s="42"/>
      <c r="BB115" s="42"/>
      <c r="BC115" s="42"/>
      <c r="BD115" s="42"/>
      <c r="BE115" s="42"/>
      <c r="BF115" s="42"/>
      <c r="BG115" s="42"/>
      <c r="BH115" s="42"/>
      <c r="BI115" s="42"/>
      <c r="BJ115" s="42"/>
      <c r="BK115" s="42"/>
      <c r="BL115" s="42"/>
      <c r="BM115" s="42"/>
      <c r="BN115" s="42"/>
    </row>
    <row r="116" spans="1:66" ht="12.75" customHeight="1" x14ac:dyDescent="0.2">
      <c r="A116" s="1" t="s">
        <v>459</v>
      </c>
      <c r="B116" s="4">
        <f>_xll.ciqfunctions.udf.CIQ(InputTicker, "IQ_INTEREST_EXP_LEASE_LIABILITY_DEBT",Input!D$2,Date,,,Ccy,Conv)</f>
        <v>0</v>
      </c>
      <c r="C116" s="4">
        <f>_xll.ciqfunctions.udf.CIQ(InputTicker, "IQ_INTEREST_EXP_LEASE_LIABILITY_DEBT",Input!E$2,Date,,,Ccy,Conv)</f>
        <v>28</v>
      </c>
      <c r="D116" s="4">
        <f>_xll.ciqfunctions.udf.CIQ(InputTicker, "IQ_INTEREST_EXP_LEASE_LIABILITY_DEBT",Input!F$2,Date,,,Ccy,Conv)</f>
        <v>68</v>
      </c>
      <c r="E116" s="4">
        <f>_xll.ciqfunctions.udf.CIQ(InputTicker, "IQ_INTEREST_EXP_LEASE_LIABILITY_DEBT",Input!G$2,Date,,,Ccy,Conv)</f>
        <v>0</v>
      </c>
      <c r="F116" s="4">
        <f>_xll.ciqfunctions.udf.CIQ(InputTicker, "IQ_INTEREST_EXP_LEASE_LIABILITY_DEBT",Input!H$2,Date,,,Ccy,Conv)</f>
        <v>0</v>
      </c>
      <c r="G116" s="4">
        <f>_xll.ciqfunctions.udf.CIQ(InputTicker, "IQ_INTEREST_EXP_LEASE_LIABILITY_DEBT",Input!I$2,Date,,,Ccy,Conv)</f>
        <v>336</v>
      </c>
      <c r="H116" s="4">
        <f>_xll.ciqfunctions.udf.CIQ(InputTicker, "IQ_INTEREST_EXP_LEASE_LIABILITY_DEBT",Input!J$2,Date,,,Ccy,Conv)</f>
        <v>386</v>
      </c>
      <c r="I116" s="4">
        <f>_xll.ciqfunctions.udf.CIQ(InputTicker, "IQ_INTEREST_EXP_LEASE_LIABILITY_DEBT",Input!K$2,Date,,,Ccy,Conv)</f>
        <v>429</v>
      </c>
      <c r="J116" s="4">
        <f>_xll.ciqfunctions.udf.CIQ(InputTicker, "IQ_INTEREST_EXP_LEASE_LIABILITY_DEBT",Input!L$2,Date,,,Ccy,Conv)</f>
        <v>501</v>
      </c>
      <c r="K116" s="4">
        <f>_xll.ciqfunctions.udf.CIQ(InputTicker, "IQ_INTEREST_EXP_LEASE_LIABILITY_DEBT",Input!M$2,Date,,,Ccy,Conv)</f>
        <v>734</v>
      </c>
      <c r="L116" s="4">
        <f>_xll.ciqfunctions.udf.CIQ(InputTicker, "IQ_INTEREST_EXP_LEASE_LIABILITY_DEBT",Input!N$2,Date,,,Ccy,Conv)</f>
        <v>1417</v>
      </c>
      <c r="M116" s="4">
        <f>_xll.ciqfunctions.udf.CIQ(InputTicker, "IQ_INTEREST_EXP_LEASE_LIABILITY_DEBT",Input!O$2,Date,,,Ccy,Conv)</f>
        <v>2260</v>
      </c>
      <c r="N116" s="49"/>
      <c r="P116" s="46"/>
      <c r="Q116" s="46"/>
      <c r="R116" s="46"/>
      <c r="T116" s="42"/>
      <c r="U116" s="42"/>
      <c r="V116" s="46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  <c r="BA116" s="42"/>
      <c r="BB116" s="42"/>
      <c r="BC116" s="42"/>
      <c r="BD116" s="42"/>
      <c r="BE116" s="42"/>
      <c r="BF116" s="42"/>
      <c r="BG116" s="42"/>
      <c r="BH116" s="42"/>
      <c r="BI116" s="42"/>
      <c r="BJ116" s="42"/>
      <c r="BK116" s="42"/>
      <c r="BL116" s="42"/>
      <c r="BM116" s="42"/>
      <c r="BN116" s="42"/>
    </row>
    <row r="117" spans="1:66" ht="12.75" customHeight="1" x14ac:dyDescent="0.2">
      <c r="A117" s="1" t="s">
        <v>328</v>
      </c>
      <c r="B117" s="4">
        <f>_xll.ciqfunctions.udf.CIQ(InputTicker, "IQ_INT_EXP_INCL_CAP",Input!D$2,Date,,,Ccy,Conv)</f>
        <v>806</v>
      </c>
      <c r="C117" s="4">
        <f>_xll.ciqfunctions.udf.CIQ(InputTicker, "IQ_INT_EXP_INCL_CAP",Input!E$2,Date,,,Ccy,Conv)</f>
        <v>1301</v>
      </c>
      <c r="D117" s="4">
        <f>_xll.ciqfunctions.udf.CIQ(InputTicker, "IQ_INT_EXP_INCL_CAP",Input!F$2,Date,,,Ccy,Conv)</f>
        <v>2222</v>
      </c>
      <c r="E117" s="4">
        <f>_xll.ciqfunctions.udf.CIQ(InputTicker, "IQ_INT_EXP_INCL_CAP",Input!G$2,Date,,,Ccy,Conv)</f>
        <v>2733</v>
      </c>
      <c r="F117" s="4">
        <f>_xll.ciqfunctions.udf.CIQ(InputTicker, "IQ_INT_EXP_INCL_CAP",Input!H$2,Date,,,Ccy,Conv)</f>
        <v>2686</v>
      </c>
      <c r="G117" s="4">
        <f>_xll.ciqfunctions.udf.CIQ(InputTicker, "IQ_INT_EXP_INCL_CAP",Input!I$2,Date,,,Ccy,Conv)</f>
        <v>2591</v>
      </c>
      <c r="H117" s="4">
        <f>_xll.ciqfunctions.udf.CIQ(InputTicker, "IQ_INT_EXP_INCL_CAP",Input!J$2,Date,,,Ccy,Conv)</f>
        <v>2330</v>
      </c>
      <c r="I117" s="4">
        <f>_xll.ciqfunctions.udf.CIQ(InputTicker, "IQ_INT_EXP_INCL_CAP",Input!K$2,Date,,,Ccy,Conv)</f>
        <v>2047</v>
      </c>
      <c r="J117" s="4">
        <f>_xll.ciqfunctions.udf.CIQ(InputTicker, "IQ_INT_EXP_INCL_CAP",Input!L$2,Date,,,Ccy,Conv)</f>
        <v>1995</v>
      </c>
      <c r="K117" s="4">
        <f>_xll.ciqfunctions.udf.CIQ(InputTicker, "IQ_INT_EXP_INCL_CAP",Input!M$2,Date,,,Ccy,Conv)</f>
        <v>2983</v>
      </c>
      <c r="L117" s="4">
        <f>_xll.ciqfunctions.udf.CIQ(InputTicker, "IQ_INT_EXP_INCL_CAP",Input!N$2,Date,,,Ccy,Conv)</f>
        <v>2425</v>
      </c>
      <c r="M117" s="4">
        <f>_xll.ciqfunctions.udf.CIQ(InputTicker, "IQ_INT_EXP_INCL_CAP",Input!O$2,Date,,,Ccy,Conv)</f>
        <v>2859</v>
      </c>
      <c r="N117" s="49"/>
      <c r="P117" s="46"/>
      <c r="Q117" s="46"/>
      <c r="R117" s="46"/>
      <c r="T117" s="42"/>
      <c r="U117" s="42"/>
      <c r="V117" s="46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  <c r="BA117" s="42"/>
      <c r="BB117" s="42"/>
      <c r="BC117" s="42"/>
      <c r="BD117" s="42"/>
      <c r="BE117" s="42"/>
      <c r="BF117" s="42"/>
      <c r="BG117" s="42"/>
      <c r="BH117" s="42"/>
      <c r="BI117" s="42"/>
      <c r="BJ117" s="42"/>
      <c r="BK117" s="42"/>
      <c r="BL117" s="42"/>
      <c r="BM117" s="42"/>
      <c r="BN117" s="42"/>
    </row>
    <row r="118" spans="1:66" ht="12.75" customHeight="1" x14ac:dyDescent="0.2">
      <c r="A118" s="1" t="s">
        <v>325</v>
      </c>
      <c r="B118" s="4">
        <f>_xll.ciqfunctions.udf.CIQ(InputTicker, "IQ_NONCASH_PENSION_EXP",Input!D$2,Date,,,Ccy,Conv)</f>
        <v>0</v>
      </c>
      <c r="C118" s="4">
        <f>_xll.ciqfunctions.udf.CIQ(InputTicker, "IQ_NONCASH_PENSION_EXP",Input!E$2,Date,,,Ccy,Conv)</f>
        <v>0</v>
      </c>
      <c r="D118" s="4">
        <f>_xll.ciqfunctions.udf.CIQ(InputTicker, "IQ_NONCASH_PENSION_EXP",Input!F$2,Date,,,Ccy,Conv)</f>
        <v>0</v>
      </c>
      <c r="E118" s="4">
        <f>_xll.ciqfunctions.udf.CIQ(InputTicker, "IQ_NONCASH_PENSION_EXP",Input!G$2,Date,,,Ccy,Conv)</f>
        <v>0</v>
      </c>
      <c r="F118" s="4">
        <f>_xll.ciqfunctions.udf.CIQ(InputTicker, "IQ_NONCASH_PENSION_EXP",Input!H$2,Date,,,Ccy,Conv)</f>
        <v>0</v>
      </c>
      <c r="G118" s="4">
        <f>_xll.ciqfunctions.udf.CIQ(InputTicker, "IQ_NONCASH_PENSION_EXP",Input!I$2,Date,,,Ccy,Conv)</f>
        <v>0</v>
      </c>
      <c r="H118" s="4">
        <f>_xll.ciqfunctions.udf.CIQ(InputTicker, "IQ_NONCASH_PENSION_EXP",Input!J$2,Date,,,Ccy,Conv)</f>
        <v>0</v>
      </c>
      <c r="I118" s="4">
        <f>_xll.ciqfunctions.udf.CIQ(InputTicker, "IQ_NONCASH_PENSION_EXP",Input!K$2,Date,,,Ccy,Conv)</f>
        <v>0</v>
      </c>
      <c r="J118" s="4">
        <f>_xll.ciqfunctions.udf.CIQ(InputTicker, "IQ_NONCASH_PENSION_EXP",Input!L$2,Date,,,Ccy,Conv)</f>
        <v>0</v>
      </c>
      <c r="K118" s="4">
        <f>_xll.ciqfunctions.udf.CIQ(InputTicker, "IQ_NONCASH_PENSION_EXP",Input!M$2,Date,,,Ccy,Conv)</f>
        <v>0</v>
      </c>
      <c r="L118" s="4">
        <f>_xll.ciqfunctions.udf.CIQ(InputTicker, "IQ_NONCASH_PENSION_EXP",Input!N$2,Date,,,Ccy,Conv)</f>
        <v>0</v>
      </c>
      <c r="M118" s="4">
        <f>_xll.ciqfunctions.udf.CIQ(InputTicker, "IQ_NONCASH_PENSION_EXP",Input!O$2,Date,,,Ccy,Conv)</f>
        <v>0</v>
      </c>
      <c r="N118" s="49"/>
      <c r="P118" s="46"/>
      <c r="Q118" s="46"/>
      <c r="R118" s="46"/>
      <c r="T118" s="42"/>
      <c r="U118" s="42"/>
      <c r="V118" s="46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  <c r="BA118" s="42"/>
      <c r="BB118" s="42"/>
      <c r="BC118" s="42"/>
      <c r="BD118" s="42"/>
      <c r="BE118" s="42"/>
      <c r="BF118" s="42"/>
      <c r="BG118" s="42"/>
      <c r="BH118" s="42"/>
      <c r="BI118" s="42"/>
      <c r="BJ118" s="42"/>
      <c r="BK118" s="42"/>
      <c r="BL118" s="42"/>
      <c r="BM118" s="42"/>
      <c r="BN118" s="42"/>
    </row>
    <row r="119" spans="1:66" ht="12.75" customHeight="1" x14ac:dyDescent="0.2">
      <c r="A119" s="1" t="s">
        <v>326</v>
      </c>
      <c r="B119" s="4">
        <f>_xll.ciqfunctions.udf.CIQ(InputTicker, "IQ_DA_EBITDA",Input!D$2,Date,,,Ccy,Conv)</f>
        <v>5400</v>
      </c>
      <c r="C119" s="4">
        <f>_xll.ciqfunctions.udf.CIQ(InputTicker, "IQ_DA_EBITDA",Input!E$2,Date,,,Ccy,Conv)</f>
        <v>5878</v>
      </c>
      <c r="D119" s="4">
        <f>_xll.ciqfunctions.udf.CIQ(InputTicker, "IQ_DA_EBITDA",Input!F$2,Date,,,Ccy,Conv)</f>
        <v>7800</v>
      </c>
      <c r="E119" s="4">
        <f>_xll.ciqfunctions.udf.CIQ(InputTicker, "IQ_DA_EBITDA",Input!G$2,Date,,,Ccy,Conv)</f>
        <v>9900</v>
      </c>
      <c r="F119" s="4">
        <f>_xll.ciqfunctions.udf.CIQ(InputTicker, "IQ_DA_EBITDA",Input!H$2,Date,,,Ccy,Conv)</f>
        <v>11600</v>
      </c>
      <c r="G119" s="4">
        <f>_xll.ciqfunctions.udf.CIQ(InputTicker, "IQ_DA_EBITDA",Input!I$2,Date,,,Ccy,Conv)</f>
        <v>12300</v>
      </c>
      <c r="H119" s="4">
        <f>_xll.ciqfunctions.udf.CIQ(InputTicker, "IQ_DA_EBITDA",Input!J$2,Date,,,Ccy,Conv)</f>
        <v>10900</v>
      </c>
      <c r="I119" s="4">
        <f>_xll.ciqfunctions.udf.CIQ(InputTicker, "IQ_DA_EBITDA",Input!K$2,Date,,,Ccy,Conv)</f>
        <v>14600</v>
      </c>
      <c r="J119" s="4">
        <f>_xll.ciqfunctions.udf.CIQ(InputTicker, "IQ_DA_EBITDA",Input!L$2,Date,,,Ccy,Conv)</f>
        <v>13500</v>
      </c>
      <c r="K119" s="4">
        <f>_xll.ciqfunctions.udf.CIQ(InputTicker, "IQ_DA_EBITDA",Input!M$2,Date,,,Ccy,Conv)</f>
        <v>20000</v>
      </c>
      <c r="L119" s="4">
        <f>_xll.ciqfunctions.udf.CIQ(InputTicker, "IQ_DA_EBITDA",Input!N$2,Date,,,Ccy,Conv)</f>
        <v>28000</v>
      </c>
      <c r="M119" s="4">
        <f>_xll.ciqfunctions.udf.CIQ(InputTicker, "IQ_DA_EBITDA",Input!O$2,Date,,,Ccy,Conv)</f>
        <v>35500</v>
      </c>
      <c r="N119" s="49"/>
      <c r="P119" s="46"/>
      <c r="Q119" s="46"/>
      <c r="R119" s="46"/>
      <c r="T119" s="42"/>
      <c r="U119" s="42"/>
      <c r="V119" s="46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  <c r="BA119" s="42"/>
      <c r="BB119" s="42"/>
      <c r="BC119" s="42"/>
      <c r="BD119" s="42"/>
      <c r="BE119" s="42"/>
      <c r="BF119" s="42"/>
      <c r="BG119" s="42"/>
      <c r="BH119" s="42"/>
      <c r="BI119" s="42"/>
      <c r="BJ119" s="42"/>
      <c r="BK119" s="42"/>
      <c r="BL119" s="42"/>
      <c r="BM119" s="42"/>
      <c r="BN119" s="42"/>
    </row>
    <row r="120" spans="1:66" ht="12.75" customHeight="1" x14ac:dyDescent="0.2">
      <c r="A120" s="1" t="s">
        <v>327</v>
      </c>
      <c r="B120" s="4">
        <f>_xll.ciqfunctions.udf.CIQ(InputTicker, "IQ_DISTRIBUTABLE_CASH",Input!D$2,Date,,,Ccy,Conv)</f>
        <v>0</v>
      </c>
      <c r="C120" s="4">
        <f>_xll.ciqfunctions.udf.CIQ(InputTicker, "IQ_DISTRIBUTABLE_CASH",Input!E$2,Date,,,Ccy,Conv)</f>
        <v>0</v>
      </c>
      <c r="D120" s="4">
        <f>_xll.ciqfunctions.udf.CIQ(InputTicker, "IQ_DISTRIBUTABLE_CASH",Input!F$2,Date,,,Ccy,Conv)</f>
        <v>0</v>
      </c>
      <c r="E120" s="4">
        <f>_xll.ciqfunctions.udf.CIQ(InputTicker, "IQ_DISTRIBUTABLE_CASH",Input!G$2,Date,,,Ccy,Conv)</f>
        <v>0</v>
      </c>
      <c r="F120" s="4">
        <f>_xll.ciqfunctions.udf.CIQ(InputTicker, "IQ_DISTRIBUTABLE_CASH",Input!H$2,Date,,,Ccy,Conv)</f>
        <v>0</v>
      </c>
      <c r="G120" s="4">
        <f>_xll.ciqfunctions.udf.CIQ(InputTicker, "IQ_DISTRIBUTABLE_CASH",Input!I$2,Date,,,Ccy,Conv)</f>
        <v>0</v>
      </c>
      <c r="H120" s="4">
        <f>_xll.ciqfunctions.udf.CIQ(InputTicker, "IQ_DISTRIBUTABLE_CASH",Input!J$2,Date,,,Ccy,Conv)</f>
        <v>0</v>
      </c>
      <c r="I120" s="4">
        <f>_xll.ciqfunctions.udf.CIQ(InputTicker, "IQ_DISTRIBUTABLE_CASH",Input!K$2,Date,,,Ccy,Conv)</f>
        <v>0</v>
      </c>
      <c r="J120" s="4">
        <f>_xll.ciqfunctions.udf.CIQ(InputTicker, "IQ_DISTRIBUTABLE_CASH",Input!L$2,Date,,,Ccy,Conv)</f>
        <v>0</v>
      </c>
      <c r="K120" s="4">
        <f>_xll.ciqfunctions.udf.CIQ(InputTicker, "IQ_DISTRIBUTABLE_CASH",Input!M$2,Date,,,Ccy,Conv)</f>
        <v>0</v>
      </c>
      <c r="L120" s="4">
        <f>_xll.ciqfunctions.udf.CIQ(InputTicker, "IQ_DISTRIBUTABLE_CASH",Input!N$2,Date,,,Ccy,Conv)</f>
        <v>0</v>
      </c>
      <c r="M120" s="4">
        <f>_xll.ciqfunctions.udf.CIQ(InputTicker, "IQ_DISTRIBUTABLE_CASH",Input!O$2,Date,,,Ccy,Conv)</f>
        <v>0</v>
      </c>
      <c r="N120" s="49"/>
      <c r="P120" s="46"/>
      <c r="Q120" s="46"/>
      <c r="R120" s="46"/>
      <c r="T120" s="42"/>
      <c r="U120" s="42"/>
      <c r="V120" s="46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  <c r="BA120" s="42"/>
      <c r="BB120" s="42"/>
      <c r="BC120" s="42"/>
      <c r="BD120" s="42"/>
      <c r="BE120" s="42"/>
      <c r="BF120" s="42"/>
      <c r="BG120" s="42"/>
      <c r="BH120" s="42"/>
      <c r="BI120" s="42"/>
      <c r="BJ120" s="42"/>
      <c r="BK120" s="42"/>
      <c r="BL120" s="42"/>
      <c r="BM120" s="42"/>
      <c r="BN120" s="42"/>
    </row>
    <row r="121" spans="1:66" ht="12.75" customHeight="1" x14ac:dyDescent="0.2">
      <c r="A121" s="1" t="s">
        <v>436</v>
      </c>
      <c r="B121" s="4">
        <f>_xll.ciqfunctions.udf.CIQ(InputTicker, "IQ_DISTRIBUTABLE_CASH_STANDARDIZED",Input!D$2,Date,,,Ccy,Conv)</f>
        <v>0</v>
      </c>
      <c r="C121" s="4">
        <f>_xll.ciqfunctions.udf.CIQ(InputTicker, "IQ_DISTRIBUTABLE_CASH_STANDARDIZED",Input!E$2,Date,,,Ccy,Conv)</f>
        <v>0</v>
      </c>
      <c r="D121" s="4">
        <f>_xll.ciqfunctions.udf.CIQ(InputTicker, "IQ_DISTRIBUTABLE_CASH_STANDARDIZED",Input!F$2,Date,,,Ccy,Conv)</f>
        <v>0</v>
      </c>
      <c r="E121" s="4">
        <f>_xll.ciqfunctions.udf.CIQ(InputTicker, "IQ_DISTRIBUTABLE_CASH_STANDARDIZED",Input!G$2,Date,,,Ccy,Conv)</f>
        <v>0</v>
      </c>
      <c r="F121" s="4">
        <f>_xll.ciqfunctions.udf.CIQ(InputTicker, "IQ_DISTRIBUTABLE_CASH_STANDARDIZED",Input!H$2,Date,,,Ccy,Conv)</f>
        <v>0</v>
      </c>
      <c r="G121" s="4">
        <f>_xll.ciqfunctions.udf.CIQ(InputTicker, "IQ_DISTRIBUTABLE_CASH_STANDARDIZED",Input!I$2,Date,,,Ccy,Conv)</f>
        <v>0</v>
      </c>
      <c r="H121" s="4">
        <f>_xll.ciqfunctions.udf.CIQ(InputTicker, "IQ_DISTRIBUTABLE_CASH_STANDARDIZED",Input!J$2,Date,,,Ccy,Conv)</f>
        <v>0</v>
      </c>
      <c r="I121" s="4">
        <f>_xll.ciqfunctions.udf.CIQ(InputTicker, "IQ_DISTRIBUTABLE_CASH_STANDARDIZED",Input!K$2,Date,,,Ccy,Conv)</f>
        <v>0</v>
      </c>
      <c r="J121" s="4">
        <f>_xll.ciqfunctions.udf.CIQ(InputTicker, "IQ_DISTRIBUTABLE_CASH_STANDARDIZED",Input!L$2,Date,,,Ccy,Conv)</f>
        <v>0</v>
      </c>
      <c r="K121" s="4">
        <f>_xll.ciqfunctions.udf.CIQ(InputTicker, "IQ_DISTRIBUTABLE_CASH_STANDARDIZED",Input!M$2,Date,,,Ccy,Conv)</f>
        <v>0</v>
      </c>
      <c r="L121" s="4">
        <f>_xll.ciqfunctions.udf.CIQ(InputTicker, "IQ_DISTRIBUTABLE_CASH_STANDARDIZED",Input!N$2,Date,,,Ccy,Conv)</f>
        <v>0</v>
      </c>
      <c r="M121" s="4">
        <f>_xll.ciqfunctions.udf.CIQ(InputTicker, "IQ_DISTRIBUTABLE_CASH_STANDARDIZED",Input!O$2,Date,,,Ccy,Conv)</f>
        <v>0</v>
      </c>
      <c r="N121" s="49"/>
      <c r="P121" s="46"/>
      <c r="Q121" s="46"/>
      <c r="R121" s="46"/>
      <c r="T121" s="42"/>
      <c r="U121" s="42"/>
      <c r="V121" s="46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  <c r="BA121" s="42"/>
      <c r="BB121" s="42"/>
      <c r="BC121" s="42"/>
      <c r="BD121" s="42"/>
      <c r="BE121" s="42"/>
      <c r="BF121" s="42"/>
      <c r="BG121" s="42"/>
      <c r="BH121" s="42"/>
      <c r="BI121" s="42"/>
      <c r="BJ121" s="42"/>
      <c r="BK121" s="42"/>
      <c r="BL121" s="42"/>
      <c r="BM121" s="42"/>
      <c r="BN121" s="42"/>
    </row>
    <row r="122" spans="1:66" ht="12.75" customHeight="1" x14ac:dyDescent="0.2">
      <c r="A122" s="1" t="s">
        <v>389</v>
      </c>
      <c r="B122" s="4">
        <f>_xll.ciqfunctions.udf.CIQ(InputTicker, "IQ_DISTRIBUTABLE_CASH_SHARES_BASIC",Input!D$2,Date)</f>
        <v>0</v>
      </c>
      <c r="C122" s="4">
        <f>_xll.ciqfunctions.udf.CIQ(InputTicker, "IQ_DISTRIBUTABLE_CASH_SHARES_BASIC",Input!E$2,Date)</f>
        <v>0</v>
      </c>
      <c r="D122" s="4">
        <f>_xll.ciqfunctions.udf.CIQ(InputTicker, "IQ_DISTRIBUTABLE_CASH_SHARES_BASIC",Input!F$2,Date)</f>
        <v>0</v>
      </c>
      <c r="E122" s="4">
        <f>_xll.ciqfunctions.udf.CIQ(InputTicker, "IQ_DISTRIBUTABLE_CASH_SHARES_BASIC",Input!G$2,Date)</f>
        <v>0</v>
      </c>
      <c r="F122" s="4">
        <f>_xll.ciqfunctions.udf.CIQ(InputTicker, "IQ_DISTRIBUTABLE_CASH_SHARES_BASIC",Input!H$2,Date)</f>
        <v>0</v>
      </c>
      <c r="G122" s="4">
        <f>_xll.ciqfunctions.udf.CIQ(InputTicker, "IQ_DISTRIBUTABLE_CASH_SHARES_BASIC",Input!I$2,Date)</f>
        <v>0</v>
      </c>
      <c r="H122" s="4">
        <f>_xll.ciqfunctions.udf.CIQ(InputTicker, "IQ_DISTRIBUTABLE_CASH_SHARES_BASIC",Input!J$2,Date)</f>
        <v>0</v>
      </c>
      <c r="I122" s="4">
        <f>_xll.ciqfunctions.udf.CIQ(InputTicker, "IQ_DISTRIBUTABLE_CASH_SHARES_BASIC",Input!K$2,Date)</f>
        <v>0</v>
      </c>
      <c r="J122" s="4">
        <f>_xll.ciqfunctions.udf.CIQ(InputTicker, "IQ_DISTRIBUTABLE_CASH_SHARES_BASIC",Input!L$2,Date)</f>
        <v>0</v>
      </c>
      <c r="K122" s="4">
        <f>_xll.ciqfunctions.udf.CIQ(InputTicker, "IQ_DISTRIBUTABLE_CASH_SHARES_BASIC",Input!M$2,Date)</f>
        <v>0</v>
      </c>
      <c r="L122" s="4">
        <f>_xll.ciqfunctions.udf.CIQ(InputTicker, "IQ_DISTRIBUTABLE_CASH_SHARES_BASIC",Input!N$2,Date)</f>
        <v>0</v>
      </c>
      <c r="M122" s="4">
        <f>_xll.ciqfunctions.udf.CIQ(InputTicker, "IQ_DISTRIBUTABLE_CASH_SHARES_BASIC",Input!O$2,Date)</f>
        <v>0</v>
      </c>
      <c r="N122" s="49"/>
      <c r="P122" s="46"/>
      <c r="Q122" s="46"/>
      <c r="R122" s="46"/>
      <c r="T122" s="42"/>
      <c r="U122" s="42"/>
      <c r="V122" s="46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  <c r="BA122" s="42"/>
      <c r="BB122" s="42"/>
      <c r="BC122" s="42"/>
      <c r="BD122" s="42"/>
      <c r="BE122" s="42"/>
      <c r="BF122" s="42"/>
      <c r="BG122" s="42"/>
      <c r="BH122" s="42"/>
      <c r="BI122" s="42"/>
      <c r="BJ122" s="42"/>
      <c r="BK122" s="42"/>
      <c r="BL122" s="42"/>
      <c r="BM122" s="42"/>
      <c r="BN122" s="42"/>
    </row>
    <row r="123" spans="1:66" ht="12.75" customHeight="1" x14ac:dyDescent="0.2">
      <c r="A123" s="1" t="s">
        <v>390</v>
      </c>
      <c r="B123" s="4">
        <f>_xll.ciqfunctions.udf.CIQ(InputTicker, "IQ_DISTRIBUTABLE_CASH_SHARES_DILUTED",Input!D$2,Date)</f>
        <v>0</v>
      </c>
      <c r="C123" s="4">
        <f>_xll.ciqfunctions.udf.CIQ(InputTicker, "IQ_DISTRIBUTABLE_CASH_SHARES_DILUTED",Input!E$2,Date)</f>
        <v>0</v>
      </c>
      <c r="D123" s="4">
        <f>_xll.ciqfunctions.udf.CIQ(InputTicker, "IQ_DISTRIBUTABLE_CASH_SHARES_DILUTED",Input!F$2,Date)</f>
        <v>0</v>
      </c>
      <c r="E123" s="4">
        <f>_xll.ciqfunctions.udf.CIQ(InputTicker, "IQ_DISTRIBUTABLE_CASH_SHARES_DILUTED",Input!G$2,Date)</f>
        <v>0</v>
      </c>
      <c r="F123" s="4">
        <f>_xll.ciqfunctions.udf.CIQ(InputTicker, "IQ_DISTRIBUTABLE_CASH_SHARES_DILUTED",Input!H$2,Date)</f>
        <v>0</v>
      </c>
      <c r="G123" s="4">
        <f>_xll.ciqfunctions.udf.CIQ(InputTicker, "IQ_DISTRIBUTABLE_CASH_SHARES_DILUTED",Input!I$2,Date)</f>
        <v>0</v>
      </c>
      <c r="H123" s="4">
        <f>_xll.ciqfunctions.udf.CIQ(InputTicker, "IQ_DISTRIBUTABLE_CASH_SHARES_DILUTED",Input!J$2,Date)</f>
        <v>0</v>
      </c>
      <c r="I123" s="4">
        <f>_xll.ciqfunctions.udf.CIQ(InputTicker, "IQ_DISTRIBUTABLE_CASH_SHARES_DILUTED",Input!K$2,Date)</f>
        <v>0</v>
      </c>
      <c r="J123" s="4">
        <f>_xll.ciqfunctions.udf.CIQ(InputTicker, "IQ_DISTRIBUTABLE_CASH_SHARES_DILUTED",Input!L$2,Date)</f>
        <v>0</v>
      </c>
      <c r="K123" s="4">
        <f>_xll.ciqfunctions.udf.CIQ(InputTicker, "IQ_DISTRIBUTABLE_CASH_SHARES_DILUTED",Input!M$2,Date)</f>
        <v>0</v>
      </c>
      <c r="L123" s="4">
        <f>_xll.ciqfunctions.udf.CIQ(InputTicker, "IQ_DISTRIBUTABLE_CASH_SHARES_DILUTED",Input!N$2,Date)</f>
        <v>0</v>
      </c>
      <c r="M123" s="4">
        <f>_xll.ciqfunctions.udf.CIQ(InputTicker, "IQ_DISTRIBUTABLE_CASH_SHARES_DILUTED",Input!O$2,Date)</f>
        <v>0</v>
      </c>
      <c r="N123" s="49"/>
      <c r="P123" s="46"/>
      <c r="Q123" s="46"/>
      <c r="R123" s="46"/>
      <c r="T123" s="42"/>
      <c r="U123" s="42"/>
      <c r="V123" s="46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  <c r="BA123" s="42"/>
      <c r="BB123" s="42"/>
      <c r="BC123" s="42"/>
      <c r="BD123" s="42"/>
      <c r="BE123" s="42"/>
      <c r="BF123" s="42"/>
      <c r="BG123" s="42"/>
      <c r="BH123" s="42"/>
      <c r="BI123" s="42"/>
      <c r="BJ123" s="42"/>
      <c r="BK123" s="42"/>
      <c r="BL123" s="42"/>
      <c r="BM123" s="42"/>
      <c r="BN123" s="42"/>
    </row>
    <row r="124" spans="1:66" ht="12.75" customHeight="1" x14ac:dyDescent="0.2">
      <c r="A124" s="1" t="s">
        <v>344</v>
      </c>
      <c r="B124" s="4">
        <f>_xll.ciqfunctions.udf.CIQ(InputTicker, "IQ_ANNU_DISTRIBUTION_UNIT",Input!D$2,Date,,,Ccy,Conv)</f>
        <v>0</v>
      </c>
      <c r="C124" s="4">
        <f>_xll.ciqfunctions.udf.CIQ(InputTicker, "IQ_ANNU_DISTRIBUTION_UNIT",Input!E$2,Date,,,Ccy,Conv)</f>
        <v>0</v>
      </c>
      <c r="D124" s="4">
        <f>_xll.ciqfunctions.udf.CIQ(InputTicker, "IQ_ANNU_DISTRIBUTION_UNIT",Input!F$2,Date,,,Ccy,Conv)</f>
        <v>0</v>
      </c>
      <c r="E124" s="4">
        <f>_xll.ciqfunctions.udf.CIQ(InputTicker, "IQ_ANNU_DISTRIBUTION_UNIT",Input!G$2,Date,,,Ccy,Conv)</f>
        <v>0</v>
      </c>
      <c r="F124" s="4">
        <f>_xll.ciqfunctions.udf.CIQ(InputTicker, "IQ_ANNU_DISTRIBUTION_UNIT",Input!H$2,Date,,,Ccy,Conv)</f>
        <v>0</v>
      </c>
      <c r="G124" s="4">
        <f>_xll.ciqfunctions.udf.CIQ(InputTicker, "IQ_ANNU_DISTRIBUTION_UNIT",Input!I$2,Date,,,Ccy,Conv)</f>
        <v>0</v>
      </c>
      <c r="H124" s="4">
        <f>_xll.ciqfunctions.udf.CIQ(InputTicker, "IQ_ANNU_DISTRIBUTION_UNIT",Input!J$2,Date,,,Ccy,Conv)</f>
        <v>0</v>
      </c>
      <c r="I124" s="4">
        <f>_xll.ciqfunctions.udf.CIQ(InputTicker, "IQ_ANNU_DISTRIBUTION_UNIT",Input!K$2,Date,,,Ccy,Conv)</f>
        <v>0</v>
      </c>
      <c r="J124" s="4">
        <f>_xll.ciqfunctions.udf.CIQ(InputTicker, "IQ_ANNU_DISTRIBUTION_UNIT",Input!L$2,Date,,,Ccy,Conv)</f>
        <v>0</v>
      </c>
      <c r="K124" s="4">
        <f>_xll.ciqfunctions.udf.CIQ(InputTicker, "IQ_ANNU_DISTRIBUTION_UNIT",Input!M$2,Date,,,Ccy,Conv)</f>
        <v>0</v>
      </c>
      <c r="L124" s="4">
        <f>_xll.ciqfunctions.udf.CIQ(InputTicker, "IQ_ANNU_DISTRIBUTION_UNIT",Input!N$2,Date,,,Ccy,Conv)</f>
        <v>0</v>
      </c>
      <c r="M124" s="4">
        <f>_xll.ciqfunctions.udf.CIQ(InputTicker, "IQ_ANNU_DISTRIBUTION_UNIT",Input!O$2,Date,,,Ccy,Conv)</f>
        <v>0</v>
      </c>
      <c r="N124" s="49"/>
      <c r="P124" s="46"/>
      <c r="Q124" s="46"/>
      <c r="R124" s="46"/>
      <c r="T124" s="42"/>
      <c r="U124" s="42"/>
      <c r="V124" s="46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  <c r="BA124" s="42"/>
      <c r="BB124" s="42"/>
      <c r="BC124" s="42"/>
      <c r="BD124" s="42"/>
      <c r="BE124" s="42"/>
      <c r="BF124" s="42"/>
      <c r="BG124" s="42"/>
      <c r="BH124" s="42"/>
      <c r="BI124" s="42"/>
      <c r="BJ124" s="42"/>
      <c r="BK124" s="42"/>
      <c r="BL124" s="42"/>
      <c r="BM124" s="42"/>
      <c r="BN124" s="42"/>
    </row>
    <row r="125" spans="1:66" ht="12.75" customHeight="1" x14ac:dyDescent="0.2">
      <c r="A125" s="1" t="s">
        <v>365</v>
      </c>
      <c r="B125" s="4">
        <f>_xll.ciqfunctions.udf.CIQ(InputTicker, "IQ_DISTRIBUTABLE_CASH_PAYOUT",Input!D$2,Date)</f>
        <v>0</v>
      </c>
      <c r="C125" s="4">
        <f>_xll.ciqfunctions.udf.CIQ(InputTicker, "IQ_DISTRIBUTABLE_CASH_PAYOUT",Input!E$2,Date)</f>
        <v>0</v>
      </c>
      <c r="D125" s="4">
        <f>_xll.ciqfunctions.udf.CIQ(InputTicker, "IQ_DISTRIBUTABLE_CASH_PAYOUT",Input!F$2,Date)</f>
        <v>0</v>
      </c>
      <c r="E125" s="4">
        <f>_xll.ciqfunctions.udf.CIQ(InputTicker, "IQ_DISTRIBUTABLE_CASH_PAYOUT",Input!G$2,Date)</f>
        <v>0</v>
      </c>
      <c r="F125" s="4">
        <f>_xll.ciqfunctions.udf.CIQ(InputTicker, "IQ_DISTRIBUTABLE_CASH_PAYOUT",Input!H$2,Date)</f>
        <v>0</v>
      </c>
      <c r="G125" s="4">
        <f>_xll.ciqfunctions.udf.CIQ(InputTicker, "IQ_DISTRIBUTABLE_CASH_PAYOUT",Input!I$2,Date)</f>
        <v>0</v>
      </c>
      <c r="H125" s="4">
        <f>_xll.ciqfunctions.udf.CIQ(InputTicker, "IQ_DISTRIBUTABLE_CASH_PAYOUT",Input!J$2,Date)</f>
        <v>0</v>
      </c>
      <c r="I125" s="4">
        <f>_xll.ciqfunctions.udf.CIQ(InputTicker, "IQ_DISTRIBUTABLE_CASH_PAYOUT",Input!K$2,Date)</f>
        <v>0</v>
      </c>
      <c r="J125" s="4">
        <f>_xll.ciqfunctions.udf.CIQ(InputTicker, "IQ_DISTRIBUTABLE_CASH_PAYOUT",Input!L$2,Date)</f>
        <v>0</v>
      </c>
      <c r="K125" s="4">
        <f>_xll.ciqfunctions.udf.CIQ(InputTicker, "IQ_DISTRIBUTABLE_CASH_PAYOUT",Input!M$2,Date)</f>
        <v>0</v>
      </c>
      <c r="L125" s="4">
        <f>_xll.ciqfunctions.udf.CIQ(InputTicker, "IQ_DISTRIBUTABLE_CASH_PAYOUT",Input!N$2,Date)</f>
        <v>0</v>
      </c>
      <c r="M125" s="4">
        <f>_xll.ciqfunctions.udf.CIQ(InputTicker, "IQ_DISTRIBUTABLE_CASH_PAYOUT",Input!O$2,Date)</f>
        <v>0</v>
      </c>
      <c r="N125" s="49"/>
      <c r="P125" s="46"/>
      <c r="Q125" s="46"/>
      <c r="R125" s="46"/>
      <c r="T125" s="42"/>
      <c r="U125" s="42"/>
      <c r="V125" s="46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  <c r="BA125" s="42"/>
      <c r="BB125" s="42"/>
      <c r="BC125" s="42"/>
      <c r="BD125" s="42"/>
      <c r="BE125" s="42"/>
      <c r="BF125" s="42"/>
      <c r="BG125" s="42"/>
      <c r="BH125" s="42"/>
      <c r="BI125" s="42"/>
      <c r="BJ125" s="42"/>
      <c r="BK125" s="42"/>
      <c r="BL125" s="42"/>
      <c r="BM125" s="42"/>
      <c r="BN125" s="42"/>
    </row>
    <row r="126" spans="1:66" ht="12.75" customHeight="1" x14ac:dyDescent="0.2">
      <c r="A126" s="1" t="s">
        <v>329</v>
      </c>
      <c r="B126" s="4">
        <f>_xll.ciqfunctions.udf.CIQ(InputTicker, "IQ_COMMON_DIV",Input!D$2,Date,,,Ccy,Conv)</f>
        <v>10063</v>
      </c>
      <c r="C126" s="4">
        <f>_xll.ciqfunctions.udf.CIQ(InputTicker, "IQ_COMMON_DIV",Input!E$2,Date,,,Ccy,Conv)</f>
        <v>11329</v>
      </c>
      <c r="D126" s="4">
        <f>_xll.ciqfunctions.udf.CIQ(InputTicker, "IQ_COMMON_DIV",Input!F$2,Date,,,Ccy,Conv)</f>
        <v>12040</v>
      </c>
      <c r="E126" s="4">
        <f>_xll.ciqfunctions.udf.CIQ(InputTicker, "IQ_COMMON_DIV",Input!G$2,Date,,,Ccy,Conv)</f>
        <v>12917</v>
      </c>
      <c r="F126" s="4">
        <f>_xll.ciqfunctions.udf.CIQ(InputTicker, "IQ_COMMON_DIV",Input!H$2,Date,,,Ccy,Conv)</f>
        <v>14103</v>
      </c>
      <c r="G126" s="4">
        <f>_xll.ciqfunctions.udf.CIQ(InputTicker, "IQ_COMMON_DIV",Input!I$2,Date,,,Ccy,Conv)</f>
        <v>15483</v>
      </c>
      <c r="H126" s="4">
        <f>_xll.ciqfunctions.udf.CIQ(InputTicker, "IQ_COMMON_DIV",Input!J$2,Date,,,Ccy,Conv)</f>
        <v>16871</v>
      </c>
      <c r="I126" s="4">
        <f>_xll.ciqfunctions.udf.CIQ(InputTicker, "IQ_COMMON_DIV",Input!K$2,Date,,,Ccy,Conv)</f>
        <v>18552</v>
      </c>
      <c r="J126" s="4">
        <f>_xll.ciqfunctions.udf.CIQ(InputTicker, "IQ_COMMON_DIV",Input!L$2,Date,,,Ccy,Conv)</f>
        <v>20226</v>
      </c>
      <c r="K126" s="4">
        <f>_xll.ciqfunctions.udf.CIQ(InputTicker, "IQ_COMMON_DIV",Input!M$2,Date,,,Ccy,Conv)</f>
        <v>22295</v>
      </c>
      <c r="L126" s="4">
        <f>_xll.ciqfunctions.udf.CIQ(InputTicker, "IQ_COMMON_DIV",Input!N$2,Date,,,Ccy,Conv)</f>
        <v>24678</v>
      </c>
      <c r="M126" s="4">
        <f>_xll.ciqfunctions.udf.CIQ(InputTicker, "IQ_COMMON_DIV",Input!O$2,Date,,,Ccy,Conv)</f>
        <v>26448</v>
      </c>
      <c r="N126" s="49"/>
      <c r="P126" s="46"/>
      <c r="Q126" s="46"/>
      <c r="R126" s="46"/>
      <c r="T126" s="42"/>
      <c r="U126" s="42"/>
      <c r="V126" s="46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  <c r="BA126" s="42"/>
      <c r="BB126" s="42"/>
      <c r="BC126" s="42"/>
      <c r="BD126" s="42"/>
      <c r="BE126" s="42"/>
      <c r="BF126" s="42"/>
      <c r="BG126" s="42"/>
      <c r="BH126" s="42"/>
      <c r="BI126" s="42"/>
      <c r="BJ126" s="42"/>
      <c r="BK126" s="42"/>
      <c r="BL126" s="42"/>
      <c r="BM126" s="42"/>
      <c r="BN126" s="42"/>
    </row>
    <row r="127" spans="1:66" ht="12.75" customHeight="1" x14ac:dyDescent="0.2">
      <c r="A127" s="1" t="s">
        <v>282</v>
      </c>
      <c r="B127" s="4">
        <f>_xll.ciqfunctions.udf.CIQ(InputTicker, "IQ_EFFECT_TAX_RATE",Input!D$2,Date)</f>
        <v>34.116799999999998</v>
      </c>
      <c r="C127" s="4">
        <f>_xll.ciqfunctions.udf.CIQ(InputTicker, "IQ_EFFECT_TAX_RATE",Input!E$2,Date)</f>
        <v>19.891500000000001</v>
      </c>
      <c r="D127" s="4">
        <f>_xll.ciqfunctions.udf.CIQ(InputTicker, "IQ_EFFECT_TAX_RATE",Input!F$2,Date)</f>
        <v>14.7553</v>
      </c>
      <c r="E127" s="4">
        <f>_xll.ciqfunctions.udf.CIQ(InputTicker, "IQ_EFFECT_TAX_RATE",Input!G$2,Date)</f>
        <v>54.567599999999999</v>
      </c>
      <c r="F127" s="4">
        <f>_xll.ciqfunctions.udf.CIQ(InputTicker, "IQ_EFFECT_TAX_RATE",Input!H$2,Date)</f>
        <v>10.1812</v>
      </c>
      <c r="G127" s="4">
        <f>_xll.ciqfunctions.udf.CIQ(InputTicker, "IQ_EFFECT_TAX_RATE",Input!I$2,Date)</f>
        <v>16.5076</v>
      </c>
      <c r="H127" s="4">
        <f>_xll.ciqfunctions.udf.CIQ(InputTicker, "IQ_EFFECT_TAX_RATE",Input!J$2,Date)</f>
        <v>13.826599999999999</v>
      </c>
      <c r="I127" s="4">
        <f>_xll.ciqfunctions.udf.CIQ(InputTicker, "IQ_EFFECT_TAX_RATE",Input!K$2,Date)</f>
        <v>13.113300000000001</v>
      </c>
      <c r="J127" s="4">
        <f>_xll.ciqfunctions.udf.CIQ(InputTicker, "IQ_EFFECT_TAX_RATE",Input!L$2,Date)</f>
        <v>18.9786</v>
      </c>
      <c r="K127" s="4">
        <f>_xll.ciqfunctions.udf.CIQ(InputTicker, "IQ_EFFECT_TAX_RATE",Input!M$2,Date)</f>
        <v>18.231300000000001</v>
      </c>
      <c r="L127" s="4">
        <f>_xll.ciqfunctions.udf.CIQ(InputTicker, "IQ_EFFECT_TAX_RATE",Input!N$2,Date)</f>
        <v>17.6296</v>
      </c>
      <c r="M127" s="4">
        <f>_xll.ciqfunctions.udf.CIQ(InputTicker, "IQ_EFFECT_TAX_RATE",Input!O$2,Date)</f>
        <v>18.9556</v>
      </c>
      <c r="N127" s="49"/>
      <c r="P127" s="46"/>
      <c r="Q127" s="46"/>
      <c r="R127" s="46"/>
      <c r="T127" s="42"/>
      <c r="U127" s="42"/>
      <c r="V127" s="46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  <c r="BA127" s="42"/>
      <c r="BB127" s="42"/>
      <c r="BC127" s="42"/>
      <c r="BD127" s="42"/>
      <c r="BE127" s="42"/>
      <c r="BF127" s="42"/>
      <c r="BG127" s="42"/>
      <c r="BH127" s="42"/>
      <c r="BI127" s="42"/>
      <c r="BJ127" s="42"/>
      <c r="BK127" s="42"/>
      <c r="BL127" s="42"/>
      <c r="BM127" s="42"/>
      <c r="BN127" s="42"/>
    </row>
    <row r="128" spans="1:66" ht="12.75" customHeight="1" x14ac:dyDescent="0.2">
      <c r="A128" s="1" t="s">
        <v>283</v>
      </c>
      <c r="B128" s="4">
        <f>_xll.ciqfunctions.udf.CIQ(InputTicker, "IQ_PAYOUT_RATIO",Input!D$2,Date)</f>
        <v>81.046499999999995</v>
      </c>
      <c r="C128" s="4">
        <f>_xll.ciqfunctions.udf.CIQ(InputTicker, "IQ_PAYOUT_RATIO",Input!E$2,Date)</f>
        <v>53.585799999999999</v>
      </c>
      <c r="D128" s="4">
        <f>_xll.ciqfunctions.udf.CIQ(InputTicker, "IQ_PAYOUT_RATIO",Input!F$2,Date)</f>
        <v>46.470999999999997</v>
      </c>
      <c r="E128" s="4">
        <f>_xll.ciqfunctions.udf.CIQ(InputTicker, "IQ_PAYOUT_RATIO",Input!G$2,Date)</f>
        <v>76.633799999999994</v>
      </c>
      <c r="F128" s="4">
        <f>_xll.ciqfunctions.udf.CIQ(InputTicker, "IQ_PAYOUT_RATIO",Input!H$2,Date)</f>
        <v>35.196199999999997</v>
      </c>
      <c r="G128" s="4">
        <f>_xll.ciqfunctions.udf.CIQ(InputTicker, "IQ_PAYOUT_RATIO",Input!I$2,Date)</f>
        <v>34.183900000000001</v>
      </c>
      <c r="H128" s="4">
        <f>_xll.ciqfunctions.udf.CIQ(InputTicker, "IQ_PAYOUT_RATIO",Input!J$2,Date)</f>
        <v>26.963799999999999</v>
      </c>
      <c r="I128" s="4">
        <f>_xll.ciqfunctions.udf.CIQ(InputTicker, "IQ_PAYOUT_RATIO",Input!K$2,Date)</f>
        <v>24.931899999999999</v>
      </c>
      <c r="J128" s="4">
        <f>_xll.ciqfunctions.udf.CIQ(InputTicker, "IQ_PAYOUT_RATIO",Input!L$2,Date)</f>
        <v>27.3628</v>
      </c>
      <c r="K128" s="4">
        <f>_xll.ciqfunctions.udf.CIQ(InputTicker, "IQ_PAYOUT_RATIO",Input!M$2,Date)</f>
        <v>24.701499999999999</v>
      </c>
      <c r="L128" s="4">
        <f>_xll.ciqfunctions.udf.CIQ(InputTicker, "IQ_PAYOUT_RATIO",Input!N$2,Date)</f>
        <v>23.648700000000002</v>
      </c>
      <c r="M128" s="4">
        <f>_xll.ciqfunctions.udf.CIQ(InputTicker, "IQ_PAYOUT_RATIO",Input!O$2,Date)</f>
        <v>20.649100000000001</v>
      </c>
      <c r="N128" s="49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  <c r="BA128" s="42"/>
      <c r="BB128" s="42"/>
      <c r="BC128" s="42"/>
      <c r="BD128" s="42"/>
      <c r="BE128" s="42"/>
      <c r="BF128" s="42"/>
      <c r="BG128" s="42"/>
      <c r="BH128" s="42"/>
      <c r="BI128" s="42"/>
      <c r="BJ128" s="42"/>
      <c r="BK128" s="42"/>
      <c r="BL128" s="42"/>
      <c r="BM128" s="42"/>
      <c r="BN128" s="42"/>
    </row>
    <row r="129" spans="1:66" ht="12.75" customHeight="1" x14ac:dyDescent="0.2">
      <c r="A129" s="1" t="s">
        <v>407</v>
      </c>
      <c r="B129" s="4">
        <f>_xll.ciqfunctions.udf.CIQ(InputTicker, "IQ_DIC",Input!D$2,Date,,,Ccy,Conv)</f>
        <v>0</v>
      </c>
      <c r="C129" s="4">
        <f>_xll.ciqfunctions.udf.CIQ(InputTicker, "IQ_DIC",Input!E$2,Date,,,Ccy,Conv)</f>
        <v>0</v>
      </c>
      <c r="D129" s="4">
        <f>_xll.ciqfunctions.udf.CIQ(InputTicker, "IQ_DIC",Input!F$2,Date,,,Ccy,Conv)</f>
        <v>0</v>
      </c>
      <c r="E129" s="4">
        <f>_xll.ciqfunctions.udf.CIQ(InputTicker, "IQ_DIC",Input!G$2,Date,,,Ccy,Conv)</f>
        <v>0</v>
      </c>
      <c r="F129" s="4">
        <f>_xll.ciqfunctions.udf.CIQ(InputTicker, "IQ_DIC",Input!H$2,Date,,,Ccy,Conv)</f>
        <v>0</v>
      </c>
      <c r="G129" s="4">
        <f>_xll.ciqfunctions.udf.CIQ(InputTicker, "IQ_DIC",Input!I$2,Date,,,Ccy,Conv)</f>
        <v>0</v>
      </c>
      <c r="H129" s="4">
        <f>_xll.ciqfunctions.udf.CIQ(InputTicker, "IQ_DIC",Input!J$2,Date,,,Ccy,Conv)</f>
        <v>0</v>
      </c>
      <c r="I129" s="4">
        <f>_xll.ciqfunctions.udf.CIQ(InputTicker, "IQ_DIC",Input!K$2,Date,,,Ccy,Conv)</f>
        <v>0</v>
      </c>
      <c r="J129" s="4">
        <f>_xll.ciqfunctions.udf.CIQ(InputTicker, "IQ_DIC",Input!L$2,Date,,,Ccy,Conv)</f>
        <v>0</v>
      </c>
      <c r="K129" s="4">
        <f>_xll.ciqfunctions.udf.CIQ(InputTicker, "IQ_DIC",Input!M$2,Date,,,Ccy,Conv)</f>
        <v>0</v>
      </c>
      <c r="L129" s="4">
        <f>_xll.ciqfunctions.udf.CIQ(InputTicker, "IQ_DIC",Input!N$2,Date,,,Ccy,Conv)</f>
        <v>0</v>
      </c>
      <c r="M129" s="4">
        <f>_xll.ciqfunctions.udf.CIQ(InputTicker, "IQ_DIC",Input!O$2,Date,,,Ccy,Conv)</f>
        <v>0</v>
      </c>
      <c r="N129" s="49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  <c r="BA129" s="42"/>
      <c r="BB129" s="42"/>
      <c r="BC129" s="42"/>
      <c r="BD129" s="42"/>
      <c r="BE129" s="42"/>
      <c r="BF129" s="42"/>
      <c r="BG129" s="42"/>
      <c r="BH129" s="42"/>
      <c r="BI129" s="42"/>
      <c r="BJ129" s="42"/>
      <c r="BK129" s="42"/>
      <c r="BL129" s="42"/>
      <c r="BM129" s="42"/>
      <c r="BN129" s="42"/>
    </row>
    <row r="130" spans="1:66" ht="12.75" customHeight="1" x14ac:dyDescent="0.2">
      <c r="A130" s="1" t="s">
        <v>347</v>
      </c>
      <c r="B130" s="15" t="str">
        <f>_xll.ciqfunctions.udf.CIQ(InputTicker, "IQ_FILING_CURRENCY",Input!D$2,Date)</f>
        <v>USD</v>
      </c>
      <c r="C130" s="15" t="str">
        <f>_xll.ciqfunctions.udf.CIQ(InputTicker, "IQ_FILING_CURRENCY",Input!E$2,Date)</f>
        <v>USD</v>
      </c>
      <c r="D130" s="15" t="str">
        <f>_xll.ciqfunctions.udf.CIQ(InputTicker, "IQ_FILING_CURRENCY",Input!F$2,Date)</f>
        <v>USD</v>
      </c>
      <c r="E130" s="15" t="str">
        <f>_xll.ciqfunctions.udf.CIQ(InputTicker, "IQ_FILING_CURRENCY",Input!G$2,Date)</f>
        <v>USD</v>
      </c>
      <c r="F130" s="15" t="str">
        <f>_xll.ciqfunctions.udf.CIQ(InputTicker, "IQ_FILING_CURRENCY",Input!H$2,Date)</f>
        <v>USD</v>
      </c>
      <c r="G130" s="15" t="str">
        <f>_xll.ciqfunctions.udf.CIQ(InputTicker, "IQ_FILING_CURRENCY",Input!I$2,Date)</f>
        <v>USD</v>
      </c>
      <c r="H130" s="15" t="str">
        <f>_xll.ciqfunctions.udf.CIQ(InputTicker, "IQ_FILING_CURRENCY",Input!J$2,Date)</f>
        <v>USD</v>
      </c>
      <c r="I130" s="15" t="str">
        <f>_xll.ciqfunctions.udf.CIQ(InputTicker, "IQ_FILING_CURRENCY",Input!K$2,Date)</f>
        <v>USD</v>
      </c>
      <c r="J130" s="15" t="str">
        <f>_xll.ciqfunctions.udf.CIQ(InputTicker, "IQ_FILING_CURRENCY",Input!L$2,Date)</f>
        <v>USD</v>
      </c>
      <c r="K130" s="15" t="str">
        <f>_xll.ciqfunctions.udf.CIQ(InputTicker, "IQ_FILING_CURRENCY",Input!M$2,Date)</f>
        <v>USD</v>
      </c>
      <c r="L130" s="15" t="str">
        <f>_xll.ciqfunctions.udf.CIQ(InputTicker, "IQ_FILING_CURRENCY",Input!N$2,Date)</f>
        <v>USD</v>
      </c>
      <c r="M130" s="15" t="str">
        <f>_xll.ciqfunctions.udf.CIQ(InputTicker, "IQ_FILING_CURRENCY",Input!O$2,Date)</f>
        <v>USD</v>
      </c>
      <c r="N130" s="49"/>
      <c r="P130" s="51"/>
      <c r="Q130" s="51"/>
      <c r="R130" s="51"/>
      <c r="T130" s="42"/>
      <c r="U130" s="42"/>
      <c r="V130" s="51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  <c r="BA130" s="42"/>
      <c r="BB130" s="42"/>
      <c r="BC130" s="42"/>
      <c r="BD130" s="42"/>
      <c r="BE130" s="42"/>
      <c r="BF130" s="42"/>
      <c r="BG130" s="42"/>
      <c r="BH130" s="42"/>
      <c r="BI130" s="42"/>
      <c r="BJ130" s="42"/>
      <c r="BK130" s="42"/>
      <c r="BL130" s="42"/>
      <c r="BM130" s="42"/>
      <c r="BN130" s="42"/>
    </row>
    <row r="131" spans="1:66" ht="12.75" customHeight="1" x14ac:dyDescent="0.2">
      <c r="A131" s="1" t="s">
        <v>345</v>
      </c>
      <c r="B131" s="15" t="str">
        <f>_xll.ciqfunctions.udf.CIQ(InputTicker, "IQ_RESTATEMENT_IS",Input!D$2,Date)</f>
        <v>NC</v>
      </c>
      <c r="C131" s="15" t="str">
        <f>_xll.ciqfunctions.udf.CIQ(InputTicker, "IQ_RESTATEMENT_IS",Input!E$2,Date)</f>
        <v>RS</v>
      </c>
      <c r="D131" s="15" t="str">
        <f>_xll.ciqfunctions.udf.CIQ(InputTicker, "IQ_RESTATEMENT_IS",Input!F$2,Date)</f>
        <v>RS</v>
      </c>
      <c r="E131" s="15" t="str">
        <f>_xll.ciqfunctions.udf.CIQ(InputTicker, "IQ_RESTATEMENT_IS",Input!G$2,Date)</f>
        <v>NC</v>
      </c>
      <c r="F131" s="15" t="str">
        <f>_xll.ciqfunctions.udf.CIQ(InputTicker, "IQ_RESTATEMENT_IS",Input!H$2,Date)</f>
        <v>NC</v>
      </c>
      <c r="G131" s="15" t="str">
        <f>_xll.ciqfunctions.udf.CIQ(InputTicker, "IQ_RESTATEMENT_IS",Input!I$2,Date)</f>
        <v>NC</v>
      </c>
      <c r="H131" s="15" t="str">
        <f>_xll.ciqfunctions.udf.CIQ(InputTicker, "IQ_RESTATEMENT_IS",Input!J$2,Date)</f>
        <v>NC</v>
      </c>
      <c r="I131" s="15" t="str">
        <f>_xll.ciqfunctions.udf.CIQ(InputTicker, "IQ_RESTATEMENT_IS",Input!K$2,Date)</f>
        <v>NC</v>
      </c>
      <c r="J131" s="15" t="str">
        <f>_xll.ciqfunctions.udf.CIQ(InputTicker, "IQ_RESTATEMENT_IS",Input!L$2,Date)</f>
        <v>RC</v>
      </c>
      <c r="K131" s="15" t="str">
        <f>_xll.ciqfunctions.udf.CIQ(InputTicker, "IQ_RESTATEMENT_IS",Input!M$2,Date)</f>
        <v>NC</v>
      </c>
      <c r="L131" s="15" t="str">
        <f>_xll.ciqfunctions.udf.CIQ(InputTicker, "IQ_RESTATEMENT_IS",Input!N$2,Date)</f>
        <v>O</v>
      </c>
      <c r="M131" s="15" t="str">
        <f>_xll.ciqfunctions.udf.CIQ(InputTicker, "IQ_RESTATEMENT_IS",Input!O$2,Date)</f>
        <v>O</v>
      </c>
      <c r="N131" s="49"/>
      <c r="P131" s="51"/>
      <c r="Q131" s="51"/>
      <c r="R131" s="51"/>
      <c r="T131" s="42"/>
      <c r="U131" s="42"/>
      <c r="V131" s="51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  <c r="BA131" s="42"/>
      <c r="BB131" s="42"/>
      <c r="BC131" s="42"/>
      <c r="BD131" s="42"/>
      <c r="BE131" s="42"/>
      <c r="BF131" s="42"/>
      <c r="BG131" s="42"/>
      <c r="BH131" s="42"/>
      <c r="BI131" s="42"/>
      <c r="BJ131" s="42"/>
      <c r="BK131" s="42"/>
      <c r="BL131" s="42"/>
      <c r="BM131" s="42"/>
      <c r="BN131" s="42"/>
    </row>
    <row r="132" spans="1:66" ht="12.75" customHeight="1" x14ac:dyDescent="0.2">
      <c r="A132" s="1" t="s">
        <v>346</v>
      </c>
      <c r="B132" s="15" t="str">
        <f>_xll.ciqfunctions.udf.CIQ(InputTicker, "IQ_CALC_TYPE_IS",Input!D$2,Date)</f>
        <v>REP</v>
      </c>
      <c r="C132" s="15" t="str">
        <f>_xll.ciqfunctions.udf.CIQ(InputTicker, "IQ_CALC_TYPE_IS",Input!E$2,Date)</f>
        <v>REP</v>
      </c>
      <c r="D132" s="15" t="str">
        <f>_xll.ciqfunctions.udf.CIQ(InputTicker, "IQ_CALC_TYPE_IS",Input!F$2,Date)</f>
        <v>REP</v>
      </c>
      <c r="E132" s="15" t="str">
        <f>_xll.ciqfunctions.udf.CIQ(InputTicker, "IQ_CALC_TYPE_IS",Input!G$2,Date)</f>
        <v>REP</v>
      </c>
      <c r="F132" s="15" t="str">
        <f>_xll.ciqfunctions.udf.CIQ(InputTicker, "IQ_CALC_TYPE_IS",Input!H$2,Date)</f>
        <v>REP</v>
      </c>
      <c r="G132" s="15" t="str">
        <f>_xll.ciqfunctions.udf.CIQ(InputTicker, "IQ_CALC_TYPE_IS",Input!I$2,Date)</f>
        <v>REP</v>
      </c>
      <c r="H132" s="15" t="str">
        <f>_xll.ciqfunctions.udf.CIQ(InputTicker, "IQ_CALC_TYPE_IS",Input!J$2,Date)</f>
        <v>REP</v>
      </c>
      <c r="I132" s="15" t="str">
        <f>_xll.ciqfunctions.udf.CIQ(InputTicker, "IQ_CALC_TYPE_IS",Input!K$2,Date)</f>
        <v>REP</v>
      </c>
      <c r="J132" s="15" t="str">
        <f>_xll.ciqfunctions.udf.CIQ(InputTicker, "IQ_CALC_TYPE_IS",Input!L$2,Date)</f>
        <v>REP</v>
      </c>
      <c r="K132" s="15" t="str">
        <f>_xll.ciqfunctions.udf.CIQ(InputTicker, "IQ_CALC_TYPE_IS",Input!M$2,Date)</f>
        <v>REP</v>
      </c>
      <c r="L132" s="15" t="str">
        <f>_xll.ciqfunctions.udf.CIQ(InputTicker, "IQ_CALC_TYPE_IS",Input!N$2,Date)</f>
        <v>REP</v>
      </c>
      <c r="M132" s="15" t="str">
        <f>_xll.ciqfunctions.udf.CIQ(InputTicker, "IQ_CALC_TYPE_IS",Input!O$2,Date)</f>
        <v>LTM</v>
      </c>
      <c r="N132" s="49"/>
      <c r="P132" s="51"/>
      <c r="Q132" s="51"/>
      <c r="R132" s="51"/>
      <c r="T132" s="42"/>
      <c r="U132" s="42"/>
      <c r="V132" s="51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  <c r="BA132" s="42"/>
      <c r="BB132" s="42"/>
      <c r="BC132" s="42"/>
      <c r="BD132" s="42"/>
      <c r="BE132" s="42"/>
      <c r="BF132" s="42"/>
      <c r="BG132" s="42"/>
      <c r="BH132" s="42"/>
      <c r="BI132" s="42"/>
      <c r="BJ132" s="42"/>
      <c r="BK132" s="42"/>
      <c r="BL132" s="42"/>
      <c r="BM132" s="42"/>
      <c r="BN132" s="42"/>
    </row>
    <row r="133" spans="1:66" ht="12.75" customHeight="1" x14ac:dyDescent="0.2">
      <c r="A133" s="1" t="s">
        <v>376</v>
      </c>
      <c r="B133" s="15" t="str">
        <f>_xll.ciqfunctions.udf.CIQ(InputTicker, "IQ_GAAP_IS",Input!D$2,Date)</f>
        <v>US GAAP</v>
      </c>
      <c r="C133" s="15" t="str">
        <f>_xll.ciqfunctions.udf.CIQ(InputTicker, "IQ_GAAP_IS",Input!E$2,Date)</f>
        <v>US GAAP</v>
      </c>
      <c r="D133" s="15" t="str">
        <f>_xll.ciqfunctions.udf.CIQ(InputTicker, "IQ_GAAP_IS",Input!F$2,Date)</f>
        <v>US GAAP</v>
      </c>
      <c r="E133" s="15" t="str">
        <f>_xll.ciqfunctions.udf.CIQ(InputTicker, "IQ_GAAP_IS",Input!G$2,Date)</f>
        <v>US GAAP</v>
      </c>
      <c r="F133" s="15" t="str">
        <f>_xll.ciqfunctions.udf.CIQ(InputTicker, "IQ_GAAP_IS",Input!H$2,Date)</f>
        <v>US GAAP</v>
      </c>
      <c r="G133" s="15" t="str">
        <f>_xll.ciqfunctions.udf.CIQ(InputTicker, "IQ_GAAP_IS",Input!I$2,Date)</f>
        <v>US GAAP</v>
      </c>
      <c r="H133" s="15" t="str">
        <f>_xll.ciqfunctions.udf.CIQ(InputTicker, "IQ_GAAP_IS",Input!J$2,Date)</f>
        <v>US GAAP</v>
      </c>
      <c r="I133" s="15" t="str">
        <f>_xll.ciqfunctions.udf.CIQ(InputTicker, "IQ_GAAP_IS",Input!K$2,Date)</f>
        <v>US GAAP</v>
      </c>
      <c r="J133" s="15" t="str">
        <f>_xll.ciqfunctions.udf.CIQ(InputTicker, "IQ_GAAP_IS",Input!L$2,Date)</f>
        <v>US GAAP</v>
      </c>
      <c r="K133" s="15" t="str">
        <f>_xll.ciqfunctions.udf.CIQ(InputTicker, "IQ_GAAP_IS",Input!M$2,Date)</f>
        <v>US GAAP</v>
      </c>
      <c r="L133" s="15" t="str">
        <f>_xll.ciqfunctions.udf.CIQ(InputTicker, "IQ_GAAP_IS",Input!N$2,Date)</f>
        <v>US GAAP</v>
      </c>
      <c r="M133" s="15">
        <f>_xll.ciqfunctions.udf.CIQ(InputTicker, "IQ_GAAP_IS",Input!O$2,Date)</f>
        <v>0</v>
      </c>
      <c r="N133" s="42"/>
      <c r="P133" s="51"/>
      <c r="Q133" s="51"/>
      <c r="R133" s="51"/>
      <c r="T133" s="42"/>
      <c r="U133" s="42"/>
      <c r="V133" s="51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  <c r="BA133" s="42"/>
      <c r="BB133" s="42"/>
      <c r="BC133" s="42"/>
      <c r="BD133" s="42"/>
      <c r="BE133" s="42"/>
      <c r="BF133" s="42"/>
      <c r="BG133" s="42"/>
      <c r="BH133" s="42"/>
      <c r="BI133" s="42"/>
      <c r="BJ133" s="42"/>
      <c r="BK133" s="42"/>
      <c r="BL133" s="42"/>
      <c r="BM133" s="42"/>
      <c r="BN133" s="42"/>
    </row>
    <row r="134" spans="1:66" ht="12.75" customHeight="1" x14ac:dyDescent="0.2">
      <c r="A134" s="1" t="s">
        <v>366</v>
      </c>
      <c r="B134" s="4">
        <f>_xll.ciqfunctions.udf.CIQ(InputTicker,"IQ_ADVERTISING",Input!D$2,Date,,,Ccy,Conv)</f>
        <v>1900</v>
      </c>
      <c r="C134" s="4">
        <f>_xll.ciqfunctions.udf.CIQ(InputTicker,"IQ_ADVERTISING",Input!E$2,Date,,,Ccy,Conv)</f>
        <v>1600</v>
      </c>
      <c r="D134" s="4">
        <f>_xll.ciqfunctions.udf.CIQ(InputTicker,"IQ_ADVERTISING",Input!F$2,Date,,,Ccy,Conv)</f>
        <v>1500</v>
      </c>
      <c r="E134" s="4">
        <f>_xll.ciqfunctions.udf.CIQ(InputTicker,"IQ_ADVERTISING",Input!G$2,Date,,,Ccy,Conv)</f>
        <v>1600</v>
      </c>
      <c r="F134" s="4">
        <f>_xll.ciqfunctions.udf.CIQ(InputTicker,"IQ_ADVERTISING",Input!H$2,Date,,,Ccy,Conv)</f>
        <v>1600</v>
      </c>
      <c r="G134" s="4">
        <f>_xll.ciqfunctions.udf.CIQ(InputTicker,"IQ_ADVERTISING",Input!I$2,Date,,,Ccy,Conv)</f>
        <v>1600</v>
      </c>
      <c r="H134" s="4">
        <f>_xll.ciqfunctions.udf.CIQ(InputTicker,"IQ_ADVERTISING",Input!J$2,Date,,,Ccy,Conv)</f>
        <v>1500</v>
      </c>
      <c r="I134" s="4">
        <f>_xll.ciqfunctions.udf.CIQ(InputTicker,"IQ_ADVERTISING",Input!K$2,Date,,,Ccy,Conv)</f>
        <v>1500</v>
      </c>
      <c r="J134" s="4">
        <f>_xll.ciqfunctions.udf.CIQ(InputTicker,"IQ_ADVERTISING",Input!L$2,Date,,,Ccy,Conv)</f>
        <v>904</v>
      </c>
      <c r="K134" s="4">
        <f>_xll.ciqfunctions.udf.CIQ(InputTicker,"IQ_ADVERTISING",Input!M$2,Date,,,Ccy,Conv)</f>
        <v>1700</v>
      </c>
      <c r="L134" s="4">
        <f>_xll.ciqfunctions.udf.CIQ(InputTicker,"IQ_ADVERTISING",Input!N$2,Date,,,Ccy,Conv)</f>
        <v>2100</v>
      </c>
      <c r="M134" s="4">
        <f>_xll.ciqfunctions.udf.CIQ(InputTicker,"IQ_ADVERTISING",Input!O$2,Date,,,Ccy,Conv)</f>
        <v>0</v>
      </c>
      <c r="N134" s="49"/>
      <c r="P134" s="51"/>
      <c r="Q134" s="51"/>
      <c r="R134" s="51"/>
      <c r="T134" s="42"/>
      <c r="U134" s="42"/>
      <c r="V134" s="51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  <c r="BA134" s="42"/>
      <c r="BB134" s="42"/>
      <c r="BC134" s="42"/>
      <c r="BD134" s="42"/>
      <c r="BE134" s="42"/>
      <c r="BF134" s="42"/>
      <c r="BG134" s="42"/>
      <c r="BH134" s="42"/>
      <c r="BI134" s="42"/>
      <c r="BJ134" s="42"/>
      <c r="BK134" s="42"/>
      <c r="BL134" s="42"/>
      <c r="BM134" s="42"/>
      <c r="BN134" s="42"/>
    </row>
    <row r="135" spans="1:66" ht="12.75" customHeight="1" x14ac:dyDescent="0.2">
      <c r="A135" s="1" t="s">
        <v>330</v>
      </c>
      <c r="B135" s="4">
        <f>_xll.ciqfunctions.udf.CIQ(InputTicker,"IQ_MARKETING",Input!D$2,Date,,,Ccy,Conv)</f>
        <v>0</v>
      </c>
      <c r="C135" s="4">
        <f>_xll.ciqfunctions.udf.CIQ(InputTicker,"IQ_MARKETING",Input!E$2,Date,,,Ccy,Conv)</f>
        <v>0</v>
      </c>
      <c r="D135" s="4">
        <f>_xll.ciqfunctions.udf.CIQ(InputTicker,"IQ_MARKETING",Input!F$2,Date,,,Ccy,Conv)</f>
        <v>0</v>
      </c>
      <c r="E135" s="4">
        <f>_xll.ciqfunctions.udf.CIQ(InputTicker,"IQ_MARKETING",Input!G$2,Date,,,Ccy,Conv)</f>
        <v>0</v>
      </c>
      <c r="F135" s="4">
        <f>_xll.ciqfunctions.udf.CIQ(InputTicker,"IQ_MARKETING",Input!H$2,Date,,,Ccy,Conv)</f>
        <v>0</v>
      </c>
      <c r="G135" s="4">
        <f>_xll.ciqfunctions.udf.CIQ(InputTicker,"IQ_MARKETING",Input!I$2,Date,,,Ccy,Conv)</f>
        <v>0</v>
      </c>
      <c r="H135" s="4">
        <f>_xll.ciqfunctions.udf.CIQ(InputTicker,"IQ_MARKETING",Input!J$2,Date,,,Ccy,Conv)</f>
        <v>0</v>
      </c>
      <c r="I135" s="4">
        <f>_xll.ciqfunctions.udf.CIQ(InputTicker,"IQ_MARKETING",Input!K$2,Date,,,Ccy,Conv)</f>
        <v>0</v>
      </c>
      <c r="J135" s="4">
        <f>_xll.ciqfunctions.udf.CIQ(InputTicker,"IQ_MARKETING",Input!L$2,Date,,,Ccy,Conv)</f>
        <v>0</v>
      </c>
      <c r="K135" s="4">
        <f>_xll.ciqfunctions.udf.CIQ(InputTicker,"IQ_MARKETING",Input!M$2,Date,,,Ccy,Conv)</f>
        <v>0</v>
      </c>
      <c r="L135" s="4">
        <f>_xll.ciqfunctions.udf.CIQ(InputTicker,"IQ_MARKETING",Input!N$2,Date,,,Ccy,Conv)</f>
        <v>0</v>
      </c>
      <c r="M135" s="4">
        <f>_xll.ciqfunctions.udf.CIQ(InputTicker,"IQ_MARKETING",Input!O$2,Date,,,Ccy,Conv)</f>
        <v>0</v>
      </c>
      <c r="N135" s="49"/>
      <c r="P135" s="51"/>
      <c r="Q135" s="51"/>
      <c r="R135" s="51"/>
      <c r="T135" s="42"/>
      <c r="U135" s="42"/>
      <c r="V135" s="51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  <c r="BA135" s="42"/>
      <c r="BB135" s="42"/>
      <c r="BC135" s="42"/>
      <c r="BD135" s="42"/>
      <c r="BE135" s="42"/>
      <c r="BF135" s="42"/>
      <c r="BG135" s="42"/>
      <c r="BH135" s="42"/>
      <c r="BI135" s="42"/>
      <c r="BJ135" s="42"/>
      <c r="BK135" s="42"/>
      <c r="BL135" s="42"/>
      <c r="BM135" s="42"/>
      <c r="BN135" s="42"/>
    </row>
    <row r="136" spans="1:66" ht="12.75" customHeight="1" x14ac:dyDescent="0.2">
      <c r="A136" s="1" t="s">
        <v>331</v>
      </c>
      <c r="B136" s="4">
        <f>_xll.ciqfunctions.udf.CIQ(InputTicker,"IQ_SALES_MARKETING",Input!D$2,Date,,,Ccy,Conv)</f>
        <v>15713</v>
      </c>
      <c r="C136" s="4">
        <f>_xll.ciqfunctions.udf.CIQ(InputTicker,"IQ_SALES_MARKETING",Input!E$2,Date,,,Ccy,Conv)</f>
        <v>14635</v>
      </c>
      <c r="D136" s="4">
        <f>_xll.ciqfunctions.udf.CIQ(InputTicker,"IQ_SALES_MARKETING",Input!F$2,Date,,,Ccy,Conv)</f>
        <v>15461</v>
      </c>
      <c r="E136" s="4">
        <f>_xll.ciqfunctions.udf.CIQ(InputTicker,"IQ_SALES_MARKETING",Input!G$2,Date,,,Ccy,Conv)</f>
        <v>17469</v>
      </c>
      <c r="F136" s="4">
        <f>_xll.ciqfunctions.udf.CIQ(InputTicker,"IQ_SALES_MARKETING",Input!H$2,Date,,,Ccy,Conv)</f>
        <v>18213</v>
      </c>
      <c r="G136" s="4">
        <f>_xll.ciqfunctions.udf.CIQ(InputTicker,"IQ_SALES_MARKETING",Input!I$2,Date,,,Ccy,Conv)</f>
        <v>19598</v>
      </c>
      <c r="H136" s="4">
        <f>_xll.ciqfunctions.udf.CIQ(InputTicker,"IQ_SALES_MARKETING",Input!J$2,Date,,,Ccy,Conv)</f>
        <v>20117</v>
      </c>
      <c r="I136" s="4">
        <f>_xll.ciqfunctions.udf.CIQ(InputTicker,"IQ_SALES_MARKETING",Input!K$2,Date,,,Ccy,Conv)</f>
        <v>21825</v>
      </c>
      <c r="J136" s="4">
        <f>_xll.ciqfunctions.udf.CIQ(InputTicker,"IQ_SALES_MARKETING",Input!L$2,Date,,,Ccy,Conv)</f>
        <v>22759</v>
      </c>
      <c r="K136" s="4">
        <f>_xll.ciqfunctions.udf.CIQ(InputTicker,"IQ_SALES_MARKETING",Input!M$2,Date,,,Ccy,Conv)</f>
        <v>24456</v>
      </c>
      <c r="L136" s="4">
        <f>_xll.ciqfunctions.udf.CIQ(InputTicker,"IQ_SALES_MARKETING",Input!N$2,Date,,,Ccy,Conv)</f>
        <v>25654</v>
      </c>
      <c r="M136" s="4">
        <f>_xll.ciqfunctions.udf.CIQ(InputTicker,"IQ_SALES_MARKETING",Input!O$2,Date,,,Ccy,Conv)</f>
        <v>26400</v>
      </c>
      <c r="N136" s="49"/>
      <c r="P136" s="51"/>
      <c r="Q136" s="51"/>
      <c r="R136" s="51"/>
      <c r="T136" s="42"/>
      <c r="U136" s="42"/>
      <c r="V136" s="51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  <c r="BA136" s="42"/>
      <c r="BB136" s="42"/>
      <c r="BC136" s="42"/>
      <c r="BD136" s="42"/>
      <c r="BE136" s="42"/>
      <c r="BF136" s="42"/>
      <c r="BG136" s="42"/>
      <c r="BH136" s="42"/>
      <c r="BI136" s="42"/>
      <c r="BJ136" s="42"/>
      <c r="BK136" s="42"/>
      <c r="BL136" s="42"/>
      <c r="BM136" s="42"/>
      <c r="BN136" s="42"/>
    </row>
    <row r="137" spans="1:66" ht="12.75" customHeight="1" x14ac:dyDescent="0.2">
      <c r="A137" s="1" t="s">
        <v>332</v>
      </c>
      <c r="B137" s="4">
        <f>_xll.ciqfunctions.udf.CIQ(InputTicker,"IQ_GA_EXP",Input!D$2,Date,,,Ccy,Conv)</f>
        <v>4611</v>
      </c>
      <c r="C137" s="4">
        <f>_xll.ciqfunctions.udf.CIQ(InputTicker,"IQ_GA_EXP",Input!E$2,Date,,,Ccy,Conv)</f>
        <v>4563</v>
      </c>
      <c r="D137" s="4">
        <f>_xll.ciqfunctions.udf.CIQ(InputTicker,"IQ_GA_EXP",Input!F$2,Date,,,Ccy,Conv)</f>
        <v>4481</v>
      </c>
      <c r="E137" s="4">
        <f>_xll.ciqfunctions.udf.CIQ(InputTicker,"IQ_GA_EXP",Input!G$2,Date,,,Ccy,Conv)</f>
        <v>4754</v>
      </c>
      <c r="F137" s="4">
        <f>_xll.ciqfunctions.udf.CIQ(InputTicker,"IQ_GA_EXP",Input!H$2,Date,,,Ccy,Conv)</f>
        <v>4885</v>
      </c>
      <c r="G137" s="4">
        <f>_xll.ciqfunctions.udf.CIQ(InputTicker,"IQ_GA_EXP",Input!I$2,Date,,,Ccy,Conv)</f>
        <v>5111</v>
      </c>
      <c r="H137" s="4">
        <f>_xll.ciqfunctions.udf.CIQ(InputTicker,"IQ_GA_EXP",Input!J$2,Date,,,Ccy,Conv)</f>
        <v>5107</v>
      </c>
      <c r="I137" s="4">
        <f>_xll.ciqfunctions.udf.CIQ(InputTicker,"IQ_GA_EXP",Input!K$2,Date,,,Ccy,Conv)</f>
        <v>5900</v>
      </c>
      <c r="J137" s="4">
        <f>_xll.ciqfunctions.udf.CIQ(InputTicker,"IQ_GA_EXP",Input!L$2,Date,,,Ccy,Conv)</f>
        <v>7575</v>
      </c>
      <c r="K137" s="4">
        <f>_xll.ciqfunctions.udf.CIQ(InputTicker,"IQ_GA_EXP",Input!M$2,Date,,,Ccy,Conv)</f>
        <v>7609</v>
      </c>
      <c r="L137" s="4">
        <f>_xll.ciqfunctions.udf.CIQ(InputTicker,"IQ_GA_EXP",Input!N$2,Date,,,Ccy,Conv)</f>
        <v>7223</v>
      </c>
      <c r="M137" s="4">
        <f>_xll.ciqfunctions.udf.CIQ(InputTicker,"IQ_GA_EXP",Input!O$2,Date,,,Ccy,Conv)</f>
        <v>7659</v>
      </c>
      <c r="N137" s="49"/>
      <c r="P137" s="51"/>
      <c r="Q137" s="51"/>
      <c r="R137" s="51"/>
      <c r="T137" s="42"/>
      <c r="U137" s="42"/>
      <c r="V137" s="51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  <c r="BA137" s="42"/>
      <c r="BB137" s="42"/>
      <c r="BC137" s="42"/>
      <c r="BD137" s="42"/>
      <c r="BE137" s="42"/>
      <c r="BF137" s="42"/>
      <c r="BG137" s="42"/>
      <c r="BH137" s="42"/>
      <c r="BI137" s="42"/>
      <c r="BJ137" s="42"/>
      <c r="BK137" s="42"/>
      <c r="BL137" s="42"/>
      <c r="BM137" s="42"/>
      <c r="BN137" s="42"/>
    </row>
    <row r="138" spans="1:66" ht="12.75" customHeight="1" x14ac:dyDescent="0.2">
      <c r="A138" s="1" t="s">
        <v>369</v>
      </c>
      <c r="B138" s="4">
        <f>_xll.ciqfunctions.udf.CIQ(InputTicker, "IQ_RD_EXP_FN",Input!D$2,Date,,,Ccy,Conv)</f>
        <v>12046</v>
      </c>
      <c r="C138" s="4">
        <f>_xll.ciqfunctions.udf.CIQ(InputTicker, "IQ_RD_EXP_FN",Input!E$2,Date,,,Ccy,Conv)</f>
        <v>11988</v>
      </c>
      <c r="D138" s="4">
        <f>_xll.ciqfunctions.udf.CIQ(InputTicker, "IQ_RD_EXP_FN",Input!F$2,Date,,,Ccy,Conv)</f>
        <v>13037</v>
      </c>
      <c r="E138" s="4">
        <f>_xll.ciqfunctions.udf.CIQ(InputTicker, "IQ_RD_EXP_FN",Input!G$2,Date,,,Ccy,Conv)</f>
        <v>14726</v>
      </c>
      <c r="F138" s="4">
        <f>_xll.ciqfunctions.udf.CIQ(InputTicker, "IQ_RD_EXP_FN",Input!H$2,Date,,,Ccy,Conv)</f>
        <v>16876</v>
      </c>
      <c r="G138" s="4">
        <f>_xll.ciqfunctions.udf.CIQ(InputTicker, "IQ_RD_EXP_FN",Input!I$2,Date,,,Ccy,Conv)</f>
        <v>19269</v>
      </c>
      <c r="H138" s="4">
        <f>_xll.ciqfunctions.udf.CIQ(InputTicker, "IQ_RD_EXP_FN",Input!J$2,Date,,,Ccy,Conv)</f>
        <v>20716</v>
      </c>
      <c r="I138" s="4">
        <f>_xll.ciqfunctions.udf.CIQ(InputTicker, "IQ_RD_EXP_FN",Input!K$2,Date,,,Ccy,Conv)</f>
        <v>24512</v>
      </c>
      <c r="J138" s="4">
        <f>_xll.ciqfunctions.udf.CIQ(InputTicker, "IQ_RD_EXP_FN",Input!L$2,Date,,,Ccy,Conv)</f>
        <v>27195</v>
      </c>
      <c r="K138" s="4">
        <f>_xll.ciqfunctions.udf.CIQ(InputTicker, "IQ_RD_EXP_FN",Input!M$2,Date,,,Ccy,Conv)</f>
        <v>29510</v>
      </c>
      <c r="L138" s="4">
        <f>_xll.ciqfunctions.udf.CIQ(InputTicker, "IQ_RD_EXP_FN",Input!N$2,Date,,,Ccy,Conv)</f>
        <v>32488</v>
      </c>
      <c r="M138" s="4">
        <f>_xll.ciqfunctions.udf.CIQ(InputTicker, "IQ_RD_EXP_FN",Input!O$2,Date,,,Ccy,Conv)</f>
        <v>34394</v>
      </c>
      <c r="N138" s="49"/>
      <c r="P138" s="51"/>
      <c r="Q138" s="51"/>
      <c r="R138" s="51"/>
      <c r="T138" s="42"/>
      <c r="U138" s="42"/>
      <c r="V138" s="51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  <c r="BA138" s="42"/>
      <c r="BB138" s="42"/>
      <c r="BC138" s="42"/>
      <c r="BD138" s="42"/>
      <c r="BE138" s="42"/>
      <c r="BF138" s="42"/>
      <c r="BG138" s="42"/>
      <c r="BH138" s="42"/>
      <c r="BI138" s="42"/>
      <c r="BJ138" s="42"/>
      <c r="BK138" s="42"/>
      <c r="BL138" s="42"/>
      <c r="BM138" s="42"/>
      <c r="BN138" s="42"/>
    </row>
    <row r="139" spans="1:66" ht="12.75" customHeight="1" x14ac:dyDescent="0.2">
      <c r="A139" s="1" t="s">
        <v>36</v>
      </c>
      <c r="B139" s="4">
        <f>_xll.ciqfunctions.udf.CIQ(InputTicker, "IQ_NET_RENTAL_EXP_FN",Input!D$2,Date,,,Ccy,Conv)</f>
        <v>989</v>
      </c>
      <c r="C139" s="4">
        <f>_xll.ciqfunctions.udf.CIQ(InputTicker, "IQ_NET_RENTAL_EXP_FN",Input!E$2,Date,,,Ccy,Conv)</f>
        <v>936</v>
      </c>
      <c r="D139" s="4">
        <f>_xll.ciqfunctions.udf.CIQ(InputTicker, "IQ_NET_RENTAL_EXP_FN",Input!F$2,Date,,,Ccy,Conv)</f>
        <v>1412</v>
      </c>
      <c r="E139" s="4">
        <f>_xll.ciqfunctions.udf.CIQ(InputTicker, "IQ_NET_RENTAL_EXP_FN",Input!G$2,Date,,,Ccy,Conv)</f>
        <v>1585</v>
      </c>
      <c r="F139" s="4">
        <f>_xll.ciqfunctions.udf.CIQ(InputTicker, "IQ_NET_RENTAL_EXP_FN",Input!H$2,Date,,,Ccy,Conv)</f>
        <v>1707</v>
      </c>
      <c r="G139" s="4">
        <f>_xll.ciqfunctions.udf.CIQ(InputTicker, "IQ_NET_RENTAL_EXP_FN",Input!I$2,Date,,,Ccy,Conv)</f>
        <v>2043</v>
      </c>
      <c r="H139" s="4">
        <f>_xll.ciqfunctions.udf.CIQ(InputTicker, "IQ_NET_RENTAL_EXP_FN",Input!J$2,Date,,,Ccy,Conv)</f>
        <v>2127</v>
      </c>
      <c r="I139" s="4">
        <f>_xll.ciqfunctions.udf.CIQ(InputTicker, "IQ_NET_RENTAL_EXP_FN",Input!K$2,Date,,,Ccy,Conv)</f>
        <v>2461</v>
      </c>
      <c r="J139" s="4">
        <f>_xll.ciqfunctions.udf.CIQ(InputTicker, "IQ_NET_RENTAL_EXP_FN",Input!L$2,Date,,,Ccy,Conv)</f>
        <v>2875</v>
      </c>
      <c r="K139" s="4">
        <f>_xll.ciqfunctions.udf.CIQ(InputTicker, "IQ_NET_RENTAL_EXP_FN",Input!M$2,Date,,,Ccy,Conv)</f>
        <v>3555</v>
      </c>
      <c r="L139" s="4">
        <f>_xll.ciqfunctions.udf.CIQ(InputTicker, "IQ_NET_RENTAL_EXP_FN",Input!N$2,Date,,,Ccy,Conv)</f>
        <v>5524</v>
      </c>
      <c r="M139" s="4">
        <f>_xll.ciqfunctions.udf.CIQ(InputTicker, "IQ_NET_RENTAL_EXP_FN",Input!O$2,Date,,,Ccy,Conv)</f>
        <v>0</v>
      </c>
      <c r="N139" s="49"/>
      <c r="P139" s="51"/>
      <c r="Q139" s="51"/>
      <c r="R139" s="51"/>
      <c r="T139" s="42"/>
      <c r="U139" s="42"/>
      <c r="V139" s="51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  <c r="BA139" s="42"/>
      <c r="BB139" s="42"/>
      <c r="BC139" s="42"/>
      <c r="BD139" s="42"/>
      <c r="BE139" s="42"/>
      <c r="BF139" s="42"/>
      <c r="BG139" s="42"/>
      <c r="BH139" s="42"/>
      <c r="BI139" s="42"/>
      <c r="BJ139" s="42"/>
      <c r="BK139" s="42"/>
      <c r="BL139" s="42"/>
      <c r="BM139" s="42"/>
      <c r="BN139" s="42"/>
    </row>
    <row r="140" spans="1:66" ht="12.75" customHeight="1" x14ac:dyDescent="0.2">
      <c r="A140" s="1" t="s">
        <v>37</v>
      </c>
      <c r="B140" s="4">
        <f>_xll.ciqfunctions.udf.CIQ(InputTicker, "IQ_NET_RENTAL_EXP",Input!D$2,Date,,,Ccy,Conv)</f>
        <v>0</v>
      </c>
      <c r="C140" s="4">
        <f>_xll.ciqfunctions.udf.CIQ(InputTicker, "IQ_NET_RENTAL_EXP",Input!E$2,Date,,,Ccy,Conv)</f>
        <v>0</v>
      </c>
      <c r="D140" s="4">
        <f>_xll.ciqfunctions.udf.CIQ(InputTicker, "IQ_NET_RENTAL_EXP",Input!F$2,Date,,,Ccy,Conv)</f>
        <v>0</v>
      </c>
      <c r="E140" s="4">
        <f>_xll.ciqfunctions.udf.CIQ(InputTicker, "IQ_NET_RENTAL_EXP",Input!G$2,Date,,,Ccy,Conv)</f>
        <v>0</v>
      </c>
      <c r="F140" s="4">
        <f>_xll.ciqfunctions.udf.CIQ(InputTicker, "IQ_NET_RENTAL_EXP",Input!H$2,Date,,,Ccy,Conv)</f>
        <v>0</v>
      </c>
      <c r="G140" s="4">
        <f>_xll.ciqfunctions.udf.CIQ(InputTicker, "IQ_NET_RENTAL_EXP",Input!I$2,Date,,,Ccy,Conv)</f>
        <v>0</v>
      </c>
      <c r="H140" s="4">
        <f>_xll.ciqfunctions.udf.CIQ(InputTicker, "IQ_NET_RENTAL_EXP",Input!J$2,Date,,,Ccy,Conv)</f>
        <v>0</v>
      </c>
      <c r="I140" s="4">
        <f>_xll.ciqfunctions.udf.CIQ(InputTicker, "IQ_NET_RENTAL_EXP",Input!K$2,Date,,,Ccy,Conv)</f>
        <v>0</v>
      </c>
      <c r="J140" s="4">
        <f>_xll.ciqfunctions.udf.CIQ(InputTicker, "IQ_NET_RENTAL_EXP",Input!L$2,Date,,,Ccy,Conv)</f>
        <v>0</v>
      </c>
      <c r="K140" s="4">
        <f>_xll.ciqfunctions.udf.CIQ(InputTicker, "IQ_NET_RENTAL_EXP",Input!M$2,Date,,,Ccy,Conv)</f>
        <v>0</v>
      </c>
      <c r="L140" s="4">
        <f>_xll.ciqfunctions.udf.CIQ(InputTicker, "IQ_NET_RENTAL_EXP",Input!N$2,Date,,,Ccy,Conv)</f>
        <v>0</v>
      </c>
      <c r="M140" s="4">
        <f>_xll.ciqfunctions.udf.CIQ(InputTicker, "IQ_NET_RENTAL_EXP",Input!O$2,Date,,,Ccy,Conv)</f>
        <v>0</v>
      </c>
      <c r="N140" s="49"/>
      <c r="P140" s="51"/>
      <c r="Q140" s="51"/>
      <c r="R140" s="51"/>
      <c r="T140" s="42"/>
      <c r="U140" s="42"/>
      <c r="V140" s="51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  <c r="BA140" s="42"/>
      <c r="BB140" s="42"/>
      <c r="BC140" s="42"/>
      <c r="BD140" s="42"/>
      <c r="BE140" s="42"/>
      <c r="BF140" s="42"/>
      <c r="BG140" s="42"/>
      <c r="BH140" s="42"/>
      <c r="BI140" s="42"/>
      <c r="BJ140" s="42"/>
      <c r="BK140" s="42"/>
      <c r="BL140" s="42"/>
      <c r="BM140" s="42"/>
      <c r="BN140" s="42"/>
    </row>
    <row r="141" spans="1:66" ht="12.75" customHeight="1" x14ac:dyDescent="0.2">
      <c r="A141" s="1" t="s">
        <v>38</v>
      </c>
      <c r="B141" s="4">
        <f>_xll.ciqfunctions.udf.CIQ(InputTicker, "IQ_NET_RENTAL_EXP_SUPPLE",Input!D$2,Date,,,Ccy,Conv)</f>
        <v>989</v>
      </c>
      <c r="C141" s="4">
        <f>_xll.ciqfunctions.udf.CIQ(InputTicker, "IQ_NET_RENTAL_EXP_SUPPLE",Input!E$2,Date,,,Ccy,Conv)</f>
        <v>936</v>
      </c>
      <c r="D141" s="4">
        <f>_xll.ciqfunctions.udf.CIQ(InputTicker, "IQ_NET_RENTAL_EXP_SUPPLE",Input!F$2,Date,,,Ccy,Conv)</f>
        <v>1412</v>
      </c>
      <c r="E141" s="4">
        <f>_xll.ciqfunctions.udf.CIQ(InputTicker, "IQ_NET_RENTAL_EXP_SUPPLE",Input!G$2,Date,,,Ccy,Conv)</f>
        <v>1585</v>
      </c>
      <c r="F141" s="4">
        <f>_xll.ciqfunctions.udf.CIQ(InputTicker, "IQ_NET_RENTAL_EXP_SUPPLE",Input!H$2,Date,,,Ccy,Conv)</f>
        <v>1707</v>
      </c>
      <c r="G141" s="4">
        <f>_xll.ciqfunctions.udf.CIQ(InputTicker, "IQ_NET_RENTAL_EXP_SUPPLE",Input!I$2,Date,,,Ccy,Conv)</f>
        <v>2043</v>
      </c>
      <c r="H141" s="4">
        <f>_xll.ciqfunctions.udf.CIQ(InputTicker, "IQ_NET_RENTAL_EXP_SUPPLE",Input!J$2,Date,,,Ccy,Conv)</f>
        <v>2127</v>
      </c>
      <c r="I141" s="4">
        <f>_xll.ciqfunctions.udf.CIQ(InputTicker, "IQ_NET_RENTAL_EXP_SUPPLE",Input!K$2,Date,,,Ccy,Conv)</f>
        <v>2461</v>
      </c>
      <c r="J141" s="4">
        <f>_xll.ciqfunctions.udf.CIQ(InputTicker, "IQ_NET_RENTAL_EXP_SUPPLE",Input!L$2,Date,,,Ccy,Conv)</f>
        <v>2875</v>
      </c>
      <c r="K141" s="4">
        <f>_xll.ciqfunctions.udf.CIQ(InputTicker, "IQ_NET_RENTAL_EXP_SUPPLE",Input!M$2,Date,,,Ccy,Conv)</f>
        <v>3555</v>
      </c>
      <c r="L141" s="4">
        <f>_xll.ciqfunctions.udf.CIQ(InputTicker, "IQ_NET_RENTAL_EXP_SUPPLE",Input!N$2,Date,,,Ccy,Conv)</f>
        <v>5524</v>
      </c>
      <c r="M141" s="4">
        <f>_xll.ciqfunctions.udf.CIQ(InputTicker, "IQ_NET_RENTAL_EXP_SUPPLE",Input!O$2,Date,,,Ccy,Conv)</f>
        <v>0</v>
      </c>
      <c r="N141" s="49"/>
      <c r="P141" s="51"/>
      <c r="Q141" s="51"/>
      <c r="R141" s="51"/>
      <c r="T141" s="42"/>
      <c r="U141" s="42"/>
      <c r="V141" s="51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42"/>
      <c r="BB141" s="42"/>
      <c r="BC141" s="42"/>
      <c r="BD141" s="42"/>
      <c r="BE141" s="42"/>
      <c r="BF141" s="42"/>
      <c r="BG141" s="42"/>
      <c r="BH141" s="42"/>
      <c r="BI141" s="42"/>
      <c r="BJ141" s="42"/>
      <c r="BK141" s="42"/>
      <c r="BL141" s="42"/>
      <c r="BM141" s="42"/>
      <c r="BN141" s="42"/>
    </row>
    <row r="142" spans="1:66" ht="12.75" customHeight="1" x14ac:dyDescent="0.2">
      <c r="A142" s="1" t="s">
        <v>7</v>
      </c>
      <c r="B142" s="4">
        <f>_xll.ciqfunctions.udf.CIQ(InputTicker, "IQ_CONTINGENT_RENTAL",Input!D$2,Date,,,Ccy,Conv)</f>
        <v>0</v>
      </c>
      <c r="C142" s="4">
        <f>_xll.ciqfunctions.udf.CIQ(InputTicker, "IQ_CONTINGENT_RENTAL",Input!E$2,Date,,,Ccy,Conv)</f>
        <v>0</v>
      </c>
      <c r="D142" s="4">
        <f>_xll.ciqfunctions.udf.CIQ(InputTicker, "IQ_CONTINGENT_RENTAL",Input!F$2,Date,,,Ccy,Conv)</f>
        <v>0</v>
      </c>
      <c r="E142" s="4">
        <f>_xll.ciqfunctions.udf.CIQ(InputTicker, "IQ_CONTINGENT_RENTAL",Input!G$2,Date,,,Ccy,Conv)</f>
        <v>0</v>
      </c>
      <c r="F142" s="4">
        <f>_xll.ciqfunctions.udf.CIQ(InputTicker, "IQ_CONTINGENT_RENTAL",Input!H$2,Date,,,Ccy,Conv)</f>
        <v>0</v>
      </c>
      <c r="G142" s="4">
        <f>_xll.ciqfunctions.udf.CIQ(InputTicker, "IQ_CONTINGENT_RENTAL",Input!I$2,Date,,,Ccy,Conv)</f>
        <v>0</v>
      </c>
      <c r="H142" s="4">
        <f>_xll.ciqfunctions.udf.CIQ(InputTicker, "IQ_CONTINGENT_RENTAL",Input!J$2,Date,,,Ccy,Conv)</f>
        <v>0</v>
      </c>
      <c r="I142" s="4">
        <f>_xll.ciqfunctions.udf.CIQ(InputTicker, "IQ_CONTINGENT_RENTAL",Input!K$2,Date,,,Ccy,Conv)</f>
        <v>0</v>
      </c>
      <c r="J142" s="4">
        <f>_xll.ciqfunctions.udf.CIQ(InputTicker, "IQ_CONTINGENT_RENTAL",Input!L$2,Date,,,Ccy,Conv)</f>
        <v>0</v>
      </c>
      <c r="K142" s="4">
        <f>_xll.ciqfunctions.udf.CIQ(InputTicker, "IQ_CONTINGENT_RENTAL",Input!M$2,Date,,,Ccy,Conv)</f>
        <v>0</v>
      </c>
      <c r="L142" s="4">
        <f>_xll.ciqfunctions.udf.CIQ(InputTicker, "IQ_CONTINGENT_RENTAL",Input!N$2,Date,,,Ccy,Conv)</f>
        <v>0</v>
      </c>
      <c r="M142" s="4">
        <f>_xll.ciqfunctions.udf.CIQ(InputTicker, "IQ_CONTINGENT_RENTAL",Input!O$2,Date,,,Ccy,Conv)</f>
        <v>0</v>
      </c>
      <c r="N142" s="49"/>
      <c r="P142" s="51"/>
      <c r="Q142" s="51"/>
      <c r="R142" s="51"/>
      <c r="T142" s="42"/>
      <c r="U142" s="42"/>
      <c r="V142" s="51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  <c r="BA142" s="42"/>
      <c r="BB142" s="42"/>
      <c r="BC142" s="42"/>
      <c r="BD142" s="42"/>
      <c r="BE142" s="42"/>
      <c r="BF142" s="42"/>
      <c r="BG142" s="42"/>
      <c r="BH142" s="42"/>
      <c r="BI142" s="42"/>
      <c r="BJ142" s="42"/>
      <c r="BK142" s="42"/>
      <c r="BL142" s="42"/>
      <c r="BM142" s="42"/>
      <c r="BN142" s="42"/>
    </row>
    <row r="143" spans="1:66" ht="12.75" customHeight="1" x14ac:dyDescent="0.2">
      <c r="A143" s="1" t="s">
        <v>29</v>
      </c>
      <c r="B143" s="4">
        <f>_xll.ciqfunctions.udf.CIQ(InputTicker, "IQ_MINIMUM_RENTAL",Input!D$2,Date,,,Ccy,Conv)</f>
        <v>0</v>
      </c>
      <c r="C143" s="4">
        <f>_xll.ciqfunctions.udf.CIQ(InputTicker, "IQ_MINIMUM_RENTAL",Input!E$2,Date,,,Ccy,Conv)</f>
        <v>0</v>
      </c>
      <c r="D143" s="4">
        <f>_xll.ciqfunctions.udf.CIQ(InputTicker, "IQ_MINIMUM_RENTAL",Input!F$2,Date,,,Ccy,Conv)</f>
        <v>0</v>
      </c>
      <c r="E143" s="4">
        <f>_xll.ciqfunctions.udf.CIQ(InputTicker, "IQ_MINIMUM_RENTAL",Input!G$2,Date,,,Ccy,Conv)</f>
        <v>0</v>
      </c>
      <c r="F143" s="4">
        <f>_xll.ciqfunctions.udf.CIQ(InputTicker, "IQ_MINIMUM_RENTAL",Input!H$2,Date,,,Ccy,Conv)</f>
        <v>0</v>
      </c>
      <c r="G143" s="4">
        <f>_xll.ciqfunctions.udf.CIQ(InputTicker, "IQ_MINIMUM_RENTAL",Input!I$2,Date,,,Ccy,Conv)</f>
        <v>0</v>
      </c>
      <c r="H143" s="4">
        <f>_xll.ciqfunctions.udf.CIQ(InputTicker, "IQ_MINIMUM_RENTAL",Input!J$2,Date,,,Ccy,Conv)</f>
        <v>0</v>
      </c>
      <c r="I143" s="4">
        <f>_xll.ciqfunctions.udf.CIQ(InputTicker, "IQ_MINIMUM_RENTAL",Input!K$2,Date,,,Ccy,Conv)</f>
        <v>0</v>
      </c>
      <c r="J143" s="4">
        <f>_xll.ciqfunctions.udf.CIQ(InputTicker, "IQ_MINIMUM_RENTAL",Input!L$2,Date,,,Ccy,Conv)</f>
        <v>0</v>
      </c>
      <c r="K143" s="4">
        <f>_xll.ciqfunctions.udf.CIQ(InputTicker, "IQ_MINIMUM_RENTAL",Input!M$2,Date,,,Ccy,Conv)</f>
        <v>0</v>
      </c>
      <c r="L143" s="4">
        <f>_xll.ciqfunctions.udf.CIQ(InputTicker, "IQ_MINIMUM_RENTAL",Input!N$2,Date,,,Ccy,Conv)</f>
        <v>0</v>
      </c>
      <c r="M143" s="4">
        <f>_xll.ciqfunctions.udf.CIQ(InputTicker, "IQ_MINIMUM_RENTAL",Input!O$2,Date,,,Ccy,Conv)</f>
        <v>0</v>
      </c>
      <c r="N143" s="49"/>
      <c r="P143" s="51"/>
      <c r="Q143" s="51"/>
      <c r="R143" s="51"/>
      <c r="T143" s="42"/>
      <c r="U143" s="42"/>
      <c r="V143" s="51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  <c r="BA143" s="42"/>
      <c r="BB143" s="42"/>
      <c r="BC143" s="42"/>
      <c r="BD143" s="42"/>
      <c r="BE143" s="42"/>
      <c r="BF143" s="42"/>
      <c r="BG143" s="42"/>
      <c r="BH143" s="42"/>
      <c r="BI143" s="42"/>
      <c r="BJ143" s="42"/>
      <c r="BK143" s="42"/>
      <c r="BL143" s="42"/>
      <c r="BM143" s="42"/>
      <c r="BN143" s="42"/>
    </row>
    <row r="144" spans="1:66" ht="12.75" customHeight="1" x14ac:dyDescent="0.2">
      <c r="A144" s="1" t="s">
        <v>30</v>
      </c>
      <c r="B144" s="4">
        <f>_xll.ciqfunctions.udf.CIQ(InputTicker, "IQ_OTHER_RENTAL",Input!D$2,Date,,,Ccy,Conv)</f>
        <v>0</v>
      </c>
      <c r="C144" s="4">
        <f>_xll.ciqfunctions.udf.CIQ(InputTicker, "IQ_OTHER_RENTAL",Input!E$2,Date,,,Ccy,Conv)</f>
        <v>0</v>
      </c>
      <c r="D144" s="4">
        <f>_xll.ciqfunctions.udf.CIQ(InputTicker, "IQ_OTHER_RENTAL",Input!F$2,Date,,,Ccy,Conv)</f>
        <v>0</v>
      </c>
      <c r="E144" s="4">
        <f>_xll.ciqfunctions.udf.CIQ(InputTicker, "IQ_OTHER_RENTAL",Input!G$2,Date,,,Ccy,Conv)</f>
        <v>0</v>
      </c>
      <c r="F144" s="4">
        <f>_xll.ciqfunctions.udf.CIQ(InputTicker, "IQ_OTHER_RENTAL",Input!H$2,Date,,,Ccy,Conv)</f>
        <v>0</v>
      </c>
      <c r="G144" s="4">
        <f>_xll.ciqfunctions.udf.CIQ(InputTicker, "IQ_OTHER_RENTAL",Input!I$2,Date,,,Ccy,Conv)</f>
        <v>0</v>
      </c>
      <c r="H144" s="4">
        <f>_xll.ciqfunctions.udf.CIQ(InputTicker, "IQ_OTHER_RENTAL",Input!J$2,Date,,,Ccy,Conv)</f>
        <v>0</v>
      </c>
      <c r="I144" s="4">
        <f>_xll.ciqfunctions.udf.CIQ(InputTicker, "IQ_OTHER_RENTAL",Input!K$2,Date,,,Ccy,Conv)</f>
        <v>0</v>
      </c>
      <c r="J144" s="4">
        <f>_xll.ciqfunctions.udf.CIQ(InputTicker, "IQ_OTHER_RENTAL",Input!L$2,Date,,,Ccy,Conv)</f>
        <v>0</v>
      </c>
      <c r="K144" s="4">
        <f>_xll.ciqfunctions.udf.CIQ(InputTicker, "IQ_OTHER_RENTAL",Input!M$2,Date,,,Ccy,Conv)</f>
        <v>0</v>
      </c>
      <c r="L144" s="4">
        <f>_xll.ciqfunctions.udf.CIQ(InputTicker, "IQ_OTHER_RENTAL",Input!N$2,Date,,,Ccy,Conv)</f>
        <v>0</v>
      </c>
      <c r="M144" s="4">
        <f>_xll.ciqfunctions.udf.CIQ(InputTicker, "IQ_OTHER_RENTAL",Input!O$2,Date,,,Ccy,Conv)</f>
        <v>0</v>
      </c>
      <c r="N144" s="49"/>
      <c r="P144" s="51"/>
      <c r="Q144" s="51"/>
      <c r="R144" s="51"/>
      <c r="T144" s="42"/>
      <c r="U144" s="42"/>
      <c r="V144" s="51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  <c r="BA144" s="42"/>
      <c r="BB144" s="42"/>
      <c r="BC144" s="42"/>
      <c r="BD144" s="42"/>
      <c r="BE144" s="42"/>
      <c r="BF144" s="42"/>
      <c r="BG144" s="42"/>
      <c r="BH144" s="42"/>
      <c r="BI144" s="42"/>
      <c r="BJ144" s="42"/>
      <c r="BK144" s="42"/>
      <c r="BL144" s="42"/>
      <c r="BM144" s="42"/>
      <c r="BN144" s="42"/>
    </row>
    <row r="145" spans="1:66" ht="12.75" customHeight="1" x14ac:dyDescent="0.2">
      <c r="A145" s="1" t="s">
        <v>17</v>
      </c>
      <c r="B145" s="4">
        <f>_xll.ciqfunctions.udf.CIQ(InputTicker, "IQ_AIRCRAFT_RENT",Input!D$2,Date,,,Ccy,Conv)</f>
        <v>0</v>
      </c>
      <c r="C145" s="4">
        <f>_xll.ciqfunctions.udf.CIQ(InputTicker, "IQ_AIRCRAFT_RENT",Input!E$2,Date,,,Ccy,Conv)</f>
        <v>0</v>
      </c>
      <c r="D145" s="4">
        <f>_xll.ciqfunctions.udf.CIQ(InputTicker, "IQ_AIRCRAFT_RENT",Input!F$2,Date,,,Ccy,Conv)</f>
        <v>0</v>
      </c>
      <c r="E145" s="4">
        <f>_xll.ciqfunctions.udf.CIQ(InputTicker, "IQ_AIRCRAFT_RENT",Input!G$2,Date,,,Ccy,Conv)</f>
        <v>0</v>
      </c>
      <c r="F145" s="4">
        <f>_xll.ciqfunctions.udf.CIQ(InputTicker, "IQ_AIRCRAFT_RENT",Input!H$2,Date,,,Ccy,Conv)</f>
        <v>0</v>
      </c>
      <c r="G145" s="4">
        <f>_xll.ciqfunctions.udf.CIQ(InputTicker, "IQ_AIRCRAFT_RENT",Input!I$2,Date,,,Ccy,Conv)</f>
        <v>0</v>
      </c>
      <c r="H145" s="4">
        <f>_xll.ciqfunctions.udf.CIQ(InputTicker, "IQ_AIRCRAFT_RENT",Input!J$2,Date,,,Ccy,Conv)</f>
        <v>0</v>
      </c>
      <c r="I145" s="4">
        <f>_xll.ciqfunctions.udf.CIQ(InputTicker, "IQ_AIRCRAFT_RENT",Input!K$2,Date,,,Ccy,Conv)</f>
        <v>0</v>
      </c>
      <c r="J145" s="4">
        <f>_xll.ciqfunctions.udf.CIQ(InputTicker, "IQ_AIRCRAFT_RENT",Input!L$2,Date,,,Ccy,Conv)</f>
        <v>0</v>
      </c>
      <c r="K145" s="4">
        <f>_xll.ciqfunctions.udf.CIQ(InputTicker, "IQ_AIRCRAFT_RENT",Input!M$2,Date,,,Ccy,Conv)</f>
        <v>0</v>
      </c>
      <c r="L145" s="4">
        <f>_xll.ciqfunctions.udf.CIQ(InputTicker, "IQ_AIRCRAFT_RENT",Input!N$2,Date,,,Ccy,Conv)</f>
        <v>0</v>
      </c>
      <c r="M145" s="4">
        <f>_xll.ciqfunctions.udf.CIQ(InputTicker, "IQ_AIRCRAFT_RENT",Input!O$2,Date,,,Ccy,Conv)</f>
        <v>0</v>
      </c>
      <c r="N145" s="49"/>
      <c r="P145" s="51"/>
      <c r="Q145" s="51"/>
      <c r="R145" s="51"/>
      <c r="T145" s="42"/>
      <c r="U145" s="42"/>
      <c r="V145" s="51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  <c r="BA145" s="42"/>
      <c r="BB145" s="42"/>
      <c r="BC145" s="42"/>
      <c r="BD145" s="42"/>
      <c r="BE145" s="42"/>
      <c r="BF145" s="42"/>
      <c r="BG145" s="42"/>
      <c r="BH145" s="42"/>
      <c r="BI145" s="42"/>
      <c r="BJ145" s="42"/>
      <c r="BK145" s="42"/>
      <c r="BL145" s="42"/>
      <c r="BM145" s="42"/>
      <c r="BN145" s="42"/>
    </row>
    <row r="146" spans="1:66" ht="12.75" customHeight="1" x14ac:dyDescent="0.2">
      <c r="A146" s="1" t="s">
        <v>31</v>
      </c>
      <c r="B146" s="4">
        <f>_xll.ciqfunctions.udf.CIQ(InputTicker, "IQ_DEPRECIATION_RENTAL_ASSETS",Input!D$2,Date,,,Ccy,Conv)</f>
        <v>0</v>
      </c>
      <c r="C146" s="4">
        <f>_xll.ciqfunctions.udf.CIQ(InputTicker, "IQ_DEPRECIATION_RENTAL_ASSETS",Input!E$2,Date,,,Ccy,Conv)</f>
        <v>0</v>
      </c>
      <c r="D146" s="4">
        <f>_xll.ciqfunctions.udf.CIQ(InputTicker, "IQ_DEPRECIATION_RENTAL_ASSETS",Input!F$2,Date,,,Ccy,Conv)</f>
        <v>0</v>
      </c>
      <c r="E146" s="4">
        <f>_xll.ciqfunctions.udf.CIQ(InputTicker, "IQ_DEPRECIATION_RENTAL_ASSETS",Input!G$2,Date,,,Ccy,Conv)</f>
        <v>0</v>
      </c>
      <c r="F146" s="4">
        <f>_xll.ciqfunctions.udf.CIQ(InputTicker, "IQ_DEPRECIATION_RENTAL_ASSETS",Input!H$2,Date,,,Ccy,Conv)</f>
        <v>0</v>
      </c>
      <c r="G146" s="4">
        <f>_xll.ciqfunctions.udf.CIQ(InputTicker, "IQ_DEPRECIATION_RENTAL_ASSETS",Input!I$2,Date,,,Ccy,Conv)</f>
        <v>0</v>
      </c>
      <c r="H146" s="4">
        <f>_xll.ciqfunctions.udf.CIQ(InputTicker, "IQ_DEPRECIATION_RENTAL_ASSETS",Input!J$2,Date,,,Ccy,Conv)</f>
        <v>0</v>
      </c>
      <c r="I146" s="4">
        <f>_xll.ciqfunctions.udf.CIQ(InputTicker, "IQ_DEPRECIATION_RENTAL_ASSETS",Input!K$2,Date,,,Ccy,Conv)</f>
        <v>0</v>
      </c>
      <c r="J146" s="4">
        <f>_xll.ciqfunctions.udf.CIQ(InputTicker, "IQ_DEPRECIATION_RENTAL_ASSETS",Input!L$2,Date,,,Ccy,Conv)</f>
        <v>0</v>
      </c>
      <c r="K146" s="4">
        <f>_xll.ciqfunctions.udf.CIQ(InputTicker, "IQ_DEPRECIATION_RENTAL_ASSETS",Input!M$2,Date,,,Ccy,Conv)</f>
        <v>0</v>
      </c>
      <c r="L146" s="4">
        <f>_xll.ciqfunctions.udf.CIQ(InputTicker, "IQ_DEPRECIATION_RENTAL_ASSETS",Input!N$2,Date,,,Ccy,Conv)</f>
        <v>0</v>
      </c>
      <c r="M146" s="4">
        <f>_xll.ciqfunctions.udf.CIQ(InputTicker, "IQ_DEPRECIATION_RENTAL_ASSETS",Input!O$2,Date,,,Ccy,Conv)</f>
        <v>0</v>
      </c>
      <c r="N146" s="49"/>
      <c r="P146" s="51"/>
      <c r="Q146" s="51"/>
      <c r="R146" s="51"/>
      <c r="T146" s="42"/>
      <c r="U146" s="42"/>
      <c r="V146" s="51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  <c r="BA146" s="42"/>
      <c r="BB146" s="42"/>
      <c r="BC146" s="42"/>
      <c r="BD146" s="42"/>
      <c r="BE146" s="42"/>
      <c r="BF146" s="42"/>
      <c r="BG146" s="42"/>
      <c r="BH146" s="42"/>
      <c r="BI146" s="42"/>
      <c r="BJ146" s="42"/>
      <c r="BK146" s="42"/>
      <c r="BL146" s="42"/>
      <c r="BM146" s="42"/>
      <c r="BN146" s="42"/>
    </row>
    <row r="147" spans="1:66" ht="12.75" customHeight="1" x14ac:dyDescent="0.2">
      <c r="A147" s="1" t="s">
        <v>406</v>
      </c>
      <c r="B147" s="4">
        <f>_xll.ciqfunctions.udf.CIQ(InputTicker, "IQ_EXPLORE_DRILL_EXP_TOTAL",Input!D$2,Date,,,Ccy,Conv)</f>
        <v>0</v>
      </c>
      <c r="C147" s="4">
        <f>_xll.ciqfunctions.udf.CIQ(InputTicker, "IQ_EXPLORE_DRILL_EXP_TOTAL",Input!E$2,Date,,,Ccy,Conv)</f>
        <v>0</v>
      </c>
      <c r="D147" s="4">
        <f>_xll.ciqfunctions.udf.CIQ(InputTicker, "IQ_EXPLORE_DRILL_EXP_TOTAL",Input!F$2,Date,,,Ccy,Conv)</f>
        <v>0</v>
      </c>
      <c r="E147" s="4">
        <f>_xll.ciqfunctions.udf.CIQ(InputTicker, "IQ_EXPLORE_DRILL_EXP_TOTAL",Input!G$2,Date,,,Ccy,Conv)</f>
        <v>0</v>
      </c>
      <c r="F147" s="4">
        <f>_xll.ciqfunctions.udf.CIQ(InputTicker, "IQ_EXPLORE_DRILL_EXP_TOTAL",Input!H$2,Date,,,Ccy,Conv)</f>
        <v>0</v>
      </c>
      <c r="G147" s="4">
        <f>_xll.ciqfunctions.udf.CIQ(InputTicker, "IQ_EXPLORE_DRILL_EXP_TOTAL",Input!I$2,Date,,,Ccy,Conv)</f>
        <v>0</v>
      </c>
      <c r="H147" s="4">
        <f>_xll.ciqfunctions.udf.CIQ(InputTicker, "IQ_EXPLORE_DRILL_EXP_TOTAL",Input!J$2,Date,,,Ccy,Conv)</f>
        <v>0</v>
      </c>
      <c r="I147" s="4">
        <f>_xll.ciqfunctions.udf.CIQ(InputTicker, "IQ_EXPLORE_DRILL_EXP_TOTAL",Input!K$2,Date,,,Ccy,Conv)</f>
        <v>0</v>
      </c>
      <c r="J147" s="4">
        <f>_xll.ciqfunctions.udf.CIQ(InputTicker, "IQ_EXPLORE_DRILL_EXP_TOTAL",Input!L$2,Date,,,Ccy,Conv)</f>
        <v>0</v>
      </c>
      <c r="K147" s="4">
        <f>_xll.ciqfunctions.udf.CIQ(InputTicker, "IQ_EXPLORE_DRILL_EXP_TOTAL",Input!M$2,Date,,,Ccy,Conv)</f>
        <v>0</v>
      </c>
      <c r="L147" s="4">
        <f>_xll.ciqfunctions.udf.CIQ(InputTicker, "IQ_EXPLORE_DRILL_EXP_TOTAL",Input!N$2,Date,,,Ccy,Conv)</f>
        <v>0</v>
      </c>
      <c r="M147" s="4">
        <f>_xll.ciqfunctions.udf.CIQ(InputTicker, "IQ_EXPLORE_DRILL_EXP_TOTAL",Input!O$2,Date,,,Ccy,Conv)</f>
        <v>0</v>
      </c>
      <c r="N147" s="49"/>
      <c r="P147" s="51"/>
      <c r="Q147" s="51"/>
      <c r="R147" s="51"/>
      <c r="T147" s="42"/>
      <c r="U147" s="42"/>
      <c r="V147" s="51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  <c r="BA147" s="42"/>
      <c r="BB147" s="42"/>
      <c r="BC147" s="42"/>
      <c r="BD147" s="42"/>
      <c r="BE147" s="42"/>
      <c r="BF147" s="42"/>
      <c r="BG147" s="42"/>
      <c r="BH147" s="42"/>
      <c r="BI147" s="42"/>
      <c r="BJ147" s="42"/>
      <c r="BK147" s="42"/>
      <c r="BL147" s="42"/>
      <c r="BM147" s="42"/>
      <c r="BN147" s="42"/>
    </row>
    <row r="148" spans="1:66" ht="12.75" customHeight="1" x14ac:dyDescent="0.2">
      <c r="A148" s="1" t="s">
        <v>333</v>
      </c>
      <c r="B148" s="4">
        <f>_xll.ciqfunctions.udf.CIQ(InputTicker, "IQ_MAINT_REPAIR",Input!D$2,Date,,,Ccy,Conv)</f>
        <v>0</v>
      </c>
      <c r="C148" s="4">
        <f>_xll.ciqfunctions.udf.CIQ(InputTicker, "IQ_MAINT_REPAIR",Input!E$2,Date,,,Ccy,Conv)</f>
        <v>0</v>
      </c>
      <c r="D148" s="4">
        <f>_xll.ciqfunctions.udf.CIQ(InputTicker, "IQ_MAINT_REPAIR",Input!F$2,Date,,,Ccy,Conv)</f>
        <v>0</v>
      </c>
      <c r="E148" s="4">
        <f>_xll.ciqfunctions.udf.CIQ(InputTicker, "IQ_MAINT_REPAIR",Input!G$2,Date,,,Ccy,Conv)</f>
        <v>0</v>
      </c>
      <c r="F148" s="4">
        <f>_xll.ciqfunctions.udf.CIQ(InputTicker, "IQ_MAINT_REPAIR",Input!H$2,Date,,,Ccy,Conv)</f>
        <v>0</v>
      </c>
      <c r="G148" s="4">
        <f>_xll.ciqfunctions.udf.CIQ(InputTicker, "IQ_MAINT_REPAIR",Input!I$2,Date,,,Ccy,Conv)</f>
        <v>0</v>
      </c>
      <c r="H148" s="4">
        <f>_xll.ciqfunctions.udf.CIQ(InputTicker, "IQ_MAINT_REPAIR",Input!J$2,Date,,,Ccy,Conv)</f>
        <v>0</v>
      </c>
      <c r="I148" s="4">
        <f>_xll.ciqfunctions.udf.CIQ(InputTicker, "IQ_MAINT_REPAIR",Input!K$2,Date,,,Ccy,Conv)</f>
        <v>0</v>
      </c>
      <c r="J148" s="4">
        <f>_xll.ciqfunctions.udf.CIQ(InputTicker, "IQ_MAINT_REPAIR",Input!L$2,Date,,,Ccy,Conv)</f>
        <v>0</v>
      </c>
      <c r="K148" s="4">
        <f>_xll.ciqfunctions.udf.CIQ(InputTicker, "IQ_MAINT_REPAIR",Input!M$2,Date,,,Ccy,Conv)</f>
        <v>0</v>
      </c>
      <c r="L148" s="4">
        <f>_xll.ciqfunctions.udf.CIQ(InputTicker, "IQ_MAINT_REPAIR",Input!N$2,Date,,,Ccy,Conv)</f>
        <v>0</v>
      </c>
      <c r="M148" s="4">
        <f>_xll.ciqfunctions.udf.CIQ(InputTicker, "IQ_MAINT_REPAIR",Input!O$2,Date,,,Ccy,Conv)</f>
        <v>0</v>
      </c>
      <c r="N148" s="49"/>
      <c r="P148" s="51"/>
      <c r="Q148" s="51"/>
      <c r="R148" s="51"/>
      <c r="T148" s="42"/>
      <c r="U148" s="42"/>
      <c r="V148" s="51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  <c r="BA148" s="42"/>
      <c r="BB148" s="42"/>
      <c r="BC148" s="42"/>
      <c r="BD148" s="42"/>
      <c r="BE148" s="42"/>
      <c r="BF148" s="42"/>
      <c r="BG148" s="42"/>
      <c r="BH148" s="42"/>
      <c r="BI148" s="42"/>
      <c r="BJ148" s="42"/>
      <c r="BK148" s="42"/>
      <c r="BL148" s="42"/>
      <c r="BM148" s="42"/>
      <c r="BN148" s="42"/>
    </row>
    <row r="149" spans="1:66" ht="12.75" customHeight="1" x14ac:dyDescent="0.2">
      <c r="A149" s="1" t="s">
        <v>334</v>
      </c>
      <c r="B149" s="4">
        <f>_xll.ciqfunctions.udf.CIQ(InputTicker, "IQ_IMPUT_OPER_LEASE_INT_EXP",Input!D$2,Date,,,Ccy,Conv)</f>
        <v>217.69076999999999</v>
      </c>
      <c r="C149" s="4">
        <f>_xll.ciqfunctions.udf.CIQ(InputTicker, "IQ_IMPUT_OPER_LEASE_INT_EXP",Input!E$2,Date,,,Ccy,Conv)</f>
        <v>216.66528</v>
      </c>
      <c r="D149" s="4">
        <f>_xll.ciqfunctions.udf.CIQ(InputTicker, "IQ_IMPUT_OPER_LEASE_INT_EXP",Input!F$2,Date,,,Ccy,Conv)</f>
        <v>334.50844999999998</v>
      </c>
      <c r="E149" s="4">
        <f>_xll.ciqfunctions.udf.CIQ(InputTicker, "IQ_IMPUT_OPER_LEASE_INT_EXP",Input!G$2,Date,,,Ccy,Conv)</f>
        <v>378.66284000000002</v>
      </c>
      <c r="F149" s="4">
        <f>_xll.ciqfunctions.udf.CIQ(InputTicker, "IQ_IMPUT_OPER_LEASE_INT_EXP",Input!H$2,Date,,,Ccy,Conv)</f>
        <v>421.69727999999998</v>
      </c>
      <c r="G149" s="4">
        <f>_xll.ciqfunctions.udf.CIQ(InputTicker, "IQ_IMPUT_OPER_LEASE_INT_EXP",Input!I$2,Date,,,Ccy,Conv)</f>
        <v>502.43090000000001</v>
      </c>
      <c r="H149" s="4">
        <f>_xll.ciqfunctions.udf.CIQ(InputTicker, "IQ_IMPUT_OPER_LEASE_INT_EXP",Input!J$2,Date,,,Ccy,Conv)</f>
        <v>482.35255000000001</v>
      </c>
      <c r="I149" s="4">
        <f>_xll.ciqfunctions.udf.CIQ(InputTicker, "IQ_IMPUT_OPER_LEASE_INT_EXP",Input!K$2,Date,,,Ccy,Conv)</f>
        <v>501.63055000000003</v>
      </c>
      <c r="J149" s="4">
        <f>_xll.ciqfunctions.udf.CIQ(InputTicker, "IQ_IMPUT_OPER_LEASE_INT_EXP",Input!L$2,Date,,,Ccy,Conv)</f>
        <v>581.39400000000001</v>
      </c>
      <c r="K149" s="4">
        <f>_xll.ciqfunctions.udf.CIQ(InputTicker, "IQ_IMPUT_OPER_LEASE_INT_EXP",Input!M$2,Date,,,Ccy,Conv)</f>
        <v>957.00599999999997</v>
      </c>
      <c r="L149" s="4">
        <f>_xll.ciqfunctions.udf.CIQ(InputTicker, "IQ_IMPUT_OPER_LEASE_INT_EXP",Input!N$2,Date,,,Ccy,Conv)</f>
        <v>1020.43747</v>
      </c>
      <c r="M149" s="4">
        <f>_xll.ciqfunctions.udf.CIQ(InputTicker, "IQ_IMPUT_OPER_LEASE_INT_EXP",Input!O$2,Date,,,Ccy,Conv)</f>
        <v>0</v>
      </c>
      <c r="N149" s="49"/>
      <c r="P149" s="51"/>
      <c r="Q149" s="51"/>
      <c r="R149" s="51"/>
      <c r="T149" s="42"/>
      <c r="U149" s="42"/>
      <c r="V149" s="51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  <c r="BA149" s="42"/>
      <c r="BB149" s="42"/>
      <c r="BC149" s="42"/>
      <c r="BD149" s="42"/>
      <c r="BE149" s="42"/>
      <c r="BF149" s="42"/>
      <c r="BG149" s="42"/>
      <c r="BH149" s="42"/>
      <c r="BI149" s="42"/>
      <c r="BJ149" s="42"/>
      <c r="BK149" s="42"/>
      <c r="BL149" s="42"/>
      <c r="BM149" s="42"/>
      <c r="BN149" s="42"/>
    </row>
    <row r="150" spans="1:66" ht="12.75" customHeight="1" x14ac:dyDescent="0.2">
      <c r="A150" s="1" t="s">
        <v>335</v>
      </c>
      <c r="B150" s="4">
        <f>_xll.ciqfunctions.udf.CIQ(InputTicker, "IQ_IMPUT_OPER_LEASE_DEPR",Input!D$2,Date,,,Ccy,Conv)</f>
        <v>771.30922999999996</v>
      </c>
      <c r="C150" s="4">
        <f>_xll.ciqfunctions.udf.CIQ(InputTicker, "IQ_IMPUT_OPER_LEASE_DEPR",Input!E$2,Date,,,Ccy,Conv)</f>
        <v>719.33471999999995</v>
      </c>
      <c r="D150" s="4">
        <f>_xll.ciqfunctions.udf.CIQ(InputTicker, "IQ_IMPUT_OPER_LEASE_DEPR",Input!F$2,Date,,,Ccy,Conv)</f>
        <v>1077.49155</v>
      </c>
      <c r="E150" s="4">
        <f>_xll.ciqfunctions.udf.CIQ(InputTicker, "IQ_IMPUT_OPER_LEASE_DEPR",Input!G$2,Date,,,Ccy,Conv)</f>
        <v>1206.33716</v>
      </c>
      <c r="F150" s="4">
        <f>_xll.ciqfunctions.udf.CIQ(InputTicker, "IQ_IMPUT_OPER_LEASE_DEPR",Input!H$2,Date,,,Ccy,Conv)</f>
        <v>1285.3027199999999</v>
      </c>
      <c r="G150" s="4">
        <f>_xll.ciqfunctions.udf.CIQ(InputTicker, "IQ_IMPUT_OPER_LEASE_DEPR",Input!I$2,Date,,,Ccy,Conv)</f>
        <v>1540.5690999999999</v>
      </c>
      <c r="H150" s="4">
        <f>_xll.ciqfunctions.udf.CIQ(InputTicker, "IQ_IMPUT_OPER_LEASE_DEPR",Input!J$2,Date,,,Ccy,Conv)</f>
        <v>1644.6474499999999</v>
      </c>
      <c r="I150" s="4">
        <f>_xll.ciqfunctions.udf.CIQ(InputTicker, "IQ_IMPUT_OPER_LEASE_DEPR",Input!K$2,Date,,,Ccy,Conv)</f>
        <v>1959.3694499999999</v>
      </c>
      <c r="J150" s="4">
        <f>_xll.ciqfunctions.udf.CIQ(InputTicker, "IQ_IMPUT_OPER_LEASE_DEPR",Input!L$2,Date,,,Ccy,Conv)</f>
        <v>2293.6060000000002</v>
      </c>
      <c r="K150" s="4">
        <f>_xll.ciqfunctions.udf.CIQ(InputTicker, "IQ_IMPUT_OPER_LEASE_DEPR",Input!M$2,Date,,,Ccy,Conv)</f>
        <v>2597.9940000000001</v>
      </c>
      <c r="L150" s="4">
        <f>_xll.ciqfunctions.udf.CIQ(InputTicker, "IQ_IMPUT_OPER_LEASE_DEPR",Input!N$2,Date,,,Ccy,Conv)</f>
        <v>4503.5625300000002</v>
      </c>
      <c r="M150" s="4">
        <f>_xll.ciqfunctions.udf.CIQ(InputTicker, "IQ_IMPUT_OPER_LEASE_DEPR",Input!O$2,Date,,,Ccy,Conv)</f>
        <v>0</v>
      </c>
      <c r="N150" s="49"/>
      <c r="P150" s="46"/>
      <c r="Q150" s="46"/>
      <c r="R150" s="46"/>
      <c r="T150" s="42"/>
      <c r="U150" s="42"/>
      <c r="V150" s="46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  <c r="BA150" s="42"/>
      <c r="BB150" s="42"/>
      <c r="BC150" s="42"/>
      <c r="BD150" s="42"/>
      <c r="BE150" s="42"/>
      <c r="BF150" s="42"/>
      <c r="BG150" s="42"/>
      <c r="BH150" s="42"/>
      <c r="BI150" s="42"/>
      <c r="BJ150" s="42"/>
      <c r="BK150" s="42"/>
      <c r="BL150" s="42"/>
      <c r="BM150" s="42"/>
      <c r="BN150" s="42"/>
    </row>
    <row r="151" spans="1:66" ht="12.75" customHeight="1" x14ac:dyDescent="0.2">
      <c r="A151" s="1" t="s">
        <v>392</v>
      </c>
      <c r="B151" s="4">
        <f>_xll.ciqfunctions.udf.CIQ(InputTicker, "IQ_SALARIES_OTHER_BENEFITS",Input!D$2,Date,,,Ccy,Conv)</f>
        <v>0</v>
      </c>
      <c r="C151" s="4">
        <f>_xll.ciqfunctions.udf.CIQ(InputTicker, "IQ_SALARIES_OTHER_BENEFITS",Input!E$2,Date,,,Ccy,Conv)</f>
        <v>0</v>
      </c>
      <c r="D151" s="4">
        <f>_xll.ciqfunctions.udf.CIQ(InputTicker, "IQ_SALARIES_OTHER_BENEFITS",Input!F$2,Date,,,Ccy,Conv)</f>
        <v>0</v>
      </c>
      <c r="E151" s="4">
        <f>_xll.ciqfunctions.udf.CIQ(InputTicker, "IQ_SALARIES_OTHER_BENEFITS",Input!G$2,Date,,,Ccy,Conv)</f>
        <v>0</v>
      </c>
      <c r="F151" s="4">
        <f>_xll.ciqfunctions.udf.CIQ(InputTicker, "IQ_SALARIES_OTHER_BENEFITS",Input!H$2,Date,,,Ccy,Conv)</f>
        <v>0</v>
      </c>
      <c r="G151" s="4">
        <f>_xll.ciqfunctions.udf.CIQ(InputTicker, "IQ_SALARIES_OTHER_BENEFITS",Input!I$2,Date,,,Ccy,Conv)</f>
        <v>0</v>
      </c>
      <c r="H151" s="4">
        <f>_xll.ciqfunctions.udf.CIQ(InputTicker, "IQ_SALARIES_OTHER_BENEFITS",Input!J$2,Date,,,Ccy,Conv)</f>
        <v>0</v>
      </c>
      <c r="I151" s="4">
        <f>_xll.ciqfunctions.udf.CIQ(InputTicker, "IQ_SALARIES_OTHER_BENEFITS",Input!K$2,Date,,,Ccy,Conv)</f>
        <v>0</v>
      </c>
      <c r="J151" s="4">
        <f>_xll.ciqfunctions.udf.CIQ(InputTicker, "IQ_SALARIES_OTHER_BENEFITS",Input!L$2,Date,,,Ccy,Conv)</f>
        <v>0</v>
      </c>
      <c r="K151" s="4">
        <f>_xll.ciqfunctions.udf.CIQ(InputTicker, "IQ_SALARIES_OTHER_BENEFITS",Input!M$2,Date,,,Ccy,Conv)</f>
        <v>0</v>
      </c>
      <c r="L151" s="4">
        <f>_xll.ciqfunctions.udf.CIQ(InputTicker, "IQ_SALARIES_OTHER_BENEFITS",Input!N$2,Date,,,Ccy,Conv)</f>
        <v>0</v>
      </c>
      <c r="M151" s="4">
        <f>_xll.ciqfunctions.udf.CIQ(InputTicker, "IQ_SALARIES_OTHER_BENEFITS",Input!O$2,Date,,,Ccy,Conv)</f>
        <v>0</v>
      </c>
      <c r="N151" s="49"/>
      <c r="P151" s="46"/>
      <c r="Q151" s="46"/>
      <c r="R151" s="46"/>
      <c r="T151" s="42"/>
      <c r="U151" s="42"/>
      <c r="V151" s="46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  <c r="BA151" s="42"/>
      <c r="BB151" s="42"/>
      <c r="BC151" s="42"/>
      <c r="BD151" s="42"/>
      <c r="BE151" s="42"/>
      <c r="BF151" s="42"/>
      <c r="BG151" s="42"/>
      <c r="BH151" s="42"/>
      <c r="BI151" s="42"/>
      <c r="BJ151" s="42"/>
      <c r="BK151" s="42"/>
      <c r="BL151" s="42"/>
      <c r="BM151" s="42"/>
      <c r="BN151" s="42"/>
    </row>
    <row r="152" spans="1:66" ht="12.75" customHeight="1" x14ac:dyDescent="0.2">
      <c r="A152" s="1" t="s">
        <v>411</v>
      </c>
      <c r="B152" s="4">
        <f>_xll.ciqfunctions.udf.CIQ(InputTicker,"IQ_RESTRUCTURE_SUPPLE",Input!D$2,Date,,,Ccy,Conv)</f>
        <v>0</v>
      </c>
      <c r="C152" s="4">
        <f>_xll.ciqfunctions.udf.CIQ(InputTicker,"IQ_RESTRUCTURE_SUPPLE",Input!E$2,Date,,,Ccy,Conv)</f>
        <v>0</v>
      </c>
      <c r="D152" s="4">
        <f>_xll.ciqfunctions.udf.CIQ(InputTicker,"IQ_RESTRUCTURE_SUPPLE",Input!F$2,Date,,,Ccy,Conv)</f>
        <v>0</v>
      </c>
      <c r="E152" s="4">
        <f>_xll.ciqfunctions.udf.CIQ(InputTicker,"IQ_RESTRUCTURE_SUPPLE",Input!G$2,Date,,,Ccy,Conv)</f>
        <v>0</v>
      </c>
      <c r="F152" s="4">
        <f>_xll.ciqfunctions.udf.CIQ(InputTicker,"IQ_RESTRUCTURE_SUPPLE",Input!H$2,Date,,,Ccy,Conv)</f>
        <v>0</v>
      </c>
      <c r="G152" s="4">
        <f>_xll.ciqfunctions.udf.CIQ(InputTicker,"IQ_RESTRUCTURE_SUPPLE",Input!I$2,Date,,,Ccy,Conv)</f>
        <v>0</v>
      </c>
      <c r="H152" s="4">
        <f>_xll.ciqfunctions.udf.CIQ(InputTicker,"IQ_RESTRUCTURE_SUPPLE",Input!J$2,Date,,,Ccy,Conv)</f>
        <v>0</v>
      </c>
      <c r="I152" s="4">
        <f>_xll.ciqfunctions.udf.CIQ(InputTicker,"IQ_RESTRUCTURE_SUPPLE",Input!K$2,Date,,,Ccy,Conv)</f>
        <v>0</v>
      </c>
      <c r="J152" s="4">
        <f>_xll.ciqfunctions.udf.CIQ(InputTicker,"IQ_RESTRUCTURE_SUPPLE",Input!L$2,Date,,,Ccy,Conv)</f>
        <v>0</v>
      </c>
      <c r="K152" s="4">
        <f>_xll.ciqfunctions.udf.CIQ(InputTicker,"IQ_RESTRUCTURE_SUPPLE",Input!M$2,Date,,,Ccy,Conv)</f>
        <v>0</v>
      </c>
      <c r="L152" s="4">
        <f>_xll.ciqfunctions.udf.CIQ(InputTicker,"IQ_RESTRUCTURE_SUPPLE",Input!N$2,Date,,,Ccy,Conv)</f>
        <v>0</v>
      </c>
      <c r="M152" s="4">
        <f>_xll.ciqfunctions.udf.CIQ(InputTicker,"IQ_RESTRUCTURE_SUPPLE",Input!O$2,Date,,,Ccy,Conv)</f>
        <v>0</v>
      </c>
      <c r="N152" s="49"/>
      <c r="P152" s="46"/>
      <c r="Q152" s="46"/>
      <c r="R152" s="46"/>
      <c r="T152" s="42"/>
      <c r="U152" s="42"/>
      <c r="V152" s="46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  <c r="BA152" s="42"/>
      <c r="BB152" s="42"/>
      <c r="BC152" s="42"/>
      <c r="BD152" s="42"/>
      <c r="BE152" s="42"/>
      <c r="BF152" s="42"/>
      <c r="BG152" s="42"/>
      <c r="BH152" s="42"/>
      <c r="BI152" s="42"/>
      <c r="BJ152" s="42"/>
      <c r="BK152" s="42"/>
      <c r="BL152" s="42"/>
      <c r="BM152" s="42"/>
      <c r="BN152" s="42"/>
    </row>
    <row r="153" spans="1:66" ht="12.75" customHeight="1" x14ac:dyDescent="0.2">
      <c r="A153" s="1" t="s">
        <v>412</v>
      </c>
      <c r="B153" s="4">
        <f>_xll.ciqfunctions.udf.CIQ(InputTicker,"IQ_MERGER_SUPPLE",Input!D$2,Date,,,Ccy,Conv)</f>
        <v>0</v>
      </c>
      <c r="C153" s="4">
        <f>_xll.ciqfunctions.udf.CIQ(InputTicker,"IQ_MERGER_SUPPLE",Input!E$2,Date,,,Ccy,Conv)</f>
        <v>0</v>
      </c>
      <c r="D153" s="4">
        <f>_xll.ciqfunctions.udf.CIQ(InputTicker,"IQ_MERGER_SUPPLE",Input!F$2,Date,,,Ccy,Conv)</f>
        <v>0</v>
      </c>
      <c r="E153" s="4">
        <f>_xll.ciqfunctions.udf.CIQ(InputTicker,"IQ_MERGER_SUPPLE",Input!G$2,Date,,,Ccy,Conv)</f>
        <v>0</v>
      </c>
      <c r="F153" s="4">
        <f>_xll.ciqfunctions.udf.CIQ(InputTicker,"IQ_MERGER_SUPPLE",Input!H$2,Date,,,Ccy,Conv)</f>
        <v>0</v>
      </c>
      <c r="G153" s="4">
        <f>_xll.ciqfunctions.udf.CIQ(InputTicker,"IQ_MERGER_SUPPLE",Input!I$2,Date,,,Ccy,Conv)</f>
        <v>0</v>
      </c>
      <c r="H153" s="4">
        <f>_xll.ciqfunctions.udf.CIQ(InputTicker,"IQ_MERGER_SUPPLE",Input!J$2,Date,,,Ccy,Conv)</f>
        <v>0</v>
      </c>
      <c r="I153" s="4">
        <f>_xll.ciqfunctions.udf.CIQ(InputTicker,"IQ_MERGER_SUPPLE",Input!K$2,Date,,,Ccy,Conv)</f>
        <v>0</v>
      </c>
      <c r="J153" s="4">
        <f>_xll.ciqfunctions.udf.CIQ(InputTicker,"IQ_MERGER_SUPPLE",Input!L$2,Date,,,Ccy,Conv)</f>
        <v>0</v>
      </c>
      <c r="K153" s="4">
        <f>_xll.ciqfunctions.udf.CIQ(InputTicker,"IQ_MERGER_SUPPLE",Input!M$2,Date,,,Ccy,Conv)</f>
        <v>0</v>
      </c>
      <c r="L153" s="4">
        <f>_xll.ciqfunctions.udf.CIQ(InputTicker,"IQ_MERGER_SUPPLE",Input!N$2,Date,,,Ccy,Conv)</f>
        <v>0</v>
      </c>
      <c r="M153" s="4">
        <f>_xll.ciqfunctions.udf.CIQ(InputTicker,"IQ_MERGER_SUPPLE",Input!O$2,Date,,,Ccy,Conv)</f>
        <v>0</v>
      </c>
      <c r="N153" s="49"/>
      <c r="P153" s="46"/>
      <c r="Q153" s="46"/>
      <c r="R153" s="46"/>
      <c r="T153" s="42"/>
      <c r="U153" s="42"/>
      <c r="V153" s="46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  <c r="BA153" s="42"/>
      <c r="BB153" s="42"/>
      <c r="BC153" s="42"/>
      <c r="BD153" s="42"/>
      <c r="BE153" s="42"/>
      <c r="BF153" s="42"/>
      <c r="BG153" s="42"/>
      <c r="BH153" s="42"/>
      <c r="BI153" s="42"/>
      <c r="BJ153" s="42"/>
      <c r="BK153" s="42"/>
      <c r="BL153" s="42"/>
      <c r="BM153" s="42"/>
      <c r="BN153" s="42"/>
    </row>
    <row r="154" spans="1:66" ht="12.75" customHeight="1" x14ac:dyDescent="0.2">
      <c r="A154" s="1" t="s">
        <v>413</v>
      </c>
      <c r="B154" s="4">
        <f>_xll.ciqfunctions.udf.CIQ(InputTicker,"IQ_IMPAIRMENT_GW_SUPPLE",Input!D$2,Date,,,Ccy,Conv)</f>
        <v>0</v>
      </c>
      <c r="C154" s="4">
        <f>_xll.ciqfunctions.udf.CIQ(InputTicker,"IQ_IMPAIRMENT_GW_SUPPLE",Input!E$2,Date,,,Ccy,Conv)</f>
        <v>0</v>
      </c>
      <c r="D154" s="4">
        <f>_xll.ciqfunctions.udf.CIQ(InputTicker,"IQ_IMPAIRMENT_GW_SUPPLE",Input!F$2,Date,,,Ccy,Conv)</f>
        <v>0</v>
      </c>
      <c r="E154" s="4">
        <f>_xll.ciqfunctions.udf.CIQ(InputTicker,"IQ_IMPAIRMENT_GW_SUPPLE",Input!G$2,Date,,,Ccy,Conv)</f>
        <v>0</v>
      </c>
      <c r="F154" s="4">
        <f>_xll.ciqfunctions.udf.CIQ(InputTicker,"IQ_IMPAIRMENT_GW_SUPPLE",Input!H$2,Date,,,Ccy,Conv)</f>
        <v>0</v>
      </c>
      <c r="G154" s="4">
        <f>_xll.ciqfunctions.udf.CIQ(InputTicker,"IQ_IMPAIRMENT_GW_SUPPLE",Input!I$2,Date,,,Ccy,Conv)</f>
        <v>0</v>
      </c>
      <c r="H154" s="4">
        <f>_xll.ciqfunctions.udf.CIQ(InputTicker,"IQ_IMPAIRMENT_GW_SUPPLE",Input!J$2,Date,,,Ccy,Conv)</f>
        <v>0</v>
      </c>
      <c r="I154" s="4">
        <f>_xll.ciqfunctions.udf.CIQ(InputTicker,"IQ_IMPAIRMENT_GW_SUPPLE",Input!K$2,Date,,,Ccy,Conv)</f>
        <v>0</v>
      </c>
      <c r="J154" s="4">
        <f>_xll.ciqfunctions.udf.CIQ(InputTicker,"IQ_IMPAIRMENT_GW_SUPPLE",Input!L$2,Date,,,Ccy,Conv)</f>
        <v>0</v>
      </c>
      <c r="K154" s="4">
        <f>_xll.ciqfunctions.udf.CIQ(InputTicker,"IQ_IMPAIRMENT_GW_SUPPLE",Input!M$2,Date,,,Ccy,Conv)</f>
        <v>0</v>
      </c>
      <c r="L154" s="4">
        <f>_xll.ciqfunctions.udf.CIQ(InputTicker,"IQ_IMPAIRMENT_GW_SUPPLE",Input!N$2,Date,,,Ccy,Conv)</f>
        <v>0</v>
      </c>
      <c r="M154" s="4">
        <f>_xll.ciqfunctions.udf.CIQ(InputTicker,"IQ_IMPAIRMENT_GW_SUPPLE",Input!O$2,Date,,,Ccy,Conv)</f>
        <v>0</v>
      </c>
      <c r="N154" s="49"/>
      <c r="P154" s="46"/>
      <c r="Q154" s="46"/>
      <c r="R154" s="46"/>
      <c r="T154" s="42"/>
      <c r="U154" s="42"/>
      <c r="V154" s="46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  <c r="BA154" s="42"/>
      <c r="BB154" s="42"/>
      <c r="BC154" s="42"/>
      <c r="BD154" s="42"/>
      <c r="BE154" s="42"/>
      <c r="BF154" s="42"/>
      <c r="BG154" s="42"/>
      <c r="BH154" s="42"/>
      <c r="BI154" s="42"/>
      <c r="BJ154" s="42"/>
      <c r="BK154" s="42"/>
      <c r="BL154" s="42"/>
      <c r="BM154" s="42"/>
      <c r="BN154" s="42"/>
    </row>
    <row r="155" spans="1:66" ht="12.75" customHeight="1" x14ac:dyDescent="0.2">
      <c r="A155" s="1" t="s">
        <v>414</v>
      </c>
      <c r="B155" s="4">
        <f>_xll.ciqfunctions.udf.CIQ(InputTicker,"IQ_ASSET_WRITEDOWN_SUPPLE",Input!D$2,Date,,,Ccy,Conv)</f>
        <v>0</v>
      </c>
      <c r="C155" s="4">
        <f>_xll.ciqfunctions.udf.CIQ(InputTicker,"IQ_ASSET_WRITEDOWN_SUPPLE",Input!E$2,Date,,,Ccy,Conv)</f>
        <v>0</v>
      </c>
      <c r="D155" s="4">
        <f>_xll.ciqfunctions.udf.CIQ(InputTicker,"IQ_ASSET_WRITEDOWN_SUPPLE",Input!F$2,Date,,,Ccy,Conv)</f>
        <v>0</v>
      </c>
      <c r="E155" s="4">
        <f>_xll.ciqfunctions.udf.CIQ(InputTicker,"IQ_ASSET_WRITEDOWN_SUPPLE",Input!G$2,Date,,,Ccy,Conv)</f>
        <v>0</v>
      </c>
      <c r="F155" s="4">
        <f>_xll.ciqfunctions.udf.CIQ(InputTicker,"IQ_ASSET_WRITEDOWN_SUPPLE",Input!H$2,Date,,,Ccy,Conv)</f>
        <v>0</v>
      </c>
      <c r="G155" s="4">
        <f>_xll.ciqfunctions.udf.CIQ(InputTicker,"IQ_ASSET_WRITEDOWN_SUPPLE",Input!I$2,Date,,,Ccy,Conv)</f>
        <v>0</v>
      </c>
      <c r="H155" s="4">
        <f>_xll.ciqfunctions.udf.CIQ(InputTicker,"IQ_ASSET_WRITEDOWN_SUPPLE",Input!J$2,Date,,,Ccy,Conv)</f>
        <v>0</v>
      </c>
      <c r="I155" s="4">
        <f>_xll.ciqfunctions.udf.CIQ(InputTicker,"IQ_ASSET_WRITEDOWN_SUPPLE",Input!K$2,Date,,,Ccy,Conv)</f>
        <v>0</v>
      </c>
      <c r="J155" s="4">
        <f>_xll.ciqfunctions.udf.CIQ(InputTicker,"IQ_ASSET_WRITEDOWN_SUPPLE",Input!L$2,Date,,,Ccy,Conv)</f>
        <v>0</v>
      </c>
      <c r="K155" s="4">
        <f>_xll.ciqfunctions.udf.CIQ(InputTicker,"IQ_ASSET_WRITEDOWN_SUPPLE",Input!M$2,Date,,,Ccy,Conv)</f>
        <v>0</v>
      </c>
      <c r="L155" s="4">
        <f>_xll.ciqfunctions.udf.CIQ(InputTicker,"IQ_ASSET_WRITEDOWN_SUPPLE",Input!N$2,Date,,,Ccy,Conv)</f>
        <v>0</v>
      </c>
      <c r="M155" s="4">
        <f>_xll.ciqfunctions.udf.CIQ(InputTicker,"IQ_ASSET_WRITEDOWN_SUPPLE",Input!O$2,Date,,,Ccy,Conv)</f>
        <v>0</v>
      </c>
      <c r="N155" s="49"/>
      <c r="P155" s="46"/>
      <c r="Q155" s="46"/>
      <c r="R155" s="46"/>
      <c r="T155" s="42"/>
      <c r="U155" s="42"/>
      <c r="V155" s="46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  <c r="BA155" s="42"/>
      <c r="BB155" s="42"/>
      <c r="BC155" s="42"/>
      <c r="BD155" s="42"/>
      <c r="BE155" s="42"/>
      <c r="BF155" s="42"/>
      <c r="BG155" s="42"/>
      <c r="BH155" s="42"/>
      <c r="BI155" s="42"/>
      <c r="BJ155" s="42"/>
      <c r="BK155" s="42"/>
      <c r="BL155" s="42"/>
      <c r="BM155" s="42"/>
      <c r="BN155" s="42"/>
    </row>
    <row r="156" spans="1:66" ht="12.75" customHeight="1" x14ac:dyDescent="0.2">
      <c r="A156" s="1" t="s">
        <v>415</v>
      </c>
      <c r="B156" s="4">
        <f>_xll.ciqfunctions.udf.CIQ(InputTicker,"IQ_IPRD_SUPPLE",Input!D$2,Date,,,Ccy,Conv)</f>
        <v>0</v>
      </c>
      <c r="C156" s="4">
        <f>_xll.ciqfunctions.udf.CIQ(InputTicker,"IQ_IPRD_SUPPLE",Input!E$2,Date,,,Ccy,Conv)</f>
        <v>0</v>
      </c>
      <c r="D156" s="4">
        <f>_xll.ciqfunctions.udf.CIQ(InputTicker,"IQ_IPRD_SUPPLE",Input!F$2,Date,,,Ccy,Conv)</f>
        <v>0</v>
      </c>
      <c r="E156" s="4">
        <f>_xll.ciqfunctions.udf.CIQ(InputTicker,"IQ_IPRD_SUPPLE",Input!G$2,Date,,,Ccy,Conv)</f>
        <v>0</v>
      </c>
      <c r="F156" s="4">
        <f>_xll.ciqfunctions.udf.CIQ(InputTicker,"IQ_IPRD_SUPPLE",Input!H$2,Date,,,Ccy,Conv)</f>
        <v>0</v>
      </c>
      <c r="G156" s="4">
        <f>_xll.ciqfunctions.udf.CIQ(InputTicker,"IQ_IPRD_SUPPLE",Input!I$2,Date,,,Ccy,Conv)</f>
        <v>0</v>
      </c>
      <c r="H156" s="4">
        <f>_xll.ciqfunctions.udf.CIQ(InputTicker,"IQ_IPRD_SUPPLE",Input!J$2,Date,,,Ccy,Conv)</f>
        <v>0</v>
      </c>
      <c r="I156" s="4">
        <f>_xll.ciqfunctions.udf.CIQ(InputTicker,"IQ_IPRD_SUPPLE",Input!K$2,Date,,,Ccy,Conv)</f>
        <v>0</v>
      </c>
      <c r="J156" s="4">
        <f>_xll.ciqfunctions.udf.CIQ(InputTicker,"IQ_IPRD_SUPPLE",Input!L$2,Date,,,Ccy,Conv)</f>
        <v>0</v>
      </c>
      <c r="K156" s="4">
        <f>_xll.ciqfunctions.udf.CIQ(InputTicker,"IQ_IPRD_SUPPLE",Input!M$2,Date,,,Ccy,Conv)</f>
        <v>0</v>
      </c>
      <c r="L156" s="4">
        <f>_xll.ciqfunctions.udf.CIQ(InputTicker,"IQ_IPRD_SUPPLE",Input!N$2,Date,,,Ccy,Conv)</f>
        <v>0</v>
      </c>
      <c r="M156" s="4">
        <f>_xll.ciqfunctions.udf.CIQ(InputTicker,"IQ_IPRD_SUPPLE",Input!O$2,Date,,,Ccy,Conv)</f>
        <v>0</v>
      </c>
      <c r="N156" s="49"/>
      <c r="P156" s="46"/>
      <c r="Q156" s="46"/>
      <c r="R156" s="46"/>
      <c r="T156" s="42"/>
      <c r="U156" s="42"/>
      <c r="V156" s="46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  <c r="BA156" s="42"/>
      <c r="BB156" s="42"/>
      <c r="BC156" s="42"/>
      <c r="BD156" s="42"/>
      <c r="BE156" s="42"/>
      <c r="BF156" s="42"/>
      <c r="BG156" s="42"/>
      <c r="BH156" s="42"/>
      <c r="BI156" s="42"/>
      <c r="BJ156" s="42"/>
      <c r="BK156" s="42"/>
      <c r="BL156" s="42"/>
      <c r="BM156" s="42"/>
      <c r="BN156" s="42"/>
    </row>
    <row r="157" spans="1:66" ht="12.75" customHeight="1" x14ac:dyDescent="0.2">
      <c r="A157" s="1" t="s">
        <v>464</v>
      </c>
      <c r="B157" s="4">
        <f>_xll.ciqfunctions.udf.CIQ(InputTicker,"IQ_GAIN_BARGAIN_ACQ",Input!D$2,Date,,,Ccy,Conv)</f>
        <v>0</v>
      </c>
      <c r="C157" s="4">
        <f>_xll.ciqfunctions.udf.CIQ(InputTicker,"IQ_GAIN_BARGAIN_ACQ",Input!E$2,Date,,,Ccy,Conv)</f>
        <v>0</v>
      </c>
      <c r="D157" s="4">
        <f>_xll.ciqfunctions.udf.CIQ(InputTicker,"IQ_GAIN_BARGAIN_ACQ",Input!F$2,Date,,,Ccy,Conv)</f>
        <v>0</v>
      </c>
      <c r="E157" s="4">
        <f>_xll.ciqfunctions.udf.CIQ(InputTicker,"IQ_GAIN_BARGAIN_ACQ",Input!G$2,Date,,,Ccy,Conv)</f>
        <v>0</v>
      </c>
      <c r="F157" s="4">
        <f>_xll.ciqfunctions.udf.CIQ(InputTicker,"IQ_GAIN_BARGAIN_ACQ",Input!H$2,Date,,,Ccy,Conv)</f>
        <v>0</v>
      </c>
      <c r="G157" s="4">
        <f>_xll.ciqfunctions.udf.CIQ(InputTicker,"IQ_GAIN_BARGAIN_ACQ",Input!I$2,Date,,,Ccy,Conv)</f>
        <v>0</v>
      </c>
      <c r="H157" s="4">
        <f>_xll.ciqfunctions.udf.CIQ(InputTicker,"IQ_GAIN_BARGAIN_ACQ",Input!J$2,Date,,,Ccy,Conv)</f>
        <v>0</v>
      </c>
      <c r="I157" s="4">
        <f>_xll.ciqfunctions.udf.CIQ(InputTicker,"IQ_GAIN_BARGAIN_ACQ",Input!K$2,Date,,,Ccy,Conv)</f>
        <v>0</v>
      </c>
      <c r="J157" s="4">
        <f>_xll.ciqfunctions.udf.CIQ(InputTicker,"IQ_GAIN_BARGAIN_ACQ",Input!L$2,Date,,,Ccy,Conv)</f>
        <v>0</v>
      </c>
      <c r="K157" s="4">
        <f>_xll.ciqfunctions.udf.CIQ(InputTicker,"IQ_GAIN_BARGAIN_ACQ",Input!M$2,Date,,,Ccy,Conv)</f>
        <v>0</v>
      </c>
      <c r="L157" s="4">
        <f>_xll.ciqfunctions.udf.CIQ(InputTicker,"IQ_GAIN_BARGAIN_ACQ",Input!N$2,Date,,,Ccy,Conv)</f>
        <v>0</v>
      </c>
      <c r="M157" s="4">
        <f>_xll.ciqfunctions.udf.CIQ(InputTicker,"IQ_GAIN_BARGAIN_ACQ",Input!O$2,Date,,,Ccy,Conv)</f>
        <v>0</v>
      </c>
      <c r="N157" s="49"/>
      <c r="P157" s="46"/>
      <c r="Q157" s="46"/>
      <c r="R157" s="46"/>
      <c r="T157" s="42"/>
      <c r="U157" s="42"/>
      <c r="V157" s="46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  <c r="BA157" s="42"/>
      <c r="BB157" s="42"/>
      <c r="BC157" s="42"/>
      <c r="BD157" s="42"/>
      <c r="BE157" s="42"/>
      <c r="BF157" s="42"/>
      <c r="BG157" s="42"/>
      <c r="BH157" s="42"/>
      <c r="BI157" s="42"/>
      <c r="BJ157" s="42"/>
      <c r="BK157" s="42"/>
      <c r="BL157" s="42"/>
      <c r="BM157" s="42"/>
      <c r="BN157" s="42"/>
    </row>
    <row r="158" spans="1:66" ht="12.75" customHeight="1" x14ac:dyDescent="0.2">
      <c r="A158" s="1" t="s">
        <v>465</v>
      </c>
      <c r="B158" s="4">
        <f>_xll.ciqfunctions.udf.CIQ(InputTicker,"IQ_GAIN_BARGAIN_ACQ_SUPPLE",Input!D$2,Date,,,Ccy,Conv)</f>
        <v>0</v>
      </c>
      <c r="C158" s="4">
        <f>_xll.ciqfunctions.udf.CIQ(InputTicker,"IQ_GAIN_BARGAIN_ACQ_SUPPLE",Input!E$2,Date,,,Ccy,Conv)</f>
        <v>0</v>
      </c>
      <c r="D158" s="4">
        <f>_xll.ciqfunctions.udf.CIQ(InputTicker,"IQ_GAIN_BARGAIN_ACQ_SUPPLE",Input!F$2,Date,,,Ccy,Conv)</f>
        <v>0</v>
      </c>
      <c r="E158" s="4">
        <f>_xll.ciqfunctions.udf.CIQ(InputTicker,"IQ_GAIN_BARGAIN_ACQ_SUPPLE",Input!G$2,Date,,,Ccy,Conv)</f>
        <v>0</v>
      </c>
      <c r="F158" s="4">
        <f>_xll.ciqfunctions.udf.CIQ(InputTicker,"IQ_GAIN_BARGAIN_ACQ_SUPPLE",Input!H$2,Date,,,Ccy,Conv)</f>
        <v>0</v>
      </c>
      <c r="G158" s="4">
        <f>_xll.ciqfunctions.udf.CIQ(InputTicker,"IQ_GAIN_BARGAIN_ACQ_SUPPLE",Input!I$2,Date,,,Ccy,Conv)</f>
        <v>0</v>
      </c>
      <c r="H158" s="4">
        <f>_xll.ciqfunctions.udf.CIQ(InputTicker,"IQ_GAIN_BARGAIN_ACQ_SUPPLE",Input!J$2,Date,,,Ccy,Conv)</f>
        <v>0</v>
      </c>
      <c r="I158" s="4">
        <f>_xll.ciqfunctions.udf.CIQ(InputTicker,"IQ_GAIN_BARGAIN_ACQ_SUPPLE",Input!K$2,Date,,,Ccy,Conv)</f>
        <v>0</v>
      </c>
      <c r="J158" s="4">
        <f>_xll.ciqfunctions.udf.CIQ(InputTicker,"IQ_GAIN_BARGAIN_ACQ_SUPPLE",Input!L$2,Date,,,Ccy,Conv)</f>
        <v>0</v>
      </c>
      <c r="K158" s="4">
        <f>_xll.ciqfunctions.udf.CIQ(InputTicker,"IQ_GAIN_BARGAIN_ACQ_SUPPLE",Input!M$2,Date,,,Ccy,Conv)</f>
        <v>0</v>
      </c>
      <c r="L158" s="4">
        <f>_xll.ciqfunctions.udf.CIQ(InputTicker,"IQ_GAIN_BARGAIN_ACQ_SUPPLE",Input!N$2,Date,,,Ccy,Conv)</f>
        <v>0</v>
      </c>
      <c r="M158" s="4">
        <f>_xll.ciqfunctions.udf.CIQ(InputTicker,"IQ_GAIN_BARGAIN_ACQ_SUPPLE",Input!O$2,Date,,,Ccy,Conv)</f>
        <v>0</v>
      </c>
      <c r="N158" s="49"/>
      <c r="P158" s="46"/>
      <c r="Q158" s="46"/>
      <c r="R158" s="46"/>
      <c r="T158" s="42"/>
      <c r="U158" s="42"/>
      <c r="V158" s="46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  <c r="BA158" s="42"/>
      <c r="BB158" s="42"/>
      <c r="BC158" s="42"/>
      <c r="BD158" s="42"/>
      <c r="BE158" s="42"/>
      <c r="BF158" s="42"/>
      <c r="BG158" s="42"/>
      <c r="BH158" s="42"/>
      <c r="BI158" s="42"/>
      <c r="BJ158" s="42"/>
      <c r="BK158" s="42"/>
      <c r="BL158" s="42"/>
      <c r="BM158" s="42"/>
      <c r="BN158" s="42"/>
    </row>
    <row r="159" spans="1:66" ht="12.75" customHeight="1" x14ac:dyDescent="0.2">
      <c r="A159" s="1" t="s">
        <v>416</v>
      </c>
      <c r="B159" s="4">
        <f>_xll.ciqfunctions.udf.CIQ(InputTicker,"IQ_INS_SETTLE_SUPPLE",Input!D$2,Date,,,Ccy,Conv)</f>
        <v>0</v>
      </c>
      <c r="C159" s="4">
        <f>_xll.ciqfunctions.udf.CIQ(InputTicker,"IQ_INS_SETTLE_SUPPLE",Input!E$2,Date,,,Ccy,Conv)</f>
        <v>0</v>
      </c>
      <c r="D159" s="4">
        <f>_xll.ciqfunctions.udf.CIQ(InputTicker,"IQ_INS_SETTLE_SUPPLE",Input!F$2,Date,,,Ccy,Conv)</f>
        <v>0</v>
      </c>
      <c r="E159" s="4">
        <f>_xll.ciqfunctions.udf.CIQ(InputTicker,"IQ_INS_SETTLE_SUPPLE",Input!G$2,Date,,,Ccy,Conv)</f>
        <v>0</v>
      </c>
      <c r="F159" s="4">
        <f>_xll.ciqfunctions.udf.CIQ(InputTicker,"IQ_INS_SETTLE_SUPPLE",Input!H$2,Date,,,Ccy,Conv)</f>
        <v>0</v>
      </c>
      <c r="G159" s="4">
        <f>_xll.ciqfunctions.udf.CIQ(InputTicker,"IQ_INS_SETTLE_SUPPLE",Input!I$2,Date,,,Ccy,Conv)</f>
        <v>0</v>
      </c>
      <c r="H159" s="4">
        <f>_xll.ciqfunctions.udf.CIQ(InputTicker,"IQ_INS_SETTLE_SUPPLE",Input!J$2,Date,,,Ccy,Conv)</f>
        <v>0</v>
      </c>
      <c r="I159" s="4">
        <f>_xll.ciqfunctions.udf.CIQ(InputTicker,"IQ_INS_SETTLE_SUPPLE",Input!K$2,Date,,,Ccy,Conv)</f>
        <v>0</v>
      </c>
      <c r="J159" s="4">
        <f>_xll.ciqfunctions.udf.CIQ(InputTicker,"IQ_INS_SETTLE_SUPPLE",Input!L$2,Date,,,Ccy,Conv)</f>
        <v>0</v>
      </c>
      <c r="K159" s="4">
        <f>_xll.ciqfunctions.udf.CIQ(InputTicker,"IQ_INS_SETTLE_SUPPLE",Input!M$2,Date,,,Ccy,Conv)</f>
        <v>0</v>
      </c>
      <c r="L159" s="4">
        <f>_xll.ciqfunctions.udf.CIQ(InputTicker,"IQ_INS_SETTLE_SUPPLE",Input!N$2,Date,,,Ccy,Conv)</f>
        <v>0</v>
      </c>
      <c r="M159" s="4">
        <f>_xll.ciqfunctions.udf.CIQ(InputTicker,"IQ_INS_SETTLE_SUPPLE",Input!O$2,Date,,,Ccy,Conv)</f>
        <v>0</v>
      </c>
      <c r="N159" s="49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  <c r="BA159" s="42"/>
      <c r="BB159" s="42"/>
      <c r="BC159" s="42"/>
      <c r="BD159" s="42"/>
      <c r="BE159" s="42"/>
      <c r="BF159" s="42"/>
      <c r="BG159" s="42"/>
      <c r="BH159" s="42"/>
      <c r="BI159" s="42"/>
      <c r="BJ159" s="42"/>
      <c r="BK159" s="42"/>
      <c r="BL159" s="42"/>
      <c r="BM159" s="42"/>
      <c r="BN159" s="42"/>
    </row>
    <row r="160" spans="1:66" ht="12.75" customHeight="1" x14ac:dyDescent="0.2">
      <c r="A160" s="1" t="s">
        <v>417</v>
      </c>
      <c r="B160" s="4">
        <f>_xll.ciqfunctions.udf.CIQ(InputTicker,"IQ_LEGAL_SETTLE_SUPPLE",Input!D$2,Date,,,Ccy,Conv)</f>
        <v>0</v>
      </c>
      <c r="C160" s="4">
        <f>_xll.ciqfunctions.udf.CIQ(InputTicker,"IQ_LEGAL_SETTLE_SUPPLE",Input!E$2,Date,,,Ccy,Conv)</f>
        <v>0</v>
      </c>
      <c r="D160" s="4">
        <f>_xll.ciqfunctions.udf.CIQ(InputTicker,"IQ_LEGAL_SETTLE_SUPPLE",Input!F$2,Date,,,Ccy,Conv)</f>
        <v>0</v>
      </c>
      <c r="E160" s="4">
        <f>_xll.ciqfunctions.udf.CIQ(InputTicker,"IQ_LEGAL_SETTLE_SUPPLE",Input!G$2,Date,,,Ccy,Conv)</f>
        <v>0</v>
      </c>
      <c r="F160" s="4">
        <f>_xll.ciqfunctions.udf.CIQ(InputTicker,"IQ_LEGAL_SETTLE_SUPPLE",Input!H$2,Date,,,Ccy,Conv)</f>
        <v>0</v>
      </c>
      <c r="G160" s="4">
        <f>_xll.ciqfunctions.udf.CIQ(InputTicker,"IQ_LEGAL_SETTLE_SUPPLE",Input!I$2,Date,,,Ccy,Conv)</f>
        <v>0</v>
      </c>
      <c r="H160" s="4">
        <f>_xll.ciqfunctions.udf.CIQ(InputTicker,"IQ_LEGAL_SETTLE_SUPPLE",Input!J$2,Date,,,Ccy,Conv)</f>
        <v>0</v>
      </c>
      <c r="I160" s="4">
        <f>_xll.ciqfunctions.udf.CIQ(InputTicker,"IQ_LEGAL_SETTLE_SUPPLE",Input!K$2,Date,,,Ccy,Conv)</f>
        <v>0</v>
      </c>
      <c r="J160" s="4">
        <f>_xll.ciqfunctions.udf.CIQ(InputTicker,"IQ_LEGAL_SETTLE_SUPPLE",Input!L$2,Date,,,Ccy,Conv)</f>
        <v>0</v>
      </c>
      <c r="K160" s="4">
        <f>_xll.ciqfunctions.udf.CIQ(InputTicker,"IQ_LEGAL_SETTLE_SUPPLE",Input!M$2,Date,,,Ccy,Conv)</f>
        <v>0</v>
      </c>
      <c r="L160" s="4">
        <f>_xll.ciqfunctions.udf.CIQ(InputTicker,"IQ_LEGAL_SETTLE_SUPPLE",Input!N$2,Date,,,Ccy,Conv)</f>
        <v>0</v>
      </c>
      <c r="M160" s="4">
        <f>_xll.ciqfunctions.udf.CIQ(InputTicker,"IQ_LEGAL_SETTLE_SUPPLE",Input!O$2,Date,,,Ccy,Conv)</f>
        <v>0</v>
      </c>
      <c r="N160" s="49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  <c r="BA160" s="42"/>
      <c r="BB160" s="42"/>
      <c r="BC160" s="42"/>
      <c r="BD160" s="42"/>
      <c r="BE160" s="42"/>
      <c r="BF160" s="42"/>
      <c r="BG160" s="42"/>
      <c r="BH160" s="42"/>
      <c r="BI160" s="42"/>
      <c r="BJ160" s="42"/>
      <c r="BK160" s="42"/>
      <c r="BL160" s="42"/>
      <c r="BM160" s="42"/>
      <c r="BN160" s="42"/>
    </row>
    <row r="161" spans="1:66" ht="12.75" customHeight="1" x14ac:dyDescent="0.2">
      <c r="A161" s="1" t="s">
        <v>418</v>
      </c>
      <c r="B161" s="4">
        <f>_xll.ciqfunctions.udf.CIQ(InputTicker,"IQ_OTHER_UNUSUAL_SUPPLE",Input!D$2,Date,,,Ccy,Conv)</f>
        <v>0</v>
      </c>
      <c r="C161" s="4">
        <f>_xll.ciqfunctions.udf.CIQ(InputTicker,"IQ_OTHER_UNUSUAL_SUPPLE",Input!E$2,Date,,,Ccy,Conv)</f>
        <v>0</v>
      </c>
      <c r="D161" s="4">
        <f>_xll.ciqfunctions.udf.CIQ(InputTicker,"IQ_OTHER_UNUSUAL_SUPPLE",Input!F$2,Date,,,Ccy,Conv)</f>
        <v>0</v>
      </c>
      <c r="E161" s="4">
        <f>_xll.ciqfunctions.udf.CIQ(InputTicker,"IQ_OTHER_UNUSUAL_SUPPLE",Input!G$2,Date,,,Ccy,Conv)</f>
        <v>0</v>
      </c>
      <c r="F161" s="4">
        <f>_xll.ciqfunctions.udf.CIQ(InputTicker,"IQ_OTHER_UNUSUAL_SUPPLE",Input!H$2,Date,,,Ccy,Conv)</f>
        <v>0</v>
      </c>
      <c r="G161" s="4">
        <f>_xll.ciqfunctions.udf.CIQ(InputTicker,"IQ_OTHER_UNUSUAL_SUPPLE",Input!I$2,Date,,,Ccy,Conv)</f>
        <v>0</v>
      </c>
      <c r="H161" s="4">
        <f>_xll.ciqfunctions.udf.CIQ(InputTicker,"IQ_OTHER_UNUSUAL_SUPPLE",Input!J$2,Date,,,Ccy,Conv)</f>
        <v>0</v>
      </c>
      <c r="I161" s="4">
        <f>_xll.ciqfunctions.udf.CIQ(InputTicker,"IQ_OTHER_UNUSUAL_SUPPLE",Input!K$2,Date,,,Ccy,Conv)</f>
        <v>0</v>
      </c>
      <c r="J161" s="4">
        <f>_xll.ciqfunctions.udf.CIQ(InputTicker,"IQ_OTHER_UNUSUAL_SUPPLE",Input!L$2,Date,,,Ccy,Conv)</f>
        <v>0</v>
      </c>
      <c r="K161" s="4">
        <f>_xll.ciqfunctions.udf.CIQ(InputTicker,"IQ_OTHER_UNUSUAL_SUPPLE",Input!M$2,Date,,,Ccy,Conv)</f>
        <v>0</v>
      </c>
      <c r="L161" s="4">
        <f>_xll.ciqfunctions.udf.CIQ(InputTicker,"IQ_OTHER_UNUSUAL_SUPPLE",Input!N$2,Date,,,Ccy,Conv)</f>
        <v>0</v>
      </c>
      <c r="M161" s="4">
        <f>_xll.ciqfunctions.udf.CIQ(InputTicker,"IQ_OTHER_UNUSUAL_SUPPLE",Input!O$2,Date,,,Ccy,Conv)</f>
        <v>0</v>
      </c>
      <c r="N161" s="49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  <c r="BA161" s="42"/>
      <c r="BB161" s="42"/>
      <c r="BC161" s="42"/>
      <c r="BD161" s="42"/>
      <c r="BE161" s="42"/>
      <c r="BF161" s="42"/>
      <c r="BG161" s="42"/>
      <c r="BH161" s="42"/>
      <c r="BI161" s="42"/>
      <c r="BJ161" s="42"/>
      <c r="BK161" s="42"/>
      <c r="BL161" s="42"/>
      <c r="BM161" s="42"/>
      <c r="BN161" s="42"/>
    </row>
    <row r="162" spans="1:66" ht="12.75" customHeight="1" x14ac:dyDescent="0.2">
      <c r="A162" s="1" t="s">
        <v>410</v>
      </c>
      <c r="B162" s="4">
        <f>_xll.ciqfunctions.udf.CIQ(InputTicker,"IQ_TOTAL_UNUSUAL_SUPPLE",Input!D$2,Date,,,Ccy,Conv)</f>
        <v>0</v>
      </c>
      <c r="C162" s="4">
        <f>_xll.ciqfunctions.udf.CIQ(InputTicker,"IQ_TOTAL_UNUSUAL_SUPPLE",Input!E$2,Date,,,Ccy,Conv)</f>
        <v>0</v>
      </c>
      <c r="D162" s="4">
        <f>_xll.ciqfunctions.udf.CIQ(InputTicker,"IQ_TOTAL_UNUSUAL_SUPPLE",Input!F$2,Date,,,Ccy,Conv)</f>
        <v>0</v>
      </c>
      <c r="E162" s="4">
        <f>_xll.ciqfunctions.udf.CIQ(InputTicker,"IQ_TOTAL_UNUSUAL_SUPPLE",Input!G$2,Date,,,Ccy,Conv)</f>
        <v>0</v>
      </c>
      <c r="F162" s="4">
        <f>_xll.ciqfunctions.udf.CIQ(InputTicker,"IQ_TOTAL_UNUSUAL_SUPPLE",Input!H$2,Date,,,Ccy,Conv)</f>
        <v>0</v>
      </c>
      <c r="G162" s="4">
        <f>_xll.ciqfunctions.udf.CIQ(InputTicker,"IQ_TOTAL_UNUSUAL_SUPPLE",Input!I$2,Date,,,Ccy,Conv)</f>
        <v>0</v>
      </c>
      <c r="H162" s="4">
        <f>_xll.ciqfunctions.udf.CIQ(InputTicker,"IQ_TOTAL_UNUSUAL_SUPPLE",Input!J$2,Date,,,Ccy,Conv)</f>
        <v>0</v>
      </c>
      <c r="I162" s="4">
        <f>_xll.ciqfunctions.udf.CIQ(InputTicker,"IQ_TOTAL_UNUSUAL_SUPPLE",Input!K$2,Date,,,Ccy,Conv)</f>
        <v>0</v>
      </c>
      <c r="J162" s="4">
        <f>_xll.ciqfunctions.udf.CIQ(InputTicker,"IQ_TOTAL_UNUSUAL_SUPPLE",Input!L$2,Date,,,Ccy,Conv)</f>
        <v>0</v>
      </c>
      <c r="K162" s="4">
        <f>_xll.ciqfunctions.udf.CIQ(InputTicker,"IQ_TOTAL_UNUSUAL_SUPPLE",Input!M$2,Date,,,Ccy,Conv)</f>
        <v>0</v>
      </c>
      <c r="L162" s="4">
        <f>_xll.ciqfunctions.udf.CIQ(InputTicker,"IQ_TOTAL_UNUSUAL_SUPPLE",Input!N$2,Date,,,Ccy,Conv)</f>
        <v>0</v>
      </c>
      <c r="M162" s="4">
        <f>_xll.ciqfunctions.udf.CIQ(InputTicker,"IQ_TOTAL_UNUSUAL_SUPPLE",Input!O$2,Date,,,Ccy,Conv)</f>
        <v>0</v>
      </c>
      <c r="N162" s="49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  <c r="BA162" s="42"/>
      <c r="BB162" s="42"/>
      <c r="BC162" s="42"/>
      <c r="BD162" s="42"/>
      <c r="BE162" s="42"/>
      <c r="BF162" s="42"/>
      <c r="BG162" s="42"/>
      <c r="BH162" s="42"/>
      <c r="BI162" s="42"/>
      <c r="BJ162" s="42"/>
      <c r="BK162" s="42"/>
      <c r="BL162" s="42"/>
      <c r="BM162" s="42"/>
      <c r="BN162" s="42"/>
    </row>
    <row r="163" spans="1:66" ht="12.75" customHeight="1" x14ac:dyDescent="0.2">
      <c r="A163" s="1" t="s">
        <v>40</v>
      </c>
      <c r="B163" s="4">
        <f>_xll.ciqfunctions.udf.CIQ(InputTicker,"IQ_NEGATIVE_GW_AMORT",Input!D$2,Date,,,Ccy,Conv)</f>
        <v>0</v>
      </c>
      <c r="C163" s="4">
        <f>_xll.ciqfunctions.udf.CIQ(InputTicker,"IQ_NEGATIVE_GW_AMORT",Input!E$2,Date,,,Ccy,Conv)</f>
        <v>0</v>
      </c>
      <c r="D163" s="4">
        <f>_xll.ciqfunctions.udf.CIQ(InputTicker,"IQ_NEGATIVE_GW_AMORT",Input!F$2,Date,,,Ccy,Conv)</f>
        <v>0</v>
      </c>
      <c r="E163" s="4">
        <f>_xll.ciqfunctions.udf.CIQ(InputTicker,"IQ_NEGATIVE_GW_AMORT",Input!G$2,Date,,,Ccy,Conv)</f>
        <v>0</v>
      </c>
      <c r="F163" s="4">
        <f>_xll.ciqfunctions.udf.CIQ(InputTicker,"IQ_NEGATIVE_GW_AMORT",Input!H$2,Date,,,Ccy,Conv)</f>
        <v>0</v>
      </c>
      <c r="G163" s="4">
        <f>_xll.ciqfunctions.udf.CIQ(InputTicker,"IQ_NEGATIVE_GW_AMORT",Input!I$2,Date,,,Ccy,Conv)</f>
        <v>0</v>
      </c>
      <c r="H163" s="4">
        <f>_xll.ciqfunctions.udf.CIQ(InputTicker,"IQ_NEGATIVE_GW_AMORT",Input!J$2,Date,,,Ccy,Conv)</f>
        <v>0</v>
      </c>
      <c r="I163" s="4">
        <f>_xll.ciqfunctions.udf.CIQ(InputTicker,"IQ_NEGATIVE_GW_AMORT",Input!K$2,Date,,,Ccy,Conv)</f>
        <v>0</v>
      </c>
      <c r="J163" s="4">
        <f>_xll.ciqfunctions.udf.CIQ(InputTicker,"IQ_NEGATIVE_GW_AMORT",Input!L$2,Date,,,Ccy,Conv)</f>
        <v>0</v>
      </c>
      <c r="K163" s="4">
        <f>_xll.ciqfunctions.udf.CIQ(InputTicker,"IQ_NEGATIVE_GW_AMORT",Input!M$2,Date,,,Ccy,Conv)</f>
        <v>0</v>
      </c>
      <c r="L163" s="4">
        <f>_xll.ciqfunctions.udf.CIQ(InputTicker,"IQ_NEGATIVE_GW_AMORT",Input!N$2,Date,,,Ccy,Conv)</f>
        <v>0</v>
      </c>
      <c r="M163" s="4">
        <f>_xll.ciqfunctions.udf.CIQ(InputTicker,"IQ_NEGATIVE_GW_AMORT",Input!O$2,Date,,,Ccy,Conv)</f>
        <v>0</v>
      </c>
      <c r="N163" s="49"/>
      <c r="P163" s="51"/>
      <c r="Q163" s="51"/>
      <c r="R163" s="51"/>
      <c r="T163" s="42"/>
      <c r="U163" s="42"/>
      <c r="V163" s="51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  <c r="BA163" s="42"/>
      <c r="BB163" s="42"/>
      <c r="BC163" s="42"/>
      <c r="BD163" s="42"/>
      <c r="BE163" s="42"/>
      <c r="BF163" s="42"/>
      <c r="BG163" s="42"/>
      <c r="BH163" s="42"/>
      <c r="BI163" s="42"/>
      <c r="BJ163" s="42"/>
      <c r="BK163" s="42"/>
      <c r="BL163" s="42"/>
      <c r="BM163" s="42"/>
      <c r="BN163" s="42"/>
    </row>
    <row r="164" spans="1:66" ht="12.75" customHeight="1" x14ac:dyDescent="0.2">
      <c r="A164" s="1" t="s">
        <v>41</v>
      </c>
      <c r="B164" s="4">
        <f>_xll.ciqfunctions.udf.CIQ(InputTicker,"IQ_NEGATIVE_GW_AMORT_AT",Input!D$2,Date,,,Ccy,Conv)</f>
        <v>0</v>
      </c>
      <c r="C164" s="4">
        <f>_xll.ciqfunctions.udf.CIQ(InputTicker,"IQ_NEGATIVE_GW_AMORT_AT",Input!E$2,Date,,,Ccy,Conv)</f>
        <v>0</v>
      </c>
      <c r="D164" s="4">
        <f>_xll.ciqfunctions.udf.CIQ(InputTicker,"IQ_NEGATIVE_GW_AMORT_AT",Input!F$2,Date,,,Ccy,Conv)</f>
        <v>0</v>
      </c>
      <c r="E164" s="4">
        <f>_xll.ciqfunctions.udf.CIQ(InputTicker,"IQ_NEGATIVE_GW_AMORT_AT",Input!G$2,Date,,,Ccy,Conv)</f>
        <v>0</v>
      </c>
      <c r="F164" s="4">
        <f>_xll.ciqfunctions.udf.CIQ(InputTicker,"IQ_NEGATIVE_GW_AMORT_AT",Input!H$2,Date,,,Ccy,Conv)</f>
        <v>0</v>
      </c>
      <c r="G164" s="4">
        <f>_xll.ciqfunctions.udf.CIQ(InputTicker,"IQ_NEGATIVE_GW_AMORT_AT",Input!I$2,Date,,,Ccy,Conv)</f>
        <v>0</v>
      </c>
      <c r="H164" s="4">
        <f>_xll.ciqfunctions.udf.CIQ(InputTicker,"IQ_NEGATIVE_GW_AMORT_AT",Input!J$2,Date,,,Ccy,Conv)</f>
        <v>0</v>
      </c>
      <c r="I164" s="4">
        <f>_xll.ciqfunctions.udf.CIQ(InputTicker,"IQ_NEGATIVE_GW_AMORT_AT",Input!K$2,Date,,,Ccy,Conv)</f>
        <v>0</v>
      </c>
      <c r="J164" s="4">
        <f>_xll.ciqfunctions.udf.CIQ(InputTicker,"IQ_NEGATIVE_GW_AMORT_AT",Input!L$2,Date,,,Ccy,Conv)</f>
        <v>0</v>
      </c>
      <c r="K164" s="4">
        <f>_xll.ciqfunctions.udf.CIQ(InputTicker,"IQ_NEGATIVE_GW_AMORT_AT",Input!M$2,Date,,,Ccy,Conv)</f>
        <v>0</v>
      </c>
      <c r="L164" s="4">
        <f>_xll.ciqfunctions.udf.CIQ(InputTicker,"IQ_NEGATIVE_GW_AMORT_AT",Input!N$2,Date,,,Ccy,Conv)</f>
        <v>0</v>
      </c>
      <c r="M164" s="4">
        <f>_xll.ciqfunctions.udf.CIQ(InputTicker,"IQ_NEGATIVE_GW_AMORT_AT",Input!O$2,Date,,,Ccy,Conv)</f>
        <v>0</v>
      </c>
      <c r="N164" s="49"/>
      <c r="P164" s="51"/>
      <c r="Q164" s="51"/>
      <c r="R164" s="51"/>
      <c r="T164" s="42"/>
      <c r="U164" s="42"/>
      <c r="V164" s="51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  <c r="BA164" s="42"/>
      <c r="BB164" s="42"/>
      <c r="BC164" s="42"/>
      <c r="BD164" s="42"/>
      <c r="BE164" s="42"/>
      <c r="BF164" s="42"/>
      <c r="BG164" s="42"/>
      <c r="BH164" s="42"/>
      <c r="BI164" s="42"/>
      <c r="BJ164" s="42"/>
      <c r="BK164" s="42"/>
      <c r="BL164" s="42"/>
      <c r="BM164" s="42"/>
      <c r="BN164" s="42"/>
    </row>
    <row r="165" spans="1:66" ht="12.75" customHeight="1" x14ac:dyDescent="0.2">
      <c r="A165" s="1" t="s">
        <v>336</v>
      </c>
      <c r="B165" s="4">
        <f>_xll.ciqfunctions.udf.CIQ(InputTicker, "IQ_STOCK_BASED_COGS",Input!D$2,Date,,,Ccy,Conv)</f>
        <v>0</v>
      </c>
      <c r="C165" s="4">
        <f>_xll.ciqfunctions.udf.CIQ(InputTicker, "IQ_STOCK_BASED_COGS",Input!E$2,Date,,,Ccy,Conv)</f>
        <v>0</v>
      </c>
      <c r="D165" s="4">
        <f>_xll.ciqfunctions.udf.CIQ(InputTicker, "IQ_STOCK_BASED_COGS",Input!F$2,Date,,,Ccy,Conv)</f>
        <v>0</v>
      </c>
      <c r="E165" s="4">
        <f>_xll.ciqfunctions.udf.CIQ(InputTicker, "IQ_STOCK_BASED_COGS",Input!G$2,Date,,,Ccy,Conv)</f>
        <v>0</v>
      </c>
      <c r="F165" s="4">
        <f>_xll.ciqfunctions.udf.CIQ(InputTicker, "IQ_STOCK_BASED_COGS",Input!H$2,Date,,,Ccy,Conv)</f>
        <v>0</v>
      </c>
      <c r="G165" s="4">
        <f>_xll.ciqfunctions.udf.CIQ(InputTicker, "IQ_STOCK_BASED_COGS",Input!I$2,Date,,,Ccy,Conv)</f>
        <v>0</v>
      </c>
      <c r="H165" s="4">
        <f>_xll.ciqfunctions.udf.CIQ(InputTicker, "IQ_STOCK_BASED_COGS",Input!J$2,Date,,,Ccy,Conv)</f>
        <v>0</v>
      </c>
      <c r="I165" s="4">
        <f>_xll.ciqfunctions.udf.CIQ(InputTicker, "IQ_STOCK_BASED_COGS",Input!K$2,Date,,,Ccy,Conv)</f>
        <v>0</v>
      </c>
      <c r="J165" s="4">
        <f>_xll.ciqfunctions.udf.CIQ(InputTicker, "IQ_STOCK_BASED_COGS",Input!L$2,Date,,,Ccy,Conv)</f>
        <v>0</v>
      </c>
      <c r="K165" s="4">
        <f>_xll.ciqfunctions.udf.CIQ(InputTicker, "IQ_STOCK_BASED_COGS",Input!M$2,Date,,,Ccy,Conv)</f>
        <v>0</v>
      </c>
      <c r="L165" s="4">
        <f>_xll.ciqfunctions.udf.CIQ(InputTicker, "IQ_STOCK_BASED_COGS",Input!N$2,Date,,,Ccy,Conv)</f>
        <v>0</v>
      </c>
      <c r="M165" s="4">
        <f>_xll.ciqfunctions.udf.CIQ(InputTicker, "IQ_STOCK_BASED_COGS",Input!O$2,Date,,,Ccy,Conv)</f>
        <v>0</v>
      </c>
      <c r="N165" s="49"/>
      <c r="P165" s="51"/>
      <c r="Q165" s="51"/>
      <c r="R165" s="51"/>
      <c r="T165" s="42"/>
      <c r="U165" s="42"/>
      <c r="V165" s="51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  <c r="BA165" s="42"/>
      <c r="BB165" s="42"/>
      <c r="BC165" s="42"/>
      <c r="BD165" s="42"/>
      <c r="BE165" s="42"/>
      <c r="BF165" s="42"/>
      <c r="BG165" s="42"/>
      <c r="BH165" s="42"/>
      <c r="BI165" s="42"/>
      <c r="BJ165" s="42"/>
      <c r="BK165" s="42"/>
      <c r="BL165" s="42"/>
      <c r="BM165" s="42"/>
      <c r="BN165" s="42"/>
    </row>
    <row r="166" spans="1:66" ht="12.75" customHeight="1" x14ac:dyDescent="0.2">
      <c r="A166" s="1" t="s">
        <v>337</v>
      </c>
      <c r="B166" s="4">
        <f>_xll.ciqfunctions.udf.CIQ(InputTicker, "IQ_STOCK_BASED_RD",Input!D$2,Date,,,Ccy,Conv)</f>
        <v>0</v>
      </c>
      <c r="C166" s="4">
        <f>_xll.ciqfunctions.udf.CIQ(InputTicker, "IQ_STOCK_BASED_RD",Input!E$2,Date,,,Ccy,Conv)</f>
        <v>0</v>
      </c>
      <c r="D166" s="4">
        <f>_xll.ciqfunctions.udf.CIQ(InputTicker, "IQ_STOCK_BASED_RD",Input!F$2,Date,,,Ccy,Conv)</f>
        <v>0</v>
      </c>
      <c r="E166" s="4">
        <f>_xll.ciqfunctions.udf.CIQ(InputTicker, "IQ_STOCK_BASED_RD",Input!G$2,Date,,,Ccy,Conv)</f>
        <v>0</v>
      </c>
      <c r="F166" s="4">
        <f>_xll.ciqfunctions.udf.CIQ(InputTicker, "IQ_STOCK_BASED_RD",Input!H$2,Date,,,Ccy,Conv)</f>
        <v>0</v>
      </c>
      <c r="G166" s="4">
        <f>_xll.ciqfunctions.udf.CIQ(InputTicker, "IQ_STOCK_BASED_RD",Input!I$2,Date,,,Ccy,Conv)</f>
        <v>0</v>
      </c>
      <c r="H166" s="4">
        <f>_xll.ciqfunctions.udf.CIQ(InputTicker, "IQ_STOCK_BASED_RD",Input!J$2,Date,,,Ccy,Conv)</f>
        <v>0</v>
      </c>
      <c r="I166" s="4">
        <f>_xll.ciqfunctions.udf.CIQ(InputTicker, "IQ_STOCK_BASED_RD",Input!K$2,Date,,,Ccy,Conv)</f>
        <v>0</v>
      </c>
      <c r="J166" s="4">
        <f>_xll.ciqfunctions.udf.CIQ(InputTicker, "IQ_STOCK_BASED_RD",Input!L$2,Date,,,Ccy,Conv)</f>
        <v>0</v>
      </c>
      <c r="K166" s="4">
        <f>_xll.ciqfunctions.udf.CIQ(InputTicker, "IQ_STOCK_BASED_RD",Input!M$2,Date,,,Ccy,Conv)</f>
        <v>0</v>
      </c>
      <c r="L166" s="4">
        <f>_xll.ciqfunctions.udf.CIQ(InputTicker, "IQ_STOCK_BASED_RD",Input!N$2,Date,,,Ccy,Conv)</f>
        <v>0</v>
      </c>
      <c r="M166" s="4">
        <f>_xll.ciqfunctions.udf.CIQ(InputTicker, "IQ_STOCK_BASED_RD",Input!O$2,Date,,,Ccy,Conv)</f>
        <v>0</v>
      </c>
      <c r="N166" s="49"/>
      <c r="P166" s="51"/>
      <c r="Q166" s="51"/>
      <c r="R166" s="51"/>
      <c r="T166" s="42"/>
      <c r="U166" s="42"/>
      <c r="V166" s="51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  <c r="BA166" s="42"/>
      <c r="BB166" s="42"/>
      <c r="BC166" s="42"/>
      <c r="BD166" s="42"/>
      <c r="BE166" s="42"/>
      <c r="BF166" s="42"/>
      <c r="BG166" s="42"/>
      <c r="BH166" s="42"/>
      <c r="BI166" s="42"/>
      <c r="BJ166" s="42"/>
      <c r="BK166" s="42"/>
      <c r="BL166" s="42"/>
      <c r="BM166" s="42"/>
      <c r="BN166" s="42"/>
    </row>
    <row r="167" spans="1:66" ht="12.75" customHeight="1" x14ac:dyDescent="0.2">
      <c r="A167" s="1" t="s">
        <v>338</v>
      </c>
      <c r="B167" s="4">
        <f>_xll.ciqfunctions.udf.CIQ(InputTicker, "IQ_STOCK_BASED_SM",Input!D$2,Date,,,Ccy,Conv)</f>
        <v>0</v>
      </c>
      <c r="C167" s="4">
        <f>_xll.ciqfunctions.udf.CIQ(InputTicker, "IQ_STOCK_BASED_SM",Input!E$2,Date,,,Ccy,Conv)</f>
        <v>0</v>
      </c>
      <c r="D167" s="4">
        <f>_xll.ciqfunctions.udf.CIQ(InputTicker, "IQ_STOCK_BASED_SM",Input!F$2,Date,,,Ccy,Conv)</f>
        <v>0</v>
      </c>
      <c r="E167" s="4">
        <f>_xll.ciqfunctions.udf.CIQ(InputTicker, "IQ_STOCK_BASED_SM",Input!G$2,Date,,,Ccy,Conv)</f>
        <v>0</v>
      </c>
      <c r="F167" s="4">
        <f>_xll.ciqfunctions.udf.CIQ(InputTicker, "IQ_STOCK_BASED_SM",Input!H$2,Date,,,Ccy,Conv)</f>
        <v>0</v>
      </c>
      <c r="G167" s="4">
        <f>_xll.ciqfunctions.udf.CIQ(InputTicker, "IQ_STOCK_BASED_SM",Input!I$2,Date,,,Ccy,Conv)</f>
        <v>0</v>
      </c>
      <c r="H167" s="4">
        <f>_xll.ciqfunctions.udf.CIQ(InputTicker, "IQ_STOCK_BASED_SM",Input!J$2,Date,,,Ccy,Conv)</f>
        <v>0</v>
      </c>
      <c r="I167" s="4">
        <f>_xll.ciqfunctions.udf.CIQ(InputTicker, "IQ_STOCK_BASED_SM",Input!K$2,Date,,,Ccy,Conv)</f>
        <v>0</v>
      </c>
      <c r="J167" s="4">
        <f>_xll.ciqfunctions.udf.CIQ(InputTicker, "IQ_STOCK_BASED_SM",Input!L$2,Date,,,Ccy,Conv)</f>
        <v>0</v>
      </c>
      <c r="K167" s="4">
        <f>_xll.ciqfunctions.udf.CIQ(InputTicker, "IQ_STOCK_BASED_SM",Input!M$2,Date,,,Ccy,Conv)</f>
        <v>0</v>
      </c>
      <c r="L167" s="4">
        <f>_xll.ciqfunctions.udf.CIQ(InputTicker, "IQ_STOCK_BASED_SM",Input!N$2,Date,,,Ccy,Conv)</f>
        <v>0</v>
      </c>
      <c r="M167" s="4">
        <f>_xll.ciqfunctions.udf.CIQ(InputTicker, "IQ_STOCK_BASED_SM",Input!O$2,Date,,,Ccy,Conv)</f>
        <v>0</v>
      </c>
      <c r="N167" s="49"/>
      <c r="P167" s="51"/>
      <c r="Q167" s="51"/>
      <c r="R167" s="51"/>
      <c r="T167" s="42"/>
      <c r="U167" s="42"/>
      <c r="V167" s="51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  <c r="BA167" s="42"/>
      <c r="BB167" s="42"/>
      <c r="BC167" s="42"/>
      <c r="BD167" s="42"/>
      <c r="BE167" s="42"/>
      <c r="BF167" s="42"/>
      <c r="BG167" s="42"/>
      <c r="BH167" s="42"/>
      <c r="BI167" s="42"/>
      <c r="BJ167" s="42"/>
      <c r="BK167" s="42"/>
      <c r="BL167" s="42"/>
      <c r="BM167" s="42"/>
      <c r="BN167" s="42"/>
    </row>
    <row r="168" spans="1:66" ht="12.75" customHeight="1" x14ac:dyDescent="0.2">
      <c r="A168" s="1" t="s">
        <v>339</v>
      </c>
      <c r="B168" s="4">
        <f>_xll.ciqfunctions.udf.CIQ(InputTicker, "IQ_STOCK_BASED_GA",Input!D$2,Date,,,Ccy,Conv)</f>
        <v>0</v>
      </c>
      <c r="C168" s="4">
        <f>_xll.ciqfunctions.udf.CIQ(InputTicker, "IQ_STOCK_BASED_GA",Input!E$2,Date,,,Ccy,Conv)</f>
        <v>0</v>
      </c>
      <c r="D168" s="4">
        <f>_xll.ciqfunctions.udf.CIQ(InputTicker, "IQ_STOCK_BASED_GA",Input!F$2,Date,,,Ccy,Conv)</f>
        <v>0</v>
      </c>
      <c r="E168" s="4">
        <f>_xll.ciqfunctions.udf.CIQ(InputTicker, "IQ_STOCK_BASED_GA",Input!G$2,Date,,,Ccy,Conv)</f>
        <v>0</v>
      </c>
      <c r="F168" s="4">
        <f>_xll.ciqfunctions.udf.CIQ(InputTicker, "IQ_STOCK_BASED_GA",Input!H$2,Date,,,Ccy,Conv)</f>
        <v>0</v>
      </c>
      <c r="G168" s="4">
        <f>_xll.ciqfunctions.udf.CIQ(InputTicker, "IQ_STOCK_BASED_GA",Input!I$2,Date,,,Ccy,Conv)</f>
        <v>0</v>
      </c>
      <c r="H168" s="4">
        <f>_xll.ciqfunctions.udf.CIQ(InputTicker, "IQ_STOCK_BASED_GA",Input!J$2,Date,,,Ccy,Conv)</f>
        <v>0</v>
      </c>
      <c r="I168" s="4">
        <f>_xll.ciqfunctions.udf.CIQ(InputTicker, "IQ_STOCK_BASED_GA",Input!K$2,Date,,,Ccy,Conv)</f>
        <v>0</v>
      </c>
      <c r="J168" s="4">
        <f>_xll.ciqfunctions.udf.CIQ(InputTicker, "IQ_STOCK_BASED_GA",Input!L$2,Date,,,Ccy,Conv)</f>
        <v>0</v>
      </c>
      <c r="K168" s="4">
        <f>_xll.ciqfunctions.udf.CIQ(InputTicker, "IQ_STOCK_BASED_GA",Input!M$2,Date,,,Ccy,Conv)</f>
        <v>0</v>
      </c>
      <c r="L168" s="4">
        <f>_xll.ciqfunctions.udf.CIQ(InputTicker, "IQ_STOCK_BASED_GA",Input!N$2,Date,,,Ccy,Conv)</f>
        <v>0</v>
      </c>
      <c r="M168" s="4">
        <f>_xll.ciqfunctions.udf.CIQ(InputTicker, "IQ_STOCK_BASED_GA",Input!O$2,Date,,,Ccy,Conv)</f>
        <v>0</v>
      </c>
      <c r="N168" s="49"/>
      <c r="P168" s="51"/>
      <c r="Q168" s="51"/>
      <c r="R168" s="51"/>
      <c r="T168" s="42"/>
      <c r="U168" s="42"/>
      <c r="V168" s="51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  <c r="BA168" s="42"/>
      <c r="BB168" s="42"/>
      <c r="BC168" s="42"/>
      <c r="BD168" s="42"/>
      <c r="BE168" s="42"/>
      <c r="BF168" s="42"/>
      <c r="BG168" s="42"/>
      <c r="BH168" s="42"/>
      <c r="BI168" s="42"/>
      <c r="BJ168" s="42"/>
      <c r="BK168" s="42"/>
      <c r="BL168" s="42"/>
      <c r="BM168" s="42"/>
      <c r="BN168" s="42"/>
    </row>
    <row r="169" spans="1:66" ht="12.75" customHeight="1" x14ac:dyDescent="0.2">
      <c r="A169" s="1" t="s">
        <v>340</v>
      </c>
      <c r="B169" s="4">
        <f>_xll.ciqfunctions.udf.CIQ(InputTicker, "IQ_STOCK_BASED_SGA",Input!D$2,Date,,,Ccy,Conv)</f>
        <v>0</v>
      </c>
      <c r="C169" s="4">
        <f>_xll.ciqfunctions.udf.CIQ(InputTicker, "IQ_STOCK_BASED_SGA",Input!E$2,Date,,,Ccy,Conv)</f>
        <v>0</v>
      </c>
      <c r="D169" s="4">
        <f>_xll.ciqfunctions.udf.CIQ(InputTicker, "IQ_STOCK_BASED_SGA",Input!F$2,Date,,,Ccy,Conv)</f>
        <v>0</v>
      </c>
      <c r="E169" s="4">
        <f>_xll.ciqfunctions.udf.CIQ(InputTicker, "IQ_STOCK_BASED_SGA",Input!G$2,Date,,,Ccy,Conv)</f>
        <v>0</v>
      </c>
      <c r="F169" s="4">
        <f>_xll.ciqfunctions.udf.CIQ(InputTicker, "IQ_STOCK_BASED_SGA",Input!H$2,Date,,,Ccy,Conv)</f>
        <v>0</v>
      </c>
      <c r="G169" s="4">
        <f>_xll.ciqfunctions.udf.CIQ(InputTicker, "IQ_STOCK_BASED_SGA",Input!I$2,Date,,,Ccy,Conv)</f>
        <v>0</v>
      </c>
      <c r="H169" s="4">
        <f>_xll.ciqfunctions.udf.CIQ(InputTicker, "IQ_STOCK_BASED_SGA",Input!J$2,Date,,,Ccy,Conv)</f>
        <v>0</v>
      </c>
      <c r="I169" s="4">
        <f>_xll.ciqfunctions.udf.CIQ(InputTicker, "IQ_STOCK_BASED_SGA",Input!K$2,Date,,,Ccy,Conv)</f>
        <v>0</v>
      </c>
      <c r="J169" s="4">
        <f>_xll.ciqfunctions.udf.CIQ(InputTicker, "IQ_STOCK_BASED_SGA",Input!L$2,Date,,,Ccy,Conv)</f>
        <v>0</v>
      </c>
      <c r="K169" s="4">
        <f>_xll.ciqfunctions.udf.CIQ(InputTicker, "IQ_STOCK_BASED_SGA",Input!M$2,Date,,,Ccy,Conv)</f>
        <v>0</v>
      </c>
      <c r="L169" s="4">
        <f>_xll.ciqfunctions.udf.CIQ(InputTicker, "IQ_STOCK_BASED_SGA",Input!N$2,Date,,,Ccy,Conv)</f>
        <v>0</v>
      </c>
      <c r="M169" s="4">
        <f>_xll.ciqfunctions.udf.CIQ(InputTicker, "IQ_STOCK_BASED_SGA",Input!O$2,Date,,,Ccy,Conv)</f>
        <v>0</v>
      </c>
      <c r="N169" s="49"/>
      <c r="P169" s="51"/>
      <c r="Q169" s="51"/>
      <c r="R169" s="51"/>
      <c r="T169" s="42"/>
      <c r="U169" s="42"/>
      <c r="V169" s="51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  <c r="BJ169" s="42"/>
      <c r="BK169" s="42"/>
      <c r="BL169" s="42"/>
      <c r="BM169" s="42"/>
      <c r="BN169" s="42"/>
    </row>
    <row r="170" spans="1:66" ht="12.75" customHeight="1" x14ac:dyDescent="0.2">
      <c r="A170" s="1" t="s">
        <v>393</v>
      </c>
      <c r="B170" s="4">
        <f>_xll.ciqfunctions.udf.CIQ(InputTicker, "IQ_STOCK_BASED_EXPLORE_DRILL",Input!D$2,Date,,,Ccy,Conv)</f>
        <v>0</v>
      </c>
      <c r="C170" s="4">
        <f>_xll.ciqfunctions.udf.CIQ(InputTicker, "IQ_STOCK_BASED_EXPLORE_DRILL",Input!E$2,Date,,,Ccy,Conv)</f>
        <v>0</v>
      </c>
      <c r="D170" s="4">
        <f>_xll.ciqfunctions.udf.CIQ(InputTicker, "IQ_STOCK_BASED_EXPLORE_DRILL",Input!F$2,Date,,,Ccy,Conv)</f>
        <v>0</v>
      </c>
      <c r="E170" s="4">
        <f>_xll.ciqfunctions.udf.CIQ(InputTicker, "IQ_STOCK_BASED_EXPLORE_DRILL",Input!G$2,Date,,,Ccy,Conv)</f>
        <v>0</v>
      </c>
      <c r="F170" s="4">
        <f>_xll.ciqfunctions.udf.CIQ(InputTicker, "IQ_STOCK_BASED_EXPLORE_DRILL",Input!H$2,Date,,,Ccy,Conv)</f>
        <v>0</v>
      </c>
      <c r="G170" s="4">
        <f>_xll.ciqfunctions.udf.CIQ(InputTicker, "IQ_STOCK_BASED_EXPLORE_DRILL",Input!I$2,Date,,,Ccy,Conv)</f>
        <v>0</v>
      </c>
      <c r="H170" s="4">
        <f>_xll.ciqfunctions.udf.CIQ(InputTicker, "IQ_STOCK_BASED_EXPLORE_DRILL",Input!J$2,Date,,,Ccy,Conv)</f>
        <v>0</v>
      </c>
      <c r="I170" s="4">
        <f>_xll.ciqfunctions.udf.CIQ(InputTicker, "IQ_STOCK_BASED_EXPLORE_DRILL",Input!K$2,Date,,,Ccy,Conv)</f>
        <v>0</v>
      </c>
      <c r="J170" s="4">
        <f>_xll.ciqfunctions.udf.CIQ(InputTicker, "IQ_STOCK_BASED_EXPLORE_DRILL",Input!L$2,Date,,,Ccy,Conv)</f>
        <v>0</v>
      </c>
      <c r="K170" s="4">
        <f>_xll.ciqfunctions.udf.CIQ(InputTicker, "IQ_STOCK_BASED_EXPLORE_DRILL",Input!M$2,Date,,,Ccy,Conv)</f>
        <v>0</v>
      </c>
      <c r="L170" s="4">
        <f>_xll.ciqfunctions.udf.CIQ(InputTicker, "IQ_STOCK_BASED_EXPLORE_DRILL",Input!N$2,Date,,,Ccy,Conv)</f>
        <v>0</v>
      </c>
      <c r="M170" s="4">
        <f>_xll.ciqfunctions.udf.CIQ(InputTicker, "IQ_STOCK_BASED_EXPLORE_DRILL",Input!O$2,Date,,,Ccy,Conv)</f>
        <v>0</v>
      </c>
      <c r="N170" s="49"/>
      <c r="P170" s="51"/>
      <c r="Q170" s="51"/>
      <c r="R170" s="51"/>
      <c r="T170" s="42"/>
      <c r="U170" s="42"/>
      <c r="V170" s="51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  <c r="BJ170" s="42"/>
      <c r="BK170" s="42"/>
      <c r="BL170" s="42"/>
      <c r="BM170" s="42"/>
      <c r="BN170" s="42"/>
    </row>
    <row r="171" spans="1:66" ht="12.75" customHeight="1" x14ac:dyDescent="0.2">
      <c r="A171" s="1" t="s">
        <v>341</v>
      </c>
      <c r="B171" s="4">
        <f>_xll.ciqfunctions.udf.CIQ(InputTicker, "IQ_STOCK_BASED_OTHER",Input!D$2,Date,,,Ccy,Conv)</f>
        <v>2574</v>
      </c>
      <c r="C171" s="4">
        <f>_xll.ciqfunctions.udf.CIQ(InputTicker, "IQ_STOCK_BASED_OTHER",Input!E$2,Date,,,Ccy,Conv)</f>
        <v>2668</v>
      </c>
      <c r="D171" s="4">
        <f>_xll.ciqfunctions.udf.CIQ(InputTicker, "IQ_STOCK_BASED_OTHER",Input!F$2,Date,,,Ccy,Conv)</f>
        <v>3266</v>
      </c>
      <c r="E171" s="4">
        <f>_xll.ciqfunctions.udf.CIQ(InputTicker, "IQ_STOCK_BASED_OTHER",Input!G$2,Date,,,Ccy,Conv)</f>
        <v>3940</v>
      </c>
      <c r="F171" s="4">
        <f>_xll.ciqfunctions.udf.CIQ(InputTicker, "IQ_STOCK_BASED_OTHER",Input!H$2,Date,,,Ccy,Conv)</f>
        <v>4652</v>
      </c>
      <c r="G171" s="4">
        <f>_xll.ciqfunctions.udf.CIQ(InputTicker, "IQ_STOCK_BASED_OTHER",Input!I$2,Date,,,Ccy,Conv)</f>
        <v>5289</v>
      </c>
      <c r="H171" s="4">
        <f>_xll.ciqfunctions.udf.CIQ(InputTicker, "IQ_STOCK_BASED_OTHER",Input!J$2,Date,,,Ccy,Conv)</f>
        <v>6118</v>
      </c>
      <c r="I171" s="4">
        <f>_xll.ciqfunctions.udf.CIQ(InputTicker, "IQ_STOCK_BASED_OTHER",Input!K$2,Date,,,Ccy,Conv)</f>
        <v>7502</v>
      </c>
      <c r="J171" s="4">
        <f>_xll.ciqfunctions.udf.CIQ(InputTicker, "IQ_STOCK_BASED_OTHER",Input!L$2,Date,,,Ccy,Conv)</f>
        <v>9611</v>
      </c>
      <c r="K171" s="4">
        <f>_xll.ciqfunctions.udf.CIQ(InputTicker, "IQ_STOCK_BASED_OTHER",Input!M$2,Date,,,Ccy,Conv)</f>
        <v>10734</v>
      </c>
      <c r="L171" s="4">
        <f>_xll.ciqfunctions.udf.CIQ(InputTicker, "IQ_STOCK_BASED_OTHER",Input!N$2,Date,,,Ccy,Conv)</f>
        <v>11974</v>
      </c>
      <c r="M171" s="4">
        <f>_xll.ciqfunctions.udf.CIQ(InputTicker, "IQ_STOCK_BASED_OTHER",Input!O$2,Date,,,Ccy,Conv)</f>
        <v>12356</v>
      </c>
      <c r="N171" s="49"/>
      <c r="P171" s="51"/>
      <c r="Q171" s="51"/>
      <c r="R171" s="51"/>
      <c r="T171" s="42"/>
      <c r="U171" s="42"/>
      <c r="V171" s="51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  <c r="BA171" s="42"/>
      <c r="BB171" s="42"/>
      <c r="BC171" s="42"/>
      <c r="BD171" s="42"/>
      <c r="BE171" s="42"/>
      <c r="BF171" s="42"/>
      <c r="BG171" s="42"/>
      <c r="BH171" s="42"/>
      <c r="BI171" s="42"/>
      <c r="BJ171" s="42"/>
      <c r="BK171" s="42"/>
      <c r="BL171" s="42"/>
      <c r="BM171" s="42"/>
      <c r="BN171" s="42"/>
    </row>
    <row r="172" spans="1:66" ht="12.75" customHeight="1" x14ac:dyDescent="0.2">
      <c r="A172" s="1" t="s">
        <v>342</v>
      </c>
      <c r="B172" s="4">
        <f>_xll.ciqfunctions.udf.CIQ(InputTicker, "IQ_STOCK_BASED_AT",Input!D$2,Date,,,Ccy,Conv)</f>
        <v>0</v>
      </c>
      <c r="C172" s="4">
        <f>_xll.ciqfunctions.udf.CIQ(InputTicker, "IQ_STOCK_BASED_AT",Input!E$2,Date,,,Ccy,Conv)</f>
        <v>0</v>
      </c>
      <c r="D172" s="4">
        <f>_xll.ciqfunctions.udf.CIQ(InputTicker, "IQ_STOCK_BASED_AT",Input!F$2,Date,,,Ccy,Conv)</f>
        <v>0</v>
      </c>
      <c r="E172" s="4">
        <f>_xll.ciqfunctions.udf.CIQ(InputTicker, "IQ_STOCK_BASED_AT",Input!G$2,Date,,,Ccy,Conv)</f>
        <v>0</v>
      </c>
      <c r="F172" s="4">
        <f>_xll.ciqfunctions.udf.CIQ(InputTicker, "IQ_STOCK_BASED_AT",Input!H$2,Date,,,Ccy,Conv)</f>
        <v>0</v>
      </c>
      <c r="G172" s="4">
        <f>_xll.ciqfunctions.udf.CIQ(InputTicker, "IQ_STOCK_BASED_AT",Input!I$2,Date,,,Ccy,Conv)</f>
        <v>0</v>
      </c>
      <c r="H172" s="4">
        <f>_xll.ciqfunctions.udf.CIQ(InputTicker, "IQ_STOCK_BASED_AT",Input!J$2,Date,,,Ccy,Conv)</f>
        <v>0</v>
      </c>
      <c r="I172" s="4">
        <f>_xll.ciqfunctions.udf.CIQ(InputTicker, "IQ_STOCK_BASED_AT",Input!K$2,Date,,,Ccy,Conv)</f>
        <v>0</v>
      </c>
      <c r="J172" s="4">
        <f>_xll.ciqfunctions.udf.CIQ(InputTicker, "IQ_STOCK_BASED_AT",Input!L$2,Date,,,Ccy,Conv)</f>
        <v>0</v>
      </c>
      <c r="K172" s="4">
        <f>_xll.ciqfunctions.udf.CIQ(InputTicker, "IQ_STOCK_BASED_AT",Input!M$2,Date,,,Ccy,Conv)</f>
        <v>0</v>
      </c>
      <c r="L172" s="4">
        <f>_xll.ciqfunctions.udf.CIQ(InputTicker, "IQ_STOCK_BASED_AT",Input!N$2,Date,,,Ccy,Conv)</f>
        <v>0</v>
      </c>
      <c r="M172" s="4">
        <f>_xll.ciqfunctions.udf.CIQ(InputTicker, "IQ_STOCK_BASED_AT",Input!O$2,Date,,,Ccy,Conv)</f>
        <v>0</v>
      </c>
      <c r="N172" s="49"/>
      <c r="P172" s="51"/>
      <c r="Q172" s="51"/>
      <c r="R172" s="51"/>
      <c r="T172" s="42"/>
      <c r="U172" s="42"/>
      <c r="V172" s="51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  <c r="BJ172" s="42"/>
      <c r="BK172" s="42"/>
      <c r="BL172" s="42"/>
      <c r="BM172" s="42"/>
      <c r="BN172" s="42"/>
    </row>
    <row r="173" spans="1:66" ht="12.75" customHeight="1" x14ac:dyDescent="0.2">
      <c r="A173" s="1" t="s">
        <v>343</v>
      </c>
      <c r="B173" s="4">
        <f>_xll.ciqfunctions.udf.CIQ(InputTicker, "IQ_STOCK_BASED_TOTAL",Input!D$2,Date,,,Ccy,Conv)</f>
        <v>2574</v>
      </c>
      <c r="C173" s="4">
        <f>_xll.ciqfunctions.udf.CIQ(InputTicker, "IQ_STOCK_BASED_TOTAL",Input!E$2,Date,,,Ccy,Conv)</f>
        <v>2668</v>
      </c>
      <c r="D173" s="4">
        <f>_xll.ciqfunctions.udf.CIQ(InputTicker, "IQ_STOCK_BASED_TOTAL",Input!F$2,Date,,,Ccy,Conv)</f>
        <v>3266</v>
      </c>
      <c r="E173" s="4">
        <f>_xll.ciqfunctions.udf.CIQ(InputTicker, "IQ_STOCK_BASED_TOTAL",Input!G$2,Date,,,Ccy,Conv)</f>
        <v>3940</v>
      </c>
      <c r="F173" s="4">
        <f>_xll.ciqfunctions.udf.CIQ(InputTicker, "IQ_STOCK_BASED_TOTAL",Input!H$2,Date,,,Ccy,Conv)</f>
        <v>4652</v>
      </c>
      <c r="G173" s="4">
        <f>_xll.ciqfunctions.udf.CIQ(InputTicker, "IQ_STOCK_BASED_TOTAL",Input!I$2,Date,,,Ccy,Conv)</f>
        <v>5289</v>
      </c>
      <c r="H173" s="4">
        <f>_xll.ciqfunctions.udf.CIQ(InputTicker, "IQ_STOCK_BASED_TOTAL",Input!J$2,Date,,,Ccy,Conv)</f>
        <v>6118</v>
      </c>
      <c r="I173" s="4">
        <f>_xll.ciqfunctions.udf.CIQ(InputTicker, "IQ_STOCK_BASED_TOTAL",Input!K$2,Date,,,Ccy,Conv)</f>
        <v>7502</v>
      </c>
      <c r="J173" s="4">
        <f>_xll.ciqfunctions.udf.CIQ(InputTicker, "IQ_STOCK_BASED_TOTAL",Input!L$2,Date,,,Ccy,Conv)</f>
        <v>9611</v>
      </c>
      <c r="K173" s="4">
        <f>_xll.ciqfunctions.udf.CIQ(InputTicker, "IQ_STOCK_BASED_TOTAL",Input!M$2,Date,,,Ccy,Conv)</f>
        <v>10734</v>
      </c>
      <c r="L173" s="4">
        <f>_xll.ciqfunctions.udf.CIQ(InputTicker, "IQ_STOCK_BASED_TOTAL",Input!N$2,Date,,,Ccy,Conv)</f>
        <v>11974</v>
      </c>
      <c r="M173" s="4">
        <f>_xll.ciqfunctions.udf.CIQ(InputTicker, "IQ_STOCK_BASED_TOTAL",Input!O$2,Date,,,Ccy,Conv)</f>
        <v>12356</v>
      </c>
      <c r="N173" s="49"/>
      <c r="P173" s="51"/>
      <c r="Q173" s="51"/>
      <c r="R173" s="51"/>
      <c r="T173" s="42"/>
      <c r="U173" s="42"/>
      <c r="V173" s="51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  <c r="BA173" s="42"/>
      <c r="BB173" s="42"/>
      <c r="BC173" s="42"/>
      <c r="BD173" s="42"/>
      <c r="BE173" s="42"/>
      <c r="BF173" s="42"/>
      <c r="BG173" s="42"/>
      <c r="BH173" s="42"/>
      <c r="BI173" s="42"/>
      <c r="BJ173" s="42"/>
      <c r="BK173" s="42"/>
      <c r="BL173" s="42"/>
      <c r="BM173" s="42"/>
      <c r="BN173" s="42"/>
    </row>
    <row r="174" spans="1:66" ht="12.75" customHeight="1" x14ac:dyDescent="0.2">
      <c r="A174" s="1" t="s">
        <v>298</v>
      </c>
      <c r="B174" s="4">
        <f>_xll.ciqfunctions.udf.CIQ(InputTicker,"IQ_RESTR_STOCK_COMP_PRETAX",Input!D$2,Date,,,Ccy,Conv)</f>
        <v>0</v>
      </c>
      <c r="C174" s="4">
        <f>_xll.ciqfunctions.udf.CIQ(InputTicker,"IQ_RESTR_STOCK_COMP_PRETAX",Input!E$2,Date,,,Ccy,Conv)</f>
        <v>0</v>
      </c>
      <c r="D174" s="4">
        <f>_xll.ciqfunctions.udf.CIQ(InputTicker,"IQ_RESTR_STOCK_COMP_PRETAX",Input!F$2,Date,,,Ccy,Conv)</f>
        <v>0</v>
      </c>
      <c r="E174" s="4">
        <f>_xll.ciqfunctions.udf.CIQ(InputTicker,"IQ_RESTR_STOCK_COMP_PRETAX",Input!G$2,Date,,,Ccy,Conv)</f>
        <v>0</v>
      </c>
      <c r="F174" s="4">
        <f>_xll.ciqfunctions.udf.CIQ(InputTicker,"IQ_RESTR_STOCK_COMP_PRETAX",Input!H$2,Date,,,Ccy,Conv)</f>
        <v>0</v>
      </c>
      <c r="G174" s="4">
        <f>_xll.ciqfunctions.udf.CIQ(InputTicker,"IQ_RESTR_STOCK_COMP_PRETAX",Input!I$2,Date,,,Ccy,Conv)</f>
        <v>0</v>
      </c>
      <c r="H174" s="4">
        <f>_xll.ciqfunctions.udf.CIQ(InputTicker,"IQ_RESTR_STOCK_COMP_PRETAX",Input!J$2,Date,,,Ccy,Conv)</f>
        <v>0</v>
      </c>
      <c r="I174" s="4">
        <f>_xll.ciqfunctions.udf.CIQ(InputTicker,"IQ_RESTR_STOCK_COMP_PRETAX",Input!K$2,Date,,,Ccy,Conv)</f>
        <v>0</v>
      </c>
      <c r="J174" s="4">
        <f>_xll.ciqfunctions.udf.CIQ(InputTicker,"IQ_RESTR_STOCK_COMP_PRETAX",Input!L$2,Date,,,Ccy,Conv)</f>
        <v>0</v>
      </c>
      <c r="K174" s="4">
        <f>_xll.ciqfunctions.udf.CIQ(InputTicker,"IQ_RESTR_STOCK_COMP_PRETAX",Input!M$2,Date,,,Ccy,Conv)</f>
        <v>0</v>
      </c>
      <c r="L174" s="4">
        <f>_xll.ciqfunctions.udf.CIQ(InputTicker,"IQ_RESTR_STOCK_COMP_PRETAX",Input!N$2,Date,,,Ccy,Conv)</f>
        <v>0</v>
      </c>
      <c r="M174" s="4">
        <f>_xll.ciqfunctions.udf.CIQ(InputTicker,"IQ_RESTR_STOCK_COMP_PRETAX",Input!O$2,Date,,,Ccy,Conv)</f>
        <v>0</v>
      </c>
      <c r="N174" s="49"/>
      <c r="P174" s="51"/>
      <c r="Q174" s="51"/>
      <c r="R174" s="51"/>
      <c r="T174" s="42"/>
      <c r="U174" s="42"/>
      <c r="V174" s="51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  <c r="BA174" s="42"/>
      <c r="BB174" s="42"/>
      <c r="BC174" s="42"/>
      <c r="BD174" s="42"/>
      <c r="BE174" s="42"/>
      <c r="BF174" s="42"/>
      <c r="BG174" s="42"/>
      <c r="BH174" s="42"/>
      <c r="BI174" s="42"/>
      <c r="BJ174" s="42"/>
      <c r="BK174" s="42"/>
      <c r="BL174" s="42"/>
      <c r="BM174" s="42"/>
      <c r="BN174" s="42"/>
    </row>
    <row r="175" spans="1:66" ht="12.75" customHeight="1" x14ac:dyDescent="0.2">
      <c r="A175" s="1" t="s">
        <v>299</v>
      </c>
      <c r="B175" s="4">
        <f>_xll.ciqfunctions.udf.CIQ(InputTicker,"IQ_RESTR_STOCK_COMP_TAX",Input!D$2,Date,,,Ccy,Conv)</f>
        <v>0</v>
      </c>
      <c r="C175" s="4">
        <f>_xll.ciqfunctions.udf.CIQ(InputTicker,"IQ_RESTR_STOCK_COMP_TAX",Input!E$2,Date,,,Ccy,Conv)</f>
        <v>0</v>
      </c>
      <c r="D175" s="4">
        <f>_xll.ciqfunctions.udf.CIQ(InputTicker,"IQ_RESTR_STOCK_COMP_TAX",Input!F$2,Date,,,Ccy,Conv)</f>
        <v>0</v>
      </c>
      <c r="E175" s="4">
        <f>_xll.ciqfunctions.udf.CIQ(InputTicker,"IQ_RESTR_STOCK_COMP_TAX",Input!G$2,Date,,,Ccy,Conv)</f>
        <v>0</v>
      </c>
      <c r="F175" s="4">
        <f>_xll.ciqfunctions.udf.CIQ(InputTicker,"IQ_RESTR_STOCK_COMP_TAX",Input!H$2,Date,,,Ccy,Conv)</f>
        <v>0</v>
      </c>
      <c r="G175" s="4">
        <f>_xll.ciqfunctions.udf.CIQ(InputTicker,"IQ_RESTR_STOCK_COMP_TAX",Input!I$2,Date,,,Ccy,Conv)</f>
        <v>0</v>
      </c>
      <c r="H175" s="4">
        <f>_xll.ciqfunctions.udf.CIQ(InputTicker,"IQ_RESTR_STOCK_COMP_TAX",Input!J$2,Date,,,Ccy,Conv)</f>
        <v>0</v>
      </c>
      <c r="I175" s="4">
        <f>_xll.ciqfunctions.udf.CIQ(InputTicker,"IQ_RESTR_STOCK_COMP_TAX",Input!K$2,Date,,,Ccy,Conv)</f>
        <v>0</v>
      </c>
      <c r="J175" s="4">
        <f>_xll.ciqfunctions.udf.CIQ(InputTicker,"IQ_RESTR_STOCK_COMP_TAX",Input!L$2,Date,,,Ccy,Conv)</f>
        <v>0</v>
      </c>
      <c r="K175" s="4">
        <f>_xll.ciqfunctions.udf.CIQ(InputTicker,"IQ_RESTR_STOCK_COMP_TAX",Input!M$2,Date,,,Ccy,Conv)</f>
        <v>0</v>
      </c>
      <c r="L175" s="4">
        <f>_xll.ciqfunctions.udf.CIQ(InputTicker,"IQ_RESTR_STOCK_COMP_TAX",Input!N$2,Date,,,Ccy,Conv)</f>
        <v>0</v>
      </c>
      <c r="M175" s="4">
        <f>_xll.ciqfunctions.udf.CIQ(InputTicker,"IQ_RESTR_STOCK_COMP_TAX",Input!O$2,Date,,,Ccy,Conv)</f>
        <v>0</v>
      </c>
      <c r="N175" s="49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  <c r="BA175" s="42"/>
      <c r="BB175" s="42"/>
      <c r="BC175" s="42"/>
      <c r="BD175" s="42"/>
      <c r="BE175" s="42"/>
      <c r="BF175" s="42"/>
      <c r="BG175" s="42"/>
      <c r="BH175" s="42"/>
      <c r="BI175" s="42"/>
      <c r="BJ175" s="42"/>
      <c r="BK175" s="42"/>
      <c r="BL175" s="42"/>
      <c r="BM175" s="42"/>
      <c r="BN175" s="42"/>
    </row>
    <row r="176" spans="1:66" ht="12.75" customHeight="1" x14ac:dyDescent="0.2">
      <c r="A176" s="1" t="s">
        <v>300</v>
      </c>
      <c r="B176" s="4">
        <f>_xll.ciqfunctions.udf.CIQ(InputTicker,"IQ_RESTR_STOCK_COMP",Input!D$2,Date,,,Ccy,Conv)</f>
        <v>0</v>
      </c>
      <c r="C176" s="4">
        <f>_xll.ciqfunctions.udf.CIQ(InputTicker,"IQ_RESTR_STOCK_COMP",Input!E$2,Date,,,Ccy,Conv)</f>
        <v>0</v>
      </c>
      <c r="D176" s="4">
        <f>_xll.ciqfunctions.udf.CIQ(InputTicker,"IQ_RESTR_STOCK_COMP",Input!F$2,Date,,,Ccy,Conv)</f>
        <v>0</v>
      </c>
      <c r="E176" s="4">
        <f>_xll.ciqfunctions.udf.CIQ(InputTicker,"IQ_RESTR_STOCK_COMP",Input!G$2,Date,,,Ccy,Conv)</f>
        <v>0</v>
      </c>
      <c r="F176" s="4">
        <f>_xll.ciqfunctions.udf.CIQ(InputTicker,"IQ_RESTR_STOCK_COMP",Input!H$2,Date,,,Ccy,Conv)</f>
        <v>0</v>
      </c>
      <c r="G176" s="4">
        <f>_xll.ciqfunctions.udf.CIQ(InputTicker,"IQ_RESTR_STOCK_COMP",Input!I$2,Date,,,Ccy,Conv)</f>
        <v>0</v>
      </c>
      <c r="H176" s="4">
        <f>_xll.ciqfunctions.udf.CIQ(InputTicker,"IQ_RESTR_STOCK_COMP",Input!J$2,Date,,,Ccy,Conv)</f>
        <v>0</v>
      </c>
      <c r="I176" s="4">
        <f>_xll.ciqfunctions.udf.CIQ(InputTicker,"IQ_RESTR_STOCK_COMP",Input!K$2,Date,,,Ccy,Conv)</f>
        <v>0</v>
      </c>
      <c r="J176" s="4">
        <f>_xll.ciqfunctions.udf.CIQ(InputTicker,"IQ_RESTR_STOCK_COMP",Input!L$2,Date,,,Ccy,Conv)</f>
        <v>0</v>
      </c>
      <c r="K176" s="4">
        <f>_xll.ciqfunctions.udf.CIQ(InputTicker,"IQ_RESTR_STOCK_COMP",Input!M$2,Date,,,Ccy,Conv)</f>
        <v>0</v>
      </c>
      <c r="L176" s="4">
        <f>_xll.ciqfunctions.udf.CIQ(InputTicker,"IQ_RESTR_STOCK_COMP",Input!N$2,Date,,,Ccy,Conv)</f>
        <v>0</v>
      </c>
      <c r="M176" s="4">
        <f>_xll.ciqfunctions.udf.CIQ(InputTicker,"IQ_RESTR_STOCK_COMP",Input!O$2,Date,,,Ccy,Conv)</f>
        <v>0</v>
      </c>
      <c r="N176" s="49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  <c r="BA176" s="42"/>
      <c r="BB176" s="42"/>
      <c r="BC176" s="42"/>
      <c r="BD176" s="42"/>
      <c r="BE176" s="42"/>
      <c r="BF176" s="42"/>
      <c r="BG176" s="42"/>
      <c r="BH176" s="42"/>
      <c r="BI176" s="42"/>
      <c r="BJ176" s="42"/>
      <c r="BK176" s="42"/>
      <c r="BL176" s="42"/>
      <c r="BM176" s="42"/>
      <c r="BN176" s="42"/>
    </row>
    <row r="177" spans="1:66" ht="12.75" customHeight="1" x14ac:dyDescent="0.2">
      <c r="A177" s="1" t="s">
        <v>301</v>
      </c>
      <c r="B177" s="4">
        <f>_xll.ciqfunctions.udf.CIQ(InputTicker,"IQ_STOCK_OPTIONS_COMP_PRETAX",Input!D$2,Date,,,Ccy,Conv)</f>
        <v>0</v>
      </c>
      <c r="C177" s="4">
        <f>_xll.ciqfunctions.udf.CIQ(InputTicker,"IQ_STOCK_OPTIONS_COMP_PRETAX",Input!E$2,Date,,,Ccy,Conv)</f>
        <v>0</v>
      </c>
      <c r="D177" s="4">
        <f>_xll.ciqfunctions.udf.CIQ(InputTicker,"IQ_STOCK_OPTIONS_COMP_PRETAX",Input!F$2,Date,,,Ccy,Conv)</f>
        <v>0</v>
      </c>
      <c r="E177" s="4">
        <f>_xll.ciqfunctions.udf.CIQ(InputTicker,"IQ_STOCK_OPTIONS_COMP_PRETAX",Input!G$2,Date,,,Ccy,Conv)</f>
        <v>0</v>
      </c>
      <c r="F177" s="4">
        <f>_xll.ciqfunctions.udf.CIQ(InputTicker,"IQ_STOCK_OPTIONS_COMP_PRETAX",Input!H$2,Date,,,Ccy,Conv)</f>
        <v>0</v>
      </c>
      <c r="G177" s="4">
        <f>_xll.ciqfunctions.udf.CIQ(InputTicker,"IQ_STOCK_OPTIONS_COMP_PRETAX",Input!I$2,Date,,,Ccy,Conv)</f>
        <v>0</v>
      </c>
      <c r="H177" s="4">
        <f>_xll.ciqfunctions.udf.CIQ(InputTicker,"IQ_STOCK_OPTIONS_COMP_PRETAX",Input!J$2,Date,,,Ccy,Conv)</f>
        <v>0</v>
      </c>
      <c r="I177" s="4">
        <f>_xll.ciqfunctions.udf.CIQ(InputTicker,"IQ_STOCK_OPTIONS_COMP_PRETAX",Input!K$2,Date,,,Ccy,Conv)</f>
        <v>0</v>
      </c>
      <c r="J177" s="4">
        <f>_xll.ciqfunctions.udf.CIQ(InputTicker,"IQ_STOCK_OPTIONS_COMP_PRETAX",Input!L$2,Date,,,Ccy,Conv)</f>
        <v>0</v>
      </c>
      <c r="K177" s="4">
        <f>_xll.ciqfunctions.udf.CIQ(InputTicker,"IQ_STOCK_OPTIONS_COMP_PRETAX",Input!M$2,Date,,,Ccy,Conv)</f>
        <v>0</v>
      </c>
      <c r="L177" s="4">
        <f>_xll.ciqfunctions.udf.CIQ(InputTicker,"IQ_STOCK_OPTIONS_COMP_PRETAX",Input!N$2,Date,,,Ccy,Conv)</f>
        <v>0</v>
      </c>
      <c r="M177" s="4">
        <f>_xll.ciqfunctions.udf.CIQ(InputTicker,"IQ_STOCK_OPTIONS_COMP_PRETAX",Input!O$2,Date,,,Ccy,Conv)</f>
        <v>0</v>
      </c>
      <c r="N177" s="49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  <c r="BA177" s="42"/>
      <c r="BB177" s="42"/>
      <c r="BC177" s="42"/>
      <c r="BD177" s="42"/>
      <c r="BE177" s="42"/>
      <c r="BF177" s="42"/>
      <c r="BG177" s="42"/>
      <c r="BH177" s="42"/>
      <c r="BI177" s="42"/>
      <c r="BJ177" s="42"/>
      <c r="BK177" s="42"/>
      <c r="BL177" s="42"/>
      <c r="BM177" s="42"/>
      <c r="BN177" s="42"/>
    </row>
    <row r="178" spans="1:66" ht="12.75" customHeight="1" x14ac:dyDescent="0.2">
      <c r="A178" s="1" t="s">
        <v>302</v>
      </c>
      <c r="B178" s="4">
        <f>_xll.ciqfunctions.udf.CIQ(InputTicker,"IQ_STOCK_OPTIONS_COMP_TAX",Input!D$2,Date,,,Ccy,Conv)</f>
        <v>0</v>
      </c>
      <c r="C178" s="4">
        <f>_xll.ciqfunctions.udf.CIQ(InputTicker,"IQ_STOCK_OPTIONS_COMP_TAX",Input!E$2,Date,,,Ccy,Conv)</f>
        <v>0</v>
      </c>
      <c r="D178" s="4">
        <f>_xll.ciqfunctions.udf.CIQ(InputTicker,"IQ_STOCK_OPTIONS_COMP_TAX",Input!F$2,Date,,,Ccy,Conv)</f>
        <v>0</v>
      </c>
      <c r="E178" s="4">
        <f>_xll.ciqfunctions.udf.CIQ(InputTicker,"IQ_STOCK_OPTIONS_COMP_TAX",Input!G$2,Date,,,Ccy,Conv)</f>
        <v>0</v>
      </c>
      <c r="F178" s="4">
        <f>_xll.ciqfunctions.udf.CIQ(InputTicker,"IQ_STOCK_OPTIONS_COMP_TAX",Input!H$2,Date,,,Ccy,Conv)</f>
        <v>0</v>
      </c>
      <c r="G178" s="4">
        <f>_xll.ciqfunctions.udf.CIQ(InputTicker,"IQ_STOCK_OPTIONS_COMP_TAX",Input!I$2,Date,,,Ccy,Conv)</f>
        <v>0</v>
      </c>
      <c r="H178" s="4">
        <f>_xll.ciqfunctions.udf.CIQ(InputTicker,"IQ_STOCK_OPTIONS_COMP_TAX",Input!J$2,Date,,,Ccy,Conv)</f>
        <v>0</v>
      </c>
      <c r="I178" s="4">
        <f>_xll.ciqfunctions.udf.CIQ(InputTicker,"IQ_STOCK_OPTIONS_COMP_TAX",Input!K$2,Date,,,Ccy,Conv)</f>
        <v>0</v>
      </c>
      <c r="J178" s="4">
        <f>_xll.ciqfunctions.udf.CIQ(InputTicker,"IQ_STOCK_OPTIONS_COMP_TAX",Input!L$2,Date,,,Ccy,Conv)</f>
        <v>0</v>
      </c>
      <c r="K178" s="4">
        <f>_xll.ciqfunctions.udf.CIQ(InputTicker,"IQ_STOCK_OPTIONS_COMP_TAX",Input!M$2,Date,,,Ccy,Conv)</f>
        <v>0</v>
      </c>
      <c r="L178" s="4">
        <f>_xll.ciqfunctions.udf.CIQ(InputTicker,"IQ_STOCK_OPTIONS_COMP_TAX",Input!N$2,Date,,,Ccy,Conv)</f>
        <v>0</v>
      </c>
      <c r="M178" s="4">
        <f>_xll.ciqfunctions.udf.CIQ(InputTicker,"IQ_STOCK_OPTIONS_COMP_TAX",Input!O$2,Date,,,Ccy,Conv)</f>
        <v>0</v>
      </c>
      <c r="N178" s="49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  <c r="BA178" s="42"/>
      <c r="BB178" s="42"/>
      <c r="BC178" s="42"/>
      <c r="BD178" s="42"/>
      <c r="BE178" s="42"/>
      <c r="BF178" s="42"/>
      <c r="BG178" s="42"/>
      <c r="BH178" s="42"/>
      <c r="BI178" s="42"/>
      <c r="BJ178" s="42"/>
      <c r="BK178" s="42"/>
      <c r="BL178" s="42"/>
      <c r="BM178" s="42"/>
      <c r="BN178" s="42"/>
    </row>
    <row r="179" spans="1:66" ht="12.75" customHeight="1" x14ac:dyDescent="0.2">
      <c r="A179" s="1" t="s">
        <v>303</v>
      </c>
      <c r="B179" s="4">
        <f>_xll.ciqfunctions.udf.CIQ(InputTicker,"IQ_STOCK_OPTIONS_COMP",Input!D$2,Date,,,Ccy,Conv)</f>
        <v>0</v>
      </c>
      <c r="C179" s="4">
        <f>_xll.ciqfunctions.udf.CIQ(InputTicker,"IQ_STOCK_OPTIONS_COMP",Input!E$2,Date,,,Ccy,Conv)</f>
        <v>0</v>
      </c>
      <c r="D179" s="4">
        <f>_xll.ciqfunctions.udf.CIQ(InputTicker,"IQ_STOCK_OPTIONS_COMP",Input!F$2,Date,,,Ccy,Conv)</f>
        <v>0</v>
      </c>
      <c r="E179" s="4">
        <f>_xll.ciqfunctions.udf.CIQ(InputTicker,"IQ_STOCK_OPTIONS_COMP",Input!G$2,Date,,,Ccy,Conv)</f>
        <v>0</v>
      </c>
      <c r="F179" s="4">
        <f>_xll.ciqfunctions.udf.CIQ(InputTicker,"IQ_STOCK_OPTIONS_COMP",Input!H$2,Date,,,Ccy,Conv)</f>
        <v>0</v>
      </c>
      <c r="G179" s="4">
        <f>_xll.ciqfunctions.udf.CIQ(InputTicker,"IQ_STOCK_OPTIONS_COMP",Input!I$2,Date,,,Ccy,Conv)</f>
        <v>0</v>
      </c>
      <c r="H179" s="4">
        <f>_xll.ciqfunctions.udf.CIQ(InputTicker,"IQ_STOCK_OPTIONS_COMP",Input!J$2,Date,,,Ccy,Conv)</f>
        <v>0</v>
      </c>
      <c r="I179" s="4">
        <f>_xll.ciqfunctions.udf.CIQ(InputTicker,"IQ_STOCK_OPTIONS_COMP",Input!K$2,Date,,,Ccy,Conv)</f>
        <v>0</v>
      </c>
      <c r="J179" s="4">
        <f>_xll.ciqfunctions.udf.CIQ(InputTicker,"IQ_STOCK_OPTIONS_COMP",Input!L$2,Date,,,Ccy,Conv)</f>
        <v>0</v>
      </c>
      <c r="K179" s="4">
        <f>_xll.ciqfunctions.udf.CIQ(InputTicker,"IQ_STOCK_OPTIONS_COMP",Input!M$2,Date,,,Ccy,Conv)</f>
        <v>0</v>
      </c>
      <c r="L179" s="4">
        <f>_xll.ciqfunctions.udf.CIQ(InputTicker,"IQ_STOCK_OPTIONS_COMP",Input!N$2,Date,,,Ccy,Conv)</f>
        <v>0</v>
      </c>
      <c r="M179" s="4">
        <f>_xll.ciqfunctions.udf.CIQ(InputTicker,"IQ_STOCK_OPTIONS_COMP",Input!O$2,Date,,,Ccy,Conv)</f>
        <v>0</v>
      </c>
      <c r="N179" s="49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  <c r="BA179" s="42"/>
      <c r="BB179" s="42"/>
      <c r="BC179" s="42"/>
      <c r="BD179" s="42"/>
      <c r="BE179" s="42"/>
      <c r="BF179" s="42"/>
      <c r="BG179" s="42"/>
      <c r="BH179" s="42"/>
      <c r="BI179" s="42"/>
      <c r="BJ179" s="42"/>
      <c r="BK179" s="42"/>
      <c r="BL179" s="42"/>
      <c r="BM179" s="42"/>
      <c r="BN179" s="42"/>
    </row>
    <row r="180" spans="1:66" ht="12.75" customHeight="1" x14ac:dyDescent="0.2">
      <c r="A180" s="1" t="s">
        <v>304</v>
      </c>
      <c r="B180" s="4">
        <f>_xll.ciqfunctions.udf.CIQ(InputTicker,"IQ_STOCK_BASED_COMP_PRETAX",Input!D$2,Date,,,Ccy,Conv)</f>
        <v>2574</v>
      </c>
      <c r="C180" s="4">
        <f>_xll.ciqfunctions.udf.CIQ(InputTicker,"IQ_STOCK_BASED_COMP_PRETAX",Input!E$2,Date,,,Ccy,Conv)</f>
        <v>2668</v>
      </c>
      <c r="D180" s="4">
        <f>_xll.ciqfunctions.udf.CIQ(InputTicker,"IQ_STOCK_BASED_COMP_PRETAX",Input!F$2,Date,,,Ccy,Conv)</f>
        <v>3266</v>
      </c>
      <c r="E180" s="4">
        <f>_xll.ciqfunctions.udf.CIQ(InputTicker,"IQ_STOCK_BASED_COMP_PRETAX",Input!G$2,Date,,,Ccy,Conv)</f>
        <v>3940</v>
      </c>
      <c r="F180" s="4">
        <f>_xll.ciqfunctions.udf.CIQ(InputTicker,"IQ_STOCK_BASED_COMP_PRETAX",Input!H$2,Date,,,Ccy,Conv)</f>
        <v>4652</v>
      </c>
      <c r="G180" s="4">
        <f>_xll.ciqfunctions.udf.CIQ(InputTicker,"IQ_STOCK_BASED_COMP_PRETAX",Input!I$2,Date,,,Ccy,Conv)</f>
        <v>5289</v>
      </c>
      <c r="H180" s="4">
        <f>_xll.ciqfunctions.udf.CIQ(InputTicker,"IQ_STOCK_BASED_COMP_PRETAX",Input!J$2,Date,,,Ccy,Conv)</f>
        <v>6118</v>
      </c>
      <c r="I180" s="4">
        <f>_xll.ciqfunctions.udf.CIQ(InputTicker,"IQ_STOCK_BASED_COMP_PRETAX",Input!K$2,Date,,,Ccy,Conv)</f>
        <v>7502</v>
      </c>
      <c r="J180" s="4">
        <f>_xll.ciqfunctions.udf.CIQ(InputTicker,"IQ_STOCK_BASED_COMP_PRETAX",Input!L$2,Date,,,Ccy,Conv)</f>
        <v>9611</v>
      </c>
      <c r="K180" s="4">
        <f>_xll.ciqfunctions.udf.CIQ(InputTicker,"IQ_STOCK_BASED_COMP_PRETAX",Input!M$2,Date,,,Ccy,Conv)</f>
        <v>10734</v>
      </c>
      <c r="L180" s="4">
        <f>_xll.ciqfunctions.udf.CIQ(InputTicker,"IQ_STOCK_BASED_COMP_PRETAX",Input!N$2,Date,,,Ccy,Conv)</f>
        <v>11974</v>
      </c>
      <c r="M180" s="4">
        <f>_xll.ciqfunctions.udf.CIQ(InputTicker,"IQ_STOCK_BASED_COMP_PRETAX",Input!O$2,Date,,,Ccy,Conv)</f>
        <v>12356</v>
      </c>
      <c r="N180" s="49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  <c r="BA180" s="42"/>
      <c r="BB180" s="42"/>
      <c r="BC180" s="42"/>
      <c r="BD180" s="42"/>
      <c r="BE180" s="42"/>
      <c r="BF180" s="42"/>
      <c r="BG180" s="42"/>
      <c r="BH180" s="42"/>
      <c r="BI180" s="42"/>
      <c r="BJ180" s="42"/>
      <c r="BK180" s="42"/>
      <c r="BL180" s="42"/>
      <c r="BM180" s="42"/>
      <c r="BN180" s="42"/>
    </row>
    <row r="181" spans="1:66" ht="12.75" customHeight="1" x14ac:dyDescent="0.2">
      <c r="A181" s="1" t="s">
        <v>305</v>
      </c>
      <c r="B181" s="4">
        <f>_xll.ciqfunctions.udf.CIQ(InputTicker,"IQ_STOCK_BASED_COMP_TAX",Input!D$2,Date,,,Ccy,Conv)</f>
        <v>-868</v>
      </c>
      <c r="C181" s="4">
        <f>_xll.ciqfunctions.udf.CIQ(InputTicker,"IQ_STOCK_BASED_COMP_TAX",Input!E$2,Date,,,Ccy,Conv)</f>
        <v>-882</v>
      </c>
      <c r="D181" s="4">
        <f>_xll.ciqfunctions.udf.CIQ(InputTicker,"IQ_STOCK_BASED_COMP_TAX",Input!F$2,Date,,,Ccy,Conv)</f>
        <v>-1066</v>
      </c>
      <c r="E181" s="4">
        <f>_xll.ciqfunctions.udf.CIQ(InputTicker,"IQ_STOCK_BASED_COMP_TAX",Input!G$2,Date,,,Ccy,Conv)</f>
        <v>-823</v>
      </c>
      <c r="F181" s="4">
        <f>_xll.ciqfunctions.udf.CIQ(InputTicker,"IQ_STOCK_BASED_COMP_TAX",Input!H$2,Date,,,Ccy,Conv)</f>
        <v>-816</v>
      </c>
      <c r="G181" s="4">
        <f>_xll.ciqfunctions.udf.CIQ(InputTicker,"IQ_STOCK_BASED_COMP_TAX",Input!I$2,Date,,,Ccy,Conv)</f>
        <v>-938</v>
      </c>
      <c r="H181" s="4">
        <f>_xll.ciqfunctions.udf.CIQ(InputTicker,"IQ_STOCK_BASED_COMP_TAX",Input!J$2,Date,,,Ccy,Conv)</f>
        <v>-1065</v>
      </c>
      <c r="I181" s="4">
        <f>_xll.ciqfunctions.udf.CIQ(InputTicker,"IQ_STOCK_BASED_COMP_TAX",Input!K$2,Date,,,Ccy,Conv)</f>
        <v>-1293</v>
      </c>
      <c r="J181" s="4">
        <f>_xll.ciqfunctions.udf.CIQ(InputTicker,"IQ_STOCK_BASED_COMP_TAX",Input!L$2,Date,,,Ccy,Conv)</f>
        <v>-1651</v>
      </c>
      <c r="K181" s="4">
        <f>_xll.ciqfunctions.udf.CIQ(InputTicker,"IQ_STOCK_BASED_COMP_TAX",Input!M$2,Date,,,Ccy,Conv)</f>
        <v>-1826</v>
      </c>
      <c r="L181" s="4">
        <f>_xll.ciqfunctions.udf.CIQ(InputTicker,"IQ_STOCK_BASED_COMP_TAX",Input!N$2,Date,,,Ccy,Conv)</f>
        <v>-2027</v>
      </c>
      <c r="M181" s="4">
        <f>_xll.ciqfunctions.udf.CIQ(InputTicker,"IQ_STOCK_BASED_COMP_TAX",Input!O$2,Date,,,Ccy,Conv)</f>
        <v>-2027</v>
      </c>
      <c r="N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  <c r="BA181" s="42"/>
      <c r="BB181" s="42"/>
      <c r="BC181" s="42"/>
      <c r="BD181" s="42"/>
      <c r="BE181" s="42"/>
      <c r="BF181" s="42"/>
      <c r="BG181" s="42"/>
      <c r="BH181" s="42"/>
      <c r="BI181" s="42"/>
      <c r="BJ181" s="42"/>
      <c r="BK181" s="42"/>
      <c r="BL181" s="42"/>
      <c r="BM181" s="42"/>
      <c r="BN181" s="42"/>
    </row>
    <row r="182" spans="1:66" ht="12.75" customHeight="1" x14ac:dyDescent="0.2">
      <c r="A182" s="1" t="s">
        <v>306</v>
      </c>
      <c r="B182" s="4">
        <f>_xll.ciqfunctions.udf.CIQ(InputTicker,"IQ_STOCK_BASED_COMP",Input!D$2,Date,,,Ccy,Conv)</f>
        <v>1706</v>
      </c>
      <c r="C182" s="4">
        <f>_xll.ciqfunctions.udf.CIQ(InputTicker,"IQ_STOCK_BASED_COMP",Input!E$2,Date,,,Ccy,Conv)</f>
        <v>1786</v>
      </c>
      <c r="D182" s="4">
        <f>_xll.ciqfunctions.udf.CIQ(InputTicker,"IQ_STOCK_BASED_COMP",Input!F$2,Date,,,Ccy,Conv)</f>
        <v>2200</v>
      </c>
      <c r="E182" s="4">
        <f>_xll.ciqfunctions.udf.CIQ(InputTicker,"IQ_STOCK_BASED_COMP",Input!G$2,Date,,,Ccy,Conv)</f>
        <v>3117</v>
      </c>
      <c r="F182" s="4">
        <f>_xll.ciqfunctions.udf.CIQ(InputTicker,"IQ_STOCK_BASED_COMP",Input!H$2,Date,,,Ccy,Conv)</f>
        <v>3836</v>
      </c>
      <c r="G182" s="4">
        <f>_xll.ciqfunctions.udf.CIQ(InputTicker,"IQ_STOCK_BASED_COMP",Input!I$2,Date,,,Ccy,Conv)</f>
        <v>4351</v>
      </c>
      <c r="H182" s="4">
        <f>_xll.ciqfunctions.udf.CIQ(InputTicker,"IQ_STOCK_BASED_COMP",Input!J$2,Date,,,Ccy,Conv)</f>
        <v>5053</v>
      </c>
      <c r="I182" s="4">
        <f>_xll.ciqfunctions.udf.CIQ(InputTicker,"IQ_STOCK_BASED_COMP",Input!K$2,Date,,,Ccy,Conv)</f>
        <v>6209</v>
      </c>
      <c r="J182" s="4">
        <f>_xll.ciqfunctions.udf.CIQ(InputTicker,"IQ_STOCK_BASED_COMP",Input!L$2,Date,,,Ccy,Conv)</f>
        <v>7960</v>
      </c>
      <c r="K182" s="4">
        <f>_xll.ciqfunctions.udf.CIQ(InputTicker,"IQ_STOCK_BASED_COMP",Input!M$2,Date,,,Ccy,Conv)</f>
        <v>8908</v>
      </c>
      <c r="L182" s="4">
        <f>_xll.ciqfunctions.udf.CIQ(InputTicker,"IQ_STOCK_BASED_COMP",Input!N$2,Date,,,Ccy,Conv)</f>
        <v>9947</v>
      </c>
      <c r="M182" s="4">
        <f>_xll.ciqfunctions.udf.CIQ(InputTicker,"IQ_STOCK_BASED_COMP",Input!O$2,Date,,,Ccy,Conv)</f>
        <v>9947</v>
      </c>
      <c r="N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  <c r="BA182" s="42"/>
      <c r="BB182" s="42"/>
      <c r="BC182" s="42"/>
      <c r="BD182" s="42"/>
      <c r="BE182" s="42"/>
      <c r="BF182" s="42"/>
      <c r="BG182" s="42"/>
      <c r="BH182" s="42"/>
      <c r="BI182" s="42"/>
      <c r="BJ182" s="42"/>
      <c r="BK182" s="42"/>
      <c r="BL182" s="42"/>
      <c r="BM182" s="42"/>
      <c r="BN182" s="42"/>
    </row>
    <row r="183" spans="1:66" ht="12.75" customHeight="1" x14ac:dyDescent="0.2">
      <c r="A183" s="3" t="s">
        <v>44</v>
      </c>
      <c r="B183" s="7">
        <f>_xll.ciqfunctions.udf.CIQ(InputTicker, "IQ_NI_CF",Input!D$2,Date,,,Ccy,Conv)</f>
        <v>12193</v>
      </c>
      <c r="C183" s="7">
        <f>_xll.ciqfunctions.udf.CIQ(InputTicker, "IQ_NI_CF",Input!E$2,Date,,,Ccy,Conv)</f>
        <v>20539</v>
      </c>
      <c r="D183" s="7">
        <f>_xll.ciqfunctions.udf.CIQ(InputTicker, "IQ_NI_CF",Input!F$2,Date,,,Ccy,Conv)</f>
        <v>25489</v>
      </c>
      <c r="E183" s="7">
        <f>_xll.ciqfunctions.udf.CIQ(InputTicker, "IQ_NI_CF",Input!G$2,Date,,,Ccy,Conv)</f>
        <v>16571</v>
      </c>
      <c r="F183" s="7">
        <f>_xll.ciqfunctions.udf.CIQ(InputTicker, "IQ_NI_CF",Input!H$2,Date,,,Ccy,Conv)</f>
        <v>39240</v>
      </c>
      <c r="G183" s="7">
        <f>_xll.ciqfunctions.udf.CIQ(InputTicker, "IQ_NI_CF",Input!I$2,Date,,,Ccy,Conv)</f>
        <v>44281</v>
      </c>
      <c r="H183" s="7">
        <f>_xll.ciqfunctions.udf.CIQ(InputTicker, "IQ_NI_CF",Input!J$2,Date,,,Ccy,Conv)</f>
        <v>61271</v>
      </c>
      <c r="I183" s="7">
        <f>_xll.ciqfunctions.udf.CIQ(InputTicker, "IQ_NI_CF",Input!K$2,Date,,,Ccy,Conv)</f>
        <v>72738</v>
      </c>
      <c r="J183" s="7">
        <f>_xll.ciqfunctions.udf.CIQ(InputTicker, "IQ_NI_CF",Input!L$2,Date,,,Ccy,Conv)</f>
        <v>72361</v>
      </c>
      <c r="K183" s="7">
        <f>_xll.ciqfunctions.udf.CIQ(InputTicker, "IQ_NI_CF",Input!M$2,Date,,,Ccy,Conv)</f>
        <v>88136</v>
      </c>
      <c r="L183" s="7">
        <f>_xll.ciqfunctions.udf.CIQ(InputTicker, "IQ_NI_CF",Input!N$2,Date,,,Ccy,Conv)</f>
        <v>101832</v>
      </c>
      <c r="M183" s="7">
        <f>_xll.ciqfunctions.udf.CIQ(InputTicker, "IQ_NI_CF",Input!O$2,Date,,,Ccy,Conv)</f>
        <v>125216</v>
      </c>
      <c r="N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  <c r="BA183" s="42"/>
      <c r="BB183" s="42"/>
      <c r="BC183" s="42"/>
      <c r="BD183" s="42"/>
      <c r="BE183" s="42"/>
      <c r="BF183" s="42"/>
      <c r="BG183" s="42"/>
      <c r="BH183" s="42"/>
      <c r="BI183" s="42"/>
      <c r="BJ183" s="42"/>
      <c r="BK183" s="42"/>
      <c r="BL183" s="42"/>
      <c r="BM183" s="42"/>
      <c r="BN183" s="42"/>
    </row>
    <row r="184" spans="1:66" ht="12.75" customHeight="1" x14ac:dyDescent="0.2">
      <c r="A184" s="1" t="s">
        <v>126</v>
      </c>
      <c r="B184" s="4">
        <f>_xll.ciqfunctions.udf.CIQ(InputTicker, "IQ_DA_SUPPL_CF",Input!D$2,Date,,,Ccy,Conv)</f>
        <v>4100</v>
      </c>
      <c r="C184" s="4">
        <f>_xll.ciqfunctions.udf.CIQ(InputTicker, "IQ_DA_SUPPL_CF",Input!E$2,Date,,,Ccy,Conv)</f>
        <v>4900</v>
      </c>
      <c r="D184" s="4">
        <f>_xll.ciqfunctions.udf.CIQ(InputTicker, "IQ_DA_SUPPL_CF",Input!F$2,Date,,,Ccy,Conv)</f>
        <v>6100</v>
      </c>
      <c r="E184" s="4">
        <f>_xll.ciqfunctions.udf.CIQ(InputTicker, "IQ_DA_SUPPL_CF",Input!G$2,Date,,,Ccy,Conv)</f>
        <v>7700</v>
      </c>
      <c r="F184" s="4">
        <f>_xll.ciqfunctions.udf.CIQ(InputTicker, "IQ_DA_SUPPL_CF",Input!H$2,Date,,,Ccy,Conv)</f>
        <v>9700</v>
      </c>
      <c r="G184" s="4">
        <f>_xll.ciqfunctions.udf.CIQ(InputTicker, "IQ_DA_SUPPL_CF",Input!I$2,Date,,,Ccy,Conv)</f>
        <v>10700</v>
      </c>
      <c r="H184" s="4">
        <f>_xll.ciqfunctions.udf.CIQ(InputTicker, "IQ_DA_SUPPL_CF",Input!J$2,Date,,,Ccy,Conv)</f>
        <v>9300</v>
      </c>
      <c r="I184" s="4">
        <f>_xll.ciqfunctions.udf.CIQ(InputTicker, "IQ_DA_SUPPL_CF",Input!K$2,Date,,,Ccy,Conv)</f>
        <v>12600</v>
      </c>
      <c r="J184" s="4">
        <f>_xll.ciqfunctions.udf.CIQ(InputTicker, "IQ_DA_SUPPL_CF",Input!L$2,Date,,,Ccy,Conv)</f>
        <v>11000</v>
      </c>
      <c r="K184" s="4">
        <f>_xll.ciqfunctions.udf.CIQ(InputTicker, "IQ_DA_SUPPL_CF",Input!M$2,Date,,,Ccy,Conv)</f>
        <v>15200</v>
      </c>
      <c r="L184" s="4">
        <f>_xll.ciqfunctions.udf.CIQ(InputTicker, "IQ_DA_SUPPL_CF",Input!N$2,Date,,,Ccy,Conv)</f>
        <v>22000</v>
      </c>
      <c r="M184" s="4">
        <f>_xll.ciqfunctions.udf.CIQ(InputTicker, "IQ_DA_SUPPL_CF",Input!O$2,Date,,,Ccy,Conv)</f>
        <v>30300</v>
      </c>
      <c r="N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  <c r="BA184" s="42"/>
      <c r="BB184" s="42"/>
      <c r="BC184" s="42"/>
      <c r="BD184" s="42"/>
      <c r="BE184" s="42"/>
      <c r="BF184" s="42"/>
      <c r="BG184" s="42"/>
      <c r="BH184" s="42"/>
      <c r="BI184" s="42"/>
      <c r="BJ184" s="42"/>
      <c r="BK184" s="42"/>
      <c r="BL184" s="42"/>
      <c r="BM184" s="42"/>
      <c r="BN184" s="42"/>
    </row>
    <row r="185" spans="1:66" ht="12.75" customHeight="1" x14ac:dyDescent="0.2">
      <c r="A185" s="1" t="s">
        <v>141</v>
      </c>
      <c r="B185" s="4">
        <f>_xll.ciqfunctions.udf.CIQ(InputTicker, "IQ_GW_INTAN_AMORT_CF",Input!D$2,Date,,,Ccy,Conv)</f>
        <v>1300</v>
      </c>
      <c r="C185" s="4">
        <f>_xll.ciqfunctions.udf.CIQ(InputTicker, "IQ_GW_INTAN_AMORT_CF",Input!E$2,Date,,,Ccy,Conv)</f>
        <v>978</v>
      </c>
      <c r="D185" s="4">
        <f>_xll.ciqfunctions.udf.CIQ(InputTicker, "IQ_GW_INTAN_AMORT_CF",Input!F$2,Date,,,Ccy,Conv)</f>
        <v>1700</v>
      </c>
      <c r="E185" s="4">
        <f>_xll.ciqfunctions.udf.CIQ(InputTicker, "IQ_GW_INTAN_AMORT_CF",Input!G$2,Date,,,Ccy,Conv)</f>
        <v>2200</v>
      </c>
      <c r="F185" s="4">
        <f>_xll.ciqfunctions.udf.CIQ(InputTicker, "IQ_GW_INTAN_AMORT_CF",Input!H$2,Date,,,Ccy,Conv)</f>
        <v>1900</v>
      </c>
      <c r="G185" s="4">
        <f>_xll.ciqfunctions.udf.CIQ(InputTicker, "IQ_GW_INTAN_AMORT_CF",Input!I$2,Date,,,Ccy,Conv)</f>
        <v>1600</v>
      </c>
      <c r="H185" s="4">
        <f>_xll.ciqfunctions.udf.CIQ(InputTicker, "IQ_GW_INTAN_AMORT_CF",Input!J$2,Date,,,Ccy,Conv)</f>
        <v>1600</v>
      </c>
      <c r="I185" s="4">
        <f>_xll.ciqfunctions.udf.CIQ(InputTicker, "IQ_GW_INTAN_AMORT_CF",Input!K$2,Date,,,Ccy,Conv)</f>
        <v>2000</v>
      </c>
      <c r="J185" s="4">
        <f>_xll.ciqfunctions.udf.CIQ(InputTicker, "IQ_GW_INTAN_AMORT_CF",Input!L$2,Date,,,Ccy,Conv)</f>
        <v>2500</v>
      </c>
      <c r="K185" s="4">
        <f>_xll.ciqfunctions.udf.CIQ(InputTicker, "IQ_GW_INTAN_AMORT_CF",Input!M$2,Date,,,Ccy,Conv)</f>
        <v>4800</v>
      </c>
      <c r="L185" s="4">
        <f>_xll.ciqfunctions.udf.CIQ(InputTicker, "IQ_GW_INTAN_AMORT_CF",Input!N$2,Date,,,Ccy,Conv)</f>
        <v>6000</v>
      </c>
      <c r="M185" s="4">
        <f>_xll.ciqfunctions.udf.CIQ(InputTicker, "IQ_GW_INTAN_AMORT_CF",Input!O$2,Date,,,Ccy,Conv)</f>
        <v>5200</v>
      </c>
      <c r="N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  <c r="BA185" s="42"/>
      <c r="BB185" s="42"/>
      <c r="BC185" s="42"/>
      <c r="BD185" s="42"/>
      <c r="BE185" s="42"/>
      <c r="BF185" s="42"/>
      <c r="BG185" s="42"/>
      <c r="BH185" s="42"/>
      <c r="BI185" s="42"/>
      <c r="BJ185" s="42"/>
      <c r="BK185" s="42"/>
      <c r="BL185" s="42"/>
      <c r="BM185" s="42"/>
      <c r="BN185" s="42"/>
    </row>
    <row r="186" spans="1:66" ht="12.75" customHeight="1" x14ac:dyDescent="0.2">
      <c r="A186" s="1" t="s">
        <v>197</v>
      </c>
      <c r="B186" s="4">
        <f>_xll.ciqfunctions.udf.CIQ(InputTicker, "IQ_OIL_IMPAIR",Input!D$2,Date,,,Ccy,Conv)</f>
        <v>0</v>
      </c>
      <c r="C186" s="4">
        <f>_xll.ciqfunctions.udf.CIQ(InputTicker, "IQ_OIL_IMPAIR",Input!E$2,Date,,,Ccy,Conv)</f>
        <v>0</v>
      </c>
      <c r="D186" s="4">
        <f>_xll.ciqfunctions.udf.CIQ(InputTicker, "IQ_OIL_IMPAIR",Input!F$2,Date,,,Ccy,Conv)</f>
        <v>0</v>
      </c>
      <c r="E186" s="4">
        <f>_xll.ciqfunctions.udf.CIQ(InputTicker, "IQ_OIL_IMPAIR",Input!G$2,Date,,,Ccy,Conv)</f>
        <v>0</v>
      </c>
      <c r="F186" s="4">
        <f>_xll.ciqfunctions.udf.CIQ(InputTicker, "IQ_OIL_IMPAIR",Input!H$2,Date,,,Ccy,Conv)</f>
        <v>0</v>
      </c>
      <c r="G186" s="4">
        <f>_xll.ciqfunctions.udf.CIQ(InputTicker, "IQ_OIL_IMPAIR",Input!I$2,Date,,,Ccy,Conv)</f>
        <v>0</v>
      </c>
      <c r="H186" s="4">
        <f>_xll.ciqfunctions.udf.CIQ(InputTicker, "IQ_OIL_IMPAIR",Input!J$2,Date,,,Ccy,Conv)</f>
        <v>0</v>
      </c>
      <c r="I186" s="4">
        <f>_xll.ciqfunctions.udf.CIQ(InputTicker, "IQ_OIL_IMPAIR",Input!K$2,Date,,,Ccy,Conv)</f>
        <v>0</v>
      </c>
      <c r="J186" s="4">
        <f>_xll.ciqfunctions.udf.CIQ(InputTicker, "IQ_OIL_IMPAIR",Input!L$2,Date,,,Ccy,Conv)</f>
        <v>0</v>
      </c>
      <c r="K186" s="4">
        <f>_xll.ciqfunctions.udf.CIQ(InputTicker, "IQ_OIL_IMPAIR",Input!M$2,Date,,,Ccy,Conv)</f>
        <v>0</v>
      </c>
      <c r="L186" s="4">
        <f>_xll.ciqfunctions.udf.CIQ(InputTicker, "IQ_OIL_IMPAIR",Input!N$2,Date,,,Ccy,Conv)</f>
        <v>0</v>
      </c>
      <c r="M186" s="4">
        <f>_xll.ciqfunctions.udf.CIQ(InputTicker, "IQ_OIL_IMPAIR",Input!O$2,Date,,,Ccy,Conv)</f>
        <v>0</v>
      </c>
      <c r="N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  <c r="BA186" s="42"/>
      <c r="BB186" s="42"/>
      <c r="BC186" s="42"/>
      <c r="BD186" s="42"/>
      <c r="BE186" s="42"/>
      <c r="BF186" s="42"/>
      <c r="BG186" s="42"/>
      <c r="BH186" s="42"/>
      <c r="BI186" s="42"/>
      <c r="BJ186" s="42"/>
      <c r="BK186" s="42"/>
      <c r="BL186" s="42"/>
      <c r="BM186" s="42"/>
      <c r="BN186" s="42"/>
    </row>
    <row r="187" spans="1:66" ht="12.75" customHeight="1" x14ac:dyDescent="0.2">
      <c r="A187" s="5" t="s">
        <v>60</v>
      </c>
      <c r="B187" s="6">
        <f>_xll.ciqfunctions.udf.CIQ(InputTicker, "IQ_DA_CF",Input!D$2,Date,,,Ccy,Conv)</f>
        <v>5400</v>
      </c>
      <c r="C187" s="6">
        <f>_xll.ciqfunctions.udf.CIQ(InputTicker, "IQ_DA_CF",Input!E$2,Date,,,Ccy,Conv)</f>
        <v>5878</v>
      </c>
      <c r="D187" s="6">
        <f>_xll.ciqfunctions.udf.CIQ(InputTicker, "IQ_DA_CF",Input!F$2,Date,,,Ccy,Conv)</f>
        <v>7800</v>
      </c>
      <c r="E187" s="6">
        <f>_xll.ciqfunctions.udf.CIQ(InputTicker, "IQ_DA_CF",Input!G$2,Date,,,Ccy,Conv)</f>
        <v>9900</v>
      </c>
      <c r="F187" s="6">
        <f>_xll.ciqfunctions.udf.CIQ(InputTicker, "IQ_DA_CF",Input!H$2,Date,,,Ccy,Conv)</f>
        <v>11600</v>
      </c>
      <c r="G187" s="6">
        <f>_xll.ciqfunctions.udf.CIQ(InputTicker, "IQ_DA_CF",Input!I$2,Date,,,Ccy,Conv)</f>
        <v>12300</v>
      </c>
      <c r="H187" s="6">
        <f>_xll.ciqfunctions.udf.CIQ(InputTicker, "IQ_DA_CF",Input!J$2,Date,,,Ccy,Conv)</f>
        <v>10900</v>
      </c>
      <c r="I187" s="6">
        <f>_xll.ciqfunctions.udf.CIQ(InputTicker, "IQ_DA_CF",Input!K$2,Date,,,Ccy,Conv)</f>
        <v>14600</v>
      </c>
      <c r="J187" s="6">
        <f>_xll.ciqfunctions.udf.CIQ(InputTicker, "IQ_DA_CF",Input!L$2,Date,,,Ccy,Conv)</f>
        <v>13500</v>
      </c>
      <c r="K187" s="6">
        <f>_xll.ciqfunctions.udf.CIQ(InputTicker, "IQ_DA_CF",Input!M$2,Date,,,Ccy,Conv)</f>
        <v>20000</v>
      </c>
      <c r="L187" s="6">
        <f>_xll.ciqfunctions.udf.CIQ(InputTicker, "IQ_DA_CF",Input!N$2,Date,,,Ccy,Conv)</f>
        <v>28000</v>
      </c>
      <c r="M187" s="6">
        <f>_xll.ciqfunctions.udf.CIQ(InputTicker, "IQ_DA_CF",Input!O$2,Date,,,Ccy,Conv)</f>
        <v>35500</v>
      </c>
      <c r="N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  <c r="BA187" s="42"/>
      <c r="BB187" s="42"/>
      <c r="BC187" s="42"/>
      <c r="BD187" s="42"/>
      <c r="BE187" s="42"/>
      <c r="BF187" s="42"/>
      <c r="BG187" s="42"/>
      <c r="BH187" s="42"/>
      <c r="BI187" s="42"/>
      <c r="BJ187" s="42"/>
      <c r="BK187" s="42"/>
      <c r="BL187" s="42"/>
      <c r="BM187" s="42"/>
      <c r="BN187" s="42"/>
    </row>
    <row r="188" spans="1:66" ht="12.75" customHeight="1" x14ac:dyDescent="0.2">
      <c r="A188" s="1" t="s">
        <v>424</v>
      </c>
      <c r="B188" s="4">
        <f>_xll.ciqfunctions.udf.CIQ(InputTicker, "IQ_OTHER_AMORT",Input!D$2,Date,,,Ccy,Conv)</f>
        <v>79</v>
      </c>
      <c r="C188" s="4">
        <f>_xll.ciqfunctions.udf.CIQ(InputTicker, "IQ_OTHER_AMORT",Input!E$2,Date,,,Ccy,Conv)</f>
        <v>69</v>
      </c>
      <c r="D188" s="4">
        <f>_xll.ciqfunctions.udf.CIQ(InputTicker, "IQ_OTHER_AMORT",Input!F$2,Date,,,Ccy,Conv)</f>
        <v>0</v>
      </c>
      <c r="E188" s="4">
        <f>_xll.ciqfunctions.udf.CIQ(InputTicker, "IQ_OTHER_AMORT",Input!G$2,Date,,,Ccy,Conv)</f>
        <v>0</v>
      </c>
      <c r="F188" s="4">
        <f>_xll.ciqfunctions.udf.CIQ(InputTicker, "IQ_OTHER_AMORT",Input!H$2,Date,,,Ccy,Conv)</f>
        <v>0</v>
      </c>
      <c r="G188" s="4">
        <f>_xll.ciqfunctions.udf.CIQ(InputTicker, "IQ_OTHER_AMORT",Input!I$2,Date,,,Ccy,Conv)</f>
        <v>0</v>
      </c>
      <c r="H188" s="4">
        <f>_xll.ciqfunctions.udf.CIQ(InputTicker, "IQ_OTHER_AMORT",Input!J$2,Date,,,Ccy,Conv)</f>
        <v>0</v>
      </c>
      <c r="I188" s="4">
        <f>_xll.ciqfunctions.udf.CIQ(InputTicker, "IQ_OTHER_AMORT",Input!K$2,Date,,,Ccy,Conv)</f>
        <v>0</v>
      </c>
      <c r="J188" s="4">
        <f>_xll.ciqfunctions.udf.CIQ(InputTicker, "IQ_OTHER_AMORT",Input!L$2,Date,,,Ccy,Conv)</f>
        <v>0</v>
      </c>
      <c r="K188" s="4">
        <f>_xll.ciqfunctions.udf.CIQ(InputTicker, "IQ_OTHER_AMORT",Input!M$2,Date,,,Ccy,Conv)</f>
        <v>0</v>
      </c>
      <c r="L188" s="4">
        <f>_xll.ciqfunctions.udf.CIQ(InputTicker, "IQ_OTHER_AMORT",Input!N$2,Date,,,Ccy,Conv)</f>
        <v>0</v>
      </c>
      <c r="M188" s="4">
        <f>_xll.ciqfunctions.udf.CIQ(InputTicker, "IQ_OTHER_AMORT",Input!O$2,Date,,,Ccy,Conv)</f>
        <v>0</v>
      </c>
      <c r="N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  <c r="BA188" s="42"/>
      <c r="BB188" s="42"/>
      <c r="BC188" s="42"/>
      <c r="BD188" s="42"/>
      <c r="BE188" s="42"/>
      <c r="BF188" s="42"/>
      <c r="BG188" s="42"/>
      <c r="BH188" s="42"/>
      <c r="BI188" s="42"/>
      <c r="BJ188" s="42"/>
      <c r="BK188" s="42"/>
      <c r="BL188" s="42"/>
      <c r="BM188" s="42"/>
      <c r="BN188" s="42"/>
    </row>
    <row r="189" spans="1:66" ht="12.75" customHeight="1" x14ac:dyDescent="0.2">
      <c r="A189" s="1" t="s">
        <v>169</v>
      </c>
      <c r="B189" s="4">
        <f>_xll.ciqfunctions.udf.CIQ(InputTicker, "IQ_MINORITY_INTEREST_CF",Input!D$2,Date,,,Ccy,Conv)</f>
        <v>0</v>
      </c>
      <c r="C189" s="4">
        <f>_xll.ciqfunctions.udf.CIQ(InputTicker, "IQ_MINORITY_INTEREST_CF",Input!E$2,Date,,,Ccy,Conv)</f>
        <v>0</v>
      </c>
      <c r="D189" s="4">
        <f>_xll.ciqfunctions.udf.CIQ(InputTicker, "IQ_MINORITY_INTEREST_CF",Input!F$2,Date,,,Ccy,Conv)</f>
        <v>0</v>
      </c>
      <c r="E189" s="4">
        <f>_xll.ciqfunctions.udf.CIQ(InputTicker, "IQ_MINORITY_INTEREST_CF",Input!G$2,Date,,,Ccy,Conv)</f>
        <v>0</v>
      </c>
      <c r="F189" s="4">
        <f>_xll.ciqfunctions.udf.CIQ(InputTicker, "IQ_MINORITY_INTEREST_CF",Input!H$2,Date,,,Ccy,Conv)</f>
        <v>0</v>
      </c>
      <c r="G189" s="4">
        <f>_xll.ciqfunctions.udf.CIQ(InputTicker, "IQ_MINORITY_INTEREST_CF",Input!I$2,Date,,,Ccy,Conv)</f>
        <v>0</v>
      </c>
      <c r="H189" s="4">
        <f>_xll.ciqfunctions.udf.CIQ(InputTicker, "IQ_MINORITY_INTEREST_CF",Input!J$2,Date,,,Ccy,Conv)</f>
        <v>0</v>
      </c>
      <c r="I189" s="4">
        <f>_xll.ciqfunctions.udf.CIQ(InputTicker, "IQ_MINORITY_INTEREST_CF",Input!K$2,Date,,,Ccy,Conv)</f>
        <v>0</v>
      </c>
      <c r="J189" s="4">
        <f>_xll.ciqfunctions.udf.CIQ(InputTicker, "IQ_MINORITY_INTEREST_CF",Input!L$2,Date,,,Ccy,Conv)</f>
        <v>0</v>
      </c>
      <c r="K189" s="4">
        <f>_xll.ciqfunctions.udf.CIQ(InputTicker, "IQ_MINORITY_INTEREST_CF",Input!M$2,Date,,,Ccy,Conv)</f>
        <v>0</v>
      </c>
      <c r="L189" s="4">
        <f>_xll.ciqfunctions.udf.CIQ(InputTicker, "IQ_MINORITY_INTEREST_CF",Input!N$2,Date,,,Ccy,Conv)</f>
        <v>0</v>
      </c>
      <c r="M189" s="4">
        <f>_xll.ciqfunctions.udf.CIQ(InputTicker, "IQ_MINORITY_INTEREST_CF",Input!O$2,Date,,,Ccy,Conv)</f>
        <v>0</v>
      </c>
      <c r="N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  <c r="BA189" s="42"/>
      <c r="BB189" s="42"/>
      <c r="BC189" s="42"/>
      <c r="BD189" s="42"/>
      <c r="BE189" s="42"/>
      <c r="BF189" s="42"/>
      <c r="BG189" s="42"/>
      <c r="BH189" s="42"/>
      <c r="BI189" s="42"/>
      <c r="BJ189" s="42"/>
      <c r="BK189" s="42"/>
      <c r="BL189" s="42"/>
      <c r="BM189" s="42"/>
      <c r="BN189" s="42"/>
    </row>
    <row r="190" spans="1:66" ht="12.75" customHeight="1" x14ac:dyDescent="0.2">
      <c r="A190" s="1" t="s">
        <v>198</v>
      </c>
      <c r="B190" s="4">
        <f>_xll.ciqfunctions.udf.CIQ(InputTicker, "IQ_GAIN_ASSETS_CF",Input!D$2,Date,,,Ccy,Conv)</f>
        <v>0</v>
      </c>
      <c r="C190" s="4">
        <f>_xll.ciqfunctions.udf.CIQ(InputTicker, "IQ_GAIN_ASSETS_CF",Input!E$2,Date,,,Ccy,Conv)</f>
        <v>0</v>
      </c>
      <c r="D190" s="4">
        <f>_xll.ciqfunctions.udf.CIQ(InputTicker, "IQ_GAIN_ASSETS_CF",Input!F$2,Date,,,Ccy,Conv)</f>
        <v>0</v>
      </c>
      <c r="E190" s="4">
        <f>_xll.ciqfunctions.udf.CIQ(InputTicker, "IQ_GAIN_ASSETS_CF",Input!G$2,Date,,,Ccy,Conv)</f>
        <v>0</v>
      </c>
      <c r="F190" s="4">
        <f>_xll.ciqfunctions.udf.CIQ(InputTicker, "IQ_GAIN_ASSETS_CF",Input!H$2,Date,,,Ccy,Conv)</f>
        <v>0</v>
      </c>
      <c r="G190" s="4">
        <f>_xll.ciqfunctions.udf.CIQ(InputTicker, "IQ_GAIN_ASSETS_CF",Input!I$2,Date,,,Ccy,Conv)</f>
        <v>0</v>
      </c>
      <c r="H190" s="4">
        <f>_xll.ciqfunctions.udf.CIQ(InputTicker, "IQ_GAIN_ASSETS_CF",Input!J$2,Date,,,Ccy,Conv)</f>
        <v>0</v>
      </c>
      <c r="I190" s="4">
        <f>_xll.ciqfunctions.udf.CIQ(InputTicker, "IQ_GAIN_ASSETS_CF",Input!K$2,Date,,,Ccy,Conv)</f>
        <v>0</v>
      </c>
      <c r="J190" s="4">
        <f>_xll.ciqfunctions.udf.CIQ(InputTicker, "IQ_GAIN_ASSETS_CF",Input!L$2,Date,,,Ccy,Conv)</f>
        <v>0</v>
      </c>
      <c r="K190" s="4">
        <f>_xll.ciqfunctions.udf.CIQ(InputTicker, "IQ_GAIN_ASSETS_CF",Input!M$2,Date,,,Ccy,Conv)</f>
        <v>0</v>
      </c>
      <c r="L190" s="4">
        <f>_xll.ciqfunctions.udf.CIQ(InputTicker, "IQ_GAIN_ASSETS_CF",Input!N$2,Date,,,Ccy,Conv)</f>
        <v>0</v>
      </c>
      <c r="M190" s="4">
        <f>_xll.ciqfunctions.udf.CIQ(InputTicker, "IQ_GAIN_ASSETS_CF",Input!O$2,Date,,,Ccy,Conv)</f>
        <v>0</v>
      </c>
      <c r="N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  <c r="BA190" s="42"/>
      <c r="BB190" s="42"/>
      <c r="BC190" s="42"/>
      <c r="BD190" s="42"/>
      <c r="BE190" s="42"/>
      <c r="BF190" s="42"/>
      <c r="BG190" s="42"/>
      <c r="BH190" s="42"/>
      <c r="BI190" s="42"/>
      <c r="BJ190" s="42"/>
      <c r="BK190" s="42"/>
      <c r="BL190" s="42"/>
      <c r="BM190" s="42"/>
      <c r="BN190" s="42"/>
    </row>
    <row r="191" spans="1:66" ht="12.75" customHeight="1" x14ac:dyDescent="0.2">
      <c r="A191" s="1" t="s">
        <v>142</v>
      </c>
      <c r="B191" s="4">
        <f>_xll.ciqfunctions.udf.CIQ(InputTicker, "IQ_GAIN_INVEST_CF",Input!D$2,Date,,,Ccy,Conv)</f>
        <v>-443</v>
      </c>
      <c r="C191" s="4">
        <f>_xll.ciqfunctions.udf.CIQ(InputTicker, "IQ_GAIN_INVEST_CF",Input!E$2,Date,,,Ccy,Conv)</f>
        <v>-223</v>
      </c>
      <c r="D191" s="4">
        <f>_xll.ciqfunctions.udf.CIQ(InputTicker, "IQ_GAIN_INVEST_CF",Input!F$2,Date,,,Ccy,Conv)</f>
        <v>-2073</v>
      </c>
      <c r="E191" s="4">
        <f>_xll.ciqfunctions.udf.CIQ(InputTicker, "IQ_GAIN_INVEST_CF",Input!G$2,Date,,,Ccy,Conv)</f>
        <v>-2212</v>
      </c>
      <c r="F191" s="4">
        <f>_xll.ciqfunctions.udf.CIQ(InputTicker, "IQ_GAIN_INVEST_CF",Input!H$2,Date,,,Ccy,Conv)</f>
        <v>-792</v>
      </c>
      <c r="G191" s="4">
        <f>_xll.ciqfunctions.udf.CIQ(InputTicker, "IQ_GAIN_INVEST_CF",Input!I$2,Date,,,Ccy,Conv)</f>
        <v>-219</v>
      </c>
      <c r="H191" s="4">
        <f>_xll.ciqfunctions.udf.CIQ(InputTicker, "IQ_GAIN_INVEST_CF",Input!J$2,Date,,,Ccy,Conv)</f>
        <v>-1249</v>
      </c>
      <c r="I191" s="4">
        <f>_xll.ciqfunctions.udf.CIQ(InputTicker, "IQ_GAIN_INVEST_CF",Input!K$2,Date,,,Ccy,Conv)</f>
        <v>-409</v>
      </c>
      <c r="J191" s="4">
        <f>_xll.ciqfunctions.udf.CIQ(InputTicker, "IQ_GAIN_INVEST_CF",Input!L$2,Date,,,Ccy,Conv)</f>
        <v>196</v>
      </c>
      <c r="K191" s="4">
        <f>_xll.ciqfunctions.udf.CIQ(InputTicker, "IQ_GAIN_INVEST_CF",Input!M$2,Date,,,Ccy,Conv)</f>
        <v>305</v>
      </c>
      <c r="L191" s="4">
        <f>_xll.ciqfunctions.udf.CIQ(InputTicker, "IQ_GAIN_INVEST_CF",Input!N$2,Date,,,Ccy,Conv)</f>
        <v>609</v>
      </c>
      <c r="M191" s="4">
        <f>_xll.ciqfunctions.udf.CIQ(InputTicker, "IQ_GAIN_INVEST_CF",Input!O$2,Date,,,Ccy,Conv)</f>
        <v>-10082</v>
      </c>
      <c r="N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  <c r="BA191" s="42"/>
      <c r="BB191" s="42"/>
      <c r="BC191" s="42"/>
      <c r="BD191" s="42"/>
      <c r="BE191" s="42"/>
      <c r="BF191" s="42"/>
      <c r="BG191" s="42"/>
      <c r="BH191" s="42"/>
      <c r="BI191" s="42"/>
      <c r="BJ191" s="42"/>
      <c r="BK191" s="42"/>
      <c r="BL191" s="42"/>
      <c r="BM191" s="42"/>
      <c r="BN191" s="42"/>
    </row>
    <row r="192" spans="1:66" ht="12.75" customHeight="1" x14ac:dyDescent="0.2">
      <c r="A192" s="1" t="s">
        <v>199</v>
      </c>
      <c r="B192" s="4">
        <f>_xll.ciqfunctions.udf.CIQ(InputTicker, "IQ_ASSET_WRITEDOWN_CF",Input!D$2,Date,,,Ccy,Conv)</f>
        <v>7498</v>
      </c>
      <c r="C192" s="4">
        <f>_xll.ciqfunctions.udf.CIQ(InputTicker, "IQ_ASSET_WRITEDOWN_CF",Input!E$2,Date,,,Ccy,Conv)</f>
        <v>630</v>
      </c>
      <c r="D192" s="4">
        <f>_xll.ciqfunctions.udf.CIQ(InputTicker, "IQ_ASSET_WRITEDOWN_CF",Input!F$2,Date,,,Ccy,Conv)</f>
        <v>0</v>
      </c>
      <c r="E192" s="4">
        <f>_xll.ciqfunctions.udf.CIQ(InputTicker, "IQ_ASSET_WRITEDOWN_CF",Input!G$2,Date,,,Ccy,Conv)</f>
        <v>0</v>
      </c>
      <c r="F192" s="4">
        <f>_xll.ciqfunctions.udf.CIQ(InputTicker, "IQ_ASSET_WRITEDOWN_CF",Input!H$2,Date,,,Ccy,Conv)</f>
        <v>0</v>
      </c>
      <c r="G192" s="4">
        <f>_xll.ciqfunctions.udf.CIQ(InputTicker, "IQ_ASSET_WRITEDOWN_CF",Input!I$2,Date,,,Ccy,Conv)</f>
        <v>0</v>
      </c>
      <c r="H192" s="4">
        <f>_xll.ciqfunctions.udf.CIQ(InputTicker, "IQ_ASSET_WRITEDOWN_CF",Input!J$2,Date,,,Ccy,Conv)</f>
        <v>0</v>
      </c>
      <c r="I192" s="4">
        <f>_xll.ciqfunctions.udf.CIQ(InputTicker, "IQ_ASSET_WRITEDOWN_CF",Input!K$2,Date,,,Ccy,Conv)</f>
        <v>0</v>
      </c>
      <c r="J192" s="4">
        <f>_xll.ciqfunctions.udf.CIQ(InputTicker, "IQ_ASSET_WRITEDOWN_CF",Input!L$2,Date,,,Ccy,Conv)</f>
        <v>0</v>
      </c>
      <c r="K192" s="4">
        <f>_xll.ciqfunctions.udf.CIQ(InputTicker, "IQ_ASSET_WRITEDOWN_CF",Input!M$2,Date,,,Ccy,Conv)</f>
        <v>0</v>
      </c>
      <c r="L192" s="4">
        <f>_xll.ciqfunctions.udf.CIQ(InputTicker, "IQ_ASSET_WRITEDOWN_CF",Input!N$2,Date,,,Ccy,Conv)</f>
        <v>0</v>
      </c>
      <c r="M192" s="4">
        <f>_xll.ciqfunctions.udf.CIQ(InputTicker, "IQ_ASSET_WRITEDOWN_CF",Input!O$2,Date,,,Ccy,Conv)</f>
        <v>0</v>
      </c>
      <c r="N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  <c r="BA192" s="42"/>
      <c r="BB192" s="42"/>
      <c r="BC192" s="42"/>
      <c r="BD192" s="42"/>
      <c r="BE192" s="42"/>
      <c r="BF192" s="42"/>
      <c r="BG192" s="42"/>
      <c r="BH192" s="42"/>
      <c r="BI192" s="42"/>
      <c r="BJ192" s="42"/>
      <c r="BK192" s="42"/>
      <c r="BL192" s="42"/>
      <c r="BM192" s="42"/>
      <c r="BN192" s="42"/>
    </row>
    <row r="193" spans="1:66" ht="12.75" customHeight="1" x14ac:dyDescent="0.2">
      <c r="A193" s="1" t="s">
        <v>200</v>
      </c>
      <c r="B193" s="4">
        <f>_xll.ciqfunctions.udf.CIQ(InputTicker, "IQ_LOANS_CF",Input!D$2,Date,,,Ccy,Conv)</f>
        <v>0</v>
      </c>
      <c r="C193" s="4">
        <f>_xll.ciqfunctions.udf.CIQ(InputTicker, "IQ_LOANS_CF",Input!E$2,Date,,,Ccy,Conv)</f>
        <v>0</v>
      </c>
      <c r="D193" s="4">
        <f>_xll.ciqfunctions.udf.CIQ(InputTicker, "IQ_LOANS_CF",Input!F$2,Date,,,Ccy,Conv)</f>
        <v>0</v>
      </c>
      <c r="E193" s="4">
        <f>_xll.ciqfunctions.udf.CIQ(InputTicker, "IQ_LOANS_CF",Input!G$2,Date,,,Ccy,Conv)</f>
        <v>0</v>
      </c>
      <c r="F193" s="4">
        <f>_xll.ciqfunctions.udf.CIQ(InputTicker, "IQ_LOANS_CF",Input!H$2,Date,,,Ccy,Conv)</f>
        <v>0</v>
      </c>
      <c r="G193" s="4">
        <f>_xll.ciqfunctions.udf.CIQ(InputTicker, "IQ_LOANS_CF",Input!I$2,Date,,,Ccy,Conv)</f>
        <v>0</v>
      </c>
      <c r="H193" s="4">
        <f>_xll.ciqfunctions.udf.CIQ(InputTicker, "IQ_LOANS_CF",Input!J$2,Date,,,Ccy,Conv)</f>
        <v>0</v>
      </c>
      <c r="I193" s="4">
        <f>_xll.ciqfunctions.udf.CIQ(InputTicker, "IQ_LOANS_CF",Input!K$2,Date,,,Ccy,Conv)</f>
        <v>0</v>
      </c>
      <c r="J193" s="4">
        <f>_xll.ciqfunctions.udf.CIQ(InputTicker, "IQ_LOANS_CF",Input!L$2,Date,,,Ccy,Conv)</f>
        <v>0</v>
      </c>
      <c r="K193" s="4">
        <f>_xll.ciqfunctions.udf.CIQ(InputTicker, "IQ_LOANS_CF",Input!M$2,Date,,,Ccy,Conv)</f>
        <v>0</v>
      </c>
      <c r="L193" s="4">
        <f>_xll.ciqfunctions.udf.CIQ(InputTicker, "IQ_LOANS_CF",Input!N$2,Date,,,Ccy,Conv)</f>
        <v>0</v>
      </c>
      <c r="M193" s="4">
        <f>_xll.ciqfunctions.udf.CIQ(InputTicker, "IQ_LOANS_CF",Input!O$2,Date,,,Ccy,Conv)</f>
        <v>0</v>
      </c>
      <c r="N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  <c r="BA193" s="42"/>
      <c r="BB193" s="42"/>
      <c r="BC193" s="42"/>
      <c r="BD193" s="42"/>
      <c r="BE193" s="42"/>
      <c r="BF193" s="42"/>
      <c r="BG193" s="42"/>
      <c r="BH193" s="42"/>
      <c r="BI193" s="42"/>
      <c r="BJ193" s="42"/>
      <c r="BK193" s="42"/>
      <c r="BL193" s="42"/>
      <c r="BM193" s="42"/>
      <c r="BN193" s="42"/>
    </row>
    <row r="194" spans="1:66" ht="12.75" customHeight="1" x14ac:dyDescent="0.2">
      <c r="A194" s="1" t="s">
        <v>201</v>
      </c>
      <c r="B194" s="4">
        <f>_xll.ciqfunctions.udf.CIQ(InputTicker, "IQ_CREDIT_LOSS_CF",Input!D$2,Date,,,Ccy,Conv)</f>
        <v>0</v>
      </c>
      <c r="C194" s="4">
        <f>_xll.ciqfunctions.udf.CIQ(InputTicker, "IQ_CREDIT_LOSS_CF",Input!E$2,Date,,,Ccy,Conv)</f>
        <v>0</v>
      </c>
      <c r="D194" s="4">
        <f>_xll.ciqfunctions.udf.CIQ(InputTicker, "IQ_CREDIT_LOSS_CF",Input!F$2,Date,,,Ccy,Conv)</f>
        <v>0</v>
      </c>
      <c r="E194" s="4">
        <f>_xll.ciqfunctions.udf.CIQ(InputTicker, "IQ_CREDIT_LOSS_CF",Input!G$2,Date,,,Ccy,Conv)</f>
        <v>0</v>
      </c>
      <c r="F194" s="4">
        <f>_xll.ciqfunctions.udf.CIQ(InputTicker, "IQ_CREDIT_LOSS_CF",Input!H$2,Date,,,Ccy,Conv)</f>
        <v>0</v>
      </c>
      <c r="G194" s="4">
        <f>_xll.ciqfunctions.udf.CIQ(InputTicker, "IQ_CREDIT_LOSS_CF",Input!I$2,Date,,,Ccy,Conv)</f>
        <v>0</v>
      </c>
      <c r="H194" s="4">
        <f>_xll.ciqfunctions.udf.CIQ(InputTicker, "IQ_CREDIT_LOSS_CF",Input!J$2,Date,,,Ccy,Conv)</f>
        <v>0</v>
      </c>
      <c r="I194" s="4">
        <f>_xll.ciqfunctions.udf.CIQ(InputTicker, "IQ_CREDIT_LOSS_CF",Input!K$2,Date,,,Ccy,Conv)</f>
        <v>0</v>
      </c>
      <c r="J194" s="4">
        <f>_xll.ciqfunctions.udf.CIQ(InputTicker, "IQ_CREDIT_LOSS_CF",Input!L$2,Date,,,Ccy,Conv)</f>
        <v>0</v>
      </c>
      <c r="K194" s="4">
        <f>_xll.ciqfunctions.udf.CIQ(InputTicker, "IQ_CREDIT_LOSS_CF",Input!M$2,Date,,,Ccy,Conv)</f>
        <v>0</v>
      </c>
      <c r="L194" s="4">
        <f>_xll.ciqfunctions.udf.CIQ(InputTicker, "IQ_CREDIT_LOSS_CF",Input!N$2,Date,,,Ccy,Conv)</f>
        <v>0</v>
      </c>
      <c r="M194" s="4">
        <f>_xll.ciqfunctions.udf.CIQ(InputTicker, "IQ_CREDIT_LOSS_CF",Input!O$2,Date,,,Ccy,Conv)</f>
        <v>0</v>
      </c>
      <c r="N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  <c r="BA194" s="42"/>
      <c r="BB194" s="42"/>
      <c r="BC194" s="42"/>
      <c r="BD194" s="42"/>
      <c r="BE194" s="42"/>
      <c r="BF194" s="42"/>
      <c r="BG194" s="42"/>
      <c r="BH194" s="42"/>
      <c r="BI194" s="42"/>
      <c r="BJ194" s="42"/>
      <c r="BK194" s="42"/>
      <c r="BL194" s="42"/>
      <c r="BM194" s="42"/>
      <c r="BN194" s="42"/>
    </row>
    <row r="195" spans="1:66" ht="12.75" customHeight="1" x14ac:dyDescent="0.2">
      <c r="A195" s="1" t="s">
        <v>202</v>
      </c>
      <c r="B195" s="4">
        <f>_xll.ciqfunctions.udf.CIQ(InputTicker, "IQ_INC_EQUITY_CF",Input!D$2,Date,,,Ccy,Conv)</f>
        <v>0</v>
      </c>
      <c r="C195" s="4">
        <f>_xll.ciqfunctions.udf.CIQ(InputTicker, "IQ_INC_EQUITY_CF",Input!E$2,Date,,,Ccy,Conv)</f>
        <v>0</v>
      </c>
      <c r="D195" s="4">
        <f>_xll.ciqfunctions.udf.CIQ(InputTicker, "IQ_INC_EQUITY_CF",Input!F$2,Date,,,Ccy,Conv)</f>
        <v>0</v>
      </c>
      <c r="E195" s="4">
        <f>_xll.ciqfunctions.udf.CIQ(InputTicker, "IQ_INC_EQUITY_CF",Input!G$2,Date,,,Ccy,Conv)</f>
        <v>0</v>
      </c>
      <c r="F195" s="4">
        <f>_xll.ciqfunctions.udf.CIQ(InputTicker, "IQ_INC_EQUITY_CF",Input!H$2,Date,,,Ccy,Conv)</f>
        <v>0</v>
      </c>
      <c r="G195" s="4">
        <f>_xll.ciqfunctions.udf.CIQ(InputTicker, "IQ_INC_EQUITY_CF",Input!I$2,Date,,,Ccy,Conv)</f>
        <v>0</v>
      </c>
      <c r="H195" s="4">
        <f>_xll.ciqfunctions.udf.CIQ(InputTicker, "IQ_INC_EQUITY_CF",Input!J$2,Date,,,Ccy,Conv)</f>
        <v>0</v>
      </c>
      <c r="I195" s="4">
        <f>_xll.ciqfunctions.udf.CIQ(InputTicker, "IQ_INC_EQUITY_CF",Input!K$2,Date,,,Ccy,Conv)</f>
        <v>0</v>
      </c>
      <c r="J195" s="4">
        <f>_xll.ciqfunctions.udf.CIQ(InputTicker, "IQ_INC_EQUITY_CF",Input!L$2,Date,,,Ccy,Conv)</f>
        <v>0</v>
      </c>
      <c r="K195" s="4">
        <f>_xll.ciqfunctions.udf.CIQ(InputTicker, "IQ_INC_EQUITY_CF",Input!M$2,Date,,,Ccy,Conv)</f>
        <v>0</v>
      </c>
      <c r="L195" s="4">
        <f>_xll.ciqfunctions.udf.CIQ(InputTicker, "IQ_INC_EQUITY_CF",Input!N$2,Date,,,Ccy,Conv)</f>
        <v>0</v>
      </c>
      <c r="M195" s="4">
        <f>_xll.ciqfunctions.udf.CIQ(InputTicker, "IQ_INC_EQUITY_CF",Input!O$2,Date,,,Ccy,Conv)</f>
        <v>0</v>
      </c>
      <c r="N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  <c r="BA195" s="42"/>
      <c r="BB195" s="42"/>
      <c r="BC195" s="42"/>
      <c r="BD195" s="42"/>
      <c r="BE195" s="42"/>
      <c r="BF195" s="42"/>
      <c r="BG195" s="42"/>
      <c r="BH195" s="42"/>
      <c r="BI195" s="42"/>
      <c r="BJ195" s="42"/>
      <c r="BK195" s="42"/>
      <c r="BL195" s="42"/>
      <c r="BM195" s="42"/>
      <c r="BN195" s="42"/>
    </row>
    <row r="196" spans="1:66" ht="12.75" customHeight="1" x14ac:dyDescent="0.2">
      <c r="A196" s="1" t="s">
        <v>203</v>
      </c>
      <c r="B196" s="4">
        <f>_xll.ciqfunctions.udf.CIQ(InputTicker, "IQ_STOCK_BASED_CF",Input!D$2,Date,,,Ccy,Conv)</f>
        <v>2574</v>
      </c>
      <c r="C196" s="4">
        <f>_xll.ciqfunctions.udf.CIQ(InputTicker, "IQ_STOCK_BASED_CF",Input!E$2,Date,,,Ccy,Conv)</f>
        <v>2668</v>
      </c>
      <c r="D196" s="4">
        <f>_xll.ciqfunctions.udf.CIQ(InputTicker, "IQ_STOCK_BASED_CF",Input!F$2,Date,,,Ccy,Conv)</f>
        <v>3266</v>
      </c>
      <c r="E196" s="4">
        <f>_xll.ciqfunctions.udf.CIQ(InputTicker, "IQ_STOCK_BASED_CF",Input!G$2,Date,,,Ccy,Conv)</f>
        <v>3940</v>
      </c>
      <c r="F196" s="4">
        <f>_xll.ciqfunctions.udf.CIQ(InputTicker, "IQ_STOCK_BASED_CF",Input!H$2,Date,,,Ccy,Conv)</f>
        <v>4652</v>
      </c>
      <c r="G196" s="4">
        <f>_xll.ciqfunctions.udf.CIQ(InputTicker, "IQ_STOCK_BASED_CF",Input!I$2,Date,,,Ccy,Conv)</f>
        <v>5289</v>
      </c>
      <c r="H196" s="4">
        <f>_xll.ciqfunctions.udf.CIQ(InputTicker, "IQ_STOCK_BASED_CF",Input!J$2,Date,,,Ccy,Conv)</f>
        <v>6118</v>
      </c>
      <c r="I196" s="4">
        <f>_xll.ciqfunctions.udf.CIQ(InputTicker, "IQ_STOCK_BASED_CF",Input!K$2,Date,,,Ccy,Conv)</f>
        <v>7502</v>
      </c>
      <c r="J196" s="4">
        <f>_xll.ciqfunctions.udf.CIQ(InputTicker, "IQ_STOCK_BASED_CF",Input!L$2,Date,,,Ccy,Conv)</f>
        <v>9611</v>
      </c>
      <c r="K196" s="4">
        <f>_xll.ciqfunctions.udf.CIQ(InputTicker, "IQ_STOCK_BASED_CF",Input!M$2,Date,,,Ccy,Conv)</f>
        <v>10734</v>
      </c>
      <c r="L196" s="4">
        <f>_xll.ciqfunctions.udf.CIQ(InputTicker, "IQ_STOCK_BASED_CF",Input!N$2,Date,,,Ccy,Conv)</f>
        <v>11974</v>
      </c>
      <c r="M196" s="4">
        <f>_xll.ciqfunctions.udf.CIQ(InputTicker, "IQ_STOCK_BASED_CF",Input!O$2,Date,,,Ccy,Conv)</f>
        <v>12356</v>
      </c>
      <c r="N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  <c r="BA196" s="42"/>
      <c r="BB196" s="42"/>
      <c r="BC196" s="42"/>
      <c r="BD196" s="42"/>
      <c r="BE196" s="42"/>
      <c r="BF196" s="42"/>
      <c r="BG196" s="42"/>
      <c r="BH196" s="42"/>
      <c r="BI196" s="42"/>
      <c r="BJ196" s="42"/>
      <c r="BK196" s="42"/>
      <c r="BL196" s="42"/>
      <c r="BM196" s="42"/>
      <c r="BN196" s="42"/>
    </row>
    <row r="197" spans="1:66" ht="12.75" customHeight="1" x14ac:dyDescent="0.2">
      <c r="A197" s="1" t="s">
        <v>143</v>
      </c>
      <c r="B197" s="4">
        <f>_xll.ciqfunctions.udf.CIQ(InputTicker, "IQ_TAX_BENEFIT_OPTIONS",Input!D$2,Date,,,Ccy,Conv)</f>
        <v>0</v>
      </c>
      <c r="C197" s="4">
        <f>_xll.ciqfunctions.udf.CIQ(InputTicker, "IQ_TAX_BENEFIT_OPTIONS",Input!E$2,Date,,,Ccy,Conv)</f>
        <v>0</v>
      </c>
      <c r="D197" s="4">
        <f>_xll.ciqfunctions.udf.CIQ(InputTicker, "IQ_TAX_BENEFIT_OPTIONS",Input!F$2,Date,,,Ccy,Conv)</f>
        <v>0</v>
      </c>
      <c r="E197" s="4">
        <f>_xll.ciqfunctions.udf.CIQ(InputTicker, "IQ_TAX_BENEFIT_OPTIONS",Input!G$2,Date,,,Ccy,Conv)</f>
        <v>0</v>
      </c>
      <c r="F197" s="4">
        <f>_xll.ciqfunctions.udf.CIQ(InputTicker, "IQ_TAX_BENEFIT_OPTIONS",Input!H$2,Date,,,Ccy,Conv)</f>
        <v>0</v>
      </c>
      <c r="G197" s="4">
        <f>_xll.ciqfunctions.udf.CIQ(InputTicker, "IQ_TAX_BENEFIT_OPTIONS",Input!I$2,Date,,,Ccy,Conv)</f>
        <v>0</v>
      </c>
      <c r="H197" s="4">
        <f>_xll.ciqfunctions.udf.CIQ(InputTicker, "IQ_TAX_BENEFIT_OPTIONS",Input!J$2,Date,,,Ccy,Conv)</f>
        <v>0</v>
      </c>
      <c r="I197" s="4">
        <f>_xll.ciqfunctions.udf.CIQ(InputTicker, "IQ_TAX_BENEFIT_OPTIONS",Input!K$2,Date,,,Ccy,Conv)</f>
        <v>0</v>
      </c>
      <c r="J197" s="4">
        <f>_xll.ciqfunctions.udf.CIQ(InputTicker, "IQ_TAX_BENEFIT_OPTIONS",Input!L$2,Date,,,Ccy,Conv)</f>
        <v>0</v>
      </c>
      <c r="K197" s="4">
        <f>_xll.ciqfunctions.udf.CIQ(InputTicker, "IQ_TAX_BENEFIT_OPTIONS",Input!M$2,Date,,,Ccy,Conv)</f>
        <v>0</v>
      </c>
      <c r="L197" s="4">
        <f>_xll.ciqfunctions.udf.CIQ(InputTicker, "IQ_TAX_BENEFIT_OPTIONS",Input!N$2,Date,,,Ccy,Conv)</f>
        <v>0</v>
      </c>
      <c r="M197" s="4">
        <f>_xll.ciqfunctions.udf.CIQ(InputTicker, "IQ_TAX_BENEFIT_OPTIONS",Input!O$2,Date,,,Ccy,Conv)</f>
        <v>0</v>
      </c>
      <c r="N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  <c r="BA197" s="42"/>
      <c r="BB197" s="42"/>
      <c r="BC197" s="42"/>
      <c r="BD197" s="42"/>
      <c r="BE197" s="42"/>
      <c r="BF197" s="42"/>
      <c r="BG197" s="42"/>
      <c r="BH197" s="42"/>
      <c r="BI197" s="42"/>
      <c r="BJ197" s="42"/>
      <c r="BK197" s="42"/>
      <c r="BL197" s="42"/>
      <c r="BM197" s="42"/>
      <c r="BN197" s="42"/>
    </row>
    <row r="198" spans="1:66" ht="12.75" customHeight="1" x14ac:dyDescent="0.2">
      <c r="A198" s="1" t="s">
        <v>204</v>
      </c>
      <c r="B198" s="4">
        <f>_xll.ciqfunctions.udf.CIQ(InputTicker, "IQ_PROV_BAD_DEBTS_CF",Input!D$2,Date,,,Ccy,Conv)</f>
        <v>0</v>
      </c>
      <c r="C198" s="4">
        <f>_xll.ciqfunctions.udf.CIQ(InputTicker, "IQ_PROV_BAD_DEBTS_CF",Input!E$2,Date,,,Ccy,Conv)</f>
        <v>0</v>
      </c>
      <c r="D198" s="4">
        <f>_xll.ciqfunctions.udf.CIQ(InputTicker, "IQ_PROV_BAD_DEBTS_CF",Input!F$2,Date,,,Ccy,Conv)</f>
        <v>0</v>
      </c>
      <c r="E198" s="4">
        <f>_xll.ciqfunctions.udf.CIQ(InputTicker, "IQ_PROV_BAD_DEBTS_CF",Input!G$2,Date,,,Ccy,Conv)</f>
        <v>0</v>
      </c>
      <c r="F198" s="4">
        <f>_xll.ciqfunctions.udf.CIQ(InputTicker, "IQ_PROV_BAD_DEBTS_CF",Input!H$2,Date,,,Ccy,Conv)</f>
        <v>0</v>
      </c>
      <c r="G198" s="4">
        <f>_xll.ciqfunctions.udf.CIQ(InputTicker, "IQ_PROV_BAD_DEBTS_CF",Input!I$2,Date,,,Ccy,Conv)</f>
        <v>0</v>
      </c>
      <c r="H198" s="4">
        <f>_xll.ciqfunctions.udf.CIQ(InputTicker, "IQ_PROV_BAD_DEBTS_CF",Input!J$2,Date,,,Ccy,Conv)</f>
        <v>0</v>
      </c>
      <c r="I198" s="4">
        <f>_xll.ciqfunctions.udf.CIQ(InputTicker, "IQ_PROV_BAD_DEBTS_CF",Input!K$2,Date,,,Ccy,Conv)</f>
        <v>0</v>
      </c>
      <c r="J198" s="4">
        <f>_xll.ciqfunctions.udf.CIQ(InputTicker, "IQ_PROV_BAD_DEBTS_CF",Input!L$2,Date,,,Ccy,Conv)</f>
        <v>0</v>
      </c>
      <c r="K198" s="4">
        <f>_xll.ciqfunctions.udf.CIQ(InputTicker, "IQ_PROV_BAD_DEBTS_CF",Input!M$2,Date,,,Ccy,Conv)</f>
        <v>0</v>
      </c>
      <c r="L198" s="4">
        <f>_xll.ciqfunctions.udf.CIQ(InputTicker, "IQ_PROV_BAD_DEBTS_CF",Input!N$2,Date,,,Ccy,Conv)</f>
        <v>0</v>
      </c>
      <c r="M198" s="4">
        <f>_xll.ciqfunctions.udf.CIQ(InputTicker, "IQ_PROV_BAD_DEBTS_CF",Input!O$2,Date,,,Ccy,Conv)</f>
        <v>0</v>
      </c>
      <c r="N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  <c r="BA198" s="42"/>
      <c r="BB198" s="42"/>
      <c r="BC198" s="42"/>
      <c r="BD198" s="42"/>
      <c r="BE198" s="42"/>
      <c r="BF198" s="42"/>
      <c r="BG198" s="42"/>
      <c r="BH198" s="42"/>
      <c r="BI198" s="42"/>
      <c r="BJ198" s="42"/>
      <c r="BK198" s="42"/>
      <c r="BL198" s="42"/>
      <c r="BM198" s="42"/>
      <c r="BN198" s="42"/>
    </row>
    <row r="199" spans="1:66" ht="12.75" customHeight="1" x14ac:dyDescent="0.2">
      <c r="A199" s="1" t="s">
        <v>205</v>
      </c>
      <c r="B199" s="4">
        <f>_xll.ciqfunctions.udf.CIQ(InputTicker, "IQ_DO_CF",Input!D$2,Date,,,Ccy,Conv)</f>
        <v>0</v>
      </c>
      <c r="C199" s="4">
        <f>_xll.ciqfunctions.udf.CIQ(InputTicker, "IQ_DO_CF",Input!E$2,Date,,,Ccy,Conv)</f>
        <v>0</v>
      </c>
      <c r="D199" s="4">
        <f>_xll.ciqfunctions.udf.CIQ(InputTicker, "IQ_DO_CF",Input!F$2,Date,,,Ccy,Conv)</f>
        <v>0</v>
      </c>
      <c r="E199" s="4">
        <f>_xll.ciqfunctions.udf.CIQ(InputTicker, "IQ_DO_CF",Input!G$2,Date,,,Ccy,Conv)</f>
        <v>0</v>
      </c>
      <c r="F199" s="4">
        <f>_xll.ciqfunctions.udf.CIQ(InputTicker, "IQ_DO_CF",Input!H$2,Date,,,Ccy,Conv)</f>
        <v>0</v>
      </c>
      <c r="G199" s="4">
        <f>_xll.ciqfunctions.udf.CIQ(InputTicker, "IQ_DO_CF",Input!I$2,Date,,,Ccy,Conv)</f>
        <v>0</v>
      </c>
      <c r="H199" s="4">
        <f>_xll.ciqfunctions.udf.CIQ(InputTicker, "IQ_DO_CF",Input!J$2,Date,,,Ccy,Conv)</f>
        <v>0</v>
      </c>
      <c r="I199" s="4">
        <f>_xll.ciqfunctions.udf.CIQ(InputTicker, "IQ_DO_CF",Input!K$2,Date,,,Ccy,Conv)</f>
        <v>0</v>
      </c>
      <c r="J199" s="4">
        <f>_xll.ciqfunctions.udf.CIQ(InputTicker, "IQ_DO_CF",Input!L$2,Date,,,Ccy,Conv)</f>
        <v>0</v>
      </c>
      <c r="K199" s="4">
        <f>_xll.ciqfunctions.udf.CIQ(InputTicker, "IQ_DO_CF",Input!M$2,Date,,,Ccy,Conv)</f>
        <v>0</v>
      </c>
      <c r="L199" s="4">
        <f>_xll.ciqfunctions.udf.CIQ(InputTicker, "IQ_DO_CF",Input!N$2,Date,,,Ccy,Conv)</f>
        <v>0</v>
      </c>
      <c r="M199" s="4">
        <f>_xll.ciqfunctions.udf.CIQ(InputTicker, "IQ_DO_CF",Input!O$2,Date,,,Ccy,Conv)</f>
        <v>0</v>
      </c>
      <c r="N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  <c r="BA199" s="42"/>
      <c r="BB199" s="42"/>
      <c r="BC199" s="42"/>
      <c r="BD199" s="42"/>
      <c r="BE199" s="42"/>
      <c r="BF199" s="42"/>
      <c r="BG199" s="42"/>
      <c r="BH199" s="42"/>
      <c r="BI199" s="42"/>
      <c r="BJ199" s="42"/>
      <c r="BK199" s="42"/>
      <c r="BL199" s="42"/>
      <c r="BM199" s="42"/>
      <c r="BN199" s="42"/>
    </row>
    <row r="200" spans="1:66" ht="12.75" customHeight="1" x14ac:dyDescent="0.2">
      <c r="A200" s="1" t="s">
        <v>206</v>
      </c>
      <c r="B200" s="4">
        <f>_xll.ciqfunctions.udf.CIQ(InputTicker, "IQ_OTHER_OPER_ACT",Input!D$2,Date,,,Ccy,Conv)</f>
        <v>854</v>
      </c>
      <c r="C200" s="4">
        <f>_xll.ciqfunctions.udf.CIQ(InputTicker, "IQ_OTHER_OPER_ACT",Input!E$2,Date,,,Ccy,Conv)</f>
        <v>3154</v>
      </c>
      <c r="D200" s="4">
        <f>_xll.ciqfunctions.udf.CIQ(InputTicker, "IQ_OTHER_OPER_ACT",Input!F$2,Date,,,Ccy,Conv)</f>
        <v>149</v>
      </c>
      <c r="E200" s="4">
        <f>_xll.ciqfunctions.udf.CIQ(InputTicker, "IQ_OTHER_OPER_ACT",Input!G$2,Date,,,Ccy,Conv)</f>
        <v>-4782</v>
      </c>
      <c r="F200" s="4">
        <f>_xll.ciqfunctions.udf.CIQ(InputTicker, "IQ_OTHER_OPER_ACT",Input!H$2,Date,,,Ccy,Conv)</f>
        <v>-6381</v>
      </c>
      <c r="G200" s="4">
        <f>_xll.ciqfunctions.udf.CIQ(InputTicker, "IQ_OTHER_OPER_ACT",Input!I$2,Date,,,Ccy,Conv)</f>
        <v>507</v>
      </c>
      <c r="H200" s="4">
        <f>_xll.ciqfunctions.udf.CIQ(InputTicker, "IQ_OTHER_OPER_ACT",Input!J$2,Date,,,Ccy,Conv)</f>
        <v>636</v>
      </c>
      <c r="I200" s="4">
        <f>_xll.ciqfunctions.udf.CIQ(InputTicker, "IQ_OTHER_OPER_ACT",Input!K$2,Date,,,Ccy,Conv)</f>
        <v>-5842</v>
      </c>
      <c r="J200" s="4">
        <f>_xll.ciqfunctions.udf.CIQ(InputTicker, "IQ_OTHER_OPER_ACT",Input!L$2,Date,,,Ccy,Conv)</f>
        <v>-5698</v>
      </c>
      <c r="K200" s="4">
        <f>_xll.ciqfunctions.udf.CIQ(InputTicker, "IQ_OTHER_OPER_ACT",Input!M$2,Date,,,Ccy,Conv)</f>
        <v>-2451</v>
      </c>
      <c r="L200" s="4">
        <f>_xll.ciqfunctions.udf.CIQ(InputTicker, "IQ_OTHER_OPER_ACT",Input!N$2,Date,,,Ccy,Conv)</f>
        <v>-903</v>
      </c>
      <c r="M200" s="4">
        <f>_xll.ciqfunctions.udf.CIQ(InputTicker, "IQ_OTHER_OPER_ACT",Input!O$2,Date,,,Ccy,Conv)</f>
        <v>13367</v>
      </c>
      <c r="N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  <c r="BA200" s="42"/>
      <c r="BB200" s="42"/>
      <c r="BC200" s="42"/>
      <c r="BD200" s="42"/>
      <c r="BE200" s="42"/>
      <c r="BF200" s="42"/>
      <c r="BG200" s="42"/>
      <c r="BH200" s="42"/>
      <c r="BI200" s="42"/>
      <c r="BJ200" s="42"/>
      <c r="BK200" s="42"/>
      <c r="BL200" s="42"/>
      <c r="BM200" s="42"/>
      <c r="BN200" s="42"/>
    </row>
    <row r="201" spans="1:66" ht="12.75" customHeight="1" x14ac:dyDescent="0.2">
      <c r="A201" s="1" t="s">
        <v>207</v>
      </c>
      <c r="B201" s="4">
        <f>_xll.ciqfunctions.udf.CIQ(InputTicker, "IQ_CHANGE_TRADING_ASSETS",Input!D$2,Date,,,Ccy,Conv)</f>
        <v>0</v>
      </c>
      <c r="C201" s="4">
        <f>_xll.ciqfunctions.udf.CIQ(InputTicker, "IQ_CHANGE_TRADING_ASSETS",Input!E$2,Date,,,Ccy,Conv)</f>
        <v>0</v>
      </c>
      <c r="D201" s="4">
        <f>_xll.ciqfunctions.udf.CIQ(InputTicker, "IQ_CHANGE_TRADING_ASSETS",Input!F$2,Date,,,Ccy,Conv)</f>
        <v>0</v>
      </c>
      <c r="E201" s="4">
        <f>_xll.ciqfunctions.udf.CIQ(InputTicker, "IQ_CHANGE_TRADING_ASSETS",Input!G$2,Date,,,Ccy,Conv)</f>
        <v>0</v>
      </c>
      <c r="F201" s="4">
        <f>_xll.ciqfunctions.udf.CIQ(InputTicker, "IQ_CHANGE_TRADING_ASSETS",Input!H$2,Date,,,Ccy,Conv)</f>
        <v>0</v>
      </c>
      <c r="G201" s="4">
        <f>_xll.ciqfunctions.udf.CIQ(InputTicker, "IQ_CHANGE_TRADING_ASSETS",Input!I$2,Date,,,Ccy,Conv)</f>
        <v>0</v>
      </c>
      <c r="H201" s="4">
        <f>_xll.ciqfunctions.udf.CIQ(InputTicker, "IQ_CHANGE_TRADING_ASSETS",Input!J$2,Date,,,Ccy,Conv)</f>
        <v>0</v>
      </c>
      <c r="I201" s="4">
        <f>_xll.ciqfunctions.udf.CIQ(InputTicker, "IQ_CHANGE_TRADING_ASSETS",Input!K$2,Date,,,Ccy,Conv)</f>
        <v>0</v>
      </c>
      <c r="J201" s="4">
        <f>_xll.ciqfunctions.udf.CIQ(InputTicker, "IQ_CHANGE_TRADING_ASSETS",Input!L$2,Date,,,Ccy,Conv)</f>
        <v>0</v>
      </c>
      <c r="K201" s="4">
        <f>_xll.ciqfunctions.udf.CIQ(InputTicker, "IQ_CHANGE_TRADING_ASSETS",Input!M$2,Date,,,Ccy,Conv)</f>
        <v>0</v>
      </c>
      <c r="L201" s="4">
        <f>_xll.ciqfunctions.udf.CIQ(InputTicker, "IQ_CHANGE_TRADING_ASSETS",Input!N$2,Date,,,Ccy,Conv)</f>
        <v>0</v>
      </c>
      <c r="M201" s="4">
        <f>_xll.ciqfunctions.udf.CIQ(InputTicker, "IQ_CHANGE_TRADING_ASSETS",Input!O$2,Date,,,Ccy,Conv)</f>
        <v>0</v>
      </c>
      <c r="N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  <c r="BA201" s="42"/>
      <c r="BB201" s="42"/>
      <c r="BC201" s="42"/>
      <c r="BD201" s="42"/>
      <c r="BE201" s="42"/>
      <c r="BF201" s="42"/>
      <c r="BG201" s="42"/>
      <c r="BH201" s="42"/>
      <c r="BI201" s="42"/>
      <c r="BJ201" s="42"/>
      <c r="BK201" s="42"/>
      <c r="BL201" s="42"/>
      <c r="BM201" s="42"/>
      <c r="BN201" s="42"/>
    </row>
    <row r="202" spans="1:66" ht="12.75" customHeight="1" x14ac:dyDescent="0.2">
      <c r="A202" s="1" t="s">
        <v>144</v>
      </c>
      <c r="B202" s="4">
        <f>_xll.ciqfunctions.udf.CIQ(InputTicker, "IQ_CHANGE_AR",Input!D$2,Date,,,Ccy,Conv)</f>
        <v>1456</v>
      </c>
      <c r="C202" s="4">
        <f>_xll.ciqfunctions.udf.CIQ(InputTicker, "IQ_CHANGE_AR",Input!E$2,Date,,,Ccy,Conv)</f>
        <v>562</v>
      </c>
      <c r="D202" s="4">
        <f>_xll.ciqfunctions.udf.CIQ(InputTicker, "IQ_CHANGE_AR",Input!F$2,Date,,,Ccy,Conv)</f>
        <v>-1216</v>
      </c>
      <c r="E202" s="4">
        <f>_xll.ciqfunctions.udf.CIQ(InputTicker, "IQ_CHANGE_AR",Input!G$2,Date,,,Ccy,Conv)</f>
        <v>-3862</v>
      </c>
      <c r="F202" s="4">
        <f>_xll.ciqfunctions.udf.CIQ(InputTicker, "IQ_CHANGE_AR",Input!H$2,Date,,,Ccy,Conv)</f>
        <v>-2812</v>
      </c>
      <c r="G202" s="4">
        <f>_xll.ciqfunctions.udf.CIQ(InputTicker, "IQ_CHANGE_AR",Input!I$2,Date,,,Ccy,Conv)</f>
        <v>-2577</v>
      </c>
      <c r="H202" s="4">
        <f>_xll.ciqfunctions.udf.CIQ(InputTicker, "IQ_CHANGE_AR",Input!J$2,Date,,,Ccy,Conv)</f>
        <v>-6481</v>
      </c>
      <c r="I202" s="4">
        <f>_xll.ciqfunctions.udf.CIQ(InputTicker, "IQ_CHANGE_AR",Input!K$2,Date,,,Ccy,Conv)</f>
        <v>-6834</v>
      </c>
      <c r="J202" s="4">
        <f>_xll.ciqfunctions.udf.CIQ(InputTicker, "IQ_CHANGE_AR",Input!L$2,Date,,,Ccy,Conv)</f>
        <v>-4087</v>
      </c>
      <c r="K202" s="4">
        <f>_xll.ciqfunctions.udf.CIQ(InputTicker, "IQ_CHANGE_AR",Input!M$2,Date,,,Ccy,Conv)</f>
        <v>-7191</v>
      </c>
      <c r="L202" s="4">
        <f>_xll.ciqfunctions.udf.CIQ(InputTicker, "IQ_CHANGE_AR",Input!N$2,Date,,,Ccy,Conv)</f>
        <v>-10581</v>
      </c>
      <c r="M202" s="4">
        <f>_xll.ciqfunctions.udf.CIQ(InputTicker, "IQ_CHANGE_AR",Input!O$2,Date,,,Ccy,Conv)</f>
        <v>-7832</v>
      </c>
      <c r="N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  <c r="BA202" s="42"/>
      <c r="BB202" s="42"/>
      <c r="BC202" s="42"/>
      <c r="BD202" s="42"/>
      <c r="BE202" s="42"/>
      <c r="BF202" s="42"/>
      <c r="BG202" s="42"/>
      <c r="BH202" s="42"/>
      <c r="BI202" s="42"/>
      <c r="BJ202" s="42"/>
      <c r="BK202" s="42"/>
      <c r="BL202" s="42"/>
      <c r="BM202" s="42"/>
      <c r="BN202" s="42"/>
    </row>
    <row r="203" spans="1:66" ht="12.75" customHeight="1" x14ac:dyDescent="0.2">
      <c r="A203" s="1" t="s">
        <v>145</v>
      </c>
      <c r="B203" s="4">
        <f>_xll.ciqfunctions.udf.CIQ(InputTicker, "IQ_CHANGE_INVENTORY",Input!D$2,Date,,,Ccy,Conv)</f>
        <v>-272</v>
      </c>
      <c r="C203" s="4">
        <f>_xll.ciqfunctions.udf.CIQ(InputTicker, "IQ_CHANGE_INVENTORY",Input!E$2,Date,,,Ccy,Conv)</f>
        <v>600</v>
      </c>
      <c r="D203" s="4">
        <f>_xll.ciqfunctions.udf.CIQ(InputTicker, "IQ_CHANGE_INVENTORY",Input!F$2,Date,,,Ccy,Conv)</f>
        <v>50</v>
      </c>
      <c r="E203" s="4">
        <f>_xll.ciqfunctions.udf.CIQ(InputTicker, "IQ_CHANGE_INVENTORY",Input!G$2,Date,,,Ccy,Conv)</f>
        <v>-465</v>
      </c>
      <c r="F203" s="4">
        <f>_xll.ciqfunctions.udf.CIQ(InputTicker, "IQ_CHANGE_INVENTORY",Input!H$2,Date,,,Ccy,Conv)</f>
        <v>597</v>
      </c>
      <c r="G203" s="4">
        <f>_xll.ciqfunctions.udf.CIQ(InputTicker, "IQ_CHANGE_INVENTORY",Input!I$2,Date,,,Ccy,Conv)</f>
        <v>168</v>
      </c>
      <c r="H203" s="4">
        <f>_xll.ciqfunctions.udf.CIQ(InputTicker, "IQ_CHANGE_INVENTORY",Input!J$2,Date,,,Ccy,Conv)</f>
        <v>-737</v>
      </c>
      <c r="I203" s="4">
        <f>_xll.ciqfunctions.udf.CIQ(InputTicker, "IQ_CHANGE_INVENTORY",Input!K$2,Date,,,Ccy,Conv)</f>
        <v>-1123</v>
      </c>
      <c r="J203" s="4">
        <f>_xll.ciqfunctions.udf.CIQ(InputTicker, "IQ_CHANGE_INVENTORY",Input!L$2,Date,,,Ccy,Conv)</f>
        <v>1242</v>
      </c>
      <c r="K203" s="4">
        <f>_xll.ciqfunctions.udf.CIQ(InputTicker, "IQ_CHANGE_INVENTORY",Input!M$2,Date,,,Ccy,Conv)</f>
        <v>1284</v>
      </c>
      <c r="L203" s="4">
        <f>_xll.ciqfunctions.udf.CIQ(InputTicker, "IQ_CHANGE_INVENTORY",Input!N$2,Date,,,Ccy,Conv)</f>
        <v>309</v>
      </c>
      <c r="M203" s="4">
        <f>_xll.ciqfunctions.udf.CIQ(InputTicker, "IQ_CHANGE_INVENTORY",Input!O$2,Date,,,Ccy,Conv)</f>
        <v>-364</v>
      </c>
      <c r="N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  <c r="BA203" s="42"/>
      <c r="BB203" s="42"/>
      <c r="BC203" s="42"/>
      <c r="BD203" s="42"/>
      <c r="BE203" s="42"/>
      <c r="BF203" s="42"/>
      <c r="BG203" s="42"/>
      <c r="BH203" s="42"/>
      <c r="BI203" s="42"/>
      <c r="BJ203" s="42"/>
      <c r="BK203" s="42"/>
      <c r="BL203" s="42"/>
      <c r="BM203" s="42"/>
      <c r="BN203" s="42"/>
    </row>
    <row r="204" spans="1:66" ht="12.75" customHeight="1" x14ac:dyDescent="0.2">
      <c r="A204" s="1" t="s">
        <v>146</v>
      </c>
      <c r="B204" s="4">
        <f>_xll.ciqfunctions.udf.CIQ(InputTicker, "IQ_CHANGE_AP",Input!D$2,Date,,,Ccy,Conv)</f>
        <v>-1054</v>
      </c>
      <c r="C204" s="4">
        <f>_xll.ciqfunctions.udf.CIQ(InputTicker, "IQ_CHANGE_AP",Input!E$2,Date,,,Ccy,Conv)</f>
        <v>88</v>
      </c>
      <c r="D204" s="4">
        <f>_xll.ciqfunctions.udf.CIQ(InputTicker, "IQ_CHANGE_AP",Input!F$2,Date,,,Ccy,Conv)</f>
        <v>81</v>
      </c>
      <c r="E204" s="4">
        <f>_xll.ciqfunctions.udf.CIQ(InputTicker, "IQ_CHANGE_AP",Input!G$2,Date,,,Ccy,Conv)</f>
        <v>1148</v>
      </c>
      <c r="F204" s="4">
        <f>_xll.ciqfunctions.udf.CIQ(InputTicker, "IQ_CHANGE_AP",Input!H$2,Date,,,Ccy,Conv)</f>
        <v>232</v>
      </c>
      <c r="G204" s="4">
        <f>_xll.ciqfunctions.udf.CIQ(InputTicker, "IQ_CHANGE_AP",Input!I$2,Date,,,Ccy,Conv)</f>
        <v>3018</v>
      </c>
      <c r="H204" s="4">
        <f>_xll.ciqfunctions.udf.CIQ(InputTicker, "IQ_CHANGE_AP",Input!J$2,Date,,,Ccy,Conv)</f>
        <v>2798</v>
      </c>
      <c r="I204" s="4">
        <f>_xll.ciqfunctions.udf.CIQ(InputTicker, "IQ_CHANGE_AP",Input!K$2,Date,,,Ccy,Conv)</f>
        <v>2943</v>
      </c>
      <c r="J204" s="4">
        <f>_xll.ciqfunctions.udf.CIQ(InputTicker, "IQ_CHANGE_AP",Input!L$2,Date,,,Ccy,Conv)</f>
        <v>-2721</v>
      </c>
      <c r="K204" s="4">
        <f>_xll.ciqfunctions.udf.CIQ(InputTicker, "IQ_CHANGE_AP",Input!M$2,Date,,,Ccy,Conv)</f>
        <v>3545</v>
      </c>
      <c r="L204" s="4">
        <f>_xll.ciqfunctions.udf.CIQ(InputTicker, "IQ_CHANGE_AP",Input!N$2,Date,,,Ccy,Conv)</f>
        <v>569</v>
      </c>
      <c r="M204" s="4">
        <f>_xll.ciqfunctions.udf.CIQ(InputTicker, "IQ_CHANGE_AP",Input!O$2,Date,,,Ccy,Conv)</f>
        <v>2251</v>
      </c>
      <c r="N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  <c r="BA204" s="42"/>
      <c r="BB204" s="42"/>
      <c r="BC204" s="42"/>
      <c r="BD204" s="42"/>
      <c r="BE204" s="42"/>
      <c r="BF204" s="42"/>
      <c r="BG204" s="42"/>
      <c r="BH204" s="42"/>
      <c r="BI204" s="42"/>
      <c r="BJ204" s="42"/>
      <c r="BK204" s="42"/>
      <c r="BL204" s="42"/>
      <c r="BM204" s="42"/>
      <c r="BN204" s="42"/>
    </row>
    <row r="205" spans="1:66" ht="12.75" customHeight="1" x14ac:dyDescent="0.2">
      <c r="A205" s="1" t="s">
        <v>147</v>
      </c>
      <c r="B205" s="4">
        <f>_xll.ciqfunctions.udf.CIQ(InputTicker, "IQ_CHANGE_UNEARN_REV",Input!D$2,Date,,,Ccy,Conv)</f>
        <v>0</v>
      </c>
      <c r="C205" s="4">
        <f>_xll.ciqfunctions.udf.CIQ(InputTicker, "IQ_CHANGE_UNEARN_REV",Input!E$2,Date,,,Ccy,Conv)</f>
        <v>2565</v>
      </c>
      <c r="D205" s="4">
        <f>_xll.ciqfunctions.udf.CIQ(InputTicker, "IQ_CHANGE_UNEARN_REV",Input!F$2,Date,,,Ccy,Conv)</f>
        <v>3820</v>
      </c>
      <c r="E205" s="4">
        <f>_xll.ciqfunctions.udf.CIQ(InputTicker, "IQ_CHANGE_UNEARN_REV",Input!G$2,Date,,,Ccy,Conv)</f>
        <v>5922</v>
      </c>
      <c r="F205" s="4">
        <f>_xll.ciqfunctions.udf.CIQ(InputTicker, "IQ_CHANGE_UNEARN_REV",Input!H$2,Date,,,Ccy,Conv)</f>
        <v>4462</v>
      </c>
      <c r="G205" s="4">
        <f>_xll.ciqfunctions.udf.CIQ(InputTicker, "IQ_CHANGE_UNEARN_REV",Input!I$2,Date,,,Ccy,Conv)</f>
        <v>2212</v>
      </c>
      <c r="H205" s="4">
        <f>_xll.ciqfunctions.udf.CIQ(InputTicker, "IQ_CHANGE_UNEARN_REV",Input!J$2,Date,,,Ccy,Conv)</f>
        <v>4633</v>
      </c>
      <c r="I205" s="4">
        <f>_xll.ciqfunctions.udf.CIQ(InputTicker, "IQ_CHANGE_UNEARN_REV",Input!K$2,Date,,,Ccy,Conv)</f>
        <v>5109</v>
      </c>
      <c r="J205" s="4">
        <f>_xll.ciqfunctions.udf.CIQ(InputTicker, "IQ_CHANGE_UNEARN_REV",Input!L$2,Date,,,Ccy,Conv)</f>
        <v>5535</v>
      </c>
      <c r="K205" s="4">
        <f>_xll.ciqfunctions.udf.CIQ(InputTicker, "IQ_CHANGE_UNEARN_REV",Input!M$2,Date,,,Ccy,Conv)</f>
        <v>5348</v>
      </c>
      <c r="L205" s="4">
        <f>_xll.ciqfunctions.udf.CIQ(InputTicker, "IQ_CHANGE_UNEARN_REV",Input!N$2,Date,,,Ccy,Conv)</f>
        <v>5438</v>
      </c>
      <c r="M205" s="4">
        <f>_xll.ciqfunctions.udf.CIQ(InputTicker, "IQ_CHANGE_UNEARN_REV",Input!O$2,Date,,,Ccy,Conv)</f>
        <v>5294</v>
      </c>
      <c r="N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  <c r="BA205" s="42"/>
      <c r="BB205" s="42"/>
      <c r="BC205" s="42"/>
      <c r="BD205" s="42"/>
      <c r="BE205" s="42"/>
      <c r="BF205" s="42"/>
      <c r="BG205" s="42"/>
      <c r="BH205" s="42"/>
      <c r="BI205" s="42"/>
      <c r="BJ205" s="42"/>
      <c r="BK205" s="42"/>
      <c r="BL205" s="42"/>
      <c r="BM205" s="42"/>
      <c r="BN205" s="42"/>
    </row>
    <row r="206" spans="1:66" ht="12.75" customHeight="1" x14ac:dyDescent="0.2">
      <c r="A206" s="1" t="s">
        <v>208</v>
      </c>
      <c r="B206" s="4">
        <f>_xll.ciqfunctions.udf.CIQ(InputTicker, "IQ_CHANGE_INC_TAX",Input!D$2,Date,,,Ccy,Conv)</f>
        <v>0</v>
      </c>
      <c r="C206" s="4">
        <f>_xll.ciqfunctions.udf.CIQ(InputTicker, "IQ_CHANGE_INC_TAX",Input!E$2,Date,,,Ccy,Conv)</f>
        <v>-298</v>
      </c>
      <c r="D206" s="4">
        <f>_xll.ciqfunctions.udf.CIQ(InputTicker, "IQ_CHANGE_INC_TAX",Input!F$2,Date,,,Ccy,Conv)</f>
        <v>1792</v>
      </c>
      <c r="E206" s="4">
        <f>_xll.ciqfunctions.udf.CIQ(InputTicker, "IQ_CHANGE_INC_TAX",Input!G$2,Date,,,Ccy,Conv)</f>
        <v>18183</v>
      </c>
      <c r="F206" s="4">
        <f>_xll.ciqfunctions.udf.CIQ(InputTicker, "IQ_CHANGE_INC_TAX",Input!H$2,Date,,,Ccy,Conv)</f>
        <v>2929</v>
      </c>
      <c r="G206" s="4">
        <f>_xll.ciqfunctions.udf.CIQ(InputTicker, "IQ_CHANGE_INC_TAX",Input!I$2,Date,,,Ccy,Conv)</f>
        <v>-3631</v>
      </c>
      <c r="H206" s="4">
        <f>_xll.ciqfunctions.udf.CIQ(InputTicker, "IQ_CHANGE_INC_TAX",Input!J$2,Date,,,Ccy,Conv)</f>
        <v>-2309</v>
      </c>
      <c r="I206" s="4">
        <f>_xll.ciqfunctions.udf.CIQ(InputTicker, "IQ_CHANGE_INC_TAX",Input!K$2,Date,,,Ccy,Conv)</f>
        <v>696</v>
      </c>
      <c r="J206" s="4">
        <f>_xll.ciqfunctions.udf.CIQ(InputTicker, "IQ_CHANGE_INC_TAX",Input!L$2,Date,,,Ccy,Conv)</f>
        <v>-358</v>
      </c>
      <c r="K206" s="4">
        <f>_xll.ciqfunctions.udf.CIQ(InputTicker, "IQ_CHANGE_INC_TAX",Input!M$2,Date,,,Ccy,Conv)</f>
        <v>1687</v>
      </c>
      <c r="L206" s="4">
        <f>_xll.ciqfunctions.udf.CIQ(InputTicker, "IQ_CHANGE_INC_TAX",Input!N$2,Date,,,Ccy,Conv)</f>
        <v>-38</v>
      </c>
      <c r="M206" s="4">
        <f>_xll.ciqfunctions.udf.CIQ(InputTicker, "IQ_CHANGE_INC_TAX",Input!O$2,Date,,,Ccy,Conv)</f>
        <v>-525</v>
      </c>
      <c r="N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  <c r="BA206" s="42"/>
      <c r="BB206" s="42"/>
      <c r="BC206" s="42"/>
      <c r="BD206" s="42"/>
      <c r="BE206" s="42"/>
      <c r="BF206" s="42"/>
      <c r="BG206" s="42"/>
      <c r="BH206" s="42"/>
      <c r="BI206" s="42"/>
      <c r="BJ206" s="42"/>
      <c r="BK206" s="42"/>
      <c r="BL206" s="42"/>
      <c r="BM206" s="42"/>
      <c r="BN206" s="42"/>
    </row>
    <row r="207" spans="1:66" ht="12.75" customHeight="1" x14ac:dyDescent="0.2">
      <c r="A207" s="1" t="s">
        <v>148</v>
      </c>
      <c r="B207" s="4">
        <f>_xll.ciqfunctions.udf.CIQ(InputTicker, "IQ_CHANGE_DEF_TAX",Input!D$2,Date,,,Ccy,Conv)</f>
        <v>0</v>
      </c>
      <c r="C207" s="4">
        <f>_xll.ciqfunctions.udf.CIQ(InputTicker, "IQ_CHANGE_DEF_TAX",Input!E$2,Date,,,Ccy,Conv)</f>
        <v>0</v>
      </c>
      <c r="D207" s="4">
        <f>_xll.ciqfunctions.udf.CIQ(InputTicker, "IQ_CHANGE_DEF_TAX",Input!F$2,Date,,,Ccy,Conv)</f>
        <v>0</v>
      </c>
      <c r="E207" s="4">
        <f>_xll.ciqfunctions.udf.CIQ(InputTicker, "IQ_CHANGE_DEF_TAX",Input!G$2,Date,,,Ccy,Conv)</f>
        <v>0</v>
      </c>
      <c r="F207" s="4">
        <f>_xll.ciqfunctions.udf.CIQ(InputTicker, "IQ_CHANGE_DEF_TAX",Input!H$2,Date,,,Ccy,Conv)</f>
        <v>0</v>
      </c>
      <c r="G207" s="4">
        <f>_xll.ciqfunctions.udf.CIQ(InputTicker, "IQ_CHANGE_DEF_TAX",Input!I$2,Date,,,Ccy,Conv)</f>
        <v>0</v>
      </c>
      <c r="H207" s="4">
        <f>_xll.ciqfunctions.udf.CIQ(InputTicker, "IQ_CHANGE_DEF_TAX",Input!J$2,Date,,,Ccy,Conv)</f>
        <v>0</v>
      </c>
      <c r="I207" s="4">
        <f>_xll.ciqfunctions.udf.CIQ(InputTicker, "IQ_CHANGE_DEF_TAX",Input!K$2,Date,,,Ccy,Conv)</f>
        <v>0</v>
      </c>
      <c r="J207" s="4">
        <f>_xll.ciqfunctions.udf.CIQ(InputTicker, "IQ_CHANGE_DEF_TAX",Input!L$2,Date,,,Ccy,Conv)</f>
        <v>0</v>
      </c>
      <c r="K207" s="4">
        <f>_xll.ciqfunctions.udf.CIQ(InputTicker, "IQ_CHANGE_DEF_TAX",Input!M$2,Date,,,Ccy,Conv)</f>
        <v>0</v>
      </c>
      <c r="L207" s="4">
        <f>_xll.ciqfunctions.udf.CIQ(InputTicker, "IQ_CHANGE_DEF_TAX",Input!N$2,Date,,,Ccy,Conv)</f>
        <v>0</v>
      </c>
      <c r="M207" s="4">
        <f>_xll.ciqfunctions.udf.CIQ(InputTicker, "IQ_CHANGE_DEF_TAX",Input!O$2,Date,,,Ccy,Conv)</f>
        <v>0</v>
      </c>
      <c r="N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  <c r="BA207" s="42"/>
      <c r="BB207" s="42"/>
      <c r="BC207" s="42"/>
      <c r="BD207" s="42"/>
      <c r="BE207" s="42"/>
      <c r="BF207" s="42"/>
      <c r="BG207" s="42"/>
      <c r="BH207" s="42"/>
      <c r="BI207" s="42"/>
      <c r="BJ207" s="42"/>
      <c r="BK207" s="42"/>
      <c r="BL207" s="42"/>
      <c r="BM207" s="42"/>
      <c r="BN207" s="42"/>
    </row>
    <row r="208" spans="1:66" ht="12.75" customHeight="1" x14ac:dyDescent="0.2">
      <c r="A208" s="1" t="s">
        <v>370</v>
      </c>
      <c r="B208" s="4">
        <f>_xll.ciqfunctions.udf.CIQ(InputTicker, "IQ_CHANGE_OTHER_NET_OPER_ASSETS",Input!D$2,Date,,,Ccy,Conv)</f>
        <v>1383</v>
      </c>
      <c r="C208" s="4">
        <f>_xll.ciqfunctions.udf.CIQ(InputTicker, "IQ_CHANGE_OTHER_NET_OPER_ASSETS",Input!E$2,Date,,,Ccy,Conv)</f>
        <v>-2907</v>
      </c>
      <c r="D208" s="4">
        <f>_xll.ciqfunctions.udf.CIQ(InputTicker, "IQ_CHANGE_OTHER_NET_OPER_ASSETS",Input!F$2,Date,,,Ccy,Conv)</f>
        <v>349</v>
      </c>
      <c r="E208" s="4">
        <f>_xll.ciqfunctions.udf.CIQ(InputTicker, "IQ_CHANGE_OTHER_NET_OPER_ASSETS",Input!G$2,Date,,,Ccy,Conv)</f>
        <v>-459</v>
      </c>
      <c r="F208" s="4">
        <f>_xll.ciqfunctions.udf.CIQ(InputTicker, "IQ_CHANGE_OTHER_NET_OPER_ASSETS",Input!H$2,Date,,,Ccy,Conv)</f>
        <v>-1542</v>
      </c>
      <c r="G208" s="4">
        <f>_xll.ciqfunctions.udf.CIQ(InputTicker, "IQ_CHANGE_OTHER_NET_OPER_ASSETS",Input!I$2,Date,,,Ccy,Conv)</f>
        <v>-673</v>
      </c>
      <c r="H208" s="4">
        <f>_xll.ciqfunctions.udf.CIQ(InputTicker, "IQ_CHANGE_OTHER_NET_OPER_ASSETS",Input!J$2,Date,,,Ccy,Conv)</f>
        <v>1160</v>
      </c>
      <c r="I208" s="4">
        <f>_xll.ciqfunctions.udf.CIQ(InputTicker, "IQ_CHANGE_OTHER_NET_OPER_ASSETS",Input!K$2,Date,,,Ccy,Conv)</f>
        <v>-345</v>
      </c>
      <c r="J208" s="4">
        <f>_xll.ciqfunctions.udf.CIQ(InputTicker, "IQ_CHANGE_OTHER_NET_OPER_ASSETS",Input!L$2,Date,,,Ccy,Conv)</f>
        <v>-1999</v>
      </c>
      <c r="K208" s="4">
        <f>_xll.ciqfunctions.udf.CIQ(InputTicker, "IQ_CHANGE_OTHER_NET_OPER_ASSETS",Input!M$2,Date,,,Ccy,Conv)</f>
        <v>-2849</v>
      </c>
      <c r="L208" s="4">
        <f>_xll.ciqfunctions.udf.CIQ(InputTicker, "IQ_CHANGE_OTHER_NET_OPER_ASSETS",Input!N$2,Date,,,Ccy,Conv)</f>
        <v>-1047</v>
      </c>
      <c r="M208" s="4">
        <f>_xll.ciqfunctions.udf.CIQ(InputTicker, "IQ_CHANGE_OTHER_NET_OPER_ASSETS",Input!O$2,Date,,,Ccy,Conv)</f>
        <v>-5040</v>
      </c>
      <c r="N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  <c r="BA208" s="42"/>
      <c r="BB208" s="42"/>
      <c r="BC208" s="42"/>
      <c r="BD208" s="42"/>
      <c r="BE208" s="42"/>
      <c r="BF208" s="42"/>
      <c r="BG208" s="42"/>
      <c r="BH208" s="42"/>
      <c r="BI208" s="42"/>
      <c r="BJ208" s="42"/>
      <c r="BK208" s="42"/>
      <c r="BL208" s="42"/>
      <c r="BM208" s="42"/>
      <c r="BN208" s="42"/>
    </row>
    <row r="209" spans="1:66" ht="12.75" customHeight="1" thickBot="1" x14ac:dyDescent="0.25">
      <c r="A209" s="5" t="s">
        <v>103</v>
      </c>
      <c r="B209" s="9">
        <f>_xll.ciqfunctions.udf.CIQ(InputTicker, "IQ_CASH_OPER",Input!D$2,Date,,,Ccy,Conv)</f>
        <v>29668</v>
      </c>
      <c r="C209" s="9">
        <f>_xll.ciqfunctions.udf.CIQ(InputTicker, "IQ_CASH_OPER",Input!E$2,Date,,,Ccy,Conv)</f>
        <v>33325</v>
      </c>
      <c r="D209" s="9">
        <f>_xll.ciqfunctions.udf.CIQ(InputTicker, "IQ_CASH_OPER",Input!F$2,Date,,,Ccy,Conv)</f>
        <v>39507</v>
      </c>
      <c r="E209" s="9">
        <f>_xll.ciqfunctions.udf.CIQ(InputTicker, "IQ_CASH_OPER",Input!G$2,Date,,,Ccy,Conv)</f>
        <v>43884</v>
      </c>
      <c r="F209" s="9">
        <f>_xll.ciqfunctions.udf.CIQ(InputTicker, "IQ_CASH_OPER",Input!H$2,Date,,,Ccy,Conv)</f>
        <v>52185</v>
      </c>
      <c r="G209" s="9">
        <f>_xll.ciqfunctions.udf.CIQ(InputTicker, "IQ_CASH_OPER",Input!I$2,Date,,,Ccy,Conv)</f>
        <v>60675</v>
      </c>
      <c r="H209" s="9">
        <f>_xll.ciqfunctions.udf.CIQ(InputTicker, "IQ_CASH_OPER",Input!J$2,Date,,,Ccy,Conv)</f>
        <v>76740</v>
      </c>
      <c r="I209" s="9">
        <f>_xll.ciqfunctions.udf.CIQ(InputTicker, "IQ_CASH_OPER",Input!K$2,Date,,,Ccy,Conv)</f>
        <v>89035</v>
      </c>
      <c r="J209" s="9">
        <f>_xll.ciqfunctions.udf.CIQ(InputTicker, "IQ_CASH_OPER",Input!L$2,Date,,,Ccy,Conv)</f>
        <v>87582</v>
      </c>
      <c r="K209" s="9">
        <f>_xll.ciqfunctions.udf.CIQ(InputTicker, "IQ_CASH_OPER",Input!M$2,Date,,,Ccy,Conv)</f>
        <v>118548</v>
      </c>
      <c r="L209" s="9">
        <f>_xll.ciqfunctions.udf.CIQ(InputTicker, "IQ_CASH_OPER",Input!N$2,Date,,,Ccy,Conv)</f>
        <v>136162</v>
      </c>
      <c r="M209" s="9">
        <f>_xll.ciqfunctions.udf.CIQ(InputTicker, "IQ_CASH_OPER",Input!O$2,Date,,,Ccy,Conv)</f>
        <v>170141</v>
      </c>
      <c r="N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  <c r="BA209" s="42"/>
      <c r="BB209" s="42"/>
      <c r="BC209" s="42"/>
      <c r="BD209" s="42"/>
      <c r="BE209" s="42"/>
      <c r="BF209" s="42"/>
      <c r="BG209" s="42"/>
      <c r="BH209" s="42"/>
      <c r="BI209" s="42"/>
      <c r="BJ209" s="42"/>
      <c r="BK209" s="42"/>
      <c r="BL209" s="42"/>
      <c r="BM209" s="42"/>
      <c r="BN209" s="42"/>
    </row>
    <row r="210" spans="1:66" ht="12.75" customHeight="1" thickTop="1" x14ac:dyDescent="0.2">
      <c r="A210" s="1" t="s">
        <v>104</v>
      </c>
      <c r="B210" s="4">
        <f>_xll.ciqfunctions.udf.CIQ(InputTicker, "IQ_CAPEX",Input!D$2,Date,,,Ccy,Conv)</f>
        <v>-5944</v>
      </c>
      <c r="C210" s="4">
        <f>_xll.ciqfunctions.udf.CIQ(InputTicker, "IQ_CAPEX",Input!E$2,Date,,,Ccy,Conv)</f>
        <v>-8343</v>
      </c>
      <c r="D210" s="4">
        <f>_xll.ciqfunctions.udf.CIQ(InputTicker, "IQ_CAPEX",Input!F$2,Date,,,Ccy,Conv)</f>
        <v>-8129</v>
      </c>
      <c r="E210" s="4">
        <f>_xll.ciqfunctions.udf.CIQ(InputTicker, "IQ_CAPEX",Input!G$2,Date,,,Ccy,Conv)</f>
        <v>-11632</v>
      </c>
      <c r="F210" s="4">
        <f>_xll.ciqfunctions.udf.CIQ(InputTicker, "IQ_CAPEX",Input!H$2,Date,,,Ccy,Conv)</f>
        <v>-13925</v>
      </c>
      <c r="G210" s="4">
        <f>_xll.ciqfunctions.udf.CIQ(InputTicker, "IQ_CAPEX",Input!I$2,Date,,,Ccy,Conv)</f>
        <v>-15441</v>
      </c>
      <c r="H210" s="4">
        <f>_xll.ciqfunctions.udf.CIQ(InputTicker, "IQ_CAPEX",Input!J$2,Date,,,Ccy,Conv)</f>
        <v>-20622</v>
      </c>
      <c r="I210" s="4">
        <f>_xll.ciqfunctions.udf.CIQ(InputTicker, "IQ_CAPEX",Input!K$2,Date,,,Ccy,Conv)</f>
        <v>-23886</v>
      </c>
      <c r="J210" s="4">
        <f>_xll.ciqfunctions.udf.CIQ(InputTicker, "IQ_CAPEX",Input!L$2,Date,,,Ccy,Conv)</f>
        <v>-28107</v>
      </c>
      <c r="K210" s="4">
        <f>_xll.ciqfunctions.udf.CIQ(InputTicker, "IQ_CAPEX",Input!M$2,Date,,,Ccy,Conv)</f>
        <v>-44477</v>
      </c>
      <c r="L210" s="4">
        <f>_xll.ciqfunctions.udf.CIQ(InputTicker, "IQ_CAPEX",Input!N$2,Date,,,Ccy,Conv)</f>
        <v>-64551</v>
      </c>
      <c r="M210" s="4">
        <f>_xll.ciqfunctions.udf.CIQ(InputTicker, "IQ_CAPEX",Input!O$2,Date,,,Ccy,Conv)</f>
        <v>-97225</v>
      </c>
      <c r="N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  <c r="BA210" s="42"/>
      <c r="BB210" s="42"/>
      <c r="BC210" s="42"/>
      <c r="BD210" s="42"/>
      <c r="BE210" s="42"/>
      <c r="BF210" s="42"/>
      <c r="BG210" s="42"/>
      <c r="BH210" s="42"/>
      <c r="BI210" s="42"/>
      <c r="BJ210" s="42"/>
      <c r="BK210" s="42"/>
      <c r="BL210" s="42"/>
      <c r="BM210" s="42"/>
      <c r="BN210" s="42"/>
    </row>
    <row r="211" spans="1:66" ht="12.75" customHeight="1" x14ac:dyDescent="0.2">
      <c r="A211" s="1" t="s">
        <v>105</v>
      </c>
      <c r="B211" s="4">
        <f>_xll.ciqfunctions.udf.CIQ(InputTicker, "IQ_SALE_PPE_CF",Input!D$2,Date,,,Ccy,Conv)</f>
        <v>0</v>
      </c>
      <c r="C211" s="4">
        <f>_xll.ciqfunctions.udf.CIQ(InputTicker, "IQ_SALE_PPE_CF",Input!E$2,Date,,,Ccy,Conv)</f>
        <v>0</v>
      </c>
      <c r="D211" s="4">
        <f>_xll.ciqfunctions.udf.CIQ(InputTicker, "IQ_SALE_PPE_CF",Input!F$2,Date,,,Ccy,Conv)</f>
        <v>0</v>
      </c>
      <c r="E211" s="4">
        <f>_xll.ciqfunctions.udf.CIQ(InputTicker, "IQ_SALE_PPE_CF",Input!G$2,Date,,,Ccy,Conv)</f>
        <v>0</v>
      </c>
      <c r="F211" s="4">
        <f>_xll.ciqfunctions.udf.CIQ(InputTicker, "IQ_SALE_PPE_CF",Input!H$2,Date,,,Ccy,Conv)</f>
        <v>0</v>
      </c>
      <c r="G211" s="4">
        <f>_xll.ciqfunctions.udf.CIQ(InputTicker, "IQ_SALE_PPE_CF",Input!I$2,Date,,,Ccy,Conv)</f>
        <v>0</v>
      </c>
      <c r="H211" s="4">
        <f>_xll.ciqfunctions.udf.CIQ(InputTicker, "IQ_SALE_PPE_CF",Input!J$2,Date,,,Ccy,Conv)</f>
        <v>0</v>
      </c>
      <c r="I211" s="4">
        <f>_xll.ciqfunctions.udf.CIQ(InputTicker, "IQ_SALE_PPE_CF",Input!K$2,Date,,,Ccy,Conv)</f>
        <v>0</v>
      </c>
      <c r="J211" s="4">
        <f>_xll.ciqfunctions.udf.CIQ(InputTicker, "IQ_SALE_PPE_CF",Input!L$2,Date,,,Ccy,Conv)</f>
        <v>0</v>
      </c>
      <c r="K211" s="4">
        <f>_xll.ciqfunctions.udf.CIQ(InputTicker, "IQ_SALE_PPE_CF",Input!M$2,Date,,,Ccy,Conv)</f>
        <v>0</v>
      </c>
      <c r="L211" s="4">
        <f>_xll.ciqfunctions.udf.CIQ(InputTicker, "IQ_SALE_PPE_CF",Input!N$2,Date,,,Ccy,Conv)</f>
        <v>0</v>
      </c>
      <c r="M211" s="4">
        <f>_xll.ciqfunctions.udf.CIQ(InputTicker, "IQ_SALE_PPE_CF",Input!O$2,Date,,,Ccy,Conv)</f>
        <v>0</v>
      </c>
      <c r="N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  <c r="BA211" s="42"/>
      <c r="BB211" s="42"/>
      <c r="BC211" s="42"/>
      <c r="BD211" s="42"/>
      <c r="BE211" s="42"/>
      <c r="BF211" s="42"/>
      <c r="BG211" s="42"/>
      <c r="BH211" s="42"/>
      <c r="BI211" s="42"/>
      <c r="BJ211" s="42"/>
      <c r="BK211" s="42"/>
      <c r="BL211" s="42"/>
      <c r="BM211" s="42"/>
      <c r="BN211" s="42"/>
    </row>
    <row r="212" spans="1:66" ht="12.75" customHeight="1" x14ac:dyDescent="0.2">
      <c r="A212" s="1" t="s">
        <v>106</v>
      </c>
      <c r="B212" s="4">
        <f>_xll.ciqfunctions.udf.CIQ(InputTicker, "IQ_CASH_ACQUIRE_CF",Input!D$2,Date,,,Ccy,Conv)</f>
        <v>-3723</v>
      </c>
      <c r="C212" s="4">
        <f>_xll.ciqfunctions.udf.CIQ(InputTicker, "IQ_CASH_ACQUIRE_CF",Input!E$2,Date,,,Ccy,Conv)</f>
        <v>-1393</v>
      </c>
      <c r="D212" s="4">
        <f>_xll.ciqfunctions.udf.CIQ(InputTicker, "IQ_CASH_ACQUIRE_CF",Input!F$2,Date,,,Ccy,Conv)</f>
        <v>-25944</v>
      </c>
      <c r="E212" s="4">
        <f>_xll.ciqfunctions.udf.CIQ(InputTicker, "IQ_CASH_ACQUIRE_CF",Input!G$2,Date,,,Ccy,Conv)</f>
        <v>-888</v>
      </c>
      <c r="F212" s="4">
        <f>_xll.ciqfunctions.udf.CIQ(InputTicker, "IQ_CASH_ACQUIRE_CF",Input!H$2,Date,,,Ccy,Conv)</f>
        <v>-2388</v>
      </c>
      <c r="G212" s="4">
        <f>_xll.ciqfunctions.udf.CIQ(InputTicker, "IQ_CASH_ACQUIRE_CF",Input!I$2,Date,,,Ccy,Conv)</f>
        <v>-2521</v>
      </c>
      <c r="H212" s="4">
        <f>_xll.ciqfunctions.udf.CIQ(InputTicker, "IQ_CASH_ACQUIRE_CF",Input!J$2,Date,,,Ccy,Conv)</f>
        <v>-8909</v>
      </c>
      <c r="I212" s="4">
        <f>_xll.ciqfunctions.udf.CIQ(InputTicker, "IQ_CASH_ACQUIRE_CF",Input!K$2,Date,,,Ccy,Conv)</f>
        <v>-22038</v>
      </c>
      <c r="J212" s="4">
        <f>_xll.ciqfunctions.udf.CIQ(InputTicker, "IQ_CASH_ACQUIRE_CF",Input!L$2,Date,,,Ccy,Conv)</f>
        <v>-1670</v>
      </c>
      <c r="K212" s="4">
        <f>_xll.ciqfunctions.udf.CIQ(InputTicker, "IQ_CASH_ACQUIRE_CF",Input!M$2,Date,,,Ccy,Conv)</f>
        <v>-69132</v>
      </c>
      <c r="L212" s="4">
        <f>_xll.ciqfunctions.udf.CIQ(InputTicker, "IQ_CASH_ACQUIRE_CF",Input!N$2,Date,,,Ccy,Conv)</f>
        <v>-5978</v>
      </c>
      <c r="M212" s="4">
        <f>_xll.ciqfunctions.udf.CIQ(InputTicker, "IQ_CASH_ACQUIRE_CF",Input!O$2,Date,,,Ccy,Conv)</f>
        <v>-3034</v>
      </c>
      <c r="N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  <c r="BA212" s="42"/>
      <c r="BB212" s="42"/>
      <c r="BC212" s="42"/>
      <c r="BD212" s="42"/>
      <c r="BE212" s="42"/>
      <c r="BF212" s="42"/>
      <c r="BG212" s="42"/>
      <c r="BH212" s="42"/>
      <c r="BI212" s="42"/>
      <c r="BJ212" s="42"/>
      <c r="BK212" s="42"/>
      <c r="BL212" s="42"/>
      <c r="BM212" s="42"/>
      <c r="BN212" s="42"/>
    </row>
    <row r="213" spans="1:66" ht="12.75" customHeight="1" x14ac:dyDescent="0.2">
      <c r="A213" s="1" t="s">
        <v>107</v>
      </c>
      <c r="B213" s="4">
        <f>_xll.ciqfunctions.udf.CIQ(InputTicker, "IQ_DIVEST_CF",Input!D$2,Date,,,Ccy,Conv)</f>
        <v>0</v>
      </c>
      <c r="C213" s="4">
        <f>_xll.ciqfunctions.udf.CIQ(InputTicker, "IQ_DIVEST_CF",Input!E$2,Date,,,Ccy,Conv)</f>
        <v>0</v>
      </c>
      <c r="D213" s="4">
        <f>_xll.ciqfunctions.udf.CIQ(InputTicker, "IQ_DIVEST_CF",Input!F$2,Date,,,Ccy,Conv)</f>
        <v>0</v>
      </c>
      <c r="E213" s="4">
        <f>_xll.ciqfunctions.udf.CIQ(InputTicker, "IQ_DIVEST_CF",Input!G$2,Date,,,Ccy,Conv)</f>
        <v>0</v>
      </c>
      <c r="F213" s="4">
        <f>_xll.ciqfunctions.udf.CIQ(InputTicker, "IQ_DIVEST_CF",Input!H$2,Date,,,Ccy,Conv)</f>
        <v>0</v>
      </c>
      <c r="G213" s="4">
        <f>_xll.ciqfunctions.udf.CIQ(InputTicker, "IQ_DIVEST_CF",Input!I$2,Date,,,Ccy,Conv)</f>
        <v>0</v>
      </c>
      <c r="H213" s="4">
        <f>_xll.ciqfunctions.udf.CIQ(InputTicker, "IQ_DIVEST_CF",Input!J$2,Date,,,Ccy,Conv)</f>
        <v>0</v>
      </c>
      <c r="I213" s="4">
        <f>_xll.ciqfunctions.udf.CIQ(InputTicker, "IQ_DIVEST_CF",Input!K$2,Date,,,Ccy,Conv)</f>
        <v>0</v>
      </c>
      <c r="J213" s="4">
        <f>_xll.ciqfunctions.udf.CIQ(InputTicker, "IQ_DIVEST_CF",Input!L$2,Date,,,Ccy,Conv)</f>
        <v>0</v>
      </c>
      <c r="K213" s="4">
        <f>_xll.ciqfunctions.udf.CIQ(InputTicker, "IQ_DIVEST_CF",Input!M$2,Date,,,Ccy,Conv)</f>
        <v>0</v>
      </c>
      <c r="L213" s="4">
        <f>_xll.ciqfunctions.udf.CIQ(InputTicker, "IQ_DIVEST_CF",Input!N$2,Date,,,Ccy,Conv)</f>
        <v>0</v>
      </c>
      <c r="M213" s="4">
        <f>_xll.ciqfunctions.udf.CIQ(InputTicker, "IQ_DIVEST_CF",Input!O$2,Date,,,Ccy,Conv)</f>
        <v>0</v>
      </c>
      <c r="N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  <c r="BA213" s="42"/>
      <c r="BB213" s="42"/>
      <c r="BC213" s="42"/>
      <c r="BD213" s="42"/>
      <c r="BE213" s="42"/>
      <c r="BF213" s="42"/>
      <c r="BG213" s="42"/>
      <c r="BH213" s="42"/>
      <c r="BI213" s="42"/>
      <c r="BJ213" s="42"/>
      <c r="BK213" s="42"/>
      <c r="BL213" s="42"/>
      <c r="BM213" s="42"/>
      <c r="BN213" s="42"/>
    </row>
    <row r="214" spans="1:66" ht="12.75" customHeight="1" x14ac:dyDescent="0.2">
      <c r="A214" s="1" t="s">
        <v>279</v>
      </c>
      <c r="B214" s="4">
        <f>_xll.ciqfunctions.udf.CIQ(InputTicker, "IQ_SALE_REAL_ESTATE_CF",Input!D$2,Date,,,Ccy,Conv)</f>
        <v>0</v>
      </c>
      <c r="C214" s="4">
        <f>_xll.ciqfunctions.udf.CIQ(InputTicker, "IQ_SALE_REAL_ESTATE_CF",Input!E$2,Date,,,Ccy,Conv)</f>
        <v>0</v>
      </c>
      <c r="D214" s="4">
        <f>_xll.ciqfunctions.udf.CIQ(InputTicker, "IQ_SALE_REAL_ESTATE_CF",Input!F$2,Date,,,Ccy,Conv)</f>
        <v>0</v>
      </c>
      <c r="E214" s="4">
        <f>_xll.ciqfunctions.udf.CIQ(InputTicker, "IQ_SALE_REAL_ESTATE_CF",Input!G$2,Date,,,Ccy,Conv)</f>
        <v>0</v>
      </c>
      <c r="F214" s="4">
        <f>_xll.ciqfunctions.udf.CIQ(InputTicker, "IQ_SALE_REAL_ESTATE_CF",Input!H$2,Date,,,Ccy,Conv)</f>
        <v>0</v>
      </c>
      <c r="G214" s="4">
        <f>_xll.ciqfunctions.udf.CIQ(InputTicker, "IQ_SALE_REAL_ESTATE_CF",Input!I$2,Date,,,Ccy,Conv)</f>
        <v>0</v>
      </c>
      <c r="H214" s="4">
        <f>_xll.ciqfunctions.udf.CIQ(InputTicker, "IQ_SALE_REAL_ESTATE_CF",Input!J$2,Date,,,Ccy,Conv)</f>
        <v>0</v>
      </c>
      <c r="I214" s="4">
        <f>_xll.ciqfunctions.udf.CIQ(InputTicker, "IQ_SALE_REAL_ESTATE_CF",Input!K$2,Date,,,Ccy,Conv)</f>
        <v>0</v>
      </c>
      <c r="J214" s="4">
        <f>_xll.ciqfunctions.udf.CIQ(InputTicker, "IQ_SALE_REAL_ESTATE_CF",Input!L$2,Date,,,Ccy,Conv)</f>
        <v>0</v>
      </c>
      <c r="K214" s="4">
        <f>_xll.ciqfunctions.udf.CIQ(InputTicker, "IQ_SALE_REAL_ESTATE_CF",Input!M$2,Date,,,Ccy,Conv)</f>
        <v>0</v>
      </c>
      <c r="L214" s="4">
        <f>_xll.ciqfunctions.udf.CIQ(InputTicker, "IQ_SALE_REAL_ESTATE_CF",Input!N$2,Date,,,Ccy,Conv)</f>
        <v>0</v>
      </c>
      <c r="M214" s="4">
        <f>_xll.ciqfunctions.udf.CIQ(InputTicker, "IQ_SALE_REAL_ESTATE_CF",Input!O$2,Date,,,Ccy,Conv)</f>
        <v>0</v>
      </c>
      <c r="N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  <c r="BA214" s="42"/>
      <c r="BB214" s="42"/>
      <c r="BC214" s="42"/>
      <c r="BD214" s="42"/>
      <c r="BE214" s="42"/>
      <c r="BF214" s="42"/>
      <c r="BG214" s="42"/>
      <c r="BH214" s="42"/>
      <c r="BI214" s="42"/>
      <c r="BJ214" s="42"/>
      <c r="BK214" s="42"/>
      <c r="BL214" s="42"/>
      <c r="BM214" s="42"/>
      <c r="BN214" s="42"/>
    </row>
    <row r="215" spans="1:66" ht="12.75" customHeight="1" x14ac:dyDescent="0.2">
      <c r="A215" s="1" t="s">
        <v>280</v>
      </c>
      <c r="B215" s="4">
        <f>_xll.ciqfunctions.udf.CIQ(InputTicker, "IQ_SALE_INTAN_CF",Input!D$2,Date,,,Ccy,Conv)</f>
        <v>0</v>
      </c>
      <c r="C215" s="4">
        <f>_xll.ciqfunctions.udf.CIQ(InputTicker, "IQ_SALE_INTAN_CF",Input!E$2,Date,,,Ccy,Conv)</f>
        <v>0</v>
      </c>
      <c r="D215" s="4">
        <f>_xll.ciqfunctions.udf.CIQ(InputTicker, "IQ_SALE_INTAN_CF",Input!F$2,Date,,,Ccy,Conv)</f>
        <v>0</v>
      </c>
      <c r="E215" s="4">
        <f>_xll.ciqfunctions.udf.CIQ(InputTicker, "IQ_SALE_INTAN_CF",Input!G$2,Date,,,Ccy,Conv)</f>
        <v>0</v>
      </c>
      <c r="F215" s="4">
        <f>_xll.ciqfunctions.udf.CIQ(InputTicker, "IQ_SALE_INTAN_CF",Input!H$2,Date,,,Ccy,Conv)</f>
        <v>0</v>
      </c>
      <c r="G215" s="4">
        <f>_xll.ciqfunctions.udf.CIQ(InputTicker, "IQ_SALE_INTAN_CF",Input!I$2,Date,,,Ccy,Conv)</f>
        <v>0</v>
      </c>
      <c r="H215" s="4">
        <f>_xll.ciqfunctions.udf.CIQ(InputTicker, "IQ_SALE_INTAN_CF",Input!J$2,Date,,,Ccy,Conv)</f>
        <v>0</v>
      </c>
      <c r="I215" s="4">
        <f>_xll.ciqfunctions.udf.CIQ(InputTicker, "IQ_SALE_INTAN_CF",Input!K$2,Date,,,Ccy,Conv)</f>
        <v>0</v>
      </c>
      <c r="J215" s="4">
        <f>_xll.ciqfunctions.udf.CIQ(InputTicker, "IQ_SALE_INTAN_CF",Input!L$2,Date,,,Ccy,Conv)</f>
        <v>0</v>
      </c>
      <c r="K215" s="4">
        <f>_xll.ciqfunctions.udf.CIQ(InputTicker, "IQ_SALE_INTAN_CF",Input!M$2,Date,,,Ccy,Conv)</f>
        <v>0</v>
      </c>
      <c r="L215" s="4">
        <f>_xll.ciqfunctions.udf.CIQ(InputTicker, "IQ_SALE_INTAN_CF",Input!N$2,Date,,,Ccy,Conv)</f>
        <v>0</v>
      </c>
      <c r="M215" s="4">
        <f>_xll.ciqfunctions.udf.CIQ(InputTicker, "IQ_SALE_INTAN_CF",Input!O$2,Date,,,Ccy,Conv)</f>
        <v>0</v>
      </c>
      <c r="N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  <c r="BA215" s="42"/>
      <c r="BB215" s="42"/>
      <c r="BC215" s="42"/>
      <c r="BD215" s="42"/>
      <c r="BE215" s="42"/>
      <c r="BF215" s="42"/>
      <c r="BG215" s="42"/>
      <c r="BH215" s="42"/>
      <c r="BI215" s="42"/>
      <c r="BJ215" s="42"/>
      <c r="BK215" s="42"/>
      <c r="BL215" s="42"/>
      <c r="BM215" s="42"/>
      <c r="BN215" s="42"/>
    </row>
    <row r="216" spans="1:66" ht="12.75" customHeight="1" x14ac:dyDescent="0.2">
      <c r="A216" s="1" t="s">
        <v>281</v>
      </c>
      <c r="B216" s="4">
        <f>_xll.ciqfunctions.udf.CIQ(InputTicker, "IQ_INVEST_SECURITY_CF",Input!D$2,Date,,,Ccy,Conv)</f>
        <v>-12868</v>
      </c>
      <c r="C216" s="4">
        <f>_xll.ciqfunctions.udf.CIQ(InputTicker, "IQ_INVEST_SECURITY_CF",Input!E$2,Date,,,Ccy,Conv)</f>
        <v>-14417</v>
      </c>
      <c r="D216" s="4">
        <f>_xll.ciqfunctions.udf.CIQ(InputTicker, "IQ_INVEST_SECURITY_CF",Input!F$2,Date,,,Ccy,Conv)</f>
        <v>-12511</v>
      </c>
      <c r="E216" s="4">
        <f>_xll.ciqfunctions.udf.CIQ(InputTicker, "IQ_INVEST_SECURITY_CF",Input!G$2,Date,,,Ccy,Conv)</f>
        <v>6557</v>
      </c>
      <c r="F216" s="4">
        <f>_xll.ciqfunctions.udf.CIQ(InputTicker, "IQ_INVEST_SECURITY_CF",Input!H$2,Date,,,Ccy,Conv)</f>
        <v>540</v>
      </c>
      <c r="G216" s="4">
        <f>_xll.ciqfunctions.udf.CIQ(InputTicker, "IQ_INVEST_SECURITY_CF",Input!I$2,Date,,,Ccy,Conv)</f>
        <v>6980</v>
      </c>
      <c r="H216" s="4">
        <f>_xll.ciqfunctions.udf.CIQ(InputTicker, "IQ_INVEST_SECURITY_CF",Input!J$2,Date,,,Ccy,Conv)</f>
        <v>2876</v>
      </c>
      <c r="I216" s="4">
        <f>_xll.ciqfunctions.udf.CIQ(InputTicker, "IQ_INVEST_SECURITY_CF",Input!K$2,Date,,,Ccy,Conv)</f>
        <v>18438</v>
      </c>
      <c r="J216" s="4">
        <f>_xll.ciqfunctions.udf.CIQ(InputTicker, "IQ_INVEST_SECURITY_CF",Input!L$2,Date,,,Ccy,Conv)</f>
        <v>10213</v>
      </c>
      <c r="K216" s="4">
        <f>_xll.ciqfunctions.udf.CIQ(InputTicker, "IQ_INVEST_SECURITY_CF",Input!M$2,Date,,,Ccy,Conv)</f>
        <v>17937</v>
      </c>
      <c r="L216" s="4">
        <f>_xll.ciqfunctions.udf.CIQ(InputTicker, "IQ_INVEST_SECURITY_CF",Input!N$2,Date,,,Ccy,Conv)</f>
        <v>-4387</v>
      </c>
      <c r="M216" s="4">
        <f>_xll.ciqfunctions.udf.CIQ(InputTicker, "IQ_INVEST_SECURITY_CF",Input!O$2,Date,,,Ccy,Conv)</f>
        <v>-8179</v>
      </c>
      <c r="N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  <c r="BA216" s="42"/>
      <c r="BB216" s="42"/>
      <c r="BC216" s="42"/>
      <c r="BD216" s="42"/>
      <c r="BE216" s="42"/>
      <c r="BF216" s="42"/>
      <c r="BG216" s="42"/>
      <c r="BH216" s="42"/>
      <c r="BI216" s="42"/>
      <c r="BJ216" s="42"/>
      <c r="BK216" s="42"/>
      <c r="BL216" s="42"/>
      <c r="BM216" s="42"/>
      <c r="BN216" s="42"/>
    </row>
    <row r="217" spans="1:66" ht="12.75" customHeight="1" x14ac:dyDescent="0.2">
      <c r="A217" s="1" t="s">
        <v>149</v>
      </c>
      <c r="B217" s="4">
        <f>_xll.ciqfunctions.udf.CIQ(InputTicker, "IQ_INVEST_LOANS_CF",Input!D$2,Date,,,Ccy,Conv)</f>
        <v>0</v>
      </c>
      <c r="C217" s="4">
        <f>_xll.ciqfunctions.udf.CIQ(InputTicker, "IQ_INVEST_LOANS_CF",Input!E$2,Date,,,Ccy,Conv)</f>
        <v>0</v>
      </c>
      <c r="D217" s="4">
        <f>_xll.ciqfunctions.udf.CIQ(InputTicker, "IQ_INVEST_LOANS_CF",Input!F$2,Date,,,Ccy,Conv)</f>
        <v>0</v>
      </c>
      <c r="E217" s="4">
        <f>_xll.ciqfunctions.udf.CIQ(InputTicker, "IQ_INVEST_LOANS_CF",Input!G$2,Date,,,Ccy,Conv)</f>
        <v>0</v>
      </c>
      <c r="F217" s="4">
        <f>_xll.ciqfunctions.udf.CIQ(InputTicker, "IQ_INVEST_LOANS_CF",Input!H$2,Date,,,Ccy,Conv)</f>
        <v>0</v>
      </c>
      <c r="G217" s="4">
        <f>_xll.ciqfunctions.udf.CIQ(InputTicker, "IQ_INVEST_LOANS_CF",Input!I$2,Date,,,Ccy,Conv)</f>
        <v>0</v>
      </c>
      <c r="H217" s="4">
        <f>_xll.ciqfunctions.udf.CIQ(InputTicker, "IQ_INVEST_LOANS_CF",Input!J$2,Date,,,Ccy,Conv)</f>
        <v>0</v>
      </c>
      <c r="I217" s="4">
        <f>_xll.ciqfunctions.udf.CIQ(InputTicker, "IQ_INVEST_LOANS_CF",Input!K$2,Date,,,Ccy,Conv)</f>
        <v>0</v>
      </c>
      <c r="J217" s="4">
        <f>_xll.ciqfunctions.udf.CIQ(InputTicker, "IQ_INVEST_LOANS_CF",Input!L$2,Date,,,Ccy,Conv)</f>
        <v>0</v>
      </c>
      <c r="K217" s="4">
        <f>_xll.ciqfunctions.udf.CIQ(InputTicker, "IQ_INVEST_LOANS_CF",Input!M$2,Date,,,Ccy,Conv)</f>
        <v>0</v>
      </c>
      <c r="L217" s="4">
        <f>_xll.ciqfunctions.udf.CIQ(InputTicker, "IQ_INVEST_LOANS_CF",Input!N$2,Date,,,Ccy,Conv)</f>
        <v>0</v>
      </c>
      <c r="M217" s="4">
        <f>_xll.ciqfunctions.udf.CIQ(InputTicker, "IQ_INVEST_LOANS_CF",Input!O$2,Date,,,Ccy,Conv)</f>
        <v>0</v>
      </c>
      <c r="N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  <c r="BA217" s="42"/>
      <c r="BB217" s="42"/>
      <c r="BC217" s="42"/>
      <c r="BD217" s="42"/>
      <c r="BE217" s="42"/>
      <c r="BF217" s="42"/>
      <c r="BG217" s="42"/>
      <c r="BH217" s="42"/>
      <c r="BI217" s="42"/>
      <c r="BJ217" s="42"/>
      <c r="BK217" s="42"/>
      <c r="BL217" s="42"/>
      <c r="BM217" s="42"/>
      <c r="BN217" s="42"/>
    </row>
    <row r="218" spans="1:66" ht="12.75" customHeight="1" x14ac:dyDescent="0.2">
      <c r="A218" s="1" t="s">
        <v>150</v>
      </c>
      <c r="B218" s="4">
        <f>_xll.ciqfunctions.udf.CIQ(InputTicker, "IQ_OTHER_INVEST_ACT_SUPPL",Input!D$2,Date,,,Ccy,Conv)</f>
        <v>-466</v>
      </c>
      <c r="C218" s="4">
        <f>_xll.ciqfunctions.udf.CIQ(InputTicker, "IQ_OTHER_INVEST_ACT_SUPPL",Input!E$2,Date,,,Ccy,Conv)</f>
        <v>203</v>
      </c>
      <c r="D218" s="4">
        <f>_xll.ciqfunctions.udf.CIQ(InputTicker, "IQ_OTHER_INVEST_ACT_SUPPL",Input!F$2,Date,,,Ccy,Conv)</f>
        <v>-197</v>
      </c>
      <c r="E218" s="4">
        <f>_xll.ciqfunctions.udf.CIQ(InputTicker, "IQ_OTHER_INVEST_ACT_SUPPL",Input!G$2,Date,,,Ccy,Conv)</f>
        <v>-98</v>
      </c>
      <c r="F218" s="4">
        <f>_xll.ciqfunctions.udf.CIQ(InputTicker, "IQ_OTHER_INVEST_ACT_SUPPL",Input!H$2,Date,,,Ccy,Conv)</f>
        <v>0</v>
      </c>
      <c r="G218" s="4">
        <f>_xll.ciqfunctions.udf.CIQ(InputTicker, "IQ_OTHER_INVEST_ACT_SUPPL",Input!I$2,Date,,,Ccy,Conv)</f>
        <v>-1241</v>
      </c>
      <c r="H218" s="4">
        <f>_xll.ciqfunctions.udf.CIQ(InputTicker, "IQ_OTHER_INVEST_ACT_SUPPL",Input!J$2,Date,,,Ccy,Conv)</f>
        <v>-922</v>
      </c>
      <c r="I218" s="4">
        <f>_xll.ciqfunctions.udf.CIQ(InputTicker, "IQ_OTHER_INVEST_ACT_SUPPL",Input!K$2,Date,,,Ccy,Conv)</f>
        <v>-2825</v>
      </c>
      <c r="J218" s="4">
        <f>_xll.ciqfunctions.udf.CIQ(InputTicker, "IQ_OTHER_INVEST_ACT_SUPPL",Input!L$2,Date,,,Ccy,Conv)</f>
        <v>-3116</v>
      </c>
      <c r="K218" s="4">
        <f>_xll.ciqfunctions.udf.CIQ(InputTicker, "IQ_OTHER_INVEST_ACT_SUPPL",Input!M$2,Date,,,Ccy,Conv)</f>
        <v>-1298</v>
      </c>
      <c r="L218" s="4">
        <f>_xll.ciqfunctions.udf.CIQ(InputTicker, "IQ_OTHER_INVEST_ACT_SUPPL",Input!N$2,Date,,,Ccy,Conv)</f>
        <v>2317</v>
      </c>
      <c r="M218" s="4">
        <f>_xll.ciqfunctions.udf.CIQ(InputTicker, "IQ_OTHER_INVEST_ACT_SUPPL",Input!O$2,Date,,,Ccy,Conv)</f>
        <v>-6803</v>
      </c>
      <c r="N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  <c r="BA218" s="42"/>
      <c r="BB218" s="42"/>
      <c r="BC218" s="42"/>
      <c r="BD218" s="42"/>
      <c r="BE218" s="42"/>
      <c r="BF218" s="42"/>
      <c r="BG218" s="42"/>
      <c r="BH218" s="42"/>
      <c r="BI218" s="42"/>
      <c r="BJ218" s="42"/>
      <c r="BK218" s="42"/>
      <c r="BL218" s="42"/>
      <c r="BM218" s="42"/>
      <c r="BN218" s="42"/>
    </row>
    <row r="219" spans="1:66" ht="12.75" customHeight="1" thickBot="1" x14ac:dyDescent="0.25">
      <c r="A219" s="5" t="s">
        <v>108</v>
      </c>
      <c r="B219" s="9">
        <f>_xll.ciqfunctions.udf.CIQ(InputTicker, "IQ_CASH_INVEST",Input!D$2,Date,,,Ccy,Conv)</f>
        <v>-23001</v>
      </c>
      <c r="C219" s="9">
        <f>_xll.ciqfunctions.udf.CIQ(InputTicker, "IQ_CASH_INVEST",Input!E$2,Date,,,Ccy,Conv)</f>
        <v>-23950</v>
      </c>
      <c r="D219" s="9">
        <f>_xll.ciqfunctions.udf.CIQ(InputTicker, "IQ_CASH_INVEST",Input!F$2,Date,,,Ccy,Conv)</f>
        <v>-46781</v>
      </c>
      <c r="E219" s="9">
        <f>_xll.ciqfunctions.udf.CIQ(InputTicker, "IQ_CASH_INVEST",Input!G$2,Date,,,Ccy,Conv)</f>
        <v>-6061</v>
      </c>
      <c r="F219" s="9">
        <f>_xll.ciqfunctions.udf.CIQ(InputTicker, "IQ_CASH_INVEST",Input!H$2,Date,,,Ccy,Conv)</f>
        <v>-15773</v>
      </c>
      <c r="G219" s="9">
        <f>_xll.ciqfunctions.udf.CIQ(InputTicker, "IQ_CASH_INVEST",Input!I$2,Date,,,Ccy,Conv)</f>
        <v>-12223</v>
      </c>
      <c r="H219" s="9">
        <f>_xll.ciqfunctions.udf.CIQ(InputTicker, "IQ_CASH_INVEST",Input!J$2,Date,,,Ccy,Conv)</f>
        <v>-27577</v>
      </c>
      <c r="I219" s="9">
        <f>_xll.ciqfunctions.udf.CIQ(InputTicker, "IQ_CASH_INVEST",Input!K$2,Date,,,Ccy,Conv)</f>
        <v>-30311</v>
      </c>
      <c r="J219" s="9">
        <f>_xll.ciqfunctions.udf.CIQ(InputTicker, "IQ_CASH_INVEST",Input!L$2,Date,,,Ccy,Conv)</f>
        <v>-22680</v>
      </c>
      <c r="K219" s="9">
        <f>_xll.ciqfunctions.udf.CIQ(InputTicker, "IQ_CASH_INVEST",Input!M$2,Date,,,Ccy,Conv)</f>
        <v>-96970</v>
      </c>
      <c r="L219" s="9">
        <f>_xll.ciqfunctions.udf.CIQ(InputTicker, "IQ_CASH_INVEST",Input!N$2,Date,,,Ccy,Conv)</f>
        <v>-72599</v>
      </c>
      <c r="M219" s="9">
        <f>_xll.ciqfunctions.udf.CIQ(InputTicker, "IQ_CASH_INVEST",Input!O$2,Date,,,Ccy,Conv)</f>
        <v>-115241</v>
      </c>
      <c r="N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  <c r="BA219" s="42"/>
      <c r="BB219" s="42"/>
      <c r="BC219" s="42"/>
      <c r="BD219" s="42"/>
      <c r="BE219" s="42"/>
      <c r="BF219" s="42"/>
      <c r="BG219" s="42"/>
      <c r="BH219" s="42"/>
      <c r="BI219" s="42"/>
      <c r="BJ219" s="42"/>
      <c r="BK219" s="42"/>
      <c r="BL219" s="42"/>
      <c r="BM219" s="42"/>
      <c r="BN219" s="42"/>
    </row>
    <row r="220" spans="1:66" ht="12.75" customHeight="1" thickTop="1" x14ac:dyDescent="0.2">
      <c r="A220" s="1" t="s">
        <v>109</v>
      </c>
      <c r="B220" s="4">
        <f>_xll.ciqfunctions.udf.CIQ(InputTicker, "IQ_ST_DEBT_ISSUED",Input!D$2,Date,,,Ccy,Conv)</f>
        <v>4481</v>
      </c>
      <c r="C220" s="4">
        <f>_xll.ciqfunctions.udf.CIQ(InputTicker, "IQ_ST_DEBT_ISSUED",Input!E$2,Date,,,Ccy,Conv)</f>
        <v>7195</v>
      </c>
      <c r="D220" s="4">
        <f>_xll.ciqfunctions.udf.CIQ(InputTicker, "IQ_ST_DEBT_ISSUED",Input!F$2,Date,,,Ccy,Conv)</f>
        <v>0</v>
      </c>
      <c r="E220" s="4">
        <f>_xll.ciqfunctions.udf.CIQ(InputTicker, "IQ_ST_DEBT_ISSUED",Input!G$2,Date,,,Ccy,Conv)</f>
        <v>0</v>
      </c>
      <c r="F220" s="4">
        <f>_xll.ciqfunctions.udf.CIQ(InputTicker, "IQ_ST_DEBT_ISSUED",Input!H$2,Date,,,Ccy,Conv)</f>
        <v>0</v>
      </c>
      <c r="G220" s="4">
        <f>_xll.ciqfunctions.udf.CIQ(InputTicker, "IQ_ST_DEBT_ISSUED",Input!I$2,Date,,,Ccy,Conv)</f>
        <v>0</v>
      </c>
      <c r="H220" s="4">
        <f>_xll.ciqfunctions.udf.CIQ(InputTicker, "IQ_ST_DEBT_ISSUED",Input!J$2,Date,,,Ccy,Conv)</f>
        <v>0</v>
      </c>
      <c r="I220" s="4">
        <f>_xll.ciqfunctions.udf.CIQ(InputTicker, "IQ_ST_DEBT_ISSUED",Input!K$2,Date,,,Ccy,Conv)</f>
        <v>0</v>
      </c>
      <c r="J220" s="4">
        <f>_xll.ciqfunctions.udf.CIQ(InputTicker, "IQ_ST_DEBT_ISSUED",Input!L$2,Date,,,Ccy,Conv)</f>
        <v>0</v>
      </c>
      <c r="K220" s="4">
        <f>_xll.ciqfunctions.udf.CIQ(InputTicker, "IQ_ST_DEBT_ISSUED",Input!M$2,Date,,,Ccy,Conv)</f>
        <v>5250</v>
      </c>
      <c r="L220" s="4">
        <f>_xll.ciqfunctions.udf.CIQ(InputTicker, "IQ_ST_DEBT_ISSUED",Input!N$2,Date,,,Ccy,Conv)</f>
        <v>0</v>
      </c>
      <c r="M220" s="4">
        <f>_xll.ciqfunctions.udf.CIQ(InputTicker, "IQ_ST_DEBT_ISSUED",Input!O$2,Date,,,Ccy,Conv)</f>
        <v>0</v>
      </c>
      <c r="N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  <c r="BA220" s="42"/>
      <c r="BB220" s="42"/>
      <c r="BC220" s="42"/>
      <c r="BD220" s="42"/>
      <c r="BE220" s="42"/>
      <c r="BF220" s="42"/>
      <c r="BG220" s="42"/>
      <c r="BH220" s="42"/>
      <c r="BI220" s="42"/>
      <c r="BJ220" s="42"/>
      <c r="BK220" s="42"/>
      <c r="BL220" s="42"/>
      <c r="BM220" s="42"/>
      <c r="BN220" s="42"/>
    </row>
    <row r="221" spans="1:66" ht="12.75" customHeight="1" x14ac:dyDescent="0.2">
      <c r="A221" s="1" t="s">
        <v>110</v>
      </c>
      <c r="B221" s="4">
        <f>_xll.ciqfunctions.udf.CIQ(InputTicker, "IQ_LT_DEBT_ISSUED",Input!D$2,Date,,,Ccy,Conv)</f>
        <v>10680</v>
      </c>
      <c r="C221" s="4">
        <f>_xll.ciqfunctions.udf.CIQ(InputTicker, "IQ_LT_DEBT_ISSUED",Input!E$2,Date,,,Ccy,Conv)</f>
        <v>13884</v>
      </c>
      <c r="D221" s="4">
        <f>_xll.ciqfunctions.udf.CIQ(InputTicker, "IQ_LT_DEBT_ISSUED",Input!F$2,Date,,,Ccy,Conv)</f>
        <v>44344</v>
      </c>
      <c r="E221" s="4">
        <f>_xll.ciqfunctions.udf.CIQ(InputTicker, "IQ_LT_DEBT_ISSUED",Input!G$2,Date,,,Ccy,Conv)</f>
        <v>7183</v>
      </c>
      <c r="F221" s="4">
        <f>_xll.ciqfunctions.udf.CIQ(InputTicker, "IQ_LT_DEBT_ISSUED",Input!H$2,Date,,,Ccy,Conv)</f>
        <v>0</v>
      </c>
      <c r="G221" s="4">
        <f>_xll.ciqfunctions.udf.CIQ(InputTicker, "IQ_LT_DEBT_ISSUED",Input!I$2,Date,,,Ccy,Conv)</f>
        <v>0</v>
      </c>
      <c r="H221" s="4">
        <f>_xll.ciqfunctions.udf.CIQ(InputTicker, "IQ_LT_DEBT_ISSUED",Input!J$2,Date,,,Ccy,Conv)</f>
        <v>0</v>
      </c>
      <c r="I221" s="4">
        <f>_xll.ciqfunctions.udf.CIQ(InputTicker, "IQ_LT_DEBT_ISSUED",Input!K$2,Date,,,Ccy,Conv)</f>
        <v>0</v>
      </c>
      <c r="J221" s="4">
        <f>_xll.ciqfunctions.udf.CIQ(InputTicker, "IQ_LT_DEBT_ISSUED",Input!L$2,Date,,,Ccy,Conv)</f>
        <v>0</v>
      </c>
      <c r="K221" s="4">
        <f>_xll.ciqfunctions.udf.CIQ(InputTicker, "IQ_LT_DEBT_ISSUED",Input!M$2,Date,,,Ccy,Conv)</f>
        <v>24395</v>
      </c>
      <c r="L221" s="4">
        <f>_xll.ciqfunctions.udf.CIQ(InputTicker, "IQ_LT_DEBT_ISSUED",Input!N$2,Date,,,Ccy,Conv)</f>
        <v>0</v>
      </c>
      <c r="M221" s="4">
        <f>_xll.ciqfunctions.udf.CIQ(InputTicker, "IQ_LT_DEBT_ISSUED",Input!O$2,Date,,,Ccy,Conv)</f>
        <v>0</v>
      </c>
      <c r="N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  <c r="BA221" s="42"/>
      <c r="BB221" s="42"/>
      <c r="BC221" s="42"/>
      <c r="BD221" s="42"/>
      <c r="BE221" s="42"/>
      <c r="BF221" s="42"/>
      <c r="BG221" s="42"/>
      <c r="BH221" s="42"/>
      <c r="BI221" s="42"/>
      <c r="BJ221" s="42"/>
      <c r="BK221" s="42"/>
      <c r="BL221" s="42"/>
      <c r="BM221" s="42"/>
      <c r="BN221" s="42"/>
    </row>
    <row r="222" spans="1:66" ht="12.75" customHeight="1" x14ac:dyDescent="0.2">
      <c r="A222" s="5" t="s">
        <v>111</v>
      </c>
      <c r="B222" s="6">
        <f>_xll.ciqfunctions.udf.CIQ(InputTicker, "IQ_TOTAL_DEBT_ISSUED",Input!D$2,Date,,,Ccy,Conv)</f>
        <v>15161</v>
      </c>
      <c r="C222" s="6">
        <f>_xll.ciqfunctions.udf.CIQ(InputTicker, "IQ_TOTAL_DEBT_ISSUED",Input!E$2,Date,,,Ccy,Conv)</f>
        <v>21079</v>
      </c>
      <c r="D222" s="6">
        <f>_xll.ciqfunctions.udf.CIQ(InputTicker, "IQ_TOTAL_DEBT_ISSUED",Input!F$2,Date,,,Ccy,Conv)</f>
        <v>44344</v>
      </c>
      <c r="E222" s="6">
        <f>_xll.ciqfunctions.udf.CIQ(InputTicker, "IQ_TOTAL_DEBT_ISSUED",Input!G$2,Date,,,Ccy,Conv)</f>
        <v>7183</v>
      </c>
      <c r="F222" s="6">
        <f>_xll.ciqfunctions.udf.CIQ(InputTicker, "IQ_TOTAL_DEBT_ISSUED",Input!H$2,Date,,,Ccy,Conv)</f>
        <v>0</v>
      </c>
      <c r="G222" s="6">
        <f>_xll.ciqfunctions.udf.CIQ(InputTicker, "IQ_TOTAL_DEBT_ISSUED",Input!I$2,Date,,,Ccy,Conv)</f>
        <v>0</v>
      </c>
      <c r="H222" s="6">
        <f>_xll.ciqfunctions.udf.CIQ(InputTicker, "IQ_TOTAL_DEBT_ISSUED",Input!J$2,Date,,,Ccy,Conv)</f>
        <v>0</v>
      </c>
      <c r="I222" s="6">
        <f>_xll.ciqfunctions.udf.CIQ(InputTicker, "IQ_TOTAL_DEBT_ISSUED",Input!K$2,Date,,,Ccy,Conv)</f>
        <v>0</v>
      </c>
      <c r="J222" s="6">
        <f>_xll.ciqfunctions.udf.CIQ(InputTicker, "IQ_TOTAL_DEBT_ISSUED",Input!L$2,Date,,,Ccy,Conv)</f>
        <v>0</v>
      </c>
      <c r="K222" s="6">
        <f>_xll.ciqfunctions.udf.CIQ(InputTicker, "IQ_TOTAL_DEBT_ISSUED",Input!M$2,Date,,,Ccy,Conv)</f>
        <v>29645</v>
      </c>
      <c r="L222" s="6">
        <f>_xll.ciqfunctions.udf.CIQ(InputTicker, "IQ_TOTAL_DEBT_ISSUED",Input!N$2,Date,,,Ccy,Conv)</f>
        <v>0</v>
      </c>
      <c r="M222" s="6">
        <f>_xll.ciqfunctions.udf.CIQ(InputTicker, "IQ_TOTAL_DEBT_ISSUED",Input!O$2,Date,,,Ccy,Conv)</f>
        <v>0</v>
      </c>
      <c r="N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  <c r="BA222" s="42"/>
      <c r="BB222" s="42"/>
      <c r="BC222" s="42"/>
      <c r="BD222" s="42"/>
      <c r="BE222" s="42"/>
      <c r="BF222" s="42"/>
      <c r="BG222" s="42"/>
      <c r="BH222" s="42"/>
      <c r="BI222" s="42"/>
      <c r="BJ222" s="42"/>
      <c r="BK222" s="42"/>
      <c r="BL222" s="42"/>
      <c r="BM222" s="42"/>
      <c r="BN222" s="42"/>
    </row>
    <row r="223" spans="1:66" ht="12.75" customHeight="1" x14ac:dyDescent="0.2">
      <c r="A223" s="1" t="s">
        <v>112</v>
      </c>
      <c r="B223" s="4">
        <f>_xll.ciqfunctions.udf.CIQ(InputTicker, "IQ_ST_DEBT_REPAID",Input!D$2,Date,,,Ccy,Conv)</f>
        <v>0</v>
      </c>
      <c r="C223" s="4">
        <f>_xll.ciqfunctions.udf.CIQ(InputTicker, "IQ_ST_DEBT_REPAID",Input!E$2,Date,,,Ccy,Conv)</f>
        <v>0</v>
      </c>
      <c r="D223" s="4">
        <f>_xll.ciqfunctions.udf.CIQ(InputTicker, "IQ_ST_DEBT_REPAID",Input!F$2,Date,,,Ccy,Conv)</f>
        <v>-4963</v>
      </c>
      <c r="E223" s="4">
        <f>_xll.ciqfunctions.udf.CIQ(InputTicker, "IQ_ST_DEBT_REPAID",Input!G$2,Date,,,Ccy,Conv)</f>
        <v>-7324</v>
      </c>
      <c r="F223" s="4">
        <f>_xll.ciqfunctions.udf.CIQ(InputTicker, "IQ_ST_DEBT_REPAID",Input!H$2,Date,,,Ccy,Conv)</f>
        <v>0</v>
      </c>
      <c r="G223" s="4">
        <f>_xll.ciqfunctions.udf.CIQ(InputTicker, "IQ_ST_DEBT_REPAID",Input!I$2,Date,,,Ccy,Conv)</f>
        <v>0</v>
      </c>
      <c r="H223" s="4">
        <f>_xll.ciqfunctions.udf.CIQ(InputTicker, "IQ_ST_DEBT_REPAID",Input!J$2,Date,,,Ccy,Conv)</f>
        <v>0</v>
      </c>
      <c r="I223" s="4">
        <f>_xll.ciqfunctions.udf.CIQ(InputTicker, "IQ_ST_DEBT_REPAID",Input!K$2,Date,,,Ccy,Conv)</f>
        <v>0</v>
      </c>
      <c r="J223" s="4">
        <f>_xll.ciqfunctions.udf.CIQ(InputTicker, "IQ_ST_DEBT_REPAID",Input!L$2,Date,,,Ccy,Conv)</f>
        <v>0</v>
      </c>
      <c r="K223" s="4">
        <f>_xll.ciqfunctions.udf.CIQ(InputTicker, "IQ_ST_DEBT_REPAID",Input!M$2,Date,,,Ccy,Conv)</f>
        <v>0</v>
      </c>
      <c r="L223" s="4">
        <f>_xll.ciqfunctions.udf.CIQ(InputTicker, "IQ_ST_DEBT_REPAID",Input!N$2,Date,,,Ccy,Conv)</f>
        <v>-5746</v>
      </c>
      <c r="M223" s="4">
        <f>_xll.ciqfunctions.udf.CIQ(InputTicker, "IQ_ST_DEBT_REPAID",Input!O$2,Date,,,Ccy,Conv)</f>
        <v>0</v>
      </c>
      <c r="N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  <c r="BA223" s="42"/>
      <c r="BB223" s="42"/>
      <c r="BC223" s="42"/>
      <c r="BD223" s="42"/>
      <c r="BE223" s="42"/>
      <c r="BF223" s="42"/>
      <c r="BG223" s="42"/>
      <c r="BH223" s="42"/>
      <c r="BI223" s="42"/>
      <c r="BJ223" s="42"/>
      <c r="BK223" s="42"/>
      <c r="BL223" s="42"/>
      <c r="BM223" s="42"/>
      <c r="BN223" s="42"/>
    </row>
    <row r="224" spans="1:66" ht="12.75" customHeight="1" x14ac:dyDescent="0.2">
      <c r="A224" s="1" t="s">
        <v>113</v>
      </c>
      <c r="B224" s="4">
        <f>_xll.ciqfunctions.udf.CIQ(InputTicker, "IQ_LT_DEBT_REPAID",Input!D$2,Date,,,Ccy,Conv)</f>
        <v>-1500</v>
      </c>
      <c r="C224" s="4">
        <f>_xll.ciqfunctions.udf.CIQ(InputTicker, "IQ_LT_DEBT_REPAID",Input!E$2,Date,,,Ccy,Conv)</f>
        <v>-2796</v>
      </c>
      <c r="D224" s="4">
        <f>_xll.ciqfunctions.udf.CIQ(InputTicker, "IQ_LT_DEBT_REPAID",Input!F$2,Date,,,Ccy,Conv)</f>
        <v>-7922</v>
      </c>
      <c r="E224" s="4">
        <f>_xll.ciqfunctions.udf.CIQ(InputTicker, "IQ_LT_DEBT_REPAID",Input!G$2,Date,,,Ccy,Conv)</f>
        <v>-10060</v>
      </c>
      <c r="F224" s="4">
        <f>_xll.ciqfunctions.udf.CIQ(InputTicker, "IQ_LT_DEBT_REPAID",Input!H$2,Date,,,Ccy,Conv)</f>
        <v>-4000</v>
      </c>
      <c r="G224" s="4">
        <f>_xll.ciqfunctions.udf.CIQ(InputTicker, "IQ_LT_DEBT_REPAID",Input!I$2,Date,,,Ccy,Conv)</f>
        <v>-5518</v>
      </c>
      <c r="H224" s="4">
        <f>_xll.ciqfunctions.udf.CIQ(InputTicker, "IQ_LT_DEBT_REPAID",Input!J$2,Date,,,Ccy,Conv)</f>
        <v>-3750</v>
      </c>
      <c r="I224" s="4">
        <f>_xll.ciqfunctions.udf.CIQ(InputTicker, "IQ_LT_DEBT_REPAID",Input!K$2,Date,,,Ccy,Conv)</f>
        <v>-9023</v>
      </c>
      <c r="J224" s="4">
        <f>_xll.ciqfunctions.udf.CIQ(InputTicker, "IQ_LT_DEBT_REPAID",Input!L$2,Date,,,Ccy,Conv)</f>
        <v>-2750</v>
      </c>
      <c r="K224" s="4">
        <f>_xll.ciqfunctions.udf.CIQ(InputTicker, "IQ_LT_DEBT_REPAID",Input!M$2,Date,,,Ccy,Conv)</f>
        <v>-29070</v>
      </c>
      <c r="L224" s="4">
        <f>_xll.ciqfunctions.udf.CIQ(InputTicker, "IQ_LT_DEBT_REPAID",Input!N$2,Date,,,Ccy,Conv)</f>
        <v>-3216</v>
      </c>
      <c r="M224" s="4">
        <f>_xll.ciqfunctions.udf.CIQ(InputTicker, "IQ_LT_DEBT_REPAID",Input!O$2,Date,,,Ccy,Conv)</f>
        <v>0</v>
      </c>
      <c r="N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  <c r="BA224" s="42"/>
      <c r="BB224" s="42"/>
      <c r="BC224" s="42"/>
      <c r="BD224" s="42"/>
      <c r="BE224" s="42"/>
      <c r="BF224" s="42"/>
      <c r="BG224" s="42"/>
      <c r="BH224" s="42"/>
      <c r="BI224" s="42"/>
      <c r="BJ224" s="42"/>
      <c r="BK224" s="42"/>
      <c r="BL224" s="42"/>
      <c r="BM224" s="42"/>
      <c r="BN224" s="42"/>
    </row>
    <row r="225" spans="1:66" ht="12.75" customHeight="1" x14ac:dyDescent="0.2">
      <c r="A225" s="5" t="s">
        <v>114</v>
      </c>
      <c r="B225" s="6">
        <f>_xll.ciqfunctions.udf.CIQ(InputTicker, "IQ_TOTAL_DEBT_REPAID",Input!D$2,Date,,,Ccy,Conv)</f>
        <v>-1500</v>
      </c>
      <c r="C225" s="6">
        <f>_xll.ciqfunctions.udf.CIQ(InputTicker, "IQ_TOTAL_DEBT_REPAID",Input!E$2,Date,,,Ccy,Conv)</f>
        <v>-2796</v>
      </c>
      <c r="D225" s="6">
        <f>_xll.ciqfunctions.udf.CIQ(InputTicker, "IQ_TOTAL_DEBT_REPAID",Input!F$2,Date,,,Ccy,Conv)</f>
        <v>-12885</v>
      </c>
      <c r="E225" s="6">
        <f>_xll.ciqfunctions.udf.CIQ(InputTicker, "IQ_TOTAL_DEBT_REPAID",Input!G$2,Date,,,Ccy,Conv)</f>
        <v>-17384</v>
      </c>
      <c r="F225" s="6">
        <f>_xll.ciqfunctions.udf.CIQ(InputTicker, "IQ_TOTAL_DEBT_REPAID",Input!H$2,Date,,,Ccy,Conv)</f>
        <v>-4000</v>
      </c>
      <c r="G225" s="6">
        <f>_xll.ciqfunctions.udf.CIQ(InputTicker, "IQ_TOTAL_DEBT_REPAID",Input!I$2,Date,,,Ccy,Conv)</f>
        <v>-5518</v>
      </c>
      <c r="H225" s="6">
        <f>_xll.ciqfunctions.udf.CIQ(InputTicker, "IQ_TOTAL_DEBT_REPAID",Input!J$2,Date,,,Ccy,Conv)</f>
        <v>-3750</v>
      </c>
      <c r="I225" s="6">
        <f>_xll.ciqfunctions.udf.CIQ(InputTicker, "IQ_TOTAL_DEBT_REPAID",Input!K$2,Date,,,Ccy,Conv)</f>
        <v>-9023</v>
      </c>
      <c r="J225" s="6">
        <f>_xll.ciqfunctions.udf.CIQ(InputTicker, "IQ_TOTAL_DEBT_REPAID",Input!L$2,Date,,,Ccy,Conv)</f>
        <v>-2750</v>
      </c>
      <c r="K225" s="6">
        <f>_xll.ciqfunctions.udf.CIQ(InputTicker, "IQ_TOTAL_DEBT_REPAID",Input!M$2,Date,,,Ccy,Conv)</f>
        <v>-29070</v>
      </c>
      <c r="L225" s="6">
        <f>_xll.ciqfunctions.udf.CIQ(InputTicker, "IQ_TOTAL_DEBT_REPAID",Input!N$2,Date,,,Ccy,Conv)</f>
        <v>-8962</v>
      </c>
      <c r="M225" s="6">
        <f>_xll.ciqfunctions.udf.CIQ(InputTicker, "IQ_TOTAL_DEBT_REPAID",Input!O$2,Date,,,Ccy,Conv)</f>
        <v>-3000</v>
      </c>
      <c r="N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  <c r="BA225" s="42"/>
      <c r="BB225" s="42"/>
      <c r="BC225" s="42"/>
      <c r="BD225" s="42"/>
      <c r="BE225" s="42"/>
      <c r="BF225" s="42"/>
      <c r="BG225" s="42"/>
      <c r="BH225" s="42"/>
      <c r="BI225" s="42"/>
      <c r="BJ225" s="42"/>
      <c r="BK225" s="42"/>
      <c r="BL225" s="42"/>
      <c r="BM225" s="42"/>
      <c r="BN225" s="42"/>
    </row>
    <row r="226" spans="1:66" ht="12.75" customHeight="1" x14ac:dyDescent="0.2">
      <c r="A226" s="1" t="s">
        <v>115</v>
      </c>
      <c r="B226" s="4">
        <f>_xll.ciqfunctions.udf.CIQ(InputTicker, "IQ_COMMON_ISSUED",Input!D$2,Date,,,Ccy,Conv)</f>
        <v>634</v>
      </c>
      <c r="C226" s="4">
        <f>_xll.ciqfunctions.udf.CIQ(InputTicker, "IQ_COMMON_ISSUED",Input!E$2,Date,,,Ccy,Conv)</f>
        <v>668</v>
      </c>
      <c r="D226" s="4">
        <f>_xll.ciqfunctions.udf.CIQ(InputTicker, "IQ_COMMON_ISSUED",Input!F$2,Date,,,Ccy,Conv)</f>
        <v>772</v>
      </c>
      <c r="E226" s="4">
        <f>_xll.ciqfunctions.udf.CIQ(InputTicker, "IQ_COMMON_ISSUED",Input!G$2,Date,,,Ccy,Conv)</f>
        <v>1002</v>
      </c>
      <c r="F226" s="4">
        <f>_xll.ciqfunctions.udf.CIQ(InputTicker, "IQ_COMMON_ISSUED",Input!H$2,Date,,,Ccy,Conv)</f>
        <v>1142</v>
      </c>
      <c r="G226" s="4">
        <f>_xll.ciqfunctions.udf.CIQ(InputTicker, "IQ_COMMON_ISSUED",Input!I$2,Date,,,Ccy,Conv)</f>
        <v>1343</v>
      </c>
      <c r="H226" s="4">
        <f>_xll.ciqfunctions.udf.CIQ(InputTicker, "IQ_COMMON_ISSUED",Input!J$2,Date,,,Ccy,Conv)</f>
        <v>1693</v>
      </c>
      <c r="I226" s="4">
        <f>_xll.ciqfunctions.udf.CIQ(InputTicker, "IQ_COMMON_ISSUED",Input!K$2,Date,,,Ccy,Conv)</f>
        <v>1841</v>
      </c>
      <c r="J226" s="4">
        <f>_xll.ciqfunctions.udf.CIQ(InputTicker, "IQ_COMMON_ISSUED",Input!L$2,Date,,,Ccy,Conv)</f>
        <v>1866</v>
      </c>
      <c r="K226" s="4">
        <f>_xll.ciqfunctions.udf.CIQ(InputTicker, "IQ_COMMON_ISSUED",Input!M$2,Date,,,Ccy,Conv)</f>
        <v>2002</v>
      </c>
      <c r="L226" s="4">
        <f>_xll.ciqfunctions.udf.CIQ(InputTicker, "IQ_COMMON_ISSUED",Input!N$2,Date,,,Ccy,Conv)</f>
        <v>2056</v>
      </c>
      <c r="M226" s="4">
        <f>_xll.ciqfunctions.udf.CIQ(InputTicker, "IQ_COMMON_ISSUED",Input!O$2,Date,,,Ccy,Conv)</f>
        <v>2037</v>
      </c>
      <c r="N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  <c r="BA226" s="42"/>
      <c r="BB226" s="42"/>
      <c r="BC226" s="42"/>
      <c r="BD226" s="42"/>
      <c r="BE226" s="42"/>
      <c r="BF226" s="42"/>
      <c r="BG226" s="42"/>
      <c r="BH226" s="42"/>
      <c r="BI226" s="42"/>
      <c r="BJ226" s="42"/>
      <c r="BK226" s="42"/>
      <c r="BL226" s="42"/>
      <c r="BM226" s="42"/>
      <c r="BN226" s="42"/>
    </row>
    <row r="227" spans="1:66" ht="12.75" customHeight="1" x14ac:dyDescent="0.2">
      <c r="A227" s="1" t="s">
        <v>116</v>
      </c>
      <c r="B227" s="4">
        <f>_xll.ciqfunctions.udf.CIQ(InputTicker, "IQ_COMMON_REP",Input!D$2,Date,,,Ccy,Conv)</f>
        <v>-14443</v>
      </c>
      <c r="C227" s="4">
        <f>_xll.ciqfunctions.udf.CIQ(InputTicker, "IQ_COMMON_REP",Input!E$2,Date,,,Ccy,Conv)</f>
        <v>-15969</v>
      </c>
      <c r="D227" s="4">
        <f>_xll.ciqfunctions.udf.CIQ(InputTicker, "IQ_COMMON_REP",Input!F$2,Date,,,Ccy,Conv)</f>
        <v>-11788</v>
      </c>
      <c r="E227" s="4">
        <f>_xll.ciqfunctions.udf.CIQ(InputTicker, "IQ_COMMON_REP",Input!G$2,Date,,,Ccy,Conv)</f>
        <v>-10721</v>
      </c>
      <c r="F227" s="4">
        <f>_xll.ciqfunctions.udf.CIQ(InputTicker, "IQ_COMMON_REP",Input!H$2,Date,,,Ccy,Conv)</f>
        <v>-19543</v>
      </c>
      <c r="G227" s="4">
        <f>_xll.ciqfunctions.udf.CIQ(InputTicker, "IQ_COMMON_REP",Input!I$2,Date,,,Ccy,Conv)</f>
        <v>-22968</v>
      </c>
      <c r="H227" s="4">
        <f>_xll.ciqfunctions.udf.CIQ(InputTicker, "IQ_COMMON_REP",Input!J$2,Date,,,Ccy,Conv)</f>
        <v>-27385</v>
      </c>
      <c r="I227" s="4">
        <f>_xll.ciqfunctions.udf.CIQ(InputTicker, "IQ_COMMON_REP",Input!K$2,Date,,,Ccy,Conv)</f>
        <v>-32696</v>
      </c>
      <c r="J227" s="4">
        <f>_xll.ciqfunctions.udf.CIQ(InputTicker, "IQ_COMMON_REP",Input!L$2,Date,,,Ccy,Conv)</f>
        <v>-22245</v>
      </c>
      <c r="K227" s="4">
        <f>_xll.ciqfunctions.udf.CIQ(InputTicker, "IQ_COMMON_REP",Input!M$2,Date,,,Ccy,Conv)</f>
        <v>-17254</v>
      </c>
      <c r="L227" s="4">
        <f>_xll.ciqfunctions.udf.CIQ(InputTicker, "IQ_COMMON_REP",Input!N$2,Date,,,Ccy,Conv)</f>
        <v>-18420</v>
      </c>
      <c r="M227" s="4">
        <f>_xll.ciqfunctions.udf.CIQ(InputTicker, "IQ_COMMON_REP",Input!O$2,Date,,,Ccy,Conv)</f>
        <v>-22238</v>
      </c>
      <c r="N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  <c r="BA227" s="42"/>
      <c r="BB227" s="42"/>
      <c r="BC227" s="42"/>
      <c r="BD227" s="42"/>
      <c r="BE227" s="42"/>
      <c r="BF227" s="42"/>
      <c r="BG227" s="42"/>
      <c r="BH227" s="42"/>
      <c r="BI227" s="42"/>
      <c r="BJ227" s="42"/>
      <c r="BK227" s="42"/>
      <c r="BL227" s="42"/>
      <c r="BM227" s="42"/>
      <c r="BN227" s="42"/>
    </row>
    <row r="228" spans="1:66" ht="12.75" customHeight="1" x14ac:dyDescent="0.2">
      <c r="A228" s="1" t="s">
        <v>117</v>
      </c>
      <c r="B228" s="4">
        <f>_xll.ciqfunctions.udf.CIQ(InputTicker, "IQ_PREF_ISSUED",Input!D$2,Date,,,Ccy,Conv)</f>
        <v>0</v>
      </c>
      <c r="C228" s="4">
        <f>_xll.ciqfunctions.udf.CIQ(InputTicker, "IQ_PREF_ISSUED",Input!E$2,Date,,,Ccy,Conv)</f>
        <v>0</v>
      </c>
      <c r="D228" s="4">
        <f>_xll.ciqfunctions.udf.CIQ(InputTicker, "IQ_PREF_ISSUED",Input!F$2,Date,,,Ccy,Conv)</f>
        <v>0</v>
      </c>
      <c r="E228" s="4">
        <f>_xll.ciqfunctions.udf.CIQ(InputTicker, "IQ_PREF_ISSUED",Input!G$2,Date,,,Ccy,Conv)</f>
        <v>0</v>
      </c>
      <c r="F228" s="4">
        <f>_xll.ciqfunctions.udf.CIQ(InputTicker, "IQ_PREF_ISSUED",Input!H$2,Date,,,Ccy,Conv)</f>
        <v>0</v>
      </c>
      <c r="G228" s="4">
        <f>_xll.ciqfunctions.udf.CIQ(InputTicker, "IQ_PREF_ISSUED",Input!I$2,Date,,,Ccy,Conv)</f>
        <v>0</v>
      </c>
      <c r="H228" s="4">
        <f>_xll.ciqfunctions.udf.CIQ(InputTicker, "IQ_PREF_ISSUED",Input!J$2,Date,,,Ccy,Conv)</f>
        <v>0</v>
      </c>
      <c r="I228" s="4">
        <f>_xll.ciqfunctions.udf.CIQ(InputTicker, "IQ_PREF_ISSUED",Input!K$2,Date,,,Ccy,Conv)</f>
        <v>0</v>
      </c>
      <c r="J228" s="4">
        <f>_xll.ciqfunctions.udf.CIQ(InputTicker, "IQ_PREF_ISSUED",Input!L$2,Date,,,Ccy,Conv)</f>
        <v>0</v>
      </c>
      <c r="K228" s="4">
        <f>_xll.ciqfunctions.udf.CIQ(InputTicker, "IQ_PREF_ISSUED",Input!M$2,Date,,,Ccy,Conv)</f>
        <v>0</v>
      </c>
      <c r="L228" s="4">
        <f>_xll.ciqfunctions.udf.CIQ(InputTicker, "IQ_PREF_ISSUED",Input!N$2,Date,,,Ccy,Conv)</f>
        <v>0</v>
      </c>
      <c r="M228" s="4">
        <f>_xll.ciqfunctions.udf.CIQ(InputTicker, "IQ_PREF_ISSUED",Input!O$2,Date,,,Ccy,Conv)</f>
        <v>0</v>
      </c>
      <c r="N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  <c r="BA228" s="42"/>
      <c r="BB228" s="42"/>
      <c r="BC228" s="42"/>
      <c r="BD228" s="42"/>
      <c r="BE228" s="42"/>
      <c r="BF228" s="42"/>
      <c r="BG228" s="42"/>
      <c r="BH228" s="42"/>
      <c r="BI228" s="42"/>
      <c r="BJ228" s="42"/>
      <c r="BK228" s="42"/>
      <c r="BL228" s="42"/>
      <c r="BM228" s="42"/>
      <c r="BN228" s="42"/>
    </row>
    <row r="229" spans="1:66" ht="12.75" customHeight="1" x14ac:dyDescent="0.2">
      <c r="A229" s="1" t="s">
        <v>118</v>
      </c>
      <c r="B229" s="4">
        <f>_xll.ciqfunctions.udf.CIQ(InputTicker, "IQ_PREF_REP",Input!D$2,Date,,,Ccy,Conv)</f>
        <v>0</v>
      </c>
      <c r="C229" s="4">
        <f>_xll.ciqfunctions.udf.CIQ(InputTicker, "IQ_PREF_REP",Input!E$2,Date,,,Ccy,Conv)</f>
        <v>0</v>
      </c>
      <c r="D229" s="4">
        <f>_xll.ciqfunctions.udf.CIQ(InputTicker, "IQ_PREF_REP",Input!F$2,Date,,,Ccy,Conv)</f>
        <v>0</v>
      </c>
      <c r="E229" s="4">
        <f>_xll.ciqfunctions.udf.CIQ(InputTicker, "IQ_PREF_REP",Input!G$2,Date,,,Ccy,Conv)</f>
        <v>0</v>
      </c>
      <c r="F229" s="4">
        <f>_xll.ciqfunctions.udf.CIQ(InputTicker, "IQ_PREF_REP",Input!H$2,Date,,,Ccy,Conv)</f>
        <v>0</v>
      </c>
      <c r="G229" s="4">
        <f>_xll.ciqfunctions.udf.CIQ(InputTicker, "IQ_PREF_REP",Input!I$2,Date,,,Ccy,Conv)</f>
        <v>0</v>
      </c>
      <c r="H229" s="4">
        <f>_xll.ciqfunctions.udf.CIQ(InputTicker, "IQ_PREF_REP",Input!J$2,Date,,,Ccy,Conv)</f>
        <v>0</v>
      </c>
      <c r="I229" s="4">
        <f>_xll.ciqfunctions.udf.CIQ(InputTicker, "IQ_PREF_REP",Input!K$2,Date,,,Ccy,Conv)</f>
        <v>0</v>
      </c>
      <c r="J229" s="4">
        <f>_xll.ciqfunctions.udf.CIQ(InputTicker, "IQ_PREF_REP",Input!L$2,Date,,,Ccy,Conv)</f>
        <v>0</v>
      </c>
      <c r="K229" s="4">
        <f>_xll.ciqfunctions.udf.CIQ(InputTicker, "IQ_PREF_REP",Input!M$2,Date,,,Ccy,Conv)</f>
        <v>0</v>
      </c>
      <c r="L229" s="4">
        <f>_xll.ciqfunctions.udf.CIQ(InputTicker, "IQ_PREF_REP",Input!N$2,Date,,,Ccy,Conv)</f>
        <v>0</v>
      </c>
      <c r="M229" s="4">
        <f>_xll.ciqfunctions.udf.CIQ(InputTicker, "IQ_PREF_REP",Input!O$2,Date,,,Ccy,Conv)</f>
        <v>0</v>
      </c>
      <c r="N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  <c r="BA229" s="42"/>
      <c r="BB229" s="42"/>
      <c r="BC229" s="42"/>
      <c r="BD229" s="42"/>
      <c r="BE229" s="42"/>
      <c r="BF229" s="42"/>
      <c r="BG229" s="42"/>
      <c r="BH229" s="42"/>
      <c r="BI229" s="42"/>
      <c r="BJ229" s="42"/>
      <c r="BK229" s="42"/>
      <c r="BL229" s="42"/>
      <c r="BM229" s="42"/>
      <c r="BN229" s="42"/>
    </row>
    <row r="230" spans="1:66" ht="12.75" customHeight="1" x14ac:dyDescent="0.2">
      <c r="A230" s="1" t="s">
        <v>151</v>
      </c>
      <c r="B230" s="4">
        <f>_xll.ciqfunctions.udf.CIQ(InputTicker, "IQ_COMMON_DIV_CF",Input!D$2,Date,,,Ccy,Conv)</f>
        <v>-9882</v>
      </c>
      <c r="C230" s="4">
        <f>_xll.ciqfunctions.udf.CIQ(InputTicker, "IQ_COMMON_DIV_CF",Input!E$2,Date,,,Ccy,Conv)</f>
        <v>-11006</v>
      </c>
      <c r="D230" s="4">
        <f>_xll.ciqfunctions.udf.CIQ(InputTicker, "IQ_COMMON_DIV_CF",Input!F$2,Date,,,Ccy,Conv)</f>
        <v>-11845</v>
      </c>
      <c r="E230" s="4">
        <f>_xll.ciqfunctions.udf.CIQ(InputTicker, "IQ_COMMON_DIV_CF",Input!G$2,Date,,,Ccy,Conv)</f>
        <v>-12699</v>
      </c>
      <c r="F230" s="4">
        <f>_xll.ciqfunctions.udf.CIQ(InputTicker, "IQ_COMMON_DIV_CF",Input!H$2,Date,,,Ccy,Conv)</f>
        <v>-13811</v>
      </c>
      <c r="G230" s="4">
        <f>_xll.ciqfunctions.udf.CIQ(InputTicker, "IQ_COMMON_DIV_CF",Input!I$2,Date,,,Ccy,Conv)</f>
        <v>-15137</v>
      </c>
      <c r="H230" s="4">
        <f>_xll.ciqfunctions.udf.CIQ(InputTicker, "IQ_COMMON_DIV_CF",Input!J$2,Date,,,Ccy,Conv)</f>
        <v>-16521</v>
      </c>
      <c r="I230" s="4">
        <f>_xll.ciqfunctions.udf.CIQ(InputTicker, "IQ_COMMON_DIV_CF",Input!K$2,Date,,,Ccy,Conv)</f>
        <v>-18135</v>
      </c>
      <c r="J230" s="4">
        <f>_xll.ciqfunctions.udf.CIQ(InputTicker, "IQ_COMMON_DIV_CF",Input!L$2,Date,,,Ccy,Conv)</f>
        <v>-19800</v>
      </c>
      <c r="K230" s="4">
        <f>_xll.ciqfunctions.udf.CIQ(InputTicker, "IQ_COMMON_DIV_CF",Input!M$2,Date,,,Ccy,Conv)</f>
        <v>-21771</v>
      </c>
      <c r="L230" s="4">
        <f>_xll.ciqfunctions.udf.CIQ(InputTicker, "IQ_COMMON_DIV_CF",Input!N$2,Date,,,Ccy,Conv)</f>
        <v>-24082</v>
      </c>
      <c r="M230" s="4">
        <f>_xll.ciqfunctions.udf.CIQ(InputTicker, "IQ_COMMON_DIV_CF",Input!O$2,Date,,,Ccy,Conv)</f>
        <v>-25856</v>
      </c>
      <c r="N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  <c r="BA230" s="42"/>
      <c r="BB230" s="42"/>
      <c r="BC230" s="42"/>
      <c r="BD230" s="42"/>
      <c r="BE230" s="42"/>
      <c r="BF230" s="42"/>
      <c r="BG230" s="42"/>
      <c r="BH230" s="42"/>
      <c r="BI230" s="42"/>
      <c r="BJ230" s="42"/>
      <c r="BK230" s="42"/>
      <c r="BL230" s="42"/>
      <c r="BM230" s="42"/>
      <c r="BN230" s="42"/>
    </row>
    <row r="231" spans="1:66" ht="12.75" customHeight="1" x14ac:dyDescent="0.2">
      <c r="A231" s="1" t="s">
        <v>152</v>
      </c>
      <c r="B231" s="4">
        <f>_xll.ciqfunctions.udf.CIQ(InputTicker, "IQ_PREF_DIV_CF",Input!D$2,Date,,,Ccy,Conv)</f>
        <v>0</v>
      </c>
      <c r="C231" s="4">
        <f>_xll.ciqfunctions.udf.CIQ(InputTicker, "IQ_PREF_DIV_CF",Input!E$2,Date,,,Ccy,Conv)</f>
        <v>0</v>
      </c>
      <c r="D231" s="4">
        <f>_xll.ciqfunctions.udf.CIQ(InputTicker, "IQ_PREF_DIV_CF",Input!F$2,Date,,,Ccy,Conv)</f>
        <v>0</v>
      </c>
      <c r="E231" s="4">
        <f>_xll.ciqfunctions.udf.CIQ(InputTicker, "IQ_PREF_DIV_CF",Input!G$2,Date,,,Ccy,Conv)</f>
        <v>0</v>
      </c>
      <c r="F231" s="4">
        <f>_xll.ciqfunctions.udf.CIQ(InputTicker, "IQ_PREF_DIV_CF",Input!H$2,Date,,,Ccy,Conv)</f>
        <v>0</v>
      </c>
      <c r="G231" s="4">
        <f>_xll.ciqfunctions.udf.CIQ(InputTicker, "IQ_PREF_DIV_CF",Input!I$2,Date,,,Ccy,Conv)</f>
        <v>0</v>
      </c>
      <c r="H231" s="4">
        <f>_xll.ciqfunctions.udf.CIQ(InputTicker, "IQ_PREF_DIV_CF",Input!J$2,Date,,,Ccy,Conv)</f>
        <v>0</v>
      </c>
      <c r="I231" s="4">
        <f>_xll.ciqfunctions.udf.CIQ(InputTicker, "IQ_PREF_DIV_CF",Input!K$2,Date,,,Ccy,Conv)</f>
        <v>0</v>
      </c>
      <c r="J231" s="4">
        <f>_xll.ciqfunctions.udf.CIQ(InputTicker, "IQ_PREF_DIV_CF",Input!L$2,Date,,,Ccy,Conv)</f>
        <v>0</v>
      </c>
      <c r="K231" s="4">
        <f>_xll.ciqfunctions.udf.CIQ(InputTicker, "IQ_PREF_DIV_CF",Input!M$2,Date,,,Ccy,Conv)</f>
        <v>0</v>
      </c>
      <c r="L231" s="4">
        <f>_xll.ciqfunctions.udf.CIQ(InputTicker, "IQ_PREF_DIV_CF",Input!N$2,Date,,,Ccy,Conv)</f>
        <v>0</v>
      </c>
      <c r="M231" s="4">
        <f>_xll.ciqfunctions.udf.CIQ(InputTicker, "IQ_PREF_DIV_CF",Input!O$2,Date,,,Ccy,Conv)</f>
        <v>0</v>
      </c>
      <c r="N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  <c r="BA231" s="42"/>
      <c r="BB231" s="42"/>
      <c r="BC231" s="42"/>
      <c r="BD231" s="42"/>
      <c r="BE231" s="42"/>
      <c r="BF231" s="42"/>
      <c r="BG231" s="42"/>
      <c r="BH231" s="42"/>
      <c r="BI231" s="42"/>
      <c r="BJ231" s="42"/>
      <c r="BK231" s="42"/>
      <c r="BL231" s="42"/>
      <c r="BM231" s="42"/>
      <c r="BN231" s="42"/>
    </row>
    <row r="232" spans="1:66" ht="12.75" customHeight="1" x14ac:dyDescent="0.2">
      <c r="A232" s="1" t="s">
        <v>153</v>
      </c>
      <c r="B232" s="4">
        <f>_xll.ciqfunctions.udf.CIQ(InputTicker, "IQ_COMMON_PREF_DIV_CF",Input!D$2,Date,,,Ccy,Conv)</f>
        <v>0</v>
      </c>
      <c r="C232" s="4">
        <f>_xll.ciqfunctions.udf.CIQ(InputTicker, "IQ_COMMON_PREF_DIV_CF",Input!E$2,Date,,,Ccy,Conv)</f>
        <v>0</v>
      </c>
      <c r="D232" s="4">
        <f>_xll.ciqfunctions.udf.CIQ(InputTicker, "IQ_COMMON_PREF_DIV_CF",Input!F$2,Date,,,Ccy,Conv)</f>
        <v>0</v>
      </c>
      <c r="E232" s="4">
        <f>_xll.ciqfunctions.udf.CIQ(InputTicker, "IQ_COMMON_PREF_DIV_CF",Input!G$2,Date,,,Ccy,Conv)</f>
        <v>0</v>
      </c>
      <c r="F232" s="4">
        <f>_xll.ciqfunctions.udf.CIQ(InputTicker, "IQ_COMMON_PREF_DIV_CF",Input!H$2,Date,,,Ccy,Conv)</f>
        <v>0</v>
      </c>
      <c r="G232" s="4">
        <f>_xll.ciqfunctions.udf.CIQ(InputTicker, "IQ_COMMON_PREF_DIV_CF",Input!I$2,Date,,,Ccy,Conv)</f>
        <v>0</v>
      </c>
      <c r="H232" s="4">
        <f>_xll.ciqfunctions.udf.CIQ(InputTicker, "IQ_COMMON_PREF_DIV_CF",Input!J$2,Date,,,Ccy,Conv)</f>
        <v>0</v>
      </c>
      <c r="I232" s="4">
        <f>_xll.ciqfunctions.udf.CIQ(InputTicker, "IQ_COMMON_PREF_DIV_CF",Input!K$2,Date,,,Ccy,Conv)</f>
        <v>0</v>
      </c>
      <c r="J232" s="4">
        <f>_xll.ciqfunctions.udf.CIQ(InputTicker, "IQ_COMMON_PREF_DIV_CF",Input!L$2,Date,,,Ccy,Conv)</f>
        <v>0</v>
      </c>
      <c r="K232" s="4">
        <f>_xll.ciqfunctions.udf.CIQ(InputTicker, "IQ_COMMON_PREF_DIV_CF",Input!M$2,Date,,,Ccy,Conv)</f>
        <v>0</v>
      </c>
      <c r="L232" s="4">
        <f>_xll.ciqfunctions.udf.CIQ(InputTicker, "IQ_COMMON_PREF_DIV_CF",Input!N$2,Date,,,Ccy,Conv)</f>
        <v>0</v>
      </c>
      <c r="M232" s="4">
        <f>_xll.ciqfunctions.udf.CIQ(InputTicker, "IQ_COMMON_PREF_DIV_CF",Input!O$2,Date,,,Ccy,Conv)</f>
        <v>0</v>
      </c>
      <c r="N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  <c r="BA232" s="42"/>
      <c r="BB232" s="42"/>
      <c r="BC232" s="42"/>
      <c r="BD232" s="42"/>
      <c r="BE232" s="42"/>
      <c r="BF232" s="42"/>
      <c r="BG232" s="42"/>
      <c r="BH232" s="42"/>
      <c r="BI232" s="42"/>
      <c r="BJ232" s="42"/>
      <c r="BK232" s="42"/>
      <c r="BL232" s="42"/>
      <c r="BM232" s="42"/>
      <c r="BN232" s="42"/>
    </row>
    <row r="233" spans="1:66" ht="12.75" customHeight="1" x14ac:dyDescent="0.2">
      <c r="A233" s="1" t="s">
        <v>119</v>
      </c>
      <c r="B233" s="6">
        <f>_xll.ciqfunctions.udf.CIQ(InputTicker, "IQ_TOTAL_DIV_PAID_CF",Input!D$2,Date,,,Ccy,Conv)</f>
        <v>-9882</v>
      </c>
      <c r="C233" s="6">
        <f>_xll.ciqfunctions.udf.CIQ(InputTicker, "IQ_TOTAL_DIV_PAID_CF",Input!E$2,Date,,,Ccy,Conv)</f>
        <v>-11006</v>
      </c>
      <c r="D233" s="6">
        <f>_xll.ciqfunctions.udf.CIQ(InputTicker, "IQ_TOTAL_DIV_PAID_CF",Input!F$2,Date,,,Ccy,Conv)</f>
        <v>-11845</v>
      </c>
      <c r="E233" s="6">
        <f>_xll.ciqfunctions.udf.CIQ(InputTicker, "IQ_TOTAL_DIV_PAID_CF",Input!G$2,Date,,,Ccy,Conv)</f>
        <v>-12699</v>
      </c>
      <c r="F233" s="6">
        <f>_xll.ciqfunctions.udf.CIQ(InputTicker, "IQ_TOTAL_DIV_PAID_CF",Input!H$2,Date,,,Ccy,Conv)</f>
        <v>-13811</v>
      </c>
      <c r="G233" s="6">
        <f>_xll.ciqfunctions.udf.CIQ(InputTicker, "IQ_TOTAL_DIV_PAID_CF",Input!I$2,Date,,,Ccy,Conv)</f>
        <v>-15137</v>
      </c>
      <c r="H233" s="6">
        <f>_xll.ciqfunctions.udf.CIQ(InputTicker, "IQ_TOTAL_DIV_PAID_CF",Input!J$2,Date,,,Ccy,Conv)</f>
        <v>-16521</v>
      </c>
      <c r="I233" s="6">
        <f>_xll.ciqfunctions.udf.CIQ(InputTicker, "IQ_TOTAL_DIV_PAID_CF",Input!K$2,Date,,,Ccy,Conv)</f>
        <v>-18135</v>
      </c>
      <c r="J233" s="6">
        <f>_xll.ciqfunctions.udf.CIQ(InputTicker, "IQ_TOTAL_DIV_PAID_CF",Input!L$2,Date,,,Ccy,Conv)</f>
        <v>-19800</v>
      </c>
      <c r="K233" s="6">
        <f>_xll.ciqfunctions.udf.CIQ(InputTicker, "IQ_TOTAL_DIV_PAID_CF",Input!M$2,Date,,,Ccy,Conv)</f>
        <v>-21771</v>
      </c>
      <c r="L233" s="6">
        <f>_xll.ciqfunctions.udf.CIQ(InputTicker, "IQ_TOTAL_DIV_PAID_CF",Input!N$2,Date,,,Ccy,Conv)</f>
        <v>-24082</v>
      </c>
      <c r="M233" s="6">
        <f>_xll.ciqfunctions.udf.CIQ(InputTicker, "IQ_TOTAL_DIV_PAID_CF",Input!O$2,Date,,,Ccy,Conv)</f>
        <v>-25856</v>
      </c>
      <c r="N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  <c r="BA233" s="42"/>
      <c r="BB233" s="42"/>
      <c r="BC233" s="42"/>
      <c r="BD233" s="42"/>
      <c r="BE233" s="42"/>
      <c r="BF233" s="42"/>
      <c r="BG233" s="42"/>
      <c r="BH233" s="42"/>
      <c r="BI233" s="42"/>
      <c r="BJ233" s="42"/>
      <c r="BK233" s="42"/>
      <c r="BL233" s="42"/>
      <c r="BM233" s="42"/>
      <c r="BN233" s="42"/>
    </row>
    <row r="234" spans="1:66" ht="12.75" customHeight="1" x14ac:dyDescent="0.2">
      <c r="A234" s="1" t="s">
        <v>154</v>
      </c>
      <c r="B234" s="4">
        <f>_xll.ciqfunctions.udf.CIQ(InputTicker, "IQ_SPECIAL_DIV_CF",Input!D$2,Date,,,Ccy,Conv)</f>
        <v>0</v>
      </c>
      <c r="C234" s="4">
        <f>_xll.ciqfunctions.udf.CIQ(InputTicker, "IQ_SPECIAL_DIV_CF",Input!E$2,Date,,,Ccy,Conv)</f>
        <v>0</v>
      </c>
      <c r="D234" s="4">
        <f>_xll.ciqfunctions.udf.CIQ(InputTicker, "IQ_SPECIAL_DIV_CF",Input!F$2,Date,,,Ccy,Conv)</f>
        <v>0</v>
      </c>
      <c r="E234" s="4">
        <f>_xll.ciqfunctions.udf.CIQ(InputTicker, "IQ_SPECIAL_DIV_CF",Input!G$2,Date,,,Ccy,Conv)</f>
        <v>0</v>
      </c>
      <c r="F234" s="4">
        <f>_xll.ciqfunctions.udf.CIQ(InputTicker, "IQ_SPECIAL_DIV_CF",Input!H$2,Date,,,Ccy,Conv)</f>
        <v>0</v>
      </c>
      <c r="G234" s="4">
        <f>_xll.ciqfunctions.udf.CIQ(InputTicker, "IQ_SPECIAL_DIV_CF",Input!I$2,Date,,,Ccy,Conv)</f>
        <v>0</v>
      </c>
      <c r="H234" s="4">
        <f>_xll.ciqfunctions.udf.CIQ(InputTicker, "IQ_SPECIAL_DIV_CF",Input!J$2,Date,,,Ccy,Conv)</f>
        <v>0</v>
      </c>
      <c r="I234" s="4">
        <f>_xll.ciqfunctions.udf.CIQ(InputTicker, "IQ_SPECIAL_DIV_CF",Input!K$2,Date,,,Ccy,Conv)</f>
        <v>0</v>
      </c>
      <c r="J234" s="4">
        <f>_xll.ciqfunctions.udf.CIQ(InputTicker, "IQ_SPECIAL_DIV_CF",Input!L$2,Date,,,Ccy,Conv)</f>
        <v>0</v>
      </c>
      <c r="K234" s="4">
        <f>_xll.ciqfunctions.udf.CIQ(InputTicker, "IQ_SPECIAL_DIV_CF",Input!M$2,Date,,,Ccy,Conv)</f>
        <v>0</v>
      </c>
      <c r="L234" s="4">
        <f>_xll.ciqfunctions.udf.CIQ(InputTicker, "IQ_SPECIAL_DIV_CF",Input!N$2,Date,,,Ccy,Conv)</f>
        <v>0</v>
      </c>
      <c r="M234" s="4">
        <f>_xll.ciqfunctions.udf.CIQ(InputTicker, "IQ_SPECIAL_DIV_CF",Input!O$2,Date,,,Ccy,Conv)</f>
        <v>0</v>
      </c>
      <c r="N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  <c r="BA234" s="42"/>
      <c r="BB234" s="42"/>
      <c r="BC234" s="42"/>
      <c r="BD234" s="42"/>
      <c r="BE234" s="42"/>
      <c r="BF234" s="42"/>
      <c r="BG234" s="42"/>
      <c r="BH234" s="42"/>
      <c r="BI234" s="42"/>
      <c r="BJ234" s="42"/>
      <c r="BK234" s="42"/>
      <c r="BL234" s="42"/>
      <c r="BM234" s="42"/>
      <c r="BN234" s="42"/>
    </row>
    <row r="235" spans="1:66" ht="12.75" customHeight="1" x14ac:dyDescent="0.2">
      <c r="A235" s="1" t="s">
        <v>155</v>
      </c>
      <c r="B235" s="4">
        <f>_xll.ciqfunctions.udf.CIQ(InputTicker, "IQ_OTHER_FINANCE_ACT_SUPPL",Input!D$2,Date,,,Ccy,Conv)</f>
        <v>362</v>
      </c>
      <c r="C235" s="4">
        <f>_xll.ciqfunctions.udf.CIQ(InputTicker, "IQ_OTHER_FINANCE_ACT_SUPPL",Input!E$2,Date,,,Ccy,Conv)</f>
        <v>-369</v>
      </c>
      <c r="D235" s="4">
        <f>_xll.ciqfunctions.udf.CIQ(InputTicker, "IQ_OTHER_FINANCE_ACT_SUPPL",Input!F$2,Date,,,Ccy,Conv)</f>
        <v>-190</v>
      </c>
      <c r="E235" s="4">
        <f>_xll.ciqfunctions.udf.CIQ(InputTicker, "IQ_OTHER_FINANCE_ACT_SUPPL",Input!G$2,Date,,,Ccy,Conv)</f>
        <v>-971</v>
      </c>
      <c r="F235" s="4">
        <f>_xll.ciqfunctions.udf.CIQ(InputTicker, "IQ_OTHER_FINANCE_ACT_SUPPL",Input!H$2,Date,,,Ccy,Conv)</f>
        <v>-675</v>
      </c>
      <c r="G235" s="4">
        <f>_xll.ciqfunctions.udf.CIQ(InputTicker, "IQ_OTHER_FINANCE_ACT_SUPPL",Input!I$2,Date,,,Ccy,Conv)</f>
        <v>-3751</v>
      </c>
      <c r="H235" s="4">
        <f>_xll.ciqfunctions.udf.CIQ(InputTicker, "IQ_OTHER_FINANCE_ACT_SUPPL",Input!J$2,Date,,,Ccy,Conv)</f>
        <v>-2523</v>
      </c>
      <c r="I235" s="4">
        <f>_xll.ciqfunctions.udf.CIQ(InputTicker, "IQ_OTHER_FINANCE_ACT_SUPPL",Input!K$2,Date,,,Ccy,Conv)</f>
        <v>-863</v>
      </c>
      <c r="J235" s="4">
        <f>_xll.ciqfunctions.udf.CIQ(InputTicker, "IQ_OTHER_FINANCE_ACT_SUPPL",Input!L$2,Date,,,Ccy,Conv)</f>
        <v>-1006</v>
      </c>
      <c r="K235" s="4">
        <f>_xll.ciqfunctions.udf.CIQ(InputTicker, "IQ_OTHER_FINANCE_ACT_SUPPL",Input!M$2,Date,,,Ccy,Conv)</f>
        <v>-1309</v>
      </c>
      <c r="L235" s="4">
        <f>_xll.ciqfunctions.udf.CIQ(InputTicker, "IQ_OTHER_FINANCE_ACT_SUPPL",Input!N$2,Date,,,Ccy,Conv)</f>
        <v>-2291</v>
      </c>
      <c r="M235" s="4">
        <f>_xll.ciqfunctions.udf.CIQ(InputTicker, "IQ_OTHER_FINANCE_ACT_SUPPL",Input!O$2,Date,,,Ccy,Conv)</f>
        <v>-2554</v>
      </c>
      <c r="N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  <c r="BA235" s="42"/>
      <c r="BB235" s="42"/>
      <c r="BC235" s="42"/>
      <c r="BD235" s="42"/>
      <c r="BE235" s="42"/>
      <c r="BF235" s="42"/>
      <c r="BG235" s="42"/>
      <c r="BH235" s="42"/>
      <c r="BI235" s="42"/>
      <c r="BJ235" s="42"/>
      <c r="BK235" s="42"/>
      <c r="BL235" s="42"/>
      <c r="BM235" s="42"/>
      <c r="BN235" s="42"/>
    </row>
    <row r="236" spans="1:66" ht="12.75" customHeight="1" thickBot="1" x14ac:dyDescent="0.25">
      <c r="A236" s="5" t="s">
        <v>120</v>
      </c>
      <c r="B236" s="9">
        <f>_xll.ciqfunctions.udf.CIQ(InputTicker, "IQ_CASH_FINAN",Input!D$2,Date,,,Ccy,Conv)</f>
        <v>-9668</v>
      </c>
      <c r="C236" s="9">
        <f>_xll.ciqfunctions.udf.CIQ(InputTicker, "IQ_CASH_FINAN",Input!E$2,Date,,,Ccy,Conv)</f>
        <v>-8393</v>
      </c>
      <c r="D236" s="9">
        <f>_xll.ciqfunctions.udf.CIQ(InputTicker, "IQ_CASH_FINAN",Input!F$2,Date,,,Ccy,Conv)</f>
        <v>8408</v>
      </c>
      <c r="E236" s="9">
        <f>_xll.ciqfunctions.udf.CIQ(InputTicker, "IQ_CASH_FINAN",Input!G$2,Date,,,Ccy,Conv)</f>
        <v>-33590</v>
      </c>
      <c r="F236" s="9">
        <f>_xll.ciqfunctions.udf.CIQ(InputTicker, "IQ_CASH_FINAN",Input!H$2,Date,,,Ccy,Conv)</f>
        <v>-36887</v>
      </c>
      <c r="G236" s="9">
        <f>_xll.ciqfunctions.udf.CIQ(InputTicker, "IQ_CASH_FINAN",Input!I$2,Date,,,Ccy,Conv)</f>
        <v>-46031</v>
      </c>
      <c r="H236" s="9">
        <f>_xll.ciqfunctions.udf.CIQ(InputTicker, "IQ_CASH_FINAN",Input!J$2,Date,,,Ccy,Conv)</f>
        <v>-48486</v>
      </c>
      <c r="I236" s="9">
        <f>_xll.ciqfunctions.udf.CIQ(InputTicker, "IQ_CASH_FINAN",Input!K$2,Date,,,Ccy,Conv)</f>
        <v>-58876</v>
      </c>
      <c r="J236" s="9">
        <f>_xll.ciqfunctions.udf.CIQ(InputTicker, "IQ_CASH_FINAN",Input!L$2,Date,,,Ccy,Conv)</f>
        <v>-43935</v>
      </c>
      <c r="K236" s="9">
        <f>_xll.ciqfunctions.udf.CIQ(InputTicker, "IQ_CASH_FINAN",Input!M$2,Date,,,Ccy,Conv)</f>
        <v>-37757</v>
      </c>
      <c r="L236" s="9">
        <f>_xll.ciqfunctions.udf.CIQ(InputTicker, "IQ_CASH_FINAN",Input!N$2,Date,,,Ccy,Conv)</f>
        <v>-51699</v>
      </c>
      <c r="M236" s="9">
        <f>_xll.ciqfunctions.udf.CIQ(InputTicker, "IQ_CASH_FINAN",Input!O$2,Date,,,Ccy,Conv)</f>
        <v>-51611</v>
      </c>
      <c r="N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  <c r="BA236" s="42"/>
      <c r="BB236" s="42"/>
      <c r="BC236" s="42"/>
      <c r="BD236" s="42"/>
      <c r="BE236" s="42"/>
      <c r="BF236" s="42"/>
      <c r="BG236" s="42"/>
      <c r="BH236" s="42"/>
      <c r="BI236" s="42"/>
      <c r="BJ236" s="42"/>
      <c r="BK236" s="42"/>
      <c r="BL236" s="42"/>
      <c r="BM236" s="42"/>
      <c r="BN236" s="42"/>
    </row>
    <row r="237" spans="1:66" ht="12.75" customHeight="1" thickTop="1" x14ac:dyDescent="0.2">
      <c r="A237" s="1" t="s">
        <v>156</v>
      </c>
      <c r="B237" s="4">
        <f>_xll.ciqfunctions.udf.CIQ(InputTicker, "IQ_FX",Input!D$2,Date,,,Ccy,Conv)</f>
        <v>-73</v>
      </c>
      <c r="C237" s="4">
        <f>_xll.ciqfunctions.udf.CIQ(InputTicker, "IQ_FX",Input!E$2,Date,,,Ccy,Conv)</f>
        <v>-67</v>
      </c>
      <c r="D237" s="4">
        <f>_xll.ciqfunctions.udf.CIQ(InputTicker, "IQ_FX",Input!F$2,Date,,,Ccy,Conv)</f>
        <v>19</v>
      </c>
      <c r="E237" s="4">
        <f>_xll.ciqfunctions.udf.CIQ(InputTicker, "IQ_FX",Input!G$2,Date,,,Ccy,Conv)</f>
        <v>50</v>
      </c>
      <c r="F237" s="4">
        <f>_xll.ciqfunctions.udf.CIQ(InputTicker, "IQ_FX",Input!H$2,Date,,,Ccy,Conv)</f>
        <v>-115</v>
      </c>
      <c r="G237" s="4">
        <f>_xll.ciqfunctions.udf.CIQ(InputTicker, "IQ_FX",Input!I$2,Date,,,Ccy,Conv)</f>
        <v>-201</v>
      </c>
      <c r="H237" s="4">
        <f>_xll.ciqfunctions.udf.CIQ(InputTicker, "IQ_FX",Input!J$2,Date,,,Ccy,Conv)</f>
        <v>-29</v>
      </c>
      <c r="I237" s="4">
        <f>_xll.ciqfunctions.udf.CIQ(InputTicker, "IQ_FX",Input!K$2,Date,,,Ccy,Conv)</f>
        <v>-141</v>
      </c>
      <c r="J237" s="4">
        <f>_xll.ciqfunctions.udf.CIQ(InputTicker, "IQ_FX",Input!L$2,Date,,,Ccy,Conv)</f>
        <v>-194</v>
      </c>
      <c r="K237" s="4">
        <f>_xll.ciqfunctions.udf.CIQ(InputTicker, "IQ_FX",Input!M$2,Date,,,Ccy,Conv)</f>
        <v>-210</v>
      </c>
      <c r="L237" s="4">
        <f>_xll.ciqfunctions.udf.CIQ(InputTicker, "IQ_FX",Input!N$2,Date,,,Ccy,Conv)</f>
        <v>63</v>
      </c>
      <c r="M237" s="4">
        <f>_xll.ciqfunctions.udf.CIQ(InputTicker, "IQ_FX",Input!O$2,Date,,,Ccy,Conv)</f>
        <v>-12</v>
      </c>
      <c r="N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  <c r="AO237" s="42"/>
      <c r="AP237" s="42"/>
      <c r="AQ237" s="42"/>
      <c r="AR237" s="42"/>
      <c r="AS237" s="42"/>
      <c r="AT237" s="42"/>
      <c r="AU237" s="42"/>
      <c r="AV237" s="42"/>
      <c r="AW237" s="42"/>
      <c r="AX237" s="42"/>
      <c r="AY237" s="42"/>
      <c r="AZ237" s="42"/>
      <c r="BA237" s="42"/>
      <c r="BB237" s="42"/>
      <c r="BC237" s="42"/>
      <c r="BD237" s="42"/>
      <c r="BE237" s="42"/>
      <c r="BF237" s="42"/>
      <c r="BG237" s="42"/>
      <c r="BH237" s="42"/>
      <c r="BI237" s="42"/>
      <c r="BJ237" s="42"/>
      <c r="BK237" s="42"/>
      <c r="BL237" s="42"/>
      <c r="BM237" s="42"/>
      <c r="BN237" s="42"/>
    </row>
    <row r="238" spans="1:66" ht="12.75" customHeight="1" x14ac:dyDescent="0.2">
      <c r="A238" s="1" t="s">
        <v>212</v>
      </c>
      <c r="B238" s="4">
        <f>_xll.ciqfunctions.udf.CIQ(InputTicker, "IQ_MISC_ADJUST_CF",Input!D$2,Date,,,Ccy,Conv)</f>
        <v>0</v>
      </c>
      <c r="C238" s="4">
        <f>_xll.ciqfunctions.udf.CIQ(InputTicker, "IQ_MISC_ADJUST_CF",Input!E$2,Date,,,Ccy,Conv)</f>
        <v>0</v>
      </c>
      <c r="D238" s="4">
        <f>_xll.ciqfunctions.udf.CIQ(InputTicker, "IQ_MISC_ADJUST_CF",Input!F$2,Date,,,Ccy,Conv)</f>
        <v>0</v>
      </c>
      <c r="E238" s="4">
        <f>_xll.ciqfunctions.udf.CIQ(InputTicker, "IQ_MISC_ADJUST_CF",Input!G$2,Date,,,Ccy,Conv)</f>
        <v>0</v>
      </c>
      <c r="F238" s="4">
        <f>_xll.ciqfunctions.udf.CIQ(InputTicker, "IQ_MISC_ADJUST_CF",Input!H$2,Date,,,Ccy,Conv)</f>
        <v>0</v>
      </c>
      <c r="G238" s="4">
        <f>_xll.ciqfunctions.udf.CIQ(InputTicker, "IQ_MISC_ADJUST_CF",Input!I$2,Date,,,Ccy,Conv)</f>
        <v>0</v>
      </c>
      <c r="H238" s="4">
        <f>_xll.ciqfunctions.udf.CIQ(InputTicker, "IQ_MISC_ADJUST_CF",Input!J$2,Date,,,Ccy,Conv)</f>
        <v>0</v>
      </c>
      <c r="I238" s="4">
        <f>_xll.ciqfunctions.udf.CIQ(InputTicker, "IQ_MISC_ADJUST_CF",Input!K$2,Date,,,Ccy,Conv)</f>
        <v>0</v>
      </c>
      <c r="J238" s="4">
        <f>_xll.ciqfunctions.udf.CIQ(InputTicker, "IQ_MISC_ADJUST_CF",Input!L$2,Date,,,Ccy,Conv)</f>
        <v>0</v>
      </c>
      <c r="K238" s="4">
        <f>_xll.ciqfunctions.udf.CIQ(InputTicker, "IQ_MISC_ADJUST_CF",Input!M$2,Date,,,Ccy,Conv)</f>
        <v>0</v>
      </c>
      <c r="L238" s="4">
        <f>_xll.ciqfunctions.udf.CIQ(InputTicker, "IQ_MISC_ADJUST_CF",Input!N$2,Date,,,Ccy,Conv)</f>
        <v>0</v>
      </c>
      <c r="M238" s="4">
        <f>_xll.ciqfunctions.udf.CIQ(InputTicker, "IQ_MISC_ADJUST_CF",Input!O$2,Date,,,Ccy,Conv)</f>
        <v>0</v>
      </c>
      <c r="N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  <c r="AK238" s="42"/>
      <c r="AL238" s="42"/>
      <c r="AM238" s="42"/>
      <c r="AN238" s="42"/>
      <c r="AO238" s="42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  <c r="BJ238" s="42"/>
      <c r="BK238" s="42"/>
      <c r="BL238" s="42"/>
      <c r="BM238" s="42"/>
      <c r="BN238" s="42"/>
    </row>
    <row r="239" spans="1:66" ht="12.75" customHeight="1" thickBot="1" x14ac:dyDescent="0.25">
      <c r="A239" s="5" t="s">
        <v>121</v>
      </c>
      <c r="B239" s="9">
        <f>_xll.ciqfunctions.udf.CIQ(InputTicker, "IQ_NET_CHANGE",Input!D$2,Date,,,Ccy,Conv)</f>
        <v>-3074</v>
      </c>
      <c r="C239" s="9">
        <f>_xll.ciqfunctions.udf.CIQ(InputTicker, "IQ_NET_CHANGE",Input!E$2,Date,,,Ccy,Conv)</f>
        <v>915</v>
      </c>
      <c r="D239" s="9">
        <f>_xll.ciqfunctions.udf.CIQ(InputTicker, "IQ_NET_CHANGE",Input!F$2,Date,,,Ccy,Conv)</f>
        <v>1153</v>
      </c>
      <c r="E239" s="9">
        <f>_xll.ciqfunctions.udf.CIQ(InputTicker, "IQ_NET_CHANGE",Input!G$2,Date,,,Ccy,Conv)</f>
        <v>4283</v>
      </c>
      <c r="F239" s="9">
        <f>_xll.ciqfunctions.udf.CIQ(InputTicker, "IQ_NET_CHANGE",Input!H$2,Date,,,Ccy,Conv)</f>
        <v>-590</v>
      </c>
      <c r="G239" s="9">
        <f>_xll.ciqfunctions.udf.CIQ(InputTicker, "IQ_NET_CHANGE",Input!I$2,Date,,,Ccy,Conv)</f>
        <v>2220</v>
      </c>
      <c r="H239" s="9">
        <f>_xll.ciqfunctions.udf.CIQ(InputTicker, "IQ_NET_CHANGE",Input!J$2,Date,,,Ccy,Conv)</f>
        <v>648</v>
      </c>
      <c r="I239" s="9">
        <f>_xll.ciqfunctions.udf.CIQ(InputTicker, "IQ_NET_CHANGE",Input!K$2,Date,,,Ccy,Conv)</f>
        <v>-293</v>
      </c>
      <c r="J239" s="9">
        <f>_xll.ciqfunctions.udf.CIQ(InputTicker, "IQ_NET_CHANGE",Input!L$2,Date,,,Ccy,Conv)</f>
        <v>20773</v>
      </c>
      <c r="K239" s="9">
        <f>_xll.ciqfunctions.udf.CIQ(InputTicker, "IQ_NET_CHANGE",Input!M$2,Date,,,Ccy,Conv)</f>
        <v>-16389</v>
      </c>
      <c r="L239" s="9">
        <f>_xll.ciqfunctions.udf.CIQ(InputTicker, "IQ_NET_CHANGE",Input!N$2,Date,,,Ccy,Conv)</f>
        <v>11927</v>
      </c>
      <c r="M239" s="9">
        <f>_xll.ciqfunctions.udf.CIQ(InputTicker, "IQ_NET_CHANGE",Input!O$2,Date,,,Ccy,Conv)</f>
        <v>3277</v>
      </c>
      <c r="N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  <c r="AO239" s="42"/>
      <c r="AP239" s="42"/>
      <c r="AQ239" s="42"/>
      <c r="AR239" s="42"/>
      <c r="AS239" s="42"/>
      <c r="AT239" s="42"/>
      <c r="AU239" s="42"/>
      <c r="AV239" s="42"/>
      <c r="AW239" s="42"/>
      <c r="AX239" s="42"/>
      <c r="AY239" s="42"/>
      <c r="AZ239" s="42"/>
      <c r="BA239" s="42"/>
      <c r="BB239" s="42"/>
      <c r="BC239" s="42"/>
      <c r="BD239" s="42"/>
      <c r="BE239" s="42"/>
      <c r="BF239" s="42"/>
      <c r="BG239" s="42"/>
      <c r="BH239" s="42"/>
      <c r="BI239" s="42"/>
      <c r="BJ239" s="42"/>
      <c r="BK239" s="42"/>
      <c r="BL239" s="42"/>
      <c r="BM239" s="42"/>
      <c r="BN239" s="42"/>
    </row>
    <row r="240" spans="1:66" ht="12.75" customHeight="1" thickTop="1" x14ac:dyDescent="0.2">
      <c r="A240" s="1" t="s">
        <v>317</v>
      </c>
      <c r="B240" s="18">
        <f>_xll.ciqfunctions.udf.CIQ(InputTicker,"IQ_PERIODLENGTH_CF",Input!D$2,Date)</f>
        <v>12</v>
      </c>
      <c r="C240" s="18">
        <f>_xll.ciqfunctions.udf.CIQ(InputTicker,"IQ_PERIODLENGTH_CF",Input!E$2,Date)</f>
        <v>12</v>
      </c>
      <c r="D240" s="18">
        <f>_xll.ciqfunctions.udf.CIQ(InputTicker,"IQ_PERIODLENGTH_CF",Input!F$2,Date)</f>
        <v>12</v>
      </c>
      <c r="E240" s="18">
        <f>_xll.ciqfunctions.udf.CIQ(InputTicker,"IQ_PERIODLENGTH_CF",Input!G$2,Date)</f>
        <v>12</v>
      </c>
      <c r="F240" s="18">
        <f>_xll.ciqfunctions.udf.CIQ(InputTicker,"IQ_PERIODLENGTH_CF",Input!H$2,Date)</f>
        <v>12</v>
      </c>
      <c r="G240" s="18">
        <f>_xll.ciqfunctions.udf.CIQ(InputTicker,"IQ_PERIODLENGTH_CF",Input!I$2,Date)</f>
        <v>12</v>
      </c>
      <c r="H240" s="18">
        <f>_xll.ciqfunctions.udf.CIQ(InputTicker,"IQ_PERIODLENGTH_CF",Input!J$2,Date)</f>
        <v>12</v>
      </c>
      <c r="I240" s="18">
        <f>_xll.ciqfunctions.udf.CIQ(InputTicker,"IQ_PERIODLENGTH_CF",Input!K$2,Date)</f>
        <v>12</v>
      </c>
      <c r="J240" s="18">
        <f>_xll.ciqfunctions.udf.CIQ(InputTicker,"IQ_PERIODLENGTH_CF",Input!L$2,Date)</f>
        <v>12</v>
      </c>
      <c r="K240" s="18">
        <f>_xll.ciqfunctions.udf.CIQ(InputTicker,"IQ_PERIODLENGTH_CF",Input!M$2,Date)</f>
        <v>12</v>
      </c>
      <c r="L240" s="18">
        <f>_xll.ciqfunctions.udf.CIQ(InputTicker,"IQ_PERIODLENGTH_CF",Input!N$2,Date)</f>
        <v>12</v>
      </c>
      <c r="M240" s="18">
        <f>_xll.ciqfunctions.udf.CIQ(InputTicker,"IQ_PERIODLENGTH_CF",Input!O$2,Date)</f>
        <v>12</v>
      </c>
      <c r="N240" s="49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  <c r="BJ240" s="42"/>
      <c r="BK240" s="42"/>
      <c r="BL240" s="42"/>
      <c r="BM240" s="42"/>
      <c r="BN240" s="42"/>
    </row>
    <row r="241" spans="1:66" ht="12.75" customHeight="1" x14ac:dyDescent="0.2">
      <c r="A241" s="1" t="s">
        <v>5</v>
      </c>
      <c r="B241" s="4">
        <f>_xll.ciqfunctions.udf.CIQ(InputTicker, "IQ_DA_SUPPL_PARTIAL_CF",Input!D$2,Date,,,Ccy,Conv)</f>
        <v>0</v>
      </c>
      <c r="C241" s="4">
        <f>_xll.ciqfunctions.udf.CIQ(InputTicker, "IQ_DA_SUPPL_PARTIAL_CF",Input!E$2,Date,,,Ccy,Conv)</f>
        <v>0</v>
      </c>
      <c r="D241" s="4">
        <f>_xll.ciqfunctions.udf.CIQ(InputTicker, "IQ_DA_SUPPL_PARTIAL_CF",Input!F$2,Date,,,Ccy,Conv)</f>
        <v>0</v>
      </c>
      <c r="E241" s="4">
        <f>_xll.ciqfunctions.udf.CIQ(InputTicker, "IQ_DA_SUPPL_PARTIAL_CF",Input!G$2,Date,,,Ccy,Conv)</f>
        <v>0</v>
      </c>
      <c r="F241" s="4">
        <f>_xll.ciqfunctions.udf.CIQ(InputTicker, "IQ_DA_SUPPL_PARTIAL_CF",Input!H$2,Date,,,Ccy,Conv)</f>
        <v>0</v>
      </c>
      <c r="G241" s="4">
        <f>_xll.ciqfunctions.udf.CIQ(InputTicker, "IQ_DA_SUPPL_PARTIAL_CF",Input!I$2,Date,,,Ccy,Conv)</f>
        <v>0</v>
      </c>
      <c r="H241" s="4">
        <f>_xll.ciqfunctions.udf.CIQ(InputTicker, "IQ_DA_SUPPL_PARTIAL_CF",Input!J$2,Date,,,Ccy,Conv)</f>
        <v>0</v>
      </c>
      <c r="I241" s="4">
        <f>_xll.ciqfunctions.udf.CIQ(InputTicker, "IQ_DA_SUPPL_PARTIAL_CF",Input!K$2,Date,,,Ccy,Conv)</f>
        <v>0</v>
      </c>
      <c r="J241" s="4">
        <f>_xll.ciqfunctions.udf.CIQ(InputTicker, "IQ_DA_SUPPL_PARTIAL_CF",Input!L$2,Date,,,Ccy,Conv)</f>
        <v>0</v>
      </c>
      <c r="K241" s="4">
        <f>_xll.ciqfunctions.udf.CIQ(InputTicker, "IQ_DA_SUPPL_PARTIAL_CF",Input!M$2,Date,,,Ccy,Conv)</f>
        <v>0</v>
      </c>
      <c r="L241" s="4">
        <f>_xll.ciqfunctions.udf.CIQ(InputTicker, "IQ_DA_SUPPL_PARTIAL_CF",Input!N$2,Date,,,Ccy,Conv)</f>
        <v>0</v>
      </c>
      <c r="M241" s="4">
        <f>_xll.ciqfunctions.udf.CIQ(InputTicker, "IQ_DA_SUPPL_PARTIAL_CF",Input!O$2,Date,,,Ccy,Conv)</f>
        <v>0</v>
      </c>
      <c r="N241" s="49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  <c r="AK241" s="42"/>
      <c r="AL241" s="42"/>
      <c r="AM241" s="42"/>
      <c r="AN241" s="42"/>
      <c r="AO241" s="42"/>
      <c r="AP241" s="42"/>
      <c r="AQ241" s="42"/>
      <c r="AR241" s="42"/>
      <c r="AS241" s="42"/>
      <c r="AT241" s="42"/>
      <c r="AU241" s="42"/>
      <c r="AV241" s="42"/>
      <c r="AW241" s="42"/>
      <c r="AX241" s="42"/>
      <c r="AY241" s="42"/>
      <c r="AZ241" s="42"/>
      <c r="BA241" s="42"/>
      <c r="BB241" s="42"/>
      <c r="BC241" s="42"/>
      <c r="BD241" s="42"/>
      <c r="BE241" s="42"/>
      <c r="BF241" s="42"/>
      <c r="BG241" s="42"/>
      <c r="BH241" s="42"/>
      <c r="BI241" s="42"/>
      <c r="BJ241" s="42"/>
      <c r="BK241" s="42"/>
      <c r="BL241" s="42"/>
      <c r="BM241" s="42"/>
      <c r="BN241" s="42"/>
    </row>
    <row r="242" spans="1:66" ht="12.75" customHeight="1" x14ac:dyDescent="0.2">
      <c r="A242" s="1" t="s">
        <v>6</v>
      </c>
      <c r="B242" s="4">
        <f>_xll.ciqfunctions.udf.CIQ(InputTicker, "IQ_GW_INTAN_AMORT_PARTIAL_CF",Input!D$2,Date,,,Ccy,Conv)</f>
        <v>0</v>
      </c>
      <c r="C242" s="4">
        <f>_xll.ciqfunctions.udf.CIQ(InputTicker, "IQ_GW_INTAN_AMORT_PARTIAL_CF",Input!E$2,Date,,,Ccy,Conv)</f>
        <v>0</v>
      </c>
      <c r="D242" s="4">
        <f>_xll.ciqfunctions.udf.CIQ(InputTicker, "IQ_GW_INTAN_AMORT_PARTIAL_CF",Input!F$2,Date,,,Ccy,Conv)</f>
        <v>0</v>
      </c>
      <c r="E242" s="4">
        <f>_xll.ciqfunctions.udf.CIQ(InputTicker, "IQ_GW_INTAN_AMORT_PARTIAL_CF",Input!G$2,Date,,,Ccy,Conv)</f>
        <v>0</v>
      </c>
      <c r="F242" s="4">
        <f>_xll.ciqfunctions.udf.CIQ(InputTicker, "IQ_GW_INTAN_AMORT_PARTIAL_CF",Input!H$2,Date,,,Ccy,Conv)</f>
        <v>0</v>
      </c>
      <c r="G242" s="4">
        <f>_xll.ciqfunctions.udf.CIQ(InputTicker, "IQ_GW_INTAN_AMORT_PARTIAL_CF",Input!I$2,Date,,,Ccy,Conv)</f>
        <v>0</v>
      </c>
      <c r="H242" s="4">
        <f>_xll.ciqfunctions.udf.CIQ(InputTicker, "IQ_GW_INTAN_AMORT_PARTIAL_CF",Input!J$2,Date,,,Ccy,Conv)</f>
        <v>0</v>
      </c>
      <c r="I242" s="4">
        <f>_xll.ciqfunctions.udf.CIQ(InputTicker, "IQ_GW_INTAN_AMORT_PARTIAL_CF",Input!K$2,Date,,,Ccy,Conv)</f>
        <v>0</v>
      </c>
      <c r="J242" s="4">
        <f>_xll.ciqfunctions.udf.CIQ(InputTicker, "IQ_GW_INTAN_AMORT_PARTIAL_CF",Input!L$2,Date,,,Ccy,Conv)</f>
        <v>0</v>
      </c>
      <c r="K242" s="4">
        <f>_xll.ciqfunctions.udf.CIQ(InputTicker, "IQ_GW_INTAN_AMORT_PARTIAL_CF",Input!M$2,Date,,,Ccy,Conv)</f>
        <v>0</v>
      </c>
      <c r="L242" s="4">
        <f>_xll.ciqfunctions.udf.CIQ(InputTicker, "IQ_GW_INTAN_AMORT_PARTIAL_CF",Input!N$2,Date,,,Ccy,Conv)</f>
        <v>0</v>
      </c>
      <c r="M242" s="4">
        <f>_xll.ciqfunctions.udf.CIQ(InputTicker, "IQ_GW_INTAN_AMORT_PARTIAL_CF",Input!O$2,Date,,,Ccy,Conv)</f>
        <v>0</v>
      </c>
      <c r="N242" s="49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  <c r="AO242" s="42"/>
      <c r="AP242" s="42"/>
      <c r="AQ242" s="42"/>
      <c r="AR242" s="42"/>
      <c r="AS242" s="42"/>
      <c r="AT242" s="42"/>
      <c r="AU242" s="42"/>
      <c r="AV242" s="42"/>
      <c r="AW242" s="42"/>
      <c r="AX242" s="42"/>
      <c r="AY242" s="42"/>
      <c r="AZ242" s="42"/>
      <c r="BA242" s="42"/>
      <c r="BB242" s="42"/>
      <c r="BC242" s="42"/>
      <c r="BD242" s="42"/>
      <c r="BE242" s="42"/>
      <c r="BF242" s="42"/>
      <c r="BG242" s="42"/>
      <c r="BH242" s="42"/>
      <c r="BI242" s="42"/>
      <c r="BJ242" s="42"/>
      <c r="BK242" s="42"/>
      <c r="BL242" s="42"/>
      <c r="BM242" s="42"/>
      <c r="BN242" s="42"/>
    </row>
    <row r="243" spans="1:66" ht="12.75" customHeight="1" x14ac:dyDescent="0.2">
      <c r="A243" s="1" t="s">
        <v>349</v>
      </c>
      <c r="B243" s="4">
        <f>_xll.ciqfunctions.udf.CIQ(InputTicker, "IQ_DEPRE_SUPP",Input!D$2,Date,,,Ccy,Conv)</f>
        <v>4100</v>
      </c>
      <c r="C243" s="4">
        <f>_xll.ciqfunctions.udf.CIQ(InputTicker, "IQ_DEPRE_SUPP",Input!E$2,Date,,,Ccy,Conv)</f>
        <v>4900</v>
      </c>
      <c r="D243" s="4">
        <f>_xll.ciqfunctions.udf.CIQ(InputTicker, "IQ_DEPRE_SUPP",Input!F$2,Date,,,Ccy,Conv)</f>
        <v>6100</v>
      </c>
      <c r="E243" s="4">
        <f>_xll.ciqfunctions.udf.CIQ(InputTicker, "IQ_DEPRE_SUPP",Input!G$2,Date,,,Ccy,Conv)</f>
        <v>7700</v>
      </c>
      <c r="F243" s="4">
        <f>_xll.ciqfunctions.udf.CIQ(InputTicker, "IQ_DEPRE_SUPP",Input!H$2,Date,,,Ccy,Conv)</f>
        <v>9700</v>
      </c>
      <c r="G243" s="4">
        <f>_xll.ciqfunctions.udf.CIQ(InputTicker, "IQ_DEPRE_SUPP",Input!I$2,Date,,,Ccy,Conv)</f>
        <v>10700</v>
      </c>
      <c r="H243" s="4">
        <f>_xll.ciqfunctions.udf.CIQ(InputTicker, "IQ_DEPRE_SUPP",Input!J$2,Date,,,Ccy,Conv)</f>
        <v>9300</v>
      </c>
      <c r="I243" s="4">
        <f>_xll.ciqfunctions.udf.CIQ(InputTicker, "IQ_DEPRE_SUPP",Input!K$2,Date,,,Ccy,Conv)</f>
        <v>12600</v>
      </c>
      <c r="J243" s="4">
        <f>_xll.ciqfunctions.udf.CIQ(InputTicker, "IQ_DEPRE_SUPP",Input!L$2,Date,,,Ccy,Conv)</f>
        <v>11000</v>
      </c>
      <c r="K243" s="4">
        <f>_xll.ciqfunctions.udf.CIQ(InputTicker, "IQ_DEPRE_SUPP",Input!M$2,Date,,,Ccy,Conv)</f>
        <v>15200</v>
      </c>
      <c r="L243" s="4">
        <f>_xll.ciqfunctions.udf.CIQ(InputTicker, "IQ_DEPRE_SUPP",Input!N$2,Date,,,Ccy,Conv)</f>
        <v>22000</v>
      </c>
      <c r="M243" s="4">
        <f>_xll.ciqfunctions.udf.CIQ(InputTicker, "IQ_DEPRE_SUPP",Input!O$2,Date,,,Ccy,Conv)</f>
        <v>30300</v>
      </c>
      <c r="N243" s="49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  <c r="BA243" s="42"/>
      <c r="BB243" s="42"/>
      <c r="BC243" s="42"/>
      <c r="BD243" s="42"/>
      <c r="BE243" s="42"/>
      <c r="BF243" s="42"/>
      <c r="BG243" s="42"/>
      <c r="BH243" s="42"/>
      <c r="BI243" s="42"/>
      <c r="BJ243" s="42"/>
      <c r="BK243" s="42"/>
      <c r="BL243" s="42"/>
      <c r="BM243" s="42"/>
      <c r="BN243" s="42"/>
    </row>
    <row r="244" spans="1:66" ht="12.75" customHeight="1" x14ac:dyDescent="0.2">
      <c r="A244" s="1" t="s">
        <v>31</v>
      </c>
      <c r="B244" s="4">
        <f>_xll.ciqfunctions.udf.CIQ(InputTicker, "IQ_DEPRECIATION_RENTAL_ASSETS_CF",Input!D$2,Date,,,Ccy,Conv)</f>
        <v>0</v>
      </c>
      <c r="C244" s="4">
        <f>_xll.ciqfunctions.udf.CIQ(InputTicker, "IQ_DEPRECIATION_RENTAL_ASSETS_CF",Input!E$2,Date,,,Ccy,Conv)</f>
        <v>0</v>
      </c>
      <c r="D244" s="4">
        <f>_xll.ciqfunctions.udf.CIQ(InputTicker, "IQ_DEPRECIATION_RENTAL_ASSETS_CF",Input!F$2,Date,,,Ccy,Conv)</f>
        <v>0</v>
      </c>
      <c r="E244" s="4">
        <f>_xll.ciqfunctions.udf.CIQ(InputTicker, "IQ_DEPRECIATION_RENTAL_ASSETS_CF",Input!G$2,Date,,,Ccy,Conv)</f>
        <v>0</v>
      </c>
      <c r="F244" s="4">
        <f>_xll.ciqfunctions.udf.CIQ(InputTicker, "IQ_DEPRECIATION_RENTAL_ASSETS_CF",Input!H$2,Date,,,Ccy,Conv)</f>
        <v>0</v>
      </c>
      <c r="G244" s="4">
        <f>_xll.ciqfunctions.udf.CIQ(InputTicker, "IQ_DEPRECIATION_RENTAL_ASSETS_CF",Input!I$2,Date,,,Ccy,Conv)</f>
        <v>0</v>
      </c>
      <c r="H244" s="4">
        <f>_xll.ciqfunctions.udf.CIQ(InputTicker, "IQ_DEPRECIATION_RENTAL_ASSETS_CF",Input!J$2,Date,,,Ccy,Conv)</f>
        <v>0</v>
      </c>
      <c r="I244" s="4">
        <f>_xll.ciqfunctions.udf.CIQ(InputTicker, "IQ_DEPRECIATION_RENTAL_ASSETS_CF",Input!K$2,Date,,,Ccy,Conv)</f>
        <v>0</v>
      </c>
      <c r="J244" s="4">
        <f>_xll.ciqfunctions.udf.CIQ(InputTicker, "IQ_DEPRECIATION_RENTAL_ASSETS_CF",Input!L$2,Date,,,Ccy,Conv)</f>
        <v>0</v>
      </c>
      <c r="K244" s="4">
        <f>_xll.ciqfunctions.udf.CIQ(InputTicker, "IQ_DEPRECIATION_RENTAL_ASSETS_CF",Input!M$2,Date,,,Ccy,Conv)</f>
        <v>0</v>
      </c>
      <c r="L244" s="4">
        <f>_xll.ciqfunctions.udf.CIQ(InputTicker, "IQ_DEPRECIATION_RENTAL_ASSETS_CF",Input!N$2,Date,,,Ccy,Conv)</f>
        <v>0</v>
      </c>
      <c r="M244" s="4">
        <f>_xll.ciqfunctions.udf.CIQ(InputTicker, "IQ_DEPRECIATION_RENTAL_ASSETS_CF",Input!O$2,Date,,,Ccy,Conv)</f>
        <v>0</v>
      </c>
      <c r="N244" s="49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  <c r="AK244" s="42"/>
      <c r="AL244" s="42"/>
      <c r="AM244" s="42"/>
      <c r="AN244" s="42"/>
      <c r="AO244" s="42"/>
      <c r="AP244" s="42"/>
      <c r="AQ244" s="42"/>
      <c r="AR244" s="42"/>
      <c r="AS244" s="42"/>
      <c r="AT244" s="42"/>
      <c r="AU244" s="42"/>
      <c r="AV244" s="42"/>
      <c r="AW244" s="42"/>
      <c r="AX244" s="42"/>
      <c r="AY244" s="42"/>
      <c r="AZ244" s="42"/>
      <c r="BA244" s="42"/>
      <c r="BB244" s="42"/>
      <c r="BC244" s="42"/>
      <c r="BD244" s="42"/>
      <c r="BE244" s="42"/>
      <c r="BF244" s="42"/>
      <c r="BG244" s="42"/>
      <c r="BH244" s="42"/>
      <c r="BI244" s="42"/>
      <c r="BJ244" s="42"/>
      <c r="BK244" s="42"/>
      <c r="BL244" s="42"/>
      <c r="BM244" s="42"/>
      <c r="BN244" s="42"/>
    </row>
    <row r="245" spans="1:66" ht="12.75" customHeight="1" x14ac:dyDescent="0.2">
      <c r="A245" s="1" t="s">
        <v>445</v>
      </c>
      <c r="B245" s="4">
        <f>_xll.ciqfunctions.udf.CIQ(InputTicker, "IQ_DEP_RUA",Input!D$2,Date,,,Ccy,Conv)</f>
        <v>0</v>
      </c>
      <c r="C245" s="4">
        <f>_xll.ciqfunctions.udf.CIQ(InputTicker, "IQ_DEP_RUA",Input!E$2,Date,,,Ccy,Conv)</f>
        <v>0</v>
      </c>
      <c r="D245" s="4">
        <f>_xll.ciqfunctions.udf.CIQ(InputTicker, "IQ_DEP_RUA",Input!F$2,Date,,,Ccy,Conv)</f>
        <v>0</v>
      </c>
      <c r="E245" s="4">
        <f>_xll.ciqfunctions.udf.CIQ(InputTicker, "IQ_DEP_RUA",Input!G$2,Date,,,Ccy,Conv)</f>
        <v>0</v>
      </c>
      <c r="F245" s="4">
        <f>_xll.ciqfunctions.udf.CIQ(InputTicker, "IQ_DEP_RUA",Input!H$2,Date,,,Ccy,Conv)</f>
        <v>0</v>
      </c>
      <c r="G245" s="4">
        <f>_xll.ciqfunctions.udf.CIQ(InputTicker, "IQ_DEP_RUA",Input!I$2,Date,,,Ccy,Conv)</f>
        <v>0</v>
      </c>
      <c r="H245" s="4">
        <f>_xll.ciqfunctions.udf.CIQ(InputTicker, "IQ_DEP_RUA",Input!J$2,Date,,,Ccy,Conv)</f>
        <v>0</v>
      </c>
      <c r="I245" s="4">
        <f>_xll.ciqfunctions.udf.CIQ(InputTicker, "IQ_DEP_RUA",Input!K$2,Date,,,Ccy,Conv)</f>
        <v>0</v>
      </c>
      <c r="J245" s="4">
        <f>_xll.ciqfunctions.udf.CIQ(InputTicker, "IQ_DEP_RUA",Input!L$2,Date,,,Ccy,Conv)</f>
        <v>0</v>
      </c>
      <c r="K245" s="4">
        <f>_xll.ciqfunctions.udf.CIQ(InputTicker, "IQ_DEP_RUA",Input!M$2,Date,,,Ccy,Conv)</f>
        <v>0</v>
      </c>
      <c r="L245" s="4">
        <f>_xll.ciqfunctions.udf.CIQ(InputTicker, "IQ_DEP_RUA",Input!N$2,Date,,,Ccy,Conv)</f>
        <v>0</v>
      </c>
      <c r="M245" s="4">
        <f>_xll.ciqfunctions.udf.CIQ(InputTicker, "IQ_DEP_RUA",Input!O$2,Date,,,Ccy,Conv)</f>
        <v>0</v>
      </c>
      <c r="N245" s="49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  <c r="AO245" s="42"/>
      <c r="AP245" s="42"/>
      <c r="AQ245" s="42"/>
      <c r="AR245" s="42"/>
      <c r="AS245" s="42"/>
      <c r="AT245" s="42"/>
      <c r="AU245" s="42"/>
      <c r="AV245" s="42"/>
      <c r="AW245" s="42"/>
      <c r="AX245" s="42"/>
      <c r="AY245" s="42"/>
      <c r="AZ245" s="42"/>
      <c r="BA245" s="42"/>
      <c r="BB245" s="42"/>
      <c r="BC245" s="42"/>
      <c r="BD245" s="42"/>
      <c r="BE245" s="42"/>
      <c r="BF245" s="42"/>
      <c r="BG245" s="42"/>
      <c r="BH245" s="42"/>
      <c r="BI245" s="42"/>
      <c r="BJ245" s="42"/>
      <c r="BK245" s="42"/>
      <c r="BL245" s="42"/>
      <c r="BM245" s="42"/>
      <c r="BN245" s="42"/>
    </row>
    <row r="246" spans="1:66" ht="12.75" customHeight="1" x14ac:dyDescent="0.2">
      <c r="A246" s="1" t="s">
        <v>466</v>
      </c>
      <c r="B246" s="4">
        <f>_xll.ciqfunctions.udf.CIQ(InputTicker, "IQ_DA_SUPPL_CF_EXCL_OPER_LEASES",Input!D$2,Date,,,Ccy,Conv)</f>
        <v>4100</v>
      </c>
      <c r="C246" s="4">
        <f>_xll.ciqfunctions.udf.CIQ(InputTicker, "IQ_DA_SUPPL_CF_EXCL_OPER_LEASES",Input!E$2,Date,,,Ccy,Conv)</f>
        <v>4900</v>
      </c>
      <c r="D246" s="4">
        <f>_xll.ciqfunctions.udf.CIQ(InputTicker, "IQ_DA_SUPPL_CF_EXCL_OPER_LEASES",Input!F$2,Date,,,Ccy,Conv)</f>
        <v>6100</v>
      </c>
      <c r="E246" s="4">
        <f>_xll.ciqfunctions.udf.CIQ(InputTicker, "IQ_DA_SUPPL_CF_EXCL_OPER_LEASES",Input!G$2,Date,,,Ccy,Conv)</f>
        <v>7700</v>
      </c>
      <c r="F246" s="4">
        <f>_xll.ciqfunctions.udf.CIQ(InputTicker, "IQ_DA_SUPPL_CF_EXCL_OPER_LEASES",Input!H$2,Date,,,Ccy,Conv)</f>
        <v>9700</v>
      </c>
      <c r="G246" s="4">
        <f>_xll.ciqfunctions.udf.CIQ(InputTicker, "IQ_DA_SUPPL_CF_EXCL_OPER_LEASES",Input!I$2,Date,,,Ccy,Conv)</f>
        <v>10700</v>
      </c>
      <c r="H246" s="4">
        <f>_xll.ciqfunctions.udf.CIQ(InputTicker, "IQ_DA_SUPPL_CF_EXCL_OPER_LEASES",Input!J$2,Date,,,Ccy,Conv)</f>
        <v>9300</v>
      </c>
      <c r="I246" s="4">
        <f>_xll.ciqfunctions.udf.CIQ(InputTicker, "IQ_DA_SUPPL_CF_EXCL_OPER_LEASES",Input!K$2,Date,,,Ccy,Conv)</f>
        <v>12600</v>
      </c>
      <c r="J246" s="4">
        <f>_xll.ciqfunctions.udf.CIQ(InputTicker, "IQ_DA_SUPPL_CF_EXCL_OPER_LEASES",Input!L$2,Date,,,Ccy,Conv)</f>
        <v>11000</v>
      </c>
      <c r="K246" s="4">
        <f>_xll.ciqfunctions.udf.CIQ(InputTicker, "IQ_DA_SUPPL_CF_EXCL_OPER_LEASES",Input!M$2,Date,,,Ccy,Conv)</f>
        <v>15200</v>
      </c>
      <c r="L246" s="4">
        <f>_xll.ciqfunctions.udf.CIQ(InputTicker, "IQ_DA_SUPPL_CF_EXCL_OPER_LEASES",Input!N$2,Date,,,Ccy,Conv)</f>
        <v>22000</v>
      </c>
      <c r="M246" s="4">
        <f>_xll.ciqfunctions.udf.CIQ(InputTicker, "IQ_DA_SUPPL_CF_EXCL_OPER_LEASES",Input!O$2,Date,,,Ccy,Conv)</f>
        <v>30300</v>
      </c>
      <c r="N246" s="49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  <c r="AK246" s="42"/>
      <c r="AL246" s="42"/>
      <c r="AM246" s="42"/>
      <c r="AN246" s="42"/>
      <c r="AO246" s="42"/>
      <c r="AP246" s="42"/>
      <c r="AQ246" s="42"/>
      <c r="AR246" s="42"/>
      <c r="AS246" s="42"/>
      <c r="AT246" s="42"/>
      <c r="AU246" s="42"/>
      <c r="AV246" s="42"/>
      <c r="AW246" s="42"/>
      <c r="AX246" s="42"/>
      <c r="AY246" s="42"/>
      <c r="AZ246" s="42"/>
      <c r="BA246" s="42"/>
      <c r="BB246" s="42"/>
      <c r="BC246" s="42"/>
      <c r="BD246" s="42"/>
      <c r="BE246" s="42"/>
      <c r="BF246" s="42"/>
      <c r="BG246" s="42"/>
      <c r="BH246" s="42"/>
      <c r="BI246" s="42"/>
      <c r="BJ246" s="42"/>
      <c r="BK246" s="42"/>
      <c r="BL246" s="42"/>
      <c r="BM246" s="42"/>
      <c r="BN246" s="42"/>
    </row>
    <row r="247" spans="1:66" ht="12.75" customHeight="1" x14ac:dyDescent="0.2">
      <c r="A247" s="1" t="s">
        <v>467</v>
      </c>
      <c r="B247" s="4">
        <f>_xll.ciqfunctions.udf.CIQ(InputTicker, "IQ_DA_CF_EXCL_OPER_LEASES",Input!D$2,Date,,,Ccy,Conv)</f>
        <v>5400</v>
      </c>
      <c r="C247" s="4">
        <f>_xll.ciqfunctions.udf.CIQ(InputTicker, "IQ_DA_CF_EXCL_OPER_LEASES",Input!E$2,Date,,,Ccy,Conv)</f>
        <v>5878</v>
      </c>
      <c r="D247" s="4">
        <f>_xll.ciqfunctions.udf.CIQ(InputTicker, "IQ_DA_CF_EXCL_OPER_LEASES",Input!F$2,Date,,,Ccy,Conv)</f>
        <v>7800</v>
      </c>
      <c r="E247" s="4">
        <f>_xll.ciqfunctions.udf.CIQ(InputTicker, "IQ_DA_CF_EXCL_OPER_LEASES",Input!G$2,Date,,,Ccy,Conv)</f>
        <v>9900</v>
      </c>
      <c r="F247" s="4">
        <f>_xll.ciqfunctions.udf.CIQ(InputTicker, "IQ_DA_CF_EXCL_OPER_LEASES",Input!H$2,Date,,,Ccy,Conv)</f>
        <v>11600</v>
      </c>
      <c r="G247" s="4">
        <f>_xll.ciqfunctions.udf.CIQ(InputTicker, "IQ_DA_CF_EXCL_OPER_LEASES",Input!I$2,Date,,,Ccy,Conv)</f>
        <v>12300</v>
      </c>
      <c r="H247" s="4">
        <f>_xll.ciqfunctions.udf.CIQ(InputTicker, "IQ_DA_CF_EXCL_OPER_LEASES",Input!J$2,Date,,,Ccy,Conv)</f>
        <v>10900</v>
      </c>
      <c r="I247" s="4">
        <f>_xll.ciqfunctions.udf.CIQ(InputTicker, "IQ_DA_CF_EXCL_OPER_LEASES",Input!K$2,Date,,,Ccy,Conv)</f>
        <v>14600</v>
      </c>
      <c r="J247" s="4">
        <f>_xll.ciqfunctions.udf.CIQ(InputTicker, "IQ_DA_CF_EXCL_OPER_LEASES",Input!L$2,Date,,,Ccy,Conv)</f>
        <v>13500</v>
      </c>
      <c r="K247" s="4">
        <f>_xll.ciqfunctions.udf.CIQ(InputTicker, "IQ_DA_CF_EXCL_OPER_LEASES",Input!M$2,Date,,,Ccy,Conv)</f>
        <v>20000</v>
      </c>
      <c r="L247" s="4">
        <f>_xll.ciqfunctions.udf.CIQ(InputTicker, "IQ_DA_CF_EXCL_OPER_LEASES",Input!N$2,Date,,,Ccy,Conv)</f>
        <v>28000</v>
      </c>
      <c r="M247" s="4">
        <f>_xll.ciqfunctions.udf.CIQ(InputTicker, "IQ_DA_CF_EXCL_OPER_LEASES",Input!O$2,Date,,,Ccy,Conv)</f>
        <v>35500</v>
      </c>
      <c r="N247" s="49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  <c r="BA247" s="42"/>
      <c r="BB247" s="42"/>
      <c r="BC247" s="42"/>
      <c r="BD247" s="42"/>
      <c r="BE247" s="42"/>
      <c r="BF247" s="42"/>
      <c r="BG247" s="42"/>
      <c r="BH247" s="42"/>
      <c r="BI247" s="42"/>
      <c r="BJ247" s="42"/>
      <c r="BK247" s="42"/>
      <c r="BL247" s="42"/>
      <c r="BM247" s="42"/>
      <c r="BN247" s="42"/>
    </row>
    <row r="248" spans="1:66" ht="12.75" customHeight="1" x14ac:dyDescent="0.2">
      <c r="A248" s="1" t="s">
        <v>40</v>
      </c>
      <c r="B248" s="4">
        <f>_xll.ciqfunctions.udf.CIQ(InputTicker, "IQ_NEGATIVE_GW_AMORT_CF",Input!D$2,Date,,,Ccy,Conv)</f>
        <v>0</v>
      </c>
      <c r="C248" s="4">
        <f>_xll.ciqfunctions.udf.CIQ(InputTicker, "IQ_NEGATIVE_GW_AMORT_CF",Input!E$2,Date,,,Ccy,Conv)</f>
        <v>0</v>
      </c>
      <c r="D248" s="4">
        <f>_xll.ciqfunctions.udf.CIQ(InputTicker, "IQ_NEGATIVE_GW_AMORT_CF",Input!F$2,Date,,,Ccy,Conv)</f>
        <v>0</v>
      </c>
      <c r="E248" s="4">
        <f>_xll.ciqfunctions.udf.CIQ(InputTicker, "IQ_NEGATIVE_GW_AMORT_CF",Input!G$2,Date,,,Ccy,Conv)</f>
        <v>0</v>
      </c>
      <c r="F248" s="4">
        <f>_xll.ciqfunctions.udf.CIQ(InputTicker, "IQ_NEGATIVE_GW_AMORT_CF",Input!H$2,Date,,,Ccy,Conv)</f>
        <v>0</v>
      </c>
      <c r="G248" s="4">
        <f>_xll.ciqfunctions.udf.CIQ(InputTicker, "IQ_NEGATIVE_GW_AMORT_CF",Input!I$2,Date,,,Ccy,Conv)</f>
        <v>0</v>
      </c>
      <c r="H248" s="4">
        <f>_xll.ciqfunctions.udf.CIQ(InputTicker, "IQ_NEGATIVE_GW_AMORT_CF",Input!J$2,Date,,,Ccy,Conv)</f>
        <v>0</v>
      </c>
      <c r="I248" s="4">
        <f>_xll.ciqfunctions.udf.CIQ(InputTicker, "IQ_NEGATIVE_GW_AMORT_CF",Input!K$2,Date,,,Ccy,Conv)</f>
        <v>0</v>
      </c>
      <c r="J248" s="4">
        <f>_xll.ciqfunctions.udf.CIQ(InputTicker, "IQ_NEGATIVE_GW_AMORT_CF",Input!L$2,Date,,,Ccy,Conv)</f>
        <v>0</v>
      </c>
      <c r="K248" s="4">
        <f>_xll.ciqfunctions.udf.CIQ(InputTicker, "IQ_NEGATIVE_GW_AMORT_CF",Input!M$2,Date,,,Ccy,Conv)</f>
        <v>0</v>
      </c>
      <c r="L248" s="4">
        <f>_xll.ciqfunctions.udf.CIQ(InputTicker, "IQ_NEGATIVE_GW_AMORT_CF",Input!N$2,Date,,,Ccy,Conv)</f>
        <v>0</v>
      </c>
      <c r="M248" s="4">
        <f>_xll.ciqfunctions.udf.CIQ(InputTicker, "IQ_NEGATIVE_GW_AMORT_CF",Input!O$2,Date,,,Ccy,Conv)</f>
        <v>0</v>
      </c>
      <c r="N248" s="49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  <c r="AO248" s="42"/>
      <c r="AP248" s="42"/>
      <c r="AQ248" s="42"/>
      <c r="AR248" s="42"/>
      <c r="AS248" s="42"/>
      <c r="AT248" s="42"/>
      <c r="AU248" s="42"/>
      <c r="AV248" s="42"/>
      <c r="AW248" s="42"/>
      <c r="AX248" s="42"/>
      <c r="AY248" s="42"/>
      <c r="AZ248" s="42"/>
      <c r="BA248" s="42"/>
      <c r="BB248" s="42"/>
      <c r="BC248" s="42"/>
      <c r="BD248" s="42"/>
      <c r="BE248" s="42"/>
      <c r="BF248" s="42"/>
      <c r="BG248" s="42"/>
      <c r="BH248" s="42"/>
      <c r="BI248" s="42"/>
      <c r="BJ248" s="42"/>
      <c r="BK248" s="42"/>
      <c r="BL248" s="42"/>
      <c r="BM248" s="42"/>
      <c r="BN248" s="42"/>
    </row>
    <row r="249" spans="1:66" ht="12.75" customHeight="1" x14ac:dyDescent="0.2">
      <c r="A249" s="1" t="s">
        <v>439</v>
      </c>
      <c r="B249" s="4">
        <f>_xll.ciqfunctions.udf.CIQ(InputTicker, "IQ_AMORT_DIC_CF",Input!D$2,Date,,,Ccy,Conv)</f>
        <v>0</v>
      </c>
      <c r="C249" s="4">
        <f>_xll.ciqfunctions.udf.CIQ(InputTicker, "IQ_AMORT_DIC_CF",Input!E$2,Date,,,Ccy,Conv)</f>
        <v>0</v>
      </c>
      <c r="D249" s="4">
        <f>_xll.ciqfunctions.udf.CIQ(InputTicker, "IQ_AMORT_DIC_CF",Input!F$2,Date,,,Ccy,Conv)</f>
        <v>0</v>
      </c>
      <c r="E249" s="4">
        <f>_xll.ciqfunctions.udf.CIQ(InputTicker, "IQ_AMORT_DIC_CF",Input!G$2,Date,,,Ccy,Conv)</f>
        <v>0</v>
      </c>
      <c r="F249" s="4">
        <f>_xll.ciqfunctions.udf.CIQ(InputTicker, "IQ_AMORT_DIC_CF",Input!H$2,Date,,,Ccy,Conv)</f>
        <v>0</v>
      </c>
      <c r="G249" s="4">
        <f>_xll.ciqfunctions.udf.CIQ(InputTicker, "IQ_AMORT_DIC_CF",Input!I$2,Date,,,Ccy,Conv)</f>
        <v>0</v>
      </c>
      <c r="H249" s="4">
        <f>_xll.ciqfunctions.udf.CIQ(InputTicker, "IQ_AMORT_DIC_CF",Input!J$2,Date,,,Ccy,Conv)</f>
        <v>0</v>
      </c>
      <c r="I249" s="4">
        <f>_xll.ciqfunctions.udf.CIQ(InputTicker, "IQ_AMORT_DIC_CF",Input!K$2,Date,,,Ccy,Conv)</f>
        <v>0</v>
      </c>
      <c r="J249" s="4">
        <f>_xll.ciqfunctions.udf.CIQ(InputTicker, "IQ_AMORT_DIC_CF",Input!L$2,Date,,,Ccy,Conv)</f>
        <v>0</v>
      </c>
      <c r="K249" s="4">
        <f>_xll.ciqfunctions.udf.CIQ(InputTicker, "IQ_AMORT_DIC_CF",Input!M$2,Date,,,Ccy,Conv)</f>
        <v>0</v>
      </c>
      <c r="L249" s="4">
        <f>_xll.ciqfunctions.udf.CIQ(InputTicker, "IQ_AMORT_DIC_CF",Input!N$2,Date,,,Ccy,Conv)</f>
        <v>0</v>
      </c>
      <c r="M249" s="4">
        <f>_xll.ciqfunctions.udf.CIQ(InputTicker, "IQ_AMORT_DIC_CF",Input!O$2,Date,,,Ccy,Conv)</f>
        <v>0</v>
      </c>
      <c r="N249" s="49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  <c r="AN249" s="42"/>
      <c r="AO249" s="42"/>
      <c r="AP249" s="42"/>
      <c r="AQ249" s="42"/>
      <c r="AR249" s="42"/>
      <c r="AS249" s="42"/>
      <c r="AT249" s="42"/>
      <c r="AU249" s="42"/>
      <c r="AV249" s="42"/>
      <c r="AW249" s="42"/>
      <c r="AX249" s="42"/>
      <c r="AY249" s="42"/>
      <c r="AZ249" s="42"/>
      <c r="BA249" s="42"/>
      <c r="BB249" s="42"/>
      <c r="BC249" s="42"/>
      <c r="BD249" s="42"/>
      <c r="BE249" s="42"/>
      <c r="BF249" s="42"/>
      <c r="BG249" s="42"/>
      <c r="BH249" s="42"/>
      <c r="BI249" s="42"/>
      <c r="BJ249" s="42"/>
      <c r="BK249" s="42"/>
      <c r="BL249" s="42"/>
      <c r="BM249" s="42"/>
      <c r="BN249" s="42"/>
    </row>
    <row r="250" spans="1:66" ht="12.75" customHeight="1" x14ac:dyDescent="0.2">
      <c r="A250" s="1" t="s">
        <v>440</v>
      </c>
      <c r="B250" s="4">
        <f>_xll.ciqfunctions.udf.CIQ(InputTicker, "IQ_AMORT_SOFTWARE_ASSETS_CF",Input!D$2,Date,,,Ccy,Conv)</f>
        <v>79</v>
      </c>
      <c r="C250" s="4">
        <f>_xll.ciqfunctions.udf.CIQ(InputTicker, "IQ_AMORT_SOFTWARE_ASSETS_CF",Input!E$2,Date,,,Ccy,Conv)</f>
        <v>69</v>
      </c>
      <c r="D250" s="4">
        <f>_xll.ciqfunctions.udf.CIQ(InputTicker, "IQ_AMORT_SOFTWARE_ASSETS_CF",Input!F$2,Date,,,Ccy,Conv)</f>
        <v>0</v>
      </c>
      <c r="E250" s="4">
        <f>_xll.ciqfunctions.udf.CIQ(InputTicker, "IQ_AMORT_SOFTWARE_ASSETS_CF",Input!G$2,Date,,,Ccy,Conv)</f>
        <v>0</v>
      </c>
      <c r="F250" s="4">
        <f>_xll.ciqfunctions.udf.CIQ(InputTicker, "IQ_AMORT_SOFTWARE_ASSETS_CF",Input!H$2,Date,,,Ccy,Conv)</f>
        <v>0</v>
      </c>
      <c r="G250" s="4">
        <f>_xll.ciqfunctions.udf.CIQ(InputTicker, "IQ_AMORT_SOFTWARE_ASSETS_CF",Input!I$2,Date,,,Ccy,Conv)</f>
        <v>0</v>
      </c>
      <c r="H250" s="4">
        <f>_xll.ciqfunctions.udf.CIQ(InputTicker, "IQ_AMORT_SOFTWARE_ASSETS_CF",Input!J$2,Date,,,Ccy,Conv)</f>
        <v>0</v>
      </c>
      <c r="I250" s="4">
        <f>_xll.ciqfunctions.udf.CIQ(InputTicker, "IQ_AMORT_SOFTWARE_ASSETS_CF",Input!K$2,Date,,,Ccy,Conv)</f>
        <v>0</v>
      </c>
      <c r="J250" s="4">
        <f>_xll.ciqfunctions.udf.CIQ(InputTicker, "IQ_AMORT_SOFTWARE_ASSETS_CF",Input!L$2,Date,,,Ccy,Conv)</f>
        <v>0</v>
      </c>
      <c r="K250" s="4">
        <f>_xll.ciqfunctions.udf.CIQ(InputTicker, "IQ_AMORT_SOFTWARE_ASSETS_CF",Input!M$2,Date,,,Ccy,Conv)</f>
        <v>0</v>
      </c>
      <c r="L250" s="4">
        <f>_xll.ciqfunctions.udf.CIQ(InputTicker, "IQ_AMORT_SOFTWARE_ASSETS_CF",Input!N$2,Date,,,Ccy,Conv)</f>
        <v>0</v>
      </c>
      <c r="M250" s="4">
        <f>_xll.ciqfunctions.udf.CIQ(InputTicker, "IQ_AMORT_SOFTWARE_ASSETS_CF",Input!O$2,Date,,,Ccy,Conv)</f>
        <v>0</v>
      </c>
      <c r="N250" s="49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  <c r="BA250" s="42"/>
      <c r="BB250" s="42"/>
      <c r="BC250" s="42"/>
      <c r="BD250" s="42"/>
      <c r="BE250" s="42"/>
      <c r="BF250" s="42"/>
      <c r="BG250" s="42"/>
      <c r="BH250" s="42"/>
      <c r="BI250" s="42"/>
      <c r="BJ250" s="42"/>
      <c r="BK250" s="42"/>
      <c r="BL250" s="42"/>
      <c r="BM250" s="42"/>
      <c r="BN250" s="42"/>
    </row>
    <row r="251" spans="1:66" ht="12.75" customHeight="1" x14ac:dyDescent="0.2">
      <c r="A251" s="1" t="s">
        <v>32</v>
      </c>
      <c r="B251" s="4">
        <f>_xll.ciqfunctions.udf.CIQ(InputTicker, "IQ_SALE_PROCEEDS_RENTAL_ASSETS",Input!D$2,Date,,,Ccy,Conv)</f>
        <v>0</v>
      </c>
      <c r="C251" s="4">
        <f>_xll.ciqfunctions.udf.CIQ(InputTicker, "IQ_SALE_PROCEEDS_RENTAL_ASSETS",Input!E$2,Date,,,Ccy,Conv)</f>
        <v>0</v>
      </c>
      <c r="D251" s="4">
        <f>_xll.ciqfunctions.udf.CIQ(InputTicker, "IQ_SALE_PROCEEDS_RENTAL_ASSETS",Input!F$2,Date,,,Ccy,Conv)</f>
        <v>0</v>
      </c>
      <c r="E251" s="4">
        <f>_xll.ciqfunctions.udf.CIQ(InputTicker, "IQ_SALE_PROCEEDS_RENTAL_ASSETS",Input!G$2,Date,,,Ccy,Conv)</f>
        <v>0</v>
      </c>
      <c r="F251" s="4">
        <f>_xll.ciqfunctions.udf.CIQ(InputTicker, "IQ_SALE_PROCEEDS_RENTAL_ASSETS",Input!H$2,Date,,,Ccy,Conv)</f>
        <v>0</v>
      </c>
      <c r="G251" s="4">
        <f>_xll.ciqfunctions.udf.CIQ(InputTicker, "IQ_SALE_PROCEEDS_RENTAL_ASSETS",Input!I$2,Date,,,Ccy,Conv)</f>
        <v>0</v>
      </c>
      <c r="H251" s="4">
        <f>_xll.ciqfunctions.udf.CIQ(InputTicker, "IQ_SALE_PROCEEDS_RENTAL_ASSETS",Input!J$2,Date,,,Ccy,Conv)</f>
        <v>0</v>
      </c>
      <c r="I251" s="4">
        <f>_xll.ciqfunctions.udf.CIQ(InputTicker, "IQ_SALE_PROCEEDS_RENTAL_ASSETS",Input!K$2,Date,,,Ccy,Conv)</f>
        <v>0</v>
      </c>
      <c r="J251" s="4">
        <f>_xll.ciqfunctions.udf.CIQ(InputTicker, "IQ_SALE_PROCEEDS_RENTAL_ASSETS",Input!L$2,Date,,,Ccy,Conv)</f>
        <v>0</v>
      </c>
      <c r="K251" s="4">
        <f>_xll.ciqfunctions.udf.CIQ(InputTicker, "IQ_SALE_PROCEEDS_RENTAL_ASSETS",Input!M$2,Date,,,Ccy,Conv)</f>
        <v>0</v>
      </c>
      <c r="L251" s="4">
        <f>_xll.ciqfunctions.udf.CIQ(InputTicker, "IQ_SALE_PROCEEDS_RENTAL_ASSETS",Input!N$2,Date,,,Ccy,Conv)</f>
        <v>0</v>
      </c>
      <c r="M251" s="4">
        <f>_xll.ciqfunctions.udf.CIQ(InputTicker, "IQ_SALE_PROCEEDS_RENTAL_ASSETS",Input!O$2,Date,,,Ccy,Conv)</f>
        <v>0</v>
      </c>
      <c r="N251" s="49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  <c r="AK251" s="42"/>
      <c r="AL251" s="42"/>
      <c r="AM251" s="42"/>
      <c r="AN251" s="42"/>
      <c r="AO251" s="42"/>
      <c r="AP251" s="42"/>
      <c r="AQ251" s="42"/>
      <c r="AR251" s="42"/>
      <c r="AS251" s="42"/>
      <c r="AT251" s="42"/>
      <c r="AU251" s="42"/>
      <c r="AV251" s="42"/>
      <c r="AW251" s="42"/>
      <c r="AX251" s="42"/>
      <c r="AY251" s="42"/>
      <c r="AZ251" s="42"/>
      <c r="BA251" s="42"/>
      <c r="BB251" s="42"/>
      <c r="BC251" s="42"/>
      <c r="BD251" s="42"/>
      <c r="BE251" s="42"/>
      <c r="BF251" s="42"/>
      <c r="BG251" s="42"/>
      <c r="BH251" s="42"/>
      <c r="BI251" s="42"/>
      <c r="BJ251" s="42"/>
      <c r="BK251" s="42"/>
      <c r="BL251" s="42"/>
      <c r="BM251" s="42"/>
      <c r="BN251" s="42"/>
    </row>
    <row r="252" spans="1:66" ht="12.75" customHeight="1" x14ac:dyDescent="0.2">
      <c r="A252" s="1" t="s">
        <v>48</v>
      </c>
      <c r="B252" s="4">
        <f>_xll.ciqfunctions.udf.CIQ(InputTicker, "IQ_CASH_INTEREST",Input!D$2,Date,,,Ccy,Conv)</f>
        <v>620</v>
      </c>
      <c r="C252" s="4">
        <f>_xll.ciqfunctions.udf.CIQ(InputTicker, "IQ_CASH_INTEREST",Input!E$2,Date,,,Ccy,Conv)</f>
        <v>1100</v>
      </c>
      <c r="D252" s="4">
        <f>_xll.ciqfunctions.udf.CIQ(InputTicker, "IQ_CASH_INTEREST",Input!F$2,Date,,,Ccy,Conv)</f>
        <v>1600</v>
      </c>
      <c r="E252" s="4">
        <f>_xll.ciqfunctions.udf.CIQ(InputTicker, "IQ_CASH_INTEREST",Input!G$2,Date,,,Ccy,Conv)</f>
        <v>0</v>
      </c>
      <c r="F252" s="4">
        <f>_xll.ciqfunctions.udf.CIQ(InputTicker, "IQ_CASH_INTEREST",Input!H$2,Date,,,Ccy,Conv)</f>
        <v>2400</v>
      </c>
      <c r="G252" s="4">
        <f>_xll.ciqfunctions.udf.CIQ(InputTicker, "IQ_CASH_INTEREST",Input!I$2,Date,,,Ccy,Conv)</f>
        <v>2400</v>
      </c>
      <c r="H252" s="4">
        <f>_xll.ciqfunctions.udf.CIQ(InputTicker, "IQ_CASH_INTEREST",Input!J$2,Date,,,Ccy,Conv)</f>
        <v>2000</v>
      </c>
      <c r="I252" s="4">
        <f>_xll.ciqfunctions.udf.CIQ(InputTicker, "IQ_CASH_INTEREST",Input!K$2,Date,,,Ccy,Conv)</f>
        <v>1900</v>
      </c>
      <c r="J252" s="4">
        <f>_xll.ciqfunctions.udf.CIQ(InputTicker, "IQ_CASH_INTEREST",Input!L$2,Date,,,Ccy,Conv)</f>
        <v>1700</v>
      </c>
      <c r="K252" s="4">
        <f>_xll.ciqfunctions.udf.CIQ(InputTicker, "IQ_CASH_INTEREST",Input!M$2,Date,,,Ccy,Conv)</f>
        <v>1700</v>
      </c>
      <c r="L252" s="4">
        <f>_xll.ciqfunctions.udf.CIQ(InputTicker, "IQ_CASH_INTEREST",Input!N$2,Date,,,Ccy,Conv)</f>
        <v>1600</v>
      </c>
      <c r="M252" s="4">
        <f>_xll.ciqfunctions.udf.CIQ(InputTicker, "IQ_CASH_INTEREST",Input!O$2,Date,,,Ccy,Conv)</f>
        <v>1600</v>
      </c>
      <c r="N252" s="49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  <c r="AO252" s="42"/>
      <c r="AP252" s="42"/>
      <c r="AQ252" s="42"/>
      <c r="AR252" s="42"/>
      <c r="AS252" s="42"/>
      <c r="AT252" s="42"/>
      <c r="AU252" s="42"/>
      <c r="AV252" s="42"/>
      <c r="AW252" s="42"/>
      <c r="AX252" s="42"/>
      <c r="AY252" s="42"/>
      <c r="AZ252" s="42"/>
      <c r="BA252" s="42"/>
      <c r="BB252" s="42"/>
      <c r="BC252" s="42"/>
      <c r="BD252" s="42"/>
      <c r="BE252" s="42"/>
      <c r="BF252" s="42"/>
      <c r="BG252" s="42"/>
      <c r="BH252" s="42"/>
      <c r="BI252" s="42"/>
      <c r="BJ252" s="42"/>
      <c r="BK252" s="42"/>
      <c r="BL252" s="42"/>
      <c r="BM252" s="42"/>
      <c r="BN252" s="42"/>
    </row>
    <row r="253" spans="1:66" ht="12.75" customHeight="1" x14ac:dyDescent="0.2">
      <c r="A253" s="1" t="s">
        <v>409</v>
      </c>
      <c r="B253" s="4">
        <f>_xll.ciqfunctions.udf.CIQ(InputTicker, "IQ_CASH_INTEREST_NET",Input!D$2,Date,,,Ccy,Conv)</f>
        <v>0</v>
      </c>
      <c r="C253" s="4">
        <f>_xll.ciqfunctions.udf.CIQ(InputTicker, "IQ_CASH_INTEREST_NET",Input!E$2,Date,,,Ccy,Conv)</f>
        <v>0</v>
      </c>
      <c r="D253" s="4">
        <f>_xll.ciqfunctions.udf.CIQ(InputTicker, "IQ_CASH_INTEREST_NET",Input!F$2,Date,,,Ccy,Conv)</f>
        <v>0</v>
      </c>
      <c r="E253" s="4">
        <f>_xll.ciqfunctions.udf.CIQ(InputTicker, "IQ_CASH_INTEREST_NET",Input!G$2,Date,,,Ccy,Conv)</f>
        <v>0</v>
      </c>
      <c r="F253" s="4">
        <f>_xll.ciqfunctions.udf.CIQ(InputTicker, "IQ_CASH_INTEREST_NET",Input!H$2,Date,,,Ccy,Conv)</f>
        <v>0</v>
      </c>
      <c r="G253" s="4">
        <f>_xll.ciqfunctions.udf.CIQ(InputTicker, "IQ_CASH_INTEREST_NET",Input!I$2,Date,,,Ccy,Conv)</f>
        <v>0</v>
      </c>
      <c r="H253" s="4">
        <f>_xll.ciqfunctions.udf.CIQ(InputTicker, "IQ_CASH_INTEREST_NET",Input!J$2,Date,,,Ccy,Conv)</f>
        <v>0</v>
      </c>
      <c r="I253" s="4">
        <f>_xll.ciqfunctions.udf.CIQ(InputTicker, "IQ_CASH_INTEREST_NET",Input!K$2,Date,,,Ccy,Conv)</f>
        <v>0</v>
      </c>
      <c r="J253" s="4">
        <f>_xll.ciqfunctions.udf.CIQ(InputTicker, "IQ_CASH_INTEREST_NET",Input!L$2,Date,,,Ccy,Conv)</f>
        <v>0</v>
      </c>
      <c r="K253" s="4">
        <f>_xll.ciqfunctions.udf.CIQ(InputTicker, "IQ_CASH_INTEREST_NET",Input!M$2,Date,,,Ccy,Conv)</f>
        <v>0</v>
      </c>
      <c r="L253" s="4">
        <f>_xll.ciqfunctions.udf.CIQ(InputTicker, "IQ_CASH_INTEREST_NET",Input!N$2,Date,,,Ccy,Conv)</f>
        <v>0</v>
      </c>
      <c r="M253" s="4">
        <f>_xll.ciqfunctions.udf.CIQ(InputTicker, "IQ_CASH_INTEREST_NET",Input!O$2,Date,,,Ccy,Conv)</f>
        <v>0</v>
      </c>
      <c r="N253" s="49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  <c r="BA253" s="42"/>
      <c r="BB253" s="42"/>
      <c r="BC253" s="42"/>
      <c r="BD253" s="42"/>
      <c r="BE253" s="42"/>
      <c r="BF253" s="42"/>
      <c r="BG253" s="42"/>
      <c r="BH253" s="42"/>
      <c r="BI253" s="42"/>
      <c r="BJ253" s="42"/>
      <c r="BK253" s="42"/>
      <c r="BL253" s="42"/>
      <c r="BM253" s="42"/>
      <c r="BN253" s="42"/>
    </row>
    <row r="254" spans="1:66" ht="12.75" customHeight="1" x14ac:dyDescent="0.2">
      <c r="A254" s="1" t="s">
        <v>507</v>
      </c>
      <c r="B254" s="4">
        <f>_xll.ciqfunctions.udf.CIQ(InputTicker, "IQ_CASH_INTEREST_RECEIVED",Input!D$2,Date,,,Ccy,Conv)</f>
        <v>0</v>
      </c>
      <c r="C254" s="4">
        <f>_xll.ciqfunctions.udf.CIQ(InputTicker, "IQ_CASH_INTEREST_RECEIVED",Input!E$2,Date,,,Ccy,Conv)</f>
        <v>0</v>
      </c>
      <c r="D254" s="4">
        <f>_xll.ciqfunctions.udf.CIQ(InputTicker, "IQ_CASH_INTEREST_RECEIVED",Input!F$2,Date,,,Ccy,Conv)</f>
        <v>0</v>
      </c>
      <c r="E254" s="4">
        <f>_xll.ciqfunctions.udf.CIQ(InputTicker, "IQ_CASH_INTEREST_RECEIVED",Input!G$2,Date,,,Ccy,Conv)</f>
        <v>0</v>
      </c>
      <c r="F254" s="4">
        <f>_xll.ciqfunctions.udf.CIQ(InputTicker, "IQ_CASH_INTEREST_RECEIVED",Input!H$2,Date,,,Ccy,Conv)</f>
        <v>0</v>
      </c>
      <c r="G254" s="4">
        <f>_xll.ciqfunctions.udf.CIQ(InputTicker, "IQ_CASH_INTEREST_RECEIVED",Input!I$2,Date,,,Ccy,Conv)</f>
        <v>0</v>
      </c>
      <c r="H254" s="4">
        <f>_xll.ciqfunctions.udf.CIQ(InputTicker, "IQ_CASH_INTEREST_RECEIVED",Input!J$2,Date,,,Ccy,Conv)</f>
        <v>0</v>
      </c>
      <c r="I254" s="4">
        <f>_xll.ciqfunctions.udf.CIQ(InputTicker, "IQ_CASH_INTEREST_RECEIVED",Input!K$2,Date,,,Ccy,Conv)</f>
        <v>0</v>
      </c>
      <c r="J254" s="4">
        <f>_xll.ciqfunctions.udf.CIQ(InputTicker, "IQ_CASH_INTEREST_RECEIVED",Input!L$2,Date,,,Ccy,Conv)</f>
        <v>0</v>
      </c>
      <c r="K254" s="4">
        <f>_xll.ciqfunctions.udf.CIQ(InputTicker, "IQ_CASH_INTEREST_RECEIVED",Input!M$2,Date,,,Ccy,Conv)</f>
        <v>0</v>
      </c>
      <c r="L254" s="4">
        <f>_xll.ciqfunctions.udf.CIQ(InputTicker, "IQ_CASH_INTEREST_RECEIVED",Input!N$2,Date,,,Ccy,Conv)</f>
        <v>0</v>
      </c>
      <c r="M254" s="4">
        <f>_xll.ciqfunctions.udf.CIQ(InputTicker, "IQ_CASH_INTEREST_RECEIVED",Input!O$2,Date,,,Ccy,Conv)</f>
        <v>0</v>
      </c>
      <c r="N254" s="49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  <c r="AN254" s="42"/>
      <c r="AO254" s="42"/>
      <c r="AP254" s="42"/>
      <c r="AQ254" s="42"/>
      <c r="AR254" s="42"/>
      <c r="AS254" s="42"/>
      <c r="AT254" s="42"/>
      <c r="AU254" s="42"/>
      <c r="AV254" s="42"/>
      <c r="AW254" s="42"/>
      <c r="AX254" s="42"/>
      <c r="AY254" s="42"/>
      <c r="AZ254" s="42"/>
      <c r="BA254" s="42"/>
      <c r="BB254" s="42"/>
      <c r="BC254" s="42"/>
      <c r="BD254" s="42"/>
      <c r="BE254" s="42"/>
      <c r="BF254" s="42"/>
      <c r="BG254" s="42"/>
      <c r="BH254" s="42"/>
      <c r="BI254" s="42"/>
      <c r="BJ254" s="42"/>
      <c r="BK254" s="42"/>
      <c r="BL254" s="42"/>
      <c r="BM254" s="42"/>
      <c r="BN254" s="42"/>
    </row>
    <row r="255" spans="1:66" ht="12.75" customHeight="1" x14ac:dyDescent="0.2">
      <c r="A255" s="1" t="s">
        <v>381</v>
      </c>
      <c r="B255" s="4">
        <f>_xll.ciqfunctions.udf.CIQ(InputTicker, "IQ_CASH_INTEREST_OPER",Input!D$2,Date,,,Ccy,Conv)</f>
        <v>0</v>
      </c>
      <c r="C255" s="4">
        <f>_xll.ciqfunctions.udf.CIQ(InputTicker, "IQ_CASH_INTEREST_OPER",Input!E$2,Date,,,Ccy,Conv)</f>
        <v>0</v>
      </c>
      <c r="D255" s="4">
        <f>_xll.ciqfunctions.udf.CIQ(InputTicker, "IQ_CASH_INTEREST_OPER",Input!F$2,Date,,,Ccy,Conv)</f>
        <v>0</v>
      </c>
      <c r="E255" s="4">
        <f>_xll.ciqfunctions.udf.CIQ(InputTicker, "IQ_CASH_INTEREST_OPER",Input!G$2,Date,,,Ccy,Conv)</f>
        <v>0</v>
      </c>
      <c r="F255" s="4">
        <f>_xll.ciqfunctions.udf.CIQ(InputTicker, "IQ_CASH_INTEREST_OPER",Input!H$2,Date,,,Ccy,Conv)</f>
        <v>0</v>
      </c>
      <c r="G255" s="4">
        <f>_xll.ciqfunctions.udf.CIQ(InputTicker, "IQ_CASH_INTEREST_OPER",Input!I$2,Date,,,Ccy,Conv)</f>
        <v>0</v>
      </c>
      <c r="H255" s="4">
        <f>_xll.ciqfunctions.udf.CIQ(InputTicker, "IQ_CASH_INTEREST_OPER",Input!J$2,Date,,,Ccy,Conv)</f>
        <v>0</v>
      </c>
      <c r="I255" s="4">
        <f>_xll.ciqfunctions.udf.CIQ(InputTicker, "IQ_CASH_INTEREST_OPER",Input!K$2,Date,,,Ccy,Conv)</f>
        <v>0</v>
      </c>
      <c r="J255" s="4">
        <f>_xll.ciqfunctions.udf.CIQ(InputTicker, "IQ_CASH_INTEREST_OPER",Input!L$2,Date,,,Ccy,Conv)</f>
        <v>0</v>
      </c>
      <c r="K255" s="4">
        <f>_xll.ciqfunctions.udf.CIQ(InputTicker, "IQ_CASH_INTEREST_OPER",Input!M$2,Date,,,Ccy,Conv)</f>
        <v>0</v>
      </c>
      <c r="L255" s="4">
        <f>_xll.ciqfunctions.udf.CIQ(InputTicker, "IQ_CASH_INTEREST_OPER",Input!N$2,Date,,,Ccy,Conv)</f>
        <v>0</v>
      </c>
      <c r="M255" s="4">
        <f>_xll.ciqfunctions.udf.CIQ(InputTicker, "IQ_CASH_INTEREST_OPER",Input!O$2,Date,,,Ccy,Conv)</f>
        <v>0</v>
      </c>
      <c r="N255" s="49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  <c r="AK255" s="42"/>
      <c r="AL255" s="42"/>
      <c r="AM255" s="42"/>
      <c r="AN255" s="42"/>
      <c r="AO255" s="42"/>
      <c r="AP255" s="42"/>
      <c r="AQ255" s="42"/>
      <c r="AR255" s="42"/>
      <c r="AS255" s="42"/>
      <c r="AT255" s="42"/>
      <c r="AU255" s="42"/>
      <c r="AV255" s="42"/>
      <c r="AW255" s="42"/>
      <c r="AX255" s="42"/>
      <c r="AY255" s="42"/>
      <c r="AZ255" s="42"/>
      <c r="BA255" s="42"/>
      <c r="BB255" s="42"/>
      <c r="BC255" s="42"/>
      <c r="BD255" s="42"/>
      <c r="BE255" s="42"/>
      <c r="BF255" s="42"/>
      <c r="BG255" s="42"/>
      <c r="BH255" s="42"/>
      <c r="BI255" s="42"/>
      <c r="BJ255" s="42"/>
      <c r="BK255" s="42"/>
      <c r="BL255" s="42"/>
      <c r="BM255" s="42"/>
      <c r="BN255" s="42"/>
    </row>
    <row r="256" spans="1:66" ht="12.75" customHeight="1" x14ac:dyDescent="0.2">
      <c r="A256" s="1" t="s">
        <v>382</v>
      </c>
      <c r="B256" s="4">
        <f>_xll.ciqfunctions.udf.CIQ(InputTicker, "IQ_CASH_INTEREST_INVEST",Input!D$2,Date,,,Ccy,Conv)</f>
        <v>0</v>
      </c>
      <c r="C256" s="4">
        <f>_xll.ciqfunctions.udf.CIQ(InputTicker, "IQ_CASH_INTEREST_INVEST",Input!E$2,Date,,,Ccy,Conv)</f>
        <v>0</v>
      </c>
      <c r="D256" s="4">
        <f>_xll.ciqfunctions.udf.CIQ(InputTicker, "IQ_CASH_INTEREST_INVEST",Input!F$2,Date,,,Ccy,Conv)</f>
        <v>0</v>
      </c>
      <c r="E256" s="4">
        <f>_xll.ciqfunctions.udf.CIQ(InputTicker, "IQ_CASH_INTEREST_INVEST",Input!G$2,Date,,,Ccy,Conv)</f>
        <v>0</v>
      </c>
      <c r="F256" s="4">
        <f>_xll.ciqfunctions.udf.CIQ(InputTicker, "IQ_CASH_INTEREST_INVEST",Input!H$2,Date,,,Ccy,Conv)</f>
        <v>0</v>
      </c>
      <c r="G256" s="4">
        <f>_xll.ciqfunctions.udf.CIQ(InputTicker, "IQ_CASH_INTEREST_INVEST",Input!I$2,Date,,,Ccy,Conv)</f>
        <v>0</v>
      </c>
      <c r="H256" s="4">
        <f>_xll.ciqfunctions.udf.CIQ(InputTicker, "IQ_CASH_INTEREST_INVEST",Input!J$2,Date,,,Ccy,Conv)</f>
        <v>0</v>
      </c>
      <c r="I256" s="4">
        <f>_xll.ciqfunctions.udf.CIQ(InputTicker, "IQ_CASH_INTEREST_INVEST",Input!K$2,Date,,,Ccy,Conv)</f>
        <v>0</v>
      </c>
      <c r="J256" s="4">
        <f>_xll.ciqfunctions.udf.CIQ(InputTicker, "IQ_CASH_INTEREST_INVEST",Input!L$2,Date,,,Ccy,Conv)</f>
        <v>0</v>
      </c>
      <c r="K256" s="4">
        <f>_xll.ciqfunctions.udf.CIQ(InputTicker, "IQ_CASH_INTEREST_INVEST",Input!M$2,Date,,,Ccy,Conv)</f>
        <v>0</v>
      </c>
      <c r="L256" s="4">
        <f>_xll.ciqfunctions.udf.CIQ(InputTicker, "IQ_CASH_INTEREST_INVEST",Input!N$2,Date,,,Ccy,Conv)</f>
        <v>0</v>
      </c>
      <c r="M256" s="4">
        <f>_xll.ciqfunctions.udf.CIQ(InputTicker, "IQ_CASH_INTEREST_INVEST",Input!O$2,Date,,,Ccy,Conv)</f>
        <v>0</v>
      </c>
      <c r="N256" s="49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  <c r="BA256" s="42"/>
      <c r="BB256" s="42"/>
      <c r="BC256" s="42"/>
      <c r="BD256" s="42"/>
      <c r="BE256" s="42"/>
      <c r="BF256" s="42"/>
      <c r="BG256" s="42"/>
      <c r="BH256" s="42"/>
      <c r="BI256" s="42"/>
      <c r="BJ256" s="42"/>
      <c r="BK256" s="42"/>
      <c r="BL256" s="42"/>
      <c r="BM256" s="42"/>
      <c r="BN256" s="42"/>
    </row>
    <row r="257" spans="1:66" ht="12.75" customHeight="1" x14ac:dyDescent="0.2">
      <c r="A257" s="1" t="s">
        <v>383</v>
      </c>
      <c r="B257" s="4">
        <f>_xll.ciqfunctions.udf.CIQ(InputTicker, "IQ_CASH_INTEREST_FINAN",Input!D$2,Date,,,Ccy,Conv)</f>
        <v>0</v>
      </c>
      <c r="C257" s="4">
        <f>_xll.ciqfunctions.udf.CIQ(InputTicker, "IQ_CASH_INTEREST_FINAN",Input!E$2,Date,,,Ccy,Conv)</f>
        <v>0</v>
      </c>
      <c r="D257" s="4">
        <f>_xll.ciqfunctions.udf.CIQ(InputTicker, "IQ_CASH_INTEREST_FINAN",Input!F$2,Date,,,Ccy,Conv)</f>
        <v>0</v>
      </c>
      <c r="E257" s="4">
        <f>_xll.ciqfunctions.udf.CIQ(InputTicker, "IQ_CASH_INTEREST_FINAN",Input!G$2,Date,,,Ccy,Conv)</f>
        <v>0</v>
      </c>
      <c r="F257" s="4">
        <f>_xll.ciqfunctions.udf.CIQ(InputTicker, "IQ_CASH_INTEREST_FINAN",Input!H$2,Date,,,Ccy,Conv)</f>
        <v>0</v>
      </c>
      <c r="G257" s="4">
        <f>_xll.ciqfunctions.udf.CIQ(InputTicker, "IQ_CASH_INTEREST_FINAN",Input!I$2,Date,,,Ccy,Conv)</f>
        <v>0</v>
      </c>
      <c r="H257" s="4">
        <f>_xll.ciqfunctions.udf.CIQ(InputTicker, "IQ_CASH_INTEREST_FINAN",Input!J$2,Date,,,Ccy,Conv)</f>
        <v>0</v>
      </c>
      <c r="I257" s="4">
        <f>_xll.ciqfunctions.udf.CIQ(InputTicker, "IQ_CASH_INTEREST_FINAN",Input!K$2,Date,,,Ccy,Conv)</f>
        <v>0</v>
      </c>
      <c r="J257" s="4">
        <f>_xll.ciqfunctions.udf.CIQ(InputTicker, "IQ_CASH_INTEREST_FINAN",Input!L$2,Date,,,Ccy,Conv)</f>
        <v>0</v>
      </c>
      <c r="K257" s="4">
        <f>_xll.ciqfunctions.udf.CIQ(InputTicker, "IQ_CASH_INTEREST_FINAN",Input!M$2,Date,,,Ccy,Conv)</f>
        <v>0</v>
      </c>
      <c r="L257" s="4">
        <f>_xll.ciqfunctions.udf.CIQ(InputTicker, "IQ_CASH_INTEREST_FINAN",Input!N$2,Date,,,Ccy,Conv)</f>
        <v>0</v>
      </c>
      <c r="M257" s="4">
        <f>_xll.ciqfunctions.udf.CIQ(InputTicker, "IQ_CASH_INTEREST_FINAN",Input!O$2,Date,,,Ccy,Conv)</f>
        <v>0</v>
      </c>
      <c r="N257" s="49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  <c r="AK257" s="42"/>
      <c r="AL257" s="42"/>
      <c r="AM257" s="42"/>
      <c r="AN257" s="42"/>
      <c r="AO257" s="42"/>
      <c r="AP257" s="42"/>
      <c r="AQ257" s="42"/>
      <c r="AR257" s="42"/>
      <c r="AS257" s="42"/>
      <c r="AT257" s="42"/>
      <c r="AU257" s="42"/>
      <c r="AV257" s="42"/>
      <c r="AW257" s="42"/>
      <c r="AX257" s="42"/>
      <c r="AY257" s="42"/>
      <c r="AZ257" s="42"/>
      <c r="BA257" s="42"/>
      <c r="BB257" s="42"/>
      <c r="BC257" s="42"/>
      <c r="BD257" s="42"/>
      <c r="BE257" s="42"/>
      <c r="BF257" s="42"/>
      <c r="BG257" s="42"/>
      <c r="BH257" s="42"/>
      <c r="BI257" s="42"/>
      <c r="BJ257" s="42"/>
      <c r="BK257" s="42"/>
      <c r="BL257" s="42"/>
      <c r="BM257" s="42"/>
      <c r="BN257" s="42"/>
    </row>
    <row r="258" spans="1:66" ht="12.75" customHeight="1" x14ac:dyDescent="0.2">
      <c r="A258" s="1" t="s">
        <v>49</v>
      </c>
      <c r="B258" s="4">
        <f>_xll.ciqfunctions.udf.CIQ(InputTicker, "IQ_CASH_TAXES",Input!D$2,Date,,,Ccy,Conv)</f>
        <v>4400</v>
      </c>
      <c r="C258" s="4">
        <f>_xll.ciqfunctions.udf.CIQ(InputTicker, "IQ_CASH_TAXES",Input!E$2,Date,,,Ccy,Conv)</f>
        <v>3900</v>
      </c>
      <c r="D258" s="4">
        <f>_xll.ciqfunctions.udf.CIQ(InputTicker, "IQ_CASH_TAXES",Input!F$2,Date,,,Ccy,Conv)</f>
        <v>2400</v>
      </c>
      <c r="E258" s="4">
        <f>_xll.ciqfunctions.udf.CIQ(InputTicker, "IQ_CASH_TAXES",Input!G$2,Date,,,Ccy,Conv)</f>
        <v>5500</v>
      </c>
      <c r="F258" s="4">
        <f>_xll.ciqfunctions.udf.CIQ(InputTicker, "IQ_CASH_TAXES",Input!H$2,Date,,,Ccy,Conv)</f>
        <v>8400</v>
      </c>
      <c r="G258" s="4">
        <f>_xll.ciqfunctions.udf.CIQ(InputTicker, "IQ_CASH_TAXES",Input!I$2,Date,,,Ccy,Conv)</f>
        <v>12500</v>
      </c>
      <c r="H258" s="4">
        <f>_xll.ciqfunctions.udf.CIQ(InputTicker, "IQ_CASH_TAXES",Input!J$2,Date,,,Ccy,Conv)</f>
        <v>13400</v>
      </c>
      <c r="I258" s="4">
        <f>_xll.ciqfunctions.udf.CIQ(InputTicker, "IQ_CASH_TAXES",Input!K$2,Date,,,Ccy,Conv)</f>
        <v>16000</v>
      </c>
      <c r="J258" s="4">
        <f>_xll.ciqfunctions.udf.CIQ(InputTicker, "IQ_CASH_TAXES",Input!L$2,Date,,,Ccy,Conv)</f>
        <v>23100</v>
      </c>
      <c r="K258" s="4">
        <f>_xll.ciqfunctions.udf.CIQ(InputTicker, "IQ_CASH_TAXES",Input!M$2,Date,,,Ccy,Conv)</f>
        <v>23400</v>
      </c>
      <c r="L258" s="4">
        <f>_xll.ciqfunctions.udf.CIQ(InputTicker, "IQ_CASH_TAXES",Input!N$2,Date,,,Ccy,Conv)</f>
        <v>28700</v>
      </c>
      <c r="M258" s="4">
        <f>_xll.ciqfunctions.udf.CIQ(InputTicker, "IQ_CASH_TAXES",Input!O$2,Date,,,Ccy,Conv)</f>
        <v>28700</v>
      </c>
      <c r="N258" s="49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42"/>
      <c r="AN258" s="42"/>
      <c r="AO258" s="42"/>
      <c r="AP258" s="42"/>
      <c r="AQ258" s="42"/>
      <c r="AR258" s="42"/>
      <c r="AS258" s="42"/>
      <c r="AT258" s="42"/>
      <c r="AU258" s="42"/>
      <c r="AV258" s="42"/>
      <c r="AW258" s="42"/>
      <c r="AX258" s="42"/>
      <c r="AY258" s="42"/>
      <c r="AZ258" s="42"/>
      <c r="BA258" s="42"/>
      <c r="BB258" s="42"/>
      <c r="BC258" s="42"/>
      <c r="BD258" s="42"/>
      <c r="BE258" s="42"/>
      <c r="BF258" s="42"/>
      <c r="BG258" s="42"/>
      <c r="BH258" s="42"/>
      <c r="BI258" s="42"/>
      <c r="BJ258" s="42"/>
      <c r="BK258" s="42"/>
      <c r="BL258" s="42"/>
      <c r="BM258" s="42"/>
      <c r="BN258" s="42"/>
    </row>
    <row r="259" spans="1:66" ht="12.75" customHeight="1" x14ac:dyDescent="0.2">
      <c r="A259" s="1" t="s">
        <v>384</v>
      </c>
      <c r="B259" s="4">
        <f>_xll.ciqfunctions.udf.CIQ(InputTicker, "IQ_CASH_TAXES_OPER",Input!D$2,Date,,,Ccy,Conv)</f>
        <v>0</v>
      </c>
      <c r="C259" s="4">
        <f>_xll.ciqfunctions.udf.CIQ(InputTicker, "IQ_CASH_TAXES_OPER",Input!E$2,Date,,,Ccy,Conv)</f>
        <v>0</v>
      </c>
      <c r="D259" s="4">
        <f>_xll.ciqfunctions.udf.CIQ(InputTicker, "IQ_CASH_TAXES_OPER",Input!F$2,Date,,,Ccy,Conv)</f>
        <v>0</v>
      </c>
      <c r="E259" s="4">
        <f>_xll.ciqfunctions.udf.CIQ(InputTicker, "IQ_CASH_TAXES_OPER",Input!G$2,Date,,,Ccy,Conv)</f>
        <v>0</v>
      </c>
      <c r="F259" s="4">
        <f>_xll.ciqfunctions.udf.CIQ(InputTicker, "IQ_CASH_TAXES_OPER",Input!H$2,Date,,,Ccy,Conv)</f>
        <v>0</v>
      </c>
      <c r="G259" s="4">
        <f>_xll.ciqfunctions.udf.CIQ(InputTicker, "IQ_CASH_TAXES_OPER",Input!I$2,Date,,,Ccy,Conv)</f>
        <v>0</v>
      </c>
      <c r="H259" s="4">
        <f>_xll.ciqfunctions.udf.CIQ(InputTicker, "IQ_CASH_TAXES_OPER",Input!J$2,Date,,,Ccy,Conv)</f>
        <v>0</v>
      </c>
      <c r="I259" s="4">
        <f>_xll.ciqfunctions.udf.CIQ(InputTicker, "IQ_CASH_TAXES_OPER",Input!K$2,Date,,,Ccy,Conv)</f>
        <v>0</v>
      </c>
      <c r="J259" s="4">
        <f>_xll.ciqfunctions.udf.CIQ(InputTicker, "IQ_CASH_TAXES_OPER",Input!L$2,Date,,,Ccy,Conv)</f>
        <v>0</v>
      </c>
      <c r="K259" s="4">
        <f>_xll.ciqfunctions.udf.CIQ(InputTicker, "IQ_CASH_TAXES_OPER",Input!M$2,Date,,,Ccy,Conv)</f>
        <v>0</v>
      </c>
      <c r="L259" s="4">
        <f>_xll.ciqfunctions.udf.CIQ(InputTicker, "IQ_CASH_TAXES_OPER",Input!N$2,Date,,,Ccy,Conv)</f>
        <v>0</v>
      </c>
      <c r="M259" s="4">
        <f>_xll.ciqfunctions.udf.CIQ(InputTicker, "IQ_CASH_TAXES_OPER",Input!O$2,Date,,,Ccy,Conv)</f>
        <v>0</v>
      </c>
      <c r="N259" s="49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  <c r="AO259" s="42"/>
      <c r="AP259" s="42"/>
      <c r="AQ259" s="42"/>
      <c r="AR259" s="42"/>
      <c r="AS259" s="42"/>
      <c r="AT259" s="42"/>
      <c r="AU259" s="42"/>
      <c r="AV259" s="42"/>
      <c r="AW259" s="42"/>
      <c r="AX259" s="42"/>
      <c r="AY259" s="42"/>
      <c r="AZ259" s="42"/>
      <c r="BA259" s="42"/>
      <c r="BB259" s="42"/>
      <c r="BC259" s="42"/>
      <c r="BD259" s="42"/>
      <c r="BE259" s="42"/>
      <c r="BF259" s="42"/>
      <c r="BG259" s="42"/>
      <c r="BH259" s="42"/>
      <c r="BI259" s="42"/>
      <c r="BJ259" s="42"/>
      <c r="BK259" s="42"/>
      <c r="BL259" s="42"/>
      <c r="BM259" s="42"/>
      <c r="BN259" s="42"/>
    </row>
    <row r="260" spans="1:66" ht="12.75" customHeight="1" x14ac:dyDescent="0.2">
      <c r="A260" s="1" t="s">
        <v>385</v>
      </c>
      <c r="B260" s="4">
        <f>_xll.ciqfunctions.udf.CIQ(InputTicker, "IQ_CASH_TAXES_INVEST",Input!D$2,Date,,,Ccy,Conv)</f>
        <v>0</v>
      </c>
      <c r="C260" s="4">
        <f>_xll.ciqfunctions.udf.CIQ(InputTicker, "IQ_CASH_TAXES_INVEST",Input!E$2,Date,,,Ccy,Conv)</f>
        <v>0</v>
      </c>
      <c r="D260" s="4">
        <f>_xll.ciqfunctions.udf.CIQ(InputTicker, "IQ_CASH_TAXES_INVEST",Input!F$2,Date,,,Ccy,Conv)</f>
        <v>0</v>
      </c>
      <c r="E260" s="4">
        <f>_xll.ciqfunctions.udf.CIQ(InputTicker, "IQ_CASH_TAXES_INVEST",Input!G$2,Date,,,Ccy,Conv)</f>
        <v>0</v>
      </c>
      <c r="F260" s="4">
        <f>_xll.ciqfunctions.udf.CIQ(InputTicker, "IQ_CASH_TAXES_INVEST",Input!H$2,Date,,,Ccy,Conv)</f>
        <v>0</v>
      </c>
      <c r="G260" s="4">
        <f>_xll.ciqfunctions.udf.CIQ(InputTicker, "IQ_CASH_TAXES_INVEST",Input!I$2,Date,,,Ccy,Conv)</f>
        <v>0</v>
      </c>
      <c r="H260" s="4">
        <f>_xll.ciqfunctions.udf.CIQ(InputTicker, "IQ_CASH_TAXES_INVEST",Input!J$2,Date,,,Ccy,Conv)</f>
        <v>0</v>
      </c>
      <c r="I260" s="4">
        <f>_xll.ciqfunctions.udf.CIQ(InputTicker, "IQ_CASH_TAXES_INVEST",Input!K$2,Date,,,Ccy,Conv)</f>
        <v>0</v>
      </c>
      <c r="J260" s="4">
        <f>_xll.ciqfunctions.udf.CIQ(InputTicker, "IQ_CASH_TAXES_INVEST",Input!L$2,Date,,,Ccy,Conv)</f>
        <v>0</v>
      </c>
      <c r="K260" s="4">
        <f>_xll.ciqfunctions.udf.CIQ(InputTicker, "IQ_CASH_TAXES_INVEST",Input!M$2,Date,,,Ccy,Conv)</f>
        <v>0</v>
      </c>
      <c r="L260" s="4">
        <f>_xll.ciqfunctions.udf.CIQ(InputTicker, "IQ_CASH_TAXES_INVEST",Input!N$2,Date,,,Ccy,Conv)</f>
        <v>0</v>
      </c>
      <c r="M260" s="4">
        <f>_xll.ciqfunctions.udf.CIQ(InputTicker, "IQ_CASH_TAXES_INVEST",Input!O$2,Date,,,Ccy,Conv)</f>
        <v>0</v>
      </c>
      <c r="N260" s="49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  <c r="AK260" s="42"/>
      <c r="AL260" s="42"/>
      <c r="AM260" s="42"/>
      <c r="AN260" s="42"/>
      <c r="AO260" s="42"/>
      <c r="AP260" s="42"/>
      <c r="AQ260" s="42"/>
      <c r="AR260" s="42"/>
      <c r="AS260" s="42"/>
      <c r="AT260" s="42"/>
      <c r="AU260" s="42"/>
      <c r="AV260" s="42"/>
      <c r="AW260" s="42"/>
      <c r="AX260" s="42"/>
      <c r="AY260" s="42"/>
      <c r="AZ260" s="42"/>
      <c r="BA260" s="42"/>
      <c r="BB260" s="42"/>
      <c r="BC260" s="42"/>
      <c r="BD260" s="42"/>
      <c r="BE260" s="42"/>
      <c r="BF260" s="42"/>
      <c r="BG260" s="42"/>
      <c r="BH260" s="42"/>
      <c r="BI260" s="42"/>
      <c r="BJ260" s="42"/>
      <c r="BK260" s="42"/>
      <c r="BL260" s="42"/>
      <c r="BM260" s="42"/>
      <c r="BN260" s="42"/>
    </row>
    <row r="261" spans="1:66" ht="12.75" customHeight="1" x14ac:dyDescent="0.2">
      <c r="A261" s="1" t="s">
        <v>386</v>
      </c>
      <c r="B261" s="4">
        <f>_xll.ciqfunctions.udf.CIQ(InputTicker, "IQ_CASH_TAXES_FINAN",Input!D$2,Date,,,Ccy,Conv)</f>
        <v>0</v>
      </c>
      <c r="C261" s="4">
        <f>_xll.ciqfunctions.udf.CIQ(InputTicker, "IQ_CASH_TAXES_FINAN",Input!E$2,Date,,,Ccy,Conv)</f>
        <v>0</v>
      </c>
      <c r="D261" s="4">
        <f>_xll.ciqfunctions.udf.CIQ(InputTicker, "IQ_CASH_TAXES_FINAN",Input!F$2,Date,,,Ccy,Conv)</f>
        <v>0</v>
      </c>
      <c r="E261" s="4">
        <f>_xll.ciqfunctions.udf.CIQ(InputTicker, "IQ_CASH_TAXES_FINAN",Input!G$2,Date,,,Ccy,Conv)</f>
        <v>0</v>
      </c>
      <c r="F261" s="4">
        <f>_xll.ciqfunctions.udf.CIQ(InputTicker, "IQ_CASH_TAXES_FINAN",Input!H$2,Date,,,Ccy,Conv)</f>
        <v>0</v>
      </c>
      <c r="G261" s="4">
        <f>_xll.ciqfunctions.udf.CIQ(InputTicker, "IQ_CASH_TAXES_FINAN",Input!I$2,Date,,,Ccy,Conv)</f>
        <v>0</v>
      </c>
      <c r="H261" s="4">
        <f>_xll.ciqfunctions.udf.CIQ(InputTicker, "IQ_CASH_TAXES_FINAN",Input!J$2,Date,,,Ccy,Conv)</f>
        <v>0</v>
      </c>
      <c r="I261" s="4">
        <f>_xll.ciqfunctions.udf.CIQ(InputTicker, "IQ_CASH_TAXES_FINAN",Input!K$2,Date,,,Ccy,Conv)</f>
        <v>0</v>
      </c>
      <c r="J261" s="4">
        <f>_xll.ciqfunctions.udf.CIQ(InputTicker, "IQ_CASH_TAXES_FINAN",Input!L$2,Date,,,Ccy,Conv)</f>
        <v>0</v>
      </c>
      <c r="K261" s="4">
        <f>_xll.ciqfunctions.udf.CIQ(InputTicker, "IQ_CASH_TAXES_FINAN",Input!M$2,Date,,,Ccy,Conv)</f>
        <v>0</v>
      </c>
      <c r="L261" s="4">
        <f>_xll.ciqfunctions.udf.CIQ(InputTicker, "IQ_CASH_TAXES_FINAN",Input!N$2,Date,,,Ccy,Conv)</f>
        <v>0</v>
      </c>
      <c r="M261" s="4">
        <f>_xll.ciqfunctions.udf.CIQ(InputTicker, "IQ_CASH_TAXES_FINAN",Input!O$2,Date,,,Ccy,Conv)</f>
        <v>0</v>
      </c>
      <c r="N261" s="49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42"/>
      <c r="AN261" s="42"/>
      <c r="AO261" s="42"/>
      <c r="AP261" s="42"/>
      <c r="AQ261" s="42"/>
      <c r="AR261" s="42"/>
      <c r="AS261" s="42"/>
      <c r="AT261" s="42"/>
      <c r="AU261" s="42"/>
      <c r="AV261" s="42"/>
      <c r="AW261" s="42"/>
      <c r="AX261" s="42"/>
      <c r="AY261" s="42"/>
      <c r="AZ261" s="42"/>
      <c r="BA261" s="42"/>
      <c r="BB261" s="42"/>
      <c r="BC261" s="42"/>
      <c r="BD261" s="42"/>
      <c r="BE261" s="42"/>
      <c r="BF261" s="42"/>
      <c r="BG261" s="42"/>
      <c r="BH261" s="42"/>
      <c r="BI261" s="42"/>
      <c r="BJ261" s="42"/>
      <c r="BK261" s="42"/>
      <c r="BL261" s="42"/>
      <c r="BM261" s="42"/>
      <c r="BN261" s="42"/>
    </row>
    <row r="262" spans="1:66" ht="12.75" customHeight="1" x14ac:dyDescent="0.2">
      <c r="A262" s="1" t="s">
        <v>388</v>
      </c>
      <c r="B262" s="4">
        <f>_xll.ciqfunctions.udf.CIQ(InputTicker, "IQ_CHANGE_DEF_TAX_TOTAL",Input!D$2,Date,,,Ccy,Conv)</f>
        <v>224</v>
      </c>
      <c r="C262" s="4">
        <f>_xll.ciqfunctions.udf.CIQ(InputTicker, "IQ_CHANGE_DEF_TAX_TOTAL",Input!E$2,Date,,,Ccy,Conv)</f>
        <v>2479</v>
      </c>
      <c r="D262" s="4">
        <f>_xll.ciqfunctions.udf.CIQ(InputTicker, "IQ_CHANGE_DEF_TAX_TOTAL",Input!F$2,Date,,,Ccy,Conv)</f>
        <v>-829</v>
      </c>
      <c r="E262" s="4">
        <f>_xll.ciqfunctions.udf.CIQ(InputTicker, "IQ_CHANGE_DEF_TAX_TOTAL",Input!G$2,Date,,,Ccy,Conv)</f>
        <v>-5143</v>
      </c>
      <c r="F262" s="4">
        <f>_xll.ciqfunctions.udf.CIQ(InputTicker, "IQ_CHANGE_DEF_TAX_TOTAL",Input!H$2,Date,,,Ccy,Conv)</f>
        <v>-6463</v>
      </c>
      <c r="G262" s="4">
        <f>_xll.ciqfunctions.udf.CIQ(InputTicker, "IQ_CHANGE_DEF_TAX_TOTAL",Input!I$2,Date,,,Ccy,Conv)</f>
        <v>11</v>
      </c>
      <c r="H262" s="4">
        <f>_xll.ciqfunctions.udf.CIQ(InputTicker, "IQ_CHANGE_DEF_TAX_TOTAL",Input!J$2,Date,,,Ccy,Conv)</f>
        <v>-150</v>
      </c>
      <c r="I262" s="4">
        <f>_xll.ciqfunctions.udf.CIQ(InputTicker, "IQ_CHANGE_DEF_TAX_TOTAL",Input!K$2,Date,,,Ccy,Conv)</f>
        <v>-5702</v>
      </c>
      <c r="J262" s="4">
        <f>_xll.ciqfunctions.udf.CIQ(InputTicker, "IQ_CHANGE_DEF_TAX_TOTAL",Input!L$2,Date,,,Ccy,Conv)</f>
        <v>-6059</v>
      </c>
      <c r="K262" s="4">
        <f>_xll.ciqfunctions.udf.CIQ(InputTicker, "IQ_CHANGE_DEF_TAX_TOTAL",Input!M$2,Date,,,Ccy,Conv)</f>
        <v>-4738</v>
      </c>
      <c r="L262" s="4">
        <f>_xll.ciqfunctions.udf.CIQ(InputTicker, "IQ_CHANGE_DEF_TAX_TOTAL",Input!N$2,Date,,,Ccy,Conv)</f>
        <v>-7056</v>
      </c>
      <c r="M262" s="4">
        <f>_xll.ciqfunctions.udf.CIQ(InputTicker, "IQ_CHANGE_DEF_TAX_TOTAL",Input!O$2,Date,,,Ccy,Conv)</f>
        <v>7318</v>
      </c>
      <c r="N262" s="49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  <c r="BA262" s="42"/>
      <c r="BB262" s="42"/>
      <c r="BC262" s="42"/>
      <c r="BD262" s="42"/>
      <c r="BE262" s="42"/>
      <c r="BF262" s="42"/>
      <c r="BG262" s="42"/>
      <c r="BH262" s="42"/>
      <c r="BI262" s="42"/>
      <c r="BJ262" s="42"/>
      <c r="BK262" s="42"/>
      <c r="BL262" s="42"/>
      <c r="BM262" s="42"/>
      <c r="BN262" s="42"/>
    </row>
    <row r="263" spans="1:66" ht="12.75" customHeight="1" x14ac:dyDescent="0.2">
      <c r="A263" s="1" t="s">
        <v>350</v>
      </c>
      <c r="B263" s="4">
        <f>_xll.ciqfunctions.udf.CIQ(InputTicker, "IQ_CHANGE_NET_WORKING_CAPITAL",Input!D$2,Date,,,Ccy,Conv)</f>
        <v>-1698</v>
      </c>
      <c r="C263" s="4">
        <f>_xll.ciqfunctions.udf.CIQ(InputTicker, "IQ_CHANGE_NET_WORKING_CAPITAL",Input!E$2,Date,,,Ccy,Conv)</f>
        <v>-3850</v>
      </c>
      <c r="D263" s="4">
        <f>_xll.ciqfunctions.udf.CIQ(InputTicker, "IQ_CHANGE_NET_WORKING_CAPITAL",Input!F$2,Date,,,Ccy,Conv)</f>
        <v>5222</v>
      </c>
      <c r="E263" s="4">
        <f>_xll.ciqfunctions.udf.CIQ(InputTicker, "IQ_CHANGE_NET_WORKING_CAPITAL",Input!G$2,Date,,,Ccy,Conv)</f>
        <v>-2624</v>
      </c>
      <c r="F263" s="4">
        <f>_xll.ciqfunctions.udf.CIQ(InputTicker, "IQ_CHANGE_NET_WORKING_CAPITAL",Input!H$2,Date,,,Ccy,Conv)</f>
        <v>-3435</v>
      </c>
      <c r="G263" s="4">
        <f>_xll.ciqfunctions.udf.CIQ(InputTicker, "IQ_CHANGE_NET_WORKING_CAPITAL",Input!I$2,Date,,,Ccy,Conv)</f>
        <v>-630</v>
      </c>
      <c r="H263" s="4">
        <f>_xll.ciqfunctions.udf.CIQ(InputTicker, "IQ_CHANGE_NET_WORKING_CAPITAL",Input!J$2,Date,,,Ccy,Conv)</f>
        <v>-2700</v>
      </c>
      <c r="I263" s="4">
        <f>_xll.ciqfunctions.udf.CIQ(InputTicker, "IQ_CHANGE_NET_WORKING_CAPITAL",Input!K$2,Date,,,Ccy,Conv)</f>
        <v>-428</v>
      </c>
      <c r="J263" s="4">
        <f>_xll.ciqfunctions.udf.CIQ(InputTicker, "IQ_CHANGE_NET_WORKING_CAPITAL",Input!L$2,Date,,,Ccy,Conv)</f>
        <v>1815</v>
      </c>
      <c r="K263" s="4">
        <f>_xll.ciqfunctions.udf.CIQ(InputTicker, "IQ_CHANGE_NET_WORKING_CAPITAL",Input!M$2,Date,,,Ccy,Conv)</f>
        <v>-3929</v>
      </c>
      <c r="L263" s="4">
        <f>_xll.ciqfunctions.udf.CIQ(InputTicker, "IQ_CHANGE_NET_WORKING_CAPITAL",Input!N$2,Date,,,Ccy,Conv)</f>
        <v>-6833</v>
      </c>
      <c r="M263" s="4">
        <f>_xll.ciqfunctions.udf.CIQ(InputTicker, "IQ_CHANGE_NET_WORKING_CAPITAL",Input!O$2,Date,,,Ccy,Conv)</f>
        <v>4931</v>
      </c>
      <c r="N263" s="49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  <c r="AO263" s="42"/>
      <c r="AP263" s="42"/>
      <c r="AQ263" s="42"/>
      <c r="AR263" s="42"/>
      <c r="AS263" s="42"/>
      <c r="AT263" s="42"/>
      <c r="AU263" s="42"/>
      <c r="AV263" s="42"/>
      <c r="AW263" s="42"/>
      <c r="AX263" s="42"/>
      <c r="AY263" s="42"/>
      <c r="AZ263" s="42"/>
      <c r="BA263" s="42"/>
      <c r="BB263" s="42"/>
      <c r="BC263" s="42"/>
      <c r="BD263" s="42"/>
      <c r="BE263" s="42"/>
      <c r="BF263" s="42"/>
      <c r="BG263" s="42"/>
      <c r="BH263" s="42"/>
      <c r="BI263" s="42"/>
      <c r="BJ263" s="42"/>
      <c r="BK263" s="42"/>
      <c r="BL263" s="42"/>
      <c r="BM263" s="42"/>
      <c r="BN263" s="42"/>
    </row>
    <row r="264" spans="1:66" ht="12.75" customHeight="1" x14ac:dyDescent="0.2">
      <c r="A264" s="1" t="s">
        <v>508</v>
      </c>
      <c r="B264" s="4">
        <f>_xll.ciqfunctions.udf.CIQ(InputTicker, "IQ_LEVERED_FCF",Input!D$2,Date,,,Ccy,Conv)</f>
        <v>20926.375</v>
      </c>
      <c r="C264" s="4">
        <f>_xll.ciqfunctions.udf.CIQ(InputTicker, "IQ_LEVERED_FCF",Input!E$2,Date,,,Ccy,Conv)</f>
        <v>20337.625</v>
      </c>
      <c r="D264" s="4">
        <f>_xll.ciqfunctions.udf.CIQ(InputTicker, "IQ_LEVERED_FCF",Input!F$2,Date,,,Ccy,Conv)</f>
        <v>14658.125</v>
      </c>
      <c r="E264" s="4">
        <f>_xll.ciqfunctions.udf.CIQ(InputTicker, "IQ_LEVERED_FCF",Input!G$2,Date,,,Ccy,Conv)</f>
        <v>25035.125</v>
      </c>
      <c r="F264" s="4">
        <f>_xll.ciqfunctions.udf.CIQ(InputTicker, "IQ_LEVERED_FCF",Input!H$2,Date,,,Ccy,Conv)</f>
        <v>30932.625</v>
      </c>
      <c r="G264" s="4">
        <f>_xll.ciqfunctions.udf.CIQ(InputTicker, "IQ_LEVERED_FCF",Input!I$2,Date,,,Ccy,Conv)</f>
        <v>34258</v>
      </c>
      <c r="H264" s="4">
        <f>_xll.ciqfunctions.udf.CIQ(InputTicker, "IQ_LEVERED_FCF",Input!J$2,Date,,,Ccy,Conv)</f>
        <v>41337.25</v>
      </c>
      <c r="I264" s="4">
        <f>_xll.ciqfunctions.udf.CIQ(InputTicker, "IQ_LEVERED_FCF",Input!K$2,Date,,,Ccy,Conv)</f>
        <v>49479</v>
      </c>
      <c r="J264" s="4">
        <f>_xll.ciqfunctions.udf.CIQ(InputTicker, "IQ_LEVERED_FCF",Input!L$2,Date,,,Ccy,Conv)</f>
        <v>47269</v>
      </c>
      <c r="K264" s="4">
        <f>_xll.ciqfunctions.udf.CIQ(InputTicker, "IQ_LEVERED_FCF",Input!M$2,Date,,,Ccy,Conv)</f>
        <v>56717.25</v>
      </c>
      <c r="L264" s="4">
        <f>_xll.ciqfunctions.udf.CIQ(InputTicker, "IQ_LEVERED_FCF",Input!N$2,Date,,,Ccy,Conv)</f>
        <v>61070.375</v>
      </c>
      <c r="M264" s="4">
        <f>_xll.ciqfunctions.udf.CIQ(InputTicker, "IQ_LEVERED_FCF",Input!O$2,Date,,,Ccy,Conv)</f>
        <v>37011.25</v>
      </c>
      <c r="N264" s="49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42"/>
      <c r="AN264" s="42"/>
      <c r="AO264" s="42"/>
      <c r="AP264" s="42"/>
      <c r="AQ264" s="42"/>
      <c r="AR264" s="42"/>
      <c r="AS264" s="42"/>
      <c r="AT264" s="42"/>
      <c r="AU264" s="42"/>
      <c r="AV264" s="42"/>
      <c r="AW264" s="42"/>
      <c r="AX264" s="42"/>
      <c r="AY264" s="42"/>
      <c r="AZ264" s="42"/>
      <c r="BA264" s="42"/>
      <c r="BB264" s="42"/>
      <c r="BC264" s="42"/>
      <c r="BD264" s="42"/>
      <c r="BE264" s="42"/>
      <c r="BF264" s="42"/>
      <c r="BG264" s="42"/>
      <c r="BH264" s="42"/>
      <c r="BI264" s="42"/>
      <c r="BJ264" s="42"/>
      <c r="BK264" s="42"/>
      <c r="BL264" s="42"/>
      <c r="BM264" s="42"/>
      <c r="BN264" s="42"/>
    </row>
    <row r="265" spans="1:66" ht="12.75" customHeight="1" x14ac:dyDescent="0.2">
      <c r="A265" s="1" t="s">
        <v>509</v>
      </c>
      <c r="B265" s="4">
        <f>_xll.ciqfunctions.udf.CIQ(InputTicker, "IQ_UNLEVERED_FCF",Input!D$2,Date,,,Ccy,Conv)</f>
        <v>21414.5</v>
      </c>
      <c r="C265" s="4">
        <f>_xll.ciqfunctions.udf.CIQ(InputTicker, "IQ_UNLEVERED_FCF",Input!E$2,Date,,,Ccy,Conv)</f>
        <v>21114.5</v>
      </c>
      <c r="D265" s="4">
        <f>_xll.ciqfunctions.udf.CIQ(InputTicker, "IQ_UNLEVERED_FCF",Input!F$2,Date,,,Ccy,Conv)</f>
        <v>16046.875</v>
      </c>
      <c r="E265" s="4">
        <f>_xll.ciqfunctions.udf.CIQ(InputTicker, "IQ_UNLEVERED_FCF",Input!G$2,Date,,,Ccy,Conv)</f>
        <v>26743.25</v>
      </c>
      <c r="F265" s="4">
        <f>_xll.ciqfunctions.udf.CIQ(InputTicker, "IQ_UNLEVERED_FCF",Input!H$2,Date,,,Ccy,Conv)</f>
        <v>32611.375</v>
      </c>
      <c r="G265" s="4">
        <f>_xll.ciqfunctions.udf.CIQ(InputTicker, "IQ_UNLEVERED_FCF",Input!I$2,Date,,,Ccy,Conv)</f>
        <v>35877.375</v>
      </c>
      <c r="H265" s="4">
        <f>_xll.ciqfunctions.udf.CIQ(InputTicker, "IQ_UNLEVERED_FCF",Input!J$2,Date,,,Ccy,Conv)</f>
        <v>42793.5</v>
      </c>
      <c r="I265" s="4">
        <f>_xll.ciqfunctions.udf.CIQ(InputTicker, "IQ_UNLEVERED_FCF",Input!K$2,Date,,,Ccy,Conv)</f>
        <v>50758.375</v>
      </c>
      <c r="J265" s="4">
        <f>_xll.ciqfunctions.udf.CIQ(InputTicker, "IQ_UNLEVERED_FCF",Input!L$2,Date,,,Ccy,Conv)</f>
        <v>48515.875</v>
      </c>
      <c r="K265" s="4">
        <f>_xll.ciqfunctions.udf.CIQ(InputTicker, "IQ_UNLEVERED_FCF",Input!M$2,Date,,,Ccy,Conv)</f>
        <v>58581.625</v>
      </c>
      <c r="L265" s="4">
        <f>_xll.ciqfunctions.udf.CIQ(InputTicker, "IQ_UNLEVERED_FCF",Input!N$2,Date,,,Ccy,Conv)</f>
        <v>62586</v>
      </c>
      <c r="M265" s="4">
        <f>_xll.ciqfunctions.udf.CIQ(InputTicker, "IQ_UNLEVERED_FCF",Input!O$2,Date,,,Ccy,Conv)</f>
        <v>38798.125</v>
      </c>
      <c r="N265" s="49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  <c r="BA265" s="42"/>
      <c r="BB265" s="42"/>
      <c r="BC265" s="42"/>
      <c r="BD265" s="42"/>
      <c r="BE265" s="42"/>
      <c r="BF265" s="42"/>
      <c r="BG265" s="42"/>
      <c r="BH265" s="42"/>
      <c r="BI265" s="42"/>
      <c r="BJ265" s="42"/>
      <c r="BK265" s="42"/>
      <c r="BL265" s="42"/>
      <c r="BM265" s="42"/>
      <c r="BN265" s="42"/>
    </row>
    <row r="266" spans="1:66" ht="12.75" customHeight="1" x14ac:dyDescent="0.2">
      <c r="A266" s="1" t="s">
        <v>33</v>
      </c>
      <c r="B266" s="11">
        <f>_xll.ciqfunctions.udf.CIQ(InputTicker, "IQ_CF_SHARE",Input!D$2,Date,,,Ccy,Conv)</f>
        <v>2.9013100000000001</v>
      </c>
      <c r="C266" s="11">
        <f>_xll.ciqfunctions.udf.CIQ(InputTicker, "IQ_CF_SHARE",Input!E$2,Date,,,Ccy,Conv)</f>
        <v>3.1522999999999999</v>
      </c>
      <c r="D266" s="11">
        <f>_xll.ciqfunctions.udf.CIQ(InputTicker, "IQ_CF_SHARE",Input!F$2,Date,,,Ccy,Conv)</f>
        <v>4.0508600000000001</v>
      </c>
      <c r="E266" s="11">
        <f>_xll.ciqfunctions.udf.CIQ(InputTicker, "IQ_CF_SHARE",Input!G$2,Date,,,Ccy,Conv)</f>
        <v>4.1885700000000003</v>
      </c>
      <c r="F266" s="11">
        <f>_xll.ciqfunctions.udf.CIQ(InputTicker, "IQ_CF_SHARE",Input!H$2,Date,,,Ccy,Conv)</f>
        <v>4.9863200000000001</v>
      </c>
      <c r="G266" s="11">
        <f>_xll.ciqfunctions.udf.CIQ(InputTicker, "IQ_CF_SHARE",Input!I$2,Date,,,Ccy,Conv)</f>
        <v>5.9440200000000001</v>
      </c>
      <c r="H266" s="11">
        <f>_xll.ciqfunctions.udf.CIQ(InputTicker, "IQ_CF_SHARE",Input!J$2,Date,,,Ccy,Conv)</f>
        <v>7.4358000000000004</v>
      </c>
      <c r="I266" s="11">
        <f>_xll.ciqfunctions.udf.CIQ(InputTicker, "IQ_CF_SHARE",Input!K$2,Date,,,Ccy,Conv)</f>
        <v>8.6911699999999996</v>
      </c>
      <c r="J266" s="11">
        <f>_xll.ciqfunctions.udf.CIQ(InputTicker, "IQ_CF_SHARE",Input!L$2,Date,,,Ccy,Conv)</f>
        <v>7.9875100000000003</v>
      </c>
      <c r="K266" s="11">
        <f>_xll.ciqfunctions.udf.CIQ(InputTicker, "IQ_CF_SHARE",Input!M$2,Date,,,Ccy,Conv)</f>
        <v>9.9678400000000007</v>
      </c>
      <c r="L266" s="11">
        <f>_xll.ciqfunctions.udf.CIQ(InputTicker, "IQ_CF_SHARE",Input!N$2,Date,,,Ccy,Conv)</f>
        <v>9.6341999999999999</v>
      </c>
      <c r="M266" s="11">
        <f>_xll.ciqfunctions.udf.CIQ(InputTicker, "IQ_CF_SHARE",Input!O$2,Date,,,Ccy,Conv)</f>
        <v>9.8137299999999996</v>
      </c>
      <c r="N266" s="49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  <c r="AO266" s="42"/>
      <c r="AP266" s="42"/>
      <c r="AQ266" s="42"/>
      <c r="AR266" s="42"/>
      <c r="AS266" s="42"/>
      <c r="AT266" s="42"/>
      <c r="AU266" s="42"/>
      <c r="AV266" s="42"/>
      <c r="AW266" s="42"/>
      <c r="AX266" s="42"/>
      <c r="AY266" s="42"/>
      <c r="AZ266" s="42"/>
      <c r="BA266" s="42"/>
      <c r="BB266" s="42"/>
      <c r="BC266" s="42"/>
      <c r="BD266" s="42"/>
      <c r="BE266" s="42"/>
      <c r="BF266" s="42"/>
      <c r="BG266" s="42"/>
      <c r="BH266" s="42"/>
      <c r="BI266" s="42"/>
      <c r="BJ266" s="42"/>
      <c r="BK266" s="42"/>
      <c r="BL266" s="42"/>
      <c r="BM266" s="42"/>
      <c r="BN266" s="42"/>
    </row>
    <row r="267" spans="1:66" ht="12.75" customHeight="1" x14ac:dyDescent="0.2">
      <c r="A267" s="1" t="s">
        <v>122</v>
      </c>
      <c r="B267" s="4">
        <f>_xll.ciqfunctions.udf.CIQ(InputTicker, "IQ_NET_DEBT_ISSUED",Input!D$2,Date,,,Ccy,Conv)</f>
        <v>13661</v>
      </c>
      <c r="C267" s="4">
        <f>_xll.ciqfunctions.udf.CIQ(InputTicker, "IQ_NET_DEBT_ISSUED",Input!E$2,Date,,,Ccy,Conv)</f>
        <v>18283</v>
      </c>
      <c r="D267" s="4">
        <f>_xll.ciqfunctions.udf.CIQ(InputTicker, "IQ_NET_DEBT_ISSUED",Input!F$2,Date,,,Ccy,Conv)</f>
        <v>31459</v>
      </c>
      <c r="E267" s="4">
        <f>_xll.ciqfunctions.udf.CIQ(InputTicker, "IQ_NET_DEBT_ISSUED",Input!G$2,Date,,,Ccy,Conv)</f>
        <v>-10201</v>
      </c>
      <c r="F267" s="4">
        <f>_xll.ciqfunctions.udf.CIQ(InputTicker, "IQ_NET_DEBT_ISSUED",Input!H$2,Date,,,Ccy,Conv)</f>
        <v>-4000</v>
      </c>
      <c r="G267" s="4">
        <f>_xll.ciqfunctions.udf.CIQ(InputTicker, "IQ_NET_DEBT_ISSUED",Input!I$2,Date,,,Ccy,Conv)</f>
        <v>-5518</v>
      </c>
      <c r="H267" s="4">
        <f>_xll.ciqfunctions.udf.CIQ(InputTicker, "IQ_NET_DEBT_ISSUED",Input!J$2,Date,,,Ccy,Conv)</f>
        <v>-3750</v>
      </c>
      <c r="I267" s="4">
        <f>_xll.ciqfunctions.udf.CIQ(InputTicker, "IQ_NET_DEBT_ISSUED",Input!K$2,Date,,,Ccy,Conv)</f>
        <v>-9023</v>
      </c>
      <c r="J267" s="4">
        <f>_xll.ciqfunctions.udf.CIQ(InputTicker, "IQ_NET_DEBT_ISSUED",Input!L$2,Date,,,Ccy,Conv)</f>
        <v>-2750</v>
      </c>
      <c r="K267" s="4">
        <f>_xll.ciqfunctions.udf.CIQ(InputTicker, "IQ_NET_DEBT_ISSUED",Input!M$2,Date,,,Ccy,Conv)</f>
        <v>575</v>
      </c>
      <c r="L267" s="4">
        <f>_xll.ciqfunctions.udf.CIQ(InputTicker, "IQ_NET_DEBT_ISSUED",Input!N$2,Date,,,Ccy,Conv)</f>
        <v>-8962</v>
      </c>
      <c r="M267" s="4">
        <f>_xll.ciqfunctions.udf.CIQ(InputTicker, "IQ_NET_DEBT_ISSUED",Input!O$2,Date,,,Ccy,Conv)</f>
        <v>-3000</v>
      </c>
      <c r="N267" s="49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  <c r="AK267" s="42"/>
      <c r="AL267" s="42"/>
      <c r="AM267" s="42"/>
      <c r="AN267" s="42"/>
      <c r="AO267" s="42"/>
      <c r="AP267" s="42"/>
      <c r="AQ267" s="42"/>
      <c r="AR267" s="42"/>
      <c r="AS267" s="42"/>
      <c r="AT267" s="42"/>
      <c r="AU267" s="42"/>
      <c r="AV267" s="42"/>
      <c r="AW267" s="42"/>
      <c r="AX267" s="42"/>
      <c r="AY267" s="42"/>
      <c r="AZ267" s="42"/>
      <c r="BA267" s="42"/>
      <c r="BB267" s="42"/>
      <c r="BC267" s="42"/>
      <c r="BD267" s="42"/>
      <c r="BE267" s="42"/>
      <c r="BF267" s="42"/>
      <c r="BG267" s="42"/>
      <c r="BH267" s="42"/>
      <c r="BI267" s="42"/>
      <c r="BJ267" s="42"/>
      <c r="BK267" s="42"/>
      <c r="BL267" s="42"/>
      <c r="BM267" s="42"/>
      <c r="BN267" s="42"/>
    </row>
    <row r="268" spans="1:66" ht="12.75" customHeight="1" x14ac:dyDescent="0.2">
      <c r="A268" s="1" t="s">
        <v>351</v>
      </c>
      <c r="B268" s="4">
        <f>_xll.ciqfunctions.udf.CIQ(InputTicker, "IQ_MAINT_CAPEX",Input!D$2,Date,,,Ccy,Conv)</f>
        <v>0</v>
      </c>
      <c r="C268" s="4">
        <f>_xll.ciqfunctions.udf.CIQ(InputTicker, "IQ_MAINT_CAPEX",Input!E$2,Date,,,Ccy,Conv)</f>
        <v>0</v>
      </c>
      <c r="D268" s="4">
        <f>_xll.ciqfunctions.udf.CIQ(InputTicker, "IQ_MAINT_CAPEX",Input!F$2,Date,,,Ccy,Conv)</f>
        <v>0</v>
      </c>
      <c r="E268" s="4">
        <f>_xll.ciqfunctions.udf.CIQ(InputTicker, "IQ_MAINT_CAPEX",Input!G$2,Date,,,Ccy,Conv)</f>
        <v>0</v>
      </c>
      <c r="F268" s="4">
        <f>_xll.ciqfunctions.udf.CIQ(InputTicker, "IQ_MAINT_CAPEX",Input!H$2,Date,,,Ccy,Conv)</f>
        <v>0</v>
      </c>
      <c r="G268" s="4">
        <f>_xll.ciqfunctions.udf.CIQ(InputTicker, "IQ_MAINT_CAPEX",Input!I$2,Date,,,Ccy,Conv)</f>
        <v>0</v>
      </c>
      <c r="H268" s="4">
        <f>_xll.ciqfunctions.udf.CIQ(InputTicker, "IQ_MAINT_CAPEX",Input!J$2,Date,,,Ccy,Conv)</f>
        <v>0</v>
      </c>
      <c r="I268" s="4">
        <f>_xll.ciqfunctions.udf.CIQ(InputTicker, "IQ_MAINT_CAPEX",Input!K$2,Date,,,Ccy,Conv)</f>
        <v>0</v>
      </c>
      <c r="J268" s="4">
        <f>_xll.ciqfunctions.udf.CIQ(InputTicker, "IQ_MAINT_CAPEX",Input!L$2,Date,,,Ccy,Conv)</f>
        <v>0</v>
      </c>
      <c r="K268" s="4">
        <f>_xll.ciqfunctions.udf.CIQ(InputTicker, "IQ_MAINT_CAPEX",Input!M$2,Date,,,Ccy,Conv)</f>
        <v>0</v>
      </c>
      <c r="L268" s="4">
        <f>_xll.ciqfunctions.udf.CIQ(InputTicker, "IQ_MAINT_CAPEX",Input!N$2,Date,,,Ccy,Conv)</f>
        <v>0</v>
      </c>
      <c r="M268" s="4">
        <f>_xll.ciqfunctions.udf.CIQ(InputTicker, "IQ_MAINT_CAPEX",Input!O$2,Date,,,Ccy,Conv)</f>
        <v>0</v>
      </c>
      <c r="N268" s="49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  <c r="AK268" s="42"/>
      <c r="AL268" s="42"/>
      <c r="AM268" s="42"/>
      <c r="AN268" s="42"/>
      <c r="AO268" s="42"/>
      <c r="AP268" s="42"/>
      <c r="AQ268" s="42"/>
      <c r="AR268" s="42"/>
      <c r="AS268" s="42"/>
      <c r="AT268" s="42"/>
      <c r="AU268" s="42"/>
      <c r="AV268" s="42"/>
      <c r="AW268" s="42"/>
      <c r="AX268" s="42"/>
      <c r="AY268" s="42"/>
      <c r="AZ268" s="42"/>
      <c r="BA268" s="42"/>
      <c r="BB268" s="42"/>
      <c r="BC268" s="42"/>
      <c r="BD268" s="42"/>
      <c r="BE268" s="42"/>
      <c r="BF268" s="42"/>
      <c r="BG268" s="42"/>
      <c r="BH268" s="42"/>
      <c r="BI268" s="42"/>
      <c r="BJ268" s="42"/>
      <c r="BK268" s="42"/>
      <c r="BL268" s="42"/>
      <c r="BM268" s="42"/>
      <c r="BN268" s="42"/>
    </row>
    <row r="269" spans="1:66" ht="12.75" customHeight="1" x14ac:dyDescent="0.2">
      <c r="A269" s="1" t="s">
        <v>34</v>
      </c>
      <c r="B269" s="4">
        <f>_xll.ciqfunctions.udf.CIQ(InputTicker, "IQ_DO_INVEST_CF",Input!D$2,Date,,,Ccy,Conv)</f>
        <v>0</v>
      </c>
      <c r="C269" s="4">
        <f>_xll.ciqfunctions.udf.CIQ(InputTicker, "IQ_DO_INVEST_CF",Input!E$2,Date,,,Ccy,Conv)</f>
        <v>0</v>
      </c>
      <c r="D269" s="4">
        <f>_xll.ciqfunctions.udf.CIQ(InputTicker, "IQ_DO_INVEST_CF",Input!F$2,Date,,,Ccy,Conv)</f>
        <v>0</v>
      </c>
      <c r="E269" s="4">
        <f>_xll.ciqfunctions.udf.CIQ(InputTicker, "IQ_DO_INVEST_CF",Input!G$2,Date,,,Ccy,Conv)</f>
        <v>0</v>
      </c>
      <c r="F269" s="4">
        <f>_xll.ciqfunctions.udf.CIQ(InputTicker, "IQ_DO_INVEST_CF",Input!H$2,Date,,,Ccy,Conv)</f>
        <v>0</v>
      </c>
      <c r="G269" s="4">
        <f>_xll.ciqfunctions.udf.CIQ(InputTicker, "IQ_DO_INVEST_CF",Input!I$2,Date,,,Ccy,Conv)</f>
        <v>0</v>
      </c>
      <c r="H269" s="4">
        <f>_xll.ciqfunctions.udf.CIQ(InputTicker, "IQ_DO_INVEST_CF",Input!J$2,Date,,,Ccy,Conv)</f>
        <v>0</v>
      </c>
      <c r="I269" s="4">
        <f>_xll.ciqfunctions.udf.CIQ(InputTicker, "IQ_DO_INVEST_CF",Input!K$2,Date,,,Ccy,Conv)</f>
        <v>0</v>
      </c>
      <c r="J269" s="4">
        <f>_xll.ciqfunctions.udf.CIQ(InputTicker, "IQ_DO_INVEST_CF",Input!L$2,Date,,,Ccy,Conv)</f>
        <v>0</v>
      </c>
      <c r="K269" s="4">
        <f>_xll.ciqfunctions.udf.CIQ(InputTicker, "IQ_DO_INVEST_CF",Input!M$2,Date,,,Ccy,Conv)</f>
        <v>0</v>
      </c>
      <c r="L269" s="4">
        <f>_xll.ciqfunctions.udf.CIQ(InputTicker, "IQ_DO_INVEST_CF",Input!N$2,Date,,,Ccy,Conv)</f>
        <v>0</v>
      </c>
      <c r="M269" s="4">
        <f>_xll.ciqfunctions.udf.CIQ(InputTicker, "IQ_DO_INVEST_CF",Input!O$2,Date,,,Ccy,Conv)</f>
        <v>0</v>
      </c>
      <c r="N269" s="49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  <c r="AO269" s="42"/>
      <c r="AP269" s="42"/>
      <c r="AQ269" s="42"/>
      <c r="AR269" s="42"/>
      <c r="AS269" s="42"/>
      <c r="AT269" s="42"/>
      <c r="AU269" s="42"/>
      <c r="AV269" s="42"/>
      <c r="AW269" s="42"/>
      <c r="AX269" s="42"/>
      <c r="AY269" s="42"/>
      <c r="AZ269" s="42"/>
      <c r="BA269" s="42"/>
      <c r="BB269" s="42"/>
      <c r="BC269" s="42"/>
      <c r="BD269" s="42"/>
      <c r="BE269" s="42"/>
      <c r="BF269" s="42"/>
      <c r="BG269" s="42"/>
      <c r="BH269" s="42"/>
      <c r="BI269" s="42"/>
      <c r="BJ269" s="42"/>
      <c r="BK269" s="42"/>
      <c r="BL269" s="42"/>
      <c r="BM269" s="42"/>
      <c r="BN269" s="42"/>
    </row>
    <row r="270" spans="1:66" ht="12.75" customHeight="1" x14ac:dyDescent="0.2">
      <c r="A270" s="1" t="s">
        <v>35</v>
      </c>
      <c r="B270" s="4">
        <f>_xll.ciqfunctions.udf.CIQ(InputTicker, "IQ_DO_FINANCE_CF",Input!D$2,Date,,,Ccy,Conv)</f>
        <v>0</v>
      </c>
      <c r="C270" s="4">
        <f>_xll.ciqfunctions.udf.CIQ(InputTicker, "IQ_DO_FINANCE_CF",Input!E$2,Date,,,Ccy,Conv)</f>
        <v>0</v>
      </c>
      <c r="D270" s="4">
        <f>_xll.ciqfunctions.udf.CIQ(InputTicker, "IQ_DO_FINANCE_CF",Input!F$2,Date,,,Ccy,Conv)</f>
        <v>0</v>
      </c>
      <c r="E270" s="4">
        <f>_xll.ciqfunctions.udf.CIQ(InputTicker, "IQ_DO_FINANCE_CF",Input!G$2,Date,,,Ccy,Conv)</f>
        <v>0</v>
      </c>
      <c r="F270" s="4">
        <f>_xll.ciqfunctions.udf.CIQ(InputTicker, "IQ_DO_FINANCE_CF",Input!H$2,Date,,,Ccy,Conv)</f>
        <v>0</v>
      </c>
      <c r="G270" s="4">
        <f>_xll.ciqfunctions.udf.CIQ(InputTicker, "IQ_DO_FINANCE_CF",Input!I$2,Date,,,Ccy,Conv)</f>
        <v>0</v>
      </c>
      <c r="H270" s="4">
        <f>_xll.ciqfunctions.udf.CIQ(InputTicker, "IQ_DO_FINANCE_CF",Input!J$2,Date,,,Ccy,Conv)</f>
        <v>0</v>
      </c>
      <c r="I270" s="4">
        <f>_xll.ciqfunctions.udf.CIQ(InputTicker, "IQ_DO_FINANCE_CF",Input!K$2,Date,,,Ccy,Conv)</f>
        <v>0</v>
      </c>
      <c r="J270" s="4">
        <f>_xll.ciqfunctions.udf.CIQ(InputTicker, "IQ_DO_FINANCE_CF",Input!L$2,Date,,,Ccy,Conv)</f>
        <v>0</v>
      </c>
      <c r="K270" s="4">
        <f>_xll.ciqfunctions.udf.CIQ(InputTicker, "IQ_DO_FINANCE_CF",Input!M$2,Date,,,Ccy,Conv)</f>
        <v>0</v>
      </c>
      <c r="L270" s="4">
        <f>_xll.ciqfunctions.udf.CIQ(InputTicker, "IQ_DO_FINANCE_CF",Input!N$2,Date,,,Ccy,Conv)</f>
        <v>0</v>
      </c>
      <c r="M270" s="4">
        <f>_xll.ciqfunctions.udf.CIQ(InputTicker, "IQ_DO_FINANCE_CF",Input!O$2,Date,,,Ccy,Conv)</f>
        <v>0</v>
      </c>
      <c r="N270" s="49"/>
      <c r="T270" s="46"/>
      <c r="U270" s="46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  <c r="AK270" s="42"/>
      <c r="AL270" s="42"/>
      <c r="AM270" s="42"/>
      <c r="AN270" s="42"/>
      <c r="AO270" s="42"/>
      <c r="AP270" s="42"/>
      <c r="AQ270" s="42"/>
      <c r="AR270" s="42"/>
      <c r="AS270" s="42"/>
      <c r="AT270" s="42"/>
      <c r="AU270" s="42"/>
      <c r="AV270" s="42"/>
      <c r="AW270" s="42"/>
      <c r="AX270" s="42"/>
      <c r="AY270" s="42"/>
      <c r="AZ270" s="42"/>
      <c r="BA270" s="42"/>
      <c r="BB270" s="42"/>
      <c r="BC270" s="42"/>
      <c r="BD270" s="42"/>
      <c r="BE270" s="42"/>
      <c r="BF270" s="42"/>
      <c r="BG270" s="42"/>
      <c r="BH270" s="42"/>
      <c r="BI270" s="42"/>
      <c r="BJ270" s="42"/>
      <c r="BK270" s="42"/>
      <c r="BL270" s="42"/>
      <c r="BM270" s="42"/>
      <c r="BN270" s="42"/>
    </row>
    <row r="271" spans="1:66" ht="12.75" customHeight="1" x14ac:dyDescent="0.2">
      <c r="A271" s="1" t="s">
        <v>446</v>
      </c>
      <c r="B271" s="4">
        <f>_xll.ciqfunctions.udf.CIQ(InputTicker, "IQ_OPERATING_LEASE_PAYMENTS",Input!D$2,Date,,,Ccy,Conv)</f>
        <v>0</v>
      </c>
      <c r="C271" s="4">
        <f>_xll.ciqfunctions.udf.CIQ(InputTicker, "IQ_OPERATING_LEASE_PAYMENTS",Input!E$2,Date,,,Ccy,Conv)</f>
        <v>0</v>
      </c>
      <c r="D271" s="4">
        <f>_xll.ciqfunctions.udf.CIQ(InputTicker, "IQ_OPERATING_LEASE_PAYMENTS",Input!F$2,Date,,,Ccy,Conv)</f>
        <v>0</v>
      </c>
      <c r="E271" s="4">
        <f>_xll.ciqfunctions.udf.CIQ(InputTicker, "IQ_OPERATING_LEASE_PAYMENTS",Input!G$2,Date,,,Ccy,Conv)</f>
        <v>0</v>
      </c>
      <c r="F271" s="4">
        <f>_xll.ciqfunctions.udf.CIQ(InputTicker, "IQ_OPERATING_LEASE_PAYMENTS",Input!H$2,Date,,,Ccy,Conv)</f>
        <v>0</v>
      </c>
      <c r="G271" s="4">
        <f>_xll.ciqfunctions.udf.CIQ(InputTicker, "IQ_OPERATING_LEASE_PAYMENTS",Input!I$2,Date,,,Ccy,Conv)</f>
        <v>0</v>
      </c>
      <c r="H271" s="4">
        <f>_xll.ciqfunctions.udf.CIQ(InputTicker, "IQ_OPERATING_LEASE_PAYMENTS",Input!J$2,Date,,,Ccy,Conv)</f>
        <v>0</v>
      </c>
      <c r="I271" s="4">
        <f>_xll.ciqfunctions.udf.CIQ(InputTicker, "IQ_OPERATING_LEASE_PAYMENTS",Input!K$2,Date,,,Ccy,Conv)</f>
        <v>0</v>
      </c>
      <c r="J271" s="4">
        <f>_xll.ciqfunctions.udf.CIQ(InputTicker, "IQ_OPERATING_LEASE_PAYMENTS",Input!L$2,Date,,,Ccy,Conv)</f>
        <v>0</v>
      </c>
      <c r="K271" s="4">
        <f>_xll.ciqfunctions.udf.CIQ(InputTicker, "IQ_OPERATING_LEASE_PAYMENTS",Input!M$2,Date,,,Ccy,Conv)</f>
        <v>0</v>
      </c>
      <c r="L271" s="4">
        <f>_xll.ciqfunctions.udf.CIQ(InputTicker, "IQ_OPERATING_LEASE_PAYMENTS",Input!N$2,Date,,,Ccy,Conv)</f>
        <v>0</v>
      </c>
      <c r="M271" s="4">
        <f>_xll.ciqfunctions.udf.CIQ(InputTicker, "IQ_OPERATING_LEASE_PAYMENTS",Input!O$2,Date,,,Ccy,Conv)</f>
        <v>0</v>
      </c>
      <c r="N271" s="5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  <c r="BA271" s="42"/>
      <c r="BB271" s="42"/>
      <c r="BC271" s="42"/>
      <c r="BD271" s="42"/>
      <c r="BE271" s="42"/>
      <c r="BF271" s="42"/>
      <c r="BG271" s="42"/>
      <c r="BH271" s="42"/>
      <c r="BI271" s="42"/>
      <c r="BJ271" s="42"/>
      <c r="BK271" s="42"/>
      <c r="BL271" s="42"/>
      <c r="BM271" s="42"/>
      <c r="BN271" s="42"/>
    </row>
    <row r="272" spans="1:66" ht="12.75" customHeight="1" x14ac:dyDescent="0.2">
      <c r="A272" s="1" t="s">
        <v>447</v>
      </c>
      <c r="B272" s="4">
        <f>_xll.ciqfunctions.udf.CIQ(InputTicker, "IQ_OPERATING_LEASE_LIABILITIES",Input!D$2,Date,,,Ccy,Conv)</f>
        <v>0</v>
      </c>
      <c r="C272" s="4">
        <f>_xll.ciqfunctions.udf.CIQ(InputTicker, "IQ_OPERATING_LEASE_LIABILITIES",Input!E$2,Date,,,Ccy,Conv)</f>
        <v>0</v>
      </c>
      <c r="D272" s="4">
        <f>_xll.ciqfunctions.udf.CIQ(InputTicker, "IQ_OPERATING_LEASE_LIABILITIES",Input!F$2,Date,,,Ccy,Conv)</f>
        <v>0</v>
      </c>
      <c r="E272" s="4">
        <f>_xll.ciqfunctions.udf.CIQ(InputTicker, "IQ_OPERATING_LEASE_LIABILITIES",Input!G$2,Date,,,Ccy,Conv)</f>
        <v>0</v>
      </c>
      <c r="F272" s="4">
        <f>_xll.ciqfunctions.udf.CIQ(InputTicker, "IQ_OPERATING_LEASE_LIABILITIES",Input!H$2,Date,,,Ccy,Conv)</f>
        <v>0</v>
      </c>
      <c r="G272" s="4">
        <f>_xll.ciqfunctions.udf.CIQ(InputTicker, "IQ_OPERATING_LEASE_LIABILITIES",Input!I$2,Date,,,Ccy,Conv)</f>
        <v>0</v>
      </c>
      <c r="H272" s="4">
        <f>_xll.ciqfunctions.udf.CIQ(InputTicker, "IQ_OPERATING_LEASE_LIABILITIES",Input!J$2,Date,,,Ccy,Conv)</f>
        <v>0</v>
      </c>
      <c r="I272" s="4">
        <f>_xll.ciqfunctions.udf.CIQ(InputTicker, "IQ_OPERATING_LEASE_LIABILITIES",Input!K$2,Date,,,Ccy,Conv)</f>
        <v>0</v>
      </c>
      <c r="J272" s="4">
        <f>_xll.ciqfunctions.udf.CIQ(InputTicker, "IQ_OPERATING_LEASE_LIABILITIES",Input!L$2,Date,,,Ccy,Conv)</f>
        <v>0</v>
      </c>
      <c r="K272" s="4">
        <f>_xll.ciqfunctions.udf.CIQ(InputTicker, "IQ_OPERATING_LEASE_LIABILITIES",Input!M$2,Date,,,Ccy,Conv)</f>
        <v>0</v>
      </c>
      <c r="L272" s="4">
        <f>_xll.ciqfunctions.udf.CIQ(InputTicker, "IQ_OPERATING_LEASE_LIABILITIES",Input!N$2,Date,,,Ccy,Conv)</f>
        <v>0</v>
      </c>
      <c r="M272" s="4">
        <f>_xll.ciqfunctions.udf.CIQ(InputTicker, "IQ_OPERATING_LEASE_LIABILITIES",Input!O$2,Date,,,Ccy,Conv)</f>
        <v>0</v>
      </c>
      <c r="N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  <c r="AO272" s="42"/>
      <c r="AP272" s="42"/>
      <c r="AQ272" s="42"/>
      <c r="AR272" s="42"/>
      <c r="AS272" s="42"/>
      <c r="AT272" s="42"/>
      <c r="AU272" s="42"/>
      <c r="AV272" s="42"/>
      <c r="AW272" s="42"/>
      <c r="AX272" s="42"/>
      <c r="AY272" s="42"/>
      <c r="AZ272" s="42"/>
      <c r="BA272" s="42"/>
      <c r="BB272" s="42"/>
      <c r="BC272" s="42"/>
      <c r="BD272" s="42"/>
      <c r="BE272" s="42"/>
      <c r="BF272" s="42"/>
      <c r="BG272" s="42"/>
      <c r="BH272" s="42"/>
      <c r="BI272" s="42"/>
      <c r="BJ272" s="42"/>
      <c r="BK272" s="42"/>
      <c r="BL272" s="42"/>
      <c r="BM272" s="42"/>
      <c r="BN272" s="42"/>
    </row>
    <row r="273" spans="1:66" ht="12.75" customHeight="1" x14ac:dyDescent="0.2">
      <c r="A273" s="1" t="s">
        <v>448</v>
      </c>
      <c r="B273" s="4">
        <f>_xll.ciqfunctions.udf.CIQ(InputTicker, "IQ_OPERATING_LEASE_LIABILITIES_NONCASH",Input!D$2,Date,,,Ccy,Conv)</f>
        <v>0</v>
      </c>
      <c r="C273" s="4">
        <f>_xll.ciqfunctions.udf.CIQ(InputTicker, "IQ_OPERATING_LEASE_LIABILITIES_NONCASH",Input!E$2,Date,,,Ccy,Conv)</f>
        <v>0</v>
      </c>
      <c r="D273" s="4">
        <f>_xll.ciqfunctions.udf.CIQ(InputTicker, "IQ_OPERATING_LEASE_LIABILITIES_NONCASH",Input!F$2,Date,,,Ccy,Conv)</f>
        <v>0</v>
      </c>
      <c r="E273" s="4">
        <f>_xll.ciqfunctions.udf.CIQ(InputTicker, "IQ_OPERATING_LEASE_LIABILITIES_NONCASH",Input!G$2,Date,,,Ccy,Conv)</f>
        <v>0</v>
      </c>
      <c r="F273" s="4">
        <f>_xll.ciqfunctions.udf.CIQ(InputTicker, "IQ_OPERATING_LEASE_LIABILITIES_NONCASH",Input!H$2,Date,,,Ccy,Conv)</f>
        <v>0</v>
      </c>
      <c r="G273" s="4">
        <f>_xll.ciqfunctions.udf.CIQ(InputTicker, "IQ_OPERATING_LEASE_LIABILITIES_NONCASH",Input!I$2,Date,,,Ccy,Conv)</f>
        <v>0</v>
      </c>
      <c r="H273" s="4">
        <f>_xll.ciqfunctions.udf.CIQ(InputTicker, "IQ_OPERATING_LEASE_LIABILITIES_NONCASH",Input!J$2,Date,,,Ccy,Conv)</f>
        <v>0</v>
      </c>
      <c r="I273" s="4">
        <f>_xll.ciqfunctions.udf.CIQ(InputTicker, "IQ_OPERATING_LEASE_LIABILITIES_NONCASH",Input!K$2,Date,,,Ccy,Conv)</f>
        <v>0</v>
      </c>
      <c r="J273" s="4">
        <f>_xll.ciqfunctions.udf.CIQ(InputTicker, "IQ_OPERATING_LEASE_LIABILITIES_NONCASH",Input!L$2,Date,,,Ccy,Conv)</f>
        <v>0</v>
      </c>
      <c r="K273" s="4">
        <f>_xll.ciqfunctions.udf.CIQ(InputTicker, "IQ_OPERATING_LEASE_LIABILITIES_NONCASH",Input!M$2,Date,,,Ccy,Conv)</f>
        <v>0</v>
      </c>
      <c r="L273" s="4">
        <f>_xll.ciqfunctions.udf.CIQ(InputTicker, "IQ_OPERATING_LEASE_LIABILITIES_NONCASH",Input!N$2,Date,,,Ccy,Conv)</f>
        <v>0</v>
      </c>
      <c r="M273" s="4">
        <f>_xll.ciqfunctions.udf.CIQ(InputTicker, "IQ_OPERATING_LEASE_LIABILITIES_NONCASH",Input!O$2,Date,,,Ccy,Conv)</f>
        <v>0</v>
      </c>
      <c r="N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  <c r="AK273" s="42"/>
      <c r="AL273" s="42"/>
      <c r="AM273" s="42"/>
      <c r="AN273" s="42"/>
      <c r="AO273" s="42"/>
      <c r="AP273" s="42"/>
      <c r="AQ273" s="42"/>
      <c r="AR273" s="42"/>
      <c r="AS273" s="42"/>
      <c r="AT273" s="42"/>
      <c r="AU273" s="42"/>
      <c r="AV273" s="42"/>
      <c r="AW273" s="42"/>
      <c r="AX273" s="42"/>
      <c r="AY273" s="42"/>
      <c r="AZ273" s="42"/>
      <c r="BA273" s="42"/>
      <c r="BB273" s="42"/>
      <c r="BC273" s="42"/>
      <c r="BD273" s="42"/>
      <c r="BE273" s="42"/>
      <c r="BF273" s="42"/>
      <c r="BG273" s="42"/>
      <c r="BH273" s="42"/>
      <c r="BI273" s="42"/>
      <c r="BJ273" s="42"/>
      <c r="BK273" s="42"/>
      <c r="BL273" s="42"/>
      <c r="BM273" s="42"/>
      <c r="BN273" s="42"/>
    </row>
    <row r="274" spans="1:66" ht="12.75" customHeight="1" x14ac:dyDescent="0.2">
      <c r="A274" s="1" t="s">
        <v>468</v>
      </c>
      <c r="B274" s="4">
        <f>_xll.ciqfunctions.udf.CIQ(InputTicker, "IQ_LONG_TERM_DEBT_REPAID_EXCL_LEASES",Input!D$2,Date,,,Ccy,Conv)</f>
        <v>-1500</v>
      </c>
      <c r="C274" s="4">
        <f>_xll.ciqfunctions.udf.CIQ(InputTicker, "IQ_LONG_TERM_DEBT_REPAID_EXCL_LEASES",Input!E$2,Date,,,Ccy,Conv)</f>
        <v>-2796</v>
      </c>
      <c r="D274" s="4">
        <f>_xll.ciqfunctions.udf.CIQ(InputTicker, "IQ_LONG_TERM_DEBT_REPAID_EXCL_LEASES",Input!F$2,Date,,,Ccy,Conv)</f>
        <v>-7922</v>
      </c>
      <c r="E274" s="4">
        <f>_xll.ciqfunctions.udf.CIQ(InputTicker, "IQ_LONG_TERM_DEBT_REPAID_EXCL_LEASES",Input!G$2,Date,,,Ccy,Conv)</f>
        <v>-10060</v>
      </c>
      <c r="F274" s="4">
        <f>_xll.ciqfunctions.udf.CIQ(InputTicker, "IQ_LONG_TERM_DEBT_REPAID_EXCL_LEASES",Input!H$2,Date,,,Ccy,Conv)</f>
        <v>-4000</v>
      </c>
      <c r="G274" s="4">
        <f>_xll.ciqfunctions.udf.CIQ(InputTicker, "IQ_LONG_TERM_DEBT_REPAID_EXCL_LEASES",Input!I$2,Date,,,Ccy,Conv)</f>
        <v>-5518</v>
      </c>
      <c r="H274" s="4">
        <f>_xll.ciqfunctions.udf.CIQ(InputTicker, "IQ_LONG_TERM_DEBT_REPAID_EXCL_LEASES",Input!J$2,Date,,,Ccy,Conv)</f>
        <v>-3750</v>
      </c>
      <c r="I274" s="4">
        <f>_xll.ciqfunctions.udf.CIQ(InputTicker, "IQ_LONG_TERM_DEBT_REPAID_EXCL_LEASES",Input!K$2,Date,,,Ccy,Conv)</f>
        <v>-9023</v>
      </c>
      <c r="J274" s="4">
        <f>_xll.ciqfunctions.udf.CIQ(InputTicker, "IQ_LONG_TERM_DEBT_REPAID_EXCL_LEASES",Input!L$2,Date,,,Ccy,Conv)</f>
        <v>-2750</v>
      </c>
      <c r="K274" s="4">
        <f>_xll.ciqfunctions.udf.CIQ(InputTicker, "IQ_LONG_TERM_DEBT_REPAID_EXCL_LEASES",Input!M$2,Date,,,Ccy,Conv)</f>
        <v>-29070</v>
      </c>
      <c r="L274" s="4">
        <f>_xll.ciqfunctions.udf.CIQ(InputTicker, "IQ_LONG_TERM_DEBT_REPAID_EXCL_LEASES",Input!N$2,Date,,,Ccy,Conv)</f>
        <v>-3216</v>
      </c>
      <c r="M274" s="4">
        <f>_xll.ciqfunctions.udf.CIQ(InputTicker, "IQ_LONG_TERM_DEBT_REPAID_EXCL_LEASES",Input!O$2,Date,,,Ccy,Conv)</f>
        <v>-3000</v>
      </c>
      <c r="N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  <c r="BA274" s="42"/>
      <c r="BB274" s="42"/>
      <c r="BC274" s="42"/>
      <c r="BD274" s="42"/>
      <c r="BE274" s="42"/>
      <c r="BF274" s="42"/>
      <c r="BG274" s="42"/>
      <c r="BH274" s="42"/>
      <c r="BI274" s="42"/>
      <c r="BJ274" s="42"/>
      <c r="BK274" s="42"/>
      <c r="BL274" s="42"/>
      <c r="BM274" s="42"/>
      <c r="BN274" s="42"/>
    </row>
    <row r="275" spans="1:66" ht="12.75" customHeight="1" x14ac:dyDescent="0.2">
      <c r="A275" s="1" t="s">
        <v>469</v>
      </c>
      <c r="B275" s="4">
        <f>_xll.ciqfunctions.udf.CIQ(InputTicker, "IQ_TOTAL_DEBT_REPAID_EXCL_LEASES",Input!D$2,Date,,,Ccy,Conv)</f>
        <v>-1500</v>
      </c>
      <c r="C275" s="4">
        <f>_xll.ciqfunctions.udf.CIQ(InputTicker, "IQ_TOTAL_DEBT_REPAID_EXCL_LEASES",Input!E$2,Date,,,Ccy,Conv)</f>
        <v>-2796</v>
      </c>
      <c r="D275" s="4">
        <f>_xll.ciqfunctions.udf.CIQ(InputTicker, "IQ_TOTAL_DEBT_REPAID_EXCL_LEASES",Input!F$2,Date,,,Ccy,Conv)</f>
        <v>-12885</v>
      </c>
      <c r="E275" s="4">
        <f>_xll.ciqfunctions.udf.CIQ(InputTicker, "IQ_TOTAL_DEBT_REPAID_EXCL_LEASES",Input!G$2,Date,,,Ccy,Conv)</f>
        <v>-17384</v>
      </c>
      <c r="F275" s="4">
        <f>_xll.ciqfunctions.udf.CIQ(InputTicker, "IQ_TOTAL_DEBT_REPAID_EXCL_LEASES",Input!H$2,Date,,,Ccy,Conv)</f>
        <v>-4000</v>
      </c>
      <c r="G275" s="4">
        <f>_xll.ciqfunctions.udf.CIQ(InputTicker, "IQ_TOTAL_DEBT_REPAID_EXCL_LEASES",Input!I$2,Date,,,Ccy,Conv)</f>
        <v>-5518</v>
      </c>
      <c r="H275" s="4">
        <f>_xll.ciqfunctions.udf.CIQ(InputTicker, "IQ_TOTAL_DEBT_REPAID_EXCL_LEASES",Input!J$2,Date,,,Ccy,Conv)</f>
        <v>-3750</v>
      </c>
      <c r="I275" s="4">
        <f>_xll.ciqfunctions.udf.CIQ(InputTicker, "IQ_TOTAL_DEBT_REPAID_EXCL_LEASES",Input!K$2,Date,,,Ccy,Conv)</f>
        <v>-9023</v>
      </c>
      <c r="J275" s="4">
        <f>_xll.ciqfunctions.udf.CIQ(InputTicker, "IQ_TOTAL_DEBT_REPAID_EXCL_LEASES",Input!L$2,Date,,,Ccy,Conv)</f>
        <v>-2750</v>
      </c>
      <c r="K275" s="4">
        <f>_xll.ciqfunctions.udf.CIQ(InputTicker, "IQ_TOTAL_DEBT_REPAID_EXCL_LEASES",Input!M$2,Date,,,Ccy,Conv)</f>
        <v>-29070</v>
      </c>
      <c r="L275" s="4">
        <f>_xll.ciqfunctions.udf.CIQ(InputTicker, "IQ_TOTAL_DEBT_REPAID_EXCL_LEASES",Input!N$2,Date,,,Ccy,Conv)</f>
        <v>-8962</v>
      </c>
      <c r="M275" s="4">
        <f>_xll.ciqfunctions.udf.CIQ(InputTicker, "IQ_TOTAL_DEBT_REPAID_EXCL_LEASES",Input!O$2,Date,,,Ccy,Conv)</f>
        <v>-3000</v>
      </c>
      <c r="N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  <c r="AK275" s="42"/>
      <c r="AL275" s="42"/>
      <c r="AM275" s="42"/>
      <c r="AN275" s="42"/>
      <c r="AO275" s="42"/>
      <c r="AP275" s="42"/>
      <c r="AQ275" s="42"/>
      <c r="AR275" s="42"/>
      <c r="AS275" s="42"/>
      <c r="AT275" s="42"/>
      <c r="AU275" s="42"/>
      <c r="AV275" s="42"/>
      <c r="AW275" s="42"/>
      <c r="AX275" s="42"/>
      <c r="AY275" s="42"/>
      <c r="AZ275" s="42"/>
      <c r="BA275" s="42"/>
      <c r="BB275" s="42"/>
      <c r="BC275" s="42"/>
      <c r="BD275" s="42"/>
      <c r="BE275" s="42"/>
      <c r="BF275" s="42"/>
      <c r="BG275" s="42"/>
      <c r="BH275" s="42"/>
      <c r="BI275" s="42"/>
      <c r="BJ275" s="42"/>
      <c r="BK275" s="42"/>
      <c r="BL275" s="42"/>
      <c r="BM275" s="42"/>
      <c r="BN275" s="42"/>
    </row>
    <row r="276" spans="1:66" ht="12.75" customHeight="1" x14ac:dyDescent="0.2">
      <c r="A276" s="1" t="s">
        <v>470</v>
      </c>
      <c r="B276" s="4">
        <f>_xll.ciqfunctions.udf.CIQ(InputTicker, "IQ_GAIN_BARGAIN_ACQ_CF",Input!D$2,Date,,,Ccy,Conv)</f>
        <v>0</v>
      </c>
      <c r="C276" s="4">
        <f>_xll.ciqfunctions.udf.CIQ(InputTicker, "IQ_GAIN_BARGAIN_ACQ_CF",Input!E$2,Date,,,Ccy,Conv)</f>
        <v>0</v>
      </c>
      <c r="D276" s="4">
        <f>_xll.ciqfunctions.udf.CIQ(InputTicker, "IQ_GAIN_BARGAIN_ACQ_CF",Input!F$2,Date,,,Ccy,Conv)</f>
        <v>0</v>
      </c>
      <c r="E276" s="4">
        <f>_xll.ciqfunctions.udf.CIQ(InputTicker, "IQ_GAIN_BARGAIN_ACQ_CF",Input!G$2,Date,,,Ccy,Conv)</f>
        <v>0</v>
      </c>
      <c r="F276" s="4">
        <f>_xll.ciqfunctions.udf.CIQ(InputTicker, "IQ_GAIN_BARGAIN_ACQ_CF",Input!H$2,Date,,,Ccy,Conv)</f>
        <v>0</v>
      </c>
      <c r="G276" s="4">
        <f>_xll.ciqfunctions.udf.CIQ(InputTicker, "IQ_GAIN_BARGAIN_ACQ_CF",Input!I$2,Date,,,Ccy,Conv)</f>
        <v>0</v>
      </c>
      <c r="H276" s="4">
        <f>_xll.ciqfunctions.udf.CIQ(InputTicker, "IQ_GAIN_BARGAIN_ACQ_CF",Input!J$2,Date,,,Ccy,Conv)</f>
        <v>0</v>
      </c>
      <c r="I276" s="4">
        <f>_xll.ciqfunctions.udf.CIQ(InputTicker, "IQ_GAIN_BARGAIN_ACQ_CF",Input!K$2,Date,,,Ccy,Conv)</f>
        <v>0</v>
      </c>
      <c r="J276" s="4">
        <f>_xll.ciqfunctions.udf.CIQ(InputTicker, "IQ_GAIN_BARGAIN_ACQ_CF",Input!L$2,Date,,,Ccy,Conv)</f>
        <v>0</v>
      </c>
      <c r="K276" s="4">
        <f>_xll.ciqfunctions.udf.CIQ(InputTicker, "IQ_GAIN_BARGAIN_ACQ_CF",Input!M$2,Date,,,Ccy,Conv)</f>
        <v>0</v>
      </c>
      <c r="L276" s="4">
        <f>_xll.ciqfunctions.udf.CIQ(InputTicker, "IQ_GAIN_BARGAIN_ACQ_CF",Input!N$2,Date,,,Ccy,Conv)</f>
        <v>0</v>
      </c>
      <c r="M276" s="4">
        <f>_xll.ciqfunctions.udf.CIQ(InputTicker, "IQ_GAIN_BARGAIN_ACQ_CF",Input!O$2,Date,,,Ccy,Conv)</f>
        <v>0</v>
      </c>
      <c r="N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  <c r="AK276" s="42"/>
      <c r="AL276" s="42"/>
      <c r="AM276" s="42"/>
      <c r="AN276" s="42"/>
      <c r="AO276" s="42"/>
      <c r="AP276" s="42"/>
      <c r="AQ276" s="42"/>
      <c r="AR276" s="42"/>
      <c r="AS276" s="42"/>
      <c r="AT276" s="42"/>
      <c r="AU276" s="42"/>
      <c r="AV276" s="42"/>
      <c r="AW276" s="42"/>
      <c r="AX276" s="42"/>
      <c r="AY276" s="42"/>
      <c r="AZ276" s="42"/>
      <c r="BA276" s="42"/>
      <c r="BB276" s="42"/>
      <c r="BC276" s="42"/>
      <c r="BD276" s="42"/>
      <c r="BE276" s="42"/>
      <c r="BF276" s="42"/>
      <c r="BG276" s="42"/>
      <c r="BH276" s="42"/>
      <c r="BI276" s="42"/>
      <c r="BJ276" s="42"/>
      <c r="BK276" s="42"/>
      <c r="BL276" s="42"/>
      <c r="BM276" s="42"/>
      <c r="BN276" s="42"/>
    </row>
    <row r="277" spans="1:66" ht="12.75" customHeight="1" x14ac:dyDescent="0.2">
      <c r="A277" s="1" t="s">
        <v>347</v>
      </c>
      <c r="B277" s="15" t="str">
        <f>_xll.ciqfunctions.udf.CIQ(InputTicker, "IQ_FILING_CURRENCY",Input!D$2,Date)</f>
        <v>USD</v>
      </c>
      <c r="C277" s="15" t="str">
        <f>_xll.ciqfunctions.udf.CIQ(InputTicker, "IQ_FILING_CURRENCY",Input!E$2,Date)</f>
        <v>USD</v>
      </c>
      <c r="D277" s="15" t="str">
        <f>_xll.ciqfunctions.udf.CIQ(InputTicker, "IQ_FILING_CURRENCY",Input!F$2,Date)</f>
        <v>USD</v>
      </c>
      <c r="E277" s="15" t="str">
        <f>_xll.ciqfunctions.udf.CIQ(InputTicker, "IQ_FILING_CURRENCY",Input!G$2,Date)</f>
        <v>USD</v>
      </c>
      <c r="F277" s="15" t="str">
        <f>_xll.ciqfunctions.udf.CIQ(InputTicker, "IQ_FILING_CURRENCY",Input!H$2,Date)</f>
        <v>USD</v>
      </c>
      <c r="G277" s="15" t="str">
        <f>_xll.ciqfunctions.udf.CIQ(InputTicker, "IQ_FILING_CURRENCY",Input!I$2,Date)</f>
        <v>USD</v>
      </c>
      <c r="H277" s="15" t="str">
        <f>_xll.ciqfunctions.udf.CIQ(InputTicker, "IQ_FILING_CURRENCY",Input!J$2,Date)</f>
        <v>USD</v>
      </c>
      <c r="I277" s="15" t="str">
        <f>_xll.ciqfunctions.udf.CIQ(InputTicker, "IQ_FILING_CURRENCY",Input!K$2,Date)</f>
        <v>USD</v>
      </c>
      <c r="J277" s="15" t="str">
        <f>_xll.ciqfunctions.udf.CIQ(InputTicker, "IQ_FILING_CURRENCY",Input!L$2,Date)</f>
        <v>USD</v>
      </c>
      <c r="K277" s="15" t="str">
        <f>_xll.ciqfunctions.udf.CIQ(InputTicker, "IQ_FILING_CURRENCY",Input!M$2,Date)</f>
        <v>USD</v>
      </c>
      <c r="L277" s="15" t="str">
        <f>_xll.ciqfunctions.udf.CIQ(InputTicker, "IQ_FILING_CURRENCY",Input!N$2,Date)</f>
        <v>USD</v>
      </c>
      <c r="M277" s="15" t="str">
        <f>_xll.ciqfunctions.udf.CIQ(InputTicker, "IQ_FILING_CURRENCY",Input!O$2,Date)</f>
        <v>USD</v>
      </c>
      <c r="N277" s="42"/>
      <c r="P277" s="46"/>
      <c r="Q277" s="46"/>
      <c r="R277" s="46"/>
      <c r="S277" s="46"/>
      <c r="T277" s="42"/>
      <c r="U277" s="42"/>
      <c r="V277" s="46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  <c r="AK277" s="42"/>
      <c r="AL277" s="42"/>
      <c r="AM277" s="42"/>
      <c r="AN277" s="42"/>
      <c r="AO277" s="42"/>
      <c r="AP277" s="42"/>
      <c r="AQ277" s="42"/>
      <c r="AR277" s="42"/>
      <c r="AS277" s="42"/>
      <c r="AT277" s="42"/>
      <c r="AU277" s="42"/>
      <c r="AV277" s="42"/>
      <c r="AW277" s="42"/>
      <c r="AX277" s="42"/>
      <c r="AY277" s="42"/>
      <c r="AZ277" s="42"/>
      <c r="BA277" s="42"/>
      <c r="BB277" s="42"/>
      <c r="BC277" s="42"/>
      <c r="BD277" s="42"/>
      <c r="BE277" s="42"/>
      <c r="BF277" s="42"/>
      <c r="BG277" s="42"/>
      <c r="BH277" s="42"/>
      <c r="BI277" s="42"/>
      <c r="BJ277" s="42"/>
      <c r="BK277" s="42"/>
      <c r="BL277" s="42"/>
      <c r="BM277" s="42"/>
      <c r="BN277" s="42"/>
    </row>
    <row r="278" spans="1:66" ht="12.75" customHeight="1" x14ac:dyDescent="0.2">
      <c r="A278" s="1" t="s">
        <v>345</v>
      </c>
      <c r="B278" s="15" t="str">
        <f>_xll.ciqfunctions.udf.CIQ(InputTicker, "IQ_RESTATEMENT_CF",Input!D$2,Date)</f>
        <v>RS</v>
      </c>
      <c r="C278" s="15" t="str">
        <f>_xll.ciqfunctions.udf.CIQ(InputTicker, "IQ_RESTATEMENT_CF",Input!E$2,Date)</f>
        <v>RS</v>
      </c>
      <c r="D278" s="15" t="str">
        <f>_xll.ciqfunctions.udf.CIQ(InputTicker, "IQ_RESTATEMENT_CF",Input!F$2,Date)</f>
        <v>RS</v>
      </c>
      <c r="E278" s="15" t="str">
        <f>_xll.ciqfunctions.udf.CIQ(InputTicker, "IQ_RESTATEMENT_CF",Input!G$2,Date)</f>
        <v>NC</v>
      </c>
      <c r="F278" s="15" t="str">
        <f>_xll.ciqfunctions.udf.CIQ(InputTicker, "IQ_RESTATEMENT_CF",Input!H$2,Date)</f>
        <v>NC</v>
      </c>
      <c r="G278" s="15" t="str">
        <f>_xll.ciqfunctions.udf.CIQ(InputTicker, "IQ_RESTATEMENT_CF",Input!I$2,Date)</f>
        <v>NC</v>
      </c>
      <c r="H278" s="15" t="str">
        <f>_xll.ciqfunctions.udf.CIQ(InputTicker, "IQ_RESTATEMENT_CF",Input!J$2,Date)</f>
        <v>NC</v>
      </c>
      <c r="I278" s="15" t="str">
        <f>_xll.ciqfunctions.udf.CIQ(InputTicker, "IQ_RESTATEMENT_CF",Input!K$2,Date)</f>
        <v>NC</v>
      </c>
      <c r="J278" s="15" t="str">
        <f>_xll.ciqfunctions.udf.CIQ(InputTicker, "IQ_RESTATEMENT_CF",Input!L$2,Date)</f>
        <v>NC</v>
      </c>
      <c r="K278" s="15" t="str">
        <f>_xll.ciqfunctions.udf.CIQ(InputTicker, "IQ_RESTATEMENT_CF",Input!M$2,Date)</f>
        <v>NC</v>
      </c>
      <c r="L278" s="15" t="str">
        <f>_xll.ciqfunctions.udf.CIQ(InputTicker, "IQ_RESTATEMENT_CF",Input!N$2,Date)</f>
        <v>O</v>
      </c>
      <c r="M278" s="15" t="str">
        <f>_xll.ciqfunctions.udf.CIQ(InputTicker, "IQ_RESTATEMENT_CF",Input!O$2,Date)</f>
        <v>O</v>
      </c>
      <c r="N278" s="42"/>
      <c r="T278" s="46"/>
      <c r="U278" s="46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  <c r="BA278" s="42"/>
      <c r="BB278" s="42"/>
      <c r="BC278" s="42"/>
      <c r="BD278" s="42"/>
      <c r="BE278" s="42"/>
      <c r="BF278" s="42"/>
      <c r="BG278" s="42"/>
      <c r="BH278" s="42"/>
      <c r="BI278" s="42"/>
      <c r="BJ278" s="42"/>
      <c r="BK278" s="42"/>
      <c r="BL278" s="42"/>
      <c r="BM278" s="42"/>
      <c r="BN278" s="42"/>
    </row>
    <row r="279" spans="1:66" ht="12.75" customHeight="1" x14ac:dyDescent="0.2">
      <c r="A279" s="1" t="s">
        <v>346</v>
      </c>
      <c r="B279" s="15" t="str">
        <f>_xll.ciqfunctions.udf.CIQ(InputTicker, "IQ_CALC_TYPE_CF",Input!D$2,Date)</f>
        <v>REP</v>
      </c>
      <c r="C279" s="15" t="str">
        <f>_xll.ciqfunctions.udf.CIQ(InputTicker, "IQ_CALC_TYPE_CF",Input!E$2,Date)</f>
        <v>REP</v>
      </c>
      <c r="D279" s="15" t="str">
        <f>_xll.ciqfunctions.udf.CIQ(InputTicker, "IQ_CALC_TYPE_CF",Input!F$2,Date)</f>
        <v>REP</v>
      </c>
      <c r="E279" s="15" t="str">
        <f>_xll.ciqfunctions.udf.CIQ(InputTicker, "IQ_CALC_TYPE_CF",Input!G$2,Date)</f>
        <v>REP</v>
      </c>
      <c r="F279" s="15" t="str">
        <f>_xll.ciqfunctions.udf.CIQ(InputTicker, "IQ_CALC_TYPE_CF",Input!H$2,Date)</f>
        <v>REP</v>
      </c>
      <c r="G279" s="15" t="str">
        <f>_xll.ciqfunctions.udf.CIQ(InputTicker, "IQ_CALC_TYPE_CF",Input!I$2,Date)</f>
        <v>REP</v>
      </c>
      <c r="H279" s="15" t="str">
        <f>_xll.ciqfunctions.udf.CIQ(InputTicker, "IQ_CALC_TYPE_CF",Input!J$2,Date)</f>
        <v>REP</v>
      </c>
      <c r="I279" s="15" t="str">
        <f>_xll.ciqfunctions.udf.CIQ(InputTicker, "IQ_CALC_TYPE_CF",Input!K$2,Date)</f>
        <v>REP</v>
      </c>
      <c r="J279" s="15" t="str">
        <f>_xll.ciqfunctions.udf.CIQ(InputTicker, "IQ_CALC_TYPE_CF",Input!L$2,Date)</f>
        <v>REP</v>
      </c>
      <c r="K279" s="15" t="str">
        <f>_xll.ciqfunctions.udf.CIQ(InputTicker, "IQ_CALC_TYPE_CF",Input!M$2,Date)</f>
        <v>REP</v>
      </c>
      <c r="L279" s="15" t="str">
        <f>_xll.ciqfunctions.udf.CIQ(InputTicker, "IQ_CALC_TYPE_CF",Input!N$2,Date)</f>
        <v>REP</v>
      </c>
      <c r="M279" s="15" t="str">
        <f>_xll.ciqfunctions.udf.CIQ(InputTicker, "IQ_CALC_TYPE_CF",Input!O$2,Date)</f>
        <v>LTM</v>
      </c>
      <c r="N279" s="42"/>
      <c r="S279" s="46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  <c r="AN279" s="42"/>
      <c r="AO279" s="42"/>
      <c r="AP279" s="42"/>
      <c r="AQ279" s="42"/>
      <c r="AR279" s="42"/>
      <c r="AS279" s="42"/>
      <c r="AT279" s="42"/>
      <c r="AU279" s="42"/>
      <c r="AV279" s="42"/>
      <c r="AW279" s="42"/>
      <c r="AX279" s="42"/>
      <c r="AY279" s="42"/>
      <c r="AZ279" s="42"/>
      <c r="BA279" s="42"/>
      <c r="BB279" s="42"/>
      <c r="BC279" s="42"/>
      <c r="BD279" s="42"/>
      <c r="BE279" s="42"/>
      <c r="BF279" s="42"/>
      <c r="BG279" s="42"/>
      <c r="BH279" s="42"/>
      <c r="BI279" s="42"/>
      <c r="BJ279" s="42"/>
      <c r="BK279" s="42"/>
      <c r="BL279" s="42"/>
      <c r="BM279" s="42"/>
      <c r="BN279" s="42"/>
    </row>
    <row r="280" spans="1:66" ht="12.75" customHeight="1" x14ac:dyDescent="0.2">
      <c r="A280" s="1" t="s">
        <v>376</v>
      </c>
      <c r="B280" s="15" t="str">
        <f>_xll.ciqfunctions.udf.CIQ(InputTicker, "IQ_GAAP_CF",Input!D$2,Date)</f>
        <v>US GAAP</v>
      </c>
      <c r="C280" s="15" t="str">
        <f>_xll.ciqfunctions.udf.CIQ(InputTicker, "IQ_GAAP_CF",Input!E$2,Date)</f>
        <v>US GAAP</v>
      </c>
      <c r="D280" s="15" t="str">
        <f>_xll.ciqfunctions.udf.CIQ(InputTicker, "IQ_GAAP_CF",Input!F$2,Date)</f>
        <v>US GAAP</v>
      </c>
      <c r="E280" s="15" t="str">
        <f>_xll.ciqfunctions.udf.CIQ(InputTicker, "IQ_GAAP_CF",Input!G$2,Date)</f>
        <v>US GAAP</v>
      </c>
      <c r="F280" s="15" t="str">
        <f>_xll.ciqfunctions.udf.CIQ(InputTicker, "IQ_GAAP_CF",Input!H$2,Date)</f>
        <v>US GAAP</v>
      </c>
      <c r="G280" s="15" t="str">
        <f>_xll.ciqfunctions.udf.CIQ(InputTicker, "IQ_GAAP_CF",Input!I$2,Date)</f>
        <v>US GAAP</v>
      </c>
      <c r="H280" s="15" t="str">
        <f>_xll.ciqfunctions.udf.CIQ(InputTicker, "IQ_GAAP_CF",Input!J$2,Date)</f>
        <v>US GAAP</v>
      </c>
      <c r="I280" s="15" t="str">
        <f>_xll.ciqfunctions.udf.CIQ(InputTicker, "IQ_GAAP_CF",Input!K$2,Date)</f>
        <v>US GAAP</v>
      </c>
      <c r="J280" s="15" t="str">
        <f>_xll.ciqfunctions.udf.CIQ(InputTicker, "IQ_GAAP_CF",Input!L$2,Date)</f>
        <v>US GAAP</v>
      </c>
      <c r="K280" s="15" t="str">
        <f>_xll.ciqfunctions.udf.CIQ(InputTicker, "IQ_GAAP_CF",Input!M$2,Date)</f>
        <v>US GAAP</v>
      </c>
      <c r="L280" s="15" t="str">
        <f>_xll.ciqfunctions.udf.CIQ(InputTicker, "IQ_GAAP_CF",Input!N$2,Date)</f>
        <v>US GAAP</v>
      </c>
      <c r="M280" s="15">
        <f>_xll.ciqfunctions.udf.CIQ(InputTicker, "IQ_GAAP_CF",Input!O$2,Date)</f>
        <v>0</v>
      </c>
      <c r="N280" s="42"/>
      <c r="P280" s="46"/>
      <c r="Q280" s="46"/>
      <c r="R280" s="46"/>
      <c r="T280" s="46"/>
      <c r="U280" s="46"/>
      <c r="V280" s="46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  <c r="AK280" s="42"/>
      <c r="AL280" s="42"/>
      <c r="AM280" s="42"/>
      <c r="AN280" s="42"/>
      <c r="AO280" s="42"/>
      <c r="AP280" s="42"/>
      <c r="AQ280" s="42"/>
      <c r="AR280" s="42"/>
      <c r="AS280" s="42"/>
      <c r="AT280" s="42"/>
      <c r="AU280" s="42"/>
      <c r="AV280" s="42"/>
      <c r="AW280" s="42"/>
      <c r="AX280" s="42"/>
      <c r="AY280" s="42"/>
      <c r="AZ280" s="42"/>
      <c r="BA280" s="42"/>
      <c r="BB280" s="42"/>
      <c r="BC280" s="42"/>
      <c r="BD280" s="42"/>
      <c r="BE280" s="42"/>
      <c r="BF280" s="42"/>
      <c r="BG280" s="42"/>
      <c r="BH280" s="42"/>
      <c r="BI280" s="42"/>
      <c r="BJ280" s="42"/>
      <c r="BK280" s="42"/>
      <c r="BL280" s="42"/>
      <c r="BM280" s="42"/>
      <c r="BN280" s="42"/>
    </row>
    <row r="281" spans="1:66" ht="12.75" customHeight="1" x14ac:dyDescent="0.2">
      <c r="A281" s="1" t="s">
        <v>85</v>
      </c>
      <c r="B281" s="4">
        <f>_xll.ciqfunctions.udf.CIQ(InputTicker, "IQ_CASH_EQUIV",Input!D$2,Date,,,Ccy,Conv)</f>
        <v>5595</v>
      </c>
      <c r="C281" s="4">
        <f>_xll.ciqfunctions.udf.CIQ(InputTicker, "IQ_CASH_EQUIV",Input!E$2,Date,,,Ccy,Conv)</f>
        <v>6510</v>
      </c>
      <c r="D281" s="4">
        <f>_xll.ciqfunctions.udf.CIQ(InputTicker, "IQ_CASH_EQUIV",Input!F$2,Date,,,Ccy,Conv)</f>
        <v>7663</v>
      </c>
      <c r="E281" s="4">
        <f>_xll.ciqfunctions.udf.CIQ(InputTicker, "IQ_CASH_EQUIV",Input!G$2,Date,,,Ccy,Conv)</f>
        <v>11946</v>
      </c>
      <c r="F281" s="4">
        <f>_xll.ciqfunctions.udf.CIQ(InputTicker, "IQ_CASH_EQUIV",Input!H$2,Date,,,Ccy,Conv)</f>
        <v>11356</v>
      </c>
      <c r="G281" s="4">
        <f>_xll.ciqfunctions.udf.CIQ(InputTicker, "IQ_CASH_EQUIV",Input!I$2,Date,,,Ccy,Conv)</f>
        <v>13576</v>
      </c>
      <c r="H281" s="4">
        <f>_xll.ciqfunctions.udf.CIQ(InputTicker, "IQ_CASH_EQUIV",Input!J$2,Date,,,Ccy,Conv)</f>
        <v>14224</v>
      </c>
      <c r="I281" s="4">
        <f>_xll.ciqfunctions.udf.CIQ(InputTicker, "IQ_CASH_EQUIV",Input!K$2,Date,,,Ccy,Conv)</f>
        <v>13931</v>
      </c>
      <c r="J281" s="4">
        <f>_xll.ciqfunctions.udf.CIQ(InputTicker, "IQ_CASH_EQUIV",Input!L$2,Date,,,Ccy,Conv)</f>
        <v>34704</v>
      </c>
      <c r="K281" s="4">
        <f>_xll.ciqfunctions.udf.CIQ(InputTicker, "IQ_CASH_EQUIV",Input!M$2,Date,,,Ccy,Conv)</f>
        <v>18315</v>
      </c>
      <c r="L281" s="4">
        <f>_xll.ciqfunctions.udf.CIQ(InputTicker, "IQ_CASH_EQUIV",Input!N$2,Date,,,Ccy,Conv)</f>
        <v>30242</v>
      </c>
      <c r="M281" s="4">
        <f>_xll.ciqfunctions.udf.CIQ(InputTicker, "IQ_CASH_EQUIV",Input!O$2,Date,,,Ccy,Conv)</f>
        <v>32105</v>
      </c>
      <c r="N281" s="42"/>
      <c r="S281" s="46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  <c r="AK281" s="42"/>
      <c r="AL281" s="42"/>
      <c r="AM281" s="42"/>
      <c r="AN281" s="42"/>
      <c r="AO281" s="42"/>
      <c r="AP281" s="42"/>
      <c r="AQ281" s="42"/>
      <c r="AR281" s="42"/>
      <c r="AS281" s="42"/>
      <c r="AT281" s="42"/>
      <c r="AU281" s="42"/>
      <c r="AV281" s="42"/>
      <c r="AW281" s="42"/>
      <c r="AX281" s="42"/>
      <c r="AY281" s="42"/>
      <c r="AZ281" s="42"/>
      <c r="BA281" s="42"/>
      <c r="BB281" s="42"/>
      <c r="BC281" s="42"/>
      <c r="BD281" s="42"/>
      <c r="BE281" s="42"/>
      <c r="BF281" s="42"/>
      <c r="BG281" s="42"/>
      <c r="BH281" s="42"/>
      <c r="BI281" s="42"/>
      <c r="BJ281" s="42"/>
      <c r="BK281" s="42"/>
      <c r="BL281" s="42"/>
      <c r="BM281" s="42"/>
      <c r="BN281" s="42"/>
    </row>
    <row r="282" spans="1:66" ht="12.75" customHeight="1" x14ac:dyDescent="0.2">
      <c r="A282" s="1" t="s">
        <v>86</v>
      </c>
      <c r="B282" s="4">
        <f>_xll.ciqfunctions.udf.CIQ(InputTicker, "IQ_ST_INVEST",Input!D$2,Date,,,Ccy,Conv)</f>
        <v>90796</v>
      </c>
      <c r="C282" s="4">
        <f>_xll.ciqfunctions.udf.CIQ(InputTicker, "IQ_ST_INVEST",Input!E$2,Date,,,Ccy,Conv)</f>
        <v>106531</v>
      </c>
      <c r="D282" s="4">
        <f>_xll.ciqfunctions.udf.CIQ(InputTicker, "IQ_ST_INVEST",Input!F$2,Date,,,Ccy,Conv)</f>
        <v>125238</v>
      </c>
      <c r="E282" s="4">
        <f>_xll.ciqfunctions.udf.CIQ(InputTicker, "IQ_ST_INVEST",Input!G$2,Date,,,Ccy,Conv)</f>
        <v>121718</v>
      </c>
      <c r="F282" s="4">
        <f>_xll.ciqfunctions.udf.CIQ(InputTicker, "IQ_ST_INVEST",Input!H$2,Date,,,Ccy,Conv)</f>
        <v>122476</v>
      </c>
      <c r="G282" s="4">
        <f>_xll.ciqfunctions.udf.CIQ(InputTicker, "IQ_ST_INVEST",Input!I$2,Date,,,Ccy,Conv)</f>
        <v>122916</v>
      </c>
      <c r="H282" s="4">
        <f>_xll.ciqfunctions.udf.CIQ(InputTicker, "IQ_ST_INVEST",Input!J$2,Date,,,Ccy,Conv)</f>
        <v>116032</v>
      </c>
      <c r="I282" s="4">
        <f>_xll.ciqfunctions.udf.CIQ(InputTicker, "IQ_ST_INVEST",Input!K$2,Date,,,Ccy,Conv)</f>
        <v>90818</v>
      </c>
      <c r="J282" s="4">
        <f>_xll.ciqfunctions.udf.CIQ(InputTicker, "IQ_ST_INVEST",Input!L$2,Date,,,Ccy,Conv)</f>
        <v>76552</v>
      </c>
      <c r="K282" s="4">
        <f>_xll.ciqfunctions.udf.CIQ(InputTicker, "IQ_ST_INVEST",Input!M$2,Date,,,Ccy,Conv)</f>
        <v>57228</v>
      </c>
      <c r="L282" s="4">
        <f>_xll.ciqfunctions.udf.CIQ(InputTicker, "IQ_ST_INVEST",Input!N$2,Date,,,Ccy,Conv)</f>
        <v>64323</v>
      </c>
      <c r="M282" s="4">
        <f>_xll.ciqfunctions.udf.CIQ(InputTicker, "IQ_ST_INVEST",Input!O$2,Date,,,Ccy,Conv)</f>
        <v>46123</v>
      </c>
      <c r="N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  <c r="BA282" s="42"/>
      <c r="BB282" s="42"/>
      <c r="BC282" s="42"/>
      <c r="BD282" s="42"/>
      <c r="BE282" s="42"/>
      <c r="BF282" s="42"/>
      <c r="BG282" s="42"/>
      <c r="BH282" s="42"/>
      <c r="BI282" s="42"/>
      <c r="BJ282" s="42"/>
      <c r="BK282" s="42"/>
      <c r="BL282" s="42"/>
      <c r="BM282" s="42"/>
      <c r="BN282" s="42"/>
    </row>
    <row r="283" spans="1:66" ht="12.75" customHeight="1" x14ac:dyDescent="0.2">
      <c r="A283" s="1" t="s">
        <v>170</v>
      </c>
      <c r="B283" s="4">
        <f>_xll.ciqfunctions.udf.CIQ(InputTicker, "IQ_TRADING_ASSETS",Input!D$2,Date,,,Ccy,Conv)</f>
        <v>0</v>
      </c>
      <c r="C283" s="4">
        <f>_xll.ciqfunctions.udf.CIQ(InputTicker, "IQ_TRADING_ASSETS",Input!E$2,Date,,,Ccy,Conv)</f>
        <v>0</v>
      </c>
      <c r="D283" s="4">
        <f>_xll.ciqfunctions.udf.CIQ(InputTicker, "IQ_TRADING_ASSETS",Input!F$2,Date,,,Ccy,Conv)</f>
        <v>0</v>
      </c>
      <c r="E283" s="4">
        <f>_xll.ciqfunctions.udf.CIQ(InputTicker, "IQ_TRADING_ASSETS",Input!G$2,Date,,,Ccy,Conv)</f>
        <v>0</v>
      </c>
      <c r="F283" s="4">
        <f>_xll.ciqfunctions.udf.CIQ(InputTicker, "IQ_TRADING_ASSETS",Input!H$2,Date,,,Ccy,Conv)</f>
        <v>0</v>
      </c>
      <c r="G283" s="4">
        <f>_xll.ciqfunctions.udf.CIQ(InputTicker, "IQ_TRADING_ASSETS",Input!I$2,Date,,,Ccy,Conv)</f>
        <v>0</v>
      </c>
      <c r="H283" s="4">
        <f>_xll.ciqfunctions.udf.CIQ(InputTicker, "IQ_TRADING_ASSETS",Input!J$2,Date,,,Ccy,Conv)</f>
        <v>0</v>
      </c>
      <c r="I283" s="4">
        <f>_xll.ciqfunctions.udf.CIQ(InputTicker, "IQ_TRADING_ASSETS",Input!K$2,Date,,,Ccy,Conv)</f>
        <v>0</v>
      </c>
      <c r="J283" s="4">
        <f>_xll.ciqfunctions.udf.CIQ(InputTicker, "IQ_TRADING_ASSETS",Input!L$2,Date,,,Ccy,Conv)</f>
        <v>0</v>
      </c>
      <c r="K283" s="4">
        <f>_xll.ciqfunctions.udf.CIQ(InputTicker, "IQ_TRADING_ASSETS",Input!M$2,Date,,,Ccy,Conv)</f>
        <v>0</v>
      </c>
      <c r="L283" s="4">
        <f>_xll.ciqfunctions.udf.CIQ(InputTicker, "IQ_TRADING_ASSETS",Input!N$2,Date,,,Ccy,Conv)</f>
        <v>0</v>
      </c>
      <c r="M283" s="4">
        <f>_xll.ciqfunctions.udf.CIQ(InputTicker, "IQ_TRADING_ASSETS",Input!O$2,Date,,,Ccy,Conv)</f>
        <v>0</v>
      </c>
      <c r="N283" s="46"/>
      <c r="S283" s="46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42"/>
      <c r="AN283" s="42"/>
      <c r="AO283" s="42"/>
      <c r="AP283" s="42"/>
      <c r="AQ283" s="42"/>
      <c r="AR283" s="42"/>
      <c r="AS283" s="42"/>
      <c r="AT283" s="42"/>
      <c r="AU283" s="42"/>
      <c r="AV283" s="42"/>
      <c r="AW283" s="42"/>
      <c r="AX283" s="42"/>
      <c r="AY283" s="42"/>
      <c r="AZ283" s="42"/>
      <c r="BA283" s="42"/>
      <c r="BB283" s="42"/>
      <c r="BC283" s="42"/>
      <c r="BD283" s="42"/>
      <c r="BE283" s="42"/>
      <c r="BF283" s="42"/>
      <c r="BG283" s="42"/>
      <c r="BH283" s="42"/>
      <c r="BI283" s="42"/>
      <c r="BJ283" s="42"/>
      <c r="BK283" s="42"/>
      <c r="BL283" s="42"/>
      <c r="BM283" s="42"/>
      <c r="BN283" s="42"/>
    </row>
    <row r="284" spans="1:66" ht="12.75" customHeight="1" x14ac:dyDescent="0.2">
      <c r="A284" s="5" t="s">
        <v>87</v>
      </c>
      <c r="B284" s="6">
        <f>_xll.ciqfunctions.udf.CIQ(InputTicker, "IQ_CASH_ST_INVEST",Input!D$2,Date,,,Ccy,Conv)</f>
        <v>96391</v>
      </c>
      <c r="C284" s="6">
        <f>_xll.ciqfunctions.udf.CIQ(InputTicker, "IQ_CASH_ST_INVEST",Input!E$2,Date,,,Ccy,Conv)</f>
        <v>113041</v>
      </c>
      <c r="D284" s="6">
        <f>_xll.ciqfunctions.udf.CIQ(InputTicker, "IQ_CASH_ST_INVEST",Input!F$2,Date,,,Ccy,Conv)</f>
        <v>132901</v>
      </c>
      <c r="E284" s="6">
        <f>_xll.ciqfunctions.udf.CIQ(InputTicker, "IQ_CASH_ST_INVEST",Input!G$2,Date,,,Ccy,Conv)</f>
        <v>133664</v>
      </c>
      <c r="F284" s="6">
        <f>_xll.ciqfunctions.udf.CIQ(InputTicker, "IQ_CASH_ST_INVEST",Input!H$2,Date,,,Ccy,Conv)</f>
        <v>133832</v>
      </c>
      <c r="G284" s="6">
        <f>_xll.ciqfunctions.udf.CIQ(InputTicker, "IQ_CASH_ST_INVEST",Input!I$2,Date,,,Ccy,Conv)</f>
        <v>136492</v>
      </c>
      <c r="H284" s="6">
        <f>_xll.ciqfunctions.udf.CIQ(InputTicker, "IQ_CASH_ST_INVEST",Input!J$2,Date,,,Ccy,Conv)</f>
        <v>130256</v>
      </c>
      <c r="I284" s="6">
        <f>_xll.ciqfunctions.udf.CIQ(InputTicker, "IQ_CASH_ST_INVEST",Input!K$2,Date,,,Ccy,Conv)</f>
        <v>104749</v>
      </c>
      <c r="J284" s="6">
        <f>_xll.ciqfunctions.udf.CIQ(InputTicker, "IQ_CASH_ST_INVEST",Input!L$2,Date,,,Ccy,Conv)</f>
        <v>111256</v>
      </c>
      <c r="K284" s="6">
        <f>_xll.ciqfunctions.udf.CIQ(InputTicker, "IQ_CASH_ST_INVEST",Input!M$2,Date,,,Ccy,Conv)</f>
        <v>75543</v>
      </c>
      <c r="L284" s="6">
        <f>_xll.ciqfunctions.udf.CIQ(InputTicker, "IQ_CASH_ST_INVEST",Input!N$2,Date,,,Ccy,Conv)</f>
        <v>94565</v>
      </c>
      <c r="M284" s="6">
        <f>_xll.ciqfunctions.udf.CIQ(InputTicker, "IQ_CASH_ST_INVEST",Input!O$2,Date,,,Ccy,Conv)</f>
        <v>78228</v>
      </c>
      <c r="N284" s="42"/>
      <c r="P284" s="46"/>
      <c r="Q284" s="46"/>
      <c r="R284" s="46"/>
      <c r="T284" s="42"/>
      <c r="U284" s="42"/>
      <c r="V284" s="46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  <c r="AK284" s="42"/>
      <c r="AL284" s="42"/>
      <c r="AM284" s="42"/>
      <c r="AN284" s="42"/>
      <c r="AO284" s="42"/>
      <c r="AP284" s="42"/>
      <c r="AQ284" s="42"/>
      <c r="AR284" s="42"/>
      <c r="AS284" s="42"/>
      <c r="AT284" s="42"/>
      <c r="AU284" s="42"/>
      <c r="AV284" s="42"/>
      <c r="AW284" s="42"/>
      <c r="AX284" s="42"/>
      <c r="AY284" s="42"/>
      <c r="AZ284" s="42"/>
      <c r="BA284" s="42"/>
      <c r="BB284" s="42"/>
      <c r="BC284" s="42"/>
      <c r="BD284" s="42"/>
      <c r="BE284" s="42"/>
      <c r="BF284" s="42"/>
      <c r="BG284" s="42"/>
      <c r="BH284" s="42"/>
      <c r="BI284" s="42"/>
      <c r="BJ284" s="42"/>
      <c r="BK284" s="42"/>
      <c r="BL284" s="42"/>
      <c r="BM284" s="42"/>
      <c r="BN284" s="42"/>
    </row>
    <row r="285" spans="1:66" ht="12.75" customHeight="1" x14ac:dyDescent="0.2">
      <c r="A285" s="1" t="s">
        <v>55</v>
      </c>
      <c r="B285" s="4">
        <f>_xll.ciqfunctions.udf.CIQ(InputTicker, "IQ_AR",Input!D$2,Date,,,Ccy,Conv)</f>
        <v>17908</v>
      </c>
      <c r="C285" s="4">
        <f>_xll.ciqfunctions.udf.CIQ(InputTicker, "IQ_AR",Input!E$2,Date,,,Ccy,Conv)</f>
        <v>18277</v>
      </c>
      <c r="D285" s="4">
        <f>_xll.ciqfunctions.udf.CIQ(InputTicker, "IQ_AR",Input!F$2,Date,,,Ccy,Conv)</f>
        <v>22431</v>
      </c>
      <c r="E285" s="4">
        <f>_xll.ciqfunctions.udf.CIQ(InputTicker, "IQ_AR",Input!G$2,Date,,,Ccy,Conv)</f>
        <v>26481</v>
      </c>
      <c r="F285" s="4">
        <f>_xll.ciqfunctions.udf.CIQ(InputTicker, "IQ_AR",Input!H$2,Date,,,Ccy,Conv)</f>
        <v>29524</v>
      </c>
      <c r="G285" s="4">
        <f>_xll.ciqfunctions.udf.CIQ(InputTicker, "IQ_AR",Input!I$2,Date,,,Ccy,Conv)</f>
        <v>32011</v>
      </c>
      <c r="H285" s="4">
        <f>_xll.ciqfunctions.udf.CIQ(InputTicker, "IQ_AR",Input!J$2,Date,,,Ccy,Conv)</f>
        <v>38043</v>
      </c>
      <c r="I285" s="4">
        <f>_xll.ciqfunctions.udf.CIQ(InputTicker, "IQ_AR",Input!K$2,Date,,,Ccy,Conv)</f>
        <v>44261</v>
      </c>
      <c r="J285" s="4">
        <f>_xll.ciqfunctions.udf.CIQ(InputTicker, "IQ_AR",Input!L$2,Date,,,Ccy,Conv)</f>
        <v>48688</v>
      </c>
      <c r="K285" s="4">
        <f>_xll.ciqfunctions.udf.CIQ(InputTicker, "IQ_AR",Input!M$2,Date,,,Ccy,Conv)</f>
        <v>56924</v>
      </c>
      <c r="L285" s="4">
        <f>_xll.ciqfunctions.udf.CIQ(InputTicker, "IQ_AR",Input!N$2,Date,,,Ccy,Conv)</f>
        <v>69905</v>
      </c>
      <c r="M285" s="4">
        <f>_xll.ciqfunctions.udf.CIQ(InputTicker, "IQ_AR",Input!O$2,Date,,,Ccy,Conv)</f>
        <v>60041</v>
      </c>
      <c r="N285" s="42"/>
      <c r="P285" s="46"/>
      <c r="Q285" s="46"/>
      <c r="R285" s="46"/>
      <c r="T285" s="42"/>
      <c r="U285" s="42"/>
      <c r="V285" s="46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2"/>
      <c r="AL285" s="42"/>
      <c r="AM285" s="42"/>
      <c r="AN285" s="42"/>
      <c r="AO285" s="42"/>
      <c r="AP285" s="42"/>
      <c r="AQ285" s="42"/>
      <c r="AR285" s="42"/>
      <c r="AS285" s="42"/>
      <c r="AT285" s="42"/>
      <c r="AU285" s="42"/>
      <c r="AV285" s="42"/>
      <c r="AW285" s="42"/>
      <c r="AX285" s="42"/>
      <c r="AY285" s="42"/>
      <c r="AZ285" s="42"/>
      <c r="BA285" s="42"/>
      <c r="BB285" s="42"/>
      <c r="BC285" s="42"/>
      <c r="BD285" s="42"/>
      <c r="BE285" s="42"/>
      <c r="BF285" s="42"/>
      <c r="BG285" s="42"/>
      <c r="BH285" s="42"/>
      <c r="BI285" s="42"/>
      <c r="BJ285" s="42"/>
      <c r="BK285" s="42"/>
      <c r="BL285" s="42"/>
      <c r="BM285" s="42"/>
      <c r="BN285" s="42"/>
    </row>
    <row r="286" spans="1:66" ht="12.75" customHeight="1" x14ac:dyDescent="0.2">
      <c r="A286" s="1" t="s">
        <v>171</v>
      </c>
      <c r="B286" s="4">
        <f>_xll.ciqfunctions.udf.CIQ(InputTicker, "IQ_OTHER_RECEIV",Input!D$2,Date,,,Ccy,Conv)</f>
        <v>0</v>
      </c>
      <c r="C286" s="4">
        <f>_xll.ciqfunctions.udf.CIQ(InputTicker, "IQ_OTHER_RECEIV",Input!E$2,Date,,,Ccy,Conv)</f>
        <v>0</v>
      </c>
      <c r="D286" s="4">
        <f>_xll.ciqfunctions.udf.CIQ(InputTicker, "IQ_OTHER_RECEIV",Input!F$2,Date,,,Ccy,Conv)</f>
        <v>0</v>
      </c>
      <c r="E286" s="4">
        <f>_xll.ciqfunctions.udf.CIQ(InputTicker, "IQ_OTHER_RECEIV",Input!G$2,Date,,,Ccy,Conv)</f>
        <v>0</v>
      </c>
      <c r="F286" s="4">
        <f>_xll.ciqfunctions.udf.CIQ(InputTicker, "IQ_OTHER_RECEIV",Input!H$2,Date,,,Ccy,Conv)</f>
        <v>0</v>
      </c>
      <c r="G286" s="4">
        <f>_xll.ciqfunctions.udf.CIQ(InputTicker, "IQ_OTHER_RECEIV",Input!I$2,Date,,,Ccy,Conv)</f>
        <v>0</v>
      </c>
      <c r="H286" s="4">
        <f>_xll.ciqfunctions.udf.CIQ(InputTicker, "IQ_OTHER_RECEIV",Input!J$2,Date,,,Ccy,Conv)</f>
        <v>0</v>
      </c>
      <c r="I286" s="4">
        <f>_xll.ciqfunctions.udf.CIQ(InputTicker, "IQ_OTHER_RECEIV",Input!K$2,Date,,,Ccy,Conv)</f>
        <v>6100</v>
      </c>
      <c r="J286" s="4">
        <f>_xll.ciqfunctions.udf.CIQ(InputTicker, "IQ_OTHER_RECEIV",Input!L$2,Date,,,Ccy,Conv)</f>
        <v>9200</v>
      </c>
      <c r="K286" s="4">
        <f>_xll.ciqfunctions.udf.CIQ(InputTicker, "IQ_OTHER_RECEIV",Input!M$2,Date,,,Ccy,Conv)</f>
        <v>10500</v>
      </c>
      <c r="L286" s="4">
        <f>_xll.ciqfunctions.udf.CIQ(InputTicker, "IQ_OTHER_RECEIV",Input!N$2,Date,,,Ccy,Conv)</f>
        <v>8200</v>
      </c>
      <c r="M286" s="4">
        <f>_xll.ciqfunctions.udf.CIQ(InputTicker, "IQ_OTHER_RECEIV",Input!O$2,Date,,,Ccy,Conv)</f>
        <v>17800</v>
      </c>
      <c r="N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  <c r="BA286" s="42"/>
      <c r="BB286" s="42"/>
      <c r="BC286" s="42"/>
      <c r="BD286" s="42"/>
      <c r="BE286" s="42"/>
      <c r="BF286" s="42"/>
      <c r="BG286" s="42"/>
      <c r="BH286" s="42"/>
      <c r="BI286" s="42"/>
      <c r="BJ286" s="42"/>
      <c r="BK286" s="42"/>
      <c r="BL286" s="42"/>
      <c r="BM286" s="42"/>
      <c r="BN286" s="42"/>
    </row>
    <row r="287" spans="1:66" ht="12.75" customHeight="1" x14ac:dyDescent="0.2">
      <c r="A287" s="1" t="s">
        <v>88</v>
      </c>
      <c r="B287" s="4">
        <f>_xll.ciqfunctions.udf.CIQ(InputTicker, "IQ_ST_NOTE_RECEIV",Input!D$2,Date,,,Ccy,Conv)</f>
        <v>0</v>
      </c>
      <c r="C287" s="4">
        <f>_xll.ciqfunctions.udf.CIQ(InputTicker, "IQ_ST_NOTE_RECEIV",Input!E$2,Date,,,Ccy,Conv)</f>
        <v>0</v>
      </c>
      <c r="D287" s="4">
        <f>_xll.ciqfunctions.udf.CIQ(InputTicker, "IQ_ST_NOTE_RECEIV",Input!F$2,Date,,,Ccy,Conv)</f>
        <v>0</v>
      </c>
      <c r="E287" s="4">
        <f>_xll.ciqfunctions.udf.CIQ(InputTicker, "IQ_ST_NOTE_RECEIV",Input!G$2,Date,,,Ccy,Conv)</f>
        <v>0</v>
      </c>
      <c r="F287" s="4">
        <f>_xll.ciqfunctions.udf.CIQ(InputTicker, "IQ_ST_NOTE_RECEIV",Input!H$2,Date,,,Ccy,Conv)</f>
        <v>0</v>
      </c>
      <c r="G287" s="4">
        <f>_xll.ciqfunctions.udf.CIQ(InputTicker, "IQ_ST_NOTE_RECEIV",Input!I$2,Date,,,Ccy,Conv)</f>
        <v>0</v>
      </c>
      <c r="H287" s="4">
        <f>_xll.ciqfunctions.udf.CIQ(InputTicker, "IQ_ST_NOTE_RECEIV",Input!J$2,Date,,,Ccy,Conv)</f>
        <v>0</v>
      </c>
      <c r="I287" s="4">
        <f>_xll.ciqfunctions.udf.CIQ(InputTicker, "IQ_ST_NOTE_RECEIV",Input!K$2,Date,,,Ccy,Conv)</f>
        <v>0</v>
      </c>
      <c r="J287" s="4">
        <f>_xll.ciqfunctions.udf.CIQ(InputTicker, "IQ_ST_NOTE_RECEIV",Input!L$2,Date,,,Ccy,Conv)</f>
        <v>0</v>
      </c>
      <c r="K287" s="4">
        <f>_xll.ciqfunctions.udf.CIQ(InputTicker, "IQ_ST_NOTE_RECEIV",Input!M$2,Date,,,Ccy,Conv)</f>
        <v>0</v>
      </c>
      <c r="L287" s="4">
        <f>_xll.ciqfunctions.udf.CIQ(InputTicker, "IQ_ST_NOTE_RECEIV",Input!N$2,Date,,,Ccy,Conv)</f>
        <v>0</v>
      </c>
      <c r="M287" s="4">
        <f>_xll.ciqfunctions.udf.CIQ(InputTicker, "IQ_ST_NOTE_RECEIV",Input!O$2,Date,,,Ccy,Conv)</f>
        <v>0</v>
      </c>
      <c r="N287" s="42"/>
      <c r="P287" s="46"/>
      <c r="Q287" s="46"/>
      <c r="R287" s="46"/>
      <c r="T287" s="42"/>
      <c r="U287" s="42"/>
      <c r="V287" s="46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  <c r="AK287" s="42"/>
      <c r="AL287" s="42"/>
      <c r="AM287" s="42"/>
      <c r="AN287" s="42"/>
      <c r="AO287" s="42"/>
      <c r="AP287" s="42"/>
      <c r="AQ287" s="42"/>
      <c r="AR287" s="42"/>
      <c r="AS287" s="42"/>
      <c r="AT287" s="42"/>
      <c r="AU287" s="42"/>
      <c r="AV287" s="42"/>
      <c r="AW287" s="42"/>
      <c r="AX287" s="42"/>
      <c r="AY287" s="42"/>
      <c r="AZ287" s="42"/>
      <c r="BA287" s="42"/>
      <c r="BB287" s="42"/>
      <c r="BC287" s="42"/>
      <c r="BD287" s="42"/>
      <c r="BE287" s="42"/>
      <c r="BF287" s="42"/>
      <c r="BG287" s="42"/>
      <c r="BH287" s="42"/>
      <c r="BI287" s="42"/>
      <c r="BJ287" s="42"/>
      <c r="BK287" s="42"/>
      <c r="BL287" s="42"/>
      <c r="BM287" s="42"/>
      <c r="BN287" s="42"/>
    </row>
    <row r="288" spans="1:66" ht="12.75" customHeight="1" x14ac:dyDescent="0.2">
      <c r="A288" s="5" t="s">
        <v>89</v>
      </c>
      <c r="B288" s="6">
        <f>_xll.ciqfunctions.udf.CIQ(InputTicker, "IQ_TOTAL_RECEIV",Input!D$2,Date,,,Ccy,Conv)</f>
        <v>17908</v>
      </c>
      <c r="C288" s="6">
        <f>_xll.ciqfunctions.udf.CIQ(InputTicker, "IQ_TOTAL_RECEIV",Input!E$2,Date,,,Ccy,Conv)</f>
        <v>18277</v>
      </c>
      <c r="D288" s="6">
        <f>_xll.ciqfunctions.udf.CIQ(InputTicker, "IQ_TOTAL_RECEIV",Input!F$2,Date,,,Ccy,Conv)</f>
        <v>22431</v>
      </c>
      <c r="E288" s="6">
        <f>_xll.ciqfunctions.udf.CIQ(InputTicker, "IQ_TOTAL_RECEIV",Input!G$2,Date,,,Ccy,Conv)</f>
        <v>26481</v>
      </c>
      <c r="F288" s="6">
        <f>_xll.ciqfunctions.udf.CIQ(InputTicker, "IQ_TOTAL_RECEIV",Input!H$2,Date,,,Ccy,Conv)</f>
        <v>29524</v>
      </c>
      <c r="G288" s="6">
        <f>_xll.ciqfunctions.udf.CIQ(InputTicker, "IQ_TOTAL_RECEIV",Input!I$2,Date,,,Ccy,Conv)</f>
        <v>32011</v>
      </c>
      <c r="H288" s="6">
        <f>_xll.ciqfunctions.udf.CIQ(InputTicker, "IQ_TOTAL_RECEIV",Input!J$2,Date,,,Ccy,Conv)</f>
        <v>38043</v>
      </c>
      <c r="I288" s="6">
        <f>_xll.ciqfunctions.udf.CIQ(InputTicker, "IQ_TOTAL_RECEIV",Input!K$2,Date,,,Ccy,Conv)</f>
        <v>50361</v>
      </c>
      <c r="J288" s="6">
        <f>_xll.ciqfunctions.udf.CIQ(InputTicker, "IQ_TOTAL_RECEIV",Input!L$2,Date,,,Ccy,Conv)</f>
        <v>57888</v>
      </c>
      <c r="K288" s="6">
        <f>_xll.ciqfunctions.udf.CIQ(InputTicker, "IQ_TOTAL_RECEIV",Input!M$2,Date,,,Ccy,Conv)</f>
        <v>67424</v>
      </c>
      <c r="L288" s="6">
        <f>_xll.ciqfunctions.udf.CIQ(InputTicker, "IQ_TOTAL_RECEIV",Input!N$2,Date,,,Ccy,Conv)</f>
        <v>78105</v>
      </c>
      <c r="M288" s="6">
        <f>_xll.ciqfunctions.udf.CIQ(InputTicker, "IQ_TOTAL_RECEIV",Input!O$2,Date,,,Ccy,Conv)</f>
        <v>77841</v>
      </c>
      <c r="N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2"/>
      <c r="AL288" s="42"/>
      <c r="AM288" s="42"/>
      <c r="AN288" s="42"/>
      <c r="AO288" s="42"/>
      <c r="AP288" s="42"/>
      <c r="AQ288" s="42"/>
      <c r="AR288" s="42"/>
      <c r="AS288" s="42"/>
      <c r="AT288" s="42"/>
      <c r="AU288" s="42"/>
      <c r="AV288" s="42"/>
      <c r="AW288" s="42"/>
      <c r="AX288" s="42"/>
      <c r="AY288" s="42"/>
      <c r="AZ288" s="42"/>
      <c r="BA288" s="42"/>
      <c r="BB288" s="42"/>
      <c r="BC288" s="42"/>
      <c r="BD288" s="42"/>
      <c r="BE288" s="42"/>
      <c r="BF288" s="42"/>
      <c r="BG288" s="42"/>
      <c r="BH288" s="42"/>
      <c r="BI288" s="42"/>
      <c r="BJ288" s="42"/>
      <c r="BK288" s="42"/>
      <c r="BL288" s="42"/>
      <c r="BM288" s="42"/>
      <c r="BN288" s="42"/>
    </row>
    <row r="289" spans="1:66" ht="12.75" customHeight="1" x14ac:dyDescent="0.2">
      <c r="A289" s="1" t="s">
        <v>90</v>
      </c>
      <c r="B289" s="4">
        <f>_xll.ciqfunctions.udf.CIQ(InputTicker, "IQ_INVENTORY",Input!D$2,Date,,,Ccy,Conv)</f>
        <v>2902</v>
      </c>
      <c r="C289" s="4">
        <f>_xll.ciqfunctions.udf.CIQ(InputTicker, "IQ_INVENTORY",Input!E$2,Date,,,Ccy,Conv)</f>
        <v>2251</v>
      </c>
      <c r="D289" s="4">
        <f>_xll.ciqfunctions.udf.CIQ(InputTicker, "IQ_INVENTORY",Input!F$2,Date,,,Ccy,Conv)</f>
        <v>2181</v>
      </c>
      <c r="E289" s="4">
        <f>_xll.ciqfunctions.udf.CIQ(InputTicker, "IQ_INVENTORY",Input!G$2,Date,,,Ccy,Conv)</f>
        <v>2662</v>
      </c>
      <c r="F289" s="4">
        <f>_xll.ciqfunctions.udf.CIQ(InputTicker, "IQ_INVENTORY",Input!H$2,Date,,,Ccy,Conv)</f>
        <v>2063</v>
      </c>
      <c r="G289" s="4">
        <f>_xll.ciqfunctions.udf.CIQ(InputTicker, "IQ_INVENTORY",Input!I$2,Date,,,Ccy,Conv)</f>
        <v>1895</v>
      </c>
      <c r="H289" s="4">
        <f>_xll.ciqfunctions.udf.CIQ(InputTicker, "IQ_INVENTORY",Input!J$2,Date,,,Ccy,Conv)</f>
        <v>2636</v>
      </c>
      <c r="I289" s="4">
        <f>_xll.ciqfunctions.udf.CIQ(InputTicker, "IQ_INVENTORY",Input!K$2,Date,,,Ccy,Conv)</f>
        <v>3742</v>
      </c>
      <c r="J289" s="4">
        <f>_xll.ciqfunctions.udf.CIQ(InputTicker, "IQ_INVENTORY",Input!L$2,Date,,,Ccy,Conv)</f>
        <v>2500</v>
      </c>
      <c r="K289" s="4">
        <f>_xll.ciqfunctions.udf.CIQ(InputTicker, "IQ_INVENTORY",Input!M$2,Date,,,Ccy,Conv)</f>
        <v>1246</v>
      </c>
      <c r="L289" s="4">
        <f>_xll.ciqfunctions.udf.CIQ(InputTicker, "IQ_INVENTORY",Input!N$2,Date,,,Ccy,Conv)</f>
        <v>938</v>
      </c>
      <c r="M289" s="4">
        <f>_xll.ciqfunctions.udf.CIQ(InputTicker, "IQ_INVENTORY",Input!O$2,Date,,,Ccy,Conv)</f>
        <v>1219</v>
      </c>
      <c r="N289" s="42"/>
      <c r="T289" s="46"/>
      <c r="U289" s="46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  <c r="AK289" s="42"/>
      <c r="AL289" s="42"/>
      <c r="AM289" s="42"/>
      <c r="AN289" s="42"/>
      <c r="AO289" s="42"/>
      <c r="AP289" s="42"/>
      <c r="AQ289" s="42"/>
      <c r="AR289" s="42"/>
      <c r="AS289" s="42"/>
      <c r="AT289" s="42"/>
      <c r="AU289" s="42"/>
      <c r="AV289" s="42"/>
      <c r="AW289" s="42"/>
      <c r="AX289" s="42"/>
      <c r="AY289" s="42"/>
      <c r="AZ289" s="42"/>
      <c r="BA289" s="42"/>
      <c r="BB289" s="42"/>
      <c r="BC289" s="42"/>
      <c r="BD289" s="42"/>
      <c r="BE289" s="42"/>
      <c r="BF289" s="42"/>
      <c r="BG289" s="42"/>
      <c r="BH289" s="42"/>
      <c r="BI289" s="42"/>
      <c r="BJ289" s="42"/>
      <c r="BK289" s="42"/>
      <c r="BL289" s="42"/>
      <c r="BM289" s="42"/>
      <c r="BN289" s="42"/>
    </row>
    <row r="290" spans="1:66" ht="12.75" customHeight="1" x14ac:dyDescent="0.2">
      <c r="A290" s="1" t="s">
        <v>91</v>
      </c>
      <c r="B290" s="4">
        <f>_xll.ciqfunctions.udf.CIQ(InputTicker, "IQ_PREPAID_EXP",Input!D$2,Date,,,Ccy,Conv)</f>
        <v>0</v>
      </c>
      <c r="C290" s="4">
        <f>_xll.ciqfunctions.udf.CIQ(InputTicker, "IQ_PREPAID_EXP",Input!E$2,Date,,,Ccy,Conv)</f>
        <v>0</v>
      </c>
      <c r="D290" s="4">
        <f>_xll.ciqfunctions.udf.CIQ(InputTicker, "IQ_PREPAID_EXP",Input!F$2,Date,,,Ccy,Conv)</f>
        <v>0</v>
      </c>
      <c r="E290" s="4">
        <f>_xll.ciqfunctions.udf.CIQ(InputTicker, "IQ_PREPAID_EXP",Input!G$2,Date,,,Ccy,Conv)</f>
        <v>0</v>
      </c>
      <c r="F290" s="4">
        <f>_xll.ciqfunctions.udf.CIQ(InputTicker, "IQ_PREPAID_EXP",Input!H$2,Date,,,Ccy,Conv)</f>
        <v>0</v>
      </c>
      <c r="G290" s="4">
        <f>_xll.ciqfunctions.udf.CIQ(InputTicker, "IQ_PREPAID_EXP",Input!I$2,Date,,,Ccy,Conv)</f>
        <v>0</v>
      </c>
      <c r="H290" s="4">
        <f>_xll.ciqfunctions.udf.CIQ(InputTicker, "IQ_PREPAID_EXP",Input!J$2,Date,,,Ccy,Conv)</f>
        <v>0</v>
      </c>
      <c r="I290" s="4">
        <f>_xll.ciqfunctions.udf.CIQ(InputTicker, "IQ_PREPAID_EXP",Input!K$2,Date,,,Ccy,Conv)</f>
        <v>0</v>
      </c>
      <c r="J290" s="4">
        <f>_xll.ciqfunctions.udf.CIQ(InputTicker, "IQ_PREPAID_EXP",Input!L$2,Date,,,Ccy,Conv)</f>
        <v>0</v>
      </c>
      <c r="K290" s="4">
        <f>_xll.ciqfunctions.udf.CIQ(InputTicker, "IQ_PREPAID_EXP",Input!M$2,Date,,,Ccy,Conv)</f>
        <v>0</v>
      </c>
      <c r="L290" s="4">
        <f>_xll.ciqfunctions.udf.CIQ(InputTicker, "IQ_PREPAID_EXP",Input!N$2,Date,,,Ccy,Conv)</f>
        <v>0</v>
      </c>
      <c r="M290" s="4">
        <f>_xll.ciqfunctions.udf.CIQ(InputTicker, "IQ_PREPAID_EXP",Input!O$2,Date,,,Ccy,Conv)</f>
        <v>0</v>
      </c>
      <c r="N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  <c r="AK290" s="42"/>
      <c r="AL290" s="42"/>
      <c r="AM290" s="42"/>
      <c r="AN290" s="42"/>
      <c r="AO290" s="42"/>
      <c r="AP290" s="42"/>
      <c r="AQ290" s="42"/>
      <c r="AR290" s="42"/>
      <c r="AS290" s="42"/>
      <c r="AT290" s="42"/>
      <c r="AU290" s="42"/>
      <c r="AV290" s="42"/>
      <c r="AW290" s="42"/>
      <c r="AX290" s="42"/>
      <c r="AY290" s="42"/>
      <c r="AZ290" s="42"/>
      <c r="BA290" s="42"/>
      <c r="BB290" s="42"/>
      <c r="BC290" s="42"/>
      <c r="BD290" s="42"/>
      <c r="BE290" s="42"/>
      <c r="BF290" s="42"/>
      <c r="BG290" s="42"/>
      <c r="BH290" s="42"/>
      <c r="BI290" s="42"/>
      <c r="BJ290" s="42"/>
      <c r="BK290" s="42"/>
      <c r="BL290" s="42"/>
      <c r="BM290" s="42"/>
      <c r="BN290" s="42"/>
    </row>
    <row r="291" spans="1:66" ht="12.75" customHeight="1" x14ac:dyDescent="0.2">
      <c r="A291" s="1" t="s">
        <v>172</v>
      </c>
      <c r="B291" s="4">
        <f>_xll.ciqfunctions.udf.CIQ(InputTicker, "IQ_FIN_DIV_LOANS_CURRENT",Input!D$2,Date,,,Ccy,Conv)</f>
        <v>0</v>
      </c>
      <c r="C291" s="4">
        <f>_xll.ciqfunctions.udf.CIQ(InputTicker, "IQ_FIN_DIV_LOANS_CURRENT",Input!E$2,Date,,,Ccy,Conv)</f>
        <v>0</v>
      </c>
      <c r="D291" s="4">
        <f>_xll.ciqfunctions.udf.CIQ(InputTicker, "IQ_FIN_DIV_LOANS_CURRENT",Input!F$2,Date,,,Ccy,Conv)</f>
        <v>0</v>
      </c>
      <c r="E291" s="4">
        <f>_xll.ciqfunctions.udf.CIQ(InputTicker, "IQ_FIN_DIV_LOANS_CURRENT",Input!G$2,Date,,,Ccy,Conv)</f>
        <v>0</v>
      </c>
      <c r="F291" s="4">
        <f>_xll.ciqfunctions.udf.CIQ(InputTicker, "IQ_FIN_DIV_LOANS_CURRENT",Input!H$2,Date,,,Ccy,Conv)</f>
        <v>0</v>
      </c>
      <c r="G291" s="4">
        <f>_xll.ciqfunctions.udf.CIQ(InputTicker, "IQ_FIN_DIV_LOANS_CURRENT",Input!I$2,Date,,,Ccy,Conv)</f>
        <v>0</v>
      </c>
      <c r="H291" s="4">
        <f>_xll.ciqfunctions.udf.CIQ(InputTicker, "IQ_FIN_DIV_LOANS_CURRENT",Input!J$2,Date,,,Ccy,Conv)</f>
        <v>0</v>
      </c>
      <c r="I291" s="4">
        <f>_xll.ciqfunctions.udf.CIQ(InputTicker, "IQ_FIN_DIV_LOANS_CURRENT",Input!K$2,Date,,,Ccy,Conv)</f>
        <v>0</v>
      </c>
      <c r="J291" s="4">
        <f>_xll.ciqfunctions.udf.CIQ(InputTicker, "IQ_FIN_DIV_LOANS_CURRENT",Input!L$2,Date,,,Ccy,Conv)</f>
        <v>0</v>
      </c>
      <c r="K291" s="4">
        <f>_xll.ciqfunctions.udf.CIQ(InputTicker, "IQ_FIN_DIV_LOANS_CURRENT",Input!M$2,Date,,,Ccy,Conv)</f>
        <v>0</v>
      </c>
      <c r="L291" s="4">
        <f>_xll.ciqfunctions.udf.CIQ(InputTicker, "IQ_FIN_DIV_LOANS_CURRENT",Input!N$2,Date,,,Ccy,Conv)</f>
        <v>0</v>
      </c>
      <c r="M291" s="4">
        <f>_xll.ciqfunctions.udf.CIQ(InputTicker, "IQ_FIN_DIV_LOANS_CURRENT",Input!O$2,Date,,,Ccy,Conv)</f>
        <v>0</v>
      </c>
      <c r="N291" s="46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2"/>
      <c r="AL291" s="42"/>
      <c r="AM291" s="42"/>
      <c r="AN291" s="42"/>
      <c r="AO291" s="42"/>
      <c r="AP291" s="42"/>
      <c r="AQ291" s="42"/>
      <c r="AR291" s="42"/>
      <c r="AS291" s="42"/>
      <c r="AT291" s="42"/>
      <c r="AU291" s="42"/>
      <c r="AV291" s="42"/>
      <c r="AW291" s="42"/>
      <c r="AX291" s="42"/>
      <c r="AY291" s="42"/>
      <c r="AZ291" s="42"/>
      <c r="BA291" s="42"/>
      <c r="BB291" s="42"/>
      <c r="BC291" s="42"/>
      <c r="BD291" s="42"/>
      <c r="BE291" s="42"/>
      <c r="BF291" s="42"/>
      <c r="BG291" s="42"/>
      <c r="BH291" s="42"/>
      <c r="BI291" s="42"/>
      <c r="BJ291" s="42"/>
      <c r="BK291" s="42"/>
      <c r="BL291" s="42"/>
      <c r="BM291" s="42"/>
      <c r="BN291" s="42"/>
    </row>
    <row r="292" spans="1:66" ht="12.75" customHeight="1" x14ac:dyDescent="0.2">
      <c r="A292" s="1" t="s">
        <v>173</v>
      </c>
      <c r="B292" s="4">
        <f>_xll.ciqfunctions.udf.CIQ(InputTicker, "IQ_FIN_DIV_ASSETS_CURRENT",Input!D$2,Date,,,Ccy,Conv)</f>
        <v>0</v>
      </c>
      <c r="C292" s="4">
        <f>_xll.ciqfunctions.udf.CIQ(InputTicker, "IQ_FIN_DIV_ASSETS_CURRENT",Input!E$2,Date,,,Ccy,Conv)</f>
        <v>0</v>
      </c>
      <c r="D292" s="4">
        <f>_xll.ciqfunctions.udf.CIQ(InputTicker, "IQ_FIN_DIV_ASSETS_CURRENT",Input!F$2,Date,,,Ccy,Conv)</f>
        <v>0</v>
      </c>
      <c r="E292" s="4">
        <f>_xll.ciqfunctions.udf.CIQ(InputTicker, "IQ_FIN_DIV_ASSETS_CURRENT",Input!G$2,Date,,,Ccy,Conv)</f>
        <v>0</v>
      </c>
      <c r="F292" s="4">
        <f>_xll.ciqfunctions.udf.CIQ(InputTicker, "IQ_FIN_DIV_ASSETS_CURRENT",Input!H$2,Date,,,Ccy,Conv)</f>
        <v>0</v>
      </c>
      <c r="G292" s="4">
        <f>_xll.ciqfunctions.udf.CIQ(InputTicker, "IQ_FIN_DIV_ASSETS_CURRENT",Input!I$2,Date,,,Ccy,Conv)</f>
        <v>0</v>
      </c>
      <c r="H292" s="4">
        <f>_xll.ciqfunctions.udf.CIQ(InputTicker, "IQ_FIN_DIV_ASSETS_CURRENT",Input!J$2,Date,,,Ccy,Conv)</f>
        <v>0</v>
      </c>
      <c r="I292" s="4">
        <f>_xll.ciqfunctions.udf.CIQ(InputTicker, "IQ_FIN_DIV_ASSETS_CURRENT",Input!K$2,Date,,,Ccy,Conv)</f>
        <v>0</v>
      </c>
      <c r="J292" s="4">
        <f>_xll.ciqfunctions.udf.CIQ(InputTicker, "IQ_FIN_DIV_ASSETS_CURRENT",Input!L$2,Date,,,Ccy,Conv)</f>
        <v>0</v>
      </c>
      <c r="K292" s="4">
        <f>_xll.ciqfunctions.udf.CIQ(InputTicker, "IQ_FIN_DIV_ASSETS_CURRENT",Input!M$2,Date,,,Ccy,Conv)</f>
        <v>0</v>
      </c>
      <c r="L292" s="4">
        <f>_xll.ciqfunctions.udf.CIQ(InputTicker, "IQ_FIN_DIV_ASSETS_CURRENT",Input!N$2,Date,,,Ccy,Conv)</f>
        <v>0</v>
      </c>
      <c r="M292" s="4">
        <f>_xll.ciqfunctions.udf.CIQ(InputTicker, "IQ_FIN_DIV_ASSETS_CURRENT",Input!O$2,Date,,,Ccy,Conv)</f>
        <v>0</v>
      </c>
      <c r="N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  <c r="BA292" s="42"/>
      <c r="BB292" s="42"/>
      <c r="BC292" s="42"/>
      <c r="BD292" s="42"/>
      <c r="BE292" s="42"/>
      <c r="BF292" s="42"/>
      <c r="BG292" s="42"/>
      <c r="BH292" s="42"/>
      <c r="BI292" s="42"/>
      <c r="BJ292" s="42"/>
      <c r="BK292" s="42"/>
      <c r="BL292" s="42"/>
      <c r="BM292" s="42"/>
      <c r="BN292" s="42"/>
    </row>
    <row r="293" spans="1:66" ht="12.75" customHeight="1" x14ac:dyDescent="0.2">
      <c r="A293" s="1" t="s">
        <v>174</v>
      </c>
      <c r="B293" s="4">
        <f>_xll.ciqfunctions.udf.CIQ(InputTicker, "IQ_LOANS_FOR_SALE",Input!D$2,Date,,,Ccy,Conv)</f>
        <v>0</v>
      </c>
      <c r="C293" s="4">
        <f>_xll.ciqfunctions.udf.CIQ(InputTicker, "IQ_LOANS_FOR_SALE",Input!E$2,Date,,,Ccy,Conv)</f>
        <v>0</v>
      </c>
      <c r="D293" s="4">
        <f>_xll.ciqfunctions.udf.CIQ(InputTicker, "IQ_LOANS_FOR_SALE",Input!F$2,Date,,,Ccy,Conv)</f>
        <v>0</v>
      </c>
      <c r="E293" s="4">
        <f>_xll.ciqfunctions.udf.CIQ(InputTicker, "IQ_LOANS_FOR_SALE",Input!G$2,Date,,,Ccy,Conv)</f>
        <v>0</v>
      </c>
      <c r="F293" s="4">
        <f>_xll.ciqfunctions.udf.CIQ(InputTicker, "IQ_LOANS_FOR_SALE",Input!H$2,Date,,,Ccy,Conv)</f>
        <v>0</v>
      </c>
      <c r="G293" s="4">
        <f>_xll.ciqfunctions.udf.CIQ(InputTicker, "IQ_LOANS_FOR_SALE",Input!I$2,Date,,,Ccy,Conv)</f>
        <v>0</v>
      </c>
      <c r="H293" s="4">
        <f>_xll.ciqfunctions.udf.CIQ(InputTicker, "IQ_LOANS_FOR_SALE",Input!J$2,Date,,,Ccy,Conv)</f>
        <v>0</v>
      </c>
      <c r="I293" s="4">
        <f>_xll.ciqfunctions.udf.CIQ(InputTicker, "IQ_LOANS_FOR_SALE",Input!K$2,Date,,,Ccy,Conv)</f>
        <v>0</v>
      </c>
      <c r="J293" s="4">
        <f>_xll.ciqfunctions.udf.CIQ(InputTicker, "IQ_LOANS_FOR_SALE",Input!L$2,Date,,,Ccy,Conv)</f>
        <v>0</v>
      </c>
      <c r="K293" s="4">
        <f>_xll.ciqfunctions.udf.CIQ(InputTicker, "IQ_LOANS_FOR_SALE",Input!M$2,Date,,,Ccy,Conv)</f>
        <v>0</v>
      </c>
      <c r="L293" s="4">
        <f>_xll.ciqfunctions.udf.CIQ(InputTicker, "IQ_LOANS_FOR_SALE",Input!N$2,Date,,,Ccy,Conv)</f>
        <v>0</v>
      </c>
      <c r="M293" s="4">
        <f>_xll.ciqfunctions.udf.CIQ(InputTicker, "IQ_LOANS_FOR_SALE",Input!O$2,Date,,,Ccy,Conv)</f>
        <v>0</v>
      </c>
      <c r="N293" s="46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42"/>
      <c r="AN293" s="42"/>
      <c r="AO293" s="42"/>
      <c r="AP293" s="42"/>
      <c r="AQ293" s="42"/>
      <c r="AR293" s="42"/>
      <c r="AS293" s="42"/>
      <c r="AT293" s="42"/>
      <c r="AU293" s="42"/>
      <c r="AV293" s="42"/>
      <c r="AW293" s="42"/>
      <c r="AX293" s="42"/>
      <c r="AY293" s="42"/>
      <c r="AZ293" s="42"/>
      <c r="BA293" s="42"/>
      <c r="BB293" s="42"/>
      <c r="BC293" s="42"/>
      <c r="BD293" s="42"/>
      <c r="BE293" s="42"/>
      <c r="BF293" s="42"/>
      <c r="BG293" s="42"/>
      <c r="BH293" s="42"/>
      <c r="BI293" s="42"/>
      <c r="BJ293" s="42"/>
      <c r="BK293" s="42"/>
      <c r="BL293" s="42"/>
      <c r="BM293" s="42"/>
      <c r="BN293" s="42"/>
    </row>
    <row r="294" spans="1:66" ht="12.75" customHeight="1" x14ac:dyDescent="0.2">
      <c r="A294" s="1" t="s">
        <v>130</v>
      </c>
      <c r="B294" s="4">
        <f>_xll.ciqfunctions.udf.CIQ(InputTicker, "IQ_DEF_TAX_ASSETS_CURRENT",Input!D$2,Date,,,Ccy,Conv)</f>
        <v>0</v>
      </c>
      <c r="C294" s="4">
        <f>_xll.ciqfunctions.udf.CIQ(InputTicker, "IQ_DEF_TAX_ASSETS_CURRENT",Input!E$2,Date,,,Ccy,Conv)</f>
        <v>0</v>
      </c>
      <c r="D294" s="4">
        <f>_xll.ciqfunctions.udf.CIQ(InputTicker, "IQ_DEF_TAX_ASSETS_CURRENT",Input!F$2,Date,,,Ccy,Conv)</f>
        <v>0</v>
      </c>
      <c r="E294" s="4">
        <f>_xll.ciqfunctions.udf.CIQ(InputTicker, "IQ_DEF_TAX_ASSETS_CURRENT",Input!G$2,Date,,,Ccy,Conv)</f>
        <v>0</v>
      </c>
      <c r="F294" s="4">
        <f>_xll.ciqfunctions.udf.CIQ(InputTicker, "IQ_DEF_TAX_ASSETS_CURRENT",Input!H$2,Date,,,Ccy,Conv)</f>
        <v>0</v>
      </c>
      <c r="G294" s="4">
        <f>_xll.ciqfunctions.udf.CIQ(InputTicker, "IQ_DEF_TAX_ASSETS_CURRENT",Input!I$2,Date,,,Ccy,Conv)</f>
        <v>0</v>
      </c>
      <c r="H294" s="4">
        <f>_xll.ciqfunctions.udf.CIQ(InputTicker, "IQ_DEF_TAX_ASSETS_CURRENT",Input!J$2,Date,,,Ccy,Conv)</f>
        <v>0</v>
      </c>
      <c r="I294" s="4">
        <f>_xll.ciqfunctions.udf.CIQ(InputTicker, "IQ_DEF_TAX_ASSETS_CURRENT",Input!K$2,Date,,,Ccy,Conv)</f>
        <v>0</v>
      </c>
      <c r="J294" s="4">
        <f>_xll.ciqfunctions.udf.CIQ(InputTicker, "IQ_DEF_TAX_ASSETS_CURRENT",Input!L$2,Date,,,Ccy,Conv)</f>
        <v>0</v>
      </c>
      <c r="K294" s="4">
        <f>_xll.ciqfunctions.udf.CIQ(InputTicker, "IQ_DEF_TAX_ASSETS_CURRENT",Input!M$2,Date,,,Ccy,Conv)</f>
        <v>0</v>
      </c>
      <c r="L294" s="4">
        <f>_xll.ciqfunctions.udf.CIQ(InputTicker, "IQ_DEF_TAX_ASSETS_CURRENT",Input!N$2,Date,,,Ccy,Conv)</f>
        <v>0</v>
      </c>
      <c r="M294" s="4">
        <f>_xll.ciqfunctions.udf.CIQ(InputTicker, "IQ_DEF_TAX_ASSETS_CURRENT",Input!O$2,Date,,,Ccy,Conv)</f>
        <v>0</v>
      </c>
      <c r="N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  <c r="AO294" s="42"/>
      <c r="AP294" s="42"/>
      <c r="AQ294" s="42"/>
      <c r="AR294" s="42"/>
      <c r="AS294" s="42"/>
      <c r="AT294" s="42"/>
      <c r="AU294" s="42"/>
      <c r="AV294" s="42"/>
      <c r="AW294" s="42"/>
      <c r="AX294" s="42"/>
      <c r="AY294" s="42"/>
      <c r="AZ294" s="42"/>
      <c r="BA294" s="42"/>
      <c r="BB294" s="42"/>
      <c r="BC294" s="42"/>
      <c r="BD294" s="42"/>
      <c r="BE294" s="42"/>
      <c r="BF294" s="42"/>
      <c r="BG294" s="42"/>
      <c r="BH294" s="42"/>
      <c r="BI294" s="42"/>
      <c r="BJ294" s="42"/>
      <c r="BK294" s="42"/>
      <c r="BL294" s="42"/>
      <c r="BM294" s="42"/>
      <c r="BN294" s="42"/>
    </row>
    <row r="295" spans="1:66" ht="12.75" customHeight="1" x14ac:dyDescent="0.2">
      <c r="A295" s="1" t="s">
        <v>175</v>
      </c>
      <c r="B295" s="4">
        <f>_xll.ciqfunctions.udf.CIQ(InputTicker, "IQ_RESTRICTED_CASH",Input!D$2,Date,,,Ccy,Conv)</f>
        <v>0</v>
      </c>
      <c r="C295" s="4">
        <f>_xll.ciqfunctions.udf.CIQ(InputTicker, "IQ_RESTRICTED_CASH",Input!E$2,Date,,,Ccy,Conv)</f>
        <v>0</v>
      </c>
      <c r="D295" s="4">
        <f>_xll.ciqfunctions.udf.CIQ(InputTicker, "IQ_RESTRICTED_CASH",Input!F$2,Date,,,Ccy,Conv)</f>
        <v>0</v>
      </c>
      <c r="E295" s="4">
        <f>_xll.ciqfunctions.udf.CIQ(InputTicker, "IQ_RESTRICTED_CASH",Input!G$2,Date,,,Ccy,Conv)</f>
        <v>0</v>
      </c>
      <c r="F295" s="4">
        <f>_xll.ciqfunctions.udf.CIQ(InputTicker, "IQ_RESTRICTED_CASH",Input!H$2,Date,,,Ccy,Conv)</f>
        <v>0</v>
      </c>
      <c r="G295" s="4">
        <f>_xll.ciqfunctions.udf.CIQ(InputTicker, "IQ_RESTRICTED_CASH",Input!I$2,Date,,,Ccy,Conv)</f>
        <v>0</v>
      </c>
      <c r="H295" s="4">
        <f>_xll.ciqfunctions.udf.CIQ(InputTicker, "IQ_RESTRICTED_CASH",Input!J$2,Date,,,Ccy,Conv)</f>
        <v>0</v>
      </c>
      <c r="I295" s="4">
        <f>_xll.ciqfunctions.udf.CIQ(InputTicker, "IQ_RESTRICTED_CASH",Input!K$2,Date,,,Ccy,Conv)</f>
        <v>0</v>
      </c>
      <c r="J295" s="4">
        <f>_xll.ciqfunctions.udf.CIQ(InputTicker, "IQ_RESTRICTED_CASH",Input!L$2,Date,,,Ccy,Conv)</f>
        <v>0</v>
      </c>
      <c r="K295" s="4">
        <f>_xll.ciqfunctions.udf.CIQ(InputTicker, "IQ_RESTRICTED_CASH",Input!M$2,Date,,,Ccy,Conv)</f>
        <v>0</v>
      </c>
      <c r="L295" s="4">
        <f>_xll.ciqfunctions.udf.CIQ(InputTicker, "IQ_RESTRICTED_CASH",Input!N$2,Date,,,Ccy,Conv)</f>
        <v>0</v>
      </c>
      <c r="M295" s="4">
        <f>_xll.ciqfunctions.udf.CIQ(InputTicker, "IQ_RESTRICTED_CASH",Input!O$2,Date,,,Ccy,Conv)</f>
        <v>0</v>
      </c>
      <c r="N295" s="46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2"/>
      <c r="AQ295" s="42"/>
      <c r="AR295" s="42"/>
      <c r="AS295" s="42"/>
      <c r="AT295" s="42"/>
      <c r="AU295" s="42"/>
      <c r="AV295" s="42"/>
      <c r="AW295" s="42"/>
      <c r="AX295" s="42"/>
      <c r="AY295" s="42"/>
      <c r="AZ295" s="42"/>
      <c r="BA295" s="42"/>
      <c r="BB295" s="42"/>
      <c r="BC295" s="42"/>
      <c r="BD295" s="42"/>
      <c r="BE295" s="42"/>
      <c r="BF295" s="42"/>
      <c r="BG295" s="42"/>
      <c r="BH295" s="42"/>
      <c r="BI295" s="42"/>
      <c r="BJ295" s="42"/>
      <c r="BK295" s="42"/>
      <c r="BL295" s="42"/>
      <c r="BM295" s="42"/>
      <c r="BN295" s="42"/>
    </row>
    <row r="296" spans="1:66" ht="12.75" customHeight="1" x14ac:dyDescent="0.2">
      <c r="A296" s="1" t="s">
        <v>131</v>
      </c>
      <c r="B296" s="4">
        <f>_xll.ciqfunctions.udf.CIQ(InputTicker, "IQ_OTHER_CA_SUPPL",Input!D$2,Date,,,Ccy,Conv)</f>
        <v>5596</v>
      </c>
      <c r="C296" s="4">
        <f>_xll.ciqfunctions.udf.CIQ(InputTicker, "IQ_OTHER_CA_SUPPL",Input!E$2,Date,,,Ccy,Conv)</f>
        <v>6091</v>
      </c>
      <c r="D296" s="4">
        <f>_xll.ciqfunctions.udf.CIQ(InputTicker, "IQ_OTHER_CA_SUPPL",Input!F$2,Date,,,Ccy,Conv)</f>
        <v>5183</v>
      </c>
      <c r="E296" s="4">
        <f>_xll.ciqfunctions.udf.CIQ(InputTicker, "IQ_OTHER_CA_SUPPL",Input!G$2,Date,,,Ccy,Conv)</f>
        <v>6855</v>
      </c>
      <c r="F296" s="4">
        <f>_xll.ciqfunctions.udf.CIQ(InputTicker, "IQ_OTHER_CA_SUPPL",Input!H$2,Date,,,Ccy,Conv)</f>
        <v>10133</v>
      </c>
      <c r="G296" s="4">
        <f>_xll.ciqfunctions.udf.CIQ(InputTicker, "IQ_OTHER_CA_SUPPL",Input!I$2,Date,,,Ccy,Conv)</f>
        <v>11517</v>
      </c>
      <c r="H296" s="4">
        <f>_xll.ciqfunctions.udf.CIQ(InputTicker, "IQ_OTHER_CA_SUPPL",Input!J$2,Date,,,Ccy,Conv)</f>
        <v>13471</v>
      </c>
      <c r="I296" s="4">
        <f>_xll.ciqfunctions.udf.CIQ(InputTicker, "IQ_OTHER_CA_SUPPL",Input!K$2,Date,,,Ccy,Conv)</f>
        <v>10832</v>
      </c>
      <c r="J296" s="4">
        <f>_xll.ciqfunctions.udf.CIQ(InputTicker, "IQ_OTHER_CA_SUPPL",Input!L$2,Date,,,Ccy,Conv)</f>
        <v>12613</v>
      </c>
      <c r="K296" s="4">
        <f>_xll.ciqfunctions.udf.CIQ(InputTicker, "IQ_OTHER_CA_SUPPL",Input!M$2,Date,,,Ccy,Conv)</f>
        <v>15521</v>
      </c>
      <c r="L296" s="4">
        <f>_xll.ciqfunctions.udf.CIQ(InputTicker, "IQ_OTHER_CA_SUPPL",Input!N$2,Date,,,Ccy,Conv)</f>
        <v>17523</v>
      </c>
      <c r="M296" s="4">
        <f>_xll.ciqfunctions.udf.CIQ(InputTicker, "IQ_OTHER_CA_SUPPL",Input!O$2,Date,,,Ccy,Conv)</f>
        <v>18041</v>
      </c>
      <c r="N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  <c r="BA296" s="42"/>
      <c r="BB296" s="42"/>
      <c r="BC296" s="42"/>
      <c r="BD296" s="42"/>
      <c r="BE296" s="42"/>
      <c r="BF296" s="42"/>
      <c r="BG296" s="42"/>
      <c r="BH296" s="42"/>
      <c r="BI296" s="42"/>
      <c r="BJ296" s="42"/>
      <c r="BK296" s="42"/>
      <c r="BL296" s="42"/>
      <c r="BM296" s="42"/>
      <c r="BN296" s="42"/>
    </row>
    <row r="297" spans="1:66" ht="12.75" customHeight="1" x14ac:dyDescent="0.2">
      <c r="A297" s="5" t="s">
        <v>45</v>
      </c>
      <c r="B297" s="6">
        <f>_xll.ciqfunctions.udf.CIQ(InputTicker, "IQ_TOTAL_CA",Input!D$2,Date,,,Ccy,Conv)</f>
        <v>122797</v>
      </c>
      <c r="C297" s="6">
        <f>_xll.ciqfunctions.udf.CIQ(InputTicker, "IQ_TOTAL_CA",Input!E$2,Date,,,Ccy,Conv)</f>
        <v>139660</v>
      </c>
      <c r="D297" s="6">
        <f>_xll.ciqfunctions.udf.CIQ(InputTicker, "IQ_TOTAL_CA",Input!F$2,Date,,,Ccy,Conv)</f>
        <v>162696</v>
      </c>
      <c r="E297" s="6">
        <f>_xll.ciqfunctions.udf.CIQ(InputTicker, "IQ_TOTAL_CA",Input!G$2,Date,,,Ccy,Conv)</f>
        <v>169662</v>
      </c>
      <c r="F297" s="6">
        <f>_xll.ciqfunctions.udf.CIQ(InputTicker, "IQ_TOTAL_CA",Input!H$2,Date,,,Ccy,Conv)</f>
        <v>175552</v>
      </c>
      <c r="G297" s="6">
        <f>_xll.ciqfunctions.udf.CIQ(InputTicker, "IQ_TOTAL_CA",Input!I$2,Date,,,Ccy,Conv)</f>
        <v>181915</v>
      </c>
      <c r="H297" s="6">
        <f>_xll.ciqfunctions.udf.CIQ(InputTicker, "IQ_TOTAL_CA",Input!J$2,Date,,,Ccy,Conv)</f>
        <v>184406</v>
      </c>
      <c r="I297" s="6">
        <f>_xll.ciqfunctions.udf.CIQ(InputTicker, "IQ_TOTAL_CA",Input!K$2,Date,,,Ccy,Conv)</f>
        <v>169684</v>
      </c>
      <c r="J297" s="6">
        <f>_xll.ciqfunctions.udf.CIQ(InputTicker, "IQ_TOTAL_CA",Input!L$2,Date,,,Ccy,Conv)</f>
        <v>184257</v>
      </c>
      <c r="K297" s="6">
        <f>_xll.ciqfunctions.udf.CIQ(InputTicker, "IQ_TOTAL_CA",Input!M$2,Date,,,Ccy,Conv)</f>
        <v>159734</v>
      </c>
      <c r="L297" s="6">
        <f>_xll.ciqfunctions.udf.CIQ(InputTicker, "IQ_TOTAL_CA",Input!N$2,Date,,,Ccy,Conv)</f>
        <v>191131</v>
      </c>
      <c r="M297" s="6">
        <f>_xll.ciqfunctions.udf.CIQ(InputTicker, "IQ_TOTAL_CA",Input!O$2,Date,,,Ccy,Conv)</f>
        <v>175329</v>
      </c>
      <c r="N297" s="46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  <c r="AV297" s="42"/>
      <c r="AW297" s="42"/>
      <c r="AX297" s="42"/>
      <c r="AY297" s="42"/>
      <c r="AZ297" s="42"/>
      <c r="BA297" s="42"/>
      <c r="BB297" s="42"/>
      <c r="BC297" s="42"/>
      <c r="BD297" s="42"/>
      <c r="BE297" s="42"/>
      <c r="BF297" s="42"/>
      <c r="BG297" s="42"/>
      <c r="BH297" s="42"/>
      <c r="BI297" s="42"/>
      <c r="BJ297" s="42"/>
      <c r="BK297" s="42"/>
      <c r="BL297" s="42"/>
      <c r="BM297" s="42"/>
      <c r="BN297" s="42"/>
    </row>
    <row r="298" spans="1:66" ht="12.75" customHeight="1" x14ac:dyDescent="0.2">
      <c r="A298" s="1" t="s">
        <v>92</v>
      </c>
      <c r="B298" s="4">
        <f>_xll.ciqfunctions.udf.CIQ(InputTicker, "IQ_GPPE",Input!D$2,Date,,,Ccy,Conv)</f>
        <v>32337</v>
      </c>
      <c r="C298" s="4">
        <f>_xll.ciqfunctions.udf.CIQ(InputTicker, "IQ_GPPE",Input!E$2,Date,,,Ccy,Conv)</f>
        <v>38156</v>
      </c>
      <c r="D298" s="4">
        <f>_xll.ciqfunctions.udf.CIQ(InputTicker, "IQ_GPPE",Input!F$2,Date,,,Ccy,Conv)</f>
        <v>54468</v>
      </c>
      <c r="E298" s="4">
        <f>_xll.ciqfunctions.udf.CIQ(InputTicker, "IQ_GPPE",Input!G$2,Date,,,Ccy,Conv)</f>
        <v>65369</v>
      </c>
      <c r="F298" s="4">
        <f>_xll.ciqfunctions.udf.CIQ(InputTicker, "IQ_GPPE",Input!H$2,Date,,,Ccy,Conv)</f>
        <v>79186</v>
      </c>
      <c r="G298" s="4">
        <f>_xll.ciqfunctions.udf.CIQ(InputTicker, "IQ_GPPE",Input!I$2,Date,,,Ccy,Conv)</f>
        <v>96101</v>
      </c>
      <c r="H298" s="4">
        <f>_xll.ciqfunctions.udf.CIQ(InputTicker, "IQ_GPPE",Input!J$2,Date,,,Ccy,Conv)</f>
        <v>122154</v>
      </c>
      <c r="I298" s="4">
        <f>_xll.ciqfunctions.udf.CIQ(InputTicker, "IQ_GPPE",Input!K$2,Date,,,Ccy,Conv)</f>
        <v>147206</v>
      </c>
      <c r="J298" s="4">
        <f>_xll.ciqfunctions.udf.CIQ(InputTicker, "IQ_GPPE",Input!L$2,Date,,,Ccy,Conv)</f>
        <v>178238</v>
      </c>
      <c r="K298" s="4">
        <f>_xll.ciqfunctions.udf.CIQ(InputTicker, "IQ_GPPE",Input!M$2,Date,,,Ccy,Conv)</f>
        <v>230973</v>
      </c>
      <c r="L298" s="4">
        <f>_xll.ciqfunctions.udf.CIQ(InputTicker, "IQ_GPPE",Input!N$2,Date,,,Ccy,Conv)</f>
        <v>323442</v>
      </c>
      <c r="M298" s="4">
        <f>_xll.ciqfunctions.udf.CIQ(InputTicker, "IQ_GPPE",Input!O$2,Date,,,Ccy,Conv)</f>
        <v>419354</v>
      </c>
      <c r="N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2"/>
      <c r="AL298" s="42"/>
      <c r="AM298" s="42"/>
      <c r="AN298" s="42"/>
      <c r="AO298" s="42"/>
      <c r="AP298" s="42"/>
      <c r="AQ298" s="42"/>
      <c r="AR298" s="42"/>
      <c r="AS298" s="42"/>
      <c r="AT298" s="42"/>
      <c r="AU298" s="42"/>
      <c r="AV298" s="42"/>
      <c r="AW298" s="42"/>
      <c r="AX298" s="42"/>
      <c r="AY298" s="42"/>
      <c r="AZ298" s="42"/>
      <c r="BA298" s="42"/>
      <c r="BB298" s="42"/>
      <c r="BC298" s="42"/>
      <c r="BD298" s="42"/>
      <c r="BE298" s="42"/>
      <c r="BF298" s="42"/>
      <c r="BG298" s="42"/>
      <c r="BH298" s="42"/>
      <c r="BI298" s="42"/>
      <c r="BJ298" s="42"/>
      <c r="BK298" s="42"/>
      <c r="BL298" s="42"/>
      <c r="BM298" s="42"/>
      <c r="BN298" s="42"/>
    </row>
    <row r="299" spans="1:66" ht="12.75" customHeight="1" x14ac:dyDescent="0.2">
      <c r="A299" s="1" t="s">
        <v>93</v>
      </c>
      <c r="B299" s="4">
        <f>_xll.ciqfunctions.udf.CIQ(InputTicker, "IQ_AD",Input!D$2,Date,,,Ccy,Conv)</f>
        <v>-17606</v>
      </c>
      <c r="C299" s="4">
        <f>_xll.ciqfunctions.udf.CIQ(InputTicker, "IQ_AD",Input!E$2,Date,,,Ccy,Conv)</f>
        <v>-19800</v>
      </c>
      <c r="D299" s="4">
        <f>_xll.ciqfunctions.udf.CIQ(InputTicker, "IQ_AD",Input!F$2,Date,,,Ccy,Conv)</f>
        <v>-24179</v>
      </c>
      <c r="E299" s="4">
        <f>_xll.ciqfunctions.udf.CIQ(InputTicker, "IQ_AD",Input!G$2,Date,,,Ccy,Conv)</f>
        <v>-29223</v>
      </c>
      <c r="F299" s="4">
        <f>_xll.ciqfunctions.udf.CIQ(InputTicker, "IQ_AD",Input!H$2,Date,,,Ccy,Conv)</f>
        <v>-35330</v>
      </c>
      <c r="G299" s="4">
        <f>_xll.ciqfunctions.udf.CIQ(InputTicker, "IQ_AD",Input!I$2,Date,,,Ccy,Conv)</f>
        <v>-43197</v>
      </c>
      <c r="H299" s="4">
        <f>_xll.ciqfunctions.udf.CIQ(InputTicker, "IQ_AD",Input!J$2,Date,,,Ccy,Conv)</f>
        <v>-51351</v>
      </c>
      <c r="I299" s="4">
        <f>_xll.ciqfunctions.udf.CIQ(InputTicker, "IQ_AD",Input!K$2,Date,,,Ccy,Conv)</f>
        <v>-59660</v>
      </c>
      <c r="J299" s="4">
        <f>_xll.ciqfunctions.udf.CIQ(InputTicker, "IQ_AD",Input!L$2,Date,,,Ccy,Conv)</f>
        <v>-68251</v>
      </c>
      <c r="K299" s="4">
        <f>_xll.ciqfunctions.udf.CIQ(InputTicker, "IQ_AD",Input!M$2,Date,,,Ccy,Conv)</f>
        <v>-76421</v>
      </c>
      <c r="L299" s="4">
        <f>_xll.ciqfunctions.udf.CIQ(InputTicker, "IQ_AD",Input!N$2,Date,,,Ccy,Conv)</f>
        <v>-93653</v>
      </c>
      <c r="M299" s="4">
        <f>_xll.ciqfunctions.udf.CIQ(InputTicker, "IQ_AD",Input!O$2,Date,,,Ccy,Conv)</f>
        <v>-111723</v>
      </c>
      <c r="N299" s="42"/>
      <c r="T299" s="46"/>
      <c r="U299" s="46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2"/>
      <c r="AL299" s="42"/>
      <c r="AM299" s="42"/>
      <c r="AN299" s="42"/>
      <c r="AO299" s="42"/>
      <c r="AP299" s="42"/>
      <c r="AQ299" s="42"/>
      <c r="AR299" s="42"/>
      <c r="AS299" s="42"/>
      <c r="AT299" s="42"/>
      <c r="AU299" s="42"/>
      <c r="AV299" s="42"/>
      <c r="AW299" s="42"/>
      <c r="AX299" s="42"/>
      <c r="AY299" s="42"/>
      <c r="AZ299" s="42"/>
      <c r="BA299" s="42"/>
      <c r="BB299" s="42"/>
      <c r="BC299" s="42"/>
      <c r="BD299" s="42"/>
      <c r="BE299" s="42"/>
      <c r="BF299" s="42"/>
      <c r="BG299" s="42"/>
      <c r="BH299" s="42"/>
      <c r="BI299" s="42"/>
      <c r="BJ299" s="42"/>
      <c r="BK299" s="42"/>
      <c r="BL299" s="42"/>
      <c r="BM299" s="42"/>
      <c r="BN299" s="42"/>
    </row>
    <row r="300" spans="1:66" ht="12.75" customHeight="1" x14ac:dyDescent="0.2">
      <c r="A300" s="5" t="s">
        <v>94</v>
      </c>
      <c r="B300" s="6">
        <f>_xll.ciqfunctions.udf.CIQ(InputTicker, "IQ_NPPE",Input!D$2,Date,,,Ccy,Conv)</f>
        <v>14731</v>
      </c>
      <c r="C300" s="6">
        <f>_xll.ciqfunctions.udf.CIQ(InputTicker, "IQ_NPPE",Input!E$2,Date,,,Ccy,Conv)</f>
        <v>18356</v>
      </c>
      <c r="D300" s="6">
        <f>_xll.ciqfunctions.udf.CIQ(InputTicker, "IQ_NPPE",Input!F$2,Date,,,Ccy,Conv)</f>
        <v>30289</v>
      </c>
      <c r="E300" s="6">
        <f>_xll.ciqfunctions.udf.CIQ(InputTicker, "IQ_NPPE",Input!G$2,Date,,,Ccy,Conv)</f>
        <v>36146</v>
      </c>
      <c r="F300" s="6">
        <f>_xll.ciqfunctions.udf.CIQ(InputTicker, "IQ_NPPE",Input!H$2,Date,,,Ccy,Conv)</f>
        <v>43856</v>
      </c>
      <c r="G300" s="6">
        <f>_xll.ciqfunctions.udf.CIQ(InputTicker, "IQ_NPPE",Input!I$2,Date,,,Ccy,Conv)</f>
        <v>52904</v>
      </c>
      <c r="H300" s="6">
        <f>_xll.ciqfunctions.udf.CIQ(InputTicker, "IQ_NPPE",Input!J$2,Date,,,Ccy,Conv)</f>
        <v>70803</v>
      </c>
      <c r="I300" s="6">
        <f>_xll.ciqfunctions.udf.CIQ(InputTicker, "IQ_NPPE",Input!K$2,Date,,,Ccy,Conv)</f>
        <v>87546</v>
      </c>
      <c r="J300" s="6">
        <f>_xll.ciqfunctions.udf.CIQ(InputTicker, "IQ_NPPE",Input!L$2,Date,,,Ccy,Conv)</f>
        <v>109987</v>
      </c>
      <c r="K300" s="6">
        <f>_xll.ciqfunctions.udf.CIQ(InputTicker, "IQ_NPPE",Input!M$2,Date,,,Ccy,Conv)</f>
        <v>154552</v>
      </c>
      <c r="L300" s="6">
        <f>_xll.ciqfunctions.udf.CIQ(InputTicker, "IQ_NPPE",Input!N$2,Date,,,Ccy,Conv)</f>
        <v>229789</v>
      </c>
      <c r="M300" s="6">
        <f>_xll.ciqfunctions.udf.CIQ(InputTicker, "IQ_NPPE",Input!O$2,Date,,,Ccy,Conv)</f>
        <v>307631</v>
      </c>
      <c r="N300" s="42"/>
      <c r="P300" s="46"/>
      <c r="Q300" s="46"/>
      <c r="R300" s="46"/>
      <c r="T300" s="42"/>
      <c r="U300" s="42"/>
      <c r="V300" s="46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2"/>
      <c r="AL300" s="42"/>
      <c r="AM300" s="42"/>
      <c r="AN300" s="42"/>
      <c r="AO300" s="42"/>
      <c r="AP300" s="42"/>
      <c r="AQ300" s="42"/>
      <c r="AR300" s="42"/>
      <c r="AS300" s="42"/>
      <c r="AT300" s="42"/>
      <c r="AU300" s="42"/>
      <c r="AV300" s="42"/>
      <c r="AW300" s="42"/>
      <c r="AX300" s="42"/>
      <c r="AY300" s="42"/>
      <c r="AZ300" s="42"/>
      <c r="BA300" s="42"/>
      <c r="BB300" s="42"/>
      <c r="BC300" s="42"/>
      <c r="BD300" s="42"/>
      <c r="BE300" s="42"/>
      <c r="BF300" s="42"/>
      <c r="BG300" s="42"/>
      <c r="BH300" s="42"/>
      <c r="BI300" s="42"/>
      <c r="BJ300" s="42"/>
      <c r="BK300" s="42"/>
      <c r="BL300" s="42"/>
      <c r="BM300" s="42"/>
      <c r="BN300" s="42"/>
    </row>
    <row r="301" spans="1:66" ht="12.75" customHeight="1" x14ac:dyDescent="0.2">
      <c r="A301" s="1" t="s">
        <v>176</v>
      </c>
      <c r="B301" s="4">
        <f>_xll.ciqfunctions.udf.CIQ(InputTicker, "IQ_LT_INVEST",Input!D$2,Date,,,Ccy,Conv)</f>
        <v>12053</v>
      </c>
      <c r="C301" s="4">
        <f>_xll.ciqfunctions.udf.CIQ(InputTicker, "IQ_LT_INVEST",Input!E$2,Date,,,Ccy,Conv)</f>
        <v>10438</v>
      </c>
      <c r="D301" s="4">
        <f>_xll.ciqfunctions.udf.CIQ(InputTicker, "IQ_LT_INVEST",Input!F$2,Date,,,Ccy,Conv)</f>
        <v>6023</v>
      </c>
      <c r="E301" s="4">
        <f>_xll.ciqfunctions.udf.CIQ(InputTicker, "IQ_LT_INVEST",Input!G$2,Date,,,Ccy,Conv)</f>
        <v>1862</v>
      </c>
      <c r="F301" s="4">
        <f>_xll.ciqfunctions.udf.CIQ(InputTicker, "IQ_LT_INVEST",Input!H$2,Date,,,Ccy,Conv)</f>
        <v>2649</v>
      </c>
      <c r="G301" s="4">
        <f>_xll.ciqfunctions.udf.CIQ(InputTicker, "IQ_LT_INVEST",Input!I$2,Date,,,Ccy,Conv)</f>
        <v>2965</v>
      </c>
      <c r="H301" s="4">
        <f>_xll.ciqfunctions.udf.CIQ(InputTicker, "IQ_LT_INVEST",Input!J$2,Date,,,Ccy,Conv)</f>
        <v>5984</v>
      </c>
      <c r="I301" s="4">
        <f>_xll.ciqfunctions.udf.CIQ(InputTicker, "IQ_LT_INVEST",Input!K$2,Date,,,Ccy,Conv)</f>
        <v>6891</v>
      </c>
      <c r="J301" s="4">
        <f>_xll.ciqfunctions.udf.CIQ(InputTicker, "IQ_LT_INVEST",Input!L$2,Date,,,Ccy,Conv)</f>
        <v>9879</v>
      </c>
      <c r="K301" s="4">
        <f>_xll.ciqfunctions.udf.CIQ(InputTicker, "IQ_LT_INVEST",Input!M$2,Date,,,Ccy,Conv)</f>
        <v>14600</v>
      </c>
      <c r="L301" s="4">
        <f>_xll.ciqfunctions.udf.CIQ(InputTicker, "IQ_LT_INVEST",Input!N$2,Date,,,Ccy,Conv)</f>
        <v>15405</v>
      </c>
      <c r="M301" s="4">
        <f>_xll.ciqfunctions.udf.CIQ(InputTicker, "IQ_LT_INVEST",Input!O$2,Date,,,Ccy,Conv)</f>
        <v>33683</v>
      </c>
      <c r="N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  <c r="AO301" s="42"/>
      <c r="AP301" s="42"/>
      <c r="AQ301" s="42"/>
      <c r="AR301" s="42"/>
      <c r="AS301" s="42"/>
      <c r="AT301" s="42"/>
      <c r="AU301" s="42"/>
      <c r="AV301" s="42"/>
      <c r="AW301" s="42"/>
      <c r="AX301" s="42"/>
      <c r="AY301" s="42"/>
      <c r="AZ301" s="42"/>
      <c r="BA301" s="42"/>
      <c r="BB301" s="42"/>
      <c r="BC301" s="42"/>
      <c r="BD301" s="42"/>
      <c r="BE301" s="42"/>
      <c r="BF301" s="42"/>
      <c r="BG301" s="42"/>
      <c r="BH301" s="42"/>
      <c r="BI301" s="42"/>
      <c r="BJ301" s="42"/>
      <c r="BK301" s="42"/>
      <c r="BL301" s="42"/>
      <c r="BM301" s="42"/>
      <c r="BN301" s="42"/>
    </row>
    <row r="302" spans="1:66" ht="12.75" customHeight="1" x14ac:dyDescent="0.2">
      <c r="A302" s="1" t="s">
        <v>56</v>
      </c>
      <c r="B302" s="4">
        <f>_xll.ciqfunctions.udf.CIQ(InputTicker, "IQ_GW",Input!D$2,Date,,,Ccy,Conv)</f>
        <v>16939</v>
      </c>
      <c r="C302" s="4">
        <f>_xll.ciqfunctions.udf.CIQ(InputTicker, "IQ_GW",Input!E$2,Date,,,Ccy,Conv)</f>
        <v>17872</v>
      </c>
      <c r="D302" s="4">
        <f>_xll.ciqfunctions.udf.CIQ(InputTicker, "IQ_GW",Input!F$2,Date,,,Ccy,Conv)</f>
        <v>35122</v>
      </c>
      <c r="E302" s="4">
        <f>_xll.ciqfunctions.udf.CIQ(InputTicker, "IQ_GW",Input!G$2,Date,,,Ccy,Conv)</f>
        <v>35683</v>
      </c>
      <c r="F302" s="4">
        <f>_xll.ciqfunctions.udf.CIQ(InputTicker, "IQ_GW",Input!H$2,Date,,,Ccy,Conv)</f>
        <v>42026</v>
      </c>
      <c r="G302" s="4">
        <f>_xll.ciqfunctions.udf.CIQ(InputTicker, "IQ_GW",Input!I$2,Date,,,Ccy,Conv)</f>
        <v>43351</v>
      </c>
      <c r="H302" s="4">
        <f>_xll.ciqfunctions.udf.CIQ(InputTicker, "IQ_GW",Input!J$2,Date,,,Ccy,Conv)</f>
        <v>49711</v>
      </c>
      <c r="I302" s="4">
        <f>_xll.ciqfunctions.udf.CIQ(InputTicker, "IQ_GW",Input!K$2,Date,,,Ccy,Conv)</f>
        <v>67524</v>
      </c>
      <c r="J302" s="4">
        <f>_xll.ciqfunctions.udf.CIQ(InputTicker, "IQ_GW",Input!L$2,Date,,,Ccy,Conv)</f>
        <v>67886</v>
      </c>
      <c r="K302" s="4">
        <f>_xll.ciqfunctions.udf.CIQ(InputTicker, "IQ_GW",Input!M$2,Date,,,Ccy,Conv)</f>
        <v>119220</v>
      </c>
      <c r="L302" s="4">
        <f>_xll.ciqfunctions.udf.CIQ(InputTicker, "IQ_GW",Input!N$2,Date,,,Ccy,Conv)</f>
        <v>119509</v>
      </c>
      <c r="M302" s="4">
        <f>_xll.ciqfunctions.udf.CIQ(InputTicker, "IQ_GW",Input!O$2,Date,,,Ccy,Conv)</f>
        <v>119661</v>
      </c>
      <c r="N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  <c r="BA302" s="42"/>
      <c r="BB302" s="42"/>
      <c r="BC302" s="42"/>
      <c r="BD302" s="42"/>
      <c r="BE302" s="42"/>
      <c r="BF302" s="42"/>
      <c r="BG302" s="42"/>
      <c r="BH302" s="42"/>
      <c r="BI302" s="42"/>
      <c r="BJ302" s="42"/>
      <c r="BK302" s="42"/>
      <c r="BL302" s="42"/>
      <c r="BM302" s="42"/>
      <c r="BN302" s="42"/>
    </row>
    <row r="303" spans="1:66" ht="12.75" customHeight="1" x14ac:dyDescent="0.2">
      <c r="A303" s="1" t="s">
        <v>95</v>
      </c>
      <c r="B303" s="4">
        <f>_xll.ciqfunctions.udf.CIQ(InputTicker, "IQ_OTHER_INTAN",Input!D$2,Date,,,Ccy,Conv)</f>
        <v>4835</v>
      </c>
      <c r="C303" s="4">
        <f>_xll.ciqfunctions.udf.CIQ(InputTicker, "IQ_OTHER_INTAN",Input!E$2,Date,,,Ccy,Conv)</f>
        <v>3733</v>
      </c>
      <c r="D303" s="4">
        <f>_xll.ciqfunctions.udf.CIQ(InputTicker, "IQ_OTHER_INTAN",Input!F$2,Date,,,Ccy,Conv)</f>
        <v>10106</v>
      </c>
      <c r="E303" s="4">
        <f>_xll.ciqfunctions.udf.CIQ(InputTicker, "IQ_OTHER_INTAN",Input!G$2,Date,,,Ccy,Conv)</f>
        <v>8053</v>
      </c>
      <c r="F303" s="4">
        <f>_xll.ciqfunctions.udf.CIQ(InputTicker, "IQ_OTHER_INTAN",Input!H$2,Date,,,Ccy,Conv)</f>
        <v>7750</v>
      </c>
      <c r="G303" s="4">
        <f>_xll.ciqfunctions.udf.CIQ(InputTicker, "IQ_OTHER_INTAN",Input!I$2,Date,,,Ccy,Conv)</f>
        <v>7038</v>
      </c>
      <c r="H303" s="4">
        <f>_xll.ciqfunctions.udf.CIQ(InputTicker, "IQ_OTHER_INTAN",Input!J$2,Date,,,Ccy,Conv)</f>
        <v>7800</v>
      </c>
      <c r="I303" s="4">
        <f>_xll.ciqfunctions.udf.CIQ(InputTicker, "IQ_OTHER_INTAN",Input!K$2,Date,,,Ccy,Conv)</f>
        <v>11298</v>
      </c>
      <c r="J303" s="4">
        <f>_xll.ciqfunctions.udf.CIQ(InputTicker, "IQ_OTHER_INTAN",Input!L$2,Date,,,Ccy,Conv)</f>
        <v>9366</v>
      </c>
      <c r="K303" s="4">
        <f>_xll.ciqfunctions.udf.CIQ(InputTicker, "IQ_OTHER_INTAN",Input!M$2,Date,,,Ccy,Conv)</f>
        <v>27597</v>
      </c>
      <c r="L303" s="4">
        <f>_xll.ciqfunctions.udf.CIQ(InputTicker, "IQ_OTHER_INTAN",Input!N$2,Date,,,Ccy,Conv)</f>
        <v>22604</v>
      </c>
      <c r="M303" s="4">
        <f>_xll.ciqfunctions.udf.CIQ(InputTicker, "IQ_OTHER_INTAN",Input!O$2,Date,,,Ccy,Conv)</f>
        <v>19325</v>
      </c>
      <c r="N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  <c r="AK303" s="42"/>
      <c r="AL303" s="42"/>
      <c r="AM303" s="42"/>
      <c r="AN303" s="42"/>
      <c r="AO303" s="42"/>
      <c r="AP303" s="42"/>
      <c r="AQ303" s="42"/>
      <c r="AR303" s="42"/>
      <c r="AS303" s="42"/>
      <c r="AT303" s="42"/>
      <c r="AU303" s="42"/>
      <c r="AV303" s="42"/>
      <c r="AW303" s="42"/>
      <c r="AX303" s="42"/>
      <c r="AY303" s="42"/>
      <c r="AZ303" s="42"/>
      <c r="BA303" s="42"/>
      <c r="BB303" s="42"/>
      <c r="BC303" s="42"/>
      <c r="BD303" s="42"/>
      <c r="BE303" s="42"/>
      <c r="BF303" s="42"/>
      <c r="BG303" s="42"/>
      <c r="BH303" s="42"/>
      <c r="BI303" s="42"/>
      <c r="BJ303" s="42"/>
      <c r="BK303" s="42"/>
      <c r="BL303" s="42"/>
      <c r="BM303" s="42"/>
      <c r="BN303" s="42"/>
    </row>
    <row r="304" spans="1:66" ht="12.75" customHeight="1" x14ac:dyDescent="0.2">
      <c r="A304" s="1" t="s">
        <v>177</v>
      </c>
      <c r="B304" s="4">
        <f>_xll.ciqfunctions.udf.CIQ(InputTicker, "IQ_FIN_DIV_LOANS_LT",Input!D$2,Date,,,Ccy,Conv)</f>
        <v>0</v>
      </c>
      <c r="C304" s="4">
        <f>_xll.ciqfunctions.udf.CIQ(InputTicker, "IQ_FIN_DIV_LOANS_LT",Input!E$2,Date,,,Ccy,Conv)</f>
        <v>0</v>
      </c>
      <c r="D304" s="4">
        <f>_xll.ciqfunctions.udf.CIQ(InputTicker, "IQ_FIN_DIV_LOANS_LT",Input!F$2,Date,,,Ccy,Conv)</f>
        <v>0</v>
      </c>
      <c r="E304" s="4">
        <f>_xll.ciqfunctions.udf.CIQ(InputTicker, "IQ_FIN_DIV_LOANS_LT",Input!G$2,Date,,,Ccy,Conv)</f>
        <v>0</v>
      </c>
      <c r="F304" s="4">
        <f>_xll.ciqfunctions.udf.CIQ(InputTicker, "IQ_FIN_DIV_LOANS_LT",Input!H$2,Date,,,Ccy,Conv)</f>
        <v>0</v>
      </c>
      <c r="G304" s="4">
        <f>_xll.ciqfunctions.udf.CIQ(InputTicker, "IQ_FIN_DIV_LOANS_LT",Input!I$2,Date,,,Ccy,Conv)</f>
        <v>0</v>
      </c>
      <c r="H304" s="4">
        <f>_xll.ciqfunctions.udf.CIQ(InputTicker, "IQ_FIN_DIV_LOANS_LT",Input!J$2,Date,,,Ccy,Conv)</f>
        <v>0</v>
      </c>
      <c r="I304" s="4">
        <f>_xll.ciqfunctions.udf.CIQ(InputTicker, "IQ_FIN_DIV_LOANS_LT",Input!K$2,Date,,,Ccy,Conv)</f>
        <v>0</v>
      </c>
      <c r="J304" s="4">
        <f>_xll.ciqfunctions.udf.CIQ(InputTicker, "IQ_FIN_DIV_LOANS_LT",Input!L$2,Date,,,Ccy,Conv)</f>
        <v>0</v>
      </c>
      <c r="K304" s="4">
        <f>_xll.ciqfunctions.udf.CIQ(InputTicker, "IQ_FIN_DIV_LOANS_LT",Input!M$2,Date,,,Ccy,Conv)</f>
        <v>0</v>
      </c>
      <c r="L304" s="4">
        <f>_xll.ciqfunctions.udf.CIQ(InputTicker, "IQ_FIN_DIV_LOANS_LT",Input!N$2,Date,,,Ccy,Conv)</f>
        <v>0</v>
      </c>
      <c r="M304" s="4">
        <f>_xll.ciqfunctions.udf.CIQ(InputTicker, "IQ_FIN_DIV_LOANS_LT",Input!O$2,Date,,,Ccy,Conv)</f>
        <v>0</v>
      </c>
      <c r="N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  <c r="AK304" s="42"/>
      <c r="AL304" s="42"/>
      <c r="AM304" s="42"/>
      <c r="AN304" s="42"/>
      <c r="AO304" s="42"/>
      <c r="AP304" s="42"/>
      <c r="AQ304" s="42"/>
      <c r="AR304" s="42"/>
      <c r="AS304" s="42"/>
      <c r="AT304" s="42"/>
      <c r="AU304" s="42"/>
      <c r="AV304" s="42"/>
      <c r="AW304" s="42"/>
      <c r="AX304" s="42"/>
      <c r="AY304" s="42"/>
      <c r="AZ304" s="42"/>
      <c r="BA304" s="42"/>
      <c r="BB304" s="42"/>
      <c r="BC304" s="42"/>
      <c r="BD304" s="42"/>
      <c r="BE304" s="42"/>
      <c r="BF304" s="42"/>
      <c r="BG304" s="42"/>
      <c r="BH304" s="42"/>
      <c r="BI304" s="42"/>
      <c r="BJ304" s="42"/>
      <c r="BK304" s="42"/>
      <c r="BL304" s="42"/>
      <c r="BM304" s="42"/>
      <c r="BN304" s="42"/>
    </row>
    <row r="305" spans="1:66" ht="12.75" customHeight="1" x14ac:dyDescent="0.2">
      <c r="A305" s="1" t="s">
        <v>178</v>
      </c>
      <c r="B305" s="4">
        <f>_xll.ciqfunctions.udf.CIQ(InputTicker, "IQ_FIN_DIV_ASSETS_LT",Input!D$2,Date,,,Ccy,Conv)</f>
        <v>0</v>
      </c>
      <c r="C305" s="4">
        <f>_xll.ciqfunctions.udf.CIQ(InputTicker, "IQ_FIN_DIV_ASSETS_LT",Input!E$2,Date,,,Ccy,Conv)</f>
        <v>0</v>
      </c>
      <c r="D305" s="4">
        <f>_xll.ciqfunctions.udf.CIQ(InputTicker, "IQ_FIN_DIV_ASSETS_LT",Input!F$2,Date,,,Ccy,Conv)</f>
        <v>0</v>
      </c>
      <c r="E305" s="4">
        <f>_xll.ciqfunctions.udf.CIQ(InputTicker, "IQ_FIN_DIV_ASSETS_LT",Input!G$2,Date,,,Ccy,Conv)</f>
        <v>0</v>
      </c>
      <c r="F305" s="4">
        <f>_xll.ciqfunctions.udf.CIQ(InputTicker, "IQ_FIN_DIV_ASSETS_LT",Input!H$2,Date,,,Ccy,Conv)</f>
        <v>0</v>
      </c>
      <c r="G305" s="4">
        <f>_xll.ciqfunctions.udf.CIQ(InputTicker, "IQ_FIN_DIV_ASSETS_LT",Input!I$2,Date,,,Ccy,Conv)</f>
        <v>0</v>
      </c>
      <c r="H305" s="4">
        <f>_xll.ciqfunctions.udf.CIQ(InputTicker, "IQ_FIN_DIV_ASSETS_LT",Input!J$2,Date,,,Ccy,Conv)</f>
        <v>0</v>
      </c>
      <c r="I305" s="4">
        <f>_xll.ciqfunctions.udf.CIQ(InputTicker, "IQ_FIN_DIV_ASSETS_LT",Input!K$2,Date,,,Ccy,Conv)</f>
        <v>0</v>
      </c>
      <c r="J305" s="4">
        <f>_xll.ciqfunctions.udf.CIQ(InputTicker, "IQ_FIN_DIV_ASSETS_LT",Input!L$2,Date,,,Ccy,Conv)</f>
        <v>0</v>
      </c>
      <c r="K305" s="4">
        <f>_xll.ciqfunctions.udf.CIQ(InputTicker, "IQ_FIN_DIV_ASSETS_LT",Input!M$2,Date,,,Ccy,Conv)</f>
        <v>0</v>
      </c>
      <c r="L305" s="4">
        <f>_xll.ciqfunctions.udf.CIQ(InputTicker, "IQ_FIN_DIV_ASSETS_LT",Input!N$2,Date,,,Ccy,Conv)</f>
        <v>0</v>
      </c>
      <c r="M305" s="4">
        <f>_xll.ciqfunctions.udf.CIQ(InputTicker, "IQ_FIN_DIV_ASSETS_LT",Input!O$2,Date,,,Ccy,Conv)</f>
        <v>0</v>
      </c>
      <c r="N305" s="46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  <c r="AN305" s="42"/>
      <c r="AO305" s="42"/>
      <c r="AP305" s="42"/>
      <c r="AQ305" s="42"/>
      <c r="AR305" s="42"/>
      <c r="AS305" s="42"/>
      <c r="AT305" s="42"/>
      <c r="AU305" s="42"/>
      <c r="AV305" s="42"/>
      <c r="AW305" s="42"/>
      <c r="AX305" s="42"/>
      <c r="AY305" s="42"/>
      <c r="AZ305" s="42"/>
      <c r="BA305" s="42"/>
      <c r="BB305" s="42"/>
      <c r="BC305" s="42"/>
      <c r="BD305" s="42"/>
      <c r="BE305" s="42"/>
      <c r="BF305" s="42"/>
      <c r="BG305" s="42"/>
      <c r="BH305" s="42"/>
      <c r="BI305" s="42"/>
      <c r="BJ305" s="42"/>
      <c r="BK305" s="42"/>
      <c r="BL305" s="42"/>
      <c r="BM305" s="42"/>
      <c r="BN305" s="42"/>
    </row>
    <row r="306" spans="1:66" ht="12.75" customHeight="1" x14ac:dyDescent="0.2">
      <c r="A306" s="1" t="s">
        <v>179</v>
      </c>
      <c r="B306" s="4">
        <f>_xll.ciqfunctions.udf.CIQ(InputTicker, "IQ_AR_LT",Input!D$2,Date,,,Ccy,Conv)</f>
        <v>0</v>
      </c>
      <c r="C306" s="4">
        <f>_xll.ciqfunctions.udf.CIQ(InputTicker, "IQ_AR_LT",Input!E$2,Date,,,Ccy,Conv)</f>
        <v>0</v>
      </c>
      <c r="D306" s="4">
        <f>_xll.ciqfunctions.udf.CIQ(InputTicker, "IQ_AR_LT",Input!F$2,Date,,,Ccy,Conv)</f>
        <v>1700</v>
      </c>
      <c r="E306" s="4">
        <f>_xll.ciqfunctions.udf.CIQ(InputTicker, "IQ_AR_LT",Input!G$2,Date,,,Ccy,Conv)</f>
        <v>1800</v>
      </c>
      <c r="F306" s="4">
        <f>_xll.ciqfunctions.udf.CIQ(InputTicker, "IQ_AR_LT",Input!H$2,Date,,,Ccy,Conv)</f>
        <v>2200</v>
      </c>
      <c r="G306" s="4">
        <f>_xll.ciqfunctions.udf.CIQ(InputTicker, "IQ_AR_LT",Input!I$2,Date,,,Ccy,Conv)</f>
        <v>2700</v>
      </c>
      <c r="H306" s="4">
        <f>_xll.ciqfunctions.udf.CIQ(InputTicker, "IQ_AR_LT",Input!J$2,Date,,,Ccy,Conv)</f>
        <v>3400</v>
      </c>
      <c r="I306" s="4">
        <f>_xll.ciqfunctions.udf.CIQ(InputTicker, "IQ_AR_LT",Input!K$2,Date,,,Ccy,Conv)</f>
        <v>3800</v>
      </c>
      <c r="J306" s="4">
        <f>_xll.ciqfunctions.udf.CIQ(InputTicker, "IQ_AR_LT",Input!L$2,Date,,,Ccy,Conv)</f>
        <v>4500</v>
      </c>
      <c r="K306" s="4">
        <f>_xll.ciqfunctions.udf.CIQ(InputTicker, "IQ_AR_LT",Input!M$2,Date,,,Ccy,Conv)</f>
        <v>4900</v>
      </c>
      <c r="L306" s="4">
        <f>_xll.ciqfunctions.udf.CIQ(InputTicker, "IQ_AR_LT",Input!N$2,Date,,,Ccy,Conv)</f>
        <v>5200</v>
      </c>
      <c r="M306" s="4">
        <f>_xll.ciqfunctions.udf.CIQ(InputTicker, "IQ_AR_LT",Input!O$2,Date,,,Ccy,Conv)</f>
        <v>5100</v>
      </c>
      <c r="N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  <c r="AK306" s="42"/>
      <c r="AL306" s="42"/>
      <c r="AM306" s="42"/>
      <c r="AN306" s="42"/>
      <c r="AO306" s="42"/>
      <c r="AP306" s="42"/>
      <c r="AQ306" s="42"/>
      <c r="AR306" s="42"/>
      <c r="AS306" s="42"/>
      <c r="AT306" s="42"/>
      <c r="AU306" s="42"/>
      <c r="AV306" s="42"/>
      <c r="AW306" s="42"/>
      <c r="AX306" s="42"/>
      <c r="AY306" s="42"/>
      <c r="AZ306" s="42"/>
      <c r="BA306" s="42"/>
      <c r="BB306" s="42"/>
      <c r="BC306" s="42"/>
      <c r="BD306" s="42"/>
      <c r="BE306" s="42"/>
      <c r="BF306" s="42"/>
      <c r="BG306" s="42"/>
      <c r="BH306" s="42"/>
      <c r="BI306" s="42"/>
      <c r="BJ306" s="42"/>
      <c r="BK306" s="42"/>
      <c r="BL306" s="42"/>
      <c r="BM306" s="42"/>
      <c r="BN306" s="42"/>
    </row>
    <row r="307" spans="1:66" ht="12.75" customHeight="1" x14ac:dyDescent="0.2">
      <c r="A307" s="1" t="s">
        <v>132</v>
      </c>
      <c r="B307" s="4">
        <f>_xll.ciqfunctions.udf.CIQ(InputTicker, "IQ_LOANS_RECEIV_LT",Input!D$2,Date,,,Ccy,Conv)</f>
        <v>0</v>
      </c>
      <c r="C307" s="4">
        <f>_xll.ciqfunctions.udf.CIQ(InputTicker, "IQ_LOANS_RECEIV_LT",Input!E$2,Date,,,Ccy,Conv)</f>
        <v>0</v>
      </c>
      <c r="D307" s="4">
        <f>_xll.ciqfunctions.udf.CIQ(InputTicker, "IQ_LOANS_RECEIV_LT",Input!F$2,Date,,,Ccy,Conv)</f>
        <v>0</v>
      </c>
      <c r="E307" s="4">
        <f>_xll.ciqfunctions.udf.CIQ(InputTicker, "IQ_LOANS_RECEIV_LT",Input!G$2,Date,,,Ccy,Conv)</f>
        <v>0</v>
      </c>
      <c r="F307" s="4">
        <f>_xll.ciqfunctions.udf.CIQ(InputTicker, "IQ_LOANS_RECEIV_LT",Input!H$2,Date,,,Ccy,Conv)</f>
        <v>0</v>
      </c>
      <c r="G307" s="4">
        <f>_xll.ciqfunctions.udf.CIQ(InputTicker, "IQ_LOANS_RECEIV_LT",Input!I$2,Date,,,Ccy,Conv)</f>
        <v>0</v>
      </c>
      <c r="H307" s="4">
        <f>_xll.ciqfunctions.udf.CIQ(InputTicker, "IQ_LOANS_RECEIV_LT",Input!J$2,Date,,,Ccy,Conv)</f>
        <v>0</v>
      </c>
      <c r="I307" s="4">
        <f>_xll.ciqfunctions.udf.CIQ(InputTicker, "IQ_LOANS_RECEIV_LT",Input!K$2,Date,,,Ccy,Conv)</f>
        <v>0</v>
      </c>
      <c r="J307" s="4">
        <f>_xll.ciqfunctions.udf.CIQ(InputTicker, "IQ_LOANS_RECEIV_LT",Input!L$2,Date,,,Ccy,Conv)</f>
        <v>0</v>
      </c>
      <c r="K307" s="4">
        <f>_xll.ciqfunctions.udf.CIQ(InputTicker, "IQ_LOANS_RECEIV_LT",Input!M$2,Date,,,Ccy,Conv)</f>
        <v>0</v>
      </c>
      <c r="L307" s="4">
        <f>_xll.ciqfunctions.udf.CIQ(InputTicker, "IQ_LOANS_RECEIV_LT",Input!N$2,Date,,,Ccy,Conv)</f>
        <v>0</v>
      </c>
      <c r="M307" s="4">
        <f>_xll.ciqfunctions.udf.CIQ(InputTicker, "IQ_LOANS_RECEIV_LT",Input!O$2,Date,,,Ccy,Conv)</f>
        <v>0</v>
      </c>
      <c r="N307" s="42"/>
      <c r="S307" s="46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  <c r="AK307" s="42"/>
      <c r="AL307" s="42"/>
      <c r="AM307" s="42"/>
      <c r="AN307" s="42"/>
      <c r="AO307" s="42"/>
      <c r="AP307" s="42"/>
      <c r="AQ307" s="42"/>
      <c r="AR307" s="42"/>
      <c r="AS307" s="42"/>
      <c r="AT307" s="42"/>
      <c r="AU307" s="42"/>
      <c r="AV307" s="42"/>
      <c r="AW307" s="42"/>
      <c r="AX307" s="42"/>
      <c r="AY307" s="42"/>
      <c r="AZ307" s="42"/>
      <c r="BA307" s="42"/>
      <c r="BB307" s="42"/>
      <c r="BC307" s="42"/>
      <c r="BD307" s="42"/>
      <c r="BE307" s="42"/>
      <c r="BF307" s="42"/>
      <c r="BG307" s="42"/>
      <c r="BH307" s="42"/>
      <c r="BI307" s="42"/>
      <c r="BJ307" s="42"/>
      <c r="BK307" s="42"/>
      <c r="BL307" s="42"/>
      <c r="BM307" s="42"/>
      <c r="BN307" s="42"/>
    </row>
    <row r="308" spans="1:66" ht="12.75" customHeight="1" x14ac:dyDescent="0.2">
      <c r="A308" s="1" t="s">
        <v>133</v>
      </c>
      <c r="B308" s="4">
        <f>_xll.ciqfunctions.udf.CIQ(InputTicker, "IQ_DEF_TAX_ASSETS_LT",Input!D$2,Date,,,Ccy,Conv)</f>
        <v>228</v>
      </c>
      <c r="C308" s="4">
        <f>_xll.ciqfunctions.udf.CIQ(InputTicker, "IQ_DEF_TAX_ASSETS_LT",Input!E$2,Date,,,Ccy,Conv)</f>
        <v>219</v>
      </c>
      <c r="D308" s="4">
        <f>_xll.ciqfunctions.udf.CIQ(InputTicker, "IQ_DEF_TAX_ASSETS_LT",Input!F$2,Date,,,Ccy,Conv)</f>
        <v>248</v>
      </c>
      <c r="E308" s="4">
        <f>_xll.ciqfunctions.udf.CIQ(InputTicker, "IQ_DEF_TAX_ASSETS_LT",Input!G$2,Date,,,Ccy,Conv)</f>
        <v>1369</v>
      </c>
      <c r="F308" s="4">
        <f>_xll.ciqfunctions.udf.CIQ(InputTicker, "IQ_DEF_TAX_ASSETS_LT",Input!H$2,Date,,,Ccy,Conv)</f>
        <v>7536</v>
      </c>
      <c r="G308" s="4">
        <f>_xll.ciqfunctions.udf.CIQ(InputTicker, "IQ_DEF_TAX_ASSETS_LT",Input!I$2,Date,,,Ccy,Conv)</f>
        <v>6405</v>
      </c>
      <c r="H308" s="4">
        <f>_xll.ciqfunctions.udf.CIQ(InputTicker, "IQ_DEF_TAX_ASSETS_LT",Input!J$2,Date,,,Ccy,Conv)</f>
        <v>7181</v>
      </c>
      <c r="I308" s="4">
        <f>_xll.ciqfunctions.udf.CIQ(InputTicker, "IQ_DEF_TAX_ASSETS_LT",Input!K$2,Date,,,Ccy,Conv)</f>
        <v>13515</v>
      </c>
      <c r="J308" s="4">
        <f>_xll.ciqfunctions.udf.CIQ(InputTicker, "IQ_DEF_TAX_ASSETS_LT",Input!L$2,Date,,,Ccy,Conv)</f>
        <v>20163</v>
      </c>
      <c r="K308" s="4">
        <f>_xll.ciqfunctions.udf.CIQ(InputTicker, "IQ_DEF_TAX_ASSETS_LT",Input!M$2,Date,,,Ccy,Conv)</f>
        <v>22270</v>
      </c>
      <c r="L308" s="4">
        <f>_xll.ciqfunctions.udf.CIQ(InputTicker, "IQ_DEF_TAX_ASSETS_LT",Input!N$2,Date,,,Ccy,Conv)</f>
        <v>29108</v>
      </c>
      <c r="M308" s="4">
        <f>_xll.ciqfunctions.udf.CIQ(InputTicker, "IQ_DEF_TAX_ASSETS_LT",Input!O$2,Date,,,Ccy,Conv)</f>
        <v>0</v>
      </c>
      <c r="N308" s="46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  <c r="BA308" s="42"/>
      <c r="BB308" s="42"/>
      <c r="BC308" s="42"/>
      <c r="BD308" s="42"/>
      <c r="BE308" s="42"/>
      <c r="BF308" s="42"/>
      <c r="BG308" s="42"/>
      <c r="BH308" s="42"/>
      <c r="BI308" s="42"/>
      <c r="BJ308" s="42"/>
      <c r="BK308" s="42"/>
      <c r="BL308" s="42"/>
      <c r="BM308" s="42"/>
      <c r="BN308" s="42"/>
    </row>
    <row r="309" spans="1:66" ht="12.75" customHeight="1" x14ac:dyDescent="0.2">
      <c r="A309" s="1" t="s">
        <v>180</v>
      </c>
      <c r="B309" s="4">
        <f>_xll.ciqfunctions.udf.CIQ(InputTicker, "IQ_DEF_CHARGES_LT",Input!D$2,Date,,,Ccy,Conv)</f>
        <v>0</v>
      </c>
      <c r="C309" s="4">
        <f>_xll.ciqfunctions.udf.CIQ(InputTicker, "IQ_DEF_CHARGES_LT",Input!E$2,Date,,,Ccy,Conv)</f>
        <v>0</v>
      </c>
      <c r="D309" s="4">
        <f>_xll.ciqfunctions.udf.CIQ(InputTicker, "IQ_DEF_CHARGES_LT",Input!F$2,Date,,,Ccy,Conv)</f>
        <v>0</v>
      </c>
      <c r="E309" s="4">
        <f>_xll.ciqfunctions.udf.CIQ(InputTicker, "IQ_DEF_CHARGES_LT",Input!G$2,Date,,,Ccy,Conv)</f>
        <v>0</v>
      </c>
      <c r="F309" s="4">
        <f>_xll.ciqfunctions.udf.CIQ(InputTicker, "IQ_DEF_CHARGES_LT",Input!H$2,Date,,,Ccy,Conv)</f>
        <v>0</v>
      </c>
      <c r="G309" s="4">
        <f>_xll.ciqfunctions.udf.CIQ(InputTicker, "IQ_DEF_CHARGES_LT",Input!I$2,Date,,,Ccy,Conv)</f>
        <v>0</v>
      </c>
      <c r="H309" s="4">
        <f>_xll.ciqfunctions.udf.CIQ(InputTicker, "IQ_DEF_CHARGES_LT",Input!J$2,Date,,,Ccy,Conv)</f>
        <v>0</v>
      </c>
      <c r="I309" s="4">
        <f>_xll.ciqfunctions.udf.CIQ(InputTicker, "IQ_DEF_CHARGES_LT",Input!K$2,Date,,,Ccy,Conv)</f>
        <v>0</v>
      </c>
      <c r="J309" s="4">
        <f>_xll.ciqfunctions.udf.CIQ(InputTicker, "IQ_DEF_CHARGES_LT",Input!L$2,Date,,,Ccy,Conv)</f>
        <v>0</v>
      </c>
      <c r="K309" s="4">
        <f>_xll.ciqfunctions.udf.CIQ(InputTicker, "IQ_DEF_CHARGES_LT",Input!M$2,Date,,,Ccy,Conv)</f>
        <v>0</v>
      </c>
      <c r="L309" s="4">
        <f>_xll.ciqfunctions.udf.CIQ(InputTicker, "IQ_DEF_CHARGES_LT",Input!N$2,Date,,,Ccy,Conv)</f>
        <v>0</v>
      </c>
      <c r="M309" s="4">
        <f>_xll.ciqfunctions.udf.CIQ(InputTicker, "IQ_DEF_CHARGES_LT",Input!O$2,Date,,,Ccy,Conv)</f>
        <v>0</v>
      </c>
      <c r="N309" s="42"/>
      <c r="S309" s="46"/>
      <c r="T309" s="46"/>
      <c r="U309" s="46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  <c r="AN309" s="42"/>
      <c r="AO309" s="42"/>
      <c r="AP309" s="42"/>
      <c r="AQ309" s="42"/>
      <c r="AR309" s="42"/>
      <c r="AS309" s="42"/>
      <c r="AT309" s="42"/>
      <c r="AU309" s="42"/>
      <c r="AV309" s="42"/>
      <c r="AW309" s="42"/>
      <c r="AX309" s="42"/>
      <c r="AY309" s="42"/>
      <c r="AZ309" s="42"/>
      <c r="BA309" s="42"/>
      <c r="BB309" s="42"/>
      <c r="BC309" s="42"/>
      <c r="BD309" s="42"/>
      <c r="BE309" s="42"/>
      <c r="BF309" s="42"/>
      <c r="BG309" s="42"/>
      <c r="BH309" s="42"/>
      <c r="BI309" s="42"/>
      <c r="BJ309" s="42"/>
      <c r="BK309" s="42"/>
      <c r="BL309" s="42"/>
      <c r="BM309" s="42"/>
      <c r="BN309" s="42"/>
    </row>
    <row r="310" spans="1:66" ht="12.75" customHeight="1" x14ac:dyDescent="0.2">
      <c r="A310" s="1" t="s">
        <v>134</v>
      </c>
      <c r="B310" s="4">
        <f>_xll.ciqfunctions.udf.CIQ(InputTicker, "IQ_OTHER_LT_ASSETS",Input!D$2,Date,,,Ccy,Conv)</f>
        <v>2889</v>
      </c>
      <c r="C310" s="4">
        <f>_xll.ciqfunctions.udf.CIQ(InputTicker, "IQ_OTHER_LT_ASSETS",Input!E$2,Date,,,Ccy,Conv)</f>
        <v>3190</v>
      </c>
      <c r="D310" s="4">
        <f>_xll.ciqfunctions.udf.CIQ(InputTicker, "IQ_OTHER_LT_ASSETS",Input!F$2,Date,,,Ccy,Conv)</f>
        <v>4128</v>
      </c>
      <c r="E310" s="4">
        <f>_xll.ciqfunctions.udf.CIQ(InputTicker, "IQ_OTHER_LT_ASSETS",Input!G$2,Date,,,Ccy,Conv)</f>
        <v>4273</v>
      </c>
      <c r="F310" s="4">
        <f>_xll.ciqfunctions.udf.CIQ(InputTicker, "IQ_OTHER_LT_ASSETS",Input!H$2,Date,,,Ccy,Conv)</f>
        <v>4987</v>
      </c>
      <c r="G310" s="4">
        <f>_xll.ciqfunctions.udf.CIQ(InputTicker, "IQ_OTHER_LT_ASSETS",Input!I$2,Date,,,Ccy,Conv)</f>
        <v>4033</v>
      </c>
      <c r="H310" s="4">
        <f>_xll.ciqfunctions.udf.CIQ(InputTicker, "IQ_OTHER_LT_ASSETS",Input!J$2,Date,,,Ccy,Conv)</f>
        <v>4494</v>
      </c>
      <c r="I310" s="4">
        <f>_xll.ciqfunctions.udf.CIQ(InputTicker, "IQ_OTHER_LT_ASSETS",Input!K$2,Date,,,Ccy,Conv)</f>
        <v>4582</v>
      </c>
      <c r="J310" s="4">
        <f>_xll.ciqfunctions.udf.CIQ(InputTicker, "IQ_OTHER_LT_ASSETS",Input!L$2,Date,,,Ccy,Conv)</f>
        <v>5938</v>
      </c>
      <c r="K310" s="4">
        <f>_xll.ciqfunctions.udf.CIQ(InputTicker, "IQ_OTHER_LT_ASSETS",Input!M$2,Date,,,Ccy,Conv)</f>
        <v>9290</v>
      </c>
      <c r="L310" s="4">
        <f>_xll.ciqfunctions.udf.CIQ(InputTicker, "IQ_OTHER_LT_ASSETS",Input!N$2,Date,,,Ccy,Conv)</f>
        <v>6257</v>
      </c>
      <c r="M310" s="4">
        <f>_xll.ciqfunctions.udf.CIQ(InputTicker, "IQ_OTHER_LT_ASSETS",Input!O$2,Date,,,Ccy,Conv)</f>
        <v>33499</v>
      </c>
      <c r="N310" s="42"/>
      <c r="P310" s="46"/>
      <c r="Q310" s="46"/>
      <c r="R310" s="46"/>
      <c r="T310" s="42"/>
      <c r="U310" s="42"/>
      <c r="V310" s="46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  <c r="AK310" s="42"/>
      <c r="AL310" s="42"/>
      <c r="AM310" s="42"/>
      <c r="AN310" s="42"/>
      <c r="AO310" s="42"/>
      <c r="AP310" s="42"/>
      <c r="AQ310" s="42"/>
      <c r="AR310" s="42"/>
      <c r="AS310" s="42"/>
      <c r="AT310" s="42"/>
      <c r="AU310" s="42"/>
      <c r="AV310" s="42"/>
      <c r="AW310" s="42"/>
      <c r="AX310" s="42"/>
      <c r="AY310" s="42"/>
      <c r="AZ310" s="42"/>
      <c r="BA310" s="42"/>
      <c r="BB310" s="42"/>
      <c r="BC310" s="42"/>
      <c r="BD310" s="42"/>
      <c r="BE310" s="42"/>
      <c r="BF310" s="42"/>
      <c r="BG310" s="42"/>
      <c r="BH310" s="42"/>
      <c r="BI310" s="42"/>
      <c r="BJ310" s="42"/>
      <c r="BK310" s="42"/>
      <c r="BL310" s="42"/>
      <c r="BM310" s="42"/>
      <c r="BN310" s="42"/>
    </row>
    <row r="311" spans="1:66" ht="12.75" customHeight="1" thickBot="1" x14ac:dyDescent="0.25">
      <c r="A311" s="5" t="s">
        <v>267</v>
      </c>
      <c r="B311" s="9">
        <f>_xll.ciqfunctions.udf.CIQ(InputTicker, "IQ_TOTAL_ASSETS",Input!D$2,Date,,,Ccy,Conv)</f>
        <v>174472</v>
      </c>
      <c r="C311" s="9">
        <f>_xll.ciqfunctions.udf.CIQ(InputTicker, "IQ_TOTAL_ASSETS",Input!E$2,Date,,,Ccy,Conv)</f>
        <v>193468</v>
      </c>
      <c r="D311" s="9">
        <f>_xll.ciqfunctions.udf.CIQ(InputTicker, "IQ_TOTAL_ASSETS",Input!F$2,Date,,,Ccy,Conv)</f>
        <v>250312</v>
      </c>
      <c r="E311" s="9">
        <f>_xll.ciqfunctions.udf.CIQ(InputTicker, "IQ_TOTAL_ASSETS",Input!G$2,Date,,,Ccy,Conv)</f>
        <v>258848</v>
      </c>
      <c r="F311" s="9">
        <f>_xll.ciqfunctions.udf.CIQ(InputTicker, "IQ_TOTAL_ASSETS",Input!H$2,Date,,,Ccy,Conv)</f>
        <v>286556</v>
      </c>
      <c r="G311" s="9">
        <f>_xll.ciqfunctions.udf.CIQ(InputTicker, "IQ_TOTAL_ASSETS",Input!I$2,Date,,,Ccy,Conv)</f>
        <v>301311</v>
      </c>
      <c r="H311" s="9">
        <f>_xll.ciqfunctions.udf.CIQ(InputTicker, "IQ_TOTAL_ASSETS",Input!J$2,Date,,,Ccy,Conv)</f>
        <v>333779</v>
      </c>
      <c r="I311" s="9">
        <f>_xll.ciqfunctions.udf.CIQ(InputTicker, "IQ_TOTAL_ASSETS",Input!K$2,Date,,,Ccy,Conv)</f>
        <v>364840</v>
      </c>
      <c r="J311" s="9">
        <f>_xll.ciqfunctions.udf.CIQ(InputTicker, "IQ_TOTAL_ASSETS",Input!L$2,Date,,,Ccy,Conv)</f>
        <v>411976</v>
      </c>
      <c r="K311" s="9">
        <f>_xll.ciqfunctions.udf.CIQ(InputTicker, "IQ_TOTAL_ASSETS",Input!M$2,Date,,,Ccy,Conv)</f>
        <v>512163</v>
      </c>
      <c r="L311" s="9">
        <f>_xll.ciqfunctions.udf.CIQ(InputTicker, "IQ_TOTAL_ASSETS",Input!N$2,Date,,,Ccy,Conv)</f>
        <v>619003</v>
      </c>
      <c r="M311" s="9">
        <f>_xll.ciqfunctions.udf.CIQ(InputTicker, "IQ_TOTAL_ASSETS",Input!O$2,Date,,,Ccy,Conv)</f>
        <v>694228</v>
      </c>
      <c r="N311" s="42"/>
      <c r="T311" s="46"/>
      <c r="U311" s="46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  <c r="BA311" s="42"/>
      <c r="BB311" s="42"/>
      <c r="BC311" s="42"/>
      <c r="BD311" s="42"/>
      <c r="BE311" s="42"/>
      <c r="BF311" s="42"/>
      <c r="BG311" s="42"/>
      <c r="BH311" s="42"/>
      <c r="BI311" s="42"/>
      <c r="BJ311" s="42"/>
      <c r="BK311" s="42"/>
      <c r="BL311" s="42"/>
      <c r="BM311" s="42"/>
      <c r="BN311" s="42"/>
    </row>
    <row r="312" spans="1:66" ht="12.75" customHeight="1" thickTop="1" x14ac:dyDescent="0.2">
      <c r="A312" s="1" t="s">
        <v>50</v>
      </c>
      <c r="B312" s="4">
        <f>_xll.ciqfunctions.udf.CIQ(InputTicker, "IQ_AP",Input!D$2,Date,,,Ccy,Conv)</f>
        <v>6591</v>
      </c>
      <c r="C312" s="4">
        <f>_xll.ciqfunctions.udf.CIQ(InputTicker, "IQ_AP",Input!E$2,Date,,,Ccy,Conv)</f>
        <v>6898</v>
      </c>
      <c r="D312" s="4">
        <f>_xll.ciqfunctions.udf.CIQ(InputTicker, "IQ_AP",Input!F$2,Date,,,Ccy,Conv)</f>
        <v>7390</v>
      </c>
      <c r="E312" s="4">
        <f>_xll.ciqfunctions.udf.CIQ(InputTicker, "IQ_AP",Input!G$2,Date,,,Ccy,Conv)</f>
        <v>8617</v>
      </c>
      <c r="F312" s="4">
        <f>_xll.ciqfunctions.udf.CIQ(InputTicker, "IQ_AP",Input!H$2,Date,,,Ccy,Conv)</f>
        <v>9382</v>
      </c>
      <c r="G312" s="4">
        <f>_xll.ciqfunctions.udf.CIQ(InputTicker, "IQ_AP",Input!I$2,Date,,,Ccy,Conv)</f>
        <v>12530</v>
      </c>
      <c r="H312" s="4">
        <f>_xll.ciqfunctions.udf.CIQ(InputTicker, "IQ_AP",Input!J$2,Date,,,Ccy,Conv)</f>
        <v>15163</v>
      </c>
      <c r="I312" s="4">
        <f>_xll.ciqfunctions.udf.CIQ(InputTicker, "IQ_AP",Input!K$2,Date,,,Ccy,Conv)</f>
        <v>19000</v>
      </c>
      <c r="J312" s="4">
        <f>_xll.ciqfunctions.udf.CIQ(InputTicker, "IQ_AP",Input!L$2,Date,,,Ccy,Conv)</f>
        <v>18095</v>
      </c>
      <c r="K312" s="4">
        <f>_xll.ciqfunctions.udf.CIQ(InputTicker, "IQ_AP",Input!M$2,Date,,,Ccy,Conv)</f>
        <v>21996</v>
      </c>
      <c r="L312" s="4">
        <f>_xll.ciqfunctions.udf.CIQ(InputTicker, "IQ_AP",Input!N$2,Date,,,Ccy,Conv)</f>
        <v>27724</v>
      </c>
      <c r="M312" s="4">
        <f>_xll.ciqfunctions.udf.CIQ(InputTicker, "IQ_AP",Input!O$2,Date,,,Ccy,Conv)</f>
        <v>37513</v>
      </c>
      <c r="N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  <c r="AK312" s="42"/>
      <c r="AL312" s="42"/>
      <c r="AM312" s="42"/>
      <c r="AN312" s="42"/>
      <c r="AO312" s="42"/>
      <c r="AP312" s="42"/>
      <c r="AQ312" s="42"/>
      <c r="AR312" s="42"/>
      <c r="AS312" s="42"/>
      <c r="AT312" s="42"/>
      <c r="AU312" s="42"/>
      <c r="AV312" s="42"/>
      <c r="AW312" s="42"/>
      <c r="AX312" s="42"/>
      <c r="AY312" s="42"/>
      <c r="AZ312" s="42"/>
      <c r="BA312" s="42"/>
      <c r="BB312" s="42"/>
      <c r="BC312" s="42"/>
      <c r="BD312" s="42"/>
      <c r="BE312" s="42"/>
      <c r="BF312" s="42"/>
      <c r="BG312" s="42"/>
      <c r="BH312" s="42"/>
      <c r="BI312" s="42"/>
      <c r="BJ312" s="42"/>
      <c r="BK312" s="42"/>
      <c r="BL312" s="42"/>
      <c r="BM312" s="42"/>
      <c r="BN312" s="42"/>
    </row>
    <row r="313" spans="1:66" ht="12.75" customHeight="1" x14ac:dyDescent="0.2">
      <c r="A313" s="1" t="s">
        <v>96</v>
      </c>
      <c r="B313" s="4">
        <f>_xll.ciqfunctions.udf.CIQ(InputTicker, "IQ_AE",Input!D$2,Date,,,Ccy,Conv)</f>
        <v>5096</v>
      </c>
      <c r="C313" s="4">
        <f>_xll.ciqfunctions.udf.CIQ(InputTicker, "IQ_AE",Input!E$2,Date,,,Ccy,Conv)</f>
        <v>5264</v>
      </c>
      <c r="D313" s="4">
        <f>_xll.ciqfunctions.udf.CIQ(InputTicker, "IQ_AE",Input!F$2,Date,,,Ccy,Conv)</f>
        <v>5819</v>
      </c>
      <c r="E313" s="4">
        <f>_xll.ciqfunctions.udf.CIQ(InputTicker, "IQ_AE",Input!G$2,Date,,,Ccy,Conv)</f>
        <v>6103</v>
      </c>
      <c r="F313" s="4">
        <f>_xll.ciqfunctions.udf.CIQ(InputTicker, "IQ_AE",Input!H$2,Date,,,Ccy,Conv)</f>
        <v>6830</v>
      </c>
      <c r="G313" s="4">
        <f>_xll.ciqfunctions.udf.CIQ(InputTicker, "IQ_AE",Input!I$2,Date,,,Ccy,Conv)</f>
        <v>7874</v>
      </c>
      <c r="H313" s="4">
        <f>_xll.ciqfunctions.udf.CIQ(InputTicker, "IQ_AE",Input!J$2,Date,,,Ccy,Conv)</f>
        <v>10057</v>
      </c>
      <c r="I313" s="4">
        <f>_xll.ciqfunctions.udf.CIQ(InputTicker, "IQ_AE",Input!K$2,Date,,,Ccy,Conv)</f>
        <v>10661</v>
      </c>
      <c r="J313" s="4">
        <f>_xll.ciqfunctions.udf.CIQ(InputTicker, "IQ_AE",Input!L$2,Date,,,Ccy,Conv)</f>
        <v>11009</v>
      </c>
      <c r="K313" s="4">
        <f>_xll.ciqfunctions.udf.CIQ(InputTicker, "IQ_AE",Input!M$2,Date,,,Ccy,Conv)</f>
        <v>12564</v>
      </c>
      <c r="L313" s="4">
        <f>_xll.ciqfunctions.udf.CIQ(InputTicker, "IQ_AE",Input!N$2,Date,,,Ccy,Conv)</f>
        <v>13709</v>
      </c>
      <c r="M313" s="4">
        <f>_xll.ciqfunctions.udf.CIQ(InputTicker, "IQ_AE",Input!O$2,Date,,,Ccy,Conv)</f>
        <v>11270</v>
      </c>
      <c r="N313" s="42"/>
      <c r="T313" s="17"/>
      <c r="U313" s="17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  <c r="AK313" s="42"/>
      <c r="AL313" s="42"/>
      <c r="AM313" s="42"/>
      <c r="AN313" s="42"/>
      <c r="AO313" s="42"/>
      <c r="AP313" s="42"/>
      <c r="AQ313" s="42"/>
      <c r="AR313" s="42"/>
      <c r="AS313" s="42"/>
      <c r="AT313" s="42"/>
      <c r="AU313" s="42"/>
      <c r="AV313" s="42"/>
      <c r="AW313" s="42"/>
      <c r="AX313" s="42"/>
      <c r="AY313" s="42"/>
      <c r="AZ313" s="42"/>
      <c r="BA313" s="42"/>
      <c r="BB313" s="42"/>
      <c r="BC313" s="42"/>
      <c r="BD313" s="42"/>
      <c r="BE313" s="42"/>
      <c r="BF313" s="42"/>
      <c r="BG313" s="42"/>
      <c r="BH313" s="42"/>
      <c r="BI313" s="42"/>
      <c r="BJ313" s="42"/>
      <c r="BK313" s="42"/>
      <c r="BL313" s="42"/>
      <c r="BM313" s="42"/>
      <c r="BN313" s="42"/>
    </row>
    <row r="314" spans="1:66" ht="12.75" customHeight="1" x14ac:dyDescent="0.2">
      <c r="A314" s="1" t="s">
        <v>181</v>
      </c>
      <c r="B314" s="4">
        <f>_xll.ciqfunctions.udf.CIQ(InputTicker, "IQ_ST_DEBT",Input!D$2,Date,,,Ccy,Conv)</f>
        <v>5077</v>
      </c>
      <c r="C314" s="4">
        <f>_xll.ciqfunctions.udf.CIQ(InputTicker, "IQ_ST_DEBT",Input!E$2,Date,,,Ccy,Conv)</f>
        <v>13198</v>
      </c>
      <c r="D314" s="4">
        <f>_xll.ciqfunctions.udf.CIQ(InputTicker, "IQ_ST_DEBT",Input!F$2,Date,,,Ccy,Conv)</f>
        <v>9072</v>
      </c>
      <c r="E314" s="4">
        <f>_xll.ciqfunctions.udf.CIQ(InputTicker, "IQ_ST_DEBT",Input!G$2,Date,,,Ccy,Conv)</f>
        <v>0</v>
      </c>
      <c r="F314" s="4">
        <f>_xll.ciqfunctions.udf.CIQ(InputTicker, "IQ_ST_DEBT",Input!H$2,Date,,,Ccy,Conv)</f>
        <v>0</v>
      </c>
      <c r="G314" s="4">
        <f>_xll.ciqfunctions.udf.CIQ(InputTicker, "IQ_ST_DEBT",Input!I$2,Date,,,Ccy,Conv)</f>
        <v>0</v>
      </c>
      <c r="H314" s="4">
        <f>_xll.ciqfunctions.udf.CIQ(InputTicker, "IQ_ST_DEBT",Input!J$2,Date,,,Ccy,Conv)</f>
        <v>0</v>
      </c>
      <c r="I314" s="4">
        <f>_xll.ciqfunctions.udf.CIQ(InputTicker, "IQ_ST_DEBT",Input!K$2,Date,,,Ccy,Conv)</f>
        <v>0</v>
      </c>
      <c r="J314" s="4">
        <f>_xll.ciqfunctions.udf.CIQ(InputTicker, "IQ_ST_DEBT",Input!L$2,Date,,,Ccy,Conv)</f>
        <v>0</v>
      </c>
      <c r="K314" s="4">
        <f>_xll.ciqfunctions.udf.CIQ(InputTicker, "IQ_ST_DEBT",Input!M$2,Date,,,Ccy,Conv)</f>
        <v>6693</v>
      </c>
      <c r="L314" s="4">
        <f>_xll.ciqfunctions.udf.CIQ(InputTicker, "IQ_ST_DEBT",Input!N$2,Date,,,Ccy,Conv)</f>
        <v>0</v>
      </c>
      <c r="M314" s="4">
        <f>_xll.ciqfunctions.udf.CIQ(InputTicker, "IQ_ST_DEBT",Input!O$2,Date,,,Ccy,Conv)</f>
        <v>0</v>
      </c>
      <c r="N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  <c r="BA314" s="42"/>
      <c r="BB314" s="42"/>
      <c r="BC314" s="42"/>
      <c r="BD314" s="42"/>
      <c r="BE314" s="42"/>
      <c r="BF314" s="42"/>
      <c r="BG314" s="42"/>
      <c r="BH314" s="42"/>
      <c r="BI314" s="42"/>
      <c r="BJ314" s="42"/>
      <c r="BK314" s="42"/>
      <c r="BL314" s="42"/>
      <c r="BM314" s="42"/>
      <c r="BN314" s="42"/>
    </row>
    <row r="315" spans="1:66" ht="12.75" customHeight="1" x14ac:dyDescent="0.2">
      <c r="A315" s="1" t="s">
        <v>182</v>
      </c>
      <c r="B315" s="4">
        <f>_xll.ciqfunctions.udf.CIQ(InputTicker, "IQ_CURRENT_PORT_DEBT",Input!D$2,Date,,,Ccy,Conv)</f>
        <v>2499</v>
      </c>
      <c r="C315" s="4">
        <f>_xll.ciqfunctions.udf.CIQ(InputTicker, "IQ_CURRENT_PORT_DEBT",Input!E$2,Date,,,Ccy,Conv)</f>
        <v>0</v>
      </c>
      <c r="D315" s="4">
        <f>_xll.ciqfunctions.udf.CIQ(InputTicker, "IQ_CURRENT_PORT_DEBT",Input!F$2,Date,,,Ccy,Conv)</f>
        <v>1049</v>
      </c>
      <c r="E315" s="4">
        <f>_xll.ciqfunctions.udf.CIQ(InputTicker, "IQ_CURRENT_PORT_DEBT",Input!G$2,Date,,,Ccy,Conv)</f>
        <v>3998</v>
      </c>
      <c r="F315" s="4">
        <f>_xll.ciqfunctions.udf.CIQ(InputTicker, "IQ_CURRENT_PORT_DEBT",Input!H$2,Date,,,Ccy,Conv)</f>
        <v>5516</v>
      </c>
      <c r="G315" s="4">
        <f>_xll.ciqfunctions.udf.CIQ(InputTicker, "IQ_CURRENT_PORT_DEBT",Input!I$2,Date,,,Ccy,Conv)</f>
        <v>3749</v>
      </c>
      <c r="H315" s="4">
        <f>_xll.ciqfunctions.udf.CIQ(InputTicker, "IQ_CURRENT_PORT_DEBT",Input!J$2,Date,,,Ccy,Conv)</f>
        <v>8072</v>
      </c>
      <c r="I315" s="4">
        <f>_xll.ciqfunctions.udf.CIQ(InputTicker, "IQ_CURRENT_PORT_DEBT",Input!K$2,Date,,,Ccy,Conv)</f>
        <v>2749</v>
      </c>
      <c r="J315" s="4">
        <f>_xll.ciqfunctions.udf.CIQ(InputTicker, "IQ_CURRENT_PORT_DEBT",Input!L$2,Date,,,Ccy,Conv)</f>
        <v>5247</v>
      </c>
      <c r="K315" s="4">
        <f>_xll.ciqfunctions.udf.CIQ(InputTicker, "IQ_CURRENT_PORT_DEBT",Input!M$2,Date,,,Ccy,Conv)</f>
        <v>2249</v>
      </c>
      <c r="L315" s="4">
        <f>_xll.ciqfunctions.udf.CIQ(InputTicker, "IQ_CURRENT_PORT_DEBT",Input!N$2,Date,,,Ccy,Conv)</f>
        <v>2999</v>
      </c>
      <c r="M315" s="4">
        <f>_xll.ciqfunctions.udf.CIQ(InputTicker, "IQ_CURRENT_PORT_DEBT",Input!O$2,Date,,,Ccy,Conv)</f>
        <v>8839</v>
      </c>
      <c r="N315" s="42"/>
      <c r="T315" s="46"/>
      <c r="U315" s="46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  <c r="AK315" s="42"/>
      <c r="AL315" s="42"/>
      <c r="AM315" s="42"/>
      <c r="AN315" s="42"/>
      <c r="AO315" s="42"/>
      <c r="AP315" s="42"/>
      <c r="AQ315" s="42"/>
      <c r="AR315" s="42"/>
      <c r="AS315" s="42"/>
      <c r="AT315" s="42"/>
      <c r="AU315" s="42"/>
      <c r="AV315" s="42"/>
      <c r="AW315" s="42"/>
      <c r="AX315" s="42"/>
      <c r="AY315" s="42"/>
      <c r="AZ315" s="42"/>
      <c r="BA315" s="42"/>
      <c r="BB315" s="42"/>
      <c r="BC315" s="42"/>
      <c r="BD315" s="42"/>
      <c r="BE315" s="42"/>
      <c r="BF315" s="42"/>
      <c r="BG315" s="42"/>
      <c r="BH315" s="42"/>
      <c r="BI315" s="42"/>
      <c r="BJ315" s="42"/>
      <c r="BK315" s="42"/>
      <c r="BL315" s="42"/>
      <c r="BM315" s="42"/>
      <c r="BN315" s="42"/>
    </row>
    <row r="316" spans="1:66" ht="12.75" customHeight="1" x14ac:dyDescent="0.2">
      <c r="A316" s="1" t="s">
        <v>471</v>
      </c>
      <c r="B316" s="4">
        <f>_xll.ciqfunctions.udf.CIQ(InputTicker, "IQ_CURRENT_PORT_LEASES",Input!D$2,Date,,,Ccy,Conv)</f>
        <v>0</v>
      </c>
      <c r="C316" s="4">
        <f>_xll.ciqfunctions.udf.CIQ(InputTicker, "IQ_CURRENT_PORT_LEASES",Input!E$2,Date,,,Ccy,Conv)</f>
        <v>25</v>
      </c>
      <c r="D316" s="4">
        <f>_xll.ciqfunctions.udf.CIQ(InputTicker, "IQ_CURRENT_PORT_LEASES",Input!F$2,Date,,,Ccy,Conv)</f>
        <v>1536</v>
      </c>
      <c r="E316" s="4">
        <f>_xll.ciqfunctions.udf.CIQ(InputTicker, "IQ_CURRENT_PORT_LEASES",Input!G$2,Date,,,Ccy,Conv)</f>
        <v>1575</v>
      </c>
      <c r="F316" s="4">
        <f>_xll.ciqfunctions.udf.CIQ(InputTicker, "IQ_CURRENT_PORT_LEASES",Input!H$2,Date,,,Ccy,Conv)</f>
        <v>1832</v>
      </c>
      <c r="G316" s="4">
        <f>_xll.ciqfunctions.udf.CIQ(InputTicker, "IQ_CURRENT_PORT_LEASES",Input!I$2,Date,,,Ccy,Conv)</f>
        <v>2156</v>
      </c>
      <c r="H316" s="4">
        <f>_xll.ciqfunctions.udf.CIQ(InputTicker, "IQ_CURRENT_PORT_LEASES",Input!J$2,Date,,,Ccy,Conv)</f>
        <v>2753</v>
      </c>
      <c r="I316" s="4">
        <f>_xll.ciqfunctions.udf.CIQ(InputTicker, "IQ_CURRENT_PORT_LEASES",Input!K$2,Date,,,Ccy,Conv)</f>
        <v>3288</v>
      </c>
      <c r="J316" s="4">
        <f>_xll.ciqfunctions.udf.CIQ(InputTicker, "IQ_CURRENT_PORT_LEASES",Input!L$2,Date,,,Ccy,Conv)</f>
        <v>3606</v>
      </c>
      <c r="K316" s="4">
        <f>_xll.ciqfunctions.udf.CIQ(InputTicker, "IQ_CURRENT_PORT_LEASES",Input!M$2,Date,,,Ccy,Conv)</f>
        <v>5929</v>
      </c>
      <c r="L316" s="4">
        <f>_xll.ciqfunctions.udf.CIQ(InputTicker, "IQ_CURRENT_PORT_LEASES",Input!N$2,Date,,,Ccy,Conv)</f>
        <v>8596</v>
      </c>
      <c r="M316" s="4">
        <f>_xll.ciqfunctions.udf.CIQ(InputTicker, "IQ_CURRENT_PORT_LEASES",Input!O$2,Date,,,Ccy,Conv)</f>
        <v>9598</v>
      </c>
      <c r="N316" s="42"/>
      <c r="S316" s="46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  <c r="AK316" s="42"/>
      <c r="AL316" s="42"/>
      <c r="AM316" s="42"/>
      <c r="AN316" s="42"/>
      <c r="AO316" s="42"/>
      <c r="AP316" s="42"/>
      <c r="AQ316" s="42"/>
      <c r="AR316" s="42"/>
      <c r="AS316" s="42"/>
      <c r="AT316" s="42"/>
      <c r="AU316" s="42"/>
      <c r="AV316" s="42"/>
      <c r="AW316" s="42"/>
      <c r="AX316" s="42"/>
      <c r="AY316" s="42"/>
      <c r="AZ316" s="42"/>
      <c r="BA316" s="42"/>
      <c r="BB316" s="42"/>
      <c r="BC316" s="42"/>
      <c r="BD316" s="42"/>
      <c r="BE316" s="42"/>
      <c r="BF316" s="42"/>
      <c r="BG316" s="42"/>
      <c r="BH316" s="42"/>
      <c r="BI316" s="42"/>
      <c r="BJ316" s="42"/>
      <c r="BK316" s="42"/>
      <c r="BL316" s="42"/>
      <c r="BM316" s="42"/>
      <c r="BN316" s="42"/>
    </row>
    <row r="317" spans="1:66" ht="12.75" customHeight="1" x14ac:dyDescent="0.2">
      <c r="A317" s="1" t="s">
        <v>183</v>
      </c>
      <c r="B317" s="4">
        <f>_xll.ciqfunctions.udf.CIQ(InputTicker, "IQ_FIN_DIV_DEBT_CURRENT",Input!D$2,Date,,,Ccy,Conv)</f>
        <v>0</v>
      </c>
      <c r="C317" s="4">
        <f>_xll.ciqfunctions.udf.CIQ(InputTicker, "IQ_FIN_DIV_DEBT_CURRENT",Input!E$2,Date,,,Ccy,Conv)</f>
        <v>0</v>
      </c>
      <c r="D317" s="4">
        <f>_xll.ciqfunctions.udf.CIQ(InputTicker, "IQ_FIN_DIV_DEBT_CURRENT",Input!F$2,Date,,,Ccy,Conv)</f>
        <v>0</v>
      </c>
      <c r="E317" s="4">
        <f>_xll.ciqfunctions.udf.CIQ(InputTicker, "IQ_FIN_DIV_DEBT_CURRENT",Input!G$2,Date,,,Ccy,Conv)</f>
        <v>0</v>
      </c>
      <c r="F317" s="4">
        <f>_xll.ciqfunctions.udf.CIQ(InputTicker, "IQ_FIN_DIV_DEBT_CURRENT",Input!H$2,Date,,,Ccy,Conv)</f>
        <v>0</v>
      </c>
      <c r="G317" s="4">
        <f>_xll.ciqfunctions.udf.CIQ(InputTicker, "IQ_FIN_DIV_DEBT_CURRENT",Input!I$2,Date,,,Ccy,Conv)</f>
        <v>0</v>
      </c>
      <c r="H317" s="4">
        <f>_xll.ciqfunctions.udf.CIQ(InputTicker, "IQ_FIN_DIV_DEBT_CURRENT",Input!J$2,Date,,,Ccy,Conv)</f>
        <v>0</v>
      </c>
      <c r="I317" s="4">
        <f>_xll.ciqfunctions.udf.CIQ(InputTicker, "IQ_FIN_DIV_DEBT_CURRENT",Input!K$2,Date,,,Ccy,Conv)</f>
        <v>0</v>
      </c>
      <c r="J317" s="4">
        <f>_xll.ciqfunctions.udf.CIQ(InputTicker, "IQ_FIN_DIV_DEBT_CURRENT",Input!L$2,Date,,,Ccy,Conv)</f>
        <v>0</v>
      </c>
      <c r="K317" s="4">
        <f>_xll.ciqfunctions.udf.CIQ(InputTicker, "IQ_FIN_DIV_DEBT_CURRENT",Input!M$2,Date,,,Ccy,Conv)</f>
        <v>0</v>
      </c>
      <c r="L317" s="4">
        <f>_xll.ciqfunctions.udf.CIQ(InputTicker, "IQ_FIN_DIV_DEBT_CURRENT",Input!N$2,Date,,,Ccy,Conv)</f>
        <v>0</v>
      </c>
      <c r="M317" s="4">
        <f>_xll.ciqfunctions.udf.CIQ(InputTicker, "IQ_FIN_DIV_DEBT_CURRENT",Input!O$2,Date,,,Ccy,Conv)</f>
        <v>0</v>
      </c>
      <c r="N317" s="46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  <c r="BA317" s="42"/>
      <c r="BB317" s="42"/>
      <c r="BC317" s="42"/>
      <c r="BD317" s="42"/>
      <c r="BE317" s="42"/>
      <c r="BF317" s="42"/>
      <c r="BG317" s="42"/>
      <c r="BH317" s="42"/>
      <c r="BI317" s="42"/>
      <c r="BJ317" s="42"/>
      <c r="BK317" s="42"/>
      <c r="BL317" s="42"/>
      <c r="BM317" s="42"/>
      <c r="BN317" s="42"/>
    </row>
    <row r="318" spans="1:66" ht="12.75" customHeight="1" x14ac:dyDescent="0.2">
      <c r="A318" s="1" t="s">
        <v>184</v>
      </c>
      <c r="B318" s="4">
        <f>_xll.ciqfunctions.udf.CIQ(InputTicker, "IQ_FIN_DIV_LIAB_CURRENT",Input!D$2,Date,,,Ccy,Conv)</f>
        <v>0</v>
      </c>
      <c r="C318" s="4">
        <f>_xll.ciqfunctions.udf.CIQ(InputTicker, "IQ_FIN_DIV_LIAB_CURRENT",Input!E$2,Date,,,Ccy,Conv)</f>
        <v>0</v>
      </c>
      <c r="D318" s="4">
        <f>_xll.ciqfunctions.udf.CIQ(InputTicker, "IQ_FIN_DIV_LIAB_CURRENT",Input!F$2,Date,,,Ccy,Conv)</f>
        <v>0</v>
      </c>
      <c r="E318" s="4">
        <f>_xll.ciqfunctions.udf.CIQ(InputTicker, "IQ_FIN_DIV_LIAB_CURRENT",Input!G$2,Date,,,Ccy,Conv)</f>
        <v>0</v>
      </c>
      <c r="F318" s="4">
        <f>_xll.ciqfunctions.udf.CIQ(InputTicker, "IQ_FIN_DIV_LIAB_CURRENT",Input!H$2,Date,,,Ccy,Conv)</f>
        <v>0</v>
      </c>
      <c r="G318" s="4">
        <f>_xll.ciqfunctions.udf.CIQ(InputTicker, "IQ_FIN_DIV_LIAB_CURRENT",Input!I$2,Date,,,Ccy,Conv)</f>
        <v>0</v>
      </c>
      <c r="H318" s="4">
        <f>_xll.ciqfunctions.udf.CIQ(InputTicker, "IQ_FIN_DIV_LIAB_CURRENT",Input!J$2,Date,,,Ccy,Conv)</f>
        <v>0</v>
      </c>
      <c r="I318" s="4">
        <f>_xll.ciqfunctions.udf.CIQ(InputTicker, "IQ_FIN_DIV_LIAB_CURRENT",Input!K$2,Date,,,Ccy,Conv)</f>
        <v>0</v>
      </c>
      <c r="J318" s="4">
        <f>_xll.ciqfunctions.udf.CIQ(InputTicker, "IQ_FIN_DIV_LIAB_CURRENT",Input!L$2,Date,,,Ccy,Conv)</f>
        <v>0</v>
      </c>
      <c r="K318" s="4">
        <f>_xll.ciqfunctions.udf.CIQ(InputTicker, "IQ_FIN_DIV_LIAB_CURRENT",Input!M$2,Date,,,Ccy,Conv)</f>
        <v>0</v>
      </c>
      <c r="L318" s="4">
        <f>_xll.ciqfunctions.udf.CIQ(InputTicker, "IQ_FIN_DIV_LIAB_CURRENT",Input!N$2,Date,,,Ccy,Conv)</f>
        <v>0</v>
      </c>
      <c r="M318" s="4">
        <f>_xll.ciqfunctions.udf.CIQ(InputTicker, "IQ_FIN_DIV_LIAB_CURRENT",Input!O$2,Date,,,Ccy,Conv)</f>
        <v>0</v>
      </c>
      <c r="N318" s="42"/>
      <c r="S318" s="46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  <c r="AN318" s="42"/>
      <c r="AO318" s="42"/>
      <c r="AP318" s="42"/>
      <c r="AQ318" s="42"/>
      <c r="AR318" s="42"/>
      <c r="AS318" s="42"/>
      <c r="AT318" s="42"/>
      <c r="AU318" s="42"/>
      <c r="AV318" s="42"/>
      <c r="AW318" s="42"/>
      <c r="AX318" s="42"/>
      <c r="AY318" s="42"/>
      <c r="AZ318" s="42"/>
      <c r="BA318" s="42"/>
      <c r="BB318" s="42"/>
      <c r="BC318" s="42"/>
      <c r="BD318" s="42"/>
      <c r="BE318" s="42"/>
      <c r="BF318" s="42"/>
      <c r="BG318" s="42"/>
      <c r="BH318" s="42"/>
      <c r="BI318" s="42"/>
      <c r="BJ318" s="42"/>
      <c r="BK318" s="42"/>
      <c r="BL318" s="42"/>
      <c r="BM318" s="42"/>
      <c r="BN318" s="42"/>
    </row>
    <row r="319" spans="1:66" ht="12.75" customHeight="1" x14ac:dyDescent="0.2">
      <c r="A319" s="1" t="s">
        <v>185</v>
      </c>
      <c r="B319" s="4">
        <f>_xll.ciqfunctions.udf.CIQ(InputTicker, "IQ_INC_TAX_PAY_CURRENT",Input!D$2,Date,,,Ccy,Conv)</f>
        <v>606</v>
      </c>
      <c r="C319" s="4">
        <f>_xll.ciqfunctions.udf.CIQ(InputTicker, "IQ_INC_TAX_PAY_CURRENT",Input!E$2,Date,,,Ccy,Conv)</f>
        <v>580</v>
      </c>
      <c r="D319" s="4">
        <f>_xll.ciqfunctions.udf.CIQ(InputTicker, "IQ_INC_TAX_PAY_CURRENT",Input!F$2,Date,,,Ccy,Conv)</f>
        <v>718</v>
      </c>
      <c r="E319" s="4">
        <f>_xll.ciqfunctions.udf.CIQ(InputTicker, "IQ_INC_TAX_PAY_CURRENT",Input!G$2,Date,,,Ccy,Conv)</f>
        <v>2121</v>
      </c>
      <c r="F319" s="4">
        <f>_xll.ciqfunctions.udf.CIQ(InputTicker, "IQ_INC_TAX_PAY_CURRENT",Input!H$2,Date,,,Ccy,Conv)</f>
        <v>5665</v>
      </c>
      <c r="G319" s="4">
        <f>_xll.ciqfunctions.udf.CIQ(InputTicker, "IQ_INC_TAX_PAY_CURRENT",Input!I$2,Date,,,Ccy,Conv)</f>
        <v>2130</v>
      </c>
      <c r="H319" s="4">
        <f>_xll.ciqfunctions.udf.CIQ(InputTicker, "IQ_INC_TAX_PAY_CURRENT",Input!J$2,Date,,,Ccy,Conv)</f>
        <v>2174</v>
      </c>
      <c r="I319" s="4">
        <f>_xll.ciqfunctions.udf.CIQ(InputTicker, "IQ_INC_TAX_PAY_CURRENT",Input!K$2,Date,,,Ccy,Conv)</f>
        <v>4067</v>
      </c>
      <c r="J319" s="4">
        <f>_xll.ciqfunctions.udf.CIQ(InputTicker, "IQ_INC_TAX_PAY_CURRENT",Input!L$2,Date,,,Ccy,Conv)</f>
        <v>4152</v>
      </c>
      <c r="K319" s="4">
        <f>_xll.ciqfunctions.udf.CIQ(InputTicker, "IQ_INC_TAX_PAY_CURRENT",Input!M$2,Date,,,Ccy,Conv)</f>
        <v>5017</v>
      </c>
      <c r="L319" s="4">
        <f>_xll.ciqfunctions.udf.CIQ(InputTicker, "IQ_INC_TAX_PAY_CURRENT",Input!N$2,Date,,,Ccy,Conv)</f>
        <v>7211</v>
      </c>
      <c r="M319" s="4">
        <f>_xll.ciqfunctions.udf.CIQ(InputTicker, "IQ_INC_TAX_PAY_CURRENT",Input!O$2,Date,,,Ccy,Conv)</f>
        <v>3563</v>
      </c>
      <c r="N319" s="46"/>
      <c r="P319" s="46"/>
      <c r="Q319" s="46"/>
      <c r="R319" s="46"/>
      <c r="T319" s="42"/>
      <c r="U319" s="42"/>
      <c r="V319" s="46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  <c r="AK319" s="42"/>
      <c r="AL319" s="42"/>
      <c r="AM319" s="42"/>
      <c r="AN319" s="42"/>
      <c r="AO319" s="42"/>
      <c r="AP319" s="42"/>
      <c r="AQ319" s="42"/>
      <c r="AR319" s="42"/>
      <c r="AS319" s="42"/>
      <c r="AT319" s="42"/>
      <c r="AU319" s="42"/>
      <c r="AV319" s="42"/>
      <c r="AW319" s="42"/>
      <c r="AX319" s="42"/>
      <c r="AY319" s="42"/>
      <c r="AZ319" s="42"/>
      <c r="BA319" s="42"/>
      <c r="BB319" s="42"/>
      <c r="BC319" s="42"/>
      <c r="BD319" s="42"/>
      <c r="BE319" s="42"/>
      <c r="BF319" s="42"/>
      <c r="BG319" s="42"/>
      <c r="BH319" s="42"/>
      <c r="BI319" s="42"/>
      <c r="BJ319" s="42"/>
      <c r="BK319" s="42"/>
      <c r="BL319" s="42"/>
      <c r="BM319" s="42"/>
      <c r="BN319" s="42"/>
    </row>
    <row r="320" spans="1:66" ht="12.75" customHeight="1" x14ac:dyDescent="0.2">
      <c r="A320" s="1" t="s">
        <v>135</v>
      </c>
      <c r="B320" s="4">
        <f>_xll.ciqfunctions.udf.CIQ(InputTicker, "IQ_UNEARN_REV_CURRENT",Input!D$2,Date,,,Ccy,Conv)</f>
        <v>23223</v>
      </c>
      <c r="C320" s="4">
        <f>_xll.ciqfunctions.udf.CIQ(InputTicker, "IQ_UNEARN_REV_CURRENT",Input!E$2,Date,,,Ccy,Conv)</f>
        <v>27468</v>
      </c>
      <c r="D320" s="4">
        <f>_xll.ciqfunctions.udf.CIQ(InputTicker, "IQ_UNEARN_REV_CURRENT",Input!F$2,Date,,,Ccy,Conv)</f>
        <v>24013</v>
      </c>
      <c r="E320" s="4">
        <f>_xll.ciqfunctions.udf.CIQ(InputTicker, "IQ_UNEARN_REV_CURRENT",Input!G$2,Date,,,Ccy,Conv)</f>
        <v>28905</v>
      </c>
      <c r="F320" s="4">
        <f>_xll.ciqfunctions.udf.CIQ(InputTicker, "IQ_UNEARN_REV_CURRENT",Input!H$2,Date,,,Ccy,Conv)</f>
        <v>32676</v>
      </c>
      <c r="G320" s="4">
        <f>_xll.ciqfunctions.udf.CIQ(InputTicker, "IQ_UNEARN_REV_CURRENT",Input!I$2,Date,,,Ccy,Conv)</f>
        <v>36000</v>
      </c>
      <c r="H320" s="4">
        <f>_xll.ciqfunctions.udf.CIQ(InputTicker, "IQ_UNEARN_REV_CURRENT",Input!J$2,Date,,,Ccy,Conv)</f>
        <v>41525</v>
      </c>
      <c r="I320" s="4">
        <f>_xll.ciqfunctions.udf.CIQ(InputTicker, "IQ_UNEARN_REV_CURRENT",Input!K$2,Date,,,Ccy,Conv)</f>
        <v>45538</v>
      </c>
      <c r="J320" s="4">
        <f>_xll.ciqfunctions.udf.CIQ(InputTicker, "IQ_UNEARN_REV_CURRENT",Input!L$2,Date,,,Ccy,Conv)</f>
        <v>50901</v>
      </c>
      <c r="K320" s="4">
        <f>_xll.ciqfunctions.udf.CIQ(InputTicker, "IQ_UNEARN_REV_CURRENT",Input!M$2,Date,,,Ccy,Conv)</f>
        <v>57582</v>
      </c>
      <c r="L320" s="4">
        <f>_xll.ciqfunctions.udf.CIQ(InputTicker, "IQ_UNEARN_REV_CURRENT",Input!N$2,Date,,,Ccy,Conv)</f>
        <v>64555</v>
      </c>
      <c r="M320" s="4">
        <f>_xll.ciqfunctions.udf.CIQ(InputTicker, "IQ_UNEARN_REV_CURRENT",Input!O$2,Date,,,Ccy,Conv)</f>
        <v>50924</v>
      </c>
      <c r="N320" s="42"/>
      <c r="T320" s="46"/>
      <c r="U320" s="46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  <c r="AK320" s="42"/>
      <c r="AL320" s="42"/>
      <c r="AM320" s="42"/>
      <c r="AN320" s="42"/>
      <c r="AO320" s="42"/>
      <c r="AP320" s="42"/>
      <c r="AQ320" s="42"/>
      <c r="AR320" s="42"/>
      <c r="AS320" s="42"/>
      <c r="AT320" s="42"/>
      <c r="AU320" s="42"/>
      <c r="AV320" s="42"/>
      <c r="AW320" s="42"/>
      <c r="AX320" s="42"/>
      <c r="AY320" s="42"/>
      <c r="AZ320" s="42"/>
      <c r="BA320" s="42"/>
      <c r="BB320" s="42"/>
      <c r="BC320" s="42"/>
      <c r="BD320" s="42"/>
      <c r="BE320" s="42"/>
      <c r="BF320" s="42"/>
      <c r="BG320" s="42"/>
      <c r="BH320" s="42"/>
      <c r="BI320" s="42"/>
      <c r="BJ320" s="42"/>
      <c r="BK320" s="42"/>
      <c r="BL320" s="42"/>
      <c r="BM320" s="42"/>
      <c r="BN320" s="42"/>
    </row>
    <row r="321" spans="1:66" ht="12.75" customHeight="1" x14ac:dyDescent="0.2">
      <c r="A321" s="1" t="s">
        <v>186</v>
      </c>
      <c r="B321" s="4">
        <f>_xll.ciqfunctions.udf.CIQ(InputTicker, "IQ_DEF_TAX_LIAB_CURRENT",Input!D$2,Date,,,Ccy,Conv)</f>
        <v>0</v>
      </c>
      <c r="C321" s="4">
        <f>_xll.ciqfunctions.udf.CIQ(InputTicker, "IQ_DEF_TAX_LIAB_CURRENT",Input!E$2,Date,,,Ccy,Conv)</f>
        <v>0</v>
      </c>
      <c r="D321" s="4">
        <f>_xll.ciqfunctions.udf.CIQ(InputTicker, "IQ_DEF_TAX_LIAB_CURRENT",Input!F$2,Date,,,Ccy,Conv)</f>
        <v>0</v>
      </c>
      <c r="E321" s="4">
        <f>_xll.ciqfunctions.udf.CIQ(InputTicker, "IQ_DEF_TAX_LIAB_CURRENT",Input!G$2,Date,,,Ccy,Conv)</f>
        <v>0</v>
      </c>
      <c r="F321" s="4">
        <f>_xll.ciqfunctions.udf.CIQ(InputTicker, "IQ_DEF_TAX_LIAB_CURRENT",Input!H$2,Date,,,Ccy,Conv)</f>
        <v>0</v>
      </c>
      <c r="G321" s="4">
        <f>_xll.ciqfunctions.udf.CIQ(InputTicker, "IQ_DEF_TAX_LIAB_CURRENT",Input!I$2,Date,,,Ccy,Conv)</f>
        <v>0</v>
      </c>
      <c r="H321" s="4">
        <f>_xll.ciqfunctions.udf.CIQ(InputTicker, "IQ_DEF_TAX_LIAB_CURRENT",Input!J$2,Date,,,Ccy,Conv)</f>
        <v>0</v>
      </c>
      <c r="I321" s="4">
        <f>_xll.ciqfunctions.udf.CIQ(InputTicker, "IQ_DEF_TAX_LIAB_CURRENT",Input!K$2,Date,,,Ccy,Conv)</f>
        <v>0</v>
      </c>
      <c r="J321" s="4">
        <f>_xll.ciqfunctions.udf.CIQ(InputTicker, "IQ_DEF_TAX_LIAB_CURRENT",Input!L$2,Date,,,Ccy,Conv)</f>
        <v>0</v>
      </c>
      <c r="K321" s="4">
        <f>_xll.ciqfunctions.udf.CIQ(InputTicker, "IQ_DEF_TAX_LIAB_CURRENT",Input!M$2,Date,,,Ccy,Conv)</f>
        <v>0</v>
      </c>
      <c r="L321" s="4">
        <f>_xll.ciqfunctions.udf.CIQ(InputTicker, "IQ_DEF_TAX_LIAB_CURRENT",Input!N$2,Date,,,Ccy,Conv)</f>
        <v>0</v>
      </c>
      <c r="M321" s="4">
        <f>_xll.ciqfunctions.udf.CIQ(InputTicker, "IQ_DEF_TAX_LIAB_CURRENT",Input!O$2,Date,,,Ccy,Conv)</f>
        <v>0</v>
      </c>
      <c r="N321" s="42"/>
      <c r="S321" s="17"/>
      <c r="T321" s="46"/>
      <c r="U321" s="46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  <c r="BA321" s="42"/>
      <c r="BB321" s="42"/>
      <c r="BC321" s="42"/>
      <c r="BD321" s="42"/>
      <c r="BE321" s="42"/>
      <c r="BF321" s="42"/>
      <c r="BG321" s="42"/>
      <c r="BH321" s="42"/>
      <c r="BI321" s="42"/>
      <c r="BJ321" s="42"/>
      <c r="BK321" s="42"/>
      <c r="BL321" s="42"/>
      <c r="BM321" s="42"/>
      <c r="BN321" s="42"/>
    </row>
    <row r="322" spans="1:66" ht="12.75" customHeight="1" x14ac:dyDescent="0.2">
      <c r="A322" s="1" t="s">
        <v>136</v>
      </c>
      <c r="B322" s="4">
        <f>_xll.ciqfunctions.udf.CIQ(InputTicker, "IQ_OTHER_CL_SUPPL",Input!D$2,Date,,,Ccy,Conv)</f>
        <v>6555</v>
      </c>
      <c r="C322" s="4">
        <f>_xll.ciqfunctions.udf.CIQ(InputTicker, "IQ_OTHER_CL_SUPPL",Input!E$2,Date,,,Ccy,Conv)</f>
        <v>5924</v>
      </c>
      <c r="D322" s="4">
        <f>_xll.ciqfunctions.udf.CIQ(InputTicker, "IQ_OTHER_CL_SUPPL",Input!F$2,Date,,,Ccy,Conv)</f>
        <v>6148</v>
      </c>
      <c r="E322" s="4">
        <f>_xll.ciqfunctions.udf.CIQ(InputTicker, "IQ_OTHER_CL_SUPPL",Input!G$2,Date,,,Ccy,Conv)</f>
        <v>7169</v>
      </c>
      <c r="F322" s="4">
        <f>_xll.ciqfunctions.udf.CIQ(InputTicker, "IQ_OTHER_CL_SUPPL",Input!H$2,Date,,,Ccy,Conv)</f>
        <v>7519</v>
      </c>
      <c r="G322" s="4">
        <f>_xll.ciqfunctions.udf.CIQ(InputTicker, "IQ_OTHER_CL_SUPPL",Input!I$2,Date,,,Ccy,Conv)</f>
        <v>7871</v>
      </c>
      <c r="H322" s="4">
        <f>_xll.ciqfunctions.udf.CIQ(InputTicker, "IQ_OTHER_CL_SUPPL",Input!J$2,Date,,,Ccy,Conv)</f>
        <v>8913</v>
      </c>
      <c r="I322" s="4">
        <f>_xll.ciqfunctions.udf.CIQ(InputTicker, "IQ_OTHER_CL_SUPPL",Input!K$2,Date,,,Ccy,Conv)</f>
        <v>9779</v>
      </c>
      <c r="J322" s="4">
        <f>_xll.ciqfunctions.udf.CIQ(InputTicker, "IQ_OTHER_CL_SUPPL",Input!L$2,Date,,,Ccy,Conv)</f>
        <v>11139</v>
      </c>
      <c r="K322" s="4">
        <f>_xll.ciqfunctions.udf.CIQ(InputTicker, "IQ_OTHER_CL_SUPPL",Input!M$2,Date,,,Ccy,Conv)</f>
        <v>13256</v>
      </c>
      <c r="L322" s="4">
        <f>_xll.ciqfunctions.udf.CIQ(InputTicker, "IQ_OTHER_CL_SUPPL",Input!N$2,Date,,,Ccy,Conv)</f>
        <v>16424</v>
      </c>
      <c r="M322" s="4">
        <f>_xll.ciqfunctions.udf.CIQ(InputTicker, "IQ_OTHER_CL_SUPPL",Input!O$2,Date,,,Ccy,Conv)</f>
        <v>14954</v>
      </c>
      <c r="N322" s="42"/>
      <c r="T322" s="46"/>
      <c r="U322" s="46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  <c r="AN322" s="42"/>
      <c r="AO322" s="42"/>
      <c r="AP322" s="42"/>
      <c r="AQ322" s="42"/>
      <c r="AR322" s="42"/>
      <c r="AS322" s="42"/>
      <c r="AT322" s="42"/>
      <c r="AU322" s="42"/>
      <c r="AV322" s="42"/>
      <c r="AW322" s="42"/>
      <c r="AX322" s="42"/>
      <c r="AY322" s="42"/>
      <c r="AZ322" s="42"/>
      <c r="BA322" s="42"/>
      <c r="BB322" s="42"/>
      <c r="BC322" s="42"/>
      <c r="BD322" s="42"/>
      <c r="BE322" s="42"/>
      <c r="BF322" s="42"/>
      <c r="BG322" s="42"/>
      <c r="BH322" s="42"/>
      <c r="BI322" s="42"/>
      <c r="BJ322" s="42"/>
      <c r="BK322" s="42"/>
      <c r="BL322" s="42"/>
      <c r="BM322" s="42"/>
      <c r="BN322" s="42"/>
    </row>
    <row r="323" spans="1:66" ht="12.75" customHeight="1" x14ac:dyDescent="0.2">
      <c r="A323" s="5" t="s">
        <v>97</v>
      </c>
      <c r="B323" s="6">
        <f>_xll.ciqfunctions.udf.CIQ(InputTicker, "IQ_TOTAL_CL",Input!D$2,Date,,,Ccy,Conv)</f>
        <v>49647</v>
      </c>
      <c r="C323" s="6">
        <f>_xll.ciqfunctions.udf.CIQ(InputTicker, "IQ_TOTAL_CL",Input!E$2,Date,,,Ccy,Conv)</f>
        <v>59357</v>
      </c>
      <c r="D323" s="6">
        <f>_xll.ciqfunctions.udf.CIQ(InputTicker, "IQ_TOTAL_CL",Input!F$2,Date,,,Ccy,Conv)</f>
        <v>55745</v>
      </c>
      <c r="E323" s="6">
        <f>_xll.ciqfunctions.udf.CIQ(InputTicker, "IQ_TOTAL_CL",Input!G$2,Date,,,Ccy,Conv)</f>
        <v>58488</v>
      </c>
      <c r="F323" s="6">
        <f>_xll.ciqfunctions.udf.CIQ(InputTicker, "IQ_TOTAL_CL",Input!H$2,Date,,,Ccy,Conv)</f>
        <v>69420</v>
      </c>
      <c r="G323" s="6">
        <f>_xll.ciqfunctions.udf.CIQ(InputTicker, "IQ_TOTAL_CL",Input!I$2,Date,,,Ccy,Conv)</f>
        <v>72310</v>
      </c>
      <c r="H323" s="6">
        <f>_xll.ciqfunctions.udf.CIQ(InputTicker, "IQ_TOTAL_CL",Input!J$2,Date,,,Ccy,Conv)</f>
        <v>88657</v>
      </c>
      <c r="I323" s="6">
        <f>_xll.ciqfunctions.udf.CIQ(InputTicker, "IQ_TOTAL_CL",Input!K$2,Date,,,Ccy,Conv)</f>
        <v>95082</v>
      </c>
      <c r="J323" s="6">
        <f>_xll.ciqfunctions.udf.CIQ(InputTicker, "IQ_TOTAL_CL",Input!L$2,Date,,,Ccy,Conv)</f>
        <v>104149</v>
      </c>
      <c r="K323" s="6">
        <f>_xll.ciqfunctions.udf.CIQ(InputTicker, "IQ_TOTAL_CL",Input!M$2,Date,,,Ccy,Conv)</f>
        <v>125286</v>
      </c>
      <c r="L323" s="6">
        <f>_xll.ciqfunctions.udf.CIQ(InputTicker, "IQ_TOTAL_CL",Input!N$2,Date,,,Ccy,Conv)</f>
        <v>141218</v>
      </c>
      <c r="M323" s="6">
        <f>_xll.ciqfunctions.udf.CIQ(InputTicker, "IQ_TOTAL_CL",Input!O$2,Date,,,Ccy,Conv)</f>
        <v>136661</v>
      </c>
      <c r="N323" s="42"/>
      <c r="S323" s="46"/>
      <c r="T323" s="46"/>
      <c r="U323" s="46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  <c r="AK323" s="42"/>
      <c r="AL323" s="42"/>
      <c r="AM323" s="42"/>
      <c r="AN323" s="42"/>
      <c r="AO323" s="42"/>
      <c r="AP323" s="42"/>
      <c r="AQ323" s="42"/>
      <c r="AR323" s="42"/>
      <c r="AS323" s="42"/>
      <c r="AT323" s="42"/>
      <c r="AU323" s="42"/>
      <c r="AV323" s="42"/>
      <c r="AW323" s="42"/>
      <c r="AX323" s="42"/>
      <c r="AY323" s="42"/>
      <c r="AZ323" s="42"/>
      <c r="BA323" s="42"/>
      <c r="BB323" s="42"/>
      <c r="BC323" s="42"/>
      <c r="BD323" s="42"/>
      <c r="BE323" s="42"/>
      <c r="BF323" s="42"/>
      <c r="BG323" s="42"/>
      <c r="BH323" s="42"/>
      <c r="BI323" s="42"/>
      <c r="BJ323" s="42"/>
      <c r="BK323" s="42"/>
      <c r="BL323" s="42"/>
      <c r="BM323" s="42"/>
      <c r="BN323" s="42"/>
    </row>
    <row r="324" spans="1:66" ht="12.75" customHeight="1" x14ac:dyDescent="0.2">
      <c r="A324" s="1" t="s">
        <v>187</v>
      </c>
      <c r="B324" s="4">
        <f>_xll.ciqfunctions.udf.CIQ(InputTicker, "IQ_LT_DEBT",Input!D$2,Date,,,Ccy,Conv)</f>
        <v>27808</v>
      </c>
      <c r="C324" s="4">
        <f>_xll.ciqfunctions.udf.CIQ(InputTicker, "IQ_LT_DEBT",Input!E$2,Date,,,Ccy,Conv)</f>
        <v>40557</v>
      </c>
      <c r="D324" s="4">
        <f>_xll.ciqfunctions.udf.CIQ(InputTicker, "IQ_LT_DEBT",Input!F$2,Date,,,Ccy,Conv)</f>
        <v>76073</v>
      </c>
      <c r="E324" s="4">
        <f>_xll.ciqfunctions.udf.CIQ(InputTicker, "IQ_LT_DEBT",Input!G$2,Date,,,Ccy,Conv)</f>
        <v>72242</v>
      </c>
      <c r="F324" s="4">
        <f>_xll.ciqfunctions.udf.CIQ(InputTicker, "IQ_LT_DEBT",Input!H$2,Date,,,Ccy,Conv)</f>
        <v>66662</v>
      </c>
      <c r="G324" s="4">
        <f>_xll.ciqfunctions.udf.CIQ(InputTicker, "IQ_LT_DEBT",Input!I$2,Date,,,Ccy,Conv)</f>
        <v>59578</v>
      </c>
      <c r="H324" s="4">
        <f>_xll.ciqfunctions.udf.CIQ(InputTicker, "IQ_LT_DEBT",Input!J$2,Date,,,Ccy,Conv)</f>
        <v>50074</v>
      </c>
      <c r="I324" s="4">
        <f>_xll.ciqfunctions.udf.CIQ(InputTicker, "IQ_LT_DEBT",Input!K$2,Date,,,Ccy,Conv)</f>
        <v>47032</v>
      </c>
      <c r="J324" s="4">
        <f>_xll.ciqfunctions.udf.CIQ(InputTicker, "IQ_LT_DEBT",Input!L$2,Date,,,Ccy,Conv)</f>
        <v>41990</v>
      </c>
      <c r="K324" s="4">
        <f>_xll.ciqfunctions.udf.CIQ(InputTicker, "IQ_LT_DEBT",Input!M$2,Date,,,Ccy,Conv)</f>
        <v>42688</v>
      </c>
      <c r="L324" s="4">
        <f>_xll.ciqfunctions.udf.CIQ(InputTicker, "IQ_LT_DEBT",Input!N$2,Date,,,Ccy,Conv)</f>
        <v>40152</v>
      </c>
      <c r="M324" s="4">
        <f>_xll.ciqfunctions.udf.CIQ(InputTicker, "IQ_LT_DEBT",Input!O$2,Date,,,Ccy,Conv)</f>
        <v>31423</v>
      </c>
      <c r="N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  <c r="AK324" s="42"/>
      <c r="AL324" s="42"/>
      <c r="AM324" s="42"/>
      <c r="AN324" s="42"/>
      <c r="AO324" s="42"/>
      <c r="AP324" s="42"/>
      <c r="AQ324" s="42"/>
      <c r="AR324" s="42"/>
      <c r="AS324" s="42"/>
      <c r="AT324" s="42"/>
      <c r="AU324" s="42"/>
      <c r="AV324" s="42"/>
      <c r="AW324" s="42"/>
      <c r="AX324" s="42"/>
      <c r="AY324" s="42"/>
      <c r="AZ324" s="42"/>
      <c r="BA324" s="42"/>
      <c r="BB324" s="42"/>
      <c r="BC324" s="42"/>
      <c r="BD324" s="42"/>
      <c r="BE324" s="42"/>
      <c r="BF324" s="42"/>
      <c r="BG324" s="42"/>
      <c r="BH324" s="42"/>
      <c r="BI324" s="42"/>
      <c r="BJ324" s="42"/>
      <c r="BK324" s="42"/>
      <c r="BL324" s="42"/>
      <c r="BM324" s="42"/>
      <c r="BN324" s="42"/>
    </row>
    <row r="325" spans="1:66" ht="12.75" customHeight="1" x14ac:dyDescent="0.2">
      <c r="A325" s="42" t="s">
        <v>472</v>
      </c>
      <c r="B325" s="4">
        <f>_xll.ciqfunctions.udf.CIQ(InputTicker, "IQ_LONG_TERM_LEASES",Input!D$2,Date,,,Ccy,Conv)</f>
        <v>0</v>
      </c>
      <c r="C325" s="4">
        <f>_xll.ciqfunctions.udf.CIQ(InputTicker, "IQ_LONG_TERM_LEASES",Input!E$2,Date,,,Ccy,Conv)</f>
        <v>761</v>
      </c>
      <c r="D325" s="4">
        <f>_xll.ciqfunctions.udf.CIQ(InputTicker, "IQ_LONG_TERM_LEASES",Input!F$2,Date,,,Ccy,Conv)</f>
        <v>7797</v>
      </c>
      <c r="E325" s="4">
        <f>_xll.ciqfunctions.udf.CIQ(InputTicker, "IQ_LONG_TERM_LEASES",Input!G$2,Date,,,Ccy,Conv)</f>
        <v>9693</v>
      </c>
      <c r="F325" s="4">
        <f>_xll.ciqfunctions.udf.CIQ(InputTicker, "IQ_LONG_TERM_LEASES",Input!H$2,Date,,,Ccy,Conv)</f>
        <v>12445</v>
      </c>
      <c r="G325" s="4">
        <f>_xll.ciqfunctions.udf.CIQ(InputTicker, "IQ_LONG_TERM_LEASES",Input!I$2,Date,,,Ccy,Conv)</f>
        <v>16627</v>
      </c>
      <c r="H325" s="4">
        <f>_xll.ciqfunctions.udf.CIQ(InputTicker, "IQ_LONG_TERM_LEASES",Input!J$2,Date,,,Ccy,Conv)</f>
        <v>21379</v>
      </c>
      <c r="I325" s="4">
        <f>_xll.ciqfunctions.udf.CIQ(InputTicker, "IQ_LONG_TERM_LEASES",Input!K$2,Date,,,Ccy,Conv)</f>
        <v>25331</v>
      </c>
      <c r="J325" s="4">
        <f>_xll.ciqfunctions.udf.CIQ(InputTicker, "IQ_LONG_TERM_LEASES",Input!L$2,Date,,,Ccy,Conv)</f>
        <v>28598</v>
      </c>
      <c r="K325" s="4">
        <f>_xll.ciqfunctions.udf.CIQ(InputTicker, "IQ_LONG_TERM_LEASES",Input!M$2,Date,,,Ccy,Conv)</f>
        <v>40293</v>
      </c>
      <c r="L325" s="4">
        <f>_xll.ciqfunctions.udf.CIQ(InputTicker, "IQ_LONG_TERM_LEASES",Input!N$2,Date,,,Ccy,Conv)</f>
        <v>60437</v>
      </c>
      <c r="M325" s="4">
        <f>_xll.ciqfunctions.udf.CIQ(InputTicker, "IQ_LONG_TERM_LEASES",Input!O$2,Date,,,Ccy,Conv)</f>
        <v>75572</v>
      </c>
      <c r="N325" s="42"/>
      <c r="P325" s="46"/>
      <c r="Q325" s="46"/>
      <c r="R325" s="46"/>
      <c r="T325" s="42"/>
      <c r="U325" s="42"/>
      <c r="V325" s="46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  <c r="BA325" s="42"/>
      <c r="BB325" s="42"/>
      <c r="BC325" s="42"/>
      <c r="BD325" s="42"/>
      <c r="BE325" s="42"/>
      <c r="BF325" s="42"/>
      <c r="BG325" s="42"/>
      <c r="BH325" s="42"/>
      <c r="BI325" s="42"/>
      <c r="BJ325" s="42"/>
      <c r="BK325" s="42"/>
      <c r="BL325" s="42"/>
      <c r="BM325" s="42"/>
      <c r="BN325" s="42"/>
    </row>
    <row r="326" spans="1:66" ht="12.75" customHeight="1" x14ac:dyDescent="0.2">
      <c r="A326" s="42" t="s">
        <v>189</v>
      </c>
      <c r="B326" s="4">
        <f>_xll.ciqfunctions.udf.CIQ(InputTicker, "IQ_FIN_DIV_DEBT_LT",Input!D$2,Date,,,Ccy,Conv)</f>
        <v>0</v>
      </c>
      <c r="C326" s="4">
        <f>_xll.ciqfunctions.udf.CIQ(InputTicker, "IQ_FIN_DIV_DEBT_LT",Input!E$2,Date,,,Ccy,Conv)</f>
        <v>0</v>
      </c>
      <c r="D326" s="4">
        <f>_xll.ciqfunctions.udf.CIQ(InputTicker, "IQ_FIN_DIV_DEBT_LT",Input!F$2,Date,,,Ccy,Conv)</f>
        <v>0</v>
      </c>
      <c r="E326" s="4">
        <f>_xll.ciqfunctions.udf.CIQ(InputTicker, "IQ_FIN_DIV_DEBT_LT",Input!G$2,Date,,,Ccy,Conv)</f>
        <v>0</v>
      </c>
      <c r="F326" s="4">
        <f>_xll.ciqfunctions.udf.CIQ(InputTicker, "IQ_FIN_DIV_DEBT_LT",Input!H$2,Date,,,Ccy,Conv)</f>
        <v>0</v>
      </c>
      <c r="G326" s="4">
        <f>_xll.ciqfunctions.udf.CIQ(InputTicker, "IQ_FIN_DIV_DEBT_LT",Input!I$2,Date,,,Ccy,Conv)</f>
        <v>0</v>
      </c>
      <c r="H326" s="4">
        <f>_xll.ciqfunctions.udf.CIQ(InputTicker, "IQ_FIN_DIV_DEBT_LT",Input!J$2,Date,,,Ccy,Conv)</f>
        <v>0</v>
      </c>
      <c r="I326" s="4">
        <f>_xll.ciqfunctions.udf.CIQ(InputTicker, "IQ_FIN_DIV_DEBT_LT",Input!K$2,Date,,,Ccy,Conv)</f>
        <v>0</v>
      </c>
      <c r="J326" s="4">
        <f>_xll.ciqfunctions.udf.CIQ(InputTicker, "IQ_FIN_DIV_DEBT_LT",Input!L$2,Date,,,Ccy,Conv)</f>
        <v>0</v>
      </c>
      <c r="K326" s="4">
        <f>_xll.ciqfunctions.udf.CIQ(InputTicker, "IQ_FIN_DIV_DEBT_LT",Input!M$2,Date,,,Ccy,Conv)</f>
        <v>0</v>
      </c>
      <c r="L326" s="4">
        <f>_xll.ciqfunctions.udf.CIQ(InputTicker, "IQ_FIN_DIV_DEBT_LT",Input!N$2,Date,,,Ccy,Conv)</f>
        <v>0</v>
      </c>
      <c r="M326" s="4">
        <f>_xll.ciqfunctions.udf.CIQ(InputTicker, "IQ_FIN_DIV_DEBT_LT",Input!O$2,Date,,,Ccy,Conv)</f>
        <v>0</v>
      </c>
      <c r="N326" s="46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  <c r="AK326" s="42"/>
      <c r="AL326" s="42"/>
      <c r="AM326" s="42"/>
      <c r="AN326" s="42"/>
      <c r="AO326" s="42"/>
      <c r="AP326" s="42"/>
      <c r="AQ326" s="42"/>
      <c r="AR326" s="42"/>
      <c r="AS326" s="42"/>
      <c r="AT326" s="42"/>
      <c r="AU326" s="42"/>
      <c r="AV326" s="42"/>
      <c r="AW326" s="42"/>
      <c r="AX326" s="42"/>
      <c r="AY326" s="42"/>
      <c r="AZ326" s="42"/>
      <c r="BA326" s="42"/>
      <c r="BB326" s="42"/>
      <c r="BC326" s="42"/>
      <c r="BD326" s="42"/>
      <c r="BE326" s="42"/>
      <c r="BF326" s="42"/>
      <c r="BG326" s="42"/>
      <c r="BH326" s="42"/>
      <c r="BI326" s="42"/>
      <c r="BJ326" s="42"/>
      <c r="BK326" s="42"/>
      <c r="BL326" s="42"/>
      <c r="BM326" s="42"/>
      <c r="BN326" s="42"/>
    </row>
    <row r="327" spans="1:66" ht="12.75" customHeight="1" x14ac:dyDescent="0.2">
      <c r="A327" s="42" t="s">
        <v>190</v>
      </c>
      <c r="B327" s="4">
        <f>_xll.ciqfunctions.udf.CIQ(InputTicker, "IQ_FIN_DIV_LIAB_LT",Input!D$2,Date,,,Ccy,Conv)</f>
        <v>0</v>
      </c>
      <c r="C327" s="4">
        <f>_xll.ciqfunctions.udf.CIQ(InputTicker, "IQ_FIN_DIV_LIAB_LT",Input!E$2,Date,,,Ccy,Conv)</f>
        <v>0</v>
      </c>
      <c r="D327" s="4">
        <f>_xll.ciqfunctions.udf.CIQ(InputTicker, "IQ_FIN_DIV_LIAB_LT",Input!F$2,Date,,,Ccy,Conv)</f>
        <v>0</v>
      </c>
      <c r="E327" s="4">
        <f>_xll.ciqfunctions.udf.CIQ(InputTicker, "IQ_FIN_DIV_LIAB_LT",Input!G$2,Date,,,Ccy,Conv)</f>
        <v>0</v>
      </c>
      <c r="F327" s="4">
        <f>_xll.ciqfunctions.udf.CIQ(InputTicker, "IQ_FIN_DIV_LIAB_LT",Input!H$2,Date,,,Ccy,Conv)</f>
        <v>0</v>
      </c>
      <c r="G327" s="4">
        <f>_xll.ciqfunctions.udf.CIQ(InputTicker, "IQ_FIN_DIV_LIAB_LT",Input!I$2,Date,,,Ccy,Conv)</f>
        <v>0</v>
      </c>
      <c r="H327" s="4">
        <f>_xll.ciqfunctions.udf.CIQ(InputTicker, "IQ_FIN_DIV_LIAB_LT",Input!J$2,Date,,,Ccy,Conv)</f>
        <v>0</v>
      </c>
      <c r="I327" s="4">
        <f>_xll.ciqfunctions.udf.CIQ(InputTicker, "IQ_FIN_DIV_LIAB_LT",Input!K$2,Date,,,Ccy,Conv)</f>
        <v>0</v>
      </c>
      <c r="J327" s="4">
        <f>_xll.ciqfunctions.udf.CIQ(InputTicker, "IQ_FIN_DIV_LIAB_LT",Input!L$2,Date,,,Ccy,Conv)</f>
        <v>0</v>
      </c>
      <c r="K327" s="4">
        <f>_xll.ciqfunctions.udf.CIQ(InputTicker, "IQ_FIN_DIV_LIAB_LT",Input!M$2,Date,,,Ccy,Conv)</f>
        <v>0</v>
      </c>
      <c r="L327" s="4">
        <f>_xll.ciqfunctions.udf.CIQ(InputTicker, "IQ_FIN_DIV_LIAB_LT",Input!N$2,Date,,,Ccy,Conv)</f>
        <v>0</v>
      </c>
      <c r="M327" s="4">
        <f>_xll.ciqfunctions.udf.CIQ(InputTicker, "IQ_FIN_DIV_LIAB_LT",Input!O$2,Date,,,Ccy,Conv)</f>
        <v>0</v>
      </c>
      <c r="N327" s="42"/>
      <c r="S327" s="46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  <c r="AK327" s="42"/>
      <c r="AL327" s="42"/>
      <c r="AM327" s="42"/>
      <c r="AN327" s="42"/>
      <c r="AO327" s="42"/>
      <c r="AP327" s="42"/>
      <c r="AQ327" s="42"/>
      <c r="AR327" s="42"/>
      <c r="AS327" s="42"/>
      <c r="AT327" s="42"/>
      <c r="AU327" s="42"/>
      <c r="AV327" s="42"/>
      <c r="AW327" s="42"/>
      <c r="AX327" s="42"/>
      <c r="AY327" s="42"/>
      <c r="AZ327" s="42"/>
      <c r="BA327" s="42"/>
      <c r="BB327" s="42"/>
      <c r="BC327" s="42"/>
      <c r="BD327" s="42"/>
      <c r="BE327" s="42"/>
      <c r="BF327" s="42"/>
      <c r="BG327" s="42"/>
      <c r="BH327" s="42"/>
      <c r="BI327" s="42"/>
      <c r="BJ327" s="42"/>
      <c r="BK327" s="42"/>
      <c r="BL327" s="42"/>
      <c r="BM327" s="42"/>
      <c r="BN327" s="42"/>
    </row>
    <row r="328" spans="1:66" ht="12.75" customHeight="1" x14ac:dyDescent="0.2">
      <c r="A328" s="42" t="s">
        <v>191</v>
      </c>
      <c r="B328" s="4">
        <f>_xll.ciqfunctions.udf.CIQ(InputTicker, "IQ_UNEARN_REV_LT",Input!D$2,Date,,,Ccy,Conv)</f>
        <v>2095</v>
      </c>
      <c r="C328" s="4">
        <f>_xll.ciqfunctions.udf.CIQ(InputTicker, "IQ_UNEARN_REV_LT",Input!E$2,Date,,,Ccy,Conv)</f>
        <v>6441</v>
      </c>
      <c r="D328" s="4">
        <f>_xll.ciqfunctions.udf.CIQ(InputTicker, "IQ_UNEARN_REV_LT",Input!F$2,Date,,,Ccy,Conv)</f>
        <v>2643</v>
      </c>
      <c r="E328" s="4">
        <f>_xll.ciqfunctions.udf.CIQ(InputTicker, "IQ_UNEARN_REV_LT",Input!G$2,Date,,,Ccy,Conv)</f>
        <v>3815</v>
      </c>
      <c r="F328" s="4">
        <f>_xll.ciqfunctions.udf.CIQ(InputTicker, "IQ_UNEARN_REV_LT",Input!H$2,Date,,,Ccy,Conv)</f>
        <v>4530</v>
      </c>
      <c r="G328" s="4">
        <f>_xll.ciqfunctions.udf.CIQ(InputTicker, "IQ_UNEARN_REV_LT",Input!I$2,Date,,,Ccy,Conv)</f>
        <v>3180</v>
      </c>
      <c r="H328" s="4">
        <f>_xll.ciqfunctions.udf.CIQ(InputTicker, "IQ_UNEARN_REV_LT",Input!J$2,Date,,,Ccy,Conv)</f>
        <v>2616</v>
      </c>
      <c r="I328" s="4">
        <f>_xll.ciqfunctions.udf.CIQ(InputTicker, "IQ_UNEARN_REV_LT",Input!K$2,Date,,,Ccy,Conv)</f>
        <v>2870</v>
      </c>
      <c r="J328" s="4">
        <f>_xll.ciqfunctions.udf.CIQ(InputTicker, "IQ_UNEARN_REV_LT",Input!L$2,Date,,,Ccy,Conv)</f>
        <v>2912</v>
      </c>
      <c r="K328" s="4">
        <f>_xll.ciqfunctions.udf.CIQ(InputTicker, "IQ_UNEARN_REV_LT",Input!M$2,Date,,,Ccy,Conv)</f>
        <v>2602</v>
      </c>
      <c r="L328" s="4">
        <f>_xll.ciqfunctions.udf.CIQ(InputTicker, "IQ_UNEARN_REV_LT",Input!N$2,Date,,,Ccy,Conv)</f>
        <v>2710</v>
      </c>
      <c r="M328" s="4">
        <f>_xll.ciqfunctions.udf.CIQ(InputTicker, "IQ_UNEARN_REV_LT",Input!O$2,Date,,,Ccy,Conv)</f>
        <v>2753</v>
      </c>
      <c r="N328" s="42"/>
      <c r="P328" s="46"/>
      <c r="Q328" s="46"/>
      <c r="R328" s="46"/>
      <c r="T328" s="46"/>
      <c r="U328" s="46"/>
      <c r="V328" s="46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  <c r="BA328" s="42"/>
      <c r="BB328" s="42"/>
      <c r="BC328" s="42"/>
      <c r="BD328" s="42"/>
      <c r="BE328" s="42"/>
      <c r="BF328" s="42"/>
      <c r="BG328" s="42"/>
      <c r="BH328" s="42"/>
      <c r="BI328" s="42"/>
      <c r="BJ328" s="42"/>
      <c r="BK328" s="42"/>
      <c r="BL328" s="42"/>
      <c r="BM328" s="42"/>
      <c r="BN328" s="42"/>
    </row>
    <row r="329" spans="1:66" ht="12.75" customHeight="1" x14ac:dyDescent="0.2">
      <c r="A329" s="42" t="s">
        <v>192</v>
      </c>
      <c r="B329" s="4">
        <f>_xll.ciqfunctions.udf.CIQ(InputTicker, "IQ_PENSION",Input!D$2,Date,,,Ccy,Conv)</f>
        <v>0</v>
      </c>
      <c r="C329" s="4">
        <f>_xll.ciqfunctions.udf.CIQ(InputTicker, "IQ_PENSION",Input!E$2,Date,,,Ccy,Conv)</f>
        <v>0</v>
      </c>
      <c r="D329" s="4">
        <f>_xll.ciqfunctions.udf.CIQ(InputTicker, "IQ_PENSION",Input!F$2,Date,,,Ccy,Conv)</f>
        <v>0</v>
      </c>
      <c r="E329" s="4">
        <f>_xll.ciqfunctions.udf.CIQ(InputTicker, "IQ_PENSION",Input!G$2,Date,,,Ccy,Conv)</f>
        <v>0</v>
      </c>
      <c r="F329" s="4">
        <f>_xll.ciqfunctions.udf.CIQ(InputTicker, "IQ_PENSION",Input!H$2,Date,,,Ccy,Conv)</f>
        <v>0</v>
      </c>
      <c r="G329" s="4">
        <f>_xll.ciqfunctions.udf.CIQ(InputTicker, "IQ_PENSION",Input!I$2,Date,,,Ccy,Conv)</f>
        <v>0</v>
      </c>
      <c r="H329" s="4">
        <f>_xll.ciqfunctions.udf.CIQ(InputTicker, "IQ_PENSION",Input!J$2,Date,,,Ccy,Conv)</f>
        <v>0</v>
      </c>
      <c r="I329" s="4">
        <f>_xll.ciqfunctions.udf.CIQ(InputTicker, "IQ_PENSION",Input!K$2,Date,,,Ccy,Conv)</f>
        <v>0</v>
      </c>
      <c r="J329" s="4">
        <f>_xll.ciqfunctions.udf.CIQ(InputTicker, "IQ_PENSION",Input!L$2,Date,,,Ccy,Conv)</f>
        <v>0</v>
      </c>
      <c r="K329" s="4">
        <f>_xll.ciqfunctions.udf.CIQ(InputTicker, "IQ_PENSION",Input!M$2,Date,,,Ccy,Conv)</f>
        <v>0</v>
      </c>
      <c r="L329" s="4">
        <f>_xll.ciqfunctions.udf.CIQ(InputTicker, "IQ_PENSION",Input!N$2,Date,,,Ccy,Conv)</f>
        <v>0</v>
      </c>
      <c r="M329" s="4">
        <f>_xll.ciqfunctions.udf.CIQ(InputTicker, "IQ_PENSION",Input!O$2,Date,,,Ccy,Conv)</f>
        <v>0</v>
      </c>
      <c r="N329" s="46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  <c r="AK329" s="42"/>
      <c r="AL329" s="42"/>
      <c r="AM329" s="42"/>
      <c r="AN329" s="42"/>
      <c r="AO329" s="42"/>
      <c r="AP329" s="42"/>
      <c r="AQ329" s="42"/>
      <c r="AR329" s="42"/>
      <c r="AS329" s="42"/>
      <c r="AT329" s="42"/>
      <c r="AU329" s="42"/>
      <c r="AV329" s="42"/>
      <c r="AW329" s="42"/>
      <c r="AX329" s="42"/>
      <c r="AY329" s="42"/>
      <c r="AZ329" s="42"/>
      <c r="BA329" s="42"/>
      <c r="BB329" s="42"/>
      <c r="BC329" s="42"/>
      <c r="BD329" s="42"/>
      <c r="BE329" s="42"/>
      <c r="BF329" s="42"/>
      <c r="BG329" s="42"/>
      <c r="BH329" s="42"/>
      <c r="BI329" s="42"/>
      <c r="BJ329" s="42"/>
      <c r="BK329" s="42"/>
      <c r="BL329" s="42"/>
      <c r="BM329" s="42"/>
      <c r="BN329" s="42"/>
    </row>
    <row r="330" spans="1:66" ht="12.75" customHeight="1" x14ac:dyDescent="0.2">
      <c r="A330" s="42" t="s">
        <v>137</v>
      </c>
      <c r="B330" s="4">
        <f>_xll.ciqfunctions.udf.CIQ(InputTicker, "IQ_DEF_TAX_LIAB_LT",Input!D$2,Date,,,Ccy,Conv)</f>
        <v>1295</v>
      </c>
      <c r="C330" s="4">
        <f>_xll.ciqfunctions.udf.CIQ(InputTicker, "IQ_DEF_TAX_LIAB_LT",Input!E$2,Date,,,Ccy,Conv)</f>
        <v>1476</v>
      </c>
      <c r="D330" s="4">
        <f>_xll.ciqfunctions.udf.CIQ(InputTicker, "IQ_DEF_TAX_LIAB_LT",Input!F$2,Date,,,Ccy,Conv)</f>
        <v>5734</v>
      </c>
      <c r="E330" s="4">
        <f>_xll.ciqfunctions.udf.CIQ(InputTicker, "IQ_DEF_TAX_LIAB_LT",Input!G$2,Date,,,Ccy,Conv)</f>
        <v>541</v>
      </c>
      <c r="F330" s="4">
        <f>_xll.ciqfunctions.udf.CIQ(InputTicker, "IQ_DEF_TAX_LIAB_LT",Input!H$2,Date,,,Ccy,Conv)</f>
        <v>233</v>
      </c>
      <c r="G330" s="4">
        <f>_xll.ciqfunctions.udf.CIQ(InputTicker, "IQ_DEF_TAX_LIAB_LT",Input!I$2,Date,,,Ccy,Conv)</f>
        <v>204</v>
      </c>
      <c r="H330" s="4">
        <f>_xll.ciqfunctions.udf.CIQ(InputTicker, "IQ_DEF_TAX_LIAB_LT",Input!J$2,Date,,,Ccy,Conv)</f>
        <v>198</v>
      </c>
      <c r="I330" s="4">
        <f>_xll.ciqfunctions.udf.CIQ(InputTicker, "IQ_DEF_TAX_LIAB_LT",Input!K$2,Date,,,Ccy,Conv)</f>
        <v>230</v>
      </c>
      <c r="J330" s="4">
        <f>_xll.ciqfunctions.udf.CIQ(InputTicker, "IQ_DEF_TAX_LIAB_LT",Input!L$2,Date,,,Ccy,Conv)</f>
        <v>433</v>
      </c>
      <c r="K330" s="4">
        <f>_xll.ciqfunctions.udf.CIQ(InputTicker, "IQ_DEF_TAX_LIAB_LT",Input!M$2,Date,,,Ccy,Conv)</f>
        <v>2618</v>
      </c>
      <c r="L330" s="4">
        <f>_xll.ciqfunctions.udf.CIQ(InputTicker, "IQ_DEF_TAX_LIAB_LT",Input!N$2,Date,,,Ccy,Conv)</f>
        <v>2835</v>
      </c>
      <c r="M330" s="4">
        <f>_xll.ciqfunctions.udf.CIQ(InputTicker, "IQ_DEF_TAX_LIAB_LT",Input!O$2,Date,,,Ccy,Conv)</f>
        <v>2899</v>
      </c>
      <c r="N330" s="42"/>
      <c r="S330" s="46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  <c r="AK330" s="42"/>
      <c r="AL330" s="42"/>
      <c r="AM330" s="42"/>
      <c r="AN330" s="42"/>
      <c r="AO330" s="42"/>
      <c r="AP330" s="42"/>
      <c r="AQ330" s="42"/>
      <c r="AR330" s="42"/>
      <c r="AS330" s="42"/>
      <c r="AT330" s="42"/>
      <c r="AU330" s="42"/>
      <c r="AV330" s="42"/>
      <c r="AW330" s="42"/>
      <c r="AX330" s="42"/>
      <c r="AY330" s="42"/>
      <c r="AZ330" s="42"/>
      <c r="BA330" s="42"/>
      <c r="BB330" s="42"/>
      <c r="BC330" s="42"/>
      <c r="BD330" s="42"/>
      <c r="BE330" s="42"/>
      <c r="BF330" s="42"/>
      <c r="BG330" s="42"/>
      <c r="BH330" s="42"/>
      <c r="BI330" s="42"/>
      <c r="BJ330" s="42"/>
      <c r="BK330" s="42"/>
      <c r="BL330" s="42"/>
      <c r="BM330" s="42"/>
      <c r="BN330" s="42"/>
    </row>
    <row r="331" spans="1:66" ht="12.75" customHeight="1" x14ac:dyDescent="0.2">
      <c r="A331" s="42" t="s">
        <v>138</v>
      </c>
      <c r="B331" s="4">
        <f>_xll.ciqfunctions.udf.CIQ(InputTicker, "IQ_OTHER_LIAB_LT",Input!D$2,Date,,,Ccy,Conv)</f>
        <v>13544</v>
      </c>
      <c r="C331" s="4">
        <f>_xll.ciqfunctions.udf.CIQ(InputTicker, "IQ_OTHER_LIAB_LT",Input!E$2,Date,,,Ccy,Conv)</f>
        <v>12879</v>
      </c>
      <c r="D331" s="4">
        <f>_xll.ciqfunctions.udf.CIQ(InputTicker, "IQ_OTHER_LIAB_LT",Input!F$2,Date,,,Ccy,Conv)</f>
        <v>14609</v>
      </c>
      <c r="E331" s="4">
        <f>_xll.ciqfunctions.udf.CIQ(InputTicker, "IQ_OTHER_LIAB_LT",Input!G$2,Date,,,Ccy,Conv)</f>
        <v>31351</v>
      </c>
      <c r="F331" s="4">
        <f>_xll.ciqfunctions.udf.CIQ(InputTicker, "IQ_OTHER_LIAB_LT",Input!H$2,Date,,,Ccy,Conv)</f>
        <v>30936</v>
      </c>
      <c r="G331" s="4">
        <f>_xll.ciqfunctions.udf.CIQ(InputTicker, "IQ_OTHER_LIAB_LT",Input!I$2,Date,,,Ccy,Conv)</f>
        <v>31108</v>
      </c>
      <c r="H331" s="4">
        <f>_xll.ciqfunctions.udf.CIQ(InputTicker, "IQ_OTHER_LIAB_LT",Input!J$2,Date,,,Ccy,Conv)</f>
        <v>28867</v>
      </c>
      <c r="I331" s="4">
        <f>_xll.ciqfunctions.udf.CIQ(InputTicker, "IQ_OTHER_LIAB_LT",Input!K$2,Date,,,Ccy,Conv)</f>
        <v>27753</v>
      </c>
      <c r="J331" s="4">
        <f>_xll.ciqfunctions.udf.CIQ(InputTicker, "IQ_OTHER_LIAB_LT",Input!L$2,Date,,,Ccy,Conv)</f>
        <v>27671</v>
      </c>
      <c r="K331" s="4">
        <f>_xll.ciqfunctions.udf.CIQ(InputTicker, "IQ_OTHER_LIAB_LT",Input!M$2,Date,,,Ccy,Conv)</f>
        <v>30199</v>
      </c>
      <c r="L331" s="4">
        <f>_xll.ciqfunctions.udf.CIQ(InputTicker, "IQ_OTHER_LIAB_LT",Input!N$2,Date,,,Ccy,Conv)</f>
        <v>28172</v>
      </c>
      <c r="M331" s="4">
        <f>_xll.ciqfunctions.udf.CIQ(InputTicker, "IQ_OTHER_LIAB_LT",Input!O$2,Date,,,Ccy,Conv)</f>
        <v>30553</v>
      </c>
      <c r="N331" s="42"/>
      <c r="P331" s="46"/>
      <c r="Q331" s="46"/>
      <c r="R331" s="46"/>
      <c r="S331" s="46"/>
      <c r="T331" s="42"/>
      <c r="U331" s="42"/>
      <c r="V331" s="46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  <c r="BA331" s="42"/>
      <c r="BB331" s="42"/>
      <c r="BC331" s="42"/>
      <c r="BD331" s="42"/>
      <c r="BE331" s="42"/>
      <c r="BF331" s="42"/>
      <c r="BG331" s="42"/>
      <c r="BH331" s="42"/>
      <c r="BI331" s="42"/>
      <c r="BJ331" s="42"/>
      <c r="BK331" s="42"/>
      <c r="BL331" s="42"/>
      <c r="BM331" s="42"/>
      <c r="BN331" s="42"/>
    </row>
    <row r="332" spans="1:66" ht="12.75" customHeight="1" thickBot="1" x14ac:dyDescent="0.25">
      <c r="A332" s="5" t="s">
        <v>510</v>
      </c>
      <c r="B332" s="9">
        <f>_xll.ciqfunctions.udf.CIQ(InputTicker, "IQ_TOTAL_LIAB",Input!D$2,Date,,,Ccy,Conv)</f>
        <v>94389</v>
      </c>
      <c r="C332" s="9">
        <f>_xll.ciqfunctions.udf.CIQ(InputTicker, "IQ_TOTAL_LIAB",Input!E$2,Date,,,Ccy,Conv)</f>
        <v>121471</v>
      </c>
      <c r="D332" s="9">
        <f>_xll.ciqfunctions.udf.CIQ(InputTicker, "IQ_TOTAL_LIAB",Input!F$2,Date,,,Ccy,Conv)</f>
        <v>162601</v>
      </c>
      <c r="E332" s="9">
        <f>_xll.ciqfunctions.udf.CIQ(InputTicker, "IQ_TOTAL_LIAB",Input!G$2,Date,,,Ccy,Conv)</f>
        <v>176130</v>
      </c>
      <c r="F332" s="9">
        <f>_xll.ciqfunctions.udf.CIQ(InputTicker, "IQ_TOTAL_LIAB",Input!H$2,Date,,,Ccy,Conv)</f>
        <v>184226</v>
      </c>
      <c r="G332" s="9">
        <f>_xll.ciqfunctions.udf.CIQ(InputTicker, "IQ_TOTAL_LIAB",Input!I$2,Date,,,Ccy,Conv)</f>
        <v>183007</v>
      </c>
      <c r="H332" s="9">
        <f>_xll.ciqfunctions.udf.CIQ(InputTicker, "IQ_TOTAL_LIAB",Input!J$2,Date,,,Ccy,Conv)</f>
        <v>191791</v>
      </c>
      <c r="I332" s="9">
        <f>_xll.ciqfunctions.udf.CIQ(InputTicker, "IQ_TOTAL_LIAB",Input!K$2,Date,,,Ccy,Conv)</f>
        <v>198298</v>
      </c>
      <c r="J332" s="9">
        <f>_xll.ciqfunctions.udf.CIQ(InputTicker, "IQ_TOTAL_LIAB",Input!L$2,Date,,,Ccy,Conv)</f>
        <v>205753</v>
      </c>
      <c r="K332" s="9">
        <f>_xll.ciqfunctions.udf.CIQ(InputTicker, "IQ_TOTAL_LIAB",Input!M$2,Date,,,Ccy,Conv)</f>
        <v>243686</v>
      </c>
      <c r="L332" s="9">
        <f>_xll.ciqfunctions.udf.CIQ(InputTicker, "IQ_TOTAL_LIAB",Input!N$2,Date,,,Ccy,Conv)</f>
        <v>275524</v>
      </c>
      <c r="M332" s="9">
        <f>_xll.ciqfunctions.udf.CIQ(InputTicker, "IQ_TOTAL_LIAB",Input!O$2,Date,,,Ccy,Conv)</f>
        <v>279861</v>
      </c>
      <c r="N332" s="42"/>
      <c r="S332" s="46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  <c r="AK332" s="42"/>
      <c r="AL332" s="42"/>
      <c r="AM332" s="42"/>
      <c r="AN332" s="42"/>
      <c r="AO332" s="42"/>
      <c r="AP332" s="42"/>
      <c r="AQ332" s="42"/>
      <c r="AR332" s="42"/>
      <c r="AS332" s="42"/>
      <c r="AT332" s="42"/>
      <c r="AU332" s="42"/>
      <c r="AV332" s="42"/>
      <c r="AW332" s="42"/>
      <c r="AX332" s="42"/>
      <c r="AY332" s="42"/>
      <c r="AZ332" s="42"/>
      <c r="BA332" s="42"/>
      <c r="BB332" s="42"/>
      <c r="BC332" s="42"/>
      <c r="BD332" s="42"/>
      <c r="BE332" s="42"/>
      <c r="BF332" s="42"/>
      <c r="BG332" s="42"/>
      <c r="BH332" s="42"/>
      <c r="BI332" s="42"/>
      <c r="BJ332" s="42"/>
      <c r="BK332" s="42"/>
      <c r="BL332" s="42"/>
      <c r="BM332" s="42"/>
      <c r="BN332" s="42"/>
    </row>
    <row r="333" spans="1:66" ht="12.75" customHeight="1" thickTop="1" x14ac:dyDescent="0.2">
      <c r="A333" s="1" t="s">
        <v>193</v>
      </c>
      <c r="B333" s="4">
        <f>_xll.ciqfunctions.udf.CIQ(InputTicker, "IQ_PREF_REDEEM",Input!D$2,Date,,,Ccy,Conv)</f>
        <v>0</v>
      </c>
      <c r="C333" s="4">
        <f>_xll.ciqfunctions.udf.CIQ(InputTicker, "IQ_PREF_REDEEM",Input!E$2,Date,,,Ccy,Conv)</f>
        <v>0</v>
      </c>
      <c r="D333" s="4">
        <f>_xll.ciqfunctions.udf.CIQ(InputTicker, "IQ_PREF_REDEEM",Input!F$2,Date,,,Ccy,Conv)</f>
        <v>0</v>
      </c>
      <c r="E333" s="4">
        <f>_xll.ciqfunctions.udf.CIQ(InputTicker, "IQ_PREF_REDEEM",Input!G$2,Date,,,Ccy,Conv)</f>
        <v>0</v>
      </c>
      <c r="F333" s="4">
        <f>_xll.ciqfunctions.udf.CIQ(InputTicker, "IQ_PREF_REDEEM",Input!H$2,Date,,,Ccy,Conv)</f>
        <v>0</v>
      </c>
      <c r="G333" s="4">
        <f>_xll.ciqfunctions.udf.CIQ(InputTicker, "IQ_PREF_REDEEM",Input!I$2,Date,,,Ccy,Conv)</f>
        <v>0</v>
      </c>
      <c r="H333" s="4">
        <f>_xll.ciqfunctions.udf.CIQ(InputTicker, "IQ_PREF_REDEEM",Input!J$2,Date,,,Ccy,Conv)</f>
        <v>0</v>
      </c>
      <c r="I333" s="4">
        <f>_xll.ciqfunctions.udf.CIQ(InputTicker, "IQ_PREF_REDEEM",Input!K$2,Date,,,Ccy,Conv)</f>
        <v>0</v>
      </c>
      <c r="J333" s="4">
        <f>_xll.ciqfunctions.udf.CIQ(InputTicker, "IQ_PREF_REDEEM",Input!L$2,Date,,,Ccy,Conv)</f>
        <v>0</v>
      </c>
      <c r="K333" s="4">
        <f>_xll.ciqfunctions.udf.CIQ(InputTicker, "IQ_PREF_REDEEM",Input!M$2,Date,,,Ccy,Conv)</f>
        <v>0</v>
      </c>
      <c r="L333" s="4">
        <f>_xll.ciqfunctions.udf.CIQ(InputTicker, "IQ_PREF_REDEEM",Input!N$2,Date,,,Ccy,Conv)</f>
        <v>0</v>
      </c>
      <c r="M333" s="4">
        <f>_xll.ciqfunctions.udf.CIQ(InputTicker, "IQ_PREF_REDEEM",Input!O$2,Date,,,Ccy,Conv)</f>
        <v>0</v>
      </c>
      <c r="N333" s="46"/>
      <c r="P333" s="46"/>
      <c r="Q333" s="46"/>
      <c r="R333" s="46"/>
      <c r="T333" s="42"/>
      <c r="U333" s="42"/>
      <c r="V333" s="46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  <c r="AN333" s="42"/>
      <c r="AO333" s="42"/>
      <c r="AP333" s="42"/>
      <c r="AQ333" s="42"/>
      <c r="AR333" s="42"/>
      <c r="AS333" s="42"/>
      <c r="AT333" s="42"/>
      <c r="AU333" s="42"/>
      <c r="AV333" s="42"/>
      <c r="AW333" s="42"/>
      <c r="AX333" s="42"/>
      <c r="AY333" s="42"/>
      <c r="AZ333" s="42"/>
      <c r="BA333" s="42"/>
      <c r="BB333" s="42"/>
      <c r="BC333" s="42"/>
      <c r="BD333" s="42"/>
      <c r="BE333" s="42"/>
      <c r="BF333" s="42"/>
      <c r="BG333" s="42"/>
      <c r="BH333" s="42"/>
      <c r="BI333" s="42"/>
      <c r="BJ333" s="42"/>
      <c r="BK333" s="42"/>
      <c r="BL333" s="42"/>
      <c r="BM333" s="42"/>
      <c r="BN333" s="42"/>
    </row>
    <row r="334" spans="1:66" ht="12.75" customHeight="1" x14ac:dyDescent="0.2">
      <c r="A334" s="1" t="s">
        <v>194</v>
      </c>
      <c r="B334" s="4">
        <f>_xll.ciqfunctions.udf.CIQ(InputTicker, "IQ_PREF_NON_REDEEM",Input!D$2,Date,,,Ccy,Conv)</f>
        <v>0</v>
      </c>
      <c r="C334" s="4">
        <f>_xll.ciqfunctions.udf.CIQ(InputTicker, "IQ_PREF_NON_REDEEM",Input!E$2,Date,,,Ccy,Conv)</f>
        <v>0</v>
      </c>
      <c r="D334" s="4">
        <f>_xll.ciqfunctions.udf.CIQ(InputTicker, "IQ_PREF_NON_REDEEM",Input!F$2,Date,,,Ccy,Conv)</f>
        <v>0</v>
      </c>
      <c r="E334" s="4">
        <f>_xll.ciqfunctions.udf.CIQ(InputTicker, "IQ_PREF_NON_REDEEM",Input!G$2,Date,,,Ccy,Conv)</f>
        <v>0</v>
      </c>
      <c r="F334" s="4">
        <f>_xll.ciqfunctions.udf.CIQ(InputTicker, "IQ_PREF_NON_REDEEM",Input!H$2,Date,,,Ccy,Conv)</f>
        <v>0</v>
      </c>
      <c r="G334" s="4">
        <f>_xll.ciqfunctions.udf.CIQ(InputTicker, "IQ_PREF_NON_REDEEM",Input!I$2,Date,,,Ccy,Conv)</f>
        <v>0</v>
      </c>
      <c r="H334" s="4">
        <f>_xll.ciqfunctions.udf.CIQ(InputTicker, "IQ_PREF_NON_REDEEM",Input!J$2,Date,,,Ccy,Conv)</f>
        <v>0</v>
      </c>
      <c r="I334" s="4">
        <f>_xll.ciqfunctions.udf.CIQ(InputTicker, "IQ_PREF_NON_REDEEM",Input!K$2,Date,,,Ccy,Conv)</f>
        <v>0</v>
      </c>
      <c r="J334" s="4">
        <f>_xll.ciqfunctions.udf.CIQ(InputTicker, "IQ_PREF_NON_REDEEM",Input!L$2,Date,,,Ccy,Conv)</f>
        <v>0</v>
      </c>
      <c r="K334" s="4">
        <f>_xll.ciqfunctions.udf.CIQ(InputTicker, "IQ_PREF_NON_REDEEM",Input!M$2,Date,,,Ccy,Conv)</f>
        <v>0</v>
      </c>
      <c r="L334" s="4">
        <f>_xll.ciqfunctions.udf.CIQ(InputTicker, "IQ_PREF_NON_REDEEM",Input!N$2,Date,,,Ccy,Conv)</f>
        <v>0</v>
      </c>
      <c r="M334" s="4">
        <f>_xll.ciqfunctions.udf.CIQ(InputTicker, "IQ_PREF_NON_REDEEM",Input!O$2,Date,,,Ccy,Conv)</f>
        <v>0</v>
      </c>
      <c r="N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  <c r="BA334" s="42"/>
      <c r="BB334" s="42"/>
      <c r="BC334" s="42"/>
      <c r="BD334" s="42"/>
      <c r="BE334" s="42"/>
      <c r="BF334" s="42"/>
      <c r="BG334" s="42"/>
      <c r="BH334" s="42"/>
      <c r="BI334" s="42"/>
      <c r="BJ334" s="42"/>
      <c r="BK334" s="42"/>
      <c r="BL334" s="42"/>
      <c r="BM334" s="42"/>
      <c r="BN334" s="42"/>
    </row>
    <row r="335" spans="1:66" ht="12.75" customHeight="1" x14ac:dyDescent="0.2">
      <c r="A335" s="1" t="s">
        <v>195</v>
      </c>
      <c r="B335" s="4">
        <f>_xll.ciqfunctions.udf.CIQ(InputTicker, "IQ_PREF_CONVERT",Input!D$2,Date,,,Ccy,Conv)</f>
        <v>0</v>
      </c>
      <c r="C335" s="4">
        <f>_xll.ciqfunctions.udf.CIQ(InputTicker, "IQ_PREF_CONVERT",Input!E$2,Date,,,Ccy,Conv)</f>
        <v>0</v>
      </c>
      <c r="D335" s="4">
        <f>_xll.ciqfunctions.udf.CIQ(InputTicker, "IQ_PREF_CONVERT",Input!F$2,Date,,,Ccy,Conv)</f>
        <v>0</v>
      </c>
      <c r="E335" s="4">
        <f>_xll.ciqfunctions.udf.CIQ(InputTicker, "IQ_PREF_CONVERT",Input!G$2,Date,,,Ccy,Conv)</f>
        <v>0</v>
      </c>
      <c r="F335" s="4">
        <f>_xll.ciqfunctions.udf.CIQ(InputTicker, "IQ_PREF_CONVERT",Input!H$2,Date,,,Ccy,Conv)</f>
        <v>0</v>
      </c>
      <c r="G335" s="4">
        <f>_xll.ciqfunctions.udf.CIQ(InputTicker, "IQ_PREF_CONVERT",Input!I$2,Date,,,Ccy,Conv)</f>
        <v>0</v>
      </c>
      <c r="H335" s="4">
        <f>_xll.ciqfunctions.udf.CIQ(InputTicker, "IQ_PREF_CONVERT",Input!J$2,Date,,,Ccy,Conv)</f>
        <v>0</v>
      </c>
      <c r="I335" s="4">
        <f>_xll.ciqfunctions.udf.CIQ(InputTicker, "IQ_PREF_CONVERT",Input!K$2,Date,,,Ccy,Conv)</f>
        <v>0</v>
      </c>
      <c r="J335" s="4">
        <f>_xll.ciqfunctions.udf.CIQ(InputTicker, "IQ_PREF_CONVERT",Input!L$2,Date,,,Ccy,Conv)</f>
        <v>0</v>
      </c>
      <c r="K335" s="4">
        <f>_xll.ciqfunctions.udf.CIQ(InputTicker, "IQ_PREF_CONVERT",Input!M$2,Date,,,Ccy,Conv)</f>
        <v>0</v>
      </c>
      <c r="L335" s="4">
        <f>_xll.ciqfunctions.udf.CIQ(InputTicker, "IQ_PREF_CONVERT",Input!N$2,Date,,,Ccy,Conv)</f>
        <v>0</v>
      </c>
      <c r="M335" s="4">
        <f>_xll.ciqfunctions.udf.CIQ(InputTicker, "IQ_PREF_CONVERT",Input!O$2,Date,,,Ccy,Conv)</f>
        <v>0</v>
      </c>
      <c r="N335" s="42"/>
      <c r="T335" s="51"/>
      <c r="U335" s="51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  <c r="AK335" s="42"/>
      <c r="AL335" s="42"/>
      <c r="AM335" s="42"/>
      <c r="AN335" s="42"/>
      <c r="AO335" s="42"/>
      <c r="AP335" s="42"/>
      <c r="AQ335" s="42"/>
      <c r="AR335" s="42"/>
      <c r="AS335" s="42"/>
      <c r="AT335" s="42"/>
      <c r="AU335" s="42"/>
      <c r="AV335" s="42"/>
      <c r="AW335" s="42"/>
      <c r="AX335" s="42"/>
      <c r="AY335" s="42"/>
      <c r="AZ335" s="42"/>
      <c r="BA335" s="42"/>
      <c r="BB335" s="42"/>
      <c r="BC335" s="42"/>
      <c r="BD335" s="42"/>
      <c r="BE335" s="42"/>
      <c r="BF335" s="42"/>
      <c r="BG335" s="42"/>
      <c r="BH335" s="42"/>
      <c r="BI335" s="42"/>
      <c r="BJ335" s="42"/>
      <c r="BK335" s="42"/>
      <c r="BL335" s="42"/>
      <c r="BM335" s="42"/>
      <c r="BN335" s="42"/>
    </row>
    <row r="336" spans="1:66" ht="12.75" customHeight="1" x14ac:dyDescent="0.2">
      <c r="A336" s="1" t="s">
        <v>196</v>
      </c>
      <c r="B336" s="4">
        <f>_xll.ciqfunctions.udf.CIQ(InputTicker, "IQ_PREF_OTHER",Input!D$2,Date,,,Ccy,Conv)</f>
        <v>0</v>
      </c>
      <c r="C336" s="4">
        <f>_xll.ciqfunctions.udf.CIQ(InputTicker, "IQ_PREF_OTHER",Input!E$2,Date,,,Ccy,Conv)</f>
        <v>0</v>
      </c>
      <c r="D336" s="4">
        <f>_xll.ciqfunctions.udf.CIQ(InputTicker, "IQ_PREF_OTHER",Input!F$2,Date,,,Ccy,Conv)</f>
        <v>0</v>
      </c>
      <c r="E336" s="4">
        <f>_xll.ciqfunctions.udf.CIQ(InputTicker, "IQ_PREF_OTHER",Input!G$2,Date,,,Ccy,Conv)</f>
        <v>0</v>
      </c>
      <c r="F336" s="4">
        <f>_xll.ciqfunctions.udf.CIQ(InputTicker, "IQ_PREF_OTHER",Input!H$2,Date,,,Ccy,Conv)</f>
        <v>0</v>
      </c>
      <c r="G336" s="4">
        <f>_xll.ciqfunctions.udf.CIQ(InputTicker, "IQ_PREF_OTHER",Input!I$2,Date,,,Ccy,Conv)</f>
        <v>0</v>
      </c>
      <c r="H336" s="4">
        <f>_xll.ciqfunctions.udf.CIQ(InputTicker, "IQ_PREF_OTHER",Input!J$2,Date,,,Ccy,Conv)</f>
        <v>0</v>
      </c>
      <c r="I336" s="4">
        <f>_xll.ciqfunctions.udf.CIQ(InputTicker, "IQ_PREF_OTHER",Input!K$2,Date,,,Ccy,Conv)</f>
        <v>0</v>
      </c>
      <c r="J336" s="4">
        <f>_xll.ciqfunctions.udf.CIQ(InputTicker, "IQ_PREF_OTHER",Input!L$2,Date,,,Ccy,Conv)</f>
        <v>0</v>
      </c>
      <c r="K336" s="4">
        <f>_xll.ciqfunctions.udf.CIQ(InputTicker, "IQ_PREF_OTHER",Input!M$2,Date,,,Ccy,Conv)</f>
        <v>0</v>
      </c>
      <c r="L336" s="4">
        <f>_xll.ciqfunctions.udf.CIQ(InputTicker, "IQ_PREF_OTHER",Input!N$2,Date,,,Ccy,Conv)</f>
        <v>0</v>
      </c>
      <c r="M336" s="4">
        <f>_xll.ciqfunctions.udf.CIQ(InputTicker, "IQ_PREF_OTHER",Input!O$2,Date,,,Ccy,Conv)</f>
        <v>0</v>
      </c>
      <c r="N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  <c r="AK336" s="42"/>
      <c r="AL336" s="42"/>
      <c r="AM336" s="42"/>
      <c r="AN336" s="42"/>
      <c r="AO336" s="42"/>
      <c r="AP336" s="42"/>
      <c r="AQ336" s="42"/>
      <c r="AR336" s="42"/>
      <c r="AS336" s="42"/>
      <c r="AT336" s="42"/>
      <c r="AU336" s="42"/>
      <c r="AV336" s="42"/>
      <c r="AW336" s="42"/>
      <c r="AX336" s="42"/>
      <c r="AY336" s="42"/>
      <c r="AZ336" s="42"/>
      <c r="BA336" s="42"/>
      <c r="BB336" s="42"/>
      <c r="BC336" s="42"/>
      <c r="BD336" s="42"/>
      <c r="BE336" s="42"/>
      <c r="BF336" s="42"/>
      <c r="BG336" s="42"/>
      <c r="BH336" s="42"/>
      <c r="BI336" s="42"/>
      <c r="BJ336" s="42"/>
      <c r="BK336" s="42"/>
      <c r="BL336" s="42"/>
      <c r="BM336" s="42"/>
      <c r="BN336" s="42"/>
    </row>
    <row r="337" spans="1:66" ht="12.75" customHeight="1" x14ac:dyDescent="0.2">
      <c r="A337" s="5" t="s">
        <v>511</v>
      </c>
      <c r="B337" s="10">
        <f>_xll.ciqfunctions.udf.CIQ(InputTicker, "IQ_PREF_EQUITY",Input!D$2,Date,,,Ccy,Conv)</f>
        <v>0</v>
      </c>
      <c r="C337" s="10">
        <f>_xll.ciqfunctions.udf.CIQ(InputTicker, "IQ_PREF_EQUITY",Input!E$2,Date,,,Ccy,Conv)</f>
        <v>0</v>
      </c>
      <c r="D337" s="10">
        <f>_xll.ciqfunctions.udf.CIQ(InputTicker, "IQ_PREF_EQUITY",Input!F$2,Date,,,Ccy,Conv)</f>
        <v>0</v>
      </c>
      <c r="E337" s="10">
        <f>_xll.ciqfunctions.udf.CIQ(InputTicker, "IQ_PREF_EQUITY",Input!G$2,Date,,,Ccy,Conv)</f>
        <v>0</v>
      </c>
      <c r="F337" s="10">
        <f>_xll.ciqfunctions.udf.CIQ(InputTicker, "IQ_PREF_EQUITY",Input!H$2,Date,,,Ccy,Conv)</f>
        <v>0</v>
      </c>
      <c r="G337" s="10">
        <f>_xll.ciqfunctions.udf.CIQ(InputTicker, "IQ_PREF_EQUITY",Input!I$2,Date,,,Ccy,Conv)</f>
        <v>0</v>
      </c>
      <c r="H337" s="10">
        <f>_xll.ciqfunctions.udf.CIQ(InputTicker, "IQ_PREF_EQUITY",Input!J$2,Date,,,Ccy,Conv)</f>
        <v>0</v>
      </c>
      <c r="I337" s="10">
        <f>_xll.ciqfunctions.udf.CIQ(InputTicker, "IQ_PREF_EQUITY",Input!K$2,Date,,,Ccy,Conv)</f>
        <v>0</v>
      </c>
      <c r="J337" s="10">
        <f>_xll.ciqfunctions.udf.CIQ(InputTicker, "IQ_PREF_EQUITY",Input!L$2,Date,,,Ccy,Conv)</f>
        <v>0</v>
      </c>
      <c r="K337" s="10">
        <f>_xll.ciqfunctions.udf.CIQ(InputTicker, "IQ_PREF_EQUITY",Input!M$2,Date,,,Ccy,Conv)</f>
        <v>0</v>
      </c>
      <c r="L337" s="10">
        <f>_xll.ciqfunctions.udf.CIQ(InputTicker, "IQ_PREF_EQUITY",Input!N$2,Date,,,Ccy,Conv)</f>
        <v>0</v>
      </c>
      <c r="M337" s="10">
        <f>_xll.ciqfunctions.udf.CIQ(InputTicker, "IQ_PREF_EQUITY",Input!O$2,Date,,,Ccy,Conv)</f>
        <v>0</v>
      </c>
      <c r="N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  <c r="BA337" s="42"/>
      <c r="BB337" s="42"/>
      <c r="BC337" s="42"/>
      <c r="BD337" s="42"/>
      <c r="BE337" s="42"/>
      <c r="BF337" s="42"/>
      <c r="BG337" s="42"/>
      <c r="BH337" s="42"/>
      <c r="BI337" s="42"/>
      <c r="BJ337" s="42"/>
      <c r="BK337" s="42"/>
      <c r="BL337" s="42"/>
      <c r="BM337" s="42"/>
      <c r="BN337" s="42"/>
    </row>
    <row r="338" spans="1:66" ht="12.75" customHeight="1" x14ac:dyDescent="0.2">
      <c r="A338" s="1" t="s">
        <v>47</v>
      </c>
      <c r="B338" s="4">
        <f>_xll.ciqfunctions.udf.CIQ(InputTicker, "IQ_COMMON",Input!D$2,Date,,,Ccy,Conv)</f>
        <v>68465</v>
      </c>
      <c r="C338" s="4">
        <f>_xll.ciqfunctions.udf.CIQ(InputTicker, "IQ_COMMON",Input!E$2,Date,,,Ccy,Conv)</f>
        <v>68178</v>
      </c>
      <c r="D338" s="4">
        <f>_xll.ciqfunctions.udf.CIQ(InputTicker, "IQ_COMMON",Input!F$2,Date,,,Ccy,Conv)</f>
        <v>69315</v>
      </c>
      <c r="E338" s="4">
        <f>_xll.ciqfunctions.udf.CIQ(InputTicker, "IQ_COMMON",Input!G$2,Date,,,Ccy,Conv)</f>
        <v>71223</v>
      </c>
      <c r="F338" s="4">
        <f>_xll.ciqfunctions.udf.CIQ(InputTicker, "IQ_COMMON",Input!H$2,Date,,,Ccy,Conv)</f>
        <v>78520</v>
      </c>
      <c r="G338" s="4">
        <f>_xll.ciqfunctions.udf.CIQ(InputTicker, "IQ_COMMON",Input!I$2,Date,,,Ccy,Conv)</f>
        <v>80552</v>
      </c>
      <c r="H338" s="4">
        <f>_xll.ciqfunctions.udf.CIQ(InputTicker, "IQ_COMMON",Input!J$2,Date,,,Ccy,Conv)</f>
        <v>83111</v>
      </c>
      <c r="I338" s="4">
        <f>_xll.ciqfunctions.udf.CIQ(InputTicker, "IQ_COMMON",Input!K$2,Date,,,Ccy,Conv)</f>
        <v>86939</v>
      </c>
      <c r="J338" s="4">
        <f>_xll.ciqfunctions.udf.CIQ(InputTicker, "IQ_COMMON",Input!L$2,Date,,,Ccy,Conv)</f>
        <v>93718</v>
      </c>
      <c r="K338" s="4">
        <f>_xll.ciqfunctions.udf.CIQ(InputTicker, "IQ_COMMON",Input!M$2,Date,,,Ccy,Conv)</f>
        <v>100923</v>
      </c>
      <c r="L338" s="4">
        <f>_xll.ciqfunctions.udf.CIQ(InputTicker, "IQ_COMMON",Input!N$2,Date,,,Ccy,Conv)</f>
        <v>109095</v>
      </c>
      <c r="M338" s="4">
        <f>_xll.ciqfunctions.udf.CIQ(InputTicker, "IQ_COMMON",Input!O$2,Date,,,Ccy,Conv)</f>
        <v>115069</v>
      </c>
      <c r="N338" s="46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  <c r="AK338" s="42"/>
      <c r="AL338" s="42"/>
      <c r="AM338" s="42"/>
      <c r="AN338" s="42"/>
      <c r="AO338" s="42"/>
      <c r="AP338" s="42"/>
      <c r="AQ338" s="42"/>
      <c r="AR338" s="42"/>
      <c r="AS338" s="42"/>
      <c r="AT338" s="42"/>
      <c r="AU338" s="42"/>
      <c r="AV338" s="42"/>
      <c r="AW338" s="42"/>
      <c r="AX338" s="42"/>
      <c r="AY338" s="42"/>
      <c r="AZ338" s="42"/>
      <c r="BA338" s="42"/>
      <c r="BB338" s="42"/>
      <c r="BC338" s="42"/>
      <c r="BD338" s="42"/>
      <c r="BE338" s="42"/>
      <c r="BF338" s="42"/>
      <c r="BG338" s="42"/>
      <c r="BH338" s="42"/>
      <c r="BI338" s="42"/>
      <c r="BJ338" s="42"/>
      <c r="BK338" s="42"/>
      <c r="BL338" s="42"/>
      <c r="BM338" s="42"/>
      <c r="BN338" s="42"/>
    </row>
    <row r="339" spans="1:66" ht="12.75" customHeight="1" x14ac:dyDescent="0.2">
      <c r="A339" s="1" t="s">
        <v>139</v>
      </c>
      <c r="B339" s="4">
        <f>_xll.ciqfunctions.udf.CIQ(InputTicker, "IQ_APIC",Input!D$2,Date,,,Ccy,Conv)</f>
        <v>0</v>
      </c>
      <c r="C339" s="4">
        <f>_xll.ciqfunctions.udf.CIQ(InputTicker, "IQ_APIC",Input!E$2,Date,,,Ccy,Conv)</f>
        <v>0</v>
      </c>
      <c r="D339" s="4">
        <f>_xll.ciqfunctions.udf.CIQ(InputTicker, "IQ_APIC",Input!F$2,Date,,,Ccy,Conv)</f>
        <v>0</v>
      </c>
      <c r="E339" s="4">
        <f>_xll.ciqfunctions.udf.CIQ(InputTicker, "IQ_APIC",Input!G$2,Date,,,Ccy,Conv)</f>
        <v>0</v>
      </c>
      <c r="F339" s="4">
        <f>_xll.ciqfunctions.udf.CIQ(InputTicker, "IQ_APIC",Input!H$2,Date,,,Ccy,Conv)</f>
        <v>0</v>
      </c>
      <c r="G339" s="4">
        <f>_xll.ciqfunctions.udf.CIQ(InputTicker, "IQ_APIC",Input!I$2,Date,,,Ccy,Conv)</f>
        <v>0</v>
      </c>
      <c r="H339" s="4">
        <f>_xll.ciqfunctions.udf.CIQ(InputTicker, "IQ_APIC",Input!J$2,Date,,,Ccy,Conv)</f>
        <v>0</v>
      </c>
      <c r="I339" s="4">
        <f>_xll.ciqfunctions.udf.CIQ(InputTicker, "IQ_APIC",Input!K$2,Date,,,Ccy,Conv)</f>
        <v>0</v>
      </c>
      <c r="J339" s="4">
        <f>_xll.ciqfunctions.udf.CIQ(InputTicker, "IQ_APIC",Input!L$2,Date,,,Ccy,Conv)</f>
        <v>0</v>
      </c>
      <c r="K339" s="4">
        <f>_xll.ciqfunctions.udf.CIQ(InputTicker, "IQ_APIC",Input!M$2,Date,,,Ccy,Conv)</f>
        <v>0</v>
      </c>
      <c r="L339" s="4">
        <f>_xll.ciqfunctions.udf.CIQ(InputTicker, "IQ_APIC",Input!N$2,Date,,,Ccy,Conv)</f>
        <v>0</v>
      </c>
      <c r="M339" s="4">
        <f>_xll.ciqfunctions.udf.CIQ(InputTicker, "IQ_APIC",Input!O$2,Date,,,Ccy,Conv)</f>
        <v>0</v>
      </c>
      <c r="N339" s="42"/>
      <c r="S339" s="46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  <c r="AK339" s="42"/>
      <c r="AL339" s="42"/>
      <c r="AM339" s="42"/>
      <c r="AN339" s="42"/>
      <c r="AO339" s="42"/>
      <c r="AP339" s="42"/>
      <c r="AQ339" s="42"/>
      <c r="AR339" s="42"/>
      <c r="AS339" s="42"/>
      <c r="AT339" s="42"/>
      <c r="AU339" s="42"/>
      <c r="AV339" s="42"/>
      <c r="AW339" s="42"/>
      <c r="AX339" s="42"/>
      <c r="AY339" s="42"/>
      <c r="AZ339" s="42"/>
      <c r="BA339" s="42"/>
      <c r="BB339" s="42"/>
      <c r="BC339" s="42"/>
      <c r="BD339" s="42"/>
      <c r="BE339" s="42"/>
      <c r="BF339" s="42"/>
      <c r="BG339" s="42"/>
      <c r="BH339" s="42"/>
      <c r="BI339" s="42"/>
      <c r="BJ339" s="42"/>
      <c r="BK339" s="42"/>
      <c r="BL339" s="42"/>
      <c r="BM339" s="42"/>
      <c r="BN339" s="42"/>
    </row>
    <row r="340" spans="1:66" ht="12.75" customHeight="1" x14ac:dyDescent="0.2">
      <c r="A340" s="1" t="s">
        <v>98</v>
      </c>
      <c r="B340" s="4">
        <f>_xll.ciqfunctions.udf.CIQ(InputTicker, "IQ_RE",Input!D$2,Date,,,Ccy,Conv)</f>
        <v>9096</v>
      </c>
      <c r="C340" s="4">
        <f>_xll.ciqfunctions.udf.CIQ(InputTicker, "IQ_RE",Input!E$2,Date,,,Ccy,Conv)</f>
        <v>2282</v>
      </c>
      <c r="D340" s="4">
        <f>_xll.ciqfunctions.udf.CIQ(InputTicker, "IQ_RE",Input!F$2,Date,,,Ccy,Conv)</f>
        <v>17769</v>
      </c>
      <c r="E340" s="4">
        <f>_xll.ciqfunctions.udf.CIQ(InputTicker, "IQ_RE",Input!G$2,Date,,,Ccy,Conv)</f>
        <v>13682</v>
      </c>
      <c r="F340" s="4">
        <f>_xll.ciqfunctions.udf.CIQ(InputTicker, "IQ_RE",Input!H$2,Date,,,Ccy,Conv)</f>
        <v>24150</v>
      </c>
      <c r="G340" s="4">
        <f>_xll.ciqfunctions.udf.CIQ(InputTicker, "IQ_RE",Input!I$2,Date,,,Ccy,Conv)</f>
        <v>34566</v>
      </c>
      <c r="H340" s="4">
        <f>_xll.ciqfunctions.udf.CIQ(InputTicker, "IQ_RE",Input!J$2,Date,,,Ccy,Conv)</f>
        <v>57055</v>
      </c>
      <c r="I340" s="4">
        <f>_xll.ciqfunctions.udf.CIQ(InputTicker, "IQ_RE",Input!K$2,Date,,,Ccy,Conv)</f>
        <v>84281</v>
      </c>
      <c r="J340" s="4">
        <f>_xll.ciqfunctions.udf.CIQ(InputTicker, "IQ_RE",Input!L$2,Date,,,Ccy,Conv)</f>
        <v>118848</v>
      </c>
      <c r="K340" s="4">
        <f>_xll.ciqfunctions.udf.CIQ(InputTicker, "IQ_RE",Input!M$2,Date,,,Ccy,Conv)</f>
        <v>173144</v>
      </c>
      <c r="L340" s="4">
        <f>_xll.ciqfunctions.udf.CIQ(InputTicker, "IQ_RE",Input!N$2,Date,,,Ccy,Conv)</f>
        <v>237731</v>
      </c>
      <c r="M340" s="4">
        <f>_xll.ciqfunctions.udf.CIQ(InputTicker, "IQ_RE",Input!O$2,Date,,,Ccy,Conv)</f>
        <v>302526</v>
      </c>
      <c r="N340" s="46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  <c r="BA340" s="42"/>
      <c r="BB340" s="42"/>
      <c r="BC340" s="42"/>
      <c r="BD340" s="42"/>
      <c r="BE340" s="42"/>
      <c r="BF340" s="42"/>
      <c r="BG340" s="42"/>
      <c r="BH340" s="42"/>
      <c r="BI340" s="42"/>
      <c r="BJ340" s="42"/>
      <c r="BK340" s="42"/>
      <c r="BL340" s="42"/>
      <c r="BM340" s="42"/>
      <c r="BN340" s="42"/>
    </row>
    <row r="341" spans="1:66" ht="12.75" customHeight="1" x14ac:dyDescent="0.2">
      <c r="A341" s="1" t="s">
        <v>54</v>
      </c>
      <c r="B341" s="4">
        <f>_xll.ciqfunctions.udf.CIQ(InputTicker, "IQ_TREASURY",Input!D$2,Date,,,Ccy,Conv)</f>
        <v>0</v>
      </c>
      <c r="C341" s="4">
        <f>_xll.ciqfunctions.udf.CIQ(InputTicker, "IQ_TREASURY",Input!E$2,Date,,,Ccy,Conv)</f>
        <v>0</v>
      </c>
      <c r="D341" s="4">
        <f>_xll.ciqfunctions.udf.CIQ(InputTicker, "IQ_TREASURY",Input!F$2,Date,,,Ccy,Conv)</f>
        <v>0</v>
      </c>
      <c r="E341" s="4">
        <f>_xll.ciqfunctions.udf.CIQ(InputTicker, "IQ_TREASURY",Input!G$2,Date,,,Ccy,Conv)</f>
        <v>0</v>
      </c>
      <c r="F341" s="4">
        <f>_xll.ciqfunctions.udf.CIQ(InputTicker, "IQ_TREASURY",Input!H$2,Date,,,Ccy,Conv)</f>
        <v>0</v>
      </c>
      <c r="G341" s="4">
        <f>_xll.ciqfunctions.udf.CIQ(InputTicker, "IQ_TREASURY",Input!I$2,Date,,,Ccy,Conv)</f>
        <v>0</v>
      </c>
      <c r="H341" s="4">
        <f>_xll.ciqfunctions.udf.CIQ(InputTicker, "IQ_TREASURY",Input!J$2,Date,,,Ccy,Conv)</f>
        <v>0</v>
      </c>
      <c r="I341" s="4">
        <f>_xll.ciqfunctions.udf.CIQ(InputTicker, "IQ_TREASURY",Input!K$2,Date,,,Ccy,Conv)</f>
        <v>0</v>
      </c>
      <c r="J341" s="4">
        <f>_xll.ciqfunctions.udf.CIQ(InputTicker, "IQ_TREASURY",Input!L$2,Date,,,Ccy,Conv)</f>
        <v>0</v>
      </c>
      <c r="K341" s="4">
        <f>_xll.ciqfunctions.udf.CIQ(InputTicker, "IQ_TREASURY",Input!M$2,Date,,,Ccy,Conv)</f>
        <v>0</v>
      </c>
      <c r="L341" s="4">
        <f>_xll.ciqfunctions.udf.CIQ(InputTicker, "IQ_TREASURY",Input!N$2,Date,,,Ccy,Conv)</f>
        <v>0</v>
      </c>
      <c r="M341" s="4">
        <f>_xll.ciqfunctions.udf.CIQ(InputTicker, "IQ_TREASURY",Input!O$2,Date,,,Ccy,Conv)</f>
        <v>0</v>
      </c>
      <c r="N341" s="46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42"/>
      <c r="AN341" s="42"/>
      <c r="AO341" s="42"/>
      <c r="AP341" s="42"/>
      <c r="AQ341" s="42"/>
      <c r="AR341" s="42"/>
      <c r="AS341" s="42"/>
      <c r="AT341" s="42"/>
      <c r="AU341" s="42"/>
      <c r="AV341" s="42"/>
      <c r="AW341" s="42"/>
      <c r="AX341" s="42"/>
      <c r="AY341" s="42"/>
      <c r="AZ341" s="42"/>
      <c r="BA341" s="42"/>
      <c r="BB341" s="42"/>
      <c r="BC341" s="42"/>
      <c r="BD341" s="42"/>
      <c r="BE341" s="42"/>
      <c r="BF341" s="42"/>
      <c r="BG341" s="42"/>
      <c r="BH341" s="42"/>
      <c r="BI341" s="42"/>
      <c r="BJ341" s="42"/>
      <c r="BK341" s="42"/>
      <c r="BL341" s="42"/>
      <c r="BM341" s="42"/>
      <c r="BN341" s="42"/>
    </row>
    <row r="342" spans="1:66" ht="12.75" customHeight="1" x14ac:dyDescent="0.2">
      <c r="A342" s="1" t="s">
        <v>140</v>
      </c>
      <c r="B342" s="4">
        <f>_xll.ciqfunctions.udf.CIQ(InputTicker, "IQ_OTHER_EQUITY",Input!D$2,Date,,,Ccy,Conv)</f>
        <v>2522</v>
      </c>
      <c r="C342" s="4">
        <f>_xll.ciqfunctions.udf.CIQ(InputTicker, "IQ_OTHER_EQUITY",Input!E$2,Date,,,Ccy,Conv)</f>
        <v>1537</v>
      </c>
      <c r="D342" s="4">
        <f>_xll.ciqfunctions.udf.CIQ(InputTicker, "IQ_OTHER_EQUITY",Input!F$2,Date,,,Ccy,Conv)</f>
        <v>627</v>
      </c>
      <c r="E342" s="4">
        <f>_xll.ciqfunctions.udf.CIQ(InputTicker, "IQ_OTHER_EQUITY",Input!G$2,Date,,,Ccy,Conv)</f>
        <v>-2187</v>
      </c>
      <c r="F342" s="4">
        <f>_xll.ciqfunctions.udf.CIQ(InputTicker, "IQ_OTHER_EQUITY",Input!H$2,Date,,,Ccy,Conv)</f>
        <v>-340</v>
      </c>
      <c r="G342" s="4">
        <f>_xll.ciqfunctions.udf.CIQ(InputTicker, "IQ_OTHER_EQUITY",Input!I$2,Date,,,Ccy,Conv)</f>
        <v>3186</v>
      </c>
      <c r="H342" s="4">
        <f>_xll.ciqfunctions.udf.CIQ(InputTicker, "IQ_OTHER_EQUITY",Input!J$2,Date,,,Ccy,Conv)</f>
        <v>1822</v>
      </c>
      <c r="I342" s="4">
        <f>_xll.ciqfunctions.udf.CIQ(InputTicker, "IQ_OTHER_EQUITY",Input!K$2,Date,,,Ccy,Conv)</f>
        <v>-4678</v>
      </c>
      <c r="J342" s="4">
        <f>_xll.ciqfunctions.udf.CIQ(InputTicker, "IQ_OTHER_EQUITY",Input!L$2,Date,,,Ccy,Conv)</f>
        <v>-6343</v>
      </c>
      <c r="K342" s="4">
        <f>_xll.ciqfunctions.udf.CIQ(InputTicker, "IQ_OTHER_EQUITY",Input!M$2,Date,,,Ccy,Conv)</f>
        <v>-5590</v>
      </c>
      <c r="L342" s="4">
        <f>_xll.ciqfunctions.udf.CIQ(InputTicker, "IQ_OTHER_EQUITY",Input!N$2,Date,,,Ccy,Conv)</f>
        <v>-3347</v>
      </c>
      <c r="M342" s="4">
        <f>_xll.ciqfunctions.udf.CIQ(InputTicker, "IQ_OTHER_EQUITY",Input!O$2,Date,,,Ccy,Conv)</f>
        <v>-3228</v>
      </c>
      <c r="N342" s="46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  <c r="AK342" s="42"/>
      <c r="AL342" s="42"/>
      <c r="AM342" s="42"/>
      <c r="AN342" s="42"/>
      <c r="AO342" s="42"/>
      <c r="AP342" s="42"/>
      <c r="AQ342" s="42"/>
      <c r="AR342" s="42"/>
      <c r="AS342" s="42"/>
      <c r="AT342" s="42"/>
      <c r="AU342" s="42"/>
      <c r="AV342" s="42"/>
      <c r="AW342" s="42"/>
      <c r="AX342" s="42"/>
      <c r="AY342" s="42"/>
      <c r="AZ342" s="42"/>
      <c r="BA342" s="42"/>
      <c r="BB342" s="42"/>
      <c r="BC342" s="42"/>
      <c r="BD342" s="42"/>
      <c r="BE342" s="42"/>
      <c r="BF342" s="42"/>
      <c r="BG342" s="42"/>
      <c r="BH342" s="42"/>
      <c r="BI342" s="42"/>
      <c r="BJ342" s="42"/>
      <c r="BK342" s="42"/>
      <c r="BL342" s="42"/>
      <c r="BM342" s="42"/>
      <c r="BN342" s="42"/>
    </row>
    <row r="343" spans="1:66" ht="12.75" customHeight="1" x14ac:dyDescent="0.2">
      <c r="A343" s="5" t="s">
        <v>99</v>
      </c>
      <c r="B343" s="6">
        <f>_xll.ciqfunctions.udf.CIQ(InputTicker, "IQ_TOTAL_COMMON_EQUITY",Input!D$2,Date,,,Ccy,Conv)</f>
        <v>80083</v>
      </c>
      <c r="C343" s="6">
        <f>_xll.ciqfunctions.udf.CIQ(InputTicker, "IQ_TOTAL_COMMON_EQUITY",Input!E$2,Date,,,Ccy,Conv)</f>
        <v>71997</v>
      </c>
      <c r="D343" s="6">
        <f>_xll.ciqfunctions.udf.CIQ(InputTicker, "IQ_TOTAL_COMMON_EQUITY",Input!F$2,Date,,,Ccy,Conv)</f>
        <v>87711</v>
      </c>
      <c r="E343" s="6">
        <f>_xll.ciqfunctions.udf.CIQ(InputTicker, "IQ_TOTAL_COMMON_EQUITY",Input!G$2,Date,,,Ccy,Conv)</f>
        <v>82718</v>
      </c>
      <c r="F343" s="6">
        <f>_xll.ciqfunctions.udf.CIQ(InputTicker, "IQ_TOTAL_COMMON_EQUITY",Input!H$2,Date,,,Ccy,Conv)</f>
        <v>102330</v>
      </c>
      <c r="G343" s="6">
        <f>_xll.ciqfunctions.udf.CIQ(InputTicker, "IQ_TOTAL_COMMON_EQUITY",Input!I$2,Date,,,Ccy,Conv)</f>
        <v>118304</v>
      </c>
      <c r="H343" s="6">
        <f>_xll.ciqfunctions.udf.CIQ(InputTicker, "IQ_TOTAL_COMMON_EQUITY",Input!J$2,Date,,,Ccy,Conv)</f>
        <v>141988</v>
      </c>
      <c r="I343" s="6">
        <f>_xll.ciqfunctions.udf.CIQ(InputTicker, "IQ_TOTAL_COMMON_EQUITY",Input!K$2,Date,,,Ccy,Conv)</f>
        <v>166542</v>
      </c>
      <c r="J343" s="6">
        <f>_xll.ciqfunctions.udf.CIQ(InputTicker, "IQ_TOTAL_COMMON_EQUITY",Input!L$2,Date,,,Ccy,Conv)</f>
        <v>206223</v>
      </c>
      <c r="K343" s="6">
        <f>_xll.ciqfunctions.udf.CIQ(InputTicker, "IQ_TOTAL_COMMON_EQUITY",Input!M$2,Date,,,Ccy,Conv)</f>
        <v>268477</v>
      </c>
      <c r="L343" s="6">
        <f>_xll.ciqfunctions.udf.CIQ(InputTicker, "IQ_TOTAL_COMMON_EQUITY",Input!N$2,Date,,,Ccy,Conv)</f>
        <v>343479</v>
      </c>
      <c r="M343" s="6">
        <f>_xll.ciqfunctions.udf.CIQ(InputTicker, "IQ_TOTAL_COMMON_EQUITY",Input!O$2,Date,,,Ccy,Conv)</f>
        <v>414367</v>
      </c>
      <c r="N343" s="42"/>
      <c r="P343" s="51"/>
      <c r="Q343" s="51"/>
      <c r="R343" s="51"/>
      <c r="T343" s="42"/>
      <c r="U343" s="42"/>
      <c r="V343" s="51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  <c r="BA343" s="42"/>
      <c r="BB343" s="42"/>
      <c r="BC343" s="42"/>
      <c r="BD343" s="42"/>
      <c r="BE343" s="42"/>
      <c r="BF343" s="42"/>
      <c r="BG343" s="42"/>
      <c r="BH343" s="42"/>
      <c r="BI343" s="42"/>
      <c r="BJ343" s="42"/>
      <c r="BK343" s="42"/>
      <c r="BL343" s="42"/>
      <c r="BM343" s="42"/>
      <c r="BN343" s="42"/>
    </row>
    <row r="344" spans="1:66" ht="12.75" customHeight="1" x14ac:dyDescent="0.2">
      <c r="A344" s="1" t="s">
        <v>188</v>
      </c>
      <c r="B344" s="4">
        <f>_xll.ciqfunctions.udf.CIQ(InputTicker, "IQ_MINORITY_INTEREST",Input!D$2,Date,,,Ccy,Conv)</f>
        <v>0</v>
      </c>
      <c r="C344" s="4">
        <f>_xll.ciqfunctions.udf.CIQ(InputTicker, "IQ_MINORITY_INTEREST",Input!E$2,Date,,,Ccy,Conv)</f>
        <v>0</v>
      </c>
      <c r="D344" s="4">
        <f>_xll.ciqfunctions.udf.CIQ(InputTicker, "IQ_MINORITY_INTEREST",Input!F$2,Date,,,Ccy,Conv)</f>
        <v>0</v>
      </c>
      <c r="E344" s="4">
        <f>_xll.ciqfunctions.udf.CIQ(InputTicker, "IQ_MINORITY_INTEREST",Input!G$2,Date,,,Ccy,Conv)</f>
        <v>0</v>
      </c>
      <c r="F344" s="4">
        <f>_xll.ciqfunctions.udf.CIQ(InputTicker, "IQ_MINORITY_INTEREST",Input!H$2,Date,,,Ccy,Conv)</f>
        <v>0</v>
      </c>
      <c r="G344" s="4">
        <f>_xll.ciqfunctions.udf.CIQ(InputTicker, "IQ_MINORITY_INTEREST",Input!I$2,Date,,,Ccy,Conv)</f>
        <v>0</v>
      </c>
      <c r="H344" s="4">
        <f>_xll.ciqfunctions.udf.CIQ(InputTicker, "IQ_MINORITY_INTEREST",Input!J$2,Date,,,Ccy,Conv)</f>
        <v>0</v>
      </c>
      <c r="I344" s="4">
        <f>_xll.ciqfunctions.udf.CIQ(InputTicker, "IQ_MINORITY_INTEREST",Input!K$2,Date,,,Ccy,Conv)</f>
        <v>0</v>
      </c>
      <c r="J344" s="4">
        <f>_xll.ciqfunctions.udf.CIQ(InputTicker, "IQ_MINORITY_INTEREST",Input!L$2,Date,,,Ccy,Conv)</f>
        <v>0</v>
      </c>
      <c r="K344" s="4">
        <f>_xll.ciqfunctions.udf.CIQ(InputTicker, "IQ_MINORITY_INTEREST",Input!M$2,Date,,,Ccy,Conv)</f>
        <v>0</v>
      </c>
      <c r="L344" s="4">
        <f>_xll.ciqfunctions.udf.CIQ(InputTicker, "IQ_MINORITY_INTEREST",Input!N$2,Date,,,Ccy,Conv)</f>
        <v>0</v>
      </c>
      <c r="M344" s="4">
        <f>_xll.ciqfunctions.udf.CIQ(InputTicker, "IQ_MINORITY_INTEREST",Input!O$2,Date,,,Ccy,Conv)</f>
        <v>0</v>
      </c>
      <c r="N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  <c r="AK344" s="42"/>
      <c r="AL344" s="42"/>
      <c r="AM344" s="42"/>
      <c r="AN344" s="42"/>
      <c r="AO344" s="42"/>
      <c r="AP344" s="42"/>
      <c r="AQ344" s="42"/>
      <c r="AR344" s="42"/>
      <c r="AS344" s="42"/>
      <c r="AT344" s="42"/>
      <c r="AU344" s="42"/>
      <c r="AV344" s="42"/>
      <c r="AW344" s="42"/>
      <c r="AX344" s="42"/>
      <c r="AY344" s="42"/>
      <c r="AZ344" s="42"/>
      <c r="BA344" s="42"/>
      <c r="BB344" s="42"/>
      <c r="BC344" s="42"/>
      <c r="BD344" s="42"/>
      <c r="BE344" s="42"/>
      <c r="BF344" s="42"/>
      <c r="BG344" s="42"/>
      <c r="BH344" s="42"/>
      <c r="BI344" s="42"/>
      <c r="BJ344" s="42"/>
      <c r="BK344" s="42"/>
      <c r="BL344" s="42"/>
      <c r="BM344" s="42"/>
      <c r="BN344" s="42"/>
    </row>
    <row r="345" spans="1:66" ht="12.75" customHeight="1" x14ac:dyDescent="0.2">
      <c r="A345" s="5" t="s">
        <v>46</v>
      </c>
      <c r="B345" s="6">
        <f>_xll.ciqfunctions.udf.CIQ(InputTicker, "IQ_TOTAL_EQUITY",Input!D$2,Date,,,Ccy,Conv)</f>
        <v>80083</v>
      </c>
      <c r="C345" s="6">
        <f>_xll.ciqfunctions.udf.CIQ(InputTicker, "IQ_TOTAL_EQUITY",Input!E$2,Date,,,Ccy,Conv)</f>
        <v>71997</v>
      </c>
      <c r="D345" s="6">
        <f>_xll.ciqfunctions.udf.CIQ(InputTicker, "IQ_TOTAL_EQUITY",Input!F$2,Date,,,Ccy,Conv)</f>
        <v>87711</v>
      </c>
      <c r="E345" s="6">
        <f>_xll.ciqfunctions.udf.CIQ(InputTicker, "IQ_TOTAL_EQUITY",Input!G$2,Date,,,Ccy,Conv)</f>
        <v>82718</v>
      </c>
      <c r="F345" s="6">
        <f>_xll.ciqfunctions.udf.CIQ(InputTicker, "IQ_TOTAL_EQUITY",Input!H$2,Date,,,Ccy,Conv)</f>
        <v>102330</v>
      </c>
      <c r="G345" s="6">
        <f>_xll.ciqfunctions.udf.CIQ(InputTicker, "IQ_TOTAL_EQUITY",Input!I$2,Date,,,Ccy,Conv)</f>
        <v>118304</v>
      </c>
      <c r="H345" s="6">
        <f>_xll.ciqfunctions.udf.CIQ(InputTicker, "IQ_TOTAL_EQUITY",Input!J$2,Date,,,Ccy,Conv)</f>
        <v>141988</v>
      </c>
      <c r="I345" s="6">
        <f>_xll.ciqfunctions.udf.CIQ(InputTicker, "IQ_TOTAL_EQUITY",Input!K$2,Date,,,Ccy,Conv)</f>
        <v>166542</v>
      </c>
      <c r="J345" s="6">
        <f>_xll.ciqfunctions.udf.CIQ(InputTicker, "IQ_TOTAL_EQUITY",Input!L$2,Date,,,Ccy,Conv)</f>
        <v>206223</v>
      </c>
      <c r="K345" s="6">
        <f>_xll.ciqfunctions.udf.CIQ(InputTicker, "IQ_TOTAL_EQUITY",Input!M$2,Date,,,Ccy,Conv)</f>
        <v>268477</v>
      </c>
      <c r="L345" s="6">
        <f>_xll.ciqfunctions.udf.CIQ(InputTicker, "IQ_TOTAL_EQUITY",Input!N$2,Date,,,Ccy,Conv)</f>
        <v>343479</v>
      </c>
      <c r="M345" s="6">
        <f>_xll.ciqfunctions.udf.CIQ(InputTicker, "IQ_TOTAL_EQUITY",Input!O$2,Date,,,Ccy,Conv)</f>
        <v>414367</v>
      </c>
      <c r="N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42"/>
      <c r="AN345" s="42"/>
      <c r="AO345" s="42"/>
      <c r="AP345" s="42"/>
      <c r="AQ345" s="42"/>
      <c r="AR345" s="42"/>
      <c r="AS345" s="42"/>
      <c r="AT345" s="42"/>
      <c r="AU345" s="42"/>
      <c r="AV345" s="42"/>
      <c r="AW345" s="42"/>
      <c r="AX345" s="42"/>
      <c r="AY345" s="42"/>
      <c r="AZ345" s="42"/>
      <c r="BA345" s="42"/>
      <c r="BB345" s="42"/>
      <c r="BC345" s="42"/>
      <c r="BD345" s="42"/>
      <c r="BE345" s="42"/>
      <c r="BF345" s="42"/>
      <c r="BG345" s="42"/>
      <c r="BH345" s="42"/>
      <c r="BI345" s="42"/>
      <c r="BJ345" s="42"/>
      <c r="BK345" s="42"/>
      <c r="BL345" s="42"/>
      <c r="BM345" s="42"/>
      <c r="BN345" s="42"/>
    </row>
    <row r="346" spans="1:66" ht="12.75" customHeight="1" thickBot="1" x14ac:dyDescent="0.25">
      <c r="A346" s="5" t="s">
        <v>100</v>
      </c>
      <c r="B346" s="9">
        <f>_xll.ciqfunctions.udf.CIQ(InputTicker, "IQ_TOTAL_LIAB_EQUITY",Input!D$2,Date,,,Ccy,Conv)</f>
        <v>174472</v>
      </c>
      <c r="C346" s="9">
        <f>_xll.ciqfunctions.udf.CIQ(InputTicker, "IQ_TOTAL_LIAB_EQUITY",Input!E$2,Date,,,Ccy,Conv)</f>
        <v>193468</v>
      </c>
      <c r="D346" s="9">
        <f>_xll.ciqfunctions.udf.CIQ(InputTicker, "IQ_TOTAL_LIAB_EQUITY",Input!F$2,Date,,,Ccy,Conv)</f>
        <v>250312</v>
      </c>
      <c r="E346" s="9">
        <f>_xll.ciqfunctions.udf.CIQ(InputTicker, "IQ_TOTAL_LIAB_EQUITY",Input!G$2,Date,,,Ccy,Conv)</f>
        <v>258848</v>
      </c>
      <c r="F346" s="9">
        <f>_xll.ciqfunctions.udf.CIQ(InputTicker, "IQ_TOTAL_LIAB_EQUITY",Input!H$2,Date,,,Ccy,Conv)</f>
        <v>286556</v>
      </c>
      <c r="G346" s="9">
        <f>_xll.ciqfunctions.udf.CIQ(InputTicker, "IQ_TOTAL_LIAB_EQUITY",Input!I$2,Date,,,Ccy,Conv)</f>
        <v>301311</v>
      </c>
      <c r="H346" s="9">
        <f>_xll.ciqfunctions.udf.CIQ(InputTicker, "IQ_TOTAL_LIAB_EQUITY",Input!J$2,Date,,,Ccy,Conv)</f>
        <v>333779</v>
      </c>
      <c r="I346" s="9">
        <f>_xll.ciqfunctions.udf.CIQ(InputTicker, "IQ_TOTAL_LIAB_EQUITY",Input!K$2,Date,,,Ccy,Conv)</f>
        <v>364840</v>
      </c>
      <c r="J346" s="9">
        <f>_xll.ciqfunctions.udf.CIQ(InputTicker, "IQ_TOTAL_LIAB_EQUITY",Input!L$2,Date,,,Ccy,Conv)</f>
        <v>411976</v>
      </c>
      <c r="K346" s="9">
        <f>_xll.ciqfunctions.udf.CIQ(InputTicker, "IQ_TOTAL_LIAB_EQUITY",Input!M$2,Date,,,Ccy,Conv)</f>
        <v>512163</v>
      </c>
      <c r="L346" s="9">
        <f>_xll.ciqfunctions.udf.CIQ(InputTicker, "IQ_TOTAL_LIAB_EQUITY",Input!N$2,Date,,,Ccy,Conv)</f>
        <v>619003</v>
      </c>
      <c r="M346" s="9">
        <f>_xll.ciqfunctions.udf.CIQ(InputTicker, "IQ_TOTAL_LIAB_EQUITY",Input!O$2,Date,,,Ccy,Conv)</f>
        <v>694228</v>
      </c>
      <c r="N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  <c r="AK346" s="42"/>
      <c r="AL346" s="42"/>
      <c r="AM346" s="42"/>
      <c r="AN346" s="42"/>
      <c r="AO346" s="42"/>
      <c r="AP346" s="42"/>
      <c r="AQ346" s="42"/>
      <c r="AR346" s="42"/>
      <c r="AS346" s="42"/>
      <c r="AT346" s="42"/>
      <c r="AU346" s="42"/>
      <c r="AV346" s="42"/>
      <c r="AW346" s="42"/>
      <c r="AX346" s="42"/>
      <c r="AY346" s="42"/>
      <c r="AZ346" s="42"/>
      <c r="BA346" s="42"/>
      <c r="BB346" s="42"/>
      <c r="BC346" s="42"/>
      <c r="BD346" s="42"/>
      <c r="BE346" s="42"/>
      <c r="BF346" s="42"/>
      <c r="BG346" s="42"/>
      <c r="BH346" s="42"/>
      <c r="BI346" s="42"/>
      <c r="BJ346" s="42"/>
      <c r="BK346" s="42"/>
      <c r="BL346" s="42"/>
      <c r="BM346" s="42"/>
      <c r="BN346" s="42"/>
    </row>
    <row r="347" spans="1:66" ht="12.75" customHeight="1" thickTop="1" x14ac:dyDescent="0.2">
      <c r="A347" s="1" t="s">
        <v>449</v>
      </c>
      <c r="B347" s="4">
        <f>_xll.ciqfunctions.udf.CIQ(InputTicker, "IQ_RUA_GROSS",Input!D$2,Date,,,Ccy,Conv)</f>
        <v>0</v>
      </c>
      <c r="C347" s="4">
        <f>_xll.ciqfunctions.udf.CIQ(InputTicker, "IQ_RUA_GROSS",Input!E$2,Date,,,Ccy,Conv)</f>
        <v>0</v>
      </c>
      <c r="D347" s="4">
        <f>_xll.ciqfunctions.udf.CIQ(InputTicker, "IQ_RUA_GROSS",Input!F$2,Date,,,Ccy,Conv)</f>
        <v>0</v>
      </c>
      <c r="E347" s="4">
        <f>_xll.ciqfunctions.udf.CIQ(InputTicker, "IQ_RUA_GROSS",Input!G$2,Date,,,Ccy,Conv)</f>
        <v>0</v>
      </c>
      <c r="F347" s="4">
        <f>_xll.ciqfunctions.udf.CIQ(InputTicker, "IQ_RUA_GROSS",Input!H$2,Date,,,Ccy,Conv)</f>
        <v>0</v>
      </c>
      <c r="G347" s="4">
        <f>_xll.ciqfunctions.udf.CIQ(InputTicker, "IQ_RUA_GROSS",Input!I$2,Date,,,Ccy,Conv)</f>
        <v>0</v>
      </c>
      <c r="H347" s="4">
        <f>_xll.ciqfunctions.udf.CIQ(InputTicker, "IQ_RUA_GROSS",Input!J$2,Date,,,Ccy,Conv)</f>
        <v>0</v>
      </c>
      <c r="I347" s="4">
        <f>_xll.ciqfunctions.udf.CIQ(InputTicker, "IQ_RUA_GROSS",Input!K$2,Date,,,Ccy,Conv)</f>
        <v>0</v>
      </c>
      <c r="J347" s="4">
        <f>_xll.ciqfunctions.udf.CIQ(InputTicker, "IQ_RUA_GROSS",Input!L$2,Date,,,Ccy,Conv)</f>
        <v>0</v>
      </c>
      <c r="K347" s="4">
        <f>_xll.ciqfunctions.udf.CIQ(InputTicker, "IQ_RUA_GROSS",Input!M$2,Date,,,Ccy,Conv)</f>
        <v>0</v>
      </c>
      <c r="L347" s="4">
        <f>_xll.ciqfunctions.udf.CIQ(InputTicker, "IQ_RUA_GROSS",Input!N$2,Date,,,Ccy,Conv)</f>
        <v>0</v>
      </c>
      <c r="M347" s="4">
        <f>_xll.ciqfunctions.udf.CIQ(InputTicker, "IQ_RUA_GROSS",Input!O$2,Date,,,Ccy,Conv)</f>
        <v>0</v>
      </c>
      <c r="N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  <c r="AH347" s="42"/>
      <c r="AI347" s="42"/>
      <c r="AJ347" s="42"/>
      <c r="AK347" s="42"/>
      <c r="AL347" s="42"/>
      <c r="AM347" s="42"/>
      <c r="AN347" s="42"/>
      <c r="AO347" s="42"/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  <c r="BJ347" s="42"/>
      <c r="BK347" s="42"/>
      <c r="BL347" s="42"/>
      <c r="BM347" s="42"/>
      <c r="BN347" s="42"/>
    </row>
    <row r="348" spans="1:66" ht="12.75" customHeight="1" x14ac:dyDescent="0.2">
      <c r="A348" s="1" t="s">
        <v>450</v>
      </c>
      <c r="B348" s="4">
        <f>_xll.ciqfunctions.udf.CIQ(InputTicker, "IQ_RUA_ACCUM_DEP",Input!D$2,Date,,,Ccy,Conv)</f>
        <v>0</v>
      </c>
      <c r="C348" s="4">
        <f>_xll.ciqfunctions.udf.CIQ(InputTicker, "IQ_RUA_ACCUM_DEP",Input!E$2,Date,,,Ccy,Conv)</f>
        <v>0</v>
      </c>
      <c r="D348" s="4">
        <f>_xll.ciqfunctions.udf.CIQ(InputTicker, "IQ_RUA_ACCUM_DEP",Input!F$2,Date,,,Ccy,Conv)</f>
        <v>0</v>
      </c>
      <c r="E348" s="4">
        <f>_xll.ciqfunctions.udf.CIQ(InputTicker, "IQ_RUA_ACCUM_DEP",Input!G$2,Date,,,Ccy,Conv)</f>
        <v>0</v>
      </c>
      <c r="F348" s="4">
        <f>_xll.ciqfunctions.udf.CIQ(InputTicker, "IQ_RUA_ACCUM_DEP",Input!H$2,Date,,,Ccy,Conv)</f>
        <v>0</v>
      </c>
      <c r="G348" s="4">
        <f>_xll.ciqfunctions.udf.CIQ(InputTicker, "IQ_RUA_ACCUM_DEP",Input!I$2,Date,,,Ccy,Conv)</f>
        <v>0</v>
      </c>
      <c r="H348" s="4">
        <f>_xll.ciqfunctions.udf.CIQ(InputTicker, "IQ_RUA_ACCUM_DEP",Input!J$2,Date,,,Ccy,Conv)</f>
        <v>0</v>
      </c>
      <c r="I348" s="4">
        <f>_xll.ciqfunctions.udf.CIQ(InputTicker, "IQ_RUA_ACCUM_DEP",Input!K$2,Date,,,Ccy,Conv)</f>
        <v>0</v>
      </c>
      <c r="J348" s="4">
        <f>_xll.ciqfunctions.udf.CIQ(InputTicker, "IQ_RUA_ACCUM_DEP",Input!L$2,Date,,,Ccy,Conv)</f>
        <v>0</v>
      </c>
      <c r="K348" s="4">
        <f>_xll.ciqfunctions.udf.CIQ(InputTicker, "IQ_RUA_ACCUM_DEP",Input!M$2,Date,,,Ccy,Conv)</f>
        <v>0</v>
      </c>
      <c r="L348" s="4">
        <f>_xll.ciqfunctions.udf.CIQ(InputTicker, "IQ_RUA_ACCUM_DEP",Input!N$2,Date,,,Ccy,Conv)</f>
        <v>0</v>
      </c>
      <c r="M348" s="4">
        <f>_xll.ciqfunctions.udf.CIQ(InputTicker, "IQ_RUA_ACCUM_DEP",Input!O$2,Date,,,Ccy,Conv)</f>
        <v>0</v>
      </c>
      <c r="N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  <c r="AH348" s="42"/>
      <c r="AI348" s="42"/>
      <c r="AJ348" s="42"/>
      <c r="AK348" s="42"/>
      <c r="AL348" s="42"/>
      <c r="AM348" s="42"/>
      <c r="AN348" s="42"/>
      <c r="AO348" s="42"/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  <c r="BJ348" s="42"/>
      <c r="BK348" s="42"/>
      <c r="BL348" s="42"/>
      <c r="BM348" s="42"/>
      <c r="BN348" s="42"/>
    </row>
    <row r="349" spans="1:66" ht="12.75" customHeight="1" x14ac:dyDescent="0.2">
      <c r="A349" s="1" t="s">
        <v>451</v>
      </c>
      <c r="B349" s="4">
        <f>_xll.ciqfunctions.udf.CIQ(InputTicker, "IQ_RUA_NET",Input!D$2,Date,,,Ccy,Conv)</f>
        <v>0</v>
      </c>
      <c r="C349" s="4">
        <f>_xll.ciqfunctions.udf.CIQ(InputTicker, "IQ_RUA_NET",Input!E$2,Date,,,Ccy,Conv)</f>
        <v>0</v>
      </c>
      <c r="D349" s="4">
        <f>_xll.ciqfunctions.udf.CIQ(InputTicker, "IQ_RUA_NET",Input!F$2,Date,,,Ccy,Conv)</f>
        <v>0</v>
      </c>
      <c r="E349" s="4">
        <f>_xll.ciqfunctions.udf.CIQ(InputTicker, "IQ_RUA_NET",Input!G$2,Date,,,Ccy,Conv)</f>
        <v>0</v>
      </c>
      <c r="F349" s="4">
        <f>_xll.ciqfunctions.udf.CIQ(InputTicker, "IQ_RUA_NET",Input!H$2,Date,,,Ccy,Conv)</f>
        <v>0</v>
      </c>
      <c r="G349" s="4">
        <f>_xll.ciqfunctions.udf.CIQ(InputTicker, "IQ_RUA_NET",Input!I$2,Date,,,Ccy,Conv)</f>
        <v>0</v>
      </c>
      <c r="H349" s="4">
        <f>_xll.ciqfunctions.udf.CIQ(InputTicker, "IQ_RUA_NET",Input!J$2,Date,,,Ccy,Conv)</f>
        <v>0</v>
      </c>
      <c r="I349" s="4">
        <f>_xll.ciqfunctions.udf.CIQ(InputTicker, "IQ_RUA_NET",Input!K$2,Date,,,Ccy,Conv)</f>
        <v>0</v>
      </c>
      <c r="J349" s="4">
        <f>_xll.ciqfunctions.udf.CIQ(InputTicker, "IQ_RUA_NET",Input!L$2,Date,,,Ccy,Conv)</f>
        <v>0</v>
      </c>
      <c r="K349" s="4">
        <f>_xll.ciqfunctions.udf.CIQ(InputTicker, "IQ_RUA_NET",Input!M$2,Date,,,Ccy,Conv)</f>
        <v>0</v>
      </c>
      <c r="L349" s="4">
        <f>_xll.ciqfunctions.udf.CIQ(InputTicker, "IQ_RUA_NET",Input!N$2,Date,,,Ccy,Conv)</f>
        <v>0</v>
      </c>
      <c r="M349" s="4">
        <f>_xll.ciqfunctions.udf.CIQ(InputTicker, "IQ_RUA_NET",Input!O$2,Date,,,Ccy,Conv)</f>
        <v>0</v>
      </c>
      <c r="N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  <c r="BJ349" s="42"/>
      <c r="BK349" s="42"/>
      <c r="BL349" s="42"/>
      <c r="BM349" s="42"/>
      <c r="BN349" s="42"/>
    </row>
    <row r="350" spans="1:66" ht="12.75" customHeight="1" x14ac:dyDescent="0.2">
      <c r="A350" s="1" t="s">
        <v>452</v>
      </c>
      <c r="B350" s="4">
        <f>_xll.ciqfunctions.udf.CIQ(InputTicker, "IQ_RUA_CAPITAL_LEASE_GROSS",Input!D$2,Date,,,Ccy,Conv)</f>
        <v>0</v>
      </c>
      <c r="C350" s="4">
        <f>_xll.ciqfunctions.udf.CIQ(InputTicker, "IQ_RUA_CAPITAL_LEASE_GROSS",Input!E$2,Date,,,Ccy,Conv)</f>
        <v>0</v>
      </c>
      <c r="D350" s="4">
        <f>_xll.ciqfunctions.udf.CIQ(InputTicker, "IQ_RUA_CAPITAL_LEASE_GROSS",Input!F$2,Date,,,Ccy,Conv)</f>
        <v>0</v>
      </c>
      <c r="E350" s="4">
        <f>_xll.ciqfunctions.udf.CIQ(InputTicker, "IQ_RUA_CAPITAL_LEASE_GROSS",Input!G$2,Date,,,Ccy,Conv)</f>
        <v>0</v>
      </c>
      <c r="F350" s="4">
        <f>_xll.ciqfunctions.udf.CIQ(InputTicker, "IQ_RUA_CAPITAL_LEASE_GROSS",Input!H$2,Date,,,Ccy,Conv)</f>
        <v>0</v>
      </c>
      <c r="G350" s="4">
        <f>_xll.ciqfunctions.udf.CIQ(InputTicker, "IQ_RUA_CAPITAL_LEASE_GROSS",Input!I$2,Date,,,Ccy,Conv)</f>
        <v>0</v>
      </c>
      <c r="H350" s="4">
        <f>_xll.ciqfunctions.udf.CIQ(InputTicker, "IQ_RUA_CAPITAL_LEASE_GROSS",Input!J$2,Date,,,Ccy,Conv)</f>
        <v>0</v>
      </c>
      <c r="I350" s="4">
        <f>_xll.ciqfunctions.udf.CIQ(InputTicker, "IQ_RUA_CAPITAL_LEASE_GROSS",Input!K$2,Date,,,Ccy,Conv)</f>
        <v>0</v>
      </c>
      <c r="J350" s="4">
        <f>_xll.ciqfunctions.udf.CIQ(InputTicker, "IQ_RUA_CAPITAL_LEASE_GROSS",Input!L$2,Date,,,Ccy,Conv)</f>
        <v>0</v>
      </c>
      <c r="K350" s="4">
        <f>_xll.ciqfunctions.udf.CIQ(InputTicker, "IQ_RUA_CAPITAL_LEASE_GROSS",Input!M$2,Date,,,Ccy,Conv)</f>
        <v>0</v>
      </c>
      <c r="L350" s="4">
        <f>_xll.ciqfunctions.udf.CIQ(InputTicker, "IQ_RUA_CAPITAL_LEASE_GROSS",Input!N$2,Date,,,Ccy,Conv)</f>
        <v>0</v>
      </c>
      <c r="M350" s="4">
        <f>_xll.ciqfunctions.udf.CIQ(InputTicker, "IQ_RUA_CAPITAL_LEASE_GROSS",Input!O$2,Date,,,Ccy,Conv)</f>
        <v>0</v>
      </c>
      <c r="N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  <c r="AH350" s="42"/>
      <c r="AI350" s="42"/>
      <c r="AJ350" s="42"/>
      <c r="AK350" s="42"/>
      <c r="AL350" s="42"/>
      <c r="AM350" s="42"/>
      <c r="AN350" s="42"/>
      <c r="AO350" s="42"/>
      <c r="AP350" s="42"/>
      <c r="AQ350" s="42"/>
      <c r="AR350" s="42"/>
      <c r="AS350" s="42"/>
      <c r="AT350" s="42"/>
      <c r="AU350" s="42"/>
      <c r="AV350" s="42"/>
      <c r="AW350" s="42"/>
      <c r="AX350" s="42"/>
      <c r="AY350" s="42"/>
      <c r="AZ350" s="42"/>
      <c r="BA350" s="42"/>
      <c r="BB350" s="42"/>
      <c r="BC350" s="42"/>
      <c r="BD350" s="42"/>
      <c r="BE350" s="42"/>
      <c r="BF350" s="42"/>
      <c r="BG350" s="42"/>
      <c r="BH350" s="42"/>
      <c r="BI350" s="42"/>
      <c r="BJ350" s="42"/>
      <c r="BK350" s="42"/>
      <c r="BL350" s="42"/>
      <c r="BM350" s="42"/>
      <c r="BN350" s="42"/>
    </row>
    <row r="351" spans="1:66" ht="12.75" customHeight="1" x14ac:dyDescent="0.2">
      <c r="A351" s="1" t="s">
        <v>453</v>
      </c>
      <c r="B351" s="4">
        <f>_xll.ciqfunctions.udf.CIQ(InputTicker, "IQ_RUA_CAPITAL_LEASE_ACCUM_DEP",Input!D$2,Date,,,Ccy,Conv)</f>
        <v>0</v>
      </c>
      <c r="C351" s="4">
        <f>_xll.ciqfunctions.udf.CIQ(InputTicker, "IQ_RUA_CAPITAL_LEASE_ACCUM_DEP",Input!E$2,Date,,,Ccy,Conv)</f>
        <v>0</v>
      </c>
      <c r="D351" s="4">
        <f>_xll.ciqfunctions.udf.CIQ(InputTicker, "IQ_RUA_CAPITAL_LEASE_ACCUM_DEP",Input!F$2,Date,,,Ccy,Conv)</f>
        <v>0</v>
      </c>
      <c r="E351" s="4">
        <f>_xll.ciqfunctions.udf.CIQ(InputTicker, "IQ_RUA_CAPITAL_LEASE_ACCUM_DEP",Input!G$2,Date,,,Ccy,Conv)</f>
        <v>0</v>
      </c>
      <c r="F351" s="4">
        <f>_xll.ciqfunctions.udf.CIQ(InputTicker, "IQ_RUA_CAPITAL_LEASE_ACCUM_DEP",Input!H$2,Date,,,Ccy,Conv)</f>
        <v>0</v>
      </c>
      <c r="G351" s="4">
        <f>_xll.ciqfunctions.udf.CIQ(InputTicker, "IQ_RUA_CAPITAL_LEASE_ACCUM_DEP",Input!I$2,Date,,,Ccy,Conv)</f>
        <v>0</v>
      </c>
      <c r="H351" s="4">
        <f>_xll.ciqfunctions.udf.CIQ(InputTicker, "IQ_RUA_CAPITAL_LEASE_ACCUM_DEP",Input!J$2,Date,,,Ccy,Conv)</f>
        <v>0</v>
      </c>
      <c r="I351" s="4">
        <f>_xll.ciqfunctions.udf.CIQ(InputTicker, "IQ_RUA_CAPITAL_LEASE_ACCUM_DEP",Input!K$2,Date,,,Ccy,Conv)</f>
        <v>0</v>
      </c>
      <c r="J351" s="4">
        <f>_xll.ciqfunctions.udf.CIQ(InputTicker, "IQ_RUA_CAPITAL_LEASE_ACCUM_DEP",Input!L$2,Date,,,Ccy,Conv)</f>
        <v>0</v>
      </c>
      <c r="K351" s="4">
        <f>_xll.ciqfunctions.udf.CIQ(InputTicker, "IQ_RUA_CAPITAL_LEASE_ACCUM_DEP",Input!M$2,Date,,,Ccy,Conv)</f>
        <v>0</v>
      </c>
      <c r="L351" s="4">
        <f>_xll.ciqfunctions.udf.CIQ(InputTicker, "IQ_RUA_CAPITAL_LEASE_ACCUM_DEP",Input!N$2,Date,,,Ccy,Conv)</f>
        <v>0</v>
      </c>
      <c r="M351" s="4">
        <f>_xll.ciqfunctions.udf.CIQ(InputTicker, "IQ_RUA_CAPITAL_LEASE_ACCUM_DEP",Input!O$2,Date,,,Ccy,Conv)</f>
        <v>0</v>
      </c>
      <c r="N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  <c r="AN351" s="42"/>
      <c r="AO351" s="42"/>
      <c r="AP351" s="42"/>
      <c r="AQ351" s="42"/>
      <c r="AR351" s="42"/>
      <c r="AS351" s="42"/>
      <c r="AT351" s="42"/>
      <c r="AU351" s="42"/>
      <c r="AV351" s="42"/>
      <c r="AW351" s="42"/>
      <c r="AX351" s="42"/>
      <c r="AY351" s="42"/>
      <c r="AZ351" s="42"/>
      <c r="BA351" s="42"/>
      <c r="BB351" s="42"/>
      <c r="BC351" s="42"/>
      <c r="BD351" s="42"/>
      <c r="BE351" s="42"/>
      <c r="BF351" s="42"/>
      <c r="BG351" s="42"/>
      <c r="BH351" s="42"/>
      <c r="BI351" s="42"/>
      <c r="BJ351" s="42"/>
      <c r="BK351" s="42"/>
      <c r="BL351" s="42"/>
      <c r="BM351" s="42"/>
      <c r="BN351" s="42"/>
    </row>
    <row r="352" spans="1:66" ht="12.75" customHeight="1" x14ac:dyDescent="0.2">
      <c r="A352" s="1" t="s">
        <v>454</v>
      </c>
      <c r="B352" s="4">
        <f>_xll.ciqfunctions.udf.CIQ(InputTicker, "IQ_RUA_CAPITAL_LEASE_NET",Input!D$2,Date,,,Ccy,Conv)</f>
        <v>0</v>
      </c>
      <c r="C352" s="4">
        <f>_xll.ciqfunctions.udf.CIQ(InputTicker, "IQ_RUA_CAPITAL_LEASE_NET",Input!E$2,Date,,,Ccy,Conv)</f>
        <v>0</v>
      </c>
      <c r="D352" s="4">
        <f>_xll.ciqfunctions.udf.CIQ(InputTicker, "IQ_RUA_CAPITAL_LEASE_NET",Input!F$2,Date,,,Ccy,Conv)</f>
        <v>0</v>
      </c>
      <c r="E352" s="4">
        <f>_xll.ciqfunctions.udf.CIQ(InputTicker, "IQ_RUA_CAPITAL_LEASE_NET",Input!G$2,Date,,,Ccy,Conv)</f>
        <v>0</v>
      </c>
      <c r="F352" s="4">
        <f>_xll.ciqfunctions.udf.CIQ(InputTicker, "IQ_RUA_CAPITAL_LEASE_NET",Input!H$2,Date,,,Ccy,Conv)</f>
        <v>0</v>
      </c>
      <c r="G352" s="4">
        <f>_xll.ciqfunctions.udf.CIQ(InputTicker, "IQ_RUA_CAPITAL_LEASE_NET",Input!I$2,Date,,,Ccy,Conv)</f>
        <v>0</v>
      </c>
      <c r="H352" s="4">
        <f>_xll.ciqfunctions.udf.CIQ(InputTicker, "IQ_RUA_CAPITAL_LEASE_NET",Input!J$2,Date,,,Ccy,Conv)</f>
        <v>0</v>
      </c>
      <c r="I352" s="4">
        <f>_xll.ciqfunctions.udf.CIQ(InputTicker, "IQ_RUA_CAPITAL_LEASE_NET",Input!K$2,Date,,,Ccy,Conv)</f>
        <v>0</v>
      </c>
      <c r="J352" s="4">
        <f>_xll.ciqfunctions.udf.CIQ(InputTicker, "IQ_RUA_CAPITAL_LEASE_NET",Input!L$2,Date,,,Ccy,Conv)</f>
        <v>0</v>
      </c>
      <c r="K352" s="4">
        <f>_xll.ciqfunctions.udf.CIQ(InputTicker, "IQ_RUA_CAPITAL_LEASE_NET",Input!M$2,Date,,,Ccy,Conv)</f>
        <v>0</v>
      </c>
      <c r="L352" s="4">
        <f>_xll.ciqfunctions.udf.CIQ(InputTicker, "IQ_RUA_CAPITAL_LEASE_NET",Input!N$2,Date,,,Ccy,Conv)</f>
        <v>0</v>
      </c>
      <c r="M352" s="4">
        <f>_xll.ciqfunctions.udf.CIQ(InputTicker, "IQ_RUA_CAPITAL_LEASE_NET",Input!O$2,Date,,,Ccy,Conv)</f>
        <v>0</v>
      </c>
      <c r="N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  <c r="BJ352" s="42"/>
      <c r="BK352" s="42"/>
      <c r="BL352" s="42"/>
      <c r="BM352" s="42"/>
      <c r="BN352" s="42"/>
    </row>
    <row r="353" spans="1:66" ht="12.75" customHeight="1" x14ac:dyDescent="0.2">
      <c r="A353" s="1" t="s">
        <v>455</v>
      </c>
      <c r="B353" s="4">
        <f>_xll.ciqfunctions.udf.CIQ(InputTicker, "IQ_RUA_OPERATING_LEASE_GROSS",Input!D$2,Date,,,Ccy,Conv)</f>
        <v>0</v>
      </c>
      <c r="C353" s="4">
        <f>_xll.ciqfunctions.udf.CIQ(InputTicker, "IQ_RUA_OPERATING_LEASE_GROSS",Input!E$2,Date,,,Ccy,Conv)</f>
        <v>0</v>
      </c>
      <c r="D353" s="4">
        <f>_xll.ciqfunctions.udf.CIQ(InputTicker, "IQ_RUA_OPERATING_LEASE_GROSS",Input!F$2,Date,,,Ccy,Conv)</f>
        <v>6555</v>
      </c>
      <c r="E353" s="4">
        <f>_xll.ciqfunctions.udf.CIQ(InputTicker, "IQ_RUA_OPERATING_LEASE_GROSS",Input!G$2,Date,,,Ccy,Conv)</f>
        <v>6686</v>
      </c>
      <c r="F353" s="4">
        <f>_xll.ciqfunctions.udf.CIQ(InputTicker, "IQ_RUA_OPERATING_LEASE_GROSS",Input!H$2,Date,,,Ccy,Conv)</f>
        <v>7379</v>
      </c>
      <c r="G353" s="4">
        <f>_xll.ciqfunctions.udf.CIQ(InputTicker, "IQ_RUA_OPERATING_LEASE_GROSS",Input!I$2,Date,,,Ccy,Conv)</f>
        <v>8753</v>
      </c>
      <c r="H353" s="4">
        <f>_xll.ciqfunctions.udf.CIQ(InputTicker, "IQ_RUA_OPERATING_LEASE_GROSS",Input!J$2,Date,,,Ccy,Conv)</f>
        <v>11088</v>
      </c>
      <c r="I353" s="4">
        <f>_xll.ciqfunctions.udf.CIQ(InputTicker, "IQ_RUA_OPERATING_LEASE_GROSS",Input!K$2,Date,,,Ccy,Conv)</f>
        <v>13148</v>
      </c>
      <c r="J353" s="4">
        <f>_xll.ciqfunctions.udf.CIQ(InputTicker, "IQ_RUA_OPERATING_LEASE_GROSS",Input!L$2,Date,,,Ccy,Conv)</f>
        <v>14346</v>
      </c>
      <c r="K353" s="4">
        <f>_xll.ciqfunctions.udf.CIQ(InputTicker, "IQ_RUA_OPERATING_LEASE_GROSS",Input!M$2,Date,,,Ccy,Conv)</f>
        <v>18961</v>
      </c>
      <c r="L353" s="4">
        <f>_xll.ciqfunctions.udf.CIQ(InputTicker, "IQ_RUA_OPERATING_LEASE_GROSS",Input!N$2,Date,,,Ccy,Conv)</f>
        <v>24823</v>
      </c>
      <c r="M353" s="4">
        <f>_xll.ciqfunctions.udf.CIQ(InputTicker, "IQ_RUA_OPERATING_LEASE_GROSS",Input!O$2,Date,,,Ccy,Conv)</f>
        <v>24403</v>
      </c>
      <c r="N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  <c r="AH353" s="42"/>
      <c r="AI353" s="42"/>
      <c r="AJ353" s="42"/>
      <c r="AK353" s="42"/>
      <c r="AL353" s="42"/>
      <c r="AM353" s="42"/>
      <c r="AN353" s="42"/>
      <c r="AO353" s="42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  <c r="BJ353" s="42"/>
      <c r="BK353" s="42"/>
      <c r="BL353" s="42"/>
      <c r="BM353" s="42"/>
      <c r="BN353" s="42"/>
    </row>
    <row r="354" spans="1:66" ht="12.75" customHeight="1" x14ac:dyDescent="0.2">
      <c r="A354" s="1" t="s">
        <v>456</v>
      </c>
      <c r="B354" s="4">
        <f>_xll.ciqfunctions.udf.CIQ(InputTicker, "IQ_RUA_OPERATING_LEASE_ACCUM_DEP",Input!D$2,Date,,,Ccy,Conv)</f>
        <v>0</v>
      </c>
      <c r="C354" s="4">
        <f>_xll.ciqfunctions.udf.CIQ(InputTicker, "IQ_RUA_OPERATING_LEASE_ACCUM_DEP",Input!E$2,Date,,,Ccy,Conv)</f>
        <v>0</v>
      </c>
      <c r="D354" s="4">
        <f>_xll.ciqfunctions.udf.CIQ(InputTicker, "IQ_RUA_OPERATING_LEASE_ACCUM_DEP",Input!F$2,Date,,,Ccy,Conv)</f>
        <v>0</v>
      </c>
      <c r="E354" s="4">
        <f>_xll.ciqfunctions.udf.CIQ(InputTicker, "IQ_RUA_OPERATING_LEASE_ACCUM_DEP",Input!G$2,Date,,,Ccy,Conv)</f>
        <v>0</v>
      </c>
      <c r="F354" s="4">
        <f>_xll.ciqfunctions.udf.CIQ(InputTicker, "IQ_RUA_OPERATING_LEASE_ACCUM_DEP",Input!H$2,Date,,,Ccy,Conv)</f>
        <v>0</v>
      </c>
      <c r="G354" s="4">
        <f>_xll.ciqfunctions.udf.CIQ(InputTicker, "IQ_RUA_OPERATING_LEASE_ACCUM_DEP",Input!I$2,Date,,,Ccy,Conv)</f>
        <v>0</v>
      </c>
      <c r="H354" s="4">
        <f>_xll.ciqfunctions.udf.CIQ(InputTicker, "IQ_RUA_OPERATING_LEASE_ACCUM_DEP",Input!J$2,Date,,,Ccy,Conv)</f>
        <v>0</v>
      </c>
      <c r="I354" s="4">
        <f>_xll.ciqfunctions.udf.CIQ(InputTicker, "IQ_RUA_OPERATING_LEASE_ACCUM_DEP",Input!K$2,Date,,,Ccy,Conv)</f>
        <v>0</v>
      </c>
      <c r="J354" s="4">
        <f>_xll.ciqfunctions.udf.CIQ(InputTicker, "IQ_RUA_OPERATING_LEASE_ACCUM_DEP",Input!L$2,Date,,,Ccy,Conv)</f>
        <v>0</v>
      </c>
      <c r="K354" s="4">
        <f>_xll.ciqfunctions.udf.CIQ(InputTicker, "IQ_RUA_OPERATING_LEASE_ACCUM_DEP",Input!M$2,Date,,,Ccy,Conv)</f>
        <v>0</v>
      </c>
      <c r="L354" s="4">
        <f>_xll.ciqfunctions.udf.CIQ(InputTicker, "IQ_RUA_OPERATING_LEASE_ACCUM_DEP",Input!N$2,Date,,,Ccy,Conv)</f>
        <v>0</v>
      </c>
      <c r="M354" s="4">
        <f>_xll.ciqfunctions.udf.CIQ(InputTicker, "IQ_RUA_OPERATING_LEASE_ACCUM_DEP",Input!O$2,Date,,,Ccy,Conv)</f>
        <v>0</v>
      </c>
      <c r="N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  <c r="AH354" s="42"/>
      <c r="AI354" s="42"/>
      <c r="AJ354" s="42"/>
      <c r="AK354" s="42"/>
      <c r="AL354" s="42"/>
      <c r="AM354" s="42"/>
      <c r="AN354" s="42"/>
      <c r="AO354" s="42"/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  <c r="BJ354" s="42"/>
      <c r="BK354" s="42"/>
      <c r="BL354" s="42"/>
      <c r="BM354" s="42"/>
      <c r="BN354" s="42"/>
    </row>
    <row r="355" spans="1:66" ht="12.75" customHeight="1" x14ac:dyDescent="0.2">
      <c r="A355" s="1" t="s">
        <v>457</v>
      </c>
      <c r="B355" s="4">
        <f>_xll.ciqfunctions.udf.CIQ(InputTicker, "IQ_RUA_OPERATING_LEASE_NET",Input!D$2,Date,,,Ccy,Conv)</f>
        <v>0</v>
      </c>
      <c r="C355" s="4">
        <f>_xll.ciqfunctions.udf.CIQ(InputTicker, "IQ_RUA_OPERATING_LEASE_NET",Input!E$2,Date,,,Ccy,Conv)</f>
        <v>0</v>
      </c>
      <c r="D355" s="4">
        <f>_xll.ciqfunctions.udf.CIQ(InputTicker, "IQ_RUA_OPERATING_LEASE_NET",Input!F$2,Date,,,Ccy,Conv)</f>
        <v>0</v>
      </c>
      <c r="E355" s="4">
        <f>_xll.ciqfunctions.udf.CIQ(InputTicker, "IQ_RUA_OPERATING_LEASE_NET",Input!G$2,Date,,,Ccy,Conv)</f>
        <v>0</v>
      </c>
      <c r="F355" s="4">
        <f>_xll.ciqfunctions.udf.CIQ(InputTicker, "IQ_RUA_OPERATING_LEASE_NET",Input!H$2,Date,,,Ccy,Conv)</f>
        <v>0</v>
      </c>
      <c r="G355" s="4">
        <f>_xll.ciqfunctions.udf.CIQ(InputTicker, "IQ_RUA_OPERATING_LEASE_NET",Input!I$2,Date,,,Ccy,Conv)</f>
        <v>0</v>
      </c>
      <c r="H355" s="4">
        <f>_xll.ciqfunctions.udf.CIQ(InputTicker, "IQ_RUA_OPERATING_LEASE_NET",Input!J$2,Date,,,Ccy,Conv)</f>
        <v>0</v>
      </c>
      <c r="I355" s="4">
        <f>_xll.ciqfunctions.udf.CIQ(InputTicker, "IQ_RUA_OPERATING_LEASE_NET",Input!K$2,Date,,,Ccy,Conv)</f>
        <v>0</v>
      </c>
      <c r="J355" s="4">
        <f>_xll.ciqfunctions.udf.CIQ(InputTicker, "IQ_RUA_OPERATING_LEASE_NET",Input!L$2,Date,,,Ccy,Conv)</f>
        <v>0</v>
      </c>
      <c r="K355" s="4">
        <f>_xll.ciqfunctions.udf.CIQ(InputTicker, "IQ_RUA_OPERATING_LEASE_NET",Input!M$2,Date,,,Ccy,Conv)</f>
        <v>0</v>
      </c>
      <c r="L355" s="4">
        <f>_xll.ciqfunctions.udf.CIQ(InputTicker, "IQ_RUA_OPERATING_LEASE_NET",Input!N$2,Date,,,Ccy,Conv)</f>
        <v>0</v>
      </c>
      <c r="M355" s="4">
        <f>_xll.ciqfunctions.udf.CIQ(InputTicker, "IQ_RUA_OPERATING_LEASE_NET",Input!O$2,Date,,,Ccy,Conv)</f>
        <v>0</v>
      </c>
      <c r="N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  <c r="BJ355" s="42"/>
      <c r="BK355" s="42"/>
      <c r="BL355" s="42"/>
      <c r="BM355" s="42"/>
      <c r="BN355" s="42"/>
    </row>
    <row r="356" spans="1:66" ht="12.75" customHeight="1" x14ac:dyDescent="0.2">
      <c r="A356" s="1" t="s">
        <v>473</v>
      </c>
      <c r="B356" s="4">
        <f>_xll.ciqfunctions.udf.CIQ(InputTicker, "IQ_GPPE_EXCL_OPER_LEASES",Input!D$2,Date,,,Ccy,Conv)</f>
        <v>32337</v>
      </c>
      <c r="C356" s="4">
        <f>_xll.ciqfunctions.udf.CIQ(InputTicker, "IQ_GPPE_EXCL_OPER_LEASES",Input!E$2,Date,,,Ccy,Conv)</f>
        <v>38156</v>
      </c>
      <c r="D356" s="4">
        <f>_xll.ciqfunctions.udf.CIQ(InputTicker, "IQ_GPPE_EXCL_OPER_LEASES",Input!F$2,Date,,,Ccy,Conv)</f>
        <v>47913</v>
      </c>
      <c r="E356" s="4">
        <f>_xll.ciqfunctions.udf.CIQ(InputTicker, "IQ_GPPE_EXCL_OPER_LEASES",Input!G$2,Date,,,Ccy,Conv)</f>
        <v>58683</v>
      </c>
      <c r="F356" s="4">
        <f>_xll.ciqfunctions.udf.CIQ(InputTicker, "IQ_GPPE_EXCL_OPER_LEASES",Input!H$2,Date,,,Ccy,Conv)</f>
        <v>71807</v>
      </c>
      <c r="G356" s="4">
        <f>_xll.ciqfunctions.udf.CIQ(InputTicker, "IQ_GPPE_EXCL_OPER_LEASES",Input!I$2,Date,,,Ccy,Conv)</f>
        <v>87348</v>
      </c>
      <c r="H356" s="4">
        <f>_xll.ciqfunctions.udf.CIQ(InputTicker, "IQ_GPPE_EXCL_OPER_LEASES",Input!J$2,Date,,,Ccy,Conv)</f>
        <v>111066</v>
      </c>
      <c r="I356" s="4">
        <f>_xll.ciqfunctions.udf.CIQ(InputTicker, "IQ_GPPE_EXCL_OPER_LEASES",Input!K$2,Date,,,Ccy,Conv)</f>
        <v>134058</v>
      </c>
      <c r="J356" s="4">
        <f>_xll.ciqfunctions.udf.CIQ(InputTicker, "IQ_GPPE_EXCL_OPER_LEASES",Input!L$2,Date,,,Ccy,Conv)</f>
        <v>163892</v>
      </c>
      <c r="K356" s="4">
        <f>_xll.ciqfunctions.udf.CIQ(InputTicker, "IQ_GPPE_EXCL_OPER_LEASES",Input!M$2,Date,,,Ccy,Conv)</f>
        <v>212012</v>
      </c>
      <c r="L356" s="4">
        <f>_xll.ciqfunctions.udf.CIQ(InputTicker, "IQ_GPPE_EXCL_OPER_LEASES",Input!N$2,Date,,,Ccy,Conv)</f>
        <v>298619</v>
      </c>
      <c r="M356" s="4">
        <f>_xll.ciqfunctions.udf.CIQ(InputTicker, "IQ_GPPE_EXCL_OPER_LEASES",Input!O$2,Date,,,Ccy,Conv)</f>
        <v>394951</v>
      </c>
      <c r="N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  <c r="AH356" s="42"/>
      <c r="AI356" s="42"/>
      <c r="AJ356" s="42"/>
      <c r="AK356" s="42"/>
      <c r="AL356" s="42"/>
      <c r="AM356" s="42"/>
      <c r="AN356" s="42"/>
      <c r="AO356" s="42"/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  <c r="BJ356" s="42"/>
      <c r="BK356" s="42"/>
      <c r="BL356" s="42"/>
      <c r="BM356" s="42"/>
      <c r="BN356" s="42"/>
    </row>
    <row r="357" spans="1:66" ht="12.75" customHeight="1" x14ac:dyDescent="0.2">
      <c r="A357" s="1" t="s">
        <v>474</v>
      </c>
      <c r="B357" s="4">
        <f>_xll.ciqfunctions.udf.CIQ(InputTicker, "IQ_AD_EXCL_OPER_LEASES",Input!D$2,Date,,,Ccy,Conv)</f>
        <v>-17606</v>
      </c>
      <c r="C357" s="4">
        <f>_xll.ciqfunctions.udf.CIQ(InputTicker, "IQ_AD_EXCL_OPER_LEASES",Input!E$2,Date,,,Ccy,Conv)</f>
        <v>-19800</v>
      </c>
      <c r="D357" s="4">
        <f>_xll.ciqfunctions.udf.CIQ(InputTicker, "IQ_AD_EXCL_OPER_LEASES",Input!F$2,Date,,,Ccy,Conv)</f>
        <v>-24179</v>
      </c>
      <c r="E357" s="4">
        <f>_xll.ciqfunctions.udf.CIQ(InputTicker, "IQ_AD_EXCL_OPER_LEASES",Input!G$2,Date,,,Ccy,Conv)</f>
        <v>-29223</v>
      </c>
      <c r="F357" s="4">
        <f>_xll.ciqfunctions.udf.CIQ(InputTicker, "IQ_AD_EXCL_OPER_LEASES",Input!H$2,Date,,,Ccy,Conv)</f>
        <v>-35330</v>
      </c>
      <c r="G357" s="4">
        <f>_xll.ciqfunctions.udf.CIQ(InputTicker, "IQ_AD_EXCL_OPER_LEASES",Input!I$2,Date,,,Ccy,Conv)</f>
        <v>-43197</v>
      </c>
      <c r="H357" s="4">
        <f>_xll.ciqfunctions.udf.CIQ(InputTicker, "IQ_AD_EXCL_OPER_LEASES",Input!J$2,Date,,,Ccy,Conv)</f>
        <v>-51351</v>
      </c>
      <c r="I357" s="4">
        <f>_xll.ciqfunctions.udf.CIQ(InputTicker, "IQ_AD_EXCL_OPER_LEASES",Input!K$2,Date,,,Ccy,Conv)</f>
        <v>-59660</v>
      </c>
      <c r="J357" s="4">
        <f>_xll.ciqfunctions.udf.CIQ(InputTicker, "IQ_AD_EXCL_OPER_LEASES",Input!L$2,Date,,,Ccy,Conv)</f>
        <v>-68251</v>
      </c>
      <c r="K357" s="4">
        <f>_xll.ciqfunctions.udf.CIQ(InputTicker, "IQ_AD_EXCL_OPER_LEASES",Input!M$2,Date,,,Ccy,Conv)</f>
        <v>-76421</v>
      </c>
      <c r="L357" s="4">
        <f>_xll.ciqfunctions.udf.CIQ(InputTicker, "IQ_AD_EXCL_OPER_LEASES",Input!N$2,Date,,,Ccy,Conv)</f>
        <v>-93653</v>
      </c>
      <c r="M357" s="4">
        <f>_xll.ciqfunctions.udf.CIQ(InputTicker, "IQ_AD_EXCL_OPER_LEASES",Input!O$2,Date,,,Ccy,Conv)</f>
        <v>-111723</v>
      </c>
      <c r="N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  <c r="BJ357" s="42"/>
      <c r="BK357" s="42"/>
      <c r="BL357" s="42"/>
      <c r="BM357" s="42"/>
      <c r="BN357" s="42"/>
    </row>
    <row r="358" spans="1:66" ht="12.75" customHeight="1" x14ac:dyDescent="0.2">
      <c r="A358" s="1" t="s">
        <v>475</v>
      </c>
      <c r="B358" s="4">
        <f>_xll.ciqfunctions.udf.CIQ(InputTicker, "IQ_NPPE_EXCL_OPER_LEASES",Input!D$2,Date,,,Ccy,Conv)</f>
        <v>14731</v>
      </c>
      <c r="C358" s="4">
        <f>_xll.ciqfunctions.udf.CIQ(InputTicker, "IQ_NPPE_EXCL_OPER_LEASES",Input!E$2,Date,,,Ccy,Conv)</f>
        <v>18356</v>
      </c>
      <c r="D358" s="4">
        <f>_xll.ciqfunctions.udf.CIQ(InputTicker, "IQ_NPPE_EXCL_OPER_LEASES",Input!F$2,Date,,,Ccy,Conv)</f>
        <v>23734</v>
      </c>
      <c r="E358" s="4">
        <f>_xll.ciqfunctions.udf.CIQ(InputTicker, "IQ_NPPE_EXCL_OPER_LEASES",Input!G$2,Date,,,Ccy,Conv)</f>
        <v>29460</v>
      </c>
      <c r="F358" s="4">
        <f>_xll.ciqfunctions.udf.CIQ(InputTicker, "IQ_NPPE_EXCL_OPER_LEASES",Input!H$2,Date,,,Ccy,Conv)</f>
        <v>36477</v>
      </c>
      <c r="G358" s="4">
        <f>_xll.ciqfunctions.udf.CIQ(InputTicker, "IQ_NPPE_EXCL_OPER_LEASES",Input!I$2,Date,,,Ccy,Conv)</f>
        <v>44151</v>
      </c>
      <c r="H358" s="4">
        <f>_xll.ciqfunctions.udf.CIQ(InputTicker, "IQ_NPPE_EXCL_OPER_LEASES",Input!J$2,Date,,,Ccy,Conv)</f>
        <v>59715</v>
      </c>
      <c r="I358" s="4">
        <f>_xll.ciqfunctions.udf.CIQ(InputTicker, "IQ_NPPE_EXCL_OPER_LEASES",Input!K$2,Date,,,Ccy,Conv)</f>
        <v>74398</v>
      </c>
      <c r="J358" s="4">
        <f>_xll.ciqfunctions.udf.CIQ(InputTicker, "IQ_NPPE_EXCL_OPER_LEASES",Input!L$2,Date,,,Ccy,Conv)</f>
        <v>95641</v>
      </c>
      <c r="K358" s="4">
        <f>_xll.ciqfunctions.udf.CIQ(InputTicker, "IQ_NPPE_EXCL_OPER_LEASES",Input!M$2,Date,,,Ccy,Conv)</f>
        <v>135591</v>
      </c>
      <c r="L358" s="4">
        <f>_xll.ciqfunctions.udf.CIQ(InputTicker, "IQ_NPPE_EXCL_OPER_LEASES",Input!N$2,Date,,,Ccy,Conv)</f>
        <v>204966</v>
      </c>
      <c r="M358" s="4">
        <f>_xll.ciqfunctions.udf.CIQ(InputTicker, "IQ_NPPE_EXCL_OPER_LEASES",Input!O$2,Date,,,Ccy,Conv)</f>
        <v>283228</v>
      </c>
      <c r="N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  <c r="AO358" s="42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  <c r="BJ358" s="42"/>
      <c r="BK358" s="42"/>
      <c r="BL358" s="42"/>
      <c r="BM358" s="42"/>
      <c r="BN358" s="42"/>
    </row>
    <row r="359" spans="1:66" ht="12.75" customHeight="1" x14ac:dyDescent="0.2">
      <c r="A359" s="1" t="s">
        <v>476</v>
      </c>
      <c r="B359" s="4">
        <f>_xll.ciqfunctions.udf.CIQ(InputTicker, "IQ_FINANCE_LEASES_CURRENT",Input!D$2,Date,,,Ccy,Conv)</f>
        <v>0</v>
      </c>
      <c r="C359" s="4">
        <f>_xll.ciqfunctions.udf.CIQ(InputTicker, "IQ_FINANCE_LEASES_CURRENT",Input!E$2,Date,,,Ccy,Conv)</f>
        <v>25</v>
      </c>
      <c r="D359" s="4">
        <f>_xll.ciqfunctions.udf.CIQ(InputTicker, "IQ_FINANCE_LEASES_CURRENT",Input!F$2,Date,,,Ccy,Conv)</f>
        <v>113</v>
      </c>
      <c r="E359" s="4">
        <f>_xll.ciqfunctions.udf.CIQ(InputTicker, "IQ_FINANCE_LEASES_CURRENT",Input!G$2,Date,,,Ccy,Conv)</f>
        <v>176</v>
      </c>
      <c r="F359" s="4">
        <f>_xll.ciqfunctions.udf.CIQ(InputTicker, "IQ_FINANCE_LEASES_CURRENT",Input!H$2,Date,,,Ccy,Conv)</f>
        <v>317</v>
      </c>
      <c r="G359" s="4">
        <f>_xll.ciqfunctions.udf.CIQ(InputTicker, "IQ_FINANCE_LEASES_CURRENT",Input!I$2,Date,,,Ccy,Conv)</f>
        <v>540</v>
      </c>
      <c r="H359" s="4">
        <f>_xll.ciqfunctions.udf.CIQ(InputTicker, "IQ_FINANCE_LEASES_CURRENT",Input!J$2,Date,,,Ccy,Conv)</f>
        <v>791</v>
      </c>
      <c r="I359" s="4">
        <f>_xll.ciqfunctions.udf.CIQ(InputTicker, "IQ_FINANCE_LEASES_CURRENT",Input!K$2,Date,,,Ccy,Conv)</f>
        <v>1060</v>
      </c>
      <c r="J359" s="4">
        <f>_xll.ciqfunctions.udf.CIQ(InputTicker, "IQ_FINANCE_LEASES_CURRENT",Input!L$2,Date,,,Ccy,Conv)</f>
        <v>1197</v>
      </c>
      <c r="K359" s="4">
        <f>_xll.ciqfunctions.udf.CIQ(InputTicker, "IQ_FINANCE_LEASES_CURRENT",Input!M$2,Date,,,Ccy,Conv)</f>
        <v>2349</v>
      </c>
      <c r="L359" s="4">
        <f>_xll.ciqfunctions.udf.CIQ(InputTicker, "IQ_FINANCE_LEASES_CURRENT",Input!N$2,Date,,,Ccy,Conv)</f>
        <v>3172</v>
      </c>
      <c r="M359" s="4">
        <f>_xll.ciqfunctions.udf.CIQ(InputTicker, "IQ_FINANCE_LEASES_CURRENT",Input!O$2,Date,,,Ccy,Conv)</f>
        <v>4063</v>
      </c>
      <c r="N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  <c r="AO359" s="42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  <c r="BJ359" s="42"/>
      <c r="BK359" s="42"/>
      <c r="BL359" s="42"/>
      <c r="BM359" s="42"/>
      <c r="BN359" s="42"/>
    </row>
    <row r="360" spans="1:66" ht="12.75" customHeight="1" x14ac:dyDescent="0.2">
      <c r="A360" s="1" t="s">
        <v>477</v>
      </c>
      <c r="B360" s="4">
        <f>_xll.ciqfunctions.udf.CIQ(InputTicker, "IQ_FINANCE_LEASES_LONG_TERM",Input!D$2,Date,,,Ccy,Conv)</f>
        <v>0</v>
      </c>
      <c r="C360" s="4">
        <f>_xll.ciqfunctions.udf.CIQ(InputTicker, "IQ_FINANCE_LEASES_LONG_TERM",Input!E$2,Date,,,Ccy,Conv)</f>
        <v>761</v>
      </c>
      <c r="D360" s="4">
        <f>_xll.ciqfunctions.udf.CIQ(InputTicker, "IQ_FINANCE_LEASES_LONG_TERM",Input!F$2,Date,,,Ccy,Conv)</f>
        <v>2425</v>
      </c>
      <c r="E360" s="4">
        <f>_xll.ciqfunctions.udf.CIQ(InputTicker, "IQ_FINANCE_LEASES_LONG_TERM",Input!G$2,Date,,,Ccy,Conv)</f>
        <v>4125</v>
      </c>
      <c r="F360" s="4">
        <f>_xll.ciqfunctions.udf.CIQ(InputTicker, "IQ_FINANCE_LEASES_LONG_TERM",Input!H$2,Date,,,Ccy,Conv)</f>
        <v>6257</v>
      </c>
      <c r="G360" s="4">
        <f>_xll.ciqfunctions.udf.CIQ(InputTicker, "IQ_FINANCE_LEASES_LONG_TERM",Input!I$2,Date,,,Ccy,Conv)</f>
        <v>8956</v>
      </c>
      <c r="H360" s="4">
        <f>_xll.ciqfunctions.udf.CIQ(InputTicker, "IQ_FINANCE_LEASES_LONG_TERM",Input!J$2,Date,,,Ccy,Conv)</f>
        <v>11750</v>
      </c>
      <c r="I360" s="4">
        <f>_xll.ciqfunctions.udf.CIQ(InputTicker, "IQ_FINANCE_LEASES_LONG_TERM",Input!K$2,Date,,,Ccy,Conv)</f>
        <v>13842</v>
      </c>
      <c r="J360" s="4">
        <f>_xll.ciqfunctions.udf.CIQ(InputTicker, "IQ_FINANCE_LEASES_LONG_TERM",Input!L$2,Date,,,Ccy,Conv)</f>
        <v>15870</v>
      </c>
      <c r="K360" s="4">
        <f>_xll.ciqfunctions.udf.CIQ(InputTicker, "IQ_FINANCE_LEASES_LONG_TERM",Input!M$2,Date,,,Ccy,Conv)</f>
        <v>24796</v>
      </c>
      <c r="L360" s="4">
        <f>_xll.ciqfunctions.udf.CIQ(InputTicker, "IQ_FINANCE_LEASES_LONG_TERM",Input!N$2,Date,,,Ccy,Conv)</f>
        <v>43000</v>
      </c>
      <c r="M360" s="4">
        <f>_xll.ciqfunctions.udf.CIQ(InputTicker, "IQ_FINANCE_LEASES_LONG_TERM",Input!O$2,Date,,,Ccy,Conv)</f>
        <v>58869</v>
      </c>
      <c r="N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  <c r="BJ360" s="42"/>
      <c r="BK360" s="42"/>
      <c r="BL360" s="42"/>
      <c r="BM360" s="42"/>
      <c r="BN360" s="42"/>
    </row>
    <row r="361" spans="1:66" ht="12.75" customHeight="1" x14ac:dyDescent="0.2">
      <c r="A361" s="1" t="s">
        <v>478</v>
      </c>
      <c r="B361" s="4">
        <f>_xll.ciqfunctions.udf.CIQ(InputTicker, "IQ_TOTAL_FINANCE_LEASES",Input!D$2,Date,,,Ccy,Conv)</f>
        <v>0</v>
      </c>
      <c r="C361" s="4">
        <f>_xll.ciqfunctions.udf.CIQ(InputTicker, "IQ_TOTAL_FINANCE_LEASES",Input!E$2,Date,,,Ccy,Conv)</f>
        <v>786</v>
      </c>
      <c r="D361" s="4">
        <f>_xll.ciqfunctions.udf.CIQ(InputTicker, "IQ_TOTAL_FINANCE_LEASES",Input!F$2,Date,,,Ccy,Conv)</f>
        <v>2538</v>
      </c>
      <c r="E361" s="4">
        <f>_xll.ciqfunctions.udf.CIQ(InputTicker, "IQ_TOTAL_FINANCE_LEASES",Input!G$2,Date,,,Ccy,Conv)</f>
        <v>4301</v>
      </c>
      <c r="F361" s="4">
        <f>_xll.ciqfunctions.udf.CIQ(InputTicker, "IQ_TOTAL_FINANCE_LEASES",Input!H$2,Date,,,Ccy,Conv)</f>
        <v>6574</v>
      </c>
      <c r="G361" s="4">
        <f>_xll.ciqfunctions.udf.CIQ(InputTicker, "IQ_TOTAL_FINANCE_LEASES",Input!I$2,Date,,,Ccy,Conv)</f>
        <v>9496</v>
      </c>
      <c r="H361" s="4">
        <f>_xll.ciqfunctions.udf.CIQ(InputTicker, "IQ_TOTAL_FINANCE_LEASES",Input!J$2,Date,,,Ccy,Conv)</f>
        <v>12541</v>
      </c>
      <c r="I361" s="4">
        <f>_xll.ciqfunctions.udf.CIQ(InputTicker, "IQ_TOTAL_FINANCE_LEASES",Input!K$2,Date,,,Ccy,Conv)</f>
        <v>14902</v>
      </c>
      <c r="J361" s="4">
        <f>_xll.ciqfunctions.udf.CIQ(InputTicker, "IQ_TOTAL_FINANCE_LEASES",Input!L$2,Date,,,Ccy,Conv)</f>
        <v>17067</v>
      </c>
      <c r="K361" s="4">
        <f>_xll.ciqfunctions.udf.CIQ(InputTicker, "IQ_TOTAL_FINANCE_LEASES",Input!M$2,Date,,,Ccy,Conv)</f>
        <v>27145</v>
      </c>
      <c r="L361" s="4">
        <f>_xll.ciqfunctions.udf.CIQ(InputTicker, "IQ_TOTAL_FINANCE_LEASES",Input!N$2,Date,,,Ccy,Conv)</f>
        <v>46172</v>
      </c>
      <c r="M361" s="4">
        <f>_xll.ciqfunctions.udf.CIQ(InputTicker, "IQ_TOTAL_FINANCE_LEASES",Input!O$2,Date,,,Ccy,Conv)</f>
        <v>62932</v>
      </c>
      <c r="N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  <c r="AO361" s="42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  <c r="BJ361" s="42"/>
      <c r="BK361" s="42"/>
      <c r="BL361" s="42"/>
      <c r="BM361" s="42"/>
      <c r="BN361" s="42"/>
    </row>
    <row r="362" spans="1:66" ht="12.75" customHeight="1" x14ac:dyDescent="0.2">
      <c r="A362" s="1" t="s">
        <v>479</v>
      </c>
      <c r="B362" s="4">
        <f>_xll.ciqfunctions.udf.CIQ(InputTicker, "IQ_CURRENT_PORTION_OPER_LEASE_LIABILITIES",Input!D$2,Date,,,Ccy,Conv)</f>
        <v>0</v>
      </c>
      <c r="C362" s="4">
        <f>_xll.ciqfunctions.udf.CIQ(InputTicker, "IQ_CURRENT_PORTION_OPER_LEASE_LIABILITIES",Input!E$2,Date,,,Ccy,Conv)</f>
        <v>0</v>
      </c>
      <c r="D362" s="4">
        <f>_xll.ciqfunctions.udf.CIQ(InputTicker, "IQ_CURRENT_PORTION_OPER_LEASE_LIABILITIES",Input!F$2,Date,,,Ccy,Conv)</f>
        <v>1423</v>
      </c>
      <c r="E362" s="4">
        <f>_xll.ciqfunctions.udf.CIQ(InputTicker, "IQ_CURRENT_PORTION_OPER_LEASE_LIABILITIES",Input!G$2,Date,,,Ccy,Conv)</f>
        <v>1399</v>
      </c>
      <c r="F362" s="4">
        <f>_xll.ciqfunctions.udf.CIQ(InputTicker, "IQ_CURRENT_PORTION_OPER_LEASE_LIABILITIES",Input!H$2,Date,,,Ccy,Conv)</f>
        <v>1515</v>
      </c>
      <c r="G362" s="4">
        <f>_xll.ciqfunctions.udf.CIQ(InputTicker, "IQ_CURRENT_PORTION_OPER_LEASE_LIABILITIES",Input!I$2,Date,,,Ccy,Conv)</f>
        <v>1616</v>
      </c>
      <c r="H362" s="4">
        <f>_xll.ciqfunctions.udf.CIQ(InputTicker, "IQ_CURRENT_PORTION_OPER_LEASE_LIABILITIES",Input!J$2,Date,,,Ccy,Conv)</f>
        <v>1962</v>
      </c>
      <c r="I362" s="4">
        <f>_xll.ciqfunctions.udf.CIQ(InputTicker, "IQ_CURRENT_PORTION_OPER_LEASE_LIABILITIES",Input!K$2,Date,,,Ccy,Conv)</f>
        <v>2228</v>
      </c>
      <c r="J362" s="4">
        <f>_xll.ciqfunctions.udf.CIQ(InputTicker, "IQ_CURRENT_PORTION_OPER_LEASE_LIABILITIES",Input!L$2,Date,,,Ccy,Conv)</f>
        <v>2409</v>
      </c>
      <c r="K362" s="4">
        <f>_xll.ciqfunctions.udf.CIQ(InputTicker, "IQ_CURRENT_PORTION_OPER_LEASE_LIABILITIES",Input!M$2,Date,,,Ccy,Conv)</f>
        <v>3580</v>
      </c>
      <c r="L362" s="4">
        <f>_xll.ciqfunctions.udf.CIQ(InputTicker, "IQ_CURRENT_PORTION_OPER_LEASE_LIABILITIES",Input!N$2,Date,,,Ccy,Conv)</f>
        <v>5424</v>
      </c>
      <c r="M362" s="4">
        <f>_xll.ciqfunctions.udf.CIQ(InputTicker, "IQ_CURRENT_PORTION_OPER_LEASE_LIABILITIES",Input!O$2,Date,,,Ccy,Conv)</f>
        <v>5535</v>
      </c>
      <c r="N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  <c r="AO362" s="42"/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  <c r="BJ362" s="42"/>
      <c r="BK362" s="42"/>
      <c r="BL362" s="42"/>
      <c r="BM362" s="42"/>
      <c r="BN362" s="42"/>
    </row>
    <row r="363" spans="1:66" ht="12.75" customHeight="1" x14ac:dyDescent="0.2">
      <c r="A363" s="1" t="s">
        <v>480</v>
      </c>
      <c r="B363" s="4">
        <f>_xll.ciqfunctions.udf.CIQ(InputTicker, "IQ_LT_PORTION_OPER_LEASE_LIABILITIES",Input!D$2,Date,,,Ccy,Conv)</f>
        <v>0</v>
      </c>
      <c r="C363" s="4">
        <f>_xll.ciqfunctions.udf.CIQ(InputTicker, "IQ_LT_PORTION_OPER_LEASE_LIABILITIES",Input!E$2,Date,,,Ccy,Conv)</f>
        <v>0</v>
      </c>
      <c r="D363" s="4">
        <f>_xll.ciqfunctions.udf.CIQ(InputTicker, "IQ_LT_PORTION_OPER_LEASE_LIABILITIES",Input!F$2,Date,,,Ccy,Conv)</f>
        <v>5372</v>
      </c>
      <c r="E363" s="4">
        <f>_xll.ciqfunctions.udf.CIQ(InputTicker, "IQ_LT_PORTION_OPER_LEASE_LIABILITIES",Input!G$2,Date,,,Ccy,Conv)</f>
        <v>5568</v>
      </c>
      <c r="F363" s="4">
        <f>_xll.ciqfunctions.udf.CIQ(InputTicker, "IQ_LT_PORTION_OPER_LEASE_LIABILITIES",Input!H$2,Date,,,Ccy,Conv)</f>
        <v>6188</v>
      </c>
      <c r="G363" s="4">
        <f>_xll.ciqfunctions.udf.CIQ(InputTicker, "IQ_LT_PORTION_OPER_LEASE_LIABILITIES",Input!I$2,Date,,,Ccy,Conv)</f>
        <v>7671</v>
      </c>
      <c r="H363" s="4">
        <f>_xll.ciqfunctions.udf.CIQ(InputTicker, "IQ_LT_PORTION_OPER_LEASE_LIABILITIES",Input!J$2,Date,,,Ccy,Conv)</f>
        <v>9629</v>
      </c>
      <c r="I363" s="4">
        <f>_xll.ciqfunctions.udf.CIQ(InputTicker, "IQ_LT_PORTION_OPER_LEASE_LIABILITIES",Input!K$2,Date,,,Ccy,Conv)</f>
        <v>11489</v>
      </c>
      <c r="J363" s="4">
        <f>_xll.ciqfunctions.udf.CIQ(InputTicker, "IQ_LT_PORTION_OPER_LEASE_LIABILITIES",Input!L$2,Date,,,Ccy,Conv)</f>
        <v>12728</v>
      </c>
      <c r="K363" s="4">
        <f>_xll.ciqfunctions.udf.CIQ(InputTicker, "IQ_LT_PORTION_OPER_LEASE_LIABILITIES",Input!M$2,Date,,,Ccy,Conv)</f>
        <v>15497</v>
      </c>
      <c r="L363" s="4">
        <f>_xll.ciqfunctions.udf.CIQ(InputTicker, "IQ_LT_PORTION_OPER_LEASE_LIABILITIES",Input!N$2,Date,,,Ccy,Conv)</f>
        <v>17437</v>
      </c>
      <c r="M363" s="4">
        <f>_xll.ciqfunctions.udf.CIQ(InputTicker, "IQ_LT_PORTION_OPER_LEASE_LIABILITIES",Input!O$2,Date,,,Ccy,Conv)</f>
        <v>16703</v>
      </c>
      <c r="N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  <c r="BJ363" s="42"/>
      <c r="BK363" s="42"/>
      <c r="BL363" s="42"/>
      <c r="BM363" s="42"/>
      <c r="BN363" s="42"/>
    </row>
    <row r="364" spans="1:66" ht="12.75" customHeight="1" x14ac:dyDescent="0.2">
      <c r="A364" s="1" t="s">
        <v>481</v>
      </c>
      <c r="B364" s="4">
        <f>_xll.ciqfunctions.udf.CIQ(InputTicker, "IQ_TOTAL_OPER_LEASES",Input!D$2,Date,,,Ccy,Conv)</f>
        <v>0</v>
      </c>
      <c r="C364" s="4">
        <f>_xll.ciqfunctions.udf.CIQ(InputTicker, "IQ_TOTAL_OPER_LEASES",Input!E$2,Date,,,Ccy,Conv)</f>
        <v>0</v>
      </c>
      <c r="D364" s="4">
        <f>_xll.ciqfunctions.udf.CIQ(InputTicker, "IQ_TOTAL_OPER_LEASES",Input!F$2,Date,,,Ccy,Conv)</f>
        <v>6795</v>
      </c>
      <c r="E364" s="4">
        <f>_xll.ciqfunctions.udf.CIQ(InputTicker, "IQ_TOTAL_OPER_LEASES",Input!G$2,Date,,,Ccy,Conv)</f>
        <v>6967</v>
      </c>
      <c r="F364" s="4">
        <f>_xll.ciqfunctions.udf.CIQ(InputTicker, "IQ_TOTAL_OPER_LEASES",Input!H$2,Date,,,Ccy,Conv)</f>
        <v>7703</v>
      </c>
      <c r="G364" s="4">
        <f>_xll.ciqfunctions.udf.CIQ(InputTicker, "IQ_TOTAL_OPER_LEASES",Input!I$2,Date,,,Ccy,Conv)</f>
        <v>9287</v>
      </c>
      <c r="H364" s="4">
        <f>_xll.ciqfunctions.udf.CIQ(InputTicker, "IQ_TOTAL_OPER_LEASES",Input!J$2,Date,,,Ccy,Conv)</f>
        <v>11591</v>
      </c>
      <c r="I364" s="4">
        <f>_xll.ciqfunctions.udf.CIQ(InputTicker, "IQ_TOTAL_OPER_LEASES",Input!K$2,Date,,,Ccy,Conv)</f>
        <v>13717</v>
      </c>
      <c r="J364" s="4">
        <f>_xll.ciqfunctions.udf.CIQ(InputTicker, "IQ_TOTAL_OPER_LEASES",Input!L$2,Date,,,Ccy,Conv)</f>
        <v>15137</v>
      </c>
      <c r="K364" s="4">
        <f>_xll.ciqfunctions.udf.CIQ(InputTicker, "IQ_TOTAL_OPER_LEASES",Input!M$2,Date,,,Ccy,Conv)</f>
        <v>19077</v>
      </c>
      <c r="L364" s="4">
        <f>_xll.ciqfunctions.udf.CIQ(InputTicker, "IQ_TOTAL_OPER_LEASES",Input!N$2,Date,,,Ccy,Conv)</f>
        <v>22861</v>
      </c>
      <c r="M364" s="4">
        <f>_xll.ciqfunctions.udf.CIQ(InputTicker, "IQ_TOTAL_OPER_LEASES",Input!O$2,Date,,,Ccy,Conv)</f>
        <v>22238</v>
      </c>
      <c r="N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  <c r="AO364" s="42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  <c r="BJ364" s="42"/>
      <c r="BK364" s="42"/>
      <c r="BL364" s="42"/>
      <c r="BM364" s="42"/>
      <c r="BN364" s="42"/>
    </row>
    <row r="365" spans="1:66" ht="12.75" customHeight="1" x14ac:dyDescent="0.2">
      <c r="A365" s="1" t="s">
        <v>482</v>
      </c>
      <c r="B365" s="4">
        <f>_xll.ciqfunctions.udf.CIQ(InputTicker, "IQ_TOTAL_LEASES",Input!D$2,Date,,,Ccy,Conv)</f>
        <v>0</v>
      </c>
      <c r="C365" s="4">
        <f>_xll.ciqfunctions.udf.CIQ(InputTicker, "IQ_TOTAL_LEASES",Input!E$2,Date,,,Ccy,Conv)</f>
        <v>786</v>
      </c>
      <c r="D365" s="4">
        <f>_xll.ciqfunctions.udf.CIQ(InputTicker, "IQ_TOTAL_LEASES",Input!F$2,Date,,,Ccy,Conv)</f>
        <v>9333</v>
      </c>
      <c r="E365" s="4">
        <f>_xll.ciqfunctions.udf.CIQ(InputTicker, "IQ_TOTAL_LEASES",Input!G$2,Date,,,Ccy,Conv)</f>
        <v>11268</v>
      </c>
      <c r="F365" s="4">
        <f>_xll.ciqfunctions.udf.CIQ(InputTicker, "IQ_TOTAL_LEASES",Input!H$2,Date,,,Ccy,Conv)</f>
        <v>14277</v>
      </c>
      <c r="G365" s="4">
        <f>_xll.ciqfunctions.udf.CIQ(InputTicker, "IQ_TOTAL_LEASES",Input!I$2,Date,,,Ccy,Conv)</f>
        <v>18783</v>
      </c>
      <c r="H365" s="4">
        <f>_xll.ciqfunctions.udf.CIQ(InputTicker, "IQ_TOTAL_LEASES",Input!J$2,Date,,,Ccy,Conv)</f>
        <v>24132</v>
      </c>
      <c r="I365" s="4">
        <f>_xll.ciqfunctions.udf.CIQ(InputTicker, "IQ_TOTAL_LEASES",Input!K$2,Date,,,Ccy,Conv)</f>
        <v>28619</v>
      </c>
      <c r="J365" s="4">
        <f>_xll.ciqfunctions.udf.CIQ(InputTicker, "IQ_TOTAL_LEASES",Input!L$2,Date,,,Ccy,Conv)</f>
        <v>32204</v>
      </c>
      <c r="K365" s="4">
        <f>_xll.ciqfunctions.udf.CIQ(InputTicker, "IQ_TOTAL_LEASES",Input!M$2,Date,,,Ccy,Conv)</f>
        <v>46222</v>
      </c>
      <c r="L365" s="4">
        <f>_xll.ciqfunctions.udf.CIQ(InputTicker, "IQ_TOTAL_LEASES",Input!N$2,Date,,,Ccy,Conv)</f>
        <v>69033</v>
      </c>
      <c r="M365" s="4">
        <f>_xll.ciqfunctions.udf.CIQ(InputTicker, "IQ_TOTAL_LEASES",Input!O$2,Date,,,Ccy,Conv)</f>
        <v>85170</v>
      </c>
      <c r="N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  <c r="AO365" s="42"/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  <c r="BJ365" s="42"/>
      <c r="BK365" s="42"/>
      <c r="BL365" s="42"/>
      <c r="BM365" s="42"/>
      <c r="BN365" s="42"/>
    </row>
    <row r="366" spans="1:66" ht="12.75" customHeight="1" x14ac:dyDescent="0.2">
      <c r="A366" s="1" t="s">
        <v>483</v>
      </c>
      <c r="B366" s="4">
        <f>_xll.ciqfunctions.udf.CIQ(InputTicker, "IQ_FINANCING_OBLIG_CURRENT_EXCL_OPER_LEASES",Input!D$2,Date,,,Ccy,Conv)</f>
        <v>7576</v>
      </c>
      <c r="C366" s="4">
        <f>_xll.ciqfunctions.udf.CIQ(InputTicker, "IQ_FINANCING_OBLIG_CURRENT_EXCL_OPER_LEASES",Input!E$2,Date,,,Ccy,Conv)</f>
        <v>13223</v>
      </c>
      <c r="D366" s="4">
        <f>_xll.ciqfunctions.udf.CIQ(InputTicker, "IQ_FINANCING_OBLIG_CURRENT_EXCL_OPER_LEASES",Input!F$2,Date,,,Ccy,Conv)</f>
        <v>10234</v>
      </c>
      <c r="E366" s="4">
        <f>_xll.ciqfunctions.udf.CIQ(InputTicker, "IQ_FINANCING_OBLIG_CURRENT_EXCL_OPER_LEASES",Input!G$2,Date,,,Ccy,Conv)</f>
        <v>4174</v>
      </c>
      <c r="F366" s="4">
        <f>_xll.ciqfunctions.udf.CIQ(InputTicker, "IQ_FINANCING_OBLIG_CURRENT_EXCL_OPER_LEASES",Input!H$2,Date,,,Ccy,Conv)</f>
        <v>5833</v>
      </c>
      <c r="G366" s="4">
        <f>_xll.ciqfunctions.udf.CIQ(InputTicker, "IQ_FINANCING_OBLIG_CURRENT_EXCL_OPER_LEASES",Input!I$2,Date,,,Ccy,Conv)</f>
        <v>4289</v>
      </c>
      <c r="H366" s="4">
        <f>_xll.ciqfunctions.udf.CIQ(InputTicker, "IQ_FINANCING_OBLIG_CURRENT_EXCL_OPER_LEASES",Input!J$2,Date,,,Ccy,Conv)</f>
        <v>8863</v>
      </c>
      <c r="I366" s="4">
        <f>_xll.ciqfunctions.udf.CIQ(InputTicker, "IQ_FINANCING_OBLIG_CURRENT_EXCL_OPER_LEASES",Input!K$2,Date,,,Ccy,Conv)</f>
        <v>3809</v>
      </c>
      <c r="J366" s="4">
        <f>_xll.ciqfunctions.udf.CIQ(InputTicker, "IQ_FINANCING_OBLIG_CURRENT_EXCL_OPER_LEASES",Input!L$2,Date,,,Ccy,Conv)</f>
        <v>6444</v>
      </c>
      <c r="K366" s="4">
        <f>_xll.ciqfunctions.udf.CIQ(InputTicker, "IQ_FINANCING_OBLIG_CURRENT_EXCL_OPER_LEASES",Input!M$2,Date,,,Ccy,Conv)</f>
        <v>11291</v>
      </c>
      <c r="L366" s="4">
        <f>_xll.ciqfunctions.udf.CIQ(InputTicker, "IQ_FINANCING_OBLIG_CURRENT_EXCL_OPER_LEASES",Input!N$2,Date,,,Ccy,Conv)</f>
        <v>6171</v>
      </c>
      <c r="M366" s="4">
        <f>_xll.ciqfunctions.udf.CIQ(InputTicker, "IQ_FINANCING_OBLIG_CURRENT_EXCL_OPER_LEASES",Input!O$2,Date,,,Ccy,Conv)</f>
        <v>12902</v>
      </c>
      <c r="N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  <c r="AO366" s="42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  <c r="BJ366" s="42"/>
      <c r="BK366" s="42"/>
      <c r="BL366" s="42"/>
      <c r="BM366" s="42"/>
      <c r="BN366" s="42"/>
    </row>
    <row r="367" spans="1:66" ht="12.75" customHeight="1" x14ac:dyDescent="0.2">
      <c r="A367" s="1" t="s">
        <v>484</v>
      </c>
      <c r="B367" s="4">
        <f>_xll.ciqfunctions.udf.CIQ(InputTicker, "IQ_FINANCING_OBLIG_NON_CURRENT_EXCL_OPER_LEASES",Input!D$2,Date,,,Ccy,Conv)</f>
        <v>27808</v>
      </c>
      <c r="C367" s="4">
        <f>_xll.ciqfunctions.udf.CIQ(InputTicker, "IQ_FINANCING_OBLIG_NON_CURRENT_EXCL_OPER_LEASES",Input!E$2,Date,,,Ccy,Conv)</f>
        <v>41318</v>
      </c>
      <c r="D367" s="4">
        <f>_xll.ciqfunctions.udf.CIQ(InputTicker, "IQ_FINANCING_OBLIG_NON_CURRENT_EXCL_OPER_LEASES",Input!F$2,Date,,,Ccy,Conv)</f>
        <v>78498</v>
      </c>
      <c r="E367" s="4">
        <f>_xll.ciqfunctions.udf.CIQ(InputTicker, "IQ_FINANCING_OBLIG_NON_CURRENT_EXCL_OPER_LEASES",Input!G$2,Date,,,Ccy,Conv)</f>
        <v>76367</v>
      </c>
      <c r="F367" s="4">
        <f>_xll.ciqfunctions.udf.CIQ(InputTicker, "IQ_FINANCING_OBLIG_NON_CURRENT_EXCL_OPER_LEASES",Input!H$2,Date,,,Ccy,Conv)</f>
        <v>72919</v>
      </c>
      <c r="G367" s="4">
        <f>_xll.ciqfunctions.udf.CIQ(InputTicker, "IQ_FINANCING_OBLIG_NON_CURRENT_EXCL_OPER_LEASES",Input!I$2,Date,,,Ccy,Conv)</f>
        <v>68534</v>
      </c>
      <c r="H367" s="4">
        <f>_xll.ciqfunctions.udf.CIQ(InputTicker, "IQ_FINANCING_OBLIG_NON_CURRENT_EXCL_OPER_LEASES",Input!J$2,Date,,,Ccy,Conv)</f>
        <v>61824</v>
      </c>
      <c r="I367" s="4">
        <f>_xll.ciqfunctions.udf.CIQ(InputTicker, "IQ_FINANCING_OBLIG_NON_CURRENT_EXCL_OPER_LEASES",Input!K$2,Date,,,Ccy,Conv)</f>
        <v>60874</v>
      </c>
      <c r="J367" s="4">
        <f>_xll.ciqfunctions.udf.CIQ(InputTicker, "IQ_FINANCING_OBLIG_NON_CURRENT_EXCL_OPER_LEASES",Input!L$2,Date,,,Ccy,Conv)</f>
        <v>57860</v>
      </c>
      <c r="K367" s="4">
        <f>_xll.ciqfunctions.udf.CIQ(InputTicker, "IQ_FINANCING_OBLIG_NON_CURRENT_EXCL_OPER_LEASES",Input!M$2,Date,,,Ccy,Conv)</f>
        <v>67484</v>
      </c>
      <c r="L367" s="4">
        <f>_xll.ciqfunctions.udf.CIQ(InputTicker, "IQ_FINANCING_OBLIG_NON_CURRENT_EXCL_OPER_LEASES",Input!N$2,Date,,,Ccy,Conv)</f>
        <v>83152</v>
      </c>
      <c r="M367" s="4">
        <f>_xll.ciqfunctions.udf.CIQ(InputTicker, "IQ_FINANCING_OBLIG_NON_CURRENT_EXCL_OPER_LEASES",Input!O$2,Date,,,Ccy,Conv)</f>
        <v>90292</v>
      </c>
      <c r="N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  <c r="BJ367" s="42"/>
      <c r="BK367" s="42"/>
      <c r="BL367" s="42"/>
      <c r="BM367" s="42"/>
      <c r="BN367" s="42"/>
    </row>
    <row r="368" spans="1:66" ht="12.75" customHeight="1" x14ac:dyDescent="0.2">
      <c r="A368" s="1" t="s">
        <v>485</v>
      </c>
      <c r="B368" s="4">
        <f>_xll.ciqfunctions.udf.CIQ(InputTicker, "IQ_TOTAL_DEBT_EXCL_OPER_LEASES",Input!D$2,Date,,,Ccy,Conv)</f>
        <v>35384</v>
      </c>
      <c r="C368" s="4">
        <f>_xll.ciqfunctions.udf.CIQ(InputTicker, "IQ_TOTAL_DEBT_EXCL_OPER_LEASES",Input!E$2,Date,,,Ccy,Conv)</f>
        <v>54541</v>
      </c>
      <c r="D368" s="4">
        <f>_xll.ciqfunctions.udf.CIQ(InputTicker, "IQ_TOTAL_DEBT_EXCL_OPER_LEASES",Input!F$2,Date,,,Ccy,Conv)</f>
        <v>88732</v>
      </c>
      <c r="E368" s="4">
        <f>_xll.ciqfunctions.udf.CIQ(InputTicker, "IQ_TOTAL_DEBT_EXCL_OPER_LEASES",Input!G$2,Date,,,Ccy,Conv)</f>
        <v>80541</v>
      </c>
      <c r="F368" s="4">
        <f>_xll.ciqfunctions.udf.CIQ(InputTicker, "IQ_TOTAL_DEBT_EXCL_OPER_LEASES",Input!H$2,Date,,,Ccy,Conv)</f>
        <v>78752</v>
      </c>
      <c r="G368" s="4">
        <f>_xll.ciqfunctions.udf.CIQ(InputTicker, "IQ_TOTAL_DEBT_EXCL_OPER_LEASES",Input!I$2,Date,,,Ccy,Conv)</f>
        <v>72823</v>
      </c>
      <c r="H368" s="4">
        <f>_xll.ciqfunctions.udf.CIQ(InputTicker, "IQ_TOTAL_DEBT_EXCL_OPER_LEASES",Input!J$2,Date,,,Ccy,Conv)</f>
        <v>70687</v>
      </c>
      <c r="I368" s="4">
        <f>_xll.ciqfunctions.udf.CIQ(InputTicker, "IQ_TOTAL_DEBT_EXCL_OPER_LEASES",Input!K$2,Date,,,Ccy,Conv)</f>
        <v>64683</v>
      </c>
      <c r="J368" s="4">
        <f>_xll.ciqfunctions.udf.CIQ(InputTicker, "IQ_TOTAL_DEBT_EXCL_OPER_LEASES",Input!L$2,Date,,,Ccy,Conv)</f>
        <v>64304</v>
      </c>
      <c r="K368" s="4">
        <f>_xll.ciqfunctions.udf.CIQ(InputTicker, "IQ_TOTAL_DEBT_EXCL_OPER_LEASES",Input!M$2,Date,,,Ccy,Conv)</f>
        <v>78775</v>
      </c>
      <c r="L368" s="4">
        <f>_xll.ciqfunctions.udf.CIQ(InputTicker, "IQ_TOTAL_DEBT_EXCL_OPER_LEASES",Input!N$2,Date,,,Ccy,Conv)</f>
        <v>89323</v>
      </c>
      <c r="M368" s="4">
        <f>_xll.ciqfunctions.udf.CIQ(InputTicker, "IQ_TOTAL_DEBT_EXCL_OPER_LEASES",Input!O$2,Date,,,Ccy,Conv)</f>
        <v>103194</v>
      </c>
      <c r="N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  <c r="AO368" s="42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  <c r="BJ368" s="42"/>
      <c r="BK368" s="42"/>
      <c r="BL368" s="42"/>
      <c r="BM368" s="42"/>
      <c r="BN368" s="42"/>
    </row>
    <row r="369" spans="1:66" ht="12.75" customHeight="1" x14ac:dyDescent="0.2">
      <c r="A369" s="1" t="s">
        <v>486</v>
      </c>
      <c r="B369" s="4">
        <f>_xll.ciqfunctions.udf.CIQ(InputTicker, "IQ_TOTAL_DEBT_EXCL_LEASES",Input!D$2,Date,,,Ccy,Conv)</f>
        <v>35384</v>
      </c>
      <c r="C369" s="4">
        <f>_xll.ciqfunctions.udf.CIQ(InputTicker, "IQ_TOTAL_DEBT_EXCL_LEASES",Input!E$2,Date,,,Ccy,Conv)</f>
        <v>53755</v>
      </c>
      <c r="D369" s="4">
        <f>_xll.ciqfunctions.udf.CIQ(InputTicker, "IQ_TOTAL_DEBT_EXCL_LEASES",Input!F$2,Date,,,Ccy,Conv)</f>
        <v>86194</v>
      </c>
      <c r="E369" s="4">
        <f>_xll.ciqfunctions.udf.CIQ(InputTicker, "IQ_TOTAL_DEBT_EXCL_LEASES",Input!G$2,Date,,,Ccy,Conv)</f>
        <v>76240</v>
      </c>
      <c r="F369" s="4">
        <f>_xll.ciqfunctions.udf.CIQ(InputTicker, "IQ_TOTAL_DEBT_EXCL_LEASES",Input!H$2,Date,,,Ccy,Conv)</f>
        <v>72178</v>
      </c>
      <c r="G369" s="4">
        <f>_xll.ciqfunctions.udf.CIQ(InputTicker, "IQ_TOTAL_DEBT_EXCL_LEASES",Input!I$2,Date,,,Ccy,Conv)</f>
        <v>63327</v>
      </c>
      <c r="H369" s="4">
        <f>_xll.ciqfunctions.udf.CIQ(InputTicker, "IQ_TOTAL_DEBT_EXCL_LEASES",Input!J$2,Date,,,Ccy,Conv)</f>
        <v>58146</v>
      </c>
      <c r="I369" s="4">
        <f>_xll.ciqfunctions.udf.CIQ(InputTicker, "IQ_TOTAL_DEBT_EXCL_LEASES",Input!K$2,Date,,,Ccy,Conv)</f>
        <v>49781</v>
      </c>
      <c r="J369" s="4">
        <f>_xll.ciqfunctions.udf.CIQ(InputTicker, "IQ_TOTAL_DEBT_EXCL_LEASES",Input!L$2,Date,,,Ccy,Conv)</f>
        <v>47237</v>
      </c>
      <c r="K369" s="4">
        <f>_xll.ciqfunctions.udf.CIQ(InputTicker, "IQ_TOTAL_DEBT_EXCL_LEASES",Input!M$2,Date,,,Ccy,Conv)</f>
        <v>51630</v>
      </c>
      <c r="L369" s="4">
        <f>_xll.ciqfunctions.udf.CIQ(InputTicker, "IQ_TOTAL_DEBT_EXCL_LEASES",Input!N$2,Date,,,Ccy,Conv)</f>
        <v>43151</v>
      </c>
      <c r="M369" s="4">
        <f>_xll.ciqfunctions.udf.CIQ(InputTicker, "IQ_TOTAL_DEBT_EXCL_LEASES",Input!O$2,Date,,,Ccy,Conv)</f>
        <v>40262</v>
      </c>
      <c r="N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  <c r="BJ369" s="42"/>
      <c r="BK369" s="42"/>
      <c r="BL369" s="42"/>
      <c r="BM369" s="42"/>
      <c r="BN369" s="42"/>
    </row>
    <row r="370" spans="1:66" ht="12.75" customHeight="1" x14ac:dyDescent="0.2">
      <c r="A370" s="1" t="s">
        <v>419</v>
      </c>
      <c r="B370" s="12">
        <f>_xll.ciqfunctions.udf.CIQ(InputTicker, "IQ_TOTAL_OUTSTANDING_FILING_DATE",Input!D$2,Date)</f>
        <v>7997.9809699999996</v>
      </c>
      <c r="C370" s="12">
        <f>_xll.ciqfunctions.udf.CIQ(InputTicker, "IQ_TOTAL_OUTSTANDING_FILING_DATE",Input!E$2,Date)</f>
        <v>7792.5155699999996</v>
      </c>
      <c r="D370" s="12">
        <f>_xll.ciqfunctions.udf.CIQ(InputTicker, "IQ_TOTAL_OUTSTANDING_FILING_DATE",Input!F$2,Date)</f>
        <v>7702.2439800000002</v>
      </c>
      <c r="E370" s="12">
        <f>_xll.ciqfunctions.udf.CIQ(InputTicker, "IQ_TOTAL_OUTSTANDING_FILING_DATE",Input!G$2,Date)</f>
        <v>7668.2173199999997</v>
      </c>
      <c r="F370" s="12">
        <f>_xll.ciqfunctions.udf.CIQ(InputTicker, "IQ_TOTAL_OUTSTANDING_FILING_DATE",Input!H$2,Date)</f>
        <v>7635.4093999999996</v>
      </c>
      <c r="G370" s="12">
        <f>_xll.ciqfunctions.udf.CIQ(InputTicker, "IQ_TOTAL_OUTSTANDING_FILING_DATE",Input!I$2,Date)</f>
        <v>7567.6529399999999</v>
      </c>
      <c r="H370" s="12">
        <f>_xll.ciqfunctions.udf.CIQ(InputTicker, "IQ_TOTAL_OUTSTANDING_FILING_DATE",Input!J$2,Date)</f>
        <v>7514.8912499999997</v>
      </c>
      <c r="I370" s="12">
        <f>_xll.ciqfunctions.udf.CIQ(InputTicker, "IQ_TOTAL_OUTSTANDING_FILING_DATE",Input!K$2,Date)</f>
        <v>7457.8918700000004</v>
      </c>
      <c r="J370" s="12">
        <f>_xll.ciqfunctions.udf.CIQ(InputTicker, "IQ_TOTAL_OUTSTANDING_FILING_DATE",Input!L$2,Date)</f>
        <v>7429.7637199999999</v>
      </c>
      <c r="K370" s="12">
        <f>_xll.ciqfunctions.udf.CIQ(InputTicker, "IQ_TOTAL_OUTSTANDING_FILING_DATE",Input!M$2,Date)</f>
        <v>7433.03838</v>
      </c>
      <c r="L370" s="12">
        <f>_xll.ciqfunctions.udf.CIQ(InputTicker, "IQ_TOTAL_OUTSTANDING_FILING_DATE",Input!N$2,Date)</f>
        <v>7433.1663799999997</v>
      </c>
      <c r="M370" s="12">
        <f>_xll.ciqfunctions.udf.CIQ(InputTicker, "IQ_TOTAL_OUTSTANDING_FILING_DATE",Input!O$2,Date)</f>
        <v>7428.4346999999998</v>
      </c>
      <c r="N370" s="53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  <c r="AO370" s="42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  <c r="BJ370" s="42"/>
      <c r="BK370" s="42"/>
      <c r="BL370" s="42"/>
      <c r="BM370" s="42"/>
      <c r="BN370" s="42"/>
    </row>
    <row r="371" spans="1:66" ht="12.75" customHeight="1" x14ac:dyDescent="0.2">
      <c r="A371" s="1" t="s">
        <v>285</v>
      </c>
      <c r="B371" s="12">
        <f>_xll.ciqfunctions.udf.CIQ(InputTicker,"IQ_TOTAL_OUTSTANDING_BS_DATE",Input!D$2,Date)</f>
        <v>8027</v>
      </c>
      <c r="C371" s="12">
        <f>_xll.ciqfunctions.udf.CIQ(InputTicker,"IQ_TOTAL_OUTSTANDING_BS_DATE",Input!E$2,Date)</f>
        <v>7808</v>
      </c>
      <c r="D371" s="12">
        <f>_xll.ciqfunctions.udf.CIQ(InputTicker,"IQ_TOTAL_OUTSTANDING_BS_DATE",Input!F$2,Date)</f>
        <v>7708</v>
      </c>
      <c r="E371" s="12">
        <f>_xll.ciqfunctions.udf.CIQ(InputTicker,"IQ_TOTAL_OUTSTANDING_BS_DATE",Input!G$2,Date)</f>
        <v>7677</v>
      </c>
      <c r="F371" s="12">
        <f>_xll.ciqfunctions.udf.CIQ(InputTicker,"IQ_TOTAL_OUTSTANDING_BS_DATE",Input!H$2,Date)</f>
        <v>7643</v>
      </c>
      <c r="G371" s="12">
        <f>_xll.ciqfunctions.udf.CIQ(InputTicker,"IQ_TOTAL_OUTSTANDING_BS_DATE",Input!I$2,Date)</f>
        <v>7571</v>
      </c>
      <c r="H371" s="12">
        <f>_xll.ciqfunctions.udf.CIQ(InputTicker,"IQ_TOTAL_OUTSTANDING_BS_DATE",Input!J$2,Date)</f>
        <v>7519</v>
      </c>
      <c r="I371" s="12">
        <f>_xll.ciqfunctions.udf.CIQ(InputTicker,"IQ_TOTAL_OUTSTANDING_BS_DATE",Input!K$2,Date)</f>
        <v>7464</v>
      </c>
      <c r="J371" s="12">
        <f>_xll.ciqfunctions.udf.CIQ(InputTicker,"IQ_TOTAL_OUTSTANDING_BS_DATE",Input!L$2,Date)</f>
        <v>7432</v>
      </c>
      <c r="K371" s="12">
        <f>_xll.ciqfunctions.udf.CIQ(InputTicker,"IQ_TOTAL_OUTSTANDING_BS_DATE",Input!M$2,Date)</f>
        <v>7434</v>
      </c>
      <c r="L371" s="12">
        <f>_xll.ciqfunctions.udf.CIQ(InputTicker,"IQ_TOTAL_OUTSTANDING_BS_DATE",Input!N$2,Date)</f>
        <v>7434</v>
      </c>
      <c r="M371" s="12">
        <f>_xll.ciqfunctions.udf.CIQ(InputTicker,"IQ_TOTAL_OUTSTANDING_BS_DATE",Input!O$2,Date)</f>
        <v>7429</v>
      </c>
      <c r="N371" s="53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  <c r="AO371" s="42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  <c r="BJ371" s="42"/>
      <c r="BK371" s="42"/>
      <c r="BL371" s="42"/>
      <c r="BM371" s="42"/>
      <c r="BN371" s="42"/>
    </row>
    <row r="372" spans="1:66" ht="12.75" customHeight="1" x14ac:dyDescent="0.2">
      <c r="A372" s="1" t="s">
        <v>101</v>
      </c>
      <c r="B372" s="11">
        <f>_xll.ciqfunctions.udf.CIQ(InputTicker,"IQ_BV_SHARE",Input!D$2,Date,,,Ccy,Conv)</f>
        <v>9.9766999999999992</v>
      </c>
      <c r="C372" s="11">
        <f>_xll.ciqfunctions.udf.CIQ(InputTicker,"IQ_BV_SHARE",Input!E$2,Date,,,Ccy,Conv)</f>
        <v>9.2209299999999992</v>
      </c>
      <c r="D372" s="11">
        <f>_xll.ciqfunctions.udf.CIQ(InputTicker,"IQ_BV_SHARE",Input!F$2,Date,,,Ccy,Conv)</f>
        <v>11.37922</v>
      </c>
      <c r="E372" s="11">
        <f>_xll.ciqfunctions.udf.CIQ(InputTicker,"IQ_BV_SHARE",Input!G$2,Date,,,Ccy,Conv)</f>
        <v>10.77478</v>
      </c>
      <c r="F372" s="11">
        <f>_xll.ciqfunctions.udf.CIQ(InputTicker,"IQ_BV_SHARE",Input!H$2,Date,,,Ccy,Conv)</f>
        <v>13.388719999999999</v>
      </c>
      <c r="G372" s="11">
        <f>_xll.ciqfunctions.udf.CIQ(InputTicker,"IQ_BV_SHARE",Input!I$2,Date,,,Ccy,Conv)</f>
        <v>15.62594</v>
      </c>
      <c r="H372" s="11">
        <f>_xll.ciqfunctions.udf.CIQ(InputTicker,"IQ_BV_SHARE",Input!J$2,Date,,,Ccy,Conv)</f>
        <v>18.883890000000001</v>
      </c>
      <c r="I372" s="11">
        <f>_xll.ciqfunctions.udf.CIQ(InputTicker,"IQ_BV_SHARE",Input!K$2,Date,,,Ccy,Conv)</f>
        <v>22.3127</v>
      </c>
      <c r="J372" s="11">
        <f>_xll.ciqfunctions.udf.CIQ(InputTicker,"IQ_BV_SHARE",Input!L$2,Date,,,Ccy,Conv)</f>
        <v>27.747979999999998</v>
      </c>
      <c r="K372" s="11">
        <f>_xll.ciqfunctions.udf.CIQ(InputTicker,"IQ_BV_SHARE",Input!M$2,Date,,,Ccy,Conv)</f>
        <v>36.114739999999998</v>
      </c>
      <c r="L372" s="11">
        <f>_xll.ciqfunctions.udf.CIQ(InputTicker,"IQ_BV_SHARE",Input!N$2,Date,,,Ccy,Conv)</f>
        <v>46.203789999999998</v>
      </c>
      <c r="M372" s="11">
        <f>_xll.ciqfunctions.udf.CIQ(InputTicker,"IQ_BV_SHARE",Input!O$2,Date,,,Ccy,Conv)</f>
        <v>55.776960000000003</v>
      </c>
      <c r="N372" s="53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  <c r="BJ372" s="42"/>
      <c r="BK372" s="42"/>
      <c r="BL372" s="42"/>
      <c r="BM372" s="42"/>
      <c r="BN372" s="42"/>
    </row>
    <row r="373" spans="1:66" ht="12.75" customHeight="1" x14ac:dyDescent="0.2">
      <c r="A373" s="1" t="s">
        <v>42</v>
      </c>
      <c r="B373" s="11">
        <f>_xll.ciqfunctions.udf.CIQ(InputTicker,"IQ_BV_SHARE_REPORTED",Input!D$2,Date,,,Ccy,Conv)</f>
        <v>0</v>
      </c>
      <c r="C373" s="11">
        <f>_xll.ciqfunctions.udf.CIQ(InputTicker,"IQ_BV_SHARE_REPORTED",Input!E$2,Date,,,Ccy,Conv)</f>
        <v>0</v>
      </c>
      <c r="D373" s="11">
        <f>_xll.ciqfunctions.udf.CIQ(InputTicker,"IQ_BV_SHARE_REPORTED",Input!F$2,Date,,,Ccy,Conv)</f>
        <v>0</v>
      </c>
      <c r="E373" s="11">
        <f>_xll.ciqfunctions.udf.CIQ(InputTicker,"IQ_BV_SHARE_REPORTED",Input!G$2,Date,,,Ccy,Conv)</f>
        <v>0</v>
      </c>
      <c r="F373" s="11">
        <f>_xll.ciqfunctions.udf.CIQ(InputTicker,"IQ_BV_SHARE_REPORTED",Input!H$2,Date,,,Ccy,Conv)</f>
        <v>0</v>
      </c>
      <c r="G373" s="11">
        <f>_xll.ciqfunctions.udf.CIQ(InputTicker,"IQ_BV_SHARE_REPORTED",Input!I$2,Date,,,Ccy,Conv)</f>
        <v>0</v>
      </c>
      <c r="H373" s="11">
        <f>_xll.ciqfunctions.udf.CIQ(InputTicker,"IQ_BV_SHARE_REPORTED",Input!J$2,Date,,,Ccy,Conv)</f>
        <v>0</v>
      </c>
      <c r="I373" s="11">
        <f>_xll.ciqfunctions.udf.CIQ(InputTicker,"IQ_BV_SHARE_REPORTED",Input!K$2,Date,,,Ccy,Conv)</f>
        <v>0</v>
      </c>
      <c r="J373" s="11">
        <f>_xll.ciqfunctions.udf.CIQ(InputTicker,"IQ_BV_SHARE_REPORTED",Input!L$2,Date,,,Ccy,Conv)</f>
        <v>0</v>
      </c>
      <c r="K373" s="11">
        <f>_xll.ciqfunctions.udf.CIQ(InputTicker,"IQ_BV_SHARE_REPORTED",Input!M$2,Date,,,Ccy,Conv)</f>
        <v>0</v>
      </c>
      <c r="L373" s="11">
        <f>_xll.ciqfunctions.udf.CIQ(InputTicker,"IQ_BV_SHARE_REPORTED",Input!N$2,Date,,,Ccy,Conv)</f>
        <v>0</v>
      </c>
      <c r="M373" s="11">
        <f>_xll.ciqfunctions.udf.CIQ(InputTicker,"IQ_BV_SHARE_REPORTED",Input!O$2,Date,,,Ccy,Conv)</f>
        <v>0</v>
      </c>
      <c r="N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  <c r="BJ373" s="42"/>
      <c r="BK373" s="42"/>
      <c r="BL373" s="42"/>
      <c r="BM373" s="42"/>
      <c r="BN373" s="42"/>
    </row>
    <row r="374" spans="1:66" ht="12.75" customHeight="1" x14ac:dyDescent="0.2">
      <c r="A374" s="1" t="s">
        <v>217</v>
      </c>
      <c r="B374" s="11">
        <f>_xll.ciqfunctions.udf.CIQ(InputTicker, "IQ_TBV_SHARE",Input!D$2,Date,,,Ccy,Conv)</f>
        <v>7.2641099999999996</v>
      </c>
      <c r="C374" s="11">
        <f>_xll.ciqfunctions.udf.CIQ(InputTicker, "IQ_TBV_SHARE",Input!E$2,Date,,,Ccy,Conv)</f>
        <v>6.4538900000000003</v>
      </c>
      <c r="D374" s="11">
        <f>_xll.ciqfunctions.udf.CIQ(InputTicker, "IQ_TBV_SHARE",Input!F$2,Date,,,Ccy,Conv)</f>
        <v>5.5115499999999997</v>
      </c>
      <c r="E374" s="11">
        <f>_xll.ciqfunctions.udf.CIQ(InputTicker, "IQ_TBV_SHARE",Input!G$2,Date,,,Ccy,Conv)</f>
        <v>5.0777599999999996</v>
      </c>
      <c r="F374" s="11">
        <f>_xll.ciqfunctions.udf.CIQ(InputTicker, "IQ_TBV_SHARE",Input!H$2,Date,,,Ccy,Conv)</f>
        <v>6.8761000000000001</v>
      </c>
      <c r="G374" s="11">
        <f>_xll.ciqfunctions.udf.CIQ(InputTicker, "IQ_TBV_SHARE",Input!I$2,Date,,,Ccy,Conv)</f>
        <v>8.9704099999999993</v>
      </c>
      <c r="H374" s="11">
        <f>_xll.ciqfunctions.udf.CIQ(InputTicker, "IQ_TBV_SHARE",Input!J$2,Date,,,Ccy,Conv)</f>
        <v>11.235139999999999</v>
      </c>
      <c r="I374" s="11">
        <f>_xll.ciqfunctions.udf.CIQ(InputTicker, "IQ_TBV_SHARE",Input!K$2,Date,,,Ccy,Conv)</f>
        <v>11.752409999999999</v>
      </c>
      <c r="J374" s="11">
        <f>_xll.ciqfunctions.udf.CIQ(InputTicker, "IQ_TBV_SHARE",Input!L$2,Date,,,Ccy,Conv)</f>
        <v>17.353470000000002</v>
      </c>
      <c r="K374" s="11">
        <f>_xll.ciqfunctions.udf.CIQ(InputTicker, "IQ_TBV_SHARE",Input!M$2,Date,,,Ccy,Conv)</f>
        <v>16.365349999999999</v>
      </c>
      <c r="L374" s="11">
        <f>_xll.ciqfunctions.udf.CIQ(InputTicker, "IQ_TBV_SHARE",Input!N$2,Date,,,Ccy,Conv)</f>
        <v>27.08717</v>
      </c>
      <c r="M374" s="11">
        <f>_xll.ciqfunctions.udf.CIQ(InputTicker, "IQ_TBV_SHARE",Input!O$2,Date,,,Ccy,Conv)</f>
        <v>37.068379999999998</v>
      </c>
      <c r="N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  <c r="AO374" s="42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  <c r="BJ374" s="42"/>
      <c r="BK374" s="42"/>
      <c r="BL374" s="42"/>
      <c r="BM374" s="42"/>
      <c r="BN374" s="42"/>
    </row>
    <row r="375" spans="1:66" ht="12.75" customHeight="1" x14ac:dyDescent="0.2">
      <c r="A375" s="1" t="s">
        <v>431</v>
      </c>
      <c r="B375" s="11">
        <f>_xll.ciqfunctions.udf.CIQ(InputTicker, "IQ_TBV_SHARE_REPORTED",Input!D$2,Date,,,Ccy,Conv)</f>
        <v>0</v>
      </c>
      <c r="C375" s="11">
        <f>_xll.ciqfunctions.udf.CIQ(InputTicker, "IQ_TBV_SHARE_REPORTED",Input!E$2,Date,,,Ccy,Conv)</f>
        <v>0</v>
      </c>
      <c r="D375" s="11">
        <f>_xll.ciqfunctions.udf.CIQ(InputTicker, "IQ_TBV_SHARE_REPORTED",Input!F$2,Date,,,Ccy,Conv)</f>
        <v>0</v>
      </c>
      <c r="E375" s="11">
        <f>_xll.ciqfunctions.udf.CIQ(InputTicker, "IQ_TBV_SHARE_REPORTED",Input!G$2,Date,,,Ccy,Conv)</f>
        <v>0</v>
      </c>
      <c r="F375" s="11">
        <f>_xll.ciqfunctions.udf.CIQ(InputTicker, "IQ_TBV_SHARE_REPORTED",Input!H$2,Date,,,Ccy,Conv)</f>
        <v>0</v>
      </c>
      <c r="G375" s="11">
        <f>_xll.ciqfunctions.udf.CIQ(InputTicker, "IQ_TBV_SHARE_REPORTED",Input!I$2,Date,,,Ccy,Conv)</f>
        <v>0</v>
      </c>
      <c r="H375" s="11">
        <f>_xll.ciqfunctions.udf.CIQ(InputTicker, "IQ_TBV_SHARE_REPORTED",Input!J$2,Date,,,Ccy,Conv)</f>
        <v>0</v>
      </c>
      <c r="I375" s="11">
        <f>_xll.ciqfunctions.udf.CIQ(InputTicker, "IQ_TBV_SHARE_REPORTED",Input!K$2,Date,,,Ccy,Conv)</f>
        <v>0</v>
      </c>
      <c r="J375" s="11">
        <f>_xll.ciqfunctions.udf.CIQ(InputTicker, "IQ_TBV_SHARE_REPORTED",Input!L$2,Date,,,Ccy,Conv)</f>
        <v>0</v>
      </c>
      <c r="K375" s="11">
        <f>_xll.ciqfunctions.udf.CIQ(InputTicker, "IQ_TBV_SHARE_REPORTED",Input!M$2,Date,,,Ccy,Conv)</f>
        <v>0</v>
      </c>
      <c r="L375" s="11">
        <f>_xll.ciqfunctions.udf.CIQ(InputTicker, "IQ_TBV_SHARE_REPORTED",Input!N$2,Date,,,Ccy,Conv)</f>
        <v>0</v>
      </c>
      <c r="M375" s="11">
        <f>_xll.ciqfunctions.udf.CIQ(InputTicker, "IQ_TBV_SHARE_REPORTED",Input!O$2,Date,,,Ccy,Conv)</f>
        <v>0</v>
      </c>
      <c r="N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  <c r="AO375" s="42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  <c r="BJ375" s="42"/>
      <c r="BK375" s="42"/>
      <c r="BL375" s="42"/>
      <c r="BM375" s="42"/>
      <c r="BN375" s="42"/>
    </row>
    <row r="376" spans="1:66" ht="12.75" customHeight="1" x14ac:dyDescent="0.2">
      <c r="A376" s="1" t="s">
        <v>284</v>
      </c>
      <c r="B376" s="4">
        <f>_xll.ciqfunctions.udf.CIQ(InputTicker, "IQ_TBV",Input!D$2,Date,,,Ccy,Conv)</f>
        <v>58309</v>
      </c>
      <c r="C376" s="4">
        <f>_xll.ciqfunctions.udf.CIQ(InputTicker, "IQ_TBV",Input!E$2,Date,,,Ccy,Conv)</f>
        <v>50392</v>
      </c>
      <c r="D376" s="4">
        <f>_xll.ciqfunctions.udf.CIQ(InputTicker, "IQ_TBV",Input!F$2,Date,,,Ccy,Conv)</f>
        <v>42483</v>
      </c>
      <c r="E376" s="4">
        <f>_xll.ciqfunctions.udf.CIQ(InputTicker, "IQ_TBV",Input!G$2,Date,,,Ccy,Conv)</f>
        <v>38982</v>
      </c>
      <c r="F376" s="4">
        <f>_xll.ciqfunctions.udf.CIQ(InputTicker, "IQ_TBV",Input!H$2,Date,,,Ccy,Conv)</f>
        <v>52554</v>
      </c>
      <c r="G376" s="4">
        <f>_xll.ciqfunctions.udf.CIQ(InputTicker, "IQ_TBV",Input!I$2,Date,,,Ccy,Conv)</f>
        <v>67915</v>
      </c>
      <c r="H376" s="4">
        <f>_xll.ciqfunctions.udf.CIQ(InputTicker, "IQ_TBV",Input!J$2,Date,,,Ccy,Conv)</f>
        <v>84477</v>
      </c>
      <c r="I376" s="4">
        <f>_xll.ciqfunctions.udf.CIQ(InputTicker, "IQ_TBV",Input!K$2,Date,,,Ccy,Conv)</f>
        <v>87720</v>
      </c>
      <c r="J376" s="4">
        <f>_xll.ciqfunctions.udf.CIQ(InputTicker, "IQ_TBV",Input!L$2,Date,,,Ccy,Conv)</f>
        <v>128971</v>
      </c>
      <c r="K376" s="4">
        <f>_xll.ciqfunctions.udf.CIQ(InputTicker, "IQ_TBV",Input!M$2,Date,,,Ccy,Conv)</f>
        <v>121660</v>
      </c>
      <c r="L376" s="4">
        <f>_xll.ciqfunctions.udf.CIQ(InputTicker, "IQ_TBV",Input!N$2,Date,,,Ccy,Conv)</f>
        <v>201366</v>
      </c>
      <c r="M376" s="4">
        <f>_xll.ciqfunctions.udf.CIQ(InputTicker, "IQ_TBV",Input!O$2,Date,,,Ccy,Conv)</f>
        <v>275381</v>
      </c>
      <c r="N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  <c r="AO376" s="42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  <c r="BJ376" s="42"/>
      <c r="BK376" s="42"/>
      <c r="BL376" s="42"/>
      <c r="BM376" s="42"/>
      <c r="BN376" s="42"/>
    </row>
    <row r="377" spans="1:66" ht="12.75" customHeight="1" x14ac:dyDescent="0.2">
      <c r="A377" s="1" t="s">
        <v>435</v>
      </c>
      <c r="B377" s="11">
        <f>_xll.ciqfunctions.udf.CIQ(InputTicker, "IQ_GW_INTAN",Input!D$2,Date,,,Ccy,Conv)</f>
        <v>21774</v>
      </c>
      <c r="C377" s="11">
        <f>_xll.ciqfunctions.udf.CIQ(InputTicker, "IQ_GW_INTAN",Input!E$2,Date,,,Ccy,Conv)</f>
        <v>21605</v>
      </c>
      <c r="D377" s="11">
        <f>_xll.ciqfunctions.udf.CIQ(InputTicker, "IQ_GW_INTAN",Input!F$2,Date,,,Ccy,Conv)</f>
        <v>45228</v>
      </c>
      <c r="E377" s="11">
        <f>_xll.ciqfunctions.udf.CIQ(InputTicker, "IQ_GW_INTAN",Input!G$2,Date,,,Ccy,Conv)</f>
        <v>43736</v>
      </c>
      <c r="F377" s="11">
        <f>_xll.ciqfunctions.udf.CIQ(InputTicker, "IQ_GW_INTAN",Input!H$2,Date,,,Ccy,Conv)</f>
        <v>49776</v>
      </c>
      <c r="G377" s="11">
        <f>_xll.ciqfunctions.udf.CIQ(InputTicker, "IQ_GW_INTAN",Input!I$2,Date,,,Ccy,Conv)</f>
        <v>50389</v>
      </c>
      <c r="H377" s="11">
        <f>_xll.ciqfunctions.udf.CIQ(InputTicker, "IQ_GW_INTAN",Input!J$2,Date,,,Ccy,Conv)</f>
        <v>57511</v>
      </c>
      <c r="I377" s="11">
        <f>_xll.ciqfunctions.udf.CIQ(InputTicker, "IQ_GW_INTAN",Input!K$2,Date,,,Ccy,Conv)</f>
        <v>78822</v>
      </c>
      <c r="J377" s="11">
        <f>_xll.ciqfunctions.udf.CIQ(InputTicker, "IQ_GW_INTAN",Input!L$2,Date,,,Ccy,Conv)</f>
        <v>77252</v>
      </c>
      <c r="K377" s="11">
        <f>_xll.ciqfunctions.udf.CIQ(InputTicker, "IQ_GW_INTAN",Input!M$2,Date,,,Ccy,Conv)</f>
        <v>146817</v>
      </c>
      <c r="L377" s="11">
        <f>_xll.ciqfunctions.udf.CIQ(InputTicker, "IQ_GW_INTAN",Input!N$2,Date,,,Ccy,Conv)</f>
        <v>142113</v>
      </c>
      <c r="M377" s="11">
        <f>_xll.ciqfunctions.udf.CIQ(InputTicker, "IQ_GW_INTAN",Input!O$2,Date,,,Ccy,Conv)</f>
        <v>138986</v>
      </c>
      <c r="N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  <c r="AO377" s="42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  <c r="BJ377" s="42"/>
      <c r="BK377" s="42"/>
      <c r="BL377" s="42"/>
      <c r="BM377" s="42"/>
      <c r="BN377" s="42"/>
    </row>
    <row r="378" spans="1:66" ht="12.75" customHeight="1" x14ac:dyDescent="0.2">
      <c r="A378" s="1" t="s">
        <v>352</v>
      </c>
      <c r="B378" s="11">
        <f>_xll.ciqfunctions.udf.CIQ(InputTicker, "IQ_CASH_SHARE",Input!D$2,Date,,,Ccy,Conv)</f>
        <v>0.69701999999999997</v>
      </c>
      <c r="C378" s="11">
        <f>_xll.ciqfunctions.udf.CIQ(InputTicker, "IQ_CASH_SHARE",Input!E$2,Date,,,Ccy,Conv)</f>
        <v>0.83375999999999995</v>
      </c>
      <c r="D378" s="11">
        <f>_xll.ciqfunctions.udf.CIQ(InputTicker, "IQ_CASH_SHARE",Input!F$2,Date,,,Ccy,Conv)</f>
        <v>0.99416000000000004</v>
      </c>
      <c r="E378" s="11">
        <f>_xll.ciqfunctions.udf.CIQ(InputTicker, "IQ_CASH_SHARE",Input!G$2,Date,,,Ccy,Conv)</f>
        <v>1.5560799999999999</v>
      </c>
      <c r="F378" s="11">
        <f>_xll.ciqfunctions.udf.CIQ(InputTicker, "IQ_CASH_SHARE",Input!H$2,Date,,,Ccy,Conv)</f>
        <v>1.4858</v>
      </c>
      <c r="G378" s="11">
        <f>_xll.ciqfunctions.udf.CIQ(InputTicker, "IQ_CASH_SHARE",Input!I$2,Date,,,Ccy,Conv)</f>
        <v>1.7931600000000001</v>
      </c>
      <c r="H378" s="11">
        <f>_xll.ciqfunctions.udf.CIQ(InputTicker, "IQ_CASH_SHARE",Input!J$2,Date,,,Ccy,Conv)</f>
        <v>1.89174</v>
      </c>
      <c r="I378" s="11">
        <f>_xll.ciqfunctions.udf.CIQ(InputTicker, "IQ_CASH_SHARE",Input!K$2,Date,,,Ccy,Conv)</f>
        <v>1.86643</v>
      </c>
      <c r="J378" s="11">
        <f>_xll.ciqfunctions.udf.CIQ(InputTicker, "IQ_CASH_SHARE",Input!L$2,Date,,,Ccy,Conv)</f>
        <v>4.6695399999999996</v>
      </c>
      <c r="K378" s="11">
        <f>_xll.ciqfunctions.udf.CIQ(InputTicker, "IQ_CASH_SHARE",Input!M$2,Date,,,Ccy,Conv)</f>
        <v>2.4636800000000001</v>
      </c>
      <c r="L378" s="11">
        <f>_xll.ciqfunctions.udf.CIQ(InputTicker, "IQ_CASH_SHARE",Input!N$2,Date,,,Ccy,Conv)</f>
        <v>4.0680699999999996</v>
      </c>
      <c r="M378" s="11">
        <f>_xll.ciqfunctions.udf.CIQ(InputTicker, "IQ_CASH_SHARE",Input!O$2,Date,,,Ccy,Conv)</f>
        <v>4.32158</v>
      </c>
      <c r="N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  <c r="AO378" s="42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  <c r="BJ378" s="42"/>
      <c r="BK378" s="42"/>
      <c r="BL378" s="42"/>
      <c r="BM378" s="42"/>
      <c r="BN378" s="42"/>
    </row>
    <row r="379" spans="1:66" ht="12.75" customHeight="1" x14ac:dyDescent="0.2">
      <c r="A379" s="1" t="s">
        <v>51</v>
      </c>
      <c r="B379" s="4">
        <f>_xll.ciqfunctions.udf.CIQ(InputTicker, "IQ_TOTAL_DEBT",Input!D$2,Date,,,Ccy,Conv)</f>
        <v>35384</v>
      </c>
      <c r="C379" s="4">
        <f>_xll.ciqfunctions.udf.CIQ(InputTicker, "IQ_TOTAL_DEBT",Input!E$2,Date,,,Ccy,Conv)</f>
        <v>54541</v>
      </c>
      <c r="D379" s="4">
        <f>_xll.ciqfunctions.udf.CIQ(InputTicker, "IQ_TOTAL_DEBT",Input!F$2,Date,,,Ccy,Conv)</f>
        <v>95527</v>
      </c>
      <c r="E379" s="4">
        <f>_xll.ciqfunctions.udf.CIQ(InputTicker, "IQ_TOTAL_DEBT",Input!G$2,Date,,,Ccy,Conv)</f>
        <v>87508</v>
      </c>
      <c r="F379" s="4">
        <f>_xll.ciqfunctions.udf.CIQ(InputTicker, "IQ_TOTAL_DEBT",Input!H$2,Date,,,Ccy,Conv)</f>
        <v>86455</v>
      </c>
      <c r="G379" s="4">
        <f>_xll.ciqfunctions.udf.CIQ(InputTicker, "IQ_TOTAL_DEBT",Input!I$2,Date,,,Ccy,Conv)</f>
        <v>82110</v>
      </c>
      <c r="H379" s="4">
        <f>_xll.ciqfunctions.udf.CIQ(InputTicker, "IQ_TOTAL_DEBT",Input!J$2,Date,,,Ccy,Conv)</f>
        <v>82278</v>
      </c>
      <c r="I379" s="4">
        <f>_xll.ciqfunctions.udf.CIQ(InputTicker, "IQ_TOTAL_DEBT",Input!K$2,Date,,,Ccy,Conv)</f>
        <v>78400</v>
      </c>
      <c r="J379" s="4">
        <f>_xll.ciqfunctions.udf.CIQ(InputTicker, "IQ_TOTAL_DEBT",Input!L$2,Date,,,Ccy,Conv)</f>
        <v>79441</v>
      </c>
      <c r="K379" s="4">
        <f>_xll.ciqfunctions.udf.CIQ(InputTicker, "IQ_TOTAL_DEBT",Input!M$2,Date,,,Ccy,Conv)</f>
        <v>97852</v>
      </c>
      <c r="L379" s="4">
        <f>_xll.ciqfunctions.udf.CIQ(InputTicker, "IQ_TOTAL_DEBT",Input!N$2,Date,,,Ccy,Conv)</f>
        <v>112184</v>
      </c>
      <c r="M379" s="4">
        <f>_xll.ciqfunctions.udf.CIQ(InputTicker, "IQ_TOTAL_DEBT",Input!O$2,Date,,,Ccy,Conv)</f>
        <v>125432</v>
      </c>
      <c r="N379" s="53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  <c r="BJ379" s="42"/>
      <c r="BK379" s="42"/>
      <c r="BL379" s="42"/>
      <c r="BM379" s="42"/>
      <c r="BN379" s="42"/>
    </row>
    <row r="380" spans="1:66" ht="12.75" customHeight="1" x14ac:dyDescent="0.2">
      <c r="A380" s="1" t="s">
        <v>377</v>
      </c>
      <c r="B380" s="4">
        <f>_xll.ciqfunctions.udf.CIQ(InputTicker, "IQ_TOTAL_DEBT_CURRENT",Input!D$2,Date,,,Ccy,Conv)</f>
        <v>7576</v>
      </c>
      <c r="C380" s="4">
        <f>_xll.ciqfunctions.udf.CIQ(InputTicker, "IQ_TOTAL_DEBT_CURRENT",Input!E$2,Date,,,Ccy,Conv)</f>
        <v>13223</v>
      </c>
      <c r="D380" s="4">
        <f>_xll.ciqfunctions.udf.CIQ(InputTicker, "IQ_TOTAL_DEBT_CURRENT",Input!F$2,Date,,,Ccy,Conv)</f>
        <v>11657</v>
      </c>
      <c r="E380" s="4">
        <f>_xll.ciqfunctions.udf.CIQ(InputTicker, "IQ_TOTAL_DEBT_CURRENT",Input!G$2,Date,,,Ccy,Conv)</f>
        <v>5573</v>
      </c>
      <c r="F380" s="4">
        <f>_xll.ciqfunctions.udf.CIQ(InputTicker, "IQ_TOTAL_DEBT_CURRENT",Input!H$2,Date,,,Ccy,Conv)</f>
        <v>7348</v>
      </c>
      <c r="G380" s="4">
        <f>_xll.ciqfunctions.udf.CIQ(InputTicker, "IQ_TOTAL_DEBT_CURRENT",Input!I$2,Date,,,Ccy,Conv)</f>
        <v>5905</v>
      </c>
      <c r="H380" s="4">
        <f>_xll.ciqfunctions.udf.CIQ(InputTicker, "IQ_TOTAL_DEBT_CURRENT",Input!J$2,Date,,,Ccy,Conv)</f>
        <v>10825</v>
      </c>
      <c r="I380" s="4">
        <f>_xll.ciqfunctions.udf.CIQ(InputTicker, "IQ_TOTAL_DEBT_CURRENT",Input!K$2,Date,,,Ccy,Conv)</f>
        <v>6037</v>
      </c>
      <c r="J380" s="4">
        <f>_xll.ciqfunctions.udf.CIQ(InputTicker, "IQ_TOTAL_DEBT_CURRENT",Input!L$2,Date,,,Ccy,Conv)</f>
        <v>8853</v>
      </c>
      <c r="K380" s="4">
        <f>_xll.ciqfunctions.udf.CIQ(InputTicker, "IQ_TOTAL_DEBT_CURRENT",Input!M$2,Date,,,Ccy,Conv)</f>
        <v>14871</v>
      </c>
      <c r="L380" s="4">
        <f>_xll.ciqfunctions.udf.CIQ(InputTicker, "IQ_TOTAL_DEBT_CURRENT",Input!N$2,Date,,,Ccy,Conv)</f>
        <v>11595</v>
      </c>
      <c r="M380" s="4">
        <f>_xll.ciqfunctions.udf.CIQ(InputTicker, "IQ_TOTAL_DEBT_CURRENT",Input!O$2,Date,,,Ccy,Conv)</f>
        <v>18437</v>
      </c>
      <c r="N380" s="53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  <c r="AO380" s="42"/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  <c r="BJ380" s="42"/>
      <c r="BK380" s="42"/>
      <c r="BL380" s="42"/>
      <c r="BM380" s="42"/>
      <c r="BN380" s="42"/>
    </row>
    <row r="381" spans="1:66" ht="12.75" customHeight="1" x14ac:dyDescent="0.2">
      <c r="A381" s="1" t="s">
        <v>512</v>
      </c>
      <c r="B381" s="4">
        <f>_xll.ciqfunctions.udf.CIQ(InputTicker, "IQ_TOTAL_DEBT_NON_CURRENT",Input!D$2,Date,,,Ccy,Conv)</f>
        <v>27808</v>
      </c>
      <c r="C381" s="4">
        <f>_xll.ciqfunctions.udf.CIQ(InputTicker, "IQ_TOTAL_DEBT_NON_CURRENT",Input!E$2,Date,,,Ccy,Conv)</f>
        <v>41318</v>
      </c>
      <c r="D381" s="4">
        <f>_xll.ciqfunctions.udf.CIQ(InputTicker, "IQ_TOTAL_DEBT_NON_CURRENT",Input!F$2,Date,,,Ccy,Conv)</f>
        <v>83870</v>
      </c>
      <c r="E381" s="4">
        <f>_xll.ciqfunctions.udf.CIQ(InputTicker, "IQ_TOTAL_DEBT_NON_CURRENT",Input!G$2,Date,,,Ccy,Conv)</f>
        <v>81935</v>
      </c>
      <c r="F381" s="4">
        <f>_xll.ciqfunctions.udf.CIQ(InputTicker, "IQ_TOTAL_DEBT_NON_CURRENT",Input!H$2,Date,,,Ccy,Conv)</f>
        <v>79107</v>
      </c>
      <c r="G381" s="4">
        <f>_xll.ciqfunctions.udf.CIQ(InputTicker, "IQ_TOTAL_DEBT_NON_CURRENT",Input!I$2,Date,,,Ccy,Conv)</f>
        <v>76205</v>
      </c>
      <c r="H381" s="4">
        <f>_xll.ciqfunctions.udf.CIQ(InputTicker, "IQ_TOTAL_DEBT_NON_CURRENT",Input!J$2,Date,,,Ccy,Conv)</f>
        <v>71453</v>
      </c>
      <c r="I381" s="4">
        <f>_xll.ciqfunctions.udf.CIQ(InputTicker, "IQ_TOTAL_DEBT_NON_CURRENT",Input!K$2,Date,,,Ccy,Conv)</f>
        <v>72363</v>
      </c>
      <c r="J381" s="4">
        <f>_xll.ciqfunctions.udf.CIQ(InputTicker, "IQ_TOTAL_DEBT_NON_CURRENT",Input!L$2,Date,,,Ccy,Conv)</f>
        <v>70588</v>
      </c>
      <c r="K381" s="4">
        <f>_xll.ciqfunctions.udf.CIQ(InputTicker, "IQ_TOTAL_DEBT_NON_CURRENT",Input!M$2,Date,,,Ccy,Conv)</f>
        <v>82981</v>
      </c>
      <c r="L381" s="4">
        <f>_xll.ciqfunctions.udf.CIQ(InputTicker, "IQ_TOTAL_DEBT_NON_CURRENT",Input!N$2,Date,,,Ccy,Conv)</f>
        <v>100589</v>
      </c>
      <c r="M381" s="4">
        <f>_xll.ciqfunctions.udf.CIQ(InputTicker, "IQ_TOTAL_DEBT_NON_CURRENT",Input!O$2,Date,,,Ccy,Conv)</f>
        <v>106995</v>
      </c>
      <c r="N381" s="53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  <c r="AO381" s="42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  <c r="BJ381" s="42"/>
      <c r="BK381" s="42"/>
      <c r="BL381" s="42"/>
      <c r="BM381" s="42"/>
      <c r="BN381" s="42"/>
    </row>
    <row r="382" spans="1:66" ht="12.75" customHeight="1" x14ac:dyDescent="0.2">
      <c r="A382" s="1" t="s">
        <v>102</v>
      </c>
      <c r="B382" s="4">
        <f>_xll.ciqfunctions.udf.CIQ(InputTicker, "IQ_NET_DEBT",Input!D$2,Date,,,Ccy,Conv)</f>
        <v>-61007</v>
      </c>
      <c r="C382" s="4">
        <f>_xll.ciqfunctions.udf.CIQ(InputTicker, "IQ_NET_DEBT",Input!E$2,Date,,,Ccy,Conv)</f>
        <v>-58500</v>
      </c>
      <c r="D382" s="4">
        <f>_xll.ciqfunctions.udf.CIQ(InputTicker, "IQ_NET_DEBT",Input!F$2,Date,,,Ccy,Conv)</f>
        <v>-37374</v>
      </c>
      <c r="E382" s="4">
        <f>_xll.ciqfunctions.udf.CIQ(InputTicker, "IQ_NET_DEBT",Input!G$2,Date,,,Ccy,Conv)</f>
        <v>-46156</v>
      </c>
      <c r="F382" s="4">
        <f>_xll.ciqfunctions.udf.CIQ(InputTicker, "IQ_NET_DEBT",Input!H$2,Date,,,Ccy,Conv)</f>
        <v>-47377</v>
      </c>
      <c r="G382" s="4">
        <f>_xll.ciqfunctions.udf.CIQ(InputTicker, "IQ_NET_DEBT",Input!I$2,Date,,,Ccy,Conv)</f>
        <v>-54382</v>
      </c>
      <c r="H382" s="4">
        <f>_xll.ciqfunctions.udf.CIQ(InputTicker, "IQ_NET_DEBT",Input!J$2,Date,,,Ccy,Conv)</f>
        <v>-47978</v>
      </c>
      <c r="I382" s="4">
        <f>_xll.ciqfunctions.udf.CIQ(InputTicker, "IQ_NET_DEBT",Input!K$2,Date,,,Ccy,Conv)</f>
        <v>-26349</v>
      </c>
      <c r="J382" s="4">
        <f>_xll.ciqfunctions.udf.CIQ(InputTicker, "IQ_NET_DEBT",Input!L$2,Date,,,Ccy,Conv)</f>
        <v>-31815</v>
      </c>
      <c r="K382" s="4">
        <f>_xll.ciqfunctions.udf.CIQ(InputTicker, "IQ_NET_DEBT",Input!M$2,Date,,,Ccy,Conv)</f>
        <v>22309</v>
      </c>
      <c r="L382" s="4">
        <f>_xll.ciqfunctions.udf.CIQ(InputTicker, "IQ_NET_DEBT",Input!N$2,Date,,,Ccy,Conv)</f>
        <v>17619</v>
      </c>
      <c r="M382" s="4">
        <f>_xll.ciqfunctions.udf.CIQ(InputTicker, "IQ_NET_DEBT",Input!O$2,Date,,,Ccy,Conv)</f>
        <v>47204</v>
      </c>
      <c r="N382" s="53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  <c r="BJ382" s="42"/>
      <c r="BK382" s="42"/>
      <c r="BL382" s="42"/>
      <c r="BM382" s="42"/>
      <c r="BN382" s="42"/>
    </row>
    <row r="383" spans="1:66" ht="12.75" customHeight="1" x14ac:dyDescent="0.2">
      <c r="A383" s="1" t="s">
        <v>368</v>
      </c>
      <c r="B383" s="4">
        <f>_xll.ciqfunctions.udf.CIQ(InputTicker, "IQ_MINORITY_INTEREST_TOTAL",Input!D$2,Date,,,Ccy,Conv)</f>
        <v>0</v>
      </c>
      <c r="C383" s="4">
        <f>_xll.ciqfunctions.udf.CIQ(InputTicker, "IQ_MINORITY_INTEREST_TOTAL",Input!E$2,Date,,,Ccy,Conv)</f>
        <v>0</v>
      </c>
      <c r="D383" s="4">
        <f>_xll.ciqfunctions.udf.CIQ(InputTicker, "IQ_MINORITY_INTEREST_TOTAL",Input!F$2,Date,,,Ccy,Conv)</f>
        <v>0</v>
      </c>
      <c r="E383" s="4">
        <f>_xll.ciqfunctions.udf.CIQ(InputTicker, "IQ_MINORITY_INTEREST_TOTAL",Input!G$2,Date,,,Ccy,Conv)</f>
        <v>0</v>
      </c>
      <c r="F383" s="4">
        <f>_xll.ciqfunctions.udf.CIQ(InputTicker, "IQ_MINORITY_INTEREST_TOTAL",Input!H$2,Date,,,Ccy,Conv)</f>
        <v>0</v>
      </c>
      <c r="G383" s="4">
        <f>_xll.ciqfunctions.udf.CIQ(InputTicker, "IQ_MINORITY_INTEREST_TOTAL",Input!I$2,Date,,,Ccy,Conv)</f>
        <v>0</v>
      </c>
      <c r="H383" s="4">
        <f>_xll.ciqfunctions.udf.CIQ(InputTicker, "IQ_MINORITY_INTEREST_TOTAL",Input!J$2,Date,,,Ccy,Conv)</f>
        <v>0</v>
      </c>
      <c r="I383" s="4">
        <f>_xll.ciqfunctions.udf.CIQ(InputTicker, "IQ_MINORITY_INTEREST_TOTAL",Input!K$2,Date,,,Ccy,Conv)</f>
        <v>0</v>
      </c>
      <c r="J383" s="4">
        <f>_xll.ciqfunctions.udf.CIQ(InputTicker, "IQ_MINORITY_INTEREST_TOTAL",Input!L$2,Date,,,Ccy,Conv)</f>
        <v>0</v>
      </c>
      <c r="K383" s="4">
        <f>_xll.ciqfunctions.udf.CIQ(InputTicker, "IQ_MINORITY_INTEREST_TOTAL",Input!M$2,Date,,,Ccy,Conv)</f>
        <v>0</v>
      </c>
      <c r="L383" s="4">
        <f>_xll.ciqfunctions.udf.CIQ(InputTicker, "IQ_MINORITY_INTEREST_TOTAL",Input!N$2,Date,,,Ccy,Conv)</f>
        <v>0</v>
      </c>
      <c r="M383" s="4">
        <f>_xll.ciqfunctions.udf.CIQ(InputTicker, "IQ_MINORITY_INTEREST_TOTAL",Input!O$2,Date,,,Ccy,Conv)</f>
        <v>0</v>
      </c>
      <c r="N383" s="53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  <c r="AO383" s="42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  <c r="BJ383" s="42"/>
      <c r="BK383" s="42"/>
      <c r="BL383" s="42"/>
      <c r="BM383" s="42"/>
      <c r="BN383" s="42"/>
    </row>
    <row r="384" spans="1:66" ht="12.75" customHeight="1" x14ac:dyDescent="0.2">
      <c r="A384" s="1" t="s">
        <v>218</v>
      </c>
      <c r="B384" s="4">
        <f>_xll.ciqfunctions.udf.CIQ(InputTicker, "IQ_TOTAL_CAP",Input!D$2,Date,,,Ccy,Conv)</f>
        <v>115467</v>
      </c>
      <c r="C384" s="4">
        <f>_xll.ciqfunctions.udf.CIQ(InputTicker, "IQ_TOTAL_CAP",Input!E$2,Date,,,Ccy,Conv)</f>
        <v>126538</v>
      </c>
      <c r="D384" s="4">
        <f>_xll.ciqfunctions.udf.CIQ(InputTicker, "IQ_TOTAL_CAP",Input!F$2,Date,,,Ccy,Conv)</f>
        <v>183238</v>
      </c>
      <c r="E384" s="4">
        <f>_xll.ciqfunctions.udf.CIQ(InputTicker, "IQ_TOTAL_CAP",Input!G$2,Date,,,Ccy,Conv)</f>
        <v>170226</v>
      </c>
      <c r="F384" s="4">
        <f>_xll.ciqfunctions.udf.CIQ(InputTicker, "IQ_TOTAL_CAP",Input!H$2,Date,,,Ccy,Conv)</f>
        <v>188785</v>
      </c>
      <c r="G384" s="4">
        <f>_xll.ciqfunctions.udf.CIQ(InputTicker, "IQ_TOTAL_CAP",Input!I$2,Date,,,Ccy,Conv)</f>
        <v>200414</v>
      </c>
      <c r="H384" s="4">
        <f>_xll.ciqfunctions.udf.CIQ(InputTicker, "IQ_TOTAL_CAP",Input!J$2,Date,,,Ccy,Conv)</f>
        <v>224266</v>
      </c>
      <c r="I384" s="4">
        <f>_xll.ciqfunctions.udf.CIQ(InputTicker, "IQ_TOTAL_CAP",Input!K$2,Date,,,Ccy,Conv)</f>
        <v>244942</v>
      </c>
      <c r="J384" s="4">
        <f>_xll.ciqfunctions.udf.CIQ(InputTicker, "IQ_TOTAL_CAP",Input!L$2,Date,,,Ccy,Conv)</f>
        <v>285664</v>
      </c>
      <c r="K384" s="4">
        <f>_xll.ciqfunctions.udf.CIQ(InputTicker, "IQ_TOTAL_CAP",Input!M$2,Date,,,Ccy,Conv)</f>
        <v>366329</v>
      </c>
      <c r="L384" s="4">
        <f>_xll.ciqfunctions.udf.CIQ(InputTicker, "IQ_TOTAL_CAP",Input!N$2,Date,,,Ccy,Conv)</f>
        <v>455663</v>
      </c>
      <c r="M384" s="4">
        <f>_xll.ciqfunctions.udf.CIQ(InputTicker, "IQ_TOTAL_CAP",Input!O$2,Date,,,Ccy,Conv)</f>
        <v>539799</v>
      </c>
      <c r="N384" s="53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  <c r="AO384" s="42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  <c r="BJ384" s="42"/>
      <c r="BK384" s="42"/>
      <c r="BL384" s="42"/>
      <c r="BM384" s="42"/>
      <c r="BN384" s="42"/>
    </row>
    <row r="385" spans="1:66" ht="12.75" customHeight="1" x14ac:dyDescent="0.2">
      <c r="A385" s="1" t="s">
        <v>353</v>
      </c>
      <c r="B385" s="4">
        <f>_xll.ciqfunctions.udf.CIQ(InputTicker, "IQ_WORKING_CAP",Input!D$2,Date,,,Ccy,Conv)</f>
        <v>73150</v>
      </c>
      <c r="C385" s="4">
        <f>_xll.ciqfunctions.udf.CIQ(InputTicker, "IQ_WORKING_CAP",Input!E$2,Date,,,Ccy,Conv)</f>
        <v>80303</v>
      </c>
      <c r="D385" s="4">
        <f>_xll.ciqfunctions.udf.CIQ(InputTicker, "IQ_WORKING_CAP",Input!F$2,Date,,,Ccy,Conv)</f>
        <v>106951</v>
      </c>
      <c r="E385" s="4">
        <f>_xll.ciqfunctions.udf.CIQ(InputTicker, "IQ_WORKING_CAP",Input!G$2,Date,,,Ccy,Conv)</f>
        <v>111174</v>
      </c>
      <c r="F385" s="4">
        <f>_xll.ciqfunctions.udf.CIQ(InputTicker, "IQ_WORKING_CAP",Input!H$2,Date,,,Ccy,Conv)</f>
        <v>106132</v>
      </c>
      <c r="G385" s="4">
        <f>_xll.ciqfunctions.udf.CIQ(InputTicker, "IQ_WORKING_CAP",Input!I$2,Date,,,Ccy,Conv)</f>
        <v>109605</v>
      </c>
      <c r="H385" s="4">
        <f>_xll.ciqfunctions.udf.CIQ(InputTicker, "IQ_WORKING_CAP",Input!J$2,Date,,,Ccy,Conv)</f>
        <v>95749</v>
      </c>
      <c r="I385" s="4">
        <f>_xll.ciqfunctions.udf.CIQ(InputTicker, "IQ_WORKING_CAP",Input!K$2,Date,,,Ccy,Conv)</f>
        <v>74602</v>
      </c>
      <c r="J385" s="4">
        <f>_xll.ciqfunctions.udf.CIQ(InputTicker, "IQ_WORKING_CAP",Input!L$2,Date,,,Ccy,Conv)</f>
        <v>80108</v>
      </c>
      <c r="K385" s="4">
        <f>_xll.ciqfunctions.udf.CIQ(InputTicker, "IQ_WORKING_CAP",Input!M$2,Date,,,Ccy,Conv)</f>
        <v>34448</v>
      </c>
      <c r="L385" s="4">
        <f>_xll.ciqfunctions.udf.CIQ(InputTicker, "IQ_WORKING_CAP",Input!N$2,Date,,,Ccy,Conv)</f>
        <v>49913</v>
      </c>
      <c r="M385" s="4">
        <f>_xll.ciqfunctions.udf.CIQ(InputTicker, "IQ_WORKING_CAP",Input!O$2,Date,,,Ccy,Conv)</f>
        <v>38668</v>
      </c>
      <c r="N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  <c r="BJ385" s="42"/>
      <c r="BK385" s="42"/>
      <c r="BL385" s="42"/>
      <c r="BM385" s="42"/>
      <c r="BN385" s="42"/>
    </row>
    <row r="386" spans="1:66" ht="12.75" customHeight="1" x14ac:dyDescent="0.2">
      <c r="A386" s="1" t="s">
        <v>354</v>
      </c>
      <c r="B386" s="4">
        <f>_xll.ciqfunctions.udf.CIQ(InputTicker, "IQ_NET_WORKING_CAP",Input!D$2,Date,,,Ccy,Conv)</f>
        <v>-15665</v>
      </c>
      <c r="C386" s="4">
        <f>_xll.ciqfunctions.udf.CIQ(InputTicker, "IQ_NET_WORKING_CAP",Input!E$2,Date,,,Ccy,Conv)</f>
        <v>-19515</v>
      </c>
      <c r="D386" s="4">
        <f>_xll.ciqfunctions.udf.CIQ(InputTicker, "IQ_NET_WORKING_CAP",Input!F$2,Date,,,Ccy,Conv)</f>
        <v>-14293</v>
      </c>
      <c r="E386" s="4">
        <f>_xll.ciqfunctions.udf.CIQ(InputTicker, "IQ_NET_WORKING_CAP",Input!G$2,Date,,,Ccy,Conv)</f>
        <v>-16917</v>
      </c>
      <c r="F386" s="4">
        <f>_xll.ciqfunctions.udf.CIQ(InputTicker, "IQ_NET_WORKING_CAP",Input!H$2,Date,,,Ccy,Conv)</f>
        <v>-20352</v>
      </c>
      <c r="G386" s="4">
        <f>_xll.ciqfunctions.udf.CIQ(InputTicker, "IQ_NET_WORKING_CAP",Input!I$2,Date,,,Ccy,Conv)</f>
        <v>-20982</v>
      </c>
      <c r="H386" s="4">
        <f>_xll.ciqfunctions.udf.CIQ(InputTicker, "IQ_NET_WORKING_CAP",Input!J$2,Date,,,Ccy,Conv)</f>
        <v>-23682</v>
      </c>
      <c r="I386" s="4">
        <f>_xll.ciqfunctions.udf.CIQ(InputTicker, "IQ_NET_WORKING_CAP",Input!K$2,Date,,,Ccy,Conv)</f>
        <v>-24110</v>
      </c>
      <c r="J386" s="4">
        <f>_xll.ciqfunctions.udf.CIQ(InputTicker, "IQ_NET_WORKING_CAP",Input!L$2,Date,,,Ccy,Conv)</f>
        <v>-22295</v>
      </c>
      <c r="K386" s="4">
        <f>_xll.ciqfunctions.udf.CIQ(InputTicker, "IQ_NET_WORKING_CAP",Input!M$2,Date,,,Ccy,Conv)</f>
        <v>-26224</v>
      </c>
      <c r="L386" s="4">
        <f>_xll.ciqfunctions.udf.CIQ(InputTicker, "IQ_NET_WORKING_CAP",Input!N$2,Date,,,Ccy,Conv)</f>
        <v>-33057</v>
      </c>
      <c r="M386" s="4">
        <f>_xll.ciqfunctions.udf.CIQ(InputTicker, "IQ_NET_WORKING_CAP",Input!O$2,Date,,,Ccy,Conv)</f>
        <v>-21123</v>
      </c>
      <c r="N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  <c r="AO386" s="42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  <c r="BJ386" s="42"/>
      <c r="BK386" s="42"/>
      <c r="BL386" s="42"/>
      <c r="BM386" s="42"/>
      <c r="BN386" s="42"/>
    </row>
    <row r="387" spans="1:66" ht="12.75" customHeight="1" x14ac:dyDescent="0.2">
      <c r="A387" s="1" t="s">
        <v>367</v>
      </c>
      <c r="B387" s="4">
        <f>_xll.ciqfunctions.udf.CIQ(InputTicker, "IQ_ALLOW_DOUBT_ACCT",Input!D$2,Date,,,Ccy,Conv)</f>
        <v>335</v>
      </c>
      <c r="C387" s="4">
        <f>_xll.ciqfunctions.udf.CIQ(InputTicker, "IQ_ALLOW_DOUBT_ACCT",Input!E$2,Date,,,Ccy,Conv)</f>
        <v>426</v>
      </c>
      <c r="D387" s="4">
        <f>_xll.ciqfunctions.udf.CIQ(InputTicker, "IQ_ALLOW_DOUBT_ACCT",Input!F$2,Date,,,Ccy,Conv)</f>
        <v>345</v>
      </c>
      <c r="E387" s="4">
        <f>_xll.ciqfunctions.udf.CIQ(InputTicker, "IQ_ALLOW_DOUBT_ACCT",Input!G$2,Date,,,Ccy,Conv)</f>
        <v>377</v>
      </c>
      <c r="F387" s="4">
        <f>_xll.ciqfunctions.udf.CIQ(InputTicker, "IQ_ALLOW_DOUBT_ACCT",Input!H$2,Date,,,Ccy,Conv)</f>
        <v>411</v>
      </c>
      <c r="G387" s="4">
        <f>_xll.ciqfunctions.udf.CIQ(InputTicker, "IQ_ALLOW_DOUBT_ACCT",Input!I$2,Date,,,Ccy,Conv)</f>
        <v>788</v>
      </c>
      <c r="H387" s="4">
        <f>_xll.ciqfunctions.udf.CIQ(InputTicker, "IQ_ALLOW_DOUBT_ACCT",Input!J$2,Date,,,Ccy,Conv)</f>
        <v>751</v>
      </c>
      <c r="I387" s="4">
        <f>_xll.ciqfunctions.udf.CIQ(InputTicker, "IQ_ALLOW_DOUBT_ACCT",Input!K$2,Date,,,Ccy,Conv)</f>
        <v>633</v>
      </c>
      <c r="J387" s="4">
        <f>_xll.ciqfunctions.udf.CIQ(InputTicker, "IQ_ALLOW_DOUBT_ACCT",Input!L$2,Date,,,Ccy,Conv)</f>
        <v>650</v>
      </c>
      <c r="K387" s="4">
        <f>_xll.ciqfunctions.udf.CIQ(InputTicker, "IQ_ALLOW_DOUBT_ACCT",Input!M$2,Date,,,Ccy,Conv)</f>
        <v>830</v>
      </c>
      <c r="L387" s="4">
        <f>_xll.ciqfunctions.udf.CIQ(InputTicker, "IQ_ALLOW_DOUBT_ACCT",Input!N$2,Date,,,Ccy,Conv)</f>
        <v>944</v>
      </c>
      <c r="M387" s="4">
        <f>_xll.ciqfunctions.udf.CIQ(InputTicker, "IQ_ALLOW_DOUBT_ACCT",Input!O$2,Date,,,Ccy,Conv)</f>
        <v>794</v>
      </c>
      <c r="N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  <c r="AO387" s="42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  <c r="BJ387" s="42"/>
      <c r="BK387" s="42"/>
      <c r="BL387" s="42"/>
      <c r="BM387" s="42"/>
      <c r="BN387" s="42"/>
    </row>
    <row r="388" spans="1:66" ht="12.75" customHeight="1" x14ac:dyDescent="0.2">
      <c r="A388" s="1" t="s">
        <v>355</v>
      </c>
      <c r="B388" s="4">
        <f>_xll.ciqfunctions.udf.CIQ(InputTicker, "IQ_EQUITY_METHOD",Input!D$2,Date,,,Ccy,Conv)</f>
        <v>0</v>
      </c>
      <c r="C388" s="4">
        <f>_xll.ciqfunctions.udf.CIQ(InputTicker, "IQ_EQUITY_METHOD",Input!E$2,Date,,,Ccy,Conv)</f>
        <v>0</v>
      </c>
      <c r="D388" s="4">
        <f>_xll.ciqfunctions.udf.CIQ(InputTicker, "IQ_EQUITY_METHOD",Input!F$2,Date,,,Ccy,Conv)</f>
        <v>0</v>
      </c>
      <c r="E388" s="4">
        <f>_xll.ciqfunctions.udf.CIQ(InputTicker, "IQ_EQUITY_METHOD",Input!G$2,Date,,,Ccy,Conv)</f>
        <v>0</v>
      </c>
      <c r="F388" s="4">
        <f>_xll.ciqfunctions.udf.CIQ(InputTicker, "IQ_EQUITY_METHOD",Input!H$2,Date,,,Ccy,Conv)</f>
        <v>0</v>
      </c>
      <c r="G388" s="4">
        <f>_xll.ciqfunctions.udf.CIQ(InputTicker, "IQ_EQUITY_METHOD",Input!I$2,Date,,,Ccy,Conv)</f>
        <v>0</v>
      </c>
      <c r="H388" s="4">
        <f>_xll.ciqfunctions.udf.CIQ(InputTicker, "IQ_EQUITY_METHOD",Input!J$2,Date,,,Ccy,Conv)</f>
        <v>0</v>
      </c>
      <c r="I388" s="4">
        <f>_xll.ciqfunctions.udf.CIQ(InputTicker, "IQ_EQUITY_METHOD",Input!K$2,Date,,,Ccy,Conv)</f>
        <v>0</v>
      </c>
      <c r="J388" s="4">
        <f>_xll.ciqfunctions.udf.CIQ(InputTicker, "IQ_EQUITY_METHOD",Input!L$2,Date,,,Ccy,Conv)</f>
        <v>0</v>
      </c>
      <c r="K388" s="4">
        <f>_xll.ciqfunctions.udf.CIQ(InputTicker, "IQ_EQUITY_METHOD",Input!M$2,Date,,,Ccy,Conv)</f>
        <v>0</v>
      </c>
      <c r="L388" s="4">
        <f>_xll.ciqfunctions.udf.CIQ(InputTicker, "IQ_EQUITY_METHOD",Input!N$2,Date,,,Ccy,Conv)</f>
        <v>0</v>
      </c>
      <c r="M388" s="4">
        <f>_xll.ciqfunctions.udf.CIQ(InputTicker, "IQ_EQUITY_METHOD",Input!O$2,Date,,,Ccy,Conv)</f>
        <v>0</v>
      </c>
      <c r="N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  <c r="BJ388" s="42"/>
      <c r="BK388" s="42"/>
      <c r="BL388" s="42"/>
      <c r="BM388" s="42"/>
      <c r="BN388" s="42"/>
    </row>
    <row r="389" spans="1:66" ht="12.75" customHeight="1" x14ac:dyDescent="0.2">
      <c r="A389" s="1" t="s">
        <v>43</v>
      </c>
      <c r="B389" s="4">
        <f>_xll.ciqfunctions.udf.CIQ(InputTicker, "IQ_AR_UNBILLED",Input!D$2,Date,,,Ccy,Conv)</f>
        <v>0</v>
      </c>
      <c r="C389" s="4">
        <f>_xll.ciqfunctions.udf.CIQ(InputTicker, "IQ_AR_UNBILLED",Input!E$2,Date,,,Ccy,Conv)</f>
        <v>0</v>
      </c>
      <c r="D389" s="4">
        <f>_xll.ciqfunctions.udf.CIQ(InputTicker, "IQ_AR_UNBILLED",Input!F$2,Date,,,Ccy,Conv)</f>
        <v>0</v>
      </c>
      <c r="E389" s="4">
        <f>_xll.ciqfunctions.udf.CIQ(InputTicker, "IQ_AR_UNBILLED",Input!G$2,Date,,,Ccy,Conv)</f>
        <v>0</v>
      </c>
      <c r="F389" s="4">
        <f>_xll.ciqfunctions.udf.CIQ(InputTicker, "IQ_AR_UNBILLED",Input!H$2,Date,,,Ccy,Conv)</f>
        <v>0</v>
      </c>
      <c r="G389" s="4">
        <f>_xll.ciqfunctions.udf.CIQ(InputTicker, "IQ_AR_UNBILLED",Input!I$2,Date,,,Ccy,Conv)</f>
        <v>0</v>
      </c>
      <c r="H389" s="4">
        <f>_xll.ciqfunctions.udf.CIQ(InputTicker, "IQ_AR_UNBILLED",Input!J$2,Date,,,Ccy,Conv)</f>
        <v>0</v>
      </c>
      <c r="I389" s="4">
        <f>_xll.ciqfunctions.udf.CIQ(InputTicker, "IQ_AR_UNBILLED",Input!K$2,Date,,,Ccy,Conv)</f>
        <v>0</v>
      </c>
      <c r="J389" s="4">
        <f>_xll.ciqfunctions.udf.CIQ(InputTicker, "IQ_AR_UNBILLED",Input!L$2,Date,,,Ccy,Conv)</f>
        <v>0</v>
      </c>
      <c r="K389" s="4">
        <f>_xll.ciqfunctions.udf.CIQ(InputTicker, "IQ_AR_UNBILLED",Input!M$2,Date,,,Ccy,Conv)</f>
        <v>0</v>
      </c>
      <c r="L389" s="4">
        <f>_xll.ciqfunctions.udf.CIQ(InputTicker, "IQ_AR_UNBILLED",Input!N$2,Date,,,Ccy,Conv)</f>
        <v>0</v>
      </c>
      <c r="M389" s="4">
        <f>_xll.ciqfunctions.udf.CIQ(InputTicker, "IQ_AR_UNBILLED",Input!O$2,Date,,,Ccy,Conv)</f>
        <v>0</v>
      </c>
      <c r="N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  <c r="AO389" s="42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  <c r="BJ389" s="42"/>
      <c r="BK389" s="42"/>
      <c r="BL389" s="42"/>
      <c r="BM389" s="42"/>
      <c r="BN389" s="42"/>
    </row>
    <row r="390" spans="1:66" ht="12.75" customHeight="1" x14ac:dyDescent="0.2">
      <c r="A390" s="1" t="s">
        <v>356</v>
      </c>
      <c r="B390" s="4" t="str">
        <f>_xll.ciqfunctions.udf.CIQ(InputTicker, "IQ_INV_METHOD",Input!D$2,Date)</f>
        <v>Avg Cost</v>
      </c>
      <c r="C390" s="4" t="str">
        <f>_xll.ciqfunctions.udf.CIQ(InputTicker, "IQ_INV_METHOD",Input!E$2,Date)</f>
        <v>Avg Cost</v>
      </c>
      <c r="D390" s="4" t="str">
        <f>_xll.ciqfunctions.udf.CIQ(InputTicker, "IQ_INV_METHOD",Input!F$2,Date)</f>
        <v>Avg Cost</v>
      </c>
      <c r="E390" s="4" t="str">
        <f>_xll.ciqfunctions.udf.CIQ(InputTicker, "IQ_INV_METHOD",Input!G$2,Date)</f>
        <v>Avg Cost</v>
      </c>
      <c r="F390" s="4" t="str">
        <f>_xll.ciqfunctions.udf.CIQ(InputTicker, "IQ_INV_METHOD",Input!H$2,Date)</f>
        <v>Avg Cost</v>
      </c>
      <c r="G390" s="4" t="str">
        <f>_xll.ciqfunctions.udf.CIQ(InputTicker, "IQ_INV_METHOD",Input!I$2,Date)</f>
        <v>Avg Cost</v>
      </c>
      <c r="H390" s="4" t="str">
        <f>_xll.ciqfunctions.udf.CIQ(InputTicker, "IQ_INV_METHOD",Input!J$2,Date)</f>
        <v>Avg Cost</v>
      </c>
      <c r="I390" s="4" t="str">
        <f>_xll.ciqfunctions.udf.CIQ(InputTicker, "IQ_INV_METHOD",Input!K$2,Date)</f>
        <v>Avg Cost</v>
      </c>
      <c r="J390" s="4" t="str">
        <f>_xll.ciqfunctions.udf.CIQ(InputTicker, "IQ_INV_METHOD",Input!L$2,Date)</f>
        <v>Avg Cost</v>
      </c>
      <c r="K390" s="4" t="str">
        <f>_xll.ciqfunctions.udf.CIQ(InputTicker, "IQ_INV_METHOD",Input!M$2,Date)</f>
        <v>Avg Cost</v>
      </c>
      <c r="L390" s="4" t="str">
        <f>_xll.ciqfunctions.udf.CIQ(InputTicker, "IQ_INV_METHOD",Input!N$2,Date)</f>
        <v>Avg Cost</v>
      </c>
      <c r="M390" s="4">
        <f>_xll.ciqfunctions.udf.CIQ(InputTicker, "IQ_INV_METHOD",Input!O$2,Date)</f>
        <v>0</v>
      </c>
      <c r="N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  <c r="AO390" s="42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  <c r="BJ390" s="42"/>
      <c r="BK390" s="42"/>
      <c r="BL390" s="42"/>
      <c r="BM390" s="42"/>
      <c r="BN390" s="42"/>
    </row>
    <row r="391" spans="1:66" ht="12.75" customHeight="1" x14ac:dyDescent="0.2">
      <c r="A391" s="1" t="s">
        <v>219</v>
      </c>
      <c r="B391" s="4">
        <f>_xll.ciqfunctions.udf.CIQ(InputTicker, "IQ_LIFOR",Input!D$2,Date,,,Ccy,Conv)</f>
        <v>0</v>
      </c>
      <c r="C391" s="4">
        <f>_xll.ciqfunctions.udf.CIQ(InputTicker, "IQ_LIFOR",Input!E$2,Date,,,Ccy,Conv)</f>
        <v>0</v>
      </c>
      <c r="D391" s="4">
        <f>_xll.ciqfunctions.udf.CIQ(InputTicker, "IQ_LIFOR",Input!F$2,Date,,,Ccy,Conv)</f>
        <v>0</v>
      </c>
      <c r="E391" s="4">
        <f>_xll.ciqfunctions.udf.CIQ(InputTicker, "IQ_LIFOR",Input!G$2,Date,,,Ccy,Conv)</f>
        <v>0</v>
      </c>
      <c r="F391" s="4">
        <f>_xll.ciqfunctions.udf.CIQ(InputTicker, "IQ_LIFOR",Input!H$2,Date,,,Ccy,Conv)</f>
        <v>0</v>
      </c>
      <c r="G391" s="4">
        <f>_xll.ciqfunctions.udf.CIQ(InputTicker, "IQ_LIFOR",Input!I$2,Date,,,Ccy,Conv)</f>
        <v>0</v>
      </c>
      <c r="H391" s="4">
        <f>_xll.ciqfunctions.udf.CIQ(InputTicker, "IQ_LIFOR",Input!J$2,Date,,,Ccy,Conv)</f>
        <v>0</v>
      </c>
      <c r="I391" s="4">
        <f>_xll.ciqfunctions.udf.CIQ(InputTicker, "IQ_LIFOR",Input!K$2,Date,,,Ccy,Conv)</f>
        <v>0</v>
      </c>
      <c r="J391" s="4">
        <f>_xll.ciqfunctions.udf.CIQ(InputTicker, "IQ_LIFOR",Input!L$2,Date,,,Ccy,Conv)</f>
        <v>0</v>
      </c>
      <c r="K391" s="4">
        <f>_xll.ciqfunctions.udf.CIQ(InputTicker, "IQ_LIFOR",Input!M$2,Date,,,Ccy,Conv)</f>
        <v>0</v>
      </c>
      <c r="L391" s="4">
        <f>_xll.ciqfunctions.udf.CIQ(InputTicker, "IQ_LIFOR",Input!N$2,Date,,,Ccy,Conv)</f>
        <v>0</v>
      </c>
      <c r="M391" s="4">
        <f>_xll.ciqfunctions.udf.CIQ(InputTicker, "IQ_LIFOR",Input!O$2,Date,,,Ccy,Conv)</f>
        <v>0</v>
      </c>
      <c r="N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  <c r="AO391" s="42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  <c r="BJ391" s="42"/>
      <c r="BK391" s="42"/>
      <c r="BL391" s="42"/>
      <c r="BM391" s="42"/>
      <c r="BN391" s="42"/>
    </row>
    <row r="392" spans="1:66" ht="12.75" customHeight="1" x14ac:dyDescent="0.2">
      <c r="A392" s="1" t="s">
        <v>220</v>
      </c>
      <c r="B392" s="4">
        <f>_xll.ciqfunctions.udf.CIQ(InputTicker,"IQ_RAW_INV",Input!D$2,Date,,,Ccy,Conv)</f>
        <v>1100</v>
      </c>
      <c r="C392" s="4">
        <f>_xll.ciqfunctions.udf.CIQ(InputTicker,"IQ_RAW_INV",Input!E$2,Date,,,Ccy,Conv)</f>
        <v>612</v>
      </c>
      <c r="D392" s="4">
        <f>_xll.ciqfunctions.udf.CIQ(InputTicker,"IQ_RAW_INV",Input!F$2,Date,,,Ccy,Conv)</f>
        <v>797</v>
      </c>
      <c r="E392" s="4">
        <f>_xll.ciqfunctions.udf.CIQ(InputTicker,"IQ_RAW_INV",Input!G$2,Date,,,Ccy,Conv)</f>
        <v>655</v>
      </c>
      <c r="F392" s="4">
        <f>_xll.ciqfunctions.udf.CIQ(InputTicker,"IQ_RAW_INV",Input!H$2,Date,,,Ccy,Conv)</f>
        <v>399</v>
      </c>
      <c r="G392" s="4">
        <f>_xll.ciqfunctions.udf.CIQ(InputTicker,"IQ_RAW_INV",Input!I$2,Date,,,Ccy,Conv)</f>
        <v>700</v>
      </c>
      <c r="H392" s="4">
        <f>_xll.ciqfunctions.udf.CIQ(InputTicker,"IQ_RAW_INV",Input!J$2,Date,,,Ccy,Conv)</f>
        <v>1190</v>
      </c>
      <c r="I392" s="4">
        <f>_xll.ciqfunctions.udf.CIQ(InputTicker,"IQ_RAW_INV",Input!K$2,Date,,,Ccy,Conv)</f>
        <v>1144</v>
      </c>
      <c r="J392" s="4">
        <f>_xll.ciqfunctions.udf.CIQ(InputTicker,"IQ_RAW_INV",Input!L$2,Date,,,Ccy,Conv)</f>
        <v>709</v>
      </c>
      <c r="K392" s="4">
        <f>_xll.ciqfunctions.udf.CIQ(InputTicker,"IQ_RAW_INV",Input!M$2,Date,,,Ccy,Conv)</f>
        <v>0</v>
      </c>
      <c r="L392" s="4">
        <f>_xll.ciqfunctions.udf.CIQ(InputTicker,"IQ_RAW_INV",Input!N$2,Date,,,Ccy,Conv)</f>
        <v>0</v>
      </c>
      <c r="M392" s="4">
        <f>_xll.ciqfunctions.udf.CIQ(InputTicker,"IQ_RAW_INV",Input!O$2,Date,,,Ccy,Conv)</f>
        <v>0</v>
      </c>
      <c r="N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  <c r="AO392" s="42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  <c r="BJ392" s="42"/>
      <c r="BK392" s="42"/>
      <c r="BL392" s="42"/>
      <c r="BM392" s="42"/>
      <c r="BN392" s="42"/>
    </row>
    <row r="393" spans="1:66" ht="12.75" customHeight="1" x14ac:dyDescent="0.2">
      <c r="A393" s="1" t="s">
        <v>221</v>
      </c>
      <c r="B393" s="4">
        <f>_xll.ciqfunctions.udf.CIQ(InputTicker, "IQ_WIP_INV",Input!D$2,Date,,,Ccy,Conv)</f>
        <v>202</v>
      </c>
      <c r="C393" s="4">
        <f>_xll.ciqfunctions.udf.CIQ(InputTicker, "IQ_WIP_INV",Input!E$2,Date,,,Ccy,Conv)</f>
        <v>158</v>
      </c>
      <c r="D393" s="4">
        <f>_xll.ciqfunctions.udf.CIQ(InputTicker, "IQ_WIP_INV",Input!F$2,Date,,,Ccy,Conv)</f>
        <v>145</v>
      </c>
      <c r="E393" s="4">
        <f>_xll.ciqfunctions.udf.CIQ(InputTicker, "IQ_WIP_INV",Input!G$2,Date,,,Ccy,Conv)</f>
        <v>54</v>
      </c>
      <c r="F393" s="4">
        <f>_xll.ciqfunctions.udf.CIQ(InputTicker, "IQ_WIP_INV",Input!H$2,Date,,,Ccy,Conv)</f>
        <v>53</v>
      </c>
      <c r="G393" s="4">
        <f>_xll.ciqfunctions.udf.CIQ(InputTicker, "IQ_WIP_INV",Input!I$2,Date,,,Ccy,Conv)</f>
        <v>83</v>
      </c>
      <c r="H393" s="4">
        <f>_xll.ciqfunctions.udf.CIQ(InputTicker, "IQ_WIP_INV",Input!J$2,Date,,,Ccy,Conv)</f>
        <v>79</v>
      </c>
      <c r="I393" s="4">
        <f>_xll.ciqfunctions.udf.CIQ(InputTicker, "IQ_WIP_INV",Input!K$2,Date,,,Ccy,Conv)</f>
        <v>82</v>
      </c>
      <c r="J393" s="4">
        <f>_xll.ciqfunctions.udf.CIQ(InputTicker, "IQ_WIP_INV",Input!L$2,Date,,,Ccy,Conv)</f>
        <v>23</v>
      </c>
      <c r="K393" s="4">
        <f>_xll.ciqfunctions.udf.CIQ(InputTicker, "IQ_WIP_INV",Input!M$2,Date,,,Ccy,Conv)</f>
        <v>0</v>
      </c>
      <c r="L393" s="4">
        <f>_xll.ciqfunctions.udf.CIQ(InputTicker, "IQ_WIP_INV",Input!N$2,Date,,,Ccy,Conv)</f>
        <v>0</v>
      </c>
      <c r="M393" s="4">
        <f>_xll.ciqfunctions.udf.CIQ(InputTicker, "IQ_WIP_INV",Input!O$2,Date,,,Ccy,Conv)</f>
        <v>0</v>
      </c>
      <c r="N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  <c r="AO393" s="42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  <c r="BJ393" s="42"/>
      <c r="BK393" s="42"/>
      <c r="BL393" s="42"/>
      <c r="BM393" s="42"/>
      <c r="BN393" s="42"/>
    </row>
    <row r="394" spans="1:66" ht="12.75" customHeight="1" x14ac:dyDescent="0.2">
      <c r="A394" s="1" t="s">
        <v>222</v>
      </c>
      <c r="B394" s="4">
        <f>_xll.ciqfunctions.udf.CIQ(InputTicker, "IQ_FINISHED_INV",Input!D$2,Date,,,Ccy,Conv)</f>
        <v>1600</v>
      </c>
      <c r="C394" s="4">
        <f>_xll.ciqfunctions.udf.CIQ(InputTicker, "IQ_FINISHED_INV",Input!E$2,Date,,,Ccy,Conv)</f>
        <v>1481</v>
      </c>
      <c r="D394" s="4">
        <f>_xll.ciqfunctions.udf.CIQ(InputTicker, "IQ_FINISHED_INV",Input!F$2,Date,,,Ccy,Conv)</f>
        <v>1239</v>
      </c>
      <c r="E394" s="4">
        <f>_xll.ciqfunctions.udf.CIQ(InputTicker, "IQ_FINISHED_INV",Input!G$2,Date,,,Ccy,Conv)</f>
        <v>1953</v>
      </c>
      <c r="F394" s="4">
        <f>_xll.ciqfunctions.udf.CIQ(InputTicker, "IQ_FINISHED_INV",Input!H$2,Date,,,Ccy,Conv)</f>
        <v>1611</v>
      </c>
      <c r="G394" s="4">
        <f>_xll.ciqfunctions.udf.CIQ(InputTicker, "IQ_FINISHED_INV",Input!I$2,Date,,,Ccy,Conv)</f>
        <v>1112</v>
      </c>
      <c r="H394" s="4">
        <f>_xll.ciqfunctions.udf.CIQ(InputTicker, "IQ_FINISHED_INV",Input!J$2,Date,,,Ccy,Conv)</f>
        <v>1367</v>
      </c>
      <c r="I394" s="4">
        <f>_xll.ciqfunctions.udf.CIQ(InputTicker, "IQ_FINISHED_INV",Input!K$2,Date,,,Ccy,Conv)</f>
        <v>2516</v>
      </c>
      <c r="J394" s="4">
        <f>_xll.ciqfunctions.udf.CIQ(InputTicker, "IQ_FINISHED_INV",Input!L$2,Date,,,Ccy,Conv)</f>
        <v>1768</v>
      </c>
      <c r="K394" s="4">
        <f>_xll.ciqfunctions.udf.CIQ(InputTicker, "IQ_FINISHED_INV",Input!M$2,Date,,,Ccy,Conv)</f>
        <v>0</v>
      </c>
      <c r="L394" s="4">
        <f>_xll.ciqfunctions.udf.CIQ(InputTicker, "IQ_FINISHED_INV",Input!N$2,Date,,,Ccy,Conv)</f>
        <v>0</v>
      </c>
      <c r="M394" s="4">
        <f>_xll.ciqfunctions.udf.CIQ(InputTicker, "IQ_FINISHED_INV",Input!O$2,Date,,,Ccy,Conv)</f>
        <v>0</v>
      </c>
      <c r="N394" s="53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  <c r="BJ394" s="42"/>
      <c r="BK394" s="42"/>
      <c r="BL394" s="42"/>
      <c r="BM394" s="42"/>
      <c r="BN394" s="42"/>
    </row>
    <row r="395" spans="1:66" ht="12.75" customHeight="1" x14ac:dyDescent="0.2">
      <c r="A395" s="1" t="s">
        <v>223</v>
      </c>
      <c r="B395" s="4">
        <f>_xll.ciqfunctions.udf.CIQ(InputTicker, "IQ_OTHER_INV",Input!D$2,Date,,,Ccy,Conv)</f>
        <v>0</v>
      </c>
      <c r="C395" s="4">
        <f>_xll.ciqfunctions.udf.CIQ(InputTicker, "IQ_OTHER_INV",Input!E$2,Date,,,Ccy,Conv)</f>
        <v>0</v>
      </c>
      <c r="D395" s="4">
        <f>_xll.ciqfunctions.udf.CIQ(InputTicker, "IQ_OTHER_INV",Input!F$2,Date,,,Ccy,Conv)</f>
        <v>0</v>
      </c>
      <c r="E395" s="4">
        <f>_xll.ciqfunctions.udf.CIQ(InputTicker, "IQ_OTHER_INV",Input!G$2,Date,,,Ccy,Conv)</f>
        <v>0</v>
      </c>
      <c r="F395" s="4">
        <f>_xll.ciqfunctions.udf.CIQ(InputTicker, "IQ_OTHER_INV",Input!H$2,Date,,,Ccy,Conv)</f>
        <v>0</v>
      </c>
      <c r="G395" s="4">
        <f>_xll.ciqfunctions.udf.CIQ(InputTicker, "IQ_OTHER_INV",Input!I$2,Date,,,Ccy,Conv)</f>
        <v>0</v>
      </c>
      <c r="H395" s="4">
        <f>_xll.ciqfunctions.udf.CIQ(InputTicker, "IQ_OTHER_INV",Input!J$2,Date,,,Ccy,Conv)</f>
        <v>0</v>
      </c>
      <c r="I395" s="4">
        <f>_xll.ciqfunctions.udf.CIQ(InputTicker, "IQ_OTHER_INV",Input!K$2,Date,,,Ccy,Conv)</f>
        <v>0</v>
      </c>
      <c r="J395" s="4">
        <f>_xll.ciqfunctions.udf.CIQ(InputTicker, "IQ_OTHER_INV",Input!L$2,Date,,,Ccy,Conv)</f>
        <v>0</v>
      </c>
      <c r="K395" s="4">
        <f>_xll.ciqfunctions.udf.CIQ(InputTicker, "IQ_OTHER_INV",Input!M$2,Date,,,Ccy,Conv)</f>
        <v>0</v>
      </c>
      <c r="L395" s="4">
        <f>_xll.ciqfunctions.udf.CIQ(InputTicker, "IQ_OTHER_INV",Input!N$2,Date,,,Ccy,Conv)</f>
        <v>0</v>
      </c>
      <c r="M395" s="4">
        <f>_xll.ciqfunctions.udf.CIQ(InputTicker, "IQ_OTHER_INV",Input!O$2,Date,,,Ccy,Conv)</f>
        <v>0</v>
      </c>
      <c r="N395" s="53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  <c r="AO395" s="42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  <c r="BJ395" s="42"/>
      <c r="BK395" s="42"/>
      <c r="BL395" s="42"/>
      <c r="BM395" s="42"/>
      <c r="BN395" s="42"/>
    </row>
    <row r="396" spans="1:66" ht="12.75" customHeight="1" x14ac:dyDescent="0.2">
      <c r="A396" s="1" t="s">
        <v>224</v>
      </c>
      <c r="B396" s="4">
        <f>_xll.ciqfunctions.udf.CIQ(InputTicker, "IQ_LAND",Input!D$2,Date,,,Ccy,Conv)</f>
        <v>769</v>
      </c>
      <c r="C396" s="4">
        <f>_xll.ciqfunctions.udf.CIQ(InputTicker, "IQ_LAND",Input!E$2,Date,,,Ccy,Conv)</f>
        <v>824</v>
      </c>
      <c r="D396" s="4">
        <f>_xll.ciqfunctions.udf.CIQ(InputTicker, "IQ_LAND",Input!F$2,Date,,,Ccy,Conv)</f>
        <v>1107</v>
      </c>
      <c r="E396" s="4">
        <f>_xll.ciqfunctions.udf.CIQ(InputTicker, "IQ_LAND",Input!G$2,Date,,,Ccy,Conv)</f>
        <v>1254</v>
      </c>
      <c r="F396" s="4">
        <f>_xll.ciqfunctions.udf.CIQ(InputTicker, "IQ_LAND",Input!H$2,Date,,,Ccy,Conv)</f>
        <v>1540</v>
      </c>
      <c r="G396" s="4">
        <f>_xll.ciqfunctions.udf.CIQ(InputTicker, "IQ_LAND",Input!I$2,Date,,,Ccy,Conv)</f>
        <v>1823</v>
      </c>
      <c r="H396" s="4">
        <f>_xll.ciqfunctions.udf.CIQ(InputTicker, "IQ_LAND",Input!J$2,Date,,,Ccy,Conv)</f>
        <v>3660</v>
      </c>
      <c r="I396" s="4">
        <f>_xll.ciqfunctions.udf.CIQ(InputTicker, "IQ_LAND",Input!K$2,Date,,,Ccy,Conv)</f>
        <v>4734</v>
      </c>
      <c r="J396" s="4">
        <f>_xll.ciqfunctions.udf.CIQ(InputTicker, "IQ_LAND",Input!L$2,Date,,,Ccy,Conv)</f>
        <v>5683</v>
      </c>
      <c r="K396" s="4">
        <f>_xll.ciqfunctions.udf.CIQ(InputTicker, "IQ_LAND",Input!M$2,Date,,,Ccy,Conv)</f>
        <v>8163</v>
      </c>
      <c r="L396" s="4">
        <f>_xll.ciqfunctions.udf.CIQ(InputTicker, "IQ_LAND",Input!N$2,Date,,,Ccy,Conv)</f>
        <v>9338</v>
      </c>
      <c r="M396" s="4">
        <f>_xll.ciqfunctions.udf.CIQ(InputTicker, "IQ_LAND",Input!O$2,Date,,,Ccy,Conv)</f>
        <v>9813</v>
      </c>
      <c r="N396" s="53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  <c r="AO396" s="42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  <c r="BJ396" s="42"/>
      <c r="BK396" s="42"/>
      <c r="BL396" s="42"/>
      <c r="BM396" s="42"/>
      <c r="BN396" s="42"/>
    </row>
    <row r="397" spans="1:66" ht="12.75" customHeight="1" x14ac:dyDescent="0.2">
      <c r="A397" s="1" t="s">
        <v>225</v>
      </c>
      <c r="B397" s="4">
        <f>_xll.ciqfunctions.udf.CIQ(InputTicker, "IQ_BUILDINGS",Input!D$2,Date,,,Ccy,Conv)</f>
        <v>10800</v>
      </c>
      <c r="C397" s="4">
        <f>_xll.ciqfunctions.udf.CIQ(InputTicker, "IQ_BUILDINGS",Input!E$2,Date,,,Ccy,Conv)</f>
        <v>12393</v>
      </c>
      <c r="D397" s="4">
        <f>_xll.ciqfunctions.udf.CIQ(InputTicker, "IQ_BUILDINGS",Input!F$2,Date,,,Ccy,Conv)</f>
        <v>16284</v>
      </c>
      <c r="E397" s="4">
        <f>_xll.ciqfunctions.udf.CIQ(InputTicker, "IQ_BUILDINGS",Input!G$2,Date,,,Ccy,Conv)</f>
        <v>20604</v>
      </c>
      <c r="F397" s="4">
        <f>_xll.ciqfunctions.udf.CIQ(InputTicker, "IQ_BUILDINGS",Input!H$2,Date,,,Ccy,Conv)</f>
        <v>26288</v>
      </c>
      <c r="G397" s="4">
        <f>_xll.ciqfunctions.udf.CIQ(InputTicker, "IQ_BUILDINGS",Input!I$2,Date,,,Ccy,Conv)</f>
        <v>33995</v>
      </c>
      <c r="H397" s="4">
        <f>_xll.ciqfunctions.udf.CIQ(InputTicker, "IQ_BUILDINGS",Input!J$2,Date,,,Ccy,Conv)</f>
        <v>43928</v>
      </c>
      <c r="I397" s="4">
        <f>_xll.ciqfunctions.udf.CIQ(InputTicker, "IQ_BUILDINGS",Input!K$2,Date,,,Ccy,Conv)</f>
        <v>55014</v>
      </c>
      <c r="J397" s="4">
        <f>_xll.ciqfunctions.udf.CIQ(InputTicker, "IQ_BUILDINGS",Input!L$2,Date,,,Ccy,Conv)</f>
        <v>68465</v>
      </c>
      <c r="K397" s="4">
        <f>_xll.ciqfunctions.udf.CIQ(InputTicker, "IQ_BUILDINGS",Input!M$2,Date,,,Ccy,Conv)</f>
        <v>93943</v>
      </c>
      <c r="L397" s="4">
        <f>_xll.ciqfunctions.udf.CIQ(InputTicker, "IQ_BUILDINGS",Input!N$2,Date,,,Ccy,Conv)</f>
        <v>137921</v>
      </c>
      <c r="M397" s="4">
        <f>_xll.ciqfunctions.udf.CIQ(InputTicker, "IQ_BUILDINGS",Input!O$2,Date,,,Ccy,Conv)</f>
        <v>172260</v>
      </c>
      <c r="N397" s="53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  <c r="BJ397" s="42"/>
      <c r="BK397" s="42"/>
      <c r="BL397" s="42"/>
      <c r="BM397" s="42"/>
      <c r="BN397" s="42"/>
    </row>
    <row r="398" spans="1:66" ht="12.75" customHeight="1" x14ac:dyDescent="0.2">
      <c r="A398" s="1" t="s">
        <v>226</v>
      </c>
      <c r="B398" s="4">
        <f>_xll.ciqfunctions.udf.CIQ(InputTicker, "IQ_MACHINERY",Input!D$2,Date,,,Ccy,Conv)</f>
        <v>17191</v>
      </c>
      <c r="C398" s="4">
        <f>_xll.ciqfunctions.udf.CIQ(InputTicker, "IQ_MACHINERY",Input!E$2,Date,,,Ccy,Conv)</f>
        <v>21280</v>
      </c>
      <c r="D398" s="4">
        <f>_xll.ciqfunctions.udf.CIQ(InputTicker, "IQ_MACHINERY",Input!F$2,Date,,,Ccy,Conv)</f>
        <v>25458</v>
      </c>
      <c r="E398" s="4">
        <f>_xll.ciqfunctions.udf.CIQ(InputTicker, "IQ_MACHINERY",Input!G$2,Date,,,Ccy,Conv)</f>
        <v>32090</v>
      </c>
      <c r="F398" s="4">
        <f>_xll.ciqfunctions.udf.CIQ(InputTicker, "IQ_MACHINERY",Input!H$2,Date,,,Ccy,Conv)</f>
        <v>38663</v>
      </c>
      <c r="G398" s="4">
        <f>_xll.ciqfunctions.udf.CIQ(InputTicker, "IQ_MACHINERY",Input!I$2,Date,,,Ccy,Conv)</f>
        <v>46043</v>
      </c>
      <c r="H398" s="4">
        <f>_xll.ciqfunctions.udf.CIQ(InputTicker, "IQ_MACHINERY",Input!J$2,Date,,,Ccy,Conv)</f>
        <v>56594</v>
      </c>
      <c r="I398" s="4">
        <f>_xll.ciqfunctions.udf.CIQ(InputTicker, "IQ_MACHINERY",Input!K$2,Date,,,Ccy,Conv)</f>
        <v>66491</v>
      </c>
      <c r="J398" s="4">
        <f>_xll.ciqfunctions.udf.CIQ(InputTicker, "IQ_MACHINERY",Input!L$2,Date,,,Ccy,Conv)</f>
        <v>81207</v>
      </c>
      <c r="K398" s="4">
        <f>_xll.ciqfunctions.udf.CIQ(InputTicker, "IQ_MACHINERY",Input!M$2,Date,,,Ccy,Conv)</f>
        <v>100312</v>
      </c>
      <c r="L398" s="4">
        <f>_xll.ciqfunctions.udf.CIQ(InputTicker, "IQ_MACHINERY",Input!N$2,Date,,,Ccy,Conv)</f>
        <v>139243</v>
      </c>
      <c r="M398" s="4">
        <f>_xll.ciqfunctions.udf.CIQ(InputTicker, "IQ_MACHINERY",Input!O$2,Date,,,Ccy,Conv)</f>
        <v>197434</v>
      </c>
      <c r="N398" s="53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  <c r="AO398" s="42"/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  <c r="BJ398" s="42"/>
      <c r="BK398" s="42"/>
      <c r="BL398" s="42"/>
      <c r="BM398" s="42"/>
      <c r="BN398" s="42"/>
    </row>
    <row r="399" spans="1:66" ht="12.75" customHeight="1" x14ac:dyDescent="0.2">
      <c r="A399" s="1" t="s">
        <v>28</v>
      </c>
      <c r="B399" s="4">
        <f>_xll.ciqfunctions.udf.CIQ(InputTicker, "IQ_SOFTWARE",Input!D$2,Date,,,Ccy,Conv)</f>
        <v>0</v>
      </c>
      <c r="C399" s="4">
        <f>_xll.ciqfunctions.udf.CIQ(InputTicker, "IQ_SOFTWARE",Input!E$2,Date,,,Ccy,Conv)</f>
        <v>0</v>
      </c>
      <c r="D399" s="4">
        <f>_xll.ciqfunctions.udf.CIQ(InputTicker, "IQ_SOFTWARE",Input!F$2,Date,,,Ccy,Conv)</f>
        <v>0</v>
      </c>
      <c r="E399" s="4">
        <f>_xll.ciqfunctions.udf.CIQ(InputTicker, "IQ_SOFTWARE",Input!G$2,Date,,,Ccy,Conv)</f>
        <v>0</v>
      </c>
      <c r="F399" s="4">
        <f>_xll.ciqfunctions.udf.CIQ(InputTicker, "IQ_SOFTWARE",Input!H$2,Date,,,Ccy,Conv)</f>
        <v>0</v>
      </c>
      <c r="G399" s="4">
        <f>_xll.ciqfunctions.udf.CIQ(InputTicker, "IQ_SOFTWARE",Input!I$2,Date,,,Ccy,Conv)</f>
        <v>0</v>
      </c>
      <c r="H399" s="4">
        <f>_xll.ciqfunctions.udf.CIQ(InputTicker, "IQ_SOFTWARE",Input!J$2,Date,,,Ccy,Conv)</f>
        <v>0</v>
      </c>
      <c r="I399" s="4">
        <f>_xll.ciqfunctions.udf.CIQ(InputTicker, "IQ_SOFTWARE",Input!K$2,Date,,,Ccy,Conv)</f>
        <v>0</v>
      </c>
      <c r="J399" s="4">
        <f>_xll.ciqfunctions.udf.CIQ(InputTicker, "IQ_SOFTWARE",Input!L$2,Date,,,Ccy,Conv)</f>
        <v>0</v>
      </c>
      <c r="K399" s="4">
        <f>_xll.ciqfunctions.udf.CIQ(InputTicker, "IQ_SOFTWARE",Input!M$2,Date,,,Ccy,Conv)</f>
        <v>0</v>
      </c>
      <c r="L399" s="4">
        <f>_xll.ciqfunctions.udf.CIQ(InputTicker, "IQ_SOFTWARE",Input!N$2,Date,,,Ccy,Conv)</f>
        <v>0</v>
      </c>
      <c r="M399" s="4">
        <f>_xll.ciqfunctions.udf.CIQ(InputTicker, "IQ_SOFTWARE",Input!O$2,Date,,,Ccy,Conv)</f>
        <v>0</v>
      </c>
      <c r="N399" s="53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  <c r="AO399" s="42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  <c r="BJ399" s="42"/>
      <c r="BK399" s="42"/>
      <c r="BL399" s="42"/>
      <c r="BM399" s="42"/>
      <c r="BN399" s="42"/>
    </row>
    <row r="400" spans="1:66" ht="12.75" customHeight="1" x14ac:dyDescent="0.2">
      <c r="A400" s="1" t="s">
        <v>501</v>
      </c>
      <c r="B400" s="4">
        <f>_xll.ciqfunctions.udf.CIQ(InputTicker, "IQ_NATURAL_RESOURCES_COST",Input!D$2,Date,,,Ccy,Conv)</f>
        <v>0</v>
      </c>
      <c r="C400" s="4">
        <f>_xll.ciqfunctions.udf.CIQ(InputTicker, "IQ_NATURAL_RESOURCES_COST",Input!E$2,Date,,,Ccy,Conv)</f>
        <v>0</v>
      </c>
      <c r="D400" s="4">
        <f>_xll.ciqfunctions.udf.CIQ(InputTicker, "IQ_NATURAL_RESOURCES_COST",Input!F$2,Date,,,Ccy,Conv)</f>
        <v>0</v>
      </c>
      <c r="E400" s="4">
        <f>_xll.ciqfunctions.udf.CIQ(InputTicker, "IQ_NATURAL_RESOURCES_COST",Input!G$2,Date,,,Ccy,Conv)</f>
        <v>0</v>
      </c>
      <c r="F400" s="4">
        <f>_xll.ciqfunctions.udf.CIQ(InputTicker, "IQ_NATURAL_RESOURCES_COST",Input!H$2,Date,,,Ccy,Conv)</f>
        <v>0</v>
      </c>
      <c r="G400" s="4">
        <f>_xll.ciqfunctions.udf.CIQ(InputTicker, "IQ_NATURAL_RESOURCES_COST",Input!I$2,Date,,,Ccy,Conv)</f>
        <v>0</v>
      </c>
      <c r="H400" s="4">
        <f>_xll.ciqfunctions.udf.CIQ(InputTicker, "IQ_NATURAL_RESOURCES_COST",Input!J$2,Date,,,Ccy,Conv)</f>
        <v>0</v>
      </c>
      <c r="I400" s="4">
        <f>_xll.ciqfunctions.udf.CIQ(InputTicker, "IQ_NATURAL_RESOURCES_COST",Input!K$2,Date,,,Ccy,Conv)</f>
        <v>0</v>
      </c>
      <c r="J400" s="4">
        <f>_xll.ciqfunctions.udf.CIQ(InputTicker, "IQ_NATURAL_RESOURCES_COST",Input!L$2,Date,,,Ccy,Conv)</f>
        <v>0</v>
      </c>
      <c r="K400" s="4">
        <f>_xll.ciqfunctions.udf.CIQ(InputTicker, "IQ_NATURAL_RESOURCES_COST",Input!M$2,Date,,,Ccy,Conv)</f>
        <v>0</v>
      </c>
      <c r="L400" s="4">
        <f>_xll.ciqfunctions.udf.CIQ(InputTicker, "IQ_NATURAL_RESOURCES_COST",Input!N$2,Date,,,Ccy,Conv)</f>
        <v>0</v>
      </c>
      <c r="M400" s="4">
        <f>_xll.ciqfunctions.udf.CIQ(InputTicker, "IQ_NATURAL_RESOURCES_COST",Input!O$2,Date,,,Ccy,Conv)</f>
        <v>0</v>
      </c>
      <c r="N400" s="53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  <c r="AO400" s="42"/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  <c r="BJ400" s="42"/>
      <c r="BK400" s="42"/>
      <c r="BL400" s="42"/>
      <c r="BM400" s="42"/>
      <c r="BN400" s="42"/>
    </row>
    <row r="401" spans="1:66" ht="12.75" customHeight="1" x14ac:dyDescent="0.2">
      <c r="A401" s="1" t="s">
        <v>437</v>
      </c>
      <c r="B401" s="4">
        <f>_xll.ciqfunctions.udf.CIQ(InputTicker, "IQ_CIP",Input!D$2,Date,,,Ccy,Conv)</f>
        <v>0</v>
      </c>
      <c r="C401" s="4">
        <f>_xll.ciqfunctions.udf.CIQ(InputTicker, "IQ_CIP",Input!E$2,Date,,,Ccy,Conv)</f>
        <v>0</v>
      </c>
      <c r="D401" s="4">
        <f>_xll.ciqfunctions.udf.CIQ(InputTicker, "IQ_CIP",Input!F$2,Date,,,Ccy,Conv)</f>
        <v>0</v>
      </c>
      <c r="E401" s="4">
        <f>_xll.ciqfunctions.udf.CIQ(InputTicker, "IQ_CIP",Input!G$2,Date,,,Ccy,Conv)</f>
        <v>0</v>
      </c>
      <c r="F401" s="4">
        <f>_xll.ciqfunctions.udf.CIQ(InputTicker, "IQ_CIP",Input!H$2,Date,,,Ccy,Conv)</f>
        <v>0</v>
      </c>
      <c r="G401" s="4">
        <f>_xll.ciqfunctions.udf.CIQ(InputTicker, "IQ_CIP",Input!I$2,Date,,,Ccy,Conv)</f>
        <v>0</v>
      </c>
      <c r="H401" s="4">
        <f>_xll.ciqfunctions.udf.CIQ(InputTicker, "IQ_CIP",Input!J$2,Date,,,Ccy,Conv)</f>
        <v>0</v>
      </c>
      <c r="I401" s="4">
        <f>_xll.ciqfunctions.udf.CIQ(InputTicker, "IQ_CIP",Input!K$2,Date,,,Ccy,Conv)</f>
        <v>0</v>
      </c>
      <c r="J401" s="4">
        <f>_xll.ciqfunctions.udf.CIQ(InputTicker, "IQ_CIP",Input!L$2,Date,,,Ccy,Conv)</f>
        <v>0</v>
      </c>
      <c r="K401" s="4">
        <f>_xll.ciqfunctions.udf.CIQ(InputTicker, "IQ_CIP",Input!M$2,Date,,,Ccy,Conv)</f>
        <v>0</v>
      </c>
      <c r="L401" s="4">
        <f>_xll.ciqfunctions.udf.CIQ(InputTicker, "IQ_CIP",Input!N$2,Date,,,Ccy,Conv)</f>
        <v>0</v>
      </c>
      <c r="M401" s="4">
        <f>_xll.ciqfunctions.udf.CIQ(InputTicker, "IQ_CIP",Input!O$2,Date,,,Ccy,Conv)</f>
        <v>0</v>
      </c>
      <c r="N401" s="53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  <c r="BJ401" s="42"/>
      <c r="BK401" s="42"/>
      <c r="BL401" s="42"/>
      <c r="BM401" s="42"/>
      <c r="BN401" s="42"/>
    </row>
    <row r="402" spans="1:66" ht="12.75" customHeight="1" x14ac:dyDescent="0.2">
      <c r="A402" s="1" t="s">
        <v>438</v>
      </c>
      <c r="B402" s="4">
        <f>_xll.ciqfunctions.udf.CIQ(InputTicker, "IQ_LEASEHOLD_IMPROVEMENT",Input!D$2,Date,,,Ccy,Conv)</f>
        <v>3577</v>
      </c>
      <c r="C402" s="4">
        <f>_xll.ciqfunctions.udf.CIQ(InputTicker, "IQ_LEASEHOLD_IMPROVEMENT",Input!E$2,Date,,,Ccy,Conv)</f>
        <v>3659</v>
      </c>
      <c r="D402" s="4">
        <f>_xll.ciqfunctions.udf.CIQ(InputTicker, "IQ_LEASEHOLD_IMPROVEMENT",Input!F$2,Date,,,Ccy,Conv)</f>
        <v>5064</v>
      </c>
      <c r="E402" s="4">
        <f>_xll.ciqfunctions.udf.CIQ(InputTicker, "IQ_LEASEHOLD_IMPROVEMENT",Input!G$2,Date,,,Ccy,Conv)</f>
        <v>4735</v>
      </c>
      <c r="F402" s="4">
        <f>_xll.ciqfunctions.udf.CIQ(InputTicker, "IQ_LEASEHOLD_IMPROVEMENT",Input!H$2,Date,,,Ccy,Conv)</f>
        <v>5316</v>
      </c>
      <c r="G402" s="4">
        <f>_xll.ciqfunctions.udf.CIQ(InputTicker, "IQ_LEASEHOLD_IMPROVEMENT",Input!I$2,Date,,,Ccy,Conv)</f>
        <v>5487</v>
      </c>
      <c r="H402" s="4">
        <f>_xll.ciqfunctions.udf.CIQ(InputTicker, "IQ_LEASEHOLD_IMPROVEMENT",Input!J$2,Date,,,Ccy,Conv)</f>
        <v>6884</v>
      </c>
      <c r="I402" s="4">
        <f>_xll.ciqfunctions.udf.CIQ(InputTicker, "IQ_LEASEHOLD_IMPROVEMENT",Input!K$2,Date,,,Ccy,Conv)</f>
        <v>7819</v>
      </c>
      <c r="J402" s="4">
        <f>_xll.ciqfunctions.udf.CIQ(InputTicker, "IQ_LEASEHOLD_IMPROVEMENT",Input!L$2,Date,,,Ccy,Conv)</f>
        <v>8537</v>
      </c>
      <c r="K402" s="4">
        <f>_xll.ciqfunctions.udf.CIQ(InputTicker, "IQ_LEASEHOLD_IMPROVEMENT",Input!M$2,Date,,,Ccy,Conv)</f>
        <v>9594</v>
      </c>
      <c r="L402" s="4">
        <f>_xll.ciqfunctions.udf.CIQ(InputTicker, "IQ_LEASEHOLD_IMPROVEMENT",Input!N$2,Date,,,Ccy,Conv)</f>
        <v>12117</v>
      </c>
      <c r="M402" s="4">
        <f>_xll.ciqfunctions.udf.CIQ(InputTicker, "IQ_LEASEHOLD_IMPROVEMENT",Input!O$2,Date,,,Ccy,Conv)</f>
        <v>15444</v>
      </c>
      <c r="N402" s="53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O402" s="42"/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  <c r="BJ402" s="42"/>
      <c r="BK402" s="42"/>
      <c r="BL402" s="42"/>
      <c r="BM402" s="42"/>
      <c r="BN402" s="42"/>
    </row>
    <row r="403" spans="1:66" ht="12.75" customHeight="1" x14ac:dyDescent="0.2">
      <c r="A403" s="1" t="s">
        <v>24</v>
      </c>
      <c r="B403" s="4">
        <f>_xll.ciqfunctions.udf.CIQ(InputTicker, "IQ_MINORITY_INT_REDEEM",Input!D$2,Date,,,Ccy,Conv)</f>
        <v>0</v>
      </c>
      <c r="C403" s="4">
        <f>_xll.ciqfunctions.udf.CIQ(InputTicker, "IQ_MINORITY_INT_REDEEM",Input!E$2,Date,,,Ccy,Conv)</f>
        <v>0</v>
      </c>
      <c r="D403" s="4">
        <f>_xll.ciqfunctions.udf.CIQ(InputTicker, "IQ_MINORITY_INT_REDEEM",Input!F$2,Date,,,Ccy,Conv)</f>
        <v>0</v>
      </c>
      <c r="E403" s="4">
        <f>_xll.ciqfunctions.udf.CIQ(InputTicker, "IQ_MINORITY_INT_REDEEM",Input!G$2,Date,,,Ccy,Conv)</f>
        <v>0</v>
      </c>
      <c r="F403" s="4">
        <f>_xll.ciqfunctions.udf.CIQ(InputTicker, "IQ_MINORITY_INT_REDEEM",Input!H$2,Date,,,Ccy,Conv)</f>
        <v>0</v>
      </c>
      <c r="G403" s="4">
        <f>_xll.ciqfunctions.udf.CIQ(InputTicker, "IQ_MINORITY_INT_REDEEM",Input!I$2,Date,,,Ccy,Conv)</f>
        <v>0</v>
      </c>
      <c r="H403" s="4">
        <f>_xll.ciqfunctions.udf.CIQ(InputTicker, "IQ_MINORITY_INT_REDEEM",Input!J$2,Date,,,Ccy,Conv)</f>
        <v>0</v>
      </c>
      <c r="I403" s="4">
        <f>_xll.ciqfunctions.udf.CIQ(InputTicker, "IQ_MINORITY_INT_REDEEM",Input!K$2,Date,,,Ccy,Conv)</f>
        <v>0</v>
      </c>
      <c r="J403" s="4">
        <f>_xll.ciqfunctions.udf.CIQ(InputTicker, "IQ_MINORITY_INT_REDEEM",Input!L$2,Date,,,Ccy,Conv)</f>
        <v>0</v>
      </c>
      <c r="K403" s="4">
        <f>_xll.ciqfunctions.udf.CIQ(InputTicker, "IQ_MINORITY_INT_REDEEM",Input!M$2,Date,,,Ccy,Conv)</f>
        <v>0</v>
      </c>
      <c r="L403" s="4">
        <f>_xll.ciqfunctions.udf.CIQ(InputTicker, "IQ_MINORITY_INT_REDEEM",Input!N$2,Date,,,Ccy,Conv)</f>
        <v>0</v>
      </c>
      <c r="M403" s="4">
        <f>_xll.ciqfunctions.udf.CIQ(InputTicker, "IQ_MINORITY_INT_REDEEM",Input!O$2,Date,,,Ccy,Conv)</f>
        <v>0</v>
      </c>
      <c r="N403" s="53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  <c r="AH403" s="42"/>
      <c r="AI403" s="42"/>
      <c r="AJ403" s="42"/>
      <c r="AK403" s="42"/>
      <c r="AL403" s="42"/>
      <c r="AM403" s="42"/>
      <c r="AN403" s="42"/>
      <c r="AO403" s="42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  <c r="BJ403" s="42"/>
      <c r="BK403" s="42"/>
      <c r="BL403" s="42"/>
      <c r="BM403" s="42"/>
      <c r="BN403" s="42"/>
    </row>
    <row r="404" spans="1:66" ht="12.75" customHeight="1" x14ac:dyDescent="0.2">
      <c r="A404" s="1" t="s">
        <v>25</v>
      </c>
      <c r="B404" s="4">
        <f>_xll.ciqfunctions.udf.CIQ(InputTicker, "IQ_FIN_DIV_MINORITY_INT_REDEEM",Input!D$2,Date,,,Ccy,Conv)</f>
        <v>0</v>
      </c>
      <c r="C404" s="4">
        <f>_xll.ciqfunctions.udf.CIQ(InputTicker, "IQ_FIN_DIV_MINORITY_INT_REDEEM",Input!E$2,Date,,,Ccy,Conv)</f>
        <v>0</v>
      </c>
      <c r="D404" s="4">
        <f>_xll.ciqfunctions.udf.CIQ(InputTicker, "IQ_FIN_DIV_MINORITY_INT_REDEEM",Input!F$2,Date,,,Ccy,Conv)</f>
        <v>0</v>
      </c>
      <c r="E404" s="4">
        <f>_xll.ciqfunctions.udf.CIQ(InputTicker, "IQ_FIN_DIV_MINORITY_INT_REDEEM",Input!G$2,Date,,,Ccy,Conv)</f>
        <v>0</v>
      </c>
      <c r="F404" s="4">
        <f>_xll.ciqfunctions.udf.CIQ(InputTicker, "IQ_FIN_DIV_MINORITY_INT_REDEEM",Input!H$2,Date,,,Ccy,Conv)</f>
        <v>0</v>
      </c>
      <c r="G404" s="4">
        <f>_xll.ciqfunctions.udf.CIQ(InputTicker, "IQ_FIN_DIV_MINORITY_INT_REDEEM",Input!I$2,Date,,,Ccy,Conv)</f>
        <v>0</v>
      </c>
      <c r="H404" s="4">
        <f>_xll.ciqfunctions.udf.CIQ(InputTicker, "IQ_FIN_DIV_MINORITY_INT_REDEEM",Input!J$2,Date,,,Ccy,Conv)</f>
        <v>0</v>
      </c>
      <c r="I404" s="4">
        <f>_xll.ciqfunctions.udf.CIQ(InputTicker, "IQ_FIN_DIV_MINORITY_INT_REDEEM",Input!K$2,Date,,,Ccy,Conv)</f>
        <v>0</v>
      </c>
      <c r="J404" s="4">
        <f>_xll.ciqfunctions.udf.CIQ(InputTicker, "IQ_FIN_DIV_MINORITY_INT_REDEEM",Input!L$2,Date,,,Ccy,Conv)</f>
        <v>0</v>
      </c>
      <c r="K404" s="4">
        <f>_xll.ciqfunctions.udf.CIQ(InputTicker, "IQ_FIN_DIV_MINORITY_INT_REDEEM",Input!M$2,Date,,,Ccy,Conv)</f>
        <v>0</v>
      </c>
      <c r="L404" s="4">
        <f>_xll.ciqfunctions.udf.CIQ(InputTicker, "IQ_FIN_DIV_MINORITY_INT_REDEEM",Input!N$2,Date,,,Ccy,Conv)</f>
        <v>0</v>
      </c>
      <c r="M404" s="4">
        <f>_xll.ciqfunctions.udf.CIQ(InputTicker, "IQ_FIN_DIV_MINORITY_INT_REDEEM",Input!O$2,Date,,,Ccy,Conv)</f>
        <v>0</v>
      </c>
      <c r="N404" s="53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  <c r="BJ404" s="42"/>
      <c r="BK404" s="42"/>
      <c r="BL404" s="42"/>
      <c r="BM404" s="42"/>
      <c r="BN404" s="42"/>
    </row>
    <row r="405" spans="1:66" ht="12.75" customHeight="1" x14ac:dyDescent="0.2">
      <c r="A405" s="1" t="s">
        <v>26</v>
      </c>
      <c r="B405" s="4">
        <f>_xll.ciqfunctions.udf.CIQ(InputTicker, "IQ_MINORITY_INT_REDEEM_TOT",Input!D$2,Date,,,Ccy,Conv)</f>
        <v>0</v>
      </c>
      <c r="C405" s="4">
        <f>_xll.ciqfunctions.udf.CIQ(InputTicker, "IQ_MINORITY_INT_REDEEM_TOT",Input!E$2,Date,,,Ccy,Conv)</f>
        <v>0</v>
      </c>
      <c r="D405" s="4">
        <f>_xll.ciqfunctions.udf.CIQ(InputTicker, "IQ_MINORITY_INT_REDEEM_TOT",Input!F$2,Date,,,Ccy,Conv)</f>
        <v>0</v>
      </c>
      <c r="E405" s="4">
        <f>_xll.ciqfunctions.udf.CIQ(InputTicker, "IQ_MINORITY_INT_REDEEM_TOT",Input!G$2,Date,,,Ccy,Conv)</f>
        <v>0</v>
      </c>
      <c r="F405" s="4">
        <f>_xll.ciqfunctions.udf.CIQ(InputTicker, "IQ_MINORITY_INT_REDEEM_TOT",Input!H$2,Date,,,Ccy,Conv)</f>
        <v>0</v>
      </c>
      <c r="G405" s="4">
        <f>_xll.ciqfunctions.udf.CIQ(InputTicker, "IQ_MINORITY_INT_REDEEM_TOT",Input!I$2,Date,,,Ccy,Conv)</f>
        <v>0</v>
      </c>
      <c r="H405" s="4">
        <f>_xll.ciqfunctions.udf.CIQ(InputTicker, "IQ_MINORITY_INT_REDEEM_TOT",Input!J$2,Date,,,Ccy,Conv)</f>
        <v>0</v>
      </c>
      <c r="I405" s="4">
        <f>_xll.ciqfunctions.udf.CIQ(InputTicker, "IQ_MINORITY_INT_REDEEM_TOT",Input!K$2,Date,,,Ccy,Conv)</f>
        <v>0</v>
      </c>
      <c r="J405" s="4">
        <f>_xll.ciqfunctions.udf.CIQ(InputTicker, "IQ_MINORITY_INT_REDEEM_TOT",Input!L$2,Date,,,Ccy,Conv)</f>
        <v>0</v>
      </c>
      <c r="K405" s="4">
        <f>_xll.ciqfunctions.udf.CIQ(InputTicker, "IQ_MINORITY_INT_REDEEM_TOT",Input!M$2,Date,,,Ccy,Conv)</f>
        <v>0</v>
      </c>
      <c r="L405" s="4">
        <f>_xll.ciqfunctions.udf.CIQ(InputTicker, "IQ_MINORITY_INT_REDEEM_TOT",Input!N$2,Date,,,Ccy,Conv)</f>
        <v>0</v>
      </c>
      <c r="M405" s="4">
        <f>_xll.ciqfunctions.udf.CIQ(InputTicker, "IQ_MINORITY_INT_REDEEM_TOT",Input!O$2,Date,,,Ccy,Conv)</f>
        <v>0</v>
      </c>
      <c r="N405" s="53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  <c r="AH405" s="42"/>
      <c r="AI405" s="42"/>
      <c r="AJ405" s="42"/>
      <c r="AK405" s="42"/>
      <c r="AL405" s="42"/>
      <c r="AM405" s="42"/>
      <c r="AN405" s="42"/>
      <c r="AO405" s="42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  <c r="BJ405" s="42"/>
      <c r="BK405" s="42"/>
      <c r="BL405" s="42"/>
      <c r="BM405" s="42"/>
      <c r="BN405" s="42"/>
    </row>
    <row r="406" spans="1:66" ht="12.75" customHeight="1" x14ac:dyDescent="0.2">
      <c r="A406" s="1" t="s">
        <v>27</v>
      </c>
      <c r="B406" s="4">
        <f>_xll.ciqfunctions.udf.CIQ(InputTicker, "IQ_FIN_DIV_MINORITY_INTEREST",Input!D$2,Date,,,Ccy,Conv)</f>
        <v>0</v>
      </c>
      <c r="C406" s="4">
        <f>_xll.ciqfunctions.udf.CIQ(InputTicker, "IQ_FIN_DIV_MINORITY_INTEREST",Input!E$2,Date,,,Ccy,Conv)</f>
        <v>0</v>
      </c>
      <c r="D406" s="4">
        <f>_xll.ciqfunctions.udf.CIQ(InputTicker, "IQ_FIN_DIV_MINORITY_INTEREST",Input!F$2,Date,,,Ccy,Conv)</f>
        <v>0</v>
      </c>
      <c r="E406" s="4">
        <f>_xll.ciqfunctions.udf.CIQ(InputTicker, "IQ_FIN_DIV_MINORITY_INTEREST",Input!G$2,Date,,,Ccy,Conv)</f>
        <v>0</v>
      </c>
      <c r="F406" s="4">
        <f>_xll.ciqfunctions.udf.CIQ(InputTicker, "IQ_FIN_DIV_MINORITY_INTEREST",Input!H$2,Date,,,Ccy,Conv)</f>
        <v>0</v>
      </c>
      <c r="G406" s="4">
        <f>_xll.ciqfunctions.udf.CIQ(InputTicker, "IQ_FIN_DIV_MINORITY_INTEREST",Input!I$2,Date,,,Ccy,Conv)</f>
        <v>0</v>
      </c>
      <c r="H406" s="4">
        <f>_xll.ciqfunctions.udf.CIQ(InputTicker, "IQ_FIN_DIV_MINORITY_INTEREST",Input!J$2,Date,,,Ccy,Conv)</f>
        <v>0</v>
      </c>
      <c r="I406" s="4">
        <f>_xll.ciqfunctions.udf.CIQ(InputTicker, "IQ_FIN_DIV_MINORITY_INTEREST",Input!K$2,Date,,,Ccy,Conv)</f>
        <v>0</v>
      </c>
      <c r="J406" s="4">
        <f>_xll.ciqfunctions.udf.CIQ(InputTicker, "IQ_FIN_DIV_MINORITY_INTEREST",Input!L$2,Date,,,Ccy,Conv)</f>
        <v>0</v>
      </c>
      <c r="K406" s="4">
        <f>_xll.ciqfunctions.udf.CIQ(InputTicker, "IQ_FIN_DIV_MINORITY_INTEREST",Input!M$2,Date,,,Ccy,Conv)</f>
        <v>0</v>
      </c>
      <c r="L406" s="4">
        <f>_xll.ciqfunctions.udf.CIQ(InputTicker, "IQ_FIN_DIV_MINORITY_INTEREST",Input!N$2,Date,,,Ccy,Conv)</f>
        <v>0</v>
      </c>
      <c r="M406" s="4">
        <f>_xll.ciqfunctions.udf.CIQ(InputTicker, "IQ_FIN_DIV_MINORITY_INTEREST",Input!O$2,Date,,,Ccy,Conv)</f>
        <v>0</v>
      </c>
      <c r="N406" s="53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  <c r="AH406" s="42"/>
      <c r="AI406" s="42"/>
      <c r="AJ406" s="42"/>
      <c r="AK406" s="42"/>
      <c r="AL406" s="42"/>
      <c r="AM406" s="42"/>
      <c r="AN406" s="42"/>
      <c r="AO406" s="42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  <c r="BJ406" s="42"/>
      <c r="BK406" s="42"/>
      <c r="BL406" s="42"/>
      <c r="BM406" s="42"/>
      <c r="BN406" s="42"/>
    </row>
    <row r="407" spans="1:66" ht="12.75" customHeight="1" x14ac:dyDescent="0.2">
      <c r="A407" s="1" t="s">
        <v>441</v>
      </c>
      <c r="B407" s="4">
        <f>_xll.ciqfunctions.udf.CIQ(InputTicker, "IQ_DEF_TAX_VALUATION_ALLOWANCE",Input!D$2,Date,,,Ccy,Conv)</f>
        <v>2265</v>
      </c>
      <c r="C407" s="4">
        <f>_xll.ciqfunctions.udf.CIQ(InputTicker, "IQ_DEF_TAX_VALUATION_ALLOWANCE",Input!E$2,Date,,,Ccy,Conv)</f>
        <v>4729</v>
      </c>
      <c r="D407" s="4">
        <f>_xll.ciqfunctions.udf.CIQ(InputTicker, "IQ_DEF_TAX_VALUATION_ALLOWANCE",Input!F$2,Date,,,Ccy,Conv)</f>
        <v>3310</v>
      </c>
      <c r="E407" s="4">
        <f>_xll.ciqfunctions.udf.CIQ(InputTicker, "IQ_DEF_TAX_VALUATION_ALLOWANCE",Input!G$2,Date,,,Ccy,Conv)</f>
        <v>3186</v>
      </c>
      <c r="F407" s="4">
        <f>_xll.ciqfunctions.udf.CIQ(InputTicker, "IQ_DEF_TAX_VALUATION_ALLOWANCE",Input!H$2,Date,,,Ccy,Conv)</f>
        <v>3214</v>
      </c>
      <c r="G407" s="4">
        <f>_xll.ciqfunctions.udf.CIQ(InputTicker, "IQ_DEF_TAX_VALUATION_ALLOWANCE",Input!I$2,Date,,,Ccy,Conv)</f>
        <v>755</v>
      </c>
      <c r="H407" s="4">
        <f>_xll.ciqfunctions.udf.CIQ(InputTicker, "IQ_DEF_TAX_VALUATION_ALLOWANCE",Input!J$2,Date,,,Ccy,Conv)</f>
        <v>769</v>
      </c>
      <c r="I407" s="4">
        <f>_xll.ciqfunctions.udf.CIQ(InputTicker, "IQ_DEF_TAX_VALUATION_ALLOWANCE",Input!K$2,Date,,,Ccy,Conv)</f>
        <v>1012</v>
      </c>
      <c r="J407" s="4">
        <f>_xll.ciqfunctions.udf.CIQ(InputTicker, "IQ_DEF_TAX_VALUATION_ALLOWANCE",Input!L$2,Date,,,Ccy,Conv)</f>
        <v>939</v>
      </c>
      <c r="K407" s="4">
        <f>_xll.ciqfunctions.udf.CIQ(InputTicker, "IQ_DEF_TAX_VALUATION_ALLOWANCE",Input!M$2,Date,,,Ccy,Conv)</f>
        <v>1045</v>
      </c>
      <c r="L407" s="4">
        <f>_xll.ciqfunctions.udf.CIQ(InputTicker, "IQ_DEF_TAX_VALUATION_ALLOWANCE",Input!N$2,Date,,,Ccy,Conv)</f>
        <v>1169</v>
      </c>
      <c r="M407" s="4">
        <f>_xll.ciqfunctions.udf.CIQ(InputTicker, "IQ_DEF_TAX_VALUATION_ALLOWANCE",Input!O$2,Date,,,Ccy,Conv)</f>
        <v>0</v>
      </c>
      <c r="N407" s="53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  <c r="BJ407" s="42"/>
      <c r="BK407" s="42"/>
      <c r="BL407" s="42"/>
      <c r="BM407" s="42"/>
      <c r="BN407" s="42"/>
    </row>
    <row r="408" spans="1:66" ht="12.75" customHeight="1" x14ac:dyDescent="0.2">
      <c r="A408" s="1" t="s">
        <v>1</v>
      </c>
      <c r="B408" s="4">
        <f>_xll.ciqfunctions.udf.CIQ(InputTicker, "IQ_GENERAL_PARTNER_COMMON_EQUITY",Input!D$2,Date,,,Ccy,Conv)</f>
        <v>0</v>
      </c>
      <c r="C408" s="4">
        <f>_xll.ciqfunctions.udf.CIQ(InputTicker, "IQ_GENERAL_PARTNER_COMMON_EQUITY",Input!E$2,Date,,,Ccy,Conv)</f>
        <v>0</v>
      </c>
      <c r="D408" s="4">
        <f>_xll.ciqfunctions.udf.CIQ(InputTicker, "IQ_GENERAL_PARTNER_COMMON_EQUITY",Input!F$2,Date,,,Ccy,Conv)</f>
        <v>0</v>
      </c>
      <c r="E408" s="4">
        <f>_xll.ciqfunctions.udf.CIQ(InputTicker, "IQ_GENERAL_PARTNER_COMMON_EQUITY",Input!G$2,Date,,,Ccy,Conv)</f>
        <v>0</v>
      </c>
      <c r="F408" s="4">
        <f>_xll.ciqfunctions.udf.CIQ(InputTicker, "IQ_GENERAL_PARTNER_COMMON_EQUITY",Input!H$2,Date,,,Ccy,Conv)</f>
        <v>0</v>
      </c>
      <c r="G408" s="4">
        <f>_xll.ciqfunctions.udf.CIQ(InputTicker, "IQ_GENERAL_PARTNER_COMMON_EQUITY",Input!I$2,Date,,,Ccy,Conv)</f>
        <v>0</v>
      </c>
      <c r="H408" s="4">
        <f>_xll.ciqfunctions.udf.CIQ(InputTicker, "IQ_GENERAL_PARTNER_COMMON_EQUITY",Input!J$2,Date,,,Ccy,Conv)</f>
        <v>0</v>
      </c>
      <c r="I408" s="4">
        <f>_xll.ciqfunctions.udf.CIQ(InputTicker, "IQ_GENERAL_PARTNER_COMMON_EQUITY",Input!K$2,Date,,,Ccy,Conv)</f>
        <v>0</v>
      </c>
      <c r="J408" s="4">
        <f>_xll.ciqfunctions.udf.CIQ(InputTicker, "IQ_GENERAL_PARTNER_COMMON_EQUITY",Input!L$2,Date,,,Ccy,Conv)</f>
        <v>0</v>
      </c>
      <c r="K408" s="4">
        <f>_xll.ciqfunctions.udf.CIQ(InputTicker, "IQ_GENERAL_PARTNER_COMMON_EQUITY",Input!M$2,Date,,,Ccy,Conv)</f>
        <v>0</v>
      </c>
      <c r="L408" s="4">
        <f>_xll.ciqfunctions.udf.CIQ(InputTicker, "IQ_GENERAL_PARTNER_COMMON_EQUITY",Input!N$2,Date,,,Ccy,Conv)</f>
        <v>0</v>
      </c>
      <c r="M408" s="4">
        <f>_xll.ciqfunctions.udf.CIQ(InputTicker, "IQ_GENERAL_PARTNER_COMMON_EQUITY",Input!O$2,Date,,,Ccy,Conv)</f>
        <v>0</v>
      </c>
      <c r="N408" s="53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  <c r="AH408" s="42"/>
      <c r="AI408" s="42"/>
      <c r="AJ408" s="42"/>
      <c r="AK408" s="42"/>
      <c r="AL408" s="42"/>
      <c r="AM408" s="42"/>
      <c r="AN408" s="42"/>
      <c r="AO408" s="42"/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  <c r="BJ408" s="42"/>
      <c r="BK408" s="42"/>
      <c r="BL408" s="42"/>
      <c r="BM408" s="42"/>
      <c r="BN408" s="42"/>
    </row>
    <row r="409" spans="1:66" ht="12.75" customHeight="1" x14ac:dyDescent="0.2">
      <c r="A409" s="1" t="s">
        <v>2</v>
      </c>
      <c r="B409" s="4">
        <f>_xll.ciqfunctions.udf.CIQ(InputTicker, "IQ_GENERAL_PARTNER_PREF_EQUITY",Input!D$2,Date,,,Ccy,Conv)</f>
        <v>0</v>
      </c>
      <c r="C409" s="4">
        <f>_xll.ciqfunctions.udf.CIQ(InputTicker, "IQ_GENERAL_PARTNER_PREF_EQUITY",Input!E$2,Date,,,Ccy,Conv)</f>
        <v>0</v>
      </c>
      <c r="D409" s="4">
        <f>_xll.ciqfunctions.udf.CIQ(InputTicker, "IQ_GENERAL_PARTNER_PREF_EQUITY",Input!F$2,Date,,,Ccy,Conv)</f>
        <v>0</v>
      </c>
      <c r="E409" s="4">
        <f>_xll.ciqfunctions.udf.CIQ(InputTicker, "IQ_GENERAL_PARTNER_PREF_EQUITY",Input!G$2,Date,,,Ccy,Conv)</f>
        <v>0</v>
      </c>
      <c r="F409" s="4">
        <f>_xll.ciqfunctions.udf.CIQ(InputTicker, "IQ_GENERAL_PARTNER_PREF_EQUITY",Input!H$2,Date,,,Ccy,Conv)</f>
        <v>0</v>
      </c>
      <c r="G409" s="4">
        <f>_xll.ciqfunctions.udf.CIQ(InputTicker, "IQ_GENERAL_PARTNER_PREF_EQUITY",Input!I$2,Date,,,Ccy,Conv)</f>
        <v>0</v>
      </c>
      <c r="H409" s="4">
        <f>_xll.ciqfunctions.udf.CIQ(InputTicker, "IQ_GENERAL_PARTNER_PREF_EQUITY",Input!J$2,Date,,,Ccy,Conv)</f>
        <v>0</v>
      </c>
      <c r="I409" s="4">
        <f>_xll.ciqfunctions.udf.CIQ(InputTicker, "IQ_GENERAL_PARTNER_PREF_EQUITY",Input!K$2,Date,,,Ccy,Conv)</f>
        <v>0</v>
      </c>
      <c r="J409" s="4">
        <f>_xll.ciqfunctions.udf.CIQ(InputTicker, "IQ_GENERAL_PARTNER_PREF_EQUITY",Input!L$2,Date,,,Ccy,Conv)</f>
        <v>0</v>
      </c>
      <c r="K409" s="4">
        <f>_xll.ciqfunctions.udf.CIQ(InputTicker, "IQ_GENERAL_PARTNER_PREF_EQUITY",Input!M$2,Date,,,Ccy,Conv)</f>
        <v>0</v>
      </c>
      <c r="L409" s="4">
        <f>_xll.ciqfunctions.udf.CIQ(InputTicker, "IQ_GENERAL_PARTNER_PREF_EQUITY",Input!N$2,Date,,,Ccy,Conv)</f>
        <v>0</v>
      </c>
      <c r="M409" s="4">
        <f>_xll.ciqfunctions.udf.CIQ(InputTicker, "IQ_GENERAL_PARTNER_PREF_EQUITY",Input!O$2,Date,,,Ccy,Conv)</f>
        <v>0</v>
      </c>
      <c r="N409" s="53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  <c r="AH409" s="42"/>
      <c r="AI409" s="42"/>
      <c r="AJ409" s="42"/>
      <c r="AK409" s="42"/>
      <c r="AL409" s="42"/>
      <c r="AM409" s="42"/>
      <c r="AN409" s="42"/>
      <c r="AO409" s="42"/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  <c r="BJ409" s="42"/>
      <c r="BK409" s="42"/>
      <c r="BL409" s="42"/>
      <c r="BM409" s="42"/>
      <c r="BN409" s="42"/>
    </row>
    <row r="410" spans="1:66" ht="12.75" customHeight="1" x14ac:dyDescent="0.2">
      <c r="A410" s="1" t="s">
        <v>3</v>
      </c>
      <c r="B410" s="4">
        <f>_xll.ciqfunctions.udf.CIQ(InputTicker, "IQ_GENERAL_PARTNER_MINORITY_INTEREST",Input!D$2,Date,,,Ccy,Conv)</f>
        <v>0</v>
      </c>
      <c r="C410" s="4">
        <f>_xll.ciqfunctions.udf.CIQ(InputTicker, "IQ_GENERAL_PARTNER_MINORITY_INTEREST",Input!E$2,Date,,,Ccy,Conv)</f>
        <v>0</v>
      </c>
      <c r="D410" s="4">
        <f>_xll.ciqfunctions.udf.CIQ(InputTicker, "IQ_GENERAL_PARTNER_MINORITY_INTEREST",Input!F$2,Date,,,Ccy,Conv)</f>
        <v>0</v>
      </c>
      <c r="E410" s="4">
        <f>_xll.ciqfunctions.udf.CIQ(InputTicker, "IQ_GENERAL_PARTNER_MINORITY_INTEREST",Input!G$2,Date,,,Ccy,Conv)</f>
        <v>0</v>
      </c>
      <c r="F410" s="4">
        <f>_xll.ciqfunctions.udf.CIQ(InputTicker, "IQ_GENERAL_PARTNER_MINORITY_INTEREST",Input!H$2,Date,,,Ccy,Conv)</f>
        <v>0</v>
      </c>
      <c r="G410" s="4">
        <f>_xll.ciqfunctions.udf.CIQ(InputTicker, "IQ_GENERAL_PARTNER_MINORITY_INTEREST",Input!I$2,Date,,,Ccy,Conv)</f>
        <v>0</v>
      </c>
      <c r="H410" s="4">
        <f>_xll.ciqfunctions.udf.CIQ(InputTicker, "IQ_GENERAL_PARTNER_MINORITY_INTEREST",Input!J$2,Date,,,Ccy,Conv)</f>
        <v>0</v>
      </c>
      <c r="I410" s="4">
        <f>_xll.ciqfunctions.udf.CIQ(InputTicker, "IQ_GENERAL_PARTNER_MINORITY_INTEREST",Input!K$2,Date,,,Ccy,Conv)</f>
        <v>0</v>
      </c>
      <c r="J410" s="4">
        <f>_xll.ciqfunctions.udf.CIQ(InputTicker, "IQ_GENERAL_PARTNER_MINORITY_INTEREST",Input!L$2,Date,,,Ccy,Conv)</f>
        <v>0</v>
      </c>
      <c r="K410" s="4">
        <f>_xll.ciqfunctions.udf.CIQ(InputTicker, "IQ_GENERAL_PARTNER_MINORITY_INTEREST",Input!M$2,Date,,,Ccy,Conv)</f>
        <v>0</v>
      </c>
      <c r="L410" s="4">
        <f>_xll.ciqfunctions.udf.CIQ(InputTicker, "IQ_GENERAL_PARTNER_MINORITY_INTEREST",Input!N$2,Date,,,Ccy,Conv)</f>
        <v>0</v>
      </c>
      <c r="M410" s="4">
        <f>_xll.ciqfunctions.udf.CIQ(InputTicker, "IQ_GENERAL_PARTNER_MINORITY_INTEREST",Input!O$2,Date,,,Ccy,Conv)</f>
        <v>0</v>
      </c>
      <c r="N410" s="53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  <c r="BJ410" s="42"/>
      <c r="BK410" s="42"/>
      <c r="BL410" s="42"/>
      <c r="BM410" s="42"/>
      <c r="BN410" s="42"/>
    </row>
    <row r="411" spans="1:66" ht="12.75" customHeight="1" x14ac:dyDescent="0.2">
      <c r="A411" s="1" t="s">
        <v>4</v>
      </c>
      <c r="B411" s="4">
        <f>_xll.ciqfunctions.udf.CIQ(InputTicker, "IQ_TOTAL_GENERAL_PARTNER_INTEREST",Input!D$2,Date,,,Ccy,Conv)</f>
        <v>0</v>
      </c>
      <c r="C411" s="4">
        <f>_xll.ciqfunctions.udf.CIQ(InputTicker, "IQ_TOTAL_GENERAL_PARTNER_INTEREST",Input!E$2,Date,,,Ccy,Conv)</f>
        <v>0</v>
      </c>
      <c r="D411" s="4">
        <f>_xll.ciqfunctions.udf.CIQ(InputTicker, "IQ_TOTAL_GENERAL_PARTNER_INTEREST",Input!F$2,Date,,,Ccy,Conv)</f>
        <v>0</v>
      </c>
      <c r="E411" s="4">
        <f>_xll.ciqfunctions.udf.CIQ(InputTicker, "IQ_TOTAL_GENERAL_PARTNER_INTEREST",Input!G$2,Date,,,Ccy,Conv)</f>
        <v>0</v>
      </c>
      <c r="F411" s="4">
        <f>_xll.ciqfunctions.udf.CIQ(InputTicker, "IQ_TOTAL_GENERAL_PARTNER_INTEREST",Input!H$2,Date,,,Ccy,Conv)</f>
        <v>0</v>
      </c>
      <c r="G411" s="4">
        <f>_xll.ciqfunctions.udf.CIQ(InputTicker, "IQ_TOTAL_GENERAL_PARTNER_INTEREST",Input!I$2,Date,,,Ccy,Conv)</f>
        <v>0</v>
      </c>
      <c r="H411" s="4">
        <f>_xll.ciqfunctions.udf.CIQ(InputTicker, "IQ_TOTAL_GENERAL_PARTNER_INTEREST",Input!J$2,Date,,,Ccy,Conv)</f>
        <v>0</v>
      </c>
      <c r="I411" s="4">
        <f>_xll.ciqfunctions.udf.CIQ(InputTicker, "IQ_TOTAL_GENERAL_PARTNER_INTEREST",Input!K$2,Date,,,Ccy,Conv)</f>
        <v>0</v>
      </c>
      <c r="J411" s="4">
        <f>_xll.ciqfunctions.udf.CIQ(InputTicker, "IQ_TOTAL_GENERAL_PARTNER_INTEREST",Input!L$2,Date,,,Ccy,Conv)</f>
        <v>0</v>
      </c>
      <c r="K411" s="4">
        <f>_xll.ciqfunctions.udf.CIQ(InputTicker, "IQ_TOTAL_GENERAL_PARTNER_INTEREST",Input!M$2,Date,,,Ccy,Conv)</f>
        <v>0</v>
      </c>
      <c r="L411" s="4">
        <f>_xll.ciqfunctions.udf.CIQ(InputTicker, "IQ_TOTAL_GENERAL_PARTNER_INTEREST",Input!N$2,Date,,,Ccy,Conv)</f>
        <v>0</v>
      </c>
      <c r="M411" s="4">
        <f>_xll.ciqfunctions.udf.CIQ(InputTicker, "IQ_TOTAL_GENERAL_PARTNER_INTEREST",Input!O$2,Date,,,Ccy,Conv)</f>
        <v>0</v>
      </c>
      <c r="N411" s="53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  <c r="AH411" s="42"/>
      <c r="AI411" s="42"/>
      <c r="AJ411" s="42"/>
      <c r="AK411" s="42"/>
      <c r="AL411" s="42"/>
      <c r="AM411" s="42"/>
      <c r="AN411" s="42"/>
      <c r="AO411" s="42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  <c r="BJ411" s="42"/>
      <c r="BK411" s="42"/>
      <c r="BL411" s="42"/>
      <c r="BM411" s="42"/>
      <c r="BN411" s="42"/>
    </row>
    <row r="412" spans="1:66" ht="12.75" customHeight="1" x14ac:dyDescent="0.2">
      <c r="A412" s="1" t="s">
        <v>396</v>
      </c>
      <c r="B412" s="4">
        <f>_xll.ciqfunctions.udf.CIQ(InputTicker, "IQ_LIQUIDATION_VALUE_PREFERRED_CONVERT",Input!D$2,Date,,,Ccy,Conv)</f>
        <v>0</v>
      </c>
      <c r="C412" s="4">
        <f>_xll.ciqfunctions.udf.CIQ(InputTicker, "IQ_LIQUIDATION_VALUE_PREFERRED_CONVERT",Input!E$2,Date,,,Ccy,Conv)</f>
        <v>0</v>
      </c>
      <c r="D412" s="4">
        <f>_xll.ciqfunctions.udf.CIQ(InputTicker, "IQ_LIQUIDATION_VALUE_PREFERRED_CONVERT",Input!F$2,Date,,,Ccy,Conv)</f>
        <v>0</v>
      </c>
      <c r="E412" s="4">
        <f>_xll.ciqfunctions.udf.CIQ(InputTicker, "IQ_LIQUIDATION_VALUE_PREFERRED_CONVERT",Input!G$2,Date,,,Ccy,Conv)</f>
        <v>0</v>
      </c>
      <c r="F412" s="4">
        <f>_xll.ciqfunctions.udf.CIQ(InputTicker, "IQ_LIQUIDATION_VALUE_PREFERRED_CONVERT",Input!H$2,Date,,,Ccy,Conv)</f>
        <v>0</v>
      </c>
      <c r="G412" s="4">
        <f>_xll.ciqfunctions.udf.CIQ(InputTicker, "IQ_LIQUIDATION_VALUE_PREFERRED_CONVERT",Input!I$2,Date,,,Ccy,Conv)</f>
        <v>0</v>
      </c>
      <c r="H412" s="4">
        <f>_xll.ciqfunctions.udf.CIQ(InputTicker, "IQ_LIQUIDATION_VALUE_PREFERRED_CONVERT",Input!J$2,Date,,,Ccy,Conv)</f>
        <v>0</v>
      </c>
      <c r="I412" s="4">
        <f>_xll.ciqfunctions.udf.CIQ(InputTicker, "IQ_LIQUIDATION_VALUE_PREFERRED_CONVERT",Input!K$2,Date,,,Ccy,Conv)</f>
        <v>0</v>
      </c>
      <c r="J412" s="4">
        <f>_xll.ciqfunctions.udf.CIQ(InputTicker, "IQ_LIQUIDATION_VALUE_PREFERRED_CONVERT",Input!L$2,Date,,,Ccy,Conv)</f>
        <v>0</v>
      </c>
      <c r="K412" s="4">
        <f>_xll.ciqfunctions.udf.CIQ(InputTicker, "IQ_LIQUIDATION_VALUE_PREFERRED_CONVERT",Input!M$2,Date,,,Ccy,Conv)</f>
        <v>0</v>
      </c>
      <c r="L412" s="4">
        <f>_xll.ciqfunctions.udf.CIQ(InputTicker, "IQ_LIQUIDATION_VALUE_PREFERRED_CONVERT",Input!N$2,Date,,,Ccy,Conv)</f>
        <v>0</v>
      </c>
      <c r="M412" s="4">
        <f>_xll.ciqfunctions.udf.CIQ(InputTicker, "IQ_LIQUIDATION_VALUE_PREFERRED_CONVERT",Input!O$2,Date,,,Ccy,Conv)</f>
        <v>0</v>
      </c>
      <c r="N412" s="53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  <c r="AH412" s="42"/>
      <c r="AI412" s="42"/>
      <c r="AJ412" s="42"/>
      <c r="AK412" s="42"/>
      <c r="AL412" s="42"/>
      <c r="AM412" s="42"/>
      <c r="AN412" s="42"/>
      <c r="AO412" s="42"/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  <c r="BJ412" s="42"/>
      <c r="BK412" s="42"/>
      <c r="BL412" s="42"/>
      <c r="BM412" s="42"/>
      <c r="BN412" s="42"/>
    </row>
    <row r="413" spans="1:66" ht="12.75" customHeight="1" x14ac:dyDescent="0.2">
      <c r="A413" s="1" t="s">
        <v>397</v>
      </c>
      <c r="B413" s="4">
        <f>_xll.ciqfunctions.udf.CIQ(InputTicker, "IQ_LIQUIDATION_VALUE_PREFERRED_NON_REDEEM",Input!D$2,Date,,,Ccy,Conv)</f>
        <v>0</v>
      </c>
      <c r="C413" s="4">
        <f>_xll.ciqfunctions.udf.CIQ(InputTicker, "IQ_LIQUIDATION_VALUE_PREFERRED_NON_REDEEM",Input!E$2,Date,,,Ccy,Conv)</f>
        <v>0</v>
      </c>
      <c r="D413" s="4">
        <f>_xll.ciqfunctions.udf.CIQ(InputTicker, "IQ_LIQUIDATION_VALUE_PREFERRED_NON_REDEEM",Input!F$2,Date,,,Ccy,Conv)</f>
        <v>0</v>
      </c>
      <c r="E413" s="4">
        <f>_xll.ciqfunctions.udf.CIQ(InputTicker, "IQ_LIQUIDATION_VALUE_PREFERRED_NON_REDEEM",Input!G$2,Date,,,Ccy,Conv)</f>
        <v>0</v>
      </c>
      <c r="F413" s="4">
        <f>_xll.ciqfunctions.udf.CIQ(InputTicker, "IQ_LIQUIDATION_VALUE_PREFERRED_NON_REDEEM",Input!H$2,Date,,,Ccy,Conv)</f>
        <v>0</v>
      </c>
      <c r="G413" s="4">
        <f>_xll.ciqfunctions.udf.CIQ(InputTicker, "IQ_LIQUIDATION_VALUE_PREFERRED_NON_REDEEM",Input!I$2,Date,,,Ccy,Conv)</f>
        <v>0</v>
      </c>
      <c r="H413" s="4">
        <f>_xll.ciqfunctions.udf.CIQ(InputTicker, "IQ_LIQUIDATION_VALUE_PREFERRED_NON_REDEEM",Input!J$2,Date,,,Ccy,Conv)</f>
        <v>0</v>
      </c>
      <c r="I413" s="4">
        <f>_xll.ciqfunctions.udf.CIQ(InputTicker, "IQ_LIQUIDATION_VALUE_PREFERRED_NON_REDEEM",Input!K$2,Date,,,Ccy,Conv)</f>
        <v>0</v>
      </c>
      <c r="J413" s="4">
        <f>_xll.ciqfunctions.udf.CIQ(InputTicker, "IQ_LIQUIDATION_VALUE_PREFERRED_NON_REDEEM",Input!L$2,Date,,,Ccy,Conv)</f>
        <v>0</v>
      </c>
      <c r="K413" s="4">
        <f>_xll.ciqfunctions.udf.CIQ(InputTicker, "IQ_LIQUIDATION_VALUE_PREFERRED_NON_REDEEM",Input!M$2,Date,,,Ccy,Conv)</f>
        <v>0</v>
      </c>
      <c r="L413" s="4">
        <f>_xll.ciqfunctions.udf.CIQ(InputTicker, "IQ_LIQUIDATION_VALUE_PREFERRED_NON_REDEEM",Input!N$2,Date,,,Ccy,Conv)</f>
        <v>0</v>
      </c>
      <c r="M413" s="4">
        <f>_xll.ciqfunctions.udf.CIQ(InputTicker, "IQ_LIQUIDATION_VALUE_PREFERRED_NON_REDEEM",Input!O$2,Date,,,Ccy,Conv)</f>
        <v>0</v>
      </c>
      <c r="N413" s="53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  <c r="BJ413" s="42"/>
      <c r="BK413" s="42"/>
      <c r="BL413" s="42"/>
      <c r="BM413" s="42"/>
      <c r="BN413" s="42"/>
    </row>
    <row r="414" spans="1:66" ht="12.75" customHeight="1" x14ac:dyDescent="0.2">
      <c r="A414" s="1" t="s">
        <v>398</v>
      </c>
      <c r="B414" s="4">
        <f>_xll.ciqfunctions.udf.CIQ(InputTicker, "IQ_LIQUIDATION_VALUE_PREFERRED_REDEEM",Input!D$2,Date,,,Ccy,Conv)</f>
        <v>0</v>
      </c>
      <c r="C414" s="4">
        <f>_xll.ciqfunctions.udf.CIQ(InputTicker, "IQ_LIQUIDATION_VALUE_PREFERRED_REDEEM",Input!E$2,Date,,,Ccy,Conv)</f>
        <v>0</v>
      </c>
      <c r="D414" s="4">
        <f>_xll.ciqfunctions.udf.CIQ(InputTicker, "IQ_LIQUIDATION_VALUE_PREFERRED_REDEEM",Input!F$2,Date,,,Ccy,Conv)</f>
        <v>0</v>
      </c>
      <c r="E414" s="4">
        <f>_xll.ciqfunctions.udf.CIQ(InputTicker, "IQ_LIQUIDATION_VALUE_PREFERRED_REDEEM",Input!G$2,Date,,,Ccy,Conv)</f>
        <v>0</v>
      </c>
      <c r="F414" s="4">
        <f>_xll.ciqfunctions.udf.CIQ(InputTicker, "IQ_LIQUIDATION_VALUE_PREFERRED_REDEEM",Input!H$2,Date,,,Ccy,Conv)</f>
        <v>0</v>
      </c>
      <c r="G414" s="4">
        <f>_xll.ciqfunctions.udf.CIQ(InputTicker, "IQ_LIQUIDATION_VALUE_PREFERRED_REDEEM",Input!I$2,Date,,,Ccy,Conv)</f>
        <v>0</v>
      </c>
      <c r="H414" s="4">
        <f>_xll.ciqfunctions.udf.CIQ(InputTicker, "IQ_LIQUIDATION_VALUE_PREFERRED_REDEEM",Input!J$2,Date,,,Ccy,Conv)</f>
        <v>0</v>
      </c>
      <c r="I414" s="4">
        <f>_xll.ciqfunctions.udf.CIQ(InputTicker, "IQ_LIQUIDATION_VALUE_PREFERRED_REDEEM",Input!K$2,Date,,,Ccy,Conv)</f>
        <v>0</v>
      </c>
      <c r="J414" s="4">
        <f>_xll.ciqfunctions.udf.CIQ(InputTicker, "IQ_LIQUIDATION_VALUE_PREFERRED_REDEEM",Input!L$2,Date,,,Ccy,Conv)</f>
        <v>0</v>
      </c>
      <c r="K414" s="4">
        <f>_xll.ciqfunctions.udf.CIQ(InputTicker, "IQ_LIQUIDATION_VALUE_PREFERRED_REDEEM",Input!M$2,Date,,,Ccy,Conv)</f>
        <v>0</v>
      </c>
      <c r="L414" s="4">
        <f>_xll.ciqfunctions.udf.CIQ(InputTicker, "IQ_LIQUIDATION_VALUE_PREFERRED_REDEEM",Input!N$2,Date,,,Ccy,Conv)</f>
        <v>0</v>
      </c>
      <c r="M414" s="4">
        <f>_xll.ciqfunctions.udf.CIQ(InputTicker, "IQ_LIQUIDATION_VALUE_PREFERRED_REDEEM",Input!O$2,Date,,,Ccy,Conv)</f>
        <v>0</v>
      </c>
      <c r="N414" s="53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  <c r="AH414" s="42"/>
      <c r="AI414" s="42"/>
      <c r="AJ414" s="42"/>
      <c r="AK414" s="42"/>
      <c r="AL414" s="42"/>
      <c r="AM414" s="42"/>
      <c r="AN414" s="42"/>
      <c r="AO414" s="42"/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  <c r="BJ414" s="42"/>
      <c r="BK414" s="42"/>
      <c r="BL414" s="42"/>
      <c r="BM414" s="42"/>
      <c r="BN414" s="42"/>
    </row>
    <row r="415" spans="1:66" ht="12.75" customHeight="1" x14ac:dyDescent="0.2">
      <c r="A415" s="1" t="s">
        <v>399</v>
      </c>
      <c r="B415" s="4">
        <f>_xll.ciqfunctions.udf.CIQ(InputTicker, "IQ_ASSETS_LEVEL_1",Input!D$2,Date,,,Ccy,Conv)</f>
        <v>81750</v>
      </c>
      <c r="C415" s="4">
        <f>_xll.ciqfunctions.udf.CIQ(InputTicker, "IQ_ASSETS_LEVEL_1",Input!E$2,Date,,,Ccy,Conv)</f>
        <v>94438</v>
      </c>
      <c r="D415" s="4">
        <f>_xll.ciqfunctions.udf.CIQ(InputTicker, "IQ_ASSETS_LEVEL_1",Input!F$2,Date,,,Ccy,Conv)</f>
        <v>113121</v>
      </c>
      <c r="E415" s="4">
        <f>_xll.ciqfunctions.udf.CIQ(InputTicker, "IQ_ASSETS_LEVEL_1",Input!G$2,Date,,,Ccy,Conv)</f>
        <v>107571</v>
      </c>
      <c r="F415" s="4">
        <f>_xll.ciqfunctions.udf.CIQ(InputTicker, "IQ_ASSETS_LEVEL_1",Input!H$2,Date,,,Ccy,Conv)</f>
        <v>107648</v>
      </c>
      <c r="G415" s="4">
        <f>_xll.ciqfunctions.udf.CIQ(InputTicker, "IQ_ASSETS_LEVEL_1",Input!I$2,Date,,,Ccy,Conv)</f>
        <v>99760</v>
      </c>
      <c r="H415" s="4">
        <f>_xll.ciqfunctions.udf.CIQ(InputTicker, "IQ_ASSETS_LEVEL_1",Input!J$2,Date,,,Ccy,Conv)</f>
        <v>95967</v>
      </c>
      <c r="I415" s="4">
        <f>_xll.ciqfunctions.udf.CIQ(InputTicker, "IQ_ASSETS_LEVEL_1",Input!K$2,Date,,,Ccy,Conv)</f>
        <v>79138</v>
      </c>
      <c r="J415" s="4">
        <f>_xll.ciqfunctions.udf.CIQ(InputTicker, "IQ_ASSETS_LEVEL_1",Input!L$2,Date,,,Ccy,Conv)</f>
        <v>71507</v>
      </c>
      <c r="K415" s="4">
        <f>_xll.ciqfunctions.udf.CIQ(InputTicker, "IQ_ASSETS_LEVEL_1",Input!M$2,Date,,,Ccy,Conv)</f>
        <v>50206</v>
      </c>
      <c r="L415" s="4">
        <f>_xll.ciqfunctions.udf.CIQ(InputTicker, "IQ_ASSETS_LEVEL_1",Input!N$2,Date,,,Ccy,Conv)</f>
        <v>56065</v>
      </c>
      <c r="M415" s="4">
        <f>_xll.ciqfunctions.udf.CIQ(InputTicker, "IQ_ASSETS_LEVEL_1",Input!O$2,Date,,,Ccy,Conv)</f>
        <v>53680</v>
      </c>
      <c r="N415" s="53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  <c r="AH415" s="42"/>
      <c r="AI415" s="42"/>
      <c r="AJ415" s="42"/>
      <c r="AK415" s="42"/>
      <c r="AL415" s="42"/>
      <c r="AM415" s="42"/>
      <c r="AN415" s="42"/>
      <c r="AO415" s="42"/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  <c r="BJ415" s="42"/>
      <c r="BK415" s="42"/>
      <c r="BL415" s="42"/>
      <c r="BM415" s="42"/>
      <c r="BN415" s="42"/>
    </row>
    <row r="416" spans="1:66" ht="12.75" customHeight="1" x14ac:dyDescent="0.2">
      <c r="A416" s="1" t="s">
        <v>420</v>
      </c>
      <c r="B416" s="4">
        <f>_xll.ciqfunctions.udf.CIQ(InputTicker, "IQ_ASSETS_LEVEL_2",Input!D$2,Date,,,Ccy,Conv)</f>
        <v>22761</v>
      </c>
      <c r="C416" s="4">
        <f>_xll.ciqfunctions.udf.CIQ(InputTicker, "IQ_ASSETS_LEVEL_2",Input!E$2,Date,,,Ccy,Conv)</f>
        <v>24963</v>
      </c>
      <c r="D416" s="4">
        <f>_xll.ciqfunctions.udf.CIQ(InputTicker, "IQ_ASSETS_LEVEL_2",Input!F$2,Date,,,Ccy,Conv)</f>
        <v>21072</v>
      </c>
      <c r="E416" s="4">
        <f>_xll.ciqfunctions.udf.CIQ(InputTicker, "IQ_ASSETS_LEVEL_2",Input!G$2,Date,,,Ccy,Conv)</f>
        <v>22958</v>
      </c>
      <c r="F416" s="4">
        <f>_xll.ciqfunctions.udf.CIQ(InputTicker, "IQ_ASSETS_LEVEL_2",Input!H$2,Date,,,Ccy,Conv)</f>
        <v>23202</v>
      </c>
      <c r="G416" s="4">
        <f>_xll.ciqfunctions.udf.CIQ(InputTicker, "IQ_ASSETS_LEVEL_2",Input!I$2,Date,,,Ccy,Conv)</f>
        <v>31486</v>
      </c>
      <c r="H416" s="4">
        <f>_xll.ciqfunctions.udf.CIQ(InputTicker, "IQ_ASSETS_LEVEL_2",Input!J$2,Date,,,Ccy,Conv)</f>
        <v>27868</v>
      </c>
      <c r="I416" s="4">
        <f>_xll.ciqfunctions.udf.CIQ(InputTicker, "IQ_ASSETS_LEVEL_2",Input!K$2,Date,,,Ccy,Conv)</f>
        <v>17995</v>
      </c>
      <c r="J416" s="4">
        <f>_xll.ciqfunctions.udf.CIQ(InputTicker, "IQ_ASSETS_LEVEL_2",Input!L$2,Date,,,Ccy,Conv)</f>
        <v>34218</v>
      </c>
      <c r="K416" s="4">
        <f>_xll.ciqfunctions.udf.CIQ(InputTicker, "IQ_ASSETS_LEVEL_2",Input!M$2,Date,,,Ccy,Conv)</f>
        <v>16840</v>
      </c>
      <c r="L416" s="4">
        <f>_xll.ciqfunctions.udf.CIQ(InputTicker, "IQ_ASSETS_LEVEL_2",Input!N$2,Date,,,Ccy,Conv)</f>
        <v>30585</v>
      </c>
      <c r="M416" s="4">
        <f>_xll.ciqfunctions.udf.CIQ(InputTicker, "IQ_ASSETS_LEVEL_2",Input!O$2,Date,,,Ccy,Conv)</f>
        <v>24245</v>
      </c>
      <c r="N416" s="53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  <c r="AH416" s="42"/>
      <c r="AI416" s="42"/>
      <c r="AJ416" s="42"/>
      <c r="AK416" s="42"/>
      <c r="AL416" s="42"/>
      <c r="AM416" s="42"/>
      <c r="AN416" s="42"/>
      <c r="AO416" s="42"/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  <c r="BJ416" s="42"/>
      <c r="BK416" s="42"/>
      <c r="BL416" s="42"/>
      <c r="BM416" s="42"/>
      <c r="BN416" s="42"/>
    </row>
    <row r="417" spans="1:66" ht="12.75" customHeight="1" x14ac:dyDescent="0.2">
      <c r="A417" s="1" t="s">
        <v>421</v>
      </c>
      <c r="B417" s="4">
        <f>_xll.ciqfunctions.udf.CIQ(InputTicker, "IQ_ASSETS_LEVEL_3",Input!D$2,Date,,,Ccy,Conv)</f>
        <v>20</v>
      </c>
      <c r="C417" s="4">
        <f>_xll.ciqfunctions.udf.CIQ(InputTicker, "IQ_ASSETS_LEVEL_3",Input!E$2,Date,,,Ccy,Conv)</f>
        <v>19</v>
      </c>
      <c r="D417" s="4">
        <f>_xll.ciqfunctions.udf.CIQ(InputTicker, "IQ_ASSETS_LEVEL_3",Input!F$2,Date,,,Ccy,Conv)</f>
        <v>19</v>
      </c>
      <c r="E417" s="4">
        <f>_xll.ciqfunctions.udf.CIQ(InputTicker, "IQ_ASSETS_LEVEL_3",Input!G$2,Date,,,Ccy,Conv)</f>
        <v>35</v>
      </c>
      <c r="F417" s="4">
        <f>_xll.ciqfunctions.udf.CIQ(InputTicker, "IQ_ASSETS_LEVEL_3",Input!H$2,Date,,,Ccy,Conv)</f>
        <v>25</v>
      </c>
      <c r="G417" s="4">
        <f>_xll.ciqfunctions.udf.CIQ(InputTicker, "IQ_ASSETS_LEVEL_3",Input!I$2,Date,,,Ccy,Conv)</f>
        <v>150</v>
      </c>
      <c r="H417" s="4">
        <f>_xll.ciqfunctions.udf.CIQ(InputTicker, "IQ_ASSETS_LEVEL_3",Input!J$2,Date,,,Ccy,Conv)</f>
        <v>154</v>
      </c>
      <c r="I417" s="4">
        <f>_xll.ciqfunctions.udf.CIQ(InputTicker, "IQ_ASSETS_LEVEL_3",Input!K$2,Date,,,Ccy,Conv)</f>
        <v>170</v>
      </c>
      <c r="J417" s="4">
        <f>_xll.ciqfunctions.udf.CIQ(InputTicker, "IQ_ASSETS_LEVEL_3",Input!L$2,Date,,,Ccy,Conv)</f>
        <v>214</v>
      </c>
      <c r="K417" s="4">
        <f>_xll.ciqfunctions.udf.CIQ(InputTicker, "IQ_ASSETS_LEVEL_3",Input!M$2,Date,,,Ccy,Conv)</f>
        <v>1731</v>
      </c>
      <c r="L417" s="4">
        <f>_xll.ciqfunctions.udf.CIQ(InputTicker, "IQ_ASSETS_LEVEL_3",Input!N$2,Date,,,Ccy,Conv)</f>
        <v>2944</v>
      </c>
      <c r="M417" s="4">
        <f>_xll.ciqfunctions.udf.CIQ(InputTicker, "IQ_ASSETS_LEVEL_3",Input!O$2,Date,,,Ccy,Conv)</f>
        <v>1816</v>
      </c>
      <c r="N417" s="53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  <c r="AH417" s="42"/>
      <c r="AI417" s="42"/>
      <c r="AJ417" s="42"/>
      <c r="AK417" s="42"/>
      <c r="AL417" s="42"/>
      <c r="AM417" s="42"/>
      <c r="AN417" s="42"/>
      <c r="AO417" s="42"/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  <c r="BJ417" s="42"/>
      <c r="BK417" s="42"/>
      <c r="BL417" s="42"/>
      <c r="BM417" s="42"/>
      <c r="BN417" s="42"/>
    </row>
    <row r="418" spans="1:66" ht="12.75" customHeight="1" x14ac:dyDescent="0.2">
      <c r="A418" s="1" t="s">
        <v>400</v>
      </c>
      <c r="B418" s="4">
        <f>_xll.ciqfunctions.udf.CIQ(InputTicker, "IQ_ASSETS_NETTING_OTHER_ADJUSTMENTS",Input!D$2,Date,,,Ccy,Conv)</f>
        <v>-162</v>
      </c>
      <c r="C418" s="4">
        <f>_xll.ciqfunctions.udf.CIQ(InputTicker, "IQ_ASSETS_NETTING_OTHER_ADJUSTMENTS",Input!E$2,Date,,,Ccy,Conv)</f>
        <v>-401</v>
      </c>
      <c r="D418" s="4">
        <f>_xll.ciqfunctions.udf.CIQ(InputTicker, "IQ_ASSETS_NETTING_OTHER_ADJUSTMENTS",Input!F$2,Date,,,Ccy,Conv)</f>
        <v>-227</v>
      </c>
      <c r="E418" s="4">
        <f>_xll.ciqfunctions.udf.CIQ(InputTicker, "IQ_ASSETS_NETTING_OTHER_ADJUSTMENTS",Input!G$2,Date,,,Ccy,Conv)</f>
        <v>0</v>
      </c>
      <c r="F418" s="4">
        <f>_xll.ciqfunctions.udf.CIQ(InputTicker, "IQ_ASSETS_NETTING_OTHER_ADJUSTMENTS",Input!H$2,Date,,,Ccy,Conv)</f>
        <v>0</v>
      </c>
      <c r="G418" s="4">
        <f>_xll.ciqfunctions.udf.CIQ(InputTicker, "IQ_ASSETS_NETTING_OTHER_ADJUSTMENTS",Input!I$2,Date,,,Ccy,Conv)</f>
        <v>0</v>
      </c>
      <c r="H418" s="4">
        <f>_xll.ciqfunctions.udf.CIQ(InputTicker, "IQ_ASSETS_NETTING_OTHER_ADJUSTMENTS",Input!J$2,Date,,,Ccy,Conv)</f>
        <v>0</v>
      </c>
      <c r="I418" s="4">
        <f>_xll.ciqfunctions.udf.CIQ(InputTicker, "IQ_ASSETS_NETTING_OTHER_ADJUSTMENTS",Input!K$2,Date,,,Ccy,Conv)</f>
        <v>0</v>
      </c>
      <c r="J418" s="4">
        <f>_xll.ciqfunctions.udf.CIQ(InputTicker, "IQ_ASSETS_NETTING_OTHER_ADJUSTMENTS",Input!L$2,Date,,,Ccy,Conv)</f>
        <v>0</v>
      </c>
      <c r="K418" s="4">
        <f>_xll.ciqfunctions.udf.CIQ(InputTicker, "IQ_ASSETS_NETTING_OTHER_ADJUSTMENTS",Input!M$2,Date,,,Ccy,Conv)</f>
        <v>0</v>
      </c>
      <c r="L418" s="4">
        <f>_xll.ciqfunctions.udf.CIQ(InputTicker, "IQ_ASSETS_NETTING_OTHER_ADJUSTMENTS",Input!N$2,Date,,,Ccy,Conv)</f>
        <v>0</v>
      </c>
      <c r="M418" s="4">
        <f>_xll.ciqfunctions.udf.CIQ(InputTicker, "IQ_ASSETS_NETTING_OTHER_ADJUSTMENTS",Input!O$2,Date,,,Ccy,Conv)</f>
        <v>0</v>
      </c>
      <c r="N418" s="53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  <c r="BJ418" s="42"/>
      <c r="BK418" s="42"/>
      <c r="BL418" s="42"/>
      <c r="BM418" s="42"/>
      <c r="BN418" s="42"/>
    </row>
    <row r="419" spans="1:66" ht="12.75" customHeight="1" x14ac:dyDescent="0.2">
      <c r="A419" s="1" t="s">
        <v>401</v>
      </c>
      <c r="B419" s="4">
        <f>_xll.ciqfunctions.udf.CIQ(InputTicker, "IQ_ASSETS_FAIR_VALUE",Input!D$2,Date,,,Ccy,Conv)</f>
        <v>104369</v>
      </c>
      <c r="C419" s="4">
        <f>_xll.ciqfunctions.udf.CIQ(InputTicker, "IQ_ASSETS_FAIR_VALUE",Input!E$2,Date,,,Ccy,Conv)</f>
        <v>119019</v>
      </c>
      <c r="D419" s="4">
        <f>_xll.ciqfunctions.udf.CIQ(InputTicker, "IQ_ASSETS_FAIR_VALUE",Input!F$2,Date,,,Ccy,Conv)</f>
        <v>133985</v>
      </c>
      <c r="E419" s="4">
        <f>_xll.ciqfunctions.udf.CIQ(InputTicker, "IQ_ASSETS_FAIR_VALUE",Input!G$2,Date,,,Ccy,Conv)</f>
        <v>130564</v>
      </c>
      <c r="F419" s="4">
        <f>_xll.ciqfunctions.udf.CIQ(InputTicker, "IQ_ASSETS_FAIR_VALUE",Input!H$2,Date,,,Ccy,Conv)</f>
        <v>130875</v>
      </c>
      <c r="G419" s="4">
        <f>_xll.ciqfunctions.udf.CIQ(InputTicker, "IQ_ASSETS_FAIR_VALUE",Input!I$2,Date,,,Ccy,Conv)</f>
        <v>131396</v>
      </c>
      <c r="H419" s="4">
        <f>_xll.ciqfunctions.udf.CIQ(InputTicker, "IQ_ASSETS_FAIR_VALUE",Input!J$2,Date,,,Ccy,Conv)</f>
        <v>123989</v>
      </c>
      <c r="I419" s="4">
        <f>_xll.ciqfunctions.udf.CIQ(InputTicker, "IQ_ASSETS_FAIR_VALUE",Input!K$2,Date,,,Ccy,Conv)</f>
        <v>97303</v>
      </c>
      <c r="J419" s="4">
        <f>_xll.ciqfunctions.udf.CIQ(InputTicker, "IQ_ASSETS_FAIR_VALUE",Input!L$2,Date,,,Ccy,Conv)</f>
        <v>105939</v>
      </c>
      <c r="K419" s="4">
        <f>_xll.ciqfunctions.udf.CIQ(InputTicker, "IQ_ASSETS_FAIR_VALUE",Input!M$2,Date,,,Ccy,Conv)</f>
        <v>68777</v>
      </c>
      <c r="L419" s="4">
        <f>_xll.ciqfunctions.udf.CIQ(InputTicker, "IQ_ASSETS_FAIR_VALUE",Input!N$2,Date,,,Ccy,Conv)</f>
        <v>89594</v>
      </c>
      <c r="M419" s="4">
        <f>_xll.ciqfunctions.udf.CIQ(InputTicker, "IQ_ASSETS_FAIR_VALUE",Input!O$2,Date,,,Ccy,Conv)</f>
        <v>79741</v>
      </c>
      <c r="N419" s="53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  <c r="AH419" s="42"/>
      <c r="AI419" s="42"/>
      <c r="AJ419" s="42"/>
      <c r="AK419" s="42"/>
      <c r="AL419" s="42"/>
      <c r="AM419" s="42"/>
      <c r="AN419" s="42"/>
      <c r="AO419" s="42"/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  <c r="BJ419" s="42"/>
      <c r="BK419" s="42"/>
      <c r="BL419" s="42"/>
      <c r="BM419" s="42"/>
      <c r="BN419" s="42"/>
    </row>
    <row r="420" spans="1:66" ht="12.75" customHeight="1" x14ac:dyDescent="0.2">
      <c r="A420" s="1" t="s">
        <v>402</v>
      </c>
      <c r="B420" s="4">
        <f>_xll.ciqfunctions.udf.CIQ(InputTicker, "IQ_LIABILITIES_LEVEL_1",Input!D$2,Date,,,Ccy,Conv)</f>
        <v>5</v>
      </c>
      <c r="C420" s="4">
        <f>_xll.ciqfunctions.udf.CIQ(InputTicker, "IQ_LIABILITIES_LEVEL_1",Input!E$2,Date,,,Ccy,Conv)</f>
        <v>17</v>
      </c>
      <c r="D420" s="4">
        <f>_xll.ciqfunctions.udf.CIQ(InputTicker, "IQ_LIABILITIES_LEVEL_1",Input!F$2,Date,,,Ccy,Conv)</f>
        <v>0</v>
      </c>
      <c r="E420" s="4">
        <f>_xll.ciqfunctions.udf.CIQ(InputTicker, "IQ_LIABILITIES_LEVEL_1",Input!G$2,Date,,,Ccy,Conv)</f>
        <v>1</v>
      </c>
      <c r="F420" s="4">
        <f>_xll.ciqfunctions.udf.CIQ(InputTicker, "IQ_LIABILITIES_LEVEL_1",Input!H$2,Date,,,Ccy,Conv)</f>
        <v>0</v>
      </c>
      <c r="G420" s="4">
        <f>_xll.ciqfunctions.udf.CIQ(InputTicker, "IQ_LIABILITIES_LEVEL_1",Input!I$2,Date,,,Ccy,Conv)</f>
        <v>0</v>
      </c>
      <c r="H420" s="4">
        <f>_xll.ciqfunctions.udf.CIQ(InputTicker, "IQ_LIABILITIES_LEVEL_1",Input!J$2,Date,,,Ccy,Conv)</f>
        <v>0</v>
      </c>
      <c r="I420" s="4">
        <f>_xll.ciqfunctions.udf.CIQ(InputTicker, "IQ_LIABILITIES_LEVEL_1",Input!K$2,Date,,,Ccy,Conv)</f>
        <v>0</v>
      </c>
      <c r="J420" s="4">
        <f>_xll.ciqfunctions.udf.CIQ(InputTicker, "IQ_LIABILITIES_LEVEL_1",Input!L$2,Date,,,Ccy,Conv)</f>
        <v>0</v>
      </c>
      <c r="K420" s="4">
        <f>_xll.ciqfunctions.udf.CIQ(InputTicker, "IQ_LIABILITIES_LEVEL_1",Input!M$2,Date,,,Ccy,Conv)</f>
        <v>1</v>
      </c>
      <c r="L420" s="4">
        <f>_xll.ciqfunctions.udf.CIQ(InputTicker, "IQ_LIABILITIES_LEVEL_1",Input!N$2,Date,,,Ccy,Conv)</f>
        <v>0</v>
      </c>
      <c r="M420" s="4">
        <f>_xll.ciqfunctions.udf.CIQ(InputTicker, "IQ_LIABILITIES_LEVEL_1",Input!O$2,Date,,,Ccy,Conv)</f>
        <v>0</v>
      </c>
      <c r="N420" s="53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  <c r="AH420" s="42"/>
      <c r="AI420" s="42"/>
      <c r="AJ420" s="42"/>
      <c r="AK420" s="42"/>
      <c r="AL420" s="42"/>
      <c r="AM420" s="42"/>
      <c r="AN420" s="42"/>
      <c r="AO420" s="42"/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  <c r="BJ420" s="42"/>
      <c r="BK420" s="42"/>
      <c r="BL420" s="42"/>
      <c r="BM420" s="42"/>
      <c r="BN420" s="42"/>
    </row>
    <row r="421" spans="1:66" ht="12.75" customHeight="1" x14ac:dyDescent="0.2">
      <c r="A421" s="1" t="s">
        <v>422</v>
      </c>
      <c r="B421" s="4">
        <f>_xll.ciqfunctions.udf.CIQ(InputTicker, "IQ_LIABILITIES_LEVEL_2",Input!D$2,Date,,,Ccy,Conv)</f>
        <v>30659</v>
      </c>
      <c r="C421" s="4">
        <f>_xll.ciqfunctions.udf.CIQ(InputTicker, "IQ_LIABILITIES_LEVEL_2",Input!E$2,Date,,,Ccy,Conv)</f>
        <v>44613</v>
      </c>
      <c r="D421" s="4">
        <f>_xll.ciqfunctions.udf.CIQ(InputTicker, "IQ_LIABILITIES_LEVEL_2",Input!F$2,Date,,,Ccy,Conv)</f>
        <v>80645</v>
      </c>
      <c r="E421" s="4">
        <f>_xll.ciqfunctions.udf.CIQ(InputTicker, "IQ_LIABILITIES_LEVEL_2",Input!G$2,Date,,,Ccy,Conv)</f>
        <v>77706</v>
      </c>
      <c r="F421" s="4">
        <f>_xll.ciqfunctions.udf.CIQ(InputTicker, "IQ_LIABILITIES_LEVEL_2",Input!H$2,Date,,,Ccy,Conv)</f>
        <v>79172</v>
      </c>
      <c r="G421" s="4">
        <f>_xll.ciqfunctions.udf.CIQ(InputTicker, "IQ_LIABILITIES_LEVEL_2",Input!I$2,Date,,,Ccy,Conv)</f>
        <v>77499</v>
      </c>
      <c r="H421" s="4">
        <f>_xll.ciqfunctions.udf.CIQ(InputTicker, "IQ_LIABILITIES_LEVEL_2",Input!J$2,Date,,,Ccy,Conv)</f>
        <v>70335</v>
      </c>
      <c r="I421" s="4">
        <f>_xll.ciqfunctions.udf.CIQ(InputTicker, "IQ_LIABILITIES_LEVEL_2",Input!K$2,Date,,,Ccy,Conv)</f>
        <v>51451</v>
      </c>
      <c r="J421" s="4">
        <f>_xll.ciqfunctions.udf.CIQ(InputTicker, "IQ_LIABILITIES_LEVEL_2",Input!L$2,Date,,,Ccy,Conv)</f>
        <v>47005</v>
      </c>
      <c r="K421" s="4">
        <f>_xll.ciqfunctions.udf.CIQ(InputTicker, "IQ_LIABILITIES_LEVEL_2",Input!M$2,Date,,,Ccy,Conv)</f>
        <v>43099</v>
      </c>
      <c r="L421" s="4">
        <f>_xll.ciqfunctions.udf.CIQ(InputTicker, "IQ_LIABILITIES_LEVEL_2",Input!N$2,Date,,,Ccy,Conv)</f>
        <v>42232</v>
      </c>
      <c r="M421" s="4">
        <f>_xll.ciqfunctions.udf.CIQ(InputTicker, "IQ_LIABILITIES_LEVEL_2",Input!O$2,Date,,,Ccy,Conv)</f>
        <v>37271</v>
      </c>
      <c r="N421" s="53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  <c r="AH421" s="42"/>
      <c r="AI421" s="42"/>
      <c r="AJ421" s="42"/>
      <c r="AK421" s="42"/>
      <c r="AL421" s="42"/>
      <c r="AM421" s="42"/>
      <c r="AN421" s="42"/>
      <c r="AO421" s="42"/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  <c r="BJ421" s="42"/>
      <c r="BK421" s="42"/>
      <c r="BL421" s="42"/>
      <c r="BM421" s="42"/>
      <c r="BN421" s="42"/>
    </row>
    <row r="422" spans="1:66" ht="12.75" customHeight="1" x14ac:dyDescent="0.2">
      <c r="A422" s="1" t="s">
        <v>423</v>
      </c>
      <c r="B422" s="4">
        <f>_xll.ciqfunctions.udf.CIQ(InputTicker, "IQ_LIABILITIES_LEVEL_3",Input!D$2,Date,,,Ccy,Conv)</f>
        <v>54</v>
      </c>
      <c r="C422" s="4">
        <f>_xll.ciqfunctions.udf.CIQ(InputTicker, "IQ_LIABILITIES_LEVEL_3",Input!E$2,Date,,,Ccy,Conv)</f>
        <v>0</v>
      </c>
      <c r="D422" s="4">
        <f>_xll.ciqfunctions.udf.CIQ(InputTicker, "IQ_LIABILITIES_LEVEL_3",Input!F$2,Date,,,Ccy,Conv)</f>
        <v>39</v>
      </c>
      <c r="E422" s="4">
        <f>_xll.ciqfunctions.udf.CIQ(InputTicker, "IQ_LIABILITIES_LEVEL_3",Input!G$2,Date,,,Ccy,Conv)</f>
        <v>0</v>
      </c>
      <c r="F422" s="4">
        <f>_xll.ciqfunctions.udf.CIQ(InputTicker, "IQ_LIABILITIES_LEVEL_3",Input!H$2,Date,,,Ccy,Conv)</f>
        <v>0</v>
      </c>
      <c r="G422" s="4">
        <f>_xll.ciqfunctions.udf.CIQ(InputTicker, "IQ_LIABILITIES_LEVEL_3",Input!I$2,Date,,,Ccy,Conv)</f>
        <v>0</v>
      </c>
      <c r="H422" s="4">
        <f>_xll.ciqfunctions.udf.CIQ(InputTicker, "IQ_LIABILITIES_LEVEL_3",Input!J$2,Date,,,Ccy,Conv)</f>
        <v>0</v>
      </c>
      <c r="I422" s="4">
        <f>_xll.ciqfunctions.udf.CIQ(InputTicker, "IQ_LIABILITIES_LEVEL_3",Input!K$2,Date,,,Ccy,Conv)</f>
        <v>0</v>
      </c>
      <c r="J422" s="4">
        <f>_xll.ciqfunctions.udf.CIQ(InputTicker, "IQ_LIABILITIES_LEVEL_3",Input!L$2,Date,,,Ccy,Conv)</f>
        <v>0</v>
      </c>
      <c r="K422" s="4">
        <f>_xll.ciqfunctions.udf.CIQ(InputTicker, "IQ_LIABILITIES_LEVEL_3",Input!M$2,Date,,,Ccy,Conv)</f>
        <v>0</v>
      </c>
      <c r="L422" s="4">
        <f>_xll.ciqfunctions.udf.CIQ(InputTicker, "IQ_LIABILITIES_LEVEL_3",Input!N$2,Date,,,Ccy,Conv)</f>
        <v>5</v>
      </c>
      <c r="M422" s="4">
        <f>_xll.ciqfunctions.udf.CIQ(InputTicker, "IQ_LIABILITIES_LEVEL_3",Input!O$2,Date,,,Ccy,Conv)</f>
        <v>0</v>
      </c>
      <c r="N422" s="53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  <c r="BJ422" s="42"/>
      <c r="BK422" s="42"/>
      <c r="BL422" s="42"/>
      <c r="BM422" s="42"/>
      <c r="BN422" s="42"/>
    </row>
    <row r="423" spans="1:66" ht="12.75" customHeight="1" x14ac:dyDescent="0.2">
      <c r="A423" s="1" t="s">
        <v>403</v>
      </c>
      <c r="B423" s="4">
        <f>_xll.ciqfunctions.udf.CIQ(InputTicker, "IQ_LIABILITIES_NETTING_OTHER_ADJUSTMENTS",Input!D$2,Date,,,Ccy,Conv)</f>
        <v>-161</v>
      </c>
      <c r="C423" s="4">
        <f>_xll.ciqfunctions.udf.CIQ(InputTicker, "IQ_LIABILITIES_NETTING_OTHER_ADJUSTMENTS",Input!E$2,Date,,,Ccy,Conv)</f>
        <v>-398</v>
      </c>
      <c r="D423" s="4">
        <f>_xll.ciqfunctions.udf.CIQ(InputTicker, "IQ_LIABILITIES_NETTING_OTHER_ADJUSTMENTS",Input!F$2,Date,,,Ccy,Conv)</f>
        <v>-228</v>
      </c>
      <c r="E423" s="4">
        <f>_xll.ciqfunctions.udf.CIQ(InputTicker, "IQ_LIABILITIES_NETTING_OTHER_ADJUSTMENTS",Input!G$2,Date,,,Ccy,Conv)</f>
        <v>0</v>
      </c>
      <c r="F423" s="4">
        <f>_xll.ciqfunctions.udf.CIQ(InputTicker, "IQ_LIABILITIES_NETTING_OTHER_ADJUSTMENTS",Input!H$2,Date,,,Ccy,Conv)</f>
        <v>0</v>
      </c>
      <c r="G423" s="4">
        <f>_xll.ciqfunctions.udf.CIQ(InputTicker, "IQ_LIABILITIES_NETTING_OTHER_ADJUSTMENTS",Input!I$2,Date,,,Ccy,Conv)</f>
        <v>0</v>
      </c>
      <c r="H423" s="4">
        <f>_xll.ciqfunctions.udf.CIQ(InputTicker, "IQ_LIABILITIES_NETTING_OTHER_ADJUSTMENTS",Input!J$2,Date,,,Ccy,Conv)</f>
        <v>0</v>
      </c>
      <c r="I423" s="4">
        <f>_xll.ciqfunctions.udf.CIQ(InputTicker, "IQ_LIABILITIES_NETTING_OTHER_ADJUSTMENTS",Input!K$2,Date,,,Ccy,Conv)</f>
        <v>0</v>
      </c>
      <c r="J423" s="4">
        <f>_xll.ciqfunctions.udf.CIQ(InputTicker, "IQ_LIABILITIES_NETTING_OTHER_ADJUSTMENTS",Input!L$2,Date,,,Ccy,Conv)</f>
        <v>0</v>
      </c>
      <c r="K423" s="4">
        <f>_xll.ciqfunctions.udf.CIQ(InputTicker, "IQ_LIABILITIES_NETTING_OTHER_ADJUSTMENTS",Input!M$2,Date,,,Ccy,Conv)</f>
        <v>0</v>
      </c>
      <c r="L423" s="4">
        <f>_xll.ciqfunctions.udf.CIQ(InputTicker, "IQ_LIABILITIES_NETTING_OTHER_ADJUSTMENTS",Input!N$2,Date,,,Ccy,Conv)</f>
        <v>0</v>
      </c>
      <c r="M423" s="4">
        <f>_xll.ciqfunctions.udf.CIQ(InputTicker, "IQ_LIABILITIES_NETTING_OTHER_ADJUSTMENTS",Input!O$2,Date,,,Ccy,Conv)</f>
        <v>0</v>
      </c>
      <c r="N423" s="53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  <c r="AH423" s="42"/>
      <c r="AI423" s="42"/>
      <c r="AJ423" s="42"/>
      <c r="AK423" s="42"/>
      <c r="AL423" s="42"/>
      <c r="AM423" s="42"/>
      <c r="AN423" s="42"/>
      <c r="AO423" s="42"/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  <c r="BJ423" s="42"/>
      <c r="BK423" s="42"/>
      <c r="BL423" s="42"/>
      <c r="BM423" s="42"/>
      <c r="BN423" s="42"/>
    </row>
    <row r="424" spans="1:66" ht="12.75" customHeight="1" x14ac:dyDescent="0.2">
      <c r="A424" s="1" t="s">
        <v>404</v>
      </c>
      <c r="B424" s="4">
        <f>_xll.ciqfunctions.udf.CIQ(InputTicker, "IQ_LIABILITIES_FAIR_VALUE",Input!D$2,Date,,,Ccy,Conv)</f>
        <v>30557</v>
      </c>
      <c r="C424" s="4">
        <f>_xll.ciqfunctions.udf.CIQ(InputTicker, "IQ_LIABILITIES_FAIR_VALUE",Input!E$2,Date,,,Ccy,Conv)</f>
        <v>44232</v>
      </c>
      <c r="D424" s="4">
        <f>_xll.ciqfunctions.udf.CIQ(InputTicker, "IQ_LIABILITIES_FAIR_VALUE",Input!F$2,Date,,,Ccy,Conv)</f>
        <v>80456</v>
      </c>
      <c r="E424" s="4">
        <f>_xll.ciqfunctions.udf.CIQ(InputTicker, "IQ_LIABILITIES_FAIR_VALUE",Input!G$2,Date,,,Ccy,Conv)</f>
        <v>77707</v>
      </c>
      <c r="F424" s="4">
        <f>_xll.ciqfunctions.udf.CIQ(InputTicker, "IQ_LIABILITIES_FAIR_VALUE",Input!H$2,Date,,,Ccy,Conv)</f>
        <v>79172</v>
      </c>
      <c r="G424" s="4">
        <f>_xll.ciqfunctions.udf.CIQ(InputTicker, "IQ_LIABILITIES_FAIR_VALUE",Input!I$2,Date,,,Ccy,Conv)</f>
        <v>77499</v>
      </c>
      <c r="H424" s="4">
        <f>_xll.ciqfunctions.udf.CIQ(InputTicker, "IQ_LIABILITIES_FAIR_VALUE",Input!J$2,Date,,,Ccy,Conv)</f>
        <v>70335</v>
      </c>
      <c r="I424" s="4">
        <f>_xll.ciqfunctions.udf.CIQ(InputTicker, "IQ_LIABILITIES_FAIR_VALUE",Input!K$2,Date,,,Ccy,Conv)</f>
        <v>51451</v>
      </c>
      <c r="J424" s="4">
        <f>_xll.ciqfunctions.udf.CIQ(InputTicker, "IQ_LIABILITIES_FAIR_VALUE",Input!L$2,Date,,,Ccy,Conv)</f>
        <v>47005</v>
      </c>
      <c r="K424" s="4">
        <f>_xll.ciqfunctions.udf.CIQ(InputTicker, "IQ_LIABILITIES_FAIR_VALUE",Input!M$2,Date,,,Ccy,Conv)</f>
        <v>43100</v>
      </c>
      <c r="L424" s="4">
        <f>_xll.ciqfunctions.udf.CIQ(InputTicker, "IQ_LIABILITIES_FAIR_VALUE",Input!N$2,Date,,,Ccy,Conv)</f>
        <v>42237</v>
      </c>
      <c r="M424" s="4">
        <f>_xll.ciqfunctions.udf.CIQ(InputTicker, "IQ_LIABILITIES_FAIR_VALUE",Input!O$2,Date,,,Ccy,Conv)</f>
        <v>37271</v>
      </c>
      <c r="N424" s="54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  <c r="AH424" s="42"/>
      <c r="AI424" s="42"/>
      <c r="AJ424" s="42"/>
      <c r="AK424" s="42"/>
      <c r="AL424" s="42"/>
      <c r="AM424" s="42"/>
      <c r="AN424" s="42"/>
      <c r="AO424" s="42"/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  <c r="BJ424" s="42"/>
      <c r="BK424" s="42"/>
      <c r="BL424" s="42"/>
      <c r="BM424" s="42"/>
      <c r="BN424" s="42"/>
    </row>
    <row r="425" spans="1:66" ht="12.75" customHeight="1" x14ac:dyDescent="0.2">
      <c r="A425" s="1" t="s">
        <v>405</v>
      </c>
      <c r="B425" s="4">
        <f>_xll.ciqfunctions.udf.CIQ(InputTicker, "IQ_FAIR_VALUE_CHANGE_INCL_EARNINGS",Input!D$2,Date,,,Ccy,Conv)</f>
        <v>0</v>
      </c>
      <c r="C425" s="4">
        <f>_xll.ciqfunctions.udf.CIQ(InputTicker, "IQ_FAIR_VALUE_CHANGE_INCL_EARNINGS",Input!E$2,Date,,,Ccy,Conv)</f>
        <v>0</v>
      </c>
      <c r="D425" s="4">
        <f>_xll.ciqfunctions.udf.CIQ(InputTicker, "IQ_FAIR_VALUE_CHANGE_INCL_EARNINGS",Input!F$2,Date,,,Ccy,Conv)</f>
        <v>0</v>
      </c>
      <c r="E425" s="4">
        <f>_xll.ciqfunctions.udf.CIQ(InputTicker, "IQ_FAIR_VALUE_CHANGE_INCL_EARNINGS",Input!G$2,Date,,,Ccy,Conv)</f>
        <v>0</v>
      </c>
      <c r="F425" s="4">
        <f>_xll.ciqfunctions.udf.CIQ(InputTicker, "IQ_FAIR_VALUE_CHANGE_INCL_EARNINGS",Input!H$2,Date,,,Ccy,Conv)</f>
        <v>0</v>
      </c>
      <c r="G425" s="4">
        <f>_xll.ciqfunctions.udf.CIQ(InputTicker, "IQ_FAIR_VALUE_CHANGE_INCL_EARNINGS",Input!I$2,Date,,,Ccy,Conv)</f>
        <v>0</v>
      </c>
      <c r="H425" s="4">
        <f>_xll.ciqfunctions.udf.CIQ(InputTicker, "IQ_FAIR_VALUE_CHANGE_INCL_EARNINGS",Input!J$2,Date,,,Ccy,Conv)</f>
        <v>0</v>
      </c>
      <c r="I425" s="4">
        <f>_xll.ciqfunctions.udf.CIQ(InputTicker, "IQ_FAIR_VALUE_CHANGE_INCL_EARNINGS",Input!K$2,Date,,,Ccy,Conv)</f>
        <v>0</v>
      </c>
      <c r="J425" s="4">
        <f>_xll.ciqfunctions.udf.CIQ(InputTicker, "IQ_FAIR_VALUE_CHANGE_INCL_EARNINGS",Input!L$2,Date,,,Ccy,Conv)</f>
        <v>0</v>
      </c>
      <c r="K425" s="4">
        <f>_xll.ciqfunctions.udf.CIQ(InputTicker, "IQ_FAIR_VALUE_CHANGE_INCL_EARNINGS",Input!M$2,Date,,,Ccy,Conv)</f>
        <v>0</v>
      </c>
      <c r="L425" s="4">
        <f>_xll.ciqfunctions.udf.CIQ(InputTicker, "IQ_FAIR_VALUE_CHANGE_INCL_EARNINGS",Input!N$2,Date,,,Ccy,Conv)</f>
        <v>0</v>
      </c>
      <c r="M425" s="4">
        <f>_xll.ciqfunctions.udf.CIQ(InputTicker, "IQ_FAIR_VALUE_CHANGE_INCL_EARNINGS",Input!O$2,Date,,,Ccy,Conv)</f>
        <v>0</v>
      </c>
      <c r="N425" s="54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  <c r="AH425" s="42"/>
      <c r="AI425" s="42"/>
      <c r="AJ425" s="42"/>
      <c r="AK425" s="42"/>
      <c r="AL425" s="42"/>
      <c r="AM425" s="42"/>
      <c r="AN425" s="42"/>
      <c r="AO425" s="42"/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  <c r="BJ425" s="42"/>
      <c r="BK425" s="42"/>
      <c r="BL425" s="42"/>
      <c r="BM425" s="42"/>
      <c r="BN425" s="42"/>
    </row>
    <row r="426" spans="1:66" ht="12.75" customHeight="1" x14ac:dyDescent="0.2">
      <c r="A426" s="1" t="s">
        <v>357</v>
      </c>
      <c r="B426" s="18">
        <f>_xll.ciqfunctions.udf.CIQ(InputTicker, "IQ_FULL_TIME",Input!D$2,Date)</f>
        <v>118000</v>
      </c>
      <c r="C426" s="18">
        <f>_xll.ciqfunctions.udf.CIQ(InputTicker, "IQ_FULL_TIME",Input!E$2,Date)</f>
        <v>114000</v>
      </c>
      <c r="D426" s="18">
        <f>_xll.ciqfunctions.udf.CIQ(InputTicker, "IQ_FULL_TIME",Input!F$2,Date)</f>
        <v>124000</v>
      </c>
      <c r="E426" s="18">
        <f>_xll.ciqfunctions.udf.CIQ(InputTicker, "IQ_FULL_TIME",Input!G$2,Date)</f>
        <v>131000</v>
      </c>
      <c r="F426" s="18">
        <f>_xll.ciqfunctions.udf.CIQ(InputTicker, "IQ_FULL_TIME",Input!H$2,Date)</f>
        <v>144000</v>
      </c>
      <c r="G426" s="18">
        <f>_xll.ciqfunctions.udf.CIQ(InputTicker, "IQ_FULL_TIME",Input!I$2,Date)</f>
        <v>163000</v>
      </c>
      <c r="H426" s="18">
        <f>_xll.ciqfunctions.udf.CIQ(InputTicker, "IQ_FULL_TIME",Input!J$2,Date)</f>
        <v>181000</v>
      </c>
      <c r="I426" s="18">
        <f>_xll.ciqfunctions.udf.CIQ(InputTicker, "IQ_FULL_TIME",Input!K$2,Date)</f>
        <v>221000</v>
      </c>
      <c r="J426" s="18">
        <f>_xll.ciqfunctions.udf.CIQ(InputTicker, "IQ_FULL_TIME",Input!L$2,Date)</f>
        <v>221000</v>
      </c>
      <c r="K426" s="18">
        <f>_xll.ciqfunctions.udf.CIQ(InputTicker, "IQ_FULL_TIME",Input!M$2,Date)</f>
        <v>228000</v>
      </c>
      <c r="L426" s="18">
        <f>_xll.ciqfunctions.udf.CIQ(InputTicker, "IQ_FULL_TIME",Input!N$2,Date)</f>
        <v>228000</v>
      </c>
      <c r="M426" s="18">
        <f>_xll.ciqfunctions.udf.CIQ(InputTicker, "IQ_FULL_TIME",Input!O$2,Date)</f>
        <v>0</v>
      </c>
      <c r="N426" s="53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  <c r="BJ426" s="42"/>
      <c r="BK426" s="42"/>
      <c r="BL426" s="42"/>
      <c r="BM426" s="42"/>
      <c r="BN426" s="42"/>
    </row>
    <row r="427" spans="1:66" ht="12.75" customHeight="1" x14ac:dyDescent="0.2">
      <c r="A427" s="1" t="s">
        <v>358</v>
      </c>
      <c r="B427" s="18">
        <f>_xll.ciqfunctions.udf.CIQ(InputTicker, "IQ_PART_TIME",Input!D$2,Date)</f>
        <v>0</v>
      </c>
      <c r="C427" s="18">
        <f>_xll.ciqfunctions.udf.CIQ(InputTicker, "IQ_PART_TIME",Input!E$2,Date)</f>
        <v>0</v>
      </c>
      <c r="D427" s="18">
        <f>_xll.ciqfunctions.udf.CIQ(InputTicker, "IQ_PART_TIME",Input!F$2,Date)</f>
        <v>0</v>
      </c>
      <c r="E427" s="18">
        <f>_xll.ciqfunctions.udf.CIQ(InputTicker, "IQ_PART_TIME",Input!G$2,Date)</f>
        <v>0</v>
      </c>
      <c r="F427" s="18">
        <f>_xll.ciqfunctions.udf.CIQ(InputTicker, "IQ_PART_TIME",Input!H$2,Date)</f>
        <v>0</v>
      </c>
      <c r="G427" s="18">
        <f>_xll.ciqfunctions.udf.CIQ(InputTicker, "IQ_PART_TIME",Input!I$2,Date)</f>
        <v>0</v>
      </c>
      <c r="H427" s="18">
        <f>_xll.ciqfunctions.udf.CIQ(InputTicker, "IQ_PART_TIME",Input!J$2,Date)</f>
        <v>0</v>
      </c>
      <c r="I427" s="18">
        <f>_xll.ciqfunctions.udf.CIQ(InputTicker, "IQ_PART_TIME",Input!K$2,Date)</f>
        <v>0</v>
      </c>
      <c r="J427" s="18">
        <f>_xll.ciqfunctions.udf.CIQ(InputTicker, "IQ_PART_TIME",Input!L$2,Date)</f>
        <v>0</v>
      </c>
      <c r="K427" s="18">
        <f>_xll.ciqfunctions.udf.CIQ(InputTicker, "IQ_PART_TIME",Input!M$2,Date)</f>
        <v>0</v>
      </c>
      <c r="L427" s="18">
        <f>_xll.ciqfunctions.udf.CIQ(InputTicker, "IQ_PART_TIME",Input!N$2,Date)</f>
        <v>0</v>
      </c>
      <c r="M427" s="18">
        <f>_xll.ciqfunctions.udf.CIQ(InputTicker, "IQ_PART_TIME",Input!O$2,Date)</f>
        <v>0</v>
      </c>
      <c r="N427" s="53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  <c r="AH427" s="42"/>
      <c r="AI427" s="42"/>
      <c r="AJ427" s="42"/>
      <c r="AK427" s="42"/>
      <c r="AL427" s="42"/>
      <c r="AM427" s="42"/>
      <c r="AN427" s="42"/>
      <c r="AO427" s="42"/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  <c r="BJ427" s="42"/>
      <c r="BK427" s="42"/>
      <c r="BL427" s="42"/>
      <c r="BM427" s="42"/>
      <c r="BN427" s="42"/>
    </row>
    <row r="428" spans="1:66" ht="12.75" customHeight="1" x14ac:dyDescent="0.2">
      <c r="A428" s="1" t="s">
        <v>359</v>
      </c>
      <c r="B428" s="18">
        <f>_xll.ciqfunctions.udf.CIQ(InputTicker, "IQ_TOTAL_EMPLOYEES",Input!D$2,Date)</f>
        <v>118000</v>
      </c>
      <c r="C428" s="18">
        <f>_xll.ciqfunctions.udf.CIQ(InputTicker, "IQ_TOTAL_EMPLOYEES",Input!E$2,Date)</f>
        <v>114000</v>
      </c>
      <c r="D428" s="18">
        <f>_xll.ciqfunctions.udf.CIQ(InputTicker, "IQ_TOTAL_EMPLOYEES",Input!F$2,Date)</f>
        <v>124000</v>
      </c>
      <c r="E428" s="18">
        <f>_xll.ciqfunctions.udf.CIQ(InputTicker, "IQ_TOTAL_EMPLOYEES",Input!G$2,Date)</f>
        <v>131000</v>
      </c>
      <c r="F428" s="18">
        <f>_xll.ciqfunctions.udf.CIQ(InputTicker, "IQ_TOTAL_EMPLOYEES",Input!H$2,Date)</f>
        <v>144000</v>
      </c>
      <c r="G428" s="18">
        <f>_xll.ciqfunctions.udf.CIQ(InputTicker, "IQ_TOTAL_EMPLOYEES",Input!I$2,Date)</f>
        <v>163000</v>
      </c>
      <c r="H428" s="18">
        <f>_xll.ciqfunctions.udf.CIQ(InputTicker, "IQ_TOTAL_EMPLOYEES",Input!J$2,Date)</f>
        <v>181000</v>
      </c>
      <c r="I428" s="18">
        <f>_xll.ciqfunctions.udf.CIQ(InputTicker, "IQ_TOTAL_EMPLOYEES",Input!K$2,Date)</f>
        <v>221000</v>
      </c>
      <c r="J428" s="18">
        <f>_xll.ciqfunctions.udf.CIQ(InputTicker, "IQ_TOTAL_EMPLOYEES",Input!L$2,Date)</f>
        <v>221000</v>
      </c>
      <c r="K428" s="18">
        <f>_xll.ciqfunctions.udf.CIQ(InputTicker, "IQ_TOTAL_EMPLOYEES",Input!M$2,Date)</f>
        <v>228000</v>
      </c>
      <c r="L428" s="18">
        <f>_xll.ciqfunctions.udf.CIQ(InputTicker, "IQ_TOTAL_EMPLOYEES",Input!N$2,Date)</f>
        <v>228000</v>
      </c>
      <c r="M428" s="18">
        <f>_xll.ciqfunctions.udf.CIQ(InputTicker, "IQ_TOTAL_EMPLOYEES",Input!O$2,Date)</f>
        <v>0</v>
      </c>
      <c r="N428" s="53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  <c r="AH428" s="42"/>
      <c r="AI428" s="42"/>
      <c r="AJ428" s="42"/>
      <c r="AK428" s="42"/>
      <c r="AL428" s="42"/>
      <c r="AM428" s="42"/>
      <c r="AN428" s="42"/>
      <c r="AO428" s="42"/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  <c r="BJ428" s="42"/>
      <c r="BK428" s="42"/>
      <c r="BL428" s="42"/>
      <c r="BM428" s="42"/>
      <c r="BN428" s="42"/>
    </row>
    <row r="429" spans="1:66" ht="12.75" customHeight="1" x14ac:dyDescent="0.2">
      <c r="A429" s="1" t="s">
        <v>394</v>
      </c>
      <c r="B429" s="18">
        <f>_xll.ciqfunctions.udf.CIQ(InputTicker, "IQ_EMPLOYEES_UNDER_UNION_CONTRACTS",Input!D$2,Date)</f>
        <v>0</v>
      </c>
      <c r="C429" s="18">
        <f>_xll.ciqfunctions.udf.CIQ(InputTicker, "IQ_EMPLOYEES_UNDER_UNION_CONTRACTS",Input!E$2,Date)</f>
        <v>0</v>
      </c>
      <c r="D429" s="18">
        <f>_xll.ciqfunctions.udf.CIQ(InputTicker, "IQ_EMPLOYEES_UNDER_UNION_CONTRACTS",Input!F$2,Date)</f>
        <v>0</v>
      </c>
      <c r="E429" s="18">
        <f>_xll.ciqfunctions.udf.CIQ(InputTicker, "IQ_EMPLOYEES_UNDER_UNION_CONTRACTS",Input!G$2,Date)</f>
        <v>0</v>
      </c>
      <c r="F429" s="18">
        <f>_xll.ciqfunctions.udf.CIQ(InputTicker, "IQ_EMPLOYEES_UNDER_UNION_CONTRACTS",Input!H$2,Date)</f>
        <v>0</v>
      </c>
      <c r="G429" s="18">
        <f>_xll.ciqfunctions.udf.CIQ(InputTicker, "IQ_EMPLOYEES_UNDER_UNION_CONTRACTS",Input!I$2,Date)</f>
        <v>0</v>
      </c>
      <c r="H429" s="18">
        <f>_xll.ciqfunctions.udf.CIQ(InputTicker, "IQ_EMPLOYEES_UNDER_UNION_CONTRACTS",Input!J$2,Date)</f>
        <v>0</v>
      </c>
      <c r="I429" s="18">
        <f>_xll.ciqfunctions.udf.CIQ(InputTicker, "IQ_EMPLOYEES_UNDER_UNION_CONTRACTS",Input!K$2,Date)</f>
        <v>0</v>
      </c>
      <c r="J429" s="18">
        <f>_xll.ciqfunctions.udf.CIQ(InputTicker, "IQ_EMPLOYEES_UNDER_UNION_CONTRACTS",Input!L$2,Date)</f>
        <v>0</v>
      </c>
      <c r="K429" s="18">
        <f>_xll.ciqfunctions.udf.CIQ(InputTicker, "IQ_EMPLOYEES_UNDER_UNION_CONTRACTS",Input!M$2,Date)</f>
        <v>0</v>
      </c>
      <c r="L429" s="18">
        <f>_xll.ciqfunctions.udf.CIQ(InputTicker, "IQ_EMPLOYEES_UNDER_UNION_CONTRACTS",Input!N$2,Date)</f>
        <v>0</v>
      </c>
      <c r="M429" s="18">
        <f>_xll.ciqfunctions.udf.CIQ(InputTicker, "IQ_EMPLOYEES_UNDER_UNION_CONTRACTS",Input!O$2,Date)</f>
        <v>0</v>
      </c>
      <c r="N429" s="53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  <c r="AH429" s="42"/>
      <c r="AI429" s="42"/>
      <c r="AJ429" s="42"/>
      <c r="AK429" s="42"/>
      <c r="AL429" s="42"/>
      <c r="AM429" s="42"/>
      <c r="AN429" s="42"/>
      <c r="AO429" s="42"/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  <c r="BJ429" s="42"/>
      <c r="BK429" s="42"/>
      <c r="BL429" s="42"/>
      <c r="BM429" s="42"/>
      <c r="BN429" s="42"/>
    </row>
    <row r="430" spans="1:66" ht="12.75" customHeight="1" x14ac:dyDescent="0.2">
      <c r="A430" s="1" t="s">
        <v>371</v>
      </c>
      <c r="B430" s="18">
        <f>_xll.ciqfunctions.udf.CIQ(InputTicker, "IQ_AVG_EMPLOYEES",Input!D$2,Date)</f>
        <v>0</v>
      </c>
      <c r="C430" s="18">
        <f>_xll.ciqfunctions.udf.CIQ(InputTicker, "IQ_AVG_EMPLOYEES",Input!E$2,Date)</f>
        <v>0</v>
      </c>
      <c r="D430" s="18">
        <f>_xll.ciqfunctions.udf.CIQ(InputTicker, "IQ_AVG_EMPLOYEES",Input!F$2,Date)</f>
        <v>0</v>
      </c>
      <c r="E430" s="18">
        <f>_xll.ciqfunctions.udf.CIQ(InputTicker, "IQ_AVG_EMPLOYEES",Input!G$2,Date)</f>
        <v>0</v>
      </c>
      <c r="F430" s="18">
        <f>_xll.ciqfunctions.udf.CIQ(InputTicker, "IQ_AVG_EMPLOYEES",Input!H$2,Date)</f>
        <v>0</v>
      </c>
      <c r="G430" s="18">
        <f>_xll.ciqfunctions.udf.CIQ(InputTicker, "IQ_AVG_EMPLOYEES",Input!I$2,Date)</f>
        <v>0</v>
      </c>
      <c r="H430" s="18">
        <f>_xll.ciqfunctions.udf.CIQ(InputTicker, "IQ_AVG_EMPLOYEES",Input!J$2,Date)</f>
        <v>0</v>
      </c>
      <c r="I430" s="18">
        <f>_xll.ciqfunctions.udf.CIQ(InputTicker, "IQ_AVG_EMPLOYEES",Input!K$2,Date)</f>
        <v>0</v>
      </c>
      <c r="J430" s="18">
        <f>_xll.ciqfunctions.udf.CIQ(InputTicker, "IQ_AVG_EMPLOYEES",Input!L$2,Date)</f>
        <v>0</v>
      </c>
      <c r="K430" s="18">
        <f>_xll.ciqfunctions.udf.CIQ(InputTicker, "IQ_AVG_EMPLOYEES",Input!M$2,Date)</f>
        <v>0</v>
      </c>
      <c r="L430" s="18">
        <f>_xll.ciqfunctions.udf.CIQ(InputTicker, "IQ_AVG_EMPLOYEES",Input!N$2,Date)</f>
        <v>0</v>
      </c>
      <c r="M430" s="18">
        <f>_xll.ciqfunctions.udf.CIQ(InputTicker, "IQ_AVG_EMPLOYEES",Input!O$2,Date)</f>
        <v>0</v>
      </c>
      <c r="N430" s="53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  <c r="AH430" s="42"/>
      <c r="AI430" s="42"/>
      <c r="AJ430" s="42"/>
      <c r="AK430" s="42"/>
      <c r="AL430" s="42"/>
      <c r="AM430" s="42"/>
      <c r="AN430" s="42"/>
      <c r="AO430" s="42"/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  <c r="BJ430" s="42"/>
      <c r="BK430" s="42"/>
      <c r="BL430" s="42"/>
      <c r="BM430" s="42"/>
      <c r="BN430" s="42"/>
    </row>
    <row r="431" spans="1:66" ht="12.75" customHeight="1" x14ac:dyDescent="0.2">
      <c r="A431" s="1" t="s">
        <v>372</v>
      </c>
      <c r="B431" s="18">
        <f>_xll.ciqfunctions.udf.CIQ(InputTicker, "IQ_AVG_TEMP_EMPLOYEES",Input!D$2,Date)</f>
        <v>0</v>
      </c>
      <c r="C431" s="18">
        <f>_xll.ciqfunctions.udf.CIQ(InputTicker, "IQ_AVG_TEMP_EMPLOYEES",Input!E$2,Date)</f>
        <v>0</v>
      </c>
      <c r="D431" s="18">
        <f>_xll.ciqfunctions.udf.CIQ(InputTicker, "IQ_AVG_TEMP_EMPLOYEES",Input!F$2,Date)</f>
        <v>0</v>
      </c>
      <c r="E431" s="18">
        <f>_xll.ciqfunctions.udf.CIQ(InputTicker, "IQ_AVG_TEMP_EMPLOYEES",Input!G$2,Date)</f>
        <v>0</v>
      </c>
      <c r="F431" s="18">
        <f>_xll.ciqfunctions.udf.CIQ(InputTicker, "IQ_AVG_TEMP_EMPLOYEES",Input!H$2,Date)</f>
        <v>0</v>
      </c>
      <c r="G431" s="18">
        <f>_xll.ciqfunctions.udf.CIQ(InputTicker, "IQ_AVG_TEMP_EMPLOYEES",Input!I$2,Date)</f>
        <v>0</v>
      </c>
      <c r="H431" s="18">
        <f>_xll.ciqfunctions.udf.CIQ(InputTicker, "IQ_AVG_TEMP_EMPLOYEES",Input!J$2,Date)</f>
        <v>0</v>
      </c>
      <c r="I431" s="18">
        <f>_xll.ciqfunctions.udf.CIQ(InputTicker, "IQ_AVG_TEMP_EMPLOYEES",Input!K$2,Date)</f>
        <v>0</v>
      </c>
      <c r="J431" s="18">
        <f>_xll.ciqfunctions.udf.CIQ(InputTicker, "IQ_AVG_TEMP_EMPLOYEES",Input!L$2,Date)</f>
        <v>0</v>
      </c>
      <c r="K431" s="18">
        <f>_xll.ciqfunctions.udf.CIQ(InputTicker, "IQ_AVG_TEMP_EMPLOYEES",Input!M$2,Date)</f>
        <v>0</v>
      </c>
      <c r="L431" s="18">
        <f>_xll.ciqfunctions.udf.CIQ(InputTicker, "IQ_AVG_TEMP_EMPLOYEES",Input!N$2,Date)</f>
        <v>0</v>
      </c>
      <c r="M431" s="18">
        <f>_xll.ciqfunctions.udf.CIQ(InputTicker, "IQ_AVG_TEMP_EMPLOYEES",Input!O$2,Date)</f>
        <v>0</v>
      </c>
      <c r="N431" s="53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  <c r="BJ431" s="42"/>
      <c r="BK431" s="42"/>
      <c r="BL431" s="42"/>
      <c r="BM431" s="42"/>
      <c r="BN431" s="42"/>
    </row>
    <row r="432" spans="1:66" ht="12.75" customHeight="1" x14ac:dyDescent="0.2">
      <c r="A432" s="1" t="s">
        <v>502</v>
      </c>
      <c r="B432" s="18">
        <f>_xll.ciqfunctions.udf.CIQ(InputTicker, "IQ_NUMBER_ADRHOLDERS",Input!D$2,Date)</f>
        <v>0</v>
      </c>
      <c r="C432" s="18">
        <f>_xll.ciqfunctions.udf.CIQ(InputTicker, "IQ_NUMBER_ADRHOLDERS",Input!E$2,Date)</f>
        <v>0</v>
      </c>
      <c r="D432" s="18">
        <f>_xll.ciqfunctions.udf.CIQ(InputTicker, "IQ_NUMBER_ADRHOLDERS",Input!F$2,Date)</f>
        <v>0</v>
      </c>
      <c r="E432" s="18">
        <f>_xll.ciqfunctions.udf.CIQ(InputTicker, "IQ_NUMBER_ADRHOLDERS",Input!G$2,Date)</f>
        <v>0</v>
      </c>
      <c r="F432" s="18">
        <f>_xll.ciqfunctions.udf.CIQ(InputTicker, "IQ_NUMBER_ADRHOLDERS",Input!H$2,Date)</f>
        <v>0</v>
      </c>
      <c r="G432" s="18">
        <f>_xll.ciqfunctions.udf.CIQ(InputTicker, "IQ_NUMBER_ADRHOLDERS",Input!I$2,Date)</f>
        <v>0</v>
      </c>
      <c r="H432" s="18">
        <f>_xll.ciqfunctions.udf.CIQ(InputTicker, "IQ_NUMBER_ADRHOLDERS",Input!J$2,Date)</f>
        <v>0</v>
      </c>
      <c r="I432" s="18">
        <f>_xll.ciqfunctions.udf.CIQ(InputTicker, "IQ_NUMBER_ADRHOLDERS",Input!K$2,Date)</f>
        <v>0</v>
      </c>
      <c r="J432" s="18">
        <f>_xll.ciqfunctions.udf.CIQ(InputTicker, "IQ_NUMBER_ADRHOLDERS",Input!L$2,Date)</f>
        <v>0</v>
      </c>
      <c r="K432" s="18">
        <f>_xll.ciqfunctions.udf.CIQ(InputTicker, "IQ_NUMBER_ADRHOLDERS",Input!M$2,Date)</f>
        <v>0</v>
      </c>
      <c r="L432" s="18">
        <f>_xll.ciqfunctions.udf.CIQ(InputTicker, "IQ_NUMBER_ADRHOLDERS",Input!N$2,Date)</f>
        <v>0</v>
      </c>
      <c r="M432" s="18">
        <f>_xll.ciqfunctions.udf.CIQ(InputTicker, "IQ_NUMBER_ADRHOLDERS",Input!O$2,Date)</f>
        <v>0</v>
      </c>
      <c r="N432" s="53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  <c r="AH432" s="42"/>
      <c r="AI432" s="42"/>
      <c r="AJ432" s="42"/>
      <c r="AK432" s="42"/>
      <c r="AL432" s="42"/>
      <c r="AM432" s="42"/>
      <c r="AN432" s="42"/>
      <c r="AO432" s="42"/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  <c r="BJ432" s="42"/>
      <c r="BK432" s="42"/>
      <c r="BL432" s="42"/>
      <c r="BM432" s="42"/>
      <c r="BN432" s="42"/>
    </row>
    <row r="433" spans="1:66" ht="12.75" customHeight="1" x14ac:dyDescent="0.2">
      <c r="A433" s="1" t="s">
        <v>360</v>
      </c>
      <c r="B433" s="4">
        <f>_xll.ciqfunctions.udf.CIQ(InputTicker, "IQ_FIN_DIV_LT_DEBT_TOTAL",Input!D$2,Date,,,Ccy,Conv)</f>
        <v>0</v>
      </c>
      <c r="C433" s="4">
        <f>_xll.ciqfunctions.udf.CIQ(InputTicker, "IQ_FIN_DIV_LT_DEBT_TOTAL",Input!E$2,Date,,,Ccy,Conv)</f>
        <v>0</v>
      </c>
      <c r="D433" s="4">
        <f>_xll.ciqfunctions.udf.CIQ(InputTicker, "IQ_FIN_DIV_LT_DEBT_TOTAL",Input!F$2,Date,,,Ccy,Conv)</f>
        <v>0</v>
      </c>
      <c r="E433" s="4">
        <f>_xll.ciqfunctions.udf.CIQ(InputTicker, "IQ_FIN_DIV_LT_DEBT_TOTAL",Input!G$2,Date,,,Ccy,Conv)</f>
        <v>0</v>
      </c>
      <c r="F433" s="4">
        <f>_xll.ciqfunctions.udf.CIQ(InputTicker, "IQ_FIN_DIV_LT_DEBT_TOTAL",Input!H$2,Date,,,Ccy,Conv)</f>
        <v>0</v>
      </c>
      <c r="G433" s="4">
        <f>_xll.ciqfunctions.udf.CIQ(InputTicker, "IQ_FIN_DIV_LT_DEBT_TOTAL",Input!I$2,Date,,,Ccy,Conv)</f>
        <v>0</v>
      </c>
      <c r="H433" s="4">
        <f>_xll.ciqfunctions.udf.CIQ(InputTicker, "IQ_FIN_DIV_LT_DEBT_TOTAL",Input!J$2,Date,,,Ccy,Conv)</f>
        <v>0</v>
      </c>
      <c r="I433" s="4">
        <f>_xll.ciqfunctions.udf.CIQ(InputTicker, "IQ_FIN_DIV_LT_DEBT_TOTAL",Input!K$2,Date,,,Ccy,Conv)</f>
        <v>0</v>
      </c>
      <c r="J433" s="4">
        <f>_xll.ciqfunctions.udf.CIQ(InputTicker, "IQ_FIN_DIV_LT_DEBT_TOTAL",Input!L$2,Date,,,Ccy,Conv)</f>
        <v>0</v>
      </c>
      <c r="K433" s="4">
        <f>_xll.ciqfunctions.udf.CIQ(InputTicker, "IQ_FIN_DIV_LT_DEBT_TOTAL",Input!M$2,Date,,,Ccy,Conv)</f>
        <v>0</v>
      </c>
      <c r="L433" s="4">
        <f>_xll.ciqfunctions.udf.CIQ(InputTicker, "IQ_FIN_DIV_LT_DEBT_TOTAL",Input!N$2,Date,,,Ccy,Conv)</f>
        <v>0</v>
      </c>
      <c r="M433" s="4">
        <f>_xll.ciqfunctions.udf.CIQ(InputTicker, "IQ_FIN_DIV_LT_DEBT_TOTAL",Input!O$2,Date,,,Ccy,Conv)</f>
        <v>0</v>
      </c>
      <c r="N433" s="53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  <c r="AH433" s="42"/>
      <c r="AI433" s="42"/>
      <c r="AJ433" s="42"/>
      <c r="AK433" s="42"/>
      <c r="AL433" s="42"/>
      <c r="AM433" s="42"/>
      <c r="AN433" s="42"/>
      <c r="AO433" s="42"/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  <c r="BJ433" s="42"/>
      <c r="BK433" s="42"/>
      <c r="BL433" s="42"/>
      <c r="BM433" s="42"/>
      <c r="BN433" s="42"/>
    </row>
    <row r="434" spans="1:66" ht="12.75" customHeight="1" x14ac:dyDescent="0.2">
      <c r="A434" s="1" t="s">
        <v>361</v>
      </c>
      <c r="B434" s="4">
        <f>_xll.ciqfunctions.udf.CIQ(InputTicker,"IQ_FIN_DIV_ST_DEBT_TOTAL",Input!D$2,Date,,,Ccy,Conv)</f>
        <v>0</v>
      </c>
      <c r="C434" s="4">
        <f>_xll.ciqfunctions.udf.CIQ(InputTicker,"IQ_FIN_DIV_ST_DEBT_TOTAL",Input!E$2,Date,,,Ccy,Conv)</f>
        <v>0</v>
      </c>
      <c r="D434" s="4">
        <f>_xll.ciqfunctions.udf.CIQ(InputTicker,"IQ_FIN_DIV_ST_DEBT_TOTAL",Input!F$2,Date,,,Ccy,Conv)</f>
        <v>0</v>
      </c>
      <c r="E434" s="4">
        <f>_xll.ciqfunctions.udf.CIQ(InputTicker,"IQ_FIN_DIV_ST_DEBT_TOTAL",Input!G$2,Date,,,Ccy,Conv)</f>
        <v>0</v>
      </c>
      <c r="F434" s="4">
        <f>_xll.ciqfunctions.udf.CIQ(InputTicker,"IQ_FIN_DIV_ST_DEBT_TOTAL",Input!H$2,Date,,,Ccy,Conv)</f>
        <v>0</v>
      </c>
      <c r="G434" s="4">
        <f>_xll.ciqfunctions.udf.CIQ(InputTicker,"IQ_FIN_DIV_ST_DEBT_TOTAL",Input!I$2,Date,,,Ccy,Conv)</f>
        <v>0</v>
      </c>
      <c r="H434" s="4">
        <f>_xll.ciqfunctions.udf.CIQ(InputTicker,"IQ_FIN_DIV_ST_DEBT_TOTAL",Input!J$2,Date,,,Ccy,Conv)</f>
        <v>0</v>
      </c>
      <c r="I434" s="4">
        <f>_xll.ciqfunctions.udf.CIQ(InputTicker,"IQ_FIN_DIV_ST_DEBT_TOTAL",Input!K$2,Date,,,Ccy,Conv)</f>
        <v>0</v>
      </c>
      <c r="J434" s="4">
        <f>_xll.ciqfunctions.udf.CIQ(InputTicker,"IQ_FIN_DIV_ST_DEBT_TOTAL",Input!L$2,Date,,,Ccy,Conv)</f>
        <v>0</v>
      </c>
      <c r="K434" s="4">
        <f>_xll.ciqfunctions.udf.CIQ(InputTicker,"IQ_FIN_DIV_ST_DEBT_TOTAL",Input!M$2,Date,,,Ccy,Conv)</f>
        <v>0</v>
      </c>
      <c r="L434" s="4">
        <f>_xll.ciqfunctions.udf.CIQ(InputTicker,"IQ_FIN_DIV_ST_DEBT_TOTAL",Input!N$2,Date,,,Ccy,Conv)</f>
        <v>0</v>
      </c>
      <c r="M434" s="4">
        <f>_xll.ciqfunctions.udf.CIQ(InputTicker,"IQ_FIN_DIV_ST_DEBT_TOTAL",Input!O$2,Date,,,Ccy,Conv)</f>
        <v>0</v>
      </c>
      <c r="N434" s="53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  <c r="AH434" s="42"/>
      <c r="AI434" s="42"/>
      <c r="AJ434" s="42"/>
      <c r="AK434" s="42"/>
      <c r="AL434" s="42"/>
      <c r="AM434" s="42"/>
      <c r="AN434" s="42"/>
      <c r="AO434" s="42"/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  <c r="BJ434" s="42"/>
      <c r="BK434" s="42"/>
      <c r="BL434" s="42"/>
      <c r="BM434" s="42"/>
      <c r="BN434" s="42"/>
    </row>
    <row r="435" spans="1:66" ht="12.75" customHeight="1" x14ac:dyDescent="0.2">
      <c r="A435" s="1" t="s">
        <v>375</v>
      </c>
      <c r="B435" s="4">
        <f>_xll.ciqfunctions.udf.CIQ(InputTicker,"IQ_FIN_DIV_DEBT_TOTAL",Input!D$2,Date,,,Ccy,Conv)</f>
        <v>0</v>
      </c>
      <c r="C435" s="4">
        <f>_xll.ciqfunctions.udf.CIQ(InputTicker,"IQ_FIN_DIV_DEBT_TOTAL",Input!E$2,Date,,,Ccy,Conv)</f>
        <v>0</v>
      </c>
      <c r="D435" s="4">
        <f>_xll.ciqfunctions.udf.CIQ(InputTicker,"IQ_FIN_DIV_DEBT_TOTAL",Input!F$2,Date,,,Ccy,Conv)</f>
        <v>0</v>
      </c>
      <c r="E435" s="4">
        <f>_xll.ciqfunctions.udf.CIQ(InputTicker,"IQ_FIN_DIV_DEBT_TOTAL",Input!G$2,Date,,,Ccy,Conv)</f>
        <v>0</v>
      </c>
      <c r="F435" s="4">
        <f>_xll.ciqfunctions.udf.CIQ(InputTicker,"IQ_FIN_DIV_DEBT_TOTAL",Input!H$2,Date,,,Ccy,Conv)</f>
        <v>0</v>
      </c>
      <c r="G435" s="4">
        <f>_xll.ciqfunctions.udf.CIQ(InputTicker,"IQ_FIN_DIV_DEBT_TOTAL",Input!I$2,Date,,,Ccy,Conv)</f>
        <v>0</v>
      </c>
      <c r="H435" s="4">
        <f>_xll.ciqfunctions.udf.CIQ(InputTicker,"IQ_FIN_DIV_DEBT_TOTAL",Input!J$2,Date,,,Ccy,Conv)</f>
        <v>0</v>
      </c>
      <c r="I435" s="4">
        <f>_xll.ciqfunctions.udf.CIQ(InputTicker,"IQ_FIN_DIV_DEBT_TOTAL",Input!K$2,Date,,,Ccy,Conv)</f>
        <v>0</v>
      </c>
      <c r="J435" s="4">
        <f>_xll.ciqfunctions.udf.CIQ(InputTicker,"IQ_FIN_DIV_DEBT_TOTAL",Input!L$2,Date,,,Ccy,Conv)</f>
        <v>0</v>
      </c>
      <c r="K435" s="4">
        <f>_xll.ciqfunctions.udf.CIQ(InputTicker,"IQ_FIN_DIV_DEBT_TOTAL",Input!M$2,Date,,,Ccy,Conv)</f>
        <v>0</v>
      </c>
      <c r="L435" s="4">
        <f>_xll.ciqfunctions.udf.CIQ(InputTicker,"IQ_FIN_DIV_DEBT_TOTAL",Input!N$2,Date,,,Ccy,Conv)</f>
        <v>0</v>
      </c>
      <c r="M435" s="4">
        <f>_xll.ciqfunctions.udf.CIQ(InputTicker,"IQ_FIN_DIV_DEBT_TOTAL",Input!O$2,Date,,,Ccy,Conv)</f>
        <v>0</v>
      </c>
      <c r="N435" s="53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  <c r="BJ435" s="42"/>
      <c r="BK435" s="42"/>
      <c r="BL435" s="42"/>
      <c r="BM435" s="42"/>
      <c r="BN435" s="42"/>
    </row>
    <row r="436" spans="1:66" ht="12.75" customHeight="1" x14ac:dyDescent="0.2">
      <c r="A436" s="1" t="s">
        <v>379</v>
      </c>
      <c r="B436" s="4">
        <f>_xll.ciqfunctions.udf.CIQ(InputTicker, "IQ_FIN_DIV_CASH_EQUIV",Input!D$2,Date,,,Ccy,Conv)</f>
        <v>0</v>
      </c>
      <c r="C436" s="4">
        <f>_xll.ciqfunctions.udf.CIQ(InputTicker, "IQ_FIN_DIV_CASH_EQUIV",Input!E$2,Date,,,Ccy,Conv)</f>
        <v>0</v>
      </c>
      <c r="D436" s="4">
        <f>_xll.ciqfunctions.udf.CIQ(InputTicker, "IQ_FIN_DIV_CASH_EQUIV",Input!F$2,Date,,,Ccy,Conv)</f>
        <v>0</v>
      </c>
      <c r="E436" s="4">
        <f>_xll.ciqfunctions.udf.CIQ(InputTicker, "IQ_FIN_DIV_CASH_EQUIV",Input!G$2,Date,,,Ccy,Conv)</f>
        <v>0</v>
      </c>
      <c r="F436" s="4">
        <f>_xll.ciqfunctions.udf.CIQ(InputTicker, "IQ_FIN_DIV_CASH_EQUIV",Input!H$2,Date,,,Ccy,Conv)</f>
        <v>0</v>
      </c>
      <c r="G436" s="4">
        <f>_xll.ciqfunctions.udf.CIQ(InputTicker, "IQ_FIN_DIV_CASH_EQUIV",Input!I$2,Date,,,Ccy,Conv)</f>
        <v>0</v>
      </c>
      <c r="H436" s="4">
        <f>_xll.ciqfunctions.udf.CIQ(InputTicker, "IQ_FIN_DIV_CASH_EQUIV",Input!J$2,Date,,,Ccy,Conv)</f>
        <v>0</v>
      </c>
      <c r="I436" s="4">
        <f>_xll.ciqfunctions.udf.CIQ(InputTicker, "IQ_FIN_DIV_CASH_EQUIV",Input!K$2,Date,,,Ccy,Conv)</f>
        <v>0</v>
      </c>
      <c r="J436" s="4">
        <f>_xll.ciqfunctions.udf.CIQ(InputTicker, "IQ_FIN_DIV_CASH_EQUIV",Input!L$2,Date,,,Ccy,Conv)</f>
        <v>0</v>
      </c>
      <c r="K436" s="4">
        <f>_xll.ciqfunctions.udf.CIQ(InputTicker, "IQ_FIN_DIV_CASH_EQUIV",Input!M$2,Date,,,Ccy,Conv)</f>
        <v>0</v>
      </c>
      <c r="L436" s="4">
        <f>_xll.ciqfunctions.udf.CIQ(InputTicker, "IQ_FIN_DIV_CASH_EQUIV",Input!N$2,Date,,,Ccy,Conv)</f>
        <v>0</v>
      </c>
      <c r="M436" s="4">
        <f>_xll.ciqfunctions.udf.CIQ(InputTicker, "IQ_FIN_DIV_CASH_EQUIV",Input!O$2,Date,,,Ccy,Conv)</f>
        <v>0</v>
      </c>
      <c r="N436" s="53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  <c r="AH436" s="42"/>
      <c r="AI436" s="42"/>
      <c r="AJ436" s="42"/>
      <c r="AK436" s="42"/>
      <c r="AL436" s="42"/>
      <c r="AM436" s="42"/>
      <c r="AN436" s="42"/>
      <c r="AO436" s="42"/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  <c r="BJ436" s="42"/>
      <c r="BK436" s="42"/>
      <c r="BL436" s="42"/>
      <c r="BM436" s="42"/>
      <c r="BN436" s="42"/>
    </row>
    <row r="437" spans="1:66" ht="12.75" customHeight="1" x14ac:dyDescent="0.2">
      <c r="A437" s="1" t="s">
        <v>380</v>
      </c>
      <c r="B437" s="4">
        <f>_xll.ciqfunctions.udf.CIQ(InputTicker, "IQ_FIN_DIV_ST_INVEST",Input!D$2,Date,,,Ccy,Conv)</f>
        <v>0</v>
      </c>
      <c r="C437" s="4">
        <f>_xll.ciqfunctions.udf.CIQ(InputTicker, "IQ_FIN_DIV_ST_INVEST",Input!E$2,Date,,,Ccy,Conv)</f>
        <v>0</v>
      </c>
      <c r="D437" s="4">
        <f>_xll.ciqfunctions.udf.CIQ(InputTicker, "IQ_FIN_DIV_ST_INVEST",Input!F$2,Date,,,Ccy,Conv)</f>
        <v>0</v>
      </c>
      <c r="E437" s="4">
        <f>_xll.ciqfunctions.udf.CIQ(InputTicker, "IQ_FIN_DIV_ST_INVEST",Input!G$2,Date,,,Ccy,Conv)</f>
        <v>0</v>
      </c>
      <c r="F437" s="4">
        <f>_xll.ciqfunctions.udf.CIQ(InputTicker, "IQ_FIN_DIV_ST_INVEST",Input!H$2,Date,,,Ccy,Conv)</f>
        <v>0</v>
      </c>
      <c r="G437" s="4">
        <f>_xll.ciqfunctions.udf.CIQ(InputTicker, "IQ_FIN_DIV_ST_INVEST",Input!I$2,Date,,,Ccy,Conv)</f>
        <v>0</v>
      </c>
      <c r="H437" s="4">
        <f>_xll.ciqfunctions.udf.CIQ(InputTicker, "IQ_FIN_DIV_ST_INVEST",Input!J$2,Date,,,Ccy,Conv)</f>
        <v>0</v>
      </c>
      <c r="I437" s="4">
        <f>_xll.ciqfunctions.udf.CIQ(InputTicker, "IQ_FIN_DIV_ST_INVEST",Input!K$2,Date,,,Ccy,Conv)</f>
        <v>0</v>
      </c>
      <c r="J437" s="4">
        <f>_xll.ciqfunctions.udf.CIQ(InputTicker, "IQ_FIN_DIV_ST_INVEST",Input!L$2,Date,,,Ccy,Conv)</f>
        <v>0</v>
      </c>
      <c r="K437" s="4">
        <f>_xll.ciqfunctions.udf.CIQ(InputTicker, "IQ_FIN_DIV_ST_INVEST",Input!M$2,Date,,,Ccy,Conv)</f>
        <v>0</v>
      </c>
      <c r="L437" s="4">
        <f>_xll.ciqfunctions.udf.CIQ(InputTicker, "IQ_FIN_DIV_ST_INVEST",Input!N$2,Date,,,Ccy,Conv)</f>
        <v>0</v>
      </c>
      <c r="M437" s="4">
        <f>_xll.ciqfunctions.udf.CIQ(InputTicker, "IQ_FIN_DIV_ST_INVEST",Input!O$2,Date,,,Ccy,Conv)</f>
        <v>0</v>
      </c>
      <c r="N437" s="53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  <c r="BJ437" s="42"/>
      <c r="BK437" s="42"/>
      <c r="BL437" s="42"/>
      <c r="BM437" s="42"/>
      <c r="BN437" s="42"/>
    </row>
    <row r="438" spans="1:66" ht="12.75" customHeight="1" x14ac:dyDescent="0.2">
      <c r="A438" s="1" t="s">
        <v>503</v>
      </c>
      <c r="B438" s="4">
        <f>_xll.ciqfunctions.udf.CIQ(InputTicker, "IQ_DEBT_EQUIV_NET_PBO",Input!D$2,Date,,,Ccy,Conv)</f>
        <v>0</v>
      </c>
      <c r="C438" s="4">
        <f>_xll.ciqfunctions.udf.CIQ(InputTicker, "IQ_DEBT_EQUIV_NET_PBO",Input!E$2,Date,,,Ccy,Conv)</f>
        <v>0</v>
      </c>
      <c r="D438" s="4">
        <f>_xll.ciqfunctions.udf.CIQ(InputTicker, "IQ_DEBT_EQUIV_NET_PBO",Input!F$2,Date,,,Ccy,Conv)</f>
        <v>0</v>
      </c>
      <c r="E438" s="4">
        <f>_xll.ciqfunctions.udf.CIQ(InputTicker, "IQ_DEBT_EQUIV_NET_PBO",Input!G$2,Date,,,Ccy,Conv)</f>
        <v>0</v>
      </c>
      <c r="F438" s="4">
        <f>_xll.ciqfunctions.udf.CIQ(InputTicker, "IQ_DEBT_EQUIV_NET_PBO",Input!H$2,Date,,,Ccy,Conv)</f>
        <v>0</v>
      </c>
      <c r="G438" s="4">
        <f>_xll.ciqfunctions.udf.CIQ(InputTicker, "IQ_DEBT_EQUIV_NET_PBO",Input!I$2,Date,,,Ccy,Conv)</f>
        <v>0</v>
      </c>
      <c r="H438" s="4">
        <f>_xll.ciqfunctions.udf.CIQ(InputTicker, "IQ_DEBT_EQUIV_NET_PBO",Input!J$2,Date,,,Ccy,Conv)</f>
        <v>0</v>
      </c>
      <c r="I438" s="4">
        <f>_xll.ciqfunctions.udf.CIQ(InputTicker, "IQ_DEBT_EQUIV_NET_PBO",Input!K$2,Date,,,Ccy,Conv)</f>
        <v>0</v>
      </c>
      <c r="J438" s="4">
        <f>_xll.ciqfunctions.udf.CIQ(InputTicker, "IQ_DEBT_EQUIV_NET_PBO",Input!L$2,Date,,,Ccy,Conv)</f>
        <v>0</v>
      </c>
      <c r="K438" s="4">
        <f>_xll.ciqfunctions.udf.CIQ(InputTicker, "IQ_DEBT_EQUIV_NET_PBO",Input!M$2,Date,,,Ccy,Conv)</f>
        <v>0</v>
      </c>
      <c r="L438" s="4">
        <f>_xll.ciqfunctions.udf.CIQ(InputTicker, "IQ_DEBT_EQUIV_NET_PBO",Input!N$2,Date,,,Ccy,Conv)</f>
        <v>0</v>
      </c>
      <c r="M438" s="4">
        <f>_xll.ciqfunctions.udf.CIQ(InputTicker, "IQ_DEBT_EQUIV_NET_PBO",Input!O$2,Date,,,Ccy,Conv)</f>
        <v>0</v>
      </c>
      <c r="N438" s="53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  <c r="BJ438" s="42"/>
      <c r="BK438" s="42"/>
      <c r="BL438" s="42"/>
      <c r="BM438" s="42"/>
      <c r="BN438" s="42"/>
    </row>
    <row r="439" spans="1:66" ht="12.75" customHeight="1" x14ac:dyDescent="0.2">
      <c r="A439" s="1" t="s">
        <v>504</v>
      </c>
      <c r="B439" s="4">
        <f>_xll.ciqfunctions.udf.CIQ(InputTicker, "IQ_DEBT_EQUIV_OPER_LEASE",Input!D$2,Date,,,Ccy,Conv)</f>
        <v>7912</v>
      </c>
      <c r="C439" s="4">
        <f>_xll.ciqfunctions.udf.CIQ(InputTicker, "IQ_DEBT_EQUIV_OPER_LEASE",Input!E$2,Date,,,Ccy,Conv)</f>
        <v>7488</v>
      </c>
      <c r="D439" s="4">
        <f>_xll.ciqfunctions.udf.CIQ(InputTicker, "IQ_DEBT_EQUIV_OPER_LEASE",Input!F$2,Date,,,Ccy,Conv)</f>
        <v>11296</v>
      </c>
      <c r="E439" s="4">
        <f>_xll.ciqfunctions.udf.CIQ(InputTicker, "IQ_DEBT_EQUIV_OPER_LEASE",Input!G$2,Date,,,Ccy,Conv)</f>
        <v>12680</v>
      </c>
      <c r="F439" s="4">
        <f>_xll.ciqfunctions.udf.CIQ(InputTicker, "IQ_DEBT_EQUIV_OPER_LEASE",Input!H$2,Date,,,Ccy,Conv)</f>
        <v>13656</v>
      </c>
      <c r="G439" s="4">
        <f>_xll.ciqfunctions.udf.CIQ(InputTicker, "IQ_DEBT_EQUIV_OPER_LEASE",Input!I$2,Date,,,Ccy,Conv)</f>
        <v>16344</v>
      </c>
      <c r="H439" s="4">
        <f>_xll.ciqfunctions.udf.CIQ(InputTicker, "IQ_DEBT_EQUIV_OPER_LEASE",Input!J$2,Date,,,Ccy,Conv)</f>
        <v>17016</v>
      </c>
      <c r="I439" s="4">
        <f>_xll.ciqfunctions.udf.CIQ(InputTicker, "IQ_DEBT_EQUIV_OPER_LEASE",Input!K$2,Date,,,Ccy,Conv)</f>
        <v>19688</v>
      </c>
      <c r="J439" s="4">
        <f>_xll.ciqfunctions.udf.CIQ(InputTicker, "IQ_DEBT_EQUIV_OPER_LEASE",Input!L$2,Date,,,Ccy,Conv)</f>
        <v>23000</v>
      </c>
      <c r="K439" s="4">
        <f>_xll.ciqfunctions.udf.CIQ(InputTicker, "IQ_DEBT_EQUIV_OPER_LEASE",Input!M$2,Date,,,Ccy,Conv)</f>
        <v>28440</v>
      </c>
      <c r="L439" s="4">
        <f>_xll.ciqfunctions.udf.CIQ(InputTicker, "IQ_DEBT_EQUIV_OPER_LEASE",Input!N$2,Date,,,Ccy,Conv)</f>
        <v>44192</v>
      </c>
      <c r="M439" s="4">
        <f>_xll.ciqfunctions.udf.CIQ(InputTicker, "IQ_DEBT_EQUIV_OPER_LEASE",Input!O$2,Date,,,Ccy,Conv)</f>
        <v>0</v>
      </c>
      <c r="N439" s="53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  <c r="AH439" s="42"/>
      <c r="AI439" s="42"/>
      <c r="AJ439" s="42"/>
      <c r="AK439" s="42"/>
      <c r="AL439" s="42"/>
      <c r="AM439" s="42"/>
      <c r="AN439" s="42"/>
      <c r="AO439" s="42"/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  <c r="BJ439" s="42"/>
      <c r="BK439" s="42"/>
      <c r="BL439" s="42"/>
      <c r="BM439" s="42"/>
      <c r="BN439" s="42"/>
    </row>
    <row r="440" spans="1:66" ht="12.75" customHeight="1" x14ac:dyDescent="0.2">
      <c r="A440" s="1" t="s">
        <v>362</v>
      </c>
      <c r="B440" s="4">
        <f>_xll.ciqfunctions.udf.CIQ(InputTicker,"IQ_COST_BORROWING",Input!D$2,Date)</f>
        <v>2.7513999999999998</v>
      </c>
      <c r="C440" s="4">
        <f>_xll.ciqfunctions.udf.CIQ(InputTicker,"IQ_COST_BORROWING",Input!E$2,Date)</f>
        <v>2.8935</v>
      </c>
      <c r="D440" s="4">
        <f>_xll.ciqfunctions.udf.CIQ(InputTicker,"IQ_COST_BORROWING",Input!F$2,Date)</f>
        <v>2.9613</v>
      </c>
      <c r="E440" s="4">
        <f>_xll.ciqfunctions.udf.CIQ(InputTicker,"IQ_COST_BORROWING",Input!G$2,Date)</f>
        <v>2.9863</v>
      </c>
      <c r="F440" s="4">
        <f>_xll.ciqfunctions.udf.CIQ(InputTicker,"IQ_COST_BORROWING",Input!H$2,Date)</f>
        <v>3.0880000000000001</v>
      </c>
      <c r="G440" s="4">
        <f>_xll.ciqfunctions.udf.CIQ(InputTicker,"IQ_COST_BORROWING",Input!I$2,Date)</f>
        <v>3.0741000000000001</v>
      </c>
      <c r="H440" s="4">
        <f>_xll.ciqfunctions.udf.CIQ(InputTicker,"IQ_COST_BORROWING",Input!J$2,Date)</f>
        <v>2.8347000000000002</v>
      </c>
      <c r="I440" s="4">
        <f>_xll.ciqfunctions.udf.CIQ(InputTicker,"IQ_COST_BORROWING",Input!K$2,Date)</f>
        <v>2.5478999999999998</v>
      </c>
      <c r="J440" s="4">
        <f>_xll.ciqfunctions.udf.CIQ(InputTicker,"IQ_COST_BORROWING",Input!L$2,Date)</f>
        <v>2.5278</v>
      </c>
      <c r="K440" s="4">
        <f>_xll.ciqfunctions.udf.CIQ(InputTicker,"IQ_COST_BORROWING",Input!M$2,Date)</f>
        <v>3.3650000000000002</v>
      </c>
      <c r="L440" s="4">
        <f>_xll.ciqfunctions.udf.CIQ(InputTicker,"IQ_COST_BORROWING",Input!N$2,Date)</f>
        <v>2.3090999999999999</v>
      </c>
      <c r="M440" s="4">
        <f>_xll.ciqfunctions.udf.CIQ(InputTicker,"IQ_COST_BORROWING",Input!O$2,Date)</f>
        <v>2.4811999999999999</v>
      </c>
      <c r="N440" s="53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  <c r="AH440" s="42"/>
      <c r="AI440" s="42"/>
      <c r="AJ440" s="42"/>
      <c r="AK440" s="42"/>
      <c r="AL440" s="42"/>
      <c r="AM440" s="42"/>
      <c r="AN440" s="42"/>
      <c r="AO440" s="42"/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  <c r="BJ440" s="42"/>
      <c r="BK440" s="42"/>
      <c r="BL440" s="42"/>
      <c r="BM440" s="42"/>
      <c r="BN440" s="42"/>
    </row>
    <row r="441" spans="1:66" ht="12.75" customHeight="1" x14ac:dyDescent="0.2">
      <c r="A441" s="1" t="s">
        <v>378</v>
      </c>
      <c r="B441" s="4">
        <f>_xll.ciqfunctions.udf.CIQ(InputTicker,"IQ_RESTRICTED_CASH_NON_CURRENT",Input!D$2,Date,,,Ccy,Conv)</f>
        <v>0</v>
      </c>
      <c r="C441" s="4">
        <f>_xll.ciqfunctions.udf.CIQ(InputTicker,"IQ_RESTRICTED_CASH_NON_CURRENT",Input!E$2,Date,,,Ccy,Conv)</f>
        <v>0</v>
      </c>
      <c r="D441" s="4">
        <f>_xll.ciqfunctions.udf.CIQ(InputTicker,"IQ_RESTRICTED_CASH_NON_CURRENT",Input!F$2,Date,,,Ccy,Conv)</f>
        <v>0</v>
      </c>
      <c r="E441" s="4">
        <f>_xll.ciqfunctions.udf.CIQ(InputTicker,"IQ_RESTRICTED_CASH_NON_CURRENT",Input!G$2,Date,,,Ccy,Conv)</f>
        <v>0</v>
      </c>
      <c r="F441" s="4">
        <f>_xll.ciqfunctions.udf.CIQ(InputTicker,"IQ_RESTRICTED_CASH_NON_CURRENT",Input!H$2,Date,,,Ccy,Conv)</f>
        <v>0</v>
      </c>
      <c r="G441" s="4">
        <f>_xll.ciqfunctions.udf.CIQ(InputTicker,"IQ_RESTRICTED_CASH_NON_CURRENT",Input!I$2,Date,,,Ccy,Conv)</f>
        <v>0</v>
      </c>
      <c r="H441" s="4">
        <f>_xll.ciqfunctions.udf.CIQ(InputTicker,"IQ_RESTRICTED_CASH_NON_CURRENT",Input!J$2,Date,,,Ccy,Conv)</f>
        <v>0</v>
      </c>
      <c r="I441" s="4">
        <f>_xll.ciqfunctions.udf.CIQ(InputTicker,"IQ_RESTRICTED_CASH_NON_CURRENT",Input!K$2,Date,,,Ccy,Conv)</f>
        <v>0</v>
      </c>
      <c r="J441" s="4">
        <f>_xll.ciqfunctions.udf.CIQ(InputTicker,"IQ_RESTRICTED_CASH_NON_CURRENT",Input!L$2,Date,,,Ccy,Conv)</f>
        <v>0</v>
      </c>
      <c r="K441" s="4">
        <f>_xll.ciqfunctions.udf.CIQ(InputTicker,"IQ_RESTRICTED_CASH_NON_CURRENT",Input!M$2,Date,,,Ccy,Conv)</f>
        <v>0</v>
      </c>
      <c r="L441" s="4">
        <f>_xll.ciqfunctions.udf.CIQ(InputTicker,"IQ_RESTRICTED_CASH_NON_CURRENT",Input!N$2,Date,,,Ccy,Conv)</f>
        <v>0</v>
      </c>
      <c r="M441" s="4">
        <f>_xll.ciqfunctions.udf.CIQ(InputTicker,"IQ_RESTRICTED_CASH_NON_CURRENT",Input!O$2,Date,,,Ccy,Conv)</f>
        <v>0</v>
      </c>
      <c r="N441" s="53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  <c r="BJ441" s="42"/>
      <c r="BK441" s="42"/>
      <c r="BL441" s="42"/>
      <c r="BM441" s="42"/>
      <c r="BN441" s="42"/>
    </row>
    <row r="442" spans="1:66" ht="12.75" customHeight="1" x14ac:dyDescent="0.2">
      <c r="A442" s="1" t="s">
        <v>505</v>
      </c>
      <c r="B442" s="4">
        <f>_xll.ciqfunctions.udf.CIQ(InputTicker,"IQ_RESTRICTED_CASH_TOTAL",Input!D$2,Date,,,Ccy,Conv)</f>
        <v>0</v>
      </c>
      <c r="C442" s="4">
        <f>_xll.ciqfunctions.udf.CIQ(InputTicker,"IQ_RESTRICTED_CASH_TOTAL",Input!E$2,Date,,,Ccy,Conv)</f>
        <v>0</v>
      </c>
      <c r="D442" s="4">
        <f>_xll.ciqfunctions.udf.CIQ(InputTicker,"IQ_RESTRICTED_CASH_TOTAL",Input!F$2,Date,,,Ccy,Conv)</f>
        <v>0</v>
      </c>
      <c r="E442" s="4">
        <f>_xll.ciqfunctions.udf.CIQ(InputTicker,"IQ_RESTRICTED_CASH_TOTAL",Input!G$2,Date,,,Ccy,Conv)</f>
        <v>0</v>
      </c>
      <c r="F442" s="4">
        <f>_xll.ciqfunctions.udf.CIQ(InputTicker,"IQ_RESTRICTED_CASH_TOTAL",Input!H$2,Date,,,Ccy,Conv)</f>
        <v>0</v>
      </c>
      <c r="G442" s="4">
        <f>_xll.ciqfunctions.udf.CIQ(InputTicker,"IQ_RESTRICTED_CASH_TOTAL",Input!I$2,Date,,,Ccy,Conv)</f>
        <v>0</v>
      </c>
      <c r="H442" s="4">
        <f>_xll.ciqfunctions.udf.CIQ(InputTicker,"IQ_RESTRICTED_CASH_TOTAL",Input!J$2,Date,,,Ccy,Conv)</f>
        <v>0</v>
      </c>
      <c r="I442" s="4">
        <f>_xll.ciqfunctions.udf.CIQ(InputTicker,"IQ_RESTRICTED_CASH_TOTAL",Input!K$2,Date,,,Ccy,Conv)</f>
        <v>0</v>
      </c>
      <c r="J442" s="4">
        <f>_xll.ciqfunctions.udf.CIQ(InputTicker,"IQ_RESTRICTED_CASH_TOTAL",Input!L$2,Date,,,Ccy,Conv)</f>
        <v>0</v>
      </c>
      <c r="K442" s="4">
        <f>_xll.ciqfunctions.udf.CIQ(InputTicker,"IQ_RESTRICTED_CASH_TOTAL",Input!M$2,Date,,,Ccy,Conv)</f>
        <v>0</v>
      </c>
      <c r="L442" s="4">
        <f>_xll.ciqfunctions.udf.CIQ(InputTicker,"IQ_RESTRICTED_CASH_TOTAL",Input!N$2,Date,,,Ccy,Conv)</f>
        <v>0</v>
      </c>
      <c r="M442" s="4">
        <f>_xll.ciqfunctions.udf.CIQ(InputTicker,"IQ_RESTRICTED_CASH_TOTAL",Input!O$2,Date,,,Ccy,Conv)</f>
        <v>0</v>
      </c>
      <c r="N442" s="53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  <c r="AH442" s="42"/>
      <c r="AI442" s="42"/>
      <c r="AJ442" s="42"/>
      <c r="AK442" s="42"/>
      <c r="AL442" s="42"/>
      <c r="AM442" s="42"/>
      <c r="AN442" s="42"/>
      <c r="AO442" s="42"/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  <c r="BJ442" s="42"/>
      <c r="BK442" s="42"/>
      <c r="BL442" s="42"/>
      <c r="BM442" s="42"/>
      <c r="BN442" s="42"/>
    </row>
    <row r="443" spans="1:66" ht="12.75" customHeight="1" x14ac:dyDescent="0.2">
      <c r="A443" s="1" t="s">
        <v>363</v>
      </c>
      <c r="B443" s="4">
        <f>_xll.ciqfunctions.udf.CIQ(InputTicker,"IQ_TOTAL_DEBT_EXCL_FIN",Input!D$2,Date,,,Ccy,Conv)</f>
        <v>35384</v>
      </c>
      <c r="C443" s="4">
        <f>_xll.ciqfunctions.udf.CIQ(InputTicker,"IQ_TOTAL_DEBT_EXCL_FIN",Input!E$2,Date,,,Ccy,Conv)</f>
        <v>54541</v>
      </c>
      <c r="D443" s="4">
        <f>_xll.ciqfunctions.udf.CIQ(InputTicker,"IQ_TOTAL_DEBT_EXCL_FIN",Input!F$2,Date,,,Ccy,Conv)</f>
        <v>95527</v>
      </c>
      <c r="E443" s="4">
        <f>_xll.ciqfunctions.udf.CIQ(InputTicker,"IQ_TOTAL_DEBT_EXCL_FIN",Input!G$2,Date,,,Ccy,Conv)</f>
        <v>87508</v>
      </c>
      <c r="F443" s="4">
        <f>_xll.ciqfunctions.udf.CIQ(InputTicker,"IQ_TOTAL_DEBT_EXCL_FIN",Input!H$2,Date,,,Ccy,Conv)</f>
        <v>86455</v>
      </c>
      <c r="G443" s="4">
        <f>_xll.ciqfunctions.udf.CIQ(InputTicker,"IQ_TOTAL_DEBT_EXCL_FIN",Input!I$2,Date,,,Ccy,Conv)</f>
        <v>82110</v>
      </c>
      <c r="H443" s="4">
        <f>_xll.ciqfunctions.udf.CIQ(InputTicker,"IQ_TOTAL_DEBT_EXCL_FIN",Input!J$2,Date,,,Ccy,Conv)</f>
        <v>82278</v>
      </c>
      <c r="I443" s="4">
        <f>_xll.ciqfunctions.udf.CIQ(InputTicker,"IQ_TOTAL_DEBT_EXCL_FIN",Input!K$2,Date,,,Ccy,Conv)</f>
        <v>78400</v>
      </c>
      <c r="J443" s="4">
        <f>_xll.ciqfunctions.udf.CIQ(InputTicker,"IQ_TOTAL_DEBT_EXCL_FIN",Input!L$2,Date,,,Ccy,Conv)</f>
        <v>79441</v>
      </c>
      <c r="K443" s="4">
        <f>_xll.ciqfunctions.udf.CIQ(InputTicker,"IQ_TOTAL_DEBT_EXCL_FIN",Input!M$2,Date,,,Ccy,Conv)</f>
        <v>97852</v>
      </c>
      <c r="L443" s="4">
        <f>_xll.ciqfunctions.udf.CIQ(InputTicker,"IQ_TOTAL_DEBT_EXCL_FIN",Input!N$2,Date,,,Ccy,Conv)</f>
        <v>112184</v>
      </c>
      <c r="M443" s="4">
        <f>_xll.ciqfunctions.udf.CIQ(InputTicker,"IQ_TOTAL_DEBT_EXCL_FIN",Input!O$2,Date,,,Ccy,Conv)</f>
        <v>125432</v>
      </c>
      <c r="N443" s="53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  <c r="AH443" s="42"/>
      <c r="AI443" s="42"/>
      <c r="AJ443" s="42"/>
      <c r="AK443" s="42"/>
      <c r="AL443" s="42"/>
      <c r="AM443" s="42"/>
      <c r="AN443" s="42"/>
      <c r="AO443" s="42"/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  <c r="BJ443" s="42"/>
      <c r="BK443" s="42"/>
      <c r="BL443" s="42"/>
      <c r="BM443" s="42"/>
      <c r="BN443" s="42"/>
    </row>
    <row r="444" spans="1:66" ht="12.75" customHeight="1" x14ac:dyDescent="0.2">
      <c r="A444" s="1" t="s">
        <v>364</v>
      </c>
      <c r="B444" s="4">
        <f>_xll.ciqfunctions.udf.CIQ(InputTicker,"IQ_ORDER_BACKLOG",Input!D$2,Date,,,Ccy,Conv)</f>
        <v>0</v>
      </c>
      <c r="C444" s="4">
        <f>_xll.ciqfunctions.udf.CIQ(InputTicker,"IQ_ORDER_BACKLOG",Input!E$2,Date,,,Ccy,Conv)</f>
        <v>0</v>
      </c>
      <c r="D444" s="4">
        <f>_xll.ciqfunctions.udf.CIQ(InputTicker,"IQ_ORDER_BACKLOG",Input!F$2,Date,,,Ccy,Conv)</f>
        <v>0</v>
      </c>
      <c r="E444" s="4">
        <f>_xll.ciqfunctions.udf.CIQ(InputTicker,"IQ_ORDER_BACKLOG",Input!G$2,Date,,,Ccy,Conv)</f>
        <v>0</v>
      </c>
      <c r="F444" s="4">
        <f>_xll.ciqfunctions.udf.CIQ(InputTicker,"IQ_ORDER_BACKLOG",Input!H$2,Date,,,Ccy,Conv)</f>
        <v>0</v>
      </c>
      <c r="G444" s="4">
        <f>_xll.ciqfunctions.udf.CIQ(InputTicker,"IQ_ORDER_BACKLOG",Input!I$2,Date,,,Ccy,Conv)</f>
        <v>0</v>
      </c>
      <c r="H444" s="4">
        <f>_xll.ciqfunctions.udf.CIQ(InputTicker,"IQ_ORDER_BACKLOG",Input!J$2,Date,,,Ccy,Conv)</f>
        <v>0</v>
      </c>
      <c r="I444" s="4">
        <f>_xll.ciqfunctions.udf.CIQ(InputTicker,"IQ_ORDER_BACKLOG",Input!K$2,Date,,,Ccy,Conv)</f>
        <v>0</v>
      </c>
      <c r="J444" s="4">
        <f>_xll.ciqfunctions.udf.CIQ(InputTicker,"IQ_ORDER_BACKLOG",Input!L$2,Date,,,Ccy,Conv)</f>
        <v>0</v>
      </c>
      <c r="K444" s="4">
        <f>_xll.ciqfunctions.udf.CIQ(InputTicker,"IQ_ORDER_BACKLOG",Input!M$2,Date,,,Ccy,Conv)</f>
        <v>0</v>
      </c>
      <c r="L444" s="4">
        <f>_xll.ciqfunctions.udf.CIQ(InputTicker,"IQ_ORDER_BACKLOG",Input!N$2,Date,,,Ccy,Conv)</f>
        <v>0</v>
      </c>
      <c r="M444" s="4">
        <f>_xll.ciqfunctions.udf.CIQ(InputTicker,"IQ_ORDER_BACKLOG",Input!O$2,Date,,,Ccy,Conv)</f>
        <v>0</v>
      </c>
      <c r="N444" s="53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  <c r="AH444" s="42"/>
      <c r="AI444" s="42"/>
      <c r="AJ444" s="42"/>
      <c r="AK444" s="42"/>
      <c r="AL444" s="42"/>
      <c r="AM444" s="42"/>
      <c r="AN444" s="42"/>
      <c r="AO444" s="42"/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  <c r="BJ444" s="42"/>
      <c r="BK444" s="42"/>
      <c r="BL444" s="42"/>
      <c r="BM444" s="42"/>
      <c r="BN444" s="42"/>
    </row>
    <row r="445" spans="1:66" ht="12.75" customHeight="1" x14ac:dyDescent="0.2">
      <c r="A445" s="1" t="s">
        <v>395</v>
      </c>
      <c r="B445" s="4">
        <f>_xll.ciqfunctions.udf.CIQ(InputTicker,"IQ_CONTINGENT_LIABILITIES",Input!D$2,Date,,,Ccy,Conv)</f>
        <v>0</v>
      </c>
      <c r="C445" s="4">
        <f>_xll.ciqfunctions.udf.CIQ(InputTicker,"IQ_CONTINGENT_LIABILITIES",Input!E$2,Date,,,Ccy,Conv)</f>
        <v>0</v>
      </c>
      <c r="D445" s="4">
        <f>_xll.ciqfunctions.udf.CIQ(InputTicker,"IQ_CONTINGENT_LIABILITIES",Input!F$2,Date,,,Ccy,Conv)</f>
        <v>0</v>
      </c>
      <c r="E445" s="4">
        <f>_xll.ciqfunctions.udf.CIQ(InputTicker,"IQ_CONTINGENT_LIABILITIES",Input!G$2,Date,,,Ccy,Conv)</f>
        <v>0</v>
      </c>
      <c r="F445" s="4">
        <f>_xll.ciqfunctions.udf.CIQ(InputTicker,"IQ_CONTINGENT_LIABILITIES",Input!H$2,Date,,,Ccy,Conv)</f>
        <v>0</v>
      </c>
      <c r="G445" s="4">
        <f>_xll.ciqfunctions.udf.CIQ(InputTicker,"IQ_CONTINGENT_LIABILITIES",Input!I$2,Date,,,Ccy,Conv)</f>
        <v>0</v>
      </c>
      <c r="H445" s="4">
        <f>_xll.ciqfunctions.udf.CIQ(InputTicker,"IQ_CONTINGENT_LIABILITIES",Input!J$2,Date,,,Ccy,Conv)</f>
        <v>0</v>
      </c>
      <c r="I445" s="4">
        <f>_xll.ciqfunctions.udf.CIQ(InputTicker,"IQ_CONTINGENT_LIABILITIES",Input!K$2,Date,,,Ccy,Conv)</f>
        <v>0</v>
      </c>
      <c r="J445" s="4">
        <f>_xll.ciqfunctions.udf.CIQ(InputTicker,"IQ_CONTINGENT_LIABILITIES",Input!L$2,Date,,,Ccy,Conv)</f>
        <v>0</v>
      </c>
      <c r="K445" s="4">
        <f>_xll.ciqfunctions.udf.CIQ(InputTicker,"IQ_CONTINGENT_LIABILITIES",Input!M$2,Date,,,Ccy,Conv)</f>
        <v>0</v>
      </c>
      <c r="L445" s="4">
        <f>_xll.ciqfunctions.udf.CIQ(InputTicker,"IQ_CONTINGENT_LIABILITIES",Input!N$2,Date,,,Ccy,Conv)</f>
        <v>0</v>
      </c>
      <c r="M445" s="4">
        <f>_xll.ciqfunctions.udf.CIQ(InputTicker,"IQ_CONTINGENT_LIABILITIES",Input!O$2,Date,,,Ccy,Conv)</f>
        <v>0</v>
      </c>
      <c r="N445" s="53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  <c r="BJ445" s="42"/>
      <c r="BK445" s="42"/>
      <c r="BL445" s="42"/>
      <c r="BM445" s="42"/>
      <c r="BN445" s="42"/>
    </row>
    <row r="446" spans="1:66" ht="12.75" customHeight="1" x14ac:dyDescent="0.2">
      <c r="A446" s="1" t="s">
        <v>443</v>
      </c>
      <c r="B446" s="4">
        <f>_xll.ciqfunctions.udf.CIQ(InputTicker,"IQ_WARRANTY_LIABILITIES",Input!D$2,Date,,,Ccy,Conv)</f>
        <v>0</v>
      </c>
      <c r="C446" s="4">
        <f>_xll.ciqfunctions.udf.CIQ(InputTicker,"IQ_WARRANTY_LIABILITIES",Input!E$2,Date,,,Ccy,Conv)</f>
        <v>0</v>
      </c>
      <c r="D446" s="4">
        <f>_xll.ciqfunctions.udf.CIQ(InputTicker,"IQ_WARRANTY_LIABILITIES",Input!F$2,Date,,,Ccy,Conv)</f>
        <v>0</v>
      </c>
      <c r="E446" s="4">
        <f>_xll.ciqfunctions.udf.CIQ(InputTicker,"IQ_WARRANTY_LIABILITIES",Input!G$2,Date,,,Ccy,Conv)</f>
        <v>0</v>
      </c>
      <c r="F446" s="4">
        <f>_xll.ciqfunctions.udf.CIQ(InputTicker,"IQ_WARRANTY_LIABILITIES",Input!H$2,Date,,,Ccy,Conv)</f>
        <v>0</v>
      </c>
      <c r="G446" s="4">
        <f>_xll.ciqfunctions.udf.CIQ(InputTicker,"IQ_WARRANTY_LIABILITIES",Input!I$2,Date,,,Ccy,Conv)</f>
        <v>0</v>
      </c>
      <c r="H446" s="4">
        <f>_xll.ciqfunctions.udf.CIQ(InputTicker,"IQ_WARRANTY_LIABILITIES",Input!J$2,Date,,,Ccy,Conv)</f>
        <v>0</v>
      </c>
      <c r="I446" s="4">
        <f>_xll.ciqfunctions.udf.CIQ(InputTicker,"IQ_WARRANTY_LIABILITIES",Input!K$2,Date,,,Ccy,Conv)</f>
        <v>0</v>
      </c>
      <c r="J446" s="4">
        <f>_xll.ciqfunctions.udf.CIQ(InputTicker,"IQ_WARRANTY_LIABILITIES",Input!L$2,Date,,,Ccy,Conv)</f>
        <v>0</v>
      </c>
      <c r="K446" s="4">
        <f>_xll.ciqfunctions.udf.CIQ(InputTicker,"IQ_WARRANTY_LIABILITIES",Input!M$2,Date,,,Ccy,Conv)</f>
        <v>0</v>
      </c>
      <c r="L446" s="4">
        <f>_xll.ciqfunctions.udf.CIQ(InputTicker,"IQ_WARRANTY_LIABILITIES",Input!N$2,Date,,,Ccy,Conv)</f>
        <v>0</v>
      </c>
      <c r="M446" s="4">
        <f>_xll.ciqfunctions.udf.CIQ(InputTicker,"IQ_WARRANTY_LIABILITIES",Input!O$2,Date,,,Ccy,Conv)</f>
        <v>0</v>
      </c>
      <c r="N446" s="53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  <c r="BJ446" s="42"/>
      <c r="BK446" s="42"/>
      <c r="BL446" s="42"/>
      <c r="BM446" s="42"/>
      <c r="BN446" s="42"/>
    </row>
    <row r="447" spans="1:66" ht="12.75" customHeight="1" x14ac:dyDescent="0.2">
      <c r="A447" s="1" t="s">
        <v>8</v>
      </c>
      <c r="B447" s="4">
        <f>_xll.ciqfunctions.udf.CIQ(InputTicker,"IQ_ST_DEBT_DERIVATIVES",Input!D$2,Date,,,Ccy,Conv)</f>
        <v>0</v>
      </c>
      <c r="C447" s="4">
        <f>_xll.ciqfunctions.udf.CIQ(InputTicker,"IQ_ST_DEBT_DERIVATIVES",Input!E$2,Date,,,Ccy,Conv)</f>
        <v>0</v>
      </c>
      <c r="D447" s="4">
        <f>_xll.ciqfunctions.udf.CIQ(InputTicker,"IQ_ST_DEBT_DERIVATIVES",Input!F$2,Date,,,Ccy,Conv)</f>
        <v>0</v>
      </c>
      <c r="E447" s="4">
        <f>_xll.ciqfunctions.udf.CIQ(InputTicker,"IQ_ST_DEBT_DERIVATIVES",Input!G$2,Date,,,Ccy,Conv)</f>
        <v>0</v>
      </c>
      <c r="F447" s="4">
        <f>_xll.ciqfunctions.udf.CIQ(InputTicker,"IQ_ST_DEBT_DERIVATIVES",Input!H$2,Date,,,Ccy,Conv)</f>
        <v>0</v>
      </c>
      <c r="G447" s="4">
        <f>_xll.ciqfunctions.udf.CIQ(InputTicker,"IQ_ST_DEBT_DERIVATIVES",Input!I$2,Date,,,Ccy,Conv)</f>
        <v>0</v>
      </c>
      <c r="H447" s="4">
        <f>_xll.ciqfunctions.udf.CIQ(InputTicker,"IQ_ST_DEBT_DERIVATIVES",Input!J$2,Date,,,Ccy,Conv)</f>
        <v>0</v>
      </c>
      <c r="I447" s="4">
        <f>_xll.ciqfunctions.udf.CIQ(InputTicker,"IQ_ST_DEBT_DERIVATIVES",Input!K$2,Date,,,Ccy,Conv)</f>
        <v>0</v>
      </c>
      <c r="J447" s="4">
        <f>_xll.ciqfunctions.udf.CIQ(InputTicker,"IQ_ST_DEBT_DERIVATIVES",Input!L$2,Date,,,Ccy,Conv)</f>
        <v>0</v>
      </c>
      <c r="K447" s="4">
        <f>_xll.ciqfunctions.udf.CIQ(InputTicker,"IQ_ST_DEBT_DERIVATIVES",Input!M$2,Date,,,Ccy,Conv)</f>
        <v>0</v>
      </c>
      <c r="L447" s="4">
        <f>_xll.ciqfunctions.udf.CIQ(InputTicker,"IQ_ST_DEBT_DERIVATIVES",Input!N$2,Date,,,Ccy,Conv)</f>
        <v>0</v>
      </c>
      <c r="M447" s="4">
        <f>_xll.ciqfunctions.udf.CIQ(InputTicker,"IQ_ST_DEBT_DERIVATIVES",Input!O$2,Date,,,Ccy,Conv)</f>
        <v>0</v>
      </c>
      <c r="N447" s="53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  <c r="BJ447" s="42"/>
      <c r="BK447" s="42"/>
      <c r="BL447" s="42"/>
      <c r="BM447" s="42"/>
      <c r="BN447" s="42"/>
    </row>
    <row r="448" spans="1:66" ht="12.75" customHeight="1" x14ac:dyDescent="0.2">
      <c r="A448" s="1" t="s">
        <v>9</v>
      </c>
      <c r="B448" s="4">
        <f>_xll.ciqfunctions.udf.CIQ(InputTicker,"IQ_CURRENT_PORT_DEBT_DERIVATIVES",Input!D$2,Date,,,Ccy,Conv)</f>
        <v>0</v>
      </c>
      <c r="C448" s="4">
        <f>_xll.ciqfunctions.udf.CIQ(InputTicker,"IQ_CURRENT_PORT_DEBT_DERIVATIVES",Input!E$2,Date,,,Ccy,Conv)</f>
        <v>0</v>
      </c>
      <c r="D448" s="4">
        <f>_xll.ciqfunctions.udf.CIQ(InputTicker,"IQ_CURRENT_PORT_DEBT_DERIVATIVES",Input!F$2,Date,,,Ccy,Conv)</f>
        <v>0</v>
      </c>
      <c r="E448" s="4">
        <f>_xll.ciqfunctions.udf.CIQ(InputTicker,"IQ_CURRENT_PORT_DEBT_DERIVATIVES",Input!G$2,Date,,,Ccy,Conv)</f>
        <v>0</v>
      </c>
      <c r="F448" s="4">
        <f>_xll.ciqfunctions.udf.CIQ(InputTicker,"IQ_CURRENT_PORT_DEBT_DERIVATIVES",Input!H$2,Date,,,Ccy,Conv)</f>
        <v>0</v>
      </c>
      <c r="G448" s="4">
        <f>_xll.ciqfunctions.udf.CIQ(InputTicker,"IQ_CURRENT_PORT_DEBT_DERIVATIVES",Input!I$2,Date,,,Ccy,Conv)</f>
        <v>0</v>
      </c>
      <c r="H448" s="4">
        <f>_xll.ciqfunctions.udf.CIQ(InputTicker,"IQ_CURRENT_PORT_DEBT_DERIVATIVES",Input!J$2,Date,,,Ccy,Conv)</f>
        <v>0</v>
      </c>
      <c r="I448" s="4">
        <f>_xll.ciqfunctions.udf.CIQ(InputTicker,"IQ_CURRENT_PORT_DEBT_DERIVATIVES",Input!K$2,Date,,,Ccy,Conv)</f>
        <v>0</v>
      </c>
      <c r="J448" s="4">
        <f>_xll.ciqfunctions.udf.CIQ(InputTicker,"IQ_CURRENT_PORT_DEBT_DERIVATIVES",Input!L$2,Date,,,Ccy,Conv)</f>
        <v>0</v>
      </c>
      <c r="K448" s="4">
        <f>_xll.ciqfunctions.udf.CIQ(InputTicker,"IQ_CURRENT_PORT_DEBT_DERIVATIVES",Input!M$2,Date,,,Ccy,Conv)</f>
        <v>0</v>
      </c>
      <c r="L448" s="4">
        <f>_xll.ciqfunctions.udf.CIQ(InputTicker,"IQ_CURRENT_PORT_DEBT_DERIVATIVES",Input!N$2,Date,,,Ccy,Conv)</f>
        <v>0</v>
      </c>
      <c r="M448" s="4">
        <f>_xll.ciqfunctions.udf.CIQ(InputTicker,"IQ_CURRENT_PORT_DEBT_DERIVATIVES",Input!O$2,Date,,,Ccy,Conv)</f>
        <v>0</v>
      </c>
      <c r="N448" s="53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  <c r="BJ448" s="42"/>
      <c r="BK448" s="42"/>
      <c r="BL448" s="42"/>
      <c r="BM448" s="42"/>
      <c r="BN448" s="42"/>
    </row>
    <row r="449" spans="1:66" ht="12.75" customHeight="1" x14ac:dyDescent="0.2">
      <c r="A449" s="1" t="s">
        <v>10</v>
      </c>
      <c r="B449" s="4">
        <f>_xll.ciqfunctions.udf.CIQ(InputTicker,"IQ_LT_DEBT_DERIVATIVES",Input!D$2,Date,,,Ccy,Conv)</f>
        <v>0</v>
      </c>
      <c r="C449" s="4">
        <f>_xll.ciqfunctions.udf.CIQ(InputTicker,"IQ_LT_DEBT_DERIVATIVES",Input!E$2,Date,,,Ccy,Conv)</f>
        <v>0</v>
      </c>
      <c r="D449" s="4">
        <f>_xll.ciqfunctions.udf.CIQ(InputTicker,"IQ_LT_DEBT_DERIVATIVES",Input!F$2,Date,,,Ccy,Conv)</f>
        <v>0</v>
      </c>
      <c r="E449" s="4">
        <f>_xll.ciqfunctions.udf.CIQ(InputTicker,"IQ_LT_DEBT_DERIVATIVES",Input!G$2,Date,,,Ccy,Conv)</f>
        <v>0</v>
      </c>
      <c r="F449" s="4">
        <f>_xll.ciqfunctions.udf.CIQ(InputTicker,"IQ_LT_DEBT_DERIVATIVES",Input!H$2,Date,,,Ccy,Conv)</f>
        <v>0</v>
      </c>
      <c r="G449" s="4">
        <f>_xll.ciqfunctions.udf.CIQ(InputTicker,"IQ_LT_DEBT_DERIVATIVES",Input!I$2,Date,,,Ccy,Conv)</f>
        <v>0</v>
      </c>
      <c r="H449" s="4">
        <f>_xll.ciqfunctions.udf.CIQ(InputTicker,"IQ_LT_DEBT_DERIVATIVES",Input!J$2,Date,,,Ccy,Conv)</f>
        <v>0</v>
      </c>
      <c r="I449" s="4">
        <f>_xll.ciqfunctions.udf.CIQ(InputTicker,"IQ_LT_DEBT_DERIVATIVES",Input!K$2,Date,,,Ccy,Conv)</f>
        <v>0</v>
      </c>
      <c r="J449" s="4">
        <f>_xll.ciqfunctions.udf.CIQ(InputTicker,"IQ_LT_DEBT_DERIVATIVES",Input!L$2,Date,,,Ccy,Conv)</f>
        <v>0</v>
      </c>
      <c r="K449" s="4">
        <f>_xll.ciqfunctions.udf.CIQ(InputTicker,"IQ_LT_DEBT_DERIVATIVES",Input!M$2,Date,,,Ccy,Conv)</f>
        <v>0</v>
      </c>
      <c r="L449" s="4">
        <f>_xll.ciqfunctions.udf.CIQ(InputTicker,"IQ_LT_DEBT_DERIVATIVES",Input!N$2,Date,,,Ccy,Conv)</f>
        <v>0</v>
      </c>
      <c r="M449" s="4">
        <f>_xll.ciqfunctions.udf.CIQ(InputTicker,"IQ_LT_DEBT_DERIVATIVES",Input!O$2,Date,,,Ccy,Conv)</f>
        <v>0</v>
      </c>
      <c r="N449" s="53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  <c r="BJ449" s="42"/>
      <c r="BK449" s="42"/>
      <c r="BL449" s="42"/>
      <c r="BM449" s="42"/>
      <c r="BN449" s="42"/>
    </row>
    <row r="450" spans="1:66" ht="12.75" customHeight="1" x14ac:dyDescent="0.2">
      <c r="A450" s="1" t="s">
        <v>18</v>
      </c>
      <c r="B450" s="4">
        <f>_xll.ciqfunctions.udf.CIQ(InputTicker,"IQ_DERIVATIVE_LIAB_CURRENT",Input!D$2,Date,,,Ccy,Conv)</f>
        <v>57</v>
      </c>
      <c r="C450" s="4">
        <f>_xll.ciqfunctions.udf.CIQ(InputTicker,"IQ_DERIVATIVE_LIAB_CURRENT",Input!E$2,Date,,,Ccy,Conv)</f>
        <v>232</v>
      </c>
      <c r="D450" s="4">
        <f>_xll.ciqfunctions.udf.CIQ(InputTicker,"IQ_DERIVATIVE_LIAB_CURRENT",Input!F$2,Date,,,Ccy,Conv)</f>
        <v>113</v>
      </c>
      <c r="E450" s="4">
        <f>_xll.ciqfunctions.udf.CIQ(InputTicker,"IQ_DERIVATIVE_LIAB_CURRENT",Input!G$2,Date,,,Ccy,Conv)</f>
        <v>288</v>
      </c>
      <c r="F450" s="4">
        <f>_xll.ciqfunctions.udf.CIQ(InputTicker,"IQ_DERIVATIVE_LIAB_CURRENT",Input!H$2,Date,,,Ccy,Conv)</f>
        <v>221</v>
      </c>
      <c r="G450" s="4">
        <f>_xll.ciqfunctions.udf.CIQ(InputTicker,"IQ_DERIVATIVE_LIAB_CURRENT",Input!I$2,Date,,,Ccy,Conv)</f>
        <v>334</v>
      </c>
      <c r="H450" s="4">
        <f>_xll.ciqfunctions.udf.CIQ(InputTicker,"IQ_DERIVATIVE_LIAB_CURRENT",Input!J$2,Date,,,Ccy,Conv)</f>
        <v>182</v>
      </c>
      <c r="I450" s="4">
        <f>_xll.ciqfunctions.udf.CIQ(InputTicker,"IQ_DERIVATIVE_LIAB_CURRENT",Input!K$2,Date,,,Ccy,Conv)</f>
        <v>298</v>
      </c>
      <c r="J450" s="4">
        <f>_xll.ciqfunctions.udf.CIQ(InputTicker,"IQ_DERIVATIVE_LIAB_CURRENT",Input!L$2,Date,,,Ccy,Conv)</f>
        <v>341</v>
      </c>
      <c r="K450" s="4">
        <f>_xll.ciqfunctions.udf.CIQ(InputTicker,"IQ_DERIVATIVE_LIAB_CURRENT",Input!M$2,Date,,,Ccy,Conv)</f>
        <v>401</v>
      </c>
      <c r="L450" s="4">
        <f>_xll.ciqfunctions.udf.CIQ(InputTicker,"IQ_DERIVATIVE_LIAB_CURRENT",Input!N$2,Date,,,Ccy,Conv)</f>
        <v>1639</v>
      </c>
      <c r="M450" s="4">
        <f>_xll.ciqfunctions.udf.CIQ(InputTicker,"IQ_DERIVATIVE_LIAB_CURRENT",Input!O$2,Date,,,Ccy,Conv)</f>
        <v>630</v>
      </c>
      <c r="N450" s="53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  <c r="AH450" s="42"/>
      <c r="AI450" s="42"/>
      <c r="AJ450" s="42"/>
      <c r="AK450" s="42"/>
      <c r="AL450" s="42"/>
      <c r="AM450" s="42"/>
      <c r="AN450" s="42"/>
      <c r="AO450" s="42"/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  <c r="BJ450" s="42"/>
      <c r="BK450" s="42"/>
      <c r="BL450" s="42"/>
      <c r="BM450" s="42"/>
      <c r="BN450" s="42"/>
    </row>
    <row r="451" spans="1:66" ht="12.75" customHeight="1" x14ac:dyDescent="0.2">
      <c r="A451" s="1" t="s">
        <v>19</v>
      </c>
      <c r="B451" s="4">
        <f>_xll.ciqfunctions.udf.CIQ(InputTicker,"IQ_DERIVATIVE_LIAB_NON_CURRENT",Input!D$2,Date,,,Ccy,Conv)</f>
        <v>0</v>
      </c>
      <c r="C451" s="4">
        <f>_xll.ciqfunctions.udf.CIQ(InputTicker,"IQ_DERIVATIVE_LIAB_NON_CURRENT",Input!E$2,Date,,,Ccy,Conv)</f>
        <v>0</v>
      </c>
      <c r="D451" s="4">
        <f>_xll.ciqfunctions.udf.CIQ(InputTicker,"IQ_DERIVATIVE_LIAB_NON_CURRENT",Input!F$2,Date,,,Ccy,Conv)</f>
        <v>1</v>
      </c>
      <c r="E451" s="4">
        <f>_xll.ciqfunctions.udf.CIQ(InputTicker,"IQ_DERIVATIVE_LIAB_NON_CURRENT",Input!G$2,Date,,,Ccy,Conv)</f>
        <v>1</v>
      </c>
      <c r="F451" s="4">
        <f>_xll.ciqfunctions.udf.CIQ(InputTicker,"IQ_DERIVATIVE_LIAB_NON_CURRENT",Input!H$2,Date,,,Ccy,Conv)</f>
        <v>15</v>
      </c>
      <c r="G451" s="4">
        <f>_xll.ciqfunctions.udf.CIQ(InputTicker,"IQ_DERIVATIVE_LIAB_NON_CURRENT",Input!I$2,Date,,,Ccy,Conv)</f>
        <v>61</v>
      </c>
      <c r="H451" s="4">
        <f>_xll.ciqfunctions.udf.CIQ(InputTicker,"IQ_DERIVATIVE_LIAB_NON_CURRENT",Input!J$2,Date,,,Ccy,Conv)</f>
        <v>53</v>
      </c>
      <c r="I451" s="4">
        <f>_xll.ciqfunctions.udf.CIQ(InputTicker,"IQ_DERIVATIVE_LIAB_NON_CURRENT",Input!K$2,Date,,,Ccy,Conv)</f>
        <v>195</v>
      </c>
      <c r="J451" s="4">
        <f>_xll.ciqfunctions.udf.CIQ(InputTicker,"IQ_DERIVATIVE_LIAB_NON_CURRENT",Input!L$2,Date,,,Ccy,Conv)</f>
        <v>383</v>
      </c>
      <c r="K451" s="4">
        <f>_xll.ciqfunctions.udf.CIQ(InputTicker,"IQ_DERIVATIVE_LIAB_NON_CURRENT",Input!M$2,Date,,,Ccy,Conv)</f>
        <v>351</v>
      </c>
      <c r="L451" s="4">
        <f>_xll.ciqfunctions.udf.CIQ(InputTicker,"IQ_DERIVATIVE_LIAB_NON_CURRENT",Input!N$2,Date,,,Ccy,Conv)</f>
        <v>37</v>
      </c>
      <c r="M451" s="4">
        <f>_xll.ciqfunctions.udf.CIQ(InputTicker,"IQ_DERIVATIVE_LIAB_NON_CURRENT",Input!O$2,Date,,,Ccy,Conv)</f>
        <v>116</v>
      </c>
      <c r="N451" s="53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  <c r="BJ451" s="42"/>
      <c r="BK451" s="42"/>
      <c r="BL451" s="42"/>
      <c r="BM451" s="42"/>
      <c r="BN451" s="42"/>
    </row>
    <row r="452" spans="1:66" ht="12.75" customHeight="1" x14ac:dyDescent="0.2">
      <c r="A452" s="1" t="s">
        <v>20</v>
      </c>
      <c r="B452" s="4">
        <f>_xll.ciqfunctions.udf.CIQ(InputTicker,"IQ_DERIVATIVE_TRADING_ASSETS",Input!D$2,Date,,,Ccy,Conv)</f>
        <v>0</v>
      </c>
      <c r="C452" s="4">
        <f>_xll.ciqfunctions.udf.CIQ(InputTicker,"IQ_DERIVATIVE_TRADING_ASSETS",Input!E$2,Date,,,Ccy,Conv)</f>
        <v>0</v>
      </c>
      <c r="D452" s="4">
        <f>_xll.ciqfunctions.udf.CIQ(InputTicker,"IQ_DERIVATIVE_TRADING_ASSETS",Input!F$2,Date,,,Ccy,Conv)</f>
        <v>0</v>
      </c>
      <c r="E452" s="4">
        <f>_xll.ciqfunctions.udf.CIQ(InputTicker,"IQ_DERIVATIVE_TRADING_ASSETS",Input!G$2,Date,,,Ccy,Conv)</f>
        <v>0</v>
      </c>
      <c r="F452" s="4">
        <f>_xll.ciqfunctions.udf.CIQ(InputTicker,"IQ_DERIVATIVE_TRADING_ASSETS",Input!H$2,Date,,,Ccy,Conv)</f>
        <v>0</v>
      </c>
      <c r="G452" s="4">
        <f>_xll.ciqfunctions.udf.CIQ(InputTicker,"IQ_DERIVATIVE_TRADING_ASSETS",Input!I$2,Date,,,Ccy,Conv)</f>
        <v>0</v>
      </c>
      <c r="H452" s="4">
        <f>_xll.ciqfunctions.udf.CIQ(InputTicker,"IQ_DERIVATIVE_TRADING_ASSETS",Input!J$2,Date,,,Ccy,Conv)</f>
        <v>0</v>
      </c>
      <c r="I452" s="4">
        <f>_xll.ciqfunctions.udf.CIQ(InputTicker,"IQ_DERIVATIVE_TRADING_ASSETS",Input!K$2,Date,,,Ccy,Conv)</f>
        <v>0</v>
      </c>
      <c r="J452" s="4">
        <f>_xll.ciqfunctions.udf.CIQ(InputTicker,"IQ_DERIVATIVE_TRADING_ASSETS",Input!L$2,Date,,,Ccy,Conv)</f>
        <v>0</v>
      </c>
      <c r="K452" s="4">
        <f>_xll.ciqfunctions.udf.CIQ(InputTicker,"IQ_DERIVATIVE_TRADING_ASSETS",Input!M$2,Date,,,Ccy,Conv)</f>
        <v>0</v>
      </c>
      <c r="L452" s="4">
        <f>_xll.ciqfunctions.udf.CIQ(InputTicker,"IQ_DERIVATIVE_TRADING_ASSETS",Input!N$2,Date,,,Ccy,Conv)</f>
        <v>0</v>
      </c>
      <c r="M452" s="4">
        <f>_xll.ciqfunctions.udf.CIQ(InputTicker,"IQ_DERIVATIVE_TRADING_ASSETS",Input!O$2,Date,,,Ccy,Conv)</f>
        <v>0</v>
      </c>
      <c r="N452" s="53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  <c r="BJ452" s="42"/>
      <c r="BK452" s="42"/>
      <c r="BL452" s="42"/>
      <c r="BM452" s="42"/>
      <c r="BN452" s="42"/>
    </row>
    <row r="453" spans="1:66" ht="12.75" customHeight="1" x14ac:dyDescent="0.2">
      <c r="A453" s="1" t="s">
        <v>11</v>
      </c>
      <c r="B453" s="4">
        <f>_xll.ciqfunctions.udf.CIQ(InputTicker,"IQ_DERIVATIVE_ASSETS_CURRENT",Input!D$2,Date,,,Ccy,Conv)</f>
        <v>708</v>
      </c>
      <c r="C453" s="4">
        <f>_xll.ciqfunctions.udf.CIQ(InputTicker,"IQ_DERIVATIVE_ASSETS_CURRENT",Input!E$2,Date,,,Ccy,Conv)</f>
        <v>241</v>
      </c>
      <c r="D453" s="4">
        <f>_xll.ciqfunctions.udf.CIQ(InputTicker,"IQ_DERIVATIVE_ASSETS_CURRENT",Input!F$2,Date,,,Ccy,Conv)</f>
        <v>284</v>
      </c>
      <c r="E453" s="4">
        <f>_xll.ciqfunctions.udf.CIQ(InputTicker,"IQ_DERIVATIVE_ASSETS_CURRENT",Input!G$2,Date,,,Ccy,Conv)</f>
        <v>364</v>
      </c>
      <c r="F453" s="4">
        <f>_xll.ciqfunctions.udf.CIQ(InputTicker,"IQ_DERIVATIVE_ASSETS_CURRENT",Input!H$2,Date,,,Ccy,Conv)</f>
        <v>133</v>
      </c>
      <c r="G453" s="4">
        <f>_xll.ciqfunctions.udf.CIQ(InputTicker,"IQ_DERIVATIVE_ASSETS_CURRENT",Input!I$2,Date,,,Ccy,Conv)</f>
        <v>234</v>
      </c>
      <c r="H453" s="4">
        <f>_xll.ciqfunctions.udf.CIQ(InputTicker,"IQ_DERIVATIVE_ASSETS_CURRENT",Input!J$2,Date,,,Ccy,Conv)</f>
        <v>215</v>
      </c>
      <c r="I453" s="4">
        <f>_xll.ciqfunctions.udf.CIQ(InputTicker,"IQ_DERIVATIVE_ASSETS_CURRENT",Input!K$2,Date,,,Ccy,Conv)</f>
        <v>226</v>
      </c>
      <c r="J453" s="4">
        <f>_xll.ciqfunctions.udf.CIQ(InputTicker,"IQ_DERIVATIVE_ASSETS_CURRENT",Input!L$2,Date,,,Ccy,Conv)</f>
        <v>251</v>
      </c>
      <c r="K453" s="4">
        <f>_xll.ciqfunctions.udf.CIQ(InputTicker,"IQ_DERIVATIVE_ASSETS_CURRENT",Input!M$2,Date,,,Ccy,Conv)</f>
        <v>149</v>
      </c>
      <c r="L453" s="4">
        <f>_xll.ciqfunctions.udf.CIQ(InputTicker,"IQ_DERIVATIVE_ASSETS_CURRENT",Input!N$2,Date,,,Ccy,Conv)</f>
        <v>201</v>
      </c>
      <c r="M453" s="4">
        <f>_xll.ciqfunctions.udf.CIQ(InputTicker,"IQ_DERIVATIVE_ASSETS_CURRENT",Input!O$2,Date,,,Ccy,Conv)</f>
        <v>748</v>
      </c>
      <c r="N453" s="53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  <c r="AH453" s="42"/>
      <c r="AI453" s="42"/>
      <c r="AJ453" s="42"/>
      <c r="AK453" s="42"/>
      <c r="AL453" s="42"/>
      <c r="AM453" s="42"/>
      <c r="AN453" s="42"/>
      <c r="AO453" s="42"/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  <c r="BJ453" s="42"/>
      <c r="BK453" s="42"/>
      <c r="BL453" s="42"/>
      <c r="BM453" s="42"/>
      <c r="BN453" s="42"/>
    </row>
    <row r="454" spans="1:66" ht="12.75" customHeight="1" x14ac:dyDescent="0.2">
      <c r="A454" s="1" t="s">
        <v>12</v>
      </c>
      <c r="B454" s="4">
        <f>_xll.ciqfunctions.udf.CIQ(InputTicker,"IQ_DERIVATIVE_ASSETS_LT",Input!D$2,Date,,,Ccy,Conv)</f>
        <v>0</v>
      </c>
      <c r="C454" s="4">
        <f>_xll.ciqfunctions.udf.CIQ(InputTicker,"IQ_DERIVATIVE_ASSETS_LT",Input!E$2,Date,,,Ccy,Conv)</f>
        <v>-7</v>
      </c>
      <c r="D454" s="4">
        <f>_xll.ciqfunctions.udf.CIQ(InputTicker,"IQ_DERIVATIVE_ASSETS_LT",Input!F$2,Date,,,Ccy,Conv)</f>
        <v>-2</v>
      </c>
      <c r="E454" s="4">
        <f>_xll.ciqfunctions.udf.CIQ(InputTicker,"IQ_DERIVATIVE_ASSETS_LT",Input!G$2,Date,,,Ccy,Conv)</f>
        <v>22</v>
      </c>
      <c r="F454" s="4">
        <f>_xll.ciqfunctions.udf.CIQ(InputTicker,"IQ_DERIVATIVE_ASSETS_LT",Input!H$2,Date,,,Ccy,Conv)</f>
        <v>4</v>
      </c>
      <c r="G454" s="4">
        <f>_xll.ciqfunctions.udf.CIQ(InputTicker,"IQ_DERIVATIVE_ASSETS_LT",Input!I$2,Date,,,Ccy,Conv)</f>
        <v>12</v>
      </c>
      <c r="H454" s="4">
        <f>_xll.ciqfunctions.udf.CIQ(InputTicker,"IQ_DERIVATIVE_ASSETS_LT",Input!J$2,Date,,,Ccy,Conv)</f>
        <v>43</v>
      </c>
      <c r="I454" s="4">
        <f>_xll.ciqfunctions.udf.CIQ(InputTicker,"IQ_DERIVATIVE_ASSETS_LT",Input!K$2,Date,,,Ccy,Conv)</f>
        <v>0</v>
      </c>
      <c r="J454" s="4">
        <f>_xll.ciqfunctions.udf.CIQ(InputTicker,"IQ_DERIVATIVE_ASSETS_LT",Input!L$2,Date,,,Ccy,Conv)</f>
        <v>16</v>
      </c>
      <c r="K454" s="4">
        <f>_xll.ciqfunctions.udf.CIQ(InputTicker,"IQ_DERIVATIVE_ASSETS_LT",Input!M$2,Date,,,Ccy,Conv)</f>
        <v>19</v>
      </c>
      <c r="L454" s="4">
        <f>_xll.ciqfunctions.udf.CIQ(InputTicker,"IQ_DERIVATIVE_ASSETS_LT",Input!N$2,Date,,,Ccy,Conv)</f>
        <v>17</v>
      </c>
      <c r="M454" s="4">
        <f>_xll.ciqfunctions.udf.CIQ(InputTicker,"IQ_DERIVATIVE_ASSETS_LT",Input!O$2,Date,,,Ccy,Conv)</f>
        <v>4</v>
      </c>
      <c r="N454" s="53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  <c r="AH454" s="42"/>
      <c r="AI454" s="42"/>
      <c r="AJ454" s="42"/>
      <c r="AK454" s="42"/>
      <c r="AL454" s="42"/>
      <c r="AM454" s="42"/>
      <c r="AN454" s="42"/>
      <c r="AO454" s="42"/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  <c r="BJ454" s="42"/>
      <c r="BK454" s="42"/>
      <c r="BL454" s="42"/>
      <c r="BM454" s="42"/>
      <c r="BN454" s="42"/>
    </row>
    <row r="455" spans="1:66" ht="12.75" customHeight="1" x14ac:dyDescent="0.2">
      <c r="A455" s="1" t="s">
        <v>13</v>
      </c>
      <c r="B455" s="4">
        <f>_xll.ciqfunctions.udf.CIQ(InputTicker,"IQ_GROSS_INTAN_ASSETS",Input!D$2,Date,,,Ccy,Conv)</f>
        <v>9552</v>
      </c>
      <c r="C455" s="4">
        <f>_xll.ciqfunctions.udf.CIQ(InputTicker,"IQ_GROSS_INTAN_ASSETS",Input!E$2,Date,,,Ccy,Conv)</f>
        <v>9100</v>
      </c>
      <c r="D455" s="4">
        <f>_xll.ciqfunctions.udf.CIQ(InputTicker,"IQ_GROSS_INTAN_ASSETS",Input!F$2,Date,,,Ccy,Conv)</f>
        <v>16667</v>
      </c>
      <c r="E455" s="4">
        <f>_xll.ciqfunctions.udf.CIQ(InputTicker,"IQ_GROSS_INTAN_ASSETS",Input!G$2,Date,,,Ccy,Conv)</f>
        <v>15936</v>
      </c>
      <c r="F455" s="4">
        <f>_xll.ciqfunctions.udf.CIQ(InputTicker,"IQ_GROSS_INTAN_ASSETS",Input!H$2,Date,,,Ccy,Conv)</f>
        <v>17139</v>
      </c>
      <c r="G455" s="4">
        <f>_xll.ciqfunctions.udf.CIQ(InputTicker,"IQ_GROSS_INTAN_ASSETS",Input!I$2,Date,,,Ccy,Conv)</f>
        <v>17759</v>
      </c>
      <c r="H455" s="4">
        <f>_xll.ciqfunctions.udf.CIQ(InputTicker,"IQ_GROSS_INTAN_ASSETS",Input!J$2,Date,,,Ccy,Conv)</f>
        <v>19975</v>
      </c>
      <c r="I455" s="4">
        <f>_xll.ciqfunctions.udf.CIQ(InputTicker,"IQ_GROSS_INTAN_ASSETS",Input!K$2,Date,,,Ccy,Conv)</f>
        <v>23577</v>
      </c>
      <c r="J455" s="4">
        <f>_xll.ciqfunctions.udf.CIQ(InputTicker,"IQ_GROSS_INTAN_ASSETS",Input!L$2,Date,,,Ccy,Conv)</f>
        <v>23490</v>
      </c>
      <c r="K455" s="4">
        <f>_xll.ciqfunctions.udf.CIQ(InputTicker,"IQ_GROSS_INTAN_ASSETS",Input!M$2,Date,,,Ccy,Conv)</f>
        <v>44509</v>
      </c>
      <c r="L455" s="4">
        <f>_xll.ciqfunctions.udf.CIQ(InputTicker,"IQ_GROSS_INTAN_ASSETS",Input!N$2,Date,,,Ccy,Conv)</f>
        <v>43557</v>
      </c>
      <c r="M455" s="4">
        <f>_xll.ciqfunctions.udf.CIQ(InputTicker,"IQ_GROSS_INTAN_ASSETS",Input!O$2,Date,,,Ccy,Conv)</f>
        <v>43911</v>
      </c>
      <c r="N455" s="53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  <c r="BJ455" s="42"/>
      <c r="BK455" s="42"/>
      <c r="BL455" s="42"/>
      <c r="BM455" s="42"/>
      <c r="BN455" s="42"/>
    </row>
    <row r="456" spans="1:66" ht="12.75" customHeight="1" x14ac:dyDescent="0.2">
      <c r="A456" s="1" t="s">
        <v>14</v>
      </c>
      <c r="B456" s="4">
        <f>_xll.ciqfunctions.udf.CIQ(InputTicker,"IQ_ACCUM_AMORT_INTAN_ASSETS",Input!D$2,Date,,,Ccy,Conv)</f>
        <v>-4717</v>
      </c>
      <c r="C456" s="4">
        <f>_xll.ciqfunctions.udf.CIQ(InputTicker,"IQ_ACCUM_AMORT_INTAN_ASSETS",Input!E$2,Date,,,Ccy,Conv)</f>
        <v>-5367</v>
      </c>
      <c r="D456" s="4">
        <f>_xll.ciqfunctions.udf.CIQ(InputTicker,"IQ_ACCUM_AMORT_INTAN_ASSETS",Input!F$2,Date,,,Ccy,Conv)</f>
        <v>-6561</v>
      </c>
      <c r="E456" s="4">
        <f>_xll.ciqfunctions.udf.CIQ(InputTicker,"IQ_ACCUM_AMORT_INTAN_ASSETS",Input!G$2,Date,,,Ccy,Conv)</f>
        <v>-7883</v>
      </c>
      <c r="F456" s="4">
        <f>_xll.ciqfunctions.udf.CIQ(InputTicker,"IQ_ACCUM_AMORT_INTAN_ASSETS",Input!H$2,Date,,,Ccy,Conv)</f>
        <v>-9389</v>
      </c>
      <c r="G456" s="4">
        <f>_xll.ciqfunctions.udf.CIQ(InputTicker,"IQ_ACCUM_AMORT_INTAN_ASSETS",Input!I$2,Date,,,Ccy,Conv)</f>
        <v>-10721</v>
      </c>
      <c r="H456" s="4">
        <f>_xll.ciqfunctions.udf.CIQ(InputTicker,"IQ_ACCUM_AMORT_INTAN_ASSETS",Input!J$2,Date,,,Ccy,Conv)</f>
        <v>-12175</v>
      </c>
      <c r="I456" s="4">
        <f>_xll.ciqfunctions.udf.CIQ(InputTicker,"IQ_ACCUM_AMORT_INTAN_ASSETS",Input!K$2,Date,,,Ccy,Conv)</f>
        <v>-12279</v>
      </c>
      <c r="J456" s="4">
        <f>_xll.ciqfunctions.udf.CIQ(InputTicker,"IQ_ACCUM_AMORT_INTAN_ASSETS",Input!L$2,Date,,,Ccy,Conv)</f>
        <v>-14124</v>
      </c>
      <c r="K456" s="4">
        <f>_xll.ciqfunctions.udf.CIQ(InputTicker,"IQ_ACCUM_AMORT_INTAN_ASSETS",Input!M$2,Date,,,Ccy,Conv)</f>
        <v>-16912</v>
      </c>
      <c r="L456" s="4">
        <f>_xll.ciqfunctions.udf.CIQ(InputTicker,"IQ_ACCUM_AMORT_INTAN_ASSETS",Input!N$2,Date,,,Ccy,Conv)</f>
        <v>-20953</v>
      </c>
      <c r="M456" s="4">
        <f>_xll.ciqfunctions.udf.CIQ(InputTicker,"IQ_ACCUM_AMORT_INTAN_ASSETS",Input!O$2,Date,,,Ccy,Conv)</f>
        <v>-24586</v>
      </c>
      <c r="N456" s="53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  <c r="BJ456" s="42"/>
      <c r="BK456" s="42"/>
      <c r="BL456" s="42"/>
      <c r="BM456" s="42"/>
      <c r="BN456" s="42"/>
    </row>
    <row r="457" spans="1:66" ht="12.75" customHeight="1" x14ac:dyDescent="0.2">
      <c r="A457" s="1" t="s">
        <v>15</v>
      </c>
      <c r="B457" s="4">
        <f>_xll.ciqfunctions.udf.CIQ(InputTicker,"IQ_GROSS_GW",Input!D$2,Date,,,Ccy,Conv)</f>
        <v>0</v>
      </c>
      <c r="C457" s="4">
        <f>_xll.ciqfunctions.udf.CIQ(InputTicker,"IQ_GROSS_GW",Input!E$2,Date,,,Ccy,Conv)</f>
        <v>0</v>
      </c>
      <c r="D457" s="4">
        <f>_xll.ciqfunctions.udf.CIQ(InputTicker,"IQ_GROSS_GW",Input!F$2,Date,,,Ccy,Conv)</f>
        <v>0</v>
      </c>
      <c r="E457" s="4">
        <f>_xll.ciqfunctions.udf.CIQ(InputTicker,"IQ_GROSS_GW",Input!G$2,Date,,,Ccy,Conv)</f>
        <v>0</v>
      </c>
      <c r="F457" s="4">
        <f>_xll.ciqfunctions.udf.CIQ(InputTicker,"IQ_GROSS_GW",Input!H$2,Date,,,Ccy,Conv)</f>
        <v>0</v>
      </c>
      <c r="G457" s="4">
        <f>_xll.ciqfunctions.udf.CIQ(InputTicker,"IQ_GROSS_GW",Input!I$2,Date,,,Ccy,Conv)</f>
        <v>0</v>
      </c>
      <c r="H457" s="4">
        <f>_xll.ciqfunctions.udf.CIQ(InputTicker,"IQ_GROSS_GW",Input!J$2,Date,,,Ccy,Conv)</f>
        <v>0</v>
      </c>
      <c r="I457" s="4">
        <f>_xll.ciqfunctions.udf.CIQ(InputTicker,"IQ_GROSS_GW",Input!K$2,Date,,,Ccy,Conv)</f>
        <v>0</v>
      </c>
      <c r="J457" s="4">
        <f>_xll.ciqfunctions.udf.CIQ(InputTicker,"IQ_GROSS_GW",Input!L$2,Date,,,Ccy,Conv)</f>
        <v>0</v>
      </c>
      <c r="K457" s="4">
        <f>_xll.ciqfunctions.udf.CIQ(InputTicker,"IQ_GROSS_GW",Input!M$2,Date,,,Ccy,Conv)</f>
        <v>0</v>
      </c>
      <c r="L457" s="4">
        <f>_xll.ciqfunctions.udf.CIQ(InputTicker,"IQ_GROSS_GW",Input!N$2,Date,,,Ccy,Conv)</f>
        <v>0</v>
      </c>
      <c r="M457" s="4">
        <f>_xll.ciqfunctions.udf.CIQ(InputTicker,"IQ_GROSS_GW",Input!O$2,Date,,,Ccy,Conv)</f>
        <v>0</v>
      </c>
      <c r="N457" s="55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  <c r="BJ457" s="42"/>
      <c r="BK457" s="42"/>
      <c r="BL457" s="42"/>
      <c r="BM457" s="42"/>
      <c r="BN457" s="42"/>
    </row>
    <row r="458" spans="1:66" ht="12.75" customHeight="1" x14ac:dyDescent="0.2">
      <c r="A458" s="1" t="s">
        <v>16</v>
      </c>
      <c r="B458" s="4">
        <f>_xll.ciqfunctions.udf.CIQ(InputTicker,"IQ_ACCUM_AMORT_GW",Input!D$2,Date,,,Ccy,Conv)</f>
        <v>0</v>
      </c>
      <c r="C458" s="4">
        <f>_xll.ciqfunctions.udf.CIQ(InputTicker,"IQ_ACCUM_AMORT_GW",Input!E$2,Date,,,Ccy,Conv)</f>
        <v>0</v>
      </c>
      <c r="D458" s="4">
        <f>_xll.ciqfunctions.udf.CIQ(InputTicker,"IQ_ACCUM_AMORT_GW",Input!F$2,Date,,,Ccy,Conv)</f>
        <v>0</v>
      </c>
      <c r="E458" s="4">
        <f>_xll.ciqfunctions.udf.CIQ(InputTicker,"IQ_ACCUM_AMORT_GW",Input!G$2,Date,,,Ccy,Conv)</f>
        <v>0</v>
      </c>
      <c r="F458" s="4">
        <f>_xll.ciqfunctions.udf.CIQ(InputTicker,"IQ_ACCUM_AMORT_GW",Input!H$2,Date,,,Ccy,Conv)</f>
        <v>0</v>
      </c>
      <c r="G458" s="4">
        <f>_xll.ciqfunctions.udf.CIQ(InputTicker,"IQ_ACCUM_AMORT_GW",Input!I$2,Date,,,Ccy,Conv)</f>
        <v>0</v>
      </c>
      <c r="H458" s="4">
        <f>_xll.ciqfunctions.udf.CIQ(InputTicker,"IQ_ACCUM_AMORT_GW",Input!J$2,Date,,,Ccy,Conv)</f>
        <v>0</v>
      </c>
      <c r="I458" s="4">
        <f>_xll.ciqfunctions.udf.CIQ(InputTicker,"IQ_ACCUM_AMORT_GW",Input!K$2,Date,,,Ccy,Conv)</f>
        <v>0</v>
      </c>
      <c r="J458" s="4">
        <f>_xll.ciqfunctions.udf.CIQ(InputTicker,"IQ_ACCUM_AMORT_GW",Input!L$2,Date,,,Ccy,Conv)</f>
        <v>0</v>
      </c>
      <c r="K458" s="4">
        <f>_xll.ciqfunctions.udf.CIQ(InputTicker,"IQ_ACCUM_AMORT_GW",Input!M$2,Date,,,Ccy,Conv)</f>
        <v>0</v>
      </c>
      <c r="L458" s="4">
        <f>_xll.ciqfunctions.udf.CIQ(InputTicker,"IQ_ACCUM_AMORT_GW",Input!N$2,Date,,,Ccy,Conv)</f>
        <v>0</v>
      </c>
      <c r="M458" s="4">
        <f>_xll.ciqfunctions.udf.CIQ(InputTicker,"IQ_ACCUM_AMORT_GW",Input!O$2,Date,,,Ccy,Conv)</f>
        <v>0</v>
      </c>
      <c r="N458" s="55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  <c r="BJ458" s="42"/>
      <c r="BK458" s="42"/>
      <c r="BL458" s="42"/>
      <c r="BM458" s="42"/>
      <c r="BN458" s="42"/>
    </row>
    <row r="459" spans="1:66" ht="12.75" customHeight="1" x14ac:dyDescent="0.2">
      <c r="A459" s="1" t="s">
        <v>487</v>
      </c>
      <c r="B459" s="4">
        <f>_xll.ciqfunctions.udf.CIQ(InputTicker,"IQ_LT_MARK_SECURITIES",Input!D$2,Date,,,Ccy,Conv)</f>
        <v>0</v>
      </c>
      <c r="C459" s="4">
        <f>_xll.ciqfunctions.udf.CIQ(InputTicker,"IQ_LT_MARK_SECURITIES",Input!E$2,Date,,,Ccy,Conv)</f>
        <v>0</v>
      </c>
      <c r="D459" s="4">
        <f>_xll.ciqfunctions.udf.CIQ(InputTicker,"IQ_LT_MARK_SECURITIES",Input!F$2,Date,,,Ccy,Conv)</f>
        <v>0</v>
      </c>
      <c r="E459" s="4">
        <f>_xll.ciqfunctions.udf.CIQ(InputTicker,"IQ_LT_MARK_SECURITIES",Input!G$2,Date,,,Ccy,Conv)</f>
        <v>0</v>
      </c>
      <c r="F459" s="4">
        <f>_xll.ciqfunctions.udf.CIQ(InputTicker,"IQ_LT_MARK_SECURITIES",Input!H$2,Date,,,Ccy,Conv)</f>
        <v>0</v>
      </c>
      <c r="G459" s="4">
        <f>_xll.ciqfunctions.udf.CIQ(InputTicker,"IQ_LT_MARK_SECURITIES",Input!I$2,Date,,,Ccy,Conv)</f>
        <v>0</v>
      </c>
      <c r="H459" s="4">
        <f>_xll.ciqfunctions.udf.CIQ(InputTicker,"IQ_LT_MARK_SECURITIES",Input!J$2,Date,,,Ccy,Conv)</f>
        <v>0</v>
      </c>
      <c r="I459" s="4">
        <f>_xll.ciqfunctions.udf.CIQ(InputTicker,"IQ_LT_MARK_SECURITIES",Input!K$2,Date,,,Ccy,Conv)</f>
        <v>0</v>
      </c>
      <c r="J459" s="4">
        <f>_xll.ciqfunctions.udf.CIQ(InputTicker,"IQ_LT_MARK_SECURITIES",Input!L$2,Date,,,Ccy,Conv)</f>
        <v>0</v>
      </c>
      <c r="K459" s="4">
        <f>_xll.ciqfunctions.udf.CIQ(InputTicker,"IQ_LT_MARK_SECURITIES",Input!M$2,Date,,,Ccy,Conv)</f>
        <v>0</v>
      </c>
      <c r="L459" s="4">
        <f>_xll.ciqfunctions.udf.CIQ(InputTicker,"IQ_LT_MARK_SECURITIES",Input!N$2,Date,,,Ccy,Conv)</f>
        <v>0</v>
      </c>
      <c r="M459" s="4">
        <f>_xll.ciqfunctions.udf.CIQ(InputTicker,"IQ_LT_MARK_SECURITIES",Input!O$2,Date,,,Ccy,Conv)</f>
        <v>0</v>
      </c>
      <c r="N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  <c r="AH459" s="42"/>
      <c r="AI459" s="42"/>
      <c r="AJ459" s="42"/>
      <c r="AK459" s="42"/>
      <c r="AL459" s="42"/>
      <c r="AM459" s="42"/>
      <c r="AN459" s="42"/>
      <c r="AO459" s="42"/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  <c r="BJ459" s="42"/>
      <c r="BK459" s="42"/>
      <c r="BL459" s="42"/>
      <c r="BM459" s="42"/>
      <c r="BN459" s="42"/>
    </row>
    <row r="460" spans="1:66" ht="12.75" customHeight="1" x14ac:dyDescent="0.2">
      <c r="A460" s="1" t="s">
        <v>488</v>
      </c>
      <c r="B460" s="4">
        <f>_xll.ciqfunctions.udf.CIQ(InputTicker,"IQ_ADVANCES_FOR_SUPPLIES",Input!D$2,Date,,,Ccy,Conv)</f>
        <v>0</v>
      </c>
      <c r="C460" s="4">
        <f>_xll.ciqfunctions.udf.CIQ(InputTicker,"IQ_ADVANCES_FOR_SUPPLIES",Input!E$2,Date,,,Ccy,Conv)</f>
        <v>0</v>
      </c>
      <c r="D460" s="4">
        <f>_xll.ciqfunctions.udf.CIQ(InputTicker,"IQ_ADVANCES_FOR_SUPPLIES",Input!F$2,Date,,,Ccy,Conv)</f>
        <v>0</v>
      </c>
      <c r="E460" s="4">
        <f>_xll.ciqfunctions.udf.CIQ(InputTicker,"IQ_ADVANCES_FOR_SUPPLIES",Input!G$2,Date,,,Ccy,Conv)</f>
        <v>0</v>
      </c>
      <c r="F460" s="4">
        <f>_xll.ciqfunctions.udf.CIQ(InputTicker,"IQ_ADVANCES_FOR_SUPPLIES",Input!H$2,Date,,,Ccy,Conv)</f>
        <v>0</v>
      </c>
      <c r="G460" s="4">
        <f>_xll.ciqfunctions.udf.CIQ(InputTicker,"IQ_ADVANCES_FOR_SUPPLIES",Input!I$2,Date,,,Ccy,Conv)</f>
        <v>0</v>
      </c>
      <c r="H460" s="4">
        <f>_xll.ciqfunctions.udf.CIQ(InputTicker,"IQ_ADVANCES_FOR_SUPPLIES",Input!J$2,Date,,,Ccy,Conv)</f>
        <v>0</v>
      </c>
      <c r="I460" s="4">
        <f>_xll.ciqfunctions.udf.CIQ(InputTicker,"IQ_ADVANCES_FOR_SUPPLIES",Input!K$2,Date,,,Ccy,Conv)</f>
        <v>0</v>
      </c>
      <c r="J460" s="4">
        <f>_xll.ciqfunctions.udf.CIQ(InputTicker,"IQ_ADVANCES_FOR_SUPPLIES",Input!L$2,Date,,,Ccy,Conv)</f>
        <v>0</v>
      </c>
      <c r="K460" s="4">
        <f>_xll.ciqfunctions.udf.CIQ(InputTicker,"IQ_ADVANCES_FOR_SUPPLIES",Input!M$2,Date,,,Ccy,Conv)</f>
        <v>0</v>
      </c>
      <c r="L460" s="4">
        <f>_xll.ciqfunctions.udf.CIQ(InputTicker,"IQ_ADVANCES_FOR_SUPPLIES",Input!N$2,Date,,,Ccy,Conv)</f>
        <v>0</v>
      </c>
      <c r="M460" s="4">
        <f>_xll.ciqfunctions.udf.CIQ(InputTicker,"IQ_ADVANCES_FOR_SUPPLIES",Input!O$2,Date,,,Ccy,Conv)</f>
        <v>0</v>
      </c>
      <c r="N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  <c r="BJ460" s="42"/>
      <c r="BK460" s="42"/>
      <c r="BL460" s="42"/>
      <c r="BM460" s="42"/>
      <c r="BN460" s="42"/>
    </row>
    <row r="461" spans="1:66" ht="12.75" customHeight="1" x14ac:dyDescent="0.2">
      <c r="A461" s="1" t="s">
        <v>489</v>
      </c>
      <c r="B461" s="4">
        <f>_xll.ciqfunctions.udf.CIQ(InputTicker,"IQ_GW_INTAN_NET",Input!D$2,Date,,,Ccy,Conv)</f>
        <v>0</v>
      </c>
      <c r="C461" s="4">
        <f>_xll.ciqfunctions.udf.CIQ(InputTicker,"IQ_GW_INTAN_NET",Input!E$2,Date,,,Ccy,Conv)</f>
        <v>0</v>
      </c>
      <c r="D461" s="4">
        <f>_xll.ciqfunctions.udf.CIQ(InputTicker,"IQ_GW_INTAN_NET",Input!F$2,Date,,,Ccy,Conv)</f>
        <v>0</v>
      </c>
      <c r="E461" s="4">
        <f>_xll.ciqfunctions.udf.CIQ(InputTicker,"IQ_GW_INTAN_NET",Input!G$2,Date,,,Ccy,Conv)</f>
        <v>0</v>
      </c>
      <c r="F461" s="4">
        <f>_xll.ciqfunctions.udf.CIQ(InputTicker,"IQ_GW_INTAN_NET",Input!H$2,Date,,,Ccy,Conv)</f>
        <v>0</v>
      </c>
      <c r="G461" s="4">
        <f>_xll.ciqfunctions.udf.CIQ(InputTicker,"IQ_GW_INTAN_NET",Input!I$2,Date,,,Ccy,Conv)</f>
        <v>0</v>
      </c>
      <c r="H461" s="4">
        <f>_xll.ciqfunctions.udf.CIQ(InputTicker,"IQ_GW_INTAN_NET",Input!J$2,Date,,,Ccy,Conv)</f>
        <v>0</v>
      </c>
      <c r="I461" s="4">
        <f>_xll.ciqfunctions.udf.CIQ(InputTicker,"IQ_GW_INTAN_NET",Input!K$2,Date,,,Ccy,Conv)</f>
        <v>0</v>
      </c>
      <c r="J461" s="4">
        <f>_xll.ciqfunctions.udf.CIQ(InputTicker,"IQ_GW_INTAN_NET",Input!L$2,Date,,,Ccy,Conv)</f>
        <v>0</v>
      </c>
      <c r="K461" s="4">
        <f>_xll.ciqfunctions.udf.CIQ(InputTicker,"IQ_GW_INTAN_NET",Input!M$2,Date,,,Ccy,Conv)</f>
        <v>0</v>
      </c>
      <c r="L461" s="4">
        <f>_xll.ciqfunctions.udf.CIQ(InputTicker,"IQ_GW_INTAN_NET",Input!N$2,Date,,,Ccy,Conv)</f>
        <v>0</v>
      </c>
      <c r="M461" s="4">
        <f>_xll.ciqfunctions.udf.CIQ(InputTicker,"IQ_GW_INTAN_NET",Input!O$2,Date,,,Ccy,Conv)</f>
        <v>0</v>
      </c>
      <c r="N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  <c r="AH461" s="42"/>
      <c r="AI461" s="42"/>
      <c r="AJ461" s="42"/>
      <c r="AK461" s="42"/>
      <c r="AL461" s="42"/>
      <c r="AM461" s="42"/>
      <c r="AN461" s="42"/>
      <c r="AO461" s="42"/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  <c r="BJ461" s="42"/>
      <c r="BK461" s="42"/>
      <c r="BL461" s="42"/>
      <c r="BM461" s="42"/>
      <c r="BN461" s="42"/>
    </row>
    <row r="462" spans="1:66" ht="12.75" customHeight="1" x14ac:dyDescent="0.2">
      <c r="A462" s="1" t="s">
        <v>490</v>
      </c>
      <c r="B462" s="4">
        <f>_xll.ciqfunctions.udf.CIQ(InputTicker,"IQ_GW_NET",Input!D$2,Date,,,Ccy,Conv)</f>
        <v>0</v>
      </c>
      <c r="C462" s="4">
        <f>_xll.ciqfunctions.udf.CIQ(InputTicker,"IQ_GW_NET",Input!E$2,Date,,,Ccy,Conv)</f>
        <v>0</v>
      </c>
      <c r="D462" s="4">
        <f>_xll.ciqfunctions.udf.CIQ(InputTicker,"IQ_GW_NET",Input!F$2,Date,,,Ccy,Conv)</f>
        <v>0</v>
      </c>
      <c r="E462" s="4">
        <f>_xll.ciqfunctions.udf.CIQ(InputTicker,"IQ_GW_NET",Input!G$2,Date,,,Ccy,Conv)</f>
        <v>0</v>
      </c>
      <c r="F462" s="4">
        <f>_xll.ciqfunctions.udf.CIQ(InputTicker,"IQ_GW_NET",Input!H$2,Date,,,Ccy,Conv)</f>
        <v>42026</v>
      </c>
      <c r="G462" s="4">
        <f>_xll.ciqfunctions.udf.CIQ(InputTicker,"IQ_GW_NET",Input!I$2,Date,,,Ccy,Conv)</f>
        <v>43351</v>
      </c>
      <c r="H462" s="4">
        <f>_xll.ciqfunctions.udf.CIQ(InputTicker,"IQ_GW_NET",Input!J$2,Date,,,Ccy,Conv)</f>
        <v>49711</v>
      </c>
      <c r="I462" s="4">
        <f>_xll.ciqfunctions.udf.CIQ(InputTicker,"IQ_GW_NET",Input!K$2,Date,,,Ccy,Conv)</f>
        <v>67524</v>
      </c>
      <c r="J462" s="4">
        <f>_xll.ciqfunctions.udf.CIQ(InputTicker,"IQ_GW_NET",Input!L$2,Date,,,Ccy,Conv)</f>
        <v>67886</v>
      </c>
      <c r="K462" s="4">
        <f>_xll.ciqfunctions.udf.CIQ(InputTicker,"IQ_GW_NET",Input!M$2,Date,,,Ccy,Conv)</f>
        <v>119220</v>
      </c>
      <c r="L462" s="4">
        <f>_xll.ciqfunctions.udf.CIQ(InputTicker,"IQ_GW_NET",Input!N$2,Date,,,Ccy,Conv)</f>
        <v>119509</v>
      </c>
      <c r="M462" s="4">
        <f>_xll.ciqfunctions.udf.CIQ(InputTicker,"IQ_GW_NET",Input!O$2,Date,,,Ccy,Conv)</f>
        <v>119661</v>
      </c>
      <c r="N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  <c r="AH462" s="42"/>
      <c r="AI462" s="42"/>
      <c r="AJ462" s="42"/>
      <c r="AK462" s="42"/>
      <c r="AL462" s="42"/>
      <c r="AM462" s="42"/>
      <c r="AN462" s="42"/>
      <c r="AO462" s="42"/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  <c r="BJ462" s="42"/>
      <c r="BK462" s="42"/>
      <c r="BL462" s="42"/>
      <c r="BM462" s="42"/>
      <c r="BN462" s="42"/>
    </row>
    <row r="463" spans="1:66" ht="12.75" customHeight="1" x14ac:dyDescent="0.2">
      <c r="A463" s="1" t="s">
        <v>491</v>
      </c>
      <c r="B463" s="4">
        <f>_xll.ciqfunctions.udf.CIQ(InputTicker,"IQ_INTAN_NET",Input!D$2,Date,,,Ccy,Conv)</f>
        <v>0</v>
      </c>
      <c r="C463" s="4">
        <f>_xll.ciqfunctions.udf.CIQ(InputTicker,"IQ_INTAN_NET",Input!E$2,Date,,,Ccy,Conv)</f>
        <v>0</v>
      </c>
      <c r="D463" s="4">
        <f>_xll.ciqfunctions.udf.CIQ(InputTicker,"IQ_INTAN_NET",Input!F$2,Date,,,Ccy,Conv)</f>
        <v>0</v>
      </c>
      <c r="E463" s="4">
        <f>_xll.ciqfunctions.udf.CIQ(InputTicker,"IQ_INTAN_NET",Input!G$2,Date,,,Ccy,Conv)</f>
        <v>0</v>
      </c>
      <c r="F463" s="4">
        <f>_xll.ciqfunctions.udf.CIQ(InputTicker,"IQ_INTAN_NET",Input!H$2,Date,,,Ccy,Conv)</f>
        <v>7750</v>
      </c>
      <c r="G463" s="4">
        <f>_xll.ciqfunctions.udf.CIQ(InputTicker,"IQ_INTAN_NET",Input!I$2,Date,,,Ccy,Conv)</f>
        <v>7038</v>
      </c>
      <c r="H463" s="4">
        <f>_xll.ciqfunctions.udf.CIQ(InputTicker,"IQ_INTAN_NET",Input!J$2,Date,,,Ccy,Conv)</f>
        <v>7800</v>
      </c>
      <c r="I463" s="4">
        <f>_xll.ciqfunctions.udf.CIQ(InputTicker,"IQ_INTAN_NET",Input!K$2,Date,,,Ccy,Conv)</f>
        <v>11298</v>
      </c>
      <c r="J463" s="4">
        <f>_xll.ciqfunctions.udf.CIQ(InputTicker,"IQ_INTAN_NET",Input!L$2,Date,,,Ccy,Conv)</f>
        <v>9366</v>
      </c>
      <c r="K463" s="4">
        <f>_xll.ciqfunctions.udf.CIQ(InputTicker,"IQ_INTAN_NET",Input!M$2,Date,,,Ccy,Conv)</f>
        <v>27597</v>
      </c>
      <c r="L463" s="4">
        <f>_xll.ciqfunctions.udf.CIQ(InputTicker,"IQ_INTAN_NET",Input!N$2,Date,,,Ccy,Conv)</f>
        <v>22604</v>
      </c>
      <c r="M463" s="4">
        <f>_xll.ciqfunctions.udf.CIQ(InputTicker,"IQ_INTAN_NET",Input!O$2,Date,,,Ccy,Conv)</f>
        <v>19325</v>
      </c>
      <c r="N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  <c r="AH463" s="42"/>
      <c r="AI463" s="42"/>
      <c r="AJ463" s="42"/>
      <c r="AK463" s="42"/>
      <c r="AL463" s="42"/>
      <c r="AM463" s="42"/>
      <c r="AN463" s="42"/>
      <c r="AO463" s="42"/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  <c r="BJ463" s="42"/>
      <c r="BK463" s="42"/>
      <c r="BL463" s="42"/>
      <c r="BM463" s="42"/>
      <c r="BN463" s="42"/>
    </row>
    <row r="464" spans="1:66" ht="12.75" customHeight="1" x14ac:dyDescent="0.2">
      <c r="A464" s="1" t="s">
        <v>506</v>
      </c>
      <c r="B464" s="4">
        <f>_xll.ciqfunctions.udf.CIQ(InputTicker,"IQ_INTERCOMPANY_CA",Input!D$2,Date,,,Ccy,Conv)</f>
        <v>0</v>
      </c>
      <c r="C464" s="4">
        <f>_xll.ciqfunctions.udf.CIQ(InputTicker,"IQ_INTERCOMPANY_CA",Input!E$2,Date,,,Ccy,Conv)</f>
        <v>0</v>
      </c>
      <c r="D464" s="4">
        <f>_xll.ciqfunctions.udf.CIQ(InputTicker,"IQ_INTERCOMPANY_CA",Input!F$2,Date,,,Ccy,Conv)</f>
        <v>0</v>
      </c>
      <c r="E464" s="4">
        <f>_xll.ciqfunctions.udf.CIQ(InputTicker,"IQ_INTERCOMPANY_CA",Input!G$2,Date,,,Ccy,Conv)</f>
        <v>0</v>
      </c>
      <c r="F464" s="4">
        <f>_xll.ciqfunctions.udf.CIQ(InputTicker,"IQ_INTERCOMPANY_CA",Input!H$2,Date,,,Ccy,Conv)</f>
        <v>0</v>
      </c>
      <c r="G464" s="4">
        <f>_xll.ciqfunctions.udf.CIQ(InputTicker,"IQ_INTERCOMPANY_CA",Input!I$2,Date,,,Ccy,Conv)</f>
        <v>0</v>
      </c>
      <c r="H464" s="4">
        <f>_xll.ciqfunctions.udf.CIQ(InputTicker,"IQ_INTERCOMPANY_CA",Input!J$2,Date,,,Ccy,Conv)</f>
        <v>0</v>
      </c>
      <c r="I464" s="4">
        <f>_xll.ciqfunctions.udf.CIQ(InputTicker,"IQ_INTERCOMPANY_CA",Input!K$2,Date,,,Ccy,Conv)</f>
        <v>0</v>
      </c>
      <c r="J464" s="4">
        <f>_xll.ciqfunctions.udf.CIQ(InputTicker,"IQ_INTERCOMPANY_CA",Input!L$2,Date,,,Ccy,Conv)</f>
        <v>0</v>
      </c>
      <c r="K464" s="4">
        <f>_xll.ciqfunctions.udf.CIQ(InputTicker,"IQ_INTERCOMPANY_CA",Input!M$2,Date,,,Ccy,Conv)</f>
        <v>0</v>
      </c>
      <c r="L464" s="4">
        <f>_xll.ciqfunctions.udf.CIQ(InputTicker,"IQ_INTERCOMPANY_CA",Input!N$2,Date,,,Ccy,Conv)</f>
        <v>0</v>
      </c>
      <c r="M464" s="4">
        <f>_xll.ciqfunctions.udf.CIQ(InputTicker,"IQ_INTERCOMPANY_CA",Input!O$2,Date,,,Ccy,Conv)</f>
        <v>0</v>
      </c>
      <c r="N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  <c r="BJ464" s="42"/>
      <c r="BK464" s="42"/>
      <c r="BL464" s="42"/>
      <c r="BM464" s="42"/>
      <c r="BN464" s="42"/>
    </row>
    <row r="465" spans="1:66" ht="12.75" customHeight="1" x14ac:dyDescent="0.2">
      <c r="A465" s="1" t="s">
        <v>492</v>
      </c>
      <c r="B465" s="4">
        <f>_xll.ciqfunctions.udf.CIQ(InputTicker,"IQ_INTERCOMPANY_NON_CA",Input!D$2,Date,,,Ccy,Conv)</f>
        <v>0</v>
      </c>
      <c r="C465" s="4">
        <f>_xll.ciqfunctions.udf.CIQ(InputTicker,"IQ_INTERCOMPANY_NON_CA",Input!E$2,Date,,,Ccy,Conv)</f>
        <v>0</v>
      </c>
      <c r="D465" s="4">
        <f>_xll.ciqfunctions.udf.CIQ(InputTicker,"IQ_INTERCOMPANY_NON_CA",Input!F$2,Date,,,Ccy,Conv)</f>
        <v>0</v>
      </c>
      <c r="E465" s="4">
        <f>_xll.ciqfunctions.udf.CIQ(InputTicker,"IQ_INTERCOMPANY_NON_CA",Input!G$2,Date,,,Ccy,Conv)</f>
        <v>0</v>
      </c>
      <c r="F465" s="4">
        <f>_xll.ciqfunctions.udf.CIQ(InputTicker,"IQ_INTERCOMPANY_NON_CA",Input!H$2,Date,,,Ccy,Conv)</f>
        <v>0</v>
      </c>
      <c r="G465" s="4">
        <f>_xll.ciqfunctions.udf.CIQ(InputTicker,"IQ_INTERCOMPANY_NON_CA",Input!I$2,Date,,,Ccy,Conv)</f>
        <v>0</v>
      </c>
      <c r="H465" s="4">
        <f>_xll.ciqfunctions.udf.CIQ(InputTicker,"IQ_INTERCOMPANY_NON_CA",Input!J$2,Date,,,Ccy,Conv)</f>
        <v>0</v>
      </c>
      <c r="I465" s="4">
        <f>_xll.ciqfunctions.udf.CIQ(InputTicker,"IQ_INTERCOMPANY_NON_CA",Input!K$2,Date,,,Ccy,Conv)</f>
        <v>0</v>
      </c>
      <c r="J465" s="4">
        <f>_xll.ciqfunctions.udf.CIQ(InputTicker,"IQ_INTERCOMPANY_NON_CA",Input!L$2,Date,,,Ccy,Conv)</f>
        <v>0</v>
      </c>
      <c r="K465" s="4">
        <f>_xll.ciqfunctions.udf.CIQ(InputTicker,"IQ_INTERCOMPANY_NON_CA",Input!M$2,Date,,,Ccy,Conv)</f>
        <v>0</v>
      </c>
      <c r="L465" s="4">
        <f>_xll.ciqfunctions.udf.CIQ(InputTicker,"IQ_INTERCOMPANY_NON_CA",Input!N$2,Date,,,Ccy,Conv)</f>
        <v>0</v>
      </c>
      <c r="M465" s="4">
        <f>_xll.ciqfunctions.udf.CIQ(InputTicker,"IQ_INTERCOMPANY_NON_CA",Input!O$2,Date,,,Ccy,Conv)</f>
        <v>0</v>
      </c>
      <c r="N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  <c r="AH465" s="42"/>
      <c r="AI465" s="42"/>
      <c r="AJ465" s="42"/>
      <c r="AK465" s="42"/>
      <c r="AL465" s="42"/>
      <c r="AM465" s="42"/>
      <c r="AN465" s="42"/>
      <c r="AO465" s="42"/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  <c r="BJ465" s="42"/>
      <c r="BK465" s="42"/>
      <c r="BL465" s="42"/>
      <c r="BM465" s="42"/>
      <c r="BN465" s="42"/>
    </row>
    <row r="466" spans="1:66" ht="12.75" customHeight="1" x14ac:dyDescent="0.2">
      <c r="A466" s="1" t="s">
        <v>493</v>
      </c>
      <c r="B466" s="4">
        <f>_xll.ciqfunctions.udf.CIQ(InputTicker,"IQ_INTERCOMPANY_CL",Input!D$2,Date,,,Ccy,Conv)</f>
        <v>0</v>
      </c>
      <c r="C466" s="4">
        <f>_xll.ciqfunctions.udf.CIQ(InputTicker,"IQ_INTERCOMPANY_CL",Input!E$2,Date,,,Ccy,Conv)</f>
        <v>0</v>
      </c>
      <c r="D466" s="4">
        <f>_xll.ciqfunctions.udf.CIQ(InputTicker,"IQ_INTERCOMPANY_CL",Input!F$2,Date,,,Ccy,Conv)</f>
        <v>0</v>
      </c>
      <c r="E466" s="4">
        <f>_xll.ciqfunctions.udf.CIQ(InputTicker,"IQ_INTERCOMPANY_CL",Input!G$2,Date,,,Ccy,Conv)</f>
        <v>0</v>
      </c>
      <c r="F466" s="4">
        <f>_xll.ciqfunctions.udf.CIQ(InputTicker,"IQ_INTERCOMPANY_CL",Input!H$2,Date,,,Ccy,Conv)</f>
        <v>0</v>
      </c>
      <c r="G466" s="4">
        <f>_xll.ciqfunctions.udf.CIQ(InputTicker,"IQ_INTERCOMPANY_CL",Input!I$2,Date,,,Ccy,Conv)</f>
        <v>0</v>
      </c>
      <c r="H466" s="4">
        <f>_xll.ciqfunctions.udf.CIQ(InputTicker,"IQ_INTERCOMPANY_CL",Input!J$2,Date,,,Ccy,Conv)</f>
        <v>0</v>
      </c>
      <c r="I466" s="4">
        <f>_xll.ciqfunctions.udf.CIQ(InputTicker,"IQ_INTERCOMPANY_CL",Input!K$2,Date,,,Ccy,Conv)</f>
        <v>0</v>
      </c>
      <c r="J466" s="4">
        <f>_xll.ciqfunctions.udf.CIQ(InputTicker,"IQ_INTERCOMPANY_CL",Input!L$2,Date,,,Ccy,Conv)</f>
        <v>0</v>
      </c>
      <c r="K466" s="4">
        <f>_xll.ciqfunctions.udf.CIQ(InputTicker,"IQ_INTERCOMPANY_CL",Input!M$2,Date,,,Ccy,Conv)</f>
        <v>0</v>
      </c>
      <c r="L466" s="4">
        <f>_xll.ciqfunctions.udf.CIQ(InputTicker,"IQ_INTERCOMPANY_CL",Input!N$2,Date,,,Ccy,Conv)</f>
        <v>0</v>
      </c>
      <c r="M466" s="4">
        <f>_xll.ciqfunctions.udf.CIQ(InputTicker,"IQ_INTERCOMPANY_CL",Input!O$2,Date,,,Ccy,Conv)</f>
        <v>0</v>
      </c>
      <c r="N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  <c r="BJ466" s="42"/>
      <c r="BK466" s="42"/>
      <c r="BL466" s="42"/>
      <c r="BM466" s="42"/>
      <c r="BN466" s="42"/>
    </row>
    <row r="467" spans="1:66" ht="12.75" customHeight="1" x14ac:dyDescent="0.2">
      <c r="A467" s="1" t="s">
        <v>494</v>
      </c>
      <c r="B467" s="4">
        <f>_xll.ciqfunctions.udf.CIQ(InputTicker,"IQ_INTERCOMPANY_NON_CL",Input!D$2,Date,,,Ccy,Conv)</f>
        <v>0</v>
      </c>
      <c r="C467" s="4">
        <f>_xll.ciqfunctions.udf.CIQ(InputTicker,"IQ_INTERCOMPANY_NON_CL",Input!E$2,Date,,,Ccy,Conv)</f>
        <v>0</v>
      </c>
      <c r="D467" s="4">
        <f>_xll.ciqfunctions.udf.CIQ(InputTicker,"IQ_INTERCOMPANY_NON_CL",Input!F$2,Date,,,Ccy,Conv)</f>
        <v>0</v>
      </c>
      <c r="E467" s="4">
        <f>_xll.ciqfunctions.udf.CIQ(InputTicker,"IQ_INTERCOMPANY_NON_CL",Input!G$2,Date,,,Ccy,Conv)</f>
        <v>0</v>
      </c>
      <c r="F467" s="4">
        <f>_xll.ciqfunctions.udf.CIQ(InputTicker,"IQ_INTERCOMPANY_NON_CL",Input!H$2,Date,,,Ccy,Conv)</f>
        <v>0</v>
      </c>
      <c r="G467" s="4">
        <f>_xll.ciqfunctions.udf.CIQ(InputTicker,"IQ_INTERCOMPANY_NON_CL",Input!I$2,Date,,,Ccy,Conv)</f>
        <v>0</v>
      </c>
      <c r="H467" s="4">
        <f>_xll.ciqfunctions.udf.CIQ(InputTicker,"IQ_INTERCOMPANY_NON_CL",Input!J$2,Date,,,Ccy,Conv)</f>
        <v>0</v>
      </c>
      <c r="I467" s="4">
        <f>_xll.ciqfunctions.udf.CIQ(InputTicker,"IQ_INTERCOMPANY_NON_CL",Input!K$2,Date,,,Ccy,Conv)</f>
        <v>0</v>
      </c>
      <c r="J467" s="4">
        <f>_xll.ciqfunctions.udf.CIQ(InputTicker,"IQ_INTERCOMPANY_NON_CL",Input!L$2,Date,,,Ccy,Conv)</f>
        <v>0</v>
      </c>
      <c r="K467" s="4">
        <f>_xll.ciqfunctions.udf.CIQ(InputTicker,"IQ_INTERCOMPANY_NON_CL",Input!M$2,Date,,,Ccy,Conv)</f>
        <v>0</v>
      </c>
      <c r="L467" s="4">
        <f>_xll.ciqfunctions.udf.CIQ(InputTicker,"IQ_INTERCOMPANY_NON_CL",Input!N$2,Date,,,Ccy,Conv)</f>
        <v>0</v>
      </c>
      <c r="M467" s="4">
        <f>_xll.ciqfunctions.udf.CIQ(InputTicker,"IQ_INTERCOMPANY_NON_CL",Input!O$2,Date,,,Ccy,Conv)</f>
        <v>0</v>
      </c>
      <c r="N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  <c r="AH467" s="42"/>
      <c r="AI467" s="42"/>
      <c r="AJ467" s="42"/>
      <c r="AK467" s="42"/>
      <c r="AL467" s="42"/>
      <c r="AM467" s="42"/>
      <c r="AN467" s="42"/>
      <c r="AO467" s="42"/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  <c r="BJ467" s="42"/>
      <c r="BK467" s="42"/>
      <c r="BL467" s="42"/>
      <c r="BM467" s="42"/>
      <c r="BN467" s="42"/>
    </row>
    <row r="468" spans="1:66" ht="12.75" customHeight="1" x14ac:dyDescent="0.2">
      <c r="A468" s="1" t="s">
        <v>347</v>
      </c>
      <c r="B468" s="15" t="str">
        <f>_xll.ciqfunctions.udf.CIQ(InputTicker, "IQ_FILING_CURRENCY",Input!D$2,Date)</f>
        <v>USD</v>
      </c>
      <c r="C468" s="15" t="str">
        <f>_xll.ciqfunctions.udf.CIQ(InputTicker, "IQ_FILING_CURRENCY",Input!E$2,Date)</f>
        <v>USD</v>
      </c>
      <c r="D468" s="15" t="str">
        <f>_xll.ciqfunctions.udf.CIQ(InputTicker, "IQ_FILING_CURRENCY",Input!F$2,Date)</f>
        <v>USD</v>
      </c>
      <c r="E468" s="15" t="str">
        <f>_xll.ciqfunctions.udf.CIQ(InputTicker, "IQ_FILING_CURRENCY",Input!G$2,Date)</f>
        <v>USD</v>
      </c>
      <c r="F468" s="15" t="str">
        <f>_xll.ciqfunctions.udf.CIQ(InputTicker, "IQ_FILING_CURRENCY",Input!H$2,Date)</f>
        <v>USD</v>
      </c>
      <c r="G468" s="15" t="str">
        <f>_xll.ciqfunctions.udf.CIQ(InputTicker, "IQ_FILING_CURRENCY",Input!I$2,Date)</f>
        <v>USD</v>
      </c>
      <c r="H468" s="15" t="str">
        <f>_xll.ciqfunctions.udf.CIQ(InputTicker, "IQ_FILING_CURRENCY",Input!J$2,Date)</f>
        <v>USD</v>
      </c>
      <c r="I468" s="15" t="str">
        <f>_xll.ciqfunctions.udf.CIQ(InputTicker, "IQ_FILING_CURRENCY",Input!K$2,Date)</f>
        <v>USD</v>
      </c>
      <c r="J468" s="15" t="str">
        <f>_xll.ciqfunctions.udf.CIQ(InputTicker, "IQ_FILING_CURRENCY",Input!L$2,Date)</f>
        <v>USD</v>
      </c>
      <c r="K468" s="15" t="str">
        <f>_xll.ciqfunctions.udf.CIQ(InputTicker, "IQ_FILING_CURRENCY",Input!M$2,Date)</f>
        <v>USD</v>
      </c>
      <c r="L468" s="15" t="str">
        <f>_xll.ciqfunctions.udf.CIQ(InputTicker, "IQ_FILING_CURRENCY",Input!N$2,Date)</f>
        <v>USD</v>
      </c>
      <c r="M468" s="15" t="str">
        <f>_xll.ciqfunctions.udf.CIQ(InputTicker, "IQ_FILING_CURRENCY",Input!O$2,Date)</f>
        <v>USD</v>
      </c>
      <c r="N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  <c r="AH468" s="42"/>
      <c r="AI468" s="42"/>
      <c r="AJ468" s="42"/>
      <c r="AK468" s="42"/>
      <c r="AL468" s="42"/>
      <c r="AM468" s="42"/>
      <c r="AN468" s="42"/>
      <c r="AO468" s="42"/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  <c r="BJ468" s="42"/>
      <c r="BK468" s="42"/>
      <c r="BL468" s="42"/>
      <c r="BM468" s="42"/>
      <c r="BN468" s="42"/>
    </row>
    <row r="469" spans="1:66" ht="12.75" customHeight="1" x14ac:dyDescent="0.2">
      <c r="A469" s="1" t="s">
        <v>345</v>
      </c>
      <c r="B469" s="15" t="str">
        <f>_xll.ciqfunctions.udf.CIQ(InputTicker, "IQ_RESTATEMENT_BS",Input!D$2,Date)</f>
        <v>RS</v>
      </c>
      <c r="C469" s="15" t="str">
        <f>_xll.ciqfunctions.udf.CIQ(InputTicker, "IQ_RESTATEMENT_BS",Input!E$2,Date)</f>
        <v>RS</v>
      </c>
      <c r="D469" s="15" t="str">
        <f>_xll.ciqfunctions.udf.CIQ(InputTicker, "IQ_RESTATEMENT_BS",Input!F$2,Date)</f>
        <v>RS</v>
      </c>
      <c r="E469" s="15" t="str">
        <f>_xll.ciqfunctions.udf.CIQ(InputTicker, "IQ_RESTATEMENT_BS",Input!G$2,Date)</f>
        <v>NC</v>
      </c>
      <c r="F469" s="15" t="str">
        <f>_xll.ciqfunctions.udf.CIQ(InputTicker, "IQ_RESTATEMENT_BS",Input!H$2,Date)</f>
        <v>NC</v>
      </c>
      <c r="G469" s="15" t="str">
        <f>_xll.ciqfunctions.udf.CIQ(InputTicker, "IQ_RESTATEMENT_BS",Input!I$2,Date)</f>
        <v>NC</v>
      </c>
      <c r="H469" s="15" t="str">
        <f>_xll.ciqfunctions.udf.CIQ(InputTicker, "IQ_RESTATEMENT_BS",Input!J$2,Date)</f>
        <v>NC</v>
      </c>
      <c r="I469" s="15" t="str">
        <f>_xll.ciqfunctions.udf.CIQ(InputTicker, "IQ_RESTATEMENT_BS",Input!K$2,Date)</f>
        <v>NC</v>
      </c>
      <c r="J469" s="15" t="str">
        <f>_xll.ciqfunctions.udf.CIQ(InputTicker, "IQ_RESTATEMENT_BS",Input!L$2,Date)</f>
        <v>NC</v>
      </c>
      <c r="K469" s="15" t="str">
        <f>_xll.ciqfunctions.udf.CIQ(InputTicker, "IQ_RESTATEMENT_BS",Input!M$2,Date)</f>
        <v>NC</v>
      </c>
      <c r="L469" s="15" t="str">
        <f>_xll.ciqfunctions.udf.CIQ(InputTicker, "IQ_RESTATEMENT_BS",Input!N$2,Date)</f>
        <v>O</v>
      </c>
      <c r="M469" s="15" t="str">
        <f>_xll.ciqfunctions.udf.CIQ(InputTicker, "IQ_RESTATEMENT_BS",Input!O$2,Date)</f>
        <v>O</v>
      </c>
      <c r="N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  <c r="AH469" s="42"/>
      <c r="AI469" s="42"/>
      <c r="AJ469" s="42"/>
      <c r="AK469" s="42"/>
      <c r="AL469" s="42"/>
      <c r="AM469" s="42"/>
      <c r="AN469" s="42"/>
      <c r="AO469" s="42"/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  <c r="BJ469" s="42"/>
      <c r="BK469" s="42"/>
      <c r="BL469" s="42"/>
      <c r="BM469" s="42"/>
      <c r="BN469" s="42"/>
    </row>
    <row r="470" spans="1:66" ht="12.75" customHeight="1" x14ac:dyDescent="0.2">
      <c r="A470" s="1" t="s">
        <v>346</v>
      </c>
      <c r="B470" s="15" t="str">
        <f>_xll.ciqfunctions.udf.CIQ(InputTicker, "IQ_CALC_TYPE_BS",Input!D$2,Date)</f>
        <v>RUP</v>
      </c>
      <c r="C470" s="15" t="str">
        <f>_xll.ciqfunctions.udf.CIQ(InputTicker, "IQ_CALC_TYPE_BS",Input!E$2,Date)</f>
        <v>RUP</v>
      </c>
      <c r="D470" s="15" t="str">
        <f>_xll.ciqfunctions.udf.CIQ(InputTicker, "IQ_CALC_TYPE_BS",Input!F$2,Date)</f>
        <v>RUP</v>
      </c>
      <c r="E470" s="15" t="str">
        <f>_xll.ciqfunctions.udf.CIQ(InputTicker, "IQ_CALC_TYPE_BS",Input!G$2,Date)</f>
        <v>RUP</v>
      </c>
      <c r="F470" s="15" t="str">
        <f>_xll.ciqfunctions.udf.CIQ(InputTicker, "IQ_CALC_TYPE_BS",Input!H$2,Date)</f>
        <v>RUP</v>
      </c>
      <c r="G470" s="15" t="str">
        <f>_xll.ciqfunctions.udf.CIQ(InputTicker, "IQ_CALC_TYPE_BS",Input!I$2,Date)</f>
        <v>RUP</v>
      </c>
      <c r="H470" s="15" t="str">
        <f>_xll.ciqfunctions.udf.CIQ(InputTicker, "IQ_CALC_TYPE_BS",Input!J$2,Date)</f>
        <v>RUP</v>
      </c>
      <c r="I470" s="15" t="str">
        <f>_xll.ciqfunctions.udf.CIQ(InputTicker, "IQ_CALC_TYPE_BS",Input!K$2,Date)</f>
        <v>RUP</v>
      </c>
      <c r="J470" s="15" t="str">
        <f>_xll.ciqfunctions.udf.CIQ(InputTicker, "IQ_CALC_TYPE_BS",Input!L$2,Date)</f>
        <v>RUP</v>
      </c>
      <c r="K470" s="15" t="str">
        <f>_xll.ciqfunctions.udf.CIQ(InputTicker, "IQ_CALC_TYPE_BS",Input!M$2,Date)</f>
        <v>REP</v>
      </c>
      <c r="L470" s="15" t="str">
        <f>_xll.ciqfunctions.udf.CIQ(InputTicker, "IQ_CALC_TYPE_BS",Input!N$2,Date)</f>
        <v>REP</v>
      </c>
      <c r="M470" s="15" t="str">
        <f>_xll.ciqfunctions.udf.CIQ(InputTicker, "IQ_CALC_TYPE_BS",Input!O$2,Date)</f>
        <v>REP</v>
      </c>
      <c r="N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  <c r="BJ470" s="42"/>
      <c r="BK470" s="42"/>
      <c r="BL470" s="42"/>
      <c r="BM470" s="42"/>
      <c r="BN470" s="42"/>
    </row>
    <row r="471" spans="1:66" ht="12.75" customHeight="1" x14ac:dyDescent="0.2">
      <c r="A471" s="1" t="s">
        <v>376</v>
      </c>
      <c r="B471" s="15" t="str">
        <f>_xll.ciqfunctions.udf.CIQ(InputTicker, "IQ_GAAP_BS",Input!D$2,Date)</f>
        <v>US GAAP</v>
      </c>
      <c r="C471" s="15" t="str">
        <f>_xll.ciqfunctions.udf.CIQ(InputTicker, "IQ_GAAP_BS",Input!E$2,Date)</f>
        <v>US GAAP</v>
      </c>
      <c r="D471" s="15" t="str">
        <f>_xll.ciqfunctions.udf.CIQ(InputTicker, "IQ_GAAP_BS",Input!F$2,Date)</f>
        <v>US GAAP</v>
      </c>
      <c r="E471" s="15" t="str">
        <f>_xll.ciqfunctions.udf.CIQ(InputTicker, "IQ_GAAP_BS",Input!G$2,Date)</f>
        <v>US GAAP</v>
      </c>
      <c r="F471" s="15" t="str">
        <f>_xll.ciqfunctions.udf.CIQ(InputTicker, "IQ_GAAP_BS",Input!H$2,Date)</f>
        <v>US GAAP</v>
      </c>
      <c r="G471" s="15" t="str">
        <f>_xll.ciqfunctions.udf.CIQ(InputTicker, "IQ_GAAP_BS",Input!I$2,Date)</f>
        <v>US GAAP</v>
      </c>
      <c r="H471" s="15" t="str">
        <f>_xll.ciqfunctions.udf.CIQ(InputTicker, "IQ_GAAP_BS",Input!J$2,Date)</f>
        <v>US GAAP</v>
      </c>
      <c r="I471" s="15" t="str">
        <f>_xll.ciqfunctions.udf.CIQ(InputTicker, "IQ_GAAP_BS",Input!K$2,Date)</f>
        <v>US GAAP</v>
      </c>
      <c r="J471" s="15" t="str">
        <f>_xll.ciqfunctions.udf.CIQ(InputTicker, "IQ_GAAP_BS",Input!L$2,Date)</f>
        <v>US GAAP</v>
      </c>
      <c r="K471" s="15" t="str">
        <f>_xll.ciqfunctions.udf.CIQ(InputTicker, "IQ_GAAP_BS",Input!M$2,Date)</f>
        <v>US GAAP</v>
      </c>
      <c r="L471" s="15" t="str">
        <f>_xll.ciqfunctions.udf.CIQ(InputTicker, "IQ_GAAP_BS",Input!N$2,Date)</f>
        <v>US GAAP</v>
      </c>
      <c r="M471" s="15" t="str">
        <f>_xll.ciqfunctions.udf.CIQ(InputTicker, "IQ_GAAP_BS",Input!O$2,Date)</f>
        <v>US GAAP</v>
      </c>
      <c r="N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  <c r="AH471" s="42"/>
      <c r="AI471" s="42"/>
      <c r="AJ471" s="42"/>
      <c r="AK471" s="42"/>
      <c r="AL471" s="42"/>
      <c r="AM471" s="42"/>
      <c r="AN471" s="42"/>
      <c r="AO471" s="42"/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  <c r="BJ471" s="42"/>
      <c r="BK471" s="42"/>
      <c r="BL471" s="42"/>
      <c r="BM471" s="42"/>
      <c r="BN471" s="42"/>
    </row>
    <row r="472" spans="1:66" ht="12.75" customHeight="1" x14ac:dyDescent="0.2">
      <c r="A472" s="42" t="s">
        <v>602</v>
      </c>
      <c r="B472" s="13">
        <f>_xll.ciqfunctions.udf.CIQ(InputTicker, "IQ_PERIODDATE",Input!D$2-1,Date)</f>
        <v>41820</v>
      </c>
      <c r="C472" s="13">
        <f>_xll.ciqfunctions.udf.CIQ(InputTicker, "IQ_PERIODDATE",Input!E$2-1,Date)</f>
        <v>42185</v>
      </c>
      <c r="D472" s="13">
        <f>_xll.ciqfunctions.udf.CIQ(InputTicker, "IQ_PERIODDATE",Input!F$2-1,Date)</f>
        <v>42551</v>
      </c>
      <c r="E472" s="13">
        <f>_xll.ciqfunctions.udf.CIQ(InputTicker, "IQ_PERIODDATE",Input!G$2-1,Date)</f>
        <v>42916</v>
      </c>
      <c r="F472" s="13">
        <f>_xll.ciqfunctions.udf.CIQ(InputTicker, "IQ_PERIODDATE",Input!H$2-1,Date)</f>
        <v>43281</v>
      </c>
      <c r="G472" s="13">
        <f>_xll.ciqfunctions.udf.CIQ(InputTicker, "IQ_PERIODDATE",Input!I$2-1,Date)</f>
        <v>43646</v>
      </c>
      <c r="H472" s="13">
        <f>_xll.ciqfunctions.udf.CIQ(InputTicker, "IQ_PERIODDATE",Input!J$2-1,Date)</f>
        <v>44012</v>
      </c>
      <c r="I472" s="13">
        <f>_xll.ciqfunctions.udf.CIQ(InputTicker, "IQ_PERIODDATE",Input!K$2-1,Date)</f>
        <v>44377</v>
      </c>
      <c r="J472" s="13">
        <f>_xll.ciqfunctions.udf.CIQ(InputTicker, "IQ_PERIODDATE",Input!L$2-1,Date)</f>
        <v>44742</v>
      </c>
      <c r="K472" s="13">
        <f>_xll.ciqfunctions.udf.CIQ(InputTicker, "IQ_PERIODDATE",Input!M$2-1,Date)</f>
        <v>45107</v>
      </c>
      <c r="L472" s="13">
        <f>_xll.ciqfunctions.udf.CIQ(InputTicker, "IQ_PERIODDATE",Input!N$2-1,Date)</f>
        <v>45473</v>
      </c>
      <c r="M472" s="13">
        <f>_xll.ciqfunctions.udf.CIQ(InputTicker, "IQ_PERIODDATE",Input!O$2-1,Date)</f>
        <v>46022</v>
      </c>
      <c r="N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  <c r="AH472" s="42"/>
      <c r="AI472" s="42"/>
      <c r="AJ472" s="42"/>
      <c r="AK472" s="42"/>
      <c r="AL472" s="42"/>
      <c r="AM472" s="42"/>
      <c r="AN472" s="42"/>
      <c r="AO472" s="42"/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  <c r="BJ472" s="42"/>
      <c r="BK472" s="42"/>
      <c r="BL472" s="42"/>
      <c r="BM472" s="42"/>
      <c r="BN472" s="42"/>
    </row>
    <row r="473" spans="1:66" ht="12.75" customHeight="1" x14ac:dyDescent="0.2">
      <c r="A473" s="19" t="s">
        <v>268</v>
      </c>
      <c r="B473" s="20">
        <f>_xll.ciqfunctions.udf.CIQAVG(InputTicker, "IQ_TEV_TOTAL_REV",[0]!IQ_LTM,B$472,B$2)</f>
        <v>3.39039</v>
      </c>
      <c r="C473" s="20">
        <f>_xll.ciqfunctions.udf.CIQAVG(InputTicker, "IQ_TEV_TOTAL_REV",[0]!IQ_LTM,C$472,C$2)</f>
        <v>3.7873700000000001</v>
      </c>
      <c r="D473" s="20">
        <f>_xll.ciqfunctions.udf.CIQAVG(InputTicker, "IQ_TEV_TOTAL_REV",[0]!IQ_LTM,D$472,D$2)</f>
        <v>5.0552700000000002</v>
      </c>
      <c r="E473" s="20">
        <f>_xll.ciqfunctions.udf.CIQAVG(InputTicker, "IQ_TEV_TOTAL_REV",[0]!IQ_LTM,E$472,E$2)</f>
        <v>6.6238799999999998</v>
      </c>
      <c r="F473" s="20">
        <f>_xll.ciqfunctions.udf.CIQAVG(InputTicker, "IQ_TEV_TOTAL_REV",[0]!IQ_LTM,F$472,F$2)</f>
        <v>7.1398000000000001</v>
      </c>
      <c r="G473" s="20">
        <f>_xll.ciqfunctions.udf.CIQAVG(InputTicker, "IQ_TEV_TOTAL_REV",[0]!IQ_LTM,G$472,G$2)</f>
        <v>8.7541200000000003</v>
      </c>
      <c r="H473" s="20">
        <f>_xll.ciqfunctions.udf.CIQAVG(InputTicker, "IQ_TEV_TOTAL_REV",[0]!IQ_LTM,H$472,H$2)</f>
        <v>11.14716</v>
      </c>
      <c r="I473" s="20">
        <f>_xll.ciqfunctions.udf.CIQAVG(InputTicker, "IQ_TEV_TOTAL_REV",[0]!IQ_LTM,I$472,I$2)</f>
        <v>12.313829999999999</v>
      </c>
      <c r="J473" s="20">
        <f>_xll.ciqfunctions.udf.CIQAVG(InputTicker, "IQ_TEV_TOTAL_REV",[0]!IQ_LTM,J$472,J$2)</f>
        <v>9.73569</v>
      </c>
      <c r="K473" s="20">
        <f>_xll.ciqfunctions.udf.CIQAVG(InputTicker, "IQ_TEV_TOTAL_REV",[0]!IQ_LTM,K$472,K$2)</f>
        <v>12.61425</v>
      </c>
      <c r="L473" s="20">
        <f>_xll.ciqfunctions.udf.CIQAVG(InputTicker, "IQ_TEV_TOTAL_REV",[0]!IQ_LTM,L$472,L$2)</f>
        <v>12.474970000000001</v>
      </c>
      <c r="M473" s="20">
        <f>_xll.ciqfunctions.udf.CIQAVG(InputTicker, "IQ_TEV_TOTAL_REV",[0]!IQ_LTM,M$472,M$2)</f>
        <v>10.42896</v>
      </c>
      <c r="N473" s="49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  <c r="BJ473" s="42"/>
      <c r="BK473" s="42"/>
      <c r="BL473" s="42"/>
      <c r="BM473" s="42"/>
      <c r="BN473" s="42"/>
    </row>
    <row r="474" spans="1:66" ht="12.75" customHeight="1" x14ac:dyDescent="0.2">
      <c r="A474" s="19" t="s">
        <v>269</v>
      </c>
      <c r="B474" s="20">
        <f>_xll.ciqfunctions.udf.CIQAVG(InputTicker, "IQ_TEV_EBITDA",[0]!IQ_LTM,B$472,B$2)</f>
        <v>9.3175699999999999</v>
      </c>
      <c r="C474" s="20">
        <f>_xll.ciqfunctions.udf.CIQAVG(InputTicker, "IQ_TEV_EBITDA",[0]!IQ_LTM,C$472,C$2)</f>
        <v>10.81587</v>
      </c>
      <c r="D474" s="20">
        <f>_xll.ciqfunctions.udf.CIQAVG(InputTicker, "IQ_TEV_EBITDA",[0]!IQ_LTM,D$472,D$2)</f>
        <v>15.68268</v>
      </c>
      <c r="E474" s="20">
        <f>_xll.ciqfunctions.udf.CIQAVG(InputTicker, "IQ_TEV_EBITDA",[0]!IQ_LTM,E$472,E$2)</f>
        <v>18.553660000000001</v>
      </c>
      <c r="F474" s="20">
        <f>_xll.ciqfunctions.udf.CIQAVG(InputTicker, "IQ_TEV_EBITDA",[0]!IQ_LTM,F$472,F$2)</f>
        <v>16.76754</v>
      </c>
      <c r="G474" s="20">
        <f>_xll.ciqfunctions.udf.CIQAVG(InputTicker, "IQ_TEV_EBITDA",[0]!IQ_LTM,G$472,G$2)</f>
        <v>19.02281</v>
      </c>
      <c r="H474" s="20">
        <f>_xll.ciqfunctions.udf.CIQAVG(InputTicker, "IQ_TEV_EBITDA",[0]!IQ_LTM,H$472,H$2)</f>
        <v>23.314340000000001</v>
      </c>
      <c r="I474" s="20">
        <f>_xll.ciqfunctions.udf.CIQAVG(InputTicker, "IQ_TEV_EBITDA",[0]!IQ_LTM,I$472,I$2)</f>
        <v>24.702870000000001</v>
      </c>
      <c r="J474" s="20">
        <f>_xll.ciqfunctions.udf.CIQAVG(InputTicker, "IQ_TEV_EBITDA",[0]!IQ_LTM,J$472,J$2)</f>
        <v>19.505579999999998</v>
      </c>
      <c r="K474" s="20">
        <f>_xll.ciqfunctions.udf.CIQAVG(InputTicker, "IQ_TEV_EBITDA",[0]!IQ_LTM,K$472,K$2)</f>
        <v>24.243089999999999</v>
      </c>
      <c r="L474" s="20">
        <f>_xll.ciqfunctions.udf.CIQAVG(InputTicker, "IQ_TEV_EBITDA",[0]!IQ_LTM,L$472,L$2)</f>
        <v>22.84226</v>
      </c>
      <c r="M474" s="20">
        <f>_xll.ciqfunctions.udf.CIQAVG(InputTicker, "IQ_TEV_EBITDA",[0]!IQ_LTM,M$472,M$2)</f>
        <v>17.35473</v>
      </c>
      <c r="N474" s="56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  <c r="AH474" s="42"/>
      <c r="AI474" s="42"/>
      <c r="AJ474" s="42"/>
      <c r="AK474" s="42"/>
      <c r="AL474" s="42"/>
      <c r="AM474" s="42"/>
      <c r="AN474" s="42"/>
      <c r="AO474" s="42"/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  <c r="BJ474" s="42"/>
      <c r="BK474" s="42"/>
      <c r="BL474" s="42"/>
      <c r="BM474" s="42"/>
      <c r="BN474" s="42"/>
    </row>
    <row r="475" spans="1:66" ht="12.75" customHeight="1" x14ac:dyDescent="0.2">
      <c r="A475" s="19" t="s">
        <v>270</v>
      </c>
      <c r="B475" s="20">
        <f>_xll.ciqfunctions.udf.CIQAVG(InputTicker, "IQ_TEV_EBIT",[0]!IQ_LTM,B$472,B$2)</f>
        <v>10.88696</v>
      </c>
      <c r="C475" s="20">
        <f>_xll.ciqfunctions.udf.CIQAVG(InputTicker, "IQ_TEV_EBIT",[0]!IQ_LTM,C$472,C$2)</f>
        <v>13.112399999999999</v>
      </c>
      <c r="D475" s="20">
        <f>_xll.ciqfunctions.udf.CIQAVG(InputTicker, "IQ_TEV_EBIT",[0]!IQ_LTM,D$472,D$2)</f>
        <v>20.590900000000001</v>
      </c>
      <c r="E475" s="20">
        <f>_xll.ciqfunctions.udf.CIQAVG(InputTicker, "IQ_TEV_EBIT",[0]!IQ_LTM,E$472,E$2)</f>
        <v>25.98265</v>
      </c>
      <c r="F475" s="20">
        <f>_xll.ciqfunctions.udf.CIQAVG(InputTicker, "IQ_TEV_EBIT",[0]!IQ_LTM,F$472,F$2)</f>
        <v>22.200119999999998</v>
      </c>
      <c r="G475" s="20">
        <f>_xll.ciqfunctions.udf.CIQAVG(InputTicker, "IQ_TEV_EBIT",[0]!IQ_LTM,G$472,G$2)</f>
        <v>24.55443</v>
      </c>
      <c r="H475" s="20">
        <f>_xll.ciqfunctions.udf.CIQAVG(InputTicker, "IQ_TEV_EBIT",[0]!IQ_LTM,H$472,H$2)</f>
        <v>28.99053</v>
      </c>
      <c r="I475" s="20">
        <f>_xll.ciqfunctions.udf.CIQAVG(InputTicker, "IQ_TEV_EBIT",[0]!IQ_LTM,I$472,I$2)</f>
        <v>29.32499</v>
      </c>
      <c r="J475" s="20">
        <f>_xll.ciqfunctions.udf.CIQAVG(InputTicker, "IQ_TEV_EBIT",[0]!IQ_LTM,J$472,J$2)</f>
        <v>23.407109999999999</v>
      </c>
      <c r="K475" s="20">
        <f>_xll.ciqfunctions.udf.CIQAVG(InputTicker, "IQ_TEV_EBIT",[0]!IQ_LTM,K$472,K$2)</f>
        <v>28.942170000000001</v>
      </c>
      <c r="L475" s="20">
        <f>_xll.ciqfunctions.udf.CIQAVG(InputTicker, "IQ_TEV_EBIT",[0]!IQ_LTM,L$472,L$2)</f>
        <v>28.334479999999999</v>
      </c>
      <c r="M475" s="20">
        <f>_xll.ciqfunctions.udf.CIQAVG(InputTicker, "IQ_TEV_EBIT",[0]!IQ_LTM,M$472,M$2)</f>
        <v>22.003509999999999</v>
      </c>
      <c r="N475" s="56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  <c r="AH475" s="42"/>
      <c r="AI475" s="42"/>
      <c r="AJ475" s="42"/>
      <c r="AK475" s="42"/>
      <c r="AL475" s="42"/>
      <c r="AM475" s="42"/>
      <c r="AN475" s="42"/>
      <c r="AO475" s="42"/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  <c r="BJ475" s="42"/>
      <c r="BK475" s="42"/>
      <c r="BL475" s="42"/>
      <c r="BM475" s="42"/>
      <c r="BN475" s="42"/>
    </row>
    <row r="476" spans="1:66" ht="12.75" customHeight="1" x14ac:dyDescent="0.2">
      <c r="A476" s="19" t="s">
        <v>271</v>
      </c>
      <c r="B476" s="20">
        <f>_xll.ciqfunctions.udf.CIQAVG(InputTicker, "IQ_PE_EXCL",[0]!IQ_LTM,B$472,B$2)</f>
        <v>17.862210000000001</v>
      </c>
      <c r="C476" s="20">
        <f>_xll.ciqfunctions.udf.CIQAVG(InputTicker, "IQ_PE_EXCL",[0]!IQ_LTM,C$472,C$2)</f>
        <v>34.622700000000002</v>
      </c>
      <c r="D476" s="20">
        <f>_xll.ciqfunctions.udf.CIQAVG(InputTicker, "IQ_PE_EXCL",[0]!IQ_LTM,D$472,D$2)</f>
        <v>29.891179999999999</v>
      </c>
      <c r="E476" s="20">
        <f>_xll.ciqfunctions.udf.CIQAVG(InputTicker, "IQ_PE_EXCL",[0]!IQ_LTM,E$472,E$2)</f>
        <v>46.706809999999997</v>
      </c>
      <c r="F476" s="20">
        <f>_xll.ciqfunctions.udf.CIQAVG(InputTicker, "IQ_PE_EXCL",[0]!IQ_LTM,F$472,F$2)</f>
        <v>40.174390000000002</v>
      </c>
      <c r="G476" s="20">
        <f>_xll.ciqfunctions.udf.CIQAVG(InputTicker, "IQ_PE_EXCL",[0]!IQ_LTM,G$472,G$2)</f>
        <v>28.938279999999999</v>
      </c>
      <c r="H476" s="20">
        <f>_xll.ciqfunctions.udf.CIQAVG(InputTicker, "IQ_PE_EXCL",[0]!IQ_LTM,H$472,H$2)</f>
        <v>35.583590000000001</v>
      </c>
      <c r="I476" s="20">
        <f>_xll.ciqfunctions.udf.CIQAVG(InputTicker, "IQ_PE_EXCL",[0]!IQ_LTM,I$472,I$2)</f>
        <v>33.872039999999998</v>
      </c>
      <c r="J476" s="20">
        <f>_xll.ciqfunctions.udf.CIQAVG(InputTicker, "IQ_PE_EXCL",[0]!IQ_LTM,J$472,J$2)</f>
        <v>28.799009999999999</v>
      </c>
      <c r="K476" s="20">
        <f>_xll.ciqfunctions.udf.CIQAVG(InputTicker, "IQ_PE_EXCL",[0]!IQ_LTM,K$472,K$2)</f>
        <v>35.991990000000001</v>
      </c>
      <c r="L476" s="20">
        <f>_xll.ciqfunctions.udf.CIQAVG(InputTicker, "IQ_PE_EXCL",[0]!IQ_LTM,L$472,L$2)</f>
        <v>34.788829999999997</v>
      </c>
      <c r="M476" s="20">
        <f>_xll.ciqfunctions.udf.CIQAVG(InputTicker, "IQ_PE_EXCL",[0]!IQ_LTM,M$472,M$2)</f>
        <v>27.41367</v>
      </c>
      <c r="N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  <c r="AH476" s="42"/>
      <c r="AI476" s="42"/>
      <c r="AJ476" s="42"/>
      <c r="AK476" s="42"/>
      <c r="AL476" s="42"/>
      <c r="AM476" s="42"/>
      <c r="AN476" s="42"/>
      <c r="AO476" s="42"/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  <c r="BJ476" s="42"/>
      <c r="BK476" s="42"/>
      <c r="BL476" s="42"/>
      <c r="BM476" s="42"/>
      <c r="BN476" s="42"/>
    </row>
    <row r="477" spans="1:66" ht="12.75" customHeight="1" x14ac:dyDescent="0.2">
      <c r="A477" s="19" t="s">
        <v>272</v>
      </c>
      <c r="B477" s="20">
        <f>_xll.ciqfunctions.udf.CIQAVG(InputTicker, "IQ_PBV",[0]!IQ_LTM,B$472,B$2)</f>
        <v>4.1116099999999998</v>
      </c>
      <c r="C477" s="20">
        <f>_xll.ciqfunctions.udf.CIQAVG(InputTicker, "IQ_PBV",[0]!IQ_LTM,C$472,C$2)</f>
        <v>5.1559100000000004</v>
      </c>
      <c r="D477" s="20">
        <f>_xll.ciqfunctions.udf.CIQAVG(InputTicker, "IQ_PBV",[0]!IQ_LTM,D$472,D$2)</f>
        <v>6.8704700000000001</v>
      </c>
      <c r="E477" s="20">
        <f>_xll.ciqfunctions.udf.CIQAVG(InputTicker, "IQ_PBV",[0]!IQ_LTM,E$472,E$2)</f>
        <v>8.3539399999999997</v>
      </c>
      <c r="F477" s="20">
        <f>_xll.ciqfunctions.udf.CIQAVG(InputTicker, "IQ_PBV",[0]!IQ_LTM,F$472,F$2)</f>
        <v>9.8663500000000006</v>
      </c>
      <c r="G477" s="20">
        <f>_xll.ciqfunctions.udf.CIQAVG(InputTicker, "IQ_PBV",[0]!IQ_LTM,G$472,G$2)</f>
        <v>11.187329999999999</v>
      </c>
      <c r="H477" s="20">
        <f>_xll.ciqfunctions.udf.CIQAVG(InputTicker, "IQ_PBV",[0]!IQ_LTM,H$472,H$2)</f>
        <v>13.718769999999999</v>
      </c>
      <c r="I477" s="20">
        <f>_xll.ciqfunctions.udf.CIQAVG(InputTicker, "IQ_PBV",[0]!IQ_LTM,I$472,I$2)</f>
        <v>14.71264</v>
      </c>
      <c r="J477" s="20">
        <f>_xll.ciqfunctions.udf.CIQAVG(InputTicker, "IQ_PBV",[0]!IQ_LTM,J$472,J$2)</f>
        <v>11.24577</v>
      </c>
      <c r="K477" s="20">
        <f>_xll.ciqfunctions.udf.CIQAVG(InputTicker, "IQ_PBV",[0]!IQ_LTM,K$472,K$2)</f>
        <v>12.450839999999999</v>
      </c>
      <c r="L477" s="20">
        <f>_xll.ciqfunctions.udf.CIQAVG(InputTicker, "IQ_PBV",[0]!IQ_LTM,L$472,L$2)</f>
        <v>10.945650000000001</v>
      </c>
      <c r="M477" s="20">
        <f>_xll.ciqfunctions.udf.CIQAVG(InputTicker, "IQ_PBV",[0]!IQ_LTM,M$472,M$2)</f>
        <v>8.1728900000000007</v>
      </c>
      <c r="N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  <c r="BJ477" s="42"/>
      <c r="BK477" s="42"/>
      <c r="BL477" s="42"/>
      <c r="BM477" s="42"/>
      <c r="BN477" s="42"/>
    </row>
    <row r="478" spans="1:66" ht="12.75" customHeight="1" x14ac:dyDescent="0.2">
      <c r="A478" s="19" t="s">
        <v>273</v>
      </c>
      <c r="B478" s="20">
        <f>_xll.ciqfunctions.udf.CIQAVG(InputTicker, "IQ_PTBV",[0]!IQ_LTM,B$472,B$2)</f>
        <v>5.8933600000000004</v>
      </c>
      <c r="C478" s="20">
        <f>_xll.ciqfunctions.udf.CIQAVG(InputTicker, "IQ_PTBV",[0]!IQ_LTM,C$472,C$2)</f>
        <v>7.2261899999999999</v>
      </c>
      <c r="D478" s="20">
        <f>_xll.ciqfunctions.udf.CIQAVG(InputTicker, "IQ_PTBV",[0]!IQ_LTM,D$472,D$2)</f>
        <v>14.58994</v>
      </c>
      <c r="E478" s="20">
        <f>_xll.ciqfunctions.udf.CIQAVG(InputTicker, "IQ_PTBV",[0]!IQ_LTM,E$472,E$2)</f>
        <v>19.606639999999999</v>
      </c>
      <c r="F478" s="20">
        <f>_xll.ciqfunctions.udf.CIQAVG(InputTicker, "IQ_PTBV",[0]!IQ_LTM,F$472,F$2)</f>
        <v>20.885850000000001</v>
      </c>
      <c r="G478" s="20">
        <f>_xll.ciqfunctions.udf.CIQAVG(InputTicker, "IQ_PTBV",[0]!IQ_LTM,G$472,G$2)</f>
        <v>20.856770000000001</v>
      </c>
      <c r="H478" s="20">
        <f>_xll.ciqfunctions.udf.CIQAVG(InputTicker, "IQ_PTBV",[0]!IQ_LTM,H$472,H$2)</f>
        <v>23.439489999999999</v>
      </c>
      <c r="I478" s="20">
        <f>_xll.ciqfunctions.udf.CIQAVG(InputTicker, "IQ_PTBV",[0]!IQ_LTM,I$472,I$2)</f>
        <v>24.769349999999999</v>
      </c>
      <c r="J478" s="20">
        <f>_xll.ciqfunctions.udf.CIQAVG(InputTicker, "IQ_PTBV",[0]!IQ_LTM,J$472,J$2)</f>
        <v>20.240100000000002</v>
      </c>
      <c r="K478" s="20">
        <f>_xll.ciqfunctions.udf.CIQAVG(InputTicker, "IQ_PTBV",[0]!IQ_LTM,K$472,K$2)</f>
        <v>24.836649999999999</v>
      </c>
      <c r="L478" s="20">
        <f>_xll.ciqfunctions.udf.CIQAVG(InputTicker, "IQ_PTBV",[0]!IQ_LTM,L$472,L$2)</f>
        <v>22.466380000000001</v>
      </c>
      <c r="M478" s="20">
        <f>_xll.ciqfunctions.udf.CIQAVG(InputTicker, "IQ_PTBV",[0]!IQ_LTM,M$472,M$2)</f>
        <v>12.939539999999999</v>
      </c>
      <c r="N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  <c r="AH478" s="42"/>
      <c r="AI478" s="42"/>
      <c r="AJ478" s="42"/>
      <c r="AK478" s="42"/>
      <c r="AL478" s="42"/>
      <c r="AM478" s="42"/>
      <c r="AN478" s="42"/>
      <c r="AO478" s="42"/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  <c r="BJ478" s="42"/>
      <c r="BK478" s="42"/>
      <c r="BL478" s="42"/>
      <c r="BM478" s="42"/>
      <c r="BN478" s="42"/>
    </row>
    <row r="479" spans="1:66" ht="12.75" customHeight="1" x14ac:dyDescent="0.2">
      <c r="A479" s="19" t="s">
        <v>227</v>
      </c>
      <c r="B479" s="4">
        <f>_xll.ciqfunctions.udf.CIQ(InputTicker, "IQ_RETURN_ASSETS",Input!D$2,Date)</f>
        <v>10.1526</v>
      </c>
      <c r="C479" s="4">
        <f>_xll.ciqfunctions.udf.CIQ(InputTicker, "IQ_RETURN_ASSETS",Input!E$2,Date)</f>
        <v>9.2364999999999995</v>
      </c>
      <c r="D479" s="4">
        <f>_xll.ciqfunctions.udf.CIQ(InputTicker, "IQ_RETURN_ASSETS",Input!F$2,Date)</f>
        <v>8.2615999999999996</v>
      </c>
      <c r="E479" s="4">
        <f>_xll.ciqfunctions.udf.CIQ(InputTicker, "IQ_RETURN_ASSETS",Input!G$2,Date)</f>
        <v>8.6067999999999998</v>
      </c>
      <c r="F479" s="4">
        <f>_xll.ciqfunctions.udf.CIQ(InputTicker, "IQ_RETURN_ASSETS",Input!H$2,Date)</f>
        <v>9.8455999999999992</v>
      </c>
      <c r="G479" s="4">
        <f>_xll.ciqfunctions.udf.CIQ(InputTicker, "IQ_RETURN_ASSETS",Input!I$2,Date)</f>
        <v>11.2608</v>
      </c>
      <c r="H479" s="4">
        <f>_xll.ciqfunctions.udf.CIQ(InputTicker, "IQ_RETURN_ASSETS",Input!J$2,Date)</f>
        <v>13.760999999999999</v>
      </c>
      <c r="I479" s="4">
        <f>_xll.ciqfunctions.udf.CIQ(InputTicker, "IQ_RETURN_ASSETS",Input!K$2,Date)</f>
        <v>14.9192</v>
      </c>
      <c r="J479" s="4">
        <f>_xll.ciqfunctions.udf.CIQ(InputTicker, "IQ_RETURN_ASSETS",Input!L$2,Date)</f>
        <v>14.2445</v>
      </c>
      <c r="K479" s="4">
        <f>_xll.ciqfunctions.udf.CIQ(InputTicker, "IQ_RETURN_ASSETS",Input!M$2,Date)</f>
        <v>14.802</v>
      </c>
      <c r="L479" s="4">
        <f>_xll.ciqfunctions.udf.CIQ(InputTicker, "IQ_RETURN_ASSETS",Input!N$2,Date)</f>
        <v>14.202999999999999</v>
      </c>
      <c r="M479" s="4">
        <f>_xll.ciqfunctions.udf.CIQ(InputTicker, "IQ_RETURN_ASSETS",Input!O$2,Date)</f>
        <v>14.814399999999999</v>
      </c>
      <c r="N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  <c r="BJ479" s="42"/>
      <c r="BK479" s="42"/>
      <c r="BL479" s="42"/>
      <c r="BM479" s="42"/>
      <c r="BN479" s="42"/>
    </row>
    <row r="480" spans="1:66" ht="12.75" customHeight="1" x14ac:dyDescent="0.2">
      <c r="A480" s="19" t="s">
        <v>228</v>
      </c>
      <c r="B480" s="4">
        <f>_xll.ciqfunctions.udf.CIQ(InputTicker, "IQ_RETURN_CAPITAL",Input!D$2,Date)</f>
        <v>15.414400000000001</v>
      </c>
      <c r="C480" s="4">
        <f>_xll.ciqfunctions.udf.CIQ(InputTicker, "IQ_RETURN_CAPITAL",Input!E$2,Date)</f>
        <v>14.042999999999999</v>
      </c>
      <c r="D480" s="4">
        <f>_xll.ciqfunctions.udf.CIQ(InputTicker, "IQ_RETURN_CAPITAL",Input!F$2,Date)</f>
        <v>11.8355</v>
      </c>
      <c r="E480" s="4">
        <f>_xll.ciqfunctions.udf.CIQ(InputTicker, "IQ_RETURN_CAPITAL",Input!G$2,Date)</f>
        <v>12.398</v>
      </c>
      <c r="F480" s="4">
        <f>_xll.ciqfunctions.udf.CIQ(InputTicker, "IQ_RETURN_CAPITAL",Input!H$2,Date)</f>
        <v>14.9574</v>
      </c>
      <c r="G480" s="4">
        <f>_xll.ciqfunctions.udf.CIQ(InputTicker, "IQ_RETURN_CAPITAL",Input!I$2,Date)</f>
        <v>17.008900000000001</v>
      </c>
      <c r="H480" s="4">
        <f>_xll.ciqfunctions.udf.CIQ(InputTicker, "IQ_RETURN_CAPITAL",Input!J$2,Date)</f>
        <v>20.579000000000001</v>
      </c>
      <c r="I480" s="4">
        <f>_xll.ciqfunctions.udf.CIQ(InputTicker, "IQ_RETURN_CAPITAL",Input!K$2,Date)</f>
        <v>22.213699999999999</v>
      </c>
      <c r="J480" s="4">
        <f>_xll.ciqfunctions.udf.CIQ(InputTicker, "IQ_RETURN_CAPITAL",Input!L$2,Date)</f>
        <v>20.854199999999999</v>
      </c>
      <c r="K480" s="4">
        <f>_xll.ciqfunctions.udf.CIQ(InputTicker, "IQ_RETURN_CAPITAL",Input!M$2,Date)</f>
        <v>20.980399999999999</v>
      </c>
      <c r="L480" s="4">
        <f>_xll.ciqfunctions.udf.CIQ(InputTicker, "IQ_RETURN_CAPITAL",Input!N$2,Date)</f>
        <v>19.545200000000001</v>
      </c>
      <c r="M480" s="4">
        <f>_xll.ciqfunctions.udf.CIQ(InputTicker, "IQ_RETURN_CAPITAL",Input!O$2,Date)</f>
        <v>19.2608</v>
      </c>
      <c r="N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  <c r="AH480" s="42"/>
      <c r="AI480" s="42"/>
      <c r="AJ480" s="42"/>
      <c r="AK480" s="42"/>
      <c r="AL480" s="42"/>
      <c r="AM480" s="42"/>
      <c r="AN480" s="42"/>
      <c r="AO480" s="42"/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  <c r="BJ480" s="42"/>
      <c r="BK480" s="42"/>
      <c r="BL480" s="42"/>
      <c r="BM480" s="42"/>
      <c r="BN480" s="42"/>
    </row>
    <row r="481" spans="1:66" ht="12.75" customHeight="1" x14ac:dyDescent="0.2">
      <c r="A481" s="19" t="s">
        <v>229</v>
      </c>
      <c r="B481" s="4">
        <f>_xll.ciqfunctions.udf.CIQ(InputTicker,  "IQ_RETURN_EQUITY",Input!D$2,Date)</f>
        <v>14.3559</v>
      </c>
      <c r="C481" s="4">
        <f>_xll.ciqfunctions.udf.CIQ(InputTicker,  "IQ_RETURN_EQUITY",Input!E$2,Date)</f>
        <v>27.0107</v>
      </c>
      <c r="D481" s="4">
        <f>_xll.ciqfunctions.udf.CIQ(InputTicker,  "IQ_RETURN_EQUITY",Input!F$2,Date)</f>
        <v>31.919499999999999</v>
      </c>
      <c r="E481" s="4">
        <f>_xll.ciqfunctions.udf.CIQ(InputTicker,  "IQ_RETURN_EQUITY",Input!G$2,Date)</f>
        <v>19.446200000000001</v>
      </c>
      <c r="F481" s="4">
        <f>_xll.ciqfunctions.udf.CIQ(InputTicker,  "IQ_RETURN_EQUITY",Input!H$2,Date)</f>
        <v>42.410600000000002</v>
      </c>
      <c r="G481" s="4">
        <f>_xll.ciqfunctions.udf.CIQ(InputTicker,  "IQ_RETURN_EQUITY",Input!I$2,Date)</f>
        <v>40.139699999999998</v>
      </c>
      <c r="H481" s="4">
        <f>_xll.ciqfunctions.udf.CIQ(InputTicker,  "IQ_RETURN_EQUITY",Input!J$2,Date)</f>
        <v>47.078600000000002</v>
      </c>
      <c r="I481" s="4">
        <f>_xll.ciqfunctions.udf.CIQ(InputTicker,  "IQ_RETURN_EQUITY",Input!K$2,Date)</f>
        <v>47.151299999999999</v>
      </c>
      <c r="J481" s="4">
        <f>_xll.ciqfunctions.udf.CIQ(InputTicker,  "IQ_RETURN_EQUITY",Input!L$2,Date)</f>
        <v>38.823900000000002</v>
      </c>
      <c r="K481" s="4">
        <f>_xll.ciqfunctions.udf.CIQ(InputTicker,  "IQ_RETURN_EQUITY",Input!M$2,Date)</f>
        <v>37.133299999999998</v>
      </c>
      <c r="L481" s="4">
        <f>_xll.ciqfunctions.udf.CIQ(InputTicker,  "IQ_RETURN_EQUITY",Input!N$2,Date)</f>
        <v>33.280799999999999</v>
      </c>
      <c r="M481" s="4">
        <f>_xll.ciqfunctions.udf.CIQ(InputTicker,  "IQ_RETURN_EQUITY",Input!O$2,Date)</f>
        <v>34.014099999999999</v>
      </c>
      <c r="N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  <c r="BJ481" s="42"/>
      <c r="BK481" s="42"/>
      <c r="BL481" s="42"/>
      <c r="BM481" s="42"/>
      <c r="BN481" s="42"/>
    </row>
    <row r="482" spans="1:66" ht="12.75" customHeight="1" x14ac:dyDescent="0.2">
      <c r="A482" s="19" t="s">
        <v>425</v>
      </c>
      <c r="B482" s="4">
        <f>_xll.ciqfunctions.udf.CIQ(InputTicker,  "IQ_RETURN_COMMON_EQUITY",Input!D$2,Date)</f>
        <v>14.3559</v>
      </c>
      <c r="C482" s="4">
        <f>_xll.ciqfunctions.udf.CIQ(InputTicker,  "IQ_RETURN_COMMON_EQUITY",Input!E$2,Date)</f>
        <v>27.0107</v>
      </c>
      <c r="D482" s="4">
        <f>_xll.ciqfunctions.udf.CIQ(InputTicker,  "IQ_RETURN_COMMON_EQUITY",Input!F$2,Date)</f>
        <v>31.919499999999999</v>
      </c>
      <c r="E482" s="4">
        <f>_xll.ciqfunctions.udf.CIQ(InputTicker,  "IQ_RETURN_COMMON_EQUITY",Input!G$2,Date)</f>
        <v>19.446200000000001</v>
      </c>
      <c r="F482" s="4">
        <f>_xll.ciqfunctions.udf.CIQ(InputTicker,  "IQ_RETURN_COMMON_EQUITY",Input!H$2,Date)</f>
        <v>42.410600000000002</v>
      </c>
      <c r="G482" s="4">
        <f>_xll.ciqfunctions.udf.CIQ(InputTicker,  "IQ_RETURN_COMMON_EQUITY",Input!I$2,Date)</f>
        <v>40.139699999999998</v>
      </c>
      <c r="H482" s="4">
        <f>_xll.ciqfunctions.udf.CIQ(InputTicker,  "IQ_RETURN_COMMON_EQUITY",Input!J$2,Date)</f>
        <v>47.078600000000002</v>
      </c>
      <c r="I482" s="4">
        <f>_xll.ciqfunctions.udf.CIQ(InputTicker,  "IQ_RETURN_COMMON_EQUITY",Input!K$2,Date)</f>
        <v>47.151299999999999</v>
      </c>
      <c r="J482" s="4">
        <f>_xll.ciqfunctions.udf.CIQ(InputTicker,  "IQ_RETURN_COMMON_EQUITY",Input!L$2,Date)</f>
        <v>38.823900000000002</v>
      </c>
      <c r="K482" s="4">
        <f>_xll.ciqfunctions.udf.CIQ(InputTicker,  "IQ_RETURN_COMMON_EQUITY",Input!M$2,Date)</f>
        <v>37.133299999999998</v>
      </c>
      <c r="L482" s="4">
        <f>_xll.ciqfunctions.udf.CIQ(InputTicker,  "IQ_RETURN_COMMON_EQUITY",Input!N$2,Date)</f>
        <v>33.280799999999999</v>
      </c>
      <c r="M482" s="4">
        <f>_xll.ciqfunctions.udf.CIQ(InputTicker,  "IQ_RETURN_COMMON_EQUITY",Input!O$2,Date)</f>
        <v>34.014099999999999</v>
      </c>
      <c r="N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  <c r="AH482" s="42"/>
      <c r="AI482" s="42"/>
      <c r="AJ482" s="42"/>
      <c r="AK482" s="42"/>
      <c r="AL482" s="42"/>
      <c r="AM482" s="42"/>
      <c r="AN482" s="42"/>
      <c r="AO482" s="42"/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  <c r="BJ482" s="42"/>
      <c r="BK482" s="42"/>
      <c r="BL482" s="42"/>
      <c r="BM482" s="42"/>
      <c r="BN482" s="42"/>
    </row>
    <row r="483" spans="1:66" ht="12.75" customHeight="1" x14ac:dyDescent="0.2">
      <c r="A483" s="19" t="s">
        <v>230</v>
      </c>
      <c r="B483" s="4">
        <f>_xll.ciqfunctions.udf.CIQ(InputTicker, "IQ_GROSS_MARGIN",Input!D$2,Date)</f>
        <v>64.695400000000006</v>
      </c>
      <c r="C483" s="4">
        <f>_xll.ciqfunctions.udf.CIQ(InputTicker, "IQ_GROSS_MARGIN",Input!E$2,Date)</f>
        <v>64.038799999999995</v>
      </c>
      <c r="D483" s="4">
        <f>_xll.ciqfunctions.udf.CIQ(InputTicker, "IQ_GROSS_MARGIN",Input!F$2,Date)</f>
        <v>64.522400000000005</v>
      </c>
      <c r="E483" s="4">
        <f>_xll.ciqfunctions.udf.CIQ(InputTicker, "IQ_GROSS_MARGIN",Input!G$2,Date)</f>
        <v>65.247299999999996</v>
      </c>
      <c r="F483" s="4">
        <f>_xll.ciqfunctions.udf.CIQ(InputTicker, "IQ_GROSS_MARGIN",Input!H$2,Date)</f>
        <v>65.901899999999998</v>
      </c>
      <c r="G483" s="4">
        <f>_xll.ciqfunctions.udf.CIQ(InputTicker, "IQ_GROSS_MARGIN",Input!I$2,Date)</f>
        <v>67.781000000000006</v>
      </c>
      <c r="H483" s="4">
        <f>_xll.ciqfunctions.udf.CIQ(InputTicker, "IQ_GROSS_MARGIN",Input!J$2,Date)</f>
        <v>68.925799999999995</v>
      </c>
      <c r="I483" s="4">
        <f>_xll.ciqfunctions.udf.CIQ(InputTicker, "IQ_GROSS_MARGIN",Input!K$2,Date)</f>
        <v>68.401600000000002</v>
      </c>
      <c r="J483" s="4">
        <f>_xll.ciqfunctions.udf.CIQ(InputTicker, "IQ_GROSS_MARGIN",Input!L$2,Date)</f>
        <v>68.92</v>
      </c>
      <c r="K483" s="4">
        <f>_xll.ciqfunctions.udf.CIQ(InputTicker, "IQ_GROSS_MARGIN",Input!M$2,Date)</f>
        <v>69.764399999999995</v>
      </c>
      <c r="L483" s="4">
        <f>_xll.ciqfunctions.udf.CIQ(InputTicker, "IQ_GROSS_MARGIN",Input!N$2,Date)</f>
        <v>68.823700000000002</v>
      </c>
      <c r="M483" s="4">
        <f>_xll.ciqfunctions.udf.CIQ(InputTicker, "IQ_GROSS_MARGIN",Input!O$2,Date)</f>
        <v>68.309200000000004</v>
      </c>
      <c r="N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  <c r="AH483" s="42"/>
      <c r="AI483" s="42"/>
      <c r="AJ483" s="42"/>
      <c r="AK483" s="42"/>
      <c r="AL483" s="42"/>
      <c r="AM483" s="42"/>
      <c r="AN483" s="42"/>
      <c r="AO483" s="42"/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  <c r="BJ483" s="42"/>
      <c r="BK483" s="42"/>
      <c r="BL483" s="42"/>
      <c r="BM483" s="42"/>
      <c r="BN483" s="42"/>
    </row>
    <row r="484" spans="1:66" ht="12.75" customHeight="1" x14ac:dyDescent="0.2">
      <c r="A484" s="19" t="s">
        <v>231</v>
      </c>
      <c r="B484" s="4">
        <f>_xll.ciqfunctions.udf.CIQ(InputTicker,  "IQ_EBITDA_MARGIN",Input!D$2,Date)</f>
        <v>35.875100000000003</v>
      </c>
      <c r="C484" s="4">
        <f>_xll.ciqfunctions.udf.CIQ(InputTicker,  "IQ_EBITDA_MARGIN",Input!E$2,Date)</f>
        <v>36.274799999999999</v>
      </c>
      <c r="D484" s="4">
        <f>_xll.ciqfunctions.udf.CIQ(InputTicker,  "IQ_EBITDA_MARGIN",Input!F$2,Date)</f>
        <v>38.449399999999997</v>
      </c>
      <c r="E484" s="4">
        <f>_xll.ciqfunctions.udf.CIQ(InputTicker,  "IQ_EBITDA_MARGIN",Input!G$2,Date)</f>
        <v>40.737499999999997</v>
      </c>
      <c r="F484" s="4">
        <f>_xll.ciqfunctions.udf.CIQ(InputTicker,  "IQ_EBITDA_MARGIN",Input!H$2,Date)</f>
        <v>43.354799999999997</v>
      </c>
      <c r="G484" s="4">
        <f>_xll.ciqfunctions.udf.CIQ(InputTicker,  "IQ_EBITDA_MARGIN",Input!I$2,Date)</f>
        <v>45.630800000000001</v>
      </c>
      <c r="H484" s="4">
        <f>_xll.ciqfunctions.udf.CIQ(InputTicker,  "IQ_EBITDA_MARGIN",Input!J$2,Date)</f>
        <v>48.079500000000003</v>
      </c>
      <c r="I484" s="4">
        <f>_xll.ciqfunctions.udf.CIQ(InputTicker,  "IQ_EBITDA_MARGIN",Input!K$2,Date)</f>
        <v>49.418900000000001</v>
      </c>
      <c r="J484" s="4">
        <f>_xll.ciqfunctions.udf.CIQ(InputTicker,  "IQ_EBITDA_MARGIN",Input!L$2,Date)</f>
        <v>48.143300000000004</v>
      </c>
      <c r="K484" s="4">
        <f>_xll.ciqfunctions.udf.CIQ(InputTicker,  "IQ_EBITDA_MARGIN",Input!M$2,Date)</f>
        <v>52.8035</v>
      </c>
      <c r="L484" s="4">
        <f>_xll.ciqfunctions.udf.CIQ(InputTicker,  "IQ_EBITDA_MARGIN",Input!N$2,Date)</f>
        <v>55.560699999999997</v>
      </c>
      <c r="M484" s="4">
        <f>_xll.ciqfunctions.udf.CIQ(InputTicker,  "IQ_EBITDA_MARGIN",Input!O$2,Date)</f>
        <v>57.955500000000001</v>
      </c>
      <c r="N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  <c r="BJ484" s="42"/>
      <c r="BK484" s="42"/>
      <c r="BL484" s="42"/>
      <c r="BM484" s="42"/>
      <c r="BN484" s="42"/>
    </row>
    <row r="485" spans="1:66" ht="12.75" customHeight="1" x14ac:dyDescent="0.2">
      <c r="A485" s="19" t="s">
        <v>232</v>
      </c>
      <c r="B485" s="4">
        <f>_xll.ciqfunctions.udf.CIQ(InputTicker, "IQ_EBIT_MARGIN",Input!D$2,Date)</f>
        <v>30.104700000000001</v>
      </c>
      <c r="C485" s="4">
        <f>_xll.ciqfunctions.udf.CIQ(InputTicker, "IQ_EBIT_MARGIN",Input!E$2,Date)</f>
        <v>29.8264</v>
      </c>
      <c r="D485" s="4">
        <f>_xll.ciqfunctions.udf.CIQ(InputTicker, "IQ_EBIT_MARGIN",Input!F$2,Date)</f>
        <v>30.372399999999999</v>
      </c>
      <c r="E485" s="4">
        <f>_xll.ciqfunctions.udf.CIQ(InputTicker, "IQ_EBIT_MARGIN",Input!G$2,Date)</f>
        <v>31.7669</v>
      </c>
      <c r="F485" s="4">
        <f>_xll.ciqfunctions.udf.CIQ(InputTicker, "IQ_EBIT_MARGIN",Input!H$2,Date)</f>
        <v>34.136899999999997</v>
      </c>
      <c r="G485" s="4">
        <f>_xll.ciqfunctions.udf.CIQ(InputTicker, "IQ_EBIT_MARGIN",Input!I$2,Date)</f>
        <v>37.030299999999997</v>
      </c>
      <c r="H485" s="4">
        <f>_xll.ciqfunctions.udf.CIQ(InputTicker, "IQ_EBIT_MARGIN",Input!J$2,Date)</f>
        <v>41.594799999999999</v>
      </c>
      <c r="I485" s="4">
        <f>_xll.ciqfunctions.udf.CIQ(InputTicker, "IQ_EBIT_MARGIN",Input!K$2,Date)</f>
        <v>42.055199999999999</v>
      </c>
      <c r="J485" s="4">
        <f>_xll.ciqfunctions.udf.CIQ(InputTicker, "IQ_EBIT_MARGIN",Input!L$2,Date)</f>
        <v>41.772799999999997</v>
      </c>
      <c r="K485" s="4">
        <f>_xll.ciqfunctions.udf.CIQ(InputTicker, "IQ_EBIT_MARGIN",Input!M$2,Date)</f>
        <v>44.644199999999998</v>
      </c>
      <c r="L485" s="4">
        <f>_xll.ciqfunctions.udf.CIQ(InputTicker, "IQ_EBIT_MARGIN",Input!N$2,Date)</f>
        <v>45.621899999999997</v>
      </c>
      <c r="M485" s="4">
        <f>_xll.ciqfunctions.udf.CIQ(InputTicker, "IQ_EBIT_MARGIN",Input!O$2,Date)</f>
        <v>46.801600000000001</v>
      </c>
      <c r="N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  <c r="AH485" s="42"/>
      <c r="AI485" s="42"/>
      <c r="AJ485" s="42"/>
      <c r="AK485" s="42"/>
      <c r="AL485" s="42"/>
      <c r="AM485" s="42"/>
      <c r="AN485" s="42"/>
      <c r="AO485" s="42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  <c r="BJ485" s="42"/>
      <c r="BK485" s="42"/>
      <c r="BL485" s="42"/>
      <c r="BM485" s="42"/>
      <c r="BN485" s="42"/>
    </row>
    <row r="486" spans="1:66" ht="12.75" customHeight="1" x14ac:dyDescent="0.2">
      <c r="A486" s="19" t="s">
        <v>233</v>
      </c>
      <c r="B486" s="4">
        <f>_xll.ciqfunctions.udf.CIQ(InputTicker, "IQ_NI_MARGIN",Input!D$2,Date)</f>
        <v>13.029400000000001</v>
      </c>
      <c r="C486" s="4">
        <f>_xll.ciqfunctions.udf.CIQ(InputTicker, "IQ_NI_MARGIN",Input!E$2,Date)</f>
        <v>22.5321</v>
      </c>
      <c r="D486" s="4">
        <f>_xll.ciqfunctions.udf.CIQ(InputTicker, "IQ_NI_MARGIN",Input!F$2,Date)</f>
        <v>26.393999999999998</v>
      </c>
      <c r="E486" s="4">
        <f>_xll.ciqfunctions.udf.CIQ(InputTicker, "IQ_NI_MARGIN",Input!G$2,Date)</f>
        <v>15.0154</v>
      </c>
      <c r="F486" s="4">
        <f>_xll.ciqfunctions.udf.CIQ(InputTicker, "IQ_NI_MARGIN",Input!H$2,Date)</f>
        <v>31.181699999999999</v>
      </c>
      <c r="G486" s="4">
        <f>_xll.ciqfunctions.udf.CIQ(InputTicker, "IQ_NI_MARGIN",Input!I$2,Date)</f>
        <v>30.962399999999999</v>
      </c>
      <c r="H486" s="4">
        <f>_xll.ciqfunctions.udf.CIQ(InputTicker, "IQ_NI_MARGIN",Input!J$2,Date)</f>
        <v>36.451700000000002</v>
      </c>
      <c r="I486" s="4">
        <f>_xll.ciqfunctions.udf.CIQ(InputTicker, "IQ_NI_MARGIN",Input!K$2,Date)</f>
        <v>36.686300000000003</v>
      </c>
      <c r="J486" s="4">
        <f>_xll.ciqfunctions.udf.CIQ(InputTicker, "IQ_NI_MARGIN",Input!L$2,Date)</f>
        <v>34.1462</v>
      </c>
      <c r="K486" s="4">
        <f>_xll.ciqfunctions.udf.CIQ(InputTicker, "IQ_NI_MARGIN",Input!M$2,Date)</f>
        <v>35.9559</v>
      </c>
      <c r="L486" s="4">
        <f>_xll.ciqfunctions.udf.CIQ(InputTicker, "IQ_NI_MARGIN",Input!N$2,Date)</f>
        <v>36.146000000000001</v>
      </c>
      <c r="M486" s="4">
        <f>_xll.ciqfunctions.udf.CIQ(InputTicker, "IQ_NI_MARGIN",Input!O$2,Date)</f>
        <v>39.342300000000002</v>
      </c>
      <c r="N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  <c r="AH486" s="42"/>
      <c r="AI486" s="42"/>
      <c r="AJ486" s="42"/>
      <c r="AK486" s="42"/>
      <c r="AL486" s="42"/>
      <c r="AM486" s="42"/>
      <c r="AN486" s="42"/>
      <c r="AO486" s="42"/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  <c r="BJ486" s="42"/>
      <c r="BK486" s="42"/>
      <c r="BL486" s="42"/>
      <c r="BM486" s="42"/>
      <c r="BN486" s="42"/>
    </row>
    <row r="487" spans="1:66" ht="12.75" customHeight="1" x14ac:dyDescent="0.2">
      <c r="A487" s="19" t="s">
        <v>434</v>
      </c>
      <c r="B487" s="21">
        <f>_xll.ciqfunctions.udf.CIQ(InputTicker, "IQ_CAPEX_PCT_REV",Input!D$2,Date)</f>
        <v>6.3517000000000001</v>
      </c>
      <c r="C487" s="21">
        <f>_xll.ciqfunctions.udf.CIQ(InputTicker, "IQ_CAPEX_PCT_REV",Input!E$2,Date)</f>
        <v>9.1525999999999996</v>
      </c>
      <c r="D487" s="21">
        <f>_xll.ciqfunctions.udf.CIQ(InputTicker, "IQ_CAPEX_PCT_REV",Input!F$2,Date)</f>
        <v>8.4176000000000002</v>
      </c>
      <c r="E487" s="21">
        <f>_xll.ciqfunctions.udf.CIQ(InputTicker, "IQ_CAPEX_PCT_REV",Input!G$2,Date)</f>
        <v>10.54</v>
      </c>
      <c r="F487" s="21">
        <f>_xll.ciqfunctions.udf.CIQ(InputTicker, "IQ_CAPEX_PCT_REV",Input!H$2,Date)</f>
        <v>11.065300000000001</v>
      </c>
      <c r="G487" s="21">
        <f>_xll.ciqfunctions.udf.CIQ(InputTicker, "IQ_CAPEX_PCT_REV",Input!I$2,Date)</f>
        <v>10.7967</v>
      </c>
      <c r="H487" s="21">
        <f>_xll.ciqfunctions.udf.CIQ(InputTicker, "IQ_CAPEX_PCT_REV",Input!J$2,Date)</f>
        <v>12.2685</v>
      </c>
      <c r="I487" s="21">
        <f>_xll.ciqfunctions.udf.CIQ(InputTicker, "IQ_CAPEX_PCT_REV",Input!K$2,Date)</f>
        <v>12.0472</v>
      </c>
      <c r="J487" s="21">
        <f>_xll.ciqfunctions.udf.CIQ(InputTicker, "IQ_CAPEX_PCT_REV",Input!L$2,Date)</f>
        <v>13.263299999999999</v>
      </c>
      <c r="K487" s="21">
        <f>_xll.ciqfunctions.udf.CIQ(InputTicker, "IQ_CAPEX_PCT_REV",Input!M$2,Date)</f>
        <v>18.1448</v>
      </c>
      <c r="L487" s="21">
        <f>_xll.ciqfunctions.udf.CIQ(InputTicker, "IQ_CAPEX_PCT_REV",Input!N$2,Date)</f>
        <v>22.912800000000001</v>
      </c>
      <c r="M487" s="21">
        <f>_xll.ciqfunctions.udf.CIQ(InputTicker, "IQ_CAPEX_PCT_REV",Input!O$2,Date)</f>
        <v>30.547599999999999</v>
      </c>
      <c r="N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  <c r="BJ487" s="42"/>
      <c r="BK487" s="42"/>
      <c r="BL487" s="42"/>
      <c r="BM487" s="42"/>
      <c r="BN487" s="42"/>
    </row>
    <row r="488" spans="1:66" ht="12.75" customHeight="1" x14ac:dyDescent="0.2">
      <c r="A488" s="19" t="s">
        <v>234</v>
      </c>
      <c r="B488" s="20">
        <f>_xll.ciqfunctions.udf.CIQ(InputTicker, "IQ_ASSET_TURNS",Input!D$2,Date)</f>
        <v>0.53959000000000001</v>
      </c>
      <c r="C488" s="20">
        <f>_xll.ciqfunctions.udf.CIQ(InputTicker, "IQ_ASSET_TURNS",Input!E$2,Date)</f>
        <v>0.49547999999999998</v>
      </c>
      <c r="D488" s="20">
        <f>_xll.ciqfunctions.udf.CIQ(InputTicker, "IQ_ASSET_TURNS",Input!F$2,Date)</f>
        <v>0.43522</v>
      </c>
      <c r="E488" s="20">
        <f>_xll.ciqfunctions.udf.CIQ(InputTicker, "IQ_ASSET_TURNS",Input!G$2,Date)</f>
        <v>0.4335</v>
      </c>
      <c r="F488" s="20">
        <f>_xll.ciqfunctions.udf.CIQ(InputTicker, "IQ_ASSET_TURNS",Input!H$2,Date)</f>
        <v>0.46146999999999999</v>
      </c>
      <c r="G488" s="20">
        <f>_xll.ciqfunctions.udf.CIQ(InputTicker, "IQ_ASSET_TURNS",Input!I$2,Date)</f>
        <v>0.48655999999999999</v>
      </c>
      <c r="H488" s="20">
        <f>_xll.ciqfunctions.udf.CIQ(InputTicker, "IQ_ASSET_TURNS",Input!J$2,Date)</f>
        <v>0.52934000000000003</v>
      </c>
      <c r="I488" s="20">
        <f>_xll.ciqfunctions.udf.CIQ(InputTicker, "IQ_ASSET_TURNS",Input!K$2,Date)</f>
        <v>0.56760999999999995</v>
      </c>
      <c r="J488" s="20">
        <f>_xll.ciqfunctions.udf.CIQ(InputTicker, "IQ_ASSET_TURNS",Input!L$2,Date)</f>
        <v>0.54559999999999997</v>
      </c>
      <c r="K488" s="20">
        <f>_xll.ciqfunctions.udf.CIQ(InputTicker, "IQ_ASSET_TURNS",Input!M$2,Date)</f>
        <v>0.53049000000000002</v>
      </c>
      <c r="L488" s="20">
        <f>_xll.ciqfunctions.udf.CIQ(InputTicker, "IQ_ASSET_TURNS",Input!N$2,Date)</f>
        <v>0.49811</v>
      </c>
      <c r="M488" s="20">
        <f>_xll.ciqfunctions.udf.CIQ(InputTicker, "IQ_ASSET_TURNS",Input!O$2,Date)</f>
        <v>0.50646000000000002</v>
      </c>
      <c r="N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  <c r="AH488" s="42"/>
      <c r="AI488" s="42"/>
      <c r="AJ488" s="42"/>
      <c r="AK488" s="42"/>
      <c r="AL488" s="42"/>
      <c r="AM488" s="42"/>
      <c r="AN488" s="42"/>
      <c r="AO488" s="42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  <c r="BJ488" s="42"/>
      <c r="BK488" s="42"/>
      <c r="BL488" s="42"/>
      <c r="BM488" s="42"/>
      <c r="BN488" s="42"/>
    </row>
    <row r="489" spans="1:66" ht="12.75" customHeight="1" x14ac:dyDescent="0.2">
      <c r="A489" s="19" t="s">
        <v>235</v>
      </c>
      <c r="B489" s="20">
        <f>_xll.ciqfunctions.udf.CIQ(InputTicker,  "IQ_FIXED_ASSET_TURNS",Input!D$2,Date)</f>
        <v>6.7464500000000003</v>
      </c>
      <c r="C489" s="20">
        <f>_xll.ciqfunctions.udf.CIQ(InputTicker,  "IQ_FIXED_ASSET_TURNS",Input!E$2,Date)</f>
        <v>5.5099600000000004</v>
      </c>
      <c r="D489" s="20">
        <f>_xll.ciqfunctions.udf.CIQ(InputTicker,  "IQ_FIXED_ASSET_TURNS",Input!F$2,Date)</f>
        <v>3.97044</v>
      </c>
      <c r="E489" s="20">
        <f>_xll.ciqfunctions.udf.CIQ(InputTicker,  "IQ_FIXED_ASSET_TURNS",Input!G$2,Date)</f>
        <v>3.3223500000000001</v>
      </c>
      <c r="F489" s="20">
        <f>_xll.ciqfunctions.udf.CIQ(InputTicker,  "IQ_FIXED_ASSET_TURNS",Input!H$2,Date)</f>
        <v>3.1459999999999999</v>
      </c>
      <c r="G489" s="20">
        <f>_xll.ciqfunctions.udf.CIQ(InputTicker,  "IQ_FIXED_ASSET_TURNS",Input!I$2,Date)</f>
        <v>2.95608</v>
      </c>
      <c r="H489" s="20">
        <f>_xll.ciqfunctions.udf.CIQ(InputTicker,  "IQ_FIXED_ASSET_TURNS",Input!J$2,Date)</f>
        <v>2.7175199999999999</v>
      </c>
      <c r="I489" s="20">
        <f>_xll.ciqfunctions.udf.CIQ(InputTicker,  "IQ_FIXED_ASSET_TURNS",Input!K$2,Date)</f>
        <v>2.5042200000000001</v>
      </c>
      <c r="J489" s="20">
        <f>_xll.ciqfunctions.udf.CIQ(InputTicker,  "IQ_FIXED_ASSET_TURNS",Input!L$2,Date)</f>
        <v>2.1456200000000001</v>
      </c>
      <c r="K489" s="20">
        <f>_xll.ciqfunctions.udf.CIQ(InputTicker,  "IQ_FIXED_ASSET_TURNS",Input!M$2,Date)</f>
        <v>1.8532</v>
      </c>
      <c r="L489" s="20">
        <f>_xll.ciqfunctions.udf.CIQ(InputTicker,  "IQ_FIXED_ASSET_TURNS",Input!N$2,Date)</f>
        <v>1.46601</v>
      </c>
      <c r="M489" s="20">
        <f>_xll.ciqfunctions.udf.CIQ(InputTicker,  "IQ_FIXED_ASSET_TURNS",Input!O$2,Date)</f>
        <v>1.2335100000000001</v>
      </c>
      <c r="N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  <c r="BJ489" s="42"/>
      <c r="BK489" s="42"/>
      <c r="BL489" s="42"/>
      <c r="BM489" s="42"/>
      <c r="BN489" s="42"/>
    </row>
    <row r="490" spans="1:66" ht="12.75" customHeight="1" x14ac:dyDescent="0.2">
      <c r="A490" s="19" t="s">
        <v>236</v>
      </c>
      <c r="B490" s="20">
        <f>_xll.ciqfunctions.udf.CIQ(InputTicker, "IQ_AR_TURNS",Input!D$2,Date)</f>
        <v>4.9973299999999998</v>
      </c>
      <c r="C490" s="20">
        <f>_xll.ciqfunctions.udf.CIQ(InputTicker, "IQ_AR_TURNS",Input!E$2,Date)</f>
        <v>5.0382199999999999</v>
      </c>
      <c r="D490" s="20">
        <f>_xll.ciqfunctions.udf.CIQ(InputTicker, "IQ_AR_TURNS",Input!F$2,Date)</f>
        <v>4.7445700000000004</v>
      </c>
      <c r="E490" s="20">
        <f>_xll.ciqfunctions.udf.CIQ(InputTicker, "IQ_AR_TURNS",Input!G$2,Date)</f>
        <v>4.5125900000000003</v>
      </c>
      <c r="F490" s="20">
        <f>_xll.ciqfunctions.udf.CIQ(InputTicker, "IQ_AR_TURNS",Input!H$2,Date)</f>
        <v>4.4939900000000002</v>
      </c>
      <c r="G490" s="20">
        <f>_xll.ciqfunctions.udf.CIQ(InputTicker, "IQ_AR_TURNS",Input!I$2,Date)</f>
        <v>4.64825</v>
      </c>
      <c r="H490" s="20">
        <f>_xll.ciqfunctions.udf.CIQ(InputTicker, "IQ_AR_TURNS",Input!J$2,Date)</f>
        <v>4.7988099999999996</v>
      </c>
      <c r="I490" s="20">
        <f>_xll.ciqfunctions.udf.CIQ(InputTicker, "IQ_AR_TURNS",Input!K$2,Date)</f>
        <v>4.81799</v>
      </c>
      <c r="J490" s="20">
        <f>_xll.ciqfunctions.udf.CIQ(InputTicker, "IQ_AR_TURNS",Input!L$2,Date)</f>
        <v>4.5598099999999997</v>
      </c>
      <c r="K490" s="20">
        <f>_xll.ciqfunctions.udf.CIQ(InputTicker, "IQ_AR_TURNS",Input!M$2,Date)</f>
        <v>4.6419300000000003</v>
      </c>
      <c r="L490" s="20">
        <f>_xll.ciqfunctions.udf.CIQ(InputTicker, "IQ_AR_TURNS",Input!N$2,Date)</f>
        <v>4.4425800000000004</v>
      </c>
      <c r="M490" s="20">
        <f>_xll.ciqfunctions.udf.CIQ(InputTicker, "IQ_AR_TURNS",Input!O$2,Date)</f>
        <v>5.6966200000000002</v>
      </c>
      <c r="N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  <c r="AH490" s="42"/>
      <c r="AI490" s="42"/>
      <c r="AJ490" s="42"/>
      <c r="AK490" s="42"/>
      <c r="AL490" s="42"/>
      <c r="AM490" s="42"/>
      <c r="AN490" s="42"/>
      <c r="AO490" s="42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  <c r="BJ490" s="42"/>
      <c r="BK490" s="42"/>
      <c r="BL490" s="42"/>
      <c r="BM490" s="42"/>
      <c r="BN490" s="42"/>
    </row>
    <row r="491" spans="1:66" ht="12.75" customHeight="1" x14ac:dyDescent="0.2">
      <c r="A491" s="19" t="s">
        <v>237</v>
      </c>
      <c r="B491" s="20">
        <f>_xll.ciqfunctions.udf.CIQ(InputTicker,"IQ_INVENTORY_TURNS",Input!D$2,Date)</f>
        <v>11.879899999999999</v>
      </c>
      <c r="C491" s="20">
        <f>_xll.ciqfunctions.udf.CIQ(InputTicker,"IQ_INVENTORY_TURNS",Input!E$2,Date)</f>
        <v>12.72269</v>
      </c>
      <c r="D491" s="20">
        <f>_xll.ciqfunctions.udf.CIQ(InputTicker,"IQ_INVENTORY_TURNS",Input!F$2,Date)</f>
        <v>15.460739999999999</v>
      </c>
      <c r="E491" s="20">
        <f>_xll.ciqfunctions.udf.CIQ(InputTicker,"IQ_INVENTORY_TURNS",Input!G$2,Date)</f>
        <v>15.83853</v>
      </c>
      <c r="F491" s="20">
        <f>_xll.ciqfunctions.udf.CIQ(InputTicker,"IQ_INVENTORY_TURNS",Input!H$2,Date)</f>
        <v>18.162960000000002</v>
      </c>
      <c r="G491" s="20">
        <f>_xll.ciqfunctions.udf.CIQ(InputTicker,"IQ_INVENTORY_TURNS",Input!I$2,Date)</f>
        <v>23.283480000000001</v>
      </c>
      <c r="H491" s="20">
        <f>_xll.ciqfunctions.udf.CIQ(InputTicker,"IQ_INVENTORY_TURNS",Input!J$2,Date)</f>
        <v>23.055399999999999</v>
      </c>
      <c r="I491" s="20">
        <f>_xll.ciqfunctions.udf.CIQ(InputTicker,"IQ_INVENTORY_TURNS",Input!K$2,Date)</f>
        <v>19.645659999999999</v>
      </c>
      <c r="J491" s="20">
        <f>_xll.ciqfunctions.udf.CIQ(InputTicker,"IQ_INVENTORY_TURNS",Input!L$2,Date)</f>
        <v>21.103169999999999</v>
      </c>
      <c r="K491" s="20">
        <f>_xll.ciqfunctions.udf.CIQ(InputTicker,"IQ_INVENTORY_TURNS",Input!M$2,Date)</f>
        <v>39.569670000000002</v>
      </c>
      <c r="L491" s="20">
        <f>_xll.ciqfunctions.udf.CIQ(InputTicker,"IQ_INVENTORY_TURNS",Input!N$2,Date)</f>
        <v>80.431319999999999</v>
      </c>
      <c r="M491" s="20">
        <f>_xll.ciqfunctions.udf.CIQ(InputTicker,"IQ_INVENTORY_TURNS",Input!O$2,Date)</f>
        <v>97.593609999999998</v>
      </c>
      <c r="N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  <c r="AH491" s="42"/>
      <c r="AI491" s="42"/>
      <c r="AJ491" s="42"/>
      <c r="AK491" s="42"/>
      <c r="AL491" s="42"/>
      <c r="AM491" s="42"/>
      <c r="AN491" s="42"/>
      <c r="AO491" s="42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  <c r="BJ491" s="42"/>
      <c r="BK491" s="42"/>
      <c r="BL491" s="42"/>
      <c r="BM491" s="42"/>
      <c r="BN491" s="42"/>
    </row>
    <row r="492" spans="1:66" ht="12.75" customHeight="1" x14ac:dyDescent="0.2">
      <c r="A492" s="19" t="s">
        <v>238</v>
      </c>
      <c r="B492" s="20">
        <f>_xll.ciqfunctions.udf.CIQ(InputTicker, "IQ_CURRENT_RATIO",Input!D$2,Date)</f>
        <v>2.4733999999999998</v>
      </c>
      <c r="C492" s="20">
        <f>_xll.ciqfunctions.udf.CIQ(InputTicker, "IQ_CURRENT_RATIO",Input!E$2,Date)</f>
        <v>2.3528799999999999</v>
      </c>
      <c r="D492" s="20">
        <f>_xll.ciqfunctions.udf.CIQ(InputTicker, "IQ_CURRENT_RATIO",Input!F$2,Date)</f>
        <v>2.91858</v>
      </c>
      <c r="E492" s="20">
        <f>_xll.ciqfunctions.udf.CIQ(InputTicker, "IQ_CURRENT_RATIO",Input!G$2,Date)</f>
        <v>2.9007999999999998</v>
      </c>
      <c r="F492" s="20">
        <f>_xll.ciqfunctions.udf.CIQ(InputTicker, "IQ_CURRENT_RATIO",Input!H$2,Date)</f>
        <v>2.5288400000000002</v>
      </c>
      <c r="G492" s="20">
        <f>_xll.ciqfunctions.udf.CIQ(InputTicker, "IQ_CURRENT_RATIO",Input!I$2,Date)</f>
        <v>2.5157699999999998</v>
      </c>
      <c r="H492" s="20">
        <f>_xll.ciqfunctions.udf.CIQ(InputTicker, "IQ_CURRENT_RATIO",Input!J$2,Date)</f>
        <v>2.07999</v>
      </c>
      <c r="I492" s="20">
        <f>_xll.ciqfunctions.udf.CIQ(InputTicker, "IQ_CURRENT_RATIO",Input!K$2,Date)</f>
        <v>1.78461</v>
      </c>
      <c r="J492" s="20">
        <f>_xll.ciqfunctions.udf.CIQ(InputTicker, "IQ_CURRENT_RATIO",Input!L$2,Date)</f>
        <v>1.7691699999999999</v>
      </c>
      <c r="K492" s="20">
        <f>_xll.ciqfunctions.udf.CIQ(InputTicker, "IQ_CURRENT_RATIO",Input!M$2,Date)</f>
        <v>1.27495</v>
      </c>
      <c r="L492" s="20">
        <f>_xll.ciqfunctions.udf.CIQ(InputTicker, "IQ_CURRENT_RATIO",Input!N$2,Date)</f>
        <v>1.35345</v>
      </c>
      <c r="M492" s="20">
        <f>_xll.ciqfunctions.udf.CIQ(InputTicker, "IQ_CURRENT_RATIO",Input!O$2,Date)</f>
        <v>1.28295</v>
      </c>
      <c r="N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  <c r="BJ492" s="42"/>
      <c r="BK492" s="42"/>
      <c r="BL492" s="42"/>
      <c r="BM492" s="42"/>
      <c r="BN492" s="42"/>
    </row>
    <row r="493" spans="1:66" ht="12.75" customHeight="1" x14ac:dyDescent="0.2">
      <c r="A493" s="19" t="s">
        <v>239</v>
      </c>
      <c r="B493" s="20">
        <f>_xll.ciqfunctions.udf.CIQ(InputTicker, "IQ_QUICK_RATIO",Input!D$2,Date)</f>
        <v>2.3022300000000002</v>
      </c>
      <c r="C493" s="20">
        <f>_xll.ciqfunctions.udf.CIQ(InputTicker, "IQ_QUICK_RATIO",Input!E$2,Date)</f>
        <v>2.2123400000000002</v>
      </c>
      <c r="D493" s="20">
        <f>_xll.ciqfunctions.udf.CIQ(InputTicker, "IQ_QUICK_RATIO",Input!F$2,Date)</f>
        <v>2.78647</v>
      </c>
      <c r="E493" s="20">
        <f>_xll.ciqfunctions.udf.CIQ(InputTicker, "IQ_QUICK_RATIO",Input!G$2,Date)</f>
        <v>2.7380800000000001</v>
      </c>
      <c r="F493" s="20">
        <f>_xll.ciqfunctions.udf.CIQ(InputTicker, "IQ_QUICK_RATIO",Input!H$2,Date)</f>
        <v>2.3531499999999999</v>
      </c>
      <c r="G493" s="20">
        <f>_xll.ciqfunctions.udf.CIQ(InputTicker, "IQ_QUICK_RATIO",Input!I$2,Date)</f>
        <v>2.3302900000000002</v>
      </c>
      <c r="H493" s="20">
        <f>_xll.ciqfunctions.udf.CIQ(InputTicker, "IQ_QUICK_RATIO",Input!J$2,Date)</f>
        <v>1.89832</v>
      </c>
      <c r="I493" s="20">
        <f>_xll.ciqfunctions.udf.CIQ(InputTicker, "IQ_QUICK_RATIO",Input!K$2,Date)</f>
        <v>1.6313299999999999</v>
      </c>
      <c r="J493" s="20">
        <f>_xll.ciqfunctions.udf.CIQ(InputTicker, "IQ_QUICK_RATIO",Input!L$2,Date)</f>
        <v>1.6240600000000001</v>
      </c>
      <c r="K493" s="20">
        <f>_xll.ciqfunctions.udf.CIQ(InputTicker, "IQ_QUICK_RATIO",Input!M$2,Date)</f>
        <v>1.14113</v>
      </c>
      <c r="L493" s="20">
        <f>_xll.ciqfunctions.udf.CIQ(InputTicker, "IQ_QUICK_RATIO",Input!N$2,Date)</f>
        <v>1.22272</v>
      </c>
      <c r="M493" s="20">
        <f>_xll.ciqfunctions.udf.CIQ(InputTicker, "IQ_QUICK_RATIO",Input!O$2,Date)</f>
        <v>1.14202</v>
      </c>
      <c r="N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  <c r="AH493" s="42"/>
      <c r="AI493" s="42"/>
      <c r="AJ493" s="42"/>
      <c r="AK493" s="42"/>
      <c r="AL493" s="42"/>
      <c r="AM493" s="42"/>
      <c r="AN493" s="42"/>
      <c r="AO493" s="42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  <c r="BJ493" s="42"/>
      <c r="BK493" s="42"/>
      <c r="BL493" s="42"/>
      <c r="BM493" s="42"/>
      <c r="BN493" s="42"/>
    </row>
    <row r="494" spans="1:66" ht="12.75" customHeight="1" x14ac:dyDescent="0.2">
      <c r="A494" s="19" t="s">
        <v>250</v>
      </c>
      <c r="B494" s="20">
        <f>_xll.ciqfunctions.udf.CIQ(InputTicker,"IQ_CFO_CURRENT_LIAB",Input!D$2,Date)</f>
        <v>0.59758</v>
      </c>
      <c r="C494" s="20">
        <f>_xll.ciqfunctions.udf.CIQ(InputTicker,"IQ_CFO_CURRENT_LIAB",Input!E$2,Date)</f>
        <v>0.56142999999999998</v>
      </c>
      <c r="D494" s="20">
        <f>_xll.ciqfunctions.udf.CIQ(InputTicker,"IQ_CFO_CURRENT_LIAB",Input!F$2,Date)</f>
        <v>0.70870999999999995</v>
      </c>
      <c r="E494" s="20">
        <f>_xll.ciqfunctions.udf.CIQ(InputTicker,"IQ_CFO_CURRENT_LIAB",Input!G$2,Date)</f>
        <v>0.75031000000000003</v>
      </c>
      <c r="F494" s="20">
        <f>_xll.ciqfunctions.udf.CIQ(InputTicker,"IQ_CFO_CURRENT_LIAB",Input!H$2,Date)</f>
        <v>0.75173000000000001</v>
      </c>
      <c r="G494" s="20">
        <f>_xll.ciqfunctions.udf.CIQ(InputTicker,"IQ_CFO_CURRENT_LIAB",Input!I$2,Date)</f>
        <v>0.83909999999999996</v>
      </c>
      <c r="H494" s="20">
        <f>_xll.ciqfunctions.udf.CIQ(InputTicker,"IQ_CFO_CURRENT_LIAB",Input!J$2,Date)</f>
        <v>0.86558000000000002</v>
      </c>
      <c r="I494" s="20">
        <f>_xll.ciqfunctions.udf.CIQ(InputTicker,"IQ_CFO_CURRENT_LIAB",Input!K$2,Date)</f>
        <v>0.93640000000000001</v>
      </c>
      <c r="J494" s="20">
        <f>_xll.ciqfunctions.udf.CIQ(InputTicker,"IQ_CFO_CURRENT_LIAB",Input!L$2,Date)</f>
        <v>0.84092999999999996</v>
      </c>
      <c r="K494" s="20">
        <f>_xll.ciqfunctions.udf.CIQ(InputTicker,"IQ_CFO_CURRENT_LIAB",Input!M$2,Date)</f>
        <v>0.94621999999999995</v>
      </c>
      <c r="L494" s="20">
        <f>_xll.ciqfunctions.udf.CIQ(InputTicker,"IQ_CFO_CURRENT_LIAB",Input!N$2,Date)</f>
        <v>0.96419999999999995</v>
      </c>
      <c r="M494" s="20">
        <f>_xll.ciqfunctions.udf.CIQ(InputTicker,"IQ_CFO_CURRENT_LIAB",Input!O$2,Date)</f>
        <v>1.24499</v>
      </c>
      <c r="N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  <c r="BJ494" s="42"/>
      <c r="BK494" s="42"/>
      <c r="BL494" s="42"/>
      <c r="BM494" s="42"/>
      <c r="BN494" s="42"/>
    </row>
    <row r="495" spans="1:66" ht="12.75" customHeight="1" x14ac:dyDescent="0.2">
      <c r="A495" s="19" t="s">
        <v>247</v>
      </c>
      <c r="B495" s="4">
        <f>_xll.ciqfunctions.udf.CIQ(InputTicker, "IQ_DAYS_SALES_OUT",Input!D$2,Date)</f>
        <v>73.038690000000003</v>
      </c>
      <c r="C495" s="4">
        <f>_xll.ciqfunctions.udf.CIQ(InputTicker, "IQ_DAYS_SALES_OUT",Input!E$2,Date)</f>
        <v>72.644409999999993</v>
      </c>
      <c r="D495" s="4">
        <f>_xll.ciqfunctions.udf.CIQ(InputTicker, "IQ_DAYS_SALES_OUT",Input!F$2,Date)</f>
        <v>76.929959999999994</v>
      </c>
      <c r="E495" s="4">
        <f>_xll.ciqfunctions.udf.CIQ(InputTicker, "IQ_DAYS_SALES_OUT",Input!G$2,Date)</f>
        <v>80.884730000000005</v>
      </c>
      <c r="F495" s="4">
        <f>_xll.ciqfunctions.udf.CIQ(InputTicker, "IQ_DAYS_SALES_OUT",Input!H$2,Date)</f>
        <v>81.219440000000006</v>
      </c>
      <c r="G495" s="4">
        <f>_xll.ciqfunctions.udf.CIQ(InputTicker, "IQ_DAYS_SALES_OUT",Input!I$2,Date)</f>
        <v>78.739040000000003</v>
      </c>
      <c r="H495" s="4">
        <f>_xll.ciqfunctions.udf.CIQ(InputTicker, "IQ_DAYS_SALES_OUT",Input!J$2,Date)</f>
        <v>76.060159999999996</v>
      </c>
      <c r="I495" s="4">
        <f>_xll.ciqfunctions.udf.CIQ(InputTicker, "IQ_DAYS_SALES_OUT",Input!K$2,Date)</f>
        <v>75.757580000000004</v>
      </c>
      <c r="J495" s="4">
        <f>_xll.ciqfunctions.udf.CIQ(InputTicker, "IQ_DAYS_SALES_OUT",Input!L$2,Date)</f>
        <v>80.047060000000002</v>
      </c>
      <c r="K495" s="4">
        <f>_xll.ciqfunctions.udf.CIQ(InputTicker, "IQ_DAYS_SALES_OUT",Input!M$2,Date)</f>
        <v>78.846279999999993</v>
      </c>
      <c r="L495" s="4">
        <f>_xll.ciqfunctions.udf.CIQ(InputTicker, "IQ_DAYS_SALES_OUT",Input!N$2,Date)</f>
        <v>82.159310000000005</v>
      </c>
      <c r="M495" s="4">
        <f>_xll.ciqfunctions.udf.CIQ(InputTicker, "IQ_DAYS_SALES_OUT",Input!O$2,Date)</f>
        <v>64.072829999999996</v>
      </c>
      <c r="N495" s="57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  <c r="AH495" s="42"/>
      <c r="AI495" s="42"/>
      <c r="AJ495" s="42"/>
      <c r="AK495" s="42"/>
      <c r="AL495" s="42"/>
      <c r="AM495" s="42"/>
      <c r="AN495" s="42"/>
      <c r="AO495" s="42"/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  <c r="BJ495" s="42"/>
      <c r="BK495" s="42"/>
      <c r="BL495" s="42"/>
      <c r="BM495" s="42"/>
      <c r="BN495" s="42"/>
    </row>
    <row r="496" spans="1:66" ht="12.75" customHeight="1" x14ac:dyDescent="0.2">
      <c r="A496" s="19" t="s">
        <v>248</v>
      </c>
      <c r="B496" s="4">
        <f>_xll.ciqfunctions.udf.CIQ(InputTicker, "IQ_DAYS_INVENTORY_OUT",Input!D$2,Date)</f>
        <v>30.723880000000001</v>
      </c>
      <c r="C496" s="4">
        <f>_xll.ciqfunctions.udf.CIQ(InputTicker, "IQ_DAYS_INVENTORY_OUT",Input!E$2,Date)</f>
        <v>28.767230000000001</v>
      </c>
      <c r="D496" s="4">
        <f>_xll.ciqfunctions.udf.CIQ(InputTicker, "IQ_DAYS_INVENTORY_OUT",Input!F$2,Date)</f>
        <v>23.607839999999999</v>
      </c>
      <c r="E496" s="4">
        <f>_xll.ciqfunctions.udf.CIQ(InputTicker, "IQ_DAYS_INVENTORY_OUT",Input!G$2,Date)</f>
        <v>23.045010000000001</v>
      </c>
      <c r="F496" s="4">
        <f>_xll.ciqfunctions.udf.CIQ(InputTicker, "IQ_DAYS_INVENTORY_OUT",Input!H$2,Date)</f>
        <v>20.09581</v>
      </c>
      <c r="G496" s="4">
        <f>_xll.ciqfunctions.udf.CIQ(InputTicker, "IQ_DAYS_INVENTORY_OUT",Input!I$2,Date)</f>
        <v>15.718970000000001</v>
      </c>
      <c r="H496" s="4">
        <f>_xll.ciqfunctions.udf.CIQ(InputTicker, "IQ_DAYS_INVENTORY_OUT",Input!J$2,Date)</f>
        <v>15.831149999999999</v>
      </c>
      <c r="I496" s="4">
        <f>_xll.ciqfunctions.udf.CIQ(InputTicker, "IQ_DAYS_INVENTORY_OUT",Input!K$2,Date)</f>
        <v>18.578869999999998</v>
      </c>
      <c r="J496" s="4">
        <f>_xll.ciqfunctions.udf.CIQ(InputTicker, "IQ_DAYS_INVENTORY_OUT",Input!L$2,Date)</f>
        <v>17.29589</v>
      </c>
      <c r="K496" s="4">
        <f>_xll.ciqfunctions.udf.CIQ(InputTicker, "IQ_DAYS_INVENTORY_OUT",Input!M$2,Date)</f>
        <v>9.2491900000000005</v>
      </c>
      <c r="L496" s="4">
        <f>_xll.ciqfunctions.udf.CIQ(InputTicker, "IQ_DAYS_INVENTORY_OUT",Input!N$2,Date)</f>
        <v>4.5376799999999999</v>
      </c>
      <c r="M496" s="4">
        <f>_xll.ciqfunctions.udf.CIQ(InputTicker, "IQ_DAYS_INVENTORY_OUT",Input!O$2,Date)</f>
        <v>3.7397900000000002</v>
      </c>
      <c r="N496" s="57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  <c r="AH496" s="42"/>
      <c r="AI496" s="42"/>
      <c r="AJ496" s="42"/>
      <c r="AK496" s="42"/>
      <c r="AL496" s="42"/>
      <c r="AM496" s="42"/>
      <c r="AN496" s="42"/>
      <c r="AO496" s="42"/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  <c r="BJ496" s="42"/>
      <c r="BK496" s="42"/>
      <c r="BL496" s="42"/>
      <c r="BM496" s="42"/>
      <c r="BN496" s="42"/>
    </row>
    <row r="497" spans="1:66" ht="12.75" customHeight="1" x14ac:dyDescent="0.2">
      <c r="A497" s="19" t="s">
        <v>249</v>
      </c>
      <c r="B497" s="4">
        <f>_xll.ciqfunctions.udf.CIQ(InputTicker,  "IQ_DAYS_PAYABLE_OUT",Input!D$2,Date)</f>
        <v>76.898930000000007</v>
      </c>
      <c r="C497" s="4">
        <f>_xll.ciqfunctions.udf.CIQ(InputTicker,  "IQ_DAYS_PAYABLE_OUT",Input!E$2,Date)</f>
        <v>76.830349999999996</v>
      </c>
      <c r="D497" s="4">
        <f>_xll.ciqfunctions.udf.CIQ(InputTicker,  "IQ_DAYS_PAYABLE_OUT",Input!F$2,Date)</f>
        <v>76.264200000000002</v>
      </c>
      <c r="E497" s="4">
        <f>_xll.ciqfunctions.udf.CIQ(InputTicker,  "IQ_DAYS_PAYABLE_OUT",Input!G$2,Date)</f>
        <v>75.224680000000006</v>
      </c>
      <c r="F497" s="4">
        <f>_xll.ciqfunctions.udf.CIQ(InputTicker,  "IQ_DAYS_PAYABLE_OUT",Input!H$2,Date)</f>
        <v>77.634770000000003</v>
      </c>
      <c r="G497" s="4">
        <f>_xll.ciqfunctions.udf.CIQ(InputTicker,  "IQ_DAYS_PAYABLE_OUT",Input!I$2,Date)</f>
        <v>87.342240000000004</v>
      </c>
      <c r="H497" s="4">
        <f>_xll.ciqfunctions.udf.CIQ(InputTicker,  "IQ_DAYS_PAYABLE_OUT",Input!J$2,Date)</f>
        <v>95.406260000000003</v>
      </c>
      <c r="I497" s="4">
        <f>_xll.ciqfunctions.udf.CIQ(InputTicker,  "IQ_DAYS_PAYABLE_OUT",Input!K$2,Date)</f>
        <v>97.790440000000004</v>
      </c>
      <c r="J497" s="4">
        <f>_xll.ciqfunctions.udf.CIQ(InputTicker,  "IQ_DAYS_PAYABLE_OUT",Input!L$2,Date)</f>
        <v>104.76194</v>
      </c>
      <c r="K497" s="4">
        <f>_xll.ciqfunctions.udf.CIQ(InputTicker,  "IQ_DAYS_PAYABLE_OUT",Input!M$2,Date)</f>
        <v>100.69502</v>
      </c>
      <c r="L497" s="4">
        <f>_xll.ciqfunctions.udf.CIQ(InputTicker,  "IQ_DAYS_PAYABLE_OUT",Input!N$2,Date)</f>
        <v>103.67424</v>
      </c>
      <c r="M497" s="4">
        <f>_xll.ciqfunctions.udf.CIQ(InputTicker,  "IQ_DAYS_PAYABLE_OUT",Input!O$2,Date)</f>
        <v>114.94871999999999</v>
      </c>
      <c r="N497" s="57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  <c r="AH497" s="42"/>
      <c r="AI497" s="42"/>
      <c r="AJ497" s="42"/>
      <c r="AK497" s="42"/>
      <c r="AL497" s="42"/>
      <c r="AM497" s="42"/>
      <c r="AN497" s="42"/>
      <c r="AO497" s="42"/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  <c r="BJ497" s="42"/>
      <c r="BK497" s="42"/>
      <c r="BL497" s="42"/>
      <c r="BM497" s="42"/>
      <c r="BN497" s="42"/>
    </row>
    <row r="498" spans="1:66" ht="12.75" customHeight="1" x14ac:dyDescent="0.2">
      <c r="A498" s="19" t="s">
        <v>240</v>
      </c>
      <c r="B498" s="4">
        <f>_xll.ciqfunctions.udf.CIQ(InputTicker, "IQ_CASH_CONVERSION",Input!D$2,Date)</f>
        <v>26.86364</v>
      </c>
      <c r="C498" s="4">
        <f>_xll.ciqfunctions.udf.CIQ(InputTicker, "IQ_CASH_CONVERSION",Input!E$2,Date)</f>
        <v>24.581289999999999</v>
      </c>
      <c r="D498" s="4">
        <f>_xll.ciqfunctions.udf.CIQ(InputTicker, "IQ_CASH_CONVERSION",Input!F$2,Date)</f>
        <v>24.273599999999998</v>
      </c>
      <c r="E498" s="4">
        <f>_xll.ciqfunctions.udf.CIQ(InputTicker, "IQ_CASH_CONVERSION",Input!G$2,Date)</f>
        <v>28.70506</v>
      </c>
      <c r="F498" s="4">
        <f>_xll.ciqfunctions.udf.CIQ(InputTicker, "IQ_CASH_CONVERSION",Input!H$2,Date)</f>
        <v>23.68047</v>
      </c>
      <c r="G498" s="4">
        <f>_xll.ciqfunctions.udf.CIQ(InputTicker, "IQ_CASH_CONVERSION",Input!I$2,Date)</f>
        <v>7.1157700000000004</v>
      </c>
      <c r="H498" s="4">
        <f>_xll.ciqfunctions.udf.CIQ(InputTicker, "IQ_CASH_CONVERSION",Input!J$2,Date)</f>
        <v>-3.5149499999999998</v>
      </c>
      <c r="I498" s="4">
        <f>_xll.ciqfunctions.udf.CIQ(InputTicker, "IQ_CASH_CONVERSION",Input!K$2,Date)</f>
        <v>-3.4540000000000002</v>
      </c>
      <c r="J498" s="4">
        <f>_xll.ciqfunctions.udf.CIQ(InputTicker, "IQ_CASH_CONVERSION",Input!L$2,Date)</f>
        <v>-7.41899</v>
      </c>
      <c r="K498" s="4">
        <f>_xll.ciqfunctions.udf.CIQ(InputTicker, "IQ_CASH_CONVERSION",Input!M$2,Date)</f>
        <v>-12.599550000000001</v>
      </c>
      <c r="L498" s="4">
        <f>_xll.ciqfunctions.udf.CIQ(InputTicker, "IQ_CASH_CONVERSION",Input!N$2,Date)</f>
        <v>-16.977250000000002</v>
      </c>
      <c r="M498" s="4">
        <f>_xll.ciqfunctions.udf.CIQ(InputTicker, "IQ_CASH_CONVERSION",Input!O$2,Date)</f>
        <v>-47.136099999999999</v>
      </c>
      <c r="N498" s="57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  <c r="BJ498" s="42"/>
      <c r="BK498" s="42"/>
      <c r="BL498" s="42"/>
      <c r="BM498" s="42"/>
      <c r="BN498" s="42"/>
    </row>
    <row r="499" spans="1:66" ht="12.75" customHeight="1" x14ac:dyDescent="0.2">
      <c r="A499" s="19" t="s">
        <v>251</v>
      </c>
      <c r="B499" s="4">
        <f>_xll.ciqfunctions.udf.CIQ(InputTicker, "IQ_TOTAL_DEBT_EQUITY",Input!D$2,Date)</f>
        <v>44.184100000000001</v>
      </c>
      <c r="C499" s="4">
        <f>_xll.ciqfunctions.udf.CIQ(InputTicker, "IQ_TOTAL_DEBT_EQUITY",Input!E$2,Date)</f>
        <v>75.754499999999993</v>
      </c>
      <c r="D499" s="4">
        <f>_xll.ciqfunctions.udf.CIQ(InputTicker, "IQ_TOTAL_DEBT_EQUITY",Input!F$2,Date)</f>
        <v>108.911</v>
      </c>
      <c r="E499" s="4">
        <f>_xll.ciqfunctions.udf.CIQ(InputTicker, "IQ_TOTAL_DEBT_EQUITY",Input!G$2,Date)</f>
        <v>105.7907</v>
      </c>
      <c r="F499" s="4">
        <f>_xll.ciqfunctions.udf.CIQ(InputTicker, "IQ_TOTAL_DEBT_EQUITY",Input!H$2,Date)</f>
        <v>84.486400000000003</v>
      </c>
      <c r="G499" s="4">
        <f>_xll.ciqfunctions.udf.CIQ(InputTicker, "IQ_TOTAL_DEBT_EQUITY",Input!I$2,Date)</f>
        <v>69.405900000000003</v>
      </c>
      <c r="H499" s="4">
        <f>_xll.ciqfunctions.udf.CIQ(InputTicker, "IQ_TOTAL_DEBT_EQUITY",Input!J$2,Date)</f>
        <v>57.947099999999999</v>
      </c>
      <c r="I499" s="4">
        <f>_xll.ciqfunctions.udf.CIQ(InputTicker, "IQ_TOTAL_DEBT_EQUITY",Input!K$2,Date)</f>
        <v>47.075200000000002</v>
      </c>
      <c r="J499" s="4">
        <f>_xll.ciqfunctions.udf.CIQ(InputTicker, "IQ_TOTAL_DEBT_EQUITY",Input!L$2,Date)</f>
        <v>38.521799999999999</v>
      </c>
      <c r="K499" s="4">
        <f>_xll.ciqfunctions.udf.CIQ(InputTicker, "IQ_TOTAL_DEBT_EQUITY",Input!M$2,Date)</f>
        <v>36.447000000000003</v>
      </c>
      <c r="L499" s="4">
        <f>_xll.ciqfunctions.udf.CIQ(InputTicker, "IQ_TOTAL_DEBT_EQUITY",Input!N$2,Date)</f>
        <v>32.661000000000001</v>
      </c>
      <c r="M499" s="4">
        <f>_xll.ciqfunctions.udf.CIQ(InputTicker, "IQ_TOTAL_DEBT_EQUITY",Input!O$2,Date)</f>
        <v>30.270700000000001</v>
      </c>
      <c r="N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  <c r="AH499" s="42"/>
      <c r="AI499" s="42"/>
      <c r="AJ499" s="42"/>
      <c r="AK499" s="42"/>
      <c r="AL499" s="42"/>
      <c r="AM499" s="42"/>
      <c r="AN499" s="42"/>
      <c r="AO499" s="42"/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  <c r="BJ499" s="42"/>
      <c r="BK499" s="42"/>
      <c r="BL499" s="42"/>
      <c r="BM499" s="42"/>
      <c r="BN499" s="42"/>
    </row>
    <row r="500" spans="1:66" ht="12.75" customHeight="1" x14ac:dyDescent="0.2">
      <c r="A500" s="19" t="s">
        <v>252</v>
      </c>
      <c r="B500" s="4">
        <f>_xll.ciqfunctions.udf.CIQ(InputTicker, "IQ_TOTAL_DEBT_CAPITAL",Input!D$2,Date)</f>
        <v>30.644200000000001</v>
      </c>
      <c r="C500" s="4">
        <f>_xll.ciqfunctions.udf.CIQ(InputTicker, "IQ_TOTAL_DEBT_CAPITAL",Input!E$2,Date)</f>
        <v>43.102400000000003</v>
      </c>
      <c r="D500" s="4">
        <f>_xll.ciqfunctions.udf.CIQ(InputTicker, "IQ_TOTAL_DEBT_CAPITAL",Input!F$2,Date)</f>
        <v>52.1327</v>
      </c>
      <c r="E500" s="4">
        <f>_xll.ciqfunctions.udf.CIQ(InputTicker, "IQ_TOTAL_DEBT_CAPITAL",Input!G$2,Date)</f>
        <v>51.4069</v>
      </c>
      <c r="F500" s="4">
        <f>_xll.ciqfunctions.udf.CIQ(InputTicker, "IQ_TOTAL_DEBT_CAPITAL",Input!H$2,Date)</f>
        <v>45.795400000000001</v>
      </c>
      <c r="G500" s="4">
        <f>_xll.ciqfunctions.udf.CIQ(InputTicker, "IQ_TOTAL_DEBT_CAPITAL",Input!I$2,Date)</f>
        <v>40.970100000000002</v>
      </c>
      <c r="H500" s="4">
        <f>_xll.ciqfunctions.udf.CIQ(InputTicker, "IQ_TOTAL_DEBT_CAPITAL",Input!J$2,Date)</f>
        <v>36.687600000000003</v>
      </c>
      <c r="I500" s="4">
        <f>_xll.ciqfunctions.udf.CIQ(InputTicker, "IQ_TOTAL_DEBT_CAPITAL",Input!K$2,Date)</f>
        <v>32.0075</v>
      </c>
      <c r="J500" s="4">
        <f>_xll.ciqfunctions.udf.CIQ(InputTicker, "IQ_TOTAL_DEBT_CAPITAL",Input!L$2,Date)</f>
        <v>27.809200000000001</v>
      </c>
      <c r="K500" s="4">
        <f>_xll.ciqfunctions.udf.CIQ(InputTicker, "IQ_TOTAL_DEBT_CAPITAL",Input!M$2,Date)</f>
        <v>26.711500000000001</v>
      </c>
      <c r="L500" s="4">
        <f>_xll.ciqfunctions.udf.CIQ(InputTicker, "IQ_TOTAL_DEBT_CAPITAL",Input!N$2,Date)</f>
        <v>24.619900000000001</v>
      </c>
      <c r="M500" s="4">
        <f>_xll.ciqfunctions.udf.CIQ(InputTicker, "IQ_TOTAL_DEBT_CAPITAL",Input!O$2,Date)</f>
        <v>23.236699999999999</v>
      </c>
      <c r="N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  <c r="BJ500" s="42"/>
      <c r="BK500" s="42"/>
      <c r="BL500" s="42"/>
      <c r="BM500" s="42"/>
      <c r="BN500" s="42"/>
    </row>
    <row r="501" spans="1:66" ht="12.75" customHeight="1" x14ac:dyDescent="0.2">
      <c r="A501" s="19" t="s">
        <v>253</v>
      </c>
      <c r="B501" s="4">
        <f>_xll.ciqfunctions.udf.CIQ(InputTicker,  "IQ_LT_DEBT_EQUITY",Input!D$2,Date)</f>
        <v>34.7239</v>
      </c>
      <c r="C501" s="4">
        <f>_xll.ciqfunctions.udf.CIQ(InputTicker,  "IQ_LT_DEBT_EQUITY",Input!E$2,Date)</f>
        <v>57.388500000000001</v>
      </c>
      <c r="D501" s="4">
        <f>_xll.ciqfunctions.udf.CIQ(InputTicker,  "IQ_LT_DEBT_EQUITY",Input!F$2,Date)</f>
        <v>95.620800000000003</v>
      </c>
      <c r="E501" s="4">
        <f>_xll.ciqfunctions.udf.CIQ(InputTicker,  "IQ_LT_DEBT_EQUITY",Input!G$2,Date)</f>
        <v>99.053399999999996</v>
      </c>
      <c r="F501" s="4">
        <f>_xll.ciqfunctions.udf.CIQ(InputTicker,  "IQ_LT_DEBT_EQUITY",Input!H$2,Date)</f>
        <v>77.305700000000002</v>
      </c>
      <c r="G501" s="4">
        <f>_xll.ciqfunctions.udf.CIQ(InputTicker,  "IQ_LT_DEBT_EQUITY",Input!I$2,Date)</f>
        <v>64.414500000000004</v>
      </c>
      <c r="H501" s="4">
        <f>_xll.ciqfunctions.udf.CIQ(InputTicker,  "IQ_LT_DEBT_EQUITY",Input!J$2,Date)</f>
        <v>50.3232</v>
      </c>
      <c r="I501" s="4">
        <f>_xll.ciqfunctions.udf.CIQ(InputTicker,  "IQ_LT_DEBT_EQUITY",Input!K$2,Date)</f>
        <v>43.450299999999999</v>
      </c>
      <c r="J501" s="4">
        <f>_xll.ciqfunctions.udf.CIQ(InputTicker,  "IQ_LT_DEBT_EQUITY",Input!L$2,Date)</f>
        <v>34.228900000000003</v>
      </c>
      <c r="K501" s="4">
        <f>_xll.ciqfunctions.udf.CIQ(InputTicker,  "IQ_LT_DEBT_EQUITY",Input!M$2,Date)</f>
        <v>30.908000000000001</v>
      </c>
      <c r="L501" s="4">
        <f>_xll.ciqfunctions.udf.CIQ(InputTicker,  "IQ_LT_DEBT_EQUITY",Input!N$2,Date)</f>
        <v>29.285299999999999</v>
      </c>
      <c r="M501" s="4">
        <f>_xll.ciqfunctions.udf.CIQ(InputTicker,  "IQ_LT_DEBT_EQUITY",Input!O$2,Date)</f>
        <v>25.821300000000001</v>
      </c>
      <c r="N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  <c r="BJ501" s="42"/>
      <c r="BK501" s="42"/>
      <c r="BL501" s="42"/>
      <c r="BM501" s="42"/>
      <c r="BN501" s="42"/>
    </row>
    <row r="502" spans="1:66" ht="12.75" customHeight="1" x14ac:dyDescent="0.2">
      <c r="A502" s="19" t="s">
        <v>254</v>
      </c>
      <c r="B502" s="4">
        <f>_xll.ciqfunctions.udf.CIQ(InputTicker, "IQ_LT_DEBT_CAPITAL",Input!D$2,Date)</f>
        <v>24.082999999999998</v>
      </c>
      <c r="C502" s="4">
        <f>_xll.ciqfunctions.udf.CIQ(InputTicker, "IQ_LT_DEBT_CAPITAL",Input!E$2,Date)</f>
        <v>32.6526</v>
      </c>
      <c r="D502" s="4">
        <f>_xll.ciqfunctions.udf.CIQ(InputTicker, "IQ_LT_DEBT_CAPITAL",Input!F$2,Date)</f>
        <v>45.771000000000001</v>
      </c>
      <c r="E502" s="4">
        <f>_xll.ciqfunctions.udf.CIQ(InputTicker, "IQ_LT_DEBT_CAPITAL",Input!G$2,Date)</f>
        <v>48.133000000000003</v>
      </c>
      <c r="F502" s="4">
        <f>_xll.ciqfunctions.udf.CIQ(InputTicker, "IQ_LT_DEBT_CAPITAL",Input!H$2,Date)</f>
        <v>41.903199999999998</v>
      </c>
      <c r="G502" s="4">
        <f>_xll.ciqfunctions.udf.CIQ(InputTicker, "IQ_LT_DEBT_CAPITAL",Input!I$2,Date)</f>
        <v>38.023699999999998</v>
      </c>
      <c r="H502" s="4">
        <f>_xll.ciqfunctions.udf.CIQ(InputTicker, "IQ_LT_DEBT_CAPITAL",Input!J$2,Date)</f>
        <v>31.860800000000001</v>
      </c>
      <c r="I502" s="4">
        <f>_xll.ciqfunctions.udf.CIQ(InputTicker, "IQ_LT_DEBT_CAPITAL",Input!K$2,Date)</f>
        <v>29.542899999999999</v>
      </c>
      <c r="J502" s="4">
        <f>_xll.ciqfunctions.udf.CIQ(InputTicker, "IQ_LT_DEBT_CAPITAL",Input!L$2,Date)</f>
        <v>24.710100000000001</v>
      </c>
      <c r="K502" s="4">
        <f>_xll.ciqfunctions.udf.CIQ(InputTicker, "IQ_LT_DEBT_CAPITAL",Input!M$2,Date)</f>
        <v>22.652000000000001</v>
      </c>
      <c r="L502" s="4">
        <f>_xll.ciqfunctions.udf.CIQ(InputTicker, "IQ_LT_DEBT_CAPITAL",Input!N$2,Date)</f>
        <v>22.075299999999999</v>
      </c>
      <c r="M502" s="4">
        <f>_xll.ciqfunctions.udf.CIQ(InputTicker, "IQ_LT_DEBT_CAPITAL",Input!O$2,Date)</f>
        <v>19.821200000000001</v>
      </c>
      <c r="N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  <c r="BJ502" s="42"/>
      <c r="BK502" s="42"/>
      <c r="BL502" s="42"/>
      <c r="BM502" s="42"/>
      <c r="BN502" s="42"/>
    </row>
    <row r="503" spans="1:66" ht="12.75" customHeight="1" x14ac:dyDescent="0.2">
      <c r="A503" s="19" t="s">
        <v>255</v>
      </c>
      <c r="B503" s="4">
        <f>_xll.ciqfunctions.udf.CIQ(InputTicker, "IQ_TOTAL_LIAB_TOTAL_ASSETS",Input!D$2,Date)</f>
        <v>54.099699999999999</v>
      </c>
      <c r="C503" s="4">
        <f>_xll.ciqfunctions.udf.CIQ(InputTicker, "IQ_TOTAL_LIAB_TOTAL_ASSETS",Input!E$2,Date)</f>
        <v>62.786000000000001</v>
      </c>
      <c r="D503" s="4">
        <f>_xll.ciqfunctions.udf.CIQ(InputTicker, "IQ_TOTAL_LIAB_TOTAL_ASSETS",Input!F$2,Date)</f>
        <v>64.959299999999999</v>
      </c>
      <c r="E503" s="4">
        <f>_xll.ciqfunctions.udf.CIQ(InputTicker, "IQ_TOTAL_LIAB_TOTAL_ASSETS",Input!G$2,Date)</f>
        <v>68.043700000000001</v>
      </c>
      <c r="F503" s="4">
        <f>_xll.ciqfunctions.udf.CIQ(InputTicker, "IQ_TOTAL_LIAB_TOTAL_ASSETS",Input!H$2,Date)</f>
        <v>64.289699999999996</v>
      </c>
      <c r="G503" s="4">
        <f>_xll.ciqfunctions.udf.CIQ(InputTicker, "IQ_TOTAL_LIAB_TOTAL_ASSETS",Input!I$2,Date)</f>
        <v>60.736899999999999</v>
      </c>
      <c r="H503" s="4">
        <f>_xll.ciqfunctions.udf.CIQ(InputTicker, "IQ_TOTAL_LIAB_TOTAL_ASSETS",Input!J$2,Date)</f>
        <v>57.4604</v>
      </c>
      <c r="I503" s="4">
        <f>_xll.ciqfunctions.udf.CIQ(InputTicker, "IQ_TOTAL_LIAB_TOTAL_ASSETS",Input!K$2,Date)</f>
        <v>54.351999999999997</v>
      </c>
      <c r="J503" s="4">
        <f>_xll.ciqfunctions.udf.CIQ(InputTicker, "IQ_TOTAL_LIAB_TOTAL_ASSETS",Input!L$2,Date)</f>
        <v>49.942900000000002</v>
      </c>
      <c r="K503" s="4">
        <f>_xll.ciqfunctions.udf.CIQ(InputTicker, "IQ_TOTAL_LIAB_TOTAL_ASSETS",Input!M$2,Date)</f>
        <v>47.579700000000003</v>
      </c>
      <c r="L503" s="4">
        <f>_xll.ciqfunctions.udf.CIQ(InputTicker, "IQ_TOTAL_LIAB_TOTAL_ASSETS",Input!N$2,Date)</f>
        <v>44.510899999999999</v>
      </c>
      <c r="M503" s="4">
        <f>_xll.ciqfunctions.udf.CIQ(InputTicker, "IQ_TOTAL_LIAB_TOTAL_ASSETS",Input!O$2,Date)</f>
        <v>40.3125</v>
      </c>
      <c r="N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  <c r="BJ503" s="42"/>
      <c r="BK503" s="42"/>
      <c r="BL503" s="42"/>
      <c r="BM503" s="42"/>
      <c r="BN503" s="42"/>
    </row>
    <row r="504" spans="1:66" ht="12.75" customHeight="1" x14ac:dyDescent="0.2">
      <c r="A504" s="19" t="s">
        <v>241</v>
      </c>
      <c r="B504" s="20">
        <f>_xll.ciqfunctions.udf.CIQ(InputTicker, "IQ_EBIT_INT",Input!D$2,Date)</f>
        <v>36.0717</v>
      </c>
      <c r="C504" s="20">
        <f>_xll.ciqfunctions.udf.CIQ(InputTicker, "IQ_EBIT_INT",Input!E$2,Date)</f>
        <v>21.872890000000002</v>
      </c>
      <c r="D504" s="20">
        <f>_xll.ciqfunctions.udf.CIQ(InputTicker, "IQ_EBIT_INT",Input!F$2,Date)</f>
        <v>13.20027</v>
      </c>
      <c r="E504" s="20">
        <f>_xll.ciqfunctions.udf.CIQ(InputTicker, "IQ_EBIT_INT",Input!G$2,Date)</f>
        <v>12.82766</v>
      </c>
      <c r="F504" s="20">
        <f>_xll.ciqfunctions.udf.CIQ(InputTicker, "IQ_EBIT_INT",Input!H$2,Date)</f>
        <v>15.99367</v>
      </c>
      <c r="G504" s="20">
        <f>_xll.ciqfunctions.udf.CIQ(InputTicker, "IQ_EBIT_INT",Input!I$2,Date)</f>
        <v>20.439599999999999</v>
      </c>
      <c r="H504" s="20">
        <f>_xll.ciqfunctions.udf.CIQ(InputTicker, "IQ_EBIT_INT",Input!J$2,Date)</f>
        <v>30.006869999999999</v>
      </c>
      <c r="I504" s="20">
        <f>_xll.ciqfunctions.udf.CIQ(InputTicker, "IQ_EBIT_INT",Input!K$2,Date)</f>
        <v>40.734250000000003</v>
      </c>
      <c r="J504" s="20">
        <f>_xll.ciqfunctions.udf.CIQ(InputTicker, "IQ_EBIT_INT",Input!L$2,Date)</f>
        <v>44.372430000000001</v>
      </c>
      <c r="K504" s="20">
        <f>_xll.ciqfunctions.udf.CIQ(InputTicker, "IQ_EBIT_INT",Input!M$2,Date)</f>
        <v>36.685549999999999</v>
      </c>
      <c r="L504" s="20">
        <f>_xll.ciqfunctions.udf.CIQ(InputTicker, "IQ_EBIT_INT",Input!N$2,Date)</f>
        <v>53.001240000000003</v>
      </c>
      <c r="M504" s="20">
        <f>_xll.ciqfunctions.udf.CIQ(InputTicker, "IQ_EBIT_INT",Input!O$2,Date)</f>
        <v>52.101080000000003</v>
      </c>
      <c r="N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  <c r="BJ504" s="42"/>
      <c r="BK504" s="42"/>
      <c r="BL504" s="42"/>
      <c r="BM504" s="42"/>
      <c r="BN504" s="42"/>
    </row>
    <row r="505" spans="1:66" ht="12.75" customHeight="1" x14ac:dyDescent="0.2">
      <c r="A505" s="19" t="s">
        <v>245</v>
      </c>
      <c r="B505" s="20">
        <f>_xll.ciqfunctions.udf.CIQ(InputTicker,  "IQ_EBITDA_INT",Input!D$2,Date)</f>
        <v>42.98592</v>
      </c>
      <c r="C505" s="20">
        <f>_xll.ciqfunctions.udf.CIQ(InputTicker,  "IQ_EBITDA_INT",Input!E$2,Date)</f>
        <v>26.601769999999998</v>
      </c>
      <c r="D505" s="20">
        <f>_xll.ciqfunctions.udf.CIQ(InputTicker,  "IQ_EBITDA_INT",Input!F$2,Date)</f>
        <v>17.346080000000001</v>
      </c>
      <c r="E505" s="20">
        <f>_xll.ciqfunctions.udf.CIQ(InputTicker,  "IQ_EBITDA_INT",Input!G$2,Date)</f>
        <v>17.03</v>
      </c>
      <c r="F505" s="20">
        <f>_xll.ciqfunctions.udf.CIQ(InputTicker,  "IQ_EBITDA_INT",Input!H$2,Date)</f>
        <v>20.947880000000001</v>
      </c>
      <c r="G505" s="20">
        <f>_xll.ciqfunctions.udf.CIQ(InputTicker,  "IQ_EBITDA_INT",Input!I$2,Date)</f>
        <v>25.975300000000001</v>
      </c>
      <c r="H505" s="20">
        <f>_xll.ciqfunctions.udf.CIQ(InputTicker,  "IQ_EBITDA_INT",Input!J$2,Date)</f>
        <v>35.597850000000001</v>
      </c>
      <c r="I505" s="20">
        <f>_xll.ciqfunctions.udf.CIQ(InputTicker,  "IQ_EBITDA_INT",Input!K$2,Date)</f>
        <v>49.06888</v>
      </c>
      <c r="J505" s="20">
        <f>_xll.ciqfunctions.udf.CIQ(InputTicker,  "IQ_EBITDA_INT",Input!L$2,Date)</f>
        <v>52.580449999999999</v>
      </c>
      <c r="K505" s="20">
        <f>_xll.ciqfunctions.udf.CIQ(InputTicker,  "IQ_EBITDA_INT",Input!M$2,Date)</f>
        <v>44.581960000000002</v>
      </c>
      <c r="L505" s="20">
        <f>_xll.ciqfunctions.udf.CIQ(InputTicker,  "IQ_EBITDA_INT",Input!N$2,Date)</f>
        <v>66.825569999999999</v>
      </c>
      <c r="M505" s="20">
        <f>_xll.ciqfunctions.udf.CIQ(InputTicker,  "IQ_EBITDA_INT",Input!O$2,Date)</f>
        <v>66.884919999999994</v>
      </c>
      <c r="N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  <c r="BJ505" s="42"/>
      <c r="BK505" s="42"/>
      <c r="BL505" s="42"/>
      <c r="BM505" s="42"/>
      <c r="BN505" s="42"/>
    </row>
    <row r="506" spans="1:66" ht="12.75" customHeight="1" x14ac:dyDescent="0.2">
      <c r="A506" s="43" t="s">
        <v>495</v>
      </c>
      <c r="B506" s="20">
        <f>_xll.ciqfunctions.udf.CIQ(InputTicker,  "IQ_EBITDA_EXCL_OPER_LEASES_INT",Input!D$2,Date)</f>
        <v>42.98592</v>
      </c>
      <c r="C506" s="20">
        <f>_xll.ciqfunctions.udf.CIQ(InputTicker,  "IQ_EBITDA_EXCL_OPER_LEASES_INT",Input!E$2,Date)</f>
        <v>26.601769999999998</v>
      </c>
      <c r="D506" s="20">
        <f>_xll.ciqfunctions.udf.CIQ(InputTicker,  "IQ_EBITDA_EXCL_OPER_LEASES_INT",Input!F$2,Date)</f>
        <v>16.710619999999999</v>
      </c>
      <c r="E506" s="20">
        <f>_xll.ciqfunctions.udf.CIQ(InputTicker,  "IQ_EBITDA_EXCL_OPER_LEASES_INT",Input!G$2,Date)</f>
        <v>16.450050000000001</v>
      </c>
      <c r="F506" s="20">
        <f>_xll.ciqfunctions.udf.CIQ(InputTicker,  "IQ_EBITDA_EXCL_OPER_LEASES_INT",Input!H$2,Date)</f>
        <v>20.312360000000002</v>
      </c>
      <c r="G506" s="20">
        <f>_xll.ciqfunctions.udf.CIQ(InputTicker,  "IQ_EBITDA_EXCL_OPER_LEASES_INT",Input!I$2,Date)</f>
        <v>25.186800000000002</v>
      </c>
      <c r="H506" s="20">
        <f>_xll.ciqfunctions.udf.CIQ(InputTicker,  "IQ_EBITDA_EXCL_OPER_LEASES_INT",Input!J$2,Date)</f>
        <v>34.684980000000003</v>
      </c>
      <c r="I506" s="20">
        <f>_xll.ciqfunctions.udf.CIQ(InputTicker,  "IQ_EBITDA_EXCL_OPER_LEASES_INT",Input!K$2,Date)</f>
        <v>47.866630000000001</v>
      </c>
      <c r="J506" s="20">
        <f>_xll.ciqfunctions.udf.CIQ(InputTicker,  "IQ_EBITDA_EXCL_OPER_LEASES_INT",Input!L$2,Date)</f>
        <v>51.13935</v>
      </c>
      <c r="K506" s="20">
        <f>_xll.ciqfunctions.udf.CIQ(InputTicker,  "IQ_EBITDA_EXCL_OPER_LEASES_INT",Input!M$2,Date)</f>
        <v>43.390210000000003</v>
      </c>
      <c r="L506" s="20">
        <f>_xll.ciqfunctions.udf.CIQ(InputTicker,  "IQ_EBITDA_EXCL_OPER_LEASES_INT",Input!N$2,Date)</f>
        <v>64.547629999999998</v>
      </c>
      <c r="M506" s="20">
        <f>_xll.ciqfunctions.udf.CIQ(InputTicker,  "IQ_EBITDA_EXCL_OPER_LEASES_INT",Input!O$2,Date)</f>
        <v>64.518010000000004</v>
      </c>
      <c r="N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  <c r="BJ506" s="42"/>
      <c r="BK506" s="42"/>
      <c r="BL506" s="42"/>
      <c r="BM506" s="42"/>
      <c r="BN506" s="42"/>
    </row>
    <row r="507" spans="1:66" ht="12.75" customHeight="1" x14ac:dyDescent="0.2">
      <c r="A507" s="19" t="s">
        <v>246</v>
      </c>
      <c r="B507" s="20">
        <f>_xll.ciqfunctions.udf.CIQ(InputTicker, "IQ_EBITDA_CAPEX_INT",Input!D$2,Date)</f>
        <v>35.375160000000001</v>
      </c>
      <c r="C507" s="20">
        <f>_xll.ciqfunctions.udf.CIQ(InputTicker, "IQ_EBITDA_CAPEX_INT",Input!E$2,Date)</f>
        <v>19.889779999999998</v>
      </c>
      <c r="D507" s="20">
        <f>_xll.ciqfunctions.udf.CIQ(InputTicker, "IQ_EBITDA_CAPEX_INT",Input!F$2,Date)</f>
        <v>13.687670000000001</v>
      </c>
      <c r="E507" s="20">
        <f>_xll.ciqfunctions.udf.CIQ(InputTicker, "IQ_EBITDA_CAPEX_INT",Input!G$2,Date)</f>
        <v>12.773870000000001</v>
      </c>
      <c r="F507" s="20">
        <f>_xll.ciqfunctions.udf.CIQ(InputTicker, "IQ_EBITDA_CAPEX_INT",Input!H$2,Date)</f>
        <v>15.763590000000001</v>
      </c>
      <c r="G507" s="20">
        <f>_xll.ciqfunctions.udf.CIQ(InputTicker, "IQ_EBITDA_CAPEX_INT",Input!I$2,Date)</f>
        <v>20.015820000000001</v>
      </c>
      <c r="H507" s="20">
        <f>_xll.ciqfunctions.udf.CIQ(InputTicker, "IQ_EBITDA_CAPEX_INT",Input!J$2,Date)</f>
        <v>26.747209999999999</v>
      </c>
      <c r="I507" s="20">
        <f>_xll.ciqfunctions.udf.CIQ(InputTicker, "IQ_EBITDA_CAPEX_INT",Input!K$2,Date)</f>
        <v>37.400100000000002</v>
      </c>
      <c r="J507" s="20">
        <f>_xll.ciqfunctions.udf.CIQ(InputTicker, "IQ_EBITDA_CAPEX_INT",Input!L$2,Date)</f>
        <v>38.491729999999997</v>
      </c>
      <c r="K507" s="20">
        <f>_xll.ciqfunctions.udf.CIQ(InputTicker, "IQ_EBITDA_CAPEX_INT",Input!M$2,Date)</f>
        <v>29.671810000000001</v>
      </c>
      <c r="L507" s="20">
        <f>_xll.ciqfunctions.udf.CIQ(InputTicker, "IQ_EBITDA_CAPEX_INT",Input!N$2,Date)</f>
        <v>40.206600000000002</v>
      </c>
      <c r="M507" s="20">
        <f>_xll.ciqfunctions.udf.CIQ(InputTicker, "IQ_EBITDA_CAPEX_INT",Input!O$2,Date)</f>
        <v>32.878279999999997</v>
      </c>
      <c r="N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  <c r="BJ507" s="42"/>
      <c r="BK507" s="42"/>
      <c r="BL507" s="42"/>
      <c r="BM507" s="42"/>
      <c r="BN507" s="42"/>
    </row>
    <row r="508" spans="1:66" ht="12.75" customHeight="1" x14ac:dyDescent="0.2">
      <c r="A508" s="43" t="s">
        <v>496</v>
      </c>
      <c r="B508" s="20">
        <f>_xll.ciqfunctions.udf.CIQ(InputTicker,  "IQ_EBITDA_EXCL_OPER_LEASES_CAPEX_INT",Input!D$2,Date)</f>
        <v>35.375160000000001</v>
      </c>
      <c r="C508" s="20">
        <f>_xll.ciqfunctions.udf.CIQ(InputTicker,  "IQ_EBITDA_EXCL_OPER_LEASES_CAPEX_INT",Input!E$2,Date)</f>
        <v>19.889779999999998</v>
      </c>
      <c r="D508" s="20">
        <f>_xll.ciqfunctions.udf.CIQ(InputTicker,  "IQ_EBITDA_EXCL_OPER_LEASES_CAPEX_INT",Input!F$2,Date)</f>
        <v>13.052210000000001</v>
      </c>
      <c r="E508" s="20">
        <f>_xll.ciqfunctions.udf.CIQ(InputTicker,  "IQ_EBITDA_EXCL_OPER_LEASES_CAPEX_INT",Input!G$2,Date)</f>
        <v>12.19393</v>
      </c>
      <c r="F508" s="20">
        <f>_xll.ciqfunctions.udf.CIQ(InputTicker,  "IQ_EBITDA_EXCL_OPER_LEASES_CAPEX_INT",Input!H$2,Date)</f>
        <v>15.128069999999999</v>
      </c>
      <c r="G508" s="20">
        <f>_xll.ciqfunctions.udf.CIQ(InputTicker,  "IQ_EBITDA_EXCL_OPER_LEASES_CAPEX_INT",Input!I$2,Date)</f>
        <v>19.227329999999998</v>
      </c>
      <c r="H508" s="20">
        <f>_xll.ciqfunctions.udf.CIQ(InputTicker,  "IQ_EBITDA_EXCL_OPER_LEASES_CAPEX_INT",Input!J$2,Date)</f>
        <v>25.834330000000001</v>
      </c>
      <c r="I508" s="20">
        <f>_xll.ciqfunctions.udf.CIQ(InputTicker,  "IQ_EBITDA_EXCL_OPER_LEASES_CAPEX_INT",Input!K$2,Date)</f>
        <v>36.197850000000003</v>
      </c>
      <c r="J508" s="20">
        <f>_xll.ciqfunctions.udf.CIQ(InputTicker,  "IQ_EBITDA_EXCL_OPER_LEASES_CAPEX_INT",Input!L$2,Date)</f>
        <v>37.050629999999998</v>
      </c>
      <c r="K508" s="20">
        <f>_xll.ciqfunctions.udf.CIQ(InputTicker,  "IQ_EBITDA_EXCL_OPER_LEASES_CAPEX_INT",Input!M$2,Date)</f>
        <v>28.480049999999999</v>
      </c>
      <c r="L508" s="20">
        <f>_xll.ciqfunctions.udf.CIQ(InputTicker,  "IQ_EBITDA_EXCL_OPER_LEASES_CAPEX_INT",Input!N$2,Date)</f>
        <v>37.928660000000001</v>
      </c>
      <c r="M508" s="20">
        <f>_xll.ciqfunctions.udf.CIQ(InputTicker,  "IQ_EBITDA_EXCL_OPER_LEASES_CAPEX_INT",Input!O$2,Date)</f>
        <v>30.511369999999999</v>
      </c>
      <c r="N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  <c r="BJ508" s="42"/>
      <c r="BK508" s="42"/>
      <c r="BL508" s="42"/>
      <c r="BM508" s="42"/>
      <c r="BN508" s="42"/>
    </row>
    <row r="509" spans="1:66" ht="12.75" customHeight="1" x14ac:dyDescent="0.2">
      <c r="A509" s="19" t="s">
        <v>242</v>
      </c>
      <c r="B509" s="20">
        <f>_xll.ciqfunctions.udf.CIQ(InputTicker, "IQ_TOTAL_DEBT_EBITDA",Input!D$2,Date)</f>
        <v>1.0539700000000001</v>
      </c>
      <c r="C509" s="20">
        <f>_xll.ciqfunctions.udf.CIQ(InputTicker, "IQ_TOTAL_DEBT_EBITDA",Input!E$2,Date)</f>
        <v>1.6494599999999999</v>
      </c>
      <c r="D509" s="20">
        <f>_xll.ciqfunctions.udf.CIQ(InputTicker, "IQ_TOTAL_DEBT_EBITDA",Input!F$2,Date)</f>
        <v>2.47845</v>
      </c>
      <c r="E509" s="20">
        <f>_xll.ciqfunctions.udf.CIQ(InputTicker, "IQ_TOTAL_DEBT_EBITDA",Input!G$2,Date)</f>
        <v>1.88015</v>
      </c>
      <c r="F509" s="20">
        <f>_xll.ciqfunctions.udf.CIQ(InputTicker, "IQ_TOTAL_DEBT_EBITDA",Input!H$2,Date)</f>
        <v>1.53654</v>
      </c>
      <c r="G509" s="20">
        <f>_xll.ciqfunctions.udf.CIQ(InputTicker, "IQ_TOTAL_DEBT_EBITDA",Input!I$2,Date)</f>
        <v>1.2200200000000001</v>
      </c>
      <c r="H509" s="20">
        <f>_xll.ciqfunctions.udf.CIQ(InputTicker, "IQ_TOTAL_DEBT_EBITDA",Input!J$2,Date)</f>
        <v>0.99197999999999997</v>
      </c>
      <c r="I509" s="20">
        <f>_xll.ciqfunctions.udf.CIQ(InputTicker, "IQ_TOTAL_DEBT_EBITDA",Input!K$2,Date)</f>
        <v>0.78052999999999995</v>
      </c>
      <c r="J509" s="20">
        <f>_xll.ciqfunctions.udf.CIQ(InputTicker, "IQ_TOTAL_DEBT_EBITDA",Input!L$2,Date)</f>
        <v>0.75731999999999999</v>
      </c>
      <c r="K509" s="20">
        <f>_xll.ciqfunctions.udf.CIQ(InputTicker, "IQ_TOTAL_DEBT_EBITDA",Input!M$2,Date)</f>
        <v>0.73580000000000001</v>
      </c>
      <c r="L509" s="20">
        <f>_xll.ciqfunctions.udf.CIQ(InputTicker, "IQ_TOTAL_DEBT_EBITDA",Input!N$2,Date)</f>
        <v>0.69227000000000005</v>
      </c>
      <c r="M509" s="20">
        <f>_xll.ciqfunctions.udf.CIQ(InputTicker, "IQ_TOTAL_DEBT_EBITDA",Input!O$2,Date)</f>
        <v>0.65593999999999997</v>
      </c>
      <c r="N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  <c r="BJ509" s="42"/>
      <c r="BK509" s="42"/>
      <c r="BL509" s="42"/>
      <c r="BM509" s="42"/>
      <c r="BN509" s="42"/>
    </row>
    <row r="510" spans="1:66" ht="12.75" customHeight="1" x14ac:dyDescent="0.2">
      <c r="A510" s="43" t="s">
        <v>497</v>
      </c>
      <c r="B510" s="20">
        <f>_xll.ciqfunctions.udf.CIQ(InputTicker,  "IQ_TOTAL_DEBT_EBITDA_EXCL_OPER_LEASES",Input!D$2,Date)</f>
        <v>1.0539700000000001</v>
      </c>
      <c r="C510" s="20">
        <f>_xll.ciqfunctions.udf.CIQ(InputTicker,  "IQ_TOTAL_DEBT_EBITDA_EXCL_OPER_LEASES",Input!E$2,Date)</f>
        <v>1.6494599999999999</v>
      </c>
      <c r="D510" s="20">
        <f>_xll.ciqfunctions.udf.CIQ(InputTicker,  "IQ_TOTAL_DEBT_EBITDA_EXCL_OPER_LEASES",Input!F$2,Date)</f>
        <v>2.5727000000000002</v>
      </c>
      <c r="E510" s="20">
        <f>_xll.ciqfunctions.udf.CIQ(InputTicker,  "IQ_TOTAL_DEBT_EBITDA_EXCL_OPER_LEASES",Input!G$2,Date)</f>
        <v>1.9464399999999999</v>
      </c>
      <c r="F510" s="20">
        <f>_xll.ciqfunctions.udf.CIQ(InputTicker,  "IQ_TOTAL_DEBT_EBITDA_EXCL_OPER_LEASES",Input!H$2,Date)</f>
        <v>1.5846100000000001</v>
      </c>
      <c r="G510" s="20">
        <f>_xll.ciqfunctions.udf.CIQ(InputTicker,  "IQ_TOTAL_DEBT_EBITDA_EXCL_OPER_LEASES",Input!I$2,Date)</f>
        <v>1.2582199999999999</v>
      </c>
      <c r="H510" s="20">
        <f>_xll.ciqfunctions.udf.CIQ(InputTicker,  "IQ_TOTAL_DEBT_EBITDA_EXCL_OPER_LEASES",Input!J$2,Date)</f>
        <v>1.0180899999999999</v>
      </c>
      <c r="I510" s="20">
        <f>_xll.ciqfunctions.udf.CIQ(InputTicker,  "IQ_TOTAL_DEBT_EBITDA_EXCL_OPER_LEASES",Input!K$2,Date)</f>
        <v>0.80013999999999996</v>
      </c>
      <c r="J510" s="20">
        <f>_xll.ciqfunctions.udf.CIQ(InputTicker,  "IQ_TOTAL_DEBT_EBITDA_EXCL_OPER_LEASES",Input!L$2,Date)</f>
        <v>0.77866000000000002</v>
      </c>
      <c r="K510" s="20">
        <f>_xll.ciqfunctions.udf.CIQ(InputTicker,  "IQ_TOTAL_DEBT_EBITDA_EXCL_OPER_LEASES",Input!M$2,Date)</f>
        <v>0.75600999999999996</v>
      </c>
      <c r="L510" s="20">
        <f>_xll.ciqfunctions.udf.CIQ(InputTicker,  "IQ_TOTAL_DEBT_EBITDA_EXCL_OPER_LEASES",Input!N$2,Date)</f>
        <v>0.7167</v>
      </c>
      <c r="M510" s="20">
        <f>_xll.ciqfunctions.udf.CIQ(InputTicker,  "IQ_TOTAL_DEBT_EBITDA_EXCL_OPER_LEASES",Input!O$2,Date)</f>
        <v>0.68001</v>
      </c>
      <c r="N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  <c r="BJ510" s="42"/>
      <c r="BK510" s="42"/>
      <c r="BL510" s="42"/>
      <c r="BM510" s="42"/>
      <c r="BN510" s="42"/>
    </row>
    <row r="511" spans="1:66" ht="12.75" customHeight="1" x14ac:dyDescent="0.2">
      <c r="A511" s="19" t="s">
        <v>243</v>
      </c>
      <c r="B511" s="20" t="str">
        <f>_xll.ciqfunctions.udf.CIQ(InputTicker,"IQ_NET_DEBT_EBITDA",Input!D$2,Date)</f>
        <v>NM</v>
      </c>
      <c r="C511" s="20" t="str">
        <f>_xll.ciqfunctions.udf.CIQ(InputTicker,"IQ_NET_DEBT_EBITDA",Input!E$2,Date)</f>
        <v>NM</v>
      </c>
      <c r="D511" s="20" t="str">
        <f>_xll.ciqfunctions.udf.CIQ(InputTicker,"IQ_NET_DEBT_EBITDA",Input!F$2,Date)</f>
        <v>NM</v>
      </c>
      <c r="E511" s="20" t="str">
        <f>_xll.ciqfunctions.udf.CIQ(InputTicker,"IQ_NET_DEBT_EBITDA",Input!G$2,Date)</f>
        <v>NM</v>
      </c>
      <c r="F511" s="20" t="str">
        <f>_xll.ciqfunctions.udf.CIQ(InputTicker,"IQ_NET_DEBT_EBITDA",Input!H$2,Date)</f>
        <v>NM</v>
      </c>
      <c r="G511" s="20" t="str">
        <f>_xll.ciqfunctions.udf.CIQ(InputTicker,"IQ_NET_DEBT_EBITDA",Input!I$2,Date)</f>
        <v>NM</v>
      </c>
      <c r="H511" s="20" t="str">
        <f>_xll.ciqfunctions.udf.CIQ(InputTicker,"IQ_NET_DEBT_EBITDA",Input!J$2,Date)</f>
        <v>NM</v>
      </c>
      <c r="I511" s="20" t="str">
        <f>_xll.ciqfunctions.udf.CIQ(InputTicker,"IQ_NET_DEBT_EBITDA",Input!K$2,Date)</f>
        <v>NM</v>
      </c>
      <c r="J511" s="20" t="str">
        <f>_xll.ciqfunctions.udf.CIQ(InputTicker,"IQ_NET_DEBT_EBITDA",Input!L$2,Date)</f>
        <v>NM</v>
      </c>
      <c r="K511" s="20">
        <f>_xll.ciqfunctions.udf.CIQ(InputTicker,"IQ_NET_DEBT_EBITDA",Input!M$2,Date)</f>
        <v>0.16775000000000001</v>
      </c>
      <c r="L511" s="20">
        <f>_xll.ciqfunctions.udf.CIQ(InputTicker,"IQ_NET_DEBT_EBITDA",Input!N$2,Date)</f>
        <v>0.10872</v>
      </c>
      <c r="M511" s="20">
        <f>_xll.ciqfunctions.udf.CIQ(InputTicker,"IQ_NET_DEBT_EBITDA",Input!O$2,Date)</f>
        <v>0.24685000000000001</v>
      </c>
      <c r="N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  <c r="BJ511" s="42"/>
      <c r="BK511" s="42"/>
      <c r="BL511" s="42"/>
      <c r="BM511" s="42"/>
      <c r="BN511" s="42"/>
    </row>
    <row r="512" spans="1:66" ht="12.75" customHeight="1" x14ac:dyDescent="0.2">
      <c r="A512" s="43" t="s">
        <v>498</v>
      </c>
      <c r="B512" s="20" t="str">
        <f>_xll.ciqfunctions.udf.CIQ(InputTicker,  "IQ_NET_DEBT_EBITDA_EXCL_OPER_LEASES",Input!D$2,Date)</f>
        <v>NM</v>
      </c>
      <c r="C512" s="20" t="str">
        <f>_xll.ciqfunctions.udf.CIQ(InputTicker,  "IQ_NET_DEBT_EBITDA_EXCL_OPER_LEASES",Input!E$2,Date)</f>
        <v>NM</v>
      </c>
      <c r="D512" s="20" t="str">
        <f>_xll.ciqfunctions.udf.CIQ(InputTicker,  "IQ_NET_DEBT_EBITDA_EXCL_OPER_LEASES",Input!F$2,Date)</f>
        <v>NM</v>
      </c>
      <c r="E512" s="20" t="str">
        <f>_xll.ciqfunctions.udf.CIQ(InputTicker,  "IQ_NET_DEBT_EBITDA_EXCL_OPER_LEASES",Input!G$2,Date)</f>
        <v>NM</v>
      </c>
      <c r="F512" s="20" t="str">
        <f>_xll.ciqfunctions.udf.CIQ(InputTicker,  "IQ_NET_DEBT_EBITDA_EXCL_OPER_LEASES",Input!H$2,Date)</f>
        <v>NM</v>
      </c>
      <c r="G512" s="20" t="str">
        <f>_xll.ciqfunctions.udf.CIQ(InputTicker,  "IQ_NET_DEBT_EBITDA_EXCL_OPER_LEASES",Input!I$2,Date)</f>
        <v>NM</v>
      </c>
      <c r="H512" s="20" t="str">
        <f>_xll.ciqfunctions.udf.CIQ(InputTicker,  "IQ_NET_DEBT_EBITDA_EXCL_OPER_LEASES",Input!J$2,Date)</f>
        <v>NM</v>
      </c>
      <c r="I512" s="20" t="str">
        <f>_xll.ciqfunctions.udf.CIQ(InputTicker,  "IQ_NET_DEBT_EBITDA_EXCL_OPER_LEASES",Input!K$2,Date)</f>
        <v>NM</v>
      </c>
      <c r="J512" s="20" t="str">
        <f>_xll.ciqfunctions.udf.CIQ(InputTicker,  "IQ_NET_DEBT_EBITDA_EXCL_OPER_LEASES",Input!L$2,Date)</f>
        <v>NM</v>
      </c>
      <c r="K512" s="20">
        <f>_xll.ciqfunctions.udf.CIQ(InputTicker,  "IQ_NET_DEBT_EBITDA_EXCL_OPER_LEASES",Input!M$2,Date)</f>
        <v>0.17236000000000001</v>
      </c>
      <c r="L512" s="20">
        <f>_xll.ciqfunctions.udf.CIQ(InputTicker,  "IQ_NET_DEBT_EBITDA_EXCL_OPER_LEASES",Input!N$2,Date)</f>
        <v>0.11255999999999999</v>
      </c>
      <c r="M512" s="20">
        <f>_xll.ciqfunctions.udf.CIQ(InputTicker,  "IQ_NET_DEBT_EBITDA_EXCL_OPER_LEASES",Input!O$2,Date)</f>
        <v>0.25591000000000003</v>
      </c>
      <c r="N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  <c r="BJ512" s="42"/>
      <c r="BK512" s="42"/>
      <c r="BL512" s="42"/>
      <c r="BM512" s="42"/>
      <c r="BN512" s="42"/>
    </row>
    <row r="513" spans="1:66" ht="12.75" customHeight="1" x14ac:dyDescent="0.2">
      <c r="A513" s="19" t="s">
        <v>426</v>
      </c>
      <c r="B513" s="20">
        <f>_xll.ciqfunctions.udf.CIQ(InputTicker, "IQ_TOTAL_DEBT_EBITDA_CAPEX",Input!D$2,Date)</f>
        <v>1.2807299999999999</v>
      </c>
      <c r="C513" s="20">
        <f>_xll.ciqfunctions.udf.CIQ(InputTicker, "IQ_TOTAL_DEBT_EBITDA_CAPEX",Input!E$2,Date)</f>
        <v>2.20608</v>
      </c>
      <c r="D513" s="20">
        <f>_xll.ciqfunctions.udf.CIQ(InputTicker, "IQ_TOTAL_DEBT_EBITDA_CAPEX",Input!F$2,Date)</f>
        <v>3.1408900000000002</v>
      </c>
      <c r="E513" s="20">
        <f>_xll.ciqfunctions.udf.CIQ(InputTicker, "IQ_TOTAL_DEBT_EBITDA_CAPEX",Input!G$2,Date)</f>
        <v>2.5066000000000002</v>
      </c>
      <c r="F513" s="20">
        <f>_xll.ciqfunctions.udf.CIQ(InputTicker, "IQ_TOTAL_DEBT_EBITDA_CAPEX",Input!H$2,Date)</f>
        <v>2.0418699999999999</v>
      </c>
      <c r="G513" s="20">
        <f>_xll.ciqfunctions.udf.CIQ(InputTicker, "IQ_TOTAL_DEBT_EBITDA_CAPEX",Input!I$2,Date)</f>
        <v>1.58327</v>
      </c>
      <c r="H513" s="20">
        <f>_xll.ciqfunctions.udf.CIQ(InputTicker, "IQ_TOTAL_DEBT_EBITDA_CAPEX",Input!J$2,Date)</f>
        <v>1.32023</v>
      </c>
      <c r="I513" s="20">
        <f>_xll.ciqfunctions.udf.CIQ(InputTicker, "IQ_TOTAL_DEBT_EBITDA_CAPEX",Input!K$2,Date)</f>
        <v>1.02406</v>
      </c>
      <c r="J513" s="20">
        <f>_xll.ciqfunctions.udf.CIQ(InputTicker, "IQ_TOTAL_DEBT_EBITDA_CAPEX",Input!L$2,Date)</f>
        <v>1.03451</v>
      </c>
      <c r="K513" s="20">
        <f>_xll.ciqfunctions.udf.CIQ(InputTicker, "IQ_TOTAL_DEBT_EBITDA_CAPEX",Input!M$2,Date)</f>
        <v>1.1055299999999999</v>
      </c>
      <c r="L513" s="20">
        <f>_xll.ciqfunctions.udf.CIQ(InputTicker, "IQ_TOTAL_DEBT_EBITDA_CAPEX",Input!N$2,Date)</f>
        <v>1.15059</v>
      </c>
      <c r="M513" s="20">
        <f>_xll.ciqfunctions.udf.CIQ(InputTicker, "IQ_TOTAL_DEBT_EBITDA_CAPEX",Input!O$2,Date)</f>
        <v>1.3344</v>
      </c>
      <c r="N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  <c r="BJ513" s="42"/>
      <c r="BK513" s="42"/>
      <c r="BL513" s="42"/>
      <c r="BM513" s="42"/>
      <c r="BN513" s="42"/>
    </row>
    <row r="514" spans="1:66" ht="12.75" customHeight="1" x14ac:dyDescent="0.2">
      <c r="A514" s="43" t="s">
        <v>499</v>
      </c>
      <c r="B514" s="20">
        <f>_xll.ciqfunctions.udf.CIQ(InputTicker,  "IQ_TOTAL_DEBT_EBITDA_EXCL_OPER_LEASES_CAPEX",Input!D$2,Date)</f>
        <v>1.2807299999999999</v>
      </c>
      <c r="C514" s="20">
        <f>_xll.ciqfunctions.udf.CIQ(InputTicker,  "IQ_TOTAL_DEBT_EBITDA_EXCL_OPER_LEASES_CAPEX",Input!E$2,Date)</f>
        <v>2.20608</v>
      </c>
      <c r="D514" s="20">
        <f>_xll.ciqfunctions.udf.CIQ(InputTicker,  "IQ_TOTAL_DEBT_EBITDA_EXCL_OPER_LEASES_CAPEX",Input!F$2,Date)</f>
        <v>3.2938100000000001</v>
      </c>
      <c r="E514" s="20">
        <f>_xll.ciqfunctions.udf.CIQ(InputTicker,  "IQ_TOTAL_DEBT_EBITDA_EXCL_OPER_LEASES_CAPEX",Input!G$2,Date)</f>
        <v>2.62582</v>
      </c>
      <c r="F514" s="20">
        <f>_xll.ciqfunctions.udf.CIQ(InputTicker,  "IQ_TOTAL_DEBT_EBITDA_EXCL_OPER_LEASES_CAPEX",Input!H$2,Date)</f>
        <v>2.12765</v>
      </c>
      <c r="G514" s="20">
        <f>_xll.ciqfunctions.udf.CIQ(InputTicker,  "IQ_TOTAL_DEBT_EBITDA_EXCL_OPER_LEASES_CAPEX",Input!I$2,Date)</f>
        <v>1.6482000000000001</v>
      </c>
      <c r="H514" s="20">
        <f>_xll.ciqfunctions.udf.CIQ(InputTicker,  "IQ_TOTAL_DEBT_EBITDA_EXCL_OPER_LEASES_CAPEX",Input!J$2,Date)</f>
        <v>1.3668800000000001</v>
      </c>
      <c r="I514" s="20">
        <f>_xll.ciqfunctions.udf.CIQ(InputTicker,  "IQ_TOTAL_DEBT_EBITDA_EXCL_OPER_LEASES_CAPEX",Input!K$2,Date)</f>
        <v>1.0580700000000001</v>
      </c>
      <c r="J514" s="20">
        <f>_xll.ciqfunctions.udf.CIQ(InputTicker,  "IQ_TOTAL_DEBT_EBITDA_EXCL_OPER_LEASES_CAPEX",Input!L$2,Date)</f>
        <v>1.0747500000000001</v>
      </c>
      <c r="K514" s="20">
        <f>_xll.ciqfunctions.udf.CIQ(InputTicker,  "IQ_TOTAL_DEBT_EBITDA_EXCL_OPER_LEASES_CAPEX",Input!M$2,Date)</f>
        <v>1.1517999999999999</v>
      </c>
      <c r="L514" s="20">
        <f>_xll.ciqfunctions.udf.CIQ(InputTicker,  "IQ_TOTAL_DEBT_EBITDA_EXCL_OPER_LEASES_CAPEX",Input!N$2,Date)</f>
        <v>1.2197</v>
      </c>
      <c r="M514" s="20">
        <f>_xll.ciqfunctions.udf.CIQ(InputTicker,  "IQ_TOTAL_DEBT_EBITDA_EXCL_OPER_LEASES_CAPEX",Input!O$2,Date)</f>
        <v>1.43791</v>
      </c>
      <c r="N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  <c r="BJ514" s="42"/>
      <c r="BK514" s="42"/>
      <c r="BL514" s="42"/>
      <c r="BM514" s="42"/>
      <c r="BN514" s="42"/>
    </row>
    <row r="515" spans="1:66" ht="12.75" customHeight="1" x14ac:dyDescent="0.2">
      <c r="A515" s="43" t="s">
        <v>427</v>
      </c>
      <c r="B515" s="20" t="str">
        <f>_xll.ciqfunctions.udf.CIQ(InputTicker, "IQ_NET_DEBT_EBITDA_CAPEX",Input!D$2,Date)</f>
        <v>NM</v>
      </c>
      <c r="C515" s="20" t="str">
        <f>_xll.ciqfunctions.udf.CIQ(InputTicker, "IQ_NET_DEBT_EBITDA_CAPEX",Input!E$2,Date)</f>
        <v>NM</v>
      </c>
      <c r="D515" s="20" t="str">
        <f>_xll.ciqfunctions.udf.CIQ(InputTicker, "IQ_NET_DEBT_EBITDA_CAPEX",Input!F$2,Date)</f>
        <v>NM</v>
      </c>
      <c r="E515" s="20" t="str">
        <f>_xll.ciqfunctions.udf.CIQ(InputTicker, "IQ_NET_DEBT_EBITDA_CAPEX",Input!G$2,Date)</f>
        <v>NM</v>
      </c>
      <c r="F515" s="20" t="str">
        <f>_xll.ciqfunctions.udf.CIQ(InputTicker, "IQ_NET_DEBT_EBITDA_CAPEX",Input!H$2,Date)</f>
        <v>NM</v>
      </c>
      <c r="G515" s="20" t="str">
        <f>_xll.ciqfunctions.udf.CIQ(InputTicker, "IQ_NET_DEBT_EBITDA_CAPEX",Input!I$2,Date)</f>
        <v>NM</v>
      </c>
      <c r="H515" s="20" t="str">
        <f>_xll.ciqfunctions.udf.CIQ(InputTicker, "IQ_NET_DEBT_EBITDA_CAPEX",Input!J$2,Date)</f>
        <v>NM</v>
      </c>
      <c r="I515" s="20" t="str">
        <f>_xll.ciqfunctions.udf.CIQ(InputTicker, "IQ_NET_DEBT_EBITDA_CAPEX",Input!K$2,Date)</f>
        <v>NM</v>
      </c>
      <c r="J515" s="20" t="str">
        <f>_xll.ciqfunctions.udf.CIQ(InputTicker, "IQ_NET_DEBT_EBITDA_CAPEX",Input!L$2,Date)</f>
        <v>NM</v>
      </c>
      <c r="K515" s="20">
        <f>_xll.ciqfunctions.udf.CIQ(InputTicker, "IQ_NET_DEBT_EBITDA_CAPEX",Input!M$2,Date)</f>
        <v>0.25205</v>
      </c>
      <c r="L515" s="20">
        <f>_xll.ciqfunctions.udf.CIQ(InputTicker, "IQ_NET_DEBT_EBITDA_CAPEX",Input!N$2,Date)</f>
        <v>0.18071000000000001</v>
      </c>
      <c r="M515" s="20">
        <f>_xll.ciqfunctions.udf.CIQ(InputTicker, "IQ_NET_DEBT_EBITDA_CAPEX",Input!O$2,Date)</f>
        <v>0.50217999999999996</v>
      </c>
      <c r="N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  <c r="BJ515" s="42"/>
      <c r="BK515" s="42"/>
      <c r="BL515" s="42"/>
      <c r="BM515" s="42"/>
      <c r="BN515" s="42"/>
    </row>
    <row r="516" spans="1:66" ht="12.75" customHeight="1" x14ac:dyDescent="0.2">
      <c r="A516" s="43" t="s">
        <v>500</v>
      </c>
      <c r="B516" s="20" t="str">
        <f>_xll.ciqfunctions.udf.CIQ(InputTicker,  "IQ_NET_DEBT_EBITDA_EXCL_OPER_LEASES_CAPEX",Input!D$2,Date)</f>
        <v>NM</v>
      </c>
      <c r="C516" s="20" t="str">
        <f>_xll.ciqfunctions.udf.CIQ(InputTicker,  "IQ_NET_DEBT_EBITDA_EXCL_OPER_LEASES_CAPEX",Input!E$2,Date)</f>
        <v>NM</v>
      </c>
      <c r="D516" s="20" t="str">
        <f>_xll.ciqfunctions.udf.CIQ(InputTicker,  "IQ_NET_DEBT_EBITDA_EXCL_OPER_LEASES_CAPEX",Input!F$2,Date)</f>
        <v>NM</v>
      </c>
      <c r="E516" s="20" t="str">
        <f>_xll.ciqfunctions.udf.CIQ(InputTicker,  "IQ_NET_DEBT_EBITDA_EXCL_OPER_LEASES_CAPEX",Input!G$2,Date)</f>
        <v>NM</v>
      </c>
      <c r="F516" s="20" t="str">
        <f>_xll.ciqfunctions.udf.CIQ(InputTicker,  "IQ_NET_DEBT_EBITDA_EXCL_OPER_LEASES_CAPEX",Input!H$2,Date)</f>
        <v>NM</v>
      </c>
      <c r="G516" s="20" t="str">
        <f>_xll.ciqfunctions.udf.CIQ(InputTicker,  "IQ_NET_DEBT_EBITDA_EXCL_OPER_LEASES_CAPEX",Input!I$2,Date)</f>
        <v>NM</v>
      </c>
      <c r="H516" s="20" t="str">
        <f>_xll.ciqfunctions.udf.CIQ(InputTicker,  "IQ_NET_DEBT_EBITDA_EXCL_OPER_LEASES_CAPEX",Input!J$2,Date)</f>
        <v>NM</v>
      </c>
      <c r="I516" s="20" t="str">
        <f>_xll.ciqfunctions.udf.CIQ(InputTicker,  "IQ_NET_DEBT_EBITDA_EXCL_OPER_LEASES_CAPEX",Input!K$2,Date)</f>
        <v>NM</v>
      </c>
      <c r="J516" s="20" t="str">
        <f>_xll.ciqfunctions.udf.CIQ(InputTicker,  "IQ_NET_DEBT_EBITDA_EXCL_OPER_LEASES_CAPEX",Input!L$2,Date)</f>
        <v>NM</v>
      </c>
      <c r="K516" s="20">
        <f>_xll.ciqfunctions.udf.CIQ(InputTicker,  "IQ_NET_DEBT_EBITDA_EXCL_OPER_LEASES_CAPEX",Input!M$2,Date)</f>
        <v>0.26258999999999999</v>
      </c>
      <c r="L516" s="20">
        <f>_xll.ciqfunctions.udf.CIQ(InputTicker,  "IQ_NET_DEBT_EBITDA_EXCL_OPER_LEASES_CAPEX",Input!N$2,Date)</f>
        <v>0.19156000000000001</v>
      </c>
      <c r="M516" s="20">
        <f>_xll.ciqfunctions.udf.CIQ(InputTicker,  "IQ_NET_DEBT_EBITDA_EXCL_OPER_LEASES_CAPEX",Input!O$2,Date)</f>
        <v>0.54113</v>
      </c>
      <c r="N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  <c r="BJ516" s="42"/>
      <c r="BK516" s="42"/>
      <c r="BL516" s="42"/>
      <c r="BM516" s="42"/>
      <c r="BN516" s="42"/>
    </row>
    <row r="517" spans="1:66" ht="12.75" customHeight="1" x14ac:dyDescent="0.2">
      <c r="A517" s="19" t="s">
        <v>428</v>
      </c>
      <c r="B517" s="21">
        <f>_xll.ciqfunctions.udf.CIQ(InputTicker, "IQ_TOTAL_REV_EMPLOYEE",Input!D$2,Date,,,Ccy,Conv)</f>
        <v>793.05</v>
      </c>
      <c r="C517" s="21">
        <f>_xll.ciqfunctions.udf.CIQ(InputTicker, "IQ_TOTAL_REV_EMPLOYEE",Input!E$2,Date,,,Ccy,Conv)</f>
        <v>799.596</v>
      </c>
      <c r="D517" s="21">
        <f>_xll.ciqfunctions.udf.CIQ(InputTicker, "IQ_TOTAL_REV_EMPLOYEE",Input!F$2,Date,,,Ccy,Conv)</f>
        <v>778.798</v>
      </c>
      <c r="E517" s="21">
        <f>_xll.ciqfunctions.udf.CIQ(InputTicker, "IQ_TOTAL_REV_EMPLOYEE",Input!G$2,Date,,,Ccy,Conv)</f>
        <v>842.44200000000001</v>
      </c>
      <c r="F517" s="21">
        <f>_xll.ciqfunctions.udf.CIQ(InputTicker, "IQ_TOTAL_REV_EMPLOYEE",Input!H$2,Date,,,Ccy,Conv)</f>
        <v>873.90899999999999</v>
      </c>
      <c r="G517" s="21">
        <f>_xll.ciqfunctions.udf.CIQ(InputTicker, "IQ_TOTAL_REV_EMPLOYEE",Input!I$2,Date,,,Ccy,Conv)</f>
        <v>877.39200000000005</v>
      </c>
      <c r="H517" s="21">
        <f>_xll.ciqfunctions.udf.CIQ(InputTicker, "IQ_TOTAL_REV_EMPLOYEE",Input!J$2,Date,,,Ccy,Conv)</f>
        <v>928.66200000000003</v>
      </c>
      <c r="I517" s="21">
        <f>_xll.ciqfunctions.udf.CIQ(InputTicker, "IQ_TOTAL_REV_EMPLOYEE",Input!K$2,Date,,,Ccy,Conv)</f>
        <v>897.149</v>
      </c>
      <c r="J517" s="21">
        <f>_xll.ciqfunctions.udf.CIQ(InputTicker, "IQ_TOTAL_REV_EMPLOYEE",Input!L$2,Date,,,Ccy,Conv)</f>
        <v>958.89099999999996</v>
      </c>
      <c r="K517" s="21">
        <f>_xll.ciqfunctions.udf.CIQ(InputTicker, "IQ_TOTAL_REV_EMPLOYEE",Input!M$2,Date,,,Ccy,Conv)</f>
        <v>1075.096</v>
      </c>
      <c r="L517" s="21">
        <f>_xll.ciqfunctions.udf.CIQ(InputTicker, "IQ_TOTAL_REV_EMPLOYEE",Input!N$2,Date,,,Ccy,Conv)</f>
        <v>1235.6310000000001</v>
      </c>
      <c r="M517" s="21">
        <f>_xll.ciqfunctions.udf.CIQ(InputTicker, "IQ_TOTAL_REV_EMPLOYEE",Input!O$2,Date,,,Ccy,Conv)</f>
        <v>0</v>
      </c>
      <c r="N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  <c r="AH517" s="42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  <c r="BJ517" s="42"/>
      <c r="BK517" s="42"/>
      <c r="BL517" s="42"/>
      <c r="BM517" s="42"/>
      <c r="BN517" s="42"/>
    </row>
    <row r="518" spans="1:66" ht="12.75" customHeight="1" x14ac:dyDescent="0.2">
      <c r="A518" s="19" t="s">
        <v>244</v>
      </c>
      <c r="B518" s="4">
        <f>_xll.ciqfunctions.udf.CIQ(InputTicker,"IQ_Z_SCORE",Input!D$2,Date)</f>
        <v>4.00223</v>
      </c>
      <c r="C518" s="4">
        <f>_xll.ciqfunctions.udf.CIQ(InputTicker,"IQ_Z_SCORE",Input!E$2,Date)</f>
        <v>3.4311099999999999</v>
      </c>
      <c r="D518" s="4">
        <f>_xll.ciqfunctions.udf.CIQ(InputTicker,"IQ_Z_SCORE",Input!F$2,Date)</f>
        <v>3.1683300000000001</v>
      </c>
      <c r="E518" s="4">
        <f>_xll.ciqfunctions.udf.CIQ(InputTicker,"IQ_Z_SCORE",Input!G$2,Date)</f>
        <v>3.71549</v>
      </c>
      <c r="F518" s="4">
        <f>_xll.ciqfunctions.udf.CIQ(InputTicker,"IQ_Z_SCORE",Input!H$2,Date)</f>
        <v>4.3220700000000001</v>
      </c>
      <c r="G518" s="4">
        <f>_xll.ciqfunctions.udf.CIQ(InputTicker,"IQ_Z_SCORE",Input!I$2,Date)</f>
        <v>5.5840899999999998</v>
      </c>
      <c r="H518" s="4">
        <f>_xll.ciqfunctions.udf.CIQ(InputTicker,"IQ_Z_SCORE",Input!J$2,Date)</f>
        <v>7.1575300000000004</v>
      </c>
      <c r="I518" s="4">
        <f>_xll.ciqfunctions.udf.CIQ(InputTicker,"IQ_Z_SCORE",Input!K$2,Date)</f>
        <v>8.6100399999999997</v>
      </c>
      <c r="J518" s="4">
        <f>_xll.ciqfunctions.udf.CIQ(InputTicker,"IQ_Z_SCORE",Input!L$2,Date)</f>
        <v>7.6827899999999998</v>
      </c>
      <c r="K518" s="4">
        <f>_xll.ciqfunctions.udf.CIQ(InputTicker,"IQ_Z_SCORE",Input!M$2,Date)</f>
        <v>8.6572300000000002</v>
      </c>
      <c r="L518" s="4">
        <f>_xll.ciqfunctions.udf.CIQ(InputTicker,"IQ_Z_SCORE",Input!N$2,Date)</f>
        <v>8.6387800000000006</v>
      </c>
      <c r="M518" s="4">
        <f>_xll.ciqfunctions.udf.CIQ(InputTicker,"IQ_Z_SCORE",Input!O$2,Date)</f>
        <v>9.2811900000000005</v>
      </c>
      <c r="N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  <c r="BJ518" s="42"/>
      <c r="BK518" s="42"/>
      <c r="BL518" s="42"/>
      <c r="BM518" s="42"/>
      <c r="BN518" s="42"/>
    </row>
    <row r="519" spans="1:66" ht="12.75" customHeight="1" x14ac:dyDescent="0.2">
      <c r="A519" s="19" t="s">
        <v>584</v>
      </c>
      <c r="B519" s="4">
        <f>_xll.ciqfunctions.udf.CIQ(InputTicker, "IQ_TOTAL_REV_1YR_ANN_GROWTH",Input!D$2,Date)</f>
        <v>7.77</v>
      </c>
      <c r="C519" s="4">
        <f>_xll.ciqfunctions.udf.CIQ(InputTicker, "IQ_TOTAL_REV_1YR_ANN_GROWTH",Input!E$2,Date)</f>
        <v>-2.5924999999999998</v>
      </c>
      <c r="D519" s="4">
        <f>_xll.ciqfunctions.udf.CIQ(InputTicker, "IQ_TOTAL_REV_1YR_ANN_GROWTH",Input!F$2,Date)</f>
        <v>5.9425999999999997</v>
      </c>
      <c r="E519" s="4">
        <f>_xll.ciqfunctions.udf.CIQ(InputTicker, "IQ_TOTAL_REV_1YR_ANN_GROWTH",Input!G$2,Date)</f>
        <v>14.278600000000001</v>
      </c>
      <c r="F519" s="4">
        <f>_xll.ciqfunctions.udf.CIQ(InputTicker, "IQ_TOTAL_REV_1YR_ANN_GROWTH",Input!H$2,Date)</f>
        <v>14.029500000000001</v>
      </c>
      <c r="G519" s="4">
        <f>_xll.ciqfunctions.udf.CIQ(InputTicker, "IQ_TOTAL_REV_1YR_ANN_GROWTH",Input!I$2,Date)</f>
        <v>13.6455</v>
      </c>
      <c r="H519" s="4">
        <f>_xll.ciqfunctions.udf.CIQ(InputTicker, "IQ_TOTAL_REV_1YR_ANN_GROWTH",Input!J$2,Date)</f>
        <v>17.531700000000001</v>
      </c>
      <c r="I519" s="4">
        <f>_xll.ciqfunctions.udf.CIQ(InputTicker, "IQ_TOTAL_REV_1YR_ANN_GROWTH",Input!K$2,Date)</f>
        <v>17.956</v>
      </c>
      <c r="J519" s="4">
        <f>_xll.ciqfunctions.udf.CIQ(InputTicker, "IQ_TOTAL_REV_1YR_ANN_GROWTH",Input!L$2,Date)</f>
        <v>6.8819999999999997</v>
      </c>
      <c r="K519" s="4">
        <f>_xll.ciqfunctions.udf.CIQ(InputTicker, "IQ_TOTAL_REV_1YR_ANN_GROWTH",Input!M$2,Date)</f>
        <v>15.6699</v>
      </c>
      <c r="L519" s="4">
        <f>_xll.ciqfunctions.udf.CIQ(InputTicker, "IQ_TOTAL_REV_1YR_ANN_GROWTH",Input!N$2,Date)</f>
        <v>14.9321</v>
      </c>
      <c r="M519" s="4">
        <f>_xll.ciqfunctions.udf.CIQ(InputTicker, "IQ_TOTAL_REV_1YR_ANN_GROWTH",Input!O$2,Date)</f>
        <v>17.874500000000001</v>
      </c>
      <c r="N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  <c r="BJ519" s="42"/>
      <c r="BK519" s="42"/>
      <c r="BL519" s="42"/>
      <c r="BM519" s="42"/>
      <c r="BN519" s="42"/>
    </row>
    <row r="520" spans="1:66" ht="12.75" customHeight="1" x14ac:dyDescent="0.2">
      <c r="A520" s="19" t="s">
        <v>585</v>
      </c>
      <c r="B520" s="4">
        <f>_xll.ciqfunctions.udf.CIQ(InputTicker, "IQ_GP_1YR_ANN_GROWTH",Input!D$2,Date)</f>
        <v>1.3169999999999999</v>
      </c>
      <c r="C520" s="4">
        <f>_xll.ciqfunctions.udf.CIQ(InputTicker, "IQ_GP_1YR_ANN_GROWTH",Input!E$2,Date)</f>
        <v>-3.581</v>
      </c>
      <c r="D520" s="4">
        <f>_xll.ciqfunctions.udf.CIQ(InputTicker, "IQ_GP_1YR_ANN_GROWTH",Input!F$2,Date)</f>
        <v>6.7427000000000001</v>
      </c>
      <c r="E520" s="4">
        <f>_xll.ciqfunctions.udf.CIQ(InputTicker, "IQ_GP_1YR_ANN_GROWTH",Input!G$2,Date)</f>
        <v>15.5625</v>
      </c>
      <c r="F520" s="4">
        <f>_xll.ciqfunctions.udf.CIQ(InputTicker, "IQ_GP_1YR_ANN_GROWTH",Input!H$2,Date)</f>
        <v>15.173500000000001</v>
      </c>
      <c r="G520" s="4">
        <f>_xll.ciqfunctions.udf.CIQ(InputTicker, "IQ_GP_1YR_ANN_GROWTH",Input!I$2,Date)</f>
        <v>16.885899999999999</v>
      </c>
      <c r="H520" s="4">
        <f>_xll.ciqfunctions.udf.CIQ(InputTicker, "IQ_GP_1YR_ANN_GROWTH",Input!J$2,Date)</f>
        <v>19.5167</v>
      </c>
      <c r="I520" s="4">
        <f>_xll.ciqfunctions.udf.CIQ(InputTicker, "IQ_GP_1YR_ANN_GROWTH",Input!K$2,Date)</f>
        <v>17.059100000000001</v>
      </c>
      <c r="J520" s="4">
        <f>_xll.ciqfunctions.udf.CIQ(InputTicker, "IQ_GP_1YR_ANN_GROWTH",Input!L$2,Date)</f>
        <v>7.6920000000000002</v>
      </c>
      <c r="K520" s="4">
        <f>_xll.ciqfunctions.udf.CIQ(InputTicker, "IQ_GP_1YR_ANN_GROWTH",Input!M$2,Date)</f>
        <v>17.087</v>
      </c>
      <c r="L520" s="4">
        <f>_xll.ciqfunctions.udf.CIQ(InputTicker, "IQ_GP_1YR_ANN_GROWTH",Input!N$2,Date)</f>
        <v>13.382400000000001</v>
      </c>
      <c r="M520" s="4">
        <f>_xll.ciqfunctions.udf.CIQ(InputTicker, "IQ_GP_1YR_ANN_GROWTH",Input!O$2,Date)</f>
        <v>16.568100000000001</v>
      </c>
      <c r="N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  <c r="BJ520" s="42"/>
      <c r="BK520" s="42"/>
      <c r="BL520" s="42"/>
      <c r="BM520" s="42"/>
      <c r="BN520" s="42"/>
    </row>
    <row r="521" spans="1:66" ht="12.75" customHeight="1" x14ac:dyDescent="0.2">
      <c r="A521" s="19" t="s">
        <v>586</v>
      </c>
      <c r="B521" s="4">
        <f>_xll.ciqfunctions.udf.CIQ(InputTicker,  "IQ_EBITDA_1YR_ANN_GROWTH",Input!D$2,Date)</f>
        <v>4.4847000000000001</v>
      </c>
      <c r="C521" s="4">
        <f>_xll.ciqfunctions.udf.CIQ(InputTicker,  "IQ_EBITDA_1YR_ANN_GROWTH",Input!E$2,Date)</f>
        <v>-1.5073000000000001</v>
      </c>
      <c r="D521" s="4">
        <f>_xll.ciqfunctions.udf.CIQ(InputTicker,  "IQ_EBITDA_1YR_ANN_GROWTH",Input!F$2,Date)</f>
        <v>12.2935</v>
      </c>
      <c r="E521" s="4">
        <f>_xll.ciqfunctions.udf.CIQ(InputTicker,  "IQ_EBITDA_1YR_ANN_GROWTH",Input!G$2,Date)</f>
        <v>21.0794</v>
      </c>
      <c r="F521" s="4">
        <f>_xll.ciqfunctions.udf.CIQ(InputTicker,  "IQ_EBITDA_1YR_ANN_GROWTH",Input!H$2,Date)</f>
        <v>21.355399999999999</v>
      </c>
      <c r="G521" s="4">
        <f>_xll.ciqfunctions.udf.CIQ(InputTicker,  "IQ_EBITDA_1YR_ANN_GROWTH",Input!I$2,Date)</f>
        <v>19.611699999999999</v>
      </c>
      <c r="H521" s="4">
        <f>_xll.ciqfunctions.udf.CIQ(InputTicker,  "IQ_EBITDA_1YR_ANN_GROWTH",Input!J$2,Date)</f>
        <v>23.838799999999999</v>
      </c>
      <c r="I521" s="4">
        <f>_xll.ciqfunctions.udf.CIQ(InputTicker,  "IQ_EBITDA_1YR_ANN_GROWTH",Input!K$2,Date)</f>
        <v>21.242000000000001</v>
      </c>
      <c r="J521" s="4">
        <f>_xll.ciqfunctions.udf.CIQ(InputTicker,  "IQ_EBITDA_1YR_ANN_GROWTH",Input!L$2,Date)</f>
        <v>4.1231</v>
      </c>
      <c r="K521" s="4">
        <f>_xll.ciqfunctions.udf.CIQ(InputTicker,  "IQ_EBITDA_1YR_ANN_GROWTH",Input!M$2,Date)</f>
        <v>26.866399999999999</v>
      </c>
      <c r="L521" s="4">
        <f>_xll.ciqfunctions.udf.CIQ(InputTicker,  "IQ_EBITDA_1YR_ANN_GROWTH",Input!N$2,Date)</f>
        <v>20.933599999999998</v>
      </c>
      <c r="M521" s="4">
        <f>_xll.ciqfunctions.udf.CIQ(InputTicker,  "IQ_EBITDA_1YR_ANN_GROWTH",Input!O$2,Date)</f>
        <v>25.9754</v>
      </c>
      <c r="N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  <c r="BJ521" s="42"/>
      <c r="BK521" s="42"/>
      <c r="BL521" s="42"/>
      <c r="BM521" s="42"/>
      <c r="BN521" s="42"/>
    </row>
    <row r="522" spans="1:66" ht="12.75" customHeight="1" x14ac:dyDescent="0.2">
      <c r="A522" s="19" t="s">
        <v>587</v>
      </c>
      <c r="B522" s="4">
        <f>_xll.ciqfunctions.udf.CIQ(InputTicker, "IQ_EBIT_1YR_ANN_GROWTH",Input!D$2,Date)</f>
        <v>1.0256000000000001</v>
      </c>
      <c r="C522" s="4">
        <f>_xll.ciqfunctions.udf.CIQ(InputTicker, "IQ_EBIT_1YR_ANN_GROWTH",Input!E$2,Date)</f>
        <v>-3.4929000000000001</v>
      </c>
      <c r="D522" s="4">
        <f>_xll.ciqfunctions.udf.CIQ(InputTicker, "IQ_EBIT_1YR_ANN_GROWTH",Input!F$2,Date)</f>
        <v>7.8821000000000003</v>
      </c>
      <c r="E522" s="4">
        <f>_xll.ciqfunctions.udf.CIQ(InputTicker, "IQ_EBIT_1YR_ANN_GROWTH",Input!G$2,Date)</f>
        <v>19.525400000000001</v>
      </c>
      <c r="F522" s="4">
        <f>_xll.ciqfunctions.udf.CIQ(InputTicker, "IQ_EBIT_1YR_ANN_GROWTH",Input!H$2,Date)</f>
        <v>22.536899999999999</v>
      </c>
      <c r="G522" s="4">
        <f>_xll.ciqfunctions.udf.CIQ(InputTicker, "IQ_EBIT_1YR_ANN_GROWTH",Input!I$2,Date)</f>
        <v>23.277999999999999</v>
      </c>
      <c r="H522" s="4">
        <f>_xll.ciqfunctions.udf.CIQ(InputTicker, "IQ_EBIT_1YR_ANN_GROWTH",Input!J$2,Date)</f>
        <v>32.019100000000002</v>
      </c>
      <c r="I522" s="4">
        <f>_xll.ciqfunctions.udf.CIQ(InputTicker, "IQ_EBIT_1YR_ANN_GROWTH",Input!K$2,Date)</f>
        <v>19.261600000000001</v>
      </c>
      <c r="J522" s="4">
        <f>_xll.ciqfunctions.udf.CIQ(InputTicker, "IQ_EBIT_1YR_ANN_GROWTH",Input!L$2,Date)</f>
        <v>6.1642999999999999</v>
      </c>
      <c r="K522" s="4">
        <f>_xll.ciqfunctions.udf.CIQ(InputTicker, "IQ_EBIT_1YR_ANN_GROWTH",Input!M$2,Date)</f>
        <v>23.620899999999999</v>
      </c>
      <c r="L522" s="4">
        <f>_xll.ciqfunctions.udf.CIQ(InputTicker, "IQ_EBIT_1YR_ANN_GROWTH",Input!N$2,Date)</f>
        <v>17.449000000000002</v>
      </c>
      <c r="M522" s="4">
        <f>_xll.ciqfunctions.udf.CIQ(InputTicker, "IQ_EBIT_1YR_ANN_GROWTH",Input!O$2,Date)</f>
        <v>21.965900000000001</v>
      </c>
      <c r="N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  <c r="BJ522" s="42"/>
      <c r="BK522" s="42"/>
      <c r="BL522" s="42"/>
      <c r="BM522" s="42"/>
      <c r="BN522" s="42"/>
    </row>
    <row r="523" spans="1:66" ht="12.75" customHeight="1" x14ac:dyDescent="0.2">
      <c r="A523" s="19" t="s">
        <v>588</v>
      </c>
      <c r="B523" s="4">
        <f>_xll.ciqfunctions.udf.CIQ(InputTicker,  "IQ_NI_1YR_ANN_GROWTH",Input!D$2,Date)</f>
        <v>-44.763100000000001</v>
      </c>
      <c r="C523" s="4">
        <f>_xll.ciqfunctions.udf.CIQ(InputTicker,  "IQ_NI_1YR_ANN_GROWTH",Input!E$2,Date)</f>
        <v>68.449100000000001</v>
      </c>
      <c r="D523" s="4">
        <f>_xll.ciqfunctions.udf.CIQ(InputTicker,  "IQ_NI_1YR_ANN_GROWTH",Input!F$2,Date)</f>
        <v>24.1004</v>
      </c>
      <c r="E523" s="4">
        <f>_xll.ciqfunctions.udf.CIQ(InputTicker,  "IQ_NI_1YR_ANN_GROWTH",Input!G$2,Date)</f>
        <v>-34.987699999999997</v>
      </c>
      <c r="F523" s="4">
        <f>_xll.ciqfunctions.udf.CIQ(InputTicker,  "IQ_NI_1YR_ANN_GROWTH",Input!H$2,Date)</f>
        <v>136.79920000000001</v>
      </c>
      <c r="G523" s="4">
        <f>_xll.ciqfunctions.udf.CIQ(InputTicker,  "IQ_NI_1YR_ANN_GROWTH",Input!I$2,Date)</f>
        <v>12.846500000000001</v>
      </c>
      <c r="H523" s="4">
        <f>_xll.ciqfunctions.udf.CIQ(InputTicker,  "IQ_NI_1YR_ANN_GROWTH",Input!J$2,Date)</f>
        <v>38.368600000000001</v>
      </c>
      <c r="I523" s="4">
        <f>_xll.ciqfunctions.udf.CIQ(InputTicker,  "IQ_NI_1YR_ANN_GROWTH",Input!K$2,Date)</f>
        <v>18.715199999999999</v>
      </c>
      <c r="J523" s="4">
        <f>_xll.ciqfunctions.udf.CIQ(InputTicker,  "IQ_NI_1YR_ANN_GROWTH",Input!L$2,Date)</f>
        <v>-0.51829999999999998</v>
      </c>
      <c r="K523" s="4">
        <f>_xll.ciqfunctions.udf.CIQ(InputTicker,  "IQ_NI_1YR_ANN_GROWTH",Input!M$2,Date)</f>
        <v>21.8004</v>
      </c>
      <c r="L523" s="4">
        <f>_xll.ciqfunctions.udf.CIQ(InputTicker,  "IQ_NI_1YR_ANN_GROWTH",Input!N$2,Date)</f>
        <v>15.5396</v>
      </c>
      <c r="M523" s="4">
        <f>_xll.ciqfunctions.udf.CIQ(InputTicker,  "IQ_NI_1YR_ANN_GROWTH",Input!O$2,Date)</f>
        <v>29.5762</v>
      </c>
      <c r="N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  <c r="BJ523" s="42"/>
      <c r="BK523" s="42"/>
      <c r="BL523" s="42"/>
      <c r="BM523" s="42"/>
      <c r="BN523" s="42"/>
    </row>
    <row r="524" spans="1:66" ht="12.75" customHeight="1" x14ac:dyDescent="0.2">
      <c r="A524" s="19" t="s">
        <v>589</v>
      </c>
      <c r="B524" s="4">
        <f>_xll.ciqfunctions.udf.CIQ(InputTicker, "IQ_EPS_1YR_ANN_GROWTH",Input!D$2,Date)</f>
        <v>-43.726300000000002</v>
      </c>
      <c r="C524" s="4">
        <f>_xll.ciqfunctions.udf.CIQ(InputTicker, "IQ_EPS_1YR_ANN_GROWTH",Input!E$2,Date)</f>
        <v>72.972899999999996</v>
      </c>
      <c r="D524" s="4">
        <f>_xll.ciqfunctions.udf.CIQ(InputTicker, "IQ_EPS_1YR_ANN_GROWTH",Input!F$2,Date)</f>
        <v>26.953099999999999</v>
      </c>
      <c r="E524" s="4">
        <f>_xll.ciqfunctions.udf.CIQ(InputTicker, "IQ_EPS_1YR_ANN_GROWTH",Input!G$2,Date)</f>
        <v>-34.461599999999997</v>
      </c>
      <c r="F524" s="4">
        <f>_xll.ciqfunctions.udf.CIQ(InputTicker, "IQ_EPS_1YR_ANN_GROWTH",Input!H$2,Date)</f>
        <v>137.55860000000001</v>
      </c>
      <c r="G524" s="4">
        <f>_xll.ciqfunctions.udf.CIQ(InputTicker, "IQ_EPS_1YR_ANN_GROWTH",Input!I$2,Date)</f>
        <v>13.8339</v>
      </c>
      <c r="H524" s="4">
        <f>_xll.ciqfunctions.udf.CIQ(InputTicker, "IQ_EPS_1YR_ANN_GROWTH",Input!J$2,Date)</f>
        <v>39.756900000000002</v>
      </c>
      <c r="I524" s="4">
        <f>_xll.ciqfunctions.udf.CIQ(InputTicker, "IQ_EPS_1YR_ANN_GROWTH",Input!K$2,Date)</f>
        <v>19.875699999999998</v>
      </c>
      <c r="J524" s="4">
        <f>_xll.ciqfunctions.udf.CIQ(InputTicker, "IQ_EPS_1YR_ANN_GROWTH",Input!L$2,Date)</f>
        <v>0.31080000000000002</v>
      </c>
      <c r="K524" s="4">
        <f>_xll.ciqfunctions.udf.CIQ(InputTicker, "IQ_EPS_1YR_ANN_GROWTH",Input!M$2,Date)</f>
        <v>21.9008</v>
      </c>
      <c r="L524" s="4">
        <f>_xll.ciqfunctions.udf.CIQ(InputTicker, "IQ_EPS_1YR_ANN_GROWTH",Input!N$2,Date)</f>
        <v>15.5932</v>
      </c>
      <c r="M524" s="4">
        <f>_xll.ciqfunctions.udf.CIQ(InputTicker, "IQ_EPS_1YR_ANN_GROWTH",Input!O$2,Date)</f>
        <v>29.754300000000001</v>
      </c>
      <c r="N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  <c r="BJ524" s="42"/>
      <c r="BK524" s="42"/>
      <c r="BL524" s="42"/>
      <c r="BM524" s="42"/>
      <c r="BN524" s="42"/>
    </row>
    <row r="525" spans="1:66" ht="12.75" customHeight="1" x14ac:dyDescent="0.2">
      <c r="A525" s="19" t="s">
        <v>590</v>
      </c>
      <c r="B525" s="4">
        <f>_xll.ciqfunctions.udf.CIQ(InputTicker, "IQ_TOTAL_REV_3YR_ANN_CAGR",Input!D$2,Date)</f>
        <v>8.2745999999999995</v>
      </c>
      <c r="C525" s="4">
        <f>_xll.ciqfunctions.udf.CIQ(InputTicker, "IQ_TOTAL_REV_3YR_ANN_CAGR",Input!E$2,Date)</f>
        <v>5.4</v>
      </c>
      <c r="D525" s="4">
        <f>_xll.ciqfunctions.udf.CIQ(InputTicker, "IQ_TOTAL_REV_3YR_ANN_CAGR",Input!F$2,Date)</f>
        <v>3.6065999999999998</v>
      </c>
      <c r="E525" s="4">
        <f>_xll.ciqfunctions.udf.CIQ(InputTicker, "IQ_TOTAL_REV_3YR_ANN_CAGR",Input!G$2,Date)</f>
        <v>5.6516000000000002</v>
      </c>
      <c r="F525" s="4">
        <f>_xll.ciqfunctions.udf.CIQ(InputTicker, "IQ_TOTAL_REV_3YR_ANN_CAGR",Input!H$2,Date)</f>
        <v>11.3485</v>
      </c>
      <c r="G525" s="4">
        <f>_xll.ciqfunctions.udf.CIQ(InputTicker, "IQ_TOTAL_REV_3YR_ANN_CAGR",Input!I$2,Date)</f>
        <v>13.984299999999999</v>
      </c>
      <c r="H525" s="4">
        <f>_xll.ciqfunctions.udf.CIQ(InputTicker, "IQ_TOTAL_REV_3YR_ANN_CAGR",Input!J$2,Date)</f>
        <v>15.0558</v>
      </c>
      <c r="I525" s="4">
        <f>_xll.ciqfunctions.udf.CIQ(InputTicker, "IQ_TOTAL_REV_3YR_ANN_CAGR",Input!K$2,Date)</f>
        <v>16.361499999999999</v>
      </c>
      <c r="J525" s="4">
        <f>_xll.ciqfunctions.udf.CIQ(InputTicker, "IQ_TOTAL_REV_3YR_ANN_CAGR",Input!L$2,Date)</f>
        <v>14.005699999999999</v>
      </c>
      <c r="K525" s="4">
        <f>_xll.ciqfunctions.udf.CIQ(InputTicker, "IQ_TOTAL_REV_3YR_ANN_CAGR",Input!M$2,Date)</f>
        <v>13.400499999999999</v>
      </c>
      <c r="L525" s="4">
        <f>_xll.ciqfunctions.udf.CIQ(InputTicker, "IQ_TOTAL_REV_3YR_ANN_CAGR",Input!N$2,Date)</f>
        <v>12.4231</v>
      </c>
      <c r="M525" s="4">
        <f>_xll.ciqfunctions.udf.CIQ(InputTicker, "IQ_TOTAL_REV_3YR_ANN_CAGR",Input!O$2,Date)</f>
        <v>15.309100000000001</v>
      </c>
      <c r="N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  <c r="BJ525" s="42"/>
      <c r="BK525" s="42"/>
      <c r="BL525" s="42"/>
      <c r="BM525" s="42"/>
      <c r="BN525" s="42"/>
    </row>
    <row r="526" spans="1:66" ht="12.75" customHeight="1" x14ac:dyDescent="0.2">
      <c r="A526" s="19" t="s">
        <v>591</v>
      </c>
      <c r="B526" s="4">
        <f>_xll.ciqfunctions.udf.CIQ(InputTicker, "IQ_GP_3YR_ANN_CAGR",Input!D$2,Date)</f>
        <v>2.5158999999999998</v>
      </c>
      <c r="C526" s="4">
        <f>_xll.ciqfunctions.udf.CIQ(InputTicker, "IQ_GP_3YR_ANN_CAGR",Input!E$2,Date)</f>
        <v>0.52510000000000001</v>
      </c>
      <c r="D526" s="4">
        <f>_xll.ciqfunctions.udf.CIQ(InputTicker, "IQ_GP_3YR_ANN_CAGR",Input!F$2,Date)</f>
        <v>1.4054</v>
      </c>
      <c r="E526" s="4">
        <f>_xll.ciqfunctions.udf.CIQ(InputTicker, "IQ_GP_3YR_ANN_CAGR",Input!G$2,Date)</f>
        <v>5.9512</v>
      </c>
      <c r="F526" s="4">
        <f>_xll.ciqfunctions.udf.CIQ(InputTicker, "IQ_GP_3YR_ANN_CAGR",Input!H$2,Date)</f>
        <v>12.417999999999999</v>
      </c>
      <c r="G526" s="4">
        <f>_xll.ciqfunctions.udf.CIQ(InputTicker, "IQ_GP_3YR_ANN_CAGR",Input!I$2,Date)</f>
        <v>15.871700000000001</v>
      </c>
      <c r="H526" s="4">
        <f>_xll.ciqfunctions.udf.CIQ(InputTicker, "IQ_GP_3YR_ANN_CAGR",Input!J$2,Date)</f>
        <v>17.1785</v>
      </c>
      <c r="I526" s="4">
        <f>_xll.ciqfunctions.udf.CIQ(InputTicker, "IQ_GP_3YR_ANN_CAGR",Input!K$2,Date)</f>
        <v>17.814499999999999</v>
      </c>
      <c r="J526" s="4">
        <f>_xll.ciqfunctions.udf.CIQ(InputTicker, "IQ_GP_3YR_ANN_CAGR",Input!L$2,Date)</f>
        <v>14.6408</v>
      </c>
      <c r="K526" s="4">
        <f>_xll.ciqfunctions.udf.CIQ(InputTicker, "IQ_GP_3YR_ANN_CAGR",Input!M$2,Date)</f>
        <v>13.858599999999999</v>
      </c>
      <c r="L526" s="4">
        <f>_xll.ciqfunctions.udf.CIQ(InputTicker, "IQ_GP_3YR_ANN_CAGR",Input!N$2,Date)</f>
        <v>12.6539</v>
      </c>
      <c r="M526" s="4">
        <f>_xll.ciqfunctions.udf.CIQ(InputTicker, "IQ_GP_3YR_ANN_CAGR",Input!O$2,Date)</f>
        <v>15.1896</v>
      </c>
      <c r="N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  <c r="BJ526" s="42"/>
      <c r="BK526" s="42"/>
      <c r="BL526" s="42"/>
      <c r="BM526" s="42"/>
      <c r="BN526" s="42"/>
    </row>
    <row r="527" spans="1:66" ht="12.75" customHeight="1" x14ac:dyDescent="0.2">
      <c r="A527" s="19" t="s">
        <v>592</v>
      </c>
      <c r="B527" s="4">
        <f>_xll.ciqfunctions.udf.CIQ(InputTicker,  "IQ_EBITDA_3YR_ANN_CAGR",Input!D$2,Date)</f>
        <v>3.0102000000000002</v>
      </c>
      <c r="C527" s="4">
        <f>_xll.ciqfunctions.udf.CIQ(InputTicker,  "IQ_EBITDA_3YR_ANN_CAGR",Input!E$2,Date)</f>
        <v>2.3546999999999998</v>
      </c>
      <c r="D527" s="4">
        <f>_xll.ciqfunctions.udf.CIQ(InputTicker,  "IQ_EBITDA_3YR_ANN_CAGR",Input!F$2,Date)</f>
        <v>4.9390999999999998</v>
      </c>
      <c r="E527" s="4">
        <f>_xll.ciqfunctions.udf.CIQ(InputTicker,  "IQ_EBITDA_3YR_ANN_CAGR",Input!G$2,Date)</f>
        <v>10.2241</v>
      </c>
      <c r="F527" s="4">
        <f>_xll.ciqfunctions.udf.CIQ(InputTicker,  "IQ_EBITDA_3YR_ANN_CAGR",Input!H$2,Date)</f>
        <v>18.166599999999999</v>
      </c>
      <c r="G527" s="4">
        <f>_xll.ciqfunctions.udf.CIQ(InputTicker,  "IQ_EBITDA_3YR_ANN_CAGR",Input!I$2,Date)</f>
        <v>20.6798</v>
      </c>
      <c r="H527" s="4">
        <f>_xll.ciqfunctions.udf.CIQ(InputTicker,  "IQ_EBITDA_3YR_ANN_CAGR",Input!J$2,Date)</f>
        <v>21.589700000000001</v>
      </c>
      <c r="I527" s="4">
        <f>_xll.ciqfunctions.udf.CIQ(InputTicker,  "IQ_EBITDA_3YR_ANN_CAGR",Input!K$2,Date)</f>
        <v>21.5518</v>
      </c>
      <c r="J527" s="4">
        <f>_xll.ciqfunctions.udf.CIQ(InputTicker,  "IQ_EBITDA_3YR_ANN_CAGR",Input!L$2,Date)</f>
        <v>16.0609</v>
      </c>
      <c r="K527" s="4">
        <f>_xll.ciqfunctions.udf.CIQ(InputTicker,  "IQ_EBITDA_3YR_ANN_CAGR",Input!M$2,Date)</f>
        <v>16.999099999999999</v>
      </c>
      <c r="L527" s="4">
        <f>_xll.ciqfunctions.udf.CIQ(InputTicker,  "IQ_EBITDA_3YR_ANN_CAGR",Input!N$2,Date)</f>
        <v>16.899799999999999</v>
      </c>
      <c r="M527" s="4">
        <f>_xll.ciqfunctions.udf.CIQ(InputTicker,  "IQ_EBITDA_3YR_ANN_CAGR",Input!O$2,Date)</f>
        <v>23.0261</v>
      </c>
      <c r="N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  <c r="BJ527" s="42"/>
      <c r="BK527" s="42"/>
      <c r="BL527" s="42"/>
      <c r="BM527" s="42"/>
      <c r="BN527" s="42"/>
    </row>
    <row r="528" spans="1:66" ht="12.75" customHeight="1" x14ac:dyDescent="0.2">
      <c r="A528" s="19" t="s">
        <v>593</v>
      </c>
      <c r="B528" s="4">
        <f>_xll.ciqfunctions.udf.CIQ(InputTicker, "IQ_EBIT_3YR_ANN_CAGR",Input!D$2,Date)</f>
        <v>0.25690000000000002</v>
      </c>
      <c r="C528" s="4">
        <f>_xll.ciqfunctions.udf.CIQ(InputTicker, "IQ_EBIT_3YR_ANN_CAGR",Input!E$2,Date)</f>
        <v>-0.376</v>
      </c>
      <c r="D528" s="4">
        <f>_xll.ciqfunctions.udf.CIQ(InputTicker, "IQ_EBIT_3YR_ANN_CAGR",Input!F$2,Date)</f>
        <v>1.6982999999999999</v>
      </c>
      <c r="E528" s="4">
        <f>_xll.ciqfunctions.udf.CIQ(InputTicker, "IQ_EBIT_3YR_ANN_CAGR",Input!G$2,Date)</f>
        <v>7.5613999999999999</v>
      </c>
      <c r="F528" s="4">
        <f>_xll.ciqfunctions.udf.CIQ(InputTicker, "IQ_EBIT_3YR_ANN_CAGR",Input!H$2,Date)</f>
        <v>16.473099999999999</v>
      </c>
      <c r="G528" s="4">
        <f>_xll.ciqfunctions.udf.CIQ(InputTicker, "IQ_EBIT_3YR_ANN_CAGR",Input!I$2,Date)</f>
        <v>21.769200000000001</v>
      </c>
      <c r="H528" s="4">
        <f>_xll.ciqfunctions.udf.CIQ(InputTicker, "IQ_EBIT_3YR_ANN_CAGR",Input!J$2,Date)</f>
        <v>25.872199999999999</v>
      </c>
      <c r="I528" s="4">
        <f>_xll.ciqfunctions.udf.CIQ(InputTicker, "IQ_EBIT_3YR_ANN_CAGR",Input!K$2,Date)</f>
        <v>24.740600000000001</v>
      </c>
      <c r="J528" s="4">
        <f>_xll.ciqfunctions.udf.CIQ(InputTicker, "IQ_EBIT_3YR_ANN_CAGR",Input!L$2,Date)</f>
        <v>18.6785</v>
      </c>
      <c r="K528" s="4">
        <f>_xll.ciqfunctions.udf.CIQ(InputTicker, "IQ_EBIT_3YR_ANN_CAGR",Input!M$2,Date)</f>
        <v>16.1067</v>
      </c>
      <c r="L528" s="4">
        <f>_xll.ciqfunctions.udf.CIQ(InputTicker, "IQ_EBIT_3YR_ANN_CAGR",Input!N$2,Date)</f>
        <v>15.5154</v>
      </c>
      <c r="M528" s="4">
        <f>_xll.ciqfunctions.udf.CIQ(InputTicker, "IQ_EBIT_3YR_ANN_CAGR",Input!O$2,Date)</f>
        <v>20.584299999999999</v>
      </c>
      <c r="N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  <c r="BJ528" s="42"/>
      <c r="BK528" s="42"/>
      <c r="BL528" s="42"/>
      <c r="BM528" s="42"/>
      <c r="BN528" s="42"/>
    </row>
    <row r="529" spans="1:66" ht="12.75" customHeight="1" x14ac:dyDescent="0.2">
      <c r="A529" s="19" t="s">
        <v>594</v>
      </c>
      <c r="B529" s="4">
        <f>_xll.ciqfunctions.udf.CIQ(InputTicker,  "IQ_NI_3YR_ANN_CAGR",Input!D$2,Date)</f>
        <v>-10.4482</v>
      </c>
      <c r="C529" s="4">
        <f>_xll.ciqfunctions.udf.CIQ(InputTicker,  "IQ_NI_3YR_ANN_CAGR",Input!E$2,Date)</f>
        <v>-2.0608</v>
      </c>
      <c r="D529" s="4">
        <f>_xll.ciqfunctions.udf.CIQ(InputTicker,  "IQ_NI_3YR_ANN_CAGR",Input!F$2,Date)</f>
        <v>4.9116999999999997</v>
      </c>
      <c r="E529" s="4">
        <f>_xll.ciqfunctions.udf.CIQ(InputTicker,  "IQ_NI_3YR_ANN_CAGR",Input!G$2,Date)</f>
        <v>10.7676</v>
      </c>
      <c r="F529" s="4">
        <f>_xll.ciqfunctions.udf.CIQ(InputTicker,  "IQ_NI_3YR_ANN_CAGR",Input!H$2,Date)</f>
        <v>24.084199999999999</v>
      </c>
      <c r="G529" s="4">
        <f>_xll.ciqfunctions.udf.CIQ(InputTicker,  "IQ_NI_3YR_ANN_CAGR",Input!I$2,Date)</f>
        <v>20.213899999999999</v>
      </c>
      <c r="H529" s="4">
        <f>_xll.ciqfunctions.udf.CIQ(InputTicker,  "IQ_NI_3YR_ANN_CAGR",Input!J$2,Date)</f>
        <v>54.633000000000003</v>
      </c>
      <c r="I529" s="4">
        <f>_xll.ciqfunctions.udf.CIQ(InputTicker,  "IQ_NI_3YR_ANN_CAGR",Input!K$2,Date)</f>
        <v>22.841200000000001</v>
      </c>
      <c r="J529" s="4">
        <f>_xll.ciqfunctions.udf.CIQ(InputTicker,  "IQ_NI_3YR_ANN_CAGR",Input!L$2,Date)</f>
        <v>17.7866</v>
      </c>
      <c r="K529" s="4">
        <f>_xll.ciqfunctions.udf.CIQ(InputTicker,  "IQ_NI_3YR_ANN_CAGR",Input!M$2,Date)</f>
        <v>12.8841</v>
      </c>
      <c r="L529" s="4">
        <f>_xll.ciqfunctions.udf.CIQ(InputTicker,  "IQ_NI_3YR_ANN_CAGR",Input!N$2,Date)</f>
        <v>11.868399999999999</v>
      </c>
      <c r="M529" s="4">
        <f>_xll.ciqfunctions.udf.CIQ(InputTicker,  "IQ_NI_3YR_ANN_CAGR",Input!O$2,Date)</f>
        <v>21.963000000000001</v>
      </c>
      <c r="N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  <c r="BJ529" s="42"/>
      <c r="BK529" s="42"/>
      <c r="BL529" s="42"/>
      <c r="BM529" s="42"/>
      <c r="BN529" s="42"/>
    </row>
    <row r="530" spans="1:66" ht="12.75" customHeight="1" x14ac:dyDescent="0.2">
      <c r="A530" s="19" t="s">
        <v>595</v>
      </c>
      <c r="B530" s="4">
        <f>_xll.ciqfunctions.udf.CIQ(InputTicker, "IQ_EPS_3YR_ANN_CAGR",Input!D$2,Date)</f>
        <v>-9.5495999999999999</v>
      </c>
      <c r="C530" s="4">
        <f>_xll.ciqfunctions.udf.CIQ(InputTicker, "IQ_EPS_3YR_ANN_CAGR",Input!E$2,Date)</f>
        <v>-0.2591</v>
      </c>
      <c r="D530" s="4">
        <f>_xll.ciqfunctions.udf.CIQ(InputTicker, "IQ_EPS_3YR_ANN_CAGR",Input!F$2,Date)</f>
        <v>7.3106</v>
      </c>
      <c r="E530" s="4">
        <f>_xll.ciqfunctions.udf.CIQ(InputTicker, "IQ_EPS_3YR_ANN_CAGR",Input!G$2,Date)</f>
        <v>12.9031</v>
      </c>
      <c r="F530" s="4">
        <f>_xll.ciqfunctions.udf.CIQ(InputTicker, "IQ_EPS_3YR_ANN_CAGR",Input!H$2,Date)</f>
        <v>25.498000000000001</v>
      </c>
      <c r="G530" s="4">
        <f>_xll.ciqfunctions.udf.CIQ(InputTicker, "IQ_EPS_3YR_ANN_CAGR",Input!I$2,Date)</f>
        <v>21.016999999999999</v>
      </c>
      <c r="H530" s="4">
        <f>_xll.ciqfunctions.udf.CIQ(InputTicker, "IQ_EPS_3YR_ANN_CAGR",Input!J$2,Date)</f>
        <v>55.765799999999999</v>
      </c>
      <c r="I530" s="4">
        <f>_xll.ciqfunctions.udf.CIQ(InputTicker, "IQ_EPS_3YR_ANN_CAGR",Input!K$2,Date)</f>
        <v>24.0106</v>
      </c>
      <c r="J530" s="4">
        <f>_xll.ciqfunctions.udf.CIQ(InputTicker, "IQ_EPS_3YR_ANN_CAGR",Input!L$2,Date)</f>
        <v>18.891500000000001</v>
      </c>
      <c r="K530" s="4">
        <f>_xll.ciqfunctions.udf.CIQ(InputTicker, "IQ_EPS_3YR_ANN_CAGR",Input!M$2,Date)</f>
        <v>13.595700000000001</v>
      </c>
      <c r="L530" s="4">
        <f>_xll.ciqfunctions.udf.CIQ(InputTicker, "IQ_EPS_3YR_ANN_CAGR",Input!N$2,Date)</f>
        <v>12.226599999999999</v>
      </c>
      <c r="M530" s="4">
        <f>_xll.ciqfunctions.udf.CIQ(InputTicker, "IQ_EPS_3YR_ANN_CAGR",Input!O$2,Date)</f>
        <v>22.0776</v>
      </c>
      <c r="N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  <c r="BJ530" s="42"/>
      <c r="BK530" s="42"/>
      <c r="BL530" s="42"/>
      <c r="BM530" s="42"/>
      <c r="BN530" s="42"/>
    </row>
    <row r="531" spans="1:66" ht="12.75" customHeight="1" x14ac:dyDescent="0.2">
      <c r="A531" s="19" t="s">
        <v>596</v>
      </c>
      <c r="B531" s="4">
        <f>_xll.ciqfunctions.udf.CIQ(InputTicker, "IQ_TOTAL_REV_5YR_ANN_CAGR",Input!D$2,Date)</f>
        <v>8.4133999999999993</v>
      </c>
      <c r="C531" s="4">
        <f>_xll.ciqfunctions.udf.CIQ(InputTicker, "IQ_TOTAL_REV_5YR_ANN_CAGR",Input!E$2,Date)</f>
        <v>5.4401999999999999</v>
      </c>
      <c r="D531" s="4">
        <f>_xll.ciqfunctions.udf.CIQ(InputTicker, "IQ_TOTAL_REV_5YR_ANN_CAGR",Input!F$2,Date)</f>
        <v>5.5476999999999999</v>
      </c>
      <c r="E531" s="4">
        <f>_xll.ciqfunctions.udf.CIQ(InputTicker, "IQ_TOTAL_REV_5YR_ANN_CAGR",Input!G$2,Date)</f>
        <v>7.2289000000000003</v>
      </c>
      <c r="F531" s="4">
        <f>_xll.ciqfunctions.udf.CIQ(InputTicker, "IQ_TOTAL_REV_5YR_ANN_CAGR",Input!H$2,Date)</f>
        <v>7.7032999999999996</v>
      </c>
      <c r="G531" s="4">
        <f>_xll.ciqfunctions.udf.CIQ(InputTicker, "IQ_TOTAL_REV_5YR_ANN_CAGR",Input!I$2,Date)</f>
        <v>8.8528000000000002</v>
      </c>
      <c r="H531" s="4">
        <f>_xll.ciqfunctions.udf.CIQ(InputTicker, "IQ_TOTAL_REV_5YR_ANN_CAGR",Input!J$2,Date)</f>
        <v>13.0192</v>
      </c>
      <c r="I531" s="4">
        <f>_xll.ciqfunctions.udf.CIQ(InputTicker, "IQ_TOTAL_REV_5YR_ANN_CAGR",Input!K$2,Date)</f>
        <v>15.4734</v>
      </c>
      <c r="J531" s="4">
        <f>_xll.ciqfunctions.udf.CIQ(InputTicker, "IQ_TOTAL_REV_5YR_ANN_CAGR",Input!L$2,Date)</f>
        <v>13.9384</v>
      </c>
      <c r="K531" s="4">
        <f>_xll.ciqfunctions.udf.CIQ(InputTicker, "IQ_TOTAL_REV_5YR_ANN_CAGR",Input!M$2,Date)</f>
        <v>14.2643</v>
      </c>
      <c r="L531" s="4">
        <f>_xll.ciqfunctions.udf.CIQ(InputTicker, "IQ_TOTAL_REV_5YR_ANN_CAGR",Input!N$2,Date)</f>
        <v>14.5219</v>
      </c>
      <c r="M531" s="4">
        <f>_xll.ciqfunctions.udf.CIQ(InputTicker, "IQ_TOTAL_REV_5YR_ANN_CAGR",Input!O$2,Date)</f>
        <v>14.75</v>
      </c>
      <c r="N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  <c r="BJ531" s="42"/>
      <c r="BK531" s="42"/>
      <c r="BL531" s="42"/>
      <c r="BM531" s="42"/>
      <c r="BN531" s="42"/>
    </row>
    <row r="532" spans="1:66" ht="12.75" customHeight="1" x14ac:dyDescent="0.2">
      <c r="A532" s="19" t="s">
        <v>597</v>
      </c>
      <c r="B532" s="4">
        <f>_xll.ciqfunctions.udf.CIQ(InputTicker, "IQ_GP_5YR_ANN_CAGR",Input!D$2,Date)</f>
        <v>3.8635000000000002</v>
      </c>
      <c r="C532" s="4">
        <f>_xll.ciqfunctions.udf.CIQ(InputTicker, "IQ_GP_5YR_ANN_CAGR",Input!E$2,Date)</f>
        <v>1.4328000000000001</v>
      </c>
      <c r="D532" s="4">
        <f>_xll.ciqfunctions.udf.CIQ(InputTicker, "IQ_GP_5YR_ANN_CAGR",Input!F$2,Date)</f>
        <v>2.0880999999999998</v>
      </c>
      <c r="E532" s="4">
        <f>_xll.ciqfunctions.udf.CIQ(InputTicker, "IQ_GP_5YR_ANN_CAGR",Input!G$2,Date)</f>
        <v>4.6154000000000002</v>
      </c>
      <c r="F532" s="4">
        <f>_xll.ciqfunctions.udf.CIQ(InputTicker, "IQ_GP_5YR_ANN_CAGR",Input!H$2,Date)</f>
        <v>6.7751999999999999</v>
      </c>
      <c r="G532" s="4">
        <f>_xll.ciqfunctions.udf.CIQ(InputTicker, "IQ_GP_5YR_ANN_CAGR",Input!I$2,Date)</f>
        <v>9.8719000000000001</v>
      </c>
      <c r="H532" s="4">
        <f>_xll.ciqfunctions.udf.CIQ(InputTicker, "IQ_GP_5YR_ANN_CAGR",Input!J$2,Date)</f>
        <v>14.6938</v>
      </c>
      <c r="I532" s="4">
        <f>_xll.ciqfunctions.udf.CIQ(InputTicker, "IQ_GP_5YR_ANN_CAGR",Input!K$2,Date)</f>
        <v>16.829699999999999</v>
      </c>
      <c r="J532" s="4">
        <f>_xll.ciqfunctions.udf.CIQ(InputTicker, "IQ_GP_5YR_ANN_CAGR",Input!L$2,Date)</f>
        <v>15.193099999999999</v>
      </c>
      <c r="K532" s="4">
        <f>_xll.ciqfunctions.udf.CIQ(InputTicker, "IQ_GP_5YR_ANN_CAGR",Input!M$2,Date)</f>
        <v>15.573399999999999</v>
      </c>
      <c r="L532" s="4">
        <f>_xll.ciqfunctions.udf.CIQ(InputTicker, "IQ_GP_5YR_ANN_CAGR",Input!N$2,Date)</f>
        <v>14.8721</v>
      </c>
      <c r="M532" s="4">
        <f>_xll.ciqfunctions.udf.CIQ(InputTicker, "IQ_GP_5YR_ANN_CAGR",Input!O$2,Date)</f>
        <v>14.7258</v>
      </c>
      <c r="N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  <c r="BJ532" s="42"/>
      <c r="BK532" s="42"/>
      <c r="BL532" s="42"/>
      <c r="BM532" s="42"/>
      <c r="BN532" s="42"/>
    </row>
    <row r="533" spans="1:66" ht="12.75" customHeight="1" x14ac:dyDescent="0.2">
      <c r="A533" s="19" t="s">
        <v>598</v>
      </c>
      <c r="B533" s="4">
        <f>_xll.ciqfunctions.udf.CIQ(InputTicker,  "IQ_EBITDA_5YR_ANN_CAGR",Input!D$2,Date)</f>
        <v>4.7618</v>
      </c>
      <c r="C533" s="4">
        <f>_xll.ciqfunctions.udf.CIQ(InputTicker,  "IQ_EBITDA_5YR_ANN_CAGR",Input!E$2,Date)</f>
        <v>2.1718000000000002</v>
      </c>
      <c r="D533" s="4">
        <f>_xll.ciqfunctions.udf.CIQ(InputTicker,  "IQ_EBITDA_5YR_ANN_CAGR",Input!F$2,Date)</f>
        <v>3.8675999999999999</v>
      </c>
      <c r="E533" s="4">
        <f>_xll.ciqfunctions.udf.CIQ(InputTicker,  "IQ_EBITDA_5YR_ANN_CAGR",Input!G$2,Date)</f>
        <v>7.8324999999999996</v>
      </c>
      <c r="F533" s="4">
        <f>_xll.ciqfunctions.udf.CIQ(InputTicker,  "IQ_EBITDA_5YR_ANN_CAGR",Input!H$2,Date)</f>
        <v>11.170199999999999</v>
      </c>
      <c r="G533" s="4">
        <f>_xll.ciqfunctions.udf.CIQ(InputTicker,  "IQ_EBITDA_5YR_ANN_CAGR",Input!I$2,Date)</f>
        <v>14.217499999999999</v>
      </c>
      <c r="H533" s="4">
        <f>_xll.ciqfunctions.udf.CIQ(InputTicker,  "IQ_EBITDA_5YR_ANN_CAGR",Input!J$2,Date)</f>
        <v>19.5702</v>
      </c>
      <c r="I533" s="4">
        <f>_xll.ciqfunctions.udf.CIQ(InputTicker,  "IQ_EBITDA_5YR_ANN_CAGR",Input!K$2,Date)</f>
        <v>21.417899999999999</v>
      </c>
      <c r="J533" s="4">
        <f>_xll.ciqfunctions.udf.CIQ(InputTicker,  "IQ_EBITDA_5YR_ANN_CAGR",Input!L$2,Date)</f>
        <v>17.808900000000001</v>
      </c>
      <c r="K533" s="4">
        <f>_xll.ciqfunctions.udf.CIQ(InputTicker,  "IQ_EBITDA_5YR_ANN_CAGR",Input!M$2,Date)</f>
        <v>18.86</v>
      </c>
      <c r="L533" s="4">
        <f>_xll.ciqfunctions.udf.CIQ(InputTicker,  "IQ_EBITDA_5YR_ANN_CAGR",Input!N$2,Date)</f>
        <v>19.121500000000001</v>
      </c>
      <c r="M533" s="4">
        <f>_xll.ciqfunctions.udf.CIQ(InputTicker,  "IQ_EBITDA_5YR_ANN_CAGR",Input!O$2,Date)</f>
        <v>19.477599999999999</v>
      </c>
      <c r="N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  <c r="BJ533" s="42"/>
      <c r="BK533" s="42"/>
      <c r="BL533" s="42"/>
      <c r="BM533" s="42"/>
      <c r="BN533" s="42"/>
    </row>
    <row r="534" spans="1:66" ht="12.75" customHeight="1" x14ac:dyDescent="0.2">
      <c r="A534" s="19" t="s">
        <v>599</v>
      </c>
      <c r="B534" s="4">
        <f>_xll.ciqfunctions.udf.CIQ(InputTicker, "IQ_EBIT_5YR_ANN_CAGR",Input!D$2,Date)</f>
        <v>3.1732999999999998</v>
      </c>
      <c r="C534" s="4">
        <f>_xll.ciqfunctions.udf.CIQ(InputTicker, "IQ_EBIT_5YR_ANN_CAGR",Input!E$2,Date)</f>
        <v>1.9900000000000001E-2</v>
      </c>
      <c r="D534" s="4">
        <f>_xll.ciqfunctions.udf.CIQ(InputTicker, "IQ_EBIT_5YR_ANN_CAGR",Input!F$2,Date)</f>
        <v>0.96489999999999998</v>
      </c>
      <c r="E534" s="4">
        <f>_xll.ciqfunctions.udf.CIQ(InputTicker, "IQ_EBIT_5YR_ANN_CAGR",Input!G$2,Date)</f>
        <v>4.9785000000000004</v>
      </c>
      <c r="F534" s="4">
        <f>_xll.ciqfunctions.udf.CIQ(InputTicker, "IQ_EBIT_5YR_ANN_CAGR",Input!H$2,Date)</f>
        <v>9.0268999999999995</v>
      </c>
      <c r="G534" s="4">
        <f>_xll.ciqfunctions.udf.CIQ(InputTicker, "IQ_EBIT_5YR_ANN_CAGR",Input!I$2,Date)</f>
        <v>13.4552</v>
      </c>
      <c r="H534" s="4">
        <f>_xll.ciqfunctions.udf.CIQ(InputTicker, "IQ_EBIT_5YR_ANN_CAGR",Input!J$2,Date)</f>
        <v>20.7925</v>
      </c>
      <c r="I534" s="4">
        <f>_xll.ciqfunctions.udf.CIQ(InputTicker, "IQ_EBIT_5YR_ANN_CAGR",Input!K$2,Date)</f>
        <v>23.239599999999999</v>
      </c>
      <c r="J534" s="4">
        <f>_xll.ciqfunctions.udf.CIQ(InputTicker, "IQ_EBIT_5YR_ANN_CAGR",Input!L$2,Date)</f>
        <v>20.3521</v>
      </c>
      <c r="K534" s="4">
        <f>_xll.ciqfunctions.udf.CIQ(InputTicker, "IQ_EBIT_5YR_ANN_CAGR",Input!M$2,Date)</f>
        <v>20.564299999999999</v>
      </c>
      <c r="L534" s="4">
        <f>_xll.ciqfunctions.udf.CIQ(InputTicker, "IQ_EBIT_5YR_ANN_CAGR",Input!N$2,Date)</f>
        <v>19.402000000000001</v>
      </c>
      <c r="M534" s="4">
        <f>_xll.ciqfunctions.udf.CIQ(InputTicker, "IQ_EBIT_5YR_ANN_CAGR",Input!O$2,Date)</f>
        <v>18.254100000000001</v>
      </c>
      <c r="N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  <c r="BJ534" s="42"/>
      <c r="BK534" s="42"/>
      <c r="BL534" s="42"/>
      <c r="BM534" s="42"/>
      <c r="BN534" s="42"/>
    </row>
    <row r="535" spans="1:66" ht="12.75" customHeight="1" x14ac:dyDescent="0.2">
      <c r="A535" s="19" t="s">
        <v>600</v>
      </c>
      <c r="B535" s="4">
        <f>_xll.ciqfunctions.udf.CIQ(InputTicker,  "IQ_NI_5YR_ANN_CAGR",Input!D$2,Date)</f>
        <v>-8.2565000000000008</v>
      </c>
      <c r="C535" s="4">
        <f>_xll.ciqfunctions.udf.CIQ(InputTicker,  "IQ_NI_5YR_ANN_CAGR",Input!E$2,Date)</f>
        <v>-2.3650000000000002</v>
      </c>
      <c r="D535" s="4">
        <f>_xll.ciqfunctions.udf.CIQ(InputTicker,  "IQ_NI_5YR_ANN_CAGR",Input!F$2,Date)</f>
        <v>8.4658999999999995</v>
      </c>
      <c r="E535" s="4">
        <f>_xll.ciqfunctions.udf.CIQ(InputTicker,  "IQ_NI_5YR_ANN_CAGR",Input!G$2,Date)</f>
        <v>-5.3920000000000003</v>
      </c>
      <c r="F535" s="4">
        <f>_xll.ciqfunctions.udf.CIQ(InputTicker,  "IQ_NI_5YR_ANN_CAGR",Input!H$2,Date)</f>
        <v>12.194000000000001</v>
      </c>
      <c r="G535" s="4">
        <f>_xll.ciqfunctions.udf.CIQ(InputTicker,  "IQ_NI_5YR_ANN_CAGR",Input!I$2,Date)</f>
        <v>29.425899999999999</v>
      </c>
      <c r="H535" s="4">
        <f>_xll.ciqfunctions.udf.CIQ(InputTicker,  "IQ_NI_5YR_ANN_CAGR",Input!J$2,Date)</f>
        <v>24.4329</v>
      </c>
      <c r="I535" s="4">
        <f>_xll.ciqfunctions.udf.CIQ(InputTicker,  "IQ_NI_5YR_ANN_CAGR",Input!K$2,Date)</f>
        <v>23.3337</v>
      </c>
      <c r="J535" s="4">
        <f>_xll.ciqfunctions.udf.CIQ(InputTicker,  "IQ_NI_5YR_ANN_CAGR",Input!L$2,Date)</f>
        <v>34.286099999999998</v>
      </c>
      <c r="K535" s="4">
        <f>_xll.ciqfunctions.udf.CIQ(InputTicker,  "IQ_NI_5YR_ANN_CAGR",Input!M$2,Date)</f>
        <v>17.566800000000001</v>
      </c>
      <c r="L535" s="4">
        <f>_xll.ciqfunctions.udf.CIQ(InputTicker,  "IQ_NI_5YR_ANN_CAGR",Input!N$2,Date)</f>
        <v>18.122699999999998</v>
      </c>
      <c r="M535" s="4">
        <f>_xll.ciqfunctions.udf.CIQ(InputTicker,  "IQ_NI_5YR_ANN_CAGR",Input!O$2,Date)</f>
        <v>17.454899999999999</v>
      </c>
      <c r="N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  <c r="BJ535" s="42"/>
      <c r="BK535" s="42"/>
      <c r="BL535" s="42"/>
      <c r="BM535" s="42"/>
      <c r="BN535" s="42"/>
    </row>
    <row r="536" spans="1:66" ht="12.75" customHeight="1" x14ac:dyDescent="0.2">
      <c r="A536" s="19" t="s">
        <v>601</v>
      </c>
      <c r="B536" s="4">
        <f>_xll.ciqfunctions.udf.CIQ(InputTicker, "IQ_EPS_5YR_ANN_CAGR",Input!D$2,Date)</f>
        <v>-6.7587000000000002</v>
      </c>
      <c r="C536" s="4">
        <f>_xll.ciqfunctions.udf.CIQ(InputTicker, "IQ_EPS_5YR_ANN_CAGR",Input!E$2,Date)</f>
        <v>-0.98580000000000001</v>
      </c>
      <c r="D536" s="4">
        <f>_xll.ciqfunctions.udf.CIQ(InputTicker, "IQ_EPS_5YR_ANN_CAGR",Input!F$2,Date)</f>
        <v>10.1972</v>
      </c>
      <c r="E536" s="4">
        <f>_xll.ciqfunctions.udf.CIQ(InputTicker, "IQ_EPS_5YR_ANN_CAGR",Input!G$2,Date)</f>
        <v>-3.7608000000000001</v>
      </c>
      <c r="F536" s="4">
        <f>_xll.ciqfunctions.udf.CIQ(InputTicker, "IQ_EPS_5YR_ANN_CAGR",Input!H$2,Date)</f>
        <v>13.982699999999999</v>
      </c>
      <c r="G536" s="4">
        <f>_xll.ciqfunctions.udf.CIQ(InputTicker, "IQ_EPS_5YR_ANN_CAGR",Input!I$2,Date)</f>
        <v>31.229700000000001</v>
      </c>
      <c r="H536" s="4">
        <f>_xll.ciqfunctions.udf.CIQ(InputTicker, "IQ_EPS_5YR_ANN_CAGR",Input!J$2,Date)</f>
        <v>25.750900000000001</v>
      </c>
      <c r="I536" s="4">
        <f>_xll.ciqfunctions.udf.CIQ(InputTicker, "IQ_EPS_5YR_ANN_CAGR",Input!K$2,Date)</f>
        <v>24.316500000000001</v>
      </c>
      <c r="J536" s="4">
        <f>_xll.ciqfunctions.udf.CIQ(InputTicker, "IQ_EPS_5YR_ANN_CAGR",Input!L$2,Date)</f>
        <v>35.362699999999997</v>
      </c>
      <c r="K536" s="4">
        <f>_xll.ciqfunctions.udf.CIQ(InputTicker, "IQ_EPS_5YR_ANN_CAGR",Input!M$2,Date)</f>
        <v>18.453099999999999</v>
      </c>
      <c r="L536" s="4">
        <f>_xll.ciqfunctions.udf.CIQ(InputTicker, "IQ_EPS_5YR_ANN_CAGR",Input!N$2,Date)</f>
        <v>18.8169</v>
      </c>
      <c r="M536" s="4">
        <f>_xll.ciqfunctions.udf.CIQ(InputTicker, "IQ_EPS_5YR_ANN_CAGR",Input!O$2,Date)</f>
        <v>18.001999999999999</v>
      </c>
      <c r="N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  <c r="BJ536" s="42"/>
      <c r="BK536" s="42"/>
      <c r="BL536" s="42"/>
      <c r="BM536" s="42"/>
      <c r="BN536" s="42"/>
    </row>
    <row r="537" spans="1:66" x14ac:dyDescent="0.2">
      <c r="A537" s="1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  <c r="BJ537" s="42"/>
      <c r="BK537" s="42"/>
      <c r="BL537" s="42"/>
      <c r="BM537" s="42"/>
      <c r="BN537" s="42"/>
    </row>
  </sheetData>
  <phoneticPr fontId="3" type="noConversion"/>
  <printOptions horizontalCentered="1"/>
  <pageMargins left="0.25" right="0.25" top="0.25" bottom="0.25" header="0.25" footer="0.25"/>
  <pageSetup scale="22" orientation="landscape" r:id="rId1"/>
  <headerFooter alignWithMargins="0"/>
  <customProperties>
    <customPr name="Gu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U122"/>
  <sheetViews>
    <sheetView showGridLines="0" zoomScale="85" zoomScaleNormal="100" zoomScaleSheetLayoutView="85" workbookViewId="0">
      <pane xSplit="1" ySplit="2" topLeftCell="B3" activePane="bottomRight" state="frozen"/>
      <selection pane="topRight" activeCell="D1" sqref="D1"/>
      <selection pane="bottomLeft" activeCell="A8" sqref="A8"/>
      <selection pane="bottomRight" activeCell="K1" sqref="K1"/>
    </sheetView>
  </sheetViews>
  <sheetFormatPr defaultRowHeight="12.75" customHeight="1" x14ac:dyDescent="0.2"/>
  <cols>
    <col min="1" max="1" width="34.5703125" bestFit="1" customWidth="1"/>
    <col min="2" max="13" width="13.28515625" customWidth="1"/>
  </cols>
  <sheetData>
    <row r="1" spans="1:21" s="42" customFormat="1" x14ac:dyDescent="0.2">
      <c r="A1" s="3" t="s">
        <v>604</v>
      </c>
      <c r="B1" s="32" t="str">
        <f>"FY"&amp;RIGHT(YEAR(B2),2)</f>
        <v>FY15</v>
      </c>
      <c r="C1" s="32" t="str">
        <f t="shared" ref="C1:L1" si="0">"FY"&amp;RIGHT(YEAR(C2),2)</f>
        <v>FY16</v>
      </c>
      <c r="D1" s="32" t="str">
        <f t="shared" si="0"/>
        <v>FY17</v>
      </c>
      <c r="E1" s="32" t="str">
        <f t="shared" si="0"/>
        <v>FY18</v>
      </c>
      <c r="F1" s="32" t="str">
        <f t="shared" si="0"/>
        <v>FY19</v>
      </c>
      <c r="G1" s="32" t="str">
        <f t="shared" si="0"/>
        <v>FY20</v>
      </c>
      <c r="H1" s="32" t="str">
        <f t="shared" si="0"/>
        <v>FY21</v>
      </c>
      <c r="I1" s="32" t="str">
        <f t="shared" si="0"/>
        <v>FY22</v>
      </c>
      <c r="J1" s="32" t="str">
        <f t="shared" si="0"/>
        <v>FY23</v>
      </c>
      <c r="K1" s="32" t="str">
        <f t="shared" si="0"/>
        <v>FY24</v>
      </c>
      <c r="L1" s="32" t="str">
        <f t="shared" si="0"/>
        <v>FY25</v>
      </c>
      <c r="M1" s="32" t="s">
        <v>266</v>
      </c>
      <c r="S1" s="3"/>
      <c r="T1" s="2"/>
      <c r="U1" s="3"/>
    </row>
    <row r="2" spans="1:21" ht="12.75" customHeight="1" x14ac:dyDescent="0.2">
      <c r="A2" s="3" t="s">
        <v>408</v>
      </c>
      <c r="B2" s="24">
        <f>'Financial Statements'!B$2</f>
        <v>42185</v>
      </c>
      <c r="C2" s="24">
        <f>'Financial Statements'!C$2</f>
        <v>42551</v>
      </c>
      <c r="D2" s="24">
        <f>'Financial Statements'!D$2</f>
        <v>42916</v>
      </c>
      <c r="E2" s="24">
        <f>'Financial Statements'!E$2</f>
        <v>43281</v>
      </c>
      <c r="F2" s="24">
        <f>'Financial Statements'!F$2</f>
        <v>43646</v>
      </c>
      <c r="G2" s="24">
        <f>'Financial Statements'!G$2</f>
        <v>44012</v>
      </c>
      <c r="H2" s="24">
        <f>'Financial Statements'!H$2</f>
        <v>44377</v>
      </c>
      <c r="I2" s="24">
        <f>'Financial Statements'!I$2</f>
        <v>44742</v>
      </c>
      <c r="J2" s="24">
        <f>'Financial Statements'!J$2</f>
        <v>45107</v>
      </c>
      <c r="K2" s="24">
        <f>'Financial Statements'!K$2</f>
        <v>45473</v>
      </c>
      <c r="L2" s="24">
        <f>'Financial Statements'!L$2</f>
        <v>45838</v>
      </c>
      <c r="M2" s="24">
        <f>'Financial Statements'!M$2</f>
        <v>46112</v>
      </c>
    </row>
    <row r="3" spans="1:21" ht="12.75" customHeight="1" x14ac:dyDescent="0.2">
      <c r="A3" s="1" t="s">
        <v>57</v>
      </c>
      <c r="B3" s="25">
        <f>'Financial Statements'!B3/'Financial Statements'!B$10</f>
        <v>1</v>
      </c>
      <c r="C3" s="25">
        <f>'Financial Statements'!C3/'Financial Statements'!C$10</f>
        <v>1</v>
      </c>
      <c r="D3" s="25">
        <f>'Financial Statements'!D3/'Financial Statements'!D$10</f>
        <v>1</v>
      </c>
      <c r="E3" s="25">
        <f>'Financial Statements'!E3/'Financial Statements'!E$10</f>
        <v>1</v>
      </c>
      <c r="F3" s="25">
        <f>'Financial Statements'!F3/'Financial Statements'!F$10</f>
        <v>1</v>
      </c>
      <c r="G3" s="25">
        <f>'Financial Statements'!G3/'Financial Statements'!G$10</f>
        <v>1</v>
      </c>
      <c r="H3" s="25">
        <f>'Financial Statements'!H3/'Financial Statements'!H$10</f>
        <v>1</v>
      </c>
      <c r="I3" s="25">
        <f>'Financial Statements'!I3/'Financial Statements'!I$10</f>
        <v>1</v>
      </c>
      <c r="J3" s="25">
        <f>'Financial Statements'!J3/'Financial Statements'!J$10</f>
        <v>1</v>
      </c>
      <c r="K3" s="25">
        <f>'Financial Statements'!K3/'Financial Statements'!K$10</f>
        <v>1</v>
      </c>
      <c r="L3" s="25">
        <f>'Financial Statements'!L3/'Financial Statements'!L$10</f>
        <v>1</v>
      </c>
      <c r="M3" s="25">
        <f>'Financial Statements'!M3/'Financial Statements'!M$10</f>
        <v>1</v>
      </c>
    </row>
    <row r="4" spans="1:21" ht="12.75" customHeight="1" x14ac:dyDescent="0.2">
      <c r="A4" s="1" t="s">
        <v>157</v>
      </c>
      <c r="B4" s="25">
        <f>'Financial Statements'!B4/'Financial Statements'!B$10</f>
        <v>0</v>
      </c>
      <c r="C4" s="25">
        <f>'Financial Statements'!C4/'Financial Statements'!C$10</f>
        <v>0</v>
      </c>
      <c r="D4" s="25">
        <f>'Financial Statements'!D4/'Financial Statements'!D$10</f>
        <v>0</v>
      </c>
      <c r="E4" s="25">
        <f>'Financial Statements'!E4/'Financial Statements'!E$10</f>
        <v>0</v>
      </c>
      <c r="F4" s="25">
        <f>'Financial Statements'!F4/'Financial Statements'!F$10</f>
        <v>0</v>
      </c>
      <c r="G4" s="25">
        <f>'Financial Statements'!G4/'Financial Statements'!G$10</f>
        <v>0</v>
      </c>
      <c r="H4" s="25">
        <f>'Financial Statements'!H4/'Financial Statements'!H$10</f>
        <v>0</v>
      </c>
      <c r="I4" s="25">
        <f>'Financial Statements'!I4/'Financial Statements'!I$10</f>
        <v>0</v>
      </c>
      <c r="J4" s="25">
        <f>'Financial Statements'!J4/'Financial Statements'!J$10</f>
        <v>0</v>
      </c>
      <c r="K4" s="25">
        <f>'Financial Statements'!K4/'Financial Statements'!K$10</f>
        <v>0</v>
      </c>
      <c r="L4" s="25">
        <f>'Financial Statements'!L4/'Financial Statements'!L$10</f>
        <v>0</v>
      </c>
      <c r="M4" s="25">
        <f>'Financial Statements'!M4/'Financial Statements'!M$10</f>
        <v>0</v>
      </c>
    </row>
    <row r="5" spans="1:21" ht="12.75" customHeight="1" x14ac:dyDescent="0.2">
      <c r="A5" s="1" t="s">
        <v>158</v>
      </c>
      <c r="B5" s="25">
        <f>'Financial Statements'!B5/'Financial Statements'!B$10</f>
        <v>0</v>
      </c>
      <c r="C5" s="25">
        <f>'Financial Statements'!C5/'Financial Statements'!C$10</f>
        <v>0</v>
      </c>
      <c r="D5" s="25">
        <f>'Financial Statements'!D5/'Financial Statements'!D$10</f>
        <v>0</v>
      </c>
      <c r="E5" s="25">
        <f>'Financial Statements'!E5/'Financial Statements'!E$10</f>
        <v>0</v>
      </c>
      <c r="F5" s="25">
        <f>'Financial Statements'!F5/'Financial Statements'!F$10</f>
        <v>0</v>
      </c>
      <c r="G5" s="25">
        <f>'Financial Statements'!G5/'Financial Statements'!G$10</f>
        <v>0</v>
      </c>
      <c r="H5" s="25">
        <f>'Financial Statements'!H5/'Financial Statements'!H$10</f>
        <v>0</v>
      </c>
      <c r="I5" s="25">
        <f>'Financial Statements'!I5/'Financial Statements'!I$10</f>
        <v>0</v>
      </c>
      <c r="J5" s="25">
        <f>'Financial Statements'!J5/'Financial Statements'!J$10</f>
        <v>0</v>
      </c>
      <c r="K5" s="25">
        <f>'Financial Statements'!K5/'Financial Statements'!K$10</f>
        <v>0</v>
      </c>
      <c r="L5" s="25">
        <f>'Financial Statements'!L5/'Financial Statements'!L$10</f>
        <v>0</v>
      </c>
      <c r="M5" s="25">
        <f>'Financial Statements'!M5/'Financial Statements'!M$10</f>
        <v>0</v>
      </c>
    </row>
    <row r="6" spans="1:21" ht="12.75" customHeight="1" x14ac:dyDescent="0.2">
      <c r="A6" s="1" t="s">
        <v>276</v>
      </c>
      <c r="B6" s="25">
        <f>'Financial Statements'!B6/'Financial Statements'!B$10</f>
        <v>0</v>
      </c>
      <c r="C6" s="25">
        <f>'Financial Statements'!C6/'Financial Statements'!C$10</f>
        <v>0</v>
      </c>
      <c r="D6" s="25">
        <f>'Financial Statements'!D6/'Financial Statements'!D$10</f>
        <v>0</v>
      </c>
      <c r="E6" s="25">
        <f>'Financial Statements'!E6/'Financial Statements'!E$10</f>
        <v>0</v>
      </c>
      <c r="F6" s="25">
        <f>'Financial Statements'!F6/'Financial Statements'!F$10</f>
        <v>0</v>
      </c>
      <c r="G6" s="25">
        <f>'Financial Statements'!G6/'Financial Statements'!G$10</f>
        <v>0</v>
      </c>
      <c r="H6" s="25">
        <f>'Financial Statements'!H6/'Financial Statements'!H$10</f>
        <v>0</v>
      </c>
      <c r="I6" s="25">
        <f>'Financial Statements'!I6/'Financial Statements'!I$10</f>
        <v>0</v>
      </c>
      <c r="J6" s="25">
        <f>'Financial Statements'!J6/'Financial Statements'!J$10</f>
        <v>0</v>
      </c>
      <c r="K6" s="25">
        <f>'Financial Statements'!K6/'Financial Statements'!K$10</f>
        <v>0</v>
      </c>
      <c r="L6" s="25">
        <f>'Financial Statements'!L6/'Financial Statements'!L$10</f>
        <v>0</v>
      </c>
      <c r="M6" s="25">
        <f>'Financial Statements'!M6/'Financial Statements'!M$10</f>
        <v>0</v>
      </c>
    </row>
    <row r="7" spans="1:21" ht="12.75" customHeight="1" x14ac:dyDescent="0.2">
      <c r="A7" s="1" t="s">
        <v>277</v>
      </c>
      <c r="B7" s="25">
        <f>'Financial Statements'!B7/'Financial Statements'!B$10</f>
        <v>0</v>
      </c>
      <c r="C7" s="25">
        <f>'Financial Statements'!C7/'Financial Statements'!C$10</f>
        <v>0</v>
      </c>
      <c r="D7" s="25">
        <f>'Financial Statements'!D7/'Financial Statements'!D$10</f>
        <v>0</v>
      </c>
      <c r="E7" s="25">
        <f>'Financial Statements'!E7/'Financial Statements'!E$10</f>
        <v>0</v>
      </c>
      <c r="F7" s="25">
        <f>'Financial Statements'!F7/'Financial Statements'!F$10</f>
        <v>0</v>
      </c>
      <c r="G7" s="25">
        <f>'Financial Statements'!G7/'Financial Statements'!G$10</f>
        <v>0</v>
      </c>
      <c r="H7" s="25">
        <f>'Financial Statements'!H7/'Financial Statements'!H$10</f>
        <v>0</v>
      </c>
      <c r="I7" s="25">
        <f>'Financial Statements'!I7/'Financial Statements'!I$10</f>
        <v>0</v>
      </c>
      <c r="J7" s="25">
        <f>'Financial Statements'!J7/'Financial Statements'!J$10</f>
        <v>0</v>
      </c>
      <c r="K7" s="25">
        <f>'Financial Statements'!K7/'Financial Statements'!K$10</f>
        <v>0</v>
      </c>
      <c r="L7" s="25">
        <f>'Financial Statements'!L7/'Financial Statements'!L$10</f>
        <v>0</v>
      </c>
      <c r="M7" s="25">
        <f>'Financial Statements'!M7/'Financial Statements'!M$10</f>
        <v>0</v>
      </c>
    </row>
    <row r="8" spans="1:21" ht="12.75" customHeight="1" x14ac:dyDescent="0.2">
      <c r="A8" s="1" t="s">
        <v>159</v>
      </c>
      <c r="B8" s="25">
        <f>'Financial Statements'!B8/'Financial Statements'!B$10</f>
        <v>0</v>
      </c>
      <c r="C8" s="25">
        <f>'Financial Statements'!C8/'Financial Statements'!C$10</f>
        <v>0</v>
      </c>
      <c r="D8" s="25">
        <f>'Financial Statements'!D8/'Financial Statements'!D$10</f>
        <v>0</v>
      </c>
      <c r="E8" s="25">
        <f>'Financial Statements'!E8/'Financial Statements'!E$10</f>
        <v>0</v>
      </c>
      <c r="F8" s="25">
        <f>'Financial Statements'!F8/'Financial Statements'!F$10</f>
        <v>0</v>
      </c>
      <c r="G8" s="25">
        <f>'Financial Statements'!G8/'Financial Statements'!G$10</f>
        <v>0</v>
      </c>
      <c r="H8" s="25">
        <f>'Financial Statements'!H8/'Financial Statements'!H$10</f>
        <v>0</v>
      </c>
      <c r="I8" s="25">
        <f>'Financial Statements'!I8/'Financial Statements'!I$10</f>
        <v>0</v>
      </c>
      <c r="J8" s="25">
        <f>'Financial Statements'!J8/'Financial Statements'!J$10</f>
        <v>0</v>
      </c>
      <c r="K8" s="25">
        <f>'Financial Statements'!K8/'Financial Statements'!K$10</f>
        <v>0</v>
      </c>
      <c r="L8" s="25">
        <f>'Financial Statements'!L8/'Financial Statements'!L$10</f>
        <v>0</v>
      </c>
      <c r="M8" s="25">
        <f>'Financial Statements'!M8/'Financial Statements'!M$10</f>
        <v>0</v>
      </c>
    </row>
    <row r="9" spans="1:21" ht="12.75" customHeight="1" x14ac:dyDescent="0.2">
      <c r="A9" s="1" t="s">
        <v>123</v>
      </c>
      <c r="B9" s="25">
        <f>'Financial Statements'!B9/'Financial Statements'!B$10</f>
        <v>0</v>
      </c>
      <c r="C9" s="25">
        <f>'Financial Statements'!C9/'Financial Statements'!C$10</f>
        <v>0</v>
      </c>
      <c r="D9" s="25">
        <f>'Financial Statements'!D9/'Financial Statements'!D$10</f>
        <v>0</v>
      </c>
      <c r="E9" s="25">
        <f>'Financial Statements'!E9/'Financial Statements'!E$10</f>
        <v>0</v>
      </c>
      <c r="F9" s="25">
        <f>'Financial Statements'!F9/'Financial Statements'!F$10</f>
        <v>0</v>
      </c>
      <c r="G9" s="25">
        <f>'Financial Statements'!G9/'Financial Statements'!G$10</f>
        <v>0</v>
      </c>
      <c r="H9" s="25">
        <f>'Financial Statements'!H9/'Financial Statements'!H$10</f>
        <v>0</v>
      </c>
      <c r="I9" s="25">
        <f>'Financial Statements'!I9/'Financial Statements'!I$10</f>
        <v>0</v>
      </c>
      <c r="J9" s="25">
        <f>'Financial Statements'!J9/'Financial Statements'!J$10</f>
        <v>0</v>
      </c>
      <c r="K9" s="25">
        <f>'Financial Statements'!K9/'Financial Statements'!K$10</f>
        <v>0</v>
      </c>
      <c r="L9" s="25">
        <f>'Financial Statements'!L9/'Financial Statements'!L$10</f>
        <v>0</v>
      </c>
      <c r="M9" s="25">
        <f>'Financial Statements'!M9/'Financial Statements'!M$10</f>
        <v>0</v>
      </c>
    </row>
    <row r="10" spans="1:21" ht="12.75" customHeight="1" x14ac:dyDescent="0.2">
      <c r="A10" s="5" t="s">
        <v>58</v>
      </c>
      <c r="B10" s="26">
        <f>'Financial Statements'!B10/'Financial Statements'!B$10</f>
        <v>1</v>
      </c>
      <c r="C10" s="26">
        <f>'Financial Statements'!C10/'Financial Statements'!C$10</f>
        <v>1</v>
      </c>
      <c r="D10" s="26">
        <f>'Financial Statements'!D10/'Financial Statements'!D$10</f>
        <v>1</v>
      </c>
      <c r="E10" s="26">
        <f>'Financial Statements'!E10/'Financial Statements'!E$10</f>
        <v>1</v>
      </c>
      <c r="F10" s="26">
        <f>'Financial Statements'!F10/'Financial Statements'!F$10</f>
        <v>1</v>
      </c>
      <c r="G10" s="26">
        <f>'Financial Statements'!G10/'Financial Statements'!G$10</f>
        <v>1</v>
      </c>
      <c r="H10" s="26">
        <f>'Financial Statements'!H10/'Financial Statements'!H$10</f>
        <v>1</v>
      </c>
      <c r="I10" s="26">
        <f>'Financial Statements'!I10/'Financial Statements'!I$10</f>
        <v>1</v>
      </c>
      <c r="J10" s="26">
        <f>'Financial Statements'!J10/'Financial Statements'!J$10</f>
        <v>1</v>
      </c>
      <c r="K10" s="26">
        <f>'Financial Statements'!K10/'Financial Statements'!K$10</f>
        <v>1</v>
      </c>
      <c r="L10" s="26">
        <f>'Financial Statements'!L10/'Financial Statements'!L$10</f>
        <v>1</v>
      </c>
      <c r="M10" s="26">
        <f>'Financial Statements'!M10/'Financial Statements'!M$10</f>
        <v>1</v>
      </c>
    </row>
    <row r="11" spans="1:21" ht="12.75" customHeight="1" x14ac:dyDescent="0.2">
      <c r="A11" s="1" t="s">
        <v>124</v>
      </c>
      <c r="B11" s="25">
        <f>'Financial Statements'!B11/'Financial Statements'!B$10</f>
        <v>0.35304552254755289</v>
      </c>
      <c r="C11" s="25">
        <f>'Financial Statements'!C11/'Financial Statements'!C$10</f>
        <v>0.35961120740724489</v>
      </c>
      <c r="D11" s="25">
        <f>'Financial Statements'!D11/'Financial Statements'!D$10</f>
        <v>0.35477524308539832</v>
      </c>
      <c r="E11" s="25">
        <f>'Financial Statements'!E11/'Financial Statements'!E$10</f>
        <v>0.34752627763682492</v>
      </c>
      <c r="F11" s="25">
        <f>'Financial Statements'!F11/'Financial Statements'!F$10</f>
        <v>0.34098042799361111</v>
      </c>
      <c r="G11" s="25">
        <f>'Financial Statements'!G11/'Financial Statements'!G$10</f>
        <v>0.32218998007202043</v>
      </c>
      <c r="H11" s="25">
        <f>'Financial Statements'!H11/'Financial Statements'!H$10</f>
        <v>0.31074199228975297</v>
      </c>
      <c r="I11" s="25">
        <f>'Financial Statements'!I11/'Financial Statements'!I$10</f>
        <v>0.31598325515710901</v>
      </c>
      <c r="J11" s="25">
        <f>'Financial Statements'!J11/'Financial Statements'!J$10</f>
        <v>0.31079914116508978</v>
      </c>
      <c r="K11" s="25">
        <f>'Financial Statements'!K11/'Financial Statements'!K$10</f>
        <v>0.30235556172028621</v>
      </c>
      <c r="L11" s="25">
        <f>'Financial Statements'!L11/'Financial Statements'!L$10</f>
        <v>0.31176257613834818</v>
      </c>
      <c r="M11" s="25">
        <f>'Financial Statements'!M11/'Financial Statements'!M$10</f>
        <v>0.31690718345571256</v>
      </c>
    </row>
    <row r="12" spans="1:21" ht="12.75" customHeight="1" x14ac:dyDescent="0.2">
      <c r="A12" s="1" t="s">
        <v>160</v>
      </c>
      <c r="B12" s="25">
        <f>'Financial Statements'!B12/'Financial Statements'!B$10</f>
        <v>0</v>
      </c>
      <c r="C12" s="25">
        <f>'Financial Statements'!C12/'Financial Statements'!C$10</f>
        <v>0</v>
      </c>
      <c r="D12" s="25">
        <f>'Financial Statements'!D12/'Financial Statements'!D$10</f>
        <v>0</v>
      </c>
      <c r="E12" s="25">
        <f>'Financial Statements'!E12/'Financial Statements'!E$10</f>
        <v>0</v>
      </c>
      <c r="F12" s="25">
        <f>'Financial Statements'!F12/'Financial Statements'!F$10</f>
        <v>0</v>
      </c>
      <c r="G12" s="25">
        <f>'Financial Statements'!G12/'Financial Statements'!G$10</f>
        <v>0</v>
      </c>
      <c r="H12" s="25">
        <f>'Financial Statements'!H12/'Financial Statements'!H$10</f>
        <v>0</v>
      </c>
      <c r="I12" s="25">
        <f>'Financial Statements'!I12/'Financial Statements'!I$10</f>
        <v>0</v>
      </c>
      <c r="J12" s="25">
        <f>'Financial Statements'!J12/'Financial Statements'!J$10</f>
        <v>0</v>
      </c>
      <c r="K12" s="25">
        <f>'Financial Statements'!K12/'Financial Statements'!K$10</f>
        <v>0</v>
      </c>
      <c r="L12" s="25">
        <f>'Financial Statements'!L12/'Financial Statements'!L$10</f>
        <v>0</v>
      </c>
      <c r="M12" s="25">
        <f>'Financial Statements'!M12/'Financial Statements'!M$10</f>
        <v>0</v>
      </c>
    </row>
    <row r="13" spans="1:21" ht="12.75" customHeight="1" x14ac:dyDescent="0.2">
      <c r="A13" s="1" t="s">
        <v>161</v>
      </c>
      <c r="B13" s="25">
        <f>'Financial Statements'!B13/'Financial Statements'!B$10</f>
        <v>0</v>
      </c>
      <c r="C13" s="25">
        <f>'Financial Statements'!C13/'Financial Statements'!C$10</f>
        <v>0</v>
      </c>
      <c r="D13" s="25">
        <f>'Financial Statements'!D13/'Financial Statements'!D$10</f>
        <v>0</v>
      </c>
      <c r="E13" s="25">
        <f>'Financial Statements'!E13/'Financial Statements'!E$10</f>
        <v>0</v>
      </c>
      <c r="F13" s="25">
        <f>'Financial Statements'!F13/'Financial Statements'!F$10</f>
        <v>0</v>
      </c>
      <c r="G13" s="25">
        <f>'Financial Statements'!G13/'Financial Statements'!G$10</f>
        <v>0</v>
      </c>
      <c r="H13" s="25">
        <f>'Financial Statements'!H13/'Financial Statements'!H$10</f>
        <v>0</v>
      </c>
      <c r="I13" s="25">
        <f>'Financial Statements'!I13/'Financial Statements'!I$10</f>
        <v>0</v>
      </c>
      <c r="J13" s="25">
        <f>'Financial Statements'!J13/'Financial Statements'!J$10</f>
        <v>0</v>
      </c>
      <c r="K13" s="25">
        <f>'Financial Statements'!K13/'Financial Statements'!K$10</f>
        <v>0</v>
      </c>
      <c r="L13" s="25">
        <f>'Financial Statements'!L13/'Financial Statements'!L$10</f>
        <v>0</v>
      </c>
      <c r="M13" s="25">
        <f>'Financial Statements'!M13/'Financial Statements'!M$10</f>
        <v>0</v>
      </c>
    </row>
    <row r="14" spans="1:21" ht="12.75" customHeight="1" x14ac:dyDescent="0.2">
      <c r="A14" s="1" t="s">
        <v>162</v>
      </c>
      <c r="B14" s="25">
        <f>'Financial Statements'!B14/'Financial Statements'!B$10</f>
        <v>0</v>
      </c>
      <c r="C14" s="25">
        <f>'Financial Statements'!C14/'Financial Statements'!C$10</f>
        <v>0</v>
      </c>
      <c r="D14" s="25">
        <f>'Financial Statements'!D14/'Financial Statements'!D$10</f>
        <v>0</v>
      </c>
      <c r="E14" s="25">
        <f>'Financial Statements'!E14/'Financial Statements'!E$10</f>
        <v>0</v>
      </c>
      <c r="F14" s="25">
        <f>'Financial Statements'!F14/'Financial Statements'!F$10</f>
        <v>0</v>
      </c>
      <c r="G14" s="25">
        <f>'Financial Statements'!G14/'Financial Statements'!G$10</f>
        <v>0</v>
      </c>
      <c r="H14" s="25">
        <f>'Financial Statements'!H14/'Financial Statements'!H$10</f>
        <v>0</v>
      </c>
      <c r="I14" s="25">
        <f>'Financial Statements'!I14/'Financial Statements'!I$10</f>
        <v>0</v>
      </c>
      <c r="J14" s="25">
        <f>'Financial Statements'!J14/'Financial Statements'!J$10</f>
        <v>0</v>
      </c>
      <c r="K14" s="25">
        <f>'Financial Statements'!K14/'Financial Statements'!K$10</f>
        <v>0</v>
      </c>
      <c r="L14" s="25">
        <f>'Financial Statements'!L14/'Financial Statements'!L$10</f>
        <v>0</v>
      </c>
      <c r="M14" s="25">
        <f>'Financial Statements'!M14/'Financial Statements'!M$10</f>
        <v>0</v>
      </c>
    </row>
    <row r="15" spans="1:21" ht="12.75" customHeight="1" x14ac:dyDescent="0.2">
      <c r="A15" s="5" t="s">
        <v>53</v>
      </c>
      <c r="B15" s="26">
        <f>'Financial Statements'!B15/'Financial Statements'!B$10</f>
        <v>0.64695447745244705</v>
      </c>
      <c r="C15" s="26">
        <f>'Financial Statements'!C15/'Financial Statements'!C$10</f>
        <v>0.64038879259275516</v>
      </c>
      <c r="D15" s="26">
        <f>'Financial Statements'!D15/'Financial Statements'!D$10</f>
        <v>0.64522475691460168</v>
      </c>
      <c r="E15" s="26">
        <f>'Financial Statements'!E15/'Financial Statements'!E$10</f>
        <v>0.65247372236317502</v>
      </c>
      <c r="F15" s="26">
        <f>'Financial Statements'!F15/'Financial Statements'!F$10</f>
        <v>0.65901957200638894</v>
      </c>
      <c r="G15" s="26">
        <f>'Financial Statements'!G15/'Financial Statements'!G$10</f>
        <v>0.67781001992797962</v>
      </c>
      <c r="H15" s="26">
        <f>'Financial Statements'!H15/'Financial Statements'!H$10</f>
        <v>0.68925800771024703</v>
      </c>
      <c r="I15" s="26">
        <f>'Financial Statements'!I15/'Financial Statements'!I$10</f>
        <v>0.68401674484289099</v>
      </c>
      <c r="J15" s="26">
        <f>'Financial Statements'!J15/'Financial Statements'!J$10</f>
        <v>0.68920085883491022</v>
      </c>
      <c r="K15" s="26">
        <f>'Financial Statements'!K15/'Financial Statements'!K$10</f>
        <v>0.69764443827971379</v>
      </c>
      <c r="L15" s="26">
        <f>'Financial Statements'!L15/'Financial Statements'!L$10</f>
        <v>0.68823742386165188</v>
      </c>
      <c r="M15" s="26">
        <f>'Financial Statements'!M15/'Financial Statements'!M$10</f>
        <v>0.68309281654428744</v>
      </c>
    </row>
    <row r="16" spans="1:21" ht="12.75" customHeight="1" x14ac:dyDescent="0.2">
      <c r="A16" s="1" t="s">
        <v>125</v>
      </c>
      <c r="B16" s="25">
        <f>'Financial Statements'!B16/'Financial Statements'!B$10</f>
        <v>0.21718315879461422</v>
      </c>
      <c r="C16" s="25">
        <f>'Financial Statements'!C16/'Financial Statements'!C$10</f>
        <v>0.21061061500318143</v>
      </c>
      <c r="D16" s="25">
        <f>'Financial Statements'!D16/'Financial Statements'!D$10</f>
        <v>0.2065009164241853</v>
      </c>
      <c r="E16" s="25">
        <f>'Financial Statements'!E16/'Financial Statements'!E$10</f>
        <v>0.20136824936571221</v>
      </c>
      <c r="F16" s="25">
        <f>'Financial Statements'!F16/'Financial Statements'!F$10</f>
        <v>0.18354616466549589</v>
      </c>
      <c r="G16" s="25">
        <f>'Financial Statements'!G16/'Financial Statements'!G$10</f>
        <v>0.17277208684403733</v>
      </c>
      <c r="H16" s="25">
        <f>'Financial Statements'!H16/'Financial Statements'!H$10</f>
        <v>0.15006425205844556</v>
      </c>
      <c r="I16" s="25">
        <f>'Financial Statements'!I16/'Financial Statements'!I$10</f>
        <v>0.13983456902204064</v>
      </c>
      <c r="J16" s="25">
        <f>'Financial Statements'!J16/'Financial Statements'!J$10</f>
        <v>0.14314229761932851</v>
      </c>
      <c r="K16" s="25">
        <f>'Financial Statements'!K16/'Financial Statements'!K$10</f>
        <v>0.13081241177862452</v>
      </c>
      <c r="L16" s="25">
        <f>'Financial Statements'!L16/'Financial Statements'!L$10</f>
        <v>0.11669932274140649</v>
      </c>
      <c r="M16" s="25">
        <f>'Financial Statements'!M16/'Financial Statements'!M$10</f>
        <v>0.10701190487411751</v>
      </c>
    </row>
    <row r="17" spans="1:13" ht="12.75" customHeight="1" x14ac:dyDescent="0.2">
      <c r="A17" s="1" t="s">
        <v>209</v>
      </c>
      <c r="B17" s="25">
        <f>'Financial Statements'!B17/'Financial Statements'!B$10</f>
        <v>0</v>
      </c>
      <c r="C17" s="25">
        <f>'Financial Statements'!C17/'Financial Statements'!C$10</f>
        <v>0</v>
      </c>
      <c r="D17" s="25">
        <f>'Financial Statements'!D17/'Financial Statements'!D$10</f>
        <v>0</v>
      </c>
      <c r="E17" s="25">
        <f>'Financial Statements'!E17/'Financial Statements'!E$10</f>
        <v>0</v>
      </c>
      <c r="F17" s="25">
        <f>'Financial Statements'!F17/'Financial Statements'!F$10</f>
        <v>0</v>
      </c>
      <c r="G17" s="25">
        <f>'Financial Statements'!G17/'Financial Statements'!G$10</f>
        <v>0</v>
      </c>
      <c r="H17" s="25">
        <f>'Financial Statements'!H17/'Financial Statements'!H$10</f>
        <v>0</v>
      </c>
      <c r="I17" s="25">
        <f>'Financial Statements'!I17/'Financial Statements'!I$10</f>
        <v>0</v>
      </c>
      <c r="J17" s="25">
        <f>'Financial Statements'!J17/'Financial Statements'!J$10</f>
        <v>0</v>
      </c>
      <c r="K17" s="25">
        <f>'Financial Statements'!K17/'Financial Statements'!K$10</f>
        <v>0</v>
      </c>
      <c r="L17" s="25">
        <f>'Financial Statements'!L17/'Financial Statements'!L$10</f>
        <v>0</v>
      </c>
      <c r="M17" s="25">
        <f>'Financial Statements'!M17/'Financial Statements'!M$10</f>
        <v>0</v>
      </c>
    </row>
    <row r="18" spans="1:13" ht="12.75" customHeight="1" x14ac:dyDescent="0.2">
      <c r="A18" s="1" t="s">
        <v>210</v>
      </c>
      <c r="B18" s="25">
        <f>'Financial Statements'!B18/'Financial Statements'!B$10</f>
        <v>0</v>
      </c>
      <c r="C18" s="25">
        <f>'Financial Statements'!C18/'Financial Statements'!C$10</f>
        <v>0</v>
      </c>
      <c r="D18" s="25">
        <f>'Financial Statements'!D18/'Financial Statements'!D$10</f>
        <v>0</v>
      </c>
      <c r="E18" s="25">
        <f>'Financial Statements'!E18/'Financial Statements'!E$10</f>
        <v>0</v>
      </c>
      <c r="F18" s="25">
        <f>'Financial Statements'!F18/'Financial Statements'!F$10</f>
        <v>0</v>
      </c>
      <c r="G18" s="25">
        <f>'Financial Statements'!G18/'Financial Statements'!G$10</f>
        <v>0</v>
      </c>
      <c r="H18" s="25">
        <f>'Financial Statements'!H18/'Financial Statements'!H$10</f>
        <v>0</v>
      </c>
      <c r="I18" s="25">
        <f>'Financial Statements'!I18/'Financial Statements'!I$10</f>
        <v>0</v>
      </c>
      <c r="J18" s="25">
        <f>'Financial Statements'!J18/'Financial Statements'!J$10</f>
        <v>0</v>
      </c>
      <c r="K18" s="25">
        <f>'Financial Statements'!K18/'Financial Statements'!K$10</f>
        <v>0</v>
      </c>
      <c r="L18" s="25">
        <f>'Financial Statements'!L18/'Financial Statements'!L$10</f>
        <v>0</v>
      </c>
      <c r="M18" s="25">
        <f>'Financial Statements'!M18/'Financial Statements'!M$10</f>
        <v>0</v>
      </c>
    </row>
    <row r="19" spans="1:13" ht="12.75" customHeight="1" x14ac:dyDescent="0.2">
      <c r="A19" s="1" t="s">
        <v>203</v>
      </c>
      <c r="B19" s="25">
        <f>'Financial Statements'!B19/'Financial Statements'!B$10</f>
        <v>0</v>
      </c>
      <c r="C19" s="25">
        <f>'Financial Statements'!C19/'Financial Statements'!C$10</f>
        <v>0</v>
      </c>
      <c r="D19" s="25">
        <f>'Financial Statements'!D19/'Financial Statements'!D$10</f>
        <v>0</v>
      </c>
      <c r="E19" s="25">
        <f>'Financial Statements'!E19/'Financial Statements'!E$10</f>
        <v>0</v>
      </c>
      <c r="F19" s="25">
        <f>'Financial Statements'!F19/'Financial Statements'!F$10</f>
        <v>0</v>
      </c>
      <c r="G19" s="25">
        <f>'Financial Statements'!G19/'Financial Statements'!G$10</f>
        <v>0</v>
      </c>
      <c r="H19" s="25">
        <f>'Financial Statements'!H19/'Financial Statements'!H$10</f>
        <v>0</v>
      </c>
      <c r="I19" s="25">
        <f>'Financial Statements'!I19/'Financial Statements'!I$10</f>
        <v>0</v>
      </c>
      <c r="J19" s="25">
        <f>'Financial Statements'!J19/'Financial Statements'!J$10</f>
        <v>0</v>
      </c>
      <c r="K19" s="25">
        <f>'Financial Statements'!K19/'Financial Statements'!K$10</f>
        <v>0</v>
      </c>
      <c r="L19" s="25">
        <f>'Financial Statements'!L19/'Financial Statements'!L$10</f>
        <v>0</v>
      </c>
      <c r="M19" s="25">
        <f>'Financial Statements'!M19/'Financial Statements'!M$10</f>
        <v>0</v>
      </c>
    </row>
    <row r="20" spans="1:13" ht="12.75" customHeight="1" x14ac:dyDescent="0.2">
      <c r="A20" s="1" t="s">
        <v>211</v>
      </c>
      <c r="B20" s="25">
        <f>'Financial Statements'!B20/'Financial Statements'!B$10</f>
        <v>0</v>
      </c>
      <c r="C20" s="25">
        <f>'Financial Statements'!C20/'Financial Statements'!C$10</f>
        <v>0</v>
      </c>
      <c r="D20" s="25">
        <f>'Financial Statements'!D20/'Financial Statements'!D$10</f>
        <v>0</v>
      </c>
      <c r="E20" s="25">
        <f>'Financial Statements'!E20/'Financial Statements'!E$10</f>
        <v>0</v>
      </c>
      <c r="F20" s="25">
        <f>'Financial Statements'!F20/'Financial Statements'!F$10</f>
        <v>0</v>
      </c>
      <c r="G20" s="25">
        <f>'Financial Statements'!G20/'Financial Statements'!G$10</f>
        <v>0</v>
      </c>
      <c r="H20" s="25">
        <f>'Financial Statements'!H20/'Financial Statements'!H$10</f>
        <v>0</v>
      </c>
      <c r="I20" s="25">
        <f>'Financial Statements'!I20/'Financial Statements'!I$10</f>
        <v>0</v>
      </c>
      <c r="J20" s="25">
        <f>'Financial Statements'!J20/'Financial Statements'!J$10</f>
        <v>0</v>
      </c>
      <c r="K20" s="25">
        <f>'Financial Statements'!K20/'Financial Statements'!K$10</f>
        <v>0</v>
      </c>
      <c r="L20" s="25">
        <f>'Financial Statements'!L20/'Financial Statements'!L$10</f>
        <v>0</v>
      </c>
      <c r="M20" s="25">
        <f>'Financial Statements'!M20/'Financial Statements'!M$10</f>
        <v>0</v>
      </c>
    </row>
    <row r="21" spans="1:13" ht="12.75" customHeight="1" x14ac:dyDescent="0.2">
      <c r="A21" s="1" t="s">
        <v>59</v>
      </c>
      <c r="B21" s="25">
        <f>'Financial Statements'!B21/'Financial Statements'!B$10</f>
        <v>0.12872408634323573</v>
      </c>
      <c r="C21" s="25">
        <f>'Financial Statements'!C21/'Financial Statements'!C$10</f>
        <v>0.13151370208657875</v>
      </c>
      <c r="D21" s="25">
        <f>'Financial Statements'!D21/'Financial Statements'!D$10</f>
        <v>0.13499911981857907</v>
      </c>
      <c r="E21" s="25">
        <f>'Financial Statements'!E21/'Financial Statements'!E$10</f>
        <v>0.13343602754621239</v>
      </c>
      <c r="F21" s="25">
        <f>'Financial Statements'!F21/'Financial Statements'!F$10</f>
        <v>0.13410360528595155</v>
      </c>
      <c r="G21" s="25">
        <f>'Financial Statements'!G21/'Financial Statements'!G$10</f>
        <v>0.1347341187987274</v>
      </c>
      <c r="H21" s="25">
        <f>'Financial Statements'!H21/'Financial Statements'!H$10</f>
        <v>0.12324496692208843</v>
      </c>
      <c r="I21" s="25">
        <f>'Financial Statements'!I21/'Financial Statements'!I$10</f>
        <v>0.12362939426035205</v>
      </c>
      <c r="J21" s="25">
        <f>'Financial Statements'!J21/'Financial Statements'!J$10</f>
        <v>0.12832975485454073</v>
      </c>
      <c r="K21" s="25">
        <f>'Financial Statements'!K21/'Financial Statements'!K$10</f>
        <v>0.12038903076835208</v>
      </c>
      <c r="L21" s="25">
        <f>'Financial Statements'!L21/'Financial Statements'!L$10</f>
        <v>0.11531853871164686</v>
      </c>
      <c r="M21" s="25">
        <f>'Financial Statements'!M21/'Financial Statements'!M$10</f>
        <v>0.10806446038463835</v>
      </c>
    </row>
    <row r="22" spans="1:13" ht="12.75" customHeight="1" x14ac:dyDescent="0.2">
      <c r="A22" s="1" t="s">
        <v>126</v>
      </c>
      <c r="B22" s="25">
        <f>'Financial Statements'!B22/'Financial Statements'!B$10</f>
        <v>0</v>
      </c>
      <c r="C22" s="25">
        <f>'Financial Statements'!C22/'Financial Statements'!C$10</f>
        <v>0</v>
      </c>
      <c r="D22" s="25">
        <f>'Financial Statements'!D22/'Financial Statements'!D$10</f>
        <v>0</v>
      </c>
      <c r="E22" s="25">
        <f>'Financial Statements'!E22/'Financial Statements'!E$10</f>
        <v>0</v>
      </c>
      <c r="F22" s="25">
        <f>'Financial Statements'!F22/'Financial Statements'!F$10</f>
        <v>0</v>
      </c>
      <c r="G22" s="25">
        <f>'Financial Statements'!G22/'Financial Statements'!G$10</f>
        <v>0</v>
      </c>
      <c r="H22" s="25">
        <f>'Financial Statements'!H22/'Financial Statements'!H$10</f>
        <v>0</v>
      </c>
      <c r="I22" s="25">
        <f>'Financial Statements'!I22/'Financial Statements'!I$10</f>
        <v>0</v>
      </c>
      <c r="J22" s="25">
        <f>'Financial Statements'!J22/'Financial Statements'!J$10</f>
        <v>0</v>
      </c>
      <c r="K22" s="25">
        <f>'Financial Statements'!K22/'Financial Statements'!K$10</f>
        <v>0</v>
      </c>
      <c r="L22" s="25">
        <f>'Financial Statements'!L22/'Financial Statements'!L$10</f>
        <v>0</v>
      </c>
      <c r="M22" s="25">
        <f>'Financial Statements'!M22/'Financial Statements'!M$10</f>
        <v>0</v>
      </c>
    </row>
    <row r="23" spans="1:13" ht="12.75" customHeight="1" x14ac:dyDescent="0.2">
      <c r="A23" s="1" t="s">
        <v>141</v>
      </c>
      <c r="B23" s="25">
        <f>'Financial Statements'!B23/'Financial Statements'!B$10</f>
        <v>0</v>
      </c>
      <c r="C23" s="25">
        <f>'Financial Statements'!C23/'Financial Statements'!C$10</f>
        <v>0</v>
      </c>
      <c r="D23" s="25">
        <f>'Financial Statements'!D23/'Financial Statements'!D$10</f>
        <v>0</v>
      </c>
      <c r="E23" s="25">
        <f>'Financial Statements'!E23/'Financial Statements'!E$10</f>
        <v>0</v>
      </c>
      <c r="F23" s="25">
        <f>'Financial Statements'!F23/'Financial Statements'!F$10</f>
        <v>0</v>
      </c>
      <c r="G23" s="25">
        <f>'Financial Statements'!G23/'Financial Statements'!G$10</f>
        <v>0</v>
      </c>
      <c r="H23" s="25">
        <f>'Financial Statements'!H23/'Financial Statements'!H$10</f>
        <v>0</v>
      </c>
      <c r="I23" s="25">
        <f>'Financial Statements'!I23/'Financial Statements'!I$10</f>
        <v>0</v>
      </c>
      <c r="J23" s="25">
        <f>'Financial Statements'!J23/'Financial Statements'!J$10</f>
        <v>0</v>
      </c>
      <c r="K23" s="25">
        <f>'Financial Statements'!K23/'Financial Statements'!K$10</f>
        <v>0</v>
      </c>
      <c r="L23" s="25">
        <f>'Financial Statements'!L23/'Financial Statements'!L$10</f>
        <v>0</v>
      </c>
      <c r="M23" s="25">
        <f>'Financial Statements'!M23/'Financial Statements'!M$10</f>
        <v>0</v>
      </c>
    </row>
    <row r="24" spans="1:13" ht="12.75" customHeight="1" x14ac:dyDescent="0.2">
      <c r="A24" s="1" t="s">
        <v>197</v>
      </c>
      <c r="B24" s="25">
        <f>'Financial Statements'!B24/'Financial Statements'!B$10</f>
        <v>0</v>
      </c>
      <c r="C24" s="25">
        <f>'Financial Statements'!C24/'Financial Statements'!C$10</f>
        <v>0</v>
      </c>
      <c r="D24" s="25">
        <f>'Financial Statements'!D24/'Financial Statements'!D$10</f>
        <v>0</v>
      </c>
      <c r="E24" s="25">
        <f>'Financial Statements'!E24/'Financial Statements'!E$10</f>
        <v>0</v>
      </c>
      <c r="F24" s="25">
        <f>'Financial Statements'!F24/'Financial Statements'!F$10</f>
        <v>0</v>
      </c>
      <c r="G24" s="25">
        <f>'Financial Statements'!G24/'Financial Statements'!G$10</f>
        <v>0</v>
      </c>
      <c r="H24" s="25">
        <f>'Financial Statements'!H24/'Financial Statements'!H$10</f>
        <v>0</v>
      </c>
      <c r="I24" s="25">
        <f>'Financial Statements'!I24/'Financial Statements'!I$10</f>
        <v>0</v>
      </c>
      <c r="J24" s="25">
        <f>'Financial Statements'!J24/'Financial Statements'!J$10</f>
        <v>0</v>
      </c>
      <c r="K24" s="25">
        <f>'Financial Statements'!K24/'Financial Statements'!K$10</f>
        <v>0</v>
      </c>
      <c r="L24" s="25">
        <f>'Financial Statements'!L24/'Financial Statements'!L$10</f>
        <v>0</v>
      </c>
      <c r="M24" s="25">
        <f>'Financial Statements'!M24/'Financial Statements'!M$10</f>
        <v>0</v>
      </c>
    </row>
    <row r="25" spans="1:13" ht="12.75" customHeight="1" x14ac:dyDescent="0.2">
      <c r="A25" s="1" t="s">
        <v>61</v>
      </c>
      <c r="B25" s="27">
        <f>'Financial Statements'!B25/'Financial Statements'!B$10</f>
        <v>0</v>
      </c>
      <c r="C25" s="27">
        <f>'Financial Statements'!C25/'Financial Statements'!C$10</f>
        <v>0</v>
      </c>
      <c r="D25" s="27">
        <f>'Financial Statements'!D25/'Financial Statements'!D$10</f>
        <v>0</v>
      </c>
      <c r="E25" s="27">
        <f>'Financial Statements'!E25/'Financial Statements'!E$10</f>
        <v>0</v>
      </c>
      <c r="F25" s="27">
        <f>'Financial Statements'!F25/'Financial Statements'!F$10</f>
        <v>0</v>
      </c>
      <c r="G25" s="27">
        <f>'Financial Statements'!G25/'Financial Statements'!G$10</f>
        <v>0</v>
      </c>
      <c r="H25" s="27">
        <f>'Financial Statements'!H25/'Financial Statements'!H$10</f>
        <v>0</v>
      </c>
      <c r="I25" s="27">
        <f>'Financial Statements'!I25/'Financial Statements'!I$10</f>
        <v>0</v>
      </c>
      <c r="J25" s="27">
        <f>'Financial Statements'!J25/'Financial Statements'!J$10</f>
        <v>0</v>
      </c>
      <c r="K25" s="27">
        <f>'Financial Statements'!K25/'Financial Statements'!K$10</f>
        <v>0</v>
      </c>
      <c r="L25" s="27">
        <f>'Financial Statements'!L25/'Financial Statements'!L$10</f>
        <v>0</v>
      </c>
      <c r="M25" s="27">
        <f>'Financial Statements'!M25/'Financial Statements'!M$10</f>
        <v>0</v>
      </c>
    </row>
    <row r="26" spans="1:13" ht="12.75" customHeight="1" x14ac:dyDescent="0.2">
      <c r="A26" s="5" t="s">
        <v>62</v>
      </c>
      <c r="B26" s="28">
        <f>'Financial Statements'!B26/'Financial Statements'!B$10</f>
        <v>0.34590724513784998</v>
      </c>
      <c r="C26" s="28">
        <f>'Financial Statements'!C26/'Financial Statements'!C$10</f>
        <v>0.34212431708976021</v>
      </c>
      <c r="D26" s="28">
        <f>'Financial Statements'!D26/'Financial Statements'!D$10</f>
        <v>0.34150003624276437</v>
      </c>
      <c r="E26" s="28">
        <f>'Financial Statements'!E26/'Financial Statements'!E$10</f>
        <v>0.3348042769119246</v>
      </c>
      <c r="F26" s="28">
        <f>'Financial Statements'!F26/'Financial Statements'!F$10</f>
        <v>0.31764976995144745</v>
      </c>
      <c r="G26" s="28">
        <f>'Financial Statements'!G26/'Financial Statements'!G$10</f>
        <v>0.30750620564276476</v>
      </c>
      <c r="H26" s="28">
        <f>'Financial Statements'!H26/'Financial Statements'!H$10</f>
        <v>0.27330921898053401</v>
      </c>
      <c r="I26" s="28">
        <f>'Financial Statements'!I26/'Financial Statements'!I$10</f>
        <v>0.26346396328239269</v>
      </c>
      <c r="J26" s="28">
        <f>'Financial Statements'!J26/'Financial Statements'!J$10</f>
        <v>0.27147205247386924</v>
      </c>
      <c r="K26" s="28">
        <f>'Financial Statements'!K26/'Financial Statements'!K$10</f>
        <v>0.25120144254697663</v>
      </c>
      <c r="L26" s="28">
        <f>'Financial Statements'!L26/'Financial Statements'!L$10</f>
        <v>0.23201786145305334</v>
      </c>
      <c r="M26" s="28">
        <f>'Financial Statements'!M26/'Financial Statements'!M$10</f>
        <v>0.21507636525875584</v>
      </c>
    </row>
    <row r="27" spans="1:13" ht="12.75" customHeight="1" thickBot="1" x14ac:dyDescent="0.25">
      <c r="A27" s="5" t="s">
        <v>63</v>
      </c>
      <c r="B27" s="29">
        <f>'Financial Statements'!B27/'Financial Statements'!B$10</f>
        <v>0.30104723231459712</v>
      </c>
      <c r="C27" s="29">
        <f>'Financial Statements'!C27/'Financial Statements'!C$10</f>
        <v>0.29826447550299495</v>
      </c>
      <c r="D27" s="29">
        <f>'Financial Statements'!D27/'Financial Statements'!D$10</f>
        <v>0.30372472067183731</v>
      </c>
      <c r="E27" s="29">
        <f>'Financial Statements'!E27/'Financial Statements'!E$10</f>
        <v>0.31766944545125048</v>
      </c>
      <c r="F27" s="29">
        <f>'Financial Statements'!F27/'Financial Statements'!F$10</f>
        <v>0.3413698020549415</v>
      </c>
      <c r="G27" s="29">
        <f>'Financial Statements'!G27/'Financial Statements'!G$10</f>
        <v>0.37030381428521486</v>
      </c>
      <c r="H27" s="29">
        <f>'Financial Statements'!H27/'Financial Statements'!H$10</f>
        <v>0.41594878872971303</v>
      </c>
      <c r="I27" s="29">
        <f>'Financial Statements'!I27/'Financial Statements'!I$10</f>
        <v>0.4205527815604983</v>
      </c>
      <c r="J27" s="29">
        <f>'Financial Statements'!J27/'Financial Statements'!J$10</f>
        <v>0.41772880636104098</v>
      </c>
      <c r="K27" s="29">
        <f>'Financial Statements'!K27/'Financial Statements'!K$10</f>
        <v>0.44644299573273716</v>
      </c>
      <c r="L27" s="29">
        <f>'Financial Statements'!L27/'Financial Statements'!L$10</f>
        <v>0.45621956240859851</v>
      </c>
      <c r="M27" s="29">
        <f>'Financial Statements'!M27/'Financial Statements'!M$10</f>
        <v>0.4680164512855316</v>
      </c>
    </row>
    <row r="28" spans="1:13" ht="12.75" customHeight="1" thickTop="1" x14ac:dyDescent="0.2">
      <c r="A28" s="1" t="s">
        <v>52</v>
      </c>
      <c r="B28" s="25">
        <f>'Financial Statements'!B28/'Financial Statements'!B$10</f>
        <v>-8.345800384697585E-3</v>
      </c>
      <c r="C28" s="25">
        <f>'Financial Statements'!C28/'Financial Statements'!C$10</f>
        <v>-1.3636263905039823E-2</v>
      </c>
      <c r="D28" s="25">
        <f>'Financial Statements'!D28/'Financial Statements'!D$10</f>
        <v>-2.3008977850493419E-2</v>
      </c>
      <c r="E28" s="25">
        <f>'Financial Statements'!E28/'Financial Statements'!E$10</f>
        <v>-2.4764407393983327E-2</v>
      </c>
      <c r="F28" s="25">
        <f>'Financial Statements'!F28/'Financial Statements'!F$10</f>
        <v>-2.1344055688437179E-2</v>
      </c>
      <c r="G28" s="25">
        <f>'Financial Statements'!G28/'Financial Statements'!G$10</f>
        <v>-1.8116980736286405E-2</v>
      </c>
      <c r="H28" s="25">
        <f>'Financial Statements'!H28/'Financial Statements'!H$10</f>
        <v>-1.3861786683165961E-2</v>
      </c>
      <c r="I28" s="25">
        <f>'Financial Statements'!I28/'Financial Statements'!I$10</f>
        <v>-1.0324305240328844E-2</v>
      </c>
      <c r="J28" s="25">
        <f>'Financial Statements'!J28/'Financial Statements'!J$10</f>
        <v>-9.4141519005261545E-3</v>
      </c>
      <c r="K28" s="25">
        <f>'Financial Statements'!K28/'Financial Statements'!K$10</f>
        <v>-1.216945031453725E-2</v>
      </c>
      <c r="L28" s="25">
        <f>'Financial Statements'!L28/'Financial Statements'!L$10</f>
        <v>-8.6077153526146165E-3</v>
      </c>
      <c r="M28" s="25">
        <f>'Financial Statements'!M28/'Financial Statements'!M$10</f>
        <v>-8.9828543420271273E-3</v>
      </c>
    </row>
    <row r="29" spans="1:13" ht="12.75" customHeight="1" x14ac:dyDescent="0.2">
      <c r="A29" s="1" t="s">
        <v>64</v>
      </c>
      <c r="B29" s="25">
        <f>'Financial Statements'!B29/'Financial Statements'!B$10</f>
        <v>8.1855097243000649E-3</v>
      </c>
      <c r="C29" s="25">
        <f>'Financial Statements'!C29/'Financial Statements'!C$10</f>
        <v>9.9063123944094604E-3</v>
      </c>
      <c r="D29" s="25">
        <f>'Financial Statements'!D29/'Financial Statements'!D$10</f>
        <v>1.4362489774362905E-2</v>
      </c>
      <c r="E29" s="25">
        <f>'Financial Statements'!E29/'Financial Statements'!E$10</f>
        <v>2.0061616527727439E-2</v>
      </c>
      <c r="F29" s="25">
        <f>'Financial Statements'!F29/'Financial Statements'!F$10</f>
        <v>2.1947982803970027E-2</v>
      </c>
      <c r="G29" s="25">
        <f>'Financial Statements'!G29/'Financial Statements'!G$10</f>
        <v>1.8739293081145334E-2</v>
      </c>
      <c r="H29" s="25">
        <f>'Financial Statements'!H29/'Financial Statements'!H$10</f>
        <v>1.2677883013659512E-2</v>
      </c>
      <c r="I29" s="25">
        <f>'Financial Statements'!I29/'Financial Statements'!I$10</f>
        <v>1.0561355727038887E-2</v>
      </c>
      <c r="J29" s="25">
        <f>'Financial Statements'!J29/'Financial Statements'!J$10</f>
        <v>1.4128306160488876E-2</v>
      </c>
      <c r="K29" s="25">
        <f>'Financial Statements'!K29/'Financial Statements'!K$10</f>
        <v>1.2879300919542105E-2</v>
      </c>
      <c r="L29" s="25">
        <f>'Financial Statements'!L29/'Financial Statements'!L$10</f>
        <v>9.3957206343797482E-3</v>
      </c>
      <c r="M29" s="25">
        <f>'Financial Statements'!M29/'Financial Statements'!M$10</f>
        <v>1.0415586619034602E-2</v>
      </c>
    </row>
    <row r="30" spans="1:13" ht="12.75" customHeight="1" x14ac:dyDescent="0.2">
      <c r="A30" s="5" t="s">
        <v>65</v>
      </c>
      <c r="B30" s="26">
        <f>'Financial Statements'!B30/'Financial Statements'!B$10</f>
        <v>-1.6029066039752085E-4</v>
      </c>
      <c r="C30" s="26">
        <f>'Financial Statements'!C30/'Financial Statements'!C$10</f>
        <v>-3.7299515106303618E-3</v>
      </c>
      <c r="D30" s="26">
        <f>'Financial Statements'!D30/'Financial Statements'!D$10</f>
        <v>-8.6464880761305159E-3</v>
      </c>
      <c r="E30" s="26">
        <f>'Financial Statements'!E30/'Financial Statements'!E$10</f>
        <v>-4.70279086625589E-3</v>
      </c>
      <c r="F30" s="26">
        <f>'Financial Statements'!F30/'Financial Statements'!F$10</f>
        <v>6.0392711553284651E-4</v>
      </c>
      <c r="G30" s="26">
        <f>'Financial Statements'!G30/'Financial Statements'!G$10</f>
        <v>6.2231234485893088E-4</v>
      </c>
      <c r="H30" s="26">
        <f>'Financial Statements'!H30/'Financial Statements'!H$10</f>
        <v>-1.183903669506449E-3</v>
      </c>
      <c r="I30" s="26">
        <f>'Financial Statements'!I30/'Financial Statements'!I$10</f>
        <v>2.3705048671004186E-4</v>
      </c>
      <c r="J30" s="26">
        <f>'Financial Statements'!J30/'Financial Statements'!J$10</f>
        <v>4.7141542599627205E-3</v>
      </c>
      <c r="K30" s="26">
        <f>'Financial Statements'!K30/'Financial Statements'!K$10</f>
        <v>7.0985060500485474E-4</v>
      </c>
      <c r="L30" s="26">
        <f>'Financial Statements'!L30/'Financial Statements'!L$10</f>
        <v>7.8800528176513189E-4</v>
      </c>
      <c r="M30" s="26">
        <f>'Financial Statements'!M30/'Financial Statements'!M$10</f>
        <v>1.4327322770074746E-3</v>
      </c>
    </row>
    <row r="31" spans="1:13" ht="12.75" customHeight="1" x14ac:dyDescent="0.2">
      <c r="A31" s="1" t="s">
        <v>163</v>
      </c>
      <c r="B31" s="25">
        <f>'Financial Statements'!B31/'Financial Statements'!B$10</f>
        <v>0</v>
      </c>
      <c r="C31" s="25">
        <f>'Financial Statements'!C31/'Financial Statements'!C$10</f>
        <v>0</v>
      </c>
      <c r="D31" s="25">
        <f>'Financial Statements'!D31/'Financial Statements'!D$10</f>
        <v>0</v>
      </c>
      <c r="E31" s="25">
        <f>'Financial Statements'!E31/'Financial Statements'!E$10</f>
        <v>0</v>
      </c>
      <c r="F31" s="25">
        <f>'Financial Statements'!F31/'Financial Statements'!F$10</f>
        <v>0</v>
      </c>
      <c r="G31" s="25">
        <f>'Financial Statements'!G31/'Financial Statements'!G$10</f>
        <v>0</v>
      </c>
      <c r="H31" s="25">
        <f>'Financial Statements'!H31/'Financial Statements'!H$10</f>
        <v>0</v>
      </c>
      <c r="I31" s="25">
        <f>'Financial Statements'!I31/'Financial Statements'!I$10</f>
        <v>-1.6139607605790085E-4</v>
      </c>
      <c r="J31" s="25">
        <f>'Financial Statements'!J31/'Financial Statements'!J$10</f>
        <v>0</v>
      </c>
      <c r="K31" s="25">
        <f>'Financial Statements'!K31/'Financial Statements'!K$10</f>
        <v>0</v>
      </c>
      <c r="L31" s="25">
        <f>'Financial Statements'!L31/'Financial Statements'!L$10</f>
        <v>0</v>
      </c>
      <c r="M31" s="25">
        <f>'Financial Statements'!M31/'Financial Statements'!M$10</f>
        <v>2.1955993753789985E-2</v>
      </c>
    </row>
    <row r="32" spans="1:13" ht="12.75" customHeight="1" x14ac:dyDescent="0.2">
      <c r="A32" s="1" t="s">
        <v>164</v>
      </c>
      <c r="B32" s="25">
        <f>'Financial Statements'!B32/'Financial Statements'!B$10</f>
        <v>-5.1079290446676643E-3</v>
      </c>
      <c r="C32" s="25">
        <f>'Financial Statements'!C32/'Financial Statements'!C$10</f>
        <v>-5.452311472892029E-3</v>
      </c>
      <c r="D32" s="25">
        <f>'Financial Statements'!D32/'Financial Statements'!D$10</f>
        <v>-5.8195524536351489E-3</v>
      </c>
      <c r="E32" s="25">
        <f>'Financial Statements'!E32/'Financial Statements'!E$10</f>
        <v>-1.3410656034795216E-3</v>
      </c>
      <c r="F32" s="25">
        <f>'Financial Statements'!F32/'Financial Statements'!F$10</f>
        <v>-8.741050356396462E-5</v>
      </c>
      <c r="G32" s="25">
        <f>'Financial Statements'!G32/'Financial Statements'!G$10</f>
        <v>-1.1956787749536762E-3</v>
      </c>
      <c r="H32" s="25">
        <f>'Financial Statements'!H32/'Financial Statements'!H$10</f>
        <v>7.9125220122792819E-4</v>
      </c>
      <c r="I32" s="25">
        <f>'Financial Statements'!I32/'Financial Statements'!I$10</f>
        <v>1.170121551419781E-3</v>
      </c>
      <c r="J32" s="25">
        <f>'Financial Statements'!J32/'Financial Statements'!J$10</f>
        <v>5.0963829837434821E-4</v>
      </c>
      <c r="K32" s="25">
        <f>'Financial Statements'!K32/'Financial Statements'!K$10</f>
        <v>5.0179094491722487E-4</v>
      </c>
      <c r="L32" s="25">
        <f>'Financial Statements'!L32/'Financial Statements'!L$10</f>
        <v>-2.7225227527651178E-3</v>
      </c>
      <c r="M32" s="25">
        <f>'Financial Statements'!M32/'Financial Statements'!M$10</f>
        <v>-4.5275596736135335E-3</v>
      </c>
    </row>
    <row r="33" spans="1:13" ht="12.75" customHeight="1" x14ac:dyDescent="0.2">
      <c r="A33" s="1" t="s">
        <v>127</v>
      </c>
      <c r="B33" s="25">
        <f>'Financial Statements'!B33/'Financial Statements'!B$10</f>
        <v>1.5174182517631973E-3</v>
      </c>
      <c r="C33" s="25">
        <f>'Financial Statements'!C33/'Financial Statements'!C$10</f>
        <v>-2.6219365030607541E-3</v>
      </c>
      <c r="D33" s="25">
        <f>'Financial Statements'!D33/'Financial Statements'!D$10</f>
        <v>-1.2011887626720238E-3</v>
      </c>
      <c r="E33" s="25">
        <f>'Financial Statements'!E33/'Financial Statements'!E$10</f>
        <v>-3.5882566147154766E-3</v>
      </c>
      <c r="F33" s="25">
        <f>'Financial Statements'!F33/'Financial Statements'!F$10</f>
        <v>1.2714255063849399E-4</v>
      </c>
      <c r="G33" s="25">
        <f>'Financial Statements'!G33/'Financial Statements'!G$10</f>
        <v>8.8801873929308115E-4</v>
      </c>
      <c r="H33" s="25">
        <f>'Financial Statements'!H33/'Financial Statements'!H$10</f>
        <v>1.1898529341773356E-4</v>
      </c>
      <c r="I33" s="25">
        <f>'Financial Statements'!I33/'Financial Statements'!I$10</f>
        <v>-1.9569274222020479E-3</v>
      </c>
      <c r="J33" s="25">
        <f>'Financial Statements'!J33/'Financial Statements'!J$10</f>
        <v>3.0200788051813228E-4</v>
      </c>
      <c r="K33" s="25">
        <f>'Financial Statements'!K33/'Financial Statements'!K$10</f>
        <v>-1.342188787624122E-3</v>
      </c>
      <c r="L33" s="25">
        <f>'Financial Statements'!L33/'Financial Statements'!L$10</f>
        <v>3.4927801678238278E-3</v>
      </c>
      <c r="M33" s="25">
        <f>'Financial Statements'!M33/'Financial Statements'!M$10</f>
        <v>9.9851385445827948E-3</v>
      </c>
    </row>
    <row r="34" spans="1:13" ht="12.75" customHeight="1" x14ac:dyDescent="0.2">
      <c r="A34" s="5" t="s">
        <v>66</v>
      </c>
      <c r="B34" s="26">
        <f>'Financial Statements'!B34/'Financial Statements'!B$10</f>
        <v>0.29729643086129515</v>
      </c>
      <c r="C34" s="26">
        <f>'Financial Statements'!C34/'Financial Statements'!C$10</f>
        <v>0.28646027601641177</v>
      </c>
      <c r="D34" s="26">
        <f>'Financial Statements'!D34/'Financial Statements'!D$10</f>
        <v>0.28805749137939962</v>
      </c>
      <c r="E34" s="26">
        <f>'Financial Statements'!E34/'Financial Statements'!E$10</f>
        <v>0.30803733236679959</v>
      </c>
      <c r="F34" s="26">
        <f>'Financial Statements'!F34/'Financial Statements'!F$10</f>
        <v>0.34201346121754883</v>
      </c>
      <c r="G34" s="26">
        <f>'Financial Statements'!G34/'Financial Statements'!G$10</f>
        <v>0.37061846659441317</v>
      </c>
      <c r="H34" s="26">
        <f>'Financial Statements'!H34/'Financial Statements'!H$10</f>
        <v>0.41567512255485223</v>
      </c>
      <c r="I34" s="26">
        <f>'Financial Statements'!I34/'Financial Statements'!I$10</f>
        <v>0.41984163010036818</v>
      </c>
      <c r="J34" s="26">
        <f>'Financial Statements'!J34/'Financial Statements'!J$10</f>
        <v>0.42325460679989618</v>
      </c>
      <c r="K34" s="26">
        <f>'Financial Statements'!K34/'Financial Statements'!K$10</f>
        <v>0.44631244849503515</v>
      </c>
      <c r="L34" s="26">
        <f>'Financial Statements'!L34/'Financial Statements'!L$10</f>
        <v>0.45777782510542231</v>
      </c>
      <c r="M34" s="26">
        <f>'Financial Statements'!M34/'Financial Statements'!M$10</f>
        <v>0.4968627561872983</v>
      </c>
    </row>
    <row r="35" spans="1:13" ht="12.75" customHeight="1" x14ac:dyDescent="0.2">
      <c r="A35" s="1" t="s">
        <v>165</v>
      </c>
      <c r="B35" s="25">
        <f>'Financial Statements'!B35/'Financial Statements'!B$10</f>
        <v>-2.2440692455652916E-2</v>
      </c>
      <c r="C35" s="25">
        <f>'Financial Statements'!C35/'Financial Statements'!C$10</f>
        <v>-5.2658138973605108E-3</v>
      </c>
      <c r="D35" s="25">
        <f>'Financial Statements'!D35/'Financial Statements'!D$10</f>
        <v>-3.1686531153244761E-3</v>
      </c>
      <c r="E35" s="25">
        <f>'Financial Statements'!E35/'Financial Statements'!E$10</f>
        <v>0</v>
      </c>
      <c r="F35" s="25">
        <f>'Financial Statements'!F35/'Financial Statements'!F$10</f>
        <v>0</v>
      </c>
      <c r="G35" s="25">
        <f>'Financial Statements'!G35/'Financial Statements'!G$10</f>
        <v>0</v>
      </c>
      <c r="H35" s="25">
        <f>'Financial Statements'!H35/'Financial Statements'!H$10</f>
        <v>0</v>
      </c>
      <c r="I35" s="25">
        <f>'Financial Statements'!I35/'Financial Statements'!I$10</f>
        <v>0</v>
      </c>
      <c r="J35" s="25">
        <f>'Financial Statements'!J35/'Financial Statements'!J$10</f>
        <v>0</v>
      </c>
      <c r="K35" s="25">
        <f>'Financial Statements'!K35/'Financial Statements'!K$10</f>
        <v>0</v>
      </c>
      <c r="L35" s="25">
        <f>'Financial Statements'!L35/'Financial Statements'!L$10</f>
        <v>0</v>
      </c>
      <c r="M35" s="25">
        <f>'Financial Statements'!M35/'Financial Statements'!M$10</f>
        <v>0</v>
      </c>
    </row>
    <row r="36" spans="1:13" ht="12.75" customHeight="1" x14ac:dyDescent="0.2">
      <c r="A36" s="1" t="s">
        <v>128</v>
      </c>
      <c r="B36" s="25">
        <f>'Financial Statements'!B36/'Financial Statements'!B$10</f>
        <v>-4.6484291515281042E-3</v>
      </c>
      <c r="C36" s="25">
        <f>'Financial Statements'!C36/'Financial Statements'!C$10</f>
        <v>0</v>
      </c>
      <c r="D36" s="25">
        <f>'Financial Statements'!D36/'Financial Statements'!D$10</f>
        <v>0</v>
      </c>
      <c r="E36" s="25">
        <f>'Financial Statements'!E36/'Financial Statements'!E$10</f>
        <v>0</v>
      </c>
      <c r="F36" s="25">
        <f>'Financial Statements'!F36/'Financial Statements'!F$10</f>
        <v>0</v>
      </c>
      <c r="G36" s="25">
        <f>'Financial Statements'!G36/'Financial Statements'!G$10</f>
        <v>0</v>
      </c>
      <c r="H36" s="25">
        <f>'Financial Statements'!H36/'Financial Statements'!H$10</f>
        <v>0</v>
      </c>
      <c r="I36" s="25">
        <f>'Financial Statements'!I36/'Financial Statements'!I$10</f>
        <v>0</v>
      </c>
      <c r="J36" s="25">
        <f>'Financial Statements'!J36/'Financial Statements'!J$10</f>
        <v>0</v>
      </c>
      <c r="K36" s="25">
        <f>'Financial Statements'!K36/'Financial Statements'!K$10</f>
        <v>0</v>
      </c>
      <c r="L36" s="25">
        <f>'Financial Statements'!L36/'Financial Statements'!L$10</f>
        <v>0</v>
      </c>
      <c r="M36" s="25">
        <f>'Financial Statements'!M36/'Financial Statements'!M$10</f>
        <v>0</v>
      </c>
    </row>
    <row r="37" spans="1:13" ht="12.75" customHeight="1" x14ac:dyDescent="0.2">
      <c r="A37" s="1" t="s">
        <v>67</v>
      </c>
      <c r="B37" s="25">
        <f>'Financial Statements'!B37/'Financial Statements'!B$10</f>
        <v>-5.4498824535157087E-2</v>
      </c>
      <c r="C37" s="25">
        <f>'Financial Statements'!C37/'Financial Statements'!C$10</f>
        <v>0</v>
      </c>
      <c r="D37" s="25">
        <f>'Financial Statements'!D37/'Financial Statements'!D$10</f>
        <v>0</v>
      </c>
      <c r="E37" s="25">
        <f>'Financial Statements'!E37/'Financial Statements'!E$10</f>
        <v>0</v>
      </c>
      <c r="F37" s="25">
        <f>'Financial Statements'!F37/'Financial Statements'!F$10</f>
        <v>0</v>
      </c>
      <c r="G37" s="25">
        <f>'Financial Statements'!G37/'Financial Statements'!G$10</f>
        <v>0</v>
      </c>
      <c r="H37" s="25">
        <f>'Financial Statements'!H37/'Financial Statements'!H$10</f>
        <v>0</v>
      </c>
      <c r="I37" s="25">
        <f>'Financial Statements'!I37/'Financial Statements'!I$10</f>
        <v>0</v>
      </c>
      <c r="J37" s="25">
        <f>'Financial Statements'!J37/'Financial Statements'!J$10</f>
        <v>0</v>
      </c>
      <c r="K37" s="25">
        <f>'Financial Statements'!K37/'Financial Statements'!K$10</f>
        <v>0</v>
      </c>
      <c r="L37" s="25">
        <f>'Financial Statements'!L37/'Financial Statements'!L$10</f>
        <v>0</v>
      </c>
      <c r="M37" s="25">
        <f>'Financial Statements'!M37/'Financial Statements'!M$10</f>
        <v>0</v>
      </c>
    </row>
    <row r="38" spans="1:13" ht="12.75" customHeight="1" x14ac:dyDescent="0.2">
      <c r="A38" s="1" t="s">
        <v>68</v>
      </c>
      <c r="B38" s="25">
        <f>'Financial Statements'!B38/'Financial Statements'!B$10</f>
        <v>7.4481726864714685E-3</v>
      </c>
      <c r="C38" s="25">
        <f>'Financial Statements'!C38/'Financial Statements'!C$10</f>
        <v>6.9881738596221776E-3</v>
      </c>
      <c r="D38" s="25">
        <f>'Financial Statements'!D38/'Financial Statements'!D$10</f>
        <v>2.4738275465719523E-2</v>
      </c>
      <c r="E38" s="25">
        <f>'Financial Statements'!E38/'Financial Statements'!E$10</f>
        <v>2.2462848858281988E-2</v>
      </c>
      <c r="F38" s="25">
        <f>'Financial Statements'!F38/'Financial Statements'!F$10</f>
        <v>5.1492733008590072E-3</v>
      </c>
      <c r="G38" s="25">
        <f>'Financial Statements'!G38/'Financial Statements'!G$10</f>
        <v>2.2375275320770548E-4</v>
      </c>
      <c r="H38" s="25">
        <f>'Financial Statements'!H38/'Financial Statements'!H$10</f>
        <v>7.3294940745323878E-3</v>
      </c>
      <c r="I38" s="25">
        <f>'Financial Statements'!I38/'Financial Statements'!I$10</f>
        <v>2.3906793766076562E-3</v>
      </c>
      <c r="J38" s="25">
        <f>'Financial Statements'!J38/'Financial Statements'!J$10</f>
        <v>-1.8073284099756979E-3</v>
      </c>
      <c r="K38" s="25">
        <f>'Financial Statements'!K38/'Financial Statements'!K$10</f>
        <v>-6.5844763015967559E-3</v>
      </c>
      <c r="L38" s="25">
        <f>'Financial Statements'!L38/'Financial Statements'!L$10</f>
        <v>-1.8954721642458577E-2</v>
      </c>
      <c r="M38" s="25">
        <f>'Financial Statements'!M38/'Financial Statements'!M$10</f>
        <v>-1.1421012778338093E-2</v>
      </c>
    </row>
    <row r="39" spans="1:13" ht="12.75" customHeight="1" x14ac:dyDescent="0.2">
      <c r="A39" s="1" t="s">
        <v>69</v>
      </c>
      <c r="B39" s="25">
        <f>'Financial Statements'!B39/'Financial Statements'!B$10</f>
        <v>0</v>
      </c>
      <c r="C39" s="25">
        <f>'Financial Statements'!C39/'Financial Statements'!C$10</f>
        <v>0</v>
      </c>
      <c r="D39" s="25">
        <f>'Financial Statements'!D39/'Financial Statements'!D$10</f>
        <v>0</v>
      </c>
      <c r="E39" s="25">
        <f>'Financial Statements'!E39/'Financial Statements'!E$10</f>
        <v>0</v>
      </c>
      <c r="F39" s="25">
        <f>'Financial Statements'!F39/'Financial Statements'!F$10</f>
        <v>0</v>
      </c>
      <c r="G39" s="25">
        <f>'Financial Statements'!G39/'Financial Statements'!G$10</f>
        <v>0</v>
      </c>
      <c r="H39" s="25">
        <f>'Financial Statements'!H39/'Financial Statements'!H$10</f>
        <v>0</v>
      </c>
      <c r="I39" s="25">
        <f>'Financial Statements'!I39/'Financial Statements'!I$10</f>
        <v>0</v>
      </c>
      <c r="J39" s="25">
        <f>'Financial Statements'!J39/'Financial Statements'!J$10</f>
        <v>0</v>
      </c>
      <c r="K39" s="25">
        <f>'Financial Statements'!K39/'Financial Statements'!K$10</f>
        <v>0</v>
      </c>
      <c r="L39" s="25">
        <f>'Financial Statements'!L39/'Financial Statements'!L$10</f>
        <v>0</v>
      </c>
      <c r="M39" s="25">
        <f>'Financial Statements'!M39/'Financial Statements'!M$10</f>
        <v>0</v>
      </c>
    </row>
    <row r="40" spans="1:13" ht="12.75" customHeight="1" x14ac:dyDescent="0.2">
      <c r="A40" s="1" t="s">
        <v>166</v>
      </c>
      <c r="B40" s="25">
        <f>'Financial Statements'!B40/'Financial Statements'!B$10</f>
        <v>-2.5390040606967302E-2</v>
      </c>
      <c r="C40" s="25">
        <f>'Financial Statements'!C40/'Financial Statements'!C$10</f>
        <v>-6.9113807402856704E-3</v>
      </c>
      <c r="D40" s="25">
        <f>'Financial Statements'!D40/'Financial Statements'!D$10</f>
        <v>0</v>
      </c>
      <c r="E40" s="25">
        <f>'Financial Statements'!E40/'Financial Statements'!E$10</f>
        <v>0</v>
      </c>
      <c r="F40" s="25">
        <f>'Financial Statements'!F40/'Financial Statements'!F$10</f>
        <v>0</v>
      </c>
      <c r="G40" s="25">
        <f>'Financial Statements'!G40/'Financial Statements'!G$10</f>
        <v>0</v>
      </c>
      <c r="H40" s="25">
        <f>'Financial Statements'!H40/'Financial Statements'!H$10</f>
        <v>0</v>
      </c>
      <c r="I40" s="25">
        <f>'Financial Statements'!I40/'Financial Statements'!I$10</f>
        <v>0</v>
      </c>
      <c r="J40" s="25">
        <f>'Financial Statements'!J40/'Financial Statements'!J$10</f>
        <v>0</v>
      </c>
      <c r="K40" s="25">
        <f>'Financial Statements'!K40/'Financial Statements'!K$10</f>
        <v>0</v>
      </c>
      <c r="L40" s="25">
        <f>'Financial Statements'!L40/'Financial Statements'!L$10</f>
        <v>0</v>
      </c>
      <c r="M40" s="25">
        <f>'Financial Statements'!M40/'Financial Statements'!M$10</f>
        <v>0</v>
      </c>
    </row>
    <row r="41" spans="1:13" ht="12.75" customHeight="1" x14ac:dyDescent="0.2">
      <c r="A41" s="1" t="s">
        <v>278</v>
      </c>
      <c r="B41" s="25">
        <f>'Financial Statements'!B41/'Financial Statements'!B$10</f>
        <v>0</v>
      </c>
      <c r="C41" s="25">
        <f>'Financial Statements'!C41/'Financial Statements'!C$10</f>
        <v>0</v>
      </c>
      <c r="D41" s="25">
        <f>'Financial Statements'!D41/'Financial Statements'!D$10</f>
        <v>0</v>
      </c>
      <c r="E41" s="25">
        <f>'Financial Statements'!E41/'Financial Statements'!E$10</f>
        <v>0</v>
      </c>
      <c r="F41" s="25">
        <f>'Financial Statements'!F41/'Financial Statements'!F$10</f>
        <v>0</v>
      </c>
      <c r="G41" s="25">
        <f>'Financial Statements'!G41/'Financial Statements'!G$10</f>
        <v>0</v>
      </c>
      <c r="H41" s="25">
        <f>'Financial Statements'!H41/'Financial Statements'!H$10</f>
        <v>0</v>
      </c>
      <c r="I41" s="25">
        <f>'Financial Statements'!I41/'Financial Statements'!I$10</f>
        <v>0</v>
      </c>
      <c r="J41" s="25">
        <f>'Financial Statements'!J41/'Financial Statements'!J$10</f>
        <v>0</v>
      </c>
      <c r="K41" s="25">
        <f>'Financial Statements'!K41/'Financial Statements'!K$10</f>
        <v>0</v>
      </c>
      <c r="L41" s="25">
        <f>'Financial Statements'!L41/'Financial Statements'!L$10</f>
        <v>0</v>
      </c>
      <c r="M41" s="25">
        <f>'Financial Statements'!M41/'Financial Statements'!M$10</f>
        <v>0</v>
      </c>
    </row>
    <row r="42" spans="1:13" ht="12.75" customHeight="1" x14ac:dyDescent="0.2">
      <c r="A42" s="1" t="s">
        <v>167</v>
      </c>
      <c r="B42" s="25">
        <f>'Financial Statements'!B42/'Financial Statements'!B$10</f>
        <v>0</v>
      </c>
      <c r="C42" s="25">
        <f>'Financial Statements'!C42/'Financial Statements'!C$10</f>
        <v>0</v>
      </c>
      <c r="D42" s="25">
        <f>'Financial Statements'!D42/'Financial Statements'!D$10</f>
        <v>0</v>
      </c>
      <c r="E42" s="25">
        <f>'Financial Statements'!E42/'Financial Statements'!E$10</f>
        <v>0</v>
      </c>
      <c r="F42" s="25">
        <f>'Financial Statements'!F42/'Financial Statements'!F$10</f>
        <v>0</v>
      </c>
      <c r="G42" s="25">
        <f>'Financial Statements'!G42/'Financial Statements'!G$10</f>
        <v>0</v>
      </c>
      <c r="H42" s="25">
        <f>'Financial Statements'!H42/'Financial Statements'!H$10</f>
        <v>0</v>
      </c>
      <c r="I42" s="25">
        <f>'Financial Statements'!I42/'Financial Statements'!I$10</f>
        <v>0</v>
      </c>
      <c r="J42" s="25">
        <f>'Financial Statements'!J42/'Financial Statements'!J$10</f>
        <v>0</v>
      </c>
      <c r="K42" s="25">
        <f>'Financial Statements'!K42/'Financial Statements'!K$10</f>
        <v>0</v>
      </c>
      <c r="L42" s="25">
        <f>'Financial Statements'!L42/'Financial Statements'!L$10</f>
        <v>0</v>
      </c>
      <c r="M42" s="25">
        <f>'Financial Statements'!M42/'Financial Statements'!M$10</f>
        <v>0</v>
      </c>
    </row>
    <row r="43" spans="1:13" ht="12.75" customHeight="1" x14ac:dyDescent="0.2">
      <c r="A43" s="1" t="s">
        <v>168</v>
      </c>
      <c r="B43" s="25">
        <f>'Financial Statements'!B43/'Financial Statements'!B$10</f>
        <v>0</v>
      </c>
      <c r="C43" s="25">
        <f>'Financial Statements'!C43/'Financial Statements'!C$10</f>
        <v>0</v>
      </c>
      <c r="D43" s="25">
        <f>'Financial Statements'!D43/'Financial Statements'!D$10</f>
        <v>0</v>
      </c>
      <c r="E43" s="25">
        <f>'Financial Statements'!E43/'Financial Statements'!E$10</f>
        <v>0</v>
      </c>
      <c r="F43" s="25">
        <f>'Financial Statements'!F43/'Financial Statements'!F$10</f>
        <v>0</v>
      </c>
      <c r="G43" s="25">
        <f>'Financial Statements'!G43/'Financial Statements'!G$10</f>
        <v>0</v>
      </c>
      <c r="H43" s="25">
        <f>'Financial Statements'!H43/'Financial Statements'!H$10</f>
        <v>0</v>
      </c>
      <c r="I43" s="25">
        <f>'Financial Statements'!I43/'Financial Statements'!I$10</f>
        <v>0</v>
      </c>
      <c r="J43" s="25">
        <f>'Financial Statements'!J43/'Financial Statements'!J$10</f>
        <v>0</v>
      </c>
      <c r="K43" s="25">
        <f>'Financial Statements'!K43/'Financial Statements'!K$10</f>
        <v>0</v>
      </c>
      <c r="L43" s="25">
        <f>'Financial Statements'!L43/'Financial Statements'!L$10</f>
        <v>0</v>
      </c>
      <c r="M43" s="25">
        <f>'Financial Statements'!M43/'Financial Statements'!M$10</f>
        <v>0</v>
      </c>
    </row>
    <row r="44" spans="1:13" ht="12.75" customHeight="1" x14ac:dyDescent="0.2">
      <c r="A44" s="1" t="s">
        <v>129</v>
      </c>
      <c r="B44" s="27">
        <f>'Financial Statements'!B44/'Financial Statements'!B$10</f>
        <v>0</v>
      </c>
      <c r="C44" s="27">
        <f>'Financial Statements'!C44/'Financial Statements'!C$10</f>
        <v>0</v>
      </c>
      <c r="D44" s="27">
        <f>'Financial Statements'!D44/'Financial Statements'!D$10</f>
        <v>0</v>
      </c>
      <c r="E44" s="27">
        <f>'Financial Statements'!E44/'Financial Statements'!E$10</f>
        <v>0</v>
      </c>
      <c r="F44" s="27">
        <f>'Financial Statements'!F44/'Financial Statements'!F$10</f>
        <v>0</v>
      </c>
      <c r="G44" s="27">
        <f>'Financial Statements'!G44/'Financial Statements'!G$10</f>
        <v>0</v>
      </c>
      <c r="H44" s="27">
        <f>'Financial Statements'!H44/'Financial Statements'!H$10</f>
        <v>0</v>
      </c>
      <c r="I44" s="27">
        <f>'Financial Statements'!I44/'Financial Statements'!I$10</f>
        <v>0</v>
      </c>
      <c r="J44" s="27">
        <f>'Financial Statements'!J44/'Financial Statements'!J$10</f>
        <v>0</v>
      </c>
      <c r="K44" s="27">
        <f>'Financial Statements'!K44/'Financial Statements'!K$10</f>
        <v>0</v>
      </c>
      <c r="L44" s="27">
        <f>'Financial Statements'!L44/'Financial Statements'!L$10</f>
        <v>0</v>
      </c>
      <c r="M44" s="27">
        <f>'Financial Statements'!M44/'Financial Statements'!M$10</f>
        <v>0</v>
      </c>
    </row>
    <row r="45" spans="1:13" ht="12.75" customHeight="1" x14ac:dyDescent="0.2">
      <c r="A45" s="5" t="s">
        <v>70</v>
      </c>
      <c r="B45" s="26">
        <f>'Financial Statements'!B45/'Financial Statements'!B$10</f>
        <v>0.19776661679846122</v>
      </c>
      <c r="C45" s="26">
        <f>'Financial Statements'!C45/'Financial Statements'!C$10</f>
        <v>0.28127125523838781</v>
      </c>
      <c r="D45" s="26">
        <f>'Financial Statements'!D45/'Financial Statements'!D$10</f>
        <v>0.30962711372979468</v>
      </c>
      <c r="E45" s="26">
        <f>'Financial Statements'!E45/'Financial Statements'!E$10</f>
        <v>0.33050018122508157</v>
      </c>
      <c r="F45" s="26">
        <f>'Financial Statements'!F45/'Financial Statements'!F$10</f>
        <v>0.34716273451840785</v>
      </c>
      <c r="G45" s="26">
        <f>'Financial Statements'!G45/'Financial Statements'!G$10</f>
        <v>0.37084221934762091</v>
      </c>
      <c r="H45" s="26">
        <f>'Financial Statements'!H45/'Financial Statements'!H$10</f>
        <v>0.4230046166293846</v>
      </c>
      <c r="I45" s="26">
        <f>'Financial Statements'!I45/'Financial Statements'!I$10</f>
        <v>0.42223230947697582</v>
      </c>
      <c r="J45" s="26">
        <f>'Financial Statements'!J45/'Financial Statements'!J$10</f>
        <v>0.42144727838992047</v>
      </c>
      <c r="K45" s="26">
        <f>'Financial Statements'!K45/'Financial Statements'!K$10</f>
        <v>0.43972797219343834</v>
      </c>
      <c r="L45" s="26">
        <f>'Financial Statements'!L45/'Financial Statements'!L$10</f>
        <v>0.43882310346296377</v>
      </c>
      <c r="M45" s="26">
        <f>'Financial Statements'!M45/'Financial Statements'!M$10</f>
        <v>0.48544174340896024</v>
      </c>
    </row>
    <row r="46" spans="1:13" ht="12.75" customHeight="1" x14ac:dyDescent="0.2">
      <c r="A46" s="1" t="s">
        <v>71</v>
      </c>
      <c r="B46" s="25">
        <f>'Financial Statements'!B46/'Financial Statements'!B$10</f>
        <v>6.747168198332977E-2</v>
      </c>
      <c r="C46" s="25">
        <f>'Financial Statements'!C46/'Financial Statements'!C$10</f>
        <v>5.5949272659455429E-2</v>
      </c>
      <c r="D46" s="25">
        <f>'Financial Statements'!D46/'Financial Statements'!D$10</f>
        <v>4.5686593283698007E-2</v>
      </c>
      <c r="E46" s="25">
        <f>'Financial Statements'!E46/'Financial Statements'!E$10</f>
        <v>0.18034613990576295</v>
      </c>
      <c r="F46" s="25">
        <f>'Financial Statements'!F46/'Financial Statements'!F$10</f>
        <v>3.5345629077501328E-2</v>
      </c>
      <c r="G46" s="25">
        <f>'Financial Statements'!G46/'Financial Statements'!G$10</f>
        <v>6.1217354822920671E-2</v>
      </c>
      <c r="H46" s="25">
        <f>'Financial Statements'!H46/'Financial Statements'!H$10</f>
        <v>5.8487220979486935E-2</v>
      </c>
      <c r="I46" s="25">
        <f>'Financial Statements'!I46/'Financial Statements'!I$10</f>
        <v>5.5368941342613609E-2</v>
      </c>
      <c r="J46" s="25">
        <f>'Financial Statements'!J46/'Financial Statements'!J$10</f>
        <v>7.9984899605974089E-2</v>
      </c>
      <c r="K46" s="25">
        <f>'Financial Statements'!K46/'Financial Statements'!K$10</f>
        <v>8.0168242752588506E-2</v>
      </c>
      <c r="L46" s="25">
        <f>'Financial Statements'!L46/'Financial Statements'!L$10</f>
        <v>7.7362950973293015E-2</v>
      </c>
      <c r="M46" s="25">
        <f>'Financial Statements'!M46/'Financial Statements'!M$10</f>
        <v>9.2018487273504188E-2</v>
      </c>
    </row>
    <row r="47" spans="1:13" ht="12.75" customHeight="1" x14ac:dyDescent="0.2">
      <c r="A47" s="5" t="s">
        <v>72</v>
      </c>
      <c r="B47" s="26">
        <f>'Financial Statements'!B47/'Financial Statements'!B$10</f>
        <v>0.13029493481513144</v>
      </c>
      <c r="C47" s="26">
        <f>'Financial Statements'!C47/'Financial Statements'!C$10</f>
        <v>0.22532198257893235</v>
      </c>
      <c r="D47" s="26">
        <f>'Financial Statements'!D47/'Financial Statements'!D$10</f>
        <v>0.26394052044609667</v>
      </c>
      <c r="E47" s="26">
        <f>'Financial Statements'!E47/'Financial Statements'!E$10</f>
        <v>0.15015404131931859</v>
      </c>
      <c r="F47" s="26">
        <f>'Financial Statements'!F47/'Financial Statements'!F$10</f>
        <v>0.31181710544090652</v>
      </c>
      <c r="G47" s="26">
        <f>'Financial Statements'!G47/'Financial Statements'!G$10</f>
        <v>0.30962486452470023</v>
      </c>
      <c r="H47" s="26">
        <f>'Financial Statements'!H47/'Financial Statements'!H$10</f>
        <v>0.36451739564989766</v>
      </c>
      <c r="I47" s="26">
        <f>'Financial Statements'!I47/'Financial Statements'!I$10</f>
        <v>0.36686336813436221</v>
      </c>
      <c r="J47" s="26">
        <f>'Financial Statements'!J47/'Financial Statements'!J$10</f>
        <v>0.34146237878394642</v>
      </c>
      <c r="K47" s="26">
        <f>'Financial Statements'!K47/'Financial Statements'!K$10</f>
        <v>0.35955972944084985</v>
      </c>
      <c r="L47" s="26">
        <f>'Financial Statements'!L47/'Financial Statements'!L$10</f>
        <v>0.36146015248967073</v>
      </c>
      <c r="M47" s="26">
        <f>'Financial Statements'!M47/'Financial Statements'!M$10</f>
        <v>0.39342325613545603</v>
      </c>
    </row>
    <row r="48" spans="1:13" ht="12.75" customHeight="1" x14ac:dyDescent="0.2">
      <c r="A48" s="1" t="s">
        <v>73</v>
      </c>
      <c r="B48" s="25">
        <f>'Financial Statements'!B48/'Financial Statements'!B$10</f>
        <v>0</v>
      </c>
      <c r="C48" s="25">
        <f>'Financial Statements'!C48/'Financial Statements'!C$10</f>
        <v>0</v>
      </c>
      <c r="D48" s="25">
        <f>'Financial Statements'!D48/'Financial Statements'!D$10</f>
        <v>0</v>
      </c>
      <c r="E48" s="25">
        <f>'Financial Statements'!E48/'Financial Statements'!E$10</f>
        <v>0</v>
      </c>
      <c r="F48" s="25">
        <f>'Financial Statements'!F48/'Financial Statements'!F$10</f>
        <v>0</v>
      </c>
      <c r="G48" s="25">
        <f>'Financial Statements'!G48/'Financial Statements'!G$10</f>
        <v>0</v>
      </c>
      <c r="H48" s="25">
        <f>'Financial Statements'!H48/'Financial Statements'!H$10</f>
        <v>0</v>
      </c>
      <c r="I48" s="25">
        <f>'Financial Statements'!I48/'Financial Statements'!I$10</f>
        <v>0</v>
      </c>
      <c r="J48" s="25">
        <f>'Financial Statements'!J48/'Financial Statements'!J$10</f>
        <v>0</v>
      </c>
      <c r="K48" s="25">
        <f>'Financial Statements'!K48/'Financial Statements'!K$10</f>
        <v>0</v>
      </c>
      <c r="L48" s="25">
        <f>'Financial Statements'!L48/'Financial Statements'!L$10</f>
        <v>0</v>
      </c>
      <c r="M48" s="25">
        <f>'Financial Statements'!M48/'Financial Statements'!M$10</f>
        <v>0</v>
      </c>
    </row>
    <row r="49" spans="1:13" ht="12.75" customHeight="1" x14ac:dyDescent="0.2">
      <c r="A49" s="1" t="s">
        <v>74</v>
      </c>
      <c r="B49" s="25">
        <f>'Financial Statements'!B49/'Financial Statements'!B$10</f>
        <v>0</v>
      </c>
      <c r="C49" s="25">
        <f>'Financial Statements'!C49/'Financial Statements'!C$10</f>
        <v>0</v>
      </c>
      <c r="D49" s="25">
        <f>'Financial Statements'!D49/'Financial Statements'!D$10</f>
        <v>0</v>
      </c>
      <c r="E49" s="25">
        <f>'Financial Statements'!E49/'Financial Statements'!E$10</f>
        <v>0</v>
      </c>
      <c r="F49" s="25">
        <f>'Financial Statements'!F49/'Financial Statements'!F$10</f>
        <v>0</v>
      </c>
      <c r="G49" s="25">
        <f>'Financial Statements'!G49/'Financial Statements'!G$10</f>
        <v>0</v>
      </c>
      <c r="H49" s="25">
        <f>'Financial Statements'!H49/'Financial Statements'!H$10</f>
        <v>0</v>
      </c>
      <c r="I49" s="25">
        <f>'Financial Statements'!I49/'Financial Statements'!I$10</f>
        <v>0</v>
      </c>
      <c r="J49" s="25">
        <f>'Financial Statements'!J49/'Financial Statements'!J$10</f>
        <v>0</v>
      </c>
      <c r="K49" s="25">
        <f>'Financial Statements'!K49/'Financial Statements'!K$10</f>
        <v>0</v>
      </c>
      <c r="L49" s="25">
        <f>'Financial Statements'!L49/'Financial Statements'!L$10</f>
        <v>0</v>
      </c>
      <c r="M49" s="25">
        <f>'Financial Statements'!M49/'Financial Statements'!M$10</f>
        <v>0</v>
      </c>
    </row>
    <row r="50" spans="1:13" ht="12.75" customHeight="1" x14ac:dyDescent="0.2">
      <c r="A50" s="5" t="s">
        <v>21</v>
      </c>
      <c r="B50" s="30">
        <f>'Financial Statements'!B50/'Financial Statements'!B$10</f>
        <v>0.13029493481513144</v>
      </c>
      <c r="C50" s="30">
        <f>'Financial Statements'!C50/'Financial Statements'!C$10</f>
        <v>0.22532198257893235</v>
      </c>
      <c r="D50" s="30">
        <f>'Financial Statements'!D50/'Financial Statements'!D$10</f>
        <v>0.26394052044609667</v>
      </c>
      <c r="E50" s="30">
        <f>'Financial Statements'!E50/'Financial Statements'!E$10</f>
        <v>0.15015404131931859</v>
      </c>
      <c r="F50" s="30">
        <f>'Financial Statements'!F50/'Financial Statements'!F$10</f>
        <v>0.31181710544090652</v>
      </c>
      <c r="G50" s="30">
        <f>'Financial Statements'!G50/'Financial Statements'!G$10</f>
        <v>0.30962486452470023</v>
      </c>
      <c r="H50" s="30">
        <f>'Financial Statements'!H50/'Financial Statements'!H$10</f>
        <v>0.36451739564989766</v>
      </c>
      <c r="I50" s="30">
        <f>'Financial Statements'!I50/'Financial Statements'!I$10</f>
        <v>0.36686336813436221</v>
      </c>
      <c r="J50" s="30">
        <f>'Financial Statements'!J50/'Financial Statements'!J$10</f>
        <v>0.34146237878394642</v>
      </c>
      <c r="K50" s="30">
        <f>'Financial Statements'!K50/'Financial Statements'!K$10</f>
        <v>0.35955972944084985</v>
      </c>
      <c r="L50" s="30">
        <f>'Financial Statements'!L50/'Financial Statements'!L$10</f>
        <v>0.36146015248967073</v>
      </c>
      <c r="M50" s="30">
        <f>'Financial Statements'!M50/'Financial Statements'!M$10</f>
        <v>0.39342325613545603</v>
      </c>
    </row>
    <row r="51" spans="1:13" ht="12.75" customHeight="1" x14ac:dyDescent="0.2">
      <c r="A51" s="1" t="s">
        <v>169</v>
      </c>
      <c r="B51" s="25">
        <f>'Financial Statements'!B51/'Financial Statements'!B$10</f>
        <v>0</v>
      </c>
      <c r="C51" s="25">
        <f>'Financial Statements'!C51/'Financial Statements'!C$10</f>
        <v>0</v>
      </c>
      <c r="D51" s="25">
        <f>'Financial Statements'!D51/'Financial Statements'!D$10</f>
        <v>0</v>
      </c>
      <c r="E51" s="25">
        <f>'Financial Statements'!E51/'Financial Statements'!E$10</f>
        <v>0</v>
      </c>
      <c r="F51" s="25">
        <f>'Financial Statements'!F51/'Financial Statements'!F$10</f>
        <v>0</v>
      </c>
      <c r="G51" s="25">
        <f>'Financial Statements'!G51/'Financial Statements'!G$10</f>
        <v>0</v>
      </c>
      <c r="H51" s="25">
        <f>'Financial Statements'!H51/'Financial Statements'!H$10</f>
        <v>0</v>
      </c>
      <c r="I51" s="25">
        <f>'Financial Statements'!I51/'Financial Statements'!I$10</f>
        <v>0</v>
      </c>
      <c r="J51" s="25">
        <f>'Financial Statements'!J51/'Financial Statements'!J$10</f>
        <v>0</v>
      </c>
      <c r="K51" s="25">
        <f>'Financial Statements'!K51/'Financial Statements'!K$10</f>
        <v>0</v>
      </c>
      <c r="L51" s="25">
        <f>'Financial Statements'!L51/'Financial Statements'!L$10</f>
        <v>0</v>
      </c>
      <c r="M51" s="25">
        <f>'Financial Statements'!M51/'Financial Statements'!M$10</f>
        <v>0</v>
      </c>
    </row>
    <row r="52" spans="1:13" ht="12.75" customHeight="1" thickBot="1" x14ac:dyDescent="0.25">
      <c r="A52" s="5" t="s">
        <v>22</v>
      </c>
      <c r="B52" s="29">
        <f>'Financial Statements'!B52/'Financial Statements'!B$10</f>
        <v>0.13029493481513144</v>
      </c>
      <c r="C52" s="29">
        <f>'Financial Statements'!C52/'Financial Statements'!C$10</f>
        <v>0.22532198257893235</v>
      </c>
      <c r="D52" s="29">
        <f>'Financial Statements'!D52/'Financial Statements'!D$10</f>
        <v>0.26394052044609667</v>
      </c>
      <c r="E52" s="29">
        <f>'Financial Statements'!E52/'Financial Statements'!E$10</f>
        <v>0.15015404131931859</v>
      </c>
      <c r="F52" s="29">
        <f>'Financial Statements'!F52/'Financial Statements'!F$10</f>
        <v>0.31181710544090652</v>
      </c>
      <c r="G52" s="29">
        <f>'Financial Statements'!G52/'Financial Statements'!G$10</f>
        <v>0.30962486452470023</v>
      </c>
      <c r="H52" s="29">
        <f>'Financial Statements'!H52/'Financial Statements'!H$10</f>
        <v>0.36451739564989766</v>
      </c>
      <c r="I52" s="29">
        <f>'Financial Statements'!I52/'Financial Statements'!I$10</f>
        <v>0.36686336813436221</v>
      </c>
      <c r="J52" s="29">
        <f>'Financial Statements'!J52/'Financial Statements'!J$10</f>
        <v>0.34146237878394642</v>
      </c>
      <c r="K52" s="29">
        <f>'Financial Statements'!K52/'Financial Statements'!K$10</f>
        <v>0.35955972944084985</v>
      </c>
      <c r="L52" s="29">
        <f>'Financial Statements'!L52/'Financial Statements'!L$10</f>
        <v>0.36146015248967073</v>
      </c>
      <c r="M52" s="29">
        <f>'Financial Statements'!M52/'Financial Statements'!M$10</f>
        <v>0.39342325613545603</v>
      </c>
    </row>
    <row r="53" spans="1:13" ht="12.75" customHeight="1" thickTop="1" x14ac:dyDescent="0.2">
      <c r="A53" s="1" t="s">
        <v>75</v>
      </c>
      <c r="B53" s="25">
        <f>'Financial Statements'!B53/'Financial Statements'!B$10</f>
        <v>0</v>
      </c>
      <c r="C53" s="25">
        <f>'Financial Statements'!C53/'Financial Statements'!C$10</f>
        <v>0</v>
      </c>
      <c r="D53" s="25">
        <f>'Financial Statements'!D53/'Financial Statements'!D$10</f>
        <v>0</v>
      </c>
      <c r="E53" s="25">
        <f>'Financial Statements'!E53/'Financial Statements'!E$10</f>
        <v>0</v>
      </c>
      <c r="F53" s="25">
        <f>'Financial Statements'!F53/'Financial Statements'!F$10</f>
        <v>0</v>
      </c>
      <c r="G53" s="25">
        <f>'Financial Statements'!G53/'Financial Statements'!G$10</f>
        <v>0</v>
      </c>
      <c r="H53" s="25">
        <f>'Financial Statements'!H53/'Financial Statements'!H$10</f>
        <v>0</v>
      </c>
      <c r="I53" s="25">
        <f>'Financial Statements'!I53/'Financial Statements'!I$10</f>
        <v>0</v>
      </c>
      <c r="J53" s="25">
        <f>'Financial Statements'!J53/'Financial Statements'!J$10</f>
        <v>0</v>
      </c>
      <c r="K53" s="25">
        <f>'Financial Statements'!K53/'Financial Statements'!K$10</f>
        <v>0</v>
      </c>
      <c r="L53" s="25">
        <f>'Financial Statements'!L53/'Financial Statements'!L$10</f>
        <v>0</v>
      </c>
      <c r="M53" s="25">
        <f>'Financial Statements'!M53/'Financial Statements'!M$10</f>
        <v>0</v>
      </c>
    </row>
    <row r="54" spans="1:13" ht="12.75" customHeight="1" x14ac:dyDescent="0.2">
      <c r="A54" s="5" t="s">
        <v>76</v>
      </c>
      <c r="B54" s="28">
        <f>'Financial Statements'!B54/'Financial Statements'!B$10</f>
        <v>0.13029493481513144</v>
      </c>
      <c r="C54" s="28">
        <f>'Financial Statements'!C54/'Financial Statements'!C$10</f>
        <v>0.22532198257893235</v>
      </c>
      <c r="D54" s="28">
        <f>'Financial Statements'!D54/'Financial Statements'!D$10</f>
        <v>0.26394052044609667</v>
      </c>
      <c r="E54" s="28">
        <f>'Financial Statements'!E54/'Financial Statements'!E$10</f>
        <v>0.15015404131931859</v>
      </c>
      <c r="F54" s="28">
        <f>'Financial Statements'!F54/'Financial Statements'!F$10</f>
        <v>0.31181710544090652</v>
      </c>
      <c r="G54" s="28">
        <f>'Financial Statements'!G54/'Financial Statements'!G$10</f>
        <v>0.30962486452470023</v>
      </c>
      <c r="H54" s="28">
        <f>'Financial Statements'!H54/'Financial Statements'!H$10</f>
        <v>0.36451739564989766</v>
      </c>
      <c r="I54" s="28">
        <f>'Financial Statements'!I54/'Financial Statements'!I$10</f>
        <v>0.36686336813436221</v>
      </c>
      <c r="J54" s="28">
        <f>'Financial Statements'!J54/'Financial Statements'!J$10</f>
        <v>0.34146237878394642</v>
      </c>
      <c r="K54" s="28">
        <f>'Financial Statements'!K54/'Financial Statements'!K$10</f>
        <v>0.35955972944084985</v>
      </c>
      <c r="L54" s="28">
        <f>'Financial Statements'!L54/'Financial Statements'!L$10</f>
        <v>0.36146015248967073</v>
      </c>
      <c r="M54" s="28">
        <f>'Financial Statements'!M54/'Financial Statements'!M$10</f>
        <v>0.39342325613545603</v>
      </c>
    </row>
    <row r="55" spans="1:13" ht="12.75" customHeight="1" x14ac:dyDescent="0.2">
      <c r="A55" s="5" t="s">
        <v>77</v>
      </c>
      <c r="B55" s="28">
        <f>'Financial Statements'!B55/'Financial Statements'!B$10</f>
        <v>0.13029493481513144</v>
      </c>
      <c r="C55" s="28">
        <f>'Financial Statements'!C55/'Financial Statements'!C$10</f>
        <v>0.22532198257893235</v>
      </c>
      <c r="D55" s="28">
        <f>'Financial Statements'!D55/'Financial Statements'!D$10</f>
        <v>0.26394052044609667</v>
      </c>
      <c r="E55" s="28">
        <f>'Financial Statements'!E55/'Financial Statements'!E$10</f>
        <v>0.15015404131931859</v>
      </c>
      <c r="F55" s="28">
        <f>'Financial Statements'!F55/'Financial Statements'!F$10</f>
        <v>0.31181710544090652</v>
      </c>
      <c r="G55" s="28">
        <f>'Financial Statements'!G55/'Financial Statements'!G$10</f>
        <v>0.30962486452470023</v>
      </c>
      <c r="H55" s="28">
        <f>'Financial Statements'!H55/'Financial Statements'!H$10</f>
        <v>0.36451739564989766</v>
      </c>
      <c r="I55" s="28">
        <f>'Financial Statements'!I55/'Financial Statements'!I$10</f>
        <v>0.36686336813436221</v>
      </c>
      <c r="J55" s="28">
        <f>'Financial Statements'!J55/'Financial Statements'!J$10</f>
        <v>0.34146237878394642</v>
      </c>
      <c r="K55" s="28">
        <f>'Financial Statements'!K55/'Financial Statements'!K$10</f>
        <v>0.35955972944084985</v>
      </c>
      <c r="L55" s="28">
        <f>'Financial Statements'!L55/'Financial Statements'!L$10</f>
        <v>0.36146015248967073</v>
      </c>
      <c r="M55" s="28">
        <f>'Financial Statements'!M55/'Financial Statements'!M$10</f>
        <v>0.39342325613545603</v>
      </c>
    </row>
    <row r="56" spans="1:13" ht="12.75" customHeight="1" x14ac:dyDescent="0.2">
      <c r="A56" s="1" t="s">
        <v>85</v>
      </c>
      <c r="B56" s="25">
        <f>'Financial Statements'!B281/'Financial Statements'!B$311</f>
        <v>3.2068182860287037E-2</v>
      </c>
      <c r="C56" s="25">
        <f>'Financial Statements'!C281/'Financial Statements'!C$311</f>
        <v>3.3648975541174769E-2</v>
      </c>
      <c r="D56" s="25">
        <f>'Financial Statements'!D281/'Financial Statements'!D$311</f>
        <v>3.0613793985106587E-2</v>
      </c>
      <c r="E56" s="25">
        <f>'Financial Statements'!E281/'Financial Statements'!E$311</f>
        <v>4.6150636667078748E-2</v>
      </c>
      <c r="F56" s="25">
        <f>'Financial Statements'!F281/'Financial Statements'!F$311</f>
        <v>3.9629252222951189E-2</v>
      </c>
      <c r="G56" s="25">
        <f>'Financial Statements'!G281/'Financial Statements'!G$311</f>
        <v>4.5056436704932777E-2</v>
      </c>
      <c r="H56" s="25">
        <f>'Financial Statements'!H281/'Financial Statements'!H$311</f>
        <v>4.2615023713295327E-2</v>
      </c>
      <c r="I56" s="25">
        <f>'Financial Statements'!I281/'Financial Statements'!I$311</f>
        <v>3.8183861418704092E-2</v>
      </c>
      <c r="J56" s="25">
        <f>'Financial Statements'!J281/'Financial Statements'!J$311</f>
        <v>8.4237916771850788E-2</v>
      </c>
      <c r="K56" s="25">
        <f>'Financial Statements'!K281/'Financial Statements'!K$311</f>
        <v>3.5760099811973922E-2</v>
      </c>
      <c r="L56" s="25">
        <f>'Financial Statements'!L281/'Financial Statements'!L$311</f>
        <v>4.8855982927384842E-2</v>
      </c>
      <c r="M56" s="25">
        <f>'Financial Statements'!M281/'Financial Statements'!M$311</f>
        <v>4.6245613832919447E-2</v>
      </c>
    </row>
    <row r="57" spans="1:13" ht="12.75" customHeight="1" x14ac:dyDescent="0.2">
      <c r="A57" s="1" t="s">
        <v>86</v>
      </c>
      <c r="B57" s="25">
        <f>'Financial Statements'!B282/'Financial Statements'!B$311</f>
        <v>0.52040442019349809</v>
      </c>
      <c r="C57" s="25">
        <f>'Financial Statements'!C282/'Financial Statements'!C$311</f>
        <v>0.55063886534207207</v>
      </c>
      <c r="D57" s="25">
        <f>'Financial Statements'!D282/'Financial Statements'!D$311</f>
        <v>0.50032759116622461</v>
      </c>
      <c r="E57" s="25">
        <f>'Financial Statements'!E282/'Financial Statements'!E$311</f>
        <v>0.47022963283471381</v>
      </c>
      <c r="F57" s="25">
        <f>'Financial Statements'!F282/'Financial Statements'!F$311</f>
        <v>0.4274068593922305</v>
      </c>
      <c r="G57" s="25">
        <f>'Financial Statements'!G282/'Financial Statements'!G$311</f>
        <v>0.40793731393809052</v>
      </c>
      <c r="H57" s="25">
        <f>'Financial Statements'!H282/'Financial Statements'!H$311</f>
        <v>0.34763121706278705</v>
      </c>
      <c r="I57" s="25">
        <f>'Financial Statements'!I282/'Financial Statements'!I$311</f>
        <v>0.24892555640828856</v>
      </c>
      <c r="J57" s="25">
        <f>'Financial Statements'!J282/'Financial Statements'!J$311</f>
        <v>0.18581664951356389</v>
      </c>
      <c r="K57" s="25">
        <f>'Financial Statements'!K282/'Financial Statements'!K$311</f>
        <v>0.11173786470322924</v>
      </c>
      <c r="L57" s="25">
        <f>'Financial Statements'!L282/'Financial Statements'!L$311</f>
        <v>0.10391387440771692</v>
      </c>
      <c r="M57" s="25">
        <f>'Financial Statements'!M282/'Financial Statements'!M$311</f>
        <v>6.6437827342025968E-2</v>
      </c>
    </row>
    <row r="58" spans="1:13" ht="12.75" customHeight="1" x14ac:dyDescent="0.2">
      <c r="A58" s="1" t="s">
        <v>170</v>
      </c>
      <c r="B58" s="25">
        <f>'Financial Statements'!B283/'Financial Statements'!B$311</f>
        <v>0</v>
      </c>
      <c r="C58" s="25">
        <f>'Financial Statements'!C283/'Financial Statements'!C$311</f>
        <v>0</v>
      </c>
      <c r="D58" s="25">
        <f>'Financial Statements'!D283/'Financial Statements'!D$311</f>
        <v>0</v>
      </c>
      <c r="E58" s="25">
        <f>'Financial Statements'!E283/'Financial Statements'!E$311</f>
        <v>0</v>
      </c>
      <c r="F58" s="25">
        <f>'Financial Statements'!F283/'Financial Statements'!F$311</f>
        <v>0</v>
      </c>
      <c r="G58" s="25">
        <f>'Financial Statements'!G283/'Financial Statements'!G$311</f>
        <v>0</v>
      </c>
      <c r="H58" s="25">
        <f>'Financial Statements'!H283/'Financial Statements'!H$311</f>
        <v>0</v>
      </c>
      <c r="I58" s="25">
        <f>'Financial Statements'!I283/'Financial Statements'!I$311</f>
        <v>0</v>
      </c>
      <c r="J58" s="25">
        <f>'Financial Statements'!J283/'Financial Statements'!J$311</f>
        <v>0</v>
      </c>
      <c r="K58" s="25">
        <f>'Financial Statements'!K283/'Financial Statements'!K$311</f>
        <v>0</v>
      </c>
      <c r="L58" s="25">
        <f>'Financial Statements'!L283/'Financial Statements'!L$311</f>
        <v>0</v>
      </c>
      <c r="M58" s="25">
        <f>'Financial Statements'!M283/'Financial Statements'!M$311</f>
        <v>0</v>
      </c>
    </row>
    <row r="59" spans="1:13" ht="12.75" customHeight="1" x14ac:dyDescent="0.2">
      <c r="A59" s="5" t="s">
        <v>87</v>
      </c>
      <c r="B59" s="26">
        <f>'Financial Statements'!B284/'Financial Statements'!B$311</f>
        <v>0.55247260305378509</v>
      </c>
      <c r="C59" s="26">
        <f>'Financial Statements'!C284/'Financial Statements'!C$311</f>
        <v>0.58428784088324681</v>
      </c>
      <c r="D59" s="26">
        <f>'Financial Statements'!D284/'Financial Statements'!D$311</f>
        <v>0.53094138515133116</v>
      </c>
      <c r="E59" s="26">
        <f>'Financial Statements'!E284/'Financial Statements'!E$311</f>
        <v>0.51638026950179261</v>
      </c>
      <c r="F59" s="26">
        <f>'Financial Statements'!F284/'Financial Statements'!F$311</f>
        <v>0.46703611161518166</v>
      </c>
      <c r="G59" s="26">
        <f>'Financial Statements'!G284/'Financial Statements'!G$311</f>
        <v>0.45299375064302333</v>
      </c>
      <c r="H59" s="26">
        <f>'Financial Statements'!H284/'Financial Statements'!H$311</f>
        <v>0.39024624077608239</v>
      </c>
      <c r="I59" s="26">
        <f>'Financial Statements'!I284/'Financial Statements'!I$311</f>
        <v>0.28710941782699267</v>
      </c>
      <c r="J59" s="26">
        <f>'Financial Statements'!J284/'Financial Statements'!J$311</f>
        <v>0.27005456628541469</v>
      </c>
      <c r="K59" s="26">
        <f>'Financial Statements'!K284/'Financial Statements'!K$311</f>
        <v>0.14749796451520317</v>
      </c>
      <c r="L59" s="26">
        <f>'Financial Statements'!L284/'Financial Statements'!L$311</f>
        <v>0.15276985733510176</v>
      </c>
      <c r="M59" s="26">
        <f>'Financial Statements'!M284/'Financial Statements'!M$311</f>
        <v>0.1126834411749454</v>
      </c>
    </row>
    <row r="60" spans="1:13" ht="12.75" customHeight="1" x14ac:dyDescent="0.2">
      <c r="A60" s="1" t="s">
        <v>55</v>
      </c>
      <c r="B60" s="25">
        <f>'Financial Statements'!B285/'Financial Statements'!B$311</f>
        <v>0.10264111146774267</v>
      </c>
      <c r="C60" s="25">
        <f>'Financial Statements'!C285/'Financial Statements'!C$311</f>
        <v>9.4470403374201414E-2</v>
      </c>
      <c r="D60" s="25">
        <f>'Financial Statements'!D285/'Financial Statements'!D$311</f>
        <v>8.9612164019303914E-2</v>
      </c>
      <c r="E60" s="25">
        <f>'Financial Statements'!E285/'Financial Statements'!E$311</f>
        <v>0.10230328223513413</v>
      </c>
      <c r="F60" s="25">
        <f>'Financial Statements'!F285/'Financial Statements'!F$311</f>
        <v>0.10303047222881391</v>
      </c>
      <c r="G60" s="25">
        <f>'Financial Statements'!G285/'Financial Statements'!G$311</f>
        <v>0.10623906860353588</v>
      </c>
      <c r="H60" s="25">
        <f>'Financial Statements'!H285/'Financial Statements'!H$311</f>
        <v>0.11397661326806061</v>
      </c>
      <c r="I60" s="25">
        <f>'Financial Statements'!I285/'Financial Statements'!I$311</f>
        <v>0.12131619339984651</v>
      </c>
      <c r="J60" s="25">
        <f>'Financial Statements'!J285/'Financial Statements'!J$311</f>
        <v>0.1181816416490281</v>
      </c>
      <c r="K60" s="25">
        <f>'Financial Statements'!K285/'Financial Statements'!K$311</f>
        <v>0.11114430366894915</v>
      </c>
      <c r="L60" s="25">
        <f>'Financial Statements'!L285/'Financial Statements'!L$311</f>
        <v>0.11293160130080145</v>
      </c>
      <c r="M60" s="25">
        <f>'Financial Statements'!M285/'Financial Statements'!M$311</f>
        <v>8.6485995955219316E-2</v>
      </c>
    </row>
    <row r="61" spans="1:13" ht="12.75" customHeight="1" x14ac:dyDescent="0.2">
      <c r="A61" s="1" t="s">
        <v>171</v>
      </c>
      <c r="B61" s="25">
        <f>'Financial Statements'!B286/'Financial Statements'!B$311</f>
        <v>0</v>
      </c>
      <c r="C61" s="25">
        <f>'Financial Statements'!C286/'Financial Statements'!C$311</f>
        <v>0</v>
      </c>
      <c r="D61" s="25">
        <f>'Financial Statements'!D286/'Financial Statements'!D$311</f>
        <v>0</v>
      </c>
      <c r="E61" s="25">
        <f>'Financial Statements'!E286/'Financial Statements'!E$311</f>
        <v>0</v>
      </c>
      <c r="F61" s="25">
        <f>'Financial Statements'!F286/'Financial Statements'!F$311</f>
        <v>0</v>
      </c>
      <c r="G61" s="25">
        <f>'Financial Statements'!G286/'Financial Statements'!G$311</f>
        <v>0</v>
      </c>
      <c r="H61" s="25">
        <f>'Financial Statements'!H286/'Financial Statements'!H$311</f>
        <v>0</v>
      </c>
      <c r="I61" s="25">
        <f>'Financial Statements'!I286/'Financial Statements'!I$311</f>
        <v>1.671965793224427E-2</v>
      </c>
      <c r="J61" s="25">
        <f>'Financial Statements'!J286/'Financial Statements'!J$311</f>
        <v>2.2331397945511387E-2</v>
      </c>
      <c r="K61" s="25">
        <f>'Financial Statements'!K286/'Financial Statements'!K$311</f>
        <v>2.0501285723490373E-2</v>
      </c>
      <c r="L61" s="25">
        <f>'Financial Statements'!L286/'Financial Statements'!L$311</f>
        <v>1.3247108656985508E-2</v>
      </c>
      <c r="M61" s="25">
        <f>'Financial Statements'!M286/'Financial Statements'!M$311</f>
        <v>2.5639991472542163E-2</v>
      </c>
    </row>
    <row r="62" spans="1:13" ht="12.75" customHeight="1" x14ac:dyDescent="0.2">
      <c r="A62" s="1" t="s">
        <v>88</v>
      </c>
      <c r="B62" s="25">
        <f>'Financial Statements'!B287/'Financial Statements'!B$311</f>
        <v>0</v>
      </c>
      <c r="C62" s="25">
        <f>'Financial Statements'!C287/'Financial Statements'!C$311</f>
        <v>0</v>
      </c>
      <c r="D62" s="25">
        <f>'Financial Statements'!D287/'Financial Statements'!D$311</f>
        <v>0</v>
      </c>
      <c r="E62" s="25">
        <f>'Financial Statements'!E287/'Financial Statements'!E$311</f>
        <v>0</v>
      </c>
      <c r="F62" s="25">
        <f>'Financial Statements'!F287/'Financial Statements'!F$311</f>
        <v>0</v>
      </c>
      <c r="G62" s="25">
        <f>'Financial Statements'!G287/'Financial Statements'!G$311</f>
        <v>0</v>
      </c>
      <c r="H62" s="25">
        <f>'Financial Statements'!H287/'Financial Statements'!H$311</f>
        <v>0</v>
      </c>
      <c r="I62" s="25">
        <f>'Financial Statements'!I287/'Financial Statements'!I$311</f>
        <v>0</v>
      </c>
      <c r="J62" s="25">
        <f>'Financial Statements'!J287/'Financial Statements'!J$311</f>
        <v>0</v>
      </c>
      <c r="K62" s="25">
        <f>'Financial Statements'!K287/'Financial Statements'!K$311</f>
        <v>0</v>
      </c>
      <c r="L62" s="25">
        <f>'Financial Statements'!L287/'Financial Statements'!L$311</f>
        <v>0</v>
      </c>
      <c r="M62" s="25">
        <f>'Financial Statements'!M287/'Financial Statements'!M$311</f>
        <v>0</v>
      </c>
    </row>
    <row r="63" spans="1:13" ht="12.75" customHeight="1" x14ac:dyDescent="0.2">
      <c r="A63" s="5" t="s">
        <v>89</v>
      </c>
      <c r="B63" s="26">
        <f>'Financial Statements'!B288/'Financial Statements'!B$311</f>
        <v>0.10264111146774267</v>
      </c>
      <c r="C63" s="26">
        <f>'Financial Statements'!C288/'Financial Statements'!C$311</f>
        <v>9.4470403374201414E-2</v>
      </c>
      <c r="D63" s="26">
        <f>'Financial Statements'!D288/'Financial Statements'!D$311</f>
        <v>8.9612164019303914E-2</v>
      </c>
      <c r="E63" s="26">
        <f>'Financial Statements'!E288/'Financial Statements'!E$311</f>
        <v>0.10230328223513413</v>
      </c>
      <c r="F63" s="26">
        <f>'Financial Statements'!F288/'Financial Statements'!F$311</f>
        <v>0.10303047222881391</v>
      </c>
      <c r="G63" s="26">
        <f>'Financial Statements'!G288/'Financial Statements'!G$311</f>
        <v>0.10623906860353588</v>
      </c>
      <c r="H63" s="26">
        <f>'Financial Statements'!H288/'Financial Statements'!H$311</f>
        <v>0.11397661326806061</v>
      </c>
      <c r="I63" s="26">
        <f>'Financial Statements'!I288/'Financial Statements'!I$311</f>
        <v>0.13803585133209079</v>
      </c>
      <c r="J63" s="26">
        <f>'Financial Statements'!J288/'Financial Statements'!J$311</f>
        <v>0.14051303959453948</v>
      </c>
      <c r="K63" s="26">
        <f>'Financial Statements'!K288/'Financial Statements'!K$311</f>
        <v>0.1316455893924395</v>
      </c>
      <c r="L63" s="26">
        <f>'Financial Statements'!L288/'Financial Statements'!L$311</f>
        <v>0.12617870995778696</v>
      </c>
      <c r="M63" s="26">
        <f>'Financial Statements'!M288/'Financial Statements'!M$311</f>
        <v>0.11212598742776149</v>
      </c>
    </row>
    <row r="64" spans="1:13" ht="12.75" customHeight="1" x14ac:dyDescent="0.2">
      <c r="A64" s="1" t="s">
        <v>90</v>
      </c>
      <c r="B64" s="25">
        <f>'Financial Statements'!B289/'Financial Statements'!B$311</f>
        <v>1.6633041404924571E-2</v>
      </c>
      <c r="C64" s="25">
        <f>'Financial Statements'!C289/'Financial Statements'!C$311</f>
        <v>1.1634999069613579E-2</v>
      </c>
      <c r="D64" s="25">
        <f>'Financial Statements'!D289/'Financial Statements'!D$311</f>
        <v>8.7131260187286261E-3</v>
      </c>
      <c r="E64" s="25">
        <f>'Financial Statements'!E289/'Financial Statements'!E$311</f>
        <v>1.0284027691927308E-2</v>
      </c>
      <c r="F64" s="25">
        <f>'Financial Statements'!F289/'Financial Statements'!F$311</f>
        <v>7.1992908890408857E-3</v>
      </c>
      <c r="G64" s="25">
        <f>'Financial Statements'!G289/'Financial Statements'!G$311</f>
        <v>6.2891829372309672E-3</v>
      </c>
      <c r="H64" s="25">
        <f>'Financial Statements'!H289/'Financial Statements'!H$311</f>
        <v>7.8974411212209272E-3</v>
      </c>
      <c r="I64" s="25">
        <f>'Financial Statements'!I289/'Financial Statements'!I$311</f>
        <v>1.0256550816796405E-2</v>
      </c>
      <c r="J64" s="25">
        <f>'Financial Statements'!J289/'Financial Statements'!J$311</f>
        <v>6.0683146591063554E-3</v>
      </c>
      <c r="K64" s="25">
        <f>'Financial Statements'!K289/'Financial Statements'!K$311</f>
        <v>2.4328192391875241E-3</v>
      </c>
      <c r="L64" s="25">
        <f>'Financial Statements'!L289/'Financial Statements'!L$311</f>
        <v>1.5153399902746837E-3</v>
      </c>
      <c r="M64" s="25">
        <f>'Financial Statements'!M289/'Financial Statements'!M$311</f>
        <v>1.7559072811813986E-3</v>
      </c>
    </row>
    <row r="65" spans="1:13" ht="12.75" customHeight="1" x14ac:dyDescent="0.2">
      <c r="A65" s="1" t="s">
        <v>91</v>
      </c>
      <c r="B65" s="25">
        <f>'Financial Statements'!B290/'Financial Statements'!B$311</f>
        <v>0</v>
      </c>
      <c r="C65" s="25">
        <f>'Financial Statements'!C290/'Financial Statements'!C$311</f>
        <v>0</v>
      </c>
      <c r="D65" s="25">
        <f>'Financial Statements'!D290/'Financial Statements'!D$311</f>
        <v>0</v>
      </c>
      <c r="E65" s="25">
        <f>'Financial Statements'!E290/'Financial Statements'!E$311</f>
        <v>0</v>
      </c>
      <c r="F65" s="25">
        <f>'Financial Statements'!F290/'Financial Statements'!F$311</f>
        <v>0</v>
      </c>
      <c r="G65" s="25">
        <f>'Financial Statements'!G290/'Financial Statements'!G$311</f>
        <v>0</v>
      </c>
      <c r="H65" s="25">
        <f>'Financial Statements'!H290/'Financial Statements'!H$311</f>
        <v>0</v>
      </c>
      <c r="I65" s="25">
        <f>'Financial Statements'!I290/'Financial Statements'!I$311</f>
        <v>0</v>
      </c>
      <c r="J65" s="25">
        <f>'Financial Statements'!J290/'Financial Statements'!J$311</f>
        <v>0</v>
      </c>
      <c r="K65" s="25">
        <f>'Financial Statements'!K290/'Financial Statements'!K$311</f>
        <v>0</v>
      </c>
      <c r="L65" s="25">
        <f>'Financial Statements'!L290/'Financial Statements'!L$311</f>
        <v>0</v>
      </c>
      <c r="M65" s="25">
        <f>'Financial Statements'!M290/'Financial Statements'!M$311</f>
        <v>0</v>
      </c>
    </row>
    <row r="66" spans="1:13" ht="12.75" customHeight="1" x14ac:dyDescent="0.2">
      <c r="A66" s="1" t="s">
        <v>172</v>
      </c>
      <c r="B66" s="25">
        <f>'Financial Statements'!B291/'Financial Statements'!B$311</f>
        <v>0</v>
      </c>
      <c r="C66" s="25">
        <f>'Financial Statements'!C291/'Financial Statements'!C$311</f>
        <v>0</v>
      </c>
      <c r="D66" s="25">
        <f>'Financial Statements'!D291/'Financial Statements'!D$311</f>
        <v>0</v>
      </c>
      <c r="E66" s="25">
        <f>'Financial Statements'!E291/'Financial Statements'!E$311</f>
        <v>0</v>
      </c>
      <c r="F66" s="25">
        <f>'Financial Statements'!F291/'Financial Statements'!F$311</f>
        <v>0</v>
      </c>
      <c r="G66" s="25">
        <f>'Financial Statements'!G291/'Financial Statements'!G$311</f>
        <v>0</v>
      </c>
      <c r="H66" s="25">
        <f>'Financial Statements'!H291/'Financial Statements'!H$311</f>
        <v>0</v>
      </c>
      <c r="I66" s="25">
        <f>'Financial Statements'!I291/'Financial Statements'!I$311</f>
        <v>0</v>
      </c>
      <c r="J66" s="25">
        <f>'Financial Statements'!J291/'Financial Statements'!J$311</f>
        <v>0</v>
      </c>
      <c r="K66" s="25">
        <f>'Financial Statements'!K291/'Financial Statements'!K$311</f>
        <v>0</v>
      </c>
      <c r="L66" s="25">
        <f>'Financial Statements'!L291/'Financial Statements'!L$311</f>
        <v>0</v>
      </c>
      <c r="M66" s="25">
        <f>'Financial Statements'!M291/'Financial Statements'!M$311</f>
        <v>0</v>
      </c>
    </row>
    <row r="67" spans="1:13" ht="12.75" customHeight="1" x14ac:dyDescent="0.2">
      <c r="A67" s="1" t="s">
        <v>173</v>
      </c>
      <c r="B67" s="25">
        <f>'Financial Statements'!B292/'Financial Statements'!B$311</f>
        <v>0</v>
      </c>
      <c r="C67" s="25">
        <f>'Financial Statements'!C292/'Financial Statements'!C$311</f>
        <v>0</v>
      </c>
      <c r="D67" s="25">
        <f>'Financial Statements'!D292/'Financial Statements'!D$311</f>
        <v>0</v>
      </c>
      <c r="E67" s="25">
        <f>'Financial Statements'!E292/'Financial Statements'!E$311</f>
        <v>0</v>
      </c>
      <c r="F67" s="25">
        <f>'Financial Statements'!F292/'Financial Statements'!F$311</f>
        <v>0</v>
      </c>
      <c r="G67" s="25">
        <f>'Financial Statements'!G292/'Financial Statements'!G$311</f>
        <v>0</v>
      </c>
      <c r="H67" s="25">
        <f>'Financial Statements'!H292/'Financial Statements'!H$311</f>
        <v>0</v>
      </c>
      <c r="I67" s="25">
        <f>'Financial Statements'!I292/'Financial Statements'!I$311</f>
        <v>0</v>
      </c>
      <c r="J67" s="25">
        <f>'Financial Statements'!J292/'Financial Statements'!J$311</f>
        <v>0</v>
      </c>
      <c r="K67" s="25">
        <f>'Financial Statements'!K292/'Financial Statements'!K$311</f>
        <v>0</v>
      </c>
      <c r="L67" s="25">
        <f>'Financial Statements'!L292/'Financial Statements'!L$311</f>
        <v>0</v>
      </c>
      <c r="M67" s="25">
        <f>'Financial Statements'!M292/'Financial Statements'!M$311</f>
        <v>0</v>
      </c>
    </row>
    <row r="68" spans="1:13" ht="12.75" customHeight="1" x14ac:dyDescent="0.2">
      <c r="A68" s="1" t="s">
        <v>174</v>
      </c>
      <c r="B68" s="25">
        <f>'Financial Statements'!B293/'Financial Statements'!B$311</f>
        <v>0</v>
      </c>
      <c r="C68" s="25">
        <f>'Financial Statements'!C293/'Financial Statements'!C$311</f>
        <v>0</v>
      </c>
      <c r="D68" s="25">
        <f>'Financial Statements'!D293/'Financial Statements'!D$311</f>
        <v>0</v>
      </c>
      <c r="E68" s="25">
        <f>'Financial Statements'!E293/'Financial Statements'!E$311</f>
        <v>0</v>
      </c>
      <c r="F68" s="25">
        <f>'Financial Statements'!F293/'Financial Statements'!F$311</f>
        <v>0</v>
      </c>
      <c r="G68" s="25">
        <f>'Financial Statements'!G293/'Financial Statements'!G$311</f>
        <v>0</v>
      </c>
      <c r="H68" s="25">
        <f>'Financial Statements'!H293/'Financial Statements'!H$311</f>
        <v>0</v>
      </c>
      <c r="I68" s="25">
        <f>'Financial Statements'!I293/'Financial Statements'!I$311</f>
        <v>0</v>
      </c>
      <c r="J68" s="25">
        <f>'Financial Statements'!J293/'Financial Statements'!J$311</f>
        <v>0</v>
      </c>
      <c r="K68" s="25">
        <f>'Financial Statements'!K293/'Financial Statements'!K$311</f>
        <v>0</v>
      </c>
      <c r="L68" s="25">
        <f>'Financial Statements'!L293/'Financial Statements'!L$311</f>
        <v>0</v>
      </c>
      <c r="M68" s="25">
        <f>'Financial Statements'!M293/'Financial Statements'!M$311</f>
        <v>0</v>
      </c>
    </row>
    <row r="69" spans="1:13" ht="12.75" customHeight="1" x14ac:dyDescent="0.2">
      <c r="A69" s="1" t="s">
        <v>130</v>
      </c>
      <c r="B69" s="25">
        <f>'Financial Statements'!B294/'Financial Statements'!B$311</f>
        <v>0</v>
      </c>
      <c r="C69" s="25">
        <f>'Financial Statements'!C294/'Financial Statements'!C$311</f>
        <v>0</v>
      </c>
      <c r="D69" s="25">
        <f>'Financial Statements'!D294/'Financial Statements'!D$311</f>
        <v>0</v>
      </c>
      <c r="E69" s="25">
        <f>'Financial Statements'!E294/'Financial Statements'!E$311</f>
        <v>0</v>
      </c>
      <c r="F69" s="25">
        <f>'Financial Statements'!F294/'Financial Statements'!F$311</f>
        <v>0</v>
      </c>
      <c r="G69" s="25">
        <f>'Financial Statements'!G294/'Financial Statements'!G$311</f>
        <v>0</v>
      </c>
      <c r="H69" s="25">
        <f>'Financial Statements'!H294/'Financial Statements'!H$311</f>
        <v>0</v>
      </c>
      <c r="I69" s="25">
        <f>'Financial Statements'!I294/'Financial Statements'!I$311</f>
        <v>0</v>
      </c>
      <c r="J69" s="25">
        <f>'Financial Statements'!J294/'Financial Statements'!J$311</f>
        <v>0</v>
      </c>
      <c r="K69" s="25">
        <f>'Financial Statements'!K294/'Financial Statements'!K$311</f>
        <v>0</v>
      </c>
      <c r="L69" s="25">
        <f>'Financial Statements'!L294/'Financial Statements'!L$311</f>
        <v>0</v>
      </c>
      <c r="M69" s="25">
        <f>'Financial Statements'!M294/'Financial Statements'!M$311</f>
        <v>0</v>
      </c>
    </row>
    <row r="70" spans="1:13" ht="12.75" customHeight="1" x14ac:dyDescent="0.2">
      <c r="A70" s="1" t="s">
        <v>175</v>
      </c>
      <c r="B70" s="25">
        <f>'Financial Statements'!B295/'Financial Statements'!B$311</f>
        <v>0</v>
      </c>
      <c r="C70" s="25">
        <f>'Financial Statements'!C295/'Financial Statements'!C$311</f>
        <v>0</v>
      </c>
      <c r="D70" s="25">
        <f>'Financial Statements'!D295/'Financial Statements'!D$311</f>
        <v>0</v>
      </c>
      <c r="E70" s="25">
        <f>'Financial Statements'!E295/'Financial Statements'!E$311</f>
        <v>0</v>
      </c>
      <c r="F70" s="25">
        <f>'Financial Statements'!F295/'Financial Statements'!F$311</f>
        <v>0</v>
      </c>
      <c r="G70" s="25">
        <f>'Financial Statements'!G295/'Financial Statements'!G$311</f>
        <v>0</v>
      </c>
      <c r="H70" s="25">
        <f>'Financial Statements'!H295/'Financial Statements'!H$311</f>
        <v>0</v>
      </c>
      <c r="I70" s="25">
        <f>'Financial Statements'!I295/'Financial Statements'!I$311</f>
        <v>0</v>
      </c>
      <c r="J70" s="25">
        <f>'Financial Statements'!J295/'Financial Statements'!J$311</f>
        <v>0</v>
      </c>
      <c r="K70" s="25">
        <f>'Financial Statements'!K295/'Financial Statements'!K$311</f>
        <v>0</v>
      </c>
      <c r="L70" s="25">
        <f>'Financial Statements'!L295/'Financial Statements'!L$311</f>
        <v>0</v>
      </c>
      <c r="M70" s="25">
        <f>'Financial Statements'!M295/'Financial Statements'!M$311</f>
        <v>0</v>
      </c>
    </row>
    <row r="71" spans="1:13" ht="12.75" customHeight="1" x14ac:dyDescent="0.2">
      <c r="A71" s="1" t="s">
        <v>131</v>
      </c>
      <c r="B71" s="25">
        <f>'Financial Statements'!B296/'Financial Statements'!B$311</f>
        <v>3.2073914438993073E-2</v>
      </c>
      <c r="C71" s="25">
        <f>'Financial Statements'!C296/'Financial Statements'!C$311</f>
        <v>3.1483242706804228E-2</v>
      </c>
      <c r="D71" s="25">
        <f>'Financial Statements'!D296/'Financial Statements'!D$311</f>
        <v>2.0706158713925022E-2</v>
      </c>
      <c r="E71" s="25">
        <f>'Financial Statements'!E296/'Financial Statements'!E$311</f>
        <v>2.648272345160094E-2</v>
      </c>
      <c r="F71" s="25">
        <f>'Financial Statements'!F296/'Financial Statements'!F$311</f>
        <v>3.5361325534973967E-2</v>
      </c>
      <c r="G71" s="25">
        <f>'Financial Statements'!G296/'Financial Statements'!G$311</f>
        <v>3.8222965640152533E-2</v>
      </c>
      <c r="H71" s="25">
        <f>'Financial Statements'!H296/'Financial Statements'!H$311</f>
        <v>4.035903996356871E-2</v>
      </c>
      <c r="I71" s="25">
        <f>'Financial Statements'!I296/'Financial Statements'!I$311</f>
        <v>2.9689727003618025E-2</v>
      </c>
      <c r="J71" s="25">
        <f>'Financial Statements'!J296/'Financial Statements'!J$311</f>
        <v>3.0615861118123387E-2</v>
      </c>
      <c r="K71" s="25">
        <f>'Financial Statements'!K296/'Financial Statements'!K$311</f>
        <v>3.0304805306123245E-2</v>
      </c>
      <c r="L71" s="25">
        <f>'Financial Statements'!L296/'Financial Statements'!L$311</f>
        <v>2.8308424999555735E-2</v>
      </c>
      <c r="M71" s="25">
        <f>'Financial Statements'!M296/'Financial Statements'!M$311</f>
        <v>2.5987139671692874E-2</v>
      </c>
    </row>
    <row r="72" spans="1:13" ht="12.75" customHeight="1" x14ac:dyDescent="0.2">
      <c r="A72" s="5" t="s">
        <v>45</v>
      </c>
      <c r="B72" s="26">
        <f>'Financial Statements'!B297/'Financial Statements'!B$311</f>
        <v>0.70382067036544549</v>
      </c>
      <c r="C72" s="26">
        <f>'Financial Statements'!C297/'Financial Statements'!C$311</f>
        <v>0.72187648603386612</v>
      </c>
      <c r="D72" s="26">
        <f>'Financial Statements'!D297/'Financial Statements'!D$311</f>
        <v>0.64997283390328875</v>
      </c>
      <c r="E72" s="26">
        <f>'Financial Statements'!E297/'Financial Statements'!E$311</f>
        <v>0.65545030288045492</v>
      </c>
      <c r="F72" s="26">
        <f>'Financial Statements'!F297/'Financial Statements'!F$311</f>
        <v>0.61262720026801043</v>
      </c>
      <c r="G72" s="26">
        <f>'Financial Statements'!G297/'Financial Statements'!G$311</f>
        <v>0.60374496782394271</v>
      </c>
      <c r="H72" s="26">
        <f>'Financial Statements'!H297/'Financial Statements'!H$311</f>
        <v>0.55247933512893266</v>
      </c>
      <c r="I72" s="26">
        <f>'Financial Statements'!I297/'Financial Statements'!I$311</f>
        <v>0.46509154697949784</v>
      </c>
      <c r="J72" s="26">
        <f>'Financial Statements'!J297/'Financial Statements'!J$311</f>
        <v>0.44725178165718393</v>
      </c>
      <c r="K72" s="26">
        <f>'Financial Statements'!K297/'Financial Statements'!K$311</f>
        <v>0.31188117845295343</v>
      </c>
      <c r="L72" s="26">
        <f>'Financial Statements'!L297/'Financial Statements'!L$311</f>
        <v>0.30877233228271916</v>
      </c>
      <c r="M72" s="26">
        <f>'Financial Statements'!M297/'Financial Statements'!M$311</f>
        <v>0.25255247555558119</v>
      </c>
    </row>
    <row r="73" spans="1:13" ht="12.75" customHeight="1" x14ac:dyDescent="0.2">
      <c r="A73" s="1" t="s">
        <v>92</v>
      </c>
      <c r="B73" s="25">
        <f>'Financial Statements'!B298/'Financial Statements'!B$311</f>
        <v>0.1853420606171764</v>
      </c>
      <c r="C73" s="25">
        <f>'Financial Statements'!C298/'Financial Statements'!C$311</f>
        <v>0.19722124589079332</v>
      </c>
      <c r="D73" s="25">
        <f>'Financial Statements'!D298/'Financial Statements'!D$311</f>
        <v>0.21760043465754739</v>
      </c>
      <c r="E73" s="25">
        <f>'Financial Statements'!E298/'Financial Statements'!E$311</f>
        <v>0.25253816911855609</v>
      </c>
      <c r="F73" s="25">
        <f>'Financial Statements'!F298/'Financial Statements'!F$311</f>
        <v>0.27633691145884226</v>
      </c>
      <c r="G73" s="25">
        <f>'Financial Statements'!G298/'Financial Statements'!G$311</f>
        <v>0.31894288625373785</v>
      </c>
      <c r="H73" s="25">
        <f>'Financial Statements'!H298/'Financial Statements'!H$311</f>
        <v>0.36597269450744357</v>
      </c>
      <c r="I73" s="25">
        <f>'Financial Statements'!I298/'Financial Statements'!I$311</f>
        <v>0.40348097796294263</v>
      </c>
      <c r="J73" s="25">
        <f>'Financial Statements'!J298/'Financial Statements'!J$311</f>
        <v>0.43264170728391943</v>
      </c>
      <c r="K73" s="25">
        <f>'Financial Statements'!K298/'Financial Statements'!K$311</f>
        <v>0.4509755683249278</v>
      </c>
      <c r="L73" s="25">
        <f>'Financial Statements'!L298/'Financial Statements'!L$311</f>
        <v>0.52252089246740319</v>
      </c>
      <c r="M73" s="25">
        <f>'Financial Statements'!M298/'Financial Statements'!M$311</f>
        <v>0.60405803280766546</v>
      </c>
    </row>
    <row r="74" spans="1:13" ht="12.75" customHeight="1" x14ac:dyDescent="0.2">
      <c r="A74" s="1" t="s">
        <v>93</v>
      </c>
      <c r="B74" s="25">
        <f>'Financial Statements'!B299/'Financial Statements'!B$311</f>
        <v>-0.10091017469851896</v>
      </c>
      <c r="C74" s="25">
        <f>'Financial Statements'!C299/'Financial Statements'!C$311</f>
        <v>-0.10234250625426428</v>
      </c>
      <c r="D74" s="25">
        <f>'Financial Statements'!D299/'Financial Statements'!D$311</f>
        <v>-9.6595448879798013E-2</v>
      </c>
      <c r="E74" s="25">
        <f>'Financial Statements'!E299/'Financial Statements'!E$311</f>
        <v>-0.11289637161577451</v>
      </c>
      <c r="F74" s="25">
        <f>'Financial Statements'!F299/'Financial Statements'!F$311</f>
        <v>-0.12329178240902301</v>
      </c>
      <c r="G74" s="25">
        <f>'Financial Statements'!G299/'Financial Statements'!G$311</f>
        <v>-0.14336350149845176</v>
      </c>
      <c r="H74" s="25">
        <f>'Financial Statements'!H299/'Financial Statements'!H$311</f>
        <v>-0.15384730615167522</v>
      </c>
      <c r="I74" s="25">
        <f>'Financial Statements'!I299/'Financial Statements'!I$311</f>
        <v>-0.16352373643240872</v>
      </c>
      <c r="J74" s="25">
        <f>'Financial Statements'!J299/'Financial Statements'!J$311</f>
        <v>-0.16566741751946715</v>
      </c>
      <c r="K74" s="25">
        <f>'Financial Statements'!K299/'Financial Statements'!K$311</f>
        <v>-0.14921226250236741</v>
      </c>
      <c r="L74" s="25">
        <f>'Financial Statements'!L299/'Financial Statements'!L$311</f>
        <v>-0.15129652037227606</v>
      </c>
      <c r="M74" s="25">
        <f>'Financial Statements'!M299/'Financial Statements'!M$311</f>
        <v>-0.16093127906105775</v>
      </c>
    </row>
    <row r="75" spans="1:13" ht="12.75" customHeight="1" x14ac:dyDescent="0.2">
      <c r="A75" s="5" t="s">
        <v>94</v>
      </c>
      <c r="B75" s="26">
        <f>'Financial Statements'!B300/'Financial Statements'!B$311</f>
        <v>8.443188591865744E-2</v>
      </c>
      <c r="C75" s="26">
        <f>'Financial Statements'!C300/'Financial Statements'!C$311</f>
        <v>9.4878739636529041E-2</v>
      </c>
      <c r="D75" s="26">
        <f>'Financial Statements'!D300/'Financial Statements'!D$311</f>
        <v>0.12100498577774937</v>
      </c>
      <c r="E75" s="26">
        <f>'Financial Statements'!E300/'Financial Statements'!E$311</f>
        <v>0.13964179750278155</v>
      </c>
      <c r="F75" s="26">
        <f>'Financial Statements'!F300/'Financial Statements'!F$311</f>
        <v>0.15304512904981923</v>
      </c>
      <c r="G75" s="26">
        <f>'Financial Statements'!G300/'Financial Statements'!G$311</f>
        <v>0.17557938475528606</v>
      </c>
      <c r="H75" s="26">
        <f>'Financial Statements'!H300/'Financial Statements'!H$311</f>
        <v>0.21212538835576833</v>
      </c>
      <c r="I75" s="26">
        <f>'Financial Statements'!I300/'Financial Statements'!I$311</f>
        <v>0.23995724153053394</v>
      </c>
      <c r="J75" s="26">
        <f>'Financial Statements'!J300/'Financial Statements'!J$311</f>
        <v>0.26697428976445231</v>
      </c>
      <c r="K75" s="26">
        <f>'Financial Statements'!K300/'Financial Statements'!K$311</f>
        <v>0.30176330582256039</v>
      </c>
      <c r="L75" s="26">
        <f>'Financial Statements'!L300/'Financial Statements'!L$311</f>
        <v>0.37122437209512715</v>
      </c>
      <c r="M75" s="26">
        <f>'Financial Statements'!M300/'Financial Statements'!M$311</f>
        <v>0.44312675374660776</v>
      </c>
    </row>
    <row r="76" spans="1:13" ht="12.75" customHeight="1" x14ac:dyDescent="0.2">
      <c r="A76" s="1" t="s">
        <v>176</v>
      </c>
      <c r="B76" s="25">
        <f>'Financial Statements'!B301/'Financial Statements'!B$311</f>
        <v>6.9082718143885558E-2</v>
      </c>
      <c r="C76" s="25">
        <f>'Financial Statements'!C301/'Financial Statements'!C$311</f>
        <v>5.3952074761717699E-2</v>
      </c>
      <c r="D76" s="25">
        <f>'Financial Statements'!D301/'Financial Statements'!D$311</f>
        <v>2.406197066061555E-2</v>
      </c>
      <c r="E76" s="25">
        <f>'Financial Statements'!E301/'Financial Statements'!E$311</f>
        <v>7.1934108047966372E-3</v>
      </c>
      <c r="F76" s="25">
        <f>'Financial Statements'!F301/'Financial Statements'!F$311</f>
        <v>9.2442663912114913E-3</v>
      </c>
      <c r="G76" s="25">
        <f>'Financial Statements'!G301/'Financial Statements'!G$311</f>
        <v>9.8403310864853925E-3</v>
      </c>
      <c r="H76" s="25">
        <f>'Financial Statements'!H301/'Financial Statements'!H$311</f>
        <v>1.792803022359106E-2</v>
      </c>
      <c r="I76" s="25">
        <f>'Financial Statements'!I301/'Financial Statements'!I$311</f>
        <v>1.8887731608376274E-2</v>
      </c>
      <c r="J76" s="25">
        <f>'Financial Statements'!J301/'Financial Statements'!J$311</f>
        <v>2.3979552206924677E-2</v>
      </c>
      <c r="K76" s="25">
        <f>'Financial Statements'!K301/'Financial Statements'!K$311</f>
        <v>2.8506549672662803E-2</v>
      </c>
      <c r="L76" s="25">
        <f>'Financial Statements'!L301/'Financial Statements'!L$311</f>
        <v>2.4886793763519724E-2</v>
      </c>
      <c r="M76" s="25">
        <f>'Financial Statements'!M301/'Financial Statements'!M$311</f>
        <v>4.8518642290429084E-2</v>
      </c>
    </row>
    <row r="77" spans="1:13" ht="12.75" customHeight="1" x14ac:dyDescent="0.2">
      <c r="A77" s="1" t="s">
        <v>56</v>
      </c>
      <c r="B77" s="25">
        <f>'Financial Statements'!B302/'Financial Statements'!B$311</f>
        <v>9.7087211701591083E-2</v>
      </c>
      <c r="C77" s="25">
        <f>'Financial Statements'!C302/'Financial Statements'!C$311</f>
        <v>9.2377033928091462E-2</v>
      </c>
      <c r="D77" s="25">
        <f>'Financial Statements'!D302/'Financial Statements'!D$311</f>
        <v>0.14031288951388668</v>
      </c>
      <c r="E77" s="25">
        <f>'Financial Statements'!E302/'Financial Statements'!E$311</f>
        <v>0.13785310297935469</v>
      </c>
      <c r="F77" s="25">
        <f>'Financial Statements'!F302/'Financial Statements'!F$311</f>
        <v>0.14665894275464481</v>
      </c>
      <c r="G77" s="25">
        <f>'Financial Statements'!G302/'Financial Statements'!G$311</f>
        <v>0.14387460132554072</v>
      </c>
      <c r="H77" s="25">
        <f>'Financial Statements'!H302/'Financial Statements'!H$311</f>
        <v>0.14893387540857872</v>
      </c>
      <c r="I77" s="25">
        <f>'Financial Statements'!I302/'Financial Statements'!I$311</f>
        <v>0.18507839052735445</v>
      </c>
      <c r="J77" s="25">
        <f>'Financial Statements'!J302/'Financial Statements'!J$311</f>
        <v>0.16478144357923763</v>
      </c>
      <c r="K77" s="25">
        <f>'Financial Statements'!K302/'Financial Statements'!K$311</f>
        <v>0.23277745561471641</v>
      </c>
      <c r="L77" s="25">
        <f>'Financial Statements'!L302/'Financial Statements'!L$311</f>
        <v>0.1930669156692294</v>
      </c>
      <c r="M77" s="25">
        <f>'Financial Statements'!M302/'Financial Statements'!M$311</f>
        <v>0.17236556289864424</v>
      </c>
    </row>
    <row r="78" spans="1:13" ht="12.75" customHeight="1" x14ac:dyDescent="0.2">
      <c r="A78" s="1" t="s">
        <v>95</v>
      </c>
      <c r="B78" s="25">
        <f>'Financial Statements'!B303/'Financial Statements'!B$311</f>
        <v>2.7712183043697557E-2</v>
      </c>
      <c r="C78" s="25">
        <f>'Financial Statements'!C303/'Financial Statements'!C$311</f>
        <v>1.9295180598341843E-2</v>
      </c>
      <c r="D78" s="25">
        <f>'Financial Statements'!D303/'Financial Statements'!D$311</f>
        <v>4.0373613730064879E-2</v>
      </c>
      <c r="E78" s="25">
        <f>'Financial Statements'!E303/'Financial Statements'!E$311</f>
        <v>3.1110922240079119E-2</v>
      </c>
      <c r="F78" s="25">
        <f>'Financial Statements'!F303/'Financial Statements'!F$311</f>
        <v>2.7045324474099304E-2</v>
      </c>
      <c r="G78" s="25">
        <f>'Financial Statements'!G303/'Financial Statements'!G$311</f>
        <v>2.3357925863974432E-2</v>
      </c>
      <c r="H78" s="25">
        <f>'Financial Statements'!H303/'Financial Statements'!H$311</f>
        <v>2.3368755973263745E-2</v>
      </c>
      <c r="I78" s="25">
        <f>'Financial Statements'!I303/'Financial Statements'!I$311</f>
        <v>3.0966999232540291E-2</v>
      </c>
      <c r="J78" s="25">
        <f>'Financial Statements'!J303/'Financial Statements'!J$311</f>
        <v>2.273433403887605E-2</v>
      </c>
      <c r="K78" s="25">
        <f>'Financial Statements'!K303/'Financial Statements'!K$311</f>
        <v>5.3883236391539413E-2</v>
      </c>
      <c r="L78" s="25">
        <f>'Financial Statements'!L303/'Financial Statements'!L$311</f>
        <v>3.6516785863719564E-2</v>
      </c>
      <c r="M78" s="25">
        <f>'Financial Statements'!M303/'Financial Statements'!M$311</f>
        <v>2.7836676135217824E-2</v>
      </c>
    </row>
    <row r="79" spans="1:13" ht="12.75" customHeight="1" x14ac:dyDescent="0.2">
      <c r="A79" s="1" t="s">
        <v>177</v>
      </c>
      <c r="B79" s="25">
        <f>'Financial Statements'!B304/'Financial Statements'!B$311</f>
        <v>0</v>
      </c>
      <c r="C79" s="25">
        <f>'Financial Statements'!C304/'Financial Statements'!C$311</f>
        <v>0</v>
      </c>
      <c r="D79" s="25">
        <f>'Financial Statements'!D304/'Financial Statements'!D$311</f>
        <v>0</v>
      </c>
      <c r="E79" s="25">
        <f>'Financial Statements'!E304/'Financial Statements'!E$311</f>
        <v>0</v>
      </c>
      <c r="F79" s="25">
        <f>'Financial Statements'!F304/'Financial Statements'!F$311</f>
        <v>0</v>
      </c>
      <c r="G79" s="25">
        <f>'Financial Statements'!G304/'Financial Statements'!G$311</f>
        <v>0</v>
      </c>
      <c r="H79" s="25">
        <f>'Financial Statements'!H304/'Financial Statements'!H$311</f>
        <v>0</v>
      </c>
      <c r="I79" s="25">
        <f>'Financial Statements'!I304/'Financial Statements'!I$311</f>
        <v>0</v>
      </c>
      <c r="J79" s="25">
        <f>'Financial Statements'!J304/'Financial Statements'!J$311</f>
        <v>0</v>
      </c>
      <c r="K79" s="25">
        <f>'Financial Statements'!K304/'Financial Statements'!K$311</f>
        <v>0</v>
      </c>
      <c r="L79" s="25">
        <f>'Financial Statements'!L304/'Financial Statements'!L$311</f>
        <v>0</v>
      </c>
      <c r="M79" s="25">
        <f>'Financial Statements'!M304/'Financial Statements'!M$311</f>
        <v>0</v>
      </c>
    </row>
    <row r="80" spans="1:13" ht="12.75" customHeight="1" x14ac:dyDescent="0.2">
      <c r="A80" s="1" t="s">
        <v>178</v>
      </c>
      <c r="B80" s="25">
        <f>'Financial Statements'!B305/'Financial Statements'!B$311</f>
        <v>0</v>
      </c>
      <c r="C80" s="25">
        <f>'Financial Statements'!C305/'Financial Statements'!C$311</f>
        <v>0</v>
      </c>
      <c r="D80" s="25">
        <f>'Financial Statements'!D305/'Financial Statements'!D$311</f>
        <v>0</v>
      </c>
      <c r="E80" s="25">
        <f>'Financial Statements'!E305/'Financial Statements'!E$311</f>
        <v>0</v>
      </c>
      <c r="F80" s="25">
        <f>'Financial Statements'!F305/'Financial Statements'!F$311</f>
        <v>0</v>
      </c>
      <c r="G80" s="25">
        <f>'Financial Statements'!G305/'Financial Statements'!G$311</f>
        <v>0</v>
      </c>
      <c r="H80" s="25">
        <f>'Financial Statements'!H305/'Financial Statements'!H$311</f>
        <v>0</v>
      </c>
      <c r="I80" s="25">
        <f>'Financial Statements'!I305/'Financial Statements'!I$311</f>
        <v>0</v>
      </c>
      <c r="J80" s="25">
        <f>'Financial Statements'!J305/'Financial Statements'!J$311</f>
        <v>0</v>
      </c>
      <c r="K80" s="25">
        <f>'Financial Statements'!K305/'Financial Statements'!K$311</f>
        <v>0</v>
      </c>
      <c r="L80" s="25">
        <f>'Financial Statements'!L305/'Financial Statements'!L$311</f>
        <v>0</v>
      </c>
      <c r="M80" s="25">
        <f>'Financial Statements'!M305/'Financial Statements'!M$311</f>
        <v>0</v>
      </c>
    </row>
    <row r="81" spans="1:13" ht="12.75" customHeight="1" x14ac:dyDescent="0.2">
      <c r="A81" s="1" t="s">
        <v>179</v>
      </c>
      <c r="B81" s="25">
        <f>'Financial Statements'!B306/'Financial Statements'!B$311</f>
        <v>0</v>
      </c>
      <c r="C81" s="25">
        <f>'Financial Statements'!C306/'Financial Statements'!C$311</f>
        <v>0</v>
      </c>
      <c r="D81" s="25">
        <f>'Financial Statements'!D306/'Financial Statements'!D$311</f>
        <v>6.7915241778260735E-3</v>
      </c>
      <c r="E81" s="25">
        <f>'Financial Statements'!E306/'Financial Statements'!E$311</f>
        <v>6.95388799604401E-3</v>
      </c>
      <c r="F81" s="25">
        <f>'Financial Statements'!F306/'Financial Statements'!F$311</f>
        <v>7.6773824313572216E-3</v>
      </c>
      <c r="G81" s="25">
        <f>'Financial Statements'!G306/'Financial Statements'!G$311</f>
        <v>8.9608411242868662E-3</v>
      </c>
      <c r="H81" s="25">
        <f>'Financial Statements'!H306/'Financial Statements'!H$311</f>
        <v>1.0186380808858557E-2</v>
      </c>
      <c r="I81" s="25">
        <f>'Financial Statements'!I306/'Financial Statements'!I$311</f>
        <v>1.0415524613529218E-2</v>
      </c>
      <c r="J81" s="25">
        <f>'Financial Statements'!J306/'Financial Statements'!J$311</f>
        <v>1.0922966386391441E-2</v>
      </c>
      <c r="K81" s="25">
        <f>'Financial Statements'!K306/'Financial Statements'!K$311</f>
        <v>9.5672666709621743E-3</v>
      </c>
      <c r="L81" s="25">
        <f>'Financial Statements'!L306/'Financial Statements'!L$311</f>
        <v>8.4006054897956869E-3</v>
      </c>
      <c r="M81" s="25">
        <f>'Financial Statements'!M306/'Financial Statements'!M$311</f>
        <v>7.3462896915710693E-3</v>
      </c>
    </row>
    <row r="82" spans="1:13" ht="12.75" customHeight="1" x14ac:dyDescent="0.2">
      <c r="A82" s="1" t="s">
        <v>132</v>
      </c>
      <c r="B82" s="25">
        <f>'Financial Statements'!B307/'Financial Statements'!B$311</f>
        <v>0</v>
      </c>
      <c r="C82" s="25">
        <f>'Financial Statements'!C307/'Financial Statements'!C$311</f>
        <v>0</v>
      </c>
      <c r="D82" s="25">
        <f>'Financial Statements'!D307/'Financial Statements'!D$311</f>
        <v>0</v>
      </c>
      <c r="E82" s="25">
        <f>'Financial Statements'!E307/'Financial Statements'!E$311</f>
        <v>0</v>
      </c>
      <c r="F82" s="25">
        <f>'Financial Statements'!F307/'Financial Statements'!F$311</f>
        <v>0</v>
      </c>
      <c r="G82" s="25">
        <f>'Financial Statements'!G307/'Financial Statements'!G$311</f>
        <v>0</v>
      </c>
      <c r="H82" s="25">
        <f>'Financial Statements'!H307/'Financial Statements'!H$311</f>
        <v>0</v>
      </c>
      <c r="I82" s="25">
        <f>'Financial Statements'!I307/'Financial Statements'!I$311</f>
        <v>0</v>
      </c>
      <c r="J82" s="25">
        <f>'Financial Statements'!J307/'Financial Statements'!J$311</f>
        <v>0</v>
      </c>
      <c r="K82" s="25">
        <f>'Financial Statements'!K307/'Financial Statements'!K$311</f>
        <v>0</v>
      </c>
      <c r="L82" s="25">
        <f>'Financial Statements'!L307/'Financial Statements'!L$311</f>
        <v>0</v>
      </c>
      <c r="M82" s="25">
        <f>'Financial Statements'!M307/'Financial Statements'!M$311</f>
        <v>0</v>
      </c>
    </row>
    <row r="83" spans="1:13" ht="12.75" customHeight="1" x14ac:dyDescent="0.2">
      <c r="A83" s="1" t="s">
        <v>133</v>
      </c>
      <c r="B83" s="25">
        <f>'Financial Statements'!B308/'Financial Statements'!B$311</f>
        <v>1.3067999449768444E-3</v>
      </c>
      <c r="C83" s="25">
        <f>'Financial Statements'!C308/'Financial Statements'!C$311</f>
        <v>1.1319701449335291E-3</v>
      </c>
      <c r="D83" s="25">
        <f>'Financial Statements'!D308/'Financial Statements'!D$311</f>
        <v>9.9076352711815661E-4</v>
      </c>
      <c r="E83" s="25">
        <f>'Financial Statements'!E308/'Financial Statements'!E$311</f>
        <v>5.2888181481023609E-3</v>
      </c>
      <c r="F83" s="25">
        <f>'Financial Statements'!F308/'Financial Statements'!F$311</f>
        <v>2.6298524546685464E-2</v>
      </c>
      <c r="G83" s="25">
        <f>'Financial Statements'!G308/'Financial Statements'!G$311</f>
        <v>2.1257106444836065E-2</v>
      </c>
      <c r="H83" s="25">
        <f>'Financial Statements'!H308/'Financial Statements'!H$311</f>
        <v>2.1514235467180381E-2</v>
      </c>
      <c r="I83" s="25">
        <f>'Financial Statements'!I308/'Financial Statements'!I$311</f>
        <v>3.7043635566275629E-2</v>
      </c>
      <c r="J83" s="25">
        <f>'Financial Statements'!J308/'Financial Statements'!J$311</f>
        <v>4.8942171388624583E-2</v>
      </c>
      <c r="K83" s="25">
        <f>'Financial Statements'!K308/'Financial Statements'!K$311</f>
        <v>4.3482250767821966E-2</v>
      </c>
      <c r="L83" s="25">
        <f>'Financial Statements'!L308/'Financial Statements'!L$311</f>
        <v>4.7024004730187093E-2</v>
      </c>
      <c r="M83" s="25">
        <f>'Financial Statements'!M308/'Financial Statements'!M$311</f>
        <v>0</v>
      </c>
    </row>
    <row r="84" spans="1:13" ht="12.75" customHeight="1" x14ac:dyDescent="0.2">
      <c r="A84" s="1" t="s">
        <v>180</v>
      </c>
      <c r="B84" s="25">
        <f>'Financial Statements'!B309/'Financial Statements'!B$311</f>
        <v>0</v>
      </c>
      <c r="C84" s="25">
        <f>'Financial Statements'!C309/'Financial Statements'!C$311</f>
        <v>0</v>
      </c>
      <c r="D84" s="25">
        <f>'Financial Statements'!D309/'Financial Statements'!D$311</f>
        <v>0</v>
      </c>
      <c r="E84" s="25">
        <f>'Financial Statements'!E309/'Financial Statements'!E$311</f>
        <v>0</v>
      </c>
      <c r="F84" s="25">
        <f>'Financial Statements'!F309/'Financial Statements'!F$311</f>
        <v>0</v>
      </c>
      <c r="G84" s="25">
        <f>'Financial Statements'!G309/'Financial Statements'!G$311</f>
        <v>0</v>
      </c>
      <c r="H84" s="25">
        <f>'Financial Statements'!H309/'Financial Statements'!H$311</f>
        <v>0</v>
      </c>
      <c r="I84" s="25">
        <f>'Financial Statements'!I309/'Financial Statements'!I$311</f>
        <v>0</v>
      </c>
      <c r="J84" s="25">
        <f>'Financial Statements'!J309/'Financial Statements'!J$311</f>
        <v>0</v>
      </c>
      <c r="K84" s="25">
        <f>'Financial Statements'!K309/'Financial Statements'!K$311</f>
        <v>0</v>
      </c>
      <c r="L84" s="25">
        <f>'Financial Statements'!L309/'Financial Statements'!L$311</f>
        <v>0</v>
      </c>
      <c r="M84" s="25">
        <f>'Financial Statements'!M309/'Financial Statements'!M$311</f>
        <v>0</v>
      </c>
    </row>
    <row r="85" spans="1:13" ht="12.75" customHeight="1" x14ac:dyDescent="0.2">
      <c r="A85" s="1" t="s">
        <v>134</v>
      </c>
      <c r="B85" s="25">
        <f>'Financial Statements'!B310/'Financial Statements'!B$311</f>
        <v>1.6558530881746067E-2</v>
      </c>
      <c r="C85" s="25">
        <f>'Financial Statements'!C310/'Financial Statements'!C$311</f>
        <v>1.6488514896520354E-2</v>
      </c>
      <c r="D85" s="25">
        <f>'Financial Statements'!D310/'Financial Statements'!D$311</f>
        <v>1.6491418709450607E-2</v>
      </c>
      <c r="E85" s="25">
        <f>'Financial Statements'!E310/'Financial Statements'!E$311</f>
        <v>1.6507757448386697E-2</v>
      </c>
      <c r="F85" s="25">
        <f>'Financial Statements'!F310/'Financial Statements'!F$311</f>
        <v>1.7403230084172029E-2</v>
      </c>
      <c r="G85" s="25">
        <f>'Financial Statements'!G310/'Financial Statements'!G$311</f>
        <v>1.3384841575647753E-2</v>
      </c>
      <c r="H85" s="25">
        <f>'Financial Statements'!H310/'Financial Statements'!H$311</f>
        <v>1.3463998633826574E-2</v>
      </c>
      <c r="I85" s="25">
        <f>'Financial Statements'!I310/'Financial Statements'!I$311</f>
        <v>1.2558929941892337E-2</v>
      </c>
      <c r="J85" s="25">
        <f>'Financial Statements'!J310/'Financial Statements'!J$311</f>
        <v>1.4413460978309416E-2</v>
      </c>
      <c r="K85" s="25">
        <f>'Financial Statements'!K310/'Financial Statements'!K$311</f>
        <v>1.8138756606783386E-2</v>
      </c>
      <c r="L85" s="25">
        <f>'Financial Statements'!L310/'Financial Statements'!L$311</f>
        <v>1.0108190105702235E-2</v>
      </c>
      <c r="M85" s="25">
        <f>'Financial Statements'!M310/'Financial Statements'!M$311</f>
        <v>4.8253599681948867E-2</v>
      </c>
    </row>
    <row r="86" spans="1:13" ht="12.75" customHeight="1" thickBot="1" x14ac:dyDescent="0.25">
      <c r="A86" s="58" t="s">
        <v>267</v>
      </c>
      <c r="B86" s="29">
        <f>'Financial Statements'!B311/'Financial Statements'!B$311</f>
        <v>1</v>
      </c>
      <c r="C86" s="29">
        <f>'Financial Statements'!C311/'Financial Statements'!C$311</f>
        <v>1</v>
      </c>
      <c r="D86" s="29">
        <f>'Financial Statements'!D311/'Financial Statements'!D$311</f>
        <v>1</v>
      </c>
      <c r="E86" s="29">
        <f>'Financial Statements'!E311/'Financial Statements'!E$311</f>
        <v>1</v>
      </c>
      <c r="F86" s="29">
        <f>'Financial Statements'!F311/'Financial Statements'!F$311</f>
        <v>1</v>
      </c>
      <c r="G86" s="29">
        <f>'Financial Statements'!G311/'Financial Statements'!G$311</f>
        <v>1</v>
      </c>
      <c r="H86" s="29">
        <f>'Financial Statements'!H311/'Financial Statements'!H$311</f>
        <v>1</v>
      </c>
      <c r="I86" s="29">
        <f>'Financial Statements'!I311/'Financial Statements'!I$311</f>
        <v>1</v>
      </c>
      <c r="J86" s="29">
        <f>'Financial Statements'!J311/'Financial Statements'!J$311</f>
        <v>1</v>
      </c>
      <c r="K86" s="29">
        <f>'Financial Statements'!K311/'Financial Statements'!K$311</f>
        <v>1</v>
      </c>
      <c r="L86" s="29">
        <f>'Financial Statements'!L311/'Financial Statements'!L$311</f>
        <v>1</v>
      </c>
      <c r="M86" s="29">
        <f>'Financial Statements'!M311/'Financial Statements'!M$311</f>
        <v>1</v>
      </c>
    </row>
    <row r="87" spans="1:13" ht="12.75" customHeight="1" thickTop="1" x14ac:dyDescent="0.2">
      <c r="A87" s="1" t="s">
        <v>50</v>
      </c>
      <c r="B87" s="25">
        <f>'Financial Statements'!B312/'Financial Statements'!B$346</f>
        <v>3.7776835251501675E-2</v>
      </c>
      <c r="C87" s="25">
        <f>'Financial Statements'!C312/'Financial Statements'!C$346</f>
        <v>3.5654475158682572E-2</v>
      </c>
      <c r="D87" s="25">
        <f>'Financial Statements'!D312/'Financial Statements'!D$346</f>
        <v>2.9523155102432166E-2</v>
      </c>
      <c r="E87" s="25">
        <f>'Financial Statements'!E312/'Financial Statements'!E$346</f>
        <v>3.3289807145506244E-2</v>
      </c>
      <c r="F87" s="25">
        <f>'Financial Statements'!F312/'Financial Statements'!F$346</f>
        <v>3.2740546350451573E-2</v>
      </c>
      <c r="G87" s="25">
        <f>'Financial Statements'!G312/'Financial Statements'!G$346</f>
        <v>4.1584940476783128E-2</v>
      </c>
      <c r="H87" s="25">
        <f>'Financial Statements'!H312/'Financial Statements'!H$346</f>
        <v>4.5428262413153613E-2</v>
      </c>
      <c r="I87" s="25">
        <f>'Financial Statements'!I312/'Financial Statements'!I$346</f>
        <v>5.2077623067646094E-2</v>
      </c>
      <c r="J87" s="25">
        <f>'Financial Statements'!J312/'Financial Statements'!J$346</f>
        <v>4.3922461502611802E-2</v>
      </c>
      <c r="K87" s="25">
        <f>'Financial Statements'!K312/'Financial Statements'!K$346</f>
        <v>4.2947264835608977E-2</v>
      </c>
      <c r="L87" s="25">
        <f>'Financial Statements'!L312/'Financial Statements'!L$346</f>
        <v>4.4788151269056851E-2</v>
      </c>
      <c r="M87" s="25">
        <f>'Financial Statements'!M312/'Financial Statements'!M$346</f>
        <v>5.4035561803903037E-2</v>
      </c>
    </row>
    <row r="88" spans="1:13" ht="12.75" customHeight="1" x14ac:dyDescent="0.2">
      <c r="A88" s="1" t="s">
        <v>96</v>
      </c>
      <c r="B88" s="25">
        <f>'Financial Statements'!B313/'Financial Statements'!B$346</f>
        <v>2.9208125085973681E-2</v>
      </c>
      <c r="C88" s="25">
        <f>'Financial Statements'!C313/'Financial Statements'!C$346</f>
        <v>2.7208633985982177E-2</v>
      </c>
      <c r="D88" s="25">
        <f>'Financial Statements'!D313/'Financial Statements'!D$346</f>
        <v>2.3246987759276423E-2</v>
      </c>
      <c r="E88" s="25">
        <f>'Financial Statements'!E313/'Financial Statements'!E$346</f>
        <v>2.3577543577698108E-2</v>
      </c>
      <c r="F88" s="25">
        <f>'Financial Statements'!F313/'Financial Statements'!F$346</f>
        <v>2.3834782730077192E-2</v>
      </c>
      <c r="G88" s="25">
        <f>'Financial Statements'!G313/'Financial Statements'!G$346</f>
        <v>2.6132467782457328E-2</v>
      </c>
      <c r="H88" s="25">
        <f>'Financial Statements'!H313/'Financial Statements'!H$346</f>
        <v>3.0130715233732501E-2</v>
      </c>
      <c r="I88" s="25">
        <f>'Financial Statements'!I313/'Financial Statements'!I$346</f>
        <v>2.9221028396009211E-2</v>
      </c>
      <c r="J88" s="25">
        <f>'Financial Statements'!J313/'Financial Statements'!J$346</f>
        <v>2.6722430432840748E-2</v>
      </c>
      <c r="K88" s="25">
        <f>'Financial Statements'!K313/'Financial Statements'!K$346</f>
        <v>2.4531252745707909E-2</v>
      </c>
      <c r="L88" s="25">
        <f>'Financial Statements'!L313/'Financial Statements'!L$346</f>
        <v>2.2146903973001748E-2</v>
      </c>
      <c r="M88" s="25">
        <f>'Financial Statements'!M313/'Financial Statements'!M$346</f>
        <v>1.6233859769412929E-2</v>
      </c>
    </row>
    <row r="89" spans="1:13" ht="12.75" customHeight="1" x14ac:dyDescent="0.2">
      <c r="A89" s="1" t="s">
        <v>181</v>
      </c>
      <c r="B89" s="25">
        <f>'Financial Statements'!B314/'Financial Statements'!B$346</f>
        <v>2.9099225090558945E-2</v>
      </c>
      <c r="C89" s="25">
        <f>'Financial Statements'!C314/'Financial Statements'!C$346</f>
        <v>6.8217999875948482E-2</v>
      </c>
      <c r="D89" s="25">
        <f>'Financial Statements'!D314/'Financial Statements'!D$346</f>
        <v>3.6242769024257729E-2</v>
      </c>
      <c r="E89" s="25">
        <f>'Financial Statements'!E314/'Financial Statements'!E$346</f>
        <v>0</v>
      </c>
      <c r="F89" s="25">
        <f>'Financial Statements'!F314/'Financial Statements'!F$346</f>
        <v>0</v>
      </c>
      <c r="G89" s="25">
        <f>'Financial Statements'!G314/'Financial Statements'!G$346</f>
        <v>0</v>
      </c>
      <c r="H89" s="25">
        <f>'Financial Statements'!H314/'Financial Statements'!H$346</f>
        <v>0</v>
      </c>
      <c r="I89" s="25">
        <f>'Financial Statements'!I314/'Financial Statements'!I$346</f>
        <v>0</v>
      </c>
      <c r="J89" s="25">
        <f>'Financial Statements'!J314/'Financial Statements'!J$346</f>
        <v>0</v>
      </c>
      <c r="K89" s="25">
        <f>'Financial Statements'!K314/'Financial Statements'!K$346</f>
        <v>1.3068105271173434E-2</v>
      </c>
      <c r="L89" s="25">
        <f>'Financial Statements'!L314/'Financial Statements'!L$346</f>
        <v>0</v>
      </c>
      <c r="M89" s="25">
        <f>'Financial Statements'!M314/'Financial Statements'!M$346</f>
        <v>0</v>
      </c>
    </row>
    <row r="90" spans="1:13" ht="12.75" customHeight="1" x14ac:dyDescent="0.2">
      <c r="A90" s="1" t="s">
        <v>182</v>
      </c>
      <c r="B90" s="25">
        <f>'Financial Statements'!B315/'Financial Statements'!B$346</f>
        <v>1.4323215186390939E-2</v>
      </c>
      <c r="C90" s="25">
        <f>'Financial Statements'!C315/'Financial Statements'!C$346</f>
        <v>0</v>
      </c>
      <c r="D90" s="25">
        <f>'Financial Statements'!D315/'Financial Statements'!D$346</f>
        <v>4.1907699191409123E-3</v>
      </c>
      <c r="E90" s="25">
        <f>'Financial Statements'!E315/'Financial Statements'!E$346</f>
        <v>1.544535789343553E-2</v>
      </c>
      <c r="F90" s="25">
        <f>'Financial Statements'!F315/'Financial Statements'!F$346</f>
        <v>1.9249291586984744E-2</v>
      </c>
      <c r="G90" s="25">
        <f>'Financial Statements'!G315/'Financial Statements'!G$346</f>
        <v>1.2442293842574616E-2</v>
      </c>
      <c r="H90" s="25">
        <f>'Financial Statements'!H315/'Financial Statements'!H$346</f>
        <v>2.4183666437972432E-2</v>
      </c>
      <c r="I90" s="25">
        <f>'Financial Statements'!I315/'Financial Statements'!I$346</f>
        <v>7.5348097796294269E-3</v>
      </c>
      <c r="J90" s="25">
        <f>'Financial Statements'!J315/'Financial Statements'!J$346</f>
        <v>1.273617880653242E-2</v>
      </c>
      <c r="K90" s="25">
        <f>'Financial Statements'!K315/'Financial Statements'!K$346</f>
        <v>4.3911801516314146E-3</v>
      </c>
      <c r="L90" s="25">
        <f>'Financial Statements'!L315/'Financial Statements'!L$346</f>
        <v>4.8448876661340897E-3</v>
      </c>
      <c r="M90" s="25">
        <f>'Financial Statements'!M315/'Financial Statements'!M$346</f>
        <v>1.2732128349764055E-2</v>
      </c>
    </row>
    <row r="91" spans="1:13" ht="12.75" customHeight="1" x14ac:dyDescent="0.2">
      <c r="A91" s="1" t="s">
        <v>471</v>
      </c>
      <c r="B91" s="25">
        <f>'Financial Statements'!B316/'Financial Statements'!B$346</f>
        <v>0</v>
      </c>
      <c r="C91" s="25">
        <f>'Financial Statements'!C316/'Financial Statements'!C$346</f>
        <v>1.292203361796266E-4</v>
      </c>
      <c r="D91" s="25">
        <f>'Financial Statements'!D316/'Financial Statements'!D$346</f>
        <v>6.1363418453769698E-3</v>
      </c>
      <c r="E91" s="25">
        <f>'Financial Statements'!E316/'Financial Statements'!E$346</f>
        <v>6.0846519965385088E-3</v>
      </c>
      <c r="F91" s="25">
        <f>'Financial Statements'!F316/'Financial Statements'!F$346</f>
        <v>6.3931657337483773E-3</v>
      </c>
      <c r="G91" s="25">
        <f>'Financial Statements'!G316/'Financial Statements'!G$346</f>
        <v>7.1553975792453643E-3</v>
      </c>
      <c r="H91" s="25">
        <f>'Financial Statements'!H316/'Financial Statements'!H$346</f>
        <v>8.2479724608198832E-3</v>
      </c>
      <c r="I91" s="25">
        <f>'Financial Statements'!I316/'Financial Statements'!I$346</f>
        <v>9.0121697182326491E-3</v>
      </c>
      <c r="J91" s="25">
        <f>'Financial Statements'!J316/'Financial Statements'!J$346</f>
        <v>8.7529370642950074E-3</v>
      </c>
      <c r="K91" s="25">
        <f>'Financial Statements'!K316/'Financial Statements'!K$346</f>
        <v>1.1576392671864231E-2</v>
      </c>
      <c r="L91" s="25">
        <f>'Financial Statements'!L316/'Financial Statements'!L$346</f>
        <v>1.3886847075054564E-2</v>
      </c>
      <c r="M91" s="25">
        <f>'Financial Statements'!M316/'Financial Statements'!M$346</f>
        <v>1.3825429109744925E-2</v>
      </c>
    </row>
    <row r="92" spans="1:13" ht="12.75" customHeight="1" x14ac:dyDescent="0.2">
      <c r="A92" s="1" t="s">
        <v>183</v>
      </c>
      <c r="B92" s="25">
        <f>'Financial Statements'!B317/'Financial Statements'!B$346</f>
        <v>0</v>
      </c>
      <c r="C92" s="25">
        <f>'Financial Statements'!C317/'Financial Statements'!C$346</f>
        <v>0</v>
      </c>
      <c r="D92" s="25">
        <f>'Financial Statements'!D317/'Financial Statements'!D$346</f>
        <v>0</v>
      </c>
      <c r="E92" s="25">
        <f>'Financial Statements'!E317/'Financial Statements'!E$346</f>
        <v>0</v>
      </c>
      <c r="F92" s="25">
        <f>'Financial Statements'!F317/'Financial Statements'!F$346</f>
        <v>0</v>
      </c>
      <c r="G92" s="25">
        <f>'Financial Statements'!G317/'Financial Statements'!G$346</f>
        <v>0</v>
      </c>
      <c r="H92" s="25">
        <f>'Financial Statements'!H317/'Financial Statements'!H$346</f>
        <v>0</v>
      </c>
      <c r="I92" s="25">
        <f>'Financial Statements'!I317/'Financial Statements'!I$346</f>
        <v>0</v>
      </c>
      <c r="J92" s="25">
        <f>'Financial Statements'!J317/'Financial Statements'!J$346</f>
        <v>0</v>
      </c>
      <c r="K92" s="25">
        <f>'Financial Statements'!K317/'Financial Statements'!K$346</f>
        <v>0</v>
      </c>
      <c r="L92" s="25">
        <f>'Financial Statements'!L317/'Financial Statements'!L$346</f>
        <v>0</v>
      </c>
      <c r="M92" s="25">
        <f>'Financial Statements'!M317/'Financial Statements'!M$346</f>
        <v>0</v>
      </c>
    </row>
    <row r="93" spans="1:13" ht="12.75" customHeight="1" x14ac:dyDescent="0.2">
      <c r="A93" s="1" t="s">
        <v>184</v>
      </c>
      <c r="B93" s="25">
        <f>'Financial Statements'!B318/'Financial Statements'!B$346</f>
        <v>0</v>
      </c>
      <c r="C93" s="25">
        <f>'Financial Statements'!C318/'Financial Statements'!C$346</f>
        <v>0</v>
      </c>
      <c r="D93" s="25">
        <f>'Financial Statements'!D318/'Financial Statements'!D$346</f>
        <v>0</v>
      </c>
      <c r="E93" s="25">
        <f>'Financial Statements'!E318/'Financial Statements'!E$346</f>
        <v>0</v>
      </c>
      <c r="F93" s="25">
        <f>'Financial Statements'!F318/'Financial Statements'!F$346</f>
        <v>0</v>
      </c>
      <c r="G93" s="25">
        <f>'Financial Statements'!G318/'Financial Statements'!G$346</f>
        <v>0</v>
      </c>
      <c r="H93" s="25">
        <f>'Financial Statements'!H318/'Financial Statements'!H$346</f>
        <v>0</v>
      </c>
      <c r="I93" s="25">
        <f>'Financial Statements'!I318/'Financial Statements'!I$346</f>
        <v>0</v>
      </c>
      <c r="J93" s="25">
        <f>'Financial Statements'!J318/'Financial Statements'!J$346</f>
        <v>0</v>
      </c>
      <c r="K93" s="25">
        <f>'Financial Statements'!K318/'Financial Statements'!K$346</f>
        <v>0</v>
      </c>
      <c r="L93" s="25">
        <f>'Financial Statements'!L318/'Financial Statements'!L$346</f>
        <v>0</v>
      </c>
      <c r="M93" s="25">
        <f>'Financial Statements'!M318/'Financial Statements'!M$346</f>
        <v>0</v>
      </c>
    </row>
    <row r="94" spans="1:13" ht="12.75" customHeight="1" x14ac:dyDescent="0.2">
      <c r="A94" s="1" t="s">
        <v>185</v>
      </c>
      <c r="B94" s="25">
        <f>'Financial Statements'!B319/'Financial Statements'!B$346</f>
        <v>3.4733366958595076E-3</v>
      </c>
      <c r="C94" s="25">
        <f>'Financial Statements'!C319/'Financial Statements'!C$346</f>
        <v>2.9979117993673373E-3</v>
      </c>
      <c r="D94" s="25">
        <f>'Financial Statements'!D319/'Financial Statements'!D$346</f>
        <v>2.8684202115759534E-3</v>
      </c>
      <c r="E94" s="25">
        <f>'Financial Statements'!E319/'Financial Statements'!E$346</f>
        <v>8.193998022005192E-3</v>
      </c>
      <c r="F94" s="25">
        <f>'Financial Statements'!F319/'Financial Statements'!F$346</f>
        <v>1.9769259760744846E-2</v>
      </c>
      <c r="G94" s="25">
        <f>'Financial Statements'!G319/'Financial Statements'!G$346</f>
        <v>7.0691079980485282E-3</v>
      </c>
      <c r="H94" s="25">
        <f>'Financial Statements'!H319/'Financial Statements'!H$346</f>
        <v>6.5132917289583824E-3</v>
      </c>
      <c r="I94" s="25">
        <f>'Financial Statements'!I319/'Financial Statements'!I$346</f>
        <v>1.1147352264006139E-2</v>
      </c>
      <c r="J94" s="25">
        <f>'Financial Statements'!J319/'Financial Statements'!J$346</f>
        <v>1.0078256985843836E-2</v>
      </c>
      <c r="K94" s="25">
        <f>'Financial Statements'!K319/'Financial Statements'!K$346</f>
        <v>9.7957095690239249E-3</v>
      </c>
      <c r="L94" s="25">
        <f>'Financial Statements'!L319/'Financial Statements'!L$346</f>
        <v>1.1649378112868597E-2</v>
      </c>
      <c r="M94" s="25">
        <f>'Financial Statements'!M319/'Financial Statements'!M$346</f>
        <v>5.132319641385827E-3</v>
      </c>
    </row>
    <row r="95" spans="1:13" ht="12.75" customHeight="1" x14ac:dyDescent="0.2">
      <c r="A95" s="1" t="s">
        <v>135</v>
      </c>
      <c r="B95" s="25">
        <f>'Financial Statements'!B320/'Financial Statements'!B$346</f>
        <v>0.13310445229033885</v>
      </c>
      <c r="C95" s="25">
        <f>'Financial Statements'!C320/'Financial Statements'!C$346</f>
        <v>0.14197696776727933</v>
      </c>
      <c r="D95" s="25">
        <f>'Financial Statements'!D320/'Financial Statements'!D$346</f>
        <v>9.5932276518904402E-2</v>
      </c>
      <c r="E95" s="25">
        <f>'Financial Statements'!E320/'Financial Statements'!E$346</f>
        <v>0.11166785140314006</v>
      </c>
      <c r="F95" s="25">
        <f>'Financial Statements'!F320/'Financial Statements'!F$346</f>
        <v>0.11403006742137663</v>
      </c>
      <c r="G95" s="25">
        <f>'Financial Statements'!G320/'Financial Statements'!G$346</f>
        <v>0.11947788165715822</v>
      </c>
      <c r="H95" s="25">
        <f>'Financial Statements'!H320/'Financial Statements'!H$346</f>
        <v>0.12440866561407399</v>
      </c>
      <c r="I95" s="25">
        <f>'Financial Statements'!I320/'Financial Statements'!I$346</f>
        <v>0.1248163578554983</v>
      </c>
      <c r="J95" s="25">
        <f>'Financial Statements'!J320/'Financial Statements'!J$346</f>
        <v>0.12355331378526904</v>
      </c>
      <c r="K95" s="25">
        <f>'Financial Statements'!K320/'Financial Statements'!K$346</f>
        <v>0.1124290509076212</v>
      </c>
      <c r="L95" s="25">
        <f>'Financial Statements'!L320/'Financial Statements'!L$346</f>
        <v>0.10428867065264627</v>
      </c>
      <c r="M95" s="25">
        <f>'Financial Statements'!M320/'Financial Statements'!M$346</f>
        <v>7.3353422794816686E-2</v>
      </c>
    </row>
    <row r="96" spans="1:13" ht="12.75" customHeight="1" x14ac:dyDescent="0.2">
      <c r="A96" s="1" t="s">
        <v>186</v>
      </c>
      <c r="B96" s="25">
        <f>'Financial Statements'!B321/'Financial Statements'!B$346</f>
        <v>0</v>
      </c>
      <c r="C96" s="25">
        <f>'Financial Statements'!C321/'Financial Statements'!C$346</f>
        <v>0</v>
      </c>
      <c r="D96" s="25">
        <f>'Financial Statements'!D321/'Financial Statements'!D$346</f>
        <v>0</v>
      </c>
      <c r="E96" s="25">
        <f>'Financial Statements'!E321/'Financial Statements'!E$346</f>
        <v>0</v>
      </c>
      <c r="F96" s="25">
        <f>'Financial Statements'!F321/'Financial Statements'!F$346</f>
        <v>0</v>
      </c>
      <c r="G96" s="25">
        <f>'Financial Statements'!G321/'Financial Statements'!G$346</f>
        <v>0</v>
      </c>
      <c r="H96" s="25">
        <f>'Financial Statements'!H321/'Financial Statements'!H$346</f>
        <v>0</v>
      </c>
      <c r="I96" s="25">
        <f>'Financial Statements'!I321/'Financial Statements'!I$346</f>
        <v>0</v>
      </c>
      <c r="J96" s="25">
        <f>'Financial Statements'!J321/'Financial Statements'!J$346</f>
        <v>0</v>
      </c>
      <c r="K96" s="25">
        <f>'Financial Statements'!K321/'Financial Statements'!K$346</f>
        <v>0</v>
      </c>
      <c r="L96" s="25">
        <f>'Financial Statements'!L321/'Financial Statements'!L$346</f>
        <v>0</v>
      </c>
      <c r="M96" s="25">
        <f>'Financial Statements'!M321/'Financial Statements'!M$346</f>
        <v>0</v>
      </c>
    </row>
    <row r="97" spans="1:13" ht="12.75" customHeight="1" x14ac:dyDescent="0.2">
      <c r="A97" s="1" t="s">
        <v>136</v>
      </c>
      <c r="B97" s="25">
        <f>'Financial Statements'!B322/'Financial Statements'!B$346</f>
        <v>3.7570498418084276E-2</v>
      </c>
      <c r="C97" s="25">
        <f>'Financial Statements'!C322/'Financial Statements'!C$346</f>
        <v>3.0620050861124321E-2</v>
      </c>
      <c r="D97" s="25">
        <f>'Financial Statements'!D322/'Financial Statements'!D$346</f>
        <v>2.4561347438396882E-2</v>
      </c>
      <c r="E97" s="25">
        <f>'Financial Statements'!E322/'Financial Statements'!E$346</f>
        <v>2.7695790579799727E-2</v>
      </c>
      <c r="F97" s="25">
        <f>'Financial Statements'!F322/'Financial Statements'!F$346</f>
        <v>2.6239199318806795E-2</v>
      </c>
      <c r="G97" s="25">
        <f>'Financial Statements'!G322/'Financial Statements'!G$346</f>
        <v>2.6122511292319232E-2</v>
      </c>
      <c r="H97" s="25">
        <f>'Financial Statements'!H322/'Financial Statements'!H$346</f>
        <v>2.670329769098715E-2</v>
      </c>
      <c r="I97" s="25">
        <f>'Financial Statements'!I322/'Financial Statements'!I$346</f>
        <v>2.6803530314658479E-2</v>
      </c>
      <c r="J97" s="25">
        <f>'Financial Statements'!J322/'Financial Statements'!J$346</f>
        <v>2.7037982795114279E-2</v>
      </c>
      <c r="K97" s="25">
        <f>'Financial Statements'!K322/'Financial Statements'!K$346</f>
        <v>2.5882385100056037E-2</v>
      </c>
      <c r="L97" s="25">
        <f>'Financial Statements'!L322/'Financial Statements'!L$346</f>
        <v>2.6532989339308533E-2</v>
      </c>
      <c r="M97" s="25">
        <f>'Financial Statements'!M322/'Financial Statements'!M$346</f>
        <v>2.1540473734853679E-2</v>
      </c>
    </row>
    <row r="98" spans="1:13" ht="12.75" customHeight="1" x14ac:dyDescent="0.2">
      <c r="A98" s="5" t="s">
        <v>97</v>
      </c>
      <c r="B98" s="26">
        <f>'Financial Statements'!B323/'Financial Statements'!B$346</f>
        <v>0.2845556880187079</v>
      </c>
      <c r="C98" s="26">
        <f>'Financial Statements'!C323/'Financial Statements'!C$346</f>
        <v>0.30680525978456386</v>
      </c>
      <c r="D98" s="26">
        <f>'Financial Statements'!D323/'Financial Statements'!D$346</f>
        <v>0.22270206781936144</v>
      </c>
      <c r="E98" s="26">
        <f>'Financial Statements'!E323/'Financial Statements'!E$346</f>
        <v>0.22595500061812338</v>
      </c>
      <c r="F98" s="26">
        <f>'Financial Statements'!F323/'Financial Statements'!F$346</f>
        <v>0.24225631290219016</v>
      </c>
      <c r="G98" s="26">
        <f>'Financial Statements'!G323/'Financial Statements'!G$346</f>
        <v>0.2399846006285864</v>
      </c>
      <c r="H98" s="26">
        <f>'Financial Statements'!H323/'Financial Statements'!H$346</f>
        <v>0.26561587157969796</v>
      </c>
      <c r="I98" s="26">
        <f>'Financial Statements'!I323/'Financial Statements'!I$346</f>
        <v>0.26061287139568029</v>
      </c>
      <c r="J98" s="26">
        <f>'Financial Statements'!J323/'Financial Statements'!J$346</f>
        <v>0.25280356137250715</v>
      </c>
      <c r="K98" s="26">
        <f>'Financial Statements'!K323/'Financial Statements'!K$346</f>
        <v>0.24462134125268714</v>
      </c>
      <c r="L98" s="26">
        <f>'Financial Statements'!L323/'Financial Statements'!L$346</f>
        <v>0.22813782808807065</v>
      </c>
      <c r="M98" s="26">
        <f>'Financial Statements'!M323/'Financial Statements'!M$346</f>
        <v>0.19685319520388114</v>
      </c>
    </row>
    <row r="99" spans="1:13" ht="12.75" customHeight="1" x14ac:dyDescent="0.2">
      <c r="A99" s="1" t="s">
        <v>187</v>
      </c>
      <c r="B99" s="25">
        <f>'Financial Statements'!B324/'Financial Statements'!B$346</f>
        <v>0.1593837406575267</v>
      </c>
      <c r="C99" s="25">
        <f>'Financial Statements'!C324/'Financial Statements'!C$346</f>
        <v>0.20963156697748464</v>
      </c>
      <c r="D99" s="25">
        <f>'Financial Statements'!D324/'Financial Statements'!D$346</f>
        <v>0.30391271692927224</v>
      </c>
      <c r="E99" s="25">
        <f>'Financial Statements'!E324/'Financial Statements'!E$346</f>
        <v>0.27909043145011747</v>
      </c>
      <c r="F99" s="25">
        <f>'Financial Statements'!F324/'Financial Statements'!F$346</f>
        <v>0.23263166710869779</v>
      </c>
      <c r="G99" s="25">
        <f>'Financial Statements'!G324/'Financial Statements'!G$346</f>
        <v>0.19772925648250478</v>
      </c>
      <c r="H99" s="25">
        <f>'Financial Statements'!H324/'Financial Statements'!H$346</f>
        <v>0.15002142135964217</v>
      </c>
      <c r="I99" s="25">
        <f>'Financial Statements'!I324/'Financial Statements'!I$346</f>
        <v>0.1289113035851332</v>
      </c>
      <c r="J99" s="25">
        <f>'Financial Statements'!J324/'Financial Statements'!J$346</f>
        <v>0.10192341301435034</v>
      </c>
      <c r="K99" s="25">
        <f>'Financial Statements'!K324/'Financial Statements'!K$346</f>
        <v>8.3348465234700672E-2</v>
      </c>
      <c r="L99" s="25">
        <f>'Financial Statements'!L324/'Financial Statements'!L$346</f>
        <v>6.4865598389668544E-2</v>
      </c>
      <c r="M99" s="25">
        <f>'Financial Statements'!M324/'Financial Statements'!M$346</f>
        <v>4.5263227642791705E-2</v>
      </c>
    </row>
    <row r="100" spans="1:13" ht="12.75" customHeight="1" x14ac:dyDescent="0.2">
      <c r="A100" s="1" t="s">
        <v>472</v>
      </c>
      <c r="B100" s="25">
        <f>'Financial Statements'!B325/'Financial Statements'!B$346</f>
        <v>0</v>
      </c>
      <c r="C100" s="25">
        <f>'Financial Statements'!C325/'Financial Statements'!C$346</f>
        <v>3.9334670333078334E-3</v>
      </c>
      <c r="D100" s="25">
        <f>'Financial Statements'!D325/'Financial Statements'!D$346</f>
        <v>3.1149125890888172E-2</v>
      </c>
      <c r="E100" s="25">
        <f>'Financial Statements'!E325/'Financial Statements'!E$346</f>
        <v>3.7446686858696995E-2</v>
      </c>
      <c r="F100" s="25">
        <f>'Financial Statements'!F325/'Financial Statements'!F$346</f>
        <v>4.3429556526473012E-2</v>
      </c>
      <c r="G100" s="25">
        <f>'Financial Statements'!G325/'Financial Statements'!G$346</f>
        <v>5.5182187175376936E-2</v>
      </c>
      <c r="H100" s="25">
        <f>'Financial Statements'!H325/'Financial Statements'!H$346</f>
        <v>6.4051363327231492E-2</v>
      </c>
      <c r="I100" s="25">
        <f>'Financial Statements'!I325/'Financial Statements'!I$346</f>
        <v>6.943043525929174E-2</v>
      </c>
      <c r="J100" s="25">
        <f>'Financial Statements'!J325/'Financial Statements'!J$346</f>
        <v>6.9416665048449427E-2</v>
      </c>
      <c r="K100" s="25">
        <f>'Financial Statements'!K325/'Financial Statements'!K$346</f>
        <v>7.8672219586342629E-2</v>
      </c>
      <c r="L100" s="25">
        <f>'Financial Statements'!L325/'Financial Statements'!L$346</f>
        <v>9.7636037305150372E-2</v>
      </c>
      <c r="M100" s="25">
        <f>'Financial Statements'!M325/'Financial Statements'!M$346</f>
        <v>0.10885760873949192</v>
      </c>
    </row>
    <row r="101" spans="1:13" ht="12.75" customHeight="1" x14ac:dyDescent="0.2">
      <c r="A101" s="1" t="s">
        <v>189</v>
      </c>
      <c r="B101" s="25">
        <f>'Financial Statements'!B326/'Financial Statements'!B$346</f>
        <v>0</v>
      </c>
      <c r="C101" s="25">
        <f>'Financial Statements'!C326/'Financial Statements'!C$346</f>
        <v>0</v>
      </c>
      <c r="D101" s="25">
        <f>'Financial Statements'!D326/'Financial Statements'!D$346</f>
        <v>0</v>
      </c>
      <c r="E101" s="25">
        <f>'Financial Statements'!E326/'Financial Statements'!E$346</f>
        <v>0</v>
      </c>
      <c r="F101" s="25">
        <f>'Financial Statements'!F326/'Financial Statements'!F$346</f>
        <v>0</v>
      </c>
      <c r="G101" s="25">
        <f>'Financial Statements'!G326/'Financial Statements'!G$346</f>
        <v>0</v>
      </c>
      <c r="H101" s="25">
        <f>'Financial Statements'!H326/'Financial Statements'!H$346</f>
        <v>0</v>
      </c>
      <c r="I101" s="25">
        <f>'Financial Statements'!I326/'Financial Statements'!I$346</f>
        <v>0</v>
      </c>
      <c r="J101" s="25">
        <f>'Financial Statements'!J326/'Financial Statements'!J$346</f>
        <v>0</v>
      </c>
      <c r="K101" s="25">
        <f>'Financial Statements'!K326/'Financial Statements'!K$346</f>
        <v>0</v>
      </c>
      <c r="L101" s="25">
        <f>'Financial Statements'!L326/'Financial Statements'!L$346</f>
        <v>0</v>
      </c>
      <c r="M101" s="25">
        <f>'Financial Statements'!M326/'Financial Statements'!M$346</f>
        <v>0</v>
      </c>
    </row>
    <row r="102" spans="1:13" ht="12.75" customHeight="1" x14ac:dyDescent="0.2">
      <c r="A102" s="1" t="s">
        <v>190</v>
      </c>
      <c r="B102" s="25">
        <f>'Financial Statements'!B327/'Financial Statements'!B$346</f>
        <v>0</v>
      </c>
      <c r="C102" s="25">
        <f>'Financial Statements'!C327/'Financial Statements'!C$346</f>
        <v>0</v>
      </c>
      <c r="D102" s="25">
        <f>'Financial Statements'!D327/'Financial Statements'!D$346</f>
        <v>0</v>
      </c>
      <c r="E102" s="25">
        <f>'Financial Statements'!E327/'Financial Statements'!E$346</f>
        <v>0</v>
      </c>
      <c r="F102" s="25">
        <f>'Financial Statements'!F327/'Financial Statements'!F$346</f>
        <v>0</v>
      </c>
      <c r="G102" s="25">
        <f>'Financial Statements'!G327/'Financial Statements'!G$346</f>
        <v>0</v>
      </c>
      <c r="H102" s="25">
        <f>'Financial Statements'!H327/'Financial Statements'!H$346</f>
        <v>0</v>
      </c>
      <c r="I102" s="25">
        <f>'Financial Statements'!I327/'Financial Statements'!I$346</f>
        <v>0</v>
      </c>
      <c r="J102" s="25">
        <f>'Financial Statements'!J327/'Financial Statements'!J$346</f>
        <v>0</v>
      </c>
      <c r="K102" s="25">
        <f>'Financial Statements'!K327/'Financial Statements'!K$346</f>
        <v>0</v>
      </c>
      <c r="L102" s="25">
        <f>'Financial Statements'!L327/'Financial Statements'!L$346</f>
        <v>0</v>
      </c>
      <c r="M102" s="25">
        <f>'Financial Statements'!M327/'Financial Statements'!M$346</f>
        <v>0</v>
      </c>
    </row>
    <row r="103" spans="1:13" ht="12.75" customHeight="1" x14ac:dyDescent="0.2">
      <c r="A103" s="1" t="s">
        <v>191</v>
      </c>
      <c r="B103" s="25">
        <f>'Financial Statements'!B328/'Financial Statements'!B$346</f>
        <v>1.2007657389151268E-2</v>
      </c>
      <c r="C103" s="25">
        <f>'Financial Statements'!C328/'Financial Statements'!C$346</f>
        <v>3.3292327413319001E-2</v>
      </c>
      <c r="D103" s="25">
        <f>'Financial Statements'!D328/'Financial Statements'!D$346</f>
        <v>1.0558822589408419E-2</v>
      </c>
      <c r="E103" s="25">
        <f>'Financial Statements'!E328/'Financial Statements'!E$346</f>
        <v>1.4738379280504388E-2</v>
      </c>
      <c r="F103" s="25">
        <f>'Financial Statements'!F328/'Financial Statements'!F$346</f>
        <v>1.5808428370021915E-2</v>
      </c>
      <c r="G103" s="25">
        <f>'Financial Statements'!G328/'Financial Statements'!G$346</f>
        <v>1.055387954638231E-2</v>
      </c>
      <c r="H103" s="25">
        <f>'Financial Statements'!H328/'Financial Statements'!H$346</f>
        <v>7.8375212341099953E-3</v>
      </c>
      <c r="I103" s="25">
        <f>'Financial Statements'!I328/'Financial Statements'!I$346</f>
        <v>7.866462010744436E-3</v>
      </c>
      <c r="J103" s="25">
        <f>'Financial Statements'!J328/'Financial Statements'!J$346</f>
        <v>7.0683729149270827E-3</v>
      </c>
      <c r="K103" s="25">
        <f>'Financial Statements'!K328/'Financial Statements'!K$346</f>
        <v>5.0804138526211384E-3</v>
      </c>
      <c r="L103" s="25">
        <f>'Financial Statements'!L328/'Financial Statements'!L$346</f>
        <v>4.3780078610281374E-3</v>
      </c>
      <c r="M103" s="25">
        <f>'Financial Statements'!M328/'Financial Statements'!M$346</f>
        <v>3.9655559844892453E-3</v>
      </c>
    </row>
    <row r="104" spans="1:13" ht="12.75" customHeight="1" x14ac:dyDescent="0.2">
      <c r="A104" s="1" t="s">
        <v>192</v>
      </c>
      <c r="B104" s="25">
        <f>'Financial Statements'!B329/'Financial Statements'!B$346</f>
        <v>0</v>
      </c>
      <c r="C104" s="25">
        <f>'Financial Statements'!C329/'Financial Statements'!C$346</f>
        <v>0</v>
      </c>
      <c r="D104" s="25">
        <f>'Financial Statements'!D329/'Financial Statements'!D$346</f>
        <v>0</v>
      </c>
      <c r="E104" s="25">
        <f>'Financial Statements'!E329/'Financial Statements'!E$346</f>
        <v>0</v>
      </c>
      <c r="F104" s="25">
        <f>'Financial Statements'!F329/'Financial Statements'!F$346</f>
        <v>0</v>
      </c>
      <c r="G104" s="25">
        <f>'Financial Statements'!G329/'Financial Statements'!G$346</f>
        <v>0</v>
      </c>
      <c r="H104" s="25">
        <f>'Financial Statements'!H329/'Financial Statements'!H$346</f>
        <v>0</v>
      </c>
      <c r="I104" s="25">
        <f>'Financial Statements'!I329/'Financial Statements'!I$346</f>
        <v>0</v>
      </c>
      <c r="J104" s="25">
        <f>'Financial Statements'!J329/'Financial Statements'!J$346</f>
        <v>0</v>
      </c>
      <c r="K104" s="25">
        <f>'Financial Statements'!K329/'Financial Statements'!K$346</f>
        <v>0</v>
      </c>
      <c r="L104" s="25">
        <f>'Financial Statements'!L329/'Financial Statements'!L$346</f>
        <v>0</v>
      </c>
      <c r="M104" s="25">
        <f>'Financial Statements'!M329/'Financial Statements'!M$346</f>
        <v>0</v>
      </c>
    </row>
    <row r="105" spans="1:13" ht="12.75" customHeight="1" x14ac:dyDescent="0.2">
      <c r="A105" s="1" t="s">
        <v>137</v>
      </c>
      <c r="B105" s="25">
        <f>'Financial Statements'!B330/'Financial Statements'!B$346</f>
        <v>7.4223944243202349E-3</v>
      </c>
      <c r="C105" s="25">
        <f>'Financial Statements'!C330/'Financial Statements'!C$346</f>
        <v>7.6291686480451544E-3</v>
      </c>
      <c r="D105" s="25">
        <f>'Financial Statements'!D330/'Financial Statements'!D$346</f>
        <v>2.2907411550385118E-2</v>
      </c>
      <c r="E105" s="25">
        <f>'Financial Statements'!E330/'Financial Statements'!E$346</f>
        <v>2.0900296699221167E-3</v>
      </c>
      <c r="F105" s="25">
        <f>'Financial Statements'!F330/'Financial Statements'!F$346</f>
        <v>8.1310459386646939E-4</v>
      </c>
      <c r="G105" s="25">
        <f>'Financial Statements'!G330/'Financial Statements'!G$346</f>
        <v>6.7704132939056319E-4</v>
      </c>
      <c r="H105" s="25">
        <f>'Financial Statements'!H330/'Financial Statements'!H$346</f>
        <v>5.9320688239823357E-4</v>
      </c>
      <c r="I105" s="25">
        <f>'Financial Statements'!I330/'Financial Statements'!I$346</f>
        <v>6.3041333187150534E-4</v>
      </c>
      <c r="J105" s="25">
        <f>'Financial Statements'!J330/'Financial Statements'!J$346</f>
        <v>1.0510320989572208E-3</v>
      </c>
      <c r="K105" s="25">
        <f>'Financial Statements'!K330/'Financial Statements'!K$346</f>
        <v>5.1116539070569329E-3</v>
      </c>
      <c r="L105" s="25">
        <f>'Financial Statements'!L330/'Financial Statements'!L$346</f>
        <v>4.5799454929943799E-3</v>
      </c>
      <c r="M105" s="25">
        <f>'Financial Statements'!M330/'Financial Statements'!M$346</f>
        <v>4.175861532522457E-3</v>
      </c>
    </row>
    <row r="106" spans="1:13" ht="12.75" customHeight="1" x14ac:dyDescent="0.2">
      <c r="A106" s="1" t="s">
        <v>138</v>
      </c>
      <c r="B106" s="25">
        <f>'Financial Statements'!B331/'Financial Statements'!B$346</f>
        <v>7.7628501994589386E-2</v>
      </c>
      <c r="C106" s="25">
        <f>'Financial Statements'!C331/'Financial Statements'!C$346</f>
        <v>6.6569148386296448E-2</v>
      </c>
      <c r="D106" s="25">
        <f>'Financial Statements'!D331/'Financial Statements'!D$346</f>
        <v>5.8363162772859474E-2</v>
      </c>
      <c r="E106" s="25">
        <f>'Financial Statements'!E331/'Financial Statements'!E$346</f>
        <v>0.12111741253554209</v>
      </c>
      <c r="F106" s="25">
        <f>'Financial Statements'!F331/'Financial Statements'!F$346</f>
        <v>0.10795795586203046</v>
      </c>
      <c r="G106" s="25">
        <f>'Financial Statements'!G331/'Financial Statements'!G$346</f>
        <v>0.10324216507196883</v>
      </c>
      <c r="H106" s="25">
        <f>'Financial Statements'!H331/'Financial Statements'!H$346</f>
        <v>8.648536906156469E-2</v>
      </c>
      <c r="I106" s="25">
        <f>'Financial Statements'!I331/'Financial Statements'!I$346</f>
        <v>7.6068961736651688E-2</v>
      </c>
      <c r="J106" s="25">
        <f>'Financial Statements'!J331/'Financial Statements'!J$346</f>
        <v>6.7166533972852785E-2</v>
      </c>
      <c r="K106" s="25">
        <f>'Financial Statements'!K331/'Financial Statements'!K$346</f>
        <v>5.8963650244160552E-2</v>
      </c>
      <c r="L106" s="25">
        <f>'Financial Statements'!L331/'Financial Statements'!L$346</f>
        <v>4.551189574202387E-2</v>
      </c>
      <c r="M106" s="25">
        <f>'Financial Statements'!M331/'Financial Statements'!M$346</f>
        <v>4.4010037048347231E-2</v>
      </c>
    </row>
    <row r="107" spans="1:13" ht="12.75" customHeight="1" thickBot="1" x14ac:dyDescent="0.25">
      <c r="A107" s="5" t="s">
        <v>510</v>
      </c>
      <c r="B107" s="29">
        <f>'Financial Statements'!B332/'Financial Statements'!B$346</f>
        <v>0.54099798248429543</v>
      </c>
      <c r="C107" s="29">
        <f>'Financial Statements'!C332/'Financial Statements'!C$346</f>
        <v>0.62786093824301692</v>
      </c>
      <c r="D107" s="29">
        <f>'Financial Statements'!D332/'Financial Statements'!D$346</f>
        <v>0.64959330755217493</v>
      </c>
      <c r="E107" s="29">
        <f>'Financial Statements'!E332/'Financial Statements'!E$346</f>
        <v>0.68043794041290639</v>
      </c>
      <c r="F107" s="29">
        <f>'Financial Statements'!F332/'Financial Statements'!F$346</f>
        <v>0.64289702536327975</v>
      </c>
      <c r="G107" s="29">
        <f>'Financial Statements'!G332/'Financial Statements'!G$346</f>
        <v>0.6073691302342098</v>
      </c>
      <c r="H107" s="29">
        <f>'Financial Statements'!H332/'Financial Statements'!H$346</f>
        <v>0.57460475344464446</v>
      </c>
      <c r="I107" s="29">
        <f>'Financial Statements'!I332/'Financial Statements'!I$346</f>
        <v>0.54352044731937288</v>
      </c>
      <c r="J107" s="29">
        <f>'Financial Statements'!J332/'Financial Statements'!J$346</f>
        <v>0.499429578422044</v>
      </c>
      <c r="K107" s="29">
        <f>'Financial Statements'!K332/'Financial Statements'!K$346</f>
        <v>0.47579774407756903</v>
      </c>
      <c r="L107" s="29">
        <f>'Financial Statements'!L332/'Financial Statements'!L$346</f>
        <v>0.44510931287893596</v>
      </c>
      <c r="M107" s="29">
        <f>'Financial Statements'!M332/'Financial Statements'!M$346</f>
        <v>0.40312548615152372</v>
      </c>
    </row>
    <row r="108" spans="1:13" ht="12.75" customHeight="1" thickTop="1" x14ac:dyDescent="0.2">
      <c r="A108" s="1" t="s">
        <v>193</v>
      </c>
      <c r="B108" s="25">
        <f>'Financial Statements'!B333/'Financial Statements'!B$346</f>
        <v>0</v>
      </c>
      <c r="C108" s="25">
        <f>'Financial Statements'!C333/'Financial Statements'!C$346</f>
        <v>0</v>
      </c>
      <c r="D108" s="25">
        <f>'Financial Statements'!D333/'Financial Statements'!D$346</f>
        <v>0</v>
      </c>
      <c r="E108" s="25">
        <f>'Financial Statements'!E333/'Financial Statements'!E$346</f>
        <v>0</v>
      </c>
      <c r="F108" s="25">
        <f>'Financial Statements'!F333/'Financial Statements'!F$346</f>
        <v>0</v>
      </c>
      <c r="G108" s="25">
        <f>'Financial Statements'!G333/'Financial Statements'!G$346</f>
        <v>0</v>
      </c>
      <c r="H108" s="25">
        <f>'Financial Statements'!H333/'Financial Statements'!H$346</f>
        <v>0</v>
      </c>
      <c r="I108" s="25">
        <f>'Financial Statements'!I333/'Financial Statements'!I$346</f>
        <v>0</v>
      </c>
      <c r="J108" s="25">
        <f>'Financial Statements'!J333/'Financial Statements'!J$346</f>
        <v>0</v>
      </c>
      <c r="K108" s="25">
        <f>'Financial Statements'!K333/'Financial Statements'!K$346</f>
        <v>0</v>
      </c>
      <c r="L108" s="25">
        <f>'Financial Statements'!L333/'Financial Statements'!L$346</f>
        <v>0</v>
      </c>
      <c r="M108" s="25">
        <f>'Financial Statements'!M333/'Financial Statements'!M$346</f>
        <v>0</v>
      </c>
    </row>
    <row r="109" spans="1:13" ht="12.75" customHeight="1" x14ac:dyDescent="0.2">
      <c r="A109" s="1" t="s">
        <v>194</v>
      </c>
      <c r="B109" s="25">
        <f>'Financial Statements'!B334/'Financial Statements'!B$346</f>
        <v>0</v>
      </c>
      <c r="C109" s="25">
        <f>'Financial Statements'!C334/'Financial Statements'!C$346</f>
        <v>0</v>
      </c>
      <c r="D109" s="25">
        <f>'Financial Statements'!D334/'Financial Statements'!D$346</f>
        <v>0</v>
      </c>
      <c r="E109" s="25">
        <f>'Financial Statements'!E334/'Financial Statements'!E$346</f>
        <v>0</v>
      </c>
      <c r="F109" s="25">
        <f>'Financial Statements'!F334/'Financial Statements'!F$346</f>
        <v>0</v>
      </c>
      <c r="G109" s="25">
        <f>'Financial Statements'!G334/'Financial Statements'!G$346</f>
        <v>0</v>
      </c>
      <c r="H109" s="25">
        <f>'Financial Statements'!H334/'Financial Statements'!H$346</f>
        <v>0</v>
      </c>
      <c r="I109" s="25">
        <f>'Financial Statements'!I334/'Financial Statements'!I$346</f>
        <v>0</v>
      </c>
      <c r="J109" s="25">
        <f>'Financial Statements'!J334/'Financial Statements'!J$346</f>
        <v>0</v>
      </c>
      <c r="K109" s="25">
        <f>'Financial Statements'!K334/'Financial Statements'!K$346</f>
        <v>0</v>
      </c>
      <c r="L109" s="25">
        <f>'Financial Statements'!L334/'Financial Statements'!L$346</f>
        <v>0</v>
      </c>
      <c r="M109" s="25">
        <f>'Financial Statements'!M334/'Financial Statements'!M$346</f>
        <v>0</v>
      </c>
    </row>
    <row r="110" spans="1:13" ht="12.75" customHeight="1" x14ac:dyDescent="0.2">
      <c r="A110" s="1" t="s">
        <v>195</v>
      </c>
      <c r="B110" s="25">
        <f>'Financial Statements'!B335/'Financial Statements'!B$346</f>
        <v>0</v>
      </c>
      <c r="C110" s="25">
        <f>'Financial Statements'!C335/'Financial Statements'!C$346</f>
        <v>0</v>
      </c>
      <c r="D110" s="25">
        <f>'Financial Statements'!D335/'Financial Statements'!D$346</f>
        <v>0</v>
      </c>
      <c r="E110" s="25">
        <f>'Financial Statements'!E335/'Financial Statements'!E$346</f>
        <v>0</v>
      </c>
      <c r="F110" s="25">
        <f>'Financial Statements'!F335/'Financial Statements'!F$346</f>
        <v>0</v>
      </c>
      <c r="G110" s="25">
        <f>'Financial Statements'!G335/'Financial Statements'!G$346</f>
        <v>0</v>
      </c>
      <c r="H110" s="25">
        <f>'Financial Statements'!H335/'Financial Statements'!H$346</f>
        <v>0</v>
      </c>
      <c r="I110" s="25">
        <f>'Financial Statements'!I335/'Financial Statements'!I$346</f>
        <v>0</v>
      </c>
      <c r="J110" s="25">
        <f>'Financial Statements'!J335/'Financial Statements'!J$346</f>
        <v>0</v>
      </c>
      <c r="K110" s="25">
        <f>'Financial Statements'!K335/'Financial Statements'!K$346</f>
        <v>0</v>
      </c>
      <c r="L110" s="25">
        <f>'Financial Statements'!L335/'Financial Statements'!L$346</f>
        <v>0</v>
      </c>
      <c r="M110" s="25">
        <f>'Financial Statements'!M335/'Financial Statements'!M$346</f>
        <v>0</v>
      </c>
    </row>
    <row r="111" spans="1:13" ht="12.75" customHeight="1" x14ac:dyDescent="0.2">
      <c r="A111" s="1" t="s">
        <v>196</v>
      </c>
      <c r="B111" s="25">
        <f>'Financial Statements'!B336/'Financial Statements'!B$346</f>
        <v>0</v>
      </c>
      <c r="C111" s="25">
        <f>'Financial Statements'!C336/'Financial Statements'!C$346</f>
        <v>0</v>
      </c>
      <c r="D111" s="25">
        <f>'Financial Statements'!D336/'Financial Statements'!D$346</f>
        <v>0</v>
      </c>
      <c r="E111" s="25">
        <f>'Financial Statements'!E336/'Financial Statements'!E$346</f>
        <v>0</v>
      </c>
      <c r="F111" s="25">
        <f>'Financial Statements'!F336/'Financial Statements'!F$346</f>
        <v>0</v>
      </c>
      <c r="G111" s="25">
        <f>'Financial Statements'!G336/'Financial Statements'!G$346</f>
        <v>0</v>
      </c>
      <c r="H111" s="25">
        <f>'Financial Statements'!H336/'Financial Statements'!H$346</f>
        <v>0</v>
      </c>
      <c r="I111" s="25">
        <f>'Financial Statements'!I336/'Financial Statements'!I$346</f>
        <v>0</v>
      </c>
      <c r="J111" s="25">
        <f>'Financial Statements'!J336/'Financial Statements'!J$346</f>
        <v>0</v>
      </c>
      <c r="K111" s="25">
        <f>'Financial Statements'!K336/'Financial Statements'!K$346</f>
        <v>0</v>
      </c>
      <c r="L111" s="25">
        <f>'Financial Statements'!L336/'Financial Statements'!L$346</f>
        <v>0</v>
      </c>
      <c r="M111" s="25">
        <f>'Financial Statements'!M336/'Financial Statements'!M$346</f>
        <v>0</v>
      </c>
    </row>
    <row r="112" spans="1:13" ht="12.75" customHeight="1" x14ac:dyDescent="0.2">
      <c r="A112" s="5" t="s">
        <v>511</v>
      </c>
      <c r="B112" s="30">
        <f>'Financial Statements'!B337/'Financial Statements'!B$346</f>
        <v>0</v>
      </c>
      <c r="C112" s="30">
        <f>'Financial Statements'!C337/'Financial Statements'!C$346</f>
        <v>0</v>
      </c>
      <c r="D112" s="30">
        <f>'Financial Statements'!D337/'Financial Statements'!D$346</f>
        <v>0</v>
      </c>
      <c r="E112" s="30">
        <f>'Financial Statements'!E337/'Financial Statements'!E$346</f>
        <v>0</v>
      </c>
      <c r="F112" s="30">
        <f>'Financial Statements'!F337/'Financial Statements'!F$346</f>
        <v>0</v>
      </c>
      <c r="G112" s="30">
        <f>'Financial Statements'!G337/'Financial Statements'!G$346</f>
        <v>0</v>
      </c>
      <c r="H112" s="30">
        <f>'Financial Statements'!H337/'Financial Statements'!H$346</f>
        <v>0</v>
      </c>
      <c r="I112" s="30">
        <f>'Financial Statements'!I337/'Financial Statements'!I$346</f>
        <v>0</v>
      </c>
      <c r="J112" s="30">
        <f>'Financial Statements'!J337/'Financial Statements'!J$346</f>
        <v>0</v>
      </c>
      <c r="K112" s="30">
        <f>'Financial Statements'!K337/'Financial Statements'!K$346</f>
        <v>0</v>
      </c>
      <c r="L112" s="30">
        <f>'Financial Statements'!L337/'Financial Statements'!L$346</f>
        <v>0</v>
      </c>
      <c r="M112" s="30">
        <f>'Financial Statements'!M337/'Financial Statements'!M$346</f>
        <v>0</v>
      </c>
    </row>
    <row r="113" spans="1:13" ht="12.75" customHeight="1" x14ac:dyDescent="0.2">
      <c r="A113" s="1" t="s">
        <v>47</v>
      </c>
      <c r="B113" s="25">
        <f>'Financial Statements'!B338/'Financial Statements'!B$346</f>
        <v>0.39241253610894583</v>
      </c>
      <c r="C113" s="25">
        <f>'Financial Statements'!C338/'Financial Statements'!C$346</f>
        <v>0.35239936320218329</v>
      </c>
      <c r="D113" s="25">
        <f>'Financial Statements'!D338/'Financial Statements'!D$346</f>
        <v>0.27691441081530249</v>
      </c>
      <c r="E113" s="25">
        <f>'Financial Statements'!E338/'Financial Statements'!E$346</f>
        <v>0.27515375819013477</v>
      </c>
      <c r="F113" s="25">
        <f>'Financial Statements'!F338/'Financial Statements'!F$346</f>
        <v>0.2740127584137132</v>
      </c>
      <c r="G113" s="25">
        <f>'Financial Statements'!G338/'Financial Statements'!G$346</f>
        <v>0.26733839786798358</v>
      </c>
      <c r="H113" s="25">
        <f>'Financial Statements'!H338/'Financial Statements'!H$346</f>
        <v>0.24900008688383632</v>
      </c>
      <c r="I113" s="25">
        <f>'Financial Statements'!I338/'Financial Statements'!I$346</f>
        <v>0.23829349851989914</v>
      </c>
      <c r="J113" s="25">
        <f>'Financial Statements'!J338/'Financial Statements'!J$346</f>
        <v>0.22748412528885179</v>
      </c>
      <c r="K113" s="25">
        <f>'Financial Statements'!K338/'Financial Statements'!K$346</f>
        <v>0.19705250086398277</v>
      </c>
      <c r="L113" s="25">
        <f>'Financial Statements'!L338/'Financial Statements'!L$346</f>
        <v>0.1762430876748578</v>
      </c>
      <c r="M113" s="25">
        <f>'Financial Statements'!M338/'Financial Statements'!M$346</f>
        <v>0.16575102127831201</v>
      </c>
    </row>
    <row r="114" spans="1:13" ht="12.75" customHeight="1" x14ac:dyDescent="0.2">
      <c r="A114" s="1" t="s">
        <v>139</v>
      </c>
      <c r="B114" s="25">
        <f>'Financial Statements'!B339/'Financial Statements'!B$346</f>
        <v>0</v>
      </c>
      <c r="C114" s="25">
        <f>'Financial Statements'!C339/'Financial Statements'!C$346</f>
        <v>0</v>
      </c>
      <c r="D114" s="25">
        <f>'Financial Statements'!D339/'Financial Statements'!D$346</f>
        <v>0</v>
      </c>
      <c r="E114" s="25">
        <f>'Financial Statements'!E339/'Financial Statements'!E$346</f>
        <v>0</v>
      </c>
      <c r="F114" s="25">
        <f>'Financial Statements'!F339/'Financial Statements'!F$346</f>
        <v>0</v>
      </c>
      <c r="G114" s="25">
        <f>'Financial Statements'!G339/'Financial Statements'!G$346</f>
        <v>0</v>
      </c>
      <c r="H114" s="25">
        <f>'Financial Statements'!H339/'Financial Statements'!H$346</f>
        <v>0</v>
      </c>
      <c r="I114" s="25">
        <f>'Financial Statements'!I339/'Financial Statements'!I$346</f>
        <v>0</v>
      </c>
      <c r="J114" s="25">
        <f>'Financial Statements'!J339/'Financial Statements'!J$346</f>
        <v>0</v>
      </c>
      <c r="K114" s="25">
        <f>'Financial Statements'!K339/'Financial Statements'!K$346</f>
        <v>0</v>
      </c>
      <c r="L114" s="25">
        <f>'Financial Statements'!L339/'Financial Statements'!L$346</f>
        <v>0</v>
      </c>
      <c r="M114" s="25">
        <f>'Financial Statements'!M339/'Financial Statements'!M$346</f>
        <v>0</v>
      </c>
    </row>
    <row r="115" spans="1:13" ht="12.75" customHeight="1" x14ac:dyDescent="0.2">
      <c r="A115" s="1" t="s">
        <v>98</v>
      </c>
      <c r="B115" s="25">
        <f>'Financial Statements'!B340/'Financial Statements'!B$346</f>
        <v>5.2134439910128845E-2</v>
      </c>
      <c r="C115" s="25">
        <f>'Financial Statements'!C340/'Financial Statements'!C$346</f>
        <v>1.1795232286476316E-2</v>
      </c>
      <c r="D115" s="25">
        <f>'Financial Statements'!D340/'Financial Statements'!D$346</f>
        <v>7.0987407715171466E-2</v>
      </c>
      <c r="E115" s="25">
        <f>'Financial Statements'!E340/'Financial Statements'!E$346</f>
        <v>5.2857275312152306E-2</v>
      </c>
      <c r="F115" s="25">
        <f>'Financial Statements'!F340/'Financial Statements'!F$346</f>
        <v>8.4276720780580405E-2</v>
      </c>
      <c r="G115" s="25">
        <f>'Financial Statements'!G340/'Financial Statements'!G$346</f>
        <v>0.11471867937114809</v>
      </c>
      <c r="H115" s="25">
        <f>'Financial Statements'!H340/'Financial Statements'!H$346</f>
        <v>0.17093645795571322</v>
      </c>
      <c r="I115" s="25">
        <f>'Financial Statements'!I340/'Financial Statements'!I$346</f>
        <v>0.23100811314548844</v>
      </c>
      <c r="J115" s="25">
        <f>'Financial Statements'!J340/'Financial Statements'!J$346</f>
        <v>0.28848282424218885</v>
      </c>
      <c r="K115" s="25">
        <f>'Financial Statements'!K340/'Financial Statements'!K$346</f>
        <v>0.33806424907695404</v>
      </c>
      <c r="L115" s="25">
        <f>'Financial Statements'!L340/'Financial Statements'!L$346</f>
        <v>0.38405468147973437</v>
      </c>
      <c r="M115" s="25">
        <f>'Financial Statements'!M340/'Financial Statements'!M$346</f>
        <v>0.43577326181024101</v>
      </c>
    </row>
    <row r="116" spans="1:13" ht="12.75" customHeight="1" x14ac:dyDescent="0.2">
      <c r="A116" s="1" t="s">
        <v>54</v>
      </c>
      <c r="B116" s="25">
        <f>'Financial Statements'!B341/'Financial Statements'!B$346</f>
        <v>0</v>
      </c>
      <c r="C116" s="25">
        <f>'Financial Statements'!C341/'Financial Statements'!C$346</f>
        <v>0</v>
      </c>
      <c r="D116" s="25">
        <f>'Financial Statements'!D341/'Financial Statements'!D$346</f>
        <v>0</v>
      </c>
      <c r="E116" s="25">
        <f>'Financial Statements'!E341/'Financial Statements'!E$346</f>
        <v>0</v>
      </c>
      <c r="F116" s="25">
        <f>'Financial Statements'!F341/'Financial Statements'!F$346</f>
        <v>0</v>
      </c>
      <c r="G116" s="25">
        <f>'Financial Statements'!G341/'Financial Statements'!G$346</f>
        <v>0</v>
      </c>
      <c r="H116" s="25">
        <f>'Financial Statements'!H341/'Financial Statements'!H$346</f>
        <v>0</v>
      </c>
      <c r="I116" s="25">
        <f>'Financial Statements'!I341/'Financial Statements'!I$346</f>
        <v>0</v>
      </c>
      <c r="J116" s="25">
        <f>'Financial Statements'!J341/'Financial Statements'!J$346</f>
        <v>0</v>
      </c>
      <c r="K116" s="25">
        <f>'Financial Statements'!K341/'Financial Statements'!K$346</f>
        <v>0</v>
      </c>
      <c r="L116" s="25">
        <f>'Financial Statements'!L341/'Financial Statements'!L$346</f>
        <v>0</v>
      </c>
      <c r="M116" s="25">
        <f>'Financial Statements'!M341/'Financial Statements'!M$346</f>
        <v>0</v>
      </c>
    </row>
    <row r="117" spans="1:13" ht="12.75" customHeight="1" x14ac:dyDescent="0.2">
      <c r="A117" s="1" t="s">
        <v>140</v>
      </c>
      <c r="B117" s="25">
        <f>'Financial Statements'!B342/'Financial Statements'!B$346</f>
        <v>1.4455041496629831E-2</v>
      </c>
      <c r="C117" s="25">
        <f>'Financial Statements'!C342/'Financial Statements'!C$346</f>
        <v>7.944466268323444E-3</v>
      </c>
      <c r="D117" s="25">
        <f>'Financial Statements'!D342/'Financial Statements'!D$346</f>
        <v>2.5048739173511459E-3</v>
      </c>
      <c r="E117" s="25">
        <f>'Financial Statements'!E342/'Financial Statements'!E$346</f>
        <v>-8.4489739151934733E-3</v>
      </c>
      <c r="F117" s="25">
        <f>'Financial Statements'!F342/'Financial Statements'!F$346</f>
        <v>-1.1865045575733888E-3</v>
      </c>
      <c r="G117" s="25">
        <f>'Financial Statements'!G342/'Financial Statements'!G$346</f>
        <v>1.0573792526658502E-2</v>
      </c>
      <c r="H117" s="25">
        <f>'Financial Statements'!H342/'Financial Statements'!H$346</f>
        <v>5.4587017158059673E-3</v>
      </c>
      <c r="I117" s="25">
        <f>'Financial Statements'!I342/'Financial Statements'!I$346</f>
        <v>-1.2822058984760442E-2</v>
      </c>
      <c r="J117" s="25">
        <f>'Financial Statements'!J342/'Financial Statements'!J$346</f>
        <v>-1.5396527953084646E-2</v>
      </c>
      <c r="K117" s="25">
        <f>'Financial Statements'!K342/'Financial Statements'!K$346</f>
        <v>-1.0914494018505827E-2</v>
      </c>
      <c r="L117" s="25">
        <f>'Financial Statements'!L342/'Financial Statements'!L$346</f>
        <v>-5.4070820335281088E-3</v>
      </c>
      <c r="M117" s="25">
        <f>'Financial Statements'!M342/'Financial Statements'!M$346</f>
        <v>-4.6497692400767473E-3</v>
      </c>
    </row>
    <row r="118" spans="1:13" ht="12.75" customHeight="1" x14ac:dyDescent="0.2">
      <c r="A118" s="5" t="s">
        <v>99</v>
      </c>
      <c r="B118" s="26">
        <f>'Financial Statements'!B343/'Financial Statements'!B$346</f>
        <v>0.45900201751570452</v>
      </c>
      <c r="C118" s="26">
        <f>'Financial Statements'!C343/'Financial Statements'!C$346</f>
        <v>0.37213906175698308</v>
      </c>
      <c r="D118" s="26">
        <f>'Financial Statements'!D343/'Financial Statements'!D$346</f>
        <v>0.35040669244782513</v>
      </c>
      <c r="E118" s="26">
        <f>'Financial Statements'!E343/'Financial Statements'!E$346</f>
        <v>0.31956205958709361</v>
      </c>
      <c r="F118" s="26">
        <f>'Financial Statements'!F343/'Financial Statements'!F$346</f>
        <v>0.35710297463672025</v>
      </c>
      <c r="G118" s="26">
        <f>'Financial Statements'!G343/'Financial Statements'!G$346</f>
        <v>0.39263086976579015</v>
      </c>
      <c r="H118" s="26">
        <f>'Financial Statements'!H343/'Financial Statements'!H$346</f>
        <v>0.42539524655535549</v>
      </c>
      <c r="I118" s="26">
        <f>'Financial Statements'!I343/'Financial Statements'!I$346</f>
        <v>0.45647955268062712</v>
      </c>
      <c r="J118" s="26">
        <f>'Financial Statements'!J343/'Financial Statements'!J$346</f>
        <v>0.50057042157795595</v>
      </c>
      <c r="K118" s="26">
        <f>'Financial Statements'!K343/'Financial Statements'!K$346</f>
        <v>0.52420225592243097</v>
      </c>
      <c r="L118" s="26">
        <f>'Financial Statements'!L343/'Financial Statements'!L$346</f>
        <v>0.55489068712106404</v>
      </c>
      <c r="M118" s="26">
        <f>'Financial Statements'!M343/'Financial Statements'!M$346</f>
        <v>0.59687451384847634</v>
      </c>
    </row>
    <row r="119" spans="1:13" ht="12.75" customHeight="1" x14ac:dyDescent="0.2">
      <c r="A119" s="1" t="s">
        <v>188</v>
      </c>
      <c r="B119" s="25">
        <f>'Financial Statements'!B344/'Financial Statements'!B$346</f>
        <v>0</v>
      </c>
      <c r="C119" s="25">
        <f>'Financial Statements'!C344/'Financial Statements'!C$346</f>
        <v>0</v>
      </c>
      <c r="D119" s="25">
        <f>'Financial Statements'!D344/'Financial Statements'!D$346</f>
        <v>0</v>
      </c>
      <c r="E119" s="25">
        <f>'Financial Statements'!E344/'Financial Statements'!E$346</f>
        <v>0</v>
      </c>
      <c r="F119" s="25">
        <f>'Financial Statements'!F344/'Financial Statements'!F$346</f>
        <v>0</v>
      </c>
      <c r="G119" s="25">
        <f>'Financial Statements'!G344/'Financial Statements'!G$346</f>
        <v>0</v>
      </c>
      <c r="H119" s="25">
        <f>'Financial Statements'!H344/'Financial Statements'!H$346</f>
        <v>0</v>
      </c>
      <c r="I119" s="25">
        <f>'Financial Statements'!I344/'Financial Statements'!I$346</f>
        <v>0</v>
      </c>
      <c r="J119" s="25">
        <f>'Financial Statements'!J344/'Financial Statements'!J$346</f>
        <v>0</v>
      </c>
      <c r="K119" s="25">
        <f>'Financial Statements'!K344/'Financial Statements'!K$346</f>
        <v>0</v>
      </c>
      <c r="L119" s="25">
        <f>'Financial Statements'!L344/'Financial Statements'!L$346</f>
        <v>0</v>
      </c>
      <c r="M119" s="25">
        <f>'Financial Statements'!M344/'Financial Statements'!M$346</f>
        <v>0</v>
      </c>
    </row>
    <row r="120" spans="1:13" ht="12.75" customHeight="1" x14ac:dyDescent="0.2">
      <c r="A120" s="3" t="s">
        <v>46</v>
      </c>
      <c r="B120" s="26">
        <f>'Financial Statements'!B345/'Financial Statements'!B$346</f>
        <v>0.45900201751570452</v>
      </c>
      <c r="C120" s="26">
        <f>'Financial Statements'!C345/'Financial Statements'!C$346</f>
        <v>0.37213906175698308</v>
      </c>
      <c r="D120" s="26">
        <f>'Financial Statements'!D345/'Financial Statements'!D$346</f>
        <v>0.35040669244782513</v>
      </c>
      <c r="E120" s="26">
        <f>'Financial Statements'!E345/'Financial Statements'!E$346</f>
        <v>0.31956205958709361</v>
      </c>
      <c r="F120" s="26">
        <f>'Financial Statements'!F345/'Financial Statements'!F$346</f>
        <v>0.35710297463672025</v>
      </c>
      <c r="G120" s="26">
        <f>'Financial Statements'!G345/'Financial Statements'!G$346</f>
        <v>0.39263086976579015</v>
      </c>
      <c r="H120" s="26">
        <f>'Financial Statements'!H345/'Financial Statements'!H$346</f>
        <v>0.42539524655535549</v>
      </c>
      <c r="I120" s="26">
        <f>'Financial Statements'!I345/'Financial Statements'!I$346</f>
        <v>0.45647955268062712</v>
      </c>
      <c r="J120" s="26">
        <f>'Financial Statements'!J345/'Financial Statements'!J$346</f>
        <v>0.50057042157795595</v>
      </c>
      <c r="K120" s="26">
        <f>'Financial Statements'!K345/'Financial Statements'!K$346</f>
        <v>0.52420225592243097</v>
      </c>
      <c r="L120" s="26">
        <f>'Financial Statements'!L345/'Financial Statements'!L$346</f>
        <v>0.55489068712106404</v>
      </c>
      <c r="M120" s="26">
        <f>'Financial Statements'!M345/'Financial Statements'!M$346</f>
        <v>0.59687451384847634</v>
      </c>
    </row>
    <row r="121" spans="1:13" ht="12.75" customHeight="1" thickBot="1" x14ac:dyDescent="0.25">
      <c r="A121" s="16" t="s">
        <v>100</v>
      </c>
      <c r="B121" s="29">
        <f>'Financial Statements'!B346/'Financial Statements'!B$346</f>
        <v>1</v>
      </c>
      <c r="C121" s="29">
        <f>'Financial Statements'!C346/'Financial Statements'!C$346</f>
        <v>1</v>
      </c>
      <c r="D121" s="29">
        <f>'Financial Statements'!D346/'Financial Statements'!D$346</f>
        <v>1</v>
      </c>
      <c r="E121" s="29">
        <f>'Financial Statements'!E346/'Financial Statements'!E$346</f>
        <v>1</v>
      </c>
      <c r="F121" s="29">
        <f>'Financial Statements'!F346/'Financial Statements'!F$346</f>
        <v>1</v>
      </c>
      <c r="G121" s="29">
        <f>'Financial Statements'!G346/'Financial Statements'!G$346</f>
        <v>1</v>
      </c>
      <c r="H121" s="29">
        <f>'Financial Statements'!H346/'Financial Statements'!H$346</f>
        <v>1</v>
      </c>
      <c r="I121" s="29">
        <f>'Financial Statements'!I346/'Financial Statements'!I$346</f>
        <v>1</v>
      </c>
      <c r="J121" s="29">
        <f>'Financial Statements'!J346/'Financial Statements'!J$346</f>
        <v>1</v>
      </c>
      <c r="K121" s="29">
        <f>'Financial Statements'!K346/'Financial Statements'!K$346</f>
        <v>1</v>
      </c>
      <c r="L121" s="29">
        <f>'Financial Statements'!L346/'Financial Statements'!L$346</f>
        <v>1</v>
      </c>
      <c r="M121" s="29">
        <f>'Financial Statements'!M346/'Financial Statements'!M$346</f>
        <v>1</v>
      </c>
    </row>
    <row r="122" spans="1:13" ht="12.75" customHeight="1" thickTop="1" x14ac:dyDescent="0.2"/>
  </sheetData>
  <phoneticPr fontId="3" type="noConversion"/>
  <printOptions horizontalCentered="1"/>
  <pageMargins left="0" right="0" top="0" bottom="0" header="0.5" footer="0.5"/>
  <pageSetup scale="55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61BA8-E815-4F36-A6DC-E56CC9BE4AA3}">
  <dimension ref="A1:IV6"/>
  <sheetViews>
    <sheetView workbookViewId="0"/>
  </sheetViews>
  <sheetFormatPr defaultRowHeight="12.75" x14ac:dyDescent="0.2"/>
  <sheetData>
    <row r="1" spans="1:256" x14ac:dyDescent="0.2">
      <c r="A1">
        <v>1291</v>
      </c>
      <c r="B1" t="s">
        <v>608</v>
      </c>
      <c r="C1" t="s">
        <v>609</v>
      </c>
      <c r="D1" t="s">
        <v>610</v>
      </c>
      <c r="E1" t="s">
        <v>611</v>
      </c>
      <c r="F1" t="s">
        <v>612</v>
      </c>
      <c r="G1" t="s">
        <v>613</v>
      </c>
      <c r="H1" t="s">
        <v>614</v>
      </c>
      <c r="I1" t="s">
        <v>615</v>
      </c>
      <c r="J1" t="s">
        <v>616</v>
      </c>
      <c r="K1" t="s">
        <v>617</v>
      </c>
      <c r="L1" t="s">
        <v>618</v>
      </c>
      <c r="M1" t="s">
        <v>619</v>
      </c>
      <c r="N1" t="s">
        <v>620</v>
      </c>
      <c r="O1" t="s">
        <v>621</v>
      </c>
      <c r="P1" t="s">
        <v>622</v>
      </c>
      <c r="Q1" t="s">
        <v>623</v>
      </c>
      <c r="R1" t="s">
        <v>624</v>
      </c>
      <c r="S1" t="s">
        <v>625</v>
      </c>
      <c r="T1" t="s">
        <v>626</v>
      </c>
      <c r="U1" t="s">
        <v>627</v>
      </c>
      <c r="V1" t="s">
        <v>628</v>
      </c>
      <c r="W1" t="s">
        <v>629</v>
      </c>
      <c r="X1" t="s">
        <v>630</v>
      </c>
      <c r="Y1" t="s">
        <v>631</v>
      </c>
      <c r="Z1" t="s">
        <v>632</v>
      </c>
      <c r="AA1" t="s">
        <v>633</v>
      </c>
      <c r="AB1" t="s">
        <v>634</v>
      </c>
      <c r="AC1" t="s">
        <v>635</v>
      </c>
      <c r="AD1" t="s">
        <v>636</v>
      </c>
      <c r="AE1" t="s">
        <v>637</v>
      </c>
      <c r="AF1" t="s">
        <v>638</v>
      </c>
      <c r="AG1" t="s">
        <v>639</v>
      </c>
      <c r="AH1" t="s">
        <v>640</v>
      </c>
      <c r="AI1" t="s">
        <v>641</v>
      </c>
      <c r="AJ1" t="s">
        <v>642</v>
      </c>
      <c r="AK1" t="s">
        <v>643</v>
      </c>
      <c r="AL1" t="s">
        <v>644</v>
      </c>
      <c r="AM1" t="s">
        <v>645</v>
      </c>
      <c r="AN1" t="s">
        <v>646</v>
      </c>
      <c r="AO1" t="s">
        <v>647</v>
      </c>
      <c r="AP1" t="s">
        <v>648</v>
      </c>
      <c r="AQ1" t="s">
        <v>649</v>
      </c>
      <c r="AR1" t="s">
        <v>650</v>
      </c>
      <c r="AS1" t="s">
        <v>651</v>
      </c>
      <c r="AT1" t="s">
        <v>652</v>
      </c>
      <c r="AU1" t="s">
        <v>653</v>
      </c>
      <c r="AV1" t="s">
        <v>654</v>
      </c>
      <c r="AW1" t="s">
        <v>655</v>
      </c>
      <c r="AX1" t="s">
        <v>656</v>
      </c>
      <c r="AY1" t="s">
        <v>657</v>
      </c>
      <c r="AZ1" t="s">
        <v>658</v>
      </c>
      <c r="BA1" t="s">
        <v>659</v>
      </c>
      <c r="BB1" t="s">
        <v>660</v>
      </c>
      <c r="BC1" t="s">
        <v>661</v>
      </c>
      <c r="BD1" t="s">
        <v>662</v>
      </c>
      <c r="BE1" t="s">
        <v>663</v>
      </c>
      <c r="BF1" t="s">
        <v>664</v>
      </c>
      <c r="BG1" t="s">
        <v>665</v>
      </c>
      <c r="BH1" t="s">
        <v>666</v>
      </c>
      <c r="BI1" t="s">
        <v>667</v>
      </c>
      <c r="BJ1" t="s">
        <v>668</v>
      </c>
      <c r="BK1" t="s">
        <v>669</v>
      </c>
      <c r="BL1" t="s">
        <v>670</v>
      </c>
      <c r="BM1" t="s">
        <v>671</v>
      </c>
      <c r="BN1" t="s">
        <v>672</v>
      </c>
      <c r="BO1" t="s">
        <v>673</v>
      </c>
      <c r="BP1" t="s">
        <v>674</v>
      </c>
      <c r="BQ1" t="s">
        <v>675</v>
      </c>
      <c r="BR1" t="s">
        <v>676</v>
      </c>
      <c r="BS1" t="s">
        <v>677</v>
      </c>
      <c r="BT1" t="s">
        <v>678</v>
      </c>
      <c r="BU1" t="s">
        <v>679</v>
      </c>
      <c r="BV1" t="s">
        <v>680</v>
      </c>
      <c r="BW1" t="s">
        <v>681</v>
      </c>
      <c r="BX1" t="s">
        <v>682</v>
      </c>
      <c r="BY1" t="s">
        <v>683</v>
      </c>
      <c r="BZ1" t="s">
        <v>684</v>
      </c>
      <c r="CA1" t="s">
        <v>685</v>
      </c>
      <c r="CB1" t="s">
        <v>686</v>
      </c>
      <c r="CC1" t="s">
        <v>687</v>
      </c>
      <c r="CD1" t="s">
        <v>688</v>
      </c>
      <c r="CE1" t="s">
        <v>689</v>
      </c>
      <c r="CF1" t="s">
        <v>690</v>
      </c>
      <c r="CG1" t="s">
        <v>691</v>
      </c>
      <c r="CH1" t="s">
        <v>692</v>
      </c>
      <c r="CI1" t="s">
        <v>693</v>
      </c>
      <c r="CJ1" t="s">
        <v>694</v>
      </c>
      <c r="CK1" t="s">
        <v>695</v>
      </c>
      <c r="CL1" t="s">
        <v>696</v>
      </c>
      <c r="CM1" t="s">
        <v>697</v>
      </c>
      <c r="CN1" t="s">
        <v>698</v>
      </c>
      <c r="CO1" t="s">
        <v>699</v>
      </c>
      <c r="CP1" t="s">
        <v>700</v>
      </c>
      <c r="CQ1" t="s">
        <v>701</v>
      </c>
      <c r="CR1" t="s">
        <v>702</v>
      </c>
      <c r="CS1" t="s">
        <v>703</v>
      </c>
      <c r="CT1" t="s">
        <v>704</v>
      </c>
      <c r="CU1" t="s">
        <v>705</v>
      </c>
      <c r="CV1" t="s">
        <v>706</v>
      </c>
      <c r="CW1" t="s">
        <v>707</v>
      </c>
      <c r="CX1" t="s">
        <v>708</v>
      </c>
      <c r="CY1" t="s">
        <v>709</v>
      </c>
      <c r="CZ1" t="s">
        <v>710</v>
      </c>
      <c r="DA1" t="s">
        <v>711</v>
      </c>
      <c r="DB1" t="s">
        <v>712</v>
      </c>
      <c r="DC1" t="s">
        <v>713</v>
      </c>
      <c r="DD1" t="s">
        <v>714</v>
      </c>
      <c r="DE1" t="s">
        <v>715</v>
      </c>
      <c r="DF1" t="s">
        <v>716</v>
      </c>
      <c r="DG1" t="s">
        <v>717</v>
      </c>
      <c r="DH1" t="s">
        <v>718</v>
      </c>
      <c r="DI1" t="s">
        <v>719</v>
      </c>
      <c r="DJ1" t="s">
        <v>720</v>
      </c>
      <c r="DK1" t="s">
        <v>721</v>
      </c>
      <c r="DL1" t="s">
        <v>722</v>
      </c>
      <c r="DM1" t="s">
        <v>723</v>
      </c>
      <c r="DN1" t="s">
        <v>724</v>
      </c>
      <c r="DO1" t="s">
        <v>725</v>
      </c>
      <c r="DP1" t="s">
        <v>726</v>
      </c>
      <c r="DQ1" t="s">
        <v>727</v>
      </c>
      <c r="DR1" t="s">
        <v>728</v>
      </c>
      <c r="DS1" t="s">
        <v>729</v>
      </c>
      <c r="DT1" t="s">
        <v>730</v>
      </c>
      <c r="DU1" t="s">
        <v>731</v>
      </c>
      <c r="DV1" t="s">
        <v>732</v>
      </c>
      <c r="DW1" t="s">
        <v>733</v>
      </c>
      <c r="DX1" t="s">
        <v>734</v>
      </c>
      <c r="DY1" t="s">
        <v>735</v>
      </c>
      <c r="DZ1" t="s">
        <v>736</v>
      </c>
      <c r="EA1" t="s">
        <v>737</v>
      </c>
      <c r="EB1" t="s">
        <v>738</v>
      </c>
      <c r="EC1" t="s">
        <v>739</v>
      </c>
      <c r="ED1" t="s">
        <v>740</v>
      </c>
      <c r="EE1" t="s">
        <v>741</v>
      </c>
      <c r="EF1" t="s">
        <v>742</v>
      </c>
      <c r="EG1" t="s">
        <v>743</v>
      </c>
      <c r="EH1" t="s">
        <v>744</v>
      </c>
      <c r="EI1" t="s">
        <v>745</v>
      </c>
      <c r="EJ1" t="s">
        <v>746</v>
      </c>
      <c r="EK1" t="s">
        <v>747</v>
      </c>
      <c r="EL1" t="s">
        <v>748</v>
      </c>
      <c r="EM1" t="s">
        <v>749</v>
      </c>
      <c r="EN1" t="s">
        <v>750</v>
      </c>
      <c r="EO1" t="s">
        <v>751</v>
      </c>
      <c r="EP1" t="s">
        <v>752</v>
      </c>
      <c r="EQ1" t="s">
        <v>753</v>
      </c>
      <c r="ER1" t="s">
        <v>754</v>
      </c>
      <c r="ES1" t="s">
        <v>755</v>
      </c>
      <c r="ET1" t="s">
        <v>756</v>
      </c>
      <c r="EU1" t="s">
        <v>757</v>
      </c>
      <c r="EV1" t="s">
        <v>758</v>
      </c>
      <c r="EW1" t="s">
        <v>759</v>
      </c>
      <c r="EX1" t="s">
        <v>760</v>
      </c>
      <c r="EY1" t="s">
        <v>761</v>
      </c>
      <c r="EZ1" t="s">
        <v>762</v>
      </c>
      <c r="FA1" t="s">
        <v>763</v>
      </c>
      <c r="FB1" t="s">
        <v>764</v>
      </c>
      <c r="FC1" t="s">
        <v>765</v>
      </c>
      <c r="FD1" t="s">
        <v>766</v>
      </c>
      <c r="FE1" t="s">
        <v>767</v>
      </c>
      <c r="FF1" t="s">
        <v>768</v>
      </c>
      <c r="FG1" t="s">
        <v>769</v>
      </c>
      <c r="FH1" t="s">
        <v>770</v>
      </c>
      <c r="FI1" t="s">
        <v>771</v>
      </c>
      <c r="FJ1" t="s">
        <v>772</v>
      </c>
      <c r="FK1" t="s">
        <v>773</v>
      </c>
      <c r="FL1" t="s">
        <v>774</v>
      </c>
      <c r="FM1" t="s">
        <v>775</v>
      </c>
      <c r="FN1" t="s">
        <v>776</v>
      </c>
      <c r="FO1" t="s">
        <v>777</v>
      </c>
      <c r="FP1" t="s">
        <v>778</v>
      </c>
      <c r="FQ1" t="s">
        <v>779</v>
      </c>
      <c r="FR1" t="s">
        <v>780</v>
      </c>
      <c r="FS1" t="s">
        <v>781</v>
      </c>
      <c r="FT1" t="s">
        <v>782</v>
      </c>
      <c r="FU1" t="s">
        <v>783</v>
      </c>
      <c r="FV1" t="s">
        <v>784</v>
      </c>
      <c r="FW1" t="s">
        <v>785</v>
      </c>
      <c r="FX1" t="s">
        <v>786</v>
      </c>
      <c r="FY1" t="s">
        <v>787</v>
      </c>
      <c r="FZ1" t="s">
        <v>788</v>
      </c>
      <c r="GA1" t="s">
        <v>789</v>
      </c>
      <c r="GB1" t="s">
        <v>790</v>
      </c>
      <c r="GC1" t="s">
        <v>791</v>
      </c>
      <c r="GD1" t="s">
        <v>792</v>
      </c>
      <c r="GE1" t="s">
        <v>793</v>
      </c>
      <c r="GF1" t="s">
        <v>794</v>
      </c>
      <c r="GG1" t="s">
        <v>795</v>
      </c>
      <c r="GH1" t="s">
        <v>796</v>
      </c>
      <c r="GI1" t="s">
        <v>797</v>
      </c>
      <c r="GJ1" t="s">
        <v>798</v>
      </c>
      <c r="GK1" t="s">
        <v>799</v>
      </c>
      <c r="GL1" t="s">
        <v>800</v>
      </c>
      <c r="GM1" t="s">
        <v>801</v>
      </c>
      <c r="GN1" t="s">
        <v>802</v>
      </c>
      <c r="GO1" t="s">
        <v>803</v>
      </c>
      <c r="GP1" t="s">
        <v>804</v>
      </c>
      <c r="GQ1" t="s">
        <v>805</v>
      </c>
      <c r="GR1" t="s">
        <v>806</v>
      </c>
      <c r="GS1" t="s">
        <v>807</v>
      </c>
      <c r="GT1" t="s">
        <v>808</v>
      </c>
      <c r="GU1" t="s">
        <v>809</v>
      </c>
      <c r="GV1" t="s">
        <v>810</v>
      </c>
      <c r="GW1" t="s">
        <v>811</v>
      </c>
      <c r="GX1" t="s">
        <v>812</v>
      </c>
      <c r="GY1" t="s">
        <v>813</v>
      </c>
      <c r="GZ1" t="s">
        <v>814</v>
      </c>
      <c r="HA1" t="s">
        <v>815</v>
      </c>
      <c r="HB1" t="s">
        <v>816</v>
      </c>
      <c r="HC1" t="s">
        <v>817</v>
      </c>
      <c r="HD1" t="s">
        <v>818</v>
      </c>
      <c r="HE1" t="s">
        <v>819</v>
      </c>
      <c r="HF1" t="s">
        <v>820</v>
      </c>
      <c r="HG1" t="s">
        <v>821</v>
      </c>
      <c r="HH1" t="s">
        <v>822</v>
      </c>
      <c r="HI1" t="s">
        <v>823</v>
      </c>
      <c r="HJ1" t="s">
        <v>824</v>
      </c>
      <c r="HK1" t="s">
        <v>825</v>
      </c>
      <c r="HL1" t="s">
        <v>826</v>
      </c>
      <c r="HM1" t="s">
        <v>827</v>
      </c>
      <c r="HN1" t="s">
        <v>828</v>
      </c>
      <c r="HO1" t="s">
        <v>829</v>
      </c>
      <c r="HP1" t="s">
        <v>830</v>
      </c>
      <c r="HQ1" t="s">
        <v>831</v>
      </c>
      <c r="HR1" t="s">
        <v>832</v>
      </c>
      <c r="HS1" t="s">
        <v>833</v>
      </c>
      <c r="HT1" t="s">
        <v>834</v>
      </c>
      <c r="HU1" t="s">
        <v>835</v>
      </c>
      <c r="HV1" t="s">
        <v>836</v>
      </c>
      <c r="HW1" t="s">
        <v>837</v>
      </c>
      <c r="HX1" t="s">
        <v>838</v>
      </c>
      <c r="HY1" t="s">
        <v>839</v>
      </c>
      <c r="HZ1" t="s">
        <v>840</v>
      </c>
      <c r="IA1" t="s">
        <v>841</v>
      </c>
      <c r="IB1" t="s">
        <v>842</v>
      </c>
      <c r="IC1" t="s">
        <v>843</v>
      </c>
      <c r="ID1" t="s">
        <v>844</v>
      </c>
      <c r="IE1" t="s">
        <v>845</v>
      </c>
      <c r="IF1" t="s">
        <v>846</v>
      </c>
      <c r="IG1" t="s">
        <v>847</v>
      </c>
      <c r="IH1" t="s">
        <v>848</v>
      </c>
      <c r="II1" t="s">
        <v>849</v>
      </c>
      <c r="IJ1" t="s">
        <v>850</v>
      </c>
      <c r="IK1" t="s">
        <v>851</v>
      </c>
      <c r="IL1" t="s">
        <v>852</v>
      </c>
      <c r="IM1" t="s">
        <v>853</v>
      </c>
      <c r="IN1" t="s">
        <v>854</v>
      </c>
      <c r="IO1" t="s">
        <v>855</v>
      </c>
      <c r="IP1" t="s">
        <v>856</v>
      </c>
      <c r="IQ1" t="s">
        <v>857</v>
      </c>
      <c r="IR1" t="s">
        <v>858</v>
      </c>
      <c r="IS1" t="s">
        <v>859</v>
      </c>
      <c r="IT1" t="s">
        <v>860</v>
      </c>
      <c r="IU1" t="s">
        <v>861</v>
      </c>
      <c r="IV1" t="s">
        <v>862</v>
      </c>
    </row>
    <row r="2" spans="1:256" x14ac:dyDescent="0.2">
      <c r="A2" t="s">
        <v>863</v>
      </c>
      <c r="B2" t="s">
        <v>864</v>
      </c>
      <c r="C2" t="s">
        <v>865</v>
      </c>
      <c r="D2" t="s">
        <v>866</v>
      </c>
      <c r="E2" t="s">
        <v>867</v>
      </c>
      <c r="F2" t="s">
        <v>868</v>
      </c>
      <c r="G2" t="s">
        <v>869</v>
      </c>
      <c r="H2" t="s">
        <v>870</v>
      </c>
      <c r="I2" t="s">
        <v>871</v>
      </c>
      <c r="J2" t="s">
        <v>872</v>
      </c>
      <c r="K2" t="s">
        <v>873</v>
      </c>
      <c r="L2" t="s">
        <v>874</v>
      </c>
      <c r="M2" t="s">
        <v>875</v>
      </c>
      <c r="N2" t="s">
        <v>876</v>
      </c>
      <c r="O2" t="s">
        <v>877</v>
      </c>
      <c r="P2" t="s">
        <v>878</v>
      </c>
      <c r="Q2" t="s">
        <v>879</v>
      </c>
      <c r="R2" t="s">
        <v>880</v>
      </c>
      <c r="S2" t="s">
        <v>881</v>
      </c>
      <c r="T2" t="s">
        <v>882</v>
      </c>
      <c r="U2" t="s">
        <v>883</v>
      </c>
      <c r="V2" t="s">
        <v>884</v>
      </c>
      <c r="W2" t="s">
        <v>885</v>
      </c>
      <c r="X2" t="s">
        <v>886</v>
      </c>
      <c r="Y2" t="s">
        <v>887</v>
      </c>
      <c r="Z2" t="s">
        <v>888</v>
      </c>
      <c r="AA2" t="s">
        <v>889</v>
      </c>
      <c r="AB2" t="s">
        <v>890</v>
      </c>
      <c r="AC2" t="s">
        <v>891</v>
      </c>
      <c r="AD2" t="s">
        <v>892</v>
      </c>
      <c r="AE2" t="s">
        <v>893</v>
      </c>
      <c r="AF2" t="s">
        <v>894</v>
      </c>
      <c r="AG2" t="s">
        <v>895</v>
      </c>
      <c r="AH2" t="s">
        <v>896</v>
      </c>
      <c r="AI2" t="s">
        <v>897</v>
      </c>
      <c r="AJ2" t="s">
        <v>898</v>
      </c>
      <c r="AK2" t="s">
        <v>899</v>
      </c>
      <c r="AL2" t="s">
        <v>900</v>
      </c>
      <c r="AM2" t="s">
        <v>901</v>
      </c>
      <c r="AN2" t="s">
        <v>902</v>
      </c>
      <c r="AO2" t="s">
        <v>903</v>
      </c>
      <c r="AP2" t="s">
        <v>904</v>
      </c>
      <c r="AQ2" t="s">
        <v>905</v>
      </c>
      <c r="AR2" t="s">
        <v>906</v>
      </c>
      <c r="AS2" t="s">
        <v>907</v>
      </c>
      <c r="AT2" t="s">
        <v>908</v>
      </c>
      <c r="AU2" t="s">
        <v>909</v>
      </c>
      <c r="AV2" t="s">
        <v>910</v>
      </c>
      <c r="AW2" t="s">
        <v>911</v>
      </c>
      <c r="AX2" t="s">
        <v>912</v>
      </c>
      <c r="AY2" t="s">
        <v>913</v>
      </c>
      <c r="AZ2" t="s">
        <v>914</v>
      </c>
      <c r="BA2" t="s">
        <v>915</v>
      </c>
      <c r="BB2" t="s">
        <v>916</v>
      </c>
      <c r="BC2" t="s">
        <v>917</v>
      </c>
      <c r="BD2" t="s">
        <v>918</v>
      </c>
      <c r="BE2" t="s">
        <v>919</v>
      </c>
      <c r="BF2" t="s">
        <v>920</v>
      </c>
      <c r="BG2" t="s">
        <v>921</v>
      </c>
      <c r="BH2" t="s">
        <v>922</v>
      </c>
      <c r="BI2" t="s">
        <v>923</v>
      </c>
      <c r="BJ2" t="s">
        <v>924</v>
      </c>
      <c r="BK2" t="s">
        <v>925</v>
      </c>
      <c r="BL2" t="s">
        <v>926</v>
      </c>
      <c r="BM2" t="s">
        <v>927</v>
      </c>
      <c r="BN2" t="s">
        <v>928</v>
      </c>
      <c r="BO2" t="s">
        <v>929</v>
      </c>
      <c r="BP2" t="s">
        <v>930</v>
      </c>
      <c r="BQ2" t="s">
        <v>931</v>
      </c>
      <c r="BR2" t="s">
        <v>932</v>
      </c>
      <c r="BS2" t="s">
        <v>933</v>
      </c>
      <c r="BT2" t="s">
        <v>934</v>
      </c>
      <c r="BU2" t="s">
        <v>935</v>
      </c>
      <c r="BV2" t="s">
        <v>936</v>
      </c>
      <c r="BW2" t="s">
        <v>937</v>
      </c>
      <c r="BX2" t="s">
        <v>938</v>
      </c>
      <c r="BY2" t="s">
        <v>939</v>
      </c>
      <c r="BZ2" t="s">
        <v>940</v>
      </c>
      <c r="CA2" t="s">
        <v>941</v>
      </c>
      <c r="CB2" t="s">
        <v>942</v>
      </c>
      <c r="CC2" t="s">
        <v>943</v>
      </c>
      <c r="CD2" t="s">
        <v>944</v>
      </c>
      <c r="CE2" t="s">
        <v>945</v>
      </c>
      <c r="CF2" t="s">
        <v>946</v>
      </c>
      <c r="CG2" t="s">
        <v>947</v>
      </c>
      <c r="CH2" t="s">
        <v>948</v>
      </c>
      <c r="CI2" t="s">
        <v>949</v>
      </c>
      <c r="CJ2" t="s">
        <v>950</v>
      </c>
      <c r="CK2" t="s">
        <v>951</v>
      </c>
      <c r="CL2" t="s">
        <v>952</v>
      </c>
      <c r="CM2" t="s">
        <v>953</v>
      </c>
      <c r="CN2" t="s">
        <v>954</v>
      </c>
      <c r="CO2" t="s">
        <v>955</v>
      </c>
      <c r="CP2" t="s">
        <v>956</v>
      </c>
      <c r="CQ2" t="s">
        <v>957</v>
      </c>
      <c r="CR2" t="s">
        <v>958</v>
      </c>
      <c r="CS2" t="s">
        <v>959</v>
      </c>
      <c r="CT2" t="s">
        <v>960</v>
      </c>
      <c r="CU2" t="s">
        <v>961</v>
      </c>
      <c r="CV2" t="s">
        <v>962</v>
      </c>
      <c r="CW2" t="s">
        <v>963</v>
      </c>
      <c r="CX2" t="s">
        <v>964</v>
      </c>
      <c r="CY2" t="s">
        <v>965</v>
      </c>
      <c r="CZ2" t="s">
        <v>966</v>
      </c>
      <c r="DA2" t="s">
        <v>967</v>
      </c>
      <c r="DB2" t="s">
        <v>968</v>
      </c>
      <c r="DC2" t="s">
        <v>969</v>
      </c>
      <c r="DD2" t="s">
        <v>970</v>
      </c>
      <c r="DE2" t="s">
        <v>971</v>
      </c>
      <c r="DF2" t="s">
        <v>972</v>
      </c>
      <c r="DG2" t="s">
        <v>973</v>
      </c>
      <c r="DH2" t="s">
        <v>974</v>
      </c>
      <c r="DI2" t="s">
        <v>975</v>
      </c>
      <c r="DJ2" t="s">
        <v>976</v>
      </c>
      <c r="DK2" t="s">
        <v>977</v>
      </c>
      <c r="DL2" t="s">
        <v>978</v>
      </c>
      <c r="DM2" t="s">
        <v>979</v>
      </c>
      <c r="DN2" t="s">
        <v>980</v>
      </c>
      <c r="DO2" t="s">
        <v>981</v>
      </c>
      <c r="DP2" t="s">
        <v>982</v>
      </c>
      <c r="DQ2" t="s">
        <v>983</v>
      </c>
      <c r="DR2" t="s">
        <v>984</v>
      </c>
      <c r="DS2" t="s">
        <v>985</v>
      </c>
      <c r="DT2" t="s">
        <v>986</v>
      </c>
      <c r="DU2" t="s">
        <v>987</v>
      </c>
      <c r="DV2" t="s">
        <v>988</v>
      </c>
      <c r="DW2" t="s">
        <v>989</v>
      </c>
      <c r="DX2" t="s">
        <v>990</v>
      </c>
      <c r="DY2" t="s">
        <v>991</v>
      </c>
      <c r="DZ2" t="s">
        <v>992</v>
      </c>
      <c r="EA2" t="s">
        <v>993</v>
      </c>
      <c r="EB2" t="s">
        <v>994</v>
      </c>
      <c r="EC2" t="s">
        <v>995</v>
      </c>
      <c r="ED2" t="s">
        <v>996</v>
      </c>
      <c r="EE2" t="s">
        <v>997</v>
      </c>
      <c r="EF2" t="s">
        <v>998</v>
      </c>
      <c r="EG2" t="s">
        <v>999</v>
      </c>
      <c r="EH2" t="s">
        <v>1000</v>
      </c>
      <c r="EI2" t="s">
        <v>1001</v>
      </c>
      <c r="EJ2" t="s">
        <v>1002</v>
      </c>
      <c r="EK2" t="s">
        <v>1003</v>
      </c>
      <c r="EL2" t="s">
        <v>1004</v>
      </c>
      <c r="EM2" t="s">
        <v>1005</v>
      </c>
      <c r="EN2" t="s">
        <v>1006</v>
      </c>
      <c r="EO2" t="s">
        <v>1007</v>
      </c>
      <c r="EP2" t="s">
        <v>1008</v>
      </c>
      <c r="EQ2" t="s">
        <v>1009</v>
      </c>
      <c r="ER2" t="s">
        <v>1010</v>
      </c>
      <c r="ES2" t="s">
        <v>1011</v>
      </c>
      <c r="ET2" t="s">
        <v>1012</v>
      </c>
      <c r="EU2" t="s">
        <v>1013</v>
      </c>
      <c r="EV2" t="s">
        <v>1014</v>
      </c>
      <c r="EW2" t="s">
        <v>1015</v>
      </c>
      <c r="EX2" t="s">
        <v>1016</v>
      </c>
      <c r="EY2" t="s">
        <v>1017</v>
      </c>
      <c r="EZ2" t="s">
        <v>1018</v>
      </c>
      <c r="FA2" t="s">
        <v>1019</v>
      </c>
      <c r="FB2" t="s">
        <v>1020</v>
      </c>
      <c r="FC2" t="s">
        <v>1021</v>
      </c>
      <c r="FD2" t="s">
        <v>1022</v>
      </c>
      <c r="FE2" t="s">
        <v>1023</v>
      </c>
      <c r="FF2" t="s">
        <v>1024</v>
      </c>
      <c r="FG2" t="s">
        <v>1025</v>
      </c>
      <c r="FH2" t="s">
        <v>1026</v>
      </c>
      <c r="FI2" t="s">
        <v>1027</v>
      </c>
      <c r="FJ2" t="s">
        <v>1028</v>
      </c>
      <c r="FK2" t="s">
        <v>1029</v>
      </c>
      <c r="FL2" t="s">
        <v>1030</v>
      </c>
      <c r="FM2" t="s">
        <v>1031</v>
      </c>
      <c r="FN2" t="s">
        <v>1032</v>
      </c>
      <c r="FO2" t="s">
        <v>1033</v>
      </c>
      <c r="FP2" t="s">
        <v>1034</v>
      </c>
      <c r="FQ2" t="s">
        <v>1035</v>
      </c>
      <c r="FR2" t="s">
        <v>1036</v>
      </c>
      <c r="FS2" t="s">
        <v>1037</v>
      </c>
      <c r="FT2" t="s">
        <v>1038</v>
      </c>
      <c r="FU2" t="s">
        <v>1039</v>
      </c>
      <c r="FV2" t="s">
        <v>1040</v>
      </c>
      <c r="FW2" t="s">
        <v>1041</v>
      </c>
      <c r="FX2" t="s">
        <v>1042</v>
      </c>
      <c r="FY2" t="s">
        <v>1043</v>
      </c>
      <c r="FZ2" t="s">
        <v>1044</v>
      </c>
      <c r="GA2" t="s">
        <v>1045</v>
      </c>
      <c r="GB2" t="s">
        <v>1046</v>
      </c>
      <c r="GC2" t="s">
        <v>1047</v>
      </c>
      <c r="GD2" t="s">
        <v>1048</v>
      </c>
      <c r="GE2" t="s">
        <v>1049</v>
      </c>
      <c r="GF2" t="s">
        <v>1050</v>
      </c>
      <c r="GG2" t="s">
        <v>1051</v>
      </c>
      <c r="GH2" t="s">
        <v>1052</v>
      </c>
      <c r="GI2" t="s">
        <v>1053</v>
      </c>
      <c r="GJ2" t="s">
        <v>1054</v>
      </c>
      <c r="GK2" t="s">
        <v>1055</v>
      </c>
      <c r="GL2" t="s">
        <v>1056</v>
      </c>
      <c r="GM2" t="s">
        <v>1057</v>
      </c>
      <c r="GN2" t="s">
        <v>1058</v>
      </c>
      <c r="GO2" t="s">
        <v>1059</v>
      </c>
      <c r="GP2" t="s">
        <v>1060</v>
      </c>
      <c r="GQ2" t="s">
        <v>1061</v>
      </c>
      <c r="GR2" t="s">
        <v>1062</v>
      </c>
      <c r="GS2" t="s">
        <v>1063</v>
      </c>
      <c r="GT2" t="s">
        <v>1064</v>
      </c>
      <c r="GU2" t="s">
        <v>1065</v>
      </c>
      <c r="GV2" t="s">
        <v>1066</v>
      </c>
      <c r="GW2" t="s">
        <v>1067</v>
      </c>
      <c r="GX2" t="s">
        <v>1068</v>
      </c>
      <c r="GY2" t="s">
        <v>1069</v>
      </c>
      <c r="GZ2" t="s">
        <v>1070</v>
      </c>
      <c r="HA2" t="s">
        <v>1071</v>
      </c>
      <c r="HB2" t="s">
        <v>1072</v>
      </c>
      <c r="HC2" t="s">
        <v>1073</v>
      </c>
      <c r="HD2" t="s">
        <v>1074</v>
      </c>
      <c r="HE2" t="s">
        <v>1075</v>
      </c>
      <c r="HF2" t="s">
        <v>1076</v>
      </c>
      <c r="HG2" t="s">
        <v>1077</v>
      </c>
      <c r="HH2" t="s">
        <v>1078</v>
      </c>
      <c r="HI2" t="s">
        <v>1079</v>
      </c>
      <c r="HJ2" t="s">
        <v>1080</v>
      </c>
      <c r="HK2" t="s">
        <v>1081</v>
      </c>
      <c r="HL2" t="s">
        <v>1082</v>
      </c>
      <c r="HM2" t="s">
        <v>1083</v>
      </c>
      <c r="HN2" t="s">
        <v>1084</v>
      </c>
      <c r="HO2" t="s">
        <v>1085</v>
      </c>
      <c r="HP2" t="s">
        <v>1086</v>
      </c>
      <c r="HQ2" t="s">
        <v>1087</v>
      </c>
      <c r="HR2" t="s">
        <v>1088</v>
      </c>
      <c r="HS2" t="s">
        <v>1089</v>
      </c>
      <c r="HT2" t="s">
        <v>1090</v>
      </c>
      <c r="HU2" t="s">
        <v>1091</v>
      </c>
      <c r="HV2" t="s">
        <v>1092</v>
      </c>
      <c r="HW2" t="s">
        <v>1093</v>
      </c>
      <c r="HX2" t="s">
        <v>1094</v>
      </c>
      <c r="HY2" t="s">
        <v>1095</v>
      </c>
      <c r="HZ2" t="s">
        <v>1096</v>
      </c>
      <c r="IA2" t="s">
        <v>1097</v>
      </c>
      <c r="IB2" t="s">
        <v>1098</v>
      </c>
      <c r="IC2" t="s">
        <v>1099</v>
      </c>
      <c r="ID2" t="s">
        <v>1100</v>
      </c>
      <c r="IE2" t="s">
        <v>1101</v>
      </c>
      <c r="IF2" t="s">
        <v>1102</v>
      </c>
      <c r="IG2" t="s">
        <v>1103</v>
      </c>
      <c r="IH2" t="s">
        <v>1104</v>
      </c>
      <c r="II2" t="s">
        <v>1105</v>
      </c>
      <c r="IJ2" t="s">
        <v>1106</v>
      </c>
      <c r="IK2" t="s">
        <v>1107</v>
      </c>
      <c r="IL2" t="s">
        <v>1108</v>
      </c>
      <c r="IM2" t="s">
        <v>1109</v>
      </c>
      <c r="IN2" t="s">
        <v>1110</v>
      </c>
      <c r="IO2" t="s">
        <v>1111</v>
      </c>
      <c r="IP2" t="s">
        <v>1112</v>
      </c>
      <c r="IQ2" t="s">
        <v>1113</v>
      </c>
      <c r="IR2" t="s">
        <v>1114</v>
      </c>
      <c r="IS2" t="s">
        <v>1115</v>
      </c>
      <c r="IT2" t="s">
        <v>1116</v>
      </c>
      <c r="IU2" t="s">
        <v>1117</v>
      </c>
      <c r="IV2" t="s">
        <v>1118</v>
      </c>
    </row>
    <row r="3" spans="1:256" x14ac:dyDescent="0.2">
      <c r="A3" t="s">
        <v>1119</v>
      </c>
      <c r="B3" t="s">
        <v>1120</v>
      </c>
      <c r="C3" t="s">
        <v>1121</v>
      </c>
      <c r="D3" t="s">
        <v>1122</v>
      </c>
      <c r="E3" t="s">
        <v>1123</v>
      </c>
      <c r="F3" t="s">
        <v>1124</v>
      </c>
      <c r="G3" t="s">
        <v>1125</v>
      </c>
      <c r="H3" t="s">
        <v>1126</v>
      </c>
      <c r="I3" t="s">
        <v>1127</v>
      </c>
      <c r="J3" t="s">
        <v>1128</v>
      </c>
      <c r="K3" t="s">
        <v>1129</v>
      </c>
      <c r="L3" t="s">
        <v>1130</v>
      </c>
      <c r="M3" t="s">
        <v>1131</v>
      </c>
      <c r="N3" t="s">
        <v>1132</v>
      </c>
      <c r="O3" t="s">
        <v>1133</v>
      </c>
      <c r="P3" t="s">
        <v>1134</v>
      </c>
      <c r="Q3" t="s">
        <v>1135</v>
      </c>
      <c r="R3" t="s">
        <v>1136</v>
      </c>
      <c r="S3" t="s">
        <v>1137</v>
      </c>
      <c r="T3" t="s">
        <v>1138</v>
      </c>
      <c r="U3" t="s">
        <v>1139</v>
      </c>
      <c r="V3" t="s">
        <v>1140</v>
      </c>
      <c r="W3" t="s">
        <v>1141</v>
      </c>
      <c r="X3" t="s">
        <v>1142</v>
      </c>
      <c r="Y3" t="s">
        <v>1143</v>
      </c>
      <c r="Z3" t="s">
        <v>1144</v>
      </c>
      <c r="AA3" t="s">
        <v>1145</v>
      </c>
      <c r="AB3" t="s">
        <v>1146</v>
      </c>
      <c r="AC3" t="s">
        <v>1147</v>
      </c>
      <c r="AD3" t="s">
        <v>1148</v>
      </c>
      <c r="AE3" t="s">
        <v>1149</v>
      </c>
      <c r="AF3" t="s">
        <v>1150</v>
      </c>
      <c r="AG3" t="s">
        <v>1151</v>
      </c>
      <c r="AH3" t="s">
        <v>1152</v>
      </c>
      <c r="AI3" t="s">
        <v>1153</v>
      </c>
      <c r="AJ3" t="s">
        <v>1154</v>
      </c>
      <c r="AK3" t="s">
        <v>1155</v>
      </c>
      <c r="AL3" t="s">
        <v>1156</v>
      </c>
      <c r="AM3" t="s">
        <v>1157</v>
      </c>
      <c r="AN3" t="s">
        <v>1158</v>
      </c>
      <c r="AO3" t="s">
        <v>1159</v>
      </c>
      <c r="AP3" t="s">
        <v>1160</v>
      </c>
      <c r="AQ3" t="s">
        <v>1161</v>
      </c>
      <c r="AR3" t="s">
        <v>1162</v>
      </c>
      <c r="AS3" t="s">
        <v>1163</v>
      </c>
      <c r="AT3" t="s">
        <v>1164</v>
      </c>
      <c r="AU3" t="s">
        <v>1165</v>
      </c>
      <c r="AV3" t="s">
        <v>1166</v>
      </c>
      <c r="AW3" t="s">
        <v>1167</v>
      </c>
      <c r="AX3" t="s">
        <v>1168</v>
      </c>
      <c r="AY3" t="s">
        <v>1169</v>
      </c>
      <c r="AZ3" t="s">
        <v>1170</v>
      </c>
      <c r="BA3" t="s">
        <v>1171</v>
      </c>
      <c r="BB3" t="s">
        <v>1172</v>
      </c>
      <c r="BC3" t="s">
        <v>1173</v>
      </c>
      <c r="BD3" t="s">
        <v>1174</v>
      </c>
      <c r="BE3" t="s">
        <v>1175</v>
      </c>
      <c r="BF3" t="s">
        <v>1176</v>
      </c>
      <c r="BG3" t="s">
        <v>1177</v>
      </c>
      <c r="BH3" t="s">
        <v>1178</v>
      </c>
      <c r="BI3" t="s">
        <v>1179</v>
      </c>
      <c r="BJ3" t="s">
        <v>1180</v>
      </c>
      <c r="BK3" t="s">
        <v>1181</v>
      </c>
      <c r="BL3" t="s">
        <v>1182</v>
      </c>
      <c r="BM3" t="s">
        <v>1183</v>
      </c>
      <c r="BN3" t="s">
        <v>1184</v>
      </c>
      <c r="BO3" t="s">
        <v>1185</v>
      </c>
      <c r="BP3" t="s">
        <v>1186</v>
      </c>
      <c r="BQ3" t="s">
        <v>1187</v>
      </c>
      <c r="BR3" t="s">
        <v>1188</v>
      </c>
      <c r="BS3" t="s">
        <v>1189</v>
      </c>
      <c r="BT3" t="s">
        <v>1190</v>
      </c>
      <c r="BU3" t="s">
        <v>1191</v>
      </c>
      <c r="BV3" t="s">
        <v>1192</v>
      </c>
      <c r="BW3" t="s">
        <v>1193</v>
      </c>
      <c r="BX3" t="s">
        <v>1194</v>
      </c>
      <c r="BY3" t="s">
        <v>1195</v>
      </c>
      <c r="BZ3" t="s">
        <v>1196</v>
      </c>
      <c r="CA3" t="s">
        <v>1197</v>
      </c>
      <c r="CB3" t="s">
        <v>1198</v>
      </c>
      <c r="CC3" t="s">
        <v>1199</v>
      </c>
      <c r="CD3" t="s">
        <v>1200</v>
      </c>
      <c r="CE3" t="s">
        <v>1201</v>
      </c>
      <c r="CF3" t="s">
        <v>1202</v>
      </c>
      <c r="CG3" t="s">
        <v>1203</v>
      </c>
      <c r="CH3" t="s">
        <v>1204</v>
      </c>
      <c r="CI3" t="s">
        <v>1205</v>
      </c>
      <c r="CJ3" t="s">
        <v>1206</v>
      </c>
      <c r="CK3" t="s">
        <v>1207</v>
      </c>
      <c r="CL3" t="s">
        <v>1208</v>
      </c>
      <c r="CM3" t="s">
        <v>1209</v>
      </c>
      <c r="CN3" t="s">
        <v>1210</v>
      </c>
      <c r="CO3" t="s">
        <v>1211</v>
      </c>
      <c r="CP3" t="s">
        <v>1212</v>
      </c>
      <c r="CQ3" t="s">
        <v>1213</v>
      </c>
      <c r="CR3" t="s">
        <v>1214</v>
      </c>
      <c r="CS3" t="s">
        <v>1215</v>
      </c>
      <c r="CT3" t="s">
        <v>1216</v>
      </c>
      <c r="CU3" t="s">
        <v>1217</v>
      </c>
      <c r="CV3" t="s">
        <v>1218</v>
      </c>
      <c r="CW3" t="s">
        <v>1219</v>
      </c>
      <c r="CX3" t="s">
        <v>1220</v>
      </c>
      <c r="CY3" t="s">
        <v>1221</v>
      </c>
      <c r="CZ3" t="s">
        <v>1222</v>
      </c>
      <c r="DA3" t="s">
        <v>1223</v>
      </c>
      <c r="DB3" t="s">
        <v>1224</v>
      </c>
      <c r="DC3" t="s">
        <v>1225</v>
      </c>
      <c r="DD3" t="s">
        <v>1226</v>
      </c>
      <c r="DE3" t="s">
        <v>1227</v>
      </c>
      <c r="DF3" t="s">
        <v>1228</v>
      </c>
      <c r="DG3" t="s">
        <v>1229</v>
      </c>
      <c r="DH3" t="s">
        <v>1230</v>
      </c>
      <c r="DI3" t="s">
        <v>1231</v>
      </c>
      <c r="DJ3" t="s">
        <v>1232</v>
      </c>
      <c r="DK3" t="s">
        <v>1233</v>
      </c>
      <c r="DL3" t="s">
        <v>1234</v>
      </c>
      <c r="DM3" t="s">
        <v>1235</v>
      </c>
      <c r="DN3" t="s">
        <v>1236</v>
      </c>
      <c r="DO3" t="s">
        <v>1237</v>
      </c>
      <c r="DP3" t="s">
        <v>1238</v>
      </c>
      <c r="DQ3" t="s">
        <v>1239</v>
      </c>
      <c r="DR3" t="s">
        <v>1240</v>
      </c>
      <c r="DS3" t="s">
        <v>1241</v>
      </c>
      <c r="DT3" t="s">
        <v>1242</v>
      </c>
      <c r="DU3" t="s">
        <v>1243</v>
      </c>
      <c r="DV3" t="s">
        <v>1244</v>
      </c>
      <c r="DW3" t="s">
        <v>1245</v>
      </c>
      <c r="DX3" t="s">
        <v>1246</v>
      </c>
      <c r="DY3" t="s">
        <v>1247</v>
      </c>
      <c r="DZ3" t="s">
        <v>1248</v>
      </c>
      <c r="EA3" t="s">
        <v>1249</v>
      </c>
      <c r="EB3" t="s">
        <v>1250</v>
      </c>
      <c r="EC3" t="s">
        <v>1251</v>
      </c>
      <c r="ED3" t="s">
        <v>1252</v>
      </c>
      <c r="EE3" t="s">
        <v>1253</v>
      </c>
      <c r="EF3" t="s">
        <v>1254</v>
      </c>
      <c r="EG3" t="s">
        <v>1255</v>
      </c>
      <c r="EH3" t="s">
        <v>1256</v>
      </c>
      <c r="EI3" t="s">
        <v>1257</v>
      </c>
      <c r="EJ3" t="s">
        <v>1258</v>
      </c>
      <c r="EK3" t="s">
        <v>1259</v>
      </c>
      <c r="EL3" t="s">
        <v>1260</v>
      </c>
      <c r="EM3" t="s">
        <v>1261</v>
      </c>
      <c r="EN3" t="s">
        <v>1262</v>
      </c>
      <c r="EO3" t="s">
        <v>1263</v>
      </c>
      <c r="EP3" t="s">
        <v>1264</v>
      </c>
      <c r="EQ3" t="s">
        <v>1265</v>
      </c>
      <c r="ER3" t="s">
        <v>1266</v>
      </c>
      <c r="ES3" t="s">
        <v>1267</v>
      </c>
      <c r="ET3" t="s">
        <v>1268</v>
      </c>
      <c r="EU3" t="s">
        <v>1269</v>
      </c>
      <c r="EV3" t="s">
        <v>1270</v>
      </c>
      <c r="EW3" t="s">
        <v>1271</v>
      </c>
      <c r="EX3" t="s">
        <v>1272</v>
      </c>
      <c r="EY3" t="s">
        <v>1273</v>
      </c>
      <c r="EZ3" t="s">
        <v>1274</v>
      </c>
      <c r="FA3" t="s">
        <v>1275</v>
      </c>
      <c r="FB3" t="s">
        <v>1276</v>
      </c>
      <c r="FC3" t="s">
        <v>1277</v>
      </c>
      <c r="FD3" t="s">
        <v>1278</v>
      </c>
      <c r="FE3" t="s">
        <v>1279</v>
      </c>
      <c r="FF3" t="s">
        <v>1280</v>
      </c>
      <c r="FG3" t="s">
        <v>1281</v>
      </c>
      <c r="FH3" t="s">
        <v>1282</v>
      </c>
      <c r="FI3" t="s">
        <v>1283</v>
      </c>
      <c r="FJ3" t="s">
        <v>1284</v>
      </c>
      <c r="FK3" t="s">
        <v>1285</v>
      </c>
      <c r="FL3" t="s">
        <v>1286</v>
      </c>
      <c r="FM3" t="s">
        <v>1287</v>
      </c>
      <c r="FN3" t="s">
        <v>1288</v>
      </c>
      <c r="FO3" t="s">
        <v>1289</v>
      </c>
      <c r="FP3" t="s">
        <v>1290</v>
      </c>
      <c r="FQ3" t="s">
        <v>1291</v>
      </c>
      <c r="FR3" t="s">
        <v>1292</v>
      </c>
      <c r="FS3" t="s">
        <v>1293</v>
      </c>
      <c r="FT3" t="s">
        <v>1294</v>
      </c>
      <c r="FU3" t="s">
        <v>1295</v>
      </c>
      <c r="FV3" t="s">
        <v>1296</v>
      </c>
      <c r="FW3" t="s">
        <v>1297</v>
      </c>
      <c r="FX3" t="s">
        <v>1298</v>
      </c>
      <c r="FY3" t="s">
        <v>1299</v>
      </c>
      <c r="FZ3" t="s">
        <v>1300</v>
      </c>
      <c r="GA3" t="s">
        <v>1301</v>
      </c>
      <c r="GB3" t="s">
        <v>1302</v>
      </c>
      <c r="GC3" t="s">
        <v>1303</v>
      </c>
      <c r="GD3" t="s">
        <v>1304</v>
      </c>
      <c r="GE3" t="s">
        <v>1305</v>
      </c>
      <c r="GF3" t="s">
        <v>1306</v>
      </c>
      <c r="GG3" t="s">
        <v>1307</v>
      </c>
      <c r="GH3" t="s">
        <v>1308</v>
      </c>
      <c r="GI3" t="s">
        <v>1309</v>
      </c>
      <c r="GJ3" t="s">
        <v>1310</v>
      </c>
      <c r="GK3" t="s">
        <v>1311</v>
      </c>
      <c r="GL3" t="s">
        <v>1312</v>
      </c>
      <c r="GM3" t="s">
        <v>1313</v>
      </c>
      <c r="GN3" t="s">
        <v>1314</v>
      </c>
      <c r="GO3" t="s">
        <v>1315</v>
      </c>
      <c r="GP3" t="s">
        <v>1316</v>
      </c>
      <c r="GQ3" t="s">
        <v>1317</v>
      </c>
      <c r="GR3" t="s">
        <v>1318</v>
      </c>
      <c r="GS3" t="s">
        <v>1319</v>
      </c>
      <c r="GT3" t="s">
        <v>1320</v>
      </c>
      <c r="GU3" t="s">
        <v>1321</v>
      </c>
      <c r="GV3" t="s">
        <v>1322</v>
      </c>
      <c r="GW3" t="s">
        <v>1323</v>
      </c>
      <c r="GX3" t="s">
        <v>1324</v>
      </c>
      <c r="GY3" t="s">
        <v>1325</v>
      </c>
      <c r="GZ3" t="s">
        <v>1326</v>
      </c>
      <c r="HA3" t="s">
        <v>1327</v>
      </c>
      <c r="HB3" t="s">
        <v>1328</v>
      </c>
      <c r="HC3" t="s">
        <v>1329</v>
      </c>
      <c r="HD3" t="s">
        <v>1330</v>
      </c>
      <c r="HE3" t="s">
        <v>1331</v>
      </c>
      <c r="HF3" t="s">
        <v>1332</v>
      </c>
      <c r="HG3" t="s">
        <v>1333</v>
      </c>
      <c r="HH3" t="s">
        <v>1334</v>
      </c>
      <c r="HI3" t="s">
        <v>1335</v>
      </c>
      <c r="HJ3" t="s">
        <v>1336</v>
      </c>
      <c r="HK3" t="s">
        <v>1337</v>
      </c>
      <c r="HL3" t="s">
        <v>1338</v>
      </c>
      <c r="HM3" t="s">
        <v>1339</v>
      </c>
      <c r="HN3" t="s">
        <v>1340</v>
      </c>
      <c r="HO3" t="s">
        <v>1341</v>
      </c>
      <c r="HP3" t="s">
        <v>1342</v>
      </c>
      <c r="HQ3" t="s">
        <v>1343</v>
      </c>
      <c r="HR3" t="s">
        <v>1344</v>
      </c>
      <c r="HS3" t="s">
        <v>1345</v>
      </c>
      <c r="HT3" t="s">
        <v>1346</v>
      </c>
      <c r="HU3" t="s">
        <v>1347</v>
      </c>
      <c r="HV3" t="s">
        <v>1348</v>
      </c>
      <c r="HW3" t="s">
        <v>1349</v>
      </c>
      <c r="HX3" t="s">
        <v>1350</v>
      </c>
      <c r="HY3" t="s">
        <v>1351</v>
      </c>
      <c r="HZ3" t="s">
        <v>1352</v>
      </c>
      <c r="IA3" t="s">
        <v>1353</v>
      </c>
      <c r="IB3" t="s">
        <v>1354</v>
      </c>
      <c r="IC3" t="s">
        <v>1355</v>
      </c>
      <c r="ID3" t="s">
        <v>1356</v>
      </c>
      <c r="IE3" t="s">
        <v>1357</v>
      </c>
      <c r="IF3" t="s">
        <v>1358</v>
      </c>
      <c r="IG3" t="s">
        <v>1359</v>
      </c>
      <c r="IH3" t="s">
        <v>1360</v>
      </c>
      <c r="II3" t="s">
        <v>1361</v>
      </c>
      <c r="IJ3" t="s">
        <v>1362</v>
      </c>
      <c r="IK3" t="s">
        <v>1363</v>
      </c>
      <c r="IL3" t="s">
        <v>1364</v>
      </c>
      <c r="IM3" t="s">
        <v>1365</v>
      </c>
      <c r="IN3" t="s">
        <v>1366</v>
      </c>
      <c r="IO3" t="s">
        <v>1367</v>
      </c>
      <c r="IP3" t="s">
        <v>1368</v>
      </c>
      <c r="IQ3" t="s">
        <v>1369</v>
      </c>
      <c r="IR3" t="s">
        <v>1370</v>
      </c>
      <c r="IS3" t="s">
        <v>1371</v>
      </c>
      <c r="IT3" t="s">
        <v>1372</v>
      </c>
      <c r="IU3" t="s">
        <v>1373</v>
      </c>
      <c r="IV3" t="s">
        <v>1374</v>
      </c>
    </row>
    <row r="4" spans="1:256" x14ac:dyDescent="0.2">
      <c r="A4" t="s">
        <v>1375</v>
      </c>
      <c r="B4" t="s">
        <v>1376</v>
      </c>
      <c r="C4" t="s">
        <v>1377</v>
      </c>
      <c r="D4" t="s">
        <v>1378</v>
      </c>
      <c r="E4" t="s">
        <v>1379</v>
      </c>
      <c r="F4" t="s">
        <v>1380</v>
      </c>
      <c r="G4" t="s">
        <v>1381</v>
      </c>
      <c r="H4" t="s">
        <v>1382</v>
      </c>
      <c r="I4" t="s">
        <v>1383</v>
      </c>
      <c r="J4" t="s">
        <v>1384</v>
      </c>
      <c r="K4" t="s">
        <v>1385</v>
      </c>
      <c r="L4" t="s">
        <v>1386</v>
      </c>
      <c r="M4" t="s">
        <v>1387</v>
      </c>
      <c r="N4" t="s">
        <v>1388</v>
      </c>
      <c r="O4" t="s">
        <v>1389</v>
      </c>
      <c r="P4" t="s">
        <v>1390</v>
      </c>
      <c r="Q4" t="s">
        <v>1391</v>
      </c>
      <c r="R4" t="s">
        <v>1392</v>
      </c>
      <c r="S4" t="s">
        <v>1393</v>
      </c>
      <c r="T4" t="s">
        <v>1394</v>
      </c>
      <c r="U4" t="s">
        <v>1395</v>
      </c>
      <c r="V4" t="s">
        <v>1396</v>
      </c>
      <c r="W4" t="s">
        <v>1397</v>
      </c>
      <c r="X4" t="s">
        <v>1398</v>
      </c>
      <c r="Y4" t="s">
        <v>1399</v>
      </c>
      <c r="Z4" t="s">
        <v>1400</v>
      </c>
      <c r="AA4" t="s">
        <v>1401</v>
      </c>
      <c r="AB4" t="s">
        <v>1402</v>
      </c>
      <c r="AC4" t="s">
        <v>1403</v>
      </c>
      <c r="AD4" t="s">
        <v>1404</v>
      </c>
      <c r="AE4" t="s">
        <v>1405</v>
      </c>
      <c r="AF4" t="s">
        <v>1406</v>
      </c>
      <c r="AG4" t="s">
        <v>1407</v>
      </c>
      <c r="AH4" t="s">
        <v>1408</v>
      </c>
      <c r="AI4" t="s">
        <v>1409</v>
      </c>
      <c r="AJ4" t="s">
        <v>1410</v>
      </c>
      <c r="AK4" t="s">
        <v>1411</v>
      </c>
      <c r="AL4" t="s">
        <v>1412</v>
      </c>
      <c r="AM4" t="s">
        <v>1413</v>
      </c>
      <c r="AN4" t="s">
        <v>1414</v>
      </c>
      <c r="AO4" t="s">
        <v>1415</v>
      </c>
      <c r="AP4" t="s">
        <v>1416</v>
      </c>
      <c r="AQ4" t="s">
        <v>1417</v>
      </c>
      <c r="AR4" t="s">
        <v>1418</v>
      </c>
      <c r="AS4" t="s">
        <v>1419</v>
      </c>
      <c r="AT4" t="s">
        <v>1420</v>
      </c>
      <c r="AU4" t="s">
        <v>1421</v>
      </c>
      <c r="AV4" t="s">
        <v>1422</v>
      </c>
      <c r="AW4" t="s">
        <v>1423</v>
      </c>
      <c r="AX4" t="s">
        <v>1424</v>
      </c>
      <c r="AY4" t="s">
        <v>1425</v>
      </c>
      <c r="AZ4" t="s">
        <v>1426</v>
      </c>
      <c r="BA4" t="s">
        <v>1427</v>
      </c>
      <c r="BB4" t="s">
        <v>1428</v>
      </c>
      <c r="BC4" t="s">
        <v>1429</v>
      </c>
      <c r="BD4" t="s">
        <v>1430</v>
      </c>
      <c r="BE4" t="s">
        <v>1431</v>
      </c>
      <c r="BF4" t="s">
        <v>1432</v>
      </c>
      <c r="BG4" t="s">
        <v>1433</v>
      </c>
      <c r="BH4" t="s">
        <v>1434</v>
      </c>
      <c r="BI4" t="s">
        <v>1435</v>
      </c>
      <c r="BJ4" t="s">
        <v>1436</v>
      </c>
      <c r="BK4" t="s">
        <v>1437</v>
      </c>
      <c r="BL4" t="s">
        <v>1438</v>
      </c>
      <c r="BM4" t="s">
        <v>1439</v>
      </c>
      <c r="BN4" t="s">
        <v>1440</v>
      </c>
      <c r="BO4" t="s">
        <v>1441</v>
      </c>
      <c r="BP4" t="s">
        <v>1442</v>
      </c>
      <c r="BQ4" t="s">
        <v>1443</v>
      </c>
      <c r="BR4" t="s">
        <v>1444</v>
      </c>
      <c r="BS4" t="s">
        <v>1445</v>
      </c>
      <c r="BT4" t="s">
        <v>1446</v>
      </c>
      <c r="BU4" t="s">
        <v>1447</v>
      </c>
      <c r="BV4" t="s">
        <v>1448</v>
      </c>
      <c r="BW4" t="s">
        <v>1449</v>
      </c>
      <c r="BX4" t="s">
        <v>1450</v>
      </c>
      <c r="BY4" t="s">
        <v>1451</v>
      </c>
      <c r="BZ4" t="s">
        <v>1452</v>
      </c>
      <c r="CA4" t="s">
        <v>1453</v>
      </c>
      <c r="CB4" t="s">
        <v>1454</v>
      </c>
      <c r="CC4" t="s">
        <v>1455</v>
      </c>
      <c r="CD4" t="s">
        <v>1456</v>
      </c>
      <c r="CE4" t="s">
        <v>1457</v>
      </c>
      <c r="CF4" t="s">
        <v>1458</v>
      </c>
      <c r="CG4" t="s">
        <v>1459</v>
      </c>
      <c r="CH4" t="s">
        <v>1460</v>
      </c>
      <c r="CI4" t="s">
        <v>1461</v>
      </c>
      <c r="CJ4" t="s">
        <v>1462</v>
      </c>
      <c r="CK4" t="s">
        <v>1463</v>
      </c>
      <c r="CL4" t="s">
        <v>1464</v>
      </c>
      <c r="CM4" t="s">
        <v>1465</v>
      </c>
      <c r="CN4" t="s">
        <v>1466</v>
      </c>
      <c r="CO4" t="s">
        <v>1467</v>
      </c>
      <c r="CP4" t="s">
        <v>1468</v>
      </c>
      <c r="CQ4" t="s">
        <v>1469</v>
      </c>
      <c r="CR4" t="s">
        <v>1470</v>
      </c>
      <c r="CS4" t="s">
        <v>1471</v>
      </c>
      <c r="CT4" t="s">
        <v>1472</v>
      </c>
      <c r="CU4" t="s">
        <v>1473</v>
      </c>
      <c r="CV4" t="s">
        <v>1474</v>
      </c>
      <c r="CW4" t="s">
        <v>1475</v>
      </c>
      <c r="CX4" t="s">
        <v>1476</v>
      </c>
      <c r="CY4" t="s">
        <v>1477</v>
      </c>
      <c r="CZ4" t="s">
        <v>1478</v>
      </c>
      <c r="DA4" t="s">
        <v>1479</v>
      </c>
      <c r="DB4" t="s">
        <v>1480</v>
      </c>
      <c r="DC4" t="s">
        <v>1481</v>
      </c>
      <c r="DD4" t="s">
        <v>1482</v>
      </c>
      <c r="DE4" t="s">
        <v>1483</v>
      </c>
      <c r="DF4" t="s">
        <v>1484</v>
      </c>
      <c r="DG4" t="s">
        <v>1485</v>
      </c>
      <c r="DH4" t="s">
        <v>1486</v>
      </c>
      <c r="DI4" t="s">
        <v>1487</v>
      </c>
      <c r="DJ4" t="s">
        <v>1488</v>
      </c>
      <c r="DK4" t="s">
        <v>1489</v>
      </c>
      <c r="DL4" t="s">
        <v>1490</v>
      </c>
      <c r="DM4" t="s">
        <v>1491</v>
      </c>
      <c r="DN4" t="s">
        <v>1492</v>
      </c>
      <c r="DO4" t="s">
        <v>1493</v>
      </c>
      <c r="DP4" t="s">
        <v>1494</v>
      </c>
      <c r="DQ4" t="s">
        <v>1495</v>
      </c>
      <c r="DR4" t="s">
        <v>1496</v>
      </c>
      <c r="DS4" t="s">
        <v>1497</v>
      </c>
      <c r="DT4" t="s">
        <v>1498</v>
      </c>
      <c r="DU4" t="s">
        <v>1499</v>
      </c>
      <c r="DV4" t="s">
        <v>1500</v>
      </c>
      <c r="DW4" t="s">
        <v>1501</v>
      </c>
      <c r="DX4" t="s">
        <v>1502</v>
      </c>
      <c r="DY4" t="s">
        <v>1503</v>
      </c>
      <c r="DZ4" t="s">
        <v>1504</v>
      </c>
      <c r="EA4" t="s">
        <v>1505</v>
      </c>
      <c r="EB4" t="s">
        <v>1506</v>
      </c>
      <c r="EC4" t="s">
        <v>1507</v>
      </c>
      <c r="ED4" t="s">
        <v>1508</v>
      </c>
      <c r="EE4" t="s">
        <v>1509</v>
      </c>
      <c r="EF4" t="s">
        <v>1510</v>
      </c>
      <c r="EG4" t="s">
        <v>1511</v>
      </c>
      <c r="EH4" t="s">
        <v>1512</v>
      </c>
      <c r="EI4" t="s">
        <v>1513</v>
      </c>
      <c r="EJ4" t="s">
        <v>1514</v>
      </c>
      <c r="EK4" t="s">
        <v>1515</v>
      </c>
      <c r="EL4" t="s">
        <v>1516</v>
      </c>
      <c r="EM4" t="s">
        <v>1517</v>
      </c>
      <c r="EN4" t="s">
        <v>1518</v>
      </c>
      <c r="EO4" t="s">
        <v>1519</v>
      </c>
      <c r="EP4" t="s">
        <v>1520</v>
      </c>
      <c r="EQ4" t="s">
        <v>1521</v>
      </c>
      <c r="ER4" t="s">
        <v>1522</v>
      </c>
      <c r="ES4" t="s">
        <v>1523</v>
      </c>
      <c r="ET4" t="s">
        <v>1524</v>
      </c>
      <c r="EU4" t="s">
        <v>1525</v>
      </c>
      <c r="EV4" t="s">
        <v>1526</v>
      </c>
      <c r="EW4" t="s">
        <v>1527</v>
      </c>
      <c r="EX4" t="s">
        <v>1528</v>
      </c>
      <c r="EY4" t="s">
        <v>1529</v>
      </c>
      <c r="EZ4" t="s">
        <v>1530</v>
      </c>
      <c r="FA4" t="s">
        <v>1531</v>
      </c>
      <c r="FB4" t="s">
        <v>1532</v>
      </c>
      <c r="FC4" t="s">
        <v>1533</v>
      </c>
      <c r="FD4" t="s">
        <v>1534</v>
      </c>
      <c r="FE4" t="s">
        <v>1535</v>
      </c>
      <c r="FF4" t="s">
        <v>1536</v>
      </c>
      <c r="FG4" t="s">
        <v>1537</v>
      </c>
      <c r="FH4" t="s">
        <v>1538</v>
      </c>
      <c r="FI4" t="s">
        <v>1539</v>
      </c>
      <c r="FJ4" t="s">
        <v>1540</v>
      </c>
      <c r="FK4" t="s">
        <v>1541</v>
      </c>
      <c r="FL4" t="s">
        <v>1542</v>
      </c>
      <c r="FM4" t="s">
        <v>1543</v>
      </c>
      <c r="FN4" t="s">
        <v>1544</v>
      </c>
      <c r="FO4" t="s">
        <v>1545</v>
      </c>
      <c r="FP4" t="s">
        <v>1546</v>
      </c>
      <c r="FQ4" t="s">
        <v>1547</v>
      </c>
      <c r="FR4" t="s">
        <v>1548</v>
      </c>
      <c r="FS4" t="s">
        <v>1549</v>
      </c>
      <c r="FT4" t="s">
        <v>1550</v>
      </c>
      <c r="FU4" t="s">
        <v>1551</v>
      </c>
      <c r="FV4" t="s">
        <v>1552</v>
      </c>
      <c r="FW4" t="s">
        <v>1553</v>
      </c>
      <c r="FX4" t="s">
        <v>1554</v>
      </c>
      <c r="FY4" t="s">
        <v>1555</v>
      </c>
      <c r="FZ4" t="s">
        <v>1556</v>
      </c>
      <c r="GA4" t="s">
        <v>1557</v>
      </c>
      <c r="GB4" t="s">
        <v>1558</v>
      </c>
      <c r="GC4" t="s">
        <v>1559</v>
      </c>
      <c r="GD4" t="s">
        <v>1560</v>
      </c>
      <c r="GE4" t="s">
        <v>1561</v>
      </c>
      <c r="GF4" t="s">
        <v>1562</v>
      </c>
      <c r="GG4" t="s">
        <v>1563</v>
      </c>
      <c r="GH4" t="s">
        <v>1564</v>
      </c>
      <c r="GI4" t="s">
        <v>1565</v>
      </c>
      <c r="GJ4" t="s">
        <v>1566</v>
      </c>
      <c r="GK4" t="s">
        <v>1567</v>
      </c>
      <c r="GL4" t="s">
        <v>1568</v>
      </c>
      <c r="GM4" t="s">
        <v>1569</v>
      </c>
      <c r="GN4" t="s">
        <v>1570</v>
      </c>
      <c r="GO4" t="s">
        <v>1571</v>
      </c>
      <c r="GP4" t="s">
        <v>1572</v>
      </c>
      <c r="GQ4" t="s">
        <v>1573</v>
      </c>
      <c r="GR4" t="s">
        <v>1574</v>
      </c>
      <c r="GS4" t="s">
        <v>1575</v>
      </c>
      <c r="GT4" t="s">
        <v>1576</v>
      </c>
      <c r="GU4" t="s">
        <v>1577</v>
      </c>
      <c r="GV4" t="s">
        <v>1578</v>
      </c>
      <c r="GW4" t="s">
        <v>1579</v>
      </c>
      <c r="GX4" t="s">
        <v>1580</v>
      </c>
      <c r="GY4" t="s">
        <v>1581</v>
      </c>
      <c r="GZ4" t="s">
        <v>1582</v>
      </c>
      <c r="HA4" t="s">
        <v>1583</v>
      </c>
      <c r="HB4" t="s">
        <v>1584</v>
      </c>
      <c r="HC4" t="s">
        <v>1585</v>
      </c>
      <c r="HD4" t="s">
        <v>1586</v>
      </c>
      <c r="HE4" t="s">
        <v>1587</v>
      </c>
      <c r="HF4" t="s">
        <v>1588</v>
      </c>
      <c r="HG4" t="s">
        <v>1589</v>
      </c>
      <c r="HH4" t="s">
        <v>1590</v>
      </c>
      <c r="HI4" t="s">
        <v>1591</v>
      </c>
      <c r="HJ4" t="s">
        <v>1592</v>
      </c>
      <c r="HK4" t="s">
        <v>1593</v>
      </c>
      <c r="HL4" t="s">
        <v>1594</v>
      </c>
      <c r="HM4" t="s">
        <v>1595</v>
      </c>
      <c r="HN4" t="s">
        <v>1596</v>
      </c>
      <c r="HO4" t="s">
        <v>1597</v>
      </c>
      <c r="HP4" t="s">
        <v>1598</v>
      </c>
      <c r="HQ4" t="s">
        <v>1599</v>
      </c>
      <c r="HR4" t="s">
        <v>1600</v>
      </c>
      <c r="HS4" t="s">
        <v>1601</v>
      </c>
      <c r="HT4" t="s">
        <v>1602</v>
      </c>
      <c r="HU4" t="s">
        <v>1603</v>
      </c>
      <c r="HV4" t="s">
        <v>1604</v>
      </c>
      <c r="HW4" t="s">
        <v>1605</v>
      </c>
      <c r="HX4" t="s">
        <v>1606</v>
      </c>
      <c r="HY4" t="s">
        <v>1607</v>
      </c>
      <c r="HZ4" t="s">
        <v>1608</v>
      </c>
      <c r="IA4" t="s">
        <v>1609</v>
      </c>
      <c r="IB4" t="s">
        <v>1610</v>
      </c>
      <c r="IC4" t="s">
        <v>1611</v>
      </c>
      <c r="ID4" t="s">
        <v>1612</v>
      </c>
      <c r="IE4" t="s">
        <v>1613</v>
      </c>
      <c r="IF4" t="s">
        <v>1614</v>
      </c>
      <c r="IG4" t="s">
        <v>1615</v>
      </c>
      <c r="IH4" t="s">
        <v>1616</v>
      </c>
      <c r="II4" t="s">
        <v>1617</v>
      </c>
      <c r="IJ4" t="s">
        <v>1618</v>
      </c>
      <c r="IK4" t="s">
        <v>1619</v>
      </c>
      <c r="IL4" t="s">
        <v>1620</v>
      </c>
      <c r="IM4" t="s">
        <v>1621</v>
      </c>
      <c r="IN4" t="s">
        <v>1622</v>
      </c>
      <c r="IO4" t="s">
        <v>1623</v>
      </c>
      <c r="IP4" t="s">
        <v>1624</v>
      </c>
      <c r="IQ4" t="s">
        <v>1625</v>
      </c>
      <c r="IR4" t="s">
        <v>1626</v>
      </c>
      <c r="IS4" t="s">
        <v>1627</v>
      </c>
      <c r="IT4" t="s">
        <v>1628</v>
      </c>
      <c r="IU4" t="s">
        <v>1629</v>
      </c>
      <c r="IV4" t="s">
        <v>1630</v>
      </c>
    </row>
    <row r="5" spans="1:256" x14ac:dyDescent="0.2">
      <c r="A5" t="s">
        <v>1631</v>
      </c>
      <c r="B5" t="s">
        <v>1632</v>
      </c>
      <c r="C5" t="s">
        <v>1633</v>
      </c>
      <c r="D5" t="s">
        <v>1634</v>
      </c>
      <c r="E5" t="s">
        <v>1635</v>
      </c>
      <c r="F5" t="s">
        <v>1636</v>
      </c>
      <c r="G5" t="s">
        <v>1637</v>
      </c>
      <c r="H5" t="s">
        <v>1638</v>
      </c>
      <c r="I5" t="s">
        <v>1639</v>
      </c>
      <c r="J5" t="s">
        <v>1640</v>
      </c>
      <c r="K5" t="s">
        <v>1641</v>
      </c>
      <c r="L5" t="s">
        <v>1642</v>
      </c>
      <c r="M5" t="s">
        <v>1643</v>
      </c>
      <c r="N5" t="s">
        <v>1644</v>
      </c>
      <c r="O5" t="s">
        <v>1645</v>
      </c>
      <c r="P5" t="s">
        <v>1646</v>
      </c>
      <c r="Q5" t="s">
        <v>1647</v>
      </c>
      <c r="R5" t="s">
        <v>1648</v>
      </c>
      <c r="S5" t="s">
        <v>1649</v>
      </c>
      <c r="T5" t="s">
        <v>1650</v>
      </c>
      <c r="U5" t="s">
        <v>1651</v>
      </c>
      <c r="V5" t="s">
        <v>1652</v>
      </c>
      <c r="W5" t="s">
        <v>1653</v>
      </c>
      <c r="X5" t="s">
        <v>1654</v>
      </c>
      <c r="Y5" t="s">
        <v>1655</v>
      </c>
      <c r="Z5" t="s">
        <v>1656</v>
      </c>
      <c r="AA5" t="s">
        <v>1657</v>
      </c>
      <c r="AB5" t="s">
        <v>1658</v>
      </c>
      <c r="AC5" t="s">
        <v>1659</v>
      </c>
      <c r="AD5" t="s">
        <v>1660</v>
      </c>
      <c r="AE5" t="s">
        <v>1661</v>
      </c>
      <c r="AF5" t="s">
        <v>1662</v>
      </c>
      <c r="AG5" t="s">
        <v>1663</v>
      </c>
      <c r="AH5" t="s">
        <v>1664</v>
      </c>
      <c r="AI5" t="s">
        <v>1665</v>
      </c>
      <c r="AJ5" t="s">
        <v>1666</v>
      </c>
      <c r="AK5" t="s">
        <v>1667</v>
      </c>
      <c r="AL5" t="s">
        <v>1668</v>
      </c>
      <c r="AM5" t="s">
        <v>1669</v>
      </c>
      <c r="AN5" t="s">
        <v>1670</v>
      </c>
      <c r="AO5" t="s">
        <v>1671</v>
      </c>
      <c r="AP5" t="s">
        <v>1672</v>
      </c>
      <c r="AQ5" t="s">
        <v>1673</v>
      </c>
      <c r="AR5" t="s">
        <v>1674</v>
      </c>
      <c r="AS5" t="s">
        <v>1675</v>
      </c>
      <c r="AT5" t="s">
        <v>1676</v>
      </c>
      <c r="AU5" t="s">
        <v>1677</v>
      </c>
      <c r="AV5" t="s">
        <v>1678</v>
      </c>
      <c r="AW5" t="s">
        <v>1679</v>
      </c>
      <c r="AX5" t="s">
        <v>1680</v>
      </c>
      <c r="AY5" t="s">
        <v>1681</v>
      </c>
      <c r="AZ5" t="s">
        <v>1682</v>
      </c>
      <c r="BA5" t="s">
        <v>1683</v>
      </c>
      <c r="BB5" t="s">
        <v>1684</v>
      </c>
      <c r="BC5" t="s">
        <v>1685</v>
      </c>
      <c r="BD5" t="s">
        <v>1686</v>
      </c>
      <c r="BE5" t="s">
        <v>1687</v>
      </c>
      <c r="BF5" t="s">
        <v>1688</v>
      </c>
      <c r="BG5" t="s">
        <v>1689</v>
      </c>
      <c r="BH5" t="s">
        <v>1690</v>
      </c>
      <c r="BI5" t="s">
        <v>1691</v>
      </c>
      <c r="BJ5" t="s">
        <v>1692</v>
      </c>
      <c r="BK5" t="s">
        <v>1693</v>
      </c>
      <c r="BL5" t="s">
        <v>1694</v>
      </c>
      <c r="BM5" t="s">
        <v>1695</v>
      </c>
      <c r="BN5" t="s">
        <v>1696</v>
      </c>
      <c r="BO5" t="s">
        <v>1697</v>
      </c>
      <c r="BP5" t="s">
        <v>1698</v>
      </c>
      <c r="BQ5" t="s">
        <v>1699</v>
      </c>
      <c r="BR5" t="s">
        <v>1700</v>
      </c>
      <c r="BS5" t="s">
        <v>1701</v>
      </c>
      <c r="BT5" t="s">
        <v>1702</v>
      </c>
      <c r="BU5" t="s">
        <v>1703</v>
      </c>
      <c r="BV5" t="s">
        <v>1704</v>
      </c>
      <c r="BW5" t="s">
        <v>1705</v>
      </c>
      <c r="BX5" t="s">
        <v>1706</v>
      </c>
      <c r="BY5" t="s">
        <v>1707</v>
      </c>
      <c r="BZ5" t="s">
        <v>1708</v>
      </c>
      <c r="CA5" t="s">
        <v>1709</v>
      </c>
      <c r="CB5" t="s">
        <v>1710</v>
      </c>
      <c r="CC5" t="s">
        <v>1711</v>
      </c>
      <c r="CD5" t="s">
        <v>1712</v>
      </c>
      <c r="CE5" t="s">
        <v>1713</v>
      </c>
      <c r="CF5" t="s">
        <v>1714</v>
      </c>
      <c r="CG5" t="s">
        <v>1715</v>
      </c>
      <c r="CH5" t="s">
        <v>1716</v>
      </c>
      <c r="CI5" t="s">
        <v>1717</v>
      </c>
      <c r="CJ5" t="s">
        <v>1718</v>
      </c>
      <c r="CK5" t="s">
        <v>1719</v>
      </c>
      <c r="CL5" t="s">
        <v>1720</v>
      </c>
      <c r="CM5" t="s">
        <v>1721</v>
      </c>
      <c r="CN5" t="s">
        <v>1722</v>
      </c>
      <c r="CO5" t="s">
        <v>1723</v>
      </c>
      <c r="CP5" t="s">
        <v>1724</v>
      </c>
      <c r="CQ5" t="s">
        <v>1725</v>
      </c>
      <c r="CR5" t="s">
        <v>1726</v>
      </c>
      <c r="CS5" t="s">
        <v>1727</v>
      </c>
      <c r="CT5" t="s">
        <v>1728</v>
      </c>
      <c r="CU5" t="s">
        <v>1729</v>
      </c>
      <c r="CV5" t="s">
        <v>1730</v>
      </c>
      <c r="CW5" t="s">
        <v>1731</v>
      </c>
      <c r="CX5" t="s">
        <v>1732</v>
      </c>
      <c r="CY5" t="s">
        <v>1733</v>
      </c>
      <c r="CZ5" t="s">
        <v>1734</v>
      </c>
      <c r="DA5" t="s">
        <v>1735</v>
      </c>
      <c r="DB5" t="s">
        <v>1736</v>
      </c>
      <c r="DC5" t="s">
        <v>1737</v>
      </c>
      <c r="DD5" t="s">
        <v>1738</v>
      </c>
      <c r="DE5" t="s">
        <v>1739</v>
      </c>
      <c r="DF5" t="s">
        <v>1740</v>
      </c>
      <c r="DG5" t="s">
        <v>1741</v>
      </c>
      <c r="DH5" t="s">
        <v>1742</v>
      </c>
      <c r="DI5" t="s">
        <v>1743</v>
      </c>
      <c r="DJ5" t="s">
        <v>1744</v>
      </c>
      <c r="DK5" t="s">
        <v>1745</v>
      </c>
      <c r="DL5" t="s">
        <v>1746</v>
      </c>
      <c r="DM5" t="s">
        <v>1747</v>
      </c>
      <c r="DN5" t="s">
        <v>1748</v>
      </c>
      <c r="DO5" t="s">
        <v>1749</v>
      </c>
      <c r="DP5" t="s">
        <v>1750</v>
      </c>
      <c r="DQ5" t="s">
        <v>1751</v>
      </c>
      <c r="DR5" t="s">
        <v>1752</v>
      </c>
      <c r="DS5" t="s">
        <v>1753</v>
      </c>
      <c r="DT5" t="s">
        <v>1754</v>
      </c>
      <c r="DU5" t="s">
        <v>1755</v>
      </c>
      <c r="DV5" t="s">
        <v>1756</v>
      </c>
      <c r="DW5" t="s">
        <v>1757</v>
      </c>
      <c r="DX5" t="s">
        <v>1758</v>
      </c>
      <c r="DY5" t="s">
        <v>1759</v>
      </c>
      <c r="DZ5" t="s">
        <v>1760</v>
      </c>
      <c r="EA5" t="s">
        <v>1761</v>
      </c>
      <c r="EB5" t="s">
        <v>1762</v>
      </c>
      <c r="EC5" t="s">
        <v>1763</v>
      </c>
      <c r="ED5" t="s">
        <v>1764</v>
      </c>
      <c r="EE5" t="s">
        <v>1765</v>
      </c>
      <c r="EF5" t="s">
        <v>1766</v>
      </c>
      <c r="EG5" t="s">
        <v>1767</v>
      </c>
      <c r="EH5" t="s">
        <v>1768</v>
      </c>
      <c r="EI5" t="s">
        <v>1769</v>
      </c>
      <c r="EJ5" t="s">
        <v>1770</v>
      </c>
      <c r="EK5" t="s">
        <v>1771</v>
      </c>
      <c r="EL5" t="s">
        <v>1772</v>
      </c>
      <c r="EM5" t="s">
        <v>1773</v>
      </c>
      <c r="EN5" t="s">
        <v>1774</v>
      </c>
      <c r="EO5" t="s">
        <v>1775</v>
      </c>
      <c r="EP5" t="s">
        <v>1776</v>
      </c>
      <c r="EQ5" t="s">
        <v>1777</v>
      </c>
      <c r="ER5" t="s">
        <v>1778</v>
      </c>
      <c r="ES5" t="s">
        <v>1779</v>
      </c>
      <c r="ET5" t="s">
        <v>1780</v>
      </c>
      <c r="EU5" t="s">
        <v>1781</v>
      </c>
      <c r="EV5" t="s">
        <v>1782</v>
      </c>
      <c r="EW5" t="s">
        <v>1783</v>
      </c>
      <c r="EX5" t="s">
        <v>1784</v>
      </c>
      <c r="EY5" t="s">
        <v>1785</v>
      </c>
      <c r="EZ5" t="s">
        <v>1786</v>
      </c>
      <c r="FA5" t="s">
        <v>1787</v>
      </c>
      <c r="FB5" t="s">
        <v>1788</v>
      </c>
      <c r="FC5" t="s">
        <v>1789</v>
      </c>
      <c r="FD5" t="s">
        <v>1790</v>
      </c>
      <c r="FE5" t="s">
        <v>1791</v>
      </c>
      <c r="FF5" t="s">
        <v>1792</v>
      </c>
      <c r="FG5" t="s">
        <v>1793</v>
      </c>
      <c r="FH5" t="s">
        <v>1794</v>
      </c>
      <c r="FI5" t="s">
        <v>1795</v>
      </c>
      <c r="FJ5" t="s">
        <v>1796</v>
      </c>
      <c r="FK5" t="s">
        <v>1797</v>
      </c>
      <c r="FL5" t="s">
        <v>1798</v>
      </c>
      <c r="FM5" t="s">
        <v>1799</v>
      </c>
      <c r="FN5" t="s">
        <v>1800</v>
      </c>
      <c r="FO5" t="s">
        <v>1801</v>
      </c>
      <c r="FP5" t="s">
        <v>1802</v>
      </c>
      <c r="FQ5" t="s">
        <v>1803</v>
      </c>
      <c r="FR5" t="s">
        <v>1804</v>
      </c>
      <c r="FS5" t="s">
        <v>1805</v>
      </c>
      <c r="FT5" t="s">
        <v>1806</v>
      </c>
      <c r="FU5" t="s">
        <v>1807</v>
      </c>
      <c r="FV5" t="s">
        <v>1808</v>
      </c>
      <c r="FW5" t="s">
        <v>1809</v>
      </c>
      <c r="FX5" t="s">
        <v>1810</v>
      </c>
      <c r="FY5" t="s">
        <v>1811</v>
      </c>
      <c r="FZ5" t="s">
        <v>1812</v>
      </c>
      <c r="GA5" t="s">
        <v>1813</v>
      </c>
      <c r="GB5" t="s">
        <v>1814</v>
      </c>
      <c r="GC5" t="s">
        <v>1815</v>
      </c>
      <c r="GD5" t="s">
        <v>1816</v>
      </c>
      <c r="GE5" t="s">
        <v>1817</v>
      </c>
      <c r="GF5" t="s">
        <v>1818</v>
      </c>
      <c r="GG5" t="s">
        <v>1819</v>
      </c>
      <c r="GH5" t="s">
        <v>1820</v>
      </c>
      <c r="GI5" t="s">
        <v>1821</v>
      </c>
      <c r="GJ5" t="s">
        <v>1822</v>
      </c>
      <c r="GK5" t="s">
        <v>1823</v>
      </c>
      <c r="GL5" t="s">
        <v>1824</v>
      </c>
      <c r="GM5" t="s">
        <v>1825</v>
      </c>
      <c r="GN5" t="s">
        <v>1826</v>
      </c>
      <c r="GO5" t="s">
        <v>1827</v>
      </c>
      <c r="GP5" t="s">
        <v>1828</v>
      </c>
      <c r="GQ5" t="s">
        <v>1829</v>
      </c>
      <c r="GR5" t="s">
        <v>1830</v>
      </c>
      <c r="GS5" t="s">
        <v>1831</v>
      </c>
      <c r="GT5" t="s">
        <v>1832</v>
      </c>
      <c r="GU5" t="s">
        <v>1833</v>
      </c>
      <c r="GV5" t="s">
        <v>1834</v>
      </c>
      <c r="GW5" t="s">
        <v>1835</v>
      </c>
      <c r="GX5" t="s">
        <v>1836</v>
      </c>
      <c r="GY5" t="s">
        <v>1837</v>
      </c>
      <c r="GZ5" t="s">
        <v>1838</v>
      </c>
      <c r="HA5" t="s">
        <v>1839</v>
      </c>
      <c r="HB5" t="s">
        <v>1840</v>
      </c>
      <c r="HC5" t="s">
        <v>1841</v>
      </c>
      <c r="HD5" t="s">
        <v>1842</v>
      </c>
      <c r="HE5" t="s">
        <v>1843</v>
      </c>
      <c r="HF5" t="s">
        <v>1844</v>
      </c>
      <c r="HG5" t="s">
        <v>1845</v>
      </c>
      <c r="HH5" t="s">
        <v>1846</v>
      </c>
      <c r="HI5" t="s">
        <v>1847</v>
      </c>
      <c r="HJ5" t="s">
        <v>1848</v>
      </c>
      <c r="HK5" t="s">
        <v>1849</v>
      </c>
      <c r="HL5" t="s">
        <v>1850</v>
      </c>
      <c r="HM5" t="s">
        <v>1851</v>
      </c>
      <c r="HN5" t="s">
        <v>1852</v>
      </c>
      <c r="HO5" t="s">
        <v>1853</v>
      </c>
      <c r="HP5" t="s">
        <v>1854</v>
      </c>
      <c r="HQ5" t="s">
        <v>1855</v>
      </c>
      <c r="HR5" t="s">
        <v>1856</v>
      </c>
      <c r="HS5" t="s">
        <v>1857</v>
      </c>
      <c r="HT5" t="s">
        <v>1858</v>
      </c>
      <c r="HU5" t="s">
        <v>1859</v>
      </c>
      <c r="HV5" t="s">
        <v>1860</v>
      </c>
      <c r="HW5" t="s">
        <v>1861</v>
      </c>
      <c r="HX5" t="s">
        <v>1862</v>
      </c>
      <c r="HY5" t="s">
        <v>1863</v>
      </c>
      <c r="HZ5" t="s">
        <v>1864</v>
      </c>
      <c r="IA5" t="s">
        <v>1865</v>
      </c>
      <c r="IB5" t="s">
        <v>1866</v>
      </c>
      <c r="IC5" t="s">
        <v>1867</v>
      </c>
      <c r="ID5" t="s">
        <v>1868</v>
      </c>
      <c r="IE5" t="s">
        <v>1869</v>
      </c>
      <c r="IF5" t="s">
        <v>1870</v>
      </c>
      <c r="IG5" t="s">
        <v>1871</v>
      </c>
      <c r="IH5" t="s">
        <v>1872</v>
      </c>
      <c r="II5" t="s">
        <v>1873</v>
      </c>
      <c r="IJ5" t="s">
        <v>1874</v>
      </c>
      <c r="IK5" t="s">
        <v>1875</v>
      </c>
      <c r="IL5" t="s">
        <v>1876</v>
      </c>
      <c r="IM5" t="s">
        <v>1877</v>
      </c>
      <c r="IN5" t="s">
        <v>1878</v>
      </c>
      <c r="IO5" t="s">
        <v>1879</v>
      </c>
      <c r="IP5" t="s">
        <v>1880</v>
      </c>
      <c r="IQ5" t="s">
        <v>1881</v>
      </c>
      <c r="IR5" t="s">
        <v>1882</v>
      </c>
      <c r="IS5" t="s">
        <v>1883</v>
      </c>
      <c r="IT5" t="s">
        <v>1884</v>
      </c>
      <c r="IU5" t="s">
        <v>1885</v>
      </c>
      <c r="IV5" t="s">
        <v>1886</v>
      </c>
    </row>
    <row r="6" spans="1:256" x14ac:dyDescent="0.2">
      <c r="A6" t="s">
        <v>1887</v>
      </c>
      <c r="B6" t="s">
        <v>1888</v>
      </c>
      <c r="C6" t="s">
        <v>1889</v>
      </c>
      <c r="D6" t="s">
        <v>1890</v>
      </c>
      <c r="E6" t="s">
        <v>1891</v>
      </c>
      <c r="F6" t="s">
        <v>1892</v>
      </c>
      <c r="G6" t="s">
        <v>1893</v>
      </c>
      <c r="H6" t="s">
        <v>1894</v>
      </c>
      <c r="I6" t="s">
        <v>1895</v>
      </c>
      <c r="J6" t="s">
        <v>1896</v>
      </c>
      <c r="K6" t="s">
        <v>1897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L10"/>
  <sheetViews>
    <sheetView showGridLines="0" tabSelected="1" zoomScaleNormal="100" zoomScaleSheetLayoutView="85" workbookViewId="0">
      <selection activeCell="D26" sqref="D26"/>
    </sheetView>
  </sheetViews>
  <sheetFormatPr defaultRowHeight="12.75" x14ac:dyDescent="0.2"/>
  <cols>
    <col min="1" max="1" width="15.7109375" bestFit="1" customWidth="1"/>
    <col min="2" max="2" width="42.5703125" bestFit="1" customWidth="1"/>
    <col min="3" max="4" width="10.140625" bestFit="1" customWidth="1"/>
    <col min="5" max="5" width="11.28515625" bestFit="1" customWidth="1"/>
    <col min="6" max="6" width="9.5703125" bestFit="1" customWidth="1"/>
    <col min="7" max="7" width="9.28515625" bestFit="1" customWidth="1"/>
    <col min="8" max="8" width="14" bestFit="1" customWidth="1"/>
    <col min="9" max="9" width="13.7109375" bestFit="1" customWidth="1"/>
    <col min="10" max="10" width="11" bestFit="1" customWidth="1"/>
    <col min="11" max="11" width="11.28515625" bestFit="1" customWidth="1"/>
    <col min="12" max="12" width="8.7109375" bestFit="1" customWidth="1"/>
    <col min="13" max="13" width="10.28515625" bestFit="1" customWidth="1"/>
    <col min="14" max="14" width="10.85546875" bestFit="1" customWidth="1"/>
    <col min="15" max="15" width="11.7109375" bestFit="1" customWidth="1"/>
    <col min="16" max="16" width="11.28515625" bestFit="1" customWidth="1"/>
    <col min="17" max="17" width="18.42578125" bestFit="1" customWidth="1"/>
    <col min="18" max="18" width="20" bestFit="1" customWidth="1"/>
    <col min="19" max="20" width="20.7109375" bestFit="1" customWidth="1"/>
    <col min="21" max="21" width="11.7109375" bestFit="1" customWidth="1"/>
    <col min="22" max="22" width="13.42578125" bestFit="1" customWidth="1"/>
    <col min="23" max="24" width="14.140625" bestFit="1" customWidth="1"/>
    <col min="25" max="25" width="15.85546875" bestFit="1" customWidth="1"/>
    <col min="26" max="26" width="17.5703125" bestFit="1" customWidth="1"/>
    <col min="27" max="28" width="18.28515625" bestFit="1" customWidth="1"/>
    <col min="29" max="29" width="22.7109375" bestFit="1" customWidth="1"/>
    <col min="30" max="30" width="24.28515625" bestFit="1" customWidth="1"/>
    <col min="31" max="32" width="25" bestFit="1" customWidth="1"/>
    <col min="33" max="33" width="16" bestFit="1" customWidth="1"/>
    <col min="34" max="34" width="17.7109375" bestFit="1" customWidth="1"/>
    <col min="35" max="36" width="18.42578125" bestFit="1" customWidth="1"/>
    <col min="37" max="37" width="7.42578125" bestFit="1" customWidth="1"/>
    <col min="38" max="38" width="9" bestFit="1" customWidth="1"/>
    <col min="39" max="40" width="9.7109375" bestFit="1" customWidth="1"/>
    <col min="41" max="41" width="11.140625" bestFit="1" customWidth="1"/>
    <col min="42" max="42" width="20" bestFit="1" customWidth="1"/>
    <col min="43" max="44" width="18.7109375" bestFit="1" customWidth="1"/>
    <col min="45" max="45" width="17" bestFit="1" customWidth="1"/>
    <col min="46" max="48" width="18.7109375" bestFit="1" customWidth="1"/>
    <col min="49" max="49" width="17" bestFit="1" customWidth="1"/>
    <col min="50" max="50" width="18.7109375" bestFit="1" customWidth="1"/>
    <col min="51" max="52" width="24.140625" bestFit="1" customWidth="1"/>
    <col min="53" max="53" width="22.5703125" bestFit="1" customWidth="1"/>
    <col min="54" max="54" width="24.140625" bestFit="1" customWidth="1"/>
    <col min="55" max="56" width="25.7109375" bestFit="1" customWidth="1"/>
    <col min="57" max="57" width="18.42578125" bestFit="1" customWidth="1"/>
    <col min="58" max="58" width="20" bestFit="1" customWidth="1"/>
    <col min="59" max="60" width="19" bestFit="1" customWidth="1"/>
    <col min="61" max="61" width="11.7109375" bestFit="1" customWidth="1"/>
    <col min="62" max="62" width="13.42578125" bestFit="1" customWidth="1"/>
    <col min="63" max="64" width="15.85546875" bestFit="1" customWidth="1"/>
    <col min="65" max="65" width="8.7109375" bestFit="1" customWidth="1"/>
    <col min="66" max="66" width="10.28515625" bestFit="1" customWidth="1"/>
    <col min="67" max="67" width="22.42578125" bestFit="1" customWidth="1"/>
    <col min="68" max="68" width="20.7109375" bestFit="1" customWidth="1"/>
    <col min="69" max="69" width="23.28515625" bestFit="1" customWidth="1"/>
    <col min="70" max="70" width="15.140625" bestFit="1" customWidth="1"/>
    <col min="71" max="71" width="23" bestFit="1" customWidth="1"/>
    <col min="72" max="72" width="25.140625" bestFit="1" customWidth="1"/>
    <col min="73" max="73" width="23.7109375" bestFit="1" customWidth="1"/>
    <col min="74" max="74" width="14.85546875" bestFit="1" customWidth="1"/>
    <col min="75" max="75" width="15" bestFit="1" customWidth="1"/>
    <col min="76" max="76" width="15.5703125" bestFit="1" customWidth="1"/>
    <col min="77" max="77" width="13.140625" bestFit="1" customWidth="1"/>
    <col min="78" max="78" width="11.42578125" bestFit="1" customWidth="1"/>
    <col min="79" max="79" width="20" bestFit="1" customWidth="1"/>
    <col min="80" max="80" width="18.28515625" bestFit="1" customWidth="1"/>
    <col min="81" max="81" width="22.5703125" bestFit="1" customWidth="1"/>
    <col min="82" max="82" width="21.7109375" bestFit="1" customWidth="1"/>
    <col min="83" max="83" width="16.42578125" bestFit="1" customWidth="1"/>
    <col min="84" max="84" width="17" bestFit="1" customWidth="1"/>
    <col min="85" max="85" width="8.7109375" bestFit="1" customWidth="1"/>
    <col min="86" max="86" width="14.140625" bestFit="1" customWidth="1"/>
  </cols>
  <sheetData>
    <row r="1" spans="1:168" s="3" customFormat="1" x14ac:dyDescent="0.2">
      <c r="A1" s="40" t="s">
        <v>214</v>
      </c>
      <c r="B1" s="40" t="s">
        <v>257</v>
      </c>
      <c r="C1" s="32" t="s">
        <v>258</v>
      </c>
      <c r="D1" s="32" t="s">
        <v>266</v>
      </c>
      <c r="E1" s="33" t="s">
        <v>256</v>
      </c>
      <c r="F1" s="32" t="s">
        <v>259</v>
      </c>
      <c r="G1" s="32" t="s">
        <v>260</v>
      </c>
      <c r="H1" s="32" t="s">
        <v>514</v>
      </c>
      <c r="I1" s="32" t="s">
        <v>515</v>
      </c>
      <c r="J1" s="32" t="s">
        <v>261</v>
      </c>
      <c r="K1" s="32" t="s">
        <v>262</v>
      </c>
      <c r="L1" s="32" t="s">
        <v>263</v>
      </c>
      <c r="M1" s="32" t="s">
        <v>51</v>
      </c>
      <c r="N1" s="32" t="s">
        <v>264</v>
      </c>
      <c r="O1" s="32" t="s">
        <v>265</v>
      </c>
      <c r="P1" s="32" t="s">
        <v>275</v>
      </c>
      <c r="Q1" s="34" t="s">
        <v>516</v>
      </c>
      <c r="R1" s="34" t="s">
        <v>517</v>
      </c>
      <c r="S1" s="34" t="s">
        <v>518</v>
      </c>
      <c r="T1" s="34" t="s">
        <v>519</v>
      </c>
      <c r="U1" s="34" t="s">
        <v>520</v>
      </c>
      <c r="V1" s="34" t="s">
        <v>521</v>
      </c>
      <c r="W1" s="34" t="s">
        <v>522</v>
      </c>
      <c r="X1" s="34" t="s">
        <v>523</v>
      </c>
      <c r="Y1" s="32" t="s">
        <v>524</v>
      </c>
      <c r="Z1" s="32" t="s">
        <v>525</v>
      </c>
      <c r="AA1" s="32" t="s">
        <v>526</v>
      </c>
      <c r="AB1" s="32" t="s">
        <v>527</v>
      </c>
      <c r="AC1" s="32" t="s">
        <v>528</v>
      </c>
      <c r="AD1" s="32" t="s">
        <v>529</v>
      </c>
      <c r="AE1" s="32" t="s">
        <v>530</v>
      </c>
      <c r="AF1" s="32" t="s">
        <v>531</v>
      </c>
      <c r="AG1" s="32" t="s">
        <v>532</v>
      </c>
      <c r="AH1" s="32" t="s">
        <v>533</v>
      </c>
      <c r="AI1" s="32" t="s">
        <v>534</v>
      </c>
      <c r="AJ1" s="32" t="s">
        <v>535</v>
      </c>
      <c r="AK1" s="32" t="s">
        <v>536</v>
      </c>
      <c r="AL1" s="32" t="s">
        <v>537</v>
      </c>
      <c r="AM1" s="32" t="s">
        <v>538</v>
      </c>
      <c r="AN1" s="32" t="s">
        <v>539</v>
      </c>
      <c r="AO1" s="35" t="s">
        <v>540</v>
      </c>
      <c r="AP1" s="31" t="s">
        <v>541</v>
      </c>
      <c r="AQ1" s="34" t="s">
        <v>542</v>
      </c>
      <c r="AR1" s="34" t="s">
        <v>543</v>
      </c>
      <c r="AS1" s="34" t="s">
        <v>544</v>
      </c>
      <c r="AT1" s="34" t="s">
        <v>545</v>
      </c>
      <c r="AU1" s="32" t="s">
        <v>542</v>
      </c>
      <c r="AV1" s="32" t="s">
        <v>543</v>
      </c>
      <c r="AW1" s="32" t="s">
        <v>544</v>
      </c>
      <c r="AX1" s="32" t="s">
        <v>545</v>
      </c>
      <c r="AY1" s="32" t="s">
        <v>546</v>
      </c>
      <c r="AZ1" s="32" t="s">
        <v>547</v>
      </c>
      <c r="BA1" s="32" t="s">
        <v>548</v>
      </c>
      <c r="BB1" s="32" t="s">
        <v>549</v>
      </c>
      <c r="BC1" s="32" t="s">
        <v>550</v>
      </c>
      <c r="BD1" s="32" t="s">
        <v>551</v>
      </c>
      <c r="BE1" s="32" t="s">
        <v>516</v>
      </c>
      <c r="BF1" s="32" t="s">
        <v>517</v>
      </c>
      <c r="BG1" s="32" t="s">
        <v>552</v>
      </c>
      <c r="BH1" s="32" t="s">
        <v>553</v>
      </c>
      <c r="BI1" s="32" t="s">
        <v>520</v>
      </c>
      <c r="BJ1" s="32" t="s">
        <v>521</v>
      </c>
      <c r="BK1" s="32" t="s">
        <v>554</v>
      </c>
      <c r="BL1" s="32" t="s">
        <v>555</v>
      </c>
      <c r="BM1" s="32" t="s">
        <v>556</v>
      </c>
      <c r="BN1" s="32" t="s">
        <v>557</v>
      </c>
      <c r="BO1" s="32" t="s">
        <v>558</v>
      </c>
      <c r="BP1" s="32" t="s">
        <v>559</v>
      </c>
      <c r="BQ1" s="32" t="s">
        <v>560</v>
      </c>
      <c r="BR1" s="32" t="s">
        <v>561</v>
      </c>
      <c r="BS1" s="32" t="s">
        <v>562</v>
      </c>
      <c r="BT1" s="32" t="s">
        <v>563</v>
      </c>
      <c r="BU1" s="32" t="s">
        <v>564</v>
      </c>
      <c r="BV1" s="32" t="s">
        <v>565</v>
      </c>
      <c r="BW1" s="32" t="s">
        <v>566</v>
      </c>
      <c r="BX1" s="32" t="s">
        <v>567</v>
      </c>
      <c r="BY1" s="32" t="s">
        <v>238</v>
      </c>
      <c r="BZ1" s="32" t="s">
        <v>239</v>
      </c>
      <c r="CA1" s="32" t="s">
        <v>568</v>
      </c>
      <c r="CB1" s="32" t="s">
        <v>569</v>
      </c>
      <c r="CC1" s="32" t="s">
        <v>570</v>
      </c>
      <c r="CD1" s="32" t="s">
        <v>571</v>
      </c>
      <c r="CE1" s="32" t="s">
        <v>572</v>
      </c>
      <c r="CF1" s="32" t="s">
        <v>573</v>
      </c>
      <c r="CG1" s="32" t="s">
        <v>574</v>
      </c>
      <c r="CH1" s="32" t="s">
        <v>575</v>
      </c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</row>
    <row r="2" spans="1:168" s="14" customFormat="1" x14ac:dyDescent="0.2">
      <c r="A2" s="36" t="str">
        <f>_xll.ciqfunctions.udf.CIQ($A$10,"IQ_QUICK_COMP",1)</f>
        <v>NYSE:ORCL</v>
      </c>
      <c r="B2" s="36" t="str">
        <f>_xll.ciqfunctions.udf.CIQ($A2, "IQ_COMPANY_NAME")</f>
        <v>Oracle Corporation</v>
      </c>
      <c r="C2" s="13">
        <f>_xll.ciqfunctions.udf.CIQ($A2,"IQ_PERIODDATE",IQ_FY,DateToday)</f>
        <v>46173</v>
      </c>
      <c r="D2" s="13">
        <f>_xll.ciqfunctions.udf.CIQ($A2,"IQ_PERIODDATE",IQ_LTM,DateToday)</f>
        <v>46173</v>
      </c>
      <c r="E2" s="11">
        <f>_xll.ciqfunctions.udf.CIQ($A2, "IQ_LASTSALEPRICE",DateToday,Ccy,Conv)</f>
        <v>140.63999999999999</v>
      </c>
      <c r="F2" s="11">
        <f>_xll.ciqfunctions.udf.CIQ($A2, "IQ_YEARHIGH",DateToday,Ccy,Conv)</f>
        <v>345.72</v>
      </c>
      <c r="G2" s="11">
        <f>_xll.ciqfunctions.udf.CIQ($A2, "IQ_YEARLOW",DateToday,Ccy,Conv)</f>
        <v>134.57</v>
      </c>
      <c r="H2" s="37">
        <f t="shared" ref="H2:H10" si="0">IF(ISERROR(E2/F2), "NA", E2/F2)</f>
        <v>0.4068031933356473</v>
      </c>
      <c r="I2" s="37">
        <f t="shared" ref="I2:I10" si="1">IF(ISERROR(E2/G2), "NA", E2/G2)</f>
        <v>1.0451066359515493</v>
      </c>
      <c r="J2" s="4">
        <f>_xll.ciqfunctions.udf.CIQ($A2, "IQ_SHARESOUTSTANDING",DateToday)</f>
        <v>2880.471</v>
      </c>
      <c r="K2" s="22">
        <f t="shared" ref="K2:K10" si="2">IF(ISERROR(J2*E2), "NA", J2*E2)</f>
        <v>405109.44143999997</v>
      </c>
      <c r="L2" s="4">
        <f>_xll.ciqfunctions.udf.CIQ($A2, "IQ_CASH_ST_INVEST",IQ_FQ,DateToday,,"F",Ccy,Conv)</f>
        <v>31894</v>
      </c>
      <c r="M2" s="4">
        <f>_xll.ciqfunctions.udf.CIQ($A2, "IQ_TOTAL_DEBT",IQ_FQ,DateToday,,"F",Ccy,Conv)</f>
        <v>167432</v>
      </c>
      <c r="N2" s="4">
        <f>_xll.ciqfunctions.udf.CIQ($A2, "IQ_PREF_EQUITY",IQ_FQ,DateToday,,"F",Ccy,Conv)</f>
        <v>4954</v>
      </c>
      <c r="O2" s="4">
        <f>_xll.ciqfunctions.udf.CIQ($A2, "IQ_MINORITY_INTEREST_TOTAL",IQ_FQ,DateToday,,"F",Ccy,Conv)</f>
        <v>548</v>
      </c>
      <c r="P2" s="22">
        <f>IF(ISERROR(K2-L2+M2+N2+O2), "NA", K2-L2+M2+N2+O2)</f>
        <v>546149.44143999997</v>
      </c>
      <c r="Q2" s="4">
        <f>_xll.ciqfunctions.udf.CIQ($A2, "IQ_TOTAL_REV", IQ_FY,DateToday,,,Ccy,Conv)</f>
        <v>67357</v>
      </c>
      <c r="R2" s="4">
        <f>_xll.ciqfunctions.udf.CIQ($A2, "IQ_TOTAL_REV", IQ_LTM,DateToday,,,Ccy,Conv)</f>
        <v>67357</v>
      </c>
      <c r="S2" s="4">
        <f>_xll.ciqfunctions.udf.CIQ($A2, "IQ_REVENUE_EST", IQ_CY+ 1,DateToday,,,Ccy,Conv)</f>
        <v>76642.619900000005</v>
      </c>
      <c r="T2" s="4">
        <f>_xll.ciqfunctions.udf.CIQ($A2, "IQ_REVENUE_EST", IQ_CY+ 2,DateToday,,,Ccy,Conv)</f>
        <v>107241.1182</v>
      </c>
      <c r="U2" s="4">
        <f>_xll.ciqfunctions.udf.CIQ($A2, "IQ_EBITDA", IQ_FY,DateToday,,,Ccy,Conv)</f>
        <v>30494</v>
      </c>
      <c r="V2" s="4">
        <f>_xll.ciqfunctions.udf.CIQ($A2, "IQ_EBITDA", IQ_LTM,DateToday,,,Ccy,Conv)</f>
        <v>30494</v>
      </c>
      <c r="W2" s="4">
        <f>_xll.ciqfunctions.udf.CIQ($A2, "IQ_EBITDA_EST", IQ_CY+ 1,DateToday,,,Ccy,Conv)</f>
        <v>43057.492200000001</v>
      </c>
      <c r="X2" s="4">
        <f>_xll.ciqfunctions.udf.CIQ($A2, "IQ_EBITDA_EST", IQ_CY+ 2,DateToday,,,Ccy,Conv)</f>
        <v>59308.154799999997</v>
      </c>
      <c r="Y2" s="11">
        <f>_xll.ciqfunctions.udf.CIQ($A2, "IQ_DILUT_EPS_EXCL", IQ_FY,DateToday,,,Ccy,Conv)</f>
        <v>5.83</v>
      </c>
      <c r="Z2" s="11">
        <f>_xll.ciqfunctions.udf.CIQ($A2, "IQ_DILUT_EPS_EXCL", IQ_LTM,DateToday,,,Ccy,Conv)</f>
        <v>5.83</v>
      </c>
      <c r="AA2" s="11">
        <f>_xll.ciqfunctions.udf.CIQ($A2, "IQ_EPS_EST", IQ_CY+ 1,DateToday,,,Ccy,Conv)</f>
        <v>7.5248999999999997</v>
      </c>
      <c r="AB2" s="11">
        <f>_xll.ciqfunctions.udf.CIQ($A2, "IQ_EPS_EST", IQ_CY+ 2,DateToday,,,Ccy,Conv)</f>
        <v>9.1816999999999993</v>
      </c>
      <c r="AC2" s="20">
        <f>_xll.ciqfunctions.udf.CIQ($A2, "IQ_TEV_TOTAL_REV",IQ_LTM,$C2)</f>
        <v>12.140219999999999</v>
      </c>
      <c r="AD2" s="20">
        <f>_xll.ciqfunctions.udf.CIQ($A2, "IQ_TEV_TOTAL_REV",IQ_LTM,DateToday)</f>
        <v>8.1082800000000006</v>
      </c>
      <c r="AE2" s="38">
        <f t="shared" ref="AE2:AE10" si="3">IF(ISERROR($P2/S2), "NA", $P2/S2)</f>
        <v>7.1259234372806182</v>
      </c>
      <c r="AF2" s="38">
        <f t="shared" ref="AF2:AF10" si="4">IF(ISERROR($P2/T2), "NA", $P2/T2)</f>
        <v>5.092724233082456</v>
      </c>
      <c r="AG2" s="20">
        <f>_xll.ciqfunctions.udf.CIQ($A2, "IQ_TEV_EBITDA",IQ_LTM,$C2)</f>
        <v>26.034020000000002</v>
      </c>
      <c r="AH2" s="20">
        <f>_xll.ciqfunctions.udf.CIQ($A2, "IQ_TEV_EBITDA",IQ_LTM,DateToday)</f>
        <v>16.4068</v>
      </c>
      <c r="AI2" s="20">
        <f>_xll.ciqfunctions.udf.CIQ($A2, "IQ_TEV_EBITDA_FWD",IQ_CY+1,DateToday)</f>
        <v>12.684189999999999</v>
      </c>
      <c r="AJ2" s="20">
        <f>_xll.ciqfunctions.udf.CIQ($A2, "IQ_TEV_EBITDA_FWD",IQ_CY+2,DateToday)</f>
        <v>9.2086699999999997</v>
      </c>
      <c r="AK2" s="20">
        <f>_xll.ciqfunctions.udf.CIQ($A2, "IQ_PE_EXCL",IQ_LTM,$C2)</f>
        <v>40.51323</v>
      </c>
      <c r="AL2" s="20">
        <f>_xll.ciqfunctions.udf.CIQ($A2, "IQ_PE_EXCL",IQ_LTM,DateToday)</f>
        <v>24.1235</v>
      </c>
      <c r="AM2" s="20">
        <f>_xll.ciqfunctions.udf.CIQ($A2, "IQ_PE_EXCL_FWD",IQ_CY+1,DateToday)</f>
        <v>18.68995</v>
      </c>
      <c r="AN2" s="20">
        <f>_xll.ciqfunctions.udf.CIQ($A2, "IQ_PE_EXCL_FWD",IQ_CY+2,DateToday)</f>
        <v>15.31742</v>
      </c>
      <c r="AO2" s="20">
        <f>_xll.ciqfunctions.udf.CIQ($A2, "IQ_PBV",IQ_LTM,DateToday,)</f>
        <v>10.78562</v>
      </c>
      <c r="AP2" s="20" t="str">
        <f>_xll.ciqfunctions.udf.CIQ($A2, "IQ_PTBV",IQ_LTM,DateToday,)</f>
        <v>NM</v>
      </c>
      <c r="AQ2" s="4">
        <f>_xll.ciqfunctions.udf.CIQ($A2, "IQ_GROSS_MARGIN", IQ_FY- 2,DateToday)</f>
        <v>71.407200000000003</v>
      </c>
      <c r="AR2" s="4">
        <f>_xll.ciqfunctions.udf.CIQ($A2, "IQ_GROSS_MARGIN", IQ_FY- 1,DateToday,)</f>
        <v>70.509900000000002</v>
      </c>
      <c r="AS2" s="4">
        <f>_xll.ciqfunctions.udf.CIQ($A2, "IQ_GROSS_MARGIN", IQ_FY,DateToday,)</f>
        <v>65.822400000000002</v>
      </c>
      <c r="AT2" s="4">
        <f>_xll.ciqfunctions.udf.CIQ($A2, "IQ_GROSS_MARGIN", IQ_LTM,DateToday,)</f>
        <v>65.822400000000002</v>
      </c>
      <c r="AU2" s="4">
        <f>_xll.ciqfunctions.udf.CIQ($A2, "IQ_EBITDA_MARGIN", IQ_FY- 2,DateToday,)</f>
        <v>41.343600000000002</v>
      </c>
      <c r="AV2" s="4">
        <f>_xll.ciqfunctions.udf.CIQ($A2, "IQ_EBITDA_MARGIN", IQ_FY- 1,DateToday,)</f>
        <v>38.908299999999997</v>
      </c>
      <c r="AW2" s="4">
        <f>_xll.ciqfunctions.udf.CIQ($A2, "IQ_EBITDA_MARGIN", IQ_FY,DateToday,)</f>
        <v>45.272199999999998</v>
      </c>
      <c r="AX2" s="4">
        <f>_xll.ciqfunctions.udf.CIQ($A2, "IQ_EBITDA_MARGIN", IQ_LTM,DateToday,)</f>
        <v>45.272199999999998</v>
      </c>
      <c r="AY2" s="4">
        <f>_xll.ciqfunctions.udf.CIQ($A2, "IQ_NI_MARGIN", IQ_FY- 2,DateToday,)</f>
        <v>19.763500000000001</v>
      </c>
      <c r="AZ2" s="4">
        <f>_xll.ciqfunctions.udf.CIQ($A2, "IQ_NI_MARGIN", IQ_FY- 1,DateToday,)</f>
        <v>21.678000000000001</v>
      </c>
      <c r="BA2" s="4">
        <f>_xll.ciqfunctions.udf.CIQ($A2, "IQ_NI_MARGIN", IQ_FY,DateToday,)</f>
        <v>25.367799999999999</v>
      </c>
      <c r="BB2" s="4">
        <f>_xll.ciqfunctions.udf.CIQ($A2, "IQ_NI_MARGIN", IQ_LTM,DateToday,)</f>
        <v>25.367799999999999</v>
      </c>
      <c r="BC2" s="4">
        <f>_xll.ciqfunctions.udf.CIQ($A2, "IQ_TOTAL_REV_5YR_ANN_CAGR",IQ_LTM,DateToday,)</f>
        <v>10.7211</v>
      </c>
      <c r="BD2" s="4">
        <f>_xll.ciqfunctions.udf.CIQ($A2, "IQ_TOTAL_REV_3YR_ANN_CAGR",IQ_LTM,DateToday,)</f>
        <v>10.476699999999999</v>
      </c>
      <c r="BE2" s="4">
        <f>_xll.ciqfunctions.udf.CIQ($A2, "IQ_TOTAL_REV_1YR_ANN_GROWTH", IQ_FY,DateToday,)</f>
        <v>17.348700000000001</v>
      </c>
      <c r="BF2" s="4">
        <f>_xll.ciqfunctions.udf.CIQ($A2, "IQ_TOTAL_REV_1YR_ANN_GROWTH",IQ_LTM,DateToday,)</f>
        <v>17.348700000000001</v>
      </c>
      <c r="BG2" s="4">
        <f>_xll.ciqfunctions.udf.CIQ($A2, "IQ_EBITDA_5YR_ANN_CAGR",IQ_LTM,DateToday,)</f>
        <v>10.429500000000001</v>
      </c>
      <c r="BH2" s="4">
        <f>_xll.ciqfunctions.udf.CIQ($A2, "IQ_EBITDA_3YR_ANN_CAGR",IQ_LTM,DateToday,)</f>
        <v>15.525399999999999</v>
      </c>
      <c r="BI2" s="4">
        <f>_xll.ciqfunctions.udf.CIQ($A2, "IQ_EBITDA_1YR_ANN_GROWTH", IQ_FY,DateToday,)</f>
        <v>36.542299999999997</v>
      </c>
      <c r="BJ2" s="4">
        <f>_xll.ciqfunctions.udf.CIQ($A2, "IQ_EBITDA_1YR_ANN_GROWTH",IQ_LTM,DateToday,)</f>
        <v>36.542299999999997</v>
      </c>
      <c r="BK2" s="4">
        <f>_xll.ciqfunctions.udf.CIQ($A2, "IQ_EPS_5YR_ANN_CAGR",IQ_LTM,DateToday,)</f>
        <v>5.0827</v>
      </c>
      <c r="BL2" s="4">
        <f>_xll.ciqfunctions.udf.CIQ($A2, "IQ_EPS_3YR_ANN_CAGR",IQ_LTM,DateToday,)</f>
        <v>23.835000000000001</v>
      </c>
      <c r="BM2" s="4">
        <f>_xll.ciqfunctions.udf.CIQ($A2, "IQ_EPS_1YR_ANN_GROWTH", IQ_FY,DateToday,)</f>
        <v>34.331699999999998</v>
      </c>
      <c r="BN2" s="4">
        <f>_xll.ciqfunctions.udf.CIQ($A2, "IQ_EPS_1YR_ANN_GROWTH", IQ_LTM,DateToday,)</f>
        <v>34.331699999999998</v>
      </c>
      <c r="BO2" s="20">
        <f>_xll.ciqfunctions.udf.CIQ($A2, "IQ_TOTAL_DEBT_EBITDA",IQ_LTM,DateToday,)</f>
        <v>5.0297999999999998</v>
      </c>
      <c r="BP2" s="20">
        <f>_xll.ciqfunctions.udf.CIQ($A2, "IQ_NET_DEBT_EBITDA",IQ_LTM,DateToday,)</f>
        <v>4.0716799999999997</v>
      </c>
      <c r="BQ2" s="38">
        <f t="shared" ref="BQ2:BQ10" si="5">IF(ISERROR((M2+N2)/V2), "NA", (M2+N2)/V2)</f>
        <v>5.6531120876237946</v>
      </c>
      <c r="BR2" s="20">
        <f>_xll.ciqfunctions.udf.CIQ($A2, "IQ_EBITDA_INT",IQ_LTM,DateToday,)</f>
        <v>7.2381000000000002</v>
      </c>
      <c r="BS2" s="20" t="str">
        <f>_xll.ciqfunctions.udf.CIQ($A2, "IQ_EBITDA_CAPEX_INT",IQ_LTM,DateToday,)</f>
        <v>NM</v>
      </c>
      <c r="BT2" s="4">
        <f>_xll.ciqfunctions.udf.CIQ($A2, "IQ_TOTAL_DEBT_EQUITY",IQ_FQ,DateToday,)</f>
        <v>388.87029999999999</v>
      </c>
      <c r="BU2" s="4">
        <f>_xll.ciqfunctions.udf.CIQ($A2, "IQ_TOTAL_DEBT_CAPITAL",IQ_FQ,DateToday,)</f>
        <v>79.544600000000003</v>
      </c>
      <c r="BV2" s="4">
        <f>_xll.ciqfunctions.udf.CIQ($A2, "IQ_RETURN_EQUITY",IQ_LTM,DateToday)</f>
        <v>53.375999999999998</v>
      </c>
      <c r="BW2" s="4">
        <f>_xll.ciqfunctions.udf.CIQ($A2, "IQ_RETURN_ASSETS",IQ_LTM,DateToday)</f>
        <v>6.5053999999999998</v>
      </c>
      <c r="BX2" s="4">
        <f>_xll.ciqfunctions.udf.CIQ($A2, "IQ_RETURN_INVESTED_CAPITAL",IQ_LTM,DateToday)</f>
        <v>6.6390000000000002</v>
      </c>
      <c r="BY2" s="20">
        <f>_xll.ciqfunctions.udf.CIQ($A2, "IQ_CURRENT_RATIO",IQ_FQ,DateToday,)</f>
        <v>1.115</v>
      </c>
      <c r="BZ2" s="20">
        <f>_xll.ciqfunctions.udf.CIQ($A2, "IQ_QUICK_RATIO",IQ_FQ,DateToday,)</f>
        <v>1.01233</v>
      </c>
      <c r="CA2" s="4">
        <f>_xll.ciqfunctions.udf.CIQ($A2, "IQ_DAYS_SALES_OUT",IQ_LTM,DateToday,)</f>
        <v>51.324840000000002</v>
      </c>
      <c r="CB2" s="4">
        <f>_xll.ciqfunctions.udf.CIQ($A2, "IQ_DAYS_INVENTORY_OUT",IQ_LTM,DateToday,)</f>
        <v>0</v>
      </c>
      <c r="CC2" s="4">
        <f>_xll.ciqfunctions.udf.CIQ($A2, "IQ_DAYS_PAYABLE_OUT",IQ_LTM,DateToday,)</f>
        <v>127.554</v>
      </c>
      <c r="CD2" s="4">
        <f>_xll.ciqfunctions.udf.CIQ($A2, "IQ_CASH_CONVERSION",IQ_LTM,DateToday,)</f>
        <v>0</v>
      </c>
      <c r="CE2" s="20">
        <f>_xll.ciqfunctions.udf.CIQ($A2, "IQ_ASSET_TURNS",IQ_LTM,DateToday,)</f>
        <v>0.31319999999999998</v>
      </c>
      <c r="CF2" s="20">
        <f>_xll.ciqfunctions.udf.CIQ($A2, "IQ_FIXED_ASSET_TURNS",IQ_LTM,DateToday,)</f>
        <v>0.72304999999999997</v>
      </c>
      <c r="CG2" s="20">
        <f>_xll.ciqfunctions.udf.CIQ($A2, "IQ_AR_TURNS",IQ_LTM,DateToday,)</f>
        <v>7.1115500000000003</v>
      </c>
      <c r="CH2" s="20">
        <f>_xll.ciqfunctions.udf.CIQ($A2, "IQ_INVENTORY_TURNS",IQ_LTM,DateToday,)</f>
        <v>0</v>
      </c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</row>
    <row r="3" spans="1:168" s="1" customFormat="1" x14ac:dyDescent="0.2">
      <c r="A3" s="36" t="str">
        <f>_xll.ciqfunctions.udf.CIQ($A$10,"IQ_QUICK_COMP",2)</f>
        <v>NasdaqGS:NVDA</v>
      </c>
      <c r="B3" s="36" t="str">
        <f>_xll.ciqfunctions.udf.CIQ($A3, "IQ_COMPANY_NAME")</f>
        <v>NVIDIA Corporation</v>
      </c>
      <c r="C3" s="13">
        <f>_xll.ciqfunctions.udf.CIQ($A3,"IQ_PERIODDATE",IQ_FY,DateToday)</f>
        <v>46047</v>
      </c>
      <c r="D3" s="13">
        <f>_xll.ciqfunctions.udf.CIQ($A3,"IQ_PERIODDATE",IQ_LTM,DateToday)</f>
        <v>46138</v>
      </c>
      <c r="E3" s="11">
        <f>_xll.ciqfunctions.udf.CIQ($A3, "IQ_LASTSALEPRICE",DateToday,Ccy,Conv)</f>
        <v>210.96</v>
      </c>
      <c r="F3" s="11">
        <f>_xll.ciqfunctions.udf.CIQ($A3, "IQ_YEARHIGH",DateToday,Ccy,Conv)</f>
        <v>236.54</v>
      </c>
      <c r="G3" s="11">
        <f>_xll.ciqfunctions.udf.CIQ($A3, "IQ_YEARLOW",DateToday,Ccy,Conv)</f>
        <v>162.02000000000001</v>
      </c>
      <c r="H3" s="37">
        <f t="shared" si="0"/>
        <v>0.89185761393421836</v>
      </c>
      <c r="I3" s="37">
        <f t="shared" si="1"/>
        <v>1.3020614738921121</v>
      </c>
      <c r="J3" s="4">
        <f>_xll.ciqfunctions.udf.CIQ($A3, "IQ_SHARESOUTSTANDING",DateToday)</f>
        <v>24220.525229999999</v>
      </c>
      <c r="K3" s="22">
        <f t="shared" si="2"/>
        <v>5109562.0025207996</v>
      </c>
      <c r="L3" s="4">
        <f>_xll.ciqfunctions.udf.CIQ($A3, "IQ_CASH_ST_INVEST",IQ_FQ,DateToday,,"F",Ccy,Conv)</f>
        <v>53172</v>
      </c>
      <c r="M3" s="4">
        <f>_xll.ciqfunctions.udf.CIQ($A3, "IQ_TOTAL_DEBT",IQ_FQ,DateToday,,"F",Ccy,Conv)</f>
        <v>12814</v>
      </c>
      <c r="N3" s="4">
        <f>_xll.ciqfunctions.udf.CIQ($A3, "IQ_PREF_EQUITY",IQ_FQ,DateToday,,"F",Ccy,Conv)</f>
        <v>0</v>
      </c>
      <c r="O3" s="4">
        <f>_xll.ciqfunctions.udf.CIQ($A3, "IQ_MINORITY_INTEREST_TOTAL",IQ_FQ,DateToday,,"F",Ccy,Conv)</f>
        <v>0</v>
      </c>
      <c r="P3" s="22">
        <f t="shared" ref="P3:P10" si="6">IF(ISERROR(K3-L3+M3+N3+O3), "NA",K3-L3+M3+N3+O3)</f>
        <v>5069204.0025207996</v>
      </c>
      <c r="Q3" s="4">
        <f>_xll.ciqfunctions.udf.CIQ($A3, "IQ_TOTAL_REV", IQ_FY,DateToday,,,Ccy,Conv)</f>
        <v>215938</v>
      </c>
      <c r="R3" s="4">
        <f>_xll.ciqfunctions.udf.CIQ($A3, "IQ_TOTAL_REV", IQ_LTM,DateToday,,,Ccy,Conv)</f>
        <v>253491</v>
      </c>
      <c r="S3" s="4">
        <f>_xll.ciqfunctions.udf.CIQ($A3, "IQ_REVENUE_EST", IQ_CY+ 1,DateToday,,,Ccy,Conv)</f>
        <v>392793.16926</v>
      </c>
      <c r="T3" s="4">
        <f>_xll.ciqfunctions.udf.CIQ($A3, "IQ_REVENUE_EST", IQ_CY+ 2,DateToday,,,Ccy,Conv)</f>
        <v>555513.79805999994</v>
      </c>
      <c r="U3" s="4">
        <f>_xll.ciqfunctions.udf.CIQ($A3, "IQ_EBITDA", IQ_FY,DateToday,,,Ccy,Conv)</f>
        <v>133230</v>
      </c>
      <c r="V3" s="4">
        <f>_xll.ciqfunctions.udf.CIQ($A3, "IQ_EBITDA", IQ_LTM,DateToday,,,Ccy,Conv)</f>
        <v>165514</v>
      </c>
      <c r="W3" s="4">
        <f>_xll.ciqfunctions.udf.CIQ($A3, "IQ_EBITDA_EST", IQ_CY+ 1,DateToday,,,Ccy,Conv)</f>
        <v>264777.03113999998</v>
      </c>
      <c r="X3" s="4">
        <f>_xll.ciqfunctions.udf.CIQ($A3, "IQ_EBITDA_EST", IQ_CY+ 2,DateToday,,,Ccy,Conv)</f>
        <v>379463.45483</v>
      </c>
      <c r="Y3" s="11">
        <f>_xll.ciqfunctions.udf.CIQ($A3, "IQ_DILUT_EPS_EXCL", IQ_FY,DateToday,,,Ccy,Conv)</f>
        <v>4.9000000000000004</v>
      </c>
      <c r="Z3" s="11">
        <f>_xll.ciqfunctions.udf.CIQ($A3, "IQ_DILUT_EPS_EXCL", IQ_LTM,DateToday,,,Ccy,Conv)</f>
        <v>6.5296500000000002</v>
      </c>
      <c r="AA3" s="11">
        <f>_xll.ciqfunctions.udf.CIQ($A3, "IQ_EPS_EST", IQ_CY+ 1,DateToday,,,Ccy,Conv)</f>
        <v>8.9767399999999995</v>
      </c>
      <c r="AB3" s="11">
        <f>_xll.ciqfunctions.udf.CIQ($A3, "IQ_EPS_EST", IQ_CY+ 2,DateToday,,,Ccy,Conv)</f>
        <v>12.79003</v>
      </c>
      <c r="AC3" s="20">
        <f>_xll.ciqfunctions.udf.CIQ($A3, "IQ_TEV_TOTAL_REV",IQ_LTM,#REF!)</f>
        <v>19.99757</v>
      </c>
      <c r="AD3" s="20">
        <f>_xll.ciqfunctions.udf.CIQ($A3, "IQ_TEV_TOTAL_REV",IQ_LTM,DateToday)</f>
        <v>19.99757</v>
      </c>
      <c r="AE3" s="38">
        <f t="shared" si="3"/>
        <v>12.905529930856211</v>
      </c>
      <c r="AF3" s="38">
        <f t="shared" si="4"/>
        <v>9.125253090425101</v>
      </c>
      <c r="AG3" s="20">
        <f>_xll.ciqfunctions.udf.CIQ($A3, "IQ_TEV_EBITDA",IQ_LTM,#REF!)</f>
        <v>30.52891</v>
      </c>
      <c r="AH3" s="20">
        <f>_xll.ciqfunctions.udf.CIQ($A3, "IQ_TEV_EBITDA",IQ_LTM,DateToday)</f>
        <v>30.52891</v>
      </c>
      <c r="AI3" s="20">
        <f>_xll.ciqfunctions.udf.CIQ($A3, "IQ_TEV_EBITDA_FWD",IQ_CY+1,DateToday)</f>
        <v>19.14518</v>
      </c>
      <c r="AJ3" s="20">
        <f>_xll.ciqfunctions.udf.CIQ($A3, "IQ_TEV_EBITDA_FWD",IQ_CY+2,DateToday)</f>
        <v>13.35887</v>
      </c>
      <c r="AK3" s="20">
        <f>_xll.ciqfunctions.udf.CIQ($A3, "IQ_PE_EXCL",IQ_LTM,#REF!)</f>
        <v>32.308010000000003</v>
      </c>
      <c r="AL3" s="20">
        <f>_xll.ciqfunctions.udf.CIQ($A3, "IQ_PE_EXCL",IQ_LTM,DateToday)</f>
        <v>32.308010000000003</v>
      </c>
      <c r="AM3" s="20">
        <f>_xll.ciqfunctions.udf.CIQ($A3, "IQ_PE_EXCL_FWD",IQ_CY+1,DateToday)</f>
        <v>23.50074</v>
      </c>
      <c r="AN3" s="20">
        <f>_xll.ciqfunctions.udf.CIQ($A3, "IQ_PE_EXCL_FWD",IQ_CY+2,DateToday)</f>
        <v>16.4941</v>
      </c>
      <c r="AO3" s="20">
        <f>_xll.ciqfunctions.udf.CIQ($A3, "IQ_PBV",IQ_LTM,DateToday,)</f>
        <v>26.139859999999999</v>
      </c>
      <c r="AP3" s="20">
        <f>_xll.ciqfunctions.udf.CIQ($A3, "IQ_PTBV",IQ_LTM,DateToday,)</f>
        <v>29.800899999999999</v>
      </c>
      <c r="AQ3" s="4">
        <f>_xll.ciqfunctions.udf.CIQ($A3, "IQ_GROSS_MARGIN", IQ_FY- 2,DateToday,)</f>
        <v>72.717500000000001</v>
      </c>
      <c r="AR3" s="4">
        <f>_xll.ciqfunctions.udf.CIQ($A3, "IQ_GROSS_MARGIN", IQ_FY- 1,DateToday,)</f>
        <v>74.988600000000005</v>
      </c>
      <c r="AS3" s="4">
        <f>_xll.ciqfunctions.udf.CIQ($A3, "IQ_GROSS_MARGIN", IQ_FY,DateToday,)</f>
        <v>71.067999999999998</v>
      </c>
      <c r="AT3" s="4">
        <f>_xll.ciqfunctions.udf.CIQ($A3, "IQ_GROSS_MARGIN", IQ_LTM,DateToday,)</f>
        <v>74.145399999999995</v>
      </c>
      <c r="AU3" s="4">
        <f>_xll.ciqfunctions.udf.CIQ($A3, "IQ_EBITDA_MARGIN", IQ_FY- 2,DateToday,)</f>
        <v>56.596899999999998</v>
      </c>
      <c r="AV3" s="4">
        <f>_xll.ciqfunctions.udf.CIQ($A3, "IQ_EBITDA_MARGIN", IQ_FY- 1,DateToday,)</f>
        <v>63.8459</v>
      </c>
      <c r="AW3" s="4">
        <f>_xll.ciqfunctions.udf.CIQ($A3, "IQ_EBITDA_MARGIN", IQ_FY,DateToday,)</f>
        <v>61.6982</v>
      </c>
      <c r="AX3" s="4">
        <f>_xll.ciqfunctions.udf.CIQ($A3, "IQ_EBITDA_MARGIN", IQ_LTM,DateToday,)</f>
        <v>65.293800000000005</v>
      </c>
      <c r="AY3" s="4">
        <f>_xll.ciqfunctions.udf.CIQ($A3, "IQ_NI_MARGIN", IQ_FY- 2,DateToday,)</f>
        <v>48.849299999999999</v>
      </c>
      <c r="AZ3" s="4">
        <f>_xll.ciqfunctions.udf.CIQ($A3, "IQ_NI_MARGIN", IQ_FY- 1,DateToday,)</f>
        <v>55.847999999999999</v>
      </c>
      <c r="BA3" s="4">
        <f>_xll.ciqfunctions.udf.CIQ($A3, "IQ_NI_MARGIN", IQ_FY,DateToday,)</f>
        <v>55.602499999999999</v>
      </c>
      <c r="BB3" s="4">
        <f>_xll.ciqfunctions.udf.CIQ($A3, "IQ_NI_MARGIN", IQ_LTM,DateToday,)</f>
        <v>62.965899999999998</v>
      </c>
      <c r="BC3" s="4">
        <f>_xll.ciqfunctions.udf.CIQ($A3, "IQ_TOTAL_REV_5YR_ANN_CAGR",IQ_LTM,DateToday,)</f>
        <v>67.447699999999998</v>
      </c>
      <c r="BD3" s="4">
        <f>_xll.ciqfunctions.udf.CIQ($A3, "IQ_TOTAL_REV_3YR_ANN_CAGR",IQ_LTM,DateToday,)</f>
        <v>113.96559999999999</v>
      </c>
      <c r="BE3" s="4">
        <f>_xll.ciqfunctions.udf.CIQ($A3, "IQ_TOTAL_REV_1YR_ANN_GROWTH", IQ_FY,DateToday,)</f>
        <v>65.473500000000001</v>
      </c>
      <c r="BF3" s="4">
        <f>_xll.ciqfunctions.udf.CIQ($A3, "IQ_TOTAL_REV_1YR_ANN_GROWTH",IQ_LTM,DateToday,)</f>
        <v>70.683700000000002</v>
      </c>
      <c r="BG3" s="4">
        <f>_xll.ciqfunctions.udf.CIQ($A3, "IQ_EBITDA_5YR_ANN_CAGR",IQ_LTM,DateToday,)</f>
        <v>88.400899999999993</v>
      </c>
      <c r="BH3" s="4">
        <f>_xll.ciqfunctions.udf.CIQ($A3, "IQ_EBITDA_3YR_ANN_CAGR",IQ_LTM,DateToday,)</f>
        <v>200.65780000000001</v>
      </c>
      <c r="BI3" s="4">
        <f>_xll.ciqfunctions.udf.CIQ($A3, "IQ_EBITDA_1YR_ANN_GROWTH", IQ_FY,DateToday,)</f>
        <v>59.907299999999999</v>
      </c>
      <c r="BJ3" s="4">
        <f>_xll.ciqfunctions.udf.CIQ($A3, "IQ_EBITDA_1YR_ANN_GROWTH",IQ_LTM,DateToday,)</f>
        <v>87.557599999999994</v>
      </c>
      <c r="BK3" s="4">
        <f>_xll.ciqfunctions.udf.CIQ($A3, "IQ_EPS_5YR_ANN_CAGR",IQ_LTM,DateToday,)</f>
        <v>98.435699999999997</v>
      </c>
      <c r="BL3" s="4">
        <f>_xll.ciqfunctions.udf.CIQ($A3, "IQ_EPS_3YR_ANN_CAGR",IQ_LTM,DateToday,)</f>
        <v>225.3612</v>
      </c>
      <c r="BM3" s="4">
        <f>_xll.ciqfunctions.udf.CIQ($A3, "IQ_EPS_1YR_ANN_GROWTH", IQ_FY,DateToday,)</f>
        <v>66.666600000000003</v>
      </c>
      <c r="BN3" s="4">
        <f>_xll.ciqfunctions.udf.CIQ($A3, "IQ_EPS_1YR_ANN_GROWTH", IQ_LTM,DateToday,)</f>
        <v>110.58459999999999</v>
      </c>
      <c r="BO3" s="20">
        <f>_xll.ciqfunctions.udf.CIQ($A3, "IQ_TOTAL_DEBT_EBITDA",IQ_LTM,DateToday,)</f>
        <v>7.7170000000000002E-2</v>
      </c>
      <c r="BP3" s="20" t="str">
        <f>_xll.ciqfunctions.udf.CIQ($A3, "IQ_NET_DEBT_EBITDA",IQ_LTM,DateToday,)</f>
        <v>NM</v>
      </c>
      <c r="BQ3" s="39">
        <f t="shared" si="5"/>
        <v>7.7419432797225615E-2</v>
      </c>
      <c r="BR3" s="20">
        <f>_xll.ciqfunctions.udf.CIQ($A3, "IQ_EBITDA_INT",IQ_LTM,DateToday,)</f>
        <v>557.20133999999996</v>
      </c>
      <c r="BS3" s="20">
        <f>_xll.ciqfunctions.udf.CIQ($A3, "IQ_EBITDA_CAPEX_INT",IQ_LTM,DateToday,)</f>
        <v>535.14765</v>
      </c>
      <c r="BT3" s="4">
        <f>_xll.ciqfunctions.udf.CIQ($A3, "IQ_TOTAL_DEBT_EQUITY",IQ_FQ,DateToday,)</f>
        <v>6.5552999999999999</v>
      </c>
      <c r="BU3" s="4">
        <f>_xll.ciqfunctions.udf.CIQ($A3, "IQ_TOTAL_DEBT_CAPITAL",IQ_FQ,DateToday,)</f>
        <v>6.1520000000000001</v>
      </c>
      <c r="BV3" s="4">
        <f>_xll.ciqfunctions.udf.CIQ($A3, "IQ_RETURN_EQUITY",IQ_LTM,DateToday)</f>
        <v>114.288</v>
      </c>
      <c r="BW3" s="4">
        <f>_xll.ciqfunctions.udf.CIQ($A3, "IQ_RETURN_ASSETS",IQ_LTM,DateToday)</f>
        <v>52.7271</v>
      </c>
      <c r="BX3" s="4">
        <f>_xll.ciqfunctions.udf.CIQ($A3, "IQ_RETURN_INVESTED_CAPITAL",IQ_LTM,DateToday)</f>
        <v>104.91500000000001</v>
      </c>
      <c r="BY3" s="20">
        <f>_xll.ciqfunctions.udf.CIQ($A3, "IQ_CURRENT_RATIO",IQ_FQ,DateToday,)</f>
        <v>3.4407800000000002</v>
      </c>
      <c r="BZ3" s="20">
        <f>_xll.ciqfunctions.udf.CIQ($A3, "IQ_QUICK_RATIO",IQ_FQ,DateToday,)</f>
        <v>2.1393200000000001</v>
      </c>
      <c r="CA3" s="4">
        <f>_xll.ciqfunctions.udf.CIQ($A3, "IQ_DAYS_SALES_OUT",IQ_LTM,DateToday,)</f>
        <v>45.11889</v>
      </c>
      <c r="CB3" s="4">
        <f>_xll.ciqfunctions.udf.CIQ($A3, "IQ_DAYS_INVENTORY_OUT",IQ_LTM,DateToday,)</f>
        <v>103.10881999999999</v>
      </c>
      <c r="CC3" s="4">
        <f>_xll.ciqfunctions.udf.CIQ($A3, "IQ_DAYS_PAYABLE_OUT",IQ_LTM,DateToday,)</f>
        <v>46.471879999999999</v>
      </c>
      <c r="CD3" s="4">
        <f>_xll.ciqfunctions.udf.CIQ($A3, "IQ_CASH_CONVERSION",IQ_LTM,DateToday,)</f>
        <v>101.75584000000001</v>
      </c>
      <c r="CE3" s="20">
        <f>_xll.ciqfunctions.udf.CIQ($A3, "IQ_ASSET_TURNS",IQ_LTM,DateToday,)</f>
        <v>1.3177700000000001</v>
      </c>
      <c r="CF3" s="20">
        <f>_xll.ciqfunctions.udf.CIQ($A3, "IQ_FIXED_ASSET_TURNS",IQ_LTM,DateToday,)</f>
        <v>19.798570000000002</v>
      </c>
      <c r="CG3" s="20">
        <f>_xll.ciqfunctions.udf.CIQ($A3, "IQ_AR_TURNS",IQ_LTM,DateToday,)</f>
        <v>8.0675699999999999</v>
      </c>
      <c r="CH3" s="20">
        <f>_xll.ciqfunctions.udf.CIQ($A3, "IQ_INVENTORY_TURNS",IQ_LTM,DateToday,)</f>
        <v>3.5302500000000001</v>
      </c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</row>
    <row r="4" spans="1:168" s="1" customFormat="1" x14ac:dyDescent="0.2">
      <c r="A4" s="36" t="str">
        <f>_xll.ciqfunctions.udf.CIQ($A$10,"IQ_QUICK_COMP",3)</f>
        <v>NasdaqGS:GOOGL</v>
      </c>
      <c r="B4" s="36" t="str">
        <f>_xll.ciqfunctions.udf.CIQ($A4, "IQ_COMPANY_NAME")</f>
        <v>Alphabet Inc.</v>
      </c>
      <c r="C4" s="13">
        <f>_xll.ciqfunctions.udf.CIQ($A4,"IQ_PERIODDATE",IQ_FY,DateToday)</f>
        <v>46022</v>
      </c>
      <c r="D4" s="13">
        <f>_xll.ciqfunctions.udf.CIQ($A4,"IQ_PERIODDATE",IQ_LTM,DateToday)</f>
        <v>46112</v>
      </c>
      <c r="E4" s="11">
        <f>_xll.ciqfunctions.udf.CIQ($A4, "IQ_LASTSALEPRICE",DateToday,Ccy,Conv)</f>
        <v>357.18</v>
      </c>
      <c r="F4" s="11">
        <f>_xll.ciqfunctions.udf.CIQ($A4, "IQ_YEARHIGH",DateToday,Ccy,Conv)</f>
        <v>408.61</v>
      </c>
      <c r="G4" s="11">
        <f>_xll.ciqfunctions.udf.CIQ($A4, "IQ_YEARLOW",DateToday,Ccy,Conv)</f>
        <v>176.48</v>
      </c>
      <c r="H4" s="37">
        <f t="shared" si="0"/>
        <v>0.87413426005237271</v>
      </c>
      <c r="I4" s="37">
        <f t="shared" si="1"/>
        <v>2.0239120580235723</v>
      </c>
      <c r="J4" s="4">
        <f>_xll.ciqfunctions.udf.CIQ($A4, "IQ_SHARESOUTSTANDING",DateToday)</f>
        <v>12202.909669999999</v>
      </c>
      <c r="K4" s="22">
        <f t="shared" si="2"/>
        <v>4358635.2759305993</v>
      </c>
      <c r="L4" s="4">
        <f>_xll.ciqfunctions.udf.CIQ($A4, "IQ_CASH_ST_INVEST",IQ_FQ,DateToday,,"F",Ccy,Conv)</f>
        <v>126840</v>
      </c>
      <c r="M4" s="4">
        <f>_xll.ciqfunctions.udf.CIQ($A4, "IQ_TOTAL_DEBT",IQ_FQ,DateToday,,"F",Ccy,Conv)</f>
        <v>95876</v>
      </c>
      <c r="N4" s="4">
        <f>_xll.ciqfunctions.udf.CIQ($A4, "IQ_PREF_EQUITY",IQ_FQ,DateToday,,"F",Ccy,Conv)</f>
        <v>0</v>
      </c>
      <c r="O4" s="4">
        <f>_xll.ciqfunctions.udf.CIQ($A4, "IQ_MINORITY_INTEREST_TOTAL",IQ_FQ,DateToday,,"F",Ccy,Conv)</f>
        <v>0</v>
      </c>
      <c r="P4" s="22">
        <f t="shared" si="6"/>
        <v>4327671.2759305993</v>
      </c>
      <c r="Q4" s="4">
        <f>_xll.ciqfunctions.udf.CIQ($A4, "IQ_TOTAL_REV", IQ_FY,DateToday,,,Ccy,Conv)</f>
        <v>402836</v>
      </c>
      <c r="R4" s="4">
        <f>_xll.ciqfunctions.udf.CIQ($A4, "IQ_TOTAL_REV", IQ_LTM,DateToday,,,Ccy,Conv)</f>
        <v>422498</v>
      </c>
      <c r="S4" s="4">
        <f>_xll.ciqfunctions.udf.CIQ($A4, "IQ_REVENUE_EST", IQ_CY+ 1,DateToday,,,Ccy,Conv)</f>
        <v>488543.66246000002</v>
      </c>
      <c r="T4" s="4">
        <f>_xll.ciqfunctions.udf.CIQ($A4, "IQ_REVENUE_EST", IQ_CY+ 2,DateToday,,,Ccy,Conv)</f>
        <v>583713.77540000004</v>
      </c>
      <c r="U4" s="4">
        <f>_xll.ciqfunctions.udf.CIQ($A4, "IQ_EBITDA", IQ_FY,DateToday,,,Ccy,Conv)</f>
        <v>150175</v>
      </c>
      <c r="V4" s="4">
        <f>_xll.ciqfunctions.udf.CIQ($A4, "IQ_EBITDA", IQ_LTM,DateToday,,,Ccy,Conv)</f>
        <v>161316</v>
      </c>
      <c r="W4" s="4">
        <f>_xll.ciqfunctions.udf.CIQ($A4, "IQ_EBITDA_EST", IQ_CY+ 1,DateToday,,,Ccy,Conv)</f>
        <v>227927.67064999999</v>
      </c>
      <c r="X4" s="4">
        <f>_xll.ciqfunctions.udf.CIQ($A4, "IQ_EBITDA_EST", IQ_CY+ 2,DateToday,,,Ccy,Conv)</f>
        <v>285094.19524999999</v>
      </c>
      <c r="Y4" s="11">
        <f>_xll.ciqfunctions.udf.CIQ($A4, "IQ_DILUT_EPS_EXCL", IQ_FY,DateToday,,,Ccy,Conv)</f>
        <v>10.80057</v>
      </c>
      <c r="Z4" s="11">
        <f>_xll.ciqfunctions.udf.CIQ($A4, "IQ_DILUT_EPS_EXCL", IQ_LTM,DateToday,,,Ccy,Conv)</f>
        <v>13.107329999999999</v>
      </c>
      <c r="AA4" s="11">
        <f>_xll.ciqfunctions.udf.CIQ($A4, "IQ_EPS_EST", IQ_CY+ 1,DateToday,,,Ccy,Conv)</f>
        <v>14.2278</v>
      </c>
      <c r="AB4" s="11">
        <f>_xll.ciqfunctions.udf.CIQ($A4, "IQ_EPS_EST", IQ_CY+ 2,DateToday,,,Ccy,Conv)</f>
        <v>14.5725</v>
      </c>
      <c r="AC4" s="20">
        <f>_xll.ciqfunctions.udf.CIQ($A4, "IQ_TEV_TOTAL_REV",IQ_LTM,#REF!)</f>
        <v>10.215070000000001</v>
      </c>
      <c r="AD4" s="20">
        <f>_xll.ciqfunctions.udf.CIQ($A4, "IQ_TEV_TOTAL_REV",IQ_LTM,DateToday)</f>
        <v>10.215070000000001</v>
      </c>
      <c r="AE4" s="38">
        <f t="shared" si="3"/>
        <v>8.8583101337128323</v>
      </c>
      <c r="AF4" s="38">
        <f t="shared" si="4"/>
        <v>7.4140297151030694</v>
      </c>
      <c r="AG4" s="20">
        <f>_xll.ciqfunctions.udf.CIQ($A4, "IQ_TEV_EBITDA",IQ_LTM,#REF!)</f>
        <v>25.85764</v>
      </c>
      <c r="AH4" s="20">
        <f>_xll.ciqfunctions.udf.CIQ($A4, "IQ_TEV_EBITDA",IQ_LTM,DateToday)</f>
        <v>25.85764</v>
      </c>
      <c r="AI4" s="20">
        <f>_xll.ciqfunctions.udf.CIQ($A4, "IQ_TEV_EBITDA_FWD",IQ_CY+1,DateToday)</f>
        <v>18.93516</v>
      </c>
      <c r="AJ4" s="20">
        <f>_xll.ciqfunctions.udf.CIQ($A4, "IQ_TEV_EBITDA_FWD",IQ_CY+2,DateToday)</f>
        <v>15.13832</v>
      </c>
      <c r="AK4" s="20">
        <f>_xll.ciqfunctions.udf.CIQ($A4, "IQ_PE_EXCL",IQ_LTM,#REF!)</f>
        <v>27.250399999999999</v>
      </c>
      <c r="AL4" s="20">
        <f>_xll.ciqfunctions.udf.CIQ($A4, "IQ_PE_EXCL",IQ_LTM,DateToday)</f>
        <v>27.250399999999999</v>
      </c>
      <c r="AM4" s="20">
        <f>_xll.ciqfunctions.udf.CIQ($A4, "IQ_PE_EXCL_FWD",IQ_CY+1,DateToday)</f>
        <v>25.104369999999999</v>
      </c>
      <c r="AN4" s="20">
        <f>_xll.ciqfunctions.udf.CIQ($A4, "IQ_PE_EXCL_FWD",IQ_CY+2,DateToday)</f>
        <v>24.510549999999999</v>
      </c>
      <c r="AO4" s="20">
        <f>_xll.ciqfunctions.udf.CIQ($A4, "IQ_PBV",IQ_LTM,DateToday,)</f>
        <v>9.0394299999999994</v>
      </c>
      <c r="AP4" s="20">
        <f>_xll.ciqfunctions.udf.CIQ($A4, "IQ_PTBV",IQ_LTM,DateToday,)</f>
        <v>10.51591</v>
      </c>
      <c r="AQ4" s="4">
        <f>_xll.ciqfunctions.udf.CIQ($A4, "IQ_GROSS_MARGIN", IQ_FY- 2,DateToday,)</f>
        <v>56.625</v>
      </c>
      <c r="AR4" s="4">
        <f>_xll.ciqfunctions.udf.CIQ($A4, "IQ_GROSS_MARGIN", IQ_FY- 1,DateToday,)</f>
        <v>58.200400000000002</v>
      </c>
      <c r="AS4" s="4">
        <f>_xll.ciqfunctions.udf.CIQ($A4, "IQ_GROSS_MARGIN", IQ_FY,DateToday,)</f>
        <v>59.652299999999997</v>
      </c>
      <c r="AT4" s="4">
        <f>_xll.ciqfunctions.udf.CIQ($A4, "IQ_GROSS_MARGIN", IQ_LTM,DateToday,)</f>
        <v>60.367800000000003</v>
      </c>
      <c r="AU4" s="4">
        <f>_xll.ciqfunctions.udf.CIQ($A4, "IQ_EBITDA_MARGIN", IQ_FY- 2,DateToday,)</f>
        <v>31.308</v>
      </c>
      <c r="AV4" s="4">
        <f>_xll.ciqfunctions.udf.CIQ($A4, "IQ_EBITDA_MARGIN", IQ_FY- 1,DateToday,)</f>
        <v>36.484099999999998</v>
      </c>
      <c r="AW4" s="4">
        <f>_xll.ciqfunctions.udf.CIQ($A4, "IQ_EBITDA_MARGIN", IQ_FY,DateToday,)</f>
        <v>37.279400000000003</v>
      </c>
      <c r="AX4" s="4">
        <f>_xll.ciqfunctions.udf.CIQ($A4, "IQ_EBITDA_MARGIN", IQ_LTM,DateToday,)</f>
        <v>38.181399999999996</v>
      </c>
      <c r="AY4" s="4">
        <f>_xll.ciqfunctions.udf.CIQ($A4, "IQ_NI_MARGIN", IQ_FY- 2,DateToday,)</f>
        <v>24.006599999999999</v>
      </c>
      <c r="AZ4" s="4">
        <f>_xll.ciqfunctions.udf.CIQ($A4, "IQ_NI_MARGIN", IQ_FY- 1,DateToday,)</f>
        <v>28.6036</v>
      </c>
      <c r="BA4" s="4">
        <f>_xll.ciqfunctions.udf.CIQ($A4, "IQ_NI_MARGIN", IQ_FY,DateToday,)</f>
        <v>32.809800000000003</v>
      </c>
      <c r="BB4" s="4">
        <f>_xll.ciqfunctions.udf.CIQ($A4, "IQ_NI_MARGIN", IQ_LTM,DateToday,)</f>
        <v>37.919199999999996</v>
      </c>
      <c r="BC4" s="4">
        <f>_xll.ciqfunctions.udf.CIQ($A4, "IQ_TOTAL_REV_5YR_ANN_CAGR",IQ_LTM,DateToday,)</f>
        <v>16.523099999999999</v>
      </c>
      <c r="BD4" s="4">
        <f>_xll.ciqfunctions.udf.CIQ($A4, "IQ_TOTAL_REV_3YR_ANN_CAGR",IQ_LTM,DateToday,)</f>
        <v>14.074999999999999</v>
      </c>
      <c r="BE4" s="4">
        <f>_xll.ciqfunctions.udf.CIQ($A4, "IQ_TOTAL_REV_1YR_ANN_GROWTH", IQ_FY,DateToday,)</f>
        <v>15.09</v>
      </c>
      <c r="BF4" s="4">
        <f>_xll.ciqfunctions.udf.CIQ($A4, "IQ_TOTAL_REV_1YR_ANN_GROWTH",IQ_LTM,DateToday,)</f>
        <v>17.4541</v>
      </c>
      <c r="BG4" s="4">
        <f>_xll.ciqfunctions.udf.CIQ($A4, "IQ_EBITDA_5YR_ANN_CAGR",IQ_LTM,DateToday,)</f>
        <v>20.688099999999999</v>
      </c>
      <c r="BH4" s="4">
        <f>_xll.ciqfunctions.udf.CIQ($A4, "IQ_EBITDA_3YR_ANN_CAGR",IQ_LTM,DateToday,)</f>
        <v>24.057300000000001</v>
      </c>
      <c r="BI4" s="4">
        <f>_xll.ciqfunctions.udf.CIQ($A4, "IQ_EBITDA_1YR_ANN_GROWTH", IQ_FY,DateToday,)</f>
        <v>17.5989</v>
      </c>
      <c r="BJ4" s="4">
        <f>_xll.ciqfunctions.udf.CIQ($A4, "IQ_EBITDA_1YR_ANN_GROWTH",IQ_LTM,DateToday,)</f>
        <v>20.357199999999999</v>
      </c>
      <c r="BK4" s="4">
        <f>_xll.ciqfunctions.udf.CIQ($A4, "IQ_EPS_5YR_ANN_CAGR",IQ_LTM,DateToday,)</f>
        <v>28.4254</v>
      </c>
      <c r="BL4" s="4">
        <f>_xll.ciqfunctions.udf.CIQ($A4, "IQ_EPS_3YR_ANN_CAGR",IQ_LTM,DateToday,)</f>
        <v>42.840899999999998</v>
      </c>
      <c r="BM4" s="4">
        <f>_xll.ciqfunctions.udf.CIQ($A4, "IQ_EPS_1YR_ANN_GROWTH", IQ_FY,DateToday,)</f>
        <v>34.366199999999999</v>
      </c>
      <c r="BN4" s="4">
        <f>_xll.ciqfunctions.udf.CIQ($A4, "IQ_EPS_1YR_ANN_GROWTH", IQ_LTM,DateToday,)</f>
        <v>46.376100000000001</v>
      </c>
      <c r="BO4" s="20">
        <f>_xll.ciqfunctions.udf.CIQ($A4, "IQ_TOTAL_DEBT_EBITDA",IQ_LTM,DateToday,)</f>
        <v>0.57567999999999997</v>
      </c>
      <c r="BP4" s="20" t="str">
        <f>_xll.ciqfunctions.udf.CIQ($A4, "IQ_NET_DEBT_EBITDA",IQ_LTM,DateToday,)</f>
        <v>NM</v>
      </c>
      <c r="BQ4" s="39">
        <f t="shared" si="5"/>
        <v>0.59433658161620673</v>
      </c>
      <c r="BR4" s="20">
        <f>_xll.ciqfunctions.udf.CIQ($A4, "IQ_EBITDA_INT",IQ_LTM,DateToday,)</f>
        <v>134.85425000000001</v>
      </c>
      <c r="BS4" s="20">
        <f>_xll.ciqfunctions.udf.CIQ($A4, "IQ_EBITDA_CAPEX_INT",IQ_LTM,DateToday,)</f>
        <v>45.846960000000003</v>
      </c>
      <c r="BT4" s="4">
        <f>_xll.ciqfunctions.udf.CIQ($A4, "IQ_TOTAL_DEBT_EQUITY",IQ_FQ,DateToday,)</f>
        <v>20.026399999999999</v>
      </c>
      <c r="BU4" s="4">
        <f>_xll.ciqfunctions.udf.CIQ($A4, "IQ_TOTAL_DEBT_CAPITAL",IQ_FQ,DateToday,)</f>
        <v>16.684999999999999</v>
      </c>
      <c r="BV4" s="4">
        <f>_xll.ciqfunctions.udf.CIQ($A4, "IQ_RETURN_EQUITY",IQ_LTM,DateToday)</f>
        <v>38.884799999999998</v>
      </c>
      <c r="BW4" s="4">
        <f>_xll.ciqfunctions.udf.CIQ($A4, "IQ_RETURN_ASSETS",IQ_LTM,DateToday)</f>
        <v>14.641</v>
      </c>
      <c r="BX4" s="4">
        <f>_xll.ciqfunctions.udf.CIQ($A4, "IQ_RETURN_INVESTED_CAPITAL",IQ_LTM,DateToday)</f>
        <v>31.560199999999998</v>
      </c>
      <c r="BY4" s="20">
        <f>_xll.ciqfunctions.udf.CIQ($A4, "IQ_CURRENT_RATIO",IQ_FQ,DateToday,)</f>
        <v>1.92245</v>
      </c>
      <c r="BZ4" s="20">
        <f>_xll.ciqfunctions.udf.CIQ($A4, "IQ_QUICK_RATIO",IQ_FQ,DateToday,)</f>
        <v>1.7073700000000001</v>
      </c>
      <c r="CA4" s="4">
        <f>_xll.ciqfunctions.udf.CIQ($A4, "IQ_DAYS_SALES_OUT",IQ_LTM,DateToday,)</f>
        <v>49.242150000000002</v>
      </c>
      <c r="CB4" s="4">
        <f>_xll.ciqfunctions.udf.CIQ($A4, "IQ_DAYS_INVENTORY_OUT",IQ_LTM,DateToday,)</f>
        <v>0</v>
      </c>
      <c r="CC4" s="4">
        <f>_xll.ciqfunctions.udf.CIQ($A4, "IQ_DAYS_PAYABLE_OUT",IQ_LTM,DateToday,)</f>
        <v>27.627949999999998</v>
      </c>
      <c r="CD4" s="4">
        <f>_xll.ciqfunctions.udf.CIQ($A4, "IQ_CASH_CONVERSION",IQ_LTM,DateToday,)</f>
        <v>0</v>
      </c>
      <c r="CE4" s="20">
        <f>_xll.ciqfunctions.udf.CIQ($A4, "IQ_ASSET_TURNS",IQ_LTM,DateToday,)</f>
        <v>0.71653</v>
      </c>
      <c r="CF4" s="20">
        <f>_xll.ciqfunctions.udf.CIQ($A4, "IQ_FIXED_ASSET_TURNS",IQ_LTM,DateToday,)</f>
        <v>1.7059800000000001</v>
      </c>
      <c r="CG4" s="20">
        <f>_xll.ciqfunctions.udf.CIQ($A4, "IQ_AR_TURNS",IQ_LTM,DateToday,)</f>
        <v>7.4123099999999997</v>
      </c>
      <c r="CH4" s="20">
        <f>_xll.ciqfunctions.udf.CIQ($A4, "IQ_INVENTORY_TURNS",IQ_LTM,DateToday,)</f>
        <v>0</v>
      </c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</row>
    <row r="5" spans="1:168" s="1" customFormat="1" x14ac:dyDescent="0.2">
      <c r="A5" s="36" t="str">
        <f>_xll.ciqfunctions.udf.CIQ($A$10,"IQ_QUICK_COMP",4)</f>
        <v>NYSE:CRM</v>
      </c>
      <c r="B5" s="36" t="str">
        <f>_xll.ciqfunctions.udf.CIQ($A5, "IQ_COMPANY_NAME")</f>
        <v>Salesforce, Inc.</v>
      </c>
      <c r="C5" s="13">
        <f>_xll.ciqfunctions.udf.CIQ($A5,"IQ_PERIODDATE",IQ_FY,DateToday)</f>
        <v>46053</v>
      </c>
      <c r="D5" s="13">
        <f>_xll.ciqfunctions.udf.CIQ($A5,"IQ_PERIODDATE",IQ_LTM,DateToday)</f>
        <v>46142</v>
      </c>
      <c r="E5" s="11">
        <f>_xll.ciqfunctions.udf.CIQ($A5, "IQ_LASTSALEPRICE",DateToday,Ccy,Conv)</f>
        <v>163.32</v>
      </c>
      <c r="F5" s="11">
        <f>_xll.ciqfunctions.udf.CIQ($A5, "IQ_YEARHIGH",DateToday,Ccy,Conv)</f>
        <v>274</v>
      </c>
      <c r="G5" s="11">
        <f>_xll.ciqfunctions.udf.CIQ($A5, "IQ_YEARLOW",DateToday,Ccy,Conv)</f>
        <v>146.32</v>
      </c>
      <c r="H5" s="37">
        <f t="shared" si="0"/>
        <v>0.59605839416058393</v>
      </c>
      <c r="I5" s="37">
        <f t="shared" si="1"/>
        <v>1.1161837069436851</v>
      </c>
      <c r="J5" s="4">
        <f>_xll.ciqfunctions.udf.CIQ($A5, "IQ_SHARESOUTSTANDING",DateToday)</f>
        <v>819</v>
      </c>
      <c r="K5" s="22">
        <f t="shared" si="2"/>
        <v>133759.07999999999</v>
      </c>
      <c r="L5" s="4">
        <f>_xll.ciqfunctions.udf.CIQ($A5, "IQ_CASH_ST_INVEST",IQ_FQ,DateToday,,"F",Ccy,Conv)</f>
        <v>11837</v>
      </c>
      <c r="M5" s="4">
        <f>_xll.ciqfunctions.udf.CIQ($A5, "IQ_TOTAL_DEBT",IQ_FQ,DateToday,,"F",Ccy,Conv)</f>
        <v>42548</v>
      </c>
      <c r="N5" s="4">
        <f>_xll.ciqfunctions.udf.CIQ($A5, "IQ_PREF_EQUITY",IQ_FQ,DateToday,,"F",Ccy,Conv)</f>
        <v>0</v>
      </c>
      <c r="O5" s="4">
        <f>_xll.ciqfunctions.udf.CIQ($A5, "IQ_MINORITY_INTEREST_TOTAL",IQ_FQ,DateToday,,"F",Ccy,Conv)</f>
        <v>0</v>
      </c>
      <c r="P5" s="22">
        <f t="shared" si="6"/>
        <v>164470.07999999999</v>
      </c>
      <c r="Q5" s="4">
        <f>_xll.ciqfunctions.udf.CIQ($A5, "IQ_TOTAL_REV", IQ_FY,DateToday,,,Ccy,Conv)</f>
        <v>41525</v>
      </c>
      <c r="R5" s="4">
        <f>_xll.ciqfunctions.udf.CIQ($A5, "IQ_TOTAL_REV", IQ_LTM,DateToday,,,Ccy,Conv)</f>
        <v>42829</v>
      </c>
      <c r="S5" s="4">
        <f>_xll.ciqfunctions.udf.CIQ($A5, "IQ_REVENUE_EST", IQ_CY+ 1,DateToday,,,Ccy,Conv)</f>
        <v>46105.137549999999</v>
      </c>
      <c r="T5" s="4">
        <f>_xll.ciqfunctions.udf.CIQ($A5, "IQ_REVENUE_EST", IQ_CY+ 2,DateToday,,,Ccy,Conv)</f>
        <v>50541.536410000001</v>
      </c>
      <c r="U5" s="4">
        <f>_xll.ciqfunctions.udf.CIQ($A5, "IQ_EBITDA", IQ_FY,DateToday,,,Ccy,Conv)</f>
        <v>12548</v>
      </c>
      <c r="V5" s="4">
        <f>_xll.ciqfunctions.udf.CIQ($A5, "IQ_EBITDA", IQ_LTM,DateToday,,,Ccy,Conv)</f>
        <v>12895</v>
      </c>
      <c r="W5" s="4">
        <f>_xll.ciqfunctions.udf.CIQ($A5, "IQ_EBITDA_EST", IQ_CY+ 1,DateToday,,,Ccy,Conv)</f>
        <v>17911.74368</v>
      </c>
      <c r="X5" s="4">
        <f>_xll.ciqfunctions.udf.CIQ($A5, "IQ_EBITDA_EST", IQ_CY+ 2,DateToday,,,Ccy,Conv)</f>
        <v>19336.410090000001</v>
      </c>
      <c r="Y5" s="11">
        <f>_xll.ciqfunctions.udf.CIQ($A5, "IQ_DILUT_EPS_EXCL", IQ_FY,DateToday,,,Ccy,Conv)</f>
        <v>7.8</v>
      </c>
      <c r="Z5" s="11">
        <f>_xll.ciqfunctions.udf.CIQ($A5, "IQ_DILUT_EPS_EXCL", IQ_LTM,DateToday,,,Ccy,Conv)</f>
        <v>8.6145700000000005</v>
      </c>
      <c r="AA5" s="11">
        <f>_xll.ciqfunctions.udf.CIQ($A5, "IQ_EPS_EST", IQ_CY+ 1,DateToday,,,Ccy,Conv)</f>
        <v>14.12753</v>
      </c>
      <c r="AB5" s="11">
        <f>_xll.ciqfunctions.udf.CIQ($A5, "IQ_EPS_EST", IQ_CY+ 2,DateToday,,,Ccy,Conv)</f>
        <v>15.51234</v>
      </c>
      <c r="AC5" s="20">
        <f>_xll.ciqfunctions.udf.CIQ($A5, "IQ_TEV_TOTAL_REV",IQ_LTM,#REF!)</f>
        <v>3.84016</v>
      </c>
      <c r="AD5" s="20">
        <f>_xll.ciqfunctions.udf.CIQ($A5, "IQ_TEV_TOTAL_REV",IQ_LTM,DateToday)</f>
        <v>3.84016</v>
      </c>
      <c r="AE5" s="38">
        <f t="shared" si="3"/>
        <v>3.5672831432643668</v>
      </c>
      <c r="AF5" s="38">
        <f t="shared" si="4"/>
        <v>3.2541567131199916</v>
      </c>
      <c r="AG5" s="20">
        <f>_xll.ciqfunctions.udf.CIQ($A5, "IQ_TEV_EBITDA",IQ_LTM,#REF!)</f>
        <v>12.175750000000001</v>
      </c>
      <c r="AH5" s="20">
        <f>_xll.ciqfunctions.udf.CIQ($A5, "IQ_TEV_EBITDA",IQ_LTM,DateToday)</f>
        <v>12.175750000000001</v>
      </c>
      <c r="AI5" s="20">
        <f>_xll.ciqfunctions.udf.CIQ($A5, "IQ_TEV_EBITDA_FWD",IQ_CY+1,DateToday)</f>
        <v>9.1822499999999998</v>
      </c>
      <c r="AJ5" s="20">
        <f>_xll.ciqfunctions.udf.CIQ($A5, "IQ_TEV_EBITDA_FWD",IQ_CY+2,DateToday)</f>
        <v>8.5057200000000002</v>
      </c>
      <c r="AK5" s="20">
        <f>_xll.ciqfunctions.udf.CIQ($A5, "IQ_PE_EXCL",IQ_LTM,#REF!)</f>
        <v>18.958580000000001</v>
      </c>
      <c r="AL5" s="20">
        <f>_xll.ciqfunctions.udf.CIQ($A5, "IQ_PE_EXCL",IQ_LTM,DateToday)</f>
        <v>18.958580000000001</v>
      </c>
      <c r="AM5" s="20">
        <f>_xll.ciqfunctions.udf.CIQ($A5, "IQ_PE_EXCL_FWD",IQ_CY+1,DateToday)</f>
        <v>11.560409999999999</v>
      </c>
      <c r="AN5" s="20">
        <f>_xll.ciqfunctions.udf.CIQ($A5, "IQ_PE_EXCL_FWD",IQ_CY+2,DateToday)</f>
        <v>10.52839</v>
      </c>
      <c r="AO5" s="20">
        <f>_xll.ciqfunctions.udf.CIQ($A5, "IQ_PBV",IQ_LTM,DateToday,)</f>
        <v>3.9070900000000002</v>
      </c>
      <c r="AP5" s="20" t="str">
        <f>_xll.ciqfunctions.udf.CIQ($A5, "IQ_PTBV",IQ_LTM,DateToday,)</f>
        <v>NM</v>
      </c>
      <c r="AQ5" s="4">
        <f>_xll.ciqfunctions.udf.CIQ($A5, "IQ_GROSS_MARGIN", IQ_FY- 2,DateToday,)</f>
        <v>75.497</v>
      </c>
      <c r="AR5" s="4">
        <f>_xll.ciqfunctions.udf.CIQ($A5, "IQ_GROSS_MARGIN", IQ_FY- 1,DateToday,)</f>
        <v>77.1922</v>
      </c>
      <c r="AS5" s="4">
        <f>_xll.ciqfunctions.udf.CIQ($A5, "IQ_GROSS_MARGIN", IQ_FY,DateToday,)</f>
        <v>77.676000000000002</v>
      </c>
      <c r="AT5" s="4">
        <f>_xll.ciqfunctions.udf.CIQ($A5, "IQ_GROSS_MARGIN", IQ_LTM,DateToday,)</f>
        <v>77.643600000000006</v>
      </c>
      <c r="AU5" s="4">
        <f>_xll.ciqfunctions.udf.CIQ($A5, "IQ_EBITDA_MARGIN", IQ_FY- 2,DateToday,)</f>
        <v>28.568100000000001</v>
      </c>
      <c r="AV5" s="4">
        <f>_xll.ciqfunctions.udf.CIQ($A5, "IQ_EBITDA_MARGIN", IQ_FY- 1,DateToday,)</f>
        <v>29.404900000000001</v>
      </c>
      <c r="AW5" s="4">
        <f>_xll.ciqfunctions.udf.CIQ($A5, "IQ_EBITDA_MARGIN", IQ_FY,DateToday,)</f>
        <v>30.2179</v>
      </c>
      <c r="AX5" s="4">
        <f>_xll.ciqfunctions.udf.CIQ($A5, "IQ_EBITDA_MARGIN", IQ_LTM,DateToday,)</f>
        <v>30.1081</v>
      </c>
      <c r="AY5" s="4">
        <f>_xll.ciqfunctions.udf.CIQ($A5, "IQ_NI_MARGIN", IQ_FY- 2,DateToday,)</f>
        <v>11.865600000000001</v>
      </c>
      <c r="AZ5" s="4">
        <f>_xll.ciqfunctions.udf.CIQ($A5, "IQ_NI_MARGIN", IQ_FY- 1,DateToday,)</f>
        <v>16.353000000000002</v>
      </c>
      <c r="BA5" s="4">
        <f>_xll.ciqfunctions.udf.CIQ($A5, "IQ_NI_MARGIN", IQ_FY,DateToday,)</f>
        <v>17.957799999999999</v>
      </c>
      <c r="BB5" s="4">
        <f>_xll.ciqfunctions.udf.CIQ($A5, "IQ_NI_MARGIN", IQ_LTM,DateToday,)</f>
        <v>18.732600000000001</v>
      </c>
      <c r="BC5" s="4">
        <f>_xll.ciqfunctions.udf.CIQ($A5, "IQ_TOTAL_REV_5YR_ANN_CAGR",IQ_LTM,DateToday,)</f>
        <v>13.8917</v>
      </c>
      <c r="BD5" s="4">
        <f>_xll.ciqfunctions.udf.CIQ($A5, "IQ_TOTAL_REV_3YR_ANN_CAGR",IQ_LTM,DateToday,)</f>
        <v>9.9886999999999997</v>
      </c>
      <c r="BE5" s="4">
        <f>_xll.ciqfunctions.udf.CIQ($A5, "IQ_TOTAL_REV_1YR_ANN_GROWTH", IQ_FY,DateToday,)</f>
        <v>9.5791000000000004</v>
      </c>
      <c r="BF5" s="4">
        <f>_xll.ciqfunctions.udf.CIQ($A5, "IQ_TOTAL_REV_1YR_ANN_GROWTH",IQ_LTM,DateToday,)</f>
        <v>10.9818</v>
      </c>
      <c r="BG5" s="4">
        <f>_xll.ciqfunctions.udf.CIQ($A5, "IQ_EBITDA_5YR_ANN_CAGR",IQ_LTM,DateToday,)</f>
        <v>27.533999999999999</v>
      </c>
      <c r="BH5" s="4">
        <f>_xll.ciqfunctions.udf.CIQ($A5, "IQ_EBITDA_3YR_ANN_CAGR",IQ_LTM,DateToday,)</f>
        <v>22.0365</v>
      </c>
      <c r="BI5" s="4">
        <f>_xll.ciqfunctions.udf.CIQ($A5, "IQ_EBITDA_1YR_ANN_GROWTH", IQ_FY,DateToday,)</f>
        <v>12.6088</v>
      </c>
      <c r="BJ5" s="4">
        <f>_xll.ciqfunctions.udf.CIQ($A5, "IQ_EBITDA_1YR_ANN_GROWTH",IQ_LTM,DateToday,)</f>
        <v>13.432399999999999</v>
      </c>
      <c r="BK5" s="4">
        <f>_xll.ciqfunctions.udf.CIQ($A5, "IQ_EPS_5YR_ANN_CAGR",IQ_LTM,DateToday,)</f>
        <v>12.6774</v>
      </c>
      <c r="BL5" s="4">
        <f>_xll.ciqfunctions.udf.CIQ($A5, "IQ_EPS_3YR_ANN_CAGR",IQ_LTM,DateToday,)</f>
        <v>183.19120000000001</v>
      </c>
      <c r="BM5" s="4">
        <f>_xll.ciqfunctions.udf.CIQ($A5, "IQ_EPS_1YR_ANN_GROWTH", IQ_FY,DateToday,)</f>
        <v>22.641500000000001</v>
      </c>
      <c r="BN5" s="4">
        <f>_xll.ciqfunctions.udf.CIQ($A5, "IQ_EPS_1YR_ANN_GROWTH", IQ_LTM,DateToday,)</f>
        <v>34.803600000000003</v>
      </c>
      <c r="BO5" s="20">
        <f>_xll.ciqfunctions.udf.CIQ($A5, "IQ_TOTAL_DEBT_EBITDA",IQ_LTM,DateToday,)</f>
        <v>3.1498400000000002</v>
      </c>
      <c r="BP5" s="20">
        <f>_xll.ciqfunctions.udf.CIQ($A5, "IQ_NET_DEBT_EBITDA",IQ_LTM,DateToday,)</f>
        <v>2.2735400000000001</v>
      </c>
      <c r="BQ5" s="39">
        <f t="shared" si="5"/>
        <v>3.2995734780922836</v>
      </c>
      <c r="BR5" s="20">
        <f>_xll.ciqfunctions.udf.CIQ($A5, "IQ_EBITDA_INT",IQ_LTM,DateToday,)</f>
        <v>22.588629999999998</v>
      </c>
      <c r="BS5" s="20">
        <f>_xll.ciqfunctions.udf.CIQ($A5, "IQ_EBITDA_CAPEX_INT",IQ_LTM,DateToday,)</f>
        <v>21.652170000000002</v>
      </c>
      <c r="BT5" s="4">
        <f>_xll.ciqfunctions.udf.CIQ($A5, "IQ_TOTAL_DEBT_EQUITY",IQ_FQ,DateToday,)</f>
        <v>124.2821</v>
      </c>
      <c r="BU5" s="4">
        <f>_xll.ciqfunctions.udf.CIQ($A5, "IQ_TOTAL_DEBT_CAPITAL",IQ_FQ,DateToday,)</f>
        <v>55.4133</v>
      </c>
      <c r="BV5" s="4">
        <f>_xll.ciqfunctions.udf.CIQ($A5, "IQ_RETURN_EQUITY",IQ_LTM,DateToday)</f>
        <v>16.908100000000001</v>
      </c>
      <c r="BW5" s="4">
        <f>_xll.ciqfunctions.udf.CIQ($A5, "IQ_RETURN_ASSETS",IQ_LTM,DateToday)</f>
        <v>5.7028999999999996</v>
      </c>
      <c r="BX5" s="4">
        <f>_xll.ciqfunctions.udf.CIQ($A5, "IQ_RETURN_INVESTED_CAPITAL",IQ_LTM,DateToday)</f>
        <v>8.6613000000000007</v>
      </c>
      <c r="BY5" s="20">
        <f>_xll.ciqfunctions.udf.CIQ($A5, "IQ_CURRENT_RATIO",IQ_FQ,DateToday,)</f>
        <v>0.78586999999999996</v>
      </c>
      <c r="BZ5" s="20">
        <f>_xll.ciqfunctions.udf.CIQ($A5, "IQ_QUICK_RATIO",IQ_FQ,DateToday,)</f>
        <v>0.61512</v>
      </c>
      <c r="CA5" s="4">
        <f>_xll.ciqfunctions.udf.CIQ($A5, "IQ_DAYS_SALES_OUT",IQ_LTM,DateToday,)</f>
        <v>40.199280000000002</v>
      </c>
      <c r="CB5" s="4">
        <f>_xll.ciqfunctions.udf.CIQ($A5, "IQ_DAYS_INVENTORY_OUT",IQ_LTM,DateToday,)</f>
        <v>0</v>
      </c>
      <c r="CC5" s="4">
        <f>_xll.ciqfunctions.udf.CIQ($A5, "IQ_DAYS_PAYABLE_OUT",IQ_LTM,DateToday,)</f>
        <v>156.00648000000001</v>
      </c>
      <c r="CD5" s="4">
        <f>_xll.ciqfunctions.udf.CIQ($A5, "IQ_CASH_CONVERSION",IQ_LTM,DateToday,)</f>
        <v>0</v>
      </c>
      <c r="CE5" s="20">
        <f>_xll.ciqfunctions.udf.CIQ($A5, "IQ_ASSET_TURNS",IQ_LTM,DateToday,)</f>
        <v>0.41725000000000001</v>
      </c>
      <c r="CF5" s="20">
        <f>_xll.ciqfunctions.udf.CIQ($A5, "IQ_FIXED_ASSET_TURNS",IQ_LTM,DateToday,)</f>
        <v>8.3171199999999992</v>
      </c>
      <c r="CG5" s="20">
        <f>_xll.ciqfunctions.udf.CIQ($A5, "IQ_AR_TURNS",IQ_LTM,DateToday,)</f>
        <v>9.0797100000000004</v>
      </c>
      <c r="CH5" s="20">
        <f>_xll.ciqfunctions.udf.CIQ($A5, "IQ_INVENTORY_TURNS",IQ_LTM,DateToday,)</f>
        <v>0</v>
      </c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</row>
    <row r="6" spans="1:168" s="1" customFormat="1" x14ac:dyDescent="0.2">
      <c r="A6" s="36" t="str">
        <f>_xll.ciqfunctions.udf.CIQ($A$10,"IQ_QUICK_COMP",5)</f>
        <v>NasdaqGS:AMZN</v>
      </c>
      <c r="B6" s="36" t="str">
        <f>_xll.ciqfunctions.udf.CIQ($A6, "IQ_COMPANY_NAME")</f>
        <v>Amazon.com, Inc.</v>
      </c>
      <c r="C6" s="13">
        <f>_xll.ciqfunctions.udf.CIQ($A6,"IQ_PERIODDATE",IQ_FY,DateToday)</f>
        <v>46022</v>
      </c>
      <c r="D6" s="13">
        <f>_xll.ciqfunctions.udf.CIQ($A6,"IQ_PERIODDATE",IQ_LTM,DateToday)</f>
        <v>46112</v>
      </c>
      <c r="E6" s="11">
        <f>_xll.ciqfunctions.udf.CIQ($A6, "IQ_LASTSALEPRICE",DateToday,Ccy,Conv)</f>
        <v>245.34</v>
      </c>
      <c r="F6" s="11">
        <f>_xll.ciqfunctions.udf.CIQ($A6, "IQ_YEARHIGH",DateToday,Ccy,Conv)</f>
        <v>278.56</v>
      </c>
      <c r="G6" s="11">
        <f>_xll.ciqfunctions.udf.CIQ($A6, "IQ_YEARLOW",DateToday,Ccy,Conv)</f>
        <v>196</v>
      </c>
      <c r="H6" s="37">
        <f t="shared" si="0"/>
        <v>0.88074382538770823</v>
      </c>
      <c r="I6" s="37">
        <f t="shared" si="1"/>
        <v>1.2517346938775511</v>
      </c>
      <c r="J6" s="4">
        <f>_xll.ciqfunctions.udf.CIQ($A6, "IQ_SHARESOUTSTANDING",DateToday)</f>
        <v>10757.10944</v>
      </c>
      <c r="K6" s="22">
        <f t="shared" si="2"/>
        <v>2639149.2300096001</v>
      </c>
      <c r="L6" s="4">
        <f>_xll.ciqfunctions.udf.CIQ($A6, "IQ_CASH_ST_INVEST",IQ_FQ,DateToday,,"F",Ccy,Conv)</f>
        <v>143089</v>
      </c>
      <c r="M6" s="4">
        <f>_xll.ciqfunctions.udf.CIQ($A6, "IQ_TOTAL_DEBT",IQ_FQ,DateToday,,"F",Ccy,Conv)</f>
        <v>235540</v>
      </c>
      <c r="N6" s="4">
        <f>_xll.ciqfunctions.udf.CIQ($A6, "IQ_PREF_EQUITY",IQ_FQ,DateToday,,"F",Ccy,Conv)</f>
        <v>0</v>
      </c>
      <c r="O6" s="4">
        <f>_xll.ciqfunctions.udf.CIQ($A6, "IQ_MINORITY_INTEREST_TOTAL",IQ_FQ,DateToday,,"F",Ccy,Conv)</f>
        <v>0</v>
      </c>
      <c r="P6" s="22">
        <f t="shared" si="6"/>
        <v>2731600.2300096001</v>
      </c>
      <c r="Q6" s="4">
        <f>_xll.ciqfunctions.udf.CIQ($A6, "IQ_TOTAL_REV", IQ_FY,DateToday,,,Ccy,Conv)</f>
        <v>716924</v>
      </c>
      <c r="R6" s="4">
        <f>_xll.ciqfunctions.udf.CIQ($A6, "IQ_TOTAL_REV", IQ_LTM,DateToday,,,Ccy,Conv)</f>
        <v>742776</v>
      </c>
      <c r="S6" s="4">
        <f>_xll.ciqfunctions.udf.CIQ($A6, "IQ_REVENUE_EST", IQ_CY+ 1,DateToday,,,Ccy,Conv)</f>
        <v>823239.04992999998</v>
      </c>
      <c r="T6" s="4">
        <f>_xll.ciqfunctions.udf.CIQ($A6, "IQ_REVENUE_EST", IQ_CY+ 2,DateToday,,,Ccy,Conv)</f>
        <v>930624.32652</v>
      </c>
      <c r="U6" s="4">
        <f>_xll.ciqfunctions.udf.CIQ($A6, "IQ_EBITDA", IQ_FY,DateToday,,,Ccy,Conv)</f>
        <v>145731</v>
      </c>
      <c r="V6" s="4">
        <f>_xll.ciqfunctions.udf.CIQ($A6, "IQ_EBITDA", IQ_LTM,DateToday,,,Ccy,Conv)</f>
        <v>155861</v>
      </c>
      <c r="W6" s="4">
        <f>_xll.ciqfunctions.udf.CIQ($A6, "IQ_EBITDA_EST", IQ_CY+ 1,DateToday,,,Ccy,Conv)</f>
        <v>211209.21062</v>
      </c>
      <c r="X6" s="4">
        <f>_xll.ciqfunctions.udf.CIQ($A6, "IQ_EBITDA_EST", IQ_CY+ 2,DateToday,,,Ccy,Conv)</f>
        <v>261910.74098999999</v>
      </c>
      <c r="Y6" s="11">
        <f>_xll.ciqfunctions.udf.CIQ($A6, "IQ_DILUT_EPS_EXCL", IQ_FY,DateToday,,,Ccy,Conv)</f>
        <v>7.17</v>
      </c>
      <c r="Z6" s="11">
        <f>_xll.ciqfunctions.udf.CIQ($A6, "IQ_DILUT_EPS_EXCL", IQ_LTM,DateToday,,,Ccy,Conv)</f>
        <v>8.3614200000000007</v>
      </c>
      <c r="AA6" s="11">
        <f>_xll.ciqfunctions.udf.CIQ($A6, "IQ_EPS_EST", IQ_CY+ 1,DateToday,,,Ccy,Conv)</f>
        <v>8.6917200000000001</v>
      </c>
      <c r="AB6" s="11">
        <f>_xll.ciqfunctions.udf.CIQ($A6, "IQ_EPS_EST", IQ_CY+ 2,DateToday,,,Ccy,Conv)</f>
        <v>9.8919200000000007</v>
      </c>
      <c r="AC6" s="20">
        <f>_xll.ciqfunctions.udf.CIQ($A6, "IQ_TEV_TOTAL_REV",IQ_LTM,#REF!)</f>
        <v>3.6775600000000002</v>
      </c>
      <c r="AD6" s="20">
        <f>_xll.ciqfunctions.udf.CIQ($A6, "IQ_TEV_TOTAL_REV",IQ_LTM,DateToday)</f>
        <v>3.6775600000000002</v>
      </c>
      <c r="AE6" s="38">
        <f t="shared" si="3"/>
        <v>3.3181130441296096</v>
      </c>
      <c r="AF6" s="38">
        <f t="shared" si="4"/>
        <v>2.9352340704698903</v>
      </c>
      <c r="AG6" s="20">
        <f>_xll.ciqfunctions.udf.CIQ($A6, "IQ_TEV_EBITDA",IQ_LTM,#REF!)</f>
        <v>15.81611</v>
      </c>
      <c r="AH6" s="20">
        <f>_xll.ciqfunctions.udf.CIQ($A6, "IQ_TEV_EBITDA",IQ_LTM,DateToday)</f>
        <v>15.81611</v>
      </c>
      <c r="AI6" s="20">
        <f>_xll.ciqfunctions.udf.CIQ($A6, "IQ_TEV_EBITDA_FWD",IQ_CY+1,DateToday)</f>
        <v>12.933149999999999</v>
      </c>
      <c r="AJ6" s="20">
        <f>_xll.ciqfunctions.udf.CIQ($A6, "IQ_TEV_EBITDA_FWD",IQ_CY+2,DateToday)</f>
        <v>10.429510000000001</v>
      </c>
      <c r="AK6" s="20">
        <f>_xll.ciqfunctions.udf.CIQ($A6, "IQ_PE_EXCL",IQ_LTM,#REF!)</f>
        <v>29.341899999999999</v>
      </c>
      <c r="AL6" s="20">
        <f>_xll.ciqfunctions.udf.CIQ($A6, "IQ_PE_EXCL",IQ_LTM,DateToday)</f>
        <v>29.341899999999999</v>
      </c>
      <c r="AM6" s="20">
        <f>_xll.ciqfunctions.udf.CIQ($A6, "IQ_PE_EXCL_FWD",IQ_CY+1,DateToday)</f>
        <v>28.226859999999999</v>
      </c>
      <c r="AN6" s="20">
        <f>_xll.ciqfunctions.udf.CIQ($A6, "IQ_PE_EXCL_FWD",IQ_CY+2,DateToday)</f>
        <v>24.802060000000001</v>
      </c>
      <c r="AO6" s="20">
        <f>_xll.ciqfunctions.udf.CIQ($A6, "IQ_PBV",IQ_LTM,DateToday,)</f>
        <v>5.9703600000000003</v>
      </c>
      <c r="AP6" s="20">
        <f>_xll.ciqfunctions.udf.CIQ($A6, "IQ_PTBV",IQ_LTM,DateToday,)</f>
        <v>6.3049200000000001</v>
      </c>
      <c r="AQ6" s="4">
        <f>_xll.ciqfunctions.udf.CIQ($A6, "IQ_GROSS_MARGIN", IQ_FY- 2,DateToday,)</f>
        <v>46.981999999999999</v>
      </c>
      <c r="AR6" s="4">
        <f>_xll.ciqfunctions.udf.CIQ($A6, "IQ_GROSS_MARGIN", IQ_FY- 1,DateToday,)</f>
        <v>48.854300000000002</v>
      </c>
      <c r="AS6" s="4">
        <f>_xll.ciqfunctions.udf.CIQ($A6, "IQ_GROSS_MARGIN", IQ_FY,DateToday,)</f>
        <v>50.285600000000002</v>
      </c>
      <c r="AT6" s="4">
        <f>_xll.ciqfunctions.udf.CIQ($A6, "IQ_GROSS_MARGIN", IQ_LTM,DateToday,)</f>
        <v>50.603999999999999</v>
      </c>
      <c r="AU6" s="4">
        <f>_xll.ciqfunctions.udf.CIQ($A6, "IQ_EBITDA_MARGIN", IQ_FY- 2,DateToday,)</f>
        <v>14.877700000000001</v>
      </c>
      <c r="AV6" s="4">
        <f>_xll.ciqfunctions.udf.CIQ($A6, "IQ_EBITDA_MARGIN", IQ_FY- 1,DateToday,)</f>
        <v>19.0275</v>
      </c>
      <c r="AW6" s="4">
        <f>_xll.ciqfunctions.udf.CIQ($A6, "IQ_EBITDA_MARGIN", IQ_FY,DateToday,)</f>
        <v>20.327200000000001</v>
      </c>
      <c r="AX6" s="4">
        <f>_xll.ciqfunctions.udf.CIQ($A6, "IQ_EBITDA_MARGIN", IQ_LTM,DateToday,)</f>
        <v>20.983499999999999</v>
      </c>
      <c r="AY6" s="4">
        <f>_xll.ciqfunctions.udf.CIQ($A6, "IQ_NI_MARGIN", IQ_FY- 2,DateToday,)</f>
        <v>5.2931999999999997</v>
      </c>
      <c r="AZ6" s="4">
        <f>_xll.ciqfunctions.udf.CIQ($A6, "IQ_NI_MARGIN", IQ_FY- 1,DateToday,)</f>
        <v>9.2871000000000006</v>
      </c>
      <c r="BA6" s="4">
        <f>_xll.ciqfunctions.udf.CIQ($A6, "IQ_NI_MARGIN", IQ_FY,DateToday,)</f>
        <v>10.8337</v>
      </c>
      <c r="BB6" s="4">
        <f>_xll.ciqfunctions.udf.CIQ($A6, "IQ_NI_MARGIN", IQ_LTM,DateToday,)</f>
        <v>12.2241</v>
      </c>
      <c r="BC6" s="4">
        <f>_xll.ciqfunctions.udf.CIQ($A6, "IQ_TOTAL_REV_5YR_ANN_CAGR",IQ_LTM,DateToday,)</f>
        <v>12.1248</v>
      </c>
      <c r="BD6" s="4">
        <f>_xll.ciqfunctions.udf.CIQ($A6, "IQ_TOTAL_REV_3YR_ANN_CAGR",IQ_LTM,DateToday,)</f>
        <v>12.269399999999999</v>
      </c>
      <c r="BE6" s="4">
        <f>_xll.ciqfunctions.udf.CIQ($A6, "IQ_TOTAL_REV_1YR_ANN_GROWTH", IQ_FY,DateToday,)</f>
        <v>12.377700000000001</v>
      </c>
      <c r="BF6" s="4">
        <f>_xll.ciqfunctions.udf.CIQ($A6, "IQ_TOTAL_REV_1YR_ANN_GROWTH",IQ_LTM,DateToday,)</f>
        <v>14.2182</v>
      </c>
      <c r="BG6" s="4">
        <f>_xll.ciqfunctions.udf.CIQ($A6, "IQ_EBITDA_5YR_ANN_CAGR",IQ_LTM,DateToday,)</f>
        <v>23.084599999999998</v>
      </c>
      <c r="BH6" s="4">
        <f>_xll.ciqfunctions.udf.CIQ($A6, "IQ_EBITDA_3YR_ANN_CAGR",IQ_LTM,DateToday,)</f>
        <v>38.9373</v>
      </c>
      <c r="BI6" s="4">
        <f>_xll.ciqfunctions.udf.CIQ($A6, "IQ_EBITDA_1YR_ANN_GROWTH", IQ_FY,DateToday,)</f>
        <v>20.053799999999999</v>
      </c>
      <c r="BJ6" s="4">
        <f>_xll.ciqfunctions.udf.CIQ($A6, "IQ_EBITDA_1YR_ANN_GROWTH",IQ_LTM,DateToday,)</f>
        <v>22.6633</v>
      </c>
      <c r="BK6" s="4">
        <f>_xll.ciqfunctions.udf.CIQ($A6, "IQ_EPS_5YR_ANN_CAGR",IQ_LTM,DateToday,)</f>
        <v>26.0457</v>
      </c>
      <c r="BL6" s="4">
        <f>_xll.ciqfunctions.udf.CIQ($A6, "IQ_EPS_3YR_ANN_CAGR",IQ_LTM,DateToday,)</f>
        <v>170.89259999999999</v>
      </c>
      <c r="BM6" s="4">
        <f>_xll.ciqfunctions.udf.CIQ($A6, "IQ_EPS_1YR_ANN_GROWTH", IQ_FY,DateToday,)</f>
        <v>29.656400000000001</v>
      </c>
      <c r="BN6" s="4">
        <f>_xll.ciqfunctions.udf.CIQ($A6, "IQ_EPS_1YR_ANN_GROWTH", IQ_LTM,DateToday,)</f>
        <v>36.229700000000001</v>
      </c>
      <c r="BO6" s="20">
        <f>_xll.ciqfunctions.udf.CIQ($A6, "IQ_TOTAL_DEBT_EBITDA",IQ_LTM,DateToday,)</f>
        <v>1.35927</v>
      </c>
      <c r="BP6" s="20">
        <f>_xll.ciqfunctions.udf.CIQ($A6, "IQ_NET_DEBT_EBITDA",IQ_LTM,DateToday,)</f>
        <v>0.53351999999999999</v>
      </c>
      <c r="BQ6" s="39">
        <f t="shared" si="5"/>
        <v>1.5112183291522574</v>
      </c>
      <c r="BR6" s="20">
        <f>_xll.ciqfunctions.udf.CIQ($A6, "IQ_EBITDA_INT",IQ_LTM,DateToday,)</f>
        <v>68.410579999999996</v>
      </c>
      <c r="BS6" s="20">
        <f>_xll.ciqfunctions.udf.CIQ($A6, "IQ_EBITDA_CAPEX_INT",IQ_LTM,DateToday,)</f>
        <v>8.7962900000000008</v>
      </c>
      <c r="BT6" s="4">
        <f>_xll.ciqfunctions.udf.CIQ($A6, "IQ_TOTAL_DEBT_EQUITY",IQ_FQ,DateToday,)</f>
        <v>53.299900000000001</v>
      </c>
      <c r="BU6" s="4">
        <f>_xll.ciqfunctions.udf.CIQ($A6, "IQ_TOTAL_DEBT_CAPITAL",IQ_FQ,DateToday,)</f>
        <v>34.7684</v>
      </c>
      <c r="BV6" s="4">
        <f>_xll.ciqfunctions.udf.CIQ($A6, "IQ_RETURN_EQUITY",IQ_LTM,DateToday)</f>
        <v>24.284600000000001</v>
      </c>
      <c r="BW6" s="4">
        <f>_xll.ciqfunctions.udf.CIQ($A6, "IQ_RETURN_ASSETS",IQ_LTM,DateToday)</f>
        <v>6.8452000000000002</v>
      </c>
      <c r="BX6" s="4">
        <f>_xll.ciqfunctions.udf.CIQ($A6, "IQ_RETURN_INVESTED_CAPITAL",IQ_LTM,DateToday)</f>
        <v>15.9116</v>
      </c>
      <c r="BY6" s="20">
        <f>_xll.ciqfunctions.udf.CIQ($A6, "IQ_CURRENT_RATIO",IQ_FQ,DateToday,)</f>
        <v>1.1771499999999999</v>
      </c>
      <c r="BZ6" s="20">
        <f>_xll.ciqfunctions.udf.CIQ($A6, "IQ_QUICK_RATIO",IQ_FQ,DateToday,)</f>
        <v>0.97385999999999995</v>
      </c>
      <c r="CA6" s="4">
        <f>_xll.ciqfunctions.udf.CIQ($A6, "IQ_DAYS_SALES_OUT",IQ_LTM,DateToday,)</f>
        <v>25.626290000000001</v>
      </c>
      <c r="CB6" s="4">
        <f>_xll.ciqfunctions.udf.CIQ($A6, "IQ_DAYS_INVENTORY_OUT",IQ_LTM,DateToday,)</f>
        <v>36.011270000000003</v>
      </c>
      <c r="CC6" s="4">
        <f>_xll.ciqfunctions.udf.CIQ($A6, "IQ_DAYS_PAYABLE_OUT",IQ_LTM,DateToday,)</f>
        <v>106.24639000000001</v>
      </c>
      <c r="CD6" s="4">
        <f>_xll.ciqfunctions.udf.CIQ($A6, "IQ_CASH_CONVERSION",IQ_LTM,DateToday,)</f>
        <v>-44.608840000000001</v>
      </c>
      <c r="CE6" s="20">
        <f>_xll.ciqfunctions.udf.CIQ($A6, "IQ_ASSET_TURNS",IQ_LTM,DateToday,)</f>
        <v>0.95235000000000003</v>
      </c>
      <c r="CF6" s="20">
        <f>_xll.ciqfunctions.udf.CIQ($A6, "IQ_FIXED_ASSET_TURNS",IQ_LTM,DateToday,)</f>
        <v>1.7738499999999999</v>
      </c>
      <c r="CG6" s="20">
        <f>_xll.ciqfunctions.udf.CIQ($A6, "IQ_AR_TURNS",IQ_LTM,DateToday,)</f>
        <v>14.243069999999999</v>
      </c>
      <c r="CH6" s="20">
        <f>_xll.ciqfunctions.udf.CIQ($A6, "IQ_INVENTORY_TURNS",IQ_LTM,DateToday,)</f>
        <v>10.135669999999999</v>
      </c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</row>
    <row r="7" spans="1:168" s="1" customFormat="1" x14ac:dyDescent="0.2">
      <c r="A7" s="36" t="str">
        <f>_xll.ciqfunctions.udf.CIQ($A$10,"IQ_QUICK_COMP",6)</f>
        <v>NYSE:NOW</v>
      </c>
      <c r="B7" s="36" t="str">
        <f>_xll.ciqfunctions.udf.CIQ($A7, "IQ_COMPANY_NAME")</f>
        <v>ServiceNow, Inc.</v>
      </c>
      <c r="C7" s="13">
        <f>_xll.ciqfunctions.udf.CIQ($A7,"IQ_PERIODDATE",IQ_FY,DateToday)</f>
        <v>46022</v>
      </c>
      <c r="D7" s="13">
        <f>_xll.ciqfunctions.udf.CIQ($A7,"IQ_PERIODDATE",IQ_LTM,DateToday)</f>
        <v>46112</v>
      </c>
      <c r="E7" s="11">
        <f>_xll.ciqfunctions.udf.CIQ($A7, "IQ_LASTSALEPRICE",DateToday,Ccy,Conv)</f>
        <v>107.71</v>
      </c>
      <c r="F7" s="11">
        <f>_xll.ciqfunctions.udf.CIQ($A7, "IQ_YEARHIGH",DateToday,Ccy,Conv)</f>
        <v>210.2</v>
      </c>
      <c r="G7" s="11">
        <f>_xll.ciqfunctions.udf.CIQ($A7, "IQ_YEARLOW",DateToday,Ccy,Conv)</f>
        <v>81.239999999999995</v>
      </c>
      <c r="H7" s="37">
        <f t="shared" si="0"/>
        <v>0.51241674595623221</v>
      </c>
      <c r="I7" s="37">
        <f t="shared" si="1"/>
        <v>1.3258247168882324</v>
      </c>
      <c r="J7" s="4">
        <f>_xll.ciqfunctions.udf.CIQ($A7, "IQ_SHARESOUTSTANDING",DateToday)</f>
        <v>1031.308</v>
      </c>
      <c r="K7" s="22">
        <f t="shared" si="2"/>
        <v>111082.18467999999</v>
      </c>
      <c r="L7" s="4">
        <f>_xll.ciqfunctions.udf.CIQ($A7, "IQ_CASH_ST_INVEST",IQ_FQ,DateToday,,"F",Ccy,Conv)</f>
        <v>5182</v>
      </c>
      <c r="M7" s="4">
        <f>_xll.ciqfunctions.udf.CIQ($A7, "IQ_TOTAL_DEBT",IQ_FQ,DateToday,,"F",Ccy,Conv)</f>
        <v>2431</v>
      </c>
      <c r="N7" s="4">
        <f>_xll.ciqfunctions.udf.CIQ($A7, "IQ_PREF_EQUITY",IQ_FQ,DateToday,,"F",Ccy,Conv)</f>
        <v>0</v>
      </c>
      <c r="O7" s="4">
        <f>_xll.ciqfunctions.udf.CIQ($A7, "IQ_MINORITY_INTEREST_TOTAL",IQ_FQ,DateToday,,"F",Ccy,Conv)</f>
        <v>0</v>
      </c>
      <c r="P7" s="22">
        <f t="shared" si="6"/>
        <v>108331.18467999999</v>
      </c>
      <c r="Q7" s="4">
        <f>_xll.ciqfunctions.udf.CIQ($A7, "IQ_TOTAL_REV", IQ_FY,DateToday,,,Ccy,Conv)</f>
        <v>13278</v>
      </c>
      <c r="R7" s="4">
        <f>_xll.ciqfunctions.udf.CIQ($A7, "IQ_TOTAL_REV", IQ_LTM,DateToday,,,Ccy,Conv)</f>
        <v>13960</v>
      </c>
      <c r="S7" s="4">
        <f>_xll.ciqfunctions.udf.CIQ($A7, "IQ_REVENUE_EST", IQ_CY+ 1,DateToday,,,Ccy,Conv)</f>
        <v>16199.404850000001</v>
      </c>
      <c r="T7" s="4">
        <f>_xll.ciqfunctions.udf.CIQ($A7, "IQ_REVENUE_EST", IQ_CY+ 2,DateToday,,,Ccy,Conv)</f>
        <v>19222.050950000001</v>
      </c>
      <c r="U7" s="4">
        <f>_xll.ciqfunctions.udf.CIQ($A7, "IQ_EBITDA", IQ_FY,DateToday,,,Ccy,Conv)</f>
        <v>2738</v>
      </c>
      <c r="V7" s="4">
        <f>_xll.ciqfunctions.udf.CIQ($A7, "IQ_EBITDA", IQ_LTM,DateToday,,,Ccy,Conv)</f>
        <v>2888</v>
      </c>
      <c r="W7" s="4">
        <f>_xll.ciqfunctions.udf.CIQ($A7, "IQ_EBITDA_EST", IQ_CY+ 1,DateToday,,,Ccy,Conv)</f>
        <v>5893.1201899999996</v>
      </c>
      <c r="X7" s="4">
        <f>_xll.ciqfunctions.udf.CIQ($A7, "IQ_EBITDA_EST", IQ_CY+ 2,DateToday,,,Ccy,Conv)</f>
        <v>7113.9478399999998</v>
      </c>
      <c r="Y7" s="11">
        <f>_xll.ciqfunctions.udf.CIQ($A7, "IQ_DILUT_EPS_EXCL", IQ_FY,DateToday,,,Ccy,Conv)</f>
        <v>1.67</v>
      </c>
      <c r="Z7" s="11">
        <f>_xll.ciqfunctions.udf.CIQ($A7, "IQ_DILUT_EPS_EXCL", IQ_LTM,DateToday,,,Ccy,Conv)</f>
        <v>1.6798</v>
      </c>
      <c r="AA7" s="11">
        <f>_xll.ciqfunctions.udf.CIQ($A7, "IQ_EPS_EST", IQ_CY+ 1,DateToday,,,Ccy,Conv)</f>
        <v>4.1227499999999999</v>
      </c>
      <c r="AB7" s="11">
        <f>_xll.ciqfunctions.udf.CIQ($A7, "IQ_EPS_EST", IQ_CY+ 2,DateToday,,,Ccy,Conv)</f>
        <v>5.0252600000000003</v>
      </c>
      <c r="AC7" s="20">
        <f>_xll.ciqfunctions.udf.CIQ($A7, "IQ_TEV_TOTAL_REV",IQ_LTM,#REF!)</f>
        <v>7.5649800000000003</v>
      </c>
      <c r="AD7" s="20">
        <f>_xll.ciqfunctions.udf.CIQ($A7, "IQ_TEV_TOTAL_REV",IQ_LTM,DateToday)</f>
        <v>7.5649800000000003</v>
      </c>
      <c r="AE7" s="38">
        <f t="shared" si="3"/>
        <v>6.6873558431993869</v>
      </c>
      <c r="AF7" s="38">
        <f t="shared" si="4"/>
        <v>5.6357765860567541</v>
      </c>
      <c r="AG7" s="20">
        <f>_xll.ciqfunctions.udf.CIQ($A7, "IQ_TEV_EBITDA",IQ_LTM,#REF!)</f>
        <v>34.727780000000003</v>
      </c>
      <c r="AH7" s="20">
        <f>_xll.ciqfunctions.udf.CIQ($A7, "IQ_TEV_EBITDA",IQ_LTM,DateToday)</f>
        <v>34.727780000000003</v>
      </c>
      <c r="AI7" s="20">
        <f>_xll.ciqfunctions.udf.CIQ($A7, "IQ_TEV_EBITDA_FWD",IQ_CY+1,DateToday)</f>
        <v>17.92042</v>
      </c>
      <c r="AJ7" s="20">
        <f>_xll.ciqfunctions.udf.CIQ($A7, "IQ_TEV_EBITDA_FWD",IQ_CY+2,DateToday)</f>
        <v>14.845090000000001</v>
      </c>
      <c r="AK7" s="20">
        <f>_xll.ciqfunctions.udf.CIQ($A7, "IQ_PE_EXCL",IQ_LTM,#REF!)</f>
        <v>64.120689999999996</v>
      </c>
      <c r="AL7" s="20">
        <f>_xll.ciqfunctions.udf.CIQ($A7, "IQ_PE_EXCL",IQ_LTM,DateToday)</f>
        <v>64.120689999999996</v>
      </c>
      <c r="AM7" s="20">
        <f>_xll.ciqfunctions.udf.CIQ($A7, "IQ_PE_EXCL_FWD",IQ_CY+1,DateToday)</f>
        <v>26.125769999999999</v>
      </c>
      <c r="AN7" s="20">
        <f>_xll.ciqfunctions.udf.CIQ($A7, "IQ_PE_EXCL_FWD",IQ_CY+2,DateToday)</f>
        <v>21.433720000000001</v>
      </c>
      <c r="AO7" s="20">
        <f>_xll.ciqfunctions.udf.CIQ($A7, "IQ_PBV",IQ_LTM,DateToday,)</f>
        <v>9.4715399999999992</v>
      </c>
      <c r="AP7" s="20">
        <f>_xll.ciqfunctions.udf.CIQ($A7, "IQ_PTBV",IQ_LTM,DateToday,)</f>
        <v>19.460789999999999</v>
      </c>
      <c r="AQ7" s="4">
        <f>_xll.ciqfunctions.udf.CIQ($A7, "IQ_GROSS_MARGIN", IQ_FY- 2,DateToday,)</f>
        <v>78.586500000000001</v>
      </c>
      <c r="AR7" s="4">
        <f>_xll.ciqfunctions.udf.CIQ($A7, "IQ_GROSS_MARGIN", IQ_FY- 1,DateToday,)</f>
        <v>79.178799999999995</v>
      </c>
      <c r="AS7" s="4">
        <f>_xll.ciqfunctions.udf.CIQ($A7, "IQ_GROSS_MARGIN", IQ_FY,DateToday,)</f>
        <v>77.534199999999998</v>
      </c>
      <c r="AT7" s="4">
        <f>_xll.ciqfunctions.udf.CIQ($A7, "IQ_GROSS_MARGIN", IQ_LTM,DateToday,)</f>
        <v>76.561599999999999</v>
      </c>
      <c r="AU7" s="4">
        <f>_xll.ciqfunctions.udf.CIQ($A7, "IQ_EBITDA_MARGIN", IQ_FY- 2,DateToday,)</f>
        <v>15.1822</v>
      </c>
      <c r="AV7" s="4">
        <f>_xll.ciqfunctions.udf.CIQ($A7, "IQ_EBITDA_MARGIN", IQ_FY- 1,DateToday,)</f>
        <v>17.853200000000001</v>
      </c>
      <c r="AW7" s="4">
        <f>_xll.ciqfunctions.udf.CIQ($A7, "IQ_EBITDA_MARGIN", IQ_FY,DateToday,)</f>
        <v>20.6205</v>
      </c>
      <c r="AX7" s="4">
        <f>_xll.ciqfunctions.udf.CIQ($A7, "IQ_EBITDA_MARGIN", IQ_LTM,DateToday,)</f>
        <v>20.6876</v>
      </c>
      <c r="AY7" s="4">
        <f>_xll.ciqfunctions.udf.CIQ($A7, "IQ_NI_MARGIN", IQ_FY- 2,DateToday,)</f>
        <v>19.295500000000001</v>
      </c>
      <c r="AZ7" s="4">
        <f>_xll.ciqfunctions.udf.CIQ($A7, "IQ_NI_MARGIN", IQ_FY- 1,DateToday,)</f>
        <v>12.9734</v>
      </c>
      <c r="BA7" s="4">
        <f>_xll.ciqfunctions.udf.CIQ($A7, "IQ_NI_MARGIN", IQ_FY,DateToday,)</f>
        <v>13.1646</v>
      </c>
      <c r="BB7" s="4">
        <f>_xll.ciqfunctions.udf.CIQ($A7, "IQ_NI_MARGIN", IQ_LTM,DateToday,)</f>
        <v>12.585900000000001</v>
      </c>
      <c r="BC7" s="4">
        <f>_xll.ciqfunctions.udf.CIQ($A7, "IQ_TOTAL_REV_5YR_ANN_CAGR",IQ_LTM,DateToday,)</f>
        <v>23.6328</v>
      </c>
      <c r="BD7" s="4">
        <f>_xll.ciqfunctions.udf.CIQ($A7, "IQ_TOTAL_REV_3YR_ANN_CAGR",IQ_LTM,DateToday,)</f>
        <v>22.366499999999998</v>
      </c>
      <c r="BE7" s="4">
        <f>_xll.ciqfunctions.udf.CIQ($A7, "IQ_TOTAL_REV_1YR_ANN_GROWTH", IQ_FY,DateToday,)</f>
        <v>20.884899999999998</v>
      </c>
      <c r="BF7" s="4">
        <f>_xll.ciqfunctions.udf.CIQ($A7, "IQ_TOTAL_REV_1YR_ANN_GROWTH",IQ_LTM,DateToday,)</f>
        <v>21.7194</v>
      </c>
      <c r="BG7" s="4">
        <f>_xll.ciqfunctions.udf.CIQ($A7, "IQ_EBITDA_5YR_ANN_CAGR",IQ_LTM,DateToday,)</f>
        <v>36.341299999999997</v>
      </c>
      <c r="BH7" s="4">
        <f>_xll.ciqfunctions.udf.CIQ($A7, "IQ_EBITDA_3YR_ANN_CAGR",IQ_LTM,DateToday,)</f>
        <v>49.1738</v>
      </c>
      <c r="BI7" s="4">
        <f>_xll.ciqfunctions.udf.CIQ($A7, "IQ_EBITDA_1YR_ANN_GROWTH", IQ_FY,DateToday,)</f>
        <v>39.622599999999998</v>
      </c>
      <c r="BJ7" s="4">
        <f>_xll.ciqfunctions.udf.CIQ($A7, "IQ_EBITDA_1YR_ANN_GROWTH",IQ_LTM,DateToday,)</f>
        <v>36.872</v>
      </c>
      <c r="BK7" s="4">
        <f>_xll.ciqfunctions.udf.CIQ($A7, "IQ_EPS_5YR_ANN_CAGR",IQ_LTM,DateToday,)</f>
        <v>61.673099999999998</v>
      </c>
      <c r="BL7" s="4">
        <f>_xll.ciqfunctions.udf.CIQ($A7, "IQ_EPS_3YR_ANN_CAGR",IQ_LTM,DateToday,)</f>
        <v>62.414999999999999</v>
      </c>
      <c r="BM7" s="4">
        <f>_xll.ciqfunctions.udf.CIQ($A7, "IQ_EPS_1YR_ANN_GROWTH", IQ_FY,DateToday,)</f>
        <v>21.8978</v>
      </c>
      <c r="BN7" s="4">
        <f>_xll.ciqfunctions.udf.CIQ($A7, "IQ_EPS_1YR_ANN_GROWTH", IQ_LTM,DateToday,)</f>
        <v>13.792299999999999</v>
      </c>
      <c r="BO7" s="20">
        <f>_xll.ciqfunctions.udf.CIQ($A7, "IQ_TOTAL_DEBT_EBITDA",IQ_LTM,DateToday,)</f>
        <v>0.79940999999999995</v>
      </c>
      <c r="BP7" s="20" t="str">
        <f>_xll.ciqfunctions.udf.CIQ($A7, "IQ_NET_DEBT_EBITDA",IQ_LTM,DateToday,)</f>
        <v>NM</v>
      </c>
      <c r="BQ7" s="39">
        <f t="shared" si="5"/>
        <v>0.84175900277008309</v>
      </c>
      <c r="BR7" s="20">
        <f>_xll.ciqfunctions.udf.CIQ($A7, "IQ_EBITDA_INT",IQ_LTM,DateToday,)</f>
        <v>132.21738999999999</v>
      </c>
      <c r="BS7" s="20">
        <f>_xll.ciqfunctions.udf.CIQ($A7, "IQ_EBITDA_CAPEX_INT",IQ_LTM,DateToday,)</f>
        <v>97.260869999999997</v>
      </c>
      <c r="BT7" s="4">
        <f>_xll.ciqfunctions.udf.CIQ($A7, "IQ_TOTAL_DEBT_EQUITY",IQ_FQ,DateToday,)</f>
        <v>20.728100000000001</v>
      </c>
      <c r="BU7" s="4">
        <f>_xll.ciqfunctions.udf.CIQ($A7, "IQ_TOTAL_DEBT_CAPITAL",IQ_FQ,DateToday,)</f>
        <v>17.1692</v>
      </c>
      <c r="BV7" s="4">
        <f>_xll.ciqfunctions.udf.CIQ($A7, "IQ_RETURN_EQUITY",IQ_LTM,DateToday)</f>
        <v>16.069800000000001</v>
      </c>
      <c r="BW7" s="4">
        <f>_xll.ciqfunctions.udf.CIQ($A7, "IQ_RETURN_ASSETS",IQ_LTM,DateToday)</f>
        <v>5.6555999999999997</v>
      </c>
      <c r="BX7" s="4">
        <f>_xll.ciqfunctions.udf.CIQ($A7, "IQ_RETURN_INVESTED_CAPITAL",IQ_LTM,DateToday)</f>
        <v>13.1625</v>
      </c>
      <c r="BY7" s="20">
        <f>_xll.ciqfunctions.udf.CIQ($A7, "IQ_CURRENT_RATIO",IQ_FQ,DateToday,)</f>
        <v>0.84494000000000002</v>
      </c>
      <c r="BZ7" s="20">
        <f>_xll.ciqfunctions.udf.CIQ($A7, "IQ_QUICK_RATIO",IQ_FQ,DateToday,)</f>
        <v>0.69067000000000001</v>
      </c>
      <c r="CA7" s="4">
        <f>_xll.ciqfunctions.udf.CIQ($A7, "IQ_DAYS_SALES_OUT",IQ_LTM,DateToday,)</f>
        <v>40.160220000000002</v>
      </c>
      <c r="CB7" s="4">
        <f>_xll.ciqfunctions.udf.CIQ($A7, "IQ_DAYS_INVENTORY_OUT",IQ_LTM,DateToday,)</f>
        <v>0</v>
      </c>
      <c r="CC7" s="4">
        <f>_xll.ciqfunctions.udf.CIQ($A7, "IQ_DAYS_PAYABLE_OUT",IQ_LTM,DateToday,)</f>
        <v>41.051189999999998</v>
      </c>
      <c r="CD7" s="4">
        <f>_xll.ciqfunctions.udf.CIQ($A7, "IQ_CASH_CONVERSION",IQ_LTM,DateToday,)</f>
        <v>0</v>
      </c>
      <c r="CE7" s="20">
        <f>_xll.ciqfunctions.udf.CIQ($A7, "IQ_ASSET_TURNS",IQ_LTM,DateToday,)</f>
        <v>0.61561999999999995</v>
      </c>
      <c r="CF7" s="20">
        <f>_xll.ciqfunctions.udf.CIQ($A7, "IQ_FIXED_ASSET_TURNS",IQ_LTM,DateToday,)</f>
        <v>4.8338000000000001</v>
      </c>
      <c r="CG7" s="20">
        <f>_xll.ciqfunctions.udf.CIQ($A7, "IQ_AR_TURNS",IQ_LTM,DateToday,)</f>
        <v>9.0885400000000001</v>
      </c>
      <c r="CH7" s="20">
        <f>_xll.ciqfunctions.udf.CIQ($A7, "IQ_INVENTORY_TURNS",IQ_LTM,DateToday,)</f>
        <v>0</v>
      </c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</row>
    <row r="8" spans="1:168" s="1" customFormat="1" x14ac:dyDescent="0.2">
      <c r="A8" s="36" t="str">
        <f>_xll.ciqfunctions.udf.CIQ($A$10,"IQ_QUICK_COMP",7)</f>
        <v>NYSE:SNOW</v>
      </c>
      <c r="B8" s="36" t="str">
        <f>_xll.ciqfunctions.udf.CIQ($A8, "IQ_COMPANY_NAME")</f>
        <v>Snowflake Inc.</v>
      </c>
      <c r="C8" s="13">
        <f>_xll.ciqfunctions.udf.CIQ($A8,"IQ_PERIODDATE",IQ_FY,DateToday)</f>
        <v>46053</v>
      </c>
      <c r="D8" s="13">
        <f>_xll.ciqfunctions.udf.CIQ($A8,"IQ_PERIODDATE",IQ_LTM,DateToday)</f>
        <v>46142</v>
      </c>
      <c r="E8" s="11">
        <f>_xll.ciqfunctions.udf.CIQ($A8, "IQ_LASTSALEPRICE",DateToday,Ccy,Conv)</f>
        <v>261.45</v>
      </c>
      <c r="F8" s="11">
        <f>_xll.ciqfunctions.udf.CIQ($A8, "IQ_YEARHIGH",DateToday,Ccy,Conv)</f>
        <v>284.99</v>
      </c>
      <c r="G8" s="11">
        <f>_xll.ciqfunctions.udf.CIQ($A8, "IQ_YEARLOW",DateToday,Ccy,Conv)</f>
        <v>118.3</v>
      </c>
      <c r="H8" s="37">
        <f t="shared" si="0"/>
        <v>0.91740061054773847</v>
      </c>
      <c r="I8" s="37">
        <f t="shared" si="1"/>
        <v>2.2100591715976332</v>
      </c>
      <c r="J8" s="4">
        <f>_xll.ciqfunctions.udf.CIQ($A8, "IQ_SHARESOUTSTANDING",DateToday)</f>
        <v>346.60291999999998</v>
      </c>
      <c r="K8" s="22">
        <f t="shared" si="2"/>
        <v>90619.333433999986</v>
      </c>
      <c r="L8" s="4">
        <f>_xll.ciqfunctions.udf.CIQ($A8, "IQ_CASH_ST_INVEST",IQ_FQ,DateToday,,"F",Ccy,Conv)</f>
        <v>2954.998</v>
      </c>
      <c r="M8" s="4">
        <f>_xll.ciqfunctions.udf.CIQ($A8, "IQ_TOTAL_DEBT",IQ_FQ,DateToday,,"F",Ccy,Conv)</f>
        <v>2772.0949999999998</v>
      </c>
      <c r="N8" s="4">
        <f>_xll.ciqfunctions.udf.CIQ($A8, "IQ_PREF_EQUITY",IQ_FQ,DateToday,,"F",Ccy,Conv)</f>
        <v>0</v>
      </c>
      <c r="O8" s="4">
        <f>_xll.ciqfunctions.udf.CIQ($A8, "IQ_MINORITY_INTEREST_TOTAL",IQ_FQ,DateToday,,"F",Ccy,Conv)</f>
        <v>0</v>
      </c>
      <c r="P8" s="22">
        <f t="shared" si="6"/>
        <v>90436.43043399998</v>
      </c>
      <c r="Q8" s="4">
        <f>_xll.ciqfunctions.udf.CIQ($A8, "IQ_TOTAL_REV", IQ_FY,DateToday,,,Ccy,Conv)</f>
        <v>4683.9459999999999</v>
      </c>
      <c r="R8" s="4">
        <f>_xll.ciqfunctions.udf.CIQ($A8, "IQ_TOTAL_REV", IQ_LTM,DateToday,,,Ccy,Conv)</f>
        <v>5032.8230000000003</v>
      </c>
      <c r="S8" s="4">
        <f>_xll.ciqfunctions.udf.CIQ($A8, "IQ_REVENUE_EST", IQ_CY+ 1,DateToday,,,Ccy,Conv)</f>
        <v>6100.69697</v>
      </c>
      <c r="T8" s="4">
        <f>_xll.ciqfunctions.udf.CIQ($A8, "IQ_REVENUE_EST", IQ_CY+ 2,DateToday,,,Ccy,Conv)</f>
        <v>7639.6360000000004</v>
      </c>
      <c r="U8" s="4">
        <f>_xll.ciqfunctions.udf.CIQ($A8, "IQ_EBITDA", IQ_FY,DateToday,,,Ccy,Conv)</f>
        <v>-1177.607</v>
      </c>
      <c r="V8" s="4">
        <f>_xll.ciqfunctions.udf.CIQ($A8, "IQ_EBITDA", IQ_LTM,DateToday,,,Ccy,Conv)</f>
        <v>-1126.6669999999999</v>
      </c>
      <c r="W8" s="4">
        <f>_xll.ciqfunctions.udf.CIQ($A8, "IQ_EBITDA_EST", IQ_CY+ 1,DateToday,,,Ccy,Conv)</f>
        <v>1053.7479499999999</v>
      </c>
      <c r="X8" s="4">
        <f>_xll.ciqfunctions.udf.CIQ($A8, "IQ_EBITDA_EST", IQ_CY+ 2,DateToday,,,Ccy,Conv)</f>
        <v>1402.3357000000001</v>
      </c>
      <c r="Y8" s="11">
        <f>_xll.ciqfunctions.udf.CIQ($A8, "IQ_DILUT_EPS_EXCL", IQ_FY,DateToday,,,Ccy,Conv)</f>
        <v>-3.9456099999999998</v>
      </c>
      <c r="Z8" s="11">
        <f>_xll.ciqfunctions.udf.CIQ($A8, "IQ_DILUT_EPS_EXCL", IQ_LTM,DateToday,,,Ccy,Conv)</f>
        <v>-3.5138799999999999</v>
      </c>
      <c r="AA8" s="11">
        <f>_xll.ciqfunctions.udf.CIQ($A8, "IQ_EPS_EST", IQ_CY+ 1,DateToday,,,Ccy,Conv)</f>
        <v>1.9315</v>
      </c>
      <c r="AB8" s="11">
        <f>_xll.ciqfunctions.udf.CIQ($A8, "IQ_EPS_EST", IQ_CY+ 2,DateToday,,,Ccy,Conv)</f>
        <v>2.6866500000000002</v>
      </c>
      <c r="AC8" s="20">
        <f>_xll.ciqfunctions.udf.CIQ($A8, "IQ_TEV_TOTAL_REV",IQ_LTM,#REF!)</f>
        <v>17.68338</v>
      </c>
      <c r="AD8" s="20">
        <f>_xll.ciqfunctions.udf.CIQ($A8, "IQ_TEV_TOTAL_REV",IQ_LTM,DateToday)</f>
        <v>17.68338</v>
      </c>
      <c r="AE8" s="38">
        <f t="shared" si="3"/>
        <v>14.823950587730959</v>
      </c>
      <c r="AF8" s="38">
        <f t="shared" si="4"/>
        <v>11.837793113965112</v>
      </c>
      <c r="AG8" s="20" t="str">
        <f>_xll.ciqfunctions.udf.CIQ($A8, "IQ_TEV_EBITDA",IQ_LTM,#REF!)</f>
        <v>NM</v>
      </c>
      <c r="AH8" s="20" t="str">
        <f>_xll.ciqfunctions.udf.CIQ($A8, "IQ_TEV_EBITDA",IQ_LTM,DateToday)</f>
        <v>NM</v>
      </c>
      <c r="AI8" s="20">
        <f>_xll.ciqfunctions.udf.CIQ($A8, "IQ_TEV_EBITDA_FWD",IQ_CY+1,DateToday)</f>
        <v>84.45787</v>
      </c>
      <c r="AJ8" s="20">
        <f>_xll.ciqfunctions.udf.CIQ($A8, "IQ_TEV_EBITDA_FWD",IQ_CY+2,DateToday)</f>
        <v>63.463630000000002</v>
      </c>
      <c r="AK8" s="20" t="str">
        <f>_xll.ciqfunctions.udf.CIQ($A8, "IQ_PE_EXCL",IQ_LTM,#REF!)</f>
        <v>NM</v>
      </c>
      <c r="AL8" s="20" t="str">
        <f>_xll.ciqfunctions.udf.CIQ($A8, "IQ_PE_EXCL",IQ_LTM,DateToday)</f>
        <v>NM</v>
      </c>
      <c r="AM8" s="20">
        <f>_xll.ciqfunctions.udf.CIQ($A8, "IQ_PE_EXCL_FWD",IQ_CY+1,DateToday)</f>
        <v>135.36112</v>
      </c>
      <c r="AN8" s="20">
        <f>_xll.ciqfunctions.udf.CIQ($A8, "IQ_PE_EXCL_FWD",IQ_CY+2,DateToday)</f>
        <v>97.314499999999995</v>
      </c>
      <c r="AO8" s="20">
        <f>_xll.ciqfunctions.udf.CIQ($A8, "IQ_PBV",IQ_LTM,DateToday,)</f>
        <v>46.71743</v>
      </c>
      <c r="AP8" s="20" t="str">
        <f>_xll.ciqfunctions.udf.CIQ($A8, "IQ_PTBV",IQ_LTM,DateToday,)</f>
        <v>NM</v>
      </c>
      <c r="AQ8" s="4">
        <f>_xll.ciqfunctions.udf.CIQ($A8, "IQ_GROSS_MARGIN", IQ_FY- 2,DateToday,)</f>
        <v>67.982799999999997</v>
      </c>
      <c r="AR8" s="4">
        <f>_xll.ciqfunctions.udf.CIQ($A8, "IQ_GROSS_MARGIN", IQ_FY- 1,DateToday,)</f>
        <v>66.504599999999996</v>
      </c>
      <c r="AS8" s="4">
        <f>_xll.ciqfunctions.udf.CIQ($A8, "IQ_GROSS_MARGIN", IQ_FY,DateToday,)</f>
        <v>67.168599999999998</v>
      </c>
      <c r="AT8" s="4">
        <f>_xll.ciqfunctions.udf.CIQ($A8, "IQ_GROSS_MARGIN", IQ_LTM,DateToday,)</f>
        <v>67.145200000000003</v>
      </c>
      <c r="AU8" s="4">
        <f>_xll.ciqfunctions.udf.CIQ($A8, "IQ_EBITDA_MARGIN", IQ_FY- 2,DateToday,)</f>
        <v>-35.160299999999999</v>
      </c>
      <c r="AV8" s="4">
        <f>_xll.ciqfunctions.udf.CIQ($A8, "IQ_EBITDA_MARGIN", IQ_FY- 1,DateToday,)</f>
        <v>-36.672800000000002</v>
      </c>
      <c r="AW8" s="4">
        <f>_xll.ciqfunctions.udf.CIQ($A8, "IQ_EBITDA_MARGIN", IQ_FY,DateToday,)</f>
        <v>-25.141300000000001</v>
      </c>
      <c r="AX8" s="4">
        <f>_xll.ciqfunctions.udf.CIQ($A8, "IQ_EBITDA_MARGIN", IQ_LTM,DateToday,)</f>
        <v>-22.386299999999999</v>
      </c>
      <c r="AY8" s="4">
        <f>_xll.ciqfunctions.udf.CIQ($A8, "IQ_NI_MARGIN", IQ_FY- 2,DateToday,)</f>
        <v>-29.791499999999999</v>
      </c>
      <c r="AZ8" s="4">
        <f>_xll.ciqfunctions.udf.CIQ($A8, "IQ_NI_MARGIN", IQ_FY- 1,DateToday,)</f>
        <v>-35.452199999999998</v>
      </c>
      <c r="BA8" s="4">
        <f>_xll.ciqfunctions.udf.CIQ($A8, "IQ_NI_MARGIN", IQ_FY,DateToday,)</f>
        <v>-28.429300000000001</v>
      </c>
      <c r="BB8" s="4">
        <f>_xll.ciqfunctions.udf.CIQ($A8, "IQ_NI_MARGIN", IQ_LTM,DateToday,)</f>
        <v>-23.785699999999999</v>
      </c>
      <c r="BC8" s="4">
        <f>_xll.ciqfunctions.udf.CIQ($A8, "IQ_TOTAL_REV_5YR_ANN_CAGR",IQ_LTM,DateToday,)</f>
        <v>47.859200000000001</v>
      </c>
      <c r="BD8" s="4">
        <f>_xll.ciqfunctions.udf.CIQ($A8, "IQ_TOTAL_REV_3YR_ANN_CAGR",IQ_LTM,DateToday,)</f>
        <v>30.454999999999998</v>
      </c>
      <c r="BE8" s="4">
        <f>_xll.ciqfunctions.udf.CIQ($A8, "IQ_TOTAL_REV_1YR_ANN_GROWTH", IQ_FY,DateToday,)</f>
        <v>29.162500000000001</v>
      </c>
      <c r="BF8" s="4">
        <f>_xll.ciqfunctions.udf.CIQ($A8, "IQ_TOTAL_REV_1YR_ANN_GROWTH",IQ_LTM,DateToday,)</f>
        <v>31.071200000000001</v>
      </c>
      <c r="BG8" s="4" t="str">
        <f>_xll.ciqfunctions.udf.CIQ($A8, "IQ_EBITDA_5YR_ANN_CAGR",IQ_LTM,DateToday,)</f>
        <v>NM</v>
      </c>
      <c r="BH8" s="4" t="str">
        <f>_xll.ciqfunctions.udf.CIQ($A8, "IQ_EBITDA_3YR_ANN_CAGR",IQ_LTM,DateToday,)</f>
        <v>NM</v>
      </c>
      <c r="BI8" s="4" t="str">
        <f>_xll.ciqfunctions.udf.CIQ($A8, "IQ_EBITDA_1YR_ANN_GROWTH", IQ_FY,DateToday,)</f>
        <v>NM</v>
      </c>
      <c r="BJ8" s="4" t="str">
        <f>_xll.ciqfunctions.udf.CIQ($A8, "IQ_EBITDA_1YR_ANN_GROWTH",IQ_LTM,DateToday,)</f>
        <v>NM</v>
      </c>
      <c r="BK8" s="4" t="str">
        <f>_xll.ciqfunctions.udf.CIQ($A8, "IQ_EPS_5YR_ANN_CAGR",IQ_LTM,DateToday,)</f>
        <v>NM</v>
      </c>
      <c r="BL8" s="4" t="str">
        <f>_xll.ciqfunctions.udf.CIQ($A8, "IQ_EPS_3YR_ANN_CAGR",IQ_LTM,DateToday,)</f>
        <v>NM</v>
      </c>
      <c r="BM8" s="4" t="str">
        <f>_xll.ciqfunctions.udf.CIQ($A8, "IQ_EPS_1YR_ANN_GROWTH", IQ_FY,DateToday,)</f>
        <v>NM</v>
      </c>
      <c r="BN8" s="4" t="str">
        <f>_xll.ciqfunctions.udf.CIQ($A8, "IQ_EPS_1YR_ANN_GROWTH", IQ_LTM,DateToday,)</f>
        <v>NM</v>
      </c>
      <c r="BO8" s="20" t="str">
        <f>_xll.ciqfunctions.udf.CIQ($A8, "IQ_TOTAL_DEBT_EBITDA",IQ_LTM,DateToday,)</f>
        <v>NM</v>
      </c>
      <c r="BP8" s="20" t="str">
        <f>_xll.ciqfunctions.udf.CIQ($A8, "IQ_NET_DEBT_EBITDA",IQ_LTM,DateToday,)</f>
        <v>NM</v>
      </c>
      <c r="BQ8" s="39">
        <f t="shared" si="5"/>
        <v>-2.4604386211720057</v>
      </c>
      <c r="BR8" s="20" t="str">
        <f>_xll.ciqfunctions.udf.CIQ($A8, "IQ_EBITDA_INT",IQ_LTM,DateToday,)</f>
        <v>NM</v>
      </c>
      <c r="BS8" s="20" t="str">
        <f>_xll.ciqfunctions.udf.CIQ($A8, "IQ_EBITDA_CAPEX_INT",IQ_LTM,DateToday,)</f>
        <v>NM</v>
      </c>
      <c r="BT8" s="4">
        <f>_xll.ciqfunctions.udf.CIQ($A8, "IQ_TOTAL_DEBT_EQUITY",IQ_FQ,DateToday,)</f>
        <v>142.9119</v>
      </c>
      <c r="BU8" s="4">
        <f>_xll.ciqfunctions.udf.CIQ($A8, "IQ_TOTAL_DEBT_CAPITAL",IQ_FQ,DateToday,)</f>
        <v>58.832799999999999</v>
      </c>
      <c r="BV8" s="4">
        <f>_xll.ciqfunctions.udf.CIQ($A8, "IQ_RETURN_EQUITY",IQ_LTM,DateToday)</f>
        <v>-54.868899999999996</v>
      </c>
      <c r="BW8" s="4">
        <f>_xll.ciqfunctions.udf.CIQ($A8, "IQ_RETURN_ASSETS",IQ_LTM,DateToday)</f>
        <v>-9.6796000000000006</v>
      </c>
      <c r="BX8" s="4">
        <f>_xll.ciqfunctions.udf.CIQ($A8, "IQ_RETURN_INVESTED_CAPITAL",IQ_LTM,DateToday)</f>
        <v>-24.394500000000001</v>
      </c>
      <c r="BY8" s="20">
        <f>_xll.ciqfunctions.udf.CIQ($A8, "IQ_CURRENT_RATIO",IQ_FQ,DateToday,)</f>
        <v>1.0528999999999999</v>
      </c>
      <c r="BZ8" s="20">
        <f>_xll.ciqfunctions.udf.CIQ($A8, "IQ_QUICK_RATIO",IQ_FQ,DateToday,)</f>
        <v>0.94142000000000003</v>
      </c>
      <c r="CA8" s="4">
        <f>_xll.ciqfunctions.udf.CIQ($A8, "IQ_DAYS_SALES_OUT",IQ_LTM,DateToday,)</f>
        <v>40.259140000000002</v>
      </c>
      <c r="CB8" s="4">
        <f>_xll.ciqfunctions.udf.CIQ($A8, "IQ_DAYS_INVENTORY_OUT",IQ_LTM,DateToday,)</f>
        <v>0</v>
      </c>
      <c r="CC8" s="4">
        <f>_xll.ciqfunctions.udf.CIQ($A8, "IQ_DAYS_PAYABLE_OUT",IQ_LTM,DateToday,)</f>
        <v>23.213640000000002</v>
      </c>
      <c r="CD8" s="4">
        <f>_xll.ciqfunctions.udf.CIQ($A8, "IQ_CASH_CONVERSION",IQ_LTM,DateToday,)</f>
        <v>0</v>
      </c>
      <c r="CE8" s="20">
        <f>_xll.ciqfunctions.udf.CIQ($A8, "IQ_ASSET_TURNS",IQ_LTM,DateToday,)</f>
        <v>0.60231000000000001</v>
      </c>
      <c r="CF8" s="20">
        <f>_xll.ciqfunctions.udf.CIQ($A8, "IQ_FIXED_ASSET_TURNS",IQ_LTM,DateToday,)</f>
        <v>11.20801</v>
      </c>
      <c r="CG8" s="20">
        <f>_xll.ciqfunctions.udf.CIQ($A8, "IQ_AR_TURNS",IQ_LTM,DateToday,)</f>
        <v>9.0662199999999995</v>
      </c>
      <c r="CH8" s="20">
        <f>_xll.ciqfunctions.udf.CIQ($A8, "IQ_INVENTORY_TURNS",IQ_LTM,DateToday,)</f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</row>
    <row r="9" spans="1:168" s="1" customFormat="1" x14ac:dyDescent="0.2">
      <c r="A9" s="36" t="str">
        <f>_xll.ciqfunctions.udf.CIQ($A$10,"IQ_QUICK_COMP",8)</f>
        <v>NYSE:S</v>
      </c>
      <c r="B9" s="36" t="str">
        <f>_xll.ciqfunctions.udf.CIQ($A9, "IQ_COMPANY_NAME")</f>
        <v>SentinelOne, Inc.</v>
      </c>
      <c r="C9" s="13">
        <f>_xll.ciqfunctions.udf.CIQ($A9,"IQ_PERIODDATE",IQ_FY,DateToday)</f>
        <v>46053</v>
      </c>
      <c r="D9" s="13">
        <f>_xll.ciqfunctions.udf.CIQ($A9,"IQ_PERIODDATE",IQ_LTM,DateToday)</f>
        <v>46142</v>
      </c>
      <c r="E9" s="11">
        <f>_xll.ciqfunctions.udf.CIQ($A9, "IQ_LASTSALEPRICE",DateToday,Ccy,Conv)</f>
        <v>17.88</v>
      </c>
      <c r="F9" s="11">
        <f>_xll.ciqfunctions.udf.CIQ($A9, "IQ_YEARHIGH",DateToday,Ccy,Conv)</f>
        <v>21.4</v>
      </c>
      <c r="G9" s="11">
        <f>_xll.ciqfunctions.udf.CIQ($A9, "IQ_YEARLOW",DateToday,Ccy,Conv)</f>
        <v>11.81</v>
      </c>
      <c r="H9" s="37">
        <f t="shared" si="0"/>
        <v>0.83551401869158881</v>
      </c>
      <c r="I9" s="37">
        <f t="shared" si="1"/>
        <v>1.5139712108382726</v>
      </c>
      <c r="J9" s="4">
        <f>_xll.ciqfunctions.udf.CIQ($A9, "IQ_SHARESOUTSTANDING",DateToday)</f>
        <v>342.80372</v>
      </c>
      <c r="K9" s="22">
        <f t="shared" si="2"/>
        <v>6129.3305135999999</v>
      </c>
      <c r="L9" s="4">
        <f>_xll.ciqfunctions.udf.CIQ($A9, "IQ_CASH_ST_INVEST",IQ_FQ,DateToday,,"F",Ccy,Conv)</f>
        <v>656.78700000000003</v>
      </c>
      <c r="M9" s="4">
        <f>_xll.ciqfunctions.udf.CIQ($A9, "IQ_TOTAL_DEBT",IQ_FQ,DateToday,,"F",Ccy,Conv)</f>
        <v>0</v>
      </c>
      <c r="N9" s="4">
        <f>_xll.ciqfunctions.udf.CIQ($A9, "IQ_PREF_EQUITY",IQ_FQ,DateToday,,"F",Ccy,Conv)</f>
        <v>0</v>
      </c>
      <c r="O9" s="4">
        <f>_xll.ciqfunctions.udf.CIQ($A9, "IQ_MINORITY_INTEREST_TOTAL",IQ_FQ,DateToday,,"F",Ccy,Conv)</f>
        <v>0</v>
      </c>
      <c r="P9" s="22">
        <f t="shared" si="6"/>
        <v>5472.5435135999996</v>
      </c>
      <c r="Q9" s="4">
        <f>_xll.ciqfunctions.udf.CIQ($A9, "IQ_TOTAL_REV", IQ_FY,DateToday,,,Ccy,Conv)</f>
        <v>1001.278</v>
      </c>
      <c r="R9" s="4">
        <f>_xll.ciqfunctions.udf.CIQ($A9, "IQ_TOTAL_REV", IQ_LTM,DateToday,,,Ccy,Conv)</f>
        <v>1048.9059999999999</v>
      </c>
      <c r="S9" s="4">
        <f>_xll.ciqfunctions.udf.CIQ($A9, "IQ_REVENUE_EST", IQ_CY+ 1,DateToday,,,Ccy,Conv)</f>
        <v>1200.19272</v>
      </c>
      <c r="T9" s="4">
        <f>_xll.ciqfunctions.udf.CIQ($A9, "IQ_REVENUE_EST", IQ_CY+ 2,DateToday,,,Ccy,Conv)</f>
        <v>1412.3276000000001</v>
      </c>
      <c r="U9" s="4">
        <f>_xll.ciqfunctions.udf.CIQ($A9, "IQ_EBITDA", IQ_FY,DateToday,,,Ccy,Conv)</f>
        <v>-268.11099999999999</v>
      </c>
      <c r="V9" s="4">
        <f>_xll.ciqfunctions.udf.CIQ($A9, "IQ_EBITDA", IQ_LTM,DateToday,,,Ccy,Conv)</f>
        <v>-259.49</v>
      </c>
      <c r="W9" s="4">
        <f>_xll.ciqfunctions.udf.CIQ($A9, "IQ_EBITDA_EST", IQ_CY+ 1,DateToday,,,Ccy,Conv)</f>
        <v>129.54400000000001</v>
      </c>
      <c r="X9" s="4">
        <f>_xll.ciqfunctions.udf.CIQ($A9, "IQ_EBITDA_EST", IQ_CY+ 2,DateToday,,,Ccy,Conv)</f>
        <v>199.14267000000001</v>
      </c>
      <c r="Y9" s="11">
        <f>_xll.ciqfunctions.udf.CIQ($A9, "IQ_DILUT_EPS_EXCL", IQ_FY,DateToday,,,Ccy,Conv)</f>
        <v>-1.3653999999999999</v>
      </c>
      <c r="Z9" s="11">
        <f>_xll.ciqfunctions.udf.CIQ($A9, "IQ_DILUT_EPS_EXCL", IQ_LTM,DateToday,,,Ccy,Conv)</f>
        <v>-0.95889999999999997</v>
      </c>
      <c r="AA9" s="11">
        <f>_xll.ciqfunctions.udf.CIQ($A9, "IQ_EPS_EST", IQ_CY+ 1,DateToday,,,Ccy,Conv)</f>
        <v>0.34816999999999998</v>
      </c>
      <c r="AB9" s="11">
        <f>_xll.ciqfunctions.udf.CIQ($A9, "IQ_EPS_EST", IQ_CY+ 2,DateToday,,,Ccy,Conv)</f>
        <v>0.49353000000000002</v>
      </c>
      <c r="AC9" s="20">
        <f>_xll.ciqfunctions.udf.CIQ($A9, "IQ_TEV_TOTAL_REV",IQ_LTM,#REF!)</f>
        <v>5.2173800000000004</v>
      </c>
      <c r="AD9" s="20">
        <f>_xll.ciqfunctions.udf.CIQ($A9, "IQ_TEV_TOTAL_REV",IQ_LTM,DateToday)</f>
        <v>5.2173800000000004</v>
      </c>
      <c r="AE9" s="38">
        <f t="shared" si="3"/>
        <v>4.5597206368657188</v>
      </c>
      <c r="AF9" s="38">
        <f t="shared" si="4"/>
        <v>3.874840025501165</v>
      </c>
      <c r="AG9" s="20" t="str">
        <f>_xll.ciqfunctions.udf.CIQ($A9, "IQ_TEV_EBITDA",IQ_LTM,#REF!)</f>
        <v>NM</v>
      </c>
      <c r="AH9" s="20" t="str">
        <f>_xll.ciqfunctions.udf.CIQ($A9, "IQ_TEV_EBITDA",IQ_LTM,DateToday)</f>
        <v>NM</v>
      </c>
      <c r="AI9" s="20">
        <f>_xll.ciqfunctions.udf.CIQ($A9, "IQ_TEV_EBITDA_FWD",IQ_CY+1,DateToday)</f>
        <v>42.244669999999999</v>
      </c>
      <c r="AJ9" s="20">
        <f>_xll.ciqfunctions.udf.CIQ($A9, "IQ_TEV_EBITDA_FWD",IQ_CY+2,DateToday)</f>
        <v>27.480519999999999</v>
      </c>
      <c r="AK9" s="20" t="str">
        <f>_xll.ciqfunctions.udf.CIQ($A9, "IQ_PE_EXCL",IQ_LTM,#REF!)</f>
        <v>NM</v>
      </c>
      <c r="AL9" s="20" t="str">
        <f>_xll.ciqfunctions.udf.CIQ($A9, "IQ_PE_EXCL",IQ_LTM,DateToday)</f>
        <v>NM</v>
      </c>
      <c r="AM9" s="20">
        <f>_xll.ciqfunctions.udf.CIQ($A9, "IQ_PE_EXCL_FWD",IQ_CY+1,DateToday)</f>
        <v>51.354219999999998</v>
      </c>
      <c r="AN9" s="20">
        <f>_xll.ciqfunctions.udf.CIQ($A9, "IQ_PE_EXCL_FWD",IQ_CY+2,DateToday)</f>
        <v>36.2288</v>
      </c>
      <c r="AO9" s="20">
        <f>_xll.ciqfunctions.udf.CIQ($A9, "IQ_PBV",IQ_LTM,DateToday,)</f>
        <v>4.2455999999999996</v>
      </c>
      <c r="AP9" s="20">
        <f>_xll.ciqfunctions.udf.CIQ($A9, "IQ_PTBV",IQ_LTM,DateToday,)</f>
        <v>15.023400000000001</v>
      </c>
      <c r="AQ9" s="4">
        <f>_xll.ciqfunctions.udf.CIQ($A9, "IQ_GROSS_MARGIN", IQ_FY- 2,DateToday,)</f>
        <v>71.253299999999996</v>
      </c>
      <c r="AR9" s="4">
        <f>_xll.ciqfunctions.udf.CIQ($A9, "IQ_GROSS_MARGIN", IQ_FY- 1,DateToday,)</f>
        <v>74.301100000000005</v>
      </c>
      <c r="AS9" s="4">
        <f>_xll.ciqfunctions.udf.CIQ($A9, "IQ_GROSS_MARGIN", IQ_FY,DateToday,)</f>
        <v>74.115300000000005</v>
      </c>
      <c r="AT9" s="4">
        <f>_xll.ciqfunctions.udf.CIQ($A9, "IQ_GROSS_MARGIN", IQ_LTM,DateToday,)</f>
        <v>73.247299999999996</v>
      </c>
      <c r="AU9" s="4">
        <f>_xll.ciqfunctions.udf.CIQ($A9, "IQ_EBITDA_MARGIN", IQ_FY- 2,DateToday,)</f>
        <v>-54.604399999999998</v>
      </c>
      <c r="AV9" s="4">
        <f>_xll.ciqfunctions.udf.CIQ($A9, "IQ_EBITDA_MARGIN", IQ_FY- 1,DateToday,)</f>
        <v>-36.3855</v>
      </c>
      <c r="AW9" s="4">
        <f>_xll.ciqfunctions.udf.CIQ($A9, "IQ_EBITDA_MARGIN", IQ_FY,DateToday,)</f>
        <v>-26.776800000000001</v>
      </c>
      <c r="AX9" s="4">
        <f>_xll.ciqfunctions.udf.CIQ($A9, "IQ_EBITDA_MARGIN", IQ_LTM,DateToday,)</f>
        <v>-24.739100000000001</v>
      </c>
      <c r="AY9" s="4">
        <f>_xll.ciqfunctions.udf.CIQ($A9, "IQ_NI_MARGIN", IQ_FY- 2,DateToday,)</f>
        <v>-54.526400000000002</v>
      </c>
      <c r="AZ9" s="4">
        <f>_xll.ciqfunctions.udf.CIQ($A9, "IQ_NI_MARGIN", IQ_FY- 1,DateToday,)</f>
        <v>-35.113100000000003</v>
      </c>
      <c r="BA9" s="4">
        <f>_xll.ciqfunctions.udf.CIQ($A9, "IQ_NI_MARGIN", IQ_FY,DateToday,)</f>
        <v>-45.015900000000002</v>
      </c>
      <c r="BB9" s="4">
        <f>_xll.ciqfunctions.udf.CIQ($A9, "IQ_NI_MARGIN", IQ_LTM,DateToday,)</f>
        <v>-30.384599999999999</v>
      </c>
      <c r="BC9" s="4">
        <f>_xll.ciqfunctions.udf.CIQ($A9, "IQ_TOTAL_REV_5YR_ANN_CAGR",IQ_LTM,DateToday,)</f>
        <v>56.286499999999997</v>
      </c>
      <c r="BD9" s="4">
        <f>_xll.ciqfunctions.udf.CIQ($A9, "IQ_TOTAL_REV_3YR_ANN_CAGR",IQ_LTM,DateToday,)</f>
        <v>30.009899999999998</v>
      </c>
      <c r="BE9" s="4">
        <f>_xll.ciqfunctions.udf.CIQ($A9, "IQ_TOTAL_REV_1YR_ANN_GROWTH", IQ_FY,DateToday,)</f>
        <v>21.889900000000001</v>
      </c>
      <c r="BF9" s="4">
        <f>_xll.ciqfunctions.udf.CIQ($A9, "IQ_TOTAL_REV_1YR_ANN_GROWTH",IQ_LTM,DateToday,)</f>
        <v>21.382100000000001</v>
      </c>
      <c r="BG9" s="4" t="str">
        <f>_xll.ciqfunctions.udf.CIQ($A9, "IQ_EBITDA_5YR_ANN_CAGR",IQ_LTM,DateToday,)</f>
        <v>NM</v>
      </c>
      <c r="BH9" s="4" t="str">
        <f>_xll.ciqfunctions.udf.CIQ($A9, "IQ_EBITDA_3YR_ANN_CAGR",IQ_LTM,DateToday,)</f>
        <v>NM</v>
      </c>
      <c r="BI9" s="4" t="str">
        <f>_xll.ciqfunctions.udf.CIQ($A9, "IQ_EBITDA_1YR_ANN_GROWTH", IQ_FY,DateToday,)</f>
        <v>NM</v>
      </c>
      <c r="BJ9" s="4" t="str">
        <f>_xll.ciqfunctions.udf.CIQ($A9, "IQ_EBITDA_1YR_ANN_GROWTH",IQ_LTM,DateToday,)</f>
        <v>NM</v>
      </c>
      <c r="BK9" s="4" t="str">
        <f>_xll.ciqfunctions.udf.CIQ($A9, "IQ_EPS_5YR_ANN_CAGR",IQ_LTM,DateToday,)</f>
        <v>NM</v>
      </c>
      <c r="BL9" s="4" t="str">
        <f>_xll.ciqfunctions.udf.CIQ($A9, "IQ_EPS_3YR_ANN_CAGR",IQ_LTM,DateToday,)</f>
        <v>NM</v>
      </c>
      <c r="BM9" s="4" t="str">
        <f>_xll.ciqfunctions.udf.CIQ($A9, "IQ_EPS_1YR_ANN_GROWTH", IQ_FY,DateToday,)</f>
        <v>NM</v>
      </c>
      <c r="BN9" s="4" t="str">
        <f>_xll.ciqfunctions.udf.CIQ($A9, "IQ_EPS_1YR_ANN_GROWTH", IQ_LTM,DateToday,)</f>
        <v>NM</v>
      </c>
      <c r="BO9" s="20">
        <f>_xll.ciqfunctions.udf.CIQ($A9, "IQ_TOTAL_DEBT_EBITDA",IQ_LTM,DateToday,)</f>
        <v>0</v>
      </c>
      <c r="BP9" s="20" t="str">
        <f>_xll.ciqfunctions.udf.CIQ($A9, "IQ_NET_DEBT_EBITDA",IQ_LTM,DateToday,)</f>
        <v>NM</v>
      </c>
      <c r="BQ9" s="39">
        <f t="shared" si="5"/>
        <v>0</v>
      </c>
      <c r="BR9" s="20">
        <f>_xll.ciqfunctions.udf.CIQ($A9, "IQ_EBITDA_INT",IQ_LTM,DateToday,)</f>
        <v>0</v>
      </c>
      <c r="BS9" s="20">
        <f>_xll.ciqfunctions.udf.CIQ($A9, "IQ_EBITDA_CAPEX_INT",IQ_LTM,DateToday,)</f>
        <v>0</v>
      </c>
      <c r="BT9" s="4">
        <f>_xll.ciqfunctions.udf.CIQ($A9, "IQ_TOTAL_DEBT_EQUITY",IQ_FQ,DateToday,)</f>
        <v>0</v>
      </c>
      <c r="BU9" s="4">
        <f>_xll.ciqfunctions.udf.CIQ($A9, "IQ_TOTAL_DEBT_CAPITAL",IQ_FQ,DateToday,)</f>
        <v>0</v>
      </c>
      <c r="BV9" s="4">
        <f>_xll.ciqfunctions.udf.CIQ($A9, "IQ_RETURN_EQUITY",IQ_LTM,DateToday)</f>
        <v>-21.356200000000001</v>
      </c>
      <c r="BW9" s="4">
        <f>_xll.ciqfunctions.udf.CIQ($A9, "IQ_RETURN_ASSETS",IQ_LTM,DateToday)</f>
        <v>-7.9428999999999998</v>
      </c>
      <c r="BX9" s="4">
        <f>_xll.ciqfunctions.udf.CIQ($A9, "IQ_RETURN_INVESTED_CAPITAL",IQ_LTM,DateToday)</f>
        <v>-21.2667</v>
      </c>
      <c r="BY9" s="20">
        <f>_xll.ciqfunctions.udf.CIQ($A9, "IQ_CURRENT_RATIO",IQ_FQ,DateToday,)</f>
        <v>1.43668</v>
      </c>
      <c r="BZ9" s="20">
        <f>_xll.ciqfunctions.udf.CIQ($A9, "IQ_QUICK_RATIO",IQ_FQ,DateToday,)</f>
        <v>1.2457199999999999</v>
      </c>
      <c r="CA9" s="4">
        <f>_xll.ciqfunctions.udf.CIQ($A9, "IQ_DAYS_SALES_OUT",IQ_LTM,DateToday,)</f>
        <v>58.408029999999997</v>
      </c>
      <c r="CB9" s="4">
        <f>_xll.ciqfunctions.udf.CIQ($A9, "IQ_DAYS_INVENTORY_OUT",IQ_LTM,DateToday,)</f>
        <v>0</v>
      </c>
      <c r="CC9" s="4">
        <f>_xll.ciqfunctions.udf.CIQ($A9, "IQ_DAYS_PAYABLE_OUT",IQ_LTM,DateToday,)</f>
        <v>18.988029999999998</v>
      </c>
      <c r="CD9" s="4">
        <f>_xll.ciqfunctions.udf.CIQ($A9, "IQ_CASH_CONVERSION",IQ_LTM,DateToday,)</f>
        <v>0</v>
      </c>
      <c r="CE9" s="20">
        <f>_xll.ciqfunctions.udf.CIQ($A9, "IQ_ASSET_TURNS",IQ_LTM,DateToday,)</f>
        <v>0.44255</v>
      </c>
      <c r="CF9" s="20">
        <f>_xll.ciqfunctions.udf.CIQ($A9, "IQ_FIXED_ASSET_TURNS",IQ_LTM,DateToday,)</f>
        <v>12.82391</v>
      </c>
      <c r="CG9" s="20">
        <f>_xll.ciqfunctions.udf.CIQ($A9, "IQ_AR_TURNS",IQ_LTM,DateToday,)</f>
        <v>6.2491000000000003</v>
      </c>
      <c r="CH9" s="20">
        <f>_xll.ciqfunctions.udf.CIQ($A9, "IQ_INVENTORY_TURNS",IQ_LTM,DateToday,)</f>
        <v>0</v>
      </c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</row>
    <row r="10" spans="1:168" s="14" customFormat="1" x14ac:dyDescent="0.2">
      <c r="A10" s="60" t="str">
        <f>InputTicker</f>
        <v>NASDAQ:MSFT</v>
      </c>
      <c r="B10" s="61" t="str">
        <f>_xll.ciqfunctions.udf.CIQ($A10, "IQ_COMPANY_NAME")</f>
        <v>Microsoft Corporation</v>
      </c>
      <c r="C10" s="62">
        <f>_xll.ciqfunctions.udf.CIQ($A10,"IQ_PERIODDATE",IQ_FY,DateToday)</f>
        <v>45838</v>
      </c>
      <c r="D10" s="62">
        <f>_xll.ciqfunctions.udf.CIQ($A10,"IQ_PERIODDATE",IQ_LTM,DateToday)</f>
        <v>46112</v>
      </c>
      <c r="E10" s="63">
        <f>_xll.ciqfunctions.udf.CIQ($A10, "IQ_LASTSALEPRICE",DateToday,Ccy,Conv)</f>
        <v>385.1</v>
      </c>
      <c r="F10" s="63">
        <f>_xll.ciqfunctions.udf.CIQ($A10, "IQ_YEARHIGH",DateToday,Ccy,Conv)</f>
        <v>555.45000000000005</v>
      </c>
      <c r="G10" s="63">
        <f>_xll.ciqfunctions.udf.CIQ($A10, "IQ_YEARLOW",DateToday,Ccy,Conv)</f>
        <v>349.2</v>
      </c>
      <c r="H10" s="64">
        <f t="shared" si="0"/>
        <v>0.69331172922855344</v>
      </c>
      <c r="I10" s="64">
        <f t="shared" si="1"/>
        <v>1.1028064146620848</v>
      </c>
      <c r="J10" s="10">
        <f>_xll.ciqfunctions.udf.CIQ($A10, "IQ_SHARESOUTSTANDING",DateToday)</f>
        <v>7428.4346999999998</v>
      </c>
      <c r="K10" s="65">
        <f t="shared" si="2"/>
        <v>2860690.20297</v>
      </c>
      <c r="L10" s="10">
        <f>_xll.ciqfunctions.udf.CIQ($A10, "IQ_CASH_ST_INVEST",IQ_FQ,DateToday,,"F",Ccy,Conv)</f>
        <v>78228</v>
      </c>
      <c r="M10" s="10">
        <f>_xll.ciqfunctions.udf.CIQ($A10, "IQ_TOTAL_DEBT",IQ_FQ,DateToday,,"F",Ccy,Conv)</f>
        <v>125432</v>
      </c>
      <c r="N10" s="10">
        <f>_xll.ciqfunctions.udf.CIQ($A10, "IQ_PREF_EQUITY",IQ_FQ,DateToday,,"F",Ccy,Conv)</f>
        <v>0</v>
      </c>
      <c r="O10" s="10">
        <f>_xll.ciqfunctions.udf.CIQ($A10, "IQ_MINORITY_INTEREST_TOTAL",IQ_FQ,DateToday,,"F",Ccy,Conv)</f>
        <v>0</v>
      </c>
      <c r="P10" s="65">
        <f t="shared" si="6"/>
        <v>2907894.20297</v>
      </c>
      <c r="Q10" s="10">
        <f>_xll.ciqfunctions.udf.CIQ($A10, "IQ_TOTAL_REV", IQ_FY,DateToday,,,Ccy,Conv)</f>
        <v>281724</v>
      </c>
      <c r="R10" s="10">
        <f>_xll.ciqfunctions.udf.CIQ($A10, "IQ_TOTAL_REV", IQ_LTM,DateToday,,,Ccy,Conv)</f>
        <v>318273</v>
      </c>
      <c r="S10" s="10">
        <f>_xll.ciqfunctions.udf.CIQ($A10, "IQ_REVENUE_EST", IQ_CY+ 1,DateToday,,,Ccy,Conv)</f>
        <v>354517.97779999999</v>
      </c>
      <c r="T10" s="10">
        <f>_xll.ciqfunctions.udf.CIQ($A10, "IQ_REVENUE_EST", IQ_CY+ 2,DateToday,,,Ccy,Conv)</f>
        <v>415081.783</v>
      </c>
      <c r="U10" s="10">
        <f>_xll.ciqfunctions.udf.CIQ($A10, "IQ_EBITDA", IQ_FY,DateToday,,,Ccy,Conv)</f>
        <v>156528</v>
      </c>
      <c r="V10" s="10">
        <f>_xll.ciqfunctions.udf.CIQ($A10, "IQ_EBITDA", IQ_LTM,DateToday,,,Ccy,Conv)</f>
        <v>184457</v>
      </c>
      <c r="W10" s="10">
        <f>_xll.ciqfunctions.udf.CIQ($A10, "IQ_EBITDA_EST", IQ_CY+ 1,DateToday,,,Ccy,Conv)</f>
        <v>217078.27840000001</v>
      </c>
      <c r="X10" s="10">
        <f>_xll.ciqfunctions.udf.CIQ($A10, "IQ_EBITDA_EST", IQ_CY+ 2,DateToday,,,Ccy,Conv)</f>
        <v>266070.13429999998</v>
      </c>
      <c r="Y10" s="63">
        <f>_xll.ciqfunctions.udf.CIQ($A10, "IQ_DILUT_EPS_EXCL", IQ_FY,DateToday,,,Ccy,Conv)</f>
        <v>13.64</v>
      </c>
      <c r="Z10" s="63">
        <f>_xll.ciqfunctions.udf.CIQ($A10, "IQ_DILUT_EPS_EXCL", IQ_LTM,DateToday,,,Ccy,Conv)</f>
        <v>16.789760000000001</v>
      </c>
      <c r="AA10" s="63">
        <f>_xll.ciqfunctions.udf.CIQ($A10, "IQ_EPS_EST", IQ_CY+ 1,DateToday,,,Ccy,Conv)</f>
        <v>17.918600000000001</v>
      </c>
      <c r="AB10" s="63">
        <f>_xll.ciqfunctions.udf.CIQ($A10, "IQ_EPS_EST", IQ_CY+ 2,DateToday,,,Ccy,Conv)</f>
        <v>20.953600000000002</v>
      </c>
      <c r="AC10" s="66">
        <f>_xll.ciqfunctions.udf.CIQ($A10, "IQ_TEV_TOTAL_REV",IQ_LTM,#REF!)</f>
        <v>9.1364800000000006</v>
      </c>
      <c r="AD10" s="66">
        <f>_xll.ciqfunctions.udf.CIQ($A10, "IQ_TEV_TOTAL_REV",IQ_LTM,DateToday)</f>
        <v>9.1364800000000006</v>
      </c>
      <c r="AE10" s="67">
        <f t="shared" si="3"/>
        <v>8.2023885530862355</v>
      </c>
      <c r="AF10" s="67">
        <f t="shared" si="4"/>
        <v>7.0055934084922251</v>
      </c>
      <c r="AG10" s="66">
        <f>_xll.ciqfunctions.udf.CIQ($A10, "IQ_TEV_EBITDA",IQ_LTM,#REF!)</f>
        <v>14.670629999999999</v>
      </c>
      <c r="AH10" s="66">
        <f>_xll.ciqfunctions.udf.CIQ($A10, "IQ_TEV_EBITDA",IQ_LTM,DateToday)</f>
        <v>14.670629999999999</v>
      </c>
      <c r="AI10" s="66">
        <f>_xll.ciqfunctions.udf.CIQ($A10, "IQ_TEV_EBITDA_FWD",IQ_CY+1,DateToday)</f>
        <v>13.3956</v>
      </c>
      <c r="AJ10" s="66">
        <f>_xll.ciqfunctions.udf.CIQ($A10, "IQ_TEV_EBITDA_FWD",IQ_CY+2,DateToday)</f>
        <v>10.92905</v>
      </c>
      <c r="AK10" s="66">
        <f>_xll.ciqfunctions.udf.CIQ($A10, "IQ_PE_EXCL",IQ_LTM,#REF!)</f>
        <v>22.936599999999999</v>
      </c>
      <c r="AL10" s="66">
        <f>_xll.ciqfunctions.udf.CIQ($A10, "IQ_PE_EXCL",IQ_LTM,DateToday)</f>
        <v>22.936599999999999</v>
      </c>
      <c r="AM10" s="66">
        <f>_xll.ciqfunctions.udf.CIQ($A10, "IQ_PE_EXCL_FWD",IQ_CY+1,DateToday)</f>
        <v>21.491630000000001</v>
      </c>
      <c r="AN10" s="66">
        <f>_xll.ciqfunctions.udf.CIQ($A10, "IQ_PE_EXCL_FWD",IQ_CY+2,DateToday)</f>
        <v>18.378699999999998</v>
      </c>
      <c r="AO10" s="66">
        <f>_xll.ciqfunctions.udf.CIQ($A10, "IQ_PBV",IQ_LTM,DateToday,)</f>
        <v>6.9042899999999996</v>
      </c>
      <c r="AP10" s="66">
        <f>_xll.ciqfunctions.udf.CIQ($A10, "IQ_PTBV",IQ_LTM,DateToday,)</f>
        <v>10.388909999999999</v>
      </c>
      <c r="AQ10" s="10">
        <f>_xll.ciqfunctions.udf.CIQ($A10, "IQ_GROSS_MARGIN", IQ_FY- 2,DateToday,)</f>
        <v>68.92</v>
      </c>
      <c r="AR10" s="10">
        <f>_xll.ciqfunctions.udf.CIQ($A10, "IQ_GROSS_MARGIN", IQ_FY- 1,DateToday,)</f>
        <v>69.764399999999995</v>
      </c>
      <c r="AS10" s="10">
        <f>_xll.ciqfunctions.udf.CIQ($A10, "IQ_GROSS_MARGIN", IQ_FY,DateToday,)</f>
        <v>68.823700000000002</v>
      </c>
      <c r="AT10" s="10">
        <f>_xll.ciqfunctions.udf.CIQ($A10, "IQ_GROSS_MARGIN", IQ_LTM,DateToday,)</f>
        <v>68.309200000000004</v>
      </c>
      <c r="AU10" s="10">
        <f>_xll.ciqfunctions.udf.CIQ($A10, "IQ_EBITDA_MARGIN", IQ_FY- 2,DateToday,)</f>
        <v>48.143300000000004</v>
      </c>
      <c r="AV10" s="10">
        <f>_xll.ciqfunctions.udf.CIQ($A10, "IQ_EBITDA_MARGIN", IQ_FY- 1,DateToday,)</f>
        <v>52.8035</v>
      </c>
      <c r="AW10" s="10">
        <f>_xll.ciqfunctions.udf.CIQ($A10, "IQ_EBITDA_MARGIN", IQ_FY,DateToday,)</f>
        <v>55.560699999999997</v>
      </c>
      <c r="AX10" s="10">
        <f>_xll.ciqfunctions.udf.CIQ($A10, "IQ_EBITDA_MARGIN", IQ_LTM,DateToday,)</f>
        <v>57.955500000000001</v>
      </c>
      <c r="AY10" s="10">
        <f>_xll.ciqfunctions.udf.CIQ($A10, "IQ_NI_MARGIN", IQ_FY- 2,DateToday,)</f>
        <v>34.1462</v>
      </c>
      <c r="AZ10" s="10">
        <f>_xll.ciqfunctions.udf.CIQ($A10, "IQ_NI_MARGIN", IQ_FY- 1,DateToday,)</f>
        <v>35.9559</v>
      </c>
      <c r="BA10" s="10">
        <f>_xll.ciqfunctions.udf.CIQ($A10, "IQ_NI_MARGIN", IQ_FY,DateToday,)</f>
        <v>36.146000000000001</v>
      </c>
      <c r="BB10" s="10">
        <f>_xll.ciqfunctions.udf.CIQ($A10, "IQ_NI_MARGIN", IQ_LTM,DateToday,)</f>
        <v>39.342300000000002</v>
      </c>
      <c r="BC10" s="10">
        <f>_xll.ciqfunctions.udf.CIQ($A10, "IQ_TOTAL_REV_5YR_ANN_CAGR",IQ_LTM,DateToday,)</f>
        <v>14.75</v>
      </c>
      <c r="BD10" s="10">
        <f>_xll.ciqfunctions.udf.CIQ($A10, "IQ_TOTAL_REV_3YR_ANN_CAGR",IQ_LTM,DateToday,)</f>
        <v>15.309100000000001</v>
      </c>
      <c r="BE10" s="10">
        <f>_xll.ciqfunctions.udf.CIQ($A10, "IQ_TOTAL_REV_1YR_ANN_GROWTH", IQ_FY,DateToday,)</f>
        <v>14.9321</v>
      </c>
      <c r="BF10" s="10">
        <f>_xll.ciqfunctions.udf.CIQ($A10, "IQ_TOTAL_REV_1YR_ANN_GROWTH",IQ_LTM,DateToday,)</f>
        <v>17.874500000000001</v>
      </c>
      <c r="BG10" s="10">
        <f>_xll.ciqfunctions.udf.CIQ($A10, "IQ_EBITDA_5YR_ANN_CAGR",IQ_LTM,DateToday,)</f>
        <v>19.477599999999999</v>
      </c>
      <c r="BH10" s="10">
        <f>_xll.ciqfunctions.udf.CIQ($A10, "IQ_EBITDA_3YR_ANN_CAGR",IQ_LTM,DateToday,)</f>
        <v>23.0261</v>
      </c>
      <c r="BI10" s="10">
        <f>_xll.ciqfunctions.udf.CIQ($A10, "IQ_EBITDA_1YR_ANN_GROWTH", IQ_FY,DateToday,)</f>
        <v>20.933599999999998</v>
      </c>
      <c r="BJ10" s="10">
        <f>_xll.ciqfunctions.udf.CIQ($A10, "IQ_EBITDA_1YR_ANN_GROWTH",IQ_LTM,DateToday,)</f>
        <v>25.9754</v>
      </c>
      <c r="BK10" s="10">
        <f>_xll.ciqfunctions.udf.CIQ($A10, "IQ_EPS_5YR_ANN_CAGR",IQ_LTM,DateToday,)</f>
        <v>18.001999999999999</v>
      </c>
      <c r="BL10" s="10">
        <f>_xll.ciqfunctions.udf.CIQ($A10, "IQ_EPS_3YR_ANN_CAGR",IQ_LTM,DateToday,)</f>
        <v>22.0776</v>
      </c>
      <c r="BM10" s="10">
        <f>_xll.ciqfunctions.udf.CIQ($A10, "IQ_EPS_1YR_ANN_GROWTH", IQ_FY,DateToday,)</f>
        <v>15.5932</v>
      </c>
      <c r="BN10" s="10">
        <f>_xll.ciqfunctions.udf.CIQ($A10, "IQ_EPS_1YR_ANN_GROWTH", IQ_LTM,DateToday,)</f>
        <v>29.754300000000001</v>
      </c>
      <c r="BO10" s="66">
        <f>_xll.ciqfunctions.udf.CIQ($A10, "IQ_TOTAL_DEBT_EBITDA",IQ_LTM,DateToday,)</f>
        <v>0.65593999999999997</v>
      </c>
      <c r="BP10" s="66">
        <f>_xll.ciqfunctions.udf.CIQ($A10, "IQ_NET_DEBT_EBITDA",IQ_LTM,DateToday,)</f>
        <v>0.24685000000000001</v>
      </c>
      <c r="BQ10" s="68">
        <f t="shared" si="5"/>
        <v>0.68000672243395477</v>
      </c>
      <c r="BR10" s="66">
        <f>_xll.ciqfunctions.udf.CIQ($A10, "IQ_EBITDA_INT",IQ_LTM,DateToday,)</f>
        <v>66.884919999999994</v>
      </c>
      <c r="BS10" s="66">
        <f>_xll.ciqfunctions.udf.CIQ($A10, "IQ_EBITDA_CAPEX_INT",IQ_LTM,DateToday,)</f>
        <v>32.878279999999997</v>
      </c>
      <c r="BT10" s="10">
        <f>_xll.ciqfunctions.udf.CIQ($A10, "IQ_TOTAL_DEBT_EQUITY",IQ_FQ,DateToday,)</f>
        <v>30.270700000000001</v>
      </c>
      <c r="BU10" s="10">
        <f>_xll.ciqfunctions.udf.CIQ($A10, "IQ_TOTAL_DEBT_CAPITAL",IQ_FQ,DateToday,)</f>
        <v>23.236699999999999</v>
      </c>
      <c r="BV10" s="10">
        <f>_xll.ciqfunctions.udf.CIQ($A10, "IQ_RETURN_EQUITY",IQ_LTM,DateToday)</f>
        <v>34.014099999999999</v>
      </c>
      <c r="BW10" s="10">
        <f>_xll.ciqfunctions.udf.CIQ($A10, "IQ_RETURN_ASSETS",IQ_LTM,DateToday)</f>
        <v>14.814399999999999</v>
      </c>
      <c r="BX10" s="10">
        <f>_xll.ciqfunctions.udf.CIQ($A10, "IQ_RETURN_INVESTED_CAPITAL",IQ_LTM,DateToday)</f>
        <v>20.5563</v>
      </c>
      <c r="BY10" s="66">
        <f>_xll.ciqfunctions.udf.CIQ($A10, "IQ_CURRENT_RATIO",IQ_FQ,DateToday,)</f>
        <v>1.28295</v>
      </c>
      <c r="BZ10" s="66">
        <f>_xll.ciqfunctions.udf.CIQ($A10, "IQ_QUICK_RATIO",IQ_FQ,DateToday,)</f>
        <v>1.14202</v>
      </c>
      <c r="CA10" s="10">
        <f>_xll.ciqfunctions.udf.CIQ($A10, "IQ_DAYS_SALES_OUT",IQ_LTM,DateToday,)</f>
        <v>64.072829999999996</v>
      </c>
      <c r="CB10" s="10">
        <f>_xll.ciqfunctions.udf.CIQ($A10, "IQ_DAYS_INVENTORY_OUT",IQ_LTM,DateToday,)</f>
        <v>3.7397900000000002</v>
      </c>
      <c r="CC10" s="10">
        <f>_xll.ciqfunctions.udf.CIQ($A10, "IQ_DAYS_PAYABLE_OUT",IQ_LTM,DateToday,)</f>
        <v>114.94871999999999</v>
      </c>
      <c r="CD10" s="10">
        <f>_xll.ciqfunctions.udf.CIQ($A10, "IQ_CASH_CONVERSION",IQ_LTM,DateToday,)</f>
        <v>-47.136099999999999</v>
      </c>
      <c r="CE10" s="66">
        <f>_xll.ciqfunctions.udf.CIQ($A10, "IQ_ASSET_TURNS",IQ_LTM,DateToday,)</f>
        <v>0.50646000000000002</v>
      </c>
      <c r="CF10" s="66">
        <f>_xll.ciqfunctions.udf.CIQ($A10, "IQ_FIXED_ASSET_TURNS",IQ_LTM,DateToday,)</f>
        <v>1.2335100000000001</v>
      </c>
      <c r="CG10" s="66">
        <f>_xll.ciqfunctions.udf.CIQ($A10, "IQ_AR_TURNS",IQ_LTM,DateToday,)</f>
        <v>5.6966200000000002</v>
      </c>
      <c r="CH10" s="66">
        <f>_xll.ciqfunctions.udf.CIQ($A10, "IQ_INVENTORY_TURNS",IQ_LTM,DateToday,)</f>
        <v>97.593609999999998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</row>
  </sheetData>
  <phoneticPr fontId="0" type="noConversion"/>
  <printOptions horizontalCentered="1"/>
  <pageMargins left="0" right="0" top="0.25" bottom="0.25" header="0.5" footer="0.25"/>
  <pageSetup scale="56" fitToWidth="7" orientation="landscape" r:id="rId1"/>
  <headerFooter alignWithMargins="0">
    <oddFooter>&amp;C&amp;"Times New Roman,Regular"&amp;11&amp;P of &amp;N</oddFooter>
  </headerFooter>
  <colBreaks count="6" manualBreakCount="6">
    <brk id="16" max="1048575" man="1"/>
    <brk id="28" max="1048575" man="1"/>
    <brk id="42" max="1048575" man="1"/>
    <brk id="54" max="1048575" man="1"/>
    <brk id="66" max="1048575" man="1"/>
    <brk id="76" max="1048575" man="1"/>
  </col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41F65D8D85C643B279395178BBB636" ma:contentTypeVersion="10" ma:contentTypeDescription="Create a new document." ma:contentTypeScope="" ma:versionID="5485f5b32512d653f7453980de4c8998">
  <xsd:schema xmlns:xsd="http://www.w3.org/2001/XMLSchema" xmlns:xs="http://www.w3.org/2001/XMLSchema" xmlns:p="http://schemas.microsoft.com/office/2006/metadata/properties" xmlns:ns3="d0640473-7254-4dee-a68e-1aa7dfe87080" targetNamespace="http://schemas.microsoft.com/office/2006/metadata/properties" ma:root="true" ma:fieldsID="840fc2309eebaf0bed357e94e47325f3" ns3:_="">
    <xsd:import namespace="d0640473-7254-4dee-a68e-1aa7dfe8708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640473-7254-4dee-a68e-1aa7dfe870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D7BD9CC6-B147-4C24-8FF1-F5911A43A6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640473-7254-4dee-a68e-1aa7dfe870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655590-134C-4BB6-A148-E23000AF82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EB6BFC5-2350-491A-A2BD-DF7D1D851D3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C413BBB-3D79-405A-85C3-05E4A0559B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Input_Raw</vt:lpstr>
      <vt:lpstr>Input</vt:lpstr>
      <vt:lpstr>Financial Statements</vt:lpstr>
      <vt:lpstr>Common Size</vt:lpstr>
      <vt:lpstr>Detailed Comps</vt:lpstr>
      <vt:lpstr>Ccy</vt:lpstr>
      <vt:lpstr>Conv</vt:lpstr>
      <vt:lpstr>Date</vt:lpstr>
      <vt:lpstr>InputTicker</vt:lpstr>
      <vt:lpstr>'Common Size'!Print_Area</vt:lpstr>
      <vt:lpstr>'Detailed Comps'!Print_Area</vt:lpstr>
      <vt:lpstr>'Financial Statements'!Print_Area</vt:lpstr>
      <vt:lpstr>'Detailed Comps'!Print_Titles</vt:lpstr>
    </vt:vector>
  </TitlesOfParts>
  <Manager>Capital IQ, Inc.</Manager>
  <Company>Capital IQ,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Capital IQ, Inc.</dc:creator>
  <cp:lastModifiedBy>Patrik Šmid</cp:lastModifiedBy>
  <cp:lastPrinted>2012-06-05T17:05:55Z</cp:lastPrinted>
  <dcterms:created xsi:type="dcterms:W3CDTF">2002-03-18T23:28:38Z</dcterms:created>
  <dcterms:modified xsi:type="dcterms:W3CDTF">2026-07-11T15:11:42Z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{B4D9AC75-597D-4044-A6A8-5AE76CDFFFDC}</vt:lpwstr>
  </property>
  <property fmtid="{D5CDD505-2E9C-101B-9397-08002B2CF9AE}" pid="3" name="ContentTypeId">
    <vt:lpwstr>0x010100BA41F65D8D85C643B279395178BBB636</vt:lpwstr>
  </property>
</Properties>
</file>