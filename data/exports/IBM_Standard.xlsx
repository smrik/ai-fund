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03-Finance\ai-fund\ciq\templates\"/>
    </mc:Choice>
  </mc:AlternateContent>
  <xr:revisionPtr revIDLastSave="0" documentId="13_ncr:1_{99046F21-3039-4FE3-B409-5AD316D7A6F1}" xr6:coauthVersionLast="47" xr6:coauthVersionMax="47" xr10:uidLastSave="{00000000-0000-0000-0000-000000000000}"/>
  <bookViews>
    <workbookView xWindow="-120" yWindow="450" windowWidth="38640" windowHeight="20550" activeTab="3" xr2:uid="{00000000-000D-0000-FFFF-FFFF00000000}"/>
  </bookViews>
  <sheets>
    <sheet name="Input_Raw" sheetId="45" r:id="rId1"/>
    <sheet name="Input" sheetId="49" r:id="rId2"/>
    <sheet name="_CIQHiddenCacheSheet" sheetId="54" state="veryHidden" r:id="rId3"/>
    <sheet name="Financial Statements" sheetId="37" r:id="rId4"/>
    <sheet name="Common Size" sheetId="40" r:id="rId5"/>
    <sheet name="Detailed Comps" sheetId="38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3" hidden="1">'Financial Statements'!#REF!</definedName>
    <definedName name="Ccy">Input!$B$7</definedName>
    <definedName name="CIQWBGuid" hidden="1">"fe419928-b58e-437d-9f69-133ad49d7f65"</definedName>
    <definedName name="CIQWBInfo" hidden="1">"{ ""CIQVersion"":""9.52.4409.4666"" }"</definedName>
    <definedName name="Conv">Input!$B$8</definedName>
    <definedName name="Date">Input!$B$6</definedName>
    <definedName name="ExternalData_1" localSheetId="1" hidden="1">Input!#REF!</definedName>
    <definedName name="ExternalData_1" localSheetId="0" hidden="1">Input_Raw!$A$1:$B$6</definedName>
    <definedName name="InputTicker">Input!$B$2</definedName>
    <definedName name="IQ_ADDIN" hidden="1">"AUTO"</definedName>
    <definedName name="IQ_ANNUAL_DIVIDEND" hidden="1">"c229"</definedName>
    <definedName name="IQ_AVG_PRICE_TARGET" hidden="1">"c82"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CH">110000</definedName>
    <definedName name="IQ_CLASSB_OUTSTANDING_BS_DATE" hidden="1">"c1972"</definedName>
    <definedName name="IQ_CLASSB_OUTSTANDING_FILING_DATE" hidden="1">"c1974"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"c157"</definedName>
    <definedName name="IQ_EBIT_GROWTH_2" hidden="1">"c161"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"c156"</definedName>
    <definedName name="IQ_EBITDA_GROWTH_2" hidden="1">"c160"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"c189"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REVENUE_EST" hidden="1">"c165"</definedName>
    <definedName name="IQ_EV_OVER_REVENUE_EST_1" hidden="1">"c166"</definedName>
    <definedName name="IQ_EXPENSE_CODE_" hidden="1">"test"</definedName>
    <definedName name="IQ_FH">100000</definedName>
    <definedName name="IQ_FHLB_DUE_AFTER_FIVE" hidden="1">"c2086"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PERCENT_AMOUNT" hidden="1">"c240"</definedName>
    <definedName name="IQ_FIVEPERCENT_OWNER" hidden="1">"c239"</definedName>
    <definedName name="IQ_FLOAT" hidden="1">"c225"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">1000</definedName>
    <definedName name="IQ_FY_DATE" hidden="1">"IQ_FY_DATE"</definedName>
    <definedName name="IQ_INSIDER_3MTH_BOUGHT" hidden="1">"c1534"</definedName>
    <definedName name="IQ_INSIDER_3MTH_NET" hidden="1">"c1535"</definedName>
    <definedName name="IQ_INSIDER_3MTH_SOLD" hidden="1">"c1533"</definedName>
    <definedName name="IQ_INSIDER_6MTH_BOUGHT" hidden="1">"c1537"</definedName>
    <definedName name="IQ_INSIDER_6MTH_NET" hidden="1">"c1538"</definedName>
    <definedName name="IQ_INSIDER_6MTH_SOLD" hidden="1">"c1536"</definedName>
    <definedName name="IQ_INSIDER_AMOUNT" hidden="1">"c238"</definedName>
    <definedName name="IQ_INSTITUTIONAL_AMOUNT" hidden="1">"c236"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TM">2000</definedName>
    <definedName name="IQ_LTM_DATE" hidden="1">"IQ_LTM_DATE"</definedName>
    <definedName name="IQ_LTMMONTH" hidden="1">120000</definedName>
    <definedName name="IQ_MONTH">15000</definedName>
    <definedName name="IQ_MTD" hidden="1">800000</definedName>
    <definedName name="IQ_NAMES_REVISION_DATE_" hidden="1">"01/16/2026 15:33:52"</definedName>
    <definedName name="IQ_NAV_ACT_OR_EST" hidden="1">"c2225"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"c158"</definedName>
    <definedName name="IQ_NET_INC_GROWTH_2" hidden="1">"c162"</definedName>
    <definedName name="IQ_NTM">6000</definedName>
    <definedName name="IQ_NUM_OFFICES" hidden="1">"c2088"</definedName>
    <definedName name="IQ_NUMBER_SHAREHOLDERS_CLASSB" hidden="1">"c1969"</definedName>
    <definedName name="IQ_OG_OTHER_ADJ" hidden="1">"c1999"</definedName>
    <definedName name="IQ_OG_TOTAL_OIL_PRODUCTON" hidden="1">"c2059"</definedName>
    <definedName name="IQ_OPENED55" hidden="1">1</definedName>
    <definedName name="IQ_OPTIONS_EXCERCISED" hidden="1">"c2116"</definedName>
    <definedName name="IQ_OUTSTANDING_FILING_DATE_TOTAL" hidden="1">"c2107"</definedName>
    <definedName name="IQ_PERCENT_FLOAT" hidden="1">"c227"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"c174"</definedName>
    <definedName name="IQ_PRICE_OVER_EPS_EST_1" hidden="1">"c175"</definedName>
    <definedName name="IQ_PRICEDATETIME" hidden="1">"IQ_PRICEDATETIME"</definedName>
    <definedName name="IQ_PRIMARY_EPS_TYPE_THOM" hidden="1">"c5297"</definedName>
    <definedName name="IQ_QTD" hidden="1">750000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SHAREOUTSTANDING" hidden="1">"c1347"</definedName>
    <definedName name="IQ_SHORT_INTEREST_VOLUME" hidden="1">"c228"</definedName>
    <definedName name="IQ_TARGET_PRICE_LASTCLOSE" hidden="1">"c1855"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QB_BOOKMARK_COUNT" hidden="1">3</definedName>
    <definedName name="IQB_BOOKMARK_LOCATION_0" hidden="1">'Financial Statements'!$A$1</definedName>
    <definedName name="IQB_BOOKMARK_LOCATION_1" hidden="1">'Financial Statements'!#REF!</definedName>
    <definedName name="IQB_BOOKMARK_LOCATION_2" hidden="1">'Financial Statements'!#REF!</definedName>
    <definedName name="IQB_CURRENT_BOOKMARK" hidden="1">1</definedName>
    <definedName name="IQRA7" hidden="1">"$A$8:$A$11"</definedName>
    <definedName name="IQRB7" hidden="1">"$B$8:$B$11"</definedName>
    <definedName name="IQRBenchmarkAI6" hidden="1">[1]Benchmark!$AI$7</definedName>
    <definedName name="IQRBenchmarkAJ6" hidden="1">[1]Benchmark!$AJ$7</definedName>
    <definedName name="IQRBenchmarkAL6" hidden="1">[1]Benchmark!$AL$7</definedName>
    <definedName name="IQRBenchmarkAM6" hidden="1">[1]Benchmark!$AM$7</definedName>
    <definedName name="IQRBenchmarkAO6" hidden="1">[1]Benchmark!$AO$7</definedName>
    <definedName name="IQRBenchmarkAP6" hidden="1">[1]Benchmark!$AP$7</definedName>
    <definedName name="IQRBenchmarkAR6" hidden="1">[1]Benchmark!$AR$7</definedName>
    <definedName name="IQRBenchmarkAS6" hidden="1">[1]Benchmark!$AS$7</definedName>
    <definedName name="IQRBenchmarkAU6" hidden="1">[1]Benchmark!$AU$7</definedName>
    <definedName name="IQRBenchmarkAV6" hidden="1">[1]Benchmark!$AV$7</definedName>
    <definedName name="IQRBenchmarkAX6" hidden="1">[1]Benchmark!$AX$7</definedName>
    <definedName name="IQRBenchmarkAY6" hidden="1">[1]Benchmark!$AY$7</definedName>
    <definedName name="IQRBenchmarkBA6" hidden="1">[1]Benchmark!$BA$7</definedName>
    <definedName name="IQRBenchmarkBB6" hidden="1">[1]Benchmark!$BB$7</definedName>
    <definedName name="IQRBenchmarkBD6" hidden="1">[1]Benchmark!$BD$7</definedName>
    <definedName name="IQRBenchmarkBE6" hidden="1">[1]Benchmark!$BE$7</definedName>
    <definedName name="IQRBenchmarkBG6" hidden="1">[1]Benchmark!$BG$7</definedName>
    <definedName name="IQRBenchmarkBH6" hidden="1">[1]Benchmark!$BH$7</definedName>
    <definedName name="IQRBenchmarkBJ6" hidden="1">[1]Benchmark!$BJ$7</definedName>
    <definedName name="IQRBenchmarkBK6" hidden="1">[1]Benchmark!$BK$7</definedName>
    <definedName name="IQRBenchmarkBM6" hidden="1">[1]Benchmark!$BM$7</definedName>
    <definedName name="IQRBenchmarkBN6" hidden="1">[1]Benchmark!$BN$7</definedName>
    <definedName name="IQRC7" hidden="1">"$C$8:$C$11"</definedName>
    <definedName name="IQRCapitalStructureDetailsU34" hidden="1">'[2]Capital Structure Details'!$U$35:$U$59</definedName>
    <definedName name="IQRCapitalStructureDetailsU5" hidden="1">'[2]Capital Structure Details'!$U$6:$U$30</definedName>
    <definedName name="IQRCapitalStructureDetailsU63" hidden="1">'[2]Capital Structure Details'!$U$64:$U$88</definedName>
    <definedName name="IQRD7" hidden="1">"$D$8:$D$11"</definedName>
    <definedName name="IQRDataA8" hidden="1">[3]Data!$A$9:$A$261</definedName>
    <definedName name="IQRDataB8" hidden="1">[3]Data!$B$9:$B$261</definedName>
    <definedName name="IQRDataC8" hidden="1">[3]Data!$C$9:$C$261</definedName>
    <definedName name="IQRE7" hidden="1">"$E$8:$E$11"</definedName>
    <definedName name="IQRF7" hidden="1">"$F$8:$F$11"</definedName>
    <definedName name="IQRG7" hidden="1">"$G$8:$G$11"</definedName>
    <definedName name="IQRGrowthModelA9" hidden="1">'[4]Growth Model'!$A$10</definedName>
    <definedName name="IQRH7" hidden="1">"$H$8:$H$11"</definedName>
    <definedName name="IQRI7" hidden="1">"$I$8:$I$11"</definedName>
    <definedName name="IQRJ7" hidden="1">"$J$8:$J$11"</definedName>
    <definedName name="IQRMomentumModelA9" hidden="1">'[4]Momentum Model'!$A$10</definedName>
    <definedName name="IQRPortfolioAI6" hidden="1">[1]Portfolio!$AI$7</definedName>
    <definedName name="IQRPortfolioAJ6" hidden="1">[1]Portfolio!$AJ$7</definedName>
    <definedName name="IQRPortfolioAL6" hidden="1">[1]Portfolio!$AL$7</definedName>
    <definedName name="IQRPortfolioAM6" hidden="1">[1]Portfolio!$AM$7</definedName>
    <definedName name="IQRPortfolioAO6" hidden="1">[1]Portfolio!$AO$7</definedName>
    <definedName name="IQRPortfolioAP6" hidden="1">[1]Portfolio!$AP$7</definedName>
    <definedName name="IQRPortfolioAR6" hidden="1">[1]Portfolio!$AR$7</definedName>
    <definedName name="IQRPortfolioAS6" hidden="1">[1]Portfolio!$AS$7</definedName>
    <definedName name="IQRPortfolioAU6" hidden="1">[1]Portfolio!$AU$7</definedName>
    <definedName name="IQRPortfolioAV6" hidden="1">[1]Portfolio!$AV$7</definedName>
    <definedName name="IQRPortfolioAX6" hidden="1">[1]Portfolio!$AX$7</definedName>
    <definedName name="IQRPortfolioAY6" hidden="1">[1]Portfolio!$AY$7</definedName>
    <definedName name="IQRPortfolioBA6" hidden="1">[1]Portfolio!$BA$7</definedName>
    <definedName name="IQRPortfolioBB6" hidden="1">[1]Portfolio!$BB$7</definedName>
    <definedName name="IQRPortfolioBD6" hidden="1">[1]Portfolio!$BD$7</definedName>
    <definedName name="IQRPortfolioBE6" hidden="1">[1]Portfolio!$BE$7</definedName>
    <definedName name="IQRPortfolioBG6" hidden="1">[1]Portfolio!$BG$7</definedName>
    <definedName name="IQRPortfolioBH6" hidden="1">[1]Portfolio!$BH$7</definedName>
    <definedName name="IQRPortfolioBJ6" hidden="1">[1]Portfolio!$BJ$7</definedName>
    <definedName name="IQRPortfolioBK6" hidden="1">[1]Portfolio!$BK$7</definedName>
    <definedName name="IQRPortfolioBM6" hidden="1">[1]Portfolio!$BM$7</definedName>
    <definedName name="IQRPortfolioBN6" hidden="1">[1]Portfolio!$BN$7</definedName>
    <definedName name="IQRQualityModelA9" hidden="1">'[4]Quality Model'!$A$10</definedName>
    <definedName name="IQRValueModelA9" hidden="1">'[4]Value Model'!$A$10</definedName>
    <definedName name="Languages">OFFSET(#REF!,,,#REF!)</definedName>
    <definedName name="_xlnm.Print_Area" localSheetId="4">'Common Size'!$A$2:$M$55,'Common Size'!$A$56:$M$121</definedName>
    <definedName name="_xlnm.Print_Area" localSheetId="5">'Detailed Comps'!$A$1:$CH$10</definedName>
    <definedName name="_xlnm.Print_Area" localSheetId="3">'Financial Statements'!$A$1:$M$182,'Financial Statements'!$A$183:$M$280,'Financial Statements'!$A$281:$M$346,'Financial Statements'!$A$370:$M$471,'Financial Statements'!$A$473:$M$536</definedName>
    <definedName name="_xlnm.Print_Titles" localSheetId="4">'Common Size'!#REF!</definedName>
    <definedName name="_xlnm.Print_Titles" localSheetId="5">'Detailed Comps'!$A:$D</definedName>
    <definedName name="_xlnm.Print_Titles" localSheetId="3">'Financial Statements'!#REF!</definedName>
    <definedName name="SPWS_WBID">"0D145571-4AA7-4C6E-B8EB-4DF0FED2B8BC"</definedName>
    <definedName name="SPWS_WSID" localSheetId="4" hidden="1">"74B14380-D945-4DA9-AF4C-09AEA4A7FF0E"</definedName>
    <definedName name="SPWS_WSID" localSheetId="3" hidden="1">"57DB6723-E5BE-4B4A-A101-4BA9B54D516F"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financials_input_8f7c566d-870a-47f1-bc0e-bdda7aca83b5" name="financials_input" connection="Query - financials_inpu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36" i="37" l="1"/>
  <c r="K536" i="37"/>
  <c r="J536" i="37"/>
  <c r="I536" i="37"/>
  <c r="H536" i="37"/>
  <c r="G536" i="37"/>
  <c r="F536" i="37"/>
  <c r="J535" i="37"/>
  <c r="I535" i="37"/>
  <c r="H535" i="37"/>
  <c r="E536" i="37"/>
  <c r="D536" i="37"/>
  <c r="F535" i="37"/>
  <c r="E535" i="37"/>
  <c r="D535" i="37"/>
  <c r="L535" i="37"/>
  <c r="K535" i="37"/>
  <c r="E534" i="37"/>
  <c r="L534" i="37"/>
  <c r="K534" i="37"/>
  <c r="J534" i="37"/>
  <c r="G535" i="37"/>
  <c r="L533" i="37"/>
  <c r="I534" i="37"/>
  <c r="H534" i="37"/>
  <c r="G534" i="37"/>
  <c r="F534" i="37"/>
  <c r="J533" i="37"/>
  <c r="I533" i="37"/>
  <c r="H533" i="37"/>
  <c r="G533" i="37"/>
  <c r="D534" i="37"/>
  <c r="I532" i="37"/>
  <c r="F533" i="37"/>
  <c r="E533" i="37"/>
  <c r="D533" i="37"/>
  <c r="K533" i="37"/>
  <c r="E532" i="37"/>
  <c r="D532" i="37"/>
  <c r="L532" i="37"/>
  <c r="K532" i="37"/>
  <c r="J532" i="37"/>
  <c r="L531" i="37"/>
  <c r="K531" i="37"/>
  <c r="H532" i="37"/>
  <c r="G532" i="37"/>
  <c r="F532" i="37"/>
  <c r="J531" i="37"/>
  <c r="I531" i="37"/>
  <c r="H531" i="37"/>
  <c r="G531" i="37"/>
  <c r="F531" i="37"/>
  <c r="J530" i="37"/>
  <c r="I530" i="37"/>
  <c r="H530" i="37"/>
  <c r="E531" i="37"/>
  <c r="D531" i="37"/>
  <c r="F530" i="37"/>
  <c r="E530" i="37"/>
  <c r="D530" i="37"/>
  <c r="L530" i="37"/>
  <c r="K530" i="37"/>
  <c r="E529" i="37"/>
  <c r="L529" i="37"/>
  <c r="K529" i="37"/>
  <c r="J529" i="37"/>
  <c r="G530" i="37"/>
  <c r="L528" i="37"/>
  <c r="I529" i="37"/>
  <c r="H529" i="37"/>
  <c r="G529" i="37"/>
  <c r="F529" i="37"/>
  <c r="J528" i="37"/>
  <c r="I528" i="37"/>
  <c r="H528" i="37"/>
  <c r="G528" i="37"/>
  <c r="D529" i="37"/>
  <c r="I527" i="37"/>
  <c r="F528" i="37"/>
  <c r="E528" i="37"/>
  <c r="D528" i="37"/>
  <c r="K528" i="37"/>
  <c r="E527" i="37"/>
  <c r="D527" i="37"/>
  <c r="L527" i="37"/>
  <c r="K527" i="37"/>
  <c r="J527" i="37"/>
  <c r="L526" i="37"/>
  <c r="K526" i="37"/>
  <c r="H527" i="37"/>
  <c r="G527" i="37"/>
  <c r="F527" i="37"/>
  <c r="J526" i="37"/>
  <c r="I526" i="37"/>
  <c r="H526" i="37"/>
  <c r="G526" i="37"/>
  <c r="F526" i="37"/>
  <c r="J525" i="37"/>
  <c r="I525" i="37"/>
  <c r="H525" i="37"/>
  <c r="E526" i="37"/>
  <c r="D526" i="37"/>
  <c r="F525" i="37"/>
  <c r="E525" i="37"/>
  <c r="D525" i="37"/>
  <c r="L525" i="37"/>
  <c r="K525" i="37"/>
  <c r="E524" i="37"/>
  <c r="L524" i="37"/>
  <c r="K524" i="37"/>
  <c r="J524" i="37"/>
  <c r="G525" i="37"/>
  <c r="L523" i="37"/>
  <c r="I524" i="37"/>
  <c r="H524" i="37"/>
  <c r="G524" i="37"/>
  <c r="F524" i="37"/>
  <c r="J523" i="37"/>
  <c r="I523" i="37"/>
  <c r="H523" i="37"/>
  <c r="G523" i="37"/>
  <c r="D524" i="37"/>
  <c r="I522" i="37"/>
  <c r="F523" i="37"/>
  <c r="E523" i="37"/>
  <c r="D523" i="37"/>
  <c r="K523" i="37"/>
  <c r="E522" i="37"/>
  <c r="D522" i="37"/>
  <c r="L522" i="37"/>
  <c r="K522" i="37"/>
  <c r="J522" i="37"/>
  <c r="L521" i="37"/>
  <c r="K521" i="37"/>
  <c r="H522" i="37"/>
  <c r="G522" i="37"/>
  <c r="F522" i="37"/>
  <c r="J521" i="37"/>
  <c r="I521" i="37"/>
  <c r="H521" i="37"/>
  <c r="G521" i="37"/>
  <c r="F521" i="37"/>
  <c r="J520" i="37"/>
  <c r="I520" i="37"/>
  <c r="H520" i="37"/>
  <c r="E521" i="37"/>
  <c r="D521" i="37"/>
  <c r="F520" i="37"/>
  <c r="E520" i="37"/>
  <c r="D520" i="37"/>
  <c r="L520" i="37"/>
  <c r="K520" i="37"/>
  <c r="E519" i="37"/>
  <c r="L519" i="37"/>
  <c r="K519" i="37"/>
  <c r="J519" i="37"/>
  <c r="G520" i="37"/>
  <c r="L518" i="37"/>
  <c r="I519" i="37"/>
  <c r="H519" i="37"/>
  <c r="G519" i="37"/>
  <c r="F519" i="37"/>
  <c r="J518" i="37"/>
  <c r="I518" i="37"/>
  <c r="H518" i="37"/>
  <c r="G518" i="37"/>
  <c r="D519" i="37"/>
  <c r="K516" i="37"/>
  <c r="F518" i="37"/>
  <c r="E518" i="37"/>
  <c r="D518" i="37"/>
  <c r="K518" i="37"/>
  <c r="I516" i="37"/>
  <c r="H516" i="37"/>
  <c r="G516" i="37"/>
  <c r="F516" i="37"/>
  <c r="L516" i="37"/>
  <c r="I515" i="37"/>
  <c r="H515" i="37"/>
  <c r="E516" i="37"/>
  <c r="D516" i="37"/>
  <c r="J516" i="37"/>
  <c r="E515" i="37"/>
  <c r="D515" i="37"/>
  <c r="L515" i="37"/>
  <c r="K515" i="37"/>
  <c r="J515" i="37"/>
  <c r="L514" i="37"/>
  <c r="K514" i="37"/>
  <c r="J514" i="37"/>
  <c r="G515" i="37"/>
  <c r="F515" i="37"/>
  <c r="I514" i="37"/>
  <c r="H514" i="37"/>
  <c r="G514" i="37"/>
  <c r="F514" i="37"/>
  <c r="E514" i="37"/>
  <c r="I513" i="37"/>
  <c r="H513" i="37"/>
  <c r="G513" i="37"/>
  <c r="D514" i="37"/>
  <c r="L513" i="37"/>
  <c r="F513" i="37"/>
  <c r="E513" i="37"/>
  <c r="D513" i="37"/>
  <c r="K513" i="37"/>
  <c r="J513" i="37"/>
  <c r="D512" i="37"/>
  <c r="L512" i="37"/>
  <c r="K512" i="37"/>
  <c r="J512" i="37"/>
  <c r="I512" i="37"/>
  <c r="K511" i="37"/>
  <c r="H512" i="37"/>
  <c r="G512" i="37"/>
  <c r="F512" i="37"/>
  <c r="E512" i="37"/>
  <c r="I511" i="37"/>
  <c r="H511" i="37"/>
  <c r="G511" i="37"/>
  <c r="F511" i="37"/>
  <c r="L511" i="37"/>
  <c r="I510" i="37"/>
  <c r="H510" i="37"/>
  <c r="E511" i="37"/>
  <c r="D511" i="37"/>
  <c r="J511" i="37"/>
  <c r="E510" i="37"/>
  <c r="D510" i="37"/>
  <c r="L510" i="37"/>
  <c r="K510" i="37"/>
  <c r="J510" i="37"/>
  <c r="L509" i="37"/>
  <c r="K509" i="37"/>
  <c r="J509" i="37"/>
  <c r="G510" i="37"/>
  <c r="F510" i="37"/>
  <c r="I509" i="37"/>
  <c r="H509" i="37"/>
  <c r="G509" i="37"/>
  <c r="F509" i="37"/>
  <c r="E509" i="37"/>
  <c r="I508" i="37"/>
  <c r="H508" i="37"/>
  <c r="G508" i="37"/>
  <c r="D509" i="37"/>
  <c r="L508" i="37"/>
  <c r="F508" i="37"/>
  <c r="E508" i="37"/>
  <c r="D508" i="37"/>
  <c r="K508" i="37"/>
  <c r="J508" i="37"/>
  <c r="D507" i="37"/>
  <c r="L507" i="37"/>
  <c r="K507" i="37"/>
  <c r="J507" i="37"/>
  <c r="I507" i="37"/>
  <c r="K506" i="37"/>
  <c r="H507" i="37"/>
  <c r="G507" i="37"/>
  <c r="F507" i="37"/>
  <c r="E507" i="37"/>
  <c r="I506" i="37"/>
  <c r="H506" i="37"/>
  <c r="G506" i="37"/>
  <c r="F506" i="37"/>
  <c r="L506" i="37"/>
  <c r="I505" i="37"/>
  <c r="H505" i="37"/>
  <c r="E506" i="37"/>
  <c r="D506" i="37"/>
  <c r="J506" i="37"/>
  <c r="E505" i="37"/>
  <c r="D505" i="37"/>
  <c r="L505" i="37"/>
  <c r="K505" i="37"/>
  <c r="J505" i="37"/>
  <c r="L504" i="37"/>
  <c r="K504" i="37"/>
  <c r="J504" i="37"/>
  <c r="G505" i="37"/>
  <c r="F505" i="37"/>
  <c r="I504" i="37"/>
  <c r="H504" i="37"/>
  <c r="G504" i="37"/>
  <c r="F504" i="37"/>
  <c r="E504" i="37"/>
  <c r="I503" i="37"/>
  <c r="H503" i="37"/>
  <c r="G503" i="37"/>
  <c r="D504" i="37"/>
  <c r="L503" i="37"/>
  <c r="F503" i="37"/>
  <c r="E503" i="37"/>
  <c r="D503" i="37"/>
  <c r="K503" i="37"/>
  <c r="J503" i="37"/>
  <c r="D502" i="37"/>
  <c r="L502" i="37"/>
  <c r="K502" i="37"/>
  <c r="J502" i="37"/>
  <c r="I502" i="37"/>
  <c r="K501" i="37"/>
  <c r="H502" i="37"/>
  <c r="G502" i="37"/>
  <c r="F502" i="37"/>
  <c r="E502" i="37"/>
  <c r="I501" i="37"/>
  <c r="H501" i="37"/>
  <c r="G501" i="37"/>
  <c r="F501" i="37"/>
  <c r="L501" i="37"/>
  <c r="I500" i="37"/>
  <c r="H500" i="37"/>
  <c r="E501" i="37"/>
  <c r="D501" i="37"/>
  <c r="J501" i="37"/>
  <c r="E500" i="37"/>
  <c r="D500" i="37"/>
  <c r="L500" i="37"/>
  <c r="K500" i="37"/>
  <c r="J500" i="37"/>
  <c r="L499" i="37"/>
  <c r="K499" i="37"/>
  <c r="J499" i="37"/>
  <c r="G500" i="37"/>
  <c r="F500" i="37"/>
  <c r="I499" i="37"/>
  <c r="H499" i="37"/>
  <c r="G499" i="37"/>
  <c r="F499" i="37"/>
  <c r="E499" i="37"/>
  <c r="I498" i="37"/>
  <c r="H498" i="37"/>
  <c r="G498" i="37"/>
  <c r="D499" i="37"/>
  <c r="L498" i="37"/>
  <c r="F498" i="37"/>
  <c r="E498" i="37"/>
  <c r="D498" i="37"/>
  <c r="K498" i="37"/>
  <c r="J498" i="37"/>
  <c r="D497" i="37"/>
  <c r="L497" i="37"/>
  <c r="K497" i="37"/>
  <c r="J497" i="37"/>
  <c r="I497" i="37"/>
  <c r="K496" i="37"/>
  <c r="H497" i="37"/>
  <c r="G497" i="37"/>
  <c r="F497" i="37"/>
  <c r="E497" i="37"/>
  <c r="I496" i="37"/>
  <c r="H496" i="37"/>
  <c r="G496" i="37"/>
  <c r="F496" i="37"/>
  <c r="L496" i="37"/>
  <c r="I495" i="37"/>
  <c r="H495" i="37"/>
  <c r="E496" i="37"/>
  <c r="D496" i="37"/>
  <c r="J496" i="37"/>
  <c r="E495" i="37"/>
  <c r="D495" i="37"/>
  <c r="L495" i="37"/>
  <c r="K495" i="37"/>
  <c r="J495" i="37"/>
  <c r="L494" i="37"/>
  <c r="K494" i="37"/>
  <c r="J494" i="37"/>
  <c r="G495" i="37"/>
  <c r="F495" i="37"/>
  <c r="I494" i="37"/>
  <c r="H494" i="37"/>
  <c r="G494" i="37"/>
  <c r="F494" i="37"/>
  <c r="E494" i="37"/>
  <c r="I493" i="37"/>
  <c r="H493" i="37"/>
  <c r="G493" i="37"/>
  <c r="D494" i="37"/>
  <c r="L493" i="37"/>
  <c r="F493" i="37"/>
  <c r="E493" i="37"/>
  <c r="D493" i="37"/>
  <c r="K493" i="37"/>
  <c r="J493" i="37"/>
  <c r="D492" i="37"/>
  <c r="L492" i="37"/>
  <c r="K492" i="37"/>
  <c r="J492" i="37"/>
  <c r="I492" i="37"/>
  <c r="K491" i="37"/>
  <c r="H492" i="37"/>
  <c r="G492" i="37"/>
  <c r="F492" i="37"/>
  <c r="E492" i="37"/>
  <c r="I491" i="37"/>
  <c r="H491" i="37"/>
  <c r="G491" i="37"/>
  <c r="F491" i="37"/>
  <c r="L491" i="37"/>
  <c r="I490" i="37"/>
  <c r="H490" i="37"/>
  <c r="E491" i="37"/>
  <c r="D491" i="37"/>
  <c r="J491" i="37"/>
  <c r="E490" i="37"/>
  <c r="D490" i="37"/>
  <c r="L490" i="37"/>
  <c r="K490" i="37"/>
  <c r="J490" i="37"/>
  <c r="L489" i="37"/>
  <c r="K489" i="37"/>
  <c r="J489" i="37"/>
  <c r="G490" i="37"/>
  <c r="F490" i="37"/>
  <c r="I489" i="37"/>
  <c r="H489" i="37"/>
  <c r="G489" i="37"/>
  <c r="F489" i="37"/>
  <c r="E489" i="37"/>
  <c r="I488" i="37"/>
  <c r="H488" i="37"/>
  <c r="G488" i="37"/>
  <c r="D489" i="37"/>
  <c r="L488" i="37"/>
  <c r="F488" i="37"/>
  <c r="E488" i="37"/>
  <c r="D488" i="37"/>
  <c r="K488" i="37"/>
  <c r="J488" i="37"/>
  <c r="D487" i="37"/>
  <c r="L487" i="37"/>
  <c r="K487" i="37"/>
  <c r="J487" i="37"/>
  <c r="I487" i="37"/>
  <c r="K486" i="37"/>
  <c r="H487" i="37"/>
  <c r="G487" i="37"/>
  <c r="F487" i="37"/>
  <c r="E487" i="37"/>
  <c r="I486" i="37"/>
  <c r="H486" i="37"/>
  <c r="G486" i="37"/>
  <c r="F486" i="37"/>
  <c r="L486" i="37"/>
  <c r="I485" i="37"/>
  <c r="H485" i="37"/>
  <c r="E486" i="37"/>
  <c r="D486" i="37"/>
  <c r="J486" i="37"/>
  <c r="E485" i="37"/>
  <c r="D485" i="37"/>
  <c r="L485" i="37"/>
  <c r="K485" i="37"/>
  <c r="J485" i="37"/>
  <c r="L484" i="37"/>
  <c r="K484" i="37"/>
  <c r="J484" i="37"/>
  <c r="G485" i="37"/>
  <c r="F485" i="37"/>
  <c r="I484" i="37"/>
  <c r="H484" i="37"/>
  <c r="G484" i="37"/>
  <c r="F484" i="37"/>
  <c r="E484" i="37"/>
  <c r="I483" i="37"/>
  <c r="H483" i="37"/>
  <c r="G483" i="37"/>
  <c r="D484" i="37"/>
  <c r="L483" i="37"/>
  <c r="F483" i="37"/>
  <c r="E483" i="37"/>
  <c r="D483" i="37"/>
  <c r="K483" i="37"/>
  <c r="J483" i="37"/>
  <c r="D482" i="37"/>
  <c r="L482" i="37"/>
  <c r="K482" i="37"/>
  <c r="J482" i="37"/>
  <c r="I482" i="37"/>
  <c r="K481" i="37"/>
  <c r="H482" i="37"/>
  <c r="G482" i="37"/>
  <c r="F482" i="37"/>
  <c r="E482" i="37"/>
  <c r="I481" i="37"/>
  <c r="H481" i="37"/>
  <c r="G481" i="37"/>
  <c r="F481" i="37"/>
  <c r="L481" i="37"/>
  <c r="I480" i="37"/>
  <c r="H480" i="37"/>
  <c r="E481" i="37"/>
  <c r="D481" i="37"/>
  <c r="J481" i="37"/>
  <c r="E480" i="37"/>
  <c r="D480" i="37"/>
  <c r="L480" i="37"/>
  <c r="K480" i="37"/>
  <c r="J480" i="37"/>
  <c r="L479" i="37"/>
  <c r="K479" i="37"/>
  <c r="J479" i="37"/>
  <c r="G480" i="37"/>
  <c r="F480" i="37"/>
  <c r="I479" i="37"/>
  <c r="H479" i="37"/>
  <c r="G479" i="37"/>
  <c r="F479" i="37"/>
  <c r="E479" i="37"/>
  <c r="L471" i="37"/>
  <c r="K471" i="37"/>
  <c r="J471" i="37"/>
  <c r="I471" i="37"/>
  <c r="D479" i="37"/>
  <c r="H471" i="37"/>
  <c r="G471" i="37"/>
  <c r="F471" i="37"/>
  <c r="E471" i="37"/>
  <c r="D471" i="37"/>
  <c r="H470" i="37"/>
  <c r="G470" i="37"/>
  <c r="F470" i="37"/>
  <c r="L470" i="37"/>
  <c r="K470" i="37"/>
  <c r="H469" i="37"/>
  <c r="E470" i="37"/>
  <c r="D470" i="37"/>
  <c r="J470" i="37"/>
  <c r="I470" i="37"/>
  <c r="D469" i="37"/>
  <c r="L469" i="37"/>
  <c r="K469" i="37"/>
  <c r="J469" i="37"/>
  <c r="I469" i="37"/>
  <c r="K468" i="37"/>
  <c r="J468" i="37"/>
  <c r="G469" i="37"/>
  <c r="F469" i="37"/>
  <c r="E469" i="37"/>
  <c r="H468" i="37"/>
  <c r="G468" i="37"/>
  <c r="F468" i="37"/>
  <c r="E468" i="37"/>
  <c r="L468" i="37"/>
  <c r="F440" i="37"/>
  <c r="L440" i="37"/>
  <c r="K440" i="37"/>
  <c r="D468" i="37"/>
  <c r="I468" i="37"/>
  <c r="D440" i="37"/>
  <c r="J440" i="37"/>
  <c r="I440" i="37"/>
  <c r="H440" i="37"/>
  <c r="G440" i="37"/>
  <c r="I432" i="37"/>
  <c r="H432" i="37"/>
  <c r="G432" i="37"/>
  <c r="L432" i="37"/>
  <c r="E440" i="37"/>
  <c r="F432" i="37"/>
  <c r="E432" i="37"/>
  <c r="D432" i="37"/>
  <c r="K432" i="37"/>
  <c r="J432" i="37"/>
  <c r="D431" i="37"/>
  <c r="L431" i="37"/>
  <c r="K431" i="37"/>
  <c r="J431" i="37"/>
  <c r="I431" i="37"/>
  <c r="K430" i="37"/>
  <c r="H431" i="37"/>
  <c r="G431" i="37"/>
  <c r="F431" i="37"/>
  <c r="E431" i="37"/>
  <c r="I430" i="37"/>
  <c r="H430" i="37"/>
  <c r="G430" i="37"/>
  <c r="F430" i="37"/>
  <c r="L430" i="37"/>
  <c r="I429" i="37"/>
  <c r="H429" i="37"/>
  <c r="E430" i="37"/>
  <c r="D430" i="37"/>
  <c r="J430" i="37"/>
  <c r="E429" i="37"/>
  <c r="D429" i="37"/>
  <c r="L429" i="37"/>
  <c r="K429" i="37"/>
  <c r="J429" i="37"/>
  <c r="L428" i="37"/>
  <c r="K428" i="37"/>
  <c r="J428" i="37"/>
  <c r="G429" i="37"/>
  <c r="F429" i="37"/>
  <c r="I428" i="37"/>
  <c r="H428" i="37"/>
  <c r="G428" i="37"/>
  <c r="F428" i="37"/>
  <c r="E428" i="37"/>
  <c r="I427" i="37"/>
  <c r="H427" i="37"/>
  <c r="G427" i="37"/>
  <c r="D428" i="37"/>
  <c r="L427" i="37"/>
  <c r="F427" i="37"/>
  <c r="E427" i="37"/>
  <c r="D427" i="37"/>
  <c r="K427" i="37"/>
  <c r="J427" i="37"/>
  <c r="D426" i="37"/>
  <c r="L426" i="37"/>
  <c r="K426" i="37"/>
  <c r="J426" i="37"/>
  <c r="I426" i="37"/>
  <c r="K390" i="37"/>
  <c r="H426" i="37"/>
  <c r="G426" i="37"/>
  <c r="F426" i="37"/>
  <c r="E426" i="37"/>
  <c r="I390" i="37"/>
  <c r="H390" i="37"/>
  <c r="G390" i="37"/>
  <c r="F390" i="37"/>
  <c r="L390" i="37"/>
  <c r="J371" i="37"/>
  <c r="I371" i="37"/>
  <c r="E390" i="37"/>
  <c r="D390" i="37"/>
  <c r="J390" i="37"/>
  <c r="F371" i="37"/>
  <c r="E371" i="37"/>
  <c r="D371" i="37"/>
  <c r="L371" i="37"/>
  <c r="K371" i="37"/>
  <c r="F370" i="37"/>
  <c r="L370" i="37"/>
  <c r="K370" i="37"/>
  <c r="H371" i="37"/>
  <c r="G371" i="37"/>
  <c r="D370" i="37"/>
  <c r="J370" i="37"/>
  <c r="I370" i="37"/>
  <c r="H370" i="37"/>
  <c r="G370" i="37"/>
  <c r="G280" i="37"/>
  <c r="F280" i="37"/>
  <c r="L280" i="37"/>
  <c r="K280" i="37"/>
  <c r="E370" i="37"/>
  <c r="E280" i="37"/>
  <c r="D280" i="37"/>
  <c r="J280" i="37"/>
  <c r="I280" i="37"/>
  <c r="H280" i="37"/>
  <c r="L279" i="37"/>
  <c r="K279" i="37"/>
  <c r="J279" i="37"/>
  <c r="I279" i="37"/>
  <c r="H279" i="37"/>
  <c r="J278" i="37"/>
  <c r="G279" i="37"/>
  <c r="F279" i="37"/>
  <c r="E279" i="37"/>
  <c r="D279" i="37"/>
  <c r="G278" i="37"/>
  <c r="F278" i="37"/>
  <c r="E278" i="37"/>
  <c r="L278" i="37"/>
  <c r="K278" i="37"/>
  <c r="G277" i="37"/>
  <c r="D278" i="37"/>
  <c r="L277" i="37"/>
  <c r="I278" i="37"/>
  <c r="H278" i="37"/>
  <c r="D277" i="37"/>
  <c r="K277" i="37"/>
  <c r="J277" i="37"/>
  <c r="I277" i="37"/>
  <c r="H277" i="37"/>
  <c r="F240" i="37"/>
  <c r="L240" i="37"/>
  <c r="K240" i="37"/>
  <c r="F277" i="37"/>
  <c r="E277" i="37"/>
  <c r="D240" i="37"/>
  <c r="J240" i="37"/>
  <c r="I240" i="37"/>
  <c r="H240" i="37"/>
  <c r="G240" i="37"/>
  <c r="E133" i="37"/>
  <c r="L133" i="37"/>
  <c r="K133" i="37"/>
  <c r="J133" i="37"/>
  <c r="E240" i="37"/>
  <c r="L132" i="37"/>
  <c r="I133" i="37"/>
  <c r="H133" i="37"/>
  <c r="G133" i="37"/>
  <c r="F133" i="37"/>
  <c r="J132" i="37"/>
  <c r="I132" i="37"/>
  <c r="H132" i="37"/>
  <c r="G132" i="37"/>
  <c r="D133" i="37"/>
  <c r="I131" i="37"/>
  <c r="F132" i="37"/>
  <c r="E132" i="37"/>
  <c r="D132" i="37"/>
  <c r="K132" i="37"/>
  <c r="E131" i="37"/>
  <c r="D131" i="37"/>
  <c r="L131" i="37"/>
  <c r="K131" i="37"/>
  <c r="J131" i="37"/>
  <c r="L130" i="37"/>
  <c r="K130" i="37"/>
  <c r="H131" i="37"/>
  <c r="G131" i="37"/>
  <c r="F131" i="37"/>
  <c r="J130" i="37"/>
  <c r="I130" i="37"/>
  <c r="H130" i="37"/>
  <c r="G130" i="37"/>
  <c r="F130" i="37"/>
  <c r="L128" i="37"/>
  <c r="K128" i="37"/>
  <c r="J128" i="37"/>
  <c r="E130" i="37"/>
  <c r="D130" i="37"/>
  <c r="I128" i="37"/>
  <c r="H128" i="37"/>
  <c r="G128" i="37"/>
  <c r="F128" i="37"/>
  <c r="E128" i="37"/>
  <c r="I127" i="37"/>
  <c r="H127" i="37"/>
  <c r="G127" i="37"/>
  <c r="D128" i="37"/>
  <c r="L127" i="37"/>
  <c r="F127" i="37"/>
  <c r="E127" i="37"/>
  <c r="D127" i="37"/>
  <c r="K127" i="37"/>
  <c r="J127" i="37"/>
  <c r="H125" i="37"/>
  <c r="G125" i="37"/>
  <c r="F125" i="37"/>
  <c r="L125" i="37"/>
  <c r="K125" i="37"/>
  <c r="J123" i="37"/>
  <c r="E125" i="37"/>
  <c r="D125" i="37"/>
  <c r="J125" i="37"/>
  <c r="I125" i="37"/>
  <c r="G123" i="37"/>
  <c r="F123" i="37"/>
  <c r="E123" i="37"/>
  <c r="L123" i="37"/>
  <c r="K123" i="37"/>
  <c r="G122" i="37"/>
  <c r="D123" i="37"/>
  <c r="L122" i="37"/>
  <c r="I123" i="37"/>
  <c r="H123" i="37"/>
  <c r="D122" i="37"/>
  <c r="K122" i="37"/>
  <c r="J122" i="37"/>
  <c r="I122" i="37"/>
  <c r="H122" i="37"/>
  <c r="F95" i="37"/>
  <c r="L95" i="37"/>
  <c r="K95" i="37"/>
  <c r="F122" i="37"/>
  <c r="E122" i="37"/>
  <c r="D95" i="37"/>
  <c r="J95" i="37"/>
  <c r="I95" i="37"/>
  <c r="H95" i="37"/>
  <c r="G95" i="37"/>
  <c r="E73" i="37"/>
  <c r="L73" i="37"/>
  <c r="K73" i="37"/>
  <c r="J73" i="37"/>
  <c r="E95" i="37"/>
  <c r="L72" i="37"/>
  <c r="I73" i="37"/>
  <c r="H73" i="37"/>
  <c r="G73" i="37"/>
  <c r="F73" i="37"/>
  <c r="J72" i="37"/>
  <c r="I72" i="37"/>
  <c r="H72" i="37"/>
  <c r="G72" i="37"/>
  <c r="D73" i="37"/>
  <c r="J68" i="37"/>
  <c r="F72" i="37"/>
  <c r="E72" i="37"/>
  <c r="D72" i="37"/>
  <c r="K72" i="37"/>
  <c r="G68" i="37"/>
  <c r="F68" i="37"/>
  <c r="E68" i="37"/>
  <c r="L68" i="37"/>
  <c r="K68" i="37"/>
  <c r="J66" i="37"/>
  <c r="I66" i="37"/>
  <c r="D68" i="37"/>
  <c r="I68" i="37"/>
  <c r="H68" i="37"/>
  <c r="F66" i="37"/>
  <c r="E66" i="37"/>
  <c r="D66" i="37"/>
  <c r="L66" i="37"/>
  <c r="K66" i="37"/>
  <c r="F65" i="37"/>
  <c r="L65" i="37"/>
  <c r="K65" i="37"/>
  <c r="H66" i="37"/>
  <c r="G66" i="37"/>
  <c r="D65" i="37"/>
  <c r="J65" i="37"/>
  <c r="I65" i="37"/>
  <c r="H65" i="37"/>
  <c r="G65" i="37"/>
  <c r="L61" i="37"/>
  <c r="K61" i="37"/>
  <c r="J61" i="37"/>
  <c r="I61" i="37"/>
  <c r="E65" i="37"/>
  <c r="H61" i="37"/>
  <c r="G61" i="37"/>
  <c r="F61" i="37"/>
  <c r="E61" i="37"/>
  <c r="D61" i="37"/>
  <c r="F58" i="37"/>
  <c r="E58" i="37"/>
  <c r="L58" i="37"/>
  <c r="K58" i="37"/>
  <c r="J58" i="37"/>
  <c r="L2" i="37"/>
  <c r="D58" i="37"/>
  <c r="I58" i="37"/>
  <c r="H58" i="37"/>
  <c r="G58" i="37"/>
  <c r="K2" i="37"/>
  <c r="J2" i="37"/>
  <c r="I2" i="37"/>
  <c r="H2" i="37"/>
  <c r="G2" i="37"/>
  <c r="J517" i="37"/>
  <c r="I517" i="37"/>
  <c r="F2" i="37"/>
  <c r="E2" i="37"/>
  <c r="D2" i="37"/>
  <c r="F517" i="37"/>
  <c r="E517" i="37"/>
  <c r="D517" i="37"/>
  <c r="L517" i="37"/>
  <c r="K517" i="37"/>
  <c r="H467" i="37"/>
  <c r="G467" i="37"/>
  <c r="L467" i="37"/>
  <c r="H517" i="37"/>
  <c r="G517" i="37"/>
  <c r="E467" i="37"/>
  <c r="D467" i="37"/>
  <c r="K467" i="37"/>
  <c r="J467" i="37"/>
  <c r="I467" i="37"/>
  <c r="L466" i="37"/>
  <c r="K466" i="37"/>
  <c r="J466" i="37"/>
  <c r="I466" i="37"/>
  <c r="F467" i="37"/>
  <c r="H466" i="37"/>
  <c r="G466" i="37"/>
  <c r="F466" i="37"/>
  <c r="E466" i="37"/>
  <c r="D466" i="37"/>
  <c r="H465" i="37"/>
  <c r="G465" i="37"/>
  <c r="F465" i="37"/>
  <c r="L465" i="37"/>
  <c r="K465" i="37"/>
  <c r="H464" i="37"/>
  <c r="E465" i="37"/>
  <c r="D465" i="37"/>
  <c r="J465" i="37"/>
  <c r="I465" i="37"/>
  <c r="D464" i="37"/>
  <c r="L464" i="37"/>
  <c r="K464" i="37"/>
  <c r="J464" i="37"/>
  <c r="I464" i="37"/>
  <c r="K463" i="37"/>
  <c r="J463" i="37"/>
  <c r="G464" i="37"/>
  <c r="F464" i="37"/>
  <c r="E464" i="37"/>
  <c r="H463" i="37"/>
  <c r="G463" i="37"/>
  <c r="F463" i="37"/>
  <c r="E463" i="37"/>
  <c r="L463" i="37"/>
  <c r="H462" i="37"/>
  <c r="G462" i="37"/>
  <c r="D463" i="37"/>
  <c r="L462" i="37"/>
  <c r="I463" i="37"/>
  <c r="E462" i="37"/>
  <c r="D462" i="37"/>
  <c r="K462" i="37"/>
  <c r="J462" i="37"/>
  <c r="I462" i="37"/>
  <c r="L461" i="37"/>
  <c r="K461" i="37"/>
  <c r="J461" i="37"/>
  <c r="I461" i="37"/>
  <c r="F462" i="37"/>
  <c r="H461" i="37"/>
  <c r="G461" i="37"/>
  <c r="F461" i="37"/>
  <c r="E461" i="37"/>
  <c r="D461" i="37"/>
  <c r="H460" i="37"/>
  <c r="G460" i="37"/>
  <c r="F460" i="37"/>
  <c r="L460" i="37"/>
  <c r="K460" i="37"/>
  <c r="H459" i="37"/>
  <c r="E460" i="37"/>
  <c r="D460" i="37"/>
  <c r="J460" i="37"/>
  <c r="I460" i="37"/>
  <c r="D459" i="37"/>
  <c r="L459" i="37"/>
  <c r="K459" i="37"/>
  <c r="J459" i="37"/>
  <c r="I459" i="37"/>
  <c r="K458" i="37"/>
  <c r="J458" i="37"/>
  <c r="G459" i="37"/>
  <c r="F459" i="37"/>
  <c r="E459" i="37"/>
  <c r="H458" i="37"/>
  <c r="G458" i="37"/>
  <c r="F458" i="37"/>
  <c r="E458" i="37"/>
  <c r="L458" i="37"/>
  <c r="H457" i="37"/>
  <c r="G457" i="37"/>
  <c r="D458" i="37"/>
  <c r="L457" i="37"/>
  <c r="I458" i="37"/>
  <c r="E457" i="37"/>
  <c r="D457" i="37"/>
  <c r="K457" i="37"/>
  <c r="J457" i="37"/>
  <c r="I457" i="37"/>
  <c r="L456" i="37"/>
  <c r="K456" i="37"/>
  <c r="J456" i="37"/>
  <c r="I456" i="37"/>
  <c r="F457" i="37"/>
  <c r="H456" i="37"/>
  <c r="G456" i="37"/>
  <c r="F456" i="37"/>
  <c r="E456" i="37"/>
  <c r="D456" i="37"/>
  <c r="H455" i="37"/>
  <c r="G455" i="37"/>
  <c r="F455" i="37"/>
  <c r="L455" i="37"/>
  <c r="K455" i="37"/>
  <c r="H454" i="37"/>
  <c r="E455" i="37"/>
  <c r="D455" i="37"/>
  <c r="J455" i="37"/>
  <c r="I455" i="37"/>
  <c r="D454" i="37"/>
  <c r="L454" i="37"/>
  <c r="K454" i="37"/>
  <c r="J454" i="37"/>
  <c r="I454" i="37"/>
  <c r="K453" i="37"/>
  <c r="J453" i="37"/>
  <c r="G454" i="37"/>
  <c r="F454" i="37"/>
  <c r="E454" i="37"/>
  <c r="H453" i="37"/>
  <c r="G453" i="37"/>
  <c r="F453" i="37"/>
  <c r="E453" i="37"/>
  <c r="L453" i="37"/>
  <c r="H452" i="37"/>
  <c r="G452" i="37"/>
  <c r="D453" i="37"/>
  <c r="L452" i="37"/>
  <c r="I453" i="37"/>
  <c r="E452" i="37"/>
  <c r="D452" i="37"/>
  <c r="K452" i="37"/>
  <c r="J452" i="37"/>
  <c r="I452" i="37"/>
  <c r="L451" i="37"/>
  <c r="K451" i="37"/>
  <c r="J451" i="37"/>
  <c r="I451" i="37"/>
  <c r="F452" i="37"/>
  <c r="H451" i="37"/>
  <c r="G451" i="37"/>
  <c r="F451" i="37"/>
  <c r="E451" i="37"/>
  <c r="D451" i="37"/>
  <c r="H450" i="37"/>
  <c r="G450" i="37"/>
  <c r="F450" i="37"/>
  <c r="L450" i="37"/>
  <c r="K450" i="37"/>
  <c r="H449" i="37"/>
  <c r="E450" i="37"/>
  <c r="D450" i="37"/>
  <c r="J450" i="37"/>
  <c r="I450" i="37"/>
  <c r="D449" i="37"/>
  <c r="L449" i="37"/>
  <c r="K449" i="37"/>
  <c r="J449" i="37"/>
  <c r="I449" i="37"/>
  <c r="K448" i="37"/>
  <c r="J448" i="37"/>
  <c r="G449" i="37"/>
  <c r="F449" i="37"/>
  <c r="E449" i="37"/>
  <c r="H448" i="37"/>
  <c r="G448" i="37"/>
  <c r="F448" i="37"/>
  <c r="E448" i="37"/>
  <c r="L448" i="37"/>
  <c r="H447" i="37"/>
  <c r="G447" i="37"/>
  <c r="D448" i="37"/>
  <c r="L447" i="37"/>
  <c r="I448" i="37"/>
  <c r="E447" i="37"/>
  <c r="D447" i="37"/>
  <c r="K447" i="37"/>
  <c r="J447" i="37"/>
  <c r="I447" i="37"/>
  <c r="L446" i="37"/>
  <c r="K446" i="37"/>
  <c r="J446" i="37"/>
  <c r="I446" i="37"/>
  <c r="F447" i="37"/>
  <c r="H446" i="37"/>
  <c r="G446" i="37"/>
  <c r="F446" i="37"/>
  <c r="E446" i="37"/>
  <c r="D446" i="37"/>
  <c r="H445" i="37"/>
  <c r="G445" i="37"/>
  <c r="F445" i="37"/>
  <c r="L445" i="37"/>
  <c r="K445" i="37"/>
  <c r="H444" i="37"/>
  <c r="E445" i="37"/>
  <c r="D445" i="37"/>
  <c r="J445" i="37"/>
  <c r="I445" i="37"/>
  <c r="D444" i="37"/>
  <c r="L444" i="37"/>
  <c r="K444" i="37"/>
  <c r="J444" i="37"/>
  <c r="I444" i="37"/>
  <c r="K443" i="37"/>
  <c r="J443" i="37"/>
  <c r="G444" i="37"/>
  <c r="F444" i="37"/>
  <c r="E444" i="37"/>
  <c r="H443" i="37"/>
  <c r="G443" i="37"/>
  <c r="F443" i="37"/>
  <c r="E443" i="37"/>
  <c r="L443" i="37"/>
  <c r="H442" i="37"/>
  <c r="G442" i="37"/>
  <c r="D443" i="37"/>
  <c r="L442" i="37"/>
  <c r="I443" i="37"/>
  <c r="E442" i="37"/>
  <c r="D442" i="37"/>
  <c r="K442" i="37"/>
  <c r="J442" i="37"/>
  <c r="I442" i="37"/>
  <c r="L441" i="37"/>
  <c r="K441" i="37"/>
  <c r="J441" i="37"/>
  <c r="I441" i="37"/>
  <c r="F442" i="37"/>
  <c r="H441" i="37"/>
  <c r="G441" i="37"/>
  <c r="F441" i="37"/>
  <c r="E441" i="37"/>
  <c r="D441" i="37"/>
  <c r="L439" i="37"/>
  <c r="K439" i="37"/>
  <c r="J439" i="37"/>
  <c r="I439" i="37"/>
  <c r="H439" i="37"/>
  <c r="J438" i="37"/>
  <c r="G439" i="37"/>
  <c r="F439" i="37"/>
  <c r="E439" i="37"/>
  <c r="D439" i="37"/>
  <c r="G438" i="37"/>
  <c r="F438" i="37"/>
  <c r="E438" i="37"/>
  <c r="L438" i="37"/>
  <c r="K438" i="37"/>
  <c r="G437" i="37"/>
  <c r="D438" i="37"/>
  <c r="L437" i="37"/>
  <c r="I438" i="37"/>
  <c r="H438" i="37"/>
  <c r="D437" i="37"/>
  <c r="K437" i="37"/>
  <c r="J437" i="37"/>
  <c r="I437" i="37"/>
  <c r="H437" i="37"/>
  <c r="K436" i="37"/>
  <c r="J436" i="37"/>
  <c r="I436" i="37"/>
  <c r="F437" i="37"/>
  <c r="E437" i="37"/>
  <c r="G436" i="37"/>
  <c r="F436" i="37"/>
  <c r="E436" i="37"/>
  <c r="D436" i="37"/>
  <c r="L436" i="37"/>
  <c r="G435" i="37"/>
  <c r="F435" i="37"/>
  <c r="L435" i="37"/>
  <c r="K435" i="37"/>
  <c r="H436" i="37"/>
  <c r="E435" i="37"/>
  <c r="D435" i="37"/>
  <c r="J435" i="37"/>
  <c r="I435" i="37"/>
  <c r="H435" i="37"/>
  <c r="L434" i="37"/>
  <c r="K434" i="37"/>
  <c r="J434" i="37"/>
  <c r="I434" i="37"/>
  <c r="H434" i="37"/>
  <c r="J433" i="37"/>
  <c r="G434" i="37"/>
  <c r="F434" i="37"/>
  <c r="E434" i="37"/>
  <c r="D434" i="37"/>
  <c r="G433" i="37"/>
  <c r="F433" i="37"/>
  <c r="E433" i="37"/>
  <c r="L433" i="37"/>
  <c r="K433" i="37"/>
  <c r="L425" i="37"/>
  <c r="K425" i="37"/>
  <c r="D433" i="37"/>
  <c r="I433" i="37"/>
  <c r="H433" i="37"/>
  <c r="J425" i="37"/>
  <c r="I425" i="37"/>
  <c r="H425" i="37"/>
  <c r="G425" i="37"/>
  <c r="F425" i="37"/>
  <c r="J424" i="37"/>
  <c r="I424" i="37"/>
  <c r="H424" i="37"/>
  <c r="E425" i="37"/>
  <c r="D425" i="37"/>
  <c r="F424" i="37"/>
  <c r="E424" i="37"/>
  <c r="D424" i="37"/>
  <c r="L424" i="37"/>
  <c r="K424" i="37"/>
  <c r="E423" i="37"/>
  <c r="L423" i="37"/>
  <c r="K423" i="37"/>
  <c r="J423" i="37"/>
  <c r="G424" i="37"/>
  <c r="L422" i="37"/>
  <c r="I423" i="37"/>
  <c r="H423" i="37"/>
  <c r="G423" i="37"/>
  <c r="F423" i="37"/>
  <c r="J422" i="37"/>
  <c r="I422" i="37"/>
  <c r="H422" i="37"/>
  <c r="G422" i="37"/>
  <c r="D423" i="37"/>
  <c r="I421" i="37"/>
  <c r="F422" i="37"/>
  <c r="E422" i="37"/>
  <c r="D422" i="37"/>
  <c r="K422" i="37"/>
  <c r="E421" i="37"/>
  <c r="D421" i="37"/>
  <c r="L421" i="37"/>
  <c r="K421" i="37"/>
  <c r="J421" i="37"/>
  <c r="L420" i="37"/>
  <c r="K420" i="37"/>
  <c r="H421" i="37"/>
  <c r="G421" i="37"/>
  <c r="F421" i="37"/>
  <c r="J420" i="37"/>
  <c r="I420" i="37"/>
  <c r="H420" i="37"/>
  <c r="G420" i="37"/>
  <c r="F420" i="37"/>
  <c r="J419" i="37"/>
  <c r="I419" i="37"/>
  <c r="H419" i="37"/>
  <c r="E420" i="37"/>
  <c r="D420" i="37"/>
  <c r="F419" i="37"/>
  <c r="E419" i="37"/>
  <c r="D419" i="37"/>
  <c r="L419" i="37"/>
  <c r="K419" i="37"/>
  <c r="E418" i="37"/>
  <c r="L418" i="37"/>
  <c r="K418" i="37"/>
  <c r="J418" i="37"/>
  <c r="G419" i="37"/>
  <c r="L417" i="37"/>
  <c r="I418" i="37"/>
  <c r="H418" i="37"/>
  <c r="G418" i="37"/>
  <c r="F418" i="37"/>
  <c r="J417" i="37"/>
  <c r="I417" i="37"/>
  <c r="H417" i="37"/>
  <c r="G417" i="37"/>
  <c r="D418" i="37"/>
  <c r="I416" i="37"/>
  <c r="F417" i="37"/>
  <c r="E417" i="37"/>
  <c r="D417" i="37"/>
  <c r="K417" i="37"/>
  <c r="E416" i="37"/>
  <c r="D416" i="37"/>
  <c r="L416" i="37"/>
  <c r="K416" i="37"/>
  <c r="J416" i="37"/>
  <c r="L415" i="37"/>
  <c r="K415" i="37"/>
  <c r="H416" i="37"/>
  <c r="G416" i="37"/>
  <c r="F416" i="37"/>
  <c r="J415" i="37"/>
  <c r="I415" i="37"/>
  <c r="H415" i="37"/>
  <c r="G415" i="37"/>
  <c r="F415" i="37"/>
  <c r="J414" i="37"/>
  <c r="I414" i="37"/>
  <c r="H414" i="37"/>
  <c r="E415" i="37"/>
  <c r="D415" i="37"/>
  <c r="F414" i="37"/>
  <c r="E414" i="37"/>
  <c r="D414" i="37"/>
  <c r="L414" i="37"/>
  <c r="K414" i="37"/>
  <c r="E413" i="37"/>
  <c r="L413" i="37"/>
  <c r="K413" i="37"/>
  <c r="J413" i="37"/>
  <c r="G414" i="37"/>
  <c r="L412" i="37"/>
  <c r="I413" i="37"/>
  <c r="H413" i="37"/>
  <c r="G413" i="37"/>
  <c r="F413" i="37"/>
  <c r="J412" i="37"/>
  <c r="I412" i="37"/>
  <c r="H412" i="37"/>
  <c r="G412" i="37"/>
  <c r="D413" i="37"/>
  <c r="I411" i="37"/>
  <c r="F412" i="37"/>
  <c r="E412" i="37"/>
  <c r="D412" i="37"/>
  <c r="K412" i="37"/>
  <c r="E411" i="37"/>
  <c r="D411" i="37"/>
  <c r="L411" i="37"/>
  <c r="K411" i="37"/>
  <c r="J411" i="37"/>
  <c r="L410" i="37"/>
  <c r="K410" i="37"/>
  <c r="H411" i="37"/>
  <c r="G411" i="37"/>
  <c r="F411" i="37"/>
  <c r="J410" i="37"/>
  <c r="I410" i="37"/>
  <c r="H410" i="37"/>
  <c r="G410" i="37"/>
  <c r="F410" i="37"/>
  <c r="J409" i="37"/>
  <c r="I409" i="37"/>
  <c r="H409" i="37"/>
  <c r="E410" i="37"/>
  <c r="D410" i="37"/>
  <c r="F409" i="37"/>
  <c r="E409" i="37"/>
  <c r="D409" i="37"/>
  <c r="L409" i="37"/>
  <c r="K409" i="37"/>
  <c r="E408" i="37"/>
  <c r="L408" i="37"/>
  <c r="K408" i="37"/>
  <c r="J408" i="37"/>
  <c r="G409" i="37"/>
  <c r="L407" i="37"/>
  <c r="I408" i="37"/>
  <c r="H408" i="37"/>
  <c r="G408" i="37"/>
  <c r="F408" i="37"/>
  <c r="J407" i="37"/>
  <c r="I407" i="37"/>
  <c r="H407" i="37"/>
  <c r="G407" i="37"/>
  <c r="D408" i="37"/>
  <c r="I406" i="37"/>
  <c r="F407" i="37"/>
  <c r="E407" i="37"/>
  <c r="D407" i="37"/>
  <c r="K407" i="37"/>
  <c r="E406" i="37"/>
  <c r="D406" i="37"/>
  <c r="L406" i="37"/>
  <c r="K406" i="37"/>
  <c r="J406" i="37"/>
  <c r="L405" i="37"/>
  <c r="K405" i="37"/>
  <c r="H406" i="37"/>
  <c r="G406" i="37"/>
  <c r="F406" i="37"/>
  <c r="J405" i="37"/>
  <c r="I405" i="37"/>
  <c r="H405" i="37"/>
  <c r="G405" i="37"/>
  <c r="F405" i="37"/>
  <c r="J404" i="37"/>
  <c r="I404" i="37"/>
  <c r="H404" i="37"/>
  <c r="E405" i="37"/>
  <c r="D405" i="37"/>
  <c r="F404" i="37"/>
  <c r="E404" i="37"/>
  <c r="D404" i="37"/>
  <c r="L404" i="37"/>
  <c r="K404" i="37"/>
  <c r="E403" i="37"/>
  <c r="L403" i="37"/>
  <c r="K403" i="37"/>
  <c r="J403" i="37"/>
  <c r="G404" i="37"/>
  <c r="L402" i="37"/>
  <c r="I403" i="37"/>
  <c r="H403" i="37"/>
  <c r="G403" i="37"/>
  <c r="F403" i="37"/>
  <c r="J402" i="37"/>
  <c r="I402" i="37"/>
  <c r="H402" i="37"/>
  <c r="G402" i="37"/>
  <c r="D403" i="37"/>
  <c r="I401" i="37"/>
  <c r="F402" i="37"/>
  <c r="E402" i="37"/>
  <c r="D402" i="37"/>
  <c r="K402" i="37"/>
  <c r="E401" i="37"/>
  <c r="D401" i="37"/>
  <c r="L401" i="37"/>
  <c r="K401" i="37"/>
  <c r="J401" i="37"/>
  <c r="L400" i="37"/>
  <c r="K400" i="37"/>
  <c r="H401" i="37"/>
  <c r="G401" i="37"/>
  <c r="F401" i="37"/>
  <c r="J400" i="37"/>
  <c r="I400" i="37"/>
  <c r="H400" i="37"/>
  <c r="G400" i="37"/>
  <c r="F400" i="37"/>
  <c r="J399" i="37"/>
  <c r="I399" i="37"/>
  <c r="H399" i="37"/>
  <c r="E400" i="37"/>
  <c r="D400" i="37"/>
  <c r="F399" i="37"/>
  <c r="E399" i="37"/>
  <c r="D399" i="37"/>
  <c r="L399" i="37"/>
  <c r="K399" i="37"/>
  <c r="E398" i="37"/>
  <c r="L398" i="37"/>
  <c r="K398" i="37"/>
  <c r="J398" i="37"/>
  <c r="G399" i="37"/>
  <c r="L397" i="37"/>
  <c r="I398" i="37"/>
  <c r="H398" i="37"/>
  <c r="G398" i="37"/>
  <c r="F398" i="37"/>
  <c r="J397" i="37"/>
  <c r="I397" i="37"/>
  <c r="H397" i="37"/>
  <c r="G397" i="37"/>
  <c r="D398" i="37"/>
  <c r="I396" i="37"/>
  <c r="F397" i="37"/>
  <c r="E397" i="37"/>
  <c r="D397" i="37"/>
  <c r="K397" i="37"/>
  <c r="E396" i="37"/>
  <c r="D396" i="37"/>
  <c r="L396" i="37"/>
  <c r="K396" i="37"/>
  <c r="J396" i="37"/>
  <c r="L395" i="37"/>
  <c r="K395" i="37"/>
  <c r="H396" i="37"/>
  <c r="G396" i="37"/>
  <c r="F396" i="37"/>
  <c r="J395" i="37"/>
  <c r="I395" i="37"/>
  <c r="H395" i="37"/>
  <c r="G395" i="37"/>
  <c r="F395" i="37"/>
  <c r="J394" i="37"/>
  <c r="I394" i="37"/>
  <c r="H394" i="37"/>
  <c r="E395" i="37"/>
  <c r="D395" i="37"/>
  <c r="F394" i="37"/>
  <c r="E394" i="37"/>
  <c r="D394" i="37"/>
  <c r="L394" i="37"/>
  <c r="K394" i="37"/>
  <c r="E393" i="37"/>
  <c r="L393" i="37"/>
  <c r="K393" i="37"/>
  <c r="J393" i="37"/>
  <c r="G394" i="37"/>
  <c r="L392" i="37"/>
  <c r="I393" i="37"/>
  <c r="H393" i="37"/>
  <c r="G393" i="37"/>
  <c r="F393" i="37"/>
  <c r="J392" i="37"/>
  <c r="I392" i="37"/>
  <c r="H392" i="37"/>
  <c r="G392" i="37"/>
  <c r="D393" i="37"/>
  <c r="I391" i="37"/>
  <c r="F392" i="37"/>
  <c r="E392" i="37"/>
  <c r="D392" i="37"/>
  <c r="K392" i="37"/>
  <c r="E391" i="37"/>
  <c r="D391" i="37"/>
  <c r="L391" i="37"/>
  <c r="K391" i="37"/>
  <c r="J391" i="37"/>
  <c r="I389" i="37"/>
  <c r="H389" i="37"/>
  <c r="H391" i="37"/>
  <c r="G391" i="37"/>
  <c r="F391" i="37"/>
  <c r="E389" i="37"/>
  <c r="D389" i="37"/>
  <c r="L389" i="37"/>
  <c r="K389" i="37"/>
  <c r="J389" i="37"/>
  <c r="L388" i="37"/>
  <c r="K388" i="37"/>
  <c r="J388" i="37"/>
  <c r="G389" i="37"/>
  <c r="F389" i="37"/>
  <c r="I388" i="37"/>
  <c r="H388" i="37"/>
  <c r="G388" i="37"/>
  <c r="F388" i="37"/>
  <c r="E388" i="37"/>
  <c r="I387" i="37"/>
  <c r="H387" i="37"/>
  <c r="G387" i="37"/>
  <c r="D388" i="37"/>
  <c r="L387" i="37"/>
  <c r="F387" i="37"/>
  <c r="E387" i="37"/>
  <c r="D387" i="37"/>
  <c r="K387" i="37"/>
  <c r="J387" i="37"/>
  <c r="D386" i="37"/>
  <c r="L386" i="37"/>
  <c r="K386" i="37"/>
  <c r="J386" i="37"/>
  <c r="I386" i="37"/>
  <c r="K385" i="37"/>
  <c r="H386" i="37"/>
  <c r="G386" i="37"/>
  <c r="F386" i="37"/>
  <c r="E386" i="37"/>
  <c r="I385" i="37"/>
  <c r="H385" i="37"/>
  <c r="G385" i="37"/>
  <c r="F385" i="37"/>
  <c r="L385" i="37"/>
  <c r="I384" i="37"/>
  <c r="H384" i="37"/>
  <c r="E385" i="37"/>
  <c r="D385" i="37"/>
  <c r="J385" i="37"/>
  <c r="E384" i="37"/>
  <c r="D384" i="37"/>
  <c r="L384" i="37"/>
  <c r="K384" i="37"/>
  <c r="J384" i="37"/>
  <c r="L383" i="37"/>
  <c r="K383" i="37"/>
  <c r="J383" i="37"/>
  <c r="G384" i="37"/>
  <c r="F384" i="37"/>
  <c r="I383" i="37"/>
  <c r="H383" i="37"/>
  <c r="G383" i="37"/>
  <c r="F383" i="37"/>
  <c r="E383" i="37"/>
  <c r="I382" i="37"/>
  <c r="H382" i="37"/>
  <c r="G382" i="37"/>
  <c r="D383" i="37"/>
  <c r="L382" i="37"/>
  <c r="F382" i="37"/>
  <c r="E382" i="37"/>
  <c r="D382" i="37"/>
  <c r="K382" i="37"/>
  <c r="J382" i="37"/>
  <c r="D381" i="37"/>
  <c r="L381" i="37"/>
  <c r="K381" i="37"/>
  <c r="J381" i="37"/>
  <c r="I381" i="37"/>
  <c r="K380" i="37"/>
  <c r="H381" i="37"/>
  <c r="G381" i="37"/>
  <c r="F381" i="37"/>
  <c r="E381" i="37"/>
  <c r="I380" i="37"/>
  <c r="H380" i="37"/>
  <c r="G380" i="37"/>
  <c r="F380" i="37"/>
  <c r="L380" i="37"/>
  <c r="I379" i="37"/>
  <c r="H379" i="37"/>
  <c r="E380" i="37"/>
  <c r="D380" i="37"/>
  <c r="J380" i="37"/>
  <c r="E379" i="37"/>
  <c r="D379" i="37"/>
  <c r="L379" i="37"/>
  <c r="K379" i="37"/>
  <c r="J379" i="37"/>
  <c r="L378" i="37"/>
  <c r="K378" i="37"/>
  <c r="J378" i="37"/>
  <c r="G379" i="37"/>
  <c r="F379" i="37"/>
  <c r="I378" i="37"/>
  <c r="H378" i="37"/>
  <c r="G378" i="37"/>
  <c r="F378" i="37"/>
  <c r="E378" i="37"/>
  <c r="I377" i="37"/>
  <c r="H377" i="37"/>
  <c r="G377" i="37"/>
  <c r="D378" i="37"/>
  <c r="L377" i="37"/>
  <c r="F377" i="37"/>
  <c r="E377" i="37"/>
  <c r="D377" i="37"/>
  <c r="K377" i="37"/>
  <c r="J377" i="37"/>
  <c r="D376" i="37"/>
  <c r="L376" i="37"/>
  <c r="K376" i="37"/>
  <c r="J376" i="37"/>
  <c r="I376" i="37"/>
  <c r="K375" i="37"/>
  <c r="H376" i="37"/>
  <c r="G376" i="37"/>
  <c r="F376" i="37"/>
  <c r="E376" i="37"/>
  <c r="I375" i="37"/>
  <c r="H375" i="37"/>
  <c r="G375" i="37"/>
  <c r="F375" i="37"/>
  <c r="L375" i="37"/>
  <c r="I374" i="37"/>
  <c r="H374" i="37"/>
  <c r="E375" i="37"/>
  <c r="D375" i="37"/>
  <c r="J375" i="37"/>
  <c r="E374" i="37"/>
  <c r="D374" i="37"/>
  <c r="L374" i="37"/>
  <c r="K374" i="37"/>
  <c r="J374" i="37"/>
  <c r="L373" i="37"/>
  <c r="K373" i="37"/>
  <c r="J373" i="37"/>
  <c r="G374" i="37"/>
  <c r="F374" i="37"/>
  <c r="I373" i="37"/>
  <c r="H373" i="37"/>
  <c r="G373" i="37"/>
  <c r="F373" i="37"/>
  <c r="E373" i="37"/>
  <c r="I372" i="37"/>
  <c r="H372" i="37"/>
  <c r="G372" i="37"/>
  <c r="D373" i="37"/>
  <c r="L372" i="37"/>
  <c r="F372" i="37"/>
  <c r="E372" i="37"/>
  <c r="D372" i="37"/>
  <c r="K372" i="37"/>
  <c r="J372" i="37"/>
  <c r="L369" i="37"/>
  <c r="K369" i="37"/>
  <c r="J369" i="37"/>
  <c r="I369" i="37"/>
  <c r="H369" i="37"/>
  <c r="J368" i="37"/>
  <c r="G369" i="37"/>
  <c r="F369" i="37"/>
  <c r="E369" i="37"/>
  <c r="D369" i="37"/>
  <c r="G368" i="37"/>
  <c r="F368" i="37"/>
  <c r="E368" i="37"/>
  <c r="L368" i="37"/>
  <c r="K368" i="37"/>
  <c r="G367" i="37"/>
  <c r="D368" i="37"/>
  <c r="L367" i="37"/>
  <c r="I368" i="37"/>
  <c r="H368" i="37"/>
  <c r="D367" i="37"/>
  <c r="K367" i="37"/>
  <c r="J367" i="37"/>
  <c r="I367" i="37"/>
  <c r="H367" i="37"/>
  <c r="K366" i="37"/>
  <c r="J366" i="37"/>
  <c r="I366" i="37"/>
  <c r="F367" i="37"/>
  <c r="E367" i="37"/>
  <c r="G366" i="37"/>
  <c r="F366" i="37"/>
  <c r="E366" i="37"/>
  <c r="D366" i="37"/>
  <c r="L366" i="37"/>
  <c r="G365" i="37"/>
  <c r="F365" i="37"/>
  <c r="L365" i="37"/>
  <c r="K365" i="37"/>
  <c r="H366" i="37"/>
  <c r="E365" i="37"/>
  <c r="D365" i="37"/>
  <c r="J365" i="37"/>
  <c r="I365" i="37"/>
  <c r="H365" i="37"/>
  <c r="L364" i="37"/>
  <c r="K364" i="37"/>
  <c r="J364" i="37"/>
  <c r="I364" i="37"/>
  <c r="H364" i="37"/>
  <c r="J363" i="37"/>
  <c r="G364" i="37"/>
  <c r="F364" i="37"/>
  <c r="E364" i="37"/>
  <c r="D364" i="37"/>
  <c r="G363" i="37"/>
  <c r="F363" i="37"/>
  <c r="E363" i="37"/>
  <c r="L363" i="37"/>
  <c r="K363" i="37"/>
  <c r="G362" i="37"/>
  <c r="D363" i="37"/>
  <c r="L362" i="37"/>
  <c r="I363" i="37"/>
  <c r="H363" i="37"/>
  <c r="D362" i="37"/>
  <c r="K362" i="37"/>
  <c r="J362" i="37"/>
  <c r="I362" i="37"/>
  <c r="H362" i="37"/>
  <c r="K361" i="37"/>
  <c r="J361" i="37"/>
  <c r="I361" i="37"/>
  <c r="F362" i="37"/>
  <c r="E362" i="37"/>
  <c r="G361" i="37"/>
  <c r="F361" i="37"/>
  <c r="E361" i="37"/>
  <c r="D361" i="37"/>
  <c r="L361" i="37"/>
  <c r="G360" i="37"/>
  <c r="F360" i="37"/>
  <c r="L360" i="37"/>
  <c r="K360" i="37"/>
  <c r="H361" i="37"/>
  <c r="E360" i="37"/>
  <c r="D360" i="37"/>
  <c r="J360" i="37"/>
  <c r="I360" i="37"/>
  <c r="H360" i="37"/>
  <c r="L359" i="37"/>
  <c r="K359" i="37"/>
  <c r="J359" i="37"/>
  <c r="I359" i="37"/>
  <c r="H359" i="37"/>
  <c r="J358" i="37"/>
  <c r="G359" i="37"/>
  <c r="F359" i="37"/>
  <c r="E359" i="37"/>
  <c r="D359" i="37"/>
  <c r="G358" i="37"/>
  <c r="F358" i="37"/>
  <c r="E358" i="37"/>
  <c r="L358" i="37"/>
  <c r="K358" i="37"/>
  <c r="G357" i="37"/>
  <c r="D358" i="37"/>
  <c r="L357" i="37"/>
  <c r="I358" i="37"/>
  <c r="H358" i="37"/>
  <c r="D357" i="37"/>
  <c r="K357" i="37"/>
  <c r="J357" i="37"/>
  <c r="I357" i="37"/>
  <c r="H357" i="37"/>
  <c r="K356" i="37"/>
  <c r="J356" i="37"/>
  <c r="I356" i="37"/>
  <c r="F357" i="37"/>
  <c r="E357" i="37"/>
  <c r="G356" i="37"/>
  <c r="F356" i="37"/>
  <c r="E356" i="37"/>
  <c r="D356" i="37"/>
  <c r="L356" i="37"/>
  <c r="G355" i="37"/>
  <c r="F355" i="37"/>
  <c r="L355" i="37"/>
  <c r="K355" i="37"/>
  <c r="H356" i="37"/>
  <c r="E355" i="37"/>
  <c r="D355" i="37"/>
  <c r="J355" i="37"/>
  <c r="I355" i="37"/>
  <c r="H355" i="37"/>
  <c r="L354" i="37"/>
  <c r="K354" i="37"/>
  <c r="J354" i="37"/>
  <c r="I354" i="37"/>
  <c r="H354" i="37"/>
  <c r="J353" i="37"/>
  <c r="G354" i="37"/>
  <c r="F354" i="37"/>
  <c r="E354" i="37"/>
  <c r="D354" i="37"/>
  <c r="G353" i="37"/>
  <c r="F353" i="37"/>
  <c r="E353" i="37"/>
  <c r="L353" i="37"/>
  <c r="K353" i="37"/>
  <c r="G352" i="37"/>
  <c r="D353" i="37"/>
  <c r="L352" i="37"/>
  <c r="I353" i="37"/>
  <c r="H353" i="37"/>
  <c r="D352" i="37"/>
  <c r="K352" i="37"/>
  <c r="J352" i="37"/>
  <c r="I352" i="37"/>
  <c r="H352" i="37"/>
  <c r="K351" i="37"/>
  <c r="J351" i="37"/>
  <c r="I351" i="37"/>
  <c r="F352" i="37"/>
  <c r="E352" i="37"/>
  <c r="G351" i="37"/>
  <c r="F351" i="37"/>
  <c r="E351" i="37"/>
  <c r="D351" i="37"/>
  <c r="L351" i="37"/>
  <c r="G350" i="37"/>
  <c r="F350" i="37"/>
  <c r="L350" i="37"/>
  <c r="K350" i="37"/>
  <c r="H351" i="37"/>
  <c r="E350" i="37"/>
  <c r="D350" i="37"/>
  <c r="J350" i="37"/>
  <c r="I350" i="37"/>
  <c r="H350" i="37"/>
  <c r="L349" i="37"/>
  <c r="K349" i="37"/>
  <c r="J349" i="37"/>
  <c r="I349" i="37"/>
  <c r="H349" i="37"/>
  <c r="J348" i="37"/>
  <c r="G349" i="37"/>
  <c r="F349" i="37"/>
  <c r="E349" i="37"/>
  <c r="D349" i="37"/>
  <c r="G348" i="37"/>
  <c r="F348" i="37"/>
  <c r="E348" i="37"/>
  <c r="L348" i="37"/>
  <c r="K348" i="37"/>
  <c r="G347" i="37"/>
  <c r="D348" i="37"/>
  <c r="L347" i="37"/>
  <c r="I348" i="37"/>
  <c r="H348" i="37"/>
  <c r="D347" i="37"/>
  <c r="K347" i="37"/>
  <c r="J347" i="37"/>
  <c r="I347" i="37"/>
  <c r="H347" i="37"/>
  <c r="K346" i="37"/>
  <c r="J346" i="37"/>
  <c r="I346" i="37"/>
  <c r="F347" i="37"/>
  <c r="E347" i="37"/>
  <c r="G346" i="37"/>
  <c r="F346" i="37"/>
  <c r="E346" i="37"/>
  <c r="D346" i="37"/>
  <c r="L346" i="37"/>
  <c r="G345" i="37"/>
  <c r="F345" i="37"/>
  <c r="L345" i="37"/>
  <c r="K345" i="37"/>
  <c r="H346" i="37"/>
  <c r="E345" i="37"/>
  <c r="D345" i="37"/>
  <c r="J345" i="37"/>
  <c r="I345" i="37"/>
  <c r="H345" i="37"/>
  <c r="L344" i="37"/>
  <c r="K344" i="37"/>
  <c r="J344" i="37"/>
  <c r="I344" i="37"/>
  <c r="H344" i="37"/>
  <c r="J343" i="37"/>
  <c r="G344" i="37"/>
  <c r="F344" i="37"/>
  <c r="E344" i="37"/>
  <c r="D344" i="37"/>
  <c r="G343" i="37"/>
  <c r="F343" i="37"/>
  <c r="E343" i="37"/>
  <c r="L343" i="37"/>
  <c r="K343" i="37"/>
  <c r="G342" i="37"/>
  <c r="D343" i="37"/>
  <c r="L342" i="37"/>
  <c r="I343" i="37"/>
  <c r="H343" i="37"/>
  <c r="D342" i="37"/>
  <c r="K342" i="37"/>
  <c r="J342" i="37"/>
  <c r="I342" i="37"/>
  <c r="H342" i="37"/>
  <c r="K341" i="37"/>
  <c r="J341" i="37"/>
  <c r="I341" i="37"/>
  <c r="F342" i="37"/>
  <c r="E342" i="37"/>
  <c r="G341" i="37"/>
  <c r="F341" i="37"/>
  <c r="E341" i="37"/>
  <c r="D341" i="37"/>
  <c r="L341" i="37"/>
  <c r="G340" i="37"/>
  <c r="F340" i="37"/>
  <c r="L340" i="37"/>
  <c r="K340" i="37"/>
  <c r="H341" i="37"/>
  <c r="E340" i="37"/>
  <c r="D340" i="37"/>
  <c r="J340" i="37"/>
  <c r="I340" i="37"/>
  <c r="H340" i="37"/>
  <c r="L339" i="37"/>
  <c r="K339" i="37"/>
  <c r="J339" i="37"/>
  <c r="I339" i="37"/>
  <c r="H339" i="37"/>
  <c r="J338" i="37"/>
  <c r="G339" i="37"/>
  <c r="F339" i="37"/>
  <c r="E339" i="37"/>
  <c r="D339" i="37"/>
  <c r="G338" i="37"/>
  <c r="F338" i="37"/>
  <c r="E338" i="37"/>
  <c r="L338" i="37"/>
  <c r="K338" i="37"/>
  <c r="G337" i="37"/>
  <c r="D338" i="37"/>
  <c r="L337" i="37"/>
  <c r="I338" i="37"/>
  <c r="H338" i="37"/>
  <c r="D337" i="37"/>
  <c r="K337" i="37"/>
  <c r="J337" i="37"/>
  <c r="I337" i="37"/>
  <c r="H337" i="37"/>
  <c r="K336" i="37"/>
  <c r="J336" i="37"/>
  <c r="I336" i="37"/>
  <c r="F337" i="37"/>
  <c r="E337" i="37"/>
  <c r="G336" i="37"/>
  <c r="F336" i="37"/>
  <c r="E336" i="37"/>
  <c r="D336" i="37"/>
  <c r="L336" i="37"/>
  <c r="G335" i="37"/>
  <c r="F335" i="37"/>
  <c r="L335" i="37"/>
  <c r="K335" i="37"/>
  <c r="H336" i="37"/>
  <c r="E335" i="37"/>
  <c r="D335" i="37"/>
  <c r="J335" i="37"/>
  <c r="I335" i="37"/>
  <c r="H335" i="37"/>
  <c r="L334" i="37"/>
  <c r="K334" i="37"/>
  <c r="J334" i="37"/>
  <c r="I334" i="37"/>
  <c r="H334" i="37"/>
  <c r="J333" i="37"/>
  <c r="G334" i="37"/>
  <c r="F334" i="37"/>
  <c r="E334" i="37"/>
  <c r="D334" i="37"/>
  <c r="G333" i="37"/>
  <c r="F333" i="37"/>
  <c r="E333" i="37"/>
  <c r="L333" i="37"/>
  <c r="K333" i="37"/>
  <c r="G332" i="37"/>
  <c r="D333" i="37"/>
  <c r="L332" i="37"/>
  <c r="I333" i="37"/>
  <c r="H333" i="37"/>
  <c r="D332" i="37"/>
  <c r="K332" i="37"/>
  <c r="J332" i="37"/>
  <c r="I332" i="37"/>
  <c r="H332" i="37"/>
  <c r="K331" i="37"/>
  <c r="J331" i="37"/>
  <c r="I331" i="37"/>
  <c r="F332" i="37"/>
  <c r="E332" i="37"/>
  <c r="G331" i="37"/>
  <c r="F331" i="37"/>
  <c r="E331" i="37"/>
  <c r="D331" i="37"/>
  <c r="L331" i="37"/>
  <c r="G330" i="37"/>
  <c r="F330" i="37"/>
  <c r="L330" i="37"/>
  <c r="K330" i="37"/>
  <c r="H331" i="37"/>
  <c r="E330" i="37"/>
  <c r="D330" i="37"/>
  <c r="J330" i="37"/>
  <c r="I330" i="37"/>
  <c r="H330" i="37"/>
  <c r="L329" i="37"/>
  <c r="K329" i="37"/>
  <c r="J329" i="37"/>
  <c r="I329" i="37"/>
  <c r="H329" i="37"/>
  <c r="J328" i="37"/>
  <c r="G329" i="37"/>
  <c r="F329" i="37"/>
  <c r="E329" i="37"/>
  <c r="D329" i="37"/>
  <c r="G328" i="37"/>
  <c r="F328" i="37"/>
  <c r="E328" i="37"/>
  <c r="L328" i="37"/>
  <c r="K328" i="37"/>
  <c r="G327" i="37"/>
  <c r="D328" i="37"/>
  <c r="L327" i="37"/>
  <c r="I328" i="37"/>
  <c r="H328" i="37"/>
  <c r="D327" i="37"/>
  <c r="K327" i="37"/>
  <c r="J327" i="37"/>
  <c r="I327" i="37"/>
  <c r="H327" i="37"/>
  <c r="K326" i="37"/>
  <c r="J326" i="37"/>
  <c r="I326" i="37"/>
  <c r="F327" i="37"/>
  <c r="E327" i="37"/>
  <c r="G326" i="37"/>
  <c r="F326" i="37"/>
  <c r="E326" i="37"/>
  <c r="D326" i="37"/>
  <c r="L326" i="37"/>
  <c r="G325" i="37"/>
  <c r="F325" i="37"/>
  <c r="L325" i="37"/>
  <c r="K325" i="37"/>
  <c r="H326" i="37"/>
  <c r="E325" i="37"/>
  <c r="D325" i="37"/>
  <c r="J325" i="37"/>
  <c r="I325" i="37"/>
  <c r="H325" i="37"/>
  <c r="L324" i="37"/>
  <c r="K324" i="37"/>
  <c r="J324" i="37"/>
  <c r="I324" i="37"/>
  <c r="H324" i="37"/>
  <c r="J323" i="37"/>
  <c r="G324" i="37"/>
  <c r="F324" i="37"/>
  <c r="E324" i="37"/>
  <c r="D324" i="37"/>
  <c r="G323" i="37"/>
  <c r="F323" i="37"/>
  <c r="E323" i="37"/>
  <c r="L323" i="37"/>
  <c r="K323" i="37"/>
  <c r="G322" i="37"/>
  <c r="D323" i="37"/>
  <c r="L322" i="37"/>
  <c r="I323" i="37"/>
  <c r="H323" i="37"/>
  <c r="D322" i="37"/>
  <c r="K322" i="37"/>
  <c r="J322" i="37"/>
  <c r="I322" i="37"/>
  <c r="H322" i="37"/>
  <c r="K321" i="37"/>
  <c r="J321" i="37"/>
  <c r="I321" i="37"/>
  <c r="F322" i="37"/>
  <c r="E322" i="37"/>
  <c r="G321" i="37"/>
  <c r="F321" i="37"/>
  <c r="E321" i="37"/>
  <c r="D321" i="37"/>
  <c r="L321" i="37"/>
  <c r="G320" i="37"/>
  <c r="F320" i="37"/>
  <c r="L320" i="37"/>
  <c r="K320" i="37"/>
  <c r="H321" i="37"/>
  <c r="E320" i="37"/>
  <c r="D320" i="37"/>
  <c r="J320" i="37"/>
  <c r="I320" i="37"/>
  <c r="H320" i="37"/>
  <c r="L319" i="37"/>
  <c r="K319" i="37"/>
  <c r="J319" i="37"/>
  <c r="I319" i="37"/>
  <c r="H319" i="37"/>
  <c r="J318" i="37"/>
  <c r="G319" i="37"/>
  <c r="F319" i="37"/>
  <c r="E319" i="37"/>
  <c r="D319" i="37"/>
  <c r="G318" i="37"/>
  <c r="F318" i="37"/>
  <c r="E318" i="37"/>
  <c r="L318" i="37"/>
  <c r="K318" i="37"/>
  <c r="G317" i="37"/>
  <c r="D318" i="37"/>
  <c r="L317" i="37"/>
  <c r="I318" i="37"/>
  <c r="H318" i="37"/>
  <c r="D317" i="37"/>
  <c r="K317" i="37"/>
  <c r="J317" i="37"/>
  <c r="I317" i="37"/>
  <c r="H317" i="37"/>
  <c r="K316" i="37"/>
  <c r="J316" i="37"/>
  <c r="I316" i="37"/>
  <c r="F317" i="37"/>
  <c r="E317" i="37"/>
  <c r="G316" i="37"/>
  <c r="F316" i="37"/>
  <c r="E316" i="37"/>
  <c r="D316" i="37"/>
  <c r="L316" i="37"/>
  <c r="G315" i="37"/>
  <c r="F315" i="37"/>
  <c r="L315" i="37"/>
  <c r="K315" i="37"/>
  <c r="H316" i="37"/>
  <c r="E315" i="37"/>
  <c r="D315" i="37"/>
  <c r="J315" i="37"/>
  <c r="I315" i="37"/>
  <c r="H315" i="37"/>
  <c r="L314" i="37"/>
  <c r="K314" i="37"/>
  <c r="J314" i="37"/>
  <c r="I314" i="37"/>
  <c r="H314" i="37"/>
  <c r="J313" i="37"/>
  <c r="G314" i="37"/>
  <c r="F314" i="37"/>
  <c r="E314" i="37"/>
  <c r="D314" i="37"/>
  <c r="G313" i="37"/>
  <c r="F313" i="37"/>
  <c r="E313" i="37"/>
  <c r="L313" i="37"/>
  <c r="K313" i="37"/>
  <c r="G312" i="37"/>
  <c r="D313" i="37"/>
  <c r="L312" i="37"/>
  <c r="I313" i="37"/>
  <c r="H313" i="37"/>
  <c r="D312" i="37"/>
  <c r="K312" i="37"/>
  <c r="J312" i="37"/>
  <c r="I312" i="37"/>
  <c r="H312" i="37"/>
  <c r="K311" i="37"/>
  <c r="J311" i="37"/>
  <c r="I311" i="37"/>
  <c r="F312" i="37"/>
  <c r="E312" i="37"/>
  <c r="G311" i="37"/>
  <c r="F311" i="37"/>
  <c r="E311" i="37"/>
  <c r="D311" i="37"/>
  <c r="L311" i="37"/>
  <c r="G310" i="37"/>
  <c r="F310" i="37"/>
  <c r="L310" i="37"/>
  <c r="K310" i="37"/>
  <c r="H311" i="37"/>
  <c r="E310" i="37"/>
  <c r="D310" i="37"/>
  <c r="J310" i="37"/>
  <c r="I310" i="37"/>
  <c r="H310" i="37"/>
  <c r="L309" i="37"/>
  <c r="K309" i="37"/>
  <c r="J309" i="37"/>
  <c r="I309" i="37"/>
  <c r="H309" i="37"/>
  <c r="J308" i="37"/>
  <c r="G309" i="37"/>
  <c r="F309" i="37"/>
  <c r="E309" i="37"/>
  <c r="D309" i="37"/>
  <c r="G308" i="37"/>
  <c r="F308" i="37"/>
  <c r="E308" i="37"/>
  <c r="L308" i="37"/>
  <c r="K308" i="37"/>
  <c r="G307" i="37"/>
  <c r="D308" i="37"/>
  <c r="L307" i="37"/>
  <c r="I308" i="37"/>
  <c r="H308" i="37"/>
  <c r="D307" i="37"/>
  <c r="K307" i="37"/>
  <c r="J307" i="37"/>
  <c r="I307" i="37"/>
  <c r="H307" i="37"/>
  <c r="K306" i="37"/>
  <c r="J306" i="37"/>
  <c r="I306" i="37"/>
  <c r="F307" i="37"/>
  <c r="E307" i="37"/>
  <c r="G306" i="37"/>
  <c r="F306" i="37"/>
  <c r="E306" i="37"/>
  <c r="D306" i="37"/>
  <c r="L306" i="37"/>
  <c r="G305" i="37"/>
  <c r="F305" i="37"/>
  <c r="L305" i="37"/>
  <c r="K305" i="37"/>
  <c r="H306" i="37"/>
  <c r="E305" i="37"/>
  <c r="D305" i="37"/>
  <c r="J305" i="37"/>
  <c r="I305" i="37"/>
  <c r="H305" i="37"/>
  <c r="L304" i="37"/>
  <c r="K304" i="37"/>
  <c r="J304" i="37"/>
  <c r="I304" i="37"/>
  <c r="H304" i="37"/>
  <c r="J303" i="37"/>
  <c r="G304" i="37"/>
  <c r="F304" i="37"/>
  <c r="E304" i="37"/>
  <c r="D304" i="37"/>
  <c r="G303" i="37"/>
  <c r="F303" i="37"/>
  <c r="E303" i="37"/>
  <c r="L303" i="37"/>
  <c r="K303" i="37"/>
  <c r="G302" i="37"/>
  <c r="D303" i="37"/>
  <c r="L302" i="37"/>
  <c r="I303" i="37"/>
  <c r="H303" i="37"/>
  <c r="D302" i="37"/>
  <c r="K302" i="37"/>
  <c r="J302" i="37"/>
  <c r="I302" i="37"/>
  <c r="H302" i="37"/>
  <c r="K301" i="37"/>
  <c r="J301" i="37"/>
  <c r="I301" i="37"/>
  <c r="F302" i="37"/>
  <c r="E302" i="37"/>
  <c r="G301" i="37"/>
  <c r="F301" i="37"/>
  <c r="E301" i="37"/>
  <c r="D301" i="37"/>
  <c r="L301" i="37"/>
  <c r="G300" i="37"/>
  <c r="F300" i="37"/>
  <c r="L300" i="37"/>
  <c r="K300" i="37"/>
  <c r="H301" i="37"/>
  <c r="E300" i="37"/>
  <c r="D300" i="37"/>
  <c r="J300" i="37"/>
  <c r="I300" i="37"/>
  <c r="H300" i="37"/>
  <c r="L299" i="37"/>
  <c r="K299" i="37"/>
  <c r="J299" i="37"/>
  <c r="I299" i="37"/>
  <c r="H299" i="37"/>
  <c r="J298" i="37"/>
  <c r="G299" i="37"/>
  <c r="F299" i="37"/>
  <c r="E299" i="37"/>
  <c r="D299" i="37"/>
  <c r="G298" i="37"/>
  <c r="F298" i="37"/>
  <c r="E298" i="37"/>
  <c r="L298" i="37"/>
  <c r="K298" i="37"/>
  <c r="G297" i="37"/>
  <c r="D298" i="37"/>
  <c r="L297" i="37"/>
  <c r="I298" i="37"/>
  <c r="H298" i="37"/>
  <c r="D297" i="37"/>
  <c r="K297" i="37"/>
  <c r="J297" i="37"/>
  <c r="I297" i="37"/>
  <c r="H297" i="37"/>
  <c r="K296" i="37"/>
  <c r="J296" i="37"/>
  <c r="I296" i="37"/>
  <c r="F297" i="37"/>
  <c r="E297" i="37"/>
  <c r="G296" i="37"/>
  <c r="F296" i="37"/>
  <c r="E296" i="37"/>
  <c r="D296" i="37"/>
  <c r="L296" i="37"/>
  <c r="G295" i="37"/>
  <c r="F295" i="37"/>
  <c r="L295" i="37"/>
  <c r="K295" i="37"/>
  <c r="H296" i="37"/>
  <c r="E295" i="37"/>
  <c r="D295" i="37"/>
  <c r="J295" i="37"/>
  <c r="I295" i="37"/>
  <c r="H295" i="37"/>
  <c r="L294" i="37"/>
  <c r="K294" i="37"/>
  <c r="J294" i="37"/>
  <c r="I294" i="37"/>
  <c r="H294" i="37"/>
  <c r="J293" i="37"/>
  <c r="G294" i="37"/>
  <c r="F294" i="37"/>
  <c r="E294" i="37"/>
  <c r="D294" i="37"/>
  <c r="G293" i="37"/>
  <c r="F293" i="37"/>
  <c r="E293" i="37"/>
  <c r="L293" i="37"/>
  <c r="K293" i="37"/>
  <c r="G292" i="37"/>
  <c r="D293" i="37"/>
  <c r="L292" i="37"/>
  <c r="I293" i="37"/>
  <c r="H293" i="37"/>
  <c r="D292" i="37"/>
  <c r="K292" i="37"/>
  <c r="J292" i="37"/>
  <c r="I292" i="37"/>
  <c r="H292" i="37"/>
  <c r="K291" i="37"/>
  <c r="J291" i="37"/>
  <c r="I291" i="37"/>
  <c r="F292" i="37"/>
  <c r="E292" i="37"/>
  <c r="G291" i="37"/>
  <c r="F291" i="37"/>
  <c r="E291" i="37"/>
  <c r="D291" i="37"/>
  <c r="L291" i="37"/>
  <c r="G290" i="37"/>
  <c r="F290" i="37"/>
  <c r="L290" i="37"/>
  <c r="K290" i="37"/>
  <c r="H291" i="37"/>
  <c r="E290" i="37"/>
  <c r="D290" i="37"/>
  <c r="J290" i="37"/>
  <c r="I290" i="37"/>
  <c r="H290" i="37"/>
  <c r="L289" i="37"/>
  <c r="K289" i="37"/>
  <c r="J289" i="37"/>
  <c r="I289" i="37"/>
  <c r="H289" i="37"/>
  <c r="J288" i="37"/>
  <c r="G289" i="37"/>
  <c r="F289" i="37"/>
  <c r="E289" i="37"/>
  <c r="D289" i="37"/>
  <c r="G288" i="37"/>
  <c r="F288" i="37"/>
  <c r="E288" i="37"/>
  <c r="L288" i="37"/>
  <c r="K288" i="37"/>
  <c r="G287" i="37"/>
  <c r="D288" i="37"/>
  <c r="L287" i="37"/>
  <c r="I288" i="37"/>
  <c r="H288" i="37"/>
  <c r="D287" i="37"/>
  <c r="K287" i="37"/>
  <c r="J287" i="37"/>
  <c r="I287" i="37"/>
  <c r="H287" i="37"/>
  <c r="K286" i="37"/>
  <c r="J286" i="37"/>
  <c r="I286" i="37"/>
  <c r="F287" i="37"/>
  <c r="E287" i="37"/>
  <c r="G286" i="37"/>
  <c r="F286" i="37"/>
  <c r="E286" i="37"/>
  <c r="D286" i="37"/>
  <c r="L286" i="37"/>
  <c r="G285" i="37"/>
  <c r="F285" i="37"/>
  <c r="L285" i="37"/>
  <c r="K285" i="37"/>
  <c r="H286" i="37"/>
  <c r="E285" i="37"/>
  <c r="D285" i="37"/>
  <c r="J285" i="37"/>
  <c r="I285" i="37"/>
  <c r="H285" i="37"/>
  <c r="L284" i="37"/>
  <c r="K284" i="37"/>
  <c r="J284" i="37"/>
  <c r="I284" i="37"/>
  <c r="H284" i="37"/>
  <c r="J283" i="37"/>
  <c r="G284" i="37"/>
  <c r="F284" i="37"/>
  <c r="E284" i="37"/>
  <c r="D284" i="37"/>
  <c r="G283" i="37"/>
  <c r="F283" i="37"/>
  <c r="E283" i="37"/>
  <c r="L283" i="37"/>
  <c r="K283" i="37"/>
  <c r="G282" i="37"/>
  <c r="D283" i="37"/>
  <c r="L282" i="37"/>
  <c r="I283" i="37"/>
  <c r="H283" i="37"/>
  <c r="D282" i="37"/>
  <c r="K282" i="37"/>
  <c r="J282" i="37"/>
  <c r="I282" i="37"/>
  <c r="H282" i="37"/>
  <c r="K281" i="37"/>
  <c r="J281" i="37"/>
  <c r="I281" i="37"/>
  <c r="F282" i="37"/>
  <c r="E282" i="37"/>
  <c r="G281" i="37"/>
  <c r="F281" i="37"/>
  <c r="E281" i="37"/>
  <c r="D281" i="37"/>
  <c r="L281" i="37"/>
  <c r="L276" i="37"/>
  <c r="K276" i="37"/>
  <c r="J276" i="37"/>
  <c r="I276" i="37"/>
  <c r="H281" i="37"/>
  <c r="H276" i="37"/>
  <c r="G276" i="37"/>
  <c r="F276" i="37"/>
  <c r="E276" i="37"/>
  <c r="D276" i="37"/>
  <c r="H275" i="37"/>
  <c r="G275" i="37"/>
  <c r="F275" i="37"/>
  <c r="L275" i="37"/>
  <c r="K275" i="37"/>
  <c r="H274" i="37"/>
  <c r="E275" i="37"/>
  <c r="D275" i="37"/>
  <c r="J275" i="37"/>
  <c r="I275" i="37"/>
  <c r="D274" i="37"/>
  <c r="L274" i="37"/>
  <c r="K274" i="37"/>
  <c r="J274" i="37"/>
  <c r="I274" i="37"/>
  <c r="K273" i="37"/>
  <c r="J273" i="37"/>
  <c r="G274" i="37"/>
  <c r="F274" i="37"/>
  <c r="E274" i="37"/>
  <c r="H273" i="37"/>
  <c r="G273" i="37"/>
  <c r="F273" i="37"/>
  <c r="E273" i="37"/>
  <c r="L273" i="37"/>
  <c r="H272" i="37"/>
  <c r="G272" i="37"/>
  <c r="D273" i="37"/>
  <c r="L272" i="37"/>
  <c r="I273" i="37"/>
  <c r="E272" i="37"/>
  <c r="D272" i="37"/>
  <c r="K272" i="37"/>
  <c r="J272" i="37"/>
  <c r="I272" i="37"/>
  <c r="L271" i="37"/>
  <c r="K271" i="37"/>
  <c r="J271" i="37"/>
  <c r="I271" i="37"/>
  <c r="F272" i="37"/>
  <c r="H271" i="37"/>
  <c r="G271" i="37"/>
  <c r="F271" i="37"/>
  <c r="E271" i="37"/>
  <c r="D271" i="37"/>
  <c r="H270" i="37"/>
  <c r="G270" i="37"/>
  <c r="F270" i="37"/>
  <c r="L270" i="37"/>
  <c r="K270" i="37"/>
  <c r="H269" i="37"/>
  <c r="E270" i="37"/>
  <c r="D270" i="37"/>
  <c r="J270" i="37"/>
  <c r="I270" i="37"/>
  <c r="D269" i="37"/>
  <c r="L269" i="37"/>
  <c r="K269" i="37"/>
  <c r="J269" i="37"/>
  <c r="I269" i="37"/>
  <c r="K268" i="37"/>
  <c r="J268" i="37"/>
  <c r="G269" i="37"/>
  <c r="F269" i="37"/>
  <c r="E269" i="37"/>
  <c r="H268" i="37"/>
  <c r="G268" i="37"/>
  <c r="F268" i="37"/>
  <c r="E268" i="37"/>
  <c r="L268" i="37"/>
  <c r="H267" i="37"/>
  <c r="G267" i="37"/>
  <c r="D268" i="37"/>
  <c r="L267" i="37"/>
  <c r="I268" i="37"/>
  <c r="E267" i="37"/>
  <c r="D267" i="37"/>
  <c r="K267" i="37"/>
  <c r="J267" i="37"/>
  <c r="I267" i="37"/>
  <c r="L266" i="37"/>
  <c r="K266" i="37"/>
  <c r="J266" i="37"/>
  <c r="I266" i="37"/>
  <c r="F267" i="37"/>
  <c r="H266" i="37"/>
  <c r="G266" i="37"/>
  <c r="F266" i="37"/>
  <c r="E266" i="37"/>
  <c r="D266" i="37"/>
  <c r="H265" i="37"/>
  <c r="G265" i="37"/>
  <c r="F265" i="37"/>
  <c r="L265" i="37"/>
  <c r="K265" i="37"/>
  <c r="H264" i="37"/>
  <c r="E265" i="37"/>
  <c r="D265" i="37"/>
  <c r="J265" i="37"/>
  <c r="I265" i="37"/>
  <c r="D264" i="37"/>
  <c r="L264" i="37"/>
  <c r="K264" i="37"/>
  <c r="J264" i="37"/>
  <c r="I264" i="37"/>
  <c r="K263" i="37"/>
  <c r="J263" i="37"/>
  <c r="G264" i="37"/>
  <c r="F264" i="37"/>
  <c r="E264" i="37"/>
  <c r="H263" i="37"/>
  <c r="G263" i="37"/>
  <c r="F263" i="37"/>
  <c r="E263" i="37"/>
  <c r="L263" i="37"/>
  <c r="H262" i="37"/>
  <c r="G262" i="37"/>
  <c r="D263" i="37"/>
  <c r="L262" i="37"/>
  <c r="I263" i="37"/>
  <c r="E262" i="37"/>
  <c r="D262" i="37"/>
  <c r="K262" i="37"/>
  <c r="J262" i="37"/>
  <c r="I262" i="37"/>
  <c r="L261" i="37"/>
  <c r="K261" i="37"/>
  <c r="J261" i="37"/>
  <c r="I261" i="37"/>
  <c r="F262" i="37"/>
  <c r="H261" i="37"/>
  <c r="G261" i="37"/>
  <c r="F261" i="37"/>
  <c r="E261" i="37"/>
  <c r="D261" i="37"/>
  <c r="H260" i="37"/>
  <c r="G260" i="37"/>
  <c r="F260" i="37"/>
  <c r="L260" i="37"/>
  <c r="K260" i="37"/>
  <c r="H259" i="37"/>
  <c r="E260" i="37"/>
  <c r="D260" i="37"/>
  <c r="J260" i="37"/>
  <c r="I260" i="37"/>
  <c r="D259" i="37"/>
  <c r="L259" i="37"/>
  <c r="K259" i="37"/>
  <c r="J259" i="37"/>
  <c r="I259" i="37"/>
  <c r="K258" i="37"/>
  <c r="J258" i="37"/>
  <c r="G259" i="37"/>
  <c r="F259" i="37"/>
  <c r="E259" i="37"/>
  <c r="H258" i="37"/>
  <c r="G258" i="37"/>
  <c r="F258" i="37"/>
  <c r="E258" i="37"/>
  <c r="L258" i="37"/>
  <c r="H257" i="37"/>
  <c r="G257" i="37"/>
  <c r="D258" i="37"/>
  <c r="L257" i="37"/>
  <c r="I258" i="37"/>
  <c r="E257" i="37"/>
  <c r="D257" i="37"/>
  <c r="K257" i="37"/>
  <c r="J257" i="37"/>
  <c r="I257" i="37"/>
  <c r="L256" i="37"/>
  <c r="K256" i="37"/>
  <c r="J256" i="37"/>
  <c r="I256" i="37"/>
  <c r="F257" i="37"/>
  <c r="H256" i="37"/>
  <c r="G256" i="37"/>
  <c r="F256" i="37"/>
  <c r="E256" i="37"/>
  <c r="D256" i="37"/>
  <c r="H255" i="37"/>
  <c r="G255" i="37"/>
  <c r="F255" i="37"/>
  <c r="L255" i="37"/>
  <c r="K255" i="37"/>
  <c r="H254" i="37"/>
  <c r="E255" i="37"/>
  <c r="D255" i="37"/>
  <c r="J255" i="37"/>
  <c r="I255" i="37"/>
  <c r="D254" i="37"/>
  <c r="L254" i="37"/>
  <c r="K254" i="37"/>
  <c r="J254" i="37"/>
  <c r="I254" i="37"/>
  <c r="K253" i="37"/>
  <c r="J253" i="37"/>
  <c r="G254" i="37"/>
  <c r="F254" i="37"/>
  <c r="E254" i="37"/>
  <c r="H253" i="37"/>
  <c r="G253" i="37"/>
  <c r="F253" i="37"/>
  <c r="E253" i="37"/>
  <c r="L253" i="37"/>
  <c r="H252" i="37"/>
  <c r="G252" i="37"/>
  <c r="D253" i="37"/>
  <c r="L252" i="37"/>
  <c r="I253" i="37"/>
  <c r="E252" i="37"/>
  <c r="D252" i="37"/>
  <c r="K252" i="37"/>
  <c r="J252" i="37"/>
  <c r="I252" i="37"/>
  <c r="L251" i="37"/>
  <c r="K251" i="37"/>
  <c r="J251" i="37"/>
  <c r="I251" i="37"/>
  <c r="F252" i="37"/>
  <c r="H251" i="37"/>
  <c r="G251" i="37"/>
  <c r="F251" i="37"/>
  <c r="E251" i="37"/>
  <c r="D251" i="37"/>
  <c r="H250" i="37"/>
  <c r="G250" i="37"/>
  <c r="F250" i="37"/>
  <c r="L250" i="37"/>
  <c r="K250" i="37"/>
  <c r="H249" i="37"/>
  <c r="E250" i="37"/>
  <c r="D250" i="37"/>
  <c r="J250" i="37"/>
  <c r="I250" i="37"/>
  <c r="D249" i="37"/>
  <c r="L249" i="37"/>
  <c r="K249" i="37"/>
  <c r="J249" i="37"/>
  <c r="I249" i="37"/>
  <c r="K248" i="37"/>
  <c r="J248" i="37"/>
  <c r="G249" i="37"/>
  <c r="F249" i="37"/>
  <c r="E249" i="37"/>
  <c r="H248" i="37"/>
  <c r="G248" i="37"/>
  <c r="F248" i="37"/>
  <c r="E248" i="37"/>
  <c r="L248" i="37"/>
  <c r="H247" i="37"/>
  <c r="G247" i="37"/>
  <c r="D248" i="37"/>
  <c r="L247" i="37"/>
  <c r="I248" i="37"/>
  <c r="E247" i="37"/>
  <c r="D247" i="37"/>
  <c r="K247" i="37"/>
  <c r="J247" i="37"/>
  <c r="I247" i="37"/>
  <c r="L246" i="37"/>
  <c r="K246" i="37"/>
  <c r="J246" i="37"/>
  <c r="I246" i="37"/>
  <c r="F247" i="37"/>
  <c r="H246" i="37"/>
  <c r="G246" i="37"/>
  <c r="F246" i="37"/>
  <c r="E246" i="37"/>
  <c r="D246" i="37"/>
  <c r="H245" i="37"/>
  <c r="G245" i="37"/>
  <c r="F245" i="37"/>
  <c r="L245" i="37"/>
  <c r="K245" i="37"/>
  <c r="H244" i="37"/>
  <c r="E245" i="37"/>
  <c r="D245" i="37"/>
  <c r="J245" i="37"/>
  <c r="I245" i="37"/>
  <c r="D244" i="37"/>
  <c r="L244" i="37"/>
  <c r="K244" i="37"/>
  <c r="J244" i="37"/>
  <c r="I244" i="37"/>
  <c r="K243" i="37"/>
  <c r="J243" i="37"/>
  <c r="G244" i="37"/>
  <c r="F244" i="37"/>
  <c r="E244" i="37"/>
  <c r="H243" i="37"/>
  <c r="G243" i="37"/>
  <c r="F243" i="37"/>
  <c r="E243" i="37"/>
  <c r="L243" i="37"/>
  <c r="H242" i="37"/>
  <c r="G242" i="37"/>
  <c r="D243" i="37"/>
  <c r="L242" i="37"/>
  <c r="I243" i="37"/>
  <c r="E242" i="37"/>
  <c r="D242" i="37"/>
  <c r="K242" i="37"/>
  <c r="J242" i="37"/>
  <c r="I242" i="37"/>
  <c r="L241" i="37"/>
  <c r="K241" i="37"/>
  <c r="J241" i="37"/>
  <c r="I241" i="37"/>
  <c r="F242" i="37"/>
  <c r="H241" i="37"/>
  <c r="G241" i="37"/>
  <c r="F241" i="37"/>
  <c r="E241" i="37"/>
  <c r="D241" i="37"/>
  <c r="L239" i="37"/>
  <c r="K239" i="37"/>
  <c r="J239" i="37"/>
  <c r="I239" i="37"/>
  <c r="H239" i="37"/>
  <c r="J238" i="37"/>
  <c r="G239" i="37"/>
  <c r="F239" i="37"/>
  <c r="E239" i="37"/>
  <c r="D239" i="37"/>
  <c r="G238" i="37"/>
  <c r="F238" i="37"/>
  <c r="E238" i="37"/>
  <c r="L238" i="37"/>
  <c r="K238" i="37"/>
  <c r="G237" i="37"/>
  <c r="D238" i="37"/>
  <c r="L237" i="37"/>
  <c r="I238" i="37"/>
  <c r="H238" i="37"/>
  <c r="D237" i="37"/>
  <c r="K237" i="37"/>
  <c r="J237" i="37"/>
  <c r="I237" i="37"/>
  <c r="H237" i="37"/>
  <c r="K236" i="37"/>
  <c r="J236" i="37"/>
  <c r="I236" i="37"/>
  <c r="F237" i="37"/>
  <c r="E237" i="37"/>
  <c r="G236" i="37"/>
  <c r="F236" i="37"/>
  <c r="E236" i="37"/>
  <c r="D236" i="37"/>
  <c r="L236" i="37"/>
  <c r="G235" i="37"/>
  <c r="F235" i="37"/>
  <c r="L235" i="37"/>
  <c r="K235" i="37"/>
  <c r="H236" i="37"/>
  <c r="E235" i="37"/>
  <c r="D235" i="37"/>
  <c r="J235" i="37"/>
  <c r="I235" i="37"/>
  <c r="H235" i="37"/>
  <c r="L234" i="37"/>
  <c r="K234" i="37"/>
  <c r="J234" i="37"/>
  <c r="I234" i="37"/>
  <c r="H234" i="37"/>
  <c r="J233" i="37"/>
  <c r="G234" i="37"/>
  <c r="F234" i="37"/>
  <c r="E234" i="37"/>
  <c r="D234" i="37"/>
  <c r="G233" i="37"/>
  <c r="F233" i="37"/>
  <c r="E233" i="37"/>
  <c r="L233" i="37"/>
  <c r="K233" i="37"/>
  <c r="G232" i="37"/>
  <c r="D233" i="37"/>
  <c r="L232" i="37"/>
  <c r="I233" i="37"/>
  <c r="H233" i="37"/>
  <c r="D232" i="37"/>
  <c r="K232" i="37"/>
  <c r="J232" i="37"/>
  <c r="I232" i="37"/>
  <c r="H232" i="37"/>
  <c r="K231" i="37"/>
  <c r="J231" i="37"/>
  <c r="I231" i="37"/>
  <c r="F232" i="37"/>
  <c r="E232" i="37"/>
  <c r="G231" i="37"/>
  <c r="F231" i="37"/>
  <c r="E231" i="37"/>
  <c r="D231" i="37"/>
  <c r="L231" i="37"/>
  <c r="G230" i="37"/>
  <c r="F230" i="37"/>
  <c r="L230" i="37"/>
  <c r="K230" i="37"/>
  <c r="H231" i="37"/>
  <c r="E230" i="37"/>
  <c r="D230" i="37"/>
  <c r="J230" i="37"/>
  <c r="I230" i="37"/>
  <c r="H230" i="37"/>
  <c r="L229" i="37"/>
  <c r="K229" i="37"/>
  <c r="J229" i="37"/>
  <c r="I229" i="37"/>
  <c r="H229" i="37"/>
  <c r="J228" i="37"/>
  <c r="G229" i="37"/>
  <c r="F229" i="37"/>
  <c r="E229" i="37"/>
  <c r="D229" i="37"/>
  <c r="G228" i="37"/>
  <c r="F228" i="37"/>
  <c r="E228" i="37"/>
  <c r="L228" i="37"/>
  <c r="K228" i="37"/>
  <c r="G227" i="37"/>
  <c r="D228" i="37"/>
  <c r="L227" i="37"/>
  <c r="I228" i="37"/>
  <c r="H228" i="37"/>
  <c r="D227" i="37"/>
  <c r="K227" i="37"/>
  <c r="J227" i="37"/>
  <c r="I227" i="37"/>
  <c r="H227" i="37"/>
  <c r="K226" i="37"/>
  <c r="J226" i="37"/>
  <c r="I226" i="37"/>
  <c r="F227" i="37"/>
  <c r="E227" i="37"/>
  <c r="G226" i="37"/>
  <c r="F226" i="37"/>
  <c r="E226" i="37"/>
  <c r="D226" i="37"/>
  <c r="L226" i="37"/>
  <c r="G225" i="37"/>
  <c r="F225" i="37"/>
  <c r="L225" i="37"/>
  <c r="K225" i="37"/>
  <c r="H226" i="37"/>
  <c r="E225" i="37"/>
  <c r="D225" i="37"/>
  <c r="J225" i="37"/>
  <c r="I225" i="37"/>
  <c r="H225" i="37"/>
  <c r="L224" i="37"/>
  <c r="K224" i="37"/>
  <c r="J224" i="37"/>
  <c r="I224" i="37"/>
  <c r="H224" i="37"/>
  <c r="J223" i="37"/>
  <c r="G224" i="37"/>
  <c r="F224" i="37"/>
  <c r="E224" i="37"/>
  <c r="D224" i="37"/>
  <c r="G223" i="37"/>
  <c r="F223" i="37"/>
  <c r="E223" i="37"/>
  <c r="L223" i="37"/>
  <c r="K223" i="37"/>
  <c r="G222" i="37"/>
  <c r="D223" i="37"/>
  <c r="L222" i="37"/>
  <c r="I223" i="37"/>
  <c r="H223" i="37"/>
  <c r="D222" i="37"/>
  <c r="K222" i="37"/>
  <c r="J222" i="37"/>
  <c r="I222" i="37"/>
  <c r="H222" i="37"/>
  <c r="K221" i="37"/>
  <c r="J221" i="37"/>
  <c r="I221" i="37"/>
  <c r="F222" i="37"/>
  <c r="E222" i="37"/>
  <c r="G221" i="37"/>
  <c r="F221" i="37"/>
  <c r="E221" i="37"/>
  <c r="D221" i="37"/>
  <c r="L221" i="37"/>
  <c r="G220" i="37"/>
  <c r="F220" i="37"/>
  <c r="L220" i="37"/>
  <c r="K220" i="37"/>
  <c r="H221" i="37"/>
  <c r="E220" i="37"/>
  <c r="D220" i="37"/>
  <c r="J220" i="37"/>
  <c r="I220" i="37"/>
  <c r="H220" i="37"/>
  <c r="L219" i="37"/>
  <c r="K219" i="37"/>
  <c r="J219" i="37"/>
  <c r="I219" i="37"/>
  <c r="H219" i="37"/>
  <c r="J218" i="37"/>
  <c r="G219" i="37"/>
  <c r="F219" i="37"/>
  <c r="E219" i="37"/>
  <c r="D219" i="37"/>
  <c r="G218" i="37"/>
  <c r="F218" i="37"/>
  <c r="E218" i="37"/>
  <c r="L218" i="37"/>
  <c r="K218" i="37"/>
  <c r="G217" i="37"/>
  <c r="D218" i="37"/>
  <c r="L217" i="37"/>
  <c r="I218" i="37"/>
  <c r="H218" i="37"/>
  <c r="D217" i="37"/>
  <c r="K217" i="37"/>
  <c r="J217" i="37"/>
  <c r="I217" i="37"/>
  <c r="H217" i="37"/>
  <c r="K216" i="37"/>
  <c r="J216" i="37"/>
  <c r="I216" i="37"/>
  <c r="F217" i="37"/>
  <c r="E217" i="37"/>
  <c r="G216" i="37"/>
  <c r="F216" i="37"/>
  <c r="E216" i="37"/>
  <c r="D216" i="37"/>
  <c r="L216" i="37"/>
  <c r="G215" i="37"/>
  <c r="F215" i="37"/>
  <c r="L215" i="37"/>
  <c r="K215" i="37"/>
  <c r="H216" i="37"/>
  <c r="E215" i="37"/>
  <c r="D215" i="37"/>
  <c r="J215" i="37"/>
  <c r="I215" i="37"/>
  <c r="H215" i="37"/>
  <c r="L214" i="37"/>
  <c r="K214" i="37"/>
  <c r="J214" i="37"/>
  <c r="I214" i="37"/>
  <c r="H214" i="37"/>
  <c r="J213" i="37"/>
  <c r="G214" i="37"/>
  <c r="F214" i="37"/>
  <c r="E214" i="37"/>
  <c r="D214" i="37"/>
  <c r="G213" i="37"/>
  <c r="F213" i="37"/>
  <c r="E213" i="37"/>
  <c r="L213" i="37"/>
  <c r="K213" i="37"/>
  <c r="G212" i="37"/>
  <c r="D213" i="37"/>
  <c r="L212" i="37"/>
  <c r="I213" i="37"/>
  <c r="H213" i="37"/>
  <c r="D212" i="37"/>
  <c r="K212" i="37"/>
  <c r="J212" i="37"/>
  <c r="I212" i="37"/>
  <c r="H212" i="37"/>
  <c r="K211" i="37"/>
  <c r="J211" i="37"/>
  <c r="I211" i="37"/>
  <c r="F212" i="37"/>
  <c r="E212" i="37"/>
  <c r="G211" i="37"/>
  <c r="F211" i="37"/>
  <c r="E211" i="37"/>
  <c r="D211" i="37"/>
  <c r="L211" i="37"/>
  <c r="G210" i="37"/>
  <c r="F210" i="37"/>
  <c r="L210" i="37"/>
  <c r="K210" i="37"/>
  <c r="H211" i="37"/>
  <c r="E210" i="37"/>
  <c r="D210" i="37"/>
  <c r="J210" i="37"/>
  <c r="I210" i="37"/>
  <c r="H210" i="37"/>
  <c r="L209" i="37"/>
  <c r="K209" i="37"/>
  <c r="J209" i="37"/>
  <c r="I209" i="37"/>
  <c r="H209" i="37"/>
  <c r="J208" i="37"/>
  <c r="G209" i="37"/>
  <c r="F209" i="37"/>
  <c r="E209" i="37"/>
  <c r="D209" i="37"/>
  <c r="G208" i="37"/>
  <c r="F208" i="37"/>
  <c r="E208" i="37"/>
  <c r="L208" i="37"/>
  <c r="K208" i="37"/>
  <c r="G207" i="37"/>
  <c r="D208" i="37"/>
  <c r="L207" i="37"/>
  <c r="I208" i="37"/>
  <c r="H208" i="37"/>
  <c r="D207" i="37"/>
  <c r="K207" i="37"/>
  <c r="J207" i="37"/>
  <c r="I207" i="37"/>
  <c r="H207" i="37"/>
  <c r="K206" i="37"/>
  <c r="J206" i="37"/>
  <c r="I206" i="37"/>
  <c r="F207" i="37"/>
  <c r="E207" i="37"/>
  <c r="G206" i="37"/>
  <c r="F206" i="37"/>
  <c r="E206" i="37"/>
  <c r="D206" i="37"/>
  <c r="L206" i="37"/>
  <c r="G205" i="37"/>
  <c r="F205" i="37"/>
  <c r="L205" i="37"/>
  <c r="K205" i="37"/>
  <c r="H206" i="37"/>
  <c r="E205" i="37"/>
  <c r="D205" i="37"/>
  <c r="J205" i="37"/>
  <c r="I205" i="37"/>
  <c r="H205" i="37"/>
  <c r="L204" i="37"/>
  <c r="K204" i="37"/>
  <c r="J204" i="37"/>
  <c r="I204" i="37"/>
  <c r="H204" i="37"/>
  <c r="J203" i="37"/>
  <c r="G204" i="37"/>
  <c r="F204" i="37"/>
  <c r="E204" i="37"/>
  <c r="D204" i="37"/>
  <c r="G203" i="37"/>
  <c r="F203" i="37"/>
  <c r="E203" i="37"/>
  <c r="L203" i="37"/>
  <c r="K203" i="37"/>
  <c r="G202" i="37"/>
  <c r="D203" i="37"/>
  <c r="L202" i="37"/>
  <c r="I203" i="37"/>
  <c r="H203" i="37"/>
  <c r="D202" i="37"/>
  <c r="K202" i="37"/>
  <c r="J202" i="37"/>
  <c r="I202" i="37"/>
  <c r="H202" i="37"/>
  <c r="K201" i="37"/>
  <c r="J201" i="37"/>
  <c r="I201" i="37"/>
  <c r="F202" i="37"/>
  <c r="E202" i="37"/>
  <c r="G201" i="37"/>
  <c r="F201" i="37"/>
  <c r="E201" i="37"/>
  <c r="D201" i="37"/>
  <c r="L201" i="37"/>
  <c r="G200" i="37"/>
  <c r="F200" i="37"/>
  <c r="L200" i="37"/>
  <c r="K200" i="37"/>
  <c r="H201" i="37"/>
  <c r="E200" i="37"/>
  <c r="D200" i="37"/>
  <c r="J200" i="37"/>
  <c r="I200" i="37"/>
  <c r="H200" i="37"/>
  <c r="L199" i="37"/>
  <c r="K199" i="37"/>
  <c r="J199" i="37"/>
  <c r="I199" i="37"/>
  <c r="H199" i="37"/>
  <c r="J198" i="37"/>
  <c r="G199" i="37"/>
  <c r="F199" i="37"/>
  <c r="E199" i="37"/>
  <c r="D199" i="37"/>
  <c r="G198" i="37"/>
  <c r="F198" i="37"/>
  <c r="E198" i="37"/>
  <c r="L198" i="37"/>
  <c r="K198" i="37"/>
  <c r="G197" i="37"/>
  <c r="D198" i="37"/>
  <c r="L197" i="37"/>
  <c r="I198" i="37"/>
  <c r="H198" i="37"/>
  <c r="D197" i="37"/>
  <c r="K197" i="37"/>
  <c r="J197" i="37"/>
  <c r="I197" i="37"/>
  <c r="H197" i="37"/>
  <c r="K196" i="37"/>
  <c r="J196" i="37"/>
  <c r="I196" i="37"/>
  <c r="F197" i="37"/>
  <c r="E197" i="37"/>
  <c r="G196" i="37"/>
  <c r="F196" i="37"/>
  <c r="E196" i="37"/>
  <c r="D196" i="37"/>
  <c r="L196" i="37"/>
  <c r="G195" i="37"/>
  <c r="F195" i="37"/>
  <c r="L195" i="37"/>
  <c r="K195" i="37"/>
  <c r="H196" i="37"/>
  <c r="E195" i="37"/>
  <c r="D195" i="37"/>
  <c r="J195" i="37"/>
  <c r="I195" i="37"/>
  <c r="H195" i="37"/>
  <c r="L194" i="37"/>
  <c r="K194" i="37"/>
  <c r="J194" i="37"/>
  <c r="I194" i="37"/>
  <c r="H194" i="37"/>
  <c r="J193" i="37"/>
  <c r="G194" i="37"/>
  <c r="F194" i="37"/>
  <c r="E194" i="37"/>
  <c r="D194" i="37"/>
  <c r="G193" i="37"/>
  <c r="F193" i="37"/>
  <c r="E193" i="37"/>
  <c r="L193" i="37"/>
  <c r="K193" i="37"/>
  <c r="G192" i="37"/>
  <c r="D193" i="37"/>
  <c r="L192" i="37"/>
  <c r="I193" i="37"/>
  <c r="H193" i="37"/>
  <c r="D192" i="37"/>
  <c r="K192" i="37"/>
  <c r="J192" i="37"/>
  <c r="I192" i="37"/>
  <c r="H192" i="37"/>
  <c r="K191" i="37"/>
  <c r="J191" i="37"/>
  <c r="I191" i="37"/>
  <c r="F192" i="37"/>
  <c r="E192" i="37"/>
  <c r="G191" i="37"/>
  <c r="F191" i="37"/>
  <c r="E191" i="37"/>
  <c r="D191" i="37"/>
  <c r="L191" i="37"/>
  <c r="G190" i="37"/>
  <c r="F190" i="37"/>
  <c r="L190" i="37"/>
  <c r="K190" i="37"/>
  <c r="H191" i="37"/>
  <c r="E190" i="37"/>
  <c r="D190" i="37"/>
  <c r="J190" i="37"/>
  <c r="I190" i="37"/>
  <c r="H190" i="37"/>
  <c r="L189" i="37"/>
  <c r="K189" i="37"/>
  <c r="J189" i="37"/>
  <c r="I189" i="37"/>
  <c r="H189" i="37"/>
  <c r="J188" i="37"/>
  <c r="G189" i="37"/>
  <c r="F189" i="37"/>
  <c r="E189" i="37"/>
  <c r="D189" i="37"/>
  <c r="G188" i="37"/>
  <c r="F188" i="37"/>
  <c r="E188" i="37"/>
  <c r="L188" i="37"/>
  <c r="K188" i="37"/>
  <c r="G187" i="37"/>
  <c r="D188" i="37"/>
  <c r="L187" i="37"/>
  <c r="I188" i="37"/>
  <c r="H188" i="37"/>
  <c r="D187" i="37"/>
  <c r="K187" i="37"/>
  <c r="J187" i="37"/>
  <c r="I187" i="37"/>
  <c r="H187" i="37"/>
  <c r="K186" i="37"/>
  <c r="J186" i="37"/>
  <c r="I186" i="37"/>
  <c r="F187" i="37"/>
  <c r="E187" i="37"/>
  <c r="G186" i="37"/>
  <c r="F186" i="37"/>
  <c r="E186" i="37"/>
  <c r="D186" i="37"/>
  <c r="L186" i="37"/>
  <c r="G185" i="37"/>
  <c r="F185" i="37"/>
  <c r="L185" i="37"/>
  <c r="K185" i="37"/>
  <c r="H186" i="37"/>
  <c r="E185" i="37"/>
  <c r="D185" i="37"/>
  <c r="J185" i="37"/>
  <c r="I185" i="37"/>
  <c r="H185" i="37"/>
  <c r="L184" i="37"/>
  <c r="K184" i="37"/>
  <c r="J184" i="37"/>
  <c r="I184" i="37"/>
  <c r="H184" i="37"/>
  <c r="J183" i="37"/>
  <c r="G184" i="37"/>
  <c r="F184" i="37"/>
  <c r="E184" i="37"/>
  <c r="D184" i="37"/>
  <c r="G183" i="37"/>
  <c r="F183" i="37"/>
  <c r="E183" i="37"/>
  <c r="L183" i="37"/>
  <c r="K183" i="37"/>
  <c r="G182" i="37"/>
  <c r="D183" i="37"/>
  <c r="L182" i="37"/>
  <c r="I183" i="37"/>
  <c r="H183" i="37"/>
  <c r="D182" i="37"/>
  <c r="K182" i="37"/>
  <c r="J182" i="37"/>
  <c r="I182" i="37"/>
  <c r="H182" i="37"/>
  <c r="K181" i="37"/>
  <c r="J181" i="37"/>
  <c r="I181" i="37"/>
  <c r="F182" i="37"/>
  <c r="E182" i="37"/>
  <c r="G181" i="37"/>
  <c r="F181" i="37"/>
  <c r="E181" i="37"/>
  <c r="D181" i="37"/>
  <c r="L181" i="37"/>
  <c r="G180" i="37"/>
  <c r="F180" i="37"/>
  <c r="L180" i="37"/>
  <c r="K180" i="37"/>
  <c r="H181" i="37"/>
  <c r="E180" i="37"/>
  <c r="D180" i="37"/>
  <c r="J180" i="37"/>
  <c r="I180" i="37"/>
  <c r="H180" i="37"/>
  <c r="L179" i="37"/>
  <c r="K179" i="37"/>
  <c r="J179" i="37"/>
  <c r="I179" i="37"/>
  <c r="H179" i="37"/>
  <c r="J178" i="37"/>
  <c r="G179" i="37"/>
  <c r="F179" i="37"/>
  <c r="E179" i="37"/>
  <c r="D179" i="37"/>
  <c r="G178" i="37"/>
  <c r="F178" i="37"/>
  <c r="E178" i="37"/>
  <c r="L178" i="37"/>
  <c r="K178" i="37"/>
  <c r="G177" i="37"/>
  <c r="D178" i="37"/>
  <c r="L177" i="37"/>
  <c r="I178" i="37"/>
  <c r="H178" i="37"/>
  <c r="D177" i="37"/>
  <c r="K177" i="37"/>
  <c r="J177" i="37"/>
  <c r="I177" i="37"/>
  <c r="H177" i="37"/>
  <c r="K176" i="37"/>
  <c r="J176" i="37"/>
  <c r="I176" i="37"/>
  <c r="F177" i="37"/>
  <c r="E177" i="37"/>
  <c r="G176" i="37"/>
  <c r="F176" i="37"/>
  <c r="E176" i="37"/>
  <c r="D176" i="37"/>
  <c r="L176" i="37"/>
  <c r="G175" i="37"/>
  <c r="F175" i="37"/>
  <c r="L175" i="37"/>
  <c r="K175" i="37"/>
  <c r="H176" i="37"/>
  <c r="E175" i="37"/>
  <c r="D175" i="37"/>
  <c r="J175" i="37"/>
  <c r="I175" i="37"/>
  <c r="H175" i="37"/>
  <c r="L174" i="37"/>
  <c r="K174" i="37"/>
  <c r="J174" i="37"/>
  <c r="I174" i="37"/>
  <c r="H174" i="37"/>
  <c r="J173" i="37"/>
  <c r="G174" i="37"/>
  <c r="F174" i="37"/>
  <c r="E174" i="37"/>
  <c r="D174" i="37"/>
  <c r="G173" i="37"/>
  <c r="F173" i="37"/>
  <c r="E173" i="37"/>
  <c r="L173" i="37"/>
  <c r="K173" i="37"/>
  <c r="G172" i="37"/>
  <c r="D173" i="37"/>
  <c r="L172" i="37"/>
  <c r="I173" i="37"/>
  <c r="H173" i="37"/>
  <c r="D172" i="37"/>
  <c r="K172" i="37"/>
  <c r="J172" i="37"/>
  <c r="I172" i="37"/>
  <c r="H172" i="37"/>
  <c r="K171" i="37"/>
  <c r="J171" i="37"/>
  <c r="I171" i="37"/>
  <c r="F172" i="37"/>
  <c r="E172" i="37"/>
  <c r="G171" i="37"/>
  <c r="F171" i="37"/>
  <c r="E171" i="37"/>
  <c r="D171" i="37"/>
  <c r="L171" i="37"/>
  <c r="G170" i="37"/>
  <c r="F170" i="37"/>
  <c r="L170" i="37"/>
  <c r="K170" i="37"/>
  <c r="H171" i="37"/>
  <c r="E170" i="37"/>
  <c r="D170" i="37"/>
  <c r="J170" i="37"/>
  <c r="I170" i="37"/>
  <c r="H170" i="37"/>
  <c r="L169" i="37"/>
  <c r="K169" i="37"/>
  <c r="J169" i="37"/>
  <c r="I169" i="37"/>
  <c r="H169" i="37"/>
  <c r="J168" i="37"/>
  <c r="G169" i="37"/>
  <c r="F169" i="37"/>
  <c r="E169" i="37"/>
  <c r="D169" i="37"/>
  <c r="G168" i="37"/>
  <c r="F168" i="37"/>
  <c r="E168" i="37"/>
  <c r="L168" i="37"/>
  <c r="K168" i="37"/>
  <c r="G167" i="37"/>
  <c r="D168" i="37"/>
  <c r="L167" i="37"/>
  <c r="I168" i="37"/>
  <c r="H168" i="37"/>
  <c r="D167" i="37"/>
  <c r="K167" i="37"/>
  <c r="J167" i="37"/>
  <c r="I167" i="37"/>
  <c r="H167" i="37"/>
  <c r="K166" i="37"/>
  <c r="J166" i="37"/>
  <c r="I166" i="37"/>
  <c r="F167" i="37"/>
  <c r="E167" i="37"/>
  <c r="G166" i="37"/>
  <c r="F166" i="37"/>
  <c r="E166" i="37"/>
  <c r="D166" i="37"/>
  <c r="L166" i="37"/>
  <c r="G165" i="37"/>
  <c r="F165" i="37"/>
  <c r="L165" i="37"/>
  <c r="K165" i="37"/>
  <c r="H166" i="37"/>
  <c r="E165" i="37"/>
  <c r="D165" i="37"/>
  <c r="J165" i="37"/>
  <c r="I165" i="37"/>
  <c r="H165" i="37"/>
  <c r="L164" i="37"/>
  <c r="K164" i="37"/>
  <c r="J164" i="37"/>
  <c r="I164" i="37"/>
  <c r="H164" i="37"/>
  <c r="J163" i="37"/>
  <c r="G164" i="37"/>
  <c r="F164" i="37"/>
  <c r="E164" i="37"/>
  <c r="D164" i="37"/>
  <c r="G163" i="37"/>
  <c r="F163" i="37"/>
  <c r="E163" i="37"/>
  <c r="L163" i="37"/>
  <c r="K163" i="37"/>
  <c r="G162" i="37"/>
  <c r="D163" i="37"/>
  <c r="L162" i="37"/>
  <c r="I163" i="37"/>
  <c r="H163" i="37"/>
  <c r="D162" i="37"/>
  <c r="K162" i="37"/>
  <c r="J162" i="37"/>
  <c r="I162" i="37"/>
  <c r="H162" i="37"/>
  <c r="K161" i="37"/>
  <c r="J161" i="37"/>
  <c r="I161" i="37"/>
  <c r="F162" i="37"/>
  <c r="E162" i="37"/>
  <c r="G161" i="37"/>
  <c r="F161" i="37"/>
  <c r="E161" i="37"/>
  <c r="D161" i="37"/>
  <c r="L161" i="37"/>
  <c r="G160" i="37"/>
  <c r="F160" i="37"/>
  <c r="L160" i="37"/>
  <c r="K160" i="37"/>
  <c r="H161" i="37"/>
  <c r="E160" i="37"/>
  <c r="D160" i="37"/>
  <c r="J160" i="37"/>
  <c r="I160" i="37"/>
  <c r="H160" i="37"/>
  <c r="L159" i="37"/>
  <c r="K159" i="37"/>
  <c r="J159" i="37"/>
  <c r="I159" i="37"/>
  <c r="H159" i="37"/>
  <c r="J158" i="37"/>
  <c r="G159" i="37"/>
  <c r="F159" i="37"/>
  <c r="E159" i="37"/>
  <c r="D159" i="37"/>
  <c r="G158" i="37"/>
  <c r="F158" i="37"/>
  <c r="E158" i="37"/>
  <c r="L158" i="37"/>
  <c r="K158" i="37"/>
  <c r="G157" i="37"/>
  <c r="D158" i="37"/>
  <c r="L157" i="37"/>
  <c r="I158" i="37"/>
  <c r="H158" i="37"/>
  <c r="D157" i="37"/>
  <c r="K157" i="37"/>
  <c r="J157" i="37"/>
  <c r="I157" i="37"/>
  <c r="H157" i="37"/>
  <c r="K156" i="37"/>
  <c r="J156" i="37"/>
  <c r="I156" i="37"/>
  <c r="F157" i="37"/>
  <c r="E157" i="37"/>
  <c r="G156" i="37"/>
  <c r="F156" i="37"/>
  <c r="E156" i="37"/>
  <c r="D156" i="37"/>
  <c r="L156" i="37"/>
  <c r="G155" i="37"/>
  <c r="F155" i="37"/>
  <c r="L155" i="37"/>
  <c r="K155" i="37"/>
  <c r="H156" i="37"/>
  <c r="E155" i="37"/>
  <c r="D155" i="37"/>
  <c r="J155" i="37"/>
  <c r="I155" i="37"/>
  <c r="H155" i="37"/>
  <c r="L154" i="37"/>
  <c r="K154" i="37"/>
  <c r="J154" i="37"/>
  <c r="I154" i="37"/>
  <c r="H154" i="37"/>
  <c r="J153" i="37"/>
  <c r="G154" i="37"/>
  <c r="F154" i="37"/>
  <c r="E154" i="37"/>
  <c r="D154" i="37"/>
  <c r="G153" i="37"/>
  <c r="F153" i="37"/>
  <c r="E153" i="37"/>
  <c r="L153" i="37"/>
  <c r="K153" i="37"/>
  <c r="G152" i="37"/>
  <c r="D153" i="37"/>
  <c r="L152" i="37"/>
  <c r="I153" i="37"/>
  <c r="H153" i="37"/>
  <c r="D152" i="37"/>
  <c r="K152" i="37"/>
  <c r="J152" i="37"/>
  <c r="I152" i="37"/>
  <c r="H152" i="37"/>
  <c r="K151" i="37"/>
  <c r="J151" i="37"/>
  <c r="I151" i="37"/>
  <c r="F152" i="37"/>
  <c r="E152" i="37"/>
  <c r="G151" i="37"/>
  <c r="F151" i="37"/>
  <c r="E151" i="37"/>
  <c r="D151" i="37"/>
  <c r="L151" i="37"/>
  <c r="G150" i="37"/>
  <c r="F150" i="37"/>
  <c r="L150" i="37"/>
  <c r="K150" i="37"/>
  <c r="H151" i="37"/>
  <c r="E150" i="37"/>
  <c r="D150" i="37"/>
  <c r="J150" i="37"/>
  <c r="I150" i="37"/>
  <c r="H150" i="37"/>
  <c r="L149" i="37"/>
  <c r="K149" i="37"/>
  <c r="J149" i="37"/>
  <c r="I149" i="37"/>
  <c r="H149" i="37"/>
  <c r="J148" i="37"/>
  <c r="G149" i="37"/>
  <c r="F149" i="37"/>
  <c r="E149" i="37"/>
  <c r="D149" i="37"/>
  <c r="G148" i="37"/>
  <c r="F148" i="37"/>
  <c r="E148" i="37"/>
  <c r="L148" i="37"/>
  <c r="K148" i="37"/>
  <c r="G147" i="37"/>
  <c r="D148" i="37"/>
  <c r="L147" i="37"/>
  <c r="I148" i="37"/>
  <c r="H148" i="37"/>
  <c r="D147" i="37"/>
  <c r="K147" i="37"/>
  <c r="J147" i="37"/>
  <c r="I147" i="37"/>
  <c r="H147" i="37"/>
  <c r="K146" i="37"/>
  <c r="J146" i="37"/>
  <c r="I146" i="37"/>
  <c r="F147" i="37"/>
  <c r="E147" i="37"/>
  <c r="G146" i="37"/>
  <c r="F146" i="37"/>
  <c r="E146" i="37"/>
  <c r="D146" i="37"/>
  <c r="L146" i="37"/>
  <c r="G145" i="37"/>
  <c r="F145" i="37"/>
  <c r="L145" i="37"/>
  <c r="K145" i="37"/>
  <c r="H146" i="37"/>
  <c r="E145" i="37"/>
  <c r="D145" i="37"/>
  <c r="J145" i="37"/>
  <c r="I145" i="37"/>
  <c r="H145" i="37"/>
  <c r="L144" i="37"/>
  <c r="K144" i="37"/>
  <c r="J144" i="37"/>
  <c r="I144" i="37"/>
  <c r="H144" i="37"/>
  <c r="J143" i="37"/>
  <c r="G144" i="37"/>
  <c r="F144" i="37"/>
  <c r="E144" i="37"/>
  <c r="D144" i="37"/>
  <c r="G143" i="37"/>
  <c r="F143" i="37"/>
  <c r="E143" i="37"/>
  <c r="L143" i="37"/>
  <c r="K143" i="37"/>
  <c r="G142" i="37"/>
  <c r="D143" i="37"/>
  <c r="L142" i="37"/>
  <c r="I143" i="37"/>
  <c r="H143" i="37"/>
  <c r="D142" i="37"/>
  <c r="K142" i="37"/>
  <c r="J142" i="37"/>
  <c r="I142" i="37"/>
  <c r="H142" i="37"/>
  <c r="K141" i="37"/>
  <c r="J141" i="37"/>
  <c r="I141" i="37"/>
  <c r="F142" i="37"/>
  <c r="E142" i="37"/>
  <c r="G141" i="37"/>
  <c r="F141" i="37"/>
  <c r="E141" i="37"/>
  <c r="D141" i="37"/>
  <c r="L141" i="37"/>
  <c r="G140" i="37"/>
  <c r="F140" i="37"/>
  <c r="L140" i="37"/>
  <c r="K140" i="37"/>
  <c r="H141" i="37"/>
  <c r="E140" i="37"/>
  <c r="D140" i="37"/>
  <c r="J140" i="37"/>
  <c r="I140" i="37"/>
  <c r="H140" i="37"/>
  <c r="L139" i="37"/>
  <c r="K139" i="37"/>
  <c r="J139" i="37"/>
  <c r="I139" i="37"/>
  <c r="H139" i="37"/>
  <c r="J138" i="37"/>
  <c r="G139" i="37"/>
  <c r="F139" i="37"/>
  <c r="E139" i="37"/>
  <c r="D139" i="37"/>
  <c r="G138" i="37"/>
  <c r="F138" i="37"/>
  <c r="E138" i="37"/>
  <c r="L138" i="37"/>
  <c r="K138" i="37"/>
  <c r="G137" i="37"/>
  <c r="D138" i="37"/>
  <c r="L137" i="37"/>
  <c r="I138" i="37"/>
  <c r="H138" i="37"/>
  <c r="D137" i="37"/>
  <c r="K137" i="37"/>
  <c r="J137" i="37"/>
  <c r="I137" i="37"/>
  <c r="H137" i="37"/>
  <c r="K136" i="37"/>
  <c r="J136" i="37"/>
  <c r="I136" i="37"/>
  <c r="F137" i="37"/>
  <c r="E137" i="37"/>
  <c r="G136" i="37"/>
  <c r="F136" i="37"/>
  <c r="E136" i="37"/>
  <c r="D136" i="37"/>
  <c r="L136" i="37"/>
  <c r="G135" i="37"/>
  <c r="F135" i="37"/>
  <c r="L135" i="37"/>
  <c r="K135" i="37"/>
  <c r="H136" i="37"/>
  <c r="E135" i="37"/>
  <c r="D135" i="37"/>
  <c r="J135" i="37"/>
  <c r="I135" i="37"/>
  <c r="H135" i="37"/>
  <c r="L134" i="37"/>
  <c r="K134" i="37"/>
  <c r="J134" i="37"/>
  <c r="I134" i="37"/>
  <c r="H134" i="37"/>
  <c r="H129" i="37"/>
  <c r="G134" i="37"/>
  <c r="F134" i="37"/>
  <c r="E134" i="37"/>
  <c r="D134" i="37"/>
  <c r="D129" i="37"/>
  <c r="L129" i="37"/>
  <c r="K129" i="37"/>
  <c r="J129" i="37"/>
  <c r="I129" i="37"/>
  <c r="J126" i="37"/>
  <c r="I126" i="37"/>
  <c r="G129" i="37"/>
  <c r="F129" i="37"/>
  <c r="E129" i="37"/>
  <c r="F126" i="37"/>
  <c r="E126" i="37"/>
  <c r="D126" i="37"/>
  <c r="L126" i="37"/>
  <c r="K126" i="37"/>
  <c r="J124" i="37"/>
  <c r="I124" i="37"/>
  <c r="H124" i="37"/>
  <c r="H126" i="37"/>
  <c r="G126" i="37"/>
  <c r="F124" i="37"/>
  <c r="E124" i="37"/>
  <c r="D124" i="37"/>
  <c r="L124" i="37"/>
  <c r="K124" i="37"/>
  <c r="L121" i="37"/>
  <c r="K121" i="37"/>
  <c r="J121" i="37"/>
  <c r="I121" i="37"/>
  <c r="G124" i="37"/>
  <c r="H121" i="37"/>
  <c r="G121" i="37"/>
  <c r="F121" i="37"/>
  <c r="E121" i="37"/>
  <c r="D121" i="37"/>
  <c r="H120" i="37"/>
  <c r="G120" i="37"/>
  <c r="F120" i="37"/>
  <c r="L120" i="37"/>
  <c r="K120" i="37"/>
  <c r="H119" i="37"/>
  <c r="E120" i="37"/>
  <c r="D120" i="37"/>
  <c r="J120" i="37"/>
  <c r="I120" i="37"/>
  <c r="D119" i="37"/>
  <c r="L119" i="37"/>
  <c r="K119" i="37"/>
  <c r="J119" i="37"/>
  <c r="I119" i="37"/>
  <c r="K118" i="37"/>
  <c r="J118" i="37"/>
  <c r="G119" i="37"/>
  <c r="F119" i="37"/>
  <c r="E119" i="37"/>
  <c r="H118" i="37"/>
  <c r="G118" i="37"/>
  <c r="F118" i="37"/>
  <c r="E118" i="37"/>
  <c r="L118" i="37"/>
  <c r="H117" i="37"/>
  <c r="G117" i="37"/>
  <c r="D118" i="37"/>
  <c r="L117" i="37"/>
  <c r="I118" i="37"/>
  <c r="E117" i="37"/>
  <c r="D117" i="37"/>
  <c r="K117" i="37"/>
  <c r="J117" i="37"/>
  <c r="I117" i="37"/>
  <c r="L116" i="37"/>
  <c r="K116" i="37"/>
  <c r="J116" i="37"/>
  <c r="I116" i="37"/>
  <c r="F117" i="37"/>
  <c r="H116" i="37"/>
  <c r="G116" i="37"/>
  <c r="F116" i="37"/>
  <c r="E116" i="37"/>
  <c r="D116" i="37"/>
  <c r="H115" i="37"/>
  <c r="G115" i="37"/>
  <c r="F115" i="37"/>
  <c r="L115" i="37"/>
  <c r="K115" i="37"/>
  <c r="H114" i="37"/>
  <c r="E115" i="37"/>
  <c r="D115" i="37"/>
  <c r="J115" i="37"/>
  <c r="I115" i="37"/>
  <c r="D114" i="37"/>
  <c r="L114" i="37"/>
  <c r="K114" i="37"/>
  <c r="J114" i="37"/>
  <c r="I114" i="37"/>
  <c r="K113" i="37"/>
  <c r="J113" i="37"/>
  <c r="G114" i="37"/>
  <c r="F114" i="37"/>
  <c r="E114" i="37"/>
  <c r="H113" i="37"/>
  <c r="G113" i="37"/>
  <c r="F113" i="37"/>
  <c r="E113" i="37"/>
  <c r="L113" i="37"/>
  <c r="H112" i="37"/>
  <c r="G112" i="37"/>
  <c r="D113" i="37"/>
  <c r="L112" i="37"/>
  <c r="I113" i="37"/>
  <c r="E112" i="37"/>
  <c r="D112" i="37"/>
  <c r="K112" i="37"/>
  <c r="J112" i="37"/>
  <c r="I112" i="37"/>
  <c r="L111" i="37"/>
  <c r="K111" i="37"/>
  <c r="J111" i="37"/>
  <c r="I111" i="37"/>
  <c r="F112" i="37"/>
  <c r="H111" i="37"/>
  <c r="G111" i="37"/>
  <c r="F111" i="37"/>
  <c r="E111" i="37"/>
  <c r="D111" i="37"/>
  <c r="H110" i="37"/>
  <c r="G110" i="37"/>
  <c r="F110" i="37"/>
  <c r="L110" i="37"/>
  <c r="K110" i="37"/>
  <c r="H109" i="37"/>
  <c r="E110" i="37"/>
  <c r="D110" i="37"/>
  <c r="J110" i="37"/>
  <c r="I110" i="37"/>
  <c r="D109" i="37"/>
  <c r="L109" i="37"/>
  <c r="K109" i="37"/>
  <c r="J109" i="37"/>
  <c r="I109" i="37"/>
  <c r="K108" i="37"/>
  <c r="J108" i="37"/>
  <c r="G109" i="37"/>
  <c r="F109" i="37"/>
  <c r="E109" i="37"/>
  <c r="H108" i="37"/>
  <c r="G108" i="37"/>
  <c r="F108" i="37"/>
  <c r="E108" i="37"/>
  <c r="L108" i="37"/>
  <c r="H107" i="37"/>
  <c r="G107" i="37"/>
  <c r="D108" i="37"/>
  <c r="L107" i="37"/>
  <c r="I108" i="37"/>
  <c r="E107" i="37"/>
  <c r="D107" i="37"/>
  <c r="K107" i="37"/>
  <c r="J107" i="37"/>
  <c r="I107" i="37"/>
  <c r="L106" i="37"/>
  <c r="K106" i="37"/>
  <c r="J106" i="37"/>
  <c r="I106" i="37"/>
  <c r="F107" i="37"/>
  <c r="H106" i="37"/>
  <c r="G106" i="37"/>
  <c r="F106" i="37"/>
  <c r="E106" i="37"/>
  <c r="D106" i="37"/>
  <c r="H105" i="37"/>
  <c r="G105" i="37"/>
  <c r="F105" i="37"/>
  <c r="L105" i="37"/>
  <c r="K105" i="37"/>
  <c r="H104" i="37"/>
  <c r="E105" i="37"/>
  <c r="D105" i="37"/>
  <c r="J105" i="37"/>
  <c r="I105" i="37"/>
  <c r="D104" i="37"/>
  <c r="L104" i="37"/>
  <c r="K104" i="37"/>
  <c r="J104" i="37"/>
  <c r="I104" i="37"/>
  <c r="K103" i="37"/>
  <c r="J103" i="37"/>
  <c r="G104" i="37"/>
  <c r="F104" i="37"/>
  <c r="E104" i="37"/>
  <c r="H103" i="37"/>
  <c r="G103" i="37"/>
  <c r="F103" i="37"/>
  <c r="E103" i="37"/>
  <c r="L103" i="37"/>
  <c r="H102" i="37"/>
  <c r="G102" i="37"/>
  <c r="D103" i="37"/>
  <c r="L102" i="37"/>
  <c r="I103" i="37"/>
  <c r="E102" i="37"/>
  <c r="D102" i="37"/>
  <c r="K102" i="37"/>
  <c r="J102" i="37"/>
  <c r="I102" i="37"/>
  <c r="L101" i="37"/>
  <c r="K101" i="37"/>
  <c r="J101" i="37"/>
  <c r="I101" i="37"/>
  <c r="F102" i="37"/>
  <c r="H101" i="37"/>
  <c r="G101" i="37"/>
  <c r="F101" i="37"/>
  <c r="E101" i="37"/>
  <c r="D101" i="37"/>
  <c r="H100" i="37"/>
  <c r="G100" i="37"/>
  <c r="F100" i="37"/>
  <c r="L100" i="37"/>
  <c r="K100" i="37"/>
  <c r="H99" i="37"/>
  <c r="E100" i="37"/>
  <c r="D100" i="37"/>
  <c r="J100" i="37"/>
  <c r="I100" i="37"/>
  <c r="D99" i="37"/>
  <c r="L99" i="37"/>
  <c r="K99" i="37"/>
  <c r="J99" i="37"/>
  <c r="I99" i="37"/>
  <c r="K98" i="37"/>
  <c r="J98" i="37"/>
  <c r="G99" i="37"/>
  <c r="F99" i="37"/>
  <c r="E99" i="37"/>
  <c r="H98" i="37"/>
  <c r="G98" i="37"/>
  <c r="F98" i="37"/>
  <c r="E98" i="37"/>
  <c r="L98" i="37"/>
  <c r="H97" i="37"/>
  <c r="G97" i="37"/>
  <c r="D98" i="37"/>
  <c r="L97" i="37"/>
  <c r="I98" i="37"/>
  <c r="E97" i="37"/>
  <c r="D97" i="37"/>
  <c r="K97" i="37"/>
  <c r="J97" i="37"/>
  <c r="I97" i="37"/>
  <c r="L96" i="37"/>
  <c r="K96" i="37"/>
  <c r="J96" i="37"/>
  <c r="I96" i="37"/>
  <c r="F97" i="37"/>
  <c r="H96" i="37"/>
  <c r="G96" i="37"/>
  <c r="F96" i="37"/>
  <c r="E96" i="37"/>
  <c r="D96" i="37"/>
  <c r="L94" i="37"/>
  <c r="K94" i="37"/>
  <c r="J94" i="37"/>
  <c r="I94" i="37"/>
  <c r="H94" i="37"/>
  <c r="J93" i="37"/>
  <c r="G94" i="37"/>
  <c r="F94" i="37"/>
  <c r="E94" i="37"/>
  <c r="D94" i="37"/>
  <c r="G93" i="37"/>
  <c r="F93" i="37"/>
  <c r="E93" i="37"/>
  <c r="L93" i="37"/>
  <c r="K93" i="37"/>
  <c r="G92" i="37"/>
  <c r="D93" i="37"/>
  <c r="L92" i="37"/>
  <c r="I93" i="37"/>
  <c r="H93" i="37"/>
  <c r="D92" i="37"/>
  <c r="K92" i="37"/>
  <c r="J92" i="37"/>
  <c r="I92" i="37"/>
  <c r="H92" i="37"/>
  <c r="K91" i="37"/>
  <c r="J91" i="37"/>
  <c r="I91" i="37"/>
  <c r="F92" i="37"/>
  <c r="E92" i="37"/>
  <c r="G91" i="37"/>
  <c r="F91" i="37"/>
  <c r="E91" i="37"/>
  <c r="D91" i="37"/>
  <c r="L91" i="37"/>
  <c r="G90" i="37"/>
  <c r="F90" i="37"/>
  <c r="L90" i="37"/>
  <c r="K90" i="37"/>
  <c r="H91" i="37"/>
  <c r="E90" i="37"/>
  <c r="D90" i="37"/>
  <c r="J90" i="37"/>
  <c r="I90" i="37"/>
  <c r="H90" i="37"/>
  <c r="L89" i="37"/>
  <c r="K89" i="37"/>
  <c r="J89" i="37"/>
  <c r="I89" i="37"/>
  <c r="H89" i="37"/>
  <c r="J88" i="37"/>
  <c r="G89" i="37"/>
  <c r="F89" i="37"/>
  <c r="E89" i="37"/>
  <c r="D89" i="37"/>
  <c r="G88" i="37"/>
  <c r="F88" i="37"/>
  <c r="E88" i="37"/>
  <c r="L88" i="37"/>
  <c r="K88" i="37"/>
  <c r="G87" i="37"/>
  <c r="D88" i="37"/>
  <c r="L87" i="37"/>
  <c r="I88" i="37"/>
  <c r="H88" i="37"/>
  <c r="D87" i="37"/>
  <c r="K87" i="37"/>
  <c r="J87" i="37"/>
  <c r="I87" i="37"/>
  <c r="H87" i="37"/>
  <c r="K86" i="37"/>
  <c r="J86" i="37"/>
  <c r="I86" i="37"/>
  <c r="F87" i="37"/>
  <c r="E87" i="37"/>
  <c r="G86" i="37"/>
  <c r="F86" i="37"/>
  <c r="E86" i="37"/>
  <c r="D86" i="37"/>
  <c r="L86" i="37"/>
  <c r="G85" i="37"/>
  <c r="F85" i="37"/>
  <c r="L85" i="37"/>
  <c r="K85" i="37"/>
  <c r="H86" i="37"/>
  <c r="E85" i="37"/>
  <c r="D85" i="37"/>
  <c r="J85" i="37"/>
  <c r="I85" i="37"/>
  <c r="H85" i="37"/>
  <c r="L84" i="37"/>
  <c r="K84" i="37"/>
  <c r="J84" i="37"/>
  <c r="I84" i="37"/>
  <c r="H84" i="37"/>
  <c r="J83" i="37"/>
  <c r="G84" i="37"/>
  <c r="F84" i="37"/>
  <c r="E84" i="37"/>
  <c r="D84" i="37"/>
  <c r="G83" i="37"/>
  <c r="F83" i="37"/>
  <c r="E83" i="37"/>
  <c r="L83" i="37"/>
  <c r="K83" i="37"/>
  <c r="G82" i="37"/>
  <c r="D83" i="37"/>
  <c r="L82" i="37"/>
  <c r="I83" i="37"/>
  <c r="H83" i="37"/>
  <c r="D82" i="37"/>
  <c r="K82" i="37"/>
  <c r="J82" i="37"/>
  <c r="I82" i="37"/>
  <c r="H82" i="37"/>
  <c r="K81" i="37"/>
  <c r="J81" i="37"/>
  <c r="I81" i="37"/>
  <c r="F82" i="37"/>
  <c r="E82" i="37"/>
  <c r="G81" i="37"/>
  <c r="F81" i="37"/>
  <c r="E81" i="37"/>
  <c r="D81" i="37"/>
  <c r="L81" i="37"/>
  <c r="G80" i="37"/>
  <c r="F80" i="37"/>
  <c r="L80" i="37"/>
  <c r="K80" i="37"/>
  <c r="H81" i="37"/>
  <c r="E80" i="37"/>
  <c r="D80" i="37"/>
  <c r="J80" i="37"/>
  <c r="I80" i="37"/>
  <c r="H80" i="37"/>
  <c r="L79" i="37"/>
  <c r="K79" i="37"/>
  <c r="J79" i="37"/>
  <c r="I79" i="37"/>
  <c r="H79" i="37"/>
  <c r="J78" i="37"/>
  <c r="G79" i="37"/>
  <c r="F79" i="37"/>
  <c r="E79" i="37"/>
  <c r="D79" i="37"/>
  <c r="G78" i="37"/>
  <c r="F78" i="37"/>
  <c r="E78" i="37"/>
  <c r="L78" i="37"/>
  <c r="K78" i="37"/>
  <c r="G77" i="37"/>
  <c r="D78" i="37"/>
  <c r="L77" i="37"/>
  <c r="I78" i="37"/>
  <c r="H78" i="37"/>
  <c r="D77" i="37"/>
  <c r="K77" i="37"/>
  <c r="J77" i="37"/>
  <c r="I77" i="37"/>
  <c r="H77" i="37"/>
  <c r="K76" i="37"/>
  <c r="J76" i="37"/>
  <c r="I76" i="37"/>
  <c r="F77" i="37"/>
  <c r="E77" i="37"/>
  <c r="G76" i="37"/>
  <c r="F76" i="37"/>
  <c r="E76" i="37"/>
  <c r="D76" i="37"/>
  <c r="L76" i="37"/>
  <c r="G75" i="37"/>
  <c r="F75" i="37"/>
  <c r="L75" i="37"/>
  <c r="K75" i="37"/>
  <c r="H76" i="37"/>
  <c r="E75" i="37"/>
  <c r="D75" i="37"/>
  <c r="J75" i="37"/>
  <c r="I75" i="37"/>
  <c r="H75" i="37"/>
  <c r="L74" i="37"/>
  <c r="K74" i="37"/>
  <c r="J74" i="37"/>
  <c r="I74" i="37"/>
  <c r="H74" i="37"/>
  <c r="I71" i="37"/>
  <c r="G74" i="37"/>
  <c r="F74" i="37"/>
  <c r="E74" i="37"/>
  <c r="D74" i="37"/>
  <c r="E71" i="37"/>
  <c r="D71" i="37"/>
  <c r="L71" i="37"/>
  <c r="K71" i="37"/>
  <c r="J71" i="37"/>
  <c r="L70" i="37"/>
  <c r="K70" i="37"/>
  <c r="H71" i="37"/>
  <c r="G71" i="37"/>
  <c r="F71" i="37"/>
  <c r="J70" i="37"/>
  <c r="I70" i="37"/>
  <c r="H70" i="37"/>
  <c r="G70" i="37"/>
  <c r="F70" i="37"/>
  <c r="J69" i="37"/>
  <c r="I69" i="37"/>
  <c r="H69" i="37"/>
  <c r="E70" i="37"/>
  <c r="D70" i="37"/>
  <c r="F69" i="37"/>
  <c r="E69" i="37"/>
  <c r="D69" i="37"/>
  <c r="L69" i="37"/>
  <c r="K69" i="37"/>
  <c r="I67" i="37"/>
  <c r="H67" i="37"/>
  <c r="G67" i="37"/>
  <c r="L67" i="37"/>
  <c r="G69" i="37"/>
  <c r="F67" i="37"/>
  <c r="E67" i="37"/>
  <c r="D67" i="37"/>
  <c r="K67" i="37"/>
  <c r="J67" i="37"/>
  <c r="L64" i="37"/>
  <c r="K64" i="37"/>
  <c r="J64" i="37"/>
  <c r="I64" i="37"/>
  <c r="H64" i="37"/>
  <c r="J63" i="37"/>
  <c r="G64" i="37"/>
  <c r="F64" i="37"/>
  <c r="E64" i="37"/>
  <c r="D64" i="37"/>
  <c r="G63" i="37"/>
  <c r="F63" i="37"/>
  <c r="E63" i="37"/>
  <c r="L63" i="37"/>
  <c r="K63" i="37"/>
  <c r="G62" i="37"/>
  <c r="D63" i="37"/>
  <c r="L62" i="37"/>
  <c r="I63" i="37"/>
  <c r="H63" i="37"/>
  <c r="D62" i="37"/>
  <c r="K62" i="37"/>
  <c r="J62" i="37"/>
  <c r="I62" i="37"/>
  <c r="H62" i="37"/>
  <c r="F60" i="37"/>
  <c r="L60" i="37"/>
  <c r="K60" i="37"/>
  <c r="F62" i="37"/>
  <c r="E62" i="37"/>
  <c r="D60" i="37"/>
  <c r="J60" i="37"/>
  <c r="I60" i="37"/>
  <c r="H60" i="37"/>
  <c r="G60" i="37"/>
  <c r="K59" i="37"/>
  <c r="J59" i="37"/>
  <c r="I59" i="37"/>
  <c r="H59" i="37"/>
  <c r="E60" i="37"/>
  <c r="G59" i="37"/>
  <c r="F59" i="37"/>
  <c r="E59" i="37"/>
  <c r="D59" i="37"/>
  <c r="L59" i="37"/>
  <c r="J57" i="37"/>
  <c r="I57" i="37"/>
  <c r="H57" i="37"/>
  <c r="G57" i="37"/>
  <c r="L57" i="37"/>
  <c r="I56" i="37"/>
  <c r="F57" i="37"/>
  <c r="E57" i="37"/>
  <c r="D57" i="37"/>
  <c r="K57" i="37"/>
  <c r="E56" i="37"/>
  <c r="D56" i="37"/>
  <c r="L56" i="37"/>
  <c r="K56" i="37"/>
  <c r="J56" i="37"/>
  <c r="L55" i="37"/>
  <c r="K55" i="37"/>
  <c r="H56" i="37"/>
  <c r="G56" i="37"/>
  <c r="F56" i="37"/>
  <c r="J55" i="37"/>
  <c r="I55" i="37"/>
  <c r="H55" i="37"/>
  <c r="G55" i="37"/>
  <c r="F55" i="37"/>
  <c r="J54" i="37"/>
  <c r="I54" i="37"/>
  <c r="H54" i="37"/>
  <c r="E55" i="37"/>
  <c r="D55" i="37"/>
  <c r="F54" i="37"/>
  <c r="E54" i="37"/>
  <c r="D54" i="37"/>
  <c r="L54" i="37"/>
  <c r="K54" i="37"/>
  <c r="E53" i="37"/>
  <c r="L53" i="37"/>
  <c r="K53" i="37"/>
  <c r="J53" i="37"/>
  <c r="G54" i="37"/>
  <c r="L52" i="37"/>
  <c r="I53" i="37"/>
  <c r="H53" i="37"/>
  <c r="G53" i="37"/>
  <c r="F53" i="37"/>
  <c r="J52" i="37"/>
  <c r="I52" i="37"/>
  <c r="H52" i="37"/>
  <c r="G52" i="37"/>
  <c r="D53" i="37"/>
  <c r="I51" i="37"/>
  <c r="F52" i="37"/>
  <c r="E52" i="37"/>
  <c r="D52" i="37"/>
  <c r="K52" i="37"/>
  <c r="E51" i="37"/>
  <c r="D51" i="37"/>
  <c r="L51" i="37"/>
  <c r="K51" i="37"/>
  <c r="J51" i="37"/>
  <c r="L50" i="37"/>
  <c r="K50" i="37"/>
  <c r="H51" i="37"/>
  <c r="G51" i="37"/>
  <c r="F51" i="37"/>
  <c r="J50" i="37"/>
  <c r="I50" i="37"/>
  <c r="H50" i="37"/>
  <c r="G50" i="37"/>
  <c r="F50" i="37"/>
  <c r="J49" i="37"/>
  <c r="I49" i="37"/>
  <c r="H49" i="37"/>
  <c r="E50" i="37"/>
  <c r="D50" i="37"/>
  <c r="F49" i="37"/>
  <c r="E49" i="37"/>
  <c r="D49" i="37"/>
  <c r="L49" i="37"/>
  <c r="K49" i="37"/>
  <c r="E48" i="37"/>
  <c r="L48" i="37"/>
  <c r="K48" i="37"/>
  <c r="J48" i="37"/>
  <c r="G49" i="37"/>
  <c r="L47" i="37"/>
  <c r="I48" i="37"/>
  <c r="H48" i="37"/>
  <c r="G48" i="37"/>
  <c r="F48" i="37"/>
  <c r="J47" i="37"/>
  <c r="I47" i="37"/>
  <c r="H47" i="37"/>
  <c r="G47" i="37"/>
  <c r="D48" i="37"/>
  <c r="I46" i="37"/>
  <c r="F47" i="37"/>
  <c r="E47" i="37"/>
  <c r="D47" i="37"/>
  <c r="K47" i="37"/>
  <c r="E46" i="37"/>
  <c r="D46" i="37"/>
  <c r="L46" i="37"/>
  <c r="K46" i="37"/>
  <c r="J46" i="37"/>
  <c r="L45" i="37"/>
  <c r="K45" i="37"/>
  <c r="H46" i="37"/>
  <c r="G46" i="37"/>
  <c r="F46" i="37"/>
  <c r="J45" i="37"/>
  <c r="I45" i="37"/>
  <c r="H45" i="37"/>
  <c r="G45" i="37"/>
  <c r="F45" i="37"/>
  <c r="J44" i="37"/>
  <c r="I44" i="37"/>
  <c r="H44" i="37"/>
  <c r="E45" i="37"/>
  <c r="D45" i="37"/>
  <c r="F44" i="37"/>
  <c r="E44" i="37"/>
  <c r="D44" i="37"/>
  <c r="L44" i="37"/>
  <c r="K44" i="37"/>
  <c r="E43" i="37"/>
  <c r="L43" i="37"/>
  <c r="K43" i="37"/>
  <c r="J43" i="37"/>
  <c r="G44" i="37"/>
  <c r="L42" i="37"/>
  <c r="I43" i="37"/>
  <c r="H43" i="37"/>
  <c r="G43" i="37"/>
  <c r="F43" i="37"/>
  <c r="J42" i="37"/>
  <c r="I42" i="37"/>
  <c r="H42" i="37"/>
  <c r="G42" i="37"/>
  <c r="D43" i="37"/>
  <c r="I41" i="37"/>
  <c r="F42" i="37"/>
  <c r="E42" i="37"/>
  <c r="D42" i="37"/>
  <c r="K42" i="37"/>
  <c r="E41" i="37"/>
  <c r="D41" i="37"/>
  <c r="L41" i="37"/>
  <c r="K41" i="37"/>
  <c r="J41" i="37"/>
  <c r="L40" i="37"/>
  <c r="K40" i="37"/>
  <c r="H41" i="37"/>
  <c r="G41" i="37"/>
  <c r="F41" i="37"/>
  <c r="J40" i="37"/>
  <c r="I40" i="37"/>
  <c r="H40" i="37"/>
  <c r="G40" i="37"/>
  <c r="F40" i="37"/>
  <c r="J39" i="37"/>
  <c r="I39" i="37"/>
  <c r="H39" i="37"/>
  <c r="E40" i="37"/>
  <c r="D40" i="37"/>
  <c r="F39" i="37"/>
  <c r="E39" i="37"/>
  <c r="D39" i="37"/>
  <c r="L39" i="37"/>
  <c r="K39" i="37"/>
  <c r="E38" i="37"/>
  <c r="L38" i="37"/>
  <c r="K38" i="37"/>
  <c r="J38" i="37"/>
  <c r="G39" i="37"/>
  <c r="L37" i="37"/>
  <c r="I38" i="37"/>
  <c r="H38" i="37"/>
  <c r="G38" i="37"/>
  <c r="F38" i="37"/>
  <c r="J37" i="37"/>
  <c r="I37" i="37"/>
  <c r="H37" i="37"/>
  <c r="G37" i="37"/>
  <c r="D38" i="37"/>
  <c r="I36" i="37"/>
  <c r="F37" i="37"/>
  <c r="E37" i="37"/>
  <c r="D37" i="37"/>
  <c r="K37" i="37"/>
  <c r="E36" i="37"/>
  <c r="D36" i="37"/>
  <c r="L36" i="37"/>
  <c r="K36" i="37"/>
  <c r="J36" i="37"/>
  <c r="L35" i="37"/>
  <c r="K35" i="37"/>
  <c r="H36" i="37"/>
  <c r="G36" i="37"/>
  <c r="F36" i="37"/>
  <c r="J35" i="37"/>
  <c r="I35" i="37"/>
  <c r="H35" i="37"/>
  <c r="G35" i="37"/>
  <c r="F35" i="37"/>
  <c r="J34" i="37"/>
  <c r="I34" i="37"/>
  <c r="H34" i="37"/>
  <c r="E35" i="37"/>
  <c r="D35" i="37"/>
  <c r="F34" i="37"/>
  <c r="E34" i="37"/>
  <c r="D34" i="37"/>
  <c r="L34" i="37"/>
  <c r="K34" i="37"/>
  <c r="E33" i="37"/>
  <c r="L33" i="37"/>
  <c r="K33" i="37"/>
  <c r="J33" i="37"/>
  <c r="G34" i="37"/>
  <c r="L32" i="37"/>
  <c r="I33" i="37"/>
  <c r="H33" i="37"/>
  <c r="G33" i="37"/>
  <c r="F33" i="37"/>
  <c r="J32" i="37"/>
  <c r="I32" i="37"/>
  <c r="H32" i="37"/>
  <c r="G32" i="37"/>
  <c r="D33" i="37"/>
  <c r="I31" i="37"/>
  <c r="F32" i="37"/>
  <c r="E32" i="37"/>
  <c r="D32" i="37"/>
  <c r="K32" i="37"/>
  <c r="E31" i="37"/>
  <c r="D31" i="37"/>
  <c r="L31" i="37"/>
  <c r="K31" i="37"/>
  <c r="J31" i="37"/>
  <c r="L30" i="37"/>
  <c r="K30" i="37"/>
  <c r="H31" i="37"/>
  <c r="G31" i="37"/>
  <c r="F31" i="37"/>
  <c r="J30" i="37"/>
  <c r="I30" i="37"/>
  <c r="H30" i="37"/>
  <c r="G30" i="37"/>
  <c r="F30" i="37"/>
  <c r="J29" i="37"/>
  <c r="I29" i="37"/>
  <c r="H29" i="37"/>
  <c r="E30" i="37"/>
  <c r="D30" i="37"/>
  <c r="F29" i="37"/>
  <c r="E29" i="37"/>
  <c r="D29" i="37"/>
  <c r="L29" i="37"/>
  <c r="K29" i="37"/>
  <c r="E28" i="37"/>
  <c r="L28" i="37"/>
  <c r="K28" i="37"/>
  <c r="J28" i="37"/>
  <c r="G29" i="37"/>
  <c r="L27" i="37"/>
  <c r="I28" i="37"/>
  <c r="H28" i="37"/>
  <c r="G28" i="37"/>
  <c r="F28" i="37"/>
  <c r="J27" i="37"/>
  <c r="I27" i="37"/>
  <c r="H27" i="37"/>
  <c r="G27" i="37"/>
  <c r="D28" i="37"/>
  <c r="I26" i="37"/>
  <c r="F27" i="37"/>
  <c r="E27" i="37"/>
  <c r="D27" i="37"/>
  <c r="K27" i="37"/>
  <c r="E26" i="37"/>
  <c r="D26" i="37"/>
  <c r="L26" i="37"/>
  <c r="K26" i="37"/>
  <c r="J26" i="37"/>
  <c r="L25" i="37"/>
  <c r="K25" i="37"/>
  <c r="H26" i="37"/>
  <c r="G26" i="37"/>
  <c r="F26" i="37"/>
  <c r="J25" i="37"/>
  <c r="I25" i="37"/>
  <c r="H25" i="37"/>
  <c r="G25" i="37"/>
  <c r="F25" i="37"/>
  <c r="J24" i="37"/>
  <c r="I24" i="37"/>
  <c r="H24" i="37"/>
  <c r="E25" i="37"/>
  <c r="D25" i="37"/>
  <c r="F24" i="37"/>
  <c r="E24" i="37"/>
  <c r="D24" i="37"/>
  <c r="L24" i="37"/>
  <c r="K24" i="37"/>
  <c r="E23" i="37"/>
  <c r="L23" i="37"/>
  <c r="K23" i="37"/>
  <c r="J23" i="37"/>
  <c r="G24" i="37"/>
  <c r="L22" i="37"/>
  <c r="I23" i="37"/>
  <c r="H23" i="37"/>
  <c r="G23" i="37"/>
  <c r="F23" i="37"/>
  <c r="J22" i="37"/>
  <c r="I22" i="37"/>
  <c r="H22" i="37"/>
  <c r="G22" i="37"/>
  <c r="D23" i="37"/>
  <c r="I21" i="37"/>
  <c r="F22" i="37"/>
  <c r="E22" i="37"/>
  <c r="D22" i="37"/>
  <c r="K22" i="37"/>
  <c r="E21" i="37"/>
  <c r="D21" i="37"/>
  <c r="L21" i="37"/>
  <c r="K21" i="37"/>
  <c r="J21" i="37"/>
  <c r="L20" i="37"/>
  <c r="K20" i="37"/>
  <c r="H21" i="37"/>
  <c r="G21" i="37"/>
  <c r="F21" i="37"/>
  <c r="J20" i="37"/>
  <c r="I20" i="37"/>
  <c r="H20" i="37"/>
  <c r="G20" i="37"/>
  <c r="F20" i="37"/>
  <c r="J19" i="37"/>
  <c r="I19" i="37"/>
  <c r="H19" i="37"/>
  <c r="E20" i="37"/>
  <c r="D20" i="37"/>
  <c r="F19" i="37"/>
  <c r="E19" i="37"/>
  <c r="D19" i="37"/>
  <c r="L19" i="37"/>
  <c r="K19" i="37"/>
  <c r="E18" i="37"/>
  <c r="L18" i="37"/>
  <c r="K18" i="37"/>
  <c r="J18" i="37"/>
  <c r="G19" i="37"/>
  <c r="L17" i="37"/>
  <c r="I18" i="37"/>
  <c r="H18" i="37"/>
  <c r="G18" i="37"/>
  <c r="F18" i="37"/>
  <c r="J17" i="37"/>
  <c r="I17" i="37"/>
  <c r="H17" i="37"/>
  <c r="G17" i="37"/>
  <c r="D18" i="37"/>
  <c r="I16" i="37"/>
  <c r="F17" i="37"/>
  <c r="E17" i="37"/>
  <c r="D17" i="37"/>
  <c r="K17" i="37"/>
  <c r="E16" i="37"/>
  <c r="D16" i="37"/>
  <c r="L16" i="37"/>
  <c r="K16" i="37"/>
  <c r="J16" i="37"/>
  <c r="L15" i="37"/>
  <c r="K15" i="37"/>
  <c r="H16" i="37"/>
  <c r="G16" i="37"/>
  <c r="F16" i="37"/>
  <c r="J15" i="37"/>
  <c r="I15" i="37"/>
  <c r="H15" i="37"/>
  <c r="G15" i="37"/>
  <c r="F15" i="37"/>
  <c r="J14" i="37"/>
  <c r="I14" i="37"/>
  <c r="H14" i="37"/>
  <c r="E15" i="37"/>
  <c r="D15" i="37"/>
  <c r="F14" i="37"/>
  <c r="E14" i="37"/>
  <c r="D14" i="37"/>
  <c r="L14" i="37"/>
  <c r="K14" i="37"/>
  <c r="E13" i="37"/>
  <c r="L13" i="37"/>
  <c r="K13" i="37"/>
  <c r="J13" i="37"/>
  <c r="G14" i="37"/>
  <c r="L12" i="37"/>
  <c r="I13" i="37"/>
  <c r="H13" i="37"/>
  <c r="G13" i="37"/>
  <c r="F13" i="37"/>
  <c r="J12" i="37"/>
  <c r="I12" i="37"/>
  <c r="H12" i="37"/>
  <c r="G12" i="37"/>
  <c r="D13" i="37"/>
  <c r="I11" i="37"/>
  <c r="F12" i="37"/>
  <c r="E12" i="37"/>
  <c r="D12" i="37"/>
  <c r="K12" i="37"/>
  <c r="E11" i="37"/>
  <c r="D11" i="37"/>
  <c r="L11" i="37"/>
  <c r="K11" i="37"/>
  <c r="J11" i="37"/>
  <c r="L10" i="37"/>
  <c r="K10" i="37"/>
  <c r="H11" i="37"/>
  <c r="G11" i="37"/>
  <c r="F11" i="37"/>
  <c r="J10" i="37"/>
  <c r="I10" i="37"/>
  <c r="H10" i="37"/>
  <c r="G10" i="37"/>
  <c r="F10" i="37"/>
  <c r="J9" i="37"/>
  <c r="I9" i="37"/>
  <c r="H9" i="37"/>
  <c r="E10" i="37"/>
  <c r="D10" i="37"/>
  <c r="F9" i="37"/>
  <c r="E9" i="37"/>
  <c r="D9" i="37"/>
  <c r="L9" i="37"/>
  <c r="K9" i="37"/>
  <c r="E8" i="37"/>
  <c r="L8" i="37"/>
  <c r="K8" i="37"/>
  <c r="J8" i="37"/>
  <c r="G9" i="37"/>
  <c r="L7" i="37"/>
  <c r="I8" i="37"/>
  <c r="H8" i="37"/>
  <c r="G8" i="37"/>
  <c r="F8" i="37"/>
  <c r="J7" i="37"/>
  <c r="I7" i="37"/>
  <c r="H7" i="37"/>
  <c r="G7" i="37"/>
  <c r="D8" i="37"/>
  <c r="I6" i="37"/>
  <c r="F7" i="37"/>
  <c r="E7" i="37"/>
  <c r="D7" i="37"/>
  <c r="K7" i="37"/>
  <c r="E6" i="37"/>
  <c r="D6" i="37"/>
  <c r="L6" i="37"/>
  <c r="K6" i="37"/>
  <c r="J6" i="37"/>
  <c r="L5" i="37"/>
  <c r="K5" i="37"/>
  <c r="H6" i="37"/>
  <c r="G6" i="37"/>
  <c r="F6" i="37"/>
  <c r="J5" i="37"/>
  <c r="I5" i="37"/>
  <c r="H5" i="37"/>
  <c r="G5" i="37"/>
  <c r="F5" i="37"/>
  <c r="J4" i="37"/>
  <c r="I4" i="37"/>
  <c r="H4" i="37"/>
  <c r="E5" i="37"/>
  <c r="D5" i="37"/>
  <c r="F4" i="37"/>
  <c r="E4" i="37"/>
  <c r="D4" i="37"/>
  <c r="L4" i="37"/>
  <c r="K4" i="37"/>
  <c r="E3" i="37"/>
  <c r="L3" i="37"/>
  <c r="K3" i="37"/>
  <c r="J3" i="37"/>
  <c r="G4" i="37"/>
  <c r="D3" i="37"/>
  <c r="I3" i="37"/>
  <c r="H3" i="37"/>
  <c r="G3" i="37"/>
  <c r="F3" i="37"/>
  <c r="A1" i="49"/>
  <c r="B1" i="49"/>
  <c r="A2" i="49"/>
  <c r="B2" i="49"/>
  <c r="A10" i="38" s="1"/>
  <c r="E2" i="49"/>
  <c r="A3" i="49"/>
  <c r="B3" i="49"/>
  <c r="A4" i="49"/>
  <c r="B4" i="49"/>
  <c r="A5" i="49"/>
  <c r="B5" i="49"/>
  <c r="B6" i="49" s="1"/>
  <c r="A7" i="49"/>
  <c r="B7" i="49"/>
  <c r="A5" i="38"/>
  <c r="A4" i="38"/>
  <c r="A3" i="38"/>
  <c r="A2" i="38"/>
  <c r="B10" i="38"/>
  <c r="A9" i="38"/>
  <c r="A8" i="38"/>
  <c r="A7" i="38"/>
  <c r="A6" i="38"/>
  <c r="D10" i="38"/>
  <c r="C10" i="38"/>
  <c r="J10" i="38"/>
  <c r="AG10" i="38"/>
  <c r="AD10" i="38"/>
  <c r="AC10" i="38"/>
  <c r="AL10" i="38"/>
  <c r="AK10" i="38"/>
  <c r="AJ10" i="38"/>
  <c r="AI10" i="38"/>
  <c r="AH10" i="38"/>
  <c r="AQ10" i="38"/>
  <c r="AP10" i="38"/>
  <c r="AO10" i="38"/>
  <c r="AN10" i="38"/>
  <c r="AM10" i="38"/>
  <c r="AV10" i="38"/>
  <c r="AU10" i="38"/>
  <c r="AT10" i="38"/>
  <c r="AS10" i="38"/>
  <c r="AR10" i="38"/>
  <c r="BA10" i="38"/>
  <c r="AZ10" i="38"/>
  <c r="AY10" i="38"/>
  <c r="AX10" i="38"/>
  <c r="AW10" i="38"/>
  <c r="BF10" i="38"/>
  <c r="BE10" i="38"/>
  <c r="BD10" i="38"/>
  <c r="BC10" i="38"/>
  <c r="BB10" i="38"/>
  <c r="BK10" i="38"/>
  <c r="BJ10" i="38"/>
  <c r="BI10" i="38"/>
  <c r="BH10" i="38"/>
  <c r="BG10" i="38"/>
  <c r="BP10" i="38"/>
  <c r="BO10" i="38"/>
  <c r="BN10" i="38"/>
  <c r="BM10" i="38"/>
  <c r="BL10" i="38"/>
  <c r="BV10" i="38"/>
  <c r="BU10" i="38"/>
  <c r="BT10" i="38"/>
  <c r="BS10" i="38"/>
  <c r="BR10" i="38"/>
  <c r="CA10" i="38"/>
  <c r="BZ10" i="38"/>
  <c r="BY10" i="38"/>
  <c r="BX10" i="38"/>
  <c r="BW10" i="38"/>
  <c r="CF10" i="38"/>
  <c r="CE10" i="38"/>
  <c r="CD10" i="38"/>
  <c r="CC10" i="38"/>
  <c r="CB10" i="38"/>
  <c r="CH10" i="38"/>
  <c r="CG10" i="38"/>
  <c r="C472" i="37"/>
  <c r="AB9" i="38"/>
  <c r="AA9" i="38"/>
  <c r="Z9" i="38"/>
  <c r="Y9" i="38"/>
  <c r="X9" i="38"/>
  <c r="W9" i="38"/>
  <c r="V9" i="38"/>
  <c r="U9" i="38"/>
  <c r="T9" i="38"/>
  <c r="S9" i="38"/>
  <c r="R9" i="38"/>
  <c r="Q9" i="38"/>
  <c r="O9" i="38"/>
  <c r="N9" i="38"/>
  <c r="M9" i="38"/>
  <c r="L9" i="38"/>
  <c r="G9" i="38"/>
  <c r="F9" i="38"/>
  <c r="E9" i="38"/>
  <c r="AB8" i="38"/>
  <c r="AA8" i="38"/>
  <c r="Z8" i="38"/>
  <c r="Y8" i="38"/>
  <c r="X8" i="38"/>
  <c r="W8" i="38"/>
  <c r="V8" i="38"/>
  <c r="U8" i="38"/>
  <c r="T8" i="38"/>
  <c r="S8" i="38"/>
  <c r="R8" i="38"/>
  <c r="Q8" i="38"/>
  <c r="O8" i="38"/>
  <c r="N8" i="38"/>
  <c r="M8" i="38"/>
  <c r="L8" i="38"/>
  <c r="G8" i="38"/>
  <c r="F8" i="38"/>
  <c r="E8" i="38"/>
  <c r="AB7" i="38"/>
  <c r="AA7" i="38"/>
  <c r="Z7" i="38"/>
  <c r="Y7" i="38"/>
  <c r="X7" i="38"/>
  <c r="W7" i="38"/>
  <c r="V7" i="38"/>
  <c r="U7" i="38"/>
  <c r="T7" i="38"/>
  <c r="S7" i="38"/>
  <c r="R7" i="38"/>
  <c r="Q7" i="38"/>
  <c r="O7" i="38"/>
  <c r="N7" i="38"/>
  <c r="M7" i="38"/>
  <c r="L7" i="38"/>
  <c r="G7" i="38"/>
  <c r="F7" i="38"/>
  <c r="E7" i="38"/>
  <c r="AB6" i="38"/>
  <c r="AA6" i="38"/>
  <c r="Z6" i="38"/>
  <c r="Y6" i="38"/>
  <c r="X6" i="38"/>
  <c r="W6" i="38"/>
  <c r="V6" i="38"/>
  <c r="U6" i="38"/>
  <c r="T6" i="38"/>
  <c r="S6" i="38"/>
  <c r="R6" i="38"/>
  <c r="Q6" i="38"/>
  <c r="O6" i="38"/>
  <c r="N6" i="38"/>
  <c r="M6" i="38"/>
  <c r="L6" i="38"/>
  <c r="G6" i="38"/>
  <c r="F6" i="38"/>
  <c r="E6" i="38"/>
  <c r="AB5" i="38"/>
  <c r="AA5" i="38"/>
  <c r="Z5" i="38"/>
  <c r="Y5" i="38"/>
  <c r="X5" i="38"/>
  <c r="W5" i="38"/>
  <c r="V5" i="38"/>
  <c r="U5" i="38"/>
  <c r="T5" i="38"/>
  <c r="S5" i="38"/>
  <c r="R5" i="38"/>
  <c r="Q5" i="38"/>
  <c r="O5" i="38"/>
  <c r="N5" i="38"/>
  <c r="M5" i="38"/>
  <c r="L5" i="38"/>
  <c r="G5" i="38"/>
  <c r="F5" i="38"/>
  <c r="E5" i="38"/>
  <c r="AB4" i="38"/>
  <c r="AA4" i="38"/>
  <c r="Z4" i="38"/>
  <c r="Y4" i="38"/>
  <c r="X4" i="38"/>
  <c r="W4" i="38"/>
  <c r="V4" i="38"/>
  <c r="U4" i="38"/>
  <c r="T4" i="38"/>
  <c r="S4" i="38"/>
  <c r="R4" i="38"/>
  <c r="Q4" i="38"/>
  <c r="O4" i="38"/>
  <c r="N4" i="38"/>
  <c r="M4" i="38"/>
  <c r="L4" i="38"/>
  <c r="G4" i="38"/>
  <c r="F4" i="38"/>
  <c r="E4" i="38"/>
  <c r="AB3" i="38"/>
  <c r="AA3" i="38"/>
  <c r="Z3" i="38"/>
  <c r="Y3" i="38"/>
  <c r="X3" i="38"/>
  <c r="W3" i="38"/>
  <c r="V3" i="38"/>
  <c r="U3" i="38"/>
  <c r="T3" i="38"/>
  <c r="S3" i="38"/>
  <c r="R3" i="38"/>
  <c r="Q3" i="38"/>
  <c r="O3" i="38"/>
  <c r="N3" i="38"/>
  <c r="M3" i="38"/>
  <c r="L3" i="38"/>
  <c r="G3" i="38"/>
  <c r="F3" i="38"/>
  <c r="E3" i="38"/>
  <c r="AB2" i="38"/>
  <c r="AA2" i="38"/>
  <c r="Z2" i="38"/>
  <c r="Y2" i="38"/>
  <c r="X2" i="38"/>
  <c r="W2" i="38"/>
  <c r="V2" i="38"/>
  <c r="U2" i="38"/>
  <c r="T2" i="38"/>
  <c r="S2" i="38"/>
  <c r="R2" i="38"/>
  <c r="Q2" i="38"/>
  <c r="O2" i="38"/>
  <c r="N2" i="38"/>
  <c r="M2" i="38"/>
  <c r="L2" i="38"/>
  <c r="G2" i="38"/>
  <c r="F2" i="38"/>
  <c r="E2" i="38"/>
  <c r="C3" i="37"/>
  <c r="B3" i="37"/>
  <c r="B4" i="37"/>
  <c r="M3" i="37"/>
  <c r="C4" i="37"/>
  <c r="C5" i="37"/>
  <c r="B5" i="37"/>
  <c r="M4" i="37"/>
  <c r="C6" i="37"/>
  <c r="B6" i="37"/>
  <c r="M5" i="37"/>
  <c r="M6" i="37"/>
  <c r="C7" i="37"/>
  <c r="B7" i="37"/>
  <c r="C8" i="37"/>
  <c r="B8" i="37"/>
  <c r="M7" i="37"/>
  <c r="B9" i="37"/>
  <c r="M8" i="37"/>
  <c r="C9" i="37"/>
  <c r="C10" i="37"/>
  <c r="B10" i="37"/>
  <c r="M9" i="37"/>
  <c r="C11" i="37"/>
  <c r="B11" i="37"/>
  <c r="M10" i="37"/>
  <c r="M11" i="37"/>
  <c r="C12" i="37"/>
  <c r="B12" i="37"/>
  <c r="C13" i="37"/>
  <c r="B13" i="37"/>
  <c r="M12" i="37"/>
  <c r="B14" i="37"/>
  <c r="M13" i="37"/>
  <c r="C14" i="37"/>
  <c r="C15" i="37"/>
  <c r="B15" i="37"/>
  <c r="M14" i="37"/>
  <c r="C16" i="37"/>
  <c r="B16" i="37"/>
  <c r="M15" i="37"/>
  <c r="M16" i="37"/>
  <c r="C17" i="37"/>
  <c r="B17" i="37"/>
  <c r="C18" i="37"/>
  <c r="B18" i="37"/>
  <c r="M17" i="37"/>
  <c r="B19" i="37"/>
  <c r="M18" i="37"/>
  <c r="C19" i="37"/>
  <c r="C20" i="37"/>
  <c r="B20" i="37"/>
  <c r="M19" i="37"/>
  <c r="C21" i="37"/>
  <c r="B21" i="37"/>
  <c r="M20" i="37"/>
  <c r="M21" i="37"/>
  <c r="C22" i="37"/>
  <c r="B22" i="37"/>
  <c r="C23" i="37"/>
  <c r="B23" i="37"/>
  <c r="M22" i="37"/>
  <c r="B24" i="37"/>
  <c r="M23" i="37"/>
  <c r="C24" i="37"/>
  <c r="C25" i="37"/>
  <c r="B25" i="37"/>
  <c r="M24" i="37"/>
  <c r="C26" i="37"/>
  <c r="B26" i="37"/>
  <c r="M25" i="37"/>
  <c r="M26" i="37"/>
  <c r="C27" i="37"/>
  <c r="B27" i="37"/>
  <c r="C28" i="37"/>
  <c r="B28" i="37"/>
  <c r="M27" i="37"/>
  <c r="B29" i="37"/>
  <c r="M28" i="37"/>
  <c r="C29" i="37"/>
  <c r="C30" i="37"/>
  <c r="B30" i="37"/>
  <c r="M29" i="37"/>
  <c r="C31" i="37"/>
  <c r="B31" i="37"/>
  <c r="M30" i="37"/>
  <c r="M31" i="37"/>
  <c r="C32" i="37"/>
  <c r="B32" i="37"/>
  <c r="C33" i="37"/>
  <c r="B33" i="37"/>
  <c r="M32" i="37"/>
  <c r="B34" i="37"/>
  <c r="M33" i="37"/>
  <c r="C34" i="37"/>
  <c r="C35" i="37"/>
  <c r="B35" i="37"/>
  <c r="M34" i="37"/>
  <c r="C36" i="37"/>
  <c r="B36" i="37"/>
  <c r="M35" i="37"/>
  <c r="M36" i="37"/>
  <c r="C37" i="37"/>
  <c r="B37" i="37"/>
  <c r="C38" i="37"/>
  <c r="B38" i="37"/>
  <c r="M37" i="37"/>
  <c r="B39" i="37"/>
  <c r="M38" i="37"/>
  <c r="C39" i="37"/>
  <c r="C40" i="37"/>
  <c r="B40" i="37"/>
  <c r="M39" i="37"/>
  <c r="C41" i="37"/>
  <c r="B41" i="37"/>
  <c r="M40" i="37"/>
  <c r="M41" i="37"/>
  <c r="C42" i="37"/>
  <c r="B42" i="37"/>
  <c r="C43" i="37"/>
  <c r="B43" i="37"/>
  <c r="M42" i="37"/>
  <c r="B44" i="37"/>
  <c r="M43" i="37"/>
  <c r="C44" i="37"/>
  <c r="C45" i="37"/>
  <c r="B45" i="37"/>
  <c r="M44" i="37"/>
  <c r="C46" i="37"/>
  <c r="B46" i="37"/>
  <c r="M45" i="37"/>
  <c r="M46" i="37"/>
  <c r="C47" i="37"/>
  <c r="B47" i="37"/>
  <c r="C48" i="37"/>
  <c r="B48" i="37"/>
  <c r="M47" i="37"/>
  <c r="B49" i="37"/>
  <c r="M48" i="37"/>
  <c r="C49" i="37"/>
  <c r="C50" i="37"/>
  <c r="B50" i="37"/>
  <c r="M49" i="37"/>
  <c r="C51" i="37"/>
  <c r="B51" i="37"/>
  <c r="M50" i="37"/>
  <c r="M51" i="37"/>
  <c r="C52" i="37"/>
  <c r="B52" i="37"/>
  <c r="C53" i="37"/>
  <c r="B53" i="37"/>
  <c r="M52" i="37"/>
  <c r="B54" i="37"/>
  <c r="M53" i="37"/>
  <c r="C54" i="37"/>
  <c r="C55" i="37"/>
  <c r="B55" i="37"/>
  <c r="M54" i="37"/>
  <c r="C56" i="37"/>
  <c r="B56" i="37"/>
  <c r="M55" i="37"/>
  <c r="M56" i="37"/>
  <c r="C57" i="37"/>
  <c r="B57" i="37"/>
  <c r="M57" i="37"/>
  <c r="B59" i="37"/>
  <c r="C59" i="37"/>
  <c r="C60" i="37"/>
  <c r="B60" i="37"/>
  <c r="M59" i="37"/>
  <c r="M60" i="37"/>
  <c r="C62" i="37"/>
  <c r="B62" i="37"/>
  <c r="C63" i="37"/>
  <c r="B63" i="37"/>
  <c r="M62" i="37"/>
  <c r="B64" i="37"/>
  <c r="M63" i="37"/>
  <c r="C64" i="37"/>
  <c r="M64" i="37"/>
  <c r="C67" i="37"/>
  <c r="B67" i="37"/>
  <c r="M67" i="37"/>
  <c r="B69" i="37"/>
  <c r="C69" i="37"/>
  <c r="C70" i="37"/>
  <c r="B70" i="37"/>
  <c r="M69" i="37"/>
  <c r="C71" i="37"/>
  <c r="B71" i="37"/>
  <c r="M70" i="37"/>
  <c r="M71" i="37"/>
  <c r="B74" i="37"/>
  <c r="C74" i="37"/>
  <c r="C75" i="37"/>
  <c r="B75" i="37"/>
  <c r="M74" i="37"/>
  <c r="C76" i="37"/>
  <c r="B76" i="37"/>
  <c r="M75" i="37"/>
  <c r="M76" i="37"/>
  <c r="C77" i="37"/>
  <c r="B77" i="37"/>
  <c r="C78" i="37"/>
  <c r="B78" i="37"/>
  <c r="M77" i="37"/>
  <c r="B79" i="37"/>
  <c r="M78" i="37"/>
  <c r="C79" i="37"/>
  <c r="C80" i="37"/>
  <c r="B80" i="37"/>
  <c r="M79" i="37"/>
  <c r="C81" i="37"/>
  <c r="B81" i="37"/>
  <c r="M80" i="37"/>
  <c r="M81" i="37"/>
  <c r="C82" i="37"/>
  <c r="B82" i="37"/>
  <c r="C83" i="37"/>
  <c r="B83" i="37"/>
  <c r="M82" i="37"/>
  <c r="B84" i="37"/>
  <c r="M83" i="37"/>
  <c r="C84" i="37"/>
  <c r="C85" i="37"/>
  <c r="B85" i="37"/>
  <c r="M84" i="37"/>
  <c r="C86" i="37"/>
  <c r="B86" i="37"/>
  <c r="M85" i="37"/>
  <c r="M86" i="37"/>
  <c r="C87" i="37"/>
  <c r="B87" i="37"/>
  <c r="C88" i="37"/>
  <c r="B88" i="37"/>
  <c r="M87" i="37"/>
  <c r="B89" i="37"/>
  <c r="M88" i="37"/>
  <c r="C89" i="37"/>
  <c r="C90" i="37"/>
  <c r="B90" i="37"/>
  <c r="M89" i="37"/>
  <c r="C91" i="37"/>
  <c r="B91" i="37"/>
  <c r="M90" i="37"/>
  <c r="M91" i="37"/>
  <c r="C92" i="37"/>
  <c r="B92" i="37"/>
  <c r="C93" i="37"/>
  <c r="B93" i="37"/>
  <c r="M92" i="37"/>
  <c r="B94" i="37"/>
  <c r="M93" i="37"/>
  <c r="C94" i="37"/>
  <c r="M94" i="37"/>
  <c r="C96" i="37"/>
  <c r="B96" i="37"/>
  <c r="M96" i="37"/>
  <c r="C97" i="37"/>
  <c r="B97" i="37"/>
  <c r="C98" i="37"/>
  <c r="B98" i="37"/>
  <c r="M97" i="37"/>
  <c r="B99" i="37"/>
  <c r="M98" i="37"/>
  <c r="C99" i="37"/>
  <c r="C100" i="37"/>
  <c r="B100" i="37"/>
  <c r="M99" i="37"/>
  <c r="C101" i="37"/>
  <c r="B101" i="37"/>
  <c r="M100" i="37"/>
  <c r="M101" i="37"/>
  <c r="C102" i="37"/>
  <c r="B102" i="37"/>
  <c r="C103" i="37"/>
  <c r="B103" i="37"/>
  <c r="M102" i="37"/>
  <c r="B104" i="37"/>
  <c r="M103" i="37"/>
  <c r="C104" i="37"/>
  <c r="C105" i="37"/>
  <c r="B105" i="37"/>
  <c r="M104" i="37"/>
  <c r="C106" i="37"/>
  <c r="B106" i="37"/>
  <c r="M105" i="37"/>
  <c r="M106" i="37"/>
  <c r="C107" i="37"/>
  <c r="B107" i="37"/>
  <c r="C108" i="37"/>
  <c r="B108" i="37"/>
  <c r="M107" i="37"/>
  <c r="B109" i="37"/>
  <c r="M108" i="37"/>
  <c r="C109" i="37"/>
  <c r="C110" i="37"/>
  <c r="B110" i="37"/>
  <c r="M109" i="37"/>
  <c r="C111" i="37"/>
  <c r="B111" i="37"/>
  <c r="M110" i="37"/>
  <c r="M111" i="37"/>
  <c r="C112" i="37"/>
  <c r="B112" i="37"/>
  <c r="C113" i="37"/>
  <c r="B113" i="37"/>
  <c r="M112" i="37"/>
  <c r="B114" i="37"/>
  <c r="M113" i="37"/>
  <c r="C114" i="37"/>
  <c r="C115" i="37"/>
  <c r="B115" i="37"/>
  <c r="M114" i="37"/>
  <c r="C116" i="37"/>
  <c r="B116" i="37"/>
  <c r="M115" i="37"/>
  <c r="M116" i="37"/>
  <c r="C117" i="37"/>
  <c r="B117" i="37"/>
  <c r="C118" i="37"/>
  <c r="B118" i="37"/>
  <c r="M117" i="37"/>
  <c r="B119" i="37"/>
  <c r="M118" i="37"/>
  <c r="C119" i="37"/>
  <c r="C120" i="37"/>
  <c r="B120" i="37"/>
  <c r="M119" i="37"/>
  <c r="C121" i="37"/>
  <c r="B121" i="37"/>
  <c r="M120" i="37"/>
  <c r="M121" i="37"/>
  <c r="B124" i="37"/>
  <c r="C124" i="37"/>
  <c r="M124" i="37"/>
  <c r="C126" i="37"/>
  <c r="B126" i="37"/>
  <c r="M126" i="37"/>
  <c r="B129" i="37"/>
  <c r="C129" i="37"/>
  <c r="M129" i="37"/>
  <c r="B134" i="37"/>
  <c r="C134" i="37"/>
  <c r="C135" i="37"/>
  <c r="B135" i="37"/>
  <c r="M134" i="37"/>
  <c r="C136" i="37"/>
  <c r="B136" i="37"/>
  <c r="M135" i="37"/>
  <c r="M136" i="37"/>
  <c r="C137" i="37"/>
  <c r="B137" i="37"/>
  <c r="C138" i="37"/>
  <c r="B138" i="37"/>
  <c r="M137" i="37"/>
  <c r="B139" i="37"/>
  <c r="M138" i="37"/>
  <c r="C139" i="37"/>
  <c r="C140" i="37"/>
  <c r="B140" i="37"/>
  <c r="M139" i="37"/>
  <c r="C141" i="37"/>
  <c r="B141" i="37"/>
  <c r="M140" i="37"/>
  <c r="M141" i="37"/>
  <c r="C142" i="37"/>
  <c r="B142" i="37"/>
  <c r="C143" i="37"/>
  <c r="B143" i="37"/>
  <c r="M142" i="37"/>
  <c r="B144" i="37"/>
  <c r="M143" i="37"/>
  <c r="C144" i="37"/>
  <c r="C145" i="37"/>
  <c r="B145" i="37"/>
  <c r="M144" i="37"/>
  <c r="C146" i="37"/>
  <c r="B146" i="37"/>
  <c r="M145" i="37"/>
  <c r="M146" i="37"/>
  <c r="C147" i="37"/>
  <c r="B147" i="37"/>
  <c r="C148" i="37"/>
  <c r="B148" i="37"/>
  <c r="M147" i="37"/>
  <c r="B149" i="37"/>
  <c r="M148" i="37"/>
  <c r="C149" i="37"/>
  <c r="C150" i="37"/>
  <c r="B150" i="37"/>
  <c r="M149" i="37"/>
  <c r="C151" i="37"/>
  <c r="B151" i="37"/>
  <c r="M150" i="37"/>
  <c r="M151" i="37"/>
  <c r="C152" i="37"/>
  <c r="B152" i="37"/>
  <c r="C153" i="37"/>
  <c r="B153" i="37"/>
  <c r="M152" i="37"/>
  <c r="B154" i="37"/>
  <c r="M153" i="37"/>
  <c r="C154" i="37"/>
  <c r="C155" i="37"/>
  <c r="B155" i="37"/>
  <c r="M154" i="37"/>
  <c r="C156" i="37"/>
  <c r="B156" i="37"/>
  <c r="M155" i="37"/>
  <c r="M156" i="37"/>
  <c r="C157" i="37"/>
  <c r="B157" i="37"/>
  <c r="C158" i="37"/>
  <c r="B158" i="37"/>
  <c r="M157" i="37"/>
  <c r="B159" i="37"/>
  <c r="M158" i="37"/>
  <c r="C159" i="37"/>
  <c r="C160" i="37"/>
  <c r="B160" i="37"/>
  <c r="M159" i="37"/>
  <c r="C161" i="37"/>
  <c r="B161" i="37"/>
  <c r="M160" i="37"/>
  <c r="M161" i="37"/>
  <c r="C162" i="37"/>
  <c r="B162" i="37"/>
  <c r="C163" i="37"/>
  <c r="B163" i="37"/>
  <c r="M162" i="37"/>
  <c r="B164" i="37"/>
  <c r="M163" i="37"/>
  <c r="C164" i="37"/>
  <c r="C165" i="37"/>
  <c r="B165" i="37"/>
  <c r="M164" i="37"/>
  <c r="C166" i="37"/>
  <c r="B166" i="37"/>
  <c r="M165" i="37"/>
  <c r="M166" i="37"/>
  <c r="C167" i="37"/>
  <c r="B167" i="37"/>
  <c r="C168" i="37"/>
  <c r="B168" i="37"/>
  <c r="M167" i="37"/>
  <c r="B169" i="37"/>
  <c r="M168" i="37"/>
  <c r="C169" i="37"/>
  <c r="C170" i="37"/>
  <c r="B170" i="37"/>
  <c r="M169" i="37"/>
  <c r="C171" i="37"/>
  <c r="B171" i="37"/>
  <c r="M170" i="37"/>
  <c r="M171" i="37"/>
  <c r="C172" i="37"/>
  <c r="B172" i="37"/>
  <c r="C173" i="37"/>
  <c r="B173" i="37"/>
  <c r="M172" i="37"/>
  <c r="B174" i="37"/>
  <c r="M173" i="37"/>
  <c r="C174" i="37"/>
  <c r="C175" i="37"/>
  <c r="B175" i="37"/>
  <c r="M174" i="37"/>
  <c r="C176" i="37"/>
  <c r="B176" i="37"/>
  <c r="M175" i="37"/>
  <c r="M176" i="37"/>
  <c r="C177" i="37"/>
  <c r="B177" i="37"/>
  <c r="C178" i="37"/>
  <c r="B178" i="37"/>
  <c r="M177" i="37"/>
  <c r="B179" i="37"/>
  <c r="M178" i="37"/>
  <c r="C179" i="37"/>
  <c r="C180" i="37"/>
  <c r="B180" i="37"/>
  <c r="M179" i="37"/>
  <c r="C181" i="37"/>
  <c r="B181" i="37"/>
  <c r="M180" i="37"/>
  <c r="M181" i="37"/>
  <c r="C182" i="37"/>
  <c r="B182" i="37"/>
  <c r="C183" i="37"/>
  <c r="B183" i="37"/>
  <c r="M182" i="37"/>
  <c r="B184" i="37"/>
  <c r="M183" i="37"/>
  <c r="C184" i="37"/>
  <c r="C185" i="37"/>
  <c r="B185" i="37"/>
  <c r="M184" i="37"/>
  <c r="C186" i="37"/>
  <c r="B186" i="37"/>
  <c r="M185" i="37"/>
  <c r="M186" i="37"/>
  <c r="C187" i="37"/>
  <c r="B187" i="37"/>
  <c r="C188" i="37"/>
  <c r="B188" i="37"/>
  <c r="M187" i="37"/>
  <c r="B189" i="37"/>
  <c r="M188" i="37"/>
  <c r="C189" i="37"/>
  <c r="C190" i="37"/>
  <c r="B190" i="37"/>
  <c r="M189" i="37"/>
  <c r="C191" i="37"/>
  <c r="B191" i="37"/>
  <c r="M190" i="37"/>
  <c r="M191" i="37"/>
  <c r="C192" i="37"/>
  <c r="B192" i="37"/>
  <c r="C193" i="37"/>
  <c r="B193" i="37"/>
  <c r="M192" i="37"/>
  <c r="B194" i="37"/>
  <c r="M193" i="37"/>
  <c r="C194" i="37"/>
  <c r="C195" i="37"/>
  <c r="B195" i="37"/>
  <c r="M194" i="37"/>
  <c r="C196" i="37"/>
  <c r="B196" i="37"/>
  <c r="M195" i="37"/>
  <c r="M196" i="37"/>
  <c r="C197" i="37"/>
  <c r="B197" i="37"/>
  <c r="C198" i="37"/>
  <c r="B198" i="37"/>
  <c r="M197" i="37"/>
  <c r="B199" i="37"/>
  <c r="M198" i="37"/>
  <c r="C199" i="37"/>
  <c r="C200" i="37"/>
  <c r="B200" i="37"/>
  <c r="M199" i="37"/>
  <c r="C201" i="37"/>
  <c r="B201" i="37"/>
  <c r="M200" i="37"/>
  <c r="M201" i="37"/>
  <c r="C202" i="37"/>
  <c r="B202" i="37"/>
  <c r="C203" i="37"/>
  <c r="B203" i="37"/>
  <c r="M202" i="37"/>
  <c r="B204" i="37"/>
  <c r="M203" i="37"/>
  <c r="C204" i="37"/>
  <c r="C205" i="37"/>
  <c r="B205" i="37"/>
  <c r="M204" i="37"/>
  <c r="C206" i="37"/>
  <c r="B206" i="37"/>
  <c r="M205" i="37"/>
  <c r="M206" i="37"/>
  <c r="C207" i="37"/>
  <c r="B207" i="37"/>
  <c r="C208" i="37"/>
  <c r="B208" i="37"/>
  <c r="M207" i="37"/>
  <c r="B209" i="37"/>
  <c r="M208" i="37"/>
  <c r="C209" i="37"/>
  <c r="C210" i="37"/>
  <c r="B210" i="37"/>
  <c r="M209" i="37"/>
  <c r="C211" i="37"/>
  <c r="B211" i="37"/>
  <c r="M210" i="37"/>
  <c r="M211" i="37"/>
  <c r="C212" i="37"/>
  <c r="B212" i="37"/>
  <c r="C213" i="37"/>
  <c r="B213" i="37"/>
  <c r="M212" i="37"/>
  <c r="B214" i="37"/>
  <c r="M213" i="37"/>
  <c r="C214" i="37"/>
  <c r="C215" i="37"/>
  <c r="B215" i="37"/>
  <c r="M214" i="37"/>
  <c r="C216" i="37"/>
  <c r="B216" i="37"/>
  <c r="M215" i="37"/>
  <c r="M216" i="37"/>
  <c r="C217" i="37"/>
  <c r="B217" i="37"/>
  <c r="C218" i="37"/>
  <c r="B218" i="37"/>
  <c r="M217" i="37"/>
  <c r="B219" i="37"/>
  <c r="M218" i="37"/>
  <c r="C219" i="37"/>
  <c r="C220" i="37"/>
  <c r="B220" i="37"/>
  <c r="M219" i="37"/>
  <c r="C221" i="37"/>
  <c r="B221" i="37"/>
  <c r="M220" i="37"/>
  <c r="M221" i="37"/>
  <c r="C222" i="37"/>
  <c r="B222" i="37"/>
  <c r="C223" i="37"/>
  <c r="B223" i="37"/>
  <c r="M222" i="37"/>
  <c r="B224" i="37"/>
  <c r="M223" i="37"/>
  <c r="C224" i="37"/>
  <c r="C225" i="37"/>
  <c r="B225" i="37"/>
  <c r="M224" i="37"/>
  <c r="C226" i="37"/>
  <c r="B226" i="37"/>
  <c r="M225" i="37"/>
  <c r="M226" i="37"/>
  <c r="C227" i="37"/>
  <c r="B227" i="37"/>
  <c r="C228" i="37"/>
  <c r="B228" i="37"/>
  <c r="M227" i="37"/>
  <c r="B229" i="37"/>
  <c r="M228" i="37"/>
  <c r="C229" i="37"/>
  <c r="C230" i="37"/>
  <c r="B230" i="37"/>
  <c r="M229" i="37"/>
  <c r="C231" i="37"/>
  <c r="B231" i="37"/>
  <c r="M230" i="37"/>
  <c r="M231" i="37"/>
  <c r="C232" i="37"/>
  <c r="B232" i="37"/>
  <c r="C233" i="37"/>
  <c r="B233" i="37"/>
  <c r="M232" i="37"/>
  <c r="B234" i="37"/>
  <c r="M233" i="37"/>
  <c r="C234" i="37"/>
  <c r="C235" i="37"/>
  <c r="B235" i="37"/>
  <c r="M234" i="37"/>
  <c r="C236" i="37"/>
  <c r="B236" i="37"/>
  <c r="M235" i="37"/>
  <c r="M236" i="37"/>
  <c r="C237" i="37"/>
  <c r="B237" i="37"/>
  <c r="C238" i="37"/>
  <c r="B238" i="37"/>
  <c r="M237" i="37"/>
  <c r="B239" i="37"/>
  <c r="M238" i="37"/>
  <c r="C239" i="37"/>
  <c r="M239" i="37"/>
  <c r="C241" i="37"/>
  <c r="B241" i="37"/>
  <c r="M241" i="37"/>
  <c r="C242" i="37"/>
  <c r="B242" i="37"/>
  <c r="C243" i="37"/>
  <c r="B243" i="37"/>
  <c r="M242" i="37"/>
  <c r="B244" i="37"/>
  <c r="M243" i="37"/>
  <c r="C244" i="37"/>
  <c r="C245" i="37"/>
  <c r="B245" i="37"/>
  <c r="M244" i="37"/>
  <c r="C246" i="37"/>
  <c r="B246" i="37"/>
  <c r="M245" i="37"/>
  <c r="M246" i="37"/>
  <c r="C247" i="37"/>
  <c r="B247" i="37"/>
  <c r="C248" i="37"/>
  <c r="B248" i="37"/>
  <c r="M247" i="37"/>
  <c r="B249" i="37"/>
  <c r="M248" i="37"/>
  <c r="C249" i="37"/>
  <c r="C250" i="37"/>
  <c r="B250" i="37"/>
  <c r="M249" i="37"/>
  <c r="C251" i="37"/>
  <c r="B251" i="37"/>
  <c r="M250" i="37"/>
  <c r="M251" i="37"/>
  <c r="C252" i="37"/>
  <c r="B252" i="37"/>
  <c r="C253" i="37"/>
  <c r="B253" i="37"/>
  <c r="M252" i="37"/>
  <c r="B254" i="37"/>
  <c r="M253" i="37"/>
  <c r="C254" i="37"/>
  <c r="C255" i="37"/>
  <c r="B255" i="37"/>
  <c r="M254" i="37"/>
  <c r="C256" i="37"/>
  <c r="B256" i="37"/>
  <c r="M255" i="37"/>
  <c r="M256" i="37"/>
  <c r="C257" i="37"/>
  <c r="B257" i="37"/>
  <c r="C258" i="37"/>
  <c r="B258" i="37"/>
  <c r="M257" i="37"/>
  <c r="B259" i="37"/>
  <c r="M258" i="37"/>
  <c r="C259" i="37"/>
  <c r="C260" i="37"/>
  <c r="B260" i="37"/>
  <c r="M259" i="37"/>
  <c r="C261" i="37"/>
  <c r="B261" i="37"/>
  <c r="M260" i="37"/>
  <c r="M261" i="37"/>
  <c r="C262" i="37"/>
  <c r="B262" i="37"/>
  <c r="C263" i="37"/>
  <c r="B263" i="37"/>
  <c r="M262" i="37"/>
  <c r="B264" i="37"/>
  <c r="M263" i="37"/>
  <c r="C264" i="37"/>
  <c r="C265" i="37"/>
  <c r="B265" i="37"/>
  <c r="M264" i="37"/>
  <c r="C266" i="37"/>
  <c r="B266" i="37"/>
  <c r="M265" i="37"/>
  <c r="M266" i="37"/>
  <c r="C267" i="37"/>
  <c r="B267" i="37"/>
  <c r="C268" i="37"/>
  <c r="B268" i="37"/>
  <c r="M267" i="37"/>
  <c r="B269" i="37"/>
  <c r="M268" i="37"/>
  <c r="C269" i="37"/>
  <c r="C270" i="37"/>
  <c r="B270" i="37"/>
  <c r="M269" i="37"/>
  <c r="C271" i="37"/>
  <c r="B271" i="37"/>
  <c r="M270" i="37"/>
  <c r="M271" i="37"/>
  <c r="C272" i="37"/>
  <c r="B272" i="37"/>
  <c r="C273" i="37"/>
  <c r="B273" i="37"/>
  <c r="M272" i="37"/>
  <c r="B274" i="37"/>
  <c r="M273" i="37"/>
  <c r="C274" i="37"/>
  <c r="C275" i="37"/>
  <c r="B275" i="37"/>
  <c r="M274" i="37"/>
  <c r="C276" i="37"/>
  <c r="B276" i="37"/>
  <c r="M275" i="37"/>
  <c r="M276" i="37"/>
  <c r="C281" i="37"/>
  <c r="B281" i="37"/>
  <c r="M281" i="37"/>
  <c r="C282" i="37"/>
  <c r="B282" i="37"/>
  <c r="C283" i="37"/>
  <c r="B283" i="37"/>
  <c r="M282" i="37"/>
  <c r="B284" i="37"/>
  <c r="M283" i="37"/>
  <c r="C284" i="37"/>
  <c r="C285" i="37"/>
  <c r="B285" i="37"/>
  <c r="M284" i="37"/>
  <c r="C286" i="37"/>
  <c r="B286" i="37"/>
  <c r="M285" i="37"/>
  <c r="M286" i="37"/>
  <c r="C287" i="37"/>
  <c r="B287" i="37"/>
  <c r="C288" i="37"/>
  <c r="B288" i="37"/>
  <c r="M287" i="37"/>
  <c r="B289" i="37"/>
  <c r="M288" i="37"/>
  <c r="C289" i="37"/>
  <c r="C290" i="37"/>
  <c r="B290" i="37"/>
  <c r="M289" i="37"/>
  <c r="C291" i="37"/>
  <c r="B291" i="37"/>
  <c r="M290" i="37"/>
  <c r="M291" i="37"/>
  <c r="C292" i="37"/>
  <c r="B292" i="37"/>
  <c r="C293" i="37"/>
  <c r="B293" i="37"/>
  <c r="M292" i="37"/>
  <c r="B294" i="37"/>
  <c r="M293" i="37"/>
  <c r="C294" i="37"/>
  <c r="C295" i="37"/>
  <c r="B295" i="37"/>
  <c r="M294" i="37"/>
  <c r="C296" i="37"/>
  <c r="B296" i="37"/>
  <c r="M295" i="37"/>
  <c r="M296" i="37"/>
  <c r="C297" i="37"/>
  <c r="B297" i="37"/>
  <c r="C298" i="37"/>
  <c r="B298" i="37"/>
  <c r="M297" i="37"/>
  <c r="B299" i="37"/>
  <c r="M298" i="37"/>
  <c r="C299" i="37"/>
  <c r="C300" i="37"/>
  <c r="B300" i="37"/>
  <c r="M299" i="37"/>
  <c r="C301" i="37"/>
  <c r="B301" i="37"/>
  <c r="M300" i="37"/>
  <c r="M301" i="37"/>
  <c r="C302" i="37"/>
  <c r="B302" i="37"/>
  <c r="C303" i="37"/>
  <c r="B303" i="37"/>
  <c r="M302" i="37"/>
  <c r="B304" i="37"/>
  <c r="M303" i="37"/>
  <c r="C304" i="37"/>
  <c r="C305" i="37"/>
  <c r="B305" i="37"/>
  <c r="M304" i="37"/>
  <c r="C306" i="37"/>
  <c r="B306" i="37"/>
  <c r="M305" i="37"/>
  <c r="M306" i="37"/>
  <c r="C307" i="37"/>
  <c r="B307" i="37"/>
  <c r="C308" i="37"/>
  <c r="B308" i="37"/>
  <c r="M307" i="37"/>
  <c r="B309" i="37"/>
  <c r="M308" i="37"/>
  <c r="C309" i="37"/>
  <c r="C310" i="37"/>
  <c r="B310" i="37"/>
  <c r="M309" i="37"/>
  <c r="C311" i="37"/>
  <c r="B311" i="37"/>
  <c r="M310" i="37"/>
  <c r="M311" i="37"/>
  <c r="C312" i="37"/>
  <c r="B312" i="37"/>
  <c r="C313" i="37"/>
  <c r="B313" i="37"/>
  <c r="M312" i="37"/>
  <c r="B314" i="37"/>
  <c r="M313" i="37"/>
  <c r="C314" i="37"/>
  <c r="C315" i="37"/>
  <c r="B315" i="37"/>
  <c r="M314" i="37"/>
  <c r="C316" i="37"/>
  <c r="B316" i="37"/>
  <c r="M315" i="37"/>
  <c r="M316" i="37"/>
  <c r="C317" i="37"/>
  <c r="B317" i="37"/>
  <c r="C318" i="37"/>
  <c r="B318" i="37"/>
  <c r="M317" i="37"/>
  <c r="B319" i="37"/>
  <c r="M318" i="37"/>
  <c r="C319" i="37"/>
  <c r="C320" i="37"/>
  <c r="B320" i="37"/>
  <c r="M319" i="37"/>
  <c r="C321" i="37"/>
  <c r="B321" i="37"/>
  <c r="M320" i="37"/>
  <c r="M321" i="37"/>
  <c r="C322" i="37"/>
  <c r="B322" i="37"/>
  <c r="C323" i="37"/>
  <c r="B323" i="37"/>
  <c r="M322" i="37"/>
  <c r="B324" i="37"/>
  <c r="M323" i="37"/>
  <c r="C324" i="37"/>
  <c r="C325" i="37"/>
  <c r="B325" i="37"/>
  <c r="M324" i="37"/>
  <c r="C326" i="37"/>
  <c r="B326" i="37"/>
  <c r="M325" i="37"/>
  <c r="M326" i="37"/>
  <c r="C327" i="37"/>
  <c r="B327" i="37"/>
  <c r="C328" i="37"/>
  <c r="B328" i="37"/>
  <c r="M327" i="37"/>
  <c r="B329" i="37"/>
  <c r="M328" i="37"/>
  <c r="C329" i="37"/>
  <c r="C330" i="37"/>
  <c r="B330" i="37"/>
  <c r="M329" i="37"/>
  <c r="C331" i="37"/>
  <c r="B331" i="37"/>
  <c r="M330" i="37"/>
  <c r="M331" i="37"/>
  <c r="C332" i="37"/>
  <c r="B332" i="37"/>
  <c r="C333" i="37"/>
  <c r="B333" i="37"/>
  <c r="M332" i="37"/>
  <c r="B334" i="37"/>
  <c r="M333" i="37"/>
  <c r="C334" i="37"/>
  <c r="C335" i="37"/>
  <c r="B335" i="37"/>
  <c r="M334" i="37"/>
  <c r="C336" i="37"/>
  <c r="B336" i="37"/>
  <c r="M335" i="37"/>
  <c r="M336" i="37"/>
  <c r="C337" i="37"/>
  <c r="B337" i="37"/>
  <c r="C338" i="37"/>
  <c r="B338" i="37"/>
  <c r="M337" i="37"/>
  <c r="B339" i="37"/>
  <c r="M338" i="37"/>
  <c r="C339" i="37"/>
  <c r="C340" i="37"/>
  <c r="B340" i="37"/>
  <c r="M339" i="37"/>
  <c r="C341" i="37"/>
  <c r="B341" i="37"/>
  <c r="M340" i="37"/>
  <c r="M341" i="37"/>
  <c r="C342" i="37"/>
  <c r="B342" i="37"/>
  <c r="C343" i="37"/>
  <c r="B343" i="37"/>
  <c r="M342" i="37"/>
  <c r="B344" i="37"/>
  <c r="M343" i="37"/>
  <c r="C344" i="37"/>
  <c r="C345" i="37"/>
  <c r="B345" i="37"/>
  <c r="M344" i="37"/>
  <c r="C346" i="37"/>
  <c r="B346" i="37"/>
  <c r="M345" i="37"/>
  <c r="M346" i="37"/>
  <c r="C347" i="37"/>
  <c r="B347" i="37"/>
  <c r="C348" i="37"/>
  <c r="B348" i="37"/>
  <c r="M347" i="37"/>
  <c r="B349" i="37"/>
  <c r="M348" i="37"/>
  <c r="C349" i="37"/>
  <c r="C350" i="37"/>
  <c r="B350" i="37"/>
  <c r="M349" i="37"/>
  <c r="C351" i="37"/>
  <c r="B351" i="37"/>
  <c r="M350" i="37"/>
  <c r="M351" i="37"/>
  <c r="C352" i="37"/>
  <c r="B352" i="37"/>
  <c r="C353" i="37"/>
  <c r="B353" i="37"/>
  <c r="M352" i="37"/>
  <c r="B354" i="37"/>
  <c r="M353" i="37"/>
  <c r="C354" i="37"/>
  <c r="C355" i="37"/>
  <c r="B355" i="37"/>
  <c r="M354" i="37"/>
  <c r="C356" i="37"/>
  <c r="B356" i="37"/>
  <c r="M355" i="37"/>
  <c r="M356" i="37"/>
  <c r="C357" i="37"/>
  <c r="B357" i="37"/>
  <c r="C358" i="37"/>
  <c r="B358" i="37"/>
  <c r="M357" i="37"/>
  <c r="B359" i="37"/>
  <c r="M358" i="37"/>
  <c r="C359" i="37"/>
  <c r="C360" i="37"/>
  <c r="B360" i="37"/>
  <c r="M359" i="37"/>
  <c r="C361" i="37"/>
  <c r="B361" i="37"/>
  <c r="M360" i="37"/>
  <c r="M361" i="37"/>
  <c r="C362" i="37"/>
  <c r="B362" i="37"/>
  <c r="C363" i="37"/>
  <c r="B363" i="37"/>
  <c r="M362" i="37"/>
  <c r="B364" i="37"/>
  <c r="M363" i="37"/>
  <c r="C364" i="37"/>
  <c r="C365" i="37"/>
  <c r="B365" i="37"/>
  <c r="M364" i="37"/>
  <c r="C366" i="37"/>
  <c r="B366" i="37"/>
  <c r="M365" i="37"/>
  <c r="M366" i="37"/>
  <c r="C367" i="37"/>
  <c r="B367" i="37"/>
  <c r="C368" i="37"/>
  <c r="B368" i="37"/>
  <c r="M367" i="37"/>
  <c r="B369" i="37"/>
  <c r="M368" i="37"/>
  <c r="C369" i="37"/>
  <c r="M369" i="37"/>
  <c r="C372" i="37"/>
  <c r="B372" i="37"/>
  <c r="C373" i="37"/>
  <c r="B373" i="37"/>
  <c r="M372" i="37"/>
  <c r="B374" i="37"/>
  <c r="M373" i="37"/>
  <c r="C374" i="37"/>
  <c r="C375" i="37"/>
  <c r="B375" i="37"/>
  <c r="M374" i="37"/>
  <c r="C376" i="37"/>
  <c r="B376" i="37"/>
  <c r="M375" i="37"/>
  <c r="M376" i="37"/>
  <c r="C377" i="37"/>
  <c r="B377" i="37"/>
  <c r="C378" i="37"/>
  <c r="B378" i="37"/>
  <c r="M377" i="37"/>
  <c r="B379" i="37"/>
  <c r="M378" i="37"/>
  <c r="C379" i="37"/>
  <c r="C380" i="37"/>
  <c r="B380" i="37"/>
  <c r="M379" i="37"/>
  <c r="C381" i="37"/>
  <c r="B381" i="37"/>
  <c r="M380" i="37"/>
  <c r="M381" i="37"/>
  <c r="C382" i="37"/>
  <c r="B382" i="37"/>
  <c r="C383" i="37"/>
  <c r="B383" i="37"/>
  <c r="M382" i="37"/>
  <c r="B384" i="37"/>
  <c r="M383" i="37"/>
  <c r="C384" i="37"/>
  <c r="C385" i="37"/>
  <c r="B385" i="37"/>
  <c r="M384" i="37"/>
  <c r="C386" i="37"/>
  <c r="B386" i="37"/>
  <c r="M385" i="37"/>
  <c r="M386" i="37"/>
  <c r="C387" i="37"/>
  <c r="B387" i="37"/>
  <c r="C388" i="37"/>
  <c r="B388" i="37"/>
  <c r="M387" i="37"/>
  <c r="B389" i="37"/>
  <c r="M388" i="37"/>
  <c r="C389" i="37"/>
  <c r="M389" i="37"/>
  <c r="C391" i="37"/>
  <c r="B391" i="37"/>
  <c r="M391" i="37"/>
  <c r="C392" i="37"/>
  <c r="B392" i="37"/>
  <c r="C393" i="37"/>
  <c r="B393" i="37"/>
  <c r="M392" i="37"/>
  <c r="B394" i="37"/>
  <c r="M393" i="37"/>
  <c r="C394" i="37"/>
  <c r="C395" i="37"/>
  <c r="B395" i="37"/>
  <c r="M394" i="37"/>
  <c r="C396" i="37"/>
  <c r="B396" i="37"/>
  <c r="M395" i="37"/>
  <c r="M396" i="37"/>
  <c r="C397" i="37"/>
  <c r="B397" i="37"/>
  <c r="C398" i="37"/>
  <c r="B398" i="37"/>
  <c r="M397" i="37"/>
  <c r="B399" i="37"/>
  <c r="M398" i="37"/>
  <c r="C399" i="37"/>
  <c r="C400" i="37"/>
  <c r="B400" i="37"/>
  <c r="M399" i="37"/>
  <c r="C401" i="37"/>
  <c r="B401" i="37"/>
  <c r="M400" i="37"/>
  <c r="M401" i="37"/>
  <c r="C402" i="37"/>
  <c r="B402" i="37"/>
  <c r="C403" i="37"/>
  <c r="B403" i="37"/>
  <c r="M402" i="37"/>
  <c r="B404" i="37"/>
  <c r="M403" i="37"/>
  <c r="C404" i="37"/>
  <c r="C405" i="37"/>
  <c r="B405" i="37"/>
  <c r="M404" i="37"/>
  <c r="C406" i="37"/>
  <c r="B406" i="37"/>
  <c r="M405" i="37"/>
  <c r="M406" i="37"/>
  <c r="C407" i="37"/>
  <c r="B407" i="37"/>
  <c r="C408" i="37"/>
  <c r="B408" i="37"/>
  <c r="M407" i="37"/>
  <c r="B409" i="37"/>
  <c r="M408" i="37"/>
  <c r="C409" i="37"/>
  <c r="C410" i="37"/>
  <c r="B410" i="37"/>
  <c r="M409" i="37"/>
  <c r="C411" i="37"/>
  <c r="B411" i="37"/>
  <c r="M410" i="37"/>
  <c r="M411" i="37"/>
  <c r="C412" i="37"/>
  <c r="B412" i="37"/>
  <c r="C413" i="37"/>
  <c r="B413" i="37"/>
  <c r="M412" i="37"/>
  <c r="B414" i="37"/>
  <c r="M413" i="37"/>
  <c r="C414" i="37"/>
  <c r="C415" i="37"/>
  <c r="B415" i="37"/>
  <c r="M414" i="37"/>
  <c r="C416" i="37"/>
  <c r="B416" i="37"/>
  <c r="M415" i="37"/>
  <c r="M416" i="37"/>
  <c r="C417" i="37"/>
  <c r="B417" i="37"/>
  <c r="C418" i="37"/>
  <c r="B418" i="37"/>
  <c r="M417" i="37"/>
  <c r="B419" i="37"/>
  <c r="M418" i="37"/>
  <c r="C419" i="37"/>
  <c r="C420" i="37"/>
  <c r="B420" i="37"/>
  <c r="M419" i="37"/>
  <c r="C421" i="37"/>
  <c r="B421" i="37"/>
  <c r="M420" i="37"/>
  <c r="M421" i="37"/>
  <c r="C422" i="37"/>
  <c r="B422" i="37"/>
  <c r="C423" i="37"/>
  <c r="B423" i="37"/>
  <c r="M422" i="37"/>
  <c r="B424" i="37"/>
  <c r="M423" i="37"/>
  <c r="C424" i="37"/>
  <c r="C425" i="37"/>
  <c r="B425" i="37"/>
  <c r="M424" i="37"/>
  <c r="M425" i="37"/>
  <c r="C433" i="37"/>
  <c r="B433" i="37"/>
  <c r="B434" i="37"/>
  <c r="M433" i="37"/>
  <c r="C434" i="37"/>
  <c r="C435" i="37"/>
  <c r="B435" i="37"/>
  <c r="M434" i="37"/>
  <c r="C436" i="37"/>
  <c r="B436" i="37"/>
  <c r="M435" i="37"/>
  <c r="M436" i="37"/>
  <c r="C437" i="37"/>
  <c r="B437" i="37"/>
  <c r="C438" i="37"/>
  <c r="B438" i="37"/>
  <c r="M437" i="37"/>
  <c r="B439" i="37"/>
  <c r="M438" i="37"/>
  <c r="C439" i="37"/>
  <c r="M439" i="37"/>
  <c r="C441" i="37"/>
  <c r="B441" i="37"/>
  <c r="M441" i="37"/>
  <c r="C442" i="37"/>
  <c r="B442" i="37"/>
  <c r="C443" i="37"/>
  <c r="B443" i="37"/>
  <c r="M442" i="37"/>
  <c r="B444" i="37"/>
  <c r="M443" i="37"/>
  <c r="C444" i="37"/>
  <c r="C445" i="37"/>
  <c r="B445" i="37"/>
  <c r="M444" i="37"/>
  <c r="C446" i="37"/>
  <c r="B446" i="37"/>
  <c r="M445" i="37"/>
  <c r="M446" i="37"/>
  <c r="C447" i="37"/>
  <c r="B447" i="37"/>
  <c r="C448" i="37"/>
  <c r="B448" i="37"/>
  <c r="M447" i="37"/>
  <c r="B449" i="37"/>
  <c r="M448" i="37"/>
  <c r="C449" i="37"/>
  <c r="C450" i="37"/>
  <c r="B450" i="37"/>
  <c r="M449" i="37"/>
  <c r="C451" i="37"/>
  <c r="B451" i="37"/>
  <c r="M450" i="37"/>
  <c r="M451" i="37"/>
  <c r="C452" i="37"/>
  <c r="B452" i="37"/>
  <c r="C453" i="37"/>
  <c r="B453" i="37"/>
  <c r="M452" i="37"/>
  <c r="B454" i="37"/>
  <c r="M453" i="37"/>
  <c r="C454" i="37"/>
  <c r="C455" i="37"/>
  <c r="B455" i="37"/>
  <c r="M454" i="37"/>
  <c r="C456" i="37"/>
  <c r="B456" i="37"/>
  <c r="M455" i="37"/>
  <c r="M456" i="37"/>
  <c r="C457" i="37"/>
  <c r="B457" i="37"/>
  <c r="C458" i="37"/>
  <c r="B458" i="37"/>
  <c r="M457" i="37"/>
  <c r="B459" i="37"/>
  <c r="M458" i="37"/>
  <c r="C459" i="37"/>
  <c r="C460" i="37"/>
  <c r="B460" i="37"/>
  <c r="M459" i="37"/>
  <c r="C461" i="37"/>
  <c r="B461" i="37"/>
  <c r="M460" i="37"/>
  <c r="M461" i="37"/>
  <c r="C462" i="37"/>
  <c r="B462" i="37"/>
  <c r="C463" i="37"/>
  <c r="B463" i="37"/>
  <c r="M462" i="37"/>
  <c r="B464" i="37"/>
  <c r="M463" i="37"/>
  <c r="C464" i="37"/>
  <c r="C465" i="37"/>
  <c r="B465" i="37"/>
  <c r="M464" i="37"/>
  <c r="C466" i="37"/>
  <c r="B466" i="37"/>
  <c r="M465" i="37"/>
  <c r="M466" i="37"/>
  <c r="C467" i="37"/>
  <c r="B467" i="37"/>
  <c r="M467" i="37"/>
  <c r="C517" i="37"/>
  <c r="B517" i="37"/>
  <c r="M517" i="37"/>
  <c r="G10" i="38"/>
  <c r="F10" i="38"/>
  <c r="E10" i="38"/>
  <c r="O10" i="38"/>
  <c r="N10" i="38"/>
  <c r="M10" i="38"/>
  <c r="L10" i="38"/>
  <c r="U10" i="38"/>
  <c r="T10" i="38"/>
  <c r="S10" i="38"/>
  <c r="R10" i="38"/>
  <c r="Q10" i="38"/>
  <c r="Z10" i="38"/>
  <c r="Y10" i="38"/>
  <c r="X10" i="38"/>
  <c r="W10" i="38"/>
  <c r="V10" i="38"/>
  <c r="AB10" i="38"/>
  <c r="AA10" i="38"/>
  <c r="C2" i="37"/>
  <c r="B2" i="37"/>
  <c r="M2" i="37"/>
  <c r="C58" i="37"/>
  <c r="B58" i="37"/>
  <c r="M58" i="37"/>
  <c r="C61" i="37"/>
  <c r="B61" i="37"/>
  <c r="M61" i="37"/>
  <c r="C65" i="37"/>
  <c r="B65" i="37"/>
  <c r="C66" i="37"/>
  <c r="B66" i="37"/>
  <c r="M65" i="37"/>
  <c r="M66" i="37"/>
  <c r="C68" i="37"/>
  <c r="B68" i="37"/>
  <c r="M68" i="37"/>
  <c r="C72" i="37"/>
  <c r="B72" i="37"/>
  <c r="C73" i="37"/>
  <c r="B73" i="37"/>
  <c r="M72" i="37"/>
  <c r="M73" i="37"/>
  <c r="C95" i="37"/>
  <c r="B95" i="37"/>
  <c r="M95" i="37"/>
  <c r="C122" i="37"/>
  <c r="B122" i="37"/>
  <c r="C123" i="37"/>
  <c r="B123" i="37"/>
  <c r="M122" i="37"/>
  <c r="M123" i="37"/>
  <c r="C125" i="37"/>
  <c r="B125" i="37"/>
  <c r="M125" i="37"/>
  <c r="C127" i="37"/>
  <c r="B127" i="37"/>
  <c r="C128" i="37"/>
  <c r="B128" i="37"/>
  <c r="M127" i="37"/>
  <c r="M128" i="37"/>
  <c r="C130" i="37"/>
  <c r="B130" i="37"/>
  <c r="C131" i="37"/>
  <c r="B131" i="37"/>
  <c r="M130" i="37"/>
  <c r="M131" i="37"/>
  <c r="C132" i="37"/>
  <c r="B132" i="37"/>
  <c r="C133" i="37"/>
  <c r="B133" i="37"/>
  <c r="M132" i="37"/>
  <c r="M133" i="37"/>
  <c r="C240" i="37"/>
  <c r="B240" i="37"/>
  <c r="M240" i="37"/>
  <c r="C277" i="37"/>
  <c r="B277" i="37"/>
  <c r="C278" i="37"/>
  <c r="B278" i="37"/>
  <c r="M277" i="37"/>
  <c r="B279" i="37"/>
  <c r="M278" i="37"/>
  <c r="C279" i="37"/>
  <c r="C280" i="37"/>
  <c r="B280" i="37"/>
  <c r="M279" i="37"/>
  <c r="M280" i="37"/>
  <c r="C370" i="37"/>
  <c r="B370" i="37"/>
  <c r="C371" i="37"/>
  <c r="B371" i="37"/>
  <c r="M370" i="37"/>
  <c r="M371" i="37"/>
  <c r="C390" i="37"/>
  <c r="B390" i="37"/>
  <c r="M390" i="37"/>
  <c r="C426" i="37"/>
  <c r="B426" i="37"/>
  <c r="M426" i="37"/>
  <c r="C427" i="37"/>
  <c r="B427" i="37"/>
  <c r="C428" i="37"/>
  <c r="B428" i="37"/>
  <c r="M427" i="37"/>
  <c r="B429" i="37"/>
  <c r="M428" i="37"/>
  <c r="C429" i="37"/>
  <c r="C430" i="37"/>
  <c r="B430" i="37"/>
  <c r="M429" i="37"/>
  <c r="C431" i="37"/>
  <c r="B431" i="37"/>
  <c r="M430" i="37"/>
  <c r="M431" i="37"/>
  <c r="C432" i="37"/>
  <c r="B432" i="37"/>
  <c r="M432" i="37"/>
  <c r="C440" i="37"/>
  <c r="B440" i="37"/>
  <c r="M440" i="37"/>
  <c r="C468" i="37"/>
  <c r="B468" i="37"/>
  <c r="B469" i="37"/>
  <c r="M468" i="37"/>
  <c r="C469" i="37"/>
  <c r="C470" i="37"/>
  <c r="B470" i="37"/>
  <c r="M469" i="37"/>
  <c r="C471" i="37"/>
  <c r="B471" i="37"/>
  <c r="M470" i="37"/>
  <c r="M471" i="37"/>
  <c r="B472" i="37"/>
  <c r="C479" i="37"/>
  <c r="B479" i="37"/>
  <c r="M472" i="37"/>
  <c r="B480" i="37"/>
  <c r="M479" i="37"/>
  <c r="C480" i="37"/>
  <c r="C481" i="37"/>
  <c r="B481" i="37"/>
  <c r="M480" i="37"/>
  <c r="C482" i="37"/>
  <c r="B482" i="37"/>
  <c r="M481" i="37"/>
  <c r="M482" i="37"/>
  <c r="C483" i="37"/>
  <c r="B483" i="37"/>
  <c r="C484" i="37"/>
  <c r="B484" i="37"/>
  <c r="M483" i="37"/>
  <c r="B485" i="37"/>
  <c r="M484" i="37"/>
  <c r="C485" i="37"/>
  <c r="C486" i="37"/>
  <c r="B486" i="37"/>
  <c r="M485" i="37"/>
  <c r="C487" i="37"/>
  <c r="B487" i="37"/>
  <c r="M486" i="37"/>
  <c r="M487" i="37"/>
  <c r="C488" i="37"/>
  <c r="B488" i="37"/>
  <c r="C489" i="37"/>
  <c r="B489" i="37"/>
  <c r="M488" i="37"/>
  <c r="B490" i="37"/>
  <c r="M489" i="37"/>
  <c r="C490" i="37"/>
  <c r="C491" i="37"/>
  <c r="B491" i="37"/>
  <c r="M490" i="37"/>
  <c r="C492" i="37"/>
  <c r="B492" i="37"/>
  <c r="M491" i="37"/>
  <c r="M492" i="37"/>
  <c r="C493" i="37"/>
  <c r="B493" i="37"/>
  <c r="C494" i="37"/>
  <c r="B494" i="37"/>
  <c r="M493" i="37"/>
  <c r="B495" i="37"/>
  <c r="M494" i="37"/>
  <c r="C495" i="37"/>
  <c r="C496" i="37"/>
  <c r="B496" i="37"/>
  <c r="M495" i="37"/>
  <c r="C497" i="37"/>
  <c r="B497" i="37"/>
  <c r="M496" i="37"/>
  <c r="M497" i="37"/>
  <c r="C498" i="37"/>
  <c r="B498" i="37"/>
  <c r="C499" i="37"/>
  <c r="B499" i="37"/>
  <c r="M498" i="37"/>
  <c r="B500" i="37"/>
  <c r="M499" i="37"/>
  <c r="C500" i="37"/>
  <c r="C501" i="37"/>
  <c r="B501" i="37"/>
  <c r="M500" i="37"/>
  <c r="C502" i="37"/>
  <c r="B502" i="37"/>
  <c r="M501" i="37"/>
  <c r="M502" i="37"/>
  <c r="C503" i="37"/>
  <c r="B503" i="37"/>
  <c r="C504" i="37"/>
  <c r="B504" i="37"/>
  <c r="M503" i="37"/>
  <c r="B505" i="37"/>
  <c r="M504" i="37"/>
  <c r="C505" i="37"/>
  <c r="C506" i="37"/>
  <c r="B506" i="37"/>
  <c r="M505" i="37"/>
  <c r="C507" i="37"/>
  <c r="B507" i="37"/>
  <c r="M506" i="37"/>
  <c r="M507" i="37"/>
  <c r="C508" i="37"/>
  <c r="B508" i="37"/>
  <c r="C509" i="37"/>
  <c r="B509" i="37"/>
  <c r="M508" i="37"/>
  <c r="B510" i="37"/>
  <c r="M509" i="37"/>
  <c r="C510" i="37"/>
  <c r="C511" i="37"/>
  <c r="B511" i="37"/>
  <c r="M510" i="37"/>
  <c r="C512" i="37"/>
  <c r="B512" i="37"/>
  <c r="M511" i="37"/>
  <c r="M512" i="37"/>
  <c r="C513" i="37"/>
  <c r="B513" i="37"/>
  <c r="C514" i="37"/>
  <c r="B514" i="37"/>
  <c r="M513" i="37"/>
  <c r="B515" i="37"/>
  <c r="M514" i="37"/>
  <c r="C515" i="37"/>
  <c r="C516" i="37"/>
  <c r="B516" i="37"/>
  <c r="M515" i="37"/>
  <c r="M516" i="37"/>
  <c r="C518" i="37"/>
  <c r="B518" i="37"/>
  <c r="C519" i="37"/>
  <c r="B519" i="37"/>
  <c r="M518" i="37"/>
  <c r="B520" i="37"/>
  <c r="M519" i="37"/>
  <c r="C520" i="37"/>
  <c r="C521" i="37"/>
  <c r="B521" i="37"/>
  <c r="M520" i="37"/>
  <c r="C522" i="37"/>
  <c r="B522" i="37"/>
  <c r="M521" i="37"/>
  <c r="M522" i="37"/>
  <c r="C523" i="37"/>
  <c r="B523" i="37"/>
  <c r="C524" i="37"/>
  <c r="B524" i="37"/>
  <c r="M523" i="37"/>
  <c r="B525" i="37"/>
  <c r="M524" i="37"/>
  <c r="C525" i="37"/>
  <c r="C526" i="37"/>
  <c r="B526" i="37"/>
  <c r="M525" i="37"/>
  <c r="C527" i="37"/>
  <c r="B527" i="37"/>
  <c r="M526" i="37"/>
  <c r="M527" i="37"/>
  <c r="C528" i="37"/>
  <c r="B528" i="37"/>
  <c r="C529" i="37"/>
  <c r="B529" i="37"/>
  <c r="M528" i="37"/>
  <c r="B530" i="37"/>
  <c r="M529" i="37"/>
  <c r="C530" i="37"/>
  <c r="C531" i="37"/>
  <c r="B531" i="37"/>
  <c r="M530" i="37"/>
  <c r="C532" i="37"/>
  <c r="B532" i="37"/>
  <c r="M531" i="37"/>
  <c r="M532" i="37"/>
  <c r="C533" i="37"/>
  <c r="B533" i="37"/>
  <c r="C534" i="37"/>
  <c r="B534" i="37"/>
  <c r="M533" i="37"/>
  <c r="B535" i="37"/>
  <c r="M534" i="37"/>
  <c r="C535" i="37"/>
  <c r="C536" i="37"/>
  <c r="B536" i="37"/>
  <c r="M535" i="37"/>
  <c r="M536" i="37"/>
  <c r="CH5" i="38"/>
  <c r="CG5" i="38"/>
  <c r="CF5" i="38"/>
  <c r="CE5" i="38"/>
  <c r="CD5" i="38"/>
  <c r="CC5" i="38"/>
  <c r="CB5" i="38"/>
  <c r="CA5" i="38"/>
  <c r="BZ5" i="38"/>
  <c r="BY5" i="38"/>
  <c r="BX5" i="38"/>
  <c r="BW5" i="38"/>
  <c r="BV5" i="38"/>
  <c r="BU5" i="38"/>
  <c r="BT5" i="38"/>
  <c r="BS5" i="38"/>
  <c r="BR5" i="38"/>
  <c r="BP5" i="38"/>
  <c r="BO5" i="38"/>
  <c r="BN5" i="38"/>
  <c r="BM5" i="38"/>
  <c r="BL5" i="38"/>
  <c r="BK5" i="38"/>
  <c r="BJ5" i="38"/>
  <c r="BI5" i="38"/>
  <c r="BH5" i="38"/>
  <c r="BG5" i="38"/>
  <c r="BF5" i="38"/>
  <c r="BE5" i="38"/>
  <c r="BD5" i="38"/>
  <c r="BC5" i="38"/>
  <c r="BB5" i="38"/>
  <c r="BA5" i="38"/>
  <c r="AZ5" i="38"/>
  <c r="AY5" i="38"/>
  <c r="AX5" i="38"/>
  <c r="AW5" i="38"/>
  <c r="AV5" i="38"/>
  <c r="AU5" i="38"/>
  <c r="AT5" i="38"/>
  <c r="AS5" i="38"/>
  <c r="AR5" i="38"/>
  <c r="AQ5" i="38"/>
  <c r="AP5" i="38"/>
  <c r="AO5" i="38"/>
  <c r="AN5" i="38"/>
  <c r="AM5" i="38"/>
  <c r="AL5" i="38"/>
  <c r="AK5" i="38"/>
  <c r="AJ5" i="38"/>
  <c r="AI5" i="38"/>
  <c r="AH5" i="38"/>
  <c r="AG5" i="38"/>
  <c r="AD5" i="38"/>
  <c r="AC5" i="38"/>
  <c r="J5" i="38"/>
  <c r="D5" i="38"/>
  <c r="C5" i="38"/>
  <c r="B5" i="38"/>
  <c r="CH4" i="38"/>
  <c r="CG4" i="38"/>
  <c r="CF4" i="38"/>
  <c r="CE4" i="38"/>
  <c r="CD4" i="38"/>
  <c r="CC4" i="38"/>
  <c r="CB4" i="38"/>
  <c r="CA4" i="38"/>
  <c r="BZ4" i="38"/>
  <c r="BY4" i="38"/>
  <c r="BX4" i="38"/>
  <c r="BW4" i="38"/>
  <c r="BV4" i="38"/>
  <c r="BU4" i="38"/>
  <c r="BT4" i="38"/>
  <c r="BS4" i="38"/>
  <c r="BR4" i="38"/>
  <c r="BP4" i="38"/>
  <c r="BO4" i="38"/>
  <c r="BN4" i="38"/>
  <c r="BM4" i="38"/>
  <c r="BL4" i="38"/>
  <c r="BK4" i="38"/>
  <c r="BJ4" i="38"/>
  <c r="BI4" i="38"/>
  <c r="BH4" i="38"/>
  <c r="BG4" i="38"/>
  <c r="BF4" i="38"/>
  <c r="BE4" i="38"/>
  <c r="BD4" i="38"/>
  <c r="BC4" i="38"/>
  <c r="BB4" i="38"/>
  <c r="BA4" i="38"/>
  <c r="AZ4" i="38"/>
  <c r="AY4" i="38"/>
  <c r="AX4" i="38"/>
  <c r="AW4" i="38"/>
  <c r="AV4" i="38"/>
  <c r="AU4" i="38"/>
  <c r="AT4" i="38"/>
  <c r="AS4" i="38"/>
  <c r="AR4" i="38"/>
  <c r="AQ4" i="38"/>
  <c r="AP4" i="38"/>
  <c r="AO4" i="38"/>
  <c r="AN4" i="38"/>
  <c r="AM4" i="38"/>
  <c r="AL4" i="38"/>
  <c r="AK4" i="38"/>
  <c r="AJ4" i="38"/>
  <c r="AI4" i="38"/>
  <c r="AH4" i="38"/>
  <c r="AG4" i="38"/>
  <c r="AD4" i="38"/>
  <c r="AC4" i="38"/>
  <c r="J4" i="38"/>
  <c r="D4" i="38"/>
  <c r="C4" i="38"/>
  <c r="B4" i="38"/>
  <c r="CH3" i="38"/>
  <c r="CG3" i="38"/>
  <c r="CF3" i="38"/>
  <c r="CE3" i="38"/>
  <c r="CD3" i="38"/>
  <c r="CC3" i="38"/>
  <c r="CB3" i="38"/>
  <c r="CA3" i="38"/>
  <c r="BZ3" i="38"/>
  <c r="BY3" i="38"/>
  <c r="BX3" i="38"/>
  <c r="BW3" i="38"/>
  <c r="BV3" i="38"/>
  <c r="BU3" i="38"/>
  <c r="BT3" i="38"/>
  <c r="BS3" i="38"/>
  <c r="BR3" i="38"/>
  <c r="BP3" i="38"/>
  <c r="BO3" i="38"/>
  <c r="BN3" i="38"/>
  <c r="BM3" i="38"/>
  <c r="BL3" i="38"/>
  <c r="BK3" i="38"/>
  <c r="BJ3" i="38"/>
  <c r="BI3" i="38"/>
  <c r="BH3" i="38"/>
  <c r="BG3" i="38"/>
  <c r="BF3" i="38"/>
  <c r="BE3" i="38"/>
  <c r="BD3" i="38"/>
  <c r="BC3" i="38"/>
  <c r="BB3" i="38"/>
  <c r="BA3" i="38"/>
  <c r="AZ3" i="38"/>
  <c r="AY3" i="38"/>
  <c r="AX3" i="38"/>
  <c r="AW3" i="38"/>
  <c r="AV3" i="38"/>
  <c r="AU3" i="38"/>
  <c r="AT3" i="38"/>
  <c r="AS3" i="38"/>
  <c r="AR3" i="38"/>
  <c r="AQ3" i="38"/>
  <c r="AP3" i="38"/>
  <c r="AO3" i="38"/>
  <c r="AN3" i="38"/>
  <c r="AM3" i="38"/>
  <c r="AL3" i="38"/>
  <c r="AK3" i="38"/>
  <c r="AJ3" i="38"/>
  <c r="AI3" i="38"/>
  <c r="AH3" i="38"/>
  <c r="AG3" i="38"/>
  <c r="AD3" i="38"/>
  <c r="AC3" i="38"/>
  <c r="J3" i="38"/>
  <c r="D3" i="38"/>
  <c r="C3" i="38"/>
  <c r="B3" i="38"/>
  <c r="CH2" i="38"/>
  <c r="CG2" i="38"/>
  <c r="CF2" i="38"/>
  <c r="CE2" i="38"/>
  <c r="CD2" i="38"/>
  <c r="CC2" i="38"/>
  <c r="CB2" i="38"/>
  <c r="CA2" i="38"/>
  <c r="BZ2" i="38"/>
  <c r="BY2" i="38"/>
  <c r="BX2" i="38"/>
  <c r="BW2" i="38"/>
  <c r="BV2" i="38"/>
  <c r="BU2" i="38"/>
  <c r="BT2" i="38"/>
  <c r="BS2" i="38"/>
  <c r="BR2" i="38"/>
  <c r="BP2" i="38"/>
  <c r="BO2" i="38"/>
  <c r="BN2" i="38"/>
  <c r="BM2" i="38"/>
  <c r="BL2" i="38"/>
  <c r="BK2" i="38"/>
  <c r="BJ2" i="38"/>
  <c r="BI2" i="38"/>
  <c r="BH2" i="38"/>
  <c r="BG2" i="38"/>
  <c r="BF2" i="38"/>
  <c r="BE2" i="38"/>
  <c r="BD2" i="38"/>
  <c r="BC2" i="38"/>
  <c r="BB2" i="38"/>
  <c r="BA2" i="38"/>
  <c r="AZ2" i="38"/>
  <c r="AY2" i="38"/>
  <c r="AX2" i="38"/>
  <c r="AW2" i="38"/>
  <c r="AV2" i="38"/>
  <c r="AU2" i="38"/>
  <c r="AT2" i="38"/>
  <c r="AS2" i="38"/>
  <c r="AR2" i="38"/>
  <c r="AQ2" i="38"/>
  <c r="AP2" i="38"/>
  <c r="AO2" i="38"/>
  <c r="AN2" i="38"/>
  <c r="AM2" i="38"/>
  <c r="AL2" i="38"/>
  <c r="AJ2" i="38"/>
  <c r="AI2" i="38"/>
  <c r="AH2" i="38"/>
  <c r="AD2" i="38"/>
  <c r="J2" i="38"/>
  <c r="D2" i="38"/>
  <c r="C2" i="38"/>
  <c r="B2" i="38"/>
  <c r="CH9" i="38"/>
  <c r="CG9" i="38"/>
  <c r="CF9" i="38"/>
  <c r="CE9" i="38"/>
  <c r="CD9" i="38"/>
  <c r="CC9" i="38"/>
  <c r="CB9" i="38"/>
  <c r="CA9" i="38"/>
  <c r="BZ9" i="38"/>
  <c r="BY9" i="38"/>
  <c r="BX9" i="38"/>
  <c r="BW9" i="38"/>
  <c r="BV9" i="38"/>
  <c r="BU9" i="38"/>
  <c r="BT9" i="38"/>
  <c r="BS9" i="38"/>
  <c r="BR9" i="38"/>
  <c r="BP9" i="38"/>
  <c r="BO9" i="38"/>
  <c r="BN9" i="38"/>
  <c r="BM9" i="38"/>
  <c r="BL9" i="38"/>
  <c r="BK9" i="38"/>
  <c r="BJ9" i="38"/>
  <c r="BI9" i="38"/>
  <c r="BH9" i="38"/>
  <c r="BG9" i="38"/>
  <c r="BF9" i="38"/>
  <c r="BE9" i="38"/>
  <c r="BD9" i="38"/>
  <c r="BC9" i="38"/>
  <c r="BB9" i="38"/>
  <c r="BA9" i="38"/>
  <c r="AZ9" i="38"/>
  <c r="AY9" i="38"/>
  <c r="AX9" i="38"/>
  <c r="AW9" i="38"/>
  <c r="AV9" i="38"/>
  <c r="AU9" i="38"/>
  <c r="AT9" i="38"/>
  <c r="AS9" i="38"/>
  <c r="AR9" i="38"/>
  <c r="AQ9" i="38"/>
  <c r="AP9" i="38"/>
  <c r="AO9" i="38"/>
  <c r="AN9" i="38"/>
  <c r="AM9" i="38"/>
  <c r="AL9" i="38"/>
  <c r="AK9" i="38"/>
  <c r="AJ9" i="38"/>
  <c r="AI9" i="38"/>
  <c r="AH9" i="38"/>
  <c r="AG9" i="38"/>
  <c r="AD9" i="38"/>
  <c r="AC9" i="38"/>
  <c r="J9" i="38"/>
  <c r="D9" i="38"/>
  <c r="C9" i="38"/>
  <c r="B9" i="38"/>
  <c r="CH8" i="38"/>
  <c r="CG8" i="38"/>
  <c r="CF8" i="38"/>
  <c r="CE8" i="38"/>
  <c r="CD8" i="38"/>
  <c r="CC8" i="38"/>
  <c r="CB8" i="38"/>
  <c r="CA8" i="38"/>
  <c r="BZ8" i="38"/>
  <c r="BY8" i="38"/>
  <c r="BX8" i="38"/>
  <c r="BW8" i="38"/>
  <c r="BV8" i="38"/>
  <c r="BU8" i="38"/>
  <c r="BT8" i="38"/>
  <c r="BS8" i="38"/>
  <c r="BR8" i="38"/>
  <c r="BP8" i="38"/>
  <c r="BO8" i="38"/>
  <c r="BN8" i="38"/>
  <c r="BM8" i="38"/>
  <c r="BL8" i="38"/>
  <c r="BK8" i="38"/>
  <c r="BJ8" i="38"/>
  <c r="BI8" i="38"/>
  <c r="BH8" i="38"/>
  <c r="BG8" i="38"/>
  <c r="BF8" i="38"/>
  <c r="BE8" i="38"/>
  <c r="BD8" i="38"/>
  <c r="BC8" i="38"/>
  <c r="BB8" i="38"/>
  <c r="BA8" i="38"/>
  <c r="AZ8" i="38"/>
  <c r="AY8" i="38"/>
  <c r="AX8" i="38"/>
  <c r="AW8" i="38"/>
  <c r="AV8" i="38"/>
  <c r="AU8" i="38"/>
  <c r="AT8" i="38"/>
  <c r="AS8" i="38"/>
  <c r="AR8" i="38"/>
  <c r="AQ8" i="38"/>
  <c r="AP8" i="38"/>
  <c r="AO8" i="38"/>
  <c r="AN8" i="38"/>
  <c r="AM8" i="38"/>
  <c r="AL8" i="38"/>
  <c r="AK8" i="38"/>
  <c r="AJ8" i="38"/>
  <c r="AI8" i="38"/>
  <c r="AH8" i="38"/>
  <c r="AG8" i="38"/>
  <c r="AD8" i="38"/>
  <c r="AC8" i="38"/>
  <c r="J8" i="38"/>
  <c r="D8" i="38"/>
  <c r="C8" i="38"/>
  <c r="B8" i="38"/>
  <c r="CH7" i="38"/>
  <c r="CG7" i="38"/>
  <c r="CF7" i="38"/>
  <c r="CE7" i="38"/>
  <c r="CD7" i="38"/>
  <c r="CC7" i="38"/>
  <c r="CB7" i="38"/>
  <c r="CA7" i="38"/>
  <c r="BZ7" i="38"/>
  <c r="BY7" i="38"/>
  <c r="BX7" i="38"/>
  <c r="BW7" i="38"/>
  <c r="BV7" i="38"/>
  <c r="BU7" i="38"/>
  <c r="BT7" i="38"/>
  <c r="BS7" i="38"/>
  <c r="BR7" i="38"/>
  <c r="BP7" i="38"/>
  <c r="BO7" i="38"/>
  <c r="BN7" i="38"/>
  <c r="BM7" i="38"/>
  <c r="BL7" i="38"/>
  <c r="BK7" i="38"/>
  <c r="BJ7" i="38"/>
  <c r="BI7" i="38"/>
  <c r="BH7" i="38"/>
  <c r="BG7" i="38"/>
  <c r="BF7" i="38"/>
  <c r="BE7" i="38"/>
  <c r="BD7" i="38"/>
  <c r="BC7" i="38"/>
  <c r="BB7" i="38"/>
  <c r="BA7" i="38"/>
  <c r="AZ7" i="38"/>
  <c r="AY7" i="38"/>
  <c r="AX7" i="38"/>
  <c r="AW7" i="38"/>
  <c r="AV7" i="38"/>
  <c r="AU7" i="38"/>
  <c r="AT7" i="38"/>
  <c r="AS7" i="38"/>
  <c r="AR7" i="38"/>
  <c r="AQ7" i="38"/>
  <c r="AP7" i="38"/>
  <c r="AO7" i="38"/>
  <c r="AN7" i="38"/>
  <c r="AM7" i="38"/>
  <c r="AL7" i="38"/>
  <c r="AK7" i="38"/>
  <c r="AJ7" i="38"/>
  <c r="AI7" i="38"/>
  <c r="AH7" i="38"/>
  <c r="AG7" i="38"/>
  <c r="AD7" i="38"/>
  <c r="AC7" i="38"/>
  <c r="J7" i="38"/>
  <c r="D7" i="38"/>
  <c r="C7" i="38"/>
  <c r="B7" i="38"/>
  <c r="CH6" i="38"/>
  <c r="CG6" i="38"/>
  <c r="CF6" i="38"/>
  <c r="CE6" i="38"/>
  <c r="CD6" i="38"/>
  <c r="CC6" i="38"/>
  <c r="CB6" i="38"/>
  <c r="CA6" i="38"/>
  <c r="BZ6" i="38"/>
  <c r="BY6" i="38"/>
  <c r="BX6" i="38"/>
  <c r="BW6" i="38"/>
  <c r="BV6" i="38"/>
  <c r="BU6" i="38"/>
  <c r="BT6" i="38"/>
  <c r="BS6" i="38"/>
  <c r="BR6" i="38"/>
  <c r="BP6" i="38"/>
  <c r="BO6" i="38"/>
  <c r="BN6" i="38"/>
  <c r="BM6" i="38"/>
  <c r="BL6" i="38"/>
  <c r="BK6" i="38"/>
  <c r="BJ6" i="38"/>
  <c r="BI6" i="38"/>
  <c r="BH6" i="38"/>
  <c r="BG6" i="38"/>
  <c r="BF6" i="38"/>
  <c r="BE6" i="38"/>
  <c r="BD6" i="38"/>
  <c r="BC6" i="38"/>
  <c r="BB6" i="38"/>
  <c r="BA6" i="38"/>
  <c r="AZ6" i="38"/>
  <c r="AY6" i="38"/>
  <c r="AX6" i="38"/>
  <c r="AW6" i="38"/>
  <c r="AV6" i="38"/>
  <c r="AU6" i="38"/>
  <c r="AT6" i="38"/>
  <c r="AS6" i="38"/>
  <c r="AR6" i="38"/>
  <c r="AQ6" i="38"/>
  <c r="AP6" i="38"/>
  <c r="AO6" i="38"/>
  <c r="AN6" i="38"/>
  <c r="AM6" i="38"/>
  <c r="AL6" i="38"/>
  <c r="AK6" i="38"/>
  <c r="AJ6" i="38"/>
  <c r="AI6" i="38"/>
  <c r="AH6" i="38"/>
  <c r="AG6" i="38"/>
  <c r="AD6" i="38"/>
  <c r="AC6" i="38"/>
  <c r="J6" i="38"/>
  <c r="D6" i="38"/>
  <c r="C6" i="38"/>
  <c r="B6" i="38"/>
  <c r="C478" i="37"/>
  <c r="C477" i="37"/>
  <c r="C476" i="37"/>
  <c r="C475" i="37"/>
  <c r="C474" i="37"/>
  <c r="C473" i="37"/>
  <c r="B478" i="37"/>
  <c r="B477" i="37"/>
  <c r="B476" i="37"/>
  <c r="B475" i="37"/>
  <c r="B474" i="37"/>
  <c r="B473" i="37"/>
  <c r="M478" i="37"/>
  <c r="M477" i="37"/>
  <c r="M476" i="37"/>
  <c r="M475" i="37"/>
  <c r="M474" i="37"/>
  <c r="M473" i="37"/>
  <c r="AK2" i="38"/>
  <c r="AG2" i="38"/>
  <c r="AC2" i="38"/>
  <c r="K6" i="38" l="1"/>
  <c r="P6" i="38" s="1"/>
  <c r="K7" i="38"/>
  <c r="P7" i="38" s="1"/>
  <c r="K8" i="38"/>
  <c r="P8" i="38" s="1"/>
  <c r="K9" i="38"/>
  <c r="P9" i="38" s="1"/>
  <c r="K2" i="38"/>
  <c r="P2" i="38" s="1"/>
  <c r="K3" i="38"/>
  <c r="P3" i="38" s="1"/>
  <c r="K4" i="38"/>
  <c r="P4" i="38" s="1"/>
  <c r="K5" i="38"/>
  <c r="P5" i="38" s="1"/>
  <c r="M2" i="40"/>
  <c r="B2" i="40"/>
  <c r="B1" i="40" s="1"/>
  <c r="B1" i="37"/>
  <c r="C1" i="37"/>
  <c r="C2" i="40"/>
  <c r="C1" i="40" s="1"/>
  <c r="BQ10" i="38"/>
  <c r="H10" i="38"/>
  <c r="I10" i="38"/>
  <c r="M121" i="40"/>
  <c r="M120" i="40"/>
  <c r="B121" i="40"/>
  <c r="C121" i="40"/>
  <c r="M119" i="40"/>
  <c r="B120" i="40"/>
  <c r="C120" i="40"/>
  <c r="C119" i="40"/>
  <c r="M118" i="40"/>
  <c r="B119" i="40"/>
  <c r="M117" i="40"/>
  <c r="B118" i="40"/>
  <c r="C118" i="40"/>
  <c r="B117" i="40"/>
  <c r="C117" i="40"/>
  <c r="M116" i="40"/>
  <c r="M115" i="40"/>
  <c r="B116" i="40"/>
  <c r="C116" i="40"/>
  <c r="M114" i="40"/>
  <c r="B115" i="40"/>
  <c r="C115" i="40"/>
  <c r="C114" i="40"/>
  <c r="M113" i="40"/>
  <c r="B114" i="40"/>
  <c r="M112" i="40"/>
  <c r="B113" i="40"/>
  <c r="C113" i="40"/>
  <c r="B112" i="40"/>
  <c r="C112" i="40"/>
  <c r="M111" i="40"/>
  <c r="M110" i="40"/>
  <c r="B111" i="40"/>
  <c r="C111" i="40"/>
  <c r="M109" i="40"/>
  <c r="B110" i="40"/>
  <c r="C110" i="40"/>
  <c r="C109" i="40"/>
  <c r="M108" i="40"/>
  <c r="B109" i="40"/>
  <c r="M107" i="40"/>
  <c r="B108" i="40"/>
  <c r="C108" i="40"/>
  <c r="B107" i="40"/>
  <c r="C107" i="40"/>
  <c r="M106" i="40"/>
  <c r="M105" i="40"/>
  <c r="B106" i="40"/>
  <c r="C106" i="40"/>
  <c r="M104" i="40"/>
  <c r="B105" i="40"/>
  <c r="C105" i="40"/>
  <c r="C104" i="40"/>
  <c r="M103" i="40"/>
  <c r="B104" i="40"/>
  <c r="M102" i="40"/>
  <c r="B103" i="40"/>
  <c r="C103" i="40"/>
  <c r="B102" i="40"/>
  <c r="C102" i="40"/>
  <c r="M101" i="40"/>
  <c r="M100" i="40"/>
  <c r="B101" i="40"/>
  <c r="C101" i="40"/>
  <c r="M99" i="40"/>
  <c r="B100" i="40"/>
  <c r="C100" i="40"/>
  <c r="C99" i="40"/>
  <c r="M98" i="40"/>
  <c r="B99" i="40"/>
  <c r="M97" i="40"/>
  <c r="B98" i="40"/>
  <c r="C98" i="40"/>
  <c r="B97" i="40"/>
  <c r="C97" i="40"/>
  <c r="M96" i="40"/>
  <c r="M95" i="40"/>
  <c r="B96" i="40"/>
  <c r="C96" i="40"/>
  <c r="M94" i="40"/>
  <c r="B95" i="40"/>
  <c r="C95" i="40"/>
  <c r="C94" i="40"/>
  <c r="M93" i="40"/>
  <c r="B94" i="40"/>
  <c r="M92" i="40"/>
  <c r="B93" i="40"/>
  <c r="C93" i="40"/>
  <c r="B92" i="40"/>
  <c r="C92" i="40"/>
  <c r="M91" i="40"/>
  <c r="M90" i="40"/>
  <c r="B91" i="40"/>
  <c r="C91" i="40"/>
  <c r="M89" i="40"/>
  <c r="B90" i="40"/>
  <c r="C90" i="40"/>
  <c r="C89" i="40"/>
  <c r="M88" i="40"/>
  <c r="B89" i="40"/>
  <c r="M87" i="40"/>
  <c r="B88" i="40"/>
  <c r="C88" i="40"/>
  <c r="B87" i="40"/>
  <c r="C87" i="40"/>
  <c r="M86" i="40"/>
  <c r="M85" i="40"/>
  <c r="B86" i="40"/>
  <c r="C86" i="40"/>
  <c r="M84" i="40"/>
  <c r="B85" i="40"/>
  <c r="C85" i="40"/>
  <c r="C84" i="40"/>
  <c r="M83" i="40"/>
  <c r="B84" i="40"/>
  <c r="M82" i="40"/>
  <c r="B83" i="40"/>
  <c r="C83" i="40"/>
  <c r="B82" i="40"/>
  <c r="C82" i="40"/>
  <c r="M81" i="40"/>
  <c r="M80" i="40"/>
  <c r="B81" i="40"/>
  <c r="C81" i="40"/>
  <c r="M79" i="40"/>
  <c r="B80" i="40"/>
  <c r="C80" i="40"/>
  <c r="C79" i="40"/>
  <c r="M78" i="40"/>
  <c r="B79" i="40"/>
  <c r="M77" i="40"/>
  <c r="B78" i="40"/>
  <c r="C78" i="40"/>
  <c r="B77" i="40"/>
  <c r="C77" i="40"/>
  <c r="M76" i="40"/>
  <c r="M75" i="40"/>
  <c r="B76" i="40"/>
  <c r="C76" i="40"/>
  <c r="M74" i="40"/>
  <c r="B75" i="40"/>
  <c r="C75" i="40"/>
  <c r="C74" i="40"/>
  <c r="M73" i="40"/>
  <c r="B74" i="40"/>
  <c r="M72" i="40"/>
  <c r="B73" i="40"/>
  <c r="C73" i="40"/>
  <c r="B72" i="40"/>
  <c r="C72" i="40"/>
  <c r="M71" i="40"/>
  <c r="M70" i="40"/>
  <c r="B71" i="40"/>
  <c r="C71" i="40"/>
  <c r="M69" i="40"/>
  <c r="B70" i="40"/>
  <c r="C70" i="40"/>
  <c r="C69" i="40"/>
  <c r="M68" i="40"/>
  <c r="B69" i="40"/>
  <c r="M67" i="40"/>
  <c r="B68" i="40"/>
  <c r="C68" i="40"/>
  <c r="B67" i="40"/>
  <c r="C67" i="40"/>
  <c r="M66" i="40"/>
  <c r="M65" i="40"/>
  <c r="B66" i="40"/>
  <c r="C66" i="40"/>
  <c r="M64" i="40"/>
  <c r="B65" i="40"/>
  <c r="C65" i="40"/>
  <c r="C64" i="40"/>
  <c r="M63" i="40"/>
  <c r="B64" i="40"/>
  <c r="M62" i="40"/>
  <c r="B63" i="40"/>
  <c r="C63" i="40"/>
  <c r="B62" i="40"/>
  <c r="C62" i="40"/>
  <c r="M61" i="40"/>
  <c r="M60" i="40"/>
  <c r="B61" i="40"/>
  <c r="C61" i="40"/>
  <c r="M59" i="40"/>
  <c r="B60" i="40"/>
  <c r="C60" i="40"/>
  <c r="C59" i="40"/>
  <c r="M58" i="40"/>
  <c r="B59" i="40"/>
  <c r="M57" i="40"/>
  <c r="B58" i="40"/>
  <c r="C58" i="40"/>
  <c r="B57" i="40"/>
  <c r="C57" i="40"/>
  <c r="M56" i="40"/>
  <c r="B56" i="40"/>
  <c r="C56" i="40"/>
  <c r="M55" i="40"/>
  <c r="M54" i="40"/>
  <c r="B55" i="40"/>
  <c r="C55" i="40"/>
  <c r="C54" i="40"/>
  <c r="M53" i="40"/>
  <c r="B54" i="40"/>
  <c r="M52" i="40"/>
  <c r="B53" i="40"/>
  <c r="C53" i="40"/>
  <c r="B52" i="40"/>
  <c r="C52" i="40"/>
  <c r="M51" i="40"/>
  <c r="M50" i="40"/>
  <c r="B51" i="40"/>
  <c r="C51" i="40"/>
  <c r="M49" i="40"/>
  <c r="B50" i="40"/>
  <c r="C50" i="40"/>
  <c r="C49" i="40"/>
  <c r="M48" i="40"/>
  <c r="B49" i="40"/>
  <c r="M47" i="40"/>
  <c r="B48" i="40"/>
  <c r="C48" i="40"/>
  <c r="B47" i="40"/>
  <c r="C47" i="40"/>
  <c r="M46" i="40"/>
  <c r="M45" i="40"/>
  <c r="B46" i="40"/>
  <c r="C46" i="40"/>
  <c r="M44" i="40"/>
  <c r="B45" i="40"/>
  <c r="C45" i="40"/>
  <c r="C44" i="40"/>
  <c r="M43" i="40"/>
  <c r="B44" i="40"/>
  <c r="M42" i="40"/>
  <c r="B43" i="40"/>
  <c r="C43" i="40"/>
  <c r="B42" i="40"/>
  <c r="C42" i="40"/>
  <c r="M41" i="40"/>
  <c r="M40" i="40"/>
  <c r="B41" i="40"/>
  <c r="C41" i="40"/>
  <c r="M39" i="40"/>
  <c r="B40" i="40"/>
  <c r="C40" i="40"/>
  <c r="C39" i="40"/>
  <c r="M38" i="40"/>
  <c r="B39" i="40"/>
  <c r="M37" i="40"/>
  <c r="B38" i="40"/>
  <c r="C38" i="40"/>
  <c r="B37" i="40"/>
  <c r="C37" i="40"/>
  <c r="M36" i="40"/>
  <c r="M35" i="40"/>
  <c r="B36" i="40"/>
  <c r="C36" i="40"/>
  <c r="M34" i="40"/>
  <c r="B35" i="40"/>
  <c r="C35" i="40"/>
  <c r="C34" i="40"/>
  <c r="M33" i="40"/>
  <c r="B34" i="40"/>
  <c r="M32" i="40"/>
  <c r="B33" i="40"/>
  <c r="C33" i="40"/>
  <c r="B32" i="40"/>
  <c r="C32" i="40"/>
  <c r="M31" i="40"/>
  <c r="M30" i="40"/>
  <c r="B31" i="40"/>
  <c r="C31" i="40"/>
  <c r="M29" i="40"/>
  <c r="B30" i="40"/>
  <c r="C30" i="40"/>
  <c r="C29" i="40"/>
  <c r="M28" i="40"/>
  <c r="B29" i="40"/>
  <c r="M27" i="40"/>
  <c r="B28" i="40"/>
  <c r="C28" i="40"/>
  <c r="B27" i="40"/>
  <c r="C27" i="40"/>
  <c r="M26" i="40"/>
  <c r="M25" i="40"/>
  <c r="B26" i="40"/>
  <c r="C26" i="40"/>
  <c r="M24" i="40"/>
  <c r="B25" i="40"/>
  <c r="C25" i="40"/>
  <c r="C24" i="40"/>
  <c r="M23" i="40"/>
  <c r="B24" i="40"/>
  <c r="M22" i="40"/>
  <c r="B23" i="40"/>
  <c r="C23" i="40"/>
  <c r="B22" i="40"/>
  <c r="C22" i="40"/>
  <c r="M21" i="40"/>
  <c r="M20" i="40"/>
  <c r="B21" i="40"/>
  <c r="C21" i="40"/>
  <c r="M19" i="40"/>
  <c r="B20" i="40"/>
  <c r="C20" i="40"/>
  <c r="C19" i="40"/>
  <c r="M18" i="40"/>
  <c r="B19" i="40"/>
  <c r="M17" i="40"/>
  <c r="B18" i="40"/>
  <c r="C18" i="40"/>
  <c r="B17" i="40"/>
  <c r="C17" i="40"/>
  <c r="M16" i="40"/>
  <c r="M15" i="40"/>
  <c r="B16" i="40"/>
  <c r="C16" i="40"/>
  <c r="M14" i="40"/>
  <c r="B15" i="40"/>
  <c r="C15" i="40"/>
  <c r="C14" i="40"/>
  <c r="M13" i="40"/>
  <c r="B14" i="40"/>
  <c r="M12" i="40"/>
  <c r="B13" i="40"/>
  <c r="C13" i="40"/>
  <c r="B12" i="40"/>
  <c r="C12" i="40"/>
  <c r="M11" i="40"/>
  <c r="M10" i="40"/>
  <c r="B11" i="40"/>
  <c r="C11" i="40"/>
  <c r="M9" i="40"/>
  <c r="B10" i="40"/>
  <c r="C10" i="40"/>
  <c r="C9" i="40"/>
  <c r="M8" i="40"/>
  <c r="B9" i="40"/>
  <c r="M7" i="40"/>
  <c r="B8" i="40"/>
  <c r="C8" i="40"/>
  <c r="B7" i="40"/>
  <c r="C7" i="40"/>
  <c r="M6" i="40"/>
  <c r="M5" i="40"/>
  <c r="B6" i="40"/>
  <c r="C6" i="40"/>
  <c r="M4" i="40"/>
  <c r="B5" i="40"/>
  <c r="C5" i="40"/>
  <c r="C4" i="40"/>
  <c r="M3" i="40"/>
  <c r="B4" i="40"/>
  <c r="B3" i="40"/>
  <c r="C3" i="40"/>
  <c r="I2" i="38"/>
  <c r="H2" i="38"/>
  <c r="BQ2" i="38"/>
  <c r="I3" i="38"/>
  <c r="H3" i="38"/>
  <c r="BQ3" i="38"/>
  <c r="I4" i="38"/>
  <c r="H4" i="38"/>
  <c r="BQ4" i="38"/>
  <c r="H5" i="38"/>
  <c r="I5" i="38"/>
  <c r="BQ5" i="38"/>
  <c r="I6" i="38"/>
  <c r="H6" i="38"/>
  <c r="BQ6" i="38"/>
  <c r="I7" i="38"/>
  <c r="H7" i="38"/>
  <c r="BQ7" i="38"/>
  <c r="H8" i="38"/>
  <c r="I8" i="38"/>
  <c r="BQ8" i="38"/>
  <c r="I9" i="38"/>
  <c r="H9" i="38"/>
  <c r="BQ9" i="38"/>
  <c r="K10" i="38"/>
  <c r="P10" i="38" s="1"/>
  <c r="F2" i="49"/>
  <c r="D472" i="37"/>
  <c r="D478" i="37"/>
  <c r="D477" i="37"/>
  <c r="D476" i="37"/>
  <c r="D475" i="37"/>
  <c r="D474" i="37"/>
  <c r="D473" i="37"/>
  <c r="D3" i="40" l="1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2" i="40"/>
  <c r="D1" i="40" s="1"/>
  <c r="D1" i="37"/>
  <c r="AE5" i="38"/>
  <c r="AF5" i="38"/>
  <c r="AE2" i="38"/>
  <c r="AF2" i="38"/>
  <c r="AE3" i="38"/>
  <c r="AF3" i="38"/>
  <c r="AE9" i="38"/>
  <c r="AF9" i="38"/>
  <c r="G2" i="49"/>
  <c r="AE8" i="38"/>
  <c r="AF8" i="38"/>
  <c r="AE4" i="38"/>
  <c r="AF4" i="38"/>
  <c r="AE10" i="38"/>
  <c r="AF10" i="38"/>
  <c r="AE7" i="38"/>
  <c r="AF7" i="38"/>
  <c r="AF6" i="38"/>
  <c r="AE6" i="38"/>
  <c r="E472" i="37"/>
  <c r="E478" i="37"/>
  <c r="E477" i="37"/>
  <c r="E476" i="37"/>
  <c r="E475" i="37"/>
  <c r="E474" i="37"/>
  <c r="E473" i="37"/>
  <c r="E3" i="40" l="1"/>
  <c r="E4" i="40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" i="37"/>
  <c r="E2" i="40"/>
  <c r="E1" i="40" s="1"/>
  <c r="H2" i="49"/>
  <c r="F472" i="37"/>
  <c r="F478" i="37"/>
  <c r="F477" i="37"/>
  <c r="F476" i="37"/>
  <c r="F475" i="37"/>
  <c r="F474" i="37"/>
  <c r="F473" i="37"/>
  <c r="F3" i="40" l="1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23" i="40"/>
  <c r="F24" i="40"/>
  <c r="F25" i="40"/>
  <c r="F26" i="40"/>
  <c r="F27" i="40"/>
  <c r="F28" i="40"/>
  <c r="F29" i="40"/>
  <c r="F30" i="40"/>
  <c r="F31" i="40"/>
  <c r="F32" i="40"/>
  <c r="F33" i="40"/>
  <c r="F34" i="40"/>
  <c r="F35" i="40"/>
  <c r="F36" i="40"/>
  <c r="F37" i="40"/>
  <c r="F38" i="40"/>
  <c r="F39" i="40"/>
  <c r="F40" i="40"/>
  <c r="F41" i="40"/>
  <c r="F42" i="40"/>
  <c r="F43" i="40"/>
  <c r="F44" i="40"/>
  <c r="F45" i="40"/>
  <c r="F46" i="40"/>
  <c r="F47" i="40"/>
  <c r="F48" i="40"/>
  <c r="F49" i="40"/>
  <c r="F50" i="40"/>
  <c r="F51" i="40"/>
  <c r="F52" i="40"/>
  <c r="F53" i="40"/>
  <c r="F54" i="40"/>
  <c r="F55" i="40"/>
  <c r="F56" i="40"/>
  <c r="F57" i="40"/>
  <c r="F58" i="40"/>
  <c r="F59" i="40"/>
  <c r="F60" i="40"/>
  <c r="F61" i="40"/>
  <c r="F62" i="40"/>
  <c r="F63" i="40"/>
  <c r="F64" i="40"/>
  <c r="F65" i="40"/>
  <c r="F66" i="40"/>
  <c r="F67" i="40"/>
  <c r="F68" i="40"/>
  <c r="F69" i="40"/>
  <c r="F70" i="40"/>
  <c r="F71" i="40"/>
  <c r="F72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86" i="40"/>
  <c r="F87" i="40"/>
  <c r="F88" i="40"/>
  <c r="F89" i="40"/>
  <c r="F90" i="40"/>
  <c r="F91" i="40"/>
  <c r="F92" i="40"/>
  <c r="F93" i="40"/>
  <c r="F94" i="40"/>
  <c r="F95" i="40"/>
  <c r="F96" i="40"/>
  <c r="F97" i="40"/>
  <c r="F98" i="40"/>
  <c r="F99" i="40"/>
  <c r="F100" i="40"/>
  <c r="F101" i="40"/>
  <c r="F102" i="40"/>
  <c r="F103" i="40"/>
  <c r="F104" i="40"/>
  <c r="F105" i="40"/>
  <c r="F106" i="40"/>
  <c r="F107" i="40"/>
  <c r="F108" i="40"/>
  <c r="F109" i="40"/>
  <c r="F110" i="40"/>
  <c r="F111" i="40"/>
  <c r="F112" i="40"/>
  <c r="F113" i="40"/>
  <c r="F114" i="40"/>
  <c r="F115" i="40"/>
  <c r="F116" i="40"/>
  <c r="F117" i="40"/>
  <c r="F118" i="40"/>
  <c r="F119" i="40"/>
  <c r="F120" i="40"/>
  <c r="F121" i="40"/>
  <c r="F1" i="37"/>
  <c r="F2" i="40"/>
  <c r="F1" i="40" s="1"/>
  <c r="I2" i="49"/>
  <c r="G472" i="37"/>
  <c r="G478" i="37"/>
  <c r="G477" i="37"/>
  <c r="G476" i="37"/>
  <c r="G475" i="37"/>
  <c r="G474" i="37"/>
  <c r="G473" i="37"/>
  <c r="G3" i="40" l="1"/>
  <c r="G4" i="40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G48" i="40"/>
  <c r="G49" i="40"/>
  <c r="G50" i="40"/>
  <c r="G51" i="40"/>
  <c r="G52" i="40"/>
  <c r="G53" i="40"/>
  <c r="G54" i="40"/>
  <c r="G55" i="40"/>
  <c r="G56" i="40"/>
  <c r="G57" i="40"/>
  <c r="G58" i="40"/>
  <c r="G59" i="40"/>
  <c r="G60" i="40"/>
  <c r="G61" i="40"/>
  <c r="G62" i="40"/>
  <c r="G63" i="40"/>
  <c r="G64" i="40"/>
  <c r="G65" i="40"/>
  <c r="G66" i="40"/>
  <c r="G67" i="40"/>
  <c r="G68" i="40"/>
  <c r="G69" i="40"/>
  <c r="G70" i="40"/>
  <c r="G71" i="40"/>
  <c r="G72" i="40"/>
  <c r="G73" i="40"/>
  <c r="G74" i="40"/>
  <c r="G75" i="40"/>
  <c r="G76" i="40"/>
  <c r="G77" i="40"/>
  <c r="G78" i="40"/>
  <c r="G79" i="40"/>
  <c r="G80" i="40"/>
  <c r="G81" i="40"/>
  <c r="G82" i="40"/>
  <c r="G83" i="40"/>
  <c r="G84" i="40"/>
  <c r="G85" i="40"/>
  <c r="G86" i="40"/>
  <c r="G87" i="40"/>
  <c r="G88" i="40"/>
  <c r="G89" i="40"/>
  <c r="G90" i="40"/>
  <c r="G91" i="40"/>
  <c r="G92" i="40"/>
  <c r="G93" i="40"/>
  <c r="G94" i="40"/>
  <c r="G95" i="40"/>
  <c r="G96" i="40"/>
  <c r="G97" i="40"/>
  <c r="G98" i="40"/>
  <c r="G99" i="40"/>
  <c r="G100" i="40"/>
  <c r="G101" i="40"/>
  <c r="G102" i="40"/>
  <c r="G103" i="40"/>
  <c r="G104" i="40"/>
  <c r="G105" i="40"/>
  <c r="G106" i="40"/>
  <c r="G107" i="40"/>
  <c r="G108" i="40"/>
  <c r="G109" i="40"/>
  <c r="G110" i="40"/>
  <c r="G111" i="40"/>
  <c r="G112" i="40"/>
  <c r="G113" i="40"/>
  <c r="G114" i="40"/>
  <c r="G115" i="40"/>
  <c r="G116" i="40"/>
  <c r="G117" i="40"/>
  <c r="G118" i="40"/>
  <c r="G119" i="40"/>
  <c r="G120" i="40"/>
  <c r="G121" i="40"/>
  <c r="G2" i="40"/>
  <c r="G1" i="40" s="1"/>
  <c r="G1" i="37"/>
  <c r="J2" i="49"/>
  <c r="H472" i="37"/>
  <c r="H478" i="37"/>
  <c r="H477" i="37"/>
  <c r="H476" i="37"/>
  <c r="H475" i="37"/>
  <c r="H474" i="37"/>
  <c r="H473" i="37"/>
  <c r="H3" i="40" l="1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23" i="40"/>
  <c r="H24" i="40"/>
  <c r="H25" i="40"/>
  <c r="H26" i="40"/>
  <c r="H27" i="40"/>
  <c r="H28" i="40"/>
  <c r="H29" i="40"/>
  <c r="H30" i="40"/>
  <c r="H31" i="40"/>
  <c r="H32" i="40"/>
  <c r="H33" i="40"/>
  <c r="H34" i="40"/>
  <c r="H35" i="40"/>
  <c r="H36" i="40"/>
  <c r="H37" i="40"/>
  <c r="H38" i="40"/>
  <c r="H39" i="40"/>
  <c r="H40" i="40"/>
  <c r="H41" i="40"/>
  <c r="H42" i="40"/>
  <c r="H43" i="40"/>
  <c r="H44" i="40"/>
  <c r="H45" i="40"/>
  <c r="H46" i="40"/>
  <c r="H47" i="40"/>
  <c r="H48" i="40"/>
  <c r="H49" i="40"/>
  <c r="H50" i="40"/>
  <c r="H51" i="40"/>
  <c r="H52" i="40"/>
  <c r="H53" i="40"/>
  <c r="H54" i="40"/>
  <c r="H55" i="40"/>
  <c r="H56" i="40"/>
  <c r="H57" i="40"/>
  <c r="H58" i="40"/>
  <c r="H59" i="40"/>
  <c r="H60" i="40"/>
  <c r="H61" i="40"/>
  <c r="H62" i="40"/>
  <c r="H63" i="40"/>
  <c r="H64" i="40"/>
  <c r="H65" i="40"/>
  <c r="H66" i="40"/>
  <c r="H67" i="40"/>
  <c r="H68" i="40"/>
  <c r="H69" i="40"/>
  <c r="H70" i="40"/>
  <c r="H71" i="40"/>
  <c r="H72" i="40"/>
  <c r="H73" i="40"/>
  <c r="H74" i="40"/>
  <c r="H75" i="40"/>
  <c r="H76" i="40"/>
  <c r="H77" i="40"/>
  <c r="H78" i="40"/>
  <c r="H79" i="40"/>
  <c r="H80" i="40"/>
  <c r="H81" i="40"/>
  <c r="H82" i="40"/>
  <c r="H83" i="40"/>
  <c r="H84" i="40"/>
  <c r="H85" i="40"/>
  <c r="H86" i="40"/>
  <c r="H87" i="40"/>
  <c r="H88" i="40"/>
  <c r="H89" i="40"/>
  <c r="H90" i="40"/>
  <c r="H91" i="40"/>
  <c r="H92" i="40"/>
  <c r="H93" i="40"/>
  <c r="H94" i="40"/>
  <c r="H95" i="40"/>
  <c r="H96" i="40"/>
  <c r="H97" i="40"/>
  <c r="H98" i="40"/>
  <c r="H99" i="40"/>
  <c r="H100" i="40"/>
  <c r="H101" i="40"/>
  <c r="H102" i="40"/>
  <c r="H103" i="40"/>
  <c r="H104" i="40"/>
  <c r="H105" i="40"/>
  <c r="H106" i="40"/>
  <c r="H107" i="40"/>
  <c r="H108" i="40"/>
  <c r="H109" i="40"/>
  <c r="H110" i="40"/>
  <c r="H111" i="40"/>
  <c r="H112" i="40"/>
  <c r="H113" i="40"/>
  <c r="H114" i="40"/>
  <c r="H115" i="40"/>
  <c r="H116" i="40"/>
  <c r="H117" i="40"/>
  <c r="H118" i="40"/>
  <c r="H119" i="40"/>
  <c r="H120" i="40"/>
  <c r="H121" i="40"/>
  <c r="H1" i="37"/>
  <c r="H2" i="40"/>
  <c r="H1" i="40" s="1"/>
  <c r="K2" i="49"/>
  <c r="I472" i="37"/>
  <c r="I478" i="37"/>
  <c r="I477" i="37"/>
  <c r="I476" i="37"/>
  <c r="I475" i="37"/>
  <c r="I474" i="37"/>
  <c r="I473" i="37"/>
  <c r="I3" i="40" l="1"/>
  <c r="I4" i="40"/>
  <c r="I5" i="40"/>
  <c r="I6" i="40"/>
  <c r="I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24" i="40"/>
  <c r="I25" i="40"/>
  <c r="I26" i="40"/>
  <c r="I27" i="40"/>
  <c r="I28" i="40"/>
  <c r="I29" i="40"/>
  <c r="I30" i="40"/>
  <c r="I31" i="40"/>
  <c r="I32" i="40"/>
  <c r="I33" i="40"/>
  <c r="I34" i="40"/>
  <c r="I35" i="40"/>
  <c r="I36" i="40"/>
  <c r="I37" i="40"/>
  <c r="I38" i="40"/>
  <c r="I39" i="40"/>
  <c r="I40" i="40"/>
  <c r="I41" i="40"/>
  <c r="I42" i="40"/>
  <c r="I43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" i="37"/>
  <c r="I2" i="40"/>
  <c r="I1" i="40" s="1"/>
  <c r="L2" i="49"/>
  <c r="J472" i="37"/>
  <c r="J478" i="37"/>
  <c r="J477" i="37"/>
  <c r="J476" i="37"/>
  <c r="J475" i="37"/>
  <c r="J474" i="37"/>
  <c r="J473" i="37"/>
  <c r="J3" i="40" l="1"/>
  <c r="J4" i="40"/>
  <c r="J5" i="40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35" i="40"/>
  <c r="J36" i="40"/>
  <c r="J37" i="40"/>
  <c r="J38" i="40"/>
  <c r="J39" i="40"/>
  <c r="J40" i="40"/>
  <c r="J41" i="40"/>
  <c r="J42" i="40"/>
  <c r="J43" i="40"/>
  <c r="J44" i="40"/>
  <c r="J45" i="40"/>
  <c r="J46" i="40"/>
  <c r="J47" i="40"/>
  <c r="J48" i="40"/>
  <c r="J49" i="40"/>
  <c r="J50" i="40"/>
  <c r="J51" i="40"/>
  <c r="J52" i="40"/>
  <c r="J53" i="40"/>
  <c r="J54" i="40"/>
  <c r="J55" i="40"/>
  <c r="J56" i="40"/>
  <c r="J57" i="40"/>
  <c r="J58" i="40"/>
  <c r="J59" i="40"/>
  <c r="J60" i="40"/>
  <c r="J61" i="40"/>
  <c r="J62" i="40"/>
  <c r="J63" i="40"/>
  <c r="J64" i="40"/>
  <c r="J65" i="40"/>
  <c r="J66" i="40"/>
  <c r="J67" i="40"/>
  <c r="J68" i="40"/>
  <c r="J69" i="40"/>
  <c r="J70" i="40"/>
  <c r="J71" i="40"/>
  <c r="J72" i="40"/>
  <c r="J73" i="40"/>
  <c r="J74" i="40"/>
  <c r="J75" i="40"/>
  <c r="J76" i="40"/>
  <c r="J77" i="40"/>
  <c r="J78" i="40"/>
  <c r="J79" i="40"/>
  <c r="J80" i="40"/>
  <c r="J81" i="40"/>
  <c r="J82" i="40"/>
  <c r="J83" i="40"/>
  <c r="J84" i="40"/>
  <c r="J85" i="40"/>
  <c r="J86" i="40"/>
  <c r="J87" i="40"/>
  <c r="J88" i="40"/>
  <c r="J89" i="40"/>
  <c r="J90" i="40"/>
  <c r="J91" i="40"/>
  <c r="J92" i="40"/>
  <c r="J93" i="40"/>
  <c r="J94" i="40"/>
  <c r="J95" i="40"/>
  <c r="J96" i="40"/>
  <c r="J97" i="40"/>
  <c r="J98" i="40"/>
  <c r="J99" i="40"/>
  <c r="J100" i="40"/>
  <c r="J101" i="40"/>
  <c r="J102" i="40"/>
  <c r="J103" i="40"/>
  <c r="J104" i="40"/>
  <c r="J105" i="40"/>
  <c r="J106" i="40"/>
  <c r="J107" i="40"/>
  <c r="J108" i="40"/>
  <c r="J109" i="40"/>
  <c r="J110" i="40"/>
  <c r="J111" i="40"/>
  <c r="J112" i="40"/>
  <c r="J113" i="40"/>
  <c r="J114" i="40"/>
  <c r="J115" i="40"/>
  <c r="J116" i="40"/>
  <c r="J117" i="40"/>
  <c r="J118" i="40"/>
  <c r="J119" i="40"/>
  <c r="J120" i="40"/>
  <c r="J121" i="40"/>
  <c r="J2" i="40"/>
  <c r="J1" i="40" s="1"/>
  <c r="J1" i="37"/>
  <c r="M2" i="49"/>
  <c r="K472" i="37"/>
  <c r="K478" i="37"/>
  <c r="K477" i="37"/>
  <c r="K476" i="37"/>
  <c r="K475" i="37"/>
  <c r="K474" i="37"/>
  <c r="K473" i="37"/>
  <c r="K3" i="40" l="1"/>
  <c r="K4" i="40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K27" i="40"/>
  <c r="K28" i="40"/>
  <c r="K29" i="40"/>
  <c r="K30" i="40"/>
  <c r="K31" i="40"/>
  <c r="K32" i="40"/>
  <c r="K33" i="40"/>
  <c r="K34" i="40"/>
  <c r="K35" i="40"/>
  <c r="K36" i="40"/>
  <c r="K37" i="40"/>
  <c r="K38" i="40"/>
  <c r="K39" i="40"/>
  <c r="K40" i="40"/>
  <c r="K41" i="40"/>
  <c r="K42" i="40"/>
  <c r="K43" i="40"/>
  <c r="K44" i="40"/>
  <c r="K45" i="40"/>
  <c r="K46" i="40"/>
  <c r="K47" i="40"/>
  <c r="K48" i="40"/>
  <c r="K49" i="40"/>
  <c r="K50" i="40"/>
  <c r="K51" i="40"/>
  <c r="K52" i="40"/>
  <c r="K53" i="40"/>
  <c r="K54" i="40"/>
  <c r="K55" i="40"/>
  <c r="K56" i="40"/>
  <c r="K57" i="40"/>
  <c r="K58" i="40"/>
  <c r="K59" i="40"/>
  <c r="K60" i="40"/>
  <c r="K61" i="40"/>
  <c r="K62" i="40"/>
  <c r="K63" i="40"/>
  <c r="K64" i="40"/>
  <c r="K65" i="40"/>
  <c r="K66" i="40"/>
  <c r="K67" i="40"/>
  <c r="K68" i="40"/>
  <c r="K69" i="40"/>
  <c r="K70" i="40"/>
  <c r="K71" i="40"/>
  <c r="K72" i="40"/>
  <c r="K73" i="40"/>
  <c r="K74" i="40"/>
  <c r="K75" i="40"/>
  <c r="K76" i="40"/>
  <c r="K77" i="40"/>
  <c r="K78" i="40"/>
  <c r="K79" i="40"/>
  <c r="K80" i="40"/>
  <c r="K81" i="40"/>
  <c r="K82" i="40"/>
  <c r="K83" i="40"/>
  <c r="K84" i="40"/>
  <c r="K85" i="40"/>
  <c r="K86" i="40"/>
  <c r="K87" i="40"/>
  <c r="K88" i="40"/>
  <c r="K89" i="40"/>
  <c r="K90" i="40"/>
  <c r="K91" i="40"/>
  <c r="K92" i="40"/>
  <c r="K93" i="40"/>
  <c r="K94" i="40"/>
  <c r="K95" i="40"/>
  <c r="K96" i="40"/>
  <c r="K97" i="40"/>
  <c r="K98" i="40"/>
  <c r="K99" i="40"/>
  <c r="K100" i="40"/>
  <c r="K101" i="40"/>
  <c r="K102" i="40"/>
  <c r="K103" i="40"/>
  <c r="K104" i="40"/>
  <c r="K105" i="40"/>
  <c r="K106" i="40"/>
  <c r="K107" i="40"/>
  <c r="K108" i="40"/>
  <c r="K109" i="40"/>
  <c r="K110" i="40"/>
  <c r="K111" i="40"/>
  <c r="K112" i="40"/>
  <c r="K113" i="40"/>
  <c r="K114" i="40"/>
  <c r="K115" i="40"/>
  <c r="K116" i="40"/>
  <c r="K117" i="40"/>
  <c r="K118" i="40"/>
  <c r="K119" i="40"/>
  <c r="K120" i="40"/>
  <c r="K121" i="40"/>
  <c r="K2" i="40"/>
  <c r="K1" i="40" s="1"/>
  <c r="K1" i="37"/>
  <c r="N2" i="49"/>
  <c r="L472" i="37"/>
  <c r="L478" i="37"/>
  <c r="L477" i="37"/>
  <c r="L476" i="37"/>
  <c r="L475" i="37"/>
  <c r="L474" i="37"/>
  <c r="L473" i="37"/>
  <c r="L3" i="40" l="1"/>
  <c r="L4" i="40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36" i="40"/>
  <c r="L37" i="40"/>
  <c r="L38" i="40"/>
  <c r="L39" i="40"/>
  <c r="L40" i="40"/>
  <c r="L41" i="40"/>
  <c r="L42" i="40"/>
  <c r="L43" i="40"/>
  <c r="L44" i="40"/>
  <c r="L45" i="40"/>
  <c r="L46" i="40"/>
  <c r="L47" i="40"/>
  <c r="L48" i="40"/>
  <c r="L49" i="40"/>
  <c r="L50" i="40"/>
  <c r="L51" i="40"/>
  <c r="L52" i="40"/>
  <c r="L53" i="40"/>
  <c r="L54" i="40"/>
  <c r="L55" i="40"/>
  <c r="L56" i="40"/>
  <c r="L57" i="40"/>
  <c r="L58" i="40"/>
  <c r="L59" i="40"/>
  <c r="L60" i="40"/>
  <c r="L61" i="40"/>
  <c r="L62" i="40"/>
  <c r="L63" i="40"/>
  <c r="L64" i="40"/>
  <c r="L65" i="40"/>
  <c r="L66" i="40"/>
  <c r="L67" i="40"/>
  <c r="L68" i="40"/>
  <c r="L69" i="40"/>
  <c r="L70" i="40"/>
  <c r="L71" i="40"/>
  <c r="L72" i="40"/>
  <c r="L73" i="40"/>
  <c r="L74" i="40"/>
  <c r="L75" i="40"/>
  <c r="L76" i="40"/>
  <c r="L77" i="40"/>
  <c r="L78" i="40"/>
  <c r="L79" i="40"/>
  <c r="L80" i="40"/>
  <c r="L81" i="40"/>
  <c r="L82" i="40"/>
  <c r="L83" i="40"/>
  <c r="L84" i="40"/>
  <c r="L85" i="40"/>
  <c r="L86" i="40"/>
  <c r="L87" i="40"/>
  <c r="L88" i="40"/>
  <c r="L89" i="40"/>
  <c r="L90" i="40"/>
  <c r="L91" i="40"/>
  <c r="L92" i="40"/>
  <c r="L93" i="40"/>
  <c r="L94" i="40"/>
  <c r="L95" i="40"/>
  <c r="L96" i="40"/>
  <c r="L97" i="40"/>
  <c r="L98" i="40"/>
  <c r="L99" i="40"/>
  <c r="L100" i="40"/>
  <c r="L101" i="40"/>
  <c r="L102" i="40"/>
  <c r="L103" i="40"/>
  <c r="L104" i="40"/>
  <c r="L105" i="40"/>
  <c r="L106" i="40"/>
  <c r="L107" i="40"/>
  <c r="L108" i="40"/>
  <c r="L109" i="40"/>
  <c r="L110" i="40"/>
  <c r="L111" i="40"/>
  <c r="L112" i="40"/>
  <c r="L113" i="40"/>
  <c r="L114" i="40"/>
  <c r="L115" i="40"/>
  <c r="L116" i="40"/>
  <c r="L117" i="40"/>
  <c r="L118" i="40"/>
  <c r="L119" i="40"/>
  <c r="L120" i="40"/>
  <c r="L121" i="40"/>
  <c r="L2" i="40"/>
  <c r="L1" i="40" s="1"/>
  <c r="L1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E153E-9484-4A22-B747-386987480F72}" keepAlive="1" name="ModelConnection_ExternalData_1" description="Data Model" type="5" refreshedVersion="8" minRefreshableVersion="5" saveData="1">
    <dbPr connection="Data Model Connection" command="financials_inpu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28B8124-7EAF-4906-8304-C133ACEA22AD}" name="Query - financials_input" description="Connection to the 'financials_input' query in the workbook." type="100" refreshedVersion="8" minRefreshableVersion="5">
    <extLst>
      <ext xmlns:x15="http://schemas.microsoft.com/office/spreadsheetml/2010/11/main" uri="{DE250136-89BD-433C-8126-D09CA5730AF9}">
        <x15:connection id="5e3fbd90-746a-4d2a-ae1a-4d0477c2c3f2"/>
      </ext>
    </extLst>
  </connection>
  <connection id="3" xr16:uid="{A75A9DA2-D6B5-48B0-B50F-519F1A8FA3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<sst xmlns="http://schemas.openxmlformats.org/spreadsheetml/2006/main" count="2301" uniqueCount="2127">
  <si>
    <t>Provision for Doubtful Accounts - Patient Service Revenue</t>
  </si>
  <si>
    <t>General Partner - Common Equity</t>
  </si>
  <si>
    <t>General Partner - Preferred Equity</t>
  </si>
  <si>
    <t>General Partner - Minority Interest</t>
  </si>
  <si>
    <t>General Partner Interest (Supple)</t>
  </si>
  <si>
    <t>Depreciation And Amortization Notes for Partial CF</t>
  </si>
  <si>
    <t>Amortization Of Goodwill Notes for Partial CF</t>
  </si>
  <si>
    <t>Contingent Rental Expense</t>
  </si>
  <si>
    <t>Short-Term Borrowing Derivatives</t>
  </si>
  <si>
    <t>Curr. Port. of LT Debt Derivatives</t>
  </si>
  <si>
    <t>Long-Term Debt Derivatives</t>
  </si>
  <si>
    <t>Current Derivative Assets</t>
  </si>
  <si>
    <t>Long-Term Derivative Assets</t>
  </si>
  <si>
    <t>Gross Intangible Assets</t>
  </si>
  <si>
    <t>Accumulated Amortization of Intangible Assets</t>
  </si>
  <si>
    <t>Gross Goodwill</t>
  </si>
  <si>
    <t>Accumulated Amortization of Goodwill</t>
  </si>
  <si>
    <t>Aircraft Rental Expense</t>
  </si>
  <si>
    <t>Current Derivative Liabilities</t>
  </si>
  <si>
    <t>Non-Current Derivative Liabilities</t>
  </si>
  <si>
    <t>Derivative Trading Asset Securities</t>
  </si>
  <si>
    <t>Net Income to Company</t>
  </si>
  <si>
    <t>Net Income to Parent</t>
  </si>
  <si>
    <t>Earnings to Parent before Extraordinary Items</t>
  </si>
  <si>
    <t>Redeemable Minority Interest</t>
  </si>
  <si>
    <t>Finance Division Redeemable Minority Interest</t>
  </si>
  <si>
    <t>Total Redeemable Minority Interest</t>
  </si>
  <si>
    <t>Finance Division Minority Interest</t>
  </si>
  <si>
    <t>Capitalized/Purchased Software</t>
  </si>
  <si>
    <t>Minimum Rental Expense</t>
  </si>
  <si>
    <t>Other Rental Expense</t>
  </si>
  <si>
    <t>Depreciation of Rental Assets</t>
  </si>
  <si>
    <t>Sale Proceeds from Rental Assets</t>
  </si>
  <si>
    <t>Cash Flow per Share</t>
  </si>
  <si>
    <t>Net Cash from Discontinued Ops. - Investing</t>
  </si>
  <si>
    <t>Net Cash from Discontinued Ops. - Financing</t>
  </si>
  <si>
    <t>Net Rental Expense, Total</t>
  </si>
  <si>
    <t>Net Rental Expense</t>
  </si>
  <si>
    <t>Net Rental Expense (Supple)</t>
  </si>
  <si>
    <t>Fees and Other Income</t>
  </si>
  <si>
    <t>Amortization of Negative Goodwill</t>
  </si>
  <si>
    <t>Amortization of Negative Goodwill - After Tax</t>
  </si>
  <si>
    <t>Book Value/Share (Reported)</t>
  </si>
  <si>
    <t>Accounts Receivables - Unbilled</t>
  </si>
  <si>
    <t>Net Income</t>
  </si>
  <si>
    <t>Total Current Assets</t>
  </si>
  <si>
    <t>Total Equity</t>
  </si>
  <si>
    <t>Common Stock</t>
  </si>
  <si>
    <t>Cash Interest Paid</t>
  </si>
  <si>
    <t>Cash Taxes Paid</t>
  </si>
  <si>
    <t>Accounts Payable</t>
  </si>
  <si>
    <t>Total Debt</t>
  </si>
  <si>
    <t>Interest Expense</t>
  </si>
  <si>
    <t>Gross Profit</t>
  </si>
  <si>
    <t>Treasury Stock</t>
  </si>
  <si>
    <t>Accounts Receivable</t>
  </si>
  <si>
    <t>Goodwill</t>
  </si>
  <si>
    <t>Revenues</t>
  </si>
  <si>
    <t>Total Revenues</t>
  </si>
  <si>
    <t>R &amp; D Exp.</t>
  </si>
  <si>
    <t>Depreciation &amp; Amort., Total</t>
  </si>
  <si>
    <t>Other Operating Expense/(Income)</t>
  </si>
  <si>
    <t>Other Operating Exp., Total</t>
  </si>
  <si>
    <t>Operating Income</t>
  </si>
  <si>
    <t>Interest and Invest. Income</t>
  </si>
  <si>
    <t>Net Interest Exp.</t>
  </si>
  <si>
    <t>EBT Excl Unusual Items</t>
  </si>
  <si>
    <t>Impairment of Goodwill</t>
  </si>
  <si>
    <t>Gain (Loss) On Sale Of Invest.</t>
  </si>
  <si>
    <t>Gain (Loss) On Sale Of Assets</t>
  </si>
  <si>
    <t>EBT Incl Unusual Items</t>
  </si>
  <si>
    <t>Income Tax Expense</t>
  </si>
  <si>
    <t>Earnings from Cont. Ops.</t>
  </si>
  <si>
    <t>Earnings of Discontinued Ops.</t>
  </si>
  <si>
    <t>Extraord. Item &amp; Account. Change</t>
  </si>
  <si>
    <t>Pref. Dividends and Other Adj.</t>
  </si>
  <si>
    <t>NI to Common Incl Extra Items</t>
  </si>
  <si>
    <t>NI to Common Excl Extra Items</t>
  </si>
  <si>
    <t>Basic EPS</t>
  </si>
  <si>
    <t>Basic EPS Excl. Extra Items</t>
  </si>
  <si>
    <t>Weighted Avg. Basic Shares Out.</t>
  </si>
  <si>
    <t>Diluted EPS</t>
  </si>
  <si>
    <t>Diluted EPS Excl Extra Items</t>
  </si>
  <si>
    <t>Weighted Avg. Diluted Shares Out.</t>
  </si>
  <si>
    <t>EBITDA</t>
  </si>
  <si>
    <t>Cash And Equivalents</t>
  </si>
  <si>
    <t>Short Term Investments</t>
  </si>
  <si>
    <t>Total Cash &amp; ST Investments</t>
  </si>
  <si>
    <t>Notes Receivable</t>
  </si>
  <si>
    <t>Total Receivables</t>
  </si>
  <si>
    <t>Inventory</t>
  </si>
  <si>
    <t>Prepaid Exp.</t>
  </si>
  <si>
    <t>Gross Property, Plant &amp; Equipment</t>
  </si>
  <si>
    <t>Accumulated Depreciation</t>
  </si>
  <si>
    <t>Net Property, Plant &amp; Equipment</t>
  </si>
  <si>
    <t>Other Intangibles</t>
  </si>
  <si>
    <t>Accrued Exp.</t>
  </si>
  <si>
    <t>Total Current Liabilities</t>
  </si>
  <si>
    <t>Retained Earnings</t>
  </si>
  <si>
    <t>Total Common Equity</t>
  </si>
  <si>
    <t>Total Liabilities And Equity</t>
  </si>
  <si>
    <t>Book Value/Share</t>
  </si>
  <si>
    <t>Net Debt</t>
  </si>
  <si>
    <t>Cash from Ops.</t>
  </si>
  <si>
    <t>Capital Expenditure</t>
  </si>
  <si>
    <t>Sale of Property, Plant, and Equipment</t>
  </si>
  <si>
    <t>Cash Acquisitions</t>
  </si>
  <si>
    <t>Divestitures</t>
  </si>
  <si>
    <t>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</si>
  <si>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</si>
  <si>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</si>
  <si>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</si>
  <si>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</si>
  <si>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</si>
  <si>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</si>
  <si>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Issuance of Common Stock</t>
  </si>
  <si>
    <t>Repurchase of Common</t>
  </si>
  <si>
    <t>Issuance of Pref. Stock</t>
  </si>
  <si>
    <t>Repurchase of Preferred</t>
  </si>
  <si>
    <t>Total Dividends Paid</t>
  </si>
  <si>
    <t>Cash from Financing</t>
  </si>
  <si>
    <t>Net Change in Cash</t>
  </si>
  <si>
    <t>Net Debt Issued</t>
  </si>
  <si>
    <t>Other Revenues</t>
  </si>
  <si>
    <t>Cost Of Goods Sold</t>
  </si>
  <si>
    <t>Selling General &amp; Admin Exp.</t>
  </si>
  <si>
    <t>Depreciation &amp; Amort.</t>
  </si>
  <si>
    <t>Other Non-Operating Inc. (Exp.)</t>
  </si>
  <si>
    <t>Merger &amp; Related Restruct. Charges</t>
  </si>
  <si>
    <t>Other Unusual Items</t>
  </si>
  <si>
    <t>Deferred Tax Assets, Curr.</t>
  </si>
  <si>
    <t>Other Current Assets</t>
  </si>
  <si>
    <t>Loans Receivable Long-Term</t>
  </si>
  <si>
    <t>Deferred Tax Assets, LT</t>
  </si>
  <si>
    <t>Other Long-Term Assets</t>
  </si>
  <si>
    <t>Unearned Revenue, Current</t>
  </si>
  <si>
    <t>Other Current Liabilities</t>
  </si>
  <si>
    <t>Def. Tax Liability, Non-Curr.</t>
  </si>
  <si>
    <t>Other Non-Current Liabilities</t>
  </si>
  <si>
    <t>Additional Paid In Capital</t>
  </si>
  <si>
    <t>Comprehensive Inc. and Other</t>
  </si>
  <si>
    <t>Amort. of Goodwill and Intangibles</t>
  </si>
  <si>
    <t>(Gain) Loss On Sale Of Invest.</t>
  </si>
  <si>
    <t>Tax Benefit from Stock Options</t>
  </si>
  <si>
    <t>Change in Acc. Receivable</t>
  </si>
  <si>
    <t>Change In Inventories</t>
  </si>
  <si>
    <t>Change in Acc. Payable</t>
  </si>
  <si>
    <t>Change in Unearned Rev.</t>
  </si>
  <si>
    <t>Change in Def. Taxes</t>
  </si>
  <si>
    <t>Net (Inc.) Dec. in Loans Originated/Sold</t>
  </si>
  <si>
    <t>Other Investing Activities</t>
  </si>
  <si>
    <t>Common Dividends Paid</t>
  </si>
  <si>
    <t>Pref. Dividends Paid</t>
  </si>
  <si>
    <t>Common and/or Pref. Dividends Paid</t>
  </si>
  <si>
    <t>Special Dividend Paid</t>
  </si>
  <si>
    <t>Other Financing Activities</t>
  </si>
  <si>
    <t>Foreign Exchange Rate Adj.</t>
  </si>
  <si>
    <t>Finance Div. Revenues</t>
  </si>
  <si>
    <t>Insurance Div. Revenues</t>
  </si>
  <si>
    <t>Interest And Invest. Income (Rev)</t>
  </si>
  <si>
    <t>Finance Div. Operating Exp.</t>
  </si>
  <si>
    <t>Insurance Div. Operating Exp.</t>
  </si>
  <si>
    <t>Interest Expense - Finance Division</t>
  </si>
  <si>
    <t>Income / (Loss) from Affiliates</t>
  </si>
  <si>
    <t>Currency Exchange Gains (Loss)</t>
  </si>
  <si>
    <t>Restructuring Charges</t>
  </si>
  <si>
    <t>Asset Writedown</t>
  </si>
  <si>
    <t>Insurance Settlements</t>
  </si>
  <si>
    <t>Legal Settlements</t>
  </si>
  <si>
    <t>Minority Int. in Earnings</t>
  </si>
  <si>
    <t>Trading Asset Securities</t>
  </si>
  <si>
    <t>Other Receivables</t>
  </si>
  <si>
    <t>Finance Div. Loans and Leases, ST</t>
  </si>
  <si>
    <t>Finance Div. Other Curr. Assets</t>
  </si>
  <si>
    <t>Loans Held For Sale</t>
  </si>
  <si>
    <t>Restricted Cash</t>
  </si>
  <si>
    <t>Long-term Investments</t>
  </si>
  <si>
    <t>Finance Div. Loans and Leases, LT</t>
  </si>
  <si>
    <t>Finance Div. Other LT Assets</t>
  </si>
  <si>
    <t>Accounts Receivable Long-Term</t>
  </si>
  <si>
    <t>Deferred Charges, LT</t>
  </si>
  <si>
    <t>Short-term Borrowings</t>
  </si>
  <si>
    <t>Current Portion of Long Term Debt</t>
  </si>
  <si>
    <t>Finance Div. Debt Current</t>
  </si>
  <si>
    <t>Finance Div. Other Curr. Liab.</t>
  </si>
  <si>
    <t>Curr. Income Taxes Payable</t>
  </si>
  <si>
    <t>Def. Tax Liability, Curr.</t>
  </si>
  <si>
    <t>Long-Term Debt</t>
  </si>
  <si>
    <t>Minority Interest</t>
  </si>
  <si>
    <t>Finance Div. Debt Non-Curr.</t>
  </si>
  <si>
    <t>Finance Div. Other Non-Curr. Liab.</t>
  </si>
  <si>
    <t>Unearned Revenue, Non-Current</t>
  </si>
  <si>
    <t>Pension &amp; Other Post-Retire. Benefits</t>
  </si>
  <si>
    <t>Pref. Stock, Redeemable</t>
  </si>
  <si>
    <t>Pref. Stock, Non-Redeem.</t>
  </si>
  <si>
    <t>Pref. Stock, Convertible</t>
  </si>
  <si>
    <t>Pref. Stock, Other</t>
  </si>
  <si>
    <t>Impair. of Oil, Gas &amp; Mineral Prop.</t>
  </si>
  <si>
    <t>(Gain) Loss From Sale Of Asset</t>
  </si>
  <si>
    <t>Asset Writedown &amp; Restructuring Costs</t>
  </si>
  <si>
    <t>Net (Increase) Decrease in Loans Orig./Sold</t>
  </si>
  <si>
    <t>Provision for Credit Losses</t>
  </si>
  <si>
    <t>(Income) Loss on Equity Invest.</t>
  </si>
  <si>
    <t>Stock-Based Compensation</t>
  </si>
  <si>
    <t>Provision &amp; Write-off of Bad debts</t>
  </si>
  <si>
    <t>Net Cash From Discontinued Ops.</t>
  </si>
  <si>
    <t>Other Operating Activities</t>
  </si>
  <si>
    <t>Change in Trad. Asset Securities</t>
  </si>
  <si>
    <t>Change in Inc. Taxes</t>
  </si>
  <si>
    <t>Exploration/Drilling Costs</t>
  </si>
  <si>
    <t>Provision for Bad Debts</t>
  </si>
  <si>
    <t>Pre-Opening Costs</t>
  </si>
  <si>
    <t>Misc. Cash Flow Adj.</t>
  </si>
  <si>
    <t>Net Income per SFAS 123 (after Options)</t>
  </si>
  <si>
    <t>Ticker</t>
  </si>
  <si>
    <t>As-Reported Total Revenue</t>
  </si>
  <si>
    <t>Filing Date</t>
  </si>
  <si>
    <t>Tangible Book Value/Share</t>
  </si>
  <si>
    <t>Total Capitalization</t>
  </si>
  <si>
    <t>LIFO Reserve</t>
  </si>
  <si>
    <t>Raw Materials Inventory</t>
  </si>
  <si>
    <t>Work in Progress Inventory</t>
  </si>
  <si>
    <t>Finished Goods Inventory</t>
  </si>
  <si>
    <t>Other Inventory Accounts</t>
  </si>
  <si>
    <t>Land</t>
  </si>
  <si>
    <t>Buildings</t>
  </si>
  <si>
    <t>Machinery</t>
  </si>
  <si>
    <t>Return on Assets (%)</t>
  </si>
  <si>
    <t>Return on Capital (%)</t>
  </si>
  <si>
    <t>Return on Equity (%)</t>
  </si>
  <si>
    <t>Gross Margin (%)</t>
  </si>
  <si>
    <t>EBITDA Margin (%)</t>
  </si>
  <si>
    <t>EBIT Margin (%)</t>
  </si>
  <si>
    <t>Net Income Margin (%)</t>
  </si>
  <si>
    <t>Total Asset Turnover</t>
  </si>
  <si>
    <t>Fixed Asset Turnover</t>
  </si>
  <si>
    <t>Accounts Receivable Turnover</t>
  </si>
  <si>
    <t>Inventory Turnover</t>
  </si>
  <si>
    <t>Current Ratio</t>
  </si>
  <si>
    <t>Quick Ratio</t>
  </si>
  <si>
    <t>Avg. Cash Conversion Cycle</t>
  </si>
  <si>
    <t>EBIT / Interest Expense</t>
  </si>
  <si>
    <t>Total Debt / EBITDA</t>
  </si>
  <si>
    <t>Net Debt / EBITDA</t>
  </si>
  <si>
    <t>Altman Z Score</t>
  </si>
  <si>
    <t>EBITDA / Interest Expense</t>
  </si>
  <si>
    <t>(EBITDA-CAPEX) / Interest Expense</t>
  </si>
  <si>
    <t>Avg. Days Sales Outstanding</t>
  </si>
  <si>
    <t>Avg. Days Inventory Outstanding</t>
  </si>
  <si>
    <t>Avg. Days Payable Outstanding</t>
  </si>
  <si>
    <t>Cash from Operations to Currrent Liabilities</t>
  </si>
  <si>
    <t>Total Debt / Equity (%)</t>
  </si>
  <si>
    <t>Total Debt / Capital (%)</t>
  </si>
  <si>
    <t>LT Debt / Equity (%)</t>
  </si>
  <si>
    <t>LT Debt / Capital (%)</t>
  </si>
  <si>
    <t>Total Liabilities / Total Assets (%)</t>
  </si>
  <si>
    <t>Stock Price</t>
  </si>
  <si>
    <t>Name</t>
  </si>
  <si>
    <t>FYE</t>
  </si>
  <si>
    <t>52W High</t>
  </si>
  <si>
    <t>52W Low</t>
  </si>
  <si>
    <t>Shares Out</t>
  </si>
  <si>
    <t>Market Cap</t>
  </si>
  <si>
    <t>Cash</t>
  </si>
  <si>
    <t>Pref. Stock</t>
  </si>
  <si>
    <t>Minority Int.</t>
  </si>
  <si>
    <t>LTM</t>
  </si>
  <si>
    <t>Total Assets</t>
  </si>
  <si>
    <t>TEV / Total Revenue</t>
  </si>
  <si>
    <t>TEV / EBITDA</t>
  </si>
  <si>
    <t>TEV / EBIT</t>
  </si>
  <si>
    <t>P/E</t>
  </si>
  <si>
    <t>P/BV</t>
  </si>
  <si>
    <t>P/Tangible BV</t>
  </si>
  <si>
    <t>Value</t>
  </si>
  <si>
    <t>TEV</t>
  </si>
  <si>
    <t>Gain/(Loss) on Sale Of Assets (Rev)</t>
  </si>
  <si>
    <t>Gain/(Loss) on Sale Of Invest.(Rev)</t>
  </si>
  <si>
    <t>In Process R &amp; D Exp.</t>
  </si>
  <si>
    <t>Sale/(Purchase) of Real Estate Properties</t>
  </si>
  <si>
    <t>Sale/(Purchase) of Intangible Assets</t>
  </si>
  <si>
    <t>Invest. in Marketable &amp; Equity Sec.</t>
  </si>
  <si>
    <t>Effective Tax Rate (%)</t>
  </si>
  <si>
    <t>Payout Ratio (%)</t>
  </si>
  <si>
    <t>Tangible Book Value</t>
  </si>
  <si>
    <t>Total Shares Out. on Balance Sheet Date</t>
  </si>
  <si>
    <t>EBITDA (Incl. Equity Inc. from Affiliates)</t>
  </si>
  <si>
    <t>EBITDA (Excl. SBC and Incl. Equity Inc. from Affiliates)</t>
  </si>
  <si>
    <t>EBITDA (Excl. SBC)</t>
  </si>
  <si>
    <t>EBIT (Incl. Equity Inc. from Affiliates)</t>
  </si>
  <si>
    <t>EBIT (Excl. SBC and Incl. Equity Inc. from Affiliates)</t>
  </si>
  <si>
    <t>EBIT (Excl. SBC)</t>
  </si>
  <si>
    <t>EBITA (Incl. Equity Inc. from Affiliates)</t>
  </si>
  <si>
    <t>EBITA (Excl. SBC and Incl. Equity Inc. from Affiliates)</t>
  </si>
  <si>
    <t>EBITA (Excl. SBC)</t>
  </si>
  <si>
    <t>EBITDAR (Incl. Equity Inc. from Affiliates)</t>
  </si>
  <si>
    <t>EBITDAR (Excl. SBC and Incl. Equity Inc. from Affiliates)</t>
  </si>
  <si>
    <t>EBITDAR (Excl. SBC)</t>
  </si>
  <si>
    <t>Restr. Stock Comp. Exp., Before Tax</t>
  </si>
  <si>
    <t>Restr. Stock Comp. Exp. Tax Effect</t>
  </si>
  <si>
    <t>Restr. Stock Comp. Exp., After Tax</t>
  </si>
  <si>
    <t>Stock Options Comp. Exp., Before Tax</t>
  </si>
  <si>
    <t>Stock Options Comp. Exp. Tax Effect</t>
  </si>
  <si>
    <t>Stock Options Comp. Exp., After Tax</t>
  </si>
  <si>
    <t>Stock Based Comp. Exp., Before Tax</t>
  </si>
  <si>
    <t>Stock Based Comp. Exp. Tax Effect</t>
  </si>
  <si>
    <t>Stock Based Comp. Exp., After Tax</t>
  </si>
  <si>
    <t>EBIT</t>
  </si>
  <si>
    <t>EBITA</t>
  </si>
  <si>
    <t>EBITDAR</t>
  </si>
  <si>
    <t>Interest Capitalized</t>
  </si>
  <si>
    <t>Normalized Basic EPS</t>
  </si>
  <si>
    <t>Normalized Diluted EPS</t>
  </si>
  <si>
    <t>Distributable Cash per Share</t>
  </si>
  <si>
    <t>Revenues per Share</t>
  </si>
  <si>
    <t>Special Dividend per Share</t>
  </si>
  <si>
    <t>Dividends per Share</t>
  </si>
  <si>
    <t>Period Length in Months</t>
  </si>
  <si>
    <t>Same Store Sales Growth</t>
  </si>
  <si>
    <t>Current Domestic Taxes</t>
  </si>
  <si>
    <t>Current Foreign Taxes</t>
  </si>
  <si>
    <t>Deferred Domestic Taxes</t>
  </si>
  <si>
    <t>Deferred Foreign Taxes</t>
  </si>
  <si>
    <t>Normalized Net Income</t>
  </si>
  <si>
    <t>Interest On Long Term Debt</t>
  </si>
  <si>
    <t>Non-Cash Pension Expense</t>
  </si>
  <si>
    <t>D&amp;A For EBITDA</t>
  </si>
  <si>
    <t>Distributable Cash</t>
  </si>
  <si>
    <t>Interest Expense (Incl. Cap. Interest)</t>
  </si>
  <si>
    <t>Common Stock Dividend Declared</t>
  </si>
  <si>
    <t>Marketing Expense</t>
  </si>
  <si>
    <t>Selling And Marketing Expense</t>
  </si>
  <si>
    <t>General and Administrative Expense</t>
  </si>
  <si>
    <t>Maintenance &amp; Repair Expenses</t>
  </si>
  <si>
    <t>Imputed Oper. Lease Interest Exp</t>
  </si>
  <si>
    <t>Imputed Oper. Lease Depreciation</t>
  </si>
  <si>
    <t>Stock-Based Comp., COGS</t>
  </si>
  <si>
    <t>Stock-Based Comp., R&amp;D Exp</t>
  </si>
  <si>
    <t>Stock-Based Comp., S&amp;M Exp</t>
  </si>
  <si>
    <t>Stock-Based Comp., G&amp;A Exp</t>
  </si>
  <si>
    <t>Stock-Based Comp., SG&amp;A Exp</t>
  </si>
  <si>
    <t>Stock-Based Comp., Unallocated</t>
  </si>
  <si>
    <t>Stock-Based Comp., After-Tax</t>
  </si>
  <si>
    <t>Stock-Based Comp., Total</t>
  </si>
  <si>
    <t>Annualized Distributions per Unit</t>
  </si>
  <si>
    <t>Restatement Type</t>
  </si>
  <si>
    <t>Calculation Type</t>
  </si>
  <si>
    <t>Filing Currency</t>
  </si>
  <si>
    <t>Diluted Net Income</t>
  </si>
  <si>
    <t>Depreciation (From Notes)</t>
  </si>
  <si>
    <t>Change in Net Working Capital</t>
  </si>
  <si>
    <t>Maintenance CAPEX</t>
  </si>
  <si>
    <t>Cash per Share</t>
  </si>
  <si>
    <t>Working Capital</t>
  </si>
  <si>
    <t>Net Working Capital</t>
  </si>
  <si>
    <t>Equity Method Investments</t>
  </si>
  <si>
    <t>Inventory Method</t>
  </si>
  <si>
    <t>Full Time Employees</t>
  </si>
  <si>
    <t>Part Time Employees</t>
  </si>
  <si>
    <t>Total Employees</t>
  </si>
  <si>
    <t>Finance Division Long-term Debt, Total</t>
  </si>
  <si>
    <t>Finance Division Short-term Debt, Total</t>
  </si>
  <si>
    <t>Cost of Borrowing</t>
  </si>
  <si>
    <t>Total Debt (Excl.Fin.Div.Debt)</t>
  </si>
  <si>
    <t>Order Backlog</t>
  </si>
  <si>
    <t>Distributable Cash Payout Ratio (Income Trusts)</t>
  </si>
  <si>
    <t>Advertising Expense</t>
  </si>
  <si>
    <t>Accumulated Allowance for Doubtful Accounts</t>
  </si>
  <si>
    <t>Minority Interest, Total</t>
  </si>
  <si>
    <t>R&amp;D Expense (Foot Note)</t>
  </si>
  <si>
    <t>Change In Other Net Operating Assets</t>
  </si>
  <si>
    <t>Avg Employees</t>
  </si>
  <si>
    <t>Temporary/Seasonal Employees</t>
  </si>
  <si>
    <t>Excise Taxes Excluded from Sales</t>
  </si>
  <si>
    <t>Excise Taxes Included in Sales</t>
  </si>
  <si>
    <t>Finance Division Debt, Total</t>
  </si>
  <si>
    <t>Financial Accounting Standard</t>
  </si>
  <si>
    <t>Total Debt Current</t>
  </si>
  <si>
    <t>Restricted Cash (Non-Current)</t>
  </si>
  <si>
    <t>Finance Division Cash and Equivalents</t>
  </si>
  <si>
    <t>Finance Division Short-Term Investments</t>
  </si>
  <si>
    <t>Cash Interest Paid - Operating Activities</t>
  </si>
  <si>
    <t>Cash Interest Paid - Investing Activities</t>
  </si>
  <si>
    <t>Cash Interest Paid - Financing Activities</t>
  </si>
  <si>
    <t>Cash Taxes Paid - Operating Activities</t>
  </si>
  <si>
    <t>Cash Taxes Paid - Investing Activities</t>
  </si>
  <si>
    <t>Cash Taxes Paid - Financing Activities</t>
  </si>
  <si>
    <t>USD</t>
  </si>
  <si>
    <t>Deferred Income Taxes, Total</t>
  </si>
  <si>
    <t>Distributable Cash Shares (Basic)</t>
  </si>
  <si>
    <t>Distributable Cash Shares (Diluted)</t>
  </si>
  <si>
    <t>Distributable Cash per Share (Diluted)</t>
  </si>
  <si>
    <t>Salaries and Other Employee Benefits</t>
  </si>
  <si>
    <t>Stock-Based Comp., Exploration/Drilling Exp.</t>
  </si>
  <si>
    <t>Employees Under Union Contracts</t>
  </si>
  <si>
    <t>Contingent Liabilities</t>
  </si>
  <si>
    <t>Liquidation Value of Preferred Stock - Convertible</t>
  </si>
  <si>
    <t>Liquidation Value of Preferred Stock - Non-Redeemable</t>
  </si>
  <si>
    <t>Liquidation Value of Preferred Stock - Redeemable</t>
  </si>
  <si>
    <t>Level 1 Assets - Quoted Prices</t>
  </si>
  <si>
    <t>Netting and Other Adj. to Assets</t>
  </si>
  <si>
    <t>Fair Value of Assets</t>
  </si>
  <si>
    <t>Level 1 Liabilities - Quoted Prices</t>
  </si>
  <si>
    <t>Netting and Other Adj. to Liabilities</t>
  </si>
  <si>
    <t>Fair Value of Liabilities</t>
  </si>
  <si>
    <t>Fair Value Change Included in Earnings</t>
  </si>
  <si>
    <t>Exploration/Drilling Exp.</t>
  </si>
  <si>
    <t>Debt Issuance Costs</t>
  </si>
  <si>
    <t>Period Date</t>
  </si>
  <si>
    <t>Cash Interest Paid Net of Interest Received</t>
  </si>
  <si>
    <t>Unusual Items, Total (Supple)</t>
  </si>
  <si>
    <t>Restructuring Charges (Supple)</t>
  </si>
  <si>
    <t>Merger &amp; Related Restruct. Charges (Supple)</t>
  </si>
  <si>
    <t>Impairment of Goodwill (Supple)</t>
  </si>
  <si>
    <t>Asset Writedown, Total (Supple)</t>
  </si>
  <si>
    <t>In Process R &amp; D Exp. (Supple)</t>
  </si>
  <si>
    <t>Insurance Settlements (Supple)</t>
  </si>
  <si>
    <t>Legal Settlements (Supple)</t>
  </si>
  <si>
    <t>Other Unusual Items (Supple)</t>
  </si>
  <si>
    <t>Total Shares Out. on Filing Date</t>
  </si>
  <si>
    <t>Level 2 Assets - Observable Prices</t>
  </si>
  <si>
    <t>Level 3 Assets - Unobservable Prices</t>
  </si>
  <si>
    <t>Level 2 Liabilities - Observable Prices</t>
  </si>
  <si>
    <t>Level 3 Liabilities - Unobservable Prices</t>
  </si>
  <si>
    <t>Other Amortization</t>
  </si>
  <si>
    <t>Return on Common Equity (%)</t>
  </si>
  <si>
    <t>Total Debt / (EBITDA-CAPEX)</t>
  </si>
  <si>
    <t>Net Debt / (EBITDA-CAPEX)</t>
  </si>
  <si>
    <t>Total Revenues/ Employee</t>
  </si>
  <si>
    <t>Shares per Depository Receipt</t>
  </si>
  <si>
    <t>EBITDA - CAPEX</t>
  </si>
  <si>
    <t>Tangible Book Value Per Share (Reported)</t>
  </si>
  <si>
    <t>Total Current Taxes</t>
  </si>
  <si>
    <t>Total Deferred Taxes</t>
  </si>
  <si>
    <t>Capex as % of Revenues</t>
  </si>
  <si>
    <t>Total Intangibles</t>
  </si>
  <si>
    <t>Standardized Distributable Cash</t>
  </si>
  <si>
    <t>Construction in Progress</t>
  </si>
  <si>
    <t>Leasehold Improvements</t>
  </si>
  <si>
    <t>Amortization of Debt Issuance Costs</t>
  </si>
  <si>
    <t>Amortization of Software Assets</t>
  </si>
  <si>
    <t>Deferred Tax Valuation Allowance</t>
  </si>
  <si>
    <t>Interest Income</t>
  </si>
  <si>
    <t>Warranty Liabilities</t>
  </si>
  <si>
    <t>Investment Income</t>
  </si>
  <si>
    <t>Depreciation on Right of Use Assets</t>
  </si>
  <si>
    <t>Operating Lease Payments</t>
  </si>
  <si>
    <t>Change in Operating Lease Liabilities</t>
  </si>
  <si>
    <t>Change in Operating Lease Liabilities Non-Cash</t>
  </si>
  <si>
    <t>Right-of-Use Asset-Gross</t>
  </si>
  <si>
    <t>Right-of-Use Asset-Accumulated Depreciation</t>
  </si>
  <si>
    <t>Right-of-Use Asset-Net</t>
  </si>
  <si>
    <t>Right-of-Use Asset-Capital Lease-Gross</t>
  </si>
  <si>
    <t>Right-of-Use Asset-Capital Lease-Accumulated Depreciation</t>
  </si>
  <si>
    <t>Right-of-Use Asset-Capital Lease-Net</t>
  </si>
  <si>
    <t>Right-of-Use Asset-Operating Lease-Gross</t>
  </si>
  <si>
    <t>Right-of-Use Asset-Operating Lease-Accumulated Depreciation</t>
  </si>
  <si>
    <t>Right-of-Use Asset-Operating Lease-Net</t>
  </si>
  <si>
    <t>Non-Recurring Income Taxes</t>
  </si>
  <si>
    <t>Interest Expenses On Lease Liability/Debt</t>
  </si>
  <si>
    <t>EBITDA, Lease Adjusted</t>
  </si>
  <si>
    <t>Lease Adjustment for EBITDA</t>
  </si>
  <si>
    <t>EBITDA (Incl. Equity Inc. from Affiliates, Excl. Op. Lease Adj.)</t>
  </si>
  <si>
    <t>As Reported EBITDA</t>
  </si>
  <si>
    <t>Gain on Bargain Acquisition</t>
  </si>
  <si>
    <t>Gain on Bargain Acquisition  - Supple</t>
  </si>
  <si>
    <t>Depreciation &amp; Amortization - CF, Excl. Operating Leases</t>
  </si>
  <si>
    <t>Depreciation &amp; Amort., Total, Excl. Operating Leases</t>
  </si>
  <si>
    <t>Long-Term Debt Repaid, Excl. Leases</t>
  </si>
  <si>
    <t>Total Debt Repaid, Excl. Leases</t>
  </si>
  <si>
    <t>Gain on Bargain Acquisition - (CF)</t>
  </si>
  <si>
    <t>Current Portion of Leases</t>
  </si>
  <si>
    <t>Long-Term Leases</t>
  </si>
  <si>
    <t>Gross PP&amp;E, Excl. Operating Leases</t>
  </si>
  <si>
    <t>Accumulated Depreciation, Excl. Operating Leases</t>
  </si>
  <si>
    <t>Net PP&amp;E, Excl. Operating Leases</t>
  </si>
  <si>
    <t>Finance Leases, Current</t>
  </si>
  <si>
    <t>Finance Leases, Long Term</t>
  </si>
  <si>
    <t>Total Finance Leases</t>
  </si>
  <si>
    <t>Current Portion of Operating Lease Liabilities</t>
  </si>
  <si>
    <t>Long-Term Portion of Operating Lease Liabilities</t>
  </si>
  <si>
    <t>Total Operating Leases</t>
  </si>
  <si>
    <t>Total Leases</t>
  </si>
  <si>
    <t>Current Financing Obligations, Excl. Operating Leases</t>
  </si>
  <si>
    <t>Non-Current Financing Obligations Excl. Operating Leases</t>
  </si>
  <si>
    <t>Total Debt, Excl. Operating Leases</t>
  </si>
  <si>
    <t>Total Debt, Excl. Leases</t>
  </si>
  <si>
    <t>Long Term Marketable Securities</t>
  </si>
  <si>
    <t>Advances for Supplies</t>
  </si>
  <si>
    <t>Goodwill and Intangibles (Net)</t>
  </si>
  <si>
    <t>Goodwill (Net)</t>
  </si>
  <si>
    <t>Intangibles (Net)</t>
  </si>
  <si>
    <t>Intercompany Non-Current Assets</t>
  </si>
  <si>
    <t>Intercompany Current Liabilities</t>
  </si>
  <si>
    <t>Intercompany Non-Current Liabilities</t>
  </si>
  <si>
    <t>EBITDA, Excl. Operating Leases/Interest Expense</t>
  </si>
  <si>
    <t>(EBITDA, Excl. Operating Leases-CAPEX)/Interest Exp.</t>
  </si>
  <si>
    <t>Total Debt / EBITDA, Excl. Operating Leases</t>
  </si>
  <si>
    <t>Net Debt/EBITDA, Excl. Operating Leases</t>
  </si>
  <si>
    <t>Total Debt/(EBITDA, Excl. Operating Leases - CAPEX)</t>
  </si>
  <si>
    <t>Net Debt/(EBITDA, Excl. Operating Leases - CAPEX)</t>
  </si>
  <si>
    <t>Natural Resources, at Cost</t>
  </si>
  <si>
    <t>Number Of ADR Holders</t>
  </si>
  <si>
    <t>Debt Equiv. of Unfunded Proj. Benefit Obligation</t>
  </si>
  <si>
    <t>Debt Equivalent Oper. Leases</t>
  </si>
  <si>
    <t>Total Restricted Cash</t>
  </si>
  <si>
    <t>Intercompany Current Assets</t>
  </si>
  <si>
    <t>Cash Dividend and Interest Received</t>
  </si>
  <si>
    <t>Levered Free Cash Flow</t>
  </si>
  <si>
    <t>Unlevered Free Cash Flow</t>
  </si>
  <si>
    <t>Total Liabilities</t>
  </si>
  <si>
    <t>Total Pref. Equity</t>
  </si>
  <si>
    <t>Total Non-Current Debt</t>
  </si>
  <si>
    <t>ticker</t>
  </si>
  <si>
    <t>% of 52W High</t>
  </si>
  <si>
    <t>% of 52W Low</t>
  </si>
  <si>
    <t>Total Revenue - FY</t>
  </si>
  <si>
    <t>Total Revenue - LTM</t>
  </si>
  <si>
    <t>Total Revenue - CY+1</t>
  </si>
  <si>
    <t>Total Revenue - CY+2</t>
  </si>
  <si>
    <t>EBITDA - FY</t>
  </si>
  <si>
    <t>EBITDA - LTM</t>
  </si>
  <si>
    <t>EBITDA - CY+1</t>
  </si>
  <si>
    <t>EBITDA - CY+2</t>
  </si>
  <si>
    <t>Diluted EPS - FY</t>
  </si>
  <si>
    <t>Diluted EPS - LTM</t>
  </si>
  <si>
    <t>Diluted EPS - CY+1</t>
  </si>
  <si>
    <t>Diluted EPS - CY+2</t>
  </si>
  <si>
    <t>TEV/Total Revenue - FY</t>
  </si>
  <si>
    <t>TEV/Total Revenue - LTM</t>
  </si>
  <si>
    <t>TEV/Total Revenue - CY+1</t>
  </si>
  <si>
    <t>TEV/Total Revenue - CY+2</t>
  </si>
  <si>
    <t>TEV/EBITDA - FY</t>
  </si>
  <si>
    <t>TEV/EBITDA - LTM</t>
  </si>
  <si>
    <t>TEV/EBITDA - CY+1</t>
  </si>
  <si>
    <t>TEV/EBITDA - CY+2</t>
  </si>
  <si>
    <t>PE - FY</t>
  </si>
  <si>
    <t>PE - LTM</t>
  </si>
  <si>
    <t>PE - CY+1</t>
  </si>
  <si>
    <t>PE - CY+2</t>
  </si>
  <si>
    <t>Price / - BV</t>
  </si>
  <si>
    <t>Price / - Tangible BV</t>
  </si>
  <si>
    <t>Gross Margin - FY-2</t>
  </si>
  <si>
    <t>Gross Margin - FY-1</t>
  </si>
  <si>
    <t>Gross Margin - FY</t>
  </si>
  <si>
    <t>Gross Margin - LTM</t>
  </si>
  <si>
    <t>Net Income Margin - FY-2</t>
  </si>
  <si>
    <t>Net Income Margin - FY-1</t>
  </si>
  <si>
    <t>Net Income Margin - FY</t>
  </si>
  <si>
    <t>Net Income Margin - LTM</t>
  </si>
  <si>
    <t>Total Revenue - 5-Yr CAGR</t>
  </si>
  <si>
    <t>Total Revenue - 3-Yr CAGR</t>
  </si>
  <si>
    <t>EBITDA - 5-Yr CAGR</t>
  </si>
  <si>
    <t>EBITDA - 3-Yr CAGR</t>
  </si>
  <si>
    <t>EPS - 5-Yr CAGR</t>
  </si>
  <si>
    <t>EPS - 3-Yr CAGR</t>
  </si>
  <si>
    <t>EPS - FY</t>
  </si>
  <si>
    <t>EPS - LTM</t>
  </si>
  <si>
    <t>Total Debt/LTM EBITDA</t>
  </si>
  <si>
    <t>Net Debt/LTM EBITDA</t>
  </si>
  <si>
    <t>(Debt+Pref)/LTM EBITDA</t>
  </si>
  <si>
    <t>EBITDA/Interest</t>
  </si>
  <si>
    <t>(EBITDA-Capex)/Interest</t>
  </si>
  <si>
    <t>Total Debt/Total Equity (%)</t>
  </si>
  <si>
    <t>Total Debt/Total Cap. (%)</t>
  </si>
  <si>
    <t>Total Debt/ROE</t>
  </si>
  <si>
    <t>Total Debt/ROA</t>
  </si>
  <si>
    <t>Total Debt/ROIC</t>
  </si>
  <si>
    <t>Avg. Days Sales Out.</t>
  </si>
  <si>
    <t>Avg. Days Inv. Out.</t>
  </si>
  <si>
    <t>Avg. Days Payable Out.</t>
  </si>
  <si>
    <t>Avg. Cash Conv. Cycle</t>
  </si>
  <si>
    <t>Avg. Total Assets</t>
  </si>
  <si>
    <t>Avg. Fixed Assets</t>
  </si>
  <si>
    <t>Avg. A/R</t>
  </si>
  <si>
    <t>Avg. Inventory</t>
  </si>
  <si>
    <t>H</t>
  </si>
  <si>
    <t>date_year</t>
  </si>
  <si>
    <t>2026</t>
  </si>
  <si>
    <t>date_month</t>
  </si>
  <si>
    <t>3</t>
  </si>
  <si>
    <t>date_day</t>
  </si>
  <si>
    <t>currency</t>
  </si>
  <si>
    <t>date</t>
  </si>
  <si>
    <t>conversion</t>
  </si>
  <si>
    <t>Total Revenue (%, yoy)</t>
  </si>
  <si>
    <t>Gross Profit (%, yoy)</t>
  </si>
  <si>
    <t>EBITDA (%, yoy)</t>
  </si>
  <si>
    <t>EBIT (%, yoy)</t>
  </si>
  <si>
    <t>Net Income (%, yoy)</t>
  </si>
  <si>
    <t>Diluted EPS before Extra (%, yoy)</t>
  </si>
  <si>
    <t>Total Revenue (%, CAGR-3Y)</t>
  </si>
  <si>
    <t>Gross Profit (%, CAGR-3Y)</t>
  </si>
  <si>
    <t>EBITDA (%, CAGR-3Y)</t>
  </si>
  <si>
    <t>EBIT (%, CAGR-3Y)</t>
  </si>
  <si>
    <t>Net Income (%, CAGR-3Y)</t>
  </si>
  <si>
    <t>Diluted EPS before Extra (%, CAGR-3Y)</t>
  </si>
  <si>
    <t>Total Revenue (%, CAGR-5Y)</t>
  </si>
  <si>
    <t>Gross Profit (%, CAGR-5Y)</t>
  </si>
  <si>
    <t>EBITDA (%, CAGR-5Y)</t>
  </si>
  <si>
    <t>EBIT (%, CAGR-5Y)</t>
  </si>
  <si>
    <t>Net Income (%, CAGR-5Y)</t>
  </si>
  <si>
    <t>Diluted EPS before Extra (%, CAGR-5Y)</t>
  </si>
  <si>
    <t>RatiosDate</t>
  </si>
  <si>
    <t>(User access restricted)</t>
  </si>
  <si>
    <t>Period</t>
  </si>
  <si>
    <t>NASDAQ:CALM</t>
  </si>
  <si>
    <t>29</t>
  </si>
  <si>
    <t>BAABTAVMT0NBTAFI/////wFQpyAAABdDSVEuLklRX0VCVF9FWENMLi4uLi4uSAUAAAAAAAAACAAAABQoSW52YWxpZCBJZGVudGlmaWVyKbjtQVZEjd4IhhYHfESN3ggZQ0lRLi5JUV9JTkNfRVFVSVRZLi4uLi4uSAUAAAAAAAAACAAAABQoSW52YWxpZCBJZGVudGlmaWVyKbjtQVZEjd4Ih2QHfESN3ggiQ0lRLi5JUV9JTlRFUkVTVF9JTlZFU1RfSU5DLi4uLi4uSAUAAAAAAAAACAAAABQoSW52YWxpZCBJZGVudGlmaWVyKbjtQVZEjd4IkcYHfESN3ggfQ0lRLi5JUV9UT1RBTF9PVEhFUl9PUEVSLi4uLi4uSAUAAAAAAAAACAAAABQoSW52YWxpZCBJZGVudGlmaWVyKbjtQVZEjd4IBRgIfESN3ggZQ0lRLi5JUV9JTVBBSVJfT0lMLi4uLi4uSAUAAAAAAAAACAAAABQoSW52YWxpZCBJZGVudGlmaWVyKV05NlZEjd4IOD8IfESN3ggeQ0lRLi5JUV9GSU5fRElWX0lOVF9FWFAuLi4uLi5IBQAAAAAAAAAIAAAAFChJbnZhbGlkIElkZW50aWZpZXIpuO1BVkSN3gg8oAl8RI3eCBhDSVEuLklRX1RPVEFMX1JFVi4uLi4uLkgFAAAAAAAAAAgAAAAUKEludmFsaWQgSWRlbnRpZmllcin/FEJWRI3eCFY8CnxEjd4IEkNJUS4uSVFfUkVWLi4uLi4uSAUAAAAAAAAACAAAABQoSW52YWxpZCBJZGVudGlmaWVyKbjtQVZEjd4IzToLfESN3gguQ0lRLi5JUV9ESVNUUklCVVRBQkxFX0NBU0hfU1RBTkRBUkRJWkVELi4uLi4uSAUA</t>
  </si>
  <si>
    <t>AAAAAAAACAAAABQoSW52YWxpZCBJZGVudGlmaWVyKWtfUFZEjd4IzWr7e0SN3gghQ0lRLi5JUV9JTlRFUkVTVF9JTkNPTUUuOTkwLi4uLi5IBQAAAAAAAAAIAAAAFChJbnZhbGlkIElkZW50aWZpZXIp0A/oVUSN3ghbDf57RI3eCBtDSVEuLklRX0VCSVRBX0VRX0lOQy4uLi4uLkgFAAAAAAAAAAgAAAAUKEludmFsaWQgSWRlbnRpZmllcin/FEJWRI3eCJNCAHxEjd4IIENJUS4uSVFfU1BFQ0lBTF9ESVZfU0hBUkUuLi4uLi5IBQAAAAAAAAAIAAAAFChJbnZhbGlkIElkZW50aWZpZXIpuO1BVkSN3girKwJ8RI3eCBxDSVEuLklRX05JX0FWQUlMX0lOQ0wuLi4uLi5IBQAAAAAAAAAIAAAAFChJbnZhbGlkIElkZW50aWZpZXIp/xRCVkSN3gggVgR8RI3eCBpDSVEuLklRX0dBSU5fQVNTRVRTLi4uLi4uSAUAAAAAAAAACAAAABQoSW52YWxpZCBJZGVudGlmaWVyKV05NlZEjd4IOWYGfESN3ggaQ0lRLi5JUV9JTlNfRElWX1JFVi4uLi4uLkgFAAAAAAAAAAgAAAAUKEludmFsaWQgSWRlbnRpZmllcim47UFWRI3eCGHsCnxEjd4IIUNJUS4uSVFfQ1VSUl9GT1JFSUdOX1RBWEVTLi4uLi4uSAUAAAAAAAAACAAAABQoSW52YWxpZCBJZGVudGlmaWVyKewjUFZEjd4INJj9e0SN3ggpQ0lRLi5JUV9ESVNUUklCVVRBQkxFX0NBU0hfU0hBUkVTX0JBU0lDLi4FAAAAAAAAAAgAAAAUKEludmFsaWQgSWRlbnRpZmllcimMNYhW</t>
  </si>
  <si>
    <t>RI3eCLjOAnxEjd4II0NJUS4uSVFfTUlOT1JJVFlfSU5URVJFU1RfSVMuLi4uLi5IBQAAAAAAAAAIAAAAFChJbnZhbGlkIElkZW50aWZpZXIpuO1BVkSN3ghP3wR8RI3eCCJDSVEuLklRX09USEVSX1VOVVNVQUxfU1VQUEwuLi4uLi5IBQAAAAAAAAAIAAAAFChJbnZhbGlkIElkZW50aWZpZXIpuO1BVkSN3gjvogV8RI3eCCdDSVEuLklRX09USEVSX05PTl9PUEVSX0VYUF9TVVBQTC4uLi4uLkgFAAAAAAAAAAgAAAAUKEludmFsaWQgSWRlbnRpZmllcildOTZWRI3eCII9B3xEjd4IHUNJUS4uSVFfR1dfSU5UQU5fQU1PUlQuLi4uLi5IBQAAAAAAAAAIAAAAFChJbnZhbGlkIElkZW50aWZpZXIpuO1BVkSN3ggfZgh8RI3eCBpDSVEuLklRX1NUT0NLX0JBU0VELi4uLi4uSAUAAAAAAAAACAAAABQoSW52YWxpZCBJZGVudGlmaWVyKf8UQlZEjd4IgAIJfESN3ggYQ0lRLi5JUV9TR0FfU1VQUEwuLi4uLi5IBQAAAAAAAAAIAAAAFChJbnZhbGlkIElkZW50aWZpZXIpuO1BVkSN3gjLdwl8RI3eCBpDSVEuLklRX0ZJTl9ESVZfRVhQLi4uLi4uSAUAAAAAAAAACAAAABQoSW52YWxpZCBJZGVudGlmaWVyKbjtQVZEjd4IY+4JfESN3ggcQ0lRLi5JUV9SRVNUQVRFTUVOVF9JUy4yMDAwLgUAAAAAAAAACAAAABQoSW52YWxpZCBJZGVudGlmaWVyKdAP6FVEjd4Io6X5e0SN3ggUQ0lRLi5JUV9TQU1FX1NUT1JFLi4FAAAAAAAA</t>
  </si>
  <si>
    <t>AAgAAAAUKEludmFsaWQgSWRlbnRpZmllcilrX1BWRI3eCPj1/ntEjd4IHUNJUS4uSVFfRUJJVERBUl9FUV9JTkMuLi4uLi5IBQAAAAAAAAAIAAAAFChJbnZhbGlkIElkZW50aWZpZXIpIDhQVkSN3ghFkv97RI3eCCRDSVEuLklRX0VCSVREQV9MRUFTRV9BREpVU1RFRC4uLi4uLkgFAAAAAAAAAAgAAAAUKEludmFsaWQgSWRlbnRpZmllcikgOFBWRI3eCDQtAXxEjd4IHUNJUS4uSVFfQkFTSUNfRVBTX0lOQ0wuLi4uLi5IBQAAAAAAAAAIAAAAFChJbnZhbGlkIElkZW50aWZpZXIpuO1BVkSN3ggPCAR8RI3eCBpDSVEuLklRX0dBSU5fSU5WRVNULi4uLi4uSAUAAAAAAAAACAAAABQoSW52YWxpZCBJZGVudGlmaWVyKbjtQVZEjd4IFXoGfESN3ggTQ0lRLi5JUV9FQklULi4uLi4uSAUAAAAAAAAACAAAABQoSW52YWxpZCBJZGVudGlmaWVyKSA4UFZEjd4II98AfESN3ggRQ0lRLi5JUV9ETy4uLi4uLkgFAAAAAAAAAAgAAAAUKEludmFsaWQgSWRlbnRpZmllcildOTZWRI3eCNotBXxEjd4IK0NJUS4uSVFfT1RIRVJfTk9OX09QRVJfRVhQX1NVUFBMLjIwMDAuLi4uLkgFAAAAAAAAAAgAAAAUKEludmFsaWQgSWRlbnRpZmllcinQD+hVRI3eCIYWB3xEjd4IHkNJUS4uSVFfR0FJTl9JTlZFU1RfUkVWLi4uLi4uSAUAAAAAAAAACAAAABQoSW52YWxpZCBJZGVudGlmaWVyKbjtQVZEjd4Im7EKfESN3ggcQ0lRLi5JUV9B</t>
  </si>
  <si>
    <t>SVJDUkFGVF9SRU5ULi4uLi4uSAUAAAAAAAAACAAAABQoSW52YWxpZCBJZGVudGlmaWVyKWtfUFZEjd4IEPf3e0SN3ggzQ0lRLi5JUV9ESVNUUklCVVRBQkxFX0NBU0hfUEVSX1NIQVJFX0RJTFVURUQuLi4uLi5IBQAAAAAAAAAIAAAAFChJbnZhbGlkIElkZW50aWZpZXIpuO1BVkSN3gjwHAN8RI3eCBlDSVEuLklRX0lOQ19UQVguOTkwLi4uLi5IBQAAAAAAAAAIAAAAFChJbnZhbGlkIElkZW50aWZpZXIp0A/oVUSN3gjhewV8RI3eCBVDSVEuLklRX01FUkdFUi4uLi4uLkgFAAAAAAAAAAgAAAAUKEludmFsaWQgSWRlbnRpZmllcin/FEJWRI3eCFLIBnxEjd4IFUNJUS4uSVFfUkRfRVhQLi4uLi4uSAUAAAAAAAAACAAAABQoSW52YWxpZCBJZGVudGlmaWVyKbjtQVZEjd4IU7QIfESN3ggTQ0lRLi5JUV9DT0dTLi4uLi4uSAUAAAAAAAAACAAAABQoSW52YWxpZCBJZGVudGlmaWVyKbjtQVZEjd4IRhUKfESN3ggjQ0lRLi5JUV9ERUZFUlJFRF9UQVhFU19UT1RBTC4uLi4uLkgFAAAAAAAAAAgAAAAUKEludmFsaWQgSWRlbnRpZmllcilrX1BWRI3eCOrn/HtEjd4IHkNJUS4uSVFfRUJJVERBX0VYQ0xfU0JDLi4uLi4uSAUAAAAAAAAACAAAABQoSW52YWxpZCBJZGVudGlmaWVyKbjtQVZEjd4IS1QBfESN3ggYQ0lRLi5JUV9ESVZfU0hBUkUuLi4uLi5IBQAAAAAAAAAIAAAAFChJbnZhbGlkIElkZW50aWZpZXIp/xRC</t>
  </si>
  <si>
    <t>VkSN3gjJpwJ8RI3eCCBDSVEuLklRX0RJTFVUX0VQU19JTkNMLjk5MC4uLi4uSAUAAAAAAAAACAAAABQoSW52YWxpZCBJZGVudGlmaWVyKdAP6FVEjd4I8MwDfESN3ggdQ0lRLi5JUV9HQUlOX0lOVkVTVC45OTAuLi4uLkgFAAAAAAAAAAgAAAAUKEludmFsaWQgSWRlbnRpZmllcinQD+hVRI3eCBV6BnxEjd4IG0NJUS4uSVFfREFfU1VQUEwuMjAwMC4uLi4uSAUAAAAAAAAACAAAABQoSW52YWxpZCBJZGVudGlmaWVyKdAP6FVEjd4IH2YIfESN3ggbQ0lRLi5JUV9FQklUREFfQ0FQRVguLi4uLi5IBQAAAAAAAAAIAAAAFChJbnZhbGlkIElkZW50aWZpZXIp7CNQVkSN3gg4RP97RI3eCBlDSVEuLklRX1BFUklPRExFTkdUSF9JUy4uBQAAAAAAAAAIAAAAFChJbnZhbGlkIElkZW50aWZpZXIp/xRCVkSN3giN3QF8RI3eCBFDSVEuLklRX05JLi4uLi4uSAUAAAAAAAAACAAAABQoSW52YWxpZCBJZGVudGlmaWVyKf8UQlZEjd4IQ6QEfESN3ggdQ0lRLi5JUV9JTlNfU0VUVExFLjIwMDAuLi4uLkgFAAAAAAAAAAgAAAAUKEludmFsaWQgSWRlbnRpZmllcinQD+hVRI3eCP7JBXxEjd4IH0NJUS4uSVFfTkVUX0lOVEVSRVNUX0VYUC4uLi4uLkgFAAAAAAAAAAgAAAAUKEludmFsaWQgSWRlbnRpZmllcildOTZWRI3eCFafB3xEjd4IGUNJUS4uSVFfT1RIRVJfT1BFUi4uLi4uLkgFAAAAAAAAAAgAAAAUKEludmFsaWQgSWRl</t>
  </si>
  <si>
    <t>bnRpZmllcim47UFWRI3eCDg/CHxEjd4IGkNJUS4uSVFfSU5TX0RJVl9FWFAuLi4uLi5IBQAAAAAAAAAIAAAAFChJbnZhbGlkIElkZW50aWZpZXIpXTk2VkSN3ggoxwl8RI3eCBpDSVEuLklRX0ZJTl9ESVZfUkVWLi4uLi4uSAUAAAAAAAAACAAAABQoSW52YWxpZCBJZGVudGlmaWVyKV05NlZEjd4IthMLfESN3ggZQ0lRLi5JUV9DT01NT05fRElWLi4uLi4uSAUAAAAAAAAACAAAABQoSW52YWxpZCBJZGVudGlmaWVyKYw1iFZEjd4ITaT6e0SN3ggSQ0lRLi5JUV9FQlQuLi4uLi5IBQAAAAAAAAAIAAAAFChJbnZhbGlkIElkZW50aWZpZXIp/xRCVkSN3gjvogV8RI3eCB9DSVEuLklRX0VCSVREQVJfRVhDTF9TQkMuLi4uLi5IBQAAAAAAAAAIAAAAFChJbnZhbGlkIElkZW50aWZpZXIpIDhQVkSN3gg4RP97RI3eCBxDSVEuLklRX0VCSVRfRVhDTF9TQkMuLi4uLi5IBQAAAAAAAAAIAAAAFChJbnZhbGlkIElkZW50aWZpZXIp/xRCVkSN3gj5aQB8RI3eCCdDSVEuLklRX0RJU1RSSUJVVEFCTEVfQ0FTSF9TSEFSRS4uLi4uLkgFAAAAAAAAAAgAAAAUKEludmFsaWQgSWRlbnRpZmllcin/FEJWRI3eCKsrAnxEjd4IHENJUS4uSVFfTklfQVZBSUxfRVhDTC4uLi4uLkgFAAAAAAAAAAgAAAAUKEludmFsaWQgSWRlbnRpZmllcim47UFWRI3eCB0vBHxEjd4IGUNJUS4uSVFfTklfQ09NUEFOWS4uLi4uLkgFAAAAAAAAAAgA</t>
  </si>
  <si>
    <t>AAAUKEludmFsaWQgSWRlbnRpZmllcim47UFWRI3eCKgGBXxEjd4IHENJUS4uSVFfSU1QQUlSTUVOVF9HVy4uLi4uLkgFAAAAAAAAAAgAAAAUKEludmFsaWQgSWRlbnRpZmllcim47UFWRI3eCE+hBnxEjd4IJENJUS4uSVFfTkVUX1JFTlRBTF9FWFBfU1VQUExFLi4uLi4uSAUAAAAAAAAACAAAABQoSW52YWxpZCBJZGVudGlmaWVyKYw1iFZEjd4IMoD4e0SN3gggQ0lRLi5JUV9FQklUQV9FWENMX1NCQy45OTAuLi4uLkgFAAAAAAAAAAgAAAAUKEludmFsaWQgSWRlbnRpZmllcinQD+hVRI3eCGPg/3tEjd4IF0NJUS4uSVFfRklMSU5HREFURV9JUy4uBQAAAAAAAAAIAAAAFChJbnZhbGlkIElkZW50aWZpZXIpXTk2VkSN3gi2BAJ8RI3eCCtDSVEuLklRX0RJU1RSSUJVVEFCTEVfQ0FTSF9TSEFSRVNfRElMVVRFRC4uBQAAAAAAAAAIAAAAFChJbnZhbGlkIElkZW50aWZpZXIpjDWIVkSN3gi4zgJ8RI3eCCFDSVEuLklRX0RJTFVUX0VQU19FWENMLjIwMDAuLi4uLkgFAAAAAAAAAAgAAAAUKEludmFsaWQgSWRlbnRpZmllcimsdJ5WRI3eCDD8EXxEjd4IIkNJUS4uSVFfRVhUUkFfQUNDX0lURU1TLjIwMDAuLi4uLkgFAAAAAAAAAAgAAAAUKEludmFsaWQgSWRlbnRpZmllcinQD+hVRI3eCE/fBHxEjd4IFUNJUS4uSVFfRUJULjk5MC4uLi4uSAUAAAAAAAAACAAAABQoSW52YWxpZCBJZGVudGlmaWVyKdAP6FVEjd4I</t>
  </si>
  <si>
    <t>4XsFfESN3ggeQ0lRLi5JUV9HQUlOX0FTU0VUUy4yMDAwLi4uLi5IBQAAAAAAAAAIAAAAFChJbnZhbGlkIElkZW50aWZpZXIp0A/oVUSN3ghMPwZ8RI3eCB1DSVEuLklRX1BST1ZfQkFEX0RFQlRTLi4uLi4uSAUAAAAAAAAACAAAABQoSW52YWxpZCBJZGVudGlmaWVyKbjtQVZEjd4IgikJfESN3ggeQ0lRLi5JUV9TVE9DS19CQVNFRC4yMDAwLi4uLi5IBQAAAAAAAAAIAAAAFChJbnZhbGlkIElkZW50aWZpZXIp0A/oVUSN3gh42wh8RI3eCBZDSVEuLklRX1JFVi4yMDAwLi4uLi5IBQAAAAAAAAAIAAAAFChJbnZhbGlkIElkZW50aWZpZXIp0A/oVUSN3gi2Ewt8RI3eCCNDSVEuLklRX1RPVEFMX1VOVVNVQUxfU1VQUExFLi4uLi4uSAUAAAAAAAAACAAAABQoSW52YWxpZCBJZGVudGlmaWVyKYw1iFZEjd4Ij3j1e0SN3ggaQ0lRLi5JUV9BRFZFUlRJU0lORy4uLi4uLkgFAAAAAAAAAAgAAAAUKEludmFsaWQgSWRlbnRpZmllcilrX1BWRI3eCHBX+XtEjd4IMkNJUS4uSVFfRElTVFJJQlVUQUJMRV9DQVNIX1NUQU5EQVJESVpFRC4yMDAwLi4uLi5IBQAAAAAAAAAIAAAAFChJbnZhbGlkIElkZW50aWZpZXIp0A/oVUSN3gi0Q/t7RI3eCBdDSVEuLklRX0RJTFVUX05JLi4uLi4uSAUAAAAAAAAACAAAABQoSW52YWxpZCBJZGVudGlmaWVyKf8UQlZEjd4Iq4X8e0SN3ggZQ0lRLi5JUV9DVVJSX1RBWEVTLi4uLi4uSAUA</t>
  </si>
  <si>
    <t>AAAAAAAACAAAABQoSW52YWxpZCBJZGVudGlmaWVyKWtfUFZEjd4I+Un9e0SN3ggaQ0lRLi5JUV9OSV9TRkFTLjIwMDAuLi4uLkgFAAAAAAAAAAgAAAAUKEludmFsaWQgSWRlbnRpZmllcinQD+hVRI3eCFsN/ntEjd4IGENJUS4uSVFfU0FNRV9TVE9SRS4yMDAwLgUAAAAAAAAACAAAABQoSW52YWxpZCBJZGVudGlmaWVyKdAP6FVEjd4I8cP+e0SN3ggfQ0lRLi5JUV9FQklUQV9FUV9JTkMuMjAwMC4uLi4uSAUAAAAAAAAACAAAABQoSW52YWxpZCBJZGVudGlmaWVyKdAP6FVEjd4IfgcAfESN3ggaQ0lRLi5JUV9FQklUX0VRX0lOQy4uLi4uLkgFAAAAAAAAAAgAAAAUKEludmFsaWQgSWRlbnRpZmllcimb/E9WRI3eCCS4AHxEjd4IJkNJUS4uSVFfTEVBU0VfQURKVVNUTUVOVF9FQklUREEuLi4uLi5IBQAAAAAAAAAIAAAAFChJbnZhbGlkIElkZW50aWZpZXIpIDhQVkSN3ggoBgF8RI3eCBxDSVEuLklRX0VCSVREQV9FUV9JTkMuLi4uLi5IBQAAAAAAAAAIAAAAFChJbnZhbGlkIElkZW50aWZpZXIpIDhQVkSN3giKogF8RI3eCB5DSVEuLklRX0RSX1JBVElPX1BSSU1BUlkuMjAwMC4FAAAAAAAAAAgAAAAUKEludmFsaWQgSWRlbnRpZmllcinQD+hVRI3eCFNZAnxEjd4ILkNJUS4uSVFfRElTVFJJQlVUQUJMRV9DQVNIX1NIQVJFU19ESUxVVEVELjk5MC4FAAAAAAAAAAgAAAAUKEludmFsaWQgSWRlbnRpZmllcim4</t>
  </si>
  <si>
    <t>7UFWRI3eCMmnAnxEjd4IF0NJUS4uSVFfRVBTX05PUk0uLi4uLi5IBQAAAAAAAAAIAAAAFChJbnZhbGlkIElkZW50aWZpZXIpuO1BVkSN3gjOVwN8RI3eCB1DSVEuLklRX0RJTFVUX0VQU19JTkNMLi4uLi4uSAUAAAAAAAAACAAAABQoSW52YWxpZCBJZGVudGlmaWVyKV05NlZEjd4IxaUDfESN3ggdQ0lRLi5JUV9CQVNJQ19FUFNfRVhDTC4uLi4uLkgFAAAAAAAAAAgAAAAUKEludmFsaWQgSWRlbnRpZmllcildOTZWRI3eCNHgA3xEjd4IHkNJUS4uSVFfRVhUUkFfQUNDX0lURU1TLi4uLi4uSAUAAAAAAAAACAAAABQoSW52YWxpZCBJZGVudGlmaWVyKf8UQlZEjd4IqAYFfESN3ggWQ0lRLi5JUV9JTkNfVEFYLi4uLi4uSAUAAAAAAAAACAAAABQoSW52YWxpZCBJZGVudGlmaWVyKV05NlZEjd4I4XsFfESN3ggXQ0lRLi5JUV9JUFJELjIwMDAuLi4uLkgFAAAAAAAAAAgAAAAUKEludmFsaWQgSWRlbnRpZmllcinQD+hVRI3eCCsYBnxEjd4IGkNJUS4uSVFfSVBSRF9TVVBQTEUuLi4uLi5IBQAAAAAAAAAIAAAAFChJbnZhbGlkIElkZW50aWZpZXIpjDWIVkSN3giig/Z7RI3eCCBDSVEuLklRX0VCSVREQVJfRVFfSU5DLjk5MC4uLi4uSAUAAAAAAAAACAAAABQoSW52YWxpZCBJZGVudGlmaWVyKdAP6FVEjd4IRZL/e0SN3ggaQ0lRLi5JUV9JTkNfVEFYLjIwMDAuLi4uLkgFAAAAAAAAAAgAAAAUKEludmFsaWQgSWRl</t>
  </si>
  <si>
    <t>bnRpZmllcinQD+hVRI3eCOpUBXxEjd4IGUNJUS4uSVFfTUVSR0VSLjIwMDAuLi4uLkgFAAAAAAAAAAgAAAAUKEludmFsaWQgSWRlbnRpZmllcincNuhVRI3eCE+hBnxEjd4IJkNJUS4uSVFfSU1QQUlSTUVOVF9HV19TVVBQTEUuOTkwLi4uLi5IBQAAAAAAAAAIAAAAFChJbnZhbGlkIElkZW50aWZpZXIp3DboVUSN3gim0fZ7RI3eCBRDSVEuLklRX0VCSVRBLi4uLi4uSAUAAAAAAAAACAAAABQoSW52YWxpZCBJZGVudGlmaWVyKZv8T1ZEjd4Ik0IAfESN3ggnQ0lRLi5JUV9NSU5PUklUWV9JTlRFUkVTVF9JUy4yMDAwLi4uLi5IBQAAAAAAAAAIAAAAFChJbnZhbGlkIElkZW50aWZpZXIp3DboVUSN3ghDpAR8RI3eCBtDSVEuLklRX0xFR0FMX1NFVFRMRS4uLi4uLkgFAAAAAAAAAAgAAAAUKEludmFsaWQgSWRlbnRpZmllcim47UFWRI3eCP7JBXxEjd4IHkNJUS4uSVFfT1RIRVJfUkVWX1NVUFBMLi4uLi4uSAUAAAAAAAAACAAAABQoSW52YWxpZCBJZGVudGlmaWVyKV05NlZEjd4IVjwKfESN3ggmQ0lRLi5JUV9TQUxBUklFU19PVEhFUl9CRU5FRklUUy4uLi4uLkgFAAAAAAAAAAgAAAAUKEludmFsaWQgSWRlbnRpZmllcikgOFBWRI3eCHQz93tEjd4IFkNJUS4uSVFfTklfU0ZBUy4uLi4uLkgFAAAAAAAAAAgAAAAUKEludmFsaWQgSWRlbnRpZmllcimb/E9WRI3eCCFh/ntEjd4IGENJUS4uSVFfRUJJVEEuMjAw</t>
  </si>
  <si>
    <t>MC4uLi4uSAUAAAAAAAAACAAAABQoSW52YWxpZCBJZGVudGlmaWVyKdw26FVEjd4Ik0IAfESN3ggiQ0lRLi5JUV9FQklUREFfRVhDTF9TQkMuMjAwMC4uLi4uSAUAAAAAAAAACAAAABQoSW52YWxpZCBJZGVudGlmaWVyKdw26FVEjd4INC0BfESN3ggaQ0lRLi5JUV9EUl9SQVRJT19QUklNQVJZLi4FAAAAAAAAAAgAAAAUKEludmFsaWQgSWRlbnRpZmllcim47UFWRI3eCJmAAnxEjd4IGkNJUS4uSVFfRVBTX05PUk0uOTkwLi4uLi5IBQAAAAAAAAAIAAAAFChJbnZhbGlkIElkZW50aWZpZXIp3DboVUSN3gjOVwN8RI3eCB1DSVEuLklRX1BSRUZfRElWX09USEVSLi4uLi4uSAUAAAAAAAAACAAAABQoSW52YWxpZCBJZGVudGlmaWVyKbjtQVZEjd4IIn0EfESN3ggTQ0lRLi5JUV9JUFJELi4uLi4uSAUAAAAAAAAACAAAABQoSW52YWxpZCBJZGVudGlmaWVyKbjtQVZEjd4IKxgGfESN3gg1Q0lRLi5JUV9QUk9WX0JBRF9ERUJUU19QQVRJRU5UX1NFUlZJQ0VfUkVWLjIwMDAuLi4uLkgFAAAAAAAAAAgAAAAUKEludmFsaWQgSWRlbnRpZmllcincNuhVRI3eCKZ1/ntEjd4IFkNJUS4uSVFfRElMVVRfV0VJR0hULi4FAAAAAAAAAAgAAAAUKEludmFsaWQgSWRlbnRpZmllcin/FEJWRI3eCIh+A3xEjd4IF0NJUS4uSVFfREFfU1VQUEwuLi4uLi5IBQAAAAAAAAAIAAAAFChJbnZhbGlkIElkZW50aWZpZXIpXTk2VkSN3ghD</t>
  </si>
  <si>
    <t>jQh8RI3eCB9DSVEuLklRX0lOVF9FWFBfSU5DTF9DQVAuLi4uLi5IBQAAAAAAAAAIAAAAFChJbnZhbGlkIElkZW50aWZpZXIpIDhQVkSN3ghw6ft7RI3eCBlDSVEuLklRX0VCSVREQVIuOTkwLi4uLi5IBQAAAAAAAAAIAAAAFChJbnZhbGlkIElkZW50aWZpZXIp3DboVUSN3ghBuf97RI3eCDBDSVEuLklRX0VCSVREQV9FUV9JTkNfRVhDTF9PUEVSX0xFQVNFX0FESi4uLi4uLkgFAAAAAAAAAAgAAAAUKEludmFsaWQgSWRlbnRpZmllcim47UFWRI3eCCPfAHxEjd4IGkNJUS4uSVFfUkVTVFJVQ1RVUkUuLi4uLi5IBQAAAAAAAAAIAAAAFChJbnZhbGlkIElkZW50aWZpZXIpuO1BVkSN3ghT7wZ8RI3eCBpDSVEuLklRX0lOVF9JTlZfSU5DLi4uLi4uSAUAAAAAAAAACAAAABQoSW52YWxpZCBJZGVudGlmaWVyKbjtQVZEjd4IcIoKfESN3ggxQ0lRLi5JUV9QUk9WX0JBRF9ERUJUU19QQVRJRU5UX1NFUlZJQ0VfUkVWLi4uLi4uSAUAAAAAAAAACAAAABQoSW52YWxpZCBJZGVudGlmaWVyKWtfUFZEjd4IGZ3+e0SN3ggWQ0lRLi5JUV9CQVNJQ19XRUlHSFQuLgUAAAAAAAAACAAAABQoSW52YWxpZCBJZGVudGlmaWVyKf8UQlZEjd4I0eADfESN3ggbQ0lRLi5JUV9JTlRFUkVTVF9FWFAuLi4uLi5IBQAAAAAAAAAIAAAAFChJbnZhbGlkIElkZW50aWZpZXIp/xRCVkSN3gi77Qd8RI3eCCBDSVEuLklRX0dXX0lOVEFOX0FN</t>
  </si>
  <si>
    <t>T1JULjk5MC4uLi4uSAUAAAAAAAAACAAAABQoSW52YWxpZCBJZGVudGlmaWVyKdw26FVEjd4IH2YIfESN3ggeQ0lRLi5JUV9HQUlOX0FTU0VUU19SRVYuLi4uLi5IBQAAAAAAAAAIAAAAFChJbnZhbGlkIElkZW50aWZpZXIp/xRCVkSN3gibsQp8RI3eCBRDSVEuLklRX0NPTVBBTllfTkFNRQUAAAAAAAAACAAAABQoSW52YWxpZCBJZGVudGlmaWVyKdPCnlZEjd4IE64RfESN3ggwQ0lRLi5JUV9JTlRFUkVTVF9FWFBfTEVBU0VfTElBQklMSVRZX0RFQlQuLi4uLi5IBQAAAAAAAAAIAAAAFChJbnZhbGlkIElkZW50aWZpZXIpa19QVkSN3gifEPx7RI3eCCRDSVEuLklRX0VCSVRBX0VRX0lOQ19FWENMX1NCQy4uLi4uLkgFAAAAAAAAAAgAAAAUKEludmFsaWQgSWRlbnRpZmllcikgOFBWRI3eCH4HAHxEjd4IHUNJUS4uSVFfRElMVVRfRVBTX0VYQ0wuLi4uLi5IBQAAAAAAAAAIAAAAFChJbnZhbGlkIElkZW50aWZpZXIpuO1BVkSN3giIfgN8RI3eCBxDSVEuLklRX0VYUExPUkVfRFJJTEwuLi4uLi5IBQAAAAAAAAAIAAAAFChJbnZhbGlkIElkZW50aWZpZXIpXTk2VkSN3giNUAl8RI3eCCNDSVEuLklRX0RJU1RSSUJVVEFCTEVfQ0FTSF9QQVlPVVQuLgUAAAAAAAAACAAAABQoSW52YWxpZCBJZGVudGlmaWVyKWtfUFZEjd4IX8v6e0SN3ggjQ0lRLi5JUV9FQklUX0VRX0lOQ19FWENMX1NCQy4uLi4uLkgFAAAAAAAA</t>
  </si>
  <si>
    <t>AAgAAAAUKEludmFsaWQgSWRlbnRpZmllcikgOFBWRI3eCB2RAHxEjd4IHENJUS4uSVFfUFJFX09QRU5fQ09TVC4uLi4uLkgFAAAAAAAAAAgAAAAUKEludmFsaWQgSWRlbnRpZmllcim47UFWRI3eCHjbCHxEjd4IFkNJUS4uSVFfQ09HUy45OTAuLi4uLkgFAAAAAAAAAAgAAAAUKEludmFsaWQgSWRlbnRpZmllcincNuhVRI3eCEYVCnxEjd4IKUNJUS4uSVFfU0FMQVJJRVNfT1RIRVJfQkVORUZJVFMuOTkwLi4uLi5IBQAAAAAAAAAIAAAAFChJbnZhbGlkIElkZW50aWZpZXIp3DboVUSN3gh0M/d7RI3eCBJDSVEuLklRX0RJQy4uLi4uLkgFAAAAAAAAAAgAAAAUKEludmFsaWQgSWRlbnRpZmllcikgOFBWRI3eCJ4u+ntEjd4IGENJUS4uSVFfREFfRUJJVERBLi4uLi4uSAUAAAAAAAAACAAAABQoSW52YWxpZCBJZGVudGlmaWVyKYw1iFZEjd4I4Lj7e0SN3ggWQ0lRLi5JUV9OSV9OT1JNLi4uLi4uSAUAAAAAAAAACAAAABQoSW52YWxpZCBJZGVudGlmaWVyKWtfUFZEjd4Iq4X8e0SN3ggmQ0lRLi5JUV9DVVJSX0RPTUVTVElDX1RBWEVTLjIwMDAuLi4uLkgFAAAAAAAAAAgAAAAUKEludmFsaWQgSWRlbnRpZmllcincNuhVRI3eCBFx/XtEjd4IGUNJUS4uSVFfTklfU0ZBUy45OTAuLi4uLkgFAAAAAAAAAAgAAAAUKEludmFsaWQgSWRlbnRpZmllcincNuhVRI3eCCJI/ntEjd4IIENJUS4uSVFfRkVFU19PVEhFUl9J</t>
  </si>
  <si>
    <t>TkNPTUUuLi4uLi5IBQAAAAAAAAAIAAAAFChJbnZhbGlkIElkZW50aWZpZXIpIDhQVkSN3ggIHf97RI3eCBZDSVEuLklRX0VCSVREQVIuLi4uLi5IBQAAAAAAAAAIAAAAFChJbnZhbGlkIElkZW50aWZpZXIpm/xPVkSN3ghBuf97RI3eCB5DSVEuLklRX0VCSVRBX0VRX0lOQy45OTAuLi4uLkgFAAAAAAAAAAgAAAAUKEludmFsaWQgSWRlbnRpZmllcincNuhVRI3eCJNCAHxEjd4IFUNJUS4uSVFfRUJJVERBLi4uLi4uSAUAAAAAAAAACAAAABQoSW52YWxpZCBJZGVudGlmaWVyKZv8T1ZEjd4IoMkBfESN3gghQ0lRLi5JUV9QUkVGX0RJVl9PVEhFUi4yMDAwLi4uLi5IBQAAAAAAAAAIAAAAFChJbnZhbGlkIElkZW50aWZpZXIp3DboVUSN3gggVgR8RI3eCBVDSVEuLklRX0RPLjIwMDAuLi4uLkgFAAAAAAAAAAgAAAAUKEludmFsaWQgSWRlbnRpZmllcincNuhVRI3eCNotBXxEjd4IHkNJUS4uSVFfR0FJTl9JTlZFU1QuMjAwMC4uLi4uSAUAAAAAAAAACAAAABQoSW52YWxpZCBJZGVudGlmaWVyKdw26FVEjd4IFXoGfESN3gghQ0lRLi5JUV9HV19JTlRBTl9BTU9SVC4yMDAwLi4uLi5IBQAAAAAAAAAIAAAAFChJbnZhbGlkIElkZW50aWZpZXIp3DboVUSN3ggfZgh8RI3eCBxDSVEuLklRX1NHQV9TVVBQTC4yMDAwLi4uLi5IBQAAAAAAAAAIAAAAFChJbnZhbGlkIElkZW50aWZpZXIp3DboVUSN3giNUAl8RI3eCBRD</t>
  </si>
  <si>
    <t>SVEuLklRX1BFUklPRERBVEUuLgUAAAAAAAAACAAAABQoSW52YWxpZCBJZGVudGlmaWVyKV05NlZEjd4IHmILfESN3ggoQ0lRLi5JUV9FQVJOSU5HX1BBUkVOVF9FWENMX0VYVFJBLi4uLi4uSAUAAAAAAAAACAAAABQoSW52YWxpZCBJZGVudGlmaWVyKWtfUFZEjd4IpnX+e0SN3ggXQ0lRLi5JUV9FQklULjIwMDAuLi4uLkgFAAAAAAAAAAgAAAAUKEludmFsaWQgSWRlbnRpZmllcincNuhVRI3eCCS4AHxEjd4II0NJUS4uSVFfU1BFQ0lBTF9ESVZfU0hBUkUuOTkwLi4uLi5IBQAAAAAAAAAIAAAAFChJbnZhbGlkIElkZW50aWZpZXIp3DboVUSN3girKwJ8RI3eCB1DSVEuLklRX0RSX1JBVElPX1BSSU1BUlkuOTkwLgUAAAAAAAAACAAAABQoSW52YWxpZCBJZGVudGlmaWVyKdw26FVEjd4ImYACfESN3ggiQ0lRLi5JUV9BU1NFVF9XUklURURPV04uMjAwMC4uLi4uSAUAAAAAAAAACAAAABQoSW52YWxpZCBJZGVudGlmaWVyKdw26FVEjd4IKxgGfESN3ggdQ0lRLi5JUV9PVEhFUl9PUEVSLjIwMDAuLi4uLkgFAAAAAAAAAAgAAAAUKEludmFsaWQgSWRlbnRpZmllcincNuhVRI3eCAUYCHxEjd4IKENJUS4uSVFfTk9OUkVDVVJSSU5HX0lOQ09NRV9UQVhFUy4uLi4uLkgFAAAAAAAAAAgAAAAUKEludmFsaWQgSWRlbnRpZmllcinsI1BWRI3eCI/A/HtEjd4IFkNJUS4uSVFfSVBSRC45OTAuLi4uLkgFAAAAAAAAAAgA</t>
  </si>
  <si>
    <t>AAAUKEludmFsaWQgSWRlbnRpZmllcincNuhVRI3eCCsYBnxEjd4IIENJUS4uSVFfUFJFX09QRU5fQ09TVC4yMDAwLi4uLi5IBQAAAAAAAAAIAAAAFChJbnZhbGlkIElkZW50aWZpZXIp3DboVUSN3ghTtAh8RI3eCCJDSVEuLklRX0NVUlJfRE9NRVNUSUNfVEFYRVMuLi4uLi5IBQAAAAAAAAAIAAAAFChJbnZhbGlkIElkZW50aWZpZXIpIDhQVkSN3gg0mP17RI3eCCBDSVEuLklRX05JX0FWQUlMX0VYQ0wuMjAwMC4uLi4uSAUAAAAAAAAACAAAABQoSW52YWxpZCBJZGVudGlmaWVyKdw26FVEjd4IDwgEfESN3ggiQ0lRLi5JUV9HQUlOX0FTU0VUU19SRVYuMjAwMC4uLi4uSAUAAAAAAAAACAAAABQoSW52YWxpZCBJZGVudGlmaWVyKdw26FVEjd4Im7EKfESN3ggZQ0lRLi5JUV9JTlNfU0VUVExFLi4uLi4uSAUAAAAAAAAACAAAABQoSW52YWxpZCBJZGVudGlmaWVyKbjtQVZEjd4IEPEFfESN3ggcQ0lRLi5JUV9DVVJSRU5DWV9HQUlOLi4uLi4uSAUAAAAAAAAACAAAABQoSW52YWxpZCBJZGVudGlmaWVyKbjtQVZEjd4Igj0HfESN3ggVQ0lRLi5JUV9HUC4yMDAwLi4uLi5IBQAAAAAAAAAIAAAAFChJbnZhbGlkIElkZW50aWZpZXIp3DboVUSN3gjLdwl8RI3eCCZDSVEuLklRX0VYQ0lTRV9UQVhFU19JTkNMX1NBTEVTLi4uLi4uSAUAAAAAAAAACAAAABQoSW52YWxpZCBJZGVudGlmaWVyKf8UQlZEjd4IUr/9e0SN</t>
  </si>
  <si>
    <t>3ggdQ0lRLi5JUV9FQVJOSU5HX0NPLjIwMDAuLi4uLkgFAAAAAAAAAAgAAAAUKEludmFsaWQgSWRlbnRpZmllcincNuhVRI3eCNotBXxEjd4IKkNJUS4uSVFfT1RIRVJfTk9OX09QRVJfRVhQX1NVUFBMLjk5MC4uLi4uSAUAAAAAAAAACAAAABQoSW52YWxpZCBJZGVudGlmaWVyKdw26FVEjd4IhhYHfESN3ggVQ0lRLi5JUV9OSS4yMDAwLi4uLi5IBQAAAAAAAAAIAAAAFChJbnZhbGlkIElkZW50aWZpZXIp3DboVUSN3ggifQR8RI3eCBxDSVEuLklRX09USEVSX09QRVIuOTkwLi4uLi5IBQAAAAAAAAAIAAAAFChJbnZhbGlkIElkZW50aWZpZXIp3DboVUSN3gg4Pwh8RI3eCB1DSVEuLklRX0NPTU1PTl9ESVYuMjAwMC4uLi4uSAUAAAAAAAAACAAAABQoSW52YWxpZCBJZGVudGlmaWVyKdw26FVEjd4ISH36e0SN3ggdQ0lRLi5JUV9ESUxVVF9FUFNfTk9STS4uLi4uLkgFAAAAAAAAAAgAAAAUKEludmFsaWQgSWRlbnRpZmllcim47UFWRI3eCPAcA3xEjd4IG0NJUS4uSVFfRUJUX0VYQ0wuMjAwMC4uLi4uSAUAAAAAAAAACAAAABQoSW52YWxpZCBJZGVudGlmaWVyKdw26FVEjd4IU+8GfESN3gg0Q0lRLi5JUV9JTlRFUkVTVF9FWFBfTEVBU0VfTElBQklMSVRZX0RFQlQuMjAwMC4uLi4uSAUAAAAAAAAACAAAABQoSW52YWxpZCBJZGVudGlmaWVyKdw26FVEjd4InxD8e0SN3ggRQ0lRLi5JUV9HUC4uLi4uLkgFAAAA</t>
  </si>
  <si>
    <t>AAAAAAgAAAAUKEludmFsaWQgSWRlbnRpZmllcin/FEJWRI3eCDygCXxEjd4IH0NJUS4uSVFfTUFJTlRfUkVQQUlSLjIwMDAuLi4uLkgFAAAAAAAAAAgAAAAUKEludmFsaWQgSWRlbnRpZmllcincNuhVRI3eCOCB93tEjd4IK0NJUS4uSVFfRElTVFJJQlVUQUJMRV9DQVNIX1NIQVJFLjIwMDAuLi4uLkgFAAAAAAAAAAgAAAAUKEludmFsaWQgSWRlbnRpZmllcincNuhVRI3eCKsrAnxEjd4IHENJUS4uSVFfRElWX1NIQVJFLjIwMDAuLi4uLkgFAAAAAAAAAAgAAAAUKEludmFsaWQgSWRlbnRpZmllcincNuhVRI3eCJmAAnxEjd4IH0NJUS4uSVFfTklfQVZBSUxfSU5DTC45OTAuLi4uLkgFAAAAAAAAAAgAAAAUKEludmFsaWQgSWRlbnRpZmllcincNuhVRI3eCCBWBHxEjd4IIUNJUS4uSVFfRVhUUkFfQUNDX0lURU1TLjk5MC4uLi4uSAUAAAAAAAAACAAAABQoSW52YWxpZCBJZGVudGlmaWVyKdw26FVEjd4I2i0FfESN3ggeQ0lRLi5JUV9BU1NFVF9XUklURURPV04uLi4uLi5IBQAAAAAAAAAIAAAAFChJbnZhbGlkIElkZW50aWZpZXIp/xRCVkSN3ghMPwZ8RI3eCB1DSVEuLklRX0dBSU5fQVNTRVRTLjk5MC4uLi4uSAUAAAAAAAAACAAAABQoSW52YWxpZCBJZGVudGlmaWVyKdw26FVEjd4IFXoGfESN3ggcQ0lRLi5JUV9JTVBBSVJfT0lMLjk5MC4uLi4uSAUAAAAAAAAACAAAABQoSW52YWxpZCBJZGVudGlmaWVy</t>
  </si>
  <si>
    <t>Kdw26FVEjd4IH2YIfESN3gghQ0lRLi5JUV9QUk9WX0JBRF9ERUJUUy4yMDAwLi4uLi5IBQAAAAAAAAAIAAAAFChJbnZhbGlkIElkZW50aWZpZXIp3DboVUSN3giAAgl8RI3eCBdDSVEuLklRX0NPR1MuMjAwMC4uLi4uSAUAAAAAAAAACAAAABQoSW52YWxpZCBJZGVudGlmaWVyKdw26FVEjd4IY+4JfESN3ggXQ0lRLi5JUV9QRVJJT0REQVRFLjk5MC4FAAAAAAAAAAgAAAAUKEludmFsaWQgSWRlbnRpZmllcincNuhVRI3eCM06C3xEjd4IG0NJUS4uSVFfTUFJTlRfUkVQQUlSLi4uLi4uSAUAAAAAAAAACAAAABQoSW52YWxpZCBJZGVudGlmaWVyKYw1iFZEjd4I4IH3e0SN3ggqQ0lRLi5JUV9FWENJU0VfVEFYRVNfSU5DTF9TQUxFUy4yMDAwLi4uLi5IBQAAAAAAAAAIAAAAFChJbnZhbGlkIElkZW50aWZpZXIp3DboVUSN3gg0mP17RI3eCB5DSVEuLklRX1JFU1RSVUNUVVJFLjIwMDAuLi4uLkgFAAAAAAAAAAgAAAAUKEludmFsaWQgSWRlbnRpZmllcincNuhVRI3eCFLIBnxEjd4IHUNJUS4uSVFfU1RPQ0tfQkFTRUQuOTkwLi4uLi5IBQAAAAAAAAAIAAAAFChJbnZhbGlkIElkZW50aWZpZXIp3DboVUSN3giAAgl8RI3eCBZDSVEuLklRX1BBWU9VVF9SQVRJTy4uBQAAAAAAAAAIAAAAFChJbnZhbGlkIElkZW50aWZpZXIpjDWIVkSN3gjlVfp7RI3eCCJDSVEuLklRX05PTkNBU0hfUEVOU0lPTl9FWFAuLi4uLi5I</t>
  </si>
  <si>
    <t>BQAAAAAAAAAIAAAAFChJbnZhbGlkIElkZW50aWZpZXIpm/xPVkSN3gjguPt7RI3eCCZDSVEuLklRX01JTk9SSVRZX0lOVEVSRVNUX0lTLjk5MC4uLi4uSAUAAAAAAAAACAAAABQoSW52YWxpZCBJZGVudGlmaWVyKdw26FVEjd4IT98EfESN3ggYQ0lRLi5JUV9NRVJHRVIuOTkwLi4uLi5IBQAAAAAAAAAIAAAAFChJbnZhbGlkIElkZW50aWZpZXIp3DboVUSN3ghSyAZ8RI3eCCJDSVEuLklRX1RPVEFMX09USEVSX09QRVIuOTkwLi4uLi5IBQAAAAAAAAAIAAAAFChJbnZhbGlkIElkZW50aWZpZXIp3DboVUSN3ggFGAh8RI3eCBhDSVEuLklRX0VCSVREQS45OTAuLi4uLkgFAAAAAAAAAAgAAAAUKEludmFsaWQgSWRlbnRpZmllcincNuhVRI3eCKDJAXxEjd4IGUNJUS4uSVFfRUFSTklOR19DTy4uLi4uLkgFAAAAAAAAAAgAAAAUKEludmFsaWQgSWRlbnRpZmllcim47UFWRI3eCOpUBXxEjd4IG0NJUS4uSVFfU0dBX1NVUFBMLjk5MC4uLi4uSAUAAAAAAAAACAAAABQoSW52YWxpZCBJZGVudGlmaWVyKdw26FVEjd4Iy3cJfESN3ggdQ0lRLi5JUV9FQklUQV9FWENMX1NCQy4uLi4uLkgFAAAAAAAAAAgAAAAUKEludmFsaWQgSWRlbnRpZmllcikgOFBWRI3eCGPg/3tEjd4IKkNJUS4uSVFfRElTVFJJQlVUQUJMRV9DQVNIX1NIQVJFLjk5MC4uLi4uSAUAAAAAAAAACAAAABQoSW52YWxpZCBJZGVudGlmaWVyKdw26FVE</t>
  </si>
  <si>
    <t>jd4IqysCfESN3gglQ0lRLi5JUV9ERUZFUlJFRF9GT1JFSUdOX1RBWEVTLi4uLi4uSAUAAAAAAAAACAAAABQoSW52YWxpZCBJZGVudGlmaWVyKewjUFZEjd4IFw/9e0SN3ggpQ0lRLi5JUV9FQklUREFfRVFfSU5DX0VYQ0xfU0JDLjIwMDAuLi4uLkgFAAAAAAAAAAgAAAAUKEludmFsaWQgSWRlbnRpZmllcincNuhVRI3eCEtUAXxEjd4INkNJUS4uSVFfRElTVFJJQlVUQUJMRV9DQVNIX1BFUl9TSEFSRV9ESUxVVEVELjk5MC4uLi4uSAUAAAAAAAAACAAAABQoSW52YWxpZCBJZGVudGlmaWVyKdw26FVEjd4I8BwDfESN3ggXQ0lRLi5JUV9PUEVSX0lOQy4uLi4uLkgFAAAAAAAAAAgAAAAUKEludmFsaWQgSWRlbnRpZmllcim47UFWRI3eCLvtB3xEjd4IHENJUS4uSVFfVE9UQUxfUkVWLjIwMDAuLi4uLkgFAAAAAAAAAAgAAAAUKEludmFsaWQgSWRlbnRpZmllcimsdJ5WRI3eCDD8EXxEjd4IGENJUS4uSVFfUEVSSU9EREFURS4xMDAwLgUAAAAAAAAACAAAABQoSW52YWxpZCBJZGVudGlmaWVyKax0nlZEjd4IE64RfESN3ggYQ0lRLi5JUV9QRVJJT0REQVRFLjIwMDAuBQAAAAAAAAAIAAAAFChJbnZhbGlkIElkZW50aWZpZXIprHSeVkSN3ghE1RF8RI3eCBlDSVEuLklRX0xBU1RTQUxFUFJJQ0UuLi5IBQAAAAAAAAAIAAAAFChJbnZhbGlkIElkZW50aWZpZXIprHSeVkSN3ghE1RF8RI3eCBNDSVEuLklRX1lFQVJM</t>
  </si>
  <si>
    <t>T1cuLi5IBQAAAAAAAAAIAAAAFChJbnZhbGlkIElkZW50aWZpZXIprHSeVkSN3ghE1RF8RI3eCBpDSVEuLklRX1NIQVJFU09VVFNUQU5ESU5HLgUAAAAAAAAACAAAABQoSW52YWxpZCBJZGVudGlmaWVyKax0nlZEjd4IRNURfESN3ggUQ0lRLi5JUV9ZRUFSSElHSC4uLkgFAAAAAAAAAAgAAAAUKEludmFsaWQgSWRlbnRpZmllcimsdJ5WRI3eCETVEXxEjd4IIUNJUS4uSVFfQ0FTSF9TVF9JTlZFU1QuNTAwLi4uRi4uSAUAAAAAAAAACAAAABQoSW52YWxpZCBJZGVudGlmaWVyKax0nlZEjd4IRNURfESN3ggdQ0lRLi5JUV9UT1RBTF9ERUJULjUwMC4uLkYuLkgFAAAAAAAAAAgAAAAUKEludmFsaWQgSWRlbnRpZmllcimsdJ5WRI3eCETVEXxEjd4IHkNJUS4uSVFfUFJFRl9FUVVJVFkuNTAwLi4uRi4uSAUAAAAAAAAACAAAABQoSW52YWxpZCBJZGVudGlmaWVyKax0nlZEjd4IRNURfESN3ggqQ0lRLi5JUV9NSU5PUklUWV9JTlRFUkVTVF9UT1RBTC41MDAuLi5GLi5IBQAAAAAAAAAIAAAAFChJbnZhbGlkIElkZW50aWZpZXIprHSeVkSN3ghE1RF8RI3eCBxDSVEuLklRX1RPVEFMX1JFVi4xMDAwLi4uLi5IBQAAAAAAAAAIAAAAFChJbnZhbGlkIElkZW50aWZpZXIprHSeVkSN3ghE1RF8RI3eCB9DSVEuLklRX1JFVkVOVUVfRVNULjEwMDAxLi4uLi5IBQAAAAAAAAAIAAAAFChJbnZhbGlkIElkZW50aWZpZXIprHSe</t>
  </si>
  <si>
    <t>VkSN3ggw/BF8RI3eCB9DSVEuLklRX1JFVkVOVUVfRVNULjEwMDAyLi4uLi5IBQAAAAAAAAAIAAAAFChJbnZhbGlkIElkZW50aWZpZXIprHSeVkSN3ggw/BF8RI3eCBlDSVEuLklRX0VCSVREQS4xMDAwLi4uLi5IBQAAAAAAAAAIAAAAFChJbnZhbGlkIElkZW50aWZpZXIprHSeVkSN3ggw/BF8RI3eCBlDSVEuLklRX0VCSVREQS4yMDAwLi4uLi5IBQAAAAAAAAAIAAAAFChJbnZhbGlkIElkZW50aWZpZXIprHSeVkSN3ggw/BF8RI3eCB5DSVEuLklRX0VCSVREQV9FU1QuMTAwMDEuLi4uLkgFAAAAAAAAAAgAAAAUKEludmFsaWQgSWRlbnRpZmllcimsdJ5WRI3eCDD8EXxEjd4IHkNJUS4uSVFfRUJJVERBX0VTVC4xMDAwMi4uLi4uSAUAAAAAAAAACAAAABQoSW52YWxpZCBJZGVudGlmaWVyKax0nlZEjd4IMPwRfESN3gghQ0lRLi5JUV9ESUxVVF9FUFNfRVhDTC4xMDAwLi4uLi5IBQAAAAAAAAAIAAAAFChJbnZhbGlkIElkZW50aWZpZXIprHSeVkSN3ggw/BF8RI3eCBtDSVEuLklRX0VQU19FU1QuMTAwMDEuLi4uLkgFAAAAAAAAAAgAAAAUKEludmFsaWQgSWRlbnRpZmllcimsdJ5WRI3eCDD8EXxEjd4IG0NJUS4uSVFfRVBTX0VTVC4xMDAwMi4uLi4uSAUAAAAAAAAACAAAABQoSW52YWxpZCBJZGVudGlmaWVyKax0nlZEjd4IMPwRfESN3ggbQ0lRLi5JUV9URVZfVE9UQUxfUkVWLjIwMDAuBQAAAAAAAAAIAAAA</t>
  </si>
  <si>
    <t>FChJbnZhbGlkIElkZW50aWZpZXIprHSeVkSN3ggw/BF8RI3eCBhDSVEuLklRX1RFVl9FQklUREEuMjAwMC4FAAAAAAAAAAgAAAAUKEludmFsaWQgSWRlbnRpZmllcimsdJ5WRI3eCGYjEnxEjd4IHUNJUS4uSVFfVEVWX0VCSVREQV9GV0QuMTAwMDEuBQAAAAAAAAAIAAAAFChJbnZhbGlkIElkZW50aWZpZXIprHSeVkSN3ghmIxJ8RI3eCB1DSVEuLklRX1RFVl9FQklUREFfRldELjEwMDAyLgUAAAAAAAAACAAAABQoSW52YWxpZCBJZGVudGlmaWVyKax0nlZEjd4IZiMSfESN3ggVQ0lRLi5JUV9QRV9FWENMLjIwMDAuBQAAAAAAAAAIAAAAFChJbnZhbGlkIElkZW50aWZpZXIprHSeVkSN3ghmIxJ8RI3eCBpDSVEuLklRX1BFX0VYQ0xfRldELjEwMDAxLgUAAAAAAAAACAAAABQoSW52YWxpZCBJZGVudGlmaWVyKax0nlZEjd4IZiMSfESN3ggaQ0lRLi5JUV9QRV9FWENMX0ZXRC4xMDAwMi4FAAAAAAAAAAgAAAAUKEludmFsaWQgSWRlbnRpZmllcimsdJ5WRI3eCGYjEnxEjd4IEUNJUS4uSVFfUEJWLjIwMDAuBQAAAAAAAAAIAAAAFChJbnZhbGlkIElkZW50aWZpZXIprHSeVkSN3ghmIxJ8RI3eCBJDSVEuLklRX1BUQlYuMjAwMC4FAAAAAAAAAAgAAAAUKEludmFsaWQgSWRlbnRpZmllcimsdJ5WRI3eCGYjEnxEjd4IGUNJUS4uSVFfR1JPU1NfTUFSR0lOLjk5OC4FAAAAAAAAAAgAAAAUKEludmFsaWQgSWRlbnRp</t>
  </si>
  <si>
    <t>ZmllcimsdJ5WRI3eCGYjEnxEjd4IGUNJUS4uSVFfR1JPU1NfTUFSR0lOLjk5OS4FAAAAAAAAAAgAAAAUKEludmFsaWQgSWRlbnRpZmllcimsdJ5WRI3eCGYjEnxEjd4IGkNJUS4uSVFfR1JPU1NfTUFSR0lOLjEwMDAuBQAAAAAAAAAIAAAAFChJbnZhbGlkIElkZW50aWZpZXIprHSeVkSN3ghmIxJ8RI3eCBpDSVEuLklRX0dST1NTX01BUkdJTi4yMDAwLgUAAAAAAAAACAAAABQoSW52YWxpZCBJZGVudGlmaWVyKax0nlZEjd4IZiMSfESN3ggaQ0lRLi5JUV9FQklUREFfTUFSR0lOLjk5OC4FAAAAAAAAAAgAAAAUKEludmFsaWQgSWRlbnRpZmllcimsdJ5WRI3eCGYjEnxEjd4IGkNJUS4uSVFfRUJJVERBX01BUkdJTi45OTkuBQAAAAAAAAAIAAAAFChJbnZhbGlkIElkZW50aWZpZXIprHSeVkSN3ghmIxJ8RI3eCBtDSVEuLklRX0VCSVREQV9NQVJHSU4uMTAwMC4FAAAAAAAAAAgAAAAUKEludmFsaWQgSWRlbnRpZmllcimsdJ5WRI3eCGNKEnxEjd4IG0NJUS4uSVFfRUJJVERBX01BUkdJTi4yMDAwLgUAAAAAAAAACAAAABQoSW52YWxpZCBJZGVudGlmaWVyKax0nlZEjd4IY0oSfESN3ggWQ0lRLi5JUV9OSV9NQVJHSU4uOTk4LgUAAAAAAAAACAAAABQoSW52YWxpZCBJZGVudGlmaWVyKax0nlZEjd4IY0oSfESN3ggWQ0lRLi5JUV9OSV9NQVJHSU4uOTk5LgUAAAAAAAAACAAAABQoSW52YWxpZCBJZGVudGlmaWVy</t>
  </si>
  <si>
    <t>Kax0nlZEjd4IY0oSfESN3ggXQ0lRLi5JUV9OSV9NQVJHSU4uMTAwMC4FAAAAAAAAAAgAAAAUKEludmFsaWQgSWRlbnRpZmllcimsdJ5WRI3eCGNKEnxEjd4IF0NJUS4uSVFfTklfTUFSR0lOLjIwMDAuBQAAAAAAAAAIAAAAFChJbnZhbGlkIElkZW50aWZpZXIprHSeVkSN3ghjShJ8RI3eCCRDSVEuLklRX1RPVEFMX1JFVl81WVJfQU5OX0NBR1IuMjAwMC4FAAAAAAAAAAgAAAAUKEludmFsaWQgSWRlbnRpZmllcinMm55WRI3eCGNKEnxEjd4IJENJUS4uSVFfVE9UQUxfUkVWXzNZUl9BTk5fQ0FHUi4yMDAwLgUAAAAAAAAACAAAABQoSW52YWxpZCBJZGVudGlmaWVyKdPCnlZEjd4IY0oSfESN3ggmQ0lRLi5JUV9UT1RBTF9SRVZfMVlSX0FOTl9HUk9XVEguMTAwMC4FAAAAAAAAAAgAAAAUKEludmFsaWQgSWRlbnRpZmllcimsdJ5WRI3eCGNKEnxEjd4IJkNJUS4uSVFfVE9UQUxfUkVWXzFZUl9BTk5fR1JPV1RILjIwMDAuBQAAAAAAAAAIAAAAFChJbnZhbGlkIElkZW50aWZpZXIprHSeVkSN3ghjShJ8RI3eCCFDSVEuLklRX0VCSVREQV81WVJfQU5OX0NBR1IuMjAwMC4FAAAAAAAAAAgAAAAUKEludmFsaWQgSWRlbnRpZmllcimsdJ5WRI3eCGNKEnxEjd4IIUNJUS4uSVFfRUJJVERBXzNZUl9BTk5fQ0FHUi4yMDAwLgUAAAAAAAAACAAAABQoSW52YWxpZCBJZGVudGlmaWVyKbRNnlZEjd4IY0oSfESN3ggjQ0lR</t>
  </si>
  <si>
    <t>Li5JUV9FQklUREFfMVlSX0FOTl9HUk9XVEguMTAwMC4FAAAAAAAAAAgAAAAUKEludmFsaWQgSWRlbnRpZmllcimsdJ5WRI3eCGNKEnxEjd4II0NJUS4uSVFfRUJJVERBXzFZUl9BTk5fR1JPV1RILjIwMDAuBQAAAAAAAAAIAAAAFChJbnZhbGlkIElkZW50aWZpZXIprHSeVkSN3ghjShJ8RI3eCB5DSVEuLklRX0VQU181WVJfQU5OX0NBR1IuMjAwMC4FAAAAAAAAAAgAAAAUKEludmFsaWQgSWRlbnRpZmllcimsdJ5WRI3eCGNKEnxEjd4IHkNJUS4uSVFfRVBTXzNZUl9BTk5fQ0FHUi4yMDAwLgUAAAAAAAAACAAAABQoSW52YWxpZCBJZGVudGlmaWVyKbRNnlZEjd4Il3ESfESN3gggQ0lRLi5JUV9FUFNfMVlSX0FOTl9HUk9XVEguMTAwMC4FAAAAAAAAAAgAAAAUKEludmFsaWQgSWRlbnRpZmllcim0TZ5WRI3eCJdxEnxEjd4IIENJUS4uSVFfRVBTXzFZUl9BTk5fR1JPV1RILjIwMDAuBQAAAAAAAAAIAAAAFChJbnZhbGlkIElkZW50aWZpZXIpzJueVkSN3giXcRJ8RI3eCB9DSVEuLklRX1RPVEFMX0RFQlRfRUJJVERBLjIwMDAuBQAAAAAAAAAIAAAAFChJbnZhbGlkIElkZW50aWZpZXIp08KeVkSN3giXcRJ8RI3eCB1DSVEuLklRX05FVF9ERUJUX0VCSVREQS4yMDAwLgUAAAAAAAAACAAAABQoSW52YWxpZCBJZGVudGlmaWVyKcybnlZEjd4Il3ESfESN3ggYQ0lRLi5JUV9FQklUREFfSU5ULjIwMDAuBQAAAAAA</t>
  </si>
  <si>
    <t>AAAIAAAAFChJbnZhbGlkIElkZW50aWZpZXIpzJueVkSN3giXcRJ8RI3eCB5DSVEuLklRX0VCSVREQV9DQVBFWF9JTlQuMjAwMC4FAAAAAAAAAAgAAAAUKEludmFsaWQgSWRlbnRpZmllcinr6Z5WRI3eCJdxEnxEjd4IHkNJUS4uSVFfVE9UQUxfREVCVF9FUVVJVFkuNTAwLgUAAAAAAAAACAAAABQoSW52YWxpZCBJZGVudGlmaWVyKbRNnlZEjd4Il3ESfESN3ggfQ0lRLi5JUV9UT1RBTF9ERUJUX0NBUElUQUwuNTAwLgUAAAAAAAAACAAAABQoSW52YWxpZCBJZGVudGlmaWVyKbRNnlZEjd4Il3ESfESN3ggbQ0lRLi5JUV9SRVRVUk5fRVFVSVRZLjIwMDAuBQAAAAAAAAAIAAAAFChJbnZhbGlkIElkZW50aWZpZXIp6+meVkSN3giXcRJ8RI3eCBtDSVEuLklRX1JFVFVSTl9BU1NFVFMuMjAwMC4FAAAAAAAAAAgAAAAUKEludmFsaWQgSWRlbnRpZmllcim0TZ5WRI3eCJdxEnxEjd4IJUNJUS4uSVFfUkVUVVJOX0lOVkVTVEVEX0NBUElUQUwuMjAwMC4FAAAAAAAAAAgAAAAUKEludmFsaWQgSWRlbnRpZmllcim0TZ5WRI3eCJdxEnxEjd4IGkNJUS4uSVFfQ1VSUkVOVF9SQVRJTy41MDAuBQAAAAAAAAAIAAAAFChJbnZhbGlkIElkZW50aWZpZXIptE2eVkSN3giXcRJ8RI3eCBhDSVEuLklRX1FVSUNLX1JBVElPLjUwMC4FAAAAAAAAAAgAAAAUKEludmFsaWQgSWRlbnRpZmllcim0TZ5WRI3eCIuYEnxEjd4IHENJUS4u</t>
  </si>
  <si>
    <t>SVFfREFZU19TQUxFU19PVVQuMjAwMC4FAAAAAAAAAAgAAAAUKEludmFsaWQgSWRlbnRpZmllcim0TZ5WRI3eCIuYEnxEjd4IIENJUS4uSVFfREFZU19JTlZFTlRPUllfT1VULjIwMDAuBQAAAAAAAAAIAAAAFChJbnZhbGlkIElkZW50aWZpZXIp08KeVkSN3giLmBJ8RI3eCB5DSVEuLklRX0RBWVNfUEFZQUJMRV9PVVQuMjAwMC4FAAAAAAAAAAgAAAAUKEludmFsaWQgSWRlbnRpZmllcimsdJ5WRI3eCIuYEnxEjd4IHUNJUS4uSVFfQ0FTSF9DT05WRVJTSU9OLjIwMDAuBQAAAAAAAAAIAAAAFChJbnZhbGlkIElkZW50aWZpZXIpzJueVkSN3giLmBJ8RI3eCBlDSVEuLklRX0FTU0VUX1RVUk5TLjIwMDAuBQAAAAAAAAAIAAAAFChJbnZhbGlkIElkZW50aWZpZXIptE2eVkSN3giLmBJ8RI3eCB9DSVEuLklRX0ZJWEVEX0FTU0VUX1RVUk5TLjIwMDAuBQAAAAAAAAAIAAAAFChJbnZhbGlkIElkZW50aWZpZXIpzJueVkSN3giLmBJ8RI3eCBZDSVEuLklRX0FSX1RVUk5TLjIwMDAuBQAAAAAAAAAIAAAAFChJbnZhbGlkIElkZW50aWZpZXIp08KeVkSN3giLmBJ8RI3eCB1DSVEuLklRX0lOVkVOVE9SWV9UVVJOUy4yMDAwLgUAAAAAAAAACAAAABQoSW52YWxpZCBJZGVudGlmaWVyKax0nlZEjd4Ii5gSfESN3ggfQ0lRQVZHLi5JUV9URVZfVE9UQUxfUkVWLjIwMDAuLgUAAAAAAAAACAAAABQoSW52YWxpZCBJZGVudGlm</t>
  </si>
  <si>
    <t>aWVyKXse8lVEjd4IWNQSfESN3ggcQ0lRQVZHLi5JUV9URVZfRUJJVERBLjIwMDAuLgUAAAAAAAAACAAAABQoSW52YWxpZCBJZGVudGlmaWVyKXse8lVEjd4IrPsSfESN3ggaQ0lRQVZHLi5JUV9URVZfRUJJVC4yMDAwLi4FAAAAAAAAAAgAAAAUKEludmFsaWQgSWRlbnRpZmllcil7HvJVRI3eCLoiE3xEjd4IGUNJUUFWRy4uSVFfUEVfRVhDTC4yMDAwLi4FAAAAAAAAAAgAAAAUKEludmFsaWQgSWRlbnRpZmllcil7HvJVRI3eCLoiE3xEjd4IFUNJUUFWRy4uSVFfUEJWLjIwMDAuLgUAAAAAAAAACAAAABQoSW52YWxpZCBJZGVudGlmaWVyKXse8lVEjd4I7EkTfESN3ggWQ0lRQVZHLi5JUV9QVEJWLjIwMDAuLgUAAAAAAAAACAAAABQoSW52YWxpZCBJZGVudGlmaWVyKXse8lVEjd4I3HATfESN3ggdQ0lRLi5JUV9NSU5JTVVNX1JFTlRBTC4uLi4uLkgFAAAAAAAAAAgAAAAUKEludmFsaWQgSWRlbnRpZmllcimMNYhWRI3eCBwe+HtEjd4IHUNJUS4uSVFfTkVUX1JFTlRBTF9FWFAuLi4uLi5IBQAAAAAAAAAIAAAAFChJbnZhbGlkIElkZW50aWZpZXIpjDWIVkSN3ghHp/h7RI3eCBhDSVEuLklRX1JEX0VYUF9GTi4uLi4uLkgFAAAAAAAAAAgAAAAUKEludmFsaWQgSWRlbnRpZmllcikgOFBWRI3eCFfi+HtEjd4IHkNJUS4uSVFfQURWRVJUSVNJTkcuMjAwMC4uLi4uSAUAAAAAAAAACAAAABQoSW52YWxpZCBJZGVu</t>
  </si>
  <si>
    <t>dGlmaWVyKWnrNVZEjd4IcjD5e0SN3ggWQ0lRLi5JUV9DQUxDX1RZUEVfSVMuLgUAAAAAAAAACAAAABQoSW52YWxpZCBJZGVudGlmaWVyKYw1iFZEjd4InH75e0SN3ggZQ0lRLi5JUV9GSUxJTkdfQ1VSUkVOQ1kuLgUAAAAAAAAACAAAABQoSW52YWxpZCBJZGVudGlmaWVyKevpnlZEjd4IyfP5e0SN3ggZQ0lRLi5JUV9FRkZFQ1RfVEFYX1JBVEUuLgUAAAAAAAAACAAAABQoSW52YWxpZCBJZGVudGlmaWVyKWtfUFZEjd4ISH36e0SN3gghQ0lRLi5JUV9ESVNUUklCVVRBQkxFX0NBU0guLi4uLi5IBQAAAAAAAAAIAAAAFChJbnZhbGlkIElkZW50aWZpZXIpjDWIVkSN3gjNkft7RI3eCCdDSVEuLklRX0NBUElUQUxJWkVEX0lOVEVSRVNULjIwMDAuLi4uLkgFAAAAAAAAAAgAAAAUKEludmFsaWQgSWRlbnRpZmllcilp6zVWRI3eCKU3/HtEjd4IJkNJUS4uSVFfREVGRVJSRURfRE9NRVNUSUNfVEFYRVMuLi4uLi5IBQAAAAAAAAAIAAAAFChJbnZhbGlkIElkZW50aWZpZXIpa19QVkSN3gj5Sf17RI3eCCZDSVEuLklRX0VYQ0lTRV9UQVhFU19FWENMX1NBTEVTLi4uLi4uSAUAAAAAAAAACAAAABQoSW52YWxpZCBJZGVudGlmaWVyKWtfUFZEjd4IY+b9e0SN3ggiQ0lRLi5JUV9JTlRFUkVTVF9JTkNPTUUuMjAwMC4uLi4uSAUAAAAAAAAACAAAABQoSW52YWxpZCBJZGVudGlmaWVyKWnrNVZEjd4IWw3+e0SN3gghQ0lR</t>
  </si>
  <si>
    <t>Li5JUV9BU19SRVBPUlRFRF9FQklUREEuLi4uLi5IBQAAAAAAAAAIAAAAFChJbnZhbGlkIElkZW50aWZpZXIp/xRCVkSN3gjxw/57RI3eCB1DSVEuLklRX1NUX0RFQlRfUkVQQUlELi4uLi4uSAUAAAAAAAAACAAAABQoSW52YWxpZCBJZGVudGlmaWVyKYw1iFZEjd4IOzHse0SN3ggvQ0lRLi5JUV9DSEFOR0VfT1RIRVJfTkVUX09QRVJfQVNTRVRTLjIwMDAuLi4uLkgFAAAAAAAAAAgAAAAUKEludmFsaWQgSWRlbnRpZmllcilp6zVWRI3eCGN17ntEjd4IGENJUS4uSVFfRE9fQ0YuMjAwMC4uLi4uSAUAAAAAAAAACAAAABQoSW52YWxpZCBJZGVudGlmaWVyKWnrNVZEjd4I4hXwe0SN3ggdQ0lRLi5JUV9DUkVESVRfTE9TU19DRi4uLi4uLkgFAAAAAAAAAAgAAAAUKEludmFsaWQgSWRlbnRpZmllcimMNYhWRI3eCMsG8XtEjd4IGkNJUS4uSVFfT1RIRVJfQU1PUlQuLi4uLi5IBQAAAAAAAAAIAAAAFChJbnZhbGlkIElkZW50aWZpZXIpjDWIVkSN3ghv//F7RI3eCCBDSVEuLklRX0dXX0lOVEFOX0FNT1JUX0NGLi4uLi4uSAUAAAAAAAAACAAAABQoSW52YWxpZCBJZGVudGlmaWVyKYw1iFZEjd4Isk3ye0SN3ggmQ0lRLi5JUV9TVE9DS19CQVNFRF9DT01QX1BSRVRBWC4uLi4uLkgFAAAAAAAAAAgAAAAUKEludmFsaWQgSWRlbnRpZmllcikgOFBWRI3eCPUl83tEjd4IKENJUS4uSVFfU1RPQ0tfT1BUSU9OU19DT01Q</t>
  </si>
  <si>
    <t>X1BSRVRBWC4uLi4uLkgFAAAAAAAAAAgAAAAUKEludmFsaWQgSWRlbnRpZmllcimMNYhWRI3eCDF083tEjd4IJkNJUS4uSVFfUkVTVFJfU1RPQ0tfQ09NUF9QUkVUQVguLi4uLi5IBQAAAAAAAAAIAAAAFChJbnZhbGlkIElkZW50aWZpZXIpjDWIVkSN3gjG7PN7RI3eCChDSVEuLklRX1NUT0NLX0JBU0VEX0VYUExPUkVfRFJJTEwuLi4uLi5IBQAAAAAAAAAIAAAAFChJbnZhbGlkIElkZW50aWZpZXIpjDWIVkSN3gglZ/R7RI3eCB1DSVEuLklRX1NUT0NLX0JBU0VEX0dBLi4uLi4uSAUAAAAAAAAACAAAABQoSW52YWxpZCBJZGVudGlmaWVyKYw1iFZEjd4IP7X0e0SN3ggfQ0lRLi5JUV9TVE9DS19CQVNFRF9DT0dTLi4uLi4uSAUAAAAAAAAACAAAABQoSW52YWxpZCBJZGVudGlmaWVyKYw1iFZEjd4IhAP1e0SN3gggQ0lRLi5JUV9JTlNfU0VUVExFX1NVUFBMRS4uLi4uLkgFAAAAAAAAAAgAAAAUKEludmFsaWQgSWRlbnRpZmllcimMNYhWRI3eCG0O9ntEjd4IHENJUS4uSVFfTUVSR0VSX1NVUFBMRS4uLi4uLkgFAAAAAAAAAAgAAAAUKEludmFsaWQgSWRlbnRpZmllcimMNYhWRI3eCM749ntEjd4ILENJUS4uSVFfREVQUkVDSUFUSU9OX1JFTlRBTF9BU1NFVFMuOTkwLi4uLi5IBQAAAAAAAAAIAAAAFChJbnZhbGlkIElkZW50aWZpZXIpaes1VkSN3gjez/d7RI3eCCBDSVEuLklRX0NPTlRJTkdFTlRfUkVOVEFM</t>
  </si>
  <si>
    <t>Li4uLi4uSAUAAAAAAAAACAAAABQoSW52YWxpZCBJZGVudGlmaWVyKSA4UFZEjd4I71j4e0SN3ggVQ0lRLi5JUV9HQV9FWFAuLi4uLi5IBQAAAAAAAAAIAAAAFChJbnZhbGlkIElkZW50aWZpZXIpjDWIVkSN3ghX4vh7RI3eCBhDSVEuLklRX01BUktFVElORy4uLi4uLkgFAAAAAAAAAAgAAAAUKEludmFsaWQgSWRlbnRpZmllcimMNYhWRI3eCHIw+XtEjd4IHUNJUS4uSVFfSU5UX0VYUF9MVEQuOTkwLi4uLi5IBQAAAAAAAAAIAAAAFChJbnZhbGlkIElkZW50aWZpZXIpaes1VkSN3gilN/x7RI3eCCpDSVEuLklRX0VYQ0lTRV9UQVhFU19FWENMX1NBTEVTLjIwMDAuLi4uLkgFAAAAAAAAAAgAAAAUKEludmFsaWQgSWRlbnRpZmllcilp6zVWRI3eCFK//XtEjd4IHkNJUS4uSVFfSU5URVJFU1RfSU5DT01FLi4uLi4uSAUAAAAAAAAACAAAABQoSW52YWxpZCBJZGVudGlmaWVyKWtfUFZEjd4IWw3+e0SN3gglQ0lRLi5JUV9FQklUREFfRVFfSU5DX0VYQ0xfU0JDLi4uLi4uSAUAAAAAAAAACAAAABQoSW52YWxpZCBJZGVudGlmaWVyKZv8T1ZEjd4IfHsBfESN3gg3Q0lRLi5JUV9ESVNUUklCVVRBQkxFX0NBU0hfUEVSX1NIQVJFX0RJTFVURUQuMjAwMC4uLi4uSAUAAAAAAAAACAAAABQoSW52YWxpZCBJZGVudGlmaWVyKWnrNVZEjd4IuM4CfESN3ggaQ0lRLi5JUV9ESUxVVF9XRUlHSFQuMjAwMC4FAAAAAAAAAAgA</t>
  </si>
  <si>
    <t>AAAUKEludmFsaWQgSWRlbnRpZmllcilp6zVWRI3eCM5XA3xEjd4IG0NJUS4uSVFfQ0FTSF9PUEVSLjk5MC4uLi4uSAUAAAAAAAAACAAAABQoSW52YWxpZCBJZGVudGlmaWVyKWnrNVZEjd4IY3Xue0SN3ggdQ0lRLi5JUV9PVEhFUl9PUEVSX0FDVC4uLi4uLkgFAAAAAAAAAAgAAAAUKEludmFsaWQgSWRlbnRpZmllcik7NZFWRI3eCOIV8HtEjd4IJkNJUS4uSVFfTUlOT1JJVFlfSU5URVJFU1RfQ0YuOTkwLi4uLi5IBQAAAAAAAAAIAAAAFChJbnZhbGlkIElkZW50aWZpZXIpaes1VkSN3ghn2PF7RI3eCBpDSVEuLklRX0RBX1NVUFBMX0NGLi4uLi4uSAUAAAAAAAAACAAAABQoSW52YWxpZCBJZGVudGlmaWVyKSA4UFZEjd4IeYjye0SN3ggjQ0lRLi5JUV9TVE9DS19CQVNFRF9DT01QX1RBWC4uLi4uLkgFAAAAAAAAAAgAAAAUKEludmFsaWQgSWRlbnRpZmllcimMNYhWRI3eCPr98ntEjd4ILENJUS4uSVFfU1RPQ0tfQkFTRURfRVhQTE9SRV9EUklMTC4yMDAwLi4uLi5IBQAAAAAAAAAIAAAAFChJbnZhbGlkIElkZW50aWZpZXIpaes1VkSN3ggbQPR7RI3eCCBDSVEuLklRX1NUT0NLX0JBU0VEX0dBLjk5MC4uLi4uSAUAAAAAAAAACAAAABQoSW52YWxpZCBJZGVudGlmaWVyKWnrNVZEjd4IP7X0e0SN3ggnQ0lRLi5JUV9ORUdBVElWRV9HV19BTU9SVF9BVC4yMDAwLi4uLi5IBQAAAAAAAAAIAAAAFChJbnZhbGlk</t>
  </si>
  <si>
    <t>IElkZW50aWZpZXIpaes1VkSN3giEA/V7RI3eCCZDSVEuLklRX1RPVEFMX1VOVVNVQUxfU1VQUExFLjk5MC4uLi4uSAUAAAAAAAAACAAAABQoSW52YWxpZCBJZGVudGlmaWVyKWnrNVZEjd4Ij3j1e0SN3gggQ0lRLi5JUV9NRVJHRVJfU1VQUExFLjIwMDAuLi4uLkgFAAAAAAAAAAgAAAAUKEludmFsaWQgSWRlbnRpZmllcilp6zVWRI3eCKbR9ntEjd4IKENJUS4uSVFfSU1QVVRfT1BFUl9MRUFTRV9ERVBSLjIwMDAuLi4uLkgFAAAAAAAAAAgAAAAUKEludmFsaWQgSWRlbnRpZmllcilp6zVWRI3eCHQz93tEjd4IKUNJUS4uSVFfREVQUkVDSUFUSU9OX1JFTlRBTF9BU1NFVFMuLi4uLi5IBQAAAAAAAAAIAAAAFChJbnZhbGlkIElkZW50aWZpZXIpjDWIVkSN3gjez/d7RI3eCCRDSVEuLklRX0NPTlRJTkdFTlRfUkVOVEFMLjIwMDAuLi4uLkgFAAAAAAAAAAgAAAAUKEludmFsaWQgSWRlbnRpZmllcilp6zVWRI3eCBwe+HtEjd4IGUNJUS4uSVFfQ0FMQ19UWVBFX0lTLjk5MC4FAAAAAAAAAAgAAAAUKEludmFsaWQgSWRlbnRpZmllcilp6zVWRI3eCJx++XtEjd4IJUNJUS4uSVFfQU5OVV9ESVNUUklCVVRJT05fVU5JVC4uLi4uLkgFAAAAAAAAAAgAAAAUKEludmFsaWQgSWRlbnRpZmllcimMNYhWRI3eCD7y+ntEjd4IGkNJUS4uSVFfSU5UX0VYUF9MVEQuLi4uLi5IBQAAAAAAAAAIAAAAFChJbnZhbGlkIElkZW50</t>
  </si>
  <si>
    <t>aWZpZXIpjDWIVkSN3gilN/x7RI3eCClDSVEuLklRX0VYQ0lTRV9UQVhFU19JTkNMX1NBTEVTLjk5MC4uLi4uSAUAAAAAAAAACAAAABQoSW52YWxpZCBJZGVudGlmaWVyKWnrNVZEjd4IUr/9e0SN3ggdQ0lRLi5JUV9MVF9ERUJUX0lTU1VFRC4uLi4uLkgFAAAAAAAAAAgAAAAUKEludmFsaWQgSWRlbnRpZmllcimMNYhWRI3eCNal7HtEjd4ILkNJUS4uSVFfQ0hBTkdFX09USEVSX05FVF9PUEVSX0FTU0VUUy45OTAuLi4uLkgFAAAAAAAAAAgAAAAUKEludmFsaWQgSWRlbnRpZmllcilp6zVWRI3eCI+c7ntEjd4IFENJUS4uSVFfRE9fQ0YuLi4uLi5IBQAAAAAAAAAIAAAAFChJbnZhbGlkIElkZW50aWZpZXIp7CNQVkSN3ghBQ/B7RI3eCBdDSVEuLklRX0xPQU5TX0NGLi4uLi4uSAUAAAAAAAAACAAAABQoSW52YWxpZCBJZGVudGlmaWVyKSA4UFZEjd4IOGPxe0SN3gggQ0lRLi5JUV9MVF9ERUJUX0lTU1VFRC45OTAuLi4uLkgFAAAAAAAAAAgAAAAUKEludmFsaWQgSWRlbnRpZmllcilp6zVWRI3eCNal7HtEjd4IK0NJUS4uSVFfQ0hBTkdFX09USEVSX05FVF9PUEVSX0FTU0VUUy4uLi4uLkgFAAAAAAAAAAgAAAAUKEludmFsaWQgSWRlbnRpZmllcikgOFBWRI3eCI+c7ntEjd4IIENJUS4uSVFfU1RPQ0tfQkFTRURfVE9UQUwuLi4uLi5IBQAAAAAAAAAIAAAAFChJbnZhbGlkIElkZW50aWZpZXIp7CNQVkSN3gi/</t>
  </si>
  <si>
    <t>E/R7RI3eCCBDSVEuLklRX1NUT0NLX0JBU0VEX09USEVSLi4uLi4uSAUAAAAAAAAACAAAABQoSW52YWxpZCBJZGVudGlmaWVyKSA4UFZEjd4IJWf0e0SN3ggjQ0lRLi5JUV9ORUdBVElWRV9HV19BTU9SVF9BVC4uLi4uLkgFAAAAAAAAAAgAAAAUKEludmFsaWQgSWRlbnRpZmllcimb/E9WRI3eCHYq9XtEjd4II0NJUS4uSVFfT1RIRVJfVU5VU1VBTF9TVVBQTEUuLi4uLi5IBQAAAAAAAAAIAAAAFChJbnZhbGlkIElkZW50aWZpZXIpjDWIVkSN3gjHn/V7RI3eCCZDSVEuLklRX0VYUExPUkVfRFJJTExfRVhQX1RPVEFMLi4uLi4uSAUAAAAAAAAACAAAABQoSW52YWxpZCBJZGVudGlmaWVyKSA4UFZEjd4Ixaj3e0SN3ggYQ0lRLi5JUV9HQV9FWFAuOTkwLi4uLi5IBQAAAAAAAAAIAAAAFChJbnZhbGlkIElkZW50aWZpZXIpaes1VkSN3ghX4vh7RI3eCCNDSVEuLklRX0NBUElUQUxJWkVEX0lOVEVSRVNULi4uLi4uSAUAAAAAAAAACAAAABQoSW52YWxpZCBJZGVudGlmaWVyKWtfUFZEjd4IvV78e0SN3ggZQ0lRLi5JUV9OSV9OT1JNLjk5MC4uLi4uSAUAAAAAAAAACAAAABQoSW52YWxpZCBJZGVudGlmaWVyKWnrNVZEjd4Iq4X8e0SN3ggmQ0lRLi5JUV9ERUZFUlJFRF9UQVhFU19UT1RBTC45OTAuLi4uLkgFAAAAAAAAAAgAAAAUKEludmFsaWQgSWRlbnRpZmllcilp6zVWRI3eCOrn/HtEjd4IKUNJUS4uSVFfREVG</t>
  </si>
  <si>
    <t>RVJSRURfRE9NRVNUSUNfVEFYRVMuOTkwLi4uLi5IBQAAAAAAAAAIAAAAFChJbnZhbGlkIElkZW50aWZpZXIpaes1VkSN3ggRNv17RI3eCCRDSVEuLklRX1RPVEFMX1JFVl9BU19SRVBPUlRFRC4uLi4uLkgFAAAAAAAAAAgAAAAUKEludmFsaWQgSWRlbnRpZmllcikgOFBWRI3eCPj1/ntEjd4IIkNJUS4uSVFfRUJJVERBUl9FWENMX1NCQy45OTAuLi4uLkgFAAAAAAAAAAgAAAAUKEludmFsaWQgSWRlbnRpZmllcilp6zVWRI3eCDhE/3tEjd4IGkNJUS4uSVFfRUJJVERBUi4yMDAwLi4uLi5IBQAAAAAAAAAIAAAAFChJbnZhbGlkIElkZW50aWZpZXIpaes1VkSN3ghFkv97RI3eCCpDSVEuLklRX0xFQVNFX0FESlVTVE1FTlRfRUJJVERBLjIwMDAuLi4uLkgFAAAAAAAAAAgAAAAUKEludmFsaWQgSWRlbnRpZmllcilp6zVWRI3eCCPfAHxEjd4IGkNJUS4uSVFfRklMSU5HREFURV9JUy45OTAuBQAAAAAAAAAIAAAAFChJbnZhbGlkIElkZW50aWZpZXIpaes1VkSN3giN3QF8RI3eCCFDSVEuLklRX1RPVEFMX1JFVl9TSEFSRS45OTAuLi4uLkgFAAAAAAAAAAgAAAAUKEludmFsaWQgSWRlbnRpZmllcilp6zVWRI3eCFNZAnxEjd4IIENJUS4uSVFfQkFTSUNfRVBTX0lOQ0wuOTkwLi4uLi5IBQAAAAAAAAAIAAAAFChJbnZhbGlkIElkZW50aWZpZXIpehI2VkSN3ggPCAR8RI3eCB5DSVEuLklRX0xFR0FMX1NFVFRMRS45</t>
  </si>
  <si>
    <t>OTAuLi4uLkgFAAAAAAAAAAgAAAAUKEludmFsaWQgSWRlbnRpZmllcil6EjZWRI3eCP7JBXxEjd4IIkNJUS4uSVFfTkVUX0lOVEVSRVNUX0VYUC45OTAuLi4uLkgFAAAAAAAAAAgAAAAUKEludmFsaWQgSWRlbnRpZmllcil6EjZWRI3eCIdkB3xEjd4IH0NJUS4uSVFfRVhQTE9SRV9EUklMTC45OTAuLi4uLkgFAAAAAAAAAAgAAAAUKEludmFsaWQgSWRlbnRpZmllcil6EjZWRI3eCI1QCXxEjd4IIUNJUS4uSVFfRklOX0RJVl9JTlRfRVhQLjk5MC4uLi4uSAUAAAAAAAAACAAAABQoSW52YWxpZCBJZGVudGlmaWVyKXoSNlZEjd4IKMcJfESN3ggdQ0lRLi5JUV9PVEhFUl9BTU9SVC45OTAuLi4uLkgFAAAAAAAAAAgAAAAUKEludmFsaWQgSWRlbnRpZmllcil6EjZWRI3eCG//8XtEjd4IFENJUS4uSVFfTklfQ0YuLi4uLi5IBQAAAAAAAAAIAAAAFChJbnZhbGlkIElkZW50aWZpZXIpjDWIVkSN3giwr/J7RI3eCCVDSVEuLklRX1NUT0NLX09QVElPTlNfQ09NUC4yMDAwLi4uLi5IBQAAAAAAAAAIAAAAFChJbnZhbGlkIElkZW50aWZpZXIpehI2VkSN3gi2EfN7RI3eCCRDSVEuLklRX1NUT0NLX0JBU0VEX1RPVEFMLjIwMDAuLi4uLkgFAAAAAAAAAAgAAAAUKEludmFsaWQgSWRlbnRpZmllcil6EjZWRI3eCMbs83tEjd4IHUNJUS4uSVFfU1RPQ0tfQkFTRURfU00uLi4uLi5IBQAAAAAAAAAIAAAAFChJbnZhbGlkIElk</t>
  </si>
  <si>
    <t>ZW50aWZpZXIpIDhQVkSN3ghO3PR7RI3eCCRDSVEuLklRX0lNUFVUX09QRVJfTEVBU0VfREVQUi4uLi4uLkgFAAAAAAAAAAgAAAAUKEludmFsaWQgSWRlbnRpZmllcimMNYhWRI3eCLVa93tEjd4IKkNJUS4uSVFfRVhQTE9SRV9EUklMTF9FWFBfVE9UQUwuMjAwMC4uLi4uSAUAAAAAAAAACAAAABQoSW52YWxpZCBJZGVudGlmaWVyKXoSNlZEjd4I4IH3e0SN3ggfQ0lRLi5JUV9PVEhFUl9SRU5UQUwuMjAwMC4uLi4uSAUAAAAAAAAACAAAABQoSW52YWxpZCBJZGVudGlmaWVyKXoSNlZEjd4I3s/3e0SN3gggQ0lRLi5JUV9ORVRfUkVOVEFMX0VYUF9GTi4uLi4uLkgFAAAAAAAAAAgAAAAUKEludmFsaWQgSWRlbnRpZmllcimMNYhWRI3eCCm7+HtEjd4IGkNJUS4uSVFfQ0FTSF9JTlZFU1QuLi4uLi5IBQAAAAAAAAAIAAAAFChJbnZhbGlkIElkZW50aWZpZXIpjDWIVkSN3ggLzex7RI3eCB1DSVEuLklRX0NIQU5HRV9ERUZfVEFYLi4uLi4uSAUAAAAAAAAACAAAABQoSW52YWxpZCBJZGVudGlmaWVyKTs1kVZEjd4IdcPue0SN3gglQ0lRLi5JUV9PVEhFUl9JTlZFU1RfQUNUX1NVUFBMLi4uLi4uSAUAAAAAAAAACAAAABQoSW52YWxpZCBJZGVudGlmaWVyKSA4UFZEjd4IJfTse0SN3ggdQ0lRLi5JUV9DSEFOR0VfSU5DX1RBWC4uLi4uLkgFAAAAAAAAAAgAAAAUKEludmFsaWQgSWRlbnRpZmllcimMNYhWRI3eCJEq</t>
  </si>
  <si>
    <t>73tEjd4IIUNJUS4uSVFfQVNTRVRfV1JJVEVET1dOX0NGLi4uLi4uSAUAAAAAAAAACAAAABQoSW52YWxpZCBJZGVudGlmaWVyKYw1iFZEjd4IOGPxe0SN3ggYQ0lRLi5JUV9OSV9DRi4yMDAwLi4uLi5IBQAAAAAAAAAIAAAAFChJbnZhbGlkIElkZW50aWZpZXIpehI2VkSN3gh5iPJ7RI3eCClDSVEuLklRX1NUT0NLX0JBU0VEX0NPTVBfUFJFVEFYLjk5MC4uLi4uSAUAAAAAAAAACAAAABQoSW52YWxpZCBJZGVudGlmaWVyKXoSNlZEjd4IthHze0SN3ggfQ0lRLi5JUV9SRVNUUl9TVE9DS19DT01QLi4uLi4uSAUAAAAAAAAACAAAABQoSW52YWxpZCBJZGVudGlmaWVyKSA4UFZEjd4IVpvze0SN3ggmQ0lRLi5JUV9HQUlOX0JBUkdBSU5fQUNRX1NVUFBMRS4uLi4uLkgFAAAAAAAAAAgAAAAUKEludmFsaWQgSWRlbnRpZmllcilrX1BWRI3eCGY19ntEjd4IJUNJUS4uSVFfQVNTRVRfV1JJVEVET1dOX1NVUFBMRS4uLi4uLkgFAAAAAAAAAAgAAAAUKEludmFsaWQgSWRlbnRpZmllcimb/E9WRI3eCKmq9ntEjd4IH0NJUS4uSVFfQUlSQ1JBRlRfUkVOVC45OTAuLi4uLkgFAAAAAAAAAAgAAAAUKEludmFsaWQgSWRlbnRpZmllcil6EjZWRI3eCBD393tEjd4IGENJUS4uSVFfUkVTVEFURU1FTlRfSVMuLgUAAAAAAAAACAAAABQoSW52YWxpZCBJZGVudGlmaWVyKYw1iFZEjd4IrMz5e0SN3gggQ0lRLi5JUV9JTlZFU1RN</t>
  </si>
  <si>
    <t>RU5UX0lOQ09NRS4uLi4uLkgFAAAAAAAAAAgAAAAUKEludmFsaWQgSWRlbnRpZmllcinsI1BWRI3eCFsN/ntEjd4IKENJUS4uSVFfRUJJVEFfRVFfSU5DX0VYQ0xfU0JDLjIwMDAuLi4uLkgFAAAAAAAAAAgAAAAUKEludmFsaWQgSWRlbnRpZmllcil6EjZWRI3eCGPg/3tEjd4IJ0NJUS4uSVFfRUJJVERBX0xFQVNFX0FESlVTVEVELjk5MC4uLi4uSAUAAAAAAAAACAAAABQoSW52YWxpZCBJZGVudGlmaWVyKXoSNlZEjd4INC0BfESN3gggQ0lRLi5JUV9FQklUREFfRVFfSU5DLjIwMDAuLi4uLkgFAAAAAAAAAAgAAAAUKEludmFsaWQgSWRlbnRpZmllcil6EjZWRI3eCHx7AXxEjd4IIENJUS4uSVFfRElMVVRfRVBTX05PUk0uOTkwLi4uLi5IBQAAAAAAAAAIAAAAFChJbnZhbGlkIElkZW50aWZpZXIpehI2VkSN3gjwHAN8RI3eCBxDSVEuLklRX05JX0NPTVBBTlkuOTkwLi4uLi5IBQAAAAAAAAAIAAAAFChJbnZhbGlkIElkZW50aWZpZXIpehI2VkSN3ghP3wR8RI3eCB9DSVEuLklRX0lNUEFJUk1FTlRfR1cuOTkwLi4uLi5IBQAAAAAAAAAIAAAAFChJbnZhbGlkIElkZW50aWZpZXIpehI2VkSN3ghPoQZ8RI3eCBpDSVEuLklRX0VCVF9FWENMLjk5MC4uLi4uSAUAAAAAAAAACAAAABQoSW52YWxpZCBJZGVudGlmaWVyKXoSNlZEjd4IhhYHfESN3ggYQ0lRLi5JUV9SRF9FWFAuOTkwLi4uLi5IBQAAAAAAAAAIAAAA</t>
  </si>
  <si>
    <t>FChJbnZhbGlkIElkZW50aWZpZXIpehI2VkSN3ghTtAh8RI3eCB1DSVEuLklRX0lOVF9JTlZfSU5DLjk5MC4uLi4uSAUAAAAAAAAACAAAABQoSW52YWxpZCBJZGVudGlmaWVyKXoSNlZEjd4IYWMKfESN3ggZQ0lRLi5JUV9QRVJJT0RMRU5HVEhfQ0YuLgUAAAAAAAAACAAAABQoSW52YWxpZCBJZGVudGlmaWVyKTs1kVZEjd4I+3Lpe0SN3ggeQ0lRLi5JUV9JTlZFU1RfTE9BTlNfQ0YuLi4uLi5IBQAAAAAAAAAIAAAAFChJbnZhbGlkIElkZW50aWZpZXIpjDWIVkSN3ggzG+17RI3eCCBDSVEuLklRX1BST1ZfQkFEX0RFQlRTX0NGLi4uLi4uSAUAAAAAAAAACAAAABQoSW52YWxpZCBJZGVudGlmaWVyKTs1kVZEjd4ImZHwe0SN3ggUQ0lRLi5JUV9EQV9DRi4uLi4uLkgFAAAAAAAAAAgAAAAUKEludmFsaWQgSWRlbnRpZmllcimMNYhWRI3eCIIm8ntEjd4IHUNJUS4uSVFfREFfU1VQUExfQ0YuOTkwLi4uLi5IBQAAAAAAAAAIAAAAFChJbnZhbGlkIElkZW50aWZpZXIpehI2VkSN3gh5iPJ7RI3eCCNDSVEuLklRX1JFU1RSX1NUT0NLX0NPTVAuMjAwMC4uLi4uSAUAAAAAAAAACAAAABQoSW52YWxpZCBJZGVudGlmaWVyKXoSNlZEjd4IMXTze0SN3ggiQ0lRLi5JUV9TVE9DS19CQVNFRF9TR0EuMjAwMC4uLi4uSAUAAAAAAAAACAAAABQoSW52YWxpZCBJZGVudGlmaWVyKXoSNlZEjd4IJWf0e0SN3gggQ0lRLi5JUV9T</t>
  </si>
  <si>
    <t>VE9DS19CQVNFRF9TTS45OTAuLi4uLkgFAAAAAAAAAAgAAAAUKEludmFsaWQgSWRlbnRpZmllcil6EjZWRI3eCE7c9HtEjd4IKkNJUS4uSVFfR0FJTl9CQVJHQUlOX0FDUV9TVVBQTEUuMjAwMC4uLi4uSAUAAAAAAAAACAAAABQoSW52YWxpZCBJZGVudGlmaWVyKXoSNlZEjd4IbQ72e0SN3ggpQ0lRLi5JUV9BU1NFVF9XUklURURPV05fU1VQUExFLjIwMDAuLi4uLkgFAAAAAAAAAAgAAAAUKEludmFsaWQgSWRlbnRpZmllcil6EjZWRI3eCKKD9ntEjd4IIUNJUS4uSVFfUkVTVFJVQ1RVUkVfU1VQUExFLi4uLi4uSAUAAAAAAAAACAAAABQoSW52YWxpZCBJZGVudGlmaWVyKYw1iFZEjd4IwB/3e0SN3ggjQ0lRLi5JUV9DT05USU5HRU5UX1JFTlRBTC45OTAuLi4uLkgFAAAAAAAAAAgAAAAUKEludmFsaWQgSWRlbnRpZmllcil6EjZWRI3eCBwe+HtEjd4IIUNJUS4uSVFfSU5WRVNUX1NFQ1VSSVRZX0NGLi4uLi4uSAUAAAAAAAAACAAAABQoSW52YWxpZCBJZGVudGlmaWVyKTs1kVZEjd4ISULte0SN3gggQ0lRLi5JUV9DSEFOR0VfVU5FQVJOX1JFVi4uLi4uLkgFAAAAAAAAAAgAAAAUKEludmFsaWQgSWRlbnRpZmllcimMNYhWRI3eCN9R73tEjd4IIkNJUS4uSVFfVEFYX0JFTkVGSVRfT1BUSU9OUy4uLi4uLkgFAAAAAAAAAAgAAAAUKEludmFsaWQgSWRlbnRpZmllcikgOFBWRI3eCMm48HtEjd4IJENJUS4uSVFf</t>
  </si>
  <si>
    <t>QVNTRVRfV1JJVEVET1dOX0NGLjk5MC4uLi4uSAUAAAAAAAAACAAAABQoSW52YWxpZCBJZGVudGlmaWVyKXoSNlZEjd4IOGPxe0SN3ggrQ0lRLi5JUV9TVE9DS19CQVNFRF9FWFBMT1JFX0RSSUxMLjk5MC4uLi4uSAUAAAAAAAAACAAAABQoSW52YWxpZCBJZGVudGlmaWVyKXoSNlZEjd4IJWf0e0SN3ggnQ0lRLi5JUV9PVEhFUl9VTlVTVUFMX1NVUFBMRS4yMDAwLi4uLi5IBQAAAAAAAAAIAAAAFChJbnZhbGlkIElkZW50aWZpZXIpehI2VkSN3giPePV7RI3eCCNDSVEuLklRX0lOU19TRVRUTEVfU1VQUExFLjk5MC4uLi4uSAUAAAAAAAAACAAAABQoSW52YWxpZCBJZGVudGlmaWVyKXoSNlZEjd4IZjX2e0SN3gglQ0lRLi5JUV9SRVNUUlVDVFVSRV9TVVBQTEUuMjAwMC4uLi4uSAUAAAAAAAAACAAAABQoSW52YWxpZCBJZGVudGlmaWVyKXoSNlZEjd4Izvj2e0SN3ggeQ0lRLi5JUV9TQUxFU19NQVJLRVRJTkcuLi4uLi5IBQAAAAAAAAAIAAAAFChJbnZhbGlkIElkZW50aWZpZXIpa19QVkSN3ghwCfl7RI3eCCFDSVEuLklRX01JU0NfQURKVVNUX0NGLjIwMDAuLi4uLkgFAAAAAAAAAAgAAAAUKEludmFsaWQgSWRlbnRpZmllcil6EjZWRI3eCCma6XtEjd4IJENJUS4uSVFfQ0hBTkdFX1VORUFSTl9SRVYuMjAwMC4uLi4uSAUAAAAAAAAACAAAABQoSW52YWxpZCBJZGVudGlmaWVyKXoSNlZEjd4IkSrve0SN3ggX</t>
  </si>
  <si>
    <t>Q0lRLi5JUV9EQV9DRi45OTAuLi4uLkgFAAAAAAAAAAgAAAAUKEludmFsaWQgSWRlbnRpZmllcil6EjZWRI3eCG//8XtEjd4IJ0NJUS4uSVFfSU1QVVRfT1BFUl9MRUFTRV9ERVBSLjk5MC4uLi4uSAUAAAAAAAAACAAAABQoSW52YWxpZCBJZGVudGlmaWVyKXoSNlZEjd4ItVr3e0SN3gggQ0lRLi5JUV9NSVNDX0FESlVTVF9DRi45OTAuLi4uLkgFAAAAAAAAAAgAAAAUKEludmFsaWQgSWRlbnRpZmllcil6EjZWRI3eCCma6XtEjd4IJkNJUS4uSVFfU0FMRV9SRUFMX0VTVEFURV9DRi4yMDAwLi4uLi5IBQAAAAAAAAAIAAAAFChJbnZhbGlkIElkZW50aWZpZXIpehI2VkSN3ghSae17RI3eCB9DSVEuLklRX1NUT0NLX0JBU0VEX0NPTVAuLi4uLi5IBQAAAAAAAAAIAAAAFChJbnZhbGlkIElkZW50aWZpZXIpIDhQVkSN3ggC1/J7RI3eCCFDSVEuLklRX1NUT0NLX09QVElPTlNfQ09NUC4uLi4uLkgFAAAAAAAAAAgAAAAUKEludmFsaWQgSWRlbnRpZmllcimMNYhWRI3eCPUl83tEjd4IHkNJUS4uSVFfU1RPQ0tfQkFTRURfU0dBLi4uLi4uSAUAAAAAAAAACAAAABQoSW52YWxpZCBJZGVudGlmaWVyKSA4UFZEjd4IPI70e0SN3ggbQ0lRLi5JUV9PVEhFUl9SRU5UQUwuLi4uLi5IBQAAAAAAAAAIAAAAFChJbnZhbGlkIElkZW50aWZpZXIpjDWIVkSN3ggQ9/d7RI3eCBFDSVEuLklRX0dBQVBfSVMuLgUAAAAAAAAACAAA</t>
  </si>
  <si>
    <t>ABQoSW52YWxpZCBJZGVudGlmaWVyKYw1iFZEjd4InH75e0SN3ggcQ0lRLi5JUV9DVVJSX1RBWEVTLjk5MC4uLi4uSAUAAAAAAAAACAAAABQoSW52YWxpZCBJZGVudGlmaWVyKXoSNlZEjd4I+Un9e0SN3ggdQ0lRLi5JUV9DQVNIX0ZJTkFOLjIwMDAuLi4uLkgFAAAAAAAAAAgAAAAUKEludmFsaWQgSWRlbnRpZmllcil6EjZWRI3eCD/B6XtEjd4IIkNJUS4uSVFfU0FMRV9SRUFMX0VTVEFURV9DRi4uLi4uLkgFAAAAAAAAAAgAAAAUKEludmFsaWQgSWRlbnRpZmllcikgOFBWRI3eCPGc7XtEjd4IHUNJUS4uSVFfR0FJTl9JTlZFU1RfQ0YuLi4uLi5IBQAAAAAAAAAIAAAAFChJbnZhbGlkIElkZW50aWZpZXIpIDhQVkSN3gg/ivF7RI3eCCNDSVEuLklRX1NUT0NLX0JBU0VEX0NPTVAuMjAwMC4uLi4uSAUAAAAAAAAACAAAABQoSW52YWxpZCBJZGVudGlmaWVyKXoSNlZEjd4IsK/ye0SN3ggdQ0lRLi5JUV9TVE9DS19CQVNFRF9BVC4uLi4uLkgFAAAAAAAAAAgAAAAUKEludmFsaWQgSWRlbnRpZmllcimMNYhWRI3eCBtA9HtEjd4IHUNJUS4uSVFfU1RPQ0tfQkFTRURfUkQuLi4uLi5IBQAAAAAAAAAIAAAAFChJbnZhbGlkIElkZW50aWZpZXIpjDWIVkSN3giEA/V7RI3eCCJDSVEuLklRX0xFR0FMX1NFVFRMRV9TVVBQTEUuLi4uLi5IBQAAAAAAAAAIAAAAFChJbnZhbGlkIElkZW50aWZpZXIpIDhQVkSN3ghq5/V7</t>
  </si>
  <si>
    <t>RI3eCB9DSVEuLklRX0dBSU5fQkFSR0FJTl9BQ1EuLi4uLi5IBQAAAAAAAAAIAAAAFChJbnZhbGlkIElkZW50aWZpZXIpjDWIVkSN3giVXPZ7RI3eCCJDSVEuLklRX1NBTEVTX01BUktFVElORy4yMDAwLi4uLi5IBQAAAAAAAAAIAAAAFChJbnZhbGlkIElkZW50aWZpZXIpehI2VkSN3ghwCfl7RI3eCBpDSVEuLklRX1BBWU9VVF9SQVRJTy4yMDAwLgUAAAAAAAAACAAAABQoSW52YWxpZCBJZGVudGlmaWVyKXoSNlZEjd4Ini76e0SN3ggvQ0lRLi5JUV9ESVNUUklCVVRBQkxFX0NBU0hfU0hBUkVTX0RJTFVURUQuMjAwMC4FAAAAAAAAAAgAAAAUKEludmFsaWQgSWRlbnRpZmllcil6EjZWRI3eCMmnAnxEjd4IHENJUS4uSVFfQ0FTSF9GSU5BTi45OTAuLi4uLkgFAAAAAAAAAAgAAAAUKEludmFsaWQgSWRlbnRpZmllcil6EjZWRI3eCCTo6XtEjd4IHENJUS4uSVFfRElWRVNUX0NGLjIwMDAuLi4uLkgFAAAAAAAAAAgAAAAUKEludmFsaWQgSWRlbnRpZmllcil6EjZWRI3eCPGc7XtEjd4IGENJUS4uSVFfQ0hBTkdFX0FQLi4uLi4uSAUAAAAAAAAACAAAABQoSW52YWxpZCBJZGVudGlmaWVyKSA4UFZEjd4I7Xjve0SN3gghQ0lRLi5JUV9HQUlOX0lOVkVTVF9DRi4yMDAwLi4uLi5IBQAAAAAAAAAIAAAAFChJbnZhbGlkIElkZW50aWZpZXIpehI2VkSN3gg/ivF7RI3eCBlDSVEuLklRX09JTF9JTVBBSVIuLi4uLi5I</t>
  </si>
  <si>
    <t>BQAAAAAAAAAIAAAAFChJbnZhbGlkIElkZW50aWZpZXIpjDWIVkSN3giyTfJ7RI3eCCNDSVEuLklRX1JFU1RSX1NUT0NLX0NPTVBfVEFYLi4uLi4uSAUAAAAAAAAACAAAABQoSW52YWxpZCBJZGVudGlmaWVyKYw1iFZEjd4I+MTze0SN3ggkQ0lRLi5JUV9ORUdBVElWRV9HV19BTU9SVC4yMDAwLi4uLi5IBQAAAAAAAAAIAAAAFChJbnZhbGlkIElkZW50aWZpZXIpehI2VkSN3giEUfV7RI3eCCNDSVEuLklRX0dBSU5fQkFSR0FJTl9BQ1EuMjAwMC4uLi4uSAUAAAAAAAAACAAAABQoSW52YWxpZCBJZGVudGlmaWVyKXoSNlZEjd4IZjX2e0SN3ggoQ0lRLi5JUV9BU1NFVF9XUklURURPV05fU1VQUExFLjk5MC4uLi4uSAUAAAAAAAAACAAAABQoSW52YWxpZCBJZGVudGlmaWVyKXoSNlZEjd4IooP2e0SN3ggdQ0lRLi5JUV9BRFZFUlRJU0lORy45OTAuLi4uLkgFAAAAAAAAAAgAAAAUKEludmFsaWQgSWRlbnRpZmllcil6EjZWRI3eCHBX+XtEjd4IFUNJUS4uSVFfRElDLjk5MC4uLi4uSAUAAAAAAAAACAAAABQoSW52YWxpZCBJZGVudGlmaWVyKXoSNlZEjd4Ini76e0SN3ggmQ0lRLi5JUV9OT05DQVNIX1BFTlNJT05fRVhQLjIwMDAuLi4uLkgFAAAAAAAAAAgAAAAUKEludmFsaWQgSWRlbnRpZmllcil6EjZWRI3eCOC4+3tEjd4IJ0NJUS4uSVFfVE9UQUxfUkVWX0FTX1JFUE9SVEVELjk5MC4uLi4uSAUAAAAAAAAA</t>
  </si>
  <si>
    <t>CAAAABQoSW52YWxpZCBJZGVudGlmaWVyKXoSNlZEjd4I8cP+e0SN3ggfQ0lRLi5JUV9FQklUREFfQ0FQRVguMjAwMC4uLi4uSAUAAAAAAAAACAAAABQoSW52YWxpZCBJZGVudGlmaWVyKXoSNlZEjd4ICB3/e0SN3ggmQ0lRLi5JUV9FQklUREFSX0VRX0lOQ19FWENMX1NCQy4uLi4uLkgFAAAAAAAAAAgAAAAUKEludmFsaWQgSWRlbnRpZmllcimb/E9WRI3eCDpr/3tEjd4IJENJUS4uSVFfTkVUX1JFTlRBTF9FWFBfRk4uMjAwMC4uLi4uSAUAAAAAAAAACAAAABQoSW52YWxpZCBJZGVudGlmaWVyKXoSNlZEjd4IMoD4e0SN3ggpQ0lRLi5JUV9FWENJU0VfVEFYRVNfRVhDTF9TQUxFUy45OTAuLi4uLkgFAAAAAAAAAAgAAAAUKEludmFsaWQgSWRlbnRpZmllcil6EjZWRI3eCGPm/XtEjd4IGUNJUS4uSVFfRElMVVRfV0VJR0hULjk5MC4FAAAAAAAAAAgAAAAUKEludmFsaWQgSWRlbnRpZmllcil6EjZWRI3eCIh+A3xEjd4IIENJUS4uSVFfTklfQVZBSUxfSU5DTC4yMDAwLi4uLi5IBQAAAAAAAAAIAAAAFChJbnZhbGlkIElkZW50aWZpZXIpehI2VkSN3ggdLwR8RI3eCCFDSVEuLklRX0FTU0VUX1dSSVRFRE9XTi45OTAuLi4uLkgFAAAAAAAAAAgAAAAUKEludmFsaWQgSWRlbnRpZmllcil6EjZWRI3eCEw/BnxEjd4IJ0NJUS4uSVFfRUJJVF9FUV9JTkNfRVhDTF9TQkMuMjAwMC4uLi4uSAUAAAAAAAAACAAAABQo</t>
  </si>
  <si>
    <t>SW52YWxpZCBJZGVudGlmaWVyKXoSNlZEjd4I+WkAfESN3ggeQ0lRLi5JUV9UT1RBTF9SRVZfU0hBUkUuLi4uLi5IBQAAAAAAAAAIAAAAFChJbnZhbGlkIElkZW50aWZpZXIp/xRCVkSN3ghTWQJ8RI3eCB9DSVEuLklRX05JX0FWQUlMX0VYQ0wuOTkwLi4uLi5IBQAAAAAAAAAIAAAAFChJbnZhbGlkIElkZW50aWZpZXIpXTk2VkSN3ggdLwR8RI3eCB9DSVEuLklRX0NVUlJFTkNZX0dBSU4uOTkwLi4uLi5IBQAAAAAAAAAIAAAAFChJbnZhbGlkIElkZW50aWZpZXIpXTk2VkSN3giCPQd8RI3eCB9DSVEuLklRX1BSRV9PUEVOX0NPU1QuOTkwLi4uLi5IBQAAAAAAAAAIAAAAFChJbnZhbGlkIElkZW50aWZpZXIpXTk2VkSN3gh42wh8RI3eCCJDSVEuLklRX0ZJTl9ESVZfSU5UX0VYUC4yMDAwLi4uLi5IBQAAAAAAAAAIAAAAFChJbnZhbGlkIElkZW50aWZpZXIpXTk2VkSN3gjLdwl8RI3eCB1DSVEuLklRX0lOU19ESVZfRVhQLjk5MC4uLi4uSAUAAAAAAAAACAAAABQoSW52YWxpZCBJZGVudGlmaWVyKV05NlZEjd4IKMcJfESN3gghQ0lRLi5JUV9HQUlOX0FTU0VUU19SRVYuOTkwLi4uLi5IBQAAAAAAAAAIAAAAFChJbnZhbGlkIElkZW50aWZpZXIpXTk2VkSN3gibsQp8RI3eCB1DSVEuLklRX0ZJTl9ESVZfUkVWLjk5MC4uLi4uSAUAAAAAAAAACAAAABQoSW52YWxpZCBJZGVudGlmaWVyKV05NlZEjd4IthMLfESN</t>
  </si>
  <si>
    <t>3ggaQ0lRLi5JUV9PUEVSX0lOQy45OTAuLi4uLkgFAAAAAAAAAAgAAAAUKEludmFsaWQgSWRlbnRpZmllcildOTZWRI3eCLvtB3xEjd4IGkNJUS4uSVFfREFfU1VQUEwuOTkwLi4uLi5IBQAAAAAAAAAIAAAAFChJbnZhbGlkIElkZW50aWZpZXIpXTk2VkSN3ghDjQh8RI3eCCJDSVEuLklRX0dBSU5fSU5WRVNUX1JFVi4yMDAwLi4uLi5IBQAAAAAAAAAIAAAAFChJbnZhbGlkIElkZW50aWZpZXIpXTk2VkSN3ghhYwp8RI3eCCJDSVEuLklRX09USEVSX1JFVl9TVVBQTC4yMDAwLi4uLi5IBQAAAAAAAAAIAAAAFChJbnZhbGlkIElkZW50aWZpZXIpXTk2VkSN3ghWPAp8RI3eCBVDSVEuLklRX1JFVi45OTAuLi4uLkgFAAAAAAAAAAgAAAAUKEludmFsaWQgSWRlbnRpZmllcildOTZWRI3eCM06C3xEjd4IKUNJUS4uSVFfTEVBU0VfQURKVVNUTUVOVF9FQklUREEuOTkwLi4uLi5IBQAAAAAAAAAIAAAAFChJbnZhbGlkIElkZW50aWZpZXIpXTk2VkSN3ggoBgF8RI3eCCxDSVEuLklRX0RJU1RSSUJVVEFCTEVfQ0FTSF9TSEFSRVNfQkFTSUMuOTkwLgUAAAAAAAAACAAAABQoSW52YWxpZCBJZGVudGlmaWVyKZv8T1ZEjd4IuM4CfESN3ggfQ0lRLi5JUV9JTlRFUkVTVF9FWFAuMjAwMC4uLi4uSAUAAAAAAAAACAAAABQoSW52YWxpZCBJZGVudGlmaWVyKV05NlZEjd4IkcYHfESN3ggdQ0lRLi5JUV9QRVJJT0RMRU5HVEhf</t>
  </si>
  <si>
    <t>SVMuMjAwMC4FAAAAAAAAAAgAAAAUKEludmFsaWQgSWRlbnRpZmllcildOTZWRI3eCKDJAXxEjd4IHkNJUS4uSVFfSU5URVJFU1RfRVhQLjk5MC4uLi4uSAUAAAAAAAAACAAAABQoSW52YWxpZCBJZGVudGlmaWVyKV05NlZEjd4IkcYHfESN3gghQ0lRLi5JUV9CQVNJQ19FUFNfRVhDTC4yMDAwLi4uLi5IBQAAAAAAAAAIAAAAFChJbnZhbGlkIElkZW50aWZpZXIpXTk2VkSN3gjwzAN8RI3eCCRDSVEuLklRX0lOVkVTVE1FTlRfSU5DT01FLjIwMDAuLi4uLkgFAAAAAAAAAAgAAAAUKEludmFsaWQgSWRlbnRpZmllcildOTZWRI3eCGPm/XtEjd4IHkNJUS4uSVFfSU5TX0RJVl9SRVYuMjAwMC4uLi4uSAUAAAAAAAAACAAAABQoSW52YWxpZCBJZGVudGlmaWVyKV05NlZEjd4Im7EKfESN3ggfQ0lRLi5JUV9FQklUX0VYQ0xfU0JDLjk5MC4uLi4uSAUAAAAAAAAACAAAABQoSW52YWxpZCBJZGVudGlmaWVyKV05NlZEjd4I+WkAfESN3ggoQ0lRLi5JUV9FQklUREFfRVFfSU5DX0VYQ0xfU0JDLjk5MC4uLi4uSAUAAAAAAAAACAAAABQoSW52YWxpZCBJZGVudGlmaWVyKV05NlZEjd4IfHsBfESN3ggUQ0lRLi5JUV9HUC45OTAuLi4uLkgFAAAAAAAAAAgAAAAUKEludmFsaWQgSWRlbnRpZmllcildOTZWRI3eCDygCXxEjd4IHUNJUS4uSVFfRklOX0RJVl9FWFAuOTkwLi4uLi5IBQAAAAAAAAAIAAAAFChJbnZhbGlkIElk</t>
  </si>
  <si>
    <t>ZW50aWZpZXIpXTk2VkSN3ghj7gl8RI3eCB1DSVEuLklRX0VCSVRfRVFfSU5DLjk5MC4uLi4uSAUAAAAAAAAACAAAABQoSW52YWxpZCBJZGVudGlmaWVyKV05NlZEjd4IHZEAfESN3ggdQ0lRLi5JUV9JTkNfRVFVSVRZLjIwMDAuLi4uLkgFAAAAAAAAAAgAAAAUKEludmFsaWQgSWRlbnRpZmllcildOTZWRI3eCIdkB3xEjd4IMUNJUS4uSVFfRElTVFJJQlVUQUJMRV9DQVNIX1NUQU5EQVJESVpFRC45OTAuLi4uLkgFAAAAAAAAAAgAAAAUKEludmFsaWQgSWRlbnRpZmllcildOTZWRI3eCM1q+3tEjd4IJUNJUS4uSVFfSU5URVJFU1RfSU5WRVNUX0lOQy45OTAuLi4uLkgFAAAAAAAAAAgAAAAUKEludmFsaWQgSWRlbnRpZmllcildOTZWRI3eCJHGB3xEjd4IHkNJUS4uSVFfSU5TX0RJVl9FWFAuMjAwMC4uLi4uSAUAAAAAAAAACAAAABQoSW52YWxpZCBJZGVudGlmaWVyKV05NlZEjd4IKMcJfESN3ggpQ0lRLi5JUV9ERUZFUlJFRF9GT1JFSUdOX1RBWEVTLjIwMDAuLi4uLkgFAAAAAAAAAAgAAAAUKEludmFsaWQgSWRlbnRpZmllcildOTZWRI3eCOrn/HtEjd4IIkNJUS4uSVFfVE9UQUxfUkVWX1NIQVJFLjIwMDAuLi4uLkgFAAAAAAAAAAgAAAAUKEludmFsaWQgSWRlbnRpZmllcildOTZWRI3eCKsrAnxEjd4IIUNJUS4uSVFfT1RIRVJfUkVWX1NVUFBMLjk5MC4uLi4uSAUAAAAAAAAACAAAABQoSW52YWxpZCBJ</t>
  </si>
  <si>
    <t>ZGVudGlmaWVyKV05NlZEjd4IYWMKfESN3ggmQ0lRLi5JUV9PVEhFUl9VTlVTVUFMX1NVUFBMLjIwMDAuLi4uLkgFAAAAAAAAAAgAAAAUKEludmFsaWQgSWRlbnRpZmllcildOTZWRI3eCOF7BXxEjd4IHkNJUS4uSVFfRklOX0RJVl9FWFAuMjAwMC4uLi4uSAUAAAAAAAAACAAAABQoSW52YWxpZCBJZGVudGlmaWVyKV05NlZEjd4IKMcJfESN3ggUQ0lRLi5JUV9OSS45OTAuLi4uLkgFAAAAAAAAAAgAAAAUKEludmFsaWQgSWRlbnRpZmllcildOTZWRI3eCEOkBHxEjd4IHENJUS4uSVFfSU5TX1NFVFRMRS45OTAuLi4uLkgFAAAAAAAAAAgAAAAUKEludmFsaWQgSWRlbnRpZmllcildOTZWRI3eCBDxBXxEjd4IG0NJUS4uSVFfVE9UQUxfUkVWLjk5MC4uLi4uSAUAAAAAAAAACAAAABQoSW52YWxpZCBJZGVudGlmaWVyKV05NlZEjd4IVjwKfESN3ggbQ0lRLi5JUV9ESUxVVF9OSS4yMDAwLi4uLi5IBQAAAAAAAAAIAAAAFChJbnZhbGlkIElkZW50aWZpZXIpXTk2VkSN3gi9Xvx7RI3eCCNDSVEuLklRX1RPVEFMX09USEVSX09QRVIuMjAwMC4uLi4uSAUAAAAAAAAACAAAABQoSW52YWxpZCBJZGVudGlmaWVyKV05NlZEjd4Iu+0HfESN3gghQ0lRLi5JUV9HQUlOX0lOVkVTVF9SRVYuOTkwLi4uLi5IBQAAAAAAAAAIAAAAFChJbnZhbGlkIElkZW50aWZpZXIpXTk2VkSN3ghwigp8RI3eCBZDSVEuLklRX0RJQy4yMDAw</t>
  </si>
  <si>
    <t>Li4uLi5IBQAAAAAAAAAIAAAAFChJbnZhbGlkIElkZW50aWZpZXIpXTk2VkSN3gjJ8/l7RI3eCBtDSVEuLklRX09QRVJfSU5DLjIwMDAuLi4uLkgFAAAAAAAAAAgAAAAUKEludmFsaWQgSWRlbnRpZmllcildOTZWRI3eCJHGB3xEjd4IK0NJUS4uSVFfRUFSTklOR19QQVJFTlRfRVhDTF9FWFRSQS45OTAuLi4uLkgFAAAAAAAAAAgAAAAUKEludmFsaWQgSWRlbnRpZmllcildOTZWRI3eCKZ1/ntEjd4IFENJUS4uSVFfRE8uOTkwLi4uLi5IBQAAAAAAAAAIAAAAFChJbnZhbGlkIElkZW50aWZpZXIpXTk2VkSN3gjaLQV8RI3eCCBDSVEuLklRX1BSRUZfRElWX09USEVSLjk5MC4uLi4uSAUAAAAAAAAACAAAABQoSW52YWxpZCBJZGVudGlmaWVyKV05NlZEjd4IIn0EfESN3ggmQ0lRLi5JUV9JTlRFUkVTVF9JTlZFU1RfSU5DLjIwMDAuLi4uLkgFAAAAAAAAAAgAAAAUKEludmFsaWQgSWRlbnRpZmllcildOTZWRI3eCIdkB3xEjd4IGUNJUS4uSVFfQkFTSUNfV0VJR0hULjk5MC4FAAAAAAAAAAgAAAAUKEludmFsaWQgSWRlbnRpZmllcildOTZWRI3eCNHgA3xEjd4IHUNJUS4uSVFfUkVTVFJVQ1RVUkUuOTkwLi4uLi5IBQAAAAAAAAAIAAAAFChJbnZhbGlkIElkZW50aWZpZXIpXTk2VkSN3ghT7wZ8RI3eCCNDSVEuLklRX1NUT0NLX0JBU0VEX09USEVSLjk5MC4uLi4uSAUAAAAAAAAACAAAABQoSW52YWxpZCBJZGVu</t>
  </si>
  <si>
    <t>dGlmaWVyKV05NlZEjd4IJWf0e0SN3ggdQ0lRLi5JUV9DVVJSX1RBWEVTLjIwMDAuLi4uLkgFAAAAAAAAAAgAAAAUKEludmFsaWQgSWRlbnRpZmllcildOTZWRI3eCBE2/XtEjd4II0NJUS4uSVFfSU5WRVNUTUVOVF9JTkNPTUUuOTkwLi4uLi5IBQAAAAAAAAAIAAAAFChJbnZhbGlkIElkZW50aWZpZXIpXTk2VkSN3ghj5v17RI3eCCdDSVEuLklRX0VCSVRBX0VRX0lOQ19FWENMX1NCQy45OTAuLi4uLkgFAAAAAAAAAAgAAAAUKEludmFsaWQgSWRlbnRpZmllcildOTZWRI3eCH4HAHxEjd4IG0NJUS4uSVFfRVBTX05PUk0uMjAwMC4uLi4uSAUAAAAAAAAACAAAABQoSW52YWxpZCBJZGVudGlmaWVyKV05NlZEjd4I8BwDfESN3gggQ0lRLi5JUV9CQVNJQ19FUFNfRVhDTC45OTAuLi4uLkgFAAAAAAAAAAgAAAAUKEludmFsaWQgSWRlbnRpZmllcildOTZWRI3eCNHgA3xEjd4IHkNJUS4uSVFfRUJJVF9FUV9JTkMuMjAwMC4uLi4uSAUAAAAAAAAACAAAABQoSW52YWxpZCBJZGVudGlmaWVyKV05NlZEjd4IHZEAfESN3ggZQ0lRLi5JUV9ORVRfQ0hBTkdFLi4uLi4uSAUAAAAAAAAACAAAABQoSW52YWxpZCBJZGVudGlmaWVyKYw1iFZEjd4I+3Lpe0SN3ggRQ0lRLi5JUV9GWC4uLi4uLkgFAAAAAAAAAAgAAAAUKEludmFsaWQgSWRlbnRpZmllcik7NZFWRI3eCD/B6XtEjd4IJkNJUS4uSVFfT1RIRVJfRklOQU5DRV9B</t>
  </si>
  <si>
    <t>Q1RfU1VQUEwuLi4uLi5IBQAAAAAAAAAIAAAAFChJbnZhbGlkIElkZW50aWZpZXIpIDhQVkSN3ghCD+p7RI3eCCVDSVEuLklRX0NPTU1PTl9QUkVGX0RJVl9DRi4yMDAwLi4uLi5IBQAAAAAAAAAIAAAAFChJbnZhbGlkIElkZW50aWZpZXIpn59BVkSN3ghdNup7RI3eCB1DSVEuLklRX1BSRUZfRElWX0NGLjk5MC4uLi4uSAUAAAAAAAAACAAAABQoSW52YWxpZCBJZGVudGlmaWVyKZ+fQVZEjd4Ipq3qe0SN3ggeQ0lRLi5JUV9QUkVGX0lTU1VFRC4yMDAwLi4uLi5IBQAAAAAAAAAIAAAAFChJbnZhbGlkIElkZW50aWZpZXIpn59BVkSN3gihH+t7RI3eCBxDSVEuLklRX0NPTU1PTl9JU1NVRUQuLi4uLi5IBQAAAAAAAAAIAAAAFChJbnZhbGlkIElkZW50aWZpZXIpIDhQVkSN3gghvOt7RI3eCB1DSVEuLklRX0xUX0RFQlRfUkVQQUlELi4uLi4uSAUAAAAAAAAACAAAABQoSW52YWxpZCBJZGVudGlmaWVyKTs1kVZEjd4ILwrse0SN3gggQ0lRLi5JUV9UT1RBTF9ERUJUX0lTU1VFRC4uLi4uLkgFAAAAAAAAAAgAAAAUKEludmFsaWQgSWRlbnRpZmllcikjDpFWRI3eCPtr7HtEjd4IHkNJUS4uSVFfQ0FTSF9JTlZFU1QuMjAwMC4uLi4uSAUAAAAAAAAACAAAABQoSW52YWxpZCBJZGVudGlmaWVyKZ+fQVZEjd4I1qXse0SN3ggcQ0lRLi5JUV9TQUxFX0lOVEFOX0NGLi4uLi4uSAUAAAAAAAAACAAAABQoSW52YWxpZCBJ</t>
  </si>
  <si>
    <t>ZGVudGlmaWVyKTs1kVZEjd4IUmnte0SN3ggeQ0lRLi5JUV9DQVNIX0FDUVVJUkVfQ0YuLi4uLi5IBQAAAAAAAAAIAAAAFChJbnZhbGlkIElkZW50aWZpZXIpOzWRVkSN3ghBxO17RI3eCBxDSVEuLklRX0NBU0hfT1BFUi4yMDAwLi4uLi5IBQAAAAAAAAAIAAAAFChJbnZhbGlkIElkZW50aWZpZXIpn59BVkSN3ghCJ+57RI3eCBhDSVEuLklRX0NIQU5HRV9BUi4uLi4uLkgFAAAAAAAAAAgAAAAUKEludmFsaWQgSWRlbnRpZmllcik7NZFWRI3eCKvH73tEjd4IJENJUS4uSVFfUFJPVl9CQURfREVCVFNfQ0YuMjAwMC4uLi4uSAUAAAAAAAAACAAAABQoSW52YWxpZCBJZGVudGlmaWVyKZ+fQVZEjd4Ikmrwe0SN3ggdQ0lRLi5JUV9TVE9DS19CQVNFRF9DRi4uLi4uLkgFAAAAAAAAAAgAAAAUKEludmFsaWQgSWRlbnRpZmllcik7NZFWRI3eCLvf8HtEjd4IHENJUS4uSVFfSU5DX0VRVUlUWV9DRi4uLi4uLkgFAAAAAAAAAAgAAAAUKEludmFsaWQgSWRlbnRpZmllcimMNYhWRI3eCMsG8XtEjd4IJUNJUS4uSVFfQVNTRVRfV1JJVEVET1dOX0NGLjIwMDAuLi4uLkgFAAAAAAAAAAgAAAAUKEludmFsaWQgSWRlbnRpZmllcimfn0FWRI3eCCc88XtEjd4II0NJUS4uSVFfTUlOT1JJVFlfSU5URVJFU1RfQ0YuLi4uLi5IBQAAAAAAAAAIAAAAFChJbnZhbGlkIElkZW50aWZpZXIpIDhQVkSN3ghn2PF7RI3eCCNDSVEuLklR</t>
  </si>
  <si>
    <t>X1RPVEFMX0RJVl9QQUlEX0NGLjk5MC4uLi4uSAUAAAAAAAAACAAAABQoSW52YWxpZCBJZGVudGlmaWVyKZ+fQVZEjd4Ie13qe0SN3ggaQ0lRLi5JUV9QUkVGX0RJVl9DRi4uLi4uLkgFAAAAAAAAAAgAAAAUKEludmFsaWQgSWRlbnRpZmllcik7NZFWRI3eCKat6ntEjd4IGkNJUS4uSVFfUFJFRl9SRVAuOTkwLi4uLi5IBQAAAAAAAAAIAAAAFChJbnZhbGlkIElkZW50aWZpZXIpn59BVkSN3gihH+t7RI3eCCBDSVEuLklRX0NPTU1PTl9JU1NVRUQuMjAwMC4uLi4uSAUAAAAAAAAACAAAABQoSW52YWxpZCBJZGVudGlmaWVyKZ+fQVZEjd4I+kbre0SN3gggQ0lRLi5JUV9TVF9ERUJUX0lTU1VFRC45OTAuLi4uLkgFAAAAAAAAAAgAAAAUKEludmFsaWQgSWRlbnRpZmllcimfn0FWRI3eCNal7HtEjd4IKENJUS4uSVFfT1RIRVJfSU5WRVNUX0FDVF9TVVBQTC45OTAuLi4uLkgFAAAAAAAAAAgAAAAUKEludmFsaWQgSWRlbnRpZmllcimfn0FWRI3eCCX07HtEjd4IGENJUS4uSVFfRElWRVNUX0NGLi4uLi4uSAUAAAAAAAAACAAAABQoSW52YWxpZCBJZGVudGlmaWVyKYw1iFZEjd4IQcTte0SN3ggXQ0lRLi5JUV9DQVBFWC45OTAuLi4uLkgFAAAAAAAAAAgAAAAUKEludmFsaWQgSWRlbnRpZmllcimfn0FWRI3eCEIn7ntEjd4IF0NJUS4uSVFfRE9fQ0YuOTkwLi4uLi5IBQAAAAAAAAAIAAAAFChJbnZhbGlkIElkZW50</t>
  </si>
  <si>
    <t>aWZpZXIpn59BVkSN3giSavB7RI3eCBpDSVEuLklRX0xPQU5TX0NGLjk5MC4uLi4uSAUAAAAAAAAACAAAABQoSW52YWxpZCBJZGVudGlmaWVyKZ+fQVZEjd4IJzzxe0SN3gggQ0lRLi5JUV9UT1RBTF9ESVZfUEFJRF9DRi4uLi4uLkgFAAAAAAAAAAgAAAAUKEludmFsaWQgSWRlbnRpZmllcik7NZFWRI3eCHtd6ntEjd4IHENJUS4uSVFfQ09NTU9OX0RJVl9DRi4uLi4uLkgFAAAAAAAAAAgAAAAUKEludmFsaWQgSWRlbnRpZmllcikgOFBWRI3eCKat6ntEjd4IGkNJUS4uSVFfUFJFRl9JU1NVRUQuLi4uLi5IBQAAAAAAAAAIAAAAFChJbnZhbGlkIElkZW50aWZpZXIpOzWRVkSN3gihH+t7RI3eCB1DSVEuLklRX1NUX0RFQlRfSVNTVUVELi4uLi4uSAUAAAAAAAAACAAAABQoSW52YWxpZCBJZGVudGlmaWVyKTs1kVZEjd4I1qXse0SN3gggQ0lRLi5JUV9TQUxFX0lOVEFOX0NGLjIwMDAuLi4uLkgFAAAAAAAAAAgAAAAUKEludmFsaWQgSWRlbnRpZmllcimfn0FWRI3eCElC7XtEjd4IFENJUS4uSVFfQ0FQRVguLi4uLi5IBQAAAAAAAAAIAAAAFChJbnZhbGlkIElkZW50aWZpZXIpIDhQVkSN3ghITu57RI3eCCFDSVEuLklRX1NUT0NLX0JBU0VEX0NGLjIwMDAuLi4uLkgFAAAAAAAAAAgAAAAUKEludmFsaWQgSWRlbnRpZmllcimfn0FWRI3eCMm48HtEjd4IHUNJUS4uSVFfR0FJTl9BU1NFVFNfQ0YuLi4uLi5IBQAA</t>
  </si>
  <si>
    <t>AAAAAAAIAAAAFChJbnZhbGlkIElkZW50aWZpZXIpjDWIVkSN3ghYsfF7RI3eCBRDSVEuLklRX0ZYLjk5MC4uLi4uSAUAAAAAAAAACAAAABQoSW52YWxpZCBJZGVudGlmaWVyKa/GQVZEjd4IP8Hpe0SN3ggkQ0lRLi5JUV9JTlZFU1RfU0VDVVJJVFlfQ0YuOTkwLi4uLi5IBQAAAAAAAAAIAAAAFChJbnZhbGlkIElkZW50aWZpZXIpr8ZBVkSN3ghJQu17RI3eCBpDSVEuLklRX1NBTEVfUFBFX0NGLi4uLi4uSAUAAAAAAAAACAAAABQoSW52YWxpZCBJZGVudGlmaWVyKTs1kVZEjd4IQifue0SN3gghQ0lRLi5JUV9DSEFOR0VfREVGX1RBWC4yMDAwLi4uLi5IBQAAAAAAAAAIAAAAFChJbnZhbGlkIElkZW50aWZpZXIpr8ZBVkSN3giPnO57RI3eCBtDSVEuLklRX0NIQU5HRV9BUi45OTAuLi4uLkgFAAAAAAAAAAgAAAAUKEludmFsaWQgSWRlbnRpZmllcimvxkFWRI3eCKvH73tEjd4IIUNJUS4uSVFfQ09NTU9OX1BSRUZfRElWX0NGLi4uLi4uSAUAAAAAAAAACAAAABQoSW52YWxpZCBJZGVudGlmaWVyKYw1iFZEjd4Ie13qe0SN3ggdQ0lRLi5JUV9TUEVDSUFMX0RJVl9DRi4uLi4uLkgFAAAAAAAAAAgAAAAUKEludmFsaWQgSWRlbnRpZmllcimMNYhWRI3eCF026ntEjd4IJUNJUS4uSVFfU0FMRV9SRUFMX0VTVEFURV9DRi45OTAuLi4uLkgFAAAAAAAAAAgAAAAUKEludmFsaWQgSWRlbnRpZmllcimvxkFWRI3eCPGc</t>
  </si>
  <si>
    <t>7XtEjd4IGENJUS4uSVFfQ0FTSF9PUEVSLi4uLi4uSAUAAAAAAAAACAAAABQoSW52YWxpZCBJZGVudGlmaWVyKTs1kVZEjd4IY3Xue0SN3gggQ0lRLi5JUV9PVEhFUl9PUEVSX0FDVC45OTAuLi4uLkgFAAAAAAAAAAgAAAAUKEludmFsaWQgSWRlbnRpZmllcimvxkFWRI3eCOIV8HtEjd4IIENJUS4uSVFfR0FJTl9JTlZFU1RfQ0YuOTkwLi4uLi5IBQAAAAAAAAAIAAAAFChJbnZhbGlkIElkZW50aWZpZXIpr8ZBVkSN3gg/ivF7RI3eCChDSVEuLklRX1NUT0NLX09QVElPTlNfQ09NUF9UQVguOTkwLi4uLi5IBQAAAAAAAAAIAAAAFChJbnZhbGlkIElkZW50aWZpZXIpr8ZBVkSN3ggiTfN7RI3eCCJDSVEuLklRX1NUT0NLX0JBU0VEX0NPR1MuOTkwLi4uLi5IBQAAAAAAAAAIAAAAFChJbnZhbGlkIElkZW50aWZpZXIpr8ZBVkSN3giEA/V7RI3eCCBDSVEuLklRX05FR0FUSVZFX0dXX0FNT1JULi4uLi4uSAUAAAAAAAAACAAAABQoSW52YWxpZCBJZGVudGlmaWVyKSA4UFZEjd4IhFH1e0SN3ggZQ0lRLi5JUV9DQVNIX0ZJTkFOLi4uLi4uSAUAAAAAAAAACAAAABQoSW52YWxpZCBJZGVudGlmaWVyKYw1iFZEjd4IJOjpe0SN3gghQ0lRLi5JUV9HQUlOX0FTU0VUU19DRi4yMDAwLi4uLi5IBQAAAAAAAAAIAAAAFChJbnZhbGlkIElkZW50aWZpZXIpr8ZBVkSN3gg/ivF7RI3eCCJDSVEuLklRX1JFU1RSX1NUT0NLX0NP</t>
  </si>
  <si>
    <t>TVAuOTkwLi4uLi5IBQAAAAAAAAAIAAAAFChJbnZhbGlkIElkZW50aWZpZXIpr8ZBVkSN3ghWm/N7RI3eCCFDSVEuLklRX1NUT0NLX0JBU0VEX1JELjIwMDAuLi4uLkgFAAAAAAAAAAgAAAAUKEludmFsaWQgSWRlbnRpZmllcimvxkFWRI3eCE7c9HtEjd4IJkNJUS4uSVFfTkVHQVRJVkVfR1dfQU1PUlRfQVQuOTkwLi4uLi5IBQAAAAAAAAAIAAAAFChJbnZhbGlkIElkZW50aWZpZXIpr8ZBVkSN3giEUfV7RI3eCCZDSVEuLklRX0xFR0FMX1NFVFRMRV9TVVBQTEUuMjAwMC4uLi4uSAUAAAAAAAAACAAAABQoSW52YWxpZCBJZGVudGlmaWVyKa/GQVZEjd4Ix5/1e0SN3ggpQ0lRLi5JUV9HQUlOX0JBUkdBSU5fQUNRX1NVUFBMRS45OTAuLi4uLkgFAAAAAAAAAAgAAAAUKEludmFsaWQgSWRlbnRpZmllcimvxkFWRI3eCGY19ntEjd4IJ0NJUS4uSVFfSU1QVVRfT1BFUl9MRUFTRV9JTlRfRVhQLi4uLi4uSAUAAAAAAAAACAAAABQoSW52YWxpZCBJZGVudGlmaWVyKWtfUFZEjd4I4IH3e0SN3ggoQ0lRLi5JUV9ORVRfUkVOVEFMX0VYUF9TVVBQTEUuMjAwMC4uLi4uSAUAAAAAAAAACAAAABQoSW52YWxpZCBJZGVudGlmaWVyKa/GQVZEjd4I71j4e0SN3ggsQ0lRLi5JUV9OT05SRUNVUlJJTkdfSU5DT01FX1RBWEVTLjIwMDAuLi4uLkgFAAAAAAAAAAgAAAAUKEludmFsaWQgSWRlbnRpZmllcimvxkFWRI3eCKuF/HtE</t>
  </si>
  <si>
    <t>jd4IJUNJUS4uSVFfQVNfUkVQT1JURURfRUJJVERBLjIwMDAuLi4uLkgFAAAAAAAAAAgAAAAUKEludmFsaWQgSWRlbnRpZmllcimvxkFWRI3eCBmd/ntEjd4II0NJUS4uSVFfRkVFU19PVEhFUl9JTkNPTUUuOTkwLi4uLi5IBQAAAAAAAAAIAAAAFChJbnZhbGlkIElkZW50aWZpZXIpr8ZBVkSN3ggIHf97RI3eCCpDSVEuLklRX0VCSVREQVJfRVFfSU5DX0VYQ0xfU0JDLjIwMDAuLi4uLkgFAAAAAAAAAAgAAAAUKEludmFsaWQgSWRlbnRpZmllcimvxkFWRI3eCDpr/3tEjd4IIUNJUS4uSVFfRUJJVERBX0VYQ0xfU0JDLjk5MC4uLi4uSAUAAAAAAAAACAAAABQoSW52YWxpZCBJZGVudGlmaWVyKbjtQVZEjd4INC0BfESN3ggkQ0lRLi5JUV9TUEVDSUFMX0RJVl9TSEFSRS4yMDAwLi4uLi5IBQAAAAAAAAAIAAAAFChJbnZhbGlkIElkZW50aWZpZXIpuO1BVkSN3gi2BAJ8RI3eCBpDSVEuLklRX0JBU0lDX1dFSUdIVC4yMDAwLgUAAAAAAAAACAAAABQoSW52YWxpZCBJZGVudGlmaWVyKbjtQVZEjd4IxaUDfESN3ggWQ0lRLi5JUV9FQlQuMjAwMC4uLi4uSAUAAAAAAAAACAAAABQoSW52YWxpZCBJZGVudGlmaWVyKbjtQVZEjd4I4XsFfESN3gggQ0lRLi5JUV9DVVJSRU5DWV9HQUlOLjIwMDAuLi4uLkgFAAAAAAAAAAgAAAAUKEludmFsaWQgSWRlbnRpZmllcim47UFWRI3eCIYWB3xEjd4IIENJUS4uSVFfU1BFQ0lB</t>
  </si>
  <si>
    <t>TF9ESVZfQ0YuOTkwLi4uLi5IBQAAAAAAAAAIAAAAFChJbnZhbGlkIElkZW50aWZpZXIpuO1BVkSN3ghdNup7RI3eCB9DSVEuLklRX0NIQU5HRV9JTlZFTlRPUlkuLi4uLi5IBQAAAAAAAAAIAAAAFChJbnZhbGlkIElkZW50aWZpZXIpOzWRVkSN3giToO97RI3eCB1DSVEuLklRX09JTF9JTVBBSVIuMjAwMC4uLi4uSAUAAAAAAAAACAAAABQoSW52YWxpZCBJZGVudGlmaWVyKbjtQVZEjd4Igibye0SN3gglQ0lRLi5JUV9TVE9DS19PUFRJT05TX0NPTVBfVEFYLi4uLi4uSAUAAAAAAAAACAAAABQoSW52YWxpZCBJZGVudGlmaWVyKYw1iFZEjd4IIk3ze0SN3ggkQ0lRLi5JUV9SRVNUUlVDVFVSRV9TVVBQTEUuOTkwLi4uLi5IBQAAAAAAAAAIAAAAFChJbnZhbGlkIElkZW50aWZpZXIpuO1BVkSN3gjO+PZ7RI3eCB1DSVEuLklRX0ZJTElOR19DVVJSRU5DWS4yMDAwLgUAAAAAAAAACAAAABQoSW52YWxpZCBJZGVudGlmaWVyKdPCnlZEjd4IrMz5e0SN3ggcQ0lRLi5JUV9DT01NT05fRElWLjk5MC4uLi4uSAUAAAAAAAAACAAAABQoSW52YWxpZCBJZGVudGlmaWVyKbjtQVZEjd4ITaT6e0SN3ggjQ0lRLi5JUV9ORVRfUkVOVEFMX0VYUF9GTi45OTAuLi4uLkgFAAAAAAAAAAgAAAAUKEludmFsaWQgSWRlbnRpZmllcim47UFWRI3eCCm7+HtEjd4IHkNJUS4uSVFfSU5UX0VYUF9MVEQuMjAwMC4uLi4uSAUAAAAAAAAA</t>
  </si>
  <si>
    <t>CAAAABQoSW52YWxpZCBJZGVudGlmaWVyKbjtQVZEjd4InxD8e0SN3gggQ0lRLi5JUV9FQklUX0VYQ0xfU0JDLjIwMDAuLi4uLkgFAAAAAAAAAAgAAAAUKEludmFsaWQgSWRlbnRpZmllcim47UFWRI3eCJNCAHxEjd4IH0NJUS4uSVFfRUJJVERBX0VRX0lOQy45OTAuLi4uLkgFAAAAAAAAAAgAAAAUKEludmFsaWQgSWRlbnRpZmllcim47UFWRI3eCIqiAXxEjd4ILUNJUS4uSVFfRElTVFJJQlVUQUJMRV9DQVNIX1NIQVJFU19CQVNJQy4yMDAwLgUAAAAAAAAACAAAABQoSW52YWxpZCBJZGVudGlmaWVyKbjtQVZEjd4IyacCfESN3ggiQ0lRLi5JUV9DSEFOR0VfSU5WRU5UT1JZLjk5MC4uLi4uSAUAAAAAAAAACAAAABQoSW52YWxpZCBJZGVudGlmaWVyKbjtQVZEjd4Ik6Dve0SN3ggpQ0lRLi5JUV9TVE9DS19PUFRJT05TX0NPTVBfVEFYLjIwMDAuLi4uLkgFAAAAAAAAAAgAAAAUKEludmFsaWQgSWRlbnRpZmllcim47UFWRI3eCPUl83tEjd4IKkNJUS4uSVFfUkVTVFJfU1RPQ0tfQ09NUF9QUkVUQVguMjAwMC4uLi4uSAUAAAAAAAAACAAAABQoSW52YWxpZCBJZGVudGlmaWVyKbjtQVZEjd4I+MTze0SN3ggjQ0lRLi5JUV9JTVBBSVJNRU5UX0dXX1NVUFBMRS4uLi4uLkgFAAAAAAAAAAgAAAAUKEludmFsaWQgSWRlbnRpZmllcilrX1BWRI3eCKbR9ntEjd4IHENJUS4uSVFfTUFSS0VUSU5HLjIwMDAuLi4uLkgF</t>
  </si>
  <si>
    <t>AAAAAAAAAAgAAAAUKEludmFsaWQgSWRlbnRpZmllcim47UFWRI3eCHAJ+XtEjd4IM0NJUS4uSVFfSU5URVJFU1RfRVhQX0xFQVNFX0xJQUJJTElUWV9ERUJULjk5MC4uLi4uSAUAAAAAAAAACAAAABQoSW52YWxpZCBJZGVudGlmaWVyKbjtQVZEjd4InxD8e0SN3gggQ0lRLi5JUV9JTkNfRVFVSVRZX0NGLjIwMDAuLi4uLkgFAAAAAAAAAAgAAAAUKEludmFsaWQgSWRlbnRpZmllcim47UFWRI3eCLvf8HtEjd4IJ0NJUS4uSVFfTUlOT1JJVFlfSU5URVJFU1RfQ0YuMjAwMC4uLi4uSAUAAAAAAAAACAAAABQoSW52YWxpZCBJZGVudGlmaWVyKbjtQVZEjd4IWLHxe0SN3ggmQ0lRLi5JUV9SRVNUUl9TVE9DS19DT01QX1RBWC45OTAuLi4uLkgFAAAAAAAAAAgAAAAUKEludmFsaWQgSWRlbnRpZmllcim47UFWRI3eCPjE83tEjd4IIUNJUS4uSVFfU0FMRVNfTUFSS0VUSU5HLjk5MC4uLi4uSAUAAAAAAAAACAAAABQoSW52YWxpZCBJZGVudGlmaWVyKbjtQVZEjd4IcAn5e0SN3ggaQ0lRLi5JUV9DQUxDX1RZUEVfSVMuMjAwMC4FAAAAAAAAAAgAAAAUKEludmFsaWQgSWRlbnRpZmllcim47UFWRI3eCJx++XtEjd4IHUNJUS4uSVFfRUZGRUNUX1RBWF9SQVRFLjIwMDAuBQAAAAAAAAAIAAAAFChJbnZhbGlkIElkZW50aWZpZXIpuO1BVkSN3gjlVfp7RI3eCCNDSVEuLklRX0lOVF9FWFBfSU5DTF9DQVAuMjAwMC4uLi4u</t>
  </si>
  <si>
    <t>SAUAAAAAAAAACAAAABQoSW52YWxpZCBJZGVudGlmaWVyKbjtQVZEjd4I4Lj7e0SN3ggqQ0lRLi5JUV9ERUZFUlJFRF9ET01FU1RJQ19UQVhFUy4yMDAwLi4uLi5IBQAAAAAAAAAIAAAAFChJbnZhbGlkIElkZW50aWZpZXIpuO1BVkSN3ggXD/17RI3eCCVDSVEuLklRX0NVUlJfRk9SRUlHTl9UQVhFUy4yMDAwLi4uLi5IBQAAAAAAAAAIAAAAFChJbnZhbGlkIElkZW50aWZpZXIpuO1BVkSN3ggRcf17RI3eCCZDSVEuLklRX0VCSVRfRVFfSU5DX0VYQ0xfU0JDLjk5MC4uLi4uSAUAAAAAAAAACAAAABQoSW52YWxpZCBJZGVudGlmaWVyKbjtQVZEjd4IHZEAfESN3ggbQ0lRLi5JUV9GSUxJTkdEQVRFX0lTLjIwMDAuBQAAAAAAAAAIAAAAFChJbnZhbGlkIElkZW50aWZpZXIpuO1BVkSN3giN3QF8RI3eCCFDSVEuLklRX0RJTFVUX0VQU19JTkNMLjIwMDAuLi4uLkgFAAAAAAAAAAgAAAAUKEludmFsaWQgSWRlbnRpZmllcim47UFWRI3eCIh+A3xEjd4IIUNJUS4uSVFfQkFTSUNfRVBTX0lOQ0wuMjAwMC4uLi4uSAUAAAAAAAAACAAAABQoSW52YWxpZCBJZGVudGlmaWVyKbjtQVZEjd4IDwgEfESN3ggfQ0lRLi5JUV9MRUdBTF9TRVRUTEUuMjAwMC4uLi4uSAUAAAAAAAAACAAAABQoSW52YWxpZCBJZGVudGlmaWVyKbjtQVZEjd4I/skFfESN3ggjQ0lRLi5JUV9ORVRfSU5URVJFU1RfRVhQLjIwMDAuLi4uLkgFAAAA</t>
  </si>
  <si>
    <t>AAAAAAgAAAAUKEludmFsaWQgSWRlbnRpZmllcim47UFWRI3eCIdkB3xEjd4IIENJUS4uSVFfRVhQTE9SRV9EUklMTC4yMDAwLi4uLi5IBQAAAAAAAAAIAAAAFChJbnZhbGlkIElkZW50aWZpZXIpuO1BVkSN3giCKQl8RI3eCB5DSVEuLklRX0ZJTl9ESVZfUkVWLjIwMDAuLi4uLkgFAAAAAAAAAAgAAAAUKEludmFsaWQgSWRlbnRpZmllcim47UFWRI3eCGHsCnxEjd4IHUNJUS4uSVFfTklfQ09NUEFOWS4yMDAwLi4uLi5IBQAAAAAAAAAIAAAAFChJbnZhbGlkIElkZW50aWZpZXIpuO1BVkSN3ghP3wR8RI3eCCBDSVEuLklRX0lNUEFJUk1FTlRfR1cuMjAwMC4uLi4uSAUAAAAAAAAACAAAABQoSW52YWxpZCBJZGVudGlmaWVyKbjtQVZEjd4IFXoGfESN3ggjQ0lRLi5JUV9FQklUREFSX0VYQ0xfU0JDLjIwMDAuLi4uLkgFAAAAAAAAAAgAAAAUKEludmFsaWQgSWRlbnRpZmllcim47UFWRI3eCDhE/3tEjd4IG0NJUS4uSVFfRElWX1NIQVJFLjk5MC4uLi4uSAUAAAAAAAAACAAAABQoSW52YWxpZCBJZGVudGlmaWVyKbjtQVZEjd4ImYACfESN3ggXQ0lRLi5JUV9QUkVGX1JFUC4uLi4uLkgFAAAAAAAAAAgAAAAUKEludmFsaWQgSWRlbnRpZmllcik7NZFWRI3eCG7o6ntEjd4II0NJUS4uSVFfTkVHQVRJVkVfR1dfQU1PUlQuOTkwLi4uLi5IBQAAAAAAAAAIAAAAFChJbnZhbGlkIElkZW50aWZpZXIpuO1BVkSN3giE</t>
  </si>
  <si>
    <t>UfV7RI3eCCJDSVEuLklRX0dBSU5fQkFSR0FJTl9BQ1EuOTkwLi4uLi5IBQAAAAAAAAAIAAAAFChJbnZhbGlkIElkZW50aWZpZXIpuO1BVkSN3giVXPZ7RI3eCBRDSVEuLklRX0dBQVBfSVMuOTkwLgUAAAAAAAAACAAAABQoSW52YWxpZCBJZGVudGlmaWVyKbjtQVZEjd4InH75e0SN3ggZQ0lRLi5JUV9QQVlPVVRfUkFUSU8uOTkwLgUAAAAAAAAACAAAABQoSW52YWxpZCBJZGVudGlmaWVyKbjtQVZEjd4I5VX6e0SN3ggoQ0lRLi5JUV9ERUZFUlJFRF9GT1JFSUdOX1RBWEVTLjk5MC4uLi4uSAUAAAAAAAAACAAAABQoSW52YWxpZCBJZGVudGlmaWVyKbjtQVZEjd4IFw/9e0SN3gg0Q0lRLi5JUV9FQklUREFfRVFfSU5DX0VYQ0xfT1BFUl9MRUFTRV9BREouMjAwMC4uLi4uSAUAAAAAAAAACAAAABQoSW52YWxpZCBJZGVudGlmaWVyKbjtQVZEjd4IJLgAfESN3ggcQ0lRLi5JUV9QRVJJT0RMRU5HVEhfSVMuOTkwLgUAAAAAAAAACAAAABQoSW52YWxpZCBJZGVudGlmaWVyKbjtQVZEjd4Ijd0BfESN3gggQ0lRLi5JUV9ESUxVVF9FUFNfRVhDTC45OTAuLi4uLkgFAAAAAAAAAAgAAAAUKEludmFsaWQgSWRlbnRpZmllcim47UFWRI3eCIh+A3xEjd4IHENJUS4uSVFfRUFSTklOR19DTy45OTAuLi4uLkgFAAAAAAAAAAgAAAAUKEludmFsaWQgSWRlbnRpZmllcim47UFWRI3eCOpUBXxEjd4IJUNJUS4uSVFfT1RIRVJf</t>
  </si>
  <si>
    <t>VU5VU1VBTF9TVVBQTC45OTAuLi4uLkgFAAAAAAAAAAgAAAAUKEludmFsaWQgSWRlbnRpZmllcim47UFWRI3eCP7JBXxEjd4IHENJUS4uSVFfSU5DX0VRVUlUWS45OTAuLi4uLkgFAAAAAAAAAAgAAAAUKEludmFsaWQgSWRlbnRpZmllcim47UFWRI3eCIdkB3xEjd4IIENJUS4uSVFfUFJPVl9CQURfREVCVFMuOTkwLi4uLi5IBQAAAAAAAAAIAAAAFChJbnZhbGlkIElkZW50aWZpZXIpuO1BVkSN3giCKQl8RI3eCB1DSVEuLklRX0lOU19ESVZfUkVWLjk5MC4uLi4uSAUAAAAAAAAACAAAABQoSW52YWxpZCBJZGVudGlmaWVyKbjtQVZEjd4IYewKfESN3ggdQ0lRLi5JUV9JTVBBSVJfT0lMLjIwMDAuLi4uLkgFAAAAAAAAAAgAAAAUKEludmFsaWQgSWRlbnRpZmllcim47UFWRI3eCDg/CHxEjd4IHkNJUS4uSVFfSU5UX0lOVl9JTkMuMjAwMC4uLi4uSAUAAAAAAAAACAAAABQoSW52YWxpZCBJZGVudGlmaWVyKbjtQVZEjd4IYWMKfESN3ggaQ0lRLi5JUV9ESUxVVF9OSS45OTAuLi4uLkgFAAAAAAAAAAgAAAAUKEludmFsaWQgSWRlbnRpZmllcim47UFWRI3eCKuF/HtEjd4IJENJUS4uSVFfQVNfUkVQT1JURURfRUJJVERBLjk5MC4uLi4uSAUAAAAAAAAACAAAABQoSW52YWxpZCBJZGVudGlmaWVyKbjtQVZEjd4IGZ3+e0SN3gghQ0lRLi5JUV9FQklUQV9FWENMX1NCQy4yMDAwLi4uLi5IBQAAAAAAAAAIAAAAFChJ</t>
  </si>
  <si>
    <t>bnZhbGlkIElkZW50aWZpZXIpuO1BVkSN3ghBuf97RI3eCBlDSVEuLklRX0NPTU1PTl9SRVAuLi4uLi5IBQAAAAAAAAAIAAAAFChJbnZhbGlkIElkZW50aWZpZXIpjDWIVkSN3gj6Rut7RI3eCCRDSVEuLklRX1NUT0NLX0JBU0VEX09USEVSLjIwMDAuLi4uLkgFAAAAAAAAAAgAAAAUKEludmFsaWQgSWRlbnRpZmllcim47UFWRI3eCBtA9HtEjd4IIUNJUS4uSVFfU1RPQ0tfQkFTRURfR0EuMjAwMC4uLi4uSAUAAAAAAAAACAAAABQoSW52YWxpZCBJZGVudGlmaWVyKbjtQVZEjd4IPI70e0SN3ggjQ0lRLi5JUV9TVE9DS19CQVNFRF9DT0dTLjIwMDAuLi4uLkgFAAAAAAAAAAgAAAAUKEludmFsaWQgSWRlbnRpZmllcim47UFWRI3eCIQD9XtEjd4IIUNJUS4uSVFfTkVUX1JFTlRBTF9FWFAuMjAwMC4uLi4uSAUAAAAAAAAACAAAABQoSW52YWxpZCBJZGVudGlmaWVyKbjtQVZEjd4IMoD4e0SN3ggZQ0lRLi5JUV9HQV9FWFAuMjAwMC4uLi4uSAUAAAAAAAAACAAAABQoSW52YWxpZCBJZGVudGlmaWVyKbjtQVZEjd4IV+L4e0SN3ggpQ0lRLi5JUV9BTk5VX0RJU1RSSUJVVElPTl9VTklULjIwMDAuLi4uLkgFAAAAAAAAAAgAAAAUKEludmFsaWQgSWRlbnRpZmllcim47UFWRI3eCF/L+ntEjd4IHENJUS4uSVFfREFfRUJJVERBLjIwMDAuLi4uLkgFAAAAAAAAAAgAAAAUKEludmFsaWQgSWRlbnRpZmllcim47UFWRI3e</t>
  </si>
  <si>
    <t>CM1q+3tEjd4IJ0NJUS4uSVFfREVGRVJSRURfVEFYRVNfVE9UQUwuMjAwMC4uLi4uSAUAAAAAAAAACAAAABQoSW52YWxpZCBJZGVudGlmaWVyKf8UQlZEjd4Ij8D8e0SN3ggkQ0lRLi5JUV9GRUVTX09USEVSX0lOQ09NRS4yMDAwLi4uLi5IBQAAAAAAAAAIAAAAFChJbnZhbGlkIElkZW50aWZpZXIp/xRCVkSN3gj49f57RI3eCCFDSVEuLklRX0VCSVREQVJfRVFfSU5DLjIwMDAuLi4uLkgFAAAAAAAAAAgAAAAUKEludmFsaWQgSWRlbnRpZmllcin/FEJWRI3eCDpr/3tEjd4IFkNJUS4uSVFfRUJJVC45OTAuLi4uLkgFAAAAAAAAAAgAAAAUKEludmFsaWQgSWRlbnRpZmllcin/FEJWRI3eCCPfAHxEjd4IIUNJUS4uSVFfRElMVVRfRVBTX05PUk0uMjAwMC4uLi4uSAUAAAAAAAAACAAAABQoSW52YWxpZCBJZGVudGlmaWVyKf8UQlZEjd4I8BwDfESN3ggZQ0lRLi5JUV9SRF9FWFAuMjAwMC4uLi4uSAUAAAAAAAAACAAAABQoSW52YWxpZCBJZGVudGlmaWVyKf8UQlZEjd4IU7QIfESN3ggXQ0lRLi5JUV9TQU1FX1NUT1JFLjk5MC4FAAAAAAAAAAgAAAAUKEludmFsaWQgSWRlbnRpZmllcin/FEJWRI3eCPj1/ntEjd4IKUNJUS4uSVFfRUJJVERBUl9FUV9JTkNfRVhDTF9TQkMuOTkwLi4uLi5IBQAAAAAAAAAIAAAAFChJbnZhbGlkIElkZW50aWZpZXIp/xRCVkSN3gg6a/97RI3eCChDSVEuLklRX0VCSVREQV9MRUFT</t>
  </si>
  <si>
    <t>RV9BREpVU1RFRC4yMDAwLi4uLi5IBQAAAAAAAAAIAAAAFChJbnZhbGlkIElkZW50aWZpZXIp/xRCVkSN3ggoBgF8RI3eCCRDSVEuLklRX0NIQU5HRV9UUkFESU5HX0FTU0VUUy4uLi4uLkgFAAAAAAAAAAgAAAAUKEludmFsaWQgSWRlbnRpZmllcimMNYhWRI3eCOIV8HtEjd4IIUNJUS4uSVFfQ1JFRElUX0xPU1NfQ0YuMjAwMC4uLi4uSAUAAAAAAAAACAAAABQoSW52YWxpZCBJZGVudGlmaWVyKf8UQlZEjd4Iywbxe0SN3ggnQ0lRLi5JUV9TVE9DS19CQVNFRF9DT01QX1RBWC4yMDAwLi4uLi5IBQAAAAAAAAAIAAAAFChJbnZhbGlkIElkZW50aWZpZXIp/xRCVkSN3ggC1/J7RI3eCCdDSVEuLklRX05FVF9SRU5UQUxfRVhQX1NVUFBMRS45OTAuLi4uLkgFAAAAAAAAAAgAAAAUKEludmFsaWQgSWRlbnRpZmllcin/FEJWRI3eCDKA+HtEjd4IG0NJUS4uSVFfUkRfRVhQX0ZOLjk5MC4uLi4uSAUAAAAAAAAACAAAABQoSW52YWxpZCBJZGVudGlmaWVyKf8UQlZEjd4IV+L4e0SN3ggmQ0lRLi5JUV9ESVNUUklCVVRBQkxFX0NBU0hfUEFZT1VULjk5MC4FAAAAAAAAAAgAAAAUKEludmFsaWQgSWRlbnRpZmllcin/FEJWRI3eCF/L+ntEjd4IJENJUS4uSVFfRElTVFJJQlVUQUJMRV9DQVNILjk5MC4uLi4uSAUAAAAAAAAACAAAABQoSW52YWxpZCBJZGVudGlmaWVyKf8UQlZEjd4IzZH7e0SN3gggQ0lRLi5JUV9UT1RB</t>
  </si>
  <si>
    <t>TF9ERUJUX1JFUEFJRC4uLi4uLkgFAAAAAAAAAAgAAAAUKEludmFsaWQgSWRlbnRpZmllcik7NZFWRI3eCD7j63tEjd4IHkNJUS4uSVFfREFfU1VQUExfQ0YuMjAwMC4uLi4uSAUAAAAAAAAACAAAABQoSW52YWxpZCBJZGVudGlmaWVyKf8UQlZEjd4Isk3ye0SN3ggsQ0lRLi5JUV9TVE9DS19PUFRJT05TX0NPTVBfUFJFVEFYLjIwMDAuLi4uLkgFAAAAAAAAAAgAAAAUKEludmFsaWQgSWRlbnRpZmllcin/FEJWRI3eCCJN83tEjd4IKkNJUS4uSVFfSU1QVVRfT1BFUl9MRUFTRV9JTlRfRVhQLjk5MC4uLi4uSAUAAAAAAAAACAAAABQoSW52YWxpZCBJZGVudGlmaWVyKf8UQlZEjd4I4IH3e0SN3gggQ0lRLi5JUV9BSVJDUkFGVF9SRU5ULjIwMDAuLi4uLkgFAAAAAAAAAAgAAAAUKEludmFsaWQgSWRlbnRpZmllcin/FEJWRI3eCN7P93tEjd4IHUNJUS4uSVFfUFJFRl9JU1NVRUQuOTkwLi4uLi5IBQAAAAAAAAAIAAAAFChJbnZhbGlkIElkZW50aWZpZXIpwtVPVkSN3gihH+t7RI3eCCBDSVEuLklRX0xUX0RFQlRfUkVQQUlELjk5MC4uLi4uSAUAAAAAAAAACAAAABQoSW52YWxpZCBJZGVudGlmaWVyKcLVT1ZEjd4ILwrse0SN3gghQ0lRLi5JUV9JTlZFU1RfTE9BTlNfQ0YuOTkwLi4uLi5IBQAAAAAAAAAIAAAAFChJbnZhbGlkIElkZW50aWZpZXIpwtVPVkSN3ggzG+17RI3eCBtDSVEuLklRX0NIQU5HRV9BUC45</t>
  </si>
  <si>
    <t>OTAuLi4uLkgFAAAAAAAAAAgAAAAUKEludmFsaWQgSWRlbnRpZmllcinC1U9WRI3eCJOg73tEjd4IHENJUS4uSVFfTkVUX0NIQU5HRS45OTAuLi4uLkgFAAAAAAAAAAgAAAAUKEludmFsaWQgSWRlbnRpZmllcinC1U9WRI3eCCma6XtEjd4IH0NJUS4uSVFfU0FMRV9JTlRBTl9DRi45OTAuLi4uLkgFAAAAAAAAAAgAAAAUKEludmFsaWQgSWRlbnRpZmllcinC1U9WRI3eCFJp7XtEjd4IIkNJUS4uSVFfQ0FTSF9BQ1FVSVJFX0NGLjIwMDAuLi4uLkgFAAAAAAAAAAgAAAAUKEludmFsaWQgSWRlbnRpZmllcinC1U9WRI3eCEHE7XtEjd4IIENJUS4uSVFfQ0hBTkdFX0RFRl9UQVguOTkwLi4uLi5IBQAAAAAAAAAIAAAAFChJbnZhbGlkIElkZW50aWZpZXIpwtVPVkSN3gh1w+57RI3eCChDSVEuLklRX0NIQU5HRV9UUkFESU5HX0FTU0VUUy4yMDAwLi4uLi5IBQAAAAAAAAAIAAAAFChJbnZhbGlkIElkZW50aWZpZXIpwtVPVkSN3giy7u97RI3eCCBDSVEuLklRX1NUT0NLX0JBU0VEX0NGLjk5MC4uLi4uSAUAAAAAAAAACAAAABQoSW52YWxpZCBJZGVudGlmaWVyKcLVT1ZEjd4Iu9/we0SN3ggXQ0lRLi5JUV9OSV9DRi45OTAuLi4uLkgFAAAAAAAAAAgAAAAUKEludmFsaWQgSWRlbnRpZmllcinC1U9WRI3eCLCv8ntEjd4IHUNJUS4uSVFfTUlTQ19BREpVU1RfQ0YuLi4uLi5IBQAAAAAAAAAIAAAAFChJbnZhbGlkIElk</t>
  </si>
  <si>
    <t>ZW50aWZpZXIpOzWRVkSN3ggpmul7RI3eCBtDSVEuLklRX0RJVkVTVF9DRi45OTAuLi4uLkgFAAAAAAAAAAgAAAAUKEludmFsaWQgSWRlbnRpZmllcimb/E9WRI3eCEHE7XtEjd4IHENJUS4uSVFfQ0hBTkdFX0FQLjIwMDAuLi4uLkgFAAAAAAAAAAgAAAAUKEludmFsaWQgSWRlbnRpZmllcimb/E9WRI3eCN9R73tEjd4IIENJUS4uSVFfR0FJTl9BU1NFVFNfQ0YuOTkwLi4uLi5IBQAAAAAAAAAIAAAAFChJbnZhbGlkIElkZW50aWZpZXIpm/xPVkSN3ghYsfF7RI3eCCtDSVEuLklRX1NUT0NLX09QVElPTlNfQ09NUF9QUkVUQVguOTkwLi4uLi5IBQAAAAAAAAAIAAAAFChJbnZhbGlkIElkZW50aWZpZXIpm/xPVkSN3ggxdPN7RI3eCClDSVEuLklRX1JFU1RSX1NUT0NLX0NPTVBfUFJFVEFYLjk5MC4uLi4uSAUAAAAAAAAACAAAABQoSW52YWxpZCBJZGVudGlmaWVyKZv8T1ZEjd4Ixuzze0SN3ggmQ0lRLi5JUV9PVEhFUl9VTlVTVUFMX1NVUFBMRS45OTAuLi4uLkgFAAAAAAAAAAgAAAAUKEludmFsaWQgSWRlbnRpZmllcimb/E9WRI3eCMef9XtEjd4IHkNJUS4uSVFfTUFJTlRfUkVQQUlSLjk5MC4uLi4uSAUAAAAAAAAACAAAABQoSW52YWxpZCBJZGVudGlmaWVyKZv8T1ZEjd4I4IH3e0SN3ggbQ0lRLi5JUV9NQVJLRVRJTkcuOTkwLi4uLi5IBQAAAAAAAAAIAAAAFChJbnZhbGlkIElkZW50aWZpZXIpm/xPVkSN</t>
  </si>
  <si>
    <t>3ghyMPl7RI3eCBtDSVEuLklRX0RBX0VCSVREQS45OTAuLi4uLkgFAAAAAAAAAAgAAAAUKEludmFsaWQgSWRlbnRpZmllcimb/E9WRI3eCOC4+3tEjd4IJENJUS4uSVFfQ1VSUl9GT1JFSUdOX1RBWEVTLjk5MC4uLi4uSAUAAAAAAAAACAAAABQoSW52YWxpZCBJZGVudGlmaWVyKZv8T1ZEjd4IEXH9e0SN3ggeQ0lRLi5JUV9FQklUREFfQ0FQRVguOTkwLi4uLi5IBQAAAAAAAAAIAAAAFChJbnZhbGlkIElkZW50aWZpZXIpm/xPVkSN3gg4RP97RI3eCDNDSVEuLklRX0VCSVREQV9FUV9JTkNfRVhDTF9PUEVSX0xFQVNFX0FESi45OTAuLi4uLkgFAAAAAAAAAAgAAAAUKEludmFsaWQgSWRlbnRpZmllcimb/E9WRI3eCCPfAHxEjd4IIUNJUS4uSVFfTFRfREVCVF9SRVBBSUQuMjAwMC4uLi4uSAUAAAAAAAAACAAAABQoSW52YWxpZCBJZGVudGlmaWVyKZv8T1ZEjd4IPuPre0SN3ggYQ0lRLi5JUV9DQVBFWC4yMDAwLi4uLi5IBQAAAAAAAAAIAAAAFChJbnZhbGlkIElkZW50aWZpZXIpm/xPVkSN3gi8/+17RI3eCCNDSVEuLklRX0NIQU5HRV9VTkVBUk5fUkVWLjk5MC4uLi4uSAUAAAAAAAAACAAAABQoSW52YWxpZCBJZGVudGlmaWVyKZv8T1ZEjd4I31Hve0SN3ggbQ0lRLi5JUV9MT0FOU19DRi4yMDAwLi4uLi5IBQAAAAAAAAAIAAAAFChJbnZhbGlkIElkZW50aWZpZXIpm/xPVkSN3ggnPPF7RI3eCCpDSVEuLklR</t>
  </si>
  <si>
    <t>X1NUT0NLX0JBU0VEX0NPTVBfUFJFVEFYLjIwMDAuLi4uLkgFAAAAAAAAAAgAAAAUKEludmFsaWQgSWRlbnRpZmllcimb/E9WRI3eCPr98ntEjd4IIUNJUS4uSVFfU1RPQ0tfQkFTRURfU00uMjAwMC4uLi4uSAUAAAAAAAAACAAAABQoSW52YWxpZCBJZGVudGlmaWVyKZv8T1ZEjd4IP7X0e0SN3ggnQ0lRLi5JUV9JTVBBSVJNRU5UX0dXX1NVUFBMRS4yMDAwLi4uLi5IBQAAAAAAAAAIAAAAFChJbnZhbGlkIElkZW50aWZpZXIpm/xPVkSN3giig/Z7RI3eCCpDSVEuLklRX1NBTEFSSUVTX09USEVSX0JFTkVGSVRTLjIwMDAuLi4uLkgFAAAAAAAAAAgAAAAUKEludmFsaWQgSWRlbnRpZmllcimb/E9WRI3eCMAf93tEjd4IHENJUS4uSVFfUkRfRVhQX0ZOLjIwMDAuLi4uLkgFAAAAAAAAAAgAAAAUKEludmFsaWQgSWRlbnRpZmllcimb/E9WRI3eCCm7+HtEjd4IJ0NJUS4uSVFfRElTVFJJQlVUQUJMRV9DQVNIX1BBWU9VVC4yMDAwLgUAAAAAAAAACAAAABQoSW52YWxpZCBJZGVudGlmaWVyKZv8T1ZEjd4ITaT6e0SN3ggaQ0lRLi5JUV9OSV9OT1JNLjIwMDAuLi4uLkgFAAAAAAAAAAgAAAAUKEludmFsaWQgSWRlbnRpZmllcinsI1BWRI3eCKuF/HtEjd4ILENJUS4uSVFfRUFSTklOR19QQVJFTlRfRVhDTF9FWFRSQS4yMDAwLi4uLi5IBQAAAAAAAAAIAAAAFChJbnZhbGlkIElkZW50aWZpZXIp7CNQVkSN3ggiSP57</t>
  </si>
  <si>
    <t>RI3eCChDSVEuLklRX1RPVEFMX1JFVl9BU19SRVBPUlRFRC4yMDAwLi4uLi5IBQAAAAAAAAAIAAAAFChJbnZhbGlkIElkZW50aWZpZXIp7CNQVkSN3gjxw/57RI3eCBxDSVEuLklRX0NPTU1PTl9SRVAuOTkwLi4uLi5IBQAAAAAAAAAIAAAAFChJbnZhbGlkIElkZW50aWZpZXIp7CNQVkSN3gj6Rut7RI3eCCNDSVEuLklRX1RPVEFMX0RFQlRfUkVQQUlELjk5MC4uLi4uSAUAAAAAAAAACAAAABQoSW52YWxpZCBJZGVudGlmaWVyKewjUFZEjd4IPuPre0SN3ggkQ0lRLi5JUV9UT1RBTF9ERUJUX0lTU1VFRC4yMDAwLi4uLi5IBQAAAAAAAAAIAAAAFChJbnZhbGlkIElkZW50aWZpZXIp7CNQVkSN3gg7Mex7RI3eCB1DSVEuLklRX1NBTEVfUFBFX0NGLjk5MC4uLi4uSAUAAAAAAAAACAAAABQoSW52YWxpZCBJZGVudGlmaWVyKewjUFZEjd4IQifue0SN3gggQ0lRLi5JUV9DUkVESVRfTE9TU19DRi45OTAuLi4uLkgFAAAAAAAAAAgAAAAUKEludmFsaWQgSWRlbnRpZmllcinsI1BWRI3eCCc88XtEjd4IJkNJUS4uSVFfU1RPQ0tfQkFTRURfQ09NUF9UQVguOTkwLi4uLi5IBQAAAAAAAAAIAAAAFChJbnZhbGlkIElkZW50aWZpZXIp7CNQVkSN3gj6/fJ7RI3eCBVDSVEuLklRX0ZYLjIwMDAuLi4uLkgFAAAAAAAAAAgAAAAUKEludmFsaWQgSWRlbnRpZmllcinsI1BWRI3eCCma6XtEjd4IKkNJUS4uSVFfT1RIRVJfRklO</t>
  </si>
  <si>
    <t>QU5DRV9BQ1RfU1VQUEwuMjAwMC4uLi4uSAUAAAAAAAAACAAAABQoSW52YWxpZCBJZGVudGlmaWVyKewjUFZEjd4IJOjpe0SN3ggkQ0lRLi5JUV9UT1RBTF9ESVZfUEFJRF9DRi4yMDAwLi4uLi5IBQAAAAAAAAAIAAAAFChJbnZhbGlkIElkZW50aWZpZXIp7CNQVkSN3ghdNup7RI3eCCBDSVEuLklRX1NUX0RFQlRfUkVQQUlELjk5MC4uLi4uSAUAAAAAAAAACAAAABQoSW52YWxpZCBJZGVudGlmaWVyKewjUFZEjd4IOzHse0SN3gghQ0lRLi5JUV9TVF9ERUJUX0lTU1VFRC4yMDAwLi4uLi5IBQAAAAAAAAAIAAAAFChJbnZhbGlkIElkZW50aWZpZXIp7CNQVkSN3gjWpex7RI3eCCVDSVEuLklRX0lOVkVTVF9TRUNVUklUWV9DRi4yMDAwLi4uLi5IBQAAAAAAAAAIAAAAFChJbnZhbGlkIElkZW50aWZpZXIp7CNQVkSN3ggzG+17RI3eCBxDSVEuLklRX0NIQU5HRV9BUi4yMDAwLi4uLi5IBQAAAAAAAAAIAAAAFChJbnZhbGlkIElkZW50aWZpZXIp7CNQVkSN3giToO97RI3eCCVDSVEuLklRX1RBWF9CRU5FRklUX09QVElPTlMuOTkwLi4uLi5IBQAAAAAAAAAIAAAAFChJbnZhbGlkIElkZW50aWZpZXIp7CNQVkSN3giZkfB7RI3eCBhDSVEuLklRX0RBX0NGLjIwMDAuLi4uLkgFAAAAAAAAAAgAAAAUKEludmFsaWQgSWRlbnRpZmllcinsI1BWRI3eCG//8XtEjd4IHUNJUS4uSVFfTkVUX0NIQU5HRS4yMDAwLi4uLi5I</t>
  </si>
  <si>
    <t>BQAAAAAAAAAIAAAAFChJbnZhbGlkIElkZW50aWZpZXIpIDhQVkSN3gj7cul7RI3eCBxDSVEuLklRX1BFUklPRExFTkdUSF9DRi45OTAuBQAAAAAAAAAIAAAAFChJbnZhbGlkIElkZW50aWZpZXIpIDhQVkSN3gj7cul7RI3eCCFDSVEuLklRX09USEVSX09QRVJfQUNULjIwMDAuLi4uLkgFAAAAAAAAAAgAAAAUKEludmFsaWQgSWRlbnRpZmllcikgOFBWRI3eCLLu73tEjd4IH0NJUS4uSVFfSU5DX0VRVUlUWV9DRi45OTAuLi4uLkgFAAAAAAAAAAgAAAAUKEludmFsaWQgSWRlbnRpZmllcikgOFBWRI3eCMsG8XtEjd4IIkNJUS4uSVFfU1RPQ0tfQkFTRURfQ09NUC45OTAuLi4uLkgFAAAAAAAAAAgAAAAUKEludmFsaWQgSWRlbnRpZmllcikgOFBWRI3eCALX8ntEjd4IJENJUS4uSVFfU1RPQ0tfT1BUSU9OU19DT01QLjk5MC4uLi4uSAUAAAAAAAAACAAAABQoSW52YWxpZCBJZGVudGlmaWVyKSA4UFZEjd4IIk3ze0SN3gggQ0lRLi5JUV9TVE9DS19CQVNFRF9SRC45OTAuLi4uLkgFAAAAAAAAAAgAAAAUKEludmFsaWQgSWRlbnRpZmllcikgOFBWRI3eCIQD9XtEjd4IH0NJUS4uSVFfTUVSR0VSX1NVUFBMRS45OTAuLi4uLkgFAAAAAAAAAAgAAAAUKEludmFsaWQgSWRlbnRpZmllcikgOFBWRI3eCM749ntEjd4IIENJUS4uSVFfTkVUX1JFTlRBTF9FWFAuOTkwLi4uLi5IBQAAAAAAAAAIAAAAFChJbnZhbGlkIElk</t>
  </si>
  <si>
    <t>ZW50aWZpZXIpIDhQVkSN3ggygPh7RI3eCBxDSVEuLklRX0VGRkVDVF9UQVhfUkFURS45OTAuBQAAAAAAAAAIAAAAFChJbnZhbGlkIElkZW50aWZpZXIpIDhQVkSN3ghIffp7RI3eCChDSVEuLklRX0FOTlVfRElTVFJJQlVUSU9OX1VOSVQuOTkwLi4uLi5IBQAAAAAAAAAIAAAAFChJbnZhbGlkIElkZW50aWZpZXIpIDhQVkSN3gg+8vp7RI3eCCtDSVEuLklRX05PTlJFQ1VSUklOR19JTkNPTUVfVEFYRVMuOTkwLi4uLi5IBQAAAAAAAAAIAAAAFChJbnZhbGlkIElkZW50aWZpZXIpIDhQVkSN3giPwPx7RI3eCDRDSVEuLklRX1BST1ZfQkFEX0RFQlRTX1BBVElFTlRfU0VSVklDRV9SRVYuOTkwLi4uLi5IBQAAAAAAAAAIAAAAFChJbnZhbGlkIElkZW50aWZpZXIpIDhQVkSN3ggZnf57RI3eCBdDSVEuLklRX0VCSVRBLjk5MC4uLi4uSAUAAAAAAAAACAAAABQoSW52YWxpZCBJZGVudGlmaWVyKSA4UFZEjd4Ik0IAfESN3gghQ0lRLi5JUV9DQVNIX0FDUVVJUkVfQ0YuOTkwLi4uLi5IBQAAAAAAAAAIAAAAFChJbnZhbGlkIElkZW50aWZpZXIpIDhQVkSN3ghBxO17RI3eCCFDSVEuLklRX0NIQU5HRV9JTkNfVEFYLjIwMDAuLi4uLkgFAAAAAAAAAAgAAAAUKEludmFsaWQgSWRlbnRpZmllcikgOFBWRI3eCLf67ntEjd4IJ0NJUS4uSVFfQ0hBTkdFX1RSQURJTkdfQVNTRVRTLjk5MC4uLi4uSAUAAAAAAAAACAAAABQo</t>
  </si>
  <si>
    <t>SW52YWxpZCBJZGVudGlmaWVyKSA4UFZEjd4I4hXwe0SN3ggkQ0lRLi5JUV9HV19JTlRBTl9BTU9SVF9DRi4yMDAwLi4uLi5IBQAAAAAAAAAIAAAAFChJbnZhbGlkIElkZW50aWZpZXIpIDhQVkSN3giyTfJ7RI3eCCFDSVEuLklRX1NUT0NLX0JBU0VEX0FULjIwMDAuLi4uLkgFAAAAAAAAAAgAAAAUKEludmFsaWQgSWRlbnRpZmllcikgOFBWRI3eCL8T9HtEjd4IJENJUS4uSVFfSU5TX1NFVFRMRV9TVVBQTEUuMjAwMC4uLi4uSAUAAAAAAAAACAAAABQoSW52YWxpZCBJZGVudGlmaWVyKSA4UFZEjd4Itr/1e0SN3ggeQ0lRLi5JUV9JUFJEX1NVUFBMRS4yMDAwLi4uLi5IBQAAAAAAAAAIAAAAFChJbnZhbGlkIElkZW50aWZpZXIpIDhQVkSN3giVXPZ7RI3eCCFDSVEuLklRX01JTklNVU1fUkVOVEFMLjIwMDAuLi4uLkgFAAAAAAAAAAgAAAAUKEludmFsaWQgSWRlbnRpZmllcikgOFBWRI3eCBwe+HtEjd4IHENJUS4uSVFfT0lMX0lNUEFJUi45OTAuLi4uLkgFAAAAAAAAAAgAAAAUKEludmFsaWQgSWRlbnRpZmllcikgOFBWRI3eCLJN8ntEjd4II0NJUS4uSVFfU1RPQ0tfQkFTRURfVE9UQUwuOTkwLi4uLi5IBQAAAAAAAAAIAAAAFChJbnZhbGlkIElkZW50aWZpZXIpIDhQVkSN3gi/E/R7RI3eCCVDSVEuLklRX0xFR0FMX1NFVFRMRV9TVVBQTEUuOTkwLi4uLi5IBQAAAAAAAAAIAAAAFChJbnZhbGlkIElkZW50</t>
  </si>
  <si>
    <t>aWZpZXIpa19QVkSN3gi2v/V7RI3eCClDSVEuLklRX0VYUExPUkVfRFJJTExfRVhQX1RPVEFMLjk5MC4uLi4uSAUAAAAAAAAACAAAABQoSW52YWxpZCBJZGVudGlmaWVyKWtfUFZEjd4Ixaj3e0SN3ggeQ0lRLi5JUV9PVEhFUl9SRU5UQUwuOTkwLi4uLi5IBQAAAAAAAAAIAAAAFChJbnZhbGlkIElkZW50aWZpZXIpa19QVkSN3ggcHvh7RI3eCBtDSVEuLklRX1JFU1RBVEVNRU5UX0lTLjk5MC4FAAAAAAAAAAgAAAAUKEludmFsaWQgSWRlbnRpZmllcilrX1BWRI3eCKzM+XtEjd4IJUNJUS4uSVFfTk9OQ0FTSF9QRU5TSU9OX0VYUC45OTAuLi4uLkgFAAAAAAAAAAgAAAAUKEludmFsaWQgSWRlbnRpZmllcilrX1BWRI3eCOC4+3tEjd4IJUNJUS4uSVFfQ1VSUl9ET01FU1RJQ19UQVhFUy45OTAuLi4uLkgFAAAAAAAAAAgAAAAUKEludmFsaWQgSWRlbnRpZmllcilrX1BWRI3eCDSY/XtEjd4IIENJUS4uSVFfQ09NTU9OX0RJVl9DRi4yMDAwLi4uLi5IBQAAAAAAAAAIAAAAFChJbnZhbGlkIElkZW50aWZpZXIpUeeHVkSN3gimrep7RI3eCCJDSVEuLklRX0lOVkVTVF9MT0FOU19DRi4yMDAwLi4uLi5IBQAAAAAAAAAIAAAAFChJbnZhbGlkIElkZW50aWZpZXIpUeeHVkSN3ggl9Ox7RI3eCBxDSVEuLklRX0ZJTElOR19DVVJSRU5DWS45OTAuBQAAAAAAAAAIAAAAFChJbnZhbGlkIElkZW50aWZpZXIpOzWRVkSN3gjJ</t>
  </si>
  <si>
    <t>8/l7RI3eCCRDSVEuLklRX0NPTU1PTl9QUkVGX0RJVl9DRi45OTAuLi4uLkgFAAAAAAAAAAgAAAAUKEludmFsaWQgSWRlbnRpZmllcimMNYhWRI3eCHtd6ntEjd4IG0NJUS4uSVFfUFJFRl9SRVAuMjAwMC4uLi4uSAUAAAAAAAAACAAAABQoSW52YWxpZCBJZGVudGlmaWVyKYw1iFZEjd4Ipq3qe0SN3ggkQ0lRLi5JUV9UT1RBTF9ERUJUX1JFUEFJRC4yMDAwLi4uLi5IBQAAAAAAAAAIAAAAFChJbnZhbGlkIElkZW50aWZpZXIpjDWIVkSN3gghvOt7RI3eCB5DSVEuLklRX1NBTEVfUFBFX0NGLjIwMDAuLi4uLkgFAAAAAAAAAAgAAAAUKEludmFsaWQgSWRlbnRpZmllcimMNYhWRI3eCLz/7XtEjd4IJkNJUS4uSVFfVEFYX0JFTkVGSVRfT1BUSU9OUy4yMDAwLi4uLi5IBQAAAAAAAAAIAAAAFChJbnZhbGlkIElkZW50aWZpZXIpjDWIVkSN3giSavB7RI3eCCNDSVEuLklRX0dXX0lOVEFOX0FNT1JUX0NGLjk5MC4uLi4uSAUAAAAAAAAACAAAABQoSW52YWxpZCBJZGVudGlmaWVyKYw1iFZEjd4Isk3ye0SN3gggQ0lRLi5JUV9TVE9DS19CQVNFRF9BVC45OTAuLi4uLkgFAAAAAAAAAAgAAAAUKEludmFsaWQgSWRlbnRpZmllcimMNYhWRI3eCL8T9HtEjd4IIUNJUS4uSVFfU1RPQ0tfQkFTRURfU0dBLjk5MC4uLi4uSAUAAAAAAAAACAAAABQoSW52YWxpZCBJZGVudGlmaWVyKYw1iFZEjd4IPI70e0SN3ggdQ0lRLi5J</t>
  </si>
  <si>
    <t>UV9JUFJEX1NVUFBMRS45OTAuLi4uLkgFAAAAAAAAAAgAAAAUKEludmFsaWQgSWRlbnRpZmllcimMNYhWRI3eCKKD9ntEjd4IIENJUS4uSVFfTUlOSU1VTV9SRU5UQUwuOTkwLi4uLi5IBQAAAAAAAAAIAAAAFChJbnZhbGlkIElkZW50aWZpZXIpjDWIVkSN3ggcHvh7RI3eCCJDSVEuLklRX0lOVF9FWFBfSU5DTF9DQVAuOTkwLi4uLi5IBQAAAAAAAAAIAAAAFChJbnZhbGlkIElkZW50aWZpZXIpjDWIVkSN3ghw6ft7RI3eCCZDSVEuLklRX0NBUElUQUxJWkVEX0lOVEVSRVNULjk5MC4uLi4uSAUAAAAAAAAACAAAABQoSW52YWxpZCBJZGVudGlmaWVyKYw1iFZEjd4IvV78e0SN3ggfQ0lRLi5JUV9DT01NT05fRElWX0NGLjk5MC4uLi4uSAUAAAAAAAAACAAAABQoSW52YWxpZCBJZGVudGlmaWVyKYw1iFZEjd4Ipq3qe0SN3ggdQ0lRLi5JUV9DT01NT05fUkVQLjIwMDAuLi4uLkgFAAAAAAAAAAgAAAAUKEludmFsaWQgSWRlbnRpZmllcimMNYhWRI3eCKEf63tEjd4IH0NJUS4uSVFfQ09NTU9OX0lTU1VFRC45OTAuLi4uLkgFAAAAAAAAAAgAAAAUKEludmFsaWQgSWRlbnRpZmllcimMNYhWRI3eCCG863tEjd4IIUNJUS4uSVFfU1RfREVCVF9SRVBBSUQuMjAwMC4uLi4uSAUAAAAAAAAACAAAABQoSW52YWxpZCBJZGVudGlmaWVyKYw1iFZEjd4ILwrse0SN3gghQ0lRLi5JUV9MVF9ERUJUX0lTU1VFRC4yMDAwLi4u</t>
  </si>
  <si>
    <t>Li5IBQAAAAAAAAAIAAAAFChJbnZhbGlkIElkZW50aWZpZXIpjDWIVkSN3gj7a+x7RI3eCCNDSVEuLklRX0NIQU5HRV9JTlZFTlRPUlkuMjAwMC4uLi4uSAUAAAAAAAAACAAAABQoSW52YWxpZCBJZGVudGlmaWVyKYw1iFZEjd4I7Xjve0SN3ggjQ0lRLi5JUV9QUk9WX0JBRF9ERUJUU19DRi45OTAuLi4uLkgFAAAAAAAAAAgAAAAUKEludmFsaWQgSWRlbnRpZmllcimMNYhWRI3eCJmR8HtEjd4IHkNJUS4uSVFfT1RIRVJfQU1PUlQuMjAwMC4uLi4uSAUAAAAAAAAACAAAABQoSW52YWxpZCBJZGVudGlmaWVyKYw1iFZEjd4IZ9jxe0SN3ggnQ0lRLi5JUV9SRVNUUl9TVE9DS19DT01QX1RBWC4yMDAwLi4uLi5IBQAAAAAAAAAIAAAAFChJbnZhbGlkIElkZW50aWZpZXIpjDWIVkSN3ghWm/N7RI3eCCdDSVEuLklRX1RPVEFMX1VOVVNVQUxfU1VQUExFLjIwMDAuLi4uLkgFAAAAAAAAAAgAAAAUKEludmFsaWQgSWRlbnRpZmllcimMNYhWRI3eCIRR9XtEjd4IK0NJUS4uSVFfSU1QVVRfT1BFUl9MRUFTRV9JTlRfRVhQLjIwMDAuLi4uLkgFAAAAAAAAAAgAAAAUKEludmFsaWQgSWRlbnRpZmllcimMNYhWRI3eCLVa93tEjd4ILUNJUS4uSVFfREVQUkVDSUFUSU9OX1JFTlRBTF9BU1NFVFMuMjAwMC4uLi4uSAUAAAAAAAAACAAAABQoSW52YWxpZCBJZGVudGlmaWVyKYw1iFZEjd4Ixaj3e0SN3ggVQ0lRLi5JUV9HQUFQ</t>
  </si>
  <si>
    <t>X0lTLjIwMDAuBQAAAAAAAAAIAAAAFChJbnZhbGlkIElkZW50aWZpZXIpjDWIVkSN3ghwV/l7RI3eCCVDSVEuLklRX0RJU1RSSUJVVEFCTEVfQ0FTSC4yMDAwLi4uLi5IBQAAAAAAAAAIAAAAFChJbnZhbGlkIElkZW50aWZpZXIpjDWIVkSN3gjNavt7RI3eCCFDSVEuLklRX1NQRUNJQUxfRElWX0NGLjIwMDAuLi4uLkgFAAAAAAAAAAgAAAAUKEludmFsaWQgSWRlbnRpZmllcikjDpFWRI3eCEIP6ntEjd4IHkNJUS4uSVFfUFJFRl9ESVZfQ0YuMjAwMC4uLi4uSAUAAAAAAAAACAAAABQoSW52YWxpZCBJZGVudGlmaWVyKSMOkVZEjd4IcoTqe0SN3ggpQ0lRLi5JUV9PVEhFUl9JTlZFU1RfQUNUX1NVUFBMLjIwMDAuLi4uLkgFAAAAAAAAAAgAAAAUKEludmFsaWQgSWRlbnRpZmllcik7NZFWRI3eCAvN7HtEjd4IKUNJUS4uSVFfT1RIRVJfRklOQU5DRV9BQ1RfU1VQUEwuOTkwLi4uLi5IBQAAAAAAAAAIAAAAFChJbnZhbGlkIElkZW50aWZpZXIpOzWRVkSN3ghCD+p7RI3eCCNDSVEuLklRX1RPVEFMX0RFQlRfSVNTVUVELjk5MC4uLi4uSAUAAAAAAAAACAAAABQoSW52YWxpZCBJZGVudGlmaWVyKTs1kVZEjd4IOzHse0SN3ggdQ0lRLi5JUV9DQVNIX0lOVkVTVC45OTAuLi4uLkgFAAAAAAAAAAgAAAAUKEludmFsaWQgSWRlbnRpZmllcik7NZFWRI3eCCX07HtEjd4IIENJUS4uSVFfQ0hBTkdFX0lOQ19UQVguOTkw</t>
  </si>
  <si>
    <t>Li4uLi5IBQAAAAAAAAAIAAAAFChJbnZhbGlkIElkZW50aWZpZXIpOzWRVkSN3giRKu97RI3eCC9DSVEuTkFTREFROkNBTE0uSVFfQ1VSUkVOVF9SQVRJTy45OTcuMjkvMDMvMjAyNgEAAAAgegUAAgAAAAczLjU4MjA5AQgAAAAFAAAAATEBAAAACy0xOTg2NzA4NDMzAwAAAAMxNjACAAAABDQwMzAEAAAAATAHAAAACTMvMjkvMjAyNggAAAAJNS8yOC8yMDIyCQAAAAEw/dcXekSN3ghkEmZ+RI3eCDNDSVEuTkFTREFROkNBTE0uSVFfRklYRURfQVNTRVRfVFVSTlMuOTk3LjI5LzAzLzIwMjYBAAAAIHoFAAIAAAAIMi43OTk4NjEBCAAAAAUAAAABMQEAAAALLTE5ODY3MDg0MzMDAAAAAzE2MAIAAAAENDA2NgQAAAABMAcAAAAJMy8yOS8yMDI2CAAAAAk1LzI4LzIwMjIJAAAAATD91xd6RI3eCJdgZn5Ejd4IL0NJUS5OQVNEQVE6Q0FMTS5JUV9DQVBFWF9QQ1RfUkVWLjk5My4yOS8wMy8yMDI2AQAAACB6BQACAAAABjEuMzA4OAEIAAAABQAAAAExAQAAAAoyMDQ1NzQ5MzEwAwAAAAMxNjACAAAABTM1MzgwBAAAAAEwBwAAAAkzLzI5LzIwMjYIAAAACDYvMi8yMDE4CQAAAAEw/dcXekSN3gjArmZ+RI3eCDlDSVEuTkFTREFROkNBTE0uSVFfVE9UQUxfREVCVF9FQklUREFfQ0FQRVguOTkzLjI5LzAzLzIwMjYBAAAAIHoFAAIAAAAIMC4wMjgxODMBCAAAAAUAAAABMQEAAAAKMjA0NTc0OTMxMAMAAAADMTYwAgAAAAUy</t>
  </si>
  <si>
    <t>MzMxMwQAAAABMAcAAAAJMy8yOS8yMDI2CAAAAAg2LzIvMjAxOAkAAAABMCZ9FHpEjd4IcnljfkSN3ggzQ0lRLk5BU0RBUTpDQUxNLklRX1RPVEFMX0RFQlRfRUJJVERBLjk5NS4yOS8wMy8yMDI2AQAAACB6BQACAAAABzAuMDUyODEBCAAAAAUAAAABMQEAAAALLTIwODgzNDc0NjkDAAAAAzE2MAIAAAAENDE5MgQAAAABMAcAAAAJMy8yOS8yMDI2CAAAAAk1LzMwLzIwMjAJAAAAATAmfRR6RI3eCJLuY35Ejd4ILENJUS5OQVNEQVE6Q0FMTS5JUV9FQklUREFfSU5ULjk5Ny4yOS8wMy8yMDI2AQAAACB6BQACAAAACjUxMy4yMDg0MzYBCAAAAAUAAAABMQEAAAALLTE5ODY3MDg0MzMDAAAAAzE2MAIAAAAENDE5MAQAAAABMAcAAAAJMy8yOS8yMDI2CAAAAAk1LzI4LzIwMjIJAAAAATD91xd6RI3eCM93ZH5Ejd4IMENJUS5OQVNEQVE6Q0FMTS5JUV9MVF9ERUJUX0VRVUlUWS45OTkuMjkvMDMvMjAyNgEAAAAgegUAAwAAAAAA/dcXekSN3ggaxmR+RI3eCDRDSVEuTkFTREFROkNBTE0uSVFfVE9UQUxfREVCVF9DQVBJVEFMLjk5My4yOS8wMy8yMDI2AQAAACB6BQACAAAABjAuNjMzMgEIAAAABQAAAAExAQAAAAoyMDQ1NzQ5MzEwAwAAAAMxNjACAAAABDQxODYEAAAAATAHAAAACTMvMjkvMjAyNggAAAAINi8yLzIwMTgJAAAAATD91xd6RI3eCDUUZX5Ejd4INUNJUS5OQVNEQVE6Q0FMTS5JUV9FQklUREFfM1lSX0FO</t>
  </si>
  <si>
    <t>Tl9DQUdSLjk5OS4yOS8wMy8yMDI2AQAAACB6BQACAAAACDEyMS42ODYzAQgAAAAFAAAAATEBAAAACy0xOTM0OTc4NDgwAwAAAAMxNjACAAAABDQyMjIEAAAAATAHAAAACTMvMjkvMjAyNggAAAAINi8xLzIwMjQJAAAAATCdsxR6RI3eCB7YYX5Ejd4IMUNJUS5OQVNEQVE6Q0FMTS5JUV9HUF8zWVJfQU5OX0NBR1IuOTkzLjI5LzAzLzIwMjYBAAAAIHoFAAIAAAAHLTMuMDEwNgEIAAAABQAAAAExAQAAAAoyMDQ1NzQ5MzEwAwAAAAMxNjACAAAABDQyMjEEAAAAATAHAAAACTMvMjkvMjAyNggAAAAINi8yLzIwMTgJAAAAATCdsxR6RI3eCBn/YX5Ejd4INUNJUS5OQVNEQVE6Q0FMTS5JUV9FQklUXzFZUl9BTk5fR1JPV1RILjk5NS4yOS8wMy8yMDI2AQAAACB6BQACAAAACC05Ny4wNTEyAQgAAAAFAAAAATEBAAAACy0yMDg4MzQ3NDY5AwAAAAMxNjACAAAABDQxOTcEAAAAATAHAAAACTMvMjkvMjAyNggAAAAJNS8zMC8yMDIwCQAAAAEwnbMUekSN3gianGJ+RI3eCClDSVEuTkFTREFROkNBTE0uSVFfWl9TQ09SRS45OTcuMjkvMDMvMjAyNgEAAAAgegUAAgAAAAg2LjY4NDQxNAEIAAAABQAAAAExAQAAAAstMTk4NjcwODQzMwMAAAADMTYwAgAAAAYxMDAxMjMEAAAAATAHAAAACTMvMjkvMjAyNggAAAAJNS8yOC8yMDIyCQAAAAEwJn0UekSN3gjuA2N+RI3eCEpDSVEuTkFTREFROkNBTE0uSVFfVE9UQUxfREVCVF9F</t>
  </si>
  <si>
    <t>QklUREFfRVhDTF9PUEVSX0xFQVNFU19DQVBFWC45OTkuMjkvMDMvMjAyNgEAAAAgegUAAwAAAAAAJn0UekSN3giCUmN+RI3eCDFDSVEuTkFTREFROkNBTE0uSVFfVE9UQUxfRU1QTE9ZRUVTLjk5Ni4yOS8wMy8yMDI2AQAAACB6BQACAAAABDMyMTkA5mIXekSN3ggfv2h+RI3eCDJDSVEuTkFTREFROkNBTE0uSVFfRVBTXzVZUl9BTk5fQ0FHUi45OTkuMjkvMDMvMjAyNgEAAAAgegUAAgAAAAczOC40NDEyAQgAAAAFAAAAATEBAAAACy0xOTM0OTc4NDgwAwAAAAMxNjACAAAABDQyMzkEAAAAATAHAAAACTMvMjkvMjAyNggAAAAINi8xLzIwMjQJAAAAATCdsxR6RI3eCCalYH5Ejd4IMUNJUS5OQVNEQVE6Q0FMTS5JUV9OSV81WVJfQU5OX0NBR1IuOTk1LjI5LzAzLzIwMjYBAAAAIHoFAAIAAAAILTM1LjIyMzQBCAAAAAUAAAABMQEAAAALLTIwODgzNDc0NjkDAAAAAzE2MAIAAAAENDIzOAQAAAABMAcAAAAJMy8yOS8yMDI2CAAAAAk1LzMwLzIwMjAJAAAAATCdsxR6RI3eCMPqYH5Ejd4IOENJUS5OQVNEQVE6Q0FMTS5JUV9UT1RBTF9SRVZfNVlSX0FOTl9DQUdSLjk5Ny4yOS8wMy8yMDI2AQAAACB6BQACAAAABzEwLjU4NjcBCAAAAAUAAAABMQEAAAALLTE5ODY3MDg0MzMDAAAAAzE2MAIAAAAENDIzMwQAAAABMAcAAAAJMy8yOS8yMDI2CAAAAAk1LzI4LzIwMjIJAAAAATCdsxR6RI3eCPViYX5Ejd4IMUNJUS5O</t>
  </si>
  <si>
    <t>QVNEQVE6Q0FMTS5JUV9OSV8zWVJfQU5OX0NBR1IuOTkzLjI5LzAzLzIwMjYBAAAAIHoFAAIAAAAHLTcuOTEwOAEIAAAABQAAAAExAQAAAAoyMDQ1NzQ5MzEwAwAAAAMxNjACAAAABDQyMjUEAAAAATAHAAAACTMvMjkvMjAyNggAAAAINi8yLzIwMTgJAAAAATCdsxR6RI3eCOeJYX5Ejd4ILUNJUS5OQVNEQVE6Q0FMTS5JUV9FQklUX01BUkdJTi45OTguMjkvMDMvMjAyNgEAAAAgegUAAgAAAAczMC42NDc5AQgAAAAFAAAAATEBAAAACy0xOTM0OTc4NDIwAwAAAAMxNjACAAAABDQwNTMEAAAAATAHAAAACTMvMjkvMjAyNggAAAAINi8zLzIwMjMJAAAAATD91xd6RI3eCH3WZn5Ejd4IMENJUS5OQVNEQVE6Q0FMTS5JUV9SRVRVUk5fRVFVSVRZLjEwMDAuMjkvMDMvMjAyNgEAAAAgegUAAgAAAAY1NS44NDMBCAAAAAUAAAABMQEAAAALLTE5MzQ5NzgzODEDAAAAAzE2MAIAAAAENDEyOAQAAAABMAcAAAAJMy8yOS8yMDI2CAAAAAk1LzMxLzIwMjUJAAAAATD7sBd6RI3eCJyGZ35Ejd4IMENJUS5OQVNEQVE6Q0FMTS5JUV9SRVRVUk5fQ0FQSVRBTC45OTQuMjkvMDMvMjAyNgEAAAAgegUAAgAAAAYyLjkzMDUBCAAAAAUAAAABMQEAAAALLTIxNDI0MjkwMzkDAAAAAzE2MAIAAAAENDM2MwQAAAABMAcAAAAJMy8yOS8yMDI2CAAAAAg2LzEvMjAxOQkAAAABMPuwF3pEjd4IBa5nfkSN3gguQ0lRLk5BU0RBUTpDQUxNLklR</t>
  </si>
  <si>
    <t>X0NBTENfVFlQRV9CUy45OTYuMjkvMDMvMjAyNgEAAAAgegUAAwAAAANSVVAA+7AXekSN3gjB1Gd+RI3eCDNDSVEuTkFTREFROkNBTE0uSVFfTlVNQkVSX0FEUkhPTERFUlMuOTk0LjI5LzAzLzIwMjYBAAAAIHoFAAMAAAAAAOZiF3pEjd4IwyJofkSN3ggxQ0lRLk5BU0RBUTpDQUxNLklRX0NBU0hfQ09OVkVSU0lPTi45OTguMjkvMDMvMjAyNgEAAAAgegUAAgAAAAk1My4xMjkwNTUBCAAAAAUAAAABMQEAAAALLTE5MzQ5Nzg0MjADAAAAAzE2MAIAAAAENDE4NAQAAAABMAcAAAAJMy8yOS8yMDI2CAAAAAg2LzMvMjAyMwkAAAABMP3XF3pEjd4IPmJlfkSN3gg0Q0lRLk5BU0RBUTpDQUxNLklRX0RBWVNfSU5WRU5UT1JZX09VVC45OTQuMjkvMDMvMjAyNgEAAAAgegUAAgAAAAk1NC41MDA5OTIBCAAAAAUAAAABMQEAAAALLTIxNDI0MjkwMzkDAAAAAzE2MAIAAAAENDAzNQQAAAABMAcAAAAJMy8yOS8yMDI2CAAAAAg2LzEvMjAxOQkAAAABMP3XF3pEjd4ISollfkSN3ggzQ0lRLk5BU0RBUTpDQUxNLklRX0NGT19DVVJSRU5UX0xJQUIuMTAwMC4yOS8wMy8yMDI2AQAAACB6BQACAAAACDMuOTcxNjI1AQgAAAAFAAAAATEBAAAACy0xOTM0OTc4MzgxAwAAAAMxNjACAAAABDQxODUEAAAAATAHAAAACTMvMjkvMjAyNggAAAAJNS8zMS8yMDI1CQAAAAEw/dcXekSN3ghExGV+RI3eCC1DSVEuTkFTREFROkNBTE0uSVFf</t>
  </si>
  <si>
    <t>UVVJQ0tfUkFUSU8uOTk0LjI5LzAzLzIwMjYBAAAAIHoFAAIAAAAINS4yMjIzMTUBCAAAAAUAAAABMQEAAAALLTIxNDI0MjkwMzkDAAAAAzE2MAIAAAAENDEyMQQAAAABMAcAAAAJMy8yOS8yMDI2CAAAAAg2LzEvMjAxOQkAAAABMP3XF3pEjd4IWOtlfkSN3ggzQ0lRLk5BU0RBUTpDQUxNLklRX0ZJWEVEX0FTU0VUX1RVUk5TLjk5Ni4yOS8wMy8yMDI2AQAAACB6BQACAAAACDIuMzQxNDgzAQgAAAAFAAAAATEBAAAACy0yMDM3MjQxNzIxAwAAAAMxNjACAAAABDQwNjYEAAAAATAHAAAACTMvMjkvMjAyNggAAAAJNS8yOS8yMDIxCQAAAAEw/dcXekSN3giXYGZ+RI3eCDFDSVEuTkFTREFROkNBTE0uSVFfTkVUX0RFQlRfRUJJVERBLjk5OC4yOS8wMy8yMDI2AQAAACB6BQADAAAAAk5NAQgAAAAFAAAAATEBAAAACy0xOTM0OTc4NDIwAwAAAAMxNjACAAAABDQxOTMEAAAAATAHAAAACTMvMjkvMjAyNggAAAAINi8zLzIwMjMJAAAAATAmfRR6RI3eCIvHY35Ejd4IM0NJUS5OQVNEQVE6Q0FMTS5JUV9UT1RBTF9ERUJUX0VCSVREQS45OTQuMjkvMDMvMjAyNgEAAAAgegUAAgAAAAgwLjAyNTQyMgEIAAAABQAAAAExAQAAAAstMjE0MjQyOTAzOQMAAAADMTYwAgAAAAQ0MTkyBAAAAAEwBwAAAAkzLzI5LzIwMjYIAAAACDYvMS8yMDE5CQAAAAEwJn0UekSN3giS7mN+RI3eCDNDSVEuTkFTREFROkNBTE0uSVFfRUJJVERB</t>
  </si>
  <si>
    <t>X0NBUEVYX0lOVC4xMDAwLjI5LzAzLzIwMjYBAAAAIHoFAAIAAAALMjQyNS4xNjY2NjYBCAAAAAUAAAABMQEAAAALLTE5MzQ5NzgzODEDAAAAAzE2MAIAAAAENDE5MQQAAAABMAcAAAAJMy8yOS8yMDI2CAAAAAk1LzMxLzIwMjUJAAAAATAK/xd6RI3eCGgpZH5Ejd4ILENJUS5OQVNEQVE6Q0FMTS5JUV9FQklUREFfSU5ULjk5Ni4yOS8wMy8yMDI2AQAAACB6BQACAAAACjE5MS4zMTkyNDQBCAAAAAUAAAABMQEAAAALLTIwMzcyNDE3MjEDAAAAAzE2MAIAAAAENDE5MAQAAAABMAcAAAAJMy8yOS8yMDI2CAAAAAk1LzI5LzIwMjEJAAAAATD91xd6RI3eCM93ZH5Ejd4IMUNJUS5OQVNEQVE6Q0FMTS5JUV9MVF9ERUJUX0NBUElUQUwuOTk2LjI5LzAzLzIwMjYBAAAAIHoFAAIAAAAFMC4xNDUBCAAAAAUAAAABMQEAAAALLTIwMzcyNDE3MjEDAAAAAzE2MAIAAAAENDE4NwQAAAABMAcAAAAJMy8yOS8yMDI2CAAAAAk1LzI5LzIwMjEJAAAAATD91xd6RI3eCBrGZH5Ejd4INENJUS5OQVNEQVE6Q0FMTS5JUV9OSV8xWVJfQU5OX0dST1dUSC4xMDAwLjI5LzAzLzIwMjYBAAAAIHoFAAIAAAAHMzM5LjA0MwEIAAAABQAAAAExAQAAAAstMTkzNDk3ODM4MQMAAAADMTYwAgAAAAQ0MTk5BAAAAAEwBwAAAAkzLzI5LzIwMjYIAAAACTUvMzEvMjAyNQkAAAABMJ2zFHpEjd4IZk5ifkSN3gg1Q0lRLk5BU0RBUTpDQUxNLklRX0VC</t>
  </si>
  <si>
    <t>SVRfMVlSX0FOTl9HUk9XVEguOTk0LjI5LzAzLzIwMjYBAAAAIHoFAAIAAAAILTc0Ljc5MDEBCAAAAAUAAAABMQEAAAALLTIxNDI0MjkwMzkDAAAAAzE2MAIAAAAENDE5NwQAAAABMAcAAAAJMy8yOS8yMDI2CAAAAAg2LzEvMjAxOQkAAAABMJ2zFHpEjd4ImpxifkSN3gg0Q0lRLk5BU0RBUTpDQUxNLklRX0dQXzFZUl9BTk5fR1JPV1RILjEwMDAuMjkvMDMvMjAyNgEAAAAgegUAAgAAAAgyNDEuNzYyMgEIAAAABQAAAAExAQAAAAstMTkzNDk3ODM4MQMAAAADMTYwAgAAAAQ0MTk1BAAAAAEwBwAAAAkzLzI5LzIwMjYIAAAACTUvMzEvMjAyNQkAAAABMCZ9FHpEjd4IyddifkSN3ggpQ0lRLk5BU0RBUTpDQUxNLklRX1pfU0NPUkUuOTk2LjI5LzAzLzIwMjYBAAAAIHoFAAIAAAAHNy45NjkzMwEIAAAABQAAAAExAQAAAAstMjAzNzI0MTcyMQMAAAADMTYwAgAAAAYxMDAxMjMEAAAAATAHAAAACTMvMjkvMjAyNggAAAAJNS8yOS8yMDIxCQAAAAEwJn0UekSN3gjuA2N+RI3eCEpDSVEuTkFTREFROkNBTE0uSVFfVE9UQUxfREVCVF9FQklUREFfRVhDTF9PUEVSX0xFQVNFU19DQVBFWC45OTguMjkvMDMvMjAyNgEAAAAgegUAAwAAAAAAJn0UekSN3giCUmN+RI3eCDNDSVEuTkFTREFROkNBTE0uSVFfTlVNQkVSX0FEUkhPTERFUlMuOTkzLjI5LzAzLzIwMjYBAAAAIHoFAAMAAAAAAOZiF3pEjd4I4UlofkSN3ggxQ0lR</t>
  </si>
  <si>
    <t>Lk5BU0RBUTpDQUxNLklRX1RPVEFMX0VNUExPWUVFUy45OTUuMjkvMDMvMjAyNgEAAAAgegUAAgAAAAQzNTQ5AOZiF3pEjd4IH79ofkSN3ggxQ0lRLk5BU0RBUTpDQUxNLklRX05JXzVZUl9BTk5fQ0FHUi45OTQuMjkvMDMvMjAyNgEAAAAgegUAAgAAAAgtMTMuMDY0NwEIAAAABQAAAAExAQAAAAstMjE0MjQyOTAzOQMAAAADMTYwAgAAAAQ0MjM4BAAAAAEwBwAAAAkzLzI5LzIwMjYIAAAACDYvMS8yMDE5CQAAAAEwnbMUekSN3ghp0WB+RI3eCDhDSVEuTkFTREFROkNBTE0uSVFfVE9UQUxfUkVWXzVZUl9BTk5fQ0FHUi45OTYuMjkvMDMvMjAyNgEAAAAgegUAAgAAAActNi43MDU1AQgAAAAFAAAAATEBAAAACy0yMDM3MjQxNzIxAwAAAAMxNjACAAAABDQyMzMEAAAAATAHAAAACTMvMjkvMjAyNggAAAAJNS8yOS8yMDIxCQAAAAEwnbMUekSN3gj1YmF+RI3eCDVDSVEuTkFTREFROkNBTE0uSVFfRUJJVERBXzNZUl9BTk5fQ0FHUi45OTguMjkvMDMvMjAyNgEAAAAgegUAAgAAAAgxNTkuMjk0OAEIAAAABQAAAAExAQAAAAstMTkzNDk3ODQyMAMAAAADMTYwAgAAAAQ0MjIyBAAAAAEwBwAAAAkzLzI5LzIwMjYIAAAACDYvMy8yMDIzCQAAAAEwnbMUekSN3gge2GF+RI3eCDNDSVEuTkFTREFROkNBTE0uSVFfRklYRURfQVNTRVRfVFVSTlMuOTk1LjI5LzAzLzIwMjYBAAAAIHoFAAIAAAAHMi42NTgzNQEIAAAABQAA</t>
  </si>
  <si>
    <t>AAExAQAAAAstMjA4ODM0NzQ2OQMAAAADMTYwAgAAAAQ0MDY2BAAAAAEwBwAAAAkzLzI5LzIwMjYIAAAACTUvMzAvMjAyMAkAAAABMP3XF3pEjd4Il2BmfkSN3ggtQ0lRLk5BU0RBUTpDQUxNLklRX0VCSVRfTUFSR0lOLjk5Ny4yOS8wMy8yMDI2AQAAACB6BQACAAAABjcuNzg5MgEIAAAABQAAAAExAQAAAAstMTk4NjcwODQzMwMAAAADMTYwAgAAAAQ0MDUzBAAAAAEwBwAAAAkzLzI5LzIwMjYIAAAACTUvMjgvMjAyMgkAAAABMP3XF3pEjd4IfdZmfkSN3ggvQ0lRLk5BU0RBUTpDQUxNLklRX1JFVFVSTl9FUVVJVFkuOTk5LjI5LzAzLzIwMjYBAAAAIHoFAAIAAAAHMTYuMjIwMgEIAAAABQAAAAExAQAAAAstMTkzNDk3ODQ4MAMAAAADMTYwAgAAAAQ0MTI4BAAAAAEwBwAAAAkzLzI5LzIwMjYIAAAACDYvMS8yMDI0CQAAAAEw+7AXekSN3gg+X2d+RI3eCDBDSVEuTkFTREFROkNBTE0uSVFfUkVUVVJOX0NBUElUQUwuOTkzLjI5LzAzLzIwMjYBAAAAIHoFAAIAAAAHMTIuNTAwNgEIAAAABQAAAAExAQAAAAoyMDQ1NzQ5MzEwAwAAAAMxNjACAAAABDQzNjMEAAAAATAHAAAACTMvMjkvMjAyNggAAAAINi8yLzIwMTgJAAAAATD7sBd6RI3eCJyGZ35Ejd4ILkNJUS5OQVNEQVE6Q0FMTS5JUV9DQUxDX1RZUEVfQlMuOTk1LjI5LzAzLzIwMjYBAAAAIHoFAAMAAAADUlVQAPuwF3pEjd4IwdRnfkSN3gg9Q0lRLk5BU0RB</t>
  </si>
  <si>
    <t>UTpDQUxNLklRX0VCSVREQV9FWENMX09QRVJfTEVBU0VTX0lOVC45OTMuMjkvMDMvMjAyNgEAAAAgegUAAgAAAAo4ODkuNjQ1MjgzAQgAAAAFAAAAATEBAAAACjIwNDU3NDkzMTADAAAAAzE2MAIAAAAFNDkxNzMEAAAAATAHAAAACTMvMjkvMjAyNggAAAAINi8yLzIwMTgJAAAAATD91xd6RI3eCM93ZH5Ejd4IMUNJUS5OQVNEQVE6Q0FMTS5JUV9MVF9ERUJUX0NBUElUQUwuOTk1LjI5LzAzLzIwMjYBAAAAIHoFAAIAAAAGMC4yMzU2AQgAAAAFAAAAATEBAAAACy0yMDg4MzQ3NDY5AwAAAAMxNjACAAAABDQxODcEAAAAATAHAAAACTMvMjkvMjAyNggAAAAJNS8zMC8yMDIwCQAAAAEw/dcXekSN3gg/7WR+RI3eCDFDSVEuTkFTREFROkNBTE0uSVFfQ0FTSF9DT05WRVJTSU9OLjk5Ny4yOS8wMy8yMDI2AQAAACB6BQACAAAACTY5Ljc2NzE1MgEIAAAABQAAAAExAQAAAAstMTk4NjcwODQzMwMAAAADMTYwAgAAAAQ0MTg0BAAAAAEwBwAAAAkzLzI5LzIwMjYIAAAACTUvMjgvMjAyMgkAAAABMP3XF3pEjd4IQztlfkSN3ggyQ0lRLk5BU0RBUTpDQUxNLklRX0NGT19DVVJSRU5UX0xJQUIuOTk5LjI5LzAzLzIwMjYBAAAAIHoFAAIAAAAIMS45ODIwNDkBCAAAAAUAAAABMQEAAAALLTE5MzQ5Nzg0ODADAAAAAzE2MAIAAAAENDE4NQQAAAABMAcAAAAJMy8yOS8yMDI2CAAAAAg2LzEvMjAyNAkAAAABMP3XF3pEjd4IRMRl</t>
  </si>
  <si>
    <t>fkSN3ggtQ0lRLk5BU0RBUTpDQUxNLklRX1FVSUNLX1JBVElPLjk5My4yOS8wMy8yMDI2AQAAACB6BQACAAAACDMuODY1NTc2AQgAAAAFAAAAATEBAAAACjIwNDU3NDkzMTADAAAAAzE2MAIAAAAENDEyMQQAAAABMAcAAAAJMy8yOS8yMDI2CAAAAAg2LzIvMjAxOAkAAAABMP3XF3pEjd4IWOtlfkSN3ggpQ0lRLk5BU0RBUTpDQUxNLklRX1pfU0NPUkUuOTk1LjI5LzAzLzIwMjYBAAAAIHoFAAIAAAAIOC43MTQ4ODUBCAAAAAUAAAABMQEAAAALLTIwODgzNDc0NjkDAAAAAzE2MAIAAAAGMTAwMTIzBAAAAAEwBwAAAAkzLzI5LzIwMjYIAAAACTUvMzAvMjAyMAkAAAABMCZ9FHpEjd4I7gNjfkSN3gg3Q0lRLk5BU0RBUTpDQUxNLklRX05FVF9ERUJUX0VCSVREQV9DQVBFWC45OTUuMjkvMDMvMjAyNgEAAAAgegUAAwAAAAJOTQEIAAAABQAAAAExAQAAAAstMjA4ODM0NzQ2OQMAAAADMTYwAgAAAAUyMzMxNAQAAAABMAcAAAAJMy8yOS8yMDI2CAAAAAk1LzMwLzIwMjAJAAAAATAmfRR6RI3eCIJSY35Ejd4IMUNJUS5OQVNEQVE6Q0FMTS5JUV9ORVRfREVCVF9FQklUREEuOTk3LjI5LzAzLzIwMjYBAAAAIHoFAAMAAAACTk0BCAAAAAUAAAABMQEAAAALLTE5ODY3MDg0MzMDAAAAAzE2MAIAAAAENDE5MwQAAAABMAcAAAAJMy8yOS8yMDI2CAAAAAk1LzI4LzIwMjIJAAAAATAmfRR6RI3eCHmgY35Ejd4IM0NJUS5OQVNE</t>
  </si>
  <si>
    <t>QVE6Q0FMTS5JUV9UT1RBTF9ERUJUX0VCSVREQS45OTMuMjkvMDMvMjAyNgEAAAAgegUAAgAAAAgwLjAyNTgzMQEIAAAABQAAAAExAQAAAAoyMDQ1NzQ5MzEwAwAAAAMxNjACAAAABDQxOTIEAAAAATAHAAAACTMvMjkvMjAyNggAAAAINi8yLzIwMTgJAAAAATAmfRR6RI3eCJLuY35Ejd4IMkNJUS5OQVNEQVE6Q0FMTS5JUV9FQklUREFfQ0FQRVhfSU5ULjk5OS4yOS8wMy8yMDI2AQAAACB6BQACAAAACjQ1MC4zMDc4MzIBCAAAAAUAAAABMQEAAAALLTE5MzQ5Nzg0ODADAAAAAzE2MAIAAAAENDE5MQQAAAABMAcAAAAJMy8yOS8yMDI2CAAAAAg2LzEvMjAyNAkAAAABMAr/F3pEjd4IaClkfkSN3gg4Q0lRLk5BU0RBUTpDQUxNLklRX1RPVEFMX1JFVl81WVJfQU5OX0NBR1IuOTk1LjI5LzAzLzIwMjYBAAAAIHoFAAIAAAAHLTMuMDI2OAEIAAAABQAAAAExAQAAAAstMjA4ODM0NzQ2OQMAAAADMTYwAgAAAAQ0MjMzBAAAAAEwBwAAAAkzLzI5LzIwMjYIAAAACTUvMzAvMjAyMAkAAAABMJ2zFHpEjd4I9WJhfkSN3gg1Q0lRLk5BU0RBUTpDQUxNLklRX0VCSVREQV8zWVJfQU5OX0NBR1IuOTk3LjI5LzAzLzIwMjYBAAAAIHoFAAIAAAAHMjcuMjEyNAEIAAAABQAAAAExAQAAAAstMTk4NjcwODQzMwMAAAADMTYwAgAAAAQ0MjIyBAAAAAEwBwAAAAkzLzI5LzIwMjYIAAAACTUvMjgvMjAyMgkAAAABMJ2zFHpEjd4IDLFh</t>
  </si>
  <si>
    <t>fkSN3gg0Q0lRLk5BU0RBUTpDQUxNLklRX0VQU18xWVJfQU5OX0dST1dUSC45OTcuMjkvMDMvMjAyNgEAAAAgegUAAgAAAAQ2NzAwAQgAAAAFAAAAATEBAAAACy0xOTg2NzA4NDMzAwAAAAMxNjACAAAABDQyMDAEAAAAATAHAAAACTMvMjkvMjAyNggAAAAJNS8yOC8yMDIyCQAAAAEwnbMUekSN3ghmTmJ+RI3eCDVDSVEuTkFTREFROkNBTE0uSVFfRUJJVF8xWVJfQU5OX0dST1dUSC45OTMuMjkvMDMvMjAyNgEAAAAgegUAAwAAAAJOTQEIAAAABQAAAAExAQAAAAoyMDQ1NzQ5MzEwAwAAAAMxNjACAAAABDQxOTcEAAAAATAHAAAACTMvMjkvMjAyNggAAAAINi8yLzIwMTgJAAAAATCdsxR6RI3eCLN1Yn5Ejd4IM0NJUS5OQVNEQVE6Q0FMTS5JUV9HUF8xWVJfQU5OX0dST1dUSC45OTkuMjkvMDMvMjAyNgEAAAAgegUAAgAAAAgtNTQuNzM1NQEIAAAABQAAAAExAQAAAAstMTkzNDk3ODQ4MAMAAAADMTYwAgAAAAQ0MTk1BAAAAAEwBwAAAAkzLzI5LzIwMjYIAAAACDYvMS8yMDI0CQAAAAEwJn0UekSN3gjJ12J+RI3eCDZDSVEuTkFTREFROkNBTE0uSVFfUkVUVVJOX0NPTU1PTl9FUVVJVFkuOTk2LjI5LzAzLzIwMjYBAAAAIHoFAAIAAAAGMC4yMDM3AQgAAAAFAAAAATEBAAAACy0yMDM3MjQxNzIxAwAAAAMxNjACAAAABTMzMzIwBAAAAAEwBwAAAAkzLzI5LzIwMjYIAAAACTUvMjkvMjAyMQkAAAABMPuwF3pEjd4I</t>
  </si>
  <si>
    <t>Pl9nfkSN3gguQ0lRLk5BU0RBUTpDQUxNLklRX0NBTENfVFlQRV9CUy45OTQuMjkvMDMvMjAyNgEAAAAgegUAAwAAAANSVVAA+7AXekSN3gjB1Gd+RI3eCDJDSVEuTkFTREFROkNBTE0uSVFfRklMSU5HX0NVUlJFTkNZLjEwMDAuMjkvMDMvMjAyNgEAAAAgegUAAwAAAANVU0QAilmWekSN3gjm/Wl+RI3eCDFDSVEuTkFTREFROkNBTE0uSVFfTklfNVlSX0FOTl9DQUdSLjk5My4yOS8wMy8yMDI2AQAAACB6BQACAAAABzIwLjA4ODUBCAAAAAUAAAABMQEAAAAKMjA0NTc0OTMxMAMAAAADMTYwAgAAAAQ0MjM4BAAAAAEwBwAAAAkzLzI5LzIwMjYIAAAACDYvMi8yMDE4CQAAAAEwnbMUekSN3ghp0WB+RI3eCDVDSVEuTkFTREFROkNBTE0uSVFfRUJJVERBXzVZUl9BTk5fQ0FHUi45OTkuMjkvMDMvMjAyNgEAAAAgegUAAgAAAAczMS40NTMxAQgAAAAFAAAAATEBAAAACy0xOTM0OTc4NDgwAwAAAAMxNjACAAAABDQyMzUEAAAAATAHAAAACTMvMjkvMjAyNggAAAAINi8xLzIwMjQJAAAAATCdsxR6RI3eCOc7YX5Ejd4IMkNJUS5OQVNEQVE6Q0FMTS5JUV9DRk9fQ1VSUkVOVF9MSUFCLjk5OC4yOS8wMy8yMDI2AQAAACB6BQACAAAACDQuNzIyODQzAQgAAAAFAAAAATEBAAAACy0xOTM0OTc4NDIwAwAAAAMxNjACAAAABDQxODUEAAAAATAHAAAACTMvMjkvMjAyNggAAAAINi8zLzIwMjMJAAAAATD91xd6RI3eCETEZX5E</t>
  </si>
  <si>
    <t>jd4IMUNJUS5OQVNEQVE6Q0FMTS5JUV9JTlZFTlRPUllfVFVSTlMuOTk4LjI5LzAzLzIwMjYBAAAAIHoFAAIAAAAINy4xMTkzNjgBCAAAAAUAAAABMQEAAAALLTE5MzQ5Nzg0MjADAAAAAzE2MAIAAAAENDA4MgQAAAABMAcAAAAJMy8yOS8yMDI2CAAAAAg2LzMvMjAyMwkAAAABMP3XF3pEjd4IljlmfkSN3ggzQ0lRLk5BU0RBUTpDQUxNLklRX0ZJWEVEX0FTU0VUX1RVUk5TLjk5NC4yOS8wMy8yMDI2AQAAACB6BQACAAAACDMuMDg3NzIxAQgAAAAFAAAAATEBAAAACy0yMTQyNDI5MDM5AwAAAAMxNjACAAAABDQwNjYEAAAAATAHAAAACTMvMjkvMjAyNggAAAAINi8xLzIwMTkJAAAAATD91xd6RI3eCJdgZn5Ejd4IMENJUS5OQVNEQVE6Q0FMTS5JUV9DQVBFWF9QQ1RfUkVWLjEwMDAuMjkvMDMvMjAyNgEAAAAgegUAAgAAAAYzLjc4MzYBCAAAAAUAAAABMQEAAAALLTE5MzQ5NzgzODEDAAAAAzE2MAIAAAAFMzUzODAEAAAAATAHAAAACTMvMjkvMjAyNggAAAAJNS8zMS8yMDI1CQAAAAEw/dcXekSN3gjBh2Z+RI3eCC1DSVEuTkFTREFROkNBTE0uSVFfRUJJVF9NQVJHSU4uOTk2LjI5LzAzLzIwMjYBAAAAIHoFAAIAAAAHLTEuNzI1OAEIAAAABQAAAAExAQAAAAstMjAzNzI0MTcyMQMAAAADMTYwAgAAAAQ0MDUzBAAAAAEwBwAAAAkzLzI5LzIwMjYIAAAACTUvMjkvMjAyMQkAAAABMP3XF3pEjd4IfdZmfkSN3ggy</t>
  </si>
  <si>
    <t>Q0lRLk5BU0RBUTpDQUxNLklRX0VCSVREQV9DQVBFWF9JTlQuOTk4LjI5LzAzLzIwMjYBAAAAIHoFAAIAAAALMTU0My41OTM0ODEBCAAAAAUAAAABMQEAAAALLTE5MzQ5Nzg0MjADAAAAAzE2MAIAAAAENDE5MQQAAAABMAcAAAAJMy8yOS8yMDI2CAAAAAg2LzMvMjAyMwkAAAABMAr/F3pEjd4I4FBkfkSN3gg6Q0lRLk5BU0RBUTpDQUxNLklRX1RPVEFMX0xJQUJfVE9UQUxfQVNTRVRTLjEwMDAuMjkvMDMvMjAyNgEAAAAgegUAAgAAAAcxNi44MTI1AQgAAAAFAAAAATEBAAAACy0xOTM0OTc4MzgxAwAAAAMxNjACAAAABDQxODgEAAAAATAHAAAACTMvMjkvMjAyNggAAAAJNS8zMS8yMDI1CQAAAAEw/dcXekSN3ggaxmR+RI3eCDFDSVEuTkFTREFROkNBTE0uSVFfTFRfREVCVF9DQVBJVEFMLjk5NC4yOS8wMy8yMDI2AQAAACB6BQACAAAABjAuMDg2NAEIAAAABQAAAAExAQAAAAstMjE0MjQyOTAzOQMAAAADMTYwAgAAAAQ0MTg3BAAAAAEwBwAAAAkzLzI5LzIwMjYIAAAACDYvMS8yMDE5CQAAAAEw/dcXekSN3gg/7WR+RI3eCDVDSVEuTkFTREFROkNBTE0uSVFfVE9UQUxfREVCVF9DQVBJVEFMLjEwMDAuMjkvMDMvMjAyNgEAAAAgegUAAwAAAAAA/dcXekSN3gg1FGV+RI3eCDFDSVEuTkFTREFROkNBTE0uSVFfQ0FTSF9DT05WRVJTSU9OLjk5Ni4yOS8wMy8yMDI2AQAAACB6BQACAAAACTY4LjAyOTQxNgEIAAAA</t>
  </si>
  <si>
    <t>BQAAAAExAQAAAAstMjAzNzI0MTcyMQMAAAADMTYwAgAAAAQ0MTg0BAAAAAEwBwAAAAkzLzI5LzIwMjYIAAAACTUvMjkvMjAyMQkAAAABMP3XF3pEjd4IQztlfkSN3gg0Q0lRLk5BU0RBUTpDQUxNLklRX0VQU18xWVJfQU5OX0dST1dUSC45OTYuMjkvMDMvMjAyNgEAAAAgegUAAgAAAAgtODkuNDU4NgEIAAAABQAAAAExAQAAAAstMjAzNzI0MTcyMQMAAAADMTYwAgAAAAQ0MjAwBAAAAAEwBwAAAAkzLzI5LzIwMjYIAAAACTUvMjkvMjAyMQkAAAABMJ2zFHpEjd4IZk5ifkSN3ggzQ0lRLk5BU0RBUTpDQUxNLklRX0dQXzFZUl9BTk5fR1JPV1RILjk5OC4yOS8wMy8yMDI2AQAAACB6BQACAAAACDI1NC45Njk2AQgAAAAFAAAAATEBAAAACy0xOTM0OTc4NDIwAwAAAAMxNjACAAAABDQxOTUEAAAAATAHAAAACTMvMjkvMjAyNggAAAAINi8zLzIwMjMJAAAAATAmfRR6RI3eCFuwYn5Ejd4ISUNJUS5OQVNEQVE6Q0FMTS5JUV9ORVRfREVCVF9FQklUREFfRVhDTF9PUEVSX0xFQVNFU19DQVBFWC4xMDAwLjI5LzAzLzIwMjYBAAAAIHoFAAMAAAACTk0BCAAAAAUAAAABMQEAAAALLTE5MzQ5NzgzODEDAAAAAzE2MAIAAAAFNDkxODIEAAAAATAHAAAACTMvMjkvMjAyNggAAAAJNS8zMS8yMDI1CQAAAAEwJn0UekSN3ghhK2N+RI3eCDdDSVEuTkFTREFROkNBTE0uSVFfTkVUX0RFQlRfRUJJVERBX0NBUEVYLjk5NC4yOS8w</t>
  </si>
  <si>
    <t>My8yMDI2AQAAACB6BQADAAAAAk5NAQgAAAAFAAAAATEBAAAACy0yMTQyNDI5MDM5AwAAAAMxNjACAAAABTIzMzE0BAAAAAEwBwAAAAkzLzI5LzIwMjYIAAAACDYvMS8yMDE5CQAAAAEwJn0UekSN3giCUmN+RI3eCDFDSVEuTkFTREFROkNBTE0uSVFfTkVUX0RFQlRfRUJJVERBLjk5Ni4yOS8wMy8yMDI2AQAAACB6BQADAAAAAk5NAQgAAAAFAAAAATEBAAAACy0yMDM3MjQxNzIxAwAAAAMxNjACAAAABDQxOTMEAAAAATAHAAAACTMvMjkvMjAyNggAAAAJNS8yOS8yMDIxCQAAAAEwJn0UekSN3giLx2N+RI3eCDNDSVEuTkFTREFROkNBTE0uSVFfRklYRURfQVNTRVRfVFVSTlMuOTkzLjI5LzAzLzIwMjYBAAAAIHoFAAIAAAAIMy40MDE5NjEBCAAAAAUAAAABMQEAAAAKMjA0NTc0OTMxMAMAAAADMTYwAgAAAAQ0MDY2BAAAAAEwBwAAAAkzLzI5LzIwMjYIAAAACDYvMi8yMDE4CQAAAAEw/dcXekSN3giXYGZ+RI3eCDVDSVEuTkFTREFROkNBTE0uSVFfRUJJVERBXzVZUl9BTk5fQ0FHUi45OTguMjkvMDMvMjAyNgEAAAAgegUAAgAAAAczNC40NjgzAQgAAAAFAAAAATEBAAAACy0xOTM0OTc4NDIwAwAAAAMxNjACAAAABDQyMzUEAAAAATAHAAAACTMvMjkvMjAyNggAAAAINi8zLzIwMjMJAAAAATCdsxR6RI3eCIEUYX5Ejd4IOENJUS5OQVNEQVE6Q0FMTS5JUV9UT1RBTF9SRVZfNVlSX0FOTl9DQUdSLjk5NC4yOS8w</t>
  </si>
  <si>
    <t>My8yMDI2AQAAACB6BQACAAAABy0xLjEzMTkBCAAAAAUAAAABMQEAAAALLTIxNDI0MjkwMzkDAAAAAzE2MAIAAAAENDIzMwQAAAABMAcAAAAJMy8yOS8yMDI2CAAAAAg2LzEvMjAxOQkAAAABMJ2zFHpEjd4I9WJhfkSN3ggyQ0lRLk5BU0RBUTpDQUxNLklRX05JXzNZUl9BTk5fQ0FHUi4xMDAwLjI5LzAzLzIwMjYBAAAAIHoFAAIAAAAIMTA5LjUxODkBCAAAAAUAAAABMQEAAAALLTE5MzQ5NzgzODEDAAAAAzE2MAIAAAAENDIyNQQAAAABMAcAAAAJMy8yOS8yMDI2CAAAAAk1LzMxLzIwMjUJAAAAATCdsxR6RI3eCOeJYX5Ejd4IM0NJUS5OQVNEQVE6Q0FMTS5JUV9FQklUXzNZUl9BTk5fQ0FHUi45OTQuMjkvMDMvMjAyNgEAAAAgegUAAgAAAAgtNTMuOTg4MgEIAAAABQAAAAExAQAAAAstMjE0MjQyOTAzOQMAAAADMTYwAgAAAAQ0MjIzBAAAAAEwBwAAAAkzLzI5LzIwMjYIAAAACDYvMS8yMDE5CQAAAAEwnbMUekSN3ggMsWF+RI3eCDFDSVEuTkFTREFROkNBTE0uSVFfTFRfREVCVF9DQVBJVEFMLjk5My4yOS8wMy8yMDI2AQAAACB6BQACAAAABjAuMjY1NQEIAAAABQAAAAExAQAAAAoyMDQ1NzQ5MzEwAwAAAAMxNjACAAAABDQxODcEAAAAATAHAAAACTMvMjkvMjAyNggAAAAINi8yLzIwMTgJAAAAATD91xd6RI3eCD/tZH5Ejd4INENJUS5OQVNEQVE6Q0FMTS5JUV9UT1RBTF9ERUJUX0NBUElUQUwuOTk5LjI5</t>
  </si>
  <si>
    <t>LzAzLzIwMjYBAAAAIHoFAAMAAAAAAP3XF3pEjd4INRRlfkSN3ggxQ0lRLk5BU0RBUTpDQUxNLklRX0NBU0hfQ09OVkVSU0lPTi45OTUuMjkvMDMvMjAyNgEAAAAgegUAAgAAAAc2MC4zNjAzAQgAAAAFAAAAATEBAAAACy0yMDg4MzQ3NDY5AwAAAAMxNjACAAAABDQxODQEAAAAATAHAAAACTMvMjkvMjAyNggAAAAJNS8zMC8yMDIwCQAAAAEw/dcXekSN3ghDO2V+RI3eCDBDSVEuTkFTREFROkNBTE0uSVFfREFZU19TQUxFU19PVVQuOTk1LjI5LzAzLzIwMjYBAAAAIHoFAAIAAAAJMTkuMTI1Mjg4AQgAAAAFAAAAATEBAAAACy0yMDg4MzQ3NDY5AwAAAAMxNjACAAAABDQwNDIEAAAAATAHAAAACTMvMjkvMjAyNggAAAAJNS8zMC8yMDIwCQAAAAEw/dcXekSN3ghExGV+RI3eCDFDSVEuTkFTREFROkNBTE0uSVFfSU5WRU5UT1JZX1RVUk5TLjk5Ny4yOS8wMy8yMDI2AQAAACB6BQACAAAACDUuOTc5MzUxAQgAAAAFAAAAATEBAAAACy0xOTg2NzA4NDMzAwAAAAMxNjACAAAABDQwODIEAAAAATAHAAAACTMvMjkvMjAyNggAAAAJNS8yOC8yMDIyCQAAAAEw/dcXekSN3ghkEmZ+RI3eCDdDSVEuTkFTREFROkNBTE0uSVFfTkVUX0RFQlRfRUJJVERBX0NBUEVYLjk5My4yOS8wMy8yMDI2AQAAACB6BQADAAAAAk5NAQgAAAAFAAAAATEBAAAACjIwNDU3NDkzMTADAAAAAzE2MAIAAAAFMjMzMTQEAAAAATAHAAAACTMvMjkv</t>
  </si>
  <si>
    <t>MjAyNggAAAAINi8yLzIwMTgJAAAAATAmfRR6RI3eCGErY35Ejd4IOUNJUS5OQVNEQVE6Q0FMTS5JUV9UT1RBTF9ERUJUX0VCSVREQV9DQVBFWC45OTkuMjkvMDMvMjAyNgEAAAAgegUAAwAAAAAAJn0UekSN3ghyeWN+RI3eCDFDSVEuTkFTREFROkNBTE0uSVFfTkVUX0RFQlRfRUJJVERBLjk5NS4yOS8wMy8yMDI2AQAAACB6BQADAAAAAk5NAQgAAAAFAAAAATEBAAAACy0yMDg4MzQ3NDY5AwAAAAMxNjACAAAABDQxOTMEAAAAATAHAAAACTMvMjkvMjAyNggAAAAJNS8zMC8yMDIwCQAAAAEwJn0UekSN3giLx2N+RI3eCDJDSVEuTkFTREFROkNBTE0uSVFfRUJJVERBX0NBUEVYX0lOVC45OTcuMjkvMDMvMjAyNgEAAAAgegUAAgAAAAozMzMuNTU4MzEyAQgAAAAFAAAAATEBAAAACy0xOTg2NzA4NDMzAwAAAAMxNjACAAAABDQxOTEEAAAAATAHAAAACTMvMjkvMjAyNggAAAAJNS8yOC8yMDIyCQAAAAEwCv8XekSN3gjgUGR+RI3eCCpDSVEuTkFTREFROkNBTE0uSVFfRUJJVF9JTlQuOTk3LjI5LzAzLzIwMjYBAAAAIHoFAAIAAAAKMzQzLjQ5Mzc5NgEIAAAABQAAAAExAQAAAAstMTk4NjcwODQzMwMAAAADMTYwAgAAAAQ0MTg5BAAAAAEwBwAAAAkzLzI5LzIwMjYIAAAACTUvMjgvMjAyMgkAAAABMP3XF3pEjd4I155kfkSN3ggxQ0lRLk5BU0RBUTpDQUxNLklRX05JXzNZUl9BTk5fQ0FHUi45OTkuMjkvMDMvMjAy</t>
  </si>
  <si>
    <t>NgEAAAAgegUAAgAAAAg0MTIuODYyNAEIAAAABQAAAAExAQAAAAstMTkzNDk3ODQ4MAMAAAADMTYwAgAAAAQ0MjI1BAAAAAEwBwAAAAkzLzI5LzIwMjYIAAAACDYvMS8yMDI0CQAAAAEwnbMUekSN3gjniWF+RI3eCDNDSVEuTkFTREFROkNBTE0uSVFfRUJJVF8zWVJfQU5OX0NBR1IuOTkzLjI5LzAzLzIwMjYBAAAAIHoFAAIAAAAHLTguMjU1NQEIAAAABQAAAAExAQAAAAoyMDQ1NzQ5MzEwAwAAAAMxNjACAAAABDQyMjMEAAAAATAHAAAACTMvMjkvMjAyNggAAAAINi8yLzIwMTgJAAAAATCdsxR6RI3eCB7YYX5Ejd4INENJUS5OQVNEQVE6Q0FMTS5JUV9FUFNfMVlSX0FOTl9HUk9XVEguOTk1LjI5LzAzLzIwMjYBAAAAIHoFAAIAAAAILTY2LjA4NjUBCAAAAAUAAAABMQEAAAALLTIwODgzNDc0NjkDAAAAAzE2MAIAAAAENDIwMAQAAAABMAcAAAAJMy8yOS8yMDI2CAAAAAk1LzMwLzIwMjAJAAAAATCdsxR6RI3eCGZOYn5Ejd4IM0NJUS5OQVNEQVE6Q0FMTS5JUV9HUF8xWVJfQU5OX0dST1dUSC45OTcuMjkvMDMvMjAyNgEAAAAgegUAAgAAAAgxMDkuNzk1MQEIAAAABQAAAAExAQAAAAstMTk4NjcwODQzMwMAAAADMTYwAgAAAAQ0MTk1BAAAAAEwBwAAAAkzLzI5LzIwMjYIAAAACTUvMjgvMjAyMgkAAAABMCZ9FHpEjd4IW7BifkSN3ghIQ0lRLk5BU0RBUTpDQUxNLklRX05FVF9ERUJUX0VCSVREQV9FWENMX09Q</t>
  </si>
  <si>
    <t>RVJfTEVBU0VTX0NBUEVYLjk5OS4yOS8wMy8yMDI2AQAAACB6BQADAAAAAk5NAQgAAAAFAAAAATEBAAAACy0xOTM0OTc4NDgwAwAAAAMxNjACAAAABTQ5MTgyBAAAAAEwBwAAAAkzLzI5LzIwMjYIAAAACDYvMS8yMDI0CQAAAAEwJn0UekSN3gjuA2N+RI3eCDZDSVEuTkFTREFROkNBTE0uSVFfUkVUVVJOX0NPTU1PTl9FUVVJVFkuOTk0LjI5LzAzLzIwMjYBAAAAIHoFAAIAAAAGNS41OTA3AQgAAAAFAAAAATEBAAAACy0yMTQyNDI5MDM5AwAAAAMxNjACAAAABTMzMzIwBAAAAAEwBwAAAAkzLzI5LzIwMjYIAAAACDYvMS8yMDE5CQAAAAEw+7AXekSN3gg+X2d+RI3eCDFDSVEuTkFTREFROkNBTE0uSVFfUkVUVVJOX0NBUElUQUwuMTAwMC4yOS8wMy8yMDI2AQAAACB6BQACAAAABjQ0LjQ0OAEIAAAABQAAAAExAQAAAAstMTkzNDk3ODM4MQMAAAADMTYwAgAAAAQ0MzYzBAAAAAEwBwAAAAkzLzI5LzIwMjYIAAAACTUvMzEvMjAyNQkAAAABMPuwF3pEjd4InIZnfkSN3ggxQ0lRLk5BU0RBUTpDQUxNLklRX0ZJTElOR19DVVJSRU5DWS45OTguMjkvMDMvMjAyNgEAAAAgegUAAwAAAANVU0QAfTKWekSN3ghBTWp+RI3eCC9DSVEuTkFTREFROkNBTE0uSVFfQVZHX0VNUExPWUVFUy45OTYuMjkvMDMvMjAyNgEAAAAgegUAAwAAAAAA5mIXekSN3gj2cGh+RI3eCDVDSVEuTkFTREFROkNBTE0uSVFfRUJJVERBXzVZUl9B</t>
  </si>
  <si>
    <t>Tk5fQ0FHUi45OTcuMjkvMDMvMjAyNgEAAAAgegUAAwAAAAJOTQEIAAAABQAAAAExAQAAAAstMTk4NjcwODQzMwMAAAADMTYwAgAAAAQ0MjM1BAAAAAEwBwAAAAkzLzI5LzIwMjYIAAAACTUvMjgvMjAyMgkAAAABMJ2zFHpEjd4IgRRhfkSN3gg1Q0lRLk5BU0RBUTpDQUxNLklRX0RBWVNfSU5WRU5UT1JZX09VVC4xMDAwLjI5LzAzLzIwMjYBAAAAIHoFAAIAAAAINDIuMDgwMjIBCAAAAAUAAAABMQEAAAALLTE5MzQ5NzgzODEDAAAAAzE2MAIAAAAENDAzNQQAAAABMAcAAAAJMy8yOS8yMDI2CAAAAAk1LzMxLzIwMjUJAAAAATD91xd6RI3eCEqJZX5Ejd4IMENJUS5OQVNEQVE6Q0FMTS5JUV9EQVlTX1NBTEVTX09VVC45OTQuMjkvMDMvMjAyNgEAAAAgegUAAgAAAAkxOC40MjMxMzIBCAAAAAUAAAABMQEAAAALLTIxNDI0MjkwMzkDAAAAAzE2MAIAAAAENDA0MgQAAAABMAcAAAAJMy8yOS8yMDI2CAAAAAg2LzEvMjAxOQkAAAABMP3XF3pEjd4IRMRlfkSN3ggxQ0lRLk5BU0RBUTpDQUxNLklRX0lOVkVOVE9SWV9UVVJOUy45OTYuMjkvMDMvMjAyNgEAAAAgegUAAgAAAAg1Ljg1OTcyNQEIAAAABQAAAAExAQAAAAstMjAzNzI0MTcyMQMAAAADMTYwAgAAAAQ0MDgyBAAAAAEwBwAAAAkzLzI5LzIwMjYIAAAACTUvMjkvMjAyMQkAAAABMP3XF3pEjd4IZBJmfkSN3ggvQ0lRLk5BU0RBUTpDQUxNLklRX0NBUEVYX1BD</t>
  </si>
  <si>
    <t>VF9SRVYuOTk4LjI5LzAzLzIwMjYBAAAAIHoFAAIAAAAGNC4zNDA3AQgAAAAFAAAAATEBAAAACy0xOTM0OTc4NDIwAwAAAAMxNjACAAAABTM1MzgwBAAAAAEwBwAAAAkzLzI5LzIwMjYIAAAACDYvMy8yMDIzCQAAAAEw/dcXekSN3gjArmZ+RI3eCC9DSVEuTkFTREFROkNBTE0uSVFfR1JPU1NfTUFSR0lOLjEwMDAuMjkvMDMvMjAyNgEAAAAgegUAAgAAAAc0My40Mjg3AQgAAAAFAAAAATEBAAAACy0xOTM0OTc4MzgxAwAAAAMxNjACAAAABDQwNzQEAAAAATAHAAAACTMvMjkvMjAyNggAAAAJNS8zMS8yMDI1CQAAAAEw/dcXekSN3gjH/GZ+RI3eCDFDSVEuTkFTREFROkNBTE0uSVFfTkVUX0RFQlRfRUJJVERBLjk5NC4yOS8wMy8yMDI2AQAAACB6BQADAAAAAk5NAQgAAAAFAAAAATEBAAAACy0yMTQyNDI5MDM5AwAAAAMxNjACAAAABDQxOTMEAAAAATAHAAAACTMvMjkvMjAyNggAAAAINi8xLzIwMTkJAAAAATAmfRR6RI3eCIvHY35Ejd4INENJUS5OQVNEQVE6Q0FMTS5JUV9UT1RBTF9ERUJUX0VCSVREQS4xMDAwLjI5LzAzLzIwMjYBAAAAIHoFAAMAAAAAACZ9FHpEjd4Iku5jfkSN3ghDQ0lRLk5BU0RBUTpDQUxNLklRX0VCSVREQV9FWENMX09QRVJfTEVBU0VTX0NBUEVYX0lOVC45OTQuMjkvMDMvMjAyNgEAAAAgegUAAgAAAAk1MC40MjcwMTgBCAAAAAUAAAABMQEAAAALLTIxNDI0MjkwMzkDAAAAAzE2MAIA</t>
  </si>
  <si>
    <t>AAAFNDkxNzQEAAAAATAHAAAACTMvMjkvMjAyNggAAAAINi8xLzIwMTkJAAAAATAK/xd6RI3eCGgpZH5Ejd4IKkNJUS5OQVNEQVE6Q0FMTS5JUV9FQklUX0lOVC45OTYuMjkvMDMvMjAyNgEAAAAgegUAAwAAAAJOTQEIAAAABQAAAAExAQAAAAstMjAzNzI0MTcyMQMAAAADMTYwAgAAAAQ0MTg5BAAAAAEwBwAAAAkzLzI5LzIwMjYIAAAACTUvMjkvMjAyMQkAAAABMP3XF3pEjd4I155kfkSN3gg0Q0lRLk5BU0RBUTpDQUxNLklRX1RPVEFMX0RFQlRfQ0FQSVRBTC45OTguMjkvMDMvMjAyNgEAAAAgegUAAwAAAAAA/dcXekSN3gg1FGV+RI3eCDFDSVEuTkFTREFROkNBTE0uSVFfR1BfM1lSX0FOTl9DQUdSLjk5OC4yOS8wMy8yMDI2AQAAACB6BQACAAAABzg4LjE2NTUBCAAAAAUAAAABMQEAAAALLTE5MzQ5Nzg0MjADAAAAAzE2MAIAAAAENDIyMQQAAAABMAcAAAAJMy8yOS8yMDI2CAAAAAg2LzMvMjAyMwkAAAABMJ2zFHpEjd4IGf9hfkSN3gg0Q0lRLk5BU0RBUTpDQUxNLklRX0VQU18xWVJfQU5OX0dST1dUSC45OTQuMjkvMDMvMjAyNgEAAAAgegUAAgAAAActNTYuOTY2AQgAAAAFAAAAATEBAAAACy0yMTQyNDI5MDM5AwAAAAMxNjACAAAABDQyMDAEAAAAATAHAAAACTMvMjkvMjAyNggAAAAINi8xLzIwMTkJAAAAATCdsxR6RI3eCGZOYn5Ejd4INkNJUS5OQVNEQVE6Q0FMTS5JUV9FQklUXzFZUl9BTk5fR1JP</t>
  </si>
  <si>
    <t>V1RILjEwMDAuMjkvMDMvMjAyNgEAAAAgegUAAgAAAAYzOTMuOTQBCAAAAAUAAAABMQEAAAALLTE5MzQ5NzgzODEDAAAAAzE2MAIAAAAENDE5NwQAAAABMAcAAAAJMy8yOS8yMDI2CAAAAAk1LzMxLzIwMjUJAAAAATCdsxR6RI3eCLN1Yn5Ejd4IM0NJUS5OQVNEQVE6Q0FMTS5JUV9HUF8xWVJfQU5OX0dST1dUSC45OTYuMjkvMDMvMjAyNgEAAAAgegUAAgAAAAgtMTAuNTM5MgEIAAAABQAAAAExAQAAAAstMjAzNzI0MTcyMQMAAAADMTYwAgAAAAQ0MTk1BAAAAAEwBwAAAAkzLzI5LzIwMjYIAAAACTUvMjkvMjAyMQkAAAABMCZ9FHpEjd4IW7BifkSN3gg5Q0lRLk5BU0RBUTpDQUxNLklRX1RPVEFMX0RFQlRfRUJJVERBX0NBUEVYLjk5OC4yOS8wMy8yMDI2AQAAACB6BQADAAAAAAAmfRR6RI3eCHJ5Y35Ejd4IK0NJUS5OQVNEQVE6Q0FMTS5JUV9GVUxMX1RJTUUuOTk3LjI5LzAzLzIwMjYBAAAAIHoFAAIAAAAEMjg0NQDmYhd6RI3eCJwTaX5Ejd4IO0NJUS5OQVNEQVE6Q0FMTS5JUV9UT1RBTF9PVVRTVEFORElOR19CU19EQVRFLjk5Ny4yOS8wMy8yMDI2AQAAACB6BQACAAAABTQ4Ljk0AQQAAAAFAAAAATUBAAAACy0xOTg2NzA4NDMzAgAAAAUyNDE1MgYAAAABMMEuLXpEjd4IoTppfkSN3ggyQ0lRLk5BU0RBUTpDQUxNLklRX05JXzVZUl9BTk5fQ0FHUi4xMDAwLjI5LzAzLzIwMjYBAAAAIHoFAAIAAAAIMTMx</t>
  </si>
  <si>
    <t>LjM5NTIBCAAAAAUAAAABMQEAAAALLTE5MzQ5NzgzODEDAAAAAzE2MAIAAAAENDIzOAQAAAABMAcAAAAJMy8yOS8yMDI2CAAAAAk1LzMxLzIwMjUJAAAAATCdsxR6RI3eCGnRYH5Ejd4INUNJUS5OQVNEQVE6Q0FMTS5JUV9FQklUREFfNVlSX0FOTl9DQUdSLjk5Ni4yOS8wMy8yMDI2AQAAACB6BQACAAAACC00MS4xOTkxAQgAAAAFAAAAATEBAAAACy0yMDM3MjQxNzIxAwAAAAMxNjACAAAABDQyMzUEAAAAATAHAAAACTMvMjkvMjAyNggAAAAJNS8yOS8yMDIxCQAAAAEwnbMUekSN3giBFGF+RI3eCDFDSVEuTkFTREFROkNBTE0uSVFfTklfM1lSX0FOTl9DQUdSLjk5OC4yOS8wMy8yMDI2AQAAACB6BQACAAAACDI0NS40MjkzAQgAAAAFAAAAATEBAAAACy0xOTM0OTc4NDIwAwAAAAMxNjACAAAABDQyMjUEAAAAATAHAAAACTMvMjkvMjAyNggAAAAINi8zLzIwMjMJAAAAATCdsxR6RI3eCOeJYX5Ejd4INkNJUS5OQVNEQVE6Q0FMTS5JUV9SRVRVUk5fQ09NTU9OX0VRVUlUWS45OTMuMjkvMDMvMjAyNgEAAAAgegUAAgAAAAcxNC4wMjM0AQgAAAAFAAAAATEBAAAACjIwNDU3NDkzMTADAAAAAzE2MAIAAAAFMzMzMjAEAAAAATAHAAAACTMvMjkvMjAyNggAAAAINi8yLzIwMTgJAAAAATD7sBd6RI3eCD5fZ35Ejd4IMENJUS5OQVNEQVE6Q0FMTS5JUV9SRVRVUk5fQ0FQSVRBTC45OTkuMjkvMDMvMjAyNgEAAAAgegUA</t>
  </si>
  <si>
    <t>AgAAAAcxMS41MjUxAQgAAAAFAAAAATEBAAAACy0xOTM0OTc4NDgwAwAAAAMxNjACAAAABDQzNjMEAAAAATAHAAAACTMvMjkvMjAyNggAAAAINi8xLzIwMjQJAAAAATD7sBd6RI3eCJyGZ35Ejd4IMENJUS5OQVNEQVE6Q0FMTS5JUV9SRVNUQVRFTUVOVF9CUy45OTUuMjkvMDMvMjAyNgEAAAAgegUAAwAAAAJOQwD7sBd6RI3eCLv7Z35Ejd4IM0NJUS5OQVNEQVE6Q0FMTS5JUV9OVU1CRVJfQURSSE9MREVSUy45OTkuMjkvMDMvMjAyNgEAAAAgegUAAwAAAAAA5mIXekSN3gjhSWh+RI3eCC9DSVEuTkFTREFROkNBTE0uSVFfQVZHX0VNUExPWUVFUy45OTUuMjkvMDMvMjAyNgEAAAAgegUAAwAAAAAA5mIXekSN3gj2cGh+RI3eCDBDSVEuTkFTREFROkNBTE0uSVFfREFZU19TQUxFU19PVVQuOTkzLjI5LzAzLzIwMjYBAAAAIHoFAAIAAAAJMTcuMTk0NjMyAQgAAAAFAAAAATEBAAAACjIwNDU3NDkzMTADAAAAAzE2MAIAAAAENDA0MgQAAAABMAcAAAAJMy8yOS8yMDI2CAAAAAg2LzIvMjAxOAkAAAABMP3XF3pEjd4IaLBlfkSN3ggtQ0lRLk5BU0RBUTpDQUxNLklRX1FVSUNLX1JBVElPLjk5OS4yOS8wMy8yMDI2AQAAACB6BQACAAAACDQuMjgwMzQ2AQgAAAAFAAAAATEBAAAACy0xOTM0OTc4NDgwAwAAAAMxNjACAAAABDQxMjEEAAAAATAHAAAACTMvMjkvMjAyNggAAAAINi8xLzIwMjQJAAAAATD91xd6RI3eCFjr</t>
  </si>
  <si>
    <t>ZX5Ejd4IMUNJUS5OQVNEQVE6Q0FMTS5JUV9JTlZFTlRPUllfVFVSTlMuOTk1LjI5LzAzLzIwMjYBAAAAIHoFAAIAAAAINi41MjExMzYBCAAAAAUAAAABMQEAAAALLTIwODgzNDc0NjkDAAAAAzE2MAIAAAAENDA4MgQAAAABMAcAAAAJMy8yOS8yMDI2CAAAAAk1LzMwLzIwMjAJAAAAATD91xd6RI3eCGQSZn5Ejd4IL0NJUS5OQVNEQVE6Q0FMTS5JUV9DQVBFWF9QQ1RfUkVWLjk5Ny4yOS8wMy8yMDI2AQAAACB6BQACAAAABjQuMDczOAEIAAAABQAAAAExAQAAAAstMTk4NjcwODQzMwMAAAADMTYwAgAAAAUzNTM4MAQAAAABMAcAAAAJMy8yOS8yMDI2CAAAAAk1LzI4LzIwMjIJAAAAATD91xd6RI3eCMCuZn5Ejd4IL0NJUS5OQVNEQVE6Q0FMTS5JUV9FQklUREFfTUFSR0lOLjk5Ny4yOS8wMy8yMDI2AQAAACB6BQACAAAABzExLjYzNzgBCAAAAAUAAAABMQEAAAALLTE5ODY3MDg0MzMDAAAAAzE2MAIAAAAENDA0NwQAAAABMAcAAAAJMy8yOS8yMDI2CAAAAAk1LzI4LzIwMjIJAAAAATD91xd6RI3eCMf8Zn5Ejd4IM0NJUS5OQVNEQVE6Q0FMTS5JUV9UT1RBTF9ERUJUX0VCSVREQS45OTkuMjkvMDMvMjAyNgEAAAAgegUAAwAAAAAAJn0UekSN3giS7mN+RI3eCENDSVEuTkFTREFROkNBTE0uSVFfRUJJVERBX0VYQ0xfT1BFUl9MRUFTRVNfQ0FQRVhfSU5ULjk5My4yOS8wMy8yMDI2AQAAACB6BQACAAAACjgxNS40</t>
  </si>
  <si>
    <t>MTUwOTQBCAAAAAUAAAABMQEAAAAKMjA0NTc0OTMxMAMAAAADMTYwAgAAAAU0OTE3NAQAAAABMAcAAAAJMy8yOS8yMDI2CAAAAAg2LzIvMjAxOAkAAAABMAr/F3pEjd4IaClkfkSN3ggqQ0lRLk5BU0RBUTpDQUxNLklRX0VCSVRfSU5ULjk5NS4yOS8wMy8yMDI2AQAAACB6BQACAAAACDIuNzEyODUxAQgAAAAFAAAAATEBAAAACy0yMDg4MzQ3NDY5AwAAAAMxNjACAAAABDQxODkEAAAAATAHAAAACTMvMjkvMjAyNggAAAAJNS8zMC8yMDIwCQAAAAEw/dcXekSN3gjXnmR+RI3eCDRDSVEuTkFTREFROkNBTE0uSVFfVE9UQUxfREVCVF9DQVBJVEFMLjk5Ny4yOS8wMy8yMDI2AQAAACB6BQADAAAAAAD91xd6RI3eCD/tZH5Ejd4INENJUS5OQVNEQVE6Q0FMTS5JUV9EQVlTX0lOVkVOVE9SWV9PVVQuOTk5LjI5LzAzLzIwMjYBAAAAIHoFAAIAAAAJNTUuNjk0OTEyAQgAAAAFAAAAATEBAAAACy0xOTM0OTc4NDgwAwAAAAMxNjACAAAABDQwMzUEAAAAATAHAAAACTMvMjkvMjAyNggAAAAINi8xLzIwMjQJAAAAATD91xd6RI3eCD5iZX5Ejd4IMUNJUS5OQVNEQVE6Q0FMTS5JUV9HUF8zWVJfQU5OX0NBR1IuOTk3LjI5LzAzLzIwMjYBAAAAIHoFAAIAAAAHMTQuNzg2OAEIAAAABQAAAAExAQAAAAstMTk4NjcwODQzMwMAAAADMTYwAgAAAAQ0MjIxBAAAAAEwBwAAAAkzLzI5LzIwMjYIAAAACTUvMjgvMjAyMgkAAAABMJ2z</t>
  </si>
  <si>
    <t>FHpEjd4IGf9hfkSN3gg0Q0lRLk5BU0RBUTpDQUxNLklRX0VQU18xWVJfQU5OX0dST1dUSC45OTMuMjkvMDMvMjAyNgEAAAAgegUAAwAAAAJOTQEIAAAABQAAAAExAQAAAAoyMDQ1NzQ5MzEwAwAAAAMxNjACAAAABDQyMDAEAAAAATAHAAAACTMvMjkvMjAyNggAAAAINi8yLzIwMTgJAAAAATCdsxR6RI3eCBknYn5Ejd4INUNJUS5OQVNEQVE6Q0FMTS5JUV9FQklUXzFZUl9BTk5fR1JPV1RILjk5OS4yOS8wMy8yMDI2AQAAACB6BQACAAAACC02Ny40MjYxAQgAAAAFAAAAATEBAAAACy0xOTM0OTc4NDgwAwAAAAMxNjACAAAABDQxOTcEAAAAATAHAAAACTMvMjkvMjAyNggAAAAINi8xLzIwMjQJAAAAATCdsxR6RI3eCLN1Yn5Ejd4IN0NJUS5OQVNEQVE6Q0FMTS5JUV9FQklUREFfMVlSX0FOTl9HUk9XVEguOTkzLjI5LzAzLzIwMjYBAAAAIHoFAAMAAAACTk0BCAAAAAUAAAABMQEAAAAKMjA0NTc0OTMxMAMAAAADMTYwAgAAAAQ0MTk2BAAAAAEwBwAAAAkzLzI5LzIwMjYIAAAACDYvMi8yMDE4CQAAAAEwnbMUekSN3ghbsGJ+RI3eCDlDSVEuTkFTREFROkNBTE0uSVFfVE9UQUxfREVCVF9FQklUREFfQ0FQRVguOTk3LjI5LzAzLzIwMjYBAAAAIHoFAAMAAAAAACZ9FHpEjd4IcnljfkSN3ggrQ0lRLk5BU0RBUTpDQUxNLklRX1BBUlRfVElNRS45OTQuMjkvMDMvMjAyNgEAAAAgegUAAgAAAAMxNzgA5mIXekSN3giS</t>
  </si>
  <si>
    <t>7Gh+RI3eCCxDSVEuTkFTREFROkNBTE0uSVFfSU5WX01FVEhPRC45OTguMjkvMDMvMjAyNgEAAAAgegUAAwAAAARGSUZPAMEuLXpEjd4IoTppfkSN3ggxQ0lRLk5BU0RBUTpDQUxNLklRX05JXzVZUl9BTk5fQ0FHUi45OTkuMjkvMDMvMjAyNgEAAAAgegUAAgAAAAczOC42NTI1AQgAAAAFAAAAATEBAAAACy0xOTM0OTc4NDgwAwAAAAMxNjACAAAABDQyMzgEAAAAATAHAAAACTMvMjkvMjAyNggAAAAINi8xLzIwMjQJAAAAATCdsxR6RI3eCMPqYH5Ejd4INUNJUS5OQVNEQVE6Q0FMTS5JUV9FQklUREFfNVlSX0FOTl9DQUdSLjk5NS4yOS8wMy8yMDI2AQAAACB6BQACAAAACC0yNi40NDAyAQgAAAAFAAAAATEBAAAACy0yMDg4MzQ3NDY5AwAAAAMxNjACAAAABDQyMzUEAAAAATAHAAAACTMvMjkvMjAyNggAAAAJNS8zMC8yMDIwCQAAAAEwnbMUekSN3giBFGF+RI3eCDJDSVEuTkFTREFROkNBTE0uSVFfRVBTXzNZUl9BTk5fQ0FHUi45OTUuMjkvMDMvMjAyNgEAAAAgegUAAwAAAAJOTQEIAAAABQAAAAExAQAAAAstMjA4ODM0NzQ2OQMAAAADMTYwAgAAAAQ0MjI2BAAAAAEwBwAAAAkzLzI5LzIwMjYIAAAACTUvMzAvMjAyMAkAAAABMJ2zFHpEjd4I54lhfkSN3ggvQ0lRLk5BU0RBUTpDQUxNLklRX0NBTENfVFlQRV9CUy4xMDAwLjI5LzAzLzIwMjYBAAAAIHoFAAMAAAADUkVQAPuwF3pEjd4IwdRnfkSN3ggwQ0lR</t>
  </si>
  <si>
    <t>Lk5BU0RBUTpDQUxNLklRX1JFU1RBVEVNRU5UX0JTLjk5NC4yOS8wMy8yMDI2AQAAACB6BQADAAAAAk5DAPuwF3pEjd4Iu/tnfkSN3ggzQ0lRLk5BU0RBUTpDQUxNLklRX05VTUJFUl9BRFJIT0xERVJTLjk5OC4yOS8wMy8yMDI2AQAAACB6BQADAAAAAADmYhd6RI3eCOFJaH5Ejd4IL0NJUS5OQVNEQVE6Q0FMTS5JUV9BVkdfRU1QTE9ZRUVTLjk5NC4yOS8wMy8yMDI2AQAAACB6BQADAAAAAADmYhd6RI3eCPZwaH5Ejd4IMkNJUS5OQVNEQVE6Q0FMTS5JUV9UT1RBTF9FTVBMT1lFRVMuMTAwMC4yOS8wMy8yMDI2AQAAACB6BQACAAAABDM3NTYA5mIXekSN3gjfl2h+RI3eCDFDSVEuTkFTREFROkNBTE0uSVFfSU5WRU5UT1JZX1RVUk5TLjk5NC4yOS8wMy8yMDI2AQAAACB6BQACAAAACDYuNjc4NzQ3AQgAAAAFAAAAATEBAAAACy0yMTQyNDI5MDM5AwAAAAMxNjACAAAABDQwODIEAAAAATAHAAAACTMvMjkvMjAyNggAAAAINi8xLzIwMTkJAAAAATD91xd6RI3eCGQSZn5Ejd4INENJUS5OQVNEQVE6Q0FMTS5JUV9GSVhFRF9BU1NFVF9UVVJOUy4xMDAwLjI5LzAzLzIwMjYBAAAAIHoFAAIAAAAHNC41MjQ0OQEIAAAABQAAAAExAQAAAAstMTkzNDk3ODM4MQMAAAADMTYwAgAAAAQ0MDY2BAAAAAEwBwAAAAkzLzI5LzIwMjYIAAAACTUvMzEvMjAyNQkAAAABMP3XF3pEjd4IljlmfkSN3ggtQ0lRLk5BU0RBUTpDQUxN</t>
  </si>
  <si>
    <t>LklRX0FTU0VUX1RVUk5TLjk5NC4yOS8wMy8yMDI2AQAAACB6BQACAAAABzEuMTgwMTkBCAAAAAUAAAABMQEAAAALLTIxNDI0MjkwMzkDAAAAAzE2MAIAAAAENDE3NwQAAAABMAcAAAAJMy8yOS8yMDI2CAAAAAg2LzEvMjAxOQkAAAABMP3XF3pEjd4IwYdmfkSN3ggvQ0lRLk5BU0RBUTpDQUxNLklRX0VCSVREQV9NQVJHSU4uOTk2LjI5LzAzLzIwMjYBAAAAIHoFAAIAAAAGMi42ODMxAQgAAAAFAAAAATEBAAAACy0yMDM3MjQxNzIxAwAAAAMxNjACAAAABDQwNDcEAAAAATAHAAAACTMvMjkvMjAyNggAAAAJNS8yOS8yMDIxCQAAAAEw/dcXekSN3gjH/GZ+RI3eCDBDSVEuTkFTREFROkNBTE0uSVFfUkVUVVJOX0NBUElUQUwuOTk4LjI5LzAzLzIwMjYBAAAAIHoFAAIAAAAHNDQuNDEyMQEIAAAABQAAAAExAQAAAAstMTkzNDk3ODQyMAMAAAADMTYwAgAAAAQ0MzYzBAAAAAEwBwAAAAkzLzI5LzIwMjYIAAAACDYvMy8yMDIzCQAAAAEw+7AXekSN3gichmd+RI3eCCpDSVEuTkFTREFROkNBTE0uSVFfRUJJVF9JTlQuOTk0LjI5LzAzLzIwMjYBAAAAIHoFAAIAAAAJNzEuMTM5NzUxAQgAAAAFAAAAATEBAAAACy0yMTQyNDI5MDM5AwAAAAMxNjACAAAABDQxODkEAAAAATAHAAAACTMvMjkvMjAyNggAAAAINi8xLzIwMTkJAAAAATD91xd6RI3eCNeeZH5Ejd4IMkNJUS5OQVNEQVE6Q0FMTS5JUV9MVF9ERUJUX0NBUElU</t>
  </si>
  <si>
    <t>QUwuMTAwMC4yOS8wMy8yMDI2AQAAACB6BQADAAAAAAD91xd6RI3eCBrGZH5Ejd4INENJUS5OQVNEQVE6Q0FMTS5JUV9UT1RBTF9ERUJUX0NBUElUQUwuOTk2LjI5LzAzLzIwMjYBAAAAIHoFAAIAAAAGMC4yMzQyAQgAAAAFAAAAATEBAAAACy0yMDM3MjQxNzIxAwAAAAMxNjACAAAABDQxODYEAAAAATAHAAAACTMvMjkvMjAyNggAAAAJNS8yOS8yMDIxCQAAAAEw/dcXekSN3gg/7WR+RI3eCDJDSVEuTkFTREFROkNBTE0uSVFfREFZU19QQVlBQkxFX09VVC45OTYuMjkvMDMvMjAyNgEAAAAgegUAAgAAAAkxNi4yMjA5MzIBCAAAAAUAAAABMQEAAAALLTIwMzcyNDE3MjEDAAAAAzE2MAIAAAAENDE4MwQAAAABMAcAAAAJMy8yOS8yMDI2CAAAAAk1LzI5LzIwMjEJAAAAATD91xd6RI3eCD5iZX5Ejd4ILUNJUS5OQVNEQVE6Q0FMTS5JUV9RVUlDS19SQVRJTy45OTguMjkvMDMvMjAyNgEAAAAgegUAAgAAAAg0LjU3MDI1MwEIAAAABQAAAAExAQAAAAstMTkzNDk3ODQyMAMAAAADMTYwAgAAAAQ0MTIxBAAAAAEwBwAAAAkzLzI5LzIwMjYIAAAACDYvMy8yMDIzCQAAAAEw/dcXekSN3ghY62V+RI3eCCpDSVEuTkFTREFROkNBTE0uSVFfWl9TQ09SRS4xMDAwLjI5LzAzLzIwMjYBAAAAIHoFAAIAAAAIOS43NDUzMTgBCAAAAAUAAAABMQEAAAALLTE5MzQ5NzgzODEDAAAAAzE2MAIAAAAGMTAwMTIzBAAAAAEwBwAAAAkz</t>
  </si>
  <si>
    <t>LzI5LzIwMjYIAAAACTUvMzEvMjAyNQkAAAABMCZ9FHpEjd4IyddifkSN3gg4Q0lRLk5BU0RBUTpDQUxNLklRX05FVF9ERUJUX0VCSVREQV9DQVBFWC4xMDAwLjI5LzAzLzIwMjYBAAAAIHoFAAMAAAACTk0BCAAAAAUAAAABMQEAAAALLTE5MzQ5NzgzODEDAAAAAzE2MAIAAAAFMjMzMTQEAAAAATAHAAAACTMvMjkvMjAyNggAAAAJNS8zMS8yMDI1CQAAAAEwJn0UekSN3ghhK2N+RI3eCDlDSVEuTkFTREFROkNBTE0uSVFfVE9UQUxfREVCVF9FQklUREFfQ0FQRVguOTk2LjI5LzAzLzIwMjYBAAAAIHoFAAMAAAACTk0BCAAAAAUAAAABMQEAAAALLTIwMzcyNDE3MjEDAAAAAzE2MAIAAAAFMjMzMTMEAAAAATAHAAAACTMvMjkvMjAyNggAAAAJNS8yOS8yMDIxCQAAAAEwJn0UekSN3ghyeWN+RI3eCDNDSVEuTkFTREFROkNBTE0uSVFfVE9UQUxfREVCVF9FQklUREEuOTk4LjI5LzAzLzIwMjYBAAAAIHoFAAMAAAAAACZ9FHpEjd4Iku5jfkSN3gg9Q0lRLk5BU0RBUTpDQUxNLklRX0VCSVREQV9FWENMX09QRVJfTEVBU0VTX0lOVC45OTguMjkvMDMvMjAyNgEAAAAgegUAAgAAAAsxNzc3Ljg0NTYyNgEIAAAABQAAAAExAQAAAAstMTkzNDk3ODQyMAMAAAADMTYwAgAAAAU0OTE3MwQAAAABMAcAAAAJMy8yOS8yMDI2CAAAAAg2LzMvMjAyMwkAAAABMP3XF3pEjd4Iz3dkfkSN3ggxQ0lRLk5BU0RBUTpDQUxNLklRX05J</t>
  </si>
  <si>
    <t>XzVZUl9BTk5fQ0FHUi45OTguMjkvMDMvMjAyNgEAAAAgegUAAgAAAAc0My4xODg5AQgAAAAFAAAAATEBAAAACy0xOTM0OTc4NDIwAwAAAAMxNjACAAAABDQyMzgEAAAAATAHAAAACTMvMjkvMjAyNggAAAAINi8zLzIwMjMJAAAAATCdsxR6RI3eCCalYH5Ejd4IOUNJUS5OQVNEQVE6Q0FMTS5JUV9UT1RBTF9SRVZfNVlSX0FOTl9DQUdSLjEwMDAuMjkvMDMvMjAyNgEAAAAgegUAAgAAAAcyNS44MjAxAQgAAAAFAAAAATEBAAAACy0xOTM0OTc4MzgxAwAAAAMxNjACAAAABDQyMzMEAAAAATAHAAAACTMvMjkvMjAyNggAAAAJNS8zMS8yMDI1CQAAAAEwnbMUekSN3gjnO2F+RI3eCDJDSVEuTkFTREFROkNBTE0uSVFfRVBTXzNZUl9BTk5fQ0FHUi45OTQuMjkvMDMvMjAyNgEAAAAgegUAAgAAAAgtNDQuNDU3NwEIAAAABQAAAAExAQAAAAstMjE0MjQyOTAzOQMAAAADMTYwAgAAAAQ0MjI2BAAAAAEwBwAAAAkzLzI5LzIwMjYIAAAACDYvMS8yMDE5CQAAAAEwnbMUekSN3gjniWF+RI3eCDFDSVEuTkFTREFROkNBTE0uSVFfR1BfM1lSX0FOTl9DQUdSLjk5Ni4yOS8wMy8yMDI2AQAAACB6BQACAAAACC0yMy42NTQ3AQgAAAAFAAAAATEBAAAACy0yMDM3MjQxNzIxAwAAAAMxNjACAAAABDQyMjEEAAAAATAHAAAACTMvMjkvMjAyNggAAAAJNS8yOS8yMDIxCQAAAAEwnbMUekSN3ggZ/2F+RI3eCDVDSVEuTkFTREFROkNB</t>
  </si>
  <si>
    <t>TE0uSVFfRUJJVF8xWVJfQU5OX0dST1dUSC45OTguMjkvMDMvMjAyNgEAAAAgegUAAgAAAAg1OTYuNTcxNQEIAAAABQAAAAExAQAAAAstMTkzNDk3ODQyMAMAAAADMTYwAgAAAAQ0MTk3BAAAAAEwBwAAAAkzLzI5LzIwMjYIAAAACDYvMy8yMDIzCQAAAAEwnbMUekSN3gizdWJ+RI3eCDBDSVEuTkFTREFROkNBTE0uSVFfQ09TVF9CT1JST1dJTkcuOTkzLjI5LzAzLzIwMjYBAAAAIHoFAAIAAAAGNS42NjA5AQgAAAAFAAAAATEBAAAACjIwNDU3NDkzMTADAAAAAzE2MAIAAAAFMjE2ODEEAAAAATAHAAAACTMvMjkvMjAyNggAAAAINi8yLzIwMTgJAAAAATACihd6RI3eCMMiaH5Ejd4IM0NJUS5OQVNEQVE6Q0FMTS5JUV9OVU1CRVJfQURSSE9MREVSUy45OTcuMjkvMDMvMjAyNgEAAAAgegUAAwAAAAAA5mIXekSN3gjDImh+RI3eCDFDSVEuTkFTREFROkNBTE0uSVFfVE9UQUxfRU1QTE9ZRUVTLjk5OS4yOS8wMy8yMDI2AQAAACB6BQACAAAABDI5OTgA5mIXekSN3gjfl2h+RI3eCCtDSVEuTkFTREFROkNBTE0uSVFfUEFSVF9USU1FLjk5My4yOS8wMy8yMDI2AQAAACB6BQACAAAAAzE1NADmYhd6RI3eCJLsaH5Ejd4ILENJUS5OQVNEQVE6Q0FMTS5JUV9JTlZfTUVUSE9ELjk5Ny4yOS8wMy8yMDI2AQAAACB6BQADAAAABEZJRk8AwS4tekSN3gicE2l+RI3eCC1DSVEuTkFTREFROkNBTE0uSVFfQVNTRVRfVFVSTlMu</t>
  </si>
  <si>
    <t>OTkzLjI5LzAzLzIwMjYBAAAAIHoFAAIAAAAGMS4zNzY2AQgAAAAFAAAAATEBAAAACjIwNDU3NDkzMTADAAAAAzE2MAIAAAAENDE3NwQAAAABMAcAAAAJMy8yOS8yMDI2CAAAAAg2LzIvMjAxOAkAAAABMP3XF3pEjd4IwYdmfkSN3ggvQ0lRLk5BU0RBUTpDQUxNLklRX0VCSVREQV9NQVJHSU4uOTk1LjI5LzAzLzIwMjYBAAAAIHoFAAIAAAAGNC4zOTg3AQgAAAAFAAAAATEBAAAACy0yMDg4MzQ3NDY5AwAAAAMxNjACAAAABDQwNDcEAAAAATAHAAAACTMvMjkvMjAyNggAAAAJNS8zMC8yMDIwCQAAAAEw/dcXekSN3gjH/GZ+RI3eCDBDSVEuTkFTREFROkNBTE0uSVFfUkVUVVJOX0NBUElUQUwuOTk3LjI5LzAzLzIwMjYBAAAAIHoFAAIAAAAGOC4xNjM5AQgAAAAFAAAAATEBAAAACy0xOTg2NzA4NDMzAwAAAAMxNjACAAAABDQzNjMEAAAAATAHAAAACTMvMjkvMjAyNggAAAAJNS8yOC8yMDIyCQAAAAEw+7AXekSN3gichmd+RI3eCC5DSVEuTkFTREFROkNBTE0uSVFfQ0FMQ19UWVBFX0JTLjk5OS4yOS8wMy8yMDI2AQAAACB6BQADAAAAA1JFUAD7sBd6RI3eCMHUZ35Ejd4IMENJUS5OQVNEQVE6Q0FMTS5JUV9SRVNUQVRFTUVOVF9CUy45OTMuMjkvMDMvMjAyNgEAAAAgegUAAwAAAAJOQwD7sBd6RI3eCLv7Z35Ejd4IMUNJUS5OQVNEQVE6Q0FMTS5JUV9MVF9ERUJUX0NBUElUQUwuOTk5LjI5LzAzLzIwMjYBAAAA</t>
  </si>
  <si>
    <t>IHoFAAMAAAAAAP3XF3pEjd4IGsZkfkSN3ggwQ0lRLk5BU0RBUTpDQUxNLklRX0xUX0RFQlRfRVFVSVRZLjk5My4yOS8wMy8yMDI2AQAAACB6BQACAAAABjAuMjY3MgEIAAAABQAAAAExAQAAAAoyMDQ1NzQ5MzEwAwAAAAMxNjACAAAABDQwODUEAAAAATAHAAAACTMvMjkvMjAyNggAAAAINi8yLzIwMTgJAAAAATD91xd6RI3eCD/tZH5Ejd4IMkNJUS5OQVNEQVE6Q0FMTS5JUV9EQVlTX1BBWUFCTEVfT1VULjk5NS4yOS8wMy8yMDI2AQAAACB6BQACAAAACTE0LjU4MzI5NgEIAAAABQAAAAExAQAAAAstMjA4ODM0NzQ2OQMAAAADMTYwAgAAAAQ0MTgzBAAAAAEwBwAAAAkzLzI5LzIwMjYIAAAACTUvMzAvMjAyMAkAAAABMP3XF3pEjd4IPmJlfkSN3ggtQ0lRLk5BU0RBUTpDQUxNLklRX1FVSUNLX1JBVElPLjk5Ny4yOS8wMy8yMDI2AQAAACB6BQACAAAACDIuMTMzMDM5AQgAAAAFAAAAATEBAAAACy0xOTg2NzA4NDMzAwAAAAMxNjACAAAABDQxMjEEAAAAATAHAAAACTMvMjkvMjAyNggAAAAJNS8yOC8yMDIyCQAAAAEw/dcXekSN3ghExGV+RI3eCDNDSVEuTkFTREFROkNBTE0uSVFfRklYRURfQVNTRVRfVFVSTlMuOTk5LjI5LzAzLzIwMjYBAAAAIHoFAAIAAAAIMi45MDQ4MzMBCAAAAAUAAAABMQEAAAALLTE5MzQ5Nzg0ODADAAAAAzE2MAIAAAAENDA2NgQAAAABMAcAAAAJMy8yOS8yMDI2CAAAAAg2LzEvMjAy</t>
  </si>
  <si>
    <t>NAkAAAABMP3XF3pEjd4IljlmfkSN3gg3Q0lRLk5BU0RBUTpDQUxNLklRX05FVF9ERUJUX0VCSVREQV9DQVBFWC45OTkuMjkvMDMvMjAyNgEAAAAgegUAAwAAAAJOTQEIAAAABQAAAAExAQAAAAstMTkzNDk3ODQ4MAMAAAADMTYwAgAAAAUyMzMxNAQAAAABMAcAAAAJMy8yOS8yMDI2CAAAAAg2LzEvMjAyNAkAAAABMCZ9FHpEjd4IYStjfkSN3gg5Q0lRLk5BU0RBUTpDQUxNLklRX1RPVEFMX0RFQlRfRUJJVERBX0NBUEVYLjk5NS4yOS8wMy8yMDI2AQAAACB6BQADAAAAAk5NAQgAAAAFAAAAATEBAAAACy0yMDg4MzQ3NDY5AwAAAAMxNjACAAAABTIzMzEzBAAAAAEwBwAAAAkzLzI5LzIwMjYIAAAACTUvMzAvMjAyMAkAAAABMCZ9FHpEjd4IcnljfkSN3ghEQ0lRLk5BU0RBUTpDQUxNLklRX1RPVEFMX0RFQlRfRUJJVERBX0VYQ0xfT1BFUl9MRUFTRVMuOTk1LjI5LzAzLzIwMjYBAAAAIHoFAAIAAAAIMC4wNTY5ODUBCAAAAAUAAAABMQEAAAALLTIwODgzNDc0NjkDAAAAAzE2MAIAAAAFNDg5OTQEAAAAATAHAAAACTMvMjkvMjAyNggAAAAJNS8zMC8yMDIwCQAAAAEwJn0UekSN3giS7mN+RI3eCD1DSVEuTkFTREFROkNBTE0uSVFfRUJJVERBX0VYQ0xfT1BFUl9MRUFTRVNfSU5ULjk5Ny4yOS8wMy8yMDI2AQAAACB6BQACAAAACjUxMy4yMDg0MzYBCAAAAAUAAAABMQEAAAALLTE5ODY3MDg0MzMDAAAAAzE2MAIA</t>
  </si>
  <si>
    <t>AAAFNDkxNzMEAAAAATAHAAAACTMvMjkvMjAyNggAAAAJNS8yOC8yMDIyCQAAAAEw/dcXekSN3gjgUGR+RI3eCCpDSVEuTkFTREFROkNBTE0uSVFfRUJJVF9JTlQuOTkzLjI5LzAzLzIwMjYBAAAAIHoFAAIAAAAKNjg1Ljc3MzU4NAEIAAAABQAAAAExAQAAAAoyMDQ1NzQ5MzEwAwAAAAMxNjACAAAABDQxODkEAAAAATAHAAAACTMvMjkvMjAyNggAAAAINi8yLzIwMTgJAAAAATD91xd6RI3eCNeeZH5Ejd4IMkNJUS5OQVNEQVE6Q0FMTS5JUV9FUFNfM1lSX0FOTl9DQUdSLjk5My4yOS8wMy8yMDI2AQAAACB6BQACAAAABy03LjkxNzcBCAAAAAUAAAABMQEAAAAKMjA0NTc0OTMxMAMAAAADMTYwAgAAAAQ0MjI2BAAAAAEwBwAAAAkzLzI5LzIwMjYIAAAACDYvMi8yMDE4CQAAAAEwnbMUekSN3gjniWF+RI3eCDNDSVEuTkFTREFROkNBTE0uSVFfRUJJVF8zWVJfQU5OX0NBR1IuOTk5LjI5LzAzLzIwMjYBAAAAIHoFAAMAAAACTk0BCAAAAAUAAAABMQEAAAALLTE5MzQ5Nzg0ODADAAAAAzE2MAIAAAAENDIyMwQAAAABMAcAAAAJMy8yOS8yMDI2CAAAAAg2LzEvMjAyNAkAAAABMJ2zFHpEjd4IHthhfkSN3ggxQ0lRLk5BU0RBUTpDQUxNLklRX0dQXzNZUl9BTk5fQ0FHUi45OTUuMjkvMDMvMjAyNgEAAAAgegUAAgAAAAc1Ny45Nzc5AQgAAAAFAAAAATEBAAAACy0yMDg4MzQ3NDY5AwAAAAMxNjACAAAABDQyMjEEAAAA</t>
  </si>
  <si>
    <t>ATAHAAAACTMvMjkvMjAyNggAAAAJNS8zMC8yMDIwCQAAAAEwnbMUekSN3ggZ/2F+RI3eCDVDSVEuTkFTREFROkNBTE0uSVFfRUJJVF8xWVJfQU5OX0dST1dUSC45OTcuMjkvMDMvMjAyNgEAAAAgegUAAwAAAAJOTQEIAAAABQAAAAExAQAAAAstMTk4NjcwODQzMwMAAAADMTYwAgAAAAQ0MTk3BAAAAAEwBwAAAAkzLzI5LzIwMjYIAAAACTUvMjgvMjAyMgkAAAABMJ2zFHpEjd4Is3VifkSN3gg6Q0lRLk5BU0RBUTpDQUxNLklRX1RPVEFMX1JFVl8xWVJfQU5OX0dST1dUSC45OTcuMjkvMDMvMjAyNgEAAAAgegUAAgAAAAczMS43NDAyAQgAAAAFAAAAATEBAAAACy0xOTg2NzA4NDMzAwAAAAMxNjACAAAABDQxOTQEAAAAATAHAAAACTMvMjkvMjAyNggAAAAJNS8yOC8yMDIyCQAAAAEwJn0UekSN3gjJ12J+RI3eCCtDSVEuTkFTREFROkNBTE0uSVFfTklfTUFSR0lOLjk5OC4yOS8wMy8yMDI2AQAAACB6BQACAAAABzI0LjA5MzEBCAAAAAUAAAABMQEAAAALLTE5MzQ5Nzg0MjADAAAAAzE2MAIAAAAENDA5NAQAAAABMAcAAAAJMy8yOS8yMDI2CAAAAAg2LzMvMjAyMwkAAAABMP3XF3pEjd4IfdZmfkSN3ggvQ0lRLk5BU0RBUTpDQUxNLklRX0VCSVREQV9NQVJHSU4uOTk0LjI5LzAzLzIwMjYBAAAAIHoFAAIAAAAGNy4zODA2AQgAAAAFAAAAATEBAAAACy0yMTQyNDI5MDM5AwAAAAMxNjACAAAABDQwNDcEAAAAATAH</t>
  </si>
  <si>
    <t>AAAACTMvMjkvMjAyNggAAAAINi8xLzIwMTkJAAAAATD91xd6RI3eCMf8Zn5Ejd4IN0NJUS5OQVNEQVE6Q0FMTS5JUV9SRVRVUk5fQ09NTU9OX0VRVUlUWS4xMDAwLjI5LzAzLzIwMjYBAAAAIHoFAAIAAAAHNTUuOTU1NgEIAAAABQAAAAExAQAAAAstMTkzNDk3ODM4MQMAAAADMTYwAgAAAAUzMzMyMAQAAAABMAcAAAAJMy8yOS8yMDI2CAAAAAk1LzMxLzIwMjUJAAAAATD7sBd6RI3eCL03Z35Ejd4IMUNJUS5OQVNEQVE6Q0FMTS5JUV9OSV81WVJfQU5OX0NBR1IuOTk3LjI5LzAzLzIwMjYBAAAAIHoFAAMAAAACTk0BCAAAAAUAAAABMQEAAAALLTE5ODY3MDg0MzMDAAAAAzE2MAIAAAAENDIzOAQAAAABMAcAAAAJMy8yOS8yMDI2CAAAAAk1LzI4LzIwMjIJAAAAATCdsxR6RI3eCGnRYH5Ejd4IOENJUS5OQVNEQVE6Q0FMTS5JUV9UT1RBTF9SRVZfNVlSX0FOTl9DQUdSLjk5OS4yOS8wMy8yMDI2AQAAACB6BQACAAAABzExLjMxNTMBCAAAAAUAAAABMQEAAAALLTE5MzQ5Nzg0ODADAAAAAzE2MAIAAAAENDIzMwQAAAABMAcAAAAJMy8yOS8yMDI2CAAAAAg2LzEvMjAyNAkAAAABMJ2zFHpEjd4I5zthfkSN3ggyQ0lRLk5BU0RBUTpDQUxNLklRX0NBU0hfQ09OVkVSU0lPTi4xMDAwLjI5LzAzLzIwMjYBAAAAIHoFAAIAAAAJNDUuMjUxNzUyAQgAAAAFAAAAATEBAAAACy0xOTM0OTc4MzgxAwAAAAMxNjACAAAABDQx</t>
  </si>
  <si>
    <t>ODQEAAAAATAHAAAACTMvMjkvMjAyNggAAAAJNS8zMS8yMDI1CQAAAAEw/dcXekSN3ghDO2V+RI3eCDJDSVEuTkFTREFROkNBTE0uSVFfREFZU19QQVlBQkxFX09VVC45OTQuMjkvMDMvMjAyNgEAAAAgegUAAgAAAAkxMi4yNzk5MDQBCAAAAAUAAAABMQEAAAALLTIxNDI0MjkwMzkDAAAAAzE2MAIAAAAENDE4MwQAAAABMAcAAAAJMy8yOS8yMDI2CAAAAAg2LzEvMjAxOQkAAAABMP3XF3pEjd4IPmJlfkSN3ggxQ0lRLk5BU0RBUTpDQUxNLklRX0RBWVNfU0FMRVNfT1VULjEwMDAuMjkvMDMvMjAyNgEAAAAgegUAAgAAAAkxNi4zMzk1OTYBCAAAAAUAAAABMQEAAAALLTE5MzQ5NzgzODEDAAAAAzE2MAIAAAAENDA0MgQAAAABMAcAAAAJMy8yOS8yMDI2CAAAAAk1LzMxLzIwMjUJAAAAATD91xd6RI3eCGiwZX5Ejd4ILUNJUS5OQVNEQVE6Q0FMTS5JUV9RVUlDS19SQVRJTy45OTYuMjkvMDMvMjAyNgEAAAAgegUAAgAAAAgzLjI4NzAwMQEIAAAABQAAAAExAQAAAAstMjAzNzI0MTcyMQMAAAADMTYwAgAAAAQ0MTIxBAAAAAEwBwAAAAkzLzI5LzIwMjYIAAAACTUvMjkvMjAyMQkAAAABMP3XF3pEjd4IRMRlfkSN3ggzQ0lRLk5BU0RBUTpDQUxNLklRX0ZJWEVEX0FTU0VUX1RVUk5TLjk5OC4yOS8wMy8yMDI2AQAAACB6BQACAAAACDQuNDI0MDEzAQgAAAAFAAAAATEBAAAACy0xOTM0OTc4NDIwAwAAAAMxNjACAAAA</t>
  </si>
  <si>
    <t>BDQwNjYEAAAAATAHAAAACTMvMjkvMjAyNggAAAAINi8zLzIwMjMJAAAAATD91xd6RI3eCJY5Zn5Ejd4IN0NJUS5OQVNEQVE6Q0FMTS5JUV9ORVRfREVCVF9FQklUREFfQ0FQRVguOTk4LjI5LzAzLzIwMjYBAAAAIHoFAAMAAAACTk0BCAAAAAUAAAABMQEAAAALLTE5MzQ5Nzg0MjADAAAAAzE2MAIAAAAFMjMzMTQEAAAAATAHAAAACTMvMjkvMjAyNggAAAAINi8zLzIwMjMJAAAAATAmfRR6RI3eCGErY35Ejd4IMkNJUS5OQVNEQVE6Q0FMTS5JUV9ORVRfREVCVF9FQklUREEuMTAwMC4yOS8wMy8yMDI2AQAAACB6BQADAAAAAk5NAQgAAAAFAAAAATEBAAAACy0xOTM0OTc4MzgxAwAAAAMxNjACAAAABDQxOTMEAAAAATAHAAAACTMvMjkvMjAyNggAAAAJNS8zMS8yMDI1CQAAAAEwJn0UekSN3giLx2N+RI3eCERDSVEuTkFTREFROkNBTE0uSVFfVE9UQUxfREVCVF9FQklUREFfRVhDTF9PUEVSX0xFQVNFUy45OTQuMjkvMDMvMjAyNgEAAAAgegUAAgAAAAgwLjAyNTQyMgEIAAAABQAAAAExAQAAAAstMjE0MjQyOTAzOQMAAAADMTYwAgAAAAU0ODk5NAQAAAABMAcAAAAJMy8yOS8yMDI2CAAAAAg2LzEvMjAxOQkAAAABMCZ9FHpEjd4Iku5jfkSN3gg9Q0lRLk5BU0RBUTpDQUxNLklRX0VCSVREQV9FWENMX09QRVJfTEVBU0VTX0lOVC45OTYuMjkvMDMvMjAyNgEAAAAgegUAAgAAAAoxNjkuOTI5NTc3AQgAAAAFAAAA</t>
  </si>
  <si>
    <t>ATEBAAAACy0yMDM3MjQxNzIxAwAAAAMxNjACAAAABTQ5MTczBAAAAAEwBwAAAAkzLzI5LzIwMjYIAAAACTUvMjkvMjAyMQkAAAABMP3XF3pEjd4I4FBkfkSN3ggxQ0lRLk5BU0RBUTpDQUxNLklRX0xUX0RFQlRfQ0FQSVRBTC45OTguMjkvMDMvMjAyNgEAAAAgegUAAwAAAAAA/dcXekSN3ggaxmR+RI3eCDNDSVEuTkFTREFROkNBTE0uSVFfRUJJVF8zWVJfQU5OX0NBR1IuOTk4LjI5LzAzLzIwMjYBAAAAIHoFAAIAAAAINzkzLjY3MTkBCAAAAAUAAAABMQEAAAALLTE5MzQ5Nzg0MjADAAAAAzE2MAIAAAAENDIyMwQAAAABMAcAAAAJMy8yOS8yMDI2CAAAAAg2LzMvMjAyMwkAAAABMJ2zFHpEjd4IDLFhfkSN3ggxQ0lRLk5BU0RBUTpDQUxNLklRX0dQXzNZUl9BTk5fQ0FHUi45OTQuMjkvMDMvMjAyNgEAAAAgegUAAgAAAAgtMjkuOTQwMwEIAAAABQAAAAExAQAAAAstMjE0MjQyOTAzOQMAAAADMTYwAgAAAAQ0MjIxBAAAAAEwBwAAAAkzLzI5LzIwMjYIAAAACDYvMS8yMDE5CQAAAAEwnbMUekSN3ggZ/2F+RI3eCDVDSVEuTkFTREFROkNBTE0uSVFfRVBTXzFZUl9BTk5fR1JPV1RILjEwMDAuMjkvMDMvMjAyNgEAAAAgegUAAgAAAAgzMzguNDg4NQEIAAAABQAAAAExAQAAAAstMTkzNDk3ODM4MQMAAAADMTYwAgAAAAQ0MjAwBAAAAAEwBwAAAAkzLzI5LzIwMjYIAAAACTUvMzEvMjAyNQkAAAABMJ2zFHpEjd4I</t>
  </si>
  <si>
    <t>GSdifkSN3ggzQ0lRLk5BU0RBUTpDQUxNLklRX05JXzFZUl9BTk5fR1JPV1RILjk5NC4yOS8wMy8yMDI2AQAAACB6BQACAAAACC01Ni45Mzc5AQgAAAAFAAAAATEBAAAACy0yMTQyNDI5MDM5AwAAAAMxNjACAAAABDQxOTkEAAAAATAHAAAACTMvMjkvMjAyNggAAAAINi8xLzIwMTkJAAAAATCdsxR6RI3eCLN1Yn5Ejd4IOkNJUS5OQVNEQVE6Q0FMTS5JUV9UT1RBTF9SRVZfMVlSX0FOTl9HUk9XVEguOTk2LjI5LzAzLzIwMjYBAAAAIHoFAAIAAAAGLTAuMTk0AQgAAAAFAAAAATEBAAAACy0yMDM3MjQxNzIxAwAAAAMxNjACAAAABDQxOTQEAAAAATAHAAAACTMvMjkvMjAyNggAAAAJNS8yOS8yMDIxCQAAAAEwJn0UekSN3gjJ12J+RI3eCDZDSVEuTkFTREFROkNBTE0uSVFfUkVUVVJOX0NPTU1PTl9FUVVJVFkuOTk5LjI5LzAzLzIwMjYBAAAAIHoFAAIAAAAHMTYuMjkyNQEIAAAABQAAAAExAQAAAAstMTkzNDk3ODQ4MAMAAAADMTYwAgAAAAUzMzMyMAQAAAABMAcAAAAJMy8yOS8yMDI2CAAAAAg2LzEvMjAyNAkAAAABMPuwF3pEjd4IvTdnfkSN3ggvQ0lRLk5BU0RBUTpDQUxNLklRX1JFVFVSTl9FUVVJVFkuOTkzLjI5LzAzLzIwMjYBAAAAIHoFAAIAAAAHMTQuMDIwNAEIAAAABQAAAAExAQAAAAoyMDQ1NzQ5MzEwAwAAAAMxNjACAAAABDQxMjgEAAAAATAHAAAACTMvMjkvMjAyNggAAAAINi8yLzIwMTgJAAAA</t>
  </si>
  <si>
    <t>ATD7sBd6RI3eCJyGZ35Ejd4IKUNJUS5OQVNEQVE6Q0FMTS5JUV9HQUFQX0JTLjk5NS4yOS8wMy8yMDI2AQAAACB6BQADAAAAB1VTIEdBQVAA+7AXekSN3ggFrmd+RI3eCDFDSVEuTkFTREFROkNBTE0uSVFfTklfNVlSX0FOTl9DQUdSLjk5Ni4yOS8wMy8yMDI2AQAAACB6BQACAAAACC02My40NTU0AQgAAAAFAAAAATEBAAAACy0yMDM3MjQxNzIxAwAAAAMxNjACAAAABDQyMzgEAAAAATAHAAAACTMvMjkvMjAyNggAAAAJNS8yOS8yMDIxCQAAAAEwnbMUekSN3ghp0WB+RI3eCDFDSVEuTkFTREFROkNBTE0uSVFfR1BfNVlSX0FOTl9DQUdSLjk5Ni4yOS8wMy8yMDI2AQAAACB6BQACAAAACC0yNC4zNDE2AQgAAAAFAAAAATEBAAAACy0yMDM3MjQxNzIxAwAAAAMxNjACAAAABDQyMzQEAAAAATAHAAAACTMvMjkvMjAyNggAAAAJNS8yOS8yMDIxCQAAAAEwnbMUekSN3gjnO2F+RI3eCDBDSVEuTkFTREFROkNBTE0uSVFfREFZU19TQUxFU19PVVQuOTk5LjI5LzAzLzIwMjYBAAAAIHoFAAIAAAAJMTkuNTIwOTU2AQgAAAAFAAAAATEBAAAACy0xOTM0OTc4NDgwAwAAAAMxNjACAAAABDQwNDIEAAAAATAHAAAACTMvMjkvMjAyNggAAAAINi8xLzIwMjQJAAAAATD91xd6RI3eCGiwZX5Ejd4ILUNJUS5OQVNEQVE6Q0FMTS5JUV9RVUlDS19SQVRJTy45OTUuMjkvMDMvMjAyNgEAAAAgegUAAgAAAAgzLjU0ODU4NwEIAAAA</t>
  </si>
  <si>
    <t>BQAAAAExAQAAAAstMjA4ODM0NzQ2OQMAAAADMTYwAgAAAAQ0MTIxBAAAAAEwBwAAAAkzLzI5LzIwMjYIAAAACTUvMzAvMjAyMAkAAAABMP3XF3pEjd4IWOtlfkSN3ggqQ0lRLk5BU0RBUTpDQUxNLklRX0FSX1RVUk5TLjk5NS4yOS8wMy8yMDI2AQAAACB6BQACAAAACTE5LjAzMjA1NQEIAAAABQAAAAExAQAAAAstMjA4ODM0NzQ2OQMAAAADMTYwAgAAAAQ0MDAxBAAAAAEwBwAAAAkzLzI5LzIwMjYIAAAACTUvMzAvMjAyMAkAAAABMP3XF3pEjd4IljlmfkSN3ggrQ0lRLk5BU0RBUTpDQUxNLklRX05JX01BUkdJTi45OTcuMjkvMDMvMjAyNgEAAAAgegUAAgAAAAY3LjQ2NDEBCAAAAAUAAAABMQEAAAALLTE5ODY3MDg0MzMDAAAAAzE2MAIAAAAENDA5NAQAAAABMAcAAAAJMy8yOS8yMDI2CAAAAAk1LzI4LzIwMjIJAAAAATD91xd6RI3eCMCuZn5Ejd4IL0NJUS5OQVNEQVE6Q0FMTS5JUV9FQklUREFfTUFSR0lOLjk5My4yOS8wMy8yMDI2AQAAACB6BQACAAAABzE1LjY4NjQBCAAAAAUAAAABMQEAAAAKMjA0NTc0OTMxMAMAAAADMTYwAgAAAAQ0MDQ3BAAAAAEwBwAAAAkzLzI5LzIwMjYIAAAACDYvMi8yMDE4CQAAAAEw/dcXekSN3gjH/GZ+RI3eCENDSVEuTkFTREFROkNBTE0uSVFfRUJJVERBX0VYQ0xfT1BFUl9MRUFTRVNfQ0FQRVhfSU5ULjk5OS4yOS8wMy8yMDI2AQAAACB6BQACAAAACjQ1MC4zMDc4MzIB</t>
  </si>
  <si>
    <t>CAAAAAUAAAABMQEAAAALLTE5MzQ5Nzg0ODADAAAAAzE2MAIAAAAFNDkxNzQEAAAAATAHAAAACTMvMjkvMjAyNggAAAAINi8xLzIwMjQJAAAAATAmfRR6RI3eCGgpZH5Ejd4IPUNJUS5OQVNEQVE6Q0FMTS5JUV9FQklUREFfRVhDTF9PUEVSX0xFQVNFU19JTlQuOTk1LjI5LzAzLzIwMjYBAAAAIHoFAAIAAAAKMTE5LjM4NTU0MgEIAAAABQAAAAExAQAAAAstMjA4ODM0NzQ2OQMAAAADMTYwAgAAAAU0OTE3MwQAAAABMAcAAAAJMy8yOS8yMDI2CAAAAAk1LzMwLzIwMjAJAAAAATD91xd6RI3eCOBQZH5Ejd4IMUNJUS5OQVNEQVE6Q0FMTS5JUV9MVF9ERUJUX0NBUElUQUwuOTk3LjI5LzAzLzIwMjYBAAAAIHoFAAMAAAAAAP3XF3pEjd4IGsZkfkSN3ggzQ0lRLk5BU0RBUTpDQUxNLklRX1RPVEFMX0RFQlRfRVFVSVRZLjk5Ny4yOS8wMy8yMDI2AQAAACB6BQADAAAAAAD91xd6RI3eCEM7ZX5Ejd4IMkNJUS5OQVNEQVE6Q0FMTS5JUV9EQVlTX1BBWUFCTEVfT1VULjk5My4yOS8wMy8yMDI2AQAAACB6BQACAAAACTEwLjgzNzM3MgEIAAAABQAAAAExAQAAAAoyMDQ1NzQ5MzEwAwAAAAMxNjACAAAABDQxODMEAAAAATAHAAAACTMvMjkvMjAyNggAAAAINi8yLzIwMTgJAAAAATD91xd6RI3eCEqJZX5Ejd4IM0NJUS5OQVNEQVE6Q0FMTS5JUV9OSV8xWVJfQU5OX0dST1dUSC45OTMuMjkvMDMvMjAyNgEAAAAgegUAAwAA</t>
  </si>
  <si>
    <t>AAJOTQEIAAAABQAAAAExAQAAAAoyMDQ1NzQ5MzEwAwAAAAMxNjACAAAABDQxOTkEAAAAATAHAAAACTMvMjkvMjAyNggAAAAINi8yLzIwMTgJAAAAATCdsxR6RI3eCLN1Yn5Ejd4IOkNJUS5OQVNEQVE6Q0FMTS5JUV9UT1RBTF9SRVZfMVlSX0FOTl9HUk9XVEguOTk1LjI5LzAzLzIwMjYBAAAAIHoFAAIAAAAHLTAuNzAzOAEIAAAABQAAAAExAQAAAAstMjA4ODM0NzQ2OQMAAAADMTYwAgAAAAQ0MTk0BAAAAAEwBwAAAAkzLzI5LzIwMjYIAAAACTUvMzAvMjAyMAkAAAABMCZ9FHpEjd4IyddifkSN3gg3Q0lRLk5BU0RBUTpDQUxNLklRX05FVF9ERUJUX0VCSVREQV9DQVBFWC45OTcuMjkvMDMvMjAyNgEAAAAgegUAAwAAAAJOTQEIAAAABQAAAAExAQAAAAstMTk4NjcwODQzMwMAAAADMTYwAgAAAAUyMzMxNAQAAAABMAcAAAAJMy8yOS8yMDI2CAAAAAk1LzI4LzIwMjIJAAAAATAmfRR6RI3eCGErY35Ejd4IMUNJUS5OQVNEQVE6Q0FMTS5JUV9ORVRfREVCVF9FQklUREEuOTk5LjI5LzAzLzIwMjYBAAAAIHoFAAMAAAACTk0BCAAAAAUAAAABMQEAAAALLTE5MzQ5Nzg0ODADAAAAAzE2MAIAAAAENDE5MwQAAAABMAcAAAAJMy8yOS8yMDI2CAAAAAg2LzEvMjAyNAkAAAABMCZ9FHpEjd4IeaBjfkSN3ghEQ0lRLk5BU0RBUTpDQUxNLklRX1RPVEFMX0RFQlRfRUJJVERBX0VYQ0xfT1BFUl9MRUFTRVMuOTkzLjI5LzAz</t>
  </si>
  <si>
    <t>LzIwMjYBAAAAIHoFAAIAAAAIMC4wMjU4MzEBCAAAAAUAAAABMQEAAAAKMjA0NTc0OTMxMAMAAAADMTYwAgAAAAU0ODk5NAQAAAABMAcAAAAJMy8yOS8yMDI2CAAAAAg2LzIvMjAxOAkAAAABMCZ9FHpEjd4Ii8djfkSN3gg/Q0lRLk5BU0RBUTpDQUxNLklRX1RPVEFMX09VVFNUQU5ESU5HX0ZJTElOR19EQVRFLjk5Ni4yOS8wMy8yMDI2AQAAACB6BQACAAAACTQ4Ljg1ODQ2MwEEAAAABQAAAAE1AQAAAAstMjAzNzI0MTcyMQIAAAAFMjQxNTMGAAAAATC6By16RI3eCLBhaX5Ejd4IMkNJUS5OQVNEQVE6Q0FMTS5JUV9FUFNfNVlSX0FOTl9DQUdSLjk5My4yOS8wMy8yMDI2AQAAACB6BQACAAAABzE5Ljg4MjgBCAAAAAUAAAABMQEAAAAKMjA0NTc0OTMxMAMAAAADMTYwAgAAAAQ0MjM5BAAAAAEwBwAAAAkzLzI5LzIwMjYIAAAACDYvMi8yMDE4CQAAAAEwnbMUekSN3ghp0WB+RI3eCDFDSVEuTkFTREFROkNBTE0uSVFfR1BfNVlSX0FOTl9DQUdSLjk5NS4yOS8wMy8yMDI2AQAAACB6BQACAAAACC0xNC42MTU4AQgAAAAFAAAAATEBAAAACy0yMDg4MzQ3NDY5AwAAAAMxNjACAAAABDQyMzQEAAAAATAHAAAACTMvMjkvMjAyNggAAAAJNS8zMC8yMDIwCQAAAAEwnbMUekSN3gjnO2F+RI3eCDNDSVEuTkFTREFROkNBTE0uSVFfRUJJVF8zWVJfQU5OX0NBR1IuOTk3LjI5LzAzLzIwMjYBAAAAIHoFAAIAAAAGNDQuNTY5</t>
  </si>
  <si>
    <t>AQgAAAAFAAAAATEBAAAACy0xOTg2NzA4NDMzAwAAAAMxNjACAAAABDQyMjMEAAAAATAHAAAACTMvMjkvMjAyNggAAAAJNS8yOC8yMDIyCQAAAAEwnbMUekSN3ggMsWF+RI3eCDRDSVEuTkFTREFROkNBTE0uSVFfRVBTXzFZUl9BTk5fR1JPV1RILjk5OS4yOS8wMy8yMDI2AQAAACB6BQACAAAACC02My4zMzc3AQgAAAAFAAAAATEBAAAACy0xOTM0OTc4NDgwAwAAAAMxNjACAAAABDQyMDAEAAAAATAHAAAACTMvMjkvMjAyNggAAAAINi8xLzIwMjQJAAAAATCdsxR6RI3eCBknYn5Ejd4IKUNJUS5OQVNEQVE6Q0FMTS5JUV9HQUFQX0JTLjk5NC4yOS8wMy8yMDI2AQAAACB6BQADAAAAB1VTIEdBQVAA+7AXekSN3gjB1Gd+RI3eCDFDSVEuTkFTREFROkNBTE0uSVFfUkVTVEFURU1FTlRfQlMuMTAwMC4yOS8wMy8yMDI2AQAAACB6BQADAAAAAU8A+7AXekSN3gjB1Gd+RI3eCDBDSVEuTkFTREFROkNBTE0uSVFfQVZHX0VNUExPWUVFUy4xMDAwLjI5LzAzLzIwMjYBAAAAIHoFAAMAAAAAAOZiF3pEjd4I9nBofkSN3ghBQ0lRLk5BU0RBUTpDQUxNLklRX0VNUExPWUVFU19VTkRFUl9VTklPTl9DT05UUkFDVFMuOTk0LjI5LzAzLzIwMjYBAAAAIHoFAAMAAAAAAOZiF3pEjd4I35dofkSN3ggsQ0lRLk5BU0RBUTpDQUxNLklRX0lOVl9NRVRIT0QuOTk0LjI5LzAzLzIwMjYBAAAAIHoFAAMAAAAERklGTwDBLi16RI3eCJwT</t>
  </si>
  <si>
    <t>aX5Ejd4IMENJUS5OQVNEQVE6Q0FMTS5JUV9EQVlTX1NBTEVTX09VVC45OTguMjkvMDMvMjAyNgEAAAAgegUAAgAAAAkxNi41MTM5NTIBCAAAAAUAAAABMQEAAAALLTE5MzQ5Nzg0MjADAAAAAzE2MAIAAAAENDA0MgQAAAABMAcAAAAJMy8yOS8yMDI2CAAAAAg2LzMvMjAyMwkAAAABMP3XF3pEjd4IaLBlfkSN3ggyQ0lRLk5BU0RBUTpDQUxNLklRX0lOVkVOVE9SWV9UVVJOUy4xMDAwLjI5LzAzLzIwMjYBAAAAIHoFAAIAAAAIOC42NTAwNzIBCAAAAAUAAAABMQEAAAALLTE5MzQ5NzgzODEDAAAAAzE2MAIAAAAENDA4MgQAAAABMAcAAAAJMy8yOS8yMDI2CAAAAAk1LzMxLzIwMjUJAAAAATD91xd6RI3eCGQSZn5Ejd4IKkNJUS5OQVNEQVE6Q0FMTS5JUV9BUl9UVVJOUy45OTQuMjkvMDMvMjAyNgEAAAAgegUAAgAAAAkxOS43NTc0MjcBCAAAAAUAAAABMQEAAAALLTIxNDI0MjkwMzkDAAAAAzE2MAIAAAAENDAwMQQAAAABMAcAAAAJMy8yOS8yMDI2CAAAAAg2LzEvMjAxOQkAAAABMP3XF3pEjd4IljlmfkSN3ggrQ0lRLk5BU0RBUTpDQUxNLklRX05JX01BUkdJTi45OTYuMjkvMDMvMjAyNgEAAAAgegUAAgAAAAYwLjE1MjcBCAAAAAUAAAABMQEAAAALLTIwMzcyNDE3MjEDAAAAAzE2MAIAAAAENDA5NAQAAAABMAcAAAAJMy8yOS8yMDI2CAAAAAk1LzI5LzIwMjEJAAAAATD91xd6RI3eCMCuZn5Ejd4INkNJUS5O</t>
  </si>
  <si>
    <t>QVNEQVE6Q0FMTS5JUV9SRVRVUk5fQ09NTU9OX0VRVUlUWS45OTguMjkvMDMvMjAyNgEAAAAgegUAAgAAAAc1NS44MjY3AQgAAAAFAAAAATEBAAAACy0xOTM0OTc4NDIwAwAAAAMxNjACAAAABTMzMzIwBAAAAAEwBwAAAAkzLzI5LzIwMjYIAAAACDYvMy8yMDIzCQAAAAEw+7AXekSN3gg+X2d+RI3eCENDSVEuTkFTREFROkNBTE0uSVFfRUJJVERBX0VYQ0xfT1BFUl9MRUFTRVNfQ0FQRVhfSU5ULjk5OC4yOS8wMy8yMDI2AQAAACB6BQACAAAACzE1NDMuNTkzNDgxAQgAAAAFAAAAATEBAAAACy0xOTM0OTc4NDIwAwAAAAMxNjACAAAABTQ5MTc0BAAAAAEwBwAAAAkzLzI5LzIwMjYIAAAACDYvMy8yMDIzCQAAAAEwJn0UekSN3ghoKWR+RI3eCD1DSVEuTkFTREFROkNBTE0uSVFfRUJJVERBX0VYQ0xfT1BFUl9MRUFTRVNfSU5ULjk5NC4yOS8wMy8yMDI2AQAAACB6BQACAAAAAzE1NgEIAAAABQAAAAExAQAAAAstMjE0MjQyOTAzOQMAAAADMTYwAgAAAAU0OTE3MwQAAAABMAcAAAAJMy8yOS8yMDI2CAAAAAg2LzEvMjAxOQkAAAABMP3XF3pEjd4I4FBkfkSN3ggrQ0lRLk5BU0RBUTpDQUxNLklRX0VCSVRfSU5ULjEwMDAuMjkvMDMvMjAyNgEAAAAgegUAAgAAAAsyNTM1LjAyNjE0MwEIAAAABQAAAAExAQAAAAstMTkzNDk3ODM4MQMAAAADMTYwAgAAAAQ0MTg5BAAAAAEwBwAAAAkzLzI5LzIwMjYIAAAACTUvMzEv</t>
  </si>
  <si>
    <t>MjAyNQkAAAABMP3XF3pEjd4I155kfkSN3gg5Q0lRLk5BU0RBUTpDQUxNLklRX1RPVEFMX0xJQUJfVE9UQUxfQVNTRVRTLjk5NC4yOS8wMy8yMDI2AQAAACB6BQACAAAABzE0LjM5NzIBCAAAAAUAAAABMQEAAAALLTIxNDI0MjkwMzkDAAAAAzE2MAIAAAAENDE4OAQAAAABMAcAAAAJMy8yOS8yMDI2CAAAAAg2LzEvMjAxOQkAAAABMP3XF3pEjd4IGsZkfkSN3ggzQ0lRLk5BU0RBUTpDQUxNLklRX1RPVEFMX0RFQlRfRVFVSVRZLjk5Ni4yOS8wMy8yMDI2AQAAACB6BQACAAAABjAuMjM0NwEIAAAABQAAAAExAQAAAAstMjAzNzI0MTcyMQMAAAADMTYwAgAAAAQ0MDM0BAAAAAEwBwAAAAkzLzI5LzIwMjYIAAAACTUvMjkvMjAyMQkAAAABMP3XF3pEjd4IQztlfkSN3gg0Q0lRLk5BU0RBUTpDQUxNLklRX0VQU18xWVJfQU5OX0dST1dUSC45OTguMjkvMDMvMjAyNgEAAAAgegUAAgAAAAg0NzAuNTg4MgEIAAAABQAAAAExAQAAAAstMTkzNDk3ODQyMAMAAAADMTYwAgAAAAQ0MjAwBAAAAAEwBwAAAAkzLzI5LzIwMjYIAAAACDYvMy8yMDIzCQAAAAEwnbMUekSN3ggZJ2J+RI3eCDdDSVEuTkFTREFROkNBTE0uSVFfRUJJVERBXzFZUl9BTk5fR1JPV1RILjk5OC4yOS8wMy8yMDI2AQAAACB6BQACAAAACDQwMS4xNDU0AQgAAAAFAAAAATEBAAAACy0xOTM0OTc4NDIwAwAAAAMxNjACAAAABDQxOTYEAAAAATAHAAAACTMv</t>
  </si>
  <si>
    <t>MjkvMjAyNggAAAAINi8zLzIwMjMJAAAAATCdsxR6RI3eCFuwYn5Ejd4IOkNJUS5OQVNEQVE6Q0FMTS5JUV9UT1RBTF9SRVZfMVlSX0FOTl9HUk9XVEguOTk0LjI5LzAzLzIwMjYBAAAAIHoFAAIAAAAHLTkuNDMxMgEIAAAABQAAAAExAQAAAAstMjE0MjQyOTAzOQMAAAADMTYwAgAAAAQ0MTk0BAAAAAEwBwAAAAkzLzI5LzIwMjYIAAAACDYvMS8yMDE5CQAAAAEwJn0UekSN3gjuA2N+RI3eCDdDSVEuTkFTREFROkNBTE0uSVFfTkVUX0RFQlRfRUJJVERBX0NBUEVYLjk5Ni4yOS8wMy8yMDI2AQAAACB6BQADAAAAAk5NAQgAAAAFAAAAATEBAAAACy0yMDM3MjQxNzIxAwAAAAMxNjACAAAABTIzMzE0BAAAAAEwBwAAAAkzLzI5LzIwMjYIAAAACTUvMjkvMjAyMQkAAAABMCZ9FHpEjd4IYStjfkSN3ghCQ0lRLk5BU0RBUTpDQUxNLklRX05FVF9ERUJUX0VCSVREQV9FWENMX09QRVJfTEVBU0VTLjk5Ni4yOS8wMy8yMDI2AQAAACB6BQADAAAAAk5NAQgAAAAFAAAAATEBAAAACy0yMDM3MjQxNzIxAwAAAAMxNjACAAAABTQ5MTc1BAAAAAEwBwAAAAkzLzI5LzIwMjYIAAAACTUvMjkvMjAyMQkAAAABMCZ9FHpEjd4IeaBjfkSN3ggrQ0lRLk5BU0RBUTpDQUxNLklRX1BBUlRfVElNRS45OTkuMjkvMDMvMjAyNgEAAAAgegUAAgAAAAMxMzgA5mIXekSN3giS7Gh+RI3eCDZDSVEuTkFTREFROkNBTE0uSVFfRUJJVERBXzVZ</t>
  </si>
  <si>
    <t>Ul9BTk5fQ0FHUi4xMDAwLjI5LzAzLzIwMjYBAAAAIHoFAAIAAAAHOTQuMjc2OQEIAAAABQAAAAExAQAAAAstMTkzNDk3ODM4MQMAAAADMTYwAgAAAAQ0MjM1BAAAAAEwBwAAAAkzLzI5LzIwMjYIAAAACTUvMzEvMjAyNQkAAAABMJ2zFHpEjd4IpgBhfkSN3ggxQ0lRLk5BU0RBUTpDQUxNLklRX0dQXzVZUl9BTk5fQ0FHUi45OTQuMjkvMDMvMjAyNgEAAAAgegUAAgAAAActNS45NDQzAQgAAAAFAAAAATEBAAAACy0yMTQyNDI5MDM5AwAAAAMxNjACAAAABDQyMzQEAAAAATAHAAAACTMvMjkvMjAyNggAAAAINi8xLzIwMTkJAAAAATCdsxR6RI3eCPViYX5Ejd4IM0NJUS5OQVNEQVE6Q0FMTS5JUV9FUFNfM1lSX0FOTl9DQUdSLjEwMDAuMjkvMDMvMjAyNgEAAAAgegUAAgAAAAgxMDkuMzMxMgEIAAAABQAAAAExAQAAAAstMTkzNDk3ODM4MQMAAAADMTYwAgAAAAQ0MjI2BAAAAAEwBwAAAAkzLzI5LzIwMjYIAAAACTUvMzEvMjAyNQkAAAABMJ2zFHpEjd4I54lhfkSN3ggzQ0lRLk5BU0RBUTpDQUxNLklRX0VCSVRfM1lSX0FOTl9DQUdSLjk5Ni4yOS8wMy8yMDI2AQAAACB6BQADAAAAAk5NAQgAAAAFAAAAATEBAAAACy0yMDM3MjQxNzIxAwAAAAMxNjACAAAABDQyMjMEAAAAATAHAAAACTMvMjkvMjAyNggAAAAJNS8yOS8yMDIxCQAAAAEwnbMUekSN3ggMsWF+RI3eCC9DSVEuTkFTREFROkNBTE0uSVFfUkVUVVJO</t>
  </si>
  <si>
    <t>X0FTU0VUUy45OTcuMjkvMDMvMjAyNgEAAAAgegUAAgAAAAY2LjUxMzIBCAAAAAUAAAABMQEAAAALLTE5ODY3MDg0MzMDAAAAAzE2MAIAAAAENDE3OAQAAAABMAcAAAAJMy8yOS8yMDI2CAAAAAk1LzI4LzIwMjIJAAAAATD7sBd6RI3eCAWuZ35Ejd4IKUNJUS5OQVNEQVE6Q0FMTS5JUV9HQUFQX0JTLjk5My4yOS8wMy8yMDI2AQAAACB6BQADAAAAB1VTIEdBQVAA+7AXekSN3gjB1Gd+RI3eCDBDSVEuTkFTREFROkNBTE0uSVFfUkVTVEFURU1FTlRfQlMuOTk5LjI5LzAzLzIwMjYBAAAAIHoFAAMAAAACTkMA+7AXekSN3gi7+2d+RI3eCC9DSVEuTkFTREFROkNBTE0uSVFfQVZHX0VNUExPWUVFUy45OTkuMjkvMDMvMjAyNgEAAAAgegUAAwAAAAAA5mIXekSN3gjhSWh+RI3eCEFDSVEuTkFTREFROkNBTE0uSVFfRU1QTE9ZRUVTX1VOREVSX1VOSU9OX0NPTlRSQUNUUy45OTMuMjkvMDMvMjAyNgEAAAAgegUAAwAAAAAA5mIXekSN3gjfl2h+RI3eCDFDSVEuTkFTREFROkNBTE0uSVFfSU5WRU5UT1JZX1RVUk5TLjk5OS4yOS8wMy8yMDI2AQAAACB6BQACAAAACDYuNTM1NTk4AQgAAAAFAAAAATEBAAAACy0xOTM0OTc4NDgwAwAAAAMxNjACAAAABDQwODIEAAAAATAHAAAACTMvMjkvMjAyNggAAAAINi8xLzIwMjQJAAAAATD91xd6RI3eCGQSZn5Ejd4IKkNJUS5OQVNEQVE6Q0FMTS5JUV9BUl9UVVJOUy45OTMuMjkv</t>
  </si>
  <si>
    <t>MDMvMjAyNgEAAAAgegUAAgAAAAkyMS4xNjkyNDgBCAAAAAUAAAABMQEAAAAKMjA0NTc0OTMxMAMAAAADMTYwAgAAAAQ0MDAxBAAAAAEwBwAAAAkzLzI5LzIwMjYIAAAACDYvMi8yMDE4CQAAAAEw/dcXekSN3giWOWZ+RI3eCC1DSVEuTkFTREFROkNBTE0uSVFfQVNTRVRfVFVSTlMuOTk5LjI5LzAzLzIwMjYBAAAAIHoFAAIAAAAIMS4xMjQwNzkBCAAAAAUAAAABMQEAAAALLTE5MzQ5Nzg0ODADAAAAAzE2MAIAAAAENDE3NwQAAAABMAcAAAAJMy8yOS8yMDI2CAAAAAg2LzEvMjAyNAkAAAABMP3XF3pEjd4IwYdmfkSN3ggrQ0lRLk5BU0RBUTpDQUxNLklRX05JX01BUkdJTi45OTUuMjkvMDMvMjAyNgEAAAAgegUAAgAAAAYxLjM2MDYBCAAAAAUAAAABMQEAAAALLTIwODgzNDc0NjkDAAAAAzE2MAIAAAAENDA5NAQAAAABMAcAAAAJMy8yOS8yMDI2CAAAAAk1LzMwLzIwMjAJAAAAATD91xd6RI3eCMCuZn5Ejd4INkNJUS5OQVNEQVE6Q0FMTS5JUV9SRVRVUk5fQ09NTU9OX0VRVUlUWS45OTcuMjkvMDMvMjAyNgEAAAAgegUAAgAAAAcxMi41Mjk5AQgAAAAFAAAAATEBAAAACy0xOTg2NzA4NDMzAwAAAAMxNjACAAAABTMzMzIwBAAAAAEwBwAAAAkzLzI5LzIwMjYIAAAACTUvMjgvMjAyMgkAAAABMPuwF3pEjd4IPl9nfkSN3ghDQ0lRLk5BU0RBUTpDQUxNLklRX0VCSVREQV9FWENMX09QRVJfTEVBU0VTX0NBUEVY</t>
  </si>
  <si>
    <t>X0lOVC45OTcuMjkvMDMvMjAyNgEAAAAgegUAAgAAAAozMzMuNTU4MzEyAQgAAAAFAAAAATEBAAAACy0xOTg2NzA4NDMzAwAAAAMxNjACAAAABTQ5MTc0BAAAAAEwBwAAAAkzLzI5LzIwMjYIAAAACTUvMjgvMjAyMgkAAAABMCZ9FHpEjd4Iku5jfkSN3ggqQ0lRLk5BU0RBUTpDQUxNLklRX0VCSVRfSU5ULjk5OS4yOS8wMy8yMDI2AQAAACB6BQACAAAACjU3Mi4xMjAyMTgBCAAAAAUAAAABMQEAAAALLTE5MzQ5Nzg0ODADAAAAAzE2MAIAAAAENDE4OQQAAAABMAcAAAAJMy8yOS8yMDI2CAAAAAg2LzEvMjAyNAkAAAABMP3XF3pEjd4I155kfkSN3gg5Q0lRLk5BU0RBUTpDQUxNLklRX1RPVEFMX0xJQUJfVE9UQUxfQVNTRVRTLjk5My4yOS8wMy8yMDI2AQAAACB6BQACAAAABzE2LjkyOTUBCAAAAAUAAAABMQEAAAAKMjA0NTc0OTMxMAMAAAADMTYwAgAAAAQ0MTg4BAAAAAEwBwAAAAkzLzI5LzIwMjYIAAAACDYvMi8yMDE4CQAAAAEw/dcXekSN3ggaxmR+RI3eCDNDSVEuTkFTREFROkNBTE0uSVFfVE9UQUxfREVCVF9FUVVJVFkuOTk1LjI5LzAzLzIwMjYBAAAAIHoFAAIAAAAGMC4zMzU1AQgAAAAFAAAAATEBAAAACy0yMDg4MzQ3NDY5AwAAAAMxNjACAAAABDQwMzQEAAAAATAHAAAACTMvMjkvMjAyNggAAAAJNS8zMC8yMDIwCQAAAAEw/dcXekSN3ghDO2V+RI3eCDBDSVEuTkFTREFROkNBTE0uSVFfREFZU19T</t>
  </si>
  <si>
    <t>QUxFU19PVVQuOTk3LjI5LzAzLzIwMjYBAAAAIHoFAAIAAAAJMjUuNDE1NTcyAQgAAAAFAAAAATEBAAAACy0xOTg2NzA4NDMzAwAAAAMxNjACAAAABDQwNDIEAAAAATAHAAAACTMvMjkvMjAyNggAAAAJNS8yOC8yMDIyCQAAAAEw/dcXekSN3ghKiWV+RI3eCDhDSVEuTkFTREFROkNBTE0uSVFfVE9UQUxfUkVWXzNZUl9BTk5fQ0FHUi45OTUuMjkvMDMvMjAyNgEAAAAgegUAAgAAAAY3Ljk0NzYBCAAAAAUAAAABMQEAAAALLTIwODgzNDc0NjkDAAAAAzE2MAIAAAAENDIyMAQAAAABMAcAAAAJMy8yOS8yMDI2CAAAAAk1LzMwLzIwMjAJAAAAATCdsxR6RI3eCBknYn5Ejd4IN0NJUS5OQVNEQVE6Q0FMTS5JUV9FQklUREFfMVlSX0FOTl9HUk9XVEguOTk3LjI5LzAzLzIwMjYBAAAAIHoFAAIAAAAINDcxLjQxMzEBCAAAAAUAAAABMQEAAAALLTE5ODY3MDg0MzMDAAAAAzE2MAIAAAAENDE5NgQAAAABMAcAAAAJMy8yOS8yMDI2CAAAAAk1LzI4LzIwMjIJAAAAATCdsxR6RI3eCFuwYn5Ejd4IOkNJUS5OQVNEQVE6Q0FMTS5JUV9UT1RBTF9SRVZfMVlSX0FOTl9HUk9XVEguOTkzLjI5LzAzLzIwMjYBAAAAIHoFAAIAAAAHMzkuODcwOQEIAAAABQAAAAExAQAAAAoyMDQ1NzQ5MzEwAwAAAAMxNjACAAAABDQxOTQEAAAAATAHAAAACTMvMjkvMjAyNggAAAAINi8yLzIwMTgJAAAAATAmfRR6RI3eCMnXYn5Ejd4ISENJUS5O</t>
  </si>
  <si>
    <t>QVNEQVE6Q0FMTS5JUV9ORVRfREVCVF9FQklUREFfRVhDTF9PUEVSX0xFQVNFU19DQVBFWC45OTMuMjkvMDMvMjAyNgEAAAAgegUAAwAAAAJOTQEIAAAABQAAAAExAQAAAAoyMDQ1NzQ5MzEwAwAAAAMxNjACAAAABTQ5MTgyBAAAAAEwBwAAAAkzLzI5LzIwMjYIAAAACDYvMi8yMDE4CQAAAAEwJn0UekSN3ghhK2N+RI3eCEJDSVEuTkFTREFROkNBTE0uSVFfTkVUX0RFQlRfRUJJVERBX0VYQ0xfT1BFUl9MRUFTRVMuOTk1LjI5LzAzLzIwMjYBAAAAIHoFAAMAAAACTk0BCAAAAAUAAAABMQEAAAALLTIwODgzNDc0NjkDAAAAAzE2MAIAAAAFNDkxNzUEAAAAATAHAAAACTMvMjkvMjAyNggAAAAJNS8zMC8yMDIwCQAAAAEwJn0UekSN3gh5oGN+RI3eCDNDSVEuTkFTREFROkNBTE0uSVFfRUJJVF81WVJfQU5OX0NBR1IuOTk3LjI5LzAzLzIwMjYBAAAAIHoFAAMAAAACTk0BCAAAAAUAAAABMQEAAAALLTE5ODY3MDg0MzMDAAAAAzE2MAIAAAAENDIzNgQAAAABMAcAAAAJMy8yOS8yMDI2CAAAAAk1LzI4LzIwMjIJAAAAATCdsxR6RI3eCKYAYX5Ejd4IMUNJUS5OQVNEQVE6Q0FMTS5JUV9HUF81WVJfQU5OX0NBR1IuOTkzLjI5LzAzLzIwMjYBAAAAIHoFAAIAAAAHMTAuOTcwNAEIAAAABQAAAAExAQAAAAoyMDQ1NzQ5MzEwAwAAAAMxNjACAAAABDQyMzQEAAAAATAHAAAACTMvMjkvMjAyNggAAAAINi8yLzIwMTgJAAAA</t>
  </si>
  <si>
    <t>ATCdsxR6RI3eCOc7YX5Ejd4IMkNJUS5OQVNEQVE6Q0FMTS5JUV9FUFNfM1lSX0FOTl9DQUdSLjk5OS4yOS8wMy8yMDI2AQAAACB6BQACAAAACDQyMi4wMTYzAQgAAAAFAAAAATEBAAAACy0xOTM0OTc4NDgwAwAAAAMxNjACAAAABDQyMjYEAAAAATAHAAAACTMvMjkvMjAyNggAAAAINi8xLzIwMjQJAAAAATCdsxR6RI3eCOeJYX5Ejd4IM0NJUS5OQVNEQVE6Q0FMTS5JUV9FQklUXzNZUl9BTk5fQ0FHUi45OTUuMjkvMDMvMjAyNgEAAAAgegUAAwAAAAJOTQEIAAAABQAAAAExAQAAAAstMjA4ODM0NzQ2OQMAAAADMTYwAgAAAAQ0MjIzBAAAAAEwBwAAAAkzLzI5LzIwMjYIAAAACTUvMzAvMjAyMAkAAAABMJ2zFHpEjd4IDLFhfkSN3ggsQ0lRLk5BU0RBUTpDQUxNLklRX1BFUklPRERBVEUuOTkxLjI5LzAzLzIwMjYBAAAAIHoFAAUAAAAKMjgvMDUvMjAxNgBaKuR6RI3eCA3YgXxEjd4ILENJUS5OQVNEQVE6Q0FMTS5JUV9QRVJJT0REQVRFLjk5Mi4yOS8wMy8yMDI2AQAAACB6BQAFAAAACjAzLzA2LzIwMTcAWirkekSN3ggn6Gt+RI3eCCxDSVEuTkFTREFROkNBTE0uSVFfUEVSSU9EREFURS45OTMuMjkvMDMvMjAyNgEAAAAgegUABQAAAAowMi8wNi8yMDE4AFoq5HpEjd4IJ+hrfkSN3ggsQ0lRLk5BU0RBUTpDQUxNLklRX1BFUklPRERBVEUuOTk0LjI5LzAzLzIwMjYBAAAAIHoFAAUAAAAKMDEvMDYvMjAxOQBa</t>
  </si>
  <si>
    <t>KuR6RI3eCCfoa35Ejd4ILENJUS5OQVNEQVE6Q0FMTS5JUV9QRVJJT0REQVRFLjk5NS4yOS8wMy8yMDI2AQAAACB6BQAFAAAACjMwLzA1LzIwMjAAWirkekSN3gjawGt+RI3eCCxDSVEuTkFTREFROkNBTE0uSVFfUEVSSU9EREFURS45OTYuMjkvMDMvMjAyNgEAAAAgegUABQAAAAoyOS8wNS8yMDIxAFoq5HpEjd4I2sBrfkSN3ggsQ0lRLk5BU0RBUTpDQUxNLklRX1BFUklPRERBVEUuOTk3LjI5LzAzLzIwMjYBAAAAIHoFAAUAAAAKMjgvMDUvMjAyMgBaKuR6RI3eCNrAa35Ejd4ILENJUS5OQVNEQVE6Q0FMTS5JUV9QRVJJT0REQVRFLjk5OC4yOS8wMy8yMDI2AQAAACB6BQAFAAAACjAzLzA2LzIwMjMAWirkekSN3gjawGt+RI3eCCxDSVEuTkFTREFROkNBTE0uSVFfUEVSSU9EREFURS45OTkuMjkvMDMvMjAyNgEAAAAgegUABQAAAAowMS8wNi8yMDI0AFoq5HpEjd4I2sBrfkSN3ghNQ0lRLk5BU0RBUTpDQUxNLklRX0xJUVVJREFUSU9OX1ZBTFVFX1BSRUZFUlJFRF9SRURFRU0uMjAwMC4yOS8wMy8yMDI2Li4uVVNELkgBAAAAIHoFAAMAAAAAAKJpLXpEjd4Iv4RffESN3ghJQ0lRLk5BU0RBUTpDQUxNLklRX1RPVEFMX0dFTkVSQUxfUEFSVE5FUl9JTlRFUkVTVC4yMDAwLjI5LzAzLzIwMjYuLi5VU0QuSAEAAAAgegUAAwAAAAAAomktekSN3ggCCl98RI3eCEBDSVEuTkFTREFROkNBTE0uSVFfTElBQklMSVRJ</t>
  </si>
  <si>
    <t>RVNfRkFJUl9WQUxVRS45OTEuMjkvMDMvMjAyNi4uLlVTRC5IAQAAACB6BQACAAAABjI1LjgyNADmYhd6RI3eCDrsYHxEjd4IPUNJUS5OQVNEQVE6Q0FMTS5JUV9MSUFCSUxJVElFU19MRVZFTF8yLjk5MS4yOS8wMy8yMDI2Li4uVVNELkgBAAAAIHoFAAIAAAAGMjUuODI0AOZiF3pEjd4IAG9gfESN3gg7Q0lRLk5BU0RBUTpDQUxNLklRX0ZJTl9ESVZfU1RfSU5WRVNULjk5MS4yOS8wMy8yMDI2Li4uVVNELkgBAAAAIHoFAAMAAAAAAAKKF3pEjd4IbephfESN3ghEQ0lRLk5BU0RBUTpDQUxNLklRX0RFUklWQVRJVkVfQVNTRVRTX0NVUlJFTlQuMjAwMC4yOS8wMy8yMDI2Li4uVVNELkgBAAAAIHoFAAMAAAAAAAKKF3pEjd4IXF1kfESN3ghBQ0lRLk5BU0RBUTpDQUxNLklRX0RFUklWQVRJVkVfTElBQl9DVVJSRU5ULjk5MS4yOS8wMy8yMDI2Li4uVVNELkgBAAAAIHoFAAMAAAAAAAKKF3pEjd4IVMFjfESN3ggzQ0lRLk5BU0RBUTpDQUxNLklRX0lOVEFOX05FVC45OTEuMjkvMDMvMjAyNi4uLlVTRC5IAQAAACB6BQADAAAAAAD7sBd6RI3eCO+9ZXxEjd4IOkNJUS5OQVNEQVE6Q0FMTS5JUV9JTlRFUkNPTVBBTllfQ0wuMjAwMC4yOS8wMy8yMDI2Li4uVVNELkgBAAAAIHoFAAMAAAAAAPuwF3pEjd4InYFmfESN3ghHQ0lRLk5BU0RBUTpDQUxNLklRX0dFTkVSQUxfUEFSVE5FUl9DT01NT05fRVFVSVRZLjk5MC4y</t>
  </si>
  <si>
    <t>OS8wMy8yMDI2Li4uVVNELkgBAAAAIHoFAAMAAAAAAKJpLXpEjd4I+FlefESN3ghFQ0lRLk5BU0RBUTpDQUxNLklRX0ZJTl9ESVZfTUlOT1JJVFlfSU5UX1JFREVFTS45OTIuMjkvMDMvMjAyNi4uLlVTRC5IAQAAACB6BQADAAAAAADAVS16RI3eCNBScn5Ejd4IOENJUS5OQVNEQVE6Q0FMTS5JUV9BU1NFVFNfTEVWRUxfMy45OTIuMjkvMDMvMjAyNi4uLlVTRC5IAQAAACB6BQADAAAAAACiaS16RI3eCJy4cH5Ejd4IPUNJUS5OQVNEQVE6Q0FMTS5JUV9MSUFCSUxJVElFU19MRVZFTF8yLjk5MC4yOS8wMy8yMDI2Li4uVVNELkgBAAAAIHoFAAIAAAAFNTEuNDcA5mIXekSN3ggAb2B8RI3eCDtDSVEuTkFTREFROkNBTE0uSVFfRklOX0RJVl9TVF9JTlZFU1QuOTkwLjI5LzAzLzIwMjYuLi5VU0QuSAEAAAAgegUAAwAAAAAAAooXekSN3ght6mF8RI3eCD9DSVEuTkFTREFROkNBTE0uSVFfRklOX0RJVl9TVF9ERUJUX1RPVEFMLjk5MC4yOS8wMy8yMDI2Li4uVVNELkgBAAAAIHoFAAMAAAAAAOZiF3pEjd4IPGFhfESN3gg+Q0lRLk5BU0RBUTpDQUxNLklRX1dBUlJBTlRZX0xJQUJJTElUSUVTLjk5Mi4yOS8wMy8yMDI2Li4uVVNELkgBAAAAIHoFAAMAAAAAAAKKF3pEjd4IWEZufkSN3gg9Q0lRLk5BU0RBUTpDQUxNLklRX1RPVEFMX0RFQlRfRVhDTF9GSU4uOTkyLjI5LzAzLzIwMjYuLi5VU0QuSAEAAAAgegUAAgAA</t>
  </si>
  <si>
    <t>AAYxMC45MzkBCAAAAAUAAAABMQEAAAAKMTk3MjAxMjEyMQMAAAADMTYwAgAAAAUyMTg2MAQAAAABMAcAAAAJMy8yOS8yMDI2CAAAAAg2LzMvMjAxNwkAAAABMAKKF3pEjd4IeZRufkSN3ghBQ0lRLk5BU0RBUTpDQUxNLklRX0RFUklWQVRJVkVfTElBQl9DVVJSRU5ULjk5MC4yOS8wMy8yMDI2Li4uVVNELkgBAAAAIHoFAAMAAAAAAAKKF3pEjd4IVMFjfESN3ggzQ0lRLk5BU0RBUTpDQUxNLklRX0lOVEFOX05FVC45OTAuMjkvMDMvMjAyNi4uLlVTRC5IAQAAACB6BQADAAAAAAD7sBd6RI3eCO+9ZXxEjd4IPENJUS5OQVNEQVE6Q0FMTS5JUV9MVF9NQVJLX1NFQ1VSSVRJRVMuOTkyLjI5LzAzLzIwMjYuLi5VU0QuSAEAAAAgegUAAwAAAAAA+7AXekSN3gi30mx+RI3eCD5DSVEuTkFTREFROkNBTE0uSVFfTElBQklMSVRJRVNfTEVWRUxfMS4yMDAwLjI5LzAzLzIwMjYuLi5VU0QuSAEAAAAgegUAAwAAAAAA5mIXekSN3ggAb2B8RI3eCDhDSVEuTkFTREFROkNBTE0uSVFfQVNTRVRTX0xFVkVMXzMuOTkxLjI5LzAzLzIwMjYuLi5VU0QuSAEAAAAgegUAAwAAAAAAomktekSN3gjF0l98RI3eCEBDSVEuTkFTREFROkNBTE0uSVFfRklOX0RJVl9MVF9ERUJUX1RPVEFMLjIwMDAuMjkvMDMvMjAyNi4uLlVTRC5IAQAAACB6BQADAAAAAADmYhd6RI3eCDxhYXxEjd4IP0NJUS5OQVNEQVE6Q0FMTS5JUV9XQVJSQU5UWV9M</t>
  </si>
  <si>
    <t>SUFCSUxJVElFUy4yMDAwLjI5LzAzLzIwMjYuLi5VU0QuSAEAAAAgegUAAwAAAAAAAooXekSN3gj1NmN8RI3eCD1DSVEuTkFTREFROkNBTE0uSVFfVE9UQUxfREVCVF9FWENMX0ZJTi45OTEuMjkvMDMvMjAyNi4uLlVTRC5IAQAAACB6BQACAAAABTI1LjU3AQgAAAAFAAAAATEBAAAACjE4OTY4MjA1MTcDAAAAAzE2MAIAAAAFMjE4NjAEAAAAATAHAAAACTMvMjkvMjAyNggAAAAJNS8yOC8yMDE2CQAAAAEwAooXekSN3gj6rWJ8RI3eCEJDSVEuTkFTREFROkNBTE0uSVFfQUNDVU1fQU1PUlRfSU5UQU5fQVNTRVRTLjk5MS4yOS8wMy8yMDI2Li4uVVNELkgBAAAAIHoFAAIAAAAHLTE4Ljk4MQEIAAAABQAAAAExAQAAAAoxODk2ODIwNTE3AwAAAAMxNjACAAAABTI0MzMxBAAAAAEwBwAAAAkzLzI5LzIwMjYIAAAACTUvMjgvMjAxNgkAAAABMPuwF3pEjd4IxKtkfESN3gg+Q0lRLk5BU0RBUTpDQUxNLklRX0xUX0RFQlRfREVSSVZBVElWRVMuMjAwMC4yOS8wMy8yMDI2Li4uVVNELkgBAAAAIHoFAAMAAAAAAAKKF3pEjd4IVMFjfESN3ggxQ0lRLk5BU0RBUTpDQUxNLklRX0dXX05FVC4yMDAwLjI5LzAzLzIwMjYuLi5VU0QuSAEAAAAgegUAAgAAAAY4Ny4wNTkBCAAAAAUAAAABMQEAAAALLTE5MTA2Mjc4MzgDAAAAAzE2MAIAAAAFNDg5NjAEAAAAATAHAAAACTMvMjkvMjAyNggAAAAKMTEvMjkvMjAyNQkAAAABMPuw</t>
  </si>
  <si>
    <t>F3pEjd4I771lfESN3gg8Q0lRLk5BU0RBUTpDQUxNLklRX0xUX01BUktfU0VDVVJJVElFUy45OTEuMjkvMDMvMjAyNi4uLlVTRC5IAQAAACB6BQADAAAAAAD7sBd6RI3eCP80ZXxEjd4IPENJUS5OQVNEQVE6Q0FMTS5JUV9UT1RBTF9SRVZfRU1QTE9ZRUUuOTkxLjI5LzAzLzIwMjYuLi5VU0QuSAEAAAAgegUAAgAAAAc1OTQuNTk1AQgAAAAFAAAAATEBAAAACjE4OTY4MjA1MTcDAAAAAzE2MAIAAAAENDEyMwQAAAABMAcAAAAJMy8yOS8yMDI2CAAAAAk1LzI4LzIwMTYJAAAAATAmfRR6RI3eCFLRZnxEjd4IT0NJUS5OQVNEQVE6Q0FMTS5JUV9MSUFCSUxJVElFU19ORVRUSU5HX09USEVSX0FESlVTVE1FTlRTLjk5Mi4yOS8wMy8yMDI2Li4uVVNELkgBAAAAIHoFAAMAAAAAAOZiF3pEjd4IGghwfkSN3gg9Q0lRLk5BU0RBUTpDQUxNLklRX1RPVEFMX0RFQlRfRVhDTF9GSU4uOTkwLjI5LzAzLzIwMjYuLi5VU0QuSAEAAAAgegUAAgAAAAU1MC44NgEIAAAABQAAAAExAQAAAAoxODUwMjIwODQ1AwAAAAMxNjACAAAABTIxODYwBAAAAAEwBwAAAAkzLzI5LzIwMjYIAAAACTUvMzAvMjAxNQkAAAABMAKKF3pEjd4I+q1ifESN3gg/Q0lRLk5BU0RBUTpDQUxNLklRX0RFQlRfRVFVSVZfT1BFUl9MRUFTRS45OTIuMjkvMDMvMjAyNi4uLlVTRC5IAQAAACB6BQACAAAABDMxLjgBCAAAAAUAAAABMQEAAAAKMTk3MjAxMjEy</t>
  </si>
  <si>
    <t>MQMAAAADMTYwAgAAAAUyMTY3MQQAAAABMAcAAAAJMy8yOS8yMDI2CAAAAAg2LzMvMjAxNwkAAAABMAKKF3pEjd4Ij/ZufkSN3ghCQ0lRLk5BU0RBUTpDQUxNLklRX0FDQ1VNX0FNT1JUX0lOVEFOX0FTU0VUUy45OTAuMjkvMDMvMjAyNi4uLlVTRC5IAQAAACB6BQACAAAABy0xNi4zNzkBCAAAAAUAAAABMQEAAAAKMTg1MDIyMDg0NQMAAAADMTYwAgAAAAUyNDMzMQQAAAABMAcAAAAJMy8yOS8yMDI2CAAAAAk1LzMwLzIwMTUJAAAAATD7sBd6RI3eCMSrZHxEjd4IQ0NJUS5OQVNEQVE6Q0FMTS5JUV9ERVJJVkFUSVZFX1RSQURJTkdfQVNTRVRTLjk5Mi4yOS8wMy8yMDI2Li4uVVNELkgBAAAAIHoFAAMAAAAAAAKKF3pEjd4IIKptfkSN3gg9Q0lRLk5BU0RBUTpDQUxNLklRX0lOVEVSQ09NUEFOWV9OT05fQ0EuOTkyLjI5LzAzLzIwMjYuLi5VU0QuSAEAAAAgegUAAwAAAAAA+7AXekSN3ghxNmx+RI3eCDxDSVEuTkFTREFROkNBTE0uSVFfVE9UQUxfUkVWX0VNUExPWUVFLjk5MC4yOS8wMy8yMDI2Li4uVVNELkgBAAAAIHoFAAIAAAAFNTYwLjcBCAAAAAUAAAABMQEAAAAKMTg1MDIyMDg0NQMAAAADMTYwAgAAAAQ0MTIzBAAAAAEwBwAAAAkzLzI5LzIwMjYIAAAACTUvMzAvMjAxNQkAAAABMCZ9FHpEjd4IUtFmfESN3ghRQ0lRLk5BU0RBUTpDQUxNLklRX0xJUVVJREFUSU9OX1ZBTFVFX1BSRUZFUlJFRF9OT05f</t>
  </si>
  <si>
    <t>UkVERUVNLjIwMDAuMjkvMDMvMjAyNi4uLlVTRC5IAQAAACB6BQADAAAAAACiaS16RI3eCDldX3xEjd4IS0NJUS5OQVNEQVE6Q0FMTS5JUV9HRU5FUkFMX1BBUlRORVJfTUlOT1JJVFlfSU5URVJFU1QuOTkxLjI5LzAzLzIwMjYuLi5VU0QuSAEAAAAgegUAAwAAAAAAomktekSN3gjD4l58RI3eCE9DSVEuTkFTREFROkNBTE0uSVFfTElBQklMSVRJRVNfTkVUVElOR19PVEhFUl9BREpVU1RNRU5UUy45OTEuMjkvMDMvMjAyNi4uLlVTRC5IAQAAACB6BQADAAAAAADmYhd6RI3eCPDEYHxEjd4IPENJUS5OQVNEQVE6Q0FMTS5JUV9GSU5fRElWX0NBU0hfRVFVSVYuOTkxLjI5LzAzLzIwMjYuLi5VU0QuSAEAAAAgegUAAwAAAAAA5mIXekSN3ghcr2F8RI3eCEBDSVEuTkFTREFROkNBTE0uSVFfUkVTVFJJQ1RFRF9DQVNIX1RPVEFMLjIwMDAuMjkvMDMvMjAyNi4uLlVTRC5IAQAAACB6BQADAAAAAAACihd6RI3eCPqtYnxEjd4IP0NJUS5OQVNEQVE6Q0FMTS5JUV9ERUJUX0VRVUlWX09QRVJfTEVBU0UuOTkxLjI5LzAzLzIwMjYuLi5VU0QuSAEAAAAgegUAAgAAAAUzMi43MgEIAAAABQAAAAExAQAAAAoxODk2ODIwNTE3AwAAAAMxNjACAAAABTIxNjcxBAAAAAEwBwAAAAkzLzI5LzIwMjYIAAAACTUvMjgvMjAxNgkAAAABMAKKF3pEjd4ICjlifESN3ghDQ0lRLk5BU0RBUTpDQUxNLklRX0RFUklWQVRJVkVfVFJBRElO</t>
  </si>
  <si>
    <t>R19BU1NFVFMuOTkxLjI5LzAzLzIwMjYuLi5VU0QuSAEAAAAgegUAAwAAAAAAAooXekSN3ghLNmR8RI3eCD1DSVEuTkFTREFROkNBTE0uSVFfR1JPU1NfSU5UQU5fQVNTRVRTLjIwMDAuMjkvMDMvMjAyNi4uLlVTRC5IAQAAACB6BQADAAAAAAD7sBd6RI3eCMSrZHxEjd4IPUNJUS5OQVNEQVE6Q0FMTS5JUV9JTlRFUkNPTVBBTllfTk9OX0NBLjk5MS4yOS8wMy8yMDI2Li4uVVNELkgBAAAAIHoFAAMAAAAAAPuwF3pEjd4IZwxmfESN3gg2Q0lRLk5BU0RBUTpDQUxNLklRX0dXX0lOVEFOX05FVC45OTIuMjkvMDMvMjAyNi4uLlVTRC5IAQAAACB6BQADAAAAAAD7sBd6RI3eCKGrbH5Ejd4IOENJUS5OQVNEQVE6Q0FMTS5JUV9BQ0NVTV9BTU9SVF9HVy45OTIuMjkvMDMvMjAyNi4uLlVTRC5IAQAAACB6BQADAAAAAAD7sBd6RI3eCMf5bH5Ejd4IPUNJUS5OQVNEQVE6Q0FMTS5JUV9JTlRFUkNPTVBBTllfTk9OX0NBLjk5MC4yOS8wMy8yMDI2Li4uVVNELkgBAAAAIHoFAAMAAAAAAPuwF3pEjd4IZwxmfESN3ghAQ0lRLk5BU0RBUTpDQUxNLklRX0NPTlRJTkdFTlRfTElBQklMSVRJRVMuOTkwLjI5LzAzLzIwMjYuLi5VU0QuSAEAAAAgegUAAwAAAAAAAooXekSN3ggy/GJ8RI3eCEVDSVEuTkFTREFROkNBTE0uSVFfUkVTVFJJQ1RFRF9DQVNIX05PTl9DVVJSRU5ULjk5Mi4yOS8wMy8yMDI2Li4uVVNELkgBAAAAIHoF</t>
  </si>
  <si>
    <t>AAMAAAAAAAKKF3pEjd4ISs9ufkSN3gg8Q0lRLk5BU0RBUTpDQUxNLklRX0RFQlRfRVFVSVZfTkVUX1BCTy45OTIuMjkvMDMvMjAyNi4uLlVTRC5IAQAAACB6BQACAAAAAzQuMQEIAAAABQAAAAExAQAAAAoxOTcyMDEyMTIxAwAAAAMxNjACAAAABTIxNjc5BAAAAAEwBwAAAAkzLzI5LzIwMjYIAAAACDYvMy8yMDE3CQAAAAEwAooXekSN3gjEHW9+RI3eCD5DSVEuTkFTREFROkNBTE0uSVFfREVSSVZBVElWRV9BU1NFVFNfTFQuOTkyLjI5LzAzLzIwMjYuLi5VU0QuSAEAAAAgegUAAwAAAAAA+7AXekSN3gizW21+RI3eCDhDSVEuTkFTREFROkNBTE0uSVFfQUNDVU1fQU1PUlRfR1cuOTkwLjI5LzAzLzIwMjYuLi5VU0QuSAEAAAAgegUAAwAAAAAA+7AXekSN3ggTDmV8RI3eCD1DSVEuTkFTREFROkNBTE0uSVFfSU5URVJDT01QQU5ZX05PTl9DTC45OTIuMjkvMDMvMjAyNi4uLlVTRC5IAQAAACB6BQADAAAAAAD7sBd6RI3eCDQPbH5Ejd4IQ0NJUS5OQVNEQVE6Q0FMTS5JUV9GSU5BTkNFX0xFQVNFU19MT05HX1RFUk0uMjAwMC4yOS8wMy8yMDI2Li4uVVNELkgBAAAAIHoFAAMAAAAAALoHLXpEjd4IBW9WfESN3gg8Q0lRLk5BU0RBUTpDQUxNLklRX0JWX1NIQVJFX1JFUE9SVEVELjIwMDAuMjkvMDMvMjAyNi4uLlVTRC5IAQAAACB6BQADAAAAAADBLi16RI3eCHswWHxEjd4INkNJUS5OQVNEQVE6Q0FMTS5JUV9B</t>
  </si>
  <si>
    <t>Ul9VTkJJTExFRC4yMDAwLjI5LzAzLzIwMjYuLi5VU0QuSAEAAAAgegUAAwAAAAAAwS4tekSN3girDlt8RI3eCDpDSVEuTkFTREFROkNBTE0uSVFfTkVUX1dPUktJTkdfQ0FQLjIwMDAuMjkvMDMvMjAyNi4uLlVTRC5IAQAAACB6BQACAAAABzM5Ni42MDIBCAAAAAUAAAABMQEAAAALLTE5MTA2Mjc4MzgDAAAAAzE2MAIAAAAEMTMxMQQAAAABMAcAAAAJMy8yOS8yMDI2CAAAAAoxMS8yOS8yMDI1CQAAAAEwwS4tekSN3gjLmFp8RI3eCEFDSVEuTkFTREFROkNBTE0uSVFfTUlOT1JJVFlfSU5URVJFU1RfVE9UQUwuOTkxLjI5LzAzLzIwMjYuLi5VU0QuSAEAAAAgegUAAgAAAAUyLjA4NgEIAAAABQAAAAExAQAAAAoxODk2ODIwNTE3AwAAAAMxNjACAAAABDEzMTIEAAAAATAHAAAACTMvMjkvMjAyNggAAAAJNS8yOC8yMDE2CQAAAAEwwS4tekSN3gg3mll8RI3eCDJDSVEuTkFTREFROkNBTE0uSVFfU09GVFdBUkUuOTkxLjI5LzAzLzIwMjYuLi5VU0QuSAEAAAAgegUAAwAAAAAAwFUtekSN3ghKv1x8RI3eCC5DSVEuTkFTREFROkNBTE0uSVFfTEFORC45OTEuMjkvMDMvMjAyNi4uLlVTRC5IAQAAACB6BQACAAAABjgwLjc3NQEIAAAABQAAAAExAQAAAAoxODk2ODIwNTE3AwAAAAMxNjACAAAABDMwOTgEAAAAATAHAAAACTMvMjkvMjAyNggAAAAJNS8yOC8yMDE2CQAAAAEwwFUtekSN3ggeI1x8RI3eCEBDSVEuTkFT</t>
  </si>
  <si>
    <t>REFROkNBTE0uSVFfTEVBU0VIT0xEX0lNUFJPVkVNRU5ULjIwMDAuMjkvMDMvMjAyNi4uLlVTRC5IAQAAACB6BQADAAAAAADAVS16RI3eCIBbXXxEjd4IOUNJUS5OQVNEQVE6Q0FMTS5JUV9BU1NFVFNfTEVWRUxfMS4yMDAwLjI5LzAzLzIwMjYuLi5VU0QuSAEAAAAgegUAAwAAAAAAomktekSN3gi7q198RI3eCE1DSVEuTkFTREFROkNBTE0uSVFfTElRVUlEQVRJT05fVkFMVUVfUFJFRkVSUkVEX0NPTlZFUlQuOTkxLjI5LzAzLzIwMjYuLi5VU0QuSAEAAAAgegUAAwAAAAAAomktekSN3gg7MV98RI3eCElDSVEuTkFTREFROkNBTE0uSVFfRkFJUl9WQUxVRV9DSEFOR0VfSU5DTF9FQVJOSU5HUy45OTEuMjkvMDMvMjAyNi4uLlVTRC5IAQAAACB6BQADAAAAAADmYhd6RI3eCBsTYXxEjd4IOENJUS5OQVNEQVE6Q0FMTS5JUV9PUkRFUl9CQUNLTE9HLjIwMDAuMjkvMDMvMjAyNi4uLlVTRC5IAQAAACB6BQADAAAAAAACihd6RI3eCDL8YnxEjd4IRkNJUS5OQVNEQVE6Q0FMTS5JUV9SRVNUUklDVEVEX0NBU0hfTk9OX0NVUlJFTlQuMjAwMC4yOS8wMy8yMDI2Li4uVVNELkgBAAAAIHoFAAMAAAAAAAKKF3pEjd4IDmBifESN3gg8Q0lRLk5BU0RBUTpDQUxNLklRX0RFQlRfRVFVSVZfTkVUX1BCTy45OTEuMjkvMDMvMjAyNi4uLlVTRC5IAQAAACB6BQACAAAAAzMuNQEIAAAABQAAAAExAQAAAAoxODk2ODIwNTE3AwAA</t>
  </si>
  <si>
    <t>AAMxNjACAAAABTIxNjc5BAAAAAEwBwAAAAkzLzI5LzIwMjYIAAAACTUvMjgvMjAxNgkAAAABMAKKF3pEjd4IvBFifESN3gg+Q0lRLk5BU0RBUTpDQUxNLklRX0RFUklWQVRJVkVfQVNTRVRTX0xULjk5MS4yOS8wMy8yMDI2Li4uVVNELkgBAAAAIHoFAAMAAAAAAAKKF3pEjd4IXF1kfESN3ghFQ0lRLk5BU0RBUTpDQUxNLklRX0RFUklWQVRJVkVfTElBQl9OT05fQ1VSUkVOVC45OTEuMjkvMDMvMjAyNi4uLlVTRC5IAQAAACB6BQADAAAAAAACihd6RI3eCEjoY3xEjd4IM0NJUS5OQVNEQVE6Q0FMTS5JUV9HUk9TU19HVy4yMDAwLjI5LzAzLzIwMjYuLi5VU0QuSAEAAAAgegUAAwAAAAAA+7AXekSN3ggTDmV8RI3eCD1DSVEuTkFTREFROkNBTE0uSVFfSU5URVJDT01QQU5ZX05PTl9DTC45OTEuMjkvMDMvMjAyNi4uLlVTRC5IAQAAACB6BQADAAAAAAD7sBd6RI3eCP6pZnxEjd4IQUNJUS5OQVNEQVE6Q0FMTS5JUV9NSU5PUklUWV9JTlRFUkVTVF9UT1RBTC45OTAuMjkvMDMvMjAyNi4uLlVTRC5IAQAAACB6BQACAAAABTAuOTk4AQgAAAAFAAAAATEBAAAACjE4NTAyMjA4NDUDAAAAAzE2MAIAAAAEMTMxMgQAAAABMAcAAAAJMy8yOS8yMDI2CAAAAAk1LzMwLzIwMTUJAAAAATDBLi16RI3eCDzBWXxEjd4INENJUS5OQVNEQVE6Q0FMTS5JUV9UT1RBTF9ERUJULjk5Mi4yOS8wMy8yMDI2Li4uVVNELkgBAAAAIHoF</t>
  </si>
  <si>
    <t>AAIAAAAGMTAuOTM5AQgAAAAFAAAAATEBAAAACjE5NzIwMTIxMjEDAAAAAzE2MAIAAAAENDE3MwQAAAABMAcAAAAJMy8yOS8yMDI2CAAAAAg2LzMvMjAxNwkAAAABMMEuLXpEjd4I1+t0fkSN3ggxQ0lRLk5BU0RBUTpDQUxNLklRX1JBV19JTlYuOTkyLjI5LzAzLzIwMjYuLi5VU0QuSAEAAAAgegUAAgAAAAY5OC4wNTkBCAAAAAUAAAABMQEAAAAKMTk3MjAxMjEyMQMAAAADMTYwAgAAAAQzMTcxBAAAAAEwBwAAAAkzLzI5LzIwMjYIAAAACDYvMy8yMDE3CQAAAAEwwS4tekSN3ghUn3N+RI3eCC5DSVEuTkFTREFROkNBTE0uSVFfTEFORC45OTAuMjkvMDMvMjAyNi4uLlVTRC5IAQAAACB6BQACAAAABjc3LjA2NAEIAAAABQAAAAExAQAAAAoxODUwMjIwODQ1AwAAAAMxNjACAAAABDMwOTgEAAAAATAHAAAACTMvMjkvMjAyNggAAAAJNS8zMC8yMDE1CQAAAAEwwFUtekSN3ggeI1x8RI3eCEVDSVEuTkFTREFROkNBTE0uSVFfR0VORVJBTF9QQVJUTkVSX1BSRUZfRVFVSVRZLjk5MC4yOS8wMy8yMDI2Li4uVVNELkgBAAAAIHoFAAMAAAAAAKJpLXpEjd4IzoBefESN3ghBQ0lRLk5BU0RBUTpDQUxNLklRX01JTk9SSVRZX0lOVF9SRURFRU1fVE9ULjk5Mi4yOS8wMy8yMDI2Li4uVVNELkgBAAAAIHoFAAMAAAAAAMBVLXpEjd4I+CtyfkSN3ghKQ0lRLk5BU0RBUTpDQUxNLklRX0FTU0VUU19ORVRUSU5HX09USEVSX0FE</t>
  </si>
  <si>
    <t>SlVTVE1FTlRTLjk5Mi4yOS8wMy8yMDI2Li4uVVNELkgBAAAAIHoFAAMAAAAAAKJpLXpEjd4InLhwfkSN3ghNQ0lRLk5BU0RBUTpDQUxNLklRX0xJUVVJREFUSU9OX1ZBTFVFX1BSRUZFUlJFRF9DT05WRVJULjk5MC4yOS8wMy8yMDI2Li4uVVNELkgBAAAAIHoFAAMAAAAAAKJpLXpEjd4IOzFffESN3ghJQ0lRLk5BU0RBUTpDQUxNLklRX0ZBSVJfVkFMVUVfQ0hBTkdFX0lOQ0xfRUFSTklOR1MuOTkwLjI5LzAzLzIwMjYuLi5VU0QuSAEAAAAgegUAAgAAAAYtMC4yNTYA5mIXekSN3ggbE2F8RI3eCD1DSVEuTkFTREFROkNBTE0uSVFfTElBQklMSVRJRVNfTEVWRUxfMi45OTIuMjkvMDMvMjAyNi4uLlVTRC5IAQAAACB6BQACAAAABjEwLjgxNQDmYhd6RI3eCCAvcH5Ejd4IPENJUS5OQVNEQVE6Q0FMTS5JUV9ERUJUX0VRVUlWX05FVF9QQk8uOTkwLjI5LzAzLzIwMjYuLi5VU0QuSAEAAAAgegUAAgAAAAMzLjMBCAAAAAUAAAABMQEAAAAKMTg1MDIyMDg0NQMAAAADMTYwAgAAAAUyMTY3OQQAAAABMAcAAAAJMy8yOS8yMDI2CAAAAAk1LzMwLzIwMTUJAAAAATACihd6RI3eCLwRYnxEjd4IP0NJUS5OQVNEQVE6Q0FMTS5JUV9GSU5fRElWX1NUX0RFQlRfVE9UQUwuOTkyLjI5LzAzLzIwMjYuLi5VU0QuSAEAAAAgegUAAwAAAAAA5mIXekSN3gjbkm9+RI3eCD1DSVEuTkFTREFROkNBTE0uSVFfU1RfREVCVF9ERVJJ</t>
  </si>
  <si>
    <t>VkFUSVZFUy45OTIuMjkvMDMvMjAyNi4uLlVTRC5IAQAAACB6BQADAAAAAAACihd6RI3eCEofbn5Ejd4IRUNJUS5OQVNEQVE6Q0FMTS5JUV9ERVJJVkFUSVZFX0xJQUJfTk9OX0NVUlJFTlQuOTkwLjI5LzAzLzIwMjYuLi5VU0QuSAEAAAAgegUAAwAAAAAAAooXekSN3ghI6GN8RI3eCDlDSVEuTkFTREFROkNBTE0uSVFfSU5URVJDT01QQU5ZX0NBLjk5MC4yOS8wMy8yMDI2Li4uVVNELkgBAAAAIHoFAAMAAAAAAPuwF3pEjd4IIuVlfESN3gg/Q0lRLk5BU0RBUTpDQUxNLklRX0FEVkFOQ0VTX0ZPUl9TVVBQTElFUy45OTIuMjkvMDMvMjAyNi4uLlVTRC5IAQAAACB6BQADAAAAAAD7sBd6RI3eCKGrbH5Ejd4IPUNJUS5OQVNEQVE6Q0FMTS5JUV9JTlRFUkNPTVBBTllfTk9OX0NMLjk5MC4yOS8wMy8yMDI2Li4uVVNELkgBAAAAIHoFAAMAAAAAAPuwF3pEjd4I/qlmfESN3gg7Q0lRLk5BU0RBUTpDQUxNLklRX0RFRl9UQVhfQVNTRVRTX0xULjk5MS4yOS8wMy8yMDI2Li4uVVNELkgBAAAAIHoFAAMAAAAAANl/gHpEjd4IvutNfESN3ggyQ0lRLk5BU0RBUTpDQUxNLklRX1NUX0RFQlQuMjAwMC4yOS8wMy8yMDI2Li4uVVNELkgBAAAAIHoFAAMAAAAAANl/gHpEjd4IVThPfESN3gg3Q0lRLk5BU0RBUTpDQUxNLklRX1RPVEFMX0FTU0VUUy4yMDAwLjI5LzAzLzIwMjYuLi5VU0QuSAEAAAAgegUAAgAAAAgzMTQ0LjA2</t>
  </si>
  <si>
    <t>NAEIAAAABQAAAAExAQAAAAstMTkxMDYyNzgzOAMAAAADMTYwAgAAAAQxMDA3BAAAAAEwBwAAAAkzLzI5LzIwMjYIAAAACjExLzI5LzIwMjUJAAAAATDZf4B6RI3eCBqcTnxEjd4IOkNJUS5OQVNEQVE6Q0FMTS5JUV9GSU5fRElWX0xJQUJfTFQuMjAwMC4yOS8wMy8yMDI2Li4uVVNELkgBAAAAIHoFAAMAAAAAAA2ngHpEjd4IsEtRfESN3ggxQ0lRLk5BU0RBUTpDQUxNLklRX0xUX0RFQlQuOTkxLjI5LzAzLzIwMjYuLi5VU0QuSAEAAAAgegUAAgAAAAQ5LjI1AQgAAAAFAAAAATEBAAAACjE4OTY4MjA1MTcDAAAAAzE2MAIAAAAEMTA0OQQAAAABMAcAAAAJMy8yOS8yMDI2CAAAAAk1LzI4LzIwMTYJAAAAATANp4B6RI3eCNCEUHxEjd4IPkNJUS5OQVNEQVE6Q0FMTS5JUV9ERUZfVEFYX0xJQUJfQ1VSUkVOVC45OTEuMjkvMDMvMjAyNi4uLlVTRC5IAQAAACB6BQADAAAAAAANp4B6RI3eCLgPUHxEjd4INUNJUS5OQVNEQVE6Q0FMTS5JUV9QUkVGX0VRVUlUWS45OTEuMjkvMDMvMjAyNi4uLlVTRC5IAQAAACB6BQADAAAAAACKuSx6RI3eCK2/UnxEjd4ILUNJUS5OQVNEQVE6Q0FMTS5JUV9SRS4yMDAwLjI5LzAzLzIwMjYuLi5VU0QuSAEAAAAgegUAAgAAAAgyNzY3LjM0NwEIAAAABQAAAAExAQAAAAstMTkxMDYyNzgzOAMAAAADMTYwAgAAAAQxMjIyBAAAAAEwBwAAAAkzLzI5LzIwMjYIAAAACjExLzI5LzIwMjUJ</t>
  </si>
  <si>
    <t>AAAAATCKuSx6RI3eCOtbU3xEjd4IRENJUS5OQVNEQVE6Q0FMTS5JUV9SVUFfT1BFUkFUSU5HX0xFQVNFX0dST1NTLjIwMDAuMjkvMDMvMjAyNi4uLlVTRC5IAQAAACB6BQADAAAAAACW4Cx6RI3eCO8vVXxEjd4IQUNJUS5OQVNEQVE6Q0FMTS5JUV9SVUFfQ0FQSVRBTF9MRUFTRV9HUk9TUy45OTEuMjkvMDMvMjAyNi4uLlVTRC5IAQAAACB6BQADAAAAAACW4Cx6RI3eCK26VHxEjd4IS0NJUS5OQVNEQVE6Q0FMTS5JUV9MVF9QT1JUSU9OX09QRVJfTEVBU0VfTElBQklMSVRJRVMuOTkxLjI5LzAzLzIwMjYuLi5VU0QuSAEAAAAgegUAAwAAAAAAugctekSN3ggevVZ8RI3eCEFDSVEuTkFTREFROkNBTE0uSVFfVE9UQUxfREVCVF9FWENMX0xFQVNFUy4yMDAwLjI5LzAzLzIwMjYuLi5VU0QuSAEAAAAgegUAAwAAAAAAugctekSN3ghW4ld8RI3eCFNDSVEuTkFTREFROkNBTE0uSVFfRklOQU5DSU5HX09CTElHX0NVUlJFTlRfRVhDTF9PUEVSX0xFQVNFUy4yMDAwLjI5LzAzLzIwMjYuLi5VU0QuSAEAAAAgegUAAwAAAAAAugctekSN3ggxbVd8RI3eCDNDSVEuTkFTREFROkNBTE0uSVFfTkVUX0RFQlQuMjAwMC4yOS8wMy8yMDI2Li4uVVNELkgBAAAAIHoFAAIAAAAJLTExMzguOTg4AQgAAAAFAAAAATEBAAAACy0xOTEwNjI3ODM4AwAAAAMxNjACAAAABDQzNjQEAAAAATAHAAAACTMvMjkvMjAyNggAAAAKMTEvMjkv</t>
  </si>
  <si>
    <t>MjAyNQkAAAABMMEuLXpEjd4IPMFZfESN3gg0Q0lRLk5BU0RBUTpDQUxNLklRX1RPVEFMX0RFQlQuOTkxLjI5LzAzLzIwMjYuLi5VU0QuSAEAAAAgegUAAgAAAAUyNS41NwEIAAAABQAAAAExAQAAAAoxODk2ODIwNTE3AwAAAAMxNjACAAAABDQxNzMEAAAAATAHAAAACTMvMjkvMjAyNggAAAAJNS8yOC8yMDE2CQAAAAEwwS4tekSN3ggsJVl8RI3eCC1DSVEuTkFTREFROkNBTE0uSVFfVEJWLjk5MS4yOS8wMy8yMDI2Li4uVVNELkgBAAAAIHoFAAIAAAAHODgxLjEyMQEIAAAABQAAAAExAQAAAAoxODk2ODIwNTE3AwAAAAMxNjACAAAABDEzMTAEAAAAATAHAAAACTMvMjkvMjAyNggAAAAJNS8yOC8yMDE2CQAAAAEwwS4tekSN3gi2pVh8RI3eCDFDSVEuTkFTREFROkNBTE0uSVFfUkFXX0lOVi45OTEuMjkvMDMvMjAyNi4uLlVTRC5IAQAAACB6BQACAAAABjk0LjMxMgEIAAAABQAAAAExAQAAAAoxODk2ODIwNTE3AwAAAAMxNjACAAAABDMxNzEEAAAAATAHAAAACTMvMjkvMjAyNggAAAAJNS8yOC8yMDE2CQAAAAEwwS4tekSN3gjEg1t8RI3eCDRDSVEuTkFTREFROkNBTE0uSVFfT1RIRVJfSU5WLjIwMDAuMjkvMDMvMjAyNi4uLlVTRC5IAQAAACB6BQADAAAAAADAVS16RI3eCB4jXHxEjd4ISENJUS5OQVNEQVE6Q0FMTS5JUV9HRU5FUkFMX1BBUlRORVJfQ09NTU9OX0VRVUlUWS4yMDAwLjI5LzAzLzIwMjYuLi5V</t>
  </si>
  <si>
    <t>U0QuSAEAAAAgegUAAwAAAAAAomktekSN3gjOgF58RI3eCEFDSVEuTkFTREFROkNBTE0uSVFfTUlOT1JJVFlfSU5UX1JFREVFTV9UT1QuOTkxLjI5LzAzLzIwMjYuLi5VU0QuSAEAAAAgegUAAwAAAAAAwFUtekSN3gh7ll18RI3eCEpDSVEuTkFTREFROkNBTE0uSVFfQVNTRVRTX05FVFRJTkdfT1RIRVJfQURKVVNUTUVOVFMuOTkxLjI5LzAzLzIwMjYuLi5VU0QuSAEAAAAgegUAAwAAAAAAomktekSN3gjU+V98RI3eCEFDSVEuTkFTREFROkNBTE0uSVFfTElBQklMSVRJRVNfRkFJUl9WQUxVRS4yMDAwLjI5LzAzLzIwMjYuLi5VU0QuSAEAAAAgegUAAgAAAAIyMwDmYhd6RI3eCBsTYXxEjd4IPkNJUS5OQVNEQVE6Q0FMTS5JUV9MSUFCSUxJVElFU19MRVZFTF8yLjIwMDAuMjkvMDMvMjAyNi4uLlVTRC5IAQAAACB6BQADAAAAAADmYhd6RI3eCNudYHxEjd4IPENJUS5OQVNEQVE6Q0FMTS5JUV9GSU5fRElWX1NUX0lOVkVTVC4yMDAwLjI5LzAzLzIwMjYuLi5VU0QuSAEAAAAgegUAAwAAAAAAAooXekSN3gi8EWJ8RI3eCD9DSVEuTkFTREFROkNBTE0uSVFfRklOX0RJVl9TVF9ERUJUX1RPVEFMLjk5MS4yOS8wMy8yMDI2Li4uVVNELkgBAAAAIHoFAAMAAAAAAOZiF3pEjd4IPGFhfESN3gg9Q0lRLk5BU0RBUTpDQUxNLklRX1NUX0RFQlRfREVSSVZBVElWRVMuOTkxLjI5LzAzLzIwMjYuLi5VU0QuSAEAAAAgegUA</t>
  </si>
  <si>
    <t>AwAAAAAAAooXekSN3gj1NmN8RI3eCEJDSVEuTkFTREFROkNBTE0uSVFfREVSSVZBVElWRV9MSUFCX0NVUlJFTlQuMjAwMC4yOS8wMy8yMDI2Li4uVVNELkgBAAAAIHoFAAMAAAAAAAKKF3pEjd4ISOhjfESN3gg0Q0lRLk5BU0RBUTpDQUxNLklRX0lOVEFOX05FVC4yMDAwLjI5LzAzLzIwMjYuLi5VU0QuSAEAAAAgegUAAgAAAAY1NS4wOTEBCAAAAAUAAAABMQEAAAALLTE5MTA2Mjc4MzgDAAAAAzE2MAIAAAAFNDg5NjIEAAAAATAHAAAACTMvMjkvMjAyNggAAAAKMTEvMjkvMjAyNQkAAAABMPuwF3pEjd4IIuVlfESN3gg/Q0lRLk5BU0RBUTpDQUxNLklRX0FEVkFOQ0VTX0ZPUl9TVVBQTElFUy45OTEuMjkvMDMvMjAyNi4uLlVTRC5IAQAAACB6BQADAAAAAAD7sBd6RI3eCJlcZXxEjd4IPENJUS5OQVNEQVE6Q0FMTS5JUV9UT1RBTF9SRVZfRU1QTE9ZRUUuOTkyLjI5LzAzLzIwMjYuLi5VU0QuSAEAAAAgegUAAgAAAAczMDYuMzAzAQgAAAAFAAAAATEBAAAACjE5NzIwMTIxMjEDAAAAAzE2MAIAAAAENDEyMwQAAAABMAcAAAAJMy8yOS8yMDI2CAAAAAg2LzMvMjAxNwkAAAABMCZ9FHpEjd4IJ+hrfkSN3gg5Q0lRLk5BU0RBUTpDQUxNLklRX0lOVEVSQ09NUEFOWV9DTC45OTEuMjkvMDMvMjAyNi4uLlVTRC5IAQAAACB6BQADAAAAAAD7sBd6RI3eCFEzZnxEjd4IPUNJUS5OQVNEQVE6Q0FMTS5JUV9UT1RBTF9S</t>
  </si>
  <si>
    <t>RVZfRU1QTE9ZRUUuMjAwMC4yOS8wMy8yMDI2Li4uVVNELkgBAAAAIHoFAAMAAAAAACZ9FHpEjd4IUtFmfESN3gg5Q0lRLk5BU0RBUTpDQUxNLklRX0ZJTl9ESVZfREVCVF9MVC45OTIuMjkvMDMvMjAyNi4uLlVTRC5IAQAAACB6BQADAAAAAAANp4B6RI3eCECCen5Ejd4IOUNJUS5OQVNEQVE6Q0FMTS5JUV9ERUZfVEFYX0xJQUJfTFQuOTkwLjI5LzAzLzIwMjYuLi5VU0QuSAEAAAAgegUAAgAAAAY3Ni4wMDUBCAAAAAUAAAABMQEAAAAKMTg1MDIyMDg0NQMAAAADMTYwAgAAAAQxMDI3BAAAAAEwBwAAAAkzLzI5LzIwMjYIAAAACTUvMzAvMjAxNQkAAAABMA2ngHpEjd4IEppRfESN3gg9Q0lRLk5BU0RBUTpDQUxNLklRX1RPVEFMX0NPTU1PTl9FUVVJVFkuOTkwLjI5LzAzLzIwMjYuLi5VU0QuSAEAAAAgegUAAgAAAAc3MDMuNTY0AQgAAAAFAAAAATEBAAAACjE4NTAyMjA4NDUDAAAAAzE2MAIAAAAEMTAwNgQAAAABMAcAAAAJMy8yOS8yMDI2CAAAAAk1LzMwLzIwMTUJAAAAATCW4Cx6RI3eCCqqU3xEjd4ILkNJUS5OQVNEQVE6Q0FMTS5JUV9BUElDLjk5Mi4yOS8wMy8yMDI2Li4uVVNELkgBAAAAIHoFAAIAAAAGNDkuOTMyAQgAAAAFAAAAATEBAAAACjE5NzIwMTIxMjEDAAAAAzE2MAIAAAAEMTA4NAQAAAABMAcAAAAJMy8yOS8yMDI2CAAAAAg2LzMvMjAxNwkAAAABMIq5LHpEjd4Ikw55fkSN3gg/Q0lRLk5B</t>
  </si>
  <si>
    <t>U0RBUTpDQUxNLklRX1JVQV9DQVBJVEFMX0xFQVNFX05FVC45OTIuMjkvMDMvMjAyNi4uLlVTRC5IAQAAACB6BQADAAAAAACW4Cx6RI3eCMWod35Ejd4IP0NJUS5OQVNEQVE6Q0FMTS5JUV9HUFBFX0VYQ0xfT1BFUl9MRUFTRVMuOTkwLjI5LzAzLzIwMjYuLi5VU0QuSAEAAAAgegUAAgAAAAc3NTQuMjQyAQgAAAAFAAAAATEBAAAACjE4NTAyMjA4NDUDAAAAAzE2MAIAAAAFNDg5NzQEAAAAATAHAAAACTMvMjkvMjAyNggAAAAJNS8zMC8yMDE1CQAAAAEwugctekSN3gggflV8RI3eCDJDSVEuTkFTREFROkNBTE0uSVFfQlZfU0hBUkUuOTkwLjI5LzAzLzIwMjYuLi5VU0QuSAEAAAAgegUAAgAAAAkxNC41MDcwNzIBCAAAAAUAAAABMQEAAAAKMTg1MDIyMDg0NQMAAAADMTYwAgAAAAQ0MDIwBAAAAAEwBwAAAAkzLzI5LzIwMjYIAAAACTUvMzAvMjAxNQkAAAABMMEuLXpEjd4IVuJXfESN3ghAQ0lRLk5BU0RBUTpDQUxNLklRX1RPVEFMX0RFQlRfRVhDTF9MRUFTRVMuOTkwLjI5LzAzLzIwMjYuLi5VU0QuSAEAAAAgegUAAgAAAAU1MC44NgEIAAAABQAAAAExAQAAAAoxODUwMjIwODQ1AwAAAAMxNjACAAAABTQ4OTkyBAAAAAEwBwAAAAkzLzI5LzIwMjYIAAAACTUvMzAvMjAxNQkAAAABMLoHLXpEjd4IgbtXfESN3gg2Q0lRLk5BU0RBUTpDQUxNLklRX1RPVEFMX0xFQVNFUy45OTIuMjkvMDMvMjAyNi4uLlVTRC5I</t>
  </si>
  <si>
    <t>AQAAACB6BQADAAAAAAC6By16RI3eCKZLdn5Ejd4IQENJUS5OQVNEQVE6Q0FMTS5JUV9UT1RBTF9ERUJUX05PTl9DVVJSRU5ULjk5Mi4yOS8wMy8yMDI2Li4uVVNELkgBAAAAIHoFAAIAAAAFNi4xMTMBCAAAAAUAAAABMQEAAAAKMTk3MjAxMjEyMQMAAAADMTYwAgAAAAUyNTIyNAQAAAABMAcAAAAJMy8yOS8yMDI2CAAAAAg2LzMvMjAxNwkAAAABMMEuLXpEjd4I3Il0fkSN3gg0Q0lRLk5BU0RBUTpDQUxNLklRX0NBU0hfU0hBUkUuOTkyLjI5LzAzLzIwMjYuLi5VU0QuSAEAAAAgegUAAgAAAAcwLjM2MTU3AQgAAAAFAAAAATEBAAAACjE5NzIwMTIxMjEDAAAAAzE2MAIAAAAENDM4MQQAAAABMAcAAAAJMy8yOS8yMDI2CAAAAAg2LzMvMjAxNwkAAAABMMEuLXpEjd4Idjp1fkSN3gg1Q0lRLk5BU0RBUTpDQUxNLklRX1dPUktJTkdfQ0FQLjk5MC4yOS8wMy8yMDI2Li4uVVNELkgBAAAAIHoFAAIAAAAHNDA3LjQxOAEIAAAABQAAAAExAQAAAAoxODUwMjIwODQ1AwAAAAMxNjACAAAABDQxNjUEAAAAATAHAAAACTMvMjkvMjAyNggAAAAJNS8zMC8yMDE1CQAAAAEwwS4tekSN3ghTSlp8RI3eCDNDSVEuTkFTREFROkNBTE0uSVFfTUFDSElORVJZLjk5MC4yOS8wMy8yMDI2Li4uVVNELkgBAAAAIHoFAAIAAAAHMzY0LjIwOQEIAAAABQAAAAExAQAAAAoxODUwMjIwODQ1AwAAAAMxNjACAAAABDMxMTQEAAAAATAHAAAA</t>
  </si>
  <si>
    <t>CTMvMjkvMjAyNggAAAAJNS8zMC8yMDE1CQAAAAEwwFUtekSN3ghQcVx8RI3eCDZDSVEuTkFTREFROkNBTE0uSVFfRklOSVNIRURfSU5WLjk5Mi4yOS8wMy8yMDI2Li4uVVNELkgBAAAAIHoFAAIAAAAGNjIuNjMzAQgAAAAFAAAAATEBAAAACjE5NzIwMTIxMjEDAAAAAzE2MAIAAAAEMzA3NQQAAAABMAcAAAAJMy8yOS8yMDI2CAAAAAg2LzMvMjAxNwkAAAABMMBVLXpEjd4IFHhzfkSN3ghFQ0lRLk5BU0RBUTpDQUxNLklRX0RFRl9UQVhfVkFMVUFUSU9OX0FMTE9XQU5DRS45OTIuMjkvMDMvMjAyNi4uLlVTRC5IAQAAACB6BQADAAAAAACiaS16RI3eCHrdcX5Ejd4ISENJUS5OQVNEQVE6Q0FMTS5JUV9UT1RBTF9HRU5FUkFMX1BBUlRORVJfSU5URVJFU1QuOTkwLjI5LzAzLzIwMjYuLi5VU0QuSAEAAAAgegUAAwAAAAAAomktekSN3giO7l58RI3eCEBDSVEuTkFTREFROkNBTE0uSVFfTElBQklMSVRJRVNfRkFJUl9WQUxVRS45OTAuMjkvMDMvMjAyNi4uLlVTRC5IAQAAACB6BQACAAAABjUyLjQ5NADmYhd6RI3eCDrsYHxEjd4IPUNJUS5OQVNEQVE6Q0FMTS5JUV9MSUFCSUxJVElFU19MRVZFTF8xLjk5Mi4yOS8wMy8yMDI2Li4uVVNELkgBAAAAIHoFAAMAAAAAAOZiF3pEjd4I92lwfkSN3gg8Q0lRLk5BU0RBUTpDQUxNLklRX0ZJTl9ESVZfQ0FTSF9FUVVJVi45OTIuMjkvMDMvMjAyNi4uLlVTRC5IAQAAACB6</t>
  </si>
  <si>
    <t>BQADAAAAAAACihd6RI3eCLJrb35Ejd4IP0NJUS5OQVNEQVE6Q0FMTS5JUV9GSU5fRElWX0xUX0RFQlRfVE9UQUwuOTkyLjI5LzAzLzIwMjYuLi5VU0QuSAEAAAAgegUAAwAAAAAA5mIXekSN3ghLum9+RI3eCENDSVEuTkFTREFROkNBTE0uSVFfREVSSVZBVElWRV9BU1NFVFNfQ1VSUkVOVC45OTAuMjkvMDMvMjAyNi4uLlVTRC5IAQAAACB6BQADAAAAAAACihd6RI3eCEs2ZHxEjd4IPUNJUS5OQVNEQVE6Q0FMTS5JUV9MVF9ERUJUX0RFUklWQVRJVkVTLjk5Mi4yOS8wMy8yMDI2Li4uVVNELkgBAAAAIHoFAAMAAAAAAAKKF3pEjd4IS/htfkSN3ggwQ0lRLk5BU0RBUTpDQUxNLklRX0dXX05FVC45OTIuMjkvMDMvMjAyNi4uLlVTRC5IAQAAACB6BQADAAAAAAD7sBd6RI3eCJCEbH5Ejd4IOUNJUS5OQVNEQVE6Q0FMTS5JUV9JTlRFUkNPTVBBTllfQ0wuOTkwLjI5LzAzLzIwMjYuLi5VU0QuSAEAAAAgegUAAwAAAAAA+7AXekSN3ghRM2Z8RI3eCD1DSVEuTkFTREFROkNBTE0uSVFfTElBQklMSVRJRVNfTEVWRUxfMS45OTEuMjkvMDMvMjAyNi4uLlVTRC5IAQAAACB6BQADAAAAAADmYhd6RI3eCABvYHxEjd4IUENJUS5OQVNEQVE6Q0FMTS5JUV9MSUFCSUxJVElFU19ORVRUSU5HX09USEVSX0FESlVTVE1FTlRTLjIwMDAuMjkvMDMvMjAyNi4uLlVTRC5IAQAAACB6BQADAAAAAADmYhd6RI3eCDrsYHxEjd4IPUNJ</t>
  </si>
  <si>
    <t>US5OQVNEQVE6Q0FMTS5JUV9GSU5fRElWX0NBU0hfRVFVSVYuMjAwMC4yOS8wMy8yMDI2Li4uVVNELkgBAAAAIHoFAAMAAAAAAAKKF3pEjd4IXK9hfESN3gg/Q0lRLk5BU0RBUTpDQUxNLklRX0ZJTl9ESVZfTFRfREVCVF9UT1RBTC45OTEuMjkvMDMvMjAyNi4uLlVTRC5IAQAAACB6BQADAAAAAADmYhd6RI3eCDY6YXxEjd4IPkNJUS5OQVNEQVE6Q0FMTS5JUV9XQVJSQU5UWV9MSUFCSUxJVElFUy45OTEuMjkvMDMvMjAyNi4uLlVTRC5IAQAAACB6BQADAAAAAAACihd6RI3eCDL8YnxEjd4IQENJUS5OQVNEQVE6Q0FMTS5JUV9ERUJUX0VRVUlWX09QRVJfTEVBU0UuMjAwMC4yOS8wMy8yMDI2Li4uVVNELkgBAAAAIHoFAAMAAAAAAAKKF3pEjd4IDmBifESN3ghEQ0lRLk5BU0RBUTpDQUxNLklRX0RFUklWQVRJVkVfVFJBRElOR19BU1NFVFMuMjAwMC4yOS8wMy8yMDI2Li4uVVNELkgBAAAAIHoFAAMAAAAAAAKKF3pEjd4ISzZkfESN3gg9Q0lRLk5BU0RBUTpDQUxNLklRX0xUX0RFQlRfREVSSVZBVElWRVMuOTkxLjI5LzAzLzIwMjYuLi5VU0QuSAEAAAAgegUAAwAAAAAAAooXekSN3ggImmN8RI3eCD5DSVEuTkFTREFROkNBTE0uSVFfSU5URVJDT01QQU5ZX05PTl9DQS4yMDAwLjI5LzAzLzIwMjYuLi5VU0QuSAEAAAAgegUAAwAAAAAA+7AXekSN3ghhWmZ8RI3eCDBDSVEuTkFTREFROkNBTE0uSVFfR1dfTkVU</t>
  </si>
  <si>
    <t>Ljk5MS4yOS8wMy8yMDI2Li4uVVNELkgBAAAAIHoFAAMAAAAAAPuwF3pEjd4I771lfESN3ggyQ0lRLk5BU0RBUTpDQUxNLklRX0VQU181WVJfQU5OX0NBR1IuOTkxLjI5LzAzLzIwMjYBAAAAIHoFAAIAAAAHMzguNzQ2NQEIAAAABQAAAAExAQAAAAoxODk2ODIwNTE3AwAAAAMxNjACAAAABDQyMzkEAAAAATAHAAAACTMvMjkvMjAyNggAAAAJNS8yOC8yMDE2CQAAAAEwnbMUekSN3ggfOHV8RI3eCDNDSVEuTkFTREFROkNBTE0uSVFfTklfMVlSX0FOTl9HUk9XVEguOTkxLjI5LzAzLzIwMjYBAAAAIHoFAAIAAAAHOTUuOTg5NQEIAAAABQAAAAExAQAAAAoxODk2ODIwNTE3AwAAAAMxNjACAAAABDQxOTkEAAAAATAHAAAACTMvMjkvMjAyNggAAAAJNS8yOC8yMDE2CQAAAAEwnbMUekSN3ghXT3N8RI3eCDJDSVEuTkFTREFROkNBTE0uSVFfR1BfM1lSX0FOTl9DQUdSLjIwMDAuMjkvMDMvMjAyNgEAAAAgegUAAgAAAAcyOS4wNDIyAQgAAAAFAAAAATEBAAAACy0xOTEwNjI3ODM4AwAAAAMxNjACAAAABDQyMjEEAAAAATAHAAAACTMvMjkvMjAyNggAAAAKMTEvMjkvMjAyNQkAAAABMJ2zFHpEjd4IWMRzfESN3ghEQ0lRLk5BU0RBUTpDQUxNLklRX1RPVEFMX0RFQlRfRUJJVERBX0VYQ0xfT1BFUl9MRUFTRVMuOTkxLjI5LzAzLzIwMjYBAAAAIHoFAAIAAAAIMC4wNDk2NTkBCAAAAAUAAAABMQEAAAAKMTg5NjgyMDUx</t>
  </si>
  <si>
    <t>NwMAAAADMTYwAgAAAAU0ODk5NAQAAAABMAcAAAAJMy8yOS8yMDI2CAAAAAk1LzI4LzIwMTYJAAAAATAmfRR6RI3eCCRgcXxEjd4IOkNJUS5OQVNEQVE6Q0FMTS5JUV9UT1RBTF9ERUJUX0VCSVREQV9DQVBFWC4yMDAwLjI5LzAzLzIwMjYBAAAAIHoFAAMAAAAAACZ9FHpEjd4IXdVxfESN3gg1Q0lRLk5BU0RBUTpDQUxNLklRX1RPVEFMX0RFQlRfQ0FQSVRBTC4yMDAwLjI5LzAzLzIwMjYBAAAAIHoFAAMAAAAAAP3XF3pEjd4I+yRwfESN3ggyQ0lRLk5BU0RBUTpDQUxNLklRX0VCSVREQV9DQVBFWF9JTlQuOTkxLjI5LzAzLzIwMjYBAAAAIHoFAAIAAAAKMzc5LjU2ODMzOQEIAAAABQAAAAExAQAAAAoxODk2ODIwNTE3AwAAAAMxNjACAAAABDQxOTEEAAAAATAHAAAACTMvMjkvMjAyNggAAAAJNS8yOC8yMDE2CQAAAAEwCv8XekSN3giN6HB8RI3eCDJDSVEuTkFTREFROkNBTE0uSVFfQ0ZPX0NVUlJFTlRfTElBQi45OTEuMjkvMDMvMjAyNgEAAAAgegUAAgAAAAg0LjY1NDY3MQEIAAAABQAAAAExAQAAAAoxODk2ODIwNTE3AwAAAAMxNjACAAAABDQxODUEAAAAATAHAAAACTMvMjkvMjAyNggAAAAJNS8yOC8yMDE2CQAAAAEw/dcXekSN3ggA7G58RI3eCDNDSVEuTkFTREFROkNBTE0uSVFfREFZU19QQVlBQkxFX09VVC4yMDAwLjI5LzAzLzIwMjYBAAAAIHoFAAIAAAAJMTcuNTc2NDY4AQgAAAAFAAAAATEBAAAA</t>
  </si>
  <si>
    <t>Cy0xOTEwNjI3ODM4AwAAAAMxNjACAAAABDQxODMEAAAAATAHAAAACTMvMjkvMjAyNggAAAAKMTEvMjkvMjAyNQkAAAABMP3XF3pEjd4ISYhvfESN3ggwQ0lRLk5BU0RBUTpDQUxNLklRX0VCSVREQV9NQVJHSU4uMjAwMC4yOS8wMy8yMDI2AQAAACB6BQACAAAABzM3LjEyMTgBCAAAAAUAAAABMQEAAAALLTE5MTA2Mjc4MzgDAAAAAzE2MAIAAAAENDA0NwQAAAABMAcAAAAJMy8yOS8yMDI2CAAAAAoxMS8yOS8yMDI1CQAAAAEw/dcXekSN3ghqn218RI3eCC9DSVEuTkFTREFROkNBTE0uSVFfUkVUVVJOX0VRVUlUWS45OTEuMjkvMDMvMjAyNgEAAAAgegUAAgAAAAczOS4yMTg1AQgAAAAFAAAAATEBAAAACjE4OTY4MjA1MTcDAAAAAzE2MAIAAAAENDEyOAQAAAABMAcAAAAJMy8yOS8yMDI2CAAAAAk1LzI4LzIwMTYJAAAAATD7sBd6RI3eCCIDbXxEjd4IMkNJUS5OQVNEQVE6Q0FMTS5JUV9FUFNfNVlSX0FOTl9DQUdSLjk5Mi4yOS8wMy8yMDI2AQAAACB6BQADAAAAAk5NAQgAAAAFAAAAATEBAAAACjE5NzIwMTIxMjEDAAAAAzE2MAIAAAAENDIzOQQAAAABMAcAAAAJMy8yOS8yMDI2CAAAAAg2LzMvMjAxNwkAAAABMJ2zFHpEjd4IadFgfkSN3ggzQ0lRLk5BU0RBUTpDQUxNLklRX05JXzFZUl9BTk5fR1JPV1RILjk5Mi4yOS8wMy8yMDI2AQAAACB6BQADAAAAAk5NAQgAAAAFAAAAATEBAAAACjE5NzIwMTIxMjED</t>
  </si>
  <si>
    <t>AAAAAzE2MAIAAAAENDE5OQQAAAABMAcAAAAJMy8yOS8yMDI2CAAAAAg2LzMvMjAxNwkAAAABMJ2zFHpEjd4Is3VifkSN3gg1Q0lRLk5BU0RBUTpDQUxNLklRX0VCSVREQV8zWVJfQU5OX0NBR1IuOTkwLjI5LzAzLzIwMjYBAAAAIHoFAAIAAAAHMzIuODIyNwEIAAAABQAAAAExAQAAAAoxODUwMjIwODQ1AwAAAAMxNjACAAAABDQyMjIEAAAAATAHAAAACTMvMjkvMjAyNggAAAAJNS8zMC8yMDE1CQAAAAEwnbMUekSN3ghYxHN8RI3eCERDSVEuTkFTREFROkNBTE0uSVFfVE9UQUxfREVCVF9FQklUREFfRVhDTF9PUEVSX0xFQVNFUy45OTIuMjkvMDMvMjAyNgEAAAAgegUAAwAAAAJOTQEIAAAABQAAAAExAQAAAAoxOTcyMDEyMTIxAwAAAAMxNjACAAAABTQ4OTk0BAAAAAEwBwAAAAkzLzI5LzIwMjYIAAAACDYvMy8yMDE3CQAAAAEwJn0UekSN3giLx2N+RI3eCEpDSVEuTkFTREFROkNBTE0uSVFfVE9UQUxfREVCVF9FQklUREFfRVhDTF9PUEVSX0xFQVNFU19DQVBFWC45OTAuMjkvMDMvMjAyNgEAAAAgegUAAgAAAAgwLjI2MjQ2MgEIAAAABQAAAAExAQAAAAoxODUwMjIwODQ1AwAAAAMxNjACAAAABTQ5MTgzBAAAAAEwBwAAAAkzLzI5LzIwMjYIAAAACTUvMzAvMjAxNQkAAAABMCZ9FHpEjd4IXdVxfESN3ggwQ0lRLk5BU0RBUTpDQUxNLklRX0xUX0RFQlRfRVFVSVRZLjk5MC4yOS8wMy8yMDI2AQAAACB6BQAC</t>
  </si>
  <si>
    <t>AAAABjUuNzkwMQEIAAAABQAAAAExAQAAAAoxODUwMjIwODQ1AwAAAAMxNjACAAAABDQwODUEAAAAATAHAAAACTMvMjkvMjAyNggAAAAJNS8zMC8yMDE1CQAAAAEw/dcXekSN3gj7JHB8RI3eCDJDSVEuTkFTREFROkNBTE0uSVFfQ0ZPX0NVUlJFTlRfTElBQi45OTIuMjkvMDMvMjAyNgEAAAAgegUAAgAAAAktMC43MDk5MzYBCAAAAAUAAAABMQEAAAAKMTk3MjAxMjEyMQMAAAADMTYwAgAAAAQ0MTg1BAAAAAEwBwAAAAkzLzI5LzIwMjYIAAAACDYvMy8yMDE3CQAAAAEw/dcXekSN3ghY62V+RI3eCDJDSVEuTkFTREFROkNBTE0uSVFfREFZU19QQVlBQkxFX09VVC45OTIuMjkvMDMvMjAyNgEAAAAgegUAAgAAAAkxMS45ODk5NzgBCAAAAAUAAAABMQEAAAAKMTk3MjAxMjEyMQMAAAADMTYwAgAAAAQ0MTgzBAAAAAEwBwAAAAkzLzI5LzIwMjYIAAAACDYvMy8yMDE3CQAAAAEw/dcXekSN3gg+YmV+RI3eCC1DSVEuTkFTREFROkNBTE0uSVFfRUJJVF9NQVJHSU4uOTkwLjI5LzAzLzIwMjYBAAAAIHoFAAIAAAAHMTQuOTMxMgEIAAAABQAAAAExAQAAAAoxODUwMjIwODQ1AwAAAAMxNjACAAAABDQwNTMEAAAAATAHAAAACTMvMjkvMjAyNggAAAAJNS8zMC8yMDE1CQAAAAEw/dcXekSN3ghqn218RI3eCC1DSVEuTkFTREFROkNBTE0uSVFfQVNTRVRfVFVSTlMuOTkwLjI5LzAzLzIwMjYBAAAAIHoFAAIAAAAIMS44MTEz</t>
  </si>
  <si>
    <t>MTQBCAAAAAUAAAABMQEAAAAKMTg1MDIyMDg0NQMAAAADMTYwAgAAAAQ0MTc3BAAAAAEwBwAAAAkzLzI5LzIwMjYIAAAACTUvMzAvMjAxNQkAAAABMP3XF3pEjd4IaChufESN3ggvQ0lRLk5BU0RBUTpDQUxNLklRX1JFVFVSTl9FUVVJVFkuOTkyLjI5LzAzLzIwMjYBAAAAIHoFAAIAAAAHLTguNDQ4NwEIAAAABQAAAAExAQAAAAoxOTcyMDEyMTIxAwAAAAMxNjACAAAABDQxMjgEAAAAATAHAAAACTMvMjkvMjAyNggAAAAINi8zLzIwMTcJAAAAATD7sBd6RI3eCJyGZ35Ejd4IMENJUS5OQVNEQVE6Q0FMTS5JUV9DT1NUX0JPUlJPV0lORy45OTAuMjkvMDMvMjAyNgEAAAAgegUAAgAAAAY2LjI3NTgBCAAAAAUAAAABMQEAAAAKMTg1MDIyMDg0NQMAAAADMTYwAgAAAAUyMTY4MQQAAAABMAcAAAAJMy8yOS8yMDI2CAAAAAk1LzMwLzIwMTUJAAAAATACihd6RI3eCK4EbHxEjd4IK0NJUS5OQVNEQVE6Q0FMTS5JUV9QQVJUX1RJTUUuOTkwLjI5LzAzLzIwMjYBAAAAIHoFAAIAAAADMTIzAOZiF3pEjd4ILUFrfESN3ggyQ0lRLk5BU0RBUTpDQUxNLklRX0VQU18zWVJfQU5OX0NBR1IuOTkxLjI5LzAzLzIwMjYBAAAAIHoFAAIAAAAGODMuODk3AQgAAAAFAAAAATEBAAAACjE4OTY4MjA1MTcDAAAAAzE2MAIAAAAENDIyNgQAAAABMAcAAAAJMy8yOS8yMDI2CAAAAAk1LzI4LzIwMTYJAAAAATCdsxR6RI3eCKdNdHxEjd4I</t>
  </si>
  <si>
    <t>NkNJUS5OQVNEQVE6Q0FMTS5JUV9FQklUREFfNVlSX0FOTl9DQUdSLjIwMDAuMjkvMDMvMjAyNgEAAAAgegUAAgAAAAc2NC44Mzg5AQgAAAAFAAAAATEBAAAACy0xOTEwNjI3ODM4AwAAAAMxNjACAAAABDQyMzUEAAAAATAHAAAACTMvMjkvMjAyNggAAAAKMTEvMjkvMjAyNQkAAAABMJ2zFHpEjd4ILep0fESN3gg0Q0lRLk5BU0RBUTpDQUxNLklRX0dQXzFZUl9BTk5fR1JPV1RILjIwMDAuMjkvMDMvMjAyNgEAAAAgegUAAgAAAAY3NS4xODQBCAAAAAUAAAABMQEAAAALLTE5MTA2Mjc4MzgDAAAAAzE2MAIAAAAENDE5NQQAAAABMAcAAAAJMy8yOS8yMDI2CAAAAAoxMS8yOS8yMDI1CQAAAAEwJn0UekSN3ggvAXN8RI3eCDVDSVEuTkFTREFROkNBTE0uSVFfRUJJVERBXzNZUl9BTk5fQ0FHUi45OTEuMjkvMDMvMjAyNgEAAAAgegUAAgAAAAc2Mi4yNjYxAQgAAAAFAAAAATEBAAAACjE4OTY4MjA1MTcDAAAAAzE2MAIAAAAENDIyMgQAAAABMAcAAAAJMy8yOS8yMDI2CAAAAAk1LzI4LzIwMTYJAAAAATCdsxR6RI3eCFjEc3xEjd4ISkNJUS5OQVNEQVE6Q0FMTS5JUV9UT1RBTF9ERUJUX0VCSVREQV9FWENMX09QRVJfTEVBU0VTX0NBUEVYLjk5MS4yOS8wMy8yMDI2AQAAACB6BQACAAAACDAuMDU4Mjc1AQgAAAAFAAAAATEBAAAACjE4OTY4MjA1MTcDAAAAAzE2MAIAAAAFNDkxODMEAAAAATAHAAAACTMvMjkvMjAy</t>
  </si>
  <si>
    <t>NggAAAAJNS8yOC8yMDE2CQAAAAEwJn0UekSN3ghd1XF8RI3eCDBDSVEuTkFTREFROkNBTE0uSVFfTFRfREVCVF9FUVVJVFkuOTkxLjI5LzAzLzIwMjYBAAAAIHoFAAIAAAAGMS4wMDgzAQgAAAAFAAAAATEBAAAACjE4OTY4MjA1MTcDAAAAAzE2MAIAAAAENDA4NQQAAAABMAcAAAAJMy8yOS8yMDI2CAAAAAk1LzI4LzIwMTYJAAAAATD91xd6RI3eCD3qb3xEjd4IK0NJUS5OQVNEQVE6Q0FMTS5JUV9FQklUX0lOVC4yMDAwLjI5LzAzLzIwMjYBAAAAIHoFAAIAAAALMjIyOS45MTQyNDEBCAAAAAUAAAABMQEAAAALLTE5MTA2Mjc4MzgDAAAAAzE2MAIAAAAENDE4OQQAAAABMAcAAAAJMy8yOS8yMDI2CAAAAAoxMS8yOS8yMDI1CQAAAAEw/dcXekSN3ghrmnB8RI3eCDJDSVEuTkFTREFROkNBTE0uSVFfSU5WRU5UT1JZX1RVUk5TLjIwMDAuMjkvMDMvMjAyNgEAAAAgegUAAgAAAAg3LjY0NzgwNQEIAAAABQAAAAExAQAAAAstMTkxMDYyNzgzOAMAAAADMTYwAgAAAAQ0MDgyBAAAAAEwBwAAAAkzLzI5LzIwMjYIAAAACjExLzI5LzIwMjUJAAAAATD91xd6RI3eCAGebnxEjd4ILUNJUS5OQVNEQVE6Q0FMTS5JUV9BU1NFVF9UVVJOUy45OTEuMjkvMDMvMjAyNgEAAAAgegUAAgAAAAgxLjg3MDg0MgEIAAAABQAAAAExAQAAAAoxODk2ODIwNTE3AwAAAAMxNjACAAAABDQxNzcEAAAAATAHAAAACTMvMjkvMjAyNggAAAAJ</t>
  </si>
  <si>
    <t>NS8yOC8yMDE2CQAAAAEw/dcXekSN3ghoKG58RI3eCDBDSVEuTkFTREFROkNBTE0uSVFfUkVTVEFURU1FTlRfQlMuOTkxLjI5LzAzLzIwMjYBAAAAIHoFAAMAAAACTkMA+7AXekSN3gjeUmx8RI3eCC1DSVEuTkFTREFROkNBTE0uSVFfUEVSSU9EREFURS4xOTk5LjI5LzAzLzIwMjYBAAAAIHoFAAUAAAAKMzAvMDgvMjAyNQD7sBd6RI3eCOa0bHxEjd4IMkNJUS5OQVNEQVE6Q0FMTS5JUV9FUFNfM1lSX0FOTl9DQUdSLjk5Mi4yOS8wMy8yMDI2AQAAACB6BQADAAAAAk5NAQgAAAAFAAAAATEBAAAACjE5NzIwMTIxMjEDAAAAAzE2MAIAAAAENDIyNgQAAAABMAcAAAAJMy8yOS8yMDI2CAAAAAg2LzMvMjAxNwkAAAABMJ2zFHpEjd4I54lhfkSN3ggzQ0lRLk5BU0RBUTpDQUxNLklRX0VCSVRfNVlSX0FOTl9DQUdSLjk5MC4yOS8wMy8yMDI2AQAAACB6BQACAAAABzE4LjA2MDUBCAAAAAUAAAABMQEAAAAKMTg1MDIyMDg0NQMAAAADMTYwAgAAAAQ0MjM2BAAAAAEwBwAAAAkzLzI5LzIwMjYIAAAACTUvMzAvMjAxNQkAAAABMJ2zFHpEjd4ILep0fESN3gg3Q0lRLk5BU0RBUTpDQUxNLklRX0VCSVREQV8xWVJfQU5OX0dST1dUSC45OTAuMjkvMDMvMjAyNgEAAAAgegUAAgAAAAc0Ny4xMzM0AQgAAAAFAAAAATEBAAAACjE4NTAyMjA4NDUDAAAAAzE2MAIAAAAENDE5NgQAAAABMAcAAAAJMy8yOS8yMDI2CAAAAAk1LzMw</t>
  </si>
  <si>
    <t>LzIwMTUJAAAAATAmfRR6RI3eCC8Bc3xEjd4ISkNJUS5OQVNEQVE6Q0FMTS5JUV9UT1RBTF9ERUJUX0VCSVREQV9FWENMX09QRVJfTEVBU0VTX0NBUEVYLjk5Mi4yOS8wMy8yMDI2AQAAACB6BQADAAAAAk5NAQgAAAAFAAAAATEBAAAACjE5NzIwMTIxMjEDAAAAAzE2MAIAAAAFNDkxODMEAAAAATAHAAAACTMvMjkvMjAyNggAAAAINi8zLzIwMTcJAAAAATAmfRR6RI3eCHJ5Y35Ejd4IMENJUS5OQVNEQVE6Q0FMTS5JUV9MVF9ERUJUX0VRVUlUWS45OTIuMjkvMDMvMjAyNgEAAAAgegUAAgAAAAYwLjcyMzgBCAAAAAUAAAABMQEAAAAKMTk3MjAxMjEyMQMAAAADMTYwAgAAAAQ0MDg1BAAAAAEwBwAAAAkzLzI5LzIwMjYIAAAACDYvMy8yMDE3CQAAAAEw/dcXekSN3gg1FGV+RI3eCCxDSVEuTkFTREFROkNBTE0uSVFfRUJJVERBX0lOVC45OTAuMjkvMDMvMjAyNgEAAAAgegUAAgAAAAoxMTkuMzQ0MTQxAQgAAAAFAAAAATEBAAAACjE4NTAyMjA4NDUDAAAAAzE2MAIAAAAENDE5MAQAAAABMAcAAAAJMy8yOS8yMDI2CAAAAAk1LzMwLzIwMTUJAAAAATD91xd6RI3eCGuacHxEjd4IQ0NJUS5OQVNEQVE6Q0FMTS5JUV9FQklUREFfRVhDTF9PUEVSX0xFQVNFU19DQVBFWF9JTlQuOTkwLjI5LzAzLzIwMjYBAAAAIHoFAAIAAAAJODMuNzc4NjQyAQgAAAAFAAAAATEBAAAACjE4NTAyMjA4NDUDAAAAAzE2MAIAAAAFNDkx</t>
  </si>
  <si>
    <t>NzQEAAAAATAHAAAACTMvMjkvMjAyNggAAAAJNS8zMC8yMDE1CQAAAAEwCv8XekSN3giUD3F8RI3eCC9DSVEuTkFTREFROkNBTE0uSVFfQ1VSUkVOVF9SQVRJTy45OTAuMjkvMDMvMjAyNgEAAAAgegUAAgAAAAg1LjAxMjE1MgEIAAAABQAAAAExAQAAAAoxODUwMjIwODQ1AwAAAAMxNjACAAAABDQwMzAEAAAAATAHAAAACTMvMjkvMjAyNggAAAAJNS8zMC8yMDE1CQAAAAEw/dcXekSN3ggBnm58RI3eCC1DSVEuTkFTREFROkNBTE0uSVFfQVNTRVRfVFVSTlMuOTkyLjI5LzAzLzIwMjYBAAAAIHoFAAIAAAAIMS4wMDE5NDIBCAAAAAUAAAABMQEAAAAKMTk3MjAxMjEyMQMAAAADMTYwAgAAAAQ0MTc3BAAAAAEwBwAAAAkzLzI5LzIwMjYIAAAACDYvMy8yMDE3CQAAAAEw/dcXekSN3gjBh2Z+RI3eCDNDSVEuTkFTREFROkNBTE0uSVFfRUJJVF81WVJfQU5OX0NBR1IuOTkxLjI5LzAzLzIwMjYBAAAAIHoFAAIAAAAHNDIuOTA3MwEIAAAABQAAAAExAQAAAAoxODk2ODIwNTE3AwAAAAMxNjACAAAABDQyMzYEAAAAATAHAAAACTMvMjkvMjAyNggAAAAJNS8yOC8yMDE2CQAAAAEwnbMUekSN3ggt6nR8RI3eCDdDSVEuTkFTREFROkNBTE0uSVFfRUJJVERBXzFZUl9BTk5fR1JPV1RILjk5MS4yOS8wMy8yMDI2AQAAACB6BQACAAAABjg2LjUzMQEIAAAABQAAAAExAQAAAAoxODk2ODIwNTE3AwAAAAMxNjACAAAABDQxOTYE</t>
  </si>
  <si>
    <t>AAAAATAHAAAACTMvMjkvMjAyNggAAAAJNS8yOC8yMDE2CQAAAAEwJn0UekSN3ggvAXN8RI3eCDVDSVEuTkFTREFROkNBTE0uSVFfRVBTXzFZUl9BTk5fR1JPV1RILjIwMDAuMjkvMDMvMjAyNgEAAAAgegUAAgAAAAc4NC42NDE1AQgAAAAFAAAAATEBAAAACy0xOTEwNjI3ODM4AwAAAAMxNjACAAAABDQyMDAEAAAAATAHAAAACTMvMjkvMjAyNggAAAAKMTEvMjkvMjAyNQkAAAABMJ2zFHpEjd4IS3ZzfESN3ggyQ0lRLk5BU0RBUTpDQUxNLklRX05FVF9ERUJUX0VCSVREQS4yMDAwLjI5LzAzLzIwMjYBAAAAIHoFAAMAAAACTk0BCAAAAAUAAAABMQEAAAALLTE5MTA2Mjc4MzgDAAAAAzE2MAIAAAAENDE5MwQAAAABMAcAAAAJMy8yOS8yMDI2CAAAAAoxMS8yOS8yMDI1CQAAAAEwJn0UekSN3ghTh3F8RI3eCENDSVEuTkFTREFROkNBTE0uSVFfRUJJVERBX0VYQ0xfT1BFUl9MRUFTRVNfQ0FQRVhfSU5ULjk5MS4yOS8wMy8yMDI2AQAAACB6BQACAAAACjM3OS41NjgzMzkBCAAAAAUAAAABMQEAAAAKMTg5NjgyMDUxNwMAAAADMTYwAgAAAAU0OTE3NAQAAAABMAcAAAAJMy8yOS8yMDI2CAAAAAk1LzI4LzIwMTYJAAAAATAK/xd6RI3eCJQPcXxEjd4IL0NJUS5OQVNEQVE6Q0FMTS5JUV9DVVJSRU5UX1JBVElPLjk5MS4yOS8wMy8yMDI2AQAAACB6BQACAAAACDcuNTA0Nzk5AQgAAAAFAAAAATEBAAAACjE4OTY4MjA1</t>
  </si>
  <si>
    <t>MTcDAAAAAzE2MAIAAAAENDAzMAQAAAABMAcAAAAJMy8yOS8yMDI2CAAAAAk1LzI4LzIwMTYJAAAAATD91xd6RI3eCAGebnxEjd4IMENJUS5OQVNEQVE6Q0FMTS5JUV9EQVlTX1NBTEVTX09VVC45OTEuMjkvMDMvMjAyNgEAAAAgegUAAgAAAAkxNS4zNTQyNDgBCAAAAAUAAAABMQEAAAAKMTg5NjgyMDUxNwMAAAADMTYwAgAAAAQ0MDQyBAAAAAEwBwAAAAkzLzI5LzIwMjYIAAAACTUvMjgvMjAxNgkAAAABMP3XF3pEjd4IMTpvfESN3ggyQ0lRLk5BU0RBUTpDQUxNLklRX0NBU0hfQ09OVkVSU0lPTi4yMDAwLjI5LzAzLzIwMjYBAAAAIHoFAAIAAAAJNTMuNDU5MjI0AQgAAAAFAAAAATEBAAAACy0xOTEwNjI3ODM4AwAAAAMxNjACAAAABDQxODQEAAAAATAHAAAACTMvMjkvMjAyNggAAAAKMTEvMjkvMjAyNQkAAAABMP3XF3pEjd4I9tJvfESN3gg3Q0lRLk5BU0RBUTpDQUxNLklRX1JFVFVSTl9DT01NT05fRVFVSVRZLjIwMDAuMjkvMDMvMjAyNgEAAAAgegUAAgAAAAc0OC42ODY4AQgAAAAFAAAAATEBAAAACy0xOTEwNjI3ODM4AwAAAAMxNjACAAAABTMzMzIwBAAAAAEwBwAAAAkzLzI5LzIwMjYIAAAACjExLzI5LzIwMjUJAAAAATD7sBd6RI3eCE8qbXxEjd4ILkNJUS5OQVNEQVE6Q0FMTS5JUV9FQklUX01BUkdJTi4yMDAwLjI5LzAzLzIwMjYBAAAAIHoFAAIAAAAHMzQuNTU5MgEIAAAABQAAAAExAQAAAAst</t>
  </si>
  <si>
    <t>MTkxMDYyNzgzOAMAAAADMTYwAgAAAAQ0MDUzBAAAAAEwBwAAAAkzLzI5LzIwMjYIAAAACjExLzI5LzIwMjUJAAAAATD91xd6RI3eCG3GbXxEjd4IL0NJUS5OQVNEQVE6Q0FMTS5JUV9SRVRVUk5fQVNTRVRTLjk5MS4yOS8wMy8yMDI2AQAAACB6BQACAAAABzI4LjgxMjMBCAAAAAUAAAABMQEAAAAKMTg5NjgyMDUxNwMAAAADMTYwAgAAAAQ0MTc4BAAAAAEwBwAAAAkzLzI5LzIwMjYIAAAACTUvMjgvMjAxNgkAAAABMPuwF3pEjd4I5rRsfESN3gg0Q0lRLk5BU0RBUTpDQUxNLklRX0FWR19URU1QX0VNUExPWUVFUy45OTEuMjkvMDMvMjAyNgEAAAAgegUAAwAAAAAA5mIXekSN3giftmt8RI3eCDNDSVEuTkFTREFROkNBTE0uSVFfRUJJVF8zWVJfQU5OX0NBR1IuOTkwLjI5LzAzLzIwMjYBAAAAIHoFAAIAAAAHMzkuMzA1OAEIAAAABQAAAAExAQAAAAoxODUwMjIwODQ1AwAAAAMxNjACAAAABDQyMjMEAAAAATAHAAAACTMvMjkvMjAyNggAAAAJNS8zMC8yMDE1CQAAAAEwnbMUekSN3gh+EnR8RI3eCDNDSVEuTkFTREFROkNBTE0uSVFfRUJJVF81WVJfQU5OX0NBR1IuOTkyLjI5LzAzLzIwMjYBAAAAIHoFAAMAAAACTk0BCAAAAAUAAAABMQEAAAAKMTk3MjAxMjEyMQMAAAADMTYwAgAAAAQ0MjM2BAAAAAEwBwAAAAkzLzI5LzIwMjYIAAAACDYvMy8yMDE3CQAAAAEwnbMUekSN3giBFGF+RI3eCDdDSVEuTkFTREFR</t>
  </si>
  <si>
    <t>OkNBTE0uSVFfRUJJVERBXzFZUl9BTk5fR1JPV1RILjk5Mi4yOS8wMy8yMDI2AQAAACB6BQADAAAAAk5NAQgAAAAFAAAAATEBAAAACjE5NzIwMTIxMjEDAAAAAzE2MAIAAAAENDE5NgQAAAABMAcAAAAJMy8yOS8yMDI2CAAAAAg2LzMvMjAxNwkAAAABMJ2zFHpEjd4IW7BifkSN3gg4Q0lRLk5BU0RBUTpDQUxNLklRX1RPVEFMX1JFVl8zWVJfQU5OX0NBR1IuOTkwLjI5LzAzLzIwMjYBAAAAIHoFAAIAAAAHMTIuMjkyNAEIAAAABQAAAAExAQAAAAoxODUwMjIwODQ1AwAAAAMxNjACAAAABDQyMjAEAAAAATAHAAAACTMvMjkvMjAyNggAAAAJNS8zMC8yMDE1CQAAAAEwnbMUekSN3ghLdnN8RI3eCEJDSVEuTkFTREFROkNBTE0uSVFfTkVUX0RFQlRfRUJJVERBX0VYQ0xfT1BFUl9MRUFTRVMuOTkwLjI5LzAzLzIwMjYBAAAAIHoFAAMAAAACTk0BCAAAAAUAAAABMQEAAAAKMTg1MDIyMDg0NQMAAAADMTYwAgAAAAU0OTE3NQQAAAABMAcAAAAJMy8yOS8yMDI2CAAAAAk1LzMwLzIwMTUJAAAAATAmfRR6RI3eCFOHcXxEjd4IQ0NJUS5OQVNEQVE6Q0FMTS5JUV9FQklUREFfRVhDTF9PUEVSX0xFQVNFU19DQVBFWF9JTlQuOTkyLjI5LzAzLzIwMjYBAAAAIHoFAAMAAAACTk0BCAAAAAUAAAABMQEAAAAKMTk3MjAxMjEyMQMAAAADMTYwAgAAAAU0OTE3NAQAAAABMAcAAAAJMy8yOS8yMDI2CAAAAAg2LzMvMjAxNwkAAAAB</t>
  </si>
  <si>
    <t>MAr/F3pEjd4IaClkfkSN3ggwQ0lRLk5BU0RBUTpDQUxNLklRX0RBWVNfU0FMRVNfT1VULjk5Mi4yOS8wMy8yMDI2AQAAACB6BQACAAAACTIxLjI4MTMwMgEIAAAABQAAAAExAQAAAAoxOTcyMDEyMTIxAwAAAAMxNjACAAAABDQwNDIEAAAAATAHAAAACTMvMjkvMjAyNggAAAAINi8zLzIwMTcJAAAAATD91xd6RI3eCGiwZX5Ejd4IM0NJUS5OQVNEQVE6Q0FMTS5JUV9UT1RBTF9ERUJUX0VRVUlUWS45OTAuMjkvMDMvMjAyNgEAAAAgegUAAgAAAAY3LjIxODYBCAAAAAUAAAABMQEAAAAKMTg1MDIyMDg0NQMAAAADMTYwAgAAAAQ0MDM0BAAAAAEwBwAAAAkzLzI5LzIwMjYIAAAACTUvMzAvMjAxNQkAAAABMP3XF3pEjd4I9tJvfESN3gg2Q0lRLk5BU0RBUTpDQUxNLklRX1JFVFVSTl9DT01NT05fRVFVSVRZLjk5Mi4yOS8wMy8yMDI2AQAAACB6BQACAAAABy04LjQ1MDQBCAAAAAUAAAABMQEAAAAKMTk3MjAxMjEyMQMAAAADMTYwAgAAAAUzMzMyMAQAAAABMAcAAAAJMy8yOS8yMDI2CAAAAAg2LzMvMjAxNwkAAAABMPuwF3pEjd4IvTdnfkSN3ggrQ0lRLk5BU0RBUTpDQUxNLklRX05JX01BUkdJTi45OTAuMjkvMDMvMjAyNgEAAAAgegUAAgAAAAYxMC4yMzEBCAAAAAUAAAABMQEAAAAKMTg1MDIyMDg0NQMAAAADMTYwAgAAAAQ0MDk0BAAAAAEwBwAAAAkzLzI5LzIwMjYIAAAACTUvMzAvMjAxNQkAAAABMP3XF3pE</t>
  </si>
  <si>
    <t>jd4IbcZtfESN3ggvQ0lRLk5BU0RBUTpDQUxNLklRX1JFVFVSTl9BU1NFVFMuOTkyLjI5LzAzLzIwMjYBAAAAIHoFAAIAAAAHLTcuNjA0MwEIAAAABQAAAAExAQAAAAoxOTcyMDEyMTIxAwAAAAMxNjACAAAABDQxNzgEAAAAATAHAAAACTMvMjkvMjAyNggAAAAINi8zLzIwMTcJAAAAATD7sBd6RI3eCAWuZ35Ejd4IM0NJUS5OQVNEQVE6Q0FMTS5JUV9FQklUXzNZUl9BTk5fQ0FHUi45OTEuMjkvMDMvMjAyNgEAAAAgegUAAgAAAAY3NS45NDkBCAAAAAUAAAABMQEAAAAKMTg5NjgyMDUxNwMAAAADMTYwAgAAAAQ0MjIzBAAAAAEwBwAAAAkzLzI5LzIwMjYIAAAACTUvMjgvMjAxNgkAAAABMJ2zFHpEjd4IZ+tzfESN3gg5Q0lRLk5BU0RBUTpDQUxNLklRX1RPVEFMX1JFVl81WVJfQU5OX0NBR1IuMjAwMC4yOS8wMy8yMDI2AQAAACB6BQACAAAABzIzLjk2OTEBCAAAAAUAAAABMQEAAAALLTE5MTA2Mjc4MzgDAAAAAzE2MAIAAAAENDIzMwQAAAABMAcAAAAJMy8yOS8yMDI2CAAAAAoxMS8yOS8yMDI1CQAAAAEwnbMUekSN3gjLm3R8RI3eCCpDSVEuTkFTREFROkNBTE0uSVFfWl9TQ09SRS4yMDAwLjI5LzAzLzIwMjYBAAAAIHoFAAIAAAAJMTEuMTc0ODg3AQgAAAAFAAAAATEBAAAACy0xOTEwNjI3ODM4AwAAAAMxNjACAAAABjEwMDEyMwQAAAABMAcAAAAJMy8yOS8yMDI2CAAAAAoxMS8yOS8yMDI1CQAAAAEwJn0U</t>
  </si>
  <si>
    <t>ekSN3giisnJ8RI3eCEJDSVEuTkFTREFROkNBTE0uSVFfTkVUX0RFQlRfRUJJVERBX0VYQ0xfT1BFUl9MRUFTRVMuOTkxLjI5LzAzLzIwMjYBAAAAIHoFAAMAAAACTk0BCAAAAAUAAAABMQEAAAAKMTg5NjgyMDUxNwMAAAADMTYwAgAAAAU0OTE3NQQAAAABMAcAAAAJMy8yOS8yMDI2CAAAAAk1LzI4LzIwMTYJAAAAATAmfRR6RI3eCFOHcXxEjd4IN0NJUS5OQVNEQVE6Q0FMTS5JUV9ORVRfREVCVF9FQklUREFfQ0FQRVguOTkxLjI5LzAzLzIwMjYBAAAAIHoFAAMAAAACTk0BCAAAAAUAAAABMQEAAAAKMTg5NjgyMDUxNwMAAAADMTYwAgAAAAUyMzMxNAQAAAABMAcAAAAJMy8yOS8yMDI2CAAAAAk1LzI4LzIwMTYJAAAAATAmfRR6RI3eCG38cXxEjd4IMkNJUS5OQVNEQVE6Q0FMTS5JUV9MVF9ERUJUX0NBUElUQUwuMjAwMC4yOS8wMy8yMDI2AQAAACB6BQADAAAAAAD91xd6RI3eCG5McHxEjd4ILUNJUS5OQVNEQVE6Q0FMTS5JUV9FQklUREFfSU5ULjIwMDAuMjkvMDMvMjAyNgEAAAAgegUAAgAAAAsyMzk1LjI2MTg2OAEIAAAABQAAAAExAQAAAAstMTkxMDYyNzgzOAMAAAADMTYwAgAAAAQ0MTkwBAAAAAEwBwAAAAkzLzI5LzIwMjYIAAAACjExLzI5LzIwMjUJAAAAATD91xd6RI3eCHzBcHxEjd4IM0NJUS5OQVNEQVE6Q0FMTS5JUV9UT1RBTF9ERUJUX0VRVUlUWS45OTEuMjkvMDMvMjAyNgEAAAAgegUAAgAA</t>
  </si>
  <si>
    <t>AAYyLjc4NzMBCAAAAAUAAAABMQEAAAAKMTg5NjgyMDUxNwMAAAADMTYwAgAAAAQ0MDM0BAAAAAEwBwAAAAkzLzI5LzIwMjYIAAAACTUvMjgvMjAxNgkAAAABMP3XF3pEjd4I9tJvfESN3ggrQ0lRLk5BU0RBUTpDQUxNLklRX05JX01BUkdJTi45OTEuMjkvMDMvMjAyNgEAAAAgegUAAgAAAAcxNi41NTgzAQgAAAAFAAAAATEBAAAACjE4OTY4MjA1MTcDAAAAAzE2MAIAAAAENDA5NAQAAAABMAcAAAAJMy8yOS8yMDI2CAAAAAk1LzI4LzIwMTYJAAAAATD91xd6RI3eCG3GbXxEjd4INENJUS5OQVNEQVE6Q0FMTS5JUV9GSVhFRF9BU1NFVF9UVVJOUy4yMDAwLjI5LzAzLzIwMjYBAAAAIHoFAAIAAAAIMy44NDA0MjcBCAAAAAUAAAABMQEAAAALLTE5MTA2Mjc4MzgDAAAAAzE2MAIAAAAENDA2NgQAAAABMAcAAAAJMy8yOS8yMDI2CAAAAAoxMS8yOS8yMDI1CQAAAAEw/dcXekSN3gizT258RI3eCC9DSVEuTkFTREFROkNBTE0uSVFfQ0FMQ19UWVBFX0JTLjIwMDAuMjkvMDMvMjAyNgEAAAAgegUAAwAAAANSRVAA+7AXekSN3gj+oGx8RI3eCDJDSVEuTkFTREFROkNBTE0uSVFfVE9UQUxfRU1QTE9ZRUVTLjIwMDAuMjkvMDMvMjAyNgEAAAAgegUAAwAAAAAA5mIXekSN3gicaGt8RI3eCD9DSVEuTkFTREFROkNBTE0uSVFfVE9UQUxfT1VUU1RBTkRJTkdfRklMSU5HX0RBVEUuOTkxLjI5LzAzLzIwMjYBAAAAIHoFAAIA</t>
  </si>
  <si>
    <t>AAAJNDguNTM0OTU1AQQAAAAFAAAAATUBAAAACjE4OTY4MjA1MTcCAAAABTI0MTUzBgAAAAEwugctekSN3gg1fGp8RI3eCDNDSVEuTkFTREFROkNBTE0uSVFfRUJJVF8zWVJfQU5OX0NBR1IuOTkyLjI5LzAzLzIwMjYBAAAAIHoFAAMAAAACTk0BCAAAAAUAAAABMQEAAAAKMTk3MjAxMjEyMQMAAAADMTYwAgAAAAQ0MjIzBAAAAAEwBwAAAAkzLzI5LzIwMjYIAAAACDYvMy8yMDE3CQAAAAEwnbMUekSN3gge2GF+RI3eCDFDSVEuTkFTREFROkNBTE0uSVFfR1BfNVlSX0FOTl9DQUdSLjk5MC4yOS8wMy8yMDI2AQAAACB6BQACAAAABjE1LjI0NwEIAAAABQAAAAExAQAAAAoxODUwMjIwODQ1AwAAAAMxNjACAAAABDQyMzQEAAAAATAHAAAACTMvMjkvMjAyNggAAAAJNS8zMC8yMDE1CQAAAAEwnbMUekSN3gjLm3R8RI3eCDpDSVEuTkFTREFROkNBTE0uSVFfVE9UQUxfUkVWXzFZUl9BTk5fR1JPV1RILjk5MC4yOS8wMy8yMDI2AQAAACB6BQACAAAABjkuMzg0NAEIAAAABQAAAAExAQAAAAoxODUwMjIwODQ1AwAAAAMxNjACAAAABDQxOTQEAAAAATAHAAAACTMvMjkvMjAyNggAAAAJNS8zMC8yMDE1CQAAAAEwJn0UekSN3giisnJ8RI3eCDdDSVEuTkFTREFROkNBTE0uSVFfTkVUX0RFQlRfRUJJVERBX0NBUEVYLjk5Mi4yOS8wMy8yMDI2AQAAACB6BQADAAAAAk5NAQgAAAAFAAAAATEBAAAACjE5NzIwMTIxMjEDAAAA</t>
  </si>
  <si>
    <t>AzE2MAIAAAAFMjMzMTQEAAAAATAHAAAACTMvMjkvMjAyNggAAAAINi8zLzIwMTcJAAAAATAmfRR6RI3eCGErY35Ejd4IMUNJUS5OQVNEQVE6Q0FMTS5JUV9MVF9ERUJUX0NBUElUQUwuOTkyLjI5LzAzLzIwMjYBAAAAIHoFAAIAAAAGMC43MTQ2AQgAAAAFAAAAATEBAAAACjE5NzIwMTIxMjEDAAAAAzE2MAIAAAAENDE4NwQAAAABMAcAAAAJMy8yOS8yMDI2CAAAAAg2LzMvMjAxNwkAAAABMP3XF3pEjd4IGsZkfkSN3gg9Q0lRLk5BU0RBUTpDQUxNLklRX0VCSVREQV9FWENMX09QRVJfTEVBU0VTX0lOVC45OTAuMjkvMDMvMjAyNgEAAAAgegUAAgAAAAoxMTkuMzQ0MTQxAQgAAAAFAAAAATEBAAAACjE4NTAyMjA4NDUDAAAAAzE2MAIAAAAFNDkxNzMEAAAAATAHAAAACTMvMjkvMjAyNggAAAAJNS8zMC8yMDE1CQAAAAEw/dcXekSN3gh8wXB8RI3eCC1DSVEuTkFTREFROkNBTE0uSVFfUVVJQ0tfUkFUSU8uOTkwLjI5LzAzLzIwMjYBAAAAIHoFAAIAAAAIMy41NTExNDkBCAAAAAUAAAABMQEAAAAKMTg1MDIyMDg0NQMAAAADMTYwAgAAAAQ0MTIxBAAAAAEwBwAAAAkzLzI5LzIwMjYIAAAACTUvMzAvMjAxNQkAAAABMP3XF3pEjd4IAOxufESN3ggzQ0lRLk5BU0RBUTpDQUxNLklRX1RPVEFMX0RFQlRfRVFVSVRZLjk5Mi4yOS8wMy8yMDI2AQAAACB6BQACAAAABjEuMjk1MwEIAAAABQAAAAExAQAAAAoxOTcyMDEy</t>
  </si>
  <si>
    <t>MTIxAwAAAAMxNjACAAAABDQwMzQEAAAAATAHAAAACTMvMjkvMjAyNggAAAAINi8zLzIwMTcJAAAAATD91xd6RI3eCEM7ZX5Ejd4IK0NJUS5OQVNEQVE6Q0FMTS5JUV9OSV9NQVJHSU4uOTkyLjI5LzAzLzIwMjYBAAAAIHoFAAIAAAAHLTYuOTEyNwEIAAAABQAAAAExAQAAAAoxOTcyMDEyMTIxAwAAAAMxNjACAAAABDQwOTQEAAAAATAHAAAACTMvMjkvMjAyNggAAAAINi8zLzIwMTcJAAAAATD91xd6RI3eCH3WZn5Ejd4IKkNJUS5OQVNEQVE6Q0FMTS5JUV9BUl9UVVJOUy45OTAuMjkvMDMvMjAyNgEAAAAgegUAAgAAAAkxNy4zMjA5NDQBCAAAAAUAAAABMQEAAAAKMTg1MDIyMDg0NQMAAAADMTYwAgAAAAQ0MDAxBAAAAAEwBwAAAAkzLzI5LzIwMjYIAAAACTUvMzAvMjAxNQkAAAABMP3XF3pEjd4Is09ufESN3ggpQ0lRLk5BU0RBUTpDQUxNLklRX0dBQVBfQlMuOTkwLjI5LzAzLzIwMjYBAAAAIHoFAAMAAAAHVVMgR0FBUAD7sBd6RI3eCP6gbHxEjd4IMUNJUS5OQVNEQVE6Q0FMTS5JUV9OSV81WVJfQU5OX0NBR1IuOTkxLjI5LzAzLzIwMjYBAAAAIHoFAAIAAAAHMzkuMDMxMgEIAAAABQAAAAExAQAAAAoxODk2ODIwNTE3AwAAAAMxNjACAAAABDQyMzgEAAAAATAHAAAACTMvMjkvMjAyNggAAAAJNS8yOC8yMDE2CQAAAAEwnbMUekSN3gj1EHV8RI3eCDNDSVEuTkFTREFROkNBTE0uSVFfTlVNQkVSX0FEUkhP</t>
  </si>
  <si>
    <t>TERFUlMuOTkwLjI5LzAzLzIwMjYBAAAAIHoFAAMAAAAAAOZiF3pEjd4Ipd1rfESN3gg5Q0lRLk5BU0RBUTpDQUxNLklRX1RPVEFMX1JFVl8zWVJfQU5OX0NBR1IuMjAwMC4yOS8wMy8yMDI2AQAAACB6BQACAAAABzE4LjUyNTIBCAAAAAUAAAABMQEAAAALLTE5MTA2Mjc4MzgDAAAAAzE2MAIAAAAENDIyMAQAAAABMAcAAAAJMy8yOS8yMDI2CAAAAAoxMS8yOS8yMDI1CQAAAAEwnbMUekSN3ghOnXN8RI3eCDFDSVEuTkFTREFROkNBTE0uSVFfR1BfNVlSX0FOTl9DQUdSLjk5MS4yOS8wMy8yMDI2AQAAACB6BQACAAAABzI5LjE1MTQBCAAAAAUAAAABMQEAAAAKMTg5NjgyMDUxNwMAAAADMTYwAgAAAAQ0MjM0BAAAAAEwBwAAAAkzLzI5LzIwMjYIAAAACTUvMjgvMjAxNgkAAAABMJ2zFHpEjd4Iy5t0fESN3gg6Q0lRLk5BU0RBUTpDQUxNLklRX1RPVEFMX1JFVl8xWVJfQU5OX0dST1dUSC45OTEuMjkvMDMvMjAyNgEAAAAgegUAAgAAAAcyMS4wOTczAQgAAAAFAAAAATEBAAAACjE4OTY4MjA1MTcDAAAAAzE2MAIAAAAENDE5NAQAAAABMAcAAAAJMy8yOS8yMDI2CAAAAAk1LzI4LzIwMTYJAAAAATAmfRR6RI3eCKKycnxEjd4INkNJUS5OQVNEQVE6Q0FMTS5JUV9FQklUXzFZUl9BTk5fR1JPV1RILjIwMDAuMjkvMDMvMjAyNgEAAAAgegUAAgAAAAc5NC4wNTM2AQgAAAAFAAAAATEBAAAACy0xOTEwNjI3ODM4AwAA</t>
  </si>
  <si>
    <t>AAMxNjACAAAABDQxOTcEAAAAATAHAAAACTMvMjkvMjAyNggAAAAKMTEvMjkvMjAyNQkAAAABMJ2zFHpEjd4ILihzfESN3gg0Q0lRLk5BU0RBUTpDQUxNLklRX1RPVEFMX0RFQlRfRUJJVERBLjIwMDAuMjkvMDMvMjAyNgEAAAAgegUAAwAAAAAAJn0UekSN3gicNnF8RI3eCD1DSVEuTkFTREFROkNBTE0uSVFfRUJJVERBX0VYQ0xfT1BFUl9MRUFTRVNfSU5ULjk5MS4yOS8wMy8yMDI2AQAAACB6BQACAAAACjQ0NS40MjA0MTUBCAAAAAUAAAABMQEAAAAKMTg5NjgyMDUxNwMAAAADMTYwAgAAAAU0OTE3MwQAAAABMAcAAAAJMy8yOS8yMDI2CAAAAAk1LzI4LzIwMTYJAAAAATD91xd6RI3eCHzBcHxEjd4ILUNJUS5OQVNEQVE6Q0FMTS5JUV9RVUlDS19SQVRJTy45OTEuMjkvMDMvMjAyNgEAAAAgegUAAgAAAAg1LjYxNzk0MwEIAAAABQAAAAExAQAAAAoxODk2ODIwNTE3AwAAAAMxNjACAAAABDQxMjEEAAAAATAHAAAACTMvMjkvMjAyNggAAAAJNS8yOC8yMDE2CQAAAAEw/dcXekSN3ggA7G58RI3eCDVDSVEuTkFTREFROkNBTE0uSVFfREFZU19JTlZFTlRPUllfT1VULjIwMDAuMjkvMDMvMjAyNgEAAAAgegUAAgAAAAk0Ny41OTUxODQBCAAAAAUAAAABMQEAAAALLTE5MTA2Mjc4MzgDAAAAAzE2MAIAAAAENDAzNQQAAAABMAcAAAAJMy8yOS8yMDI2CAAAAAoxMS8yOS8yMDI1CQAAAAEw/dcXekSN3ghJiG98RI3e</t>
  </si>
  <si>
    <t>CDFDSVEuTkFTREFROkNBTE0uSVFfTklfNVlSX0FOTl9DQUdSLjk5Mi4yOS8wMy8yMDI2AQAAACB6BQADAAAAAk5NAQgAAAAFAAAAATEBAAAACjE5NzIwMTIxMjEDAAAAAzE2MAIAAAAENDIzOAQAAAABMAcAAAAJMy8yOS8yMDI2CAAAAAg2LzMvMjAxNwkAAAABMJ2zFHpEjd4IadFgfkSN3gg6Q0lRLk5BU0RBUTpDQUxNLklRX1RPVEFMX1JFVl8xWVJfQU5OX0dST1dUSC45OTIuMjkvMDMvMjAyNgEAAAAgegUAAgAAAActNDMuNzAzAQgAAAAFAAAAATEBAAAACjE5NzIwMTIxMjEDAAAAAzE2MAIAAAAENDE5NAQAAAABMAcAAAAJMy8yOS8yMDI2CAAAAAg2LzMvMjAxNwkAAAABMCZ9FHpEjd4I7gNjfkSN3gg1Q0lRLk5BU0RBUTpDQUxNLklRX0VCSVRfMVlSX0FOTl9HUk9XVEguOTkyLjI5LzAzLzIwMjYBAAAAIHoFAAMAAAACTk0BCAAAAAUAAAABMQEAAAAKMTk3MjAxMjEyMQMAAAADMTYwAgAAAAQ0MTk3BAAAAAEwBwAAAAkzLzI5LzIwMjYIAAAACDYvMy8yMDE3CQAAAAEwnbMUekSN3gizdWJ+RI3eCDFDSVEuTkFTREFROkNBTE0uSVFfR1BfM1lSX0FOTl9DQUdSLjk5MC4yOS8wMy8yMDI2AQAAACB6BQACAAAABzI1LjUwMzIBCAAAAAUAAAABMQEAAAAKMTg1MDIyMDg0NQMAAAADMTYwAgAAAAQ0MjIxBAAAAAEwBwAAAAkzLzI5LzIwMjYIAAAACTUvMzAvMjAxNQkAAAABMJ2zFHpEjd4ITp1zfESN3ghEQ0lR</t>
  </si>
  <si>
    <t>Lk5BU0RBUTpDQUxNLklRX1RPVEFMX0RFQlRfRUJJVERBX0VYQ0xfT1BFUl9MRUFTRVMuOTkwLjI5LzAzLzIwMjYBAAAAIHoFAAIAAAAIMC4xODQyNDYBCAAAAAUAAAABMQEAAAAKMTg1MDIyMDg0NQMAAAADMTYwAgAAAAU0ODk5NAQAAAABMAcAAAAJMy8yOS8yMDI2CAAAAAk1LzMwLzIwMTUJAAAAATAmfRR6RI3eCJw2cXxEjd4IOUNJUS5OQVNEQVE6Q0FMTS5JUV9UT1RBTF9ERUJUX0VCSVREQV9DQVBFWC45OTAuMjkvMDMvMjAyNgEAAAAgegUAAgAAAAgwLjI2MjQ2MgEIAAAABQAAAAExAQAAAAoxODUwMjIwODQ1AwAAAAMxNjACAAAABTIzMzEzBAAAAAEwBwAAAAkzLzI5LzIwMjYIAAAACTUvMzAvMjAxNQkAAAABMCZ9FHpEjd4IPK5xfESN3gg9Q0lRLk5BU0RBUTpDQUxNLklRX0VCSVREQV9FWENMX09QRVJfTEVBU0VTX0lOVC45OTIuMjkvMDMvMjAyNgEAAAAgegUAAwAAAAJOTQEIAAAABQAAAAExAQAAAAoxOTcyMDEyMTIxAwAAAAMxNjACAAAABTQ5MTczBAAAAAEwBwAAAAkzLzI5LzIwMjYIAAAACDYvMy8yMDE3CQAAAAEw/dcXekSN3gjPd2R+RI3eCC1DSVEuTkFTREFROkNBTE0uSVFfUVVJQ0tfUkFUSU8uOTkyLjI5LzAzLzIwMjYBAAAAIHoFAAIAAAAINC4yMjQzMzgBCAAAAAUAAAABMQEAAAAKMTk3MjAxMjEyMQMAAAADMTYwAgAAAAQ0MTIxBAAAAAEwBwAAAAkzLzI5LzIwMjYIAAAACDYvMy8y</t>
  </si>
  <si>
    <t>MDE3CQAAAAEw/dcXekSN3ghY62V+RI3eCDJDSVEuTkFTREFROkNBTE0uSVFfREFZU19QQVlBQkxFX09VVC45OTAuMjkvMDMvMjAyNgEAAAAgegUAAgAAAAkxMi45MDA4ODgBCAAAAAUAAAABMQEAAAAKMTg1MDIyMDg0NQMAAAADMTYwAgAAAAQ0MTgzBAAAAAEwBwAAAAkzLzI5LzIwMjYIAAAACTUvMzAvMjAxNQkAAAABMP3XF3pEjd4IKWFvfESN3ggvQ0lRLk5BU0RBUTpDQUxNLklRX0VCSVREQV9NQVJHSU4uOTkwLjI5LzAzLzIwMjYBAAAAIHoFAAIAAAAHMTcuNTEzOQEIAAAABQAAAAExAQAAAAoxODUwMjIwODQ1AwAAAAMxNjACAAAABDQwNDcEAAAAATAHAAAACTMvMjkvMjAyNggAAAAJNS8zMC8yMDE1CQAAAAEw/dcXekSN3gg2eG18RI3eCDBDSVEuTkFTREFROkNBTE0uSVFfUkVUVVJOX0NBUElUQUwuOTkyLjI5LzAzLzIwMjYBAAAAIHoFAAIAAAAHLTkuMDY5NAEIAAAABQAAAAExAQAAAAoxOTcyMDEyMTIxAwAAAAMxNjACAAAABDQzNjMEAAAAATAHAAAACTMvMjkvMjAyNggAAAAINi8zLzIwMTcJAAAAATD7sBd6RI3eCJyGZ35Ejd4IMkNJUS5OQVNEQVE6Q0FMTS5JUV9OSV8zWVJfQU5OX0NBR1IuMjAwMC4yOS8wMy8yMDI2AQAAACB6BQACAAAABzM0LjU1MTIBCAAAAAUAAAABMQEAAAALLTE5MTA2Mjc4MzgDAAAAAzE2MAIAAAAENDIyNQQAAAABMAcAAAAJMy8yOS8yMDI2CAAAAAoxMS8yOS8yMDI1</t>
  </si>
  <si>
    <t>CQAAAAEwnbMUekSN3gioOXR8RI3eCDFDSVEuTkFTREFROkNBTE0uSVFfR1BfM1lSX0FOTl9DQUdSLjk5MS4yOS8wMy8yMDI2AQAAACB6BQACAAAABzQ0LjU1NDgBCAAAAAUAAAABMQEAAAAKMTg5NjgyMDUxNwMAAAADMTYwAgAAAAQ0MjIxBAAAAAEwBwAAAAkzLzI5LzIwMjYIAAAACTUvMjgvMjAxNgkAAAABMJ2zFHpEjd4ITp1zfESN3gg5Q0lRLk5BU0RBUTpDQUxNLklRX1RPVEFMX0RFQlRfRUJJVERBX0NBUEVYLjk5MS4yOS8wMy8yMDI2AQAAACB6BQACAAAACDAuMDU4Mjc1AQgAAAAFAAAAATEBAAAACjE4OTY4MjA1MTcDAAAAAzE2MAIAAAAFMjMzMTMEAAAAATAHAAAACTMvMjkvMjAyNggAAAAJNS8yOC8yMDE2CQAAAAEwJn0UekSN3gg8rnF8RI3eCElDSVEuTkFTREFROkNBTE0uSVFfTkVUX0RFQlRfRUJJVERBX0VYQ0xfT1BFUl9MRUFTRVNfQ0FQRVguMjAwMC4yOS8wMy8yMDI2AQAAACB6BQADAAAAAk5NAQgAAAAFAAAAATEBAAAACy0xOTEwNjI3ODM4AwAAAAMxNjACAAAABTQ5MTgyBAAAAAEwBwAAAAkzLzI5LzIwMjYIAAAACjExLzI5LzIwMjUJAAAAATAmfRR6RI3eCC1ycnxEjd4INENJUS5OQVNEQVE6Q0FMTS5JUV9UT1RBTF9ERUJUX0NBUElUQUwuOTkxLjI5LzAzLzIwMjYBAAAAIHoFAAIAAAAGMi43MTE3AQgAAAAFAAAAATEBAAAACjE4OTY4MjA1MTcDAAAAAzE2MAIAAAAENDE4NgQAAAAB</t>
  </si>
  <si>
    <t>MAcAAAAJMy8yOS8yMDI2CAAAAAk1LzI4LzIwMTYJAAAAATD91xd6RI3eCD3qb3xEjd4IOkNJUS5OQVNEQVE6Q0FMTS5JUV9UT1RBTF9MSUFCX1RPVEFMX0FTU0VUUy4yMDAwLjI5LzAzLzIwMjYBAAAAIHoFAAIAAAAHMTQuMTk0OQEIAAAABQAAAAExAQAAAAstMTkxMDYyNzgzOAMAAAADMTYwAgAAAAQ0MTg4BAAAAAEwBwAAAAkzLzI5LzIwMjYIAAAACjExLzI5LzIwMjUJAAAAATD91xd6RI3eCGpzcHxEjd4IK0NJUS5OQVNEQVE6Q0FMTS5JUV9BUl9UVVJOUy4yMDAwLjI5LzAzLzIwMjYBAAAAIHoFAAIAAAAJMTUuNTI4NTkyAQgAAAAFAAAAATEBAAAACy0xOTEwNjI3ODM4AwAAAAMxNjACAAAABDQwMDEEAAAAATAHAAAACTMvMjkvMjAyNggAAAAKMTEvMjkvMjAyNQkAAAABMP3XF3pEjd4IAZ5ufESN3ggyQ0lRLk5BU0RBUTpDQUxNLklRX0RBWVNfUEFZQUJMRV9PVVQuOTkxLjI5LzAzLzIwMjYBAAAAIHoFAAIAAAAHMTEuNjExNgEIAAAABQAAAAExAQAAAAoxODk2ODIwNTE3AwAAAAMxNjACAAAABDQxODMEAAAAATAHAAAACTMvMjkvMjAyNggAAAAJNS8yOC8yMDE2CQAAAAEw/dcXekSN3ggpYW98RI3eCC9DSVEuTkFTREFROkNBTE0uSVFfRUJJVERBX01BUkdJTi45OTEuMjkvMDMvMjAyNgEAAAAgegUAAgAAAAcyNi45Nzc0AQgAAAAFAAAAATEBAAAACjE4OTY4MjA1MTcDAAAAAzE2MAIAAAAENDA0NwQA</t>
  </si>
  <si>
    <t>AAABMAcAAAAJMy8yOS8yMDI2CAAAAAk1LzI4LzIwMTYJAAAAATD91xd6RI3eCB9RbXxEjd4IMENJUS5OQVNEQVE6Q0FMTS5JUV9DQVBFWF9QQ1RfUkVWLjIwMDAuMjkvMDMvMjAyNgEAAAAgegUAAgAAAAY0LjQ1NzEBCAAAAAUAAAABMQEAAAALLTE5MTA2Mjc4MzgDAAAAAzE2MAIAAAAFMzUzODAEAAAAATAHAAAACTMvMjkvMjAyNggAAAAKMTEvMjkvMjAyNQkAAAABMP3XF3pEjd4Ide1tfESN3ggyQ0lRLk5BU0RBUTpDQUxNLklRX0ZJTElOR19DVVJSRU5DWS4yMDAwLjI5LzAzLzIwMjYBAAAAIHoFAAMAAAADVVNEAIpZlnpEjd4IvitsfESN3ghCQ0lRLk5BU0RBUTpDQUxNLklRX0VNUExPWUVFU19VTkRFUl9VTklPTl9DT05UUkFDVFMuMjAwMC4yOS8wMy8yMDI2AQAAACB6BQADAAAAAADmYhd6RI3eCJ6Pa3xEjd4ILENJUS5OQVNEQVE6Q0FMTS5JUV9GVUxMX1RJTUUuMjAwMC4yOS8wMy8yMDI2AQAAACB6BQADAAAAAADmYhd6RI3eCE4Fa3xEjd4IMkNJUS5OQVNEQVE6Q0FMTS5JUV9FUFNfM1lSX0FOTl9DQUdSLjk5MC4yOS8wMy8yMDI2AQAAACB6BQACAAAABjIxLjEwMQEIAAAABQAAAAExAQAAAAoxODUwMjIwODQ1AwAAAAMxNjACAAAABDQyMjYEAAAAATAHAAAACTMvMjkvMjAyNggAAAAJNS8zMC8yMDE1CQAAAAEwnbMUekSN3gioOXR8RI3eCDVDSVEuTkFTREFROkNBTE0uSVFfRUJJVERBXzVZUl9B</t>
  </si>
  <si>
    <t>Tk5fQ0FHUi45OTAuMjkvMDMvMjAyNgEAAAAgegUAAgAAAAcxNS40ODQyAQgAAAAFAAAAATEBAAAACjE4NTAyMjA4NDUDAAAAAzE2MAIAAAAENDIzNQQAAAABMAcAAAAJMy8yOS8yMDI2CAAAAAk1LzMwLzIwMTUJAAAAATCdsxR6RI3eCNPCdHxEjd4IMUNJUS5OQVNEQVE6Q0FMTS5JUV9HUF8zWVJfQU5OX0NBR1IuOTkyLjI5LzAzLzIwMjYBAAAAIHoFAAIAAAAILTQ2LjgxNDMBCAAAAAUAAAABMQEAAAAKMTk3MjAxMjEyMQMAAAADMTYwAgAAAAQ0MjIxBAAAAAEwBwAAAAkzLzI5LzIwMjYIAAAACDYvMy8yMDE3CQAAAAEwnbMUekSN3ggZJ2J+RI3eCDlDSVEuTkFTREFROkNBTE0uSVFfVE9UQUxfREVCVF9FQklUREFfQ0FQRVguOTkyLjI5LzAzLzIwMjYBAAAAIHoFAAMAAAACTk0BCAAAAAUAAAABMQEAAAAKMTk3MjAxMjEyMQMAAAADMTYwAgAAAAUyMzMxMwQAAAABMAcAAAAJMy8yOS8yMDI2CAAAAAg2LzMvMjAxNwkAAAABMCZ9FHpEjd4IcnljfkSN3gg0Q0lRLk5BU0RBUTpDQUxNLklRX1RPVEFMX0RFQlRfQ0FQSVRBTC45OTIuMjkvMDMvMjAyNgEAAAAgegUAAgAAAAYxLjI3ODcBCAAAAAUAAAABMQEAAAAKMTk3MjAxMjEyMQMAAAADMTYwAgAAAAQ0MTg2BAAAAAEwBwAAAAkzLzI5LzIwMjYIAAAACDYvMy8yMDE3CQAAAAEw/dcXekSN3gg1FGV+RI3eCCpDSVEuTkFTREFROkNBTE0uSVFfRUJJVF9JTlQu</t>
  </si>
  <si>
    <t>OTkwLjI5LzAzLzIwMjYBAAAAIHoFAAIAAAAKMTAxLjc0NDQ4NwEIAAAABQAAAAExAQAAAAoxODUwMjIwODQ1AwAAAAMxNjACAAAABDQxODkEAAAAATAHAAAACTMvMjkvMjAyNggAAAAJNS8zMC8yMDE1CQAAAAEw/dcXekSN3ghqc3B8RI3eCDFDSVEuTkFTREFROkNBTE0uSVFfSU5WRU5UT1JZX1RVUk5TLjk5MC4yOS8wMy8yMDI2AQAAACB6BQACAAAACDguMDc0NTU0AQgAAAAFAAAAATEBAAAACjE4NTAyMjA4NDUDAAAAAzE2MAIAAAAENDA4MgQAAAABMAcAAAAJMy8yOS8yMDI2CAAAAAk1LzMwLzIwMTUJAAAAATD91xd6RI3eCAGebnxEjd4IL0NJUS5OQVNEQVE6Q0FMTS5JUV9FQklUREFfTUFSR0lOLjk5Mi4yOS8wMy8yMDI2AQAAACB6BQACAAAABy03LjU3MjYBCAAAAAUAAAABMQEAAAAKMTk3MjAxMjEyMQMAAAADMTYwAgAAAAQ0MDQ3BAAAAAEwBwAAAAkzLzI5LzIwMjYIAAAACDYvMy8yMDE3CQAAAAEw/dcXekSN3gjH/GZ+RI3eCC9DSVEuTkFTREFROkNBTE0uSVFfQ0FQRVhfUENUX1JFVi45OTIuMjkvMDMvMjAyNgEAAAAgegUAAgAAAAY2LjIwMzQBCAAAAAUAAAABMQEAAAAKMTk3MjAxMjEyMQMAAAADMTYwAgAAAAUzNTM4MAQAAAABMAcAAAAJMy8yOS8yMDI2CAAAAAg2LzMvMjAxNwkAAAABMP3XF3pEjd4IwYdmfkSN3ggwQ0lRLk5BU0RBUTpDQUxNLklRX1JFU1RBVEVNRU5UX0JTLjk5MC4yOS8w</t>
  </si>
  <si>
    <t>My8yMDI2AQAAACB6BQADAAAAAlJDAPuwF3pEjd4IvitsfESN3ggsQ0lRLk5BU0RBUTpDQUxNLklRX1BFUklPRERBVEUuOTg5LjI5LzAzLzIwMjYBAAAAIHoFAAUAAAAKMzEvMDUvMjAxNAD7sBd6RI3eCOa0bHxEjd4IL0NJUS5OQVNEQVE6Q0FMTS5JUV9BVkdfRU1QTE9ZRUVTLjk5MC4yOS8wMy8yMDI2AQAAACB6BQADAAAAAADmYhd6RI3eCJ6Pa3xEjd4IK0NJUS5OQVNEQVE6Q0FMTS5JUV9GVUxMX1RJTUUuOTkyLjI5LzAzLzIwMjYBAAAAIHoFAAIAAAAEMzQzOADmYhd6RI3eCJLsaH5Ejd4INUNJUS5OQVNEQVE6Q0FMTS5JUV9FQklUREFfNVlSX0FOTl9DQUdSLjk5MS4yOS8wMy8yMDI2AQAAACB6BQACAAAABzM2LjI0OTYBCAAAAAUAAAABMQEAAAAKMTg5NjgyMDUxNwMAAAADMTYwAgAAAAQ0MjM1BAAAAAEwBwAAAAkzLzI5LzIwMjYIAAAACTUvMjgvMjAxNgkAAAABMJ2zFHpEjd4I08J0fESN3gg0Q0lRLk5BU0RBUTpDQUxNLklRX05JXzFZUl9BTk5fR1JPV1RILjIwMDAuMjkvMDMvMjAyNgEAAAAgegUAAgAAAAc4My4zMjU4AQgAAAAFAAAAATEBAAAACy0xOTEwNjI3ODM4AwAAAAMxNjACAAAABDQxOTkEAAAAATAHAAAACTMvMjkvMjAyNggAAAAKMTEvMjkvMjAyNQkAAAABMJ2zFHpEjd4IS3ZzfESN3ggzQ0lRLk5BU0RBUTpDQUxNLklRX0dQXzFZUl9BTk5fR1JPV1RILjk5MS4yOS8wMy8yMDI2AQAA</t>
  </si>
  <si>
    <t>ACB6BQACAAAABzYzLjc3MDQBCAAAAAUAAAABMQEAAAAKMTg5NjgyMDUxNwMAAAADMTYwAgAAAAQ0MTk1BAAAAAEwBwAAAAkzLzI5LzIwMjYIAAAACTUvMjgvMjAxNgkAAAABMCZ9FHpEjd4IHdpyfESN3ggqQ0lRLk5BU0RBUTpDQUxNLklRX0VCSVRfSU5ULjk5MS4yOS8wMy8yMDI2AQAAACB6BQACAAAACTQwNi44NDYwMgEIAAAABQAAAAExAQAAAAoxODk2ODIwNTE3AwAAAAMxNjACAAAABDQxODkEAAAAATAHAAAACTMvMjkvMjAyNggAAAAJNS8yOC8yMDE2CQAAAAEw/dcXekSN3ghqc3B8RI3eCDNDSVEuTkFTREFROkNBTE0uSVFfRUJJVERBX0NBUEVYX0lOVC4yMDAwLjI5LzAzLzIwMjYBAAAAIHoFAAIAAAALMjEwNy42NjQ2MjQBCAAAAAUAAAABMQEAAAALLTE5MTA2Mjc4MzgDAAAAAzE2MAIAAAAENDE5MQQAAAABMAcAAAAJMy8yOS8yMDI2CAAAAAoxMS8yOS8yMDI1CQAAAAEwCv8XekSN3giN6HB8RI3eCEVDSVEuTkFTREFROkNBTE0uSVFfVE9UQUxfREVCVF9FQklUREFfRVhDTF9PUEVSX0xFQVNFUy4yMDAwLjI5LzAzLzIwMjYBAAAAIHoFAAMAAAAAACZ9FHpEjd4IU4dxfESN3ggzQ0lRLk5BU0RBUTpDQUxNLklRX0NGT19DVVJSRU5UX0xJQUIuMjAwMC4yOS8wMy8yMDI2AQAAACB6BQACAAAACDYuMjA1NTEzAQgAAAAFAAAAATEBAAAACy0xOTEwNjI3ODM4AwAAAAMxNjACAAAABDQxODUEAAAAATAH</t>
  </si>
  <si>
    <t>AAAACTMvMjkvMjAyNggAAAAKMTEvMjkvMjAyNQkAAAABMP3XF3pEjd4IIRNvfESN3ggxQ0lRLk5BU0RBUTpDQUxNLklRX0lOVkVOVE9SWV9UVVJOUy45OTEuMjkvMDMvMjAyNgEAAAAgegUAAgAAAAg4LjM3NDI3OAEIAAAABQAAAAExAQAAAAoxODk2ODIwNTE3AwAAAAMxNjACAAAABDQwODIEAAAAATAHAAAACTMvMjkvMjAyNggAAAAJNS8yOC8yMDE2CQAAAAEw/dcXekSN3ggBnm58RI3eCDBDSVEuTkFTREFROkNBTE0uSVFfUkVUVVJOX0VRVUlUWS4yMDAwLjI5LzAzLzIwMjYBAAAAIHoFAAIAAAAHNDguNTI2MgEIAAAABQAAAAExAQAAAAstMTkxMDYyNzgzOAMAAAADMTYwAgAAAAQ0MTI4BAAAAAEwBwAAAAkzLzI5LzIwMjYIAAAACjExLzI5LzIwMjUJAAAAATD7sBd6RI3eCE8qbXxEjd4IL0NJUS5OQVNEQVE6Q0FMTS5JUV9BVkdfRU1QTE9ZRUVTLjk5MS4yOS8wMy8yMDI2AQAAACB6BQADAAAAAADmYhd6RI3eCJ6Pa3xEjd4INUNJUS5OQVNEQVE6Q0FMTS5JUV9FQklUREFfNVlSX0FOTl9DQUdSLjk5Mi4yOS8wMy8yMDI2AQAAACB6BQADAAAAAk5NAQgAAAAFAAAAATEBAAAACjE5NzIwMTIxMjEDAAAAAzE2MAIAAAAENDIzNQQAAAABMAcAAAAJMy8yOS8yMDI2CAAAAAg2LzMvMjAxNwkAAAABMJ2zFHpEjd4I5zthfkSN3ggzQ0lRLk5BU0RBUTpDQUxNLklRX0dQXzFZUl9BTk5fR1JPV1RILjk5Mi4yOS8w</t>
  </si>
  <si>
    <t>My8yMDI2AQAAACB6BQACAAAACC05Mi45NzE1AQgAAAAFAAAAATEBAAAACjE5NzIwMTIxMjEDAAAAAzE2MAIAAAAENDE5NQQAAAABMAcAAAAJMy8yOS8yMDI2CAAAAAg2LzMvMjAxNwkAAAABMCZ9FHpEjd4IyddifkSN3gg0Q0lRLk5BU0RBUTpDQUxNLklRX0VQU18xWVJfQU5OX0dST1dUSC45OTAuMjkvMDMvMjAyNgEAAAAgegUAAgAAAAc0Ny4zNDUxAQgAAAAFAAAAATEBAAAACjE4NTAyMjA4NDUDAAAAAzE2MAIAAAAENDIwMAQAAAABMAcAAAAJMy8yOS8yMDI2CAAAAAk1LzMwLzIwMTUJAAAAATCdsxR6RI3eCEt2c3xEjd4IMUNJUS5OQVNEQVE6Q0FMTS5JUV9ORVRfREVCVF9FQklUREEuOTkwLjI5LzAzLzIwMjYBAAAAIHoFAAMAAAACTk0BCAAAAAUAAAABMQEAAAAKMTg1MDIyMDg0NQMAAAADMTYwAgAAAAQ0MTkzBAAAAAEwBwAAAAkzLzI5LzIwMjYIAAAACTUvMzAvMjAxNQkAAAABMCZ9FHpEjd4IU4dxfESN3ggqQ0lRLk5BU0RBUTpDQUxNLklRX0VCSVRfSU5ULjk5Mi4yOS8wMy8yMDI2AQAAACB6BQADAAAAAk5NAQgAAAAFAAAAATEBAAAACjE5NzIwMTIxMjEDAAAAAzE2MAIAAAAENDE4OQQAAAABMAcAAAAJMy8yOS8yMDI2CAAAAAg2LzMvMjAxNwkAAAABMP3XF3pEjd4I155kfkSN3ggyQ0lRLk5BU0RBUTpDQUxNLklRX0VCSVREQV9DQVBFWF9JTlQuOTkyLjI5LzAzLzIwMjYBAAAAIHoFAAMAAAAC</t>
  </si>
  <si>
    <t>Tk0BCAAAAAUAAAABMQEAAAAKMTk3MjAxMjEyMQMAAAADMTYwAgAAAAQ0MTkxBAAAAAEwBwAAAAkzLzI5LzIwMjYIAAAACDYvMy8yMDE3CQAAAAEwCv8XekSN3ghoKWR+RI3eCDBDSVEuTkFTREFROkNBTE0uSVFfREFZU19TQUxFU19PVVQuOTkwLjI5LzAzLzIwMjYBAAAAIHoFAAIAAAAJMjEuMDE0ODEyAQgAAAAFAAAAATEBAAAACjE4NTAyMjA4NDUDAAAAAzE2MAIAAAAENDA0MgQAAAABMAcAAAAJMy8yOS8yMDI2CAAAAAk1LzMwLzIwMTUJAAAAATD91xd6RI3eCCETb3xEjd4IMUNJUS5OQVNEQVE6Q0FMTS5JUV9DQVNIX0NPTlZFUlNJT04uOTkwLjI5LzAzLzIwMjYBAAAAIHoFAAIAAAAJNTMuMTkzNTA0AQgAAAAFAAAAATEBAAAACjE4NTAyMjA4NDUDAAAAAzE2MAIAAAAENDE4NAQAAAABMAcAAAAJMy8yOS8yMDI2CAAAAAk1LzMwLzIwMTUJAAAAATD91xd6RI3eCEWvb3xEjd4IMUNJUS5OQVNEQVE6Q0FMTS5JUV9JTlZFTlRPUllfVFVSTlMuOTkyLjI5LzAzLzIwMjYBAAAAIHoFAAIAAAAHNi41MjI5MwEIAAAABQAAAAExAQAAAAoxOTcyMDEyMTIxAwAAAAMxNjACAAAABDQwODIEAAAAATAHAAAACTMvMjkvMjAyNggAAAAINi8zLzIwMTcJAAAAATD91xd6RI3eCJY5Zn5Ejd4INkNJUS5OQVNEQVE6Q0FMTS5JUV9SRVRVUk5fQ09NTU9OX0VRVUlUWS45OTAuMjkvMDMvMjAyNgEAAAAgegUAAgAAAAYyNC44</t>
  </si>
  <si>
    <t>NTgBCAAAAAUAAAABMQEAAAAKMTg1MDIyMDg0NQMAAAADMTYwAgAAAAUzMzMyMAQAAAABMAcAAAAJMy8yOS8yMDI2CAAAAAk1LzMwLzIwMTUJAAAAATD7sBd6RI3eCE8qbXxEjd4IL0NJUS5OQVNEQVE6Q0FMTS5JUV9BVkdfRU1QTE9ZRUVTLjk5Mi4yOS8wMy8yMDI2AQAAACB6BQADAAAAAADmYhd6RI3eCPZwaH5Ejd4IM0NJUS5OQVNEQVE6Q0FMTS5JUV9FUFNfM1lSX0FOTl9DQUdSLjIwMDAuMjkvMDMvMjAyNgEAAAAgegUAAgAAAAYzNC43MzkBCAAAAAUAAAABMQEAAAALLTE5MTA2Mjc4MzgDAAAAAzE2MAIAAAAENDIyNgQAAAABMAcAAAAJMy8yOS8yMDI2CAAAAAoxMS8yOS8yMDI1CQAAAAEwnbMUekSN3gjmdHR8RI3eCDNDSVEuTkFTREFROkNBTE0uSVFfRVBTXzVZUl9BTk5fQ0FHUi4yMDAwLjI5LzAzLzIwMjYBAAAAIHoFAAIAAAAHNzYuNzU0NwEIAAAABQAAAAExAQAAAAstMTkxMDYyNzgzOAMAAAADMTYwAgAAAAQ0MjM5BAAAAAEwBwAAAAkzLzI5LzIwMjYIAAAACjExLzI5LzIwMjUJAAAAATCdsxR6RI3eCB84dXxEjd4INENJUS5OQVNEQVE6Q0FMTS5JUV9FUFNfMVlSX0FOTl9HUk9XVEguOTkxLjI5LzAzLzIwMjYBAAAAIHoFAAIAAAAGOTYuMDk2AQgAAAAFAAAAATEBAAAACjE4OTY4MjA1MTcDAAAAAzE2MAIAAAAENDIwMAQAAAABMAcAAAAJMy8yOS8yMDI2CAAAAAk1LzI4LzIwMTYJAAAAATCd</t>
  </si>
  <si>
    <t>sxR6RI3eCFdPc3xEjd4INkNJUS5OQVNEQVE6Q0FMTS5JUV9FQklUREFfM1lSX0FOTl9DQUdSLjIwMDAuMjkvMDMvMjAyNgEAAAAgegUAAgAAAAczMi4zMTA3AQgAAAAFAAAAATEBAAAACy0xOTEwNjI3ODM4AwAAAAMxNjACAAAABDQyMjIEAAAAATAHAAAACTMvMjkvMjAyNggAAAAKMTEvMjkvMjAyNQkAAAABMJ2zFHpEjd4IZ+tzfESN3ggxQ0lRLk5BU0RBUTpDQUxNLklRX05FVF9ERUJUX0VCSVREQS45OTEuMjkvMDMvMjAyNgEAAAAgegUAAwAAAAJOTQEIAAAABQAAAAExAQAAAAoxODk2ODIwNTE3AwAAAAMxNjACAAAABDQxOTMEAAAAATAHAAAACTMvMjkvMjAyNggAAAAJNS8yOC8yMDE2CQAAAAEwJn0UekSN3ghTh3F8RI3eCEtDSVEuTkFTREFROkNBTE0uSVFfVE9UQUxfREVCVF9FQklUREFfRVhDTF9PUEVSX0xFQVNFU19DQVBFWC4yMDAwLjI5LzAzLzIwMjYBAAAAIHoFAAMAAAAAACZ9FHpEjd4IbfxxfESN3ggxQ0lRLk5BU0RBUTpDQUxNLklRX0xUX0RFQlRfRVFVSVRZLjIwMDAuMjkvMDMvMjAyNgEAAAAgegUAAwAAAAAA/dcXekSN3gj7JHB8RI3eCDFDSVEuTkFTREFROkNBTE0uSVFfQ0FTSF9DT05WRVJTSU9OLjk5MS4yOS8wMy8yMDI2AQAAACB6BQACAAAACDQ3LjIwODk4AQgAAAAFAAAAATEBAAAACjE4OTY4MjA1MTcDAAAAAzE2MAIAAAAENDE4NAQAAAABMAcAAAAJMy8yOS8yMDI2CAAAAAk1</t>
  </si>
  <si>
    <t>LzI4LzIwMTYJAAAAATD91xd6RI3eCEWvb3xEjd4ILUNJUS5OQVNEQVE6Q0FMTS5JUV9FQklUX01BUkdJTi45OTEuMjkvMDMvMjAyNgEAAAAgegUAAgAAAAcyNC42NDExAQgAAAAFAAAAATEBAAAACjE4OTY4MjA1MTcDAAAAAzE2MAIAAAAENDA1MwQAAAABMAcAAAAJMy8yOS8yMDI2CAAAAAk1LzI4LzIwMTYJAAAAATD91xd6RI3eCGqfbXxEjd4ILkNJUS5OQVNEQVE6Q0FMTS5JUV9BU1NFVF9UVVJOUy4yMDAwLjI5LzAzLzIwMjYBAAAAIHoFAAIAAAAIMS40OTU2NzYBCAAAAAUAAAABMQEAAAALLTE5MTA2Mjc4MzgDAAAAAzE2MAIAAAAENDE3NwQAAAABMAcAAAAJMy8yOS8yMDI2CAAAAAoxMS8yOS8yMDI1CQAAAAEw/dcXekSN3gizT258RI3eCDFDSVEuTkFTREFROkNBTE0uSVFfUkVTVEFURU1FTlRfQlMuMjAwMC4yOS8wMy8yMDI2AQAAACB6BQADAAAAAU8A+7AXekSN3gjieWx8RI3eCDZDSVEuTkFTREFROkNBTE0uSVFfUkVUVVJOX0NPTU1PTl9FUVVJVFkuOTkxLjI5LzAzLzIwMjYBAAAAIHoFAAIAAAAHMzkuMDQ1MwEIAAAABQAAAAExAQAAAAoxODk2ODIwNTE3AwAAAAMxNjACAAAABTMzMzIwBAAAAAEwBwAAAAkzLzI5LzIwMjYIAAAACTUvMjgvMjAxNgkAAAABMPuwF3pEjd4ITyptfESN3ggxQ0lRLk5BU0RBUTpDQUxNLklRX0NPU1RfQk9SUk9XSU5HLjIwMDAuMjkvMDMvMjAyNgEAAAAgegUAAwAA</t>
  </si>
  <si>
    <t>AAAAAooXekSN3giuBGx8RI3eCCxDSVEuTkFTREFROkNBTE0uSVFfUEFSVF9USU1FLjIwMDAuMjkvMDMvMjAyNgEAAAAgegUAAwAAAAAA5mIXekSN3ggtQWt8RI3eCDhDSVEuTkFTREFROkNBTE0uSVFfVE9UQUxfUkVWXzVZUl9BTk5fQ0FHUi45OTAuMjkvMDMvMjAyNgEAAAAgegUAAgAAAAcxMS42MDgzAQgAAAAFAAAAATEBAAAACjE4NTAyMjA4NDUDAAAAAzE2MAIAAAAENDIzMwQAAAABMAcAAAAJMy8yOS8yMDI2CAAAAAk1LzMwLzIwMTUJAAAAATCdsxR6RI3eCOZ0dHxEjd4INENJUS5OQVNEQVE6Q0FMTS5JUV9FUFNfMVlSX0FOTl9HUk9XVEguOTkyLjI5LzAzLzIwMjYBAAAAIHoFAAMAAAACTk0BCAAAAAUAAAABMQEAAAAKMTk3MjAxMjEyMQMAAAADMTYwAgAAAAQ0MjAwBAAAAAEwBwAAAAkzLzI5LzIwMjYIAAAACDYvMy8yMDE3CQAAAAEwnbMUekSN3ghmTmJ+RI3eCDVDSVEuTkFTREFROkNBTE0uSVFfRUJJVERBXzNZUl9BTk5fQ0FHUi45OTIuMjkvMDMvMjAyNgEAAAAgegUAAwAAAAJOTQEIAAAABQAAAAExAQAAAAoxOTcyMDEyMTIxAwAAAAMxNjACAAAABDQyMjIEAAAAATAHAAAACTMvMjkvMjAyNggAAAAINi8zLzIwMTcJAAAAATCdsxR6RI3eCB7YYX5Ejd4IMUNJUS5OQVNEQVE6Q0FMTS5JUV9ORVRfREVCVF9FQklUREEuOTkyLjI5LzAzLzIwMjYBAAAAIHoFAAMAAAACTk0BCAAAAAUAAAABMQEA</t>
  </si>
  <si>
    <t>AAAKMTk3MjAxMjEyMQMAAAADMTYwAgAAAAQ0MTkzBAAAAAEwBwAAAAkzLzI5LzIwMjYIAAAACDYvMy8yMDE3CQAAAAEwJn0UekSN3giLx2N+RI3eCDdDSVEuTkFTREFROkNBTE0uSVFfTkVUX0RFQlRfRUJJVERBX0NBUEVYLjk5MC4yOS8wMy8yMDI2AQAAACB6BQADAAAAAk5NAQgAAAAFAAAAATEBAAAACjE4NTAyMjA4NDUDAAAAAzE2MAIAAAAFMjMzMTQEAAAAATAHAAAACTMvMjkvMjAyNggAAAAJNS8zMC8yMDE1CQAAAAEwJn0UekSN3ght/HF8RI3eCClDSVEuTkFTREFROkNBTE0uSVFfWl9TQ09SRS45OTAuMjkvMDMvMjAyNgEAAAAgegUAAgAAAAg5LjMyODk1NwEIAAAABQAAAAExAQAAAAoxODUwMjIwODQ1AwAAAAMxNjACAAAABjEwMDEyMwQAAAABMAcAAAAJMy8yOS8yMDI2CAAAAAk1LzMwLzIwMTUJAAAAATAmfRR6RI3eCM+ecnxEjd4IMUNJUS5OQVNEQVE6Q0FMTS5JUV9MVF9ERUJUX0NBUElUQUwuOTkwLjI5LzAzLzIwMjYBAAAAIHoFAAIAAAAGNS40MDAyAQgAAAAFAAAAATEBAAAACjE4NTAyMjA4NDUDAAAAAzE2MAIAAAAENDE4NwQAAAABMAcAAAAJMy8yOS8yMDI2CAAAAAk1LzMwLzIwMTUJAAAAATD91xd6RI3eCPskcHxEjd4IMUNJUS5OQVNEQVE6Q0FMTS5JUV9DQVNIX0NPTlZFUlNJT04uOTkyLjI5LzAzLzIwMjYBAAAAIHoFAAIAAAAJNjYuMTY3NDc5AQgAAAAFAAAAATEBAAAACjE5NzIw</t>
  </si>
  <si>
    <t>MTIxMjEDAAAAAzE2MAIAAAAENDE4NAQAAAABMAcAAAAJMy8yOS8yMDI2CAAAAAg2LzMvMjAxNwkAAAABMP3XF3pEjd4IPmJlfkSN3ggtQ0lRLk5BU0RBUTpDQUxNLklRX0VCSVRfTUFSR0lOLjk5Mi4yOS8wMy8yMDI2AQAAACB6BQACAAAACC0xMi4xNDMzAQgAAAAFAAAAATEBAAAACjE5NzIwMTIxMjEDAAAAAzE2MAIAAAAENDA1MwQAAAABMAcAAAAJMy8yOS8yMDI2CAAAAAg2LzMvMjAxNwkAAAABMP3XF3pEjd4IfdZmfkSN3ggzQ0lRLk5BU0RBUTpDQUxNLklRX0ZJWEVEX0FTU0VUX1RVUk5TLjk5MC4yOS8wMy8yMDI2AQAAACB6BQACAAAACDQuNjc4ODQ2AQgAAAAFAAAAATEBAAAACjE4NTAyMjA4NDUDAAAAAzE2MAIAAAAENDA2NgQAAAABMAcAAAAJMy8yOS8yMDI2CAAAAAk1LzMwLzIwMTUJAAAAATD91xd6RI3eCLNPbnxEjd4IOENJUS5OQVNEQVE6Q0FMTS5JUV9UT1RBTF9SRVZfNVlSX0FOTl9DQUdSLjk5MS4yOS8wMy8yMDI2AQAAACB6BQACAAAABzE1LjE2OTMBCAAAAAUAAAABMQEAAAAKMTg5NjgyMDUxNwMAAAADMTYwAgAAAAQ0MjMzBAAAAAEwBwAAAAkzLzI5LzIwMjYIAAAACTUvMjgvMjAxNgkAAAABMJ2zFHpEjd4I5nR0fESN3gg0Q0lRLk5BU0RBUTpDQUxNLklRX0VCSVRfNVlSX0FOTl9DQUdSLjIwMDAuMjkvMDMvMjAyNgEAAAAgegUAAgAAAAc4NC4xOTI0AQgAAAAFAAAAATEBAAAACy0x</t>
  </si>
  <si>
    <t>OTEwNjI3ODM4AwAAAAMxNjACAAAABDQyMzYEAAAAATAHAAAACTMvMjkvMjAyNggAAAAKMTEvMjkvMjAyNQkAAAABMJ2zFHpEjd4ILep0fESN3gg4Q0lRLk5BU0RBUTpDQUxNLklRX0VCSVREQV8xWVJfQU5OX0dST1dUSC4yMDAwLjI5LzAzLzIwMjYBAAAAIHoFAAIAAAAHODYuODYxMQEIAAAABQAAAAExAQAAAAstMTkxMDYyNzgzOAMAAAADMTYwAgAAAAQ0MTk2BAAAAAEwBwAAAAkzLzI5LzIwMjYIAAAACjExLzI5LzIwMjUJAAAAATCdsxR6RI3eCC4oc3xEjd4IKUNJUS5OQVNEQVE6Q0FMTS5JUV9aX1NDT1JFLjk5MS4yOS8wMy8yMDI2AQAAACB6BQACAAAACTEyLjY0NTAyMgEIAAAABQAAAAExAQAAAAoxODk2ODIwNTE3AwAAAAMxNjACAAAABjEwMDEyMwQAAAABMAcAAAAJMy8yOS8yMDI2CAAAAAk1LzI4LzIwMTYJAAAAATAmfRR6RI3eCM+ecnxEjd4IMUNJUS5OQVNEQVE6Q0FMTS5JUV9MVF9ERUJUX0NBUElUQUwuOTkxLjI5LzAzLzIwMjYBAAAAIHoFAAIAAAAGMC45ODA5AQgAAAAFAAAAATEBAAAACjE4OTY4MjA1MTcDAAAAAzE2MAIAAAAENDE4NwQAAAABMAcAAAAJMy8yOS8yMDI2CAAAAAk1LzI4LzIwMTYJAAAAATD91xd6RI3eCPskcHxEjd4ILENJUS5OQVNEQVE6Q0FMTS5JUV9FQklUREFfSU5ULjk5MS4yOS8wMy8yMDI2AQAAACB6BQACAAAACjQ0NS40MjA0MTUBCAAAAAUAAAABMQEAAAAKMTg5</t>
  </si>
  <si>
    <t>NjgyMDUxNwMAAAADMTYwAgAAAAQ0MTkwBAAAAAEwBwAAAAkzLzI5LzIwMjYIAAAACTUvMjgvMjAxNgkAAAABMP3XF3pEjd4Ia5pwfESN3ghEQ0lRLk5BU0RBUTpDQUxNLklRX0VCSVREQV9FWENMX09QRVJfTEVBU0VTX0NBUEVYX0lOVC4yMDAwLjI5LzAzLzIwMjYBAAAAIHoFAAIAAAALMjEwNy42NjQ2MjQBCAAAAAUAAAABMQEAAAALLTE5MTA2Mjc4MzgDAAAAAzE2MAIAAAAFNDkxNzQEAAAAATAHAAAACTMvMjkvMjAyNggAAAAKMTEvMjkvMjAyNQkAAAABMCZ9FHpEjd4InDZxfESN3ggwQ0lRLk5BU0RBUTpDQUxNLklRX0NVUlJFTlRfUkFUSU8uMjAwMC4yOS8wMy8yMDI2AQAAACB6BQACAAAACDguMDE3MzM3AQgAAAAFAAAAATEBAAAACy0xOTEwNjI3ODM4AwAAAAMxNjACAAAABDQwMzAEAAAAATAHAAAACTMvMjkvMjAyNggAAAAKMTEvMjkvMjAyNQkAAAABMP3XF3pEjd4I9sRufESN3ggxQ0lRLk5BU0RBUTpDQUxNLklRX0RBWVNfU0FMRVNfT1VULjIwMDAuMjkvMDMvMjAyNgEAAAAgegUAAgAAAAkyMy40NDA1MDgBCAAAAAUAAAABMQEAAAALLTE5MTA2Mjc4MzgDAAAAAzE2MAIAAAAENDA0MgQAAAABMAcAAAAJMy8yOS8yMDI2CAAAAAoxMS8yOS8yMDI1CQAAAAEw/dcXekSN3ggpYW98RI3eCDNDSVEuTkFTREFROkNBTE0uSVFfRklYRURfQVNTRVRfVFVSTlMuOTkxLjI5LzAzLzIwMjYBAAAAIHoFAAIA</t>
  </si>
  <si>
    <t>AAAINS4wODI1MjIBCAAAAAUAAAABMQEAAAAKMTg5NjgyMDUxNwMAAAADMTYwAgAAAAQ0MDY2BAAAAAEwBwAAAAkzLzI5LzIwMjYIAAAACTUvMjgvMjAxNgkAAAABMP3XF3pEjd4Is09ufESN3gguQ0lRLk5BU0RBUTpDQUxNLklRX0NBTENfVFlQRV9CUy45OTEuMjkvMDMvMjAyNgEAAAAgegUAAwAAAANSVVAA+7AXekSN3gjieWx8RI3eCDBDSVEuTkFTREFROkNBTE0uSVFfUkVUVVJOX0FTU0VUUy4yMDAwLjI5LzAzLzIwMjYBAAAAIHoFAAIAAAAHMzIuMzA1OQEIAAAABQAAAAExAQAAAAstMTkxMDYyNzgzOAMAAAADMTYwAgAAAAQ0MTc4BAAAAAEwBwAAAAkzLzI5LzIwMjYIAAAACjExLzI5LzIwMjUJAAAAATD7sBd6RI3eCB/cbHxEjd4INUNJUS5OQVNEQVE6Q0FMTS5JUV9BVkdfVEVNUF9FTVBMT1lFRVMuMjAwMC4yOS8wMy8yMDI2AQAAACB6BQADAAAAAADmYhd6RI3eCJ+2a3xEjd4IMUNJUS5OQVNEQVE6Q0FMTS5JUV9UT1RBTF9FTVBMT1lFRVMuOTkxLjI5LzAzLzIwMjYBAAAAIHoFAAIAAAAEMzIxMADmYhd6RI3eCC1Ba3xEjd4IOENJUS5OQVNEQVE6Q0FMTS5JUV9UT1RBTF9SRVZfNVlSX0FOTl9DQUdSLjk5Mi4yOS8wMy8yMDI2AQAAACB6BQACAAAABy0wLjcwMzQBCAAAAAUAAAABMQEAAAAKMTk3MjAxMjEyMQMAAAADMTYwAgAAAAQ0MjMzBAAAAAEwBwAAAAkzLzI5LzIwMjYIAAAACDYvMy8yMDE3</t>
  </si>
  <si>
    <t>CQAAAAEwnbMUekSN3gjniWF+RI3eCDFDSVEuTkFTREFROkNBTE0uSVFfTklfNVlSX0FOTl9DQUdSLjk5MC4yOS8wMy8yMDI2AQAAACB6BQACAAAABzE4LjkxMjMBCAAAAAUAAAABMQEAAAAKMTg1MDIyMDg0NQMAAAADMTYwAgAAAAQ0MjM4BAAAAAEwBwAAAAkzLzI5LzIwMjYIAAAACTUvMzAvMjAxNQkAAAABMJ2zFHpEjd4ILep0fESN3gg4Q0lRLk5BU0RBUTpDQUxNLklRX1RPVEFMX1JFVl8zWVJfQU5OX0NBR1IuOTkxLjI5LzAzLzIwMjYBAAAAIHoFAAIAAAAHMTQuMDA1MwEIAAAABQAAAAExAQAAAAoxODk2ODIwNTE3AwAAAAMxNjACAAAABDQyMjAEAAAAATAHAAAACTMvMjkvMjAyNggAAAAJNS8yOC8yMDE2CQAAAAEwnbMUekSN3ghOnXN8RI3eCDRDSVEuTkFTREFROkNBTE0uSVFfRUJJVF8zWVJfQU5OX0NBR1IuMjAwMC4yOS8wMy8yMDI2AQAAACB6BQACAAAABzMzLjkzMDkBCAAAAAUAAAABMQEAAAALLTE5MTA2Mjc4MzgDAAAAAzE2MAIAAAAENDIyMwQAAAABMAcAAAAJMy8yOS8yMDI2CAAAAAoxMS8yOS8yMDI1CQAAAAEwnbMUekSN3gh+EnR8RI3eCDhDSVEuTkFTREFROkNBTE0uSVFfTkVUX0RFQlRfRUJJVERBX0NBUEVYLjIwMDAuMjkvMDMvMjAyNgEAAAAgegUAAwAAAAJOTQEIAAAABQAAAAExAQAAAAstMTkxMDYyNzgzOAMAAAADMTYwAgAAAAUyMzMxNAQAAAABMAcAAAAJMy8yOS8yMDI2CAAA</t>
  </si>
  <si>
    <t>AAoxMS8yOS8yMDI1CQAAAAEwJn0UekSN3girSnJ8RI3eCDVDSVEuTkFTREFROkNBTE0uSVFfRUJJVF8xWVJfQU5OX0dST1dUSC45OTEuMjkvMDMvMjAyNgEAAAAgegUAAgAAAAc5OS44NDg3AQgAAAAFAAAAATEBAAAACjE4OTY4MjA1MTcDAAAAAzE2MAIAAAAENDE5NwQAAAABMAcAAAAJMy8yOS8yMDI2CAAAAAk1LzI4LzIwMTYJAAAAATCdsxR6RI3eCC4oc3xEjd4IM0NJUS5OQVNEQVE6Q0FMTS5JUV9UT1RBTF9ERUJUX0VCSVREQS45OTEuMjkvMDMvMjAyNgEAAAAgegUAAgAAAAgwLjA0OTY1OQEIAAAABQAAAAExAQAAAAoxODk2ODIwNTE3AwAAAAMxNjACAAAABDQxOTIEAAAAATAHAAAACTMvMjkvMjAyNggAAAAJNS8yOC8yMDE2CQAAAAEwJn0UekSN3gicNnF8RI3eCENDSVEuTkFTREFROkNBTE0uSVFfTkVUX0RFQlRfRUJJVERBX0VYQ0xfT1BFUl9MRUFTRVMuMjAwMC4yOS8wMy8yMDI2AQAAACB6BQADAAAAAk5NAQgAAAAFAAAAATEBAAAACy0xOTEwNjI3ODM4AwAAAAMxNjACAAAABTQ5MTc1BAAAAAEwBwAAAAkzLzI5LzIwMjYIAAAACjExLzI5LzIwMjUJAAAAATAmfRR6RI3eCDyucXxEjd4INENJUS5OQVNEQVE6Q0FMTS5JUV9EQVlTX0lOVkVOVE9SWV9PVVQuOTkxLjI5LzAzLzIwMjYBAAAAIHoFAAIAAAAJNDMuNDY2MzMyAQgAAAAFAAAAATEBAAAACjE4OTY4MjA1MTcDAAAAAzE2MAIAAAAENDAz</t>
  </si>
  <si>
    <t>NQQAAAABMAcAAAAJMy8yOS8yMDI2CAAAAAk1LzI4LzIwMTYJAAAAATD91xd6RI3eCClhb3xEjd4INENJUS5OQVNEQVE6Q0FMTS5JUV9UT1RBTF9ERUJUX0VRVUlUWS4yMDAwLjI5LzAzLzIwMjYBAAAAIHoFAAMAAAAAAP3XF3pEjd4IPepvfESN3ggsQ0lRLk5BU0RBUTpDQUxNLklRX05JX01BUkdJTi4yMDAwLjI5LzAzLzIwMjYBAAAAIHoFAAIAAAAHMjcuMzY3MwEIAAAABQAAAAExAQAAAAstMTkxMDYyNzgzOAMAAAADMTYwAgAAAAQ0MDk0BAAAAAEwBwAAAAkzLzI5LzIwMjYIAAAACjExLzI5LzIwMjUJAAAAATD91xd6RI3eCHXtbXxEjd4ILkNJUS5OQVNEQVE6Q0FMTS5JUV9HUk9TU19NQVJHSU4uOTkxLjI5LzAzLzIwMjYBAAAAIHoFAAIAAAAHMzMuOTU0NQEIAAAABQAAAAExAQAAAAoxODk2ODIwNTE3AwAAAAMxNjACAAAABDQwNzQEAAAAATAHAAAACTMvMjkvMjAyNggAAAAJNS8yOC8yMDE2CQAAAAEw/dcXekSN3ggfUW18RI3eCDhDSVEuTkFTREFROkNBTE0uSVFfVE9UQUxfUkVWXzNZUl9BTk5fQ0FHUi45OTIuMjkvMDMvMjAyNgEAAAAgegUAAgAAAActOS4zMTcyAQgAAAAFAAAAATEBAAAACjE5NzIwMTIxMjEDAAAAAzE2MAIAAAAENDIyMAQAAAABMAcAAAAJMy8yOS8yMDI2CAAAAAg2LzMvMjAxNwkAAAABMJ2zFHpEjd4IGSdifkSN3ggxQ0lRLk5BU0RBUTpDQUxNLklRX05JXzNZUl9BTk5fQ0FH</t>
  </si>
  <si>
    <t>Ui45OTAuMjkvMDMvMjAyNgEAAAAgegUAAgAAAAcyMS41NzY1AQgAAAAFAAAAATEBAAAACjE4NTAyMjA4NDUDAAAAAzE2MAIAAAAENDIyNQQAAAABMAcAAAAJMy8yOS8yMDI2CAAAAAk1LzMwLzIwMTUJAAAAATCdsxR6RI3eCH4SdHxEjd4IQkNJUS5OQVNEQVE6Q0FMTS5JUV9ORVRfREVCVF9FQklUREFfRVhDTF9PUEVSX0xFQVNFUy45OTIuMjkvMDMvMjAyNgEAAAAgegUAAwAAAAJOTQEIAAAABQAAAAExAQAAAAoxOTcyMDEyMTIxAwAAAAMxNjACAAAABTQ5MTc1BAAAAAEwBwAAAAkzLzI5LzIwMjYIAAAACDYvMy8yMDE3CQAAAAEwJn0UekSN3ghyeWN+RI3eCEhDSVEuTkFTREFROkNBTE0uSVFfTkVUX0RFQlRfRUJJVERBX0VYQ0xfT1BFUl9MRUFTRVNfQ0FQRVguOTkwLjI5LzAzLzIwMjYBAAAAIHoFAAMAAAACTk0BCAAAAAUAAAABMQEAAAAKMTg1MDIyMDg0NQMAAAADMTYwAgAAAAU0OTE4MgQAAAABMAcAAAAJMy8yOS8yMDI2CAAAAAk1LzMwLzIwMTUJAAAAATAmfRR6RI3eCKtKcnxEjd4IMkNJUS5OQVNEQVE6Q0FMTS5JUV9HUF81WVJfQU5OX0NBR1IuMjAwMC4yOS8wMy8yMDI2AQAAACB6BQACAAAABzQ4LjI2MjYBCAAAAAUAAAABMQEAAAALLTE5MTA2Mjc4MzgDAAAAAzE2MAIAAAAENDIzNAQAAAABMAcAAAAJMy8yOS8yMDI2CAAAAAoxMS8yOS8yMDI1CQAAAAEwnbMUekSN3gjLm3R8RI3eCDJDSVEu</t>
  </si>
  <si>
    <t>TkFTREFROkNBTE0uSVFfTklfNVlSX0FOTl9DQUdSLjIwMDAuMjkvMDMvMjAyNgEAAAAgegUAAgAAAAc3Ni42ODUzAQgAAAAFAAAAATEBAAAACy0xOTEwNjI3ODM4AwAAAAMxNjACAAAABDQyMzgEAAAAATAHAAAACTMvMjkvMjAyNggAAAAKMTEvMjkvMjAyNQkAAAABMJ2zFHpEjd4IHzh1fESN3ggxQ0lRLk5BU0RBUTpDQUxNLklRX05JXzNZUl9BTk5fQ0FHUi45OTEuMjkvMDMvMjAyNgEAAAAgegUAAgAAAAc4NC4zNzYyAQgAAAAFAAAAATEBAAAACjE4OTY4MjA1MTcDAAAAAzE2MAIAAAAENDIyNQQAAAABMAcAAAAJMy8yOS8yMDI2CAAAAAk1LzI4LzIwMTYJAAAAATCdsxR6RI3eCH4SdHxEjd4IMUNJUS5OQVNEQVE6Q0FMTS5JUV9HUF81WVJfQU5OX0NBR1IuOTkyLjI5LzAzLzIwMjYBAAAAIHoFAAIAAAAILTI1LjYyNzUBCAAAAAUAAAABMQEAAAAKMTk3MjAxMjEyMQMAAAADMTYwAgAAAAQ0MjM0BAAAAAEwBwAAAAkzLzI5LzIwMjYIAAAACDYvMy8yMDE3CQAAAAEwnbMUekSN3gjnO2F+RI3eCDJDSVEuTkFTREFROkNBTE0uSVFfRVBTXzVZUl9BTk5fQ0FHUi45OTAuMjkvMDMvMjAyNgEAAAAgegUAAgAAAAcxOC41ODU0AQgAAAAFAAAAATEBAAAACjE4NTAyMjA4NDUDAAAAAzE2MAIAAAAENDIzOQQAAAABMAcAAAAJMy8yOS8yMDI2CAAAAAk1LzMwLzIwMTUJAAAAATCdsxR6RI3eCB84dXxEjd4IO0NJUS5O</t>
  </si>
  <si>
    <t>QVNEQVE6Q0FMTS5JUV9UT1RBTF9SRVZfMVlSX0FOTl9HUk9XVEguMjAwMC4yOS8wMy8yMDI2AQAAACB6BQACAAAABzM2LjYwNDYBCAAAAAUAAAABMQEAAAALLTE5MTA2Mjc4MzgDAAAAAzE2MAIAAAAENDE5NAQAAAABMAcAAAAJMy8yOS8yMDI2CAAAAAoxMS8yOS8yMDI1CQAAAAEwJn0UekSN3ggd2nJ8RI3eCDNDSVEuTkFTREFROkNBTE0uSVFfTklfMVlSX0FOTl9HUk9XVEguOTkwLjI5LzAzLzIwMjYBAAAAIHoFAAIAAAAGNDcuNjU5AQgAAAAFAAAAATEBAAAACjE4NTAyMjA4NDUDAAAAAzE2MAIAAAAENDE5OQQAAAABMAcAAAAJMy8yOS8yMDI2CAAAAAk1LzMwLzIwMTUJAAAAATCdsxR6RI3eCFdPc3xEjd4IMUNJUS5OQVNEQVE6Q0FMTS5JUV9OSV8zWVJfQU5OX0NBR1IuOTkyLjI5LzAzLzIwMjYBAAAAIHoFAAMAAAACTk0BCAAAAAUAAAABMQEAAAAKMTk3MjAxMjEyMQMAAAADMTYwAgAAAAQ0MjI1BAAAAAEwBwAAAAkzLzI5LzIwMjYIAAAACDYvMy8yMDE3CQAAAAEwnbMUekSN3ggMsWF+RI3eCEhDSVEuTkFTREFROkNBTE0uSVFfTkVUX0RFQlRfRUJJVERBX0VYQ0xfT1BFUl9MRUFTRVNfQ0FQRVguOTkyLjI5LzAzLzIwMjYBAAAAIHoFAAMAAAACTk0BCAAAAAUAAAABMQEAAAAKMTk3MjAxMjEyMQMAAAADMTYwAgAAAAU0OTE4MgQAAAABMAcAAAAJMy8yOS8yMDI2CAAAAAg2LzMvMjAxNwkAAAABMCZ9</t>
  </si>
  <si>
    <t>FHpEjd4IYStjfkSN3ggzQ0lRLk5BU0RBUTpDQUxNLklRX0dQXzFZUl9BTk5fR1JPV1RILjk5MC4yOS8wMy8yMDI2AQAAACB6BQACAAAABzMwLjcwMjcBCAAAAAUAAAABMQEAAAAKMTg1MDIyMDg0NQMAAAADMTYwAgAAAAQ0MTk1BAAAAAEwBwAAAAkzLzI5LzIwMjYIAAAACTUvMzAvMjAxNQkAAAABMCZ9FHpEjd4IorJyfESN3gg5Q0lRLk5BU0RBUTpDQUxNLklRX1RPVEFMX0xJQUJfVE9UQUxfQVNTRVRTLjk5Mi4yOS8wMy8yMDI2AQAAACB6BQACAAAABzE4LjI1NTkBCAAAAAUAAAABMQEAAAAKMTk3MjAxMjEyMQMAAAADMTYwAgAAAAQ0MTg4BAAAAAEwBwAAAAkzLzI5LzIwMjYIAAAACDYvMy8yMDE3CQAAAAEw/dcXekSN3ggaxmR+RI3eCDJDSVEuTkFTREFROkNBTE0uSVFfRUJJVERBX0NBUEVYX0lOVC45OTAuMjkvMDMvMjAyNgEAAAAgegUAAgAAAAk4My43Nzg2NDIBCAAAAAUAAAABMQEAAAAKMTg1MDIyMDg0NQMAAAADMTYwAgAAAAQ0MTkxBAAAAAEwBwAAAAkzLzI5LzIwMjYIAAAACTUvMzAvMjAxNQkAAAABMP3XF3pEjd4IjehwfESN3ggyQ0lRLk5BU0RBUTpDQUxNLklRX0NGT19DVVJSRU5UX0xJQUIuOTkwLjI5LzAzLzIwMjYBAAAAIHoFAAIAAAAIMS45MjM1NjEBCAAAAAUAAAABMQEAAAAKMTg1MDIyMDg0NQMAAAADMTYwAgAAAAQ0MTg1BAAAAAEwBwAAAAkzLzI5LzIwMjYIAAAACTUvMzAvMjAx</t>
  </si>
  <si>
    <t>NQkAAAABMP3XF3pEjd4IAOxufESN3ggsQ0lRLk5BU0RBUTpDQUxNLklRX0lOVl9NRVRIT0QuOTkwLjI5LzAzLzIwMjYBAAAAIHoFAAMAAAAERklGTwDBLi16RI3eCHfKanxEjd4IOUNJUS5OQVNEQVE6Q0FMTS5JUV9UT1RBTF9MSUFCX1RPVEFMX0FTU0VUUy45OTAuMjkvMDMvMjAyNgEAAAAgegUAAgAAAAcyNC4xMzA3AQgAAAAFAAAAATEBAAAACjE4NTAyMjA4NDUDAAAAAzE2MAIAAAAENDE4OAQAAAABMAcAAAAJMy8yOS8yMDI2CAAAAAk1LzMwLzIwMTUJAAAAATD91xd6RI3eCG5McHxEjd4INUNJUS5OQVNEQVE6Q0FMTS5JUV9FQklUXzFZUl9BTk5fR1JPV1RILjk5MC4yOS8wMy8yMDI2AQAAACB6BQACAAAABzU2LjQ2MTIBCAAAAAUAAAABMQEAAAAKMTg1MDIyMDg0NQMAAAADMTYwAgAAAAQ0MTk3BAAAAAEwBwAAAAkzLzI5LzIwMjYIAAAACTUvMzAvMjAxNQkAAAABMJ2zFHpEjd4ILihzfESN3ggvQ0lRLk5BU0RBUTpDQUxNLklRX0dST1NTX01BUkdJTi4yMDAwLjI5LzAzLzIwMjYBAAAAIHoFAAIAAAAHNDEuOTIxMQEIAAAABQAAAAExAQAAAAstMTkxMDYyNzgzOAMAAAADMTYwAgAAAAQ0MDc0BAAAAAEwBwAAAAkzLzI5LzIwMjYIAAAACjExLzI5LzIwMjUJAAAAATD91xd6RI3eCDZ4bXxEjd4IL0NJUS5OQVNEQVE6Q0FMTS5JUV9DVVJSRU5UX1JBVElPLjk5Mi4yOS8wMy8yMDI2AQAAACB6BQACAAAA</t>
  </si>
  <si>
    <t>CDYuNzQ0MTY3AQgAAAAFAAAAATEBAAAACjE5NzIwMTIxMjEDAAAAAzE2MAIAAAAENDAzMAQAAAABMAcAAAAJMy8yOS8yMDI2CAAAAAg2LzMvMjAxNwkAAAABMP3XF3pEjd4IWOtlfkSN3ghBQ0lRLk5BU0RBUTpDQUxNLklRX0VNUExPWUVFU19VTkRFUl9VTklPTl9DT05UUkFDVFMuOTkwLjI5LzAzLzIwMjYBAAAAIHoFAAMAAAAAAOZiF3pEjd4InGhrfESN3gguQ0lRLk5BU0RBUTpDQUxNLklRX0dST1NTX01BUkdJTi45OTAuMjkvMDMvMjAyNgEAAAAgegUAAgAAAAcyNS4xMDcxAQgAAAAFAAAAATEBAAAACjE4NTAyMjA4NDUDAAAAAzE2MAIAAAAENDA3NAQAAAABMAcAAAAJMy8yOS8yMDI2CAAAAAk1LzMwLzIwMTUJAAAAATD7sBd6RI3eCB9RbXxEjd4IOUNJUS5OQVNEQVE6Q0FMTS5JUV9UT1RBTF9MSUFCX1RPVEFMX0FTU0VUUy45OTEuMjkvMDMvMjAyNgEAAAAgegUAAgAAAAYxNy40ODYBCAAAAAUAAAABMQEAAAAKMTg5NjgyMDUxNwMAAAADMTYwAgAAAAQ0MTg4BAAAAAEwBwAAAAkzLzI5LzIwMjYIAAAACTUvMjgvMjAxNgkAAAABMP3XF3pEjd4IbkxwfESN3ggqQ0lRLk5BU0RBUTpDQUxNLklRX0dBQVBfQlMuMjAwMC4yOS8wMy8yMDI2AQAAACB6BQADAAAAB1VTIEdBQVAA+7AXekSN3gjmtGx8RI3eCCxDSVEuTkFTREFROkNBTE0uSVFfSU5WX01FVEhPRC45OTIuMjkvMDMvMjAyNgEAAAAgegUAAwAA</t>
  </si>
  <si>
    <t>AARGSUZPAMEuLXpEjd4IoTppfkSN3gg/Q0lRLk5BU0RBUTpDQUxNLklRX1RPVEFMX09VVFNUQU5ESU5HX0ZJTElOR19EQVRFLjk5MC4yOS8wMy8yMDI2AQAAACB6BQACAAAACTQ4LjQ5Nzg0NAEEAAAABQAAAAE1AQAAAAoxODUwMjIwODQ1AgAAAAUyNDE1MwYAAAABMLoHLXpEjd4INXxqfESN3ggpQ0lRLk5BU0RBUTpDQUxNLklRX0dBQVBfQlMuOTkyLjI5LzAzLzIwMjYBAAAAIHoFAAMAAAAHVVMgR0FBUAD7sBd6RI3eCMHUZ35Ejd4ILkNJUS5OQVNEQVE6Q0FMTS5JUV9HUk9TU19NQVJHSU4uOTkyLjI5LzAzLzIwMjYBAAAAIHoFAAIAAAAGNC4yMzkxAQgAAAAFAAAAATEBAAAACjE5NzIwMTIxMjEDAAAAAzE2MAIAAAAENDA3NAQAAAABMAcAAAAJMy8yOS8yMDI2CAAAAAg2LzMvMjAxNwkAAAABMP3XF3pEjd4Ix/xmfkSN3ggpQ0lRLk5BU0RBUTpDQUxNLklRX1pfU0NPUkUuOTkyLjI5LzAzLzIwMjYBAAAAIHoFAAIAAAAIOC40MzQ0ODUBCAAAAAUAAAABMQEAAAAKMTk3MjAxMjEyMQMAAAADMTYwAgAAAAYxMDAxMjMEAAAAATAHAAAACTMvMjkvMjAyNggAAAAINi8zLzIwMTcJAAAAATAmfRR6RI3eCO4DY35Ejd4IM0NJUS5OQVNEQVE6Q0FMTS5JUV9OVU1CRVJfQURSSE9MREVSUy45OTEuMjkvMDMvMjAyNgEAAAAgegUAAwAAAAAA5mIXekSN3gil3Wt8RI3eCD9DSVEuTkFTREFROkNBTE0uSVFfVE9UQUxf</t>
  </si>
  <si>
    <t>T1VUU1RBTkRJTkdfRklMSU5HX0RBVEUuOTkyLjI5LzAzLzIwMjYBAAAAIHoFAAIAAAAJNDguNTc0MDUyAQQAAAAFAAAAATUBAAAACjE5NzIwMTIxMjECAAAABTI0MTUzBgAAAAEwugctekSN3giwYWl+RI3eCDFDSVEuTkFTREFROkNBTE0uSVFfVE9UQUxfRU1QTE9ZRUVTLjk5MC4yOS8wMy8yMDI2AQAAACB6BQACAAAABDI4MTEA5mIXekSN3ggtQWt8RI3eCDNDSVEuTkFTREFROkNBTE0uSVFfTlVNQkVSX0FEUkhPTERFUlMuOTkyLjI5LzAzLzIwMjYBAAAAIHoFAAMAAAAAAOZiF3pEjd4I4UlofkSN3gguQ0lRLk5BU0RBUTpDQUxNLklRX0NBTENfVFlQRV9DRi45OTIuMjkvMDMvMjAyNgEAAAAgegUAAwAAAANSRVAAjYF/ekSN3gi7iGl+RI3eCClDSVEuTkFTREFROkNBTE0uSVFfR0FBUF9CUy45OTEuMjkvMDMvMjAyNgEAAAAgegUAAwAAAAdVUyBHQUFQAPuwF3pEjd4I/qBsfESN3ggxQ0lRLk5BU0RBUTpDQUxNLklRX1RPVEFMX0VNUExPWUVFUy45OTIuMjkvMDMvMjAyNgEAAAAgegUAAgAAAAQzNTA4AOZiF3pEjd4IH79ofkSN3ggwQ0lRLk5BU0RBUTpDQUxNLklRX0NPU1RfQk9SUk9XSU5HLjk5MS4yOS8wMy8yMDI2AQAAACB6BQACAAAABjUuOTAzNAEIAAAABQAAAAExAQAAAAoxODk2ODIwNTE3AwAAAAMxNjACAAAABTIxNjgxBAAAAAEwBwAAAAkzLzI5LzIwMjYIAAAACTUvMjgvMjAxNgkAAAABMAKK</t>
  </si>
  <si>
    <t>F3pEjd4IrgRsfESN3ghIQ0lRLk5BU0RBUTpDQUxNLklRX05FVF9ERUJUX0VCSVREQV9FWENMX09QRVJfTEVBU0VTX0NBUEVYLjk5MS4yOS8wMy8yMDI2AQAAACB6BQADAAAAAk5NAQgAAAAFAAAAATEBAAAACjE4OTY4MjA1MTcDAAAAAzE2MAIAAAAFNDkxODIEAAAAATAHAAAACTMvMjkvMjAyNggAAAAJNS8yOC8yMDE2CQAAAAEwJn0UekSN3girSnJ8RI3eCC5DSVEuTkFTREFROkNBTE0uSVFfQ0FMQ19UWVBFX0JTLjk5MC4yOS8wMy8yMDI2AQAAACB6BQADAAAAA1JVUAD7sBd6RI3eCOJ5bHxEjd4IMENJUS5OQVNEQVE6Q0FMTS5JUV9DT1NUX0JPUlJPV0lORy45OTIuMjkvMDMvMjAyNgEAAAAgegUAAgAAAAY3Ljc2NzkBCAAAAAUAAAABMQEAAAAKMTk3MjAxMjEyMQMAAAADMTYwAgAAAAUyMTY4MQQAAAABMAcAAAAJMy8yOS8yMDI2CAAAAAg2LzMvMjAxNwkAAAABMAKKF3pEjd4IwyJofkSN3gg0Q0lRLk5BU0RBUTpDQUxNLklRX0FWR19URU1QX0VNUExPWUVFUy45OTIuMjkvMDMvMjAyNgEAAAAgegUAAwAAAAAA5mIXekSN3gjhSWh+RI3eCDFDSVEuTkFTREFROkNBTE0uSVFfRklMSU5HX0NVUlJFTkNZLjk5MC4yOS8wMy8yMDI2AQAAACB6BQADAAAAA1VTRAB9MpZ6RI3eCL4rbHxEjd4ILkNJUS5OQVNEQVE6Q0FMTS5JUV9DQUxDX1RZUEVfQlMuOTkyLjI5LzAzLzIwMjYBAAAAIHoFAAMAAAADUlVQAPuw</t>
  </si>
  <si>
    <t>F3pEjd4IwdRnfkSN3ggqQ0lRLk5BU0RBUTpDQUxNLklRX0FSX1RVUk5TLjk5MS4yOS8wMy8yMDI2AQAAACB6BQACAAAACTIzLjcwNjI1NgEIAAAABQAAAAExAQAAAAoxODk2ODIwNTE3AwAAAAMxNjACAAAABDQwMDEEAAAAATAHAAAACTMvMjkvMjAyNggAAAAJNS8yOC8yMDE2CQAAAAEw/dcXekSN3ggod258RI3eCCpDSVEuTkFTREFROkNBTE0uSVFfQVJfVFVSTlMuOTkyLjI5LzAzLzIwMjYBAAAAIHoFAAIAAAAJMTcuNDMzMDYzAQgAAAAFAAAAATEBAAAACjE5NzIwMTIxMjEDAAAAAzE2MAIAAAAENDAwMQQAAAABMAcAAAAJMy8yOS8yMDI2CAAAAAg2LzMvMjAxNwkAAAABMP3XF3pEjd4IljlmfkSN3gg0Q0lRLk5BU0RBUTpDQUxNLklRX1RPVEFMX0RFQlRfQ0FQSVRBTC45OTAuMjkvMDMvMjAyNgEAAAAgegUAAgAAAAY2LjczMjYBCAAAAAUAAAABMQEAAAAKMTg1MDIyMDg0NQMAAAADMTYwAgAAAAQ0MTg2BAAAAAEwBwAAAAkzLzI5LzIwMjYIAAAACTUvMzAvMjAxNQkAAAABMP3XF3pEjd4IPepvfESN3ggzQ0lRLk5BU0RBUTpDQUxNLklRX0ZJWEVEX0FTU0VUX1RVUk5TLjk5Mi4yOS8wMy8yMDI2AQAAACB6BQACAAAACDIuNTI2OTA0AQgAAAAFAAAAATEBAAAACjE5NzIwMTIxMjEDAAAAAzE2MAIAAAAENDA2NgQAAAABMAcAAAAJMy8yOS8yMDI2CAAAAAg2LzMvMjAxNwkAAAABMP3XF3pEjd4IwYdmfkSN</t>
  </si>
  <si>
    <t>3ggxQ0lRLk5BU0RBUTpDQUxNLklRX1JFVFVSTl9DQVBJVEFMLjIwMDAuMjkvMDMvMjAyNgEAAAAgegUAAgAAAAczOC4zMjUzAQgAAAAFAAAAATEBAAAACy0xOTEwNjI3ODM4AwAAAAMxNjACAAAABDQzNjMEAAAAATAHAAAACTMvMjkvMjAyNggAAAAKMTEvMjkvMjAyNQkAAAABMPuwF3pEjd4IIgNtfESN3ggrQ0lRLk5BU0RBUTpDQUxNLklRX1BBUlRfVElNRS45OTEuMjkvMDMvMjAyNgEAAAAgegUAAgAAAAMxMzQA5mIXekSN3ggtQWt8RI3eCDxDSVEuTkFTREFROkNBTE0uSVFfVE9UQUxfT1VUU1RBTkRJTkdfQlNfREFURS4yMDAwLjI5LzAzLzIwMjYBAAAAIHoFAAIAAAAGNDcuNjU0AQQAAAAFAAAAATUBAAAACy0xOTEwNjI3ODM4AgAAAAUyNDE1MgYAAAABMMEuLXpEjd4IbqNqfESN3ggwQ0lRLk5BU0RBUTpDQUxNLklRX1JFU1RBVEVNRU5UX0JTLjk5Mi4yOS8wMy8yMDI2AQAAACB6BQADAAAAAk5DAPuwF3pEjd4IwdRnfkSN3ggvQ0lRLk5BU0RBUTpDQUxNLklRX1JFVFVSTl9FUVVJVFkuOTkwLjI5LzAzLzIwMjYBAAAAIHoFAAIAAAAHMjQuOTc5NgEIAAAABQAAAAExAQAAAAoxODUwMjIwODQ1AwAAAAMxNjACAAAABDQxMjgEAAAAATAHAAAACTMvMjkvMjAyNggAAAAJNS8zMC8yMDE1CQAAAAEw+7AXekSN3ggiA218RI3eCCtDSVEuTkFTREFROkNBTE0uSVFfUEFSVF9USU1FLjk5Mi4yOS8wMy8yMDI2</t>
  </si>
  <si>
    <t>AQAAACB6BQACAAAAAzE0MADmYhd6RI3eCJLsaH5Ejd4IMENJUS5OQVNEQVE6Q0FMTS5JUV9BVkdfRU1QTE9ZRUVTLjIwMDAuMjkvMDMvMjAyNgEAAAAgegUAAwAAAAAA5mIXekSN3giftmt8RI3eCDtDSVEuTkFTREFROkNBTE0uSVFfVE9UQUxfT1VUU1RBTkRJTkdfQlNfREFURS45OTIuMjkvMDMvMjAyNgEAAAAgegUAAgAAAAY0OC41NzcBBAAAAAUAAAABNQEAAAAKMTk3MjAxMjEyMQIAAAAFMjQxNTIGAAAAATDBLi16RI3eCKE6aX5Ejd4INENJUS5OQVNEQVE6Q0FMTS5JUV9BVkdfVEVNUF9FTVBMT1lFRVMuOTkwLjI5LzAzLzIwMjYBAAAAIHoFAAMAAAAAAOZiF3pEjd4In7ZrfESN3ggzQ0lRLk5BU0RBUTpDQUxNLklRX1RPVEFMX0RFQlRfRUJJVERBLjk5MC4yOS8wMy8yMDI2AQAAACB6BQACAAAACDAuMTg0MjQ2AQgAAAAFAAAAATEBAAAACjE4NTAyMjA4NDUDAAAAAzE2MAIAAAAENDE5MgQAAAABMAcAAAAJMy8yOS8yMDI2CAAAAAk1LzMwLzIwMTUJAAAAATAmfRR6RI3eCJw2cXxEjd4IMENJUS5OQVNEQVE6Q0FMTS5JUV9SRVRVUk5fQ0FQSVRBTC45OTEuMjkvMDMvMjAyNgEAAAAgegUAAgAAAAczNC42MTU0AQgAAAAFAAAAATEBAAAACjE4OTY4MjA1MTcDAAAAAzE2MAIAAAAENDM2MwQAAAABMAcAAAAJMy8yOS8yMDI2CAAAAAk1LzI4LzIwMTYJAAAAATD7sBd6RI3eCB/cbHxEjd4IMUNJUS5OQVNE</t>
  </si>
  <si>
    <t>QVE6Q0FMTS5JUV9QRVJJT0RMRU5HVEhfQ0YuOTkxLjI5LzAzLzIwMjYBAAAAIHoFAAEAAAACMTIApjGAekSN3gjJuGl8RI3eCDNDSVEuTkFTREFROkNBTE0uSVFfVE9UQUxfREVCVF9FQklUREEuOTkyLjI5LzAzLzIwMjYBAAAAIHoFAAMAAAACTk0BCAAAAAUAAAABMQEAAAAKMTk3MjAxMjEyMQMAAAADMTYwAgAAAAQ0MTkyBAAAAAEwBwAAAAkzLzI5LzIwMjYIAAAACDYvMy8yMDE3CQAAAAEwJn0UekSN3ghoKWR+RI3eCDFDSVEuTkFTREFROkNBTE0uSVFfUEVSSU9ETEVOR1RIX0NGLjk5Mi4yOS8wMy8yMDI2AQAAACB6BQABAAAAAjEyAKYxgHpEjd4I29ZpfkSN3ggwQ0lRLk5BU0RBUTpDQUxNLklRX1JFVFVSTl9DQVBJVEFMLjk5MC4yOS8wMy8yMDI2AQAAACB6BQACAAAABzIwLjg0NDQBCAAAAAUAAAABMQEAAAAKMTg1MDIyMDg0NQMAAAADMTYwAgAAAAQ0MzYzBAAAAAEwBwAAAAkzLzI5LzIwMjYIAAAACTUvMzAvMjAxNQkAAAABMPuwF3pEjd4IH9xsfESN3ggvQ0lRLk5BU0RBUTpDQUxNLklRX0NBUEVYX1BDVF9SRVYuOTkwLjI5LzAzLzIwMjYBAAAAIHoFAAIAAAAGNS4yMTkzAQgAAAAFAAAAATEBAAAACjE4NTAyMjA4NDUDAAAAAzE2MAIAAAAFMzUzODAEAAAAATAHAAAACTMvMjkvMjAyNggAAAAJNS8zMC8yMDE1CQAAAAEw/dcXekSN3gh17W18RI3eCDRDSVEuTkFTREFROkNBTE0uSVFfREFZU19J</t>
  </si>
  <si>
    <t>TlZFTlRPUllfT1VULjk5MC4yOS8wMy8yMDI2AQAAACB6BQACAAAACDQ1LjA3OTU4AQgAAAAFAAAAATEBAAAACjE4NTAyMjA4NDUDAAAAAzE2MAIAAAAENDAzNQQAAAABMAcAAAAJMy8yOS8yMDI2CAAAAAk1LzMwLzIwMTUJAAAAATD91xd6RI3eCClhb3xEjd4IL0NJUS5OQVNEQVE6Q0FMTS5JUV9DQVBFWF9QQ1RfUkVWLjk5MS4yOS8wMy8yMDI2AQAAACB6BQACAAAABjMuOTg4NAEIAAAABQAAAAExAQAAAAoxODk2ODIwNTE3AwAAAAMxNjACAAAABTM1MzgwBAAAAAEwBwAAAAkzLzI5LzIwMjYIAAAACTUvMjgvMjAxNgkAAAABMP3XF3pEjd4Ide1tfESN3gg0Q0lRLk5BU0RBUTpDQUxNLklRX0RBWVNfSU5WRU5UT1JZX09VVC45OTIuMjkvMDMvMjAyNgEAAAAgegUAAgAAAAk1Ni44NzYxNTUBCAAAAAUAAAABMQEAAAAKMTk3MjAxMjEyMQMAAAADMTYwAgAAAAQ0MDM1BAAAAAEwBwAAAAkzLzI5LzIwMjYIAAAACDYvMy8yMDE3CQAAAAEw/dcXekSN3ghKiWV+RI3eCDFDSVEuTkFTREFROkNBTE0uSVFfRklMSU5HX0NVUlJFTkNZLjk5MS4yOS8wMy8yMDI2AQAAACB6BQADAAAAA1VTRAB9MpZ6RI3eCL4rbHxEjd4ILUNJUS5OQVNEQVE6Q0FMTS5JUV9JTlZfTUVUSE9ELjIwMDAuMjkvMDMvMjAyNgEAAAAgegUAAwAAAAAAwS4tekSN3gh3ymp8RI3eCEBDSVEuTkFTREFROkNBTE0uSVFfVE9UQUxfT1VUU1RBTkRJ</t>
  </si>
  <si>
    <t>TkdfRklMSU5HX0RBVEUuMjAwMC4yOS8wMy8yMDI2AQAAACB6BQACAAAACTQ3LjY1NDA0NgEEAAAABQAAAAE1AQAAAAstMTkxMDYyNzgzOAIAAAAFMjQxNTMGAAAAATDBLi16RI3eCG6janxEjd4IPkNJUS5OQVNEQVE6Q0FMTS5JUV9FQklUREFfRVhDTF9PUEVSX0xFQVNFU19JTlQuMjAwMC4yOS8wMy8yMDI2AQAAACB6BQACAAAACzIzOTUuMjYxODY4AQgAAAAFAAAAATEBAAAACy0xOTEwNjI3ODM4AwAAAAMxNjACAAAABTQ5MTczBAAAAAEwBwAAAAkzLzI5LzIwMjYIAAAACjExLzI5LzIwMjUJAAAAATD91xd6RI3eCI3ocHxEjd4IMUNJUS5OQVNEQVE6Q0FMTS5JUV9GSUxJTkdfQ1VSUkVOQ1kuOTkyLjI5LzAzLzIwMjYBAAAAIHoFAAMAAAADVVNEAH0ylnpEjd4IQU1qfkSN3ggsQ0lRLk5BU0RBUTpDQUxNLklRX0VCSVREQV9JTlQuOTkyLjI5LzAzLzIwMjYBAAAAIHoFAAMAAAACTk0BCAAAAAUAAAABMQEAAAAKMTk3MjAxMjEyMQMAAAADMTYwAgAAAAQ0MTkwBAAAAAEwBwAAAAkzLzI5LzIwMjYIAAAACDYvMy8yMDE3CQAAAAEw/dcXekSN3gjPd2R+RI3eCCtDSVEuTkFTREFROkNBTE0uSVFfRlVMTF9USU1FLjk5MC4yOS8wMy8yMDI2AQAAACB6BQACAAAABDI3NDkA5mIXekSN3ghOBWt8RI3eCC9DSVEuTkFTREFROkNBTE0uSVFfUkVUVVJOX0FTU0VUUy45OTAuMjkvMDMvMjAyNgEAAAAgegUAAgAAAAcx</t>
  </si>
  <si>
    <t>Ni45MDMxAQgAAAAFAAAAATEBAAAACjE4NTAyMjA4NDUDAAAAAzE2MAIAAAAENDE3OAQAAAABMAcAAAAJMy8yOS8yMDI2CAAAAAk1LzMwLzIwMTUJAAAAATD7sBd6RI3eCOa0bHxEjd4IK0NJUS5OQVNEQVE6Q0FMTS5JUV9GVUxMX1RJTUUuOTkxLjI5LzAzLzIwMjYBAAAAIHoFAAIAAAAEMzE0MwDmYhd6RI3eCHfKanxEjd4IQUNJUS5OQVNEQVE6Q0FMTS5JUV9FTVBMT1lFRVNfVU5ERVJfVU5JT05fQ09OVFJBQ1RTLjk5MS4yOS8wMy8yMDI2AQAAACB6BQADAAAAAADmYhd6RI3eCJ6Pa3xEjd4IQUNJUS5OQVNEQVE6Q0FMTS5JUV9FTVBMT1lFRVNfVU5ERVJfVU5JT05fQ09OVFJBQ1RTLjk5Mi4yOS8wMy8yMDI2AQAAACB6BQADAAAAAADmYhd6RI3eCN+XaH5Ejd4ILkNJUS5OQVNEQVE6Q0FMTS5JUV9RVUlDS19SQVRJTy4yMDAwLjI5LzAzLzIwMjYBAAAAIHoFAAIAAAAINi40MDM5MTkBCAAAAAUAAAABMQEAAAALLTE5MTA2Mjc4MzgDAAAAAzE2MAIAAAAENDEyMQQAAAABMAcAAAAJMy8yOS8yMDI2CAAAAAoxMS8yOS8yMDI1CQAAAAEw/dcXekSN3ggA7G58RI3eCDRDSVEuTkFTREFROkNBTE0uSVFfTlVNQkVSX0FEUkhPTERFUlMuMjAwMC4yOS8wMy8yMDI2AQAAACB6BQADAAAAAADmYhd6RI3eCKXda3xEjd4ILkNJUS5OQVNEQVE6Q0FMTS5JUV9DQUxDX1RZUEVfQ0YuOTkxLjI5LzAzLzIwMjYBAAAAIHoF</t>
  </si>
  <si>
    <t>AAMAAAADUkVQAI2Bf3pEjd4IKC5qfESN3ghDQ0lRLk5BU0RBUTpDQUxNLklRX0RJU1RSSUJVVEFCTEVfQ0FTSF9TSEFSRVNfRElMVVRFRC45OTIuMjkvMDMvMjAyNgEAAAAgegUAAwAAAAAAFZ/kekSN3gj6N2t+RI3eCCpDSVEuTkFTREFROkNBTE0uSVFfR0FBUF9JUy4yMDAwLjI5LzAzLzIwMjYBAAAAIHoFAAMAAAAAAIpZlnpEjd4IybhpfESN3gg7Q0lRLk5BU0RBUTpDQUxNLklRX1RPVEFMX09VVFNUQU5ESU5HX0JTX0RBVEUuOTkwLjI5LzAzLzIwMjYBAAAAIHoFAAIAAAAGNDguNDk4AQQAAAAFAAAAATUBAAAACjE4NTAyMjA4NDUCAAAABTI0MTUyBgAAAAEwwS4tekSN3ghuo2p8RI3eCDtDSVEuTkFTREFROkNBTE0uSVFfVE9UQUxfT1VUU1RBTkRJTkdfQlNfREFURS45OTEuMjkvMDMvMjAyNgEAAAAgegUAAgAAAAY0OC41MzcBBAAAAAUAAAABNQEAAAAKMTg5NjgyMDUxNwIAAAAFMjQxNTIGAAAAATDBLi16RI3eCG6janxEjd4IMUNJUS5OQVNEQVE6Q0FMTS5JUV9SRVNUQVRFTUVOVF9DRi4yMDAwLjI5LzAzLzIwMjYBAAAAIHoFAAMAAAABTwCNgX96RI3eCCguanxEjd4IMkNJUS5OQVNEQVE6Q0FMTS5JUV9QRVJJT0RMRU5HVEhfQ0YuMjAwMC4yOS8wMy8yMDI2AQAAACB6BQABAAAAAjEyAKYxgHpEjd4IMuBpfESN3gguQ0lRLk5BU0RBUTpDQUxNLklRX0NBTENfVFlQRV9DRi45OTAuMjkvMDMvMjAy</t>
  </si>
  <si>
    <t>NgEAAAAgegUAAwAAAANSRVAAjYF/ekSN3ggoLmp8RI3eCCpDSVEuTkFTREFROkNBTE0uSVFfR0FBUF9DRi4yMDAwLjI5LzAzLzIwMjYBAAAAIHoFAAMAAAAAAI2Bf3pEjd4IN1VqfESN3gguQ0lRLk5BU0RBUTpDQUxNLklRX1BBWU9VVF9SQVRJTy45OTIuMjkvMDMvMjAyNgEAAAAgegUAAwAAAAAAfTKWekSN3gi7dGp+RI3eCDBDSVEuTkFTREFROkNBTE0uSVFfUkVTVEFURU1FTlRfSVMuOTkyLjI5LzAzLzIwMjYBAAAAIHoFAAMAAAACUkMAilmWekSN3gjm/Wl+RI3eCEFDSVEuTkFTREFROkNBTE0uSVFfRElTVFJJQlVUQUJMRV9DQVNIX1NIQVJFU19CQVNJQy45OTAuMjkvMDMvMjAyNgEAAAAgegUAAwAAAAAAFZ/kekSN3ggUk2h8RI3eCEFDSVEuTkFTREFROkNBTE0uSVFfRElTVFJJQlVUQUJMRV9DQVNIX1NIQVJFU19CQVNJQy45OTEuMjkvMDMvMjAyNgEAAAAgegUAAwAAAAAAFZ/kekSN3gj5a2h8RI3eCDxDSVEuTkFTREFROkNBTE0uSVFfRElTVFJJQlVUQUJMRV9DQVNIX1BBWU9VVC4yMDAwLjI5LzAzLzIwMjYBAAAAIHoFAAMAAAAAAH0ylnpEjd4IS+FofESN3ggwQ0lRLk5BU0RBUTpDQUxNLklRX1JFU1RBVEVNRU5UX0NGLjk5MC4yOS8wMy8yMDI2AQAAACB6BQADAAAAAk5DAI2Bf3pEjd4IHgdqfESN3ggvQ0lRLk5BU0RBUTpDQUxNLklRX0NBTENfVFlQRV9DRi4yMDAwLjI5LzAzLzIwMjYBAAAA</t>
  </si>
  <si>
    <t>IHoFAAMAAAADTFRNAI2Bf3pEjd4IN1VqfESN3ggxQ0lRLk5BU0RBUTpDQUxNLklRX1BFUklPRExFTkdUSF9DRi45OTAuMjkvMDMvMjAyNgEAAAAgegUAAQAAAAIxMgCmMYB6RI3eCMm4aXxEjd4IKUNJUS5OQVNEQVE6Q0FMTS5JUV9HQUFQX0lTLjk5Mi4yOS8wMy8yMDI2AQAAACB6BQADAAAAB1VTIEdBQVAAilmWekSN3gjm/Wl+RI3eCDFDSVEuTkFTREFROkNBTE0uSVFfRUZGRUNUX1RBWF9SQVRFLjk5MC4yOS8wMy8yMDI2AQAAACB6BQACAAAABjM0LjE3OQEIAAAABQAAAAExAQAAAAoxODUwMjIwODQ1AwAAAAMxNjACAAAABDQzNzYEAAAAATAHAAAACTMvMjkvMjAyNggAAAAJNS8zMC8yMDE1CQAAAAEwfTKWekSN3giGCGl8RI3eCDBDSVEuTkFTREFROkNBTE0uSVFfUkVTVEFURU1FTlRfQ0YuOTkxLjI5LzAzLzIwMjYBAAAAIHoFAAMAAAACUlMAjYF/ekSN3ggeB2p8RI3eCClDSVEuTkFTREFROkNBTE0uSVFfR0FBUF9DRi45OTAuMjkvMDMvMjAyNgEAAAAgegUAAwAAAAdVUyBHQUFQAI2Bf3pEjd4IN1VqfESN3ggwQ0lRLk5BU0RBUTpDQUxNLklRX1JFU1RBVEVNRU5UX0NGLjk5Mi4yOS8wMy8yMDI2AQAAACB6BQADAAAAAlJTAI2Bf3pEjd4Ixq9pfkSN3ggpQ0lRLk5BU0RBUTpDQUxNLklRX0dBQVBfQ0YuOTkxLjI5LzAzLzIwMjYBAAAAIHoFAAMAAAAHVVMgR0FBUACNgX96RI3eCDdVanxEjd4IMUNJ</t>
  </si>
  <si>
    <t>US5OQVNEQVE6Q0FMTS5JUV9FRkZFQ1RfVEFYX1JBVEUuOTkyLjI5LzAzLzIwMjYBAAAAIHoFAAMAAAACTk0BCAAAAAUAAAABMQEAAAAKMTk3MjAxMjEyMQMAAAADMTYwAgAAAAQ0Mzc2BAAAAAEwBwAAAAkzLzI5LzIwMjYIAAAACDYvMy8yMDE3CQAAAAEwfTKWekSN3gi7dGp+RI3eCDBDSVEuTkFTREFROkNBTE0uSVFfUkVTVEFURU1FTlRfSVMuOTkwLjI5LzAzLzIwMjYBAAAAIHoFAAMAAAACUkMAilmWekSN3ghrVml8RI3eCClDSVEuTkFTREFROkNBTE0uSVFfR0FBUF9DRi45OTIuMjkvMDMvMjAyNgEAAAAgegUAAwAAAAdVUyBHQUFQAI2Bf3pEjd4IsGFpfkSN3ggsQ0lRLk5BU0RBUTpDQUxNLklRX0lOVl9NRVRIT0QuOTkxLjI5LzAzLzIwMjYBAAAAIHoFAAMAAAAERklGTwDBLi16RI3eCHfKanxEjd4IMkNJUS5OQVNEQVE6Q0FMTS5JUV9EUl9SQVRJT19QUklNQVJZLjk5MS4yOS8wMy8yMDI2AQAAACB6BQADAAAAAAAVn+R6RI3eCMDiZ3xEjd4IL0NJUS5OQVNEQVE6Q0FMTS5JUV9CQVNJQ19XRUlHSFQuMjAwMC4yOS8wMy8yMDI2AQAAACB6BQACAAAABjQ4LjQxMwAVn+R6RI3eCJdtZ3xEjd4IMENJUS5OQVNEQVE6Q0FMTS5JUV9SRVNUQVRFTUVOVF9JUy45OTEuMjkvMDMvMjAyNgEAAAAgegUAAwAAAAJOQwCKWZZ6RI3eCGtWaXxEjd4IQkNJUS5OQVNEQVE6Q0FMTS5JUV9ESVNUUklCVVRBQkxFX0NB</t>
  </si>
  <si>
    <t>U0hfU0hBUkVTX0JBU0lDLjIwMDAuMjkvMDMvMjAyNgEAAAAgegUAAwAAAAAAFZ/kekSN3ggUk2h8RI3eCDJDSVEuTkFTREFROkNBTE0uSVFfRUZGRUNUX1RBWF9SQVRFLjIwMDAuMjkvMDMvMjAyNgEAAAAgegUAAgAAAAcyMy45NjgxAQgAAAAFAAAAATEBAAAACy0xOTEwNjI3ODM4AwAAAAMxNjACAAAABDQzNzYEAAAAATAHAAAACTMvMjkvMjAyNggAAAAKMTEvMjkvMjAyNQkAAAABMH0ylnpEjd4IhghpfESN3ggvQ0lRLk5BU0RBUTpDQUxNLklRX0NBTENfVFlQRV9JUy4yMDAwLjI5LzAzLzIwMjYBAAAAIHoFAAMAAAADTFRNAIpZlnpEjd4IRpFpfESN3ggwQ0lRLk5BU0RBUTpDQUxNLklRX0ZJTElOR0RBVEVfSVMuMjAwMC4yOS8wMy8yMDI2AQAAACB6BQAFAAAACjA3LzAxLzIwMjYAFZ/kekSN3ggBRWh8RI3eCENDSVEuTkFTREFROkNBTE0uSVFfRElTVFJJQlVUQUJMRV9DQVNIX1NIQVJFU19ESUxVVEVELjk5MS4yOS8wMy8yMDI2AQAAACB6BQADAAAAAAAVn+R6RI3eCBSTaHxEjd4IMUNJUS5OQVNEQVE6Q0FMTS5JUV9QRVJJT0RMRU5HVEhfSVMuOTkyLjI5LzAzLzIwMjYBAAAAIHoFAAEAAAACMTIAFZ/kekSN3gjuEGt+RI3eCClDSVEuTkFTREFROkNBTE0uSVFfR0FBUF9JUy45OTAuMjkvMDMvMjAyNgEAAAAgegUAAwAAAAdVUyBHQUFQAIpZlnpEjd4IRpFpfESN3ghDQ0lRLk5BU0RBUTpDQUxNLklR</t>
  </si>
  <si>
    <t>X0RJU1RSSUJVVEFCTEVfQ0FTSF9TSEFSRVNfRElMVVRFRC45OTAuMjkvMDMvMjAyNgEAAAAgegUAAwAAAAAAFZ/kekSN3ggUk2h8RI3eCC5DSVEuTkFTREFROkNBTE0uSVFfUEFZT1VUX1JBVElPLjk5MC4yOS8wMy8yMDI2AQAAACB6BQACAAAABjMwLjMzMQEIAAAABQAAAAExAQAAAAoxODUwMjIwODQ1AwAAAAMxNjACAAAABDQzNzcEAAAAATAHAAAACTMvMjkvMjAyNggAAAAJNS8zMC8yMDE1CQAAAAEwfTKWekSN3giGCGl8RI3eCDFDSVEuTkFTREFROkNBTE0uSVFfUEVSSU9ETEVOR1RIX0lTLjk5MC4yOS8wMy8yMDI2AQAAACB6BQABAAAAAjEyABWf5HpEjd4I3x1ofESN3gguQ0lRLk5BU0RBUTpDQUxNLklRX1BBWU9VVF9SQVRJTy45OTEuMjkvMDMvMjAyNgEAAAAgegUAAgAAAAczOC4yNjc4AQgAAAAFAAAAATEBAAAACjE4OTY4MjA1MTcDAAAAAzE2MAIAAAAENDM3NwQAAAABMAcAAAAJMy8yOS8yMDI2CAAAAAk1LzI4LzIwMTYJAAAAATB9MpZ6RI3eCIYIaXxEjd4IKUNJUS5OQVNEQVE6Q0FMTS5JUV9HQUFQX0lTLjk5MS4yOS8wMy8yMDI2AQAAACB6BQADAAAAB1VTIEdBQVAAilmWekSN3ghGkWl8RI3eCDFDSVEuTkFTREFROkNBTE0uSVFfUEVSSU9ETEVOR1RIX0lTLjk5MS4yOS8wMy8yMDI2AQAAACB6BQABAAAAAjEyABWf5HpEjd4I3x1ofESN3ggsQ0lRLk5BU0RBUTpDQUxNLklRX1NBTUVfU1RP</t>
  </si>
  <si>
    <t>UkUuOTkwLjI5LzAzLzIwMjYBAAAAIHoFAAMAAAAAAFcLlnpEjd4I+WtofESN3gg7Q0lRLk5BU0RBUTpDQUxNLklRX0RJU1RSSUJVVEFCTEVfQ0FTSF9QQVlPVVQuOTkwLjI5LzAzLzIwMjYBAAAAIHoFAAMAAAAAAH0ylnpEjd4IS+FofESN3gg7Q0lRLk5BU0RBUTpDQUxNLklRX0RJU1RSSUJVVEFCTEVfQ0FTSF9QQVlPVVQuOTkyLjI5LzAzLzIwMjYBAAAAIHoFAAMAAAAAAH0ylnpEjd4It5tqfkSN3ggsQ0lRLk5BU0RBUTpDQUxNLklRX1NBTUVfU1RPUkUuOTkyLjI5LzAzLzIwMjYBAAAAIHoFAAMAAAAAAFcLlnpEjd4Iy+lqfkSN3ggvQ0lRLk5BU0RBUTpDQUxNLklRX0RJTFVUX1dFSUdIVC4yMDAwLjI5LzAzLzIwMjYBAAAAIHoFAAIAAAAGNDguNTYyABWf5HpEjd4Il21nfESN3gguQ0lRLk5BU0RBUTpDQUxNLklRX0JBU0lDX1dFSUdIVC45OTEuMjkvMDMvMjAyNgEAAAAgegUAAgAAAAY0OC4xOTUAFZ/kekSN3gh+Rmd8RI3eCDFDSVEuTkFTREFROkNBTE0uSVFfRUZGRUNUX1RBWF9SQVRFLjk5MS4yOS8wMy8yMDI2AQAAACB6BQACAAAABzM0LjcyNTkBCAAAAAUAAAABMQEAAAAKMTg5NjgyMDUxNwMAAAADMTYwAgAAAAQ0Mzc2BAAAAAEwBwAAAAkzLzI5LzIwMjYIAAAACTUvMjgvMjAxNgkAAAABMH0ylnpEjd4IhghpfESN3gguQ0lRLk5BU0RBUTpDQUxNLklRX0NBTENfVFlQRV9JUy45OTAuMjkvMDMv</t>
  </si>
  <si>
    <t>MjAyNgEAAAAgegUAAwAAAANSRVAAilmWekSN3ghGkWl8RI3eCEFDSVEuTkFTREFROkNBTE0uSVFfRElTVFJJQlVUQUJMRV9DQVNIX1NIQVJFU19CQVNJQy45OTIuMjkvMDMvMjAyNgEAAAAgegUAAwAAAAAAFZ/kekSN3ggEX2t+RI3eCC5DSVEuTkFTREFROkNBTE0uSVFfQ0FMQ19UWVBFX0lTLjk5Mi4yOS8wMy8yMDI2AQAAACB6BQADAAAAA1JFUACKWZZ6RI3eCOb9aX5Ejd4IL0NJUS5OQVNEQVE6Q0FMTS5JUV9GSUxJTkdEQVRFX0lTLjk5MC4yOS8wMy8yMDI2AQAAACB6BQAFAAAACjI0LzA3LzIwMTcAFZ/kekSN3gjfHWh8RI3eCC9DSVEuTkFTREFROkNBTE0uSVFfRklMSU5HREFURV9JUy45OTIuMjkvMDMvMjAyNgEAAAAgegUABQAAAAoyMi8wNy8yMDE5ABWf5HpEjd4I7hBrfkSN3ghEQ0lRLk5BU0RBUTpDQUxNLklRX0RJU1RSSUJVVEFCTEVfQ0FTSF9TSEFSRVNfRElMVVRFRC4yMDAwLjI5LzAzLzIwMjYBAAAAIHoFAAMAAAAAABWf5HpEjd4IQrpofESN3ggvQ0lRLk5BU0RBUTpDQUxNLklRX1BBWU9VVF9SQVRJTy4yMDAwLjI5LzAzLzIwMjYBAAAAIHoFAAIAAAAHMzYuNjg4MwEIAAAABQAAAAExAQAAAAstMTkxMDYyNzgzOAMAAAADMTYwAgAAAAQ0Mzc3BAAAAAEwBwAAAAkzLzI5LzIwMjYIAAAACjExLzI5LzIwMjUJAAAAATB9MpZ6RI3eCEwvaXxEjd4ILkNJUS5OQVNEQVE6Q0FMTS5JUV9CQVNJ</t>
  </si>
  <si>
    <t>Q19XRUlHSFQuOTkyLjI5LzAzLzIwMjYBAAAAIHoFAAIAAAAGNDguMzYyABWf5HpEjd4I2sBrfkSN3gguQ0lRLk5BU0RBUTpDQUxNLklRX0RJTFVUX1dFSUdIVC45OTAuMjkvMDMvMjAyNgEAAAAgegUAAgAAAAY0OC40MzcAFZ/kekSN3giXbWd8RI3eCC5DSVEuTkFTREFROkNBTE0uSVFfRElMVVRfV0VJR0hULjk5MS4yOS8wMy8yMDI2AQAAACB6BQACAAAABjQ4LjM2NQAVn+R6RI3eCJdtZ3xEjd4ILUNJUS5OQVNEQVE6Q0FMTS5JUV9QRVJJT0REQVRFLjIwMDAuMjkvMDMvMjAyNgEAAAAgegUABQAAAAoyOS8xMS8yMDI1AFoq5HpEjd4IfkZnfESN3gguQ0lRLk5BU0RBUTpDQUxNLklRX0NBTENfVFlQRV9JUy45OTEuMjkvMDMvMjAyNgEAAAAgegUAAwAAAANSRVAAilmWekSN3ghGkWl8RI3eCDJDSVEuTkFTREFROkNBTE0uSVFfUEVSSU9ETEVOR1RIX0lTLjIwMDAuMjkvMDMvMjAyNgEAAAAgegUAAQAAAAIxMgAVn+R6RI3eCAFFaHxEjd4ILkNJUS5OQVNEQVE6Q0FMTS5JUV9CQVNJQ19XRUlHSFQuOTkwLjI5LzAzLzIwMjYBAAAAIHoFAAIAAAAGNDguMTM2ABWf5HpEjd4IfkZnfESN3ggvQ0lRLk5BU0RBUTpDQUxNLklRX0ZJTElOR0RBVEVfSVMuOTkxLjI5LzAzLzIwMjYBAAAAIHoFAAUAAAAKMjMvMDcvMjAxOAAVn+R6RI3eCN8daHxEjd4ILENJUS5OQVNEQVE6Q0FMTS5JUV9TQU1FX1NUT1JFLjk5MS4y</t>
  </si>
  <si>
    <t>OS8wMy8yMDI2AQAAACB6BQADAAAAAABXC5Z6RI3eCPlraHxEjd4IMUNJUS5OQVNEQVE6Q0FMTS5JUV9SRVNUQVRFTUVOVF9JUy4yMDAwLjI5LzAzLzIwMjYBAAAAIHoFAAMAAAABTwCKWZZ6RI3eCGtWaXxEjd4ILUNJUS5OQVNEQVE6Q0FMTS5JUV9TQU1FX1NUT1JFLjIwMDAuMjkvMDMvMjAyNgEAAAAgegUAAwAAAAAAVwuWekSN3gj5a2h8RI3eCDNDSVEuTkFTREFROkNBTE0uSVFfRFJfUkFUSU9fUFJJTUFSWS4yMDAwLjI5LzAzLzIwMjYBAAAAIHoFAAMAAAAAABWf5HpEjd4I6AlofESN3gguQ0lRLk5BU0RBUTpDQUxNLklRX0RJTFVUX1dFSUdIVC45OTIuMjkvMDMvMjAyNgEAAAAgegUAAgAAAAY0OC4zNjIAFZ/kekSN3ggUhmt+RI3eCDtDSVEuTkFTREFROkNBTE0uSVFfRElTVFJJQlVUQUJMRV9DQVNIX1BBWU9VVC45OTEuMjkvMDMvMjAyNgEAAAAgegUAAwAAAAAAfTKWekSN3ghCumh8RI3eCDJDSVEuTkFTREFROkNBTE0uSVFfRFJfUkFUSU9fUFJJTUFSWS45OTAuMjkvMDMvMjAyNgEAAAAgegUAAwAAAAAAFZ/kekSN3gjA4md8RI3eCDJDSVEuTkFTREFROkNBTE0uSVFfRFJfUkFUSU9fUFJJTUFSWS45OTIuMjkvMDMvMjAyNgEAAAAgegUAAwAAAAAAFZ/kekSN3gj6N2t+RI3eCCxDSVEuTkFTREFROkNBTE0uSVFfUEVSSU9EREFURS45OTAuMjkvMDMvMjAyNgEAAAAgegUABQAAAAozMC8wNS8yMDE1</t>
  </si>
  <si>
    <t>AFoq5HpEjd4IcB9nfESN3gguQ0lRLk5BU0RBUTpDQUxNLklRX0JBU0lDX1dFSUdIVC45OTkuMjkvMDMvMjAyNgEAAAAgegUAAgAAAAY0OC43MTcAFZ/kekSN3ggUhmt+RI3eCC9DSVEuTkFTREFROkNBTE0uSVFfRElMVVRfV0VJR0hULjEwMDAuMjkvMDMvMjAyNgEAAAAgegUAAgAAAAY0OC44OTEAFZ/kekSN3ggUhmt+RI3eCC5DSVEuTkFTREFROkNBTE0uSVFfRElMVVRfV0VJR0hULjk5NS4yOS8wMy8yMDI2AQAAACB6BQACAAAABjQ4LjU4NAAVn+R6RI3eCBSGa35Ejd4ILkNJUS5OQVNEQVE6Q0FMTS5JUV9ESUxVVF9XRUlHSFQuOTk4LjI5LzAzLzIwMjYBAAAAIHoFAAIAAAAGNDguODM0ABWf5HpEjd4IFIZrfkSN3gguQ0lRLk5BU0RBUTpDQUxNLklRX0JBU0lDX1dFSUdIVC45OTguMjkvMDMvMjAyNgEAAAAgegUAAgAAAAY0OC42NDgAFZ/kekSN3ggUhmt+RI3eCC5DSVEuTkFTREFROkNBTE0uSVFfUEFZT1VUX1JBVElPLjk5OS4yOS8wMy8yMDI2AQAAACB6BQACAAAABjMzLjA1NQEIAAAABQAAAAExAQAAAAstMTkzNDk3ODQ4MAMAAAADMTYwAgAAAAQ0Mzc3BAAAAAEwBwAAAAkzLzI5LzIwMjYIAAAACDYvMS8yMDI0CQAAAAEwfTKWekSN3ghBTWp+RI3eCEFDSVEuTkFTREFROkNBTE0uSVFfRElTVFJJQlVUQUJMRV9DQVNIX1NIQVJFU19CQVNJQy45OTMuMjkvMDMvMjAyNgEAAAAgegUAAwAAAAAAFZ/k</t>
  </si>
  <si>
    <t>ekSN3ggUhmt+RI3eCDFDSVEuTkFTREFROkNBTE0uSVFfUEVSSU9ETEVOR1RIX0lTLjk5OS4yOS8wMy8yMDI2AQAAACB6BQABAAAAAjEyABWf5HpEjd4Iy+lqfkSN3gguQ0lRLk5BU0RBUTpDQUxNLklRX0RJTFVUX1dFSUdIVC45OTkuMjkvMDMvMjAyNgEAAAAgegUAAgAAAAY0OC44NzMAFZ/kekSN3ggUhmt+RI3eCDJDSVEuTkFTREFROkNBTE0uSVFfUEVSSU9ETEVOR1RIX0lTLjEwMDAuMjkvMDMvMjAyNgEAAAAgegUAAQAAAAIxMgAVn+R6RI3eCMvpan5Ejd4IMUNJUS5OQVNEQVE6Q0FMTS5JUV9QRVJJT0RMRU5HVEhfSVMuOTkzLjI5LzAzLzIwMjYBAAAAIHoFAAEAAAACMTIAFZ/kekSN3gjL6Wp+RI3eCDBDSVEuTkFTREFROkNBTE0uSVFfRklMSU5HREFURV9JUy4xMDAwLjI5LzAzLzIwMjYBAAAAIHoFAAUAAAAKMjIvMDcvMjAyNQAVn+R6RI3eCMvpan5Ejd4IQ0NJUS5OQVNEQVE6Q0FMTS5JUV9ESVNUUklCVVRBQkxFX0NBU0hfU0hBUkVTX0RJTFVURUQuOTk5LjI5LzAzLzIwMjYBAAAAIHoFAAMAAAAAABWf5HpEjd4IBF9rfkSN3ggyQ0lRLk5BU0RBUTpDQUxNLklRX0RSX1JBVElPX1BSSU1BUlkuOTk3LjI5LzAzLzIwMjYBAAAAIHoFAAMAAAAAABWf5HpEjd4I+jdrfkSN3gguQ0lRLk5BU0RBUTpDQUxNLklRX0JBU0lDX1dFSUdIVC45OTQuMjkvMDMvMjAyNgEAAAAgegUAAgAAAAY0OC40NjcAFZ/k</t>
  </si>
  <si>
    <t>ekSN3ggUhmt+RI3eCCxDSVEuTkFTREFROkNBTE0uSVFfU0FNRV9TVE9SRS45OTkuMjkvMDMvMjAyNgEAAAAgegUAAwAAAAAAVwuWekSN3gjCwmp+RI3eCC9DSVEuTkFTREFROkNBTE0uSVFfRklMSU5HREFURV9JUy45OTQuMjkvMDMvMjAyNgEAAAAgegUABQAAAAoxOS8wNy8yMDIxABWf5HpEjd4I7hBrfkSN3ggzQ0lRLk5BU0RBUTpDQUxNLklRX0RSX1JBVElPX1BSSU1BUlkuMTAwMC4yOS8wMy8yMDI2AQAAACB6BQADAAAAAAAVn+R6RI3eCPo3a35Ejd4IQkNJUS5OQVNEQVE6Q0FMTS5JUV9ESVNUUklCVVRBQkxFX0NBU0hfU0hBUkVTX0JBU0lDLjEwMDAuMjkvMDMvMjAyNgEAAAAgegUAAwAAAAAAFZ/kekSN3ggEX2t+RI3eCEFDSVEuTkFTREFROkNBTE0uSVFfRElTVFJJQlVUQUJMRV9DQVNIX1NIQVJFU19CQVNJQy45OTguMjkvMDMvMjAyNgEAAAAgegUAAwAAAAAAFZ/kekSN3ggEX2t+RI3eCEFDSVEuTkFTREFROkNBTE0uSVFfRElTVFJJQlVUQUJMRV9DQVNIX1NIQVJFU19CQVNJQy45OTcuMjkvMDMvMjAyNgEAAAAgegUAAwAAAAAAFZ/kekSN3ggUhmt+RI3eCC9DSVEuTkFTREFROkNBTE0uSVFfRklMSU5HREFURV9JUy45OTMuMjkvMDMvMjAyNgEAAAAgegUABQAAAAoyMC8wNy8yMDIwABWf5HpEjd4I7hBrfkSN3ggyQ0lRLk5BU0RBUTpDQUxNLklRX0RSX1JBVElPX1BSSU1BUlkuOTk4LjI5LzAz</t>
  </si>
  <si>
    <t>LzIwMjYBAAAAIHoFAAMAAAAAABWf5HpEjd4I7hBrfkSN3ghDQ0lRLk5BU0RBUTpDQUxNLklRX0RJU1RSSUJVVEFCTEVfQ0FTSF9TSEFSRVNfRElMVVRFRC45OTYuMjkvMDMvMjAyNgEAAAAgegUAAwAAAAAAFZ/kekSN3ggEX2t+RI3eCC5DSVEuTkFTREFROkNBTE0uSVFfRElMVVRfV0VJR0hULjk5My4yOS8wMy8yMDI2AQAAACB6BQACAAAABjQ4LjQ2OAAVn+R6RI3eCBSGa35Ejd4IMUNJUS5OQVNEQVE6Q0FMTS5JUV9QRVJJT0RMRU5HVEhfSVMuOTk2LjI5LzAzLzIwMjYBAAAAIHoFAAEAAAACMTIAFZ/kekSN3gjuEGt+RI3eCENDSVEuTkFTREFROkNBTE0uSVFfRElTVFJJQlVUQUJMRV9DQVNIX1NIQVJFU19ESUxVVEVELjk5NS4yOS8wMy8yMDI2AQAAACB6BQADAAAAAAAVn+R6RI3eCARfa35Ejd4IMkNJUS5OQVNEQVE6Q0FMTS5JUV9EUl9SQVRJT19QUklNQVJZLjk5My4yOS8wMy8yMDI2AQAAACB6BQADAAAAAAAVn+R6RI3eCPo3a35Ejd4IMkNJUS5OQVNEQVE6Q0FMTS5JUV9EUl9SQVRJT19QUklNQVJZLjk5NS4yOS8wMy8yMDI2AQAAACB6BQADAAAAAAAVn+R6RI3eCO4Qa35Ejd4IMUNJUS5OQVNEQVE6Q0FMTS5JUV9FRkZFQ1RfVEFYX1JBVEUuOTk3LjI5LzAzLzIwMjYBAAAAIHoFAAIAAAAHMjAuMjIzNAEIAAAABQAAAAExAQAAAAstMTk4NjcwODQzMwMAAAADMTYwAgAAAAQ0Mzc2BAAAAAEwBwAA</t>
  </si>
  <si>
    <t>AAkzLzI5LzIwMjYIAAAACTUvMjgvMjAyMgkAAAABMH0ylnpEjd4Iu3RqfkSN3ghDQ0lRLk5BU0RBUTpDQUxNLklRX0RJU1RSSUJVVEFCTEVfQ0FTSF9TSEFSRVNfRElMVVRFRC45OTcuMjkvMDMvMjAyNgEAAAAgegUAAwAAAAAAFZ/kekSN3gj6N2t+RI3eCC9DSVEuTkFTREFROkNBTE0uSVFfRklMSU5HREFURV9JUy45OTkuMjkvMDMvMjAyNgEAAAAgegUABQAAAAoyMi8wNy8yMDI1ABWf5HpEjd4I7hBrfkSN3ghDQ0lRLk5BU0RBUTpDQUxNLklRX0RJU1RSSUJVVEFCTEVfQ0FTSF9TSEFSRVNfRElMVVRFRC45OTQuMjkvMDMvMjAyNgEAAAAgegUAAwAAAAAAFZ/kekSN3gj6N2t+RI3eCC1DSVEuTkFTREFROkNBTE0uSVFfUEVSSU9EREFURS4xMDAwLjI5LzAzLzIwMjYBAAAAIHoFAAUAAAAKMzEvMDUvMjAyNQBaKuR6RI3eCBSGa35Ejd4ILkNJUS5OQVNEQVE6Q0FMTS5JUV9DQUxDX1RZUEVfSVMuOTk3LjI5LzAzLzIwMjYBAAAAIHoFAAMAAAADUkVQAIpZlnpEjd4I5v1pfkSN3ggsQ0lRLk5BU0RBUTpDQUxNLklRX1NBTUVfU1RPUkUuOTk0LjI5LzAzLzIwMjYBAAAAIHoFAAMAAAAAAFcLlnpEjd4IwsJqfkSN3ggyQ0lRLk5BU0RBUTpDQUxNLklRX0RSX1JBVElPX1BSSU1BUlkuOTk2LjI5LzAzLzIwMjYBAAAAIHoFAAMAAAAAABWf5HpEjd4I+jdrfkSN3ggxQ0lRLk5BU0RBUTpDQUxNLklRX0VGRkVDVF9U</t>
  </si>
  <si>
    <t>QVhfUkFURS45OTMuMjkvMDMvMjAyNgEAAAAgegUAAwAAAAJOTQEIAAAABQAAAAExAQAAAAoyMDQ1NzQ5MzEwAwAAAAMxNjACAAAABDQzNzYEAAAAATAHAAAACTMvMjkvMjAyNggAAAAINi8yLzIwMTgJAAAAATB9MpZ6RI3eCLt0an5Ejd4IMUNJUS5OQVNEQVE6Q0FMTS5JUV9QRVJJT0RMRU5HVEhfSVMuOTk0LjI5LzAzLzIwMjYBAAAAIHoFAAEAAAACMTIAFZ/kekSN3gjuEGt+RI3eCC9DSVEuTkFTREFROkNBTE0uSVFfQkFTSUNfV0VJR0hULjEwMDAuMjkvMDMvMjAyNgEAAAAgegUAAgAAAAY0OC43MTkAFZ/kekSN3ggUhmt+RI3eCENDSVEuTkFTREFROkNBTE0uSVFfRElTVFJJQlVUQUJMRV9DQVNIX1NIQVJFU19ESUxVVEVELjk5OC4yOS8wMy8yMDI2AQAAACB6BQADAAAAAAAVn+R6RI3eCPo3a35Ejd4IL0NJUS5OQVNEQVE6Q0FMTS5JUV9GSUxJTkdEQVRFX0lTLjk5OC4yOS8wMy8yMDI2AQAAACB6BQAFAAAACjIyLzA3LzIwMjUAFZ/kekSN3gjuEGt+RI3eCENDSVEuTkFTREFROkNBTE0uSVFfRElTVFJJQlVUQUJMRV9DQVNIX1NIQVJFU19ESUxVVEVELjk5My4yOS8wMy8yMDI2AQAAACB6BQADAAAAAAAVn+R6RI3eCPo3a35Ejd4IL0NJUS5OQVNEQVE6Q0FMTS5JUV9GSUxJTkdEQVRFX0lTLjk5NS4yOS8wMy8yMDI2AQAAACB6BQAFAAAACjE5LzA3LzIwMjIAFZ/kekSN3gjuEGt+RI3eCC9DSVEuTkFT</t>
  </si>
  <si>
    <t>REFROkNBTE0uSVFfRklMSU5HREFURV9JUy45OTYuMjkvMDMvMjAyNgEAAAAgegUABQAAAAoyNS8wNy8yMDIzABWf5HpEjd4I7hBrfkSN3ggsQ0lRLk5BU0RBUTpDQUxNLklRX1NBTUVfU1RPUkUuOTk2LjI5LzAzLzIwMjYBAAAAIHoFAAMAAAAAAFcLlnpEjd4Iy+lqfkSN3ghEQ0lRLk5BU0RBUTpDQUxNLklRX0RJU1RSSUJVVEFCTEVfQ0FTSF9TSEFSRVNfRElMVVRFRC4xMDAwLjI5LzAzLzIwMjYBAAAAIHoFAAMAAAAAABWf5HpEjd4IBF9rfkSN3ggpQ0lRLk5BU0RBUTpDQUxNLklRX0dBQVBfSVMuOTk5LjI5LzAzLzIwMjYBAAAAIHoFAAMAAAAHVVMgR0FBUACKWZZ6RI3eCNvWaX5Ejd4IMENJUS5OQVNEQVE6Q0FMTS5JUV9SRVNUQVRFTUVOVF9JUy45OTUuMjkvMDMvMjAyNgEAAAAgegUAAwAAAAJSQwCKWZZ6RI3eCMI4an5Ejd4IMENJUS5OQVNEQVE6Q0FMTS5JUV9SRVNUQVRFTUVOVF9JUy45OTYuMjkvMDMvMjAyNgEAAAAgegUAAwAAAAJSQwCKWZZ6RI3eCMI4an5Ejd4IMUNJUS5OQVNEQVE6Q0FMTS5JUV9QRVJJT0RMRU5HVEhfQ0YuOTk4LjI5LzAzLzIwMjYBAAAAIHoFAAEAAAACMTIApjGAekSN3gjb1ml+RI3eCDFDSVEuTkFTREFROkNBTE0uSVFfUkVTVEFURU1FTlRfSVMuMTAwMC4yOS8wMy8yMDI2AQAAACB6BQADAAAAAU8AilmWekSN3gjm/Wl+RI3eCClDSVEuTkFTREFROkNBTE0uSVFfR0FB</t>
  </si>
  <si>
    <t>UF9JUy45OTguMjkvMDMvMjAyNgEAAAAgegUAAwAAAAdVUyBHQUFQAIpZlnpEjd4I29ZpfkSN3ggwQ0lRLk5BU0RBUTpDQUxNLklRX1JFU1RBVEVNRU5UX0lTLjk5NC4yOS8wMy8yMDI2AQAAACB6BQADAAAAAlJDAIpZlnpEjd4IwjhqfkSN3ggvQ0lRLk5BU0RBUTpDQUxNLklRX1BBWU9VVF9SQVRJTy4xMDAwLjI5LzAzLzIwMjYBAAAAIHoFAAIAAAAHMjcuMDcxOAEIAAAABQAAAAExAQAAAAstMTkzNDk3ODM4MQMAAAADMTYwAgAAAAQ0Mzc3BAAAAAEwBwAAAAkzLzI5LzIwMjYIAAAACTUvMzEvMjAyNQkAAAABMH0ylnpEjd4IQU1qfkSN3ggyQ0lRLk5BU0RBUTpDQUxNLklRX0RSX1JBVElPX1BSSU1BUlkuOTk0LjI5LzAzLzIwMjYBAAAAIHoFAAMAAAAAABWf5HpEjd4I+jdrfkSN3gguQ0lRLk5BU0RBUTpDQUxNLklRX0RJTFVUX1dFSUdIVC45OTYuMjkvMDMvMjAyNgEAAAAgegUAAgAAAAY0OC42NTYAFZ/kekSN3ggUhmt+RI3eCDFDSVEuTkFTREFROkNBTE0uSVFfUEVSSU9ETEVOR1RIX0NGLjk5OS4yOS8wMy8yMDI2AQAAACB6BQABAAAAAjEyAKYxgHpEjd4Ixq9pfkSN3ggwQ0lRLk5BU0RBUTpDQUxNLklRX1JFU1RBVEVNRU5UX0lTLjk5OS4yOS8wMy8yMDI2AQAAACB6BQADAAAAAk5DAIpZlnpEjd4I5v1pfkSN3gguQ0lRLk5BU0RBUTpDQUxNLklRX0RJTFVUX1dFSUdIVC45OTQuMjkvMDMvMjAyNgEA</t>
  </si>
  <si>
    <t>AAAgegUAAgAAAAY0OC41ODkAFZ/kekSN3ggUhmt+RI3eCC5DSVEuTkFTREFROkNBTE0uSVFfQ0FMQ19UWVBFX0lTLjk5My4yOS8wMy8yMDI2AQAAACB6BQADAAAAA1JFUACKWZZ6RI3eCOb9aX5Ejd4IMENJUS5OQVNEQVE6Q0FMTS5JUV9SRVNUQVRFTUVOVF9JUy45OTguMjkvMDMvMjAyNgEAAAAgegUAAwAAAAJOQwCKWZZ6RI3eCOb9aX5Ejd4IMUNJUS5OQVNEQVE6Q0FMTS5JUV9QRVJJT0RMRU5HVEhfSVMuOTk4LjI5LzAzLzIwMjYBAAAAIHoFAAEAAAACMTIAFZ/kekSN3gjL6Wp+RI3eCC9DSVEuTkFTREFROkNBTE0uSVFfRklMSU5HREFURV9JUy45OTcuMjkvMDMvMjAyNgEAAAAgegUABQAAAAoyMy8wNy8yMDI0ABWf5HpEjd4I7hBrfkSN3ggyQ0lRLk5BU0RBUTpDQUxNLklRX0RSX1JBVElPX1BSSU1BUlkuOTk5LjI5LzAzLzIwMjYBAAAAIHoFAAMAAAAAABWf5HpEjd4I+jdrfkSN3ggxQ0lRLk5BU0RBUTpDQUxNLklRX0VGRkVDVF9UQVhfUkFURS45OTQuMjkvMDMvMjAyNgEAAAAgegUAAgAAAAcyMi4yMzQzAQgAAAAFAAAAATEBAAAACy0yMTQyNDI5MDM5AwAAAAMxNjACAAAABDQzNzYEAAAAATAHAAAACTMvMjkvMjAyNggAAAAINi8xLzIwMTkJAAAAATB9MpZ6RI3eCLt0an5Ejd4IQUNJUS5OQVNEQVE6Q0FMTS5JUV9ESVNUUklCVVRBQkxFX0NBU0hfU0hBUkVTX0JBU0lDLjk5NC4yOS8wMy8yMDI2</t>
  </si>
  <si>
    <t>AQAAACB6BQADAAAAAAAVn+R6RI3eCARfa35Ejd4IMUNJUS5OQVNEQVE6Q0FMTS5JUV9GSUxJTkdfQ1VSUkVOQ1kuOTkzLjI5LzAzLzIwMjYBAAAAIHoFAAMAAAADVVNEAH0ylnpEjd4IQU1qfkSN3ggxQ0lRLk5BU0RBUTpDQUxNLklRX0VGRkVDVF9UQVhfUkFURS45OTkuMjkvMDMvMjAyNgEAAAAgegUAAgAAAAcyMy4yNDg4AQgAAAAFAAAAATEBAAAACy0xOTM0OTc4NDgwAwAAAAMxNjACAAAABDQzNzYEAAAAATAHAAAACTMvMjkvMjAyNggAAAAINi8xLzIwMjQJAAAAATB9MpZ6RI3eCLt0an5Ejd4IO0NJUS5OQVNEQVE6Q0FMTS5JUV9ESVNUUklCVVRBQkxFX0NBU0hfUEFZT1VULjk5My4yOS8wMy8yMDI2AQAAACB6BQADAAAAAAB9MpZ6RI3eCLeban5Ejd4IQUNJUS5OQVNEQVE6Q0FMTS5JUV9ESVNUUklCVVRBQkxFX0NBU0hfU0hBUkVTX0JBU0lDLjk5OS4yOS8wMy8yMDI2AQAAACB6BQADAAAAAAAVn+R6RI3eCARfa35Ejd4ILENJUS5OQVNEQVE6Q0FMTS5JUV9TQU1FX1NUT1JFLjk5My4yOS8wMy8yMDI2AQAAACB6BQADAAAAAABXC5Z6RI3eCMvpan5Ejd4IQUNJUS5OQVNEQVE6Q0FMTS5JUV9ESVNUUklCVVRBQkxFX0NBU0hfU0hBUkVTX0JBU0lDLjk5Ni4yOS8wMy8yMDI2AQAAACB6BQADAAAAAAAVn+R6RI3eCBSGa35Ejd4ILkNJUS5OQVNEQVE6Q0FMTS5JUV9DQUxDX1RZUEVfSVMuOTk4LjI5LzAz</t>
  </si>
  <si>
    <t>LzIwMjYBAAAAIHoFAAMAAAADUkVQAIpZlnpEjd4I5v1pfkSN3ggxQ0lRLk5BU0RBUTpDQUxNLklRX0VGRkVDVF9UQVhfUkFURS45OTguMjkvMDMvMjAyNgEAAAAgegUAAgAAAAcyNC4yMTY5AQgAAAAFAAAAATEBAAAACy0xOTM0OTc4NDIwAwAAAAMxNjACAAAABDQzNzYEAAAAATAHAAAACTMvMjkvMjAyNggAAAAINi8zLzIwMjMJAAAAATB9MpZ6RI3eCLt0an5Ejd4ILkNJUS5OQVNEQVE6Q0FMTS5JUV9DQUxDX1RZUEVfSVMuOTk5LjI5LzAzLzIwMjYBAAAAIHoFAAMAAAADUkVQAIpZlnpEjd4I5v1pfkSN3gguQ0lRLk5BU0RBUTpDQUxNLklRX0RJTFVUX1dFSUdIVC45OTcuMjkvMDMvMjAyNgEAAAAgegUAAgAAAAY0OC43MzQAFZ/kekSN3ggUhmt+RI3eCC5DSVEuTkFTREFROkNBTE0uSVFfQkFTSUNfV0VJR0hULjk5Ny4yOS8wMy8yMDI2AQAAACB6BQACAAAABjQ4LjU4MQAVn+R6RI3eCNrAa35Ejd4ILkNJUS5OQVNEQVE6Q0FMTS5JUV9DQUxDX1RZUEVfSVMuOTk1LjI5LzAzLzIwMjYBAAAAIHoFAAMAAAADUkVQAIpZlnpEjd4I5v1pfkSN3ggxQ0lRLk5BU0RBUTpDQUxNLklRX0VGRkVDVF9UQVhfUkFURS45OTYuMjkvMDMvMjAyNgEAAAAgegUAAwAAAAJOTQEIAAAABQAAAAExAQAAAAstMjAzNzI0MTcyMQMAAAADMTYwAgAAAAQ0Mzc2BAAAAAEwBwAAAAkzLzI5LzIwMjYIAAAACTUvMjkvMjAyMQkAAAAB</t>
  </si>
  <si>
    <t>MH0ylnpEjd4Iu3RqfkSN3gguQ0lRLk5BU0RBUTpDQUxNLklRX0JBU0lDX1dFSUdIVC45OTYuMjkvMDMvMjAyNgEAAAAgegUAAgAAAAY0OC41MjIAFZ/kekSN3gjawGt+RI3eCDFDSVEuTkFTREFROkNBTE0uSVFfRklMSU5HX0NVUlJFTkNZLjk5Ny4yOS8wMy8yMDI2AQAAACB6BQADAAAAA1VTRAB9MpZ6RI3eCEFNan5Ejd4IQUNJUS5OQVNEQVE6Q0FMTS5JUV9ESVNUUklCVVRBQkxFX0NBU0hfU0hBUkVTX0JBU0lDLjk5NS4yOS8wMy8yMDI2AQAAACB6BQADAAAAAAAVn+R6RI3eCBSGa35Ejd4ILENJUS5OQVNEQVE6Q0FMTS5JUV9TQU1FX1NUT1JFLjk5Ny4yOS8wMy8yMDI2AQAAACB6BQADAAAAAABXC5Z6RI3eCMvpan5Ejd4ILkNJUS5OQVNEQVE6Q0FMTS5JUV9CQVNJQ19XRUlHSFQuOTk1LjI5LzAzLzIwMjYBAAAAIHoFAAIAAAAGNDguNDY3ABWf5HpEjd4I2sBrfkSN3ggxQ0lRLk5BU0RBUTpDQUxNLklRX0ZJTElOR19DVVJSRU5DWS45OTYuMjkvMDMvMjAyNgEAAAAgegUAAwAAAANVU0QAfTKWekSN3ghBTWp+RI3eCDtDSVEuTkFTREFROkNBTE0uSVFfRElTVFJJQlVUQUJMRV9DQVNIX1BBWU9VVC45OTcuMjkvMDMvMjAyNgEAAAAgegUAAwAAAAAAfTKWekSN3gi3m2p+RI3eCCxDSVEuTkFTREFROkNBTE0uSVFfU0FNRV9TVE9SRS45OTguMjkvMDMvMjAyNgEAAAAgegUAAwAAAAAAVwuWekSN3gjL6Wp+</t>
  </si>
  <si>
    <t>RI3eCDJDSVEuTkFTREFROkNBTE0uSVFfRUZGRUNUX1RBWF9SQVRFLjEwMDAuMjkvMDMvMjAyNgEAAAAgegUAAgAAAAcyNC4wMDk3AQgAAAAFAAAAATEBAAAACy0xOTM0OTc4MzgxAwAAAAMxNjACAAAABDQzNzYEAAAAATAHAAAACTMvMjkvMjAyNggAAAAJNS8zMS8yMDI1CQAAAAEwfTKWekSN3gi7dGp+RI3eCDtDSVEuTkFTREFROkNBTE0uSVFfRElTVFJJQlVUQUJMRV9DQVNIX1BBWU9VVC45OTQuMjkvMDMvMjAyNgEAAAAgegUAAwAAAAAAfTKWekSN3gi3m2p+RI3eCDFDSVEuTkFTREFROkNBTE0uSVFfRklMSU5HX0NVUlJFTkNZLjk5NS4yOS8wMy8yMDI2AQAAACB6BQADAAAAA1VTRAB9MpZ6RI3eCEFNan5Ejd4IO0NJUS5OQVNEQVE6Q0FMTS5JUV9ESVNUUklCVVRBQkxFX0NBU0hfUEFZT1VULjk5NS4yOS8wMy8yMDI2AQAAACB6BQADAAAAAAB9MpZ6RI3eCLeban5Ejd4ILENJUS5OQVNEQVE6Q0FMTS5JUV9TQU1FX1NUT1JFLjk5NS4yOS8wMy8yMDI2AQAAACB6BQADAAAAAABXC5Z6RI3eCMvpan5Ejd4IMUNJUS5OQVNEQVE6Q0FMTS5JUV9QRVJJT0RMRU5HVEhfSVMuOTk3LjI5LzAzLzIwMjYBAAAAIHoFAAEAAAACMTIAFZ/kekSN3gjL6Wp+RI3eCC5DSVEuTkFTREFROkNBTE0uSVFfQkFTSUNfV0VJR0hULjk5My4yOS8wMy8yMDI2AQAAACB6BQACAAAABjQ4LjM1MwAVn+R6RI3eCBSGa35Ejd4IL0NJ</t>
  </si>
  <si>
    <t>US5OQVNEQVE6Q0FMTS5JUV9DQUxDX1RZUEVfSVMuMTAwMC4yOS8wMy8yMDI2AQAAACB6BQADAAAAA1JFUACKWZZ6RI3eCNvWaX5Ejd4IMUNJUS5OQVNEQVE6Q0FMTS5JUV9GSUxJTkdfQ1VSUkVOQ1kuOTk0LjI5LzAzLzIwMjYBAAAAIHoFAAMAAAADVVNEAH0ylnpEjd4IQU1qfkSN3ggpQ0lRLk5BU0RBUTpDQUxNLklRX0dBQVBfSVMuOTk0LjI5LzAzLzIwMjYBAAAAIHoFAAMAAAAHVVMgR0FBUACKWZZ6RI3eCOb9aX5Ejd4ILkNJUS5OQVNEQVE6Q0FMTS5JUV9QQVlPVVRfUkFUSU8uOTk0LjI5LzAzLzIwMjYBAAAAIHoFAAIAAAAFNzYuOTIBCAAAAAUAAAABMQEAAAALLTIxNDI0MjkwMzkDAAAAAzE2MAIAAAAENDM3NwQAAAABMAcAAAAJMy8yOS8yMDI2CAAAAAg2LzEvMjAxOQkAAAABMH0ylnpEjd4Iu3RqfkSN3ggpQ0lRLk5BU0RBUTpDQUxNLklRX0dBQVBfSVMuOTk1LjI5LzAzLzIwMjYBAAAAIHoFAAMAAAAHVVMgR0FBUACKWZZ6RI3eCOb9aX5Ejd4ILkNJUS5OQVNEQVE6Q0FMTS5JUV9QQVlPVVRfUkFUSU8uOTk1LjI5LzAzLzIwMjYBAAAAIHoFAAMAAAAAAH0ylnpEjd4Iu3RqfkSN3gguQ0lRLk5BU0RBUTpDQUxNLklRX1BBWU9VVF9SQVRJTy45OTMuMjkvMDMvMjAyNgEAAAAgegUAAwAAAAAAfTKWekSN3gi7dGp+RI3eCDtDSVEuTkFTREFROkNBTE0uSVFfRElTVFJJQlVUQUJMRV9DQVNIX1BBWU9V</t>
  </si>
  <si>
    <t>VC45OTkuMjkvMDMvMjAyNgEAAAAgegUAAwAAAAAAfTKWekSN3gi3m2p+RI3eCDFDSVEuTkFTREFROkNBTE0uSVFfUEVSSU9ETEVOR1RIX0lTLjk5NS4yOS8wMy8yMDI2AQAAACB6BQABAAAAAjEyABWf5HpEjd4I7hBrfkSN3ggvQ0lRLk5BU0RBUTpDQUxNLklRX0NBTENfVFlQRV9DRi4xMDAwLjI5LzAzLzIwMjYBAAAAIHoFAAMAAAADUkVQAI2Bf3pEjd4Iu4hpfkSN3ggpQ0lRLk5BU0RBUTpDQUxNLklRX0dBQVBfSVMuOTkzLjI5LzAzLzIwMjYBAAAAIHoFAAMAAAAHVVMgR0FBUACKWZZ6RI3eCNvWaX5Ejd4IMUNJUS5OQVNEQVE6Q0FMTS5JUV9GSUxJTkdfQ1VSUkVOQ1kuOTk5LjI5LzAzLzIwMjYBAAAAIHoFAAMAAAADVVNEAIpZlnpEjd4IwjhqfkSN3gguQ0lRLk5BU0RBUTpDQUxNLklRX0NBTENfVFlQRV9DRi45OTYuMjkvMDMvMjAyNgEAAAAgegUAAwAAAANSRVAAjYF/ekSN3gi7iGl+RI3eCC5DSVEuTkFTREFROkNBTE0uSVFfQ0FMQ19UWVBFX0NGLjk5Ny4yOS8wMy8yMDI2AQAAACB6BQADAAAAA1JFUACNgX96RI3eCLuIaX5Ejd4ILkNJUS5OQVNEQVE6Q0FMTS5JUV9DQUxDX1RZUEVfQ0YuOTk4LjI5LzAzLzIwMjYBAAAAIHoFAAMAAAADUkVQAI2Bf3pEjd4Iu4hpfkSN3gguQ0lRLk5BU0RBUTpDQUxNLklRX0NBTENfVFlQRV9DRi45OTkuMjkvMDMvMjAyNgEAAAAgegUAAwAAAANSRVAAjYF/ekSN</t>
  </si>
  <si>
    <t>3gi7iGl+RI3eCC1DSVEuTkFTREFROkNBTE0uSVFfU0FNRV9TVE9SRS4xMDAwLjI5LzAzLzIwMjYBAAAAIHoFAAMAAAAAAFcLlnpEjd4IwsJqfkSN3ggpQ0lRLk5BU0RBUTpDQUxNLklRX0dBQVBfQ0YuOTkzLjI5LzAzLzIwMjYBAAAAIHoFAAMAAAAHVVMgR0FBUACNgX96RI3eCLBhaX5Ejd4IO0NJUS5OQVNEQVE6Q0FMTS5JUV9ESVNUUklCVVRBQkxFX0NBU0hfUEFZT1VULjk5Ni4yOS8wMy8yMDI2AQAAACB6BQADAAAAAAB9MpZ6RI3eCLeban5Ejd4IMUNJUS5OQVNEQVE6Q0FMTS5JUV9QRVJJT0RMRU5HVEhfQ0YuOTkzLjI5LzAzLzIwMjYBAAAAIHoFAAEAAAACMTIApjGAekSN3gjb1ml+RI3eCC5DSVEuTkFTREFROkNBTE0uSVFfQ0FMQ19UWVBFX0lTLjk5Ni4yOS8wMy8yMDI2AQAAACB6BQADAAAAA1JFUACKWZZ6RI3eCOb9aX5Ejd4ILkNJUS5OQVNEQVE6Q0FMTS5JUV9QQVlPVVRfUkFUSU8uOTk4LjI5LzAzLzIwMjYBAAAAIHoFAAIAAAAHMzMuMjgyOAEIAAAABQAAAAExAQAAAAstMTkzNDk3ODQyMAMAAAADMTYwAgAAAAQ0Mzc3BAAAAAEwBwAAAAkzLzI5LzIwMjYIAAAACDYvMy8yMDIzCQAAAAEwfTKWekSN3ghBTWp+RI3eCDtDSVEuTkFTREFROkNBTE0uSVFfRElTVFJJQlVUQUJMRV9DQVNIX1BBWU9VVC45OTguMjkvMDMvMjAyNgEAAAAgegUAAwAAAAAAfTKWekSN3gi3m2p+RI3eCDFDSVEuTkFT</t>
  </si>
  <si>
    <t>REFROkNBTE0uSVFfUEVSSU9ETEVOR1RIX0NGLjk5Ny4yOS8wMy8yMDI2AQAAACB6BQABAAAAAjEyAKYxgHpEjd4I29ZpfkSN3ggpQ0lRLk5BU0RBUTpDQUxNLklRX0dBQVBfQ0YuOTk1LjI5LzAzLzIwMjYBAAAAIHoFAAMAAAAHVVMgR0FBUACNgX96RI3eCLBhaX5Ejd4IKUNJUS5OQVNEQVE6Q0FMTS5JUV9HQUFQX0NGLjk5Ni4yOS8wMy8yMDI2AQAAACB6BQADAAAAB1VTIEdBQVAAjYF/ekSN3gi7iGl+RI3eCDFDSVEuTkFTREFROkNBTE0uSVFfRUZGRUNUX1RBWF9SQVRFLjk5NS4yOS8wMy8yMDI2AQAAACB6BQACAAAABjguNjI5NQEIAAAABQAAAAExAQAAAAstMjA4ODM0NzQ2OQMAAAADMTYwAgAAAAQ0Mzc2BAAAAAEwBwAAAAkzLzI5LzIwMjYIAAAACTUvMzAvMjAyMAkAAAABMH0ylnpEjd4Iu3RqfkSN3ggwQ0lRLk5BU0RBUTpDQUxNLklRX1JFU1RBVEVNRU5UX0NGLjk5Ni4yOS8wMy8yMDI2AQAAACB6BQADAAAAAk5DAI2Bf3pEjd4Ixq9pfkSN3ggxQ0lRLk5BU0RBUTpDQUxNLklRX1BFUklPRExFTkdUSF9DRi45OTYuMjkvMDMvMjAyNgEAAAAgegUAAQAAAAIxMgCmMYB6RI3eCNvWaX5Ejd4IKUNJUS5OQVNEQVE6Q0FMTS5JUV9HQUFQX0NGLjk5NC4yOS8wMy8yMDI2AQAAACB6BQADAAAAB1VTIEdBQVAAjYF/ekSN3giwYWl+RI3eCDBDSVEuTkFTREFROkNBTE0uSVFfUkVTVEFURU1FTlRfQ0YuOTk3</t>
  </si>
  <si>
    <t>LjI5LzAzLzIwMjYBAAAAIHoFAAMAAAACTkMAjYF/ekSN3gjGr2l+RI3eCDxDSVEuTkFTREFROkNBTE0uSVFfRElTVFJJQlVUQUJMRV9DQVNIX1BBWU9VVC4xMDAwLjI5LzAzLzIwMjYBAAAAIHoFAAMAAAAAAH0ylnpEjd4It5tqfkSN3ggwQ0lRLk5BU0RBUTpDQUxNLklRX1JFU1RBVEVNRU5UX0NGLjk5NS4yOS8wMy8yMDI2AQAAACB6BQADAAAAAk5DAI2Bf3pEjd4Iu4hpfkSN3ggxQ0lRLk5BU0RBUTpDQUxNLklRX1BFUklPRExFTkdUSF9DRi45OTUuMjkvMDMvMjAyNgEAAAAgegUAAQAAAAIxMgCmMYB6RI3eCNvWaX5Ejd4IKUNJUS5OQVNEQVE6Q0FMTS5JUV9HQUFQX0lTLjk5Ny4yOS8wMy8yMDI2AQAAACB6BQADAAAAB1VTIEdBQVAAilmWekSN3gjm/Wl+RI3eCDBDSVEuTkFTREFROkNBTE0uSVFfUkVTVEFURU1FTlRfSVMuOTkzLjI5LzAzLzIwMjYBAAAAIHoFAAMAAAACUkMAilmWekSN3gjm/Wl+RI3eCDBDSVEuTkFTREFROkNBTE0uSVFfUkVTVEFURU1FTlRfQ0YuOTk5LjI5LzAzLzIwMjYBAAAAIHoFAAMAAAACTkMAjYF/ekSN3gjGr2l+RI3eCDFDSVEuTkFTREFROkNBTE0uSVFfUkVTVEFURU1FTlRfQ0YuMTAwMC4yOS8wMy8yMDI2AQAAACB6BQADAAAAAU8AjYF/ekSN3gjGr2l+RI3eCDJDSVEuTkFTREFROkNBTE0uSVFfUEVSSU9ETEVOR1RIX0NGLjEwMDAuMjkvMDMvMjAyNgEAAAAgegUAAQAA</t>
  </si>
  <si>
    <t>AAIxMgCmMYB6RI3eCMavaX5Ejd4IP0NJUS5OQVNEQVE6Q0FMTS5JUV9UT1RBTF9PVVRTVEFORElOR19GSUxJTkdfREFURS45OTguMjkvMDMvMjAyNgEAAAAgegUAAgAAAAk0OC45ODQwNDkBBAAAAAUAAAABNQEAAAALLTE5MzQ5Nzg0MjACAAAABTI0MTUzBgAAAAEwugctekSN3giwYWl+RI3eCClDSVEuTkFTREFROkNBTE0uSVFfR0FBUF9JUy45OTYuMjkvMDMvMjAyNgEAAAAgegUAAwAAAAdVUyBHQUFQAIpZlnpEjd4I5v1pfkSN3ggwQ0lRLk5BU0RBUTpDQUxNLklRX1JFU1RBVEVNRU5UX0lTLjk5Ny4yOS8wMy8yMDI2AQAAACB6BQADAAAAAk5DAIpZlnpEjd4I5v1pfkSN3gguQ0lRLk5BU0RBUTpDQUxNLklRX1BBWU9VVF9SQVRJTy45OTcuMjkvMDMvMjAyNgEAAAAgegUAAgAAAAY0LjYxMTMBCAAAAAUAAAABMQEAAAALLTE5ODY3MDg0MzMDAAAAAzE2MAIAAAAENDM3NwQAAAABMAcAAAAJMy8yOS8yMDI2CAAAAAk1LzI4LzIwMjIJAAAAATB9MpZ6RI3eCEFNan5Ejd4IMENJUS5OQVNEQVE6Q0FMTS5JUV9SRVNUQVRFTUVOVF9DRi45OTguMjkvMDMvMjAyNgEAAAAgegUAAwAAAAJOQwCNgX96RI3eCLuIaX5Ejd4IO0NJUS5OQVNEQVE6Q0FMTS5JUV9UT1RBTF9PVVRTVEFORElOR19CU19EQVRFLjk5OC4yOS8wMy8yMDI2AQAAACB6BQACAAAACTQ4Ljk4NDA0OAEEAAAABQAAAAE1AQAAAAstMTkzNDk3ODQy</t>
  </si>
  <si>
    <t>MAIAAAAFMjQxNTIGAAAAATDBLi16RI3eCJwTaX5Ejd4IP0NJUS5OQVNEQVE6Q0FMTS5JUV9UT1RBTF9PVVRTVEFORElOR19GSUxJTkdfREFURS45OTUuMjkvMDMvMjAyNgEAAAAgegUAAgAAAAk0OC4zMDA3MTgBBAAAAAUAAAABNQEAAAALLTIwODgzNDc0NjkCAAAABTI0MTUzBgAAAAEwugctekSN3giwYWl+RI3eCCpDSVEuTkFTREFROkNBTE0uSVFfR0FBUF9JUy4xMDAwLjI5LzAzLzIwMjYBAAAAIHoFAAMAAAAHVVMgR0FBUACKWZZ6RI3eCNvWaX5Ejd4ILkNJUS5OQVNEQVE6Q0FMTS5JUV9DQUxDX1RZUEVfSVMuOTk0LjI5LzAzLzIwMjYBAAAAIHoFAAMAAAADUkVQAIpZlnpEjd4I5v1pfkSN3gguQ0lRLk5BU0RBUTpDQUxNLklRX1BBWU9VVF9SQVRJTy45OTYuMjkvMDMvMjAyNgEAAAAgegUAAgAAAAc4MC4xOTQxAQgAAAAFAAAAATEBAAAACy0yMDM3MjQxNzIxAwAAAAMxNjACAAAABDQzNzcEAAAAATAHAAAACTMvMjkvMjAyNggAAAAJNS8yOS8yMDIxCQAAAAEwfTKWekSN3gi7dGp+RI3eCC5DSVEuTkFTREFROkNBTE0uSVFfQ0FMQ19UWVBFX0NGLjk5NS4yOS8wMy8yMDI2AQAAACB6BQADAAAAA1JFUACNgX96RI3eCLuIaX5Ejd4IP0NJUS5OQVNEQVE6Q0FMTS5JUV9UT1RBTF9PVVRTVEFORElOR19GSUxJTkdfREFURS45OTQuMjkvMDMvMjAyNgEAAAAgegUAAgAAAAk0OC42OTQ0NzgBBAAAAAUAAAAB</t>
  </si>
  <si>
    <t>NQEAAAALLTIxNDI0MjkwMzkCAAAABTI0MTUzBgAAAAEwugctekSN3gihOml+RI3eCCxDSVEuTkFTREFROkNBTE0uSVFfRUJJVERBX0lOVC45OTUuMjkvMDMvMjAyNgEAAAAgegUAAgAAAAoxMjguODIzMjkzAQgAAAAFAAAAATEBAAAACy0yMDg4MzQ3NDY5AwAAAAMxNjACAAAABDQxOTAEAAAAATAHAAAACTMvMjkvMjAyNggAAAAJNS8zMC8yMDIwCQAAAAEw/dcXekSN3gjXnmR+RI3eCC9DSVEuTkFTREFROkNBTE0uSVFfRUJJVERBX01BUkdJTi45OTkuMjkvMDMvMjAyNgEAAAAgegUAAgAAAAcxNi45NTAxAQgAAAAFAAAAATEBAAAACy0xOTM0OTc4NDgwAwAAAAMxNjACAAAABDQwNDcEAAAAATAHAAAACTMvMjkvMjAyNggAAAAINi8xLzIwMjQJAAAAATD91xd6RI3eCMf8Zn5Ejd4IQUNJUS5OQVNEQVE6Q0FMTS5JUV9FTVBMT1lFRVNfVU5ERVJfVU5JT05fQ09OVFJBQ1RTLjk5NS4yOS8wMy8yMDI2AQAAACB6BQADAAAAAADmYhd6RI3eCN+XaH5Ejd4ILENJUS5OQVNEQVE6Q0FMTS5JUV9JTlZfTUVUSE9ELjk5Ni4yOS8wMy8yMDI2AQAAACB6BQADAAAABEZJRk8AwS4tekSN3gicE2l+RI3eCCxDSVEuTkFTREFROkNBTE0uSVFfRUJJVERBX0lOVC45OTQuMjkvMDMvMjAyNgEAAAAgegUAAgAAAAMxNTYBCAAAAAUAAAABMQEAAAALLTIxNDI0MjkwMzkDAAAAAzE2MAIAAAAENDE5MAQAAAABMAcAAAAJMy8yOS8y</t>
  </si>
  <si>
    <t>MDI2CAAAAAg2LzEvMjAxOQkAAAABMP3XF3pEjd4I155kfkSN3gguQ0lRLk5BU0RBUTpDQUxNLklRX1FVSUNLX1JBVElPLjEwMDAuMjkvMDMvMjAyNgEAAAAgegUAAgAAAAg1LjM5NzU5MgEIAAAABQAAAAExAQAAAAstMTkzNDk3ODM4MQMAAAADMTYwAgAAAAQ0MTIxBAAAAAEwBwAAAAkzLzI5LzIwMjYIAAAACTUvMzEvMjAyNQkAAAABMP3XF3pEjd4IWOtlfkSN3ggvQ0lRLk5BU0RBUTpDQUxNLklRX0VCSVREQV9NQVJHSU4uOTk4LjI5LzAzLzIwMjYBAAAAIHoFAAIAAAAHMzIuOTQzOAEIAAAABQAAAAExAQAAAAstMTkzNDk3ODQyMAMAAAADMTYwAgAAAAQ0MDQ3BAAAAAEwBwAAAAkzLzI5LzIwMjYIAAAACDYvMy8yMDIzCQAAAAEw/dcXekSN3gjH/GZ+RI3eCDRDSVEuTkFTREFROkNBTE0uSVFfTlVNQkVSX0FEUkhPTERFUlMuMTAwMC4yOS8wMy8yMDI2AQAAACB6BQADAAAAAADmYhd6RI3eCMMiaH5Ejd4ILENJUS5OQVNEQVE6Q0FMTS5JUV9JTlZfTUVUSE9ELjk5NS4yOS8wMy8yMDI2AQAAACB6BQADAAAABEZJRk8AwS4tekSN3gicE2l+RI3eCCtDSVEuTkFTREFROkNBTE0uSVFfTklfTUFSR0lOLjk5My4yOS8wMy8yMDI2AQAAACB6BQACAAAABTguMzc5AQgAAAAFAAAAATEBAAAACjIwNDU3NDkzMTADAAAAAzE2MAIAAAAENDA5NAQAAAABMAcAAAAJMy8yOS8yMDI2CAAAAAg2LzIvMjAxOAkAAAABMP3X</t>
  </si>
  <si>
    <t>F3pEjd4IfdZmfkSN3ggvQ0lRLk5BU0RBUTpDQUxNLklRX1JFVFVSTl9BU1NFVFMuOTk2LjI5LzAzLzIwMjYBAAAAIHoFAAIAAAAHLTEuMTk0NwEIAAAABQAAAAExAQAAAAstMjAzNzI0MTcyMQMAAAADMTYwAgAAAAQ0MTc4BAAAAAEwBwAAAAkzLzI5LzIwMjYIAAAACTUvMjkvMjAyMQkAAAABMPuwF3pEjd4IBa5nfkSN3ghCQ0lRLk5BU0RBUTpDQUxNLklRX0VNUExPWUVFU19VTkRFUl9VTklPTl9DT05UUkFDVFMuMTAwMC4yOS8wMy8yMDI2AQAAACB6BQACAAAAAjQzAOZiF3pEjd4I35dofkSN3ggyQ0lRLk5BU0RBUTpDQUxNLklRX0NGT19DVVJSRU5UX0xJQUIuOTk2LjI5LzAzLzIwMjYBAAAAIHoFAAIAAAAIMC4yOTAwODcBCAAAAAUAAAABMQEAAAALLTIwMzcyNDE3MjEDAAAAAzE2MAIAAAAENDE4NQQAAAABMAcAAAAJMy8yOS8yMDI2CAAAAAk1LzI5LzIwMjEJAAAAATD91xd6RI3eCETEZX5Ejd4ILUNJUS5OQVNEQVE6Q0FMTS5JUV9FQklUX01BUkdJTi45OTQuMjkvMDMvMjAyNgEAAAAgegUAAgAAAAYzLjM2NTcBCAAAAAUAAAABMQEAAAALLTIxNDI0MjkwMzkDAAAAAzE2MAIAAAAENDA1MwQAAAABMAcAAAAJMy8yOS8yMDI2CAAAAAg2LzEvMjAxOQkAAAABMP3XF3pEjd4Ix/xmfkSN3gg0Q0lRLk5BU0RBUTpDQUxNLklRX0RBWVNfSU5WRU5UT1JZX09VVC45OTMuMjkvMDMvMjAyNgEAAAAgegUAAgAA</t>
  </si>
  <si>
    <t>AAk1Mi40OTEzNDgBCAAAAAUAAAABMQEAAAAKMjA0NTc0OTMxMAMAAAADMTYwAgAAAAQ0MDM1BAAAAAEwBwAAAAkzLzI5LzIwMjYIAAAACDYvMi8yMDE4CQAAAAEw/dcXekSN3ghKiWV+RI3eCCtDSVEuTkFTREFROkNBTE0uSVFfTklfTUFSR0lOLjk5NC4yOS8wMy8yMDI2AQAAACB6BQACAAAABjMuOTgzOQEIAAAABQAAAAExAQAAAAstMjE0MjQyOTAzOQMAAAADMTYwAgAAAAQ0MDk0BAAAAAEwBwAAAAkzLzI5LzIwMjYIAAAACDYvMS8yMDE5CQAAAAEw/dcXekSN3gjArmZ+RI3eCC9DSVEuTkFTREFROkNBTE0uSVFfUkVUVVJOX0FTU0VUUy45OTUuMjkvMDMvMjAyNgEAAAAgegUAAgAAAAYwLjA3MTQBCAAAAAUAAAABMQEAAAALLTIwODgzNDc0NjkDAAAAAzE2MAIAAAAENDE3OAQAAAABMAcAAAAJMy8yOS8yMDI2CAAAAAk1LzMwLzIwMjAJAAAAATD7sBd6RI3eCAWuZ35Ejd4IQUNJUS5OQVNEQVE6Q0FMTS5JUV9FTVBMT1lFRVNfVU5ERVJfVU5JT05fQ09OVFJBQ1RTLjk5OS4yOS8wMy8yMDI2AQAAACB6BQADAAAAAADmYhd6RI3eCN+XaH5Ejd4IMENJUS5OQVNEQVE6Q0FMTS5JUV9EQVlTX1NBTEVTX09VVC45OTYuMjkvMDMvMjAyNgEAAAAgegUAAgAAAAkyMi4xMzE1NjQBCAAAAAUAAAABMQEAAAALLTIwMzcyNDE3MjEDAAAAAzE2MAIAAAAENDA0MgQAAAABMAcAAAAJMy8yOS8yMDI2CAAAAAk1LzI5LzIw</t>
  </si>
  <si>
    <t>MjEJAAAAATD91xd6RI3eCEqJZX5Ejd4IL0NJUS5OQVNEQVE6Q0FMTS5JUV9SRVRVUk5fQVNTRVRTLjk5NC4yOS8wMy8yMDI2AQAAACB6BQACAAAABjIuNDgyNgEIAAAABQAAAAExAQAAAAstMjE0MjQyOTAzOQMAAAADMTYwAgAAAAQ0MTc4BAAAAAEwBwAAAAkzLzI5LzIwMjYIAAAACDYvMS8yMDE5CQAAAAEw+7AXekSN3ggFrmd+RI3eCEFDSVEuTkFTREFROkNBTE0uSVFfRU1QTE9ZRUVTX1VOREVSX1VOSU9OX0NPTlRSQUNUUy45OTguMjkvMDMvMjAyNgEAAAAgegUAAwAAAAAA5mIXekSN3gjfl2h+RI3eCC1DSVEuTkFTREFROkNBTE0uSVFfSU5WX01FVEhPRC4xMDAwLjI5LzAzLzIwMjYBAAAAIHoFAAMAAAAERklGTwDBLi16RI3eCJwTaX5Ejd4IQENJUS5OQVNEQVE6Q0FMTS5JUV9UT1RBTF9PVVRTVEFORElOR19GSUxJTkdfREFURS4xMDAwLjI5LzAzLzIwMjYBAAAAIHoFAAIAAAAJNDguNDk3NDc3AQQAAAAFAAAAATUBAAAACy0xOTM0OTc4MzgxAgAAAAUyNDE1MwYAAAABMLoHLXpEjd4IoTppfkSN3gg+Q0lRLk5BU0RBUTpDQUxNLklRX0VCSVREQV9FWENMX09QRVJfTEVBU0VTX0lOVC4xMDAwLjI5LzAzLzIwMjYBAAAAIHoFAAIAAAALMjY4OC42NTUyMjgBCAAAAAUAAAABMQEAAAALLTE5MzQ5NzgzODEDAAAAAzE2MAIAAAAFNDkxNzMEAAAAATAHAAAACTMvMjkvMjAyNggAAAAJNS8zMS8yMDI1CQAA</t>
  </si>
  <si>
    <t>AAEw/dcXekSN3gjPd2R+RI3eCEFDSVEuTkFTREFROkNBTE0uSVFfRU1QTE9ZRUVTX1VOREVSX1VOSU9OX0NPTlRSQUNUUy45OTYuMjkvMDMvMjAyNgEAAAAgegUAAwAAAAAA5mIXekSN3gj2cGh+RI3eCCtDSVEuTkFTREFROkNBTE0uSVFfRlVMTF9USU1FLjk5Ni4yOS8wMy8yMDI2AQAAACB6BQACAAAABDMxNTEA5mIXekSN3gicE2l+RI3eCCxDSVEuTkFTREFROkNBTE0uSVFfSU5WX01FVEhPRC45OTkuMjkvMDMvMjAyNgEAAAAgegUAAwAAAARGSUZPAMEuLXpEjd4InBNpfkSN3gg7Q0lRLk5BU0RBUTpDQUxNLklRX1RPVEFMX09VVFNUQU5ESU5HX0JTX0RBVEUuOTk2LjI5LzAzLzIwMjYBAAAAIHoFAAIAAAAJNDguODU4NDYzAQQAAAAFAAAAATUBAAAACy0yMDM3MjQxNzIxAgAAAAUyNDE1MgYAAAABMMEuLXpEjd4IoTppfkSN3ggyQ0lRLk5BU0RBUTpDQUxNLklRX0VCSVREQV9DQVBFWF9JTlQuOTk2LjI5LzAzLzIwMjYBAAAAIHoFAAMAAAACTk0BCAAAAAUAAAABMQEAAAALLTIwMzcyNDE3MjEDAAAAAzE2MAIAAAAENDE5MQQAAAABMAcAAAAJMy8yOS8yMDI2CAAAAAk1LzI5LzIwMjEJAAAAATAK/xd6RI3eCOBQZH5Ejd4ILENJUS5OQVNEQVE6Q0FMTS5JUV9GVUxMX1RJTUUuMTAwMC4yOS8wMy8yMDI2AQAAACB6BQACAAAABDM2ODMA5mIXekSN3giS7Gh+RI3eCDtDSVEuTkFTREFROkNBTE0uSVFfVE9U</t>
  </si>
  <si>
    <t>QUxfT1VUU1RBTkRJTkdfQlNfREFURS45OTUuMjkvMDMvMjAyNgEAAAAgegUAAgAAAAY0OC43NzQBBAAAAAUAAAABNQEAAAALLTIwODgzNDc0NjkCAAAABTI0MTUyBgAAAAEwwS4tekSN3gihOml+RI3eCClDSVEuTkFTREFROkNBTE0uSVFfR0FBUF9DRi45OTguMjkvMDMvMjAyNgEAAAAgegUAAwAAAAdVUyBHQUFQAI2Bf3pEjd4IsGFpfkSN3ggwQ0lRLk5BU0RBUTpDQUxNLklRX1JFU1RBVEVNRU5UX0NGLjk5NC4yOS8wMy8yMDI2AQAAACB6BQADAAAAAk5DAI2Bf3pEjd4Iu4hpfkSN3ghDQ0lRLk5BU0RBUTpDQUxNLklRX0VCSVREQV9FWENMX09QRVJfTEVBU0VTX0NBUEVYX0lOVC45OTUuMjkvMDMvMjAyNgEAAAAgegUAAwAAAAJOTQEIAAAABQAAAAExAQAAAAstMjA4ODM0NzQ2OQMAAAADMTYwAgAAAAU0OTE3NAQAAAABMAcAAAAJMy8yOS8yMDI2CAAAAAk1LzMwLzIwMjAJAAAAATAK/xd6RI3eCJLuY35Ejd4IMENJUS5OQVNEQVE6Q0FMTS5JUV9SRVNUQVRFTUVOVF9DRi45OTMuMjkvMDMvMjAyNgEAAAAgegUAAwAAAAJOQwCNgX96RI3eCLuIaX5Ejd4IM0NJUS5OQVNEQVE6Q0FMTS5JUV9EQVlTX1BBWUFCTEVfT1VULjEwMDAuMjkvMDMvMjAyNgEAAAAgegUAAgAAAAkxMy4xNjgwNjQBCAAAAAUAAAABMQEAAAALLTE5MzQ5NzgzODEDAAAAAzE2MAIAAAAENDE4MwQAAAABMAcAAAAJMy8yOS8yMDI2CAAA</t>
  </si>
  <si>
    <t>AAk1LzMxLzIwMjUJAAAAATD91xd6RI3eCD5iZX5Ejd4ILENJUS5OQVNEQVE6Q0FMTS5JUV9OSV9NQVJHSU4uMTAwMC4yOS8wMy8yMDI2AQAAACB6BQACAAAABzI4LjYyNjkBCAAAAAUAAAABMQEAAAALLTE5MzQ5NzgzODEDAAAAAzE2MAIAAAAENDA5NAQAAAABMAcAAAAJMy8yOS8yMDI2CAAAAAk1LzMxLzIwMjUJAAAAATD91xd6RI3eCH3WZn5Ejd4IMENJUS5OQVNEQVE6Q0FMTS5JUV9SRVRVUk5fQVNTRVRTLjEwMDAuMjkvMDMvMjAyNgEAAAAgegUAAgAAAAYzNi44MDMBCAAAAAUAAAABMQEAAAALLTE5MzQ5NzgzODEDAAAAAzE2MAIAAAAENDE3OAQAAAABMAcAAAAJMy8yOS8yMDI2CAAAAAk1LzMxLzIwMjUJAAAAATD7sBd6RI3eCJyGZ35Ejd4IL0NJUS5OQVNEQVE6Q0FMTS5JUV9BVkdfRU1QTE9ZRUVTLjk5OC4yOS8wMy8yMDI2AQAAACB6BQADAAAAAADmYhd6RI3eCPZwaH5Ejd4IL0NJUS5OQVNEQVE6Q0FMTS5JUV9BVkdfRU1QTE9ZRUVTLjk5Ny4yOS8wMy8yMDI2AQAAACB6BQADAAAAAADmYhd6RI3eCPZwaH5Ejd4IK0NJUS5OQVNEQVE6Q0FMTS5JUV9GVUxMX1RJTUUuOTk5LjI5LzAzLzIwMjYBAAAAIHoFAAIAAAAEMjkyOQDmYhd6RI3eCJLsaH5Ejd4IO0NJUS5OQVNEQVE6Q0FMTS5JUV9UT1RBTF9PVVRTVEFORElOR19CU19EQVRFLjk5NC4yOS8wMy8yMDI2AQAAACB6BQACAAAABjQ4LjY5NAEE</t>
  </si>
  <si>
    <t>AAAABQAAAAE1AQAAAAstMjE0MjQyOTAzOQIAAAAFMjQxNTIGAAAAATDBLi16RI3eCKE6aX5Ejd4IKUNJUS5OQVNEQVE6Q0FMTS5JUV9HQUFQX0NGLjk5Ny4yOS8wMy8yMDI2AQAAACB6BQADAAAAB1VTIEdBQVAAjYF/ekSN3giwYWl+RI3eCCtDSVEuTkFTREFROkNBTE0uSVFfRlVMTF9USU1FLjk5OC4yOS8wMy8yMDI2AQAAACB6BQACAAAABDI4MTUA5mIXekSN3gicE2l+RI3eCDtDSVEuTkFTREFROkNBTE0uSVFfVE9UQUxfT1VUU1RBTkRJTkdfQlNfREFURS45OTMuMjkvMDMvMjAyNgEAAAAgegUAAgAAAAY0OC42MzEBBAAAAAUAAAABNQEAAAAKMjA0NTc0OTMxMAIAAAAFMjQxNTIGAAAAATDBLi16RI3eCKE6aX5Ejd4IMkNJUS5OQVNEQVE6Q0FMTS5JUV9EQVlTX1BBWUFCTEVfT1VULjk5OS4yOS8wMy8yMDI2AQAAACB6BQACAAAACTE2LjM2NDM0OAEIAAAABQAAAAExAQAAAAstMTkzNDk3ODQ4MAMAAAADMTYwAgAAAAQ0MTgzBAAAAAEwBwAAAAkzLzI5LzIwMjYIAAAACDYvMS8yMDI0CQAAAAEw/dcXekSN3gg+YmV+RI3eCC9DSVEuTkFTREFROkNBTE0uSVFfQ0FQRVhfUENUX1JFVi45OTkuMjkvMDMvMjAyNgEAAAAgegUAAgAAAAY2LjMyMzYBCAAAAAUAAAABMQEAAAALLTE5MzQ5Nzg0ODADAAAAAzE2MAIAAAAFMzUzODAEAAAAATAHAAAACTMvMjkvMjAyNggAAAAINi8xLzIwMjQJAAAAATD91xd6RI3e</t>
  </si>
  <si>
    <t>CMCuZn5Ejd4ILUNJUS5OQVNEQVE6Q0FMTS5JUV9BU1NFVF9UVVJOUy45OTcuMjkvMDMvMjAyNgEAAAAgegUAAgAAAAgxLjMzNzg4OAEIAAAABQAAAAExAQAAAAstMTk4NjcwODQzMwMAAAADMTYwAgAAAAQ0MTc3BAAAAAEwBwAAAAkzLzI5LzIwMjYIAAAACTUvMjgvMjAyMgkAAAABMP3XF3pEjd4Il2BmfkSN3ghEQ0lRLk5BU0RBUTpDQUxNLklRX1RPVEFMX0RFQlRfRUJJVERBX0VYQ0xfT1BFUl9MRUFTRVMuOTk5LjI5LzAzLzIwMjYBAAAAIHoFAAMAAAAAACZ9FHpEjd4Iku5jfkSN3ggyQ0lRLk5BU0RBUTpDQUxNLklRX0RBWVNfUEFZQUJMRV9PVVQuOTk4LjI5LzAzLzIwMjYBAAAAIHoFAAIAAAAJMTUuNDk1OTI4AQgAAAAFAAAAATEBAAAACy0xOTM0OTc4NDIwAwAAAAMxNjACAAAABDQxODMEAAAAATAHAAAACTMvMjkvMjAyNggAAAAINi8zLzIwMjMJAAAAATD91xd6RI3eCD5iZX5Ejd4ILUNJUS5OQVNEQVE6Q0FMTS5JUV9BU1NFVF9UVVJOUy45OTguMjkvMDMvMjAyNgEAAAAgegUAAgAAAAgxLjg2MDU1OAEIAAAABQAAAAExAQAAAAstMTkzNDk3ODQyMAMAAAADMTYwAgAAAAQ0MTc3BAAAAAEwBwAAAAkzLzI5LzIwMjYIAAAACDYvMy8yMDIzCQAAAAEw/dcXekSN3gjBh2Z+RI3eCDBDSVEuTkFTREFROkNBTE0uSVFfUkVUVVJOX0NBUElUQUwuOTk2LjI5LzAzLzIwMjYBAAAAIHoFAAIAAAAHLTEuNDM0</t>
  </si>
  <si>
    <t>OAEIAAAABQAAAAExAQAAAAstMjAzNzI0MTcyMQMAAAADMTYwAgAAAAQ0MzYzBAAAAAEwBwAAAAkzLzI5LzIwMjYIAAAACTUvMjkvMjAyMQkAAAABMPuwF3pEjd4InIZnfkSN3ggtQ0lRLk5BU0RBUTpDQUxNLklRX0FTU0VUX1RVUk5TLjk5Ni4yOS8wMy8yMDI2AQAAACB6BQACAAAACDEuMTA3NjAyAQgAAAAFAAAAATEBAAAACy0yMDM3MjQxNzIxAwAAAAMxNjACAAAABDQxNzcEAAAAATAHAAAACTMvMjkvMjAyNggAAAAJNS8yOS8yMDIxCQAAAAEw/dcXekSN3giXYGZ+RI3eCDBDSVEuTkFTREFROkNBTE0uSVFfUkVTVEFURU1FTlRfQlMuOTk4LjI5LzAzLzIwMjYBAAAAIHoFAAMAAAACTkMA+7AXekSN3gi7+2d+RI3eCDRDSVEuTkFTREFROkNBTE0uSVFfQVZHX1RFTVBfRU1QTE9ZRUVTLjk5Ni4yOS8wMy8yMDI2AQAAACB6BQADAAAAAADmYhd6RI3eCPZwaH5Ejd4IRENJUS5OQVNEQVE6Q0FMTS5JUV9UT1RBTF9ERUJUX0VCSVREQV9FWENMX09QRVJfTEVBU0VTLjk5Ni4yOS8wMy8yMDI2AQAAACB6BQACAAAACDAuMDY1Njk5AQgAAAAFAAAAATEBAAAACy0yMDM3MjQxNzIxAwAAAAMxNjACAAAABTQ4OTk0BAAAAAEwBwAAAAkzLzI5LzIwMjYIAAAACTUvMjkvMjAyMQkAAAABMCZ9FHpEjd4Ii8djfkSN3ggxQ0lRLk5BU0RBUTpDQUxNLklRX0NBU0hfQ09OVkVSU0lPTi45OTQuMjkvMDMvMjAyNgEAAAAgegUA</t>
  </si>
  <si>
    <t>AgAAAAg2MC42NDQyMgEIAAAABQAAAAExAQAAAAstMjE0MjQyOTAzOQMAAAADMTYwAgAAAAQ0MTg0BAAAAAEwBwAAAAkzLzI5LzIwMjYIAAAACDYvMS8yMDE5CQAAAAEw/dcXekSN3ghDO2V+RI3eCDRDSVEuTkFTREFROkNBTE0uSVFfQVZHX1RFTVBfRU1QTE9ZRUVTLjk5NS4yOS8wMy8yMDI2AQAAACB6BQADAAAAAADmYhd6RI3eCPZwaH5Ejd4IK0NJUS5OQVNEQVE6Q0FMTS5JUV9QQVJUX1RJTUUuOTk4LjI5LzAzLzIwMjYBAAAAIHoFAAIAAAADMTYxAOZiF3pEjd4IkuxofkSN3gg8Q0lRLk5BU0RBUTpDQUxNLklRX1RPVEFMX09VVFNUQU5ESU5HX0JTX0RBVEUuMTAwMC4yOS8wMy8yMDI2AQAAACB6BQACAAAABjQ4LjQ5NAEEAAAABQAAAAE1AQAAAAstMTkzNDk3ODM4MQIAAAAFMjQxNTIGAAAAATDBLi16RI3eCKE6aX5Ejd4IQkNJUS5OQVNEQVE6Q0FMTS5JUV9ORVRfREVCVF9FQklUREFfRVhDTF9PUEVSX0xFQVNFUy45OTMuMjkvMDMvMjAyNgEAAAAgegUAAwAAAAJOTQEIAAAABQAAAAExAQAAAAoyMDQ1NzQ5MzEwAwAAAAMxNjACAAAABTQ5MTc1BAAAAAEwBwAAAAkzLzI5LzIwMjYIAAAACDYvMi8yMDE4CQAAAAEwJn0UekSN3gh5oGN+RI3eCDNDSVEuTkFTREFROkNBTE0uSVFfVE9UQUxfREVCVF9FUVVJVFkuOTk0LjI5LzAzLzIwMjYBAAAAIHoFAAIAAAAFMC4yNTgBCAAAAAUAAAABMQEAAAALLTIx</t>
  </si>
  <si>
    <t>NDI0MjkwMzkDAAAAAzE2MAIAAAAENDAzNAQAAAABMAcAAAAJMy8yOS8yMDI2CAAAAAg2LzEvMjAxOQkAAAABMP3XF3pEjd4IQztlfkSN3gg7Q0lRLk5BU0RBUTpDQUxNLklRX1RPVEFMX09VVFNUQU5ESU5HX0JTX0RBVEUuOTk5LjI5LzAzLzIwMjYBAAAAIHoFAAIAAAAJNDkuMDM4NzY2AQQAAAAFAAAAATUBAAAACy0xOTM0OTc4NDgwAgAAAAUyNDE1MgYAAAABMMEuLXpEjd4IoTppfkSN3ghDQ0lRLk5BU0RBUTpDQUxNLklRX05FVF9ERUJUX0VCSVREQV9FWENMX09QRVJfTEVBU0VTLjEwMDAuMjkvMDMvMjAyNgEAAAAgegUAAwAAAAJOTQEIAAAABQAAAAExAQAAAAstMTkzNDk3ODM4MQMAAAADMTYwAgAAAAU0OTE3NQQAAAABMAcAAAAJMy8yOS8yMDI2CAAAAAk1LzMxLzIwMjUJAAAAATAmfRR6RI3eCHJ5Y35Ejd4IM0NJUS5OQVNEQVE6Q0FMTS5JUV9UT1RBTF9ERUJUX0VRVUlUWS45OTMuMjkvMDMvMjAyNgEAAAAgegUAAgAAAAYwLjYzNzIBCAAAAAUAAAABMQEAAAAKMjA0NTc0OTMxMAMAAAADMTYwAgAAAAQ0MDM0BAAAAAEwBwAAAAkzLzI5LzIwMjYIAAAACDYvMi8yMDE4CQAAAAEw/dcXekSN3ghDO2V+RI3eCC9DSVEuTkFTREFROkNBTE0uSVFfUkVUVVJOX0VRVUlUWS45OTguMjkvMDMvMjAyNgEAAAAgegUAAgAAAAc1NS43NjY1AQgAAAAFAAAAATEBAAAACy0xOTM0OTc4NDIwAwAAAAMxNjACAAAA</t>
  </si>
  <si>
    <t>BDQxMjgEAAAAATAHAAAACTMvMjkvMjAyNggAAAAINi8zLzIwMjMJAAAAATD7sBd6RI3eCJyGZ35Ejd4IMENJUS5OQVNEQVE6Q0FMTS5JUV9SRVNUQVRFTUVOVF9CUy45OTcuMjkvMDMvMjAyNgEAAAAgegUAAwAAAAJSRAD7sBd6RI3eCLv7Z35Ejd4ISkNJUS5OQVNEQVE6Q0FMTS5JUV9UT1RBTF9ERUJUX0VCSVREQV9FWENMX09QRVJfTEVBU0VTX0NBUEVYLjk5Ny4yOS8wMy8yMDI2AQAAACB6BQADAAAAAAAmfRR6RI3eCIJSY35Ejd4IL0NJUS5OQVNEQVE6Q0FMTS5JUV9SRVRVUk5fRVFVSVRZLjk5Ni4yOS8wMy8yMDI2AQAAACB6BQACAAAABjAuMjAzNwEIAAAABQAAAAExAQAAAAstMjAzNzI0MTcyMQMAAAADMTYwAgAAAAQ0MTI4BAAAAAEwBwAAAAkzLzI5LzIwMjYIAAAACTUvMjkvMjAyMQkAAAABMPuwF3pEjd4IPl9nfkSN3ggwQ0lRLk5BU0RBUTpDQUxNLklRX1JFU1RBVEVNRU5UX0JTLjk5Ni4yOS8wMy8yMDI2AQAAACB6BQADAAAAAk5DAPuwF3pEjd4IwdRnfkSN3gg0Q0lRLk5BU0RBUTpDQUxNLklRX0FWR19URU1QX0VNUExPWUVFUy45OTQuMjkvMDMvMjAyNgEAAAAgegUAAwAAAAAA5mIXekSN3gj2cGh+RI3eCCtDSVEuTkFTREFROkNBTE0uSVFfUEFSVF9USU1FLjk5Ny4yOS8wMy8yMDI2AQAAACB6BQACAAAAAzE0MADmYhd6RI3eCB+/aH5Ejd4ISkNJUS5OQVNEQVE6Q0FMTS5JUV9UT1RBTF9E</t>
  </si>
  <si>
    <t>RUJUX0VCSVREQV9FWENMX09QRVJfTEVBU0VTX0NBUEVYLjk5NC4yOS8wMy8yMDI2AQAAACB6BQACAAAACDAuMDc4NjQ1AQgAAAAFAAAAATEBAAAACy0yMTQyNDI5MDM5AwAAAAMxNjACAAAABTQ5MTgzBAAAAAEwBwAAAAkzLzI5LzIwMjYIAAAACDYvMS8yMDE5CQAAAAEwJn0UekSN3giCUmN+RI3eCDRDSVEuTkFTREFROkNBTE0uSVFfVE9UQUxfREVCVF9FUVVJVFkuMTAwMC4yOS8wMy8yMDI2AQAAACB6BQADAAAAAAD91xd6RI3eCDUUZX5Ejd4IL0NJUS5OQVNEQVE6Q0FMTS5JUV9SRVRVUk5fRVFVSVRZLjk5NC4yOS8wMy8yMDI2AQAAACB6BQACAAAABjUuNjYwNAEIAAAABQAAAAExAQAAAAstMjE0MjQyOTAzOQMAAAADMTYwAgAAAAQ0MTI4BAAAAAEwBwAAAAkzLzI5LzIwMjYIAAAACDYvMS8yMDE5CQAAAAEw+7AXekSN3gg+X2d+RI3eCDRDSVEuTkFTREFROkNBTE0uSVFfQVZHX1RFTVBfRU1QTE9ZRUVTLjk5My4yOS8wMy8yMDI2AQAAACB6BQADAAAAAADmYhd6RI3eCPZwaH5Ejd4IK0NJUS5OQVNEQVE6Q0FMTS5JUV9QQVJUX1RJTUUuOTk2LjI5LzAzLzIwMjYBAAAAIHoFAAIAAAADMTM1AOZiF3pEjd4IH79ofkSN3gg2Q0lRLk5BU0RBUTpDQUxNLklRX1JFVFVSTl9DT01NT05fRVFVSVRZLjk5NS4yOS8wMy8yMDI2AQAAACB6BQACAAAABjEuODQyNQEIAAAABQAAAAExAQAAAAstMjA4ODM0NzQ2OQMA</t>
  </si>
  <si>
    <t>AAADMTYwAgAAAAUzMzMyMAQAAAABMAcAAAAJMy8yOS8yMDI2CAAAAAk1LzMwLzIwMjAJAAAAATD7sBd6RI3eCD5fZ35Ejd4IK0NJUS5OQVNEQVE6Q0FMTS5JUV9QQVJUX1RJTUUuOTk1LjI5LzAzLzIwMjYBAAAAIHoFAAIAAAADMTc1AOZiF3pEjd4IH79ofkSN3ggqQ0lRLk5BU0RBUTpDQUxNLklRX0dBQVBfQ0YuMTAwMC4yOS8wMy8yMDI2AQAAACB6BQADAAAAB1VTIEdBQVAAjYF/ekSN3giwYWl+RI3eCC5DSVEuTkFTREFROkNBTE0uSVFfQ0FMQ19UWVBFX0NGLjk5NC4yOS8wMy8yMDI2AQAAACB6BQADAAAAA1JFUACNgX96RI3eCLuIaX5Ejd4IMUNJUS5OQVNEQVE6Q0FMTS5JUV9QRVJJT0RMRU5HVEhfQ0YuOTk0LjI5LzAzLzIwMjYBAAAAIHoFAAEAAAACMTIApjGAekSN3gjGr2l+RI3eCClDSVEuTkFTREFROkNBTE0uSVFfR0FBUF9DRi45OTkuMjkvMDMvMjAyNgEAAAAgegUAAwAAAAdVUyBHQUFQAI2Bf3pEjd4IsGFpfkSN3gguQ0lRLk5BU0RBUTpDQUxNLklRX0NBTENfVFlQRV9DRi45OTMuMjkvMDMvMjAyNgEAAAAgegUAAwAAAANSRVAAjYF/ekSN3gi7iGl+RI3eCDBDSVEuTkFTREFROkNBTE0uSVFfTFRfREVCVF9FUVVJVFkuOTk4LjI5LzAzLzIwMjYBAAAAIHoFAAMAAAAAAP3XF3pEjd4INRRlfkSN3ggrQ0lRLk5BU0RBUTpDQUxNLklRX0FSX1RVUk5TLjEwMDAuMjkvMDMvMjAyNgEAAAAgegUA</t>
  </si>
  <si>
    <t>AgAAAAkyMi4yNzY4NTMBCAAAAAUAAAABMQEAAAALLTE5MzQ5NzgzODEDAAAAAzE2MAIAAAAENDAwMQQAAAABMAcAAAAJMy8yOS8yMDI2CAAAAAk1LzMxLzIwMjUJAAAAATD91xd6RI3eCJY5Zn5Ejd4ISENJUS5OQVNEQVE6Q0FMTS5JUV9ORVRfREVCVF9FQklUREFfRVhDTF9PUEVSX0xFQVNFU19DQVBFWC45OTguMjkvMDMvMjAyNgEAAAAgegUAAwAAAAJOTQEIAAAABQAAAAExAQAAAAstMTkzNDk3ODQyMAMAAAADMTYwAgAAAAU0OTE4MgQAAAABMAcAAAAJMy8yOS8yMDI2CAAAAAg2LzMvMjAyMwkAAAABMCZ9FHpEjd4IYStjfkSN3ggwQ0lRLk5BU0RBUTpDQUxNLklRX0xUX0RFQlRfRVFVSVRZLjk5Ny4yOS8wMy8yMDI2AQAAACB6BQADAAAAAAD91xd6RI3eCD/tZH5Ejd4IKkNJUS5OQVNEQVE6Q0FMTS5JUV9BUl9UVVJOUy45OTguMjkvMDMvMjAyNgEAAAAgegUAAgAAAAkyMi40NjU4MzcBCAAAAAUAAAABMQEAAAALLTE5MzQ5Nzg0MjADAAAAAzE2MAIAAAAENDAwMQQAAAABMAcAAAAJMy8yOS8yMDI2CAAAAAg2LzMvMjAyMwkAAAABMP3XF3pEjd4IljlmfkSN3gguQ0lRLk5BU0RBUTpDQUxNLklRX0dST1NTX01BUkdJTi45OTQuMjkvMDMvMjAyNgEAAAAgegUAAgAAAAcxNi4zNzIzAQgAAAAFAAAAATEBAAAACy0yMTQyNDI5MDM5AwAAAAMxNjACAAAABDQwNzQEAAAAATAHAAAACTMvMjkvMjAyNggAAAAI</t>
  </si>
  <si>
    <t>Ni8xLzIwMTkJAAAAATD91xd6RI3eCMf8Zn5Ejd4INUNJUS5OQVNEQVE6Q0FMTS5JUV9BVkdfVEVNUF9FTVBMT1lFRVMuMTAwMC4yOS8wMy8yMDI2AQAAACB6BQADAAAAAADmYhd6RI3eCOFJaH5Ejd4ILkNJUS5OQVNEQVE6Q0FMTS5JUV9HUk9TU19NQVJHSU4uOTkzLjI5LzAzLzIwMjYBAAAAIHoFAAIAAAAHMjQuMDIyNwEIAAAABQAAAAExAQAAAAoyMDQ1NzQ5MzEwAwAAAAMxNjACAAAABDQwNzQEAAAAATAHAAAACTMvMjkvMjAyNggAAAAINi8yLzIwMTgJAAAAATD91xd6RI3eCMf8Zn5Ejd4IKUNJUS5OQVNEQVE6Q0FMTS5JUV9HQUFQX0JTLjk5Ni4yOS8wMy8yMDI2AQAAACB6BQADAAAAB1VTIEdBQVAA+7AXekSN3ggFrmd+RI3eCDBDSVEuTkFTREFROkNBTE0uSVFfQ09TVF9CT1JST1dJTkcuOTk4LjI5LzAzLzIwMjYBAAAAIHoFAAMAAAAAAAKKF3pEjd4IwyJofkSN3gg/Q0lRLk5BU0RBUTpDQUxNLklRX1RPVEFMX09VVFNUQU5ESU5HX0ZJTElOR19EQVRFLjk5My4yOS8wMy8yMDI2AQAAACB6BQACAAAACTQ4LjYzMDUyMQEEAAAABQAAAAE1AQAAAAoyMDQ1NzQ5MzEwAgAAAAUyNDE1MwYAAAABMLoHLXpEjd4IsGFpfkSN3ggwQ0lRLk5BU0RBUTpDQUxNLklRX0NPU1RfQk9SUk9XSU5HLjk5Ny4yOS8wMy8yMDI2AQAAACB6BQADAAAAAAACihd6RI3eCMMiaH5Ejd4IMUNJUS5OQVNEQVE6Q0FMTS5JUV9U</t>
  </si>
  <si>
    <t>T1RBTF9FTVBMT1lFRVMuOTk0LjI5LzAzLzIwMjYBAAAAIHoFAAIAAAAEMzQwMQDmYhd6RI3eCB+/aH5Ejd4ILENJUS5OQVNEQVE6Q0FMTS5JUV9JTlZfTUVUSE9ELjk5My4yOS8wMy8yMDI2AQAAACB6BQADAAAABEZJRk8AwS4tekSN3gihOml+RI3eCDBDSVEuTkFTREFROkNBTE0uSVFfTFRfREVCVF9FUVVJVFkuOTk2LjI5LzAzLzIwMjYBAAAAIHoFAAIAAAAGMC4xNDUzAQgAAAAFAAAAATEBAAAACy0yMDM3MjQxNzIxAwAAAAMxNjACAAAABDQwODUEAAAAATAHAAAACTMvMjkvMjAyNggAAAAJNS8yOS8yMDIxCQAAAAEw/dcXekSN3gg/7WR+RI3eCC9DSVEuTkFTREFROkNBTE0uSVFfQ1VSUkVOVF9SQVRJTy45OTYuMjkvMDMvMjAyNgEAAAAgegUAAgAAAAg1Ljc3MDc5MQEIAAAABQAAAAExAQAAAAstMjAzNzI0MTcyMQMAAAADMTYwAgAAAAQ0MDMwBAAAAAEwBwAAAAkzLzI5LzIwMjYIAAAACTUvMjkvMjAyMQkAAAABMP3XF3pEjd4IZBJmfkSN3ggwQ0lRLk5BU0RBUTpDQUxNLklRX0NPU1RfQk9SUk9XSU5HLjk5Ni4yOS8wMy8yMDI2AQAAACB6BQACAAAABjcuMzg4MQEIAAAABQAAAAExAQAAAAstMjAzNzI0MTcyMQMAAAADMTYwAgAAAAUyMTY4MQQAAAABMAcAAAAJMy8yOS8yMDI2CAAAAAk1LzI5LzIwMjEJAAAAATACihd6RI3eCMMiaH5Ejd4IM0NJUS5OQVNEQVE6Q0FMTS5JUV9OVU1CRVJfQURSSE9M</t>
  </si>
  <si>
    <t>REVSUy45OTYuMjkvMDMvMjAyNgEAAAAgegUAAwAAAAAA5mIXekSN3gjDImh+RI3eCDFDSVEuTkFTREFROkNBTE0uSVFfVE9UQUxfRU1QTE9ZRUVTLjk5My4yOS8wMy8yMDI2AQAAACB6BQACAAAABDM0OTYA5mIXekSN3ggfv2h+RI3eCDBDSVEuTkFTREFROkNBTE0uSVFfTFRfREVCVF9FUVVJVFkuOTk0LjI5LzAzLzIwMjYBAAAAIHoFAAIAAAAGMC4wODY2AQgAAAAFAAAAATEBAAAACy0yMTQyNDI5MDM5AwAAAAMxNjACAAAABDQwODUEAAAAATAHAAAACTMvMjkvMjAyNggAAAAINi8xLzIwMTkJAAAAATD91xd6RI3eCD/tZH5Ejd4IL0NJUS5OQVNEQVE6Q0FMTS5JUV9DVVJSRU5UX1JBVElPLjk5NS4yOS8wMy8yMDI2AQAAACB6BQACAAAACDUuNjA0NTczAQgAAAAFAAAAATEBAAAACy0yMDg4MzQ3NDY5AwAAAAMxNjACAAAABDQwMzAEAAAAATAHAAAACTMvMjkvMjAyNggAAAAJNS8zMC8yMDIwCQAAAAEw/dcXekSN3ghkEmZ+RI3eCCpDSVEuTkFTREFROkNBTE0uSVFfR0FBUF9CUy4xMDAwLjI5LzAzLzIwMjYBAAAAIHoFAAMAAAAHVVMgR0FBUAD7sBd6RI3eCAWuZ35Ejd4IMENJUS5OQVNEQVE6Q0FMTS5JUV9DT1NUX0JPUlJPV0lORy45OTUuMjkvMDMvMjAyNgEAAAAgegUAAgAAAAYxNi43NjIBCAAAAAUAAAABMQEAAAALLTIwODgzNDc0NjkDAAAAAzE2MAIAAAAFMjE2ODEEAAAAATAHAAAACTMvMjkvMjAy</t>
  </si>
  <si>
    <t>NggAAAAJNS8zMC8yMDIwCQAAAAEwAooXekSN3gjDImh+RI3eCDNDSVEuTkFTREFROkNBTE0uSVFfTlVNQkVSX0FEUkhPTERFUlMuOTk1LjI5LzAzLzIwMjYBAAAAIHoFAAMAAAAAAOZiF3pEjd4IwyJofkSN3gg6Q0lRLk5BU0RBUTpDQUxNLklRX1RPVEFMX1JFVl8xWVJfQU5OX0dST1dUSC45OTguMjkvMDMvMjAyNgEAAAAgegUAAgAAAAc3Ny4wMzYzAQgAAAAFAAAAATEBAAAACy0xOTM0OTc4NDIwAwAAAAMxNjACAAAABDQxOTQEAAAAATAHAAAACTMvMjkvMjAyNggAAAAINi8zLzIwMjMJAAAAATAmfRR6RI3eCMnXYn5Ejd4IL0NJUS5OQVNEQVE6Q0FMTS5JUV9DVVJSRU5UX1JBVElPLjk5NC4yOS8wMy8yMDI2AQAAACB6BQACAAAACDcuNTc5NDM4AQgAAAAFAAAAATEBAAAACy0yMTQyNDI5MDM5AwAAAAMxNjACAAAABDQwMzAEAAAAATAHAAAACTMvMjkvMjAyNggAAAAINi8xLzIwMTkJAAAAATD91xd6RI3eCGQSZn5Ejd4IMENJUS5OQVNEQVE6Q0FMTS5JUV9FQklUREFfTUFSR0lOLjEwMDAuMjkvMDMvMjAyNgEAAAAgegUAAgAAAAczOC42MDg2AQgAAAAFAAAAATEBAAAACy0xOTM0OTc4MzgxAwAAAAMxNjACAAAABDQwNDcEAAAAATAHAAAACTMvMjkvMjAyNggAAAAJNS8zMS8yMDI1CQAAAAEw/dcXekSN3gh91mZ+RI3eCClDSVEuTkFTREFROkNBTE0uSVFfR0FBUF9CUy45OTguMjkvMDMvMjAyNgEAAAAg</t>
  </si>
  <si>
    <t>egUAAwAAAAdVUyBHQUFQAPuwF3pEjd4IBa5nfkSN3ggwQ0lRLk5BU0RBUTpDQUxNLklRX0NPU1RfQk9SUk9XSU5HLjk5NC4yOS8wMy8yMDI2AQAAACB6BQACAAAABzE0LjkwMDUBCAAAAAUAAAABMQEAAAALLTIxNDI0MjkwMzkDAAAAAzE2MAIAAAAFMjE2ODEEAAAAATAHAAAACTMvMjkvMjAyNggAAAAINi8xLzIwMTkJAAAAATACihd6RI3eCLv7Z35Ejd4IMUNJUS5OQVNEQVE6Q0FMTS5JUV9UT1RBTF9FTVBMT1lFRVMuOTk4LjI5LzAzLzIwMjYBAAAAIHoFAAIAAAAEMjg5NgDmYhd6RI3eCN+XaH5Ejd4IP0NJUS5OQVNEQVE6Q0FMTS5JUV9UT1RBTF9PVVRTVEFORElOR19GSUxJTkdfREFURS45OTcuMjkvMDMvMjAyNgEAAAAgegUAAgAAAAk0OC45Mzk1MjQBBAAAAAUAAAABNQEAAAALLTE5ODY3MDg0MzMCAAAABTI0MTUzBgAAAAEwugctekSN3giwYWl+RI3eCEVDSVEuTkFTREFROkNBTE0uSVFfVE9UQUxfREVCVF9FQklUREFfRVhDTF9PUEVSX0xFQVNFUy4xMDAwLjI5LzAzLzIwMjYBAAAAIHoFAAMAAAAAACZ9FHpEjd4Ii8djfkSN3ghDQ0lRLk5BU0RBUTpDQUxNLklRX0VCSVREQV9FWENMX09QRVJfTEVBU0VTX0NBUEVYX0lOVC45OTYuMjkvMDMvMjAyNgEAAAAgegUAAwAAAAJOTQEIAAAABQAAAAExAQAAAAstMjAzNzI0MTcyMQMAAAADMTYwAgAAAAU0OTE3NAQAAAABMAcAAAAJMy8yOS8yMDI2CAAA</t>
  </si>
  <si>
    <t>AAk1LzI5LzIwMjEJAAAAATAmfRR6RI3eCJLuY35Ejd4IKkNJUS5OQVNEQVE6Q0FMTS5JUV9FQklUX0lOVC45OTguMjkvMDMvMjAyNgEAAAAgegUAAgAAAAsxNjUzLjk0NTExMQEIAAAABQAAAAExAQAAAAstMTkzNDk3ODQyMAMAAAADMTYwAgAAAAQ0MTg5BAAAAAEwBwAAAAkzLzI5LzIwMjYIAAAACDYvMy8yMDIzCQAAAAEw/dcXekSN3gjXnmR+RI3eCDNDSVEuTkFTREFROkNBTE0uSVFfTklfMVlSX0FOTl9HUk9XVEguOTk2LjI5LzAzLzIwMjYBAAAAIHoFAAIAAAAILTg4Ljc5ODkBCAAAAAUAAAABMQEAAAALLTIwMzcyNDE3MjEDAAAAAzE2MAIAAAAENDE5OQQAAAABMAcAAAAJMy8yOS8yMDI2CAAAAAk1LzI5LzIwMjEJAAAAATCdsxR6RI3eCGZOYn5Ejd4IOUNJUS5OQVNEQVE6Q0FMTS5JUV9UT1RBTF9MSUFCX1RPVEFMX0FTU0VUUy45OTguMjkvMDMvMjAyNgEAAAAgegUAAgAAAAcxNy42NDgzAQgAAAAFAAAAATEBAAAACy0xOTM0OTc4NDIwAwAAAAMxNjACAAAABDQxODgEAAAAATAHAAAACTMvMjkvMjAyNggAAAAINi8zLzIwMjMJAAAAATD91xd6RI3eCBrGZH5Ejd4IMkNJUS5OQVNEQVE6Q0FMTS5JUV9HUF8zWVJfQU5OX0NBR1IuMTAwMC4yOS8wMy8yMDI2AQAAACB6BQACAAAABzc2LjQyNDEBCAAAAAUAAAABMQEAAAALLTE5MzQ5NzgzODEDAAAAAzE2MAIAAAAENDIyMQQAAAABMAcAAAAJMy8yOS8y</t>
  </si>
  <si>
    <t>MDI2CAAAAAk1LzMxLzIwMjUJAAAAATCdsxR6RI3eCB7YYX5Ejd4IOENJUS5OQVNEQVE6Q0FMTS5JUV9UT1RBTF9SRVZfM1lSX0FOTl9DQUdSLjk5NC4yOS8wMy8yMDI2AQAAACB6BQACAAAACC0xMC42NTYzAQgAAAAFAAAAATEBAAAACy0yMTQyNDI5MDM5AwAAAAMxNjACAAAABDQyMjAEAAAAATAHAAAACTMvMjkvMjAyNggAAAAINi8xLzIwMTkJAAAAATCdsxR6RI3eCBknYn5Ejd4IN0NJUS5OQVNEQVE6Q0FMTS5JUV9FQklUREFfMVlSX0FOTl9HUk9XVEguOTk2LjI5LzAzLzIwMjYBAAAAIHoFAAIAAAAILTM5LjEyMTEBCAAAAAUAAAABMQEAAAALLTIwMzcyNDE3MjEDAAAAAzE2MAIAAAAENDE5NgQAAAABMAcAAAAJMy8yOS8yMDI2CAAAAAk1LzI5LzIwMjEJAAAAATCdsxR6RI3eCFuwYn5Ejd4IOkNJUS5OQVNEQVE6Q0FMTS5JUV9UT1RBTF9ERUJUX0VCSVREQV9DQVBFWC4xMDAwLjI5LzAzLzIwMjYBAAAAIHoFAAMAAAAAACZ9FHpEjd4IcnljfkSN3ghCQ0lRLk5BU0RBUTpDQUxNLklRX05FVF9ERUJUX0VCSVREQV9FWENMX09QRVJfTEVBU0VTLjk5NC4yOS8wMy8yMDI2AQAAACB6BQADAAAAAk5NAQgAAAAFAAAAATEBAAAACy0yMTQyNDI5MDM5AwAAAAMxNjACAAAABTQ5MTc1BAAAAAEwBwAAAAkzLzI5LzIwMjYIAAAACDYvMS8yMDE5CQAAAAEwJn0UekSN3gh5oGN+RI3eCDhDSVEuTkFTREFROkNBTE0u</t>
  </si>
  <si>
    <t>SVFfVE9UQUxfUkVWXzNZUl9BTk5fQ0FHUi45OTMuMjkvMDMvMjAyNgEAAAAgegUAAgAAAActMS41NzI2AQgAAAAFAAAAATEBAAAACjIwNDU3NDkzMTADAAAAAzE2MAIAAAAENDIyMAQAAAABMAcAAAAJMy8yOS8yMDI2CAAAAAg2LzIvMjAxOAkAAAABMJ2zFHpEjd4IGSdifkSN3ggzQ0lRLk5BU0RBUTpDQUxNLklRX05JXzFZUl9BTk5fR1JPV1RILjk5OS4yOS8wMy8yMDI2AQAAACB6BQACAAAACC02My4zNDA1AQgAAAAFAAAAATEBAAAACy0xOTM0OTc4NDgwAwAAAAMxNjACAAAABDQxOTkEAAAAATAHAAAACTMvMjkvMjAyNggAAAAINi8xLzIwMjQJAAAAATCdsxR6RI3eCLN1Yn5Ejd4IN0NJUS5OQVNEQVE6Q0FMTS5JUV9FQklUREFfMVlSX0FOTl9HUk9XVEguOTk1LjI5LzAzLzIwMjYBAAAAIHoFAAIAAAAILTQwLjgyMDYBCAAAAAUAAAABMQEAAAALLTIwODgzNDc0NjkDAAAAAzE2MAIAAAAENDE5NgQAAAABMAcAAAAJMy8yOS8yMDI2CAAAAAk1LzMwLzIwMjAJAAAAATCdsxR6RI3eCFuwYn5Ejd4IM0NJUS5OQVNEQVE6Q0FMTS5JUV9FQklUXzVZUl9BTk5fQ0FHUi45OTYuMjkvMDMvMjAyNgEAAAAgegUAAwAAAAJOTQEIAAAABQAAAAExAQAAAAstMjAzNzI0MTcyMQMAAAADMTYwAgAAAAQ0MjM2BAAAAAEwBwAAAAkzLzI5LzIwMjYIAAAACTUvMjkvMjAyMQkAAAABMJ2zFHpEjd4IpgBhfkSN3ggyQ0lRLk5B</t>
  </si>
  <si>
    <t>U0RBUTpDQUxNLklRX0VQU18zWVJfQU5OX0NBR1IuOTk4LjI5LzAzLzIwMjYBAAAAIHoFAAIAAAAIMjQ0LjU0MzYBCAAAAAUAAAABMQEAAAALLTE5MzQ5Nzg0MjADAAAAAzE2MAIAAAAENDIyNgQAAAABMAcAAAAJMy8yOS8yMDI2CAAAAAg2LzMvMjAyMwkAAAABMJ2zFHpEjd4I9WJhfkSN3ghKQ0lRLk5BU0RBUTpDQUxNLklRX1RPVEFMX0RFQlRfRUJJVERBX0VYQ0xfT1BFUl9MRUFTRVNfQ0FQRVguOTk2LjI5LzAzLzIwMjYBAAAAIHoFAAMAAAACTk0BCAAAAAUAAAABMQEAAAALLTIwMzcyNDE3MjEDAAAAAzE2MAIAAAAFNDkxODMEAAAAATAHAAAACTMvMjkvMjAyNggAAAAJNS8yOS8yMDIxCQAAAAEwJn0UekSN3giCUmN+RI3eCERDSVEuTkFTREFROkNBTE0uSVFfVE9UQUxfREVCVF9FQklUREFfRVhDTF9PUEVSX0xFQVNFUy45OTguMjkvMDMvMjAyNgEAAAAgegUAAwAAAAAAJn0UekSN3giS7mN+RI3eCDNDSVEuTkFTREFROkNBTE0uSVFfRUJJVF81WVJfQU5OX0NBR1IuOTk1LjI5LzAzLzIwMjYBAAAAIHoFAAIAAAAILTY0LjM3MjcBCAAAAAUAAAABMQEAAAALLTIwODgzNDc0NjkDAAAAAzE2MAIAAAAENDIzNgQAAAABMAcAAAAJMy8yOS8yMDI2CAAAAAk1LzMwLzIwMjAJAAAAATCdsxR6RI3eCKYAYX5Ejd4IMkNJUS5OQVNEQVE6Q0FMTS5JUV9FUFNfM1lSX0FOTl9DQUdSLjk5Ny4yOS8wMy8yMDI2AQAA</t>
  </si>
  <si>
    <t>ACB6BQACAAAABzM0LjQ2MDQBCAAAAAUAAAABMQEAAAALLTE5ODY3MDg0MzMDAAAAAzE2MAIAAAAENDIyNgQAAAABMAcAAAAJMy8yOS8yMDI2CAAAAAk1LzI4LzIwMjIJAAAAATCdsxR6RI3eCPViYX5Ejd4IMUNJUS5OQVNEQVE6Q0FMTS5JUV9HUF8zWVJfQU5OX0NBR1IuOTk5LjI5LzAzLzIwMjYBAAAAIHoFAAIAAAAHNDkuOTM5MQEIAAAABQAAAAExAQAAAAstMTkzNDk3ODQ4MAMAAAADMTYwAgAAAAQ0MjIxBAAAAAEwBwAAAAkzLzI5LzIwMjYIAAAACDYvMS8yMDI0CQAAAAEwnbMUekSN3ggZ/2F+RI3eCDVDSVEuTkFTREFROkNBTE0uSVFfRUJJVERBXzNZUl9BTk5fQ0FHUi45OTYuMjkvMDMvMjAyNgEAAAAgegUAAgAAAAgtNDYuNDUzOAEIAAAABQAAAAExAQAAAAstMjAzNzI0MTcyMQMAAAADMTYwAgAAAAQ0MjIyBAAAAAEwBwAAAAkzLzI5LzIwMjYIAAAACTUvMjkvMjAyMQkAAAABMJ2zFHpEjd4IGf9hfkSN3ggzQ0lRLk5BU0RBUTpDQUxNLklRX05JXzFZUl9BTk5fR1JPV1RILjk5OC4yOS8wMy8yMDI2AQAAACB6BQACAAAACDQ3MS40NDY2AQgAAAAFAAAAATEBAAAACy0xOTM0OTc4NDIwAwAAAAMxNjACAAAABDQxOTkEAAAAATAHAAAACTMvMjkvMjAyNggAAAAINi8zLzIwMjMJAAAAATCdsxR6RI3eCGZOYn5Ejd4IN0NJUS5OQVNEQVE6Q0FMTS5JUV9FQklUREFfMVlSX0FOTl9HUk9XVEguOTk0LjI5</t>
  </si>
  <si>
    <t>LzAzLzIwMjYBAAAAIHoFAAIAAAAILTU3LjM4NjUBCAAAAAUAAAABMQEAAAALLTIxNDI0MjkwMzkDAAAAAzE2MAIAAAAENDE5NgQAAAABMAcAAAAJMy8yOS8yMDI2CAAAAAg2LzEvMjAxOQkAAAABMJ2zFHpEjd4IW7BifkSN3gg7Q0lRLk5BU0RBUTpDQUxNLklRX1RPVEFMX1JFVl8xWVJfQU5OX0dST1dUSC4xMDAwLjI5LzAzLzIwMjYBAAAAIHoFAAIAAAAHODMuMTkzMQEIAAAABQAAAAExAQAAAAstMTkzNDk3ODM4MQMAAAADMTYwAgAAAAQ0MTk0BAAAAAEwBwAAAAkzLzI5LzIwMjYIAAAACTUvMzEvMjAyNQkAAAABMCZ9FHpEjd4IyddifkSN3ggpQ0lRLk5BU0RBUTpDQUxNLklRX1pfU0NPUkUuOTk0LjI5LzAzLzIwMjYBAAAAIHoFAAIAAAAJMTAuOTQ2OTAyAQgAAAAFAAAAATEBAAAACy0yMTQyNDI5MDM5AwAAAAMxNjACAAAABjEwMDEyMwQAAAABMAcAAAAJMy8yOS8yMDI2CAAAAAg2LzEvMjAxOQkAAAABMCZ9FHpEjd4I7gNjfkSN3gguQ0lRLk5BU0RBUTpDQUxNLklRX0NBTENfVFlQRV9CUy45OTMuMjkvMDMvMjAyNgEAAAAgegUAAwAAAANSVVAA+7AXekSN3gjB1Gd+RI3eCDJDSVEuTkFTREFROkNBTE0uSVFfRVBTXzVZUl9BTk5fQ0FHUi45OTguMjkvMDMvMjAyNgEAAAAgegUAAgAAAAc0Mi45NDk4AQgAAAAFAAAAATEBAAAACy0xOTM0OTc4NDIwAwAAAAMxNjACAAAABDQyMzkEAAAAATAHAAAACTMv</t>
  </si>
  <si>
    <t>MjkvMjAyNggAAAAINi8zLzIwMjMJAAAAATCdsxR6RI3eCCalYH5Ejd4IM0NJUS5OQVNEQVE6Q0FMTS5JUV9FQklUXzVZUl9BTk5fQ0FHUi45OTQuMjkvMDMvMjAyNgEAAAAgegUAAgAAAAgtMjEuMTYwNQEIAAAABQAAAAExAQAAAAstMjE0MjQyOTAzOQMAAAADMTYwAgAAAAQ0MjM2BAAAAAEwBwAAAAkzLzI5LzIwMjYIAAAACDYvMS8yMDE5CQAAAAEwnbMUekSN3giBFGF+RI3eCDJDSVEuTkFTREFROkNBTE0uSVFfR1BfNVlSX0FOTl9DQUdSLjEwMDAuMjkvMDMvMjAyNgEAAAAgegUAAgAAAAc1OS40NDg1AQgAAAAFAAAAATEBAAAACy0xOTM0OTc4MzgxAwAAAAMxNjACAAAABDQyMzQEAAAAATAHAAAACTMvMjkvMjAyNggAAAAJNS8zMS8yMDI1CQAAAAEwnbMUekSN3gjnO2F+RI3eCDJDSVEuTkFTREFROkNBTE0uSVFfRVBTXzNZUl9BTk5fQ0FHUi45OTYuMjkvMDMvMjAyNgEAAAAgegUAAgAAAAgtNzUuMTI5MgEIAAAABQAAAAExAQAAAAstMjAzNzI0MTcyMQMAAAADMTYwAgAAAAQ0MjI2BAAAAAEwBwAAAAkzLzI5LzIwMjYIAAAACTUvMjkvMjAyMQkAAAABMJ2zFHpEjd4I9WJhfkSN3ggtQ0lRLk5BU0RBUTpDQUxNLklRX0FTU0VUX1RVUk5TLjk5NS4yOS8wMy8yMDI2AQAAACB6BQACAAAABzEuMTQzOTkBCAAAAAUAAAABMQEAAAALLTIwODgzNDc0NjkDAAAAAzE2MAIAAAAENDE3NwQAAAABMAcAAAAJMy8y</t>
  </si>
  <si>
    <t>OS8yMDI2CAAAAAk1LzMwLzIwMjAJAAAAATD91xd6RI3eCMGHZn5Ejd4ILUNJUS5OQVNEQVE6Q0FMTS5JUV9FQklUX01BUkdJTi45OTUuMjkvMDMvMjAyNgEAAAAgegUAAgAAAAYwLjA5OTkBCAAAAAUAAAABMQEAAAALLTIwODgzNDc0NjkDAAAAAzE2MAIAAAAENDA1MwQAAAABMAcAAAAJMy8yOS8yMDI2CAAAAAk1LzMwLzIwMjAJAAAAATD91xd6RI3eCMf8Zn5Ejd4IL0NJUS5OQVNEQVE6Q0FMTS5JUV9SRVRVUk5fRVFVSVRZLjk5Ny4yOS8wMy8yMDI2AQAAACB6BQACAAAABzEyLjUxMTMBCAAAAAUAAAABMQEAAAALLTE5ODY3MDg0MzMDAAAAAzE2MAIAAAAENDEyOAQAAAABMAcAAAAJMy8yOS8yMDI2CAAAAAk1LzI4LzIwMjIJAAAAATD7sBd6RI3eCD5fZ35Ejd4IL0NJUS5OQVNEQVE6Q0FMTS5JUV9SRVRVUk5fQVNTRVRTLjk5My4yOS8wMy8yMDI2AQAAACB6BQACAAAABzEwLjQwMzMBCAAAAAUAAAABMQEAAAAKMjA0NTc0OTMxMAMAAAADMTYwAgAAAAQ0MTc4BAAAAAEwBwAAAAkzLzI5LzIwMjYIAAAACDYvMi8yMDE4CQAAAAEw+7AXekSN3ggFrmd+RI3eCClDSVEuTkFTREFROkNBTE0uSVFfR0FBUF9CUy45OTkuMjkvMDMvMjAyNgEAAAAgegUAAwAAAAdVUyBHQUFQAPuwF3pEjd4IBa5nfkSN3ggwQ0lRLk5BU0RBUTpDQUxNLklRX0xUX0RFQlRfRVFVSVRZLjk5NS4yOS8wMy8yMDI2AQAAACB6BQACAAAA</t>
  </si>
  <si>
    <t>BjAuMjM2NAEIAAAABQAAAAExAQAAAAstMjA4ODM0NzQ2OQMAAAADMTYwAgAAAAQ0MDg1BAAAAAEwBwAAAAkzLzI5LzIwMjYIAAAACTUvMzAvMjAyMAkAAAABMP3XF3pEjd4IP+1kfkSN3ggyQ0lRLk5BU0RBUTpDQUxNLklRX0RBWVNfUEFZQUJMRV9PVVQuOTk3LjI5LzAzLzIwMjYBAAAAIHoFAAIAAAAJMTYuNTI0NTA4AQgAAAAFAAAAATEBAAAACy0xOTg2NzA4NDMzAwAAAAMxNjACAAAABDQxODMEAAAAATAHAAAACTMvMjkvMjAyNggAAAAJNS8yOC8yMDIyCQAAAAEw/dcXekSN3gg+YmV+RI3eCDJDSVEuTkFTREFROkNBTE0uSVFfQ0ZPX0NVUlJFTlRfTElBQi45OTcuMjkvMDMvMjAyNgEAAAAgegUAAgAAAAgwLjY4MzQxNQEIAAAABQAAAAExAQAAAAstMTk4NjcwODQzMwMAAAADMTYwAgAAAAQ0MTg1BAAAAAEwBwAAAAkzLzI5LzIwMjYIAAAACTUvMjgvMjAyMgkAAAABMP3XF3pEjd4IRMRlfkSN3ggvQ0lRLk5BU0RBUTpDQUxNLklRX0NVUlJFTlRfUkFUSU8uOTkzLjI5LzAzLzIwMjYBAAAAIHoFAAIAAAAINS40NDgxNzIBCAAAAAUAAAABMQEAAAAKMjA0NTc0OTMxMAMAAAADMTYwAgAAAAQ0MDMwBAAAAAEwBwAAAAkzLzI5LzIwMjYIAAAACDYvMi8yMDE4CQAAAAEw/dcXekSN3ghkEmZ+RI3eCCpDSVEuTkFTREFROkNBTE0uSVFfQVJfVFVSTlMuOTk5LjI5LzAzLzIwMjYBAAAAIHoFAAIAAAAJMTguNjQ2</t>
  </si>
  <si>
    <t>NTk5AQgAAAAFAAAAATEBAAAACy0xOTM0OTc4NDgwAwAAAAMxNjACAAAABDQwMDEEAAAAATAHAAAACTMvMjkvMjAyNggAAAAINi8xLzIwMjQJAAAAATD91xd6RI3eCJY5Zn5Ejd4ISkNJUS5OQVNEQVE6Q0FMTS5JUV9UT1RBTF9ERUJUX0VCSVREQV9FWENMX09QRVJfTEVBU0VTX0NBUEVYLjk5NS4yOS8wMy8yMDI2AQAAACB6BQADAAAAAk5NAQgAAAAFAAAAATEBAAAACy0yMDg4MzQ3NDY5AwAAAAMxNjACAAAABTQ5MTgzBAAAAAEwBwAAAAkzLzI5LzIwMjYIAAAACTUvMzAvMjAyMAkAAAABMCZ9FHpEjd4IglJjfkSN3ghEQ0lRLk5BU0RBUTpDQUxNLklRX1RPVEFMX0RFQlRfRUJJVERBX0VYQ0xfT1BFUl9MRUFTRVMuOTk3LjI5LzAzLzIwMjYBAAAAIHoFAAMAAAAAACZ9FHpEjd4Ii8djfkSN3gg9Q0lRLk5BU0RBUTpDQUxNLklRX0VCSVREQV9FWENMX09QRVJfTEVBU0VTX0lOVC45OTkuMjkvMDMvMjAyNgEAAAAgegUAAgAAAAo3MTguMjc4Njg4AQgAAAAFAAAAATEBAAAACy0xOTM0OTc4NDgwAwAAAAMxNjACAAAABTQ5MTczBAAAAAEwBwAAAAkzLzI5LzIwMjYIAAAACDYvMS8yMDI0CQAAAAEw/dcXekSN3gjgUGR+RI3eCCxDSVEuTkFTREFROkNBTE0uSVFfRUJJVERBX0lOVC45OTMuMjkvMDMvMjAyNgEAAAAgegUAAgAAAAo4ODkuNjQ1MjgzAQgAAAAFAAAAATEBAAAACjIwNDU3NDkzMTADAAAAAzE2MAIA</t>
  </si>
  <si>
    <t>AAAENDE5MAQAAAABMAcAAAAJMy8yOS8yMDI2CAAAAAg2LzIvMjAxOAkAAAABMP3XF3pEjd4Iz3dkfkSN3gg5Q0lRLk5BU0RBUTpDQUxNLklRX1RPVEFMX0xJQUJfVE9UQUxfQVNTRVRTLjk5OS4yOS8wMy8yMDI2AQAAACB6BQACAAAABzE3Ljc0NjQBCAAAAAUAAAABMQEAAAALLTE5MzQ5Nzg0ODADAAAAAzE2MAIAAAAENDE4OAQAAAABMAcAAAAJMy8yOS8yMDI2CAAAAAg2LzEvMjAyNAkAAAABMP3XF3pEjd4IGsZkfkSN3gg4Q0lRLk5BU0RBUTpDQUxNLklRX1RPVEFMX1JFVl81WVJfQU5OX0NBR1IuOTkzLjI5LzAzLzIwMjYBAAAAIHoFAAIAAAAFMy4xMzMBCAAAAAUAAAABMQEAAAAKMjA0NTc0OTMxMAMAAAADMTYwAgAAAAQ0MjMzBAAAAAEwBwAAAAkzLzI5LzIwMjYIAAAACDYvMi8yMDE4CQAAAAEwnbMUekSN3gj1YmF+RI3eCDVDSVEuTkFTREFROkNBTE0uSVFfRUJJVERBXzNZUl9BTk5fQ0FHUi45OTUuMjkvMDMvMjAyNgEAAAAgegUAAwAAAAJOTQEIAAAABQAAAAExAQAAAAstMjA4ODM0NzQ2OQMAAAADMTYwAgAAAAQ0MjIyBAAAAAEwBwAAAAkzLzI5LzIwMjYIAAAACTUvMzAvMjAyMAkAAAABMJ2zFHpEjd4IGf9hfkSN3ggzQ0lRLk5BU0RBUTpDQUxNLklRX05JXzFZUl9BTk5fR1JPV1RILjk5Ny4yOS8wMy8yMDI2AQAAACB6BQACAAAACTYzMzkuMzIwMwEIAAAABQAAAAExAQAAAAstMTk4NjcwODQz</t>
  </si>
  <si>
    <t>MwMAAAADMTYwAgAAAAQ0MTk5BAAAAAEwBwAAAAkzLzI5LzIwMjYIAAAACTUvMjgvMjAyMgkAAAABMJ2zFHpEjd4IZk5ifkSN3gg6Q0lRLk5BU0RBUTpDQUxNLklRX1RPVEFMX1JFVl8xWVJfQU5OX0dST1dUSC45OTkuMjkvMDMvMjAyNgEAAAAgegUAAgAAAAgtMjYuMDU1OQEIAAAABQAAAAExAQAAAAstMTkzNDk3ODQ4MAMAAAADMTYwAgAAAAQ0MTk0BAAAAAEwBwAAAAkzLzI5LzIwMjYIAAAACDYvMS8yMDI0CQAAAAEwJn0UekSN3gjJ12J+RI3eCClDSVEuTkFTREFROkNBTE0uSVFfWl9TQ09SRS45OTMuMjkvMDMvMjAyNgEAAAAgegUAAgAAAAg5LjgxOTM0NQEIAAAABQAAAAExAQAAAAoyMDQ1NzQ5MzEwAwAAAAMxNjACAAAABjEwMDEyMwQAAAABMAcAAAAJMy8yOS8yMDI2CAAAAAg2LzIvMjAxOAkAAAABMCZ9FHpEjd4I7gNjfkSN3gg1Q0lRLk5BU0RBUTpDQUxNLklRX0VCSVREQV8zWVJfQU5OX0NBR1IuOTk0LjI5LzAzLzIwMjYBAAAAIHoFAAIAAAAILTQyLjAwMDEBCAAAAAUAAAABMQEAAAALLTIxNDI0MjkwMzkDAAAAAzE2MAIAAAAENDIyMgQAAAABMAcAAAAJMy8yOS8yMDI2CAAAAAg2LzEvMjAxOQkAAAABMJ2zFHpEjd4IGf9hfkSN3gg5Q0lRLk5BU0RBUTpDQUxNLklRX1RPVEFMX1JFVl8zWVJfQU5OX0NBR1IuMTAwMC4yOS8wMy8yMDI2AQAAACB6BQACAAAABzMzLjg1MjEBCAAAAAUAAAABMQEA</t>
  </si>
  <si>
    <t>AAALLTE5MzQ5NzgzODEDAAAAAzE2MAIAAAAENDIyMAQAAAABMAcAAAAJMy8yOS8yMDI2CAAAAAk1LzMxLzIwMjUJAAAAATCdsxR6RI3eCBknYn5Ejd4IMkNJUS5OQVNEQVE6Q0FMTS5JUV9FUFNfNVlSX0FOTl9DQUdSLjk5Ny4yOS8wMy8yMDI2AQAAACB6BQADAAAAAk5NAQgAAAAFAAAAATEBAAAACy0xOTg2NzA4NDMzAwAAAAMxNjACAAAABDQyMzkEAAAAATAHAAAACTMvMjkvMjAyNggAAAAJNS8yOC8yMDIyCQAAAAEwnbMUekSN3ggmpWB+RI3eCDNDSVEuTkFTREFROkNBTE0uSVFfRUJJVF81WVJfQU5OX0NBR1IuOTkzLjI5LzAzLzIwMjYBAAAAIHoFAAIAAAAHMTYuMDQ4NgEIAAAABQAAAAExAQAAAAoyMDQ1NzQ5MzEwAwAAAAMxNjACAAAABDQyMzYEAAAAATAHAAAACTMvMjkvMjAyNggAAAAINi8yLzIwMTgJAAAAATCdsxR6RI3eCMPqYH5Ejd4IMUNJUS5OQVNEQVE6Q0FMTS5JUV9HUF81WVJfQU5OX0NBR1IuOTk5LjI5LzAzLzIwMjYBAAAAIHoFAAIAAAAHMTkuNDMzMgEIAAAABQAAAAExAQAAAAstMTkzNDk3ODQ4MAMAAAADMTYwAgAAAAQ0MjM0BAAAAAEwBwAAAAkzLzI5LzIwMjYIAAAACDYvMS8yMDI0CQAAAAEwnbMUekSN3gjnO2F+RI3eCEFDSVEuTkFTREFROkNBTE0uSVFfRU1QTE9ZRUVTX1VOREVSX1VOSU9OX0NPTlRSQUNUUy45OTcuMjkvMDMvMjAyNgEAAAAgegUAAwAAAAAA5mIXekSN3gj2</t>
  </si>
  <si>
    <t>cGh+RI3eCD9DSVEuTkFTREFROkNBTE0uSVFfVE9UQUxfT1VUU1RBTkRJTkdfRklMSU5HX0RBVEUuOTk5LjI5LzAzLzIwMjYBAAAAIHoFAAIAAAAJNDkuMDM4NzY2AQQAAAAFAAAAATUBAAAACy0xOTM0OTc4NDgwAgAAAAUyNDE1MwYAAAABMLoHLXpEjd4IoTppfkSN3ggyQ0lRLk5BU0RBUTpDQUxNLklRX0VQU181WVJfQU5OX0NBR1IuOTk2LjI5LzAzLzIwMjYBAAAAIHoFAAIAAAAILTYzLjkwNzEBCAAAAAUAAAABMQEAAAALLTIwMzcyNDE3MjEDAAAAAzE2MAIAAAAENDIzOQQAAAABMAcAAAAJMy8yOS8yMDI2CAAAAAk1LzI5LzIwMjEJAAAAATCdsxR6RI3eCCalYH5Ejd4IMUNJUS5OQVNEQVE6Q0FMTS5JUV9HUF81WVJfQU5OX0NBR1IuOTk4LjI5LzAzLzIwMjYBAAAAIHoFAAIAAAAGMjcuMDc3AQgAAAAFAAAAATEBAAAACy0xOTM0OTc4NDIwAwAAAAMxNjACAAAABDQyMzQEAAAAATAHAAAACTMvMjkvMjAyNggAAAAINi8zLzIwMjMJAAAAATCdsxR6RI3eCOc7YX5Ejd4INENJUS5OQVNEQVE6Q0FMTS5JUV9FQklUXzNZUl9BTk5fQ0FHUi4xMDAwLjI5LzAzLzIwMjYBAAAAIHoFAAIAAAAIMTIzLjc4NzkBCAAAAAUAAAABMQEAAAALLTE5MzQ5NzgzODEDAAAAAzE2MAIAAAAENDIyMwQAAAABMAcAAAAJMy8yOS8yMDI2CAAAAAk1LzMxLzIwMjUJAAAAATCdsxR6RI3eCOeJYX5Ejd4ILUNJUS5OQVNEQVE6Q0FM</t>
  </si>
  <si>
    <t>TS5JUV9FQklUX01BUkdJTi45OTMuMjkvMDMvMjAyNgEAAAAgegUAAgAAAAcxMi4wOTE2AQgAAAAFAAAAATEBAAAACjIwNDU3NDkzMTADAAAAAzE2MAIAAAAENDA1MwQAAAABMAcAAAAJMy8yOS8yMDI2CAAAAAg2LzIvMjAxOAkAAAABMP3XF3pEjd4IfdZmfkSN3gguQ0lRLk5BU0RBUTpDQUxNLklRX0dST1NTX01BUkdJTi45OTkuMjkvMDMvMjAyNgEAAAAgegUAAgAAAAcyMy4yNzg5AQgAAAAFAAAAATEBAAAACy0xOTM0OTc4NDgwAwAAAAMxNjACAAAABDQwNzQEAAAAATAHAAAACTMvMjkvMjAyNggAAAAINi8xLzIwMjQJAAAAATD91xd6RI3eCL03Z35Ejd4IL0NJUS5OQVNEQVE6Q0FMTS5JUV9SRVRVUk5fRVFVSVRZLjk5NS4yOS8wMy8yMDI2AQAAACB6BQACAAAABjEuODMzMgEIAAAABQAAAAExAQAAAAstMjA4ODM0NzQ2OQMAAAADMTYwAgAAAAQ0MTI4BAAAAAEwBwAAAAkzLzI5LzIwMjYIAAAACTUvMzAvMjAyMAkAAAABMPuwF3pEjd4IPl9nfkSN3ggpQ0lRLk5BU0RBUTpDQUxNLklRX0dBQVBfQlMuOTk3LjI5LzAzLzIwMjYBAAAAIHoFAAMAAAAHVVMgR0FBUAD7sBd6RI3eCAWuZ35Ejd4IM0NJUS5OQVNEQVE6Q0FMTS5JUV9UT1RBTF9ERUJUX0VRVUlUWS45OTkuMjkvMDMvMjAyNgEAAAAgegUAAwAAAAAA/dcXekSN3gg1FGV+RI3eCDFDSVEuTkFTREFROkNBTE0uSVFfQ0FTSF9DT05WRVJTSU9OLjk5</t>
  </si>
  <si>
    <t>My4yOS8wMy8yMDI2AQAAACB6BQACAAAACTU4Ljg0ODYwOAEIAAAABQAAAAExAQAAAAoyMDQ1NzQ5MzEwAwAAAAMxNjACAAAABDQxODQEAAAAATAHAAAACTMvMjkvMjAyNggAAAAINi8yLzIwMTgJAAAAATD91xd6RI3eCD5iZX5Ejd4IMkNJUS5OQVNEQVE6Q0FMTS5JUV9DRk9fQ1VSUkVOVF9MSUFCLjk5NS4yOS8wMy8yMDI2AQAAACB6BQACAAAABzAuNzg5OTQBCAAAAAUAAAABMQEAAAALLTIwODgzNDc0NjkDAAAAAzE2MAIAAAAENDE4NQQAAAABMAcAAAAJMy8yOS8yMDI2CAAAAAk1LzMwLzIwMjAJAAAAATD91xd6RI3eCETEZX5Ejd4IKkNJUS5OQVNEQVE6Q0FMTS5JUV9BUl9UVVJOUy45OTcuMjkvMDMvMjAyNgEAAAAgegUAAgAAAAkxNC4zMjE4MjEBCAAAAAUAAAABMQEAAAALLTE5ODY3MDg0MzMDAAAAAzE2MAIAAAAENDAwMQQAAAABMAcAAAAJMy8yOS8yMDI2CAAAAAk1LzI4LzIwMjIJAAAAATD91xd6RI3eCGQSZn5Ejd4IK0NJUS5OQVNEQVE6Q0FMTS5JUV9OSV9NQVJHSU4uOTk5LjI5LzAzLzIwMjYBAAAAIHoFAAIAAAAHMTEuOTQ0NwEIAAAABQAAAAExAQAAAAstMTkzNDk3ODQ4MAMAAAADMTYwAgAAAAQ0MDk0BAAAAAEwBwAAAAkzLzI5LzIwMjYIAAAACDYvMS8yMDI0CQAAAAEw/dcXekSN3gjArmZ+RI3eCEpDSVEuTkFTREFROkNBTE0uSVFfVE9UQUxfREVCVF9FQklUREFfRVhDTF9PUEVSX0xF</t>
  </si>
  <si>
    <t>QVNFU19DQVBFWC45OTMuMjkvMDMvMjAyNgEAAAAgegUAAgAAAAgwLjAyODE4MwEIAAAABQAAAAExAQAAAAoyMDQ1NzQ5MzEwAwAAAAMxNjACAAAABTQ5MTgzBAAAAAEwBwAAAAkzLzI5LzIwMjYIAAAACDYvMi8yMDE4CQAAAAEwJn0UekSN3giCUmN+RI3eCEJDSVEuTkFTREFROkNBTE0uSVFfTkVUX0RFQlRfRUJJVERBX0VYQ0xfT1BFUl9MRUFTRVMuOTk5LjI5LzAzLzIwMjYBAAAAIHoFAAMAAAACTk0BCAAAAAUAAAABMQEAAAALLTE5MzQ5Nzg0ODADAAAAAzE2MAIAAAAFNDkxNzUEAAAAATAHAAAACTMvMjkvMjAyNggAAAAINi8xLzIwMjQJAAAAATAmfRR6RI3eCHJ5Y35Ejd4IMUNJUS5OQVNEQVE6Q0FMTS5JUV9ORVRfREVCVF9FQklUREEuOTkzLjI5LzAzLzIwMjYBAAAAIHoFAAMAAAACTk0BCAAAAAUAAAABMQEAAAAKMjA0NTc0OTMxMAMAAAADMTYwAgAAAAQ0MTkzBAAAAAEwBwAAAAkzLzI5LzIwMjYIAAAACDYvMi8yMDE4CQAAAAEwJn0UekSN3giLx2N+RI3eCDJDSVEuTkFTREFROkNBTE0uSVFfRUJJVERBX0NBUEVYX0lOVC45OTUuMjkvMDMvMjAyNgEAAAAgegUAAwAAAAJOTQEIAAAABQAAAAExAQAAAAstMjA4ODM0NzQ2OQMAAAADMTYwAgAAAAQ0MTkxBAAAAAEwBwAAAAkzLzI5LzIwMjYIAAAACTUvMzAvMjAyMAkAAAABMAr/F3pEjd4I4FBkfkSN3gg5Q0lRLk5BU0RBUTpDQUxNLklRX1RPVEFM</t>
  </si>
  <si>
    <t>X0xJQUJfVE9UQUxfQVNTRVRTLjk5Ny4yOS8wMy8yMDI2AQAAACB6BQACAAAABzIyLjYzNzIBCAAAAAUAAAABMQEAAAALLTE5ODY3MDg0MzMDAAAAAzE2MAIAAAAENDE4OAQAAAABMAcAAAAJMy8yOS8yMDI2CAAAAAk1LzI4LzIwMjIJAAAAATD91xd6RI3eCNeeZH5Ejd4INUNJUS5OQVNEQVE6Q0FMTS5JUV9FQklUREFfM1lSX0FOTl9DQUdSLjk5My4yOS8wMy8yMDI2AQAAACB6BQACAAAABy01LjEyMjgBCAAAAAUAAAABMQEAAAAKMjA0NTc0OTMxMAMAAAADMTYwAgAAAAQ0MjIyBAAAAAEwBwAAAAkzLzI5LzIwMjYIAAAACDYvMi8yMDE4CQAAAAEwnbMUekSN3gge2GF+RI3eCDhDSVEuTkFTREFROkNBTE0uSVFfVE9UQUxfUkVWXzNZUl9BTk5fQ0FHUi45OTkuMjkvMDMvMjAyNgEAAAAgegUAAgAAAAcxOS45MjA5AQgAAAAFAAAAATEBAAAACy0xOTM0OTc4NDgwAwAAAAMxNjACAAAABDQyMjAEAAAAATAHAAAACTMvMjkvMjAyNggAAAAINi8xLzIwMjQJAAAAATCdsxR6RI3eCBknYn5Ejd4IM0NJUS5OQVNEQVE6Q0FMTS5JUV9OSV8xWVJfQU5OX0dST1dUSC45OTUuMjkvMDMvMjAyNgEAAAAgegUAAgAAAAgtNjYuMDg2NQEIAAAABQAAAAExAQAAAAstMjA4ODM0NzQ2OQMAAAADMTYwAgAAAAQ0MTk5BAAAAAEwBwAAAAkzLzI5LzIwMjYIAAAACTUvMzAvMjAyMAkAAAABMJ2zFHpEjd4IZk5ifkSN3ggzQ0lRLk5B</t>
  </si>
  <si>
    <t>U0RBUTpDQUxNLklRX0dQXzFZUl9BTk5fR1JPV1RILjk5NS4yOS8wMy8yMDI2AQAAACB6BQACAAAACC0xOS40MTY0AQgAAAAFAAAAATEBAAAACy0yMDg4MzQ3NDY5AwAAAAMxNjACAAAABDQxOTUEAAAAATAHAAAACTMvMjkvMjAyNggAAAAJNS8zMC8yMDIwCQAAAAEwJn0UekSN3gjJ12J+RI3eCEhDSVEuTkFTREFROkNBTE0uSVFfTkVUX0RFQlRfRUJJVERBX0VYQ0xfT1BFUl9MRUFTRVNfQ0FQRVguOTk3LjI5LzAzLzIwMjYBAAAAIHoFAAMAAAACTk0BCAAAAAUAAAABMQEAAAALLTE5ODY3MDg0MzMDAAAAAzE2MAIAAAAFNDkxODIEAAAAATAHAAAACTMvMjkvMjAyNggAAAAJNS8yOC8yMDIyCQAAAAEwJn0UekSN3gjuA2N+RI3eCC9DSVEuTkFTREFROkNBTE0uSVFfQ0FQRVhfUENUX1JFVi45OTYuMjkvMDMvMjAyNgEAAAAgegUAAgAAAAY3LjA0NzQBCAAAAAUAAAABMQEAAAALLTIwMzcyNDE3MjEDAAAAAzE2MAIAAAAFMzUzODAEAAAAATAHAAAACTMvMjkvMjAyNggAAAAJNS8yOS8yMDIxCQAAAAEw/dcXekSN3gjArmZ+RI3eCC5DSVEuTkFTREFROkNBTE0uSVFfR1JPU1NfTUFSR0lOLjk5OC4yOS8wMy8yMDI2AQAAACB6BQACAAAABzM4LjAyODQBCAAAAAUAAAABMQEAAAALLTE5MzQ5Nzg0MjADAAAAAzE2MAIAAAAENDA3NAQAAAABMAcAAAAJMy8yOS8yMDI2CAAAAAg2LzMvMjAyMwkAAAABMP3XF3pEjd4I</t>
  </si>
  <si>
    <t>vTdnfkSN3ggyQ0lRLk5BU0RBUTpDQUxNLklRX0VQU181WVJfQU5OX0NBR1IuOTk1LjI5LzAzLzIwMjYBAAAAIHoFAAIAAAAILTM1LjIzNDYBCAAAAAUAAAABMQEAAAALLTIwODgzNDc0NjkDAAAAAzE2MAIAAAAENDIzOQQAAAABMAcAAAAJMy8yOS8yMDI2CAAAAAk1LzMwLzIwMjAJAAAAATCdsxR6RI3eCCalYH5Ejd4IMUNJUS5OQVNEQVE6Q0FMTS5JUV9HUF81WVJfQU5OX0NBR1IuOTk3LjI5LzAzLzIwMjYBAAAAIHoFAAIAAAAHNDkuMjI1NwEIAAAABQAAAAExAQAAAAstMTk4NjcwODQzMwMAAAADMTYwAgAAAAQ0MjM0BAAAAAEwBwAAAAkzLzI5LzIwMjYIAAAACTUvMjgvMjAyMgkAAAABMJ2zFHpEjd4IgRRhfkSN3ggxQ0lRLk5BU0RBUTpDQUxNLklRX05JXzNZUl9BTk5fQ0FHUi45OTcuMjkvMDMvMjAyNgEAAAAgegUAAgAAAAczNC43Mzg2AQgAAAAFAAAAATEBAAAACy0xOTg2NzA4NDMzAwAAAAMxNjACAAAABDQyMjUEAAAAATAHAAAACTMvMjkvMjAyNggAAAAJNS8yOC8yMDIyCQAAAAEwnbMUekSN3ggMsWF+RI3eCDNDSVEuTkFTREFROkNBTE0uSVFfVE9UQUxfREVCVF9FUVVJVFkuOTk4LjI5LzAzLzIwMjYBAAAAIHoFAAMAAAAAAP3XF3pEjd4INRRlfkSN3gg0Q0lRLk5BU0RBUTpDQUxNLklRX0RBWVNfSU5WRU5UT1JZX09VVC45OTguMjkvMDMvMjAyNgEAAAAgegUAAgAAAAk1Mi4xMTEwMzEBCAAA</t>
  </si>
  <si>
    <t>AAUAAAABMQEAAAALLTE5MzQ5Nzg0MjADAAAAAzE2MAIAAAAENDAzNQQAAAABMAcAAAAJMy8yOS8yMDI2CAAAAAg2LzMvMjAyMwkAAAABMP3XF3pEjd4IaLBlfkSN3ggyQ0lRLk5BU0RBUTpDQUxNLklRX0NGT19DVVJSRU5UX0xJQUIuOTk0LjI5LzAzLzIwMjYBAAAAIHoFAAIAAAAIMS41MzYzNzEBCAAAAAUAAAABMQEAAAALLTIxNDI0MjkwMzkDAAAAAzE2MAIAAAAENDE4NQQAAAABMAcAAAAJMy8yOS8yMDI2CAAAAAg2LzEvMjAxOQkAAAABMP3XF3pEjd4IRMRlfkSN3ggwQ0lRLk5BU0RBUTpDQUxNLklRX0NVUlJFTlRfUkFUSU8uMTAwMC4yOS8wMy8yMDI2AQAAACB6BQACAAAACDYuMzgyMjc5AQgAAAAFAAAAATEBAAAACy0xOTM0OTc4MzgxAwAAAAMxNjACAAAABDQwMzAEAAAAATAHAAAACTMvMjkvMjAyNggAAAAJNS8zMS8yMDI1CQAAAAEw/dcXekSN3ghY62V+RI3eCCpDSVEuTkFTREFROkNBTE0uSVFfQVJfVFVSTlMuOTk2LjI5LzAzLzIwMjYBAAAAIHoFAAIAAAAJMTYuNDQ2ODQ4AQgAAAAFAAAAATEBAAAACy0yMDM3MjQxNzIxAwAAAAMxNjACAAAABDQwMDEEAAAAATAHAAAACTMvMjkvMjAyNggAAAAJNS8yOS8yMDIxCQAAAAEw/dcXekSN3ghkEmZ+RI3eCEJDSVEuTkFTREFROkNBTE0uSVFfTkVUX0RFQlRfRUJJVERBX0VYQ0xfT1BFUl9MRUFTRVMuOTk4LjI5LzAzLzIwMjYBAAAAIHoFAAMAAAAC</t>
  </si>
  <si>
    <t>Tk0BCAAAAAUAAAABMQEAAAALLTE5MzQ5Nzg0MjADAAAAAzE2MAIAAAAFNDkxNzUEAAAAATAHAAAACTMvMjkvMjAyNggAAAAINi8zLzIwMjMJAAAAATAmfRR6RI3eCHmgY35Ejd4IRENJUS5OQVNEQVE6Q0FMTS5JUV9FQklUREFfRVhDTF9PUEVSX0xFQVNFU19DQVBFWF9JTlQuMTAwMC4yOS8wMy8yMDI2AQAAACB6BQACAAAACzI0MjUuMTY2NjY2AQgAAAAFAAAAATEBAAAACy0xOTM0OTc4MzgxAwAAAAMxNjACAAAABTQ5MTc0BAAAAAEwBwAAAAkzLzI5LzIwMjYIAAAACTUvMzEvMjAyNQkAAAABMCZ9FHpEjd4IaClkfkSN3ggyQ0lRLk5BU0RBUTpDQUxNLklRX0VCSVREQV9DQVBFWF9JTlQuOTk0LjI5LzAzLzIwMjYBAAAAIHoFAAIAAAAJNTAuNDI3MDE4AQgAAAAFAAAAATEBAAAACy0yMTQyNDI5MDM5AwAAAAMxNjACAAAABDQxOTEEAAAAATAHAAAACTMvMjkvMjAyNggAAAAINi8xLzIwMTkJAAAAATAK/xd6RI3eCOBQZH5Ejd4ILUNJUS5OQVNEQVE6Q0FMTS5JUV9FQklUREFfSU5ULjEwMDAuMjkvMDMvMjAyNgEAAAAgegUAAgAAAAsyNjg4LjY1NTIyOAEIAAAABQAAAAExAQAAAAstMTkzNDk3ODM4MQMAAAADMTYwAgAAAAQ0MTkwBAAAAAEwBwAAAAkzLzI5LzIwMjYIAAAACTUvMzEvMjAyNQkAAAABMP3XF3pEjd4Iz3dkfkSN3gg5Q0lRLk5BU0RBUTpDQUxNLklRX1RPVEFMX0xJQUJfVE9UQUxfQVNTRVRT</t>
  </si>
  <si>
    <t>Ljk5Ni4yOS8wMy8yMDI2AQAAACB6BQACAAAABzE3LjYwNDcBCAAAAAUAAAABMQEAAAALLTIwMzcyNDE3MjEDAAAAAzE2MAIAAAAENDE4OAQAAAABMAcAAAAJMy8yOS8yMDI2CAAAAAk1LzI5LzIwMjEJAAAAATD91xd6RI3eCNeeZH5Ejd4IMUNJUS5OQVNEQVE6Q0FMTS5JUV9OSV8zWVJfQU5OX0NBR1IuOTk2LjI5LzAzLzIwMjYBAAAAIHoFAAIAAAAHLTc0LjYxNQEIAAAABQAAAAExAQAAAAstMjAzNzI0MTcyMQMAAAADMTYwAgAAAAQ0MjI1BAAAAAEwBwAAAAkzLzI5LzIwMjYIAAAACTUvMjkvMjAyMQkAAAABMJ2zFHpEjd4IDLFhfkSN3gg4Q0lRLk5BU0RBUTpDQUxNLklRX1RPVEFMX1JFVl8zWVJfQU5OX0NBR1IuOTk4LjI5LzAzLzIwMjYBAAAAIHoFAAIAAAAHMzIuNTI5NQEIAAAABQAAAAExAQAAAAstMTkzNDk3ODQyMAMAAAADMTYwAgAAAAQ0MjIwBAAAAAEwBwAAAAkzLzI5LzIwMjYIAAAACDYvMy8yMDIzCQAAAAEwnbMUekSN3ggZ/2F+RI3eCDhDSVEuTkFTREFROkNBTE0uSVFfRUJJVERBXzFZUl9BTk5fR1JPV1RILjEwMDAuMjkvMDMvMjAyNgEAAAAgegUAAgAAAAgzMTcuMjczOAEIAAAABQAAAAExAQAAAAstMTkzNDk3ODM4MQMAAAADMTYwAgAAAAQ0MTk2BAAAAAEwBwAAAAkzLzI5LzIwMjYIAAAACTUvMzEvMjAyNQkAAAABMJ2zFHpEjd4Is3VifkSN3ggzQ0lRLk5BU0RBUTpDQUxNLklRX0dQ</t>
  </si>
  <si>
    <t>XzFZUl9BTk5fR1JPV1RILjk5NC4yOS8wMy8yMDI2AQAAACB6BQACAAAACC0zOC4yNzQxAQgAAAAFAAAAATEBAAAACy0yMTQyNDI5MDM5AwAAAAMxNjACAAAABDQxOTUEAAAAATAHAAAACTMvMjkvMjAyNggAAAAINi8xLzIwMTkJAAAAATAmfRR6RI3eCFuwYn5Ejd4ISENJUS5OQVNEQVE6Q0FMTS5JUV9ORVRfREVCVF9FQklUREFfRVhDTF9PUEVSX0xFQVNFU19DQVBFWC45OTYuMjkvMDMvMjAyNgEAAAAgegUAAwAAAAJOTQEIAAAABQAAAAExAQAAAAstMjAzNzI0MTcyMQMAAAADMTYwAgAAAAU0OTE4MgQAAAABMAcAAAAJMy8yOS8yMDI2CAAAAAk1LzI5LzIwMjEJAAAAATAmfRR6RI3eCO4DY35Ejd4IL0NJUS5OQVNEQVE6Q0FMTS5JUV9BVkdfRU1QTE9ZRUVTLjk5My4yOS8wMy8yMDI2AQAAACB6BQADAAAAAADmYhd6RI3eCPZwaH5Ejd4IK0NJUS5OQVNEQVE6Q0FMTS5JUV9GVUxMX1RJTUUuOTk1LjI5LzAzLzIwMjYBAAAAIHoFAAIAAAAEMzQ2MQDmYhd6RI3eCJwTaX5Ejd4IMkNJUS5OQVNEQVE6Q0FMTS5JUV9FUFNfNVlSX0FOTl9DQUdSLjk5NC4yOS8wMy8yMDI2AQAAACB6BQACAAAACC0xMy4xMTY5AQgAAAAFAAAAATEBAAAACy0yMTQyNDI5MDM5AwAAAAMxNjACAAAABDQyMzkEAAAAATAHAAAACTMvMjkvMjAyNggAAAAINi8xLzIwMTkJAAAAATCdsxR6RI3eCCalYH5Ejd4INENJUS5OQVNEQVE6Q0FM</t>
  </si>
  <si>
    <t>TS5JUV9FQklUXzVZUl9BTk5fQ0FHUi4xMDAwLjI5LzAzLzIwMjYBAAAAIHoFAAIAAAAIMzA5LjI3NTUBCAAAAAUAAAABMQEAAAALLTE5MzQ5NzgzODEDAAAAAzE2MAIAAAAENDIzNgQAAAABMAcAAAAJMy8yOS8yMDI2CAAAAAk1LzMxLzIwMjUJAAAAATCdsxR6RI3eCMPqYH5Ejd4INUNJUS5OQVNEQVE6Q0FMTS5JUV9FQklUREFfNVlSX0FOTl9DQUdSLjk5NC4yOS8wMy8yMDI2AQAAACB6BQACAAAABy0xMS43NDMBCAAAAAUAAAABMQEAAAALLTIxNDI0MjkwMzkDAAAAAzE2MAIAAAAENDIzNQQAAAABMAcAAAAJMy8yOS8yMDI2CAAAAAg2LzEvMjAxOQkAAAABMJ2zFHpEjd4IgRRhfkSN3ggvQ0lRLk5BU0RBUTpDQUxNLklRX0NBUEVYX1BDVF9SRVYuOTk1LjI5LzAzLzIwMjYBAAAAIHoFAAIAAAAGOS4xODc0AQgAAAAFAAAAATEBAAAACy0yMDg4MzQ3NDY5AwAAAAMxNjACAAAABTM1MzgwBAAAAAEwBwAAAAkzLzI5LzIwMjYIAAAACTUvMzAvMjAyMAkAAAABMP3XF3pEjd4IwK5mfkSN3gguQ0lRLk5BU0RBUTpDQUxNLklRX0dST1NTX01BUkdJTi45OTcuMjkvMDMvMjAyNgEAAAAgegUAAgAAAAcxOC45NjYxAQgAAAAFAAAAATEBAAAACy0xOTg2NzA4NDMzAwAAAAMxNjACAAAABDQwNzQEAAAAATAHAAAACTMvMjkvMjAyNggAAAAJNS8yOC8yMDIyCQAAAAEw/dcXekSN3gjH/GZ+RI3eCC9DSVEuTkFTREFROkNB</t>
  </si>
  <si>
    <t>TE0uSVFfUkVUVVJOX0FTU0VUUy45OTkuMjkvMDMvMjAyNgEAAAAgegUAAgAAAAY5LjQ4NTEBCAAAAAUAAAABMQEAAAALLTE5MzQ5Nzg0ODADAAAAAzE2MAIAAAAENDE3OAQAAAABMAcAAAAJMy8yOS8yMDI2CAAAAAg2LzEvMjAyNAkAAAABMPuwF3pEjd4InIZnfkSN3gg0Q0lRLk5BU0RBUTpDQUxNLklRX0FWR19URU1QX0VNUExPWUVFUy45OTkuMjkvMDMvMjAyNgEAAAAgegUAAwAAAAAA5mIXekSN3gjhSWh+RI3eCDRDSVEuTkFTREFROkNBTE0uSVFfVE9UQUxfREVCVF9DQVBJVEFMLjk5NS4yOS8wMy8yMDI2AQAAACB6BQACAAAABjAuMzM0NAEIAAAABQAAAAExAQAAAAstMjA4ODM0NzQ2OQMAAAADMTYwAgAAAAQ0MTg2BAAAAAEwBwAAAAkzLzI5LzIwMjYIAAAACTUvMzAvMjAyMAkAAAABMP3XF3pEjd4INRRlfkSN3gg0Q0lRLk5BU0RBUTpDQUxNLklRX0RBWVNfSU5WRU5UT1JZX09VVC45OTcuMjkvMDMvMjAyNgEAAAAgegUAAgAAAAk2MC44NzYwODgBCAAAAAUAAAABMQEAAAALLTE5ODY3MDg0MzMDAAAAAzE2MAIAAAAENDAzNQQAAAABMAcAAAAJMy8yOS8yMDI2CAAAAAk1LzI4LzIwMjIJAAAAATD91xd6RI3eCEqJZX5Ejd4IMkNJUS5OQVNEQVE6Q0FMTS5JUV9DRk9fQ1VSUkVOVF9MSUFCLjk5My4yOS8wMy8yMDI2AQAAACB6BQACAAAACDEuODU4NDgyAQgAAAAFAAAAATEBAAAACjIwNDU3NDkzMTAD</t>
  </si>
  <si>
    <t>AAAAAzE2MAIAAAAENDE4NQQAAAABMAcAAAAJMy8yOS8yMDI2CAAAAAg2LzIvMjAxOAkAAAABMP3XF3pEjd4IRMRlfkSN3ggvQ0lRLk5BU0RBUTpDQUxNLklRX0NVUlJFTlRfUkFUSU8uOTk5LjI5LzAzLzIwMjYBAAAAIHoFAAIAAAAINS40NTI4MDgBCAAAAAUAAAABMQEAAAALLTE5MzQ5Nzg0ODADAAAAAzE2MAIAAAAENDAzMAQAAAABMAcAAAAJMy8yOS8yMDI2CAAAAAg2LzEvMjAyNAkAAAABMP3XF3pEjd4IWOtlfkSN3ggxQ0lRLk5BU0RBUTpDQUxNLklRX0lOVkVOVE9SWV9UVVJOUy45OTMuMjkvMDMvMjAyNgEAAAAgegUAAgAAAAg2LjkzNDQ3NAEIAAAABQAAAAExAQAAAAoyMDQ1NzQ5MzEwAwAAAAMxNjACAAAABDQwODIEAAAAATAHAAAACTMvMjkvMjAyNggAAAAINi8yLzIwMTgJAAAAATD91xd6RI3eCJY5Zn5Ejd4IQkNJUS5OQVNEQVE6Q0FMTS5JUV9ORVRfREVCVF9FQklUREFfRVhDTF9PUEVSX0xFQVNFUy45OTcuMjkvMDMvMjAyNgEAAAAgegUAAwAAAAJOTQEIAAAABQAAAAExAQAAAAstMTk4NjcwODQzMwMAAAADMTYwAgAAAAU0OTE3NQQAAAABMAcAAAAJMy8yOS8yMDI2CAAAAAk1LzI4LzIwMjIJAAAAATAmfRR6RI3eCHmgY35Ejd4IM0NJUS5OQVNEQVE6Q0FMTS5JUV9UT1RBTF9ERUJUX0VCSVREQS45OTcuMjkvMDMvMjAyNgEAAAAgegUAAwAAAAAAJn0UekSN3giS7mN+RI3eCDJDSVEuTkFT</t>
  </si>
  <si>
    <t>REFROkNBTE0uSVFfRUJJVERBX0NBUEVYX0lOVC45OTMuMjkvMDMvMjAyNgEAAAAgegUAAgAAAAo4MTUuNDE1MDk0AQgAAAAFAAAAATEBAAAACjIwNDU3NDkzMTADAAAAAzE2MAIAAAAENDE5MQQAAAABMAcAAAAJMy8yOS8yMDI2CAAAAAg2LzIvMjAxOAkAAAABMAr/F3pEjd4I4FBkfkSN3ggsQ0lRLk5BU0RBUTpDQUxNLklRX0VCSVREQV9JTlQuOTk5LjI5LzAzLzIwMjYBAAAAIHoFAAIAAAAKNzE4LjI3ODY4OAEIAAAABQAAAAExAQAAAAstMTkzNDk3ODQ4MAMAAAADMTYwAgAAAAQ0MTkwBAAAAAEwBwAAAAkzLzI5LzIwMjYIAAAACDYvMS8yMDI0CQAAAAEw/dcXekSN3gjPd2R+RI3eCDlDSVEuTkFTREFROkNBTE0uSVFfVE9UQUxfTElBQl9UT1RBTF9BU1NFVFMuOTk1LjI5LzAzLzIwMjYBAAAAIHoFAAIAAAAHMTYuMzI3MQEIAAAABQAAAAExAQAAAAstMjA4ODM0NzQ2OQMAAAADMTYwAgAAAAQ0MTg4BAAAAAEwBwAAAAkzLzI5LzIwMjYIAAAACTUvMzAvMjAyMAkAAAABMP3XF3pEjd4I155kfkSN3gg4Q0lRLk5BU0RBUTpDQUxNLklRX1RPVEFMX1JFVl8zWVJfQU5OX0NBR1IuOTk3LjI5LzAzLzIwMjYBAAAAIHoFAAIAAAAGOS4yOTU2AQgAAAAFAAAAATEBAAAACy0xOTg2NzA4NDMzAwAAAAMxNjACAAAABDQyMjAEAAAAATAHAAAACTMvMjkvMjAyNggAAAAJNS8yOC8yMDIyCQAAAAEwnbMUekSN3ggZ/2F+</t>
  </si>
  <si>
    <t>RI3eCDdDSVEuTkFTREFROkNBTE0uSVFfRUJJVERBXzFZUl9BTk5fR1JPV1RILjk5OS4yOS8wMy8yMDI2AQAAACB6BQACAAAACC02MS45NTQ2AQgAAAAFAAAAATEBAAAACy0xOTM0OTc4NDgwAwAAAAMxNjACAAAABDQxOTYEAAAAATAHAAAACTMvMjkvMjAyNggAAAAINi8xLzIwMjQJAAAAATCdsxR6RI3eCJqcYn5Ejd4IM0NJUS5OQVNEQVE6Q0FMTS5JUV9HUF8xWVJfQU5OX0dST1dUSC45OTMuMjkvMDMvMjAyNgEAAAAgegUAAgAAAAg2OTIuNjM2NgEIAAAABQAAAAExAQAAAAoyMDQ1NzQ5MzEwAwAAAAMxNjACAAAABDQxOTUEAAAAATAHAAAACTMvMjkvMjAyNggAAAAINi8yLzIwMTgJAAAAATAmfRR6RI3eCFuwYn5Ejd4IKUNJUS5OQVNEQVE6Q0FMTS5JUV9aX1NDT1JFLjk5OS4yOS8wMy8yMDI2AQAAACB6BQACAAAABzcuMTY4MTUBCAAAAAUAAAABMQEAAAALLTE5MzQ5Nzg0ODADAAAAAzE2MAIAAAAGMTAwMTIzBAAAAAEwBwAAAAkzLzI5LzIwMjYIAAAACDYvMS8yMDI0CQAAAAEwJn0UekSN3gjuA2N+RI3eCEhDSVEuTkFTREFROkNBTE0uSVFfTkVUX0RFQlRfRUJJVERBX0VYQ0xfT1BFUl9MRUFTRVNfQ0FQRVguOTk1LjI5LzAzLzIwMjYBAAAAIHoFAAMAAAACTk0BCAAAAAUAAAABMQEAAAALLTIwODgzNDc0NjkDAAAAAzE2MAIAAAAFNDkxODIEAAAAATAHAAAACTMvMjkvMjAyNggAAAAJNS8zMC8yMDIw</t>
  </si>
  <si>
    <t>CQAAAAEwJn0UekSN3ghhK2N+RI3eCCxDSVEuTkFTREFROkNBTE0uSVFfUEFSVF9USU1FLjEwMDAuMjkvMDMvMjAyNgEAAAAgegUAAgAAAAMxNDUA5mIXekSN3ggfv2h+RI3eCCtDSVEuTkFTREFROkNBTE0uSVFfRlVMTF9USU1FLjk5NC4yOS8wMy8yMDI2AQAAACB6BQACAAAABDMzMTIA5mIXekSN3gicE2l+RI3eCDNDSVEuTkFTREFROkNBTE0uSVFfRUJJVF81WVJfQU5OX0NBR1IuOTk5LjI5LzAzLzIwMjYBAAAAIHoFAAIAAAAHNDYuOTY0NAEIAAAABQAAAAExAQAAAAstMTkzNDk3ODQ4MAMAAAADMTYwAgAAAAQ0MjM2BAAAAAEwBwAAAAkzLzI5LzIwMjYIAAAACDYvMS8yMDI0CQAAAAEwnbMUekSN3gjD6mB+RI3eCDVDSVEuTkFTREFROkNBTE0uSVFfRUJJVERBXzVZUl9BTk5fQ0FHUi45OTMuMjkvMDMvMjAyNgEAAAAgegUAAgAAAAcxNC4zNjI1AQgAAAAFAAAAATEBAAAACjIwNDU3NDkzMTADAAAAAzE2MAIAAAAENDIzNQQAAAABMAcAAAAJMy8yOS8yMDI2CAAAAAg2LzIvMjAxOAkAAAABMJ2zFHpEjd4IgRRhfkSN3ggxQ0lRLk5BU0RBUTpDQUxNLklRX05JXzNZUl9BTk5fQ0FHUi45OTUuMjkvMDMvMjAyNgEAAAAgegUAAwAAAAJOTQEIAAAABQAAAAExAQAAAAstMjA4ODM0NzQ2OQMAAAADMTYwAgAAAAQ0MjI1BAAAAAEwBwAAAAkzLzI5LzIwMjYIAAAACTUvMzAvMjAyMAkAAAABMJ2zFHpEjd4IDLFh</t>
  </si>
  <si>
    <t>fkSN3ggvQ0lRLk5BU0RBUTpDQUxNLklRX1JFVFVSTl9BU1NFVFMuOTk4LjI5LzAzLzIwMjYBAAAAIHoFAAIAAAAHMzUuNjM4OAEIAAAABQAAAAExAQAAAAstMTkzNDk3ODQyMAMAAAADMTYwAgAAAAQ0MTc4BAAAAAEwBwAAAAkzLzI5LzIwMjYIAAAACDYvMy8yMDIzCQAAAAEw+7AXekSN3gichmd+RI3eCC5DSVEuTkFTREFROkNBTE0uSVFfQ0FMQ19UWVBFX0JTLjk5OC4yOS8wMy8yMDI2AQAAACB6BQADAAAAA1JVUAD7sBd6RI3eCMHUZ35Ejd4IMUNJUS5OQVNEQVE6Q0FMTS5JUV9DT1NUX0JPUlJPV0lORy4xMDAwLjI5LzAzLzIwMjYBAAAAIHoFAAMAAAAAAAKKF3pEjd4IwyJofkSN3gg0Q0lRLk5BU0RBUTpDQUxNLklRX0FWR19URU1QX0VNUExPWUVFUy45OTguMjkvMDMvMjAyNgEAAAAgegUAAwAAAAAA5mIXekSN3gjhSWh+RI3eCC9DSVEuTkFTREFROkNBTE0uSVFfQ1VSUkVOVF9SQVRJTy45OTguMjkvMDMvMjAyNgEAAAAgegUAAgAAAAc2LjE1NjE4AQgAAAAFAAAAATEBAAAACy0xOTM0OTc4NDIwAwAAAAMxNjACAAAABDQwMzAEAAAAATAHAAAACTMvMjkvMjAyNggAAAAINi8zLzIwMjMJAAAAATD91xd6RI3eCGQSZn5Ejd4ILkNJUS5OQVNEQVE6Q0FMTS5JUV9BU1NFVF9UVVJOUy4xMDAwLjI5LzAzLzIwMjYBAAAAIHoFAAIAAAAIMS42MTc2MDMBCAAAAAUAAAABMQEAAAALLTE5MzQ5NzgzODEDAAAA</t>
  </si>
  <si>
    <t>AzE2MAIAAAAENDE3NwQAAAABMAcAAAAJMy8yOS8yMDI2CAAAAAk1LzMxLzIwMjUJAAAAATD91xd6RI3eCMGHZn5Ejd4IL0NJUS5OQVNEQVE6Q0FMTS5JUV9DQVBFWF9QQ1RfUkVWLjk5NC4yOS8wMy8yMDI2AQAAACB6BQACAAAABjQuOTk0OAEIAAAABQAAAAExAQAAAAstMjE0MjQyOTAzOQMAAAADMTYwAgAAAAUzNTM4MAQAAAABMAcAAAAJMy8yOS8yMDI2CAAAAAg2LzEvMjAxOQkAAAABMP3XF3pEjd4IwK5mfkSN3gguQ0lRLk5BU0RBUTpDQUxNLklRX0VCSVRfTUFSR0lOLjEwMDAuMjkvMDMvMjAyNgEAAAAgegUAAgAAAAczNi40MDI1AQgAAAAFAAAAATEBAAAACy0xOTM0OTc4MzgxAwAAAAMxNjACAAAABDQwNTMEAAAAATAHAAAACTMvMjkvMjAyNggAAAAJNS8zMS8yMDI1CQAAAAEw/dcXekSN3gh91mZ+RI3eCC5DSVEuTkFTREFROkNBTE0uSVFfR1JPU1NfTUFSR0lOLjk5Ni4yOS8wMy8yMDI2AQAAACB6BQACAAAABzExLjkwOTcBCAAAAAUAAAABMQEAAAALLTIwMzcyNDE3MjEDAAAAAzE2MAIAAAAENDA3NAQAAAABMAcAAAAJMy8yOS8yMDI2CAAAAAk1LzI5LzIwMjEJAAAAATD91xd6RI3eCMf8Zn5Ejd4IM0NJUS5OQVNEQVE6Q0FMTS5JUV9UT1RBTF9ERUJUX0VCSVREQS45OTYuMjkvMDMvMjAyNgEAAAAgegUAAgAAAAgwLjA1ODM1NAEIAAAABQAAAAExAQAAAAstMjAzNzI0MTcyMQMAAAADMTYwAgAA</t>
  </si>
  <si>
    <t>AAQ0MTkyBAAAAAEwBwAAAAkzLzI5LzIwMjYIAAAACTUvMjkvMjAyMQkAAAABMCZ9FHpEjd4Iku5jfkSN3ggsQ0lRLk5BU0RBUTpDQUxNLklRX0VCSVREQV9JTlQuOTk4LjI5LzAzLzIwMjYBAAAAIHoFAAIAAAALMTc3Ny44NDU2MjYBCAAAAAUAAAABMQEAAAALLTE5MzQ5Nzg0MjADAAAAAzE2MAIAAAAENDE5MAQAAAABMAcAAAAJMy8yOS8yMDI2CAAAAAg2LzMvMjAyMwkAAAABMP3XF3pEjd4Iz3dkfkSN3ggxQ0lRLk5BU0RBUTpDQUxNLklRX0xUX0RFQlRfRVFVSVRZLjEwMDAuMjkvMDMvMjAyNgEAAAAgegUAAwAAAAAA/dcXekSN3gg/7WR+RI3eCDRDSVEuTkFTREFROkNBTE0uSVFfVE9UQUxfREVCVF9DQVBJVEFMLjk5NC4yOS8wMy8yMDI2AQAAACB6BQACAAAABjAuMjU3MwEIAAAABQAAAAExAQAAAAstMjE0MjQyOTAzOQMAAAADMTYwAgAAAAQ0MTg2BAAAAAEwBwAAAAkzLzI5LzIwMjYIAAAACDYvMS8yMDE5CQAAAAEw/dcXekSN3gg1FGV+RI3eCDRDSVEuTkFTREFROkNBTE0uSVFfREFZU19JTlZFTlRPUllfT1VULjk5Ni4yOS8wMy8yMDI2AQAAACB6BQACAAAACTYyLjExODc4NAEIAAAABQAAAAExAQAAAAstMjAzNzI0MTcyMQMAAAADMTYwAgAAAAQ0MDM1BAAAAAEwBwAAAAkzLzI5LzIwMjYIAAAACTUvMjkvMjAyMQkAAAABMP3XF3pEjd4ISollfkSN3gg1Q0lRLk5BU0RBUTpDQUxNLklRX0VCSVRf</t>
  </si>
  <si>
    <t>MVlSX0FOTl9HUk9XVEguOTk2LjI5LzAzLzIwMjYBAAAAIHoFAAMAAAACTk0BCAAAAAUAAAABMQEAAAALLTIwMzcyNDE3MjEDAAAAAzE2MAIAAAAENDE5NwQAAAABMAcAAAAJMy8yOS8yMDI2CAAAAAk1LzI5LzIwMjEJAAAAATCdsxR6RI3eCJqcYn5Ejd4IKUNJUS5OQVNEQVE6Q0FMTS5JUV9aX1NDT1JFLjk5OC4yOS8wMy8yMDI2AQAAACB6BQACAAAACDkuNTc2NzczAQgAAAAFAAAAATEBAAAACy0xOTM0OTc4NDIwAwAAAAMxNjACAAAABjEwMDEyMwQAAAABMAcAAAAJMy8yOS8yMDI2CAAAAAg2LzMvMjAyMwkAAAABMCZ9FHpEjd4I7gNjfkSN3ghIQ0lRLk5BU0RBUTpDQUxNLklRX05FVF9ERUJUX0VCSVREQV9FWENMX09QRVJfTEVBU0VTX0NBUEVYLjk5NC4yOS8wMy8yMDI2AQAAACB6BQADAAAAAk5NAQgAAAAFAAAAATEBAAAACy0yMTQyNDI5MDM5AwAAAAMxNjACAAAABTQ5MTgyBAAAAAEwBwAAAAkzLzI5LzIwMjYIAAAACDYvMS8yMDE5CQAAAAEwJn0UekSN3ghhK2N+RI3eCEtDSVEuTkFTREFROkNBTE0uSVFfVE9UQUxfREVCVF9FQklUREFfRVhDTF9PUEVSX0xFQVNFU19DQVBFWC4xMDAwLjI5LzAzLzIwMjYBAAAAIHoFAAMAAAAAACZ9FHpEjd4IglJjfkSN3gg5Q0lRLk5BU0RBUTpDQUxNLklRX1RPVEFMX0RFQlRfRUJJVERBX0NBUEVYLjk5NC4yOS8wMy8yMDI2AQAAACB6BQACAAAACDAuMDc4NjQ1</t>
  </si>
  <si>
    <t>AQgAAAAFAAAAATEBAAAACy0yMTQyNDI5MDM5AwAAAAMxNjACAAAABTIzMzEzBAAAAAEwBwAAAAkzLzI5LzIwMjYIAAAACDYvMS8yMDE5CQAAAAEwJn0UekSN3ghyeWN+RI3eCDNDSVEuTkFTREFROkNBTE0uSVFfRUJJVF81WVJfQU5OX0NBR1IuOTk4LjI5LzAzLzIwMjYBAAAAIHoFAAIAAAAHMzkuNjIxNgEIAAAABQAAAAExAQAAAAstMTkzNDk3ODQyMAMAAAADMTYwAgAAAAQ0MjM2BAAAAAEwBwAAAAkzLzI5LzIwMjYIAAAACDYvMy8yMDIzCQAAAAEwnbMUekSN3gjD6mB+RI3eCDhDSVEuTkFTREFROkNBTE0uSVFfVE9UQUxfUkVWXzVZUl9BTk5fQ0FHUi45OTguMjkvMDMvMjAyNgEAAAAgegUAAgAAAAcxNS45MjMxAQgAAAAFAAAAATEBAAAACy0xOTM0OTc4NDIwAwAAAAMxNjACAAAABDQyMzMEAAAAATAHAAAACTMvMjkvMjAyNggAAAAINi8zLzIwMjMJAAAAATCdsxR6RI3eCPViYX5Ejd4IMUNJUS5OQVNEQVE6Q0FMTS5JUV9OSV8zWVJfQU5OX0NBR1IuOTk0LjI5LzAzLzIwMjYBAAAAIHoFAAIAAAAILTQ0LjQzMTUBCAAAAAUAAAABMQEAAAALLTIxNDI0MjkwMzkDAAAAAzE2MAIAAAAENDIyNQQAAAABMAcAAAAJMy8yOS8yMDI2CAAAAAg2LzEvMjAxOQkAAAABMJ2zFHpEjd4IDLFhfkSN3gg2Q0lRLk5BU0RBUTpDQUxNLklRX0VCSVREQV8zWVJfQU5OX0NBR1IuMTAwMC4yOS8wMy8yMDI2AQAAACB6BQAC</t>
  </si>
  <si>
    <t>AAAABzk5LjYzMTYBCAAAAAUAAAABMQEAAAALLTE5MzQ5NzgzODEDAAAAAzE2MAIAAAAENDIyMgQAAAABMAcAAAAJMy8yOS8yMDI2CAAAAAk1LzMxLzIwMjUJAAAAATCdsxR6RI3eCB7YYX5Ejd4IOENJUS5OQVNEQVE6Q0FMTS5JUV9UT1RBTF9SRVZfM1lSX0FOTl9DQUdSLjk5Ni4yOS8wMy8yMDI2AQAAACB6BQACAAAABi0zLjUzOAEIAAAABQAAAAExAQAAAAstMjAzNzI0MTcyMQMAAAADMTYwAgAAAAQ0MjIwBAAAAAEwBwAAAAkzLzI5LzIwMjYIAAAACTUvMjkvMjAyMQkAAAABMJ2zFHpEjd4IGf9hfkSN3ggwQ0lRLk5BU0RBUTpDQUxNLklRX0NPU1RfQk9SUk9XSU5HLjk5OS4yOS8wMy8yMDI2AQAAACB6BQADAAAAAAACihd6RI3eCMMiaH5Ejd4INENJUS5OQVNEQVE6Q0FMTS5JUV9BVkdfVEVNUF9FTVBMT1lFRVMuOTk3LjI5LzAzLzIwMjYBAAAAIHoFAAMAAAAAAOZiF3pEjd4I4UlofkSN3ggxQ0lRLk5BU0RBUTpDQUxNLklRX1RPVEFMX0VNUExPWUVFUy45OTcuMjkvMDMvMjAyNgEAAAAgegUAAgAAAAQyOTE1AOZiF3pEjd4I35dofkSN3ggrQ0lRLk5BU0RBUTpDQUxNLklRX0ZVTExfVElNRS45OTMuMjkvMDMvMjAyNgEAAAAgegUAAgAAAAQzNDE5AOZiF3pEjd4InBNpfkSN3ggzQ0lRLk5BU0RBUTpDQUxNLklRX0VQU181WVJfQU5OX0NBR1IuMTAwMC4yOS8wMy8yMDI2AQAAACB6BQACAAAACDEzMC45</t>
  </si>
  <si>
    <t>ODQyAQgAAAAFAAAAATEBAAAACy0xOTM0OTc4MzgxAwAAAAMxNjACAAAABDQyMzkEAAAAATAHAAAACTMvMjkvMjAyNggAAAAJNS8zMS8yMDI1CQAAAAEwnbMUekSN3ggmpWB+RI3eCC1DSVEuTkFTREFROkNBTE0uSVFfRUJJVF9NQVJHSU4uOTk5LjI5LzAzLzIwMjYBAAAAIHoFAAIAAAAGMTMuNTAxAQgAAAAFAAAAATEBAAAACy0xOTM0OTc4NDgwAwAAAAMxNjACAAAABDQwNTMEAAAAATAHAAAACTMvMjkvMjAyNggAAAAINi8xLzIwMjQJAAAAATD91xd6RI3eCH3WZn5Ejd4ILkNJUS5OQVNEQVE6Q0FMTS5JUV9HUk9TU19NQVJHSU4uOTk1LjI5LzAzLzIwMjYBAAAAIHoFAAIAAAAHMTMuMjg2OQEIAAAABQAAAAExAQAAAAstMjA4ODM0NzQ2OQMAAAADMTYwAgAAAAQ0MDc0BAAAAAEwBwAAAAkzLzI5LzIwMjYIAAAACTUvMzAvMjAyMAkAAAABMP3XF3pEjd4Ix/xmfkSN3ggwQ0lRLk5BU0RBUTpDQUxNLklRX1JFVFVSTl9DQVBJVEFMLjk5NS4yOS8wMy8yMDI2AQAAACB6BQACAAAABjAuMDg0MgEIAAAABQAAAAExAQAAAAstMjA4ODM0NzQ2OQMAAAADMTYwAgAAAAQ0MzYzBAAAAAEwBwAAAAkzLzI5LzIwMjYIAAAACTUvMzAvMjAyMAkAAAABMPuwF3pEjd4IBa5nfkSN3gguQ0lRLk5BU0RBUTpDQUxNLklRX0NBTENfVFlQRV9CUy45OTcuMjkvMDMvMjAyNgEAAAAgegUAAwAAAANSVVAA+7AXekSN3gjB1Gd+RI3e</t>
  </si>
  <si>
    <t>CDFDSVEuTkFTREFROkNBTE0uSVFfQ0FTSF9DT05WRVJTSU9OLjk5OS4yOS8wMy8yMDI2AQAAACB6BQACAAAACDU4Ljg1MTUyAQgAAAAFAAAAATEBAAAACy0xOTM0OTc4NDgwAwAAAAMxNjACAAAABDQxODQEAAAAATAHAAAACTMvMjkvMjAyNggAAAAINi8xLzIwMjQJAAAAATD91xd6RI3eCD5iZX5Ejd4INENJUS5OQVNEQVE6Q0FMTS5JUV9EQVlTX0lOVkVOVE9SWV9PVVQuOTk1LjI5LzAzLzIwMjYBAAAAIHoFAAIAAAAJNTUuODE4MzA4AQgAAAAFAAAAATEBAAAACy0yMDg4MzQ3NDY5AwAAAAMxNjACAAAABDQwMzUEAAAAATAHAAAACTMvMjkvMjAyNggAAAAJNS8zMC8yMDIwCQAAAAEw/dcXekSN3ghKiWV+RI3eCDhDSVEuTkFTREFROkNBTE0uSVFfU1RPQ0tfQkFTRURfQVQuOTkyLjI5LzAzLzIwMjYuLi5VU0QuSAEAAAAgegUAAwAAAAAASLx/ekSN3ghGyop+RI3eCDRDSVEuTkFTREFROkNBTE0uSVFfQ09NTU9OX0RJVi45OTAuMjkvMDMvMjAyNi4uLlVTRC5IAQAAACB6BQACAAAABjUzLjc4NAB9MpZ6RI3eCKTLLXxEjd4IP0NJUS5OQVNEQVE6Q0FMTS5JUV9ORVRfUkVOVEFMX0VYUF9TVVBQTEUuOTkyLjI5LzAzLzIwMjYuLi5VU0QuSAEAAAAgegUAAgAAAAUzLjk3NQEIAAAABQAAAAExAQAAAAoxOTcyMDEyMTIxAwAAAAMxNjACAAAABTI0MjYzBAAAAAEwBwAAAAkzLzI5LzIwMjYIAAAACDYvMy8yMDE3</t>
  </si>
  <si>
    <t>CQAAAAEwilmWekSN3gjq/41+RI3eCEFDSVEuTkFTREFROkNBTE0uSVFfR0FJTl9CQVJHQUlOX0FDUV9TVVBQTEUuOTkxLjI5LzAzLzIwMjYuLi5VU0QuSAEAAAAgegUAAwAAAAAAlICWekSN3gi4oTJ8RI3eCEBDSVEuTkFTREFROkNBTE0uSVFfQVNTRVRfV1JJVEVET1dOX1NVUFBMRS45OTIuMjkvMDMvMjAyNi4uLlVTRC5IAQAAACB6BQADAAAAAACUgJZ6RI3eCCSMjH5Ejd4IPENJUS5OQVNEQVE6Q0FMTS5JUV9SRVNUUlVDVFVSRV9TVVBQTEUuOTkwLjI5LzAzLzIwMjYuLi5VU0QuSAEAAAAgegUAAwAAAAAAilmWekSN3gikozF8RI3eCDpDSVEuTkFTREFROkNBTE0uSVFfUkVTVFJfU1RPQ0tfQ09NUC45OTEuMjkvMDMvMjAyNi4uLlVTRC5IAQAAACB6BQADAAAAAABIvH96RI3eCP0ANnxEjd4IOENJUS5OQVNEQVE6Q0FMTS5JUV9TVE9DS19CQVNFRF9SRC45OTIuMjkvMDMvMjAyNi4uLlVTRC5IAQAAACB6BQADAAAAAACUgJZ6RI3eCHdmi35Ejd4IOENJUS5OQVNEQVE6Q0FMTS5JUV9HQUlOX0lOVkVTVF9DRi45OTEuMjkvMDMvMjAyNi4uLlVTRC5IAQAAACB6BQACAAAABTYuNTk5AQgAAAAFAAAAATEBAAAACjE4OTY4MjA1MTcDAAAAAzE2MAIAAAAEMjA5MAQAAAABMAcAAAAJMy8yOS8yMDI2CAAAAAk1LzI4LzIwMTYJAAAAATBIvH96RI3eCA6aOHxEjd4INUNJUS5OQVNEQVE6Q0FMTS5JUV9PSUxfSU1Q</t>
  </si>
  <si>
    <t>QUlSLjIwMDAuMjkvMDMvMjAyNi4uLlVTRC5IAQAAACB6BQADAAAAAABIvH96RI3eCMzWN3xEjd4IOkNJUS5OQVNEQVE6Q0FMTS5JUV9UT1RBTF9PVEhFUl9PUEVSLjk5MS4yOS8wMy8yMDI2Li4uVVNELkgBAAAAIHoFAAIAAAAGMTc3Ljc2AQgAAAAFAAAAATEBAAAACjE4OTY4MjA1MTcDAAAAAzE2MAIAAAADMzgwBAAAAAEwBwAAAAkzLzI5LzIwMjYIAAAACTUvMjgvMjAxNgkAAAABMIFR5HpEjd4Imb8dfESN3gg2Q0lRLk5BU0RBUTpDQUxNLklRX01BSU5UX0NBUEVYLjIwMDAuMjkvMDMvMjAyNi4uLlVTRC5IAQAAACB6BQADAAAAAACNgX96RI3eCCiVRXxEjd4IOENJUS5OQVNEQVE6Q0FMTS5JUV9TUEVDSUFMX0RJVl9DRi45OTAuMjkvMDMvMjAyNi4uLlVTRC5IAQAAACB6BQADAAAAAADXCoB6RI3eCJWHP3xEjd4IOENJUS5OQVNEQVE6Q0FMTS5JUV9DVVJSRU5DWV9HQUlOLjIwMDAuMjkvMDMvMjAyNi4uLlVTRC5IAQAAACB6BQADAAAAAACBUeR6RI3eCD7oHnxEjd4IPUNJUS5OQVNEQVE6Q0FMTS5JUV9JTlRFUkVTVF9JTlZFU1RfSU5DLjk5MS4yOS8wMy8yMDI2Li4uVVNELkgBAAAAIHoFAAIAAAAGMTEuMjQ0AQgAAAAFAAAAATEBAAAACjE4OTY4MjA1MTcDAAAAAzE2MAIAAAACNjUEAAAAATAHAAAACTMvMjkvMjAyNggAAAAJNS8yOC8yMDE2CQAAAAEwgVHkekSN3ggrNh58RI3eCDRDSVEuTkFTREFR</t>
  </si>
  <si>
    <t>OkNBTE0uSVFfSU5TX1NFVFRMRS45OTEuMjkvMDMvMjAyNi4uLlVTRC5IAQAAACB6BQADAAAAAACseOR6RI3eCKNxIHxEjd4ILkNJUS5OQVNEQVE6Q0FMTS5JUV9FQlQuMjAwMC4yOS8wMy8yMDI2Li4uVVNELkgBAAAAIHoFAAIAAAAIMTUxNS41NzIBCAAAAAUAAAABMQEAAAALLTE5MTA2Mjc4MzgDAAAAAzE2MAIAAAADMTM5BAAAAAEwBwAAAAkzLzI5LzIwMjYIAAAACjExLzI5LzIwMjUJAAAAATCseOR6RI3eCN3mIHxEjd4IN0NJUS5OQVNEQVE6Q0FMTS5JUV9OSV9BVkFJTF9FWENMLjk5MS4yOS8wMy8yMDI2Li4uVVNELkgBAAAAIHoFAAIAAAAHMzE2LjA0MQEIAAAABQAAAAExAQAAAAoxODk2ODIwNTE3AwAAAAMxNjACAAAAAzM3OQQAAAABMAcAAAAJMy8yOS8yMDI2CAAAAAk1LzI4LzIwMTYJAAAAATCseOR6RI3eCM6bInxEjd4IPENJUS5OQVNEQVE6Q0FMTS5JUV9TUEVDSUFMX0RJVl9TSEFSRS4yMDAwLjI5LzAzLzIwMjYuLi5VU0QuSAEAAAAgegUAAwAAAAAAFZ/kekSN3gjBeSR8RI3eCEFDSVEuTkFTREFROkNBTE0uSVFfTEVBU0VfQURKVVNUTUVOVF9FQklUREEuOTkyLjI5LzAzLzIwMjYuLi5VU0QuSAEAAAAgegUAAwAAAAAAFZ/kekSN3ggVn5N+RI3eCDlDSVEuTkFTREFROkNBTE0uSVFfRUJJVERBX0VYQ0xfU0JDLjk5MC4yOS8wMy8yMDI2Li4uVVNELkgBAAAAIHoFAAIAAAAHMjc4Ljk5OAEI</t>
  </si>
  <si>
    <t>AAAABQAAAAExAQAAAAoxODUwMjIwODQ1AwAAAAMxNjACAAAABTI0MTM1BAAAAAEwBwAAAAkzLzI5LzIwMjYIAAAACTUvMzAvMjAxNQkAAAABMBWf5HpEjd4I/iklfESN3ghCQ0lRLk5BU0RBUTpDQUxNLklRX0VCSVREQVJfRVFfSU5DX0VYQ0xfU0JDLjIwMDAuMjkvMDMvMjAyNi4uLlVTRC5IAQAAACB6BQADAAAAAABXC5Z6RI3eCMA9KHxEjd4IPUNJUS5OQVNEQVE6Q0FMTS5JUV9BU19SRVBPUlRFRF9FQklUREEuMjAwMC4yOS8wMy8yMDI2Li4uVVNELkgBAAAAIHoFAAMAAAAAAFcLlnpEjd4IbRUpfESN3gg/Q0lRLk5BU0RBUTpDQUxNLklRX1RPVEFMX1JFVl9BU19SRVBPUlRFRC45OTEuMjkvMDMvMjAyNi4uLlVTRC5IAQAAACB6BQADAAAAAABXC5Z6RI3eCG3HKHxEjd4IO0NJUS5OQVNEQVE6Q0FMTS5JUV9GRUVTX09USEVSX0lOQ09NRS45OTAuMjkvMDMvMjAyNi4uLlVTRC5IAQAAACB6BQADAAAAAABXC5Z6RI3eCEegKHxEjd4IRENJUS5OQVNEQVE6Q0FMTS5JUV9OT05SRUNVUlJJTkdfSU5DT01FX1RBWEVTLjIwMDAuMjkvMDMvMjAyNi4uLlVTRC5IAQAAACB6BQADAAAAAAB9MpZ6RI3eCCChK3xEjd4INkNJUS5OQVNEQVE6Q0FMTS5JUV9PVEhFUl9SRU5UQUwuOTkxLjI5LzAzLzIwMjYuLi5VU0QuSAEAAAAgegUAAwAAAAAAilmWekSN3gg/MDB8RI3eCEBDSVEuTkFTREFROkNBTE0uSVFfTkVUX1JF</t>
  </si>
  <si>
    <t>TlRBTF9FWFBfU1VQUExFLjIwMDAuMjkvMDMvMjAyNi4uLlVTRC5IAQAAACB6BQADAAAAAACKWZZ6RI3eCAq7L3xEjd4IOUNJUS5OQVNEQVE6Q0FMTS5JUV9TVE9DS19CQVNFRF9SRC4yMDAwLjI5LzAzLzIwMjYuLi5VU0QuSAEAAAAgegUAAwAAAAAAlICWekSN3gj3YzR8RI3eCD5DSVEuTkFTREFROkNBTE0uSVFfTkVHQVRJVkVfR1dfQU1PUlRfQVQuOTkwLjI5LzAzLzIwMjYuLi5VU0QuSAEAAAAgegUAAwAAAAAAlICWekSN3giAjDN8RI3eCD5DSVEuTkFTREFROkNBTE0uSVFfTEVHQUxfU0VUVExFX1NVUFBMRS4yMDAwLjI5LzAzLzIwMjYuLi5VU0QuSAEAAAAgegUAAwAAAAAAlICWekSN3ghSFzN8RI3eCEFDSVEuTkFTREFROkNBTE0uSVFfR0FJTl9CQVJHQUlOX0FDUV9TVVBQTEUuOTkwLjI5LzAzLzIwMjYuLi5VU0QuSAEAAAAgegUAAwAAAAAAlICWekSN3gi4oTJ8RI3eCEBDSVEuTkFTREFROkNBTE0uSVFfQVNTRVRfV1JJVEVET1dOX1NVUFBMRS45OTEuMjkvMDMvMjAyNi4uLlVTRC5IAQAAACB6BQADAAAAAACUgJZ6RI3eCM4YMnxEjd4IOkNJUS5OQVNEQVE6Q0FMTS5JUV9SRVNUUl9TVE9DS19DT01QLjk5MC4yOS8wMy8yMDI2Li4uVVNELkgBAAAAIHoFAAMAAAAAAEi8f3pEjd4I/QA2fESN3gg9Q0lRLk5BU0RBUTpDQUxNLklRX1RBWF9CRU5FRklUX09QVElPTlMuOTkyLjI5LzAzLzIwMjYuLi5V</t>
  </si>
  <si>
    <t>U0QuSAEAAAAgegUAAwAAAAAAi+N/ekSN3ggBCoh+RI3eCDlDSVEuTkFTREFROkNBTE0uSVFfR0FJTl9BU1NFVFNfQ0YuMjAwMC4yOS8wMy8yMDI2Li4uVVNELkgBAAAAIHoFAAMAAAAAAEi8f3pEjd4IDpo4fESN3ghFQ0lRLk5BU0RBUTpDQUxNLklRX1NBTEVfUFJPQ0VFRFNfUkVOVEFMX0FTU0VUUy45OTAuMjkvMDMvMjAyNi4uLlVTRC5IAQAAACB6BQADAAAAAACmMYB6RI3eCGhvQnxEjd4IRENJUS5OQVNEQVE6Q0FMTS5JUV9DSEFOR0VfTkVUX1dPUktJTkdfQ0FQSVRBTC45OTEuMjkvMDMvMjAyNi4uLlVTRC5IAQAAACB6BQACAAAABjEwLjc1MgEIAAAABQAAAAExAQAAAAoxODk2ODIwNTE3AwAAAAMxNjACAAAABDQ0MjEEAAAAATAHAAAACTMvMjkvMjAyNggAAAAJNS8yOC8yMDE2CQAAAAEwjYF/ekSN3ghGf0R8RI3eCDRDSVEuTkFTREFROkNBTE0uSVFfQ0FTSF9UQVhFUy45OTAuMjkvMDMvMjAyNi4uLlVTRC5IAQAAACB6BQACAAAABjc1LjUzMwEIAAAABQAAAAExAQAAAAoxODUwMjIwODQ1AwAAAAMxNjACAAAABDMwNTMEAAAAATAHAAAACTMvMjkvMjAyNggAAAAJNS8zMC8yMDE1CQAAAAEwG1l/ekSN3ggR40N8RI3eCD5DSVEuTkFTREFROkNBTE0uSVFfQ0FTSF9JTlRFUkVTVF9JTlZFU1QuOTkxLjI5LzAzLzIwMjYuLi5VU0QuSAEAAAAgegUAAwAAAAAAG1l/ekSN3gifbUN8RI3eCEVDSVEuTkFT</t>
  </si>
  <si>
    <t>REFROkNBTE0uSVFfT1BFUkFUSU5HX0xFQVNFX0xJQUJJTElUSUVTLjk5MC4yOS8wMy8yMDI2Li4uVVNELkgBAAAAIHoFAAMAAAAAAI2Bf3pEjd4IXQpGfESN3gg3Q0lRLk5BU0RBUTpDQUxNLklRX1VOTEVWRVJFRF9GQ0YuOTkwLjI5LzAzLzIwMjYuLi5VU0QuSAEAAAAgegUAAgAAAAk3NC44NzgzNzUBCAAAAAUAAAABMQEAAAAKMTg1MDIyMDg0NQMAAAADMTYwAgAAAAQ0NDIzBAAAAAEwBwAAAAkzLzI5LzIwMjYIAAAACTUvMzAvMjAxNQkAAAABMI2Bf3pEjd4IwfVEfESN3ghAQ0lRLk5BU0RBUTpDQUxNLklRX0RFRl9UQVhfQVNTRVRTX0NVUlJFTlQuOTkxLjI5LzAzLzIwMjYuLi5VU0QuSAEAAAAgegUAAwAAAAAA2X+AekSN3gjY7kh8RI3eCDpDSVEuTkFTREFROkNBTE0uSVFfTE9BTlNfUkVDRUlWX0xULjIwMDAuMjkvMDMvMjAyNi4uLlVTRC5IAQAAACB6BQADAAAAAADZf4B6RI3eCL7rTXxEjd4ILENJUS5OQVNEQVE6Q0FMTS5JUV9HVy45OTAuMjkvMDMvMjAyNi4uLlVTRC5IAQAAACB6BQACAAAABjI5LjE5NgEIAAAABQAAAAExAQAAAAoxODUwMjIwODQ1AwAAAAMxNjACAAAABDExNzEEAAAAATAHAAAACTMvMjkvMjAyNggAAAAJNS8zMC8yMDE1CQAAAAEw2X+AekSN3ghnAU18RI3eCC5DSVEuTkFTREFROkNBTE0uSVFfQVBJQy45OTEuMjkvMDMvMjAyNi4uLlVTRC5IAQAAACB6BQACAAAABjQ2LjQw</t>
  </si>
  <si>
    <t>NAEIAAAABQAAAAExAQAAAAoxODk2ODIwNTE3AwAAAAMxNjACAAAABDEwODQEAAAAATAHAAAACTMvMjkvMjAyNggAAAAJNS8yOC8yMDE2CQAAAAEwirksekSN3ggGDlN8RI3eCD5DSVEuTkFTREFROkNBTE0uSVFfREVGX1RBWF9MSUFCX0NVUlJFTlQuOTkyLjI5LzAzLzIwMjYuLi5VU0QuSAEAAAAgegUAAwAAAAAADaeAekSN3ghOC3t+RI3eCDNDSVEuTkFTREFROkNBTE0uSVFfVEJWX1NIQVJFLjk5MS4yOS8wMy8yMDI2Li4uVVNELkgBAAAAIHoFAAIAAAAJMTguMTUzNTk0AQgAAAAFAAAAATEBAAAACjE4OTY4MjA1MTcDAAAAAzE2MAIAAAAENDE1NgQAAAABMAcAAAAJMy8yOS8yMDI2CAAAAAk1LzI4LzIwMTYJAAAAATDBLi16RI3eCMBXWHxEjd4IOkNJUS5OQVNEQVE6Q0FMTS5JUV9TVE9DS19CQVNFRF9DT0dTLjk5MC4yOS8wMy8yMDI2Li4uVVNELkgBAAAAIHoFAAMAAAAAAJSAlnpEjd4I1yg0fESN3gg+Q0lRLk5BU0RBUTpDQUxNLklRX09USEVSX1VOVVNVQUxfU1VQUExFLjk5Mi4yOS8wMy8yMDI2Li4uVVNELkgBAAAAIHoFAAMAAAAAAJSAlnpEjd4Ihu+LfkSN3ghBQ0lRLk5BU0RBUTpDQUxNLklRX0dBSU5fQkFSR0FJTl9BQ1FfU1VQUExFLjk5Mi4yOS8wMy8yMDI2Li4uVVNELkgBAAAAIHoFAAMAAAAAAJSAlnpEjd4IBT6MfkSN3ghBQ0lRLk5BU0RBUTpDQUxNLklRX1JFU1RSX1NUT0NLX0NPTVBf</t>
  </si>
  <si>
    <t>UFJFVEFYLjk5Mi4yOS8wMy8yMDI2Li4uVVNELkgBAAAAIHoFAAMAAAAAAEi8f3pEjd4IPKOKfkSN3ghAQ0lRLk5BU0RBUTpDQUxNLklRX1NUT0NLX09QVElPTlNfQ09NUF9UQVguOTkwLjI5LzAzLzIwMjYuLi5VU0QuSAEAAAAgegUAAwAAAAAASLx/ekSN3ggYTzZ8RI3eCDhDSVEuTkFTREFROkNBTE0uSVFfR0FJTl9JTlZFU1RfQ0YuOTkwLjI5LzAzLzIwMjYuLi5VU0QuSAEAAAAgegUAAwAAAAAASLx/ekSN3ggOmjh8RI3eCC9DSVEuTkFTREFROkNBTE0uSVFfREFfQ0YuOTkyLjI5LzAzLzIwMjYuLi5VU0QuSAEAAAAgegUAAgAAAAY0OS4xMTMBCAAAAAUAAAABMQEAAAAKMTk3MjAxMjEyMQMAAAADMTYwAgAAAAQyMTYwBAAAAAEwBwAAAAkzLzI5LzIwMjYIAAAACDYvMy8yMDE3CQAAAAEwSLx/ekSN3giTL4l+RI3eCDhDSVEuTkFTREFROkNBTE0uSVFfT1RIRVJfT1BFUl9BQ1QuOTkwLjI5LzAzLzIwMjYuLi5VU0QuSAEAAAAgegUAAgAAAAU1LjgwNwEIAAAABQAAAAExAQAAAAoxODUwMjIwODQ1AwAAAAMxNjACAAAABDIwNDcEAAAAATAHAAAACTMvMjkvMjAyNggAAAAJNS8zMC8yMDE1CQAAAAEwi+N/ekSN3ghpSDp8RI3eCEZDSVEuTkFTREFROkNBTE0uSVFfQ0hBTkdFX09USEVSX05FVF9PUEVSX0FTU0VUUy45OTEuMjkvMDMvMjAyNi4uLlVTRC5IAQAAACB6BQADAAAAAACL4396RI3eCCmBO3xEjd4I</t>
  </si>
  <si>
    <t>PUNJUS5OQVNEQVE6Q0FMTS5JUV9TQUxFX1JFQUxfRVNUQVRFX0NGLjk5MC4yOS8wMy8yMDI2Li4uVVNELkgBAAAAIHoFAAMAAAAAANcKgHpEjd4IZlg8fESN3gg9Q0lRLk5BU0RBUTpDQUxNLklRX0RBX1NVUFBMX1BBUlRJQUxfQ0YuOTkyLjI5LzAzLzIwMjYuLi5VU0QuSAEAAAAgegUAAwAAAAAApjGAekSN3ggkNYN+RI3eCDRDSVEuTkFTREFROkNBTE0uSVFfTkVUX0NIQU5HRS45OTIuMjkvMDMvMjAyNi4uLlVTRC5IAQAAACB6BQACAAAABy0xMS40ODIBCAAAAAUAAAABMQEAAAAKMTk3MjAxMjEyMQMAAAADMTYwAgAAAAQyMDkzBAAAAAEwBwAAAAkzLzI5LzIwMjYIAAAACDYvMy8yMDE3CQAAAAEwpjGAekSN3gj0k4N+RI3eCCxDSVEuTkFTREFROkNBTE0uSVFfRlguOTkyLjI5LzAzLzIwMjYuLi5VU0QuSAEAAAAgegUAAwAAAAAApjGAekSN3ggju4N+RI3eCD5DSVEuTkFTREFROkNBTE0uSVFfQ0FTSF9JTlRFUkVTVF9JTlZFU1QuOTkwLjI5LzAzLzIwMjYuLi5VU0QuSAEAAAAgegUAAwAAAAAAG1l/ekSN3gifbUN8RI3eCENDSVEuTkFTREFROkNBTE0uSVFfQU1PUlRfU09GVFdBUkVfQVNTRVRTX0NGLjIwMDAuMjkvMDMvMjAyNi4uLlVTRC5IAQAAACB6BQADAAAAAACmMYB6RI3eCGhvQnxEjd4INkNJUS5OQVNEQVE6Q0FMTS5JUV9BTU9SVF9ESUNfQ0YuOTkwLjI5LzAzLzIwMjYuLi5VU0QuSAEAAAAg</t>
  </si>
  <si>
    <t>egUAAwAAAAAApjGAekSN3ggWIUJ8RI3eCDZDSVEuTkFTREFROkNBTE0uSVFfTEVWRVJFRF9GQ0YuMjAwMC4yOS8wMy8yMDI2Li4uVVNELkgBAAAAIHoFAAIAAAAKODA0LjkzMjYyNQEIAAAABQAAAAExAQAAAAstMTkxMDYyNzgzOAMAAAADMTYwAgAAAAQ0NDIyBAAAAAEwBwAAAAkzLzI5LzIwMjYIAAAACjExLzI5LzIwMjUJAAAAATCNgX96RI3eCMH1RHxEjd4IRENJUS5OQVNEQVE6Q0FMTS5JUV9DSEFOR0VfTkVUX1dPUktJTkdfQ0FQSVRBTC45OTAuMjkvMDMvMjAyNi4uLlVTRC5IAQAAACB6BQACAAAABjMzLjYwNgEIAAAABQAAAAExAQAAAAoxODUwMjIwODQ1AwAAAAMxNjACAAAABDQ0MjEEAAAAATAHAAAACTMvMjkvMjAyNggAAAAJNS8zMC8yMDE1CQAAAAEwjYF/ekSN3ghGf0R8RI3eCD5DSVEuTkFTREFROkNBTE0uSVFfQ0FTSF9JTlRFUkVTVF9GSU5BTi4yMDAwLjI5LzAzLzIwMjYuLi5VU0QuSAEAAAAgegUAAwAAAAAAG1l/ekSN3ggR40N8RI3eCDNDSVEuTkFTREFROkNBTE0uSVFfSU5WRU5UT1JZLjk5Mi4yOS8wMy8yMDI2Li4uVVNELkgBAAAAIHoFAAIAAAAHMTYwLjY5MgEIAAAABQAAAAExAQAAAAoxOTcyMDEyMTIxAwAAAAMxNjACAAAABDEwNDMEAAAAATAHAAAACTMvMjkvMjAyNggAAAAINi8zLzIwMTcJAAAAATC1WIB6RI3eCHGLfn5Ejd4IOENJUS5OQVNEQVE6Q0FMTS5JUV9DQVNIX1NU</t>
  </si>
  <si>
    <t>X0lOVkVTVC45OTEuMjkvMDMvMjAyNi4uLlVTRC5IAQAAACB6BQACAAAABzM4OS41NDUBCAAAAAUAAAABMQEAAAAKMTg5NjgyMDUxNwMAAAADMTYwAgAAAAQxMDAyBAAAAAEwBwAAAAkzLzI5LzIwMjYIAAAACTUvMjgvMjAxNgkAAAABMI2Bf3pEjd4IPHtHfESN3gg/Q0lRLk5BU0RBUTpDQUxNLklRX0RFRl9UQVhfTElBQl9DVVJSRU5ULjIwMDAuMjkvMDMvMjAyNi4uLlVTRC5IAQAAACB6BQADAAAAAAANp4B6RI3eCLg2UHxEjd4INENJUS5OQVNEQVE6Q0FMTS5JUV9UT1RBTF9MSUFCLjk5MC4yOS8wMy8yMDI2Li4uVVNELkgBAAAAIHoFAAIAAAAHMjI0LjA5MQEIAAAABQAAAAExAQAAAAoxODUwMjIwODQ1AwAAAAMxNjACAAAABDEyNzYEAAAAATAHAAAACTMvMjkvMjAyNggAAAAJNS8zMC8yMDE1CQAAAAEwDaeAekSN3gji51F8RI3eCC9DSVEuTkFTREFROkNBTE0uSVFfTElGT1IuOTkxLjI5LzAzLzIwMjYuLi5VU0QuSAEAAAAgegUAAwAAAAAAwS4tekSN3girDlt8RI3eCDxDSVEuTkFTREFROkNBTE0uSVFfVEJWX1NIQVJFX1JFUE9SVEVELjk5MS4yOS8wMy8yMDI2Li4uVVNELkgBAAAAIHoFAAMAAAAAAMEuLXpEjd4I1X5YfESN3gg+Q0lRLk5BU0RBUTpDQUxNLklRX0RBX1NVUFBMX1BBUlRJQUxfQ0YuMjAwMC4yOS8wMy8yMDI2Li4uVVNELkgBAAAAIHoFAAMAAAAAAKYxgHpEjd4IydRAfESN3gg0Q0lR</t>
  </si>
  <si>
    <t>Lk5BU0RBUTpDQUxNLklRX05FVF9DSEFOR0UuOTkxLjI5LzAzLzIwMjYuLi5VU0QuSAEAAAAgegUAAgAAAAYyMC4zNzkBCAAAAAUAAAABMQEAAAAKMTg5NjgyMDUxNwMAAAADMTYwAgAAAAQyMDkzBAAAAAEwBwAAAAkzLzI5LzIwMjYIAAAACTUvMjgvMjAxNgkAAAABMKYxgHpEjd4Iwq1AfESN3ggsQ0lRLk5BU0RBUTpDQUxNLklRX0ZYLjk5MS4yOS8wMy8yMDI2Li4uVVNELkgBAAAAIHoFAAMAAAAAAKYxgHpEjd4I9CNAfESN3gg9Q0lRLk5BU0RBUTpDQUxNLklRX0NBU0hfSU5URVJFU1RfT1BFUi4yMDAwLjI5LzAzLzIwMjYuLi5VU0QuSAEAAAAgegUAAwAAAAAAG1l/ekSN3gifbUN8RI3eCD9DSVEuTkFTREFROkNBTE0uSVFfTkVHQVRJVkVfR1dfQU1PUlRfQ0YuMjAwMC4yOS8wMy8yMDI2Li4uVVNELkgBAAAAIHoFAAMAAAAAAKYxgHpEjd4IFiFCfESN3ghGQ0lRLk5BU0RBUTpDQUxNLklRX0RBX1NVUFBMX0NGX0VYQ0xfT1BFUl9MRUFTRVMuOTkyLjI5LzAzLzIwMjYuLi5VU0QuSAEAAAAgegUAAgAAAAY0Ni45MTMBCAAAAAUAAAABMQEAAAAKMTk3MjAxMjEyMQMAAAADMTYwAgAAAAU0ODk4MwQAAAABMAcAAAAJMy8yOS8yMDI2CAAAAAg2LzMvMjAxNwkAAAABMKYxgHpEjd4I8dKCfkSN3gg/Q0lRLk5BU0RBUTpDQUxNLklRX0NIQU5HRV9ERUZfVEFYX1RPVEFMLjIwMDAuMjkvMDMvMjAyNi4uLlVTRC5I</t>
  </si>
  <si>
    <t>AQAAACB6BQACAAAABjM5Ljg3OQEIAAAABQAAAAExAQAAAAstMTkxMDYyNzgzOAMAAAADMTYwAgAAAAUzMDkyNAQAAAABMAcAAAAJMy8yOS8yMDI2CAAAAAoxMS8yOS8yMDI1CQAAAAEwjYF/ekSN3ghGf0R8RI3eCDdDSVEuTkFTREFROkNBTE0uSVFfRE9fSU5WRVNUX0NGLjIwMDAuMjkvMDMvMjAyNi4uLlVTRC5IAQAAACB6BQADAAAAAACNgX96RI3eCDi8RXxEjd4IQENJUS5OQVNEQVE6Q0FMTS5JUV9GSU5fRElWX0FTU0VUU19DVVJSRU5ULjk5MS4yOS8wMy8yMDI2Li4uVVNELkgBAAAAIHoFAAMAAAAAALVYgHpEjd4IraBIfESN3ggzQ0lRLk5BU0RBUTpDQUxNLklRX0lOVkVOVE9SWS45OTEuMjkvMDMvMjAyNi4uLlVTRC5IAQAAACB6BQACAAAABzE1NC43OTkBCAAAAAUAAAABMQEAAAAKMTg5NjgyMDUxNwMAAAADMTYwAgAAAAQxMDQzBAAAAAEwBwAAAAkzLzI5LzIwMjYIAAAACTUvMjgvMjAxNgkAAAABMLVYgHpEjd4Ie1JIfESN3gguQ0lRLk5BU0RBUTpDQUxNLklRX05QUEUuOTkyLjI5LzAzLzIwMjYuLi5VU0QuSAEAAAAgegUAAgAAAAc0NTguMTg0AQgAAAAFAAAAATEBAAAACjE5NzIwMTIxMjEDAAAAAzE2MAIAAAAEMTAwNAQAAAABMAcAAAAJMy8yOS8yMDI2CAAAAAg2LzMvMjAxNwkAAAABMNl/gHpEjd4I4GR9fkSN3ggyQ0lRLk5BU0RBUTpDQUxNLklRX1RPVEFMX0NBLjk5MS4yOS8wMy8yMDI2</t>
  </si>
  <si>
    <t>Li4uVVNELkgBAAAAIHoFAAIAAAAHNjI2LjI4MwEIAAAABQAAAAExAQAAAAoxODk2ODIwNTE3AwAAAAMxNjACAAAABDEwMDgEAAAAATAHAAAACTMvMjkvMjAyNggAAAAJNS8yOC8yMDE2CQAAAAEw2X+AekSN3gjj8Ut8RI3eCD5DSVEuTkFTREFROkNBTE0uSVFfRklOX0RJVl9MSUFCX0NVUlJFTlQuOTkwLjI5LzAzLzIwMjYuLi5VU0QuSAEAAAAgegUAAwAAAAAA2X+AekSN3ginwU98RI3eCDFDSVEuTkFTREFROkNBTE0uSVFfU1RfREVCVC45OTEuMjkvMDMvMjAyNi4uLlVTRC5IAQAAACB6BQADAAAAAADZf4B6RI3eCEERT3xEjd4IS0NJUS5OQVNEQVE6Q0FMTS5JUV9MVF9QT1JUSU9OX09QRVJfTEVBU0VfTElBQklMSVRJRVMuOTkwLjI5LzAzLzIwMjYuLi5VU0QuSAEAAAAgegUAAwAAAAAAugctekSN3ggY5FZ8RI3eCDJDSVEuTkFTREFROkNBTE0uSVFfVFJFQVNVUlkuOTkxLjI5LzAzLzIwMjYuLi5VU0QuSAEAAAAgegUAAgAAAActMjIuMjcyAQgAAAAFAAAAATEBAAAACjE4OTY4MjA1MTcDAAAAAzE2MAIAAAAEMTI0OAQAAAABMAcAAAAJMy8yOS8yMDI2CAAAAAk1LzI4LzIwMTYJAAAAATCKuSx6RI3eCA41U3xEjd4IMkNJUS5OQVNEQVE6Q0FMTS5JUV9MT0FOU19DRi45OTIuMjkvMDMvMjAyNi4uLlVTRC5IAQAAACB6BQADAAAAAACL4396RI3eCD5/iH5Ejd4IL0NJUS5OQVNEQVE6Q0FMTS5JUV9MSUZP</t>
  </si>
  <si>
    <t>Ui45OTAuMjkvMDMvMjAyNi4uLlVTRC5IAQAAACB6BQADAAAAAADBLi16RI3eCLY1W3xEjd4IM0NJUS5OQVNEQVE6Q0FMTS5JUV9DSEFOR0VfQVIuOTkwLjI5LzAzLzIwMjYuLi5VU0QuSAEAAAAgegUAAgAAAActMTguOTYxAQgAAAAFAAAAATEBAAAACjE4NTAyMjA4NDUDAAAAAzE2MAIAAAAEMjAxOAQAAAABMAcAAAAJMy8yOS8yMDI2CAAAAAk1LzMwLzIwMTUJAAAAATCL4396RI3eCLaWOnxEjd4IOENJUS5OQVNEQVE6Q0FMTS5JUV9TVE9DS19CQVNFRF9DRi45OTIuMjkvMDMvMjAyNi4uLlVTRC5IAQAAACB6BQACAAAABTMuNDI3AQgAAAAFAAAAATEBAAAACjE5NzIwMTIxMjEDAAAAAzE2MAIAAAAEMjEyNwQAAAABMAcAAAAJMy8yOS8yMDI2CAAAAAg2LzMvMjAxNwkAAAABMIvjf3pEjd4IRTGIfkSN3ggvQ0lRLk5BU0RBUTpDQUxNLklRX0NBUEVYLjk5Mi4yOS8wMy8yMDI2Li4uVVNELkgBAAAAIHoFAAIAAAAHLTY2LjY1NwEIAAAABQAAAAExAQAAAAoxOTcyMDEyMTIxAwAAAAMxNjACAAAABDIwMjEEAAAAATAHAAAACTMvMjkvMjAyNggAAAAINi8zLzIwMTcJAAAAATCL4396RI3eCFiihn5Ejd4IOUNJUS5OQVNEQVE6Q0FMTS5JUV9DSEFOR0VfREVGX1RBWC4yMDAwLjI5LzAzLzIwMjYuLi5VU0QuSAEAAAAgegUAAwAAAAAAi+N/ekSN3ggpgTt8RI3eCDhDSVEuTkFTREFROkNBTE0uSVFfTFRfREVCVF9S</t>
  </si>
  <si>
    <t>RVBBSUQuOTkyLjI5LzAzLzIwMjYuLi5VU0QuSAEAAAAgegUAAgAAAAYtMTYuNTEBCAAAAAUAAAABMQEAAAAKMTk3MjAxMjEyMQMAAAADMTYwAgAAAAQyMDM2BAAAAAEwBwAAAAkzLzI5LzIwMjYIAAAACDYvMy8yMDE3CQAAAAEw1wqAekSN3gh9LoV+RI3eCDhDSVEuTkFTREFROkNBTE0uSVFfU1RfREVCVF9JU1NVRUQuOTkyLjI5LzAzLzIwMjYuLi5VU0QuSAEAAAAgegUAAwAAAAAA1wqAekSN3gi6fIV+RI3eCEBDSVEuTkFTREFROkNBTE0uSVFfT1RIRVJfSU5WRVNUX0FDVF9TVVBQTC45OTIuMjkvMDMvMjAyNi4uLlVTRC5IAQAAACB6BQACAAAABTYuNTg2AQgAAAAFAAAAATEBAAAACjE5NzIwMTIxMjEDAAAAAzE2MAIAAAAEMjA1MQQAAAABMAcAAAAJMy8yOS8yMDI2CAAAAAg2LzMvMjAxNwkAAAABMNcKgHpEjd4I5t6FfkSN3gg8Q0lRLk5BU0RBUTpDQUxNLklRX0lOVkVTVF9TRUNVUklUWV9DRi45OTAuMjkvMDMvMjAyNi4uLlVTRC5IAQAAACB6BQACAAAABy02My44ODcBCAAAAAUAAAABMQEAAAAKMTg1MDIyMDg0NQMAAAADMTYwAgAAAAQyMDI3BAAAAAEwBwAAAAkzLzI5LzIwMjYIAAAACTUvMzAvMjAxNQkAAAABMNcKgHpEjd4It6Y8fESN3ghBQ0lRLk5BU0RBUTpDQUxNLklRX09USEVSX0ZJTkFOQ0VfQUNUX1NVUFBMLjk5Mi4yOS8wMy8yMDI2Li4uVVNELkgBAAAAIHoFAAIAAAAGLTAuMDczAQgA</t>
  </si>
  <si>
    <t>AAAFAAAAATEBAAAACjE5NzIwMTIxMjEDAAAAAzE2MAIAAAAEMjA1MAQAAAABMAcAAAAJMy8yOS8yMDI2CAAAAAg2LzMvMjAxNwkAAAABMKYxgHpEjd4INuKDfkSN3gg7Q0lRLk5BU0RBUTpDQUxNLklRX1RPVEFMX0RJVl9QQUlEX0NGLjk5Mi4yOS8wMy8yMDI2Li4uVVNELkgBAAAAIHoFAAMAAAAAANcKgHpEjd4I80OEfkSN3ghHQ0lRLk5BU0RBUTpDQUxNLklRX0RBX1NVUFBMX0NGX0VYQ0xfT1BFUl9MRUFTRVMuMjAwMC4yOS8wMy8yMDI2Li4uVVNELkgBAAAAIHoFAAIAAAAHMTA1LjgxNAEIAAAABQAAAAExAQAAAAstMTkxMDYyNzgzOAMAAAADMTYwAgAAAAU0ODk4MwQAAAABMAcAAAAJMy8yOS8yMDI2CAAAAAoxMS8yOS8yMDI1CQAAAAEwpjGAekSN3gj/vkF8RI3eCCxDSVEuTkFTREFROkNBTE0uSVFfRlguOTkwLjI5LzAzLzIwMjYuLi5VU0QuSAEAAAAgegUAAwAAAAAApjGAekSN3gj0I0B8RI3eCDxDSVEuTkFTREFROkNBTE0uSVFfQ0FTSF9JTlRFUkVTVF9ORVQuMjAwMC4yOS8wMy8yMDI2Li4uVVNELkgBAAAAIHoFAAMAAAAAABtZf3pEjd4IquRCfESN3gg1Q0lRLk5BU0RBUTpDQUxNLklRX01BSU5UX0NBUEVYLjk5Mi4yOS8wMy8yMDI2Li4uVVNELkgBAAAAIHoFAAMAAAAAAI2Bf3pEjd4IyWyAfkSN3ghHQ0lRLk5BU0RBUTpDQUxNLklRX1RPVEFMX0RFQlRfUkVQQUlEX0VYQ0xfTEVBU0VTLjk5</t>
  </si>
  <si>
    <t>Mi4yOS8wMy8yMDI2Li4uVVNELkgBAAAAIHoFAAIAAAAGLTE2LjUxAQgAAAAFAAAAATEBAAAACjE5NzIwMTIxMjEDAAAAAzE2MAIAAAAFNDg5ODYEAAAAATAHAAAACTMvMjkvMjAyNggAAAAINi8zLzIwMTcJAAAAATCNgX96RI3eCDqcf35Ejd4IQENJUS5OQVNEQVE6Q0FMTS5JUV9GSU5fRElWX0FTU0VUU19DVVJSRU5ULjk5MC4yOS8wMy8yMDI2Li4uVVNELkgBAAAAIHoFAAMAAAAAALVYgHpEjd4IraBIfESN3gg4Q0lRLk5BU0RBUTpDQUxNLklRX1NUX05PVEVfUkVDRUlWLjk5Mi4yOS8wMy8yMDI2Li4uVVNELkgBAAAAIHoFAAMAAAAAAEi8f3pEjd4I1bF+fkSN3ggvQ0lRLk5BU0RBUTpDQUxNLklRX0FSX0xULjk5MS4yOS8wMy8yMDI2Li4uVVNELkgBAAAAIHoFAAMAAAAAANl/gHpEjd4IjXZNfESN3gg1Q0lRLk5BU0RBUTpDQUxNLklRX09USEVSX0lOVEFOLjk5MS4yOS8wMy8yMDI2Li4uVVNELkgBAAAAIHoFAAIAAAAFNC45NTgBCAAAAAUAAAABMQEAAAAKMTg5NjgyMDUxNwMAAAADMTYwAgAAAAQxMDQwBAAAAAEwBwAAAAkzLzI5LzIwMjYIAAAACTUvMjgvMjAxNgkAAAABMNl/gHpEjd4IZwFNfESN3gguQ0lRLk5BU0RBUTpDQUxNLklRX05QUEUuOTkxLjI5LzAzLzIwMjYuLi5VU0QuSAEAAAAgegUAAgAAAAczOTIuMjc0AQgAAAAFAAAAATEBAAAACjE4OTY4MjA1MTcDAAAAAzE2MAIAAAAEMTAwNAQA</t>
  </si>
  <si>
    <t>AAABMAcAAAAJMy8yOS8yMDI2CAAAAAk1LzI4LzIwMTYJAAAAATDZf4B6RI3eCBizTHxEjd4IMkNJUS5OQVNEQVE6Q0FMTS5JUV9UT1RBTF9DQS45OTAuMjkvMDMvMjAyNi4uLlVTRC5IAQAAACB6BQACAAAABzUwOC45NjQBCAAAAAUAAAABMQEAAAAKMTg1MDIyMDg0NQMAAAADMTYwAgAAAAQxMDA4BAAAAAEwBwAAAAkzLzI5LzIwMjYIAAAACTUvMzAvMjAxNQkAAAABMNl/gHpEjd4I4/FLfESN3gg/Q0lRLk5BU0RBUTpDQUxNLklRX0ZJTl9ESVZfREVCVF9DVVJSRU5ULjIwMDAuMjkvMDMvMjAyNi4uLlVTRC5IAQAAACB6BQADAAAAAADZf4B6RI3eCKfBT3xEjd4IMkNJUS5OQVNEQVE6Q0FMTS5JUV9UUkVBU1VSWS45OTAuMjkvMDMvMjAyNi4uLlVTRC5IAQAAACB6BQACAAAABy0yMC40ODIBCAAAAAUAAAABMQEAAAAKMTg1MDIyMDg0NQMAAAADMTYwAgAAAAQxMjQ4BAAAAAEwBwAAAAkzLzI5LzIwMjYIAAAACTUvMzAvMjAxNQkAAAABMIq5LHpEjd4I61tTfESN3gg1Q0lRLk5BU0RBUTpDQUxNLklRX1BSRUZfUkVERUVNLjk5Mi4yOS8wMy8yMDI2Li4uVVNELkgBAAAAIHoFAAMAAAAAAA2ngHpEjd4I+r55fkSN3gg5Q0lRLk5BU0RBUTpDQUxNLklRX1NUT0NLX0JBU0VEX0NGLjIwMDAuMjkvMDMvMjAyNi4uLlVTRC5IAQAAACB6BQACAAAABTQuNTI3AQgAAAAFAAAAATEBAAAACy0xOTEwNjI3ODM4AwAAAAMx</t>
  </si>
  <si>
    <t>NjACAAAABDIxMjcEAAAAATAHAAAACTMvMjkvMjAyNggAAAAKMTEvMjkvMjAyNQkAAAABMIvjf3pEjd4IYZg5fESN3ggyQ0lRLk5BU0RBUTpDQUxNLklRX0xPQU5TX0NGLjk5MS4yOS8wMy8yMDI2Li4uVVNELkgBAAAAIHoFAAMAAAAAAIvjf3pEjd4IL/w4fESN3ggzQ0lRLk5BU0RBUTpDQUxNLklRX0NIQU5HRV9BUC45OTIuMjkvMDMvMjAyNi4uLlVTRC5IAQAAACB6BQACAAAABi05LjQ5MQEIAAAABQAAAAExAQAAAAoxOTcyMDEyMTIxAwAAAAMxNjACAAAABDIwMTcEAAAAATAHAAAACTMvMjkvMjAyNggAAAAINi8zLzIwMTcJAAAAATCL4396RI3eCJtth35Ejd4IOENJUS5OQVNEQVE6Q0FMTS5JUV9TQUxFX0lOVEFOX0NGLjIwMDAuMjkvMDMvMjAyNi4uLlVTRC5IAQAAACB6BQADAAAAAADXCoB6RI3eCLemPHxEjd4IL0NJUS5OQVNEQVE6Q0FMTS5JUV9DQVBFWC45OTEuMjkvMDMvMjAyNi4uLlVTRC5IAQAAACB6BQACAAAABy03Ni4xMjUBCAAAAAUAAAABMQEAAAAKMTg5NjgyMDUxNwMAAAADMTYwAgAAAAQyMDIxBAAAAAEwBwAAAAkzLzI5LzIwMjYIAAAACTUvMjgvMjAxNgkAAAABMIvjf3pEjd4ILuM7fESN3gg3Q0lRLk5BU0RBUTpDQUxNLklRX0NPTU1PTl9JU1NVRUQuOTkyLjI5LzAzLzIwMjYuLi5VU0QuSAEAAAAgegUAAwAAAAAA1wqAekSN3gifB4V+RI3eCDhDSVEuTkFTREFROkNBTE0uSVFfTFRf</t>
  </si>
  <si>
    <t>REVCVF9SRVBBSUQuOTkxLjI5LzAzLzIwMjYuLi5VU0QuSAEAAAAgegUAAgAAAAYtMjUuMjkBCAAAAAUAAAABMQEAAAAKMTg5NjgyMDUxNwMAAAADMTYwAgAAAAQyMDM2BAAAAAEwBwAAAAkzLzI5LzIwMjYIAAAACTUvMjgvMjAxNgkAAAABMNcKgHpEjd4ITRo+fESN3gg7Q0lRLk5BU0RBUTpDQUxNLklRX1RPVEFMX0RFQlRfSVNTVUVELjk5Mi4yOS8wMy8yMDI2Li4uVVNELkgBAAAAIHoFAAMAAAAAANcKgHpEjd4IpVWFfkSN3gg4Q0lRLk5BU0RBUTpDQUxNLklRX1NUX0RFQlRfSVNTVUVELjk5MS4yOS8wMy8yMDI2Li4uVVNELkgBAAAAIHoFAAMAAAAAANcKgHpEjd4Is1Y9fESN3ghAQ0lRLk5BU0RBUTpDQUxNLklRX09USEVSX0lOVkVTVF9BQ1RfU1VQUEwuOTkxLjI5LzAzLzIwMjYuLi5VU0QuSAEAAAAgegUAAgAAAAU1LjQyNwEIAAAABQAAAAExAQAAAAoxODk2ODIwNTE3AwAAAAMxNjACAAAABDIwNTEEAAAAATAHAAAACTMvMjkvMjAyNggAAAAJNS8yOC8yMDE2CQAAAAEw1wqAekSN3gjVGz18RI3eCEFDSVEuTkFTREFROkNBTE0uSVFfT1RIRVJfRklOQU5DRV9BQ1RfU1VQUEwuOTkxLjI5LzAzLzIwMjYuLi5VU0QuSAEAAAAgegUAAgAAAAYtMC44MzEBCAAAAAUAAAABMQEAAAAKMTg5NjgyMDUxNwMAAAADMTYwAgAAAAQyMDUwBAAAAAEwBwAAAAkzLzI5LzIwMjYIAAAACTUvMjgvMjAxNgkAAAABMKYx</t>
  </si>
  <si>
    <t>gHpEjd4Iq64/fESN3gg7Q0lRLk5BU0RBUTpDQUxNLklRX1RPVEFMX0RJVl9QQUlEX0NGLjk5MS4yOS8wMy8yMDI2Li4uVVNELkgBAAAAIHoFAAIAAAAILTEyMC45NDIBCAAAAAUAAAABMQEAAAAKMTg5NjgyMDUxNwMAAAADMTYwAgAAAAQyMDIyBAAAAAEwBwAAAAkzLzI5LzIwMjYIAAAACTUvMjgvMjAxNgkAAAABMNcKgHpEjd4Iw2A/fESN3gg6Q0lRLk5BU0RBUTpDQUxNLklRX0NBU0hfVEFYRVNfRklOQU4uOTkxLjI5LzAzLzIwMjYuLi5VU0QuSAEAAAAgegUAAwAAAAAAjYF/ekSN3gg7MUR8RI3eCDVDSVEuTkFTREFROkNBTE0uSVFfTUFJTlRfQ0FQRVguOTkxLjI5LzAzLzIwMjYuLi5VU0QuSAEAAAAgegUAAwAAAAAAjYF/ekSN3ggYbkV8RI3eCEdDSVEuTkFTREFROkNBTE0uSVFfVE9UQUxfREVCVF9SRVBBSURfRVhDTF9MRUFTRVMuOTkxLjI5LzAzLzIwMjYuLi5VU0QuSAEAAAAgegUAAgAAAAYtMjUuMjkBCAAAAAUAAAABMQEAAAAKMTg5NjgyMDUxNwMAAAADMTYwAgAAAAU0ODk4NgQAAAABMAcAAAAJMy8yOS8yMDI2CAAAAAk1LzI4LzIwMTYJAAAAATCNgX96RI3eCHt/RnxEjd4IOENJUS5OQVNEQVE6Q0FMTS5JUV9TVF9OT1RFX1JFQ0VJVi45OTEuMjkvMDMvMjAyNi4uLlVTRC5IAQAAACB6BQADAAAAAABIvH96RI3eCDMESHxEjd4IOENJUS5OQVNEQVE6Q0FMTS5JUV9ERUZfQ0hBUkdFU19MVC45</t>
  </si>
  <si>
    <t>OTAuMjkvMDMvMjAyNi4uLlVTRC5IAQAAACB6BQADAAAAAADZf4B6RI3eCL7rTXxEjd4IL0NJUS5OQVNEQVE6Q0FMTS5JUV9BUl9MVC45OTAuMjkvMDMvMjAyNi4uLlVTRC5IAQAAACB6BQADAAAAAADZf4B6RI3eCI12TXxEjd4INUNJUS5OQVNEQVE6Q0FMTS5JUV9PVEhFUl9JTlRBTi45OTAuMjkvMDMvMjAyNi4uLlVTRC5IAQAAACB6BQACAAAABDcuNTYBCAAAAAUAAAABMQEAAAAKMTg1MDIyMDg0NQMAAAADMTYwAgAAAAQxMDQwBAAAAAEwBwAAAAkzLzI5LzIwMjYIAAAACTUvMzAvMjAxNQkAAAABMNl/gHpEjd4IbChNfESN3gguQ0lRLk5BU0RBUTpDQUxNLklRX05QUEUuOTkwLjI5LzAzLzIwMjYuLi5VU0QuSAEAAAAgegUAAgAAAAYzNTguNzkBCAAAAAUAAAABMQEAAAAKMTg1MDIyMDg0NQMAAAADMTYwAgAAAAQxMDA0BAAAAAEwBwAAAAkzLzI5LzIwMjYIAAAACTUvMzAvMjAxNQkAAAABMNl/gHpEjd4IGLNMfESN3gg5Q0lRLk5BU0RBUTpDQUxNLklRX0ZJTl9ESVZfTElBQl9MVC45OTIuMjkvMDMvMjAyNi4uLlVTRC5IAQAAACB6BQADAAAAAAANp4B6RI3eCFlben5Ejd4IOENJUS5OQVNEQVE6Q0FMTS5JUV9PVEhFUl9DTF9TVVBQTC45OTEuMjkvMDMvMjAyNi4uLlVTRC5IAQAAACB6BQADAAAAAAANp4B6RI3eCLg2UHxEjd4IPkNJUS5OQVNEQVE6Q0FMTS5JUV9NSU5PUklUWV9JTlRFUkVTVF9DRi45</t>
  </si>
  <si>
    <t>OTIuMjkvMDMvMjAyNi4uLlVTRC5IAQAAACB6BQADAAAAAABIvH96RI3eCJcIiX5Ejd4IL0NJUS5OQVNEQVE6Q0FMTS5JUV9ET19DRi45OTAuMjkvMDMvMjAyNi4uLlVTRC5IAQAAACB6BQADAAAAAACL4396RI3eCJINOnxEjd4IMkNJUS5OQVNEQVE6Q0FMTS5JUV9MT0FOU19DRi45OTAuMjkvMDMvMjAyNi4uLlVTRC5IAQAAACB6BQADAAAAAACL4396RI3eCFYjOXxEjd4IL0NJUS5OQVNEQVE6Q0FMTS5JUV9DQVBFWC45OTAuMjkvMDMvMjAyNi4uLlVTRC5IAQAAACB6BQACAAAABy04Mi4yNjMBCAAAAAUAAAABMQEAAAAKMTg1MDIyMDg0NQMAAAADMTYwAgAAAAQyMDIxBAAAAAEwBwAAAAkzLzI5LzIwMjYIAAAACTUvMzAvMjAxNQkAAAABMIvjf3pEjd4ILuM7fESN3ggzQ0lRLk5BU0RBUTpDQUxNLklRX0NIQU5HRV9BUC45OTEuMjkvMDMvMjAyNi4uLlVTRC5IAQAAACB6BQACAAAABi04LjUwOAEIAAAABQAAAAExAQAAAAoxODk2ODIwNTE3AwAAAAMxNjACAAAABDIwMTcEAAAAATAHAAAACTMvMjkvMjAyNggAAAAJNS8yOC8yMDE2CQAAAAEwi+N/ekSN3gjS5Dp8RI3eCDhDSVEuTkFTREFROkNBTE0uSVFfU1RfREVCVF9JU1NVRUQuOTkwLjI5LzAzLzIwMjYuLi5VU0QuSAEAAAAgegUAAwAAAAAA1wqAekSN3gizVj18RI3eCEBDSVEuTkFTREFROkNBTE0uSVFfT1RIRVJfSU5WRVNUX0FDVF9TVVBQTC45OTAu</t>
  </si>
  <si>
    <t>MjkvMDMvMjAyNi4uLlVTRC5IAQAAACB6BQACAAAABTIuMDE5AQgAAAAFAAAAATEBAAAACjE4NTAyMjA4NDUDAAAAAzE2MAIAAAAEMjA1MQQAAAABMAcAAAAJMy8yOS8yMDI2CAAAAAk1LzMwLzIwMTUJAAAAATDXCoB6RI3eCNUbPXxEjd4INUNJUS5OQVNEQVE6Q0FMTS5JUV9QUkVGX0RJVl9DRi45OTEuMjkvMDMvMjAyNi4uLlVTRC5IAQAAACB6BQADAAAAAADXCoB6RI3eCK4SP3xEjd4IMkNJUS5OQVNEQVE6Q0FMTS5JUV9QUkVGX1JFUC45OTAuMjkvMDMvMjAyNi4uLlVTRC5IAQAAACB6BQADAAAAAADXCoB6RI3eCHu2PnxEjd4IOENJUS5OQVNEQVE6Q0FMTS5JUV9DT01NT05fSVNTVUVELjIwMDAuMjkvMDMvMjAyNi4uLlVTRC5IAQAAACB6BQADAAAAAADXCoB6RI3eCGtoPnxEjd4IO0NJUS5OQVNEQVE6Q0FMTS5JUV9UT1RBTF9ERUJUX0lTU1VFRC45OTEuMjkvMDMvMjAyNi4uLlVTRC5IAQAAACB6BQADAAAAAADXCoB6RI3eCBnMPXxEjd4IO0NJUS5OQVNEQVE6Q0FMTS5JUV9UT1RBTF9ESVZfUEFJRF9DRi45OTAuMjkvMDMvMjAyNi4uLlVTRC5IAQAAACB6BQACAAAABi00OC45MQEIAAAABQAAAAExAQAAAAoxODUwMjIwODQ1AwAAAAMxNjACAAAABDIwMjIEAAAAATAHAAAACTMvMjkvMjAyNggAAAAJNS8zMC8yMDE1CQAAAAEw1wqAekSN3gjDYD98RI3eCEdDSVEuTkFTREFROkNBTE0uSVFfVE9UQUxf</t>
  </si>
  <si>
    <t>REVCVF9SRVBBSURfRVhDTF9MRUFTRVMuOTkwLjI5LzAzLzIwMjYuLi5VU0QuSAEAAAAgegUAAgAAAActMTAuMjMzAQgAAAAFAAAAATEBAAAACjE4NTAyMjA4NDUDAAAAAzE2MAIAAAAFNDg5ODYEAAAAATAHAAAACTMvMjkvMjAyNggAAAAJNS8zMC8yMDE1CQAAAAEwjYF/ekSN3ggxuEZ8RI3eCDVDSVEuTkFTREFROkNBTE0uSVFfTUFJTlRfQ0FQRVguOTkwLjI5LzAzLzIwMjYuLi5VU0QuSAEAAAAgegUAAwAAAAAAjYF/ekSN3ggYbkV8RI3eCDhDSVEuTkFTREFROkNBTE0uSVFfU1RfTk9URV9SRUNFSVYuOTkwLjI5LzAzLzIwMjYuLi5VU0QuSAEAAAAgegUAAwAAAAAASLx/ekSN3ggzBEh8RI3eCCxDSVEuTkFTREFROkNBTE0uSVFfQVIuOTkyLjI5LzAzLzIwMjYuLi5VU0QuSAEAAAAgegUAAgAAAAY2MS4yNjEBCAAAAAUAAAABMQEAAAAKMTk3MjAxMjEyMQMAAAADMTYwAgAAAAQxMDIxBAAAAAEwBwAAAAkzLzI5LzIwMjYIAAAACDYvMy8yMDE3CQAAAAEwjYF/ekSN3gjS/35+RI3eCDNDSVEuTkFTREFROkNBTE0uSVFfU1RfSU5WRVNULjk5MC4yOS8wMy8yMDI2Li4uVVNELkgBAAAAIHoFAAIAAAAHMjQ5Ljk2MQEIAAAABQAAAAExAQAAAAoxODUwMjIwODQ1AwAAAAMxNjACAAAABDEwNjkEAAAAATAHAAAACTMvMjkvMjAyNggAAAAJNS8zMC8yMDE1CQAAAAEwjYF/ekSN3ggbBkd8RI3eCC1DSVEuTkFTREFR</t>
  </si>
  <si>
    <t>OkNBTE0uSVFfR1cuMjAwMC4yOS8wMy8yMDI2Li4uVVNELkgBAAAAIHoFAAIAAAAGODcuMDU5AQgAAAAFAAAAATEBAAAACy0xOTEwNjI3ODM4AwAAAAMxNjACAAAABDExNzEEAAAAATAHAAAACTMvMjkvMjAyNggAAAAKMTEvMjkvMjAyNQkAAAABMNl/gHpEjd4IbChNfESN3ggtQ0lRLk5BU0RBUTpDQUxNLklRX0FELjIwMDAuMjkvMDMvMjAyNi4uLlVTRC5IAQAAACB6BQADAAAAAADZf4B6RI3eCBizTHxEjd4IPENJUS5OQVNEQVE6Q0FMTS5JUV9ERUZfVEFYX0FTU0VUU19MVC4yMDAwLjI5LzAzLzIwMjYuLi5VU0QuSAEAAAAgegUAAwAAAAAA2X+AekSN3gi+6018RI3eCDxDSVEuTkFTREFROkNBTE0uSVFfRklOX0RJVl9BU1NFVFNfTFQuMjAwMC4yOS8wMy8yMDI2Li4uVVNELkgBAAAAIHoFAAMAAAAAANl/gHpEjd4IjXZNfESN3ghDQ0lRLk5BU0RBUTpDQUxNLklRX1JVQV9PUEVSQVRJTkdfTEVBU0VfR1JPU1MuOTkwLjI5LzAzLzIwMjYuLi5VU0QuSAEAAAAgegUAAwAAAAAAluAsekSN3gjgCFV8RI3eCDlDSVEuTkFTREFROkNBTE0uSVFfRklOX0RJVl9MSUFCX0xULjk5MS4yOS8wMy8yMDI2Li4uVVNELkgBAAAAIHoFAAMAAAAAAA2ngHpEjd4IGyFRfESN3gg+Q0lRLk5BU0RBUTpDQUxNLklRX01JTk9SSVRZX0lOVEVSRVNUX0NGLjk5MS4yOS8wMy8yMDI2Li4uVVNELkgBAAAAIHoFAAMAAAAAAEi8f3pE</t>
  </si>
  <si>
    <t>jd4I7ks4fESN3gg3Q0lRLk5BU0RBUTpDQUxNLklRX0ZJTklTSEVEX0lOVi4yMDAwLjI5LzAzLzIwMjYuLi5VU0QuSAEAAAAgegUAAgAAAAcxMDkuNTgzAQgAAAAFAAAAATEBAAAACy0xOTEwNjI3ODM4AwAAAAMxNjACAAAABDMwNzUEAAAAATAHAAAACTMvMjkvMjAyNggAAAAKMTEvMjkvMjAyNQkAAAABMMBVLXpEjd4IHiNcfESN3gg8Q0lRLk5BU0RBUTpDQUxNLklRX1BST1ZfQkFEX0RFQlRTX0NGLjIwMDAuMjkvMDMvMjAyNi4uLlVTRC5IAQAAACB6BQADAAAAAACL4396RI3eCJINOnxEjd4IPUNJUS5OQVNEQVE6Q0FMTS5JUV9BU1NFVF9XUklURURPV05fQ0YuMjAwMC4yOS8wMy8yMDI2Li4uVVNELkgBAAAAIHoFAAMAAAAAAIvjf3pEjd4IViM5fESN3gg0Q0lRLk5BU0RBUTpDQUxNLklRX0NBU0hfT1BFUi4yMDAwLjI5LzAzLzIwMjYuLi5VU0QuSAEAAAAgegUAAgAAAAcxMzU3Ljk0AQgAAAAFAAAAATEBAAAACy0xOTEwNjI3ODM4AwAAAAMxNjACAAAABDIwMDYEAAAAATAHAAAACTMvMjkvMjAyNggAAAAKMTEvMjkvMjAyNQkAAAABMIvjf3pEjd4ILuM7fESN3gg2Q0lRLk5BU0RBUTpDQUxNLklRX0NBU0hfSU5WRVNULjIwMDAuMjkvMDMvMjAyNi4uLlVTRC5IAQAAACB6BQACAAAACC01NzQuMDMzAQgAAAAFAAAAATEBAAAACy0xOTEwNjI3ODM4AwAAAAMxNjACAAAABDIwMDUEAAAAATAHAAAACTMvMjkv</t>
  </si>
  <si>
    <t>MjAyNggAAAAKMTEvMjkvMjAyNQkAAAABMNcKgHpEjd4Is1Y9fESN3gg5Q0lRLk5BU0RBUTpDQUxNLklRX0NBU0hfQUNRVUlSRV9DRi45OTIuMjkvMDMvMjAyNi4uLlVTRC5IAQAAACB6BQACAAAABy04NS44MjIBCAAAAAUAAAABMQEAAAAKMTk3MjAxMjEyMQMAAAADMTYwAgAAAAQyMDU3BAAAAAEwBwAAAAkzLzI5LzIwMjYIAAAACDYvMy8yMDE3CQAAAAEwi+N/ekSN3ghQe4Z+RI3eCDVDSVEuTkFTREFROkNBTE0uSVFfUFJFRl9ESVZfQ0YuOTkwLjI5LzAzLzIwMjYuLi5VU0QuSAEAAAAgegUAAwAAAAAA1wqAekSN3giuEj98RI3eCDZDSVEuTkFTREFROkNBTE0uSVFfUFJFRl9JU1NVRUQuMjAwMC4yOS8wMy8yMDI2Li4uVVNELkgBAAAAIHoFAAMAAAAAANcKgHpEjd4Ie7Y+fESN3gg9Q0lRLk5BU0RBUTpDQUxNLklRX0NPTU1PTl9QUkVGX0RJVl9DRi4yMDAwLjI5LzAzLzIwMjYuLi5VU0QuSAEAAAAgegUAAwAAAAAA1wqAekSN3gjDYD98RI3eCEVDSVEuTkFTREFROkNBTE0uSVFfU0FMRV9QUk9DRUVEU19SRU5UQUxfQVNTRVRTLjk5Mi4yOS8wMy8yMDI2Li4uVVNELkgBAAAAIHoFAAMAAAAAAKYxgHpEjd4Ihy6CfkSN3ggyQ0lRLk5BU0RBUTpDQUxNLklRX0NGX1NIQVJFLjk5MC4yOS8wMy8yMDI2Li4uVVNELkgBAAAAIHoFAAIAAAAIMi4zNDg5MDcBCAAAAAUAAAABMQEAAAAKMTg1MDIyMDg0NQMAAAAD</t>
  </si>
  <si>
    <t>MTYwAgAAAAU0MzkyMwQAAAABMAcAAAAJMy8yOS8yMDI2CAAAAAk1LzMwLzIwMTUJAAAAATCNgX96RI3eCLMfRXxEjd4IOUNJUS5OQVNEQVE6Q0FMTS5JUV9DQVNIX1RBWEVTX09QRVIuOTkwLjI5LzAzLzIwMjYuLi5VU0QuSAEAAAAgegUAAwAAAAAAjYF/ekSN3ggR40N8RI3eCExDSVEuTkFTREFROkNBTE0uSVFfTE9OR19URVJNX0RFQlRfUkVQQUlEX0VYQ0xfTEVBU0VTLjIwMDAuMjkvMDMvMjAyNi4uLlVTRC5IAQAAACB6BQACAAAABi0wLjAwNAEIAAAABQAAAAExAQAAAAstMTkxMDYyNzgzOAMAAAADMTYwAgAAAAU0ODk4NAQAAAABMAcAAAAJMy8yOS8yMDI2CAAAAAoxMS8yOS8yMDI1CQAAAAEwjYF/ekSN3ggxuEZ8RI3eCE1DSVEuTkFTREFROkNBTE0uSVFfT1BFUkFUSU5HX0xFQVNFX0xJQUJJTElUSUVTX05PTkNBU0guOTkyLjI5LzAzLzIwMjYuLi5VU0QuSAEAAAAgegUAAwAAAAAAjYF/ekSN3giU939+RI3eCDpDSVEuTkFTREFROkNBTE0uSVFfTkVUX0RFQlRfSVNTVUVELjIwMDAuMjkvMDMvMjAyNi4uLlVTRC5IAQAAACB6BQACAAAABi0wLjAwNAEIAAAABQAAAAExAQAAAAstMTkxMDYyNzgzOAMAAAADMTYwAgAAAAQyMDAzBAAAAAEwBwAAAAkzLzI5LzIwMjYIAAAACjExLzI5LzIwMjUJAAAAATCNgX96RI3eCBhuRXxEjd4INUNJUS5OQVNEQVE6Q0FMTS5JUV9QUkVQQUlEX0VYUC45OTIuMjkv</t>
  </si>
  <si>
    <t>MDMvMjAyNi4uLlVTRC5IAQAAACB6BQACAAAABTIuMjg4AQgAAAAFAAAAATEBAAAACjE5NzIwMTIxMjEDAAAAAzE2MAIAAAAEMTIxMgQAAAABMAcAAAAJMy8yOS8yMDI2CAAAAAg2LzMvMjAxNwkAAAABMLVYgHpEjd4IbmN+fkSN3ggsQ0lRLk5BU0RBUTpDQUxNLklRX0FSLjk5MS4yOS8wMy8yMDI2Li4uVVNELkgBAAAAIHoFAAIAAAAGNjIuMDEyAQgAAAAFAAAAATEBAAAACjE4OTY4MjA1MTcDAAAAAzE2MAIAAAAEMTAyMQQAAAABMAcAAAAJMy8yOS8yMDI2CAAAAAk1LzI4LzIwMTYJAAAAATCNgX96RI3eCEGiR3xEjd4ILkNJUS5OQVNEQVE6Q0FMTS5JUV9HUFBFLjk5Mi4yOS8wMy8yMDI2Li4uVVNELkgBAAAAIHoFAAIAAAAHOTI3LjE3OQEIAAAABQAAAAExAQAAAAoxOTcyMDEyMTIxAwAAAAMxNjACAAAABDExNjkEAAAAATAHAAAACTMvMjkvMjAyNggAAAAINi8zLzIwMTcJAAAAATDZf4B6RI3eCA+MfX5Ejd4IP0NJUS5OQVNEQVE6Q0FMTS5JUV9GSU5fRElWX0xJQUJfQ1VSUkVOVC4yMDAwLjI5LzAzLzIwMjYuLi5VU0QuSAEAAAAgegUAAwAAAAAA2X+AekSN3ginwU98RI3eCDtDSVEuTkFTREFROkNBTE0uSVFfQ1VSUkVOVF9QT1JUX0RFQlQuOTkyLjI5LzAzLzIwMjYuLi5VU0QuSAEAAAAgegUAAgAAAAU0LjgyNgEIAAAABQAAAAExAQAAAAoxOTcyMDEyMTIxAwAAAAMxNjACAAAABDEyOTcEAAAAATAH</t>
  </si>
  <si>
    <t>AAAACTMvMjkvMjAyNggAAAAINi8zLzIwMTcJAAAAATDZf4B6RI3eCLOoe35Ejd4INkNJUS5OQVNEQVE6Q0FMTS5JUV9PVEhFUl9FUVVJVFkuOTkwLjI5LzAzLzIwMjYuLi5VU0QuSAEAAAAgegUAAgAAAAUwLjAyMgEIAAAABQAAAAExAQAAAAoxODUwMjIwODQ1AwAAAAMxNjACAAAABDEwMjgEAAAAATAHAAAACTMvMjkvMjAyNggAAAAJNS8zMC8yMDE1CQAAAAEwirksekSN3ggjg1N8RI3eCExDSVEuTkFTREFROkNBTE0uSVFfUFJPVl9CQURfREVCVFNfUEFUSUVOVF9TRVJWSUNFX1JFVi45OTIuMjkvMDMvMjAyNi4uLlVTRC5IAQAAACB6BQADAAAAAABXC5Z6RI3eCHDJkX5Ejd4IM0NJUS5OQVNEQVE6Q0FMTS5JUV9HV19JTlRBTi4yMDAwLjI5LzAzLzIwMjYuLi5VU0QuSAEAAAAgegUAAgAAAAYxNDIuMTUBCAAAAAUAAAABMQEAAAALLTE5MTA2Mjc4MzgDAAAAAzE2MAIAAAAFMzUzODEEAAAAATAHAAAACTMvMjkvMjAyNggAAAAKMTEvMjkvMjAyNQkAAAABMMEuLXpEjd4I3v1YfESN3gg8Q0lRLk5BU0RBUTpDQUxNLklRX1RPVEFMX09QRVJfTEVBU0VTLjIwMDAuMjkvMDMvMjAyNi4uLlVTRC5IAQAAACB6BQADAAAAAAC6By16RI3eCPVFV3xEjd4IPUNJUS5OQVNEQVE6Q0FMTS5JUV9DVVJSX0RPTUVTVElDX1RBWEVTLjk5MC4yOS8wMy8yMDI2Li4uVVNELkgBAAAAIHoFAAIAAAAFNzkuMTYBCAAAAAUAAAAB</t>
  </si>
  <si>
    <t>MQEAAAAKMTg1MDIyMDg0NQMAAAADMTYwAgAAAAQzMDI3BAAAAAEwBwAAAAkzLzI5LzIwMjYIAAAACTUvMzAvMjAxNQkAAAABMFcLlnpEjd4I8zoqfESN3gg5Q0lRLk5BU0RBUTpDQUxNLklRX0lOVEVSRVNUX0lOQ09NRS45OTIuMjkvMDMvMjAyNi4uLlVTRC5IAQAAACB6BQACAAAABjEwLjc2OAEIAAAABQAAAAExAQAAAAoxOTcyMDEyMTIxAwAAAAMxNjACAAAAAzIxMAQAAAABMAcAAAAJMy8yOS8yMDI2CAAAAAg2LzMvMjAxNwkAAAABMFcLlnpEjd4IVHuRfkSN3gg+Q0lRLk5BU0RBUTpDQUxNLklRX0NBUElUQUxJWkVEX0lOVEVSRVNULjk5Mi4yOS8wMy8yMDI2Li4uVVNELkgBAAAAIHoFAAIAAAADMS4xAQgAAAAFAAAAATEBAAAACjE5NzIwMTIxMjEDAAAAAzE2MAIAAAAEMzAzMgQAAAABMAcAAAAJMy8yOS8yMDI2CAAAAAg2LzMvMjAxNwkAAAABMH0ylnpEjd4IsQeQfkSN3gg9Q0lRLk5BU0RBUTpDQUxNLklRX05PTkNBU0hfUEVOU0lPTl9FWFAuOTkwLjI5LzAzLzIwMjYuLi5VU0QuSAEAAAAgegUAAgAAAAQwLjQ3AQgAAAAFAAAAATEBAAAACjE4NTAyMjA4NDUDAAAAAzE2MAIAAAAFMjE2NzgEAAAAATAHAAAACTMvMjkvMjAyNggAAAAJNS8zMC8yMDE1CQAAAAEwfTKWekSN3gg3CC18RI3eCDZDSVEuTkFTREFROkNBTE0uSVFfT1RIRVJfUkVOVEFMLjk5MC4yOS8wMy8yMDI2Li4uVVNELkgBAAAAIHoF</t>
  </si>
  <si>
    <t>AAMAAAAAAIpZlnpEjd4ILwkwfESN3gg4Q0lRLk5BU0RBUTpDQUxNLklRX05FVF9SRU5UQUxfRVhQLjk5Mi4yOS8wMy8yMDI2Li4uVVNELkgBAAAAIHoFAAMAAAAAAIpZlnpEjd4IACeOfkSN3gg3Q0lRLk5BU0RBUTpDQUxNLklRX01FUkdFUl9TVVBQTEUuOTkyLjI5LzAzLzIwMjYuLi5VU0QuSAEAAAAgegUAAwAAAAAAilmWekSN3ghI2ox+RI3eCEFDSVEuTkFTREFROkNBTE0uSVFfRVhQTE9SRV9EUklMTF9FWFBfVE9UQUwuOTkwLjI5LzAzLzIwMjYuLi5VU0QuSAEAAAAgegUAAwAAAAAAilmWekSN3ghspTB8RI3eCD1DSVEuTkFTREFROkNBTE0uSVFfTEVHQUxfU0VUVExFX1NVUFBMRS45OTAuMjkvMDMvMjAyNi4uLlVTRC5IAQAAACB6BQADAAAAAACUgJZ6RI3eCFIXM3xEjd4INUNJUS5OQVNEQVE6Q0FMTS5JUV9JUFJEX1NVUFBMRS45OTIuMjkvMDMvMjAyNi4uLlVTRC5IAQAAACB6BQADAAAAAACUgJZ6RI3eCCSMjH5Ejd4IOUNJUS5OQVNEQVE6Q0FMTS5JUV9TVE9DS19CQVNFRF9TR0EuOTkyLjI5LzAzLzIwMjYuLi5VU0QuSAEAAAAgegUAAgAAAAUzLjQyNwEIAAAABQAAAAExAQAAAAoxOTcyMDEyMTIxAwAAAAMxNjACAAAABTIyNjc5BAAAAAEwBwAAAAkzLzI5LzIwMjYIAAAACDYvMy8yMDE3CQAAAAEwjYF/ekSN3ghaP4t+RI3eCDtDSVEuTkFTREFROkNBTE0uSVFfU1RPQ0tfQkFTRURfVE9UQUwu</t>
  </si>
  <si>
    <t>OTkwLjI5LzAzLzIwMjYuLi5VU0QuSAEAAAAgegUAAgAAAAUyLjk1NQEIAAAABQAAAAExAQAAAAoxODUwMjIwODQ1AwAAAAMxNjACAAAABTI0MDM0BAAAAAEwBwAAAAkzLzI5LzIwMjYIAAAACTUvMzAvMjAxNQkAAAABMEi8f3pEjd4IunU1fESN3gg0Q0lRLk5BU0RBUTpDQUxNLklRX09JTF9JTVBBSVIuOTkwLjI5LzAzLzIwMjYuLi5VU0QuSAEAAAAgegUAAwAAAAAASLx/ekSN3gjM1jd8RI3eCDpDSVEuTkFTREFROkNBTE0uSVFfU1RPQ0tfQkFTRURfQ09NUC45OTIuMjkvMDMvMjAyNi4uLlVTRC5IAQAAACB6BQADAAAAAABIvH96RI3eCLGkiX5Ejd4IN0NJUS5OQVNEQVE6Q0FMTS5JUV9JTkNfRVFVSVRZX0NGLjk5Mi4yOS8wMy8yMDI2Li4uVVNELkgBAAAAIHoFAAIAAAAFLTEuMzkBCAAAAAUAAAABMQEAAAAKMTk3MjAxMjEyMQMAAAADMTYwAgAAAAQyMDg2BAAAAAEwBwAAAAkzLzI5LzIwMjYIAAAACDYvMy8yMDE3CQAAAAEwi+N/ekSN3gg+WIh+RI3eCDhDSVEuTkFTREFROkNBTE0uSVFfQ0hBTkdFX0lOQ19UQVguOTkyLjI5LzAzLzIwMjYuLi5VU0QuSAEAAAAgegUAAwAAAAAAi+N/ekSN3girF4d+RI3eCD9DSVEuTkFTREFROkNBTE0uSVFfQ0hBTkdFX1RSQURJTkdfQVNTRVRTLjk5MS4yOS8wMy8yMDI2Li4uVVNELkgBAAAAIHoFAAMAAAAAAIvjf3pEjd4IaUg6fESN3gg5Q0lRLk5BU0RBUTpDQUxN</t>
  </si>
  <si>
    <t>LklRX0NBU0hfQUNRVUlSRV9DRi45OTEuMjkvMDMvMjAyNi4uLlVTRC5IAQAAACB6BQADAAAAAACL4396RI3eCFcxPHxEjd4IRkNJUS5OQVNEQVE6Q0FMTS5JUV9TQUxFX1BST0NFRURTX1JFTlRBTF9BU1NFVFMuMjAwMC4yOS8wMy8yMDI2Li4uVVNELkgBAAAAIHoFAAMAAAAAAKYxgHpEjd4IjpZCfESN3gg2Q0lRLk5BU0RBUTpDQUxNLklRX0FNT1JUX0RJQ19DRi45OTIuMjkvMDMvMjAyNi4uLlVTRC5IAQAAACB6BQADAAAAAACmMYB6RI3eCJlVgn5Ejd4IQ0NJUS5OQVNEQVE6Q0FMTS5JUV9HV19JTlRBTl9BTU9SVF9QQVJUSUFMX0NGLjk5Mi4yOS8wMy8yMDI2Li4uVVNELkgBAAAAIHoFAAMAAAAAAKYxgHpEjd4IJDWDfkSN3gg1Q0lRLk5BU0RBUTpDQUxNLklRX0NBU0hfVEFYRVMuMjAwMC4yOS8wMy8yMDI2Li4uVVNELkgBAAAAIHoFAAIAAAAHNDI2LjE3MgEIAAAABQAAAAExAQAAAAstMTkxMDYyNzgzOAMAAAADMTYwAgAAAAQzMDUzBAAAAAEwBwAAAAkzLzI5LzIwMjYIAAAACjExLzI5LzIwMjUJAAAAATCNgX96RI3eCBHjQ3xEjd4ITUNJUS5OQVNEQVE6Q0FMTS5JUV9PUEVSQVRJTkdfTEVBU0VfTElBQklMSVRJRVNfTk9OQ0FTSC45OTEuMjkvMDMvMjAyNi4uLlVTRC5IAQAAACB6BQADAAAAAACNgX96RI3eCHVYRnxEjd4IOENJUS5OQVNEQVE6Q0FMTS5JUV9VTkxFVkVSRURfRkNGLjIwMDAuMjkv</t>
  </si>
  <si>
    <t>MDMvMjAyNi4uLlVTRC5IAQAAACB6BQACAAAACTgwNS4zNDA3NQEIAAAABQAAAAExAQAAAAstMTkxMDYyNzgzOAMAAAADMTYwAgAAAAQ0NDIzBAAAAAEwBwAAAAkzLzI5LzIwMjYIAAAACjExLzI5LzIwMjUJAAAAATCNgX96RI3eCLMfRXxEjd4ILENJUS5OQVNEQVE6Q0FMTS5JUV9BUi45OTAuMjkvMDMvMjAyNi4uLlVTRC5IAQAAACB6BQACAAAABjk5LjAxMwEIAAAABQAAAAExAQAAAAoxODUwMjIwODQ1AwAAAAMxNjACAAAABDEwMjEEAAAAATAHAAAACTMvMjkvMjAyNggAAAAJNS8zMC8yMDE1CQAAAAEwjYF/ekSN3ghBokd8RI3eCC5DSVEuTkFTREFROkNBTE0uSVFfR1BQRS45OTEuMjkvMDMvMjAyNi4uLlVTRC5IAQAAACB6BQACAAAABzgyMi42NDUBCAAAAAUAAAABMQEAAAAKMTg5NjgyMDUxNwMAAAADMTYwAgAAAAQxMTY5BAAAAAEwBwAAAAkzLzI5LzIwMjYIAAAACTUvMjgvMjAxNgkAAAABMNl/gHpEjd4IAhlMfESN3gg5Q0lRLk5BU0RBUTpDQUxNLklRX1JFU1RSSUNURURfQ0FTSC45OTAuMjkvMDMvMjAyNi4uLlVTRC5IAQAAACB6BQADAAAAAADZf4B6RI3eCM8VSXxEjd4INUNJUS5OQVNEQVE6Q0FMTS5JUV9QUkVQQUlEX0VYUC45OTEuMjkvMDMvMjAyNi4uLlVTRC5IAQAAACB6BQACAAAABTIuNjYxAQgAAAAFAAAAATEBAAAACjE4OTY4MjA1MTcDAAAAAzE2MAIAAAAEMTIxMgQAAAABMAcAAAAJ</t>
  </si>
  <si>
    <t>My8yOS8yMDI2CAAAAAk1LzI4LzIwMTYJAAAAATC1WIB6RI3eCHtSSHxEjd4IO0NJUS5OQVNEQVE6Q0FMTS5JUV9DVVJSRU5UX1BPUlRfREVCVC45OTEuMjkvMDMvMjAyNi4uLlVTRC5IAQAAACB6BQACAAAABTE2LjMyAQgAAAAFAAAAATEBAAAACjE4OTY4MjA1MTcDAAAAAzE2MAIAAAAEMTI5NwQAAAABMAcAAAAJMy8yOS8yMDI2CAAAAAk1LzI4LzIwMTYJAAAAATDZf4B6RI3eCEERT3xEjd4IPUNJUS5OQVNEQVE6Q0FMTS5JUV9UT1RBTF9DT01NT05fRVFVSVRZLjk5MS4yOS8wMy8yMDI2Li4uVVNELkgBAAAAIHoFAAIAAAAHOTE1LjI3NQEIAAAABQAAAAExAQAAAAoxODk2ODIwNTE3AwAAAAMxNjACAAAABDEwMDYEAAAAATAHAAAACTMvMjkvMjAyNggAAAAJNS8yOC8yMDE2CQAAAAEwluAsekSN3ggqqlN8RI3eCDJDSVEuTkFTREFROkNBTE0uSVFfVE9UQUxfQ0wuOTkyLjI5LzAzLzIwMjYuLi5VU0QuSAEAAAAgegUAAgAAAAY2NC42NzkBCAAAAAUAAAABMQEAAAAKMTk3MjAxMjEyMQMAAAADMTYwAgAAAAQxMDA5BAAAAAEwBwAAAAkzLzI5LzIwMjYIAAAACDYvMy8yMDE3CQAAAAEwDaeAekSN3ghu0Hp+RI3eCDNDSVEuTkFTREFROkNBTE0uSVFfTUFDSElORVJZLjk5Mi4yOS8wMy8yMDI2Li4uVVNELkgBAAAAIHoFAAIAAAAHNDYwLjIxOAEIAAAABQAAAAExAQAAAAoxOTcyMDEyMTIxAwAAAAMxNjACAAAA</t>
  </si>
  <si>
    <t>BDMxMTQEAAAAATAHAAAACTMvMjkvMjAyNggAAAAINi8zLzIwMTcJAAAAATDAVS16RI3eCE4Wc35Ejd4IUkNJUS5OQVNEQVE6Q0FMTS5JUV9GSU5BTkNJTkdfT0JMSUdfQ1VSUkVOVF9FWENMX09QRVJfTEVBU0VTLjk5MC4yOS8wMy8yMDI2Li4uVVNELkgBAAAAIHoFAAIAAAAGMTAuMDY1AQgAAAAFAAAAATEBAAAACjE4NTAyMjA4NDUDAAAAAzE2MAIAAAAFNDg5ODAEAAAAATAHAAAACTMvMjkvMjAyNggAAAAJNS8zMC8yMDE1CQAAAAEwugctekSN3gj1RVd8RI3eCDlDSVEuTkFTREFROkNBTE0uSVFfTUlOSU1VTV9SRU5UQUwuMjAwMC4yOS8wMy8yMDI2Li4uVVNELkgBAAAAIHoFAAMAAAAAAIpZlnpEjd4ILwkwfESN3gg4Q0lRLk5BU0RBUTpDQUxNLklRX05FVF9SRU5UQUxfRVhQLjk5MS4yOS8wMy8yMDI2Li4uVVNELkgBAAAAIHoFAAMAAAAAAIpZlnpEjd4InmYvfESN3gg3Q0lRLk5BU0RBUTpDQUxNLklRX01FUkdFUl9TVVBQTEUuOTkxLjI5LzAzLzIwMjYuLi5VU0QuSAEAAAAgegUAAwAAAAAAilmWekSN3gikozF8RI3eCDxDSVEuTkFTREFROkNBTE0uSVFfSU5TX1NFVFRMRV9TVVBQTEUuMjAwMC4yOS8wMy8yMDI2Li4uVVNELkgBAAAAIHoFAAMAAAAAAJSAlnpEjd4IUhczfESN3gg2Q0lRLk5BU0RBUTpDQUxNLklRX0lQUkRfU1VQUExFLjIwMDAuMjkvMDMvMjAyNi4uLlVTRC5IAQAAACB6BQADAAAA</t>
  </si>
  <si>
    <t>AACUgJZ6RI3eCPBmMnxEjd4IOUNJUS5OQVNEQVE6Q0FMTS5JUV9TVE9DS19CQVNFRF9TR0EuOTkxLjI5LzAzLzIwMjYuLi5VU0QuSAEAAAAgegUAAgAAAAUzLjAxOAEIAAAABQAAAAExAQAAAAoxODk2ODIwNTE3AwAAAAMxNjACAAAABTIyNjc5BAAAAAEwBwAAAAkzLzI5LzIwMjYIAAAACTUvMjgvMjAxNgkAAAABMI2Bf3pEjd4IX9k0fESN3gg4Q0lRLk5BU0RBUTpDQUxNLklRX1NUT0NLX0JBU0VEX1JELjk5MS4yOS8wMy8yMDI2Li4uVVNELkgBAAAAIHoFAAMAAAAAAJSAlnpEjd4InTw0fESN3gg5Q0lRLk5BU0RBUTpDQUxNLklRX1NUT0NLX0JBU0VEX0FULjIwMDAuMjkvMDMvMjAyNi4uLlVTRC5IAQAAACB6BQADAAAAAABIvH96RI3eCLp1NXxEjd4IPENJUS5OQVNEQVE6Q0FMTS5JUV9HV19JTlRBTl9BTU9SVF9DRi4yMDAwLjI5LzAzLzIwMjYuLi5VU0QuSAEAAAAgegUAAgAAAAUyLjE1OAEIAAAABQAAAAExAQAAAAstMTkxMDYyNzgzOAMAAAADMTYwAgAAAAQyMTgyBAAAAAEwBwAAAAkzLzI5LzIwMjYIAAAACjExLzI5LzIwMjUJAAAAATBIvH96RI3eCMzWN3xEjd4IOkNJUS5OQVNEQVE6Q0FMTS5JUV9TVE9DS19CQVNFRF9DT01QLjk5MS4yOS8wMy8yMDI2Li4uVVNELkgBAAAAIHoFAAMAAAAAAEi8f3pEjd4IhBI3fESN3gg3Q0lRLk5BU0RBUTpDQUxNLklRX0lOQ19FUVVJVFlfQ0YuOTkxLjI5LzAz</t>
  </si>
  <si>
    <t>LzIwMjYuLi5VU0QuSAEAAAAgegUAAgAAAAYtNS4wMTYBCAAAAAUAAAABMQEAAAAKMTg5NjgyMDUxNwMAAAADMTYwAgAAAAQyMDg2BAAAAAEwBwAAAAkzLzI5LzIwMjYIAAAACTUvMjgvMjAxNgkAAAABMIvjf3pEjd4IW3E5fESN3gg5Q0lRLk5BU0RBUTpDQUxNLklRX0NIQU5HRV9JTkNfVEFYLjIwMDAuMjkvMDMvMjAyNi4uLlVTRC5IAQAAACB6BQACAAAABy00NS45NDYBCAAAAAUAAAABMQEAAAALLTE5MTA2Mjc4MzgDAAAAAzE2MAIAAAAEMjEwMQQAAAABMAcAAAAJMy8yOS8yMDI2CAAAAAoxMS8yOS8yMDI1CQAAAAEwi+N/ekSN3ggHMzt8RI3eCD9DSVEuTkFTREFROkNBTE0uSVFfQ0hBTkdFX1RSQURJTkdfQVNTRVRTLjk5MC4yOS8wMy8yMDI2Li4uVVNELkgBAAAAIHoFAAMAAAAAAIvjf3pEjd4IaUg6fESN3gg5Q0lRLk5BU0RBUTpDQUxNLklRX0NBU0hfQUNRVUlSRV9DRi45OTAuMjkvMDMvMjAyNi4uLlVTRC5IAQAAACB6BQADAAAAAACL4396RI3eCFcxPHxEjd4INkNJUS5OQVNEQVE6Q0FMTS5JUV9BTU9SVF9ESUNfQ0YuOTkxLjI5LzAzLzIwMjYuLi5VU0QuSAEAAAAgegUAAwAAAAAApjGAekSN3ggWIUJ8RI3eCENDSVEuTkFTREFROkNBTE0uSVFfR1dfSU5UQU5fQU1PUlRfUEFSVElBTF9DRi45OTEuMjkvMDMvMjAyNi4uLlVTRC5IAQAAACB6BQADAAAAAACmMYB6RI3eCNb7QHxEjd4IQkNJUS5O</t>
  </si>
  <si>
    <t>QVNEQVE6Q0FMTS5JUV9PUEVSQVRJTkdfTEVBU0VfUEFZTUVOVFMuOTkxLjI5LzAzLzIwMjYuLi5VU0QuSAEAAAAgegUAAwAAAAAAjYF/ekSN3ghN40V8RI3eCDlDSVEuTkFTREFROkNBTE0uSVFfQ0FTSF9TVF9JTlZFU1QuMjAwMC4yOS8wMy8yMDI2Li4uVVNELkgBAAAAIHoFAAIAAAAIMTEzOC45ODgBCAAAAAUAAAABMQEAAAALLTE5MTA2Mjc4MzgDAAAAAzE2MAIAAAAEMTAwMgQAAAABMAcAAAAJMy8yOS8yMDI2CAAAAAoxMS8yOS8yMDI1CQAAAAEwjYF/ekSN3ghBokd8RI3eCDNDSVEuTkFTREFROkNBTE0uSVFfTFRfSU5WRVNULjk5MS4yOS8wMy8yMDI2Li4uVVNELkgBAAAAIHoFAAIAAAAGNTMuOTc1AQgAAAAFAAAAATEBAAAACjE4OTY4MjA1MTcDAAAAAzE2MAIAAAAEMTA1NAQAAAABMAcAAAAJMy8yOS8yMDI2CAAAAAk1LzI4LzIwMTYJAAAAATDZf4B6RI3eCBizTHxEjd4IM0NJUS5OQVNEQVE6Q0FMTS5JUV9UT1RBTF9DQS4yMDAwLjI5LzAzLzIwMjYuLi5VU0QuSAEAAAAgegUAAgAAAAgxNzU0LjQxOAEIAAAABQAAAAExAQAAAAstMTkxMDYyNzgzOAMAAAADMTYwAgAAAAQxMDA4BAAAAAEwBwAAAAkzLzI5LzIwMjYIAAAACjExLzI5LzIwMjUJAAAAATDZf4B6RI3eCAIZTHxEjd4IQUNJUS5OQVNEQVE6Q0FMTS5JUV9ERUZfVEFYX0FTU0VUU19DVVJSRU5ULjIwMDAuMjkvMDMvMjAyNi4uLlVTRC5I</t>
  </si>
  <si>
    <t>AQAAACB6BQADAAAAAADZf4B6RI3eCM8VSXxEjd4ILENJUS5OQVNEQVE6Q0FMTS5JUV9BUC45OTEuMjkvMDMvMjAyNi4uLlVTRC5IAQAAACB6BQACAAAABjM2LjI2MgEIAAAABQAAAAExAQAAAAoxODk2ODIwNTE3AwAAAAMxNjACAAAABDEwMTgEAAAAATAHAAAACTMvMjkvMjAyNggAAAAJNS8yOC8yMDE2CQAAAAEw2X+AekSN3ggww058RI3eCDlDSVEuTkFTREFROkNBTE0uSVFfUFJFRl9OT05fUkVERUVNLjk5Mi4yOS8wMy8yMDI2Li4uVVNELkgBAAAAIHoFAAMAAAAAAA2ngHpEjd4Inpd5fkSN3ggvQ0lRLk5BU0RBUTpDQUxNLklRX0VCSVRBLjk5MC4yOS8wMy8yMDI2Li4uVVNELkgBAAAAIHoFAAIAAAAHMjM4LjIzNQEIAAAABQAAAAExAQAAAAoxODUwMjIwODQ1AwAAAAMxNjACAAAABjEwMDY4OQQAAAABMAcAAAAJMy8yOS8yMDI2CAAAAAk1LzMwLzIwMTUJAAAAATBBxuR6RI3eCC3KJnxEjd4ILkNJUS5OQVNEQVE6Q0FMTS5JUV9FQklULjk5Mi4yOS8wMy8yMDI2Li4uVVNELkgBAAAAIHoFAAIAAAAILTEzMC40ODIBCAAAAAUAAAABMQEAAAAKMTk3MjAxMjEyMQMAAAADMTYwAgAAAAM0MDAEAAAAATAHAAAACTMvMjkvMjAyNggAAAAINi8zLzIwMTcJAAAAATAVn+R6RI3eCM13k35Ejd4IP0NJUS5OQVNEQVE6Q0FMTS5JUV9FQklUREFfTEVBU0VfQURKVVNURUQuOTkyLjI5LzAzLzIwMjYuLi5VU0QuSAEA</t>
  </si>
  <si>
    <t>AAAgegUAAgAAAActODEuMzY5AQgAAAAFAAAAATEBAAAACjE5NzIwMTIxMjEDAAAAAzE2MAIAAAAFNDg5OTMEAAAAATAHAAAACTMvMjkvMjAyNggAAAAINi8zLzIwMTcJAAAAATAVn+R6RI3eCDPGk35Ejd4IO0NJUS5OQVNEQVE6Q0FMTS5JUV9GRUVTX09USEVSX0lOQ09NRS45OTIuMjkvMDMvMjAyNi4uLlVTRC5IAQAAACB6BQADAAAAAABXC5Z6RI3eCJQrkn5Ejd4ITENJUS5OQVNEQVE6Q0FMTS5JUV9QUk9WX0JBRF9ERUJUU19QQVRJRU5UX1NFUlZJQ0VfUkVWLjk5MC4yOS8wMy8yMDI2Li4uVVNELkgBAAAAIHoFAAMAAAAAAFcLlnpEjd4IbRUpfESN3ghDQ0lRLk5BU0RBUTpDQUxNLklRX05PTlJFQ1VSUklOR19JTkNPTUVfVEFYRVMuOTkwLjI5LzAzLzIwMjYuLi5VU0QuSAEAAAAgegUAAwAAAAAAfTKWekSN3ggaeit8RI3eCDRDSVEuTkFTREFROkNBTE0uSVFfQ1VSUl9UQVhFUy45OTIuMjkvMDMvMjAyNi4uLlVTRC5IAQAAACB6BQACAAAABS01NC43AQgAAAAFAAAAATEBAAAACjE5NzIwMTIxMjEDAAAAAzE2MAIAAAAFMzUzODMEAAAAATAHAAAACTMvMjkvMjAyNggAAAAINi8zLzIwMTcJAAAAATBXC5Z6RI3eCA64kH5Ejd4IPENJUS5OQVNEQVE6Q0FMTS5JUV9ESVNUUklCVVRBQkxFX0NBU0guOTkyLjI5LzAzLzIwMjYuLi5VU0QuSAEAAAAgegUAAwAAAAAAfTKWekSN3gica49+RI3eCEBDSVEuTkFT</t>
  </si>
  <si>
    <t>REFROkNBTE0uSVFfQU5OVV9ESVNUUklCVVRJT05fVU5JVC45OTAuMjkvMDMvMjAyNi4uLlVTRC5IAQAAACB6BQADAAAAAAB9MpZ6RI3eCISkLXxEjd4IOENJUS5OQVNEQVE6Q0FMTS5JUV9ORVRfUkVOVEFMX0VYUC45OTAuMjkvMDMvMjAyNi4uLlVTRC5IAQAAACB6BQADAAAAAACKWZZ6RI3eCJ5mL3xEjd4IOUNJUS5OQVNEQVE6Q0FMTS5JUV9TQUxFU19NQVJLRVRJTkcuOTkyLjI5LzAzLzIwMjYuLi5VU0QuSAEAAAAgegUAAwAAAAAAilmWekSN3ggrnI5+RI3eCEJDSVEuTkFTREFROkNBTE0uSVFfSU1QVVRfT1BFUl9MRUFTRV9JTlRfRVhQLjk5Mi4yOS8wMy8yMDI2Li4uVVNELkgBAAAAIHoFAAIAAAAIMi40NzAxOTIBCAAAAAUAAAABMQEAAAAKMTk3MjAxMjEyMQMAAAADMTYwAgAAAAUyMTY3MgQAAAABMAcAAAAJMy8yOS8yMDI2CAAAAAg2LzMvMjAxNwkAAAABMIpZlnpEjd4IcyiNfkSN3gg3Q0lRLk5BU0RBUTpDQUxNLklRX01FUkdFUl9TVVBQTEUuOTkwLjI5LzAzLzIwMjYuLi5VU0QuSAEAAAAgegUAAwAAAAAAilmWekSN3gikozF8RI3eCDhDSVEuTkFTREFROkNBTE0uSVFfU1RPQ0tfQkFTRURfUkQuOTkwLjI5LzAzLzIwMjYuLi5VU0QuSAEAAAAgegUAAwAAAAAAlICWekSN3gidPDR8RI3eCD5DSVEuTkFTREFROkNBTE0uSVFfVE9UQUxfVU5VU1VBTF9TVVBQTEUuOTkyLjI5LzAzLzIwMjYuLi5V</t>
  </si>
  <si>
    <t>U0QuSAEAAAAgegUAAwAAAAAAlICWekSN3gi/24t+RI3eCD5DSVEuTkFTREFROkNBTE0uSVFfUkVTVFJfU1RPQ0tfQ09NUF9UQVguOTkyLjI5LzAzLzIwMjYuLi5VU0QuSAEAAAAgegUAAwAAAAAASLx/ekSN3ggJfIp+RI3eCDpDSVEuTkFTREFROkNBTE0uSVFfU1RPQ0tfQkFTRURfQ09NUC45OTAuMjkvMDMvMjAyNi4uLlVTRC5IAQAAACB6BQADAAAAAABIvH96RI3eCIQSN3xEjd4IPENJUS5OQVNEQVE6Q0FMTS5JUV9TVE9DS19PUFRJT05TX0NPTVAuOTkwLjI5LzAzLzIwMjYuLi5VU0QuSAEAAAAgegUAAwAAAAAASLx/ekSN3ghodjZ8RI3eCDdDSVEuTkFTREFROkNBTE0uSVFfSU5DX0VRVUlUWV9DRi45OTAuMjkvMDMvMjAyNi4uLlVTRC5IAQAAACB6BQACAAAABi0yLjY1NwEIAAAABQAAAAExAQAAAAoxODUwMjIwODQ1AwAAAAMxNjACAAAABDIwODYEAAAAATAHAAAACTMvMjkvMjAyNggAAAAJNS8zMC8yMDE1CQAAAAEwi+N/ekSN3ghbcTl8RI3eCDhDSVEuTkFTREFROkNBTE0uSVFfR0FJTl9JTlZFU1RfQ0YuOTkyLjI5LzAzLzIwMjYuLi5VU0QuSAEAAAAgegUAAgAAAAUzLjM5OAEIAAAABQAAAAExAQAAAAoxOTcyMDEyMTIxAwAAAAMxNjACAAAABDIwOTAEAAAAATAHAAAACTMvMjkvMjAyNggAAAAINi8zLzIwMTcJAAAAATBIvH96RI3eCHjNiH5Ejd4INUNJUS5OQVNEQVE6Q0FMTS5JUV9PVEhFUl9B</t>
  </si>
  <si>
    <t>TU9SVC45OTIuMjkvMDMvMjAyNi4uLlVTRC5IAQAAACB6BQADAAAAAABIvH96RI3eCJcIiX5Ejd4IOkNJUS5OQVNEQVE6Q0FMTS5JUV9DSEFOR0VfSU5WRU5UT1JZLjk5Mi4yOS8wMy8yMDI2Li4uVVNELkgBAAAAIHoFAAIAAAAFMi4zODYBCAAAAAUAAAABMQEAAAAKMTk3MjAxMjEyMQMAAAADMTYwAgAAAAQyMDk5BAAAAAEwBwAAAAkzLzI5LzIwMjYIAAAACDYvMy8yMDE3CQAAAAEwi+N/ekSN3gibbYd+RI3eCDlDSVEuTkFTREFROkNBTE0uSVFfT1RIRVJfT1BFUl9BQ1QuMjAwMC4yOS8wMy8yMDI2Li4uVVNELkgBAAAAIHoFAAIAAAAHMTk1LjUyNAEIAAAABQAAAAExAQAAAAstMTkxMDYyNzgzOAMAAAADMTYwAgAAAAQyMDQ3BAAAAAEwBwAAAAkzLzI5LzIwMjYIAAAACjExLzI5LzIwMjUJAAAAATCL4396RI3eCLpvOnxEjd4IPUNJUS5OQVNEQVE6Q0FMTS5JUV9TQUxFX1JFQUxfRVNUQVRFX0NGLjk5Mi4yOS8wMy8yMDI2Li4uVVNELkgBAAAAIHoFAAMAAAAAANcKgHpEjd4IOVSGfkSN3ghDQ0lRLk5BU0RBUTpDQUxNLklRX0dXX0lOVEFOX0FNT1JUX1BBUlRJQUxfQ0YuOTkwLjI5LzAzLzIwMjYuLi5VU0QuSAEAAAAgegUAAwAAAAAApjGAekSN3gjW+0B8RI3eCDhDSVEuTkFTREFROkNBTE0uSVFfTUlTQ19BREpVU1RfQ0YuOTkyLjI5LzAzLzIwMjYuLi5VU0QuSAEAAAAgegUAAwAAAAAApjGAekSN3gj0</t>
  </si>
  <si>
    <t>k4N+RI3eCEJDSVEuTkFTREFROkNBTE0uSVFfT1BFUkFUSU5HX0xFQVNFX1BBWU1FTlRTLjk5MC4yOS8wMy8yMDI2Li4uVVNELkgBAAAAIHoFAAMAAAAAAI2Bf3pEjd4ITeNFfESN3gg1Q0lRLk5BU0RBUTpDQUxNLklRX0xFVkVSRURfRkNGLjk5MC4yOS8wMy8yMDI2Li4uVVNELkgBAAAAIHoFAAIAAAAINzMuNDMyNzUBCAAAAAUAAAABMQEAAAAKMTg1MDIyMDg0NQMAAAADMTYwAgAAAAQ0NDIyBAAAAAEwBwAAAAkzLzI5LzIwMjYIAAAACTUvMzAvMjAxNQkAAAABMI2Bf3pEjd4IA7pEfESN3gg9Q0lRLk5BU0RBUTpDQUxNLklRX0dBSU5fQkFSR0FJTl9BQ1FfQ0YuOTkxLjI5LzAzLzIwMjYuLi5VU0QuSAEAAAAgegUAAwAAAAAAjYF/ekSN3ggxuEZ8RI3eCDhDSVEuTkFTREFROkNBTE0uSVFfTE9BTlNfRk9SX1NBTEUuOTkyLjI5LzAzLzIwMjYuLi5VU0QuSAEAAAAgegUAAwAAAAAAtViAekSN3gjwFH5+RI3eCDZDSVEuTkFTREFROkNBTE0uSVFfVE9UQUxfUkVDRUlWLjk5Mi4yOS8wMy8yMDI2Li4uVVNELkgBAAAAIHoFAAIAAAAFMTE3LjIBCAAAAAUAAAABMQEAAAAKMTk3MjAxMjEyMQMAAAADMTYwAgAAAAQxMDAxBAAAAAEwBwAAAAkzLzI5LzIwMjYIAAAACDYvMy8yMDE3CQAAAAEwSLx/ekSN3gjVsX5+RI3eCDhDSVEuTkFTREFROkNBTE0uSVFfREVGX0NIQVJHRVNfTFQuOTkyLjI5LzAzLzIwMjYuLi5V</t>
  </si>
  <si>
    <t>U0QuSAEAAAAgegUAAwAAAAAA2X+AekSN3giTa3x+RI3eCC9DSVEuTkFTREFROkNBTE0uSVFfQVJfTFQuOTkyLjI5LzAzLzIwMjYuLi5VU0QuSAEAAAAgegUAAwAAAAAA2X+AekSN3gjSwHx+RI3eCDZDSVEuTkFTREFROkNBTE0uSVFfT1RIRVJfSU5UQU4uMjAwMC4yOS8wMy8yMDI2Li4uVVNELkgBAAAAIHoFAAIAAAAGNTUuMDkxAQgAAAAFAAAAATEBAAAACy0xOTEwNjI3ODM4AwAAAAMxNjACAAAABDEwNDAEAAAAATAHAAAACTMvMjkvMjAyNggAAAAKMTEvMjkvMjAyNQkAAAABMNl/gHpEjd4IbChNfESN3ggzQ0lRLk5BU0RBUTpDQUxNLklRX0xUX0lOVkVTVC45OTAuMjkvMDMvMjAyNi4uLlVTRC5IAQAAACB6BQACAAAABjE4Ljg0MwEIAAAABQAAAAExAQAAAAoxODUwMjIwODQ1AwAAAAMxNjACAAAABDEwNTQEAAAAATAHAAAACTMvMjkvMjAyNggAAAAJNS8zMC8yMDE1CQAAAAEw2X+AekSN3ggYs0x8RI3eCD1DSVEuTkFTREFROkNBTE0uSVFfSU5DX1RBWF9QQVlfQ1VSUkVOVC45OTIuMjkvMDMvMjAyNi4uLlVTRC5IAQAAACB6BQADAAAAAADZf4B6RI3eCMxZe35Ejd4ILENJUS5OQVNEQVE6Q0FMTS5JUV9BUC45OTAuMjkvMDMvMjAyNi4uLlVTRC5IAQAAACB6BQACAAAABjQ0LjcwOQEIAAAABQAAAAExAQAAAAoxODUwMjIwODQ1AwAAAAMxNjACAAAABDEwMTgEAAAAATAHAAAACTMvMjkvMjAyNggAAAAJ</t>
  </si>
  <si>
    <t>NS8zMC8yMDE1CQAAAAEw2X+AekSN3ggww058RI3eCDxDSVEuTkFTREFROkNBTE0uSVFfVE9UQUxfREVCVF9DVVJSRU5ULjk5MS4yOS8wMy8yMDI2Li4uVVNELkgBAAAAIHoFAAIAAAAFMTYuMzIBCAAAAAUAAAABMQEAAAAKMTg5NjgyMDUxNwMAAAADMTYwAgAAAAUyNTIyMwQAAAABMAcAAAAJMy8yOS8yMDI2CAAAAAk1LzI4LzIwMTYJAAAAATDBLi16RI3eCBZMWXxEjd4IQUNJUS5OQVNEQVE6Q0FMTS5JUV9SVUFfT1BFUkFUSU5HX0xFQVNFX05FVC45OTIuMjkvMDMvMjAyNi4uLlVTRC5IAQAAACB6BQADAAAAAAC6By16RI3eCBFKd35Ejd4IPUNJUS5OQVNEQVE6Q0FMTS5JUV9TQUxFX1JFQUxfRVNUQVRFX0NGLjk5MS4yOS8wMy8yMDI2Li4uVVNELkgBAAAAIHoFAAMAAAAAANcKgHpEjd4Ir388fESN3ggzQ0lRLk5BU0RBUTpDQUxNLklRX1NPRlRXQVJFLjIwMDAuMjkvMDMvMjAyNi4uLlVTRC5IAQAAACB6BQADAAAAAADAVS16RI3eCFPmXHxEjd4IOENJUS5OQVNEQVE6Q0FMTS5JUV9TVF9ERUJUX1JFUEFJRC45OTIuMjkvMDMvMjAyNi4uLlVTRC5IAQAAACB6BQADAAAAAADXCoB6RI3eCKVVhX5Ejd4IOENJUS5OQVNEQVE6Q0FMTS5JUV9MVF9ERUJUX0lTU1VFRC45OTEuMjkvMDMvMjAyNi4uLlVTRC5IAQAAACB6BQADAAAAAADXCoB6RI3eCPp9PXxEjd4INUNJUS5OQVNEQVE6Q0FMTS5JUV9ORVRfQ0hB</t>
  </si>
  <si>
    <t>TkdFLjIwMDAuMjkvMDMvMjAyNi4uLlVTRC5IAQAAACB6BQACAAAABzIzMi4wOTQBCAAAAAUAAAABMQEAAAALLTE5MTA2Mjc4MzgDAAAAAzE2MAIAAAAEMjA5MwQAAAABMAcAAAAJMy8yOS8yMDI2CAAAAAoxMS8yOS8yMDI1CQAAAAEwpjGAekSN3gjCrUB8RI3eCDhDSVEuTkFTREFROkNBTE0uSVFfTUlTQ19BREpVU1RfQ0YuOTkxLjI5LzAzLzIwMjYuLi5VU0QuSAEAAAAgegUAAwAAAAAApjGAekSN3gj0I0B8RI3eCDRDSVEuTkFTREFROkNBTE0uSVFfQ0FTSF9GSU5BTi45OTEuMjkvMDMvMjAyNi4uLlVTRC5IAQAAACB6BQACAAAABy0xNDguOTEBCAAAAAUAAAABMQEAAAAKMTg5NjgyMDUxNwMAAAADMTYwAgAAAAQyMDA0BAAAAAEwBwAAAAkzLzI5LzIwMjYIAAAACTUvMjgvMjAxNgkAAAABMKYxgHpEjd4I/dU/fESN3ghAQ0lRLk5BU0RBUTpDQUxNLklRX0RBX0NGX0VYQ0xfT1BFUl9MRUFTRVMuOTkyLjI5LzAzLzIwMjYuLi5VU0QuSAEAAAAgegUAAgAAAAY0OS4xMTMBCAAAAAUAAAABMQEAAAAKMTk3MjAxMjEyMQMAAAADMTYwAgAAAAU0ODk4NQQAAAABMAcAAAAJMy8yOS8yMDI2CAAAAAg2LzMvMjAxNwkAAAABMKYxgHpEjd4It6OCfkSN3ghFQ0lRLk5BU0RBUTpDQUxNLklRX0NIQU5HRV9ORVRfV09SS0lOR19DQVBJVEFMLjIwMDAuMjkvMDMvMjAyNi4uLlVTRC5IAQAAACB6BQACAAAABjI5Ljk0MQEI</t>
  </si>
  <si>
    <t>AAAABQAAAAExAQAAAAstMTkxMDYyNzgzOAMAAAADMTYwAgAAAAQ0NDIxBAAAAAEwBwAAAAkzLzI5LzIwMjYIAAAACjExLzI5LzIwMjUJAAAAATCNgX96RI3eCAO6RHxEjd4IOkNJUS5OQVNEQVE6Q0FMTS5JUV9DQVNIX1RBWEVTX0ZJTkFOLjk5Mi4yOS8wMy8yMDI2Li4uVVNELkgBAAAAIHoFAAMAAAAAAI2Bf3pEjd4IzRyBfkSN3ghAQ0lRLk5BU0RBUTpDQUxNLklRX0NBU0hfSU5URVJFU1RfUkVDRUlWRUQuOTkyLjI5LzAzLzIwMjYuLi5VU0QuSAEAAAAgegUAAwAAAAAAG1l/ekSN3ghn4IF+RI3eCD1DSVEuTkFTREFROkNBTE0uSVFfR0FJTl9CQVJHQUlOX0FDUV9DRi45OTAuMjkvMDMvMjAyNi4uLlVTRC5IAQAAACB6BQADAAAAAACNgX96RI3eCDG4RnxEjd4IOENJUS5OQVNEQVE6Q0FMTS5JUV9ET19GSU5BTkNFX0NGLjIwMDAuMjkvMDMvMjAyNi4uLlVTRC5IAQAAACB6BQADAAAAAACNgX96RI3eCE3jRXxEjd4INkNJUS5OQVNEQVE6Q0FMTS5JUV9ET19JTlZFU1RfQ0YuOTkwLjI5LzAzLzIwMjYuLi5VU0QuSAEAAAAgegUAAwAAAAAAjYF/ekSN3ggolUV8RI3eCDZDSVEuTkFTREFROkNBTE0uSVFfVE9UQUxfUkVDRUlWLjk5MS4yOS8wMy8yMDI2Li4uVVNELkgBAAAAIHoFAAIAAAAGNzkuMjc4AQgAAAAFAAAAATEBAAAACjE4OTY4MjA1MTcDAAAAAzE2MAIAAAAEMTAwMQQAAAABMAcAAAAJMy8yOS8y</t>
  </si>
  <si>
    <t>MDI2CAAAAAk1LzI4LzIwMTYJAAAAATBIvH96RI3eCDMESHxEjd4INENJUS5OQVNEQVE6Q0FMTS5JUV9TVF9JTlZFU1QuMjAwMC4yOS8wMy8yMDI2Li4uVVNELkgBAAAAIHoFAAIAAAAHNzY5LjUzOAEIAAAABQAAAAExAQAAAAstMTkxMDYyNzgzOAMAAAADMTYwAgAAAAQxMDY5BAAAAAEwBwAAAAkzLzI5LzIwMjYIAAAACjExLzI5LzIwMjUJAAAAATCNgX96RI3eCCotR3xEjd4IOENJUS5OQVNEQVE6Q0FMTS5JUV9MT0FOU19GT1JfU0FMRS45OTEuMjkvMDMvMjAyNi4uLlVTRC5IAQAAACB6BQADAAAAAAC1WIB6RI3eCLnHSHxEjd4IMENJUS5OQVNEQVE6Q0FMTS5JUV9BUl9MVC4yMDAwLjI5LzAzLzIwMjYuLi5VU0QuSAEAAAAgegUAAwAAAAAA2X+AekSN3gianU18RI3eCDtDSVEuTkFTREFROkNBTE0uSVFfTUlOT1JJVFlfSU5URVJFU1QuOTkyLjI5LzAzLzIwMjYuLi5VU0QuSAEAAAAgegUAAgAAAAUxLjgwNgEIAAAABQAAAAExAQAAAAoxOTcyMDEyMTIxAwAAAAMxNjACAAAABDEwNTIEAAAAATAHAAAACTMvMjkvMjAyNggAAAAINi8zLzIwMTcJAAAAATCW4Cx6RI3eCG2ZeH5Ejd4IOENJUS5OQVNEQVE6Q0FMTS5JUV9VTkVBUk5fUkVWX0xULjIwMDAuMjkvMDMvMjAyNi4uLlVTRC5IAQAAACB6BQADAAAAAAANp4B6RI3eCLBLUXxEjd4IPUNJUS5OQVNEQVE6Q0FMTS5JUV9JTkNfVEFYX1BBWV9DVVJSRU5U</t>
  </si>
  <si>
    <t>Ljk5MS4yOS8wMy8yMDI2Li4uVVNELkgBAAAAIHoFAAMAAAAAANl/gHpEjd4ItehPfESN3ggtQ0lRLk5BU0RBUTpDQUxNLklRX0NJUC45OTAuMjkvMDMvMjAyNi4uLlVTRC5IAQAAACB6BQACAAAABjQyLjg5MwEIAAAABQAAAAExAQAAAAoxODUwMjIwODQ1AwAAAAMxNjACAAAABDMwMzMEAAAAATAHAAAACTMvMjkvMjAyNggAAAAJNS8zMC8yMDE1CQAAAAEwwFUtekSN3ghwDV18RI3eCEhDSVEuTkFTREFROkNBTE0uSVFfVE9UQUxfREVCVF9SRVBBSURfRVhDTF9MRUFTRVMuMjAwMC4yOS8wMy8yMDI2Li4uVVNELkgBAAAAIHoFAAIAAAAGLTAuMDA0AQgAAAAFAAAAATEBAAAACy0xOTEwNjI3ODM4AwAAAAMxNjACAAAABTQ4OTg2BAAAAAEwBwAAAAkzLzI5LzIwMjYIAAAACjExLzI5LzIwMjUJAAAAATCNgX96RI3eCDG4RnxEjd4IOENJUS5OQVNEQVE6Q0FMTS5JUV9MT0FOU19GT1JfU0FMRS45OTAuMjkvMDMvMjAyNi4uLlVTRC5IAQAAACB6BQADAAAAAAC1WIB6RI3eCLnHSHxEjd4IOUNJUS5OQVNEQVE6Q0FMTS5JUV9TVF9OT1RFX1JFQ0VJVi4yMDAwLjI5LzAzLzIwMjYuLi5VU0QuSAEAAAAgegUAAwAAAAAASLx/ekSN3ggzBEh8RI3eCDZDSVEuTkFTREFROkNBTE0uSVFfUFJFRl9DT05WRVJULjk5MC4yOS8wMy8yMDI2Li4uVVNELkgBAAAAIHoFAAMAAAAAAA2ngHpEjd4IT11SfESN3gg9Q0lRLk5BU0RB</t>
  </si>
  <si>
    <t>UTpDQUxNLklRX0NVUlJFTlRfUE9SVF9MRUFTRVMuOTkxLjI5LzAzLzIwMjYuLi5VU0QuSAEAAAAgegUAAwAAAAAA2X+AekSN3ghrX098RI3eCD1DSVEuTkFTREFROkNBTE0uSVFfTUlOT1JJVFlfSU5UX1JFREVFTS45OTIuMjkvMDMvMjAyNi4uLlVTRC5IAQAAACB6BQADAAAAAADAVS16RI3eCN55cn5Ejd4IRUNJUS5OQVNEQVE6Q0FMTS5JUV9UT1RBTF9ERUJUX0VYQ0xfT1BFUl9MRUFTRVMuOTkwLjI5LzAzLzIwMjYuLi5VU0QuSAEAAAAgegUAAgAAAAU1MC44NgEIAAAABQAAAAExAQAAAAoxODUwMjIwODQ1AwAAAAMxNjACAAAABTQ4OTgyBAAAAAEwBwAAAAkzLzI5LzIwMjYIAAAACTUvMzAvMjAxNQkAAAABMLoHLXpEjd4IP5RXfESN3gg2Q0lRLk5BU0RBUTpDQUxNLklRX1RPVEFMX0VRVUlUWS45OTIuMjkvMDMvMjAyNi4uLlVTRC5IAQAAACB6BQACAAAABzg0NC40OTMBCAAAAAUAAAABMQEAAAAKMTk3MjAxMjEyMQMAAAADMTYwAgAAAAQxMjc1BAAAAAEwBwAAAAkzLzI5LzIwMjYIAAAACDYvMy8yMDE3CQAAAAEwluAsekSN3ghYcnh+RI3eCDBDSVEuTkFTREFROkNBTE0uSVFfREFfQ0YuMjAwMC4yOS8wMy8yMDI2Li4uVVNELkgBAAAAIHoFAAIAAAAHMTA3Ljk3MgEIAAAABQAAAAExAQAAAAstMTkxMDYyNzgzOAMAAAADMTYwAgAAAAQyMTYwBAAAAAEwBwAAAAkzLzI5LzIwMjYIAAAACjExLzI5LzIw</t>
  </si>
  <si>
    <t>MjUJAAAAATBIvH96RI3eCN4kOHxEjd4INUNJUS5OQVNEQVE6Q0FMTS5JUV9EQV9TVVBQTF9DRi45OTEuMjkvMDMvMjAyNi4uLlVTRC5IAQAAACB6BQACAAAABjQxLjk5MgEIAAAABQAAAAExAQAAAAoxODk2ODIwNTE3AwAAAAMxNjACAAAABDIxNzEEAAAAATAHAAAACTMvMjkvMjAyNggAAAAJNS8yOC8yMDE2CQAAAAEwSLx/ekSN3gi0iDd8RI3eCD1DSVEuTkFTREFROkNBTE0uSVFfVEFYX0JFTkVGSVRfT1BUSU9OUy45OTAuMjkvMDMvMjAyNi4uLlVTRC5IAQAAACB6BQADAAAAAACL4396RI3eCI6/OXxEjd4IO0NJUS5OQVNEQVE6Q0FMTS5JUV9DSEFOR0VfVU5FQVJOX1JFVi45OTIuMjkvMDMvMjAyNi4uLlVTRC5IAQAAACB6BQADAAAAAACL4396RI3eCKM+h35Ejd4INENJUS5OQVNEQVE6Q0FMTS5JUV9DSEFOR0VfQVIuMjAwMC4yOS8wMy8yMDI2Li4uVVNELkgBAAAAIHoFAAIAAAAILTEwNC45OTcBCAAAAAUAAAABMQEAAAALLTE5MTA2Mjc4MzgDAAAAAzE2MAIAAAAEMjAxOAQAAAABMAcAAAAJMy8yOS8yMDI2CAAAAAoxMS8yOS8yMDI1CQAAAAEwi+N/ekSN3gjFvTp8RI3eCD1DSVEuTkFTREFROkNBTE0uSVFfSU5WRVNUX1NFQ1VSSVRZX0NGLjIwMDAuMjkvMDMvMjAyNi4uLlVTRC5IAQAAACB6BQACAAAABy04Mi41NjEBCAAAAAUAAAABMQEAAAALLTE5MTA2Mjc4MzgDAAAAAzE2MAIAAAAEMjAyNwQA</t>
  </si>
  <si>
    <t>AAABMAcAAAAJMy8yOS8yMDI2CAAAAAoxMS8yOS8yMDI1CQAAAAEw1wqAekSN3gjJzTx8RI3eCDVDSVEuTkFTREFROkNBTE0uSVFfU0FMRV9QUEVfQ0YuOTkxLjI5LzAzLzIwMjYuLi5VU0QuSAEAAAAgegUAAgAAAAQyLjg2AQgAAAAFAAAAATEBAAAACjE4OTY4MjA1MTcDAAAAAzE2MAIAAAAEMjA0MgQAAAABMAcAAAAJMy8yOS8yMDI2CAAAAAk1LzI4LzIwMTYJAAAAATCL4396RI3eCC7jO3xEjd4IMkNJUS5OQVNEQVE6Q0FMTS5JUV9QUkVGX1JFUC45OTIuMjkvMDMvMjAyNi4uLlVTRC5IAQAAACB6BQADAAAAAADXCoB6RI3eCE+5hH5Ejd4INENJUS5OQVNEQVE6Q0FMTS5JUV9DT01NT05fUkVQLjk5Mi4yOS8wMy8yMDI2Li4uVVNELkgBAAAAIHoFAAIAAAAGLTEuNzE1AQgAAAAFAAAAATEBAAAACjE5NzIwMTIxMjEDAAAAAzE2MAIAAAAEMjE2NAQAAAABMAcAAAAJMy8yOS8yMDI2CAAAAAg2LzMvMjAxNwkAAAABMNcKgHpEjd4IaeCEfkSN3gg7Q0lRLk5BU0RBUTpDQUxNLklRX1RPVEFMX0RFQlRfUkVQQUlELjk5MS4yOS8wMy8yMDI2Li4uVVNELkgBAAAAIHoFAAIAAAAGLTI1LjI5AQgAAAAFAAAAATEBAAAACjE4OTY4MjA1MTcDAAAAAzE2MAIAAAAEMjE2NgQAAAABMAcAAAAJMy8yOS8yMDI2CAAAAAk1LzI4LzIwMTYJAAAAATDXCoB6RI3eCE0aPnxEjd4IOENJUS5OQVNEQVE6Q0FMTS5JUV9TVF9ERUJU</t>
  </si>
  <si>
    <t>X1JFUEFJRC45OTAuMjkvMDMvMjAyNi4uLlVTRC5IAQAAACB6BQADAAAAAADXCoB6RI3eCBnMPXxEjd4IOUNJUS5OQVNEQVE6Q0FMTS5JUV9TVF9ERUJUX0lTU1VFRC4yMDAwLjI5LzAzLzIwMjYuLi5VU0QuSAEAAAAgegUAAwAAAAAA1wqAekSN3gj6fT18RI3eCC1DSVEuTkFTREFROkNBTE0uSVFfRlguMjAwMC4yOS8wMy8yMDI2Li4uVVNELkgBAAAAIHoFAAMAAAAAAKYxgHpEjd4I115AfESN3ghCQ0lRLk5BU0RBUTpDQUxNLklRX09USEVSX0ZJTkFOQ0VfQUNUX1NVUFBMLjIwMDAuMjkvMDMvMjAyNi4uLlVTRC5IAQAAACB6BQADAAAAAACmMYB6RI3eCP3VP3xEjd4IPENJUS5OQVNEQVE6Q0FMTS5JUV9UT1RBTF9ESVZfUEFJRF9DRi4yMDAwLjI5LzAzLzIwMjYuLi5VU0QuSAEAAAAgegUAAgAAAAgtNDIzLjA1NgEIAAAABQAAAAExAQAAAAstMTkxMDYyNzgzOAMAAAADMTYwAgAAAAQyMDIyBAAAAAEwBwAAAAkzLzI5LzIwMjYIAAAACjExLzI5LzIwMjUJAAAAATDXCoB6RI3eCJWHP3xEjd4IN0NJUS5OQVNEQVE6Q0FMTS5JUV9DQVNIX0lOVEVSRVNULjk5MS4yOS8wMy8yMDI2Li4uVVNELkgBAAAAIHoFAAIAAAAFMS4wNjcBCAAAAAUAAAABMQEAAAAKMTg5NjgyMDUxNwMAAAADMTYwAgAAAAQzMDI4BAAAAAEwBwAAAAkzLzI5LzIwMjYIAAAACTUvMjgvMjAxNgkAAAABMKYxgHpEjd4Irb1CfESN3ggxQ0lR</t>
  </si>
  <si>
    <t>Lk5BU0RBUTpDQUxNLklRX0RFUF9SVUEuOTkxLjI5LzAzLzIwMjYuLi5VU0QuSAEAAAAgegUAAwAAAAAApjGAekSN3gjqcEF8RI3eCDRDSVEuTkFTREFROkNBTE0uSVFfREVQUkVfU1VQUC45OTIuMjkvMDMvMjAyNi4uLlVTRC5IAQAAACB6BQACAAAABDQ4LjgBCAAAAAUAAAABMQEAAAAKMTk3MjAxMjEyMQMAAAADMTYwAgAAAAQyMTQzBAAAAAEwBwAAAAkzLzI5LzIwMjYIAAAACDYvMy8yMDE3CQAAAAEwpjGAekSN3gg6IYN+RI3eCDlDSVEuTkFTREFROkNBTE0uSVFfQ0FTSF9UQVhFU19PUEVSLjk5MS4yOS8wMy8yMDI2Li4uVVNELkgBAAAAIHoFAAMAAAAAAI2Bf3pEjd4IBQtEfESN3ggzQ0lRLk5BU0RBUTpDQUxNLklRX0NGX1NIQVJFLjIwMDAuMjkvMDMvMjAyNi4uLlVTRC5IAQAAACB6BQACAAAACTI0LjE2OTkzMwEIAAAABQAAAAExAQAAAAstMTkxMDYyNzgzOAMAAAADMTYwAgAAAAU0MzkyMwQAAAABMAcAAAAJMy8yOS8yMDI2CAAAAAoxMS8yOS8yMDI1CQAAAAEwjYF/ekSN3gj8RkV8RI3eCDpDSVEuTkFTREFROkNBTE0uSVFfUkVTVFJJQ1RFRF9DQVNILjIwMDAuMjkvMDMvMjAyNi4uLlVTRC5IAQAAACB6BQADAAAAAADZf4B6RI3eCP48SXxEjd4IQUNJUS5OQVNEQVE6Q0FMTS5JUV9GSU5fRElWX0FTU0VUU19DVVJSRU5ULjIwMDAuMjkvMDMvMjAyNi4uLlVTRC5IAQAAACB6BQADAAAAAAC1WIB6</t>
  </si>
  <si>
    <t>RI3eCLnHSHxEjd4IP0NJUS5OQVNEQVE6Q0FMTS5JUV9GSU5fRElWX0xPQU5TX0NVUlJFTlQuOTkxLjI5LzAzLzIwMjYuLi5VU0QuSAEAAAAgegUAAwAAAAAAtViAekSN3gijeUh8RI3eCD1DSVEuTkFTREFROkNBTE0uSVFfQ1VSUkVOVF9QT1JUX0xFQVNFUy45OTAuMjkvMDMvMjAyNi4uLlVTRC5IAQAAACB6BQADAAAAAADZf4B6RI3eCGtfT3xEjd4IOkNJUS5OQVNEQVE6Q0FMTS5JUV9QUkVGX05PTl9SRURFRU0uMjAwMC4yOS8wMy8yMDI2Li4uVVNELkgBAAAAIHoFAAMAAAAAAA2ngHpEjd4IT11SfESN3ggzQ0lRLk5BU0RBUTpDQUxNLklRX1RPVEFMX0NMLjIwMDAuMjkvMDMvMjAyNi4uLlVTRC5IAQAAACB6BQACAAAABzIxOC44MjgBCAAAAAUAAAABMQEAAAALLTE5MTA2Mjc4MzgDAAAAAzE2MAIAAAAEMTAwOQQAAAABMAcAAAAJMy8yOS8yMDI2CAAAAAoxMS8yOS8yMDI1CQAAAAEwDaeAekSN3gjQhFB8RI3eCD9DSVEuTkFTREFROkNBTE0uSVFfR1BQRV9FWENMX09QRVJfTEVBU0VTLjk5Mi4yOS8wMy8yMDI2Li4uVVNELkgBAAAAIHoFAAIAAAAHOTI3LjE3OQEIAAAABQAAAAExAQAAAAoxOTcyMDEyMTIxAwAAAAMxNjACAAAABTQ4OTc0BAAAAAEwBwAAAAkzLzI5LzIwMjYIAAAACDYvMy8yMDE3CQAAAAEwugctekSN3ggRSnd+RI3eCD5DSVEuTkFTREFROkNBTE0uSVFfU1RPQ0tfQkFTRURfQ09NUF9U</t>
  </si>
  <si>
    <t>QVguOTkwLjI5LzAzLzIwMjYuLi5VU0QuSAEAAAAgegUAAwAAAAAASLx/ekSN3ghyxDZ8RI3eCENDSVEuTkFTREFROkNBTE0uSVFfU1RPQ0tfT1BUSU9OU19DT01QX1BSRVRBWC45OTIuMjkvMDMvMjAyNi4uLlVTRC5IAQAAACB6BQADAAAAAABIvH96RI3eCOAZin5Ejd4IOENJUS5OQVNEQVE6Q0FMTS5JUV9HQUlOX0FTU0VUU19DRi45OTIuMjkvMDMvMjAyNi4uLlVTRC5IAQAAACB6BQACAAAABTMuNjY0AQgAAAAFAAAAATEBAAAACjE5NzIwMTIxMjEDAAAAAzE2MAIAAAAEMjAyNgQAAAABMAcAAAAJMy8yOS8yMDI2CAAAAAg2LzMvMjAxNwkAAAABMEi8f3pEjd4INuGIfkSN3ggvQ0lRLk5BU0RBUTpDQUxNLklRX0RPX0NGLjk5Mi4yOS8wMy8yMDI2Li4uVVNELkgBAAAAIHoFAAMAAAAAAIvjf3pEjd4I9OKHfkSN3gg4Q0lRLk5BU0RBUTpDQUxNLklRX0NSRURJVF9MT1NTX0NGLjk5MC4yOS8wMy8yMDI2Li4uVVNELkgBAAAAIHoFAAMAAAAAAIvjf3pEjd4IViM5fESN3gg7Q0lRLk5BU0RBUTpDQUxNLklRX0NIQU5HRV9VTkVBUk5fUkVWLjk5MS4yOS8wMy8yMDI2Li4uVVNELkgBAAAAIHoFAAMAAAAAAIvjf3pEjd4I0uQ6fESN3gg1Q0lRLk5BU0RBUTpDQUxNLklRX1NBTEVfUFBFX0NGLjk5MC4yOS8wMy8yMDI2Li4uVVNELkgBAAAAIHoFAAIAAAAFMi40OTkBCAAAAAUAAAABMQEAAAAKMTg1MDIyMDg0NQMA</t>
  </si>
  <si>
    <t>AAADMTYwAgAAAAQyMDQyBAAAAAEwBwAAAAkzLzI5LzIwMjYIAAAACTUvMzAvMjAxNQkAAAABMIvjf3pEjd4ILuM7fESN3ggyQ0lRLk5BU0RBUTpDQUxNLklRX1BSRUZfUkVQLjk5MS4yOS8wMy8yMDI2Li4uVVNELkgBAAAAIHoFAAMAAAAAANcKgHpEjd4Ijd0+fESN3gg0Q0lRLk5BU0RBUTpDQUxNLklRX0NPTU1PTl9SRVAuOTkwLjI5LzAzLzIwMjYuLi5VU0QuSAEAAAAgegUAAwAAAAAA1wqAekSN3ghtjz58RI3eCDtDSVEuTkFTREFROkNBTE0uSVFfVE9UQUxfREVCVF9SRVBBSUQuOTkwLjI5LzAzLzIwMjYuLi5VU0QuSAEAAAAgegUAAgAAAActMTAuMjMzAQgAAAAFAAAAATEBAAAACjE4NTAyMjA4NDUDAAAAAzE2MAIAAAAEMjE2NgQAAAABMAcAAAAJMy8yOS8yMDI2CAAAAAk1LzMwLzIwMTUJAAAAATDXCoB6RI3eCE0aPnxEjd4IPENJUS5OQVNEQVE6Q0FMTS5JUV9UT1RBTF9ERUJUX0lTU1VFRC4yMDAwLjI5LzAzLzIwMjYuLi5VU0QuSAEAAAAgegUAAwAAAAAA1wqAekSN3giJ8z18RI3eCDdDSVEuTkFTREFROkNBTE0uSVFfQ0FTSF9JTlRFUkVTVC45OTAuMjkvMDMvMjAyNi4uLlVTRC5IAQAAACB6BQACAAAABTIuMzEzAQgAAAAFAAAAATEBAAAACjE4NTAyMjA4NDUDAAAAAzE2MAIAAAAEMzAyOAQAAAABMAcAAAAJMy8yOS8yMDI2CAAAAAk1LzMwLzIwMTUJAAAAATCmMYB6RI3eCK29QnxEjd4IQkNJ</t>
  </si>
  <si>
    <t>US5OQVNEQVE6Q0FMTS5JUV9BTU9SVF9TT0ZUV0FSRV9BU1NFVFNfQ0YuOTkxLjI5LzAzLzIwMjYuLi5VU0QuSAEAAAAgegUAAwAAAAAApjGAekSN3ghWSEJ8RI3eCDFDSVEuTkFTREFROkNBTE0uSVFfREVQX1JVQS45OTAuMjkvMDMvMjAyNi4uLlVTRC5IAQAAACB6BQADAAAAAACmMYB6RI3eCOpwQXxEjd4INENJUS5OQVNEQVE6Q0FMTS5JUV9ERVBSRV9TVVBQLjk5MS4yOS8wMy8yMDI2Li4uVVNELkgBAAAAIHoFAAIAAAAENDEuNAEIAAAABQAAAAExAQAAAAoxODk2ODIwNTE3AwAAAAMxNjACAAAABDIxNDMEAAAAATAHAAAACTMvMjkvMjAyNggAAAAJNS8yOC8yMDE2CQAAAAEwpjGAekSN3gjUIkF8RI3eCDRDSVEuTkFTREFROkNBTE0uSVFfQ0FTSF9FUVVJVi45OTEuMjkvMDMvMjAyNi4uLlVTRC5IAQAAACB6BQACAAAABjI5LjA0NgEIAAAABQAAAAExAQAAAAoxODk2ODIwNTE3AwAAAAMxNjACAAAABDEwOTYEAAAAATAHAAAACTMvMjkvMjAyNggAAAAJNS8yOC8yMDE2CQAAAAEwjYF/ekSN3gg+30Z8RI3eCDNDSVEuTkFTREFROkNBTE0uSVFfTFRfSU5WRVNULjk5Mi4yOS8wMy8yMDI2Li4uVVNELkgBAAAAIHoFAAIAAAAGNjUuNzMxAQgAAAAFAAAAATEBAAAACjE5NzIwMTIxMjEDAAAAAzE2MAIAAAAEMTA1NAQAAAABMAcAAAAJMy8yOS8yMDI2CAAAAAg2LzMvMjAxNwkAAAABMNl/gHpEjd4I7T19fkSN</t>
  </si>
  <si>
    <t>3gg/Q0lRLk5BU0RBUTpDQUxNLklRX0ZJTl9ESVZfTE9BTlNfQ1VSUkVOVC45OTAuMjkvMDMvMjAyNi4uLlVTRC5IAQAAACB6BQADAAAAAAC1WIB6RI3eCKN5SHxEjd4ILENJUS5OQVNEQVE6Q0FMTS5JUV9BRS45OTAuMjkvMDMvMjAyNi4uLlVTRC5IAQAAACB6BQACAAAABjI2LjExMgEIAAAABQAAAAExAQAAAAoxODUwMjIwODQ1AwAAAAMxNjACAAAABDEwMTYEAAAAATAHAAAACTMvMjkvMjAyNggAAAAJNS8zMC8yMDE1CQAAAAEw2X+AekSN3ggww058RI3eCERDSVEuTkFTREFROkNBTE0uSVFfRUFSTklOR19QQVJFTlRfRVhDTF9FWFRSQS4yMDAwLjI5LzAzLzIwMjYuLi5VU0QuSAEAAAAgegUAAgAAAAgxMTUzLjEwNwEIAAAABQAAAAExAQAAAAstMTkxMDYyNzgzOAMAAAADMTYwAgAAAAU0MTU5NgQAAAABMAcAAAAJMy8yOS8yMDI2CAAAAAoxMS8yOS8yMDI1CQAAAAEwVwuWekSN3ghidyl8RI3eCEBDSVEuTkFTREFROkNBTE0uSVFfVE9UQUxfUkVWX0FTX1JFUE9SVEVELjIwMDAuMjkvMDMvMjAyNi4uLlVTRC5IAQAAACB6BQADAAAAAABXC5Z6RI3eCFXuKHxEjd4INkNJUS5OQVNEQVE6Q0FMTS5JUV9FQklUREFfQ0FQRVguOTkxLjI5LzAzLzIwMjYuLi5VU0QuSAEAAAAgegUAAgAAAAc0MzguNzgxAQgAAAAFAAAAATEBAAAACjE4OTY4MjA1MTcDAAAAAzE2MAIAAAAFMzUzNzkEAAAAATAHAAAACTMvMjkv</t>
  </si>
  <si>
    <t>MjAyNggAAAAJNS8yOC8yMDE2CQAAAAEwVwuWekSN3gjYeCh8RI3eCEBDSVEuTkFTREFROkNBTE0uSVFfREVGRVJSRURfRk9SRUlHTl9UQVhFUy45OTEuMjkvMDMvMjAyNi4uLlVTRC5IAQAAACB6BQADAAAAAABXC5Z6RI3eCOUrK3xEjd4IPENJUS5OQVNEQVE6Q0FMTS5JUV9DVVJSX0ZPUkVJR05fVEFYRVMuOTkxLjI5LzAzLzIwMjYuLi5VU0QuSAEAAAAgegUAAwAAAAAAVwuWekSN3ggZYip8RI3eCDJDSVEuTkFTREFROkNBTE0uSVFfTklfTk9STS4yMDAwLjI5LzAzLzIwMjYuLi5VU0QuSAEAAAAgegUAAgAAAAY5NTkuODgBCAAAAAUAAAABMQEAAAALLTE5MTA2Mjc4MzgDAAAAAzE2MAIAAAAENDM3OAQAAAABMAcAAAAJMy8yOS8yMDI2CAAAAAoxMS8yOS8yMDI1CQAAAAEwfTKWekSN3gg77yt8RI3eCDNDSVEuTkFTREFROkNBTE0uSVFfTUFSS0VUSU5HLjk5MS4yOS8wMy8yMDI2Li4uVVNELkgBAAAAIHoFAAMAAAAAAIpZlnpEjd4IJXwufESN3gg0Q0lRLk5BU0RBUTpDQUxNLklRX1JEX0VYUF9GTi4yMDAwLjI5LzAzLzIwMjYuLi5VU0QuSAEAAAAgegUAAwAAAAAAilmWekSN3ghh8S58RI3eCD9DSVEuTkFTREFROkNBTE0uSVFfSU1QQUlSTUVOVF9HV19TVVBQTEUuMjAwMC4yOS8wMy8yMDI2Li4uVVNELkgBAAAAIHoFAAMAAAAAAJSAlnpEjd4IzhgyfESN3ghCQ0lRLk5BU0RBUTpDQUxNLklRX1NBTEFS</t>
  </si>
  <si>
    <t>SUVTX09USEVSX0JFTkVGSVRTLjIwMDAuMjkvMDMvMjAyNi4uLlVTRC5IAQAAACB6BQADAAAAAACKWZZ6RI3eCKVVMXxEjd4INkNJUS5OQVNEQVE6Q0FMTS5JUV9NQUlOVF9SRVBBSVIuOTkxLjI5LzAzLzIwMjYuLi5VU0QuSAEAAAAgegUAAwAAAAAAilmWekSN3ghspTB8RI3eCD5DSVEuTkFTREFROkNBTE0uSVFfTkVHQVRJVkVfR1dfQU1PUlRfQVQuOTkxLjI5LzAzLzIwMjYuLi5VU0QuSAEAAAAgegUAAwAAAAAAlICWekSN3gjQ2jN8RI3eCD5DSVEuTkFTREFROkNBTE0uSVFfT1RIRVJfVU5VU1VBTF9TVVBQTEUuOTkxLjI5LzAzLzIwMjYuLi5VU0QuSAEAAAAgegUAAgAAAAUwLjc5OAEIAAAABQAAAAExAQAAAAoxODk2ODIwNTE3AwAAAAMxNjACAAAABTMzMzkzBAAAAAEwBwAAAAkzLzI5LzIwMjYIAAAACTUvMjgvMjAxNgkAAAABMJSAlnpEjd4IUhczfESN3gg5Q0lRLk5BU0RBUTpDQUxNLklRX1NUT0NLX0JBU0VEX1NNLjIwMDAuMjkvMDMvMjAyNi4uLlVTRC5IAQAAACB6BQADAAAAAACUgJZ6RI3eCFOyNHxEjd4IQkNJUS5OQVNEQVE6Q0FMTS5JUV9TVE9DS19CQVNFRF9DT01QX1BSRVRBWC4yMDAwLjI5LzAzLzIwMjYuLi5VU0QuSAEAAAAgegUAAgAAAAU1LjAyNwBIvH96RI3eCHLENnxEjd4IQ0NJUS5OQVNEQVE6Q0FMTS5JUV9TVE9DS19PUFRJT05TX0NPTVBfUFJFVEFYLjk5MS4yOS8wMy8yMDI2</t>
  </si>
  <si>
    <t>Li4uVVNELkgBAAAAIHoFAAMAAAAAAEi8f3pEjd4IEyg2fESN3gg4Q0lRLk5BU0RBUTpDQUxNLklRX0dBSU5fQVNTRVRTX0NGLjk5MS4yOS8wMy8yMDI2Li4uVVNELkgBAAAAIHoFAAIAAAAGLTEuNTYzAQgAAAAFAAAAATEBAAAACjE4OTY4MjA1MTcDAAAAAzE2MAIAAAAEMjAyNgQAAAABMAcAAAAJMy8yOS8yMDI2CAAAAAk1LzI4LzIwMTYJAAAAATBIvH96RI3eCAlzOHxEjd4IL0NJUS5OQVNEQVE6Q0FMTS5JUV9ET19DRi45OTEuMjkvMDMvMjAyNi4uLlVTRC5IAQAAACB6BQADAAAAAACL4396RI3eCJINOnxEjd4IM0NJUS5OQVNEQVE6Q0FMTS5JUV9MT0FOU19DRi4yMDAwLjI5LzAzLzIwMjYuLi5VU0QuSAEAAAAgegUAAwAAAAAAi+N/ekSN3ghWIzl8RI3eCDBDSVEuTkFTREFROkNBTE0uSVFfQ0FQRVguMjAwMC4yOS8wMy8yMDI2Li4uVVNELkgBAAAAIHoFAAIAAAAILTE4Ny44MDEBCAAAAAUAAAABMQEAAAALLTE5MTA2Mjc4MzgDAAAAAzE2MAIAAAAEMjAyMQQAAAABMAcAAAAJMy8yOS8yMDI2CAAAAAoxMS8yOS8yMDI1CQAAAAEwi+N/ekSN3ggu4zt8RI3eCDtDSVEuTkFTREFROkNBTE0uSVFfQ0hBTkdFX1VORUFSTl9SRVYuOTkwLjI5LzAzLzIwMjYuLi5VU0QuSAEAAAAgegUAAwAAAAAAi+N/ekSN3gjiCzt8RI3eCDNDSVEuTkFTREFROkNBTE0uSVFfRElWRVNUX0NGLjk5Mi4yOS8wMy8yMDI2Li4u</t>
  </si>
  <si>
    <t>VVNELkgBAAAAIHoFAAMAAAAAANcKgHpEjd4IOVSGfkSN3gg5Q0lRLk5BU0RBUTpDQUxNLklRX0xUX0RFQlRfUkVQQUlELjIwMDAuMjkvMDMvMjAyNi4uLlVTRC5IAQAAACB6BQADAAAAAADXCoB6RI3eCGNBPnxEjd4INENJUS5OQVNEQVE6Q0FMTS5JUV9ERVBSRV9TVVBQLjk5MC4yOS8wMy8yMDI2Li4uVVNELkgBAAAAIHoFAAIAAAAEMzcuMwEIAAAABQAAAAExAQAAAAoxODUwMjIwODQ1AwAAAAMxNjACAAAABDIxNDMEAAAAATAHAAAACTMvMjkvMjAyNggAAAAJNS8zMC8yMDE1CQAAAAEwpjGAekSN3gjUIkF8RI3eCEJDSVEuTkFTREFROkNBTE0uSVFfQU1PUlRfU09GVFdBUkVfQVNTRVRTX0NGLjk5MC4yOS8wMy8yMDI2Li4uVVNELkgBAAAAIHoFAAMAAAAAAKYxgHpEjd4IVkhCfESN3ghIQ0lRLk5BU0RBUTpDQUxNLklRX0RFUFJFQ0lBVElPTl9SRU5UQUxfQVNTRVRTX0NGLjIwMDAuMjkvMDMvMjAyNi4uLlVTRC5IAQAAACB6BQADAAAAAACmMYB6RI3eCOpwQXxEjd4INkNJUS5OQVNEQVE6Q0FMTS5JUV9QUkVQQUlEX0VYUC4yMDAwLjI5LzAzLzIwMjYuLi5VU0QuSAEAAAAgegUAAgAAAAYxMi40NzMBCAAAAAUAAAABMQEAAAALLTE5MTA2Mjc4MzgDAAAAAzE2MAIAAAAEMTIxMgQAAAABMAcAAAAJMy8yOS8yMDI2CAAAAAoxMS8yOS8yMDI1CQAAAAEwtViAekSN3gijeUh8RI3eCDZDSVEuTkFTREFROkNB</t>
  </si>
  <si>
    <t>TE0uSVFfT1RIRVJfUkVDRUlWLjk5MS4yOS8wMy8yMDI2Li4uVVNELkgBAAAAIHoFAAIAAAAGMTcuMjY2AQgAAAAFAAAAATEBAAAACjE4OTY4MjA1MTcDAAAAAzE2MAIAAAAEMTIwNgQAAAABMAcAAAAJMy8yOS8yMDI2CAAAAAk1LzI4LzIwMTYJAAAAATCNgX96RI3eCFfJR3xEjd4INENJUS5OQVNEQVE6Q0FMTS5JUV9DQVNIX0VRVUlWLjk5MC4yOS8wMy8yMDI2Li4uVVNELkgBAAAAIHoFAAIAAAAFOC42NjcBCAAAAAUAAAABMQEAAAAKMTg1MDIyMDg0NQMAAAADMTYwAgAAAAQxMDk2BAAAAAEwBwAAAAkzLzI5LzIwMjYIAAAACTUvMzAvMjAxNQkAAAABMI2Bf3pEjd4IPt9GfESN3gg0Q0lRLk5BU0RBUTpDQUxNLklRX0xUX0lOVkVTVC4yMDAwLjI5LzAzLzIwMjYuLi5VU0QuSAEAAAAgegUAAgAAAAU5Ljk3OQEIAAAABQAAAAExAQAAAAstMTkxMDYyNzgzOAMAAAADMTYwAgAAAAQxMDU0BAAAAAEwBwAAAAkzLzI5LzIwMjYIAAAACjExLzI5LzIwMjUJAAAAATDZf4B6RI3eCBzaTHxEjd4IPENJUS5OQVNEQVE6Q0FMTS5JUV9VTkVBUk5fUkVWX0NVUlJFTlQuOTkyLjI5LzAzLzIwMjYuLi5VU0QuSAEAAAAgegUAAwAAAAAADaeAekSN3givMnt+RI3eCC1DSVEuTkFTREFROkNBTE0uSVFfQVAuMjAwMC4yOS8wMy8yMDI2Li4uVVNELkgBAAAAIHoFAAIAAAAHMTIzLjQ3NQEIAAAABQAAAAExAQAAAAstMTkxMDYy</t>
  </si>
  <si>
    <t>NzgzOAMAAAADMTYwAgAAAAQxMDE4BAAAAAEwBwAAAAkzLzI5LzIwMjYIAAAACjExLzI5LzIwMjUJAAAAATDZf4B6RI3eCDvqTnxEjd4IOUNJUS5OQVNEQVE6Q0FMTS5JUV9PVEhFUl9MVF9BU1NFVFMuOTkyLjI5LzAzLzIwMjYuLi5VU0QuSAEAAAAgegUAAgAAAAU4LjI5OQEIAAAABQAAAAExAQAAAAoxOTcyMDEyMTIxAwAAAAMxNjACAAAABDEwNjAEAAAAATAHAAAACTMvMjkvMjAyNggAAAAINi8zLzIwMTcJAAAAATDZf4B6RI3eCGdEfH5Ejd4IOUNJUS5OQVNEQVE6Q0FMTS5JUV9MT0FOU19SRUNFSVZfTFQuOTkxLjI5LzAzLzIwMjYuLi5VU0QuSAEAAAAgegUAAwAAAAAA2X+AekSN3gjHxE18RI3eCD1DSVEuTkFTREFROkNBTE0uSVFfQURfRVhDTF9PUEVSX0xFQVNFUy45OTAuMjkvMDMvMjAyNi4uLlVTRC5IAQAAACB6BQACAAAACC0zOTUuNDUyAQgAAAAFAAAAATEBAAAACjE4NTAyMjA4NDUDAAAAAzE2MAIAAAAFNDg5NzUEAAAAATAHAAAACTMvMjkvMjAyNggAAAAJNS8zMC8yMDE1CQAAAAEwugctekSN3gi9+VV8RI3eCDFDSVEuTkFTREFROkNBTE0uSVFfUEVOU0lPTi45OTEuMjkvMDMvMjAyNi4uLlVTRC5IAQAAACB6BQADAAAAAAANp4B6RI3eCL9yUXxEjd4IQENJUS5OQVNEQVE6Q0FMTS5JUV9FQklUREFfRVFfSU5DX0VYQ0xfU0JDLjk5Mi4yOS8wMy8yMDI2Li4uVVNELkgBAAAAIHoFAAIAAAAH</t>
  </si>
  <si>
    <t>LTc2LjU1MgEIAAAABQAAAAExAQAAAAoxOTcyMDEyMTIxAwAAAAMxNjACAAAABTI0MTMxBAAAAAEwBwAAAAkzLzI5LzIwMjYIAAAACDYvMy8yMDE3CQAAAAEwFZ/kekSN3gjP8ZN+RI3eCEtDSVEuTkFTREFROkNBTE0uSVFfRUJJVERBX0VRX0lOQ19FWENMX09QRVJfTEVBU0VfQURKLjk5MC4yOS8wMy8yMDI2Li4uVVNELkgBAAAAIHoFAAIAAAAFMjc4LjcBCAAAAAUAAAABMQEAAAAKMTg1MDIyMDg0NQMAAAADMTYwAgAAAAU0ODk4NwQAAAABMAcAAAAJMy8yOS8yMDI2CAAAAAk1LzMwLzIwMTUJAAAAATAVn+R6RI3eCEKfJXxEjd4INkNJUS5OQVNEQVE6Q0FMTS5JUV9FQklUREFfQ0FQRVguOTkwLjI5LzAzLzIwMjYuLi5VU0QuSAEAAAAgegUAAgAAAAYxOTMuNzgBCAAAAAUAAAABMQEAAAAKMTg1MDIyMDg0NQMAAAADMTYwAgAAAAUzNTM3OQQAAAABMAcAAAAJMy8yOS8yMDI2CAAAAAk1LzMwLzIwMTUJAAAAATBXC5Z6RI3eCNh4KHxEjd4IMUNJUS5OQVNEQVE6Q0FMTS5JUV9FQklUREFSLjk5Mi4yOS8wMy8yMDI2Li4uVVNELkgBAAAAIHoFAAIAAAAHLTc3LjM5NAEIAAAABQAAAAExAQAAAAoxOTcyMDEyMTIxAwAAAAMxNjACAAAABTIxNjc0BAAAAAEwBwAAAAkzLzI5LzIwMjYIAAAACDYvMy8yMDE3CQAAAAEwVwuWekSN3gjNoJJ+RI3eCDtDSVEuTkFTREFROkNBTE0uSVFfSU5WRVNUTUVOVF9JTkNPTUUu</t>
  </si>
  <si>
    <t>OTkyLjI5LzAzLzIwMjYuLi5VU0QuSAEAAAAgegUAAwAAAAAAVwuWekSN3gg9VJF+RI3eCDxDSVEuTkFTREFROkNBTE0uSVFfQ1VSUl9GT1JFSUdOX1RBWEVTLjk5MC4yOS8wMy8yMDI2Li4uVVNELkgBAAAAIHoFAAMAAAAAAFcLlnpEjd4IGWIqfESN3ggzQ0lRLk5BU0RBUTpDQUxNLklRX0RBX0VCSVREQS45OTAuMjkvMDMvMjAyNi4uLlVTRC5IAQAAACB6BQACAAAABjQwLjcwOAEIAAAABQAAAAExAQAAAAoxODUwMjIwODQ1AwAAAAMxNjACAAAABDIyMDYEAAAAATAHAAAACTMvMjkvMjAyNggAAAAJNS8zMC8yMDE1CQAAAAEwfTKWekSN3gg3CC18RI3eCDVDSVEuTkFTREFROkNBTE0uSVFfSU5UX0VYUF9MVEQuOTkyLjI5LzAzLzIwMjYuLi5VU0QuSAEAAAAgegUAAgAAAAUxLjQxOAEIAAAABQAAAAExAQAAAAoxOTcyMDEyMTIxAwAAAAMxNjACAAAABDMxMDEEAAAAATAHAAAACTMvMjkvMjAyNggAAAAINi8zLzIwMTcJAAAAATB9MpZ6RI3eCJ/gj35Ejd4IM0NJUS5OQVNEQVE6Q0FMTS5JUV9NQVJLRVRJTkcuOTkwLjI5LzAzLzIwMjYuLi5VU0QuSAEAAAAgegUAAwAAAAAAilmWekSN3gglfC58RI3eCDZDSVEuTkFTREFROkNBTE0uSVFfTUFJTlRfUkVQQUlSLjk5MC4yOS8wMy8yMDI2Li4uVVNELkgBAAAAIHoFAAMAAAAAAIpZlnpEjd4IbKUwfESN3gg2Q0lRLk5BU0RBUTpDQUxNLklRX09USEVSX1JFTlRB</t>
  </si>
  <si>
    <t>TC45OTIuMjkvMDMvMjAyNi4uLlVTRC5IAQAAACB6BQADAAAAAACKWZZ6RI3eCNrYjX5Ejd4IOkNJUS5OQVNEQVE6Q0FMTS5JUV9HQUlOX0JBUkdBSU5fQUNRLjk5Mi4yOS8wMy8yMDI2Li4uVVNELkgBAAAAIHoFAAMAAAAAAJSAlnpEjd4IF2WMfkSN3gg+Q0lRLk5BU0RBUTpDQUxNLklRX09USEVSX1VOVVNVQUxfU1VQUExFLjk5MC4yOS8wMy8yMDI2Li4uVVNELkgBAAAAIHoFAAIAAAAFMC4zMjgBCAAAAAUAAAABMQEAAAAKMTg1MDIyMDg0NQMAAAADMTYwAgAAAAUzMzM5MwQAAAABMAcAAAAJMy8yOS8yMDI2CAAAAAk1LzMwLzIwMTUJAAAAATCUgJZ6RI3eCFIXM3xEjd4IQ0NJUS5OQVNEQVE6Q0FMTS5JUV9TVE9DS19PUFRJT05TX0NPTVBfUFJFVEFYLjk5MC4yOS8wMy8yMDI2Li4uVVNELkgBAAAAIHoFAAMAAAAAAEi8f3pEjd4IEyg2fESN3ghBQ0lRLk5BU0RBUTpDQUxNLklRX1JFU1RSX1NUT0NLX0NPTVBfUFJFVEFYLjk5MC4yOS8wMy8yMDI2Li4uVVNELkgBAAAAIHoFAAMAAAAAAEi8f3pEjd4InrI1fESN3ghDQ0lRLk5BU0RBUTpDQUxNLklRX1NUT0NLX0JBU0VEX0VYUExPUkVfRFJJTEwuOTkyLjI5LzAzLzIwMjYuLi5VU0QuSAEAAAAgegUAAwAAAAAAjYF/ekSN3ghPGIt+RI3eCDRDSVEuTkFTREFROkNBTE0uSVFfT0lMX0lNUEFJUi45OTIuMjkvMDMvMjAyNi4uLlVTRC5IAQAAACB6BQADAAAA</t>
  </si>
  <si>
    <t>AABIvH96RI3eCMxWiX5Ejd4IL0NJUS5OQVNEQVE6Q0FMTS5JUV9OSV9DRi45OTIuMjkvMDMvMjAyNi4uLlVTRC5IAQAAACB6BQACAAAABy03NC4yNzgBCAAAAAUAAAABMQEAAAAKMTk3MjAxMjEyMQMAAAADMTYwAgAAAAQyMTUwBAAAAAEwBwAAAAkzLzI5LzIwMjYIAAAACDYvMy8yMDE3CQAAAAEwSLx/ekSN3gixpIl+RI3eCDhDSVEuTkFTREFROkNBTE0uSVFfR0FJTl9BU1NFVFNfQ0YuOTkwLjI5LzAzLzIwMjYuLi5VU0QuSAEAAAAgegUAAgAAAAUwLjU2OAEIAAAABQAAAAExAQAAAAoxODUwMjIwODQ1AwAAAAMxNjACAAAABDIwMjYEAAAAATAHAAAACTMvMjkvMjAyNggAAAAJNS8zMC8yMDE1CQAAAAEwSLx/ekSN3ggJczh8RI3eCDRDSVEuTkFTREFROkNBTE0uSVFfQ0hBTkdFX0FQLjIwMDAuMjkvMDMvMjAyNi4uLlVTRC5IAQAAACB6BQACAAAABjY1LjMxMQEIAAAABQAAAAExAQAAAAstMTkxMDYyNzgzOAMAAAADMTYwAgAAAAQyMDE3BAAAAAEwBwAAAAkzLzI5LzIwMjYIAAAACjExLzI5LzIwMjUJAAAAATCL4396RI3eCOILO3xEjd4IM0NJUS5OQVNEQVE6Q0FMTS5JUV9ESVZFU1RfQ0YuOTkxLjI5LzAzLzIwMjYuLi5VU0QuSAEAAAAgegUAAwAAAAAAi+N/ekSN3ghmWDx8RI3eCDhDSVEuTkFTREFROkNBTE0uSVFfQ0hBTkdFX0RFRl9UQVguOTkyLjI5LzAzLzIwMjYuLi5VU0QuSAEAAAAgegUAAwAA</t>
  </si>
  <si>
    <t>AAAAi+N/ekSN3giq8IZ+RI3eCERDSVEuTkFTREFROkNBTE0uSVFfR1dfSU5UQU5fQU1PUlRfUEFSVElBTF9DRi4yMDAwLjI5LzAzLzIwMjYuLi5VU0QuSAEAAAAgegUAAwAAAAAApjGAekSN3gjUIkF8RI3eCD1DSVEuTkFTREFROkNBTE0uSVFfREFfU1VQUExfUEFSVElBTF9DRi45OTAuMjkvMDMvMjAyNi4uLlVTRC5IAQAAACB6BQADAAAAAACmMYB6RI3eCMKtQHxEjd4IN0NJUS5OQVNEQVE6Q0FMTS5JUV9BTU9SVF9ESUNfQ0YuMjAwMC4yOS8wMy8yMDI2Li4uVVNELkgBAAAAIHoFAAMAAAAAAKYxgHpEjd4IVkhCfESN3ghCQ0lRLk5BU0RBUTpDQUxNLklRX09QRVJBVElOR19MRUFTRV9QQVlNRU5UUy45OTIuMjkvMDMvMjAyNi4uLlVTRC5IAQAAACB6BQADAAAAAACNgX96RI3eCKoegH5Ejd4INUNJUS5OQVNEQVE6Q0FMTS5JUV9MRVZFUkVEX0ZDRi45OTIuMjkvMDMvMjAyNi4uLlVTRC5IAQAAACB6BQACAAAACC0xNDYuNTg3AQgAAAAFAAAAATEBAAAACjE5NzIwMTIxMjEDAAAAAzE2MAIAAAAENDQyMgQAAAABMAcAAAAJMy8yOS8yMDI2CAAAAAg2LzMvMjAxNwkAAAABMI2Bf3pEjd4IzbqAfkSN3ggzQ0lRLk5BU0RBUTpDQUxNLklRX0lOVkVOVE9SWS45OTAuMjkvMDMvMjAyNi4uLlVTRC5IAQAAACB6BQACAAAABjE0Ni4yNgEIAAAABQAAAAExAQAAAAoxODUwMjIwODQ1AwAAAAMxNjACAAAABDEwNDME</t>
  </si>
  <si>
    <t>AAAAATAHAAAACTMvMjkvMjAyNggAAAAJNS8zMC8yMDE1CQAAAAEwtViAekSN3ghtK0h8RI3eCDlDSVEuTkFTREFROkNBTE0uSVFfT1RIRVJfTFRfQVNTRVRTLjk5MS4yOS8wMy8yMDI2Li4uVVNELkgBAAAAIHoFAAIAAAAFNS4wNzkBCAAAAAUAAAABMQEAAAAKMTg5NjgyMDUxNwMAAAADMTYwAgAAAAQxMDYwBAAAAAEwBwAAAAkzLzI5LzIwMjYIAAAACTUvMjgvMjAxNgkAAAABMNl/gHpEjd4I4SZOfESN3gg5Q0lRLk5BU0RBUTpDQUxNLklRX0xPQU5TX1JFQ0VJVl9MVC45OTAuMjkvMDMvMjAyNi4uLlVTRC5IAQAAACB6BQADAAAAAADZf4B6RI3eCMfETXxEjd4IOkNJUS5OQVNEQVE6Q0FMTS5JUV9GSU5fRElWX0xPQU5TX0xULjk5Mi4yOS8wMy8yMDI2Li4uVVNELkgBAAAAIHoFAAMAAAAAANl/gHpEjd4I2u98fkSN3gg8Q0lRLk5BU0RBUTpDQUxNLklRX1VORUFSTl9SRVZfQ1VSUkVOVC45OTAuMjkvMDMvMjAyNi4uLlVTRC5IAQAAACB6BQADAAAAAAANp4B6RI3eCLgPUHxEjd4IOENJUS5OQVNEQVE6Q0FMTS5JUV9DSEFOR0VfREVGX1RBWC45OTEuMjkvMDMvMjAyNi4uLlVTRC5IAQAAACB6BQADAAAAAACL4396RI3eCCJaO3xEjd4IP0NJUS5OQVNEQVE6Q0FMTS5JUV9DSEFOR0VfVFJBRElOR19BU1NFVFMuOTkyLjI5LzAzLzIwMjYuLi5VU0QuSAEAAAAgegUAAwAAAAAAi+N/ekSN3gjXlId+RI3eCDND</t>
  </si>
  <si>
    <t>SVEuTkFTREFROkNBTE0uSVFfRElWRVNUX0NGLjk5MC4yOS8wMy8yMDI2Li4uVVNELkgBAAAAIHoFAAMAAAAAAIvjf3pEjd4IZlg8fESN3gg+Q0lRLk5BU0RBUTpDQUxNLklRX05FR0FUSVZFX0dXX0FNT1JUX0NGLjk5Mi4yOS8wMy8yMDI2Li4uVVNELkgBAAAAIHoFAAMAAAAAAKYxgHpEjd4IqXyCfkSN3gg+Q0lRLk5BU0RBUTpDQUxNLklRX0NIQU5HRV9ERUZfVEFYX1RPVEFMLjk5Mi4yOS8wMy8yMDI2Li4uVVNELkgBAAAAIHoFAAIAAAAGMTQuODMzAQgAAAAFAAAAATEBAAAACjE5NzIwMTIxMjEDAAAAAzE2MAIAAAAFMzA5MjQEAAAAATAHAAAACTMvMjkvMjAyNggAAAAINi8zLzIwMTcJAAAAATCNgX96RI3eCNrhgH5Ejd4IPENJUS5OQVNEQVE6Q0FMTS5JUV9DQVNIX0lOVEVSRVNUX09QRVIuOTkyLjI5LzAzLzIwMjYuLi5VU0QuSAEAAAAgegUAAwAAAAAAG1l/ekSN3ghPuYF+RI3eCENDSVEuTkFTREFROkNBTE0uSVFfT1BFUkFUSU5HX0xFQVNFX1BBWU1FTlRTLjIwMDAuMjkvMDMvMjAyNi4uLlVTRC5IAQAAACB6BQADAAAAAACNgX96RI3eCE3jRXxEjd4INUNJUS5OQVNEQVE6Q0FMTS5JUV9MRVZFUkVEX0ZDRi45OTEuMjkvMDMvMjAyNi4uLlVTRC5IAQAAACB6BQACAAAACTI1NC4wMDk3NQEIAAAABQAAAAExAQAAAAoxODk2ODIwNTE3AwAAAAMxNjACAAAABDQ0MjIEAAAAATAHAAAACTMvMjkvMjAy</t>
  </si>
  <si>
    <t>NggAAAAJNS8yOC8yMDE2CQAAAAEwjYF/ekSN3ggDukR8RI3eCEBDSVEuTkFTREFROkNBTE0uSVFfREVGX1RBWF9BU1NFVFNfQ1VSUkVOVC45OTAuMjkvMDMvMjAyNi4uLlVTRC5IAQAAACB6BQADAAAAAADZf4B6RI3eCLnHSHxEjd4IN0NJUS5OQVNEQVE6Q0FMTS5JUV9UT1RBTF9SRUNFSVYuMjAwMC4yOS8wMy8yMDI2Li4uVVNELkgBAAAAIHoFAAIAAAAHMjYyLjM2OQEIAAAABQAAAAExAQAAAAstMTkxMDYyNzgzOAMAAAADMTYwAgAAAAQxMDAxBAAAAAEwBwAAAAkzLzI5LzIwMjYIAAAACjExLzI5LzIwMjUJAAAAATC1WIB6RI3eCG0rSHxEjd4INUNJUS5OQVNEQVE6Q0FMTS5JUV9QUkVGX0VRVUlUWS45OTIuMjkvMDMvMjAyNi4uLlVTRC5IAQAAACB6BQADAAAAAACKuSx6RI3eCKw1eX5Ejd4IPUNJUS5OQVNEQVE6Q0FMTS5JUV9DVVJSRU5UX1BPUlRfTEVBU0VTLjk5Mi4yOS8wMy8yMDI2Li4uVVNELkgBAAAAIHoFAAMAAAAAANl/gHpEjd4Is6h7fkSN3gg0Q0lRLk5BU0RBUTpDQUxNLklRX1RPVEFMX0NBUC4yMDAwLjI5LzAzLzIwMjYuLi5VU0QuSAEAAAAgegUAAgAAAAgyNjk3Ljc2NgEIAAAABQAAAAExAQAAAAstMTkxMDYyNzgzOAMAAAADMTYwAgAAAAQ0MTc1BAAAAAEwBwAAAAkzLzI5LzIwMjYIAAAACjExLzI5LzIwMjUJAAAAATDBLi16RI3eCFNKWnxEjd4IM0NJUS5OQVNEQVE6Q0FMTS5JUV9S</t>
  </si>
  <si>
    <t>VUFfR1JPU1MuOTkwLjI5LzAzLzIwMjYuLi5VU0QuSAEAAAAgegUAAwAAAAAAluAsekSN3ghXRVR8RI3eCDxDSVEuTkFTREFROkNBTE0uSVFfU1RPQ0tfT1BUSU9OU19DT01QLjk5Mi4yOS8wMy8yMDI2Li4uVVNELkgBAAAAIHoFAAMAAAAAAEi8f3pEjd4IAfOJfkSN3ggvQ0lRLk5BU0RBUTpDQUxNLklRX05JX0NGLjk5MC4yOS8wMy8yMDI2Li4uVVNELkgBAAAAIHoFAAIAAAAHMTYxLjI1NAEIAAAABQAAAAExAQAAAAoxODUwMjIwODQ1AwAAAAMxNjACAAAABDIxNTAEAAAAATAHAAAACTMvMjkvMjAyNggAAAAJNS8zMC8yMDE1CQAAAAEwSLx/ekSN3giMOTd8RI3eCDhDSVEuTkFTREFROkNBTE0uSVFfU1RPQ0tfQkFTRURfQ0YuOTkwLjI5LzAzLzIwMjYuLi5VU0QuSAEAAAAgegUAAgAAAAUyLjI2OAEIAAAABQAAAAExAQAAAAoxODUwMjIwODQ1AwAAAAMxNjACAAAABDIxMjcEAAAAATAHAAAACTMvMjkvMjAyNggAAAAJNS8zMC8yMDE1CQAAAAEwi+N/ekSN3ghbcTl8RI3eCDxDSVEuTkFTREFROkNBTE0uSVFfQVNTRVRfV1JJVEVET1dOX0NGLjk5Mi4yOS8wMy8yMDI2Li4uVVNELkgBAAAAIHoFAAMAAAAAAIvjf3pEjd4ITqaIfkSN3gg4Q0lRLk5BU0RBUTpDQUxNLklRX0NIQU5HRV9ERUZfVEFYLjk5MC4yOS8wMy8yMDI2Li4uVVNELkgBAAAAIHoFAAMAAAAAAIvjf3pEjd4IIlo7fESN3ghAQ0lRLk5BU0RB</t>
  </si>
  <si>
    <t>UTpDQUxNLklRX0NIQU5HRV9UUkFESU5HX0FTU0VUUy4yMDAwLjI5LzAzLzIwMjYuLi5VU0QuSAEAAAAgegUAAwAAAAAAi+N/ekSN3gi6bzp8RI3eCDlDSVEuTkFTREFROkNBTE0uSVFfSU5WRVNUX0xPQU5TX0NGLjk5Mi4yOS8wMy8yMDI2Li4uVVNELkgBAAAAIHoFAAMAAAAAANcKgHpEjd4I5t6FfkSN3gg3Q0lRLk5BU0RBUTpDQUxNLklRX1NBTEVfSU5UQU5fQ0YuOTkwLjI5LzAzLzIwMjYuLi5VU0QuSAEAAAAgegUAAwAAAAAA1wqAekSN3gi3pjx8RI3eCDpDSVEuTkFTREFROkNBTE0uSVFfQ0FTSF9BQ1FVSVJFX0NGLjIwMDAuMjkvMDMvMjAyNi4uLlVTRC5IAQAAACB6BQACAAAACC0zMDMuNjgyAQgAAAAFAAAAATEBAAAACy0xOTEwNjI3ODM4AwAAAAMxNjACAAAABDIwNTcEAAAAATAHAAAACTMvMjkvMjAyNggAAAAKMTEvMjkvMjAyNQkAAAABMIvjf3pEjd4IZlg8fESN3gg0Q0lRLk5BU0RBUTpDQUxNLklRX05FVF9DSEFOR0UuOTkwLjI5LzAzLzIwMjYuLi5VU0QuSAEAAAAgegUAAgAAAAYtNS44NTQBCAAAAAUAAAABMQEAAAAKMTg1MDIyMDg0NQMAAAADMTYwAgAAAAQyMDkzBAAAAAEwBwAAAAkzLzI5LzIwMjYIAAAACTUvMzAvMjAxNQkAAAABMKYxgHpEjd4IRoZAfESN3gg0Q0lRLk5BU0RBUTpDQUxNLklRX0NBU0hfRklOQU4uOTkyLjI5LzAzLzIwMjYuLi5VU0QuSAEAAAAgegUAAgAAAActMTgu</t>
  </si>
  <si>
    <t>Mjk4AQgAAAAFAAAAATEBAAAACjE5NzIwMTIxMjEDAAAAAzE2MAIAAAAEMjAwNAQAAAABMAcAAAAJMy8yOS8yMDI2CAAAAAg2LzMvMjAxNwkAAAABMKYxgHpEjd4INuKDfkSN3gg+Q0lRLk5BU0RBUTpDQUxNLklRX05FR0FUSVZFX0dXX0FNT1JUX0NGLjk5MS4yOS8wMy8yMDI2Li4uVVNELkgBAAAAIHoFAAMAAAAAAKYxgHpEjd4I0PlBfESN3gg+Q0lRLk5BU0RBUTpDQUxNLklRX0NIQU5HRV9ERUZfVEFYX1RPVEFMLjk5MS4yOS8wMy8yMDI2Li4uVVNELkgBAAAAIHoFAAIAAAAGMTkuMzkyAQgAAAAFAAAAATEBAAAACjE4OTY4MjA1MTcDAAAAAzE2MAIAAAAFMzA5MjQEAAAAATAHAAAACTMvMjkvMjAyNggAAAAJNS8yOC8yMDE2CQAAAAEwjYF/ekSN3ghGf0R8RI3eCDxDSVEuTkFTREFROkNBTE0uSVFfQ0FTSF9JTlRFUkVTVF9PUEVSLjk5MS4yOS8wMy8yMDI2Li4uVVNELkgBAAAAIHoFAAMAAAAAABtZf3pEjd4IwzJDfESN3gg4Q0lRLk5BU0RBUTpDQUxNLklRX0NBU0hfU1RfSU5WRVNULjk5MC4yOS8wMy8yMDI2Li4uVVNELkgBAAAAIHoFAAIAAAAHMjU4LjYyOAEIAAAABQAAAAExAQAAAAoxODUwMjIwODQ1AwAAAAMxNjACAAAABDEwMDIEAAAAATAHAAAACTMvMjkvMjAyNggAAAAJNS8zMC8yMDE1CQAAAAEwjYF/ekSN3ggSVEd8RI3eCDlDSVEuTkFTREFROkNBTE0uSVFfTE9BTlNfRk9SX1NBTEUuMjAw</t>
  </si>
  <si>
    <t>MC4yOS8wMy8yMDI2Li4uVVNELkgBAAAAIHoFAAMAAAAAALVYgHpEjd4I2O5IfESN3gg1Q0lRLk5BU0RBUTpDQUxNLklRX1BSRUZfRVFVSVRZLjk5MC4yOS8wMy8yMDI2Li4uVVNELkgBAAAAIHoFAAMAAAAAAIq5LHpEjd4Irb9SfESN3gg3Q0lRLk5BU0RBUTpDQUxNLklRX09USEVSX0xJQUJfTFQuOTkxLjI5LzAzLzIwMjYuLi5VU0QuSAEAAAAgegUAAgAAAAU2LjMyMQEIAAAABQAAAAExAQAAAAoxODk2ODIwNTE3AwAAAAMxNjACAAAABDEwNjIEAAAAATAHAAAACTMvMjkvMjAyNggAAAAJNS8yOC8yMDE2CQAAAAEwDaeAekSN3ggSmlF8RI3eCDpDSVEuTkFTREFROkNBTE0uSVFfTE9OR19URVJNX0xFQVNFUy45OTAuMjkvMDMvMjAyNi4uLlVTRC5IAQAAACB6BQADAAAAAAANp4B6RI3eCOOrUHxEjd4IPkNJUS5OQVNEQVE6Q0FMTS5JUV9DSEFOR0VfREVGX1RBWF9UT1RBTC45OTAuMjkvMDMvMjAyNi4uLlVTRC5IAQAAACB6BQACAAAABTUuMTA4AQgAAAAFAAAAATEBAAAACjE4NTAyMjA4NDUDAAAAAzE2MAIAAAAFMzA5MjQEAAAAATAHAAAACTMvMjkvMjAyNggAAAAJNS8zMC8yMDE1CQAAAAEwjYF/ekSN3ghGf0R8RI3eCDxDSVEuTkFTREFROkNBTE0uSVFfQ0FTSF9JTlRFUkVTVF9PUEVSLjk5MC4yOS8wMy8yMDI2Li4uVVNELkgBAAAAIHoFAAMAAAAAABtZf3pEjd4IwzJDfESN3gg5Q0lRLk5BU0RBUTpD</t>
  </si>
  <si>
    <t>QUxNLklRX1RSQURJTkdfQVNTRVRTLjIwMDAuMjkvMDMvMjAyNi4uLlVTRC5IAQAAACB6BQADAAAAAACNgX96RI3eCBJUR3xEjd4IPUNJUS5OQVNEQVE6Q0FMTS5JUV9HQUlOX0JBUkdBSU5fQUNRX0NGLjk5Mi4yOS8wMy8yMDI2Li4uVVNELkgBAAAAIHoFAAMAAAAAAI2Bf3pEjd4IOpx/fkSN3gg4Q0lRLk5BU0RBUTpDQUxNLklRX09USEVSX0NBX1NVUFBMLjk5Mi4yOS8wMy8yMDI2Li4uVVNELkgBAAAAIHoFAAMAAAAAANl/gHpEjd4IDrN9fkSN3ggxQ0lRLk5BU0RBUTpDQUxNLklRX1NUX0RFQlQuOTkwLjI5LzAzLzIwMjYuLi5VU0QuSAEAAAAgegUAAwAAAAAA2X+AekSN3gg76k58RI3eCDdDSVEuTkFTREFROkNBTE0uSVFfT1RIRVJfTElBQl9MVC45OTAuMjkvMDMvMjAyNi4uLlVTRC5IAQAAACB6BQACAAAABTUuNzQ1AQgAAAAFAAAAATEBAAAACjE4NTAyMjA4NDUDAAAAAzE2MAIAAAAEMTA2MgQAAAABMAcAAAAJMy8yOS8yMDI2CAAAAAk1LzMwLzIwMTUJAAAAATANp4B6RI3eCBKaUXxEjd4IMkNJUS5OQVNEQVE6Q0FMTS5JUV9MVF9ERUJULjIwMDAuMjkvMDMvMjAyNi4uLlVTRC5IAQAAACB6BQADAAAAAAANp4B6RI3eCOOrUHxEjd4IPkNJUS5OQVNEQVE6Q0FMTS5JUV9ERUZfVEFYX0xJQUJfQ1VSUkVOVC45OTAuMjkvMDMvMjAyNi4uLlVTRC5IAQAAACB6BQADAAAAAAANp4B6RI3eCLgPUHxEjd4I</t>
  </si>
  <si>
    <t>M0NJUS5OQVNEQVE6Q0FMTS5JUV9DSEFOR0VfQVAuOTkwLjI5LzAzLzIwMjYuLi5VU0QuSAEAAAAgegUAAgAAAAU2LjQ4NgEIAAAABQAAAAExAQAAAAoxODUwMjIwODQ1AwAAAAMxNjACAAAABDIwMTcEAAAAATAHAAAACTMvMjkvMjAyNggAAAAJNS8zMC8yMDE1CQAAAAEwi+N/ekSN3gjFvTp8RI3eCDlDSVEuTkFTREFROkNBTE0uSVFfSU5WRVNUX0xPQU5TX0NGLjk5MC4yOS8wMy8yMDI2Li4uVVNELkgBAAAAIHoFAAMAAAAAANcKgHpEjd4IpvQ8fESN3ggzQ0lRLk5BU0RBUTpDQUxNLklRX0NBU0hfT1BFUi45OTEuMjkvMDMvMjAyNi4uLlVTRC5IAQAAACB6BQACAAAABzM4OC40MzcBCAAAAAUAAAABMQEAAAAKMTg5NjgyMDUxNwMAAAADMTYwAgAAAAQyMDA2BAAAAAEwBwAAAAkzLzI5LzIwMjYIAAAACTUvMjgvMjAxNgkAAAABMIvjf3pEjd4IPag7fESN3gg1Q0lRLk5BU0RBUTpDQUxNLklRX1BSRUZfSVNTVUVELjk5MC4yOS8wMy8yMDI2Li4uVVNELkgBAAAAIHoFAAMAAAAAANcKgHpEjd4Ie7Y+fESN3gg3Q0lRLk5BU0RBUTpDQUxNLklRX0NPTU1PTl9JU1NVRUQuOTkxLjI5LzAzLzIwMjYuLi5VU0QuSAEAAAAgegUAAwAAAAAA1wqAekSN3ghjQT58RI3eCDhDSVEuTkFTREFROkNBTE0uSVFfTFRfREVCVF9SRVBBSUQuOTkwLjI5LzAzLzIwMjYuLi5VU0QuSAEAAAAgegUAAgAAAActMTAuMjMzAQgAAAAF</t>
  </si>
  <si>
    <t>AAAAATEBAAAACjE4NTAyMjA4NDUDAAAAAzE2MAIAAAAEMjAzNgQAAAABMAcAAAAJMy8yOS8yMDI2CAAAAAk1LzMwLzIwMTUJAAAAATDXCoB6RI3eCInzPXxEjd4IOENJUS5OQVNEQVE6Q0FMTS5JUV9MVF9ERUJUX0lTU1VFRC45OTIuMjkvMDMvMjAyNi4uLlVTRC5IAQAAACB6BQADAAAAAADXCoB6RI3eCLp8hX5Ejd4INUNJUS5OQVNEQVE6Q0FMTS5JUV9DQVNIX0lOVkVTVC45OTEuMjkvMDMvMjAyNi4uLlVTRC5IAQAAACB6BQACAAAACC0yMTkuMTQ4AQgAAAAFAAAAATEBAAAACjE4OTY4MjA1MTcDAAAAAzE2MAIAAAAEMjAwNQQAAAABMAcAAAAJMy8yOS8yMDI2CAAAAAk1LzI4LzIwMTYJAAAAATDXCoB6RI3eCLNWPXxEjd4IOENJUS5OQVNEQVE6Q0FMTS5JUV9TUEVDSUFMX0RJVl9DRi45OTIuMjkvMDMvMjAyNi4uLlVTRC5IAQAAACB6BQADAAAAAADXCoB6RI3eCCsJhH5Ejd4IPENJUS5OQVNEQVE6Q0FMTS5JUV9DT01NT05fUFJFRl9ESVZfQ0YuOTkyLjI5LzAzLzIwMjYuLi5VU0QuSAEAAAAgegUAAwAAAAAA1wqAekSN3gjzQ4R+RI3eCDdDSVEuTkFTREFROkNBTE0uSVFfQ09NTU9OX0RJVl9DRi45OTEuMjkvMDMvMjAyNi4uLlVTRC5IAQAAACB6BQACAAAACC0xMjAuOTQyAQgAAAAFAAAAATEBAAAACjE4OTY4MjA1MTcDAAAAAzE2MAIAAAAEMjA3NAQAAAABMAcAAAAJMy8yOS8yMDI2CAAAAAk1LzI4</t>
  </si>
  <si>
    <t>LzIwMTYJAAAAATDXCoB6RI3eCI3dPnxEjd4IRkNJUS5OQVNEQVE6Q0FMTS5JUV9EQV9TVVBQTF9DRl9FWENMX09QRVJfTEVBU0VTLjk5MC4yOS8wMy8yMDI2Li4uVVNELkgBAAAAIHoFAAIAAAAGMzcuODA4AQgAAAAFAAAAATEBAAAACjE4NTAyMjA4NDUDAAAAAzE2MAIAAAAFNDg5ODMEAAAAATAHAAAACTMvMjkvMjAyNggAAAAJNS8zMC8yMDE1CQAAAAEwpjGAekSN3ggJmEF8RI3eCDtDSVEuTkFTREFROkNBTE0uSVFfQ0FTSF9UQVhFU19JTlZFU1QuOTkyLjI5LzAzLzIwMjYuLi5VU0QuSAEAAAAgegUAAwAAAAAAjYF/ekSN3ghFRIF+RI3eCEFDSVEuTkFTREFROkNBTE0uSVFfQ0FTSF9JTlRFUkVTVF9SRUNFSVZFRC4yMDAwLjI5LzAzLzIwMjYuLi5VU0QuSAEAAAAgegUAAwAAAAAAG1l/ekSN3gjDMkN8RI3eCDtDSVEuTkFTREFROkNBTE0uSVFfQ0FTSF9JTlRFUkVTVF9ORVQuOTkwLjI5LzAzLzIwMjYuLi5VU0QuSAEAAAAgegUAAwAAAAAAG1l/ekSN3giq5EJ8RI3eCEtDSVEuTkFTREFROkNBTE0uSVFfTE9OR19URVJNX0RFQlRfUkVQQUlEX0VYQ0xfTEVBU0VTLjk5Mi4yOS8wMy8yMDI2Li4uVVNELkgBAAAAIHoFAAIAAAAGLTE2LjUxAQgAAAAFAAAAATEBAAAACjE5NzIwMTIxMjEDAAAAAzE2MAIAAAAFNDg5ODQEAAAAATAHAAAACTMvMjkvMjAyNggAAAAINi8zLzIwMTcJAAAAATCNgX96RI3eCGPQ</t>
  </si>
  <si>
    <t>f35Ejd4IOUNJUS5OQVNEQVE6Q0FMTS5JUV9ORVRfREVCVF9JU1NVRUQuOTkyLjI5LzAzLzIwMjYuLi5VU0QuSAEAAAAgegUAAgAAAAYtMTYuNTEBCAAAAAUAAAABMQEAAAAKMTk3MjAxMjEyMQMAAAADMTYwAgAAAAQyMDAzBAAAAAEwBwAAAAkzLzI5LzIwMjYIAAAACDYvMy8yMDE3CQAAAAEwjYF/ekSN3gjJbIB+RI3eCDRDSVEuTkFTREFROkNBTE0uSVFfQ0FTSF9FUVVJVi45OTIuMjkvMDMvMjAyNi4uLlVTRC5IAQAAACB6BQACAAAABjE3LjU2NAEIAAAABQAAAAExAQAAAAoxOTcyMDEyMTIxAwAAAAMxNjACAAAABDEwOTYEAAAAATAHAAAACTMvMjkvMjAyNggAAAAINi8zLzIwMTcJAAAAATCNgX96RI3eCCJ1f35Ejd4IPkNJUS5OQVNEQVE6Q0FMTS5JUV9HQUlOX0JBUkdBSU5fQUNRX0NGLjIwMDAuMjkvMDMvMjAyNi4uLlVTRC5IAQAAACB6BQADAAAAAACNgX96RI3eCD7fRnxEjd4IOUNJUS5OQVNEQVE6Q0FMTS5JUV9PVEhFUl9DQV9TVVBQTC4yMDAwLjI5LzAzLzIwMjYuLi5VU0QuSAEAAAAgegUAAwAAAAAA2X+AekSN3gjfykt8RI3eCD9DSVEuTkFTREFROkNBTE0uSVFfRklOX0RJVl9MT0FOU19DVVJSRU5ULjk5Mi4yOS8wMy8yMDI2Li4uVVNELkgBAAAAIHoFAAMAAAAAALVYgHpEjd4IbmN+fkSN3ggtQ0lRLk5BU0RBUTpDQUxNLklRX0FFLjIwMDAuMjkvMDMvMjAyNi4uLlVTRC5IAQAAACB6BQAC</t>
  </si>
  <si>
    <t>AAAABTYxLjA3AQgAAAAFAAAAATEBAAAACy0xOTEwNjI3ODM4AwAAAAMxNjACAAAABDEwMTYEAAAAATAHAAAACTMvMjkvMjAyNggAAAAKMTEvMjkvMjAyNQkAAAABMNl/gHpEjd4IO+pOfESN3ggxQ0lRLk5BU0RBUTpDQUxNLklRX0NPTU1PTi4yMDAwLjI5LzAzLzIwMjYuLi5VU0QuSAEAAAAgegUAAgAAAAUwLjc1MQEIAAAABQAAAAExAQAAAAstMTkxMDYyNzgzOAMAAAADMTYwAgAAAAQxMTAzBAAAAAEwBwAAAAkzLzI5LzIwMjYIAAAACjExLzI5LzIwMjUJAAAAATCKuSx6RI3eCObmUnxEjd4IPUNJUS5OQVNEQVE6Q0FMTS5JUV9VTkVBUk5fUkVWX0NVUlJFTlQuMjAwMC4yOS8wMy8yMDI2Li4uVVNELkgBAAAAIHoFAAMAAAAAAA2ngHpEjd4IuA9QfESN3ghMQ0lRLk5BU0RBUTpDQUxNLklRX0xJUVVJREFUSU9OX1ZBTFVFX1BSRUZFUlJFRF9SRURFRU0uOTkxLjI5LzAzLzIwMjYuLi5VU0QuSAEAAAAgegUAAwAAAAAAomktekSN3gi/hF98RI3eCD1DSVEuTkFTREFROkNBTE0uSVFfRElTVFJJQlVUQUJMRV9DQVNILjIwMDAuMjkvMDMvMjAyNi4uLlVTRC5IAQAAACB6BQADAAAAAAB9MpZ6RI3eCIJ9LXxEjd4IRUNJUS5OQVNEQVE6Q0FMTS5JUV9ERVBSRUNJQVRJT05fUkVOVEFMX0FTU0VUUy4yMDAwLjI5LzAzLzIwMjYuLi5VU0QuSAEAAAAgegUAAwAAAAAAilmWekSN3ghgfjB8RI3eCDhDSVEuTkFTREFR</t>
  </si>
  <si>
    <t>OkNBTE0uSVFfTUlOSU1VTV9SRU5UQUwuOTkxLjI5LzAzLzIwMjYuLi5VU0QuSAEAAAAgegUAAwAAAAAAilmWekSN3ggk4i98RI3eCDVDSVEuTkFTREFROkNBTE0uSVFfSVBSRF9TVVBQTEUuOTkxLjI5LzAzLzIwMjYuLi5VU0QuSAEAAAAgegUAAwAAAAAAlICWekSN3gjOGDJ8RI3eCENDSVEuTkFTREFROkNBTE0uSVFfSU1QVVRfT1BFUl9MRUFTRV9JTlRfRVhQLjIwMDAuMjkvMDMvMjAyNi4uLlVTRC5IAQAAACB6BQADAAAAAACKWZZ6RI3eCFwuMXxEjd4IP0NJUS5OQVNEQVE6Q0FMTS5JUV9UT1RBTF9VTlVTVUFMX1NVUFBMRS4yMDAwLjI5LzAzLzIwMjYuLi5VU0QuSAEAAAAgegUAAwAAAAAAlICWekSN3giAjDN8RI3eCDtDSVEuTkFTREFROkNBTE0uSVFfSU5TX1NFVFRMRV9TVVBQTEUuOTkxLjI5LzAzLzIwMjYuLi5VU0QuSAEAAAAgegUAAwAAAAAAlICWekSN3gg/8DJ8RI3eCDhDSVEuTkFTREFROkNBTE0uSVFfU1RPQ0tfQkFTRURfQVQuOTkxLjI5LzAzLzIwMjYuLi5VU0QuSAEAAAAgegUAAwAAAAAASLx/ekSN3gi6dTV8RI3eCD9DSVEuTkFTREFROkNBTE0uSVFfUkVTVFJfU1RPQ0tfQ09NUF9UQVguMjAwMC4yOS8wMy8yMDI2Li4uVVNELkgBAAAAIHoFAAMAAAAAAEi8f3pEjd4I/QA2fESN3gg2Q0lRLk5BU0RBUTpDQUxNLklRX09USEVSX0FNT1JULjIwMDAuMjkvMDMvMjAyNi4uLlVTRC5IAQAA</t>
  </si>
  <si>
    <t>ACB6BQADAAAAAABIvH96RI3eCN4kOHxEjd4IO0NJUS5OQVNEQVE6Q0FMTS5JUV9HV19JTlRBTl9BTU9SVF9DRi45OTEuMjkvMDMvMjAyNi4uLlVTRC5IAQAAACB6BQACAAAAAzIuNgEIAAAABQAAAAExAQAAAAoxODk2ODIwNTE3AwAAAAMxNjACAAAABDIxODIEAAAAATAHAAAACTMvMjkvMjAyNggAAAAJNS8yOC8yMDE2CQAAAAEwSLx/ekSN3gi2rzd8RI3eCDtDSVEuTkFTREFROkNBTE0uSVFfUFJPVl9CQURfREVCVFNfQ0YuOTkwLjI5LzAzLzIwMjYuLi5VU0QuSAEAAAAgegUAAwAAAAAAi+N/ekSN3gh45jl8RI3eCDVDSVEuTkFTREFROkNBTE0uSVFfU0FMRV9QUEVfQ0YuOTkyLjI5LzAzLzIwMjYuLi5VU0QuSAEAAAAgegUAAgAAAAUwLjA4NAEIAAAABQAAAAExAQAAAAoxOTcyMDEyMTIxAwAAAAMxNjACAAAABDIwNDIEAAAAATAHAAAACTMvMjkvMjAyNggAAAAINi8zLzIwMTcJAAAAATCL4396RI3eCFB7hn5Ejd4IO0NJUS5OQVNEQVE6Q0FMTS5JUV9DSEFOR0VfSU5WRU5UT1JZLjIwMDAuMjkvMDMvMjAyNi4uLlVTRC5IAQAAACB6BQACAAAABy0xMi4yMjQBCAAAAAUAAAABMQEAAAALLTE5MTA2Mjc4MzgDAAAAAzE2MAIAAAAEMjA5OQQAAAABMAcAAAAJMy8yOS8yMDI2CAAAAAoxMS8yOS8yMDI1CQAAAAEwi+N/ekSN3gjFvTp8RI3eCDlDSVEuTkFTREFROkNBTE0uSVFfTFRfREVCVF9JU1NVRUQuMjAw</t>
  </si>
  <si>
    <t>MC4yOS8wMy8yMDI2Li4uVVNELkgBAAAAIHoFAAMAAAAAANcKgHpEjd4I+aQ9fESN3gg8Q0lRLk5BU0RBUTpDQUxNLklRX0NPTU1PTl9QUkVGX0RJVl9DRi45OTEuMjkvMDMvMjAyNi4uLlVTRC5IAQAAACB6BQADAAAAAADXCoB6RI3eCM85P3xEjd4IN0NJUS5OQVNEQVE6Q0FMTS5JUV9DT01NT05fRElWX0NGLjk5MC4yOS8wMy8yMDI2Li4uVVNELkgBAAAAIHoFAAIAAAAGLTQ4LjkxAQgAAAAFAAAAATEBAAAACjE4NTAyMjA4NDUDAAAAAzE2MAIAAAAEMjA3NAQAAAABMAcAAAAJMy8yOS8yMDI2CAAAAAk1LzMwLzIwMTUJAAAAATDXCoB6RI3eCI3dPnxEjd4INUNJUS5OQVNEQVE6Q0FMTS5JUV9DT01NT05fUkVQLjIwMDAuMjkvMDMvMjAyNi4uLlVTRC5IAQAAACB6BQACAAAACC0xMjguNzUzAQgAAAAFAAAAATEBAAAACy0xOTEwNjI3ODM4AwAAAAMxNjACAAAABDIxNjQEAAAAATAHAAAACTMvMjkvMjAyNggAAAAKMTEvMjkvMjAyNQkAAAABMNcKgHpEjd4Ie7Y+fESN3gg3Q0lRLk5BU0RBUTpDQUxNLklRX0NPTU1PTl9JU1NVRUQuOTkwLjI5LzAzLzIwMjYuLi5VU0QuSAEAAAAgegUAAgAAAAUwLjEzNgEIAAAABQAAAAExAQAAAAoxODUwMjIwODQ1AwAAAAMxNjACAAAABDIxNjkEAAAAATAHAAAACTMvMjkvMjAyNggAAAAJNS8zMC8yMDE1CQAAAAEw1wqAekSN3ghjQT58RI3eCDlDSVEuTkFTREFROkNBTE0u</t>
  </si>
  <si>
    <t>SVFfU1RfREVCVF9SRVBBSUQuMjAwMC4yOS8wMy8yMDI2Li4uVVNELkgBAAAAIHoFAAMAAAAAANcKgHpEjd4IifM9fESN3gg4Q0lRLk5BU0RBUTpDQUxNLklRX1NQRUNJQUxfRElWX0NGLjk5MS4yOS8wMy8yMDI2Li4uVVNELkgBAAAAIHoFAAMAAAAAANcKgHpEjd4IlYc/fESN3gg4Q0lRLk5BU0RBUTpDQUxNLklRX0NBU0hfSU5URVJFU1QuMjAwMC4yOS8wMy8yMDI2Li4uVVNELkgBAAAAIHoFAAMAAAAAABtZf3pEjd4IquRCfESN3ggyQ0lRLk5BU0RBUTpDQUxNLklRX0RFUF9SVUEuMjAwMC4yOS8wMy8yMDI2Li4uVVNELkgBAAAAIHoFAAMAAAAAAKYxgHpEjd4ICZhBfESN3gg5Q0lRLk5BU0RBUTpDQUxNLklRX05FVF9ERUJUX0lTU1VFRC45OTEuMjkvMDMvMjAyNi4uLlVTRC5IAQAAACB6BQACAAAABi0yNS4yOQEIAAAABQAAAAExAQAAAAoxODk2ODIwNTE3AwAAAAMxNjACAAAABDIwMDMEAAAAATAHAAAACTMvMjkvMjAyNggAAAAJNS8yOC8yMDE2CQAAAAEwjYF/ekSN3gj8RkV8RI3eCDdDSVEuTkFTREFROkNBTE0uSVFfVU5MRVZFUkVEX0ZDRi45OTIuMjkvMDMvMjAyNi4uLlVTRC5IAQAAACB6BQACAAAACi0xNDYuMzg4MjUBCAAAAAUAAAABMQEAAAAKMTk3MjAxMjEyMQMAAAADMTYwAgAAAAQ0NDIzBAAAAAEwBwAAAAkzLzI5LzIwMjYIAAAACDYvMy8yMDE3CQAAAAEwjYF/ekSN3gjNuoB+RI3eCDtD</t>
  </si>
  <si>
    <t>SVEuTkFTREFROkNBTE0uSVFfQ0FTSF9UQVhFU19JTlZFU1QuOTkxLjI5LzAzLzIwMjYuLi5VU0QuSAEAAAAgegUAAwAAAAAAjYF/ekSN3gg7MUR8RI3eCDRDSVEuTkFTREFROkNBTE0uSVFfQ0FTSF9UQVhFUy45OTIuMjkvMDMvMjAyNi4uLlVTRC5IAQAAACB6BQACAAAABy0xNS4yMzMBCAAAAAUAAAABMQEAAAAKMTk3MjAxMjEyMQMAAAADMTYwAgAAAAQzMDUzBAAAAAEwBwAAAAkzLzI5LzIwMjYIAAAACDYvMy8yMDE3CQAAAAEwG1l/ekSN3ghZkoF+RI3eCEtDSVEuTkFTREFROkNBTE0uSVFfTE9OR19URVJNX0RFQlRfUkVQQUlEX0VYQ0xfTEVBU0VTLjk5MS4yOS8wMy8yMDI2Li4uVVNELkgBAAAAIHoFAAIAAAAGLTI1LjI5AQgAAAAFAAAAATEBAAAACjE4OTY4MjA1MTcDAAAAAzE2MAIAAAAFNDg5ODQEAAAAATAHAAAACTMvMjkvMjAyNggAAAAJNS8yOC8yMDE2CQAAAAEwjYF/ekSN3gh7f0Z8RI3eCEVDSVEuTkFTREFROkNBTE0uSVFfT1BFUkFUSU5HX0xFQVNFX0xJQUJJTElUSUVTLjk5Mi4yOS8wMy8yMDI2Li4uVVNELkgBAAAAIHoFAAMAAAAAAI2Bf3pEjd4IlPd/fkSN3ghAQ0lRLk5BU0RBUTpDQUxNLklRX0ZJTl9ESVZfTE9BTlNfQ1VSUkVOVC4yMDAwLjI5LzAzLzIwMjYuLi5VU0QuSAEAAAAgegUAAwAAAAAAtViAekSN3gitoEh8RI3eCDVDSVEuTkFTREFROkNBTE0uSVFfQ0FTSF9FUVVJVi4y</t>
  </si>
  <si>
    <t>MDAwLjI5LzAzLzIwMjYuLi5VU0QuSAEAAAAgegUAAgAAAAYzNjkuNDUBCAAAAAUAAAABMQEAAAALLTE5MTA2Mjc4MzgDAAAAAzE2MAIAAAAEMTA5NgQAAAABMAcAAAAJMy8yOS8yMDI2CAAAAAoxMS8yOS8yMDI1CQAAAAEwjYF/ekSN3ggbBkd8RI3eCDtDSVEuTkFTREFROkNBTE0uSVFfRklOX0RJVl9BU1NFVFNfTFQuOTkyLjI5LzAzLzIwMjYuLi5VU0QuSAEAAAAgegUAAwAAAAAA2X+AekSN3gjSwHx+RI3eCCxDSVEuTkFTREFROkNBTE0uSVFfR1cuOTkyLjI5LzAzLzIwMjYuLi5VU0QuSAEAAAAgegUAAgAAAAYzNS41MjUBCAAAAAUAAAABMQEAAAAKMTk3MjAxMjEyMQMAAAADMTYwAgAAAAQxMTcxBAAAAAEwBwAAAAkzLzI5LzIwMjYIAAAACDYvMy8yMDE3CQAAAAEw2X+AekSN3giZFn1+RI3eCDZDSVEuTkFTREFROkNBTE0uSVFfVE9UQUxfQVNTRVRTLjk5MS4yOS8wMy8yMDI2Li4uVVNELkgBAAAAIHoFAAIAAAAIMTExMS43NjUBCAAAAAUAAAABMQEAAAAKMTg5NjgyMDUxNwMAAAADMTYwAgAAAAQxMDA3BAAAAAEwBwAAAAkzLzI5LzIwMjYIAAAACTUvMjgvMjAxNgkAAAABMNl/gHpEjd4IR05OfESN3gg7Q0lRLk5BU0RBUTpDQUxNLklRX0RFRl9UQVhfQVNTRVRTX0xULjk5Mi4yOS8wMy8yMDI2Li4uVVNELkgBAAAAIHoFAAMAAAAAANl/gHpEjd4IiZJ8fkSN3ggxQ0lRLk5BU0RBUTpDQUxNLklRX1JV</t>
  </si>
  <si>
    <t>QV9ORVQuOTkyLjI5LzAzLzIwMjYuLi5VU0QuSAEAAAAgegUAAwAAAAAAluAsekSN3gg2JHh+RI3eCD5DSVEuTkFTREFROkNBTE0uSVFfQ0FQSVRBTElaRURfSU5URVJFU1QuOTkwLjI5LzAzLzIwMjYuLi5VU0QuSAEAAAAgegUAAgAAAAMxLjIBCAAAAAUAAAABMQEAAAAKMTg1MDIyMDg0NQMAAAADMTYwAgAAAAQzMDMyBAAAAAEwBwAAAAkzLzI5LzIwMjYIAAAACTUvMzAvMjAxNQkAAAABMH0ylnpEjd4IXBYsfESN3gg4Q0lRLk5BU0RBUTpDQUxNLklRX0FTU0VUU19MRVZFTF8xLjk5Mi4yOS8wMy8yMDI2Li4uVVNELkgBAAAAIHoFAAIAAAAFMi40NTkAomktekSN3giIBnF+RI3eCDtDSVEuTkFTREFROkNBTE0uSVFfQUxMT1dfRE9VQlRfQUNDVC4yMDAwLjI5LzAzLzIwMjYuLi5VU0QuSAEAAAAgegUAAwAAAAAAwS4tekSN3giR51p8RI3eCDNDSVEuTkFTREFROkNBTE0uSVFfQlZfU0hBUkUuMjAwMC4yOS8wMy8yMDI2Li4uVVNELkgBAAAAIHoFAAIAAAAJNTYuNDc5MjI1AQgAAAAFAAAAATEBAAAACy0xOTEwNjI3ODM4AwAAAAMxNjACAAAABDQwMjAEAAAAATAHAAAACTMvMjkvMjAyNggAAAAKMTEvMjkvMjAyNQkAAAABMMEuLXpEjd4IezBYfESN3gg6Q0lRLk5BU0RBUTpDQUxNLklRX0lOVF9FWFBfSU5DTF9DQVAuOTkwLjI5LzAzLzIwMjYuLi5VU0QuSAEAAAAgegUAAgAAAAUzLjUxMwEIAAAABQAAAAEx</t>
  </si>
  <si>
    <t>AQAAAAoxODUwMjIwODQ1AwAAAAMxNjACAAAABTIxODYxBAAAAAEwBwAAAAkzLzI5LzIwMjYIAAAACTUvMzAvMjAxNQkAAAABMH0ylnpEjd4IVuEsfESN3gg0Q0lRLk5BU0RBUTpDQUxNLklRX0NPTU1PTl9ESVYuOTkyLjI5LzAzLzIwMjYuLi5VU0QuSAEAAAAgegUAAwAAAAAAfTKWekSN3ghn6o5+RI3eCDhDSVEuTkFTREFROkNBTE0uSVFfTUlOSU1VTV9SRU5UQUwuOTkwLjI5LzAzLzIwMjYuLi5VU0QuSAEAAAAgegUAAwAAAAAAilmWekSN3ggk4i98RI3eCDtDSVEuTkFTREFROkNBTE0uSVFfTkVUX1JFTlRBTF9FWFBfRk4uOTkyLjI5LzAzLzIwMjYuLi5VU0QuSAEAAAAgegUAAgAAAAUzLjk3NQEIAAAABQAAAAExAQAAAAoxOTcyMDEyMTIxAwAAAAMxNjACAAAABDMxNzAEAAAAATAHAAAACTMvMjkvMjAyNggAAAAINi8zLzIwMTcJAAAAATCKWZZ6RI3eCBFOjn5Ejd4IPENJUS5OQVNEQVE6Q0FMTS5JUV9SRVNUUlVDVFVSRV9TVVBQTEUuOTkyLjI5LzAzLzIwMjYuLi5VU0QuSAEAAAAgegUAAwAAAAAAilmWekSN3ghI2ox+RI3eCDVDSVEuTkFTREFROkNBTE0uSVFfSVBSRF9TVVBQTEUuOTkwLjI5LzAzLzIwMjYuLi5VU0QuSAEAAAAgegUAAwAAAAAAlICWekSN3gjjPzJ8RI3eCDlDSVEuTkFTREFROkNBTE0uSVFfU1RPQ0tfQkFTRURfU0dBLjk5MC4yOS8wMy8yMDI2Li4uVVNELkgBAAAAIHoFAAIAAAAF</t>
  </si>
  <si>
    <t>Mi45NTUBCAAAAAUAAAABMQEAAAAKMTg1MDIyMDg0NQMAAAADMTYwAgAAAAUyMjY3OQQAAAABMAcAAAAJMy8yOS8yMDI2CAAAAAk1LzMwLzIwMTUJAAAAATCNgX96RI3eCFOyNHxEjd4IOkNJUS5OQVNEQVE6Q0FMTS5JUV9TVE9DS19CQVNFRF9DT0dTLjk5Mi4yOS8wMy8yMDI2Li4uVVNELkgBAAAAIHoFAAMAAAAAAJSAlnpEjd4IfI2LfkSN3ghAQ0lRLk5BU0RBUTpDQUxNLklRX1NUT0NLX09QVElPTlNfQ09NUF9UQVguOTkyLjI5LzAzLzIwMjYuLi5VU0QuSAEAAAAgegUAAwAAAAAASLx/ekSN3gjgGYp+RI3eCDhDSVEuTkFTREFROkNBTE0uSVFfU1RPQ0tfQkFTRURfQVQuOTkwLjI5LzAzLzIwMjYuLi5VU0QuSAEAAAAgegUAAwAAAAAASLx/ekSN3gi6dTV8RI3eCDtDSVEuTkFTREFROkNBTE0uSVFfR1dfSU5UQU5fQU1PUlRfQ0YuOTkwLjI5LzAzLzIwMjYuLi5VU0QuSAEAAAAgegUAAgAAAAMyLjkBCAAAAAUAAAABMQEAAAAKMTg1MDIyMDg0NQMAAAADMTYwAgAAAAQyMTgyBAAAAAEwBwAAAAkzLzI5LzIwMjYIAAAACTUvMzAvMjAxNQkAAAABMEi8f3pEjd4Itq83fESN3gg+Q0lRLk5BU0RBUTpDQUxNLklRX1NUT0NLX0JBU0VEX0NPTVBfVEFYLjk5Mi4yOS8wMy8yMDI2Li4uVVNELkgBAAAAIHoFAAMAAAAAAEi8f3pEjd4IysuJfkSN3gg+Q0lRLk5BU0RBUTpDQUxNLklRX1RBWF9CRU5FRklUX09QVElP</t>
  </si>
  <si>
    <t>TlMuMjAwMC4yOS8wMy8yMDI2Li4uVVNELkgBAAAAIHoFAAMAAAAAAIvjf3pEjd4IeOY5fESN3gg4Q0lRLk5BU0RBUTpDQUxNLklRX0NSRURJVF9MT1NTX0NGLjk5Mi4yOS8wMy8yMDI2Li4uVVNELkgBAAAAIHoFAAMAAAAAAIvjf3pEjd4IPn+IfkSN3gg4Q0lRLk5BU0RBUTpDQUxNLklRX0NIQU5HRV9JTkNfVEFYLjk5MS4yOS8wMy8yMDI2Li4uVVNELkgBAAAAIHoFAAMAAAAAAIvjf3pEjd4I4gs7fESN3gg4Q0lRLk5BU0RBUTpDQUxNLklRX09USEVSX09QRVJfQUNULjk5Mi4yOS8wMy8yMDI2Li4uVVNELkgBAAAAIHoFAAIAAAAGMTQuNDc1AQgAAAAFAAAAATEBAAAACjE5NzIwMTIxMjEDAAAAAzE2MAIAAAAEMjA0NwQAAAABMAcAAAAJMy8yOS8yMDI2CAAAAAg2LzMvMjAxNwkAAAABMIvjf3pEjd4I57uHfkSN3gg2Q0lRLk5BU0RBUTpDQUxNLklRX1NBTEVfUFBFX0NGLjIwMDAuMjkvMDMvMjAyNi4uLlVTRC5IAQAAACB6BQACAAAABTAuMDExAQgAAAAFAAAAATEBAAAACy0xOTEwNjI3ODM4AwAAAAMxNjACAAAABDIwNDIEAAAAATAHAAAACTMvMjkvMjAyNggAAAAKMTEvMjkvMjAyNQkAAAABMIvjf3pEjd4Iiwo8fESN3gg8Q0lRLk5BU0RBUTpDQUxNLklRX1RPVEFMX0RFQlRfUkVQQUlELjIwMDAuMjkvMDMvMjAyNi4uLlVTRC5IAQAAACB6BQACAAAABi0wLjAwNAEIAAAABQAAAAExAQAAAAstMTkxMDYy</t>
  </si>
  <si>
    <t>NzgzOAMAAAADMTYwAgAAAAQyMTY2BAAAAAEwBwAAAAkzLzI5LzIwMjYIAAAACjExLzI5LzIwMjUJAAAAATDXCoB6RI3eCGNBPnxEjd4IPENJUS5OQVNEQVE6Q0FMTS5JUV9DT01NT05fUFJFRl9ESVZfQ0YuOTkwLjI5LzAzLzIwMjYuLi5VU0QuSAEAAAAgegUAAwAAAAAA1wqAekSN3gjPOT98RI3eCDNDSVEuTkFTREFROkNBTE0uSVFfUFJFRl9SRVAuMjAwMC4yOS8wMy8yMDI2Li4uVVNELkgBAAAAIHoFAAMAAAAAANcKgHpEjd4Ijd0+fESN3ghFQ0lRLk5BU0RBUTpDQUxNLklRX1NBTEVfUFJPQ0VFRFNfUkVOVEFMX0FTU0VUUy45OTEuMjkvMDMvMjAyNi4uLlVTRC5IAQAAACB6BQADAAAAAACmMYB6RI3eCGhvQnxEjd4INENJUS5OQVNEQVE6Q0FMTS5JUV9DQVNIX1RBWEVTLjk5MS4yOS8wMy8yMDI2Li4uVVNELkgBAAAAIHoFAAIAAAAGMTY2Ljg0AQgAAAAFAAAAATEBAAAACjE4OTY4MjA1MTcDAAAAAzE2MAIAAAAEMzA1MwQAAAABMAcAAAAJMy8yOS8yMDI2CAAAAAk1LzI4LzIwMTYJAAAAATAbWX96RI3eCAu8Q3xEjd4IRUNJUS5OQVNEQVE6Q0FMTS5JUV9PUEVSQVRJTkdfTEVBU0VfTElBQklMSVRJRVMuOTkxLjI5LzAzLzIwMjYuLi5VU0QuSAEAAAAgegUAAwAAAAAAjYF/ekSN3ghdCkZ8RI3eCDlDSVEuTkFTREFROkNBTE0uSVFfTkVUX0RFQlRfSVNTVUVELjk5MC4yOS8wMy8yMDI2Li4uVVNELkgB</t>
  </si>
  <si>
    <t>AAAAIHoFAAIAAAAHLTEwLjIzMwEIAAAABQAAAAExAQAAAAoxODUwMjIwODQ1AwAAAAMxNjACAAAABDIwMDMEAAAAATAHAAAACTMvMjkvMjAyNggAAAAJNS8zMC8yMDE1CQAAAAEwjYF/ekSN3gj8RkV8RI3eCDdDSVEuTkFTREFROkNBTE0uSVFfVU5MRVZFUkVEX0ZDRi45OTEuMjkvMDMvMjAyNi4uLlVTRC5IAQAAACB6BQACAAAACTI1NC43MzIyNQEIAAAABQAAAAExAQAAAAoxODk2ODIwNTE3AwAAAAMxNjACAAAABDQ0MjMEAAAAATAHAAAACTMvMjkvMjAyNggAAAAJNS8yOC8yMDE2CQAAAAEwjYF/ekSN3gjB9UR8RI3eCEBDSVEuTkFTREFROkNBTE0uSVFfREVGX1RBWF9BU1NFVFNfQ1VSUkVOVC45OTIuMjkvMDMvMjAyNi4uLlVTRC5IAQAAACB6BQADAAAAAADZf4B6RI3eCA7afX5Ejd4IO0NJUS5OQVNEQVE6Q0FMTS5JUV9ERUZfVEFYX0FTU0VUU19MVC45OTAuMjkvMDMvMjAyNi4uLlVTRC5IAQAAACB6BQADAAAAAADZf4B6RI3eCL7rTXxEjd4ILENJUS5OQVNEQVE6Q0FMTS5JUV9HVy45OTEuMjkvMDMvMjAyNi4uLlVTRC5IAQAAACB6BQACAAAABjI5LjE5NgEIAAAABQAAAAExAQAAAAoxODk2ODIwNTE3AwAAAAMxNjACAAAABDExNzEEAAAAATAHAAAACTMvMjkvMjAyNggAAAAJNS8yOC8yMDE2CQAAAAEw2X+AekSN3ghnAU18RI3eCDlDSVEuTkFTREFROkNBTE0uSVFfRklOX0RJVl9ERUJUX0xULjk5</t>
  </si>
  <si>
    <t>MS4yOS8wMy8yMDI2Li4uVVNELkgBAAAAIHoFAAMAAAAAAA2ngHpEjd4ID/pQfESN3ggxQ0lRLk5BU0RBUTpDQUxNLklRX1JVQV9ORVQuOTkxLjI5LzAzLzIwMjYuLi5VU0QuSAEAAAAgegUAAwAAAAAAluAsekSN3gjmk1R8RI3eCDJDSVEuTkFTREFROkNBTE0uSVFfVE9UQUxfQ0wuOTkwLjI5LzAzLzIwMjYuLi5VU0QuSAEAAAAgegUAAgAAAAcxMDEuNTQ2AQgAAAAFAAAAATEBAAAACjE4NTAyMjA4NDUDAAAAAzE2MAIAAAAEMTAwOQQAAAABMAcAAAAJMy8yOS8yMDI2CAAAAAk1LzMwLzIwMTUJAAAAATANp4B6RI3eCMZdUHxEjd4IPkNJUS5OQVNEQVE6Q0FMTS5JUV9GSU5fRElWX0RFQlRfQ1VSUkVOVC45OTEuMjkvMDMvMjAyNi4uLlVTRC5IAQAAACB6BQADAAAAAADZf4B6RI3eCECaT3xEjd4INUNJUS5OQVNEQVE6Q0FMTS5JUV9QUkVGX1JFREVFTS45OTAuMjkvMDMvMjAyNi4uLlVTRC5IAQAAACB6BQADAAAAAAANp4B6RI3eCOLnUXxEjd4IOkNJUS5OQVNEQVE6Q0FMTS5JUV9MT05HX1RFUk1fTEVBU0VTLjk5Mi4yOS8wMy8yMDI2Li4uVVNELkgBAAAAIHoFAAMAAAAAAA2ngHpEjd4IXKl6fkSN3gg2Q0lRLk5BU0RBUTpDQUxNLklRX1BSRUZfQ09OVkVSVC45OTIuMjkvMDMvMjAyNi4uLlVTRC5IAQAAACB6BQADAAAAAAANp4B6RI3eCNyDeX5Ejd4IM0NJUS5OQVNEQVE6Q0FMTS5JUV9SVUFfR1JPU1Mu</t>
  </si>
  <si>
    <t>OTkyLjI5LzAzLzIwMjYuLi5VU0QuSAEAAAAgegUAAwAAAAAAluAsekSN3gg2JHh+RI3eCDZDSVEuTkFTREFROkNBTE0uSVFfVE9UQUxfRVFVSVRZLjk5MC4yOS8wMy8yMDI2Li4uVVNELkgBAAAAIHoFAAIAAAAHNzA0LjU2MgEIAAAABQAAAAExAQAAAAoxODUwMjIwODQ1AwAAAAMxNjACAAAABDEyNzUEAAAAATAHAAAACTMvMjkvMjAyNggAAAAJNS8zMC8yMDE1CQAAAAEwluAsekSN3ghA+FN8RI3eCD9DSVEuTkFTREFROkNBTE0uSVFfVE9UQUxfRklOQU5DRV9MRUFTRVMuMjAwMC4yOS8wMy8yMDI2Li4uVVNELkgBAAAAIHoFAAMAAAAAALoHLXpEjd4IIJZWfESN3ghAQ0lRLk5BU0RBUTpDQUxNLklRX0ZJTkFOQ0VfTEVBU0VTX0NVUlJFTlQuOTkyLjI5LzAzLzIwMjYuLi5VU0QuSAEAAAAgegUAAwAAAAAAugctekSN3gj5+3Z+RI3eCD1DSVEuTkFTREFROkNBTE0uSVFfQURfRVhDTF9PUEVSX0xFQVNFUy45OTIuMjkvMDMvMjAyNi4uLlVTRC5IAQAAACB6BQACAAAACC00NjguOTk1AQgAAAAFAAAAATEBAAAACjE5NzIwMTIxMjEDAAAAAzE2MAIAAAAFNDg5NzUEAAAAATAHAAAACTMvMjkvMjAyNggAAAAINi8zLzIwMTcJAAAAATC6By16RI3eCA8jd35Ejd4IQUNJUS5OQVNEQVE6Q0FMTS5JUV9SVUFfT1BFUkFUSU5HX0xFQVNFX05FVC45OTAuMjkvMDMvMjAyNi4uLlVTRC5IAQAAACB6BQADAAAAAAC6By16</t>
  </si>
  <si>
    <t>RI3eCCB+VXxEjd4INENJUS5OQVNEQVE6Q0FMTS5JUV9UQlZfU0hBUkUuMjAwMC4yOS8wMy8yMDI2Li4uVVNELkgBAAAAIHoFAAIAAAAJNTMuNDk2MjY0AQgAAAAFAAAAATEBAAAACy0xOTEwNjI3ODM4AwAAAAMxNjACAAAABDQxNTYEAAAAATAHAAAACTMvMjkvMjAyNggAAAAKMTEvMjkvMjAyNQkAAAABMMEuLXpEjd4ItqVYfESN3gg7Q0lRLk5BU0RBUTpDQUxNLklRX0JWX1NIQVJFX1JFUE9SVEVELjk5Mi4yOS8wMy8yMDI2Li4uVVNELkgBAAAAIHoFAAMAAAAAAMEuLXpEjd4IedZ1fkSN3gg3Q0lRLk5BU0RBUTpDQUxNLklRX0VRVUlUWV9NRVRIT0QuOTkxLjI5LzAzLzIwMjYuLi5VU0QuSAEAAAAgegUAAgAAAAQ0Ny41AQgAAAAFAAAAATEBAAAACjE4OTY4MjA1MTcDAAAAAzE2MAIAAAAEMzA2MwQAAAABMAcAAAAJMy8yOS8yMDI2CAAAAAk1LzI4LzIwMTYJAAAAATDBLi16RI3eCLbAWnxEjd4INENJUS5OQVNEQVE6Q0FMTS5JUV9DQVNIX1NIQVJFLjk5MS4yOS8wMy8yMDI2Li4uVVNELkgBAAAAIHoFAAIAAAAHMC41OTg0MwEIAAAABQAAAAExAQAAAAoxODk2ODIwNTE3AwAAAAMxNjACAAAABDQzODEEAAAAATAHAAAACTMvMjkvMjAyNggAAAAJNS8yOC8yMDE2CQAAAAEwwS4tekSN3gje/Vh8RI3eCDRDSVEuTkFTREFROkNBTE0uSVFfQlVJTERJTkdTLjIwMDAuMjkvMDMvMjAyNi4uLlVTRC5IAQAAACB6</t>
  </si>
  <si>
    <t>BQADAAAAAADAVS16RI3eCFBxXHxEjd4IMUNJUS5OQVNEQVE6Q0FMTS5JUV9XSVBfSU5WLjk5MS4yOS8wMy8yMDI2Li4uVVNELkgBAAAAIHoFAAMAAAAAAMEuLXpEjd4IDa1bfESN3ghIQ0lRLk5BU0RBUTpDQUxNLklRX1RPVEFMX0dFTkVSQUxfUEFSVE5FUl9JTlRFUkVTVC45OTIuMjkvMDMvMjAyNi4uLlVTRC5IAQAAACB6BQADAAAAAACiaS16RI3eCJlUcX5Ejd4IQ0NJUS5OQVNEQVE6Q0FMTS5JUV9GSU5fRElWX01JTk9SSVRZX0lOVEVSRVNULjk5MS4yOS8wMy8yMDI2Li4uVVNELkgBAAAAIHoFAAMAAAAAAKJpLXpEjd4IyQtefESN3gg9Q0lRLk5BU0RBUTpDQUxNLklRX01JTk9SSVRZX0lOVF9SRURFRU0uOTkwLjI5LzAzLzIwMjYuLi5VU0QuSAEAAAAgegUAAwAAAAAAwFUtekSN3giAW118RI3eCDlDSVEuTkFTREFROkNBTE0uSVFfQVNTRVRTX0xFVkVMXzMuMjAwMC4yOS8wMy8yMDI2Li4uVVNELkgBAAAAIHoFAAMAAAAAAKJpLXpEjd4I1PlffESN3ghAQ0lRLk5BU0RBUTpDQUxNLklRX0NPTlRJTkdFTlRfTElBQklMSVRJRVMuOTkxLjI5LzAzLzIwMjYuLi5VU0QuSAEAAAAgegUAAwAAAAAAAooXekSN3ggy/GJ8RI3eCEVDSVEuTkFTREFROkNBTE0uSVFfUkVTVFJJQ1RFRF9DQVNIX05PTl9DVVJSRU5ULjk5MC4yOS8wMy8yMDI2Li4uVVNELkgBAAAAIHoFAAMAAAAAAAKKF3pEjd4IDmBifESN3gg5</t>
  </si>
  <si>
    <t>Q0lRLk5BU0RBUTpDQUxNLklRX0lOVEVSQ09NUEFOWV9DTC45OTIuMjkvMDMvMjAyNi4uLlVTRC5IAQAAACB6BQADAAAAAAD7sBd6RI3eCHE2bH5Ejd4IMENJUS5OQVNEQVE6Q0FMTS5JUV9HV19ORVQuOTkwLjI5LzAzLzIwMjYuLi5VU0QuSAEAAAAgegUAAwAAAAAA+7AXekSN3gjvvWV8RI3eCDJDSVEuTkFTREFROkNBTE0uSVFfR1JPU1NfR1cuOTkwLjI5LzAzLzIwMjYuLi5VU0QuSAEAAAAgegUAAwAAAAAA+7AXekSN3gic+WR8RI3eCDZDSVEuTkFTREFROkNBTE0uSVFfVE9UQUxfQVNTRVRTLjk5Mi4yOS8wMy8yMDI2Li4uVVNELkgBAAAAIHoFAAIAAAAIMTAzMy4wOTQBCAAAAAUAAAABMQEAAAAKMTk3MjAxMjEyMQMAAAADMTYwAgAAAAQxMDA3BAAAAAEwBwAAAAkzLzI5LzIwMjYIAAAACDYvMy8yMDE3CQAAAAEw2X+AekSN3ghlHXx+RI3eCDpDSVEuTkFTREFROkNBTE0uSVFfTE9OR19URVJNX0xFQVNFUy45OTEuMjkvMDMvMjAyNi4uLlVTRC5IAQAAACB6BQADAAAAAAANp4B6RI3eCOOrUHxEjd4IOUNJUS5OQVNEQVE6Q0FMTS5JUV9PVEhFUl9DTF9TVVBQTC4yMDAwLjI5LzAzLzIwMjYuLi5VU0QuSAEAAAAgegUAAgAAAAYzNC4yODMBCAAAAAUAAAABMQEAAAALLTE5MTA2Mjc4MzgDAAAAAzE2MAIAAAAEMTA1NwQAAAABMAcAAAAJMy8yOS8yMDI2CAAAAAoxMS8yOS8yMDI1CQAAAAEwDaeAekSN3gjG</t>
  </si>
  <si>
    <t>XVB8RI3eCD5DSVEuTkFTREFROkNBTE0uSVFfRklOX0RJVl9ERUJUX0NVUlJFTlQuOTkwLjI5LzAzLzIwMjYuLi5VU0QuSAEAAAAgegUAAwAAAAAA2X+AekSN3ghAmk98RI3eCDZDSVEuTkFTREFROkNBTE0uSVFfUFJFRl9DT05WRVJULjk5MS4yOS8wMy8yMDI2Li4uVVNELkgBAAAAIHoFAAMAAAAAAA2ngHpEjd4IT11SfESN3gg1Q0lRLk5BU0RBUTpDQUxNLklRX1RPVEFMX0xJQUIuMjAwMC4yOS8wMy8yMDI2Li4uVVNELkgBAAAAIHoFAAIAAAAHNDQ2LjI5OAEIAAAABQAAAAExAQAAAAstMTkxMDYyNzgzOAMAAAADMTYwAgAAAAQxMjc2BAAAAAEwBwAAAAkzLzI5LzIwMjYIAAAACjExLzI5LzIwMjUJAAAAATANp4B6RI3eCOLnUXxEjd4IPENJUS5OQVNEQVE6Q0FMTS5JUV9NSU5PUklUWV9JTlRFUkVTVC4yMDAwLjI5LzAzLzIwMjYuLi5VU0QuSAEAAAAgegUAAgAAAAU2LjMwNQEIAAAABQAAAAExAQAAAAstMTkxMDYyNzgzOAMAAAADMTYwAgAAAAQxMDUyBAAAAAEwBwAAAAkzLzI5LzIwMjYIAAAACjExLzI5LzIwMjUJAAAAATCW4Cx6RI3eCED4U3xEjd4ISENJUS5OQVNEQVE6Q0FMTS5JUV9SVUFfT1BFUkFUSU5HX0xFQVNFX0FDQ1VNX0RFUC4yMDAwLjI5LzAzLzIwMjYuLi5VU0QuSAEAAAAgegUAAwAAAAAAugctekSN3gggflV8RI3eCDNDSVEuTkFTREFROkNBTE0uSVFfUlVBX0dST1NTLjk5MS4yOS8w</t>
  </si>
  <si>
    <t>My8yMDI2Li4uVVNELkgBAAAAIHoFAAMAAAAAAJbgLHpEjd4IV0VUfESN3ghAQ0lRLk5BU0RBUTpDQUxNLklRX0ZJTkFOQ0VfTEVBU0VTX0NVUlJFTlQuOTkxLjI5LzAzLzIwMjYuLi5VU0QuSAEAAAAgegUAAwAAAAAAugctekSN3gjRR1Z8RI3eCD1DSVEuTkFTREFROkNBTE0uSVFfQURfRVhDTF9PUEVSX0xFQVNFUy45OTEuMjkvMDMvMjAyNi4uLlVTRC5IAQAAACB6BQACAAAACC00MzAuMzcxAQgAAAAFAAAAATEBAAAACjE4OTY4MjA1MTcDAAAAAzE2MAIAAAAFNDg5NzUEAAAAATAHAAAACTMvMjkvMjAyNggAAAAJNS8yOC8yMDE2CQAAAAEwugctekSN3gi9+VV8RI3eCDRDSVEuTkFTREFROkNBTE0uSVFfQ0FTSF9TSEFSRS45OTAuMjkvMDMvMjAyNi4uLlVTRC5IAQAAACB6BQACAAAACDAuMTc4NzA4AQgAAAAFAAAAATEBAAAACjE4NTAyMjA4NDUDAAAAAzE2MAIAAAAENDM4MQQAAAABMAcAAAAJMy8yOS8yMDI2CAAAAAk1LzMwLzIwMTUJAAAAATDBLi16RI3eCN79WHxEjd4IO0NJUS5OQVNEQVE6Q0FMTS5JUV9CVl9TSEFSRV9SRVBPUlRFRC45OTAuMjkvMDMvMjAyNi4uLlVTRC5IAQAAACB6BQADAAAAAADBLi16RI3eCHswWHxEjd4IN0NJUS5OQVNEQVE6Q0FMTS5JUV9FUVVJVFlfTUVUSE9ELjk5MC4yOS8wMy8yMDI2Li4uVVNELkgBAAAAIHoFAAIAAAAEMTMuMQEIAAAABQAAAAExAQAAAAoxODUwMjIw</t>
  </si>
  <si>
    <t>ODQ1AwAAAAMxNjACAAAABDMwNjMEAAAAATAHAAAACTMvMjkvMjAyNggAAAAJNS8zMC8yMDE1CQAAAAEwwS4tekSN3giR51p8RI3eCEFDSVEuTkFTREFROkNBTE0uSVFfTUlOT1JJVFlfSU5URVJFU1RfVE9UQUwuOTkyLjI5LzAzLzIwMjYuLi5VU0QuSAEAAAAgegUAAgAAAAUxLjgwNgEIAAAABQAAAAExAQAAAAoxOTcyMDEyMTIxAwAAAAMxNjACAAAABDEzMTIEAAAAATAHAAAACTMvMjkvMjAyNggAAAAINi8zLzIwMTcJAAAAATDBLi16RI3eCNyJdH5Ejd4IMUNJUS5OQVNEQVE6Q0FMTS5JUV9XSVBfSU5WLjk5MC4yOS8wMy8yMDI2Li4uVVNELkgBAAAAIHoFAAMAAAAAAMEuLXpEjd4IDa1bfESN3ghDQ0lRLk5BU0RBUTpDQUxNLklRX0ZJTl9ESVZfTUlOT1JJVFlfSU5URVJFU1QuOTkwLjI5LzAzLzIwMjYuLi5VU0QuSAEAAAAgegUAAwAAAAAAomktekSN3gjJC158RI3eCDhDSVEuTkFTREFROkNBTE0uSVFfQUNDVU1fQU1PUlRfR1cuOTkxLjI5LzAzLzIwMjYuLi5VU0QuSAEAAAAgegUAAwAAAAAA+7AXekSN3ggTDmV8RI3eCC1DSVEuTkFTREFROkNBTE0uSVFfQ0lQLjk5MS4yOS8wMy8yMDI2Li4uVVNELkgBAAAAIHoFAAIAAAAGNTAuMTc4AQgAAAAFAAAAATEBAAAACjE4OTY4MjA1MTcDAAAAAzE2MAIAAAAEMzAzMwQAAAABMAcAAAAJMy8yOS8yMDI2CAAAAAk1LzI4LzIwMTYJAAAAATDAVS16RI3eCHAN</t>
  </si>
  <si>
    <t>XXxEjd4IO0NJUS5OQVNEQVE6Q0FMTS5JUV9GSU5fRElWX1NUX0lOVkVTVC45OTIuMjkvMDMvMjAyNi4uLlVTRC5IAQAAACB6BQADAAAAAAACihd6RI3eCNVEb35Ejd4IPUNJUS5OQVNEQVE6Q0FMTS5JUV9MSUFCSUxJVElFU19MRVZFTF8zLjk5Mi4yOS8wMy8yMDI2Li4uVVNELkgBAAAAIHoFAAMAAAAAAOZiF3pEjd4IGghwfkSN3gg+Q0lRLk5BU0RBUTpDQUxNLklRX1dBUlJBTlRZX0xJQUJJTElUSUVTLjk5MC4yOS8wMy8yMDI2Li4uVVNELkgBAAAAIHoFAAMAAAAAAAKKF3pEjd4IMvxifESN3ggxQ0lRLk5BU0RBUTpDQUxNLklRX1BFTlNJT04uOTkyLjI5LzAzLzIwMjYuLi5VU0QuSAEAAAAgegUAAwAAAAAADaeAekSN3ggtNHp+RI3eCDlDSVEuTkFTREFROkNBTE0uSVFfRklOX0RJVl9MSUFCX0xULjk5MC4yOS8wMy8yMDI2Li4uVVNELkgBAAAAIHoFAAMAAAAAAA2ngHpEjd4IGyFRfESN3ggyQ0lRLk5BU0RBUTpDQUxNLklRX1RSRUFTVVJZLjk5Mi4yOS8wMy8yMDI2Li4uVVNELkgBAAAAIHoFAAIAAAAHLTIzLjkxNAEIAAAABQAAAAExAQAAAAoxOTcyMDEyMTIxAwAAAAMxNjACAAAABDEyNDgEAAAAATAHAAAACTMvMjkvMjAyNggAAAAINi8zLzIwMTcJAAAAATCKuSx6RI3eCIPneH5Ejd4IRUNJUS5OQVNEQVE6Q0FMTS5JUV9SVUFfQ0FQSVRBTF9MRUFTRV9BQ0NVTV9ERVAuOTkyLjI5LzAzLzIwMjYu</t>
  </si>
  <si>
    <t>Li5VU0QuSAEAAAAgegUAAwAAAAAAluAsekSN3ggh0Hd+RI3eCEZDSVEuTkFTREFROkNBTE0uSVFfVE9UQUxfREVCVF9FWENMX09QRVJfTEVBU0VTLjIwMDAuMjkvMDMvMjAyNi4uLlVTRC5IAQAAACB6BQADAAAAAAC6By16RI3eCIG7V3xEjd4IOUNJUS5OQVNEQVE6Q0FMTS5JUV9ORVRfV09SS0lOR19DQVAuOTkwLjI5LzAzLzIwMjYuLi5VU0QuSAEAAAAgegUAAgAAAAcxNTguODU1AQgAAAAFAAAAATEBAAAACjE4NTAyMjA4NDUDAAAAAzE2MAIAAAAEMTMxMQQAAAABMAcAAAAJMy8yOS8yMDI2CAAAAAk1LzMwLzIwMTUJAAAAATDBLi16RI3eCMVxWnxEjd4IQENJUS5OQVNEQVE6Q0FMTS5JUV9UT1RBTF9ERUJUX05PTl9DVVJSRU5ULjk5MS4yOS8wMy8yMDI2Li4uVVNELkgBAAAAIHoFAAIAAAAEOS4yNQEIAAAABQAAAAExAQAAAAoxODk2ODIwNTE3AwAAAAMxNjACAAAABTI1MjI0BAAAAAEwBwAAAAkzLzI5LzIwMjYIAAAACTUvMjgvMjAxNgkAAAABMMEuLXpEjd4IFkxZfESN3ggtQ0lRLk5BU0RBUTpDQUxNLklRX1RCVi45OTAuMjkvMDMvMjAyNi4uLlVTRC5IAQAAACB6BQACAAAABzY2Ni44MDgBCAAAAAUAAAABMQEAAAAKMTg1MDIyMDg0NQMAAAADMTYwAgAAAAQxMzEwBAAAAAEwBwAAAAkzLzI5LzIwMjYIAAAACTUvMzAvMjAxNQkAAAABMMEuLXpEjd4ItqVYfESN3ghFQ0lRLk5BU0RBUTpDQUxNLklR</t>
  </si>
  <si>
    <t>X0ZJTl9ESVZfTUlOT1JJVFlfSU5UX1JFREVFTS45OTAuMjkvMDMvMjAyNi4uLlVTRC5IAQAAACB6BQADAAAAAADAVS16RI3eCGdvXXxEjd4IQUNJUS5OQVNEQVE6Q0FMTS5JUV9OQVRVUkFMX1JFU09VUkNFU19DT1NULjIwMDAuMjkvMDMvMjAyNi4uLlVTRC5IAQAAACB6BQADAAAAAADAVS16RI3eCHANXXxEjd4ISkNJUS5OQVNEQVE6Q0FMTS5JUV9GQUlSX1ZBTFVFX0NIQU5HRV9JTkNMX0VBUk5JTkdTLjIwMDAuMjkvMDMvMjAyNi4uLlVTRC5IAQAAACB6BQACAAAABS0xNi41AOZiF3pEjd4INjphfESN3gg9Q0lRLk5BU0RBUTpDQUxNLklRX0xJQUJJTElUSUVTX0xFVkVMXzMuOTkxLjI5LzAzLzIwMjYuLi5VU0QuSAEAAAAgegUAAwAAAAAA5mIXekSN3gjbnWB8RI3eCDhDSVEuTkFTREFROkNBTE0uSVFfQVNTRVRTX0xFVkVMXzEuOTkwLjI5LzAzLzIwMjYuLi5VU0QuSAEAAAAgegUAAgAAAAU0LjUwOACiaS16RI3eCL+EX3xEjd4IQUNJUS5OQVNEQVE6Q0FMTS5JUV9DT05USU5HRU5UX0xJQUJJTElUSUVTLjIwMDAuMjkvMDMvMjAyNi4uLlVTRC5IAQAAACB6BQACAAAAAzQuNwEIAAAABQAAAAExAQAAAAstMTkxMDYyNzgzOAMAAAADMTYwAgAAAAUyNDY3MQQAAAABMAcAAAAJMy8yOS8yMDI2CAAAAAoxMS8yOS8yMDI1CQAAAAEwAooXekSN3gj1NmN8RI3eCDxDSVEuTkFTREFROkNBTE0uSVFfTFRfTUFS</t>
  </si>
  <si>
    <t>S19TRUNVUklUSUVTLjk5MC4yOS8wMy8yMDI2Li4uVVNELkgBAAAAIHoFAAMAAAAAAPuwF3pEjd4IEw5lfESN3gg+Q0lRLk5BU0RBUTpDQUxNLklRX0RFUklWQVRJVkVfQVNTRVRTX0xULjk5MC4yOS8wMy8yMDI2Li4uVVNELkgBAAAAIHoFAAMAAAAAAAKKF3pEjd4IXF1kfESN3ggzQ0lRLk5BU0RBUTpDQUxNLklRX1RSRUFTVVJZLjIwMDAuMjkvMDMvMjAyNi4uLlVTRC5IAQAAACB6BQACAAAACC0xNjEuNDc3AQgAAAAFAAAAATEBAAAACy0xOTEwNjI3ODM4AwAAAAMxNjACAAAABDEyNDgEAAAAATAHAAAACTMvMjkvMjAyNggAAAAKMTEvMjkvMjAyNQkAAAABMIq5LHpEjd4I61tTfESN3ghGQ0lRLk5BU0RBUTpDQUxNLklRX1JVQV9DQVBJVEFMX0xFQVNFX0FDQ1VNX0RFUC4yMDAwLjI5LzAzLzIwMjYuLi5VU0QuSAEAAAAgegUAAwAAAAAAluAsekSN3gji4VR8RI3eCFJDSVEuTkFTREFROkNBTE0uSVFfRklOQU5DSU5HX09CTElHX0NVUlJFTlRfRVhDTF9PUEVSX0xFQVNFUy45OTIuMjkvMDMvMjAyNi4uLlVTRC5IAQAAACB6BQACAAAABTQuODI2AQgAAAAFAAAAATEBAAAACjE5NzIwMTIxMjEDAAAAAzE2MAIAAAAFNDg5ODAEAAAAATAHAAAACTMvMjkvMjAyNggAAAAINi8zLzIwMTcJAAAAATC6By16RI3eCKZLdn5Ejd4IQENJUS5OQVNEQVE6Q0FMTS5JUV9UT1RBTF9ERUJUX05PTl9DVVJSRU5ULjk5MC4y</t>
  </si>
  <si>
    <t>OS8wMy8yMDI2Li4uVVNELkgBAAAAIHoFAAIAAAAGNDAuNzk1AQgAAAAFAAAAATEBAAAACjE4NTAyMjA4NDUDAAAAAzE2MAIAAAAFMjUyMjQEAAAAATAHAAAACTMvMjkvMjAyNggAAAAJNS8zMC8yMDE1CQAAAAEwwS4tekSN3ggNc1l8RI3eCD1DSVEuTkFTREFROkNBTE0uSVFfVEJWX1NIQVJFX1JFUE9SVEVELjIwMDAuMjkvMDMvMjAyNi4uLlVTRC5IAQAAACB6BQADAAAAAADBLi16RI3eCLalWHxEjd4IQ0NJUS5OQVNEQVE6Q0FMTS5JUV9GSU5fRElWX01JTk9SSVRZX0lOVEVSRVNULjk5Mi4yOS8wMy8yMDI2Li4uVVNELkgBAAAAIHoFAAMAAAAAAKJpLXpEjd4Iet1xfkSN3gg+Q0lRLk5BU0RBUTpDQUxNLklRX01JTk9SSVRZX0lOVF9SRURFRU0uMjAwMC4yOS8wMy8yMDI2Li4uVVNELkgBAAAAIHoFAAMAAAAAAMBVLXpEjd4IZ29dfESN3gg9Q0lRLk5BU0RBUTpDQUxNLklRX0xJQUJJTElUSUVTX0xFVkVMXzMuOTkwLjI5LzAzLzIwMjYuLi5VU0QuSAEAAAAgegUAAgAAAAUxLjAyNADmYhd6RI3eCNudYHxEjd4IO0NJUS5OQVNEQVE6Q0FMTS5JUV9BU1NFVFNfRkFJUl9WQUxVRS45OTAuMjkvMDMvMjAyNi4uLlVTRC5IAQAAACB6BQACAAAABjI1MS43OQCiaS16RI3eCNMgYHxEjd4ITUNJUS5OQVNEQVE6Q0FMTS5JUV9MSVFVSURBVElPTl9WQUxVRV9QUkVGRVJSRURfQ09OVkVSVC45OTIuMjkvMDMvMjAy</t>
  </si>
  <si>
    <t>Ni4uLlVTRC5IAQAAACB6BQADAAAAAACiaS16RI3eCJlUcX5Ejd4IRUNJUS5OQVNEQVE6Q0FMTS5JUV9HRU5FUkFMX1BBUlRORVJfUFJFRl9FUVVJVFkuOTkyLjI5LzAzLzIwMjYuLi5VU0QuSAEAAAAgegUAAwAAAAAAomktekSN3giPe3F+RI3eCD9DSVEuTkFTREFROkNBTE0uSVFfUkVTVFJJQ1RFRF9DQVNIX1RPVEFMLjk5Mi4yOS8wMy8yMDI2Li4uVVNELkgBAAAAIHoFAAMAAAAAAAKKF3pEjd4IeZRufkSN3ggzQ0lRLk5BU0RBUTpDQUxNLklRX0lOVEFOX05FVC45OTIuMjkvMDMvMjAyNi4uLlVTRC5IAQAAACB6BQADAAAAAAD7sBd6RI3eCJCEbH5Ejd4IOUNJUS5OQVNEQVE6Q0FMTS5JUV9BQ0NVTV9BTU9SVF9HVy4yMDAwLjI5LzAzLzIwMjYuLi5VU0QuSAEAAAAgegUAAwAAAAAA+7AXekSN3gj/NGV8RI3eCDdDSVEuTkFTREFROkNBTE0uSVFfT1RIRVJfTElBQl9MVC45OTIuMjkvMDMvMjAyNi4uLlVTRC5IAQAAACB6BQACAAAABTcuNTI3AQgAAAAFAAAAATEBAAAACjE5NzIwMTIxMjEDAAAAAzE2MAIAAAAEMTA2MgQAAAABMAcAAAAJMy8yOS8yMDI2CAAAAAg2LzMvMjAxNwkAAAABMA2ngHpEjd4IH+Z5fkSN3gg7Q0lRLk5BU0RBUTpDQUxNLklRX01JTk9SSVRZX0lOVEVSRVNULjk5MC4yOS8wMy8yMDI2Li4uVVNELkgBAAAAIHoFAAIAAAAFMC45OTgBCAAAAAUAAAABMQEAAAAKMTg1MDIyMDg0NQMA</t>
  </si>
  <si>
    <t>AAADMTYwAgAAAAQxMDUyBAAAAAEwBwAAAAkzLzI5LzIwMjYIAAAACTUvMzAvMjAxNQkAAAABMJbgLHpEjd4IKqpTfESN3gg/Q0lRLk5BU0RBUTpDQUxNLklRX05QUEVfRVhDTF9PUEVSX0xFQVNFUy45OTIuMjkvMDMvMjAyNi4uLlVTRC5IAQAAACB6BQACAAAABzQ1OC4xODQBCAAAAAUAAAABMQEAAAAKMTk3MjAxMjEyMQMAAAADMTYwAgAAAAU0ODk3NgQAAAABMAcAAAAJMy8yOS8yMDI2CAAAAAg2LzMvMjAxNwkAAAABMLoHLXpEjd4IDyN3fkSN3gg/Q0lRLk5BU0RBUTpDQUxNLklRX0dQUEVfRVhDTF9PUEVSX0xFQVNFUy45OTEuMjkvMDMvMjAyNi4uLlVTRC5IAQAAACB6BQACAAAABzgyMi42NDUBCAAAAAUAAAABMQEAAAAKMTg5NjgyMDUxNwMAAAADMTYwAgAAAAU0ODk3NAQAAAABMAcAAAAJMy8yOS8yMDI2CAAAAAk1LzI4LzIwMTYJAAAAATC6By16RI3eCCB+VXxEjd4IR0NJUS5OQVNEQVE6Q0FMTS5JUV9SVUFfT1BFUkFUSU5HX0xFQVNFX0FDQ1VNX0RFUC45OTAuMjkvMDMvMjAyNi4uLlVTRC5IAQAAACB6BQADAAAAAACW4Cx6RI3eCO8vVXxEjd4IO0NJUS5OQVNEQVE6Q0FMTS5JUV9UT1RBTF9PUEVSX0xFQVNFUy45OTIuMjkvMDMvMjAyNi4uLlVTRC5IAQAAACB6BQADAAAAAAC6By16RI3eCHmGdn5Ejd4IUENJUS5OQVNEQVE6Q0FMTS5JUV9DVVJSRU5UX1BPUlRJT05fT1BFUl9MRUFTRV9MSUFC</t>
  </si>
  <si>
    <t>SUxJVElFUy45OTIuMjkvMDMvMjAyNi4uLlVTRC5IAQAAACB6BQADAAAAAAC6By16RI3eCL+tdn5Ejd4IPUNJUS5OQVNEQVE6Q0FMTS5JUV9UT1RBTF9ERUJUX0NVUlJFTlQuMjAwMC4yOS8wMy8yMDI2Li4uVVNELkgBAAAAIHoFAAMAAAAAAMEuLXpEjd4IDXNZfESN3gg1Q0lRLk5BU0RBUTpDQUxNLklRX0FSX1VOQklMTEVELjk5MC4yOS8wMy8yMDI2Li4uVVNELkgBAAAAIHoFAAMAAAAAAMEuLXpEjd4IkedafESN3ghEQ0lRLk5BU0RBUTpDQUxNLklRX0ZJTl9ESVZfTUlOT1JJVFlfSU5URVJFU1QuMjAwMC4yOS8wMy8yMDI2Li4uVVNELkgBAAAAIHoFAAMAAAAAAKJpLXpEjd4IvzJefESN3ggyQ0lRLk5BU0RBUTpDQUxNLklRX1NPRlRXQVJFLjk5MC4yOS8wMy8yMDI2Li4uVVNELkgBAAAAIHoFAAMAAAAAAMBVLXpEjd4IJ5hcfESN3ghFQ0lRLk5BU0RBUTpDQUxNLklRX0dFTkVSQUxfUEFSVE5FUl9QUkVGX0VRVUlUWS45OTEuMjkvMDMvMjAyNi4uLlVTRC5IAQAAACB6BQADAAAAAACiaS16RI3eCPOnXnxEjd4IP0NJUS5OQVNEQVE6Q0FMTS5JUV9SRVNUUklDVEVEX0NBU0hfVE9UQUwuOTkxLjI5LzAzLzIwMjYuLi5VU0QuSAEAAAAgegUAAwAAAAAAAooXekSN3ggIh2J8RI3eCEFDSVEuTkFTREFROkNBTE0uSVFfREVSSVZBVElWRV9MSUFCX0NVUlJFTlQuOTkyLjI5LzAzLzIwMjYuLi5VU0QuSAEAAAAg</t>
  </si>
  <si>
    <t>egUAAwAAAAAAAooXekSN3ghL+G1+RI3eCD5DSVEuTkFTREFROkNBTE0uSVFfSU5URVJDT01QQU5ZX05PTl9DTC4yMDAwLjI5LzAzLzIwMjYuLi5VU0QuSAEAAAAgegUAAwAAAAAA+7AXekSN3ghS0WZ8RI3eCEBDSVEuTkFTREFROkNBTE0uSVFfREFfQ0ZfRVhDTF9PUEVSX0xFQVNFUy45OTAuMjkvMDMvMjAyNi4uLlVTRC5IAQAAACB6BQACAAAABjQwLjcwOAEIAAAABQAAAAExAQAAAAoxODUwMjIwODQ1AwAAAAMxNjACAAAABTQ4OTg1BAAAAAEwBwAAAAkzLzI5LzIwMjYIAAAACTUvMzAvMjAxNQkAAAABMKYxgHpEjd4ID+ZBfESN3ghHQ0lRLk5BU0RBUTpDQUxNLklRX0RFUFJFQ0lBVElPTl9SRU5UQUxfQVNTRVRTX0NGLjk5MC4yOS8wMy8yMDI2Li4uVVNELkgBAAAAIHoFAAMAAAAAAKYxgHpEjd4I1CJBfESN3gg+Q0lRLk5BU0RBUTpDQUxNLklRX0NBU0hfSU5URVJFU1RfSU5WRVNULjk5Mi4yOS8wMy8yMDI2Li4uVVNELkgBAAAAIHoFAAMAAAAAABtZf3pEjd4IT7mBfkSN3gg7Q0lRLk5BU0RBUTpDQUxNLklRX0NBU0hfSU5URVJFU1RfTkVULjk5Mi4yOS8wMy8yMDI2Li4uVVNELkgBAAAAIHoFAAMAAAAAABtZf3pEjd4IdgeCfkSN3gg7Q0lRLk5BU0RBUTpDQUxNLklRX0NBU0hfVEFYRVNfSU5WRVNULjk5MC4yOS8wMy8yMDI2Li4uVVNELkgBAAAAIHoFAAMAAAAAAI2Bf3pEjd4IOzFEfESN3ghNQ0lR</t>
  </si>
  <si>
    <t>Lk5BU0RBUTpDQUxNLklRX09QRVJBVElOR19MRUFTRV9MSUFCSUxJVElFU19OT05DQVNILjk5MC4yOS8wMy8yMDI2Li4uVVNELkgBAAAAIHoFAAMAAAAAAI2Bf3pEjd4IdVhGfESN3gg2Q0lRLk5BU0RBUTpDQUxNLklRX0RPX0lOVkVTVF9DRi45OTIuMjkvMDMvMjAyNi4uLlVTRC5IAQAAACB6BQADAAAAAACNgX96RI3eCIpFgH5Ejd4INkNJUS5OQVNEQVE6Q0FMTS5JUV9PVEhFUl9SRUNFSVYuOTkwLjI5LzAzLzIwMjYuLi5VU0QuSAEAAAAgegUAAgAAAAUyLjk2NAEIAAAABQAAAAExAQAAAAoxODUwMjIwODQ1AwAAAAMxNjACAAAABDEyMDYEAAAAATAHAAAACTMvMjkvMjAyNggAAAAJNS8zMC8yMDE1CQAAAAEwjYF/ekSN3ghXyUd8RI3eCDNDSVEuTkFTREFROkNBTE0uSVFfU1RfSU5WRVNULjk5Mi4yOS8wMy8yMDI2Li4uVVNELkgBAAAAIHoFAAIAAAAHMTM4LjQ2MgEIAAAABQAAAAExAQAAAAoxOTcyMDEyMTIxAwAAAAMxNjACAAAABDEwNjkEAAAAATAHAAAACTMvMjkvMjAyNggAAAAINi8zLzIwMTcJAAAAATCNgX96RI3eCPBNf35Ejd4IOUNJUS5OQVNEQVE6Q0FMTS5JUV9SRVNUUklDVEVEX0NBU0guOTkyLjI5LzAzLzIwMjYuLi5VU0QuSAEAAAAgegUAAwAAAAAA2X+AekSN3ggO2n1+RI3eCDpDSVEuTkFTREFROkNBTE0uSVFfRklOX0RJVl9MT0FOU19MVC45OTEuMjkvMDMvMjAyNi4uLlVTRC5IAQAA</t>
  </si>
  <si>
    <t>ACB6BQADAAAAAADZf4B6RI3eCJlPTXxEjd4ILENJUS5OQVNEQVE6Q0FMTS5JUV9BRC45OTAuMjkvMDMvMjAyNi4uLlVTRC5IAQAAACB6BQACAAAACC0zOTUuNDUyAQgAAAAFAAAAATEBAAAACjE4NTAyMjA4NDUDAAAAAzE2MAIAAAAEMTA3NQQAAAABMAcAAAAJMy8yOS8yMDI2CAAAAAk1LzMwLzIwMTUJAAAAATDZf4B6RI3eCIBNTHxEjd4IOUNJUS5OQVNEQVE6Q0FMTS5JUV9PVEhFUl9MVF9BU1NFVFMuOTkwLjI5LzAzLzIwMjYuLi5VU0QuSAEAAAAgegUAAgAAAAM1LjMBCAAAAAUAAAABMQEAAAAKMTg1MDIyMDg0NQMAAAADMTYwAgAAAAQxMDYwBAAAAAEwBwAAAAkzLzI5LzIwMjYIAAAACTUvMzAvMjAxNQkAAAABMNl/gHpEjd4I4SZOfESN3gg+Q0lRLk5BU0RBUTpDQUxNLklRX0ZJTl9ESVZfTElBQl9DVVJSRU5ULjk5Mi4yOS8wMy8yMDI2Li4uVVNELkgBAAAAIHoFAAMAAAAAANl/gHpEjd4IEYF7fkSN3gg8Q0lRLk5BU0RBUTpDQUxNLklRX0NVUlJFTlRfUE9SVF9ERUJULjIwMDAuMjkvMDMvMjAyNi4uLlVTRC5IAQAAACB6BQADAAAAAADZf4B6RI3eCGtfT3xEjd4IOUNJUS5OQVNEQVE6Q0FMTS5JUV9QUkVGX05PTl9SRURFRU0uOTkwLjI5LzAzLzIwMjYuLi5VU0QuSAEAAAAgegUAAwAAAAAADaeAekSN3ggLD1J8RI3eCDhDSVEuTkFTREFROkNBTE0uSVFfT1RIRVJfTElBQl9MVC4yMDAwLjI5LzAz</t>
  </si>
  <si>
    <t>LzIwMjYuLi5VU0QuSAEAAAAgegUAAgAAAAY1Ny41ODgBCAAAAAUAAAABMQEAAAALLTE5MTA2Mjc4MzgDAAAAAzE2MAIAAAAEMTA2MgQAAAABMAcAAAAJMy8yOS8yMDI2CAAAAAoxMS8yOS8yMDI1CQAAAAEwDaeAekSN3ggGwVF8RI3eCD5DSVEuTkFTREFROkNBTE0uSVFfVE9UQUxfQ09NTU9OX0VRVUlUWS4yMDAwLjI5LzAzLzIwMjYuLi5VU0QuSAEAAAAgegUAAgAAAAgyNjkxLjQ2MQEIAAAABQAAAAExAQAAAAstMTkxMDYyNzgzOAMAAAADMTYwAgAAAAQxMDA2BAAAAAEwBwAAAAkzLzI5LzIwMjYIAAAACjExLzI5LzIwMjUJAAAAATCW4Cx6RI3eCCqqU3xEjd4INENJUS5OQVNEQVE6Q0FMTS5JUV9QUkVGX09USEVSLjk5MS4yOS8wMy8yMDI2Li4uVVNELkgBAAAAIHoFAAMAAAAAAIq5LHpEjd4IMIRSfESN3gg7Q0lRLk5BU0RBUTpDQUxNLklRX1RPVEFMX0xJQUJfRVFVSVRZLjk5MS4yOS8wMy8yMDI2Li4uVVNELkgBAAAAIHoFAAIAAAAIMTExMS43NjUBCAAAAAUAAAABMQEAAAAKMTg5NjgyMDUxNwMAAAADMTYwAgAAAAQxMDEzBAAAAAEwBwAAAAkzLzI5LzIwMjYIAAAACTUvMjgvMjAxNgkAAAABMJbgLHpEjd4IQPhTfESN3gg7Q0lRLk5BU0RBUTpDQUxNLklRX1RPVEFMX09QRVJfTEVBU0VTLjk5MS4yOS8wMy8yMDI2Li4uVVNELkgBAAAAIHoFAAMAAAAAALoHLXpEjd4IKAtXfESN3ghQQ0lRLk5BU0RB</t>
  </si>
  <si>
    <t>UTpDQUxNLklRX0NVUlJFTlRfUE9SVElPTl9PUEVSX0xFQVNFX0xJQUJJTElUSUVTLjk5MS4yOS8wMy8yMDI2Li4uVVNELkgBAAAAIHoFAAMAAAAAALoHLXpEjd4IHr1WfESN3ghCQ0lRLk5BU0RBUTpDQUxNLklRX0ZJTkFOQ0VfTEVBU0VTX0xPTkdfVEVSTS45OTIuMjkvMDMvMjAyNi4uLlVTRC5IAQAAACB6BQADAAAAAAC6By16RI3eCNjUdn5Ejd4IP0NJUS5OQVNEQVE6Q0FMTS5JUV9OUFBFX0VYQ0xfT1BFUl9MRUFTRVMuOTkxLjI5LzAzLzIwMjYuLi5VU0QuSAEAAAAgegUAAgAAAAczOTIuMjc0AQgAAAAFAAAAATEBAAAACjE4OTY4MjA1MTcDAAAAAzE2MAIAAAAFNDg5NzYEAAAAATAHAAAACTMvMjkvMjAyNggAAAAJNS8yOC8yMDE2CQAAAAEwugctekSN3ggmIVZ8RI3eCEJDSVEuTkFTREFROkNBTE0uSVFfUlVBX09QRVJBVElOR19MRUFTRV9ORVQuMjAwMC4yOS8wMy8yMDI2Li4uVVNELkgBAAAAIHoFAAMAAAAAALoHLXpEjd4IIH5VfESN3gg4Q0lRLk5BU0RBUTpDQUxNLklRX0VRVUlUWV9NRVRIT0QuMjAwMC4yOS8wMy8yMDI2Li4uVVNELkgBAAAAIHoFAAIAAAAFOS45NzkBCAAAAAUAAAABMQEAAAALLTE5MTA2Mjc4MzgDAAAAAzE2MAIAAAAEMzA2MwQAAAABMAcAAAAJMy8yOS8yMDI2CAAAAAoxMS8yOS8yMDI1CQAAAAEwwS4tekSN3giR51p8RI3eCDNDSVEuTkFTREFROkNBTE0uSVFfVE9UQUxf</t>
  </si>
  <si>
    <t>Q0FQLjk5MC4yOS8wMy8yMDI2Li4uVVNELkgBAAAAIHoFAAIAAAAHNzU1LjQyMgEIAAAABQAAAAExAQAAAAoxODUwMjIwODQ1AwAAAAMxNjACAAAABDQxNzUEAAAAATAHAAAACTMvMjkvMjAyNggAAAAJNS8zMC8yMDE1CQAAAAEwwS4tekSN3gg8wVl8RI3eCDRDSVEuTkFTREFROkNBTE0uSVFfVE9UQUxfREVCVC45OTAuMjkvMDMvMjAyNi4uLlVTRC5IAQAAACB6BQACAAAABTUwLjg2AQgAAAAFAAAAATEBAAAACjE4NTAyMjA4NDUDAAAAAzE2MAIAAAAENDE3MwQAAAABMAcAAAAJMy8yOS8yMDI2CAAAAAk1LzMwLzIwMTUJAAAAATDBLi16RI3eCCwlWXxEjd4INkNJUS5OQVNEQVE6Q0FMTS5JUV9GSU5JU0hFRF9JTlYuOTkwLjI5LzAzLzIwMjYuLi5VU0QuSAEAAAAgegUAAgAAAAU1OC45OAEIAAAABQAAAAExAQAAAAoxODUwMjIwODQ1AwAAAAMxNjACAAAABDMwNzUEAAAAATAHAAAACTMvMjkvMjAyNggAAAAJNS8zMC8yMDE1CQAAAAEwwFUtekSN3gio1Ft8RI3eCDhDSVEuTkFTREFROkNBTE0uSVFfQVNTRVRTX0xFVkVMXzIuOTkxLjI5LzAzLzIwMjYuLi5VU0QuSAEAAAAgegUAAgAAAAczNTYuOTMzAKJpLXpEjd4Iu6tffESN3ghPQ0lRLk5BU0RBUTpDQUxNLklRX0xJQUJJTElUSUVTX05FVFRJTkdfT1RIRVJfQURKVVNUTUVOVFMuOTkwLjI5LzAzLzIwMjYuLi5VU0QuSAEAAAAgegUAAwAAAAAA5mIXekSN</t>
  </si>
  <si>
    <t>3gjwxGB8RI3eCDtDSVEuTkFTREFROkNBTE0uSVFfQVNTRVRTX0ZBSVJfVkFMVUUuOTkyLjI5LzAzLzIwMjYuLi5VU0QuSAEAAAAgegUAAgAAAAcxNDAuOTIxAOZiF3pEjd4IOZFwfkSN3gg/Q0lRLk5BU0RBUTpDQUxNLklRX1JFU1RSSUNURURfQ0FTSF9UT1RBTC45OTAuMjkvMDMvMjAyNi4uLlVTRC5IAQAAACB6BQADAAAAAAACihd6RI3eCAiHYnxEjd4IOkNJUS5OQVNEQVE6Q0FMTS5JUV9JTlZFU1RfTE9BTlNfQ0YuMjAwMC4yOS8wMy8yMDI2Li4uVVNELkgBAAAAIHoFAAMAAAAAANcKgHpEjd4I1Rs9fESN3gg4Q0lRLk5BU0RBUTpDQUxNLklRX0NPTU1PTl9ESVZfQ0YuMjAwMC4yOS8wMy8yMDI2Li4uVVNELkgBAAAAIHoFAAIAAAAILTQyMy4wNTYBCAAAAAUAAAABMQEAAAALLTE5MTA2Mjc4MzgDAAAAAzE2MAIAAAAEMjA3NAQAAAABMAcAAAAJMy8yOS8yMDI2CAAAAAoxMS8yOS8yMDI1CQAAAAEw1wqAekSN3giuEj98RI3eCDRDSVEuTkFTREFROkNBTE0uSVFfQ09NTU9OX1JFUC45OTEuMjkvMDMvMjAyNi4uLlVTRC5IAQAAACB6BQACAAAABi0xLjg0NwEIAAAABQAAAAExAQAAAAoxODk2ODIwNTE3AwAAAAMxNjACAAAABDIxNjQEAAAAATAHAAAACTMvMjkvMjAyNggAAAAJNS8yOC8yMDE2CQAAAAEw1wqAekSN3ghtjz58RI3eCDVDSVEuTkFTREFROkNBTE0uSVFfREVQUkVfU1VQUC4yMDAwLjI5LzAz</t>
  </si>
  <si>
    <t>LzIwMjYuLi5VU0QuSAEAAAAgegUAAgAAAAQ5MS4xAQgAAAAFAAAAATEBAAAACy0xOTEwNjI3ODM4AwAAAAMxNjACAAAABDIxNDMEAAAAATAHAAAACTMvMjkvMjAyNggAAAAKMTEvMjkvMjAyNQkAAAABMKYxgHpEjd4I1CJBfESN3gg/Q0lRLk5BU0RBUTpDQUxNLklRX0NBU0hfSU5URVJFU1RfSU5WRVNULjIwMDAuMjkvMDMvMjAyNi4uLlVTRC5IAQAAACB6BQADAAAAAAAbWX96RI3eCOqUQ3xEjd4IO0NJUS5OQVNEQVE6Q0FMTS5JUV9DQVNIX0lOVEVSRVNUX05FVC45OTEuMjkvMDMvMjAyNi4uLlVTRC5IAQAAACB6BQADAAAAAAAbWX96RI3eCKrkQnxEjd4IMkNJUS5OQVNEQVE6Q0FMTS5JUV9DRl9TSEFSRS45OTEuMjkvMDMvMjAyNi4uLlVTRC5IAQAAACB6BQACAAAACDYuNDgwMTc0AQgAAAAFAAAAATEBAAAACjE4OTY4MjA1MTcDAAAAAzE2MAIAAAAFNDM5MjMEAAAAATAHAAAACTMvMjkvMjAyNggAAAAJNS8yOC8yMDE2CQAAAAEwjYF/ekSN3gizH0V8RI3eCDpDSVEuTkFTREFROkNBTE0uSVFfQ0FTSF9UQVhFU19PUEVSLjIwMDAuMjkvMDMvMjAyNi4uLlVTRC5IAQAAACB6BQADAAAAAACNgX96RI3eCDsxRHxEjd4IRkNJUS5OQVNEQVE6Q0FMTS5JUV9PUEVSQVRJTkdfTEVBU0VfTElBQklMSVRJRVMuMjAwMC4yOS8wMy8yMDI2Li4uVVNELkgBAAAAIHoFAAMAAAAAAI2Bf3pEjd4IdVhGfESN3gg2Q0lR</t>
  </si>
  <si>
    <t>Lk5BU0RBUTpDQUxNLklRX0RPX0lOVkVTVF9DRi45OTEuMjkvMDMvMjAyNi4uLlVTRC5IAQAAACB6BQADAAAAAACNgX96RI3eCCiVRXxEjd4ILUNJUS5OQVNEQVE6Q0FMTS5JUV9BUi4yMDAwLjI5LzAzLzIwMjYuLi5VU0QuSAEAAAAgegUAAgAAAAcyMzUuMzc3AQgAAAAFAAAAATEBAAAACy0xOTEwNjI3ODM4AwAAAAMxNjACAAAABDEwMjEEAAAAATAHAAAACTMvMjkvMjAyNggAAAAKMTEvMjkvMjAyNQkAAAABMI2Bf3pEjd4IV8lHfESN3ggzQ0lRLk5BU0RBUTpDQUxNLklRX1NUX0lOVkVTVC45OTEuMjkvMDMvMjAyNi4uLlVTRC5IAQAAACB6BQACAAAABzM2MC40OTkBCAAAAAUAAAABMQEAAAAKMTg5NjgyMDUxNwMAAAADMTYwAgAAAAQxMDY5BAAAAAEwBwAAAAkzLzI5LzIwMjYIAAAACTUvMjgvMjAxNgkAAAABMI2Bf3pEjd4IGwZHfESN3gg5Q0lRLk5BU0RBUTpDQUxNLklRX1JFU1RSSUNURURfQ0FTSC45OTEuMjkvMDMvMjAyNi4uLlVTRC5IAQAAACB6BQADAAAAAADZf4B6RI3eCM8VSXxEjd4IL0NJUS5OQVNEQVE6Q0FMTS5JUV9HUFBFLjIwMDAuMjkvMDMvMjAyNi4uLlVTRC5IAQAAACB6BQADAAAAAADZf4B6RI3eCIBNTHxEjd4ILENJUS5OQVNEQVE6Q0FMTS5JUV9BUC45OTIuMjkvMDMvMjAyNi4uLlVTRC5IAQAAACB6BQACAAAABjMwLjYyOQEIAAAABQAAAAExAQAAAAoxOTcyMDEyMTIxAwAAAAMx</t>
  </si>
  <si>
    <t>NjACAAAABDEwMTgEAAAAATAHAAAACTMvMjkvMjAyNggAAAAINi8zLzIwMTcJAAAAATDZf4B6RI3eCFz2e35Ejd4IOUNJUS5OQVNEQVE6Q0FMTS5JUV9ERUZfQ0hBUkdFU19MVC4yMDAwLjI5LzAzLzIwMjYuLi5VU0QuSAEAAAAgegUAAwAAAAAA2X+AekSN3gjhJk58RI3eCDFDSVEuTkFTREFROkNBTE0uSVFfTFRfREVCVC45OTAuMjkvMDMvMjAyNi4uLlVTRC5IAQAAACB6BQACAAAABjQwLjc5NQEIAAAABQAAAAExAQAAAAoxODUwMjIwODQ1AwAAAAMxNjACAAAABDEwNDkEAAAAATAHAAAACTMvMjkvMjAyNggAAAAJNS8zMC8yMDE1CQAAAAEwDaeAekSN3gjQhFB8RI3eCD5DSVEuTkFTREFROkNBTE0uSVFfRklOX0RJVl9MSUFCX0NVUlJFTlQuOTkxLjI5LzAzLzIwMjYuLi5VU0QuSAEAAAAgegUAAwAAAAAA2X+AekSN3ghAmk98RI3eCDZDSVEuTkFTREFROkNBTE0uSVFfUFJFRl9SRURFRU0uMjAwMC4yOS8wMy8yMDI2Li4uVVNELkgBAAAAIHoFAAMAAAAAAA2ngHpEjd4ICw9SfESN3ggwQ0lRLk5BU0RBUTpDQUxNLklRX0NPTU1PTi45OTIuMjkvMDMvMjAyNi4uLlVTRC5IAQAAACB6BQACAAAABTAuNzUxAQgAAAAFAAAAATEBAAAACjE5NzIwMTIxMjEDAAAAAzE2MAIAAAAEMTEwMwQAAAABMAcAAAAJMy8yOS8yMDI2CAAAAAg2LzMvMjAxNwkAAAABMIq5LHpEjd4IrDV5fkSN3gg0Q0lRLk5BU0RBUTpDQUxN</t>
  </si>
  <si>
    <t>LklRX1BSRUZfT1RIRVIuOTkwLjI5LzAzLzIwMjYuLi5VU0QuSAEAAAAgegUAAwAAAAAAirksekSN3ggwhFJ8RI3eCDdDSVEuTkFTREFROkNBTE0uSVFfUlVBX0FDQ1VNX0RFUC45OTIuMjkvMDMvMjAyNi4uLlVTRC5IAQAAACB6BQADAAAAAACW4Cx6RI3eCDYkeH5Ejd4IO0NJUS5OQVNEQVE6Q0FMTS5JUV9UT1RBTF9MSUFCX0VRVUlUWS45OTAuMjkvMDMvMjAyNi4uLlVTRC5IAQAAACB6BQACAAAABzkyOC42NTMBCAAAAAUAAAABMQEAAAAKMTg1MDIyMDg0NQMAAAADMTYwAgAAAAQxMDEzBAAAAAEwBwAAAAkzLzI5LzIwMjYIAAAACTUvMzAvMjAxNQkAAAABMJbgLHpEjd4IQPhTfESN3ghQQ0lRLk5BU0RBUTpDQUxNLklRX0NVUlJFTlRfUE9SVElPTl9PUEVSX0xFQVNFX0xJQUJJTElUSUVTLjk5MC4yOS8wMy8yMDI2Li4uVVNELkgBAAAAIHoFAAMAAAAAALoHLXpEjd4IHr1WfESN3ghCQ0lRLk5BU0RBUTpDQUxNLklRX0ZJTkFOQ0VfTEVBU0VTX0xPTkdfVEVSTS45OTAuMjkvMDMvMjAyNi4uLlVTRC5IAQAAACB6BQADAAAAAAC6By16RI3eCAVvVnxEjd4IP0NJUS5OQVNEQVE6Q0FMTS5JUV9OUFBFX0VYQ0xfT1BFUl9MRUFTRVMuOTkwLjI5LzAzLzIwMjYuLi5VU0QuSAEAAAAgegUAAgAAAAYzNTguNzkBCAAAAAUAAAABMQEAAAAKMTg1MDIyMDg0NQMAAAADMTYwAgAAAAU0ODk3NgQAAAABMAcAAAAJMy8y</t>
  </si>
  <si>
    <t>OS8yMDI2CAAAAAk1LzMwLzIwMTUJAAAAATC6By16RI3eCCYhVnxEjd4IQkNJUS5OQVNEQVE6Q0FMTS5JUV9NSU5PUklUWV9JTlRFUkVTVF9UT1RBTC4yMDAwLjI5LzAzLzIwMjYuLi5VU0QuSAEAAAAgegUAAgAAAAU2LjMwNQEIAAAABQAAAAExAQAAAAstMTkxMDYyNzgzOAMAAAADMTYwAgAAAAQxMzEyBAAAAAEwBwAAAAkzLzI5LzIwMjYIAAAACjExLzI5LzIwMjUJAAAAATDBLi16RI3eCDzBWXxEjd4INUNJUS5OQVNEQVE6Q0FMTS5JUV9DQVNIX1NIQVJFLjIwMDAuMjkvMDMvMjAyNi4uLlVTRC5IAQAAACB6BQACAAAACDcuNzUyNzU5AQgAAAAFAAAAATEBAAAACy0xOTEwNjI3ODM4AwAAAAMxNjACAAAABDQzODEEAAAAATAHAAAACTMvMjkvMjAyNggAAAAKMTEvMjkvMjAyNQkAAAABMMEuLXpEjd4ILCVZfESN3ggtQ0lRLk5BU0RBUTpDQUxNLklRX0NJUC45OTIuMjkvMDMvMjAyNi4uLlVTRC5IAQAAACB6BQACAAAABjM2Ljc1MgEIAAAABQAAAAExAQAAAAoxOTcyMDEyMTIxAwAAAAMxNjACAAAABDMwMzMEAAAAATAHAAAACTMvMjkvMjAyNggAAAAINi8zLzIwMTcJAAAAATDAVS16RI3eCA2hcn5Ejd4IMkNJUS5OQVNEQVE6Q0FMTS5JUV9XSVBfSU5WLjIwMDAuMjkvMDMvMjAyNi4uLlVTRC5IAQAAACB6BQADAAAAAADAVS16RI3eCKjUW3xEjd4IOENJUS5OQVNEQVE6Q0FMTS5JUV9BU1NFVFNfTEVWRUxf</t>
  </si>
  <si>
    <t>Mi45OTAuMjkvMDMvMjAyNi4uLlVTRC5IAQAAACB6BQACAAAABzI0Ny4yODIAomktekSN3gi7q198RI3eCD5DSVEuTkFTREFROkNBTE0uSVFfTElBQklMSVRJRVNfTEVWRUxfMy4yMDAwLjI5LzAzLzIwMjYuLi5VU0QuSAEAAAAgegUAAgAAAAIyMwDmYhd6RI3eCPDEYHxEjd4IO0NJUS5OQVNEQVE6Q0FMTS5JUV9BU1NFVFNfRkFJUl9WQUxVRS45OTEuMjkvMDMvMjAyNi4uLlVTRC5IAQAAACB6BQACAAAABzM2Mi40MzYA5mIXekSN3gjTR2B8RI3eCDxDSVEuTkFTREFROkNBTE0uSVFfR1JPU1NfSU5UQU5fQVNTRVRTLjk5Mi4yOS8wMy8yMDI2Li4uVVNELkgBAAAAIHoFAAIAAAAGNTAuMzM5AQgAAAAFAAAAATEBAAAACjE5NzIwMTIxMjEDAAAAAzE2MAIAAAAFMjQyOTMEAAAAATAHAAAACTMvMjkvMjAyNggAAAAINi8zLzIwMTcJAAAAATD7sBd6RI3eCLNbbX5Ejd4IMENJUS5OQVNEQVE6Q0FMTS5JUV9DT01NT04uOTkxLjI5LzAzLzIwMjYuLi5VU0QuSAEAAAAgegUAAgAAAAUwLjc1MQEIAAAABQAAAAExAQAAAAoxODk2ODIwNTE3AwAAAAMxNjACAAAABDExMDMEAAAAATAHAAAACTMvMjkvMjAyNggAAAAJNS8yOC8yMDE2CQAAAAEwirksekSN3gitv1J8RI3eCDdDSVEuTkFTREFROkNBTE0uSVFfUFJFRl9DT05WRVJULjIwMDAuMjkvMDMvMjAyNi4uLlVTRC5IAQAAACB6BQADAAAAAACKuSx6RI3eCDCEUnxE</t>
  </si>
  <si>
    <t>jd4IN0NJUS5OQVNEQVE6Q0FMTS5JUV9SVUFfQUNDVU1fREVQLjk5MS4yOS8wMy8yMDI2Li4uVVNELkgBAAAAIHoFAAMAAAAAAJbgLHpEjd4I3WxUfESN3gg3Q0lRLk5BU0RBUTpDQUxNLklRX1RPVEFMX0VRVUlUWS4yMDAwLjI5LzAzLzIwMjYuLi5VU0QuSAEAAAAgegUAAgAAAAgyNjk3Ljc2NgEIAAAABQAAAAExAQAAAAstMTkxMDYyNzgzOAMAAAADMTYwAgAAAAQxMjc1BAAAAAEwBwAAAAkzLzI5LzIwMjYIAAAACjExLzI5LzIwMjUJAAAAATCW4Cx6RI3eCED4U3xEjd4IQUNJUS5OQVNEQVE6Q0FMTS5JUV9GSU5BTkNFX0xFQVNFU19DVVJSRU5ULjIwMDAuMjkvMDMvMjAyNi4uLlVTRC5IAQAAACB6BQADAAAAAAC6By16RI3eCAVvVnxEjd4IPkNJUS5OQVNEQVE6Q0FMTS5JUV9BRF9FWENMX09QRVJfTEVBU0VTLjIwMDAuMjkvMDMvMjAyNi4uLlVTRC5IAQAAACB6BQADAAAAAAC6By16RI3eCCYhVnxEjd4IM0NJUS5OQVNEQVE6Q0FMTS5JUV9UQlZfU0hBUkUuOTkwLjI5LzAzLzIwMjYuLi5VU0QuSAEAAAAgegUAAgAAAAkxMy43NDkxODUBCAAAAAUAAAABMQEAAAAKMTg1MDIyMDg0NQMAAAADMTYwAgAAAAQ0MTU2BAAAAAEwBwAAAAkzLzI5LzIwMjYIAAAACTUvMzAvMjAxNQkAAAABMMEuLXpEjd4IezBYfESN3gguQ0lRLk5BU0RBUTpDQUxNLklRX0xBTkQuOTkyLjI5LzAzLzIwMjYuLi5VU0QuSAEAAAAg</t>
  </si>
  <si>
    <t>egUAAgAAAAY4Ny4yNzYBCAAAAAUAAAABMQEAAAAKMTk3MjAxMjEyMQMAAAADMTYwAgAAAAQzMDk4BAAAAAEwBwAAAAkzLzI5LzIwMjYIAAAACDYvMy8yMDE3CQAAAAEwwFUtekSN3ggwPXN+RI3eCC9DSVEuTkFTREFROkNBTE0uSVFfTElGT1IuOTkyLjI5LzAzLzIwMjYuLi5VU0QuSAEAAAAgegUAAwAAAAAAwS4tekSN3gicxnN+RI3eCC5DSVEuTkFTREFROkNBTE0uSVFfQ0lQLjIwMDAuMjkvMDMvMjAyNi4uLlVTRC5IAQAAACB6BQADAAAAAADAVS16RI3eCHANXXxEjd4IUENJUS5OQVNEQVE6Q0FMTS5JUV9MSVFVSURBVElPTl9WQUxVRV9QUkVGRVJSRURfTk9OX1JFREVFTS45OTIuMjkvMDMvMjAyNi4uLlVTRC5IAQAAACB6BQADAAAAAACiaS16RI3eCIotcX5Ejd4IP0NJUS5OQVNEQVE6Q0FMTS5JUV9ERUJUX0VRVUlWX09QRVJfTEVBU0UuOTkwLjI5LzAzLzIwMjYuLi5VU0QuSAEAAAAgegUAAgAAAAYyNC44MDgBCAAAAAUAAAABMQEAAAAKMTg1MDIyMDg0NQMAAAADMTYwAgAAAAUyMTY3MQQAAAABMAcAAAAJMy8yOS8yMDI2CAAAAAk1LzMwLzIwMTUJAAAAATACihd6RI3eCLwRYnxEjd4IPENJUS5OQVNEQVE6Q0FMTS5JUV9HUk9TU19JTlRBTl9BU1NFVFMuOTkxLjI5LzAzLzIwMjYuLi5VU0QuSAEAAAAgegUAAgAAAAYyMy45MzkBCAAAAAUAAAABMQEAAAAKMTg5NjgyMDUxNwMAAAADMTYwAgAAAAUy</t>
  </si>
  <si>
    <t>NDI5MwQAAAABMAcAAAAJMy8yOS8yMDI2CAAAAAk1LzI4LzIwMTYJAAAAATD7sBd6RI3eCHKEZHxEjd4IN0NJUS5OQVNEQVE6Q0FMTS5JUV9VTkVBUk5fUkVWX0xULjk5Mi4yOS8wMy8yMDI2Li4uVVNELkgBAAAAIHoFAAMAAAAAAA2ngHpEjd4IWVt6fkSN3gg5Q0lRLk5BU0RBUTpDQUxNLklRX0ZJTl9ESVZfREVCVF9MVC45OTAuMjkvMDMvMjAyNi4uLlVTRC5IAQAAACB6BQADAAAAAAANp4B6RI3eCA/6UHxEjd4ILENJUS5OQVNEQVE6Q0FMTS5JUV9SRS45OTIuMjkvMDMvMjAyNi4uLlVTRC5IAQAAACB6BQACAAAABzgxNi4wNDYBCAAAAAUAAAABMQEAAAAKMTk3MjAxMjEyMQMAAAADMTYwAgAAAAQxMjIyBAAAAAEwBwAAAAkzLzI5LzIwMjYIAAAACDYvMy8yMDE3CQAAAAEwirksekSN3giD53h+RI3eCDBDSVEuTkFTREFROkNBTE0uSVFfQ09NTU9OLjk5MC4yOS8wMy8yMDI2Li4uVVNELkgBAAAAIHoFAAIAAAAFMC43NTEBCAAAAAUAAAABMQEAAAAKMTg1MDIyMDg0NQMAAAADMTYwAgAAAAQxMTAzBAAAAAEwBwAAAAkzLzI5LzIwMjYIAAAACTUvMzAvMjAxNQkAAAABMIq5LHpEjd4Irb9SfESN3ghBQ0lRLk5BU0RBUTpDQUxNLklRX1JVQV9DQVBJVEFMX0xFQVNFX0dST1NTLjk5Mi4yOS8wMy8yMDI2Li4uVVNELkgBAAAAIHoFAAMAAAAAAJbgLHpEjd4IWPd3fkSN3gg3Q0lRLk5BU0RBUTpDQUxNLklRX1JV</t>
  </si>
  <si>
    <t>QV9BQ0NVTV9ERVAuOTkwLjI5LzAzLzIwMjYuLi5VU0QuSAEAAAAgegUAAwAAAAAAluAsekSN3gjdbFR8RI3eCEBDSVEuTkFTREFROkNBTE0uSVFfVE9UQUxfREVCVF9FWENMX0xFQVNFUy45OTIuMjkvMDMvMjAyNi4uLlVTRC5IAQAAACB6BQACAAAABjEwLjkzOQEIAAAABQAAAAExAQAAAAoxOTcyMDEyMTIxAwAAAAMxNjACAAAABTQ4OTkyBAAAAAEwBwAAAAkzLzI5LzIwMjYIAAAACDYvMy8yMDE3CQAAAAEwugctekSN3giK/XV+RI3eCEFDSVEuTkFTREFROkNBTE0uSVFfVE9UQUxfREVCVF9OT05fQ1VSUkVOVC4yMDAwLjI5LzAzLzIwMjYuLi5VU0QuSAEAAAAgegUAAwAAAAAAwS4tekSN3ggNc1l8RI3eCC9DSVEuTkFTREFROkNBTE0uSVFfTEFORC4yMDAwLjI5LzAzLzIwMjYuLi5VU0QuSAEAAAAgegUAAwAAAAAAwFUtekSN3ghJSlx8RI3eCDBDSVEuTkFTREFROkNBTE0uSVFfTElGT1IuMjAwMC4yOS8wMy8yMDI2Li4uVVNELkgBAAAAIHoFAAMAAAAAAMEuLXpEjd4IrVxbfESN3ghQQ0lRLk5BU0RBUTpDQUxNLklRX0xJUVVJREFUSU9OX1ZBTFVFX1BSRUZFUlJFRF9OT05fUkVERUVNLjk5MS4yOS8wMy8yMDI2Li4uVVNELkgBAAAAIHoFAAMAAAAAAKJpLXpEjd4IOzFffESN3ghLQ0lRLk5BU0RBUTpDQUxNLklRX0dFTkVSQUxfUEFSVE5FUl9NSU5PUklUWV9JTlRFUkVTVC45OTIuMjkvMDMvMjAyNi4u</t>
  </si>
  <si>
    <t>LlVTRC5IAQAAACB6BQADAAAAAACiaS16RI3eCI97cX5Ejd4IRUNJUS5OQVNEQVE6Q0FMTS5JUV9ERUZfVEFYX1ZBTFVBVElPTl9BTExPV0FOQ0UuOTkxLjI5LzAzLzIwMjYuLi5VU0QuSAEAAAAgegUAAwAAAAAAomktekSN3gj4WV58RI3eCEVDSVEuTkFTREFROkNBTE0uSVFfRklOX0RJVl9NSU5PUklUWV9JTlRfUkVERUVNLjk5MS4yOS8wMy8yMDI2Li4uVVNELkgBAAAAIHoFAAMAAAAAAMBVLXpEjd4Ie5ZdfESN3gg9Q0lRLk5BU0RBUTpDQUxNLklRX0RFQlRfRVFVSVZfTkVUX1BCTy4yMDAwLjI5LzAzLzIwMjYuLi5VU0QuSAEAAAAgegUAAwAAAAAAAooXekSN3ggKOWJ8RI3eCDxDSVEuTkFTREFROkNBTE0uSVFfR1JPU1NfSU5UQU5fQVNTRVRTLjk5MC4yOS8wMy8yMDI2Li4uVVNELkgBAAAAIHoFAAIAAAAGMjMuOTM5AQgAAAAFAAAAATEBAAAACjE4NTAyMjA4NDUDAAAAAzE2MAIAAAAFMjQyOTMEAAAAATAHAAAACTMvMjkvMjAyNggAAAAJNS8zMC8yMDE1CQAAAAEw+7AXekSN3ghyhGR8RI3eCDhDSVEuTkFTREFROkNBTE0uSVFfQ0FTSF9TVF9JTlZFU1QuOTkyLjI5LzAzLzIwMjYuLi5VU0QuSAEAAAAgegUAAgAAAAcxNTYuMDI2AQgAAAAFAAAAATEBAAAACjE5NzIwMTIxMjEDAAAAAzE2MAIAAAAEMTAwMgQAAAABMAcAAAAJMy8yOS8yMDI2CAAAAAg2LzMvMjAxNwkAAAABMI2Bf3pEjd4I/SZ/fkSN</t>
  </si>
  <si>
    <t>3gg2Q0lRLk5BU0RBUTpDQUxNLklRX1RPVEFMX1JFQ0VJVi45OTAuMjkvMDMvMjAyNi4uLlVTRC5IAQAAACB6BQACAAAABzEwMS45NzcBCAAAAAUAAAABMQEAAAAKMTg1MDIyMDg0NQMAAAADMTYwAgAAAAQxMDAxBAAAAAEwBwAAAAkzLzI5LzIwMjYIAAAACTUvMzAvMjAxNQkAAAABMEi8f3pEjd4IMwRIfESN3gg1Q0lRLk5BU0RBUTpDQUxNLklRX09USEVSX0lOVEFOLjk5Mi4yOS8wMy8yMDI2Li4uVVNELkgBAAAAIHoFAAIAAAAGMjkuMTQ5AQgAAAAFAAAAATEBAAAACjE5NzIwMTIxMjEDAAAAAzE2MAIAAAAEMTA0MAQAAAABMAcAAAAJMy8yOS8yMDI2CAAAAAg2LzMvMjAxNwkAAAABMNl/gHpEjd4ImRZ9fkSN3ggvQ0lRLk5BU0RBUTpDQUxNLklRX05QUEUuMjAwMC4yOS8wMy8yMDI2Li4uVVNELkgBAAAAIHoFAAIAAAAIMTIxOC42NTQBCAAAAAUAAAABMQEAAAALLTE5MTA2Mjc4MzgDAAAAAzE2MAIAAAAEMTAwNAQAAAABMAcAAAAJMy8yOS8yMDI2CAAAAAoxMS8yOS8yMDI1CQAAAAEw2X+AekSN3ggc2kx8RI3eCDJDSVEuTkFTREFROkNBTE0uSVFfVE9UQUxfQ0EuOTkyLjI5LzAzLzIwMjYuLi5VU0QuSAEAAAAgegUAAgAAAAc0MzYuMjA2AQgAAAAFAAAAATEBAAAACjE5NzIwMTIxMjEDAAAAAzE2MAIAAAAEMTAwOAQAAAABMAcAAAAJMy8yOS8yMDI2CAAAAAg2LzMvMjAxNwkAAAABMNl/gHpEjd4ID4x9</t>
  </si>
  <si>
    <t>fkSN3gg8Q0lRLk5BU0RBUTpDQUxNLklRX1VORUFSTl9SRVZfQ1VSUkVOVC45OTEuMjkvMDMvMjAyNi4uLlVTRC5IAQAAACB6BQADAAAAAAANp4B6RI3eCLXoT3xEjd4IMUNJUS5OQVNEQVE6Q0FMTS5JUV9TVF9ERUJULjk5Mi4yOS8wMy8yMDI2Li4uVVNELkgBAAAAIHoFAAMAAAAAANl/gHpEjd4Iks97fkSN3gg5Q0lRLk5BU0RBUTpDQUxNLklRX0RFRl9UQVhfTElBQl9MVC45OTIuMjkvMDMvMjAyNi4uLlVTRC5IAQAAACB6BQACAAAABzExMC4yODIBCAAAAAUAAAABMQEAAAAKMTk3MjAxMjEyMQMAAAADMTYwAgAAAAQxMDI3BAAAAAEwBwAAAAkzLzI5LzIwMjYIAAAACDYvMy8yMDE3CQAAAAEwDaeAekSN3gg1DXp+RI3eCDdDSVEuTkFTREFROkNBTE0uSVFfVU5FQVJOX1JFVl9MVC45OTEuMjkvMDMvMjAyNi4uLlVTRC5IAQAAACB6BQADAAAAAAANp4B6RI3eCLBLUXxEjd4IO0NJUS5OQVNEQVE6Q0FMTS5JUV9MT05HX1RFUk1fTEVBU0VTLjIwMDAuMjkvMDMvMjAyNi4uLlVTRC5IAQAAACB6BQADAAAAAAANp4B6RI3eCA/6UHxEjd4ILENJUS5OQVNEQVE6Q0FMTS5JUV9SRS45OTEuMjkvMDMvMjAyNi4uLlVTRC5IAQAAACB6BQACAAAABjg5MC40NAEIAAAABQAAAAExAQAAAAoxODk2ODIwNTE3AwAAAAMxNjACAAAABDEyMjIEAAAAATAHAAAACTMvMjkvMjAyNggAAAAJNS8yOC8yMDE2CQAAAAEwirksekSN</t>
  </si>
  <si>
    <t>3ggGDlN8RI3eCDZDSVEuTkFTREFROkNBTE0uSVFfUFJFRl9FUVVJVFkuMjAwMC4yOS8wMy8yMDI2Li4uVVNELkgBAAAAIHoFAAMAAAAAAIq5LHpEjd4Irb9SfESN3gg/Q0lRLk5BU0RBUTpDQUxNLklRX1JVQV9DQVBJVEFMX0xFQVNFX05FVC45OTEuMjkvMDMvMjAyNi4uLlVTRC5IAQAAACB6BQADAAAAAACW4Cx6RI3eCOAIVXxEjd4IQUNJUS5OQVNEQVE6Q0FMTS5JUV9SVUFfQ0FQSVRBTF9MRUFTRV9HUk9TUy45OTAuMjkvMDMvMjAyNi4uLlVTRC5IAQAAACB6BQADAAAAAACW4Cx6RI3eCK26VHxEjd4INENJUS5OQVNEQVE6Q0FMTS5JUV9SVUFfR1JPU1MuMjAwMC4yOS8wMy8yMDI2Li4uVVNELkgBAAAAIHoFAAMAAAAAAJbgLHpEjd4I3WxUfESN3ghAQ0lRLk5BU0RBUTpDQUxNLklRX1RPVEFMX0RFQlRfRVhDTF9MRUFTRVMuOTkxLjI5LzAzLzIwMjYuLi5VU0QuSAEAAAAgegUAAgAAAAUyNS41NwEIAAAABQAAAAExAQAAAAoxODk2ODIwNTE3AwAAAAMxNjACAAAABTQ4OTkyBAAAAAEwBwAAAAkzLzI5LzIwMjYIAAAACTUvMjgvMjAxNgkAAAABMLoHLXpEjd4IVuJXfESN3ghWQ0lRLk5BU0RBUTpDQUxNLklRX0ZJTkFOQ0lOR19PQkxJR19OT05fQ1VSUkVOVF9FWENMX09QRVJfTEVBU0VTLjk5Mi4yOS8wMy8yMDI2Li4uVVNELkgBAAAAIHoFAAIAAAAFNi4xMTMBCAAAAAUAAAABMQEAAAAKMTk3MjAxMjEy</t>
  </si>
  <si>
    <t>MQMAAAADMTYwAgAAAAU0ODk4MQQAAAABMAcAAAAJMy8yOS8yMDI2CAAAAAg2LzMvMjAxNwkAAAABMLoHLXpEjd4IoCR2fkSN3gg5Q0lRLk5BU0RBUTpDQUxNLklRX05FVF9XT1JLSU5HX0NBUC45OTIuMjkvMDMvMjAyNi4uLlVTRC5IAQAAACB6BQACAAAABzIyMC4zMjcBCAAAAAUAAAABMQEAAAAKMTk3MjAxMjEyMQMAAAADMTYwAgAAAAQxMzExBAAAAAEwBwAAAAkzLzI5LzIwMjYIAAAACDYvMy8yMDE3CQAAAAEwwS4tekSN3givFHR+RI3eCC1DSVEuTkFTREFROkNBTE0uSVFfVEJWLjk5Mi4yOS8wMy8yMDI2Li4uVVNELkgBAAAAIHoFAAIAAAAHNzc4LjAxMwEIAAAABQAAAAExAQAAAAoxOTcyMDEyMTIxAwAAAAMxNjACAAAABDEzMTAEAAAAATAHAAAACTMvMjkvMjAyNggAAAAINi8zLzIwMTcJAAAAATDBLi16RI3eCEhhdX5Ejd4IUENJUS5OQVNEQVE6Q0FMTS5JUV9MSVFVSURBVElPTl9WQUxVRV9QUkVGRVJSRURfTk9OX1JFREVFTS45OTAuMjkvMDMvMjAyNi4uLlVTRC5IAQAAACB6BQADAAAAAACiaS16RI3eCDsxX3xEjd4IS0NJUS5OQVNEQVE6Q0FMTS5JUV9HRU5FUkFMX1BBUlRORVJfTUlOT1JJVFlfSU5URVJFU1QuOTkwLjI5LzAzLzIwMjYuLi5VU0QuSAEAAAAgegUAAwAAAAAAomktekSN3gjD4l58RI3eCEVDSVEuTkFTREFROkNBTE0uSVFfREVGX1RBWF9WQUxVQVRJT05fQUxMT1dBTkNFLjk5</t>
  </si>
  <si>
    <t>MC4yOS8wMy8yMDI2Li4uVVNELkgBAAAAIHoFAAMAAAAAAKJpLXpEjd4I+FlefESN3gg4Q0lRLk5BU0RBUTpDQUxNLklRX0FTU0VUU19MRVZFTF8yLjk5Mi4yOS8wMy8yMDI2Li4uVVNELkgBAAAAIHoFAAIAAAAHMTM4LjQ2MgCiaS16RI3eCFjfcH5Ejd4IPUNJUS5OQVNEQVE6Q0FMTS5JUV9TVF9ERUJUX0RFUklWQVRJVkVTLjk5MC4yOS8wMy8yMDI2Li4uVVNELkgBAAAAIHoFAAMAAAAAAAKKF3pEjd4I9TZjfESN3gg8Q0lRLk5BU0RBUTpDQUxNLklRX0ZJTl9ESVZfREVCVF9UT1RBTC45OTIuMjkvMDMvMjAyNi4uLlVTRC5IAQAAACB6BQADAAAAAADmYhd6RI3eCLJrb35Ejd4IOUNJUS5OQVNEQVE6Q0FMTS5JUV9JTlRFUkNPTVBBTllfQ0EuOTkyLjI5LzAzLzIwMjYuLi5VU0QuSAEAAAAgegUAAwAAAAAA+7AXekSN3ghxNmx+RI3eCD9DSVEuTkFTREFROkNBTE0uSVFfQURWQU5DRVNfRk9SX1NVUFBMSUVTLjk5MC4yOS8wMy8yMDI2Li4uVVNELkgBAAAAIHoFAAMAAAAAAPuwF3pEjd4ImVxlfESN3gg/Q0lRLk5BU0RBUTpDQUxNLklRX0RFUklWQVRJVkVfQVNTRVRTX0xULjIwMDAuMjkvMDMvMjAyNi4uLlVTRC5IAQAAACB6BQADAAAAAAD7sBd6RI3eCHKEZHxEjd4IOUNJUS5OQVNEQVE6Q0FMTS5JUV9ERUZfVEFYX0xJQUJfTFQuOTkxLjI5LzAzLzIwMjYuLi5VU0QuSAEAAAAgegUAAgAAAAY5NS4zODIB</t>
  </si>
  <si>
    <t>CAAAAAUAAAABMQEAAAAKMTg5NjgyMDUxNwMAAAADMTYwAgAAAAQxMDI3BAAAAAEwBwAAAAkzLzI5LzIwMjYIAAAACTUvMjgvMjAxNgkAAAABMA2ngHpEjd4IEppRfESN3gg3Q0lRLk5BU0RBUTpDQUxNLklRX1VORUFSTl9SRVZfTFQuOTkwLjI5LzAzLzIwMjYuLi5VU0QuSAEAAAAgegUAAwAAAAAADaeAekSN3giwS1F8RI3eCCxDSVEuTkFTREFROkNBTE0uSVFfUkUuOTkwLjI5LzAzLzIwMjYuLi5VU0QuSAEAAAAgegUAAgAAAAc2NzkuOTY5AQgAAAAFAAAAATEBAAAACjE4NTAyMjA4NDUDAAAAAzE2MAIAAAAEMTIyMgQAAAABMAcAAAAJMy8yOS8yMDI2CAAAAAk1LzMwLzIwMTUJAAAAATCKuSx6RI3eCAYOU3xEjd4INENJUS5OQVNEQVE6Q0FMTS5JUV9UT1RBTF9MSUFCLjk5Mi4yOS8wMy8yMDI2Li4uVVNELkgBAAAAIHoFAAIAAAAHMTg4LjYwMQEIAAAABQAAAAExAQAAAAoxOTcyMDEyMTIxAwAAAAMxNjACAAAABDEyNzYEAAAAATAHAAAACTMvMjkvMjAyNggAAAAINi8zLzIwMTcJAAAAATANp4B6RI3eCPq+eX5Ejd4IMkNJUS5OQVNEQVE6Q0FMTS5JUV9SVUFfTkVULjIwMDAuMjkvMDMvMjAyNi4uLlVTRC5IAQAAACB6BQADAAAAAACW4Cx6RI3eCK26VHxEjd4INkNJUS5OQVNEQVE6Q0FMTS5JUV9PVEhFUl9FUVVJVFkuOTkyLjI5LzAzLzIwMjYuLi5VU0QuSAEAAAAgegUAAgAAAAYtMC4xMjgBCAAAAAUA</t>
  </si>
  <si>
    <t>AAABMQEAAAAKMTk3MjAxMjEyMQMAAAADMTYwAgAAAAQxMDI4BAAAAAEwBwAAAAkzLzI5LzIwMjYIAAAACDYvMy8yMDE3CQAAAAEwirksekSN3gh9wHh+RI3eCEdDSVEuTkFTREFROkNBTE0uSVFfUlVBX09QRVJBVElOR19MRUFTRV9BQ0NVTV9ERVAuOTkyLjI5LzAzLzIwMjYuLi5VU0QuSAEAAAAgegUAAwAAAAAAluAsekSN3ggXcXd+RI3eCD9DSVEuTkFTREFROkNBTE0uSVFfUlVBX0NBUElUQUxfTEVBU0VfTkVULjk5MC4yOS8wMy8yMDI2Li4uVVNELkgBAAAAIHoFAAMAAAAAAJbgLHpEjd4I4AhVfESN3ghWQ0lRLk5BU0RBUTpDQUxNLklRX0ZJTkFOQ0lOR19PQkxJR19OT05fQ1VSUkVOVF9FWENMX09QRVJfTEVBU0VTLjk5MS4yOS8wMy8yMDI2Li4uVVNELkgBAAAAIHoFAAIAAAAEOS4yNQEIAAAABQAAAAExAQAAAAoxODk2ODIwNTE3AwAAAAMxNjACAAAABTQ4OTgxBAAAAAEwBwAAAAkzLzI5LzIwMjYIAAAACTUvMjgvMjAxNgkAAAABMLoHLXpEjd4IP5RXfESN3gg2Q0lRLk5BU0RBUTpDQUxNLklRX1RPVEFMX0xFQVNFUy45OTEuMjkvMDMvMjAyNi4uLlVTRC5IAQAAACB6BQADAAAAAAC6By16RI3eCCgLV3xEjd4INkNJUS5OQVNEQVE6Q0FMTS5JUV9GSU5JU0hFRF9JTlYuOTkxLjI5LzAzLzIwMjYuLi5VU0QuSAEAAAAgegUAAgAAAAY2MC40ODcBCAAAAAUAAAABMQEAAAAKMTg5NjgyMDUxNwMAAAAD</t>
  </si>
  <si>
    <t>MTYwAgAAAAQzMDc1BAAAAAEwBwAAAAkzLzI5LzIwMjYIAAAACTUvMjgvMjAxNgkAAAABMMBVLXpEjd4I6vtbfESN3ghGQ0lRLk5BU0RBUTpDQUxNLklRX0dFTkVSQUxfUEFSVE5FUl9QUkVGX0VRVUlUWS4yMDAwLjI5LzAzLzIwMjYuLi5VU0QuSAEAAAAgegUAAwAAAAAAomktekSN3giO7l58RI3eCD1DSVEuTkFTREFROkNBTE0uSVFfTElBQklMSVRJRVNfTEVWRUxfMS45OTAuMjkvMDMvMjAyNi4uLlVTRC5IAQAAACB6BQADAAAAAADmYhd6RI3eCABvYHxEjd4IOUNJUS5OQVNEQVE6Q0FMTS5JUV9BU1NFVFNfTEVWRUxfMi4yMDAwLjI5LzAzLzIwMjYuLi5VU0QuSAEAAAAgegUAAgAAAAc3NjkuNTM4AKJpLXpEjd4IxdJffESN3ghOQ0lRLk5BU0RBUTpDQUxNLklRX0xJUVVJREFUSU9OX1ZBTFVFX1BSRUZFUlJFRF9DT05WRVJULjIwMDAuMjkvMDMvMjAyNi4uLlVTRC5IAQAAACB6BQADAAAAAACiaS16RI3eCDsxX3xEjd4IPENJUS5OQVNEQVE6Q0FMTS5JUV9GSU5fRElWX0RFQlRfVE9UQUwuOTkxLjI5LzAzLzIwMjYuLi5VU0QuSAEAAAAgegUAAwAAAAAA5mIXekSN3ghHiGF8RI3eCDlDSVEuTkFTREFROkNBTE0uSVFfSU5URVJDT01QQU5ZX0NBLjk5MS4yOS8wMy8yMDI2Li4uVVNELkgBAAAAIHoFAAMAAAAAAPuwF3pEjd4IZwxmfESN3gg9Q0lRLk5BU0RBUTpDQUxNLklRX0xUX01BUktfU0VDVVJJVElF</t>
  </si>
  <si>
    <t>Uy4yMDAwLjI5LzAzLzIwMjYuLi5VU0QuSAEAAAAgegUAAwAAAAAA+7AXekSN3giZXGV8RI3eCDhDSVEuTkFTREFROkNBTE0uSVFfT1RIRVJfQ0xfU1VQUEwuOTkyLjI5LzAzLzIwMjYuLi5VU0QuSAEAAAAgegUAAwAAAAAADaeAekSN3ghu0Hp+RI3eCD5DSVEuTkFTREFROkNBTE0uSVFfSU5DX1RBWF9QQVlfQ1VSUkVOVC4yMDAwLjI5LzAzLzIwMjYuLi5VU0QuSAEAAAAgegUAAwAAAAAADaeAekSN3gi4D1B8RI3eCDRDSVEuTkFTREFROkNBTE0uSVFfVE9UQUxfTElBQi45OTEuMjkvMDMvMjAyNi4uLlVTRC5IAQAAACB6BQACAAAABzE5NC40MDQBCAAAAAUAAAABMQEAAAAKMTg5NjgyMDUxNwMAAAADMTYwAgAAAAQxMjc2BAAAAAEwBwAAAAkzLzI5LzIwMjYIAAAACTUvMjgvMjAxNgkAAAABMA2ngHpEjd4I4udRfESN3ggyQ0lRLk5BU0RBUTpDQUxNLklRX1BFTlNJT04uMjAwMC4yOS8wMy8yMDI2Li4uVVNELkgBAAAAIHoFAAMAAAAAAA2ngHpEjd4IEppRfESN3gg2Q0lRLk5BU0RBUTpDQUxNLklRX09USEVSX0VRVUlUWS45OTEuMjkvMDMvMjAyNi4uLlVTRC5IAQAAACB6BQACAAAABi0wLjA0OAEIAAAABQAAAAExAQAAAAoxODk2ODIwNTE3AwAAAAMxNjACAAAABDEwMjgEAAAAATAHAAAACTMvMjkvMjAyNggAAAAJNS8yOC8yMDE2CQAAAAEwirksekSN3ggjg1N8RI3eCC9DSVEuTkFTREFROkNBTE0uSVFf</t>
  </si>
  <si>
    <t>QVBJQy4yMDAwLjI5LzAzLzIwMjYuLi5VU0QuSAEAAAAgegUAAgAAAAY4My41MTQBCAAAAAUAAAABMQEAAAALLTE5MTA2Mjc4MzgDAAAAAzE2MAIAAAAEMTA4NAQAAAABMAcAAAAJMy8yOS8yMDI2CAAAAAoxMS8yOS8yMDI1CQAAAAEwirksekSN3ggGDlN8RI3eCEdDSVEuTkFTREFROkNBTE0uSVFfUlVBX09QRVJBVElOR19MRUFTRV9BQ0NVTV9ERVAuOTkxLjI5LzAzLzIwMjYuLi5VU0QuSAEAAAAgegUAAwAAAAAAluAsekSN3ggfV1V8RI3eCFZDSVEuTkFTREFROkNBTE0uSVFfRklOQU5DSU5HX09CTElHX05PTl9DVVJSRU5UX0VYQ0xfT1BFUl9MRUFTRVMuOTkwLjI5LzAzLzIwMjYuLi5VU0QuSAEAAAAgegUAAgAAAAY0MC43OTUBCAAAAAUAAAABMQEAAAAKMTg1MDIyMDg0NQMAAAADMTYwAgAAAAU0ODk4MQQAAAABMAcAAAAJMy8yOS8yMDI2CAAAAAk1LzMwLzIwMTUJAAAAATC6By16RI3eCD+UV3xEjd4INkNJUS5OQVNEQVE6Q0FMTS5JUV9UT1RBTF9MRUFTRVMuOTkwLjI5LzAzLzIwMjYuLi5VU0QuSAEAAAAgegUAAwAAAAAAugctekSN3ggoC1d8RI3eCEtDSVEuTkFTREFROkNBTE0uSVFfTFRfUE9SVElPTl9PUEVSX0xFQVNFX0xJQUJJTElUSUVTLjk5Mi4yOS8wMy8yMDI2Li4uVVNELkgBAAAAIHoFAAMAAAAAALoHLXpEjd4IeYZ2fkSN3ggzQ0lRLk5BU0RBUTpDQUxNLklRX1RCVl9TSEFSRS45OTIu</t>
  </si>
  <si>
    <t>MjkvMDMvMjAyNi4uLlVTRC5IAQAAACB6BQACAAAACTE2LjAxNjA3NwEIAAAABQAAAAExAQAAAAoxOTcyMDEyMTIxAwAAAAMxNjACAAAABDQxNTYEAAAAATAHAAAACTMvMjkvMjAyNggAAAAINi8zLzIwMTcJAAAAATDBLi16RI3eCGuIdX5Ejd4INUNJUS5OQVNEQVE6Q0FMTS5JUV9BUl9VTkJJTExFRC45OTIuMjkvMDMvMjAyNi4uLlVTRC5IAQAAACB6BQADAAAAAADBLi16RI3eCJzGc35Ejd4IM0NJUS5OQVNEQVE6Q0FMTS5JUV9UT1RBTF9DQVAuOTkyLjI5LzAzLzIwMjYuLi5VU0QuSAEAAAAgegUAAgAAAAc4NTUuNDMyAQgAAAAFAAAAATEBAAAACjE5NzIwMTIxMjEDAAAAAzE2MAIAAAAENDE3NQQAAAABMAcAAAAJMy8yOS8yMDI2CAAAAAg2LzMvMjAxNwkAAAABMMEuLXpEjd4IzGJ0fkSN3ggyQ0lRLk5BU0RBUTpDQUxNLklRX1NPRlRXQVJFLjk5Mi4yOS8wMy8yMDI2Li4uVVNELkgBAAAAIHoFAAMAAAAAAMBVLXpEjd4IFu9yfkSN3gg8Q0lRLk5BU0RBUTpDQUxNLklRX0FTU0VUU19GQUlSX1ZBTFVFLjIwMDAuMjkvMDMvMjAyNi4uLlVTRC5IAQAAACB6BQACAAAABzc2OS41MzgA5mIXekSN3ggAb2B8RI3eCDxDSVEuTkFTREFROkNBTE0uSVFfRklOX0RJVl9ERUJUX1RPVEFMLjk5MC4yOS8wMy8yMDI2Li4uVVNELkgBAAAAIHoFAAMAAAAAAOZiF3pEjd4IR4hhfESN3ghFQ0lRLk5BU0RBUTpDQUxNLklR</t>
  </si>
  <si>
    <t>X0RFUklWQVRJVkVfTElBQl9OT05fQ1VSUkVOVC45OTIuMjkvMDMvMjAyNi4uLlVTRC5IAQAAACB6BQADAAAAAAACihd6RI3eCCbRbX5Ejd4IN0NJUS5OQVNEQVE6Q0FMTS5JUV9PUkRFUl9CQUNLTE9HLjk5MC4yOS8wMy8yMDI2Li4uVVNELkgBAAAAIHoFAAMAAAAAAAKKF3pEjd4ILdVifESN3ggzQ0lRLk5BU0RBUTpDQUxNLklRX1RPVEFMX0NBUC45OTEuMjkvMDMvMjAyNi4uLlVTRC5IAQAAACB6BQACAAAABzk0Mi45MzEBCAAAAAUAAAABMQEAAAAKMTg5NjgyMDUxNwMAAAADMTYwAgAAAAQ0MTc1BAAAAAEwBwAAAAkzLzI5LzIwMjYIAAAACTUvMjgvMjAxNgkAAAABMMEuLXpEjd4IWQ9afESN3ghGQ0lRLk5BU0RBUTpDQUxNLklRX0RFUklWQVRJVkVfTElBQl9OT05fQ1VSUkVOVC4yMDAwLjI5LzAzLzIwMjYuLi5VU0QuSAEAAAAgegUAAwAAAAAAAooXekSN3giHD2R8RI3eCD5DSVEuTkFTREFROkNBTE0uSVFfVE9UQUxfREVCVF9FWENMX0ZJTi4yMDAwLjI5LzAzLzIwMjYuLi5VU0QuSAEAAAAgegUAAwAAAAAAAooXekSN3ggt1WJ8RI3eCDNDSVEuTkFTREFROkNBTE0uSVFfQ0hBTkdFX0FSLjk5Mi4yOS8wMy8yMDI2Li4uVVNELkgBAAAAIHoFAAIAAAAHLTM3LjIyMgEIAAAABQAAAAExAQAAAAoxOTcyMDEyMTIxAwAAAAMxNjACAAAABDIwMTgEAAAAATAHAAAACTMvMjkvMjAyNggAAAAINi8zLzIwMTcJ</t>
  </si>
  <si>
    <t>AAAAATCL4396RI3eCJtth35Ejd4IOENJUS5OQVNEQVE6Q0FMTS5JUV9DSEFOR0VfSU5DX1RBWC45OTAuMjkvMDMvMjAyNi4uLlVTRC5IAQAAACB6BQADAAAAAACL4396RI3eCOILO3xEjd4INUNJUS5OQVNEQVE6Q0FMTS5JUV9DQVNIX0lOVkVTVC45OTAuMjkvMDMvMjAyNi4uLlVTRC5IAQAAACB6BQACAAAACC0xNDEuNjMyAQgAAAAFAAAAATEBAAAACjE4NTAyMjA4NDUDAAAAAzE2MAIAAAAEMjAwNQQAAAABMAcAAAAJMy8yOS8yMDI2CAAAAAk1LzMwLzIwMTUJAAAAATDXCoB6RI3eCNUbPXxEjd4IN0NJUS5OQVNEQVE6Q0FMTS5JUV9TQUxFX0lOVEFOX0NGLjk5Mi4yOS8wMy8yMDI2Li4uVVNELkgBAAAAIHoFAAMAAAAAANcKgHpEjd4ILi2GfkSN3gg1Q0lRLk5BU0RBUTpDQUxNLklRX1BSRUZfSVNTVUVELjk5Mi4yOS8wMy8yMDI2Li4uVVNELkgBAAAAIHoFAAMAAAAAANcKgHpEjd4IT7mEfkSN3gg7Q0lRLk5BU0RBUTpDQUxNLklRX1RPVEFMX0RFQlRfSVNTVUVELjk5MC4yOS8wMy8yMDI2Li4uVVNELkgBAAAAIHoFAAMAAAAAANcKgHpEjd4IGcw9fESN3ghBQ0lRLk5BU0RBUTpDQUxNLklRX09USEVSX0ZJTkFOQ0VfQUNUX1NVUFBMLjk5MC4yOS8wMy8yMDI2Li4uVVNELkgBAAAAIHoFAAIAAAAGLTAuNTQ1AQgAAAAFAAAAATEBAAAACjE4NTAyMjA4NDUDAAAAAzE2MAIAAAAEMjA1MAQAAAABMAcAAAAJ</t>
  </si>
  <si>
    <t>My8yOS8yMDI2CAAAAAk1LzMwLzIwMTUJAAAAATCmMYB6RI3eCKuuP3xEjd4INUNJUS5OQVNEQVE6Q0FMTS5JUV9QUkVGX0RJVl9DRi45OTIuMjkvMDMvMjAyNi4uLlVTRC5IAQAAACB6BQADAAAAAADXCoB6RI3eCDtrhH5Ejd4IPkNJUS5OQVNEQVE6Q0FMTS5JUV9ORUdBVElWRV9HV19BTU9SVF9DRi45OTAuMjkvMDMvMjAyNi4uLlVTRC5IAQAAACB6BQADAAAAAACmMYB6RI3eCND5QXxEjd4IR0NJUS5OQVNEQVE6Q0FMTS5JUV9ERVBSRUNJQVRJT05fUkVOVEFMX0FTU0VUU19DRi45OTIuMjkvMDMvMjAyNi4uLlVTRC5IAQAAACB6BQADAAAAAACmMYB6RI3eCC/6gn5Ejd4IPUNJUS5OQVNEQVE6Q0FMTS5JUV9DQVNIX0lOVEVSRVNUX0ZJTkFOLjk5Mi4yOS8wMy8yMDI2Li4uVVNELkgBAAAAIHoFAAMAAAAAABtZf3pEjd4IWZKBfkSN3gg6Q0lRLk5BU0RBUTpDQUxNLklRX0NBU0hfVEFYRVNfRklOQU4uOTkwLjI5LzAzLzIwMjYuLi5VU0QuSAEAAAAgegUAAwAAAAAAjYF/ekSN3gg7MUR8RI3eCEtDSVEuTkFTREFROkNBTE0uSVFfTE9OR19URVJNX0RFQlRfUkVQQUlEX0VYQ0xfTEVBU0VTLjk5MC4yOS8wMy8yMDI2Li4uVVNELkgBAAAAIHoFAAIAAAAHLTEwLjIzMwEIAAAABQAAAAExAQAAAAoxODUwMjIwODQ1AwAAAAMxNjACAAAABTQ4OTg0BAAAAAEwBwAAAAkzLzI5LzIwMjYIAAAACTUvMzAvMjAxNQkA</t>
  </si>
  <si>
    <t>AAABMI2Bf3pEjd4Ie39GfESN3gg3Q0lRLk5BU0RBUTpDQUxNLklRX0RPX0ZJTkFOQ0VfQ0YuOTkyLjI5LzAzLzIwMjYuLi5VU0QuSAEAAAAgegUAAwAAAAAAjYF/ekSN3giKRYB+RI3eCDhDSVEuTkFTREFROkNBTE0uSVFfVFJBRElOR19BU1NFVFMuOTkyLjI5LzAzLzIwMjYuLi5VU0QuSAEAAAAgegUAAwAAAAAAjYF/ekSN3gj9Jn9+RI3eCDVDSVEuTkFTREFROkNBTE0uSVFfUFJFUEFJRF9FWFAuOTkwLjI5LzAzLzIwMjYuLi5VU0QuSAEAAAAgegUAAgAAAAUxLjk0NgEIAAAABQAAAAExAQAAAAoxODUwMjIwODQ1AwAAAAMxNjACAAAABDEyMTIEAAAAATAHAAAACTMvMjkvMjAyNggAAAAJNS8zMC8yMDE1CQAAAAEwtViAekSN3gh7Ukh8RI3eCDZDSVEuTkFTREFROkNBTE0uSVFfT1RIRVJfUkVDRUlWLjk5Mi4yOS8wMy8yMDI2Li4uVVNELkgBAAAAIHoFAAIAAAAGNTUuOTM5AQgAAAAFAAAAATEBAAAACjE5NzIwMTIxMjEDAAAAAzE2MAIAAAAEMTIwNgQAAAABMAcAAAAJMy8yOS8yMDI2CAAAAAg2LzMvMjAxNwkAAAABMI2Bf3pEjd4I/Nh+fkSN3ggsQ0lRLk5BU0RBUTpDQUxNLklRX0FELjk5Mi4yOS8wMy8yMDI2Li4uVVNELkgBAAAAIHoFAAIAAAAILTQ2OC45OTUBCAAAAAUAAAABMQEAAAAKMTk3MjAxMjEyMQMAAAADMTYwAgAAAAQxMDc1BAAAAAEwBwAAAAkzLzI5LzIwMjYIAAAACDYvMy8yMDE3CQAA</t>
  </si>
  <si>
    <t>AAEw2X+AekSN3ggPjH1+RI3eCDZDSVEuTkFTREFROkNBTE0uSVFfVE9UQUxfQVNTRVRTLjk5MC4yOS8wMy8yMDI2Li4uVVNELkgBAAAAIHoFAAIAAAAHOTI4LjY1MwEIAAAABQAAAAExAQAAAAoxODUwMjIwODQ1AwAAAAMxNjACAAAABDEwMDcEAAAAATAHAAAACTMvMjkvMjAyNggAAAAJNS8zMC8yMDE1CQAAAAEw2X+AekSN3ghHTk58RI3eCDtDSVEuTkFTREFROkNBTE0uSVFfRklOX0RJVl9BU1NFVFNfTFQuOTkxLjI5LzAzLzIwMjYuLi5VU0QuSAEAAAAgegUAAwAAAAAA2X+AekSN3giNdk18RI3eCDhDSVEuTkFTREFROkNBTE0uSVFfT1RIRVJfQ0xfU1VQUEwuOTkwLjI5LzAzLzIwMjYuLi5VU0QuSAEAAAAgegUAAgAAAAYxNS4zNzIBCAAAAAUAAAABMQEAAAAKMTg1MDIyMDg0NQMAAAADMTYwAgAAAAQxMDU3BAAAAAEwBwAAAAkzLzI5LzIwMjYIAAAACTUvMzAvMjAxNQkAAAABMA2ngHpEjd4IuDZQfESN3gg+Q0lRLk5BU0RBUTpDQUxNLklRX0NVUlJFTlRfUE9SVF9MRUFTRVMuMjAwMC4yOS8wMy8yMDI2Li4uVVNELkgBAAAAIHoFAAMAAAAAANl/gHpEjd4Ia19PfESN3gg5Q0lRLk5BU0RBUTpDQUxNLklRX1BSRUZfTk9OX1JFREVFTS45OTEuMjkvMDMvMjAyNi4uLlVTRC5IAQAAACB6BQADAAAAAAANp4B6RI3eCCU2UnxEjd4IO0NJUS5OQVNEQVE6Q0FMTS5JUV9UT1RBTF9MSUFCX0VRVUlUWS45OTIu</t>
  </si>
  <si>
    <t>MjkvMDMvMjAyNi4uLlVTRC5IAQAAACB6BQACAAAACDEwMzMuMDk0AQgAAAAFAAAAATEBAAAACjE5NzIwMTIxMjEDAAAAAzE2MAIAAAAEMTAxMwQAAAABMAcAAAAJMy8yOS8yMDI2CAAAAAg2LzMvMjAxNwkAAAABMJbgLHpEjd4ITUt4fkSN3gg7Q0lRLk5BU0RBUTpDQUxNLklRX01JTk9SSVRZX0lOVEVSRVNULjk5MS4yOS8wMy8yMDI2Li4uVVNELkgBAAAAIHoFAAIAAAAFMi4wODYBCAAAAAUAAAABMQEAAAAKMTg5NjgyMDUxNwMAAAADMTYwAgAAAAQxMDUyBAAAAAEwBwAAAAkzLzI5LzIwMjYIAAAACTUvMjgvMjAxNgkAAAABMJbgLHpEjd4I59FTfESN3ghRQ0lRLk5BU0RBUTpDQUxNLklRX0NVUlJFTlRfUE9SVElPTl9PUEVSX0xFQVNFX0xJQUJJTElUSUVTLjIwMDAuMjkvMDMvMjAyNi4uLlVTRC5IAQAAACB6BQADAAAAAAC6By16RI3eCBjkVnxEjd4IPkNJUS5OQVNEQVE6Q0FMTS5JUV9UT1RBTF9GSU5BTkNFX0xFQVNFUy45OTEuMjkvMDMvMjAyNi4uLlVTRC5IAQAAACB6BQADAAAAAAC6By16RI3eCAVvVnxEjd4IQENJUS5OQVNEQVE6Q0FMTS5JUV9GSU5BTkNFX0xFQVNFU19DVVJSRU5ULjk5MC4yOS8wMy8yMDI2Li4uVVNELkgBAAAAIHoFAAMAAAAAALoHLXpEjd4IJiFWfESN3ghAQ0lRLk5BU0RBUTpDQUxNLklRX0dQUEVfRVhDTF9PUEVSX0xFQVNFUy4yMDAwLjI5LzAzLzIwMjYuLi5VU0QuSAEA</t>
  </si>
  <si>
    <t>AAAgegUAAwAAAAAAugctekSN3ghF0lV8RI3eCDJDSVEuTkFTREFROkNBTE0uSVFfQlZfU0hBUkUuOTkyLjI5LzAzLzIwMjYuLi5VU0QuSAEAAAAgegUAAgAAAAkxNy4zNDc0NDgBCAAAAAUAAAABMQEAAAAKMTk3MjAxMjEyMQMAAAADMTYwAgAAAAQ0MDIwBAAAAAEwBwAAAAkzLzI5LzIwMjYIAAAACDYvMy8yMDE3CQAAAAEwwS4tekSN3gh51nV+RI3eCDpDSVEuTkFTREFROkNBTE0uSVFfQUxMT1dfRE9VQlRfQUNDVC45OTIuMjkvMDMvMjAyNi4uLlVTRC5IAQAAACB6BQACAAAABTAuMzg2AQgAAAAFAAAAATEBAAAACjE5NzIwMTIxMjEDAAAAAzE2MAIAAAAEMzAxMgQAAAABMAcAAAAJMy8yOS8yMDI2CAAAAAg2LzMvMjAxNwkAAAABMMEuLXpEjd4IrxR0fkSN3ggzQ0lRLk5BU0RBUTpDQUxNLklRX0JVSUxESU5HUy45OTIuMjkvMDMvMjAyNi4uLlVTRC5IAQAAACB6BQACAAAABzM0Mi45MzMBCAAAAAUAAAABMQEAAAAKMTk3MjAxMjEyMQMAAAADMTYwAgAAAAQzMDIzBAAAAAEwBwAAAAkzLzI5LzIwMjYIAAAACDYvMy8yMDE3CQAAAAEwwFUtekSN3ghOFnN+RI3eCExDSVEuTkFTREFROkNBTE0uSVFfTElRVUlEQVRJT05fVkFMVUVfUFJFRkVSUkVEX1JFREVFTS45OTAuMjkvMDMvMjAyNi4uLlVTRC5IAQAAACB6BQADAAAAAACiaS16RI3eCDldX3xEjd4ISENJUS5OQVNEQVE6Q0FMTS5JUV9UT1RBTF9HRU5F</t>
  </si>
  <si>
    <t>UkFMX1BBUlRORVJfSU5URVJFU1QuOTkxLjI5LzAzLzIwMjYuLi5VU0QuSAEAAAAgegUAAwAAAAAAomktekSN3giO7l58RI3eCD9DSVEuTkFTREFROkNBTE0uSVFfTEVBU0VIT0xEX0lNUFJPVkVNRU5ULjk5Mi4yOS8wMy8yMDI2Li4uVVNELkgBAAAAIHoFAAMAAAAAAMBVLXpEjd4I3nlyfkSN3ghHQ0lRLk5BU0RBUTpDQUxNLklRX0NVUlJFTlRfUE9SVF9ERUJUX0RFUklWQVRJVkVTLjk5Mi4yOS8wMy8yMDI2Li4uVVNELkgBAAAAIHoFAAMAAAAAAAKKF3pEjd4ISh9ufkSN3gg8Q0lRLk5BU0RBUTpDQUxNLklRX0ZJTl9ESVZfQ0FTSF9FUVVJVi45OTAuMjkvMDMvMjAyNi4uLlVTRC5IAQAAACB6BQADAAAAAADmYhd6RI3eCFyvYXxEjd4IOkNJUS5OQVNEQVE6Q0FMTS5JUV9JTlRFUkNPTVBBTllfQ0EuMjAwMC4yOS8wMy8yMDI2Li4uVVNELkgBAAAAIHoFAAMAAAAAAPuwF3pEjd4IUTNmfESN3ghCQ0lRLk5BU0RBUTpDQUxNLklRX0FDQ1VNX0FNT1JUX0lOVEFOX0FTU0VUUy45OTIuMjkvMDMvMjAyNi4uLlVTRC5IAQAAACB6BQACAAAABi0yMS4xOQEIAAAABQAAAAExAQAAAAoxOTcyMDEyMTIxAwAAAAMxNjACAAAABTI0MzMxBAAAAAEwBwAAAAkzLzI5LzIwMjYIAAAACDYvMy8yMDE3CQAAAAEw+7AXekSN3gjSIG1+RI3eCDdDSVEuTkFTREFROkNBTE0uSVFfU0FMRV9JTlRBTl9DRi45OTEuMjkvMDMvMjAy</t>
  </si>
  <si>
    <t>Ni4uLlVTRC5IAQAAACB6BQADAAAAAADXCoB6RI3eCLemPHxEjd4IQUNJUS5OQVNEQVE6Q0FMTS5JUV9PVEhFUl9JTlZFU1RfQUNUX1NVUFBMLjIwMDAuMjkvMDMvMjAyNi4uLlVTRC5IAQAAACB6BQADAAAAAADXCoB6RI3eCNUbPXxEjd4IOUNJUS5OQVNEQVE6Q0FMTS5JUV9TUEVDSUFMX0RJVl9DRi4yMDAwLjI5LzAzLzIwMjYuLi5VU0QuSAEAAAAgegUAAwAAAAAApjGAekSN3girrj98RI3eCDZDSVEuTkFTREFROkNBTE0uSVFfUFJFRl9ESVZfQ0YuMjAwMC4yOS8wMy8yMDI2Li4uVVNELkgBAAAAIHoFAAMAAAAAANcKgHpEjd4Izzk/fESN3gg1Q0lRLk5BU0RBUTpDQUxNLklRX1BSRUZfSVNTVUVELjk5MS4yOS8wMy8yMDI2Li4uVVNELkgBAAAAIHoFAAMAAAAAANcKgHpEjd4Ie7Y+fESN3ghHQ0lRLk5BU0RBUTpDQUxNLklRX0RFUFJFQ0lBVElPTl9SRU5UQUxfQVNTRVRTX0NGLjk5MS4yOS8wMy8yMDI2Li4uVVNELkgBAAAAIHoFAAMAAAAAAKYxgHpEjd4I7UlBfESN3gg9Q0lRLk5BU0RBUTpDQUxNLklRX0RBX1NVUFBMX1BBUlRJQUxfQ0YuOTkxLjI5LzAzLzIwMjYuLi5VU0QuSAEAAAAgegUAAwAAAAAApjGAekSN3gjCrUB8RI3eCEFDSVEuTkFTREFROkNBTE0uSVFfREFfQ0ZfRVhDTF9PUEVSX0xFQVNFUy4yMDAwLjI5LzAzLzIwMjYuLi5VU0QuSAEAAAAgegUAAgAAAAcxMDcuOTcyAQgAAAAFAAAA</t>
  </si>
  <si>
    <t>ATEBAAAACy0xOTEwNjI3ODM4AwAAAAMxNjACAAAABTQ4OTg1BAAAAAEwBwAAAAkzLzI5LzIwMjYIAAAACjExLzI5LzIwMjUJAAAAATCmMYB6RI3eCND5QXxEjd4IPENJUS5OQVNEQVE6Q0FMTS5JUV9DQVNIX1RBWEVTX0lOVkVTVC4yMDAwLjI5LzAzLzIwMjYuLi5VU0QuSAEAAAAgegUAAwAAAAAAjYF/ekSN3gg7MUR8RI3eCD1DSVEuTkFTREFROkNBTE0uSVFfQ0FTSF9JTlRFUkVTVF9GSU5BTi45OTEuMjkvMDMvMjAyNi4uLlVTRC5IAQAAACB6BQADAAAAAAAbWX96RI3eCAu8Q3xEjd4IN0NJUS5OQVNEQVE6Q0FMTS5JUV9ET19GSU5BTkNFX0NGLjk5MS4yOS8wMy8yMDI2Li4uVVNELkgBAAAAIHoFAAMAAAAAAI2Bf3pEjd4IOLxFfESN3ghOQ0lRLk5BU0RBUTpDQUxNLklRX09QRVJBVElOR19MRUFTRV9MSUFCSUxJVElFU19OT05DQVNILjIwMDAuMjkvMDMvMjAyNi4uLlVTRC5IAQAAACB6BQADAAAAAACNgX96RI3eCHt/RnxEjd4INENJUS5OQVNEQVE6Q0FMTS5JUV9JTlZFTlRPUlkuMjAwMC4yOS8wMy8yMDI2Li4uVVNELkgBAAAAIHoFAAIAAAAHMzQwLjU4OAEIAAAABQAAAAExAQAAAAstMTkxMDYyNzgzOAMAAAADMTYwAgAAAAQxMDQzBAAAAAEwBwAAAAkzLzI5LzIwMjYIAAAACjExLzI5LzIwMjUJAAAAATC1WIB6RI3eCHtSSHxEjd4IN0NJUS5OQVNEQVE6Q0FMTS5JUV9PVEhFUl9SRUNFSVYuMjAw</t>
  </si>
  <si>
    <t>MC4yOS8wMy8yMDI2Li4uVVNELkgBAAAAIHoFAAIAAAAGMjYuOTkyAQgAAAAFAAAAATEBAAAACy0xOTEwNjI3ODM4AwAAAAMxNjACAAAABDEyMDYEAAAAATAHAAAACTMvMjkvMjAyNggAAAAKMTEvMjkvMjAyNQkAAAABMEi8f3pEjd4IV8lHfESN3gg4Q0lRLk5BU0RBUTpDQUxNLklRX1RSQURJTkdfQVNTRVRTLjk5MS4yOS8wMy8yMDI2Li4uVVNELkgBAAAAIHoFAAMAAAAAAI2Bf3pEjd4IKi1HfESN3ggsQ0lRLk5BU0RBUTpDQUxNLklRX0FELjk5MS4yOS8wMy8yMDI2Li4uVVNELkgBAAAAIHoFAAIAAAAILTQzMC4zNzEBCAAAAAUAAAABMQEAAAAKMTg5NjgyMDUxNwMAAAADMTYwAgAAAAQxMDc1BAAAAAEwBwAAAAkzLzI5LzIwMjYIAAAACTUvMjgvMjAxNgkAAAABMNl/gHpEjd4IuItMfESN3gg4Q0lRLk5BU0RBUTpDQUxNLklRX09USEVSX0NBX1NVUFBMLjk5MS4yOS8wMy8yMDI2Li4uVVNELkgBAAAAIHoFAAMAAAAAANl/gHpEjd4I/jxJfESN3gg7Q0lRLk5BU0RBUTpDQUxNLklRX0ZJTl9ESVZfQVNTRVRTX0xULjk5MC4yOS8wMy8yMDI2Li4uVVNELkgBAAAAIHoFAAMAAAAAANl/gHpEjd4IjXZNfESN3ggsQ0lRLk5BU0RBUTpDQUxNLklRX0FFLjk5Mi4yOS8wMy8yMDI2Li4uVVNELkgBAAAAIHoFAAIAAAAGMjkuMjI0AQgAAAAFAAAAATEBAAAACjE5NzIwMTIxMjEDAAAAAzE2MAIAAAAEMTAxNgQAAAAB</t>
  </si>
  <si>
    <t>MAcAAAAJMy8yOS8yMDI2CAAAAAg2LzMvMjAxNwkAAAABMNl/gHpEjd4IXPZ7fkSN3gg6Q0lRLk5BU0RBUTpDQUxNLklRX09USEVSX0xUX0FTU0VUUy4yMDAwLjI5LzAzLzIwMjYuLi5VU0QuSAEAAAAgegUAAgAAAAYxOC44NjMBCAAAAAUAAAABMQEAAAALLTE5MTA2Mjc4MzgDAAAAAzE2MAIAAAAEMTA2MAQAAAABMAcAAAAJMy8yOS8yMDI2CAAAAAoxMS8yOS8yMDI1CQAAAAEw2X+AekSN3ghHTk58RI3eCDFDSVEuTkFTREFROkNBTE0uSVFfTFRfREVCVC45OTIuMjkvMDMvMjAyNi4uLlVTRC5IAQAAACB6BQACAAAABTYuMTEzAQgAAAAFAAAAATEBAAAACjE5NzIwMTIxMjEDAAAAAzE2MAIAAAAEMTA0OQQAAAABMAcAAAAJMy8yOS8yMDI2CAAAAAg2LzMvMjAxNwkAAAABMA2ngHpEjd4IbtB6fkSN3gg0Q0lRLk5BU0RBUTpDQUxNLklRX1BSRUZfT1RIRVIuOTkyLjI5LzAzLzIwMjYuLi5VU0QuSAEAAAAgegUAAwAAAAAAirksekSN3gi1XHl+RI3eCDFDSVEuTkFTREFROkNBTE0uSVFfUlVBX05FVC45OTAuMjkvMDMvMjAyNi4uLlVTRC5IAQAAACB6BQADAAAAAACW4Cx6RI3eCN1sVHxEjd4IPENJUS5OQVNEQVE6Q0FMTS5JUV9UT1RBTF9MSUFCX0VRVUlUWS4yMDAwLjI5LzAzLzIwMjYuLi5VU0QuSAEAAAAgegUAAgAAAAgzMTQ0LjA2NAEIAAAABQAAAAExAQAAAAstMTkxMDYyNzgzOAMAAAADMTYwAgAAAAQx</t>
  </si>
  <si>
    <t>MDEzBAAAAAEwBwAAAAkzLzI5LzIwMjYIAAAACjExLzI5LzIwMjUJAAAAATCW4Cx6RI3eCFdFVHxEjd4IQENJUS5OQVNEQVE6Q0FMTS5JUV9OUFBFX0VYQ0xfT1BFUl9MRUFTRVMuMjAwMC4yOS8wMy8yMDI2Li4uVVNELkgBAAAAIHoFAAIAAAAIMTIxOC42NTQBCAAAAAUAAAABMQEAAAALLTE5MTA2Mjc4MzgDAAAAAzE2MAIAAAAFNDg5NzYEAAAAATAHAAAACTMvMjkvMjAyNggAAAAKMTEvMjkvMjAyNQkAAAABMLoHLXpEjd4IJiFWfESN3gg+Q0lRLk5BU0RBUTpDQUxNLklRX1RPVEFMX0ZJTkFOQ0VfTEVBU0VTLjk5MC4yOS8wMy8yMDI2Li4uVVNELkgBAAAAIHoFAAMAAAAAALoHLXpEjd4IBW9WfESN3ggyQ0lRLk5BU0RBUTpDQUxNLklRX05FVF9ERUJULjk5Mi4yOS8wMy8yMDI2Li4uVVNELkgBAAAAIHoFAAIAAAAILTE0NS4wODcBCAAAAAUAAAABMQEAAAAKMTk3MjAxMjEyMQMAAAADMTYwAgAAAAQ0MzY0BAAAAAEwBwAAAAkzLzI5LzIwMjYIAAAACDYvMy8yMDE3CQAAAAEwwS4tekSN3gjciXR+RI3eCDJDSVEuTkFTREFROkNBTE0uSVFfQlZfU0hBUkUuOTkxLjI5LzAzLzIwMjYuLi5VU0QuSAEAAAAgegUAAgAAAAkxOC44NTcyNjMBCAAAAAUAAAABMQEAAAAKMTg5NjgyMDUxNwMAAAADMTYwAgAAAAQ0MDIwBAAAAAEwBwAAAAkzLzI5LzIwMjYIAAAACTUvMjgvMjAxNgkAAAABMMEuLXpEjd4IVuJXfESN</t>
  </si>
  <si>
    <t>3ggxQ0lRLk5BU0RBUTpDQUxNLklRX1JBV19JTlYuOTkwLjI5LzAzLzIwMjYuLi5VU0QuSAEAAAAgegUAAgAAAAU4Ny4yOAEIAAAABQAAAAExAQAAAAoxODUwMjIwODQ1AwAAAAMxNjACAAAABDMxNzEEAAAAATAHAAAACTMvMjkvMjAyNggAAAAJNS8zMC8yMDE1CQAAAAEwwS4tekSN3gjEg1t8RI3eCDpDSVEuTkFTREFROkNBTE0uSVFfQUxMT1dfRE9VQlRfQUNDVC45OTEuMjkvMDMvMjAyNi4uLlVTRC5IAQAAACB6BQACAAAABTAuNzI3AQgAAAAFAAAAATEBAAAACjE4OTY4MjA1MTcDAAAAAzE2MAIAAAAEMzAxMgQAAAABMAcAAAAJMy8yOS8yMDI2CAAAAAk1LzI4LzIwMTYJAAAAATDBLi16RI3eCLbAWnxEjd4IR0NJUS5OQVNEQVE6Q0FMTS5JUV9HRU5FUkFMX1BBUlRORVJfQ09NTU9OX0VRVUlUWS45OTIuMjkvMDMvMjAyNi4uLlVTRC5IAQAAACB6BQADAAAAAACiaS16RI3eCLiicX5Ejd4IQUNJUS5OQVNEQVE6Q0FMTS5JUV9NSU5PUklUWV9JTlRfUkVERUVNX1RPVC45OTAuMjkvMDMvMjAyNi4uLlVTRC5IAQAAACB6BQADAAAAAADAVS16RI3eCHuWXXxEjd4IP0NJUS5OQVNEQVE6Q0FMTS5JUV9MRUFTRUhPTERfSU1QUk9WRU1FTlQuOTkwLjI5LzAzLzIwMjYuLi5VU0QuSAEAAAAgegUAAwAAAAAAwFUtekSN3gh7NF18RI3eCDNDSVEuTkFTREFROkNBTE0uSVFfQlVJTERJTkdTLjk5MS4yOS8wMy8yMDI2</t>
  </si>
  <si>
    <t>Li4uVVNELkgBAAAAIHoFAAIAAAAHMjkxLjg4OAEIAAAABQAAAAExAQAAAAoxODk2ODIwNTE3AwAAAAMxNjACAAAABDMwMjMEAAAAATAHAAAACTMvMjkvMjAyNggAAAAJNS8yOC8yMDE2CQAAAAEwwFUtekSN3ghQcVx8RI3eCExDSVEuTkFTREFROkNBTE0uSVFfR0VORVJBTF9QQVJUTkVSX01JTk9SSVRZX0lOVEVSRVNULjIwMDAuMjkvMDMvMjAyNi4uLlVTRC5IAQAAACB6BQADAAAAAACiaS16RI3eCI7uXnxEjd4IPUNJUS5OQVNEQVE6Q0FMTS5JUV9GSU5fRElWX0RFQlRfVE9UQUwuMjAwMC4yOS8wMy8yMDI2Li4uVVNELkgBAAAAIHoFAAMAAAAAAOZiF3pEjd4IXK9hfESN3gg2Q0lRLk5BU0RBUTpDQUxNLklRX0dXX0lOVEFOX05FVC45OTEuMjkvMDMvMjAyNi4uLlVTRC5IAQAAACB6BQADAAAAAAD7sBd6RI3eCJlcZXxEjd4IQ0NJUS5OQVNEQVE6Q0FMTS5JUV9BQ0NVTV9BTU9SVF9JTlRBTl9BU1NFVFMuMjAwMC4yOS8wMy8yMDI2Li4uVVNELkgBAAAAIHoFAAMAAAAAAPuwF3pEjd4I5tJkfESN3ghHQ0lRLk5BU0RBUTpDQUxNLklRX0NVUlJFTlRfUE9SVF9ERUJUX0RFUklWQVRJVkVTLjk5MS4yOS8wMy8yMDI2Li4uVVNELkgBAAAAIHoFAAMAAAAAAAKKF3pEjd4Is3JjfESN3ghCQ0lRLk5BU0RBUTpDQUxNLklRX0FNT1JUX1NPRlRXQVJFX0FTU0VUU19DRi45OTIuMjkvMDMvMjAyNi4uLlVTRC5IAQAA</t>
  </si>
  <si>
    <t>ACB6BQADAAAAAACmMYB6RI3eCJlVgn5Ejd4IPUNJUS5OQVNEQVE6Q0FMTS5JUV9DQVNIX0lOVEVSRVNUX0ZJTkFOLjk5MC4yOS8wMy8yMDI2Li4uVVNELkgBAAAAIHoFAAMAAAAAABtZf3pEjd4IC7xDfESN3ghAQ0lRLk5BU0RBUTpDQUxNLklRX0NBU0hfSU5URVJFU1RfUkVDRUlWRUQuOTkwLjI5LzAzLzIwMjYuLi5VU0QuSAEAAAAgegUAAwAAAAAAG1l/ekSN3giq5EJ8RI3eCDJDSVEuTkFTREFROkNBTE0uSVFfQ0ZfU0hBUkUuOTkyLjI5LzAzLzIwMjYuLi5VU0QuSAEAAAAgegUAAgAAAAktMi4zMjc3NTcBCAAAAAUAAAABMQEAAAAKMTk3MjAxMjEyMQMAAAADMTYwAgAAAAU0MzkyMwQAAAABMAcAAAAJMy8yOS8yMDI2CAAAAAg2LzMvMjAxNwkAAAABMI2Bf3pEjd4IyZOAfkSN3ghEQ0lRLk5BU0RBUTpDQUxNLklRX0NIQU5HRV9ORVRfV09SS0lOR19DQVBJVEFMLjk5Mi4yOS8wMy8yMDI2Li4uVVNELkgBAAAAIHoFAAIAAAAFNTAuNzIBCAAAAAUAAAABMQEAAAAKMTk3MjAxMjEyMQMAAAADMTYwAgAAAAQ0NDIxBAAAAAEwBwAAAAkzLzI5LzIwMjYIAAAACDYvMy8yMDE3CQAAAAEwjYF/ekSN3gja4YB+RI3eCDdDSVEuTkFTREFROkNBTE0uSVFfRE9fRklOQU5DRV9DRi45OTAuMjkvMDMvMjAyNi4uLlVTRC5IAQAAACB6BQADAAAAAACNgX96RI3eCDi8RXxEjd4IOENJUS5OQVNEQVE6Q0FMTS5JUV9UUkFE</t>
  </si>
  <si>
    <t>SU5HX0FTU0VUUy45OTAuMjkvMDMvMjAyNi4uLlVTRC5IAQAAACB6BQADAAAAAACNgX96RI3eCCotR3xEjd4IOENJUS5OQVNEQVE6Q0FMTS5JUV9PVEhFUl9DQV9TVVBQTC45OTAuMjkvMDMvMjAyNi4uLlVTRC5IAQAAACB6BQACAAAABTAuMTUzAQgAAAAFAAAAATEBAAAACjE4NTAyMjA4NDUDAAAAAzE2MAIAAAAEMTA1NQQAAAABMAcAAAAJMy8yOS8yMDI2CAAAAAk1LzMwLzIwMTUJAAAAATDZf4B6RI3eCP48SXxEjd4IQENJUS5OQVNEQVE6Q0FMTS5JUV9GSU5fRElWX0FTU0VUU19DVVJSRU5ULjk5Mi4yOS8wMy8yMDI2Li4uVVNELkgBAAAAIHoFAAMAAAAAALVYgHpEjd4I8BR+fkSN3gg7Q0lRLk5BU0RBUTpDQUxNLklRX0ZJTl9ESVZfTE9BTlNfTFQuMjAwMC4yOS8wMy8yMDI2Li4uVVNELkgBAAAAIHoFAAMAAAAAANl/gHpEjd4IjXZNfESN3ggsQ0lRLk5BU0RBUTpDQUxNLklRX0FFLjk5MS4yOS8wMy8yMDI2Li4uVVNELkgBAAAAIHoFAAIAAAAGMzAuODY5AQgAAAAFAAAAATEBAAAACjE4OTY4MjA1MTcDAAAAAzE2MAIAAAAEMTAxNgQAAAABMAcAAAAJMy8yOS8yMDI2CAAAAAk1LzI4LzIwMTYJAAAAATDZf4B6RI3eCDDDTnxEjd4IOUNJUS5OQVNEQVE6Q0FMTS5JUV9MT0FOU19SRUNFSVZfTFQuOTkyLjI5LzAzLzIwMjYuLi5VU0QuSAEAAAAgegUAAwAAAAAA2X+AekSN3giJknx+RI3eCD1DSVEuTkFT</t>
  </si>
  <si>
    <t>REFROkNBTE0uSVFfSU5DX1RBWF9QQVlfQ1VSUkVOVC45OTAuMjkvMDMvMjAyNi4uLlVTRC5IAQAAACB6BQACAAAABTUuMjg4AQgAAAAFAAAAATEBAAAACjE4NTAyMjA4NDUDAAAAAzE2MAIAAAAEMTA5NAQAAAABMAcAAAAJMy8yOS8yMDI2CAAAAAk1LzMwLzIwMTUJAAAAATDZf4B6RI3eCKfBT3xEjd4IOkNJUS5OQVNEQVE6Q0FMTS5JUV9GSU5fRElWX0RFQlRfTFQuMjAwMC4yOS8wMy8yMDI2Li4uVVNELkgBAAAAIHoFAAMAAAAAAA2ngHpEjd4ID/pQfESN3gg1Q0lRLk5BU0RBUTpDQUxNLklRX1BSRUZfT1RIRVIuMjAwMC4yOS8wMy8yMDI2Li4uVVNELkgBAAAAIHoFAAMAAAAAAIq5LHpEjd4IMIRSfESN3ghFQ0lRLk5BU0RBUTpDQUxNLklRX1JVQV9DQVBJVEFMX0xFQVNFX0FDQ1VNX0RFUC45OTEuMjkvMDMvMjAyNi4uLlVTRC5IAQAAACB6BQADAAAAAACW4Cx6RI3eCK26VHxEjd4IOENJUS5OQVNEQVE6Q0FMTS5JUV9SVUFfQUNDVU1fREVQLjIwMDAuMjkvMDMvMjAyNi4uLlVTRC5IAQAAACB6BQADAAAAAACW4Cx6RI3eCOaTVHxEjd4IMkNJUS5OQVNEQVE6Q0FMTS5JUV9HV19JTlRBTi45OTIuMjkvMDMvMjAyNi4uLlVTRC5IAQAAACB6BQACAAAABjY0LjY3NAEIAAAABQAAAAExAQAAAAoxOTcyMDEyMTIxAwAAAAMxNjACAAAABTM1MzgxBAAAAAEwBwAAAAkzLzI5LzIwMjYIAAAACDYvMy8yMDE3CQAA</t>
  </si>
  <si>
    <t>AAEwwS4tekSN3ghIYXV+RI3eCDpDSVEuTkFTREFROkNBTE0uSVFfQUxMT1dfRE9VQlRfQUNDVC45OTAuMjkvMDMvMjAyNi4uLlVTRC5IAQAAACB6BQACAAAABTAuNTEzAQgAAAAFAAAAATEBAAAACjE4NTAyMjA4NDUDAAAAAzE2MAIAAAAEMzAxMgQAAAABMAcAAAAJMy8yOS8yMDI2CAAAAAk1LzMwLzIwMTUJAAAAATDBLi16RI3eCLbAWnxEjd4IMkNJUS5OQVNEQVE6Q0FMTS5JUV9ORVRfREVCVC45OTAuMjkvMDMvMjAyNi4uLlVTRC5IAQAAACB6BQACAAAACC0yMDcuNzY4AQgAAAAFAAAAATEBAAAACjE4NTAyMjA4NDUDAAAAAzE2MAIAAAAENDM2NAQAAAABMAcAAAAJMy8yOS8yMDI2CAAAAAk1LzMwLzIwMTUJAAAAATDBLi16RI3eCDeaWXxEjd4IQENJUS5OQVNEQVE6Q0FMTS5JUV9OQVRVUkFMX1JFU09VUkNFU19DT1NULjk5Mi4yOS8wMy8yMDI2Li4uVVNELkgBAAAAIHoFAAMAAAAAAMBVLXpEjd4IFu9yfkSN3ggzQ0lRLk5BU0RBUTpDQUxNLklRX0JVSUxESU5HUy45OTAuMjkvMDMvMjAyNi4uLlVTRC5IAQAAACB6BQACAAAABzI3MC4wNzYBCAAAAAUAAAABMQEAAAAKMTg1MDIyMDg0NQMAAAADMTYwAgAAAAQzMDIzBAAAAAEwBwAAAAkzLzI5LzIwMjYIAAAACTUvMzAvMjAxNQkAAAABMMBVLXpEjd4IUHFcfESN3gg4Q0lRLk5BU0RBUTpDQUxNLklRX0FTU0VUU19MRVZFTF8zLjk5MC4yOS8wMy8yMDI2</t>
  </si>
  <si>
    <t>Li4uVVNELkgBAAAAIHoFAAMAAAAAAKJpLXpEjd4IxdJffESN3ghGQ0lRLk5BU0RBUTpDQUxNLklRX0RFRl9UQVhfVkFMVUFUSU9OX0FMTE9XQU5DRS4yMDAwLjI5LzAzLzIwMjYuLi5VU0QuSAEAAAAgegUAAwAAAAAAomktekSN3gjOgF58RI3eCEZDSVEuTkFTREFROkNBTE0uSVFfRklOX0RJVl9NSU5PUklUWV9JTlRfUkVERUVNLjIwMDAuMjkvMDMvMjAyNi4uLlVTRC5IAQAAACB6BQADAAAAAADAVS16RI3eCK+9XXxEjd4IQENJUS5OQVNEQVE6Q0FMTS5JUV9MSUFCSUxJVElFU19GQUlSX1ZBTFVFLjk5Mi4yOS8wMy8yMDI2Li4uVVNELkgBAAAAIHoFAAIAAAAGMTAuODE1AOZiF3pEjd4I4uBvfkSN3ghDQ0lRLk5BU0RBUTpDQUxNLklRX0RFUklWQVRJVkVfVFJBRElOR19BU1NFVFMuOTkwLjI5LzAzLzIwMjYuLi5VU0QuSAEAAAAgegUAAwAAAAAAAooXekSN3ghLNmR8RI3eCEdDSVEuTkFTREFROkNBTE0uSVFfQ1VSUkVOVF9QT1JUX0RFQlRfREVSSVZBVElWRVMuOTkwLjI5LzAzLzIwMjYuLi5VU0QuSAEAAAAgegUAAwAAAAAAAooXekSN3gizcmN8RI3eCDZDSVEuTkFTREFROkNBTE0uSVFfR1dfSU5UQU5fTkVULjk5MC4yOS8wMy8yMDI2Li4uVVNELkgBAAAAIHoFAAMAAAAAAPuwF3pEjd4Ia4NlfESN3ggxQ0lRLk5BU0RBUTpDQUxNLklRX1BFTlNJT04uOTkwLjI5LzAzLzIwMjYuLi5VU0QuSAEAAAAg</t>
  </si>
  <si>
    <t>egUAAwAAAAAADaeAekSN3giwS1F8RI3eCC5DSVEuTkFTREFROkNBTE0uSVFfQVBJQy45OTAuMjkvMDMvMjAyNi4uLlVTRC5IAQAAACB6BQACAAAABjQzLjMwNAEIAAAABQAAAAExAQAAAAoxODUwMjIwODQ1AwAAAAMxNjACAAAABDEwODQEAAAAATAHAAAACTMvMjkvMjAyNggAAAAJNS8zMC8yMDE1CQAAAAEwirksekSN3gjm5lJ8RI3eCENDSVEuTkFTREFROkNBTE0uSVFfUlVBX09QRVJBVElOR19MRUFTRV9HUk9TUy45OTIuMjkvMDMvMjAyNi4uLlVTRC5IAQAAACB6BQADAAAAAACW4Cx6RI3eCMWod35Ejd4IRUNJUS5OQVNEQVE6Q0FMTS5JUV9SVUFfQ0FQSVRBTF9MRUFTRV9BQ0NVTV9ERVAuOTkwLjI5LzAzLzIwMjYuLi5VU0QuSAEAAAAgegUAAwAAAAAAluAsekSN3gitulR8RI3eCEVDSVEuTkFTREFROkNBTE0uSVFfVE9UQUxfREVCVF9FWENMX09QRVJfTEVBU0VTLjk5Mi4yOS8wMy8yMDI2Li4uVVNELkgBAAAAIHoFAAIAAAAGMTAuOTM5AQgAAAAFAAAAATEBAAAACjE5NzIwMTIxMjEDAAAAAzE2MAIAAAAFNDg5ODIEAAAAATAHAAAACTMvMjkvMjAyNggAAAAINi8zLzIwMTcJAAAAATC6By16RI3eCIr9dX5Ejd4IMkNJUS5OQVNEQVE6Q0FMTS5JUV9HV19JTlRBTi45OTEuMjkvMDMvMjAyNi4uLlVTRC5IAQAAACB6BQACAAAABjM0LjE1NAEIAAAABQAAAAExAQAAAAoxODk2ODIwNTE3AwAAAAMxNjAC</t>
  </si>
  <si>
    <t>AAAABTM1MzgxBAAAAAEwBwAAAAkzLzI5LzIwMjYIAAAACTUvMjgvMjAxNgkAAAABMMEuLXpEjd4Iv8xYfESN3ggzQ0lRLk5BU0RBUTpDQUxNLklRX09USEVSX0lOVi45OTIuMjkvMDMvMjAyNi4uLlVTRC5IAQAAACB6BQADAAAAAADAVS16RI3eCBR4c35Ejd4INUNJUS5OQVNEQVE6Q0FMTS5JUV9XT1JLSU5HX0NBUC45OTIuMjkvMDMvMjAyNi4uLlVTRC5IAQAAACB6BQACAAAABzM3MS41MjcBCAAAAAUAAAABMQEAAAAKMTk3MjAxMjEyMQMAAAADMTYwAgAAAAQ0MTY1BAAAAAEwBwAAAAkzLzI5LzIwMjYIAAAACDYvMy8yMDE3CQAAAAEwwS4tekSN3gjHO3R+RI3eCEBDSVEuTkFTREFROkNBTE0uSVFfTkFUVVJBTF9SRVNPVVJDRVNfQ09TVC45OTEuMjkvMDMvMjAyNi4uLlVTRC5IAQAAACB6BQADAAAAAADAVS16RI3eCFPmXHxEjd4IQkNJUS5OQVNEQVE6Q0FMTS5JUV9SVUFfQ0FQSVRBTF9MRUFTRV9HUk9TUy4yMDAwLjI5LzAzLzIwMjYuLi5VU0QuSAEAAAAgegUAAwAAAAAAluAsekSN3gji4VR8RI3eCD1DSVEuTkFTREFROkNBTE0uSVFfVE9UQUxfQ09NTU9OX0VRVUlUWS45OTIuMjkvMDMvMjAyNi4uLlVTRC5IAQAAACB6BQACAAAABzg0Mi42ODcBCAAAAAUAAAABMQEAAAAKMTk3MjAxMjEyMQMAAAADMTYwAgAAAAQxMDA2BAAAAAEwBwAAAAkzLzI5LzIwMjYIAAAACDYvMy8yMDE3CQAAAAEwluAsekSN</t>
  </si>
  <si>
    <t>3ghtmXh+RI3eCENDSVEuTkFTREFROkNBTE0uSVFfUlVBX09QRVJBVElOR19MRUFTRV9HUk9TUy45OTEuMjkvMDMvMjAyNi4uLlVTRC5IAQAAACB6BQADAAAAAACW4Cx6RI3eCOAIVXxEjd4IRUNJUS5OQVNEQVE6Q0FMTS5JUV9UT1RBTF9ERUJUX0VYQ0xfT1BFUl9MRUFTRVMuOTkxLjI5LzAzLzIwMjYuLi5VU0QuSAEAAAAgegUAAgAAAAUyNS41NwEIAAAABQAAAAExAQAAAAoxODk2ODIwNTE3AwAAAAMxNjACAAAABTQ4OTgyBAAAAAEwBwAAAAkzLzI5LzIwMjYIAAAACTUvMjgvMjAxNgkAAAABMLoHLXpEjd4IP5RXfESN3ghSQ0lRLk5BU0RBUTpDQUxNLklRX0ZJTkFOQ0lOR19PQkxJR19DVVJSRU5UX0VYQ0xfT1BFUl9MRUFTRVMuOTkxLjI5LzAzLzIwMjYuLi5VU0QuSAEAAAAgegUAAgAAAAUxNi4zMgEIAAAABQAAAAExAQAAAAoxODk2ODIwNTE3AwAAAAMxNjACAAAABTQ4OTgwBAAAAAEwBwAAAAkzLzI5LzIwMjYIAAAACTUvMjgvMjAxNgkAAAABMLoHLXpEjd4I9UVXfESN3gg1Q0lRLk5BU0RBUTpDQUxNLklRX1dPUktJTkdfQ0FQLjk5MS4yOS8wMy8yMDI2Li4uVVNELkgBAAAAIHoFAAIAAAAHNTQyLjgzMgEIAAAABQAAAAExAQAAAAoxODk2ODIwNTE3AwAAAAMxNjACAAAABDQxNjUEAAAAATAHAAAACTMvMjkvMjAyNggAAAAJNS8yOC8yMDE2CQAAAAEwwS4tekSN3ghTSlp8RI3eCDxDSVEuTkFTREFR</t>
  </si>
  <si>
    <t>OkNBTE0uSVFfVE9UQUxfREVCVF9DVVJSRU5ULjk5Mi4yOS8wMy8yMDI2Li4uVVNELkgBAAAAIHoFAAIAAAAFNC44MjYBCAAAAAUAAAABMQEAAAAKMTk3MjAxMjEyMQMAAAADMTYwAgAAAAUyNTIyMwQAAAABMAcAAAAJMy8yOS8yMDI2CAAAAAg2LzMvMjAxNwkAAAABMMEuLXpEjd4I8bB0fkSN3ggyQ0lRLk5BU0RBUTpDQUxNLklRX0dXX0lOVEFOLjk5MC4yOS8wMy8yMDI2Li4uVVNELkgBAAAAIHoFAAIAAAAGMzYuNzU2AQgAAAAFAAAAATEBAAAACjE4NTAyMjA4NDUDAAAAAzE2MAIAAAAFMzUzODEEAAAAATAHAAAACTMvMjkvMjAyNggAAAAJNS8zMC8yMDE1CQAAAAEwwS4tekSN3gi/zFh8RI3eCDxDSVEuTkFTREFROkNBTE0uSVFfVEJWX1NIQVJFX1JFUE9SVEVELjk5Mi4yOS8wMy8yMDI2Li4uVVNELkgBAAAAIHoFAAMAAAAAAMEuLXpEjd4Ia4h1fkSN3ggzQ0lRLk5BU0RBUTpDQUxNLklRX09USEVSX0lOVi45OTAuMjkvMDMvMjAyNi4uLlVTRC5IAQAAACB6BQADAAAAAADAVS16RI3eCB4jXHxEjd4IQENJUS5OQVNEQVE6Q0FMTS5JUV9OQVRVUkFMX1JFU09VUkNFU19DT1NULjk5MC4yOS8wMy8yMDI2Li4uVVNELkgBAAAAIHoFAAMAAAAAAMBVLXpEjd4IU+ZcfESN3ghMQ0lRLk5BU0RBUTpDQUxNLklRX0xJUVVJREFUSU9OX1ZBTFVFX1BSRUZFUlJFRF9SRURFRU0uOTkyLjI5LzAzLzIwMjYuLi5VU0Qu</t>
  </si>
  <si>
    <t>SAEAAAAgegUAAwAAAAAAomktekSN3giIBnF+RI3eCD1DSVEuTkFTREFROkNBTE0uSVFfTFRfREVCVF9ERVJJVkFUSVZFUy45OTAuMjkvMDMvMjAyNi4uLlVTRC5IAQAAACB6BQADAAAAAAACihd6RI3eCAiaY3xEjd4IN0NJUS5OQVNEQVE6Q0FMTS5JUV9PUkRFUl9CQUNLTE9HLjk5Mi4yOS8wMy8yMDI2Li4uVVNELkgBAAAAIHoFAAMAAAAAAAKKF3pEjd4IcG1ufkSN3gg3Q0lRLk5BU0RBUTpDQUxNLklRX0dXX0lOVEFOX05FVC4yMDAwLjI5LzAzLzIwMjYuLi5VU0QuSAEAAAAgegUAAwAAAAAA+7AXekSN3ghrg2V8RI3eCENDSVEuTkFTREFROkNBTE0uSVFfREVSSVZBVElWRV9BU1NFVFNfQ1VSUkVOVC45OTIuMjkvMDMvMjAyNi4uLlVTRC5IAQAAACB6BQADAAAAAAACihd6RI3eCCaDbX5Ejd4ISUNJUS5OQVNEQVE6Q0FMTS5JUV9GQUlSX1ZBTFVFX0NIQU5HRV9JTkNMX0VBUk5JTkdTLjk5Mi4yOS8wMy8yMDI2Li4uVVNELkgBAAAAIHoFAAMAAAAAAOZiF3pEjd4I4uBvfkSN3ghDQ0lRLk5BU0RBUTpDQUxNLklRX0RFUklWQVRJVkVfQVNTRVRTX0NVUlJFTlQuOTkxLjI5LzAzLzIwMjYuLi5VU0QuSAEAAAAgegUAAwAAAAAAAooXekSN3ghLNmR8RI3eCEhDSVEuTkFTREFROkNBTE0uSVFfQ1VSUkVOVF9QT1JUX0RFQlRfREVSSVZBVElWRVMuMjAwMC4yOS8wMy8yMDI2Li4uVVNELkgBAAAAIHoFAAMAAAAA</t>
  </si>
  <si>
    <t>AAKKF3pEjd4ICJpjfESN3gguQ0lRLk5BU0RBUTpDQUxNLklRX0dQUEUuOTkwLjI5LzAzLzIwMjYuLi5VU0QuSAEAAAAgegUAAgAAAAc3NTQuMjQyAQgAAAAFAAAAATEBAAAACjE4NTAyMjA4NDUDAAAAAzE2MAIAAAAEMTE2OQQAAAABMAcAAAAJMy8yOS8yMDI2CAAAAAk1LzMwLzIwMTUJAAAAATDZf4B6RI3eCAIZTHxEjd4IOENJUS5OQVNEQVE6Q0FMTS5JUV9ERUZfQ0hBUkdFU19MVC45OTEuMjkvMDMvMjAyNi4uLlVTRC5IAQAAACB6BQADAAAAAADZf4B6RI3eCOEmTnxEjd4IOkNJUS5OQVNEQVE6Q0FMTS5JUV9GSU5fRElWX0xPQU5TX0xULjk5MC4yOS8wMy8yMDI2Li4uVVNELkgBAAAAIHoFAAMAAAAAANl/gHpEjd4IbChNfESN3gg+Q0lRLk5BU0RBUTpDQUxNLklRX0ZJTl9ESVZfREVCVF9DVVJSRU5ULjk5Mi4yOS8wMy8yMDI2Li4uVVNELkgBAAAAIHoFAAMAAAAAANl/gHpEjd4IEYF7fkSN3gg7Q0lRLk5BU0RBUTpDQUxNLklRX0NVUlJFTlRfUE9SVF9ERUJULjk5MC4yOS8wMy8yMDI2Li4uVVNELkgBAAAAIHoFAAIAAAAGMTAuMDY1AQgAAAAFAAAAATEBAAAACjE4NTAyMjA4NDUDAAAAAzE2MAIAAAAEMTI5NwQAAAABMAcAAAAJMy8yOS8yMDI2CAAAAAk1LzMwLzIwMTUJAAAAATDZf4B6RI3eCEERT3xEjd4IMkNJUS5OQVNEQVE6Q0FMTS5JUV9UT1RBTF9DTC45OTEuMjkvMDMvMjAyNi4uLlVTRC5I</t>
  </si>
  <si>
    <t>AQAAACB6BQACAAAABjgzLjQ1MQEIAAAABQAAAAExAQAAAAoxODk2ODIwNTE3AwAAAAMxNjACAAAABDEwMDkEAAAAATAHAAAACTMvMjkvMjAyNggAAAAJNS8yOC8yMDE2CQAAAAEwDaeAekSN3gjGXVB8RI3eCDVDSVEuTkFTREFROkNBTE0uSVFfUFJFRl9SRURFRU0uOTkxLjI5LzAzLzIwMjYuLi5VU0QuSAEAAAAgegUAAwAAAAAADaeAekSN3gji51F8RI3eCDpDSVEuTkFTREFROkNBTE0uSVFfREVGX1RBWF9MSUFCX0xULjIwMDAuMjkvMDMvMjAyNi4uLlVTRC5IAQAAACB6BQACAAAABzE2OS44ODIBCAAAAAUAAAABMQEAAAALLTE5MTA2Mjc4MzgDAAAAAzE2MAIAAAAEMTAyNwQAAAABMAcAAAAJMy8yOS8yMDI2CAAAAAoxMS8yOS8yMDI1CQAAAAEwDaeAekSN3ggSmlF8RI3eCDZDSVEuTkFTREFROkNBTE0uSVFfVE9UQUxfRVFVSVRZLjk5MS4yOS8wMy8yMDI2Li4uVVNELkgBAAAAIHoFAAIAAAAHOTE3LjM2MQEIAAAABQAAAAExAQAAAAoxODk2ODIwNTE3AwAAAAMxNjACAAAABDEyNzUEAAAAATAHAAAACTMvMjkvMjAyNggAAAAJNS8yOC8yMDE2CQAAAAEwluAsekSN3ghA+FN8RI3eCDdDSVEuTkFTREFROkNBTE0uSVFfT1RIRVJfRVFVSVRZLjIwMDAuMjkvMDMvMjAyNi4uLlVTRC5IAQAAACB6BQACAAAABTEuMzI2AQgAAAAFAAAAATEBAAAACy0xOTEwNjI3ODM4AwAAAAMxNjACAAAABDEwMjgEAAAAATAH</t>
  </si>
  <si>
    <t>AAAACTMvMjkvMjAyNggAAAAKMTEvMjkvMjAyNQkAAAABMJbgLHpEjd4IKqpTfESN3ghBQ0lRLk5BU0RBUTpDQUxNLklRX1JVQV9PUEVSQVRJTkdfTEVBU0VfTkVULjk5MS4yOS8wMy8yMDI2Li4uVVNELkgBAAAAIHoFAAMAAAAAALoHLXpEjd4IIH5VfESN3ghAQ0lRLk5BU0RBUTpDQUxNLklRX1JVQV9DQVBJVEFMX0xFQVNFX05FVC4yMDAwLjI5LzAzLzIwMjYuLi5VU0QuSAEAAAAgegUAAwAAAAAAluAsekSN3gjvL1V8RI3eCFdDSVEuTkFTREFROkNBTE0uSVFfRklOQU5DSU5HX09CTElHX05PTl9DVVJSRU5UX0VYQ0xfT1BFUl9MRUFTRVMuMjAwMC4yOS8wMy8yMDI2Li4uVVNELkgBAAAAIHoFAAMAAAAAALoHLXpEjd4IP5RXfESN3gg3Q0lRLk5BU0RBUTpDQUxNLklRX1RPVEFMX0xFQVNFUy4yMDAwLjI5LzAzLzIwMjYuLi5VU0QuSAEAAAAgegUAAwAAAAAAugctekSN3gj1RVd8RI3eCDtDSVEuTkFTREFROkNBTE0uSVFfVE9UQUxfT1BFUl9MRUFTRVMuOTkwLjI5LzAzLzIwMjYuLi5VU0QuSAEAAAAgegUAAwAAAAAAugctekSN3ggoC1d8RI3eCD5DSVEuTkFTREFROkNBTE0uSVFfVE9UQUxfRklOQU5DRV9MRUFTRVMuOTkyLjI5LzAzLzIwMjYuLi5VU0QuSAEAAAAgegUAAwAAAAAAugctekSN3gjY1HZ+RI3eCDxDSVEuTkFTREFROkNBTE0uSVFfVE9UQUxfREVCVF9DVVJSRU5ULjk5MC4yOS8wMy8yMDI2</t>
  </si>
  <si>
    <t>Li4uVVNELkgBAAAAIHoFAAIAAAAGMTAuMDY1AQgAAAAFAAAAATEBAAAACjE4NTAyMjA4NDUDAAAAAzE2MAIAAAAFMjUyMjMEAAAAATAHAAAACTMvMjkvMjAyNggAAAAJNS8zMC8yMDE1CQAAAAEwwS4tekSN3ggWTFl8RI3eCDxDSVEuTkFTREFROkNBTE0uSVFfVEJWX1NIQVJFX1JFUE9SVEVELjk5MC4yOS8wMy8yMDI2Li4uVVNELkgBAAAAIHoFAAMAAAAAAMEuLXpEjd4I1X5YfESN3ggxQ0lRLk5BU0RBUTpDQUxNLklRX1dJUF9JTlYuOTkyLjI5LzAzLzIwMjYuLi5VU0QuSAEAAAAgegUAAwAAAAAAwS4tekSN3ghUn3N+RI3eCDdDSVEuTkFTREFROkNBTE0uSVFfRVFVSVRZX01FVEhPRC45OTIuMjkvMDMvMjAyNi4uLlVTRC5IAQAAACB6BQACAAAABjY1LjczMQEIAAAABQAAAAExAQAAAAoxOTcyMDEyMTIxAwAAAAMxNjACAAAABDMwNjMEAAAAATAHAAAACTMvMjkvMjAyNggAAAAINi8zLzIwMTcJAAAAATDBLi16RI3eCK8UdH5Ejd4IPUNJUS5OQVNEQVE6Q0FMTS5JUV9NSU5PUklUWV9JTlRfUkVERUVNLjk5MS4yOS8wMy8yMDI2Li4uVVNELkgBAAAAIHoFAAMAAAAAAMBVLXpEjd4IgFtdfESN3ggzQ0lRLk5BU0RBUTpDQUxNLklRX01BQ0hJTkVSWS45OTEuMjkvMDMvMjAyNi4uLlVTRC5IAQAAACB6BQACAAAABzM5OS44MDQBCAAAAAUAAAABMQEAAAAKMTg5NjgyMDUxNwMAAAADMTYwAgAAAAQzMTE0BAAA</t>
  </si>
  <si>
    <t>AAEwBwAAAAkzLzI5LzIwMjYIAAAACTUvMjgvMjAxNgkAAAABMMBVLXpEjd4IUHFcfESN3ghKQ0lRLk5BU0RBUTpDQUxNLklRX0FTU0VUU19ORVRUSU5HX09USEVSX0FESlVTVE1FTlRTLjk5MC4yOS8wMy8yMDI2Li4uVVNELkgBAAAAIHoFAAMAAAAAAKJpLXpEjd4I1PlffESN3ghAQ0lRLk5BU0RBUTpDQUxNLklRX0NPTlRJTkdFTlRfTElBQklMSVRJRVMuOTkyLjI5LzAzLzIwMjYuLi5VU0QuSAEAAAAgegUAAwAAAAAAAooXekSN3ghwbW5+RI3eCD9DSVEuTkFTREFROkNBTE0uSVFfRklOX0RJVl9MVF9ERUJUX1RPVEFMLjk5MC4yOS8wMy8yMDI2Li4uVVNELkgBAAAAIHoFAAMAAAAAAOZiF3pEjd4INjphfESN3ggyQ0lRLk5BU0RBUTpDQUxNLklRX0dST1NTX0dXLjk5Mi4yOS8wMy8yMDI2Li4uVVNELkgBAAAAIHoFAAMAAAAAAPuwF3pEjd4Ix/lsfkSN3ghMQ0lRLk5BU0RBUTpDQUxNLklRX0xUX1BPUlRJT05fT1BFUl9MRUFTRV9MSUFCSUxJVElFUy4yMDAwLjI5LzAzLzIwMjYuLi5VU0QuSAEAAAAgegUAAwAAAAAAugctekSN3ggoC1d8RI3eCEJDSVEuTkFTREFROkNBTE0uSVFfRklOQU5DRV9MRUFTRVNfTE9OR19URVJNLjk5MS4yOS8wMy8yMDI2Li4uVVNELkgBAAAAIHoFAAMAAAAAALoHLXpEjd4IBW9WfESN3gg7Q0lRLk5BU0RBUTpDQUxNLklRX0JWX1NIQVJFX1JFUE9SVEVELjk5MS4yOS8wMy8y</t>
  </si>
  <si>
    <t>MDI2Li4uVVNELkgBAAAAIHoFAAMAAAAAAMEuLXpEjd4IezBYfESN3gg1Q0lRLk5BU0RBUTpDQUxNLklRX1RPVEFMX0RFQlQuMjAwMC4yOS8wMy8yMDI2Li4uVVNELkgBAAAAIHoFAAIAAAABMAEIAAAABQAAAAExAQAAAAstMTkxMDYyNzgzOAMAAAADMTYwAgAAAAQ0MTczBAAAAAEwBwAAAAkzLzI5LzIwMjYIAAAACjExLzI5LzIwMjUJAAAAATDBLi16RI3eCBZMWXxEjd4ILkNJUS5OQVNEQVE6Q0FMTS5JUV9UQlYuMjAwMC4yOS8wMy8yMDI2Li4uVVNELkgBAAAAIHoFAAIAAAAIMjU0OS4zMTEBCAAAAAUAAAABMQEAAAALLTE5MTA2Mjc4MzgDAAAAAzE2MAIAAAAEMTMxMAQAAAABMAcAAAAJMy8yOS8yMDI2CAAAAAoxMS8yOS8yMDI1CQAAAAEwwS4tekSN3gi/zFh8RI3eCDJDSVEuTkFTREFROkNBTE0uSVFfUkFXX0lOVi4yMDAwLjI5LzAzLzIwMjYuLi5VU0QuSAEAAAAgegUAAgAAAAcyMzEuMDA1AQgAAAAFAAAAATEBAAAACy0xOTEwNjI3ODM4AwAAAAMxNjACAAAABDMxNzEEAAAAATAHAAAACTMvMjkvMjAyNggAAAAKMTEvMjkvMjAyNQkAAAABMMEuLXpEjd4IDa1bfESN3gg1Q0lRLk5BU0RBUTpDQUxNLklRX0FSX1VOQklMTEVELjk5MS4yOS8wMy8yMDI2Li4uVVNELkgBAAAAIHoFAAMAAAAAAMEuLXpEjd4Iqw5bfESN3gg5Q0lRLk5BU0RBUTpDQUxNLklRX05FVF9XT1JLSU5HX0NBUC45OTEuMjkvMDMv</t>
  </si>
  <si>
    <t>MjAyNi4uLlVTRC5IAQAAACB6BQACAAAABzE2OS42MDcBCAAAAAUAAAABMQEAAAAKMTg5NjgyMDUxNwMAAAADMTYwAgAAAAQxMzExBAAAAAEwBwAAAAkzLzI5LzIwMjYIAAAACTUvMjgvMjAxNgkAAAABMMEuLXpEjd4IxXFafESN3gg/Q0lRLk5BU0RBUTpDQUxNLklRX0xFQVNFSE9MRF9JTVBST1ZFTUVOVC45OTEuMjkvMDMvMjAyNi4uLlVTRC5IAQAAACB6BQADAAAAAADAVS16RI3eCHs0XXxEjd4IQkNJUS5OQVNEQVE6Q0FMTS5JUV9NSU5PUklUWV9JTlRfUkVERUVNX1RPVC4yMDAwLjI5LzAzLzIwMjYuLi5VU0QuSAEAAAAgegUAAwAAAAAAomktekSN3gjJC158RI3eCEtDSVEuTkFTREFROkNBTE0uSVFfQVNTRVRTX05FVFRJTkdfT1RIRVJfQURKVVNUTUVOVFMuMjAwMC4yOS8wMy8yMDI2Li4uVVNELkgBAAAAIHoFAAMAAAAAAKJpLXpEjd4I0yBgfESN3gg4Q0lRLk5BU0RBUTpDQUxNLklRX0FTU0VUU19MRVZFTF8xLjk5MS4yOS8wMy8yMDI2Li4uVVNELkgBAAAAIHoFAAIAAAAFNS41MDMAomktekSN3gi/hF98RI3eCEBDSVEuTkFTREFROkNBTE0uSVFfRklOX0RJVl9TVF9ERUJUX1RPVEFMLjIwMDAuMjkvMDMvMjAyNi4uLlVTRC5IAQAAACB6BQADAAAAAADmYhd6RI3eCEeIYXxEjd4IPkNJUS5OQVNEQVE6Q0FMTS5JUV9TVF9ERUJUX0RFUklWQVRJVkVTLjIwMDAuMjkvMDMvMjAyNi4uLlVTRC5IAQAA</t>
  </si>
  <si>
    <t>ACB6BQADAAAAAAACihd6RI3eCLNyY3xEjd4IN0NJUS5OQVNEQVE6Q0FMTS5JUV9PUkRFUl9CQUNLTE9HLjk5MS4yOS8wMy8yMDI2Li4uVVNELkgBAAAAIHoFAAMAAAAAAAKKF3pEjd4ILdVifESN3ghFQ0lRLk5BU0RBUTpDQUxNLklRX1JFU1RSSUNURURfQ0FTSF9OT05fQ1VSUkVOVC45OTEuMjkvMDMvMjAyNi4uLlVTRC5IAQAAACB6BQADAAAAAAACihd6RI3eCA5gYnxEjd4IMkNJUS5OQVNEQVE6Q0FMTS5JUV9HUk9TU19HVy45OTEuMjkvMDMvMjAyNi4uLlVTRC5IAQAAACB6BQADAAAAAAD7sBd6RI3eCJz5ZHxEjd4IQENJUS5OQVNEQVE6Q0FMTS5JUV9BRFZBTkNFU19GT1JfU1VQUExJRVMuMjAwMC4yOS8wMy8yMDI2Li4uVVNELkgBAAAAIHoFAAMAAAAAAPuwF3pEjd4Ia4NlfESN3ggyQ0lRLk5BU0RBUTpDQUxNLklRX05FVF9ERUJULjk5MS4yOS8wMy8yMDI2Li4uVVNELkgBAAAAIHoFAAIAAAAILTM2My45NzUBCAAAAAUAAAABMQEAAAAKMTg5NjgyMDUxNwMAAAADMTYwAgAAAAQ0MzY0BAAAAAEwBwAAAAkzLzI5LzIwMjYIAAAACTUvMjgvMjAxNgkAAAABMMEuLXpEjd4IN5pZfESN3gg2Q0lRLk5BU0RBUTpDQUxNLklRX1dPUktJTkdfQ0FQLjIwMDAuMjkvMDMvMjAyNi4uLlVTRC5IAQAAACB6BQACAAAABzE1MzUuNTkBCAAAAAUAAAABMQEAAAALLTE5MTA2Mjc4MzgDAAAAAzE2MAIAAAAENDE2NQQA</t>
  </si>
  <si>
    <t>AAABMAcAAAAJMy8yOS8yMDI2CAAAAAoxMS8yOS8yMDI1CQAAAAEwwS4tekSN3gjFcVp8RI3eCDRDSVEuTkFTREFROkNBTE0uSVFfTUFDSElORVJZLjIwMDAuMjkvMDMvMjAyNi4uLlVTRC5IAQAAACB6BQADAAAAAADAVS16RI3eCCeYXHxEjd4IM0NJUS5OQVNEQVE6Q0FMTS5JUV9PVEhFUl9JTlYuOTkxLjI5LzAzLzIwMjYuLi5VU0QuSAEAAAAgegUAAwAAAAAAwFUtekSN3ggeI1x8RI3eCEdDSVEuTkFTREFROkNBTE0uSVFfR0VORVJBTF9QQVJUTkVSX0NPTU1PTl9FUVVJVFkuOTkxLjI5LzAzLzIwMjYuLi5VU0QuSAEAAAAgegUAAwAAAAAAomktekSN3gj4WV58RI3eCDRDSVEuTkFTREFROkNBTE0uSVFfRUFSTklOR19DTy45OTguMjkvMDMvMjAyNi4uLlVTRC5IAQAAACB6BQACAAAABzc1Ni43MzIBCAAAAAUAAAABMQEAAAALLTE5MzQ5Nzg0MjADAAAAAzE2MAIAAAABNwQAAAABMAcAAAAJMy8yOS8yMDI2CAAAAAg2LzMvMjAyMwkAAAABMKx45HpEjd4IHimWfkSN3gg5Q0lRLk5BU0RBUTpDQUxNLklRX0dBSU5fSU5WRVNUX1JFVi45OTUuMjkvMDMvMjAyNi4uLlVTRC5IAQAAACB6BQADAAAAAABaKuR6RI3eCD2qmn5Ejd4IMkNJUS5OQVNEQVE6Q0FMTS5JUV9EQV9TVVBQTC45OTMuMjkvMDMvMjAyNi4uLlVTRC5IAQAAACB6BQADAAAAAACBUeR6RI3eCDwQmX5Ejd4IPkNJUS5OQVNEQVE6Q0FMTS5JUV9J</t>
  </si>
  <si>
    <t>TlRFUkVTVF9JTlZFU1RfSU5DLjEwMDAuMjkvMDMvMjAyNi4uLlVTRC5IAQAAACB6BQACAAAABjU5Ljg2OAEIAAAABQAAAAExAQAAAAstMTkzNDk3ODM4MQMAAAADMTYwAgAAAAI2NQQAAAABMAcAAAAJMy8yOS8yMDI2CAAAAAk1LzMxLzIwMjUJAAAAATCBUeR6RI3eCPxMmH5Ejd4ILUNJUS5OQVNEQVE6Q0FMTS5JUV9SRVYuOTkzLjI5LzAzLzIwMjYuLi5VU0QuSAEAAAAgegUAAgAAAAgxNTAyLjkzMgEIAAAABQAAAAExAQAAAAoyMDQ1NzQ5MzEwAwAAAAMxNjACAAAAAzExMgQAAAABMAcAAAAJMy8yOS8yMDI2CAAAAAg2LzIvMjAxOAkAAAABMFoq5HpEjd4IOwybfkSN3gg0Q0lRLk5BU0RBUTpDQUxNLklRX0lNUEFJUl9PSUwuOTk3LjI5LzAzLzIwMjYuLi5VU0QuSAEAAAAgegUAAwAAAAAAgVHkekSN3ggLwph+RI3eCDRDSVEuTkFTREFROkNBTE0uSVFfSU1QQUlSX09JTC45OTQuMjkvMDMvMjAyNi4uLlVTRC5IAQAAACB6BQADAAAAAACBUeR6RI3eCFjpmH5Ejd4IL0NJUS5OQVNEQVE6Q0FMTS5JUV9JUFJELjEwMDAuMjkvMDMvMjAyNi4uLlVTRC5IAQAAACB6BQADAAAAAACseOR6RI3eCGTZln5Ejd4INUNJUS5OQVNEQVE6Q0FMTS5JUV9JTlNfRElWX1JFVi45OTcuMjkvMDMvMjAyNi4uLlVTRC5IAQAAACB6BQADAAAAAABaKuR6RI3eCGfRmn5Ejd4IN0NJUS5OQVNEQVE6Q0FMTS5JUV9FWFBMT1JFX0RS</t>
  </si>
  <si>
    <t>SUxMLjk5My4yOS8wMy8yMDI2Li4uVVNELkgBAAAAIHoFAAMAAAAAAIFR5HpEjd4IYIWZfkSN3ggyQ0lRLk5BU0RBUTpDQUxNLklRX0RBX1NVUFBMLjk5NC4yOS8wMy8yMDI2Li4uVVNELkgBAAAAIHoFAAMAAAAAAIFR5HpEjd4IPBCZfkSN3ghJQ0lRLk5BU0RBUTpDQUxNLklRX0RJU1RSSUJVVEFCTEVfQ0FTSF9TVEFOREFSRElaRUQuOTkzLjI5LzAzLzIwMjYuLi5VU0QuSAEAAAAgegUAAwAAAAAAfTKWekSN3ghjRI9+RI3eCDlDSVEuTkFTREFROkNBTE0uSVFfRklOX0RJVl9JTlRfRVhQLjk5OC4yOS8wMy8yMDI2Li4uVVNELkgBAAAAIHoFAAMAAAAAAIFR5HpEjd4IDOeZfkSN3gg9Q0lRLk5BU0RBUTpDQUxNLklRX09USEVSX1VOVVNVQUxfU1VQUEwuOTkzLjI5LzAzLzIwMjYuLi5VU0QuSAEAAAAgegUAAwAAAAAArHjkekSN3ghespZ+RI3eCDhDSVEuTkFTREFROkNBTE0uSVFfRElMVVRfRVBTX0lOQ0wuOTk4LjI5LzAzLzIwMjYuLi5VU0QuSAEAAAAgegUAAgAAAAUxNS41MgEIAAAABQAAAAExAQAAAAstMTkzNDk3ODQyMAMAAAADMTYwAgAAAAE4BAAAAAEwBwAAAAkzLzI5LzIwMjYIAAAACDYvMy8yMDIzCQAAAAEwFZ/kekSN3giWF5V+RI3eCDVDSVEuTkFTREFROkNBTE0uSVFfSU5TX0RJVl9SRVYuOTk4LjI5LzAzLzIwMjYuLi5VU0QuSAEAAAAgegUAAwAAAAAAWirkekSN3ghn0Zp+RI3eCDJDSVEu</t>
  </si>
  <si>
    <t>TkFTREFROkNBTE0uSVFfRVBTX05PUk0uOTk4LjI5LzAzLzIwMjYuLi5VU0QuSAEAAAAgegUAAgAAAAkxMi44NTQxMDIBCAAAAAUAAAABMQEAAAALLTE5MzQ5Nzg0MjADAAAAAzE2MAIAAAAENDM3OQQAAAABMAcAAAAJMy8yOS8yMDI2CAAAAAg2LzMvMjAyMwkAAAABMBWf5HpEjd4IfdyUfkSN3ggxQ0lRLk5BU0RBUTpDQUxNLklRX05JX1NGQVMuOTk0LjI5LzAzLzIwMjYuLi5VU0QuSAEAAAAgegUAAwAAAAAAVwuWekSN3ghUe5F+RI3eCDlDSVEuTkFTREFROkNBTE0uSVFfT1RIRVJfUkVWX1NVUFBMLjk5OC4yOS8wMy8yMDI2Li4uVVNELkgBAAAAIHoFAAMAAAAAAFoq5HpEjd4IJ1yafkSN3ggyQ0lRLk5BU0RBUTpDQUxNLklRX0VQU19OT1JNLjk5Ny4yOS8wMy8yMDI2Li4uVVNELkgBAAAAIHoFAAIAAAAIMi4wNzMwMjQBCAAAAAUAAAABMQEAAAALLTE5ODY3MDg0MzMDAAAAAzE2MAIAAAAENDM3OQQAAAABMAcAAAAJMy8yOS8yMDI2CAAAAAk1LzI4LzIwMjIJAAAAATAVn+R6RI3eCH3clH5Ejd4IP0NJUS5OQVNEQVE6Q0FMTS5JUV9FQklUREFfTEVBU0VfQURKVVNURUQuOTkzLjI5LzAzLzIwMjYuLi5VU0QuSAEAAAAgegUAAgAAAAcyMzUuNzU2AQgAAAAFAAAAATEBAAAACjIwNDU3NDkzMTADAAAAAzE2MAIAAAAFNDg5OTMEAAAAATAHAAAACTMvMjkvMjAyNggAAAAINi8yLzIwMTgJAAAAATAVn+R6RI3e</t>
  </si>
  <si>
    <t>CDPGk35Ejd4INUNJUS5OQVNEQVE6Q0FMTS5JUV9GSU5fRElWX1JFVi45OTYuMjkvMDMvMjAyNi4uLlVTRC5IAQAAACB6BQADAAAAAABaKuR6RI3eCGfRmn5Ejd4IOENJUS5OQVNEQVE6Q0FMTS5JUV9HV19JTlRBTl9BTU9SVC45OTkuMjkvMDMvMjAyNi4uLlVTRC5IAQAAACB6BQADAAAAAACBUeR6RI3eCFjpmH5Ejd4IQkNJUS5OQVNEQVE6Q0FMTS5JUV9PVEhFUl9OT05fT1BFUl9FWFBfU1VQUEwuOTk5LjI5LzAzLzIwMjYuLi5VU0QuSAEAAAAgegUAAgAAAAYyNi4zODMBCAAAAAUAAAABMQEAAAALLTE5MzQ5Nzg0ODADAAAAAzE2MAIAAAACODUEAAAAATAHAAAACTMvMjkvMjAyNggAAAAINi8xLzIwMjQJAAAAATCBUeR6RI3eCNTDl35Ejd4ILkNJUS5OQVNEQVE6Q0FMTS5JUV9JUFJELjk5My4yOS8wMy8yMDI2Li4uVVNELkgBAAAAIHoFAAMAAAAAAKx45HpEjd4IZNmWfkSN3ggsQ0lRLk5BU0RBUTpDQUxNLklRX0RPLjk5OS4yOS8wMy8yMDI2Li4uVVNELkgBAAAAIHoFAAMAAAAAAKx45HpEjd4IDwKWfkSN3gg0Q0lRLk5BU0RBUTpDQUxNLklRX1NHQV9TVVBQTC4xMDAwLjI5LzAzLzIwMjYuLi5VU0QuSAEAAAAgegUAAgAAAAcyOTkuNDQ5AQgAAAAFAAAAATEBAAAACy0xOTM0OTc4MzgxAwAAAAMxNjACAAAAAzEwMgQAAAABMAcAAAAJMy8yOS8yMDI2CAAAAAk1LzMxLzIwMjUJAAAAATCBUeR6RI3eCOG/</t>
  </si>
  <si>
    <t>mX5Ejd4INkNJUS5OQVNEQVE6Q0FMTS5JUV9MRUdBTF9TRVRUTEUuOTk5LjI5LzAzLzIwMjYuLi5VU0QuSAEAAAAgegUAAgAAAActMTkuNjQ4AQgAAAAFAAAAATEBAAAACy0xOTM0OTc4NDgwAwAAAAMxNjACAAAAAjc3BAAAAAEwBwAAAAkzLzI5LzIwMjYIAAAACDYvMS8yMDI0CQAAAAEwrHjkekSN3ghespZ+RI3eCDhDSVEuTkFTREFROkNBTE0uSVFfRUJJVERBUl9FUV9JTkMuOTkzLjI5LzAzLzIwMjYuLi5VU0QuSAEAAAAgegUAAwAAAAAAVwuWekSN3gjheZJ+RI3eCDtDSVEuTkFTREFROkNBTE0uSVFfRkVFU19PVEhFUl9JTkNPTUUuOTk5LjI5LzAzLzIwMjYuLi5VU0QuSAEAAAAgegUAAwAAAAAAVwuWekSN3ghPBJJ+RI3eCDFDSVEuTkFTREFROkNBTE0uSVFfTklfTk9STS45OTMuMjkvMDMvMjAyNi4uLlVTRC5IAQAAACB6BQACAAAACjEyMy44NTc4NzUBCAAAAAUAAAABMQEAAAAKMjA0NTc0OTMxMAMAAAADMTYwAgAAAAQ0Mzc4BAAAAAEwBwAAAAkzLzI5LzIwMjYIAAAACDYvMi8yMDE4CQAAAAEwfTKWekSN3gjDLpB+RI3eCEJDSVEuTkFTREFROkNBTE0uSVFfT1RIRVJfTk9OX09QRVJfRVhQX1NVUFBMLjk5Ny4yOS8wMy8yMDI2Li4uVVNELkgBAAAAIHoFAAIAAAAFOS43MTUBCAAAAAUAAAABMQEAAAALLTE5ODY3MDg0MzMDAAAAAzE2MAIAAAACODUEAAAAATAHAAAACTMvMjkvMjAyNggAAAAJNS8y</t>
  </si>
  <si>
    <t>OC8yMDIyCQAAAAEwgVHkekSN3gjUw5d+RI3eCEJDSVEuTkFTREFROkNBTE0uSVFfRElTVFJJQlVUQUJMRV9DQVNIX1NIQVJFLjk5NS4yOS8wMy8yMDI2Li4uVVNELkgBAAAAIHoFAAMAAAAAABWf5HpEjd4IYmeUfkSN3ggxQ0lRLk5BU0RBUTpDQUxNLklRX0VCSVREQVIuOTk0LjI5LzAzLzIwMjYuLi5VU0QuSAEAAAAgegUAAwAAAAAAVwuWekSN3gjNoJJ+RI3eCD1DSVEuTkFTREFROkNBTE0uSVFfTk9OQ0FTSF9QRU5TSU9OX0VYUC45OTUuMjkvMDMvMjAyNi4uLlVTRC5IAQAAACB6BQACAAAABTAuNjIxAQgAAAAFAAAAATEBAAAACy0yMDg4MzQ3NDY5AwAAAAMxNjACAAAABTIxNjc4BAAAAAEwBwAAAAkzLzI5LzIwMjYIAAAACTUvMzAvMjAyMAkAAAABMH0ylnpEjd4IrJKPfkSN3gg1Q0lRLk5BU0RBUTpDQUxNLklRX0ZJTl9ESVZfUkVWLjk5Ny4yOS8wMy8yMDI2Li4uVVNELkgBAAAAIHoFAAMAAAAAAFoq5HpEjd4IZ9GafkSN3gg4Q0lRLk5BU0RBUTpDQUxNLklRX1BST1ZfQkFEX0RFQlRTLjk5Ni4yOS8wMy8yMDI2Li4uVVNELkgBAAAAIHoFAAMAAAAAAIFR5HpEjd4IYIWZfkSN3gg1Q0lRLk5BU0RBUTpDQUxNLklRX0ZJTl9ESVZfUkVWLjk5NC4yOS8wMy8yMDI2Li4uVVNELkgBAAAAIHoFAAMAAAAAAFoq5HpEjd4IZ9GafkSN3gg1Q0lRLk5BU0RBUTpDQUxNLklRX0lOU19ESVZfRVhQLjk5My4yOS8w</t>
  </si>
  <si>
    <t>My8yMDI2Li4uVVNELkgBAAAAIHoFAAMAAAAAAIFR5HpEjd4IDOeZfkSN3gg6Q0lRLk5BU0RBUTpDQUxNLklRX05FVF9JTlRFUkVTVF9FWFAuOTk2LjI5LzAzLzIwMjYuLi5VU0QuSAEAAAAgegUAAgAAAAYxMS42MTkBCAAAAAUAAAABMQEAAAALLTIwMzcyNDE3MjEDAAAAAzE2MAIAAAADMzY4BAAAAAEwBwAAAAkzLzI5LzIwMjYIAAAACTUvMjkvMjAyMQkAAAABMIFR5HpEjd4InSWYfkSN3gg3Q0lRLk5BU0RBUTpDQUxNLklRX0VCSVRfRVhDTF9TQkMuOTk4LjI5LzAzLzIwMjYuLi5VU0QuSAEAAAAgegUAAgAAAAc5NjguNDU1AQgAAAAFAAAAATEBAAAACy0xOTM0OTc4NDIwAwAAAAMxNjACAAAABTI0MTM0BAAAAAEwBwAAAAkzLzI5LzIwMjYIAAAACDYvMy8yMDIzCQAAAAEwQcbkekSN3ggIFpN+RI3eCCxDSVEuTkFTREFROkNBTE0uSVFfR1AuOTk0LjI5LzAzLzIwMjYuLi5VU0QuSAEAAAAgegUAAgAAAAcyMjIuODU5AQgAAAAFAAAAATEBAAAACy0yMTQyNDI5MDM5AwAAAAMxNjACAAAAAjEwBAAAAAEwBwAAAAkzLzI5LzIwMjYIAAAACDYvMS8yMDE5CQAAAAEwgVHkekSN3ggM55l+RI3eCDJDSVEuTkFTREFROkNBTE0uSVFfT1BFUl9JTkMuOTk1LjI5LzAzLzIwMjYuLi5VU0QuSAEAAAAgegUAAgAAAAUxLjM1MQEIAAAABQAAAAExAQAAAAstMjA4ODM0NzQ2OQMAAAADMTYwAgAAAAIyMQQAAAABMAcAAAAJ</t>
  </si>
  <si>
    <t>My8yOS8yMDI2CAAAAAk1LzMwLzIwMjAJAAAAATCBUeR6RI3eCAB0mH5Ejd4IQUNJUS5OQVNEQVE6Q0FMTS5JUV9FWENJU0VfVEFYRVNfRVhDTF9TQUxFUy45OTMuMjkvMDMvMjAyNi4uLlVTRC5IAQAAACB6BQADAAAAAABXC5Z6RI3eCDMtkX5Ejd4IM0NJUS5OQVNEQVE6Q0FMTS5JUV9UT1RBTF9SRVYuOTk5LjI5LzAzLzIwMjYuLi5VU0QuSAEAAAAgegUAAgAAAAgyMzI2LjQ0MwEIAAAABQAAAAExAQAAAAstMTkzNDk3ODQ4MAMAAAADMTYwAgAAAAIyOAQAAAABMAcAAAAJMy8yOS8yMDI2CAAAAAg2LzEvMjAyNAkAAAABMFoq5HpEjd4IMjWafkSN3gg5Q0lRLk5BU0RBUTpDQUxNLklRX0JBU0lDX0VQU19FWENMLjEwMDAuMjkvMDMvMjAyNi4uLlVTRC5IAQAAACB6BQACAAAACDI1LjA0MjU1AQgAAAAFAAAAATEBAAAACy0xOTM0OTc4MzgxAwAAAAMxNjACAAAABDMwNjQEAAAAATAHAAAACTMvMjkvMjAyNggAAAAJNS8zMS8yMDI1CQAAAAEwrHjkekSN3gilPpV+RI3eCDZDSVEuTkFTREFROkNBTE0uSVFfSU5TX0RJVl9SRVYuMTAwMC4yOS8wMy8yMDI2Li4uVVNELkgBAAAAIHoFAAMAAAAAAFoq5HpEjd4IZ9GafkSN3gg2Q0lRLk5BU0RBUTpDQUxNLklRX0ZJTl9ESVZfRVhQLjEwMDAuMjkvMDMvMjAyNi4uLlVTRC5IAQAAACB6BQADAAAAAACBUeR6RI3eCB8Omn5Ejd4IN0NJUS5OQVNEQVE6Q0FMTS5JUV9D</t>
  </si>
  <si>
    <t>VVJSRU5DWV9HQUlOLjk5OC4yOS8wMy8yMDI2Li4uVVNELkgBAAAAIHoFAAMAAAAAAIFR5HpEjd4I1MOXfkSN3ghAQ0lRLk5BU0RBUTpDQUxNLklRX0RFRkVSUkVEX0ZPUkVJR05fVEFYRVMuOTk3LjI5LzAzLzIwMjYuLi5VU0QuSAEAAAAgegUAAwAAAAAAVwuWekSN3ggTkZB+RI3eCC1DSVEuTkFTREFROkNBTE0uSVFfUkVWLjk5OS4yOS8wMy8yMDI2Li4uVVNELkgBAAAAIHoFAAIAAAAIMjMyNi40NDMBCAAAAAUAAAABMQEAAAALLTE5MzQ5Nzg0ODADAAAAAzE2MAIAAAADMTEyBAAAAAEwBwAAAAkzLzI5LzIwMjYIAAAACDYvMS8yMDI0CQAAAAEwWirkekSN3gg7DJt+RI3eCDtDSVEuTkFTREFROkNBTE0uSVFfSU5WRVNUTUVOVF9JTkNPTUUuOTk4LjI5LzAzLzIwMjYuLi5VU0QuSAEAAAAgegUAAwAAAAAAVwuWekSN3gg9VJF+RI3eCEFDSVEuTkFTREFROkNBTE0uSVFfREVGRVJSRURfRE9NRVNUSUNfVEFYRVMuOTk1LjI5LzAzLzIwMjYuLi5VU0QuSAEAAAAgegUAAgAAAAYxMC4yODEBCAAAAAUAAAABMQEAAAALLTIwODgzNDc0NjkDAAAAAzE2MAIAAAAEMzA1NAQAAAABMAcAAAAJMy8yOS8yMDI2CAAAAAk1LzMwLzIwMjAJAAAAATBXC5Z6RI3eCA64kH5Ejd4IPkNJUS5OQVNEQVE6Q0FMTS5JUV9DQVBJVEFMSVpFRF9JTlRFUkVTVC45OTYuMjkvMDMvMjAyNi4uLlVTRC5IAQAAACB6BQADAAAAAAB9MpZ6</t>
  </si>
  <si>
    <t>RI3eCJ/gj35Ejd4IMENJUS5OQVNEQVE6Q0FMTS5JUV9HQV9FWFAuOTk3LjI5LzAzLzIwMjYuLi5VU0QuSAEAAAAgegUAAwAAAAAAilmWekSN3ggbdY5+RI3eCDtDSVEuTkFTREFROkNBTE0uSVFfU1RPQ0tfQkFTRURfVE9UQUwuOTk4LjI5LzAzLzIwMjYuLi5VU0QuSAEAAAAgegUAAgAAAAU0LjIwNQEIAAAABQAAAAExAQAAAAstMTkzNDk3ODQyMAMAAAADMTYwAgAAAAUyNDAzNAQAAAABMAcAAAAJMy8yOS8yMDI2CAAAAAg2LzMvMjAyMwkAAAABMEi8f3pEjd4IPKOKfkSN3ghBQ0lRLk5BU0RBUTpDQUxNLklRX0xFQVNFX0FESlVTVE1FTlRfRUJJVERBLjk5OS4yOS8wMy8yMDI2Li4uVVNELkgBAAAAIHoFAAMAAAAAABWf5HpEjd4IFZ+TfkSN3gg+Q0lRLk5BU0RBUTpDQUxNLklRX0VCSVRfRVFfSU5DX0VYQ0xfU0JDLjk5My4yOS8wMy8yMDI2Li4uVVNELkgBAAAAIHoFAAIAAAAHMTg4LjcxNAEIAAAABQAAAAExAQAAAAoyMDQ1NzQ5MzEwAwAAAAMxNjACAAAABTI0MTMwBAAAAAEwBwAAAAkzLzI5LzIwMjYIAAAACDYvMi8yMDE4CQAAAAEwQcbkekSN3ggCPZN+RI3eCD9DSVEuTkFTREFROkNBTE0uSVFfRUJJVEFfRVFfSU5DX0VYQ0xfU0JDLjk5Ni4yOS8wMy8yMDI2Li4uVVNELkgBAAAAIHoFAAIAAAAHLTE4Ljg4MgEIAAAABQAAAAExAQAAAAstMjAzNzI0MTcyMQMAAAADMTYwAgAAAAUyNDEzMgQAAAAB</t>
  </si>
  <si>
    <t>MAcAAAAJMy8yOS8yMDI2CAAAAAk1LzI5LzIwMjEJAAAAATBb5JV6RI3eCNvHkn5Ejd4IQUNJUS5OQVNEQVE6Q0FMTS5JUV9FQklUREFSX0VRX0lOQ19FWENMX1NCQy45OTkuMjkvMDMvMjAyNi4uLlVTRC5IAQAAACB6BQADAAAAAABXC5Z6RI3eCMFSkn5Ejd4IP0NJUS5OQVNEQVE6Q0FMTS5JUV9UT1RBTF9SRVZfQVNfUkVQT1JURUQuOTkzLjI5LzAzLzIwMjYuLi5VU0QuSAEAAAAgegUAAwAAAAAAVwuWekSN3ghPBJJ+RI3eCDdDSVEuTkFTREFROkNBTE0uSVFfTklfQVZBSUxfRVhDTC45OTMuMjkvMDMvMjAyNi4uLlVTRC5IAQAAACB6BQACAAAABzEyNS45MzIBCAAAAAUAAAABMQEAAAAKMjA0NTc0OTMxMAMAAAADMTYwAgAAAAMzNzkEAAAAATAHAAAACTMvMjkvMjAyNggAAAAINi8yLzIwMTgJAAAAATCseOR6RI3eCORllX5Ejd4IOENJUS5OQVNEQVE6Q0FMTS5JUV9CQVNJQ19FUFNfRVhDTC45OTkuMjkvMDMvMjAyNi4uLlVTRC5IAQAAACB6BQACAAAACDUuNzA0MTI3AQgAAAAFAAAAATEBAAAACy0xOTM0OTc4NDgwAwAAAAMxNjACAAAABDMwNjQEAAAAATAHAAAACTMvMjkvMjAyNggAAAAINi8xLzIwMjQJAAAAATCseOR6RI3eCKU+lX5Ejd4IOENJUS5OQVNEQVE6Q0FMTS5JUV9ESUxVVF9FUFNfRVhDTC45OTYuMjkvMDMvMjAyNi4uLlVTRC5IAQAAACB6BQACAAAABDAuMDQBCAAAAAUAAAABMQEAAAAL</t>
  </si>
  <si>
    <t>LTIwMzcyNDE3MjEDAAAAAzE2MAIAAAADMTQyBAAAAAEwBwAAAAkzLzI5LzIwMjYIAAAACTUvMjkvMjAyMQkAAAABMBWf5HpEjd4IpwOVfkSN3gg4Q0lRLk5BU0RBUTpDQUxNLklRX0RJTFVUX0VQU19OT1JNLjk5Ny4yOS8wMy8yMDI2Li4uVVNELkgBAAAAIHoFAAIAAAAIMi4wNjY1MTYBCAAAAAUAAAABMQEAAAALLTE5ODY3MDg0MzMDAAAAAzE2MAIAAAAENDM4MAQAAAABMAcAAAAJMy8yOS8yMDI2CAAAAAk1LzI4LzIwMjIJAAAAATAVn+R6RI3eCHK1lH5Ejd4IOkNJUS5OQVNEQVE6Q0FMTS5JUV9UT1RBTF9SRVZfU0hBUkUuMTAwMC4yOS8wMy8yMDI2Li4uVVNELkgBAAAAIHoFAAIAAAAJODcuNDc4OTA5AQgAAAAFAAAAATEBAAAACy0xOTM0OTc4MzgxAwAAAAMxNjACAAAABDQzODIEAAAAATAHAAAACTMvMjkvMjAyNggAAAAJNS8zMS8yMDI1CQAAAAEwFZ/kekSN3ghiZ5R+RI3eCD1DSVEuTkFTREFROkNBTE0uSVFfSU5URVJFU1RfSU5WRVNUX0lOQy45OTguMjkvMDMvMjAyNi4uLlVTRC5IAQAAACB6BQACAAAABjI4Ljc5MgEIAAAABQAAAAExAQAAAAstMTkzNDk3ODQyMAMAAAADMTYwAgAAAAI2NQQAAAABMAcAAAAJMy8yOS8yMDI2CAAAAAg2LzMvMjAyMwkAAAABMIFR5HpEjd4InSWYfkSN3ggyQ0lRLk5BU0RBUTpDQUxNLklRX0VCVF9FWENMLjk5Ny4yOS8wMy8yMDI2Li4uVVNELkgBAAAAIHoFAAIA</t>
  </si>
  <si>
    <t>AAAHMTYwLjgwMQEIAAAABQAAAAExAQAAAAstMTk4NjcwODQzMwMAAAADMTYwAgAAAAE0BAAAAAEwBwAAAAkzLzI5LzIwMjYIAAAACTUvMjgvMjAyMgkAAAABMIFR5HpEjd4ItJyXfkSN3gg1Q0lRLk5BU0RBUTpDQUxNLklRX0dBSU5fQVNTRVRTLjk5OC4yOS8wMy8yMDI2Li4uVVNELkgBAAAAIHoFAAIAAAAFMC4xMzEBCAAAAAUAAAABMQEAAAALLTE5MzQ5Nzg0MjADAAAAAzE2MAIAAAACNTYEAAAAATAHAAAACTMvMjkvMjAyNggAAAAINi8zLzIwMjMJAAAAATCseOR6RI3eCHIAl35Ejd4IPUNJUS5OQVNEQVE6Q0FMTS5JUV9PVEhFUl9VTlVTVUFMX1NVUFBMLjk5Ny4yOS8wMy8yMDI2Li4uVVNELkgBAAAAIHoFAAMAAAAAAKx45HpEjd4I8oqWfkSN3gg5Q0lRLk5BU0RBUTpDQUxNLklRX0VYVFJBX0FDQ19JVEVNUy45OTYuMjkvMDMvMjAyNi4uLlVTRC5IAQAAACB6BQADAAAAAACseOR6RI3eCBPblX5Ejd4INUNJUS5OQVNEQVE6Q0FMTS5JUV9JTlNfRElWX1JFVi45OTQuMjkvMDMvMjAyNi4uLlVTRC5IAQAAACB6BQADAAAAAABaKuR6RI3eCGfRmn5Ejd4IM0NJUS5OQVNEQVE6Q0FMTS5JUV9UT1RBTF9SRVYuOTk4LjI5LzAzLzIwMjYuLi5VU0QuSAEAAAAgegUAAgAAAAgzMTQ2LjIxNwEIAAAABQAAAAExAQAAAAstMTkzNDk3ODQyMAMAAAADMTYwAgAAAAIyOAQAAAABMAcAAAAJMy8yOS8yMDI2CAAAAAg2</t>
  </si>
  <si>
    <t>LzMvMjAyMwkAAAABMFoq5HpEjd4IJ1yafkSN3gg3Q0lRLk5BU0RBUTpDQUxNLklRX0VYUExPUkVfRFJJTEwuOTk4LjI5LzAzLzIwMjYuLi5VU0QuSAEAAAAgegUAAwAAAAAAgVHkekSN3ghghZl+RI3eCDRDSVEuTkFTREFROkNBTE0uSVFfSU1QQUlSX09JTC45OTkuMjkvMDMvMjAyNi4uLlVTRC5IAQAAACB6BQADAAAAAACBUeR6RI3eCFjpmH5Ejd4IMkNJUS5OQVNEQVE6Q0FMTS5JUV9PUEVSX0lOQy45OTQuMjkvMDMvMjAyNi4uLlVTRC5IAQAAACB6BQACAAAABjQ1LjgxNAEIAAAABQAAAAExAQAAAAstMjE0MjQyOTAzOQMAAAADMTYwAgAAAAIyMQQAAAABMAcAAAAJMy8yOS8yMDI2CAAAAAg2LzEvMjAxOQkAAAABMIFR5HpEjd4IAHSYfkSN3gg3Q0lRLk5BU0RBUTpDQUxNLklRX0NVUlJFTkNZX0dBSU4uOTkzLjI5LzAzLzIwMjYuLi5VU0QuSAEAAAAgegUAAwAAAAAAgVHkekSN3gjS6pd+RI3eCDJDSVEuTkFTREFROkNBTE0uSVFfRUJUX0VYQ0wuOTk4LjI5LzAzLzIwMjYuLi5VU0QuSAEAAAAgegUAAgAAAAc5OTguNDU1AQgAAAAFAAAAATEBAAAACy0xOTM0OTc4NDIwAwAAAAMxNjACAAAAATQEAAAAATAHAAAACTMvMjkvMjAyNggAAAAINi8zLzIwMjMJAAAAATCBUeR6RI3eCLScl35Ejd4IN0NJUS5OQVNEQVE6Q0FMTS5JUV9JTVBBSVJNRU5UX0dXLjk5My4yOS8wMy8yMDI2Li4uVVNELkgBAAAAIHoF</t>
  </si>
  <si>
    <t>AAMAAAAAAKx45HpEjd4IlE6XfkSN3gg1Q0lRLk5BU0RBUTpDQUxNLklRX0dBSU5fQVNTRVRTLjk5OS4yOS8wMy8yMDI2Li4uVVNELkgBAAAAIHoFAAIAAAAGLTAuMDI2AQgAAAAFAAAAATEBAAAACy0xOTM0OTc4NDgwAwAAAAMxNjACAAAAAjU2BAAAAAEwBwAAAAkzLzI5LzIwMjYIAAAACDYvMS8yMDI0CQAAAAEwrHjkekSN3giEJ5d+RI3eCC1DSVEuTkFTREFROkNBTE0uSVFfUkVWLjk5NC4yOS8wMy8yMDI2Li4uVVNELkgBAAAAIHoFAAIAAAAIMTM2MS4xODgBCAAAAAUAAAABMQEAAAALLTIxNDI0MjkwMzkDAAAAAzE2MAIAAAADMTEyBAAAAAEwBwAAAAkzLzI5LzIwMjYIAAAACDYvMS8yMDE5CQAAAAEwWirkekSN3givQZt+RI3eCDpDSVEuTkFTREFROkNBTE0uSVFfVE9UQUxfT1RIRVJfT1BFUi45OTguMjkvMDMvMjAyNi4uLlVTRC5IAQAAACB6BQACAAAABzIzMi4yMDcBCAAAAAUAAAABMQEAAAALLTE5MzQ5Nzg0MjADAAAAAzE2MAIAAAADMzgwBAAAAAEwBwAAAAkzLzI5LzIwMjYIAAAACDYvMy8yMDIzCQAAAAEwgVHkekSN3ggim5h+RI3eCDVDSVEuTkFTREFROkNBTE0uSVFfRklOX0RJVl9FWFAuOTk1LjI5LzAzLzIwMjYuLi5VU0QuSAEAAAAgegUAAwAAAAAAgVHkekSN3ggfDpp+RI3eCDVDSVEuTkFTREFROkNBTE0uSVFfU1RPQ0tfQkFTRUQuOTk4LjI5LzAzLzIwMjYuLi5VU0QuSAEAAAAgegUA</t>
  </si>
  <si>
    <t>AwAAAAAAgVHkekSN3ghVN5l+RI3eCDpDSVEuTkFTREFROkNBTE0uSVFfVE9UQUxfT1RIRVJfT1BFUi45OTcuMjkvMDMvMjAyNi4uLlVTRC5IAQAAACB6BQACAAAABzE5OC42MzEBCAAAAAUAAAABMQEAAAALLTE5ODY3MDg0MzMDAAAAAzE2MAIAAAADMzgwBAAAAAEwBwAAAAkzLzI5LzIwMjYIAAAACTUvMjgvMjAyMgkAAAABMIFR5HpEjd4IAHSYfkSN3gg9Q0lRLk5BU0RBUTpDQUxNLklRX0lOVEVSRVNUX0lOVkVTVF9JTkMuOTk5LjI5LzAzLzIwMjYuLi5VU0QuSAEAAAAgegUAAgAAAAY0My42MDYBCAAAAAUAAAABMQEAAAALLTE5MzQ5Nzg0ODADAAAAAzE2MAIAAAACNjUEAAAAATAHAAAACTMvMjkvMjAyNggAAAAINi8xLzIwMjQJAAAAATCBUeR6RI3eCPxMmH5Ejd4IOUNJUS5OQVNEQVE6Q0FMTS5JUV9HQUlOX0lOVkVTVF9SRVYuOTk2LjI5LzAzLzIwMjYuLi5VU0QuSAEAAAAgegUAAwAAAAAAWirkekSN3gg9qpp+RI3eCDZDSVEuTkFTREFROkNBTE0uSVFfU1RPQ0tfQkFTRUQuMTAwMC4yOS8wMy8yMDI2Li4uVVNELkgBAAAAIHoFAAMAAAAAAIFR5HpEjd4IbV6ZfkSN3gg1Q0lRLk5BU0RBUTpDQUxNLklRX0lOU19ESVZfUkVWLjk5Ni4yOS8wMy8yMDI2Li4uVVNELkgBAAAAIHoFAAMAAAAAAFoq5HpEjd4IZ9GafkSN3ggsQ0lRLk5BU0RBUTpDQUxNLklRX0dQLjk5My4yOS8wMy8yMDI2Li4uVVNELkgB</t>
  </si>
  <si>
    <t>AAAAIHoFAAIAAAAHMzYxLjA0NgEIAAAABQAAAAExAQAAAAoyMDQ1NzQ5MzEwAwAAAAMxNjACAAAAAjEwBAAAAAEwBwAAAAkzLzI5LzIwMjYIAAAACDYvMi8yMDE4CQAAAAEwgVHkekSN3ggM55l+RI3eCDVDSVEuTkFTREFROkNBTE0uSVFfU1RPQ0tfQkFTRUQuOTk5LjI5LzAzLzIwMjYuLi5VU0QuSAEAAAAgegUAAwAAAAAAgVHkekSN3ghtXpl+RI3eCDlDSVEuTkFTREFROkNBTE0uSVFfR0FJTl9JTlZFU1RfUkVWLjk5Ny4yOS8wMy8yMDI2Li4uVVNELkgBAAAAIHoFAAMAAAAAAFoq5HpEjd4IPaqafkSN3gg3Q0lRLk5BU0RBUTpDQUxNLklRX0VYUExPUkVfRFJJTEwuOTk0LjI5LzAzLzIwMjYuLi5VU0QuSAEAAAAgegUAAwAAAAAAgVHkekSN3ghghZl+RI3eCD1DSVEuTkFTREFROkNBTE0uSVFfSU5URVJFU1RfSU5WRVNUX0lOQy45OTMuMjkvMDMvMjAyNi4uLlVTRC5IAQAAACB6BQACAAAABjExLjk4MwEIAAAABQAAAAExAQAAAAoyMDQ1NzQ5MzEwAwAAAAMxNjACAAAAAjY1BAAAAAEwBwAAAAkzLzI5LzIwMjYIAAAACDYvMi8yMDE4CQAAAAEwgVHkekSN3gj8TJh+RI3eCDVDSVEuTkFTREFROkNBTE0uSVFfSU5DX0VRVUlUWS4xMDAwLjI5LzAzLzIwMjYuLi5VU0QuSAEAAAAgegUAAgAAAAU2LjIyMQEIAAAABQAAAAExAQAAAAstMTkzNDk3ODM4MQMAAAADMTYwAgAAAAI0NwQAAAABMAcAAAAJMy8yOS8y</t>
  </si>
  <si>
    <t>MDI2CAAAAAk1LzMxLzIwMjUJAAAAATCBUeR6RI3eCNLql35Ejd4INUNJUS5OQVNEQVE6Q0FMTS5JUV9HQUlOX0FTU0VUUy45OTMuMjkvMDMvMjAyNi4uLlVTRC5IAQAAACB6BQACAAAABi0wLjQ3MwEIAAAABQAAAAExAQAAAAoyMDQ1NzQ5MzEwAwAAAAMxNjACAAAAAjU2BAAAAAEwBwAAAAkzLzI5LzIwMjYIAAAACDYvMi8yMDE4CQAAAAEwrHjkekSN3giEJ5d+RI3eCDlDSVEuTkFTREFROkNBTE0uSVFfRklOX0RJVl9JTlRfRVhQLjk5OS4yOS8wMy8yMDI2Li4uVVNELkgBAAAAIHoFAAMAAAAAAIFR5HpEjd4IDOeZfkSN3gg6Q0lRLk5BU0RBUTpDQUxNLklRX1RPVEFMX09USEVSX09QRVIuOTkzLjI5LzAzLzIwMjYuLi5VU0QuSAEAAAAgegUAAgAAAAcxNzkuMzE2AQgAAAAFAAAAATEBAAAACjIwNDU3NDkzMTADAAAAAzE2MAIAAAADMzgwBAAAAAEwBwAAAAkzLzI5LzIwMjYIAAAACDYvMi8yMDE4CQAAAAEwgVHkekSN3ggAdJh+RI3eCDhDSVEuTkFTREFROkNBTE0uSVFfQkFTSUNfRVBTX0lOQ0wuOTk4LjI5LzAzLzIwMjYuLi5VU0QuSAEAAAAgegUAAgAAAAkxNS41ODE4MTIBCAAAAAUAAAABMQEAAAALLTE5MzQ5Nzg0MjADAAAAAzE2MAIAAAABOQQAAAABMAcAAAAJMy8yOS8yMDI2CAAAAAg2LzMvMjAyMwkAAAABMKx45HpEjd4IpT6VfkSN3ggzQ0lRLk5BU0RBUTpDQUxNLklRX1NHQV9TVVBQTC45OTcu</t>
  </si>
  <si>
    <t>MjkvMDMvMjAyNi4uLlVTRC5IAQAAACB6BQACAAAABzE5OC42MzEBCAAAAAUAAAABMQEAAAALLTE5ODY3MDg0MzMDAAAAAzE2MAIAAAADMTAyBAAAAAEwBwAAAAkzLzI5LzIwMjYIAAAACTUvMjgvMjAyMgkAAAABMIFR5HpEjd4IYIWZfkSN3ggyQ0lRLk5BU0RBUTpDQUxNLklRX0VCVF9FWENMLjk5NS4yOS8wMy8yMDI2Li4uVVNELkgBAAAAIHoFAAIAAAAGMjAuMDAyAQgAAAAFAAAAATEBAAAACy0yMDg4MzQ3NDY5AwAAAAMxNjACAAAAATQEAAAAATAHAAAACTMvMjkvMjAyNggAAAAJNS8zMC8yMDIwCQAAAAEwgVHkekSN3gjUw5d+RI3eCDNDSVEuTkFTREFROkNBTE0uSVFfU0dBX1NVUFBMLjk5OS4yOS8wMy8yMDI2Li4uVVNELkgBAAAAIHoFAAIAAAAHMjI3LjQ3NwEIAAAABQAAAAExAQAAAAstMTkzNDk3ODQ4MAMAAAADMTYwAgAAAAMxMDIEAAAAATAHAAAACTMvMjkvMjAyNggAAAAINi8xLzIwMjQJAAAAATCBUeR6RI3eCOG/mX5Ejd4INENJUS5OQVNEQVE6Q0FMTS5JUV9JTkNfRVFVSVRZLjk5My4yOS8wMy8yMDI2Li4uVVNELkgBAAAAIHoFAAIAAAAFMy41MTcBCAAAAAUAAAABMQEAAAAKMjA0NTc0OTMxMAMAAAADMTYwAgAAAAI0NwQAAAABMAcAAAAJMy8yOS8yMDI2CAAAAAg2LzIvMjAxOAkAAAABMIFR5HpEjd4I0uqXfkSN3gg8Q0lRLk5BU0RBUTpDQUxNLklRX1NQRUNJQUxfRElWX1NIQVJFLjEw</t>
  </si>
  <si>
    <t>MDAuMjkvMDMvMjAyNi4uLlVTRC5IAQAAACB6BQADAAAAAAAVn+R6RI3eCGxAlH5Ejd4ILkNJUS5OQVNEQVE6Q0FMTS5JUV9FQklULjk5Ny4yOS8wMy8yMDI2Li4uVVNELkgBAAAAIHoFAAIAAAAHMTM4LjQyOAEIAAAABQAAAAExAQAAAAstMTk4NjcwODQzMwMAAAADMTYwAgAAAAM0MDAEAAAAATAHAAAACTMvMjkvMjAyNggAAAAJNS8yOC8yMDIyCQAAAAEwQcbkekSN3ggCPZN+RI3eCDFDSVEuTkFTREFROkNBTE0uSVFfTklfTk9STS45OTkuMjkvMDMvMjAyNi4uLlVTRC5IAQAAACB6BQACAAAACTI0Mi4yMDIyNQEIAAAABQAAAAExAQAAAAstMTkzNDk3ODQ4MAMAAAADMTYwAgAAAAQ0Mzc4BAAAAAEwBwAAAAkzLzI5LzIwMjYIAAAACDYvMS8yMDI0CQAAAAEwfTKWekSN3gjDLpB+RI3eCC5DSVEuTkFTREFROkNBTE0uSVFfRUJJVC45OTUuMjkvMDMvMjAyNi4uLlVTRC5IAQAAACB6BQACAAAABTEuMzUxAQgAAAAFAAAAATEBAAAACy0yMDg4MzQ3NDY5AwAAAAMxNjACAAAAAzQwMAQAAAABMAcAAAAJMy8yOS8yMDI2CAAAAAk1LzMwLzIwMjAJAAAAATBBxuR6RI3eCM13k35Ejd4ILkNJUS5OQVNEQVE6Q0FMTS5JUV9DT0dTLjk5Ny4yOS8wMy8yMDI2Li4uVVNELkgBAAAAIHoFAAIAAAAGMTQ0MC4xAQgAAAAFAAAAATEBAAAACy0xOTg2NzA4NDMzAwAAAAMxNjACAAAAAjM0BAAAAAEwBwAAAAkzLzI5LzIwMjYI</t>
  </si>
  <si>
    <t>AAAACTUvMjgvMjAyMgkAAAABMFoq5HpEjd4IMjWafkSN3gg4Q0lRLk5BU0RBUTpDQUxNLklRX1BST1ZfQkFEX0RFQlRTLjk5OS4yOS8wMy8yMDI2Li4uVVNELkgBAAAAIHoFAAMAAAAAAIFR5HpEjd4IbV6ZfkSN3gg4Q0lRLk5BU0RBUTpDQUxNLklRX0RJTFVUX0VQU19JTkNMLjk5My4yOS8wMy8yMDI2Li4uVVNELkgBAAAAIHoFAAIAAAADMi42AQgAAAAFAAAAATEBAAAACjIwNDU3NDkzMTADAAAAAzE2MAIAAAABOAQAAAABMAcAAAAJMy8yOS8yMDI2CAAAAAg2LzIvMjAxOAkAAAABMBWf5HpEjd4IlheVfkSN3gg1Q0lRLk5BU0RBUTpDQUxNLklRX0ZJTl9ESVZfRVhQLjk5NC4yOS8wMy8yMDI2Li4uVVNELkgBAAAAIHoFAAMAAAAAAIFR5HpEjd4IMjWafkSN3gg5Q0lRLk5BU0RBUTpDQUxNLklRX0FTU0VUX1dSSVRFRE9XTi45OTUuMjkvMDMvMjAyNi4uLlVTRC5IAQAAACB6BQADAAAAAACseOR6RI3eCHIAl35Ejd4INENJUS5OQVNEQVE6Q0FMTS5JUV9OSV9DT01QQU5ZLjk5NS4yOS8wMy8yMDI2Li4uVVNELkgBAAAAIHoFAAIAAAAGMTguMzI4AQgAAAAFAAAAATEBAAAACy0yMDg4MzQ3NDY5AwAAAAMxNjACAAAABTQxNTcxBAAAAAEwBwAAAAkzLzI5LzIwMjYIAAAACTUvMzAvMjAyMAkAAAABMKx45HpEjd4IE9uVfkSN3gg4Q0lRLk5BU0RBUTpDQUxNLklRX1BST1ZfQkFEX0RFQlRTLjk5NS4yOS8wMy8y</t>
  </si>
  <si>
    <t>MDI2Li4uVVNELkgBAAAAIHoFAAMAAAAAAIFR5HpEjd4IYIWZfkSN3gg5Q0lRLk5BU0RBUTpDQUxNLklRX0FTU0VUX1dSSVRFRE9XTi45OTQuMjkvMDMvMjAyNi4uLlVTRC5IAQAAACB6BQADAAAAAACseOR6RI3eCHIAl35Ejd4INUNJUS5OQVNEQVE6Q0FMTS5JUV9GSU5fRElWX1JFVi45OTMuMjkvMDMvMjAyNi4uLlVTRC5IAQAAACB6BQADAAAAAABaKuR6RI3eCGfRmn5Ejd4IN0NJUS5OQVNEQVE6Q0FMTS5JUV9QUkVfT1BFTl9DT1NULjk5Ny4yOS8wMy8yMDI2Li4uVVNELkgBAAAAIHoFAAMAAAAAAIFR5HpEjd4IVTeZfkSN3gg0Q0lRLk5BU0RBUTpDQUxNLklRX0lOU19TRVRUTEUuOTk1LjI5LzAzLzIwMjYuLi5VU0QuSAEAAAAgegUAAwAAAAAArHjkekSN3ghk2ZZ+RI3eCDVDSVEuTkFTREFROkNBTE0uSVFfSU5TX0RJVl9FWFAuOTk2LjI5LzAzLzIwMjYuLi5VU0QuSAEAAAAgegUAAwAAAAAAgVHkekSN3ggfDpp+RI3eCDpDSVEuTkFTREFROkNBTE0uSVFfTkVUX0lOVEVSRVNUX0VYUC45OTguMjkvMDMvMjAyNi4uLlVTRC5IAQAAACB6BQACAAAABjI4LjIwOQEIAAAABQAAAAExAQAAAAstMTkzNDk3ODQyMAMAAAADMTYwAgAAAAMzNjgEAAAAATAHAAAACTMvMjkvMjAyNggAAAAINi8zLzIwMjMJAAAAATCBUeR6RI3eCNgRmH5Ejd4IQUNJUS5OQVNEQVE6Q0FMTS5JUV9FWENJU0VfVEFYRVNfSU5DTF9T</t>
  </si>
  <si>
    <t>QUxFUy45OTUuMjkvMDMvMjAyNi4uLlVTRC5IAQAAACB6BQADAAAAAABXC5Z6RI3eCDMtkX5Ejd4IN0NJUS5OQVNEQVE6Q0FMTS5JUV9FWFBMT1JFX0RSSUxMLjk5NS4yOS8wMy8yMDI2Li4uVVNELkgBAAAAIHoFAAMAAAAAAIFR5HpEjd4IYIWZfkSN3ggyQ0lRLk5BU0RBUTpDQUxNLklRX09QRVJfSU5DLjk5OC4yOS8wMy8yMDI2Li4uVVNELkgBAAAAIHoFAAIAAAAGOTY0LjI1AQgAAAAFAAAAATEBAAAACy0xOTM0OTc4NDIwAwAAAAMxNjACAAAAAjIxBAAAAAEwBwAAAAkzLzI5LzIwMjYIAAAACDYvMy8yMDIzCQAAAAEwgVHkekSN3ggAdJh+RI3eCC5DSVEuTkFTREFROkNBTE0uSVFfUkVWLjEwMDAuMjkvMDMvMjAyNi4uLlVTRC5IAQAAACB6BQACAAAACDQyNjEuODg1AQgAAAAFAAAAATEBAAAACy0xOTM0OTc4MzgxAwAAAAMxNjACAAAAAzExMgQAAAABMAcAAAAJMy8yOS8yMDI2CAAAAAk1LzMxLzIwMjUJAAAAATBaKuR6RI3eCDsMm35Ejd4IMkNJUS5OQVNEQVE6Q0FMTS5JUV9EQV9TVVBQTC45OTcuMjkvMDMvMjAyNi4uLlVTRC5IAQAAACB6BQADAAAAAACBUeR6RI3eCDwQmX5Ejd4IOkNJUS5OQVNEQVE6Q0FMTS5JUV9FQklUREFSX0VYQ0xfU0JDLjk5My4yOS8wMy8yMDI2Li4uVVNELkgBAAAAIHoFAAMAAAAAAFcLlnpEjd4IwVKSfkSN3gg3Q0lRLk5BU0RBUTpDQUxNLklRX0VCSVREQV9FUV9JTkMu</t>
  </si>
  <si>
    <t>OTk0LjI5LzAzLzIwMjYuLi5VU0QuSAEAAAAgegUAAgAAAAYxMDUuMjQBCAAAAAUAAAABMQEAAAALLTIxNDI0MjkwMzkDAAAAAzE2MAIAAAAFMjE2NzcEAAAAATAHAAAACTMvMjkvMjAyNggAAAAINi8xLzIwMTkJAAAAATAVn+R6RI3eCM/xk35Ejd4IQkNJUS5OQVNEQVE6Q0FMTS5JUV9MRUFTRV9BREpVU1RNRU5UX0VCSVREQS4xMDAwLjI5LzAzLzIwMjYuLi5VU0QuSAEAAAAgegUAAwAAAAAAFZ/kekSN3ggVn5N+RI3eCD5DSVEuTkFTREFROkNBTE0uSVFfRUJJVF9FUV9JTkNfRVhDTF9TQkMuOTk3LjI5LzAzLzIwMjYuLi5VU0QuSAEAAAAgegUAAgAAAAcxNDQuNDM0AQgAAAAFAAAAATEBAAAACy0xOTg2NzA4NDMzAwAAAAMxNjACAAAABTI0MTMwBAAAAAEwBwAAAAkzLzI5LzIwMjYIAAAACTUvMjgvMjAyMgkAAAABMEHG5HpEjd4IAj2TfkSN3gg/Q0lRLk5BU0RBUTpDQUxNLklRX1RPVEFMX1JFVl9BU19SRVBPUlRFRC45OTQuMjkvMDMvMjAyNi4uLlVTRC5IAQAAACB6BQADAAAAAABXC5Z6RI3eCE8Ekn5Ejd4IOUNJUS5OQVNEQVE6Q0FMTS5JUV9TQUxFU19NQVJLRVRJTkcuOTk5LjI5LzAzLzIwMjYuLi5VU0QuSAEAAAAgegUAAgAAAAcxMjUuMDI3AQgAAAAFAAAAATEBAAAACy0xOTM0OTc4NDgwAwAAAAMxNjACAAAABTIxNTYxBAAAAAEwBwAAAAkzLzI5LzIwMjYIAAAACDYvMS8yMDI0CQAAAAEwilmW</t>
  </si>
  <si>
    <t>ekSN3ggbdY5+RI3eCDRDSVEuTkFTREFROkNBTE0uSVFfRUFSTklOR19DTy45OTMuMjkvMDMvMjAyNi4uLlVTRC5IAQAAACB6BQACAAAABzEyNi4xOTYBCAAAAAUAAAABMQEAAAAKMjA0NTc0OTMxMAMAAAADMTYwAgAAAAE3BAAAAAEwBwAAAAkzLzI5LzIwMjYIAAAACDYvMi8yMDE4CQAAAAEwrHjkekSN3ggcUJZ+RI3eCDlDSVEuTkFTREFROkNBTE0uSVFfRVhUUkFfQUNDX0lURU1TLjk5Ny4yOS8wMy8yMDI2Li4uVVNELkgBAAAAIHoFAAMAAAAAAKx45HpEjd4IE9uVfkSN3gg3Q0lRLk5BU0RBUTpDQUxNLklRX05JX0FWQUlMX0lOQ0wuOTk2LjI5LzAzLzIwMjYuLi5VU0QuSAEAAAAgegUAAgAAAAQyLjA2AQgAAAAFAAAAATEBAAAACy0yMDM3MjQxNzIxAwAAAAMxNjACAAAAAjE2BAAAAAEwBwAAAAkzLzI5LzIwMjYIAAAACTUvMjkvMjAyMQkAAAABMKx45HpEjd4I5GWVfkSN3gg4Q0lRLk5BU0RBUTpDQUxNLklRX0RJTFVUX0VQU19FWENMLjk5OC4yOS8wMy8yMDI2Li4uVVNELkgBAAAAIHoFAAIAAAAFMTUuNTIBCAAAAAUAAAABMQEAAAALLTE5MzQ5Nzg0MjADAAAAAzE2MAIAAAADMTQyBAAAAAEwBwAAAAkzLzI5LzIwMjYIAAAACDYvMy8yMDIzCQAAAAEwFZ/kekSN3ginA5V+RI3eCDlDSVEuTkFTREFROkNBTE0uSVFfVE9UQUxfUkVWX1NIQVJFLjk5NS4yOS8wMy8yMDI2Li4uVVNELkgBAAAAIHoFAAIA</t>
  </si>
  <si>
    <t>AAAJMjcuODg3MjAxAQgAAAAFAAAAATEBAAAACy0yMDg4MzQ3NDY5AwAAAAMxNjACAAAABDQzODIEAAAAATAHAAAACTMvMjkvMjAyNggAAAAJNS8zMC8yMDIwCQAAAAEwFZ/kekSN3ghJjpR+RI3eCDlDSVEuTkFTREFROkNBTE0uSVFfSU5URVJFU1RfSU5DT01FLjk5OS4yOS8wMy8yMDI2Li4uVVNELkgBAAAAIHoFAAIAAAAGNDMuNjA2AQgAAAAFAAAAATEBAAAACy0xOTM0OTc4NDgwAwAAAAMxNjACAAAAAzIxMAQAAAABMAcAAAAJMy8yOS8yMDI2CAAAAAg2LzEvMjAyNAkAAAABMFcLlnpEjd4IPVSRfkSN3gg0Q0lRLk5BU0RBUTpDQUxNLklRX0NVUlJfVEFYRVMuOTk1LjI5LzAzLzIwMjYuLi5VU0QuSAEAAAAgegUAAgAAAAUtOC41NQEIAAAABQAAAAExAQAAAAstMjA4ODM0NzQ2OQMAAAADMTYwAgAAAAUzNTM4MwQAAAABMAcAAAAJMy8yOS8yMDI2CAAAAAk1LzMwLzIwMjAJAAAAATBXC5Z6RI3eCA64kH5Ejd4IPkNJUS5OQVNEQVE6Q0FMTS5JUV9DQVBJVEFMSVpFRF9JTlRFUkVTVC45OTMuMjkvMDMvMjAyNi4uLlVTRC5IAQAAACB6BQACAAAABTAuMjE3AQgAAAAFAAAAATEBAAAACjIwNDU3NDkzMTADAAAAAzE2MAIAAAAEMzAzMgQAAAABMAcAAAAJMy8yOS8yMDI2CAAAAAg2LzIvMjAxOAkAAAABMH0ylnpEjd4IsQeQfkSN3ggzQ0lRLk5BU0RBUTpDQUxNLklRX01BUktFVElORy45OTguMjkvMDMvMjAy</t>
  </si>
  <si>
    <t>Ni4uLlVTRC5IAQAAACB6BQADAAAAAACKWZZ6RI3eCCucjn5Ejd4IPUNJUS5OQVNEQVE6Q0FMTS5JUV9PVEhFUl9VTlVTVUFMX1NVUFBMLjk5OS4yOS8wMy8yMDI2Li4uVVNELkgBAAAAIHoFAAIAAAAELTUuNQEIAAAABQAAAAExAQAAAAstMTkzNDk3ODQ4MAMAAAADMTYwAgAAAAI4NwQAAAABMAcAAAAJMy8yOS8yMDI2CAAAAAg2LzEvMjAyNAkAAAABMKx45HpEjd4IXrKWfkSN3ggsQ0lRLk5BU0RBUTpDQUxNLklRX05JLjk5My4yOS8wMy8yMDI2Li4uVVNELkgBAAAAIHoFAAIAAAAHMTI1LjkzMgEIAAAABQAAAAExAQAAAAoyMDQ1NzQ5MzEwAwAAAAMxNjACAAAAAjE1BAAAAAEwBwAAAAkzLzI5LzIwMjYIAAAACDYvMi8yMDE4CQAAAAEwrHjkekSN3gjks5V+RI3eCDhDSVEuTkFTREFROkNBTE0uSVFfTklfQVZBSUxfSU5DTC4xMDAwLjI5LzAzLzIwMjYuLi5VU0QuSAEAAAAgegUAAgAAAAgxMjIwLjA0OAEIAAAABQAAAAExAQAAAAstMTkzNDk3ODM4MQMAAAADMTYwAgAAAAIxNgQAAAABMAcAAAAJMy8yOS8yMDI2CAAAAAk1LzMxLzIwMjUJAAAAATCseOR6RI3eCPOMlX5Ejd4IN0NJUS5OQVNEQVE6Q0FMTS5JUV9FQklUREFfRVFfSU5DLjk5NS4yOS8wMy8yMDI2Li4uVVNELkgBAAAAIHoFAAIAAAAGNjQuNjg4AQgAAAAFAAAAATEBAAAACy0yMDg4MzQ3NDY5AwAAAAMxNjACAAAABTIxNjc3BAAAAAEwBwAA</t>
  </si>
  <si>
    <t>AAkzLzI5LzIwMjYIAAAACTUvMzAvMjAyMAkAAAABMBWf5HpEjd4Iz/GTfkSN3ghBQ0lRLk5BU0RBUTpDQUxNLklRX0VCSVREQVJfRVFfSU5DX0VYQ0xfU0JDLjk5NC4yOS8wMy8yMDI2Li4uVVNELkgBAAAAIHoFAAMAAAAAAFcLlnpEjd4I4XmSfkSN3gg/Q0lRLk5BU0RBUTpDQUxNLklRX1RPVEFMX1JFVl9BU19SRVBPUlRFRC45OTUuMjkvMDMvMjAyNi4uLlVTRC5IAQAAACB6BQADAAAAAABXC5Z6RI3eCE8Ekn5Ejd4INkNJUS5OQVNEQVE6Q0FMTS5JUV9HQUlOX0FTU0VUUy4xMDAwLjI5LzAzLzIwMjYuLi5VU0QuSAEAAAAgegUAAgAAAAUwLjI1OQEIAAAABQAAAAExAQAAAAstMTkzNDk3ODM4MQMAAAADMTYwAgAAAAI1NgQAAAABMAcAAAAJMy8yOS8yMDI2CAAAAAk1LzMxLzIwMjUJAAAAATCseOR6RI3eCIQnl35Ejd4INENJUS5OQVNEQVE6Q0FMTS5JUV9JTlNfU0VUVExFLjk5My4yOS8wMy8yMDI2Li4uVVNELkgBAAAAIHoFAAMAAAAAAKx45HpEjd4IZNmWfkSN3gg+Q0lRLk5BU0RBUTpDQUxNLklRX09USEVSX1VOVVNVQUxfU1VQUEwuMTAwMC4yOS8wMy8yMDI2Li4uVVNELkgBAAAAIHoFAAIAAAADLTE1AQgAAAAFAAAAATEBAAAACy0xOTM0OTc4MzgxAwAAAAMxNjACAAAAAjg3BAAAAAEwBwAAAAkzLzI5LzIwMjYIAAAACTUvMzEvMjAyNQkAAAABMKx45HpEjd4IXrKWfkSN3gg0Q0lRLk5BU0RBUTpD</t>
  </si>
  <si>
    <t>QUxNLklRX0VBUk5JTkdfQ08uOTk0LjI5LzAzLzIwMjYuLi5VU0QuSAEAAAAgegUAAgAAAAY1NS4wNjIBCAAAAAUAAAABMQEAAAALLTIxNDI0MjkwMzkDAAAAAzE2MAIAAAABNwQAAAABMAcAAAAJMy8yOS8yMDI2CAAAAAg2LzEvMjAxOQkAAAABMKx45HpEjd4IHFCWfkSN3gg5Q0lRLk5BU0RBUTpDQUxNLklRX0VYVFJBX0FDQ19JVEVNUy45OTguMjkvMDMvMjAyNi4uLlVTRC5IAQAAACB6BQADAAAAAACseOR6RI3eCBPblX5Ejd4IOUNJUS5OQVNEQVE6Q0FMTS5JUV9JTlRFUkVTVF9JTkNPTUUuOTk1LjI5LzAzLzIwMjYuLi5VU0QuSAEAAAAgegUAAgAAAAYxNS4wNTgBCAAAAAUAAAABMQEAAAALLTIwODgzNDc0NjkDAAAAAzE2MAIAAAADMjEwBAAAAAEwBwAAAAkzLzI5LzIwMjYIAAAACTUvMzAvMjAyMAkAAAABMFcLlnpEjd4IPVSRfkSN3gg0Q0lRLk5BU0RBUTpDQUxNLklRX0NVUlJfVEFYRVMuOTk4LjI5LzAzLzIwMjYuLi5VU0QuSAEAAAAgegUAAgAAAAcyMTcuMzUxAQgAAAAFAAAAATEBAAAACy0xOTM0OTc4NDIwAwAAAAMxNjACAAAABTM1MzgzBAAAAAEwBwAAAAkzLzI5LzIwMjYIAAAACDYvMy8yMDIzCQAAAAEwVwuWekSN3ggV35B+RI3eCD5DSVEuTkFTREFROkNBTE0uSVFfQ0FQSVRBTElaRURfSU5URVJFU1QuOTk0LjI5LzAzLzIwMjYuLi5VU0QuSAEAAAAgegUAAwAAAAAAfTKWekSN3gixB5B+</t>
  </si>
  <si>
    <t>RI3eCDVDSVEuTkFTREFROkNBTE0uSVFfQURWRVJUSVNJTkcuOTk2LjI5LzAzLzIwMjYuLi5VU0QuSAEAAAAgegUAAgAAAAQxMS43AQgAAAAFAAAAATEBAAAACy0yMDM3MjQxNzIxAwAAAAMxNjACAAAABDMwMTMEAAAAATAHAAAACTMvMjkvMjAyNggAAAAJNS8yOS8yMDIxCQAAAAEwilmWekSN3gg9w45+RI3eCDdDSVEuTkFTREFROkNBTE0uSVFfSU1QQUlSTUVOVF9HVy45OTQuMjkvMDMvMjAyNi4uLlVTRC5IAQAAACB6BQADAAAAAACseOR6RI3eCJROl35Ejd4IOENJUS5OQVNEQVE6Q0FMTS5JUV9ESUxVVF9FUFNfRVhDTC45OTMuMjkvMDMvMjAyNi4uLlVTRC5IAQAAACB6BQACAAAAAzIuNgEIAAAABQAAAAExAQAAAAoyMDQ1NzQ5MzEwAwAAAAMxNjACAAAAAzE0MgQAAAABMAcAAAAJMy8yOS8yMDI2CAAAAAg2LzIvMjAxOAkAAAABMBWf5HpEjd4IlheVfkSN3gg3Q0lRLk5BU0RBUTpDQUxNLklRX0VCSVREQV9FUV9JTkMuOTk2LjI5LzAzLzIwMjYuLi5VU0QuSAEAAAAgegUAAgAAAAk0MS4zNzI5OTkBCAAAAAUAAAABMQEAAAALLTIwMzcyNDE3MjEDAAAAAzE2MAIAAAAFMjE2NzcEAAAAATAHAAAACTMvMjkvMjAyNggAAAAJNS8yOS8yMDIxCQAAAAEwFZ/kekSN3ggdGZR+RI3eCEFDSVEuTkFTREFROkNBTE0uSVFfTEVBU0VfQURKVVNUTUVOVF9FQklUREEuOTkzLjI5LzAzLzIwMjYuLi5VU0QuSAEAAAAg</t>
  </si>
  <si>
    <t>egUAAwAAAAAAFZ/kekSN3ggVn5N+RI3eCDVDSVEuTkFTREFROkNBTE0uSVFfRUJJVF9FUV9JTkMuOTk2LjI5LzAzLzIwMjYuLi5VU0QuSAEAAAAgegUAAgAAAAYtMjIuNjYBCAAAAAUAAAABMQEAAAALLTIwMzcyNDE3MjEDAAAAAzE2MAIAAAAFMjE2NzUEAAAAATAHAAAACTMvMjkvMjAyNggAAAAJNS8yOS8yMDIxCQAAAAEwQcbkekSN3ggCPZN+RI3eCDdDSVEuTkFTREFROkNBTE0uSVFfRUJJVEFfRVFfSU5DLjEwMDAuMjkvMDMvMjAyNi4uLlVTRC5IAQAAACB6BQACAAAACDE1NTkuODE1AQgAAAAFAAAAATEBAAAACy0xOTM0OTc4MzgxAwAAAAMxNjACAAAABTIxNjc2BAAAAAEwBwAAAAkzLzI5LzIwMjYIAAAACTUvMzEvMjAyNQkAAAABMFvklXpEjd4I6u6SfkSN3ggwQ0lRLk5BU0RBUTpDQUxNLklRX01FUkdFUi45OTcuMjkvMDMvMjAyNi4uLlVTRC5IAQAAACB6BQADAAAAAACseOR6RI3eCJROl35Ejd4INENJUS5OQVNEQVE6Q0FMTS5JUV9JTlNfU0VUVExFLjk5NC4yOS8wMy8yMDI2Li4uVVNELkgBAAAAIHoFAAMAAAAAAKx45HpEjd4IZNmWfkSN3ggxQ0lRLk5BU0RBUTpDQUxNLklRX0lOQ19UQVguOTk3LjI5LzAzLzIwMjYuLi5VU0QuSAEAAAAgegUAAgAAAAYzMy41NzQBCAAAAAUAAAABMQEAAAALLTE5ODY3MDg0MzMDAAAAAzE2MAIAAAACNzUEAAAAATAHAAAACTMvMjkvMjAyNggAAAAJNS8yOC8y</t>
  </si>
  <si>
    <t>MDIyCQAAAAEwrHjkekSN3ggeKZZ+RI3eCDpDSVEuTkFTREFROkNBTE0uSVFfRVhUUkFfQUNDX0lURU1TLjEwMDAuMjkvMDMvMjAyNi4uLlVTRC5IAQAAACB6BQADAAAAAACseOR6RI3eCA8Cln5Ejd4IPkNJUS5OQVNEQVE6Q0FMTS5JUV9NSU5PUklUWV9JTlRFUkVTVF9JUy45OTcuMjkvMDMvMjAyNi4uLlVTRC5IAQAAACB6BQACAAAABTAuMjA5AQgAAAAFAAAAATEBAAAACy0xOTg2NzA4NDMzAwAAAAMxNjACAAAAAjgzBAAAAAEwBwAAAAkzLzI5LzIwMjYIAAAACTUvMjgvMjAyMgkAAAABMKx45HpEjd4I5LOVfkSN3gg5Q0lRLk5BU0RBUTpDQUxNLklRX0ZJTl9ESVZfSU5UX0VYUC45OTYuMjkvMDMvMjAyNi4uLlVTRC5IAQAAACB6BQADAAAAAACBUeR6RI3eCAznmX5Ejd4INENJUS5OQVNEQVE6Q0FMTS5JUV9JTVBBSVJfT0lMLjk5My4yOS8wMy8yMDI2Li4uVVNELkgBAAAAIHoFAAMAAAAAAIFR5HpEjd4IWOmYfkSN3gg6Q0lRLk5BU0RBUTpDQUxNLklRX1RPVEFMX09USEVSX09QRVIuOTk5LjI5LzAzLzIwMjYuLi5VU0QuSAEAAAAgegUAAgAAAAcyMjcuNDc3AQgAAAAFAAAAATEBAAAACy0xOTM0OTc4NDgwAwAAAAMxNjACAAAAAzM4MAQAAAABMAcAAAAJMy8yOS8yMDI2CAAAAAg2LzEvMjAyNAkAAAABMIFR5HpEjd4IIpuYfkSN3gg0Q0lRLk5BU0RBUTpDQUxNLklRX0lOQ19FUVVJVFkuOTk5LjI5LzAz</t>
  </si>
  <si>
    <t>LzIwMjYuLi5VU0QuSAEAAAAgegUAAgAAAAQxLjQyAQgAAAAFAAAAATEBAAAACy0xOTM0OTc4NDgwAwAAAAMxNjACAAAAAjQ3BAAAAAEwBwAAAAkzLzI5LzIwMjYIAAAACDYvMS8yMDI0CQAAAAEwgVHkekSN3gjS6pd+RI3eCDJDSVEuTkFTREFROkNBTE0uSVFfRUJUX0VYQ0wuOTkzLjI5LzAzLzIwMjYuLi5VU0QuSAEAAAAgegUAAgAAAAcxOTguNTk1AQgAAAAFAAAAATEBAAAACjIwNDU3NDkzMTADAAAAAzE2MAIAAAABNAQAAAABMAcAAAAJMy8yOS8yMDI2CAAAAAg2LzIvMjAxOAkAAAABMIFR5HpEjd4ItJyXfkSN3gg3Q0lRLk5BU0RBUTpDQUxNLklRX05JX0FWQUlMX0lOQ0wuOTkzLjI5LzAzLzIwMjYuLi5VU0QuSAEAAAAgegUAAgAAAAcxMjUuOTMyAQgAAAAFAAAAATEBAAAACjIwNDU3NDkzMTADAAAAAzE2MAIAAAACMTYEAAAAATAHAAAACTMvMjkvMjAyNggAAAAINi8yLzIwMTgJAAAAATCseOR6RI3eCORllX5Ejd4IO0NJUS5OQVNEQVE6Q0FMTS5JUV9TUEVDSUFMX0RJVl9TSEFSRS45OTguMjkvMDMvMjAyNi4uLlVTRC5IAQAAACB6BQADAAAAAAAVn+R6RI3eCGxAlH5Ejd4INkNJUS5OQVNEQVE6Q0FMTS5JUV9FQklUQV9FUV9JTkMuOTk0LjI5LzAzLzIwMjYuLi5VU0QuSAEAAAAgegUAAgAAAAU1My4zOQEIAAAABQAAAAExAQAAAAstMjE0MjQyOTAzOQMAAAADMTYwAgAAAAUyMTY3NgQAAAABMAcA</t>
  </si>
  <si>
    <t>AAAJMy8yOS8yMDI2CAAAAAg2LzEvMjAxOQkAAAABMFvklXpEjd4I6u6SfkSN3ggzQ0lRLk5BU0RBUTpDQUxNLklRX1RPVEFMX1JFVi45OTMuMjkvMDMvMjAyNi4uLlVTRC5IAQAAACB6BQACAAAACDE1MDIuOTMyAQgAAAAFAAAAATEBAAAACjIwNDU3NDkzMTADAAAAAzE2MAIAAAACMjgEAAAAATAHAAAACTMvMjkvMjAyNggAAAAINi8yLzIwMTgJAAAAATBaKuR6RI3eCCdcmn5Ejd4IMkNJUS5OQVNEQVE6Q0FMTS5JUV9FQlRfRVhDTC45OTQuMjkvMDMvMjAyNi4uLlVTRC5IAQAAACB6BQACAAAABjcwLjgxNAEIAAAABQAAAAExAQAAAAstMjE0MjQyOTAzOQMAAAADMTYwAgAAAAE0BAAAAAEwBwAAAAkzLzI5LzIwMjYIAAAACDYvMS8yMDE5CQAAAAEwgVHkekSN3gi0nJd+RI3eCD1DSVEuTkFTREFROkNBTE0uSVFfT1RIRVJfVU5VU1VBTF9TVVBQTC45OTQuMjkvMDMvMjAyNi4uLlVTRC5IAQAAACB6BQADAAAAAACseOR6RI3eCF6yln5Ejd4IP0NJUS5OQVNEQVE6Q0FMTS5JUV9NSU5PUklUWV9JTlRFUkVTVF9JUy4xMDAwLjI5LzAzLzIwMjYuLi5VU0QuSAEAAAAgegUAAgAAAAUxLjgxNgEIAAAABQAAAAExAQAAAAstMTkzNDk3ODM4MQMAAAADMTYwAgAAAAI4MwQAAAABMAcAAAAJMy8yOS8yMDI2CAAAAAk1LzMxLzIwMjUJAAAAATCseOR6RI3eCOSzlX5Ejd4IPENJUS5OQVNEQVE6Q0FMTS5JUV9DVVJSX0ZP</t>
  </si>
  <si>
    <t>UkVJR05fVEFYRVMuOTk4LjI5LzAzLzIwMjYuLi5VU0QuSAEAAAAgegUAAwAAAAAAVwuWekSN3ggV35B+RI3eCD1DSVEuTkFTREFROkNBTE0uSVFfSU5URVJFU1RfSU5WRVNUX0lOQy45OTQuMjkvMDMvMjAyNi4uLlVTRC5IAQAAACB6BQACAAAABTE4LjQ2AQgAAAAFAAAAATEBAAAACy0yMTQyNDI5MDM5AwAAAAMxNjACAAAAAjY1BAAAAAEwBwAAAAkzLzI5LzIwMjYIAAAACDYvMS8yMDE5CQAAAAEwgVHkekSN3gidJZh+RI3eCDVDSVEuTkFTREFROkNBTE0uSVFfR0FJTl9BU1NFVFMuOTk1LjI5LzAzLzIwMjYuLi5VU0QuSAEAAAAgegUAAgAAAAYtMC4wODIBCAAAAAUAAAABMQEAAAALLTIwODgzNDc0NjkDAAAAAzE2MAIAAAACNTYEAAAAATAHAAAACTMvMjkvMjAyNggAAAAJNS8zMC8yMDIwCQAAAAEwrHjkekSN3giEJ5d+RI3eCDVDSVEuTkFTREFROkNBTE0uSVFfRklOX0RJVl9FWFAuOTkzLjI5LzAzLzIwMjYuLi5VU0QuSAEAAAAgegUAAwAAAAAAgVHkekSN3ggyNZp+RI3eCDNDSVEuTkFTREFROkNBTE0uSVFfU0dBX1NVUFBMLjk5OC4yOS8wMy8yMDI2Li4uVVNELkgBAAAAIHoFAAIAAAAHMjMyLjIwNwEIAAAABQAAAAExAQAAAAstMTkzNDk3ODQyMAMAAAADMTYwAgAAAAMxMDIEAAAAATAHAAAACTMvMjkvMjAyNggAAAAINi8zLzIwMjMJAAAAATCBUeR6RI3eCOG/mX5Ejd4INUNJUS5OQVNEQVE6Q0FM</t>
  </si>
  <si>
    <t>TS5JUV9TVE9DS19CQVNFRC45OTMuMjkvMDMvMjAyNi4uLlVTRC5IAQAAACB6BQADAAAAAACBUeR6RI3eCG1emX5Ejd4IOENJUS5OQVNEQVE6Q0FMTS5JUV9HV19JTlRBTl9BTU9SVC45OTguMjkvMDMvMjAyNi4uLlVTRC5IAQAAACB6BQADAAAAAACBUeR6RI3eCFjpmH5Ejd4IQkNJUS5OQVNEQVE6Q0FMTS5JUV9PVEhFUl9OT05fT1BFUl9FWFBfU1VQUEwuOTk4LjI5LzAzLzIwMjYuLi5VU0QuSAEAAAAgegUAAgAAAAQ1LjI1AQgAAAAFAAAAATEBAAAACy0xOTM0OTc4NDIwAwAAAAMxNjACAAAAAjg1BAAAAAEwBwAAAAkzLzI5LzIwMjYIAAAACDYvMy8yMDIzCQAAAAEwgVHkekSN3gjUw5d+RI3eCDVDSVEuTkFTREFROkNBTE0uSVFfU1RPQ0tfQkFTRUQuOTk1LjI5LzAzLzIwMjYuLi5VU0QuSAEAAAAgegUAAwAAAAAAgVHkekSN3ghghZl+RI3eCDVDSVEuTkFTREFROkNBTE0uSVFfR0FJTl9JTlZFU1QuOTk5LjI5LzAzLzIwMjYuLi5VU0QuSAEAAAAgegUAAgAAAAUwLjE5MQEIAAAABQAAAAExAQAAAAstMTkzNDk3ODQ4MAMAAAADMTYwAgAAAAI2MgQAAAABMAcAAAAJMy8yOS8yMDI2CAAAAAg2LzEvMjAyNAkAAAABMKx45HpEjd4IhCeXfkSN3gg4Q0lRLk5BU0RBUTpDQUxNLklRX0JBU0lDX0VQU19JTkNMLjk5OS4yOS8wMy8yMDI2Li4uVVNELkgBAAAAIHoFAAIAAAAINS43MDQxMjcBCAAAAAUAAAABMQEA</t>
  </si>
  <si>
    <t>AAALLTE5MzQ5Nzg0ODADAAAAAzE2MAIAAAABOQQAAAABMAcAAAAJMy8yOS8yMDI2CAAAAAg2LzEvMjAyNAkAAAABMKx45HpEjd4IpT6VfkSN3gg/Q0lRLk5BU0RBUTpDQUxNLklRX0VCSVREQV9MRUFTRV9BREpVU1RFRC45OTcuMjkvMDMvMjAyNi4uLlVTRC5IAQAAACB6BQACAAAABzIwNi44MjMBCAAAAAUAAAABMQEAAAALLTE5ODY3MDg0MzMDAAAAAzE2MAIAAAAFNDg5OTMEAAAAATAHAAAACTMvMjkvMjAyNggAAAAJNS8yOC8yMDIyCQAAAAEwFZ/kekSN3ggzxpN+RI3eCDVDSVEuTkFTREFROkNBTE0uSVFfSU5TX0RJVl9SRVYuOTkzLjI5LzAzLzIwMjYuLi5VU0QuSAEAAAAgegUAAwAAAAAAWirkekSN3ghn0Zp+RI3eCDZDSVEuTkFTREFROkNBTE0uSVFfR0FJTl9JTlZFU1QuMTAwMC4yOS8wMy8yMDI2Li4uVVNELkgBAAAAIHoFAAIAAAAFMC4wNzYBCAAAAAUAAAABMQEAAAALLTE5MzQ5NzgzODEDAAAAAzE2MAIAAAACNjIEAAAAATAHAAAACTMvMjkvMjAyNggAAAAJNS8zMS8yMDI1CQAAAAEwrHjkekSN3giEJ5d+RI3eCC1DSVEuTkFTREFROkNBTE0uSVFfRE8uMTAwMC4yOS8wMy8yMDI2Li4uVVNELkgBAAAAIHoFAAMAAAAAAKx45HpEjd4IDwKWfkSN3gg5Q0lRLk5BU0RBUTpDQUxNLklRX0JBU0lDX0VQU19JTkNMLjEwMDAuMjkvMDMvMjAyNi4uLlVTRC5IAQAAACB6BQACAAAACDI1LjA0MjU1AQgA</t>
  </si>
  <si>
    <t>AAAFAAAAATEBAAAACy0xOTM0OTc4MzgxAwAAAAMxNjACAAAAATkEAAAAATAHAAAACTMvMjkvMjAyNggAAAAJNS8zMS8yMDI1CQAAAAEwrHjkekSN3gilPpV+RI3eCC5DSVEuTkFTREFROkNBTE0uSVFfRUJJVC45OTguMjkvMDMvMjAyNi4uLlVTRC5IAQAAACB6BQACAAAABjk2NC4yNQEIAAAABQAAAAExAQAAAAstMTkzNDk3ODQyMAMAAAADMTYwAgAAAAM0MDAEAAAAATAHAAAACTMvMjkvMjAyNggAAAAINi8zLzIwMjMJAAAAATBBxuR6RI3eCAI9k35Ejd4IPENJUS5OQVNEQVE6Q0FMTS5JUV9DVVJSX0ZPUkVJR05fVEFYRVMuOTk1LjI5LzAzLzIwMjYuLi5VU0QuSAEAAAAgegUAAwAAAAAAVwuWekSN3ggV35B+RI3eCC5DSVEuTkFTREFROkNBTE0uSVFfQ09HUy45OTQuMjkvMDMvMjAyNi4uLlVTRC5IAQAAACB6BQACAAAACDExMzguMzI5AQgAAAAFAAAAATEBAAAACy0yMTQyNDI5MDM5AwAAAAMxNjACAAAAAjM0BAAAAAEwBwAAAAkzLzI5LzIwMjYIAAAACDYvMS8yMDE5CQAAAAEwWirkekSN3ggnXJp+RI3eCE9DSVEuTkFTREFROkNBTE0uSVFfRElTVFJJQlVUQUJMRV9DQVNIX1BFUl9TSEFSRV9ESUxVVEVELjEwMDAuMjkvMDMvMjAyNi4uLlVTRC5IAQAAACB6BQADAAAAAAAVn+R6RI3eCEmOlH5Ejd4IN0NJUS5OQVNEQVE6Q0FMTS5JUV9BSVJDUkFGVF9SRU5ULjk5Ny4yOS8wMy8yMDI2Li4uVVNELkgB</t>
  </si>
  <si>
    <t>AAAAIHoFAAMAAAAAAIpZlnpEjd4I0rGNfkSN3gg5Q0lRLk5BU0RBUTpDQUxNLklRX0ZJTl9ESVZfSU5UX0VYUC45OTQuMjkvMDMvMjAyNi4uLlVTRC5IAQAAACB6BQADAAAAAACBUeR6RI3eCAznmX5Ejd4IOUNJUS5OQVNEQVE6Q0FMTS5JUV9HV19JTlRBTl9BTU9SVC4xMDAwLjI5LzAzLzIwMjYuLi5VU0QuSAEAAAAgegUAAwAAAAAAgVHkekSN3ghY6Zh+RI3eCC1DSVEuTkFTREFROkNBTE0uSVFfTkkuMTAwMC4yOS8wMy8yMDI2Li4uVVNELkgBAAAAIHoFAAIAAAAIMTIyMC4wNDgBCAAAAAUAAAABMQEAAAALLTE5MzQ5NzgzODEDAAAAAzE2MAIAAAACMTUEAAAAATAHAAAACTMvMjkvMjAyNggAAAAJNS8zMS8yMDI1CQAAAAEwrHjkekSN3gjzjJV+RI3eCDZDSVEuTkFTREFROkNBTE0uSVFfRUJJVERBX0NBUEVYLjk5NS4yOS8wMy8yMDI2Li4uVVNELkgBAAAAIHoFAAIAAAAHLTY0LjcyNAEIAAAABQAAAAExAQAAAAstMjA4ODM0NzQ2OQMAAAADMTYwAgAAAAUzNTM3OQQAAAABMAcAAAAJMy8yOS8yMDI2CAAAAAk1LzMwLzIwMjAJAAAAATBXC5Z6RI3eCJQrkn5Ejd4ILkNJUS5OQVNEQVE6Q0FMTS5JUV9DT0dTLjk5NS4yOS8wMy8yMDI2Li4uVVNELkgBAAAAIHoFAAIAAAAIMTE3Mi4wMjEBCAAAAAUAAAABMQEAAAALLTIwODgzNDc0NjkDAAAAAzE2MAIAAAACMzQEAAAAATAHAAAACTMvMjkvMjAyNggAAAAJ</t>
  </si>
  <si>
    <t>NS8zMC8yMDIwCQAAAAEwWirkekSN3ggyNZp+RI3eCDlDSVEuTkFTREFROkNBTE0uSVFfRUJJVERBX0VYQ0xfU0JDLjk5OS4yOS8wMy8yMDI2Li4uVVNELkgBAAAAIHoFAAIAAAAHMzk4LjY5MwEIAAAABQAAAAExAQAAAAstMTkzNDk3ODQ4MAMAAAADMTYwAgAAAAUyNDEzNQQAAAABMAcAAAAJMy8yOS8yMDI2CAAAAAg2LzEvMjAyNAkAAAABMBWf5HpEjd4IM8aTfkSN3gg+Q0lRLk5BU0RBUTpDQUxNLklRX0RFRkVSUkVEX1RBWEVTX1RPVEFMLjk5NS4yOS8wMy8yMDI2Li4uVVNELkgBAAAAIHoFAAIAAAAGMTAuMjgxAQgAAAAFAAAAATEBAAAACy0yMDg4MzQ3NDY5AwAAAAMxNjACAAAABTM1Mzg1BAAAAAEwBwAAAAkzLzI5LzIwMjYIAAAACTUvMzAvMjAyMAkAAAABMFcLlnpEjd4Ik2mQfkSN3gg1Q0lRLk5BU0RBUTpDQUxNLklRX0NPTU1PTl9ESVYuMTAwMC4yOS8wMy8yMDI2Li4uVVNELkgBAAAAIHoFAAIAAAAHNDA2LjY4OQB9MpZ6RI3eCGfqjn5Ejd4INUNJUS5OQVNEQVE6Q0FMTS5JUV9GSU5fRElWX1JFVi45OTUuMjkvMDMvMjAyNi4uLlVTRC5IAQAAACB6BQADAAAAAABaKuR6RI3eCDsMm35Ejd4INUNJUS5OQVNEQVE6Q0FMTS5JUV9JTlNfRElWX0VYUC45OTUuMjkvMDMvMjAyNi4uLlVTRC5IAQAAACB6BQADAAAAAACBUeR6RI3eCB8Omn5Ejd4INENJUS5OQVNEQVE6Q0FMTS5JUV9PVEhFUl9PUEVS</t>
  </si>
  <si>
    <t>Ljk5Ni4yOS8wMy8yMDI2Li4uVVNELkgBAAAAIHoFAAMAAAAAAIFR5HpEjd4IC8KYfkSN3gg6Q0lRLk5BU0RBUTpDQUxNLklRX05FVF9JTlRFUkVTVF9FWFAuOTk3LjI5LzAzLzIwMjYuLi5VU0QuSAEAAAAgegUAAgAAAAYxMC43MTUBCAAAAAUAAAABMQEAAAALLTE5ODY3MDg0MzMDAAAAAzE2MAIAAAADMzY4BAAAAAEwBwAAAAkzLzI5LzIwMjYIAAAACTUvMjgvMjAyMgkAAAABMIFR5HpEjd4I2BGYfkSN3gg0Q0lRLk5BU0RBUTpDQUxNLklRX05JX0NPTVBBTlkuOTk3LjI5LzAzLzIwMjYuLi5VU0QuSAEAAAAgegUAAgAAAAcxMzIuNDQxAQgAAAAFAAAAATEBAAAACy0xOTg2NzA4NDMzAwAAAAMxNjACAAAABTQxNTcxBAAAAAEwBwAAAAkzLzI5LzIwMjYIAAAACTUvMjgvMjAyMgkAAAABMKx45HpEjd4IE9uVfkSN3gg3Q0lRLk5BU0RBUTpDQUxNLklRX05JX0FWQUlMX0VYQ0wuOTk3LjI5LzAzLzIwMjYuLi5VU0QuSAEAAAAgegUAAgAAAAYxMzIuNjUBCAAAAAUAAAABMQEAAAALLTE5ODY3MDg0MzMDAAAAAzE2MAIAAAADMzc5BAAAAAEwBwAAAAkzLzI5LzIwMjYIAAAACTUvMjgvMjAyMgkAAAABMKx45HpEjd4I5GWVfkSN3gg3Q0lRLk5BU0RBUTpDQUxNLklRX0VCSVRfRVhDTF9TQkMuOTk0LjI5LzAzLzIwMjYuLi5VU0QuSAEAAAAgegUAAgAAAAY0OS40MzMBCAAAAAUAAAABMQEAAAALLTIxNDI0MjkwMzkD</t>
  </si>
  <si>
    <t>AAAAAzE2MAIAAAAFMjQxMzQEAAAAATAHAAAACTMvMjkvMjAyNggAAAAINi8xLzIwMTkJAAAAATBBxuR6RI3eCAgWk35Ejd4IOkNJUS5OQVNEQVE6Q0FMTS5JUV9FQklUREFSX0VYQ0xfU0JDLjk5OS4yOS8wMy8yMDI2Li4uVVNELkgBAAAAIHoFAAMAAAAAAFcLlnpEjd4IwVKSfkSN3ggtQ0lRLk5BU0RBUTpDQUxNLklRX0VCVC45OTguMjkvMDMvMjAyNi4uLlVTRC5IAQAAACB6BQACAAAABjk5OC41NQEIAAAABQAAAAExAQAAAAstMTkzNDk3ODQyMAMAAAADMTYwAgAAAAMxMzkEAAAAATAHAAAACTMvMjkvMjAyNggAAAAINi8zLzIwMjMJAAAAATCseOR6RI3eCPKKln5Ejd4IMkNJUS5OQVNEQVE6Q0FMTS5JUV9ESUxVVF9OSS45OTguMjkvMDMvMjAyNi4uLlVTRC5IAQAAACB6BQACAAAACTc1Ny45MDM2OAEIAAAABQAAAAExAQAAAAstMTkzNDk3ODQyMAMAAAADMTYwAgAAAAQzNTIyBAAAAAEwBwAAAAkzLzI5LzIwMjYIAAAACDYvMy8yMDIzCQAAAAEwfTKWekSN3gixB5B+RI3eCDVDSVEuTkFTREFROkNBTE0uSVFfQURWRVJUSVNJTkcuOTk1LjI5LzAzLzIwMjYuLi5VU0QuSAEAAAAgegUAAgAAAAE5AQgAAAAFAAAAATEBAAAACy0yMDg4MzQ3NDY5AwAAAAMxNjACAAAABDMwMTMEAAAAATAHAAAACTMvMjkvMjAyNggAAAAJNS8zMC8yMDIwCQAAAAEwilmWekSN3gg9w45+RI3eCDpDSVEuTkFTREFROkNBTE0u</t>
  </si>
  <si>
    <t>SVFfTkVUX0lOVEVSRVNUX0VYUC45OTMuMjkvMDMvMjAyNi4uLlVTRC5IAQAAACB6BQACAAAABjExLjcxOAEIAAAABQAAAAExAQAAAAoyMDQ1NzQ5MzEwAwAAAAMxNjACAAAAAzM2OAQAAAABMAcAAAAJMy8yOS8yMDI2CAAAAAg2LzIvMjAxOAkAAAABMIFR5HpEjd4InSWYfkSN3gg0Q0lRLk5BU0RBUTpDQUxNLklRX1RPVEFMX1JFVi4xMDAwLjI5LzAzLzIwMjYuLi5VU0QuSAEAAAAgegUAAgAAAAg0MjYxLjg4NQEIAAAABQAAAAExAQAAAAstMTkzNDk3ODM4MQMAAAADMTYwAgAAAAIyOAQAAAABMAcAAAAJMy8yOS8yMDI2CAAAAAk1LzMxLzIwMjUJAAAAATBaKuR6RI3eCDI1mn5Ejd4IN0NJUS5OQVNEQVE6Q0FMTS5JUV9JTVBBSVJNRU5UX0dXLjk5NS4yOS8wMy8yMDI2Li4uVVNELkgBAAAAIHoFAAMAAAAAAKx45HpEjd4IlE6XfkSN3gg3Q0lRLk5BU0RBUTpDQUxNLklRX0VCSVREQV9FUV9JTkMuOTk3LjI5LzAzLzIwMjYuLi5VU0QuSAEAAAAgegUAAgAAAAcyMDguNzY2AQgAAAAFAAAAATEBAAAACy0xOTg2NzA4NDMzAwAAAAMxNjACAAAABTIxNjc3BAAAAAEwBwAAAAkzLzI5LzIwMjYIAAAACTUvMjgvMjAyMgkAAAABMBWf5HpEjd4IHRmUfkSN3ghBQ0lRLk5BU0RBUTpDQUxNLklRX0xFQVNFX0FESlVTVE1FTlRfRUJJVERBLjk5NS4yOS8wMy8yMDI2Li4uVVNELkgBAAAAIHoFAAIAAAADNC43ABWf5HpE</t>
  </si>
  <si>
    <t>jd4IFZ+TfkSN3gg1Q0lRLk5BU0RBUTpDQUxNLklRX0VCSVRfRVFfSU5DLjk5Ny4yOS8wMy8yMDI2Li4uVVNELkgBAAAAIHoFAAIAAAAHMTQwLjM3MQEIAAAABQAAAAExAQAAAAstMTk4NjcwODQzMwMAAAADMTYwAgAAAAUyMTY3NQQAAAABMAcAAAAJMy8yOS8yMDI2CAAAAAk1LzI4LzIwMjIJAAAAATBBxuR6RI3eCAI9k35Ejd4IOENJUS5OQVNEQVE6Q0FMTS5JUV9FQklUREFSX0VRX0lOQy45OTUuMjkvMDMvMjAyNi4uLlVTRC5IAQAAACB6BQADAAAAAABXC5Z6RI3eCOF5kn5Ejd4INENJUS5OQVNEQVE6Q0FMTS5JUV9DVVJSX1RBWEVTLjk5OS4yOS8wMy8yMDI2Li4uVVNELkgBAAAAIHoFAAIAAAAGOTMuMzYxAQgAAAAFAAAAATEBAAAACy0xOTM0OTc4NDgwAwAAAAMxNjACAAAABTM1MzgzBAAAAAEwBwAAAAkzLzI5LzIwMjYIAAAACDYvMS8yMDI0CQAAAAEwVwuWekSN3ggV35B+RI3eCD5DSVEuTkFTREFROkNBTE0uSVFfTUlOT1JJVFlfSU5URVJFU1RfSVMuOTk4LjI5LzAzLzIwMjYuLi5VU0QuSAEAAAAgegUAAgAAAAUxLjI5MgEIAAAABQAAAAExAQAAAAstMTkzNDk3ODQyMAMAAAADMTYwAgAAAAI4MwQAAAABMAcAAAAJMy8yOS8yMDI2CAAAAAg2LzMvMjAyMwkAAAABMKx45HpEjd4I5LOVfkSN3gg4Q0lRLk5BU0RBUTpDQUxNLklRX0JBU0lDX0VQU19FWENMLjk5My4yOS8wMy8yMDI2Li4uVVNELkgB</t>
  </si>
  <si>
    <t>AAAAIHoFAAIAAAAIMi42MDQ0MjkBCAAAAAUAAAABMQEAAAAKMjA0NTc0OTMxMAMAAAADMTYwAgAAAAQzMDY0BAAAAAEwBwAAAAkzLzI5LzIwMjYIAAAACDYvMi8yMDE4CQAAAAEwrHjkekSN3gilPpV+RI3eCDhDSVEuTkFTREFROkNBTE0uSVFfRElMVVRfRVBTX0lOQ0wuOTk2LjI5LzAzLzIwMjYuLi5VU0QuSAEAAAAgegUAAgAAAAQwLjA0AQgAAAAFAAAAATEBAAAACy0yMDM3MjQxNzIxAwAAAAMxNjACAAAAATgEAAAAATAHAAAACTMvMjkvMjAyNggAAAAJNS8yOS8yMDIxCQAAAAEwFZ/kekSN3giWF5V+RI3eCDJDSVEuTkFTREFROkNBTE0uSVFfRVBTX05PUk0uOTk1LjI5LzAzLzIwMjYuLi5VU0QuSAEAAAAgegUAAgAAAAgwLjI1OTIzMwEIAAAABQAAAAExAQAAAAstMjA4ODM0NzQ2OQMAAAADMTYwAgAAAAQ0Mzc5BAAAAAEwBwAAAAkzLzI5LzIwMjYIAAAACTUvMzAvMjAyMAkAAAABMBWf5HpEjd4IcrWUfkSN3gg7Q0lRLk5BU0RBUTpDQUxNLklRX1NQRUNJQUxfRElWX1NIQVJFLjk5Ny4yOS8wMy8yMDI2Li4uVVNELkgBAAAAIHoFAAMAAAAAABWf5HpEjd4IHRmUfkSN3gg5Q0lRLk5BU0RBUTpDQUxNLklRX0dBSU5fSU5WRVNUX1JFVi45OTguMjkvMDMvMjAyNi4uLlVTRC5IAQAAACB6BQADAAAAAABaKuR6RI3eCDeDmn5Ejd4INENJUS5OQVNEQVE6Q0FMTS5JUV9JTVBBSVJfT0lMLjk5NS4yOS8wMy8y</t>
  </si>
  <si>
    <t>MDI2Li4uVVNELkgBAAAAIHoFAAMAAAAAAIFR5HpEjd4IWOmYfkSN3gg+Q0lRLk5BU0RBUTpDQUxNLklRX01JTk9SSVRZX0lOVEVSRVNUX0lTLjk5OS4yOS8wMy8yMDI2Li4uVVNELkgBAAAAIHoFAAIAAAAFMS42MDYBCAAAAAUAAAABMQEAAAALLTE5MzQ5Nzg0ODADAAAAAzE2MAIAAAACODMEAAAAATAHAAAACTMvMjkvMjAyNggAAAAINi8xLzIwMjQJAAAAATCseOR6RI3eCOSzlX5Ejd4IMkNJUS5OQVNEQVE6Q0FMTS5JUV9FUFNfTk9STS45OTYuMjkvMDMvMjAyNi4uLlVTRC5IAQAAACB6BQACAAAACS0wLjA3MjMzOAEIAAAABQAAAAExAQAAAAstMjAzNzI0MTcyMQMAAAADMTYwAgAAAAQ0Mzc5BAAAAAEwBwAAAAkzLzI5LzIwMjYIAAAACTUvMjkvMjAyMQkAAAABMBWf5HpEjd4IfdyUfkSN3ggxQ0lRLk5BU0RBUTpDQUxNLklRX0lOQ19UQVguOTk4LjI5LzAzLzIwMjYuLi5VU0QuSAEAAAAgegUAAgAAAAcyNDEuODE4AQgAAAAFAAAAATEBAAAACy0xOTM0OTc4NDIwAwAAAAMxNjACAAAAAjc1BAAAAAEwBwAAAAkzLzI5LzIwMjYIAAAACDYvMy8yMDIzCQAAAAEwrHjkekSN3ggcUJZ+RI3eCDZDSVEuTkFTREFROkNBTE0uSVFfTEVHQUxfU0VUVExFLjk5OC4yOS8wMy8yMDI2Li4uVVNELkgBAAAAIHoFAAMAAAAAAKx45HpEjd4IXrKWfkSN3ggwQ0lRLk5BU0RBUTpDQUxNLklRX0VCSVRBLjEwMDAuMjkvMDMv</t>
  </si>
  <si>
    <t>MjAyNi4uLlVTRC5IAQAAACB6BQACAAAACDE1NTMuNTk0AQgAAAAFAAAAATEBAAAACy0xOTM0OTc4MzgxAwAAAAMxNjACAAAABjEwMDY4OQQAAAABMAcAAAAJMy8yOS8yMDI2CAAAAAk1LzMxLzIwMjUJAAAAATBb5JV6RI3eCOrukn5Ejd4IOUNJUS5OQVNEQVE6Q0FMTS5JUV9HQUlOX0lOVkVTVF9SRVYuOTk5LjI5LzAzLzIwMjYuLi5VU0QuSAEAAAAgegUAAwAAAAAAWirkekSN3gg9qpp+RI3eCDhDSVEuTkFTREFROkNBTE0uSVFfRElMVVRfRVBTX0lOQ0wuOTk5LjI5LzAzLzIwMjYuLi5VU0QuSAEAAAAgegUAAgAAAAQ1LjY5AQgAAAAFAAAAATEBAAAACy0xOTM0OTc4NDgwAwAAAAMxNjACAAAAATgEAAAAATAHAAAACTMvMjkvMjAyNggAAAAINi8xLzIwMjQJAAAAATAVn+R6RI3eCKcDlX5Ejd4INUNJUS5OQVNEQVE6Q0FMTS5JUV9JUFJEX1NVUFBMRS45OTQuMjkvMDMvMjAyNi4uLlVTRC5IAQAAACB6BQADAAAAAACUgJZ6RI3eCBdljH5Ejd4IMUNJUS5OQVNEQVE6Q0FMTS5JUV9OSV9TRkFTLjk5NS4yOS8wMy8yMDI2Li4uVVNELkgBAAAAIHoFAAMAAAAAAFcLlnpEjd4IVHuRfkSN3ghBQ0lRLk5BU0RBUTpDQUxNLklRX1NBTEFSSUVTX09USEVSX0JFTkVGSVRTLjk5My4yOS8wMy8yMDI2Li4uVVNELkgBAAAAIHoFAAMAAAAAAIpZlnpEjd4IeQGNfkSN3gg5Q0lRLk5BU0RBUTpDQUxNLklRX09USEVSX1JF</t>
  </si>
  <si>
    <t>Vl9TVVBQTC45OTkuMjkvMDMvMjAyNi4uLlVTRC5IAQAAACB6BQADAAAAAABaKuR6RI3eCDeDmn5Ejd4IOkNJUS5OQVNEQVE6Q0FMTS5JUV9GSU5fRElWX0lOVF9FWFAuMTAwMC4yOS8wMy8yMDI2Li4uVVNELkgBAAAAIHoFAAMAAAAAAIFR5HpEjd4IDOeZfkSN3gg6Q0lRLk5BU0RBUTpDQUxNLklRX1RPVEFMX09USEVSX09QRVIuOTk1LjI5LzAzLzIwMjYuLi5VU0QuSAEAAAAgegUAAgAAAAcxNzguMjM3AQgAAAAFAAAAATEBAAAACy0yMDg4MzQ3NDY5AwAAAAMxNjACAAAAAzM4MAQAAAABMAcAAAAJMy8yOS8yMDI2CAAAAAk1LzMwLzIwMjAJAAAAATCBUeR6RI3eCAvCmH5Ejd4IOkNJUS5OQVNEQVE6Q0FMTS5JUV9PVEhFUl9SRVZfU1VQUEwuMTAwMC4yOS8wMy8yMDI2Li4uVVNELkgBAAAAIHoFAAMAAAAAAFoq5HpEjd4IN4OafkSN3gg6Q0lRLk5BU0RBUTpDQUxNLklRX1RPVEFMX09USEVSX09QRVIuOTk2LjI5LzAzLzIwMjYuLi5VU0QuSAEAAAAgegUAAgAAAAcxODMuOTQzAQgAAAAFAAAAATEBAAAACy0yMDM3MjQxNzIxAwAAAAMxNjACAAAAAzM4MAQAAAABMAcAAAAJMy8yOS8yMDI2CAAAAAk1LzI5LzIwMjEJAAAAATCBUeR6RI3eCCKbmH5Ejd4ILkNJUS5OQVNEQVE6Q0FMTS5JUV9JUFJELjk5NC4yOS8wMy8yMDI2Li4uVVNELkgBAAAAIHoFAAMAAAAAAKx45HpEjd4IcgCXfkSN3ggxQ0lRLk5BU0RB</t>
  </si>
  <si>
    <t>UTpDQUxNLklRX0lOQ19UQVguOTk0LjI5LzAzLzIwMjYuLi5VU0QuSAEAAAAgegUAAgAAAAYxNS43NDMBCAAAAAUAAAABMQEAAAALLTIxNDI0MjkwMzkDAAAAAzE2MAIAAAACNzUEAAAAATAHAAAACTMvMjkvMjAyNggAAAAINi8xLzIwMTkJAAAAATCseOR6RI3eCBxQln5Ejd4IOENJUS5OQVNEQVE6Q0FMTS5JUV9QUkVGX0RJVl9PVEhFUi45OTkuMjkvMDMvMjAyNi4uLlVTRC5IAQAAACB6BQADAAAAAACseOR6RI3eCPOMlX5Ejd4INENJUS5OQVNEQVE6Q0FMTS5JUV9OSV9DT01QQU5ZLjk5NC4yOS8wMy8yMDI2Li4uVVNELkgBAAAAIHoFAAIAAAAGNTUuMDYyAQgAAAAFAAAAATEBAAAACy0yMTQyNDI5MDM5AwAAAAMxNjACAAAABTQxNTcxBAAAAAEwBwAAAAkzLzI5LzIwMjYIAAAACDYvMS8yMDE5CQAAAAEwrHjkekSN3ggT25V+RI3eCEtDSVEuTkFTREFROkNBTE0uSVFfRUJJVERBX0VRX0lOQ19FWENMX09QRVJfTEVBU0VfQURKLjk5OS4yOS8wMy8yMDI2Li4uVVNELkgBAAAAIHoFAAIAAAAHMzk1Ljc1NQEIAAAABQAAAAExAQAAAAstMTkzNDk3ODQ4MAMAAAADMTYwAgAAAAU0ODk4NwQAAAABMAcAAAAJMy8yOS8yMDI2CAAAAAg2LzEvMjAyNAkAAAABMBWf5HpEjd4IzXeTfkSN3gg6Q0lRLk5BU0RBUTpDQUxNLklRX0lOVF9FWFBfSU5DTF9DQVAuOTk2LjI5LzAzLzIwMjYuLi5VU0QuSAEAAAAgegUAAgAA</t>
  </si>
  <si>
    <t>AAUwLjIxMwEIAAAABQAAAAExAQAAAAstMjAzNzI0MTcyMQMAAAADMTYwAgAAAAUyMTg2MQQAAAABMAcAAAAJMy8yOS8yMDI2CAAAAAk1LzI5LzIwMjEJAAAAATB9MpZ6RI3eCKySj35Ejd4IM0NJUS5OQVNEQVE6Q0FMTS5JUV9EQV9TVVBQTC4xMDAwLjI5LzAzLzIwMjYuLi5VU0QuSAEAAAAgegUAAwAAAAAAgVHkekSN3ghY6Zh+RI3eCDhDSVEuTkFTREFROkNBTE0uSVFfUFJFRl9ESVZfT1RIRVIuOTk1LjI5LzAzLzIwMjYuLi5VU0QuSAEAAAAgegUAAwAAAAAArHjkekSN3gjzjJV+RI3eCDdDSVEuTkFTREFROkNBTE0uSVFfRUJJVF9FWENMX1NCQy45OTkuMjkvMDMvMjAyNi4uLlVTRC5IAQAAACB6BQACAAAABzMxOC40NTIBCAAAAAUAAAABMQEAAAALLTE5MzQ5Nzg0ODADAAAAAzE2MAIAAAAFMjQxMzQEAAAAATAHAAAACTMvMjkvMjAyNggAAAAINi8xLzIwMjQJAAAAATBBxuR6RI3eCAgWk35Ejd4ITENJUS5OQVNEQVE6Q0FMTS5JUV9QUk9WX0JBRF9ERUJUU19QQVRJRU5UX1NFUlZJQ0VfUkVWLjk5My4yOS8wMy8yMDI2Li4uVVNELkgBAAAAIHoFAAMAAAAAAFcLlnpEjd4IY6KRfkSN3gg1Q0lRLk5BU0RBUTpDQUxNLklRX0lOVF9JTlZfSU5DLjk5OC4yOS8wMy8yMDI2Li4uVVNELkgBAAAAIHoFAAMAAAAAAFoq5HpEjd4IN4OafkSN3gg0Q0lRLk5BU0RBUTpDQUxNLklRX09USEVSX09QRVIuOTk1LjI5</t>
  </si>
  <si>
    <t>LzAzLzIwMjYuLi5VU0QuSAEAAAAgegUAAwAAAAAAgVHkekSN3ggLwph+RI3eCDVDSVEuTkFTREFROkNBTE0uSVFfUkVTVFJVQ1RVUkUuOTk1LjI5LzAzLzIwMjYuLi5VU0QuSAEAAAAgegUAAwAAAAAArHjkekSN3giZdZd+RI3eCEtDSVEuTkFTREFROkNBTE0uSVFfRUJJVERBX0VRX0lOQ19FWENMX09QRVJfTEVBU0VfQURKLjk5NS4yOS8wMy8yMDI2Li4uVVNELkgBAAAAIHoFAAIAAAAGNTkuOTg4AQgAAAAFAAAAATEBAAAACy0yMDg4MzQ3NDY5AwAAAAMxNjACAAAABTQ4OTg3BAAAAAEwBwAAAAkzLzI5LzIwMjYIAAAACTUvMzAvMjAyMAkAAAABMBWf5HpEjd4IzXeTfkSN3gg+Q0lRLk5BU0RBUTpDQUxNLklRX0RFRkVSUkVEX1RBWEVTX1RPVEFMLjk5My4yOS8wMy8yMDI2Li4uVVNELkgBAAAAIHoFAAIAAAAHLTMzLjgwOQEIAAAABQAAAAExAQAAAAoyMDQ1NzQ5MzEwAwAAAAMxNjACAAAABTM1Mzg1BAAAAAEwBwAAAAkzLzI5LzIwMjYIAAAACDYvMi8yMDE4CQAAAAEwVwuWekSN3ggTkZB+RI3eCDlDSVEuTkFTREFROkNBTE0uSVFfR0FJTl9BU1NFVFNfUkVWLjk5My4yOS8wMy8yMDI2Li4uVVNELkgBAAAAIHoFAAMAAAAAAFoq5HpEjd4IPaqafkSN3gg1Q0lRLk5BU0RBUTpDQUxNLklRX1JFU1RSVUNUVVJFLjk5Ny4yOS8wMy8yMDI2Li4uVVNELkgBAAAAIHoFAAMAAAAAAKx45HpEjd4ImXWXfkSN3ggt</t>
  </si>
  <si>
    <t>Q0lRLk5BU0RBUTpDQUxNLklRX0VCVC45OTQuMjkvMDMvMjAyNi4uLlVTRC5IAQAAACB6BQACAAAABjcwLjgwNQEIAAAABQAAAAExAQAAAAstMjE0MjQyOTAzOQMAAAADMTYwAgAAAAMxMzkEAAAAATAHAAAACTMvMjkvMjAyNggAAAAINi8xLzIwMTkJAAAAATCseOR6RI3eCPKKln5Ejd4IQENJUS5OQVNEQVE6Q0FMTS5JUV9FQklUQV9FUV9JTkNfRVhDTF9TQkMuMTAwMC4yOS8wMy8yMDI2Li4uVVNELkgBAAAAIHoFAAIAAAAIMTU2NC4zNDIBCAAAAAUAAAABMQEAAAALLTE5MzQ5NzgzODEDAAAAAzE2MAIAAAAFMjQxMzIEAAAAATAHAAAACTMvMjkvMjAyNggAAAAJNS8zMS8yMDI1CQAAAAEwW+SVekSN3gjbx5J+RI3eCExDSVEuTkFTREFROkNBTE0uSVFfSU5URVJFU1RfRVhQX0xFQVNFX0xJQUJJTElUWV9ERUJULjEwMDAuMjkvMDMvMjAyNi4uLlVTRC5IAQAAACB6BQADAAAAAAB9MpZ6RI3eCH+5j35Ejd4INUNJUS5OQVNEQVE6Q0FMTS5JUV9SRVNUUlVDVFVSRS45OTguMjkvMDMvMjAyNi4uLlVTRC5IAQAAACB6BQADAAAAAACseOR6RI3eCJl1l35Ejd4INENJUS5OQVNEQVE6Q0FMTS5JUV9OSV9DT01QQU5ZLjk5Ni4yOS8wMy8yMDI2Li4uVVNELkgBAAAAIHoFAAIAAAAEMi4wNgEIAAAABQAAAAExAQAAAAstMjAzNzI0MTcyMQMAAAADMTYwAgAAAAU0MTU3MQQAAAABMAcAAAAJMy8yOS8yMDI2CAAAAAk1</t>
  </si>
  <si>
    <t>LzI5LzIwMjEJAAAAATCseOR6RI3eCBPblX5Ejd4ITkNJUS5OQVNEQVE6Q0FMTS5JUV9ESVNUUklCVVRBQkxFX0NBU0hfUEVSX1NIQVJFX0RJTFVURUQuOTk0LjI5LzAzLzIwMjYuLi5VU0QuSAEAAAAgegUAAwAAAAAAFZ/kekSN3ghytZR+RI3eCDdDSVEuTkFTREFROkNBTE0uSVFfUFJFX09QRU5fQ09TVC45OTguMjkvMDMvMjAyNi4uLlVTRC5IAQAAACB6BQADAAAAAACBUeR6RI3eCFU3mX5Ejd4IPkNJUS5OQVNEQVE6Q0FMTS5JUV9FQklUX0VRX0lOQ19FWENMX1NCQy45OTguMjkvMDMvMjAyNi4uLlVTRC5IAQAAACB6BQACAAAABzk2OS4yMDEBCAAAAAUAAAABMQEAAAALLTE5MzQ5Nzg0MjADAAAAAzE2MAIAAAAFMjQxMzAEAAAAATAHAAAACTMvMjkvMjAyNggAAAAINi8zLzIwMjMJAAAAATBBxuR6RI3eCAgWk35Ejd4INUNJUS5OQVNEQVE6Q0FMTS5JUV9JTlRfSU5WX0lOQy45OTQuMjkvMDMvMjAyNi4uLlVTRC5IAQAAACB6BQADAAAAAABaKuR6RI3eCDeDmn5Ejd4IOENJUS5OQVNEQVE6Q0FMTS5JUV9FWFBMT1JFX0RSSUxMLjEwMDAuMjkvMDMvMjAyNi4uLlVTRC5IAQAAACB6BQADAAAAAACBUeR6RI3eCGCFmX5Ejd4IOUNJUS5OQVNEQVE6Q0FMTS5JUV9ESUxVVF9FUFNfRVhDTC4xMDAwLjI5LzAzLzIwMjYuLi5VU0QuSAEAAAAgegUAAgAAAAUyNC45NQEIAAAABQAAAAExAQAAAAstMTkzNDk3ODM4</t>
  </si>
  <si>
    <t>MQMAAAADMTYwAgAAAAMxNDIEAAAAATAHAAAACTMvMjkvMjAyNggAAAAJNS8zMS8yMDI1CQAAAAEwFZ/kekSN3gh93JR+RI3eCDFDSVEuTkFTREFROkNBTE0uSVFfTklfTk9STS45OTQuMjkvMDMvMjAyNi4uLlVTRC5IAQAAACB6BQACAAAACDQzLjQyNTc1AQgAAAAFAAAAATEBAAAACy0yMTQyNDI5MDM5AwAAAAMxNjACAAAABDQzNzgEAAAAATAHAAAACTMvMjkvMjAyNggAAAAINi8xLzIwMTkJAAAAATB9MpZ6RI3eCMMukH5Ejd4IM0NJUS5OQVNEQVE6Q0FMTS5JUV9EQV9FQklUREEuOTk5LjI5LzAzLzIwMjYuLi5VU0QuSAEAAAAgegUAAgAAAAY4MC4yNDEBCAAAAAUAAAABMQEAAAALLTE5MzQ5Nzg0ODADAAAAAzE2MAIAAAAEMjIwNgQAAAABMAcAAAAJMy8yOS8yMDI2CAAAAAg2LzEvMjAyNAkAAAABMH0ylnpEjd4InGuPfkSN3ggtQ0lRLk5BU0RBUTpDQUxNLklRX0RJQy45OTcuMjkvMDMvMjAyNi4uLlVTRC5IAQAAACB6BQADAAAAAAB9MpZ6RI3eCGfqjn5Ejd4IN0NJUS5OQVNEQVE6Q0FMTS5JUV9JTVBBSVJNRU5UX0dXLjk5Ny4yOS8wMy8yMDI2Li4uVVNELkgBAAAAIHoFAAMAAAAAAKx45HpEjd4IlE6XfkSN3gg1Q0lRLk5BU0RBUTpDQUxNLklRX0lOVF9JTlZfSU5DLjk5NS4yOS8wMy8yMDI2Li4uVVNELkgBAAAAIHoFAAMAAAAAAFoq5HpEjd4IN4OafkSN3gg7Q0lRLk5BU0RBUTpDQUxNLklRX1NQ</t>
  </si>
  <si>
    <t>RUNJQUxfRElWX1NIQVJFLjk5NC4yOS8wMy8yMDI2Li4uVVNELkgBAAAAIHoFAAMAAAAAABWf5HpEjd4IbECUfkSN3ggwQ0lRLk5BU0RBUTpDQUxNLklRX0VCSVREQS45OTMuMjkvMDMvMjAyNi4uLlVTRC5IAQAAACB6BQACAAAABzIzNS43NTYBCAAAAAUAAAABMQEAAAAKMjA0NTc0OTMxMAMAAAADMTYwAgAAAAQ0MDUxBAAAAAEwBwAAAAkzLzI5LzIwMjYIAAAACDYvMi8yMDE4CQAAAAEwFZ/kekSN3ghsQJR+RI3eCC5DSVEuTkFTREFROkNBTE0uSVFfRUJJVC45OTkuMjkvMDMvMjAyNi4uLlVTRC5IAQAAACB6BQACAAAABzMxNC4wOTQBCAAAAAUAAAABMQEAAAALLTE5MzQ5Nzg0ODADAAAAAzE2MAIAAAADNDAwBAAAAAEwBwAAAAkzLzI5LzIwMjYIAAAACDYvMS8yMDI0CQAAAAEwQcbkekSN3ggCPZN+RI3eCDFDSVEuTkFTREFROkNBTE0uSVFfRUJJVERBUi45OTYuMjkvMDMvMjAyNi4uLlVTRC5IAQAAACB6BQADAAAAAABXC5Z6RI3eCM2gkn5Ejd4IO0NJUS5OQVNEQVE6Q0FMTS5JUV9GRUVTX09USEVSX0lOQ09NRS45OTQuMjkvMDMvMjAyNi4uLlVTRC5IAQAAACB6BQADAAAAAABXC5Z6RI3eCJQrkn5Ejd4IMUNJUS5OQVNEQVE6Q0FMTS5JUV9JTkNfVEFYLjk5NS4yOS8wMy8yMDI2Li4uVVNELkgBAAAAIHoFAAIAAAAFMS43MzEBCAAAAAUAAAABMQEAAAALLTIwODgzNDc0NjkDAAAAAzE2MAIAAAACNzUE</t>
  </si>
  <si>
    <t>AAAAATAHAAAACTMvMjkvMjAyNggAAAAJNS8zMC8yMDIwCQAAAAEwrHjkekSN3ggcUJZ+RI3eCD5DSVEuTkFTREFROkNBTE0uSVFfTUlOT1JJVFlfSU5URVJFU1RfSVMuOTk0LjI5LzAzLzIwMjYuLi5VU0QuSAEAAAAgegUAAgAAAAYtMC44MzMBCAAAAAUAAAABMQEAAAALLTIxNDI0MjkwMzkDAAAAAzE2MAIAAAACODMEAAAAATAHAAAACTMvMjkvMjAyNggAAAAINi8xLzIwMTkJAAAAATCseOR6RI3eCBPblX5Ejd4IOENJUS5OQVNEQVE6Q0FMTS5JUV9CQVNJQ19FUFNfSU5DTC45OTQuMjkvMDMvMjAyNi4uLlVTRC5IAQAAACB6BQACAAAACDEuMTE4ODg1AQgAAAAFAAAAATEBAAAACy0yMTQyNDI5MDM5AwAAAAMxNjACAAAAATkEAAAAATAHAAAACTMvMjkvMjAyNggAAAAINi8xLzIwMTkJAAAAATCseOR6RI3eCORllX5Ejd4IOENJUS5OQVNEQVE6Q0FMTS5JUV9ESUxVVF9FUFNfSU5DTC45OTQuMjkvMDMvMjAyNi4uLlVTRC5IAQAAACB6BQACAAAACDEuMTE4ODg1AQgAAAAFAAAAATEBAAAACy0yMTQyNDI5MDM5AwAAAAMxNjACAAAAATgEAAAAATAHAAAACTMvMjkvMjAyNggAAAAINi8xLzIwMTkJAAAAATAVn+R6RI3eCJYXlX5Ejd4INENJUS5OQVNEQVE6Q0FMTS5JUV9ESVZfU0hBUkUuMTAwMC4yOS8wMy8yMDI2Li4uVVNELkgBAAAAIHoFAAIAAAAFOC4zNTcBCAAAAAUAAAABMQEAAAALLTE5MzQ5NzgzODED</t>
  </si>
  <si>
    <t>AAAAAzE2MAIAAAAEMzA1OAQAAAABMAcAAAAJMy8yOS8yMDI2CAAAAAk1LzMxLzIwMjUJAAAAATAVn+R6RI3eCEmOlH5Ejd4INENJUS5OQVNEQVE6Q0FMTS5JUV9JTkNfRVFVSVRZLjk5Ni4yOS8wMy8yMDI2Li4uVVNELkgBAAAAIHoFAAIAAAAFMC42MjIBCAAAAAUAAAABMQEAAAALLTIwMzcyNDE3MjEDAAAAAzE2MAIAAAACNDcEAAAAATAHAAAACTMvMjkvMjAyNggAAAAJNS8yOS8yMDIxCQAAAAEwgVHkekSN3gjS6pd+RI3eCEJDSVEuTkFTREFROkNBTE0uSVFfT1RIRVJfTk9OX09QRVJfRVhQX1NVUFBMLjk5My4yOS8wMy8yMDI2Li4uVVNELkgBAAAAIHoFAAIAAAAEMS42MwEIAAAABQAAAAExAQAAAAoyMDQ1NzQ5MzEwAwAAAAMxNjACAAAAAjg1BAAAAAEwBwAAAAkzLzI5LzIwMjYIAAAACDYvMi8yMDE4CQAAAAEwgVHkekSN3gi0nJd+RI3eCDVDSVEuTkFTREFROkNBTE0uSVFfUkVTVFJVQ1RVUkUuOTk5LjI5LzAzLzIwMjYuLi5VU0QuSAEAAAAgegUAAwAAAAAArHjkekSN3giZdZd+RI3eCC5DSVEuTkFTREFROkNBTE0uSVFfSVBSRC45OTUuMjkvMDMvMjAyNi4uLlVTRC5IAQAAACB6BQADAAAAAACseOR6RI3eCHIAl35Ejd4IN0NJUS5OQVNEQVE6Q0FMTS5JUV9MRUdBTF9TRVRUTEUuMTAwMC4yOS8wMy8yMDI2Li4uVVNELkgBAAAAIHoFAAMAAAAAAKx45HpEjd4IXrKWfkSN3gg5Q0lRLk5BU0RBUTpD</t>
  </si>
  <si>
    <t>QUxNLklRX0ZJTl9ESVZfSU5UX0VYUC45OTUuMjkvMDMvMjAyNi4uLlVTRC5IAQAAACB6BQADAAAAAACBUeR6RI3eCB8Omn5Ejd4IOUNJUS5OQVNEQVE6Q0FMTS5JUV9QUk9WX0JBRF9ERUJUUy4xMDAwLjI5LzAzLzIwMjYuLi5VU0QuSAEAAAAgegUAAwAAAAAAgVHkekSN3ghtXpl+RI3eCDBDSVEuTkFTREFROkNBTE0uSVFfUkRfRVhQLjk5NS4yOS8wMy8yMDI2Li4uVVNELkgBAAAAIHoFAAMAAAAAAIFR5HpEjd4IVTeZfkSN3gg0Q0lRLk5BU0RBUTpDQUxNLklRX09USEVSX09QRVIuOTk5LjI5LzAzLzIwMjYuLi5VU0QuSAEAAAAgegUAAwAAAAAAgVHkekSN3ggim5h+RI3eCDZDSVEuTkFTREFROkNBTE0uSVFfSU5URVJFU1RfRVhQLjk5My4yOS8wMy8yMDI2Li4uVVNELkgBAAAAIHoFAAIAAAAGLTAuMjY1AQgAAAAFAAAAATEBAAAACjIwNDU3NDkzMTADAAAAAzE2MAIAAAACODIEAAAAATAHAAAACTMvMjkvMjAyNggAAAAINi8yLzIwMTgJAAAAATCBUeR6RI3eCPxMmH5Ejd4IPkNJUS5OQVNEQVE6Q0FMTS5JUV9NSU5PUklUWV9JTlRFUkVTVF9JUy45OTYuMjkvMDMvMjAyNi4uLlVTRC5IAQAAACB6BQADAAAAAACseOR6RI3eCBPblX5Ejd4IMUNJUS5OQVNEQVE6Q0FMTS5JUV9FQklUREFSLjk5OC4yOS8wMy8yMDI2Li4uVVNELkgBAAAAIHoFAAMAAAAAAFcLlnpEjd4IzaCSfkSN3ggtQ0lRLk5BU0RBUTpD</t>
  </si>
  <si>
    <t>QUxNLklRX0RJQy45OTUuMjkvMDMvMjAyNi4uLlVTRC5IAQAAACB6BQADAAAAAAB9MpZ6RI3eCGfqjn5Ejd4INUNJUS5OQVNEQVE6Q0FMTS5JUV9GSU5fRElWX1JFVi45OTguMjkvMDMvMjAyNi4uLlVTRC5IAQAAACB6BQADAAAAAABaKuR6RI3eCGfRmn5Ejd4ILkNJUS5OQVNEQVE6Q0FMTS5JUV9DT0dTLjk5OS4yOS8wMy8yMDI2Li4uVVNELkgBAAAAIHoFAAIAAAAIMTc4NC44NzIBCAAAAAUAAAABMQEAAAALLTE5MzQ5Nzg0ODADAAAAAzE2MAIAAAACMzQEAAAAATAHAAAACTMvMjkvMjAyNggAAAAINi8xLzIwMjQJAAAAATBaKuR6RI3eCDI1mn5Ejd4IO0NJUS5OQVNEQVE6Q0FMTS5JUV9ORVRfSU5URVJFU1RfRVhQLjEwMDAuMjkvMDMvMjAyNi4uLlVTRC5IAQAAACB6BQACAAAABjU5LjI1NgEIAAAABQAAAAExAQAAAAstMTkzNDk3ODM4MQMAAAADMTYwAgAAAAMzNjgEAAAAATAHAAAACTMvMjkvMjAyNggAAAAJNS8zMS8yMDI1CQAAAAEwgVHkekSN3gjS6pd+RI3eCEJDSVEuTkFTREFROkNBTE0uSVFfT1RIRVJfTk9OX09QRVJfRVhQX1NVUFBMLjk5NS4yOS8wMy8yMDI2Li4uVVNELkgBAAAAIHoFAAIAAAAFMy41NTcBCAAAAAUAAAABMQEAAAALLTIwODgzNDc0NjkDAAAAAzE2MAIAAAACODUEAAAAATAHAAAACTMvMjkvMjAyNggAAAAJNS8zMC8yMDIwCQAAAAEwgVHkekSN3gjUw5d+RI3eCDVDSVEuTkFT</t>
  </si>
  <si>
    <t>REFROkNBTE0uSVFfR0FJTl9JTlZFU1QuOTk0LjI5LzAzLzIwMjYuLi5VU0QuSAEAAAAgegUAAgAAAAUwLjAyNAEIAAAABQAAAAExAQAAAAstMjE0MjQyOTAzOQMAAAADMTYwAgAAAAI2MgQAAAABMAcAAAAJMy8yOS8yMDI2CAAAAAg2LzEvMjAxOQkAAAABMKx45HpEjd4IlE6XfkSN3gg2Q0lRLk5BU0RBUTpDQUxNLklRX0xFR0FMX1NFVFRMRS45OTUuMjkvMDMvMjAyNi4uLlVTRC5IAQAAACB6BQADAAAAAACseOR6RI3eCGTZln5Ejd4ILUNJUS5OQVNEQVE6Q0FMTS5JUV9FQlQuOTk5LjI5LzAzLzIwMjYuLi5VU0QuSAEAAAAgegUAAgAAAAczNTkuOTcxAQgAAAAFAAAAATEBAAAACy0xOTM0OTc4NDgwAwAAAAMxNjACAAAAAzEzOQQAAAABMAcAAAAJMy8yOS8yMDI2CAAAAAg2LzEvMjAyNAkAAAABMKx45HpEjd4IHFCWfkSN3ghDQ0lRLk5BU0RBUTpDQUxNLklRX0VBUk5JTkdfUEFSRU5UX0VYQ0xfRVhUUkEuOTk1LjI5LzAzLzIwMjYuLi5VU0QuSAEAAAAgegUAAgAAAAYxOC4zOTEBCAAAAAUAAAABMQEAAAALLTIwODgzNDc0NjkDAAAAAzE2MAIAAAAFNDE1OTYEAAAAATAHAAAACTMvMjkvMjAyNggAAAAJNS8zMC8yMDIwCQAAAAEwVwuWekSN3ghjopF+RI3eCDhDSVEuTkFTREFROkNBTE0uSVFfQUlSQ1JBRlRfUkVOVC4xMDAwLjI5LzAzLzIwMjYuLi5VU0QuSAEAAAAgegUAAwAAAAAAilmWekSN3giSio1+</t>
  </si>
  <si>
    <t>RI3eCDlDSVEuTkFTREFROkNBTE0uSVFfR0FJTl9BU1NFVFNfUkVWLjk5OS4yOS8wMy8yMDI2Li4uVVNELkgBAAAAIHoFAAMAAAAAAFoq5HpEjd4IPaqafkSN3ggzQ0lRLk5BU0RBUTpDQUxNLklRX1NHQV9TVVBQTC45OTMuMjkvMDMvMjAyNi4uLlVTRC5IAQAAACB6BQACAAAABzE3OS4zMTYBCAAAAAUAAAABMQEAAAAKMjA0NTc0OTMxMAMAAAADMTYwAgAAAAMxMDIEAAAAATAHAAAACTMvMjkvMjAyNggAAAAINi8yLzIwMTgJAAAAATCBUeR6RI3eCOG/mX5Ejd4IN0NJUS5OQVNEQVE6Q0FMTS5JUV9QUkVfT1BFTl9DT1NULjk5OS4yOS8wMy8yMDI2Li4uVVNELkgBAAAAIHoFAAMAAAAAAIFR5HpEjd4IVTeZfkSN3gg1Q0lRLk5BU0RBUTpDQUxNLklRX0dBSU5fSU5WRVNULjk5NS4yOS8wMy8yMDI2Li4uVVNELkgBAAAAIHoFAAIAAAAFMC4xMzkBCAAAAAUAAAABMQEAAAALLTIwODgzNDc0NjkDAAAAAzE2MAIAAAACNjIEAAAAATAHAAAACTMvMjkvMjAyNggAAAAJNS8zMC8yMDIwCQAAAAEwrHjkekSN3giUTpd+RI3eCC5DSVEuTkFTREFROkNBTE0uSVFfRUJULjEwMDAuMjkvMDMvMjAyNi4uLlVTRC5IAQAAACB6BQACAAAACDE2MDMuMTQyAQgAAAAFAAAAATEBAAAACy0xOTM0OTc4MzgxAwAAAAMxNjACAAAAAzEzOQQAAAABMAcAAAAJMy8yOS8yMDI2CAAAAAk1LzMxLzIwMjUJAAAAATCseOR6RI3eCBxQln5E</t>
  </si>
  <si>
    <t>jd4ILENJUS5OQVNEQVE6Q0FMTS5JUV9ETy45OTUuMjkvMDMvMjAyNi4uLlVTRC5IAQAAACB6BQADAAAAAACseOR6RI3eCB4pln5Ejd4IOENJUS5OQVNEQVE6Q0FMTS5JUV9OSV9BVkFJTF9FWENMLjEwMDAuMjkvMDMvMjAyNi4uLlVTRC5IAQAAACB6BQACAAAACDEyMjAuMDQ4AQgAAAAFAAAAATEBAAAACy0xOTM0OTc4MzgxAwAAAAMxNjACAAAAAzM3OQQAAAABMAcAAAAJMy8yOS8yMDI2CAAAAAk1LzMxLzIwMjUJAAAAATCseOR6RI3eCKU+lX5Ejd4IL0NJUS5OQVNEQVE6Q0FMTS5JUV9FQklUQS45OTguMjkvMDMvMjAyNi4uLlVTRC5IAQAAACB6BQACAAAABzk2Ni40ODQBCAAAAAUAAAABMQEAAAALLTE5MzQ5Nzg0MjADAAAAAzE2MAIAAAAGMTAwNjg5BAAAAAEwBwAAAAkzLzI5LzIwMjYIAAAACDYvMy8yMDIzCQAAAAEwW+SVekSN3gjq7pJ+RI3eCDZDSVEuTkFTREFROkNBTE0uSVFfTEVHQUxfU0VUVExFLjk5Ny4yOS8wMy8yMDI2Li4uVVNELkgBAAAAIHoFAAMAAAAAAKx45HpEjd4IXrKWfkSN3ggzQ0lRLk5BU0RBUTpDQUxNLklRX0RJVl9TSEFSRS45OTYuMjkvMDMvMjAyNi4uLlVTRC5IAQAAACB6BQACAAAABTAuMDM0AQgAAAAFAAAAATEBAAAACy0yMDM3MjQxNzIxAwAAAAMxNjACAAAABDMwNTgEAAAAATAHAAAACTMvMjkvMjAyNggAAAAJNS8yOS8yMDIxCQAAAAEwFZ/kekSN3ghJjpR+RI3eCD1D</t>
  </si>
  <si>
    <t>SVEuTkFTREFROkNBTE0uSVFfQ1VSUl9ET01FU1RJQ19UQVhFUy45OTMuMjkvMDMvMjAyNi4uLlVTRC5IAQAAACB6BQACAAAABTI0Ljk1AQgAAAAFAAAAATEBAAAACjIwNDU3NDkzMTADAAAAAzE2MAIAAAAEMzAyNwQAAAABMAcAAAAJMy8yOS8yMDI2CAAAAAg2LzIvMjAxOAkAAAABMFcLlnpEjd4IIAaRfkSN3ggzQ0lRLk5BU0RBUTpDQUxNLklRX1NHQV9TVVBQTC45OTQuMjkvMDMvMjAyNi4uLlVTRC5IAQAAACB6BQACAAAABzE3Ny4wNDUBCAAAAAUAAAABMQEAAAALLTIxNDI0MjkwMzkDAAAAAzE2MAIAAAADMTAyBAAAAAEwBwAAAAkzLzI5LzIwMjYIAAAACDYvMS8yMDE5CQAAAAEwgVHkekSN3gjhv5l+RI3eCDpDSVEuTkFTREFROkNBTE0uSVFfTkVUX0lOVEVSRVNUX0VYUC45OTQuMjkvMDMvMjAyNi4uLlVTRC5IAQAAACB6BQACAAAABjE3LjgxNgEIAAAABQAAAAExAQAAAAstMjE0MjQyOTAzOQMAAAADMTYwAgAAAAMzNjgEAAAAATAHAAAACTMvMjkvMjAyNggAAAAINi8xLzIwMTkJAAAAATCBUeR6RI3eCJ0lmH5Ejd4IOENJUS5OQVNEQVE6Q0FMTS5JUV9DVVJSRU5DWV9HQUlOLjEwMDAuMjkvMDMvMjAyNi4uLlVTRC5IAQAAACB6BQADAAAAAACBUeR6RI3eCNTDl35Ejd4INUNJUS5OQVNEQVE6Q0FMTS5JUV9JTlNfU0VUVExFLjEwMDAuMjkvMDMvMjAyNi4uLlVTRC5IAQAAACB6BQADAAAAAACseOR6</t>
  </si>
  <si>
    <t>RI3eCF6yln5Ejd4IQkNJUS5OQVNEQVE6Q0FMTS5JUV9ESVNUUklCVVRBQkxFX0NBU0hfU0hBUkUuOTk3LjI5LzAzLzIwMjYuLi5VU0QuSAEAAAAgegUAAwAAAAAAFZ/kekSN3ghiZ5R+RI3eCDZDSVEuTkFTREFROkNBTE0uSVFfRUJJVERBX0NBUEVYLjk5My4yOS8wMy8yMDI2Li4uVVNELkgBAAAAIHoFAAIAAAAHMjE2LjA4NQEIAAAABQAAAAExAQAAAAoyMDQ1NzQ5MzEwAwAAAAMxNjACAAAABTM1Mzc5BAAAAAEwBwAAAAkzLzI5LzIwMjYIAAAACDYvMi8yMDE4CQAAAAEwVwuWekSN3giUK5J+RI3eCDRDSVEuTkFTREFROkNBTE0uSVFfT1RIRVJfT1BFUi45OTQuMjkvMDMvMjAyNi4uLlVTRC5IAQAAACB6BQADAAAAAACBUeR6RI3eCAvCmH5Ejd4ITENJUS5OQVNEQVE6Q0FMTS5JUV9QUk9WX0JBRF9ERUJUU19QQVRJRU5UX1NFUlZJQ0VfUkVWLjk5Ni4yOS8wMy8yMDI2Li4uVVNELkgBAAAAIHoFAAMAAAAAAFcLlnpEjd4IY6KRfkSN3gguQ0lRLk5BU0RBUTpDQUxNLklRX0NPR1MuOTk2LjI5LzAzLzIwMjYuLi5VU0QuSAEAAAAgegUAAgAAAAgxMTg4LjMyNgEIAAAABQAAAAExAQAAAAstMjAzNzI0MTcyMQMAAAADMTYwAgAAAAIzNAQAAAABMAcAAAAJMy8yOS8yMDI2CAAAAAk1LzI5LzIwMjEJAAAAATBaKuR6RI3eCDI1mn5Ejd4IN0NJUS5OQVNEQVE6Q0FMTS5JUV9QUkVfT1BFTl9DT1NULjk5NS4yOS8w</t>
  </si>
  <si>
    <t>My8yMDI2Li4uVVNELkgBAAAAIHoFAAMAAAAAAIFR5HpEjd4IVTeZfkSN3ghLQ0lRLk5BU0RBUTpDQUxNLklRX0VCSVREQV9FUV9JTkNfRVhDTF9PUEVSX0xFQVNFX0FESi45OTQuMjkvMDMvMjAyNi4uLlVTRC5IAQAAACB6BQACAAAABjEwNS4yNAEIAAAABQAAAAExAQAAAAstMjE0MjQyOTAzOQMAAAADMTYwAgAAAAU0ODk4NwQAAAABMAcAAAAJMy8yOS8yMDI2CAAAAAg2LzEvMjAxOQkAAAABMBWf5HpEjd4IzXeTfkSN3ghCQ0lRLk5BU0RBUTpDQUxNLklRX0VYQ0lTRV9UQVhFU19JTkNMX1NBTEVTLjEwMDAuMjkvMDMvMjAyNi4uLlVTRC5IAQAAACB6BQADAAAAAABXC5Z6RI3eCCAGkX5Ejd4IN0NJUS5OQVNEQVE6Q0FMTS5JUV9OSV9BVkFJTF9FWENMLjk5OC4yOS8wMy8yMDI2Li4uVVNELkgBAAAAIHoFAAIAAAAHNzU4LjAyNAEIAAAABQAAAAExAQAAAAstMTkzNDk3ODQyMAMAAAADMTYwAgAAAAMzNzkEAAAAATAHAAAACTMvMjkvMjAyNggAAAAINi8zLzIwMjMJAAAAATCseOR6RI3eCORllX5Ejd4IMkNJUS5OQVNEQVE6Q0FMTS5JUV9EQV9TVVBQTC45OTUuMjkvMDMvMjAyNi4uLlVTRC5IAQAAACB6BQADAAAAAACBUeR6RI3eCDwQmX5Ejd4IOENJUS5OQVNEQVE6Q0FMTS5JUV9ESUxVVF9FUFNfTk9STS45OTguMjkvMDMvMjAyNi4uLlVTRC5IAQAAACB6BQACAAAACTEyLjgwNTE0MwEIAAAABQAAAAEx</t>
  </si>
  <si>
    <t>AQAAAAstMTkzNDk3ODQyMAMAAAADMTYwAgAAAAQ0MzgwBAAAAAEwBwAAAAkzLzI5LzIwMjYIAAAACDYvMy8yMDIzCQAAAAEwFZ/kekSN3ghytZR+RI3eCDVDSVEuTkFTREFROkNBTE0uSVFfSU5UX0lOVl9JTkMuOTkzLjI5LzAzLzIwMjYuLi5VU0QuSAEAAAAgegUAAwAAAAAAWirkekSN3gg3g5p+RI3eCDNDSVEuTkFTREFROkNBTE0uSVFfRElWX1NIQVJFLjk5NC4yOS8wMy8yMDI2Li4uVVNELkgBAAAAIHoFAAIAAAAFMC41MDYBCAAAAAUAAAABMQEAAAALLTIxNDI0MjkwMzkDAAAAAzE2MAIAAAAEMzA1OAQAAAABMAcAAAAJMy8yOS8yMDI2CAAAAAg2LzEvMjAxOQkAAAABMBWf5HpEjd4ISY6UfkSN3ggtQ0lRLk5BU0RBUTpDQUxNLklRX0RJQy45OTMuMjkvMDMvMjAyNi4uLlVTRC5IAQAAACB6BQADAAAAAAB9MpZ6RI3eCGfqjn5Ejd4INUNJUS5OQVNEQVE6Q0FMTS5JUV9JTlRfSU5WX0lOQy45OTYuMjkvMDMvMjAyNi4uLlVTRC5IAQAAACB6BQADAAAAAABaKuR6RI3eCDeDmn5Ejd4IMkNJUS5OQVNEQVE6Q0FMTS5JUV9EQV9TVVBQTC45OTguMjkvMDMvMjAyNi4uLlVTRC5IAQAAACB6BQADAAAAAACBUeR6RI3eCDwQmX5Ejd4ILENJUS5OQVNEQVE6Q0FMTS5JUV9HUC45OTUuMjkvMDMvMjAyNi4uLlVTRC5IAQAAACB6BQACAAAABzE3OS41ODgBCAAAAAUAAAABMQEAAAALLTIwODgzNDc0NjkDAAAAAzE2</t>
  </si>
  <si>
    <t>MAIAAAACMTAEAAAAATAHAAAACTMvMjkvMjAyNggAAAAJNS8zMC8yMDIwCQAAAAEwgVHkekSN3ggM55l+RI3eCDdDSVEuTkFTREFROkNBTE0uSVFfSU1QQUlSTUVOVF9HVy45OTYuMjkvMDMvMjAyNi4uLlVTRC5IAQAAACB6BQADAAAAAACseOR6RI3eCJROl35Ejd4IMUNJUS5OQVNEQVE6Q0FMTS5JUV9FQklUREFSLjk5Ny4yOS8wMy8yMDI2Li4uVVNELkgBAAAAIHoFAAMAAAAAAFcLlnpEjd4IzaCSfkSN3gg7Q0lRLk5BU0RBUTpDQUxNLklRX0ZFRVNfT1RIRVJfSU5DT01FLjk5NS4yOS8wMy8yMDI2Li4uVVNELkgBAAAAIHoFAAMAAAAAAFcLlnpEjd4IlCuSfkSN3gg9Q0lRLk5BU0RBUTpDQUxNLklRX0NVUlJfRE9NRVNUSUNfVEFYRVMuOTk3LjI5LzAzLzIwMjYuLi5VU0QuSAEAAAAgegUAAgAAAAYyNy44OTgBCAAAAAUAAAABMQEAAAALLTE5ODY3MDg0MzMDAAAAAzE2MAIAAAAEMzAyNwQAAAABMAcAAAAJMy8yOS8yMDI2CAAAAAk1LzI4LzIwMjIJAAAAATBXC5Z6RI3eCCAGkX5Ejd4IQ0NJUS5OQVNEQVE6Q0FMTS5JUV9OT05SRUNVUlJJTkdfSU5DT01FX1RBWEVTLjk5Ny4yOS8wMy8yMDI2Li4uVVNELkgBAAAAIHoFAAMAAAAAAH0ylnpEjd4Iwy6QfkSN3ggzQ0lRLk5BU0RBUTpDQUxNLklRX0RBX0VCSVREQS45OTMuMjkvMDMvMjAyNi4uLlVTRC5IAQAAACB6BQACAAAABjU0LjAyNgEIAAAABQAAAAEx</t>
  </si>
  <si>
    <t>AQAAAAoyMDQ1NzQ5MzEwAwAAAAMxNjACAAAABDIyMDYEAAAAATAHAAAACTMvMjkvMjAyNggAAAAINi8yLzIwMTgJAAAAATB9MpZ6RI3eCKySj35Ejd4IOENJUS5OQVNEQVE6Q0FMTS5JUV9ESUxVVF9FUFNfSU5DTC45OTUuMjkvMDMvMjAyNi4uLlVTRC5IAQAAACB6BQACAAAACDAuMzc5NDU0AQgAAAAFAAAAATEBAAAACy0yMDg4MzQ3NDY5AwAAAAMxNjACAAAAATgEAAAAATAHAAAACTMvMjkvMjAyNggAAAAJNS8zMC8yMDIwCQAAAAEwFZ/kekSN3giWF5V+RI3eCE5DSVEuTkFTREFROkNBTE0uSVFfRElTVFJJQlVUQUJMRV9DQVNIX1BFUl9TSEFSRV9ESUxVVEVELjk5Ny4yOS8wMy8yMDI2Li4uVVNELkgBAAAAIHoFAAMAAAAAABWf5HpEjd4ISY6UfkSN3ggwQ0lRLk5BU0RBUTpDQUxNLklRX0VCSVREQS45OTUuMjkvMDMvMjAyNi4uLlVTRC5IAQAAACB6BQACAAAABjU5LjQ1NAEIAAAABQAAAAExAQAAAAstMjA4ODM0NzQ2OQMAAAADMTYwAgAAAAQ0MDUxBAAAAAEwBwAAAAkzLzI5LzIwMjYIAAAACTUvMzAvMjAyMAkAAAABMBWf5HpEjd4IHRmUfkSN3gg5Q0lRLk5BU0RBUTpDQUxNLklRX0VCSVREQV9FWENMX1NCQy45OTUuMjkvMDMvMjAyNi4uLlVTRC5IAQAAACB6BQACAAAABjYzLjA3MQEIAAAABQAAAAExAQAAAAstMjA4ODM0NzQ2OQMAAAADMTYwAgAAAAUyNDEzNQQAAAABMAcAAAAJMy8yOS8yMDI2</t>
  </si>
  <si>
    <t>CAAAAAk1LzMwLzIwMjAJAAAAATAVn+R6RI3eCDPGk35Ejd4IL0NJUS5OQVNEQVE6Q0FMTS5JUV9FQklULjEwMDAuMjkvMDMvMjAyNi4uLlVTRC5IAQAAACB6BQACAAAACDE1NTEuNDM2AQgAAAAFAAAAATEBAAAACy0xOTM0OTc4MzgxAwAAAAMxNjACAAAAAzQwMAQAAAABMAcAAAAJMy8yOS8yMDI2CAAAAAk1LzMxLzIwMjUJAAAAATBBxuR6RI3eCM13k35Ejd4IOUNJUS5OQVNEQVE6Q0FMTS5JUV9BU1NFVF9XUklURURPV04uOTk5LjI5LzAzLzIwMjYuLi5VU0QuSAEAAAAgegUAAwAAAAAArHjkekSN3ghyAJd+RI3eCDZDSVEuTkFTREFROkNBTE0uSVFfTEVHQUxfU0VUVExFLjk5NC4yOS8wMy8yMDI2Li4uVVNELkgBAAAAIHoFAAMAAAAAAKx45HpEjd4IZNmWfkSN3ggxQ0lRLk5BU0RBUTpDQUxNLklRX0lOQ19UQVguOTk2LjI5LzAzLzIwMjYuLi5VU0QuSAEAAAAgegUAAgAAAActMTIuMDA5AQgAAAAFAAAAATEBAAAACy0yMDM3MjQxNzIxAwAAAAMxNjACAAAAAjc1BAAAAAEwBwAAAAkzLzI5LzIwMjYIAAAACTUvMjkvMjAyMQkAAAABMKx45HpEjd4IHFCWfkSN3gg+Q0lRLk5BU0RBUTpDQUxNLklRX01JTk9SSVRZX0lOVEVSRVNUX0lTLjk5NS4yOS8wMy8yMDI2Li4uVVNELkgBAAAAIHoFAAIAAAAFMC4wNjMBCAAAAAUAAAABMQEAAAALLTIwODgzNDc0NjkDAAAAAzE2MAIAAAACODMEAAAAATAHAAAACTMv</t>
  </si>
  <si>
    <t>MjkvMjAyNggAAAAJNS8zMC8yMDIwCQAAAAEwrHjkekSN3ggT25V+RI3eCDhDSVEuTkFTREFROkNBTE0uSVFfQkFTSUNfRVBTX0lOQ0wuOTk1LjI5LzAzLzIwMjYuLi5VU0QuSAEAAAAgegUAAgAAAAgwLjM3OTQ1NAEIAAAABQAAAAExAQAAAAstMjA4ODM0NzQ2OQMAAAADMTYwAgAAAAE5BAAAAAEwBwAAAAkzLzI5LzIwMjYIAAAACTUvMzAvMjAyMAkAAAABMKx45HpEjd4I5GWVfkSN3gg1Q0lRLk5BU0RBUTpDQUxNLklRX09USEVSX09QRVIuMTAwMC4yOS8wMy8yMDI2Li4uVVNELkgBAAAAIHoFAAMAAAAAAIFR5HpEjd4IIpuYfkSN3gg2Q0lRLk5BU0RBUTpDQUxNLklRX0lOVEVSRVNUX0VYUC45OTQuMjkvMDMvMjAyNi4uLlVTRC5IAQAAACB6BQACAAAABi0wLjY0NAEIAAAABQAAAAExAQAAAAstMjE0MjQyOTAzOQMAAAADMTYwAgAAAAI4MgQAAAABMAcAAAAJMy8yOS8yMDI2CAAAAAg2LzEvMjAxOQkAAAABMIFR5HpEjd4IAHSYfkSN3gg6Q0lRLk5BU0RBUTpDQUxNLklRX05FVF9JTlRFUkVTVF9FWFAuOTk5LjI5LzAzLzIwMjYuLi5VU0QuSAEAAAAgegUAAgAAAAY0My4wNTcBCAAAAAUAAAABMQEAAAALLTE5MzQ5Nzg0ODADAAAAAzE2MAIAAAADMzY4BAAAAAEwBwAAAAkzLzI5LzIwMjYIAAAACDYvMS8yMDI0CQAAAAEwgVHkekSN3gjS6pd+RI3eCEJDSVEuTkFTREFROkNBTE0uSVFfT1RIRVJfTk9OX09Q</t>
  </si>
  <si>
    <t>RVJfRVhQX1NVUFBMLjk5NC4yOS8wMy8yMDI2Li4uVVNELkgBAAAAIHoFAAIAAAAFMi40MDgBCAAAAAUAAAABMQEAAAALLTIxNDI0MjkwMzkDAAAAAzE2MAIAAAACODUEAAAAATAHAAAACTMvMjkvMjAyNggAAAAINi8xLzIwMTkJAAAAATCBUeR6RI3eCNTDl35Ejd4INkNJUS5OQVNEQVE6Q0FMTS5JUV9SRVNUUlVDVFVSRS4xMDAwLjI5LzAzLzIwMjYuLi5VU0QuSAEAAAAgegUAAwAAAAAArHjkekSN3giZdZd+RI3eCDZDSVEuTkFTREFROkNBTE0uSVFfTUFJTlRfUkVQQUlSLjk5Ny4yOS8wMy8yMDI2Li4uVVNELkgBAAAAIHoFAAMAAAAAAIpZlnpEjd4ISGONfkSN3gg1Q0lRLk5BU0RBUTpDQUxNLklRX0ZJTl9ESVZfUkVWLjk5OS4yOS8wMy8yMDI2Li4uVVNELkgBAAAAIHoFAAMAAAAAAFoq5HpEjd4IOwybfkSN3gg5Q0lRLk5BU0RBUTpDQUxNLklRX0dBSU5fQVNTRVRTX1JFVi45OTguMjkvMDMvMjAyNi4uLlVTRC5IAQAAACB6BQADAAAAAABaKuR6RI3eCD2qmn5Ejd4INUNJUS5OQVNEQVE6Q0FMTS5JUV9JTlNfRElWX0VYUC45OTguMjkvMDMvMjAyNi4uLlVTRC5IAQAAACB6BQADAAAAAACBUeR6RI3eCB8Omn5Ejd4IMENJUS5OQVNEQVE6Q0FMTS5JUV9SRF9FWFAuOTk2LjI5LzAzLzIwMjYuLi5VU0QuSAEAAAAgegUAAwAAAAAAgVHkekSN3ghVN5l+RI3eCDlDSVEuTkFTREFROkNBTE0uSVFfRUJJVERB</t>
  </si>
  <si>
    <t>X0VYQ0xfU0JDLjk5Ni4yOS8wMy8yMDI2Li4uVVNELkgBAAAAIHoFAAIAAAAGMzkuOTczAQgAAAAFAAAAATEBAAAACy0yMDM3MjQxNzIxAwAAAAMxNjACAAAABTI0MTM1BAAAAAEwBwAAAAkzLzI5LzIwMjYIAAAACTUvMjkvMjAyMQkAAAABMBWf5HpEjd4IM8aTfkSN3ggvQ0lRLk5BU0RBUTpDQUxNLklRX0VCSVRBLjk5NS4yOS8wMy8yMDI2Li4uVVNELkgBAAAAIHoFAAIAAAAFNC4yNTEBCAAAAAUAAAABMQEAAAALLTIwODgzNDc0NjkDAAAAAzE2MAIAAAAGMTAwNjg5BAAAAAEwBwAAAAkzLzI5LzIwMjYIAAAACTUvMzAvMjAyMAkAAAABMFvklXpEjd4I6u6SfkSN3gg2Q0lRLk5BU0RBUTpDQUxNLklRX0VCSVREQV9DQVBFWC45OTguMjkvMDMvMjAyNi4uLlVTRC5IAQAAACB6BQACAAAABzg5OS45MTUBCAAAAAUAAAABMQEAAAALLTE5MzQ5Nzg0MjADAAAAAzE2MAIAAAAFMzUzNzkEAAAAATAHAAAACTMvMjkvMjAyNggAAAAINi8zLzIwMjMJAAAAATBXC5Z6RI3eCJQrkn5Ejd4IQ0NJUS5OQVNEQVE6Q0FMTS5JUV9OT05SRUNVUlJJTkdfSU5DT01FX1RBWEVTLjk5OS4yOS8wMy8yMDI2Li4uVVNELkgBAAAAIHoFAAMAAAAAAH0ylnpEjd4Iwy6QfkSN3ggzQ0lRLk5BU0RBUTpDQUxNLklRX0RBX0VCSVREQS45OTUuMjkvMDMvMjAyNi4uLlVTRC5IAQAAACB6BQACAAAABjU4LjEwMwEIAAAABQAAAAExAQAAAAst</t>
  </si>
  <si>
    <t>MjA4ODM0NzQ2OQMAAAADMTYwAgAAAAQyMjA2BAAAAAEwBwAAAAkzLzI5LzIwMjYIAAAACTUvMzAvMjAyMAkAAAABMH0ylnpEjd4IrJKPfkSN3gg2Q0lRLk5BU0RBUTpDQUxNLklRX0lOVEVSRVNUX0VYUC45OTUuMjkvMDMvMjAyNi4uLlVTRC5IAQAAACB6BQACAAAABi0wLjQ5OAEIAAAABQAAAAExAQAAAAstMjA4ODM0NzQ2OQMAAAADMTYwAgAAAAI4MgQAAAABMAcAAAAJMy8yOS8yMDI2CAAAAAk1LzMwLzIwMjAJAAAAATCBUeR6RI3eCAB0mH5Ejd4ILENJUS5OQVNEQVE6Q0FMTS5JUV9ETy45OTMuMjkvMDMvMjAyNi4uLlVTRC5IAQAAACB6BQADAAAAAACseOR6RI3eCA8Cln5Ejd4IOENJUS5OQVNEQVE6Q0FMTS5JUV9QUkVGX0RJVl9PVEhFUi45OTMuMjkvMDMvMjAyNi4uLlVTRC5IAQAAACB6BQADAAAAAACseOR6RI3eCPOMlX5Ejd4IOENJUS5OQVNEQVE6Q0FMTS5JUV9CQVNJQ19FUFNfSU5DTC45OTYuMjkvMDMvMjAyNi4uLlVTRC5IAQAAACB6BQACAAAACDAuMDQyNDU0AQgAAAAFAAAAATEBAAAACy0yMDM3MjQxNzIxAwAAAAMxNjACAAAAATkEAAAAATAHAAAACTMvMjkvMjAyNggAAAAJNS8yOS8yMDIxCQAAAAEwrHjkekSN3gilPpV+RI3eCE5DSVEuTkFTREFROkNBTE0uSVFfRElTVFJJQlVUQUJMRV9DQVNIX1BFUl9TSEFSRV9ESUxVVEVELjk5OC4yOS8wMy8yMDI2Li4uVVNELkgBAAAAIHoFAAMA</t>
  </si>
  <si>
    <t>AAAAABWf5HpEjd4ISY6UfkSN3gg2Q0lRLk5BU0RBUTpDQUxNLklRX0VCSVREQV9DQVBFWC45OTkuMjkvMDMvMjAyNi4uLlVTRC5IAQAAACB6BQACAAAABzI0Ny4yMTkBCAAAAAUAAAABMQEAAAALLTE5MzQ5Nzg0ODADAAAAAzE2MAIAAAAFMzUzNzkEAAAAATAHAAAACTMvMjkvMjAyNggAAAAINi8xLzIwMjQJAAAAATBXC5Z6RI3eCJQrkn5Ejd4IPUNJUS5OQVNEQVE6Q0FMTS5JUV9OT05DQVNIX1BFTlNJT05fRVhQLjk5OC4yOS8wMy8yMDI2Li4uVVNELkgBAAAAIHoFAAIAAAAFMC43NTIBCAAAAAUAAAABMQEAAAALLTE5MzQ5Nzg0MjADAAAAAzE2MAIAAAAFMjE2NzgEAAAAATAHAAAACTMvMjkvMjAyNggAAAAINi8zLzIwMjMJAAAAATB9MpZ6RI3eCKySj35Ejd4IOUNJUS5OQVNEQVE6Q0FMTS5JUV9PVEhFUl9SRVZfU1VQUEwuOTkzLjI5LzAzLzIwMjYuLi5VU0QuSAEAAAAgegUAAwAAAAAAWirkekSN3ggnXJp+RI3eCDVDSVEuTkFTREFROkNBTE0uSVFfSU5TX0RJVl9FWFAuOTk5LjI5LzAzLzIwMjYuLi5VU0QuSAEAAAAgegUAAwAAAAAAgVHkekSN3ggfDpp+RI3eCDhDSVEuTkFTREFROkNBTE0uSVFfR1dfSU5UQU5fQU1PUlQuOTk2LjI5LzAzLzIwMjYuLi5VU0QuSAEAAAAgegUAAwAAAAAAgVHkekSN3ghY6Zh+RI3eCDhDSVEuTkFTREFROkNBTE0uSVFfUFJFRl9ESVZfT1RIRVIuOTk0LjI5LzAzLzIw</t>
  </si>
  <si>
    <t>MjYuLi5VU0QuSAEAAAAgegUAAwAAAAAArHjkekSN3gjzjJV+RI3eCE5DSVEuTkFTREFROkNBTE0uSVFfRElTVFJJQlVUQUJMRV9DQVNIX1BFUl9TSEFSRV9ESUxVVEVELjk5OS4yOS8wMy8yMDI2Li4uVVNELkgBAAAAIHoFAAMAAAAAABWf5HpEjd4ISY6UfkSN3ghCQ0lRLk5BU0RBUTpDQUxNLklRX0RJU1RSSUJVVEFCTEVfQ0FTSF9TSEFSRS45OTQuMjkvMDMvMjAyNi4uLlVTRC5IAQAAACB6BQADAAAAAAAVn+R6RI3eCGJnlH5Ejd4IOUNJUS5OQVNEQVE6Q0FMTS5JUV9FQklUREFfRVhDTF9TQkMuOTk3LjI5LzAzLzIwMjYuLi5VU0QuSAEAAAAgegUAAgAAAAcyMTAuODg2AQgAAAAFAAAAATEBAAAACy0xOTg2NzA4NDMzAwAAAAMxNjACAAAABTI0MTM1BAAAAAEwBwAAAAkzLzI5LzIwMjYIAAAACTUvMjgvMjAyMgkAAAABMBWf5HpEjd4IM8aTfkSN3gguQ0lRLk5BU0RBUTpDQUxNLklRX0VCSVQuOTkzLjI5LzAzLzIwMjYuLi5VU0QuSAEAAAAgegUAAgAAAAYxODEuNzMBCAAAAAUAAAABMQEAAAAKMjA0NTc0OTMxMAMAAAADMTYwAgAAAAM0MDAEAAAAATAHAAAACTMvMjkvMjAyNggAAAAINi8yLzIwMTgJAAAAATAVn+R6RI3eCM13k35Ejd4IOENJUS5OQVNEQVE6Q0FMTS5JUV9QUk9WX0JBRF9ERUJUUy45OTMuMjkvMDMvMjAyNi4uLlVTRC5IAQAAACB6BQADAAAAAACBUeR6RI3eCG1emX5Ejd4IOENJUS5O</t>
  </si>
  <si>
    <t>QVNEQVE6Q0FMTS5JUV9HV19JTlRBTl9BTU9SVC45OTcuMjkvMDMvMjAyNi4uLlVTRC5IAQAAACB6BQADAAAAAACBUeR6RI3eCFjpmH5Ejd4INkNJUS5OQVNEQVE6Q0FMTS5JUV9JTlRFUkVTVF9FWFAuOTk3LjI5LzAzLzIwMjYuLi5VU0QuSAEAAAAgegUAAgAAAAYtMC40MDMBCAAAAAUAAAABMQEAAAALLTE5ODY3MDg0MzMDAAAAAzE2MAIAAAACODIEAAAAATAHAAAACTMvMjkvMjAyNggAAAAJNS8yOC8yMDIyCQAAAAEwgVHkekSN3gj8TJh+RI3eCEJDSVEuTkFTREFROkNBTE0uSVFfT1RIRVJfTk9OX09QRVJfRVhQX1NVUFBMLjk5Ni4yOS8wMy8yMDI2Li4uVVNELkgBAAAAIHoFAAIAAAAFNS40MjUBCAAAAAUAAAABMQEAAAALLTIwMzcyNDE3MjEDAAAAAzE2MAIAAAACODUEAAAAATAHAAAACTMvMjkvMjAyNggAAAAJNS8yOS8yMDIxCQAAAAEwgVHkekSN3gjUw5d+RI3eCDZDSVEuTkFTREFROkNBTE0uSVFfTEVHQUxfU0VUVExFLjk5Ni4yOS8wMy8yMDI2Li4uVVNELkgBAAAAIHoFAAMAAAAAAKx45HpEjd4IXrKWfkSN3gg3Q0lRLk5BU0RBUTpDQUxNLklRX0VCSVREQV9DQVBFWC4xMDAwLjI5LzAzLzIwMjYuLi5VU0QuSAEAAAAgegUAAgAAAAgxNDg0LjIwMgEIAAAABQAAAAExAQAAAAstMTkzNDk3ODM4MQMAAAADMTYwAgAAAAUzNTM3OQQAAAABMAcAAAAJMy8yOS8yMDI2CAAAAAk1LzMxLzIwMjUJAAAA</t>
  </si>
  <si>
    <t>ATBXC5Z6RI3eCJQrkn5Ejd4IOkNJUS5OQVNEQVE6Q0FMTS5JUV9HQUlOX0FTU0VUU19SRVYuMTAwMC4yOS8wMy8yMDI2Li4uVVNELkgBAAAAIHoFAAMAAAAAAFoq5HpEjd4IPaqafkSN3gg5Q0lRLk5BU0RBUTpDQUxNLklRX09USEVSX1JFVl9TVVBQTC45OTQuMjkvMDMvMjAyNi4uLlVTRC5IAQAAACB6BQADAAAAAABaKuR6RI3eCCdcmn5Ejd4ILkNJUS5OQVNEQVE6Q0FMTS5JUV9DT0dTLjk5My4yOS8wMy8yMDI2Li4uVVNELkgBAAAAIHoFAAIAAAAIMTE0MS44ODYBCAAAAAUAAAABMQEAAAAKMjA0NTc0OTMxMAMAAAADMTYwAgAAAAIzNAQAAAABMAcAAAAJMy8yOS8yMDI2CAAAAAg2LzIvMjAxOAkAAAABMFoq5HpEjd4IMjWafkSN3gg2Q0lRLk5BU0RBUTpDQUxNLklRX0lOU19ESVZfRVhQLjEwMDAuMjkvMDMvMjAyNi4uLlVTRC5IAQAAACB6BQADAAAAAACBUeR6RI3eCB8Omn5Ejd4IOUNJUS5OQVNEQVE6Q0FMTS5JUV9PVEhFUl9SRVZfU1VQUEwuOTk1LjI5LzAzLzIwMjYuLi5VU0QuSAEAAAAgegUAAwAAAAAAWirkekSN3gg3g5p+RI3eCDhDSVEuTkFTREFROkNBTE0uSVFfUFJPVl9CQURfREVCVFMuOTk0LjI5LzAzLzIwMjYuLi5VU0QuSAEAAAAgegUAAwAAAAAAgVHkekSN3ghghZl+RI3eCDpDSVEuTkFTREFROkNBTE0uSVFfTkVUX0lOVEVSRVNUX0VYUC45OTUuMjkvMDMvMjAyNi4uLlVTRC5IAQAA</t>
  </si>
  <si>
    <t>ACB6BQACAAAABTE0LjU2AQgAAAAFAAAAATEBAAAACy0yMDg4MzQ3NDY5AwAAAAMxNjACAAAAAzM2OAQAAAABMAcAAAAJMy8yOS8yMDI2CAAAAAk1LzMwLzIwMjAJAAAAATCBUeR6RI3eCJ0lmH5Ejd4ILENJUS5OQVNEQVE6Q0FMTS5JUV9ETy45OTcuMjkvMDMvMjAyNi4uLlVTRC5IAQAAACB6BQADAAAAAACseOR6RI3eCA8Cln5Ejd4IOUNJUS5OQVNEQVE6Q0FMTS5JUV9FQklUREFfRVhDTF9TQkMuOTk4LjI5LzAzLzIwMjYuLi5VU0QuSAEAAAAgegUAAgAAAAgxMDQwLjY4OQEIAAAABQAAAAExAQAAAAstMTkzNDk3ODQyMAMAAAADMTYwAgAAAAUyNDEzNQQAAAABMAcAAAAJMy8yOS8yMDI2CAAAAAg2LzMvMjAyMwkAAAABMBWf5HpEjd4IM8aTfkSN3gg3Q0lRLk5BU0RBUTpDQUxNLklRX05JX0FWQUlMX0VYQ0wuOTk1LjI5LzAzLzIwMjYuLi5VU0QuSAEAAAAgegUAAgAAAAYxOC4zOTEBCAAAAAUAAAABMQEAAAALLTIwODgzNDc0NjkDAAAAAzE2MAIAAAADMzc5BAAAAAEwBwAAAAkzLzI5LzIwMjYIAAAACTUvMzAvMjAyMAkAAAABMKx45HpEjd4I5GWVfkSN3gg0Q0lRLk5BU0RBUTpDQUxNLklRX0NPTU1PTl9ESVYuOTk5LjI5LzAzLzIwMjYuLi5VU0QuSAEAAAAgegUAAgAAAAY5Mi42MDUAfTKWekSN3ggbHY9+RI3eCDdDSVEuTkFTREFROkNBTE0uSVFfUFJFX09QRU5fQ09TVC45OTQuMjkvMDMvMjAyNi4u</t>
  </si>
  <si>
    <t>LlVTRC5IAQAAACB6BQADAAAAAACBUeR6RI3eCFU3mX5Ejd4INUNJUS5OQVNEQVE6Q0FMTS5JUV9FQVJOSU5HX0NPLjEwMDAuMjkvMDMvMjAyNi4uLlVTRC5IAQAAACB6BQACAAAACDEyMTguMjMyAQgAAAAFAAAAATEBAAAACy0xOTM0OTc4MzgxAwAAAAMxNjACAAAAATcEAAAAATAHAAAACTMvMjkvMjAyNggAAAAJNS8zMS8yMDI1CQAAAAEwrHjkekSN3ggPApZ+RI3eCDdDSVEuTkFTREFROkNBTE0uSVFfQUlSQ1JBRlRfUkVOVC45OTMuMjkvMDMvMjAyNi4uLlVTRC5IAQAAACB6BQADAAAAAACKWZZ6RI3eCNKxjX5Ejd4IOENJUS5OQVNEQVE6Q0FMTS5JUV9QUk9WX0JBRF9ERUJUUy45OTcuMjkvMDMvMjAyNi4uLlVTRC5IAQAAACB6BQADAAAAAACBUeR6RI3eCGCFmX5Ejd4IOUNJUS5OQVNEQVE6Q0FMTS5JUV9BU1NFVF9XUklURURPV04uOTk2LjI5LzAzLzIwMjYuLi5VU0QuSAEAAAAgegUAAwAAAAAArHjkekSN3ghyAJd+RI3eCDdDSVEuTkFTREFROkNBTE0uSVFfTklfQVZBSUxfRVhDTC45OTYuMjkvMDMvMjAyNi4uLlVTRC5IAQAAACB6BQACAAAABDIuMDYBCAAAAAUAAAABMQEAAAALLTIwMzcyNDE3MjEDAAAAAzE2MAIAAAADMzc5BAAAAAEwBwAAAAkzLzI5LzIwMjYIAAAACTUvMjkvMjAyMQkAAAABMKx45HpEjd4I5GWVfkSN3gg4Q0lRLk5BU0RBUTpDQUxNLklRX0VCSVRBX0VYQ0xfU0JDLjk5Ni4y</t>
  </si>
  <si>
    <t>OS8wMy8yMDI2Li4uVVNELkgBAAAAIHoFAAIAAAAHLTE5LjUwNAEIAAAABQAAAAExAQAAAAstMjAzNzI0MTcyMQMAAAADMTYwAgAAAAUyNDEzNgQAAAABMAcAAAAJMy8yOS8yMDI2CAAAAAk1LzI5LzIwMjEJAAAAATBb5JV6RI3eCNvHkn5Ejd4IS0NJUS5OQVNEQVE6Q0FMTS5JUV9JTlRFUkVTVF9FWFBfTEVBU0VfTElBQklMSVRZX0RFQlQuOTk3LjI5LzAzLzIwMjYuLi5VU0QuSAEAAAAgegUAAwAAAAAAfTKWekSN3gh/uY9+RI3eCDVDSVEuTkFTREFROkNBTE0uSVFfSU5TX0RJVl9SRVYuOTk5LjI5LzAzLzIwMjYuLi5VU0QuSAEAAAAgegUAAwAAAAAAWirkekSN3ghn0Zp+RI3eCDlDSVEuTkFTREFROkNBTE0uSVFfQVNTRVRfV1JJVEVET1dOLjk5OC4yOS8wMy8yMDI2Li4uVVNELkgBAAAAIHoFAAMAAAAAAKx45HpEjd4IcgCXfkSN3ghLQ0lRLk5BU0RBUTpDQUxNLklRX0VCSVREQV9FUV9JTkNfRVhDTF9PUEVSX0xFQVNFX0FESi45OTguMjkvMDMvMjAyNi4uLlVTRC5IAQAAACB6BQACAAAABzEwMzcuMjMBCAAAAAUAAAABMQEAAAALLTE5MzQ5Nzg0MjADAAAAAzE2MAIAAAAFNDg5ODcEAAAAATAHAAAACTMvMjkvMjAyNggAAAAINi8zLzIwMjMJAAAAATAVn+R6RI3eCM13k35Ejd4IQENJUS5OQVNEQVE6Q0FMTS5JUV9ERUZFUlJFRF9GT1JFSUdOX1RBWEVTLjk5Ni4yOS8wMy8yMDI2Li4uVVNELkgBAAAA</t>
  </si>
  <si>
    <t>IHoFAAMAAAAAAFcLlnpEjd4IE5GQfkSN3ggtQ0lRLk5BU0RBUTpDQUxNLklRX1JFVi45OTguMjkvMDMvMjAyNi4uLlVTRC5IAQAAACB6BQACAAAACDMxNDYuMjE3AQgAAAAFAAAAATEBAAAACy0xOTM0OTc4NDIwAwAAAAMxNjACAAAAAzExMgQAAAABMAcAAAAJMy8yOS8yMDI2CAAAAAg2LzMvMjAyMwkAAAABMFoq5HpEjd4IOwybfkSN3ggsQ0lRLk5BU0RBUTpDQUxNLklRX0dQLjk5Ny4yOS8wMy8yMDI2Li4uVVNELkgBAAAAIHoFAAIAAAAHMzM3LjA1OQEIAAAABQAAAAExAQAAAAstMTk4NjcwODQzMwMAAAADMTYwAgAAAAIxMAQAAAABMAcAAAAJMy8yOS8yMDI2CAAAAAk1LzI4LzIwMjIJAAAAATCBUeR6RI3eCOG/mX5Ejd4IN0NJUS5OQVNEQVE6Q0FMTS5JUV9DVVJSRU5DWV9HQUlOLjk5OS4yOS8wMy8yMDI2Li4uVVNELkgBAAAAIHoFAAMAAAAAAIFR5HpEjd4I0uqXfkSN3ggyQ0lRLk5BU0RBUTpDQUxNLklRX09QRVJfSU5DLjk5Ni4yOS8wMy8yMDI2Li4uVVNELkgBAAAAIHoFAAIAAAAHLTIzLjI4MgEIAAAABQAAAAExAQAAAAstMjAzNzI0MTcyMQMAAAADMTYwAgAAAAIyMQQAAAABMAcAAAAJMy8yOS8yMDI2CAAAAAk1LzI5LzIwMjEJAAAAATCBUeR6RI3eCAB0mH5Ejd4INENJUS5OQVNEQVE6Q0FMTS5JUV9JTlNfU0VUVExFLjk5Ni4yOS8wMy8yMDI2Li4uVVNELkgBAAAAIHoFAAMAAAAAAKx45HpE</t>
  </si>
  <si>
    <t>jd4IZNmWfkSN3ggsQ0lRLk5BU0RBUTpDQUxNLklRX05JLjk5Ni4yOS8wMy8yMDI2Li4uVVNELkgBAAAAIHoFAAIAAAAEMi4wNgEIAAAABQAAAAExAQAAAAstMjAzNzI0MTcyMQMAAAADMTYwAgAAAAIxNQQAAAABMAcAAAAJMy8yOS8yMDI2CAAAAAk1LzI5LzIwMjEJAAAAATCseOR6RI3eCOSzlX5Ejd4INENJUS5OQVNEQVE6Q0FMTS5JUV9UT1RBTF9SRVYuMjAwMC4yOS8wMy8yMDI2Li4uVVNELkgBAAAAIHoFAAIAAAAINDIxMy40NDMBCAAAAAUAAAABMQEAAAALLTE5MTA2Mjc4MzgDAAAAAzE2MAIAAAACMjgEAAAAATAHAAAACTMvMjkvMjAyNggAAAAKMTEvMjkvMjAyNQkAAAABMFoq5HpEjd4IcAoXfESN3ghBQ0lRLk5BU0RBUTpDQUxNLklRX0VCSVREQV9FUV9JTkNfRVhDTF9TQkMuMjAwMC4yOS8wMy8yMDI2Li4uVVNELkgBAAAAIHoFAAIAAAAIMTU3NS4zNTQBCAAAAAUAAAABMQEAAAALLTE5MTA2Mjc4MzgDAAAAAzE2MAIAAAAFMjQxMzEEAAAAATAHAAAACTMvMjkvMjAyNggAAAAKMTEvMjkvMjAyNQkAAAABMBWf5HpEjd4I2wIlfESN3ghOQ0lRLk5BU0RBUTpDQUxNLklRX0RJU1RSSUJVVEFCTEVfQ0FTSF9QRVJfU0hBUkVfRElMVVRFRC45OTAuMjkvMDMvMjAyNi4uLlVTRC5IAQAAACB6BQADAAAAAAAVn+R6RI3eCLa2I3xEjd4ITENJUS5OQVNEQVE6Q0FMTS5JUV9QUk9WX0JBRF9ERUJUU19QQVRJ</t>
  </si>
  <si>
    <t>RU5UX1NFUlZJQ0VfUkVWLjk5MS4yOS8wMy8yMDI2Li4uVVNELkgBAAAAIHoFAAMAAAAAAFcLlnpEjd4IbRUpfESN3gg2Q0lRLk5BU0RBUTpDQUxNLklRX0lOVEVSRVNUX0VYUC45OTIuMjkvMDMvMjAyNi4uLlVTRC5IAQAAACB6BQACAAAABi0wLjMxOAEIAAAABQAAAAExAQAAAAoxOTcyMDEyMTIxAwAAAAMxNjACAAAAAjgyBAAAAAEwBwAAAAkzLzI5LzIwMjYIAAAACDYvMy8yMDE3CQAAAAEwgVHkekSN3ggAdJh+RI3eCDNDSVEuTkFTREFROkNBTE0uSVFfU0dBX1NVUFBMLjk5MC4yOS8wMy8yMDI2Li4uVVNELkgBAAAAIHoFAAIAAAAHMTYwLjM4NgEIAAAABQAAAAExAQAAAAoxODUwMjIwODQ1AwAAAAMxNjACAAAAAzEwMgQAAAABMAcAAAAJMy8yOS8yMDI2CAAAAAk1LzMwLzIwMTUJAAAAATCBUeR6RI3eCIFAG3xEjd4IQkNJUS5OQVNEQVE6Q0FMTS5JUV9ESVNUUklCVVRBQkxFX0NBU0hfU0hBUkUuOTkwLjI5LzAzLzIwMjYuLi5VU0QuSAEAAAAgegUAAwAAAAAAFZ/kekSN3gi2UiR8RI3eCDBDSVEuTkFTREFROkNBTE0uSVFfRUJJVERBLjk5MC4yOS8wMy8yMDI2Li4uVVNELkgBAAAAIHoFAAIAAAAHMjc2LjA0MwEIAAAABQAAAAExAQAAAAoxODUwMjIwODQ1AwAAAAMxNjACAAAABDQwNTEEAAAAATAHAAAACTMvMjkvMjAyNggAAAAJNS8zMC8yMDE1CQAAAAEwFZ/kekSN3gjMoCR8RI3eCDpDSVEuTkFT</t>
  </si>
  <si>
    <t>REFROkNBTE0uSVFfVE9UQUxfT1RIRVJfT1BFUi45OTAuMjkvMDMvMjAyNi4uLlVTRC5IAQAAACB6BQACAAAABzE2MC4zODYBCAAAAAUAAAABMQEAAAAKMTg1MDIyMDg0NQMAAAADMTYwAgAAAAMzODAEAAAAATAHAAAACTMvMjkvMjAyNggAAAAJNS8zMC8yMDE1CQAAAAEwgVHkekSN3giZvx18RI3eCD5DSVEuTkFTREFROkNBTE0uSVFfTUlOT1JJVFlfSU5URVJFU1RfSVMuOTkwLjI5LzAzLzIwMjYuLi5VU0QuSAEAAAAgegUAAgAAAAYtMS4wMjcBCAAAAAUAAAABMQEAAAAKMTg1MDIyMDg0NQMAAAADMTYwAgAAAAI4MwQAAAABMAcAAAAJMy8yOS8yMDI2CAAAAAk1LzMwLzIwMTUJAAAAATCseOR6RI3eCIL/IXxEjd4IMENJUS5OQVNEQVE6Q0FMTS5JUV9NRVJHRVIuOTkwLjI5LzAzLzIwMjYuLi5VU0QuSAEAAAAgegUAAwAAAAAArHjkekSN3ghoXh98RI3eCD1DSVEuTkFTREFROkNBTE0uSVFfQ1VSUl9ET01FU1RJQ19UQVhFUy45OTEuMjkvMDMvMjAyNi4uLlVTRC5IAQAAACB6BQACAAAABjE0OS44MQEIAAAABQAAAAExAQAAAAoxODk2ODIwNTE3AwAAAAMxNjACAAAABDMwMjcEAAAAATAHAAAACTMvMjkvMjAyNggAAAAJNS8yOC8yMDE2CQAAAAEwVwuWekSN3gjzOip8RI3eCDVDSVEuTkFTREFROkNBTE0uSVFfU1RPQ0tfQkFTRUQuOTkwLjI5LzAzLzIwMjYuLi5VU0QuSAEAAAAgegUAAwAAAAAAgVHkekSN</t>
  </si>
  <si>
    <t>3gg1yht8RI3eCC5DSVEuTkFTREFROkNBTE0uSVFfQ09HUy45OTIuMjkvMDMvMjAyNi4uLlVTRC5IAQAAACB6BQACAAAACDEwMjguOTYzAQgAAAAFAAAAATEBAAAACjE5NzIwMTIxMjEDAAAAAzE2MAIAAAACMzQEAAAAATAHAAAACTMvMjkvMjAyNggAAAAINi8zLzIwMTcJAAAAATBaKuR6RI3eCDI1mn5Ejd4INkNJUS5OQVNEQVE6Q0FMTS5JUV9SRVNUUlVDVFVSRS4yMDAwLjI5LzAzLzIwMjYuLi5VU0QuSAEAAAAgegUAAwAAAAAArHjkekSN3ghoXh98RI3eCEJDSVEuTkFTREFROkNBTE0uSVFfRVhDSVNFX1RBWEVTX0lOQ0xfU0FMRVMuMjAwMC4yOS8wMy8yMDI2Li4uVVNELkgBAAAAIHoFAAMAAAAAAFcLlnpEjd4I8zoqfESN3ggvQ0lRLk5BU0RBUTpDQUxNLklRX0NPR1MuMjAwMC4yOS8wMy8yMDI2Li4uVVNELkgBAAAAIHoFAAIAAAAIMjQ0Ny4xMTgBCAAAAAUAAAABMQEAAAALLTE5MTA2Mjc4MzgDAAAAAzE2MAIAAAACMzQEAAAAATAHAAAACTMvMjkvMjAyNggAAAAKMTEvMjkvMjAyNQkAAAABMFoq5HpEjd4IfDEXfESN3gg5Q0lRLk5BU0RBUTpDQUxNLklRX09USEVSX1JFVl9TVVBQTC45OTIuMjkvMDMvMjAyNi4uLlVTRC5IAQAAACB6BQADAAAAAABaKuR6RI3eCCdcmn5Ejd4INENJUS5OQVNEQVE6Q0FMTS5JUV9JTVBBSVJfT0lMLjk5MC4yOS8wMy8yMDI2Li4uVVNELkgBAAAAIHoFAAMAAAAAAIFR</t>
  </si>
  <si>
    <t>5HpEjd4IjEkdfESN3gg5Q0lRLk5BU0RBUTpDQUxNLklRX1BST1ZfQkFEX0RFQlRTLjIwMDAuMjkvMDMvMjAyNi4uLlVTRC5IAQAAACB6BQADAAAAAACBUeR6RI3eCDXKG3xEjd4IM0NJUS5OQVNEQVE6Q0FMTS5JUV9TR0FfU1VQUEwuOTkyLjI5LzAzLzIwMjYuLi5VU0QuSAEAAAAgegUAAgAAAAcxNzYuMDMyAQgAAAAFAAAAATEBAAAACjE5NzIwMTIxMjEDAAAAAzE2MAIAAAADMTAyBAAAAAEwBwAAAAkzLzI5LzIwMjYIAAAACDYvMy8yMDE3CQAAAAEwgVHkekSN3gjhv5l+RI3eCDVDSVEuTkFTREFROkNBTE0uSVFfR0FJTl9BU1NFVFMuOTkwLjI5LzAzLzIwMjYuLi5VU0QuSAEAAAAgegUAAgAAAAYtMC41NjgBCAAAAAUAAAABMQEAAAAKMTg1MDIyMDg0NQMAAAADMTYwAgAAAAI1NgQAAAABMAcAAAAJMy8yOS8yMDI2CAAAAAk1LzMwLzIwMTUJAAAAATCseOR6RI3eCEDUH3xEjd4IOUNJUS5OQVNEQVE6Q0FMTS5JUV9FWFRSQV9BQ0NfSVRFTVMuOTkwLjI5LzAzLzIwMjYuLi5VU0QuSAEAAAAgegUAAwAAAAAArHjkekSN3ggKgyF8RI3eCDdDSVEuTkFTREFROkNBTE0uSVFfTklfQVZBSUxfSU5DTC45OTAuMjkvMDMvMjAyNi4uLlVTRC5IAQAAACB6BQACAAAABzE2MS4yNTQBCAAAAAUAAAABMQEAAAAKMTg1MDIyMDg0NQMAAAADMTYwAgAAAAIxNgQAAAABMAcAAAAJMy8yOS8yMDI2CAAAAAk1LzMwLzIwMTUJ</t>
  </si>
  <si>
    <t>AAAAATCseOR6RI3eCO90InxEjd4IQ0NJUS5OQVNEQVE6Q0FMTS5JUV9ESVNUUklCVVRBQkxFX0NBU0hfU0hBUkUuMjAwMC4yOS8wMy8yMDI2Li4uVVNELkgBAAAAIHoFAAMAAAAAABWf5HpEjd4ItlIkfESN3gg0Q0lRLk5BU0RBUTpDQUxNLklRX0RJVl9TSEFSRS4yMDAwLjI5LzAzLzIwMjYuLi5VU0QuSAEAAAAgegUAAgAAAAU3Ljk0NQEIAAAABQAAAAExAQAAAAstMTkxMDYyNzgzOAMAAAADMTYwAgAAAAQzMDU4BAAAAAEwBwAAAAkzLzI5LzIwMjYIAAAACjExLzI5LzIwMjUJAAAAATAVn+R6RI3eCKQEJHxEjd4IMUNJUS5OQVNEQVE6Q0FMTS5JUV9OSV9TRkFTLjk5Mi4yOS8wMy8yMDI2Li4uVVNELkgBAAAAIHoFAAMAAAAAAFcLlnpEjd4IVHuRfkSN3gg2Q0lRLk5BU0RBUTpDQUxNLklRX0VCSVRBX0VRX0lOQy45OTEuMjkvMDMvMjAyNi4uLlVTRC5IAQAAACB6BQACAAAABjQ3Ny45MwEIAAAABQAAAAExAQAAAAoxODk2ODIwNTE3AwAAAAMxNjACAAAABTIxNjc2BAAAAAEwBwAAAAkzLzI5LzIwMjYIAAAACTUvMjgvMjAxNgkAAAABMFvklXpEjd4IMfEmfESN3gg3Q0lRLk5BU0RBUTpDQUxNLklRX01BSU5UX1JFUEFJUi4yMDAwLjI5LzAzLzIwMjYuLi5VU0QuSAEAAAAgegUAAwAAAAAAilmWekSN3giEzDB8RI3eCEtDSVEuTkFTREFROkNBTE0uSVFfRUJJVERBX0VRX0lOQ19FWENMX09QRVJfTEVBU0Vf</t>
  </si>
  <si>
    <t>QURKLjk5MS4yOS8wMy8yMDI2Li4uVVNELkgBAAAAIHoFAAIAAAAHNTE5LjkyMgEIAAAABQAAAAExAQAAAAoxODk2ODIwNTE3AwAAAAMxNjACAAAABTQ4OTg3BAAAAAEwBwAAAAkzLzI5LzIwMjYIAAAACTUvMjgvMjAxNgkAAAABMBWf5HpEjd4IQp8lfESN3ggsQ0lRLk5BU0RBUTpDQUxNLklRX0RPLjk5MS4yOS8wMy8yMDI2Li4uVVNELkgBAAAAIHoFAAMAAAAAAKx45HpEjd4IMFwhfESN3ggzQ0lRLk5BU0RBUTpDQUxNLklRX0VCVF9FWENMLjIwMDAuMjkvMDMvMjAyNi4uLlVTRC5IAQAAACB6BQACAAAACDE1MzQuNTQ0AQgAAAAFAAAAATEBAAAACy0xOTEwNjI3ODM4AwAAAAMxNjACAAAAATQEAAAAATAHAAAACTMvMjkvMjAyNggAAAAKMTEvMjkvMjAyNQkAAAABMIFR5HpEjd4IaF4ffESN3ghMQ0lRLk5BU0RBUTpDQUxNLklRX0lOVEVSRVNUX0VYUF9MRUFTRV9MSUFCSUxJVFlfREVCVC4yMDAwLjI5LzAzLzIwMjYuLi5VU0QuSAEAAAAgegUAAwAAAAAAfTKWekSN3ggjuix8RI3eCC1DSVEuTkFTREFROkNBTE0uSVFfTkkuMjAwMC4yOS8wMy8yMDI2Li4uVVNELkgBAAAAIHoFAAIAAAAIMTE1My4xMDcBCAAAAAUAAAABMQEAAAALLTE5MTA2Mjc4MzgDAAAAAzE2MAIAAAACMTUEAAAAATAHAAAACTMvMjkvMjAyNggAAAAKMTEvMjkvMjAyNQkAAAABMKx45HpEjd4Izk0ifESN3gg0Q0lRLk5BU0RBUTpDQUxN</t>
  </si>
  <si>
    <t>LklRX09USEVSX09QRVIuOTkwLjI5LzAzLzIwMjYuLi5VU0QuSAEAAAAgegUAAwAAAAAAgVHkekSN3gibhB18RI3eCDVDSVEuTkFTREFROkNBTE0uSVFfQ09NTU9OX0RJVi4yMDAwLjI5LzAzLzIwMjYuLi5VU0QuSAEAAAAgegUAAgAAAAczODQuMzQ1AH0ylnpEjd4IigYufESN3gg1Q0lRLk5BU0RBUTpDQUxNLklRX0VBUk5JTkdfQ08uMjAwMC4yOS8wMy8yMDI2Li4uVVNELkgBAAAAIHoFAAIAAAAIMTE1Mi4zMTcBCAAAAAUAAAABMQEAAAALLTE5MTA2Mjc4MzgDAAAAAzE2MAIAAAABNwQAAAABMAcAAAAJMy8yOS8yMDI2CAAAAAoxMS8yOS8yMDI1CQAAAAEwrHjkekSN3ggwXCF8RI3eCEJDSVEuTkFTREFROkNBTE0uSVFfT1RIRVJfTk9OX09QRVJfRVhQX1NVUFBMLjk5MC4yOS8wMy8yMDI2Li4uVVNELkgBAAAAIHoFAAIAAAAFMi42NzIBCAAAAAUAAAABMQEAAAAKMTg1MDIyMDg0NQMAAAADMTYwAgAAAAI4NQQAAAABMAcAAAAJMy8yOS8yMDI2CAAAAAk1LzMwLzIwMTUJAAAAATCBUeR6RI3eCD7oHnxEjd4ILUNJUS5OQVNEQVE6Q0FMTS5JUV9HUC4yMDAwLjI5LzAzLzIwMjYuLi5VU0QuSAEAAAAgegUAAgAAAAgxNzY2LjMyNQEIAAAABQAAAAExAQAAAAstMTkxMDYyNzgzOAMAAAADMTYwAgAAAAIxMAQAAAABMAcAAAAJMy8yOS8yMDI2CAAAAAoxMS8yOS8yMDI1CQAAAAEwgVHkekSN3giBQBt8RI3eCDpD</t>
  </si>
  <si>
    <t>SVEuTkFTREFROkNBTE0uSVFfR0FJTl9BU1NFVFNfUkVWLjIwMDAuMjkvMDMvMjAyNi4uLlVTRC5IAQAAACB6BQADAAAAAABaKuR6RI3eCHhFFnxEjd4IOENJUS5OQVNEQVE6Q0FMTS5JUV9CQVNJQ19FUFNfSU5DTC45OTEuMjkvMDMvMjAyNi4uLlVTRC5IAQAAACB6BQACAAAACDYuNTU3NTQ3AQgAAAAFAAAAATEBAAAACjE4OTY4MjA1MTcDAAAAAzE2MAIAAAABOQQAAAABMAcAAAAJMy8yOS8yMDI2CAAAAAk1LzI4LzIwMTYJAAAAATCseOR6RI3eCM6bInxEjd4IOENJUS5OQVNEQVE6Q0FMTS5JUV9OSV9BVkFJTF9FWENMLjIwMDAuMjkvMDMvMjAyNi4uLlVTRC5IAQAAACB6BQACAAAACDExNTMuMTA3AQgAAAAFAAAAATEBAAAACy0xOTEwNjI3ODM4AwAAAAMxNjACAAAAAzM3OQQAAAABMAcAAAAJMy8yOS8yMDI2CAAAAAoxMS8yOS8yMDI1CQAAAAEwrHjkekSN3gg3wyJ8RI3eCDhDSVEuTkFTREFROkNBTE0uSVFfUFJFX09QRU5fQ09TVC4yMDAwLjI5LzAzLzIwMjYuLi5VU0QuSAEAAAAgegUAAwAAAAAAgVHkekSN3ghzGBx8RI3eCDVDSVEuTkFTREFROkNBTE0uSVFfRklOX0RJVl9SRVYuOTkyLjI5LzAzLzIwMjYuLi5VU0QuSAEAAAAgegUAAwAAAAAAWirkekSN3ghn0Zp+RI3eCC5DSVEuTkFTREFROkNBTE0uSVFfSVBSRC45OTAuMjkvMDMvMjAyNi4uLlVTRC5IAQAAACB6BQADAAAAAACseOR6RI3eCFAP</t>
  </si>
  <si>
    <t>IHxEjd4IMUNJUS5OQVNEQVE6Q0FMTS5JUV9FQklUREFSLjk5MS4yOS8wMy8yMDI2Li4uVVNELkgBAAAAIHoFAAIAAAAHNTE4Ljk5NgEIAAAABQAAAAExAQAAAAoxODk2ODIwNTE3AwAAAAMxNjACAAAABTIxNjc0BAAAAAEwBwAAAAkzLzI5LzIwMjYIAAAACTUvMjgvMjAxNgkAAAABMFcLlnpEjd4ImrQnfESN3gg1Q0lRLk5BU0RBUTpDQUxNLklRX0ZJTl9ESVZfUkVWLjk5MS4yOS8wMy8yMDI2Li4uVVNELkgBAAAAIHoFAAMAAAAAAFoq5HpEjd4IMOMVfESN3ghDQ0lRLk5BU0RBUTpDQUxNLklRX05PTlJFQ1VSUklOR19JTkNPTUVfVEFYRVMuOTkyLjI5LzAzLzIwMjYuLi5VU0QuSAEAAAAgegUAAwAAAAAAfTKWekSN3giTaZB+RI3eCDVDSVEuTkFTREFROkNBTE0uSVFfT1RIRVJfT1BFUi4yMDAwLjI5LzAzLzIwMjYuLi5VU0QuSAEAAAAgegUAAwAAAAAAgVHkekSN3giZvx18RI3eCDpDSVEuTkFTREFROkNBTE0uSVFfQVNTRVRfV1JJVEVET1dOLjIwMDAuMjkvMDMvMjAyNi4uLlVTRC5IAQAAACB6BQADAAAAAACseOR6RI3eCFRKIHxEjd4IL0NJUS5OQVNEQVE6Q0FMTS5JUV9FQklULjIwMDAuMjkvMDMvMjAyNi4uLlVTRC5IAQAAACB6BQACAAAACDE0NTYuMTM0AQgAAAAFAAAAATEBAAAACy0xOTEwNjI3ODM4AwAAAAMxNjACAAAAAzQwMAQAAAABMAcAAAAJMy8yOS8yMDI2CAAAAAoxMS8yOS8yMDI1CQAA</t>
  </si>
  <si>
    <t>AAEwQcbkekSN3ghLxiV8RI3eCDtDSVEuTkFTREFROkNBTE0uSVFfU1BFQ0lBTF9ESVZfU0hBUkUuOTkwLjI5LzAzLzIwMjYuLi5VU0QuSAEAAAAgegUAAwAAAAAAFZ/kekSN3gi2UiR8RI3eCDlDSVEuTkFTREFROkNBTE0uSVFfR0FJTl9JTlZFU1RfUkVWLjk5Mi4yOS8wMy8yMDI2Li4uVVNELkgBAAAAIHoFAAMAAAAAAFoq5HpEjd4IPaqafkSN3ghDQ0lRLk5BU0RBUTpDQUxNLklRX0VBUk5JTkdfUEFSRU5UX0VYQ0xfRVhUUkEuOTkxLjI5LzAzLzIwMjYuLi5VU0QuSAEAAAAgegUAAgAAAAczMTYuMDQxAQgAAAAFAAAAATEBAAAACjE4OTY4MjA1MTcDAAAAAzE2MAIAAAAFNDE1OTYEAAAAATAHAAAACTMvMjkvMjAyNggAAAAJNS8yOC8yMDE2CQAAAAEwVwuWekSN3giPPCl8RI3eCDRDSVEuTkFTREFROkNBTE0uSVFfU0dBX1NVUFBMLjIwMDAuMjkvMDMvMjAyNi4uLlVTRC5IAQAAACB6BQACAAAABzMxMC4xOTEBCAAAAAUAAAABMQEAAAALLTE5MTA2Mjc4MzgDAAAAAzE2MAIAAAADMTAyBAAAAAEwBwAAAAkzLzI5LzIwMjYIAAAACjExLzI5LzIwMjUJAAAAATCBUeR6RI3eCPZnG3xEjd4IOUNJUS5OQVNEQVE6Q0FMTS5JUV9PVEhFUl9SRVZfU1VQUEwuOTkxLjI5LzAzLzIwMjYuLi5VU0QuSAEAAAAgegUAAwAAAAAAWirkekSN3gjJuhZ8RI3eCDlDSVEuTkFTREFROkNBTE0uSVFfR1dfSU5UQU5fQU1PUlQu</t>
  </si>
  <si>
    <t>MjAwMC4yOS8wMy8yMDI2Li4uVVNELkgBAAAAIHoFAAMAAAAAAIFR5HpEjd4IjEkdfESN3gg2Q0lRLk5BU0RBUTpDQUxNLklRX0dBSU5fSU5WRVNULjIwMDAuMjkvMDMvMjAyNi4uLlVTRC5IAQAAACB6BQACAAAABTAuMDc2AQgAAAAFAAAAATEBAAAACy0xOTEwNjI3ODM4AwAAAAMxNjACAAAAAjYyBAAAAAEwBwAAAAkzLzI5LzIwMjYIAAAACjExLzI5LzIwMjUJAAAAATCseOR6RI3eCEDUH3xEjd4IOUNJUS5OQVNEQVE6Q0FMTS5JUV9QUkVGX0RJVl9PVEhFUi4yMDAwLjI5LzAzLzIwMjYuLi5VU0QuSAEAAAAgegUAAwAAAAAArHjkekSN3gjvdCJ8RI3eCC1DSVEuTkFTREFROkNBTE0uSVFfRE8uMjAwMC4yOS8wMy8yMDI2Li4uVVNELkgBAAAAIHoFAAMAAAAAAKx45HpEjd4ICoMhfESN3ggyQ0lRLk5BU0RBUTpDQUxNLklRX0VQU19OT1JNLjk5Mi4yOS8wMy8yMDI2Li4uVVNELkgBAAAAIHoFAAIAAAAJLTEuNDI5NTI2AQgAAAAFAAAAATEBAAAACjE5NzIwMTIxMjEDAAAAAzE2MAIAAAAENDM3OQQAAAABMAcAAAAJMy8yOS8yMDI2CAAAAAg2LzMvMjAxNwkAAAABMBWf5HpEjd4IfdyUfkSN3gg2Q0lRLk5BU0RBUTpDQUxNLklRX0VCSVRBX0VRX0lOQy45OTAuMjkvMDMvMjAyNi4uLlVTRC5IAQAAACB6BQACAAAABzI0MC44OTIBCAAAAAUAAAABMQEAAAAKMTg1MDIyMDg0NQMAAAADMTYwAgAAAAUyMTY3NgQA</t>
  </si>
  <si>
    <t>AAABMAcAAAAJMy8yOS8yMDI2CAAAAAk1LzMwLzIwMTUJAAAAATBb5JV6RI3eCDHxJnxEjd4IP0NJUS5OQVNEQVE6Q0FMTS5JUV9FQklUREFfTEVBU0VfQURKVVNURUQuOTkxLjI5LzAzLzIwMjYuLi5VU0QuSAEAAAAgegUAAgAAAAc1MTQuOTA2AQgAAAAFAAAAATEBAAAACjE4OTY4MjA1MTcDAAAAAzE2MAIAAAAFNDg5OTMEAAAAATAHAAAACTMvMjkvMjAyNggAAAAJNS8yOC8yMDE2CQAAAAEwFZ/kekSN3gj+KSV8RI3eCD5DSVEuTkFTREFROkNBTE0uSVFfQ1VSUl9ET01FU1RJQ19UQVhFUy4yMDAwLjI5LzAzLzIwMjYuLi5VU0QuSAEAAAAgegUAAgAAAAYzNzMuMzQBCAAAAAUAAAABMQEAAAALLTE5MTA2Mjc4MzgDAAAAAzE2MAIAAAAEMzAyNwQAAAABMAcAAAAJMy8yOS8yMDI2CAAAAAoxMS8yOS8yMDI1CQAAAAEwVwuWekSN3ggZYip8RI3eCDFDSVEuTkFTREFROkNBTE0uSVFfTklfU0ZBUy45OTAuMjkvMDMvMjAyNi4uLlVTRC5IAQAAACB6BQADAAAAAABXC5Z6RI3eCGJ3KXxEjd4ILkNJUS5OQVNEQVE6Q0FMTS5JUV9DT0dTLjk5MC4yOS8wMy8yMDI2Li4uVVNELkgBAAAAIHoFAAIAAAAIMTE4MC40MDcBCAAAAAUAAAABMQEAAAAKMTg1MDIyMDg0NQMAAAADMTYwAgAAAAIzNAQAAAABMAcAAAAJMy8yOS8yMDI2CAAAAAk1LzMwLzIwMTUJAAAAATBaKuR6RI3eCHAKF3xEjd4IQUNJUS5OQVNEQVE6Q0FM</t>
  </si>
  <si>
    <t>TS5JUV9TQUxBUklFU19PVEhFUl9CRU5FRklUUy45OTAuMjkvMDMvMjAyNi4uLlVTRC5IAQAAACB6BQADAAAAAACKWZZ6RI3eCKVVMXxEjd4ILENJUS5OQVNEQVE6Q0FMTS5JUV9ETy45OTIuMjkvMDMvMjAyNi4uLlVTRC5IAQAAACB6BQADAAAAAACseOR6RI3eCB4pln5Ejd4IQkNJUS5OQVNEQVE6Q0FMTS5JUV9PVEhFUl9OT05fT1BFUl9FWFBfU1VQUEwuOTkyLjI5LzAzLzIwMjYuLi5VU0QuSAEAAAAgegUAAgAAAAU3Ljc4OAEIAAAABQAAAAExAQAAAAoxOTcyMDEyMTIxAwAAAAMxNjACAAAAAjg1BAAAAAEwBwAAAAkzLzI5LzIwMjYIAAAACDYvMy8yMDE3CQAAAAEwgVHkekSN3gjUw5d+RI3eCDNDSVEuTkFTREFROkNBTE0uSVFfU0dBX1NVUFBMLjk5MS4yOS8wMy8yMDI2Li4uVVNELkgBAAAAIHoFAAIAAAAGMTc3Ljc2AQgAAAAFAAAAATEBAAAACjE4OTY4MjA1MTcDAAAAAzE2MAIAAAADMTAyBAAAAAEwBwAAAAkzLzI5LzIwMjYIAAAACTUvMjgvMjAxNgkAAAABMIFR5HpEjd4IjQUbfESN3gg2Q0lRLk5BU0RBUTpDQUxNLklRX0lOVEVSRVNUX0VYUC45OTEuMjkvMDMvMjAyNi4uLlVTRC5IAQAAACB6BQACAAAABi0xLjE1NgEIAAAABQAAAAExAQAAAAoxODk2ODIwNTE3AwAAAAMxNjACAAAAAjgyBAAAAAEwBwAAAAkzLzI5LzIwMjYIAAAACTUvMjgvMjAxNgkAAAABMIFR5HpEjd4IvfodfESN3gg4Q0lR</t>
  </si>
  <si>
    <t>Lk5BU0RBUTpDQUxNLklRX0dXX0lOVEFOX0FNT1JULjk5MC4yOS8wMy8yMDI2Li4uVVNELkgBAAAAIHoFAAMAAAAAAIFR5HpEjd4IcA4dfESN3gg2Q0lRLk5BU0RBUTpDQUxNLklRX0VCSVREQV9DQVBFWC45OTIuMjkvMDMvMjAyNi4uLlVTRC5IAQAAACB6BQACAAAACC0xNDguMDI2AQgAAAAFAAAAATEBAAAACjE5NzIwMTIxMjEDAAAAAzE2MAIAAAAFMzUzNzkEAAAAATAHAAAACTMvMjkvMjAyNggAAAAINi8zLzIwMTcJAAAAATBXC5Z6RI3eCMFSkn5Ejd4ITkNJUS5OQVNEQVE6Q0FMTS5JUV9ESVNUUklCVVRBQkxFX0NBU0hfUEVSX1NIQVJFX0RJTFVURUQuOTkxLjI5LzAzLzIwMjYuLi5VU0QuSAEAAAAgegUAAwAAAAAAFZ/kekSN3gjH3SN8RI3eCC5DSVEuTkFTREFROkNBTE0uSVFfSVBSRC45OTEuMjkvMDMvMjAyNi4uLlVTRC5IAQAAACB6BQADAAAAAACseOR6RI3eCFAPIHxEjd4IMUNJUS5OQVNEQVE6Q0FMTS5JUV9FQklUREFSLjk5MC4yOS8wMy8yMDI2Li4uVVNELkgBAAAAIHoFAAIAAAAHMjc5LjE0NAEIAAAABQAAAAExAQAAAAoxODUwMjIwODQ1AwAAAAMxNjACAAAABTIxNjc0BAAAAAEwBwAAAAkzLzI5LzIwMjYIAAAACTUvMzAvMjAxNQkAAAABMFvklXpEjd4Ij40nfESN3ghNQ0lRLk5BU0RBUTpDQUxNLklRX1BST1ZfQkFEX0RFQlRTX1BBVElFTlRfU0VSVklDRV9SRVYuMjAwMC4yOS8wMy8y</t>
  </si>
  <si>
    <t>MDI2Li4uVVNELkgBAAAAIHoFAAMAAAAAAFcLlnpEjd4IjzwpfESN3ggyQ0lRLk5BU0RBUTpDQUxNLklRX0VQU19OT1JNLjk5MC4yOS8wMy8yMDI2Li4uVVNELkgBAAAAIHoFAAIAAAAIMy4xODYyNjkBCAAAAAUAAAABMQEAAAAKMTg1MDIyMDg0NQMAAAADMTYwAgAAAAQ0Mzc5BAAAAAEwBwAAAAkzLzI5LzIwMjYIAAAACTUvMzAvMjAxNQkAAAABMBWf5HpEjd4IX48jfESN3ggwQ0lRLk5BU0RBUTpDQUxNLklRX0VCSVRBLjIwMDAuMjkvMDMvMjAyNi4uLlVTRC5IAQAAACB6BQACAAAACDE0NTguMjkyAQgAAAAFAAAAATEBAAAACy0xOTEwNjI3ODM4AwAAAAMxNjACAAAABjEwMDY4OQQAAAABMAcAAAAJMy8yOS8yMDI2CAAAAAoxMS8yOS8yMDI1CQAAAAEwW+SVekSN3ggx8SZ8RI3eCDpDSVEuTkFTREFROkNBTE0uSVFfRUJJVERBX0VYQ0xfU0JDLjIwMDAuMjkvMDMvMjAyNi4uLlVTRC5IAQAAACB6BQACAAAACDE1NjkuMTMzAQgAAAAFAAAAATEBAAAACy0xOTEwNjI3ODM4AwAAAAMxNjACAAAABTI0MTM1BAAAAAEwBwAAAAkzLzI5LzIwMjYIAAAACjExLzI5LzIwMjUJAAAAATAVn+R6RI3eCA9RJXxEjd4IP0NJUS5OQVNEQVE6Q0FMTS5JUV9NSU5PUklUWV9JTlRFUkVTVF9JUy4yMDAwLjI5LzAzLzIwMjYuLi5VU0QuSAEAAAAgegUAAgAAAAQwLjc5AQgAAAAFAAAAATEBAAAACy0xOTEwNjI3ODM4AwAAAAMx</t>
  </si>
  <si>
    <t>NjACAAAAAjgzBAAAAAEwBwAAAAkzLzI5LzIwMjYIAAAACjExLzI5LzIwMjUJAAAAATCseOR6RI3eCMEmInxEjd4IMkNJUS5OQVNEQVE6Q0FMTS5JUV9JTkNfVEFYLjIwMDAuMjkvMDMvMjAyNi4uLlVTRC5IAQAAACB6BQACAAAABzM2My4yNTUBCAAAAAUAAAABMQEAAAALLTE5MTA2Mjc4MzgDAAAAAzE2MAIAAAACNzUEAAAAATAHAAAACTMvMjkvMjAyNggAAAAKMTEvMjkvMjAyNQkAAAABMKx45HpEjd4I7DQhfESN3ggxQ0lRLk5BU0RBUTpDQUxNLklRX01FUkdFUi4yMDAwLjI5LzAzLzIwMjYuLi5VU0QuSAEAAAAgegUAAgAAAAYtMC41OTQBCAAAAAUAAAABMQEAAAALLTE5MTA2Mjc4MzgDAAAAAzE2MAIAAAACODAEAAAAATAHAAAACTMvMjkvMjAyNggAAAAKMTEvMjkvMjAyNQkAAAABMKx45HpEjd4IaF4ffESN3ggwQ0lRLk5BU0RBUTpDQUxNLklRX1JEX0VYUC45OTIuMjkvMDMvMjAyNi4uLlVTRC5IAQAAACB6BQADAAAAAACBUeR6RI3eCDwQmX5Ejd4IPkNJUS5OQVNEQVE6Q0FMTS5JUV9JTVBBSVJNRU5UX0dXX1NVUFBMRS45OTAuMjkvMDMvMjAyNi4uLlVTRC5IAQAAACB6BQADAAAAAACKWZZ6RI3eCLHKMXxEjd4IOENJUS5OQVNEQVE6Q0FMTS5JUV9FQklUREFSX0VRX0lOQy45OTAuMjkvMDMvMjAyNi4uLlVTRC5IAQAAACB6BQACAAAABzI4MS44MDEBCAAAAAUAAAABMQEAAAAKMTg1MDIyMDg0NQMA</t>
  </si>
  <si>
    <t>AAADMTYwAgAAAAUyNDEyOQQAAAABMAcAAAAJMy8yOS8yMDI2CAAAAAk1LzMwLzIwMTUJAAAAATBXC5Z6RI3eCF7vJ3xEjd4IN0NJUS5OQVNEQVE6Q0FMTS5JUV9FQklUREFfRVFfSU5DLjk5MS4yOS8wMy8yMDI2Li4uVVNELkgBAAAAIHoFAAIAAAAHNTE5LjkyMgEIAAAABQAAAAExAQAAAAoxODk2ODIwNTE3AwAAAAMxNjACAAAABTIxNjc3BAAAAAEwBwAAAAkzLzI5LzIwMjYIAAAACTUvMjgvMjAxNgkAAAABMBWf5HpEjd4I/cckfESN3gg0Q0lRLk5BU0RBUTpDQUxNLklRX0NVUlJfVEFYRVMuOTkxLjI5LzAzLzIwMjYuLi5VU0QuSAEAAAAgegUAAgAAAAYxNDkuODEBCAAAAAUAAAABMQEAAAAKMTg5NjgyMDUxNwMAAAADMTYwAgAAAAUzNTM4MwQAAAABMAcAAAAJMy8yOS8yMDI2CAAAAAk1LzI4LzIwMTYJAAAAATBXC5Z6RI3eCKm1KnxEjd4IL0NJUS5OQVNEQVE6Q0FMTS5JUV9JUFJELjIwMDAuMjkvMDMvMjAyNi4uLlVTRC5IAQAAACB6BQADAAAAAACseOR6RI3eCFRKIHxEjd4IN0NJUS5OQVNEQVE6Q0FMTS5JUV9OSV9BVkFJTF9JTkNMLjk5Mi4yOS8wMy8yMDI2Li4uVVNELkgBAAAAIHoFAAIAAAAHLTc0LjI3OAEIAAAABQAAAAExAQAAAAoxOTcyMDEyMTIxAwAAAAMxNjACAAAAAjE2BAAAAAEwBwAAAAkzLzI5LzIwMjYIAAAACDYvMy8yMDE3CQAAAAEwrHjkekSN3gjzjJV+RI3eCDlDSVEuTkFTREFR</t>
  </si>
  <si>
    <t>OkNBTE0uSVFfRVhUUkFfQUNDX0lURU1TLjk5MS4yOS8wMy8yMDI2Li4uVVNELkgBAAAAIHoFAAMAAAAAAKx45HpEjd4INKohfESN3gg9Q0lRLk5BU0RBUTpDQUxNLklRX09USEVSX1VOVVNVQUxfU1VQUEwuOTkyLjI5LzAzLzIwMjYuLi5VU0QuSAEAAAAgegUAAwAAAAAArHjkekSN3ghespZ+RI3eCDdDSVEuTkFTREFROkNBTE0uSVFfRUJJVEFfRVFfSU5DLjIwMDAuMjkvMDMvMjAyNi4uLlVTRC5IAQAAACB6BQACAAAACDE0NjQuNTEzAQgAAAAFAAAAATEBAAAACy0xOTEwNjI3ODM4AwAAAAMxNjACAAAABTIxNjc2BAAAAAEwBwAAAAkzLzI5LzIwMjYIAAAACjExLzI5LzIwMjUJAAAAATBb5JV6RI3eCE0YJ3xEjd4IMkNJUS5OQVNEQVE6Q0FMTS5JUV9OSV9TRkFTLjIwMDAuMjkvMDMvMjAyNi4uLlVTRC5IAQAAACB6BQADAAAAAABXC5Z6RI3eCKieKXxEjd4INkNJUS5OQVNEQVE6Q0FMTS5JUV9TVE9DS19CQVNFRC4yMDAwLjI5LzAzLzIwMjYuLi5VU0QuSAEAAAAgegUAAwAAAAAAgVHkekSN3ghzGBx8RI3eCC5DSVEuTkFTREFROkNBTE0uSVFfUkVWLjIwMDAuMjkvMDMvMjAyNi4uLlVTRC5IAQAAACB6BQACAAAACDQyMTMuNDQzAQgAAAAFAAAAATEBAAAACy0xOTEwNjI3ODM4AwAAAAMxNjACAAAAAzExMgQAAAABMAcAAAAJMy8yOS8yMDI2CAAAAAoxMS8yOS8yMDI1CQAAAAEwWirkekSN3ggw4xV8RI3e</t>
  </si>
  <si>
    <t>CD5DSVEuTkFTREFROkNBTE0uSVFfVE9UQUxfVU5VU1VBTF9TVVBQTEUuOTkxLjI5LzAzLzIwMjYuLi5VU0QuSAEAAAAgegUAAgAAAAUwLjc5OAEIAAAABQAAAAExAQAAAAoxODk2ODIwNTE3AwAAAAMxNjACAAAABTMzMzkwBAAAAAEwBwAAAAkzLzI5LzIwMjYIAAAACTUvMjgvMjAxNgkAAAABMJSAlnpEjd4IcmUzfESN3ghKQ0lRLk5BU0RBUTpDQUxNLklRX0RJU1RSSUJVVEFCTEVfQ0FTSF9TVEFOREFSRElaRUQuMjAwMC4yOS8wMy8yMDI2Li4uVVNELkgBAAAAIHoFAAMAAAAAAH0ylnpEjd4Ign0tfESN3ggtQ0lRLk5BU0RBUTpDQUxNLklRX0VCVC45OTAuMjkvMDMvMjAyNi4uLlVTRC5IAQAAACB6BQACAAAABzI0Ni41NDkBCAAAAAUAAAABMQEAAAAKMTg1MDIyMDg0NQMAAAADMTYwAgAAAAMxMzkEAAAAATAHAAAACTMvMjkvMjAyNggAAAAJNS8zMC8yMDE1CQAAAAEwrHjkekSN3gjd5iB8RI3eCDZDSVEuTkFTREFROkNBTE0uSVFfR0FJTl9BU1NFVFMuMjAwMC4yOS8wMy8yMDI2Li4uVVNELkgBAAAAIHoFAAIAAAAGLTEuOTU0AQgAAAAFAAAAATEBAAAACy0xOTEwNjI3ODM4AwAAAAMxNjACAAAAAjU2BAAAAAEwBwAAAAkzLzI5LzIwMjYIAAAACjExLzI5LzIwMjUJAAAAATCseOR6RI3eCFAPIHxEjd4IOkNJUS5OQVNEQVE6Q0FMTS5JUV9ORVRfSU5URVJFU1RfRVhQLjk5MS4yOS8wMy8yMDI2Li4uVVNE</t>
  </si>
  <si>
    <t>LkgBAAAAIHoFAAIAAAAGMTAuMDg4AQgAAAAFAAAAATEBAAAACjE4OTY4MjA1MTcDAAAAAzE2MAIAAAADMzY4BAAAAAEwBwAAAAkzLzI5LzIwMjYIAAAACTUvMjgvMjAxNgkAAAABMIFR5HpEjd4IKzYefESN3gg4Q0lRLk5BU0RBUTpDQUxNLklRX1BST1ZfQkFEX0RFQlRTLjk5Mi4yOS8wMy8yMDI2Li4uVVNELkgBAAAAIHoFAAMAAAAAAIFR5HpEjd4IYIWZfkSN3gg4Q0lRLk5BU0RBUTpDQUxNLklRX0VCSVRBX0VYQ0xfU0JDLjk5MC4yOS8wMy8yMDI2Li4uVVNELkgBAAAAIHoFAAIAAAAGMjQxLjE5AQgAAAAFAAAAATEBAAAACjE4NTAyMjA4NDUDAAAAAzE2MAIAAAAFMjQxMzYEAAAAATAHAAAACTMvMjkvMjAyNggAAAAJNS8zMC8yMDE1CQAAAAEwW+SVekSN3giJZid8RI3eCDlDSVEuTkFTREFROkNBTE0uSVFfRElMVVRfRVBTX0VYQ0wuMjAwMC4yOS8wMy8yMDI2Li4uVVNELkgBAAAAIHoFAAIAAAAJMjMuNzQzOTA1AQgAAAAFAAAAATEBAAAACy0xOTEwNjI3ODM4AwAAAAMxNjACAAAAAzE0MgQAAAABMAcAAAAJMy8yOS8yMDI2CAAAAAoxMS8yOS8yMDI1CQAAAAEwFZ/kekSN3ghCXyN8RI3eCDpDSVEuTkFTREFROkNBTE0uSVFfRVhUUkFfQUNDX0lURU1TLjIwMDAuMjkvMDMvMjAyNi4uLlVTRC5IAQAAACB6BQADAAAAAACseOR6RI3eCFXRIXxEjd4INENJUS5OQVNEQVE6Q0FMTS5JUV9PVEhFUl9PUEVS</t>
  </si>
  <si>
    <t>Ljk5MS4yOS8wMy8yMDI2Li4uVVNELkgBAAAAIHoFAAMAAAAAAIFR5HpEjd4Im4QdfESN3gg/Q0lRLk5BU0RBUTpDQUxNLklRX05FVF9SRU5UQUxfRVhQX1NVUFBMRS45OTEuMjkvMDMvMjAyNi4uLlVTRC5IAQAAACB6BQACAAAABDQuMDkBCAAAAAUAAAABMQEAAAAKMTg5NjgyMDUxNwMAAAADMTYwAgAAAAUyNDI2MwQAAAABMAcAAAAJMy8yOS8yMDI2CAAAAAk1LzI4LzIwMTYJAAAAATCKWZZ6RI3eCKmNL3xEjd4IQkNJUS5OQVNEQVE6Q0FMTS5JUV9ESVNUUklCVVRBQkxFX0NBU0hfU0hBUkUuOTkxLjI5LzAzLzIwMjYuLi5VU0QuSAEAAAAgegUAAwAAAAAAFZ/kekSN3gipKyR8RI3eCDlDSVEuTkFTREFROkNBTE0uSVFfRUJJVERBX0VYQ0xfU0JDLjk5MS4yOS8wMy8yMDI2Li4uVVNELkgBAAAAIHoFAAIAAAAHNTE3Ljk3NwEIAAAABQAAAAExAQAAAAoxODk2ODIwNTE3AwAAAAMxNjACAAAABTI0MTM1BAAAAAEwBwAAAAkzLzI5LzIwMjYIAAAACTUvMjgvMjAxNgkAAAABMBWf5HpEjd4I/iklfESN3ghOQ0lRLk5BU0RBUTpDQUxNLklRX0RJU1RSSUJVVEFCTEVfQ0FTSF9QRVJfU0hBUkVfRElMVVRFRC45OTIuMjkvMDMvMjAyNi4uLlVTRC5IAQAAACB6BQADAAAAAAAVn+R6RI3eCHK1lH5Ejd4INUNJUS5OQVNEQVE6Q0FMTS5JUV9JTlNfU0VUVExFLjIwMDAuMjkvMDMvMjAyNi4uLlVTRC5IAQAAACB6BQAD</t>
  </si>
  <si>
    <t>AAAAAACseOR6RI3eCK6YIHxEjd4IOENJUS5OQVNEQVE6Q0FMTS5JUV9ESUxVVF9FUFNfSU5DTC45OTAuMjkvMDMvMjAyNi4uLlVTRC5IAQAAACB6BQACAAAABDMuMzMBCAAAAAUAAAABMQEAAAAKMTg1MDIyMDg0NQMAAAADMTYwAgAAAAE4BAAAAAEwBwAAAAkzLzI5LzIwMjYIAAAACTUvMzAvMjAxNQkAAAABMBWf5HpEjd4IDREjfESN3gg1Q0lRLk5BU0RBUTpDQUxNLklRX0dBSU5fSU5WRVNULjk5MC4yOS8wMy8yMDI2Li4uVVNELkgBAAAAIHoFAAIAAAAFMC4wNzUBCAAAAAUAAAABMQEAAAAKMTg1MDIyMDg0NQMAAAADMTYwAgAAAAI2MgQAAAABMAcAAAAJMy8yOS8yMDI2CAAAAAk1LzMwLzIwMTUJAAAAATCseOR6RI3eCFWZH3xEjd4IM0NJUS5OQVNEQVE6Q0FMTS5JUV9EQV9TVVBQTC4yMDAwLjI5LzAzLzIwMjYuLi5VU0QuSAEAAAAgegUAAwAAAAAAgVHkekSN3ghwDh18RI3eCDBDSVEuTkFTREFROkNBTE0uSVFfUkRfRVhQLjk5MS4yOS8wMy8yMDI2Li4uVVNELkgBAAAAIHoFAAMAAAAAAIFR5HpEjd4IcxgcfESN3ggzQ0lRLk5BU0RBUTpDQUxNLklRX0RJVl9TSEFSRS45OTEuMjkvMDMvMjAyNi4uLlVTRC5IAQAAACB6BQACAAAABTIuMTc1AQgAAAAFAAAAATEBAAAACjE4OTY4MjA1MTcDAAAAAzE2MAIAAAAEMzA1OAQAAAABMAcAAAAJMy8yOS8yMDI2CAAAAAk1LzI4LzIwMTYJAAAAATAVn+R6RI3e</t>
  </si>
  <si>
    <t>CKQEJHxEjd4IOUNJUS5OQVNEQVE6Q0FMTS5JUV9HQUlOX0lOVkVTVF9SRVYuOTkxLjI5LzAzLzIwMjYuLi5VU0QuSAEAAAAgegUAAwAAAAAAWirkekSN3gi9bBZ8RI3eCDFDSVEuTkFTREFROkNBTE0uSVFfSU5DX1RBWC45OTAuMjkvMDMvMjAyNi4uLlVTRC5IAQAAACB6BQACAAAABjg0LjI2OAEIAAAABQAAAAExAQAAAAoxODUwMjIwODQ1AwAAAAMxNjACAAAAAjc1BAAAAAEwBwAAAAkzLzI5LzIwMjYIAAAACTUvMzAvMjAxNQkAAAABMKx45HpEjd4I3eYgfESN3ggwQ0lRLk5BU0RBUTpDQUxNLklRX01FUkdFUi45OTEuMjkvMDMvMjAyNi4uLlVTRC5IAQAAACB6BQADAAAAAACseOR6RI3eCGheH3xEjd4IQ0NJUS5OQVNEQVE6Q0FMTS5JUV9PVEhFUl9OT05fT1BFUl9FWFBfU1VQUEwuMjAwMC4yOS8wMy8yMDI2Li4uVVNELkgBAAAAIHoFAAIAAAAFNy4zNzIBCAAAAAUAAAABMQEAAAALLTE5MTA2Mjc4MzgDAAAAAzE2MAIAAAACODUEAAAAATAHAAAACTMvMjkvMjAyNggAAAAKMTEvMjkvMjAyNQkAAAABMIFR5HpEjd4IZSMffESN3gg7Q0lRLk5BU0RBUTpDQUxNLklRX1NQRUNJQUxfRElWX1NIQVJFLjk5Mi4yOS8wMy8yMDI2Li4uVVNELkgBAAAAIHoFAAMAAAAAABWf5HpEjd4IbECUfkSN3gg4Q0lRLk5BU0RBUTpDQUxNLklRX0VCSVREQVJfRVFfSU5DLjk5Mi4yOS8wMy8yMDI2Li4uVVNELkgBAAAAIHoF</t>
  </si>
  <si>
    <t>AAIAAAAHLTc2LjAwNAEIAAAABQAAAAExAQAAAAoxOTcyMDEyMTIxAwAAAAMxNjACAAAABTI0MTI5BAAAAAEwBwAAAAkzLzI5LzIwMjYIAAAACDYvMy8yMDE3CQAAAAEwVwuWekSN3gjheZJ+RI3eCDVDSVEuTkFTREFROkNBTE0uSVFfSU5TX0RJVl9SRVYuOTkyLjI5LzAzLzIwMjYuLi5VU0QuSAEAAAAgegUAAwAAAAAAWirkekSN3ghn0Zp+RI3eCElDSVEuTkFTREFROkNBTE0uSVFfRElTVFJJQlVUQUJMRV9DQVNIX1NUQU5EQVJESVpFRC45OTIuMjkvMDMvMjAyNi4uLlVTRC5IAQAAACB6BQADAAAAAAB9MpZ6RI3eCGNEj35Ejd4IOUNJUS5OQVNEQVE6Q0FMTS5JUV9JTlRFUkVTVF9JTkNPTUUuOTkwLjI5LzAzLzIwMjYuLi5VU0QuSAEAAAAgegUAAgAAAAU4LjY5MQEIAAAABQAAAAExAQAAAAoxODUwMjIwODQ1AwAAAAMxNjACAAAAAzIxMAQAAAABMAcAAAAJMy8yOS8yMDI2CAAAAAk1LzMwLzIwMTUJAAAAATBXC5Z6RI3eCKieKXxEjd4ILUNJUS5OQVNEQVE6Q0FMTS5JUV9SRVYuOTkxLjI5LzAzLzIwMjYuLi5VU0QuSAEAAAAgegUAAgAAAAcxOTA4LjY1AQgAAAAFAAAAATEBAAAACjE4OTY4MjA1MTcDAAAAAzE2MAIAAAADMTEyBAAAAAEwBwAAAAkzLzI5LzIwMjYIAAAACTUvMjgvMjAxNgkAAAABMFoq5HpEjd4IMOMVfESN3gg9Q0lRLk5BU0RBUTpDQUxNLklRX0lOVEVSRVNUX0lOVkVTVF9JTkMuOTky</t>
  </si>
  <si>
    <t>LjI5LzAzLzIwMjYuLi5VU0QuSAEAAAAgegUAAgAAAAYxMC43NjgBCAAAAAUAAAABMQEAAAAKMTk3MjAxMjEyMQMAAAADMTYwAgAAAAI2NQQAAAABMAcAAAAJMy8yOS8yMDI2CAAAAAg2LzMvMjAxNwkAAAABMIFR5HpEjd4I/EyYfkSN3gg9Q0lRLk5BU0RBUTpDQUxNLklRX09USEVSX1VOVVNVQUxfU1VQUEwuOTkxLjI5LzAzLzIwMjYuLi5VU0QuSAEAAAAgegUAAwAAAAAArHjkekSN3gjUvyB8RI3eCDVDSVEuTkFTREFROkNBTE0uSVFfR0FJTl9BU1NFVFMuOTkxLjI5LzAzLzIwMjYuLi5VU0QuSAEAAAAgegUAAgAAAAUxLjU2MwEIAAAABQAAAAExAQAAAAoxODk2ODIwNTE3AwAAAAMxNjACAAAAAjU2BAAAAAEwBwAAAAkzLzI5LzIwMjYIAAAACTUvMjgvMjAxNgkAAAABMKx45HpEjd4IQNQffESN3gg4Q0lRLk5BU0RBUTpDQUxNLklRX0RJTFVUX0VQU19OT1JNLjk5Mi4yOS8wMy8yMDI2Li4uVVNELkgBAAAAIHoFAAIAAAAJLTEuNDI5NTI2AQgAAAAFAAAAATEBAAAACjE5NzIwMTIxMjEDAAAAAzE2MAIAAAAENDM4MAQAAAABMAcAAAAJMy8yOS8yMDI2CAAAAAg2LzMvMjAxNwkAAAABMBWf5HpEjd4IcrWUfkSN3gg4Q0lRLk5BU0RBUTpDQUxNLklRX0JBU0lDX0VQU19FWENMLjk5Mi4yOS8wMy8yMDI2Li4uVVNELkgBAAAAIHoFAAIAAAAJLTEuNTM1ODc1AQgAAAAFAAAAATEBAAAACjE5NzIwMTIxMjEDAAAA</t>
  </si>
  <si>
    <t>AzE2MAIAAAAEMzA2NAQAAAABMAcAAAAJMy8yOS8yMDI2CAAAAAg2LzMvMjAxNwkAAAABMKx45HpEjd4IpT6VfkSN3gg3Q0lRLk5BU0RBUTpDQUxNLklRX05JX0FWQUlMX0lOQ0wuOTkxLjI5LzAzLzIwMjYuLi5VU0QuSAEAAAAgegUAAgAAAAczMTYuMDQxAQgAAAAFAAAAATEBAAAACjE4OTY4MjA1MTcDAAAAAzE2MAIAAAACMTYEAAAAATAHAAAACTMvMjkvMjAyNggAAAAJNS8yOC8yMDE2CQAAAAEwrHjkekSN3gjvdCJ8RI3eCEFDSVEuTkFTREFROkNBTE0uSVFfRUJJVERBUl9FUV9JTkNfRVhDTF9TQkMuOTkxLjI5LzAzLzIwMjYuLi5VU0QuSAEAAAAgegUAAgAAAAc1MjcuMDgzAQgAAAAFAAAAATEBAAAACjE4OTY4MjA1MTcDAAAAAzE2MAIAAAAFMjQxMzMEAAAAATAHAAAACTMvMjkvMjAyNggAAAAJNS8yOC8yMDE2CQAAAAEwVwuWekSN3giZFih8RI3eCDpDSVEuTkFTREFROkNBTE0uSVFfU1RPQ0tfQkFTRURfQ09HUy45OTEuMjkvMDMvMjAyNi4uLlVTRC5IAQAAACB6BQADAAAAAACUgJZ6RI3eCMIBNHxEjd4IMkNJUS5OQVNEQVE6Q0FMTS5JUV9FQlRfRVhDTC45OTIuMjkvMDMvMjAyNi4uLlVTRC5IAQAAACB6BQACAAAACC0xMTAuODU0AQgAAAAFAAAAATEBAAAACjE5NzIwMTIxMjEDAAAAAzE2MAIAAAABNAQAAAABMAcAAAAJMy8yOS8yMDI2CAAAAAg2LzMvMjAxNwkAAAABMIFR5HpEjd4ItJyXfkSN</t>
  </si>
  <si>
    <t>3gg4Q0lRLk5BU0RBUTpDQUxNLklRX0JBU0lDX0VQU19FWENMLjk5MS4yOS8wMy8yMDI2Li4uVVNELkgBAAAAIHoFAAIAAAAINi41NTc1NDcBCAAAAAUAAAABMQEAAAAKMTg5NjgyMDUxNwMAAAADMTYwAgAAAAQzMDY0BAAAAAEwBwAAAAkzLzI5LzIwMjYIAAAACTUvMjgvMjAxNgkAAAABMKx45HpEjd4ICuoifESN3gg4Q0lRLk5BU0RBUTpDQUxNLklRX0RJTFVUX0VQU19OT1JNLjk5MS4yOS8wMy8yMDI2Li4uVVNELkgBAAAAIHoFAAIAAAAINi4yMzQ1NjIBCAAAAAUAAAABMQEAAAAKMTg5NjgyMDUxNwMAAAADMTYwAgAAAAQ0MzgwBAAAAAEwBwAAAAkzLzI5LzIwMjYIAAAACTUvMjgvMjAxNgkAAAABMBWf5HpEjd4IX48jfESN3gg4Q0lRLk5BU0RBUTpDQUxNLklRX0RJTFVUX0VQU19FWENMLjk5Mi4yOS8wMy8yMDI2Li4uVVNELkgBAAAAIHoFAAIAAAAFLTEuNTQBCAAAAAUAAAABMQEAAAAKMTk3MjAxMjEyMQMAAAADMTYwAgAAAAMxNDIEAAAAATAHAAAACTMvMjkvMjAyNggAAAAINi8zLzIwMTcJAAAAATAVn+R6RI3eCKcDlX5Ejd4IP0NJUS5OQVNEQVE6Q0FMTS5JUV9FQklUQV9FUV9JTkNfRVhDTF9TQkMuOTkyLjI5LzAzLzIwMjYuLi5VU0QuSAEAAAAgegUAAgAAAAgtMTIzLjQ2NQEIAAAABQAAAAExAQAAAAoxOTcyMDEyMTIxAwAAAAMxNjACAAAABTI0MTMyBAAAAAEwBwAAAAkzLzI5LzIwMjYIAAAA</t>
  </si>
  <si>
    <t>CDYvMy8yMDE3CQAAAAEwW+SVekSN3gjbx5J+RI3eCDZDSVEuTkFTREFROkNBTE0uSVFfRUJJVF9FUV9JTkMuMjAwMC4yOS8wMy8yMDI2Li4uVVNELkgBAAAAIHoFAAIAAAAIMTQ2Mi4zNTUBCAAAAAUAAAABMQEAAAALLTE5MTA2Mjc4MzgDAAAAAzE2MAIAAAAFMjE2NzUEAAAAATAHAAAACTMvMjkvMjAyNggAAAAKMTEvMjkvMjAyNQkAAAABMEHG5HpEjd4IgCgmfESN3ghBQ0lRLk5BU0RBUTpDQUxNLklRX0xFQVNFX0FESlVTVE1FTlRfRUJJVERBLjk5MS4yOS8wMy8yMDI2Li4uVVNELkgBAAAAIHoFAAMAAAAAABWf5HpEjd4INnglfESN3gg4Q0lRLk5BU0RBUTpDQUxNLklRX1NUT0NLX0JBU0VEX0dBLjk5MS4yOS8wMy8yMDI2Li4uVVNELkgBAAAAIHoFAAMAAAAAAJSAlnpEjd4IU7I0fESN3ggzQ0lRLk5BU0RBUTpDQUxNLklRX0VQU19OT1JNLjIwMDAuMjkvMDMvMjAyNi4uLlVTRC5IAQAAACB6BQACAAAACTE5LjgyNjkwNQEIAAAABQAAAAExAQAAAAstMTkxMDYyNzgzOAMAAAADMTYwAgAAAAQ0Mzc5BAAAAAEwBwAAAAkzLzI5LzIwMjYIAAAACjExLzI5LzIwMjUJAAAAATAVn+R6RI3eCLa2I3xEjd4IOENJUS5OQVNEQVE6Q0FMTS5JUV9CQVNJQ19FUFNfRVhDTC45OTAuMjkvMDMvMjAyNi4uLlVTRC5IAQAAACB6BQACAAAACDMuMzQ5OTY2AQgAAAAFAAAAATEBAAAACjE4NTAyMjA4NDUDAAAAAzE2MAIA</t>
  </si>
  <si>
    <t>AAAEMzA2NAQAAAABMAcAAAAJMy8yOS8yMDI2CAAAAAk1LzMwLzIwMTUJAAAAATCseOR6RI3eCArqInxEjd4ILENJUS5OQVNEQVE6Q0FMTS5JUV9OSS45OTEuMjkvMDMvMjAyNi4uLlVTRC5IAQAAACB6BQACAAAABzMxNi4wNDEBCAAAAAUAAAABMQEAAAAKMTg5NjgyMDUxNwMAAAADMTYwAgAAAAIxNQQAAAABMAcAAAAJMy8yOS8yMDI2CAAAAAk1LzI4LzIwMTYJAAAAATCseOR6RI3eCMEmInxEjd4IO0NJUS5OQVNEQVE6Q0FMTS5JUV9JTlZFU1RNRU5UX0lOQ09NRS45OTAuMjkvMDMvMjAyNi4uLlVTRC5IAQAAACB6BQADAAAAAABXC5Z6RI3eCObFKXxEjd4IQUNJUS5OQVNEQVE6Q0FMTS5JUV9FQklUREFSX0VRX0lOQ19FWENMX1NCQy45OTIuMjkvMDMvMjAyNi4uLlVTRC5IAQAAACB6BQACAAAABy03Mi41NzcBCAAAAAUAAAABMQEAAAAKMTk3MjAxMjEyMQMAAAADMTYwAgAAAAUyNDEzMwQAAAABMAcAAAAJMy8yOS8yMDI2CAAAAAg2LzMvMjAxNwkAAAABMFcLlnpEjd4I4XmSfkSN3gg/Q0lRLk5BU0RBUTpDQUxNLklRX0VCSVRBX0VRX0lOQ19FWENMX1NCQy45OTAuMjkvMDMvMjAyNi4uLlVTRC5IAQAAACB6BQACAAAABzI0My44NDcBCAAAAAUAAAABMQEAAAAKMTg1MDIyMDg0NQMAAAADMTYwAgAAAAUyNDEzMgQAAAABMAcAAAAJMy8yOS8yMDI2CAAAAAk1LzMwLzIwMTUJAAAAATBb5JV6RI3eCGA/J3xE</t>
  </si>
  <si>
    <t>jd4IO0NJUS5OQVNEQVE6Q0FMTS5JUV9TVE9DS19CQVNFRF9PVEhFUi45OTAuMjkvMDMvMjAyNi4uLlVTRC5IAQAAACB6BQADAAAAAACNgX96RI3eCHonNXxEjd4IPkNJUS5OQVNEQVE6Q0FMTS5JUV9DQVBJVEFMSVpFRF9JTlRFUkVTVC45OTEuMjkvMDMvMjAyNi4uLlVTRC5IAQAAACB6BQACAAAAAzEuMQEIAAAABQAAAAExAQAAAAoxODk2ODIwNTE3AwAAAAMxNjACAAAABDMwMzIEAAAAATAHAAAACTMvMjkvMjAyNggAAAAJNS8yOC8yMDE2CQAAAAEwfTKWekSN3ghuZCx8RI3eCDVDSVEuTkFTREFROkNBTE0uSVFfQ1VSUl9UQVhFUy4yMDAwLjI5LzAzLzIwMjYuLi5VU0QuSAEAAAAgegUAAgAAAAYzNzMuMzQBCAAAAAUAAAABMQEAAAALLTE5MTA2Mjc4MzgDAAAAAzE2MAIAAAAFMzUzODMEAAAAATAHAAAACTMvMjkvMjAyNggAAAAKMTEvMjkvMjAyNQkAAAABMFcLlnpEjd4I+dwqfESN3gg1Q0lRLk5BU0RBUTpDQUxNLklRX1JFU1RSVUNUVVJFLjk5MC4yOS8wMy8yMDI2Li4uVVNELkgBAAAAIHoFAAMAAAAAAIFR5HpEjd4IaF4ffESN3gg+Q0lRLk5BU0RBUTpDQUxNLklRX0lOVEVSRVNUX0lOVkVTVF9JTkMuMjAwMC4yOS8wMy8yMDI2Li4uVVNELkgBAAAAIHoFAAIAAAAFNjUuNDcBCAAAAAUAAAABMQEAAAALLTE5MTA2Mjc4MzgDAAAAAzE2MAIAAAACNjUEAAAAATAHAAAACTMvMjkvMjAyNggAAAAKMTEv</t>
  </si>
  <si>
    <t>MjkvMjAyNQkAAAABMIFR5HpEjd4IKzYefESN3ghCQ0lRLk5BU0RBUTpDQUxNLklRX0RJU1RSSUJVVEFCTEVfQ0FTSF9TSEFSRS45OTIuMjkvMDMvMjAyNi4uLlVTRC5IAQAAACB6BQADAAAAAAAVn+R6RI3eCGJnlH5Ejd4IO0NJUS5OQVNEQVE6Q0FMTS5JUV9DT05USU5HRU5UX1JFTlRBTC45OTIuMjkvMDMvMjAyNi4uLlVTRC5IAQAAACB6BQADAAAAAACKWZZ6RI3eCNrYjX5Ejd4IOENJUS5OQVNEQVE6Q0FMTS5JUV9QUkVGX0RJVl9PVEhFUi45OTAuMjkvMDMvMjAyNi4uLlVTRC5IAQAAACB6BQADAAAAAACseOR6RI3eCM5NInxEjd4IN0NJUS5OQVNEQVE6Q0FMTS5JUV9FQklUX0VYQ0xfU0JDLjk5Mi4yOS8wMy8yMDI2Li4uVVNELkgBAAAAIHoFAAIAAAAILTEyNy4wNTUBCAAAAAUAAAABMQEAAAAKMTk3MjAxMjEyMQMAAAADMTYwAgAAAAUyNDEzNAQAAAABMAcAAAAJMy8yOS8yMDI2CAAAAAg2LzMvMjAxNwkAAAABMEHG5HpEjd4ICBaTfkSN3ggsQ0lRLk5BU0RBUTpDQUxNLklRX0RPLjk5MC4yOS8wMy8yMDI2Li4uVVNELkgBAAAAIHoFAAMAAAAAAKx45HpEjd4IMFwhfESN3gg6Q0lRLk5BU0RBUTpDQUxNLklRX0lOVF9FWFBfSU5DTF9DQVAuOTkxLjI5LzAzLzIwMjYuLi5VU0QuSAEAAAAgegUAAgAAAAUyLjI1NgEIAAAABQAAAAExAQAAAAoxODk2ODIwNTE3AwAAAAMxNjACAAAABTIxODYxBAAAAAEw</t>
  </si>
  <si>
    <t>BwAAAAkzLzI5LzIwMjYIAAAACTUvMjgvMjAxNgkAAAABMH0ylnpEjd4IVuEsfESN3ggzQ0lRLk5BU0RBUTpDQUxNLklRX0RJVl9TSEFSRS45OTIuMjkvMDMvMjAyNi4uLlVTRC5IAQAAACB6BQADAAAAAAAVn+R6RI3eCEmOlH5Ejd4IM0NJUS5OQVNEQVE6Q0FMTS5JUV9PUEVSX0lOQy4yMDAwLjI5LzAzLzIwMjYuLi5VU0QuSAEAAAAgegUAAgAAAAgxNDU2LjEzNAEIAAAABQAAAAExAQAAAAstMTkxMDYyNzgzOAMAAAADMTYwAgAAAAIyMQQAAAABMAcAAAAJMy8yOS8yMDI2CAAAAAoxMS8yOS8yMDI1CQAAAAEwgVHkekSN3gi9+h18RI3eCENDSVEuTkFTREFROkNBTE0uSVFfRUFSTklOR19QQVJFTlRfRVhDTF9FWFRSQS45OTAuMjkvMDMvMjAyNi4uLlVTRC5IAQAAACB6BQACAAAABzE2MS4yNTQBCAAAAAUAAAABMQEAAAAKMTg1MDIyMDg0NQMAAAADMTYwAgAAAAU0MTU5NgQAAAABMAcAAAAJMy8yOS8yMDI2CAAAAAk1LzMwLzIwMTUJAAAAATBXC5Z6RI3eCI88KXxEjd4IOUNJUS5OQVNEQVE6Q0FMTS5JUV9HQUlOX0lOVkVTVF9SRVYuOTkwLjI5LzAzLzIwMjYuLi5VU0QuSAEAAAAgegUAAwAAAAAAWirkekSN3gi9bBZ8RI3eCC5DSVEuTkFTREFROkNBTE0uSVFfRElDLjIwMDAuMjkvMDMvMjAyNi4uLlVTRC5IAQAAACB6BQADAAAAAAB9MpZ6RI3eCO5ULnxEjd4IOENJUS5OQVNEQVE6Q0FMTS5JUV9ESUxV</t>
  </si>
  <si>
    <t>VF9FUFNfSU5DTC45OTEuMjkvMDMvMjAyNi4uLlVTRC5IAQAAACB6BQACAAAABDYuNTMBCAAAAAUAAAABMQEAAAAKMTg5NjgyMDUxNwMAAAADMTYwAgAAAAE4BAAAAAEwBwAAAAkzLzI5LzIwMjYIAAAACTUvMjgvMjAxNgkAAAABMBWf5HpEjd4IDREjfESN3gg7Q0lRLk5BU0RBUTpDQUxNLklRX1RPVEFMX09USEVSX09QRVIuMjAwMC4yOS8wMy8yMDI2Li4uVVNELkgBAAAAIHoFAAIAAAAHMzEwLjE5MQEIAAAABQAAAAExAQAAAAstMTkxMDYyNzgzOAMAAAADMTYwAgAAAAMzODAEAAAAATAHAAAACTMvMjkvMjAyNggAAAAKMTEvMjkvMjAyNQkAAAABMIFR5HpEjd4Imb8dfESN3gg1Q0lRLk5BU0RBUTpDQUxNLklRX0ZJTl9ESVZfRVhQLjk5Mi4yOS8wMy8yMDI2Li4uVVNELkgBAAAAIHoFAAMAAAAAAIFR5HpEjd4IMjWafkSN3ggtQ0lRLk5BU0RBUTpDQUxNLklRX1JFVi45OTIuMjkvMDMvMjAyNi4uLlVTRC5IAQAAACB6BQACAAAACDEwNzQuNTEzAQgAAAAFAAAAATEBAAAACjE5NzIwMTIxMjEDAAAAAzE2MAIAAAADMTEyBAAAAAEwBwAAAAkzLzI5LzIwMjYIAAAACDYvMy8yMDE3CQAAAAEwWirkekSN3gg7DJt+RI3eCDJDSVEuTkFTREFROkNBTE0uSVFfRElMVVRfTkkuOTkxLjI5LzAzLzIwMjYuLi5VU0QuSAEAAAAgegUAAgAAAAkzMTUuODIzNDUBCAAAAAUAAAABMQEAAAAKMTg5NjgyMDUxNwMAAAADMTYw</t>
  </si>
  <si>
    <t>AgAAAAQzNTIyBAAAAAEwBwAAAAkzLzI5LzIwMjYIAAAACTUvMjgvMjAxNgkAAAABMH0ylnpEjd4IO+8rfESN3ggzQ0lRLk5BU0RBUTpDQUxNLklRX0RJTFVUX05JLjIwMDAuMjkvMDMvMjAyNi4uLlVTRC5IAQAAACB6BQACAAAACjExNTMuMDUxNTMBCAAAAAUAAAABMQEAAAALLTE5MTA2Mjc4MzgDAAAAAzE2MAIAAAAEMzUyMgQAAAABMAcAAAAJMy8yOS8yMDI2CAAAAAoxMS8yOS8yMDI1CQAAAAEwfTKWekSN3ghcFix8RI3eCDlDSVEuTkFTREFROkNBTE0uSVFfRVhUUkFfQUNDX0lURU1TLjk5Mi4yOS8wMy8yMDI2Li4uVVNELkgBAAAAIHoFAAMAAAAAAKx45HpEjd4IDwKWfkSN3ggzQ0lRLk5BU0RBUTpDQUxNLklRX1RPVEFMX1JFVi45OTAuMjkvMDMvMjAyNi4uLlVTRC5IAQAAACB6BQACAAAACDE1NzYuMTI4AQgAAAAFAAAAATEBAAAACjE4NTAyMjA4NDUDAAAAAzE2MAIAAAACMjgEAAAAATAHAAAACTMvMjkvMjAyNggAAAAJNS8zMC8yMDE1CQAAAAEwWirkekSN3gjP4RZ8RI3eCDJDSVEuTkFTREFROkNBTE0uSVFfREFfU1VQUEwuOTkyLjI5LzAzLzIwMjYuLi5VU0QuSAEAAAAgegUAAwAAAAAAgVHkekSN3gg8EJl+RI3eCDRDSVEuTkFTREFROkNBTE0uSVFfSU1QQUlSX09JTC45OTEuMjkvMDMvMjAyNi4uLlVTRC5IAQAAACB6BQADAAAAAACBUeR6RI3eCIxJHXxEjd4INENJUS5OQVNEQVE6Q0FMTS5J</t>
  </si>
  <si>
    <t>UV9JTlNfU0VUVExFLjk5Mi4yOS8wMy8yMDI2Li4uVVNELkgBAAAAIHoFAAMAAAAAAKx45HpEjd4IZNmWfkSN3ggsQ0lRLk5BU0RBUTpDQUxNLklRX0dQLjk5MS4yOS8wMy8yMDI2Li4uVVNELkgBAAAAIHoFAAIAAAAHNjQ4LjA3NAEIAAAABQAAAAExAQAAAAoxODk2ODIwNTE3AwAAAAMxNjACAAAAAjEwBAAAAAEwBwAAAAkzLzI5LzIwMjYIAAAACTUvMjgvMjAxNgkAAAABMIFR5HpEjd4IjQUbfESN3gg1Q0lRLk5BU0RBUTpDQUxNLklRX0lOU19ESVZfRVhQLjk5Mi4yOS8wMy8yMDI2Li4uVVNELkgBAAAAIHoFAAMAAAAAAIFR5HpEjd4IHw6afkSN3gg1Q0lRLk5BU0RBUTpDQUxNLklRX0lOVF9JTlZfSU5DLjk5MS4yOS8wMy8yMDI2Li4uVVNELkgBAAAAIHoFAAMAAAAAAFoq5HpEjd4Il5MWfESN3ggyQ0lRLk5BU0RBUTpDQUxNLklRX0RBX1NVUFBMLjk5MS4yOS8wMy8yMDI2Li4uVVNELkgBAAAAIHoFAAMAAAAAAIFR5HpEjd4IcA4dfESN3gg3Q0lRLk5BU0RBUTpDQUxNLklRX1BSRV9PUEVOX0NPU1QuOTkyLjI5LzAzLzIwMjYuLi5VU0QuSAEAAAAgegUAAwAAAAAAgVHkekSN3ghtXpl+RI3eCDRDSVEuTkFTREFROkNBTE0uSVFfSU5TX1NFVFRMRS45OTAuMjkvMDMvMjAyNi4uLlVTRC5IAQAAACB6BQADAAAAAACseOR6RI3eCKNxIHxEjd4IN0NJUS5OQVNEQVE6Q0FMTS5JUV9JTVBBSVJNRU5UX0dXLjk5</t>
  </si>
  <si>
    <t>Mi4yOS8wMy8yMDI2Li4uVVNELkgBAAAAIHoFAAMAAAAAAKx45HpEjd4IlE6XfkSN3gg3Q0lRLk5BU0RBUTpDQUxNLklRX0NVUlJFTkNZX0dBSU4uOTkyLjI5LzAzLzIwMjYuLi5VU0QuSAEAAAAgegUAAwAAAAAAgVHkekSN3gjS6pd+RI3eCCxDSVEuTkFTREFROkNBTE0uSVFfTkkuOTkwLjI5LzAzLzIwMjYuLi5VU0QuSAEAAAAgegUAAgAAAAcxNjEuMjU0AQgAAAAFAAAAATEBAAAACjE4NTAyMjA4NDUDAAAAAzE2MAIAAAACMTUEAAAAATAHAAAACTMvMjkvMjAyNggAAAAJNS8zMC8yMDE1CQAAAAEwrHjkekSN3gjBJiJ8RI3eCDRDSVEuTkFTREFROkNBTE0uSVFfRUFSTklOR19DTy45OTIuMjkvMDMvMjAyNi4uLlVTRC5IAQAAACB6BQACAAAABy03NC40MjcBCAAAAAUAAAABMQEAAAAKMTk3MjAxMjEyMQMAAAADMTYwAgAAAAE3BAAAAAEwBwAAAAkzLzI5LzIwMjYIAAAACDYvMy8yMDE3CQAAAAEwrHjkekSN3ggcUJZ+RI3eCEBDSVEuTkFTREFROkNBTE0uSVFfRUJJVERBX0VRX0lOQ19FWENMX1NCQy45OTEuMjkvMDMvMjAyNi4uLlVTRC5IAQAAACB6BQACAAAABzUyMi45OTMBCAAAAAUAAAABMQEAAAAKMTg5NjgyMDUxNwMAAAADMTYwAgAAAAUyNDEzMQQAAAABMAcAAAAJMy8yOS8yMDI2CAAAAAk1LzI4LzIwMTYJAAAAATAVn+R6RI3eCAfvJHxEjd4INUNJUS5OQVNEQVE6Q0FMTS5JUV9SRVNUUlVDVFVS</t>
  </si>
  <si>
    <t>RS45OTEuMjkvMDMvMjAyNi4uLlVTRC5IAQAAACB6BQADAAAAAACBUeR6RI3eCGUjH3xEjd4INkNJUS5OQVNEQVE6Q0FMTS5JUV9GSU5fRElWX0VYUC4yMDAwLjI5LzAzLzIwMjYuLi5VU0QuSAEAAAAgegUAAwAAAAAAgVHkekSN3gibbBd8RI3eCD5DSVEuTkFTREFROkNBTE0uSVFfT1RIRVJfVU5VU1VBTF9TVVBQTC4yMDAwLjI5LzAzLzIwMjYuLi5VU0QuSAEAAAAgegUAAgAAAAUtMTYuNQEIAAAABQAAAAExAQAAAAstMTkxMDYyNzgzOAMAAAADMTYwAgAAAAI4NwQAAAABMAcAAAAJMy8yOS8yMDI2CAAAAAoxMS8yOS8yMDI1CQAAAAEwrHjkekSN3gjd5iB8RI3eCDZDSVEuTkFTREFROkNBTE0uSVFfTEVHQUxfU0VUVExFLjk5MS4yOS8wMy8yMDI2Li4uVVNELkgBAAAAIHoFAAMAAAAAAKx45HpEjd4IrpggfESN3ghCQ0lRLk5BU0RBUTpDQUxNLklRX09USEVSX05PTl9PUEVSX0VYUF9TVVBQTC45OTEuMjkvMDMvMjAyNi4uLlVTRC5IAQAAACB6BQACAAAABTAuMjQ3AQgAAAAFAAAAATEBAAAACjE4OTY4MjA1MTcDAAAAAzE2MAIAAAACODUEAAAAATAHAAAACTMvMjkvMjAyNggAAAAJNS8yOC8yMDE2CQAAAAEwgVHkekSN3gg+6B58RI3eCDhDSVEuTkFTREFROkNBTE0uSVFfR1dfSU5UQU5fQU1PUlQuOTkxLjI5LzAzLzIwMjYuLi5VU0QuSAEAAAAgegUAAwAAAAAAgVHkekSN3ghwDh18RI3eCDVDSVEuTkFT</t>
  </si>
  <si>
    <t>REFROkNBTE0uSVFfR0FJTl9JTlZFU1QuOTkxLjI5LzAzLzIwMjYuLi5VU0QuSAEAAAAgegUAAgAAAAUwLjAyMQEIAAAABQAAAAExAQAAAAoxODk2ODIwNTE3AwAAAAMxNjACAAAAAjYyBAAAAAEwBwAAAAkzLzI5LzIwMjYIAAAACTUvMjgvMjAxNgkAAAABMKx45HpEjd4IVZkffESN3gg5Q0lRLk5BU0RBUTpDQUxNLklRX09USEVSX1JFVl9TVVBQTC45OTAuMjkvMDMvMjAyNi4uLlVTRC5IAQAAACB6BQADAAAAAABaKuR6RI3eCJeTFnxEjd4IOENJUS5OQVNEQVE6Q0FMTS5JUV9NSU5JTVVNX1JFTlRBTC45OTIuMjkvMDMvMjAyNi4uLlVTRC5IAQAAACB6BQADAAAAAACKWZZ6RI3eCNrYjX5Ejd4IQUNJUS5OQVNEQVE6Q0FMTS5JUV9ERUZFUlJFRF9GT1JFSUdOX1RBWEVTLjIwMDAuMjkvMDMvMjAyNi4uLlVTRC5IAQAAACB6BQADAAAAAABXC5Z6RI3eCAFTK3xEjd4IOkNJUS5OQVNEQVE6Q0FMTS5JUV9UT1RBTF9SRVZfU0hBUkUuMjAwMC4yOS8wMy8yMDI2Li4uVVNELkgBAAAAIHoFAAIAAAAJODcuMDMxMjMxAQgAAAAFAAAAATEBAAAACy0xOTEwNjI3ODM4AwAAAAMxNjACAAAABDQzODIEAAAAATAHAAAACTMvMjkvMjAyNggAAAAKMTEvMjkvMjAyNQkAAAABMBWf5HpEjd4ItlIkfESN3gg2Q0lRLk5BU0RBUTpDQUxNLklRX0lOU19ESVZfRVhQLjIwMDAuMjkvMDMvMjAyNi4uLlVTRC5IAQAAACB6BQADAAAA</t>
  </si>
  <si>
    <t>AACBUeR6RI3eCKaTF3xEjd4IMUNJUS5OQVNEQVE6Q0FMTS5JUV9JTkNfVEFYLjk5MS4yOS8wMy8yMDI2Li4uVVNELkgBAAAAIHoFAAIAAAAHMTY5LjIwMgEIAAAABQAAAAExAQAAAAoxODk2ODIwNTE3AwAAAAMxNjACAAAAAjc1BAAAAAEwBwAAAAkzLzI5LzIwMjYIAAAACTUvMjgvMjAxNgkAAAABMKx45HpEjd4I3eYgfESN3gg+Q0lRLk5BU0RBUTpDQUxNLklRX01JTk9SSVRZX0lOVEVSRVNUX0lTLjk5MS4yOS8wMy8yMDI2Li4uVVNELkgBAAAAIHoFAAIAAAAGLTIuMDA2AQgAAAAFAAAAATEBAAAACjE4OTY4MjA1MTcDAAAAAzE2MAIAAAACODMEAAAAATAHAAAACTMvMjkvMjAyNggAAAAJNS8yOC8yMDE2CQAAAAEwrHjkekSN3ghV0SF8RI3eCD1DSVEuTkFTREFROkNBTE0uSVFfSU5URVJFU1RfSU5WRVNUX0lOQy45OTAuMjkvMDMvMjAyNi4uLlVTRC5IAQAAACB6BQACAAAABTguNjkxAQgAAAAFAAAAATEBAAAACjE4NTAyMjA4NDUDAAAAAzE2MAIAAAACNjUEAAAAATAHAAAACTMvMjkvMjAyNggAAAAJNS8zMC8yMDE1CQAAAAEwgVHkekSN3gi9+h18RI3eCElDSVEuTkFTREFROkNBTE0uSVFfRElTVFJJQlVUQUJMRV9DQVNIX1NUQU5EQVJESVpFRC45OTAuMjkvMDMvMjAyNi4uLlVTRC5IAQAAACB6BQADAAAAAAB9MpZ6RI3eCIJ9LXxEjd4ILkNJUS5OQVNEQVE6Q0FMTS5JUV9JUFJELjk5Mi4yOS8wMy8y</t>
  </si>
  <si>
    <t>MDI2Li4uVVNELkgBAAAAIHoFAAMAAAAAAKx45HpEjd4IZNmWfkSN3gg0Q0lRLk5BU0RBUTpDQUxNLklRX0lOQ19FUVVJVFkuOTkyLjI5LzAzLzIwMjYuLi5VU0QuSAEAAAAgegUAAgAAAAQxLjM5AQgAAAAFAAAAATEBAAAACjE5NzIwMTIxMjEDAAAAAzE2MAIAAAACNDcEAAAAATAHAAAACTMvMjkvMjAyNggAAAAINi8zLzIwMTcJAAAAATCBUeR6RI3eCNLql35Ejd4INUNJUS5OQVNEQVE6Q0FMTS5JUV9JTkNfRVFVSVRZLjIwMDAuMjkvMDMvMjAyNi4uLlVTRC5IAQAAACB6BQACAAAABTYuMjIxAQgAAAAFAAAAATEBAAAACy0xOTEwNjI3ODM4AwAAAAMxNjACAAAAAjQ3BAAAAAEwBwAAAAkzLzI5LzIwMjYIAAAACjExLzI5LzIwMjUJAAAAATCBUeR6RI3eCIpxHnxEjd4INUNJUS5OQVNEQVE6Q0FMTS5JUV9TVE9DS19CQVNFRC45OTIuMjkvMDMvMjAyNi4uLlVTRC5IAQAAACB6BQADAAAAAACBUeR6RI3eCG1emX5Ejd4INUNJUS5OQVNEQVE6Q0FMTS5JUV9FQklUX0VRX0lOQy45OTAuMjkvMDMvMjAyNi4uLlVTRC5IAQAAACB6BQACAAAABzIzNy45OTIBCAAAAAUAAAABMQEAAAAKMTg1MDIyMDg0NQMAAAADMTYwAgAAAAUyMTY3NQQAAAABMAcAAAAJMy8yOS8yMDI2CAAAAAk1LzMwLzIwMTUJAAAAATBBxuR6RI3eCHftJXxEjd4IMUNJUS5OQVNEQVE6Q0FMTS5JUV9FQklUREEuMjAwMC4yOS8wMy8yMDI2Li4u</t>
  </si>
  <si>
    <t>VVNELkgBAAAAIHoFAAIAAAAIMTU2NC4xMDYBCAAAAAUAAAABMQEAAAALLTE5MTA2Mjc4MzgDAAAAAzE2MAIAAAAENDA1MQQAAAABMAcAAAAJMy8yOS8yMDI2CAAAAAoxMS8yOS8yMDI1CQAAAAEwFZ/kekSN3gj9xyR8RI3eCDVDSVEuTkFTREFROkNBTE0uSVFfU1RPQ0tfQkFTRUQuOTkxLjI5LzAzLzIwMjYuLi5VU0QuSAEAAAAgegUAAwAAAAAAgVHkekSN3ghB8Rt8RI3eCDVDSVEuTkFTREFROkNBTE0uSVFfRklOX0RJVl9FWFAuOTkxLjI5LzAzLzIwMjYuLi5VU0QuSAEAAAAgegUAAwAAAAAAgVHkekSN3ghkRRd8RI3eCDVDSVEuTkFTREFROkNBTE0uSVFfRklOX0RJVl9FWFAuOTkwLjI5LzAzLzIwMjYuLi5VU0QuSAEAAAAgegUAAwAAAAAAWirkekSN3ghkRRd8RI3eCCxDSVEuTkFTREFROkNBTE0uSVFfR1AuOTkyLjI5LzAzLzIwMjYuLi5VU0QuSAEAAAAgegUAAgAAAAU0NS41NQEIAAAABQAAAAExAQAAAAoxOTcyMDEyMTIxAwAAAAMxNjACAAAAAjEwBAAAAAEwBwAAAAkzLzI5LzIwMjYIAAAACDYvMy8yMDE3CQAAAAEwgVHkekSN3ggM55l+RI3eCDVDSVEuTkFTREFROkNBTE0uSVFfSU5UX0lOVl9JTkMuOTkyLjI5LzAzLzIwMjYuLi5VU0QuSAEAAAAgegUAAwAAAAAAWirkekSN3gg9qpp+RI3eCDdDSVEuTkFTREFROkNBTE0uSVFfRVhQTE9SRV9EUklMTC45OTEuMjkvMDMvMjAyNi4uLlVTRC5IAQAA</t>
  </si>
  <si>
    <t>ACB6BQADAAAAAACBUeR6RI3eCPZnG3xEjd4IN0NJUS5OQVNEQVE6Q0FMTS5JUV9QUkVfT1BFTl9DT1NULjk5MS4yOS8wMy8yMDI2Li4uVVNELkgBAAAAIHoFAAMAAAAAAIFR5HpEjd4IQfEbfESN3ggsQ0lRLk5BU0RBUTpDQUxNLklRX0dQLjk5MC4yOS8wMy8yMDI2Li4uVVNELkgBAAAAIHoFAAIAAAAHMzk1LjcyMQEIAAAABQAAAAExAQAAAAoxODUwMjIwODQ1AwAAAAMxNjACAAAAAjEwBAAAAAEwBwAAAAkzLzI5LzIwMjYIAAAACTUvMzAvMjAxNQkAAAABMIFR5HpEjd4IjQUbfESN3gg3Q0lRLk5BU0RBUTpDQUxNLklRX05JX0FWQUlMX0VYQ0wuOTkyLjI5LzAzLzIwMjYuLi5VU0QuSAEAAAAgegUAAgAAAActNzQuMjc4AQgAAAAFAAAAATEBAAAACjE5NzIwMTIxMjEDAAAAAzE2MAIAAAADMzc5BAAAAAEwBwAAAAkzLzI5LzIwMjYIAAAACDYvMy8yMDE3CQAAAAEwrHjkekSN3gjkZZV+RI3eCEBDSVEuTkFTREFROkNBTE0uSVFfRUJJVERBX0VRX0lOQ19FWENMX1NCQy45OTAuMjkvMDMvMjAyNi4uLlVTRC5IAQAAACB6BQACAAAABzI4MS42NTUBCAAAAAUAAAABMQEAAAAKMTg1MDIyMDg0NQMAAAADMTYwAgAAAAUyNDEzMQQAAAABMAcAAAAJMy8yOS8yMDI2CAAAAAk1LzMwLzIwMTUJAAAAATAVn+R6RI3eCAfvJHxEjd4IN0NJUS5OQVNEQVE6Q0FMTS5JUV9FQklUX0VYQ0xfU0JDLjk5MC4yOS8wMy8yMDI2</t>
  </si>
  <si>
    <t>Li4uVVNELkgBAAAAIHoFAAIAAAAGMjM4LjI5AQgAAAAFAAAAATEBAAAACjE4NTAyMjA4NDUDAAAAAzE2MAIAAAAFMjQxMzQEAAAAATAHAAAACTMvMjkvMjAyNggAAAAJNS8zMC8yMDE1CQAAAAEwQcbkekSN3gjXTyZ8RI3eCDNDSVEuTkFTREFROkNBTE0uSVFfUkRfRVhQX0ZOLjk5MS4yOS8wMy8yMDI2Li4uVVNELkgBAAAAIHoFAAMAAAAAAIpZlnpEjd4IYfEufESN3gg8Q0lRLk5BU0RBUTpDQUxNLklRX0lOVkVTVE1FTlRfSU5DT01FLjIwMDAuMjkvMDMvMjAyNi4uLlVTRC5IAQAAACB6BQADAAAAAABXC5Z6RI3eCOzsKXxEjd4INENJUS5OQVNEQVE6Q0FMTS5JUV9PVEhFUl9PUEVSLjk5Mi4yOS8wMy8yMDI2Li4uVVNELkgBAAAAIHoFAAMAAAAAAIFR5HpEjd4IC8KYfkSN3gg2Q0lRLk5BU0RBUTpDQUxNLklRX0lOU19ESVZfUkVWLjIwMDAuMjkvMDMvMjAyNi4uLlVTRC5IAQAAACB6BQADAAAAAABaKuR6RI3eCHhFFnxEjd4IOUNJUS5OQVNEQVE6Q0FMTS5JUV9CQVNJQ19FUFNfRVhDTC4yMDAwLjI5LzAzLzIwMjYuLi5VU0QuSAEAAAAgegUAAgAAAAkyMy44MTgxMjcBCAAAAAUAAAABMQEAAAALLTE5MTA2Mjc4MzgDAAAAAzE2MAIAAAAEMzA2NAQAAAABMAcAAAAJMy8yOS8yMDI2CAAAAAoxMS8yOS8yMDI1CQAAAAEwFZ/kekSN3ggNESN8RI3eCDVDSVEuTkFTREFROkNBTE0uSVFfR0FJTl9JTlZFU1Qu</t>
  </si>
  <si>
    <t>OTkyLjI5LzAzLzIwMjYuLi5VU0QuSAEAAAAgegUAAgAAAAUwLjIyNAEIAAAABQAAAAExAQAAAAoxOTcyMDEyMTIxAwAAAAMxNjACAAAAAjYyBAAAAAEwBwAAAAkzLzI5LzIwMjYIAAAACDYvMy8yMDE3CQAAAAEwrHjkekSN3giUTpd+RI3eCDZDSVEuTkFTREFROkNBTE0uSVFfSU5URVJFU1RfRVhQLjk5MC4yOS8wMy8yMDI2Li4uVVNELkgBAAAAIHoFAAIAAAAGLTIuMzEzAQgAAAAFAAAAATEBAAAACjE4NTAyMjA4NDUDAAAAAzE2MAIAAAACODIEAAAAATAHAAAACTMvMjkvMjAyNggAAAAJNS8zMC8yMDE1CQAAAAEwgVHkekSN3gi9+h18RI3eCDlDSVEuTkFTREFROkNBTE0uSVFfR0FJTl9BU1NFVFNfUkVWLjk5Mi4yOS8wMy8yMDI2Li4uVVNELkgBAAAAIHoFAAMAAAAAAFoq5HpEjd4IPaqafkSN3ggvQ0lRLk5BU0RBUTpDQUxNLklRX0VCSVRBLjk5MS4yOS8wMy8yMDI2Li4uVVNELkgBAAAAIHoFAAIAAAAHNDcyLjkxNAEIAAAABQAAAAExAQAAAAoxODk2ODIwNTE3AwAAAAMxNjACAAAABjEwMDY4OQQAAAABMAcAAAAJMy8yOS8yMDI2CAAAAAk1LzI4LzIwMTYJAAAAATBBxuR6RI3eCC3KJnxEjd4IN0NJUS5OQVNEQVE6Q0FMTS5JUV9JTlRFUkVTVF9FWFAuMjAwMC4yOS8wMy8yMDI2Li4uVVNELkgBAAAAIHoFAAIAAAAGLTAuNjUzAQgAAAAFAAAAATEBAAAACy0xOTEwNjI3ODM4AwAAAAMxNjACAAAAAjgy</t>
  </si>
  <si>
    <t>BAAAAAEwBwAAAAkzLzI5LzIwMjYIAAAACjExLzI5LzIwMjUJAAAAATCBUeR6RI3eCL36HXxEjd4IPENJUS5OQVNEQVE6Q0FMTS5JUV9ESVNUUklCVVRBQkxFX0NBU0guOTkxLjI5LzAzLzIwMjYuLi5VU0QuSAEAAAAgegUAAwAAAAAAfTKWekSN3ghdVi18RI3eCD5DSVEuTkFTREFROkNBTE0uSVFfTUlOT1JJVFlfSU5URVJFU1RfSVMuOTkyLjI5LzAzLzIwMjYuLi5VU0QuSAEAAAAgegUAAgAAAAUwLjE0OQEIAAAABQAAAAExAQAAAAoxOTcyMDEyMTIxAwAAAAMxNjACAAAAAjgzBAAAAAEwBwAAAAkzLzI5LzIwMjYIAAAACDYvMy8yMDE3CQAAAAEwrHjkekSN3gjks5V+RI3eCDBDSVEuTkFTREFROkNBTE0uSVFfTUVSR0VSLjk5Mi4yOS8wMy8yMDI2Li4uVVNELkgBAAAAIHoFAAMAAAAAAKx45HpEjd4ImXWXfkSN3gg5Q0lRLk5BU0RBUTpDQUxNLklRX0lOVEVSRVNUX0lOQ09NRS45OTEuMjkvMDMvMjAyNi4uLlVTRC5IAQAAACB6BQACAAAABjExLjI0NAEIAAAABQAAAAExAQAAAAoxODk2ODIwNTE3AwAAAAMxNjACAAAAAzIxMAQAAAABMAcAAAAJMy8yOS8yMDI2CAAAAAk1LzI4LzIwMTYJAAAAATBXC5Z6RI3eCKieKXxEjd4INUNJUS5OQVNEQVE6Q0FMTS5JUV9FQklUX0VRX0lOQy45OTIuMjkvMDMvMjAyNi4uLlVTRC5IAQAAACB6BQACAAAACC0xMjkuMDkyAQgAAAAFAAAAATEBAAAACjE5NzIwMTIxMjED</t>
  </si>
  <si>
    <t>AAAAAzE2MAIAAAAFMjE2NzUEAAAAATAHAAAACTMvMjkvMjAyNggAAAAINi8zLzIwMTcJAAAAATBBxuR6RI3eCAI9k35Ejd4IQUNJUS5OQVNEQVE6Q0FMTS5JUV9MRUFTRV9BREpVU1RNRU5UX0VCSVREQS45OTAuMjkvMDMvMjAyNi4uLlVTRC5IAQAAACB6BQADAAAAAAAVn+R6RI3eCA9RJXxEjd4ILUNJUS5OQVNEQVE6Q0FMTS5JUV9SRVYuOTkwLjI5LzAzLzIwMjYuLi5VU0QuSAEAAAAgegUAAgAAAAgxNTc2LjEyOAEIAAAABQAAAAExAQAAAAoxODUwMjIwODQ1AwAAAAMxNjACAAAAAzExMgQAAAABMAcAAAAJMy8yOS8yMDI2CAAAAAk1LzMwLzIwMTUJAAAAATBaKuR6RI3eCDDjFXxEjd4INENJUS5OQVNEQVE6Q0FMTS5JUV9JTVBBSVJfT0lMLjk5Mi4yOS8wMy8yMDI2Li4uVVNELkgBAAAAIHoFAAMAAAAAAIFR5HpEjd4IWOmYfkSN3ggzQ0lRLk5BU0RBUTpDQUxNLklRX1RPVEFMX1JFVi45OTEuMjkvMDMvMjAyNi4uLlVTRC5IAQAAACB6BQACAAAABzE5MDguNjUBCAAAAAUAAAABMQEAAAAKMTg5NjgyMDUxNwMAAAADMTYwAgAAAAIyOAQAAAABMAcAAAAJMy8yOS8yMDI2CAAAAAk1LzI4LzIwMTYJAAAAATBaKuR6RI3eCM/hFnxEjd4IOkNJUS5OQVNEQVE6Q0FMTS5JUV9HQUlOX0lOVkVTVF9SRVYuMjAwMC4yOS8wMy8yMDI2Li4uVVNELkgBAAAAIHoFAAMAAAAAAFoq5HpEjd4Il5MWfESN3gg5Q0lRLk5B</t>
  </si>
  <si>
    <t>U0RBUTpDQUxNLklRX0dBSU5fQVNTRVRTX1JFVi45OTEuMjkvMDMvMjAyNi4uLlVTRC5IAQAAACB6BQADAAAAAABaKuR6RI3eCHhFFnxEjd4IOkNJUS5OQVNEQVE6Q0FMTS5JUV9PVEhFUl9SRVZfU1VQUEwuMjAwMC4yOS8wMy8yMDI2Li4uVVNELkgBAAAAIHoFAAMAAAAAAFoq5HpEjd4Iz+EWfESN3ggyQ0lRLk5BU0RBUTpDQUxNLklRX09QRVJfSU5DLjk5MC4yOS8wMy8yMDI2Li4uVVNELkgBAAAAIHoFAAIAAAAHMjM1LjMzNQEIAAAABQAAAAExAQAAAAoxODUwMjIwODQ1AwAAAAMxNjACAAAAAjIxBAAAAAEwBwAAAAkzLzI5LzIwMjYIAAAACTUvMzAvMjAxNQkAAAABMIFR5HpEjd4IvfodfESN3ggyQ0lRLk5BU0RBUTpDQUxNLklRX0RBX1NVUFBMLjk5MC4yOS8wMy8yMDI2Li4uVVNELkgBAAAAIHoFAAMAAAAAAIFR5HpEjd4IcA4dfESN3gg1Q0lRLk5BU0RBUTpDQUxNLklRX0lOU19ESVZfRVhQLjk5MS4yOS8wMy8yMDI2Li4uVVNELkgBAAAAIHoFAAMAAAAAAIFR5HpEjd4Im2wXfESN3gg5Q0lRLk5BU0RBUTpDQUxNLklRX0dBSU5fQVNTRVRTX1JFVi45OTAuMjkvMDMvMjAyNi4uLlVTRC5IAQAAACB6BQADAAAAAABaKuR6RI3eCHhFFnxEjd4INUNJUS5OQVNEQVE6Q0FMTS5JUV9GSU5fRElWX1JFVi45OTAuMjkvMDMvMjAyNi4uLlVTRC5IAQAAACB6BQADAAAAAABaKuR6RI3eCDDjFXxEjd4IN0NJUS5O</t>
  </si>
  <si>
    <t>QVNEQVE6Q0FMTS5JUV9JTVBBSVJNRU5UX0dXLjk5MS4yOS8wMy8yMDI2Li4uVVNELkgBAAAAIHoFAAMAAAAAAKx45HpEjd4IVZkffESN3gg3Q0lRLk5BU0RBUTpDQUxNLklRX0NVUlJFTkNZX0dBSU4uOTkxLjI5LzAzLzIwMjYuLi5VU0QuSAEAAAAgegUAAwAAAAAAgVHkekSN3ggDrR58RI3eCDpDSVEuTkFTREFROkNBTE0uSVFfRklOX0RJVl9JTlRfRVhQLjIwMDAuMjkvMDMvMjAyNi4uLlVTRC5IAQAAACB6BQADAAAAAACBUeR6RI3eCI0FG3xEjd4INUNJUS5OQVNEQVE6Q0FMTS5JUV9JTlNfRElWX0VYUC45OTAuMjkvMDMvMjAyNi4uLlVTRC5IAQAAACB6BQADAAAAAACBUeR6RI3eCJtsF3xEjd4IN0NJUS5OQVNEQVE6Q0FMTS5JUV9QUkVfT1BFTl9DT1NULjk5MC4yOS8wMy8yMDI2Li4uVVNELkgBAAAAIHoFAAMAAAAAAIFR5HpEjd4IQfEbfESN3gg1Q0lRLk5BU0RBUTpDQUxNLklRX1JFU1RSVUNUVVJFLjk5Mi4yOS8wMy8yMDI2Li4uVVNELkgBAAAAIHoFAAMAAAAAAKx45HpEjd4ItJyXfkSN3gg3Q0lRLk5BU0RBUTpDQUxNLklRX0NVUlJFTkNZX0dBSU4uOTkwLjI5LzAzLzIwMjYuLi5VU0QuSAEAAAAgegUAAwAAAAAAgVHkekSN3ghy1B58RI3eCDdDSVEuTkFTREFROkNBTE0uSVFfTklfQVZBSUxfRVhDTC45OTAuMjkvMDMvMjAyNi4uLlVTRC5IAQAAACB6BQACAAAABzE2MS4yNTQBCAAAAAUAAAAB</t>
  </si>
  <si>
    <t>MQEAAAAKMTg1MDIyMDg0NQMAAAADMTYwAgAAAAMzNzkEAAAAATAHAAAACTMvMjkvMjAyNggAAAAJNS8zMC8yMDE1CQAAAAEwrHjkekSN3gjOmyJ8RI3eCDRDSVEuTkFTREFROkNBTE0uSVFfTklfQ09NUEFOWS45OTIuMjkvMDMvMjAyNi4uLlVTRC5IAQAAACB6BQACAAAABy03NC40MjcBCAAAAAUAAAABMQEAAAAKMTk3MjAxMjEyMQMAAAADMTYwAgAAAAU0MTU3MQQAAAABMAcAAAAJMy8yOS8yMDI2CAAAAAg2LzMvMjAxNwkAAAABMKx45HpEjd4IDwKWfkSN3ggtQ0lRLk5BU0RBUTpDQUxNLklRX0VCVC45OTIuMjkvMDMvMjAyNi4uLlVTRC5IAQAAACB6BQACAAAACC0xMTQuMjk0AQgAAAAFAAAAATEBAAAACjE5NzIwMTIxMjEDAAAAAzE2MAIAAAADMTM5BAAAAAEwBwAAAAkzLzI5LzIwMjYIAAAACDYvMy8yMDE3CQAAAAEwrHjkekSN3gjyipZ+RI3eCDhDSVEuTkFTREFROkNBTE0uSVFfRUJJVEFfRVhDTF9TQkMuOTkyLjI5LzAzLzIwMjYuLi5VU0QuSAEAAAAgegUAAgAAAAgtMTI0Ljg1NQEIAAAABQAAAAExAQAAAAoxOTcyMDEyMTIxAwAAAAMxNjACAAAABTI0MTM2BAAAAAEwBwAAAAkzLzI5LzIwMjYIAAAACDYvMy8yMDE3CQAAAAEwW+SVekSN3gjbx5J+RI3eCD9DSVEuTkFTREFROkNBTE0uSVFfRUJJVF9FUV9JTkNfRVhDTF9TQkMuMjAwMC4yOS8wMy8yMDI2Li4uVVNELkgBAAAAIHoFAAIAAAAIMTQ2</t>
  </si>
  <si>
    <t>Ny4zODIBCAAAAAUAAAABMQEAAAALLTE5MTA2Mjc4MzgDAAAAAzE2MAIAAAAFMjQxMzAEAAAAATAHAAAACTMvMjkvMjAyNggAAAAKMTEvMjkvMjAyNQkAAAABMEHG5HpEjd4I108mfESN3ghBQ0lRLk5BU0RBUTpDQUxNLklRX0VYQ0lTRV9UQVhFU19FWENMX1NBTEVTLjk5MS4yOS8wMy8yMDI2Li4uVVNELkgBAAAAIHoFAAMAAAAAAFcLlnpEjd4I7OwpfESN3gg8Q0lRLk5BU0RBUTpDQUxNLklRX0FTX1JFUE9SVEVEX0VCSVREQS45OTEuMjkvMDMvMjAyNi4uLlVTRC5IAQAAACB6BQADAAAAAABXC5Z6RI3eCFXuKHxEjd4IOUNJUS5OQVNEQVE6Q0FMTS5JUV9BU1NFVF9XUklURURPV04uOTkwLjI5LzAzLzIwMjYuLi5VU0QuSAEAAAAgegUAAwAAAAAArHjkekSN3ghQDyB8RI3eCDhDSVEuTkFTREFROkNBTE0uSVFfTklfQVZBSUxfSU5DTC4yMDAwLjI5LzAzLzIwMjYuLi5VU0QuSAEAAAAgegUAAgAAAAgxMTUzLjEwNwEIAAAABQAAAAExAQAAAAstMTkxMDYyNzgzOAMAAAADMTYwAgAAAAIxNgQAAAABMAcAAAAJMy8yOS8yMDI2CAAAAAoxMS8yOS8yMDI1CQAAAAEwrHjkekSN3gjOmyJ8RI3eCDRDSVEuTkFTREFROkNBTE0uSVFfTklfQ09NUEFOWS45OTEuMjkvMDMvMjAyNi4uLlVTRC5IAQAAACB6BQACAAAABzMxOC4wNDcBCAAAAAUAAAABMQEAAAAKMTg5NjgyMDUxNwMAAAADMTYwAgAAAAU0MTU3MQQAAAAB</t>
  </si>
  <si>
    <t>MAcAAAAJMy8yOS8yMDI2CAAAAAk1LzI4LzIwMTYJAAAAATCseOR6RI3eCFXRIXxEjd4ILUNJUS5OQVNEQVE6Q0FMTS5JUV9FQlQuOTkxLjI5LzAzLzIwMjYuLi5VU0QuSAEAAAAgegUAAgAAAAc0ODcuMjQ5AQgAAAAFAAAAATEBAAAACjE4OTY4MjA1MTcDAAAAAzE2MAIAAAADMTM5BAAAAAEwBwAAAAkzLzI5LzIwMjYIAAAACTUvMjgvMjAxNgkAAAABMKx45HpEjd4I3eYgfESN3gg4Q0lRLk5BU0RBUTpDQUxNLklRX0VCSVRBX0VYQ0xfU0JDLjk5MS4yOS8wMy8yMDI2Li4uVVNELkgBAAAAIHoFAAIAAAAHNDc1Ljk4NQEIAAAABQAAAAExAQAAAAoxODk2ODIwNTE3AwAAAAMxNjACAAAABTI0MTM2BAAAAAEwBwAAAAkzLzI5LzIwMjYIAAAACTUvMjgvMjAxNgkAAAABMFvklXpEjd4IiWYnfESN3ghBQ0lRLk5BU0RBUTpDQUxNLklRX0VYQ0lTRV9UQVhFU19FWENMX1NBTEVTLjk5MC4yOS8wMy8yMDI2Li4uVVNELkgBAAAAIHoFAAMAAAAAAFcLlnpEjd4I7OwpfESN3gg1Q0lRLk5BU0RBUTpDQUxNLklRX0RBX1NVUFBMX0NGLjk5Mi4yOS8wMy8yMDI2Li4uVVNELkgBAAAAIHoFAAIAAAAGNDYuOTEzAQgAAAAFAAAAATEBAAAACjE5NzIwMTIxMjEDAAAAAzE2MAIAAAAEMjE3MQQAAAABMAcAAAAJMy8yOS8yMDI2CAAAAAg2LzMvMjAxNwkAAAABMEi8f3pEjd4I4X2JfkSN3gg8Q0lRLk5BU0RBUTpDQUxNLklRX05F</t>
  </si>
  <si>
    <t>VF9SRU5UQUxfRVhQX0ZOLjIwMDAuMjkvMDMvMjAyNi4uLlVTRC5IAQAAACB6BQADAAAAAACKWZZ6RI3eCKmNL3xEjd4IP0NJUS5OQVNEQVE6Q0FMTS5JUV9UT1RBTF9SRVZfQVNfUkVQT1JURUQuOTkwLjI5LzAzLzIwMjYuLi5VU0QuSAEAAAAgegUAAwAAAAAAVwuWekSN3ghtxyh8RI3eCDdDSVEuTkFTREFROkNBTE0uSVFfRUJJVERBX0NBUEVYLjIwMDAuMjkvMDMvMjAyNi4uLlVTRC5IAQAAACB6BQACAAAACDEzNzYuMzA1AQgAAAAFAAAAATEBAAAACy0xOTEwNjI3ODM4AwAAAAMxNjACAAAABTM1Mzc5BAAAAAEwBwAAAAkzLzI5LzIwMjYIAAAACjExLzI5LzIwMjUJAAAAATBXC5Z6RI3eCEegKHxEjd4IPkNJUS5OQVNEQVE6Q0FMTS5JUV9OT05DQVNIX1BFTlNJT05fRVhQLjIwMDAuMjkvMDMvMjAyNi4uLlVTRC5IAQAAACB6BQADAAAAAAB9MpZ6RI3eCDcILXxEjd4IQENJUS5OQVNEQVE6Q0FMTS5JUV9ERUZFUlJFRF9GT1JFSUdOX1RBWEVTLjk5Mi4yOS8wMy8yMDI2Li4uVVNELkgBAAAAIHoFAAMAAAAAAFcLlnpEjd4IE5GQfkSN3ggtQ0lRLk5BU0RBUTpDQUxNLklRX0RJQy45OTAuMjkvMDMvMjAyNi4uLlVTRC5IAQAAACB6BQADAAAAAAB9MpZ6RI3eCIoGLnxEjd4INUNJUS5OQVNEQVE6Q0FMTS5JUV9BRFZFUlRJU0lORy45OTAuMjkvMDMvMjAyNi4uLlVTRC5IAQAAACB6BQACAAAAAzkuMwEIAAAA</t>
  </si>
  <si>
    <t>BQAAAAExAQAAAAoxODUwMjIwODQ1AwAAAAMxNjACAAAABDMwMTMEAAAAATAHAAAACTMvMjkvMjAyNggAAAAJNS8zMC8yMDE1CQAAAAEwilmWekSN3gjuVC58RI3eCDtDSVEuTkFTREFROkNBTE0uSVFfR0FJTl9CQVJHQUlOX0FDUS4yMDAwLjI5LzAzLzIwMjYuLi5VU0QuSAEAAAAgegUAAwAAAAAAlICWekSN3gi4oTJ8RI3eCEBDSVEuTkFTREFROkNBTE0uSVFfQVNTRVRfV1JJVEVET1dOX1NVUFBMRS45OTAuMjkvMDMvMjAyNi4uLlVTRC5IAQAAACB6BQADAAAAAACUgJZ6RI3eCM4YMnxEjd4IPENJUS5OQVNEQVE6Q0FMTS5JUV9ORUdBVElWRV9HV19BTU9SVC4yMDAwLjI5LzAzLzIwMjYuLi5VU0QuSAEAAAAgegUAAwAAAAAAlICWekSN3giZszN8RI3eCDlDSVEuTkFTREFROkNBTE0uSVFfR0FJTl9JTlZFU1RfQ0YuMjAwMC4yOS8wMy8yMDI2Li4uVVNELkgBAAAAIHoFAAMAAAAAAIvjf3pEjd4I7tQ4fESN3ggvQ0lRLk5BU0RBUTpDQUxNLklRX05JX0NGLjk5MS4yOS8wMy8yMDI2Li4uVVNELkgBAAAAIHoFAAIAAAAHMzE2LjA0MQEIAAAABQAAAAExAQAAAAoxODk2ODIwNTE3AwAAAAMxNjACAAAABDIxNTAEAAAAATAHAAAACTMvMjkvMjAyNggAAAAJNS8yOC8yMDE2CQAAAAEwSLx/ekSN3giMOTd8RI3eCDxDSVEuTkFTREFROkNBTE0uSVFfU1RPQ0tfT1BUSU9OU19DT01QLjk5MS4yOS8wMy8yMDI2Li4u</t>
  </si>
  <si>
    <t>VVNELkgBAAAAIHoFAAMAAAAAAEi8f3pEjd4IUJ02fESN3gg0Q0lRLk5BU0RBUTpDQUxNLklRX0NBU0hfRklOQU4uOTkwLjI5LzAzLzIwMjYuLi5VU0QuSAEAAAAgegUAAgAAAActNTkuNTUyAQgAAAAFAAAAATEBAAAACjE4NTAyMjA4NDUDAAAAAzE2MAIAAAAEMjAwNAQAAAABMAcAAAAJMy8yOS8yMDI2CAAAAAk1LzMwLzIwMTUJAAAAATCmMYB6RI3eCP3VP3xEjd4INENJUS5OQVNEQVE6Q0FMTS5JUV9ESVZFU1RfQ0YuMjAwMC4yOS8wMy8yMDI2Li4uVVNELkgBAAAAIHoFAAMAAAAAANcKgHpEjd4IZlg8fESN3gg9Q0lRLk5BU0RBUTpDQUxNLklRX1RBWF9CRU5FRklUX09QVElPTlMuOTkxLjI5LzAzLzIwMjYuLi5VU0QuSAEAAAAgegUAAwAAAAAAi+N/ekSN3giOvzl8RI3eCDpDSVEuTkFTREFROkNBTE0uSVFfU0FMRVNfTUFSS0VUSU5HLjIwMDAuMjkvMDMvMjAyNi4uLlVTRC5IAQAAACB6BQACAAAABzE0Ny4yMjMBCAAAAAUAAAABMQEAAAALLTE5MTA2Mjc4MzgDAAAAAzE2MAIAAAAFMjE1NjEEAAAAATAHAAAACTMvMjkvMjAyNggAAAAKMTEvMjkvMjAyNQkAAAABMIpZlnpEjd4INKMufESN3gg/Q0lRLk5BU0RBUTpDQUxNLklRX0lNUFVUX09QRVJfTEVBU0VfREVQUi45OTIuMjkvMDMvMjAyNi4uLlVTRC5IAQAAACB6BQACAAAACDEuNTA0ODA4AQgAAAAFAAAAATEBAAAACjE5NzIwMTIxMjEDAAAAAzE2</t>
  </si>
  <si>
    <t>MAIAAAAFMjE2NzMEAAAAATAHAAAACTMvMjkvMjAyNggAAAAINi8zLzIwMTcJAAAAATCKWZZ6RI3eCHMojX5Ejd4IQUNJUS5OQVNEQVE6Q0FMTS5JUV9FWFBMT1JFX0RSSUxMX0VYUF9UT1RBTC45OTIuMjkvMDMvMjAyNi4uLlVTRC5IAQAAACB6BQADAAAAAACKWZZ6RI3eCEhjjX5Ejd4IO0NJUS5OQVNEQVE6Q0FMTS5JUV9TVE9DS19CQVNFRF9DT01QLjIwMDAuMjkvMDMvMjAyNi4uLlVTRC5IAQAAACB6BQADAAAAAABIvH96RI3eCIw5N3xEjd4IQUNJUS5OQVNEQVE6Q0FMTS5JUV9FWENJU0VfVEFYRVNfRVhDTF9TQUxFUy45OTIuMjkvMDMvMjAyNi4uLlVTRC5IAQAAACB6BQADAAAAAABXC5Z6RI3eCDMtkX5Ejd4INUNJUS5OQVNEQVE6Q0FMTS5JUV9DQVNIX0ZJTkFOLjIwMDAuMjkvMDMvMjAyNi4uLlVTRC5IAQAAACB6BQACAAAACC01NTEuODEzAQgAAAAFAAAAATEBAAAACy0xOTEwNjI3ODM4AwAAAAMxNjACAAAABDIwMDQEAAAAATAHAAAACTMvMjkvMjAyNggAAAAKMTEvMjkvMjAyNQkAAAABMKYxgHpEjd4I/dU/fESN3gg0Q0lRLk5BU0RBUTpDQUxNLklRX0NVUlJfVEFYRVMuOTkwLjI5LzAzLzIwMjYuLi5VU0QuSAEAAAAgegUAAgAAAAU3OS4xNgEIAAAABQAAAAExAQAAAAoxODUwMjIwODQ1AwAAAAMxNjACAAAABTM1MzgzBAAAAAEwBwAAAAkzLzI5LzIwMjYIAAAACTUvMzAvMjAxNQkAAAABMFcL</t>
  </si>
  <si>
    <t>lnpEjd4IqbUqfESN3gg9Q0lRLk5BU0RBUTpDQUxNLklRX0NVUlJfRE9NRVNUSUNfVEFYRVMuOTkyLjI5LzAzLzIwMjYuLi5VU0QuSAEAAAAgegUAAgAAAAUtNTQuNwEIAAAABQAAAAExAQAAAAoxOTcyMDEyMTIxAwAAAAMxNjACAAAABDMwMjcEAAAAATAHAAAACTMvMjkvMjAyNggAAAAINi8zLzIwMTcJAAAAATBXC5Z6RI3eCCAGkX5Ejd4IS0NJUS5OQVNEQVE6Q0FMTS5JUV9JTlRFUkVTVF9FWFBfTEVBU0VfTElBQklMSVRZX0RFQlQuOTkyLjI5LzAzLzIwMjYuLi5VU0QuSAEAAAAgegUAAwAAAAAAfTKWekSN3gif4I9+RI3eCDtDSVEuTkFTREFROkNBTE0uSVFfTkVUX1JFTlRBTF9FWFBfRk4uOTkxLjI5LzAzLzIwMjYuLi5VU0QuSAEAAAAgegUAAgAAAAQ0LjA5AQgAAAAFAAAAATEBAAAACjE4OTY4MjA1MTcDAAAAAzE2MAIAAAAEMzE3MAQAAAABMAcAAAAJMy8yOS8yMDI2CAAAAAk1LzI4LzIwMTYJAAAAATCKWZZ6RI3eCJk/L3xEjd4IP0NJUS5OQVNEQVE6Q0FMTS5JUV9JTVBVVF9PUEVSX0xFQVNFX0RFUFIuOTkxLjI5LzAzLzIwMjYuLi5VU0QuSAEAAAAgegUAAgAAAAgyLjE1ODQwOAEIAAAABQAAAAExAQAAAAoxODk2ODIwNTE3AwAAAAMxNjACAAAABTIxNjczBAAAAAEwBwAAAAkzLzI5LzIwMjYIAAAACTUvMjgvMjAxNgkAAAABMIpZlnpEjd4IXC4xfESN3ghBQ0lRLk5BU0RBUTpDQUxNLklRX0VY</t>
  </si>
  <si>
    <t>UExPUkVfRFJJTExfRVhQX1RPVEFMLjk5MS4yOS8wMy8yMDI2Li4uVVNELkgBAAAAIHoFAAMAAAAAAIpZlnpEjd4IbKUwfESN3gg7Q0lRLk5BU0RBUTpDQUxNLklRX1NUT0NLX0JBU0VEX1RPVEFMLjk5Mi4yOS8wMy8yMDI2Li4uVVNELkgBAAAAIHoFAAIAAAAFMy40MjcBCAAAAAUAAAABMQEAAAAKMTk3MjAxMjEyMQMAAAADMTYwAgAAAAUyNDAzNAQAAAABMAcAAAAJMy8yOS8yMDI2CAAAAAg2LzMvMjAxNwkAAAABMEi8f3pEjd4IRsqKfkSN3gg+Q0lRLk5BU0RBUTpDQUxNLklRX1NBTEVfUkVBTF9FU1RBVEVfQ0YuMjAwMC4yOS8wMy8yMDI2Li4uVVNELkgBAAAAIHoFAAMAAAAAANcKgHpEjd4It6Y8fESN3gg7Q0lRLk5BU0RBUTpDQUxNLklRX1BST1ZfQkFEX0RFQlRTX0NGLjk5Mi4yOS8wMy8yMDI2Li4uVVNELkgBAAAAIHoFAAMAAAAAAIvjf3pEjd4I9OKHfkSN3ggvQ0lRLk5BU0RBUTpDQUxNLklRX0RBX0NGLjk5MS4yOS8wMy8yMDI2Li4uVVNELkgBAAAAIHoFAAIAAAAGNDQuNTkyAQgAAAAFAAAAATEBAAAACjE4OTY4MjA1MTcDAAAAAzE2MAIAAAAEMjE2MAQAAAABMAcAAAAJMy8yOS8yMDI2CAAAAAk1LzI4LzIwMTYJAAAAATBIvH96RI3eCNT9N3xEjd4IP0NJUS5OQVNEQVE6Q0FMTS5JUV9JTVBVVF9PUEVSX0xFQVNFX0RFUFIuOTkwLjI5LzAzLzIwMjYuLi5VU0QuSAEAAAAgegUAAgAAAAYxLjU0</t>
  </si>
  <si>
    <t>NDEBCAAAAAUAAAABMQEAAAAKMTg1MDIyMDg0NQMAAAADMTYwAgAAAAUyMTY3MwQAAAABMAcAAAAJMy8yOS8yMDI2CAAAAAk1LzMwLzIwMTUJAAAAATCKWZZ6RI3eCFwuMXxEjd4IOENJUS5OQVNEQVE6Q0FMTS5JUV9NSVNDX0FESlVTVF9DRi45OTAuMjkvMDMvMjAyNi4uLlVTRC5IAQAAACB6BQADAAAAAACmMYB6RI3eCPQjQHxEjd4IQ0NJUS5OQVNEQVE6Q0FMTS5JUV9TVE9DS19CQVNFRF9FWFBMT1JFX0RSSUxMLjk5MS4yOS8wMy8yMDI2Li4uVVNELkgBAAAAIHoFAAMAAAAAAI2Bf3pEjd4IagA1fESN3gg4Q0lRLk5BU0RBUTpDQUxNLklRX1NUT0NLX0JBU0VEX1NNLjk5Mi4yOS8wMy8yMDI2Li4uVVNELkgBAAAAIHoFAAMAAAAAAJSAlnpEjd4IWj+LfkSN3ggvQ0lRLk5BU0RBUTpDQUxNLklRX0RBX0NGLjk5MC4yOS8wMy8yMDI2Li4uVVNELkgBAAAAIHoFAAIAAAAGNDAuNzA4AQgAAAAFAAAAATEBAAAACjE4NTAyMjA4NDUDAAAAAzE2MAIAAAAEMjE2MAQAAAABMAcAAAAJMy8yOS8yMDI2CAAAAAk1LzMwLzIwMTUJAAAAATBIvH96RI3eCNT9N3xEjd4IO0NJUS5OQVNEQVE6Q0FMTS5JUV9TVE9DS19CQVNFRF9UT1RBTC45OTEuMjkvMDMvMjAyNi4uLlVTRC5IAQAAACB6BQACAAAABTMuMDcxAQgAAAAFAAAAATEBAAAACjE4OTY4MjA1MTcDAAAAAzE2MAIAAAAFMjQwMzQEAAAAATAHAAAACTMvMjkvMjAy</t>
  </si>
  <si>
    <t>NggAAAAJNS8yOC8yMDE2CQAAAAEwSLx/ekSN3gi6dTV8RI3eCDlDSVEuTkFTREFROkNBTE0uSVFfTUlTQ19BREpVU1RfQ0YuMjAwMC4yOS8wMy8yMDI2Li4uVVNELkgBAAAAIHoFAAMAAAAAAKYxgHpEjd4IRoZAfESN3gg8Q0lRLk5BU0RBUTpDQUxNLklRX0lOVkVTVF9TRUNVUklUWV9DRi45OTEuMjkvMDMvMjAyNi4uLlVTRC5IAQAAACB6BQACAAAABy0xNTEuMzEBCAAAAAUAAAABMQEAAAAKMTg5NjgyMDUxNwMAAAADMTYwAgAAAAQyMDI3BAAAAAEwBwAAAAkzLzI5LzIwMjYIAAAACTUvMjgvMjAxNgkAAAABMNcKgHpEjd4It6Y8fESN3gg8Q0lRLk5BU0RBUTpDQUxNLklRX0NIQU5HRV9VTkVBUk5fUkVWLjIwMDAuMjkvMDMvMjAyNi4uLlVTRC5IAQAAACB6BQADAAAAAACL4396RI3eCOILO3xEjd4IO0NJUS5OQVNEQVE6Q0FMTS5JUV9QUk9WX0JBRF9ERUJUU19DRi45OTEuMjkvMDMvMjAyNi4uLlVTRC5IAQAAACB6BQADAAAAAACL4396RI3eCI6/OXxEjd4IPENJUS5OQVNEQVE6Q0FMTS5JUV9BU1NFVF9XUklURURPV05fQ0YuOTkxLjI5LzAzLzIwMjYuLi5VU0QuSAEAAAAgegUAAwAAAAAAi+N/ekSN3ggv/Dh8RI3eCDtDSVEuTkFTREFROkNBTE0uSVFfQ09OVElOR0VOVF9SRU5UQUwuOTkxLjI5LzAzLzIwMjYuLi5VU0QuSAEAAAAgegUAAwAAAAAAilmWekSN3ggk4i98RI3eCD1DSVEuTkFTREFROkNB</t>
  </si>
  <si>
    <t>TE0uSVFfUkVTVFJVQ1RVUkVfU1VQUExFLjIwMDAuMjkvMDMvMjAyNi4uLlVTRC5IAQAAACB6BQADAAAAAACKWZZ6RI3eCKSjMXxEjd4IN0NJUS5OQVNEQVE6Q0FMTS5JUV9BSVJDUkFGVF9SRU5ULjk5Mi4yOS8wMy8yMDI2Li4uVVNELkgBAAAAIHoFAAMAAAAAAIpZlnpEjd4I0rGNfkSN3ghDQ0lRLk5BU0RBUTpDQUxNLklRX1NUT0NLX0JBU0VEX0VYUExPUkVfRFJJTEwuOTkwLjI5LzAzLzIwMjYuLi5VU0QuSAEAAAAgegUAAwAAAAAAjYF/ekSN3ghqADV8RI3eCDhDSVEuTkFTREFROkNBTE0uSVFfU1RPQ0tfQkFTRURfU00uOTkxLjI5LzAzLzIwMjYuLi5VU0QuSAEAAAAgegUAAwAAAAAAlICWekSN3ghEizR8RI3eCD5DSVEuTkFTREFROkNBTE0uSVFfTkVHQVRJVkVfR1dfQU1PUlRfQVQuOTkyLjI5LzAzLzIwMjYuLi5VU0QuSAEAAAAgegUAAwAAAAAAlICWekSN3giDtIt+RI3eCD9DSVEuTkFTREFROkNBTE0uSVFfT1RIRVJfVU5VU1VBTF9TVVBQTEUuMjAwMC4yOS8wMy8yMDI2Li4uVVNELkgBAAAAIHoFAAMAAAAAAJSAlnpEjd4IXj4zfESN3gg7Q0lRLk5BU0RBUTpDQUxNLklRX0lOU19TRVRUTEVfU1VQUExFLjk5MC4yOS8wMy8yMDI2Li4uVVNELkgBAAAAIHoFAAMAAAAAAJSAlnpEjd4IAckyfESN3ghBQ0lRLk5BU0RBUTpDQUxNLklRX1NUT0NLX0JBU0VEX0NPTVBfUFJFVEFYLjk5Mi4yOS8wMy8y</t>
  </si>
  <si>
    <t>MDI2Li4uVVNELkgBAAAAIHoFAAIAAAAFMy40MjcASLx/ekSN3gjKy4l+RI3eCDpDSVEuTkFTREFROkNBTE0uSVFfUkVTVFJfU1RPQ0tfQ09NUC45OTIuMjkvMDMvMjAyNi4uLlVTRC5IAQAAACB6BQADAAAAAABIvH96RI3eCLxUin5Ejd4IPENJUS5OQVNEQVE6Q0FMTS5JUV9JTlZFU1RfU0VDVVJJVFlfQ0YuOTkyLjI5LzAzLzIwMjYuLi5VU0QuSAEAAAAgegUAAgAAAAcxOTguNTQzAQgAAAAFAAAAATEBAAAACjE5NzIwMTIxMjEDAAAAAzE2MAIAAAAEMjAyNwQAAAABMAcAAAAJMy8yOS8yMDI2CAAAAAg2LzMvMjAxNwkAAAABMNcKgHpEjd4I6wWGfkSN3gg8Q0lRLk5BU0RBUTpDQUxNLklRX0FTU0VUX1dSSVRFRE9XTl9DRi45OTAuMjkvMDMvMjAyNi4uLlVTRC5IAQAAACB6BQADAAAAAACL4396RI3eCC/8OHxEjd4IO0NJUS5OQVNEQVE6Q0FMTS5JUV9DT05USU5HRU5UX1JFTlRBTC45OTAuMjkvMDMvMjAyNi4uLlVTRC5IAQAAACB6BQADAAAAAACKWZZ6RI3eCCTiL3xEjd4IQUNJUS5OQVNEQVE6Q0FMTS5JUV9BU1NFVF9XUklURURPV05fU1VQUExFLjIwMDAuMjkvMDMvMjAyNi4uLlVTRC5IAQAAACB6BQADAAAAAACUgJZ6RI3eCOM/MnxEjd4IN0NJUS5OQVNEQVE6Q0FMTS5JUV9BSVJDUkFGVF9SRU5ULjk5MS4yOS8wMy8yMDI2Li4uVVNELkgBAAAAIHoFAAMAAAAAAIpZlnpEjd4IPzAwfESN3gg6Q0lR</t>
  </si>
  <si>
    <t>Lk5BU0RBUTpDQUxNLklRX1NUT0NLX0JBU0VEX1NHQS4yMDAwLjI5LzAzLzIwMjYuLi5VU0QuSAEAAAAgegUAAwAAAAAAjYF/ekSN3ghqADV8RI3eCDhDSVEuTkFTREFROkNBTE0uSVFfU1RPQ0tfQkFTRURfU00uOTkwLjI5LzAzLzIwMjYuLi5VU0QuSAEAAAAgegUAAwAAAAAAlICWekSN3ghEizR8RI3eCEJDSVEuTkFTREFROkNBTE0uSVFfR0FJTl9CQVJHQUlOX0FDUV9TVVBQTEUuMjAwMC4yOS8wMy8yMDI2Li4uVVNELkgBAAAAIHoFAAMAAAAAAJSAlnpEjd4IAckyfESN3gg1Q0lRLk5BU0RBUTpDQUxNLklRX0RBX1NVUFBMX0NGLjk5MC4yOS8wMy8yMDI2Li4uVVNELkgBAAAAIHoFAAIAAAAGMzcuODA4AQgAAAAFAAAAATEBAAAACjE4NTAyMjA4NDUDAAAAAzE2MAIAAAAEMjE3MQQAAAABMAcAAAAJMy8yOS8yMDI2CAAAAAk1LzMwLzIwMTUJAAAAATBIvH96RI3eCHRhN3xEjd4IQUNJUS5OQVNEQVE6Q0FMTS5JUV9TVE9DS19CQVNFRF9DT01QX1BSRVRBWC45OTEuMjkvMDMvMjAyNi4uLlVTRC5IAQAAACB6BQACAAAABTMuMDcxAEi8f3pEjd4IUJ02fESN3gg7Q0lRLk5BU0RBUTpDQUxNLklRX1JFU1RSX1NUT0NLX0NPTVAuMjAwMC4yOS8wMy8yMDI2Li4uVVNELkgBAAAAIHoFAAMAAAAAAEi8f3pEjd4IEyg2fESN3gg5Q0lRLk5BU0RBUTpDQUxNLklRX0lOVkVTVF9MT0FOU19DRi45OTEuMjkvMDMvMjAy</t>
  </si>
  <si>
    <t>Ni4uLlVTRC5IAQAAACB6BQADAAAAAADXCoB6RI3eCKb0PHxEjd4INUNJUS5OQVNEQVE6Q0FMTS5JUV9JTlRfSU5WX0lOQy45OTAuMjkvMDMvMjAyNi4uLlVTRC5IAQAAACB6BQADAAAAAABaKuR6RI3eCJeTFnxEjd4IMENJUS5OQVNEQVE6Q0FMTS5JUV9SRF9FWFAuOTkwLjI5LzAzLzIwMjYuLi5VU0QuSAEAAAAgegUAAwAAAAAAgVHkekSN3ghzGBx8RI3eCDdDSVEuTkFTREFROkNBTE0uSVFfRVhQTE9SRV9EUklMTC45OTIuMjkvMDMvMjAyNi4uLlVTRC5IAQAAACB6BQADAAAAAACBUeR6RI3eCOG/mX5Ejd4IOkNJUS5OQVNEQVE6Q0FMTS5JUV9ORVRfSU5URVJFU1RfRVhQLjk5Mi4yOS8wMy8yMDI2Li4uVVNELkgBAAAAIHoFAAIAAAAFMTAuNDUBCAAAAAUAAAABMQEAAAAKMTk3MjAxMjEyMQMAAAADMTYwAgAAAAMzNjgEAAAAATAHAAAACTMvMjkvMjAyNggAAAAINi8zLzIwMTcJAAAAATCBUeR6RI3eCJ0lmH5Ejd4IN0NJUS5OQVNEQVE6Q0FMTS5JUV9JTVBBSVJNRU5UX0dXLjk5MC4yOS8wMy8yMDI2Li4uVVNELkgBAAAAIHoFAAMAAAAAAKx45HpEjd4IVZkffESN3ggyQ0lRLk5BU0RBUTpDQUxNLklRX0VCVF9FWENMLjk5MC4yOS8wMy8yMDI2Li4uVVNELkgBAAAAIHoFAAIAAAAHMjQ3LjA0MgEIAAAABQAAAAExAQAAAAoxODUwMjIwODQ1AwAAAAMxNjACAAAAATQEAAAAATAHAAAACTMvMjkvMjAyNggA</t>
  </si>
  <si>
    <t>AAAJNS8zMC8yMDE1CQAAAAEwgVHkekSN3ghlIx98RI3eCDRDSVEuTkFTREFROkNBTE0uSVFfTklfQ09NUEFOWS45OTAuMjkvMDMvMjAyNi4uLlVTRC5IAQAAACB6BQACAAAABzE2Mi4yODEBCAAAAAUAAAABMQEAAAAKMTg1MDIyMDg0NQMAAAADMTYwAgAAAAU0MTU3MQQAAAABMAcAAAAJMy8yOS8yMDI2CAAAAAk1LzMwLzIwMTUJAAAAATCseOR6RI3eCFXRIXxEjd4IMUNJUS5OQVNEQVE6Q0FMTS5JUV9JTkNfVEFYLjk5Mi4yOS8wMy8yMDI2Li4uVVNELkgBAAAAIHoFAAIAAAAHLTM5Ljg2NwEIAAAABQAAAAExAQAAAAoxOTcyMDEyMTIxAwAAAAMxNjACAAAAAjc1BAAAAAEwBwAAAAkzLzI5LzIwMjYIAAAACDYvMy8yMDE3CQAAAAEwrHjkekSN3ggcUJZ+RI3eCDZDSVEuTkFTREFROkNBTE0uSVFfTEVHQUxfU0VUVExFLjk5Mi4yOS8wMy8yMDI2Li4uVVNELkgBAAAAIHoFAAMAAAAAAKx45HpEjd4IZNmWfkSN3gg4Q0lRLk5BU0RBUTpDQUxNLklRX0RJTFVUX0VQU19JTkNMLjk5Mi4yOS8wMy8yMDI2Li4uVVNELkgBAAAAIHoFAAIAAAAFLTEuNTQBCAAAAAUAAAABMQEAAAAKMTk3MjAxMjEyMQMAAAADMTYwAgAAAAE4BAAAAAEwBwAAAAkzLzI5LzIwMjYIAAAACDYvMy8yMDE3CQAAAAEwFZ/kekSN3giWF5V+RI3eCDhDSVEuTkFTREFROkNBTE0uSVFfRElMVVRfRVBTX05PUk0uOTkwLjI5LzAzLzIwMjYuLi5V</t>
  </si>
  <si>
    <t>U0QuSAEAAAAgegUAAgAAAAgzLjE2NjQ2OAEIAAAABQAAAAExAQAAAAoxODUwMjIwODQ1AwAAAAMxNjACAAAABDQzODAEAAAAATAHAAAACTMvMjkvMjAyNggAAAAJNS8zMC8yMDE1CQAAAAEwFZ/kekSN3ghfjyN8RI3eCD9DSVEuTkFTREFROkNBTE0uSVFfRUJJVERBX0xFQVNFX0FESlVTVEVELjk5MC4yOS8wMy8yMDI2Li4uVVNELkgBAAAAIHoFAAIAAAAHMjc2LjA0MwEIAAAABQAAAAExAQAAAAoxODUwMjIwODQ1AwAAAAMxNjACAAAABTQ4OTkzBAAAAAEwBwAAAAkzLzI5LzIwMjYIAAAACTUvMzAvMjAxNQkAAAABMBWf5HpEjd4ID1ElfESN3gg4Q0lRLk5BU0RBUTpDQUxNLklRX0VCSVREQV9FUV9JTkMuMjAwMC4yOS8wMy8yMDI2Li4uVVNELkgBAAAAIHoFAAIAAAAIMTU3MC4zMjcBCAAAAAUAAAABMQEAAAALLTE5MTA2Mjc4MzgDAAAAAzE2MAIAAAAFMjE2NzcEAAAAATAHAAAACTMvMjkvMjAyNggAAAAKMTEvMjkvMjAyNQkAAAABMBWf5HpEjd4IB+8kfESN3ghAQ0lRLk5BU0RBUTpDQUxNLklRX0VCSVRBX0VRX0lOQ19FWENMX1NCQy4yMDAwLjI5LzAzLzIwMjYuLi5VU0QuSAEAAAAgegUAAgAAAAcxNDY5LjU0AQgAAAAFAAAAATEBAAAACy0xOTEwNjI3ODM4AwAAAAMxNjACAAAABTI0MTMyBAAAAAEwBwAAAAkzLzI5LzIwMjYIAAAACjExLzI5LzIwMjUJAAAAATBb5JV6RI3eCIlmJ3xEjd4IS0NJUS5O</t>
  </si>
  <si>
    <t>QVNEQVE6Q0FMTS5JUV9FQklUREFfRVFfSU5DX0VYQ0xfT1BFUl9MRUFTRV9BREouOTkyLjI5LzAzLzIwMjYuLi5VU0QuSAEAAAAgegUAAgAAAActNzkuOTc5AQgAAAAFAAAAATEBAAAACjE5NzIwMTIxMjEDAAAAAzE2MAIAAAAFNDg5ODcEAAAAATAHAAAACTMvMjkvMjAyNggAAAAINi8zLzIwMTcJAAAAATAVn+R6RI3eCM13k35Ejd4IP0NJUS5OQVNEQVE6Q0FMTS5JUV9UT1RBTF9SRVZfQVNfUkVQT1JURUQuOTkyLjI5LzAzLzIwMjYuLi5VU0QuSAEAAAAgegUAAwAAAAAAVwuWekSN3ghPBJJ+RI3eCDpDSVEuTkFTREFROkNBTE0uSVFfRUJJVERBUl9FWENMX1NCQy45OTIuMjkvMDMvMjAyNi4uLlVTRC5IAQAAACB6BQACAAAABy03My45NjcBCAAAAAUAAAABMQEAAAAKMTk3MjAxMjEyMQMAAAADMTYwAgAAAAUyNDEzNwQAAAABMAcAAAAJMy8yOS8yMDI2CAAAAAg2LzMvMjAxNwkAAAABMFcLlnpEjd4IwVKSfkSN3gg4Q0lRLk5BU0RBUTpDQUxNLklRX0VCSVREQVJfRVFfSU5DLjk5MS4yOS8wMy8yMDI2Li4uVVNELkgBAAAAIHoFAAIAAAAHNTI0LjAxMgEIAAAABQAAAAExAQAAAAoxODk2ODIwNTE3AwAAAAMxNjACAAAABTI0MTI5BAAAAAEwBwAAAAkzLzI5LzIwMjYIAAAACTUvMjgvMjAxNgkAAAABMFcLlnpEjd4IXu8nfESN3gg+Q0lRLk5BU0RBUTpDQUxNLklRX0RFRkVSUkVEX1RBWEVTX1RPVEFMLjk5</t>
  </si>
  <si>
    <t>Mi4yOS8wMy8yMDI2Li4uVVNELkgBAAAAIHoFAAIAAAAGMTQuODMzAQgAAAAFAAAAATEBAAAACjE5NzIwMTIxMjEDAAAAAzE2MAIAAAAFMzUzODUEAAAAATAHAAAACTMvMjkvMjAyNggAAAAINi8zLzIwMTcJAAAAATBXC5Z6RI3eCBORkH5Ejd4IQUNJUS5OQVNEQVE6Q0FMTS5JUV9ERUZFUlJFRF9ET01FU1RJQ19UQVhFUy45OTIuMjkvMDMvMjAyNi4uLlVTRC5IAQAAACB6BQACAAAABjE0LjgzMwEIAAAABQAAAAExAQAAAAoxOTcyMDEyMTIxAwAAAAMxNjACAAAABDMwNTQEAAAAATAHAAAACTMvMjkvMjAyNggAAAAINi8zLzIwMTcJAAAAATBXC5Z6RI3eCA64kH5Ejd4IM0NJUS5OQVNEQVE6Q0FMTS5JUV9EQV9FQklUREEuOTkyLjI5LzAzLzIwMjYuLi5VU0QuSAEAAAAgegUAAgAAAAY0OS4xMTMBCAAAAAUAAAABMQEAAAAKMTk3MjAxMjEyMQMAAAADMTYwAgAAAAQyMjA2BAAAAAEwBwAAAAkzLzI5LzIwMjYIAAAACDYvMy8yMDE3CQAAAAEwfTKWekSN3gica49+RI3eCDFDSVEuTkFTREFROkNBTE0uSVFfTklfTk9STS45OTIuMjkvMDMvMjAyNi4uLlVTRC5IAQAAACB6BQACAAAACS02OS4xMzQ3NQEIAAAABQAAAAExAQAAAAoxOTcyMDEyMTIxAwAAAAMxNjACAAAABDQzNzgEAAAAATAHAAAACTMvMjkvMjAyNggAAAAINi8zLzIwMTcJAAAAATB9MpZ6RI3eCMMukH5Ejd4INUNJUS5OQVNEQVE6Q0FMTS5JUV9B</t>
  </si>
  <si>
    <t>RFZFUlRJU0lORy45OTIuMjkvMDMvMjAyNi4uLlVTRC5IAQAAACB6BQACAAAABDEwLjMBCAAAAAUAAAABMQEAAAAKMTk3MjAxMjEyMQMAAAADMTYwAgAAAAQzMDEzBAAAAAEwBwAAAAkzLzI5LzIwMjYIAAAACDYvMy8yMDE3CQAAAAEwilmWekSN3gg9w45+RI3eCC1DSVEuTkFTREFROkNBTE0uSVFfRElDLjk5Mi4yOS8wMy8yMDI2Li4uVVNELkgBAAAAIHoFAAMAAAAAAH0ylnpEjd4IPcOOfkSN3ghAQ0lRLk5BU0RBUTpDQUxNLklRX0FOTlVfRElTVFJJQlVUSU9OX1VOSVQuOTkyLjI5LzAzLzIwMjYuLi5VU0QuSAEAAAAgegUAAwAAAAAAfTKWekSN3ggbHY9+RI3eCDZDSVEuTkFTREFROkNBTE0uSVFfTUFJTlRfUkVQQUlSLjk5Mi4yOS8wMy8yMDI2Li4uVVNELkgBAAAAIHoFAAMAAAAAAIpZlnpEjd4ISGONfkSN3gg3Q0lRLk5BU0RBUTpDQUxNLklRX0FJUkNSQUZUX1JFTlQuOTkwLjI5LzAzLzIwMjYuLi5VU0QuSAEAAAAgegUAAwAAAAAAilmWekSN3gg/MDB8RI3eCDBDSVEuTkFTREFROkNBTE0uSVFfR0FfRVhQLjk5Mi4yOS8wMy8yMDI2Li4uVVNELkgBAAAAIHoFAAMAAAAAAIpZlnpEjd4IG3WOfkSN3gg1Q0lRLk5BU0RBUTpDQUxNLklRX09USEVSX0FNT1JULjk5MS4yOS8wMy8yMDI2Li4uVVNELkgBAAAAIHoFAAMAAAAAAEi8f3pEjd4I3iQ4fESN3ggwQ0lRLk5BU0RBUTpDQUxNLklRX05JX0NGLjIw</t>
  </si>
  <si>
    <t>MDAuMjkvMDMvMjAyNi4uLlVTRC5IAQAAACB6BQACAAAACDExNTMuMTA3AQgAAAAFAAAAATEBAAAACy0xOTEwNjI3ODM4AwAAAAMxNjACAAAABDIxNTAEAAAAATAHAAAACTMvMjkvMjAyNggAAAAKMTEvMjkvMjAyNQkAAAABMEi8f3pEjd4IdGE3fESN3ghBQ0lRLk5BU0RBUTpDQUxNLklRX1NUT0NLX0JBU0VEX0NPTVBfUFJFVEFYLjk5MC4yOS8wMy8yMDI2Li4uVVNELkgBAAAAIHoFAAIAAAAFMi45NTUASLx/ekSN3ghQnTZ8RI3eCDtDSVEuTkFTREFROkNBTE0uSVFfRkVFU19PVEhFUl9JTkNPTUUuOTkxLjI5LzAzLzIwMjYuLi5VU0QuSAEAAAAgegUAAwAAAAAAVwuWekSN3ghHoCh8RI3eCDpDSVEuTkFTREFROkNBTE0uSVFfRUJJVERBUl9FWENMX1NCQy45OTEuMjkvMDMvMjAyNi4uLlVTRC5IAQAAACB6BQACAAAABzUyMi4wNjcBCAAAAAUAAAABMQEAAAAKMTg5NjgyMDUxNwMAAAADMTYwAgAAAAUyNDEzNwQAAAABMAcAAAAJMy8yOS8yMDI2CAAAAAk1LzI4LzIwMTYJAAAAATBXC5Z6RI3eCMA9KHxEjd4INUNJUS5OQVNEQVE6Q0FMTS5JUV9DQVNIX0lOVkVTVC45OTIuMjkvMDMvMjAyNi4uLlVTRC5IAQAAACB6BQACAAAABjUyLjczNAEIAAAABQAAAAExAQAAAAoxOTcyMDEyMTIxAwAAAAMxNjACAAAABDIwMDUEAAAAATAHAAAACTMvMjkvMjAyNggAAAAINi8zLzIwMTcJAAAAATDXCoB6RI3eCJC3hX5E</t>
  </si>
  <si>
    <t>jd4IMUNJUS5OQVNEQVE6Q0FMTS5JUV9OSV9OT1JNLjk5MS4yOS8wMy8yMDI2Li4uVVNELkgBAAAAIHoFAAIAAAAKMzAxLjUzNDYyNQEIAAAABQAAAAExAQAAAAoxODk2ODIwNTE3AwAAAAMxNjACAAAABDQzNzgEAAAAATAHAAAACTMvMjkvMjAyNggAAAAJNS8yOC8yMDE2CQAAAAEwfTKWekSN3gg0yCt8RI3eCD5DSVEuTkFTREFROkNBTE0uSVFfREVGRVJSRURfVEFYRVNfVE9UQUwuOTkxLjI5LzAzLzIwMjYuLi5VU0QuSAEAAAAgegUAAgAAAAYxOS4zOTIBCAAAAAUAAAABMQEAAAAKMTg5NjgyMDUxNwMAAAADMTYwAgAAAAUzNTM4NQQAAAABMAcAAAAJMy8yOS8yMDI2CAAAAAk1LzI4LzIwMTYJAAAAATBXC5Z6RI3eCAFTK3xEjd4IQUNJUS5OQVNEQVE6Q0FMTS5JUV9ERUZFUlJFRF9ET01FU1RJQ19UQVhFUy45OTEuMjkvMDMvMjAyNi4uLlVTRC5IAQAAACB6BQACAAAABjE5LjM5MgEIAAAABQAAAAExAQAAAAoxODk2ODIwNTE3AwAAAAMxNjACAAAABDMwNTQEAAAAATAHAAAACTMvMjkvMjAyNggAAAAJNS8yOC8yMDE2CQAAAAEwVwuWekSN3gj53Cp8RI3eCC1DSVEuTkFTREFROkNBTE0uSVFfRElDLjk5MS4yOS8wMy8yMDI2Li4uVVNELkgBAAAAIHoFAAMAAAAAAH0ylnpEjd4I+S0ufESN3ghAQ0lRLk5BU0RBUTpDQUxNLklRX0FOTlVfRElTVFJJQlVUSU9OX1VOSVQuOTkxLjI5LzAzLzIwMjYuLi5VU0Qu</t>
  </si>
  <si>
    <t>SAEAAAAgegUAAwAAAAAAfTKWekSN3giEpC18RI3eCDNDSVEuTkFTREFROkNBTE0uSVFfREFfRUJJVERBLjk5MS4yOS8wMy8yMDI2Li4uVVNELkgBAAAAIHoFAAIAAAAGNDQuNTkyAQgAAAAFAAAAATEBAAAACjE4OTY4MjA1MTcDAAAAAzE2MAIAAAAEMjIwNgQAAAABMAcAAAAJMy8yOS8yMDI2CAAAAAk1LzI4LzIwMTYJAAAAATB9MpZ6RI3eCGgvLXxEjd4IMENJUS5OQVNEQVE6Q0FMTS5JUV9HQV9FWFAuOTkxLjI5LzAzLzIwMjYuLi5VU0QuSAEAAAAgegUAAwAAAAAAilmWekSN3gheyi58RI3eCDVDSVEuTkFTREFROkNBTE0uSVFfQURWRVJUSVNJTkcuOTkxLjI5LzAzLzIwMjYuLi5VU0QuSAEAAAAgegUAAgAAAAQxMC4zAQgAAAAFAAAAATEBAAAACjE4OTY4MjA1MTcDAAAAAzE2MAIAAAAEMzAxMwQAAAABMAcAAAAJMy8yOS8yMDI2CAAAAAk1LzI4LzIwMTYJAAAAATCKWZZ6RI3eCO5ULnxEjd4IQkNJUS5OQVNEQVE6Q0FMTS5JUV9FWFBMT1JFX0RSSUxMX0VYUF9UT1RBTC4yMDAwLjI5LzAzLzIwMjYuLi5VU0QuSAEAAAAgegUAAwAAAAAAilmWekSN3giEzDB8RI3eCDdDSVEuTkFTREFROkNBTE0uSVFfT1RIRVJfUkVOVEFMLjIwMDAuMjkvMDMvMjAyNi4uLlVTRC5IAQAAACB6BQADAAAAAACKWZZ6RI3eCE1XMHxEjd4INUNJUS5OQVNEQVE6Q0FMTS5JUV9PVEhFUl9BTU9SVC45OTAuMjkvMDMvMjAyNi4u</t>
  </si>
  <si>
    <t>LlVTRC5IAQAAACB6BQADAAAAAABIvH96RI3eCN4kOHxEjd4IPUNJUS5OQVNEQVE6Q0FMTS5JUV9TVE9DS19PUFRJT05TX0NPTVAuMjAwMC4yOS8wMy8yMDI2Li4uVVNELkgBAAAAIHoFAAMAAAAAAEi8f3pEjd4IUJ02fESN3gg8Q0lRLk5BU0RBUTpDQUxNLklRX1NUT0NLX0JBU0VEX1RPVEFMLjIwMDAuMjkvMDMvMjAyNi4uLlVTRC5IAQAAACB6BQACAAAABTUuMDI3AQgAAAAFAAAAATEBAAAACy0xOTEwNjI3ODM4AwAAAAMxNjACAAAABTI0MDM0BAAAAAEwBwAAAAkzLzI5LzIwMjYIAAAACjExLzI5LzIwMjUJAAAAATBIvH96RI3eCJ6yNXxEjd4IM0NJUS5OQVNEQVE6Q0FMTS5JUV9UT1RBTF9SRVYuOTkyLjI5LzAzLzIwMjYuLi5VU0QuSAEAAAAgegUAAgAAAAgxMDc0LjUxMwEIAAAABQAAAAExAQAAAAoxOTcyMDEyMTIxAwAAAAMxNjACAAAAAjI4BAAAAAEwBwAAAAkzLzI5LzIwMjYIAAAACDYvMy8yMDE3CQAAAAEwWirkekSN3ggnXJp+RI3eCDdDSVEuTkFTREFROkNBTE0uSVFfRVhQTE9SRV9EUklMTC45OTAuMjkvMDMvMjAyNi4uLlVTRC5IAQAAACB6BQADAAAAAACBUeR6RI3eCPZnG3xEjd4IOUNJUS5OQVNEQVE6Q0FMTS5JUV9GSU5fRElWX0lOVF9FWFAuOTkwLjI5LzAzLzIwMjYuLi5VU0QuSAEAAAAgegUAAwAAAAAAgVHkekSN3gimkxd8RI3eCDpDSVEuTkFTREFROkNBTE0uSVFfVE9UQUxfT1RI</t>
  </si>
  <si>
    <t>RVJfT1BFUi45OTIuMjkvMDMvMjAyNi4uLlVTRC5IAQAAACB6BQACAAAABzE3Ni4wMzIBCAAAAAUAAAABMQEAAAAKMTk3MjAxMjEyMQMAAAADMTYwAgAAAAMzODAEAAAAATAHAAAACTMvMjkvMjAyNggAAAAINi8zLzIwMTcJAAAAATCBUeR6RI3eCCKbmH5Ejd4IOENJUS5OQVNEQVE6Q0FMTS5JUV9HV19JTlRBTl9BTU9SVC45OTIuMjkvMDMvMjAyNi4uLlVTRC5IAQAAACB6BQADAAAAAACBUeR6RI3eCDwQmX5Ejd4IOkNJUS5OQVNEQVE6Q0FMTS5JUV9ORVRfSU5URVJFU1RfRVhQLjk5MC4yOS8wMy8yMDI2Li4uVVNELkgBAAAAIHoFAAIAAAAFNi4zNzgBCAAAAAUAAAABMQEAAAAKMTg1MDIyMDg0NQMAAAADMTYwAgAAAAMzNjgEAAAAATAHAAAACTMvMjkvMjAyNggAAAAJNS8zMC8yMDE1CQAAAAEwgVHkekSN3ggrNh58RI3eCDZDSVEuTkFTREFROkNBTE0uSVFfTEVHQUxfU0VUVExFLjk5MC4yOS8wMy8yMDI2Li4uVVNELkgBAAAAIHoFAAMAAAAAAKx45HpEjd4IrpggfESN3gg1Q0lRLk5BU0RBUTpDQUxNLklRX0dBSU5fQVNTRVRTLjk5Mi4yOS8wMy8yMDI2Li4uVVNELkgBAAAAIHoFAAIAAAAGLTMuNjY0AQgAAAAFAAAAATEBAAAACjE5NzIwMTIxMjEDAAAAAzE2MAIAAAACNTYEAAAAATAHAAAACTMvMjkvMjAyNggAAAAINi8zLzIwMTcJAAAAATCseOR6RI3eCIQnl35Ejd4IOENJUS5OQVNEQVE6Q0FMTS5J</t>
  </si>
  <si>
    <t>UV9CQVNJQ19FUFNfSU5DTC45OTAuMjkvMDMvMjAyNi4uLlVTRC5IAQAAACB6BQACAAAACDMuMzQ5OTY2AQgAAAAFAAAAATEBAAAACjE4NTAyMjA4NDUDAAAAAzE2MAIAAAABOQQAAAABMAcAAAAJMy8yOS8yMDI2CAAAAAk1LzMwLzIwMTUJAAAAATCseOR6RI3eCDfDInxEjd4ILENJUS5OQVNEQVE6Q0FMTS5JUV9OSS45OTIuMjkvMDMvMjAyNi4uLlVTRC5IAQAAACB6BQACAAAABy03NC4yNzgBCAAAAAUAAAABMQEAAAAKMTk3MjAxMjEyMQMAAAADMTYwAgAAAAIxNQQAAAABMAcAAAAJMy8yOS8yMDI2CAAAAAg2LzMvMjAxNwkAAAABMKx45HpEjd4I5LOVfkSN3gg5Q0lRLk5BU0RBUTpDQUxNLklRX1RPVEFMX1JFVl9TSEFSRS45OTAuMjkvMDMvMjAyNi4uLlVTRC5IAQAAACB6BQACAAAACTMyLjc0MzIyNwEIAAAABQAAAAExAQAAAAoxODUwMjIwODQ1AwAAAAMxNjACAAAABDQzODIEAAAAATAHAAAACTMvMjkvMjAyNggAAAAJNS8zMC8yMDE1CQAAAAEwFZ/kekSN3gikBCR8RI3eCDVDSVEuTkFTREFROkNBTE0uSVFfRUJJVF9FUV9JTkMuOTkxLjI5LzAzLzIwMjYuLi5VU0QuSAEAAAAgegUAAgAAAAY0NzUuMzMBCAAAAAUAAAABMQEAAAAKMTg5NjgyMDUxNwMAAAADMTYwAgAAAAUyMTY3NQQAAAABMAcAAAAJMy8yOS8yMDI2CAAAAAk1LzI4LzIwMTYJAAAAATBBxuR6RI3eCHftJXxEjd4IQkNJUS5OQVNEQVE6</t>
  </si>
  <si>
    <t>Q0FMTS5JUV9MRUFTRV9BREpVU1RNRU5UX0VCSVREQS4yMDAwLjI5LzAzLzIwMjYuLi5VU0QuSAEAAAAgegUAAwAAAAAAFZ/kekSN3ghCnyV8RI3eCDpDSVEuTkFTREFROkNBTE0uSVFfRUJJVERBUl9FWENMX1NCQy45OTAuMjkvMDMvMjAyNi4uLlVTRC5IAQAAACB6BQACAAAABzI4Mi4wOTkBCAAAAAUAAAABMQEAAAAKMTg1MDIyMDg0NQMAAAADMTYwAgAAAAUyNDEzNwQAAAABMAcAAAAJMy8yOS8yMDI2CAAAAAk1LzMwLzIwMTUJAAAAATBXC5Z6RI3eCMA9KHxEjd4IMkNJUS5OQVNEQVE6Q0FMTS5JUV9FQklUREFSLjIwMDAuMjkvMDMvMjAyNi4uLlVTRC5IAQAAACB6BQADAAAAAABXC5Z6RI3eCF7vJ3xEjd4IOkNJUS5OQVNEQVE6Q0FMTS5JUV9JTlRfRVhQX0lOQ0xfQ0FQLjk5Mi4yOS8wMy8yMDI2Li4uVVNELkgBAAAAIHoFAAIAAAAFMS40MTgBCAAAAAUAAAABMQEAAAAKMTk3MjAxMjEyMQMAAAADMTYwAgAAAAUyMTg2MQQAAAABMAcAAAAJMy8yOS8yMDI2CAAAAAg2LzMvMjAxNwkAAAABMH0ylnpEjd4If7mPfkSN3ggxQ0lRLk5BU0RBUTpDQUxNLklRX05JX05PUk0uOTkwLjI5LzAzLzIwMjYuLi5VU0QuSAEAAAAgegUAAgAAAAkxNTMuMzc0MjUBCAAAAAUAAAABMQEAAAAKMTg1MDIyMDg0NQMAAAADMTYwAgAAAAQ0Mzc4BAAAAAEwBwAAAAkzLzI5LzIwMjYIAAAACTUvMzAvMjAxNQkAAAABMH0ylnpE</t>
  </si>
  <si>
    <t>jd4INMgrfESN3gg+Q0lRLk5BU0RBUTpDQUxNLklRX0RFRkVSUkVEX1RBWEVTX1RPVEFMLjk5MC4yOS8wMy8yMDI2Li4uVVNELkgBAAAAIHoFAAIAAAAFNS4xMDgBCAAAAAUAAAABMQEAAAAKMTg1MDIyMDg0NQMAAAADMTYwAgAAAAUzNTM4NQQAAAABMAcAAAAJMy8yOS8yMDI2CAAAAAk1LzMwLzIwMTUJAAAAATBXC5Z6RI3eCAFTK3xEjd4IQUNJUS5OQVNEQVE6Q0FMTS5JUV9ERUZFUlJFRF9ET01FU1RJQ19UQVhFUy45OTAuMjkvMDMvMjAyNi4uLlVTRC5IAQAAACB6BQACAAAABTUuMTA4AQgAAAAFAAAAATEBAAAACjE4NTAyMjA4NDUDAAAAAzE2MAIAAAAEMzA1NAQAAAABMAcAAAAJMy8yOS8yMDI2CAAAAAk1LzMwLzIwMTUJAAAAATBXC5Z6RI3eCPncKnxEjd4IMENJUS5OQVNEQVE6Q0FMTS5JUV9HQV9FWFAuOTkwLjI5LzAzLzIwMjYuLi5VU0QuSAEAAAAgegUAAwAAAAAAilmWekSN3gheyi58RI3eCEFDSVEuTkFTREFROkNBTE0uSVFfU0FMQVJJRVNfT1RIRVJfQkVORUZJVFMuOTkxLjI5LzAzLzIwMjYuLi5VU0QuSAEAAAAgegUAAwAAAAAAilmWekSN3ghcLjF8RI3eCDtDSVEuTkFTREFROkNBTE0uSVFfU1RPQ0tfQkFTRURfT1RIRVIuOTkxLjI5LzAzLzIwMjYuLi5VU0QuSAEAAAAgegUAAgAAAAUwLjA1MwEIAAAABQAAAAExAQAAAAoxODk2ODIwNTE3AwAAAAMxNjACAAAABTIyNjc2BAAAAAEwBwAA</t>
  </si>
  <si>
    <t>AAkzLzI5LzIwMjYIAAAACTUvMjgvMjAxNgkAAAABMI2Bf3pEjd4Ieic1fESN3gg4Q0lRLk5BU0RBUTpDQUxNLklRX1NUT0NLX0JBU0VEX0dBLjk5Mi4yOS8wMy8yMDI2Li4uVVNELkgBAAAAIHoFAAMAAAAAAJSAlnpEjd4IWj+LfkSN3ggxQ0lRLk5BU0RBUTpDQUxNLklRX0RFUF9SVUEuOTkyLjI5LzAzLzIwMjYuLi5VU0QuSAEAAAAgegUAAwAAAAAApjGAekSN3ggv+oJ+RI3eCDhDSVEuTkFTREFROkNBTE0uSVFfTFRfREVCVF9JU1NVRUQuOTkwLjI5LzAzLzIwMjYuLi5VU0QuSAEAAAAgegUAAwAAAAAA1wqAekSN3gj6fT18RI3eCEZDSVEuTkFTREFROkNBTE0uSVFfQ0hBTkdFX09USEVSX05FVF9PUEVSX0FTU0VUUy45OTIuMjkvMDMvMjAyNi4uLlVTRC5IAQAAACB6BQADAAAAAACL4396RI3eCKrwhn5Ejd4IRkNJUS5OQVNEQVE6Q0FMTS5JUV9DSEFOR0VfT1RIRVJfTkVUX09QRVJfQVNTRVRTLjk5MC4yOS8wMy8yMDI2Li4uVVNELkgBAAAAIHoFAAMAAAAAAIvjf3pEjd4IKYE7fESN3ggwQ0lRLk5BU0RBUTpDQUxNLklRX0VCSVREQS45OTIuMjkvMDMvMjAyNi4uLlVTRC5IAQAAACB6BQACAAAABy04MS4zNjkBCAAAAAUAAAABMQEAAAAKMTk3MjAxMjEyMQMAAAADMTYwAgAAAAQ0MDUxBAAAAAEwBwAAAAkzLzI5LzIwMjYIAAAACDYvMy8yMDE3CQAAAAEwFZ/kekSN3ghsQJR+RI3eCEZDSVEuTkFTREFR</t>
  </si>
  <si>
    <t>OkNBTE0uSVFfREFfU1VQUExfQ0ZfRVhDTF9PUEVSX0xFQVNFUy45OTEuMjkvMDMvMjAyNi4uLlVTRC5IAQAAACB6BQACAAAABjQxLjk5MgEIAAAABQAAAAExAQAAAAoxODk2ODIwNTE3AwAAAAMxNjACAAAABTQ4OTgzBAAAAAEwBwAAAAkzLzI5LzIwMjYIAAAACTUvMjgvMjAxNgkAAAABMKYxgHpEjd4ICZhBfESN3gg3Q0lRLk5BU0RBUTpDQUxNLklRX0VCSVRfRVhDTF9TQkMuOTkxLjI5LzAzLzIwMjYuLi5VU0QuSAEAAAAgegUAAgAAAAc0NzMuMzg1AQgAAAAFAAAAATEBAAAACjE4OTY4MjA1MTcDAAAAAzE2MAIAAAAFMjQxMzQEAAAAATAHAAAACTMvMjkvMjAyNggAAAAJNS8yOC8yMDE2CQAAAAEwQcbkekSN3ggUoyZ8RI3eCEFDSVEuTkFTREFROkNBTE0uSVFfRVhDSVNFX1RBWEVTX0lOQ0xfU0FMRVMuOTkwLjI5LzAzLzIwMjYuLi5VU0QuSAEAAAAgegUAAwAAAAAAVwuWekSN3gjs7Cl8RI3eCDVDSVEuTkFTREFROkNBTE0uSVFfSU5UX0VYUF9MVEQuOTkxLjI5LzAzLzIwMjYuLi5VU0QuSAEAAAAgegUAAwAAAAAAfTKWekSN3ghuZCx8RI3eCEBDSVEuTkFTREFROkNBTE0uSVFfSU1QVVRfT1BFUl9MRUFTRV9ERVBSLjIwMDAuMjkvMDMvMjAyNi4uLlVTRC5IAQAAACB6BQADAAAAAACKWZZ6RI3eCKVVMXxEjd4IRENJUS5OQVNEQVE6Q0FMTS5JUV9ERVBSRUNJQVRJT05fUkVOVEFMX0FTU0VUUy45OTEu</t>
  </si>
  <si>
    <t>MjkvMDMvMjAyNi4uLlVTRC5IAQAAACB6BQADAAAAAACKWZZ6RI3eCE1XMHxEjd4IPENJUS5OQVNEQVE6Q0FMTS5JUV9DT05USU5HRU5UX1JFTlRBTC4yMDAwLjI5LzAzLzIwMjYuLi5VU0QuSAEAAAAgegUAAwAAAAAAilmWekSN3ggk4i98RI3eCD9DSVEuTkFTREFROkNBTE0uSVFfTkVHQVRJVkVfR1dfQU1PUlRfQVQuMjAwMC4yOS8wMy8yMDI2Li4uVVNELkgBAAAAIHoFAAMAAAAAAJSAlnpEjd4I1yg0fESN3gg+Q0lRLk5BU0RBUTpDQUxNLklRX1RPVEFMX1VOVVNVQUxfU1VQUExFLjk5MC4yOS8wMy8yMDI2Li4uVVNELkgBAAAAIHoFAAIAAAAFMC4zMjgBCAAAAAUAAAABMQEAAAAKMTg1MDIyMDg0NQMAAAADMTYwAgAAAAUzMzM5MAQAAAABMAcAAAAJMy8yOS8yMDI2CAAAAAk1LzMwLzIwMTUJAAAAATCUgJZ6RI3eCHJlM3xEjd4IO0NJUS5OQVNEQVE6Q0FMTS5JUV9JTlNfU0VUVExFX1NVUFBMRS45OTIuMjkvMDMvMjAyNi4uLlVTRC5IAQAAACB6BQADAAAAAACUgJZ6RI3eCAU+jH5Ejd4IOENJUS5OQVNEQVE6Q0FMTS5JUV9NRVJHRVJfU1VQUExFLjIwMDAuMjkvMDMvMjAyNi4uLlVTRC5IAQAAACB6BQADAAAAAACKWZZ6RI3eCLHKMXxEjd4IPkNJUS5OQVNEQVE6Q0FMTS5JUV9TVE9DS19CQVNFRF9DT01QX1RBWC45OTEuMjkvMDMvMjAyNi4uLlVTRC5IAQAAACB6BQADAAAAAABIvH96RI3eCHLENnxE</t>
  </si>
  <si>
    <t>jd4IRENJUS5OQVNEQVE6Q0FMTS5JUV9TVE9DS19CQVNFRF9FWFBMT1JFX0RSSUxMLjIwMDAuMjkvMDMvMjAyNi4uLlVTRC5IAQAAACB6BQADAAAAAACNgX96RI3eCHonNXxEjd4IOENJUS5OQVNEQVE6Q0FMTS5JUV9TVE9DS19CQVNFRF9HQS45OTAuMjkvMDMvMjAyNi4uLlVTRC5IAQAAACB6BQADAAAAAACUgJZ6RI3eCFOyNHxEjd4IM0NJUS5OQVNEQVE6Q0FMTS5JUV9DQVNIX09QRVIuOTkwLjI5LzAzLzIwMjYuLi5VU0QuSAEAAAAgegUAAgAAAAYxOTUuMzMBCAAAAAUAAAABMQEAAAAKMTg1MDIyMDg0NQMAAAADMTYwAgAAAAQyMDA2BAAAAAEwBwAAAAkzLzI5LzIwMjYIAAAACTUvMzAvMjAxNQkAAAABMIvjf3pEjd4IPag7fESN3gg4Q0lRLk5BU0RBUTpDQUxNLklRX09USEVSX09QRVJfQUNULjk5MS4yOS8wMy8yMDI2Li4uVVNELkgBAAAAIHoFAAIAAAAEMjAuNgEIAAAABQAAAAExAQAAAAoxODk2ODIwNTE3AwAAAAMxNjACAAAABDIwNDcEAAAAATAHAAAACTMvMjkvMjAyNggAAAAJNS8yOC8yMDE2CQAAAAEwi+N/ekSN3ghpSDp8RI3eCD5DSVEuTkFTREFROkNBTE0uSVFfTUlOT1JJVFlfSU5URVJFU1RfQ0YuOTkwLjI5LzAzLzIwMjYuLi5VU0QuSAEAAAAgegUAAwAAAAAASLx/ekSN3gjeJDh8RI3eCEBDSVEuTkFTREFROkNBTE0uSVFfREFfQ0ZfRVhDTF9PUEVSX0xFQVNFUy45OTEuMjkvMDMvMjAy</t>
  </si>
  <si>
    <t>Ni4uLlVTRC5IAQAAACB6BQACAAAABjQ0LjU5MgEIAAAABQAAAAExAQAAAAoxODk2ODIwNTE3AwAAAAMxNjACAAAABTQ4OTg1BAAAAAEwBwAAAAkzLzI5LzIwMjYIAAAACTUvMjgvMjAxNgkAAAABMKYxgHpEjd4ID+ZBfESN3gg4Q0lRLk5BU0RBUTpDQUxNLklRX1NUX0RFQlRfUkVQQUlELjk5MS4yOS8wMy8yMDI2Li4uVVNELkgBAAAAIHoFAAMAAAAAANcKgHpEjd4IGcw9fESN3ghPQ0lRLk5BU0RBUTpDQUxNLklRX0RJU1RSSUJVVEFCTEVfQ0FTSF9QRVJfU0hBUkVfRElMVVRFRC4yMDAwLjI5LzAzLzIwMjYuLi5VU0QuSAEAAAAgegUAAwAAAAAAFZ/kekSN3gjH3SN8RI3eCDBDSVEuTkFTREFROkNBTE0uSVFfRUJJVERBLjk5MS4yOS8wMy8yMDI2Li4uVVNELkgBAAAAIHoFAAIAAAAHNTE0LjkwNgEIAAAABQAAAAExAQAAAAoxODk2ODIwNTE3AwAAAAMxNjACAAAABDQwNTEEAAAAATAHAAAACTMvMjkvMjAyNggAAAAJNS8yOC8yMDE2CQAAAAEwFZ/kekSN3gjMoCR8RI3eCDtDSVEuTkFTREFROkNBTE0uSVFfU1BFQ0lBTF9ESVZfU0hBUkUuOTkxLjI5LzAzLzIwMjYuLi5VU0QuSAEAAAAgegUAAwAAAAAAFZ/kekSN3gi2UiR8RI3eCDZDSVEuTkFTREFROkNBTE0uSVFfRUJJVEFfRVFfSU5DLjk5Mi4yOS8wMy8yMDI2Li4uVVNELkgBAAAAIHoFAAIAAAAILTEyNi44OTIBCAAAAAUAAAABMQEAAAAKMTk3MjAx</t>
  </si>
  <si>
    <t>MjEyMQMAAAADMTYwAgAAAAUyMTY3NgQAAAABMAcAAAAJMy8yOS8yMDI2CAAAAAg2LzMvMjAxNwkAAAABMFvklXpEjd4I6u6SfkSN3ghCQ0lRLk5BU0RBUTpDQUxNLklRX0VYQ0lTRV9UQVhFU19FWENMX1NBTEVTLjIwMDAuMjkvMDMvMjAyNi4uLlVTRC5IAQAAACB6BQADAAAAAABXC5Z6RI3eCP0TKnxEjd4INUNJUS5OQVNEQVE6Q0FMTS5JUV9JTlRfRVhQX0xURC45OTAuMjkvMDMvMjAyNi4uLlVTRC5IAQAAACB6BQADAAAAAAB9MpZ6RI3eCG5kLHxEjd4IM0NJUS5OQVNEQVE6Q0FMTS5JUV9NQVJLRVRJTkcuOTkyLjI5LzAzLzIwMjYuLi5VU0QuSAEAAAAgegUAAwAAAAAAilmWekSN3ggrnI5+RI3eCERDSVEuTkFTREFROkNBTE0uSVFfREVQUkVDSUFUSU9OX1JFTlRBTF9BU1NFVFMuOTkwLjI5LzAzLzIwMjYuLi5VU0QuSAEAAAAgegUAAwAAAAAAilmWekSN3ghNVzB8RI3eCEFDSVEuTkFTREFROkNBTE0uSVFfUkVTVFJfU1RPQ0tfQ09NUF9QUkVUQVguOTkxLjI5LzAzLzIwMjYuLi5VU0QuSAEAAAAgegUAAwAAAAAASLx/ekSN3gjz2TV8RI3eCDBDSVEuTkFTREFROkNBTE0uSVFfRE9fQ0YuMjAwMC4yOS8wMy8yMDI2Li4uVVNELkgBAAAAIHoFAAMAAAAAAIvjf3pEjd4IaUg6fESN3ghHQ0lRLk5BU0RBUTpDQUxNLklRX0NIQU5HRV9PVEhFUl9ORVRfT1BFUl9BU1NFVFMuMjAwMC4yOS8wMy8yMDI2Li4u</t>
  </si>
  <si>
    <t>VVNELkgBAAAAIHoFAAIAAAAGLTUuMzM0AQgAAAAFAAAAATEBAAAACy0xOTEwNjI3ODM4AwAAAAMxNjACAAAABDIwNDUEAAAAATAHAAAACTMvMjkvMjAyNggAAAAKMTEvMjkvMjAyNQkAAAABMIvjf3pEjd4IPag7fESN3gg6Q0lRLk5BU0RBUTpDQUxNLklRX0lOVEVSRVNUX0lOQ09NRS4yMDAwLjI5LzAzLzIwMjYuLi5VU0QuSAEAAAAgegUAAgAAAAU2NS40NwEIAAAABQAAAAExAQAAAAstMTkxMDYyNzgzOAMAAAADMTYwAgAAAAMyMTAEAAAAATAHAAAACTMvMjkvMjAyNggAAAAKMTEvMjkvMjAyNQkAAAABMFcLlnpEjd4IqJ4pfESN3ghDQ0lRLk5BU0RBUTpDQUxNLklRX0VBUk5JTkdfUEFSRU5UX0VYQ0xfRVhUUkEuOTkyLjI5LzAzLzIwMjYuLi5VU0QuSAEAAAAgegUAAgAAAActNzQuMjc4AQgAAAAFAAAAATEBAAAACjE5NzIwMTIxMjEDAAAAAzE2MAIAAAAFNDE1OTYEAAAAATAHAAAACTMvMjkvMjAyNggAAAAINi8zLzIwMTcJAAAAATBXC5Z6RI3eCGOikX5Ejd4IPENJUS5OQVNEQVE6Q0FMTS5JUV9BU19SRVBPUlRFRF9FQklUREEuOTkyLjI5LzAzLzIwMjYuLi5VU0QuSAEAAAAgegUAAwAAAAAAVwuWekSN3ghwyZF+RI3eCD9DSVEuTkFTREFROkNBTE0uSVFfQ0FQSVRBTElaRURfSU5URVJFU1QuMjAwMC4yOS8wMy8yMDI2Li4uVVNELkgBAAAAIHoFAAMAAAAAAH0ylnpEjd4IbmQsfESN3ggyQ0lRLk5B</t>
  </si>
  <si>
    <t>U0RBUTpDQUxNLklRX0RJTFVUX05JLjk5Mi4yOS8wMy8yMDI2Li4uVVNELkgBAAAAIHoFAAIAAAAJLTc0LjQ3NzQ4AQgAAAAFAAAAATEBAAAACjE5NzIwMTIxMjEDAAAAAzE2MAIAAAAEMzUyMgQAAAABMAcAAAAJMy8yOS8yMDI2CAAAAAg2LzMvMjAxNwkAAAABMH0ylnpEjd4Iwy6QfkSN3ggzQ0lRLk5BU0RBUTpDQUxNLklRX1JEX0VYUF9GTi45OTIuMjkvMDMvMjAyNi4uLlVTRC5IAQAAACB6BQADAAAAAACKWZZ6RI3eCBFOjn5Ejd4INkNJUS5OQVNEQVE6Q0FMTS5JUV9BRFZFUlRJU0lORy4yMDAwLjI5LzAzLzIwMjYuLi5VU0QuSAEAAAAgegUAAwAAAAAAilmWekSN3gglfC58RI3eCEJDSVEuTkFTREFROkNBTE0uSVFfSU1QVVRfT1BFUl9MRUFTRV9JTlRfRVhQLjk5MC4yOS8wMy8yMDI2Li4uVVNELkgBAAAAIHoFAAIAAAAGMS41NTY5AQgAAAAFAAAAATEBAAAACjE4NTAyMjA4NDUDAAAAAzE2MAIAAAAFMjE2NzIEAAAAATAHAAAACTMvMjkvMjAyNggAAAAJNS8zMC8yMDE1CQAAAAEwilmWekSN3giEzDB8RI3eCDhDSVEuTkFTREFROkNBTE0uSVFfQUlSQ1JBRlRfUkVOVC4yMDAwLjI5LzAzLzIwMjYuLi5VU0QuSAEAAAAgegUAAwAAAAAAilmWekSN3ghNVzB8RI3eCDtDSVEuTkFTREFROkNBTE0uSVFfR1dfSU5UQU5fQU1PUlRfQ0YuOTkyLjI5LzAzLzIwMjYuLi5VU0QuSAEAAAAgegUAAgAAAAMyLjIB</t>
  </si>
  <si>
    <t>CAAAAAUAAAABMQEAAAAKMTk3MjAxMjEyMQMAAAADMTYwAgAAAAQyMTgyBAAAAAEwBwAAAAkzLzI5LzIwMjYIAAAACDYvMy8yMDE3CQAAAAEwSLx/ekSN3gjMVol+RI3eCEBDSVEuTkFTREFROkNBTE0uSVFfU1RPQ0tfT1BUSU9OU19DT01QX1RBWC45OTEuMjkvMDMvMjAyNi4uLlVTRC5IAQAAACB6BQADAAAAAABIvH96RI3eCBhPNnxEjd4IO0NJUS5OQVNEQVE6Q0FMTS5JUV9UT1RBTF9ERUJUX1JFUEFJRC45OTIuMjkvMDMvMjAyNi4uLlVTRC5IAQAAACB6BQACAAAABi0xNi41MQEIAAAABQAAAAExAQAAAAoxOTcyMDEyMTIxAwAAAAMxNjACAAAABDIxNjYEAAAAATAHAAAACTMvMjkvMjAyNggAAAAINi8zLzIwMTcJAAAAATDXCoB6RI3eCJ8HhX5Ejd4IM0NJUS5OQVNEQVE6Q0FMTS5JUV9DQVNIX09QRVIuOTkyLjI5LzAzLzIwMjYuLi5VU0QuSAEAAAAgegUAAgAAAActNDUuOTE4AQgAAAAFAAAAATEBAAAACjE5NzIwMTIxMjEDAAAAAzE2MAIAAAAEMjAwNgQAAAABMAcAAAAJMy8yOS8yMDI2CAAAAAg2LzMvMjAxNwkAAAABMIvjf3pEjd4IZ8mGfkSN3gg4Q0lRLk5BU0RBUTpDQUxNLklRX0NSRURJVF9MT1NTX0NGLjk5MS4yOS8wMy8yMDI2Li4uVVNELkgBAAAAIHoFAAMAAAAAAIvjf3pEjd4IKUo5fESN3ghEQ0lRLk5BU0RBUTpDQUxNLklRX1NUT0NLX09QVElPTlNfQ09NUF9QUkVUQVguMjAwMC4yOS8w</t>
  </si>
  <si>
    <t>My8yMDI2Li4uVVNELkgBAAAAIHoFAAMAAAAAAEi8f3pEjd4IGE82fESN3gg2Q0lRLk5BU0RBUTpDQUxNLklRX0RBX1NVUFBMX0NGLjIwMDAuMjkvMDMvMjAyNi4uLlVTRC5IAQAAACB6BQACAAAABzEwNS44MTQBCAAAAAUAAAABMQEAAAALLTE5MTA2Mjc4MzgDAAAAAzE2MAIAAAAEMjE3MQQAAAABMAcAAAAJMy8yOS8yMDI2CAAAAAoxMS8yOS8yMDI1CQAAAAEwSLx/ekSN3gi2rzd8RI3eCDxDSVEuTkFTREFROkNBTE0uSVFfRElTVFJJQlVUQUJMRV9DQVNILjk5MC4yOS8wMy8yMDI2Li4uVVNELkgBAAAAIHoFAAMAAAAAAH0ylnpEjd4IXVYtfESN3gg3Q0lRLk5BU0RBUTpDQUxNLklRX0NBU0hfSU5URVJFU1QuOTkyLjI5LzAzLzIwMjYuLi5VU0QuSAEAAAAgegUAAgAAAAUwLjMxNwEIAAAABQAAAAExAQAAAAoxOTcyMDEyMTIxAwAAAAMxNjACAAAABDMwMjgEAAAAATAHAAAACTMvMjkvMjAyNggAAAAINi8zLzIwMTcJAAAAATCmMYB6RI3eCHYHgn5Ejd4IP0NJUS5OQVNEQVE6Q0FMTS5JUV9ORVRfUkVOVEFMX0VYUF9TVVBQTEUuOTkwLjI5LzAzLzIwMjYuLi5VU0QuSAEAAAAgegUAAgAAAAUzLjEwMQEIAAAABQAAAAExAQAAAAoxODUwMjIwODQ1AwAAAAMxNjACAAAABTI0MjYzBAAAAAEwBwAAAAkzLzI5LzIwMjYIAAAACTUvMzAvMjAxNQkAAAABMIpZlnpEjd4IqY0vfESN3ggzQ0lRLk5BU0RBUTpDQUxN</t>
  </si>
  <si>
    <t>LklRX1JEX0VYUF9GTi45OTAuMjkvMDMvMjAyNi4uLlVTRC5IAQAAACB6BQADAAAAAACKWZZ6RI3eCGHxLnxEjd4IO0NJUS5OQVNEQVE6Q0FMTS5JUV9ORUdBVElWRV9HV19BTU9SVC45OTIuMjkvMDMvMjAyNi4uLlVTRC5IAQAAACB6BQADAAAAAACUgJZ6RI3eCL/bi35Ejd4IQUNJUS5OQVNEQVE6Q0FMTS5JUV9TQUxBUklFU19PVEhFUl9CRU5FRklUUy45OTIuMjkvMDMvMjAyNi4uLlVTRC5IAQAAACB6BQADAAAAAACKWZZ6RI3eCHkBjX5Ejd4IO0NJUS5OQVNEQVE6Q0FMTS5JUV9TVE9DS19CQVNFRF9PVEhFUi45OTIuMjkvMDMvMjAyNi4uLlVTRC5IAQAAACB6BQADAAAAAABIvH96RI3eCETxin5Ejd4IOUNJUS5OQVNEQVE6Q0FMTS5JUV9DUkVESVRfTE9TU19DRi4yMDAwLjI5LzAzLzIwMjYuLi5VU0QuSAEAAAAgegUAAwAAAAAAi+N/ekSN3ghbcTl8RI3eCD9DSVEuTkFTREFROkNBTE0uSVFfU1RPQ0tfQkFTRURfQ09NUF9UQVguMjAwMC4yOS8wMy8yMDI2Li4uVVNELkgBAAAAIHoFAAMAAAAAAEi8f3pEjd4Icus2fESN3ghAQ0lRLk5BU0RBUTpDQUxNLklRX0NBU0hfSU5URVJFU1RfUkVDRUlWRUQuOTkxLjI5LzAzLzIwMjYuLi5VU0QuSAEAAAAgegUAAwAAAAAAG1l/ekSN3gjDMkN8RI3eCEFDSVEuTkFTREFROkNBTE0uSVFfRUJJVERBUl9FUV9JTkNfRVhDTF9TQkMuOTkwLjI5LzAzLzIwMjYuLi5V</t>
  </si>
  <si>
    <t>U0QuSAEAAAAgegUAAgAAAAcyODQuNzU2AQgAAAAFAAAAATEBAAAACjE4NTAyMjA4NDUDAAAAAzE2MAIAAAAFMjQxMzMEAAAAATAHAAAACTMvMjkvMjAyNggAAAAJNS8zMC8yMDE1CQAAAAEwVwuWekSN3gicIih8RI3eCEBDSVEuTkFTREFROkNBTE0uSVFfRUJJVERBX0xFQVNFX0FESlVTVEVELjIwMDAuMjkvMDMvMjAyNi4uLlVTRC5IAQAAACB6BQACAAAACDE1NjQuMTA2AQgAAAAFAAAAATEBAAAACy0xOTEwNjI3ODM4AwAAAAMxNjACAAAABTQ4OTkzBAAAAAEwBwAAAAkzLzI5LzIwMjYIAAAACjExLzI5LzIwMjUJAAAAATAVn+R6RI3eCA9RJXxEjd4IMUNJUS5OQVNEQVE6Q0FMTS5JUV9SRF9FWFAuMjAwMC4yOS8wMy8yMDI2Li4uVVNELkgBAAAAIHoFAAMAAAAAAIFR5HpEjd4ILdocfESN3gg5Q0lRLk5BU0RBUTpDQUxNLklRX0RJTFVUX0VQU19OT1JNLjIwMDAuMjkvMDMvMjAyNi4uLlVTRC5IAQAAACB6BQACAAAACTE5Ljc2NjA3MgEIAAAABQAAAAExAQAAAAstMTkxMDYyNzgzOAMAAAADMTYwAgAAAAQ0MzgwBAAAAAEwBwAAAAkzLzI5LzIwMjYIAAAACjExLzI5LzIwMjUJAAAAATAVn+R6RI3eCLa2I3xEjd4IPkNJUS5OQVNEQVE6Q0FMTS5JUV9FQklUX0VRX0lOQ19FWENMX1NCQy45OTIuMjkvMDMvMjAyNi4uLlVTRC5IAQAAACB6BQACAAAACC0xMjUuNjY1AQgAAAAFAAAAATEBAAAACjE5NzIwMTIx</t>
  </si>
  <si>
    <t>MjEDAAAAAzE2MAIAAAAFMjQxMzAEAAAAATAHAAAACTMvMjkvMjAyNggAAAAINi8zLzIwMTcJAAAAATBBxuR6RI3eCAI9k35Ejd4ILkNJUS5OQVNEQVE6Q0FMTS5JUV9FQklULjk5MC4yOS8wMy8yMDI2Li4uVVNELkgBAAAAIHoFAAIAAAAHMjM1LjMzNQEIAAAABQAAAAExAQAAAAoxODUwMjIwODQ1AwAAAAMxNjACAAAAAzQwMAQAAAABMAcAAAAJMy8yOS8yMDI2CAAAAAk1LzMwLzIwMTUJAAAAATAVn+R6RI3eCEKfJXxEjd4IPENJUS5OQVNEQVE6Q0FMTS5JUV9GRUVTX09USEVSX0lOQ09NRS4yMDAwLjI5LzAzLzIwMjYuLi5VU0QuSAEAAAAgegUAAwAAAAAAVwuWekSN3ghtxyh8RI3eCDlDSVEuTkFTREFROkNBTE0uSVFfRUJJVERBUl9FUV9JTkMuMjAwMC4yOS8wMy8yMDI2Li4uVVNELkgBAAAAIHoFAAMAAAAAAFcLlnpEjd4InCIofESN3gg/Q0lRLk5BU0RBUTpDQUxNLklRX0RFRkVSUkVEX1RBWEVTX1RPVEFMLjIwMDAuMjkvMDMvMjAyNi4uLlVTRC5IAQAAACB6BQACAAAABTExLjU3AQgAAAAFAAAAATEBAAAACy0xOTEwNjI3ODM4AwAAAAMxNjACAAAABTM1Mzg1BAAAAAEwBwAAAAkzLzI5LzIwMjYIAAAACjExLzI5LzIwMjUJAAAAATB9MpZ6RI3eCBp6K3xEjd4INENJUS5OQVNEQVE6Q0FMTS5JUV9EQV9FQklUREEuMjAwMC4yOS8wMy8yMDI2Li4uVVNELkgBAAAAIHoFAAIAAAAHMTA3Ljk3MgEIAAAA</t>
  </si>
  <si>
    <t>BQAAAAExAQAAAAstMTkxMDYyNzgzOAMAAAADMTYwAgAAAAQyMjA2BAAAAAEwBwAAAAkzLzI5LzIwMjYIAAAACjExLzI5LzIwMjUJAAAAATB9MpZ6RI3eCF1WLXxEjd4IPUNJUS5OQVNEQVE6Q0FMTS5JUV9OT05DQVNIX1BFTlNJT05fRVhQLjk5Mi4yOS8wMy8yMDI2Li4uVVNELkgBAAAAIHoFAAIAAAAFMC42MTYBCAAAAAUAAAABMQEAAAAKMTk3MjAxMjEyMQMAAAADMTYwAgAAAAUyMTY3OAQAAAABMAcAAAAJMy8yOS8yMDI2CAAAAAg2LzMvMjAxNwkAAAABMH0ylnpEjd4If7mPfkSN3ghBQ0lRLk5BU0RBUTpDQUxNLklRX0FOTlVfRElTVFJJQlVUSU9OX1VOSVQuMjAwMC4yOS8wMy8yMDI2Li4uVVNELkgBAAAAIHoFAAMAAAAAAH0ylnpEjd4IpMstfESN3gg5Q0lRLk5BU0RBUTpDQUxNLklRX05FVF9SRU5UQUxfRVhQLjIwMDAuMjkvMDMvMjAyNi4uLlVTRC5IAQAAACB6BQADAAAAAACKWZZ6RI3eCKmNL3xEjd4IMUNJUS5OQVNEQVE6Q0FMTS5JUV9HQV9FWFAuMjAwMC4yOS8wMy8yMDI2Li4uVVNELkgBAAAAIHoFAAIAAAAHMTUyLjEyOAEIAAAABQAAAAExAQAAAAstMTkxMDYyNzgzOAMAAAADMTYwAgAAAAUyMTU2MgQAAAABMAcAAAAJMy8yOS8yMDI2CAAAAAoxMS8yOS8yMDI1CQAAAAEwilmWekSN3ghh8S58RI3eCDtDSVEuTkFTREFROkNBTE0uSVFfTkVHQVRJVkVfR1dfQU1PUlQuOTkxLjI5LzAzLzIw</t>
  </si>
  <si>
    <t>MjYuLi5VU0QuSAEAAAAgegUAAwAAAAAAlICWekSN3giAjDN8RI3eCD1DSVEuTkFTREFROkNBTE0uSVFfTEVHQUxfU0VUVExFX1NVUFBMRS45OTIuMjkvMDMvMjAyNi4uLlVTRC5IAQAAACB6BQADAAAAAACUgJZ6RI3eCMwWjH5Ejd4IOkNJUS5OQVNEQVE6Q0FMTS5JUV9HQUlOX0JBUkdBSU5fQUNRLjk5MS4yOS8wMy8yMDI2Li4uVVNELkgBAAAAIHoFAAMAAAAAAJSAlnpEjd4I8GYyfESN3gg+Q0lRLk5BU0RBUTpDQUxNLklRX0lNUEFJUk1FTlRfR1dfU1VQUExFLjk5Mi4yOS8wMy8yMDI2Li4uVVNELkgBAAAAIHoFAAMAAAAAAIpZlnpEjd4IN7OMfkSN3gg8Q0lRLk5BU0RBUTpDQUxNLklRX1NUT0NLX0JBU0VEX09USEVSLjIwMDAuMjkvMDMvMjAyNi4uLlVTRC5IAQAAACB6BQACAAAABTUuMDI3AQgAAAAFAAAAATEBAAAACy0xOTEwNjI3ODM4AwAAAAMxNjACAAAABTIyNjc2BAAAAAEwBwAAAAkzLzI5LzIwMjYIAAAACjExLzI5LzIwMjUJAAAAATBIvH96RI3eCIlONXxEjd4IOUNJUS5OQVNEQVE6Q0FMTS5JUV9TVE9DS19CQVNFRF9HQS4yMDAwLjI5LzAzLzIwMjYuLi5VU0QuSAEAAAAgegUAAwAAAAAAjYF/ekSN3ghf2TR8RI3eCDtDSVEuTkFTREFROkNBTE0uSVFfU1RPQ0tfQkFTRURfQ09HUy4yMDAwLjI5LzAzLzIwMjYuLi5VU0QuSAEAAAAgegUAAwAAAAAAlICWekSN3gidPDR8RI3eCDJDSVEuTkFT</t>
  </si>
  <si>
    <t>REFROkNBTE0uSVFfRElMVVRfTkkuOTkwLjI5LzAzLzIwMjYuLi5VU0QuSAEAAAAgegUAAgAAAAkxNjEuMjk1MjEBCAAAAAUAAAABMQEAAAAKMTg1MDIyMDg0NQMAAAADMTYwAgAAAAQzNTIyBAAAAAEwBwAAAAkzLzI5LzIwMjYIAAAACTUvMzAvMjAxNQkAAAABMH0ylnpEjd4IO+8rfESN3gg8Q0lRLk5BU0RBUTpDQUxNLklRX0FTX1JFUE9SVEVEX0VCSVREQS45OTAuMjkvMDMvMjAyNi4uLlVTRC5IAQAAACB6BQADAAAAAABXC5Z6RI3eCFXuKHxEjd4IOUNJUS5OQVNEQVE6Q0FMTS5JUV9FQklUQV9FWENMX1NCQy4yMDAwLjI5LzAzLzIwMjYuLi5VU0QuSAEAAAAgegUAAgAAAAgxNDYzLjMxOQEIAAAABQAAAAExAQAAAAstMTkxMDYyNzgzOAMAAAADMTYwAgAAAAUyNDEzNgQAAAABMAcAAAAJMy8yOS8yMDI2CAAAAAoxMS8yOS8yMDI1CQAAAAEwW+SVekSN3giPjSd8RI3eCC5DSVEuTkFTREFROkNBTE0uSVFfRUJJVC45OTEuMjkvMDMvMjAyNi4uLlVTRC5IAQAAACB6BQACAAAABzQ3MC4zMTQBCAAAAAUAAAABMQEAAAAKMTg5NjgyMDUxNwMAAAADMTYwAgAAAAM0MDAEAAAAATAHAAAACTMvMjkvMjAyNggAAAAJNS8yOC8yMDE2CQAAAAEwFZ/kekSN3ghCnyV8RI3eCDRDSVEuTkFTREFROkNBTE0uSVFfSU5DX0VRVUlUWS45OTEuMjkvMDMvMjAyNi4uLlVTRC5IAQAAACB6BQACAAAABTUuMDE2AQgAAAAFAAAA</t>
  </si>
  <si>
    <t>ATEBAAAACjE4OTY4MjA1MTcDAAAAAzE2MAIAAAACNDcEAAAAATAHAAAACTMvMjkvMjAyNggAAAAJNS8yOC8yMDE2CQAAAAEwgVHkekSN3giKcR58RI3eCDVDSVEuTkFTREFROkNBTE0uSVFfSU1QQUlSX09JTC4yMDAwLjI5LzAzLzIwMjYuLi5VU0QuSAEAAAAgegUAAwAAAAAAgVHkekSN3gibhB18RI3eCDZDSVEuTkFTREFROkNBTE0uSVFfSU5UX0lOVl9JTkMuMjAwMC4yOS8wMy8yMDI2Li4uVVNELkgBAAAAIHoFAAMAAAAAAFoq5HpEjd4Il5MWfESN3gg1Q0lRLk5BU0RBUTpDQUxNLklRX0lOU19ESVZfUkVWLjk5MC4yOS8wMy8yMDI2Li4uVVNELkgBAAAAIHoFAAMAAAAAAFoq5HpEjd4IKh4WfESN3ggyQ0lRLk5BU0RBUTpDQUxNLklRX0VCVF9FWENMLjk5MS4yOS8wMy8yMDI2Li4uVVNELkgBAAAAIHoFAAIAAAAHNDg1LjY2NQEIAAAABQAAAAExAQAAAAoxODk2ODIwNTE3AwAAAAMxNjACAAAAATQEAAAAATAHAAAACTMvMjkvMjAyNggAAAAJNS8yOC8yMDE2CQAAAAEwgVHkekSN3ghlIx98RI3eCDJDSVEuTkFTREFROkNBTE0uSVFfT1BFUl9JTkMuOTkyLjI5LzAzLzIwMjYuLi5VU0QuSAEAAAAgegUAAgAAAAgtMTMwLjQ4MgEIAAAABQAAAAExAQAAAAoxOTcyMDEyMTIxAwAAAAMxNjACAAAAAjIxBAAAAAEwBwAAAAkzLzI5LzIwMjYIAAAACDYvMy8yMDE3CQAAAAEwgVHkekSN3ggAdJh+RI3eCDhDSVEu</t>
  </si>
  <si>
    <t>TkFTREFROkNBTE0uSVFfUFJPVl9CQURfREVCVFMuOTkwLjI5LzAzLzIwMjYuLi5VU0QuSAEAAAAgegUAAwAAAAAAgVHkekSN3ggTjxt8RI3eCDlDSVEuTkFTREFROkNBTE0uSVFfRklOX0RJVl9JTlRfRVhQLjk5Mi4yOS8wMy8yMDI2Li4uVVNELkgBAAAAIHoFAAMAAAAAAIFR5HpEjd4IDOeZfkSN3gg0Q0lRLk5BU0RBUTpDQUxNLklRX0lOQ19FUVVJVFkuOTkwLjI5LzAzLzIwMjYuLi5VU0QuSAEAAAAgegUAAgAAAAUyLjY1NwEIAAAABQAAAAExAQAAAAoxODUwMjIwODQ1AwAAAAMxNjACAAAAAjQ3BAAAAAEwBwAAAAkzLzI5LzIwMjYIAAAACTUvMzAvMjAxNQkAAAABMIFR5HpEjd4IinEefESN3gg9Q0lRLk5BU0RBUTpDQUxNLklRX09USEVSX1VOVVNVQUxfU1VQUEwuOTkwLjI5LzAzLzIwMjYuLi5VU0QuSAEAAAAgegUAAwAAAAAArHjkekSN3giumCB8RI3eCDlDSVEuTkFTREFROkNBTE0uSVFfQVNTRVRfV1JJVEVET1dOLjk5Mi4yOS8wMy8yMDI2Li4uVVNELkgBAAAAIHoFAAMAAAAAAKx45HpEjd4IhCeXfkSN3gg4Q0lRLk5BU0RBUTpDQUxNLklRX1BSRUZfRElWX09USEVSLjk5Mi4yOS8wMy8yMDI2Li4uVVNELkgBAAAAIHoFAAMAAAAAAKx45HpEjd4I5LOVfkSN3gg0Q0lRLk5BU0RBUTpDQUxNLklRX0VBUk5JTkdfQ08uOTkwLjI5LzAzLzIwMjYuLi5VU0QuSAEAAAAgegUAAgAAAAcxNjIuMjgxAQgA</t>
  </si>
  <si>
    <t>AAAFAAAAATEBAAAACjE4NTAyMjA4NDUDAAAAAzE2MAIAAAABNwQAAAABMAcAAAAJMy8yOS8yMDI2CAAAAAk1LzMwLzIwMTUJAAAAATCseOR6RI3eCOw0IXxEjd4IOENJUS5OQVNEQVE6Q0FMTS5JUV9ESUxVVF9FUFNfRVhDTC45OTAuMjkvMDMvMjAyNi4uLlVTRC5IAQAAACB6BQACAAAABDMuMzMBCAAAAAUAAAABMQEAAAAKMTg1MDIyMDg0NQMAAAADMTYwAgAAAAMxNDIEAAAAATAHAAAACTMvMjkvMjAyNggAAAAJNS8zMC8yMDE1CQAAAAEwFZ/kekSN3ghNOCN8RI3eCDhDSVEuTkFTREFROkNBTE0uSVFfQkFTSUNfRVBTX0lOQ0wuOTkyLjI5LzAzLzIwMjYuLi5VU0QuSAEAAAAgegUAAgAAAAktMS41MzU4NzUBCAAAAAUAAAABMQEAAAAKMTk3MjAxMjEyMQMAAAADMTYwAgAAAAE5BAAAAAEwBwAAAAkzLzI5LzIwMjYIAAAACDYvMy8yMDE3CQAAAAEwrHjkekSN3gilPpV+RI3eCDlDSVEuTkFTREFROkNBTE0uSVFfVE9UQUxfUkVWX1NIQVJFLjk5Mi4yOS8wMy8yMDI2Li4uVVNELkgBAAAAIHoFAAIAAAAJMjIuMjE4MTI1AQgAAAAFAAAAATEBAAAACjE5NzIwMTIxMjEDAAAAAzE2MAIAAAAENDM4MgQAAAABMAcAAAAJMy8yOS8yMDI2CAAAAAg2LzMvMjAxNwkAAAABMBWf5HpEjd4IYmeUfkSN3gg+Q0lRLk5BU0RBUTpDQUxNLklRX0VCSVRfRVFfSU5DX0VYQ0xfU0JDLjk5MS4yOS8wMy8yMDI2Li4uVVNELkgB</t>
  </si>
  <si>
    <t>AAAAIHoFAAIAAAAHNDc4LjQwMQEIAAAABQAAAAExAQAAAAoxODk2ODIwNTE3AwAAAAMxNjACAAAABTI0MTMwBAAAAAEwBwAAAAkzLzI5LzIwMjYIAAAACTUvMjgvMjAxNgkAAAABMEHG5HpEjd4IgCgmfESN3ghMQ0lRLk5BU0RBUTpDQUxNLklRX0VCSVREQV9FUV9JTkNfRVhDTF9PUEVSX0xFQVNFX0FESi4yMDAwLjI5LzAzLzIwMjYuLi5VU0QuSAEAAAAgegUAAgAAAAgxNTcwLjMyNwEIAAAABQAAAAExAQAAAAstMTkxMDYyNzgzOAMAAAADMTYwAgAAAAU0ODk4NwQAAAABMAcAAAAJMy8yOS8yMDI2CAAAAAoxMS8yOS8yMDI1CQAAAAEwFZ/kekSN3ghCnyV8RI3eCEFDSVEuTkFTREFROkNBTE0uSVFfRVhDSVNFX1RBWEVTX0lOQ0xfU0FMRVMuOTkyLjI5LzAzLzIwMjYuLi5VU0QuSAEAAAAgegUAAwAAAAAAVwuWekSN3gggBpF+RI3eCEBDSVEuTkFTREFROkNBTE0uSVFfREVGRVJSRURfRk9SRUlHTl9UQVhFUy45OTAuMjkvMDMvMjAyNi4uLlVTRC5IAQAAACB6BQADAAAAAABXC5Z6RI3eCAoEK3xEjd4IPENJUS5OQVNEQVE6Q0FMTS5JUV9DVVJSX0ZPUkVJR05fVEFYRVMuOTkyLjI5LzAzLzIwMjYuLi5VU0QuSAEAAAAgegUAAwAAAAAAVwuWekSN3ggV35B+RI3eCD1DSVEuTkFTREFROkNBTE0uSVFfTk9OQ0FTSF9QRU5TSU9OX0VYUC45OTEuMjkvMDMvMjAyNi4uLlVTRC5IAQAAACB6BQACAAAABTAuMzQ3</t>
  </si>
  <si>
    <t>AQgAAAAFAAAAATEBAAAACjE4OTY4MjA1MTcDAAAAAzE2MAIAAAAFMjE2NzgEAAAAATAHAAAACTMvMjkvMjAyNggAAAAJNS8yOC8yMDE2CQAAAAEwfTKWekSN3gg3CC18RI3eCDlDSVEuTkFTREFROkNBTE0uSVFfU0FMRVNfTUFSS0VUSU5HLjk5MS4yOS8wMy8yMDI2Li4uVVNELkgBAAAAIHoFAAIAAAAGNDkuNjI5AQgAAAAFAAAAATEBAAAACjE4OTY4MjA1MTcDAAAAAzE2MAIAAAAFMjE1NjEEAAAAATAHAAAACTMvMjkvMjAyNggAAAAJNS8yOC8yMDE2CQAAAAEwilmWekSN3gg0oy58RI3eCD5DSVEuTkFTREFROkNBTE0uSVFfSU1QQUlSTUVOVF9HV19TVVBQTEUuOTkxLjI5LzAzLzIwMjYuLi5VU0QuSAEAAAAgegUAAwAAAAAAilmWekSN3gjA8TF8RI3eCDtDSVEuTkFTREFROkNBTE0uSVFfTkVHQVRJVkVfR1dfQU1PUlQuOTkwLjI5LzAzLzIwMjYuLi5VU0QuSAEAAAAgegUAAwAAAAAAlICWekSN3giAjDN8RI3eCD1DSVEuTkFTREFROkNBTE0uSVFfTEVHQUxfU0VUVExFX1NVUFBMRS45OTEuMjkvMDMvMjAyNi4uLlVTRC5IAQAAACB6BQADAAAAAACUgJZ6RI3eCD/wMnxEjd4IOkNJUS5OQVNEQVE6Q0FMTS5JUV9HQUlOX0JBUkdBSU5fQUNRLjk5MC4yOS8wMy8yMDI2Li4uVVNELkgBAAAAIHoFAAMAAAAAAJSAlnpEjd4I8GYyfESN3gg+Q0lRLk5BU0RBUTpDQUxNLklRX1JFU1RSX1NUT0NLX0NPTVBfVEFY</t>
  </si>
  <si>
    <t>Ljk5MS4yOS8wMy8yMDI2Li4uVVNELkgBAAAAIHoFAAMAAAAAAEi8f3pEjd4I89k1fESN3ggzQ0lRLk5BU0RBUTpDQUxNLklRX0NIQU5HRV9BUi45OTEuMjkvMDMvMjAyNi4uLlVTRC5IAQAAACB6BQACAAAABTIxLjE2AQgAAAAFAAAAATEBAAAACjE4OTY4MjA1MTcDAAAAAzE2MAIAAAAEMjAxOAQAAAABMAcAAAAJMy8yOS8yMDI2CAAAAAk1LzI4LzIwMTYJAAAAATCL4396RI3eCLaWOnxEjd4IOENJUS5OQVNEQVE6Q0FMTS5JUV9TVE9DS19CQVNFRF9DRi45OTEuMjkvMDMvMjAyNi4uLlVTRC5IAQAAACB6BQACAAAABTMuMDcxAQgAAAAFAAAAATEBAAAACjE4OTY4MjA1MTcDAAAAAzE2MAIAAAAEMjEyNwQAAAABMAcAAAAJMy8yOS8yMDI2CAAAAAk1LzI4LzIwMTYJAAAAATCL4396RI3eCFtxOXxEjd4IM0NJUS5OQVNEQVE6Q0FMTS5JUV9ESVZfU0hBUkUuOTkwLjI5LzAzLzIwMjYuLi5VU0QuSAEAAAAgegUAAgAAAAQxLjExAQgAAAAFAAAAATEBAAAACjE4NTAyMjA4NDUDAAAAAzE2MAIAAAAEMzA1OAQAAAABMAcAAAAJMy8yOS8yMDI2CAAAAAk1LzMwLzIwMTUJAAAAATAVn+R6RI3eCKQEJHxEjd4IOUNJUS5OQVNEQVE6Q0FMTS5JUV9DQVNIX1RBWEVTX09QRVIuOTkyLjI5LzAzLzIwMjYuLi5VU0QuSAEAAAAgegUAAwAAAAAAjYF/ekSN3ghFRIF+RI3eCENDSVEuTkFTREFROkNBTE0uSVFfTk9OUkVDVVJS</t>
  </si>
  <si>
    <t>SU5HX0lOQ09NRV9UQVhFUy45OTEuMjkvMDMvMjAyNi4uLlVTRC5IAQAAACB6BQADAAAAAAB9MpZ6RI3eCBp6K3xEjd4IO0NJUS5OQVNEQVE6Q0FMTS5JUV9FQklUREFSX0VYQ0xfU0JDLjIwMDAuMjkvMDMvMjAyNi4uLlVTRC5IAQAAACB6BQADAAAAAABXC5Z6RI3eCNh4KHxEjd4IOENJUS5OQVNEQVE6Q0FMTS5JUV9QUk9WX0JBRF9ERUJUUy45OTEuMjkvMDMvMjAyNi4uLlVTRC5IAQAAACB6BQADAAAAAACBUeR6RI3eCBOPG3xEjd4INUNJUS5OQVNEQVE6Q0FMTS5JUV9JTlNfRElWX1JFVi45OTEuMjkvMDMvMjAyNi4uLlVTRC5IAQAAACB6BQADAAAAAABaKuR6RI3eCCoeFnxEjd4INUNJUS5OQVNEQVE6Q0FMTS5JUV9OSV9DT01QQU5ZLjIwMDAuMjkvMDMvMjAyNi4uLlVTRC5IAQAAACB6BQACAAAACDExNTIuMzE3AQgAAAAFAAAAATEBAAAACy0xOTEwNjI3ODM4AwAAAAMxNjACAAAABTQxNTcxBAAAAAEwBwAAAAkzLzI5LzIwMjYIAAAACjExLzI5LzIwMjUJAAAAATCseOR6RI3eCIL/IXxEjd4INENJUS5OQVNEQVE6Q0FMTS5JUV9FQVJOSU5HX0NPLjk5MS4yOS8wMy8yMDI2Li4uVVNELkgBAAAAIHoFAAIAAAAHMzE4LjA0NwEIAAAABQAAAAExAQAAAAoxODk2ODIwNTE3AwAAAAMxNjACAAAAATcEAAAAATAHAAAACTMvMjkvMjAyNggAAAAJNS8yOC8yMDE2CQAAAAEwrHjkekSN3gjsNCF8RI3eCDhDSVEu</t>
  </si>
  <si>
    <t>TkFTREFROkNBTE0uSVFfSU1QQUlSTUVOVF9HVy4yMDAwLjI5LzAzLzIwMjYuLi5VU0QuSAEAAAAgegUAAwAAAAAArHjkekSN3ghVmR98RI3eCDhDSVEuTkFTREFROkNBTE0uSVFfRElMVVRfRVBTX0VYQ0wuOTkxLjI5LzAzLzIwMjYuLi5VU0QuSAEAAAAgegUAAgAAAAQ2LjUzAQgAAAAFAAAAATEBAAAACjE4OTY4MjA1MTcDAAAAAzE2MAIAAAADMTQyBAAAAAEwBwAAAAkzLzI5LzIwMjYIAAAACTUvMjgvMjAxNgkAAAABMBWf5HpEjd4ITTgjfESN3gg2Q0lRLk5BU0RBUTpDQUxNLklRX0ZJTl9ESVZfUkVWLjIwMDAuMjkvMDMvMjAyNi4uLlVTRC5IAQAAACB6BQADAAAAAABaKuR6RI3eCCoeFnxEjd4IOUNJUS5OQVNEQVE6Q0FMTS5JUV9GSU5fRElWX0lOVF9FWFAuOTkxLjI5LzAzLzIwMjYuLi5VU0QuSAEAAAAgegUAAwAAAAAAgVHkekSN3ghH3hp8RI3eCC5DSVEuTkFTREFROkNBTE0uSVFfQ09HUy45OTEuMjkvMDMvMjAyNi4uLlVTRC5IAQAAACB6BQACAAAACDEyNjAuNTc2AQgAAAAFAAAAATEBAAAACjE4OTY4MjA1MTcDAAAAAzE2MAIAAAACMzQEAAAAATAHAAAACTMvMjkvMjAyNggAAAAJNS8yOC8yMDE2CQAAAAEwWirkekSN3ghwChd8RI3eCDhDSVEuTkFTREFROkNBTE0uSVFfRVhQTE9SRV9EUklMTC4yMDAwLjI5LzAzLzIwMjYuLi5VU0QuSAEAAAAgegUAAwAAAAAAgVHkekSN3ggxtht8RI3eCDtD</t>
  </si>
  <si>
    <t>SVEuTkFTREFROkNBTE0uSVFfTkVUX0lOVEVSRVNUX0VYUC4yMDAwLjI5LzAzLzIwMjYuLi5VU0QuSAEAAAAgegUAAgAAAAY2NC44MTcBCAAAAAUAAAABMQEAAAALLTE5MTA2Mjc4MzgDAAAAAzE2MAIAAAADMzY4BAAAAAEwBwAAAAkzLzI5LzIwMjYIAAAACjExLzI5LzIwMjUJAAAAATCBUeR6RI3eCIpxHnxEjd4IMkNJUS5OQVNEQVE6Q0FMTS5JUV9PUEVSX0lOQy45OTEuMjkvMDMvMjAyNi4uLlVTRC5IAQAAACB6BQACAAAABzQ3MC4zMTQBCAAAAAUAAAABMQEAAAAKMTg5NjgyMDUxNwMAAAADMTYwAgAAAAIyMQQAAAABMAcAAAAJMy8yOS8yMDI2CAAAAAk1LzI4LzIwMTYJAAAAATCBUeR6RI3eCJm/HXxEjd4IOUNJUS5OQVNEQVE6Q0FMTS5JUV9BU1NFVF9XUklURURPV04uOTkxLjI5LzAzLzIwMjYuLi5VU0QuSAEAAAAgegUAAwAAAAAArHjkekSN3ghQDyB8RI3eCDdDSVEuTkFTREFROkNBTE0uSVFfTEVHQUxfU0VUVExFLjIwMDAuMjkvMDMvMjAyNi4uLlVTRC5IAQAAACB6BQADAAAAAACseOR6RI3eCK6YIHxEjd4IOUNJUS5OQVNEQVE6Q0FMTS5JUV9ESUxVVF9FUFNfSU5DTC4yMDAwLjI5LzAzLzIwMjYuLi5VU0QuSAEAAAAgegUAAgAAAAkyMy43NDM5MDUBCAAAAAUAAAABMQEAAAALLTE5MTA2Mjc4MzgDAAAAAzE2MAIAAAABOAQAAAABMAcAAAAJMy8yOS8yMDI2CAAAAAoxMS8yOS8yMDI1CQAAAAEw</t>
  </si>
  <si>
    <t>FZ/kekSN3ghNOCN8RI3eCDlDSVEuTkFTREFROkNBTE0uSVFfQkFTSUNfRVBTX0lOQ0wuMjAwMC4yOS8wMy8yMDI2Li4uVVNELkgBAAAAIHoFAAIAAAAJMjMuODE4MTI3AQgAAAAFAAAAATEBAAAACy0xOTEwNjI3ODM4AwAAAAMxNjACAAAAATkEAAAAATAHAAAACTMvMjkvMjAyNggAAAAKMTEvMjkvMjAyNQkAAAABMKx45HpEjd4IN8MifESN3gg4Q0lRLk5BU0RBUTpDQUxNLklRX1BSRUZfRElWX09USEVSLjk5MS4yOS8wMy8yMDI2Li4uVVNELkgBAAAAIHoFAAMAAAAAAKx45HpEjd4Izk0ifESN3gg5Q0lRLk5BU0RBUTpDQUxNLklRX1RPVEFMX1JFVl9TSEFSRS45OTEuMjkvMDMvMjAyNi4uLlVTRC5IAQAAACB6BQACAAAACTM5LjYwMjY1NQEIAAAABQAAAAExAQAAAAoxODk2ODIwNTE3AwAAAAMxNjACAAAABDQzODIEAAAAATAHAAAACTMvMjkvMjAyNggAAAAJNS8yOC8yMDE2CQAAAAEwFZ/kekSN3gipKyR8RI3eCDdDSVEuTkFTREFROkNBTE0uSVFfRUJJVERBX0VRX0lOQy45OTIuMjkvMDMvMjAyNi4uLlVTRC5IAQAAACB6BQACAAAABy03OS45NzkBCAAAAAUAAAABMQEAAAAKMTk3MjAxMjEyMQMAAAADMTYwAgAAAAUyMTY3NwQAAAABMAcAAAAJMy8yOS8yMDI2CAAAAAg2LzMvMjAxNwkAAAABMBWf5HpEjd4IHRmUfkSN3ggvQ0lRLk5BU0RBUTpDQUxNLklRX0VCSVRBLjk5Mi4yOS8wMy8yMDI2Li4uVVNE</t>
  </si>
  <si>
    <t>LkgBAAAAIHoFAAIAAAAILTEyOC4yODIBCAAAAAUAAAABMQEAAAAKMTk3MjAxMjEyMQMAAAADMTYwAgAAAAYxMDA2ODkEAAAAATAHAAAACTMvMjkvMjAyNggAAAAINi8zLzIwMTcJAAAAATBBxuR6RI3eCOrukn5Ejd4IPkNJUS5OQVNEQVE6Q0FMTS5JUV9FQklUX0VRX0lOQ19FWENMX1NCQy45OTAuMjkvMDMvMjAyNi4uLlVTRC5IAQAAACB6BQACAAAABzI0MC45NDcBCAAAAAUAAAABMQEAAAAKMTg1MDIyMDg0NQMAAAADMTYwAgAAAAUyNDEzMAQAAAABMAcAAAAJMy8yOS8yMDI2CAAAAAk1LzMwLzIwMTUJAAAAATBBxuR6RI3eCIAoJnxEjd4IQkNJUS5OQVNEQVE6Q0FMTS5JUV9ERUZFUlJFRF9ET01FU1RJQ19UQVhFUy4yMDAwLjI5LzAzLzIwMjYuLi5VU0QuSAEAAAAgegUAAgAAAAUxMS41NwEIAAAABQAAAAExAQAAAAstMTkxMDYyNzgzOAMAAAADMTYwAgAAAAQzMDU0BAAAAAEwBwAAAAkzLzI5LzIwMjYIAAAACjExLzI5LzIwMjUJAAAAATBXC5Z6RI3eCAoEK3xEjd4IPUNJUS5OQVNEQVE6Q0FMTS5JUV9DVVJSX0ZPUkVJR05fVEFYRVMuMjAwMC4yOS8wMy8yMDI2Li4uVVNELkgBAAAAIHoFAAMAAAAAAFcLlnpEjd4ID4kqfESN3ghBQ0lRLk5BU0RBUTpDQUxNLklRX0VYQ0lTRV9UQVhFU19JTkNMX1NBTEVTLjk5MS4yOS8wMy8yMDI2Li4uVVNELkgBAAAAIHoFAAMAAAAAAFcLlnpEjd4I/RMqfESN3gg7</t>
  </si>
  <si>
    <t>Q0lRLk5BU0RBUTpDQUxNLklRX0lOVkVTVE1FTlRfSU5DT01FLjk5MS4yOS8wMy8yMDI2Li4uVVNELkgBAAAAIHoFAAMAAAAAAFcLlnpEjd4I5sUpfESN3gg7Q0lRLk5BU0RBUTpDQUxNLklRX0lOVF9FWFBfSU5DTF9DQVAuMjAwMC4yOS8wMy8yMDI2Li4uVVNELkgBAAAAIHoFAAIAAAAFMC42NTMBCAAAAAUAAAABMQEAAAALLTE5MTA2Mjc4MzgDAAAAAzE2MAIAAAAFMjE4NjEEAAAAATAHAAAACTMvMjkvMjAyNggAAAAKMTEvMjkvMjAyNQkAAAABMH0ylnpEjd4INwgtfESN3ghLQ0lRLk5BU0RBUTpDQUxNLklRX0lOVEVSRVNUX0VYUF9MRUFTRV9MSUFCSUxJVFlfREVCVC45OTEuMjkvMDMvMjAyNi4uLlVTRC5IAQAAACB6BQADAAAAAAB9MpZ6RI3eCGmLLHxEjd4IOUNJUS5OQVNEQVE6Q0FMTS5JUV9TQUxFU19NQVJLRVRJTkcuOTkwLjI5LzAzLzIwMjYuLi5VU0QuSAEAAAAgegUAAgAAAAY0Ni45OTkBCAAAAAUAAAABMQEAAAAKMTg1MDIyMDg0NQMAAAADMTYwAgAAAAUyMTU2MQQAAAABMAcAAAAJMy8yOS8yMDI2CAAAAAk1LzMwLzIwMTUJAAAAATCKWZZ6RI3eCDSjLnxEjd4IRENJUS5OQVNEQVE6Q0FMTS5JUV9ERVBSRUNJQVRJT05fUkVOVEFMX0FTU0VUUy45OTIuMjkvMDMvMjAyNi4uLlVTRC5IAQAAACB6BQADAAAAAACKWZZ6RI3eCJKKjX5Ejd4IPkNJUS5OQVNEQVE6Q0FMTS5JUV9SRVNUUl9TVE9D</t>
  </si>
  <si>
    <t>S19DT01QX1RBWC45OTAuMjkvMDMvMjAyNi4uLlVTRC5IAQAAACB6BQADAAAAAABIvH96RI3eCPPZNXxEjd4IOkNJUS5OQVNEQVE6Q0FMTS5JUV9DSEFOR0VfSU5WRU5UT1JZLjk5MS4yOS8wMy8yMDI2Li4uVVNELkgBAAAAIHoFAAIAAAAGLTguNTM5AQgAAAAFAAAAATEBAAAACjE4OTY4MjA1MTcDAAAAAzE2MAIAAAAEMjA5OQQAAAABMAcAAAAJMy8yOS8yMDI2CAAAAAk1LzI4LzIwMTYJAAAAATCL4396RI3eCLaWOnxEjd4IOENJUS5OQVNEQVE6Q0FMTS5JUV9JTkNfRVFVSVRZX0NGLjIwMDAuMjkvMDMvMjAyNi4uLlVTRC5IAQAAACB6BQADAAAAAACL4396RI3eCFtxOXxEjd4IP0NJUS5OQVNEQVE6Q0FMTS5JUV9NSU5PUklUWV9JTlRFUkVTVF9DRi4yMDAwLjI5LzAzLzIwMjYuLi5VU0QuSAEAAAAgegUAAwAAAAAASLx/ekSN3ggJczh8RI3eCDRDSVEuTkFTREFROkNBTE0uSVFfT0lMX0lNUEFJUi45OTEuMjkvMDMvMjAyNi4uLlVTRC5IAQAAACB6BQADAAAAAABIvH96RI3eCLavN3xEjd4IS0NJUS5OQVNEQVE6Q0FMTS5JUV9JTlRFUkVTVF9FWFBfTEVBU0VfTElBQklMSVRZX0RFQlQuOTkwLjI5LzAzLzIwMjYuLi5VU0QuSAEAAAAgegUAAwAAAAAAfTKWekSN3ghpiyx8RI3eCDtDSVEuTkFTREFROkNBTE0uSVFfQ0FTSF9UQVhFU19GSU5BTi4yMDAwLjI5LzAzLzIwMjYuLi5VU0QuSAEAAAAgegUAAwAA</t>
  </si>
  <si>
    <t>AAAAjYF/ekSN3giGWER8RI3eCDdDSVEuTkFTREFROkNBTE0uSVFfQ09NTU9OX0RJVl9DRi45OTIuMjkvMDMvMjAyNi4uLlVTRC5IAQAAACB6BQADAAAAAADXCoB6RI3eCD+ShH5Ejd4INENJUS5OQVNEQVE6Q0FMTS5JUV9NQVJLRVRJTkcuMjAwMC4yOS8wMy8yMDI2Li4uVVNELkgBAAAAIHoFAAMAAAAAAIpZlnpEjd4INKMufESN3ghCQ0lRLk5BU0RBUTpDQUxNLklRX0lNUFVUX09QRVJfTEVBU0VfSU5UX0VYUC45OTEuMjkvMDMvMjAyNi4uLlVTRC5IAQAAACB6BQACAAAACDEuOTMxNTkyAQgAAAAFAAAAATEBAAAACjE4OTY4MjA1MTcDAAAAAzE2MAIAAAAFMjE2NzIEAAAAATAHAAAACTMvMjkvMjAyNggAAAAJNS8yOC8yMDE2CQAAAAEwilmWekSN3giR8zB8RI3eCEFDSVEuTkFTREFROkNBTE0uSVFfU1RPQ0tfT1BUSU9OU19DT01QX1RBWC4yMDAwLjI5LzAzLzIwMjYuLi5VU0QuSAEAAAAgegUAAwAAAAAASLx/ekSN3ghodjZ8RI3eCEJDSVEuTkFTREFROkNBTE0uSVFfUkVTVFJfU1RPQ0tfQ09NUF9QUkVUQVguMjAwMC4yOS8wMy8yMDI2Li4uVVNELkgBAAAAIHoFAAMAAAAAAEi8f3pEjd4I89k1fESN3gg6Q0lRLk5BU0RBUTpDQUxNLklRX0NIQU5HRV9JTlZFTlRPUlkuOTkwLjI5LzAzLzIwMjYuLi5VU0QuSAEAAAAgegUAAgAAAAYtMC4xNDMBCAAAAAUAAAABMQEAAAAKMTg1MDIyMDg0NQMAAAADMTYw</t>
  </si>
  <si>
    <t>AgAAAAQyMDk5BAAAAAEwBwAAAAkzLzI5LzIwMjYIAAAACTUvMzAvMjAxNQkAAAABMIvjf3pEjd4Ixb06fESN3ggyQ0lRLk5BU0RBUTpDQUxNLklRX0VQU19OT1JNLjk5MS4yOS8wMy8yMDI2Li4uVVNELkgBAAAAIHoFAAIAAAAINi4yNTY1NTQBCAAAAAUAAAABMQEAAAAKMTg5NjgyMDUxNwMAAAADMTYwAgAAAAQ0Mzc5BAAAAAEwBwAAAAkzLzI5LzIwMjYIAAAACTUvMjgvMjAxNgkAAAABMBWf5HpEjd4IX48jfESN3gg5Q0lRLk5BU0RBUTpDQUxNLklRX0VCSVREQV9FWENMX1NCQy45OTIuMjkvMDMvMjAyNi4uLlVTRC5IAQAAACB6BQACAAAABy03Ny45NDIBCAAAAAUAAAABMQEAAAAKMTk3MjAxMjEyMQMAAAADMTYwAgAAAAUyNDEzNQQAAAABMAcAAAAJMy8yOS8yMDI2CAAAAAg2LzMvMjAxNwkAAAABMBWf5HpEjd4IM8aTfkSN3gg3Q0lRLk5BU0RBUTpDQUxNLklRX0VCSVREQV9FUV9JTkMuOTkwLjI5LzAzLzIwMjYuLi5VU0QuSAEAAAAgegUAAgAAAAUyNzguNwEIAAAABQAAAAExAQAAAAoxODUwMjIwODQ1AwAAAAMxNjACAAAABTIxNjc3BAAAAAEwBwAAAAkzLzI5LzIwMjYIAAAACTUvMzAvMjAxNQkAAAABMBWf5HpEjd4I/cckfESN3gg/Q0lRLk5BU0RBUTpDQUxNLklRX0VCSVRBX0VRX0lOQ19FWENMX1NCQy45OTEuMjkvMDMvMjAyNi4uLlVTRC5IAQAAACB6BQACAAAABzQ4MS4wMDEBCAAAAAUAAAAB</t>
  </si>
  <si>
    <t>MQEAAAAKMTg5NjgyMDUxNwMAAAADMTYwAgAAAAUyNDEzMgQAAAABMAcAAAAJMy8yOS8yMDI2CAAAAAk1LzI4LzIwMTYJAAAAATBb5JV6RI3eCGA/J3xEjd4IOENJUS5OQVNEQVE6Q0FMTS5JUV9FQklUX0VYQ0xfU0JDLjIwMDAuMjkvMDMvMjAyNi4uLlVTRC5IAQAAACB6BQACAAAACDE0NjEuMTYxAQgAAAAFAAAAATEBAAAACy0xOTEwNjI3ODM4AwAAAAMxNjACAAAABTI0MTM0BAAAAAEwBwAAAAkzLzI5LzIwMjYIAAAACjExLzI5LzIwMjUJAAAAATBBxuR6RI3eCC3KJnxEjd4IMUNJUS5OQVNEQVE6Q0FMTS5JUV9OSV9TRkFTLjk5MS4yOS8wMy8yMDI2Li4uVVNELkgBAAAAIHoFAAMAAAAAAFcLlnpEjd4IYncpfESN3gg2Q0lRLk5BU0RBUTpDQUxNLklRX0lOVF9FWFBfTFRELjIwMDAuMjkvMDMvMjAyNi4uLlVTRC5IAQAAACB6BQADAAAAAAB9MpZ6RI3eCGmLLHxEjd4INENJUS5OQVNEQVE6Q0FMTS5JUV9DT01NT05fRElWLjk5MS4yOS8wMy8yMDI2Li4uVVNELkgBAAAAIHoFAAMAAAAAAH0ylnpEjd4IpMstfESN3ghJQ0lRLk5BU0RBUTpDQUxNLklRX0RJU1RSSUJVVEFCTEVfQ0FTSF9TVEFOREFSRElaRUQuOTkxLjI5LzAzLzIwMjYuLi5VU0QuSAEAAAAgegUAAwAAAAAAfTKWekSN3ghdVi18RI3eCDtDSVEuTkFTREFROkNBTE0uSVFfTkVUX1JFTlRBTF9FWFBfRk4uOTkwLjI5LzAzLzIwMjYuLi5VU0Qu</t>
  </si>
  <si>
    <t>SAEAAAAgegUAAgAAAAUzLjEwMQEIAAAABQAAAAExAQAAAAoxODUwMjIwODQ1AwAAAAMxNjACAAAABDMxNzAEAAAAATAHAAAACTMvMjkvMjAyNggAAAAJNS8zMC8yMDE1CQAAAAEwilmWekSN3ghh8S58RI3eCDxDSVEuTkFTREFROkNBTE0uSVFfUkVTVFJVQ1RVUkVfU1VQUExFLjk5MS4yOS8wMy8yMDI2Li4uVVNELkgBAAAAIHoFAAMAAAAAAIpZlnpEjd4I0HwxfESN3gg4Q0lRLk5BU0RBUTpDQUxNLklRX09USEVSX09QRVJfQUNULjk5NC4yOS8wMy8yMDI2Li4uVVNELkgBAAAAIHoFAAIAAAAFNi45NzkBCAAAAAUAAAABMQEAAAALLTIxNDI0MjkwMzkDAAAAAzE2MAIAAAAEMjA0NwQAAAABMAcAAAAJMy8yOS8yMDI2CAAAAAg2LzEvMjAxOQkAAAABMIvjf3pEjd4I57uHfkSN3ggzQ0lRLk5BU0RBUTpDQUxNLklRX0NIQU5HRV9BUi45OTcuMjkvMDMvMjAyNi4uLlVTRC5IAQAAACB6BQACAAAABy04OC4wNjMBCAAAAAUAAAABMQEAAAALLTE5ODY3MDg0MzMDAAAAAzE2MAIAAAAEMjAxOAQAAAABMAcAAAAJMy8yOS8yMDI2CAAAAAk1LzI4LzIwMjIJAAAAATCL4396RI3eCNeUh35Ejd4IOENJUS5OQVNEQVE6Q0FMTS5JUV9PVEhFUl9DTF9TVVBQTC45OTYuMjkvMDMvMjAyNi4uLlVTRC5IAQAAACB6BQADAAAAAAANp4B6RI3eCG7Qen5Ejd4INUNJUS5OQVNEQVE6Q0FMTS5JUV9QUkVGX1JFREVFTS45OTcuMjkv</t>
  </si>
  <si>
    <t>MDMvMjAyNi4uLlVTRC5IAQAAACB6BQADAAAAAAANp4B6RI3eCPq+eX5Ejd4IMkNJUS5OQVNEQVE6Q0FMTS5JUV9UUkVBU1VSWS45OTMuMjkvMDMvMjAyNi4uLlVTRC5IAQAAACB6BQACAAAABy0yNC45NjYBCAAAAAUAAAABMQEAAAAKMjA0NTc0OTMxMAMAAAADMTYwAgAAAAQxMjQ4BAAAAAEwBwAAAAkzLzI5LzIwMjYIAAAACDYvMi8yMDE4CQAAAAEwirksekSN3giD53h+RI3eCDtDSVEuTkFTREFROkNBTE0uSVFfVE9UQUxfT1BFUl9MRUFTRVMuOTk1LjI5LzAzLzIwMjYuLi5VU0QuSAEAAAAgegUAAgAAAAUyLjUzMQEIAAAABQAAAAExAQAAAAstMjA4ODM0NzQ2OQMAAAADMTYwAgAAAAU0ODk3OAQAAAABMAcAAAAJMy8yOS8yMDI2CAAAAAk1LzMwLzIwMjAJAAAAATC6By16RI3eCHmGdn5Ejd4IMkNJUS5OQVNEQVE6Q0FMTS5JUV9HV19JTlRBTi45OTYuMjkvMDMvMjAyNi4uLlVTRC5IAQAAACB6BQACAAAABjU1Ljg2NgEIAAAABQAAAAExAQAAAAstMjAzNzI0MTcyMQMAAAADMTYwAgAAAAUzNTM4MQQAAAABMAcAAAAJMy8yOS8yMDI2CAAAAAk1LzI5LzIwMjEJAAAAATDBLi16RI3eCHY6dX5Ejd4IQENJUS5OQVNEQVE6Q0FMTS5JUV9ERUZfVEFYX0FTU0VUU19DVVJSRU5ULjk5Ni4yOS8wMy8yMDI2Li4uVVNELkgBAAAAIHoFAAMAAAAAANl/gHpEjd4IDtp9fkSN3ggyQ0lRLk5BU0RBUTpDQUxNLklRX1RP</t>
  </si>
  <si>
    <t>VEFMX0NBLjk5NS4yOS8wMy8yMDI2Li4uVVNELkgBAAAAIHoFAAIAAAAHNTIyLjI1MQEIAAAABQAAAAExAQAAAAstMjA4ODM0NzQ2OQMAAAADMTYwAgAAAAQxMDA4BAAAAAEwBwAAAAkzLzI5LzIwMjYIAAAACTUvMzAvMjAyMAkAAAABMNl/gHpEjd4ID4x9fkSN3gg2Q0lRLk5BU0RBUTpDQUxNLklRX1RPVEFMX0FTU0VUUy45OTguMjkvMDMvMjAyNi4uLlVTRC5IAQAAACB6BQACAAAACDE5NTQuNTI1AQgAAAAFAAAAATEBAAAACy0xOTM0OTc4NDIwAwAAAAMxNjACAAAABDEwMDcEAAAAATAHAAAACTMvMjkvMjAyNggAAAAINi8zLzIwMjMJAAAAATDZf4B6RI3eCGUdfH5Ejd4IO0NJUS5OQVNEQVE6Q0FMTS5JUV9DVVJSRU5UX1BPUlRfREVCVC45OTMuMjkvMDMvMjAyNi4uLlVTRC5IAQAAACB6BQACAAAABTMuNTM2AQgAAAAFAAAAATEBAAAACjIwNDU3NDkzMTADAAAAAzE2MAIAAAAEMTI5NwQAAAABMAcAAAAJMy8yOS8yMDI2CAAAAAg2LzIvMjAxOAkAAAABMNl/gHpEjd4Is6h7fkSN3gg+Q0lRLk5BU0RBUTpDQUxNLklRX0ZJTl9ESVZfTElBQl9DVVJSRU5ULjk5NS4yOS8wMy8yMDI2Li4uVVNELkgBAAAAIHoFAAMAAAAAANl/gHpEjd4IzFl7fkSN3gg3Q0lRLk5BU0RBUTpDQUxNLklRX1VOTEVWRVJFRF9GQ0YuOTk1LjI5LzAzLzIwMjYuLi5VU0QuSAEAAAAgegUAAgAAAAotODQuMjc1NjI1AQgAAAAFAAAA</t>
  </si>
  <si>
    <t>ATEBAAAACy0yMDg4MzQ3NDY5AwAAAAMxNjACAAAABDQ0MjMEAAAAATAHAAAACTMvMjkvMjAyNggAAAAJNS8zMC8yMDIwCQAAAAEwjYF/ekSN3gjJk4B+RI3eCDdDSVEuTkFTREFROkNBTE0uSVFfRE9fRklOQU5DRV9DRi45OTYuMjkvMDMvMjAyNi4uLlVTRC5IAQAAACB6BQADAAAAAACNgX96RI3eCKoegH5Ejd4IRUNJUS5OQVNEQVE6Q0FMTS5JUV9PUEVSQVRJTkdfTEVBU0VfTElBQklMSVRJRVMuOTk1LjI5LzAzLzIwMjYuLi5VU0QuSAEAAAAgegUAAwAAAAAAjYF/ekSN3giU939+RI3eCDVDSVEuTkFTREFROkNBTE0uSVFfUFJFUEFJRF9FWFAuOTkzLjI5LzAzLzIwMjYuLi5VU0QuSAEAAAAgegUAAgAAAAQyLjAyAQgAAAAFAAAAATEBAAAACjIwNDU3NDkzMTADAAAAAzE2MAIAAAAEMTIxMgQAAAABMAcAAAAJMy8yOS8yMDI2CAAAAAg2LzIvMjAxOAkAAAABMLVYgHpEjd4IbmN+fkSN3ghAQ0lRLk5BU0RBUTpDQUxNLklRX0ZJTl9ESVZfQVNTRVRTX0NVUlJFTlQuOTk4LjI5LzAzLzIwMjYuLi5VU0QuSAEAAAAgegUAAwAAAAAAtViAekSN3ghXPH5+RI3eCDtDSVEuTkFTREFROkNBTE0uSVFfQ0FTSF9JTlRFUkVTVF9ORVQuOTk5LjI5LzAzLzIwMjYuLi5VU0QuSAEAAAAgegUAAwAAAAAAG1l/ekSN3ghn4IF+RI3eCD5DSVEuTkFTREFROkNBTE0uSVFfQ0FTSF9JTlRFUkVTVF9JTlZFU1QuOTk2LjI5LzAz</t>
  </si>
  <si>
    <t>LzIwMjYuLi5VU0QuSAEAAAAgegUAAwAAAAAAG1l/ekSN3ghPuYF+RI3eCDRDSVEuTkFTREFROkNBTE0uSVFfQ0FTSF9UQVhFUy45OTMuMjkvMDMvMjAyNi4uLlVTRC5IAQAAACB6BQACAAAABy00NS4xMDEBCAAAAAUAAAABMQEAAAAKMjA0NTc0OTMxMAMAAAADMTYwAgAAAAQzMDUzBAAAAAEwBwAAAAkzLzI5LzIwMjYIAAAACDYvMi8yMDE4CQAAAAEwG1l/ekSN3ggra4F+RI3eCDtDSVEuTkFTREFROkNBTE0uSVFfQ0FTSF9UQVhFU19JTlZFU1QuOTk5LjI5LzAzLzIwMjYuLi5VU0QuSAEAAAAgegUAAwAAAAAAjYF/ekSN3ghFRIF+RI3eCERDSVEuTkFTREFROkNBTE0uSVFfQ0hBTkdFX05FVF9XT1JLSU5HX0NBUElUQUwuOTk2LjI5LzAzLzIwMjYuLi5VU0QuSAEAAAAgegUAAgAAAAY2My40NTQBCAAAAAUAAAABMQEAAAALLTIwMzcyNDE3MjEDAAAAAzE2MAIAAAAENDQyMQQAAAABMAcAAAAJMy8yOS8yMDI2CAAAAAk1LzI5LzIwMjEJAAAAATCNgX96RI3eCNrhgH5Ejd4IQ0NJUS5OQVNEQVE6Q0FMTS5JUV9HV19JTlRBTl9BTU9SVF9QQVJUSUFMX0NGLjk5NC4yOS8wMy8yMDI2Li4uVVNELkgBAAAAIHoFAAMAAAAAAKYxgHpEjd4IJDWDfkSN3ghHQ0lRLk5BU0RBUTpDQUxNLklRX0RFUFJFQ0lBVElPTl9SRU5UQUxfQVNTRVRTX0NGLjk5My4yOS8wMy8yMDI2Li4uVVNELkgBAAAAIHoFAAMAAAAAAKYxgHpE</t>
  </si>
  <si>
    <t>jd4IL/qCfkSN3ghGQ0lRLk5BU0RBUTpDQUxNLklRX0RBX1NVUFBMX0NGX0VYQ0xfT1BFUl9MRUFTRVMuOTk5LjI5LzAzLzIwMjYuLi5VU0QuSAEAAAAgegUAAgAAAAY3OC4wNjgBCAAAAAUAAAABMQEAAAALLTE5MzQ5Nzg0ODADAAAAAzE2MAIAAAAFNDg5ODMEAAAAATAHAAAACTMvMjkvMjAyNggAAAAINi8xLzIwMjQJAAAAATCmMYB6RI3eCLejgn5Ejd4IPkNJUS5OQVNEQVE6Q0FMTS5JUV9ORUdBVElWRV9HV19BTU9SVF9DRi45OTguMjkvMDMvMjAyNi4uLlVTRC5IAQAAACB6BQADAAAAAACmMYB6RI3eCJlVgn5Ejd4IRUNJUS5OQVNEQVE6Q0FMTS5JUV9TQUxFX1BST0NFRURTX1JFTlRBTF9BU1NFVFMuOTkzLjI5LzAzLzIwMjYuLi5VU0QuSAEAAAAgegUAAwAAAAAApjGAekSN3giHLoJ+RI3eCDhDSVEuTkFTREFROkNBTE0uSVFfU0FMRV9JTlRBTl9DRi4xMDAwLjI5LzAzLzIwMjYuLi5VU0QuSAEAAAAgegUAAwAAAAAA1wqAekSN3gguLYZ+RI3eCDlDSVEuTkFTREFROkNBTE0uSVFfTFRfREVCVF9SRVBBSUQuMTAwMC4yOS8wMy8yMDI2Li4uVVNELkgBAAAAIHoFAAIAAAAGLTIuNDgxAQgAAAAFAAAAATEBAAAACy0xOTM0OTc4MzgxAwAAAAMxNjACAAAABDIwMzYEAAAAATAHAAAACTMvMjkvMjAyNggAAAAJNS8zMS8yMDI1CQAAAAEw1wqAekSN3gifB4V+RI3eCEFDSVEuTkFTREFROkNBTE0uSVFfT1RI</t>
  </si>
  <si>
    <t>RVJfRklOQU5DRV9BQ1RfU1VQUEwuOTk4LjI5LzAzLzIwMjYuLi5VU0QuSAEAAAAgegUAAwAAAAAApjGAekSN3gg24oN+RI3eCCxDSVEuTkFTREFROkNBTE0uSVFfRlguOTk4LjI5LzAzLzIwMjYuLi5VU0QuSAEAAAAgegUAAwAAAAAApjGAekSN3ggju4N+RI3eCDRDSVEuTkFTREFROkNBTE0uSVFfTkVUX0NIQU5HRS45OTguMjkvMDMvMjAyNi4uLlVTRC5IAQAAACB6BQACAAAABjIzMy43NAEIAAAABQAAAAExAQAAAAstMTkzNDk3ODQyMAMAAAADMTYwAgAAAAQyMDkzBAAAAAEwBwAAAAkzLzI5LzIwMjYIAAAACDYvMy8yMDIzCQAAAAEwpjGAekSN3giobIN+RI3eCDNDSVEuTkFTREFROkNBTE0uSVFfQ0hBTkdFX0FSLjk5OC4yOS8wMy8yMDI2Li4uVVNELkgBAAAAIHoFAAIAAAAGNTguMTI5AQgAAAAFAAAAATEBAAAACy0xOTM0OTc4NDIwAwAAAAMxNjACAAAABDIwMTgEAAAAATAHAAAACTMvMjkvMjAyNggAAAAINi8zLzIwMjMJAAAAATCL4396RI3eCNeUh35Ejd4IOENJUS5OQVNEQVE6Q0FMTS5JUV9DSEFOR0VfSU5DX1RBWC45OTQuMjkvMDMvMjAyNi4uLlVTRC5IAQAAACB6BQADAAAAAACL4396RI3eCKsXh35Ejd4IRkNJUS5OQVNEQVE6Q0FMTS5JUV9DSEFOR0VfT1RIRVJfTkVUX09QRVJfQVNTRVRTLjk5Ny4yOS8wMy8yMDI2Li4uVVNELkgBAAAAIHoFAAIAAAAGLTcuMTAxAQgAAAAFAAAAATEBAAAA</t>
  </si>
  <si>
    <t>Cy0xOTg2NzA4NDMzAwAAAAMxNjACAAAABDIwNDUEAAAAATAHAAAACTMvMjkvMjAyNggAAAAJNS8yOC8yMDIyCQAAAAEwi+N/ekSN3giq8IZ+RI3eCDlDSVEuTkFTREFROkNBTE0uSVFfQ0FTSF9BQ1FVSVJFX0NGLjk5My4yOS8wMy8yMDI2Li4uVVNELkgBAAAAIHoFAAMAAAAAAIvjf3pEjd4IUHuGfkSN3ggzQ0lRLk5BU0RBUTpDQUxNLklRX0RJVkVTVF9DRi45OTguMjkvMDMvMjAyNi4uLlVTRC5IAQAAACB6BQADAAAAAADXCoB6RI3eCC4thn5Ejd4IL0NJUS5OQVNEQVE6Q0FMTS5JUV9EQV9DRi45OTguMjkvMDMvMjAyNi4uLlVTRC5IAQAAACB6BQACAAAABjcyLjIzNAEIAAAABQAAAAExAQAAAAstMTkzNDk3ODQyMAMAAAADMTYwAgAAAAQyMTYwBAAAAAEwBwAAAAkzLzI5LzIwMjYIAAAACDYvMy8yMDIzCQAAAAEwSLx/ekSN3giTL4l+RI3eCDhDSVEuTkFTREFROkNBTE0uSVFfR0FJTl9JTlZFU1RfQ0YuOTk2LjI5LzAzLzIwMjYuLi5VU0QuSAEAAAAgegUAAgAAAAUyLjY3OAEIAAAABQAAAAExAQAAAAstMjAzNzI0MTcyMQMAAAADMTYwAgAAAAQyMDkwBAAAAAEwBwAAAAkzLzI5LzIwMjYIAAAACTUvMjkvMjAyMQkAAAABMEi8f3pEjd4INuGIfkSN3gg4Q0lRLk5BU0RBUTpDQUxNLklRX0NSRURJVF9MT1NTX0NGLjk5Ni4yOS8wMy8yMDI2Li4uVVNELkgBAAAAIHoFAAMAAAAAAIvjf3pEjd4IPn+IfkSN</t>
  </si>
  <si>
    <t>3gg4Q0lRLk5BU0RBUTpDQUxNLklRX1NUT0NLX0JBU0VEX0NGLjk5OS4yOS8wMy8yMDI2Li4uVVNELkgBAAAAIHoFAAIAAAAFNC4zNTgBCAAAAAUAAAABMQEAAAALLTE5MzQ5Nzg0ODADAAAAAzE2MAIAAAAEMjEyNwQAAAABMAcAAAAJMy8yOS8yMDI2CAAAAAg2LzEvMjAyNAkAAAABMIvjf3pEjd4IAQqIfkSN3gg4Q0lRLk5BU0RBUTpDQUxNLklRX09USEVSX09QRVJfQUNULjk5NS4yOS8wMy8yMDI2Li4uVVNELkgBAAAAIHoFAAIAAAAGMTAuOTA3AQgAAAAFAAAAATEBAAAACy0yMDg4MzQ3NDY5AwAAAAMxNjACAAAABDIwNDcEAAAAATAHAAAACTMvMjkvMjAyNggAAAAJNS8zMC8yMDIwCQAAAAEwi+N/ekSN3gjnu4d+RI3eCEtDSVEuTkFTREFROkNBTE0uSVFfTFRfUE9SVElPTl9PUEVSX0xFQVNFX0xJQUJJTElUSUVTLjk5OC4yOS8wMy8yMDI2Li4uVVNELkgBAAAAIHoFAAMAAAAAALoHLXpEjd4IwXJ2fkSN3ggtQ0lRLk5BU0RBUTpDQUxNLklRX1RCVi45OTcuMjkvMDMvMjAyNi4uLlVTRC5IAQAAACB6BQACAAAACDEwNDIuNDE0AQgAAAAFAAAAATEBAAAACy0xOTg2NzA4NDMzAwAAAAMxNjACAAAABDEzMTAEAAAAATAHAAAACTMvMjkvMjAyNggAAAAJNS8yOC8yMDIyCQAAAAEwwS4tekSN3ghIYXV+RI3eCDFDSVEuTkFTREFROkNBTE0uSVFfV0lQX0lOVi45OTYuMjkvMDMvMjAyNi4uLlVTRC5IAQAAACB6</t>
  </si>
  <si>
    <t>BQADAAAAAADAVS16RI3eCFSfc35Ejd4IMENJUS5OQVNEQVE6Q0FMTS5JUV9OSV9DRi4xMDAwLjI5LzAzLzIwMjYuLi5VU0QuSAEAAAAgegUAAgAAAAgxMjIwLjA0OAEIAAAABQAAAAExAQAAAAstMTkzNDk3ODM4MQMAAAADMTYwAgAAAAQyMTUwBAAAAAEwBwAAAAkzLzI5LzIwMjYIAAAACTUvMzEvMjAyNQkAAAABMEi8f3pEjd4IsaSJfkSN3gg7Q0lRLk5BU0RBUTpDQUxNLklRX0dXX0lOVEFOX0FNT1JUX0NGLjk5NC4yOS8wMy8yMDI2Li4uVVNELkgBAAAAIHoFAAIAAAADMi44AQgAAAAFAAAAATEBAAAACy0yMTQyNDI5MDM5AwAAAAMxNjACAAAABDIxODIEAAAAATAHAAAACTMvMjkvMjAyNggAAAAINi8xLzIwMTkJAAAAATBIvH96RI3eCMxWiX5Ejd4IMUNJUS5OQVNEQVE6Q0FMTS5JUV9TVF9ERUJULjk5OS4yOS8wMy8yMDI2Li4uVVNELkgBAAAAIHoFAAMAAAAAANl/gHpEjd4Iks97fkSN3gg+Q0lRLk5BU0RBUTpDQUxNLklRX0ZJTl9ESVZfTElBQl9DVVJSRU5ULjk5Ny4yOS8wMy8yMDI2Li4uVVNELkgBAAAAIHoFAAMAAAAAANl/gHpEjd4IEYF7fkSN3gg1Q0lRLk5BU0RBUTpDQUxNLklRX1RPVEFMX0xJQUIuMTAwMC4yOS8wMy8yMDI2Li4uVVNELkgBAAAAIHoFAAIAAAAHNTE4LjYwNAEIAAAABQAAAAExAQAAAAstMTkzNDk3ODM4MQMAAAADMTYwAgAAAAQxMjc2BAAAAAEwBwAAAAkzLzI5LzIwMjYI</t>
  </si>
  <si>
    <t>AAAACTUvMzEvMjAyNQkAAAABMA2ngHpEjd4I+r55fkSN3ggyQ0lRLk5BU0RBUTpDQUxNLklRX1RSRUFTVVJZLjk5NC4yOS8wMy8yMDI2Li4uVVNELkgBAAAAIHoFAAIAAAAHLTI1Ljg2NgEIAAAABQAAAAExAQAAAAstMjE0MjQyOTAzOQMAAAADMTYwAgAAAAQxMjQ4BAAAAAEwBwAAAAkzLzI5LzIwMjYIAAAACDYvMS8yMDE5CQAAAAEwirksekSN3giD53h+RI3eCD9DSVEuTkFTREFROkNBTE0uSVFfUlVBX0NBUElUQUxfTEVBU0VfTkVULjk5OC4yOS8wMy8yMDI2Li4uVVNELkgBAAAAIHoFAAMAAAAAAJbgLHpEjd4Ixah3fkSN3ggzQ0lRLk5BU0RBUTpDQUxNLklRX0lOVkVOVE9SWS45OTcuMjkvMDMvMjAyNi4uLlVTRC5IAQAAACB6BQACAAAABzI2My4zMTYBCAAAAAUAAAABMQEAAAALLTE5ODY3MDg0MzMDAAAAAzE2MAIAAAAEMTA0MwQAAAABMAcAAAAJMy8yOS8yMDI2CAAAAAk1LzI4LzIwMjIJAAAAATC1WIB6RI3eCHGLfn5Ejd4IQENJUS5OQVNEQVE6Q0FMTS5JUV9GSU5fRElWX0FTU0VUU19DVVJSRU5ULjk5OS4yOS8wMy8yMDI2Li4uVVNELkgBAAAAIHoFAAMAAAAAALVYgHpEjd4IVzx+fkSN3ghAQ0lRLk5BU0RBUTpDQUxNLklRX0RFRl9UQVhfQVNTRVRTX0NVUlJFTlQuOTk3LjI5LzAzLzIwMjYuLi5VU0QuSAEAAAAgegUAAwAAAAAA2X+AekSN3ggO2n1+RI3eCDJDSVEuTkFTREFROkNBTE0uSVFf</t>
  </si>
  <si>
    <t>VE9UQUxfQ0EuOTk5LjI5LzAzLzIwMjYuLi5VU0QuSAEAAAAgegUAAgAAAAgxMjQxLjgzOQEIAAAABQAAAAExAQAAAAstMTkzNDk3ODQ4MAMAAAADMTYwAgAAAAQxMDA4BAAAAAEwBwAAAAkzLzI5LzIwMjYIAAAACDYvMS8yMDI0CQAAAAEw2X+AekSN3ggPjH1+RI3eCDZDSVEuTkFTREFROkNBTE0uSVFfVE9UQUxfQVNTRVRTLjk5OS4yOS8wMy8yMDI2Li4uVVNELkgBAAAAIHoFAAIAAAAIMjE4NC43NjEBCAAAAAUAAAABMQEAAAALLTE5MzQ5Nzg0ODADAAAAAzE2MAIAAAAEMTAwNwQAAAABMAcAAAAJMy8yOS8yMDI2CAAAAAg2LzEvMjAyNAkAAAABMNl/gHpEjd4IZR18fkSN3gg3Q0lRLk5BU0RBUTpDQUxNLklRX1VOTEVWRVJFRF9GQ0YuOTk2LjI5LzAzLzIwMjYuLi5VU0QuSAEAAAAgegUAAgAAAAotMTA5LjgxOTI1AQgAAAAFAAAAATEBAAAACy0yMDM3MjQxNzIxAwAAAAMxNjACAAAABDQ0MjMEAAAAATAHAAAACTMvMjkvMjAyNggAAAAJNS8yOS8yMDIxCQAAAAEwjYF/ekSN3gjJk4B+RI3eCDdDSVEuTkFTREFROkNBTE0uSVFfRE9fRklOQU5DRV9DRi45OTcuMjkvMDMvMjAyNi4uLlVTRC5IAQAAACB6BQADAAAAAACNgX96RI3eCIpFgH5Ejd4IRUNJUS5OQVNEQVE6Q0FMTS5JUV9PUEVSQVRJTkdfTEVBU0VfTElBQklMSVRJRVMuOTk2LjI5LzAzLzIwMjYuLi5VU0QuSAEAAAAgegUAAwAAAAAAjYF/ekSN</t>
  </si>
  <si>
    <t>3giU939+RI3eCDNDSVEuTkFTREFROkNBTE0uSVFfU1RfSU5WRVNULjk5My4yOS8wMy8yMDI2Li4uVVNELkgBAAAAIHoFAAIAAAAHMjgyLjU4NgEIAAAABQAAAAExAQAAAAoyMDQ1NzQ5MzEwAwAAAAMxNjACAAAABDEwNjkEAAAAATAHAAAACTMvMjkvMjAyNggAAAAINi8yLzIwMTgJAAAAATCNgX96RI3eCPBNf35Ejd4ILENJUS5OQVNEQVE6Q0FMTS5JUV9BUi45OTMuMjkvMDMvMjAyNi4uLlVTRC5IAQAAACB6BQACAAAABjgwLjczMQEIAAAABQAAAAExAQAAAAoyMDQ1NzQ5MzEwAwAAAAMxNjACAAAABDEwMjEEAAAAATAHAAAACTMvMjkvMjAyNggAAAAINi8yLzIwMTgJAAAAATCNgX96RI3eCNL/fn5Ejd4IRUNJUS5OQVNEQVE6Q0FMTS5JUV9TQUxFX1BST0NFRURTX1JFTlRBTF9BU1NFVFMuOTk0LjI5LzAzLzIwMjYuLi5VU0QuSAEAAAAgegUAAwAAAAAApjGAekSN3giHLoJ+RI3eCDxDSVEuTkFTREFROkNBTE0uSVFfQ0FTSF9JTlRFUkVTVF9ORVQuMTAwMC4yOS8wMy8yMDI2Li4uVVNELkgBAAAAIHoFAAMAAAAAABtZf3pEjd4IdgeCfkSN3gg8Q0lRLk5BU0RBUTpDQUxNLklRX0NBU0hfSU5URVJFU1RfT1BFUi45OTkuMjkvMDMvMjAyNi4uLlVTRC5IAQAAACB6BQADAAAAAAAbWX96RI3eCE+5gX5Ejd4INENJUS5OQVNEQVE6Q0FMTS5JUV9DQVNIX1RBWEVTLjk5NC4yOS8wMy8yMDI2Li4uVVNELkgBAAAA</t>
  </si>
  <si>
    <t>IHoFAAIAAAAGMzYuMzEyAQgAAAAFAAAAATEBAAAACy0yMTQyNDI5MDM5AwAAAAMxNjACAAAABDMwNTMEAAAAATAHAAAACTMvMjkvMjAyNggAAAAINi8xLzIwMTkJAAAAATAbWX96RI3eCCtrgX5Ejd4IRENJUS5OQVNEQVE6Q0FMTS5JUV9DSEFOR0VfTkVUX1dPUktJTkdfQ0FQSVRBTC45OTcuMjkvMDMvMjAyNi4uLlVTRC5IAQAAACB6BQACAAAABjQxLjEwMgEIAAAABQAAAAExAQAAAAstMTk4NjcwODQzMwMAAAADMTYwAgAAAAQ0NDIxBAAAAAEwBwAAAAkzLzI5LzIwMjYIAAAACTUvMjgvMjAyMgkAAAABMI2Bf3pEjd4I2uGAfkSN3gg0Q0lRLk5BU0RBUTpDQUxNLklRX05FVF9DSEFOR0UuOTk5LjI5LzAzLzIwMjYuLi5VU0QuSAEAAAAgegUAAgAAAActNTQuOTQ2AQgAAAAFAAAAATEBAAAACy0xOTM0OTc4NDgwAwAAAAMxNjACAAAABDIwOTMEAAAAATAHAAAACTMvMjkvMjAyNggAAAAINi8xLzIwMjQJAAAAATCmMYB6RI3eCKhsg35Ejd4IPUNJUS5OQVNEQVE6Q0FMTS5JUV9EQV9TVVBQTF9QQVJUSUFMX0NGLjk5OS4yOS8wMy8yMDI2Li4uVVNELkgBAAAAIHoFAAMAAAAAAKYxgHpEjd4IJDWDfkSN3ghHQ0lRLk5BU0RBUTpDQUxNLklRX0RFUFJFQ0lBVElPTl9SRU5UQUxfQVNTRVRTX0NGLjk5NC4yOS8wMy8yMDI2Li4uVVNELkgBAAAAIHoFAAMAAAAAAKYxgHpEjd4IL/qCfkSN3ghHQ0lRLk5BU0RBUTpD</t>
  </si>
  <si>
    <t>QUxNLklRX0RBX1NVUFBMX0NGX0VYQ0xfT1BFUl9MRUFTRVMuMTAwMC4yOS8wMy8yMDI2Li4uVVNELkgBAAAAIHoFAAIAAAAGOTEuODYzAQgAAAAFAAAAATEBAAAACy0xOTM0OTc4MzgxAwAAAAMxNjACAAAABTQ4OTgzBAAAAAEwBwAAAAkzLzI5LzIwMjYIAAAACTUvMzEvMjAyNQkAAAABMKYxgHpEjd4It6OCfkSN3gg+Q0lRLk5BU0RBUTpDQUxNLklRX05FR0FUSVZFX0dXX0FNT1JUX0NGLjk5OS4yOS8wMy8yMDI2Li4uVVNELkgBAAAAIHoFAAMAAAAAAKYxgHpEjd4ImVWCfkSN3gg5Q0lRLk5BU0RBUTpDQUxNLklRX0NBU0hfQUNRVUlSRV9DRi45OTQuMjkvMDMvMjAyNi4uLlVTRC5IAQAAACB6BQACAAAABy0xNy44ODkBCAAAAAUAAAABMQEAAAALLTIxNDI0MjkwMzkDAAAAAzE2MAIAAAAEMjA1NwQAAAABMAcAAAAJMy8yOS8yMDI2CAAAAAg2LzEvMjAxOQkAAAABMIvjf3pEjd4IUHuGfkSN3ggzQ0lRLk5BU0RBUTpDQUxNLklRX0RJVkVTVF9DRi45OTkuMjkvMDMvMjAyNi4uLlVTRC5IAQAAACB6BQADAAAAAADXCoB6RI3eCDlUhn5Ejd4INUNJUS5OQVNEQVE6Q0FMTS5JUV9QUkVGX0lTU1VFRC45OTMuMjkvMDMvMjAyNi4uLlVTRC5IAQAAACB6BQADAAAAAADXCoB6RI3eCE+5hH5Ejd4IN0NJUS5OQVNEQVE6Q0FMTS5JUV9DT01NT05fRElWX0NGLjk5NC4yOS8wMy8yMDI2Li4uVVNELkgBAAAAIHoFAAIA</t>
  </si>
  <si>
    <t>AAAHLTQxLjcxMwEIAAAABQAAAAExAQAAAAstMjE0MjQyOTAzOQMAAAADMTYwAgAAAAQyMDc0BAAAAAEwBwAAAAkzLzI5LzIwMjYIAAAACDYvMS8yMDE5CQAAAAEw1wqAekSN3gg/koR+RI3eCCxDSVEuTkFTREFROkNBTE0uSVFfRlguOTk5LjI5LzAzLzIwMjYuLi5VU0QuSAEAAAAgegUAAwAAAAAApjGAekSN3ggju4N+RI3eCDtDSVEuTkFTREFROkNBTE0uSVFfUFJPVl9CQURfREVCVFNfQ0YuOTkzLjI5LzAzLzIwMjYuLi5VU0QuSAEAAAAgegUAAwAAAAAAi+N/ekSN3gj04od+RI3eCDhDSVEuTkFTREFROkNBTE0uSVFfT1RIRVJfT1BFUl9BQ1QuOTk2LjI5LzAzLzIwMjYuLi5VU0QuSAEAAAAgegUAAgAAAAYyMS44NDEBCAAAAAUAAAABMQEAAAALLTIwMzcyNDE3MjEDAAAAAzE2MAIAAAAEMjA0NwQAAAABMAcAAAAJMy8yOS8yMDI2CAAAAAk1LzI5LzIwMjEJAAAAATCL4396RI3eCOe7h35Ejd4IM0NJUS5OQVNEQVE6Q0FMTS5JUV9DSEFOR0VfQVIuOTk5LjI5LzAzLzIwMjYuLi5VU0QuSAEAAAAgegUAAgAAAAYtMjcuNTcBCAAAAAUAAAABMQEAAAALLTE5MzQ5Nzg0ODADAAAAAzE2MAIAAAAEMjAxOAQAAAABMAcAAAAJMy8yOS8yMDI2CAAAAAg2LzEvMjAyNAkAAAABMIvjf3pEjd4I15SHfkSN3gg4Q0lRLk5BU0RBUTpDQUxNLklRX0NIQU5HRV9JTkNfVEFYLjk5NS4yOS8wMy8yMDI2Li4uVVNELkgBAAAA</t>
  </si>
  <si>
    <t>IHoFAAMAAAAAAIvjf3pEjd4IqxeHfkSN3gg5Q0lRLk5BU0RBUTpDQUxNLklRX0NIQU5HRV9ERUZfVEFYLjEwMDAuMjkvMDMvMjAyNi4uLlVTRC5IAQAAACB6BQADAAAAAACL4396RI3eCKrwhn5Ejd4IS0NJUS5OQVNEQVE6Q0FMTS5JUV9MVF9QT1JUSU9OX09QRVJfTEVBU0VfTElBQklMSVRJRVMuOTkzLjI5LzAzLzIwMjYuLi5VU0QuSAEAAAAgegUAAwAAAAAAugctekSN3gh5hnZ+RI3eCDxDSVEuTkFTREFROkNBTE0uSVFfVEJWX1NIQVJFX1JFUE9SVEVELjk5Ni4yOS8wMy8yMDI2Li4uVVNELkgBAAAAIHoFAAMAAAAAAMEuLXpEjd4Ia4h1fkSN3ggxQ0lRLk5BU0RBUTpDQUxNLklRX1JBV19JTlYuOTk1LjI5LzAzLzIwMjYuLi5VU0QuSAEAAAAgegUAAgAAAAcxMTAuMTk4AQgAAAAFAAAAATEBAAAACy0yMDg4MzQ3NDY5AwAAAAMxNjACAAAABDMxNzEEAAAAATAHAAAACTMvMjkvMjAyNggAAAAJNS8zMC8yMDIwCQAAAAEwwS4tekSN3ghUn3N+RI3eCDhDSVEuTkFTREFROkNBTE0uSVFfR0FJTl9BU1NFVFNfQ0YuOTk5LjI5LzAzLzIwMjYuLi5VU0QuSAEAAAAgegUAAwAAAAAASLx/ekSN3gg24Yh+RI3eCDhDSVEuTkFTREFROkNBTE0uSVFfQ1JFRElUX0xPU1NfQ0YuOTk3LjI5LzAzLzIwMjYuLi5VU0QuSAEAAAAgegUAAwAAAAAAi+N/ekSN3gg+WIh+RI3eCDdDSVEuTkFTREFROkNBTE0uSVFfVE9UQUxf</t>
  </si>
  <si>
    <t>QVNTRVRTLjEwMDAuMjkvMDMvMjAyNi4uLlVTRC5IAQAAACB6BQACAAAACDMwODQuNjE5AQgAAAAFAAAAATEBAAAACy0xOTM0OTc4MzgxAwAAAAMxNjACAAAABDEwMDcEAAAAATAHAAAACTMvMjkvMjAyNggAAAAJNS8zMS8yMDI1CQAAAAEw2X+AekSN3ghlHXx+RI3eCDJDSVEuTkFTREFROkNBTE0uSVFfU1RfREVCVC4xMDAwLjI5LzAzLzIwMjYuLi5VU0QuSAEAAAAgegUAAwAAAAAA2X+AekSN3giSz3t+RI3eCDhDSVEuTkFTREFROkNBTE0uSVFfT1RIRVJfQ0xfU1VQUEwuOTkzLjI5LzAzLzIwMjYuLi5VU0QuSAEAAAAgegUAAgAAAAYxNy4wOTMBCAAAAAUAAAABMQEAAAAKMjA0NTc0OTMxMAMAAAADMTYwAgAAAAQxMDU3BAAAAAEwBwAAAAkzLzI5LzIwMjYIAAAACDYvMi8yMDE4CQAAAAEwDaeAekSN3ghOC3t+RI3eCDlDSVEuTkFTREFROkNBTE0uSVFfRklOX0RJVl9ERUJUX0xULjk5OC4yOS8wMy8yMDI2Li4uVVNELkgBAAAAIHoFAAMAAAAAAA2ngHpEjd4IWVt6fkSN3ghFQ0lRLk5BU0RBUTpDQUxNLklRX1JVQV9DQVBJVEFMX0xFQVNFX0FDQ1VNX0RFUC45OTMuMjkvMDMvMjAyNi4uLlVTRC5IAQAAACB6BQADAAAAAACW4Cx6RI3eCCHQd35Ejd4IM0NJUS5OQVNEQVE6Q0FMTS5JUV9TVF9JTlZFU1QuOTk0LjI5LzAzLzIwMjYuLi5VU0QuSAEAAAAgegUAAgAAAAcyNTAuMTgxAQgAAAAFAAAAATEBAAAA</t>
  </si>
  <si>
    <t>Cy0yMTQyNDI5MDM5AwAAAAMxNjACAAAABDEwNjkEAAAAATAHAAAACTMvMjkvMjAyNggAAAAINi8xLzIwMTkJAAAAATCNgX96RI3eCPBNf35Ejd4IOENJUS5OQVNEQVE6Q0FMTS5JUV9DQVNIX1NUX0lOVkVTVC45OTkuMjkvMDMvMjAyNi4uLlVTRC5IAQAAACB6BQACAAAABzgxMi4zNzcBCAAAAAUAAAABMQEAAAALLTE5MzQ5Nzg0ODADAAAAAzE2MAIAAAAEMTAwMgQAAAABMAcAAAAJMy8yOS8yMDI2CAAAAAg2LzEvMjAyNAkAAAABMI2Bf3pEjd4I0v9+fkSN3ggzQ0lRLk5BU0RBUTpDQUxNLklRX0lOVkVOVE9SWS45OTguMjkvMDMvMjAyNi4uLlVTRC5IAQAAACB6BQACAAAABzI4NC40MTgBCAAAAAUAAAABMQEAAAALLTE5MzQ5Nzg0MjADAAAAAzE2MAIAAAAEMTA0MwQAAAABMAcAAAAJMy8yOS8yMDI2CAAAAAg2LzMvMjAyMwkAAAABMLVYgHpEjd4IcYt+fkSN3ghAQ0lRLk5BU0RBUTpDQUxNLklRX0RFRl9UQVhfQVNTRVRTX0NVUlJFTlQuOTk4LjI5LzAzLzIwMjYuLi5VU0QuSAEAAAAgegUAAwAAAAAA2X+AekSN3ggO2n1+RI3eCDtDSVEuTkFTREFROkNBTE0uSVFfREVGX1RBWF9BU1NFVFNfTFQuOTk0LjI5LzAzLzIwMjYuLi5VU0QuSAEAAAAgegUAAwAAAAAA2X+AekSN3giTa3x+RI3eCDtDSVEuTkFTREFROkNBTE0uSVFfQ0FTSF9UQVhFU19JTlZFU1QuOTk0LjI5LzAzLzIwMjYuLi5VU0QuSAEAAAAg</t>
  </si>
  <si>
    <t>egUAAwAAAAAAjYF/ekSN3ghFRIF+RI3eCD9DSVEuTkFTREFROkNBTE0uSVFfQ0hBTkdFX0RFRl9UQVhfVE9UQUwuMTAwMC4yOS8wMy8yMDI2Li4uVVNELkgBAAAAIHoFAAIAAAAFMTEuNTcBCAAAAAUAAAABMQEAAAALLTE5MzQ5NzgzODEDAAAAAzE2MAIAAAAFMzA5MjQEAAAAATAHAAAACTMvMjkvMjAyNggAAAAJNS8zMS8yMDI1CQAAAAEwjYF/ekSN3gja4YB+RI3eCDdDSVEuTkFTREFROkNBTE0uSVFfVU5MRVZFUkVEX0ZDRi45OTcuMjkvMDMvMjAyNi4uLlVTRC5IAQAAACB6BQACAAAABzQ1LjQ3NDUBCAAAAAUAAAABMQEAAAALLTE5ODY3MDg0MzMDAAAAAzE2MAIAAAAENDQyMwQAAAABMAcAAAAJMy8yOS8yMDI2CAAAAAk1LzI4LzIwMjIJAAAAATCNgX96RI3eCM26gH5Ejd4IN0NJUS5OQVNEQVE6Q0FMTS5JUV9ET19GSU5BTkNFX0NGLjk5OC4yOS8wMy8yMDI2Li4uVVNELkgBAAAAIHoFAAMAAAAAAI2Bf3pEjd4IikWAfkSN3ghFQ0lRLk5BU0RBUTpDQUxNLklRX09QRVJBVElOR19MRUFTRV9MSUFCSUxJVElFUy45OTcuMjkvMDMvMjAyNi4uLlVTRC5IAQAAACB6BQADAAAAAACNgX96RI3eCJT3f35Ejd4IR0NJUS5OQVNEQVE6Q0FMTS5JUV9ERVBSRUNJQVRJT05fUkVOVEFMX0FTU0VUU19DRi45OTUuMjkvMDMvMjAyNi4uLlVTRC5IAQAAACB6BQADAAAAAACmMYB6RI3eCC/6gn5Ejd4IP0NJUS5OQVNE</t>
  </si>
  <si>
    <t>QVE6Q0FMTS5JUV9ORUdBVElWRV9HV19BTU9SVF9DRi4xMDAwLjI5LzAzLzIwMjYuLi5VU0QuSAEAAAAgegUAAwAAAAAApjGAekSN3gipfIJ+RI3eCEVDSVEuTkFTREFROkNBTE0uSVFfU0FMRV9QUk9DRUVEU19SRU5UQUxfQVNTRVRTLjk5NS4yOS8wMy8yMDI2Li4uVVNELkgBAAAAIHoFAAMAAAAAAKYxgHpEjd4Ihy6CfkSN3gg9Q0lRLk5BU0RBUTpDQUxNLklRX0NBU0hfSU5URVJFU1RfT1BFUi4xMDAwLjI5LzAzLzIwMjYuLi5VU0QuSAEAAAAgegUAAwAAAAAAG1l/ekSN3ghPuYF+RI3eCDRDSVEuTkFTREFROkNBTE0uSVFfQ0FTSF9UQVhFUy45OTcuMjkvMDMvMjAyNi4uLlVTRC5IAQAAACB6BQACAAAABTEuNzQ3AQgAAAAFAAAAATEBAAAACy0xOTg2NzA4NDMzAwAAAAMxNjACAAAABDMwNTMEAAAAATAHAAAACTMvMjkvMjAyNggAAAAJNS8yOC8yMDIyCQAAAAEwG1l/ekSN3ghZkoF+RI3eCDdDSVEuTkFTREFROkNBTE0uSVFfQ09NTU9OX0lTU1VFRC45OTMuMjkvMDMvMjAyNi4uLlVTRC5IAQAAACB6BQADAAAAAADXCoB6RI3eCJ8HhX5Ejd4INUNJUS5OQVNEQVE6Q0FMTS5JUV9QUkVGX0lTU1VFRC45OTQuMjkvMDMvMjAyNi4uLlVTRC5IAQAAACB6BQADAAAAAADXCoB6RI3eCE+5hH5Ejd4IN0NJUS5OQVNEQVE6Q0FMTS5JUV9DT01NT05fRElWX0NGLjk5NS4yOS8wMy8yMDI2Li4uVVNELkgBAAAAIHoF</t>
  </si>
  <si>
    <t>AAMAAAAAANcKgHpEjd4IO2uEfkSN3gg1Q0lRLk5BU0RBUTpDQUxNLklRX05FVF9DSEFOR0UuMTAwMC4yOS8wMy8yMDI2Li4uVVNELkgBAAAAIHoFAAIAAAAHMjYyLjU0MQEIAAAABQAAAAExAQAAAAstMTkzNDk3ODM4MQMAAAADMTYwAgAAAAQyMDkzBAAAAAEwBwAAAAkzLzI5LzIwMjYIAAAACTUvMzEvMjAyNQkAAAABMKYxgHpEjd4IqGyDfkSN3gg+Q0lRLk5BU0RBUTpDQUxNLklRX0RBX1NVUFBMX1BBUlRJQUxfQ0YuMTAwMC4yOS8wMy8yMDI2Li4uVVNELkgBAAAAIHoFAAMAAAAAAKYxgHpEjd4IJDWDfkSN3ggzQ0lRLk5BU0RBUTpDQUxNLklRX0NIQU5HRV9BUC45OTMuMjkvMDMvMjAyNi4uLlVTRC5IAQAAACB6BQACAAAABjI4LjM3OAEIAAAABQAAAAExAQAAAAoyMDQ1NzQ5MzEwAwAAAAMxNjACAAAABDIwMTcEAAAAATAHAAAACTMvMjkvMjAyNggAAAAINi8yLzIwMTgJAAAAATCL4396RI3eCJtth35Ejd4IOENJUS5OQVNEQVE6Q0FMTS5JUV9DSEFOR0VfSU5DX1RBWC45OTYuMjkvMDMvMjAyNi4uLlVTRC5IAQAAACB6BQADAAAAAACL4396RI3eCKM+h35Ejd4INUNJUS5OQVNEQVE6Q0FMTS5JUV9TQUxFX1BQRV9DRi45OTcuMjkvMDMvMjAyNi4uLlVTRC5IAQAAACB6BQACAAAABTAuNjg2AQgAAAAFAAAAATEBAAAACy0xOTg2NzA4NDMzAwAAAAMxNjACAAAABDIwNDIEAAAAATAHAAAACTMvMjkvMjAy</t>
  </si>
  <si>
    <t>NggAAAAJNS8yOC8yMDIyCQAAAAEwi+N/ekSN3ghQe4Z+RI3eCDRDSVEuTkFTREFROkNBTE0uSVFfRElWRVNUX0NGLjEwMDAuMjkvMDMvMjAyNi4uLlVTRC5IAQAAACB6BQADAAAAAADXCoB6RI3eCDlUhn5Ejd4IO0NJUS5OQVNEQVE6Q0FMTS5JUV9UT1RBTF9ERUJUX0lTU1VFRC45OTMuMjkvMDMvMjAyNi4uLlVTRC5IAQAAACB6BQADAAAAAADXCoB6RI3eCKVVhX5Ejd4IPENJUS5OQVNEQVE6Q0FMTS5JUV9UQlZfU0hBUkVfUkVQT1JURUQuOTk3LjI5LzAzLzIwMjYuLi5VU0QuSAEAAAAgegUAAwAAAAAAwS4tekSN3ghriHV+RI3eCDlDSVEuTkFTREFROkNBTE0uSVFfR0FJTl9BU1NFVFNfQ0YuMTAwMC4yOS8wMy8yMDI2Li4uVVNELkgBAAAAIHoFAAMAAAAAAEi8f3pEjd4INuGIfkSN3gg4Q0lRLk5BU0RBUTpDQUxNLklRX0NSRURJVF9MT1NTX0NGLjk5OC4yOS8wMy8yMDI2Li4uVVNELkgBAAAAIHoFAAMAAAAAAIvjf3pEjd4IPliIfkSN3gg7Q0lRLk5BU0RBUTpDQUxNLklRX1BST1ZfQkFEX0RFQlRTX0NGLjk5NS4yOS8wMy8yMDI2Li4uVVNELkgBAAAAIHoFAAMAAAAAAIvjf3pEjd4I9OKHfkSN3gg4Q0lRLk5BU0RBUTpDQUxNLklRX09USEVSX09QRVJfQUNULjk5Ny4yOS8wMy8yMDI2Li4uVVNELkgBAAAAIHoFAAIAAAAGLTMuNjMyAQgAAAAFAAAAATEBAAAACy0xOTg2NzA4NDMzAwAAAAMxNjACAAAA</t>
  </si>
  <si>
    <t>BDIwNDcEAAAAATAHAAAACTMvMjkvMjAyNggAAAAJNS8yOC8yMDIyCQAAAAEwi+N/ekSN3gjnu4d+RI3eCDZDSVEuTkFTREFROkNBTE0uSVFfVE9UQUxfQVNTRVRTLjk5My4yOS8wMy8yMDI2Li4uVVNELkgBAAAAIHoFAAIAAAAIMTE1MC40NDcBCAAAAAUAAAABMQEAAAAKMjA0NTc0OTMxMAMAAAADMTYwAgAAAAQxMDA3BAAAAAEwBwAAAAkzLzI5LzIwMjYIAAAACDYvMi8yMDE4CQAAAAEw2X+AekSN3ghlHXx+RI3eCD5DSVEuTkFTREFROkNBTE0uSVFfREVGX1RBWF9MSUFCX0NVUlJFTlQuOTk4LjI5LzAzLzIwMjYuLi5VU0QuSAEAAAAgegUAAwAAAAAADaeAekSN3ghu0Hp+RI3eCDlDSVEuTkFTREFROkNBTE0uSVFfRklOX0RJVl9ERUJUX0xULjk5OS4yOS8wMy8yMDI2Li4uVVNELkgBAAAAIHoFAAMAAAAAAA2ngHpEjd4IWVt6fkSN3gg0Q0lRLk5BU0RBUTpDQUxNLklRX1RPVEFMX0xJQUIuOTk1LjI5LzAzLzIwMjYuLi5VU0QuSAEAAAAgegUAAgAAAAcxOTcuMDE5AQgAAAAFAAAAATEBAAAACy0yMDg4MzQ3NDY5AwAAAAMxNjACAAAABDEyNzYEAAAAATAHAAAACTMvMjkvMjAyNggAAAAJNS8zMC8yMDIwCQAAAAEwDaeAekSN3gj6vnl+RI3eCEVDSVEuTkFTREFROkNBTE0uSVFfUlVBX0NBUElUQUxfTEVBU0VfQUNDVU1fREVQLjk5NC4yOS8wMy8yMDI2Li4uVVNELkgBAAAAIHoFAAMAAAAAAJbgLHpEjd4I</t>
  </si>
  <si>
    <t>IdB3fkSN3gg4Q0lRLk5BU0RBUTpDQUxNLklRX1NUX05PVEVfUkVDRUlWLjk5My4yOS8wMy8yMDI2Li4uVVNELkgBAAAAIHoFAAMAAAAAAEi8f3pEjd4I/Nh+fkSN3ghAQ0lRLk5BU0RBUTpDQUxNLklRX0RFRl9UQVhfQVNTRVRTX0NVUlJFTlQuOTk5LjI5LzAzLzIwMjYuLi5VU0QuSAEAAAAgegUAAwAAAAAA2X+AekSN3ggO2n1+RI3eCCxDSVEuTkFTREFROkNBTE0uSVFfR1cuOTk1LjI5LzAzLzIwMjYuLi5VU0QuSAEAAAAgegUAAgAAAAYzNS41MjUBCAAAAAUAAAABMQEAAAALLTIwODgzNDc0NjkDAAAAAzE2MAIAAAAEMTE3MQQAAAABMAcAAAAJMy8yOS8yMDI2CAAAAAk1LzMwLzIwMjAJAAAAATDZf4B6RI3eCJkWfX5Ejd4IO0NJUS5OQVNEQVE6Q0FMTS5JUV9GSU5fRElWX0FTU0VUU19MVC45OTQuMjkvMDMvMjAyNi4uLlVTRC5IAQAAACB6BQADAAAAAADZf4B6RI3eCNLAfH5Ejd4IO0NJUS5OQVNEQVE6Q0FMTS5JUV9ERUZfVEFYX0FTU0VUU19MVC45OTUuMjkvMDMvMjAyNi4uLlVTRC5IAQAAACB6BQADAAAAAADZf4B6RI3eCJNrfH5Ejd4IOUNJUS5OQVNEQVE6Q0FMTS5JUV9ORVRfREVCVF9JU1NVRUQuOTk1LjI5LzAzLzIwMjYuLi5VU0QuSAEAAAAgegUAAgAAAAYtMS42OTYBCAAAAAUAAAABMQEAAAALLTIwODgzNDc0NjkDAAAAAzE2MAIAAAAEMjAwMwQAAAABMAcAAAAJMy8yOS8yMDI2CAAAAAk1</t>
  </si>
  <si>
    <t>LzMwLzIwMjAJAAAAATCNgX96RI3eCMlsgH5Ejd4IRUNJUS5OQVNEQVE6Q0FMTS5JUV9PUEVSQVRJTkdfTEVBU0VfTElBQklMSVRJRVMuOTk4LjI5LzAzLzIwMjYuLi5VU0QuSAEAAAAgegUAAwAAAAAAjYF/ekSN3giU939+RI3eCEtDSVEuTkFTREFROkNBTE0uSVFfTE9OR19URVJNX0RFQlRfUkVQQUlEX0VYQ0xfTEVBU0VTLjk5Ny4yOS8wMy8yMDI2Li4uVVNELkgBAAAAIHoFAAIAAAAGLTAuMjE1AQgAAAAFAAAAATEBAAAACy0xOTg2NzA4NDMzAwAAAAMxNjACAAAABTQ4OTg0BAAAAAEwBwAAAAkzLzI5LzIwMjYIAAAACTUvMjgvMjAyMgkAAAABMI2Bf3pEjd4IY9B/fkSN3gg0Q0lRLk5BU0RBUTpDQUxNLklRX0NBU0hfRVFVSVYuOTk3LjI5LzAzLzIwMjYuLi5VU0QuSAEAAAAgegUAAgAAAAY1OS4wODQBCAAAAAUAAAABMQEAAAALLTE5ODY3MDg0MzMDAAAAAzE2MAIAAAAEMTA5NgQAAAABMAcAAAAJMy8yOS8yMDI2CAAAAAk1LzI4LzIwMjIJAAAAATCNgX96RI3eCPBNf35Ejd4IOUNJUS5OQVNEQVE6Q0FMTS5JUV9DQVNIX1NUX0lOVkVTVC4xMDAwLjI5LzAzLzIwMjYuLi5VU0QuSAEAAAAgegUAAgAAAAYxMzkyLjEBCAAAAAUAAAABMQEAAAALLTE5MzQ5NzgzODEDAAAAAzE2MAIAAAAEMTAwMgQAAAABMAcAAAAJMy8yOS8yMDI2CAAAAAk1LzMxLzIwMjUJAAAAATCNgX96RI3eCNL/fn5Ejd4IRUNJUS5O</t>
  </si>
  <si>
    <t>QVNEQVE6Q0FMTS5JUV9TQUxFX1BST0NFRURTX1JFTlRBTF9BU1NFVFMuOTk2LjI5LzAzLzIwMjYuLi5VU0QuSAEAAAAgegUAAwAAAAAApjGAekSN3giHLoJ+RI3eCDtDSVEuTkFTREFROkNBTE0uSVFfQ0FTSF9JTlRFUkVTVF9ORVQuOTk1LjI5LzAzLzIwMjYuLi5VU0QuSAEAAAAgegUAAwAAAAAAG1l/ekSN3ghn4IF+RI3eCD5DSVEuTkFTREFROkNBTE0uSVFfQ0FTSF9JTlRFUkVTVF9GSU5BTi4xMDAwLjI5LzAzLzIwMjYuLi5VU0QuSAEAAAAgegUAAwAAAAAAG1l/ekSN3ghZkoF+RI3eCDtDSVEuTkFTREFROkNBTE0uSVFfQ0FTSF9UQVhFU19JTlZFU1QuOTk1LjI5LzAzLzIwMjYuLi5VU0QuSAEAAAAgegUAAwAAAAAAjYF/ekSN3ghFRIF+RI3eCDdDSVEuTkFTREFROkNBTE0uSVFfVU5MRVZFUkVEX0ZDRi45OTguMjkvMDMvMjAyNi4uLlVTRC5IAQAAACB6BQACAAAACTU1MC41NzgyNQEIAAAABQAAAAExAQAAAAstMTkzNDk3ODQyMAMAAAADMTYwAgAAAAQ0NDIzBAAAAAEwBwAAAAkzLzI5LzIwMjYIAAAACDYvMy8yMDIzCQAAAAEwjYF/ekSN3gjNuoB+RI3eCDVDSVEuTkFTREFROkNBTE0uSVFfUFJFRl9JU1NVRUQuOTk1LjI5LzAzLzIwMjYuLi5VU0QuSAEAAAAgegUAAwAAAAAA1wqAekSN3ghPuYR+RI3eCDdDSVEuTkFTREFROkNBTE0uSVFfQ09NTU9OX0RJVl9DRi45OTYuMjkvMDMvMjAyNi4uLlVT</t>
  </si>
  <si>
    <t>RC5IAQAAACB6BQACAAAABi0xLjY1MgEIAAAABQAAAAExAQAAAAstMjAzNzI0MTcyMQMAAAADMTYwAgAAAAQyMDc0BAAAAAEwBwAAAAkzLzI5LzIwMjYIAAAACTUvMjkvMjAyMQkAAAABMNcKgHpEjd4IP5KEfkSN3gg8Q0lRLk5BU0RBUTpDQUxNLklRX0NPTU1PTl9QUkVGX0RJVl9DRi45OTcuMjkvMDMvMjAyNi4uLlVTRC5IAQAAACB6BQADAAAAAADXCoB6RI3eCDtrhH5Ejd4IQUNJUS5OQVNEQVE6Q0FMTS5JUV9PVEhFUl9GSU5BTkNFX0FDVF9TVVBQTC45OTMuMjkvMDMvMjAyNi4uLlVTRC5IAQAAACB6BQACAAAABTAuMjc5AQgAAAAFAAAAATEBAAAACjIwNDU3NDkzMTADAAAAAzE2MAIAAAAEMjA1MAQAAAABMAcAAAAJMy8yOS8yMDI2CAAAAAg2LzIvMjAxOAkAAAABMKYxgHpEjd4INuKDfkSN3gg0Q0lRLk5BU0RBUTpDQUxNLklRX0RFUFJFX1NVUFAuOTk4LjI5LzAzLzIwMjYuLi5VU0QuSAEAAAAgegUAAgAAAAQ2OS40AQgAAAAFAAAAATEBAAAACy0xOTM0OTc4NDIwAwAAAAMxNjACAAAABDIxNDMEAAAAATAHAAAACTMvMjkvMjAyNggAAAAINi8zLzIwMjMJAAAAATCmMYB6RI3eCC/6gn5Ejd4IOUNJUS5OQVNEQVE6Q0FMTS5JUV9JTlZFU1RfTE9BTlNfQ0YuOTk1LjI5LzAzLzIwMjYuLi5VU0QuSAEAAAAgegUAAwAAAAAA1wqAekSN3gjm3oV+RI3eCDVDSVEuTkFTREFROkNBTE0uSVFfQ0FTSF9JTlZF</t>
  </si>
  <si>
    <t>U1QuOTk2LjI5LzAzLzIwMjYuLi5VU0QuSAEAAAAgegUAAgAAAActNDQuMTkxAQgAAAAFAAAAATEBAAAACy0yMDM3MjQxNzIxAwAAAAMxNjACAAAABDIwMDUEAAAAATAHAAAACTMvMjkvMjAyNggAAAAJNS8yOS8yMDIxCQAAAAEw1wqAekSN3giQt4V+RI3eCDtDSVEuTkFTREFROkNBTE0uSVFfVE9UQUxfREVCVF9JU1NVRUQuOTk0LjI5LzAzLzIwMjYuLi5VU0QuSAEAAAAgegUAAwAAAAAA1wqAekSN3gilVYV+RI3eCDhDSVEuTkFTREFROkNBTE0uSVFfTFRfREVCVF9SRVBBSUQuOTk1LjI5LzAzLzIwMjYuLi5VU0QuSAEAAAAgegUAAgAAAAYtMS42OTYBCAAAAAUAAAABMQEAAAALLTIwODgzNDc0NjkDAAAAAzE2MAIAAAAEMjAzNgQAAAABMAcAAAAJMy8yOS8yMDI2CAAAAAk1LzMwLzIwMjAJAAAAATDXCoB6RI3eCH0uhX5Ejd4IN0NJUS5OQVNEQVE6Q0FMTS5JUV9DT01NT05fSVNTVUVELjk5NC4yOS8wMy8yMDI2Li4uVVNELkgBAAAAIHoFAAMAAAAAANcKgHpEjd4IaeCEfkSN3gg+Q0lRLk5BU0RBUTpDQUxNLklRX0ZJTl9ESVZfREVCVF9DVVJSRU5ULjk5NS4yOS8wMy8yMDI2Li4uVVNELkgBAAAAIHoFAAMAAAAAANl/gHpEjd4IEYF7fkSN3gg5Q0lRLk5BU0RBUTpDQUxNLklRX0ZJTl9ESVZfREVCVF9MVC45OTYuMjkvMDMvMjAyNi4uLlVTRC5IAQAAACB6BQADAAAAAAANp4B6RI3eCECCen5Ejd4ILENJ</t>
  </si>
  <si>
    <t>US5OQVNEQVE6Q0FMTS5JUV9SRS45OTguMjkvMDMvMjAyNi4uLlVTRC5IAQAAACB6BQACAAAACDE1NzEuMTEyAQgAAAAFAAAAATEBAAAACy0xOTM0OTc4NDIwAwAAAAMxNjACAAAABDEyMjIEAAAAATAHAAAACTMvMjkvMjAyNggAAAAINi8zLzIwMjMJAAAAATCKuSx6RI3eCIPneH5Ejd4IQkNJUS5OQVNEQVE6Q0FMTS5JUV9SVUFfQ0FQSVRBTF9MRUFTRV9HUk9TUy4xMDAwLjI5LzAzLzIwMjYuLi5VU0QuSAEAAAAgegUAAwAAAAAAluAsekSN3ggh0Hd+RI3eCD5DSVEuTkFTREFROkNBTE0uSVFfVE9UQUxfRklOQU5DRV9MRUFTRVMuOTk4LjI5LzAzLzIwMjYuLi5VU0QuSAEAAAAgegUAAwAAAAAAugctekSN3gi/rXZ+RI3eCCxDSVEuTkFTREFROkNBTE0uSVFfR1cuOTk2LjI5LzAzLzIwMjYuLi5VU0QuSAEAAAAgegUAAgAAAAYzNS41MjUBCAAAAAUAAAABMQEAAAALLTIwMzcyNDE3MjEDAAAAAzE2MAIAAAAEMTE3MQQAAAABMAcAAAAJMy8yOS8yMDI2CAAAAAk1LzI5LzIwMjEJAAAAATDZf4B6RI3eCJkWfX5Ejd4IO0NJUS5OQVNEQVE6Q0FMTS5JUV9GSU5fRElWX0FTU0VUU19MVC45OTYuMjkvMDMvMjAyNi4uLlVTRC5IAQAAACB6BQADAAAAAADZf4B6RI3eCNrvfH5Ejd4IOkNJUS5OQVNEQVE6Q0FMTS5JUV9MT0FOU19SRUNFSVZfTFQuMTAwMC4yOS8wMy8yMDI2Li4uVVNELkgBAAAAIHoFAAMAAAAAANl/</t>
  </si>
  <si>
    <t>gHpEjd4IiZJ8fkSN3gg2Q0lRLk5BU0RBUTpDQUxNLklRX1RPVEFMX0FTU0VUUy45OTUuMjkvMDMvMjAyNi4uLlVTRC5IAQAAACB6BQACAAAACDEyMDYuNjk0AQgAAAAFAAAAATEBAAAACy0yMDg4MzQ3NDY5AwAAAAMxNjACAAAABDEwMDcEAAAAATAHAAAACTMvMjkvMjAyNggAAAAJNS8zMC8yMDIwCQAAAAEw2X+AekSN3ghlHXx+RI3eCDFDSVEuTkFTREFROkNBTE0uSVFfU1RfREVCVC45OTMuMjkvMDMvMjAyNi4uLlVTRC5IAQAAACB6BQADAAAAAADZf4B6RI3eCJLPe35Ejd4IOENJUS5OQVNEQVE6Q0FMTS5JUV9TVF9OT1RFX1JFQ0VJVi45OTQuMjkvMDMvMjAyNi4uLlVTRC5IAQAAACB6BQADAAAAAABIvH96RI3eCPzYfn5Ejd4IP0NJUS5OQVNEQVE6Q0FMTS5JUV9GSU5fRElWX0xPQU5TX0NVUlJFTlQuOTk3LjI5LzAzLzIwMjYuLi5VU0QuSAEAAAAgegUAAwAAAAAAtViAekSN3ghXPH5+RI3eCEFDSVEuTkFTREFROkNBTE0uSVFfREVGX1RBWF9BU1NFVFNfQ1VSUkVOVC4xMDAwLjI5LzAzLzIwMjYuLi5VU0QuSAEAAAAgegUAAwAAAAAA2X+AekSN3ggO2n1+RI3eCDJDSVEuTkFTREFROkNBTE0uSVFfVE9UQUxfQ0EuOTkzLjI5LzAzLzIwMjYuLi5VU0QuSAEAAAAgegUAAgAAAAY1ODcuNTIBCAAAAAUAAAABMQEAAAAKMjA0NTc0OTMxMAMAAAADMTYwAgAAAAQxMDA4BAAAAAEwBwAAAAkzLzI5LzIwMjYI</t>
  </si>
  <si>
    <t>AAAACDYvMi8yMDE4CQAAAAEw2X+AekSN3ggOs31+RI3eCC5DSVEuTkFTREFROkNBTE0uSVFfTlBQRS45OTMuMjkvMDMvMjAyNi4uLlVTRC5IAQAAACB6BQACAAAABzQyNS4zODQBCAAAAAUAAAABMQEAAAAKMjA0NTc0OTMxMAMAAAADMTYwAgAAAAQxMDA0BAAAAAEwBwAAAAkzLzI5LzIwMjYIAAAACDYvMi8yMDE4CQAAAAEw2X+AekSN3gjgZH1+RI3eCDlDSVEuTkFTREFROkNBTE0uSVFfTkVUX0RFQlRfSVNTVUVELjk5Ni4yOS8wMy8yMDI2Li4uVVNELkgBAAAAIHoFAAIAAAAGLTAuMjA1AQgAAAAFAAAAATEBAAAACy0yMDM3MjQxNzIxAwAAAAMxNjACAAAABDIwMDMEAAAAATAHAAAACTMvMjkvMjAyNggAAAAJNS8yOS8yMDIxCQAAAAEwjYF/ekSN3gjJbIB+RI3eCDdDSVEuTkFTREFROkNBTE0uSVFfRE9fRklOQU5DRV9DRi45OTMuMjkvMDMvMjAyNi4uLlVTRC5IAQAAACB6BQADAAAAAACNgX96RI3eCIpFgH5Ejd4IRUNJUS5OQVNEQVE6Q0FMTS5JUV9PUEVSQVRJTkdfTEVBU0VfTElBQklMSVRJRVMuOTk5LjI5LzAzLzIwMjYuLi5VU0QuSAEAAAAgegUAAwAAAAAAjYF/ekSN3giU939+RI3eCEtDSVEuTkFTREFROkNBTE0uSVFfTE9OR19URVJNX0RFQlRfUkVQQUlEX0VYQ0xfTEVBU0VTLjk5OC4yOS8wMy8yMDI2Li4uVVNELkgBAAAAIHoFAAIAAAAGLTAuMjI0AQgAAAAFAAAAATEBAAAACy0xOTM0OTc4</t>
  </si>
  <si>
    <t>NDIwAwAAAAMxNjACAAAABTQ4OTg0BAAAAAEwBwAAAAkzLzI5LzIwMjYIAAAACDYvMy8yMDIzCQAAAAEwjYF/ekSN3ghj0H9+RI3eCDRDSVEuTkFTREFROkNBTE0uSVFfQ0FTSF9FUVVJVi45OTguMjkvMDMvMjAyNi4uLlVTRC5IAQAAACB6BQACAAAABzI5Mi44MjQBCAAAAAUAAAABMQEAAAALLTE5MzQ5Nzg0MjADAAAAAzE2MAIAAAAEMTA5NgQAAAABMAcAAAAJMy8yOS8yMDI2CAAAAAg2LzMvMjAyMwkAAAABMI2Bf3pEjd4I8E1/fkSN3gg4Q0lRLk5BU0RBUTpDQUxNLklRX1NQRUNJQUxfRElWX0NGLjk5Ni4yOS8wMy8yMDI2Li4uVVNELkgBAAAAIHoFAAMAAAAAANcKgHpEjd4IKwmEfkSN3gg0Q0lRLk5BU0RBUTpDQUxNLklRX0RFUFJFX1NVUFAuOTk5LjI5LzAzLzIwMjYuLi5VU0QuSAEAAAAgegUAAgAAAAQ3Ny4yAQgAAAAFAAAAATEBAAAACy0xOTM0OTc4NDgwAwAAAAMxNjACAAAABDIxNDMEAAAAATAHAAAACTMvMjkvMjAyNggAAAAINi8xLzIwMjQJAAAAATCmMYB6RI3eCC/6gn5Ejd4IRkNJUS5OQVNEQVE6Q0FMTS5JUV9EQV9TVVBQTF9DRl9FWENMX09QRVJfTEVBU0VTLjk5My4yOS8wMy8yMDI2Li4uVVNELkgBAAAAIHoFAAIAAAAGNTEuMjI2AQgAAAAFAAAAATEBAAAACjIwNDU3NDkzMTADAAAAAzE2MAIAAAAFNDg5ODMEAAAAATAHAAAACTMvMjkvMjAyNggAAAAINi8yLzIwMTgJAAAAATCmMYB6</t>
  </si>
  <si>
    <t>RI3eCPHSgn5Ejd4IO0NJUS5OQVNEQVE6Q0FMTS5JUV9DQVNIX0lOVEVSRVNUX05FVC45OTYuMjkvMDMvMjAyNi4uLlVTRC5IAQAAACB6BQADAAAAAAAbWX96RI3eCGfggX5Ejd4IO0NJUS5OQVNEQVE6Q0FMTS5JUV9DQVNIX1RBWEVTX0lOVkVTVC45OTYuMjkvMDMvMjAyNi4uLlVTRC5IAQAAACB6BQADAAAAAACNgX96RI3eCM0cgX5Ejd4IOENJUS5OQVNEQVE6Q0FMTS5JUV9TVF9ERUJUX1JFUEFJRC45OTguMjkvMDMvMjAyNi4uLlVTRC5IAQAAACB6BQADAAAAAADXCoB6RI3eCH0uhX5Ejd4IN0NJUS5OQVNEQVE6Q0FMTS5JUV9DT01NT05fSVNTVUVELjk5NS4yOS8wMy8yMDI2Li4uVVNELkgBAAAAIHoFAAMAAAAAANcKgHpEjd4IaeCEfkSN3gg1Q0lRLk5BU0RBUTpDQUxNLklRX1BSRUZfSVNTVUVELjk5Ni4yOS8wMy8yMDI2Li4uVVNELkgBAAAAIHoFAAMAAAAAANcKgHpEjd4IaeCEfkSN3gg3Q0lRLk5BU0RBUTpDQUxNLklRX0NPTU1PTl9ESVZfQ0YuOTk3LjI5LzAzLzIwMjYuLi5VU0QuSAEAAAAgegUAAgAAAAYtNi4xMTcBCAAAAAUAAAABMQEAAAALLTE5ODY3MDg0MzMDAAAAAzE2MAIAAAAEMjA3NAQAAAABMAcAAAAJMy8yOS8yMDI2CAAAAAk1LzI4LzIwMjIJAAAAATDXCoB6RI3eCD+ShH5Ejd4IPENJUS5OQVNEQVE6Q0FMTS5JUV9DT01NT05fUFJFRl9ESVZfQ0YuOTk4LjI5LzAzLzIwMjYuLi5V</t>
  </si>
  <si>
    <t>U0QuSAEAAAAgegUAAwAAAAAA1wqAekSN3gg7a4R+RI3eCDVDSVEuTkFTREFROkNBTE0uSVFfU0FMRV9QUEVfQ0YuOTk5LjI5LzAzLzIwMjYuLi5VU0QuSAEAAAAgegUAAgAAAAUwLjI3MgEIAAAABQAAAAExAQAAAAstMTkzNDk3ODQ4MAMAAAADMTYwAgAAAAQyMDQyBAAAAAEwBwAAAAkzLzI5LzIwMjYIAAAACDYvMS8yMDI0CQAAAAEwi+N/ekSN3ghQe4Z+RI3eCDdDSVEuTkFTREFROkNBTE0uSVFfU0FMRV9JTlRBTl9DRi45OTQuMjkvMDMvMjAyNi4uLlVTRC5IAQAAACB6BQADAAAAAADXCoB6RI3eCOsFhn5Ejd4IOUNJUS5OQVNEQVE6Q0FMTS5JUV9JTlZFU1RfTE9BTlNfQ0YuOTk2LjI5LzAzLzIwMjYuLi5VU0QuSAEAAAAgegUAAwAAAAAA1wqAekSN3gjm3oV+RI3eCDVDSVEuTkFTREFROkNBTE0uSVFfQ0FTSF9JTlZFU1QuOTk3LjI5LzAzLzIwMjYuLi5VU0QuSAEAAAAgegUAAgAAAAgtMTE3LjAyMQEIAAAABQAAAAExAQAAAAstMTk4NjcwODQzMwMAAAADMTYwAgAAAAQyMDA1BAAAAAEwBwAAAAkzLzI5LzIwMjYIAAAACTUvMjgvMjAyMgkAAAABMNcKgHpEjd4IunyFfkSN3gg4Q0lRLk5BU0RBUTpDQUxNLklRX0xUX0RFQlRfSVNTVUVELjk5Ny4yOS8wMy8yMDI2Li4uVVNELkgBAAAAIHoFAAMAAAAAANcKgHpEjd4IpVWFfkSN3gg7Q0lRLk5BU0RBUTpDQUxNLklRX1BST1ZfQkFEX0RFQlRTX0NGLjk5</t>
  </si>
  <si>
    <t>Ny4yOS8wMy8yMDI2Li4uVVNELkgBAAAAIHoFAAMAAAAAAIvjf3pEjd4IAQqIfkSN3ggzQ0lRLk5BU0RBUTpDQUxNLklRX0NIQU5HRV9BUi45OTMuMjkvMDMvMjAyNi4uLlVTRC5IAQAAACB6BQACAAAABjMxLjQwMgEIAAAABQAAAAExAQAAAAoyMDQ1NzQ5MzEwAwAAAAMxNjACAAAABDIwMTgEAAAAATAHAAAACTMvMjkvMjAyNggAAAAINi8yLzIwMTgJAAAAATCL4396RI3eCNeUh35Ejd4IM0NJUS5OQVNEQVE6Q0FMTS5JUV9DSEFOR0VfQVAuOTk1LjI5LzAzLzIwMjYuLi5VU0QuSAEAAAAgegUAAgAAAAYxNy42NzkBCAAAAAUAAAABMQEAAAALLTIwODgzNDc0NjkDAAAAAzE2MAIAAAAEMjAxNwQAAAABMAcAAAAJMy8yOS8yMDI2CAAAAAk1LzMwLzIwMjAJAAAAATCL4396RI3eCKM+h35Ejd4IPENJUS5OQVNEQVE6Q0FMTS5JUV9DSEFOR0VfVU5FQVJOX1JFVi4xMDAwLjI5LzAzLzIwMjYuLi5VU0QuSAEAAAAgegUAAwAAAAAAi+N/ekSN3gijPod+RI3eCDNDSVEuTkFTREFROkNBTE0uSVFfQ0FTSF9PUEVSLjk5Ni4yOS8wMy8yMDI2Li4uVVNELkgBAAAAIHoFAAIAAAAGMjYuMTM2AQgAAAAFAAAAATEBAAAACy0yMDM3MjQxNzIxAwAAAAMxNjACAAAABDIwMDYEAAAAATAHAAAACTMvMjkvMjAyNggAAAAJNS8yOS8yMDIxCQAAAAEwi+N/ekSN3ghnyYZ+RI3eCDtDSVEuTkFTREFROkNBTE0uSVFfR1dfSU5UQU5f</t>
  </si>
  <si>
    <t>QU1PUlRfQ0YuOTk4LjI5LzAzLzIwMjYuLi5VU0QuSAEAAAAgegUAAgAAAAUyLjIzNAEIAAAABQAAAAExAQAAAAstMTkzNDk3ODQyMAMAAAADMTYwAgAAAAQyMTgyBAAAAAEwBwAAAAkzLzI5LzIwMjYIAAAACDYvMy8yMDIzCQAAAAEwSLx/ekSN3gjMVol+RI3eCDVDSVEuTkFTREFROkNBTE0uSVFfT1RIRVJfQU1PUlQuOTk4LjI5LzAzLzIwMjYuLi5VU0QuSAEAAAAgegUAAwAAAAAASLx/ekSN3giXCIl+RI3eCDxDSVEuTkFTREFROkNBTE0uSVFfQVNTRVRfV1JJVEVET1dOX0NGLjk5Ni4yOS8wMy8yMDI2Li4uVVNELkgBAAAAIHoFAAMAAAAAAIvjf3pEjd4ITqaIfkSN3gg5Q0lRLk5BU0RBUTpDQUxNLklRX0NSRURJVF9MT1NTX0NGLjEwMDAuMjkvMDMvMjAyNi4uLlVTRC5IAQAAACB6BQADAAAAAACL4396RI3eCD5YiH5Ejd4IOENJUS5OQVNEQVE6Q0FMTS5JUV9TVE9DS19CQVNFRF9DRi45OTQuMjkvMDMvMjAyNi4uLlVTRC5IAQAAACB6BQACAAAABTMuNjE5AQgAAAAFAAAAATEBAAAACy0yMTQyNDI5MDM5AwAAAAMxNjACAAAABDIxMjcEAAAAATAHAAAACTMvMjkvMjAyNggAAAAINi8xLzIwMTkJAAAAATCL4396RI3eCEUxiH5Ejd4IOENJUS5OQVNEQVE6Q0FMTS5JUV9TVE9DS19CQVNFRF9BVC45OTguMjkvMDMvMjAyNi4uLlVTRC5IAQAAACB6BQADAAAAAABIvH96RI3eCEbKin5Ejd4IOkNJUS5OQVNE</t>
  </si>
  <si>
    <t>QVE6Q0FMTS5JUV9SRVNUUl9TVE9DS19DT01QLjk5Ni4yOS8wMy8yMDI2Li4uVVNELkgBAAAAIHoFAAMAAAAAAEi8f3pEjd4ICXyKfkSN3gg8Q0lRLk5BU0RBUTpDQUxNLklRX1NUT0NLX09QVElPTlNfQ09NUC45OTYuMjkvMDMvMjAyNi4uLlVTRC5IAQAAACB6BQADAAAAAABIvH96RI3eCAHziX5Ejd4IP0NJUS5OQVNEQVE6Q0FMTS5JUV9TVE9DS19CQVNFRF9DT01QX1RBWC4xMDAwLjI5LzAzLzIwMjYuLi5VU0QuSAEAAAAgegUAAwAAAAAASLx/ekSN3gjKy4l+RI3eCC9DSVEuTkFTREFROkNBTE0uSVFfTklfQ0YuOTk0LjI5LzAzLzIwMjYuLi5VU0QuSAEAAAAgegUAAgAAAAY1NC4yMjkBCAAAAAUAAAABMQEAAAALLTIxNDI0MjkwMzkDAAAAAzE2MAIAAAAEMjE1MAQAAAABMAcAAAAJMy8yOS8yMDI2CAAAAAg2LzEvMjAxOQkAAAABMEi8f3pEjd4I4X2JfkSN3gg7Q0lRLk5BU0RBUTpDQUxNLklRX0lOU19TRVRUTEVfU1VQUExFLjk5OC4yOS8wMy8yMDI2Li4uVVNELkgBAAAAIHoFAAMAAAAAAJSAlnpEjd4IzBaMfkSN3gg7Q0lRLk5BU0RBUTpDQUxNLklRX05FR0FUSVZFX0dXX0FNT1JULjk5Ni4yOS8wMy8yMDI2Li4uVVNELkgBAAAAIHoFAAMAAAAAAJSAlnpEjd4Iv9uLfkSN3gg4Q0lRLk5BU0RBUTpDQUxNLklRX1NUT0NLX0JBU0VEX1NNLjk5NC4yOS8wMy8yMDI2Li4uVVNELkgBAAAAIHoFAAMAAAAA</t>
  </si>
  <si>
    <t>AJSAlnpEjd4Id2aLfkSN3gg5Q0lRLk5BU0RBUTpDQUxNLklRX1NUT0NLX0JBU0VEX0dBLjEwMDAuMjkvMDMvMjAyNi4uLlVTRC5IAQAAACB6BQADAAAAAACNgX96RI3eCFo/i35Ejd4IQ0NJUS5OQVNEQVE6Q0FMTS5JUV9TVE9DS19CQVNFRF9FWFBMT1JFX0RSSUxMLjk5NC4yOS8wMy8yMDI2Li4uVVNELkgBAAAAIHoFAAMAAAAAAI2Bf3pEjd4IRPGKfkSN3gg7Q0lRLk5BU0RBUTpDQUxNLklRX0xPTkdfVEVSTV9MRUFTRVMuMTAwMC4yOS8wMy8yMDI2Li4uVVNELkgBAAAAIHoFAAMAAAAAAA2ngHpEjd4IQIJ6fkSN3gg3Q0lRLk5BU0RBUTpDQUxNLklRX09USEVSX0xJQUJfTFQuOTk4LjI5LzAzLzIwMjYuLi5VU0QuSAEAAAAgegUAAgAAAAU5Ljk5OQEIAAAABQAAAAExAQAAAAstMTkzNDk3ODQyMAMAAAADMTYwAgAAAAQxMDYyBAAAAAEwBwAAAAkzLzI5LzIwMjYIAAAACDYvMy8yMDIzCQAAAAEwDaeAekSN3ggf5nl+RI3eCEFDSVEuTkFTREFROkNBTE0uSVFfUlVBX0NBUElUQUxfTEVBU0VfR1JPU1MuOTk2LjI5LzAzLzIwMjYuLi5VU0QuSAEAAAAgegUAAgAAAAUwLjUyNQEIAAAABQAAAAExAQAAAAstMjAzNzI0MTcyMQMAAAADMTYwAgAAAAU0ODM3MQQAAAABMAcAAAAJMy8yOS8yMDI2CAAAAAk1LzI5LzIwMjEJAAAAATCW4Cx6RI3eCFj3d35Ejd4IPkNJUS5OQVNEQVE6Q0FMTS5JUV9UT1RBTF9GSU5B</t>
  </si>
  <si>
    <t>TkNFX0xFQVNFUy45OTkuMjkvMDMvMjAyNi4uLlVTRC5IAQAAACB6BQADAAAAAAC6By16RI3eCL+tdn5Ejd4IQUNJUS5OQVNEQVE6Q0FMTS5JUV9BU1NFVF9XUklURURPV05fU1VQUExFLjEwMDAuMjkvMDMvMjAyNi4uLlVTRC5IAQAAACB6BQADAAAAAACUgJZ6RI3eCCSMjH5Ejd4ILENJUS5OQVNEQVE6Q0FMTS5JUV9BRC45OTcuMjkvMDMvMjAyNi4uLlVTRC5IAQAAACB6BQACAAAACC02NzcuNzg4AQgAAAAFAAAAATEBAAAACy0xOTg2NzA4NDMzAwAAAAMxNjACAAAABDEwNzUEAAAAATAHAAAACTMvMjkvMjAyNggAAAAJNS8yOC8yMDIyCQAAAAEw2X+AekSN3gjgZH1+RI3eCDtDSVEuTkFTREFROkNBTE0uSVFfRklOX0RJVl9BU1NFVFNfTFQuOTk3LjI5LzAzLzIwMjYuLi5VU0QuSAEAAAAgegUAAwAAAAAA2X+AekSN3gja73x+RI3eCDZDSVEuTkFTREFROkNBTE0uSVFfVE9UQUxfQVNTRVRTLjk5Ni4yOS8wMy8yMDI2Li4uVVNELkgBAAAAIHoFAAIAAAAIMTIyOS4xNzQBCAAAAAUAAAABMQEAAAALLTIwMzcyNDE3MjEDAAAAAzE2MAIAAAAEMTAwNwQAAAABMAcAAAAJMy8yOS8yMDI2CAAAAAk1LzI5LzIwMjEJAAAAATDZf4B6RI3eCGdEfH5Ejd4IMUNJUS5OQVNEQVE6Q0FMTS5JUV9TVF9ERUJULjk5NC4yOS8wMy8yMDI2Li4uVVNELkgBAAAAIHoFAAMAAAAAANl/gHpEjd4Iks97fkSN3gg+Q0lRLk5BU0RB</t>
  </si>
  <si>
    <t>UTpDQUxNLklRX0ZJTl9ESVZfREVCVF9DVVJSRU5ULjk5Ni4yOS8wMy8yMDI2Li4uVVNELkgBAAAAIHoFAAMAAAAAANl/gHpEjd4IEYF7fkSN3gg4Q0lRLk5BU0RBUTpDQUxNLklRX0NBU0hfU1RfSU5WRVNULjk5My4yOS8wMy8yMDI2Li4uVVNELkgBAAAAIHoFAAIAAAAHMzMxLjAxNwEIAAAABQAAAAExAQAAAAoyMDQ1NzQ5MzEwAwAAAAMxNjACAAAABDEwMDIEAAAAATAHAAAACTMvMjkvMjAyNggAAAAINi8yLzIwMTgJAAAAATCNgX96RI3eCP0mf35Ejd4INkNJUS5OQVNEQVE6Q0FMTS5JUV9PVEhFUl9SRUNFSVYuOTk3LjI5LzAzLzIwMjYuLi5VU0QuSAEAAAAgegUAAgAAAAY1MC4yOTUBCAAAAAUAAAABMQEAAAALLTE5ODY3MDg0MzMDAAAAAzE2MAIAAAAEMTIwNgQAAAABMAcAAAAJMy8yOS8yMDI2CAAAAAk1LzI4LzIwMjIJAAAAATCNgX96RI3eCPzYfn5Ejd4IM0NJUS5OQVNEQVE6Q0FMTS5JUV9JTlZFTlRPUlkuOTkzLjI5LzAzLzIwMjYuLi5VU0QuSAEAAAAgegUAAgAAAAcxNjguNjQ0AQgAAAAFAAAAATEBAAAACjIwNDU3NDkzMTADAAAAAzE2MAIAAAAEMTA0MwQAAAABMAcAAAAJMy8yOS8yMDI2CAAAAAg2LzIvMjAxOAkAAAABMLVYgHpEjd4IcYt+fkSN3gg/Q0lRLk5BU0RBUTpDQUxNLklRX0ZJTl9ESVZfTE9BTlNfQ1VSUkVOVC45OTguMjkvMDMvMjAyNi4uLlVTRC5IAQAAACB6BQADAAAAAAC1</t>
  </si>
  <si>
    <t>WIB6RI3eCFc8fn5Ejd4IMkNJUS5OQVNEQVE6Q0FMTS5JUV9UT1RBTF9DQS45OTQuMjkvMDMvMjAyNi4uLlVTRC5IAQAAACB6BQACAAAABzU2Ny43NTMBCAAAAAUAAAABMQEAAAALLTIxNDI0MjkwMzkDAAAAAzE2MAIAAAAEMTAwOAQAAAABMAcAAAAJMy8yOS8yMDI2CAAAAAg2LzEvMjAxOQkAAAABMNl/gHpEjd4IDrN9fkSN3gg7Q0lRLk5BU0RBUTpDQUxNLklRX0NBU0hfVEFYRVNfSU5WRVNULjk5Ny4yOS8wMy8yMDI2Li4uVVNELkgBAAAAIHoFAAMAAAAAAI2Bf3pEjd4IRUSBfkSN3gg5Q0lRLk5BU0RBUTpDQUxNLklRX05FVF9ERUJUX0lTU1VFRC45OTkuMjkvMDMvMjAyNi4uLlVTRC5IAQAAACB6BQACAAAABi0wLjIxNAEIAAAABQAAAAExAQAAAAstMTkzNDk3ODQ4MAMAAAADMTYwAgAAAAQyMDAzBAAAAAEwBwAAAAkzLzI5LzIwMjYIAAAACDYvMS8yMDI0CQAAAAEwjYF/ekSN3gjJbIB+RI3eCDZDSVEuTkFTREFROkNBTE0uSVFfRE9fSU5WRVNUX0NGLjk5Ni4yOS8wMy8yMDI2Li4uVVNELkgBAAAAIHoFAAMAAAAAAI2Bf3pEjd4Iqh6AfkSN3ghLQ0lRLk5BU0RBUTpDQUxNLklRX0xPTkdfVEVSTV9ERUJUX1JFUEFJRF9FWENMX0xFQVNFUy45OTkuMjkvMDMvMjAyNi4uLlVTRC5IAQAAACB6BQACAAAABi0wLjIxNAEIAAAABQAAAAExAQAAAAstMTkzNDk3ODQ4MAMAAAADMTYwAgAAAAU0ODk4NAQAAAAB</t>
  </si>
  <si>
    <t>MAcAAAAJMy8yOS8yMDI2CAAAAAg2LzEvMjAyNAkAAAABMI2Bf3pEjd4IY9B/fkSN3gg0Q0lRLk5BU0RBUTpDQUxNLklRX0NBU0hfRVFVSVYuOTk5LjI5LzAzLzIwMjYuLi5VU0QuSAEAAAAgegUAAgAAAAcyMzcuODc4AQgAAAAFAAAAATEBAAAACy0xOTM0OTc4NDgwAwAAAAMxNjACAAAABDEwOTYEAAAAATAHAAAACTMvMjkvMjAyNggAAAAINi8xLzIwMjQJAAAAATCNgX96RI3eCPBNf35Ejd4IPUNJUS5OQVNEQVE6Q0FMTS5JUV9EQV9TVVBQTF9QQVJUSUFMX0NGLjk5My4yOS8wMy8yMDI2Li4uVVNELkgBAAAAIHoFAAMAAAAAAKYxgHpEjd4IJDWDfkSN3gg1Q0lRLk5BU0RBUTpDQUxNLklRX0RFUFJFX1NVUFAuMTAwMC4yOS8wMy8yMDI2Li4uVVNELkgBAAAAIHoFAAIAAAAEOTEuMQEIAAAABQAAAAExAQAAAAstMTkzNDk3ODM4MQMAAAADMTYwAgAAAAQyMTQzBAAAAAEwBwAAAAkzLzI5LzIwMjYIAAAACTUvMzEvMjAyNQkAAAABMKYxgHpEjd4IOiGDfkSN3ggxQ0lRLk5BU0RBUTpDQUxNLklRX0RFUF9SVUEuOTk5LjI5LzAzLzIwMjYuLi5VU0QuSAEAAAAgegUAAwAAAAAApjGAekSN3gjx0oJ+RI3eCD5DSVEuTkFTREFROkNBTE0uSVFfTkVHQVRJVkVfR1dfQU1PUlRfQ0YuOTkzLjI5LzAzLzIwMjYuLi5VU0QuSAEAAAAgegUAAwAAAAAApjGAekSN3gipfIJ+RI3eCDtDSVEuTkFTREFROkNBTE0uSVFfQ0FT</t>
  </si>
  <si>
    <t>SF9JTlRFUkVTVF9ORVQuOTk3LjI5LzAzLzIwMjYuLi5VU0QuSAEAAAAgegUAAwAAAAAAG1l/ekSN3gh2B4J+RI3eCDdDSVEuTkFTREFROkNBTE0uSVFfQ09NTU9OX0RJVl9DRi45OTguMjkvMDMvMjAyNi4uLlVTRC5IAQAAACB6BQACAAAACC0yNTIuMjkyAQgAAAAFAAAAATEBAAAACy0xOTM0OTc4NDIwAwAAAAMxNjACAAAABDIwNzQEAAAAATAHAAAACTMvMjkvMjAyNggAAAAINi8zLzIwMjMJAAAAATDXCoB6RI3eCD+ShH5Ejd4IPENJUS5OQVNEQVE6Q0FMTS5JUV9DT01NT05fUFJFRl9ESVZfQ0YuOTk5LjI5LzAzLzIwMjYuLi5VU0QuSAEAAAAgegUAAwAAAAAA1wqAekSN3gjzQ4R+RI3eCDhDSVEuTkFTREFROkNBTE0uSVFfU1BFQ0lBTF9ESVZfQ0YuOTk3LjI5LzAzLzIwMjYuLi5VU0QuSAEAAAAgegUAAwAAAAAA1wqAekSN3ggrCYR+RI3eCDRDSVEuTkFTREFROkNBTE0uSVFfQ0FTSF9GSU5BTi45OTcuMjkvMDMvMjAyNi4uLlVTRC5IAQAAACB6BQACAAAABi03LjQ1NgEIAAAABQAAAAExAQAAAAstMTk4NjcwODQzMwMAAAADMTYwAgAAAAQyMDA0BAAAAAEwBwAAAAkzLzI5LzIwMjYIAAAACTUvMjgvMjAyMgkAAAABMKYxgHpEjd4II7uDfkSN3gg0Q0lRLk5BU0RBUTpDQUxNLklRX05FVF9DSEFOR0UuOTkzLjI5LzAzLzIwMjYuLi5VU0QuSAEAAAAgegUAAgAAAAYzMC44NjcBCAAAAAUAAAABMQEAAAAK</t>
  </si>
  <si>
    <t>MjA0NTc0OTMxMAMAAAADMTYwAgAAAAQyMDkzBAAAAAEwBwAAAAkzLzI5LzIwMjYIAAAACDYvMi8yMDE4CQAAAAEwpjGAekSN3gj0k4N+RI3eCDVDSVEuTkFTREFROkNBTE0uSVFfQ0FTSF9JTlZFU1QuOTk4LjI5LzAzLzIwMjYuLi5VU0QuSAEAAAAgegUAAgAAAAgtMzc1LjExMQEIAAAABQAAAAExAQAAAAstMTkzNDk3ODQyMAMAAAADMTYwAgAAAAQyMDA1BAAAAAEwBwAAAAkzLzI5LzIwMjYIAAAACDYvMy8yMDIzCQAAAAEw1wqAekSN3gi6fIV+RI3eCDhDSVEuTkFTREFROkNBTE0uSVFfTFRfREVCVF9JU1NVRUQuOTk4LjI5LzAzLzIwMjYuLi5VU0QuSAEAAAAgegUAAwAAAAAA1wqAekSN3gilVYV+RI3eCDhDSVEuTkFTREFROkNBTE0uSVFfU1RfREVCVF9SRVBBSUQuOTk5LjI5LzAzLzIwMjYuLi5VU0QuSAEAAAAgegUAAwAAAAAA1wqAekSN3gh9LoV+RI3eCDdDSVEuTkFTREFROkNBTE0uSVFfQ09NTU9OX0lTU1VFRC45OTYuMjkvMDMvMjAyNi4uLlVTRC5IAQAAACB6BQACAAAABTAuMDA1AQgAAAAFAAAAATEBAAAACy0yMDM3MjQxNzIxAwAAAAMxNjACAAAABDIxNjkEAAAAATAHAAAACTMvMjkvMjAyNggAAAAJNS8yOS8yMDIxCQAAAAEw1wqAekSN3gifB4V+RI3eCDVDSVEuTkFTREFROkNBTE0uSVFfUFJFRl9JU1NVRUQuOTk3LjI5LzAzLzIwMjYuLi5VU0QuSAEAAAAgegUAAwAAAAAA1wqAekSN3ghp</t>
  </si>
  <si>
    <t>4IR+RI3eCDhDSVEuTkFTREFROkNBTE0uSVFfU1BFQ0lBTF9ESVZfQ0YuOTkzLjI5LzAzLzIwMjYuLi5VU0QuSAEAAAAgegUAAwAAAAAA1wqAekSN3ggrCYR+RI3eCDhDSVEuTkFTREFROkNBTE0uSVFfRE9fRklOQU5DRV9DRi4xMDAwLjI5LzAzLzIwMjYuLi5VU0QuSAEAAAAgegUAAwAAAAAAjYF/ekSN3giqHoB+RI3eCDNDSVEuTkFTREFROkNBTE0uSVFfRElWRVNUX0NGLjk5My4yOS8wMy8yMDI2Li4uVVNELkgBAAAAIHoFAAMAAAAAANcKgHpEjd4IOVSGfkSN3gg3Q0lRLk5BU0RBUTpDQUxNLklRX1NBTEVfSU5UQU5fQ0YuOTk1LjI5LzAzLzIwMjYuLi5VU0QuSAEAAAAgegUAAwAAAAAA1wqAekSN3gjrBYZ+RI3eCDlDSVEuTkFTREFROkNBTE0uSVFfSU5WRVNUX0xPQU5TX0NGLjk5Ny4yOS8wMy8yMDI2Li4uVVNELkgBAAAAIHoFAAMAAAAAANcKgHpEjd4I5t6FfkSN3gg8Q0lRLk5BU0RBUTpDQUxNLklRX1NUT0NLX09QVElPTlNfQ09NUC45OTMuMjkvMDMvMjAyNi4uLlVTRC5IAQAAACB6BQADAAAAAABIvH96RI3eCAHziX5Ejd4IOkNJUS5OQVNEQVE6Q0FMTS5JUV9TVE9DS19CQVNFRF9DT01QLjk5OC4yOS8wMy8yMDI2Li4uVVNELkgBAAAAIHoFAAMAAAAAAEi8f3pEjd4IsaSJfkSN3gg0Q0lRLk5BU0RBUTpDQUxNLklRX09JTF9JTVBBSVIuOTk5LjI5LzAzLzIwMjYuLi5VU0QuSAEAAAAgegUAAwAA</t>
  </si>
  <si>
    <t>AAAASLx/ekSN3giTL4l+RI3eCDNDSVEuTkFTREFROkNBTE0uSVFfQ0hBTkdFX0FQLjk5NC4yOS8wMy8yMDI2Li4uVVNELkgBAAAAIHoFAAIAAAAHLTE0LjMzOAEIAAAABQAAAAExAQAAAAstMjE0MjQyOTAzOQMAAAADMTYwAgAAAAQyMDE3BAAAAAEwBwAAAAkzLzI5LzIwMjYIAAAACDYvMS8yMDE5CQAAAAEwi+N/ekSN3gibbYd+RI3eCDNDSVEuTkFTREFROkNBTE0uSVFfRElWRVNUX0NGLjk5Ny4yOS8wMy8yMDI2Li4uVVNELkgBAAAAIHoFAAMAAAAAANcKgHpEjd4IOVSGfkSN3ghBQ0lRLk5BU0RBUTpDQUxNLklRX0VYUExPUkVfRFJJTExfRVhQX1RPVEFMLjk5NC4yOS8wMy8yMDI2Li4uVVNELkgBAAAAIHoFAAMAAAAAAIpZlnpEjd4IkoqNfkSN3ghCQ0lRLk5BU0RBUTpDQUxNLklRX0lNUFVUX09QRVJfTEVBU0VfSU5UX0VYUC45OTguMjkvMDMvMjAyNi4uLlVTRC5IAQAAACB6BQADAAAAAACKWZZ6RI3eCHMojX5Ejd4IPENJUS5OQVNEQVE6Q0FMTS5JUV9SRVNUUlVDVFVSRV9TVVBQTEUuOTk5LjI5LzAzLzIwMjYuLi5VU0QuSAEAAAAgegUAAwAAAAAAilmWekSN3ghI2ox+RI3eCDlDSVEuTkFTREFROkNBTE0uSVFfU1RPQ0tfQkFTRURfU0dBLjk5OS4yOS8wMy8yMDI2Li4uVVNELkgBAAAAIHoFAAMAAAAAAI2Bf3pEjd4ITxiLfkSN3gg4Q0lRLk5BU0RBUTpDQUxNLklRX1NUT0NLX0JBU0VEX0FULjk5</t>
  </si>
  <si>
    <t>Ny4yOS8wMy8yMDI2Li4uVVNELkgBAAAAIHoFAAMAAAAAAEi8f3pEjd4IRsqKfkSN3gg1Q0lRLk5BU0RBUTpDQUxNLklRX0lOVF9FWFBfTFRELjk5OS4yOS8wMy8yMDI2Li4uVVNELkgBAAAAIHoFAAIAAAAFMC41NDkBCAAAAAUAAAABMQEAAAALLTE5MzQ5Nzg0ODADAAAAAzE2MAIAAAAEMzEwMQQAAAABMAcAAAAJMy8yOS8yMDI2CAAAAAg2LzEvMjAyNAkAAAABMH0ylnpEjd4In+CPfkSN3gg9Q0lRLk5BU0RBUTpDQUxNLklRX05PTkNBU0hfUEVOU0lPTl9FWFAuOTk0LjI5LzAzLzIwMjYuLi5VU0QuSAEAAAAgegUAAgAAAAUwLjM3NwEIAAAABQAAAAExAQAAAAstMjE0MjQyOTAzOQMAAAADMTYwAgAAAAUyMTY3OAQAAAABMAcAAAAJMy8yOS8yMDI2CAAAAAg2LzEvMjAxOQkAAAABMH0ylnpEjd4IrJKPfkSN3gg8Q0lRLk5BU0RBUTpDQUxNLklRX0RJU1RSSUJVVEFCTEVfQ0FTSC45OTkuMjkvMDMvMjAyNi4uLlVTRC5IAQAAACB6BQADAAAAAAB9MpZ6RI3eCJxrj35Ejd4IOUNJUS5OQVNEQVE6Q0FMTS5JUV9TQUxFU19NQVJLRVRJTkcuOTk2LjI5LzAzLzIwMjYuLi5VU0QuSAEAAAAgegUAAwAAAAAAilmWekSN3ggrnI5+RI3eCDNDSVEuTkFTREFROkNBTE0uSVFfUkRfRVhQX0ZOLjk5OC4yOS8wMy8yMDI2Li4uVVNELkgBAAAAIHoFAAMAAAAAAIpZlnpEjd4IEU6OfkSN3gg7Q0lRLk5BU0RBUTpDQUxNLklR</t>
  </si>
  <si>
    <t>X0lOVkVTVE1FTlRfSU5DT01FLjk5Ny4yOS8wMy8yMDI2Li4uVVNELkgBAAAAIHoFAAMAAAAAAFcLlnpEjd4IPVSRfkSN3ghBQ0lRLk5BU0RBUTpDQUxNLklRX0VYQ0lTRV9UQVhFU19JTkNMX1NBTEVTLjk5Ny4yOS8wMy8yMDI2Li4uVVNELkgBAAAAIHoFAAMAAAAAAFcLlnpEjd4IIAaRfkSN3gg8Q0lRLk5BU0RBUTpDQUxNLklRX0NVUlJfRk9SRUlHTl9UQVhFUy45OTcuMjkvMDMvMjAyNi4uLlVTRC5IAQAAACB6BQADAAAAAABXC5Z6RI3eCBXfkH5Ejd4IQENJUS5OQVNEQVE6Q0FMTS5JUV9ERUZFUlJFRF9GT1JFSUdOX1RBWEVTLjk5My4yOS8wMy8yMDI2Li4uVVNELkgBAAAAIHoFAAMAAAAAAFcLlnpEjd4IDriQfkSN3ggzQ0lRLk5BU0RBUTpDQUxNLklRX0RJTFVUX05JLjEwMDAuMjkvMDMvMjAyNi4uLlVTRC5IAQAAACB6BQACAAAACjEyMTkuODMwNDUBCAAAAAUAAAABMQEAAAALLTE5MzQ5NzgzODEDAAAAAzE2MAIAAAAEMzUyMgQAAAABMAcAAAAJMy8yOS8yMDI2CAAAAAk1LzMxLzIwMjUJAAAAATB9MpZ6RI3eCLEHkH5Ejd4IPkNJUS5OQVNEQVE6Q0FMTS5JUV9FQklUX0VRX0lOQ19FWENMX1NCQy45OTUuMjkvMDMvMjAyNi4uLlVTRC5IAQAAACB6BQACAAAABTUuNTAyAQgAAAAFAAAAATEBAAAACy0yMDg4MzQ3NDY5AwAAAAMxNjACAAAABTI0MTMwBAAAAAEwBwAAAAkzLzI5LzIwMjYIAAAACTUv</t>
  </si>
  <si>
    <t>MzAvMjAyMAkAAAABMEHG5HpEjd4ICBaTfkSN3ggvQ0lRLk5BU0RBUTpDQUxNLklRX0VCSVRBLjk5Ny4yOS8wMy8yMDI2Li4uVVNELkgBAAAAIHoFAAIAAAAHMTM4LjQyOAEIAAAABQAAAAExAQAAAAstMTk4NjcwODQzMwMAAAADMTYwAgAAAAYxMDA2ODkEAAAAATAHAAAACTMvMjkvMjAyNggAAAAJNS8yOC8yMDIyCQAAAAEwW+SVekSN3ggIFpN+RI3eCD9DSVEuTkFTREFROkNBTE0uSVFfRUJJVEFfRVFfSU5DX0VYQ0xfU0JDLjk5OS4yOS8wMy8yMDI2Li4uVVNELkgBAAAAIHoFAAIAAAAHMzIyLjA0NQEIAAAABQAAAAExAQAAAAstMTkzNDk3ODQ4MAMAAAADMTYwAgAAAAUyNDEzMgQAAAABMAcAAAAJMy8yOS8yMDI2CAAAAAg2LzEvMjAyNAkAAAABMFvklXpEjd4I28eSfkSN3ggyQ0lRLk5BU0RBUTpDQUxNLklRX0VCSVREQVIuMTAwMC4yOS8wMy8yMDI2Li4uVVNELkgBAAAAIHoFAAMAAAAAAFcLlnpEjd4IzaCSfkSN3ggxQ0lRLk5BU0RBUTpDQUxNLklRX05JX1NGQVMuOTk3LjI5LzAzLzIwMjYuLi5VU0QuSAEAAAAgegUAAwAAAAAAVwuWekSN3ghUe5F+RI3eCDJDSVEuTkFTREFROkNBTE0uSVFfRVBTX05PUk0uOTk5LjI5LzAzLzIwMjYuLi5VU0QuSAEAAAAgegUAAgAAAAg0Ljk3MTYxNgEIAAAABQAAAAExAQAAAAstMTkzNDk3ODQ4MAMAAAADMTYwAgAAAAQ0Mzc5BAAAAAEwBwAAAAkzLzI5LzIwMjYI</t>
  </si>
  <si>
    <t>AAAACDYvMS8yMDI0CQAAAAEwFZ/kekSN3gh93JR+RI3eCE5DSVEuTkFTREFROkNBTE0uSVFfRElTVFJJQlVUQUJMRV9DQVNIX1BFUl9TSEFSRV9ESUxVVEVELjk5My4yOS8wMy8yMDI2Li4uVVNELkgBAAAAIHoFAAMAAAAAABWf5HpEjd4IcrWUfkSN3gg5Q0lRLk5BU0RBUTpDQUxNLklRX1RPVEFMX1JFVl9TSEFSRS45OTcuMjkvMDMvMjAyNi4uLlVTRC5IAQAAACB6BQACAAAACTM2LjU4MTM1OAEIAAAABQAAAAExAQAAAAstMTk4NjcwODQzMwMAAAADMTYwAgAAAAQ0MzgyBAAAAAEwBwAAAAkzLzI5LzIwMjYIAAAACTUvMjgvMjAyMgkAAAABMBWf5HpEjd4IYmeUfkSN3gg3Q0lRLk5BU0RBUTpDQUxNLklRX0VCSVREQV9FUV9JTkMuOTk4LjI5LzAzLzIwMjYuLi5VU0QuSAEAAAAgegUAAgAAAAcxMDM3LjIzAQgAAAAFAAAAATEBAAAACy0xOTM0OTc4NDIwAwAAAAMxNjACAAAABTIxNjc3BAAAAAEwBwAAAAkzLzI5LzIwMjYIAAAACDYvMy8yMDIzCQAAAAEwFZ/kekSN3ggdGZR+RI3eCC5DSVEuTkFTREFROkNBTE0uSVFfRUJJVC45OTQuMjkvMDMvMjAyNi4uLlVTRC5IAQAAACB6BQACAAAABjQ1LjgxNAEIAAAABQAAAAExAQAAAAstMjE0MjQyOTAzOQMAAAADMTYwAgAAAAM0MDAEAAAAATAHAAAACTMvMjkvMjAyNggAAAAINi8xLzIwMTkJAAAAATBBxuR6RI3eCM13k35Ejd4IOUNJUS5OQVNEQVE6Q0FMTS5J</t>
  </si>
  <si>
    <t>UV9FWFRSQV9BQ0NfSVRFTVMuOTk5LjI5LzAzLzIwMjYuLi5VU0QuSAEAAAAgegUAAwAAAAAArHjkekSN3ggPApZ+RI3eCD5DSVEuTkFTREFROkNBTE0uSVFfTUlOT1JJVFlfSU5URVJFU1RfSVMuOTkzLjI5LzAzLzIwMjYuLi5VU0QuSAEAAAAgegUAAgAAAAYtMC4yNjQBCAAAAAUAAAABMQEAAAAKMjA0NTc0OTMxMAMAAAADMTYwAgAAAAI4MwQAAAABMAcAAAAJMy8yOS8yMDI2CAAAAAg2LzIvMjAxOAkAAAABMKx45HpEjd4I5LOVfkSN3gg4Q0lRLk5BU0RBUTpDQUxNLklRX1BSRUZfRElWX09USEVSLjk5Ny4yOS8wMy8yMDI2Li4uVVNELkgBAAAAIHoFAAMAAAAAAKx45HpEjd4I84yVfkSN3gg4Q0lRLk5BU0RBUTpDQUxNLklRX0JBU0lDX0VQU19JTkNMLjk5Ny4yOS8wMy8yMDI2Li4uVVNELkgBAAAAIHoFAAIAAAAIMi43MzA0OTEBCAAAAAUAAAABMQEAAAALLTE5ODY3MDg0MzMDAAAAAzE2MAIAAAABOQQAAAABMAcAAAAJMy8yOS8yMDI2CAAAAAk1LzI4LzIwMjIJAAAAATCseOR6RI3eCKU+lX5Ejd4IOENJUS5OQVNEQVE6Q0FMTS5JUV9ESUxVVF9FUFNfRVhDTC45OTUuMjkvMDMvMjAyNi4uLlVTRC5IAQAAACB6BQACAAAACDAuMzc5NDU0AQgAAAAFAAAAATEBAAAACy0yMDg4MzQ3NDY5AwAAAAMxNjACAAAAAzE0MgQAAAABMAcAAAAJMy8yOS8yMDI2CAAAAAk1LzMwLzIwMjAJAAAAATAVn+R6RI3eCKcD</t>
  </si>
  <si>
    <t>lX5Ejd4IMENJUS5OQVNEQVE6Q0FMTS5JUV9NRVJHRVIuOTk5LjI5LzAzLzIwMjYuLi5VU0QuSAEAAAAgegUAAwAAAAAArHjkekSN3giZdZd+RI3eCDVDSVEuTkFTREFROkNBTE0uSVFfR0FJTl9JTlZFU1QuOTkzLjI5LzAzLzIwMjYuLi5VU0QuSAEAAAAgegUAAgAAAAYtMC4wMzUBCAAAAAUAAAABMQEAAAAKMjA0NTc0OTMxMAMAAAADMTYwAgAAAAI2MgQAAAABMAcAAAAJMy8yOS8yMDI2CAAAAAg2LzIvMjAxOAkAAAABMKx45HpEjd4IhCeXfkSN3gg5Q0lRLk5BU0RBUTpDQUxNLklRX0FTU0VUX1dSSVRFRE9XTi45OTcuMjkvMDMvMjAyNi4uLlVTRC5IAQAAACB6BQADAAAAAACseOR6RI3eCHIAl35Ejd4IPUNJUS5OQVNEQVE6Q0FMTS5JUV9PVEhFUl9VTlVTVUFMX1NVUFBMLjk5NS4yOS8wMy8yMDI2Li4uVVNELkgBAAAAIHoFAAMAAAAAAKx45HpEjd4IXrKWfkSN3gg0Q0lRLk5BU0RBUTpDQUxNLklRX0VBUk5JTkdfQ08uOTk1LjI5LzAzLzIwMjYuLi5VU0QuSAEAAAAgegUAAgAAAAYxOC4zMjgBCAAAAAUAAAABMQEAAAALLTIwODgzNDc0NjkDAAAAAzE2MAIAAAABNwQAAAABMAcAAAAJMy8yOS8yMDI2CAAAAAk1LzMwLzIwMjAJAAAAATCseOR6RI3eCB4pln5Ejd4IOkNJUS5OQVNEQVE6Q0FMTS5JUV9DSEFOR0VfSU5WRU5UT1JZLjk5OS4yOS8wMy8yMDI2Li4uVVNELkgBAAAAIHoFAAIAAAAEMjguOAEI</t>
  </si>
  <si>
    <t>AAAABQAAAAExAQAAAAstMTkzNDk3ODQ4MAMAAAADMTYwAgAAAAQyMDk5BAAAAAEwBwAAAAkzLzI5LzIwMjYIAAAACDYvMS8yMDI0CQAAAAEwi+N/ekSN3gibbYd+RI3eCDlDSVEuTkFTREFROkNBTE0uSVFfQ0FTSF9BQ1FVSVJFX0NGLjk5Ny4yOS8wMy8yMDI2Li4uVVNELkgBAAAAIHoFAAIAAAAHLTQ0LjgyMwEIAAAABQAAAAExAQAAAAstMTk4NjcwODQzMwMAAAADMTYwAgAAAAQyMDU3BAAAAAEwBwAAAAkzLzI5LzIwMjYIAAAACTUvMjgvMjAyMgkAAAABMIvjf3pEjd4IUHuGfkSN3ggyQ0lRLk5BU0RBUTpDQUxNLklRX09QRVJfSU5DLjk5Ny4yOS8wMy8yMDI2Li4uVVNELkgBAAAAIHoFAAIAAAAHMTM4LjQyOAEIAAAABQAAAAExAQAAAAstMTk4NjcwODQzMwMAAAADMTYwAgAAAAIyMQQAAAABMAcAAAAJMy8yOS8yMDI2CAAAAAk1LzI4LzIwMjIJAAAAATCBUeR6RI3eCAB0mH5Ejd4INENJUS5OQVNEQVE6Q0FMTS5JUV9JTkNfRVFVSVRZLjk5NS4yOS8wMy8yMDI2Li4uVVNELkgBAAAAIHoFAAIAAAAFMC41MzQBCAAAAAUAAAABMQEAAAALLTIwODgzNDc0NjkDAAAAAzE2MAIAAAACNDcEAAAAATAHAAAACTMvMjkvMjAyNggAAAAJNS8zMC8yMDIwCQAAAAEwgVHkekSN3gjYEZh+RI3eCDVDSVEuTkFTREFROkNBTE0uSVFfUkVTVFJVQ1RVUkUuOTkzLjI5LzAzLzIwMjYuLi5VU0QuSAEAAAAgegUAAwAAAAAA</t>
  </si>
  <si>
    <t>rHjkekSN3gi0nJd+RI3eCDlDSVEuTkFTREFROkNBTE0uSVFfU1RPQ0tfQkFTRURfU0dBLjk5My4yOS8wMy8yMDI2Li4uVVNELkgBAAAAIHoFAAIAAAAFMy40NjcBCAAAAAUAAAABMQEAAAAKMjA0NTc0OTMxMAMAAAADMTYwAgAAAAUyMjY3OQQAAAABMAcAAAAJMy8yOS8yMDI2CAAAAAg2LzIvMjAxOAkAAAABMI2Bf3pEjd4ITxiLfkSN3gg4Q0lRLk5BU0RBUTpDQUxNLklRX1NUT0NLX0JBU0VEX0FULjk5OS4yOS8wMy8yMDI2Li4uVVNELkgBAAAAIHoFAAMAAAAAAEi8f3pEjd4IRsqKfkSN3ghAQ0lRLk5BU0RBUTpDQUxNLklRX1NUT0NLX09QVElPTlNfQ09NUF9UQVguOTk5LjI5LzAzLzIwMjYuLi5VU0QuSAEAAAAgegUAAwAAAAAASLx/ekSN3gjgGYp+RI3eCDpDSVEuTkFTREFROkNBTE0uSVFfU1RPQ0tfQkFTRURfQ09NUC45OTkuMjkvMDMvMjAyNi4uLlVTRC5IAQAAACB6BQADAAAAAABIvH96RI3eCLGkiX5Ejd4IOENJUS5OQVNEQVE6Q0FMTS5JUV9TVE9DS19CQVNFRF9DRi45OTMuMjkvMDMvMjAyNi4uLlVTRC5IAQAAACB6BQACAAAABTMuNDY3AQgAAAAFAAAAATEBAAAACjIwNDU3NDkzMTADAAAAAzE2MAIAAAAEMjEyNwQAAAABMAcAAAAJMy8yOS8yMDI2CAAAAAg2LzIvMjAxOAkAAAABMIvjf3pEjd4IRTGIfkSN3gg2Q0lRLk5BU0RBUTpDQUxNLklRX09USEVSX1JFTlRBTC45OTQuMjkvMDMvMjAy</t>
  </si>
  <si>
    <t>Ni4uLlVTRC5IAQAAACB6BQADAAAAAACKWZZ6RI3eCNKxjX5Ejd4IRENJUS5OQVNEQVE6Q0FMTS5JUV9ERVBSRUNJQVRJT05fUkVOVEFMX0FTU0VUUy45OTcuMjkvMDMvMjAyNi4uLlVTRC5IAQAAACB6BQADAAAAAACKWZZ6RI3eCJKKjX5Ejd4IQkNJUS5OQVNEQVE6Q0FMTS5JUV9JTVBVVF9PUEVSX0xFQVNFX0lOVF9FWFAuOTk5LjI5LzAzLzIwMjYuLi5VU0QuSAEAAAAgegUAAwAAAAAAilmWekSN3ghzKI1+RI3eCD1DSVEuTkFTREFROkNBTE0uSVFfTEVHQUxfU0VUVExFX1NVUFBMRS45OTQuMjkvMDMvMjAyNi4uLlVTRC5IAQAAACB6BQADAAAAAACUgJZ6RI3eCMwWjH5Ejd4IO0NJUS5OQVNEQVE6Q0FMTS5JUV9ORUdBVElWRV9HV19BTU9SVC45OTMuMjkvMDMvMjAyNi4uLlVTRC5IAQAAACB6BQADAAAAAACUgJZ6RI3eCIO0i35Ejd4INUNJUS5OQVNEQVE6Q0FMTS5JUV9TQUxFX1BQRV9DRi45OTguMjkvMDMvMjAyNi4uLlVTRC5IAQAAACB6BQACAAAABDAuNTgBCAAAAAUAAAABMQEAAAALLTE5MzQ5Nzg0MjADAAAAAzE2MAIAAAAEMjA0MgQAAAABMAcAAAAJMy8yOS8yMDI2CAAAAAg2LzMvMjAyMwkAAAABMIvjf3pEjd4IUHuGfkSN3gg8Q0lRLk5BU0RBUTpDQUxNLklRX0NPTU1PTl9QUkVGX0RJVl9DRi45OTMuMjkvMDMvMjAyNi4uLlVTRC5IAQAAACB6BQADAAAAAADXCoB6RI3eCDtrhH5Ejd4IMkNJ</t>
  </si>
  <si>
    <t>US5OQVNEQVE6Q0FMTS5JUV9DRl9TSEFSRS45OTUuMjkvMDMvMjAyNi4uLlVTRC5IAQAAACB6BQACAAAACS0xLjA0MzM2OQEIAAAABQAAAAExAQAAAAstMjA4ODM0NzQ2OQMAAAADMTYwAgAAAAU0MzkyMwQAAAABMAcAAAAJMy8yOS8yMDI2CAAAAAk1LzMwLzIwMjAJAAAAATCNgX96RI3eCMmTgH5Ejd4IM0NJUS5OQVNEQVE6Q0FMTS5JUV9NQVJLRVRJTkcuOTk5LjI5LzAzLzIwMjYuLi5VU0QuSAEAAAAgegUAAgAAAAY1Mi4yODUBCAAAAAUAAAABMQEAAAALLTE5MzQ5Nzg0ODADAAAAAzE2MAIAAAAFMjA3NzYEAAAAATAHAAAACTMvMjkvMjAyNggAAAAINi8xLzIwMjQJAAAAATCKWZZ6RI3eCCucjn5Ejd4IM0NJUS5OQVNEQVE6Q0FMTS5JUV9SRF9FWFBfRk4uOTk5LjI5LzAzLzIwMjYuLi5VU0QuSAEAAAAgegUAAwAAAAAAilmWekSN3ggRTo5+RI3eCDpDSVEuTkFTREFROkNBTE0uSVFfU1RPQ0tfQkFTRURfQ09NUC45OTMuMjkvMDMvMjAyNi4uLlVTRC5IAQAAACB6BQADAAAAAABIvH96RI3eCMrLiX5Ejd4INENJUS5OQVNEQVE6Q0FMTS5JUV9PSUxfSU1QQUlSLjk5Ni4yOS8wMy8yMDI2Li4uVVNELkgBAAAAIHoFAAMAAAAAAEi8f3pEjd4IzFaJfkSN3gg4Q0lRLk5BU0RBUTpDQUxNLklRX0dBSU5fQVNTRVRTX0NGLjk5Ni4yOS8wMy8yMDI2Li4uVVNELkgBAAAAIHoFAAIAAAAFMi45ODIBCAAAAAUAAAAB</t>
  </si>
  <si>
    <t>MQEAAAALLTIwMzcyNDE3MjEDAAAAAzE2MAIAAAAEMjAyNgQAAAABMAcAAAAJMy8yOS8yMDI2CAAAAAk1LzI5LzIwMjEJAAAAATBIvH96RI3eCDbhiH5Ejd4IOENJUS5OQVNEQVE6Q0FMTS5JUV9TVE9DS19CQVNFRF9DRi45OTUuMjkvMDMvMjAyNi4uLlVTRC5IAQAAACB6BQACAAAABTMuNjE3AQgAAAAFAAAAATEBAAAACy0yMDg4MzQ3NDY5AwAAAAMxNjACAAAABDIxMjcEAAAAATAHAAAACTMvMjkvMjAyNggAAAAJNS8zMC8yMDIwCQAAAAEwi+N/ekSN3ghFMYh+RI3eCDpDSVEuTkFTREFROkNBTE0uSVFfQ0hBTkdFX0lOVkVOVE9SWS45OTMuMjkvMDMvMjAyNi4uLlVTRC5IAQAAACB6BQACAAAABi03Ljk1MgEIAAAABQAAAAExAQAAAAoyMDQ1NzQ5MzEwAwAAAAMxNjACAAAABDIwOTkEAAAAATAHAAAACTMvMjkvMjAyNggAAAAINi8yLzIwMTgJAAAAATCL4396RI3eCJtth35Ejd4IO0NJUS5OQVNEQVE6Q0FMTS5JUV9ORUdBVElWRV9HV19BTU9SVC45OTQuMjkvMDMvMjAyNi4uLlVTRC5IAQAAACB6BQADAAAAAACUgJZ6RI3eCIO0i35Ejd4IOENJUS5OQVNEQVE6Q0FMTS5JUV9TVE9DS19CQVNFRF9SRC45OTMuMjkvMDMvMjAyNi4uLlVTRC5IAQAAACB6BQADAAAAAACUgJZ6RI3eCHdmi35Ejd4IOUNJUS5OQVNEQVE6Q0FMTS5JUV9TVE9DS19CQVNFRF9TR0EuOTk0LjI5LzAzLzIwMjYuLi5VU0QuSAEAAAAg</t>
  </si>
  <si>
    <t>egUAAgAAAAUzLjYxOQEIAAAABQAAAAExAQAAAAstMjE0MjQyOTAzOQMAAAADMTYwAgAAAAUyMjY3OQQAAAABMAcAAAAJMy8yOS8yMDI2CAAAAAg2LzEvMjAxOQkAAAABMI2Bf3pEjd4ITxiLfkSN3gg+Q0lRLk5BU0RBUTpDQUxNLklRX1JFU1RSX1NUT0NLX0NPTVBfVEFYLjk5NS4yOS8wMy8yMDI2Li4uVVNELkgBAAAAIHoFAAMAAAAAAEi8f3pEjd4IvFSKfkSN3ghBQ0lRLk5BU0RBUTpDQUxNLklRX1NUT0NLX09QVElPTlNfQ09NUF9UQVguMTAwMC4yOS8wMy8yMDI2Li4uVVNELkgBAAAAIHoFAAMAAAAAAEi8f3pEjd4I4BmKfkSN3ghEQ0lRLk5BU0RBUTpDQUxNLklRX0RFUFJFQ0lBVElPTl9SRU5UQUxfQVNTRVRTLjk5OC4yOS8wMy8yMDI2Li4uVVNELkgBAAAAIHoFAAMAAAAAAIpZlnpEjd4IkoqNfkSN3ghDQ0lRLk5BU0RBUTpDQUxNLklRX0lNUFVUX09QRVJfTEVBU0VfSU5UX0VYUC4xMDAwLjI5LzAzLzIwMjYuLi5VU0QuSAEAAAAgegUAAwAAAAAAilmWekSN3ghzKI1+RI3eCEBDSVEuTkFTREFROkNBTE0uSVFfQVNTRVRfV1JJVEVET1dOX1NVUFBMRS45OTMuMjkvMDMvMjAyNi4uLlVTRC5IAQAAACB6BQADAAAAAACUgJZ6RI3eCCSMjH5Ejd4IOkNJUS5OQVNEQVE6Q0FMTS5JUV9HQUlOX0JBUkdBSU5fQUNRLjk5NS4yOS8wMy8yMDI2Li4uVVNELkgBAAAAIHoFAAMAAAAAAJSAlnpEjd4IBT6MfkSN</t>
  </si>
  <si>
    <t>3gg9Q0lRLk5BU0RBUTpDQUxNLklRX0xFR0FMX1NFVFRMRV9TVVBQTEUuOTk1LjI5LzAzLzIwMjYuLi5VU0QuSAEAAAAgegUAAwAAAAAAlICWekSN3gjMFox+RI3eCDJDSVEuTkFTREFROkNBTE0uSVFfRElMVVRfTkkuOTkzLjI5LzAzLzIwMjYuLi5VU0QuSAEAAAAgegUAAgAAAAgxMjYuMDE2OAEIAAAABQAAAAExAQAAAAoyMDQ1NzQ5MzEwAwAAAAMxNjACAAAABDM1MjIEAAAAATAHAAAACTMvMjkvMjAyNggAAAAINi8yLzIwMTgJAAAAATB9MpZ6RI3eCLEHkH5Ejd4IPUNJUS5OQVNEQVE6Q0FMTS5JUV9OT05DQVNIX1BFTlNJT05fRVhQLjk5Ni4yOS8wMy8yMDI2Li4uVVNELkgBAAAAIHoFAAIAAAADMS42AQgAAAAFAAAAATEBAAAACy0yMDM3MjQxNzIxAwAAAAMxNjACAAAABTIxNjc4BAAAAAEwBwAAAAkzLzI5LzIwMjYIAAAACTUvMjkvMjAyMQkAAAABMH0ylnpEjd4IrJKPfkSN3gg0Q0lRLk5BU0RBUTpDQUxNLklRX01BUktFVElORy4xMDAwLjI5LzAzLzIwMjYuLi5VU0QuSAEAAAAgegUAAgAAAAY1My44NjEBCAAAAAUAAAABMQEAAAALLTE5MzQ5NzgzODEDAAAAAzE2MAIAAAAFMjA3NzYEAAAAATAHAAAACTMvMjkvMjAyNggAAAAJNS8zMS8yMDI1CQAAAAEwilmWekSN3ggrnI5+RI3eCD9DSVEuTkFTREFROkNBTE0uSVFfTkVUX1JFTlRBTF9FWFBfU1VQUExFLjk5My4yOS8wMy8yMDI2Li4uVVNELkgB</t>
  </si>
  <si>
    <t>AAAAIHoFAAMAAAAAAIpZlnpEjd4I6v+NfkSN3gg2Q0lRLk5BU0RBUTpDQUxNLklRX09USEVSX1JFTlRBTC45OTUuMjkvMDMvMjAyNi4uLlVTRC5IAQAAACB6BQADAAAAAACKWZZ6RI3eCNKxjX5Ejd4IO0NJUS5OQVNEQVE6Q0FMTS5JUV9JTlZFU1RNRU5UX0lOQ09NRS45OTkuMjkvMDMvMjAyNi4uLlVTRC5IAQAAACB6BQADAAAAAABXC5Z6RI3eCD1UkX5Ejd4IQUNJUS5OQVNEQVE6Q0FMTS5JUV9FWENJU0VfVEFYRVNfSU5DTF9TQUxFUy45OTkuMjkvMDMvMjAyNi4uLlVTRC5IAQAAACB6BQADAAAAAABXC5Z6RI3eCCAGkX5Ejd4IPENJUS5OQVNEQVE6Q0FMTS5JUV9DVVJSX0ZPUkVJR05fVEFYRVMuOTk5LjI5LzAzLzIwMjYuLi5VU0QuSAEAAAAgegUAAwAAAAAAVwuWekSN3ggV35B+RI3eCEBDSVEuTkFTREFROkNBTE0uSVFfREVGRVJSRURfRk9SRUlHTl9UQVhFUy45OTUuMjkvMDMvMjAyNi4uLlVTRC5IAQAAACB6BQADAAAAAABXC5Z6RI3eCBORkH5Ejd4IQ0NJUS5OQVNEQVE6Q0FMTS5JUV9OT05SRUNVUlJJTkdfSU5DT01FX1RBWEVTLjk5My4yOS8wMy8yMDI2Li4uVVNELkgBAAAAIHoFAAIAAAAHLTQyLjk3MwEIAAAABQAAAAExAQAAAAoyMDQ1NzQ5MzEwAwAAAAMxNjACAAAABTQ4ODM5BAAAAAEwBwAAAAkzLzI5LzIwMjYIAAAACDYvMi8yMDE4CQAAAAEwfTKWekSN3giTaZB+RI3eCDZDSVEuTkFT</t>
  </si>
  <si>
    <t>REFROkNBTE0uSVFfRUJJVF9FUV9JTkMuMTAwMC4yOS8wMy8yMDI2Li4uVVNELkgBAAAAIHoFAAIAAAAIMTU1Ny42NTcBCAAAAAUAAAABMQEAAAALLTE5MzQ5NzgzODEDAAAAAzE2MAIAAAAFMjE2NzUEAAAAATAHAAAACTMvMjkvMjAyNggAAAAJNS8zMS8yMDI1CQAAAAEwQcbkekSN3ggCPZN+RI3eCDFDSVEuTkFTREFROkNBTE0uSVFfRUJJVERBUi45OTMuMjkvMDMvMjAyNi4uLlVTRC5IAQAAACB6BQADAAAAAABXC5Z6RI3eCM2gkn5Ejd4IQUNJUS5OQVNEQVE6Q0FMTS5JUV9FQklUREFSX0VRX0lOQ19FWENMX1NCQy45OTMuMjkvMDMvMjAyNi4uLlVTRC5IAQAAACB6BQADAAAAAABXC5Z6RI3eCOF5kn5Ejd4INkNJUS5OQVNEQVE6Q0FMTS5JUV9FQklUREFfQ0FQRVguOTk0LjI5LzAzLzIwMjYuLi5VU0QuSAEAAAAgegUAAgAAAAYzMi40NzUBCAAAAAUAAAABMQEAAAALLTIxNDI0MjkwMzkDAAAAAzE2MAIAAAAFMzUzNzkEAAAAATAHAAAACTMvMjkvMjAyNggAAAAINi8xLzIwMTkJAAAAATBXC5Z6RI3eCJQrkn5Ejd4IPENJUS5OQVNEQVE6Q0FMTS5JUV9BU19SRVBPUlRFRF9FQklUREEuOTk1LjI5LzAzLzIwMjYuLi5VU0QuSAEAAAAgegUAAwAAAAAAVwuWekSN3ghwyZF+RI3eCDNDSVEuTkFTREFROkNBTE0uSVFfRElWX1NIQVJFLjk5NS4yOS8wMy8yMDI2Li4uVVNELkgBAAAAIHoFAAMAAAAAABWf5HpE</t>
  </si>
  <si>
    <t>jd4ISY6UfkSN3gg5Q0lRLk5BU0RBUTpDQUxNLklRX1RPVEFMX1JFVl9TSEFSRS45OTkuMjkvMDMvMjAyNi4uLlVTRC5IAQAAACB6BQACAAAACTQ3Ljc1NDIzMwEIAAAABQAAAAExAQAAAAstMTkzNDk3ODQ4MAMAAAADMTYwAgAAAAQ0MzgyBAAAAAEwBwAAAAkzLzI5LzIwMjYIAAAACDYvMS8yMDI0CQAAAAEwFZ/kekSN3ghiZ5R+RI3eCDtDSVEuTkFTREFROkNBTE0uSVFfU1BFQ0lBTF9ESVZfU0hBUkUuOTkzLjI5LzAzLzIwMjYuLi5VU0QuSAEAAAAgegUAAwAAAAAAFZ/kekSN3ghsQJR+RI3eCEFDSVEuTkFTREFROkNBTE0uSVFfTEVBU0VfQURKVVNUTUVOVF9FQklUREEuOTk0LjI5LzAzLzIwMjYuLi5VU0QuSAEAAAAgegUAAwAAAAAAFZ/kekSN3ggVn5N+RI3eCC5DSVEuTkFTREFROkNBTE0uSVFfRUJJVC45OTYuMjkvMDMvMjAyNi4uLlVTRC5IAQAAACB6BQACAAAABy0yMy4yODIBCAAAAAUAAAABMQEAAAALLTIwMzcyNDE3MjEDAAAAAzE2MAIAAAADNDAwBAAAAAEwBwAAAAkzLzI5LzIwMjYIAAAACTUvMjkvMjAyMQkAAAABMEHG5HpEjd4IzXeTfkSN3gg2Q0lRLk5BU0RBUTpDQUxNLklRX1NBTEVfUFBFX0NGLjEwMDAuMjkvMDMvMjAyNi4uLlVTRC5IAQAAACB6BQACAAAABTMuODgyAQgAAAAFAAAAATEBAAAACy0xOTM0OTc4MzgxAwAAAAMxNjACAAAABDIwNDIEAAAAATAHAAAACTMvMjkvMjAyNggA</t>
  </si>
  <si>
    <t>AAAJNS8zMS8yMDI1CQAAAAEwi+N/ekSN3ghYooZ+RI3eCDVDSVEuTkFTREFROkNBTE0uSVFfUFJFRl9ESVZfQ0YuOTk0LjI5LzAzLzIwMjYuLi5VU0QuSAEAAAAgegUAAwAAAAAA1wqAekSN3gg7a4R+RI3eCERDSVEuTkFTREFROkNBTE0uSVFfQ0hBTkdFX05FVF9XT1JLSU5HX0NBUElUQUwuOTk4LjI5LzAzLzIwMjYuLi5VU0QuSAEAAAAgegUAAgAAAAYtOC4wNTIBCAAAAAUAAAABMQEAAAALLTE5MzQ5Nzg0MjADAAAAAzE2MAIAAAAENDQyMQQAAAABMAcAAAAJMy8yOS8yMDI2CAAAAAg2LzMvMjAyMwkAAAABMI2Bf3pEjd4IzbqAfkSN3gg4Q0lRLk5BU0RBUTpDQUxNLklRX0RJTFVUX0VQU19FWENMLjk5Ny4yOS8wMy8yMDI2Li4uVVNELkgBAAAAIHoFAAIAAAAEMi43MgEIAAAABQAAAAExAQAAAAstMTk4NjcwODQzMwMAAAADMTYwAgAAAAMxNDIEAAAAATAHAAAACTMvMjkvMjAyNggAAAAJNS8yOC8yMDIyCQAAAAEwFZ/kekSN3ginA5V+RI3eCE5DSVEuTkFTREFROkNBTE0uSVFfRElTVFJJQlVUQUJMRV9DQVNIX1BFUl9TSEFSRV9ESUxVVEVELjk5NS4yOS8wMy8yMDI2Li4uVVNELkgBAAAAIHoFAAMAAAAAABWf5HpEjd4IcrWUfkSN3gg4Q0lRLk5BU0RBUTpDQUxNLklRX1NUT0NLX0JBU0VEX0FULjk5My4yOS8wMy8yMDI2Li4uVVNELkgBAAAAIHoFAAMAAAAAAEi8f3pEjd4IRPGKfkSN3gg6Q0lRLk5B</t>
  </si>
  <si>
    <t>U0RBUTpDQUxNLklRX1NUT0NLX0JBU0VEX0NPTVAuOTk0LjI5LzAzLzIwMjYuLi5VU0QuSAEAAAAgegUAAwAAAAAASLx/ekSN3gjKy4l+RI3eCDtDSVEuTkFTREFROkNBTE0uSVFfR1dfSU5UQU5fQU1PUlRfQ0YuOTk5LjI5LzAzLzIwMjYuLi5VU0QuSAEAAAAgegUAAgAAAAUyLjE3MwEIAAAABQAAAAExAQAAAAstMTkzNDk3ODQ4MAMAAAADMTYwAgAAAAQyMTgyBAAAAAEwBwAAAAkzLzI5LzIwMjYIAAAACDYvMS8yMDI0CQAAAAEwSLx/ekSN3gjMVol+RI3eCDhDSVEuTkFTREFROkNBTE0uSVFfR0FJTl9BU1NFVFNfQ0YuOTk3LjI5LzAzLzIwMjYuLi5VU0QuSAEAAAAgegUAAwAAAAAASLx/ekSN3gg24Yh+RI3eCDhDSVEuTkFTREFROkNBTE0uSVFfSU5DX0VRVUlUWV9DRi4xMDAwLjI5LzAzLzIwMjYuLi5VU0QuSAEAAAAgegUAAwAAAAAAi+N/ekSN3gg+WIh+RI3eCDpDSVEuTkFTREFROkNBTE0uSVFfR0FJTl9CQVJHQUlOX0FDUS45OTguMjkvMDMvMjAyNi4uLlVTRC5IAQAAACB6BQADAAAAAACUgJZ6RI3eCBdljH5Ejd4IPUNJUS5OQVNEQVE6Q0FMTS5JUV9MRUdBTF9TRVRUTEVfU1VQUExFLjk5Ni4yOS8wMy8yMDI2Li4uVVNELkgBAAAAIHoFAAMAAAAAAJSAlnpEjd4IzBaMfkSN3gg7Q0lRLk5BU0RBUTpDQUxNLklRX05FR0FUSVZFX0dXX0FNT1JULjk5NS4yOS8wMy8yMDI2Li4uVVNELkgBAAAAIHoF</t>
  </si>
  <si>
    <t>AAMAAAAAAJSAlnpEjd4Ig7SLfkSN3gg4Q0lRLk5BU0RBUTpDQUxNLklRX1NUT0NLX0JBU0VEX1JELjk5Ni4yOS8wMy8yMDI2Li4uVVNELkgBAAAAIHoFAAMAAAAAAJSAlnpEjd4IfI2LfkSN3gg5Q0lRLk5BU0RBUTpDQUxNLklRX1NUT0NLX0JBU0VEX1NHQS45OTUuMjkvMDMvMjAyNi4uLlVTRC5IAQAAACB6BQACAAAABTMuNjE3AQgAAAAFAAAAATEBAAAACy0yMDg4MzQ3NDY5AwAAAAMxNjACAAAABTIyNjc5BAAAAAEwBwAAAAkzLzI5LzIwMjYIAAAACTUvMzAvMjAyMAkAAAABMI2Bf3pEjd4ITxiLfkSN3gg/Q0lRLk5BU0RBUTpDQUxNLklRX05FVF9SRU5UQUxfRVhQX1NVUFBMRS45OTQuMjkvMDMvMjAyNi4uLlVTRC5IAQAAACB6BQADAAAAAACKWZZ6RI3eCOr/jX5Ejd4IOENJUS5OQVNEQVE6Q0FMTS5JUV9NSU5JTVVNX1JFTlRBTC45OTguMjkvMDMvMjAyNi4uLlVTRC5IAQAAACB6BQADAAAAAACKWZZ6RI3eCNKxjX5Ejd4IRENJUS5OQVNEQVE6Q0FMTS5JUV9ERVBSRUNJQVRJT05fUkVOVEFMX0FTU0VUUy45OTkuMjkvMDMvMjAyNi4uLlVTRC5IAQAAACB6BQADAAAAAACKWZZ6RI3eCJKKjX5Ejd4IPENJUS5OQVNEQVE6Q0FMTS5JUV9SRVNUUlVDVFVSRV9TVVBQTEUuOTk0LjI5LzAzLzIwMjYuLi5VU0QuSAEAAAAgegUAAwAAAAAAilmWekSN3gh5AY1+RI3eCD5DSVEuTkFTREFROkNBTE0uSVFfSU1Q</t>
  </si>
  <si>
    <t>QUlSTUVOVF9HV19TVVBQTEUuOTk5LjI5LzAzLzIwMjYuLi5VU0QuSAEAAAAgegUAAwAAAAAAilmWekSN3gg3s4x+RI3eCDVDSVEuTkFTREFROkNBTE0uSVFfU0FMRV9QUEVfQ0YuOTk1LjI5LzAzLzIwMjYuLi5VU0QuSAEAAAAgegUAAgAAAAUzLjMwNgEIAAAABQAAAAExAQAAAAstMjA4ODM0NzQ2OQMAAAADMTYwAgAAAAQyMDQyBAAAAAEwBwAAAAkzLzI5LzIwMjYIAAAACTUvMzAvMjAyMAkAAAABMIvjf3pEjd4IUHuGfkSN3ggyQ0lRLk5BU0RBUTpDQUxNLklRX0RJTFVUX05JLjk5NC4yOS8wMy8yMDI2Li4uVVNELkgBAAAAIHoFAAIAAAAINTQuNDE5NjgBCAAAAAUAAAABMQEAAAALLTIxNDI0MjkwMzkDAAAAAzE2MAIAAAAEMzUyMgQAAAABMAcAAAAJMy8yOS8yMDI2CAAAAAg2LzEvMjAxOQkAAAABMH0ylnpEjd4IsQeQfkSN3gg9Q0lRLk5BU0RBUTpDQUxNLklRX05PTkNBU0hfUEVOU0lPTl9FWFAuOTk3LjI5LzAzLzIwMjYuLi5VU0QuSAEAAAAgegUAAgAAAAUwLjI1OAEIAAAABQAAAAExAQAAAAstMTk4NjcwODQzMwMAAAADMTYwAgAAAAUyMTY3OAQAAAABMAcAAAAJMy8yOS8yMDI2CAAAAAk1LzI4LzIwMjIJAAAAATB9MpZ6RI3eCH+5j35Ejd4IPENJUS5OQVNEQVE6Q0FMTS5JUV9ESVNUUklCVVRBQkxFX0NBU0guOTk0LjI5LzAzLzIwMjYuLi5VU0QuSAEAAAAgegUAAwAAAAAAfTKWekSN3gica49+</t>
  </si>
  <si>
    <t>RI3eCDNDSVEuTkFTREFROkNBTE0uSVFfUkRfRVhQX0ZOLjk5My4yOS8wMy8yMDI2Li4uVVNELkgBAAAAIHoFAAMAAAAAAIpZlnpEjd4IEU6OfkSN3gg6Q0lRLk5BU0RBUTpDQUxNLklRX1NUT0NLX0JBU0VEX0NPR1MuOTk5LjI5LzAzLzIwMjYuLi5VU0QuSAEAAAAgegUAAwAAAAAAlICWekSN3gh8jYt+RI3eCDhDSVEuTkFTREFROkNBTE0uSVFfU1RPQ0tfQkFTRURfR0EuOTk4LjI5LzAzLzIwMjYuLi5VU0QuSAEAAAAgegUAAwAAAAAAlICWekSN3ghPGIt+RI3eCDhDSVEuTkFTREFROkNBTE0uSVFfU1RPQ0tfQkFTRURfQVQuOTk0LjI5LzAzLzIwMjYuLi5VU0QuSAEAAAAgegUAAwAAAAAASLx/ekSN3ghE8Yp+RI3eCEBDSVEuTkFTREFROkNBTE0uSVFfU1RPQ0tfT1BUSU9OU19DT01QX1RBWC45OTUuMjkvMDMvMjAyNi4uLlVTRC5IAQAAACB6BQADAAAAAABIvH96RI3eCAHziX5Ejd4IPkNJUS5OQVNEQVE6Q0FMTS5JUV9TVE9DS19CQVNFRF9DT01QX1RBWC45OTcuMjkvMDMvMjAyNi4uLlVTRC5IAQAAACB6BQADAAAAAABIvH96RI3eCLGkiX5Ejd4IQUNJUS5OQVNEQVE6Q0FMTS5JUV9TQUxBUklFU19PVEhFUl9CRU5FRklUUy45OTcuMjkvMDMvMjAyNi4uLlVTRC5IAQAAACB6BQADAAAAAACKWZZ6RI3eCHkBjX5Ejd4IP0NJUS5OQVNEQVE6Q0FMTS5JUV9JTVBBSVJNRU5UX0dXX1NVUFBMRS4xMDAwLjI5</t>
  </si>
  <si>
    <t>LzAzLzIwMjYuLi5VU0QuSAEAAAAgegUAAwAAAAAAlICWekSN3ggkjIx+RI3eCDpDSVEuTkFTREFROkNBTE0uSVFfR0FJTl9CQVJHQUlOX0FDUS45OTkuMjkvMDMvMjAyNi4uLlVTRC5IAQAAACB6BQADAAAAAACUgJZ6RI3eCBdljH5Ejd4IPUNJUS5OQVNEQVE6Q0FMTS5JUV9MRUdBTF9TRVRUTEVfU1VQUExFLjk5Ny4yOS8wMy8yMDI2Li4uVVNELkgBAAAAIHoFAAMAAAAAAJSAlnpEjd4IzBaMfkSN3gg7Q0lRLk5BU0RBUTpDQUxNLklRX05FR0FUSVZFX0dXX0FNT1JULjk5Ny4yOS8wMy8yMDI2Li4uVVNELkgBAAAAIHoFAAMAAAAAAJSAlnpEjd4Iv9uLfkSN3gg8Q0lRLk5BU0RBUTpDQUxNLklRX0RJU1RSSUJVVEFCTEVfQ0FTSC45OTUuMjkvMDMvMjAyNi4uLlVTRC5IAQAAACB6BQADAAAAAAB9MpZ6RI3eCJxrj35Ejd4IM0NJUS5OQVNEQVE6Q0FMTS5JUV9SRF9FWFBfRk4uOTk0LjI5LzAzLzIwMjYuLi5VU0QuSAEAAAAgegUAAwAAAAAAilmWekSN3ggRTo5+RI3eCD9DSVEuTkFTREFROkNBTE0uSVFfTkVUX1JFTlRBTF9FWFBfU1VQUExFLjk5NS4yOS8wMy8yMDI2Li4uVVNELkgBAAAAIHoFAAMAAAAAAIpZlnpEjd4I6v+NfkSN3gg4Q0lRLk5BU0RBUTpDQUxNLklRX01JTklNVU1fUkVOVEFMLjk5OS4yOS8wMy8yMDI2Li4uVVNELkgBAAAAIHoFAAMAAAAAAIpZlnpEjd4I2tiNfkSN3ghCQ0lRLk5BU0RB</t>
  </si>
  <si>
    <t>UTpDQUxNLklRX0lNUFVUX09QRVJfTEVBU0VfSU5UX0VYUC45OTUuMjkvMDMvMjAyNi4uLlVTRC5IAQAAACB6BQADAAAAAACKWZZ6RI3eCHMojX5Ejd4INkNJUS5OQVNEQVE6Q0FMTS5JUV9FQklUREFfQ0FQRVguOTk2LjI5LzAzLzIwMjYuLi5VU0QuSAEAAAAgegUAAgAAAActNTguODc0AQgAAAAFAAAAATEBAAAACy0yMDM3MjQxNzIxAwAAAAMxNjACAAAABTM1Mzc5BAAAAAEwBwAAAAkzLzI5LzIwMjYIAAAACTUvMjkvMjAyMQkAAAABMFcLlnpEjd4IwVKSfkSN3gg8Q0lRLk5BU0RBUTpDQUxNLklRX0FTX1JFUE9SVEVEX0VCSVREQS45OTcuMjkvMDMvMjAyNi4uLlVTRC5IAQAAACB6BQADAAAAAABXC5Z6RI3eCHDJkX5Ejd4IMUNJUS5OQVNEQVE6Q0FMTS5JUV9OSV9TRkFTLjk5My4yOS8wMy8yMDI2Li4uVVNELkgBAAAAIHoFAAMAAAAAAFcLlnpEjd4IVHuRfkSN3gg+Q0lRLk5BU0RBUTpDQUxNLklRX0RFRkVSUkVEX1RBWEVTX1RPVEFMLjk5OS4yOS8wMy8yMDI2Li4uVVNELkgBAAAAIHoFAAIAAAAGLTkuNjcyAQgAAAAFAAAAATEBAAAACy0xOTM0OTc4NDgwAwAAAAMxNjACAAAABTM1Mzg1BAAAAAEwBwAAAAkzLzI5LzIwMjYIAAAACDYvMS8yMDI0CQAAAAEwfTKWekSN3giTaZB+RI3eCDJDSVEuTkFTREFROkNBTE0uSVFfRElMVVRfTkkuOTk1LjI5LzAzLzIwMjYuLi5VU0QuSAEAAAAgegUAAgAAAAgx</t>
  </si>
  <si>
    <t>OC40NjE5MgEIAAAABQAAAAExAQAAAAstMjA4ODM0NzQ2OQMAAAADMTYwAgAAAAQzNTIyBAAAAAEwBwAAAAkzLzI5LzIwMjYIAAAACTUvMzAvMjAyMAkAAAABMH0ylnpEjd4IsQeQfkSN3gg/Q0lRLk5BU0RBUTpDQUxNLklRX0VCSVREQV9MRUFTRV9BREpVU1RFRC45OTguMjkvMDMvMjAyNi4uLlVTRC5IAQAAACB6BQACAAAACDEwMzYuNDg0AQgAAAAFAAAAATEBAAAACy0xOTM0OTc4NDIwAwAAAAMxNjACAAAABTQ4OTkzBAAAAAEwBwAAAAkzLzI5LzIwMjYIAAAACDYvMy8yMDIzCQAAAAEwFZ/kekSN3ggVn5N+RI3eCExDSVEuTkFTREFROkNBTE0uSVFfRUJJVERBX0VRX0lOQ19FWENMX09QRVJfTEVBU0VfQURKLjEwMDAuMjkvMDMvMjAyNi4uLlVTRC5IAQAAACB6BQACAAAACDE2NTEuNjc4AQgAAAAFAAAAATEBAAAACy0xOTM0OTc4MzgxAwAAAAMxNjACAAAABTQ4OTg3BAAAAAEwBwAAAAkzLzI5LzIwMjYIAAAACTUvMzEvMjAyNQkAAAABMBWf5HpEjd4IzXeTfkSN3gg/Q0lRLk5BU0RBUTpDQUxNLklRX0VCSVRBX0VRX0lOQ19FWENMX1NCQy45OTMuMjkvMDMvMjAyNi4uLlVTRC5IAQAAACB6BQACAAAABzE5MS41MTQBCAAAAAUAAAABMQEAAAAKMjA0NTc0OTMxMAMAAAADMTYwAgAAAAUyNDEzMgQAAAABMAcAAAAJMy8yOS8yMDI2CAAAAAg2LzIvMjAxOAkAAAABMFvklXpEjd4I6u6SfkSN3ggxQ0lRLk5B</t>
  </si>
  <si>
    <t>U0RBUTpDQUxNLklRX0VCSVREQVIuOTk1LjI5LzAzLzIwMjYuLi5VU0QuSAEAAAAgegUAAwAAAAAAVwuWekSN3gjNoJJ+RI3eCEFDSVEuTkFTREFROkNBTE0uSVFfRUJJVERBUl9FUV9JTkNfRVhDTF9TQkMuOTk1LjI5LzAzLzIwMjYuLi5VU0QuSAEAAAAgegUAAwAAAAAAVwuWekSN3gjheZJ+RI3eCDJDSVEuTkFTREFROkNBTE0uSVFfRVBTX05PUk0uOTkzLjI5LzAzLzIwMjYuLi5VU0QuSAEAAAAgegUAAgAAAAgyLjU2MTUzNAEIAAAABQAAAAExAQAAAAoyMDQ1NzQ5MzEwAwAAAAMxNjACAAAABDQzNzkEAAAAATAHAAAACTMvMjkvMjAyNggAAAAINi8yLzIwMTgJAAAAATAVn+R6RI3eCH3clH5Ejd4IOENJUS5OQVNEQVE6Q0FMTS5JUV9ESUxVVF9FUFNfTk9STS45OTkuMjkvMDMvMjAyNi4uLlVTRC5IAQAAACB6BQACAAAACDQuOTU1NzQ3AQgAAAAFAAAAATEBAAAACy0xOTM0OTc4NDgwAwAAAAMxNjACAAAABDQzODAEAAAAATAHAAAACTMvMjkvMjAyNggAAAAINi8xLzIwMjQJAAAAATAVn+R6RI3eCHK1lH5Ejd4IM0NJUS5OQVNEQVE6Q0FMTS5JUV9ESVZfU0hBUkUuOTk3LjI5LzAzLzIwMjYuLi5VU0QuSAEAAAAgegUAAgAAAAUwLjg3NAEIAAAABQAAAAExAQAAAAstMTk4NjcwODQzMwMAAAADMTYwAgAAAAQzMDU4BAAAAAEwBwAAAAkzLzI5LzIwMjYIAAAACTUvMjgvMjAyMgkAAAABMBWf5HpEjd4IYmeU</t>
  </si>
  <si>
    <t>fkSN3gg7Q0lRLk5BU0RBUTpDQUxNLklRX1NQRUNJQUxfRElWX1NIQVJFLjk5NS4yOS8wMy8yMDI2Li4uVVNELkgBAAAAIHoFAAMAAAAAABWf5HpEjd4IbECUfkSN3gg5Q0lRLk5BU0RBUTpDQUxNLklRX0VCSVREQV9FWENMX1NCQy45OTQuMjkvMDMvMjAyNi4uLlVTRC5IAQAAACB6BQACAAAABzEwNC4wODMBCAAAAAUAAAABMQEAAAALLTIxNDI0MjkwMzkDAAAAAzE2MAIAAAAFMjQxMzUEAAAAATAHAAAACTMvMjkvMjAyNggAAAAINi8xLzIwMTkJAAAAATAVn+R6RI3eCM/xk35Ejd4ILUNJUS5OQVNEQVE6Q0FMTS5JUV9FQlQuOTk1LjI5LzAzLzIwMjYuLi5VU0QuSAEAAAAgegUAAgAAAAYyMC4wNTkBCAAAAAUAAAABMQEAAAALLTIwODgzNDc0NjkDAAAAAzE2MAIAAAADMTM5BAAAAAEwBwAAAAkzLzI5LzIwMjYIAAAACTUvMzAvMjAyMAkAAAABMKx45HpEjd4I8oqWfkSN3gg0Q0lRLk5BU0RBUTpDQUxNLklRX0VBUk5JTkdfQ08uOTk5LjI5LzAzLzIwMjYuLi5VU0QuSAEAAAAgegUAAgAAAAcyNzYuMjgyAQgAAAAFAAAAATEBAAAACy0xOTM0OTc4NDgwAwAAAAMxNjACAAAAATcEAAAAATAHAAAACTMvMjkvMjAyNggAAAAINi8xLzIwMjQJAAAAATCseOR6RI3eCBxQln5Ejd4IOUNJUS5OQVNEQVE6Q0FMTS5JUV9FWFRSQV9BQ0NfSVRFTVMuOTkzLjI5LzAzLzIwMjYuLi5VU0QuSAEAAAAgegUAAwAAAAAArHjk</t>
  </si>
  <si>
    <t>ekSN3ggPApZ+RI3eCDRDSVEuTkFTREFROkNBTE0uSVFfTklfQ09NUEFOWS45OTkuMjkvMDMvMjAyNi4uLlVTRC5IAQAAACB6BQACAAAABzI3Ni4yODIBCAAAAAUAAAABMQEAAAALLTE5MzQ5Nzg0ODADAAAAAzE2MAIAAAAFNDE1NzEEAAAAATAHAAAACTMvMjkvMjAyNggAAAAINi8xLzIwMjQJAAAAATCseOR6RI3eCBPblX5Ejd4IN0NJUS5OQVNEQVE6Q0FMTS5JUV9OSV9BVkFJTF9JTkNMLjk5Ny4yOS8wMy8yMDI2Li4uVVNELkgBAAAAIHoFAAIAAAAGMTMyLjY1AQgAAAAFAAAAATEBAAAACy0xOTg2NzA4NDMzAwAAAAMxNjACAAAAAjE2BAAAAAEwBwAAAAkzLzI5LzIwMjYIAAAACTUvMjgvMjAyMgkAAAABMKx45HpEjd4I5GWVfkSN3gg3Q0lRLk5BU0RBUTpDQUxNLklRX0NVUlJFTkNZX0dBSU4uOTk1LjI5LzAzLzIwMjYuLi5VU0QuSAEAAAAgegUAAwAAAAAAgVHkekSN3gjUw5d+RI3eCDJDSVEuTkFTREFROkNBTE0uSVFfRUJUX0VYQ0wuOTk5LjI5LzAzLzIwMjYuLi5VU0QuSAEAAAAgegUAAgAAAAczODQuOTU0AQgAAAAFAAAAATEBAAAACy0xOTM0OTc4NDgwAwAAAAMxNjACAAAAATQEAAAAATAHAAAACTMvMjkvMjAyNggAAAAINi8xLzIwMjQJAAAAATCBUeR6RI3eCLScl35Ejd4IMENJUS5OQVNEQVE6Q0FMTS5JUV9NRVJHRVIuOTkzLjI5LzAzLzIwMjYuLi5VU0QuSAEAAAAgegUAAwAAAAAArHjkekSN</t>
  </si>
  <si>
    <t>3giZdZd+RI3eCDVDSVEuTkFTREFROkNBTE0uSVFfR0FJTl9JTlZFU1QuOTk3LjI5LzAzLzIwMjYuLi5VU0QuSAEAAAAgegUAAgAAAAUwLjEwNQEIAAAABQAAAAExAQAAAAstMTk4NjcwODQzMwMAAAADMTYwAgAAAAI2MgQAAAABMAcAAAAJMy8yOS8yMDI2CAAAAAk1LzI4LzIwMjIJAAAAATCseOR6RI3eCJROl35Ejd4ILkNJUS5OQVNEQVE6Q0FMTS5JUV9JUFJELjk5Ny4yOS8wMy8yMDI2Li4uVVNELkgBAAAAIHoFAAMAAAAAAKx45HpEjd4IZNmWfkSN3gg3Q0lRLk5BU0RBUTpDQUxNLklRX1BSRV9PUEVOX0NPU1QuOTkzLjI5LzAzLzIwMjYuLi5VU0QuSAEAAAAgegUAAwAAAAAAgVHkekSN3ghtXpl+RI3eCDBDSVEuTkFTREFROkNBTE0uSVFfUkRfRVhQLjk5OS4yOS8wMy8yMDI2Li4uVVNELkgBAAAAIHoFAAMAAAAAAIFR5HpEjd4IVTeZfkSN3gg4Q0lRLk5BU0RBUTpDQUxNLklRX0dXX0lOVEFOX0FNT1JULjk5My4yOS8wMy8yMDI2Li4uVVNELkgBAAAAIHoFAAMAAAAAAIFR5HpEjd4IWOmYfkSN3gg0Q0lRLk5BU0RBUTpDQUxNLklRX09USEVSX09QRVIuOTk3LjI5LzAzLzIwMjYuLi5VU0QuSAEAAAAgegUAAwAAAAAAgVHkekSN3ggLwph+RI3eCD1DSVEuTkFTREFROkNBTE0uSVFfSU5URVJFU1RfSU5WRVNUX0lOQy45OTUuMjkvMDMvMjAyNi4uLlVTRC5IAQAAACB6BQACAAAABjE1LjA1OAEIAAAABQAA</t>
  </si>
  <si>
    <t>AAExAQAAAAstMjA4ODM0NzQ2OQMAAAADMTYwAgAAAAI2NQQAAAABMAcAAAAJMy8yOS8yMDI2CAAAAAk1LzMwLzIwMjAJAAAAATCBUeR6RI3eCPxMmH5Ejd4ILUNJUS5OQVNEQVE6Q0FMTS5JUV9SRVYuOTk1LjI5LzAzLzIwMjYuLi5VU0QuSAEAAAAgegUAAgAAAAgxMzUxLjYwOQEIAAAABQAAAAExAQAAAAstMjA4ODM0NzQ2OQMAAAADMTYwAgAAAAMxMTIEAAAAATAHAAAACTMvMjkvMjAyNggAAAAJNS8zMC8yMDIwCQAAAAEwWirkekSN3givQZt+RI3eCDlDSVEuTkFTREFROkNBTE0uSVFfR0FJTl9JTlZFU1RfUkVWLjk5My4yOS8wMy8yMDI2Li4uVVNELkgBAAAAIHoFAAMAAAAAAFoq5HpEjd4IPaqafkSN3gg1Q0lRLk5BU0RBUTpDQUxNLklRX0lOVF9JTlZfSU5DLjk5OS4yOS8wMy8yMDI2Li4uVVNELkgBAAAAIHoFAAMAAAAAAFoq5HpEjd4IN4OafkSN3gg1Q0lRLk5BU0RBUTpDQUxNLklRX0ZJTl9ESVZfRVhQLjk5Ny4yOS8wMy8yMDI2Li4uVVNELkgBAAAAIHoFAAMAAAAAAIFR5HpEjd4IHw6afkSN3ggzQ0lRLk5BU0RBUTpDQUxNLklRX1NHQV9TVVBQTC45OTUuMjkvMDMvMjAyNi4uLlVTRC5IAQAAACB6BQACAAAABzE3OC4yMzcBCAAAAAUAAAABMQEAAAALLTIwODgzNDc0NjkDAAAAAzE2MAIAAAADMTAyBAAAAAEwBwAAAAkzLzI5LzIwMjYIAAAACTUvMzAvMjAyMAkAAAABMIFR5HpEjd4I4b+ZfkSN</t>
  </si>
  <si>
    <t>3ggzQ0lRLk5BU0RBUTpDQUxNLklRX1RPVEFMX1JFVi45OTQuMjkvMDMvMjAyNi4uLlVTRC5IAQAAACB6BQACAAAACDEzNjEuMTg4AQgAAAAFAAAAATEBAAAACy0yMTQyNDI5MDM5AwAAAAMxNjACAAAAAjI4BAAAAAEwBwAAAAkzLzI5LzIwMjYIAAAACDYvMS8yMDE5CQAAAAEwWirkekSN3ggnXJp+RI3eCDVDSVEuTkFTREFROkNBTE0uSVFfRklOX0RJVl9FWFAuOTk4LjI5LzAzLzIwMjYuLi5VU0QuSAEAAAAgegUAAwAAAAAAgVHkekSN3ggfDpp+RI3eCDNDSVEuTkFTREFROkNBTE0uSVFfU0dBX1NVUFBMLjk5Ni4yOS8wMy8yMDI2Li4uVVNELkgBAAAAIHoFAAIAAAAHMTgzLjk0MwEIAAAABQAAAAExAQAAAAstMjAzNzI0MTcyMQMAAAADMTYwAgAAAAMxMDIEAAAAATAHAAAACTMvMjkvMjAyNggAAAAJNS8yOS8yMDIxCQAAAAEwgVHkekSN3gjhv5l+RI3eCDVDSVEuTkFTREFROkNBTE0uSVFfU1RPQ0tfQkFTRUQuOTk2LjI5LzAzLzIwMjYuLi5VU0QuSAEAAAAgegUAAwAAAAAAgVHkekSN3ghtXpl+RI3eCDhDSVEuTkFTREFROkNBTE0uSVFfR1dfSU5UQU5fQU1PUlQuOTk0LjI5LzAzLzIwMjYuLi5VU0QuSAEAAAAgegUAAwAAAAAAgVHkekSN3gg8EJl+RI3eCDJDSVEuTkFTREFROkNBTE0uSVFfT1BFUl9JTkMuOTkzLjI5LzAzLzIwMjYuLi5VU0QuSAEAAAAgegUAAgAAAAYxODEuNzMBCAAAAAUAAAABMQEA</t>
  </si>
  <si>
    <t>AAAKMjA0NTc0OTMxMAMAAAADMTYwAgAAAAIyMQQAAAABMAcAAAAJMy8yOS8yMDI2CAAAAAg2LzIvMjAxOAkAAAABMIFR5HpEjd4IAHSYfkSN3gg3Q0lRLk5BU0RBUTpDQUxNLklRX0NVUlJFTkNZX0dBSU4uOTk3LjI5LzAzLzIwMjYuLi5VU0QuSAEAAAAgegUAAwAAAAAAgVHkekSN3gjUw5d+RI3eCDZDSVEuTkFTREFROkNBTE0uSVFfTEVHQUxfU0VUVExFLjk5My4yOS8wMy8yMDI2Li4uVVNELkgBAAAAIHoFAAIAAAAGLTgwLjc1AQgAAAAFAAAAATEBAAAACjIwNDU3NDkzMTADAAAAAzE2MAIAAAACNzcEAAAAATAHAAAACTMvMjkvMjAyNggAAAAINi8yLzIwMTgJAAAAATCseOR6RI3eCF6yln5Ejd4ILUNJUS5OQVNEQVE6Q0FMTS5JUV9SRVYuOTk2LjI5LzAzLzIwMjYuLi5VU0QuSAEAAAAgegUAAgAAAAgxMzQ4Ljk4NwEIAAAABQAAAAExAQAAAAstMjAzNzI0MTcyMQMAAAADMTYwAgAAAAMxMTIEAAAAATAHAAAACTMvMjkvMjAyNggAAAAJNS8yOS8yMDIxCQAAAAEwWirkekSN3gg7DJt+RI3eCDlDSVEuTkFTREFROkNBTE0uSVFfR0FJTl9JTlZFU1RfUkVWLjk5NC4yOS8wMy8yMDI2Li4uVVNELkgBAAAAIHoFAAMAAAAAAFoq5HpEjd4IPaqafkSN3gg2Q0lRLk5BU0RBUTpDQUxNLklRX0VCSVRBX0VRX0lOQy45OTkuMjkvMDMvMjAyNi4uLlVTRC5IAQAAACB6BQACAAAABzMxNy42ODcBCAAAAAUAAAABMQEA</t>
  </si>
  <si>
    <t>AAALLTE5MzQ5Nzg0ODADAAAAAzE2MAIAAAAFMjE2NzYEAAAAATAHAAAACTMvMjkvMjAyNggAAAAINi8xLzIwMjQJAAAAATBb5JV6RI3eCNvHkn5Ejd4IRENJUS5OQVNEQVE6Q0FMTS5JUV9FQVJOSU5HX1BBUkVOVF9FWENMX0VYVFJBLjEwMDAuMjkvMDMvMjAyNi4uLlVTRC5IAQAAACB6BQACAAAACDEyMjAuMDQ4AQgAAAAFAAAAATEBAAAACy0xOTM0OTc4MzgxAwAAAAMxNjACAAAABTQxNTk2BAAAAAEwBwAAAAkzLzI5LzIwMjYIAAAACTUvMzEvMjAyNQkAAAABMFcLlnpEjd4IY6KRfkSN3ghBQ0lRLk5BU0RBUTpDQUxNLklRX0VYQ0lTRV9UQVhFU19JTkNMX1NBTEVTLjk5NC4yOS8wMy8yMDI2Li4uVVNELkgBAAAAIHoFAAMAAAAAAFcLlnpEjd4IMy2RfkSN3gg1Q0lRLk5BU0RBUTpDQUxNLklRX0ZJTl9ESVZfRVhQLjk5OS4yOS8wMy8yMDI2Li4uVVNELkgBAAAAIHoFAAMAAAAAAIFR5HpEjd4IMjWafkSN3gg4Q0lRLk5BU0RBUTpDQUxNLklRX0dXX0lOVEFOX0FNT1JULjk5NS4yOS8wMy8yMDI2Li4uVVNELkgBAAAAIHoFAAMAAAAAAIFR5HpEjd4IWOmYfkSN3gg+Q0lRLk5BU0RBUTpDQUxNLklRX01JTk9SSVRZX0lOVEVSRVNUX0NGLjk5Ni4yOS8wMy8yMDI2Li4uVVNELkgBAAAAIHoFAAMAAAAAAEi8f3pEjd4IlwiJfkSN3ggvQ0lRLk5BU0RBUTpDQUxNLklRX0NBUEVYLjk5NC4yOS8wMy8yMDI2Li4u</t>
  </si>
  <si>
    <t>VVNELkgBAAAAIHoFAAIAAAAHLTY3Ljk4OQEIAAAABQAAAAExAQAAAAstMjE0MjQyOTAzOQMAAAADMTYwAgAAAAQyMDIxBAAAAAEwBwAAAAkzLzI5LzIwMjYIAAAACDYvMS8yMDE5CQAAAAEwi+N/ekSN3ghYooZ+RI3eCDJDSVEuTkFTREFROkNBTE0uSVFfUFJFRl9SRVAuOTkzLjI5LzAzLzIwMjYuLi5VU0QuSAEAAAAgegUAAwAAAAAA1wqAekSN3ghPuYR+RI3eCEBDSVEuTkFTREFROkNBTE0uSVFfRUJJVERBX0VRX0lOQ19FWENMX1NCQy45OTkuMjkvMDMvMjAyNi4uLlVTRC5IAQAAACB6BQACAAAABzQwMC4xMTMBCAAAAAUAAAABMQEAAAALLTE5MzQ5Nzg0ODADAAAAAzE2MAIAAAAFMjQxMzEEAAAAATAHAAAACTMvMjkvMjAyNggAAAAINi8xLzIwMjQJAAAAATAVn+R6RI3eCM/xk35Ejd4INUNJUS5OQVNEQVE6Q0FMTS5JUV9FQklUX0VRX0lOQy45OTUuMjkvMDMvMjAyNi4uLlVTRC5IAQAAACB6BQACAAAABTEuODg1AQgAAAAFAAAAATEBAAAACy0yMDg4MzQ3NDY5AwAAAAMxNjACAAAABTIxNjc1BAAAAAEwBwAAAAkzLzI5LzIwMjYIAAAACTUvMzAvMjAyMAkAAAABMEHG5HpEjd4IAj2TfkSN3gg4Q0lRLk5BU0RBUTpDQUxNLklRX1NUT0NLX0JBU0VEX0dBLjk5OS4yOS8wMy8yMDI2Li4uVVNELkgBAAAAIHoFAAMAAAAAAJSAlnpEjd4IWj+LfkSN3gg7Q0lRLk5BU0RBUTpDQUxNLklRX1NUT0NLX0JBU0VE</t>
  </si>
  <si>
    <t>X09USEVSLjk5Ny4yOS8wMy8yMDI2Li4uVVNELkgBAAAAIHoFAAIAAAAFNC4wNjMBCAAAAAUAAAABMQEAAAALLTE5ODY3MDg0MzMDAAAAAzE2MAIAAAAFMjI2NzYEAAAAATAHAAAACTMvMjkvMjAyNggAAAAJNS8yOC8yMDIyCQAAAAEwSLx/ekSN3ghE8Yp+RI3eCEBDSVEuTkFTREFROkNBTE0uSVFfU1RPQ0tfT1BUSU9OU19DT01QX1RBWC45OTYuMjkvMDMvMjAyNi4uLlVTRC5IAQAAACB6BQADAAAAAABIvH96RI3eCOAZin5Ejd4IPkNJUS5OQVNEQVE6Q0FMTS5JUV9TVE9DS19CQVNFRF9DT01QX1RBWC45OTguMjkvMDMvMjAyNi4uLlVTRC5IAQAAACB6BQADAAAAAABIvH96RI3eCLGkiX5Ejd4IO0NJUS5OQVNEQVE6Q0FMTS5JUV9HV19JTlRBTl9BTU9SVF9DRi45OTUuMjkvMDMvMjAyNi4uLlVTRC5IAQAAACB6BQACAAAAAzIuOQEIAAAABQAAAAExAQAAAAstMjA4ODM0NzQ2OQMAAAADMTYwAgAAAAQyMTgyBAAAAAEwBwAAAAkzLzI5LzIwMjYIAAAACTUvMzAvMjAyMAkAAAABMEi8f3pEjd4IzFaJfkSN3gg4Q0lRLk5BU0RBUTpDQUxNLklRX01JTklNVU1fUkVOVEFMLjk5My4yOS8wMy8yMDI2Li4uVVNELkgBAAAAIHoFAAMAAAAAAIpZlnpEjd4I2tiNfkSN3ghEQ0lRLk5BU0RBUTpDQUxNLklRX0RFUFJFQ0lBVElPTl9SRU5UQUxfQVNTRVRTLjk5My4yOS8wMy8yMDI2Li4uVVNELkgBAAAAIHoFAAMAAAAA</t>
  </si>
  <si>
    <t>AIpZlnpEjd4IkoqNfkSN3gg2Q0lRLk5BU0RBUTpDQUxNLklRX01BSU5UX1JFUEFJUi45OTguMjkvMDMvMjAyNi4uLlVTRC5IAQAAACB6BQADAAAAAACKWZZ6RI3eCHMojX5Ejd4IQUNJUS5OQVNEQVE6Q0FMTS5JUV9TQUxBUklFU19PVEhFUl9CRU5FRklUUy45OTguMjkvMDMvMjAyNi4uLlVTRC5IAQAAACB6BQADAAAAAACKWZZ6RI3eCHkBjX5Ejd4IO0NJUS5OQVNEQVE6Q0FMTS5JUV9TVE9DS19CQVNFRF9DT0dTLjEwMDAuMjkvMDMvMjAyNi4uLlVTRC5IAQAAACB6BQADAAAAAACUgJZ6RI3eCHdmi35Ejd4IMkNJUS5OQVNEQVE6Q0FMTS5JUV9ESUxVVF9OSS45OTYuMjkvMDMvMjAyNi4uLlVTRC5IAQAAACB6BQACAAAABzEuOTQ2MjQBCAAAAAUAAAABMQEAAAALLTIwMzcyNDE3MjEDAAAAAzE2MAIAAAAEMzUyMgQAAAABMAcAAAAJMy8yOS8yMDI2CAAAAAk1LzI5LzIwMjEJAAAAATB9MpZ6RI3eCLEHkH5Ejd4INUNJUS5OQVNEQVE6Q0FMTS5JUV9JTlRfRVhQX0xURC45OTQuMjkvMDMvMjAyNi4uLlVTRC5IAQAAACB6BQADAAAAAAB9MpZ6RI3eCJ/gj35Ejd4IPENJUS5OQVNEQVE6Q0FMTS5JUV9ESVNUUklCVVRBQkxFX0NBU0guOTk4LjI5LzAzLzIwMjYuLi5VU0QuSAEAAAAgegUAAwAAAAAAfTKWekSN3gica49+RI3eCDNDSVEuTkFTREFROkNBTE0uSVFfUkRfRVhQX0ZOLjk5NS4yOS8wMy8yMDI2Li4u</t>
  </si>
  <si>
    <t>VVNELkgBAAAAIHoFAAMAAAAAAIpZlnpEjd4IEU6OfkSN3gg5Q0lRLk5BU0RBUTpDQUxNLklRX05FVF9SRU5UQUxfRVhQLjEwMDAuMjkvMDMvMjAyNi4uLlVTRC5IAQAAACB6BQADAAAAAACKWZZ6RI3eCAAnjn5Ejd4INkNJUS5OQVNEQVE6Q0FMTS5JUV9FQklUREFfQ0FQRVguOTk3LjI5LzAzLzIwMjYuLi5VU0QuSAEAAAAgegUAAgAAAAcxMzQuNDI0AQgAAAAFAAAAATEBAAAACy0xOTg2NzA4NDMzAwAAAAMxNjACAAAABTM1Mzc5BAAAAAEwBwAAAAkzLzI5LzIwMjYIAAAACTUvMjgvMjAyMgkAAAABMFcLlnpEjd4IwVKSfkSN3gg8Q0lRLk5BU0RBUTpDQUxNLklRX0FTX1JFUE9SVEVEX0VCSVREQS45OTguMjkvMDMvMjAyNi4uLlVTRC5IAQAAACB6BQADAAAAAABXC5Z6RI3eCHDJkX5Ejd4IQ0NJUS5OQVNEQVE6Q0FMTS5JUV9FQVJOSU5HX1BBUkVOVF9FWENMX0VYVFJBLjk5Ny4yOS8wMy8yMDI2Li4uVVNELkgBAAAAIHoFAAIAAAAGMTMyLjY1AQgAAAAFAAAAATEBAAAACy0xOTg2NzA4NDMzAwAAAAMxNjACAAAABTQxNTk2BAAAAAEwBwAAAAkzLzI5LzIwMjYIAAAACTUvMjgvMjAyMgkAAAABMFcLlnpEjd4IY6KRfkSN3gg7Q0lRLk5BU0RBUTpDQUxNLklRX0lOVkVTVE1FTlRfSU5DT01FLjk5NC4yOS8wMy8yMDI2Li4uVVNELkgBAAAAIHoFAAMAAAAAAFcLlnpEjd4IPVSRfkSN3gg/Q0lRLk5BU0RBUTpD</t>
  </si>
  <si>
    <t>QUxNLklRX0RFRkVSUkVEX1RBWEVTX1RPVEFMLjEwMDAuMjkvMDMvMjAyNi4uLlVTRC5IAQAAACB6BQACAAAABTExLjU3AQgAAAAFAAAAATEBAAAACy0xOTM0OTc4MzgxAwAAAAMxNjACAAAABTM1Mzg1BAAAAAEwBwAAAAkzLzI5LzIwMjYIAAAACTUvMzEvMjAyNQkAAAABMH0ylnpEjd4Ik2mQfkSN3gg/Q0lRLk5BU0RBUTpDQUxNLklRX0VCSVREQV9MRUFTRV9BREpVU1RFRC45OTkuMjkvMDMvMjAyNi4uLlVTRC5IAQAAACB6BQACAAAABzM5NC4zMzUBCAAAAAUAAAABMQEAAAALLTE5MzQ5Nzg0ODADAAAAAzE2MAIAAAAFNDg5OTMEAAAAATAHAAAACTMvMjkvMjAyNggAAAAINi8xLzIwMjQJAAAAATAVn+R6RI3eCDPGk35Ejd4IL0NJUS5OQVNEQVE6Q0FMTS5JUV9FQklUQS45OTMuMjkvMDMvMjAyNi4uLlVTRC5IAQAAACB6BQACAAAABjE4NC41MwEIAAAABQAAAAExAQAAAAoyMDQ1NzQ5MzEwAwAAAAMxNjACAAAABjEwMDY4OQQAAAABMAcAAAAJMy8yOS8yMDI2CAAAAAg2LzIvMjAxOAkAAAABMEHG5HpEjd4I6u6SfkSN3gg2Q0lRLk5BU0RBUTpDQUxNLklRX0VCSVRBX0VRX0lOQy45OTcuMjkvMDMvMjAyNi4uLlVTRC5IAQAAACB6BQACAAAABzE0MC4zNzEBCAAAAAUAAAABMQEAAAALLTE5ODY3MDg0MzMDAAAAAzE2MAIAAAAFMjE2NzYEAAAAATAHAAAACTMvMjkvMjAyNggAAAAJNS8yOC8yMDIyCQAAAAEw</t>
  </si>
  <si>
    <t>W+SVekSN3gjbx5J+RI3eCDhDSVEuTkFTREFROkNBTE0uSVFfRUJJVEFfRVhDTF9TQkMuOTk4LjI5LzAzLzIwMjYuLi5VU0QuSAEAAAAgegUAAgAAAAc5NzAuNjg5AQgAAAAFAAAAATEBAAAACy0xOTM0OTc4NDIwAwAAAAMxNjACAAAABTI0MTM2BAAAAAEwBwAAAAkzLzI5LzIwMjYIAAAACDYvMy8yMDIzCQAAAAEwW+SVekSN3gjNoJJ+RI3eCDlDSVEuTkFTREFROkNBTE0uSVFfRUJJVERBUl9FUV9JTkMuMTAwMC4yOS8wMy8yMDI2Li4uVVNELkgBAAAAIHoFAAMAAAAAAFcLlnpEjd4I4XmSfkSN3gg5Q0lRLk5BU0RBUTpDQUxNLklRX0RJTFVUX0VQU19OT1JNLjEwMDAuMjkvMDMvMjAyNi4uLlVTRC5IAQAAACB6BQACAAAACTIwLjcxODQ0MgEIAAAABQAAAAExAQAAAAstMTkzNDk3ODM4MQMAAAADMTYwAgAAAAQ0MzgwBAAAAAEwBwAAAAkzLzI5LzIwMjYIAAAACTUvMzEvMjAyNQkAAAABMBWf5HpEjd4IcrWUfkSN3ggzQ0lRLk5BU0RBUTpDQUxNLklRX0RJVl9TSEFSRS45OTguMjkvMDMvMjAyNi4uLlVTRC5IAQAAACB6BQACAAAABTUuMTY1AQgAAAAFAAAAATEBAAAACy0xOTM0OTc4NDIwAwAAAAMxNjACAAAABDMwNTgEAAAAATAHAAAACTMvMjkvMjAyNggAAAAINi8zLzIwMjMJAAAAATAVn+R6RI3eCEmOlH5Ejd4IO0NJUS5OQVNEQVE6Q0FMTS5JUV9TUEVDSUFMX0RJVl9TSEFSRS45OTYuMjkvMDMvMjAy</t>
  </si>
  <si>
    <t>Ni4uLlVTRC5IAQAAACB6BQADAAAAAAAVn+R6RI3eCGxAlH5Ejd4IN0NJUS5OQVNEQVE6Q0FMTS5JUV9FQklUREFfRVFfSU5DLjk5My4yOS8wMy8yMDI2Li4uVVNELkgBAAAAIHoFAAIAAAAHMjM5LjI3MwEIAAAABQAAAAExAQAAAAoyMDQ1NzQ5MzEwAwAAAAMxNjACAAAABTIxNjc3BAAAAAEwBwAAAAkzLzI5LzIwMjYIAAAACDYvMi8yMDE4CQAAAAEwFZ/kekSN3ggdGZR+RI3eCEBDSVEuTkFTREFROkNBTE0uSVFfRUJJVERBX0VRX0lOQ19FWENMX1NCQy45OTcuMjkvMDMvMjAyNi4uLlVTRC5IAQAAACB6BQACAAAABzIxMi44MjkBCAAAAAUAAAABMQEAAAALLTE5ODY3MDg0MzMDAAAAAzE2MAIAAAAFMjQxMzEEAAAAATAHAAAACTMvMjkvMjAyNggAAAAJNS8yOC8yMDIyCQAAAAEwFZ/kekSN3gjP8ZN+RI3eCC1DSVEuTkFTREFROkNBTE0uSVFfRUJULjk5Ni4yOS8wMy8yMDI2Li4uVVNELkgBAAAAIHoFAAIAAAAGLTkuOTQ5AQgAAAAFAAAAATEBAAAACy0yMDM3MjQxNzIxAwAAAAMxNjACAAAAAzEzOQQAAAABMAcAAAAJMy8yOS8yMDI2CAAAAAk1LzI5LzIwMjEJAAAAATCseOR6RI3eCPKKln5Ejd4IOUNJUS5OQVNEQVE6Q0FMTS5JUV9FWFRSQV9BQ0NfSVRFTVMuOTk0LjI5LzAzLzIwMjYuLi5VU0QuSAEAAAAgegUAAwAAAAAArHjkekSN3ggPApZ+RI3eCDVDSVEuTkFTREFROkNBTE0uSVFfTklfQ09NUEFO</t>
  </si>
  <si>
    <t>WS4xMDAwLjI5LzAzLzIwMjYuLi5VU0QuSAEAAAAgegUAAgAAAAgxMjE4LjIzMgEIAAAABQAAAAExAQAAAAstMTkzNDk3ODM4MQMAAAADMTYwAgAAAAU0MTU3MQQAAAABMAcAAAAJMy8yOS8yMDI2CAAAAAk1LzMxLzIwMjUJAAAAATCseOR6RI3eCBPblX5Ejd4IN0NJUS5OQVNEQVE6Q0FMTS5JUV9OSV9BVkFJTF9JTkNMLjk5OC4yOS8wMy8yMDI2Li4uVVNELkgBAAAAIHoFAAIAAAAHNzU4LjAyNAEIAAAABQAAAAExAQAAAAstMTkzNDk3ODQyMAMAAAADMTYwAgAAAAIxNgQAAAABMAcAAAAJMy8yOS8yMDI2CAAAAAg2LzMvMjAyMwkAAAABMKx45HpEjd4I5GWVfkSN3ggyQ0lRLk5BU0RBUTpDQUxNLklRX0VQU19OT1JNLjk5NC4yOS8wMy8yMDI2Li4uVVNELkgBAAAAIHoFAAIAAAAIMC44OTU5ODUBCAAAAAUAAAABMQEAAAALLTIxNDI0MjkwMzkDAAAAAzE2MAIAAAAENDM3OQQAAAABMAcAAAAJMy8yOS8yMDI2CAAAAAg2LzEvMjAxOQkAAAABMBWf5HpEjd4IfdyUfkSN3gg3Q0lRLk5BU0RBUTpDQUxNLklRX0NVUlJFTkNZX0dBSU4uOTk2LjI5LzAzLzIwMjYuLi5VU0QuSAEAAAAgegUAAwAAAAAAgVHkekSN3gjUw5d+RI3eCDNDSVEuTkFTREFROkNBTE0uSVFfRUJUX0VYQ0wuMTAwMC4yOS8wMy8yMDI2Li4uVVNELkgBAAAAIHoFAAIAAAAIMTYxNy44MDcBCAAAAAUAAAABMQEAAAALLTE5MzQ5NzgzODEDAAAA</t>
  </si>
  <si>
    <t>AzE2MAIAAAABNAQAAAABMAcAAAAJMy8yOS8yMDI2CAAAAAk1LzMxLzIwMjUJAAAAATCBUeR6RI3eCLScl35Ejd4IMENJUS5OQVNEQVE6Q0FMTS5JUV9NRVJHRVIuOTk0LjI5LzAzLzIwMjYuLi5VU0QuSAEAAAAgegUAAwAAAAAArHjkekSN3giZdZd+RI3eCDhDSVEuTkFTREFROkNBTE0uSVFfSU1QQUlSTUVOVF9HVy4xMDAwLjI5LzAzLzIwMjYuLi5VU0QuSAEAAAAgegUAAwAAAAAArHjkekSN3giEJ5d+RI3eCC5DSVEuTkFTREFROkNBTE0uSVFfSVBSRC45OTguMjkvMDMvMjAyNi4uLlVTRC5IAQAAACB6BQADAAAAAACseOR6RI3eCHIAl35Ejd4IOENJUS5OQVNEQVE6Q0FMTS5JUV9CQVNJQ19FUFNfSU5DTC45OTMuMjkvMDMvMjAyNi4uLlVTRC5IAQAAACB6BQACAAAACDIuNjA0NDI5AQgAAAAFAAAAATEBAAAACjIwNDU3NDkzMTADAAAAAzE2MAIAAAABOQQAAAABMAcAAAAJMy8yOS8yMDI2CAAAAAg2LzIvMjAxOAkAAAABMKx45HpEjd4IpT6VfkSN3gg2Q0lRLk5BU0RBUTpDQUxNLklRX0lOVF9JTlZfSU5DLjEwMDAuMjkvMDMvMjAyNi4uLlVTRC5IAQAAACB6BQADAAAAAABaKuR6RI3eCDeDmn5Ejd4IMUNJUS5OQVNEQVE6Q0FMTS5JUV9SRF9FWFAuMTAwMC4yOS8wMy8yMDI2Li4uVVNELkgBAAAAIHoFAAMAAAAAAIFR5HpEjd4IVTeZfkSN3gg0Q0lRLk5BU0RBUTpDQUxNLklRX09USEVSX09QRVIuOTk4</t>
  </si>
  <si>
    <t>LjI5LzAzLzIwMjYuLi5VU0QuSAEAAAAgegUAAwAAAAAAgVHkekSN3ggLwph+RI3eCDZDSVEuTkFTREFROkNBTE0uSVFfSU5URVJFU1RfRVhQLjk5OC4yOS8wMy8yMDI2Li4uVVNELkgBAAAAIHoFAAIAAAAGLTAuNTgzAQgAAAAFAAAAATEBAAAACy0xOTM0OTc4NDIwAwAAAAMxNjACAAAAAjgyBAAAAAEwBwAAAAkzLzI5LzIwMjYIAAAACDYvMy8yMDIzCQAAAAEwgVHkekSN3gj8TJh+RI3eCENDSVEuTkFTREFROkNBTE0uSVFfRElTVFJJQlVUQUJMRV9DQVNIX1NIQVJFLjEwMDAuMjkvMDMvMjAyNi4uLlVTRC5IAQAAACB6BQADAAAAAAAVn+R6RI3eCGxAlH5Ejd4IPENJUS5OQVNEQVE6Q0FMTS5JUV9DVVJSX0ZPUkVJR05fVEFYRVMuOTk0LjI5LzAzLzIwMjYuLi5VU0QuSAEAAAAgegUAAwAAAAAAVwuWekSN3ggV35B+RI3eCC1DSVEuTkFTREFROkNBTE0uSVFfUkVWLjk5Ny4yOS8wMy8yMDI2Li4uVVNELkgBAAAAIHoFAAIAAAAIMTc3Ny4xNTkBCAAAAAUAAAABMQEAAAALLTE5ODY3MDg0MzMDAAAAAzE2MAIAAAADMTEyBAAAAAEwBwAAAAkzLzI5LzIwMjYIAAAACTUvMjgvMjAyMgkAAAABMFoq5HpEjd4IOwybfkSN3gg5Q0lRLk5BU0RBUTpDQUxNLklRX0ZJTl9ESVZfSU5UX0VYUC45OTMuMjkvMDMvMjAyNi4uLlVTRC5IAQAAACB6BQADAAAAAACBUeR6RI3eCAznmX5Ejd4ILkNJUS5OQVNEQVE6Q0FMTS5J</t>
  </si>
  <si>
    <t>UV9JUFJELjk5OS4yOS8wMy8yMDI2Li4uVVNELkgBAAAAIHoFAAMAAAAAAKx45HpEjd4IcgCXfkSN3gg3Q0lRLk5BU0RBUTpDQUxNLklRX0lOQ19FUVVJVFlfQ0YuOTk4LjI5LzAzLzIwMjYuLi5VU0QuSAEAAAAgegUAAwAAAAAAi+N/ekSN3gg+WIh+RI3eCDNDSVEuTkFTREFROkNBTE0uSVFfQ0hBTkdFX0FSLjk5NC4yOS8wMy8yMDI2Li4uVVNELkgBAAAAIHoFAAIAAAAGMTYuMDEyAQgAAAAFAAAAATEBAAAACy0yMTQyNDI5MDM5AwAAAAMxNjACAAAABDIwMTgEAAAAATAHAAAACTMvMjkvMjAyNggAAAAINi8xLzIwMTkJAAAAATCL4396RI3eCNeUh35Ejd4IL0NJUS5OQVNEQVE6Q0FMTS5JUV9DQVBFWC45OTUuMjkvMDMvMjAyNi4uLlVTRC5IAQAAACB6BQACAAAACC0xMjQuMTc4AQgAAAAFAAAAATEBAAAACy0yMDg4MzQ3NDY5AwAAAAMxNjACAAAABDIwMjEEAAAAATAHAAAACTMvMjkvMjAyNggAAAAJNS8zMC8yMDIwCQAAAAEwi+N/ekSN3ghYooZ+RI3eCDRDSVEuTkFTREFROkNBTE0uSVFfQ09NTU9OX1JFUC45OTUuMjkvMDMvMjAyNi4uLlVTRC5IAQAAACB6BQACAAAABS0wLjkxAQgAAAAFAAAAATEBAAAACy0yMDg4MzQ3NDY5AwAAAAMxNjACAAAABDIxNjQEAAAAATAHAAAACTMvMjkvMjAyNggAAAAJNS8zMC8yMDIwCQAAAAEw1wqAekSN3ghPuYR+RI3eCD5DSVEuTkFTREFROkNBTE0uSVFfQ0FTSF9J</t>
  </si>
  <si>
    <t>TlRFUkVTVF9JTlZFU1QuOTk4LjI5LzAzLzIwMjYuLi5VU0QuSAEAAAAgegUAAwAAAAAAG1l/ekSN3ghZkoF+RI3eCEFDSVEuTkFTREFROkNBTE0uSVFfUkVTVFJfU1RPQ0tfQ09NUF9QUkVUQVguOTk3LjI5LzAzLzIwMjYuLi5VU0QuSAEAAAAgegUAAwAAAAAASLx/ekSN3gg8o4p+RI3eCEBDSVEuTkFTREFROkNBTE0uSVFfU1RPQ0tfT1BUSU9OU19DT01QX1RBWC45OTcuMjkvMDMvMjAyNi4uLlVTRC5IAQAAACB6BQADAAAAAABIvH96RI3eCOAZin5Ejd4IPkNJUS5OQVNEQVE6Q0FMTS5JUV9TVE9DS19CQVNFRF9DT01QX1RBWC45OTkuMjkvMDMvMjAyNi4uLlVTRC5IAQAAACB6BQADAAAAAABIvH96RI3eCLGkiX5Ejd4IO0NJUS5OQVNEQVE6Q0FMTS5JUV9HV19JTlRBTl9BTU9SVF9DRi45OTYuMjkvMDMvMjAyNi4uLlVTRC5IAQAAACB6BQADAAAAAABIvH96RI3eCOF9iX5Ejd4IPkNJUS5OQVNEQVE6Q0FMTS5JUV9NSU5PUklUWV9JTlRFUkVTVF9DRi45OTcuMjkvMDMvMjAyNi4uLlVTRC5IAQAAACB6BQADAAAAAABIvH96RI3eCJcIiX5Ejd4IM0NJUS5OQVNEQVE6Q0FMTS5JUV9NQVJLRVRJTkcuOTk2LjI5LzAzLzIwMjYuLi5VU0QuSAEAAAAgegUAAwAAAAAAilmWekSN3ggrnI5+RI3eCDhDSVEuTkFTREFROkNBTE0uSVFfTUlOSU1VTV9SRU5UQUwuOTk0LjI5LzAzLzIwMjYuLi5VU0QuSAEAAAAgegUA</t>
  </si>
  <si>
    <t>AwAAAAAAilmWekSN3gja2I1+RI3eCERDSVEuTkFTREFROkNBTE0uSVFfREVQUkVDSUFUSU9OX1JFTlRBTF9BU1NFVFMuOTk0LjI5LzAzLzIwMjYuLi5VU0QuSAEAAAAgegUAAwAAAAAAilmWekSN3giSio1+RI3eCDZDSVEuTkFTREFROkNBTE0uSVFfTUFJTlRfUkVQQUlSLjk5OS4yOS8wMy8yMDI2Li4uVVNELkgBAAAAIHoFAAMAAAAAAIpZlnpEjd4ISGONfkSN3ghBQ0lRLk5BU0RBUTpDQUxNLklRX1NBTEFSSUVTX09USEVSX0JFTkVGSVRTLjk5OS4yOS8wMy8yMDI2Li4uVVNELkgBAAAAIHoFAAMAAAAAAIpZlnpEjd4IeQGNfkSN3ghBQ0lRLk5BU0RBUTpDQUxNLklRX0VYQ0lTRV9UQVhFU19JTkNMX1NBTEVTLjk5My4yOS8wMy8yMDI2Li4uVVNELkgBAAAAIHoFAAMAAAAAAFcLlnpEjd4IMy2RfkSN3gg8Q0lRLk5BU0RBUTpDQUxNLklRX0NVUlJfRk9SRUlHTl9UQVhFUy45OTMuMjkvMDMvMjAyNi4uLlVTRC5IAQAAACB6BQADAAAAAABXC5Z6RI3eCBXfkH5Ejd4IQUNJUS5OQVNEQVE6Q0FMTS5JUV9ERUZFUlJFRF9ET01FU1RJQ19UQVhFUy45OTMuMjkvMDMvMjAyNi4uLlVTRC5IAQAAACB6BQACAAAABy0zMy44MDkBCAAAAAUAAAABMQEAAAAKMjA0NTc0OTMxMAMAAAADMTYwAgAAAAQzMDU0BAAAAAEwBwAAAAkzLzI5LzIwMjYIAAAACDYvMi8yMDE4CQAAAAEwVwuWekSN3ggOuJB+RI3eCDJDSVEuTkFT</t>
  </si>
  <si>
    <t>REFROkNBTE0uSVFfRElMVVRfTkkuOTk3LjI5LzAzLzIwMjYuLi5VU0QuSAEAAAAgegUAAgAAAAkxMzIuNTU2NDgBCAAAAAUAAAABMQEAAAALLTE5ODY3MDg0MzMDAAAAAzE2MAIAAAAEMzUyMgQAAAABMAcAAAAJMy8yOS8yMDI2CAAAAAk1LzI4LzIwMjIJAAAAATB9MpZ6RI3eCMMukH5Ejd4INUNJUS5OQVNEQVE6Q0FMTS5JUV9JTlRfRVhQX0xURC45OTUuMjkvMDMvMjAyNi4uLlVTRC5IAQAAACB6BQADAAAAAAB9MpZ6RI3eCJ/gj35Ejd4IOENJUS5OQVNEQVE6Q0FMTS5JUV9FQklUQV9FWENMX1NCQy45OTkuMjkvMDMvMjAyNi4uLlVTRC5IAQAAACB6BQACAAAABzMyMC42MjUBCAAAAAUAAAABMQEAAAALLTE5MzQ5Nzg0ODADAAAAAzE2MAIAAAAFMjQxMzYEAAAAATAHAAAACTMvMjkvMjAyNggAAAAINi8xLzIwMjQJAAAAATBb5JV6RI3eCNvHkn5Ejd4IO0NJUS5OQVNEQVE6Q0FMTS5JUV9FQklUREFSX0VYQ0xfU0JDLjEwMDAuMjkvMDMvMjAyNi4uLlVTRC5IAQAAACB6BQADAAAAAABXC5Z6RI3eCMFSkn5Ejd4IPENJUS5OQVNEQVE6Q0FMTS5JUV9BU19SRVBPUlRFRF9FQklUREEuOTk5LjI5LzAzLzIwMjYuLi5VU0QuSAEAAAAgegUAAwAAAAAAVwuWekSN3ghwyZF+RI3eCENDSVEuTkFTREFROkNBTE0uSVFfRUFSTklOR19QQVJFTlRfRVhDTF9FWFRSQS45OTkuMjkvMDMvMjAyNi4uLlVTRC5IAQAAACB6</t>
  </si>
  <si>
    <t>BQACAAAABzI3Ny44ODgBCAAAAAUAAAABMQEAAAALLTE5MzQ5Nzg0ODADAAAAAzE2MAIAAAAFNDE1OTYEAAAAATAHAAAACTMvMjkvMjAyNggAAAAINi8xLzIwMjQJAAAAATBXC5Z6RI3eCGOikX5Ejd4IOUNJUS5OQVNEQVE6Q0FMTS5JUV9JTlRFUkVTVF9JTkNPTUUuOTk3LjI5LzAzLzIwMjYuLi5VU0QuSAEAAAAgegUAAgAAAAYxMS4xMTgBCAAAAAUAAAABMQEAAAALLTE5ODY3MDg0MzMDAAAAAzE2MAIAAAADMjEwBAAAAAEwBwAAAAkzLzI5LzIwMjYIAAAACTUvMjgvMjAyMgkAAAABMFcLlnpEjd4IPVSRfkSN3ggwQ0lRLk5BU0RBUTpDQUxNLklRX0VCSVREQS45OTYuMjkvMDMvMjAyNi4uLlVTRC5IAQAAACB6BQACAAAABjM2LjE5NQEIAAAABQAAAAExAQAAAAstMjAzNzI0MTcyMQMAAAADMTYwAgAAAAQ0MDUxBAAAAAEwBwAAAAkzLzI5LzIwMjYIAAAACTUvMjkvMjAyMQkAAAABMBWf5HpEjd4IHRmUfkSN3ghAQ0lRLk5BU0RBUTpDQUxNLklRX0VCSVREQV9FUV9JTkNfRVhDTF9TQkMuOTk4LjI5LzAzLzIwMjYuLi5VU0QuSAEAAAAgegUAAgAAAAgxMDQxLjQzNQEIAAAABQAAAAExAQAAAAstMTkzNDk3ODQyMAMAAAADMTYwAgAAAAUyNDEzMQQAAAABMAcAAAAJMy8yOS8yMDI2CAAAAAg2LzMvMjAyMwkAAAABMBWf5HpEjd4Iz/GTfkSN3ghAQ0lRLk5BU0RBUTpDQUxNLklRX0VCSVREQV9MRUFTRV9BREpV</t>
  </si>
  <si>
    <t>U1RFRC4xMDAwLjI5LzAzLzIwMjYuLi5VU0QuSAEAAAAgegUAAgAAAAgxNjQ1LjQ1NwEIAAAABQAAAAExAQAAAAstMTkzNDk3ODM4MQMAAAADMTYwAgAAAAU0ODk5MwQAAAABMAcAAAAJMy8yOS8yMDI2CAAAAAk1LzMxLzIwMjUJAAAAATAVn+R6RI3eCDPGk35Ejd4IN0NJUS5OQVNEQVE6Q0FMTS5JUV9FQklUX0VYQ0xfU0JDLjk5Ni4yOS8wMy8yMDI2Li4uVVNELkgBAAAAIHoFAAIAAAAHLTE5LjUwNAEIAAAABQAAAAExAQAAAAstMjAzNzI0MTcyMQMAAAADMTYwAgAAAAUyNDEzNAQAAAABMAcAAAAJMy8yOS8yMDI2CAAAAAk1LzI5LzIwMjEJAAAAATBBxuR6RI3eCAgWk35Ejd4INkNJUS5OQVNEQVE6Q0FMTS5JUV9FQklUQV9FUV9JTkMuOTk4LjI5LzAzLzIwMjYuLi5VU0QuSAEAAAAgegUAAgAAAAY5NjcuMjMBCAAAAAUAAAABMQEAAAALLTE5MzQ5Nzg0MjADAAAAAzE2MAIAAAAFMjE2NzYEAAAAATAHAAAACTMvMjkvMjAyNggAAAAINi8zLzIwMjMJAAAAATBb5JV6RI3eCNvHkn5Ejd4ILENJUS5OQVNEQVE6Q0FMTS5JUV9OSS45OTUuMjkvMDMvMjAyNi4uLlVTRC5IAQAAACB6BQACAAAABjE4LjM5MQEIAAAABQAAAAExAQAAAAstMjA4ODM0NzQ2OQMAAAADMTYwAgAAAAIxNQQAAAABMAcAAAAJMy8yOS8yMDI2CAAAAAk1LzMwLzIwMjAJAAAAATCseOR6RI3eCOSzlX5Ejd4IN0NJUS5OQVNEQVE6Q0FMTS5J</t>
  </si>
  <si>
    <t>UV9OSV9BVkFJTF9JTkNMLjk5OS4yOS8wMy8yMDI2Li4uVVNELkgBAAAAIHoFAAIAAAAHMjc3Ljg4OAEIAAAABQAAAAExAQAAAAstMTkzNDk3ODQ4MAMAAAADMTYwAgAAAAIxNgQAAAABMAcAAAAJMy8yOS8yMDI2CAAAAAg2LzEvMjAyNAkAAAABMKx45HpEjd4I84yVfkSN3ggzQ0lRLk5BU0RBUTpDQUxNLklRX0RJVl9TSEFSRS45OTkuMjkvMDMvMjAyNi4uLlVTRC5IAQAAACB6BQACAAAABTEuODg5AQgAAAAFAAAAATEBAAAACy0xOTM0OTc4NDgwAwAAAAMxNjACAAAABDMwNTgEAAAAATAHAAAACTMvMjkvMjAyNggAAAAINi8xLzIwMjQJAAAAATAVn+R6RI3eCEmOlH5Ejd4IOUNJUS5OQVNEQVE6Q0FMTS5JUV9UT1RBTF9SRVZfU0hBUkUuOTkzLjI5LzAzLzIwMjYuLi5VU0QuSAEAAAAgegUAAgAAAAkzMS4wODI0OTcBCAAAAAUAAAABMQEAAAAKMjA0NTc0OTMxMAMAAAADMTYwAgAAAAQ0MzgyBAAAAAEwBwAAAAkzLzI5LzIwMjYIAAAACDYvMi8yMDE4CQAAAAEwFZ/kekSN3ghiZ5R+RI3eCEJDSVEuTkFTREFROkNBTE0uSVFfRElTVFJJQlVUQUJMRV9DQVNIX1NIQVJFLjk5OS4yOS8wMy8yMDI2Li4uVVNELkgBAAAAIHoFAAMAAAAAABWf5HpEjd4IbECUfkSN3gg2Q0lRLk5BU0RBUTpDQUxNLklRX0lOVEVSRVNUX0VYUC45OTkuMjkvMDMvMjAyNi4uLlVTRC5IAQAAACB6BQACAAAABi0wLjU0OQEIAAAABQAA</t>
  </si>
  <si>
    <t>AAExAQAAAAstMTkzNDk3ODQ4MAMAAAADMTYwAgAAAAI4MgQAAAABMAcAAAAJMy8yOS8yMDI2CAAAAAg2LzEvMjAyNAkAAAABMIFR5HpEjd4I/EyYfkSN3ggwQ0lRLk5BU0RBUTpDQUxNLklRX01FUkdFUi45OTUuMjkvMDMvMjAyNi4uLlVTRC5IAQAAACB6BQADAAAAAACseOR6RI3eCJl1l35Ejd4IOUNJUS5OQVNEQVE6Q0FMTS5JUV9BU1NFVF9XUklURURPV04uOTkzLjI5LzAzLzIwMjYuLi5VU0QuSAEAAAAgegUAAwAAAAAArHjkekSN3giEJ5d+RI3eCC1DSVEuTkFTREFROkNBTE0uSVFfRUJULjk5Ny4yOS8wMy8yMDI2Li4uVVNELkgBAAAAIHoFAAIAAAAHMTY2LjAxNQEIAAAABQAAAAExAQAAAAstMTk4NjcwODQzMwMAAAADMTYwAgAAAAMxMzkEAAAAATAHAAAACTMvMjkvMjAyNggAAAAJNS8yOC8yMDIyCQAAAAEwrHjkekSN3gjyipZ+RI3eCDlDSVEuTkFTREFROkNBTE0uSVFfRVhUUkFfQUNDX0lURU1TLjk5NS4yOS8wMy8yMDI2Li4uVVNELkgBAAAAIHoFAAMAAAAAAKx45HpEjd4IDwKWfkSN3gg1Q0lRLk5BU0RBUTpDQUxNLklRX0lOVF9FWFBfTFRELjk5Ny4yOS8wMy8yMDI2Li4uVVNELkgBAAAAIHoFAAIAAAAFMC40MDMBCAAAAAUAAAABMQEAAAALLTE5ODY3MDg0MzMDAAAAAzE2MAIAAAAEMzEwMQQAAAABMAcAAAAJMy8yOS8yMDI2CAAAAAk1LzI4LzIwMjIJAAAAATB9MpZ6RI3eCJ/gj35Ejd4I</t>
  </si>
  <si>
    <t>OUNJUS5OQVNEQVE6Q0FMTS5JUV9HQUlOX0FTU0VUU19SRVYuOTk3LjI5LzAzLzIwMjYuLi5VU0QuSAEAAAAgegUAAwAAAAAAWirkekSN3gg9qpp+RI3eCDNDSVEuTkFTREFROkNBTE0uSVFfVE9UQUxfUkVWLjk5NS4yOS8wMy8yMDI2Li4uVVNELkgBAAAAIHoFAAIAAAAIMTM1MS42MDkBCAAAAAUAAAABMQEAAAALLTIwODgzNDc0NjkDAAAAAzE2MAIAAAACMjgEAAAAATAHAAAACTMvMjkvMjAyNggAAAAJNS8zMC8yMDIwCQAAAAEwWirkekSN3ggnXJp+RI3eCCxDSVEuTkFTREFROkNBTE0uSVFfR1AuOTk5LjI5LzAzLzIwMjYuLi5VU0QuSAEAAAAgegUAAgAAAAc1NDEuNTcxAQgAAAAFAAAAATEBAAAACy0xOTM0OTc4NDgwAwAAAAMxNjACAAAAAjEwBAAAAAEwBwAAAAkzLzI5LzIwMjYIAAAACDYvMS8yMDI0CQAAAAEwgVHkekSN3gjhv5l+RI3eCDVDSVEuTkFTREFROkNBTE0uSVFfU1RPQ0tfQkFTRUQuOTk3LjI5LzAzLzIwMjYuLi5VU0QuSAEAAAAgegUAAwAAAAAAgVHkekSN3ghVN5l+RI3eCDlDSVEuTkFTREFROkNBTE0uSVFfVE9UQUxfUkVWX1NIQVJFLjk5NC4yOS8wMy8yMDI2Li4uVVNELkgBAAAAIHoFAAIAAAAJMjguMDg0ODQxAQgAAAAFAAAAATEBAAAACy0yMTQyNDI5MDM5AwAAAAMxNjACAAAABDQzODIEAAAAATAHAAAACTMvMjkvMjAyNggAAAAINi8xLzIwMTkJAAAAATAVn+R6RI3eCGJnlH5E</t>
  </si>
  <si>
    <t>jd4IMENJUS5OQVNEQVE6Q0FMTS5JUV9FQklUREEuOTk3LjI5LzAzLzIwMjYuLi5VU0QuSAEAAAAgegUAAgAAAAcyMDYuODIzAQgAAAAFAAAAATEBAAAACy0xOTg2NzA4NDMzAwAAAAMxNjACAAAABDQwNTEEAAAAATAHAAAACTMvMjkvMjAyNggAAAAJNS8yOC8yMDIyCQAAAAEwFZ/kekSN3ggdGZR+RI3eCDdDSVEuTkFTREFROkNBTE0uSVFfRUJJVF9FWENMX1NCQy45OTcuMjkvMDMvMjAyNi4uLlVTRC5IAQAAACB6BQACAAAABzE0Mi40OTEBCAAAAAUAAAABMQEAAAALLTE5ODY3MDg0MzMDAAAAAzE2MAIAAAAFMjQxMzQEAAAAATAHAAAACTMvMjkvMjAyNggAAAAJNS8yOC8yMDIyCQAAAAEwQcbkekSN3ggIFpN+RI3eCDlDSVEuTkFTREFROkNBTE0uSVFfSU5URVJFU1RfSU5DT01FLjk5OC4yOS8wMy8yMDI2Li4uVVNELkgBAAAAIHoFAAIAAAAGMjguNzkyAQgAAAAFAAAAATEBAAAACy0xOTM0OTc4NDIwAwAAAAMxNjACAAAAAzIxMAQAAAABMAcAAAAJMy8yOS8yMDI2CAAAAAg2LzMvMjAyMwkAAAABMFcLlnpEjd4IPVSRfkSN3ghBQ0lRLk5BU0RBUTpDQUxNLklRX0RFRkVSUkVEX0RPTUVTVElDX1RBWEVTLjk5NC4yOS8wMy8yMDI2Li4uVVNELkgBAAAAIHoFAAIAAAAFNi4xMjMBCAAAAAUAAAABMQEAAAALLTIxNDI0MjkwMzkDAAAAAzE2MAIAAAAEMzA1NAQAAAABMAcAAAAJMy8yOS8yMDI2CAAAAAg2LzEv</t>
  </si>
  <si>
    <t>MjAxOQkAAAABMFcLlnpEjd4IDriQfkSN3gg7Q0lRLk5BU0RBUTpDQUxNLklRX0dXX0lOVEFOX0FNT1JUX0NGLjk5Ny4yOS8wMy8yMDI2Li4uVVNELkgBAAAAIHoFAAMAAAAAAEi8f3pEjd4IzFaJfkSN3gg+Q0lRLk5BU0RBUTpDQUxNLklRX01JTk9SSVRZX0lOVEVSRVNUX0NGLjk5My4yOS8wMy8yMDI2Li4uVVNELkgBAAAAIHoFAAMAAAAAAEi8f3pEjd4IlwiJfkSN3ghAQ0lRLk5BU0RBUTpDQUxNLklRX0NIQU5HRV9UUkFESU5HX0FTU0VUUy4xMDAwLjI5LzAzLzIwMjYuLi5VU0QuSAEAAAAgegUAAwAAAAAAi+N/ekSN3gjXlId+RI3eCC9DSVEuTkFTREFROkNBTE0uSVFfQ0FQRVguOTkzLjI5LzAzLzIwMjYuLi5VU0QuSAEAAAAgegUAAgAAAActMTkuNjcxAQgAAAAFAAAAATEBAAAACjIwNDU3NDkzMTADAAAAAzE2MAIAAAAEMjAyMQQAAAABMAcAAAAJMy8yOS8yMDI2CAAAAAg2LzIvMjAxOAkAAAABMIvjf3pEjd4IWKKGfkSN3gg0Q0lRLk5BU0RBUTpDQUxNLklRX0NPTU1PTl9SRVAuOTkzLjI5LzAzLzIwMjYuLi5VU0QuSAEAAAAgegUAAgAAAAYtMS4xMjgBCAAAAAUAAAABMQEAAAAKMjA0NTc0OTMxMAMAAAADMTYwAgAAAAQyMTY0BAAAAAEwBwAAAAkzLzI5LzIwMjYIAAAACDYvMi8yMDE4CQAAAAEw1wqAekSN3ghp4IR+RI3eCD1DSVEuTkFTREFROkNBTE0uSVFfTEVHQUxfU0VUVExFX1NVUFBMRS45</t>
  </si>
  <si>
    <t>OTMuMjkvMDMvMjAyNi4uLlVTRC5IAQAAACB6BQADAAAAAACUgJZ6RI3eCMwWjH5Ejd4IOkNJUS5OQVNEQVE6Q0FMTS5JUV9TVE9DS19CQVNFRF9DT0dTLjk5NS4yOS8wMy8yMDI2Li4uVVNELkgBAAAAIHoFAAMAAAAAAJSAlnpEjd4Id2aLfkSN3gg4Q0lRLk5BU0RBUTpDQUxNLklRX1NUT0NLX0JBU0VEX0dBLjk5NC4yOS8wMy8yMDI2Li4uVVNELkgBAAAAIHoFAAMAAAAAAJSAlnpEjd4IWj+LfkSN3ghBQ0lRLk5BU0RBUTpDQUxNLklRX1JFU1RSX1NUT0NLX0NPTVBfUFJFVEFYLjk5OC4yOS8wMy8yMDI2Li4uVVNELkgBAAAAIHoFAAMAAAAAAEi8f3pEjd4IPKOKfkSN3ghEQ0lRLk5BU0RBUTpDQUxNLklRX1NUT0NLX09QVElPTlNfQ09NUF9QUkVUQVguMTAwMC4yOS8wMy8yMDI2Li4uVVNELkgBAAAAIHoFAAMAAAAAAEi8f3pEjd4I4BmKfkSN3gg4Q0lRLk5BU0RBUTpDQUxNLklRX01JTklNVU1fUkVOVEFMLjk5NS4yOS8wMy8yMDI2Li4uVVNELkgBAAAAIHoFAAMAAAAAAIpZlnpEjd4I2tiNfkSN3ghEQ0lRLk5BU0RBUTpDQUxNLklRX0RFUFJFQ0lBVElPTl9SRU5UQUxfQVNTRVRTLjk5NS4yOS8wMy8yMDI2Li4uVVNELkgBAAAAIHoFAAMAAAAAAIpZlnpEjd4IkoqNfkSN3gg3Q0lRLk5BU0RBUTpDQUxNLklRX01BSU5UX1JFUEFJUi4xMDAwLjI5LzAzLzIwMjYuLi5VU0QuSAEAAAAgegUAAwAAAAAAilmW</t>
  </si>
  <si>
    <t>ekSN3ghIY41+RI3eCD5DSVEuTkFTREFROkNBTE0uSVFfSU1QQUlSTUVOVF9HV19TVVBQTEUuOTkzLjI5LzAzLzIwMjYuLi5VU0QuSAEAAAAgegUAAwAAAAAAilmWekSN3gg3s4x+RI3eCDpDSVEuTkFTREFROkNBTE0uSVFfR0FJTl9CQVJHQUlOX0FDUS45OTQuMjkvMDMvMjAyNi4uLlVTRC5IAQAAACB6BQADAAAAAACUgJZ6RI3eCBdljH5Ejd4IOENJUS5OQVNEQVE6Q0FMTS5JUV9PVEhFUl9PUEVSX0FDVC45OTkuMjkvMDMvMjAyNi4uLlVTRC5IAQAAACB6BQACAAAABy0xMi42ODYBCAAAAAUAAAABMQEAAAALLTE5MzQ5Nzg0ODADAAAAAzE2MAIAAAAEMjA0NwQAAAABMAcAAAAJMy8yOS8yMDI2CAAAAAg2LzEvMjAyNAkAAAABMIvjf3pEjd4I57uHfkSN3ggzQ0lRLk5BU0RBUTpDQUxNLklRX0NBU0hfT1BFUi45OTcuMjkvMDMvMjAyNi4uLlVTRC5IAQAAACB6BQACAAAABzEyNi4yMDkBCAAAAAUAAAABMQEAAAALLTE5ODY3MDg0MzMDAAAAAzE2MAIAAAAEMjAwNgQAAAABMAcAAAAJMy8yOS8yMDI2CAAAAAk1LzI4LzIwMjIJAAAAATCL4396RI3eCGfJhn5Ejd4IO0NJUS5OQVNEQVE6Q0FMTS5JUV9UT1RBTF9ERUJUX1JFUEFJRC45OTQuMjkvMDMvMjAyNi4uLlVTRC5IAQAAACB6BQACAAAABi0zLjc1NAEIAAAABQAAAAExAQAAAAstMjE0MjQyOTAzOQMAAAADMTYwAgAAAAQyMTY2BAAAAAEwBwAAAAkzLzI5</t>
  </si>
  <si>
    <t>LzIwMjYIAAAACDYvMS8yMDE5CQAAAAEw1wqAekSN3gifB4V+RI3eCDpDSVEuTkFTREFROkNBTE0uSVFfSU5UX0VYUF9JTkNMX0NBUC45OTUuMjkvMDMvMjAyNi4uLlVTRC5IAQAAACB6BQACAAAABTAuNDk4AQgAAAAFAAAAATEBAAAACy0yMDg4MzQ3NDY5AwAAAAMxNjACAAAABTIxODYxBAAAAAEwBwAAAAkzLzI5LzIwMjYIAAAACTUvMzAvMjAyMAkAAAABMH0ylnpEjd4IrJKPfkSN3ggzQ0lRLk5BU0RBUTpDQUxNLklRX01BUktFVElORy45OTcuMjkvMDMvMjAyNi4uLlVTRC5IAQAAACB6BQADAAAAAACKWZZ6RI3eCCucjn5Ejd4IO0NJUS5OQVNEQVE6Q0FMTS5JUV9TVE9DS19CQVNFRF9PVEhFUi45OTMuMjkvMDMvMjAyNi4uLlVTRC5IAQAAACB6BQADAAAAAABIvH96RI3eCETxin5Ejd4IQUNJUS5OQVNEQVE6Q0FMTS5JUV9SRVNUUl9TVE9DS19DT01QX1BSRVRBWC45OTkuMjkvMDMvMjAyNi4uLlVTRC5IAQAAACB6BQADAAAAAABIvH96RI3eCDyjin5Ejd4IPkNJUS5OQVNEQVE6Q0FMTS5JUV9TVE9DS19CQVNFRF9DT01QX1RBWC45OTQuMjkvMDMvMjAyNi4uLlVTRC5IAQAAACB6BQADAAAAAABIvH96RI3eCMrLiX5Ejd4IPkNJUS5OQVNEQVE6Q0FMTS5JUV9NSU5PUklUWV9JTlRFUkVTVF9DRi45OTQuMjkvMDMvMjAyNi4uLlVTRC5IAQAAACB6BQADAAAAAABIvH96RI3eCJcIiX5Ejd4IOENJUS5OQVNE</t>
  </si>
  <si>
    <t>QVE6Q0FMTS5JUV9DUkVESVRfTE9TU19DRi45OTkuMjkvMDMvMjAyNi4uLlVTRC5IAQAAACB6BQADAAAAAACL4396RI3eCD5YiH5Ejd4INUNJUS5OQVNEQVE6Q0FMTS5JUV9JUFJEX1NVUFBMRS45OTcuMjkvMDMvMjAyNi4uLlVTRC5IAQAAACB6BQADAAAAAACUgJZ6RI3eCBdljH5Ejd4IO0NJUS5OQVNEQVE6Q0FMTS5JUV9JTlNfU0VUVExFX1NVUFBMRS45OTYuMjkvMDMvMjAyNi4uLlVTRC5IAQAAACB6BQADAAAAAACUgJZ6RI3eCAU+jH5Ejd4IPkNJUS5OQVNEQVE6Q0FMTS5JUV9UT1RBTF9VTlVTVUFMX1NVUFBMRS45OTUuMjkvMDMvMjAyNi4uLlVTRC5IAQAAACB6BQACAAAABi0yLjkxOQEIAAAABQAAAAExAQAAAAstMjA4ODM0NzQ2OQMAAAADMTYwAgAAAAUzMzM5MAQAAAABMAcAAAAJMy8yOS8yMDI2CAAAAAk1LzMwLzIwMjAJAAAAATCUgJZ6RI3eCL/bi35Ejd4IOkNJUS5OQVNEQVE6Q0FMTS5JUV9TVE9DS19CQVNFRF9DT0dTLjk5Ni4yOS8wMy8yMDI2Li4uVVNELkgBAAAAIHoFAAMAAAAAAJSAlnpEjd4IfI2LfkSN3gg4Q0lRLk5BU0RBUTpDQUxNLklRX1NUT0NLX0JBU0VEX0dBLjk5NS4yOS8wMy8yMDI2Li4uVVNELkgBAAAAIHoFAAMAAAAAAJSAlnpEjd4IWj+LfkSN3gg+Q0lRLk5BU0RBUTpDQUxNLklRX1NUT0NLX0JBU0VEX0NPTVBfVEFYLjk5NS4yOS8wMy8yMDI2Li4uVVNELkgBAAAAIHoF</t>
  </si>
  <si>
    <t>AAMAAAAAAEi8f3pEjd4IysuJfkSN3gg+Q0lRLk5BU0RBUTpDQUxNLklRX01JTk9SSVRZX0lOVEVSRVNUX0NGLjk5NS4yOS8wMy8yMDI2Li4uVVNELkgBAAAAIHoFAAMAAAAAAEi8f3pEjd4IlwiJfkSN3gg5Q0lRLk5BU0RBUTpDQUxNLklRX09USEVSX09QRVJfQUNULjEwMDAuMjkvMDMvMjAyNi4uLlVTRC5IAQAAACB6BQACAAAABTkuMzI4AQgAAAAFAAAAATEBAAAACy0xOTM0OTc4MzgxAwAAAAMxNjACAAAABDIwNDcEAAAAATAHAAAACTMvMjkvMjAyNggAAAAJNS8zMS8yMDI1CQAAAAEwi+N/ekSN3gjnu4d+RI3eCDZDSVEuTkFTREFROkNBTE0uSVFfQU1PUlRfRElDX0NGLjk5OC4yOS8wMy8yMDI2Li4uVVNELkgBAAAAIHoFAAMAAAAAAKYxgHpEjd4ImVWCfkSN3gg+Q0lRLk5BU0RBUTpDQUxNLklRX0lNUEFJUk1FTlRfR1dfU1VQUExFLjk5NC4yOS8wMy8yMDI2Li4uVVNELkgBAAAAIHoFAAMAAAAAAIpZlnpEjd4IN7OMfkSN3gg+Q0lRLk5BU0RBUTpDQUxNLklRX1RPVEFMX1VOVVNVQUxfU1VQUExFLjk5OC4yOS8wMy8yMDI2Li4uVVNELkgBAAAAIHoFAAMAAAAAAJSAlnpEjd4Ihu+LfkSN3gg6Q0lRLk5BU0RBUTpDQUxNLklRX1NUT0NLX0JBU0VEX0NPR1MuOTk3LjI5LzAzLzIwMjYuLi5VU0QuSAEAAAAgegUAAwAAAAAAlICWekSN3gh8jYt+RI3eCDhDSVEuTkFTREFROkNBTE0uSVFfU1RPQ0tfQkFT</t>
  </si>
  <si>
    <t>RURfR0EuOTk2LjI5LzAzLzIwMjYuLi5VU0QuSAEAAAAgegUAAwAAAAAAlICWekSN3ghaP4t+RI3eCENDSVEuTkFTREFROkNBTE0uSVFfU1RPQ0tfQkFTRURfRVhQTE9SRV9EUklMTC45OTkuMjkvMDMvMjAyNi4uLlVTRC5IAQAAACB6BQADAAAAAACNgX96RI3eCETxin5Ejd4IQkNJUS5OQVNEQVE6Q0FMTS5JUV9SRVNUUl9TVE9DS19DT01QX1BSRVRBWC4xMDAwLjI5LzAzLzIwMjYuLi5VU0QuSAEAAAAgegUAAwAAAAAASLx/ekSN3gg8o4p+RI3eCDhDSVEuTkFTREFROkNBTE0uSVFfTUlOSU1VTV9SRU5UQUwuOTk3LjI5LzAzLzIwMjYuLi5VU0QuSAEAAAAgegUAAwAAAAAAilmWekSN3gja2I1+RI3eCEFDSVEuTkFTREFROkNBTE0uSVFfU0FMQVJJRVNfT1RIRVJfQkVORUZJVFMuOTk0LjI5LzAzLzIwMjYuLi5VU0QuSAEAAAAgegUAAwAAAAAAilmWekSN3gh5AY1+RI3eCD5DSVEuTkFTREFROkNBTE0uSVFfSU1QQUlSTUVOVF9HV19TVVBQTEUuOTk1LjI5LzAzLzIwMjYuLi5VU0QuSAEAAAAgegUAAwAAAAAAilmWekSN3gg3s4x+RI3eCDVDSVEuTkFTREFROkNBTE0uSVFfSVBSRF9TVVBQTEUuOTk4LjI5LzAzLzIwMjYuLi5VU0QuSAEAAAAgegUAAwAAAAAAlICWekSN3ggXZYx+RI3eCDtDSVEuTkFTREFROkNBTE0uSVFfSU5TX1NFVFRMRV9TVVBQTEUuOTk3LjI5LzAzLzIwMjYuLi5VU0QuSAEAAAAgegUA</t>
  </si>
  <si>
    <t>AwAAAAAAlICWekSN3ggFPox+RI3eCEFDSVEuTkFTREFROkNBTE0uSVFfREVGRVJSRURfRE9NRVNUSUNfVEFYRVMuOTk2LjI5LzAzLzIwMjYuLi5VU0QuSAEAAAAgegUAAgAAAAYyMi4zNTEBCAAAAAUAAAABMQEAAAALLTIwMzcyNDE3MjEDAAAAAzE2MAIAAAAEMzA1NAQAAAABMAcAAAAJMy8yOS8yMDI2CAAAAAk1LzI5LzIwMjEJAAAAATBXC5Z6RI3eCA64kH5Ejd4IPkNJUS5OQVNEQVE6Q0FMTS5JUV9ERUZFUlJFRF9UQVhFU19UT1RBTC45OTYuMjkvMDMvMjAyNi4uLlVTRC5IAQAAACB6BQACAAAABjIyLjM1MQEIAAAABQAAAAExAQAAAAstMjAzNzI0MTcyMQMAAAADMTYwAgAAAAUzNTM4NQQAAAABMAcAAAAJMy8yOS8yMDI2CAAAAAk1LzI5LzIwMjEJAAAAATB9MpZ6RI3eCJNpkH5Ejd4IOkNJUS5OQVNEQVE6Q0FMTS5JUV9JTlRfRVhQX0lOQ0xfQ0FQLjk5Ny4yOS8wMy8yMDI2Li4uVVNELkgBAAAAIHoFAAIAAAAFMC40MDMBCAAAAAUAAAABMQEAAAALLTE5ODY3MDg0MzMDAAAAAzE2MAIAAAAFMjE4NjEEAAAAATAHAAAACTMvMjkvMjAyNggAAAAJNS8yOC8yMDIyCQAAAAEwfTKWekSN3gh/uY9+RI3eCDxDSVEuTkFTREFROkNBTE0uSVFfRElTVFJJQlVUQUJMRV9DQVNILjk5My4yOS8wMy8yMDI2Li4uVVNELkgBAAAAIHoFAAMAAAAAAH0ylnpEjd4InGuPfkSN3gg4Q0lRLk5BU0RBUTpDQUxNLklRX05F</t>
  </si>
  <si>
    <t>VF9SRU5UQUxfRVhQLjk5Ni4yOS8wMy8yMDI2Li4uVVNELkgBAAAAIHoFAAMAAAAAAIpZlnpEjd4IACeOfkSN3gg4Q0lRLk5BU0RBUTpDQUxNLklRX1NUX0RFQlRfUkVQQUlELjk5NC4yOS8wMy8yMDI2Li4uVVNELkgBAAAAIHoFAAMAAAAAANcKgHpEjd4IfS6FfkSN3gg+Q0lRLk5BU0RBUTpDQUxNLklRX05FR0FUSVZFX0dXX0FNT1JUX0NGLjk5Ny4yOS8wMy8yMDI2Li4uVVNELkgBAAAAIHoFAAMAAAAAAKYxgHpEjd4IqXyCfkSN3gg6Q0lRLk5BU0RBUTpDQUxNLklRX0VCSVREQVJfRVhDTF9TQkMuOTk1LjI5LzAzLzIwMjYuLi5VU0QuSAEAAAAgegUAAwAAAAAAVwuWekSN3giUK5J+RI3eCEJDSVEuTkFTREFROkNBTE0uSVFfRVhDSVNFX1RBWEVTX0VYQ0xfU0FMRVMuMTAwMC4yOS8wMy8yMDI2Li4uVVNELkgBAAAAIHoFAAMAAAAAAFcLlnpEjd4IMy2RfkSN3gg8Q0lRLk5BU0RBUTpDQUxNLklRX0NVUlJfRk9SRUlHTl9UQVhFUy45OTYuMjkvMDMvMjAyNi4uLlVTRC5IAQAAACB6BQADAAAAAABXC5Z6RI3eCBXfkH5Ejd4IQ0NJUS5OQVNEQVE6Q0FMTS5JUV9TVE9DS19PUFRJT05TX0NPTVBfUFJFVEFYLjk5Ni4yOS8wMy8yMDI2Li4uVVNELkgBAAAAIHoFAAMAAAAAAEi8f3pEjd4I4BmKfkSN3ghBQ0lRLk5BU0RBUTpDQUxNLklRX1NUT0NLX0JBU0VEX0NPTVBfUFJFVEFYLjk5OS4yOS8wMy8yMDI2Li4u</t>
  </si>
  <si>
    <t>VVNELkgBAAAAIHoFAAIAAAAFNC4zNTgASLx/ekSN3gjKy4l+RI3eCDtDSVEuTkFTREFROkNBTE0uSVFfR1dfSU5UQU5fQU1PUlRfQ0YuOTkzLjI5LzAzLzIwMjYuLi5VU0QuSAEAAAAgegUAAgAAAAMyLjgBCAAAAAUAAAABMQEAAAAKMjA0NTc0OTMxMAMAAAADMTYwAgAAAAQyMTgyBAAAAAEwBwAAAAkzLzI5LzIwMjYIAAAACDYvMi8yMDE4CQAAAAEwSLx/ekSN3gjMVol+RI3eCDVDSVEuTkFTREFROkNBTE0uSVFfT1RIRVJfQU1PUlQuOTk5LjI5LzAzLzIwMjYuLi5VU0QuSAEAAAAgegUAAwAAAAAASLx/ekSN3giXCIl+RI3eCDhDSVEuTkFTREFROkNBTE0uSVFfQ1JFRElUX0xPU1NfQ0YuOTk0LjI5LzAzLzIwMjYuLi5VU0QuSAEAAAAgegUAAwAAAAAAi+N/ekSN3gg+f4h+RI3eCDtDSVEuTkFTREFROkNBTE0uSVFfSU5TX1NFVFRMRV9TVVBQTEUuOTk5LjI5LzAzLzIwMjYuLi5VU0QuSAEAAAAgegUAAwAAAAAAlICWekSN3gjMFox+RI3eCD5DSVEuTkFTREFROkNBTE0uSVFfVE9UQUxfVU5VU1VBTF9TVVBQTEUuOTk5LjI5LzAzLzIwMjYuLi5VU0QuSAEAAAAgegUAAwAAAAAAlICWekSN3giG74t+RI3eCDpDSVEuTkFTREFROkNBTE0uSVFfU1RPQ0tfQkFTRURfQ09HUy45OTguMjkvMDMvMjAyNi4uLlVTRC5IAQAAACB6BQADAAAAAACUgJZ6RI3eCHyNi35Ejd4IOENJUS5OQVNEQVE6Q0FMTS5JUV9TVE9D</t>
  </si>
  <si>
    <t>S19CQVNFRF9HQS45OTcuMjkvMDMvMjAyNi4uLlVTRC5IAQAAACB6BQADAAAAAACUgJZ6RI3eCFo/i35Ejd4IRENJUS5OQVNEQVE6Q0FMTS5JUV9TVE9DS19CQVNFRF9FWFBMT1JFX0RSSUxMLjEwMDAuMjkvMDMvMjAyNi4uLlVTRC5IAQAAACB6BQADAAAAAACNgX96RI3eCETxin5Ejd4IPENJUS5OQVNEQVE6Q0FMTS5JUV9DT05USU5HRU5UX1JFTlRBTC4xMDAwLjI5LzAzLzIwMjYuLi5VU0QuSAEAAAAgegUAAwAAAAAAilmWekSN3gja2I1+RI3eCDZDSVEuTkFTREFROkNBTE0uSVFfTUFJTlRfUkVQQUlSLjk5My4yOS8wMy8yMDI2Li4uVVNELkgBAAAAIHoFAAMAAAAAAIpZlnpEjd4ISGONfkSN3ghBQ0lRLk5BU0RBUTpDQUxNLklRX1NBTEFSSUVTX09USEVSX0JFTkVGSVRTLjk5NS4yOS8wMy8yMDI2Li4uVVNELkgBAAAAIHoFAAMAAAAAAIpZlnpEjd4IeQGNfkSN3gg4Q0lRLk5BU0RBUTpDQUxNLklRX01FUkdFUl9TVVBQTEUuMTAwMC4yOS8wMy8yMDI2Li4uVVNELkgBAAAAIHoFAAMAAAAAAIpZlnpEjd4IN7OMfkSN3gg1Q0lRLk5BU0RBUTpDQUxNLklRX0lQUkRfU1VQUExFLjk5OS4yOS8wMy8yMDI2Li4uVVNELkgBAAAAIHoFAAMAAAAAAJSAlnpEjd4IF2WMfkSN3ggxQ0lRLk5BU0RBUTpDQUxNLklRX05JX05PUk0uOTk1LjI5LzAzLzIwMjYuLi5VU0QuSAEAAAAgegUAAgAAAAgxMi41NjQyNQEIAAAA</t>
  </si>
  <si>
    <t>BQAAAAExAQAAAAstMjA4ODM0NzQ2OQMAAAADMTYwAgAAAAQ0Mzc4BAAAAAEwBwAAAAkzLzI5LzIwMjYIAAAACTUvMzAvMjAyMAkAAAABMH0ylnpEjd4Iwy6QfkSN3gg6Q0lRLk5BU0RBUTpDQUxNLklRX0lOVF9FWFBfSU5DTF9DQVAuOTk4LjI5LzAzLzIwMjYuLi5VU0QuSAEAAAAgegUAAgAAAAUwLjU4MwEIAAAABQAAAAExAQAAAAstMTkzNDk3ODQyMAMAAAADMTYwAgAAAAUyMTg2MQQAAAABMAcAAAAJMy8yOS8yMDI2CAAAAAg2LzMvMjAyMwkAAAABMH0ylnpEjd4If7mPfkSN3ggzQ0lRLk5BU0RBUTpDQUxNLklRX0RBX0VCSVREQS45OTcuMjkvMDMvMjAyNi4uLlVTRC5IAQAAACB6BQACAAAABjY4LjM5NQEIAAAABQAAAAExAQAAAAstMTk4NjcwODQzMwMAAAADMTYwAgAAAAQyMjA2BAAAAAEwBwAAAAkzLzI5LzIwMjYIAAAACTUvMjgvMjAyMgkAAAABMH0ylnpEjd4IrJKPfkSN3ggwQ0lRLk5BU0RBUTpDQUxNLklRX0dBX0VYUC45OTUuMjkvMDMvMjAyNi4uLlVTRC5IAQAAACB6BQADAAAAAACKWZZ6RI3eCBFOjn5Ejd4IOENJUS5OQVNEQVE6Q0FMTS5JUV9ORVRfUkVOVEFMX0VYUC45OTcuMjkvMDMvMjAyNi4uLlVTRC5IAQAAACB6BQADAAAAAACKWZZ6RI3eCAAnjn5Ejd4IQ0NJUS5OQVNEQVE6Q0FMTS5JUV9FQVJOSU5HX1BBUkVOVF9FWENMX0VYVFJBLjk5My4yOS8wMy8yMDI2Li4uVVNELkgBAAAA</t>
  </si>
  <si>
    <t>IHoFAAIAAAAHMTI1LjkzMgEIAAAABQAAAAExAQAAAAoyMDQ1NzQ5MzEwAwAAAAMxNjACAAAABTQxNTk2BAAAAAEwBwAAAAkzLzI5LzIwMjYIAAAACDYvMi8yMDE4CQAAAAEwVwuWekSN3ghjopF+RI3eCDlDSVEuTkFTREFROkNBTE0uSVFfSU5URVJFU1RfSU5DT01FLjk5My4yOS8wMy8yMDI2Li4uVVNELkgBAAAAIHoFAAIAAAAGMTEuOTgzAQgAAAAFAAAAATEBAAAACjIwNDU3NDkzMTADAAAAAzE2MAIAAAADMjEwBAAAAAEwBwAAAAkzLzI5LzIwMjYIAAAACDYvMi8yMDE4CQAAAAEwVwuWekSN3gg9VJF+RI3eCD1DSVEuTkFTREFROkNBTE0uSVFfQ1VSUl9ET01FU1RJQ19UQVhFUy45OTkuMjkvMDMvMjAyNi4uLlVTRC5IAQAAACB6BQACAAAABjkzLjM2MQEIAAAABQAAAAExAQAAAAstMTkzNDk3ODQ4MAMAAAADMTYwAgAAAAQzMDI3BAAAAAEwBwAAAAkzLzI5LzIwMjYIAAAACDYvMS8yMDI0CQAAAAEwVwuWekSN3gggBpF+RI3eCEFDSVEuTkFTREFROkNBTE0uSVFfREVGRVJSRURfRE9NRVNUSUNfVEFYRVMuOTk3LjI5LzAzLzIwMjYuLi5VU0QuSAEAAAAgegUAAgAAAAU1LjY3NgEIAAAABQAAAAExAQAAAAstMTk4NjcwODQzMwMAAAADMTYwAgAAAAQzMDU0BAAAAAEwBwAAAAkzLzI5LzIwMjYIAAAACTUvMjgvMjAyMgkAAAABMFcLlnpEjd4IDriQfkSN3gg+Q0lRLk5BU0RBUTpDQUxNLklRX0RFRkVSUkVE</t>
  </si>
  <si>
    <t>X1RBWEVTX1RPVEFMLjk5Ny4yOS8wMy8yMDI2Li4uVVNELkgBAAAAIHoFAAIAAAAFNS42NzYBCAAAAAUAAAABMQEAAAALLTE5ODY3MDg0MzMDAAAAAzE2MAIAAAAFMzUzODUEAAAAATAHAAAACTMvMjkvMjAyNggAAAAJNS8yOC8yMDIyCQAAAAEwfTKWekSN3ggTkZB+RI3eCDhDSVEuTkFTREFROkNBTE0uSVFfRUJJVF9FWENMX1NCQy4xMDAwLjI5LzAzLzIwMjYuLi5VU0QuSAEAAAAgegUAAgAAAAgxNTU1Ljk2MwEIAAAABQAAAAExAQAAAAstMTkzNDk3ODM4MQMAAAADMTYwAgAAAAUyNDEzNAQAAAABMAcAAAAJMy8yOS8yMDI2CAAAAAk1LzMxLzIwMjUJAAAAATBBxuR6RI3eCAgWk35Ejd4IOENJUS5OQVNEQVE6Q0FMTS5JUV9FQklUQV9FWENMX1NCQy45OTQuMjkvMDMvMjAyNi4uLlVTRC5IAQAAACB6BQACAAAABjUyLjIzMwEIAAAABQAAAAExAQAAAAstMjE0MjQyOTAzOQMAAAADMTYwAgAAAAUyNDEzNgQAAAABMAcAAAAJMy8yOS8yMDI2CAAAAAg2LzEvMjAxOQkAAAABMFvklXpEjd4IzaCSfkSN3gg4Q0lRLk5BU0RBUTpDQUxNLklRX0VCSVREQVJfRVFfSU5DLjk5Ni4yOS8wMy8yMDI2Li4uVVNELkgBAAAAIHoFAAMAAAAAAFcLlnpEjd4I4XmSfkSN3gg6Q0lRLk5BU0RBUTpDQUxNLklRX0VCSVREQVJfRVhDTF9TQkMuOTk2LjI5LzAzLzIwMjYuLi5VU0QuSAEAAAAgegUAAwAAAAAAVwuWekSN3gjBUpJ+</t>
  </si>
  <si>
    <t>RI3eCDxDSVEuTkFTREFROkNBTE0uSVFfQVNfUkVQT1JURURfRUJJVERBLjk5My4yOS8wMy8yMDI2Li4uVVNELkgBAAAAIHoFAAMAAAAAAFcLlnpEjd4IcMmRfkSN3ggzQ0lRLk5BU0RBUTpDQUxNLklRX0RJVl9TSEFSRS45OTMuMjkvMDMvMjAyNi4uLlVTRC5IAQAAACB6BQACAAAABTAuMzUxAQgAAAAFAAAAATEBAAAACjIwNDU3NDkzMTADAAAAAzE2MAIAAAAEMzA1OAQAAAABMAcAAAAJMy8yOS8yMDI2CAAAAAg2LzIvMjAxOAkAAAABMBWf5HpEjd4ISY6UfkSN3ghAQ0lRLk5BU0RBUTpDQUxNLklRX0VCSVREQV9FUV9JTkNfRVhDTF9TQkMuOTkzLjI5LzAzLzIwMjYuLi5VU0QuSAEAAAAgegUAAgAAAAYyNDIuNzQBCAAAAAUAAAABMQEAAAAKMjA0NTc0OTMxMAMAAAADMTYwAgAAAAUyNDEzMQQAAAABMAcAAAAJMy8yOS8yMDI2CAAAAAg2LzIvMjAxOAkAAAABMBWf5HpEjd4Iz/GTfkSN3gg/Q0lRLk5BU0RBUTpDQUxNLklRX0VCSVREQV9MRUFTRV9BREpVU1RFRC45OTQuMjkvMDMvMjAyNi4uLlVTRC5IAQAAACB6BQACAAAABzEwMC40NjQBCAAAAAUAAAABMQEAAAALLTIxNDI0MjkwMzkDAAAAAzE2MAIAAAAFNDg5OTMEAAAAATAHAAAACTMvMjkvMjAyNggAAAAINi8xLzIwMTkJAAAAATAVn+R6RI3eCBWfk35Ejd4IS0NJUS5OQVNEQVE6Q0FMTS5JUV9FQklUREFfRVFfSU5DX0VYQ0xfT1BFUl9MRUFTRV9B</t>
  </si>
  <si>
    <t>REouOTk2LjI5LzAzLzIwMjYuLi5VU0QuSAEAAAAgegUAAgAAAAYzNi44MTcBCAAAAAUAAAABMQEAAAALLTIwMzcyNDE3MjEDAAAAAzE2MAIAAAAFNDg5ODcEAAAAATAHAAAACTMvMjkvMjAyNggAAAAJNS8yOS8yMDIxCQAAAAEwFZ/kekSN3ggVn5N+RI3eCDVDSVEuTkFTREFROkNBTE0uSVFfRUJJVF9FUV9JTkMuOTk4LjI5LzAzLzIwMjYuLi5VU0QuSAEAAAAgegUAAgAAAAc5NjQuOTk2AQgAAAAFAAAAATEBAAAACy0xOTM0OTc4NDIwAwAAAAMxNjACAAAABTIxNjc1BAAAAAEwBwAAAAkzLzI5LzIwMjYIAAAACDYvMy8yMDIzCQAAAAEwQcbkekSN3ggCPZN+RI3eCDVDSVEuTkFTREFROkNBTE0uSVFfREFfU1VQUExfQ0YuOTk3LjI5LzAzLzIwMjYuLi5VU0QuSAEAAAAgegUAAgAAAAY2OC4zOTUBCAAAAAUAAAABMQEAAAALLTE5ODY3MDg0MzMDAAAAAzE2MAIAAAAEMjE3MQQAAAABMAcAAAAJMy8yOS8yMDI2CAAAAAk1LzI4LzIwMjIJAAAAATBIvH96RI3eCOF9iX5Ejd4IOENJUS5OQVNEQVE6Q0FMTS5JUV9DUkVESVRfTE9TU19DRi45OTUuMjkvMDMvMjAyNi4uLlVTRC5IAQAAACB6BQADAAAAAACL4396RI3eCD5/iH5Ejd4IN0NJUS5OQVNEQVE6Q0FMTS5JUV9OSV9BVkFJTF9FWENMLjk5OS4yOS8wMy8yMDI2Li4uVVNELkgBAAAAIHoFAAIAAAAHMjc3Ljg4OAEIAAAABQAAAAExAQAAAAstMTkzNDk3ODQ4</t>
  </si>
  <si>
    <t>MAMAAAADMTYwAgAAAAMzNzkEAAAAATAHAAAACTMvMjkvMjAyNggAAAAINi8xLzIwMjQJAAAAATCseOR6RI3eCKU+lX5Ejd4IOENJUS5OQVNEQVE6Q0FMTS5JUV9ESUxVVF9FUFNfSU5DTC45OTcuMjkvMDMvMjAyNi4uLlVTRC5IAQAAACB6BQACAAAABDIuNzIBCAAAAAUAAAABMQEAAAALLTE5ODY3MDg0MzMDAAAAAzE2MAIAAAABOAQAAAABMAcAAAAJMy8yOS8yMDI2CAAAAAk1LzI4LzIwMjIJAAAAATAVn+R6RI3eCJYXlX5Ejd4IOENJUS5OQVNEQVE6Q0FMTS5JUV9ESUxVVF9FUFNfTk9STS45OTUuMjkvMDMvMjAyNi4uLlVTRC5IAQAAACB6BQACAAAACDAuMjU4NjA4AQgAAAAFAAAAATEBAAAACy0yMDg4MzQ3NDY5AwAAAAMxNjACAAAABDQzODAEAAAAATAHAAAACTMvMjkvMjAyNggAAAAJNS8zMC8yMDIwCQAAAAEwFZ/kekSN3ghytZR+RI3eCDhDSVEuTkFTREFROkNBTE0uSVFfTkVUX1JFTlRBTF9FWFAuOTk4LjI5LzAzLzIwMjYuLi5VU0QuSAEAAAAgegUAAwAAAAAAilmWekSN3ggAJ45+RI3eCDZDSVEuTkFTREFROkNBTE0uSVFfTUFJTlRfUkVQQUlSLjk5Ni4yOS8wMy8yMDI2Li4uVVNELkgBAAAAIHoFAAMAAAAAAIpZlnpEjd4ISGONfkSN3gg1Q0lRLk5BU0RBUTpDQUxNLklRX0lQUkRfU1VQUExFLjk5My4yOS8wMy8yMDI2Li4uVVNELkgBAAAAIHoFAAMAAAAAAJSAlnpEjd4IJIyMfkSN3ghBQ0lR</t>
  </si>
  <si>
    <t>Lk5BU0RBUTpDQUxNLklRX1JFU1RSX1NUT0NLX0NPTVBfUFJFVEFYLjk5My4yOS8wMy8yMDI2Li4uVVNELkgBAAAAIHoFAAMAAAAAAEi8f3pEjd4IPKOKfkSN3ghDQ0lRLk5BU0RBUTpDQUxNLklRX1NUT0NLX09QVElPTlNfQ09NUF9QUkVUQVguOTk3LjI5LzAzLzIwMjYuLi5VU0QuSAEAAAAgegUAAwAAAAAASLx/ekSN3gjgGYp+RI3eCDNDSVEuTkFTREFROkNBTE0uSVFfREFfRUJJVERBLjk5OC4yOS8wMy8yMDI2Li4uVVNELkgBAAAAIHoFAAIAAAAGNzIuMjM0AQgAAAAFAAAAATEBAAAACy0xOTM0OTc4NDIwAwAAAAMxNjACAAAABDIyMDYEAAAAATAHAAAACTMvMjkvMjAyNggAAAAINi8zLzIwMjMJAAAAATB9MpZ6RI3eCJxrj35Ejd4IQENJUS5OQVNEQVE6Q0FMTS5JUV9BTk5VX0RJU1RSSUJVVElPTl9VTklULjk5Ni4yOS8wMy8yMDI2Li4uVVNELkgBAAAAIHoFAAMAAAAAAH0ylnpEjd4IGx2PfkSN3ggtQ0lRLk5BU0RBUTpDQUxNLklRX0RJQy45OTYuMjkvMDMvMjAyNi4uLlVTRC5IAQAAACB6BQADAAAAAAB9MpZ6RI3eCD3Djn5Ejd4IM0NJUS5OQVNEQVE6Q0FMTS5JUV9NQVJLRVRJTkcuOTkzLjI5LzAzLzIwMjYuLi5VU0QuSAEAAAAgegUAAwAAAAAAilmWekSN3ggrnI5+RI3eCDBDSVEuTkFTREFROkNBTE0uSVFfR0FfRVhQLjk5Ni4yOS8wMy8yMDI2Li4uVVNELkgBAAAAIHoFAAMAAAAAAIpZlnpE</t>
  </si>
  <si>
    <t>jd4IG3WOfkSN3gg+Q0lRLk5BU0RBUTpDQUxNLklRX0NVUlJfRE9NRVNUSUNfVEFYRVMuMTAwMC4yOS8wMy8yMDI2Li4uVVNELkgBAAAAIHoFAAIAAAAGMzczLjM0AQgAAAAFAAAAATEBAAAACy0xOTM0OTc4MzgxAwAAAAMxNjACAAAABDMwMjcEAAAAATAHAAAACTMvMjkvMjAyNggAAAAJNS8zMS8yMDI1CQAAAAEwVwuWekSN3gggBpF+RI3eCDVDSVEuTkFTREFROkNBTE0uSVFfQ1VSUl9UQVhFUy4xMDAwLjI5LzAzLzIwMjYuLi5VU0QuSAEAAAAgegUAAgAAAAYzNzMuMzQBCAAAAAUAAAABMQEAAAALLTE5MzQ5NzgzODEDAAAAAzE2MAIAAAAFMzUzODMEAAAAATAHAAAACTMvMjkvMjAyNggAAAAJNS8zMS8yMDI1CQAAAAEwVwuWekSN3ggOuJB+RI3eCD5DSVEuTkFTREFROkNBTE0uSVFfREVGRVJSRURfVEFYRVNfVE9UQUwuOTk4LjI5LzAzLzIwMjYuLi5VU0QuSAEAAAAgegUAAgAAAAYyNC40NjcBCAAAAAUAAAABMQEAAAALLTE5MzQ5Nzg0MjADAAAAAzE2MAIAAAAFMzUzODUEAAAAATAHAAAACTMvMjkvMjAyNggAAAAINi8zLzIwMjMJAAAAATB9MpZ6RI3eCBORkH5Ejd4IMUNJUS5OQVNEQVE6Q0FMTS5JUV9OSV9OT1JNLjk5Ny4yOS8wMy8yMDI2Li4uVVNELkgBAAAAIHoFAAIAAAAKMTAwLjcwOTYyNQEIAAAABQAAAAExAQAAAAstMTk4NjcwODQzMwMAAAADMTYwAgAAAAQ0Mzc4BAAAAAEwBwAAAAkzLzI5</t>
  </si>
  <si>
    <t>LzIwMjYIAAAACTUvMjgvMjAyMgkAAAABMH0ylnpEjd4Iwy6QfkSN3gg6Q0lRLk5BU0RBUTpDQUxNLklRX0lOVF9FWFBfSU5DTF9DQVAuOTk5LjI5LzAzLzIwMjYuLi5VU0QuSAEAAAAgegUAAgAAAAUwLjU0OQEIAAAABQAAAAExAQAAAAstMTkzNDk3ODQ4MAMAAAADMTYwAgAAAAUyMTg2MQQAAAABMAcAAAAJMy8yOS8yMDI2CAAAAAg2LzEvMjAyNAkAAAABMH0ylnpEjd4If7mPfkSN3gg6Q0lRLk5BU0RBUTpDQUxNLklRX0VCSVREQVJfRVhDTF9TQkMuOTk3LjI5LzAzLzIwMjYuLi5VU0QuSAEAAAAgegUAAwAAAAAAVwuWekSN3gjBUpJ+RI3eCDtDSVEuTkFTREFROkNBTE0uSVFfRkVFU19PVEhFUl9JTkNPTUUuOTk4LjI5LzAzLzIwMjYuLi5VU0QuSAEAAAAgegUAAwAAAAAAVwuWekSN3ghPBJJ+RI3eCDxDSVEuTkFTREFROkNBTE0uSVFfQVNfUkVQT1JURURfRUJJVERBLjk5NC4yOS8wMy8yMDI2Li4uVVNELkgBAAAAIHoFAAMAAAAAAFcLlnpEjd4ITwSSfkSN3ghDQ0lRLk5BU0RBUTpDQUxNLklRX0VBUk5JTkdfUEFSRU5UX0VYQ0xfRVhUUkEuOTk0LjI5LzAzLzIwMjYuLi5VU0QuSAEAAAAgegUAAgAAAAY1NC4yMjkBCAAAAAUAAAABMQEAAAALLTIxNDI0MjkwMzkDAAAAAzE2MAIAAAAFNDE1OTYEAAAAATAHAAAACTMvMjkvMjAyNggAAAAINi8xLzIwMTkJAAAAATBXC5Z6RI3eCGOikX5Ejd4IOUNJUS5O</t>
  </si>
  <si>
    <t>QVNEQVE6Q0FMTS5JUV9JTlRFUkVTVF9JTkNPTUUuOTk0LjI5LzAzLzIwMjYuLi5VU0QuSAEAAAAgegUAAgAAAAUxOC40NgEIAAAABQAAAAExAQAAAAstMjE0MjQyOTAzOQMAAAADMTYwAgAAAAMyMTAEAAAAATAHAAAACTMvMjkvMjAyNggAAAAINi8xLzIwMTkJAAAAATBXC5Z6RI3eCD1UkX5Ejd4IS0NJUS5OQVNEQVE6Q0FMTS5JUV9FQklUREFfRVFfSU5DX0VYQ0xfT1BFUl9MRUFTRV9BREouOTk3LjI5LzAzLzIwMjYuLi5VU0QuSAEAAAAgegUAAgAAAAcyMDguNzY2AQgAAAAFAAAAATEBAAAACy0xOTg2NzA4NDMzAwAAAAMxNjACAAAABTQ4OTg3BAAAAAEwBwAAAAkzLzI5LzIwMjYIAAAACTUvMjgvMjAyMgkAAAABMBWf5HpEjd4IFZ+TfkSN3gg1Q0lRLk5BU0RBUTpDQUxNLklRX0VCSVRfRVFfSU5DLjk5OS4yOS8wMy8yMDI2Li4uVVNELkgBAAAAIHoFAAIAAAAHMzE1LjUxNAEIAAAABQAAAAExAQAAAAstMTkzNDk3ODQ4MAMAAAADMTYwAgAAAAUyMTY3NQQAAAABMAcAAAAJMy8yOS8yMDI2CAAAAAg2LzEvMjAyNAkAAAABMEHG5HpEjd4IAj2TfkSN3gg2Q0lRLk5BU0RBUTpDQUxNLklRX0VCSVRBX0VRX0lOQy45OTMuMjkvMDMvMjAyNi4uLlVTRC5IAQAAACB6BQACAAAABzE4OC4wNDcBCAAAAAUAAAABMQEAAAAKMjA0NTc0OTMxMAMAAAADMTYwAgAAAAUyMTY3NgQAAAABMAcAAAAJMy8yOS8yMDI2CAAA</t>
  </si>
  <si>
    <t>AAg2LzIvMjAxOAkAAAABMFvklXpEjd4I6u6SfkSN3gg4Q0lRLk5BU0RBUTpDQUxNLklRX0VCSVRBX0VYQ0xfU0JDLjk5NS4yOS8wMy8yMDI2Li4uVVNELkgBAAAAIHoFAAIAAAAFNy44NjgBCAAAAAUAAAABMQEAAAALLTIwODgzNDc0NjkDAAAAAzE2MAIAAAAFMjQxMzYEAAAAATAHAAAACTMvMjkvMjAyNggAAAAJNS8zMC8yMDIwCQAAAAEwW+SVekSN3gjNoJJ+RI3eCDhDSVEuTkFTREFROkNBTE0uSVFfRUJJVERBUl9FUV9JTkMuOTk3LjI5LzAzLzIwMjYuLi5VU0QuSAEAAAAgegUAAwAAAAAAVwuWekSN3gjheZJ+RI3eCDJDSVEuTkFTREFROkNBTE0uSVFfTE9BTlNfQ0YuOTk5LjI5LzAzLzIwMjYuLi5VU0QuSAEAAAAgegUAAwAAAAAAi+N/ekSN3gg+f4h+RI3eCC9DSVEuTkFTREFROkNBTE0uSVFfRE9fQ0YuOTk3LjI5LzAzLzIwMjYuLi5VU0QuSAEAAAAgegUAAwAAAAAAi+N/ekSN3gjnu4d+RI3eCDhDSVEuTkFTREFROkNBTE0uSVFfTFRfREVCVF9JU1NVRUQuOTkzLjI5LzAzLzIwMjYuLi5VU0QuSAEAAAAgegUAAwAAAAAA1wqAekSN3gi6fIV+RI3eCEBDSVEuTkFTREFROkNBTE0uSVFfRUJJVERBX0VRX0lOQ19FWENMX1NCQy45OTQuMjkvMDMvMjAyNi4uLlVTRC5IAQAAACB6BQACAAAABzEwOC44NTkBCAAAAAUAAAABMQEAAAALLTIxNDI0MjkwMzkDAAAAAzE2MAIAAAAFMjQxMzEEAAAAATAHAAAA</t>
  </si>
  <si>
    <t>CTMvMjkvMjAyNggAAAAINi8xLzIwMTkJAAAAATAVn+R6RI3eCM/xk35Ejd4IP0NJUS5OQVNEQVE6Q0FMTS5JUV9FQklUREFfTEVBU0VfQURKVVNURUQuOTk1LjI5LzAzLzIwMjYuLi5VU0QuSAEAAAAgegUAAgAAAAY2NC4xNTQBCAAAAAUAAAABMQEAAAALLTIwODgzNDc0NjkDAAAAAzE2MAIAAAAFNDg5OTMEAAAAATAHAAAACTMvMjkvMjAyNggAAAAJNS8zMC8yMDIwCQAAAAEwFZ/kekSN3ggVn5N+RI3eCDVDSVEuTkFTREFROkNBTE0uSVFfREFfU1VQUExfQ0YuOTkzLjI5LzAzLzIwMjYuLi5VU0QuSAEAAAAgegUAAgAAAAY1MS4yMjYBCAAAAAUAAAABMQEAAAAKMjA0NTc0OTMxMAMAAAADMTYwAgAAAAQyMTcxBAAAAAEwBwAAAAkzLzI5LzIwMjYIAAAACDYvMi8yMDE4CQAAAAEwSLx/ekSN3gjhfYl+RI3eCDVDSVEuTkFTREFROkNBTE0uSVFfT1RIRVJfQU1PUlQuOTk1LjI5LzAzLzIwMjYuLi5VU0QuSAEAAAAgegUAAwAAAAAASLx/ekSN3giXCIl+RI3eCDJDSVEuTkFTREFROkNBTE0uSVFfTE9BTlNfQ0YuOTk0LjI5LzAzLzIwMjYuLi5VU0QuSAEAAAAgegUAAwAAAAAAi+N/ekSN3gg+f4h+RI3eCC9DSVEuTkFTREFROkNBTE0uSVFfRE9fQ0YuOTk5LjI5LzAzLzIwMjYuLi5VU0QuSAEAAAAgegUAAwAAAAAAi+N/ekSN3gjnu4d+RI3eCDVDSVEuTkFTREFROkNBTE0uSVFfT1RIRVJfQU1PUlQuOTkzLjI5</t>
  </si>
  <si>
    <t>LzAzLzIwMjYuLi5VU0QuSAEAAAAgegUAAwAAAAAASLx/ekSN3giXCIl+RI3eCD5DSVEuTkFTREFROkNBTE0uSVFfT1RIRVJfVU5VU1VBTF9TVVBQTEUuOTk3LjI5LzAzLzIwMjYuLi5VU0QuSAEAAAAgegUAAwAAAAAAlICWekSN3giG74t+RI3eCD5DSVEuTkFTREFROkNBTE0uSVFfTkVHQVRJVkVfR1dfQU1PUlRfQVQuOTk2LjI5LzAzLzIwMjYuLi5VU0QuSAEAAAAgegUAAwAAAAAAlICWekSN3gh8jYt+RI3eCDtDSVEuTkFTREFROkNBTE0uSVFfU1RPQ0tfQkFTRURfVE9UQUwuOTk5LjI5LzAzLzIwMjYuLi5VU0QuSAEAAAAgegUAAgAAAAU0LjM1OAEIAAAABQAAAAExAQAAAAstMTkzNDk3ODQ4MAMAAAADMTYwAgAAAAUyNDAzNAQAAAABMAcAAAAJMy8yOS8yMDI2CAAAAAg2LzEvMjAyNAkAAAABMEi8f3pEjd4IRsqKfkSN3ghDQ0lRLk5BU0RBUTpDQUxNLklRX1NUT0NLX09QVElPTlNfQ09NUF9QUkVUQVguOTkzLjI5LzAzLzIwMjYuLi5VU0QuSAEAAAAgegUAAwAAAAAASLx/ekSN3gi8VIp+RI3eCEFDSVEuTkFTREFROkNBTE0uSVFfU1RPQ0tfQkFTRURfQ09NUF9QUkVUQVguOTk1LjI5LzAzLzIwMjYuLi5VU0QuSAEAAAAgegUAAgAAAAUzLjYxNwBIvH96RI3eCMrLiX5Ejd4IN0NJUS5OQVNEQVE6Q0FMTS5JUV9BSVJDUkFGVF9SRU5ULjk5OC4yOS8wMy8yMDI2Li4uVVNELkgBAAAAIHoFAAMAAAAAAIpZ</t>
  </si>
  <si>
    <t>lnpEjd4I0rGNfkSN3ghCQ0lRLk5BU0RBUTpDQUxNLklRX0VYUExPUkVfRFJJTExfRVhQX1RPVEFMLjEwMDAuMjkvMDMvMjAyNi4uLlVTRC5IAQAAACB6BQADAAAAAACKWZZ6RI3eCEhjjX5Ejd4IN0NJUS5OQVNEQVE6Q0FMTS5JUV9NRVJHRVJfU1VQUExFLjk5My4yOS8wMy8yMDI2Li4uVVNELkgBAAAAIHoFAAMAAAAAAIpZlnpEjd4IN7OMfkSN3gg1Q0lRLk5BU0RBUTpDQUxNLklRX0lQUkRfU1VQUExFLjk5NS4yOS8wMy8yMDI2Li4uVVNELkgBAAAAIHoFAAMAAAAAAJSAlnpEjd4IF2WMfkSN3gg7Q0lRLk5BU0RBUTpDQUxNLklRX0lOU19TRVRUTEVfU1VQUExFLjk5NC4yOS8wMy8yMDI2Li4uVVNELkgBAAAAIHoFAAMAAAAAAJSAlnpEjd4IBT6MfkSN3ghBQ0lRLk5BU0RBUTpDQUxNLklRX0FOTlVfRElTVFJJQlVUSU9OX1VOSVQuMTAwMC4yOS8wMy8yMDI2Li4uVVNELkgBAAAAIHoFAAMAAAAAAH0ylnpEjd4IY0SPfkSN3gguQ0lRLk5BU0RBUTpDQUxNLklRX0RJQy4xMDAwLjI5LzAzLzIwMjYuLi5VU0QuSAEAAAAgegUAAwAAAAAAfTKWekSN3gg9w45+RI3eCDVDSVEuTkFTREFROkNBTE0uSVFfQURWRVJUSVNJTkcuOTk3LjI5LzAzLzIwMjYuLi5VU0QuSAEAAAAgegUAAwAAAAAAilmWekSN3gg9w45+RI3eCDhDSVEuTkFTREFROkNBTE0uSVFfTkVUX1JFTlRBTF9FWFAuOTkzLjI5LzAzLzIwMjYuLi5V</t>
  </si>
  <si>
    <t>U0QuSAEAAAAgegUAAwAAAAAAilmWekSN3ggAJ45+RI3eCDtDSVEuTkFTREFROkNBTE0uSVFfQ09OVElOR0VOVF9SRU5UQUwuOTk1LjI5LzAzLzIwMjYuLi5VU0QuSAEAAAAgegUAAwAAAAAAilmWekSN3gja2I1+RI3eCDlDSVEuTkFTREFROkNBTE0uSVFfSU5URVJFU1RfSU5DT01FLjk5Ni4yOS8wMy8yMDI2Li4uVVNELkgBAAAAIHoFAAIAAAAGMTEuODMyAQgAAAAFAAAAATEBAAAACy0yMDM3MjQxNzIxAwAAAAMxNjACAAAAAzIxMAQAAAABMAcAAAAJMy8yOS8yMDI2CAAAAAk1LzI5LzIwMjEJAAAAATBXC5Z6RI3eCD1UkX5Ejd4IQUNJUS5OQVNEQVE6Q0FMTS5JUV9FWENJU0VfVEFYRVNfRVhDTF9TQUxFUy45OTUuMjkvMDMvMjAyNi4uLlVTRC5IAQAAACB6BQADAAAAAABXC5Z6RI3eCDMtkX5Ejd4IPUNJUS5OQVNEQVE6Q0FMTS5JUV9DVVJSX0RPTUVTVElDX1RBWEVTLjk5NC4yOS8wMy8yMDI2Li4uVVNELkgBAAAAIHoFAAIAAAAEOS42MgEIAAAABQAAAAExAQAAAAstMjE0MjQyOTAzOQMAAAADMTYwAgAAAAQzMDI3BAAAAAEwBwAAAAkzLzI5LzIwMjYIAAAACDYvMS8yMDE5CQAAAAEwVwuWekSN3gggBpF+RI3eCD5DSVEuTkFTREFROkNBTE0uSVFfQ0FQSVRBTElaRURfSU5URVJFU1QuOTk3LjI5LzAzLzIwMjYuLi5VU0QuSAEAAAAgegUAAwAAAAAAfTKWekSN3gixB5B+RI3eCDRDSVEuTkFTREFROkNB</t>
  </si>
  <si>
    <t>TE0uSVFfREFfRUJJVERBLjEwMDAuMjkvMDMvMjAyNi4uLlVTRC5IAQAAACB6BQACAAAABjk0LjAyMQEIAAAABQAAAAExAQAAAAstMTkzNDk3ODM4MQMAAAADMTYwAgAAAAQyMjA2BAAAAAEwBwAAAAkzLzI5LzIwMjYIAAAACTUvMzEvMjAyNQkAAAABMH0ylnpEjd4InGuPfkSN3gg2Q0lRLk5BU0RBUTpDQUxNLklRX0VCSVRBX0VRX0lOQy45OTUuMjkvMDMvMjAyNi4uLlVTRC5IAQAAACB6BQACAAAABTQuNzg1AQgAAAAFAAAAATEBAAAACy0yMDg4MzQ3NDY5AwAAAAMxNjACAAAABTIxNjc2BAAAAAEwBwAAAAkzLzI5LzIwMjYIAAAACTUvMzAvMjAyMAkAAAABMFvklXpEjd4I6u6SfkSN3gg4Q0lRLk5BU0RBUTpDQUxNLklRX0VCSVRBX0VYQ0xfU0JDLjk5Ny4yOS8wMy8yMDI2Li4uVVNELkgBAAAAIHoFAAIAAAAHMTQyLjQ5MQEIAAAABQAAAAExAQAAAAstMTk4NjcwODQzMwMAAAADMTYwAgAAAAUyNDEzNgQAAAABMAcAAAAJMy8yOS8yMDI2CAAAAAk1LzI4LzIwMjIJAAAAATBb5JV6RI3eCNvHkn5Ejd4IPENJUS5OQVNEQVE6Q0FMTS5JUV9GRUVTX09USEVSX0lOQ09NRS4xMDAwLjI5LzAzLzIwMjYuLi5VU0QuSAEAAAAgegUAAwAAAAAAVwuWekSN3ghPBJJ+RI3eCD9DSVEuTkFTREFROkNBTE0uSVFfVE9UQUxfUkVWX0FTX1JFUE9SVEVELjk5OC4yOS8wMy8yMDI2Li4uVVNELkgBAAAAIHoFAAMAAAAAAFcL</t>
  </si>
  <si>
    <t>lnpEjd4IjPCRfkSN3ghMQ0lRLk5BU0RBUTpDQUxNLklRX1BST1ZfQkFEX0RFQlRTX1BBVElFTlRfU0VSVklDRV9SRVYuOTk4LjI5LzAzLzIwMjYuLi5VU0QuSAEAAAAgegUAAwAAAAAAVwuWekSN3ghjopF+RI3eCEJDSVEuTkFTREFROkNBTE0uSVFfRElTVFJJQlVUQUJMRV9DQVNIX1NIQVJFLjk5Ni4yOS8wMy8yMDI2Li4uVVNELkgBAAAAIHoFAAMAAAAAABWf5HpEjd4IYmeUfkSN3ggwQ0lRLk5BU0RBUTpDQUxNLklRX0VCSVREQS45OTQuMjkvMDMvMjAyNi4uLlVTRC5IAQAAACB6BQACAAAABzEwMC40NjQBCAAAAAUAAAABMQEAAAALLTIxNDI0MjkwMzkDAAAAAzE2MAIAAAAENDA1MQQAAAABMAcAAAAJMy8yOS8yMDI2CAAAAAg2LzEvMjAxOQkAAAABMBWf5HpEjd4IbECUfkSN3ghAQ0lRLk5BU0RBUTpDQUxNLklRX0VCSVREQV9FUV9JTkNfRVhDTF9TQkMuOTk2LjI5LzAzLzIwMjYuLi5VU0QuSAEAAAAgegUAAgAAAAY0MC41OTUBCAAAAAUAAAABMQEAAAALLTIwMzcyNDE3MjEDAAAAAzE2MAIAAAAFMjQxMzEEAAAAATAHAAAACTMvMjkvMjAyNggAAAAJNS8yOS8yMDIxCQAAAAEwFZ/kekSN3ggdGZR+RI3eCDpDSVEuTkFTREFROkNBTE0uSVFfRUJJVERBX0VYQ0xfU0JDLjEwMDAuMjkvMDMvMjAyNi4uLlVTRC5IAQAAACB6BQACAAAACDE2NDkuOTg0AQgAAAAFAAAAATEBAAAACy0xOTM0OTc4MzgxAwAA</t>
  </si>
  <si>
    <t>AAMxNjACAAAABTI0MTM1BAAAAAEwBwAAAAkzLzI5LzIwMjYIAAAACTUvMzEvMjAyNQkAAAABMBWf5HpEjd4IM8aTfkSN3gg3Q0lRLk5BU0RBUTpDQUxNLklRX0VCSVRfRVhDTF9TQkMuOTkzLjI5LzAzLzIwMjYuLi5VU0QuSAEAAAAgegUAAgAAAAcxODUuMTk3AQgAAAAFAAAAATEBAAAACjIwNDU3NDkzMTADAAAAAzE2MAIAAAAFMjQxMzQEAAAAATAHAAAACTMvMjkvMjAyNggAAAAINi8yLzIwMTgJAAAAATBBxuR6RI3eCAgWk35Ejd4INENJUS5OQVNEQVE6Q0FMTS5JUV9OSV9DT01QQU5ZLjk5OC4yOS8wMy8yMDI2Li4uVVNELkgBAAAAIHoFAAIAAAAHNzU2LjczMgEIAAAABQAAAAExAQAAAAstMTkzNDk3ODQyMAMAAAADMTYwAgAAAAU0MTU3MQQAAAABMAcAAAAJMy8yOS8yMDI2CAAAAAg2LzMvMjAyMwkAAAABMKx45HpEjd4IE9uVfkSN3gg4Q0lRLk5BU0RBUTpDQUxNLklRX1BSRUZfRElWX09USEVSLjk5OC4yOS8wMy8yMDI2Li4uVVNELkgBAAAAIHoFAAMAAAAAAKx45HpEjd4I84yVfkSN3gg4Q0lRLk5BU0RBUTpDQUxNLklRX0JBU0lDX0VQU19FWENMLjk5Ni4yOS8wMy8yMDI2Li4uVVNELkgBAAAAIHoFAAIAAAAIMC4wNDI0NTQBCAAAAAUAAAABMQEAAAALLTIwMzcyNDE3MjEDAAAAAzE2MAIAAAAEMzA2NAQAAAABMAcAAAAJMy8yOS8yMDI2CAAAAAk1LzI5LzIwMjEJAAAAATCseOR6RI3eCJYXlX5E</t>
  </si>
  <si>
    <t>jd4IOUNJUS5OQVNEQVE6Q0FMTS5JUV9ESUxVVF9FUFNfSU5DTC4xMDAwLjI5LzAzLzIwMjYuLi5VU0QuSAEAAAAgegUAAgAAAAUyNC45NQEIAAAABQAAAAExAQAAAAstMTkzNDk3ODM4MQMAAAADMTYwAgAAAAE4BAAAAAEwBwAAAAkzLzI5LzIwMjYIAAAACTUvMzEvMjAyNQkAAAABMBWf5HpEjd4IlheVfkSN3ggzQ0lRLk5BU0RBUTpDQUxNLklRX0VQU19OT1JNLjEwMDAuMjkvMDMvMjAyNi4uLlVTRC5IAQAAACB6BQACAAAACTIwLjc5MTU4NwEIAAAABQAAAAExAQAAAAstMTkzNDk3ODM4MQMAAAADMTYwAgAAAAQ0Mzc5BAAAAAEwBwAAAAkzLzI5LzIwMjYIAAAACTUvMzEvMjAyNQkAAAABMBWf5HpEjd4IcrWUfkSN3gg3Q0lRLk5BU0RBUTpDQUxNLklRX0lNUEFJUk1FTlRfR1cuOTk4LjI5LzAzLzIwMjYuLi5VU0QuSAEAAAAgegUAAwAAAAAArHjkekSN3giUTpd+RI3eCC5DSVEuTkFTREFROkNBTE0uSVFfSVBSRC45OTYuMjkvMDMvMjAyNi4uLlVTRC5IAQAAACB6BQADAAAAAACseOR6RI3eCHIAl35Ejd4IPUNJUS5OQVNEQVE6Q0FMTS5JUV9PVEhFUl9VTlVTVUFMX1NVUFBMLjk5Ni4yOS8wMy8yMDI2Li4uVVNELkgBAAAAIHoFAAMAAAAAAKx45HpEjd4I8oqWfkSN3ggyQ0lRLk5BU0RBUTpDQUxNLklRX0lOQ19UQVguMTAwMC4yOS8wMy8yMDI2Li4uVVNELkgBAAAAIHoFAAIAAAAGMzg0LjkxAQgAAAAF</t>
  </si>
  <si>
    <t>AAAAATEBAAAACy0xOTM0OTc4MzgxAwAAAAMxNjACAAAAAjc1BAAAAAEwBwAAAAkzLzI5LzIwMjYIAAAACTUvMzEvMjAyNQkAAAABMKx45HpEjd4IHFCWfkSN3ggsQ0lRLk5BU0RBUTpDQUxNLklRX0RPLjk5NC4yOS8wMy8yMDI2Li4uVVNELkgBAAAAIHoFAAMAAAAAAKx45HpEjd4IHimWfkSN3gg0Q0lRLk5BU0RBUTpDQUxNLklRX0lNUEFJUl9PSUwuOTk4LjI5LzAzLzIwMjYuLi5VU0QuSAEAAAAgegUAAwAAAAAAgVHkekSN3ggLwph+RI3eCDZDSVEuTkFTREFROkNBTE0uSVFfSU5URVJFU1RfRVhQLjk5Ni4yOS8wMy8yMDI2Li4uVVNELkgBAAAAIHoFAAIAAAAGLTAuMjEzAQgAAAAFAAAAATEBAAAACy0yMDM3MjQxNzIxAwAAAAMxNjACAAAAAjgyBAAAAAEwBwAAAAkzLzI5LzIwMjYIAAAACTUvMjkvMjAyMQkAAAABMIFR5HpEjd4I/EyYfkSN3gg3Q0lRLk5BU0RBUTpDQUxNLklRX0NVUlJFTkNZX0dBSU4uOTk0LjI5LzAzLzIwMjYuLi5VU0QuSAEAAAAgegUAAwAAAAAAgVHkekSN3gjUw5d+RI3eCENDSVEuTkFTREFROkNBTE0uSVFfT1RIRVJfTk9OX09QRVJfRVhQX1NVUFBMLjEwMDAuMjkvMDMvMjAyNi4uLlVTRC5IAQAAACB6BQACAAAABTAuODk0AQgAAAAFAAAAATEBAAAACy0xOTM0OTc4MzgxAwAAAAMxNjACAAAAAjg1BAAAAAEwBwAAAAkzLzI5LzIwMjYIAAAACTUvMzEvMjAyNQkAAAABMIFR5HpE</t>
  </si>
  <si>
    <t>jd4ItJyXfkSN3gg1Q0lRLk5BU0RBUTpDQUxNLklRX1JFU1RSVUNUVVJFLjk5NC4yOS8wMy8yMDI2Li4uVVNELkgBAAAAIHoFAAMAAAAAAKx45HpEjd4ItJyXfkSN3gg6Q0lRLk5BU0RBUTpDQUxNLklRX0dBSU5fSU5WRVNUX1JFVi4xMDAwLjI5LzAzLzIwMjYuLi5VU0QuSAEAAAAgegUAAwAAAAAAWirkekSN3gg3g5p+RI3eCC5DSVEuTkFTREFROkNBTE0uSVFfQ09HUy45OTguMjkvMDMvMjAyNi4uLlVTRC5IAQAAACB6BQACAAAABzE5NDkuNzYBCAAAAAUAAAABMQEAAAALLTE5MzQ5Nzg0MjADAAAAAzE2MAIAAAACMzQEAAAAATAHAAAACTMvMjkvMjAyNggAAAAINi8zLzIwMjMJAAAAATBaKuR6RI3eCDI1mn5Ejd4ILENJUS5OQVNEQVE6Q0FMTS5JUV9HUC45OTYuMjkvMDMvMjAyNi4uLlVTRC5IAQAAACB6BQACAAAABzE2MC42NjEBCAAAAAUAAAABMQEAAAALLTIwMzcyNDE3MjEDAAAAAzE2MAIAAAACMTAEAAAAATAHAAAACTMvMjkvMjAyNggAAAAJNS8yOS8yMDIxCQAAAAEwgVHkekSN3ggM55l+RI3eCDVDSVEuTkFTREFROkNBTE0uSVFfU1RPQ0tfQkFTRUQuOTk0LjI5LzAzLzIwMjYuLi5VU0QuSAEAAAAgegUAAwAAAAAAgVHkekSN3ghtXpl+RI3eCDhDSVEuTkFTREFROkNBTE0uSVFfUFJFX09QRU5fQ09TVC4xMDAwLjI5LzAzLzIwMjYuLi5VU0QuSAEAAAAgegUAAwAAAAAAgVHkekSN3ghVN5l+RI3e</t>
  </si>
  <si>
    <t>CENDSVEuTkFTREFROkNBTE0uSVFfU1RPQ0tfQkFTRURfRVhQTE9SRV9EUklMTC45OTUuMjkvMDMvMjAyNi4uLlVTRC5IAQAAACB6BQADAAAAAACNgX96RI3eCETxin5Ejd4IQ0NJUS5OQVNEQVE6Q0FMTS5JUV9TVE9DS19PUFRJT05TX0NPTVBfUFJFVEFYLjk5NC4yOS8wMy8yMDI2Li4uVVNELkgBAAAAIHoFAAMAAAAAAEi8f3pEjd4IvFSKfkSN3ggvQ0lRLk5BU0RBUTpDQUxNLklRX05JX0NGLjk5OS4yOS8wMy8yMDI2Li4uVVNELkgBAAAAIHoFAAIAAAAHMjc3Ljg4OAEIAAAABQAAAAExAQAAAAstMTkzNDk3ODQ4MAMAAAADMTYwAgAAAAQyMTUwBAAAAAEwBwAAAAkzLzI5LzIwMjYIAAAACDYvMS8yMDI0CQAAAAEwSLx/ekSN3gixpIl+RI3eCDZDSVEuTkFTREFROkNBTE0uSVFfRklOX0RJVl9SRVYuMTAwMC4yOS8wMy8yMDI2Li4uVVNELkgBAAAAIHoFAAMAAAAAAFoq5HpEjd4IZ9GafkSN3gg5Q0lRLk5BU0RBUTpDQUxNLklRX0dBSU5fQVNTRVRTX1JFVi45OTQuMjkvMDMvMjAyNi4uLlVTRC5IAQAAACB6BQADAAAAAABaKuR6RI3eCGfRmn5Ejd4INUNJUS5OQVNEQVE6Q0FMTS5JUV9JUFJEX1NVUFBMRS45OTYuMjkvMDMvMjAyNi4uLlVTRC5IAQAAACB6BQADAAAAAACUgJZ6RI3eCCSMjH5Ejd4IO0NJUS5OQVNEQVE6Q0FMTS5JUV9JTlNfU0VUVExFX1NVUFBMRS45OTUuMjkvMDMvMjAyNi4uLlVTRC5I</t>
  </si>
  <si>
    <t>AQAAACB6BQADAAAAAACUgJZ6RI3eCAU+jH5Ejd4IPkNJUS5OQVNEQVE6Q0FMTS5JUV9PVEhFUl9VTlVTVUFMX1NVUFBMRS45OTguMjkvMDMvMjAyNi4uLlVTRC5IAQAAACB6BQADAAAAAACUgJZ6RI3eCIbvi35Ejd4IPkNJUS5OQVNEQVE6Q0FMTS5JUV9ORUdBVElWRV9HV19BTU9SVF9BVC45OTcuMjkvMDMvMjAyNi4uLlVTRC5IAQAAACB6BQADAAAAAACUgJZ6RI3eCHyNi35Ejd4IOENJUS5OQVNEQVE6Q0FMTS5JUV9TVE9DS19CQVNFRF9TTS45OTUuMjkvMDMvMjAyNi4uLlVTRC5IAQAAACB6BQADAAAAAACUgJZ6RI3eCFo/i35Ejd4INENJUS5OQVNEQVE6Q0FMTS5JUV9DT01NT05fRElWLjk5Ny4yOS8wMy8yMDI2Li4uVVNELkgBAAAAIHoFAAIAAAAGNDIuNzczAH0ylnpEjd4IZ+qOfkSN3gg7Q0lRLk5BU0RBUTpDQUxNLklRX05FVF9SRU5UQUxfRVhQX0ZOLjk5Ni4yOS8wMy8yMDI2Li4uVVNELkgBAAAAIHoFAAMAAAAAAIpZlnpEjd4IEU6OfkSN3gg7Q0lRLk5BU0RBUTpDQUxNLklRX0NPTlRJTkdFTlRfUkVOVEFMLjk5Ni4yOS8wMy8yMDI2Li4uVVNELkgBAAAAIHoFAAMAAAAAAIpZlnpEjd4I6v+NfkSN3gg/Q0lRLk5BU0RBUTpDQUxNLklRX0lNUFVUX09QRVJfTEVBU0VfREVQUi45OTQuMjkvMDMvMjAyNi4uLlVTRC5IAQAAACB6BQADAAAAAACKWZZ6RI3eCHkBjX5Ejd4IN0NJUS5OQVNEQVE6Q0FM</t>
  </si>
  <si>
    <t>TS5JUV9NRVJHRVJfU1VQUExFLjk5Ni4yOS8wMy8yMDI2Li4uVVNELkgBAAAAIHoFAAMAAAAAAIpZlnpEjd4ISNqMfkSN3ghBQ0lRLk5BU0RBUTpDQUxNLklRX0VYQ0lTRV9UQVhFU19FWENMX1NBTEVTLjk5Ny4yOS8wMy8yMDI2Li4uVVNELkgBAAAAIHoFAAMAAAAAAFcLlnpEjd4IMy2RfkSN3gg9Q0lRLk5BU0RBUTpDQUxNLklRX0NVUlJfRE9NRVNUSUNfVEFYRVMuOTk1LjI5LzAzLzIwMjYuLi5VU0QuSAEAAAAgegUAAgAAAAUtOC41NQEIAAAABQAAAAExAQAAAAstMjA4ODM0NzQ2OQMAAAADMTYwAgAAAAQzMDI3BAAAAAEwBwAAAAkzLzI5LzIwMjYIAAAACTUvMzAvMjAyMAkAAAABMFcLlnpEjd4IFd+QfkSN3gg+Q0lRLk5BU0RBUTpDQUxNLklRX0NBUElUQUxJWkVEX0lOVEVSRVNULjk5OC4yOS8wMy8yMDI2Li4uVVNELkgBAAAAIHoFAAMAAAAAAH0ylnpEjd4IsQeQfkSN3gg6Q0lRLk5BU0RBUTpDQUxNLklRX0lOVF9FWFBfSU5DTF9DQVAuOTkzLjI5LzAzLzIwMjYuLi5VU0QuSAEAAAAgegUAAgAAAAUwLjQ4MgEIAAAABQAAAAExAQAAAAoyMDQ1NzQ5MzEwAwAAAAMxNjACAAAABTIxODYxBAAAAAEwBwAAAAkzLzI5LzIwMjYIAAAACDYvMi8yMDE4CQAAAAEwfTKWekSN3gh/uY9+RI3eCElDSVEuTkFTREFROkNBTE0uSVFfRElTVFJJQlVUQUJMRV9DQVNIX1NUQU5EQVJESVpFRC45OTcuMjkvMDMvMjAy</t>
  </si>
  <si>
    <t>Ni4uLlVTRC5IAQAAACB6BQADAAAAAAB9MpZ6RI3eCGNEj35Ejd4IOENJUS5OQVNEQVE6Q0FMTS5JUV9DSEFOR0VfREVGX1RBWC45OTkuMjkvMDMvMjAyNi4uLlVTRC5IAQAAACB6BQADAAAAAACL4396RI3eCKrwhn5Ejd4INENJUS5OQVNEQVE6Q0FMTS5JUV9ERVBSRV9TVVBQLjk5Ni4yOS8wMy8yMDI2Li4uVVNELkgBAAAAIHoFAAIAAAAENTYuNQEIAAAABQAAAAExAQAAAAstMjAzNzI0MTcyMQMAAAADMTYwAgAAAAQyMTQzBAAAAAEwBwAAAAkzLzI5LzIwMjYIAAAACTUvMjkvMjAyMQkAAAABMKYxgHpEjd4IOiGDfkSN3gg/Q0lRLk5BU0RBUTpDQUxNLklRX1RPVEFMX1JFVl9BU19SRVBPUlRFRC45OTkuMjkvMDMvMjAyNi4uLlVTRC5IAQAAACB6BQADAAAAAABXC5Z6RI3eCIzwkX5Ejd4ITENJUS5OQVNEQVE6Q0FMTS5JUV9QUk9WX0JBRF9ERUJUU19QQVRJRU5UX1NFUlZJQ0VfUkVWLjk5OS4yOS8wMy8yMDI2Li4uVVNELkgBAAAAIHoFAAMAAAAAAFcLlnpEjd4IY6KRfkSN3ggxQ0lRLk5BU0RBUTpDQUxNLklRX05JX1NGQVMuOTk5LjI5LzAzLzIwMjYuLi5VU0QuSAEAAAAgegUAAwAAAAAAVwuWekSN3ghUe5F+RI3eCDhDSVEuTkFTREFROkNBTE0uSVFfQ0hBTkdFX0lOQ19UQVguOTk4LjI5LzAzLzIwMjYuLi5VU0QuSAEAAAAgegUAAgAAAActNDIuMjE4AQgAAAAFAAAAATEBAAAACy0xOTM0OTc4NDIw</t>
  </si>
  <si>
    <t>AwAAAAMxNjACAAAABDIxMDEEAAAAATAHAAAACTMvMjkvMjAyNggAAAAINi8zLzIwMjMJAAAAATCL4396RI3eCKsXh35Ejd4IQENJUS5OQVNEQVE6Q0FMTS5JUV9PVEhFUl9JTlZFU1RfQUNUX1NVUFBMLjk5My4yOS8wMy8yMDI2Li4uVVNELkgBAAAAIHoFAAMAAAAAANcKgHpEjd4I5t6FfkSN3ghDQ0lRLk5BU0RBUTpDQUxNLklRX0dXX0lOVEFOX0FNT1JUX1BBUlRJQUxfQ0YuOTk1LjI5LzAzLzIwMjYuLi5VU0QuSAEAAAAgegUAAwAAAAAApjGAekSN3gg6IYN+RI3eCDJDSVEuTkFTREFROkNBTE0uSVFfTE9BTlNfQ0YuOTk1LjI5LzAzLzIwMjYuLi5VU0QuSAEAAAAgegUAAwAAAAAAi+N/ekSN3gg+f4h+RI3eCC9DSVEuTkFTREFROkNBTE0uSVFfRE9fQ0YuOTk0LjI5LzAzLzIwMjYuLi5VU0QuSAEAAAAgegUAAwAAAAAAi+N/ekSN3gj04od+RI3eCENDSVEuTkFTREFROkNBTE0uSVFfU1RPQ0tfQkFTRURfRVhQTE9SRV9EUklMTC45OTguMjkvMDMvMjAyNi4uLlVTRC5IAQAAACB6BQADAAAAAACNgX96RI3eCE8Yi35Ejd4IO0NJUS5OQVNEQVE6Q0FMTS5JUV9TVE9DS19CQVNFRF9UT1RBTC45OTUuMjkvMDMvMjAyNi4uLlVTRC5IAQAAACB6BQACAAAABTMuNjE3AQgAAAAFAAAAATEBAAAACy0yMDg4MzQ3NDY5AwAAAAMxNjACAAAABTI0MDM0BAAAAAEwBwAAAAkzLzI5LzIwMjYIAAAACTUvMzAvMjAyMAkA</t>
  </si>
  <si>
    <t>AAABMEi8f3pEjd4IPKOKfkSN3gg6Q0lRLk5BU0RBUTpDQUxNLklRX1JFU1RSX1NUT0NLX0NPTVAuOTk3LjI5LzAzLzIwMjYuLi5VU0QuSAEAAAAgegUAAwAAAAAASLx/ekSN3gjgGYp+RI3eCDxDSVEuTkFTREFROkNBTE0uSVFfQVNTRVRfV1JJVEVET1dOX0NGLjk5NS4yOS8wMy8yMDI2Li4uVVNELkgBAAAAIHoFAAIAAAAFMi45MTkBCAAAAAUAAAABMQEAAAALLTIwODgzNDc0NjkDAAAAAzE2MAIAAAAEMjAxOQQAAAABMAcAAAAJMy8yOS8yMDI2CAAAAAk1LzMwLzIwMjAJAAAAATCL4396RI3eCD5/iH5Ejd4IL0NJUS5OQVNEQVE6Q0FMTS5JUV9ET19DRi45OTUuMjkvMDMvMjAyNi4uLlVTRC5IAQAAACB6BQADAAAAAACL4396RI3eCPTih35Ejd4IQENJUS5OQVNEQVE6Q0FMTS5JUV9BU1NFVF9XUklURURPV05fU1VQUExFLjk5OS4yOS8wMy8yMDI2Li4uVVNELkgBAAAAIHoFAAMAAAAAAJSAlnpEjd4IJIyMfkSN3ghCQ0lRLk5BU0RBUTpDQUxNLklRX0dBSU5fQkFSR0FJTl9BQ1FfU1VQUExFLjEwMDAuMjkvMDMvMjAyNi4uLlVTRC5IAQAAACB6BQADAAAAAACUgJZ6RI3eCAU+jH5Ejd4IPkNJUS5OQVNEQVE6Q0FMTS5JUV9PVEhFUl9VTlVTVUFMX1NVUFBMRS45OTkuMjkvMDMvMjAyNi4uLlVTRC5IAQAAACB6BQADAAAAAACUgJZ6RI3eCIbvi35Ejd4IPkNJUS5OQVNEQVE6Q0FMTS5JUV9ORUdBVElWRV9H</t>
  </si>
  <si>
    <t>V19BTU9SVF9BVC45OTguMjkvMDMvMjAyNi4uLlVTRC5IAQAAACB6BQADAAAAAACUgJZ6RI3eCHyNi35Ejd4IOENJUS5OQVNEQVE6Q0FMTS5JUV9TVE9DS19CQVNFRF9TTS45OTkuMjkvMDMvMjAyNi4uLlVTRC5IAQAAACB6BQADAAAAAACUgJZ6RI3eCFo/i35Ejd4INENJUS5OQVNEQVE6Q0FMTS5JUV9DT01NT05fRElWLjk5OC4yOS8wMy8yMDI2Li4uVVNELkgBAAAAIHoFAAIAAAAHMjUyLjc2NgB9MpZ6RI3eCGfqjn5Ejd4IO0NJUS5OQVNEQVE6Q0FMTS5JUV9ORVRfUkVOVEFMX0VYUF9GTi45OTcuMjkvMDMvMjAyNi4uLlVTRC5IAQAAACB6BQADAAAAAACKWZZ6RI3eCAAnjn5Ejd4IO0NJUS5OQVNEQVE6Q0FMTS5JUV9DT05USU5HRU5UX1JFTlRBTC45OTcuMjkvMDMvMjAyNi4uLlVTRC5IAQAAACB6BQADAAAAAACKWZZ6RI3eCOr/jX5Ejd4IP0NJUS5OQVNEQVE6Q0FMTS5JUV9JTVBVVF9PUEVSX0xFQVNFX0RFUFIuOTk1LjI5LzAzLzIwMjYuLi5VU0QuSAEAAAAgegUAAwAAAAAAilmWekSN3gh5AY1+RI3eCDdDSVEuTkFTREFROkNBTE0uSVFfTUVSR0VSX1NVUFBMRS45OTcuMjkvMDMvMjAyNi4uLlVTRC5IAQAAACB6BQADAAAAAACKWZZ6RI3eCEjajH5Ejd4IPENJUS5OQVNEQVE6Q0FMTS5JUV9JTlZFU1RNRU5UX0lOQ09NRS4xMDAwLjI5LzAzLzIwMjYuLi5VU0QuSAEAAAAgegUAAwAAAAAAVwuWekSN</t>
  </si>
  <si>
    <t>3ggzLZF+RI3eCD1DSVEuTkFTREFROkNBTE0uSVFfQ1VSUl9ET01FU1RJQ19UQVhFUy45OTYuMjkvMDMvMjAyNi4uLlVTRC5IAQAAACB6BQACAAAABi0zNC4zNgEIAAAABQAAAAExAQAAAAstMjAzNzI0MTcyMQMAAAADMTYwAgAAAAQzMDI3BAAAAAEwBwAAAAkzLzI5LzIwMjYIAAAACTUvMjkvMjAyMQkAAAABMFcLlnpEjd4IFd+QfkSN3gg+Q0lRLk5BU0RBUTpDQUxNLklRX0NBUElUQUxJWkVEX0lOVEVSRVNULjk5OS4yOS8wMy8yMDI2Li4uVVNELkgBAAAAIHoFAAMAAAAAAH0ylnpEjd4IsQeQfkSN3gg6Q0lRLk5BU0RBUTpDQUxNLklRX0lOVF9FWFBfSU5DTF9DQVAuOTk0LjI5LzAzLzIwMjYuLi5VU0QuSAEAAAAgegUAAgAAAAUwLjY0NAEIAAAABQAAAAExAQAAAAstMjE0MjQyOTAzOQMAAAADMTYwAgAAAAUyMTg2MQQAAAABMAcAAAAJMy8yOS8yMDI2CAAAAAg2LzEvMjAxOQkAAAABMH0ylnpEjd4If7mPfkSN3ghJQ0lRLk5BU0RBUTpDQUxNLklRX0RJU1RSSUJVVEFCTEVfQ0FTSF9TVEFOREFSRElaRUQuOTk5LjI5LzAzLzIwMjYuLi5VU0QuSAEAAAAgegUAAwAAAAAAfTKWekSN3ghjRI9+RI3eCDdDSVEuTkFTREFROkNBTE0uSVFfRUJJVF9FWENMX1NCQy45OTUuMjkvMDMvMjAyNi4uLlVTRC5IAQAAACB6BQACAAAABTQuOTY4AQgAAAAFAAAAATEBAAAACy0yMDg4MzQ3NDY5AwAAAAMxNjACAAAABTI0</t>
  </si>
  <si>
    <t>MTM0BAAAAAEwBwAAAAkzLzI5LzIwMjYIAAAACTUvMzAvMjAyMAkAAAABMEHG5HpEjd4ICBaTfkSN3ggvQ0lRLk5BU0RBUTpDQUxNLklRX0VCSVRBLjk5OS4yOS8wMy8yMDI2Li4uVVNELkgBAAAAIHoFAAIAAAAHMzE2LjI2NwEIAAAABQAAAAExAQAAAAstMTkzNDk3ODQ4MAMAAAADMTYwAgAAAAYxMDA2ODkEAAAAATAHAAAACTMvMjkvMjAyNggAAAAINi8xLzIwMjQJAAAAATBb5JV6RI3eCOrukn5Ejd4IO0NJUS5OQVNEQVE6Q0FMTS5JUV9GRUVTX09USEVSX0lOQ09NRS45OTMuMjkvMDMvMjAyNi4uLlVTRC5IAQAAACB6BQADAAAAAABXC5Z6RI3eCJQrkn5Ejd4ITUNJUS5OQVNEQVE6Q0FMTS5JUV9QUk9WX0JBRF9ERUJUU19QQVRJRU5UX1NFUlZJQ0VfUkVWLjEwMDAuMjkvMDMvMjAyNi4uLlVTRC5IAQAAACB6BQADAAAAAABXC5Z6RI3eCHDJkX5Ejd4IMkNJUS5OQVNEQVE6Q0FMTS5JUV9OSV9TRkFTLjEwMDAuMjkvMDMvMjAyNi4uLlVTRC5IAQAAACB6BQADAAAAAABXC5Z6RI3eCFR7kX5Ejd4IN0NJUS5OQVNEQVE6Q0FMTS5JUV9OSV9BVkFJTF9FWENMLjk5NC4yOS8wMy8yMDI2Li4uVVNELkgBAAAAIHoFAAIAAAAGNTQuMjI5AQgAAAAFAAAAATEBAAAACy0yMTQyNDI5MDM5AwAAAAMxNjACAAAAAzM3OQQAAAABMAcAAAAJMy8yOS8yMDI2CAAAAAg2LzEvMjAxOQkAAAABMKx45HpEjd4I5GWVfkSN3gg4</t>
  </si>
  <si>
    <t>Q0lRLk5BU0RBUTpDQUxNLklRX0JBU0lDX0VQU19FWENMLjk5OC4yOS8wMy8yMDI2Li4uVVNELkgBAAAAIHoFAAIAAAAJMTUuNTgxODEyAQgAAAAFAAAAATEBAAAACy0xOTM0OTc4NDIwAwAAAAMxNjACAAAABDMwNjQEAAAAATAHAAAACTMvMjkvMjAyNggAAAAINi8zLzIwMjMJAAAAATCseOR6RI3eCJYXlX5Ejd4ITkNJUS5OQVNEQVE6Q0FMTS5JUV9ESVNUUklCVVRBQkxFX0NBU0hfUEVSX1NIQVJFX0RJTFVURUQuOTk2LjI5LzAzLzIwMjYuLi5VU0QuSAEAAAAgegUAAwAAAAAAFZ/kekSN3ghytZR+RI3eCEJDSVEuTkFTREFROkNBTE0uSVFfRElTVFJJQlVUQUJMRV9DQVNIX1NIQVJFLjk5OC4yOS8wMy8yMDI2Li4uVVNELkgBAAAAIHoFAAMAAAAAABWf5HpEjd4IbECUfkSN3gg1Q0lRLk5BU0RBUTpDQUxNLklRX0VCSVRfRVFfSU5DLjk5My4yOS8wMy8yMDI2Li4uVVNELkgBAAAAIHoFAAIAAAAHMTg1LjI0NwEIAAAABQAAAAExAQAAAAoyMDQ1NzQ5MzEwAwAAAAMxNjACAAAABTIxNjc1BAAAAAEwBwAAAAkzLzI5LzIwMjYIAAAACDYvMi8yMDE4CQAAAAEwQcbkekSN3ggCPZN+RI3eCDpDSVEuTkFTREFROkNBTE0uSVFfQVNTRVRfV1JJVEVET1dOLjEwMDAuMjkvMDMvMjAyNi4uLlVTRC5IAQAAACB6BQADAAAAAACseOR6RI3eCHIAl35Ejd4IPUNJUS5OQVNEQVE6Q0FMTS5JUV9PVEhFUl9VTlVTVUFMX1NV</t>
  </si>
  <si>
    <t>UFBMLjk5OC4yOS8wMy8yMDI2Li4uVVNELkgBAAAAIHoFAAMAAAAAAKx45HpEjd4I8oqWfkSN3ggsQ0lRLk5BU0RBUTpDQUxNLklRX0RPLjk5Ni4yOS8wMy8yMDI2Li4uVVNELkgBAAAAIHoFAAMAAAAAAKx45HpEjd4IDwKWfkSN3ggsQ0lRLk5BU0RBUTpDQUxNLklRX05JLjk5NC4yOS8wMy8yMDI2Li4uVVNELkgBAAAAIHoFAAIAAAAGNTQuMjI5AQgAAAAFAAAAATEBAAAACy0yMTQyNDI5MDM5AwAAAAMxNjACAAAAAjE1BAAAAAEwBwAAAAkzLzI5LzIwMjYIAAAACDYvMS8yMDE5CQAAAAEwrHjkekSN3gjks5V+RI3eCDlDSVEuTkFTREFROkNBTE0uSVFfUFJFRl9ESVZfT1RIRVIuMTAwMC4yOS8wMy8yMDI2Li4uVVNELkgBAAAAIHoFAAMAAAAAAKx45HpEjd4I84yVfkSN3gg6Q0lRLk5BU0RBUTpDQUxNLklRX1RPVEFMX09USEVSX09QRVIuOTk0LjI5LzAzLzIwMjYuLi5VU0QuSAEAAAAgegUAAgAAAAcxNzcuMDQ1AQgAAAAFAAAAATEBAAAACy0yMTQyNDI5MDM5AwAAAAMxNjACAAAAAzM4MAQAAAABMAcAAAAJMy8yOS8yMDI2CAAAAAg2LzEvMjAxOQkAAAABMIFR5HpEjd4IC8KYfkSN3ggzQ0lRLk5BU0RBUTpDQUxNLklRX09QRVJfSU5DLjEwMDAuMjkvMDMvMjAyNi4uLlVTRC5IAQAAACB6BQACAAAACDE1NTEuNDM2AQgAAAAFAAAAATEBAAAACy0xOTM0OTc4MzgxAwAAAAMxNjACAAAAAjIxBAAAAAEwBwAA</t>
  </si>
  <si>
    <t>AAkzLzI5LzIwMjYIAAAACTUvMzEvMjAyNQkAAAABMIFR5HpEjd4I/EyYfkSN3gg0Q0lRLk5BU0RBUTpDQUxNLklRX0lOQ19FUVVJVFkuOTk4LjI5LzAzLzIwMjYuLi5VU0QuSAEAAAAgegUAAgAAAAUwLjc0NgEIAAAABQAAAAExAQAAAAstMTkzNDk3ODQyMAMAAAADMTYwAgAAAAI0NwQAAAABMAcAAAAJMy8yOS8yMDI2CAAAAAg2LzMvMjAyMwkAAAABMIFR5HpEjd4I0uqXfkSN3gg1Q0lRLk5BU0RBUTpDQUxNLklRX1JFU1RSVUNUVVJFLjk5Ni4yOS8wMy8yMDI2Li4uVVNELkgBAAAAIHoFAAMAAAAAAKx45HpEjd4ImXWXfkSN3gg1Q0lRLk5BU0RBUTpDQUxNLklRX0dBSU5fQVNTRVRTLjk5NC4yOS8wMy8yMDI2Li4uVVNELkgBAAAAIHoFAAIAAAAGLTAuMDMzAQgAAAAFAAAAATEBAAAACy0yMTQyNDI5MDM5AwAAAAMxNjACAAAAAjU2BAAAAAEwBwAAAAkzLzI5LzIwMjYIAAAACDYvMS8yMDE5CQAAAAEwrHjkekSN3giEJ5d+RI3eCDVDSVEuTkFTREFROkNBTE0uSVFfSU5TX0RJVl9FWFAuOTk0LjI5LzAzLzIwMjYuLi5VU0QuSAEAAAAgegUAAwAAAAAAgVHkekSN3ggfDpp+RI3eCCxDSVEuTkFTREFROkNBTE0uSVFfR1AuOTk4LjI5LzAzLzIwMjYuLi5VU0QuSAEAAAAgegUAAgAAAAgxMTk2LjQ1NwEIAAAABQAAAAExAQAAAAstMTkzNDk3ODQyMAMAAAADMTYwAgAAAAIxMAQAAAABMAcAAAAJMy8yOS8yMDI2</t>
  </si>
  <si>
    <t>CAAAAAg2LzMvMjAyMwkAAAABMIFR5HpEjd4I4b+ZfkSN3gg4Q0lRLk5BU0RBUTpDQUxNLklRX1BST1ZfQkFEX0RFQlRTLjk5OC4yOS8wMy8yMDI2Li4uVVNELkgBAAAAIHoFAAMAAAAAAIFR5HpEjd4IbV6ZfkSN3ggyQ0lRLk5BU0RBUTpDQUxNLklRX0RBX1NVUFBMLjk5Ni4yOS8wMy8yMDI2Li4uVVNELkgBAAAAIHoFAAMAAAAAAIFR5HpEjd4IPBCZfkSN3gg1Q0lRLk5BU0RBUTpDQUxNLklRX0lNUEFJUl9PSUwuMTAwMC4yOS8wMy8yMDI2Li4uVVNELkgBAAAAIHoFAAMAAAAAAIFR5HpEjd4IWOmYfkSN3gg7Q0lRLk5BU0RBUTpDQUxNLklRX1BST1ZfQkFEX0RFQlRTX0NGLjk5Ni4yOS8wMy8yMDI2Li4uVVNELkgBAAAAIHoFAAMAAAAAAIvjf3pEjd4IAQqIfkSN3gg4Q0lRLk5BU0RBUTpDQUxNLklRX0NIQU5HRV9JTkNfVEFYLjk5OS4yOS8wMy8yMDI2Li4uVVNELkgBAAAAIHoFAAIAAAAGOTEuNTY3AQgAAAAFAAAAATEBAAAACy0xOTM0OTc4NDgwAwAAAAMxNjACAAAABDIxMDEEAAAAATAHAAAACTMvMjkvMjAyNggAAAAINi8xLzIwMjQJAAAAATCL4396RI3eCKrwhn5Ejd4IOUNJUS5OQVNEQVE6Q0FMTS5JUV9HQUlOX0FTU0VUU19SRVYuOTk2LjI5LzAzLzIwMjYuLi5VU0QuSAEAAAAgegUAAwAAAAAAWirkekSN3ghn0Zp+RI3eCDlDSVEuTkFTREFROkNBTE0uSVFfT1RIRVJfUkVWX1NVUFBMLjk5Ni4y</t>
  </si>
  <si>
    <t>OS8wMy8yMDI2Li4uVVNELkgBAAAAIHoFAAMAAAAAAFoq5HpEjd4IJ1yafkSN3ggvQ0lRLk5BU0RBUTpDQUxNLklRX0NPR1MuMTAwMC4yOS8wMy8yMDI2Li4uVVNELkgBAAAAIHoFAAIAAAAEMjQxMQEIAAAABQAAAAExAQAAAAstMTkzNDk3ODM4MQMAAAADMTYwAgAAAAIzNAQAAAABMAcAAAAJMy8yOS8yMDI2CAAAAAk1LzMxLzIwMjUJAAAAATBaKuR6RI3eCDI1mn5Ejd4IP0NJUS5OQVNEQVE6Q0FMTS5JUV9PVEhFUl9VTlVTVUFMX1NVUFBMRS4xMDAwLjI5LzAzLzIwMjYuLi5VU0QuSAEAAAAgegUAAwAAAAAAlICWekSN3gjMFox+RI3eCD5DSVEuTkFTREFROkNBTE0uSVFfTkVHQVRJVkVfR1dfQU1PUlRfQVQuOTk5LjI5LzAzLzIwMjYuLi5VU0QuSAEAAAAgegUAAwAAAAAAlICWekSN3gh8jYt+RI3eCDtDSVEuTkFTREFROkNBTE0uSVFfU1RPQ0tfQkFTRURfVE9UQUwuOTk2LjI5LzAzLzIwMjYuLi5VU0QuSAEAAAAgegUAAgAAAAUzLjc3OAEIAAAABQAAAAExAQAAAAstMjAzNzI0MTcyMQMAAAADMTYwAgAAAAUyNDAzNAQAAAABMAcAAAAJMy8yOS8yMDI2CAAAAAk1LzI5LzIwMjEJAAAAATBIvH96RI3eCEbKin5Ejd4IL0NJUS5OQVNEQVE6Q0FMTS5JUV9EQV9DRi45OTcuMjkvMDMvMjAyNi4uLlVTRC5IAQAAACB6BQACAAAABjY4LjM5NQEIAAAABQAAAAExAQAAAAstMTk4NjcwODQzMwMAAAADMTYwAgAA</t>
  </si>
  <si>
    <t>AAQyMTYwBAAAAAEwBwAAAAkzLzI5LzIwMjYIAAAACTUvMjgvMjAyMgkAAAABMEi8f3pEjd4Iky+JfkSN3gg8Q0lRLk5BU0RBUTpDQUxNLklRX0FTU0VUX1dSSVRFRE9XTl9DRi45OTcuMjkvMDMvMjAyNi4uLlVTRC5IAQAAACB6BQADAAAAAACL4396RI3eCE6miH5Ejd4IMENJUS5OQVNEQVE6Q0FMTS5JUV9HQV9FWFAuOTkzLjI5LzAzLzIwMjYuLi5VU0QuSAEAAAAgegUAAwAAAAAAilmWekSN3ggbdY5+RI3eCDtDSVEuTkFTREFROkNBTE0uSVFfTkVUX1JFTlRBTF9FWFBfRk4uOTk4LjI5LzAzLzIwMjYuLi5VU0QuSAEAAAAgegUAAwAAAAAAilmWekSN3ggAJ45+RI3eCEFDSVEuTkFTREFROkNBTE0uSVFfRVhQTE9SRV9EUklMTF9FWFBfVE9UQUwuOTk1LjI5LzAzLzIwMjYuLi5VU0QuSAEAAAAgegUAAwAAAAAAilmWekSN3ghIY41+RI3eCD9DSVEuTkFTREFROkNBTE0uSVFfSU1QVVRfT1BFUl9MRUFTRV9ERVBSLjk5Ni4yOS8wMy8yMDI2Li4uVVNELkgBAAAAIHoFAAMAAAAAAIpZlnpEjd4IcyiNfkSN3gg9Q0lRLk5BU0RBUTpDQUxNLklRX1JFU1RSVUNUVVJFX1NVUFBMRS4xMDAwLjI5LzAzLzIwMjYuLi5VU0QuSAEAAAAgegUAAwAAAAAAilmWekSN3ghI2ox+RI3eCC9DSVEuTkFTREFROkNBTE0uSVFfTklfQ0YuOTkzLjI5LzAzLzIwMjYuLi5VU0QuSAEAAAAgegUAAgAAAAcxMjUuOTMyAQgAAAAFAAAA</t>
  </si>
  <si>
    <t>ATEBAAAACjIwNDU3NDkzMTADAAAAAzE2MAIAAAAEMjE1MAQAAAABMAcAAAAJMy8yOS8yMDI2CAAAAAg2LzIvMjAxOAkAAAABMEi8f3pEjd4I4X2JfkSN3ggvQ0lRLk5BU0RBUTpDQUxNLklRX0RBX0NGLjk5OS4yOS8wMy8yMDI2Li4uVVNELkgBAAAAIHoFAAIAAAAGODAuMjQxAQgAAAAFAAAAATEBAAAACy0xOTM0OTc4NDgwAwAAAAMxNjACAAAABDIxNjAEAAAAATAHAAAACTMvMjkvMjAyNggAAAAINi8xLzIwMjQJAAAAATBIvH96RI3eCJMviX5Ejd4IPkNJUS5OQVNEQVE6Q0FMTS5JUV9UQVhfQkVORUZJVF9PUFRJT05TLjEwMDAuMjkvMDMvMjAyNi4uLlVTRC5IAQAAACB6BQADAAAAAACL4396RI3eCPTih35Ejd4IO0NJUS5OQVNEQVE6Q0FMTS5JUV9DSEFOR0VfVU5FQVJOX1JFVi45OTkuMjkvMDMvMjAyNi4uLlVTRC5IAQAAACB6BQADAAAAAACL4396RI3eCKM+h35Ejd4INUNJUS5OQVNEQVE6Q0FMTS5JUV9BRFZFUlRJU0lORy45OTMuMjkvMDMvMjAyNi4uLlVTRC5IAQAAACB6BQACAAAAAzYuMwEIAAAABQAAAAExAQAAAAoyMDQ1NzQ5MzEwAwAAAAMxNjACAAAABDMwMTMEAAAAATAHAAAACTMvMjkvMjAyNggAAAAINi8yLzIwMTgJAAAAATCKWZZ6RI3eCD3Djn5Ejd4IO0NJUS5OQVNEQVE6Q0FMTS5JUV9ORVRfUkVOVEFMX0VYUF9GTi45OTkuMjkvMDMvMjAyNi4uLlVTRC5IAQAAACB6BQADAAAAAACK</t>
  </si>
  <si>
    <t>WZZ6RI3eCAAnjn5Ejd4IQUNJUS5OQVNEQVE6Q0FMTS5JUV9FWFBMT1JFX0RSSUxMX0VYUF9UT1RBTC45OTYuMjkvMDMvMjAyNi4uLlVTRC5IAQAAACB6BQADAAAAAACKWZZ6RI3eCEhjjX5Ejd4IP0NJUS5OQVNEQVE6Q0FMTS5JUV9JTVBVVF9PUEVSX0xFQVNFX0RFUFIuOTk3LjI5LzAzLzIwMjYuLi5VU0QuSAEAAAAgegUAAwAAAAAAilmWekSN3ghzKI1+RI3eCEBDSVEuTkFTREFROkNBTE0uSVFfQVNTRVRfV1JJVEVET1dOX1NVUFBMRS45OTQuMjkvMDMvMjAyNi4uLlVTRC5IAQAAACB6BQADAAAAAACUgJZ6RI3eCCSMjH5Ejd4IO0NJUS5OQVNEQVE6Q0FMTS5JUV9TVE9DS19CQVNFRF9UT1RBTC45OTcuMjkvMDMvMjAyNi4uLlVTRC5IAQAAACB6BQACAAAABTQuMDYzAQgAAAAFAAAAATEBAAAACy0xOTg2NzA4NDMzAwAAAAMxNjACAAAABTI0MDM0BAAAAAEwBwAAAAkzLzI5LzIwMjYIAAAACTUvMjgvMjAyMgkAAAABMEi8f3pEjd4IRsqKfkSN3gg6Q0lRLk5BU0RBUTpDQUxNLklRX1JFU1RSX1NUT0NLX0NPTVAuOTkzLjI5LzAzLzIwMjYuLi5VU0QuSAEAAAAgegUAAwAAAAAASLx/ekSN3gi8VIp+RI3eCEFDSVEuTkFTREFROkNBTE0uSVFfU1RPQ0tfQkFTRURfQ09NUF9QUkVUQVguOTkzLjI5LzAzLzIwMjYuLi5VU0QuSAEAAAAgegUAAgAAAAUzLjQ2NwBIvH96RI3eCMrLiX5Ejd4IL0NJUS5OQVNEQVE6</t>
  </si>
  <si>
    <t>Q0FMTS5JUV9OSV9DRi45OTUuMjkvMDMvMjAyNi4uLlVTRC5IAQAAACB6BQACAAAABjE4LjM5MQEIAAAABQAAAAExAQAAAAstMjA4ODM0NzQ2OQMAAAADMTYwAgAAAAQyMTUwBAAAAAEwBwAAAAkzLzI5LzIwMjYIAAAACTUvMzAvMjAyMAkAAAABMEi8f3pEjd4I4X2JfkSN3gg1Q0lRLk5BU0RBUTpDQUxNLklRX0FEVkVSVElTSU5HLjk5NC4yOS8wMy8yMDI2Li4uVVNELkgBAAAAIHoFAAIAAAADNy4zAQgAAAAFAAAAATEBAAAACy0yMTQyNDI5MDM5AwAAAAMxNjACAAAABDMwMTMEAAAAATAHAAAACTMvMjkvMjAyNggAAAAINi8xLzIwMTkJAAAAATCKWZZ6RI3eCD3Djn5Ejd4IOUNJUS5OQVNEQVE6Q0FMTS5JUV9TQUxFU19NQVJLRVRJTkcuOTk4LjI5LzAzLzIwMjYuLi5VU0QuSAEAAAAgegUAAwAAAAAAilmWekSN3ggbdY5+RI3eCDxDSVEuTkFTREFROkNBTE0uSVFfUkVTVFJVQ1RVUkVfU1VQUExFLjk5NS4yOS8wMy8yMDI2Li4uVVNELkgBAAAAIHoFAAMAAAAAAIpZlnpEjd4IN7OMfkSN3ghAQ0lRLk5BU0RBUTpDQUxNLklRX0FTU0VUX1dSSVRFRE9XTl9TVVBQTEUuOTk1LjI5LzAzLzIwMjYuLi5VU0QuSAEAAAAgegUAAgAAAAYtMi45MTkBCAAAAAUAAAABMQEAAAALLTIwODgzNDc0NjkDAAAAAzE2MAIAAAAFMzMzOTEEAAAAATAHAAAACTMvMjkvMjAyNggAAAAJNS8zMC8yMDIwCQAAAAEwlICWekSN3ggk</t>
  </si>
  <si>
    <t>jIx+RI3eCEFDSVEuTkFTREFROkNBTE0uSVFfR0FJTl9CQVJHQUlOX0FDUV9TVVBQTEUuOTkzLjI5LzAzLzIwMjYuLi5VU0QuSAEAAAAgegUAAwAAAAAAlICWekSN3ggFPox+RI3eCD5DSVEuTkFTREFROkNBTE0uSVFfT1RIRVJfVU5VU1VBTF9TVVBQTEUuOTkzLjI5LzAzLzIwMjYuLi5VU0QuSAEAAAAgegUAAwAAAAAAlICWekSN3giG74t+RI3eCD5DSVEuTkFTREFROkNBTE0uSVFfTkVHQVRJVkVfR1dfQU1PUlRfQVQuOTkzLjI5LzAzLzIwMjYuLi5VU0QuSAEAAAAgegUAAwAAAAAAlICWekSN3giDtIt+RI3eCDxDSVEuTkFTREFROkNBTE0uSVFfU1RPQ0tfT1BUSU9OU19DT01QLjk5Ny4yOS8wMy8yMDI2Li4uVVNELkgBAAAAIHoFAAMAAAAAAEi8f3pEjd4IAfOJfkSN3gg7Q0lRLk5BU0RBUTpDQUxNLklRX1NUT0NLX0JBU0VEX0NPTVAuMTAwMC4yOS8wMy8yMDI2Li4uVVNELkgBAAAAIHoFAAMAAAAAAEi8f3pEjd4IsaSJfkSN3gg8Q0lRLk5BU0RBUTpDQUxNLklRX0FTU0VUX1dSSVRFRE9XTl9DRi45OTMuMjkvMDMvMjAyNi4uLlVTRC5IAQAAACB6BQADAAAAAACL4396RI3eCE6miH5Ejd4IO0NJUS5OQVNEQVE6Q0FMTS5JUV9DSEFOR0VfVU5FQVJOX1JFVi45OTYuMjkvMDMvMjAyNi4uLlVTRC5IAQAAACB6BQADAAAAAACL4396RI3eCKM+h35Ejd4IQUNJUS5OQVNEQVE6Q0FMTS5JUV9FWFBMT1JFX0RS</t>
  </si>
  <si>
    <t>SUxMX0VYUF9UT1RBTC45OTcuMjkvMDMvMjAyNi4uLlVTRC5IAQAAACB6BQADAAAAAACKWZZ6RI3eCEhjjX5Ejd4IPkNJUS5OQVNEQVE6Q0FMTS5JUV9PVEhFUl9VTlVTVUFMX1NVUFBMRS45OTYuMjkvMDMvMjAyNi4uLlVTRC5IAQAAACB6BQADAAAAAACUgJZ6RI3eCMwWjH5Ejd4IPkNJUS5OQVNEQVE6Q0FMTS5JUV9ORUdBVElWRV9HV19BTU9SVF9BVC45OTQuMjkvMDMvMjAyNi4uLlVTRC5IAQAAACB6BQADAAAAAACUgJZ6RI3eCIO0i35Ejd4IOENJUS5OQVNEQVE6Q0FMTS5JUV9TVE9DS19CQVNFRF9TTS45OTMuMjkvMDMvMjAyNi4uLlVTRC5IAQAAACB6BQADAAAAAACUgJZ6RI3eCHdmi35Ejd4IOUNJUS5OQVNEQVE6Q0FMTS5JUV9TVE9DS19CQVNFRF9TR0EuOTk2LjI5LzAzLzIwMjYuLi5VU0QuSAEAAAAgegUAAgAAAAUzLjc3OAEIAAAABQAAAAExAQAAAAstMjAzNzI0MTcyMQMAAAADMTYwAgAAAAUyMjY3OQQAAAABMAcAAAAJMy8yOS8yMDI2CAAAAAk1LzI5LzIwMjEJAAAAATCNgX96RI3eCE8Yi35Ejd4IOkNJUS5OQVNEQVE6Q0FMTS5JUV9SRVNUUl9TVE9DS19DT01QLjk5NC4yOS8wMy8yMDI2Li4uVVNELkgBAAAAIHoFAAMAAAAAAEi8f3pEjd4IvFSKfkSN3gg7Q0lRLk5BU0RBUTpDQUxNLklRX0NPTlRJTkdFTlRfUkVOVEFMLjk5My4yOS8wMy8yMDI2Li4uVVNELkgBAAAAIHoFAAMAAAAAAIpZ</t>
  </si>
  <si>
    <t>lnpEjd4I6v+NfkSN3gg2Q0lRLk5BU0RBUTpDQUxNLklRX09USEVSX1JFTlRBTC45OTguMjkvMDMvMjAyNi4uLlVTRC5IAQAAACB6BQADAAAAAACKWZZ6RI3eCNKxjX5Ejd4IPENJUS5OQVNEQVE6Q0FMTS5JUV9SRVNUUlVDVFVSRV9TVVBQTEUuOTk2LjI5LzAzLzIwMjYuLi5VU0QuSAEAAAAgegUAAwAAAAAAilmWekSN3ghI2ox+RI3eCEBDSVEuTkFTREFROkNBTE0uSVFfQVNTRVRfV1JJVEVET1dOX1NVUFBMRS45OTYuMjkvMDMvMjAyNi4uLlVTRC5IAQAAACB6BQADAAAAAACUgJZ6RI3eCCSMjH5Ejd4IQUNJUS5OQVNEQVE6Q0FMTS5JUV9HQUlOX0JBUkdBSU5fQUNRX1NVUFBMRS45OTcuMjkvMDMvMjAyNi4uLlVTRC5IAQAAACB6BQADAAAAAACUgJZ6RI3eCBdljH5Ejd4IPkNJUS5OQVNEQVE6Q0FMTS5JUV9DQVBJVEFMSVpFRF9JTlRFUkVTVC45OTUuMjkvMDMvMjAyNi4uLlVTRC5IAQAAACB6BQADAAAAAAB9MpZ6RI3eCLEHkH5Ejd4IPUNJUS5OQVNEQVE6Q0FMTS5JUV9OT05DQVNIX1BFTlNJT05fRVhQLjk5OS4yOS8wMy8yMDI2Li4uVVNELkgBAAAAIHoFAAIAAAADMS4yAQgAAAAFAAAAATEBAAAACy0xOTM0OTc4NDgwAwAAAAMxNjACAAAABTIxNjc4BAAAAAEwBwAAAAkzLzI5LzIwMjYIAAAACDYvMS8yMDI0CQAAAAEwfTKWekSN3gisko9+RI3eCElDSVEuTkFTREFROkNBTE0uSVFfRElTVFJJQlVU</t>
  </si>
  <si>
    <t>QUJMRV9DQVNIX1NUQU5EQVJESVpFRC45OTQuMjkvMDMvMjAyNi4uLlVTRC5IAQAAACB6BQADAAAAAAB9MpZ6RI3eCGNEj35Ejd4INENJUS5OQVNEQVE6Q0FMTS5JUV9DT01NT05fRElWLjk5NC4yOS8wMy8yMDI2Li4uVVNELkgBAAAAIHoFAAMAAAAAAH0ylnpEjd4IZ+qOfkSN3gg6Q0lRLk5BU0RBUTpDQUxNLklRX1NBTEVTX01BUktFVElORy4xMDAwLjI5LzAzLzIwMjYuLi5VU0QuSAEAAAAgegUAAgAAAAcxNDcuMzIxAQgAAAAFAAAAATEBAAAACy0xOTM0OTc4MzgxAwAAAAMxNjACAAAABTIxNTYxBAAAAAEwBwAAAAkzLzI5LzIwMjYIAAAACTUvMzEvMjAyNQkAAAABMIpZlnpEjd4IK5yOfkSN3gg9Q0lRLk5BU0RBUTpDQUxNLklRX1RBWF9CRU5FRklUX09QVElPTlMuOTk2LjI5LzAzLzIwMjYuLi5VU0QuSAEAAAAgegUAAwAAAAAAi+N/ekSN3ggBCoh+RI3eCDtDSVEuTkFTREFROkNBTE0uSVFfQ0hBTkdFX1VORUFSTl9SRVYuOTkzLjI5LzAzLzIwMjYuLi5VU0QuSAEAAAAgegUAAwAAAAAAi+N/ekSN3gijPod+RI3eCD5DSVEuTkFTREFROkNBTE0uSVFfU0FMRV9SRUFMX0VTVEFURV9DRi4xMDAwLjI5LzAzLzIwMjYuLi5VU0QuSAEAAAAgegUAAwAAAAAA1wqAekSN3gguLYZ+RI3eCEBDSVEuTkFTREFROkNBTE0uSVFfREVGRVJSRURfRk9SRUlHTl9UQVhFUy45OTguMjkvMDMvMjAyNi4uLlVTRC5IAQAA</t>
  </si>
  <si>
    <t>ACB6BQADAAAAAABXC5Z6RI3eCBORkH5Ejd4IQ0NJUS5OQVNEQVE6Q0FMTS5JUV9OT05SRUNVUlJJTkdfSU5DT01FX1RBWEVTLjk5OC4yOS8wMy8yMDI2Li4uVVNELkgBAAAAIHoFAAMAAAAAAH0ylnpEjd4Iwy6QfkSN3gg4Q0lRLk5BU0RBUTpDQUxNLklRX1NUT0NLX0JBU0VEX0FULjk5NS4yOS8wMy8yMDI2Li4uVVNELkgBAAAAIHoFAAMAAAAAAEi8f3pEjd4IRsqKfkSN3gg6Q0lRLk5BU0RBUTpDQUxNLklRX1JFU1RSX1NUT0NLX0NPTVAuOTk1LjI5LzAzLzIwMjYuLi5VU0QuSAEAAAAgegUAAwAAAAAASLx/ekSN3gi8VIp+RI3eCD1DSVEuTkFTREFROkNBTE0uSVFfU1RPQ0tfT1BUSU9OU19DT01QLjEwMDAuMjkvMDMvMjAyNi4uLlVTRC5IAQAAACB6BQADAAAAAABIvH96RI3eCAHziX5Ejd4IL0NJUS5OQVNEQVE6Q0FMTS5JUV9EQV9DRi45OTMuMjkvMDMvMjAyNi4uLlVTRC5IAQAAACB6BQACAAAABjU0LjAyNgEIAAAABQAAAAExAQAAAAoyMDQ1NzQ5MzEwAwAAAAMxNjACAAAABDIxNjAEAAAAATAHAAAACTMvMjkvMjAyNggAAAAINi8yLzIwMTgJAAAAATBIvH96RI3eCJMviX5Ejd4IOUNJUS5OQVNEQVE6Q0FMTS5JUV9HQUlOX0lOVkVTVF9DRi4xMDAwLjI5LzAzLzIwMjYuLi5VU0QuSAEAAAAgegUAAwAAAAAAi+N/ekSN3gg24Yh+RI3eCDtDSVEuTkFTREFROkNBTE0uSVFfR0FJTl9CQVJHQUlOX0FD</t>
  </si>
  <si>
    <t>US4xMDAwLjI5LzAzLzIwMjYuLi5VU0QuSAEAAAAgegUAAwAAAAAAlICWekSN3ggFPox+RI3eCD1DSVEuTkFTREFROkNBTE0uSVFfTEVHQUxfU0VUVExFX1NVUFBMRS45OTkuMjkvMDMvMjAyNi4uLlVTRC5IAQAAACB6BQADAAAAAACUgJZ6RI3eCMwWjH5Ejd4IPkNJUS5OQVNEQVE6Q0FMTS5JUV9ORUdBVElWRV9HV19BTU9SVF9BVC45OTUuMjkvMDMvMjAyNi4uLlVTRC5IAQAAACB6BQADAAAAAACUgJZ6RI3eCIO0i35Ejd4IOENJUS5OQVNEQVE6Q0FMTS5JUV9TVE9DS19CQVNFRF9SRC45OTcuMjkvMDMvMjAyNi4uLlVTRC5IAQAAACB6BQADAAAAAACUgJZ6RI3eCHdmi35Ejd4IOUNJUS5OQVNEQVE6Q0FMTS5JUV9TVE9DS19CQVNFRF9TR0EuOTk3LjI5LzAzLzIwMjYuLi5VU0QuSAEAAAAgegUAAwAAAAAAjYF/ekSN3ghPGIt+RI3eCDtDSVEuTkFTREFROkNBTE0uSVFfTkVUX1JFTlRBTF9FWFBfRk4uOTk0LjI5LzAzLzIwMjYuLi5VU0QuSAEAAAAgegUAAwAAAAAAilmWekSN3ggRTo5+RI3eCD9DSVEuTkFTREFROkNBTE0uSVFfTkVUX1JFTlRBTF9FWFBfU1VQUExFLjk5OS4yOS8wMy8yMDI2Li4uVVNELkgBAAAAIHoFAAMAAAAAAIpZlnpEjd4I6v+NfkSN3gg2Q0lRLk5BU0RBUTpDQUxNLklRX09USEVSX1JFTlRBTC45OTkuMjkvMDMvMjAyNi4uLlVTRC5IAQAAACB6BQADAAAAAACKWZZ6RI3eCNKxjX5E</t>
  </si>
  <si>
    <t>jd4IPENJUS5OQVNEQVE6Q0FMTS5JUV9SRVNUUlVDVFVSRV9TVVBQTEUuOTk3LjI5LzAzLzIwMjYuLi5VU0QuSAEAAAAgegUAAwAAAAAAilmWekSN3ghI2ox+RI3eCEBDSVEuTkFTREFROkNBTE0uSVFfQVNTRVRfV1JJVEVET1dOX1NVUFBMRS45OTcuMjkvMDMvMjAyNi4uLlVTRC5IAQAAACB6BQADAAAAAACUgJZ6RI3eCCSMjH5Ejd4INENJUS5OQVNEQVE6Q0FMTS5JUV9PSUxfSU1QQUlSLjk5OC4yOS8wMy8yMDI2Li4uVVNELkgBAAAAIHoFAAMAAAAAAEi8f3pEjd4Iky+JfkSN3ggzQ0lRLk5BU0RBUTpDQUxNLklRX0NIQU5HRV9BUC45OTYuMjkvMDMvMjAyNi4uLlVTRC5IAQAAACB6BQACAAAABi0xLjQxMgEIAAAABQAAAAExAQAAAAstMjAzNzI0MTcyMQMAAAADMTYwAgAAAAQyMDE3BAAAAAEwBwAAAAkzLzI5LzIwMjYIAAAACTUvMjkvMjAyMQkAAAABMIvjf3pEjd4Ioz6HfkSN3gg+Q0lRLk5BU0RBUTpDQUxNLklRX05PTkNBU0hfUEVOU0lPTl9FWFAuMTAwMC4yOS8wMy8yMDI2Li4uVVNELkgBAAAAIHoFAAIAAAADMS41AQgAAAAFAAAAATEBAAAACy0xOTM0OTc4MzgxAwAAAAMxNjACAAAABTIxNjc4BAAAAAEwBwAAAAkzLzI5LzIwMjYIAAAACTUvMzEvMjAyNQkAAAABMH0ylnpEjd4IrJKPfkSN3ghJQ0lRLk5BU0RBUTpDQUxNLklRX0RJU1RSSUJVVEFCTEVfQ0FTSF9TVEFOREFSRElaRUQuOTk1LjI5</t>
  </si>
  <si>
    <t>LzAzLzIwMjYuLi5VU0QuSAEAAAAgegUAAwAAAAAAfTKWekSN3ghjRI9+RI3eCDRDSVEuTkFTREFROkNBTE0uSVFfQ09NTU9OX0RJVi45OTUuMjkvMDMvMjAyNi4uLlVTRC5IAQAAACB6BQADAAAAAAB9MpZ6RI3eCBsdj35Ejd4IPkNJUS5OQVNEQVE6Q0FMTS5JUV9MRUdBTF9TRVRUTEVfU1VQUExFLjEwMDAuMjkvMDMvMjAyNi4uLlVTRC5IAQAAACB6BQADAAAAAACUgJZ6RI3eCMwWjH5Ejd4IOUNJUS5OQVNEQVE6Q0FMTS5JUV9TVE9DS19CQVNFRF9SRC4xMDAwLjI5LzAzLzIwMjYuLi5VU0QuSAEAAAAgegUAAwAAAAAAlICWekSN3gh3Zot+RI3eCDlDSVEuTkFTREFROkNBTE0uSVFfU1RPQ0tfQkFTRURfU0dBLjk5OC4yOS8wMy8yMDI2Li4uVVNELkgBAAAAIHoFAAMAAAAAAI2Bf3pEjd4ITxiLfkSN3gg4Q0lRLk5BU0RBUTpDQUxNLklRX1NUT0NLX0JBU0VEX0FULjk5Ni4yOS8wMy8yMDI2Li4uVVNELkgBAAAAIHoFAAMAAAAAAEi8f3pEjd4IRsqKfkSN3gg+Q0lRLk5BU0RBUTpDQUxNLklRX1JFU1RSX1NUT0NLX0NPTVBfVEFYLjk5OS4yOS8wMy8yMDI2Li4uVVNELkgBAAAAIHoFAAMAAAAAAEi8f3pEjd4ICXyKfkSN3ghAQ0lRLk5BU0RBUTpDQUxNLklRX05FVF9SRU5UQUxfRVhQX1NVUFBMRS4xMDAwLjI5LzAzLzIwMjYuLi5VU0QuSAEAAAAgegUAAwAAAAAAilmWekSN3gjq/41+RI3eCDdDSVEuTkFT</t>
  </si>
  <si>
    <t>REFROkNBTE0uSVFfT1RIRVJfUkVOVEFMLjEwMDAuMjkvMDMvMjAyNi4uLlVTRC5IAQAAACB6BQADAAAAAACKWZZ6RI3eCNKxjX5Ejd4IQUNJUS5OQVNEQVE6Q0FMTS5JUV9FWFBMT1JFX0RSSUxMX0VYUF9UT1RBTC45OTMuMjkvMDMvMjAyNi4uLlVTRC5IAQAAACB6BQADAAAAAACKWZZ6RI3eCJKKjX5Ejd4IP0NJUS5OQVNEQVE6Q0FMTS5JUV9JTVBVVF9PUEVSX0xFQVNFX0RFUFIuOTkzLjI5LzAzLzIwMjYuLi5VU0QuSAEAAAAgegUAAwAAAAAAilmWekSN3ghzKI1+RI3eCDxDSVEuTkFTREFROkNBTE0uSVFfUkVTVFJVQ1RVUkVfU1VQUExFLjk5OC4yOS8wMy8yMDI2Li4uVVNELkgBAAAAIHoFAAMAAAAAAIpZlnpEjd4ISNqMfkSN3ghLQ0lRLk5BU0RBUTpDQUxNLklRX0lOVEVSRVNUX0VYUF9MRUFTRV9MSUFCSUxJVFlfREVCVC45OTUuMjkvMDMvMjAyNi4uLlVTRC5IAQAAACB6BQADAAAAAAB9MpZ6RI3eCJ/gj35Ejd4ISUNJUS5OQVNEQVE6Q0FMTS5JUV9ESVNUUklCVVRBQkxFX0NBU0hfU1RBTkRBUkRJWkVELjk5Ni4yOS8wMy8yMDI2Li4uVVNELkgBAAAAIHoFAAMAAAAAAH0ylnpEjd4IY0SPfkSN3gg0Q0lRLk5BU0RBUTpDQUxNLklRX0NPTU1PTl9ESVYuOTk2LjI5LzAzLzIwMjYuLi5VU0QuSAEAAAAgegUAAgAAAAUxLjY1MgB9MpZ6RI3eCBsdj35Ejd4IOUNJUS5OQVNEQVE6Q0FMTS5JUV9TQUxF</t>
  </si>
  <si>
    <t>U19NQVJLRVRJTkcuOTk1LjI5LzAzLzIwMjYuLi5VU0QuSAEAAAAgegUAAwAAAAAAilmWekSN3ggbdY5+RI3eCDtDSVEuTkFTREFROkNBTE0uSVFfTkVUX1JFTlRBTF9FWFBfRk4uOTk1LjI5LzAzLzIwMjYuLi5VU0QuSAEAAAAgegUAAwAAAAAAilmWekSN3ggRTo5+RI3eCDtDSVEuTkFTREFROkNBTE0uSVFfSU5WRVNUTUVOVF9JTkNPTUUuOTk2LjI5LzAzLzIwMjYuLi5VU0QuSAEAAAAgegUAAwAAAAAAVwuWekSN3ggzLZF+RI3eCEFDSVEuTkFTREFROkNBTE0uSVFfRVhDSVNFX1RBWEVTX0lOQ0xfU0FMRVMuOTk2LjI5LzAzLzIwMjYuLi5VU0QuSAEAAAAgegUAAwAAAAAAVwuWekSN3gggBpF+RI3eCDRDSVEuTkFTREFROkNBTE0uSVFfQ1VSUl9UQVhFUy45OTMuMjkvMDMvMjAyNi4uLlVTRC5IAQAAACB6BQACAAAABTI0Ljk1AQgAAAAFAAAAATEBAAAACjIwNDU3NDkzMTADAAAAAzE2MAIAAAAFMzUzODMEAAAAATAHAAAACTMvMjkvMjAyNggAAAAINi8yLzIwMTgJAAAAATBXC5Z6RI3eCA64kH5Ejd4IRENJUS5OQVNEQVE6Q0FMTS5JUV9OT05SRUNVUlJJTkdfSU5DT01FX1RBWEVTLjEwMDAuMjkvMDMvMjAyNi4uLlVTRC5IAQAAACB6BQADAAAAAAB9MpZ6RI3eCMMukH5Ejd4IMkNJUS5OQVNEQVE6Q0FMTS5JUV9ESUxVVF9OSS45OTkuMjkvMDMvMjAyNi4uLlVTRC5IAQAAACB6BQACAAAACTI3OC4wODcz</t>
  </si>
  <si>
    <t>NwEIAAAABQAAAAExAQAAAAstMTkzNDk3ODQ4MAMAAAADMTYwAgAAAAQzNTIyBAAAAAEwBwAAAAkzLzI5LzIwMjYIAAAACDYvMS8yMDI0CQAAAAEwfTKWekSN3gixB5B+RI3eCD9DSVEuTkFTREFROkNBTE0uSVFfRUJJVEFfRVFfSU5DX0VYQ0xfU0JDLjk5Ny4yOS8wMy8yMDI2Li4uVVNELkgBAAAAIHoFAAIAAAAHMTQ0LjQzNAEIAAAABQAAAAExAQAAAAstMTk4NjcwODQzMwMAAAADMTYwAgAAAAUyNDEzMgQAAAABMAcAAAAJMy8yOS8yMDI2CAAAAAk1LzI4LzIwMjIJAAAAATBb5JV6RI3eCNvHkn5Ejd4IMUNJUS5OQVNEQVE6Q0FMTS5JUV9FQklUREFSLjk5OS4yOS8wMy8yMDI2Li4uVVNELkgBAAAAIHoFAAMAAAAAAFcLlnpEjd4IzaCSfkSN3ghCQ0lRLk5BU0RBUTpDQUxNLklRX0VCSVREQVJfRVFfSU5DX0VYQ0xfU0JDLjEwMDAuMjkvMDMvMjAyNi4uLlVTRC5IAQAAACB6BQADAAAAAABXC5Z6RI3eCOF5kn5Ejd4IPUNJUS5OQVNEQVE6Q0FMTS5JUV9BU19SRVBPUlRFRF9FQklUREEuMTAwMC4yOS8wMy8yMDI2Li4uVVNELkgBAAAAIHoFAAMAAAAAAFcLlnpEjd4IcMmRfkSN3ggxQ0lRLk5BU0RBUTpDQUxNLklRX05JX1NGQVMuOTk2LjI5LzAzLzIwMjYuLi5VU0QuSAEAAAAgegUAAwAAAAAAVwuWekSN3ghUe5F+RI3eCEBDSVEuTkFTREFROkNBTE0uSVFfREVGRVJSRURfRk9SRUlHTl9UQVhFUy45OTku</t>
  </si>
  <si>
    <t>MjkvMDMvMjAyNi4uLlVTRC5IAQAAACB6BQADAAAAAABXC5Z6RI3eCBORkH5Ejd4IS0NJUS5OQVNEQVE6Q0FMTS5JUV9JTlRFUkVTVF9FWFBfTEVBU0VfTElBQklMSVRZX0RFQlQuOTkzLjI5LzAzLzIwMjYuLi5VU0QuSAEAAAAgegUAAwAAAAAAfTKWekSN3gif4I9+RI3eCEBDSVEuTkFTREFROkNBTE0uSVFfQU5OVV9ESVNUUklCVVRJT05fVU5JVC45OTcuMjkvMDMvMjAyNi4uLlVTRC5IAQAAACB6BQADAAAAAAB9MpZ6RI3eCBsdj35Ejd4IPkNJUS5OQVNEQVE6Q0FMTS5JUV9FQklUX0VRX0lOQ19FWENMX1NCQy45OTQuMjkvMDMvMjAyNi4uLlVTRC5IAQAAACB6BQACAAAABjU0LjIwOQEIAAAABQAAAAExAQAAAAstMjE0MjQyOTAzOQMAAAADMTYwAgAAAAUyNDEzMAQAAAABMAcAAAAJMy8yOS8yMDI2CAAAAAg2LzEvMjAxOQkAAAABMEHG5HpEjd4ICBaTfkSN3ggvQ0lRLk5BU0RBUTpDQUxNLklRX0VCSVRBLjk5Ni4yOS8wMy8yMDI2Li4uVVNELkgBAAAAIHoFAAIAAAAHLTIzLjI4MgEIAAAABQAAAAExAQAAAAstMjAzNzI0MTcyMQMAAAADMTYwAgAAAAYxMDA2ODkEAAAAATAHAAAACTMvMjkvMjAyNggAAAAJNS8yOS8yMDIxCQAAAAEwW+SVekSN3ggIFpN+RI3eCEBDSVEuTkFTREFROkNBTE0uSVFfRUJJVERBX0VRX0lOQ19FWENMX1NCQy45OTUuMjkvMDMvMjAyNi4uLlVTRC5IAQAAACB6BQACAAAABjYz</t>
  </si>
  <si>
    <t>LjYwNQEIAAAABQAAAAExAQAAAAstMjA4ODM0NzQ2OQMAAAADMTYwAgAAAAUyNDEzMQQAAAABMAcAAAAJMy8yOS8yMDI2CAAAAAk1LzMwLzIwMjAJAAAAATAVn+R6RI3eCM/xk35Ejd4IS0NJUS5OQVNEQVE6Q0FMTS5JUV9FQklUREFfRVFfSU5DX0VYQ0xfT1BFUl9MRUFTRV9BREouOTkzLjI5LzAzLzIwMjYuLi5VU0QuSAEAAAAgegUAAgAAAAcyMzkuMjczAQgAAAAFAAAAATEBAAAACjIwNDU3NDkzMTADAAAAAzE2MAIAAAAFNDg5ODcEAAAAATAHAAAACTMvMjkvMjAyNggAAAAINi8yLzIwMTgJAAAAATAVn+R6RI3eCM13k35Ejd4IPkNJUS5OQVNEQVE6Q0FMTS5JUV9FQklUX0VRX0lOQ19FWENMX1NCQy45OTkuMjkvMDMvMjAyNi4uLlVTRC5IAQAAACB6BQACAAAABzMxOS44NzIBCAAAAAUAAAABMQEAAAALLTE5MzQ5Nzg0ODADAAAAAzE2MAIAAAAFMjQxMzAEAAAAATAHAAAACTMvMjkvMjAyNggAAAAINi8xLzIwMjQJAAAAATBBxuR6RI3eCAI9k35Ejd4IOkNJUS5OQVNEQVE6Q0FMTS5JUV9FQklUREFSX0VYQ0xfU0JDLjk5NC4yOS8wMy8yMDI2Li4uVVNELkgBAAAAIHoFAAMAAAAAAFcLlnpEjd4IwVKSfkSN3gg8Q0lRLk5BU0RBUTpDQUxNLklRX0FTX1JFUE9SVEVEX0VCSVREQS45OTYuMjkvMDMvMjAyNi4uLlVTRC5IAQAAACB6BQADAAAAAABXC5Z6RI3eCHDJkX5Ejd4INENJUS5OQVNEQVE6Q0FMTS5J</t>
  </si>
  <si>
    <t>UV9JTlNfU0VUVExFLjk5Ny4yOS8wMy8yMDI2Li4uVVNELkgBAAAAIHoFAAIAAAAFNS40OTIBCAAAAAUAAAABMQEAAAALLTE5ODY3MDg0MzMDAAAAAzE2MAIAAAACNzMEAAAAATAHAAAACTMvMjkvMjAyNggAAAAJNS8yOC8yMDIyCQAAAAEwrHjkekSN3ghk2ZZ+RI3eCDRDSVEuTkFTREFROkNBTE0uSVFfRUFSTklOR19DTy45OTYuMjkvMDMvMjAyNi4uLlVTRC5IAQAAACB6BQACAAAABDIuMDYBCAAAAAUAAAABMQEAAAALLTIwMzcyNDE3MjEDAAAAAzE2MAIAAAABNwQAAAABMAcAAAAJMy8yOS8yMDI2CAAAAAk1LzI5LzIwMjEJAAAAATCseOR6RI3eCB4pln5Ejd4ILENJUS5OQVNEQVE6Q0FMTS5JUV9OSS45OTcuMjkvMDMvMjAyNi4uLlVTRC5IAQAAACB6BQACAAAABjEzMi42NQEIAAAABQAAAAExAQAAAAstMTk4NjcwODQzMwMAAAADMTYwAgAAAAIxNQQAAAABMAcAAAAJMy8yOS8yMDI2CAAAAAk1LzI4LzIwMjIJAAAAATCseOR6RI3eCOSzlX5Ejd4IOENJUS5OQVNEQVE6Q0FMTS5JUV9ESUxVVF9FUFNfTk9STS45OTMuMjkvMDMvMjAyNi4uLlVTRC5IAQAAACB6BQACAAAACDIuNTU1NDU2AQgAAAAFAAAAATEBAAAACjIwNDU3NDkzMTADAAAAAzE2MAIAAAAENDM4MAQAAAABMAcAAAAJMy8yOS8yMDI2CAAAAAg2LzIvMjAxOAkAAAABMBWf5HpEjd4IcrWUfkSN3ghCQ0lRLk5BU0RBUTpDQUxNLklRX0RJU1RS</t>
  </si>
  <si>
    <t>SUJVVEFCTEVfQ0FTSF9TSEFSRS45OTMuMjkvMDMvMjAyNi4uLlVTRC5IAQAAACB6BQADAAAAAAAVn+R6RI3eCGJnlH5Ejd4IQENJUS5OQVNEQVE6Q0FMTS5JUV9ERUZFUlJFRF9GT1JFSUdOX1RBWEVTLjk5NC4yOS8wMy8yMDI2Li4uVVNELkgBAAAAIHoFAAMAAAAAAFcLlnpEjd4IE5GQfkSN3gg2Q0lRLk5BU0RBUTpDQUxNLklRX0lOVF9FWFBfTFRELjEwMDAuMjkvMDMvMjAyNi4uLlVTRC5IAQAAACB6BQACAAAABTAuNjEyAQgAAAAFAAAAATEBAAAACy0xOTM0OTc4MzgxAwAAAAMxNjACAAAABDMxMDEEAAAAATAHAAAACTMvMjkvMjAyNggAAAAJNS8zMS8yMDI1CQAAAAEwfTKWekSN3gif4I9+RI3eCEBDSVEuTkFTREFROkNBTE0uSVFfQU5OVV9ESVNUUklCVVRJT05fVU5JVC45OTMuMjkvMDMvMjAyNi4uLlVTRC5IAQAAACB6BQADAAAAAAB9MpZ6RI3eCBsdj35Ejd4IPENJUS5OQVNEQVE6Q0FMTS5JUV9ORVRfUkVOVEFMX0VYUF9GTi4xMDAwLjI5LzAzLzIwMjYuLi5VU0QuSAEAAAAgegUAAwAAAAAAilmWekSN3ggAJ45+RI3eCEFDSVEuTkFTREFROkNBTE0uSVFfU1RPQ0tfQkFTRURfQ09NUF9QUkVUQVguOTk0LjI5LzAzLzIwMjYuLi5VU0QuSAEAAAAgegUAAgAAAAUzLjYxOQBIvH96RI3eCMrLiX5Ejd4IOENJUS5OQVNEQVE6Q0FMTS5JUV9ESUxVVF9FUFNfTk9STS45OTQuMjkvMDMvMjAyNi4uLlVT</t>
  </si>
  <si>
    <t>RC5IAQAAACB6BQACAAAACDAuODkzNzM2AQgAAAAFAAAAATEBAAAACy0yMTQyNDI5MDM5AwAAAAMxNjACAAAABDQzODAEAAAAATAHAAAACTMvMjkvMjAyNggAAAAINi8xLzIwMTkJAAAAATAVn+R6RI3eCHK1lH5Ejd4IOUNJUS5OQVNEQVE6Q0FMTS5JUV9UT1RBTF9SRVZfU0hBUkUuOTk2LjI5LzAzLzIwMjYuLi5VU0QuSAEAAAAgegUAAgAAAAkyNy44MDE1NTMBCAAAAAUAAAABMQEAAAALLTIwMzcyNDE3MjEDAAAAAzE2MAIAAAAENDM4MgQAAAABMAcAAAAJMy8yOS8yMDI2CAAAAAk1LzI5LzIwMjEJAAAAATAVn+R6RI3eCGJnlH5Ejd4IN0NJUS5OQVNEQVE6Q0FMTS5JUV9FQklUREFfRVFfSU5DLjk5OS4yOS8wMy8yMDI2Li4uVVNELkgBAAAAIHoFAAIAAAAHMzk1Ljc1NQEIAAAABQAAAAExAQAAAAstMTkzNDk3ODQ4MAMAAAADMTYwAgAAAAUyMTY3NwQAAAABMAcAAAAJMy8yOS8yMDI2CAAAAAg2LzEvMjAyNAkAAAABMBWf5HpEjd4IHRmUfkSN3ghBQ0lRLk5BU0RBUTpDQUxNLklRX0xFQVNFX0FESlVTVE1FTlRfRUJJVERBLjk5Ni4yOS8wMy8yMDI2Li4uVVNELkgBAAAAIHoFAAIAAAAINC41NTU5OTkAFZ/kekSN3ggVn5N+RI3eCEFDSVEuTkFTREFROkNBTE0uSVFfRUJJVERBUl9FUV9JTkNfRVhDTF9TQkMuOTk3LjI5LzAzLzIwMjYuLi5VU0QuSAEAAAAgegUAAwAAAAAAVwuWekSN3gjBUpJ+RI3eCDVD</t>
  </si>
  <si>
    <t>SVEuTkFTREFROkNBTE0uSVFfR0FJTl9BU1NFVFMuOTk2LjI5LzAzLzIwMjYuLi5VU0QuSAEAAAAgegUAAgAAAAYtMi45ODIBCAAAAAUAAAABMQEAAAALLTIwMzcyNDE3MjEDAAAAAzE2MAIAAAACNTYEAAAAATAHAAAACTMvMjkvMjAyNggAAAAJNS8yOS8yMDIxCQAAAAEwrHjkekSN3giEJ5d+RI3eCDRDSVEuTkFTREFROkNBTE0uSVFfSU5TX1NFVFRMRS45OTguMjkvMDMvMjAyNi4uLlVTRC5IAQAAACB6BQADAAAAAACseOR6RI3eCGTZln5Ejd4INENJUS5OQVNEQVE6Q0FMTS5JUV9FQVJOSU5HX0NPLjk5Ny4yOS8wMy8yMDI2Li4uVVNELkgBAAAAIHoFAAIAAAAHMTMyLjQ0MQEIAAAABQAAAAExAQAAAAstMTk4NjcwODQzMwMAAAADMTYwAgAAAAE3BAAAAAEwBwAAAAkzLzI5LzIwMjYIAAAACTUvMjgvMjAyMgkAAAABMKx45HpEjd4IHimWfkSN3ggsQ0lRLk5BU0RBUTpDQUxNLklRX05JLjk5OC4yOS8wMy8yMDI2Li4uVVNELkgBAAAAIHoFAAIAAAAHNzU4LjAyNAEIAAAABQAAAAExAQAAAAstMTkzNDk3ODQyMAMAAAADMTYwAgAAAAIxNQQAAAABMAcAAAAJMy8yOS8yMDI2CAAAAAg2LzMvMjAyMwkAAAABMKx45HpEjd4I84yVfkSN3gg4Q0lRLk5BU0RBUTpDQUxNLklRX0JBU0lDX0VQU19FWENMLjk5NS4yOS8wMy8yMDI2Li4uVVNELkgBAAAAIHoFAAIAAAAIMC4zNzk0NTQBCAAAAAUAAAABMQEAAAALLTIw</t>
  </si>
  <si>
    <t>ODgzNDc0NjkDAAAAAzE2MAIAAAAEMzA2NAQAAAABMAcAAAAJMy8yOS8yMDI2CAAAAAk1LzMwLzIwMjAJAAAAATCseOR6RI3eCJYXlX5Ejd4IMkNJUS5OQVNEQVE6Q0FMTS5JUV9EQV9TVVBQTC45OTkuMjkvMDMvMjAyNi4uLlVTRC5IAQAAACB6BQADAAAAAACBUeR6RI3eCDwQmX5Ejd4INENJUS5OQVNEQVE6Q0FMTS5JUV9JTVBBSVJfT0lMLjk5Ni4yOS8wMy8yMDI2Li4uVVNELkgBAAAAIHoFAAMAAAAAAIFR5HpEjd4IC8KYfkSN3ggyQ0lRLk5BU0RBUTpDQUxNLklRX09QRVJfSU5DLjk5OS4yOS8wMy8yMDI2Li4uVVNELkgBAAAAIHoFAAIAAAAHMzE0LjA5NAEIAAAABQAAAAExAQAAAAstMTkzNDk3ODQ4MAMAAAADMTYwAgAAAAIyMQQAAAABMAcAAAAJMy8yOS8yMDI2CAAAAAg2LzEvMjAyNAkAAAABMIFR5HpEjd4IAHSYfkSN3gg9Q0lRLk5BU0RBUTpDQUxNLklRX0lOVEVSRVNUX0lOVkVTVF9JTkMuOTk2LjI5LzAzLzIwMjYuLi5VU0QuSAEAAAAgegUAAgAAAAYxMS44MzIBCAAAAAUAAAABMQEAAAALLTIwMzcyNDE3MjEDAAAAAzE2MAIAAAACNjUEAAAAATAHAAAACTMvMjkvMjAyNggAAAAJNS8yOS8yMDIxCQAAAAEwgVHkekSN3gidJZh+RI3eCDdDSVEuTkFTREFROkNBTE0uSVFfSU1QQUlSTUVOVF9HVy45OTkuMjkvMDMvMjAyNi4uLlVTRC5IAQAAACB6BQADAAAAAACseOR6RI3eCJROl35Ejd4IN0NJ</t>
  </si>
  <si>
    <t>US5OQVNEQVE6Q0FMTS5JUV9FWFBMT1JFX0RSSUxMLjk5Ny4yOS8wMy8yMDI2Li4uVVNELkgBAAAAIHoFAAMAAAAAAIFR5HpEjd4IYIWZfkSN3gg9Q0lRLk5BU0RBUTpDQUxNLklRX0lOVEVSRVNUX0lOVkVTVF9JTkMuOTk3LjI5LzAzLzIwMjYuLi5VU0QuSAEAAAAgegUAAgAAAAYxMS4xMTgBCAAAAAUAAAABMQEAAAALLTE5ODY3MDg0MzMDAAAAAzE2MAIAAAACNjUEAAAAATAHAAAACTMvMjkvMjAyNggAAAAJNS8yOC8yMDIyCQAAAAEwgVHkekSN3gidJZh+RI3eCDVDSVEuTkFTREFROkNBTE0uSVFfSU5UX0lOVl9JTkMuOTk3LjI5LzAzLzIwMjYuLi5VU0QuSAEAAAAgegUAAwAAAAAAWirkekSN3gg3g5p+RI3eCDNDSVEuTkFTREFROkNBTE0uSVFfVE9UQUxfUkVWLjk5Ni4yOS8wMy8yMDI2Li4uVVNELkgBAAAAIHoFAAIAAAAIMTM0OC45ODcBCAAAAAUAAAABMQEAAAALLTIwMzcyNDE3MjEDAAAAAzE2MAIAAAACMjgEAAAAATAHAAAACTMvMjkvMjAyNggAAAAJNS8yOS8yMDIxCQAAAAEwWirkekSN3ggnXJp+RI3eCDdDSVEuTkFTREFROkNBTE0uSVFfRVhQTE9SRV9EUklMTC45OTYuMjkvMDMvMjAyNi4uLlVTRC5IAQAAACB6BQADAAAAAACBUeR6RI3eCGCFmX5Ejd4INUNJUS5OQVNEQVE6Q0FMTS5JUV9GSU5fRElWX0VYUC45OTYuMjkvMDMvMjAyNi4uLlVTRC5IAQAAACB6BQADAAAAAACBUeR6RI3eCB8O</t>
  </si>
  <si>
    <t>mn5Ejd4INENJUS5OQVNEQVE6Q0FMTS5JUV9JTkNfRVFVSVRZLjk5Ny4yOS8wMy8yMDI2Li4uVVNELkgBAAAAIHoFAAIAAAAFMS45NDMBCAAAAAUAAAABMQEAAAALLTE5ODY3MDg0MzMDAAAAAzE2MAIAAAACNDcEAAAAATAHAAAACTMvMjkvMjAyNggAAAAJNS8yOC8yMDIyCQAAAAEwgVHkekSN3gjUw5d+RI3eCDVDSVEuTkFTREFROkNBTE0uSVFfSU5TX0RJVl9SRVYuOTk1LjI5LzAzLzIwMjYuLi5VU0QuSAEAAAAgegUAAwAAAAAAWirkekSN3ghn0Zp+RI3eCDdDSVEuTkFTREFROkNBTE0uSVFfRVhQTE9SRV9EUklMTC45OTkuMjkvMDMvMjAyNi4uLlVTRC5IAQAAACB6BQADAAAAAACBUeR6RI3eCOG/mX5Ejd4IM0NJUS5OQVNEQVE6Q0FMTS5JUV9UT1RBTF9SRVYuOTk3LjI5LzAzLzIwMjYuLi5VU0QuSAEAAAAgegUAAgAAAAgxNzc3LjE1OQEIAAAABQAAAAExAQAAAAstMTk4NjcwODQzMwMAAAADMTYwAgAAAAIyOAQAAAABMAcAAAAJMy8yOS8yMDI2CAAAAAk1LzI4LzIwMjIJAAAAATBaKuR6RI3eCCdcmn5Ejd4IO0NJUS5OQVNEQVE6Q0FMTS5JUV9JTlNfU0VUVExFX1NVUFBMRS45OTMuMjkvMDMvMjAyNi4uLlVTRC5IAQAAACB6BQADAAAAAACUgJZ6RI3eCAU+jH5Ejd4IOUNJUS5OQVNEQVE6Q0FMTS5JUV9GSU5fRElWX0lOVF9FWFAuOTk3LjI5LzAzLzIwMjYuLi5VU0QuSAEAAAAgegUAAwAAAAAAgVHk</t>
  </si>
  <si>
    <t>ekSN3ggM55l+RI3eCDBDSVEuTkFTREFROkNBTE0uSVFfUkRfRVhQLjk5Ny4yOS8wMy8yMDI2Li4uVVNELkgBAAAAIHoFAAMAAAAAAIFR5HpEjd4IPBCZfkSN3gg7Q0lRLk5BU0RBUTpDQUxNLklRX1RPVEFMX09USEVSX09QRVIuMTAwMC4yOS8wMy8yMDI2Li4uVVNELkgBAAAAIHoFAAIAAAAHMjk5LjQ0OQEIAAAABQAAAAExAQAAAAstMTkzNDk3ODM4MQMAAAADMTYwAgAAAAMzODAEAAAAATAHAAAACTMvMjkvMjAyNggAAAAJNS8zMS8yMDI1CQAAAAEwgVHkekSN3ggim5h+RI3eCDBDSVEuTkFTREFROkNBTE0uSVFfTUVSR0VSLjk5OC4yOS8wMy8yMDI2Li4uVVNELkgBAAAAIHoFAAMAAAAAAKx45HpEjd4ImXWXfkSN3ggwQ0lRLk5BU0RBUTpDQUxNLklRX1JEX0VYUC45OTguMjkvMDMvMjAyNi4uLlVTRC5IAQAAACB6BQADAAAAAACBUeR6RI3eCFU3mX5Ejd4IMUNJUS5OQVNEQVE6Q0FMTS5JUV9NRVJHRVIuMTAwMC4yOS8wMy8yMDI2Li4uVVNELkgBAAAAIHoFAAMAAAAAAKx45HpEjd4ImXWXfkSN3ggxQ0lRLk5BU0RBUTpDQUxNLklRX0lOQ19UQVguOTk5LjI5LzAzLzIwMjYuLi5VU0QuSAEAAAAgegUAAgAAAAY4My42ODkBCAAAAAUAAAABMQEAAAALLTE5MzQ5Nzg0ODADAAAAAzE2MAIAAAACNzUEAAAAATAHAAAACTMvMjkvMjAyNggAAAAINi8xLzIwMjQJAAAAATCseOR6RI3eCBxQln5Ejd4IOENJUS5O</t>
  </si>
  <si>
    <t>QVNEQVE6Q0FMTS5JUV9CQVNJQ19FUFNfRVhDTC45OTQuMjkvMDMvMjAyNi4uLlVTRC5IAQAAACB6BQACAAAACDEuMTE4ODg1AQgAAAAFAAAAATEBAAAACy0yMTQyNDI5MDM5AwAAAAMxNjACAAAABDMwNjQEAAAAATAHAAAACTMvMjkvMjAyNggAAAAINi8xLzIwMTkJAAAAATCseOR6RI3eCKU+lX5Ejd4IOENJUS5OQVNEQVE6Q0FMTS5JUV9FQklUREFSX0VRX0lOQy45OTguMjkvMDMvMjAyNi4uLlVTRC5IAQAAACB6BQADAAAAAABXC5Z6RI3eCOF5kn5Ejd4ILENJUS5OQVNEQVE6Q0FMTS5JUV9ETy45OTguMjkvMDMvMjAyNi4uLlVTRC5IAQAAACB6BQADAAAAAACseOR6RI3eCA8Cln5Ejd4IN0NJUS5OQVNEQVE6Q0FMTS5JUV9OSV9BVkFJTF9JTkNMLjk5NC4yOS8wMy8yMDI2Li4uVVNELkgBAAAAIHoFAAIAAAAGNTQuMjI5AQgAAAAFAAAAATEBAAAACy0yMTQyNDI5MDM5AwAAAAMxNjACAAAAAjE2BAAAAAEwBwAAAAkzLzI5LzIwMjYIAAAACDYvMS8yMDE5CQAAAAEwrHjkekSN3gjkZZV+RI3eCDtDSVEuTkFTREFROkNBTE0uSVFfU1BFQ0lBTF9ESVZfU0hBUkUuOTk5LjI5LzAzLzIwMjYuLi5VU0QuSAEAAAAgegUAAwAAAAAAFZ/kekSN3ghsQJR+RI3eCDZDSVEuTkFTREFROkNBTE0uSVFfRUJJVEFfRVFfSU5DLjk5Ni4yOS8wMy8yMDI2Li4uVVNELkgBAAAAIHoFAAIAAAAGLTIyLjY2AQgAAAAFAAAAATEB</t>
  </si>
  <si>
    <t>AAAACy0yMDM3MjQxNzIxAwAAAAMxNjACAAAABTIxNjc2BAAAAAEwBwAAAAkzLzI5LzIwMjYIAAAACTUvMjkvMjAyMQkAAAABMFvklXpEjd4I6u6SfkSN3gg5Q0lRLk5BU0RBUTpDQUxNLklRX09USEVSX1JFVl9TVVBQTC45OTcuMjkvMDMvMjAyNi4uLlVTRC5IAQAAACB6BQADAAAAAABaKuR6RI3eCCdcmn5Ejd4IN0NJUS5OQVNEQVE6Q0FMTS5JUV9OSV9BVkFJTF9JTkNMLjk5NS4yOS8wMy8yMDI2Li4uVVNELkgBAAAAIHoFAAIAAAAGMTguMzkxAQgAAAAFAAAAATEBAAAACy0yMDg4MzQ3NDY5AwAAAAMxNjACAAAAAjE2BAAAAAEwBwAAAAkzLzI5LzIwMjYIAAAACTUvMzAvMjAyMAkAAAABMKx45HpEjd4I84yVfkSN3ggwQ0lRLk5BU0RBUTpDQUxNLklRX0VCSVREQS45OTkuMjkvMDMvMjAyNi4uLlVTRC5IAQAAACB6BQACAAAABzM5NC4zMzUBCAAAAAUAAAABMQEAAAALLTE5MzQ5Nzg0ODADAAAAAzE2MAIAAAAENDA1MQQAAAABMAcAAAAJMy8yOS8yMDI2CAAAAAg2LzEvMjAyNAkAAAABMBWf5HpEjd4IHRmUfkSN3gg9Q0lRLk5BU0RBUTpDQUxNLklRX0NVUlJfRk9SRUlHTl9UQVhFUy4xMDAwLjI5LzAzLzIwMjYuLi5VU0QuSAEAAAAgegUAAwAAAAAAVwuWekSN3ggV35B+RI3eCDdDSVEuTkFTREFROkNBTE0uSVFfSU5URVJFU1RfRVhQLjEwMDAuMjkvMDMvMjAyNi4uLlVTRC5IAQAAACB6BQACAAAABi0w</t>
  </si>
  <si>
    <t>LjYxMgEIAAAABQAAAAExAQAAAAstMTkzNDk3ODM4MQMAAAADMTYwAgAAAAI4MgQAAAABMAcAAAAJMy8yOS8yMDI2CAAAAAk1LzMxLzIwMjUJAAAAATCBUeR6RI3eCPxMmH5Ejd4INUNJUS5OQVNEQVE6Q0FMTS5JUV9HQUlOX0lOVkVTVC45OTguMjkvMDMvMjAyNi4uLlVTRC5IAQAAACB6BQACAAAABi0wLjAzNgEIAAAABQAAAAExAQAAAAstMTkzNDk3ODQyMAMAAAADMTYwAgAAAAI2MgQAAAABMAcAAAAJMy8yOS8yMDI2CAAAAAg2LzMvMjAyMwkAAAABMKx45HpEjd4IhCeXfkSN3gg0Q0lRLk5BU0RBUTpDQUxNLklRX0lOQ19FUVVJVFkuOTk0LjI5LzAzLzIwMjYuLi5VU0QuSAEAAAAgegUAAgAAAAU0Ljc3NgEIAAAABQAAAAExAQAAAAstMjE0MjQyOTAzOQMAAAADMTYwAgAAAAI0NwQAAAABMAcAAAAJMy8yOS8yMDI2CAAAAAg2LzEvMjAxOQkAAAABMIFR5HpEjd4I2BGYfkSN3ggwQ0lRLk5BU0RBUTpDQUxNLklRX01FUkdFUi45OTYuMjkvMDMvMjAyNi4uLlVTRC5IAQAAACB6BQADAAAAAACseOR6RI3eCJl1l35Ejd4IMUNJUS5OQVNEQVE6Q0FMTS5JUV9FQklUREEuMTAwMC4yOS8wMy8yMDI2Li4uVVNELkgBAAAAIHoFAAIAAAAIMTY0NS40NTcBCAAAAAUAAAABMQEAAAALLTE5MzQ5NzgzODEDAAAAAzE2MAIAAAAENDA1MQQAAAABMAcAAAAJMy8yOS8yMDI2CAAAAAk1LzMxLzIwMjUJAAAAATAVn+R6RI3e</t>
  </si>
  <si>
    <t>CB0ZlH5Ejd4IMENJUS5OQVNEQVE6Q0FMTS5JUV9SRF9FWFAuOTkzLjI5LzAzLzIwMjYuLi5VU0QuSAEAAAAgegUAAwAAAAAAgVHkekSN3gg8EJl+RI3eCDFDSVEuTkFTREFROkNBTE0uSVFfSU5DX1RBWC45OTMuMjkvMDMvMjAyNi4uLlVTRC5IAQAAACB6BQACAAAABi04Ljg1OQEIAAAABQAAAAExAQAAAAoyMDQ1NzQ5MzEwAwAAAAMxNjACAAAAAjc1BAAAAAEwBwAAAAkzLzI5LzIwMjYIAAAACDYvMi8yMDE4CQAAAAEwrHjkekSN3ggcUJZ+RI3eCEFDSVEuTkFTREFROkNBTE0uSVFfRVhDSVNFX1RBWEVTX0lOQ0xfU0FMRVMuOTk4LjI5LzAzLzIwMjYuLi5VU0QuSAEAAAAgegUAAwAAAAAAVwuWekSN3gggBpF+RI3eCC1DSVEuTkFTREFROkNBTE0uSVFfR1AuMTAwMC4yOS8wMy8yMDI2Li4uVVNELkgBAAAAIHoFAAIAAAAIMTg1MC44ODUBCAAAAAUAAAABMQEAAAALLTE5MzQ5NzgzODEDAAAAAzE2MAIAAAACMTAEAAAAATAHAAAACTMvMjkvMjAyNggAAAAJNS8zMS8yMDI1CQAAAAEwgVHkekSN3gjhv5l+RI3eCDVDSVEuTkFTREFROkNBTE0uSVFfR0FJTl9JTlZFU1QuOTk2LjI5LzAzLzIwMjYuLi5VU0QuSAEAAAAgegUAAgAAAAYtMS4zNTEBCAAAAAUAAAABMQEAAAALLTIwMzcyNDE3MjEDAAAAAzE2MAIAAAACNjIEAAAAATAHAAAACTMvMjkvMjAyNggAAAAJNS8yOS8yMDIxCQAAAAEwrHjkekSN3giUTpd+</t>
  </si>
  <si>
    <t>RI3eCENDSVEuTkFTREFROkNBTE0uSVFfTk9OUkVDVVJSSU5HX0lOQ09NRV9UQVhFUy45OTYuMjkvMDMvMjAyNi4uLlVTRC5IAQAAACB6BQADAAAAAAB9MpZ6RI3eCMMukH5Ejd4IMENJUS5OQVNEQVE6Q0FMTS5JUV9SRF9FWFAuOTk0LjI5LzAzLzIwMjYuLi5VU0QuSAEAAAAgegUAAwAAAAAAgVHkekSN3ghVN5l+RI3eCDhDSVEuTkFTREFROkNBTE0uSVFfRElMVVRfRVBTX0VYQ0wuOTk5LjI5LzAzLzIwMjYuLi5VU0QuSAEAAAAgegUAAgAAAAQ1LjY5AQgAAAAFAAAAATEBAAAACy0xOTM0OTc4NDgwAwAAAAMxNjACAAAAAzE0MgQAAAABMAcAAAAJMy8yOS8yMDI2CAAAAAg2LzEvMjAyNAkAAAABMBWf5HpEjd4IfdyUfkSN3gg5Q0lRLk5BU0RBUTpDQUxNLklRX0VCSVREQV9FWENMX1NCQy45OTMuMjkvMDMvMjAyNi4uLlVTRC5IAQAAACB6BQACAAAABzIzOS4yMjMBCAAAAAUAAAABMQEAAAAKMjA0NTc0OTMxMAMAAAADMTYwAgAAAAUyNDEzNQQAAAABMAcAAAAJMy8yOS8yMDI2CAAAAAg2LzIvMjAxOAkAAAABMBWf5HpEjd4Iz/GTfkSN3gg4Q0lRLk5BU0RBUTpDQUxNLklRX0VCSVRBX0VYQ0xfU0JDLjk5My4yOS8wMy8yMDI2Li4uVVNELkgBAAAAIHoFAAIAAAAHMTg3Ljk5NwEIAAAABQAAAAExAQAAAAoyMDQ1NzQ5MzEwAwAAAAMxNjACAAAABTI0MTM2BAAAAAEwBwAAAAkzLzI5LzIwMjYIAAAACDYvMi8y</t>
  </si>
  <si>
    <t>MDE4CQAAAAEwW+SVekSN3gjNoJJ+RI3eCDhDSVEuTkFTREFROkNBTE0uSVFfTUlOSU1VTV9SRU5UQUwuOTk2LjI5LzAzLzIwMjYuLi5VU0QuSAEAAAAgegUAAwAAAAAAilmWekSN3gja2I1+RI3eCDhDSVEuTkFTREFROkNBTE0uSVFfUFJFRl9ESVZfT1RIRVIuOTk2LjI5LzAzLzIwMjYuLi5VU0QuSAEAAAAgegUAAwAAAAAArHjkekSN3gjzjJV+RI3eCDVDSVEuTkFTREFROkNBTE0uSVFfSU5TX0RJVl9FWFAuOTk3LjI5LzAzLzIwMjYuLi5VU0QuSAEAAAAgegUAAwAAAAAAgVHkekSN3ggfDpp+RI3eCEFDSVEuTkFTREFROkNBTE0uSVFfRUJJVERBX0VRX0lOQ19FWENMX1NCQy4xMDAwLjI5LzAzLzIwMjYuLi5VU0QuSAEAAAAgegUAAgAAAAgxNjU2LjIwNQEIAAAABQAAAAExAQAAAAstMTkzNDk3ODM4MQMAAAADMTYwAgAAAAUyNDEzMQQAAAABMAcAAAAJMy8yOS8yMDI2CAAAAAk1LzMxLzIwMjUJAAAAATAVn+R6RI3eCM/xk35Ejd4ITENJUS5OQVNEQVE6Q0FMTS5JUV9QUk9WX0JBRF9ERUJUU19QQVRJRU5UX1NFUlZJQ0VfUkVWLjk5Ny4yOS8wMy8yMDI2Li4uVVNELkgBAAAAIHoFAAMAAAAAAFcLlnpEjd4IcMmRfkSN3gg5Q0lRLk5BU0RBUTpDQUxNLklRX0dBSU5fQVNTRVRTX1JFVi45OTUuMjkvMDMvMjAyNi4uLlVTRC5IAQAAACB6BQADAAAAAABaKuR6RI3eCGfRmn5Ejd4IN0NJUS5OQVNEQVE6Q0FM</t>
  </si>
  <si>
    <t>TS5JUV9QUkVfT1BFTl9DT1NULjk5Ni4yOS8wMy8yMDI2Li4uVVNELkgBAAAAIHoFAAMAAAAAAIFR5HpEjd4IVTeZfkSN3gg7Q0lRLk5BU0RBUTpDQUxNLklRX0lOVkVTVE1FTlRfSU5DT01FLjk5NS4yOS8wMy8yMDI2Li4uVVNELkgBAAAAIHoFAAMAAAAAAFcLlnpEjd4IMy2RfkSN3ghBQ0lRLk5BU0RBUTpDQUxNLklRX0RFRkVSUkVEX0RPTUVTVElDX1RBWEVTLjk5OS4yOS8wMy8yMDI2Li4uVVNELkgBAAAAIHoFAAIAAAAGLTkuNjcyAQgAAAAFAAAAATEBAAAACy0xOTM0OTc4NDgwAwAAAAMxNjACAAAABDMwNTQEAAAAATAHAAAACTMvMjkvMjAyNggAAAAINi8xLzIwMjQJAAAAATBXC5Z6RI3eCBORkH5Ejd4INUNJUS5OQVNEQVE6Q0FMTS5JUV9JTlRfRVhQX0xURC45OTguMjkvMDMvMjAyNi4uLlVTRC5IAQAAACB6BQACAAAABTAuNTgzAQgAAAAFAAAAATEBAAAACy0xOTM0OTc4NDIwAwAAAAMxNjACAAAABDMxMDEEAAAAATAHAAAACTMvMjkvMjAyNggAAAAINi8zLzIwMjMJAAAAATB9MpZ6RI3eCJ/gj35Ejd4IQ0NJUS5OQVNEQVE6Q0FMTS5JUV9TVE9DS19PUFRJT05TX0NPTVBfUFJFVEFYLjk5OS4yOS8wMy8yMDI2Li4uVVNELkgBAAAAIHoFAAMAAAAAAEi8f3pEjd4I4BmKfkSN3gg0Q0lRLk5BU0RBUTpDQUxNLklRX09USEVSX09QRVIuOTkzLjI5LzAzLzIwMjYuLi5VU0QuSAEAAAAgegUAAwAAAAAA</t>
  </si>
  <si>
    <t>gVHkekSN3ggLwph+RI3eCDlDSVEuTkFTREFROkNBTE0uSVFfVE9UQUxfUkVWX1NIQVJFLjk5OC4yOS8wMy8yMDI2Li4uVVNELkgBAAAAIHoFAAIAAAAHNjQuNjczMQEIAAAABQAAAAExAQAAAAstMTkzNDk3ODQyMAMAAAADMTYwAgAAAAQ0MzgyBAAAAAEwBwAAAAkzLzI5LzIwMjYIAAAACDYvMy8yMDIzCQAAAAEwFZ/kekSN3ghiZ5R+RI3eCEFDSVEuTkFTREFROkNBTE0uSVFfTEVBU0VfQURKVVNUTUVOVF9FQklUREEuOTk3LjI5LzAzLzIwMjYuLi5VU0QuSAEAAAAgegUAAwAAAAAAFZ/kekSN3ggVn5N+RI3eCD9DSVEuTkFTREFROkNBTE0uSVFfRUJJVEFfRVFfSU5DX0VYQ0xfU0JDLjk5NS4yOS8wMy8yMDI2Li4uVVNELkgBAAAAIHoFAAIAAAAFOC40MDIBCAAAAAUAAAABMQEAAAALLTIwODgzNDc0NjkDAAAAAzE2MAIAAAAFMjQxMzIEAAAAATAHAAAACTMvMjkvMjAyNggAAAAJNS8zMC8yMDIwCQAAAAEwW+SVekSN3gjbx5J+RI3eCEFDSVEuTkFTREFROkNBTE0uSVFfRUJJVERBUl9FUV9JTkNfRVhDTF9TQkMuOTk4LjI5LzAzLzIwMjYuLi5VU0QuSAEAAAAgegUAAwAAAAAAVwuWekSN3gjBUpJ+RI3eCD9DSVEuTkFTREFROkNBTE0uSVFfVE9UQUxfUkVWX0FTX1JFUE9SVEVELjk5Ny4yOS8wMy8yMDI2Li4uVVNELkgBAAAAIHoFAAMAAAAAAFcLlnpEjd4IjPCRfkSN3gg0Q0lRLk5BU0RBUTpDQUxNLklR</t>
  </si>
  <si>
    <t>X05JX0NPTVBBTlkuOTkzLjI5LzAzLzIwMjYuLi5VU0QuSAEAAAAgegUAAgAAAAcxMjYuMTk2AQgAAAAFAAAAATEBAAAACjIwNDU3NDkzMTADAAAAAzE2MAIAAAAFNDE1NzEEAAAAATAHAAAACTMvMjkvMjAyNggAAAAINi8yLzIwMTgJAAAAATCseOR6RI3eCBPblX5Ejd4ILENJUS5OQVNEQVE6Q0FMTS5JUV9OSS45OTkuMjkvMDMvMjAyNi4uLlVTRC5IAQAAACB6BQACAAAABzI3Ny44ODgBCAAAAAUAAAABMQEAAAALLTE5MzQ5Nzg0ODADAAAAAzE2MAIAAAACMTUEAAAAATAHAAAACTMvMjkvMjAyNggAAAAINi8xLzIwMjQJAAAAATCseOR6RI3eCOSzlX5Ejd4IOENJUS5OQVNEQVE6Q0FMTS5JUV9CQVNJQ19FUFNfRVhDTC45OTcuMjkvMDMvMjAyNi4uLlVTRC5IAQAAACB6BQACAAAACDIuNzMwNDkxAQgAAAAFAAAAATEBAAAACy0xOTg2NzA4NDMzAwAAAAMxNjACAAAABDMwNjQEAAAAATAHAAAACTMvMjkvMjAyNggAAAAJNS8yOC8yMDIyCQAAAAEwrHjkekSN3giWF5V+RI3eCDhDSVEuTkFTREFROkNBTE0uSVFfRElMVVRfRVBTX0VYQ0wuOTk0LjI5LzAzLzIwMjYuLi5VU0QuSAEAAAAgegUAAgAAAAgxLjExODg4NQEIAAAABQAAAAExAQAAAAstMjE0MjQyOTAzOQMAAAADMTYwAgAAAAMxNDIEAAAAATAHAAAACTMvMjkvMjAyNggAAAAINi8xLzIwMTkJAAAAATAVn+R6RI3eCH3clH5Ejd4IOENJUS5OQVNEQVE6</t>
  </si>
  <si>
    <t>Q0FMTS5JUV9ESUxVVF9FUFNfTk9STS45OTYuMjkvMDMvMjAyNi4uLlVTRC5IAQAAACB6BQACAAAACS0wLjA3MjEzOQEIAAAABQAAAAExAQAAAAstMjAzNzI0MTcyMQMAAAADMTYwAgAAAAQ0MzgwBAAAAAEwBwAAAAkzLzI5LzIwMjYIAAAACTUvMjkvMjAyMQkAAAABMBWf5HpEjd4IfdyUfkSN3ggyQ0lRLk5BU0RBUTpDQUxNLklRX0VCVF9FWENMLjk5Ni4yOS8wMy8yMDI2Li4uVVNELkgBAAAAIHoFAAIAAAAGLTUuNjE2AQgAAAAFAAAAATEBAAAACy0yMDM3MjQxNzIxAwAAAAMxNjACAAAAATQEAAAAATAHAAAACTMvMjkvMjAyNggAAAAJNS8yOS8yMDIxCQAAAAEwgVHkekSN3gi0nJd+RI3eCDVDSVEuTkFTREFROkNBTE0uSVFfR0FJTl9BU1NFVFMuOTk3LjI5LzAzLzIwMjYuLi5VU0QuSAEAAAAgegUAAgAAAAYtMC4zODMBCAAAAAUAAAABMQEAAAALLTE5ODY3MDg0MzMDAAAAAzE2MAIAAAACNTYEAAAAATAHAAAACTMvMjkvMjAyNggAAAAJNS8yOC8yMDIyCQAAAAEwrHjkekSN3giEJ5d+RI3eCDRDSVEuTkFTREFROkNBTE0uSVFfSU5TX1NFVFRMRS45OTkuMjkvMDMvMjAyNi4uLlVTRC5IAQAAACB6BQADAAAAAACseOR6RI3eCGTZln5Ejd4ILUNJUS5OQVNEQVE6Q0FMTS5JUV9FQlQuOTkzLjI5LzAzLzIwMjYuLi5VU0QuSAEAAAAgegUAAgAAAAcxMTcuMzM3AQgAAAAFAAAAATEBAAAACjIwNDU3NDkzMTAD</t>
  </si>
  <si>
    <t>AAAAAzE2MAIAAAADMTM5BAAAAAEwBwAAAAkzLzI5LzIwMjYIAAAACDYvMi8yMDE4CQAAAAEwrHjkekSN3gjyipZ+RI3eCEFDSVEuTkFTREFROkNBTE0uSVFfQ09OVElOR0VOVF9MSUFCSUxJVElFUy4xMDAwLjI5LzAzLzIwMjYuLi5VU0QuSAEAAAAgegUAAgAAAAM0LjcBCAAAAAUAAAABMQEAAAALLTE5MzQ5NzgzODEDAAAAAzE2MAIAAAAFMjQ2NzEEAAAAATAHAAAACTMvMjkvMjAyNggAAAAJNS8zMS8yMDI1CQAAAAEwAooXekSN3ghwbW5+RI3eCD1DSVEuTkFTREFROkNBTE0uSVFfTFRfREVCVF9ERVJJVkFUSVZFUy45OTYuMjkvMDMvMjAyNi4uLlVTRC5IAQAAACB6BQADAAAAAAACihd6RI3eCCbRbX5Ejd4IPkNJUS5OQVNEQVE6Q0FMTS5JUV9ERVJJVkFUSVZFX0FTU0VUU19MVC45OTMuMjkvMDMvMjAyNi4uLlVTRC5IAQAAACB6BQADAAAAAAD7sBd6RI3eCCaDbX5Ejd4IM0NJUS5OQVNEQVE6Q0FMTS5JUV9PVEhFUl9JTlYuOTk5LjI5LzAzLzIwMjYuLi5VU0QuSAEAAAAgegUAAwAAAAAAwFUtekSN3ggwPXN+RI3eCDNDSVEuTkFTREFROkNBTE0uSVFfTUFDSElORVJZLjk5NC4yOS8wMy8yMDI2Li4uVVNELkgBAAAAIHoFAAIAAAAHNDk0LjkzNwEIAAAABQAAAAExAQAAAAstMjE0MjQyOTAzOQMAAAADMTYwAgAAAAQzMTE0BAAAAAEwBwAAAAkzLzI5LzIwMjYIAAAACDYvMS8yMDE5CQAAAAEwwFUtekSN</t>
  </si>
  <si>
    <t>3ghOFnN+RI3eCEFDSVEuTkFTREFROkNBTE0uSVFfTkFUVVJBTF9SRVNPVVJDRVNfQ09TVC4xMDAwLjI5LzAzLzIwMjYuLi5VU0QuSAEAAAAgegUAAwAAAAAAwFUtekSN3ggNoXJ+RI3eCDhDSVEuTkFTREFROkNBTE0uSVFfQVNTRVRTX0xFVkVMXzEuOTk2LjI5LzAzLzIwMjYuLi5VU0QuSAEAAAAgegUAAgAAAAU0LjExNgCiaS16RI3eCFjfcH5Ejd4ISkNJUS5OQVNEQVE6Q0FMTS5JUV9GQUlSX1ZBTFVFX0NIQU5HRV9JTkNMX0VBUk5JTkdTLjEwMDAuMjkvMDMvMjAyNi4uLlVTRC5IAQAAACB6BQACAAAAAy0xNQDmYhd6RI3eCEu6b35Ejd4INENJUS5OQVNEQVE6Q0FMTS5JUV9DQVNIX1NIQVJFLjk5Ni4yOS8wMy8yMDI2Li4uVVNELkgBAAAAIHoFAAIAAAAIMS4xNzM4MzkBCAAAAAUAAAABMQEAAAALLTIwMzcyNDE3MjEDAAAAAzE2MAIAAAAENDM4MQQAAAABMAcAAAAJMy8yOS8yMDI2CAAAAAk1LzI5LzIwMjEJAAAAATDBLi16RI3eCCsTdX5Ejd4IQUNJUS5OQVNEQVE6Q0FMTS5JUV9NSU5PUklUWV9JTlRFUkVTVF9UT1RBTC45OTQuMjkvMDMvMjAyNi4uLlVTRC5IAQAAACB6BQACAAAABTMuMTgyAQgAAAAFAAAAATEBAAAACy0yMTQyNDI5MDM5AwAAAAMxNjACAAAABDEzMTIEAAAAATAHAAAACTMvMjkvMjAyNggAAAAINi8xLzIwMTkJAAAAATDBLi16RI3eCMxidH5Ejd4INkNJUS5OQVNEQVE6Q0FMTS5J</t>
  </si>
  <si>
    <t>UV9XT1JLSU5HX0NBUC4xMDAwLjI5LzAzLzIwMjYuLi5VU0QuSAEAAAAgegUAAgAAAAgxNjU5LjczOQEIAAAABQAAAAExAQAAAAstMTkzNDk3ODM4MQMAAAADMTYwAgAAAAQ0MTY1BAAAAAEwBwAAAAkzLzI5LzIwMjYIAAAACTUvMzEvMjAyNQkAAAABMMEuLXpEjd4Ixzt0fkSN3gg3Q0lRLk5BU0RBUTpDQUxNLklRX0VRVUlUWV9NRVRIT0QuOTk2LjI5LzAzLzIwMjYuLi5VU0QuSAEAAAAgegUAAgAAAAY1NC45NDEBCAAAAAUAAAABMQEAAAALLTIwMzcyNDE3MjEDAAAAAzE2MAIAAAAEMzA2MwQAAAABMAcAAAAJMy8yOS8yMDI2CAAAAAk1LzI5LzIwMjEJAAAAATDBLi16RI3eCJ7tc35Ejd4IMUNJUS5OQVNEQVE6Q0FMTS5JUV9XSVBfSU5WLjk5NC4yOS8wMy8yMDI2Li4uVVNELkgBAAAAIHoFAAMAAAAAAMBVLXpEjd4IVJ9zfkSN3ghAQ0lRLk5BU0RBUTpDQUxNLklRX0ZJTkFOQ0VfTEVBU0VTX0NVUlJFTlQuOTk2LjI5LzAzLzIwMjYuLi5VU0QuSAEAAAAgegUAAgAAAAUwLjIxNQEIAAAABQAAAAExAQAAAAstMjAzNzI0MTcyMQMAAAADMTYwAgAAAAU0ODk5MAQAAAABMAcAAAAJMy8yOS8yMDI2CAAAAAk1LzI5LzIwMjEJAAAAATC6By16RI3eCPn7dn5Ejd4IUENJUS5OQVNEQVE6Q0FMTS5JUV9DVVJSRU5UX1BPUlRJT05fT1BFUl9MRUFTRV9MSUFCSUxJVElFUy45OTMuMjkvMDMvMjAyNi4uLlVTRC5IAQAA</t>
  </si>
  <si>
    <t>ACB6BQADAAAAAAC6By16RI3eCL+tdn5Ejd4IO0NJUS5OQVNEQVE6Q0FMTS5JUV9UT1RBTF9PUEVSX0xFQVNFUy45OTMuMjkvMDMvMjAyNi4uLlVTRC5IAQAAACB6BQADAAAAAAC6By16RI3eCHmGdn5Ejd4IRkNJUS5OQVNEQVE6Q0FMTS5JUV9UT1RBTF9ERUJUX0VYQ0xfT1BFUl9MRUFTRVMuMTAwMC4yOS8wMy8yMDI2Li4uVVNELkgBAAAAIHoFAAMAAAAAALoHLXpEjd4Iiv11fkSN3gg7Q0lRLk5BU0RBUTpDQUxNLklRX0JWX1NIQVJFX1JFUE9SVEVELjk5Ni4yOS8wMy8yMDI2Li4uVVNELkgBAAAAIHoFAAMAAAAAAMEuLXpEjd4Iaq91fkSN3ggzQ0lRLk5BU0RBUTpDQUxNLklRX1JVQV9HUk9TUy45OTcuMjkvMDMvMjAyNi4uLlVTRC5IAQAAACB6BQADAAAAAACW4Cx6RI3eCE1LeH5Ejd4IMUNJUS5OQVNEQVE6Q0FMTS5JUV9SVUFfTkVULjk5OS4yOS8wMy8yMDI2Li4uVVNELkgBAAAAIHoFAAMAAAAAAJbgLHpEjd4IWPd3fkSN3ghDQ0lRLk5BU0RBUTpDQUxNLklRX1JVQV9PUEVSQVRJTkdfTEVBU0VfR1JPU1MuOTkzLjI5LzAzLzIwMjYuLi5VU0QuSAEAAAAgegUAAwAAAAAAluAsekSN3ggXcXd+RI3eCEFDSVEuTkFTREFROkNBTE0uSVFfUlVBX09QRVJBVElOR19MRUFTRV9ORVQuOTk0LjI5LzAzLzIwMjYuLi5VU0QuSAEAAAAgegUAAwAAAAAAugctekSN3ggRSnd+RI3eCD1DSVEuTkFTREFROkNBTE0u</t>
  </si>
  <si>
    <t>SVFfQURfRVhDTF9PUEVSX0xFQVNFUy45OTUuMjkvMDMvMjAyNi4uLlVTRC5IAQAAACB6BQACAAAACC01ODUuMjkxAQgAAAAFAAAAATEBAAAACy0yMDg4MzQ3NDY5AwAAAAMxNjACAAAABTQ4OTc1BAAAAAEwBwAAAAkzLzI5LzIwMjYIAAAACTUvMzAvMjAyMAkAAAABMLoHLXpEjd4I+ft2fkSN3gg2Q0lRLk5BU0RBUTpDQUxNLklRX1BSRUZfQ09OVkVSVC45OTYuMjkvMDMvMjAyNi4uLlVTRC5IAQAAACB6BQADAAAAAAANp4B6RI3eCNyDeX5Ejd4INUNJUS5OQVNEQVE6Q0FMTS5JUV9QUkVGX0VRVUlUWS45OTcuMjkvMDMvMjAyNi4uLlVTRC5IAQAAACB6BQADAAAAAACKuSx6RI3eCKw1eX5Ejd4ILkNJUS5OQVNEQVE6Q0FMTS5JUV9BUElDLjk5OS4yOS8wMy8yMDI2Li4uVVNELkgBAAAAIHoFAAIAAAAGNzYuMzcxAQgAAAAFAAAAATEBAAAACy0xOTM0OTc4NDgwAwAAAAMxNjACAAAABDEwODQEAAAAATAHAAAACTMvMjkvMjAyNggAAAAINi8xLzIwMjQJAAAAATCKuSx6RI3eCJMOeX5Ejd4IPUNJUS5OQVNEQVE6Q0FMTS5JUV9UT1RBTF9DT01NT05fRVFVSVRZLjk5My4yOS8wMy8yMDI2Li4uVVNELkgBAAAAIHoFAAIAAAAHOTUzLjMzMwEIAAAABQAAAAExAQAAAAoyMDQ1NzQ5MzEwAwAAAAMxNjACAAAABDEwMDYEAAAAATAHAAAACTMvMjkvMjAyNggAAAAINi8yLzIwMTgJAAAAATCW4Cx6RI3eCG2ZeH5Ejd4I</t>
  </si>
  <si>
    <t>NkNJUS5OQVNEQVE6Q0FMTS5JUV9UT1RBTF9FUVVJVFkuOTk1LjI5LzAzLzIwMjYuLi5VU0QuSAEAAAAgegUAAgAAAAgxMDA5LjY3NQEIAAAABQAAAAExAQAAAAstMjA4ODM0NzQ2OQMAAAADMTYwAgAAAAQxMjc1BAAAAAEwBwAAAAkzLzI5LzIwMjYIAAAACTUvMzAvMjAyMAkAAAABMJbgLHpEjd4IWHJ4fkSN3gg/Q0lRLk5BU0RBUTpDQUxNLklRX0ZJTl9ESVZfTFRfREVCVF9UT1RBTC45OTQuMjkvMDMvMjAyNi4uLlVTRC5IAQAAACB6BQADAAAAAADmYhd6RI3eCNuSb35Ejd4IO0NJUS5OQVNEQVE6Q0FMTS5JUV9GSU5fRElWX1NUX0lOVkVTVC45OTUuMjkvMDMvMjAyNi4uLlVTRC5IAQAAACB6BQADAAAAAAACihd6RI3eCMQdb35Ejd4IRUNJUS5OQVNEQVE6Q0FMTS5JUV9SRVNUUklDVEVEX0NBU0hfTk9OX0NVUlJFTlQuOTk3LjI5LzAzLzIwMjYuLi5VU0QuSAEAAAAgegUAAwAAAAAAAooXekSN3ghKz25+RI3eCD1DSVEuTkFTREFROkNBTE0uSVFfTFRfREVCVF9ERVJJVkFUSVZFUy45OTcuMjkvMDMvMjAyNi4uLlVTRC5IAQAAACB6BQADAAAAAAACihd6RI3eCEv4bX5Ejd4IMENJUS5OQVNEQVE6Q0FMTS5JUV9HV19ORVQuOTk2LjI5LzAzLzIwMjYuLi5VU0QuSAEAAAAgegUAAgAAAAYzNS41MjUBCAAAAAUAAAABMQEAAAALLTIwMzcyNDE3MjEDAAAAAzE2MAIAAAAFNDg5NjAEAAAAATAHAAAACTMvMjkv</t>
  </si>
  <si>
    <t>MjAyNggAAAAJNS8yOS8yMDIxCQAAAAEw+7AXekSN3giAXWx+RI3eCDNDSVEuTkFTREFROkNBTE0uSVFfTUFDSElORVJZLjk5NS4yOS8wMy8yMDI2Li4uVVNELkgBAAAAIHoFAAIAAAAHNTMxLjU0NQEIAAAABQAAAAExAQAAAAstMjA4ODM0NzQ2OQMAAAADMTYwAgAAAAQzMTE0BAAAAAEwBwAAAAkzLzI5LzIwMjYIAAAACTUvMzAvMjAyMAkAAAABMMBVLXpEjd4IThZzfkSN3ghDQ0lRLk5BU0RBUTpDQUxNLklRX0ZJTl9ESVZfTUlOT1JJVFlfSU5URVJFU1QuOTk0LjI5LzAzLzIwMjYuLi5VU0QuSAEAAAAgegUAAwAAAAAAomktekSN3gi8BHJ+RI3eCEVDSVEuTkFTREFROkNBTE0uSVFfR0VORVJBTF9QQVJUTkVSX1BSRUZfRVFVSVRZLjk5My4yOS8wMy8yMDI2Li4uVVNELkgBAAAAIHoFAAMAAAAAAKJpLXpEjd4Ij3txfkSN3ghNQ0lRLk5BU0RBUTpDQUxNLklRX0xJUVVJREFUSU9OX1ZBTFVFX1BSRUZFUlJFRF9DT05WRVJULjk5My4yOS8wMy8yMDI2Li4uVVNELkgBAAAAIHoFAAMAAAAAAKJpLXpEjd4ImVRxfkSN3ghKQ0lRLk5BU0RBUTpDQUxNLklRX0FTU0VUU19ORVRUSU5HX09USEVSX0FESlVTVE1FTlRTLjk5My4yOS8wMy8yMDI2Li4uVVNELkgBAAAAIHoFAAMAAAAAAKJpLXpEjd4IOZFwfkSN3gg0Q0lRLk5BU0RBUTpDQUxNLklRX0NBU0hfU0hBUkUuOTk3LjI5LzAzLzIwMjYuLi5VU0QuSAEAAAAg</t>
  </si>
  <si>
    <t>egUAAgAAAAgxLjIwNzI3NAEIAAAABQAAAAExAQAAAAstMTk4NjcwODQzMwMAAAADMTYwAgAAAAQ0MzgxBAAAAAEwBwAAAAkzLzI5LzIwMjYIAAAACTUvMjgvMjAyMgkAAAABMMEuLXpEjd4IKxN1fkSN3ghBQ0lRLk5BU0RBUTpDQUxNLklRX01JTk9SSVRZX0lOVEVSRVNUX1RPVEFMLjk5NS4yOS8wMy8yMDI2Li4uVVNELkgBAAAAIHoFAAMAAAAAAMEuLXpEjd4IzGJ0fkSN3gg3Q0lRLk5BU0RBUTpDQUxNLklRX0VRVUlUWV9NRVRIT0QuOTk3LjI5LzAzLzIwMjYuLi5VU0QuSAEAAAAgegUAAgAAAAUxNS41MwEIAAAABQAAAAExAQAAAAstMTk4NjcwODQzMwMAAAADMTYwAgAAAAQzMDYzBAAAAAEwBwAAAAkzLzI5LzIwMjYIAAAACTUvMjgvMjAyMgkAAAABMMEuLXpEjd4Inu1zfkSN3ggxQ0lRLk5BU0RBUTpDQUxNLklRX1dJUF9JTlYuOTk1LjI5LzAzLzIwMjYuLi5VU0QuSAEAAAAgegUAAwAAAAAAwFUtekSN3ghUn3N+RI3eCDRDSVEuTkFTREFROkNBTE0uSVFfT1RIRVJfSU5WLjEwMDAuMjkvMDMvMjAyNi4uLlVTRC5IAQAAACB6BQADAAAAAADAVS16RI3eCDA9c35Ejd4IQENJUS5OQVNEQVE6Q0FMTS5JUV9GSU5BTkNFX0xFQVNFU19DVVJSRU5ULjk5Ny4yOS8wMy8yMDI2Li4uVVNELkgBAAAAIHoFAAMAAAAAALoHLXpEjd4I+ft2fkSN3ghQQ0lRLk5BU0RBUTpDQUxNLklRX0NVUlJFTlRfUE9SVElPTl9P</t>
  </si>
  <si>
    <t>UEVSX0xFQVNFX0xJQUJJTElUSUVTLjk5NC4yOS8wMy8yMDI2Li4uVVNELkgBAAAAIHoFAAMAAAAAALoHLXpEjd4Iv612fkSN3gg7Q0lRLk5BU0RBUTpDQUxNLklRX1RPVEFMX09QRVJfTEVBU0VTLjk5NC4yOS8wMy8yMDI2Li4uVVNELkgBAAAAIHoFAAMAAAAAALoHLXpEjd4IeYZ2fkSN3ghSQ0lRLk5BU0RBUTpDQUxNLklRX0ZJTkFOQ0lOR19PQkxJR19DVVJSRU5UX0VYQ0xfT1BFUl9MRUFTRVMuOTk0LjI5LzAzLzIwMjYuLi5VU0QuSAEAAAAgegUAAgAAAAUxLjY5NgEIAAAABQAAAAExAQAAAAstMjE0MjQyOTAzOQMAAAADMTYwAgAAAAU0ODk4MAQAAAABMAcAAAAJMy8yOS8yMDI2CAAAAAg2LzEvMjAxOQkAAAABMLoHLXpEjd4IoCR2fkSN3gg7Q0lRLk5BU0RBUTpDQUxNLklRX0JWX1NIQVJFX1JFUE9SVEVELjk5Ny4yOS8wMy8yMDI2Li4uVVNELkgBAAAAIHoFAAMAAAAAAMEuLXpEjd4Iaq91fkSN3ggzQ0lRLk5BU0RBUTpDQUxNLklRX1JVQV9HUk9TUy45OTguMjkvMDMvMjAyNi4uLlVTRC5IAQAAACB6BQADAAAAAACW4Cx6RI3eCE1LeH5Ejd4IMkNJUS5OQVNEQVE6Q0FMTS5JUV9SVUFfTkVULjEwMDAuMjkvMDMvMjAyNi4uLlVTRC5IAQAAACB6BQADAAAAAACW4Cx6RI3eCFj3d35Ejd4IQ0NJUS5OQVNEQVE6Q0FMTS5JUV9SVUFfT1BFUkFUSU5HX0xFQVNFX0dST1NTLjk5NC4yOS8wMy8yMDI2Li4u</t>
  </si>
  <si>
    <t>VVNELkgBAAAAIHoFAAMAAAAAAJbgLHpEjd4IF3F3fkSN3ghBQ0lRLk5BU0RBUTpDQUxNLklRX1JVQV9PUEVSQVRJTkdfTEVBU0VfTkVULjk5Ni4yOS8wMy8yMDI2Li4uVVNELkgBAAAAIHoFAAMAAAAAALoHLXpEjd4IF3F3fkSN3gg9Q0lRLk5BU0RBUTpDQUxNLklRX0FEX0VYQ0xfT1BFUl9MRUFTRVMuOTk3LjI5LzAzLzIwMjYuLi5VU0QuSAEAAAAgegUAAgAAAAgtNjc3Ljc4OAEIAAAABQAAAAExAQAAAAstMTk4NjcwODQzMwMAAAADMTYwAgAAAAU0ODk3NQQAAAABMAcAAAAJMy8yOS8yMDI2CAAAAAk1LzI4LzIwMjIJAAAAATC6By16RI3eCA8jd35Ejd4INkNJUS5OQVNEQVE6Q0FMTS5JUV9QUkVGX0NPTlZFUlQuOTk4LjI5LzAzLzIwMjYuLi5VU0QuSAEAAAAgegUAAwAAAAAAirksekSN3gjcg3l+RI3eCDVDSVEuTkFTREFROkNBTE0uSVFfUFJFRl9FUVVJVFkuOTk5LjI5LzAzLzIwMjYuLi5VU0QuSAEAAAAgegUAAwAAAAAAirksekSN3gisNXl+RI3eCC9DSVEuTkFTREFROkNBTE0uSVFfQVBJQy4xMDAwLjI5LzAzLzIwMjYuLi5VU0QuSAEAAAAgegUAAgAAAAY4MC44NDUBCAAAAAUAAAABMQEAAAALLTE5MzQ5NzgzODEDAAAAAzE2MAIAAAAEMTA4NAQAAAABMAcAAAAJMy8yOS8yMDI2CAAAAAk1LzMxLzIwMjUJAAAAATCKuSx6RI3eCJMOeX5Ejd4IPUNJUS5OQVNEQVE6Q0FMTS5JUV9UT1RBTF9DT01N</t>
  </si>
  <si>
    <t>T05fRVFVSVRZLjk5NC4yOS8wMy8yMDI2Li4uVVNELkgBAAAAIHoFAAIAAAAHOTg2LjYyNAEIAAAABQAAAAExAQAAAAstMjE0MjQyOTAzOQMAAAADMTYwAgAAAAQxMDA2BAAAAAEwBwAAAAkzLzI5LzIwMjYIAAAACDYvMS8yMDE5CQAAAAEwluAsekSN3ghtmXh+RI3eCDZDSVEuTkFTREFROkNBTE0uSVFfVE9UQUxfRVFVSVRZLjk5Ni4yOS8wMy8yMDI2Li4uVVNELkgBAAAAIHoFAAIAAAAIMTAxMi43ODEBCAAAAAUAAAABMQEAAAALLTIwMzcyNDE3MjEDAAAAAzE2MAIAAAAEMTI3NQQAAAABMAcAAAAJMy8yOS8yMDI2CAAAAAk1LzI5LzIwMjEJAAAAATCW4Cx6RI3eCFhyeH5Ejd4IPkNJUS5OQVNEQVE6Q0FMTS5JUV9ERUZfVEFYX0xJQUJfQ1VSUkVOVC45OTMuMjkvMDMvMjAyNi4uLlVTRC5IAQAAACB6BQADAAAAAAANp4B6RI3eCE4Le35Ejd4IMkNJUS5OQVNEQVE6Q0FMTS5JUV9UT1RBTF9DTC45OTYuMjkvMDMvMjAyNi4uLlVTRC5IAQAAACB6BQACAAAABjkwLjA5NwEIAAAABQAAAAExAQAAAAstMjAzNzI0MTcyMQMAAAADMTYwAgAAAAQxMDA5BAAAAAEwBwAAAAkzLzI5LzIwMjYIAAAACTUvMjkvMjAyMQkAAAABMA2ngHpEjd4IbtB6fkSN3gg6Q0lRLk5BU0RBUTpDQUxNLklRX0xPTkdfVEVSTV9MRUFTRVMuOTk4LjI5LzAzLzIwMjYuLi5VU0QuSAEAAAAgegUAAwAAAAAADaeAekSN3ghcqXp+RI3eCDdD</t>
  </si>
  <si>
    <t>SVEuTkFTREFROkNBTE0uSVFfT1RIRVJfTElBQl9MVC45OTQuMjkvMDMvMjAyNi4uLlVTRC5IAQAAACB6BQACAAAABDguMTEBCAAAAAUAAAABMQEAAAALLTIxNDI0MjkwMzkDAAAAAzE2MAIAAAAEMTA2MgQAAAABMAcAAAAJMy8yOS8yMDI2CAAAAAg2LzEvMjAxOQkAAAABMA2ngHpEjd4IH+Z5fkSN3gg1Q0lRLk5BU0RBUTpDQUxNLklRX1BSRUZfUkVERUVNLjk5Ni4yOS8wMy8yMDI2Li4uVVNELkgBAAAAIHoFAAMAAAAAAA2ngHpEjd4I+r55fkSN3ghDQ0lRLk5BU0RBUTpDQUxNLklRX0RFUklWQVRJVkVfQVNTRVRTX0NVUlJFTlQuOTk0LjI5LzAzLzIwMjYuLi5VU0QuSAEAAAAgegUAAwAAAAAAAooXekSN3ggmg21+RI3eCDhDSVEuTkFTREFROkNBTE0uSVFfQUNDVU1fQU1PUlRfR1cuOTk1LjI5LzAzLzIwMjYuLi5VU0QuSAEAAAAgegUAAwAAAAAA+7AXekSN3gjH+Wx+RI3eCDBDSVEuTkFTREFROkNBTE0uSVFfR1dfTkVULjk5Ny4yOS8wMy8yMDI2Li4uVVNELkgBAAAAIHoFAAIAAAAGNDQuMDA2AQgAAAAFAAAAATEBAAAACy0xOTg2NzA4NDMzAwAAAAMxNjACAAAABTQ4OTYwBAAAAAEwBwAAAAkzLzI5LzIwMjYIAAAACTUvMjgvMjAyMgkAAAABMPuwF3pEjd4IkIRsfkSN3gg+Q0lRLk5BU0RBUTpDQUxNLklRX0ZJTl9ESVZfREVCVF9DVVJSRU5ULjk5Ny4yOS8wMy8yMDI2Li4uVVNELkgBAAAAIHoFAAMA</t>
  </si>
  <si>
    <t>AAAAANl/gHpEjd4IEYF7fkSN3gg+Q0lRLk5BU0RBUTpDQUxNLklRX0lOQ19UQVhfUEFZX0NVUlJFTlQuMTAwMC4yOS8wMy8yMDI2Li4uVVNELkgBAAAAIHoFAAMAAAAAAA2ngHpEjd4IzFl7fkSN3gg9Q0lRLk5BU0RBUTpDQUxNLklRX0lOVEVSQ09NUEFOWV9OT05fQ0wuOTk4LjI5LzAzLzIwMjYuLi5VU0QuSAEAAAAgegUAAwAAAAAA+7AXekSN3gg0D2x+RI3eCD9DSVEuTkFTREFROkNBTE0uSVFfRklOX0RJVl9MVF9ERUJUX1RPVEFMLjk5Ni4yOS8wMy8yMDI2Li4uVVNELkgBAAAAIHoFAAMAAAAAAOZiF3pEjd4IS7pvfkSN3gg7Q0lRLk5BU0RBUTpDQUxNLklRX0ZJTl9ESVZfU1RfSU5WRVNULjk5Ni4yOS8wMy8yMDI2Li4uVVNELkgBAAAAIHoFAAMAAAAAAAKKF3pEjd4I1URvfkSN3ghFQ0lRLk5BU0RBUTpDQUxNLklRX1JFU1RSSUNURURfQ0FTSF9OT05fQ1VSUkVOVC45OTguMjkvMDMvMjAyNi4uLlVTRC5IAQAAACB6BQADAAAAAAACihd6RI3eCErPbn5Ejd4IPUNJUS5OQVNEQVE6Q0FMTS5JUV9MVF9ERUJUX0RFUklWQVRJVkVTLjk5OC4yOS8wMy8yMDI2Li4uVVNELkgBAAAAIHoFAAMAAAAAAAKKF3pEjd4IS/htfkSN3ghAQ0lRLk5BU0RBUTpDQUxNLklRX0NPTlRJTkdFTlRfTElBQklMSVRJRVMuOTk1LjI5LzAzLzIwMjYuLi5VU0QuSAEAAAAgegUAAwAAAAAAAooXekSN3ghYRm5+RI3eCD1DSVEu</t>
  </si>
  <si>
    <t>TkFTREFROkNBTE0uSVFfTFRfREVCVF9ERVJJVkFUSVZFUy45OTkuMjkvMDMvMjAyNi4uLlVTRC5IAQAAACB6BQADAAAAAAACihd6RI3eCEv4bX5Ejd4IQ0NJUS5OQVNEQVE6Q0FMTS5JUV9ERVJJVkFUSVZFX0FTU0VUU19DVVJSRU5ULjk5NS4yOS8wMy8yMDI2Li4uVVNELkgBAAAAIHoFAAMAAAAAAAKKF3pEjd4IJoNtfkSN3gg4Q0lRLk5BU0RBUTpDQUxNLklRX0FDQ1VNX0FNT1JUX0dXLjk5Ni4yOS8wMy8yMDI2Li4uVVNELkgBAAAAIHoFAAMAAAAAAPuwF3pEjd4Ix/lsfkSN3ggwQ0lRLk5BU0RBUTpDQUxNLklRX0dXX05FVC45OTguMjkvMDMvMjAyNi4uLlVTRC5IAQAAACB6BQACAAAABjQ0LjAwNgEIAAAABQAAAAExAQAAAAstMTkzNDk3ODQyMAMAAAADMTYwAgAAAAU0ODk2MAQAAAABMAcAAAAJMy8yOS8yMDI2CAAAAAg2LzMvMjAyMwkAAAABMPuwF3pEjd4IkIRsfkSN3gg4Q0lRLk5BU0RBUTpDQUxNLklRX0FTU0VUU19MRVZFTF8xLjk5My4yOS8wMy8yMDI2Li4uVVNELkgBAAAAIHoFAAIAAAAFMy4wNzEAomktekSN3giIBnF+RI3eCEpDSVEuTkFTREFROkNBTE0uSVFfQVNTRVRTX05FVFRJTkdfT1RIRVJfQURKVVNUTUVOVFMuOTk1LjI5LzAzLzIwMjYuLi5VU0QuSAEAAAAgegUAAwAAAAAAomktekSN3gicuHB+RI3eCD1DSVEuTkFTREFROkNBTE0uSVFfTElBQklMSVRJRVNfTEVWRUxfMy45OTMu</t>
  </si>
  <si>
    <t>MjkvMDMvMjAyNi4uLlVTRC5IAQAAACB6BQADAAAAAADmYhd6RI3eCBoIcH5Ejd4IP0NJUS5OQVNEQVE6Q0FMTS5JUV9GSU5fRElWX0xUX0RFQlRfVE9UQUwuOTk3LjI5LzAzLzIwMjYuLi5VU0QuSAEAAAAgegUAAwAAAAAA5mIXekSN3ghLum9+RI3eCEVDSVEuTkFTREFROkNBTE0uSVFfUkVTVFJJQ1RFRF9DQVNIX05PTl9DVVJSRU5ULjk5My4yOS8wMy8yMDI2Li4uVVNELkgBAAAAIHoFAAMAAAAAAAKKF3pEjd4ISs9ufkSN3ggzQ0lRLk5BU0RBUTpDQUxNLklRX01BQ0hJTkVSWS45OTcuMjkvMDMvMjAyNi4uLlVTRC5IAQAAACB6BQACAAAABzY1NS45MjUBCAAAAAUAAAABMQEAAAALLTE5ODY3MDg0MzMDAAAAAzE2MAIAAAAEMzExNAQAAAABMAcAAAAJMy8yOS8yMDI2CAAAAAk1LzI4LzIwMjIJAAAAATDAVS16RI3eCE4Wc35Ejd4IPUNJUS5OQVNEQVE6Q0FMTS5JUV9NSU5PUklUWV9JTlRfUkVERUVNLjk5NS4yOS8wMy8yMDI2Li4uVVNELkgBAAAAIHoFAAMAAAAAAMBVLXpEjd4I3nlyfkSN3ghCQ0lRLk5BU0RBUTpDQUxNLklRX01JTk9SSVRZX0lOVF9SRURFRU1fVE9ULjEwMDAuMjkvMDMvMjAyNi4uLlVTRC5IAQAAACB6BQADAAAAAACiaS16RI3eCHrdcX5Ejd4IRUNJUS5OQVNEQVE6Q0FMTS5JUV9HRU5FUkFMX1BBUlRORVJfUFJFRl9FUVVJVFkuOTk1LjI5LzAzLzIwMjYuLi5VU0QuSAEAAAAgegUA</t>
  </si>
  <si>
    <t>AwAAAAAAomktekSN3gi4onF+RI3eCEhDSVEuTkFTREFROkNBTE0uSVFfVE9UQUxfR0VORVJBTF9QQVJUTkVSX0lOVEVSRVNULjk5OC4yOS8wMy8yMDI2Li4uVVNELkgBAAAAIHoFAAMAAAAAAKJpLXpEjd4ImVRxfkSN3ghDQ0lRLk5BU0RBUTpDQUxNLklRX0RFUklWQVRJVkVfQVNTRVRTX0NVUlJFTlQuOTk2LjI5LzAzLzIwMjYuLi5VU0QuSAEAAAAgegUAAwAAAAAAAooXekSN3ggmg21+RI3eCDBDSVEuTkFTREFROkNBTE0uSVFfR1dfTkVULjk5OS4yOS8wMy8yMDI2Li4uVVNELkgBAAAAIHoFAAIAAAAGNDUuNzc2AQgAAAAFAAAAATEBAAAACy0xOTM0OTc4NDgwAwAAAAMxNjACAAAABTQ4OTYwBAAAAAEwBwAAAAkzLzI5LzIwMjYIAAAACDYvMS8yMDI0CQAAAAEw+7AXekSN3giQhGx+RI3eCD1DSVEuTkFTREFROkNBTE0uSVFfSU5URVJDT01QQU5ZX05PTl9DTC45OTMuMjkvMDMvMjAyNi4uLlVTRC5IAQAAACB6BQADAAAAAAD7sBd6RI3eCDQPbH5Ejd4IMkNJUS5OQVNEQVE6Q0FMTS5JUV9SQVdfSU5WLjEwMDAuMjkvMDMvMjAyNi4uLlVTRC5IAQAAACB6BQACAAAABzE2Ni41MDcBCAAAAAUAAAABMQEAAAALLTE5MzQ5NzgzODEDAAAAAzE2MAIAAAAEMzE3MQQAAAABMAcAAAAJMy8yOS8yMDI2CAAAAAk1LzMxLzIwMjUJAAAAATDBLi16RI3eCBR4c35Ejd4IM0NJUS5OQVNEQVE6Q0FMTS5JUV9PVEhFUl9J</t>
  </si>
  <si>
    <t>TlYuOTk1LjI5LzAzLzIwMjYuLi5VU0QuSAEAAAAgegUAAwAAAAAAwFUtekSN3ghfZHN+RI3eCElDSVEuTkFTREFROkNBTE0uSVFfRkFJUl9WQUxVRV9DSEFOR0VfSU5DTF9FQVJOSU5HUy45OTQuMjkvMDMvMjAyNi4uLlVTRC5IAQAAACB6BQADAAAAAADmYhd6RI3eCEu6b35Ejd4IO0NJUS5OQVNEQVE6Q0FMTS5JUV9GSU5fRElWX1NUX0lOVkVTVC45OTQuMjkvMDMvMjAyNi4uLlVTRC5IAQAAACB6BQADAAAAAAACihd6RI3eCNVEb35Ejd4IRUNJUS5OQVNEQVE6Q0FMTS5JUV9SRVNUUklDVEVEX0NBU0hfTk9OX0NVUlJFTlQuOTk0LjI5LzAzLzIwMjYuLi5VU0QuSAEAAAAgegUAAwAAAAAAAooXekSN3ghKz25+RI3eCEBDSVEuTkFTREFROkNBTE0uSVFfQ09OVElOR0VOVF9MSUFCSUxJVElFUy45OTYuMjkvMDMvMjAyNi4uLlVTRC5IAQAAACB6BQADAAAAAAACihd6RI3eCFhGbn5Ejd4IPkNJUS5OQVNEQVE6Q0FMTS5JUV9MVF9ERUJUX0RFUklWQVRJVkVTLjEwMDAuMjkvMDMvMjAyNi4uLlVTRC5IAQAAACB6BQADAAAAAAACihd6RI3eCEv4bX5Ejd4IR0NJUS5OQVNEQVE6Q0FMTS5JUV9HRU5FUkFMX1BBUlRORVJfQ09NTU9OX0VRVUlUWS45OTkuMjkvMDMvMjAyNi4uLlVTRC5IAQAAACB6BQADAAAAAACiaS16RI3eCLiicX5Ejd4ISENJUS5OQVNEQVE6Q0FMTS5JUV9UT1RBTF9HRU5FUkFMX1BBUlRORVJf</t>
  </si>
  <si>
    <t>SU5URVJFU1QuOTk5LjI5LzAzLzIwMjYuLi5VU0QuSAEAAAAgegUAAwAAAAAAomktekSN3giZVHF+RI3eCExDSVEuTkFTREFROkNBTE0uSVFfTElRVUlEQVRJT05fVkFMVUVfUFJFRkVSUkVEX1JFREVFTS45OTYuMjkvMDMvMjAyNi4uLlVTRC5IAQAAACB6BQADAAAAAACiaS16RI3eCIgGcX5Ejd4ISkNJUS5OQVNEQVE6Q0FMTS5JUV9BU1NFVFNfTkVUVElOR19PVEhFUl9BREpVU1RNRU5UUy45OTYuMjkvMDMvMjAyNi4uLlVTRC5IAQAAACB6BQADAAAAAACiaS16RI3eCDmRcH5Ejd4IPUNJUS5OQVNEQVE6Q0FMTS5JUV9MSUFCSUxJVElFU19MRVZFTF8zLjk5NC4yOS8wMy8yMDI2Li4uVVNELkgBAAAAIHoFAAMAAAAAAOZiF3pEjd4IGghwfkSN3gg1Q0lRLk5BU0RBUTpDQUxNLklRX1dPUktJTkdfQ0FQLjk5Ni4yOS8wMy8yMDI2Li4uVVNELkgBAAAAIHoFAAIAAAAHNDI5LjgzNAEIAAAABQAAAAExAQAAAAstMjAzNzI0MTcyMQMAAAADMTYwAgAAAAQ0MTY1BAAAAAEwBwAAAAkzLzI5LzIwMjYIAAAACTUvMjkvMjAyMQkAAAABMMEuLXpEjd4Ixzt0fkSN3ggzQ0lRLk5BU0RBUTpDQUxNLklRX09USEVSX0lOVi45OTYuMjkvMDMvMjAyNi4uLlVTRC5IAQAAACB6BQADAAAAAADAVS16RI3eCF9kc35Ejd4INENJUS5OQVNEQVE6Q0FMTS5JUV9CVUlMRElOR1MuMTAwMC4yOS8wMy8yMDI2Li4uVVNELkgBAAAAIHoF</t>
  </si>
  <si>
    <t>AAIAAAAHNzIyLjU1MgEIAAAABQAAAAExAQAAAAstMTkzNDk3ODM4MQMAAAADMTYwAgAAAAQzMDIzBAAAAAEwBwAAAAkzLzI5LzIwMjYIAAAACTUvMzEvMjAyNQkAAAABMMBVLXpEjd4IThZzfkSN3ghAQ0lRLk5BU0RBUTpDQUxNLklRX05BVFVSQUxfUkVTT1VSQ0VTX0NPU1QuOTk0LjI5LzAzLzIwMjYuLi5VU0QuSAEAAAAgegUAAwAAAAAAwFUtekSN3ggbyHJ+RI3eCD1DSVEuTkFTREFROkNBTE0uSVFfTUlOT1JJVFlfSU5UX1JFREVFTS45OTYuMjkvMDMvMjAyNi4uLlVTRC5IAQAAACB6BQADAAAAAADAVS16RI3eCN55cn5Ejd4IS0NJUS5OQVNEQVE6Q0FMTS5JUV9MVF9QT1JUSU9OX09QRVJfTEVBU0VfTElBQklMSVRJRVMuOTk5LjI5LzAzLzIwMjYuLi5VU0QuSAEAAAAgegUAAwAAAAAAugctekSN3gh5hnZ+RI3eCDZDSVEuTkFTREFROkNBTE0uSVFfVE9UQUxfTEVBU0VTLjk5OS4yOS8wMy8yMDI2Li4uVVNELkgBAAAAIHoFAAMAAAAAALoHLXpEjd4Ipkt2fkSN3ghFQ0lRLk5BU0RBUTpDQUxNLklRX1RPVEFMX0RFQlRfRVhDTF9PUEVSX0xFQVNFUy45OTYuMjkvMDMvMjAyNi4uLlVTRC5IAQAAACB6BQACAAAABTAuNjUzAQgAAAAFAAAAATEBAAAACy0yMDM3MjQxNzIxAwAAAAMxNjACAAAABTQ4OTgyBAAAAAEwBwAAAAkzLzI5LzIwMjYIAAAACTUvMjkvMjAyMQkAAAABMLoHLXpEjd4IoCR2fkSN3gg8</t>
  </si>
  <si>
    <t>Q0lRLk5BU0RBUTpDQUxNLklRX1RCVl9TSEFSRV9SRVBPUlRFRC45OTguMjkvMDMvMjAyNi4uLlVTRC5IAQAAACB6BQADAAAAAADBLi16RI3eCGuIdX5Ejd4IPENJUS5OQVNEQVE6Q0FMTS5JUV9UT1RBTF9ERUJUX0NVUlJFTlQuOTk2LjI5LzAzLzIwMjYuLi5VU0QuSAEAAAAgegUAAgAAAAUwLjkwNgEIAAAABQAAAAExAQAAAAstMjAzNzI0MTcyMQMAAAADMTYwAgAAAAUyNTIyMwQAAAABMAcAAAAJMy8yOS8yMDI2CAAAAAk1LzI5LzIwMjEJAAAAATDBLi16RI3eCPGwdH5Ejd4IPUNJUS5OQVNEQVE6Q0FMTS5JUV9UT1RBTF9DT01NT05fRVFVSVRZLjk5Ny4yOS8wMy8yMDI2Li4uVVNELkgBAAAAIHoFAAIAAAAIMTEwNC41NTEBCAAAAAUAAAABMQEAAAALLTE5ODY3MDg0MzMDAAAAAzE2MAIAAAAEMTAwNgQAAAABMAcAAAAJMy8yOS8yMDI2CAAAAAk1LzI4LzIwMjIJAAAAATCW4Cx6RI3eCH3AeH5Ejd4IMUNJUS5OQVNEQVE6Q0FMTS5JUV9SVUFfTkVULjk5My4yOS8wMy8yMDI2Li4uVVNELkgBAAAAIHoFAAMAAAAAAJbgLHpEjd4IWPd3fkSN3ghFQ0lRLk5BU0RBUTpDQUxNLklRX1JVQV9DQVBJVEFMX0xFQVNFX0FDQ1VNX0RFUC45OTUuMjkvMDMvMjAyNi4uLlVTRC5IAQAAACB6BQADAAAAAACW4Cx6RI3eCCHQd35Ejd4IQ0NJUS5OQVNEQVE6Q0FMTS5JUV9SVUFfT1BFUkFUSU5HX0xFQVNFX0dST1NTLjk5</t>
  </si>
  <si>
    <t>Ny4yOS8wMy8yMDI2Li4uVVNELkgBAAAAIHoFAAMAAAAAAJbgLHpEjd4Ixah3fkSN3gg/Q0lRLk5BU0RBUTpDQUxNLklRX1RPVEFMX0ZJTkFOQ0VfTEVBU0VTLjEwMDAuMjkvMDMvMjAyNi4uLlVTRC5IAQAAACB6BQADAAAAAAC6By16RI3eCNjUdn5Ejd4IMUNJUS5OQVNEQVE6Q0FMTS5JUV9QRU5TSU9OLjk5NS4yOS8wMy8yMDI2Li4uVVNELkgBAAAAIHoFAAMAAAAAAA2ngHpEjd4ILTR6fkSN3gg5Q0lRLk5BU0RBUTpDQUxNLklRX0RFRl9UQVhfTElBQl9MVC45OTkuMjkvMDMvMjAyNi4uLlVTRC5IAQAAACB6BQACAAAABzE0Mi44NjYBCAAAAAUAAAABMQEAAAALLTE5MzQ5Nzg0ODADAAAAAzE2MAIAAAAEMTAyNwQAAAABMAcAAAAJMy8yOS8yMDI2CAAAAAg2LzEvMjAyNAkAAAABMA2ngHpEjd4INQ16fkSN3gg1Q0lRLk5BU0RBUTpDQUxNLklRX1BSRUZfRVFVSVRZLjk5My4yOS8wMy8yMDI2Li4uVVNELkgBAAAAIHoFAAMAAAAAAIq5LHpEjd4ItVx5fkSN3gguQ0lRLk5BU0RBUTpDQUxNLklRX0FQSUMuOTk0LjI5LzAzLzIwMjYuLi5VU0QuSAEAAAAgegUAAgAAAAY1Ni44NTcBCAAAAAUAAAABMQEAAAALLTIxNDI0MjkwMzkDAAAAAzE2MAIAAAAEMTA4NAQAAAABMAcAAAAJMy8yOS8yMDI2CAAAAAg2LzEvMjAxOQkAAAABMIq5LHpEjd4Ikw55fkSN3ggyQ0lRLk5BU0RBUTpDQUxNLklRX1RSRUFTVVJZLjk5</t>
  </si>
  <si>
    <t>NS4yOS8wMy8yMDI2Li4uVVNELkgBAAAAIHoFAAIAAAAHLTI2LjY3NAEIAAAABQAAAAExAQAAAAstMjA4ODM0NzQ2OQMAAAADMTYwAgAAAAQxMjQ4BAAAAAEwBwAAAAkzLzI5LzIwMjYIAAAACTUvMzAvMjAyMAkAAAABMIq5LHpEjd4IfcB4fkSN3ggsQ0lRLk5BU0RBUTpDQUxNLklRX0FFLjk5NC4yOS8wMy8yMDI2Li4uVVNELkgBAAAAIHoFAAIAAAAGMzQuMDAxAQgAAAAFAAAAATEBAAAACy0yMTQyNDI5MDM5AwAAAAMxNjACAAAABDEwMTYEAAAAATAHAAAACTMvMjkvMjAyNggAAAAINi8xLzIwMTkJAAAAATDZf4B6RI3eCFz2e35Ejd4IO0NJUS5OQVNEQVE6Q0FMTS5JUV9DVVJSRU5UX1BPUlRfREVCVC45OTcuMjkvMDMvMjAyNi4uLlVTRC5IAQAAACB6BQADAAAAAADZf4B6RI3eCJLPe35Ejd4IPUNJUS5OQVNEQVE6Q0FMTS5JUV9JTkNfVEFYX1BBWV9DVVJSRU5ULjk5My4yOS8wMy8yMDI2Li4uVVNELkgBAAAAIHoFAAIAAAAGMTcuNDQ2AQgAAAAFAAAAATEBAAAACjIwNDU3NDkzMTADAAAAAzE2MAIAAAAEMTA5NAQAAAABMAcAAAAJMy8yOS8yMDI2CAAAAAg2LzIvMjAxOAkAAAABMNl/gHpEjd4IzFl7fkSN3gg+Q0lRLk5BU0RBUTpDQUxNLklRX0RFRl9UQVhfTElBQl9DVVJSRU5ULjk5Ni4yOS8wMy8yMDI2Li4uVVNELkgBAAAAIHoFAAMAAAAAAA2ngHpEjd4IrzJ7fkSN3gg5Q0lRLk5BU0RBUTpDQUxN</t>
  </si>
  <si>
    <t>LklRX0ZJTl9ESVZfTElBQl9MVC45OTMuMjkvMDMvMjAyNi4uLlVTRC5IAQAAACB6BQADAAAAAAANp4B6RI3eCECCen5Ejd4ISUNJUS5OQVNEQVE6Q0FMTS5JUV9GQUlSX1ZBTFVFX0NIQU5HRV9JTkNMX0VBUk5JTkdTLjk5Ny4yOS8wMy8yMDI2Li4uVVNELkgBAAAAIHoFAAMAAAAAAOZiF3pEjd4IS7pvfkSN3gg8Q0lRLk5BU0RBUTpDQUxNLklRX0ZJTl9ESVZfQ0FTSF9FUVVJVi45OTcuMjkvMDMvMjAyNi4uLlVTRC5IAQAAACB6BQADAAAAAAACihd6RI3eCNVEb35Ejd4IPUNJUS5OQVNEQVE6Q0FMTS5JUV9MVF9ERUJUX0RFUklWQVRJVkVTLjk5My4yOS8wMy8yMDI2Li4uVVNELkgBAAAAIHoFAAMAAAAAAAKKF3pEjd4IS/htfkSN3ghDQ0lRLk5BU0RBUTpDQUxNLklRX0RFUklWQVRJVkVfQVNTRVRTX0NVUlJFTlQuOTk3LjI5LzAzLzIwMjYuLi5VU0QuSAEAAAAgegUAAwAAAAAAAooXekSN3gggqm1+RI3eCDhDSVEuTkFTREFROkNBTE0uSVFfREVGX0NIQVJHRVNfTFQuOTk5LjI5LzAzLzIwMjYuLi5VU0QuSAEAAAAgegUAAwAAAAAA2X+AekSN3ghnRHx+RI3eCDNDSVEuTkFTREFROkNBTE0uSVFfT1RIRVJfSU5WLjk5Ny4yOS8wMy8yMDI2Li4uVVNELkgBAAAAIHoFAAMAAAAAAMBVLXpEjd4IX2RzfkSN3ghAQ0lRLk5BU0RBUTpDQUxNLklRX05BVFVSQUxfUkVTT1VSQ0VTX0NPU1QuOTk2LjI5LzAzLzIw</t>
  </si>
  <si>
    <t>MjYuLi5VU0QuSAEAAAAgegUAAwAAAAAAwFUtekSN3ggbyHJ+RI3eCEhDSVEuTkFTREFROkNBTE0uSVFfR0VORVJBTF9QQVJUTkVSX0NPTU1PTl9FUVVJVFkuMTAwMC4yOS8wMy8yMDI2Li4uVVNELkgBAAAAIHoFAAMAAAAAAKJpLXpEjd4IuKJxfkSN3ghMQ0lRLk5BU0RBUTpDQUxNLklRX0xJUVVJREFUSU9OX1ZBTFVFX1BSRUZFUlJFRF9SRURFRU0uOTk3LjI5LzAzLzIwMjYuLi5VU0QuSAEAAAAgegUAAwAAAAAAomktekSN3giIBnF+RI3eCD1DSVEuTkFTREFROkNBTE0uSVFfTElBQklMSVRJRVNfTEVWRUxfMi45OTkuMjkvMDMvMjAyNi4uLlVTRC5IAQAAACB6BQADAAAAAADmYhd6RI3eCCAvcH5Ejd4IN0NJUS5OQVNEQVE6Q0FMTS5JUV9UT1RBTF9MRUFTRVMuMTAwMC4yOS8wMy8yMDI2Li4uVVNELkgBAAAAIHoFAAMAAAAAALoHLXpEjd4Ipkt2fkSN3ghXQ0lRLk5BU0RBUTpDQUxNLklRX0ZJTkFOQ0lOR19PQkxJR19OT05fQ1VSUkVOVF9FWENMX09QRVJfTEVBU0VTLjEwMDAuMjkvMDMvMjAyNi4uLlVTRC5IAQAAACB6BQADAAAAAAC6By16RI3eCIr9dX5Ejd4IPENJUS5OQVNEQVE6Q0FMTS5JUV9UT1RBTF9ERUJUX0NVUlJFTlQuOTk4LjI5LzAzLzIwMjYuLi5VU0QuSAEAAAAgegUAAwAAAAAAwS4tekSN3gjX63R+RI3eCDJDSVEuTkFTREFROkNBTE0uSVFfTkVUX0RFQlQuOTk1LjI5LzAzLzIwMjYu</t>
  </si>
  <si>
    <t>Li5VU0QuSAEAAAAgegUAAgAAAAgtMjI4LjkwNQEIAAAABQAAAAExAQAAAAstMjA4ODM0NzQ2OQMAAAADMTYwAgAAAAQ0MzY0BAAAAAEwBwAAAAkzLzI5LzIwMjYIAAAACTUvMzAvMjAyMAkAAAABMMEuLXpEjd4I3Il0fkSN3gg1Q0lRLk5BU0RBUTpDQUxNLklRX1dPUktJTkdfQ0FQLjk5Ny4yOS8wMy8yMDI2Li4uVVNELkgBAAAAIHoFAAIAAAAHNDc2Ljg0NQEIAAAABQAAAAExAQAAAAstMTk4NjcwODQzMwMAAAADMTYwAgAAAAQ0MTY1BAAAAAEwBwAAAAkzLzI5LzIwMjYIAAAACTUvMjgvMjAyMgkAAAABMMEuLXpEjd4Ixzt0fkSN3gg3Q0lRLk5BU0RBUTpDQUxNLklRX09USEVSX0VRVUlUWS4xMDAwLjI5LzAzLzIwMjYuLi5VU0QuSAEAAAAgegUAAgAAAAYtMS4wMDcBCAAAAAUAAAABMQEAAAALLTE5MzQ5NzgzODEDAAAAAzE2MAIAAAAEMTAyOAQAAAABMAcAAAAJMy8yOS8yMDI2CAAAAAk1LzMxLzIwMjUJAAAAATCW4Cx6RI3eCH3AeH5Ejd4IMUNJUS5OQVNEQVE6Q0FMTS5JUV9SVUFfTkVULjk5NC4yOS8wMy8yMDI2Li4uVVNELkgBAAAAIHoFAAMAAAAAAJbgLHpEjd4IWPd3fkSN3ghFQ0lRLk5BU0RBUTpDQUxNLklRX1JVQV9DQVBJVEFMX0xFQVNFX0FDQ1VNX0RFUC45OTYuMjkvMDMvMjAyNi4uLlVTRC5IAQAAACB6BQADAAAAAACW4Cx6RI3eCFj3d35Ejd4IQENJUS5OQVNEQVE6Q0FMTS5JUV9SVUFf</t>
  </si>
  <si>
    <t>Q0FQSVRBTF9MRUFTRV9ORVQuMTAwMC4yOS8wMy8yMDI2Li4uVVNELkgBAAAAIHoFAAMAAAAAAJbgLHpEjd4Ixah3fkSN3ghMQ0lRLk5BU0RBUTpDQUxNLklRX0xUX1BPUlRJT05fT1BFUl9MRUFTRV9MSUFCSUxJVElFUy4xMDAwLjI5LzAzLzIwMjYuLi5VU0QuSAEAAAAgegUAAwAAAAAAugctekSN3gh5hnZ+RI3eCDdDSVEuTkFTREFROkNBTE0uSVFfVU5FQVJOX1JFVl9MVC45OTguMjkvMDMvMjAyNi4uLlVTRC5IAQAAACB6BQADAAAAAAANp4B6RI3eCC00en5Ejd4IOkNJUS5OQVNEQVE6Q0FMTS5JUV9ERUZfVEFYX0xJQUJfTFQuMTAwMC4yOS8wMy8yMDI2Li4uVVNELkgBAAAAIHoFAAIAAAAHMTU0LjY1MQEIAAAABQAAAAExAQAAAAstMTkzNDk3ODM4MQMAAAADMTYwAgAAAAQxMDI3BAAAAAEwBwAAAAkzLzI5LzIwMjYIAAAACTUvMzEvMjAyNQkAAAABMA2ngHpEjd4INQ16fkSN3gg1Q0lRLk5BU0RBUTpDQUxNLklRX1BSRUZfRVFVSVRZLjk5NC4yOS8wMy8yMDI2Li4uVVNELkgBAAAAIHoFAAMAAAAAAIq5LHpEjd4ItVx5fkSN3ggwQ0lRLk5BU0RBUTpDQUxNLklRX0NPTU1PTi45OTguMjkvMDMvMjAyNi4uLlVTRC5IAQAAACB6BQACAAAABTAuNzUxAQgAAAAFAAAAATEBAAAACy0xOTM0OTc4NDIwAwAAAAMxNjACAAAABDExMDMEAAAAATAHAAAACTMvMjkvMjAyNggAAAAINi8zLzIwMjMJAAAAATCKuSx6</t>
  </si>
  <si>
    <t>RI3eCJMOeX5Ejd4ILENJUS5OQVNEQVE6Q0FMTS5JUV9SRS45OTkuMjkvMDMvMjAyNi4uLlVTRC5IAQAAACB6BQACAAAACDE3NTYuMzk1AQgAAAAFAAAAATEBAAAACy0xOTM0OTc4NDgwAwAAAAMxNjACAAAABDEyMjIEAAAAATAHAAAACTMvMjkvMjAyNggAAAAINi8xLzIwMjQJAAAAATCKuSx6RI3eCIPneH5Ejd4ISkNJUS5OQVNEQVE6Q0FMTS5JUV9BU1NFVFNfTkVUVElOR19PVEhFUl9BREpVU1RNRU5UUy45OTQuMjkvMDMvMjAyNi4uLlVTRC5IAQAAACB6BQADAAAAAACiaS16RI3eCJy4cH5Ejd4IO0NJUS5OQVNEQVE6Q0FMTS5JUV9DVVJSRU5UX1BPUlRfREVCVC45OTguMjkvMDMvMjAyNi4uLlVTRC5IAQAAACB6BQADAAAAAADZf4B6RI3eCJLPe35Ejd4IPUNJUS5OQVNEQVE6Q0FMTS5JUV9JTkNfVEFYX1BBWV9DVVJSRU5ULjk5NC4yOS8wMy8yMDI2Li4uVVNELkgBAAAAIHoFAAMAAAAAANl/gHpEjd4IzFl7fkSN3gg8Q0lRLk5BU0RBUTpDQUxNLklRX1VORUFSTl9SRVZfQ1VSUkVOVC45OTkuMjkvMDMvMjAyNi4uLlVTRC5IAQAAACB6BQADAAAAAAANp4B6RI3eCK8ye35Ejd4IOUNJUS5OQVNEQVE6Q0FMTS5JUV9GSU5fRElWX0xJQUJfTFQuOTk0LjI5LzAzLzIwMjYuLi5VU0QuSAEAAAAgegUAAwAAAAAADaeAekSN3ghAgnp+RI3eCDdDSVEuTkFTREFROkNBTE0uSVFfT1RIRVJfTElBQl9MVC45OTMu</t>
  </si>
  <si>
    <t>MjkvMDMvMjAyNi4uLlVTRC5IAQAAACB6BQACAAAABTguMzE4AQgAAAAFAAAAATEBAAAACjIwNDU3NDkzMTADAAAAAzE2MAIAAAAEMTA2MgQAAAABMAcAAAAJMy8yOS8yMDI2CAAAAAg2LzIvMjAxOAkAAAABMA2ngHpEjd4IH+Z5fkSN3gguQ0lRLk5BU0RBUTpDQUxNLklRX0FQSUMuOTkzLjI5LzAzLzIwMjYuLi5VU0QuSAEAAAAgegUAAgAAAAY1My4zMjMBCAAAAAUAAAABMQEAAAAKMjA0NTc0OTMxMAMAAAADMTYwAgAAAAQxMDg0BAAAAAEwBwAAAAkzLzI5LzIwMjYIAAAACDYvMi8yMDE4CQAAAAEwirksekSN3giTDnl+RI3eCD5DSVEuTkFTREFROkNBTE0uSVFfVE9UQUxfRklOQU5DRV9MRUFTRVMuOTkzLjI5LzAzLzIwMjYuLi5VU0QuSAEAAAAgegUAAgAAAAQxLjM0AQgAAAAFAAAAATEBAAAACjIwNDU3NDkzMTADAAAAAzE2MAIAAAAFNDkwMzEEAAAAATAHAAAACTMvMjkvMjAyNggAAAAINi8yLzIwMTgJAAAAATC6By16RI3eCNjUdn5Ejd4IM0NJUS5OQVNEQVE6Q0FMTS5JUV9CVl9TSEFSRS4xMDAwLjI5LzAzLzIwMjYuLi5VU0QuSAEAAAAgegUAAgAAAAk1Mi44MDI5MDMBCAAAAAUAAAABMQEAAAALLTE5MzQ5NzgzODEDAAAAAzE2MAIAAAAENDAyMAQAAAABMAcAAAAJMy8yOS8yMDI2CAAAAAk1LzMxLzIwMjUJAAAAATDBLi16RI3eCHnWdX5Ejd4IO0NJUS5OQVNEQVE6Q0FMTS5JUV9BTExPV19ET1VC</t>
  </si>
  <si>
    <t>VF9BQ0NULjEwMDAuMjkvMDMvMjAyNi4uLlVTRC5IAQAAACB6BQACAAAABTAuNzQ1AQgAAAAFAAAAATEBAAAACy0xOTM0OTc4MzgxAwAAAAMxNjACAAAABDMwMTIEAAAAATAHAAAACTMvMjkvMjAyNggAAAAJNS8zMS8yMDI1CQAAAAEwwS4tekSN3givFHR+RI3eCDtDSVEuTkFTREFROkNBTE0uSVFfRklOX0RJVl9BU1NFVFNfTFQuOTk4LjI5LzAzLzIwMjYuLi5VU0QuSAEAAAAgegUAAwAAAAAA2X+AekSN3gjSwHx+RI3eCDlDSVEuTkFTREFROkNBTE0uSVFfT1RIRVJfTFRfQVNTRVRTLjk5OS4yOS8wMy8yMDI2Li4uVVNELkgBAAAAIHoFAAIAAAAGMTIuNzIxAQgAAAAFAAAAATEBAAAACy0xOTM0OTc4NDgwAwAAAAMxNjACAAAABDEwNjAEAAAAATAHAAAACTMvMjkvMjAyNggAAAAINi8xLzIwMjQJAAAAATDZf4B6RI3eCGdEfH5Ejd4ILENJUS5OQVNEQVE6Q0FMTS5JUV9BRS45OTkuMjkvMDMvMjAyNi4uLlVTRC5IAQAAACB6BQACAAAABjcwLjc3MwEIAAAABQAAAAExAQAAAAstMTkzNDk3ODQ4MAMAAAADMTYwAgAAAAQxMDE2BAAAAAEwBwAAAAkzLzI5LzIwMjYIAAAACDYvMS8yMDI0CQAAAAEw2X+AekSN3ghc9nt+RI3eCD5DSVEuTkFTREFROkNBTE0uSVFfRklOX0RJVl9ERUJUX0NVUlJFTlQuOTk4LjI5LzAzLzIwMjYuLi5VU0QuSAEAAAAgegUAAwAAAAAA2X+AekSN3ggRgXt+RI3eCD5DSVEuTkFTREFR</t>
  </si>
  <si>
    <t>OkNBTE0uSVFfREVGX1RBWF9MSUFCX0NVUlJFTlQuOTk0LjI5LzAzLzIwMjYuLi5VU0QuSAEAAAAgegUAAwAAAAAADaeAekSN3ghOC3t+RI3eCDZDSVEuTkFTREFROkNBTE0uSVFfT1RIRVJfUkVDRUlWLjk5OC4yOS8wMy8yMDI2Li4uVVNELkgBAAAAIHoFAAIAAAAGNzYuMjMzAQgAAAAFAAAAATEBAAAACy0xOTM0OTc4NDIwAwAAAAMxNjACAAAABDEyMDYEAAAAATAHAAAACTMvMjkvMjAyNggAAAAINi8zLzIwMjMJAAAAATBIvH96RI3eCPzYfn5Ejd4IM0NJUS5OQVNEQVE6Q0FMTS5JUV9JTlZFTlRPUlkuOTk0LjI5LzAzLzIwMjYuLi5VU0QuSAEAAAAgegUAAgAAAAcxNzIuMjM3AQgAAAAFAAAAATEBAAAACy0yMTQyNDI5MDM5AwAAAAMxNjACAAAABDEwNDMEAAAAATAHAAAACTMvMjkvMjAyNggAAAAINi8xLzIwMTkJAAAAATC1WIB6RI3eCHGLfn5Ejd4IP0NJUS5OQVNEQVE6Q0FMTS5JUV9GSU5fRElWX0xPQU5TX0NVUlJFTlQuOTk5LjI5LzAzLzIwMjYuLi5VU0QuSAEAAAAgegUAAwAAAAAAtViAekSN3ghXPH5+RI3eCDhDSVEuTkFTREFROkNBTE0uSVFfT1RIRVJfQ0FfU1VQUEwuOTk5LjI5LzAzLzIwMjYuLi5VU0QuSAEAAAAgegUAAwAAAAAA2X+AekSN3ggOs31+RI3eCCxDSVEuTkFTREFROkNBTE0uSVFfQUQuOTk4LjI5LzAzLzIwMjYuLi5VU0QuSAEAAAAgegUAAgAAAAgtNzM5LjIxOAEIAAAABQAA</t>
  </si>
  <si>
    <t>AAExAQAAAAstMTkzNDk3ODQyMAMAAAADMTYwAgAAAAQxMDc1BAAAAAEwBwAAAAkzLzI5LzIwMjYIAAAACDYvMy8yMDIzCQAAAAEw2X+AekSN3gjgZH1+RI3eCDZDSVEuTkFTREFROkNBTE0uSVFfRE9fSU5WRVNUX0NGLjk5Ny4yOS8wMy8yMDI2Li4uVVNELkgBAAAAIHoFAAMAAAAAAI2Bf3pEjd4IikWAfkSN3ghMQ0lRLk5BU0RBUTpDQUxNLklRX0xPTkdfVEVSTV9ERUJUX1JFUEFJRF9FWENMX0xFQVNFUy4xMDAwLjI5LzAzLzIwMjYuLi5VU0QuSAEAAAAgegUAAgAAAAYtMi40ODEBCAAAAAUAAAABMQEAAAALLTE5MzQ5NzgzODEDAAAAAzE2MAIAAAAFNDg5ODQEAAAAATAHAAAACTMvMjkvMjAyNggAAAAJNS8zMS8yMDI1CQAAAAEwjYF/ekSN3ghj0H9+RI3eCD1DSVEuTkFTREFROkNBTE0uSVFfR0FJTl9CQVJHQUlOX0FDUV9DRi45OTcuMjkvMDMvMjAyNi4uLlVTRC5IAQAAACB6BQADAAAAAACNgX96RI3eCCJ1f35Ejd4INUNJUS5OQVNEQVE6Q0FMTS5JUV9DQVNIX0VRVUlWLjEwMDAuMjkvMDMvMjAyNi4uLlVTRC5IAQAAACB6BQACAAAABzQ5OS4zOTIBCAAAAAUAAAABMQEAAAALLTE5MzQ5NzgzODEDAAAAAzE2MAIAAAAEMTA5NgQAAAABMAcAAAAJMy8yOS8yMDI2CAAAAAk1LzMxLzIwMjUJAAAAATCNgX96RI3eCCJ1f35Ejd4IOENJUS5OQVNEQVE6Q0FMTS5JUV9DQVNIX1NUX0lOVkVTVC45OTQuMjkv</t>
  </si>
  <si>
    <t>MDMvMjAyNi4uLlVTRC5IAQAAACB6BQACAAAABzMxOS40MjgBCAAAAAUAAAABMQEAAAALLTIxNDI0MjkwMzkDAAAAAzE2MAIAAAAEMTAwMgQAAAABMAcAAAAJMy8yOS8yMDI2CAAAAAg2LzEvMjAxOQkAAAABMI2Bf3pEjd4I/SZ/fkSN3gg+Q0lRLk5BU0RBUTpDQUxNLklRX05FR0FUSVZFX0dXX0FNT1JUX0NGLjk5NC4yOS8wMy8yMDI2Li4uVVNELkgBAAAAIHoFAAMAAAAAAKYxgHpEjd4IqXyCfkSN3gg4Q0lRLk5BU0RBUTpDQUxNLklRX0NBU0hfSU5URVJFU1QuMTAwMC4yOS8wMy8yMDI2Li4uVVNELkgBAAAAIHoFAAMAAAAAABtZf3pEjd4IdgeCfkSN3gg8Q0lRLk5BU0RBUTpDQUxNLklRX0NBU0hfSU5URVJFU1RfT1BFUi45OTQuMjkvMDMvMjAyNi4uLlVTRC5IAQAAACB6BQADAAAAAAAbWX96RI3eCE+5gX5Ejd4IO0NJUS5OQVNEQVE6Q0FMTS5JUV9DQVNIX1RBWEVTX0lOVkVTVC45OTguMjkvMDMvMjAyNi4uLlVTRC5IAQAAACB6BQADAAAAAACNgX96RI3eCEVEgX5Ejd4IPkNJUS5OQVNEQVE6Q0FMTS5JUV9DSEFOR0VfREVGX1RBWF9UT1RBTC45OTcuMjkvMDMvMjAyNi4uLlVTRC5IAQAAACB6BQACAAAABTUuNjc2AQgAAAAFAAAAATEBAAAACy0xOTg2NzA4NDMzAwAAAAMxNjACAAAABTMwOTI0BAAAAAEwBwAAAAkzLzI5LzIwMjYIAAAACTUvMjgvMjAyMgkAAAABMI2Bf3pEjd4IzRyBfkSN3gg0Q0lR</t>
  </si>
  <si>
    <t>Lk5BU0RBUTpDQUxNLklRX0NBU0hfRklOQU4uOTk4LjI5LzAzLzIwMjYuLi5VU0QuSAEAAAAgegUAAgAAAAgtMjU0LjE1OQEIAAAABQAAAAExAQAAAAstMTkzNDk3ODQyMAMAAAADMTYwAgAAAAQyMDA0BAAAAAEwBwAAAAkzLzI5LzIwMjYIAAAACDYvMy8yMDIzCQAAAAEwpjGAekSN3ggju4N+RI3eCDRDSVEuTkFTREFROkNBTE0uSVFfTkVUX0NIQU5HRS45OTQuMjkvMDMvMjAyNi4uLlVTRC5IAQAAACB6BQACAAAABjIwLjgxNgEIAAAABQAAAAExAQAAAAstMjE0MjQyOTAzOQMAAAADMTYwAgAAAAQyMDkzBAAAAAEwBwAAAAkzLzI5LzIwMjYIAAAACDYvMS8yMDE5CQAAAAEwpjGAekSN3gj0k4N+RI3eCD1DSVEuTkFTREFROkNBTE0uSVFfREFfU1VQUExfUEFSVElBTF9DRi45OTQuMjkvMDMvMjAyNi4uLlVTRC5IAQAAACB6BQADAAAAAACmMYB6RI3eCCQ1g35Ejd4INENJUS5OQVNEQVE6Q0FMTS5JUV9ERVBSRV9TVVBQLjk5My4yOS8wMy8yMDI2Li4uVVNELkgBAAAAIHoFAAIAAAAENTEuMQEIAAAABQAAAAExAQAAAAoyMDQ1NzQ5MzEwAwAAAAMxNjACAAAABDIxNDMEAAAAATAHAAAACTMvMjkvMjAyNggAAAAINi8yLzIwMTgJAAAAATCmMYB6RI3eCDohg35Ejd4IMkNJUS5OQVNEQVE6Q0FMTS5JUV9ERVBfUlVBLjEwMDAuMjkvMDMvMjAyNi4uLlVTRC5IAQAAACB6BQADAAAAAACmMYB6RI3eCPHSgn5Ejd4I</t>
  </si>
  <si>
    <t>NUNJUS5OQVNEQVE6Q0FMTS5JUV9DQVNIX0lOVkVTVC45OTkuMjkvMDMvMjAyNi4uLlVTRC5IAQAAACB6BQACAAAACC00MTIuNTg2AQgAAAAFAAAAATEBAAAACy0xOTM0OTc4NDgwAwAAAAMxNjACAAAABDIwMDUEAAAAATAHAAAACTMvMjkvMjAyNggAAAAINi8xLzIwMjQJAAAAATDXCoB6RI3eCLp8hX5Ejd4IOUNJUS5OQVNEQVE6Q0FMTS5JUV9MVF9ERUJUX0lTU1VFRC4xMDAwLjI5LzAzLzIwMjYuLi5VU0QuSAEAAAAgegUAAwAAAAAA1wqAekSN3gi6fIV+RI3eCDlDSVEuTkFTREFROkNBTE0uSVFfU1RfREVCVF9SRVBBSUQuMTAwMC4yOS8wMy8yMDI2Li4uVVNELkgBAAAAIHoFAAMAAAAAANcKgHpEjd4IfS6FfkSN3gg1Q0lRLk5BU0RBUTpDQUxNLklRX0NPTU1PTl9SRVAuMTAwMC4yOS8wMy8yMDI2Li4uVVNELkgBAAAAIHoFAAIAAAAHLTUzLjk1MwEIAAAABQAAAAExAQAAAAstMTkzNDk3ODM4MQMAAAADMTYwAgAAAAQyMTY0BAAAAAEwBwAAAAkzLzI5LzIwMjYIAAAACTUvMzEvMjAyNQkAAAABMNcKgHpEjd4IT7mEfkSN3gg4Q0lRLk5BU0RBUTpDQUxNLklRX1NQRUNJQUxfRElWX0NGLjk5OC4yOS8wMy8yMDI2Li4uVVNELkgBAAAAIHoFAAMAAAAAAKYxgHpEjd4IKwmEfkSN3gg4Q0lRLk5BU0RBUTpDQUxNLklRX0NIQU5HRV9ERUZfVEFYLjk5NS4yOS8wMy8yMDI2Li4uVVNELkgBAAAAIHoFAAMAAAAA</t>
  </si>
  <si>
    <t>AIvjf3pEjd4IqvCGfkSN3ggzQ0lRLk5BU0RBUTpDQUxNLklRX0NBU0hfT1BFUi45OTguMjkvMDMvMjAyNi4uLlVTRC5IAQAAACB6BQACAAAABjg2My4wMQEIAAAABQAAAAExAQAAAAstMTkzNDk3ODQyMAMAAAADMTYwAgAAAAQyMDA2BAAAAAEwBwAAAAkzLzI5LzIwMjYIAAAACDYvMy8yMDIzCQAAAAEwi+N/ekSN3ghnyYZ+RI3eCDNDSVEuTkFTREFROkNBTE0uSVFfRElWRVNUX0NGLjk5NC4yOS8wMy8yMDI2Li4uVVNELkgBAAAAIHoFAAMAAAAAANcKgHpEjd4IOVSGfkSN3gg3Q0lRLk5BU0RBUTpDQUxNLklRX1NBTEVfSU5UQU5fQ0YuOTk2LjI5LzAzLzIwMjYuLi5VU0QuSAEAAAAgegUAAwAAAAAA1wqAekSN3gguLYZ+RI3eCDlDSVEuTkFTREFROkNBTE0uSVFfSU5WRVNUX0xPQU5TX0NGLjk5OC4yOS8wMy8yMDI2Li4uVVNELkgBAAAAIHoFAAMAAAAAANcKgHpEjd4I5t6FfkSN3gg4Q0lRLk5BU0RBUTpDQUxNLklRX0dBSU5fQVNTRVRTX0NGLjk5NC4yOS8wMy8yMDI2Li4uVVNELkgBAAAAIHoFAAIAAAAFMC4wMzMBCAAAAAUAAAABMQEAAAALLTIxNDI0MjkwMzkDAAAAAzE2MAIAAAAEMjAyNgQAAAABMAcAAAAJMy8yOS8yMDI2CAAAAAg2LzEvMjAxOQkAAAABMEi8f3pEjd4INuGIfkSN3gg8Q0lRLk5BU0RBUTpDQUxNLklRX0FTU0VUX1dSSVRFRE9XTl9DRi45OTguMjkvMDMvMjAyNi4uLlVTRC5IAQAA</t>
  </si>
  <si>
    <t>ACB6BQADAAAAAACL4396RI3eCE6miH5Ejd4IOENJUS5OQVNEQVE6Q0FMTS5JUV9TVE9DS19CQVNFRF9DRi45OTYuMjkvMDMvMjAyNi4uLlVTRC5IAQAAACB6BQACAAAABTMuNzc4AQgAAAAFAAAAATEBAAAACy0yMDM3MjQxNzIxAwAAAAMxNjACAAAABDIxMjcEAAAAATAHAAAACTMvMjkvMjAyNggAAAAJNS8yOS8yMDIxCQAAAAEwi+N/ekSN3gg+WIh+RI3eCD9DSVEuTkFTREFROkNBTE0uSVFfQ0hBTkdFX1RSQURJTkdfQVNTRVRTLjk5Ny4yOS8wMy8yMDI2Li4uVVNELkgBAAAAIHoFAAMAAAAAAIvjf3pEjd4I15SHfkSN3gg7Q0lRLk5BU0RBUTpDQUxNLklRX0NIQU5HRV9JTlZFTlRPUlkuMTAwMC4yOS8wMy8yMDI2Li4uVVNELkgBAAAAIHoFAAIAAAAHLTEyLjIyNAEIAAAABQAAAAExAQAAAAstMTkzNDk3ODM4MQMAAAADMTYwAgAAAAQyMDk5BAAAAAEwBwAAAAkzLzI5LzIwMjYIAAAACTUvMzEvMjAyNQkAAAABMIvjf3pEjd4Im22HfkSN3gg/Q0lRLk5BU0RBUTpDQUxNLklRX1JFU1RSX1NUT0NLX0NPTVBfVEFYLjEwMDAuMjkvMDMvMjAyNi4uLlVTRC5IAQAAACB6BQADAAAAAABIvH96RI3eCLxUin5Ejd4IPENJUS5OQVNEQVE6Q0FMTS5JUV9TVE9DS19PUFRJT05TX0NPTVAuOTk4LjI5LzAzLzIwMjYuLi5VU0QuSAEAAAAgegUAAwAAAAAASLx/ekSN3ggB84l+RI3eCC9DSVEuTkFTREFROkNBTE0uSVFf</t>
  </si>
  <si>
    <t>TklfQ0YuOTk2LjI5LzAzLzIwMjYuLi5VU0QuSAEAAAAgegUAAgAAAAQyLjA2AQgAAAAFAAAAATEBAAAACy0yMDM3MjQxNzIxAwAAAAMxNjACAAAABDIxNTAEAAAAATAHAAAACTMvMjkvMjAyNggAAAAJNS8yOS8yMDIxCQAAAAEwSLx/ekSN3gixpIl+RI3eCC9DSVEuTkFTREFROkNBTE0uSVFfREFfQ0YuOTk0LjI5LzAzLzIwMjYuLi5VU0QuSAEAAAAgegUAAgAAAAU1NC42NQEIAAAABQAAAAExAQAAAAstMjE0MjQyOTAzOQMAAAADMTYwAgAAAAQyMTYwBAAAAAEwBwAAAAkzLzI5LzIwMjYIAAAACDYvMS8yMDE5CQAAAAEwSLx/ekSN3giTL4l+RI3eCDZDSVEuTkFTREFROkNBTE0uSVFfT1RIRVJfQU1PUlQuMTAwMC4yOS8wMy8yMDI2Li4uVVNELkgBAAAAIHoFAAMAAAAAAEi8f3pEjd4IlwiJfkSN3gg+Q0lRLk5BU0RBUTpDQUxNLklRX09USEVSX1VOVVNVQUxfU1VQUExFLjk5NC4yOS8wMy8yMDI2Li4uVVNELkgBAAAAIHoFAAMAAAAAAJSAlnpEjd4Ihu+LfkSN3gg/Q0lRLk5BU0RBUTpDQUxNLklRX1RPVEFMX1VOVVNVQUxfU1VQUExFLjEwMDAuMjkvMDMvMjAyNi4uLlVTRC5IAQAAACB6BQADAAAAAACUgJZ6RI3eCL/bi35Ejd4IOENJUS5OQVNEQVE6Q0FMTS5JUV9TVE9DS19CQVNFRF9SRC45OTguMjkvMDMvMjAyNi4uLlVTRC5IAQAAACB6BQADAAAAAACUgJZ6RI3eCHdmi35Ejd4IQ0NJUS5OQVNEQVE6</t>
  </si>
  <si>
    <t>Q0FMTS5JUV9TVE9DS19CQVNFRF9FWFBMT1JFX0RSSUxMLjk5Ni4yOS8wMy8yMDI2Li4uVVNELkgBAAAAIHoFAAMAAAAAAI2Bf3pEjd4ITxiLfkSN3ghBQ0lRLk5BU0RBUTpDQUxNLklRX1JFU1RSX1NUT0NLX0NPTVBfUFJFVEFYLjk5NC4yOS8wMy8yMDI2Li4uVVNELkgBAAAAIHoFAAMAAAAAAEi8f3pEjd4IPKOKfkSN3gg2Q0lRLk5BU0RBUTpDQUxNLklRX01BSU5UX1JFUEFJUi45OTQuMjkvMDMvMjAyNi4uLlVTRC5IAQAAACB6BQADAAAAAACKWZZ6RI3eCHMojX5Ejd4IP0NJUS5OQVNEQVE6Q0FMTS5JUV9JTVBVVF9PUEVSX0xFQVNFX0RFUFIuOTk4LjI5LzAzLzIwMjYuLi5VU0QuSAEAAAAgegUAAwAAAAAAilmWekSN3ghzKI1+RI3eCDdDSVEuTkFTREFROkNBTE0uSVFfTUVSR0VSX1NVUFBMRS45OTguMjkvMDMvMjAyNi4uLlVTRC5IAQAAACB6BQADAAAAAACKWZZ6RI3eCDezjH5Ejd4IOkNJUS5OQVNEQVE6Q0FMTS5JUV9HQUlOX0JBUkdBSU5fQUNRLjk5Ni4yOS8wMy8yMDI2Li4uVVNELkgBAAAAIHoFAAMAAAAAAJSAlnpEjd4IF2WMfkSN3gg8Q0lRLk5BU0RBUTpDQUxNLklRX0lOU19TRVRUTEVfU1VQUExFLjEwMDAuMjkvMDMvMjAyNi4uLlVTRC5IAQAAACB6BQADAAAAAACUgJZ6RI3eCMwWjH5Ejd4IM0NJUS5OQVNEQVE6Q0FMTS5JUV9NQVJLRVRJTkcuOTk0LjI5LzAzLzIwMjYuLi5VU0QuSAEA</t>
  </si>
  <si>
    <t>AAAgegUAAwAAAAAAilmWekSN3ggrnI5+RI3eCDBDSVEuTkFTREFROkNBTE0uSVFfR0FfRVhQLjk5OC4yOS8wMy8yMDI2Li4uVVNELkgBAAAAIHoFAAMAAAAAAIpZlnpEjd4IG3WOfkSN3gg/Q0lRLk5BU0RBUTpDQUxNLklRX05FVF9SRU5UQUxfRVhQX1NVUFBMRS45OTYuMjkvMDMvMjAyNi4uLlVTRC5IAQAAACB6BQADAAAAAACKWZZ6RI3eCAAnjn5Ejd4INkNJUS5OQVNEQVE6Q0FMTS5JUV9PVEhFUl9SRU5UQUwuOTk2LjI5LzAzLzIwMjYuLi5VU0QuSAEAAAAgegUAAwAAAAAAilmWekSN3gjSsY1+RI3eCEVDSVEuTkFTREFROkNBTE0uSVFfREVQUkVDSUFUSU9OX1JFTlRBTF9BU1NFVFMuMTAwMC4yOS8wMy8yMDI2Li4uVVNELkgBAAAAIHoFAAMAAAAAAIpZlnpEjd4IkoqNfkSN3ghCQ0lRLk5BU0RBUTpDQUxNLklRX0ZJTkFOQ0VfTEVBU0VTX0xPTkdfVEVSTS45OTQuMjkvMDMvMjAyNi4uLlVTRC5IAQAAACB6BQACAAAABTAuODU4AQgAAAAFAAAAATEBAAAACy0yMTQyNDI5MDM5AwAAAAMxNjACAAAABTQ4OTkxBAAAAAEwBwAAAAkzLzI5LzIwMjYIAAAACDYvMS8yMDE5CQAAAAEwugctekSN3gjY1HZ+RI3eCDVDSVEuTkFTREFROkNBTE0uSVFfSU5UX0VYUF9MVEQuOTk2LjI5LzAzLzIwMjYuLi5VU0QuSAEAAAAgegUAAwAAAAAAfTKWekSN3gif4I9+RI3eCDNDSVEuTkFTREFROkNBTE0uSVFfREFfRUJJ</t>
  </si>
  <si>
    <t>VERBLjk5NC4yOS8wMy8yMDI2Li4uVVNELkgBAAAAIHoFAAIAAAAFNTQuNjUBCAAAAAUAAAABMQEAAAALLTIxNDI0MjkwMzkDAAAAAzE2MAIAAAAEMjIwNgQAAAABMAcAAAAJMy8yOS8yMDI2CAAAAAg2LzEvMjAxOQkAAAABMH0ylnpEjd4IrJKPfkSN3gg9Q0lRLk5BU0RBUTpDQUxNLklRX0RJU1RSSUJVVEFCTEVfQ0FTSC4xMDAwLjI5LzAzLzIwMjYuLi5VU0QuSAEAAAAgegUAAwAAAAAAfTKWekSN3gica49+RI3eCEBDSVEuTkFTREFROkNBTE0uSVFfQU5OVV9ESVNUUklCVVRJT05fVU5JVC45OTguMjkvMDMvMjAyNi4uLlVTRC5IAQAAACB6BQADAAAAAAB9MpZ6RI3eCBsdj35Ejd4IPkNJUS5OQVNEQVE6Q0FMTS5JUV9GSU5fRElWX0RFQlRfQ1VSUkVOVC45OTkuMjkvMDMvMjAyNi4uLlVTRC5IAQAAACB6BQADAAAAAADZf4B6RI3eCBGBe35Ejd4IPkNJUS5OQVNEQVE6Q0FMTS5JUV9ERUZfVEFYX0xJQUJfQ1VSUkVOVC45OTUuMjkvMDMvMjAyNi4uLlVTRC5IAQAAACB6BQADAAAAAAANp4B6RI3eCE4Le35Ejd4IOkNJUS5OQVNEQVE6Q0FMTS5JUV9MT05HX1RFUk1fTEVBU0VTLjk5Ni4yOS8wMy8yMDI2Li4uVVNELkgBAAAAIHoFAAIAAAAFMS40NzIBCAAAAAUAAAABMQEAAAALLTIwMzcyNDE3MjEDAAAAAzE2MAIAAAAEMTE4MwQAAAABMAcAAAAJMy8yOS8yMDI2CAAAAAk1LzI5LzIwMjEJAAAAATANp4B6</t>
  </si>
  <si>
    <t>RI3eCFypen5Ejd4IN0NJUS5OQVNEQVE6Q0FMTS5JUV9PVEhFUl9MSUFCX0xULjk5NS4yOS8wMy8yMDI2Li4uVVNELkgBAAAAIHoFAAIAAAAFOC42ODEBCAAAAAUAAAABMQEAAAALLTIwODgzNDc0NjkDAAAAAzE2MAIAAAAEMTA2MgQAAAABMAcAAAAJMy8yOS8yMDI2CAAAAAk1LzMwLzIwMjAJAAAAATANp4B6RI3eCB/meX5Ejd4IMUNJUS5OQVNEQVE6Q0FMTS5JUV9DT01NT04uMTAwMC4yOS8wMy8yMDI2Li4uVVNELkgBAAAAIHoFAAIAAAAFMC43NTEBCAAAAAUAAAABMQEAAAALLTE5MzQ5NzgzODEDAAAAAzE2MAIAAAAEMTEwMwQAAAABMAcAAAAJMy8yOS8yMDI2CAAAAAk1LzMxLzIwMjUJAAAAATCKuSx6RI3eCKw1eX5Ejd4IM0NJUS5OQVNEQVE6Q0FMTS5JUV9JTlZFTlRPUlkuOTk1LjI5LzAzLzIwMjYuLi5VU0QuSAEAAAAgegUAAgAAAAcxODcuMjE2AQgAAAAFAAAAATEBAAAACy0yMDg4MzQ3NDY5AwAAAAMxNjACAAAABDEwNDMEAAAAATAHAAAACTMvMjkvMjAyNggAAAAJNS8zMC8yMDIwCQAAAAEwtViAekSN3ghxi35+RI3eCEBDSVEuTkFTREFROkNBTE0uSVFfREVGX1RBWF9BU1NFVFNfQ1VSUkVOVC45OTMuMjkvMDMvMjAyNi4uLlVTRC5IAQAAACB6BQADAAAAAADZf4B6RI3eCA7afX5Ejd4IOUNJUS5OQVNEQVE6Q0FMTS5JUV9PVEhFUl9DQV9TVVBQTC4xMDAwLjI5LzAzLzIwMjYuLi5VU0QuSAEA</t>
  </si>
  <si>
    <t>AAAgegUAAwAAAAAA2X+AekSN3ggOs31+RI3eCCxDSVEuTkFTREFROkNBTE0uSVFfQUQuOTk5LjI5LzAzLzIwMjYuLi5VU0QuSAEAAAAgegUAAgAAAActODA0Ljk0AQgAAAAFAAAAATEBAAAACy0xOTM0OTc4NDgwAwAAAAMxNjACAAAABDEwNzUEAAAAATAHAAAACTMvMjkvMjAyNggAAAAINi8xLzIwMjQJAAAAATDZf4B6RI3eCOBkfX5Ejd4ILUNJUS5OQVNEQVE6Q0FMTS5JUV9BRS4xMDAwLjI5LzAzLzIwMjYuLi5VU0QuSAEAAAAgegUAAgAAAAY5My4xNzUBCAAAAAUAAAABMQEAAAALLTE5MzQ5NzgzODEDAAAAAzE2MAIAAAAEMTAxNgQAAAABMAcAAAAJMy8yOS8yMDI2CAAAAAk1LzMxLzIwMjUJAAAAATDZf4B6RI3eCFz2e35Ejd4IPkNJUS5OQVNEQVE6Q0FMTS5JUV9DSEFOR0VfREVGX1RBWF9UT1RBTC45OTguMjkvMDMvMjAyNi4uLlVTRC5IAQAAACB6BQACAAAABjI0LjQ2NwEIAAAABQAAAAExAQAAAAstMTkzNDk3ODQyMAMAAAADMTYwAgAAAAUzMDkyNAQAAAABMAcAAAAJMy8yOS8yMDI2CAAAAAg2LzMvMjAyMwkAAAABMI2Bf3pEjd4IzRyBfkSN3gg2Q0lRLk5BU0RBUTpDQUxNLklRX0RPX0lOVkVTVF9DRi45OTguMjkvMDMvMjAyNi4uLlVTRC5IAQAAACB6BQADAAAAAACNgX96RI3eCIpFgH5Ejd4IPUNJUS5OQVNEQVE6Q0FMTS5JUV9HQUlOX0JBUkdBSU5fQUNRX0NGLjk5OC4yOS8wMy8yMDI2Li4u</t>
  </si>
  <si>
    <t>VVNELkgBAAAAIHoFAAMAAAAAAI2Bf3pEjd4IInV/fkSN3gg4Q0lRLk5BU0RBUTpDQUxNLklRX1RSQURJTkdfQVNTRVRTLjk5OS4yOS8wMy8yMDI2Li4uVVNELkgBAAAAIHoFAAMAAAAAAI2Bf3pEjd4I/SZ/fkSN3gg2Q0lRLk5BU0RBUTpDQUxNLklRX09USEVSX1JFQ0VJVi45OTkuMjkvMDMvMjAyNi4uLlVTRC5IAQAAACB6BQACAAAABjIzLjg5MgEIAAAABQAAAAExAQAAAAstMTkzNDk3ODQ4MAMAAAADMTYwAgAAAAQxMjA2BAAAAAEwBwAAAAkzLzI5LzIwMjYIAAAACDYvMS8yMDI0CQAAAAEwSLx/ekSN3gjVsX5+RI3eCD1DSVEuTkFTREFROkNBTE0uSVFfREFfU1VQUExfUEFSVElBTF9DRi45OTUuMjkvMDMvMjAyNi4uLlVTRC5IAQAAACB6BQADAAAAAACmMYB6RI3eCCQ1g35Ejd4INENJUS5OQVNEQVE6Q0FMTS5JUV9ERVBSRV9TVVBQLjk5NC4yOS8wMy8yMDI2Li4uVVNELkgBAAAAIHoFAAMAAAAAAKYxgHpEjd4IOiGDfkSN3gg+Q0lRLk5BU0RBUTpDQUxNLklRX05FR0FUSVZFX0dXX0FNT1JUX0NGLjk5NS4yOS8wMy8yMDI2Li4uVVNELkgBAAAAIHoFAAMAAAAAAKYxgHpEjd4IqXyCfkSN3ghCQ0lRLk5BU0RBUTpDQUxNLklRX0FNT1JUX1NPRlRXQVJFX0FTU0VUU19DRi45OTQuMjkvMDMvMjAyNi4uLlVTRC5IAQAAACB6BQADAAAAAACmMYB6RI3eCIcugn5Ejd4IPENJUS5OQVNEQVE6Q0FMTS5JUV9D</t>
  </si>
  <si>
    <t>QVNIX0lOVEVSRVNUX09QRVIuOTk1LjI5LzAzLzIwMjYuLi5VU0QuSAEAAAAgegUAAwAAAAAAG1l/ekSN3ghPuYF+RI3eCDdDSVEuTkFTREFROkNBTE0uSVFfU0FMRV9JTlRBTl9DRi45OTcuMjkvMDMvMjAyNi4uLlVTRC5IAQAAACB6BQADAAAAAADXCoB6RI3eCC4thn5Ejd4IOUNJUS5OQVNEQVE6Q0FMTS5JUV9JTlZFU1RfTE9BTlNfQ0YuOTk5LjI5LzAzLzIwMjYuLi5VU0QuSAEAAAAgegUAAwAAAAAA1wqAekSN3gjm3oV+RI3eCDZDSVEuTkFTREFROkNBTE0uSVFfQ0FTSF9JTlZFU1QuMTAwMC4yOS8wMy8yMDI2Li4uVVNELkgBAAAAIHoFAAIAAAAILTU3NS40NjkBCAAAAAUAAAABMQEAAAALLTE5MzQ5NzgzODEDAAAAAzE2MAIAAAAEMjAwNQQAAAABMAcAAAAJMy8yOS8yMDI2CAAAAAk1LzMxLzIwMjUJAAAAATDXCoB6RI3eCLp8hX5Ejd4INENJUS5OQVNEQVE6Q0FMTS5JUV9DQVNIX0ZJTkFOLjk5OS4yOS8wMy8yMDI2Li4uVVNELkgBAAAAIHoFAAIAAAAHLTkzLjc1OAEIAAAABQAAAAExAQAAAAstMTkzNDk3ODQ4MAMAAAADMTYwAgAAAAQyMDA0BAAAAAEwBwAAAAkzLzI5LzIwMjYIAAAACDYvMS8yMDI0CQAAAAEwpjGAekSN3ggju4N+RI3eCDRDSVEuTkFTREFROkNBTE0uSVFfTkVUX0NIQU5HRS45OTUuMjkvMDMvMjAyNi4uLlVTRC5IAQAAACB6BQACAAAABTguODgzAQgAAAAFAAAAATEBAAAACy0y</t>
  </si>
  <si>
    <t>MDg4MzQ3NDY5AwAAAAMxNjACAAAABDIwOTMEAAAAATAHAAAACTMvMjkvMjAyNggAAAAJNS8zMC8yMDIwCQAAAAEwpjGAekSN3gj0k4N+RI3eCD9DSVEuTkFTREFROkNBTE0uSVFfQ0hBTkdFX1RSQURJTkdfQVNTRVRTLjk5OC4yOS8wMy8yMDI2Li4uVVNELkgBAAAAIHoFAAMAAAAAAIvjf3pEjd4I15SHfkSN3gg7Q0lRLk5BU0RBUTpDQUxNLklRX0NIQU5HRV9VTkVBUk5fUkVWLjk5NC4yOS8wMy8yMDI2Li4uVVNELkgBAAAAIHoFAAMAAAAAAIvjf3pEjd4IqxeHfkSN3gg4Q0lRLk5BU0RBUTpDQUxNLklRX0NIQU5HRV9ERUZfVEFYLjk5Ny4yOS8wMy8yMDI2Li4uVVNELkgBAAAAIHoFAAMAAAAAAIvjf3pEjd4IqvCGfkSN3ggzQ0lRLk5BU0RBUTpDQUxNLklRX0NBU0hfT1BFUi45OTkuMjkvMDMvMjAyNi4uLlVTRC5IAQAAACB6BQACAAAABzQ1MS4zOTgBCAAAAAUAAAABMQEAAAALLTE5MzQ5Nzg0ODADAAAAAzE2MAIAAAAEMjAwNgQAAAABMAcAAAAJMy8yOS8yMDI2CAAAAAg2LzEvMjAyNAkAAAABMIvjf3pEjd4IWKKGfkSN3ggzQ0lRLk5BU0RBUTpDQUxNLklRX0RJVkVTVF9DRi45OTUuMjkvMDMvMjAyNi4uLlVTRC5IAQAAACB6BQADAAAAAADXCoB6RI3eCDlUhn5Ejd4IOENJUS5OQVNEQVE6Q0FMTS5JUV9HQUlOX0FTU0VUU19DRi45OTUuMjkvMDMvMjAyNi4uLlVTRC5IAQAAACB6BQACAAAABTAuMDgy</t>
  </si>
  <si>
    <t>AQgAAAAFAAAAATEBAAAACy0yMDg4MzQ3NDY5AwAAAAMxNjACAAAABDIwMjYEAAAAATAHAAAACTMvMjkvMjAyNggAAAAJNS8zMC8yMDIwCQAAAAEwSLx/ekSN3gg24Yh+RI3eCDxDSVEuTkFTREFROkNBTE0uSVFfQVNTRVRfV1JJVEVET1dOX0NGLjk5OS4yOS8wMy8yMDI2Li4uVVNELkgBAAAAIHoFAAMAAAAAAIvjf3pEjd4ITqaIfkSN3gg4Q0lRLk5BU0RBUTpDQUxNLklRX0NSRURJVF9MT1NTX0NGLjk5My4yOS8wMy8yMDI2Li4uVVNELkgBAAAAIHoFAAMAAAAAAIvjf3pEjd4IPn+IfkSN3gg3Q0lRLk5BU0RBUTpDQUxNLklRX0lOQ19FUVVJVFlfQ0YuOTk5LjI5LzAzLzIwMjYuLi5VU0QuSAEAAAAgegUAAwAAAAAAi+N/ekSN3gg+WIh+RI3eCDhDSVEuTkFTREFROkNBTE0uSVFfT1RIRVJfT1BFUl9BQ1QuOTkzLjI5LzAzLzIwMjYuLi5VU0QuSAEAAAAgegUAAgAAAActMzMuNDc0AQgAAAAFAAAAATEBAAAACjIwNDU3NDkzMTADAAAAAzE2MAIAAAAEMjA0NwQAAAABMAcAAAAJMy8yOS8yMDI2CAAAAAg2LzIvMjAxOAkAAAABMIvjf3pEjd4I57uHfkSN3ghDQ0lRLk5BU0RBUTpDQUxNLklRX1NUT0NLX09QVElPTlNfQ09NUF9QUkVUQVguOTk1LjI5LzAzLzIwMjYuLi5VU0QuSAEAAAAgegUAAwAAAAAASLx/ekSN3gjgGYp+RI3eCDxDSVEuTkFTREFROkNBTE0uSVFfU1RPQ0tfT1BUSU9OU19DT01QLjk5OS4y</t>
  </si>
  <si>
    <t>OS8wMy8yMDI2Li4uVVNELkgBAAAAIHoFAAMAAAAAAEi8f3pEjd4IAfOJfkSN3gg+Q0lRLk5BU0RBUTpDQUxNLklRX1NUT0NLX0JBU0VEX0NPTVBfVEFYLjk5My4yOS8wMy8yMDI2Li4uVVNELkgBAAAAIHoFAAMAAAAAAEi8f3pEjd4IysuJfkSN3ggvQ0lRLk5BU0RBUTpDQUxNLklRX05JX0NGLjk5Ny4yOS8wMy8yMDI2Li4uVVNELkgBAAAAIHoFAAIAAAAGMTMyLjY1AQgAAAAFAAAAATEBAAAACy0xOTg2NzA4NDMzAwAAAAMxNjACAAAABDIxNTAEAAAAATAHAAAACTMvMjkvMjAyNggAAAAJNS8yOC8yMDIyCQAAAAEwSLx/ekSN3gixpIl+RI3eCDRDSVEuTkFTREFROkNBTE0uSVFfT0lMX0lNUEFJUi45OTcuMjkvMDMvMjAyNi4uLlVTRC5IAQAAACB6BQADAAAAAABIvH96RI3eCJMviX5Ejd4IOkNJUS5OQVNEQVE6Q0FMTS5JUV9TVE9DS19CQVNFRF9DT0dTLjk5My4yOS8wMy8yMDI2Li4uVVNELkgBAAAAIHoFAAMAAAAAAJSAlnpEjd4IfI2LfkSN3gg4Q0lRLk5BU0RBUTpDQUxNLklRX1NUT0NLX0JBU0VEX1JELjk5OS4yOS8wMy8yMDI2Li4uVVNELkgBAAAAIHoFAAMAAAAAAJSAlnpEjd4Id2aLfkSN3gg4Q0lRLk5BU0RBUTpDQUxNLklRX1NUT0NLX0JBU0VEX0dBLjk5My4yOS8wMy8yMDI2Li4uVVNELkgBAAAAIHoFAAMAAAAAAJSAlnpEjd4IWj+LfkSN3ghDQ0lRLk5BU0RBUTpDQUxNLklRX1NUT0NLX0JB</t>
  </si>
  <si>
    <t>U0VEX0VYUExPUkVfRFJJTEwuOTk3LjI5LzAzLzIwMjYuLi5VU0QuSAEAAAAgegUAAwAAAAAAjYF/ekSN3ghPGIt+RI3eCEFDSVEuTkFTREFROkNBTE0uSVFfUkVTVFJfU1RPQ0tfQ09NUF9QUkVUQVguOTk1LjI5LzAzLzIwMjYuLi5VU0QuSAEAAAAgegUAAwAAAAAASLx/ekSN3gg8o4p+RI3eCDZDSVEuTkFTREFROkNBTE0uSVFfTUFJTlRfUkVQQUlSLjk5NS4yOS8wMy8yMDI2Li4uVVNELkgBAAAAIHoFAAMAAAAAAIpZlnpEjd4IcyiNfkSN3gg8Q0lRLk5BU0RBUTpDQUxNLklRX1JFU1RSVUNUVVJFX1NVUFBMRS45OTMuMjkvMDMvMjAyNi4uLlVTRC5IAQAAACB6BQADAAAAAACKWZZ6RI3eCHkBjX5Ejd4IN0NJUS5OQVNEQVE6Q0FMTS5JUV9NRVJHRVJfU1VQUExFLjk5OS4yOS8wMy8yMDI2Li4uVVNELkgBAAAAIHoFAAMAAAAAAIpZlnpEjd4IN7OMfkSN3gg6Q0lRLk5BU0RBUTpDQUxNLklRX0dBSU5fQkFSR0FJTl9BQ1EuOTk3LjI5LzAzLzIwMjYuLi5VU0QuSAEAAAAgegUAAwAAAAAAlICWekSN3ggXZYx+RI3eCD5DSVEuTkFTREFROkNBTE0uSVFfT1RIRVJfVU5VU1VBTF9TVVBQTEUuOTk1LjI5LzAzLzIwMjYuLi5VU0QuSAEAAAAgegUAAwAAAAAAlICWekSN3giG74t+RI3eCDNDSVEuTkFTREFROkNBTE0uSVFfTUFSS0VUSU5HLjk5NS4yOS8wMy8yMDI2Li4uVVNELkgBAAAAIHoFAAMAAAAAAIpZlnpE</t>
  </si>
  <si>
    <t>jd4IK5yOfkSN3ggwQ0lRLk5BU0RBUTpDQUxNLklRX0dBX0VYUC45OTkuMjkvMDMvMjAyNi4uLlVTRC5IAQAAACB6BQACAAAABjEwMi40NQEIAAAABQAAAAExAQAAAAstMTkzNDk3ODQ4MAMAAAADMTYwAgAAAAUyMTU2MgQAAAABMAcAAAAJMy8yOS8yMDI2CAAAAAg2LzEvMjAyNAkAAAABMIpZlnpEjd4IG3WOfkSN3gg7Q0lRLk5BU0RBUTpDQUxNLklRX05FVF9SRU5UQUxfRVhQX0ZOLjk5My4yOS8wMy8yMDI2Li4uVVNELkgBAAAAIHoFAAMAAAAAAIpZlnpEjd4IEU6OfkSN3gg4Q0lRLk5BU0RBUTpDQUxNLklRX05FVF9SRU5UQUxfRVhQLjk5OS4yOS8wMy8yMDI2Li4uVVNELkgBAAAAIHoFAAMAAAAAAIpZlnpEjd4IACeOfkSN3gg2Q0lRLk5BU0RBUTpDQUxNLklRX09USEVSX1JFTlRBTC45OTcuMjkvMDMvMjAyNi4uLlVTRC5IAQAAACB6BQADAAAAAACKWZZ6RI3eCNKxjX5Ejd4IQENJUS5OQVNEQVE6Q0FMTS5JUV9GSU5BTkNFX0xFQVNFU19DVVJSRU5ULjk5OC4yOS8wMy8yMDI2Li4uVVNELkgBAAAAIHoFAAMAAAAAALoHLXpEjd4I+ft2fkSN3ggyQ0lRLk5BU0RBUTpDQUxNLklRX0JWX1NIQVJFLjk5Ni4yOS8wMy8yMDI2Li4uVVNELkgBAAAAIHoFAAIAAAAJMjAuNzI4ODc1AQgAAAAFAAAAATEBAAAACy0yMDM3MjQxNzIxAwAAAAMxNjACAAAABDQwMjAEAAAAATAHAAAACTMvMjkvMjAyNggAAAAJNS8y</t>
  </si>
  <si>
    <t>OS8yMDIxCQAAAAEwwS4tekSN3ghqr3V+RI3eCDpDSVEuTkFTREFROkNBTE0uSVFfQUxMT1dfRE9VQlRfQUNDVC45OTYuMjkvMDMvMjAyNi4uLlVTRC5IAQAAACB6BQACAAAABTAuNzk1AQgAAAAFAAAAATEBAAAACy0yMDM3MjQxNzIxAwAAAAMxNjACAAAABDMwMTIEAAAAATAHAAAACTMvMjkvMjAyNggAAAAJNS8yOS8yMDIxCQAAAAEwwS4tekSN3gie7XN+RI3eCEBDSVEuTkFTREFROkNBTE0uSVFfQU5OVV9ESVNUUklCVVRJT05fVU5JVC45OTkuMjkvMDMvMjAyNi4uLlVTRC5IAQAAACB6BQADAAAAAAB9MpZ6RI3eCGNEj35Ejd4INENJUS5OQVNEQVE6Q0FMTS5JUV9DT01NT05fRElWLjk5My4yOS8wMy8yMDI2Li4uVVNELkgBAAAAIHoFAAIAAAAGMTcuMDkzAH0ylnpEjd4IZ+qOfkSN3gg5Q0lRLk5BU0RBUTpDQUxNLklRX09USEVSX0xUX0FTU0VUUy45OTQuMjkvMDMvMjAyNi4uLlVTRC5IAQAAACB6BQACAAAABTIuMDMzAQgAAAAFAAAAATEBAAAACy0yMTQyNDI5MDM5AwAAAAMxNjACAAAABDEwNjAEAAAAATAHAAAACTMvMjkvMjAyNggAAAAINi8xLzIwMTkJAAAAATDZf4B6RI3eCGUdfH5Ejd4IPkNJUS5OQVNEQVE6Q0FMTS5JUV9GSU5fRElWX0RFQlRfQ1VSUkVOVC45OTQuMjkvMDMvMjAyNi4uLlVTRC5IAQAAACB6BQADAAAAAADZf4B6RI3eCLOoe35Ejd4IOkNJUS5OQVNEQVE6Q0FMTS5JUV9MT05H</t>
  </si>
  <si>
    <t>X1RFUk1fTEVBU0VTLjk5Ny4yOS8wMy8yMDI2Li4uVVNELkgBAAAAIHoFAAMAAAAAAA2ngHpEjd4IXKl6fkSN3gg3Q0lRLk5BU0RBUTpDQUxNLklRX09USEVSX0xJQUJfTFQuOTk2LjI5LzAzLzIwMjYuLi5VU0QuSAEAAAAgegUAAgAAAAYxMC40MTYBCAAAAAUAAAABMQEAAAALLTIwMzcyNDE3MjEDAAAAAzE2MAIAAAAEMTA2MgQAAAABMAcAAAAJMy8yOS8yMDI2CAAAAAk1LzI5LzIwMjEJAAAAATANp4B6RI3eCDUNen5Ejd4IN0NJUS5OQVNEQVE6Q0FMTS5JUV9SVUFfQUNDVU1fREVQLjk5OC4yOS8wMy8yMDI2Li4uVVNELkgBAAAAIHoFAAMAAAAAAJbgLHpEjd4IWPd3fkSN3ghAQ0lRLk5BU0RBUTpDQUxNLklRX0RFRl9UQVhfQVNTRVRTX0NVUlJFTlQuOTk0LjI5LzAzLzIwMjYuLi5VU0QuSAEAAAAgegUAAwAAAAAA2X+AekSN3ggO2n1+RI3eCCxDSVEuTkFTREFROkNBTE0uSVFfQUQuOTkzLjI5LzAzLzIwMjYuLi5VU0QuSAEAAAAgegUAAgAAAAgtNTEzLjcwNwEIAAAABQAAAAExAQAAAAoyMDQ1NzQ5MzEwAwAAAAMxNjACAAAABDEwNzUEAAAAATAHAAAACTMvMjkvMjAyNggAAAAINi8yLzIwMTgJAAAAATDZf4B6RI3eCA+MfX5Ejd4ILENJUS5OQVNEQVE6Q0FMTS5JUV9HVy45OTMuMjkvMDMvMjAyNi4uLlVTRC5IAQAAACB6BQACAAAABjM1LjUyNQEIAAAABQAAAAExAQAAAAoyMDQ1NzQ5MzEwAwAAAAMx</t>
  </si>
  <si>
    <t>NjACAAAABDExNzEEAAAAATAHAAAACTMvMjkvMjAyNggAAAAINi8yLzIwMTgJAAAAATDZf4B6RI3eCO09fX5Ejd4IO0NJUS5OQVNEQVE6Q0FMTS5JUV9GSU5fRElWX0FTU0VUU19MVC45OTMuMjkvMDMvMjAyNi4uLlVTRC5IAQAAACB6BQADAAAAAADZf4B6RI3eCNLAfH5Ejd4IOUNJUS5OQVNEQVE6Q0FMTS5JUV9MT0FOU19SRUNFSVZfTFQuOTk1LjI5LzAzLzIwMjYuLi5VU0QuSAEAAAAgegUAAwAAAAAA2X+AekSN3giTa3x+RI3eCDZDSVEuTkFTREFROkNBTE0uSVFfRE9fSU5WRVNUX0NGLjk5OS4yOS8wMy8yMDI2Li4uVVNELkgBAAAAIHoFAAMAAAAAAI2Bf3pEjd4IikWAfkSN3ghFQ0lRLk5BU0RBUTpDQUxNLklRX09QRVJBVElOR19MRUFTRV9MSUFCSUxJVElFUy45OTMuMjkvMDMvMjAyNi4uLlVTRC5IAQAAACB6BQADAAAAAACNgX96RI3eCJT3f35Ejd4IOUNJUS5OQVNEQVE6Q0FMTS5JUV9UUkFESU5HX0FTU0VUUy4xMDAwLjI5LzAzLzIwMjYuLi5VU0QuSAEAAAAgegUAAwAAAAAAjYF/ekSN3gj9Jn9+RI3eCDZDSVEuTkFTREFROkNBTE0uSVFfT1RIRVJfUkVDRUlWLjk5My4yOS8wMy8yMDI2Li4uVVNELkgBAAAAIHoFAAIAAAAFNS4xMDgBCAAAAAUAAAABMQEAAAAKMjA0NTc0OTMxMAMAAAADMTYwAgAAAAQxMjA2BAAAAAEwBwAAAAkzLzI5LzIwMjYIAAAACDYvMi8yMDE4CQAAAAEwjYF/ekSN3gj8</t>
  </si>
  <si>
    <t>2H5+RI3eCDZDSVEuTkFTREFROkNBTE0uSVFfVE9UQUxfUkVDRUlWLjk5OC4yOS8wMy8yMDI2Li4uVVNELkgBAAAAIHoFAAIAAAAHMTg3LjIxMwEIAAAABQAAAAExAQAAAAstMTkzNDk3ODQyMAMAAAADMTYwAgAAAAQxMDAxBAAAAAEwBwAAAAkzLzI5LzIwMjYIAAAACDYvMy8yMDIzCQAAAAEw1wqAekSN3ghxi35+RI3eCD5DSVEuTkFTREFROkNBTE0uSVFfTkVHQVRJVkVfR1dfQU1PUlRfQ0YuOTk2LjI5LzAzLzIwMjYuLi5VU0QuSAEAAAAgegUAAwAAAAAApjGAekSN3giZVYJ+RI3eCEJDSVEuTkFTREFROkNBTE0uSVFfQU1PUlRfU09GVFdBUkVfQVNTRVRTX0NGLjk5NS4yOS8wMy8yMDI2Li4uVVNELkgBAAAAIHoFAAMAAAAAAKYxgHpEjd4Ihy6CfkSN3gg9Q0lRLk5BU0RBUTpDQUxNLklRX0NBU0hfSU5URVJFU1RfRklOQU4uOTk1LjI5LzAzLzIwMjYuLi5VU0QuSAEAAAAgegUAAwAAAAAAG1l/ekSN3ggra4F+RI3eCD5DSVEuTkFTREFROkNBTE0uSVFfQ0hBTkdFX0RFRl9UQVhfVE9UQUwuOTk5LjI5LzAzLzIwMjYuLi5VU0QuSAEAAAAgegUAAgAAAAYtOS42NzIBCAAAAAUAAAABMQEAAAALLTE5MzQ5Nzg0ODADAAAAAzE2MAIAAAAFMzA5MjQEAAAAATAHAAAACTMvMjkvMjAyNggAAAAINi8xLzIwMjQJAAAAATCNgX96RI3eCNrhgH5Ejd4IN0NJUS5OQVNEQVE6Q0FMTS5JUV9VTkxFVkVSRURfRkNGLjk5</t>
  </si>
  <si>
    <t>My4yOS8wMy8yMDI2Li4uVVNELkgBAAAAIHoFAAIAAAAJMjE5LjUyOTI1AQgAAAAFAAAAATEBAAAACjIwNDU3NDkzMTADAAAAAzE2MAIAAAAENDQyMwQAAAABMAcAAAAJMy8yOS8yMDI2CAAAAAg2LzIvMjAxOAkAAAABMI2Bf3pEjd4IzbqAfkSN3gg3Q0lRLk5BU0RBUTpDQUxNLklRX1NBTEVfSU5UQU5fQ0YuOTk4LjI5LzAzLzIwMjYuLi5VU0QuSAEAAAAgegUAAwAAAAAA1wqAekSN3gguLYZ+RI3eCDVDSVEuTkFTREFROkNBTE0uSVFfQ0FTSF9GSU5BTi4xMDAwLjI5LzAzLzIwMjYuLi5VU0QuSAEAAAAgegUAAgAAAAgtMzg2LjcyNAEIAAAABQAAAAExAQAAAAstMTkzNDk3ODM4MQMAAAADMTYwAgAAAAQyMDA0BAAAAAEwBwAAAAkzLzI5LzIwMjYIAAAACTUvMzEvMjAyNQkAAAABMKYxgHpEjd4INuKDfkSN3gg4Q0lRLk5BU0RBUTpDQUxNLklRX01JU0NfQURKVVNUX0NGLjk5OC4yOS8wMy8yMDI2Li4uVVNELkgBAAAAIHoFAAMAAAAAAKYxgHpEjd4IqGyDfkSN3gg9Q0lRLk5BU0RBUTpDQUxNLklRX0RBX1NVUFBMX1BBUlRJQUxfQ0YuOTk2LjI5LzAzLzIwMjYuLi5VU0QuSAEAAAAgegUAAwAAAAAApjGAekSN3ggkNYN+RI3eCDRDSVEuTkFTREFROkNBTE0uSVFfREVQUkVfU1VQUC45OTUuMjkvMDMvMjAyNi4uLlVTRC5IAQAAACB6BQADAAAAAACmMYB6RI3eCDohg35Ejd4IP0NJUS5OQVNEQVE6Q0FMTS5J</t>
  </si>
  <si>
    <t>UV9DSEFOR0VfVFJBRElOR19BU1NFVFMuOTk5LjI5LzAzLzIwMjYuLi5VU0QuSAEAAAAgegUAAwAAAAAAi+N/ekSN3gjXlId+RI3eCDtDSVEuTkFTREFROkNBTE0uSVFfQ0hBTkdFX1VORUFSTl9SRVYuOTk1LjI5LzAzLzIwMjYuLi5VU0QuSAEAAAAgegUAAwAAAAAAi+N/ekSN3girF4d+RI3eCDhDSVEuTkFTREFROkNBTE0uSVFfQ0hBTkdFX0RFRl9UQVguOTk4LjI5LzAzLzIwMjYuLi5VU0QuSAEAAAAgegUAAwAAAAAAi+N/ekSN3giq8IZ+RI3eCDVDSVEuTkFTREFROkNBTE0uSVFfU0FMRV9QUEVfQ0YuOTkzLjI5LzAzLzIwMjYuLi5VU0QuSAEAAAAgegUAAgAAAAUwLjk2MwEIAAAABQAAAAExAQAAAAoyMDQ1NzQ5MzEwAwAAAAMxNjACAAAABDIwNDIEAAAAATAHAAAACTMvMjkvMjAyNggAAAAINi8yLzIwMTgJAAAAATCL4396RI3eCFB7hn5Ejd4IM0NJUS5OQVNEQVE6Q0FMTS5JUV9ESVZFU1RfQ0YuOTk2LjI5LzAzLzIwMjYuLi5VU0QuSAEAAAAgegUAAwAAAAAA1wqAekSN3gg5VIZ+RI3eCDdDSVEuTkFTREFROkNBTE0uSVFfUlVBX0FDQ1VNX0RFUC45OTUuMjkvMDMvMjAyNi4uLlVTRC5IAQAAACB6BQADAAAAAACW4Cx6RI3eCDYkeH5Ejd4IQENJUS5OQVNEQVE6Q0FMTS5JUV9GSU5BTkNFX0xFQVNFU19DVVJSRU5ULjk5OS4yOS8wMy8yMDI2Li4uVVNELkgBAAAAIHoFAAMAAAAAALoHLXpEjd4I+ft2</t>
  </si>
  <si>
    <t>fkSN3gg1Q0lRLk5BU0RBUTpDQUxNLklRX1dPUktJTkdfQ0FQLjk5NC4yOS8wMy8yMDI2Li4uVVNELkgBAAAAIHoFAAIAAAAHNDkyLjg0NgEIAAAABQAAAAExAQAAAAstMjE0MjQyOTAzOQMAAAADMTYwAgAAAAQ0MTY1BAAAAAEwBwAAAAkzLzI5LzIwMjYIAAAACDYvMS8yMDE5CQAAAAEwwS4tekSN3gjHO3R+RI3eCE1DSVEuTkFTREFROkNBTE0uSVFfTElRVUlEQVRJT05fVkFMVUVfUFJFRkVSUkVEX0NPTlZFUlQuOTk0LjI5LzAzLzIwMjYuLi5VU0QuSAEAAAAgegUAAwAAAAAAomktekSN3giKLXF+RI3eCC9DSVEuTkFTREFROkNBTE0uSVFfRE9fQ0YuOTk2LjI5LzAzLzIwMjYuLi5VU0QuSAEAAAAgegUAAwAAAAAAi+N/ekSN3gj04od+RI3eCDpDSVEuTkFTREFROkNBTE0uSVFfRklOX0RJVl9MT0FOU19MVC45OTYuMjkvMDMvMjAyNi4uLlVTRC5IAQAAACB6BQADAAAAAADZf4B6RI3eCNrvfH5Ejd4IOUNJUS5OQVNEQVE6Q0FMTS5JUV9MT0FOU19SRUNFSVZfTFQuOTk2LjI5LzAzLzIwMjYuLi5VU0QuSAEAAAAgegUAAwAAAAAA2X+AekSN3giJknx+RI3eCDlDSVEuTkFTREFROkNBTE0uSVFfT1RIRVJfTFRfQVNTRVRTLjk5NS4yOS8wMy8yMDI2Li4uVVNELkgBAAAAIHoFAAIAAAAFMS43ODcBCAAAAAUAAAABMQEAAAALLTIwODgzNDc0NjkDAAAAAzE2MAIAAAAEMTA2MAQAAAABMAcAAAAJMy8yOS8yMDI2</t>
  </si>
  <si>
    <t>CAAAAAk1LzMwLzIwMjAJAAAAATDZf4B6RI3eCGUdfH5Ejd4IPUNJUS5OQVNEQVE6Q0FMTS5JUV9DVVJSRU5UX1BPUlRfTEVBU0VTLjk5Ny4yOS8wMy8yMDI2Li4uVVNELkgBAAAAIHoFAAMAAAAAANl/gHpEjd4IEYF7fkSN3ggwQ0lRLk5BU0RBUTpDQUxNLklRX0NPTU1PTi45OTYuMjkvMDMvMjAyNi4uLlVTRC5IAQAAACB6BQACAAAABTAuNzUxAQgAAAAFAAAAATEBAAAACy0yMDM3MjQxNzIxAwAAAAMxNjACAAAABDExMDMEAAAAATAHAAAACTMvMjkvMjAyNggAAAAJNS8yOS8yMDIxCQAAAAEwirksekSN3gisNXl+RI3eCDZDSVEuTkFTREFROkNBTE0uSVFfVE9UQUxfUkVDRUlWLjk5OS4yOS8wMy8yMDI2Li4uVVNELkgBAAAAIHoFAAIAAAAHMTYyLjQ0MgEIAAAABQAAAAExAQAAAAstMTkzNDk3ODQ4MAMAAAADMTYwAgAAAAQxMDAxBAAAAAEwBwAAAAkzLzI5LzIwMjYIAAAACDYvMS8yMDI0CQAAAAEw1wqAekSN3gjVsX5+RI3eCD9DSVEuTkFTREFROkNBTE0uSVFfRklOX0RJVl9MT0FOU19DVVJSRU5ULjk5NS4yOS8wMy8yMDI2Li4uVVNELkgBAAAAIHoFAAMAAAAAALVYgHpEjd4IVzx+fkSN3ghAQ0lRLk5BU0RBUTpDQUxNLklRX0RFRl9UQVhfQVNTRVRTX0NVUlJFTlQuOTk1LjI5LzAzLzIwMjYuLi5VU0QuSAEAAAAgegUAAwAAAAAA2X+AekSN3ggO2n1+RI3eCCxDSVEuTkFTREFROkNBTE0uSVFfQUQu</t>
  </si>
  <si>
    <t>OTk0LjI5LzAzLzIwMjYuLi5VU0QuSAEAAAAgegUAAgAAAAgtNTU1LjYzOAEIAAAABQAAAAExAQAAAAstMjE0MjQyOTAzOQMAAAADMTYwAgAAAAQxMDc1BAAAAAEwBwAAAAkzLzI5LzIwMjYIAAAACDYvMS8yMDE5CQAAAAEw2X+AekSN3gjgZH1+RI3eCCxDSVEuTkFTREFROkNBTE0uSVFfR1cuOTk0LjI5LzAzLzIwMjYuLi5VU0QuSAEAAAAgegUAAgAAAAYzNS41MjUBCAAAAAUAAAABMQEAAAALLTIxNDI0MjkwMzkDAAAAAzE2MAIAAAAEMTE3MQQAAAABMAcAAAAJMy8yOS8yMDI2CAAAAAg2LzEvMjAxOQkAAAABMNl/gHpEjd4I7T19fkSN3gg3Q0lRLk5BU0RBUTpDQUxNLklRX0RPX0lOVkVTVF9DRi4xMDAwLjI5LzAzLzIwMjYuLi5VU0QuSAEAAAAgegUAAwAAAAAAjYF/ekSN3giKRYB+RI3eCEJDSVEuTkFTREFROkNBTE0uSVFfT1BFUkFUSU5HX0xFQVNFX1BBWU1FTlRTLjk5OS4yOS8wMy8yMDI2Li4uVVNELkgBAAAAIHoFAAMAAAAAAI2Bf3pEjd4IlPd/fkSN3ghLQ0lRLk5BU0RBUTpDQUxNLklRX0xPTkdfVEVSTV9ERUJUX1JFUEFJRF9FWENMX0xFQVNFUy45OTMuMjkvMDMvMjAyNi4uLlVTRC5IAQAAACB6BQACAAAABi00Ljg0OQEIAAAABQAAAAExAQAAAAoyMDQ1NzQ5MzEwAwAAAAMxNjACAAAABTQ4OTg0BAAAAAEwBwAAAAkzLzI5LzIwMjYIAAAACDYvMi8yMDE4CQAAAAEwjYF/ekSN3ghj0H9+RI3e</t>
  </si>
  <si>
    <t>CDRDSVEuTkFTREFROkNBTE0uSVFfQ0FTSF9FUVVJVi45OTMuMjkvMDMvMjAyNi4uLlVTRC5IAQAAACB6BQACAAAABjQ4LjQzMQEIAAAABQAAAAExAQAAAAoyMDQ1NzQ5MzEwAwAAAAMxNjACAAAABDEwOTYEAAAAATAHAAAACTMvMjkvMjAyNggAAAAINi8yLzIwMTgJAAAAATCNgX96RI3eCCJ1f35Ejd4INkNJUS5OQVNEQVE6Q0FMTS5JUV9PVEhFUl9SRUNFSVYuOTk0LjI5LzAzLzIwMjYuLi5VU0QuSAEAAAAgegUAAgAAAAYxNC43MDEBCAAAAAUAAAABMQEAAAALLTIxNDI0MjkwMzkDAAAAAzE2MAIAAAAEMTIwNgQAAAABMAcAAAAJMy8yOS8yMDI2CAAAAAg2LzEvMjAxOQkAAAABMI2Bf3pEjd4I/Nh+fkSN3gg3Q0lRLk5BU0RBUTpDQUxNLklRX0NBU0hfSU5URVJFU1QuOTk1LjI5LzAzLzIwMjYuLi5VU0QuSAEAAAAgegUAAgAAAAUwLjQ5OAEIAAAABQAAAAExAQAAAAstMjA4ODM0NzQ2OQMAAAADMTYwAgAAAAQzMDI4BAAAAAEwBwAAAAkzLzI5LzIwMjYIAAAACTUvMzAvMjAyMAkAAAABMBtZf3pEjd4IdgeCfkSN3gg9Q0lRLk5BU0RBUTpDQUxNLklRX0NBU0hfSU5URVJFU1RfRklOQU4uOTk2LjI5LzAzLzIwMjYuLi5VU0QuSAEAAAAgegUAAwAAAAAAG1l/ekSN3ggra4F+RI3eCDtDSVEuTkFTREFROkNBTE0uSVFfQ0FTSF9UQVhFU19JTlZFU1QuOTkzLjI5LzAzLzIwMjYuLi5VU0QuSAEAAAAgegUAAwAA</t>
  </si>
  <si>
    <t>AAAAjYF/ekSN3ghFRIF+RI3eCDVDSVEuTkFTREFROkNBTE0uSVFfTEVWRVJFRF9GQ0YuOTk2LjI5LzAzLzIwMjYuLi5VU0QuSAEAAAAgegUAAgAAAAstMTA5Ljk1MjM3NQEIAAAABQAAAAExAQAAAAstMjAzNzI0MTcyMQMAAAADMTYwAgAAAAQ0NDIyBAAAAAEwBwAAAAkzLzI5LzIwMjYIAAAACTUvMjkvMjAyMQkAAAABMI2Bf3pEjd4IzbqAfkSN3gg5Q0lRLk5BU0RBUTpDQUxNLklRX05FVF9ERUJUX0lTU1VFRC45OTMuMjkvMDMvMjAyNi4uLlVTRC5IAQAAACB6BQACAAAABi00Ljg0OQEIAAAABQAAAAExAQAAAAoyMDQ1NzQ5MzEwAwAAAAMxNjACAAAABDIwMDMEAAAAATAHAAAACTMvMjkvMjAyNggAAAAINi8yLzIwMTgJAAAAATCNgX96RI3eCMlsgH5Ejd4IM0NJUS5OQVNEQVE6Q0FMTS5JUV9SVUFfR1JPU1MuOTk5LjI5LzAzLzIwMjYuLi5VU0QuSAEAAAAgegUAAwAAAAAAluAsekSN3gg2JHh+RI3eCEBDSVEuTkFTREFROkNBTE0uSVFfRklOQU5DRV9MRUFTRVNfQ1VSUkVOVC45OTUuMjkvMDMvMjAyNi4uLlVTRC5IAQAAACB6BQACAAAABTAuMjA1AQgAAAAFAAAAATEBAAAACy0yMDg4MzQ3NDY5AwAAAAMxNjACAAAABTQ4OTkwBAAAAAEwBwAAAAkzLzI5LzIwMjYIAAAACTUvMzAvMjAyMAkAAAABMLoHLXpEjd4I+ft2fkSN3gg1Q0lRLk5BU0RBUTpDQUxNLklRX1dPUktJTkdfQ0FQLjk5NS4yOS8wMy8y</t>
  </si>
  <si>
    <t>MDI2Li4uVVNELkgBAAAAIHoFAAIAAAAHNDI5LjA2OAEIAAAABQAAAAExAQAAAAstMjA4ODM0NzQ2OQMAAAADMTYwAgAAAAQ0MTY1BAAAAAEwBwAAAAkzLzI5LzIwMjYIAAAACTUvMzAvMjAyMAkAAAABMMEuLXpEjd4Ixzt0fkSN3ghIQ0lRLk5BU0RBUTpDQUxNLklRX1RPVEFMX0dFTkVSQUxfUEFSVE5FUl9JTlRFUkVTVC45OTUuMjkvMDMvMjAyNi4uLlVTRC5IAQAAACB6BQADAAAAAACiaS16RI3eCJlUcX5Ejd4IQkNJUS5OQVNEQVE6Q0FMTS5JUV9BTU9SVF9TT0ZUV0FSRV9BU1NFVFNfQ0YuOTk2LjI5LzAzLzIwMjYuLi5VU0QuSAEAAAAgegUAAwAAAAAApjGAekSN3giHLoJ+RI3eCDlDSVEuTkFTREFROkNBTE0uSVFfTE9BTlNfUkVDRUlWX0xULjk5Ny4yOS8wMy8yMDI2Li4uVVNELkgBAAAAIHoFAAMAAAAAANl/gHpEjd4IiZJ8fkSN3gg5Q0lRLk5BU0RBUTpDQUxNLklRX09USEVSX0xUX0FTU0VUUy45OTcuMjkvMDMvMjAyNi4uLlVTRC5IAQAAACB6BQACAAAABTYuNzU1AQgAAAAFAAAAATEBAAAACy0xOTg2NzA4NDMzAwAAAAMxNjACAAAABDEwNjAEAAAAATAHAAAACTMvMjkvMjAyNggAAAAJNS8yOC8yMDIyCQAAAAEw2X+AekSN3ghnRHx+RI3eCCxDSVEuTkFTREFROkNBTE0uSVFfQUUuOTkzLjI5LzAzLzIwMjYuLi5VU0QuSAEAAAAgegUAAgAAAAYzMS45MjMBCAAAAAUAAAABMQEAAAAKMjA0NTc0</t>
  </si>
  <si>
    <t>OTMxMAMAAAADMTYwAgAAAAQxMDE2BAAAAAEwBwAAAAkzLzI5LzIwMjYIAAAACDYvMi8yMDE4CQAAAAEw2X+AekSN3ghc9nt+RI3eCD1DSVEuTkFTREFROkNBTE0uSVFfQ1VSUkVOVF9QT1JUX0xFQVNFUy45OTguMjkvMDMvMjAyNi4uLlVTRC5IAQAAACB6BQADAAAAAADZf4B6RI3eCBGBe35Ejd4IPENJUS5OQVNEQVE6Q0FMTS5JUV9VTkVBUk5fUkVWX0NVUlJFTlQuOTk0LjI5LzAzLzIwMjYuLi5VU0QuSAEAAAAgegUAAwAAAAAADaeAekSN3givMnt+RI3eCD9DSVEuTkFTREFROkNBTE0uSVFfRklOX0RJVl9MT0FOU19DVVJSRU5ULjk5Ni4yOS8wMy8yMDI2Li4uVVNELkgBAAAAIHoFAAMAAAAAALVYgHpEjd4IbmN+fkSN3gg4Q0lRLk5BU0RBUTpDQUxNLklRX09USEVSX0NBX1NVUFBMLjk5My4yOS8wMy8yMDI2Li4uVVNELkgBAAAAIHoFAAMAAAAAANl/gHpEjd4IDrN9fkSN3ggsQ0lRLk5BU0RBUTpDQUxNLklRX0FELjk5NS4yOS8wMy8yMDI2Li4uVVNELkgBAAAAIHoFAAIAAAAILTU4NS4yOTEBCAAAAAUAAAABMQEAAAALLTIwODgzNDc0NjkDAAAAAzE2MAIAAAAEMTA3NQQAAAABMAcAAAAJMy8yOS8yMDI2CAAAAAk1LzMwLzIwMjAJAAAAATDZf4B6RI3eCOBkfX5Ejd4IM0NJUS5OQVNEQVE6Q0FMTS5JUV9MVF9JTlZFU1QuOTk3LjI5LzAzLzIwMjYuLi5VU0QuSAEAAAAgegUAAgAAAAYxOS4yODIBCAAA</t>
  </si>
  <si>
    <t>AAUAAAABMQEAAAALLTE5ODY3MDg0MzMDAAAAAzE2MAIAAAAEMTA1NAQAAAABMAcAAAAJMy8yOS8yMDI2CAAAAAk1LzI4LzIwMjIJAAAAATDZf4B6RI3eCO09fX5Ejd4IOkNJUS5OQVNEQVE6Q0FMTS5JUV9GSU5fRElWX0xPQU5TX0xULjk5OC4yOS8wMy8yMDI2Li4uVVNELkgBAAAAIHoFAAMAAAAAANl/gHpEjd4I2u98fkSN3ghLQ0lRLk5BU0RBUTpDQUxNLklRX0xPTkdfVEVSTV9ERUJUX1JFUEFJRF9FWENMX0xFQVNFUy45OTQuMjkvMDMvMjAyNi4uLlVTRC5IAQAAACB6BQACAAAABi0zLjc1NAEIAAAABQAAAAExAQAAAAstMjE0MjQyOTAzOQMAAAADMTYwAgAAAAU0ODk4NAQAAAABMAcAAAAJMy8yOS8yMDI2CAAAAAg2LzEvMjAxOQkAAAABMI2Bf3pEjd4IY9B/fkSN3gg9Q0lRLk5BU0RBUTpDQUxNLklRX0dBSU5fQkFSR0FJTl9BQ1FfQ0YuOTkzLjI5LzAzLzIwMjYuLi5VU0QuSAEAAAAgegUAAwAAAAAAjYF/ekSN3gg6nH9+RI3eCDRDSVEuTkFTREFROkNBTE0uSVFfQ0FTSF9FUVVJVi45OTQuMjkvMDMvMjAyNi4uLlVTRC5IAQAAACB6BQACAAAABjY5LjI0NwEIAAAABQAAAAExAQAAAAstMjE0MjQyOTAzOQMAAAADMTYwAgAAAAQxMDk2BAAAAAEwBwAAAAkzLzI5LzIwMjYIAAAACDYvMS8yMDE5CQAAAAEwjYF/ekSN3ggidX9+RI3eCDZDSVEuTkFTREFROkNBTE0uSVFfT1RIRVJfUkVDRUlWLjk5NS4y</t>
  </si>
  <si>
    <t>OS8wMy8yMDI2Li4uVVNELkgBAAAAIHoFAAIAAAAGMTMuMzk5AQgAAAAFAAAAATEBAAAACy0yMDg4MzQ3NDY5AwAAAAMxNjACAAAABDEyMDYEAAAAATAHAAAACTMvMjkvMjAyNggAAAAJNS8zMC8yMDIwCQAAAAEwjYF/ekSN3gj82H5+RI3eCDdDSVEuTkFTREFROkNBTE0uSVFfVE9UQUxfUkVDRUlWLjEwMDAuMjkvMDMvMjAyNi4uLlVTRC5IAQAAACB6BQACAAAABzI3Mi4zNjEBCAAAAAUAAAABMQEAAAALLTE5MzQ5NzgzODEDAAAAAzE2MAIAAAAEMTAwMQQAAAABMAcAAAAJMy8yOS8yMDI2CAAAAAk1LzMxLzIwMjUJAAAAATDXCoB6RI3eCNWxfn5Ejd4IOUNJUS5OQVNEQVE6Q0FMTS5JUV9DQVNIX1RBWEVTX09QRVIuOTk2LjI5LzAzLzIwMjYuLi5VU0QuSAEAAAAgegUAAwAAAAAAjYF/ekSN3ghFRIF+RI3eCDVDSVEuTkFTREFROkNBTE0uSVFfTEVWRVJFRF9GQ0YuOTk3LjI5LzAzLzIwMjYuLi5VU0QuSAEAAAAgegUAAgAAAAk0NS4yMjI2MjUBCAAAAAUAAAABMQEAAAALLTE5ODY3MDg0MzMDAAAAAzE2MAIAAAAENDQyMgQAAAABMAcAAAAJMy8yOS8yMDI2CAAAAAk1LzI4LzIwMjIJAAAAATCNgX96RI3eCM26gH5Ejd4IOUNJUS5OQVNEQVE6Q0FMTS5JUV9ORVRfREVCVF9JU1NVRUQuOTk0LjI5LzAzLzIwMjYuLi5VU0QuSAEAAAAgegUAAgAAAAYtMy43NTQBCAAAAAUAAAABMQEAAAALLTIxNDI0MjkwMzkD</t>
  </si>
  <si>
    <t>AAAAAzE2MAIAAAAEMjAwMwQAAAABMAcAAAAJMy8yOS8yMDI2CAAAAAg2LzEvMjAxOQkAAAABMI2Bf3pEjd4IyZOAfkSN3gg2Q0lRLk5BU0RBUTpDQUxNLklRX0RPX0lOVkVTVF9DRi45OTMuMjkvMDMvMjAyNi4uLlVTRC5IAQAAACB6BQADAAAAAACNgX96RI3eCIpFgH5Ejd4IQ0NJUS5OQVNEQVE6Q0FMTS5JUV9PUEVSQVRJTkdfTEVBU0VfUEFZTUVOVFMuMTAwMC4yOS8wMy8yMDI2Li4uVVNELkgBAAAAIHoFAAMAAAAAAI2Bf3pEjd4IlPd/fkSN3gg0Q0lRLk5BU0RBUTpDQUxNLklRX0RFUFJFX1NVUFAuOTk3LjI5LzAzLzIwMjYuLi5VU0QuSAEAAAAgegUAAgAAAAQ2NS44AQgAAAAFAAAAATEBAAAACy0xOTg2NzA4NDMzAwAAAAMxNjACAAAABDIxNDMEAAAAATAHAAAACTMvMjkvMjAyNggAAAAJNS8yOC8yMDIyCQAAAAEwpjGAekSN3ggkNYN+RI3eCDFDSVEuTkFTREFROkNBTE0uSVFfREVQX1JVQS45OTQuMjkvMDMvMjAyNi4uLlVTRC5IAQAAACB6BQADAAAAAACmMYB6RI3eCPHSgn5Ejd4IQkNJUS5OQVNEQVE6Q0FMTS5JUV9BTU9SVF9TT0ZUV0FSRV9BU1NFVFNfQ0YuOTk3LjI5LzAzLzIwMjYuLi5VU0QuSAEAAAAgegUAAwAAAAAApjGAekSN3giZVYJ+RI3eCDdDSVEuTkFTREFROkNBTE0uSVFfQ0FTSF9JTlRFUkVTVC45OTYuMjkvMDMvMjAyNi4uLlVTRC5IAQAAACB6BQACAAAABTAuNTA4AQgAAAAF</t>
  </si>
  <si>
    <t>AAAAATEBAAAACy0yMDM3MjQxNzIxAwAAAAMxNjACAAAABDMwMjgEAAAAATAHAAAACTMvMjkvMjAyNggAAAAJNS8yOS8yMDIxCQAAAAEwG1l/ekSN3gh2B4J+RI3eCD1DSVEuTkFTREFROkNBTE0uSVFfQ0FTSF9JTlRFUkVTVF9GSU5BTi45OTcuMjkvMDMvMjAyNi4uLlVTRC5IAQAAACB6BQADAAAAAAAbWX96RI3eCFmSgX5Ejd4IO0NJUS5OQVNEQVE6Q0FMTS5JUV9UT1RBTF9ERUJUX1JFUEFJRC45OTUuMjkvMDMvMjAyNi4uLlVTRC5IAQAAACB6BQACAAAABi0xLjY5NgEIAAAABQAAAAExAQAAAAstMjA4ODM0NzQ2OQMAAAADMTYwAgAAAAQyMTY2BAAAAAEwBwAAAAkzLzI5LzIwMjYIAAAACTUvMzAvMjAyMAkAAAABMNcKgHpEjd4InweFfkSN3gg0Q0lRLk5BU0RBUTpDQUxNLklRX0NPTU1PTl9SRVAuOTk2LjI5LzAzLzIwMjYuLi5VU0QuSAEAAAAgegUAAgAAAAYtMC44NzEBCAAAAAUAAAABMQEAAAALLTIwMzcyNDE3MjEDAAAAAzE2MAIAAAAEMjE2NAQAAAABMAcAAAAJMy8yOS8yMDI2CAAAAAk1LzI5LzIwMjEJAAAAATDXCoB6RI3eCGnghH5Ejd4IN0NJUS5OQVNEQVE6Q0FMTS5JUV9DT01NT05fRElWX0NGLjk5My4yOS8wMy8yMDI2Li4uVVNELkgBAAAAIHoFAAMAAAAAANcKgHpEjd4IP5KEfkSN3gg8Q0lRLk5BU0RBUTpDQUxNLklRX0NPTU1PTl9QUkVGX0RJVl9DRi45OTQuMjkvMDMvMjAyNi4uLlVT</t>
  </si>
  <si>
    <t>RC5IAQAAACB6BQADAAAAAADXCoB6RI3eCDtrhH5Ejd4IOENJUS5OQVNEQVE6Q0FMTS5JUV9TUEVDSUFMX0RJVl9DRi45OTQuMjkvMDMvMjAyNi4uLlVTRC5IAQAAACB6BQADAAAAAADXCoB6RI3eCCsJhH5Ejd4IM0NJUS5OQVNEQVE6Q0FMTS5JUV9DQVNIX09QRVIuOTkzLjI5LzAzLzIwMjYuLi5VU0QuSAEAAAAgegUAAgAAAAcyMDAuNDE1AQgAAAAFAAAAATEBAAAACjIwNDU3NDkzMTADAAAAAzE2MAIAAAAEMjAwNgQAAAABMAcAAAAJMy8yOS8yMDI2CAAAAAg2LzIvMjAxOAkAAAABMIvjf3pEjd4IZ8mGfkSN3gg1Q0lRLk5BU0RBUTpDQUxNLklRX1NBTEVfUFBFX0NGLjk5Ni4yOS8wMy8yMDI2Li4uVVNELkgBAAAAIHoFAAIAAAAEMy4zOQEIAAAABQAAAAExAQAAAAstMjAzNzI0MTcyMQMAAAADMTYwAgAAAAQyMDQyBAAAAAEwBwAAAAkzLzI5LzIwMjYIAAAACTUvMjkvMjAyMQkAAAABMIvjf3pEjd4IWKKGfkSN3gg1Q0lRLk5BU0RBUTpDQUxNLklRX0NBU0hfSU5WRVNULjk5My4yOS8wMy8yMDI2Li4uVVNELkgBAAAAIHoFAAIAAAAHLTE2My44NQEIAAAABQAAAAExAQAAAAoyMDQ1NzQ5MzEwAwAAAAMxNjACAAAABDIwMDUEAAAAATAHAAAACTMvMjkvMjAyNggAAAAINi8yLzIwMTgJAAAAATDXCoB6RI3eCJC3hX5Ejd4IOENJUS5OQVNEQVE6Q0FMTS5JUV9MVF9ERUJUX0lTU1VFRC45OTQuMjkvMDMvMjAy</t>
  </si>
  <si>
    <t>Ni4uLlVTRC5IAQAAACB6BQADAAAAAADXCoB6RI3eCLp8hX5Ejd4IOENJUS5OQVNEQVE6Q0FMTS5JUV9TVF9ERUJUX1JFUEFJRC45OTUuMjkvMDMvMjAyNi4uLlVTRC5IAQAAACB6BQADAAAAAADXCoB6RI3eCH0uhX5Ejd4IMkNJUS5OQVNEQVE6Q0FMTS5JUV9MT0FOU19DRi45OTguMjkvMDMvMjAyNi4uLlVTRC5IAQAAACB6BQADAAAAAACL4396RI3eCD5/iH5Ejd4IPUNJUS5OQVNEQVE6Q0FMTS5JUV9UQVhfQkVORUZJVF9PUFRJT05TLjk5NS4yOS8wMy8yMDI2Li4uVVNELkgBAAAAIHoFAAMAAAAAAIvjf3pEjd4I9OKHfkSN3ggvQ0lRLk5BU0RBUTpDQUxNLklRX0RPX0NGLjk5OC4yOS8wMy8yMDI2Li4uVVNELkgBAAAAIHoFAAMAAAAAAIvjf3pEjd4I57uHfkSN3gg6Q0lRLk5BU0RBUTpDQUxNLklRX0NIQU5HRV9JTlZFTlRPUlkuOTk0LjI5LzAzLzIwMjYuLi5VU0QuSAEAAAAgegUAAgAAAAYtMi4yODUBCAAAAAUAAAABMQEAAAALLTIxNDI0MjkwMzkDAAAAAzE2MAIAAAAEMjA5OQQAAAABMAcAAAAJMy8yOS8yMDI2CAAAAAg2LzEvMjAxOQkAAAABMIvjf3pEjd4Im22HfkSN3gg7Q0lRLk5BU0RBUTpDQUxNLklRX0NIQU5HRV9VTkVBUk5fUkVWLjk5Ny4yOS8wMy8yMDI2Li4uVVNELkgBAAAAIHoFAAMAAAAAAIvjf3pEjd4Ioz6HfkSN3gg+Q0lRLk5BU0RBUTpDQUxNLklRX1NUT0NLX0JBU0VEX0NPTVBf</t>
  </si>
  <si>
    <t>VEFYLjk5Ni4yOS8wMy8yMDI2Li4uVVNELkgBAAAAIHoFAAMAAAAAAEi8f3pEjd4IysuJfkSN3gg1Q0lRLk5BU0RBUTpDQUxNLklRX0RBX1NVUFBMX0NGLjk5Ni4yOS8wMy8yMDI2Li4uVVNELkgBAAAAIHoFAAIAAAAGNTkuNDc3AQgAAAAFAAAAATEBAAAACy0yMDM3MjQxNzIxAwAAAAMxNjACAAAABDIxNzEEAAAAATAHAAAACTMvMjkvMjAyNggAAAAJNS8yOS8yMDIxCQAAAAEwSLx/ekSN3gjhfYl+RI3eCDVDSVEuTkFTREFROkNBTE0uSVFfT0lMX0lNUEFJUi4xMDAwLjI5LzAzLzIwMjYuLi5VU0QuSAEAAAAgegUAAwAAAAAASLx/ekSN3gjMVol+RI3eCDVDSVEuTkFTREFROkNBTE0uSVFfT1RIRVJfQU1PUlQuOTk0LjI5LzAzLzIwMjYuLi5VU0QuSAEAAAAgegUAAwAAAAAASLx/ekSN3giXCIl+RI3eCDhDSVEuTkFTREFROkNBTE0uSVFfR0FJTl9BU1NFVFNfQ0YuOTk4LjI5LzAzLzIwMjYuLi5VU0QuSAEAAAAgegUAAwAAAAAASLx/ekSN3gg24Yh+RI3eCD9DSVEuTkFTREFROkNBTE0uSVFfTlBQRV9FWENMX09QRVJfTEVBU0VTLjk5My4yOS8wMy8yMDI2Li4uVVNELkgBAAAAIHoFAAIAAAAHNDI1LjM4NAEIAAAABQAAAAExAQAAAAoyMDQ1NzQ5MzEwAwAAAAMxNjACAAAABTQ4OTc2BAAAAAEwBwAAAAkzLzI5LzIwMjYIAAAACDYvMi8yMDE4CQAAAAEwugctekSN3gj5+3Z+RI3eCEVDSVEuTkFTREFROkNB</t>
  </si>
  <si>
    <t>TE0uSVFfR0VORVJBTF9QQVJUTkVSX1BSRUZfRVFVSVRZLjk5NC4yOS8wMy8yMDI2Li4uVVNELkgBAAAAIHoFAAMAAAAAAKJpLXpEjd4Ij3txfkSN3gg8Q0lRLk5BU0RBUTpDQUxNLklRX1NUT0NLX0JBU0VEX1RPVEFMLjEwMDAuMjkvMDMvMjAyNi4uLlVTRC5IAQAAACB6BQACAAAABTQuNTI3AQgAAAAFAAAAATEBAAAACy0xOTM0OTc4MzgxAwAAAAMxNjACAAAABTI0MDM0BAAAAAEwBwAAAAkzLzI5LzIwMjYIAAAACTUvMzEvMjAyNQkAAAABMEi8f3pEjd4IRsqKfkSN3gg+Q0lRLk5BU0RBUTpDQUxNLklRX1JFU1RSX1NUT0NLX0NPTVBfVEFYLjk5NC4yOS8wMy8yMDI2Li4uVVNELkgBAAAAIHoFAAMAAAAAAEi8f3pEjd4IvFSKfkSN3ghDQ0lRLk5BU0RBUTpDQUxNLklRX1NUT0NLX09QVElPTlNfQ09NUF9QUkVUQVguOTk4LjI5LzAzLzIwMjYuLi5VU0QuSAEAAAAgegUAAwAAAAAASLx/ekSN3gjgGYp+RI3eCDlDSVEuTkFTREFROkNBTE0uSVFfT1RIRVJfTFRfQVNTRVRTLjk5OC4yOS8wMy8yMDI2Li4uVVNELkgBAAAAIHoFAAIAAAAGMTAuNzA4AQgAAAAFAAAAATEBAAAACy0xOTM0OTc4NDIwAwAAAAMxNjACAAAABDEwNjAEAAAAATAHAAAACTMvMjkvMjAyNggAAAAINi8zLzIwMjMJAAAAATDZf4B6RI3eCGdEfH5Ejd4ILENJUS5OQVNEQVE6Q0FMTS5JUV9BRS45OTYuMjkvMDMvMjAyNi4uLlVTRC5IAQAA</t>
  </si>
  <si>
    <t>ACB6BQACAAAABjM2LjQwNwEIAAAABQAAAAExAQAAAAstMjAzNzI0MTcyMQMAAAADMTYwAgAAAAQxMDE2BAAAAAEwBwAAAAkzLzI5LzIwMjYIAAAACTUvMjkvMjAyMQkAAAABMNl/gHpEjd4IXPZ7fkSN3gg8Q0lRLk5BU0RBUTpDQUxNLklRX1VORUFSTl9SRVZfQ1VSUkVOVC45OTguMjkvMDMvMjAyNi4uLlVTRC5IAQAAACB6BQADAAAAAAANp4B6RI3eCK8ye35Ejd4IMUNJUS5OQVNEQVE6Q0FMTS5JUV9MVF9ERUJULjk5Ni4yOS8wMy8yMDI2Li4uVVNELkgBAAAAIHoFAAMAAAAAAA2ngHpEjd4IXKl6fkSN3gg5Q0lRLk5BU0RBUTpDQUxNLklRX0RFRl9UQVhfTElBQl9MVC45OTguMjkvMDMvMjAyNi4uLlVTRC5IAQAAACB6BQACAAAABzE1Mi4yMTIBCAAAAAUAAAABMQEAAAALLTE5MzQ5Nzg0MjADAAAAAzE2MAIAAAAEMTAyNwQAAAABMAcAAAAJMy8yOS8yMDI2CAAAAAg2LzMvMjAyMwkAAAABMA2ngHpEjd4INQ16fkSN3gg4Q0lRLk5BU0RBUTpDQUxNLklRX09USEVSX0NBX1NVUFBMLjk5NC4yOS8wMy8yMDI2Li4uVVNELkgBAAAAIHoFAAMAAAAAANl/gHpEjd4IDrN9fkSN3gguQ0lRLk5BU0RBUTpDQUxNLklRX0dQUEUuOTk5LjI5LzAzLzIwMjYuLi5VU0QuSAEAAAAgegUAAgAAAAgxNjYyLjE3NAEIAAAABQAAAAExAQAAAAstMTkzNDk3ODQ4MAMAAAADMTYwAgAAAAQxMTY5BAAAAAEwBwAAAAkzLzI5LzIw</t>
  </si>
  <si>
    <t>MjYIAAAACDYvMS8yMDI0CQAAAAEw2X+AekSN3ggPjH1+RI3eCDNDSVEuTkFTREFROkNBTE0uSVFfTFRfSU5WRVNULjk5OC4yOS8wMy8yMDI2Li4uVVNELkgBAAAAIHoFAAIAAAAGMTQuNDQ5AQgAAAAFAAAAATEBAAAACy0xOTM0OTc4NDIwAwAAAAMxNjACAAAABDEwNTQEAAAAATAHAAAACTMvMjkvMjAyNggAAAAINi8zLzIwMjMJAAAAATDZf4B6RI3eCO09fX5Ejd4IOkNJUS5OQVNEQVE6Q0FMTS5JUV9GSU5fRElWX0xPQU5TX0xULjk5OS4yOS8wMy8yMDI2Li4uVVNELkgBAAAAIHoFAAMAAAAAANl/gHpEjd4I2u98fkSN3gg5Q0lRLk5BU0RBUTpDQUxNLklRX0xPQU5TX1JFQ0VJVl9MVC45OTkuMjkvMDMvMjAyNi4uLlVTRC5IAQAAACB6BQADAAAAAADZf4B6RI3eCImSfH5Ejd4IPUNJUS5OQVNEQVE6Q0FMTS5JUV9HQUlOX0JBUkdBSU5fQUNRX0NGLjk5NC4yOS8wMy8yMDI2Li4uVVNELkgBAAAAIHoFAAMAAAAAAI2Bf3pEjd4IOpx/fkSN3gg0Q0lRLk5BU0RBUTpDQUxNLklRX0NBU0hfRVFVSVYuOTk1LjI5LzAzLzIwMjYuLi5VU0QuSAEAAAAgegUAAgAAAAU3OC4xMwEIAAAABQAAAAExAQAAAAstMjA4ODM0NzQ2OQMAAAADMTYwAgAAAAQxMDk2BAAAAAEwBwAAAAkzLzI5LzIwMjYIAAAACTUvMzAvMjAyMAkAAAABMI2Bf3pEjd4IInV/fkSN3gg4Q0lRLk5BU0RBUTpDQUxNLklRX1RSQURJTkdfQVNTRVRT</t>
  </si>
  <si>
    <t>Ljk5My4yOS8wMy8yMDI2Li4uVVNELkgBAAAAIHoFAAMAAAAAAI2Bf3pEjd4I/SZ/fkSN3ggsQ0lRLk5BU0RBUTpDQUxNLklRX0FSLjk5OS4yOS8wMy8yMDI2Li4uVVNELkgBAAAAIHoFAAIAAAAGMTM4LjU1AQgAAAAFAAAAATEBAAAACy0xOTM0OTc4NDgwAwAAAAMxNjACAAAABDEwMjEEAAAAATAHAAAACTMvMjkvMjAyNggAAAAINi8xLzIwMjQJAAAAATCNgX96RI3eCNL/fn5Ejd4INUNJUS5OQVNEQVE6Q0FMTS5JUV9QUkVQQUlEX0VYUC45OTkuMjkvMDMvMjAyNi4uLlVTRC5IAQAAACB6BQACAAAABTUuMjM4AQgAAAAFAAAAATEBAAAACy0xOTM0OTc4NDgwAwAAAAMxNjACAAAABDEyMTIEAAAAATAHAAAACTMvMjkvMjAyNggAAAAINi8xLzIwMjQJAAAAATC1WIB6RI3eCG5jfn5Ejd4IPUNJUS5OQVNEQVE6Q0FMTS5JUV9DQVNIX0lOVEVSRVNUX0ZJTkFOLjk5OC4yOS8wMy8yMDI2Li4uVVNELkgBAAAAIHoFAAMAAAAAABtZf3pEjd4IWZKBfkSN3gg5Q0lRLk5BU0RBUTpDQUxNLklRX0NBU0hfVEFYRVNfT1BFUi45OTcuMjkvMDMvMjAyNi4uLlVTRC5IAQAAACB6BQADAAAAAACNgX96RI3eCCtrgX5Ejd4IMkNJUS5OQVNEQVE6Q0FMTS5JUV9DRl9TSEFSRS45OTcuMjkvMDMvMjAyNi4uLlVTRC5IAQAAACB6BQACAAAACDEuMTA3NjM0AQgAAAAFAAAAATEBAAAACy0xOTg2NzA4NDMzAwAAAAMxNjACAAAABTQz</t>
  </si>
  <si>
    <t>OTIzBAAAAAEwBwAAAAkzLzI5LzIwMjYIAAAACTUvMjgvMjAyMgkAAAABMI2Bf3pEjd4IyZOAfkSN3gg2Q0lRLk5BU0RBUTpDQUxNLklRX0RPX0lOVkVTVF9DRi45OTQuMjkvMDMvMjAyNi4uLlVTRC5IAQAAACB6BQADAAAAAACNgX96RI3eCIpFgH5Ejd4IS0NJUS5OQVNEQVE6Q0FMTS5JUV9MT05HX1RFUk1fREVCVF9SRVBBSURfRVhDTF9MRUFTRVMuOTk1LjI5LzAzLzIwMjYuLi5VU0QuSAEAAAAgegUAAgAAAAYtMS42OTYBCAAAAAUAAAABMQEAAAALLTIwODgzNDc0NjkDAAAAAzE2MAIAAAAFNDg5ODQEAAAAATAHAAAACTMvMjkvMjAyNggAAAAJNS8zMC8yMDIwCQAAAAEwjYF/ekSN3ghj0H9+RI3eCDhDSVEuTkFTREFROkNBTE0uSVFfTUlTQ19BREpVU1RfQ0YuOTkzLjI5LzAzLzIwMjYuLi5VU0QuSAEAAAAgegUAAwAAAAAApjGAekSN3gj0k4N+RI3eCERDSVEuTkFTREFROkNBTE0uSVFfR1dfSU5UQU5fQU1PUlRfUEFSVElBTF9DRi4xMDAwLjI5LzAzLzIwMjYuLi5VU0QuSAEAAAAgegUAAwAAAAAApjGAekSN3ggkNYN+RI3eCDFDSVEuTkFTREFROkNBTE0uSVFfREVQX1JVQS45OTcuMjkvMDMvMjAyNi4uLlVTRC5IAQAAACB6BQADAAAAAACmMYB6RI3eCC/6gn5Ejd4IQkNJUS5OQVNEQVE6Q0FMTS5JUV9BTU9SVF9TT0ZUV0FSRV9BU1NFVFNfQ0YuOTk4LjI5LzAzLzIwMjYuLi5VU0QuSAEAAAAgegUA</t>
  </si>
  <si>
    <t>AwAAAAAApjGAekSN3giZVYJ+RI3eCDdDSVEuTkFTREFROkNBTE0uSVFfQ0FTSF9JTlRFUkVTVC45OTcuMjkvMDMvMjAyNi4uLlVTRC5IAQAAACB6BQADAAAAAAAbWX96RI3eCHYHgn5Ejd4INENJUS5OQVNEQVE6Q0FMTS5JUV9DT01NT05fUkVQLjk5Ny4yOS8wMy8yMDI2Li4uVVNELkgBAAAAIHoFAAIAAAAGLTEuMTI3AQgAAAAFAAAAATEBAAAACy0xOTg2NzA4NDMzAwAAAAMxNjACAAAABDIxNjQEAAAAATAHAAAACTMvMjkvMjAyNggAAAAJNS8yOC8yMDIyCQAAAAEw1wqAekSN3ghp4IR+RI3eCDJDSVEuTkFTREFROkNBTE0uSVFfUFJFRl9SRVAuOTk2LjI5LzAzLzIwMjYuLi5VU0QuSAEAAAAgegUAAwAAAAAA1wqAekSN3ghPuYR+RI3eCDVDSVEuTkFTREFROkNBTE0uSVFfUFJFRl9ESVZfQ0YuOTk3LjI5LzAzLzIwMjYuLi5VU0QuSAEAAAAgegUAAwAAAAAA1wqAekSN3gg7a4R+RI3eCDhDSVEuTkFTREFROkNBTE0uSVFfU1BFQ0lBTF9ESVZfQ0YuOTk1LjI5LzAzLzIwMjYuLi5VU0QuSAEAAAAgegUAAwAAAAAA1wqAekSN3ggrCYR+RI3eCDRDSVEuTkFTREFROkNBTE0uSVFfQ0FTSF9GSU5BTi45OTUuMjkvMDMvMjAyNi4uLlVTRC5IAQAAACB6BQACAAAABi0zLjM2MQEIAAAABQAAAAExAQAAAAstMjA4ODM0NzQ2OQMAAAADMTYwAgAAAAQyMDA0BAAAAAEwBwAAAAkzLzI5LzIwMjYIAAAACTUvMzAvMjAy</t>
  </si>
  <si>
    <t>MAkAAAABMKYxgHpEjd4II7uDfkSN3gg5Q0lRLk5BU0RBUTpDQUxNLklRX0lOVkVTVF9MT0FOU19DRi45OTMuMjkvMDMvMjAyNi4uLlVTRC5IAQAAACB6BQADAAAAAADXCoB6RI3eCOsFhn5Ejd4INUNJUS5OQVNEQVE6Q0FMTS5JUV9DQVNIX0lOVkVTVC45OTQuMjkvMDMvMjAyNi4uLlVTRC5IAQAAACB6BQACAAAABy00Ny44MTcBCAAAAAUAAAABMQEAAAALLTIxNDI0MjkwMzkDAAAAAzE2MAIAAAAEMjAwNQQAAAABMAcAAAAJMy8yOS8yMDI2CAAAAAg2LzEvMjAxOQkAAAABMNcKgHpEjd4IkLeFfkSN3gg4Q0lRLk5BU0RBUTpDQUxNLklRX0xUX0RFQlRfSVNTVUVELjk5NS4yOS8wMy8yMDI2Li4uVVNELkgBAAAAIHoFAAMAAAAAANcKgHpEjd4IunyFfkSN3gg4Q0lRLk5BU0RBUTpDQUxNLklRX1NUX0RFQlRfUkVQQUlELjk5Ni4yOS8wMy8yMDI2Li4uVVNELkgBAAAAIHoFAAMAAAAAANcKgHpEjd4IpVWFfkSN3gg7Q0lRLk5BU0RBUTpDQUxNLklRX1RPVEFMX0RFQlRfUkVQQUlELjk5Ni4yOS8wMy8yMDI2Li4uVVNELkgBAAAAIHoFAAIAAAAGLTAuMjA1AQgAAAAFAAAAATEBAAAACy0yMDM3MjQxNzIxAwAAAAMxNjACAAAABDIxNjYEAAAAATAHAAAACTMvMjkvMjAyNggAAAAJNS8yOS8yMDIxCQAAAAEw1wqAekSN3gifB4V+RI3eCDpDSVEuTkFTREFROkNBTE0uSVFfQ0hBTkdFX0lOVkVOVE9SWS45OTUuMjkv</t>
  </si>
  <si>
    <t>MDMvMjAyNi4uLlVTRC5IAQAAACB6BQACAAAABi05LjcwNAEIAAAABQAAAAExAQAAAAstMjA4ODM0NzQ2OQMAAAADMTYwAgAAAAQyMDk5BAAAAAEwBwAAAAkzLzI5LzIwMjYIAAAACTUvMzAvMjAyMAkAAAABMIvjf3pEjd4Im22HfkSN3gg7Q0lRLk5BU0RBUTpDQUxNLklRX0NIQU5HRV9VTkVBUk5fUkVWLjk5OC4yOS8wMy8yMDI2Li4uVVNELkgBAAAAIHoFAAMAAAAAAIvjf3pEjd4Ioz6HfkSN3ggzQ0lRLk5BU0RBUTpDQUxNLklRX0NBU0hfT1BFUi45OTQuMjkvMDMvMjAyNi4uLlVTRC5IAQAAACB6BQACAAAABzExNS4wODUBCAAAAAUAAAABMQEAAAALLTIxNDI0MjkwMzkDAAAAAzE2MAIAAAAEMjAwNgQAAAABMAcAAAAJMy8yOS8yMDI2CAAAAAg2LzEvMjAxOQkAAAABMIvjf3pEjd4IZ8mGfkSN3ggvQ0lRLk5BU0RBUTpDQUxNLklRX0NBUEVYLjk5OS4yOS8wMy8yMDI2Li4uVVNELkgBAAAAIHoFAAIAAAAILTE0Ny4xMTYBCAAAAAUAAAABMQEAAAALLTE5MzQ5Nzg0ODADAAAAAzE2MAIAAAAEMjAyMQQAAAABMAcAAAAJMy8yOS8yMDI2CAAAAAg2LzEvMjAyNAkAAAABMIvjf3pEjd4IWKKGfkSN3gg3Q0lRLk5BU0RBUTpDQUxNLklRX1NBTEVfSU5UQU5fQ0YuOTkzLjI5LzAzLzIwMjYuLi5VU0QuSAEAAAAgegUAAwAAAAAA1wqAekSN3gguLYZ+RI3eCDRDSVEuTkFTREFROkNBTE0uSVFfUFJFRl9PVEhFUi45</t>
  </si>
  <si>
    <t>OTguMjkvMDMvMjAyNi4uLlVTRC5IAQAAACB6BQADAAAAAACKuSx6RI3eCKw1eX5Ejd4IM0NJUS5OQVNEQVE6Q0FMTS5JUV9SVUFfR1JPU1MuOTk0LjI5LzAzLzIwMjYuLi5VU0QuSAEAAAAgegUAAwAAAAAAluAsekSN3ghNS3h+RI3eCD1DSVEuTkFTREFROkNBTE0uSVFfQURfRVhDTF9PUEVSX0xFQVNFUy45OTguMjkvMDMvMjAyNi4uLlVTRC5IAQAAACB6BQACAAAACC03MzkuMjE4AQgAAAAFAAAAATEBAAAACy0xOTM0OTc4NDIwAwAAAAMxNjACAAAABTQ4OTc1BAAAAAEwBwAAAAkzLzI5LzIwMjYIAAAACDYvMy8yMDIzCQAAAAEwugctekSN3ggPI3d+RI3eCEFDSVEuTkFTREFROkNBTE0uSVFfTUlOT1JJVFlfSU5URVJFU1RfVE9UQUwuOTk3LjI5LzAzLzIwMjYuLi5VU0QuSAEAAAAgegUAAgAAAAYtMC4yMDYBCAAAAAUAAAABMQEAAAALLTE5ODY3MDg0MzMDAAAAAzE2MAIAAAAEMTMxMgQAAAABMAcAAAAJMy8yOS8yMDI2CAAAAAk1LzI4LzIwMjIJAAAAATDBLi16RI3eCMxidH5Ejd4IR0NJUS5OQVNEQVE6Q0FMTS5JUV9HRU5FUkFMX1BBUlRORVJfQ09NTU9OX0VRVUlUWS45OTUuMjkvMDMvMjAyNi4uLlVTRC5IAQAAACB6BQADAAAAAACiaS16RI3eCLiicX5Ejd4INENJUS5OQVNEQVE6Q0FMTS5JUV9MVF9JTlZFU1QuMTAwMC4yOS8wMy8yMDI2Li4uVVNELkgBAAAAIHoFAAIAAAAGMTEuMDk1AQgAAAAF</t>
  </si>
  <si>
    <t>AAAAATEBAAAACy0xOTM0OTc4MzgxAwAAAAMxNjACAAAABDEwNTQEAAAAATAHAAAACTMvMjkvMjAyNggAAAAJNS8zMS8yMDI1CQAAAAEw2X+AekSN3gjtPX1+RI3eCC1DSVEuTkFTREFROkNBTE0uSVFfQVAuMTAwMC4yOS8wMy8yMDI2Li4uVVNELkgBAAAAIHoFAAIAAAAHMTAxLjAzMwEIAAAABQAAAAExAQAAAAstMTkzNDk3ODM4MQMAAAADMTYwAgAAAAQxMDE4BAAAAAEwBwAAAAkzLzI5LzIwMjYIAAAACTUvMzEvMjAyNQkAAAABMNl/gHpEjd4IXPZ7fkSN3gg9Q0lRLk5BU0RBUTpDQUxNLklRX0NVUlJFTlRfUE9SVF9MRUFTRVMuOTk0LjI5LzAzLzIwMjYuLi5VU0QuSAEAAAAgegUAAgAAAAUwLjE5NgEIAAAABQAAAAExAQAAAAstMjE0MjQyOTAzOQMAAAADMTYwAgAAAAQxMDkwBAAAAAEwBwAAAAkzLzI5LzIwMjYIAAAACDYvMS8yMDE5CQAAAAEw2X+AekSN3gizqHt+RI3eCDFDSVEuTkFTREFROkNBTE0uSVFfTFRfREVCVC45OTcuMjkvMDMvMjAyNi4uLlVTRC5IAQAAACB6BQADAAAAAAANp4B6RI3eCFypen5Ejd4IMUNJUS5OQVNEQVE6Q0FMTS5JUV9QRU5TSU9OLjk5Ny4yOS8wMy8yMDI2Li4uVVNELkgBAAAAIHoFAAMAAAAAAA2ngHpEjd4ILTR6fkSN3ggtQ0lRLk5BU0RBUTpDQUxNLklRX0FSLjEwMDAuMjkvMDMvMjAyNi4uLlVTRC5IAQAAACB6BQACAAAABzI0NC4wNzkBCAAAAAUAAAABMQEAAAAL</t>
  </si>
  <si>
    <t>LTE5MzQ5NzgzODEDAAAAAzE2MAIAAAAEMTAyMQQAAAABMAcAAAAJMy8yOS8yMDI2CAAAAAk1LzMxLzIwMjUJAAAAATCNgX96RI3eCNL/fn5Ejd4INkNJUS5OQVNEQVE6Q0FMTS5JUV9QUkVQQUlEX0VYUC4xMDAwLjI5LzAzLzIwMjYuLi5VU0QuSAEAAAAgegUAAgAAAAU2Ljk3OQEIAAAABQAAAAExAQAAAAstMTkzNDk3ODM4MQMAAAADMTYwAgAAAAQxMjEyBAAAAAEwBwAAAAkzLzI5LzIwMjYIAAAACTUvMzEvMjAyNQkAAAABMLVYgHpEjd4IbmN+fkSN3gg4Q0lRLk5BU0RBUTpDQUxNLklRX0xPQU5TX0ZPUl9TQUxFLjk5My4yOS8wMy8yMDI2Li4uVVNELkgBAAAAIHoFAAMAAAAAALVYgHpEjd4I8BR+fkSN3gg4Q0lRLk5BU0RBUTpDQUxNLklRX09USEVSX0NBX1NVUFBMLjk5NS4yOS8wMy8yMDI2Li4uVVNELkgBAAAAIHoFAAMAAAAAANl/gHpEjd4IDrN9fkSN3ggvQ0lRLk5BU0RBUTpDQUxNLklRX0dQUEUuMTAwMC4yOS8wMy8yMDI2Li4uVVNELkgBAAAAIHoFAAIAAAAIMTkwNS44MjQBCAAAAAUAAAABMQEAAAALLTE5MzQ5NzgzODEDAAAAAzE2MAIAAAAEMTE2OQQAAAABMAcAAAAJMy8yOS8yMDI2CAAAAAk1LzMxLzIwMjUJAAAAATDZf4B6RI3eCA+MfX5Ejd4IMkNJUS5OQVNEQVE6Q0FMTS5JUV9DRl9TSEFSRS45OTguMjkvMDMvMjAyNi4uLlVTRC5IAQAAACB6BQACAAAACTE0LjkzMjU5NwEIAAAABQAA</t>
  </si>
  <si>
    <t>AAExAQAAAAstMTkzNDk3ODQyMAMAAAADMTYwAgAAAAU0MzkyMwQAAAABMAcAAAAJMy8yOS8yMDI2CAAAAAg2LzMvMjAyMwkAAAABMI2Bf3pEjd4IyZOAfkSN3gg2Q0lRLk5BU0RBUTpDQUxNLklRX0RPX0lOVkVTVF9DRi45OTUuMjkvMDMvMjAyNi4uLlVTRC5IAQAAACB6BQADAAAAAACNgX96RI3eCIpFgH5Ejd4ITUNJUS5OQVNEQVE6Q0FMTS5JUV9PUEVSQVRJTkdfTEVBU0VfTElBQklMSVRJRVNfTk9OQ0FTSC45OTguMjkvMDMvMjAyNi4uLlVTRC5IAQAAACB6BQADAAAAAACNgX96RI3eCGPQf35Ejd4IPUNJUS5OQVNEQVE6Q0FMTS5JUV9HQUlOX0JBUkdBSU5fQUNRX0NGLjk5NS4yOS8wMy8yMDI2Li4uVVNELkgBAAAAIHoFAAMAAAAAAI2Bf3pEjd4IOpx/fkSN3gg4Q0lRLk5BU0RBUTpDQUxNLklRX1RSQURJTkdfQVNTRVRTLjk5NC4yOS8wMy8yMDI2Li4uVVNELkgBAAAAIHoFAAMAAAAAAI2Bf3pEjd4I/SZ/fkSN3gg3Q0lRLk5BU0RBUTpDQUxNLklRX0NBU0hfSU5URVJFU1QuOTk4LjI5LzAzLzIwMjYuLi5VU0QuSAEAAAAgegUAAwAAAAAAG1l/ekSN3gh2B4J+RI3eCDxDSVEuTkFTREFROkNBTE0uSVFfQ0FTSF9JTlRFUkVTVF9PUEVSLjk5My4yOS8wMy8yMDI2Li4uVVNELkgBAAAAIHoFAAMAAAAAABtZf3pEjd4IT7mBfkSN3gg9Q0lRLk5BU0RBUTpDQUxNLklRX0NBU0hfSU5URVJFU1RfRklOQU4u</t>
  </si>
  <si>
    <t>OTk5LjI5LzAzLzIwMjYuLi5VU0QuSAEAAAAgegUAAwAAAAAAG1l/ekSN3ghZkoF+RI3eCDlDSVEuTkFTREFROkNBTE0uSVFfQ0FTSF9UQVhFU19PUEVSLjk5OC4yOS8wMy8yMDI2Li4uVVNELkgBAAAAIHoFAAMAAAAAAI2Bf3pEjd4IK2uBfkSN3gg6Q0lRLk5BU0RBUTpDQUxNLklRX0NBU0hfVEFYRVNfRklOQU4uOTk3LjI5LzAzLzIwMjYuLi5VU0QuSAEAAAAgegUAAwAAAAAAjYF/ekSN3gjNHIF+RI3eCDtDSVEuTkFTREFROkNBTE0uSVFfVE9UQUxfRElWX1BBSURfQ0YuOTk4LjI5LzAzLzIwMjYuLi5VU0QuSAEAAAAgegUAAgAAAAgtMjUyLjI5MgEIAAAABQAAAAExAQAAAAstMTkzNDk3ODQyMAMAAAADMTYwAgAAAAQyMDIyBAAAAAEwBwAAAAkzLzI5LzIwMjYIAAAACDYvMy8yMDIzCQAAAAEw1wqAekSN3ggrCYR+RI3eCDRDSVEuTkFTREFROkNBTE0uSVFfQ0FTSF9GSU5BTi45OTYuMjkvMDMvMjAyNi4uLlVTRC5IAQAAACB6BQACAAAABi0yLjcyMwEIAAAABQAAAAExAQAAAAstMjAzNzI0MTcyMQMAAAADMTYwAgAAAAQyMDA0BAAAAAEwBwAAAAkzLzI5LzIwMjYIAAAACTUvMjkvMjAyMQkAAAABMKYxgHpEjd4INuKDfkSN3gg4Q0lRLk5BU0RBUTpDQUxNLklRX01JU0NfQURKVVNUX0NGLjk5NC4yOS8wMy8yMDI2Li4uVVNELkgBAAAAIHoFAAMAAAAAAKYxgHpEjd4I9JODfkSN3ggxQ0lRLk5BU0RBUTpD</t>
  </si>
  <si>
    <t>QUxNLklRX0RFUF9SVUEuOTk4LjI5LzAzLzIwMjYuLi5VU0QuSAEAAAAgegUAAwAAAAAApjGAekSN3ggv+oJ+RI3eCEBDSVEuTkFTREFROkNBTE0uSVFfREFfQ0ZfRVhDTF9PUEVSX0xFQVNFUy45OTUuMjkvMDMvMjAyNi4uLlVTRC5IAQAAACB6BQACAAAABjU4LjEwMwEIAAAABQAAAAExAQAAAAstMjA4ODM0NzQ2OQMAAAADMTYwAgAAAAU0ODk4NQQAAAABMAcAAAAJMy8yOS8yMDI2CAAAAAk1LzMwLzIwMjAJAAAAATCmMYB6RI3eCKl8gn5Ejd4IOENJUS5OQVNEQVE6Q0FMTS5JUV9TVF9ERUJUX1JFUEFJRC45OTcuMjkvMDMvMjAyNi4uLlVTRC5IAQAAACB6BQADAAAAAADXCoB6RI3eCKVVhX5Ejd4IO0NJUS5OQVNEQVE6Q0FMTS5JUV9UT1RBTF9ERUJUX1JFUEFJRC45OTguMjkvMDMvMjAyNi4uLlVTRC5IAQAAACB6BQACAAAABi0wLjIyNAEIAAAABQAAAAExAQAAAAstMTkzNDk3ODQyMAMAAAADMTYwAgAAAAQyMTY2BAAAAAEwBwAAAAkzLzI5LzIwMjYIAAAACDYvMy8yMDIzCQAAAAEw1wqAekSN3gifB4V+RI3eCDRDSVEuTkFTREFROkNBTE0uSVFfQ09NTU9OX1JFUC45OTguMjkvMDMvMjAyNi4uLlVTRC5IAQAAACB6BQACAAAABi0xLjY0MwEIAAAABQAAAAExAQAAAAstMTkzNDk3ODQyMAMAAAADMTYwAgAAAAQyMTY0BAAAAAEwBwAAAAkzLzI5LzIwMjYIAAAACDYvMy8yMDIzCQAAAAEw1wqAekSN3ghp</t>
  </si>
  <si>
    <t>4IR+RI3eCDJDSVEuTkFTREFROkNBTE0uSVFfUFJFRl9SRVAuOTk5LjI5LzAzLzIwMjYuLi5VU0QuSAEAAAAgegUAAwAAAAAA1wqAekSN3gg/koR+RI3eCDVDSVEuTkFTREFROkNBTE0uSVFfUFJFRl9ESVZfQ0YuOTk4LjI5LzAzLzIwMjYuLi5VU0QuSAEAAAAgegUAAwAAAAAA1wqAekSN3gg7a4R+RI3eCDBDSVEuTkFTREFROkNBTE0uSVFfQ0FQRVguMTAwMC4yOS8wMy8yMDI2Li4uVVNELkgBAAAAIHoFAAIAAAAILTE2MS4yNTUBCAAAAAUAAAABMQEAAAALLTE5MzQ5NzgzODEDAAAAAzE2MAIAAAAEMjAyMQQAAAABMAcAAAAJMy8yOS8yMDI2CAAAAAk1LzMxLzIwMjUJAAAAATCL4396RI3eCFiihn5Ejd4IPUNJUS5OQVNEQVE6Q0FMTS5JUV9TQUxFX1JFQUxfRVNUQVRFX0NGLjk5Ni4yOS8wMy8yMDI2Li4uVVNELkgBAAAAIHoFAAMAAAAAANcKgHpEjd4ILi2GfkSN3gg5Q0lRLk5BU0RBUTpDQUxNLklRX0lOVkVTVF9MT0FOU19DRi45OTQuMjkvMDMvMjAyNi4uLlVTRC5IAQAAACB6BQADAAAAAADXCoB6RI3eCOsFhn5Ejd4INUNJUS5OQVNEQVE6Q0FMTS5JUV9DQVNIX0lOVkVTVC45OTUuMjkvMDMvMjAyNi4uLlVTRC5IAQAAACB6BQACAAAABy02MS4zNjUBCAAAAAUAAAABMQEAAAALLTIwODgzNDc0NjkDAAAAAzE2MAIAAAAEMjAwNQQAAAABMAcAAAAJMy8yOS8yMDI2CAAAAAk1LzMwLzIwMjAJAAAAATDX</t>
  </si>
  <si>
    <t>CoB6RI3eCJC3hX5Ejd4IOENJUS5OQVNEQVE6Q0FMTS5JUV9MVF9ERUJUX0lTU1VFRC45OTYuMjkvMDMvMjAyNi4uLlVTRC5IAQAAACB6BQADAAAAAADXCoB6RI3eCLp8hX5Ejd4IPUNJUS5OQVNEQVE6Q0FMTS5JUV9UQVhfQkVORUZJVF9PUFRJT05TLjk5Ny4yOS8wMy8yMDI2Li4uVVNELkgBAAAAIHoFAAMAAAAAAIvjf3pEjd4IAQqIfkSN3ggwQ0lRLk5BU0RBUTpDQUxNLklRX0RPX0NGLjEwMDAuMjkvMDMvMjAyNi4uLlVTRC5IAQAAACB6BQADAAAAAACL4396RI3eCOe7h35Ejd4IP0NJUS5OQVNEQVE6Q0FMTS5JUV9DSEFOR0VfVFJBRElOR19BU1NFVFMuOTkzLjI5LzAzLzIwMjYuLi5VU0QuSAEAAAAgegUAAwAAAAAAi+N/ekSN3gjXlId+RI3eCDpDSVEuTkFTREFROkNBTE0uSVFfQ0hBTkdFX0lOVkVOVE9SWS45OTYuMjkvMDMvMjAyNi4uLlVTRC5IAQAAACB6BQACAAAABy0zMS4xNTkBCAAAAAUAAAABMQEAAAALLTIwMzcyNDE3MjEDAAAAAzE2MAIAAAAEMjA5OQQAAAABMAcAAAAJMy8yOS8yMDI2CAAAAAk1LzI5LzIwMjEJAAAAATCL4396RI3eCJtth35Ejd4IM0NJUS5OQVNEQVE6Q0FMTS5JUV9DQVNIX09QRVIuOTk1LjI5LzAzLzIwMjYuLi5VU0QuSAEAAAAgegUAAgAAAAY3My42MDkBCAAAAAUAAAABMQEAAAALLTIwODgzNDc0NjkDAAAAAzE2MAIAAAAEMjAwNgQAAAABMAcAAAAJMy8yOS8yMDI2</t>
  </si>
  <si>
    <t>CAAAAAk1LzMwLzIwMjAJAAAAATCL4396RI3eCGfJhn5Ejd4INUNJUS5OQVNEQVE6Q0FMTS5JUV9EQV9TVVBQTF9DRi45OTguMjkvMDMvMjAyNi4uLlVTRC5IAQAAACB6BQACAAAAAjcwAQgAAAAFAAAAATEBAAAACy0xOTM0OTc4NDIwAwAAAAMxNjACAAAABDIxNzEEAAAAATAHAAAACTMvMjkvMjAyNggAAAAINi8zLzIwMjMJAAAAATBIvH96RI3eCOF9iX5Ejd4INUNJUS5OQVNEQVE6Q0FMTS5JUV9PVEhFUl9BTU9SVC45OTYuMjkvMDMvMjAyNi4uLlVTRC5IAQAAACB6BQADAAAAAABIvH96RI3eCJMviX5Ejd4IPENJUS5OQVNEQVE6Q0FMTS5JUV9BU1NFVF9XUklURURPV05fQ0YuOTk0LjI5LzAzLzIwMjYuLi5VU0QuSAEAAAAgegUAAwAAAAAAi+N/ekSN3ghOpoh+RI3eCDNDSVEuTkFTREFROkNBTE0uSVFfTE9BTlNfQ0YuMTAwMC4yOS8wMy8yMDI2Li4uVVNELkgBAAAAIHoFAAMAAAAAAIvjf3pEjd4IPn+IfkSN3gg3Q0lRLk5BU0RBUTpDQUxNLklRX0lOQ19FUVVJVFlfQ0YuOTk0LjI5LzAzLzIwMjYuLi5VU0QuSAEAAAAgegUAAgAAAAYtNC43NzYBCAAAAAUAAAABMQEAAAALLTIxNDI0MjkwMzkDAAAAAzE2MAIAAAAEMjA4NgQAAAABMAcAAAAJMy8yOS8yMDI2CAAAAAg2LzEvMjAxOQkAAAABMIvjf3pEjd4IPliIfkSN3gg5Q0lRLk5BU0RBUTpDQUxNLklRX1NUT0NLX0JBU0VEX1NNLjEwMDAuMjkvMDMv</t>
  </si>
  <si>
    <t>MjAyNi4uLlVTRC5IAQAAACB6BQADAAAAAACUgJZ6RI3eCFo/i35Ejd4IO0NJUS5OQVNEQVE6Q0FMTS5JUV9TVE9DS19CQVNFRF9PVEhFUi45OTguMjkvMDMvMjAyNi4uLlVTRC5IAQAAACB6BQACAAAABTQuMjA1AQgAAAAFAAAAATEBAAAACy0xOTM0OTc4NDIwAwAAAAMxNjACAAAABTIyNjc2BAAAAAEwBwAAAAkzLzI5LzIwMjYIAAAACDYvMy8yMDIzCQAAAAEwSLx/ekSN3ghE8Yp+RI3eCD5DSVEuTkFTREFROkNBTE0uSVFfUkVTVFJfU1RPQ0tfQ09NUF9UQVguOTk2LjI5LzAzLzIwMjYuLi5VU0QuSAEAAAAgegUAAwAAAAAASLx/ekSN3ggJfIp+RI3eCDxDSVEuTkFTREFROkNBTE0uSVFfU1RPQ0tfT1BUSU9OU19DT01QLjk5NC4yOS8wMy8yMDI2Li4uVVNELkgBAAAAIHoFAAMAAAAAAEi8f3pEjd4IAfOJfkSN3ghCQ0lRLk5BU0RBUTpDQUxNLklRX1NUT0NLX0JBU0VEX0NPTVBfUFJFVEFYLjEwMDAuMjkvMDMvMjAyNi4uLlVTRC5IAQAAACB6BQACAAAABTQuNTI3AEi8f3pEjd4IysuJfkSN3ghAQ0lRLk5BU0RBUTpDQUxNLklRX0FTU0VUX1dSSVRFRE9XTl9TVVBQTEUuOTk4LjI5LzAzLzIwMjYuLi5VU0QuSAEAAAAgegUAAwAAAAAAlICWekSN3ggkjIx+RI3eCEFDSVEuTkFTREFROkNBTE0uSVFfR0FJTl9CQVJHQUlOX0FDUV9TVVBQTEUuOTk4LjI5LzAzLzIwMjYuLi5VU0QuSAEAAAAgegUAAwAAAAAA</t>
  </si>
  <si>
    <t>lICWekSN3ggFPox+RI3eCD5DSVEuTkFTREFROkNBTE0uSVFfVE9UQUxfVU5VU1VBTF9TVVBQTEUuOTk2LjI5LzAzLzIwMjYuLi5VU0QuSAEAAAAgegUAAwAAAAAAlICWekSN3giG74t+RI3eCD9DSVEuTkFTREFROkNBTE0uSVFfTkVHQVRJVkVfR1dfQU1PUlRfQVQuMTAwMC4yOS8wMy8yMDI2Li4uVVNELkgBAAAAIHoFAAMAAAAAAJSAlnpEjd4IfI2LfkSN3gg4Q0lRLk5BU0RBUTpDQUxNLklRX1NUT0NLX0JBU0VEX1JELjk5NC4yOS8wMy8yMDI2Li4uVVNELkgBAAAAIHoFAAMAAAAAAJSAlnpEjd4Id2aLfkSN3gg7Q0lRLk5BU0RBUTpDQUxNLklRX0NPTlRJTkdFTlRfUkVOVEFMLjk5OC4yOS8wMy8yMDI2Li4uVVNELkgBAAAAIHoFAAMAAAAAAIpZlnpEjd4I6v+NfkSN3ghEQ0lRLk5BU0RBUTpDQUxNLklRX0RFUFJFQ0lBVElPTl9SRU5UQUxfQVNTRVRTLjk5Ni4yOS8wMy8yMDI2Li4uVVNELkgBAAAAIHoFAAMAAAAAAIpZlnpEjd4I0rGNfkSN3ghCQ0lRLk5BU0RBUTpDQUxNLklRX0lNUFVUX09QRVJfTEVBU0VfSU5UX0VYUC45OTYuMjkvMDMvMjAyNi4uLlVTRC5IAQAAACB6BQADAAAAAACKWZZ6RI3eCHMojX5Ejd4IQkNJUS5OQVNEQVE6Q0FMTS5JUV9TQUxBUklFU19PVEhFUl9CRU5FRklUUy4xMDAwLjI5LzAzLzIwMjYuLi5VU0QuSAEAAAAgegUAAwAAAAAAilmWekSN3gh5AY1+RI3eCDdDSVEuTkFT</t>
  </si>
  <si>
    <t>REFROkNBTE0uSVFfTUVSR0VSX1NVUFBMRS45OTQuMjkvMDMvMjAyNi4uLlVTRC5IAQAAACB6BQADAAAAAACKWZZ6RI3eCDezjH5Ejd4IQENJUS5OQVNEQVE6Q0FMTS5JUV9BTk5VX0RJU1RSSUJVVElPTl9VTklULjk5NC4yOS8wMy8yMDI2Li4uVVNELkgBAAAAIHoFAAMAAAAAAH0ylnpEjd4IGx2PfkSN3ggtQ0lRLk5BU0RBUTpDQUxNLklRX0RJQy45OTguMjkvMDMvMjAyNi4uLlVTRC5IAQAAACB6BQADAAAAAAB9MpZ6RI3eCGfqjn5Ejd4IMENJUS5OQVNEQVE6Q0FMTS5JUV9HQV9FWFAuOTk0LjI5LzAzLzIwMjYuLi5VU0QuSAEAAAAgegUAAwAAAAAAilmWekSN3ggbdY5+RI3eCDRDSVEuTkFTREFROkNBTE0uSVFfUkRfRVhQX0ZOLjEwMDAuMjkvMDMvMjAyNi4uLlVTRC5IAQAAACB6BQADAAAAAACKWZZ6RI3eCBFOjn5Ejd4IOENJUS5OQVNEQVE6Q0FMTS5JUV9ORVRfUkVOVEFMX0VYUC45OTQuMjkvMDMvMjAyNi4uLlVTRC5IAQAAACB6BQADAAAAAACKWZZ6RI3eCAAnjn5Ejd4IQUNJUS5OQVNEQVE6Q0FMTS5JUV9ERUZFUlJFRF9GT1JFSUdOX1RBWEVTLjEwMDAuMjkvMDMvMjAyNi4uLlVTRC5IAQAAACB6BQADAAAAAABXC5Z6RI3eCBORkH5Ejd4IQ0NJUS5OQVNEQVE6Q0FMTS5JUV9OT05SRUNVUlJJTkdfSU5DT01FX1RBWEVTLjk5NC4yOS8wMy8yMDI2Li4uVVNELkgBAAAAIHoFAAMAAAAAAH0ylnpE</t>
  </si>
  <si>
    <t>jd4Ik2mQfkSN3ggyQ0lRLk5BU0RBUTpDQUxNLklRX05JX05PUk0uMTAwMC4yOS8wMy8yMDI2Li4uVVNELkgBAAAAIHoFAAIAAAALMTAxMi45NDUzNzUBCAAAAAUAAAABMQEAAAALLTE5MzQ5NzgzODEDAAAAAzE2MAIAAAAENDM3OAQAAAABMAcAAAAJMy8yOS8yMDI2CAAAAAk1LzMxLzIwMjUJAAAAATB9MpZ6RI3eCMMukH5Ejd4IS0NJUS5OQVNEQVE6Q0FMTS5JUV9JTlRFUkVTVF9FWFBfTEVBU0VfTElBQklMSVRZX0RFQlQuOTk4LjI5LzAzLzIwMjYuLi5VU0QuSAEAAAAgegUAAwAAAAAAfTKWekSN3gh/uY9+RI3eCDxDSVEuTkFTREFROkNBTE0uSVFfRElTVFJJQlVUQUJMRV9DQVNILjk5Ni4yOS8wMy8yMDI2Li4uVVNELkgBAAAAIHoFAAMAAAAAAH0ylnpEjd4InGuPfkSN3ghAQ0lRLk5BU0RBUTpDQUxNLklRX1RPVEFMX1JFVl9BU19SRVBPUlRFRC4xMDAwLjI5LzAzLzIwMjYuLi5VU0QuSAEAAAAgegUAAwAAAAAAVwuWekSN3giM8JF+RI3eCExDSVEuTkFTREFROkNBTE0uSVFfUFJPVl9CQURfREVCVFNfUEFUSUVOVF9TRVJWSUNFX1JFVi45OTQuMjkvMDMvMjAyNi4uLlVTRC5IAQAAACB6BQADAAAAAABXC5Z6RI3eCGOikX5Ejd4IMUNJUS5OQVNEQVE6Q0FMTS5JUV9OSV9TRkFTLjk5OC4yOS8wMy8yMDI2Li4uVVNELkgBAAAAIHoFAAMAAAAAAFcLlnpEjd4IVHuRfkSN3ghBQ0lRLk5BU0RBUTpDQUxN</t>
  </si>
  <si>
    <t>LklRX0VYQ0lTRV9UQVhFU19FWENMX1NBTEVTLjk5OC4yOS8wMy8yMDI2Li4uVVNELkgBAAAAIHoFAAMAAAAAAFcLlnpEjd4IMy2RfkSN3gg0Q0lRLk5BU0RBUTpDQUxNLklRX0NVUlJfVEFYRVMuOTk2LjI5LzAzLzIwMjYuLi5VU0QuSAEAAAAgegUAAgAAAAYtMzQuMzYBCAAAAAUAAAABMQEAAAALLTIwMzcyNDE3MjEDAAAAAzE2MAIAAAAFMzUzODMEAAAAATAHAAAACTMvMjkvMjAyNggAAAAJNS8yOS8yMDIxCQAAAAEwVwuWekSN3ggOuJB+RI3eCD9DSVEuTkFTREFROkNBTE0uSVFfRUJJVF9FUV9JTkNfRVhDTF9TQkMuMTAwMC4yOS8wMy8yMDI2Li4uVVNELkgBAAAAIHoFAAIAAAAIMTU2Mi4xODQBCAAAAAUAAAABMQEAAAALLTE5MzQ5NzgzODEDAAAAAzE2MAIAAAAFMjQxMzAEAAAAATAHAAAACTMvMjkvMjAyNggAAAAJNS8zMS8yMDI1CQAAAAEwQcbkekSN3ggCPZN+RI3eCC9DSVEuTkFTREFROkNBTE0uSVFfRUJJVEEuOTk0LjI5LzAzLzIwMjYuLi5VU0QuSAEAAAAgegUAAgAAAAY0OC42MTQBCAAAAAUAAAABMQEAAAALLTIxNDI0MjkwMzkDAAAAAzE2MAIAAAAGMTAwNjg5BAAAAAEwBwAAAAkzLzI5LzIwMjYIAAAACDYvMS8yMDE5CQAAAAEwQcbkekSN3gjq7pJ+RI3eCD9DSVEuTkFTREFROkNBTE0uSVFfRUJJVEFfRVFfSU5DX0VYQ0xfU0JDLjk5OC4yOS8wMy8yMDI2Li4uVVNELkgBAAAAIHoFAAIA</t>
  </si>
  <si>
    <t>AAAHOTcxLjQzNQEIAAAABQAAAAExAQAAAAstMTkzNDk3ODQyMAMAAAADMTYwAgAAAAUyNDEzMgQAAAABMAcAAAAJMy8yOS8yMDI2CAAAAAg2LzMvMjAyMwkAAAABMFvklXpEjd4I28eSfkSN3ghBQ0lRLk5BU0RBUTpDQUxNLklRX0VCSVREQVJfRVFfSU5DX0VYQ0xfU0JDLjk5Ni4yOS8wMy8yMDI2Li4uVVNELkgBAAAAIHoFAAMAAAAAAFcLlnpEjd4I4XmSfkSN3gg7Q0lRLk5BU0RBUTpDQUxNLklRX0ZFRVNfT1RIRVJfSU5DT01FLjk5Ni4yOS8wMy8yMDI2Li4uVVNELkgBAAAAIHoFAAMAAAAAAFcLlnpEjd4IlCuSfkSN3ggzQ0lRLk5BU0RBUTpDQUxNLklRX05FVF9ERUJULjEwMDAuMjkvMDMvMjAyNi4uLlVTRC5IAQAAACB6BQACAAAABy0xMzkyLjEBCAAAAAUAAAABMQEAAAALLTE5MzQ5NzgzODEDAAAAAzE2MAIAAAAENDM2NAQAAAABMAcAAAAJMy8yOS8yMDI2CAAAAAk1LzMxLzIwMjUJAAAAATDBLi16RI3eCNyJdH5Ejd4IQ0NJUS5OQVNEQVE6Q0FMTS5JUV9GSU5fRElWX01JTk9SSVRZX0lOVEVSRVNULjk5NS4yOS8wMy8yMDI2Li4uVVNELkgBAAAAIHoFAAMAAAAAAKJpLXpEjd4IvARyfkSN3ggwQ0lRLk5BU0RBUTpDQUxNLklRX0VCSVREQS45OTguMjkvMDMvMjAyNi4uLlVTRC5IAQAAACB6BQACAAAACDEwMzYuNDg0AQgAAAAFAAAAATEBAAAACy0xOTM0OTc4NDIwAwAAAAMxNjACAAAABDQwNTEE</t>
  </si>
  <si>
    <t>AAAAATAHAAAACTMvMjkvMjAyNggAAAAINi8zLzIwMjMJAAAAATAVn+R6RI3eCB0ZlH5Ejd4IP0NJUS5OQVNEQVE6Q0FMTS5JUV9FQklUREFfTEVBU0VfQURKVVNURUQuOTk2LjI5LzAzLzIwMjYuLi5VU0QuSAEAAAAgegUAAgAAAAk0MC43NTA5OTkBCAAAAAUAAAABMQEAAAALLTIwMzcyNDE3MjEDAAAAAzE2MAIAAAAFNDg5OTMEAAAAATAHAAAACTMvMjkvMjAyNggAAAAJNS8yOS8yMDIxCQAAAAEwFZ/kekSN3ggzxpN+RI3eCDVDSVEuTkFTREFROkNBTE0uSVFfRUJJVF9FUV9JTkMuOTk0LjI5LzAzLzIwMjYuLi5VU0QuSAEAAAAgegUAAgAAAAU1MC41OQEIAAAABQAAAAExAQAAAAstMjE0MjQyOTAzOQMAAAADMTYwAgAAAAUyMTY3NQQAAAABMAcAAAAJMy8yOS8yMDI2CAAAAAg2LzEvMjAxOQkAAAABMEHG5HpEjd4IAj2TfkSN3gg9Q0lRLk5BU0RBUTpDQUxNLklRX0NVUlJFTlRfUE9SVF9MRUFTRVMuOTk2LjI5LzAzLzIwMjYuLi5VU0QuSAEAAAAgegUAAgAAAAUwLjkwNgEIAAAABQAAAAExAQAAAAstMjAzNzI0MTcyMQMAAAADMTYwAgAAAAQxMDkwBAAAAAEwBwAAAAkzLzI5LzIwMjYIAAAACTUvMjkvMjAyMQkAAAABMNl/gHpEjd4Is6h7fkSN3ggxQ0lRLk5BU0RBUTpDQUxNLklRX0xUX0RFQlQuOTk0LjI5LzAzLzIwMjYuLi5VU0QuSAEAAAAgegUAAwAAAAAADaeAekSN3ghcqXp+RI3eCDRDSVEuTkFT</t>
  </si>
  <si>
    <t>REFROkNBTE0uSVFfUFJFRl9PVEhFUi45OTkuMjkvMDMvMjAyNi4uLlVTRC5IAQAAACB6BQADAAAAAACKuSx6RI3eCKw1eX5Ejd4IO0NJUS5OQVNEQVE6Q0FMTS5JUV9UT1RBTF9MSUFCX0VRVUlUWS45OTQuMjkvMDMvMjAyNi4uLlVTRC5IAQAAACB6BQACAAAACDExNTYuMjc4AQgAAAAFAAAAATEBAAAACy0yMTQyNDI5MDM5AwAAAAMxNjACAAAABDEwMTMEAAAAATAHAAAACTMvMjkvMjAyNggAAAAINi8xLzIwMTkJAAAAATCW4Cx6RI3eCE1LeH5Ejd4IQENJUS5OQVNEQVE6Q0FMTS5JUV9UT1RBTF9ERUJUX0VYQ0xfTEVBU0VTLjk5OC4yOS8wMy8yMDI2Li4uVVNELkgBAAAAIHoFAAMAAAAAALoHLXpEjd4IedZ1fkSN3gg2Q0lRLk5BU0RBUTpDQUxNLklRX1RPVEFMX1JFQ0VJVi45OTMuMjkvMDMvMjAyNi4uLlVTRC5IAQAAACB6BQACAAAABjg1LjgzOQEIAAAABQAAAAExAQAAAAoyMDQ1NzQ5MzEwAwAAAAMxNjACAAAABDEwMDEEAAAAATAHAAAACTMvMjkvMjAyNggAAAAINi8yLzIwMTgJAAAAATBIvH96RI3eCNWxfn5Ejd4IOENJUS5OQVNEQVE6Q0FMTS5JUV9MT0FOU19GT1JfU0FMRS45OTUuMjkvMDMvMjAyNi4uLlVTRC5IAQAAACB6BQADAAAAAAC1WIB6RI3eCPAUfn5Ejd4IOUNJUS5OQVNEQVE6Q0FMTS5JUV9SRVNUUklDVEVEX0NBU0guOTk5LjI5LzAzLzIwMjYuLi5VU0QuSAEAAAAgegUAAwAAAAAA</t>
  </si>
  <si>
    <t>2X+AekSN3ggO2n1+RI3eCC5DSVEuTkFTREFROkNBTE0uSVFfR1BQRS45OTMuMjkvMDMvMjAyNi4uLlVTRC5IAQAAACB6BQACAAAABzkzOS4wOTEBCAAAAAUAAAABMQEAAAAKMjA0NTc0OTMxMAMAAAADMTYwAgAAAAQxMTY5BAAAAAEwBwAAAAkzLzI5LzIwMjYIAAAACDYvMi8yMDE4CQAAAAEw2X+AekSN3ggPjH1+RI3eCDpDSVEuTkFTREFROkNBTE0uSVFfRklOX0RJVl9MT0FOU19MVC45OTQuMjkvMDMvMjAyNi4uLlVTRC5IAQAAACB6BQADAAAAAADZf4B6RI3eCNrvfH5Ejd4INUNJUS5OQVNEQVE6Q0FMTS5JUV9NQUlOVF9DQVBFWC45OTguMjkvMDMvMjAyNi4uLlVTRC5IAQAAACB6BQADAAAAAACNgX96RI3eCIpFgH5Ejd4IQkNJUS5OQVNEQVE6Q0FMTS5JUV9PUEVSQVRJTkdfTEVBU0VfUEFZTUVOVFMuOTkzLjI5LzAzLzIwMjYuLi5VU0QuSAEAAAAgegUAAwAAAAAAjYF/ekSN3giqHoB+RI3eCE1DSVEuTkFTREFROkNBTE0uSVFfT1BFUkFUSU5HX0xFQVNFX0xJQUJJTElUSUVTX05PTkNBU0guOTk5LjI5LzAzLzIwMjYuLi5VU0QuSAEAAAAgegUAAwAAAAAAjYF/ekSN3ghj0H9+RI3eCD1DSVEuTkFTREFROkNBTE0uSVFfR0FJTl9CQVJHQUlOX0FDUV9DRi45OTYuMjkvMDMvMjAyNi4uLlVTRC5IAQAAACB6BQADAAAAAACNgX96RI3eCCJ1f35Ejd4IOENJUS5OQVNEQVE6Q0FMTS5JUV9UUkFESU5HX0FT</t>
  </si>
  <si>
    <t>U0VUUy45OTUuMjkvMDMvMjAyNi4uLlVTRC5IAQAAACB6BQADAAAAAACNgX96RI3eCP0mf35Ejd4IPUNJUS5OQVNEQVE6Q0FMTS5JUV9DQVNIX0lOVEVSRVNUX0ZJTkFOLjk5My4yOS8wMy8yMDI2Li4uVVNELkgBAAAAIHoFAAMAAAAAABtZf3pEjd4IWZKBfkSN3gg5Q0lRLk5BU0RBUTpDQUxNLklRX0NBU0hfVEFYRVNfT1BFUi45OTkuMjkvMDMvMjAyNi4uLlVTRC5IAQAAACB6BQADAAAAAACNgX96RI3eCEVEgX5Ejd4IOkNJUS5OQVNEQVE6Q0FMTS5JUV9DQVNIX1RBWEVTX0ZJTkFOLjk5OC4yOS8wMy8yMDI2Li4uVVNELkgBAAAAIHoFAAMAAAAAAI2Bf3pEjd4IzRyBfkSN3gg1Q0lRLk5BU0RBUTpDQUxNLklRX0xFVkVSRURfRkNGLjk5My4yOS8wMy8yMDI2Li4uVVNELkgBAAAAIHoFAAIAAAAKMjE5LjM2MzYyNQEIAAAABQAAAAExAQAAAAoyMDQ1NzQ5MzEwAwAAAAMxNjACAAAABDQ0MjIEAAAAATAHAAAACTMvMjkvMjAyNggAAAAINi8yLzIwMTgJAAAAATCNgX96RI3eCNrhgH5Ejd4IMkNJUS5OQVNEQVE6Q0FMTS5JUV9DRl9TSEFSRS45OTkuMjkvMDMvMjAyNi4uLlVTRC5IAQAAACB6BQACAAAABzYuMjQ1OTEBCAAAAAUAAAABMQEAAAALLTE5MzQ5Nzg0ODADAAAAAzE2MAIAAAAFNDM5MjMEAAAAATAHAAAACTMvMjkvMjAyNggAAAAINi8xLzIwMjQJAAAAATCNgX96RI3eCMmTgH5Ejd4IQUNJUS5OQVNE</t>
  </si>
  <si>
    <t>QVE6Q0FMTS5JUV9PVEhFUl9GSU5BTkNFX0FDVF9TVVBQTC45OTkuMjkvMDMvMjAyNi4uLlVTRC5IAQAAACB6BQADAAAAAACmMYB6RI3eCDbig35Ejd4IOENJUS5OQVNEQVE6Q0FMTS5JUV9NSVNDX0FESlVTVF9DRi45OTUuMjkvMDMvMjAyNi4uLlVTRC5IAQAAACB6BQADAAAAAACmMYB6RI3eCPSTg35Ejd4IQENJUS5OQVNEQVE6Q0FMTS5JUV9EQV9DRl9FWENMX09QRVJfTEVBU0VTLjk5Ni4yOS8wMy8yMDI2Li4uVVNELkgBAAAAIHoFAAIAAAAGNTkuNDc3AQgAAAAFAAAAATEBAAAACy0yMDM3MjQxNzIxAwAAAAMxNjACAAAABTQ4OTg1BAAAAAEwBwAAAAkzLzI5LzIwMjYIAAAACTUvMjkvMjAyMQkAAAABMKYxgHpEjd4IqXyCfkSN3gg3Q0lRLk5BU0RBUTpDQUxNLklRX0NBU0hfSU5URVJFU1QuOTk5LjI5LzAzLzIwMjYuLi5VU0QuSAEAAAAgegUAAwAAAAAAG1l/ekSN3gh2B4J+RI3eCEBDSVEuTkFTREFROkNBTE0uSVFfQ0FTSF9JTlRFUkVTVF9SRUNFSVZFRC45OTYuMjkvMDMvMjAyNi4uLlVTRC5IAQAAACB6BQADAAAAAAAbWX96RI3eCE+5gX5Ejd4IPENJUS5OQVNEQVE6Q0FMTS5JUV9UT1RBTF9ERUJUX0lTU1VFRC4xMDAwLjI5LzAzLzIwMjYuLi5VU0QuSAEAAAAgegUAAwAAAAAA1wqAekSN3gilVYV+RI3eCDRDSVEuTkFTREFROkNBTE0uSVFfQ09NTU9OX1JFUC45OTkuMjkvMDMvMjAyNi4uLlVT</t>
  </si>
  <si>
    <t>RC5IAQAAACB6BQACAAAABi0xLjY4OAEIAAAABQAAAAExAQAAAAstMTkzNDk3ODQ4MAMAAAADMTYwAgAAAAQyMTY0BAAAAAEwBwAAAAkzLzI5LzIwMjYIAAAACDYvMS8yMDI0CQAAAAEw1wqAekSN3ghp4IR+RI3eCDNDSVEuTkFTREFROkNBTE0uSVFfUFJFRl9SRVAuMTAwMC4yOS8wMy8yMDI2Li4uVVNELkgBAAAAIHoFAAMAAAAAANcKgHpEjd4IP5KEfkSN3gg1Q0lRLk5BU0RBUTpDQUxNLklRX1BSRUZfRElWX0NGLjk5OS4yOS8wMy8yMDI2Li4uVVNELkgBAAAAIHoFAAMAAAAAANcKgHpEjd4IO2uEfkSN3gg7Q0lRLk5BU0RBUTpDQUxNLklRX1RPVEFMX0RJVl9QQUlEX0NGLjk5OS4yOS8wMy8yMDI2Li4uVVNELkgBAAAAIHoFAAIAAAAHLTkxLjg1NgEIAAAABQAAAAExAQAAAAstMTkzNDk3ODQ4MAMAAAADMTYwAgAAAAQyMDIyBAAAAAEwBwAAAAkzLzI5LzIwMjYIAAAACDYvMS8yMDI0CQAAAAEw1wqAekSN3gguMIR+RI3eCEZDSVEuTkFTREFROkNBTE0uSVFfQ0hBTkdFX09USEVSX05FVF9PUEVSX0FTU0VUUy45OTguMjkvMDMvMjAyNi4uLlVTRC5IAQAAACB6BQACAAAABS0yLjg5AQgAAAAFAAAAATEBAAAACy0xOTM0OTc4NDIwAwAAAAMxNjACAAAABDIwNDUEAAAAATAHAAAACTMvMjkvMjAyNggAAAAINi8zLzIwMjMJAAAAATCL4396RI3eCGfJhn5Ejd4IPUNJUS5OQVNEQVE6Q0FMTS5JUV9TQUxFX1JF</t>
  </si>
  <si>
    <t>QUxfRVNUQVRFX0NGLjk5Ny4yOS8wMy8yMDI2Li4uVVNELkgBAAAAIHoFAAMAAAAAANcKgHpEjd4ILi2GfkSN3gg8Q0lRLk5BU0RBUTpDQUxNLklRX0lOVkVTVF9TRUNVUklUWV9DRi45OTkuMjkvMDMvMjAyNi4uLlVTRC5IAQAAACB6BQACAAAACC0yMTEuOTk2AQgAAAAFAAAAATEBAAAACy0xOTM0OTc4NDgwAwAAAAMxNjACAAAABDIwMjcEAAAAATAHAAAACTMvMjkvMjAyNggAAAAINi8xLzIwMjQJAAAAATDXCoB6RI3eCOsFhn5Ejd4IQENJUS5OQVNEQVE6Q0FMTS5JUV9PVEhFUl9JTlZFU1RfQUNUX1NVUFBMLjk5OC4yOS8wMy8yMDI2Li4uVVNELkgBAAAAIHoFAAMAAAAAANcKgHpEjd4IkLeFfkSN3gg4Q0lRLk5BU0RBUTpDQUxNLklRX1NUX0RFQlRfSVNTVUVELjk5OS4yOS8wMy8yMDI2Li4uVVNELkgBAAAAIHoFAAMAAAAAANcKgHpEjd4IunyFfkSN3gg3Q0lRLk5BU0RBUTpDQUxNLklRX0lOQ19FUVVJVFlfQ0YuOTk1LjI5LzAzLzIwMjYuLi5VU0QuSAEAAAAgegUAAgAAAAYtMC41MzQBCAAAAAUAAAABMQEAAAALLTIwODgzNDc0NjkDAAAAAzE2MAIAAAAEMjA4NgQAAAABMAcAAAAJMy8yOS8yMDI2CAAAAAk1LzMwLzIwMjAJAAAAATCL4396RI3eCEUxiH5Ejd4IPUNJUS5OQVNEQVE6Q0FMTS5JUV9UQVhfQkVORUZJVF9PUFRJT05TLjk5OC4yOS8wMy8yMDI2Li4uVVNELkgBAAAAIHoFAAMAAAAAAIvj</t>
  </si>
  <si>
    <t>f3pEjd4IAQqIfkSN3gg/Q0lRLk5BU0RBUTpDQUxNLklRX0NIQU5HRV9UUkFESU5HX0FTU0VUUy45OTQuMjkvMDMvMjAyNi4uLlVTRC5IAQAAACB6BQADAAAAAACL4396RI3eCNeUh35Ejd4IOkNJUS5OQVNEQVE6Q0FMTS5JUV9DSEFOR0VfSU5WRU5UT1JZLjk5Ny4yOS8wMy8yMDI2Li4uVVNELkgBAAAAIHoFAAIAAAAHLTM2LjE1MgEIAAAABQAAAAExAQAAAAstMTk4NjcwODQzMwMAAAADMTYwAgAAAAQyMDk5BAAAAAEwBwAAAAkzLzI5LzIwMjYIAAAACTUvMjgvMjAyMgkAAAABMIvjf3pEjd4Im22HfkSN3gg4Q0lRLk5BU0RBUTpDQUxNLklRX0NIQU5HRV9ERUZfVEFYLjk5My4yOS8wMy8yMDI2Li4uVVNELkgBAAAAIHoFAAMAAAAAAIvjf3pEjd4IqxeHfkSN3gg6Q0lRLk5BU0RBUTpDQUxNLklRX1NUT0NLX0JBU0VEX0NPTVAuOTk1LjI5LzAzLzIwMjYuLi5VU0QuSAEAAAAgegUAAwAAAAAASLx/ekSN3gixpIl+RI3eCDVDSVEuTkFTREFROkNBTE0uSVFfREFfU1VQUExfQ0YuOTk5LjI5LzAzLzIwMjYuLi5VU0QuSAEAAAAgegUAAgAAAAY3OC4wNjgBCAAAAAUAAAABMQEAAAALLTE5MzQ5Nzg0ODADAAAAAzE2MAIAAAAEMjE3MQQAAAABMAcAAAAJMy8yOS8yMDI2CAAAAAg2LzEvMjAyNAkAAAABMEi8f3pEjd4I4X2JfkSN3gg0Q0lRLk5BU0RBUTpDQUxNLklRX09JTF9JTVBBSVIuOTkzLjI5LzAzLzIwMjYu</t>
  </si>
  <si>
    <t>Li5VU0QuSAEAAAAgegUAAwAAAAAASLx/ekSN3gjMVol+RI3eCDVDSVEuTkFTREFROkNBTE0uSVFfT1RIRVJfQU1PUlQuOTk3LjI5LzAzLzIwMjYuLi5VU0QuSAEAAAAgegUAAwAAAAAASLx/ekSN3giTL4l+RI3eCDhDSVEuTkFTREFROkNBTE0uSVFfR0FJTl9JTlZFU1RfQ0YuOTk3LjI5LzAzLzIwMjYuLi5VU0QuSAEAAAAgegUAAwAAAAAASLx/ekSN3ghOpoh+RI3eCENDSVEuTkFTREFROkNBTE0uSVFfU1RPQ0tfQkFTRURfRVhQTE9SRV9EUklMTC45OTMuMjkvMDMvMjAyNi4uLlVTRC5IAQAAACB6BQADAAAAAACNgX96RI3eCE8Yi35Ejd4IO0NJUS5OQVNEQVE6Q0FMTS5JUV9TVE9DS19CQVNFRF9PVEhFUi45OTkuMjkvMDMvMjAyNi4uLlVTRC5IAQAAACB6BQACAAAABTQuMzU4AQgAAAAFAAAAATEBAAAACy0xOTM0OTc4NDgwAwAAAAMxNjACAAAABTIyNjc2BAAAAAEwBwAAAAkzLzI5LzIwMjYIAAAACDYvMS8yMDI0CQAAAAEwSLx/ekSN3ghGyop+RI3eCDtDSVEuTkFTREFROkNBTE0uSVFfU1RPQ0tfQkFTRURfVE9UQUwuOTkzLjI5LzAzLzIwMjYuLi5VU0QuSAEAAAAgegUAAgAAAAUzLjQ2NwEIAAAABQAAAAExAQAAAAoyMDQ1NzQ5MzEwAwAAAAMxNjACAAAABTI0MDM0BAAAAAEwBwAAAAkzLzI5LzIwMjYIAAAACDYvMi8yMDE4CQAAAAEwSLx/ekSN3ghGyop+RI3eCD5DSVEuTkFTREFROkNBTE0uSVFf</t>
  </si>
  <si>
    <t>UkVTVFJfU1RPQ0tfQ09NUF9UQVguOTk3LjI5LzAzLzIwMjYuLi5VU0QuSAEAAAAgegUAAwAAAAAASLx/ekSN3ggJfIp+RI3eCDxDSVEuTkFTREFROkNBTE0uSVFfU1RPQ0tfT1BUSU9OU19DT01QLjk5NS4yOS8wMy8yMDI2Li4uVVNELkgBAAAAIHoFAAMAAAAAAEi8f3pEjd4IAfOJfkSN3gg3Q0lRLk5BU0RBUTpDQUxNLklRX01FUkdFUl9TVVBQTEUuOTk1LjI5LzAzLzIwMjYuLi5VU0QuSAEAAAAgegUAAwAAAAAAilmWekSN3gg3s4x+RI3eCDpDSVEuTkFTREFROkNBTE0uSVFfR0FJTl9CQVJHQUlOX0FDUS45OTMuMjkvMDMvMjAyNi4uLlVTRC5IAQAAACB6BQADAAAAAACUgJZ6RI3eCBdljH5Ejd4IQUNJUS5OQVNEQVE6Q0FMTS5JUV9HQUlOX0JBUkdBSU5fQUNRX1NVUFBMRS45OTkuMjkvMDMvMjAyNi4uLlVTRC5IAQAAACB6BQADAAAAAACUgJZ6RI3eCAU+jH5Ejd4IPkNJUS5OQVNEQVE6Q0FMTS5JUV9UT1RBTF9VTlVTVUFMX1NVUFBMRS45OTcuMjkvMDMvMjAyNi4uLlVTRC5IAQAAACB6BQADAAAAAACUgJZ6RI3eCIbvi35Ejd4IOENJUS5OQVNEQVE6Q0FMTS5JUV9TVE9DS19CQVNFRF9SRC45OTUuMjkvMDMvMjAyNi4uLlVTRC5IAQAAACB6BQADAAAAAACUgJZ6RI3eCHdmi35Ejd4IOENJUS5OQVNEQVE6Q0FMTS5JUV9ORVRfUkVOVEFMX0VYUC45OTUuMjkvMDMvMjAyNi4uLlVTRC5IAQAAACB6BQAD</t>
  </si>
  <si>
    <t>AAAAAACKWZZ6RI3eCOr/jX5Ejd4IO0NJUS5OQVNEQVE6Q0FMTS5JUV9DT05USU5HRU5UX1JFTlRBTC45OTkuMjkvMDMvMjAyNi4uLlVTRC5IAQAAACB6BQADAAAAAACKWZZ6RI3eCOr/jX5Ejd4INkNJUS5OQVNEQVE6Q0FMTS5JUV9PVEhFUl9SRU5UQUwuOTkzLjI5LzAzLzIwMjYuLi5VU0QuSAEAAAAgegUAAwAAAAAAilmWekSN3gja2I1+RI3eCDdDSVEuTkFTREFROkNBTE0uSVFfQUlSQ1JBRlRfUkVOVC45OTkuMjkvMDMvMjAyNi4uLlVTRC5IAQAAACB6BQADAAAAAACKWZZ6RI3eCNKxjX5Ejd4IQkNJUS5OQVNEQVE6Q0FMTS5JUV9JTVBVVF9PUEVSX0xFQVNFX0lOVF9FWFAuOTk3LjI5LzAzLzIwMjYuLi5VU0QuSAEAAAAgegUAAwAAAAAAilmWekSN3ghzKI1+RI3eCD1DSVEuTkFTREFROkNBTE0uSVFfTk9OQ0FTSF9QRU5TSU9OX0VYUC45OTMuMjkvMDMvMjAyNi4uLlVTRC5IAQAAACB6BQACAAAABTAuNjkzAQgAAAAFAAAAATEBAAAACjIwNDU3NDkzMTADAAAAAzE2MAIAAAAFMjE2NzgEAAAAATAHAAAACTMvMjkvMjAyNggAAAAINi8yLzIwMTgJAAAAATB9MpZ6RI3eCKySj35Ejd4IPENJUS5OQVNEQVE6Q0FMTS5JUV9ESVNUUklCVVRBQkxFX0NBU0guOTk3LjI5LzAzLzIwMjYuLi5VU0QuSAEAAAAgegUAAwAAAAAAfTKWekSN3gica49+RI3eCEBDSVEuTkFTREFROkNBTE0uSVFfQU5OVV9ESVNUUklC</t>
  </si>
  <si>
    <t>VVRJT05fVU5JVC45OTUuMjkvMDMvMjAyNi4uLlVTRC5IAQAAACB6BQADAAAAAAB9MpZ6RI3eCGNEj35Ejd4ILUNJUS5OQVNEQVE6Q0FMTS5JUV9ESUMuOTk5LjI5LzAzLzIwMjYuLi5VU0QuSAEAAAAgegUAAwAAAAAAfTKWekSN3ghn6o5+RI3eCDlDSVEuTkFTREFROkNBTE0uSVFfU0FMRVNfTUFSS0VUSU5HLjk5Ny4yOS8wMy8yMDI2Li4uVVNELkgBAAAAIHoFAAMAAAAAAIpZlnpEjd4IG3WOfkSN3ghBQ0lRLk5BU0RBUTpDQUxNLklRX0VYQ0lTRV9UQVhFU19FWENMX1NBTEVTLjk5OS4yOS8wMy8yMDI2Li4uVVNELkgBAAAAIHoFAAMAAAAAAFcLlnpEjd4IIAaRfkSN3gg0Q0lRLk5BU0RBUTpDQUxNLklRX0NVUlJfVEFYRVMuOTk3LjI5LzAzLzIwMjYuLi5VU0QuSAEAAAAgegUAAgAAAAYyNy44OTgBCAAAAAUAAAABMQEAAAALLTE5ODY3MDg0MzMDAAAAAzE2MAIAAAAFMzUzODMEAAAAATAHAAAACTMvMjkvMjAyNggAAAAJNS8yOC8yMDIyCQAAAAEwVwuWekSN3ggV35B+RI3eCENDSVEuTkFTREFROkNBTE0uSVFfTk9OUkVDVVJSSU5HX0lOQ09NRV9UQVhFUy45OTUuMjkvMDMvMjAyNi4uLlVTRC5IAQAAACB6BQADAAAAAAB9MpZ6RI3eCMMukH5Ejd4INUNJUS5OQVNEQVE6Q0FMTS5JUV9JTlRfRVhQX0xURC45OTMuMjkvMDMvMjAyNi4uLlVTRC5IAQAAACB6BQADAAAAAAB9MpZ6RI3eCJ/gj35Ejd4IS0NJ</t>
  </si>
  <si>
    <t>US5OQVNEQVE6Q0FMTS5JUV9JTlRFUkVTVF9FWFBfTEVBU0VfTElBQklMSVRZX0RFQlQuOTk5LjI5LzAzLzIwMjYuLi5VU0QuSAEAAAAgegUAAwAAAAAAfTKWekSN3gh/uY9+RI3eCEFDSVEuTkFTREFROkNBTE0uSVFfTUlOT1JJVFlfSU5UX1JFREVFTV9UT1QuOTk1LjI5LzAzLzIwMjYuLi5VU0QuSAEAAAAgegUAAwAAAAAAomktekSN3gi8BHJ+RI3eCDhDSVEuTkFTREFROkNBTE0uSVFfRUJJVERBUl9FUV9JTkMuOTk5LjI5LzAzLzIwMjYuLi5VU0QuSAEAAAAgegUAAwAAAAAAVwuWekSN3gjheZJ+RI3eCDtDSVEuTkFTREFROkNBTE0uSVFfRkVFU19PVEhFUl9JTkNPTUUuOTk3LjI5LzAzLzIwMjYuLi5VU0QuSAEAAAAgegUAAwAAAAAAVwuWekSN3giUK5J+RI3eCExDSVEuTkFTREFROkNBTE0uSVFfUFJPVl9CQURfREVCVFNfUEFUSUVOVF9TRVJWSUNFX1JFVi45OTUuMjkvMDMvMjAyNi4uLlVTRC5IAQAAACB6BQADAAAAAABXC5Z6RI3eCGOikX5Ejd4IO0NJUS5OQVNEQVE6Q0FMTS5JUV9JTlZFU1RNRU5UX0lOQ09NRS45OTMuMjkvMDMvMjAyNi4uLlVTRC5IAQAAACB6BQADAAAAAABXC5Z6RI3eCD1UkX5Ejd4INENJUS5OQVNEQVE6Q0FMTS5JUV9QUkVGX09USEVSLjk5NC4yOS8wMy8yMDI2Li4uVVNELkgBAAAAIHoFAAMAAAAAAIq5LHpEjd4ItVx5fkSN3gg2Q0lRLk5BU0RBUTpDQUxNLklRX1RPVEFM</t>
  </si>
  <si>
    <t>X0VRVUlUWS45OTcuMjkvMDMvMjAyNi4uLlVTRC5IAQAAACB6BQACAAAACDExMDQuMzQ1AQgAAAAFAAAAATEBAAAACy0xOTg2NzA4NDMzAwAAAAMxNjACAAAABDEyNzUEAAAAATAHAAAACTMvMjkvMjAyNggAAAAJNS8yOC8yMDIyCQAAAAEwluAsekSN3ghYcnh+RI3eCD1DSVEuTkFTREFROkNBTE0uSVFfQURfRVhDTF9PUEVSX0xFQVNFUy45OTQuMjkvMDMvMjAyNi4uLlVTRC5IAQAAACB6BQACAAAACC01NTUuNjM4AQgAAAAFAAAAATEBAAAACy0yMTQyNDI5MDM5AwAAAAMxNjACAAAABTQ4OTc1BAAAAAEwBwAAAAkzLzI5LzIwMjYIAAAACDYvMS8yMDE5CQAAAAEwugctekSN3ggPI3d+RI3eCEVDSVEuTkFTREFROkNBTE0uSVFfVE9UQUxfREVCVF9FWENMX09QRVJfTEVBU0VTLjk5My4yOS8wMy8yMDI2Li4uVVNELkgBAAAAIHoFAAIAAAAENi4wOQEIAAAABQAAAAExAQAAAAoyMDQ1NzQ5MzEwAwAAAAMxNjACAAAABTQ4OTgyBAAAAAEwBwAAAAkzLzI5LzIwMjYIAAAACDYvMi8yMDE4CQAAAAEwugctekSN3giK/XV+RI3eCDJDSVEuTkFTREFROkNBTE0uSVFfTkVUX0RFQlQuOTk3LjI5LzAzLzIwMjYuLi5VU0QuSAEAAAAgegUAAgAAAAgtMTc0LjUxMwEIAAAABQAAAAExAQAAAAstMTk4NjcwODQzMwMAAAADMTYwAgAAAAQ0MzY0BAAAAAEwBwAAAAkzLzI5LzIwMjYIAAAACTUvMjgvMjAyMgkAAAABMMEuLXpE</t>
  </si>
  <si>
    <t>jd4I3Il0fkSN3gg5Q0lRLk5BU0RBUTpDQUxNLklRX09USEVSX0xUX0FTU0VUUy45OTMuMjkvMDMvMjAyNi4uLlVTRC5IAQAAACB6BQACAAAABTMuMjA1AQgAAAAFAAAAATEBAAAACjIwNDU3NDkzMTADAAAAAzE2MAIAAAAEMTA2MAQAAAABMAcAAAAJMy8yOS8yMDI2CAAAAAg2LzIvMjAxOAkAAAABMNl/gHpEjd4IZ0R8fkSN3gg7Q0lRLk5BU0RBUTpDQUxNLklRX0NVUlJFTlRfUE9SVF9ERUJULjk5OS4yOS8wMy8yMDI2Li4uVVNELkgBAAAAIHoFAAMAAAAAANl/gHpEjd4Is6h7fkSN3gg8Q0lRLk5BU0RBUTpDQUxNLklRX1VORUFSTl9SRVZfQ1VSUkVOVC45OTMuMjkvMDMvMjAyNi4uLlVTRC5IAQAAACB6BQADAAAAAAANp4B6RI3eCK8ye35Ejd4IMkNJUS5OQVNEQVE6Q0FMTS5JUV9UT1RBTF9DTC45OTguMjkvMDMvMjAyNi4uLlVTRC5IAQAAACB6BQACAAAABzE4Mi43MzEBCAAAAAUAAAABMQEAAAALLTE5MzQ5Nzg0MjADAAAAAzE2MAIAAAAEMTAwOQQAAAABMAcAAAAJMy8yOS8yMDI2CAAAAAg2LzMvMjAyMwkAAAABMA2ngHpEjd4IXKl6fkSN3ggxQ0lRLk5BU0RBUTpDQUxNLklRX1BFTlNJT04uOTkzLjI5LzAzLzIwMjYuLi5VU0QuSAEAAAAgegUAAwAAAAAADaeAekSN3ggtNHp+RI3eCDhDSVEuTkFTREFROkNBTE0uSVFfTE9BTlNfRk9SX1NBTEUuOTk2LjI5LzAzLzIwMjYuLi5VU0QuSAEAAAAgegUA</t>
  </si>
  <si>
    <t>AwAAAAAAtViAekSN3gjwFH5+RI3eCDpDSVEuTkFTREFROkNBTE0uSVFfUkVTVFJJQ1RFRF9DQVNILjEwMDAuMjkvMDMvMjAyNi4uLlVTRC5IAQAAACB6BQACAAAAATEBCAAAAAUAAAABMQEAAAALLTE5MzQ5NzgzODEDAAAAAzE2MAIAAAAEMTEwNAQAAAABMAcAAAAJMy8yOS8yMDI2CAAAAAk1LzMxLzIwMjUJAAAAATDZf4B6RI3eCA7afX5Ejd4ILkNJUS5OQVNEQVE6Q0FMTS5JUV9HUFBFLjk5NC4yOS8wMy8yMDI2Li4uVVNELkgBAAAAIHoFAAIAAAAIMTAxMS45MzIBCAAAAAUAAAABMQEAAAALLTIxNDI0MjkwMzkDAAAAAzE2MAIAAAAEMTE2OQQAAAABMAcAAAAJMy8yOS8yMDI2CAAAAAg2LzEvMjAxOQkAAAABMNl/gHpEjd4ID4x9fkSN3gg6Q0lRLk5BU0RBUTpDQUxNLklRX0ZJTl9ESVZfTE9BTlNfTFQuOTk1LjI5LzAzLzIwMjYuLi5VU0QuSAEAAAAgegUAAwAAAAAA2X+AekSN3gja73x+RI3eCC9DSVEuTkFTREFROkNBTE0uSVFfQVJfTFQuOTk3LjI5LzAzLzIwMjYuLi5VU0QuSAEAAAAgegUAAwAAAAAA2X+AekSN3gjSwHx+RI3eCE1DSVEuTkFTREFROkNBTE0uSVFfT1BFUkFUSU5HX0xFQVNFX0xJQUJJTElUSUVTX05PTkNBU0guOTkzLjI5LzAzLzIwMjYuLi5VU0QuSAEAAAAgegUAAwAAAAAAjYF/ekSN3giU939+RI3eCEdDSVEuTkFTREFROkNBTE0uSVFfVE9UQUxfREVCVF9SRVBBSURfRVhDTF9M</t>
  </si>
  <si>
    <t>RUFTRVMuOTk5LjI5LzAzLzIwMjYuLi5VU0QuSAEAAAAgegUAAgAAAAYtMC4yMTQBCAAAAAUAAAABMQEAAAALLTE5MzQ5Nzg0ODADAAAAAzE2MAIAAAAFNDg5ODYEAAAAATAHAAAACTMvMjkvMjAyNggAAAAINi8xLzIwMjQJAAAAATCNgX96RI3eCDqcf35Ejd4IOENJUS5OQVNEQVE6Q0FMTS5JUV9UUkFESU5HX0FTU0VUUy45OTYuMjkvMDMvMjAyNi4uLlVTRC5IAQAAACB6BQADAAAAAACNgX96RI3eCPBNf35Ejd4ILENJUS5OQVNEQVE6Q0FMTS5JUV9BUi45OTQuMjkvMDMvMjAyNi4uLlVTRC5IAQAAACB6BQACAAAABjU3LjA1OQEIAAAABQAAAAExAQAAAAstMjE0MjQyOTAzOQMAAAADMTYwAgAAAAQxMDIxBAAAAAEwBwAAAAkzLzI5LzIwMjYIAAAACDYvMS8yMDE5CQAAAAEwjYF/ekSN3gj82H5+RI3eCDZDSVEuTkFTREFROkNBTE0uSVFfVE9UQUxfUkVDRUlWLjk5Ny4yOS8wMy8yMDI2Li4uVVNELkgBAAAAIHoFAAIAAAAHMjE5LjQwNAEIAAAABQAAAAExAQAAAAstMTk4NjcwODQzMwMAAAADMTYwAgAAAAQxMDAxBAAAAAEwBwAAAAkzLzI5LzIwMjYIAAAACTUvMjgvMjAyMgkAAAABMNcKgHpEjd4I1bF+fkSN3gg6Q0lRLk5BU0RBUTpDQUxNLklRX0NBU0hfVEFYRVNfRklOQU4uOTk5LjI5LzAzLzIwMjYuLi5VU0QuSAEAAAAgegUAAwAAAAAAjYF/ekSN3gjNHIF+RI3eCDVDSVEuTkFTREFROkNBTE0uSVFf</t>
  </si>
  <si>
    <t>TEVWRVJFRF9GQ0YuOTk0LjI5LzAzLzIwMjYuLi5VU0QuSAEAAAAgegUAAgAAAAgtNC40MDE3NQEIAAAABQAAAAExAQAAAAstMjE0MjQyOTAzOQMAAAADMTYwAgAAAAQ0NDIyBAAAAAEwBwAAAAkzLzI5LzIwMjYIAAAACDYvMS8yMDE5CQAAAAEwjYF/ekSN3gja4YB+RI3eCDNDSVEuTkFTREFROkNBTE0uSVFfQ0ZfU0hBUkUuMTAwMC4yOS8wMy8yMDI2Li4uVVNELkgBAAAAIHoFAAIAAAAJMjEuODI4ODM0AQgAAAAFAAAAATEBAAAACy0xOTM0OTc4MzgxAwAAAAMxNjACAAAABTQzOTIzBAAAAAEwBwAAAAkzLzI5LzIwMjYIAAAACTUvMzEvMjAyNQkAAAABMI2Bf3pEjd4IyZOAfkSN3gg1Q0lRLk5BU0RBUTpDQUxNLklRX01BSU5UX0NBUEVYLjk5OS4yOS8wMy8yMDI2Li4uVVNELkgBAAAAIHoFAAMAAAAAAI2Bf3pEjd4IikWAfkSN3ghCQ0lRLk5BU0RBUTpDQUxNLklRX09QRVJBVElOR19MRUFTRV9QQVlNRU5UUy45OTQuMjkvMDMvMjAyNi4uLlVTRC5IAQAAACB6BQADAAAAAACNgX96RI3eCKoegH5Ejd4IOENJUS5OQVNEQVE6Q0FMTS5JUV9NSVNDX0FESlVTVF9DRi45OTYuMjkvMDMvMjAyNi4uLlVTRC5IAQAAACB6BQADAAAAAACmMYB6RI3eCCO7g35Ejd4IQENJUS5OQVNEQVE6Q0FMTS5JUV9EQV9DRl9FWENMX09QRVJfTEVBU0VTLjk5Ny4yOS8wMy8yMDI2Li4uVVNELkgBAAAAIHoFAAIAAAAGNjguMzk1</t>
  </si>
  <si>
    <t>AQgAAAAFAAAAATEBAAAACy0xOTg2NzA4NDMzAwAAAAMxNjACAAAABTQ4OTg1BAAAAAEwBwAAAAkzLzI5LzIwMjYIAAAACTUvMjgvMjAyMgkAAAABMKYxgHpEjd4It6OCfkSN3ghAQ0lRLk5BU0RBUTpDQUxNLklRX0NBU0hfSU5URVJFU1RfUkVDRUlWRUQuOTk5LjI5LzAzLzIwMjYuLi5VU0QuSAEAAAAgegUAAwAAAAAAG1l/ekSN3ghn4IF+RI3eCD1DSVEuTkFTREFROkNBTE0uSVFfQ0FTSF9JTlRFUkVTVF9GSU5BTi45OTQuMjkvMDMvMjAyNi4uLlVTRC5IAQAAACB6BQADAAAAAAAbWX96RI3eCFmSgX5Ejd4IOkNJUS5OQVNEQVE6Q0FMTS5JUV9DQVNIX1RBWEVTX09QRVIuMTAwMC4yOS8wMy8yMDI2Li4uVVNELkgBAAAAIHoFAAMAAAAAAI2Bf3pEjd4IRUSBfkSN3ghAQ0lRLk5BU0RBUTpDQUxNLklRX09USEVSX0lOVkVTVF9BQ1RfU1VQUEwuOTk5LjI5LzAzLzIwMjYuLi5VU0QuSAEAAAAgegUAAwAAAAAA1wqAekSN3gjm3oV+RI3eCDlDSVEuTkFTREFROkNBTE0uSVFfU1RfREVCVF9JU1NVRUQuMTAwMC4yOS8wMy8yMDI2Li4uVVNELkgBAAAAIHoFAAMAAAAAANcKgHpEjd4IunyFfkSN3gg2Q0lRLk5BU0RBUTpDQUxNLklRX1BSRUZfRElWX0NGLjEwMDAuMjkvMDMvMjAyNi4uLlVTRC5IAQAAACB6BQADAAAAAADXCoB6RI3eCDtrhH5Ejd4IPENJUS5OQVNEQVE6Q0FMTS5JUV9UT1RBTF9ESVZfUEFJRF9D</t>
  </si>
  <si>
    <t>Ri4xMDAwLjI5LzAzLzIwMjYuLi5VU0QuSAEAAAAgegUAAgAAAActMzMwLjI5AQgAAAAFAAAAATEBAAAACy0xOTM0OTc4MzgxAwAAAAMxNjACAAAABDIwMjIEAAAAATAHAAAACTMvMjkvMjAyNggAAAAJNS8zMS8yMDI1CQAAAAEw1wqAekSN3gguMIR+RI3eCEJDSVEuTkFTREFROkNBTE0uSVFfT1RIRVJfRklOQU5DRV9BQ1RfU1VQUEwuMTAwMC4yOS8wMy8yMDI2Li4uVVNELkgBAAAAIHoFAAMAAAAAAKYxgHpEjd4INuKDfkSN3gg4Q0lRLk5BU0RBUTpDQUxNLklRX0NIQU5HRV9ERUZfVEFYLjk5NC4yOS8wMy8yMDI2Li4uVVNELkgBAAAAIHoFAAMAAAAAAIvjf3pEjd4IqxeHfkSN3ghGQ0lRLk5BU0RBUTpDQUxNLklRX0NIQU5HRV9PVEhFUl9ORVRfT1BFUl9BU1NFVFMuOTk5LjI5LzAzLzIwMjYuLi5VU0QuSAEAAAAgegUAAgAAAAYtMC41NTMBCAAAAAUAAAABMQEAAAALLTE5MzQ5Nzg0ODADAAAAAzE2MAIAAAAEMjA0NQQAAAABMAcAAAAJMy8yOS8yMDI2CAAAAAg2LzEvMjAyNAkAAAABMIvjf3pEjd4IqvCGfkSN3gg5Q0lRLk5BU0RBUTpDQUxNLklRX0NBU0hfQUNRVUlSRV9DRi45OTUuMjkvMDMvMjAyNi4uLlVTRC5IAQAAACB6BQACAAAABi00NC42NQEIAAAABQAAAAExAQAAAAstMjA4ODM0NzQ2OQMAAAADMTYwAgAAAAQyMDU3BAAAAAEwBwAAAAkzLzI5LzIwMjYIAAAACTUvMzAvMjAyMAkAAAABMIvj</t>
  </si>
  <si>
    <t>f3pEjd4IOVSGfkSN3gg9Q0lRLk5BU0RBUTpDQUxNLklRX1NBTEVfUkVBTF9FU1RBVEVfQ0YuOTk4LjI5LzAzLzIwMjYuLi5VU0QuSAEAAAAgegUAAwAAAAAA1wqAekSN3gguLYZ+RI3eCD1DSVEuTkFTREFROkNBTE0uSVFfSU5WRVNUX1NFQ1VSSVRZX0NGLjEwMDAuMjkvMDMvMjAyNi4uLlVTRC5IAQAAACB6BQACAAAACC0zMDEuOTAzAQgAAAAFAAAAATEBAAAACy0xOTM0OTc4MzgxAwAAAAMxNjACAAAABDIwMjcEAAAAATAHAAAACTMvMjkvMjAyNggAAAAJNS8zMS8yMDI1CQAAAAEw1wqAekSN3gjrBYZ+RI3eCDhDSVEuTkFTREFROkNBTE0uSVFfR0FJTl9JTlZFU1RfQ0YuOTk4LjI5LzAzLzIwMjYuLi5VU0QuSAEAAAAgegUAAwAAAAAAi+N/ekSN3ghOpoh+RI3eCDdDSVEuTkFTREFROkNBTE0uSVFfSU5DX0VRVUlUWV9DRi45OTYuMjkvMDMvMjAyNi4uLlVTRC5IAQAAACB6BQACAAAABi0wLjYyMgEIAAAABQAAAAExAQAAAAstMjAzNzI0MTcyMQMAAAADMTYwAgAAAAQyMDg2BAAAAAEwBwAAAAkzLzI5LzIwMjYIAAAACTUvMjkvMjAyMQkAAAABMIvjf3pEjd4IPliIfkSN3gg9Q0lRLk5BU0RBUTpDQUxNLklRX1RBWF9CRU5FRklUX09QVElPTlMuOTk5LjI5LzAzLzIwMjYuLi5VU0QuSAEAAAAgegUAAwAAAAAAi+N/ekSN3ggBCoh+RI3eCD9DSVEuTkFTREFROkNBTE0uSVFfQ0hBTkdFX1RSQURJTkdfQVNT</t>
  </si>
  <si>
    <t>RVRTLjk5NS4yOS8wMy8yMDI2Li4uVVNELkgBAAAAIHoFAAMAAAAAAIvjf3pEjd4I15SHfkSN3gg0Q0lRLk5BU0RBUTpDQUxNLklRX0NIQU5HRV9BUi4xMDAwLjI5LzAzLzIwMjYuLi5VU0QuSAEAAAAgegUAAgAAAAgtMTA0Ljk5NwEIAAAABQAAAAExAQAAAAstMTkzNDk3ODM4MQMAAAADMTYwAgAAAAQyMDE4BAAAAAEwBwAAAAkzLzI5LzIwMjYIAAAACTUvMzEvMjAyNQkAAAABMIvjf3pEjd4Im22HfkSN3ghAQ0lRLk5BU0RBUTpDQUxNLklRX1NUT0NLX09QVElPTlNfQ09NUF9UQVguOTk4LjI5LzAzLzIwMjYuLi5VU0QuSAEAAAAgegUAAwAAAAAASLx/ekSN3ggB84l+RI3eCDpDSVEuTkFTREFROkNBTE0uSVFfU1RPQ0tfQkFTRURfQ09NUC45OTYuMjkvMDMvMjAyNi4uLlVTRC5IAQAAACB6BQADAAAAAABIvH96RI3eCLGkiX5Ejd4INkNJUS5OQVNEQVE6Q0FMTS5JUV9EQV9TVVBQTF9DRi4xMDAwLjI5LzAzLzIwMjYuLi5VU0QuSAEAAAAgegUAAgAAAAY5MS44NjMBCAAAAAUAAAABMQEAAAALLTE5MzQ5NzgzODEDAAAAAzE2MAIAAAAEMjE3MQQAAAABMAcAAAAJMy8yOS8yMDI2CAAAAAk1LzMxLzIwMjUJAAAAATBIvH96RI3eCOF9iX5Ejd4INENJUS5OQVNEQVE6Q0FMTS5JUV9PSUxfSU1QQUlSLjk5NC4yOS8wMy8yMDI2Li4uVVNELkgBAAAAIHoFAAMAAAAAAEi8f3pEjd4IzFaJfkSN3ggwQ0lRLk5BU0RB</t>
  </si>
  <si>
    <t>UTpDQUxNLklRX0RBX0NGLjEwMDAuMjkvMDMvMjAyNi4uLlVTRC5IAQAAACB6BQACAAAABjk0LjAyMQEIAAAABQAAAAExAQAAAAstMTkzNDk3ODM4MQMAAAADMTYwAgAAAAQyMTYwBAAAAAEwBwAAAAkzLzI5LzIwMjYIAAAACTUvMzEvMjAyNQkAAAABMEi8f3pEjd4Iky+JfkSN3ghAQ0lRLk5BU0RBUTpDQUxNLklRX1RPVEFMX0RFQlRfTk9OX0NVUlJFTlQuOTk3LjI5LzAzLzIwMjYuLi5VU0QuSAEAAAAgegUAAwAAAAAAwS4tekSN3gjxsHR+RI3eCD1DSVEuTkFTREFROkNBTE0uSVFfTUlOT1JJVFlfSU5UX1JFREVFTS45OTMuMjkvMDMvMjAyNi4uLlVTRC5IAQAAACB6BQADAAAAAADAVS16RI3eCNBScn5Ejd4IPENJUS5OQVNEQVE6Q0FMTS5JUV9TVE9DS19CQVNFRF9PVEhFUi4xMDAwLjI5LzAzLzIwMjYuLi5VU0QuSAEAAAAgegUAAgAAAAU0LjUyNwEIAAAABQAAAAExAQAAAAstMTkzNDk3ODM4MQMAAAADMTYwAgAAAAUyMjY3NgQAAAABMAcAAAAJMy8yOS8yMDI2CAAAAAk1LzMxLzIwMjUJAAAAATBIvH96RI3eCETxin5Ejd4IO0NJUS5OQVNEQVE6Q0FMTS5JUV9TVE9DS19CQVNFRF9UT1RBTC45OTQuMjkvMDMvMjAyNi4uLlVTRC5IAQAAACB6BQACAAAABTMuNjE5AQgAAAAFAAAAATEBAAAACy0yMTQyNDI5MDM5AwAAAAMxNjACAAAABTI0MDM0BAAAAAEwBwAAAAkzLzI5LzIwMjYIAAAACDYvMS8yMDE5</t>
  </si>
  <si>
    <t>CQAAAAEwSLx/ekSN3gg8o4p+RI3eCD5DSVEuTkFTREFROkNBTE0uSVFfUkVTVFJfU1RPQ0tfQ09NUF9UQVguOTk4LjI5LzAzLzIwMjYuLi5VU0QuSAEAAAAgegUAAwAAAAAASLx/ekSN3ggJfIp+RI3eCCxDSVEuTkFTREFROkNBTE0uSVFfQVAuOTk2LjI5LzAzLzIwMjYuLi5VU0QuSAEAAAAgegUAAgAAAAY1Mi43ODQBCAAAAAUAAAABMQEAAAALLTIwMzcyNDE3MjEDAAAAAzE2MAIAAAAEMTAxOAQAAAABMAcAAAAJMy8yOS8yMDI2CAAAAAk1LzI5LzIwMjEJAAAAATDZf4B6RI3eCFz2e35Ejd4IPUNJUS5OQVNEQVE6Q0FMTS5JUV9JTkNfVEFYX1BBWV9DVVJSRU5ULjk5OC4yOS8wMy8yMDI2Li4uVVNELkgBAAAAIHoFAAIAAAAFOC4yODgBCAAAAAUAAAABMQEAAAALLTE5MzQ5Nzg0MjADAAAAAzE2MAIAAAAEMTA5NAQAAAABMAcAAAAJMy8yOS8yMDI2CAAAAAg2LzMvMjAyMwkAAAABMA2ngHpEjd4IzFl7fkSN3ggxQ0lRLk5BU0RBUTpDQUxNLklRX1BFTlNJT04uOTk0LjI5LzAzLzIwMjYuLi5VU0QuSAEAAAAgegUAAwAAAAAADaeAekSN3ggtNHp+RI3eCDZDSVEuTkFTREFROkNBTE0uSVFfVE9UQUxfRVFVSVRZLjk5OC4yOS8wMy8yMDI2Li4uVVNELkgBAAAAIHoFAAIAAAAIMTYwOS41ODMBCAAAAAUAAAABMQEAAAALLTE5MzQ5Nzg0MjADAAAAAzE2MAIAAAAEMTI3NQQAAAABMAcAAAAJMy8yOS8yMDI2CAAA</t>
  </si>
  <si>
    <t>AAg2LzMvMjAyMwkAAAABMJbgLHpEjd4IWHJ4fkSN3ghFQ0lRLk5BU0RBUTpDQUxNLklRX1RPVEFMX0RFQlRfRVhDTF9PUEVSX0xFQVNFUy45OTQuMjkvMDMvMjAyNi4uLlVTRC5IAQAAACB6BQACAAAABTIuNTU0AQgAAAAFAAAAATEBAAAACy0yMTQyNDI5MDM5AwAAAAMxNjACAAAABTQ4OTgyBAAAAAEwBwAAAAkzLzI5LzIwMjYIAAAACDYvMS8yMDE5CQAAAAEwugctekSN3giK/XV+RI3eCC5DSVEuTkFTREFROkNBTE0uSVFfR1BQRS45OTUuMjkvMDMvMjAyNi4uLlVTRC5IAQAAACB6BQACAAAACDExNDUuODc1AQgAAAAFAAAAATEBAAAACy0yMDg4MzQ3NDY5AwAAAAMxNjACAAAABDExNjkEAAAAATAHAAAACTMvMjkvMjAyNggAAAAJNS8zMC8yMDIwCQAAAAEw2X+AekSN3ggPjH1+RI3eCDNDSVEuTkFTREFROkNBTE0uSVFfTFRfSU5WRVNULjk5Ni4yOS8wMy8yMDI2Li4uVVNELkgBAAAAIHoFAAIAAAAGNTkuMDU3AQgAAAAFAAAAATEBAAAACy0yMDM3MjQxNzIxAwAAAAMxNjACAAAABDEwNTQEAAAAATAHAAAACTMvMjkvMjAyNggAAAAJNS8yOS8yMDIxCQAAAAEw2X+AekSN3gjgZH1+RI3eCDVDSVEuTkFTREFROkNBTE0uSVFfT1RIRVJfSU5UQU4uOTk4LjI5LzAzLzIwMjYuLi5VU0QuSAEAAAAgegUAAgAAAAYxNS44OTcBCAAAAAUAAAABMQEAAAALLTE5MzQ5Nzg0MjADAAAAAzE2MAIAAAAEMTA0MAQAAAAB</t>
  </si>
  <si>
    <t>MAcAAAAJMy8yOS8yMDI2CAAAAAg2LzMvMjAyMwkAAAABMNl/gHpEjd4I2u98fkSN3ggvQ0lRLk5BU0RBUTpDQUxNLklRX0FSX0xULjk5OC4yOS8wMy8yMDI2Li4uVVNELkgBAAAAIHoFAAMAAAAAANl/gHpEjd4IiZJ8fkSN3gg4Q0lRLk5BU0RBUTpDQUxNLklRX0RFRl9DSEFSR0VTX0xULjk5Ni4yOS8wMy8yMDI2Li4uVVNELkgBAAAAIHoFAAMAAAAAANl/gHpEjd4IZ0R8fkSN3ghNQ0lRLk5BU0RBUTpDQUxNLklRX09QRVJBVElOR19MRUFTRV9MSUFCSUxJVElFU19OT05DQVNILjk5NC4yOS8wMy8yMDI2Li4uVVNELkgBAAAAIHoFAAMAAAAAAI2Bf3pEjd4IY9B/fkSN3ghIQ0lRLk5BU0RBUTpDQUxNLklRX1RPVEFMX0RFQlRfUkVQQUlEX0VYQ0xfTEVBU0VTLjEwMDAuMjkvMDMvMjAyNi4uLlVTRC5IAQAAACB6BQACAAAABi0yLjQ4MQEIAAAABQAAAAExAQAAAAstMTkzNDk3ODM4MQMAAAADMTYwAgAAAAU0ODk4NgQAAAABMAcAAAAJMy8yOS8yMDI2CAAAAAk1LzMxLzIwMjUJAAAAATCNgX96RI3eCDqcf35Ejd4IOENJUS5OQVNEQVE6Q0FMTS5JUV9UUkFESU5HX0FTU0VUUy45OTcuMjkvMDMvMjAyNi4uLlVTRC5IAQAAACB6BQADAAAAAACNgX96RI3eCPBNf35Ejd4ILENJUS5OQVNEQVE6Q0FMTS5JUV9BUi45OTUuMjkvMDMvMjAyNi4uLlVTRC5IAQAAACB6BQACAAAABjg0Ljk3NgEIAAAABQAAAAExAQAA</t>
  </si>
  <si>
    <t>AAstMjA4ODM0NzQ2OQMAAAADMTYwAgAAAAQxMDIxBAAAAAEwBwAAAAkzLzI5LzIwMjYIAAAACTUvMzAvMjAyMAkAAAABMI2Bf3pEjd4I/Nh+fkSN3gg5Q0lRLk5BU0RBUTpDQUxNLklRX1NUX05PVEVfUkVDRUlWLjEwMDAuMjkvMDMvMjAyNi4uLlVTRC5IAQAAACB6BQADAAAAAABIvH96RI3eCNWxfn5Ejd4IPkNJUS5OQVNEQVE6Q0FMTS5JUV9DQVNIX0lOVEVSRVNUX0lOVkVTVC45OTcuMjkvMDMvMjAyNi4uLlVTRC5IAQAAACB6BQADAAAAAAAbWX96RI3eCFmSgX5Ejd4IO0NJUS5OQVNEQVE6Q0FMTS5JUV9DQVNIX1RBWEVTX0ZJTkFOLjEwMDAuMjkvMDMvMjAyNi4uLlVTRC5IAQAAACB6BQADAAAAAACNgX96RI3eCM0cgX5Ejd4INUNJUS5OQVNEQVE6Q0FMTS5JUV9MRVZFUkVEX0ZDRi45OTUuMjkvMDMvMjAyNi4uLlVTRC5IAQAAACB6BQACAAAACi04NC41ODY4NzUBCAAAAAUAAAABMQEAAAALLTIwODgzNDc0NjkDAAAAAzE2MAIAAAAENDQyMgQAAAABMAcAAAAJMy8yOS8yMDI2CAAAAAk1LzMwLzIwMjAJAAAAATCNgX96RI3eCNrhgH5Ejd4INkNJUS5OQVNEQVE6Q0FMTS5JUV9NQUlOVF9DQVBFWC4xMDAwLjI5LzAzLzIwMjYuLi5VU0QuSAEAAAAgegUAAwAAAAAAjYF/ekSN3gjJbIB+RI3eCDdDSVEuTkFTREFROkNBTE0uSVFfRE9fRklOQU5DRV9DRi45OTkuMjkvMDMvMjAyNi4uLlVTRC5IAQAAACB6</t>
  </si>
  <si>
    <t>BQADAAAAAACNgX96RI3eCKoegH5Ejd4IQUNJUS5OQVNEQVE6Q0FMTS5JUV9PVEhFUl9JTlZFU1RfQUNUX1NVUFBMLjEwMDAuMjkvMDMvMjAyNi4uLlVTRC5IAQAAACB6BQADAAAAAADXCoB6RI3eCObehX5Ejd4INUNJUS5OQVNEQVE6Q0FMTS5JUV9QUkVGX0RJVl9DRi45OTMuMjkvMDMvMjAyNi4uLlVTRC5IAQAAACB6BQADAAAAAADXCoB6RI3eCDtrhH5Ejd4IQENJUS5OQVNEQVE6Q0FMTS5JUV9EQV9DRl9FWENMX09QRVJfTEVBU0VTLjk5OC4yOS8wMy8yMDI2Li4uVVNELkgBAAAAIHoFAAIAAAAGNzIuMjM0AQgAAAAFAAAAATEBAAAACy0xOTM0OTc4NDIwAwAAAAMxNjACAAAABTQ4OTg1BAAAAAEwBwAAAAkzLzI5LzIwMjYIAAAACDYvMy8yMDIzCQAAAAEwpjGAekSN3gi3o4J+RI3eCDZDSVEuTkFTREFROkNBTE0uSVFfQU1PUlRfRElDX0NGLjk5Ny4yOS8wMy8yMDI2Li4uVVNELkgBAAAAIHoFAAMAAAAAAKYxgHpEjd4ImVWCfkSN3ghBQ0lRLk5BU0RBUTpDQUxNLklRX0NBU0hfSU5URVJFU1RfUkVDRUlWRUQuMTAwMC4yOS8wMy8yMDI2Li4uVVNELkgBAAAAIHoFAAMAAAAAABtZf3pEjd4IZ+CBfkSN3gg/Q0lRLk5BU0RBUTpDQUxNLklRX0NIQU5HRV9UUkFESU5HX0FTU0VUUy45OTYuMjkvMDMvMjAyNi4uLlVTRC5IAQAAACB6BQADAAAAAACL4396RI3eCOe7h35Ejd4IOENJUS5OQVNEQVE6Q0FMTS5J</t>
  </si>
  <si>
    <t>UV9DSEFOR0VfSU5DX1RBWC45OTcuMjkvMDMvMjAyNi4uLlVTRC5IAQAAACB6BQACAAAABjI2LjA1NgEIAAAABQAAAAExAQAAAAstMTk4NjcwODQzMwMAAAADMTYwAgAAAAQyMTAxBAAAAAEwBwAAAAkzLzI5LzIwMjYIAAAACTUvMjgvMjAyMgkAAAABMIvjf3pEjd4IqxeHfkSN3ghHQ0lRLk5BU0RBUTpDQUxNLklRX0NIQU5HRV9PVEhFUl9ORVRfT1BFUl9BU1NFVFMuMTAwMC4yOS8wMy8yMDI2Li4uVVNELkgBAAAAIHoFAAIAAAAGLTUuMzM0AQgAAAAFAAAAATEBAAAACy0xOTM0OTc4MzgxAwAAAAMxNjACAAAABDIwNDUEAAAAATAHAAAACTMvMjkvMjAyNggAAAAJNS8zMS8yMDI1CQAAAAEwi+N/ekSN3giq8IZ+RI3eCDlDSVEuTkFTREFROkNBTE0uSVFfQ0FTSF9BQ1FVSVJFX0NGLjk5Ni4yOS8wMy8yMDI2Li4uVVNELkgBAAAAIHoFAAMAAAAAAIvjf3pEjd4IUHuGfkSN3gg9Q0lRLk5BU0RBUTpDQUxNLklRX1NBTEVfUkVBTF9FU1RBVEVfQ0YuOTk5LjI5LzAzLzIwMjYuLi5VU0QuSAEAAAAgegUAAwAAAAAA1wqAekSN3gguLYZ+RI3eCDhDSVEuTkFTREFROkNBTE0uSVFfR0FJTl9BU1NFVFNfQ0YuOTkzLjI5LzAzLzIwMjYuLi5VU0QuSAEAAAAgegUAAgAAAAUwLjQ3MwEIAAAABQAAAAExAQAAAAoyMDQ1NzQ5MzEwAwAAAAMxNjACAAAABDIwMjYEAAAAATAHAAAACTMvMjkvMjAyNggAAAAINi8yLzIwMTgJ</t>
  </si>
  <si>
    <t>AAAAATBIvH96RI3eCDbhiH5Ejd4IOENJUS5OQVNEQVE6Q0FMTS5JUV9HQUlOX0lOVkVTVF9DRi45OTkuMjkvMDMvMjAyNi4uLlVTRC5IAQAAACB6BQADAAAAAACL4396RI3eCE6miH5Ejd4IMkNJUS5OQVNEQVE6Q0FMTS5JUV9MT0FOU19DRi45OTMuMjkvMDMvMjAyNi4uLlVTRC5IAQAAACB6BQADAAAAAACL4396RI3eCD5/iH5Ejd4IN0NJUS5OQVNEQVE6Q0FMTS5JUV9JTkNfRVFVSVRZX0NGLjk5Ny4yOS8wMy8yMDI2Li4uVVNELkgBAAAAIHoFAAMAAAAAAIvjf3pEjd4IPliIfkSN3ggvQ0lRLk5BU0RBUTpDQUxNLklRX0RPX0NGLjk5My4yOS8wMy8yMDI2Li4uVVNELkgBAAAAIHoFAAMAAAAAAIvjf3pEjd4I9OKHfkSN3gg4Q0lRLk5BU0RBUTpDQUxNLklRX1VORUFSTl9SRVZfTFQuMTAwMC4yOS8wMy8yMDI2Li4uVVNELkgBAAAAIHoFAAMAAAAAAA2ngHpEjd4IWVt6fkSN3ghBQ0lRLk5BU0RBUTpDQUxNLklRX1JVQV9PUEVSQVRJTkdfTEVBU0VfTkVULjk5Ny4yOS8wMy8yMDI2Li4uVVNELkgBAAAAIHoFAAMAAAAAALoHLXpEjd4IEUp3fkSN3gg8Q0lRLk5BU0RBUTpDQUxNLklRX1RPVEFMX0RFQlRfQ1VSUkVOVC45OTQuMjkvMDMvMjAyNi4uLlVTRC5IAQAAACB6BQACAAAABTEuNjk2AQgAAAAFAAAAATEBAAAACy0yMTQyNDI5MDM5AwAAAAMxNjACAAAABTI1MjIzBAAAAAEwBwAAAAkzLzI5LzIwMjYI</t>
  </si>
  <si>
    <t>AAAACDYvMS8yMDE5CQAAAAEwwS4tekSN3gjxsHR+RI3eCDpDSVEuTkFTREFROkNBTE0uSVFfU1RPQ0tfQkFTRURfQ09NUC45OTcuMjkvMDMvMjAyNi4uLlVTRC5IAQAAACB6BQADAAAAAABIvH96RI3eCLGkiX5Ejd4INENJUS5OQVNEQVE6Q0FMTS5JUV9PSUxfSU1QQUlSLjk5NS4yOS8wMy8yMDI2Li4uVVNELkgBAAAAIHoFAAMAAAAAAEi8f3pEjd4IzFaJfkSN3ggvQ0lRLk5BU0RBUTpDQUxNLklRX0FSX0xULjk5OS4yOS8wMy8yMDI2Li4uVVNELkgBAAAAIHoFAAMAAAAAANl/gHpEjd4IiZJ8fkSN3gg4Q0lRLk5BU0RBUTpDQUxNLklRX0RFRl9DSEFSR0VTX0xULjk5OC4yOS8wMy8yMDI2Li4uVVNELkgBAAAAIHoFAAMAAAAAANl/gHpEjd4IZ0R8fkSN3ggsQ0lRLk5BU0RBUTpDQUxNLklRX0FQLjk5Ny4yOS8wMy8yMDI2Li4uVVNELkgBAAAAIHoFAAIAAAAGODIuMDQ5AQgAAAAFAAAAATEBAAAACy0xOTg2NzA4NDMzAwAAAAMxNjACAAAABDEwMTgEAAAAATAHAAAACTMvMjkvMjAyNggAAAAJNS8yOC8yMDIyCQAAAAEw2X+AekSN3ghc9nt+RI3eCD1DSVEuTkFTREFROkNBTE0uSVFfSU5DX1RBWF9QQVlfQ1VSUkVOVC45OTkuMjkvMDMvMjAyNi4uLlVTRC5IAQAAACB6BQACAAAABjQzLjM0OAEIAAAABQAAAAExAQAAAAstMTkzNDk3ODQ4MAMAAAADMTYwAgAAAAQxMDk0BAAAAAEwBwAAAAkzLzI5LzIwMjYI</t>
  </si>
  <si>
    <t>AAAACDYvMS8yMDI0CQAAAAEwDaeAekSN3gjMWXt+RI3eCDJDSVEuTkFTREFROkNBTE0uSVFfVE9UQUxfQ0wuOTk0LjI5LzAzLzIwMjYuLi5VU0QuSAEAAAAgegUAAgAAAAY3NC45MDcBCAAAAAUAAAABMQEAAAALLTIxNDI0MjkwMzkDAAAAAzE2MAIAAAAEMTAwOQQAAAABMAcAAAAJMy8yOS8yMDI2CAAAAAg2LzEvMjAxOQkAAAABMA2ngHpEjd4IbtB6fkSN3gg1Q0lRLk5BU0RBUTpDQUxNLklRX1BSRVBBSURfRVhQLjk5NC4yOS8wMy8yMDI2Li4uVVNELkgBAAAAIHoFAAIAAAAFNC4zMjgBCAAAAAUAAAABMQEAAAALLTIxNDI0MjkwMzkDAAAAAzE2MAIAAAAEMTIxMgQAAAABMAcAAAAJMy8yOS8yMDI2CAAAAAg2LzEvMjAxOQkAAAABMLVYgHpEjd4IbmN+fkSN3gg5Q0lRLk5BU0RBUTpDQUxNLklRX1JFU1RSSUNURURfQ0FTSC45OTUuMjkvMDMvMjAyNi4uLlVTRC5IAQAAACB6BQADAAAAAADZf4B6RI3eCA6zfX5Ejd4ILkNJUS5OQVNEQVE6Q0FMTS5JUV9HUFBFLjk5Ni4yOS8wMy8yMDI2Li4uVVNELkgBAAAAIHoFAAIAAAAIMTIxNS40MTIBCAAAAAUAAAABMQEAAAALLTIwMzcyNDE3MjEDAAAAAzE2MAIAAAAEMTE2OQQAAAABMAcAAAAJMy8yOS8yMDI2CAAAAAk1LzI5LzIwMjEJAAAAATDZf4B6RI3eCA+MfX5Ejd4ILkNJUS5OQVNEQVE6Q0FMTS5JUV9OUFBFLjk5OS4yOS8wMy8yMDI2Li4uVVNELkgBAAAA</t>
  </si>
  <si>
    <t>IHoFAAIAAAAHODU3LjIzNAEIAAAABQAAAAExAQAAAAstMTkzNDk3ODQ4MAMAAAADMTYwAgAAAAQxMDA0BAAAAAEwBwAAAAkzLzI5LzIwMjYIAAAACDYvMS8yMDI0CQAAAAEw2X+AekSN3gjtPX1+RI3eCDVDSVEuTkFTREFROkNBTE0uSVFfT1RIRVJfSU5UQU4uOTk5LjI5LzAzLzIwMjYuLi5VU0QuSAEAAAAgegUAAgAAAAYxNS45OTYBCAAAAAUAAAABMQEAAAALLTE5MzQ5Nzg0ODADAAAAAzE2MAIAAAAEMTA0MAQAAAABMAcAAAAJMy8yOS8yMDI2CAAAAAg2LzEvMjAyNAkAAAABMNl/gHpEjd4ImRZ9fkSN3ghWQ0lRLk5BU0RBUTpDQUxNLklRX0ZJTkFOQ0lOR19PQkxJR19OT05fQ1VSUkVOVF9FWENMX09QRVJfTEVBU0VTLjk5OC4yOS8wMy8yMDI2Li4uVVNELkgBAAAAIHoFAAMAAAAAALoHLXpEjd4IoCR2fkSN3gg8Q0lRLk5BU0RBUTpDQUxNLklRX1RPVEFMX0RFQlRfQ1VSUkVOVC45OTUuMjkvMDMvMjAyNi4uLlVTRC5IAQAAACB6BQACAAAABTEuMDAxAQgAAAAFAAAAATEBAAAACy0yMDg4MzQ3NDY5AwAAAAMxNjACAAAABTI1MjIzBAAAAAEwBwAAAAkzLzI5LzIwMjYIAAAACTUvMzAvMjAyMAkAAAABMMEuLXpEjd4I8bB0fkSN3ghNQ0lRLk5BU0RBUTpDQUxNLklRX09QRVJBVElOR19MRUFTRV9MSUFCSUxJVElFU19OT05DQVNILjk5NS4yOS8wMy8yMDI2Li4uVVNELkgBAAAAIHoFAAMAAAAAAI2Bf3pE</t>
  </si>
  <si>
    <t>jd4IY9B/fkSN3gg0Q0lRLk5BU0RBUTpDQUxNLklRX1NUX0lOVkVTVC4xMDAwLjI5LzAzLzIwMjYuLi5VU0QuSAEAAAAgegUAAgAAAAc4OTIuNzA4AQgAAAAFAAAAATEBAAAACy0xOTM0OTc4MzgxAwAAAAMxNjACAAAABDEwNjkEAAAAATAHAAAACTMvMjkvMjAyNggAAAAJNS8zMS8yMDI1CQAAAAEwjYF/ekSN3gjwTX9+RI3eCCxDSVEuTkFTREFROkNBTE0uSVFfQVIuOTk2LjI5LzAzLzIwMjYuLi5VU0QuSAEAAAAgegUAAgAAAAY3OS4wNjYBCAAAAAUAAAABMQEAAAALLTIwMzcyNDE3MjEDAAAAAzE2MAIAAAAEMTAyMQQAAAABMAcAAAAJMy8yOS8yMDI2CAAAAAk1LzI5LzIwMjEJAAAAATCNgX96RI3eCNL/fn5Ejd4ILENJUS5OQVNEQVE6Q0FMTS5JUV9BUC45OTguMjkvMDMvMjAyNi4uLlVTRC5IAQAAACB6BQACAAAABTgyLjU5AQgAAAAFAAAAATEBAAAACy0xOTM0OTc4NDIwAwAAAAMxNjACAAAABDEwMTgEAAAAATAHAAAACTMvMjkvMjAyNggAAAAINi8zLzIwMjMJAAAAATDZf4B6RI3eCFz2e35Ejd4IO0NJUS5OQVNEQVE6Q0FMTS5JUV9DVVJSRU5UX1BPUlRfREVCVC45OTQuMjkvMDMvMjAyNi4uLlVTRC5IAQAAACB6BQACAAAAAzEuNQEIAAAABQAAAAExAQAAAAstMjE0MjQyOTAzOQMAAAADMTYwAgAAAAQxMjk3BAAAAAEwBwAAAAkzLzI5LzIwMjYIAAAACDYvMS8yMDE5CQAAAAEw2X+AekSN3gizqHt+</t>
  </si>
  <si>
    <t>RI3eCDJDSVEuTkFTREFROkNBTE0uSVFfVE9UQUxfQ0wuOTk1LjI5LzAzLzIwMjYuLi5VU0QuSAEAAAAgegUAAgAAAAY5My4xODMBCAAAAAUAAAABMQEAAAALLTIwODgzNDc0NjkDAAAAAzE2MAIAAAAEMTAwOQQAAAABMAcAAAAJMy8yOS8yMDI2CAAAAAk1LzMwLzIwMjAJAAAAATANp4B6RI3eCG7Qen5Ejd4IOUNJUS5OQVNEQVE6Q0FMTS5JUV9QUkVGX05PTl9SRURFRU0uOTk2LjI5LzAzLzIwMjYuLi5VU0QuSAEAAAAgegUAAwAAAAAADaeAekSN3giel3l+RI3eCEFDSVEuTkFTREFROkNBTE0uSVFfUlVBX09QRVJBVElOR19MRUFTRV9ORVQuOTk4LjI5LzAzLzIwMjYuLi5VU0QuSAEAAAAgegUAAwAAAAAAugctekSN3ggRSnd+RI3eCDlDSVEuTkFTREFROkNBTE0uSVFfUkVTVFJJQ1RFRF9DQVNILjk5Ni4yOS8wMy8yMDI2Li4uVVNELkgBAAAAIHoFAAMAAAAAANl/gHpEjd4IDtp9fkSN3gguQ0lRLk5BU0RBUTpDQUxNLklRX0dQUEUuOTk3LjI5LzAzLzIwMjYuLi5VU0QuSAEAAAAgegUAAgAAAAgxMzU1LjU4NAEIAAAABQAAAAExAQAAAAstMTk4NjcwODQzMwMAAAADMTYwAgAAAAQxMTY5BAAAAAEwBwAAAAkzLzI5LzIwMjYIAAAACTUvMjgvMjAyMgkAAAABMNl/gHpEjd4ID4x9fkSN3ggvQ0lRLk5BU0RBUTpDQUxNLklRX05QUEUuMTAwMC4yOS8wMy8yMDI2Li4uVVNELkgBAAAAIHoFAAIAAAAIMTAyNi42</t>
  </si>
  <si>
    <t>ODQBCAAAAAUAAAABMQEAAAALLTE5MzQ5NzgzODEDAAAAAzE2MAIAAAAEMTAwNAQAAAABMAcAAAAJMy8yOS8yMDI2CAAAAAk1LzMxLzIwMjUJAAAAATDZf4B6RI3eCO09fX5Ejd4INkNJUS5OQVNEQVE6Q0FMTS5JUV9PVEhFUl9JTlRBTi4xMDAwLjI5LzAzLzIwMjYuLi5VU0QuSAEAAAAgegUAAgAAAAYxNS4xNTcBCAAAAAUAAAABMQEAAAALLTE5MzQ5NzgzODEDAAAAAzE2MAIAAAAEMTA0MAQAAAABMAcAAAAJMy8yOS8yMDI2CAAAAAk1LzMxLzIwMjUJAAAAATDZf4B6RI3eCJkWfX5Ejd4IOUNJUS5OQVNEQVE6Q0FMTS5JUV9ERUZfQ0hBUkdFU19MVC4xMDAwLjI5LzAzLzIwMjYuLi5VU0QuSAEAAAAgegUAAwAAAAAA2X+AekSN3ghnRHx+RI3eCDlDSVEuTkFTREFROkNBTE0uSVFfQ0FTSF9UQVhFU19PUEVSLjk5My4yOS8wMy8yMDI2Li4uVVNELkgBAAAAIHoFAAMAAAAAAI2Bf3pEjd4IK2uBfkSN3ggyQ0lRLk5BU0RBUTpDQUxNLklRX0NGX1NIQVJFLjk5Ni4yOS8wMy8yMDI2Li4uVVNELkgBAAAAIHoFAAIAAAAJLTEuNDIwNjU0AQgAAAAFAAAAATEBAAAACy0yMDM3MjQxNzIxAwAAAAMxNjACAAAABTQzOTIzBAAAAAEwBwAAAAkzLzI5LzIwMjYIAAAACTUvMjkvMjAyMQkAAAABMI2Bf3pEjd4IyZOAfkSN3ghNQ0lRLk5BU0RBUTpDQUxNLklRX09QRVJBVElOR19MRUFTRV9MSUFCSUxJVElFU19OT05DQVNI</t>
  </si>
  <si>
    <t>Ljk5Ni4yOS8wMy8yMDI2Li4uVVNELkgBAAAAIHoFAAMAAAAAAI2Bf3pEjd4IY9B/fkSN3ggsQ0lRLk5BU0RBUTpDQUxNLklRX0FSLjk5Ny4yOS8wMy8yMDI2Li4uVVNELkgBAAAAIHoFAAIAAAAHMTY5LjEwOQEIAAAABQAAAAExAQAAAAstMTk4NjcwODQzMwMAAAADMTYwAgAAAAQxMDIxBAAAAAEwBwAAAAkzLzI5LzIwMjYIAAAACTUvMjgvMjAyMgkAAAABMI2Bf3pEjd4I0v9+fkSN3gg1Q0lRLk5BU0RBUTpDQUxNLklRX1BSRVBBSURfRVhQLjk5NS4yOS8wMy8yMDI2Li4uVVNELkgBAAAAIHoFAAIAAAAFNC4zNjcBCAAAAAUAAAABMQEAAAALLTIwODgzNDc0NjkDAAAAAzE2MAIAAAAEMTIxMgQAAAABMAcAAAAJMy8yOS8yMDI2CAAAAAk1LzMwLzIwMjAJAAAAATC1WIB6RI3eCG5jfn5Ejd4IQ0NJUS5OQVNEQVE6Q0FMTS5JUV9HV19JTlRBTl9BTU9SVF9QQVJUSUFMX0NGLjk5OS4yOS8wMy8yMDI2Li4uVVNELkgBAAAAIHoFAAMAAAAAAKYxgHpEjd4IJDWDfkSN3ggxQ0lRLk5BU0RBUTpDQUxNLklRX0RFUF9SVUEuOTkzLjI5LzAzLzIwMjYuLi5VU0QuSAEAAAAgegUAAwAAAAAApjGAekSN3ggv+oJ+RI3eCDZDSVEuTkFTREFROkNBTE0uSVFfQU1PUlRfRElDX0NGLjk5OS4yOS8wMy8yMDI2Li4uVVNELkgBAAAAIHoFAAMAAAAAAKYxgHpEjd4ImVWCfkSN3gg3Q0lRLk5BU0RBUTpDQUxNLklRX0NBU0hfSU5U</t>
  </si>
  <si>
    <t>RVJFU1QuOTkzLjI5LzAzLzIwMjYuLi5VU0QuSAEAAAAgegUAAgAAAAUwLjI2NQEIAAAABQAAAAExAQAAAAoyMDQ1NzQ5MzEwAwAAAAMxNjACAAAABDMwMjgEAAAAATAHAAAACTMvMjkvMjAyNggAAAAINi8yLzIwMTgJAAAAATAbWX96RI3eCHYHgn5Ejd4IPkNJUS5OQVNEQVE6Q0FMTS5JUV9DQVNIX0lOVEVSRVNUX0lOVkVTVC45OTkuMjkvMDMvMjAyNi4uLlVTRC5IAQAAACB6BQADAAAAAAAbWX96RI3eCFmSgX5Ejd4IO0NJUS5OQVNEQVE6Q0FMTS5JUV9UT1RBTF9ERUJUX1JFUEFJRC45OTMuMjkvMDMvMjAyNi4uLlVTRC5IAQAAACB6BQACAAAABi00Ljg0OQEIAAAABQAAAAExAQAAAAoyMDQ1NzQ5MzEwAwAAAAMxNjACAAAABDIxNjYEAAAAATAHAAAACTMvMjkvMjAyNggAAAAINi8yLzIwMTgJAAAAATDXCoB6RI3eCJ8HhX5Ejd4INENJUS5OQVNEQVE6Q0FMTS5JUV9DT01NT05fUkVQLjk5NC4yOS8wMy8yMDI2Li4uVVNELkgBAAAAIHoFAAIAAAAGLTAuOTg1AQgAAAAFAAAAATEBAAAACy0yMTQyNDI5MDM5AwAAAAMxNjACAAAABDIxNjQEAAAAATAHAAAACTMvMjkvMjAyNggAAAAINi8xLzIwMTkJAAAAATDXCoB6RI3eCGnghH5Ejd4IMkNJUS5OQVNEQVE6Q0FMTS5JUV9QUkVGX1JFUC45OTQuMjkvMDMvMjAyNi4uLlVTRC5IAQAAACB6BQADAAAAAADXCoB6RI3eCE+5hH5Ejd4INUNJUS5OQVNEQVE6Q0FM</t>
  </si>
  <si>
    <t>TS5JUV9QUkVGX0RJVl9DRi45OTUuMjkvMDMvMjAyNi4uLlVTRC5IAQAAACB6BQADAAAAAADXCoB6RI3eCDtrhH5Ejd4IO0NJUS5OQVNEQVE6Q0FMTS5JUV9UT1RBTF9ESVZfUEFJRF9DRi45OTMuMjkvMDMvMjAyNi4uLlVTRC5IAQAAACB6BQADAAAAAADXCoB6RI3eCC4whH5Ejd4IPUNJUS5OQVNEQVE6Q0FMTS5JUV9UT1RBTF9DT01NT05fRVFVSVRZLjk5NS4yOS8wMy8yMDI2Li4uVVNELkgBAAAAIHoFAAIAAAAIMTAwOS42NzUBCAAAAAUAAAABMQEAAAALLTIwODgzNDc0NjkDAAAAAzE2MAIAAAAEMTAwNgQAAAABMAcAAAAJMy8yOS8yMDI2CAAAAAk1LzMwLzIwMjAJAAAAATCW4Cx6RI3eCG2ZeH5Ejd4IUkNJUS5OQVNEQVE6Q0FMTS5JUV9GSU5BTkNJTkdfT0JMSUdfQ1VSUkVOVF9FWENMX09QRVJfTEVBU0VTLjk5NS4yOS8wMy8yMDI2Li4uVVNELkgBAAAAIHoFAAIAAAAFMC4yMDUBCAAAAAUAAAABMQEAAAALLTIwODgzNDc0NjkDAAAAAzE2MAIAAAAFNDg5ODAEAAAAATAHAAAACTMvMjkvMjAyNggAAAAJNS8zMC8yMDIwCQAAAAEwugctekSN3gigJHZ+RI3eCDlDSVEuTkFTREFROkNBTE0uSVFfQ0FTSF9BQ1FVSVJFX0NGLjk5OC4yOS8wMy8yMDI2Li4uVVNELkgBAAAAIHoFAAMAAAAAAIvjf3pEjd4IUHuGfkSN3gg8Q0lRLk5BU0RBUTpDQUxNLklRX0lOVkVTVF9TRUNVUklUWV9DRi45OTMuMjkvMDMv</t>
  </si>
  <si>
    <t>MjAyNi4uLlVTRC5IAQAAACB6BQACAAAACC0xNDUuMTQyAQgAAAAFAAAAATEBAAAACjIwNDU3NDkzMTADAAAAAzE2MAIAAAAEMjAyNwQAAAABMAcAAAAJMy8yOS8yMDI2CAAAAAg2LzIvMjAxOAkAAAABMNcKgHpEjd4I6wWGfkSN3ghAQ0lRLk5BU0RBUTpDQUxNLklRX09USEVSX0lOVkVTVF9BQ1RfU1VQUEwuOTk0LjI5LzAzLzIwMjYuLi5VU0QuSAEAAAAgegUAAwAAAAAA1wqAekSN3gjm3oV+RI3eCDNDSVEuTkFTREFROkNBTE0uSVFfVE9UQUxfQ0EuMTAwMC4yOS8wMy8yMDI2Li4uVVNELkgBAAAAIHoFAAIAAAAHMTk2OC4xMQEIAAAABQAAAAExAQAAAAstMTkzNDk3ODM4MQMAAAADMTYwAgAAAAQxMDA4BAAAAAEwBwAAAAkzLzI5LzIwMjYIAAAACTUvMzEvMjAyNQkAAAABMNl/gHpEjd4ID4x9fkSN3gg7Q0lRLk5BU0RBUTpDQUxNLklRX0NVUlJFTlRfUE9SVF9ERUJULjk5NS4yOS8wMy8yMDI2Li4uVVNELkgBAAAAIHoFAAMAAAAAANl/gHpEjd4Is6h7fkSN3ggyQ0lRLk5BU0RBUTpDQUxNLklRX1RPVEFMX0NMLjk5Ny4yOS8wMy8yMDI2Li4uVVNELkgBAAAAIHoFAAIAAAAHMTg0LjY3NAEIAAAABQAAAAExAQAAAAstMTk4NjcwODQzMwMAAAADMTYwAgAAAAQxMDA5BAAAAAEwBwAAAAkzLzI5LzIwMjYIAAAACTUvMjgvMjAyMgkAAAABMA2ngHpEjd4IbtB6fkSN3gg3Q0lRLk5BU0RBUTpDQUxNLklRX1VO</t>
  </si>
  <si>
    <t>RUFSTl9SRVZfTFQuOTk3LjI5LzAzLzIwMjYuLi5VU0QuSAEAAAAgegUAAwAAAAAADaeAekSN3ghZW3p+RI3eCDlDSVEuTkFTREFROkNBTE0uSVFfUFJFRl9OT05fUkVERUVNLjk5Ny4yOS8wMy8yMDI2Li4uVVNELkgBAAAAIHoFAAMAAAAAAA2ngHpEjd4Inpd5fkSN3ghNQ0lRLk5BU0RBUTpDQUxNLklRX09QRVJBVElOR19MRUFTRV9MSUFCSUxJVElFU19OT05DQVNILjk5Ny4yOS8wMy8yMDI2Li4uVVNELkgBAAAAIHoFAAMAAAAAAI2Bf3pEjd4IlPd/fkSN3ggzQ0lRLk5BU0RBUTpDQUxNLklRX1NUX0lOVkVTVC45OTUuMjkvMDMvMjAyNi4uLlVTRC5IAQAAACB6BQACAAAABzE1NC4xNjMBCAAAAAUAAAABMQEAAAALLTIwODgzNDc0NjkDAAAAAzE2MAIAAAAEMTA2OQQAAAABMAcAAAAJMy8yOS8yMDI2CAAAAAk1LzMwLzIwMjAJAAAAATCNgX96RI3eCP0mf35Ejd4ILENJUS5OQVNEQVE6Q0FMTS5JUV9BUi45OTguMjkvMDMvMjAyNi4uLlVTRC5IAQAAACB6BQACAAAABjExMC45OAEIAAAABQAAAAExAQAAAAstMTkzNDk3ODQyMAMAAAADMTYwAgAAAAQxMDIxBAAAAAEwBwAAAAkzLzI5LzIwMjYIAAAACDYvMy8yMDIzCQAAAAEwjYF/ekSN3gjS/35+RI3eCDVDSVEuTkFTREFROkNBTE0uSVFfUFJFUEFJRF9FWFAuOTk2LjI5LzAzLzIwMjYuLi5VU0QuSAEAAAAgegUAAgAAAAU1LjQwNwEIAAAABQAAAAExAQAA</t>
  </si>
  <si>
    <t>AAstMjAzNzI0MTcyMQMAAAADMTYwAgAAAAQxMjEyBAAAAAEwBwAAAAkzLzI5LzIwMjYIAAAACTUvMjkvMjAyMQkAAAABMLVYgHpEjd4IbmN+fkSN3gg5Q0lRLk5BU0RBUTpDQUxNLklRX1JFU1RSSUNURURfQ0FTSC45OTcuMjkvMDMvMjAyNi4uLlVTRC5IAQAAACB6BQADAAAAAADZf4B6RI3eCA7afX5Ejd4IP0NJUS5OQVNEQVE6Q0FMTS5JUV9DQVNIX0lOVEVSRVNUX0lOVkVTVC4xMDAwLjI5LzAzLzIwMjYuLi5VU0QuSAEAAAAgegUAAwAAAAAAG1l/ekSN3ghZkoF+RI3eCDRDSVEuTkFTREFROkNBTE0uSVFfQ0FTSF9UQVhFUy45OTkuMjkvMDMvMjAyNi4uLlVTRC5IAQAAACB6BQACAAAABjM1LjEwMQEIAAAABQAAAAExAQAAAAstMTkzNDk3ODQ4MAMAAAADMTYwAgAAAAQzMDUzBAAAAAEwBwAAAAkzLzI5LzIwMjYIAAAACDYvMS8yMDI0CQAAAAEwG1l/ekSN3ggra4F+RI3eCDpDSVEuTkFTREFROkNBTE0uSVFfQ0FTSF9UQVhFU19GSU5BTi45OTMuMjkvMDMvMjAyNi4uLlVTRC5IAQAAACB6BQADAAAAAACNgX96RI3eCM0cgX5Ejd4IN0NJUS5OQVNEQVE6Q0FMTS5JUV9VTkxFVkVSRURfRkNGLjk5OS4yOS8wMy8yMDI2Li4uVVNELkgBAAAAIHoFAAIAAAAJMjI2LjM1Mjc1AQgAAAAFAAAAATEBAAAACy0xOTM0OTc4NDgwAwAAAAMxNjACAAAABDQ0MjMEAAAAATAHAAAACTMvMjkvMjAyNggAAAAINi8xLzIw</t>
  </si>
  <si>
    <t>MjQJAAAAATCNgX96RI3eCM26gH5Ejd4INUNJUS5OQVNEQVE6Q0FMTS5JUV9NQUlOVF9DQVBFWC45OTMuMjkvMDMvMjAyNi4uLlVTRC5IAQAAACB6BQADAAAAAACNgX96RI3eCMlsgH5Ejd4IR0NJUS5OQVNEQVE6Q0FMTS5JUV9ERVBSRUNJQVRJT05fUkVOVEFMX0FTU0VUU19DRi45OTYuMjkvMDMvMjAyNi4uLlVTRC5IAQAAACB6BQADAAAAAACmMYB6RI3eCPHSgn5Ejd4IQENJUS5OQVNEQVE6Q0FMTS5JUV9EQV9DRl9FWENMX09QRVJfTEVBU0VTLjk5My4yOS8wMy8yMDI2Li4uVVNELkgBAAAAIHoFAAIAAAAGNTQuMDI2AQgAAAAFAAAAATEBAAAACjIwNDU3NDkzMTADAAAAAzE2MAIAAAAFNDg5ODUEAAAAATAHAAAACTMvMjkvMjAyNggAAAAINi8yLzIwMTgJAAAAATCmMYB6RI3eCKl8gn5Ejd4IN0NJUS5OQVNEQVE6Q0FMTS5JUV9BTU9SVF9ESUNfQ0YuMTAwMC4yOS8wMy8yMDI2Li4uVVNELkgBAAAAIHoFAAMAAAAAAKYxgHpEjd4ImVWCfkSN3gg3Q0lRLk5BU0RBUTpDQUxNLklRX0NBU0hfSU5URVJFU1QuOTk0LjI5LzAzLzIwMjYuLi5VU0QuSAEAAAAgegUAAgAAAAUwLjY0NAEIAAAABQAAAAExAQAAAAstMjE0MjQyOTAzOQMAAAADMTYwAgAAAAQzMDI4BAAAAAEwBwAAAAkzLzI5LzIwMjYIAAAACDYvMS8yMDE5CQAAAAEwG1l/ekSN3giHLoJ+RI3eCEBDSVEuTkFTREFROkNBTE0uSVFfQ0FTSF9JTlRF</t>
  </si>
  <si>
    <t>UkVTVF9SRUNFSVZFRC45OTMuMjkvMDMvMjAyNi4uLlVTRC5IAQAAACB6BQADAAAAAAAbWX96RI3eCGfggX5Ejd4IN0NJUS5OQVNEQVE6Q0FMTS5JUV9DT01NT05fSVNTVUVELjk5Ny4yOS8wMy8yMDI2Li4uVVNELkgBAAAAIHoFAAIAAAAFMC4wMDMBCAAAAAUAAAABMQEAAAALLTE5ODY3MDg0MzMDAAAAAzE2MAIAAAAEMjE2OQQAAAABMAcAAAAJMy8yOS8yMDI2CAAAAAk1LzI4LzIwMjIJAAAAATDXCoB6RI3eCGnghH5Ejd4INUNJUS5OQVNEQVE6Q0FMTS5JUV9QUkVGX0lTU1VFRC45OTguMjkvMDMvMjAyNi4uLlVTRC5IAQAAACB6BQADAAAAAADXCoB6RI3eCE+5hH5Ejd4INUNJUS5OQVNEQVE6Q0FMTS5JUV9QUkVGX0RJVl9DRi45OTYuMjkvMDMvMjAyNi4uLlVTRC5IAQAAACB6BQADAAAAAADXCoB6RI3eCD+ShH5Ejd4IO0NJUS5OQVNEQVE6Q0FMTS5JUV9UT1RBTF9ESVZfUEFJRF9DRi45OTQuMjkvMDMvMjAyNi4uLlVTRC5IAQAAACB6BQACAAAABy00MS43MTMBCAAAAAUAAAABMQEAAAALLTIxNDI0MjkwMzkDAAAAAzE2MAIAAAAEMjAyMgQAAAABMAcAAAAJMy8yOS8yMDI2CAAAAAg2LzEvMjAxOQkAAAABMNcKgHpEjd4ILjCEfkSN3ghBQ0lRLk5BU0RBUTpDQUxNLklRX09USEVSX0ZJTkFOQ0VfQUNUX1NVUFBMLjk5NC4yOS8wMy8yMDI2Li4uVVNELkgBAAAAIHoFAAMAAAAAAKYxgHpEjd4INuKDfkSN</t>
  </si>
  <si>
    <t>3gg8Q0lRLk5BU0RBUTpDQUxNLklRX0lOVkVTVF9TRUNVUklUWV9DRi45OTQuMjkvMDMvMjAyNi4uLlVTRC5IAQAAACB6BQACAAAABjM2LjQ4NgEIAAAABQAAAAExAQAAAAstMjE0MjQyOTAzOQMAAAADMTYwAgAAAAQyMDI3BAAAAAEwBwAAAAkzLzI5LzIwMjYIAAAACDYvMS8yMDE5CQAAAAEw1wqAekSN3gjrBYZ+RI3eCEBDSVEuTkFTREFROkNBTE0uSVFfT1RIRVJfSU5WRVNUX0FDVF9TVVBQTC45OTUuMjkvMDMvMjAyNi4uLlVTRC5IAQAAACB6BQADAAAAAADXCoB6RI3eCJC3hX5Ejd4IOENJUS5OQVNEQVE6Q0FMTS5JUV9TVF9ERUJUX0lTU1VFRC45OTQuMjkvMDMvMjAyNi4uLlVTRC5IAQAAACB6BQADAAAAAADXCoB6RI3eCLp8hX5Ejd4IO0NJUS5OQVNEQVE6Q0FMTS5JUV9UT1RBTF9ERUJUX0lTU1VFRC45OTUuMjkvMDMvMjAyNi4uLlVTRC5IAQAAACB6BQADAAAAAADXCoB6RI3eCKVVhX5Ejd4IOENJUS5OQVNEQVE6Q0FMTS5JUV9MVF9ERUJUX1JFUEFJRC45OTYuMjkvMDMvMjAyNi4uLlVTRC5IAQAAACB6BQACAAAABi0wLjIwNQEIAAAABQAAAAExAQAAAAstMjAzNzI0MTcyMQMAAAADMTYwAgAAAAQyMDM2BAAAAAEwBwAAAAkzLzI5LzIwMjYIAAAACTUvMjkvMjAyMQkAAAABMNcKgHpEjd4IfS6FfkSN3ggzQ0lRLk5BU0RBUTpDQUxNLklRX0NIQU5HRV9BUC45OTcuMjkvMDMvMjAyNi4uLlVTRC5I</t>
  </si>
  <si>
    <t>AQAAACB6BQACAAAABjI5Ljk5MwEIAAAABQAAAAExAQAAAAstMTk4NjcwODQzMwMAAAADMTYwAgAAAAQyMDE3BAAAAAEwBwAAAAkzLzI5LzIwMjYIAAAACTUvMjgvMjAyMgkAAAABMIvjf3pEjd4Ioz6HfkSN3gg5Q0lRLk5BU0RBUTpDQUxNLklRX0NIQU5HRV9JTkNfVEFYLjEwMDAuMjkvMDMvMjAyNi4uLlVTRC5IAQAAACB6BQACAAAABy00NS45NDYBCAAAAAUAAAABMQEAAAALLTE5MzQ5NzgzODEDAAAAAzE2MAIAAAAEMjEwMQQAAAABMAcAAAAJMy8yOS8yMDI2CAAAAAk1LzMxLzIwMjUJAAAAATCL4396RI3eCKsXh35Ejd4IRkNJUS5OQVNEQVE6Q0FMTS5JUV9DSEFOR0VfT1RIRVJfTkVUX09QRVJfQVNTRVRTLjk5My4yOS8wMy8yMDI2Li4uVVNELkgBAAAAIHoFAAMAAAAAAIvjf3pEjd4IZ8mGfkSN3ggvQ0lRLk5BU0RBUTpDQUxNLklRX0NBUEVYLjk5Ni4yOS8wMy8yMDI2Li4uVVNELkgBAAAAIHoFAAIAAAAHLTk1LjA2OQEIAAAABQAAAAExAQAAAAstMjAzNzI0MTcyMQMAAAADMTYwAgAAAAQyMDIxBAAAAAEwBwAAAAkzLzI5LzIwMjYIAAAACTUvMjkvMjAyMQkAAAABMIvjf3pEjd4IWKKGfkSN3gg5Q0lRLk5BU0RBUTpDQUxNLklRX0NBU0hfQUNRVUlSRV9DRi45OTkuMjkvMDMvMjAyNi4uLlVTRC5IAQAAACB6BQACAAAABy01My43NDYBCAAAAAUAAAABMQEAAAALLTE5MzQ5Nzg0ODADAAAAAzE2MAIA</t>
  </si>
  <si>
    <t>AAAEMjA1NwQAAAABMAcAAAAJMy8yOS8yMDI2CAAAAAg2LzEvMjAyNAkAAAABMIvjf3pEjd4IUHuGfkSN3gg8Q0lRLk5BU0RBUTpDQUxNLklRX0dXX0lOVEFOX0FNT1JUX0NGLjEwMDAuMjkvMDMvMjAyNi4uLlVTRC5IAQAAACB6BQACAAAABTIuMTU4AQgAAAAFAAAAATEBAAAACy0xOTM0OTc4MzgxAwAAAAMxNjACAAAABDIxODIEAAAAATAHAAAACTMvMjkvMjAyNggAAAAJNS8zMS8yMDI1CQAAAAEwSLx/ekSN3gjMVol+RI3eCD5DSVEuTkFTREFROkNBTE0uSVFfTUlOT1JJVFlfSU5URVJFU1RfQ0YuOTk4LjI5LzAzLzIwMjYuLi5VU0QuSAEAAAAgegUAAwAAAAAASLx/ekSN3giXCIl+RI3eCDJDSVEuTkFTREFROkNBTE0uSVFfTE9BTlNfQ0YuOTk2LjI5LzAzLzIwMjYuLi5VU0QuSAEAAAAgegUAAwAAAAAAi+N/ekSN3ghOpoh+RI3eCD1DSVEuTkFTREFROkNBTE0uSVFfVEFYX0JFTkVGSVRfT1BUSU9OUy45OTMuMjkvMDMvMjAyNi4uLlVTRC5IAQAAACB6BQADAAAAAACL4396RI3eCEUxiH5Ejd4IO0NJUS5OQVNEQVE6Q0FMTS5JUV9QUk9WX0JBRF9ERUJUU19DRi45OTguMjkvMDMvMjAyNi4uLlVTRC5IAQAAACB6BQADAAAAAACL4396RI3eCPTih35Ejd4IO0NJUS5OQVNEQVE6Q0FMTS5JUV9TVE9DS19CQVNFRF9PVEhFUi45OTQuMjkvMDMvMjAyNi4uLlVTRC5IAQAAACB6BQADAAAAAABIvH96RI3eCETx</t>
  </si>
  <si>
    <t>in5Ejd4IOUNJUS5OQVNEQVE6Q0FMTS5JUV9TVE9DS19CQVNFRF9BVC4xMDAwLjI5LzAzLzIwMjYuLi5VU0QuSAEAAAAgegUAAwAAAAAASLx/ekSN3ghGyop+RI3eCDpDSVEuTkFTREFROkNBTE0uSVFfUkVTVFJfU1RPQ0tfQ09NUC45OTguMjkvMDMvMjAyNi4uLlVTRC5IAQAAACB6BQADAAAAAABIvH96RI3eCOAZin5Ejd4IQUNJUS5OQVNEQVE6Q0FMTS5JUV9TVE9DS19CQVNFRF9DT01QX1BSRVRBWC45OTYuMjkvMDMvMjAyNi4uLlVTRC5IAQAAACB6BQACAAAABTMuNzc4AEi8f3pEjd4IAfOJfkSN3gg1Q0lRLk5BU0RBUTpDQUxNLklRX0RBX1NVUFBMX0NGLjk5NC4yOS8wMy8yMDI2Li4uVVNELkgBAAAAIHoFAAIAAAAFNTEuODUBCAAAAAUAAAABMQEAAAALLTIxNDI0MjkwMzkDAAAAAzE2MAIAAAAEMjE3MQQAAAABMAcAAAAJMy8yOS8yMDI2CAAAAAg2LzEvMjAxOQkAAAABMEi8f3pEjd4I4X2JfkSN3ghBQ0lRLk5BU0RBUTpDQUxNLklRX0dBSU5fQkFSR0FJTl9BQ1FfU1VQUExFLjk5NC4yOS8wMy8yMDI2Li4uVVNELkgBAAAAIHoFAAMAAAAAAJSAlnpEjd4IBT6MfkSN3gg9Q0lRLk5BU0RBUTpDQUxNLklRX0xFR0FMX1NFVFRMRV9TVVBQTEUuOTk4LjI5LzAzLzIwMjYuLi5VU0QuSAEAAAAgegUAAwAAAAAAlICWekSN3gjMFox+RI3eCDtDSVEuTkFTREFROkNBTE0uSVFfTkVHQVRJVkVfR1dfQU1PUlQu</t>
  </si>
  <si>
    <t>OTk4LjI5LzAzLzIwMjYuLi5VU0QuSAEAAAAgegUAAwAAAAAAlICWekSN3gh8jYt+RI3eCDhDSVEuTkFTREFROkNBTE0uSVFfU1RPQ0tfQkFTRURfU00uOTk2LjI5LzAzLzIwMjYuLi5VU0QuSAEAAAAgegUAAwAAAAAAlICWekSN3gh3Zot+RI3eCDpDSVEuTkFTREFROkNBTE0uSVFfU1RPQ0tfQkFTRURfU0dBLjEwMDAuMjkvMDMvMjAyNi4uLlVTRC5IAQAAACB6BQADAAAAAACNgX96RI3eCE8Yi35Ejd4IN0NJUS5OQVNEQVE6Q0FMTS5JUV9BSVJDUkFGVF9SRU5ULjk5NC4yOS8wMy8yMDI2Li4uVVNELkgBAAAAIHoFAAMAAAAAAIpZlnpEjd4IkoqNfkSN3ghBQ0lRLk5BU0RBUTpDQUxNLklRX0VYUExPUkVfRFJJTExfRVhQX1RPVEFMLjk5OC4yOS8wMy8yMDI2Li4uVVNELkgBAAAAIHoFAAMAAAAAAIpZlnpEjd4ISGONfkSN3ghBQ0lRLk5BU0RBUTpDQUxNLklRX1NBTEFSSUVTX09USEVSX0JFTkVGSVRTLjk5Ni4yOS8wMy8yMDI2Li4uVVNELkgBAAAAIHoFAAMAAAAAAIpZlnpEjd4IcyiNfkSN3gg+Q0lRLk5BU0RBUTpDQUxNLklRX0lNUEFJUk1FTlRfR1dfU1VQUExFLjk5Ni4yOS8wMy8yMDI2Li4uVVNELkgBAAAAIHoFAAMAAAAAAIpZlnpEjd4IN7OMfkSN3gg2Q0lRLk5BU0RBUTpDQUxNLklRX0lQUkRfU1VQUExFLjEwMDAuMjkvMDMvMjAyNi4uLlVTRC5IAQAAACB6BQADAAAAAACUgJZ6RI3eCCSMjH5E</t>
  </si>
  <si>
    <t>jd4ILUNJUS5OQVNEQVE6Q0FMTS5JUV9ESUMuOTk0LjI5LzAzLzIwMjYuLi5VU0QuSAEAAAAgegUAAwAAAAAAfTKWekSN3ghn6o5+RI3eCDVDSVEuTkFTREFROkNBTE0uSVFfQURWRVJUSVNJTkcuOTk4LjI5LzAzLzIwMjYuLi5VU0QuSAEAAAAgegUAAwAAAAAAilmWekSN3gg9w45+RI3eCDNDSVEuTkFTREFROkNBTE0uSVFfUkRfRVhQX0ZOLjk5Ni4yOS8wMy8yMDI2Li4uVVNELkgBAAAAIHoFAAMAAAAAAIpZlnpEjd4IG3WOfkSN3gg7Q0lRLk5BU0RBUTpDQUxNLklRX0NPTlRJTkdFTlRfUkVOVEFMLjk5NC4yOS8wMy8yMDI2Li4uVVNELkgBAAAAIHoFAAMAAAAAAIpZlnpEjd4I6v+NfkSN3gg5Q0lRLk5BU0RBUTpDQUxNLklRX01JTklNVU1fUkVOVEFMLjEwMDAuMjkvMDMvMjAyNi4uLlVTRC5IAQAAACB6BQADAAAAAACKWZZ6RI3eCNrYjX5Ejd4IMUNJUS5OQVNEQVE6Q0FMTS5JUV9OSV9OT1JNLjk5Ni4yOS8wMy8yMDI2Li4uVVNELkgBAAAAIHoFAAIAAAAFLTMuNTEBCAAAAAUAAAABMQEAAAALLTIwMzcyNDE3MjEDAAAAAzE2MAIAAAAENDM3OAQAAAABMAcAAAAJMy8yOS8yMDI2CAAAAAk1LzI5LzIwMjEJAAAAATB9MpZ6RI3eCMMukH5Ejd4IP0NJUS5OQVNEQVE6Q0FMTS5JUV9DQVBJVEFMSVpFRF9JTlRFUkVTVC4xMDAwLjI5LzAzLzIwMjYuLi5VU0QuSAEAAAAgegUAAwAAAAAAfTKWekSN3gixB5B+</t>
  </si>
  <si>
    <t>RI3eCEtDSVEuTkFTREFROkNBTE0uSVFfSU5URVJFU1RfRVhQX0xFQVNFX0xJQUJJTElUWV9ERUJULjk5NC4yOS8wMy8yMDI2Li4uVVNELkgBAAAAIHoFAAMAAAAAAH0ylnpEjd4In+CPfkSN3gg7Q0lRLk5BU0RBUTpDQUxNLklRX0lOVF9FWFBfSU5DTF9DQVAuMTAwMC4yOS8wMy8yMDI2Li4uVVNELkgBAAAAIHoFAAIAAAAFMC42MTIBCAAAAAUAAAABMQEAAAALLTE5MzQ5NzgzODEDAAAAAzE2MAIAAAAFMjE4NjEEAAAAATAHAAAACTMvMjkvMjAyNggAAAAJNS8zMS8yMDI1CQAAAAEwfTKWekSN3gh/uY9+RI3eCElDSVEuTkFTREFROkNBTE0uSVFfRElTVFJJQlVUQUJMRV9DQVNIX1NUQU5EQVJESVpFRC45OTguMjkvMDMvMjAyNi4uLlVTRC5IAQAAACB6BQADAAAAAAB9MpZ6RI3eCGNEj35Ejd4IQ0NJUS5OQVNEQVE6Q0FMTS5JUV9FQVJOSU5HX1BBUkVOVF9FWENMX0VYVFJBLjk5Ni4yOS8wMy8yMDI2Li4uVVNELkgBAAAAIHoFAAIAAAAEMi4wNgEIAAAABQAAAAExAQAAAAstMjAzNzI0MTcyMQMAAAADMTYwAgAAAAU0MTU5NgQAAAABMAcAAAAJMy8yOS8yMDI2CAAAAAk1LzI5LzIwMjEJAAAAATBXC5Z6RI3eCFR7kX5Ejd4IOkNJUS5OQVNEQVE6Q0FMTS5JUV9JTlRFUkVTVF9JTkNPTUUuMTAwMC4yOS8wMy8yMDI2Li4uVVNELkgBAAAAIHoFAAIAAAAGNTkuODY4AQgAAAAFAAAAATEBAAAACy0xOTM0OTc4</t>
  </si>
  <si>
    <t>MzgxAwAAAAMxNjACAAAAAzIxMAQAAAABMAcAAAAJMy8yOS8yMDI2CAAAAAk1LzMxLzIwMjUJAAAAATBXC5Z6RI3eCD1UkX5Ejd4IQUNJUS5OQVNEQVE6Q0FMTS5JUV9FWENJU0VfVEFYRVNfRVhDTF9TQUxFUy45OTQuMjkvMDMvMjAyNi4uLlVTRC5IAQAAACB6BQADAAAAAABXC5Z6RI3eCDMtkX5Ejd4IPUNJUS5OQVNEQVE6Q0FMTS5JUV9DVVJSX0RPTUVTVElDX1RBWEVTLjk5OC4yOS8wMy8yMDI2Li4uVVNELkgBAAAAIHoFAAIAAAAHMjE3LjM1MQEIAAAABQAAAAExAQAAAAstMTkzNDk3ODQyMAMAAAADMTYwAgAAAAQzMDI3BAAAAAEwBwAAAAkzLzI5LzIwMjYIAAAACDYvMy8yMDIzCQAAAAEwVwuWekSN3gggBpF+RI3eCEFDSVEuTkFTREFROkNBTE0uSVFfREVGRVJSRURfRE9NRVNUSUNfVEFYRVMuOTk4LjI5LzAzLzIwMjYuLi5VU0QuSAEAAAAgegUAAgAAAAYyNC40NjcBCAAAAAUAAAABMQEAAAALLTE5MzQ5Nzg0MjADAAAAAzE2MAIAAAAEMzA1NAQAAAABMAcAAAAJMy8yOS8yMDI2CAAAAAg2LzMvMjAyMwkAAAABMFcLlnpEjd4IE5GQfkSN3gg/Q0lRLk5BU0RBUTpDQUxNLklRX0VCSVRBX0VRX0lOQ19FWENMX1NCQy45OTQuMjkvMDMvMjAyNi4uLlVTRC5IAQAAACB6BQACAAAABjU3LjAwOQEIAAAABQAAAAExAQAAAAstMjE0MjQyOTAzOQMAAAADMTYwAgAAAAUyNDEzMgQAAAABMAcAAAAJMy8yOS8y</t>
  </si>
  <si>
    <t>MDI2CAAAAAg2LzEvMjAxOQkAAAABMFvklXpEjd4I6u6SfkSN3gg5Q0lRLk5BU0RBUTpDQUxNLklRX0VCSVRBX0VYQ0xfU0JDLjEwMDAuMjkvMDMvMjAyNi4uLlVTRC5IAQAAACB6BQACAAAACDE1NTguMTIxAQgAAAAFAAAAATEBAAAACy0xOTM0OTc4MzgxAwAAAAMxNjACAAAABTI0MTM2BAAAAAEwBwAAAAkzLzI5LzIwMjYIAAAACTUvMzEvMjAyNQkAAAABMFvklXpEjd4IzaCSfkSN3gg4Q0lRLk5BU0RBUTpDQUxNLklRX0VCSVREQVJfRVFfSU5DLjk5NC4yOS8wMy8yMDI2Li4uVVNELkgBAAAAIHoFAAMAAAAAAFcLlnpEjd4I4XmSfkSN3gg6Q0lRLk5BU0RBUTpDQUxNLklRX0VCSVREQVJfRVhDTF9TQkMuOTk4LjI5LzAzLzIwMjYuLi5VU0QuSAEAAAAgegUAAwAAAAAAVwuWekSN3gjBUpJ+RI3eCD9DSVEuTkFTREFROkNBTE0uSVFfVE9UQUxfUkVWX0FTX1JFUE9SVEVELjk5Ni4yOS8wMy8yMDI2Li4uVVNELkgBAAAAIHoFAAMAAAAAAFcLlnpEjd4ITwSSfkSN3gg1Q0lRLk5BU0RBUTpDQUxNLklRX1RPVEFMX0RFQlQuMTAwMC4yOS8wMy8yMDI2Li4uVVNELkgBAAAAIHoFAAIAAAABMAEIAAAABQAAAAExAQAAAAstMTkzNDk3ODM4MQMAAAADMTYwAgAAAAQ0MTczBAAAAAEwBwAAAAkzLzI5LzIwMjYIAAAACTUvMzEvMjAyNQkAAAABMMEuLXpEjd4I1+t0fkSN3ggzQ0lRLk5BU0RBUTpDQUxNLklRX01BQ0hJ</t>
  </si>
  <si>
    <t>TkVSWS45OTYuMjkvMDMvMjAyNi4uLlVTRC5IAQAAACB6BQACAAAABzU4NC43NzgBCAAAAAUAAAABMQEAAAALLTIwMzcyNDE3MjEDAAAAAzE2MAIAAAAEMzExNAQAAAABMAcAAAAJMy8yOS8yMDI2CAAAAAk1LzI5LzIwMjEJAAAAATDAVS16RI3eCE4Wc35Ejd4IOENJUS5OQVNEQVE6Q0FMTS5JUV9FQklUREFfRVFfSU5DLjEwMDAuMjkvMDMvMjAyNi4uLlVTRC5IAQAAACB6BQACAAAACDE2NTEuNjc4AQgAAAAFAAAAATEBAAAACy0xOTM0OTc4MzgxAwAAAAMxNjACAAAABTIxNjc3BAAAAAEwBwAAAAkzLzI5LzIwMjYIAAAACTUvMzEvMjAyNQkAAAABMBWf5HpEjd4Iz/GTfkSN3ghBQ0lRLk5BU0RBUTpDQUxNLklRX0xFQVNFX0FESlVTVE1FTlRfRUJJVERBLjk5OC4yOS8wMy8yMDI2Li4uVVNELkgBAAAAIHoFAAMAAAAAABWf5HpEjd4IFZ+TfkSN3gg+Q0lRLk5BU0RBUTpDQUxNLklRX0VCSVRfRVFfSU5DX0VYQ0xfU0JDLjk5Ni4yOS8wMy8yMDI2Li4uVVNELkgBAAAAIHoFAAIAAAAHLTE4Ljg4MgEIAAAABQAAAAExAQAAAAstMjAzNzI0MTcyMQMAAAADMTYwAgAAAAUyNDEzMAQAAAABMAcAAAAJMy8yOS8yMDI2CAAAAAk1LzI5LzIwMjEJAAAAATBBxuR6RI3eCAI9k35Ejd4IOUNJUS5OQVNEQVE6Q0FMTS5JUV9PVEhFUl9DTF9TVVBQTC4xMDAwLjI5LzAzLzIwMjYuLi5VU0QuSAEAAAAgegUAAgAAAAcxMTQu</t>
  </si>
  <si>
    <t>MTYzAQgAAAAFAAAAATEBAAAACy0xOTM0OTc4MzgxAwAAAAMxNjACAAAABDEwNTcEAAAAATAHAAAACTMvMjkvMjAyNggAAAAJNS8zMS8yMDI1CQAAAAEwDaeAekSN3ghu0Hp+RI3eCDlDSVEuTkFTREFROkNBTE0uSVFfRklOX0RJVl9MSUFCX0xULjk5NS4yOS8wMy8yMDI2Li4uVVNELkgBAAAAIHoFAAMAAAAAAA2ngHpEjd4IWVt6fkSN3gg9Q0lRLk5BU0RBUTpDQUxNLklRX1RPVEFMX0NPTU1PTl9FUVVJVFkuOTk2LjI5LzAzLzIwMjYuLi5VU0QuSAEAAAAgegUAAgAAAAgxMDEyLjc4MQEIAAAABQAAAAExAQAAAAstMjAzNzI0MTcyMQMAAAADMTYwAgAAAAQxMDA2BAAAAAEwBwAAAAkzLzI5LzIwMjYIAAAACTUvMjkvMjAyMQkAAAABMJbgLHpEjd4IfcB4fkSN3ghIQ0lRLk5BU0RBUTpDQUxNLklRX1JVQV9PUEVSQVRJTkdfTEVBU0VfQUNDVU1fREVQLjEwMDAuMjkvMDMvMjAyNi4uLlVTRC5IAQAAACB6BQADAAAAAAC6By16RI3eCBdxd35Ejd4IUkNJUS5OQVNEQVE6Q0FMTS5JUV9GSU5BTkNJTkdfT0JMSUdfQ1VSUkVOVF9FWENMX09QRVJfTEVBU0VTLjk5Ni4yOS8wMy8yMDI2Li4uVVNELkgBAAAAIHoFAAIAAAAFMC4yMTUBCAAAAAUAAAABMQEAAAALLTIwMzcyNDE3MjEDAAAAAzE2MAIAAAAFNDg5ODAEAAAAATAHAAAACTMvMjkvMjAyNggAAAAJNS8yOS8yMDIxCQAAAAEwugctekSN3gimS3Z+RI3eCDVD</t>
  </si>
  <si>
    <t>SVEuTkFTREFROkNBTE0uSVFfT1RIRVJfSU5UQU4uOTkzLjI5LzAzLzIwMjYuLi5VU0QuSAEAAAAgegUAAgAAAAYyNi4zMDcBCAAAAAUAAAABMQEAAAAKMjA0NTc0OTMxMAMAAAADMTYwAgAAAAQxMDQwBAAAAAEwBwAAAAkzLzI5LzIwMjYIAAAACDYvMi8yMDE4CQAAAAEw2X+AekSN3giZFn1+RI3eCC9DSVEuTkFTREFROkNBTE0uSVFfQVJfTFQuOTk1LjI5LzAzLzIwMjYuLi5VU0QuSAEAAAAgegUAAwAAAAAA2X+AekSN3gjSwHx+RI3eCDhDSVEuTkFTREFROkNBTE0uSVFfREVGX0NIQVJHRVNfTFQuOTkzLjI5LzAzLzIwMjYuLi5VU0QuSAEAAAAgegUAAwAAAAAA2X+AekSN3giTa3x+RI3eCDtDSVEuTkFTREFROkNBTE0uSVFfQ1VSUkVOVF9QT1JUX0RFQlQuOTk2LjI5LzAzLzIwMjYuLi5VU0QuSAEAAAAgegUAAwAAAAAA2X+AekSN3giSz3t+RI3eCD5DSVEuTkFTREFROkNBTE0uSVFfRklOX0RJVl9MSUFCX0NVUlJFTlQuOTk4LjI5LzAzLzIwMjYuLi5VU0QuSAEAAAAgegUAAwAAAAAA2X+AekSN3gjMWXt+RI3eCEdDSVEuTkFTREFROkNBTE0uSVFfVE9UQUxfREVCVF9SRVBBSURfRVhDTF9MRUFTRVMuOTk3LjI5LzAzLzIwMjYuLi5VU0QuSAEAAAAgegUAAgAAAAYtMC4yMTUBCAAAAAUAAAABMQEAAAALLTE5ODY3MDg0MzMDAAAAAzE2MAIAAAAFNDg5ODYEAAAAATAHAAAACTMvMjkvMjAyNggAAAAJNS8y</t>
  </si>
  <si>
    <t>OC8yMDIyCQAAAAEwjYF/ekSN3ghj0H9+RI3eCDNDSVEuTkFTREFROkNBTE0uSVFfU1RfSU5WRVNULjk5Ni4yOS8wMy8yMDI2Li4uVVNELkgBAAAAIHoFAAIAAAAHMTEyLjE1OAEIAAAABQAAAAExAQAAAAstMjAzNzI0MTcyMQMAAAADMTYwAgAAAAQxMDY5BAAAAAEwBwAAAAkzLzI5LzIwMjYIAAAACTUvMjkvMjAyMQkAAAABMI2Bf3pEjd4I8E1/fkSN3gg4Q0lRLk5BU0RBUTpDQUxNLklRX1NUX05PVEVfUkVDRUlWLjk5Ny4yOS8wMy8yMDI2Li4uVVNELkgBAAAAIHoFAAMAAAAAAEi8f3pEjd4I1bF+fkSN3gg1Q0lRLk5BU0RBUTpDQUxNLklRX1BSRVBBSURfRVhQLjk5Ny4yOS8wMy8yMDI2Li4uVVNELkgBAAAAIHoFAAIAAAAFNC4yODYBCAAAAAUAAAABMQEAAAALLTE5ODY3MDg0MzMDAAAAAzE2MAIAAAAEMTIxMgQAAAABMAcAAAAJMy8yOS8yMDI2CAAAAAk1LzI4LzIwMjIJAAAAATC1WIB6RI3eCG5jfn5Ejd4IQENJUS5OQVNEQVE6Q0FMTS5JUV9GSU5fRElWX0FTU0VUU19DVVJSRU5ULjk5NS4yOS8wMy8yMDI2Li4uVVNELkgBAAAAIHoFAAMAAAAAALVYgHpEjd4I8BR+fkSN3gg6Q0lRLk5BU0RBUTpDQUxNLklRX0NBU0hfVEFYRVNfRklOQU4uOTk0LjI5LzAzLzIwMjYuLi5VU0QuSAEAAAAgegUAAwAAAAAAjYF/ekSN3gjNHIF+RI3eCERDSVEuTkFTREFROkNBTE0uSVFfQ0hBTkdFX05FVF9XT1JLSU5H</t>
  </si>
  <si>
    <t>X0NBUElUQUwuOTkzLjI5LzAzLzIwMjYuLi5VU0QuSAEAAAAgegUAAgAAAActNjguMTI2AQgAAAAFAAAAATEBAAAACjIwNDU3NDkzMTADAAAAAzE2MAIAAAAENDQyMQQAAAABMAcAAAAJMy8yOS8yMDI2CAAAAAg2LzIvMjAxOAkAAAABMI2Bf3pEjd4I2uGAfkSN3gg4Q0lRLk5BU0RBUTpDQUxNLklRX1VOTEVWRVJFRF9GQ0YuMTAwMC4yOS8wMy8yMDI2Li4uVVNELkgBAAAAIHoFAAIAAAAIODQxLjAyMDUBCAAAAAUAAAABMQEAAAALLTE5MzQ5NzgzODEDAAAAAzE2MAIAAAAENDQyMwQAAAABMAcAAAAJMy8yOS8yMDI2CAAAAAk1LzMxLzIwMjUJAAAAATCNgX96RI3eCM26gH5Ejd4INUNJUS5OQVNEQVE6Q0FMTS5JUV9NQUlOVF9DQVBFWC45OTQuMjkvMDMvMjAyNi4uLlVTRC5IAQAAACB6BQADAAAAAACNgX96RI3eCMlsgH5Ejd4IRkNJUS5OQVNEQVE6Q0FMTS5JUV9PUEVSQVRJTkdfTEVBU0VfTElBQklMSVRJRVMuMTAwMC4yOS8wMy8yMDI2Li4uVVNELkgBAAAAIHoFAAMAAAAAAI2Bf3pEjd4IlPd/fkSN3ghAQ0lRLk5BU0RBUTpDQUxNLklRX0RBX0NGX0VYQ0xfT1BFUl9MRUFTRVMuOTk0LjI5LzAzLzIwMjYuLi5VU0QuSAEAAAAgegUAAgAAAAU1NC42NQEIAAAABQAAAAExAQAAAAstMjE0MjQyOTAzOQMAAAADMTYwAgAAAAU0ODk4NQQAAAABMAcAAAAJMy8yOS8yMDI2CAAAAAg2LzEvMjAxOQkAAAABMKYx</t>
  </si>
  <si>
    <t>gHpEjd4It6OCfkSN3ghFQ0lRLk5BU0RBUTpDQUxNLklRX1NBTEVfUFJPQ0VFRFNfUkVOVEFMX0FTU0VUUy45OTcuMjkvMDMvMjAyNi4uLlVTRC5IAQAAACB6BQADAAAAAACmMYB6RI3eCIcugn5Ejd4IQENJUS5OQVNEQVE6Q0FMTS5JUV9DQVNIX0lOVEVSRVNUX1JFQ0VJVkVELjk5NC4yOS8wMy8yMDI2Li4uVVNELkgBAAAAIHoFAAMAAAAAABtZf3pEjd4IZ+CBfkSN3gg+Q0lRLk5BU0RBUTpDQUxNLklRX0NBU0hfSU5URVJFU1RfSU5WRVNULjk5My4yOS8wMy8yMDI2Li4uVVNELkgBAAAAIHoFAAMAAAAAABtZf3pEjd4IT7mBfkSN3gg1Q0lRLk5BU0RBUTpDQUxNLklRX0NBU0hfVEFYRVMuMTAwMC4yOS8wMy8yMDI2Li4uVVNELkgBAAAAIHoFAAIAAAAHNDI2LjE3MgEIAAAABQAAAAExAQAAAAstMTkzNDk3ODM4MQMAAAADMTYwAgAAAAQzMDUzBAAAAAEwBwAAAAkzLzI5LzIwMjYIAAAACTUvMzEvMjAyNQkAAAABMBtZf3pEjd4IK2uBfkSN3gg3Q0lRLk5BU0RBUTpDQUxNLklRX0NPTU1PTl9ESVZfQ0YuOTk5LjI5LzAzLzIwMjYuLi5VU0QuSAEAAAAgegUAAgAAAActOTEuODU2AQgAAAAFAAAAATEBAAAACy0xOTM0OTc4NDgwAwAAAAMxNjACAAAABDIwNzQEAAAAATAHAAAACTMvMjkvMjAyNggAAAAINi8xLzIwMjQJAAAAATDXCoB6RI3eCD+ShH5Ejd4IO0NJUS5OQVNEQVE6Q0FMTS5JUV9UT1RBTF9ESVZf</t>
  </si>
  <si>
    <t>UEFJRF9DRi45OTcuMjkvMDMvMjAyNi4uLlVTRC5IAQAAACB6BQACAAAABi02LjExNwEIAAAABQAAAAExAQAAAAstMTk4NjcwODQzMwMAAAADMTYwAgAAAAQyMDIyBAAAAAEwBwAAAAkzLzI5LzIwMjYIAAAACTUvMjgvMjAyMgkAAAABMNcKgHpEjd4I80OEfkSN3ghBQ0lRLk5BU0RBUTpDQUxNLklRX09USEVSX0ZJTkFOQ0VfQUNUX1NVUFBMLjk5NS4yOS8wMy8yMDI2Li4uVVNELkgBAAAAIHoFAAIAAAAGLTAuNzU1AQgAAAAFAAAAATEBAAAACy0yMDg4MzQ3NDY5AwAAAAMxNjACAAAABDIwNTAEAAAAATAHAAAACTMvMjkvMjAyNggAAAAJNS8zMC8yMDIwCQAAAAEwpjGAekSN3gg24oN+RI3eCCxDSVEuTkFTREFROkNBTE0uSVFfRlguOTk1LjI5LzAzLzIwMjYuLi5VU0QuSAEAAAAgegUAAwAAAAAApjGAekSN3gj0k4N+RI3eCEdDSVEuTkFTREFROkNBTE0uSVFfREVQUkVDSUFUSU9OX1JFTlRBTF9BU1NFVFNfQ0YuOTk3LjI5LzAzLzIwMjYuLi5VU0QuSAEAAAAgegUAAwAAAAAApjGAekSN3ggv+oJ+RI3eCDhDSVEuTkFTREFROkNBTE0uSVFfU1RfREVCVF9JU1NVRUQuOTk3LjI5LzAzLzIwMjYuLi5VU0QuSAEAAAAgegUAAwAAAAAA1wqAekSN3gi6fIV+RI3eCDtDSVEuTkFTREFROkNBTE0uSVFfVE9UQUxfREVCVF9JU1NVRUQuOTk2LjI5LzAzLzIwMjYuLi5VU0QuSAEAAAAgegUAAwAAAAAA1wqAekSN3gil</t>
  </si>
  <si>
    <t>VYV+RI3eCDhDSVEuTkFTREFROkNBTE0uSVFfTFRfREVCVF9SRVBBSUQuOTk3LjI5LzAzLzIwMjYuLi5VU0QuSAEAAAAgegUAAgAAAAYtMC4yMTUBCAAAAAUAAAABMQEAAAALLTE5ODY3MDg0MzMDAAAAAzE2MAIAAAAEMjAzNgQAAAABMAcAAAAJMy8yOS8yMDI2CAAAAAk1LzI4LzIwMjIJAAAAATDXCoB6RI3eCH0uhX5Ejd4IN0NJUS5OQVNEQVE6Q0FMTS5JUV9DT01NT05fSVNTVUVELjk5OC4yOS8wMy8yMDI2Li4uVVNELkgBAAAAIHoFAAMAAAAAANcKgHpEjd4IaeCEfkSN3gg1Q0lRLk5BU0RBUTpDQUxNLklRX1BSRUZfSVNTVUVELjk5OS4yOS8wMy8yMDI2Li4uVVNELkgBAAAAIHoFAAMAAAAAANcKgHpEjd4IT7mEfkSN3ghGQ0lRLk5BU0RBUTpDQUxNLklRX0NIQU5HRV9PVEhFUl9ORVRfT1BFUl9BU1NFVFMuOTk0LjI5LzAzLzIwMjYuLi5VU0QuSAEAAAAgegUAAwAAAAAAi+N/ekSN3ghnyYZ+RI3eCC9DSVEuTkFTREFROkNBTE0uSVFfQ0FQRVguOTk3LjI5LzAzLzIwMjYuLi5VU0QuSAEAAAAgegUAAgAAAActNzIuMzk5AQgAAAAFAAAAATEBAAAACy0xOTg2NzA4NDMzAwAAAAMxNjACAAAABDIwMjEEAAAAATAHAAAACTMvMjkvMjAyNggAAAAJNS8yOC8yMDIyCQAAAAEwi+N/ekSN3ghYooZ+RI3eCD1DSVEuTkFTREFROkNBTE0uSVFfU0FMRV9SRUFMX0VTVEFURV9DRi45OTMuMjkvMDMvMjAyNi4uLlVT</t>
  </si>
  <si>
    <t>RC5IAQAAACB6BQADAAAAAADXCoB6RI3eCDlUhn5Ejd4IPENJUS5OQVNEQVE6Q0FMTS5JUV9JTlZFU1RfU0VDVVJJVFlfQ0YuOTk1LjI5LzAzLzIwMjYuLi5VU0QuSAEAAAAgegUAAgAAAAcxMDQuMTU3AQgAAAAFAAAAATEBAAAACy0yMDg4MzQ3NDY5AwAAAAMxNjACAAAABDIwMjcEAAAAATAHAAAACTMvMjkvMjAyNggAAAAJNS8zMC8yMDIwCQAAAAEw1wqAekSN3gjrBYZ+RI3eCEBDSVEuTkFTREFROkNBTE0uSVFfT1RIRVJfSU5WRVNUX0FDVF9TVVBQTC45OTYuMjkvMDMvMjAyNi4uLlVTRC5IAQAAACB6BQADAAAAAADXCoB6RI3eCObehX5Ejd4IMkNJUS5OQVNEQVE6Q0FMTS5JUV9MT0FOU19DRi45OTcuMjkvMDMvMjAyNi4uLlVTRC5IAQAAACB6BQADAAAAAACL4396RI3eCE6miH5Ejd4IPUNJUS5OQVNEQVE6Q0FMTS5JUV9UQVhfQkVORUZJVF9PUFRJT05TLjk5NC4yOS8wMy8yMDI2Li4uVVNELkgBAAAAIHoFAAMAAAAAAIvjf3pEjd4IRTGIfkSN3gg7Q0lRLk5BU0RBUTpDQUxNLklRX1BST1ZfQkFEX0RFQlRTX0NGLjk5OS4yOS8wMy8yMDI2Li4uVVNELkgBAAAAIHoFAAMAAAAAAIvjf3pEjd4I9OKHfkSN3ggzQ0lRLk5BU0RBUTpDQUxNLklRX0NIQU5HRV9BUi45OTUuMjkvMDMvMjAyNi4uLlVTRC5IAQAAACB6BQACAAAABS0yOC4zAQgAAAAFAAAAATEBAAAACy0yMDg4MzQ3NDY5AwAAAAMxNjACAAAA</t>
  </si>
  <si>
    <t>BDIwMTgEAAAAATAHAAAACTMvMjkvMjAyNggAAAAJNS8zMC8yMDIwCQAAAAEwi+N/ekSN3gibbYd+RI3eCDNDSVEuTkFTREFROkNBTE0uSVFfQ0hBTkdFX0FQLjk5OC4yOS8wMy8yMDI2Li4uVVNELkgBAAAAIHoFAAIAAAAGMTQuOTQ0AQgAAAAFAAAAATEBAAAACy0xOTM0OTc4NDIwAwAAAAMxNjACAAAABDIwMTcEAAAAATAHAAAACTMvMjkvMjAyNggAAAAINi8zLzIwMjMJAAAAATCL4396RI3eCKM+h35Ejd4IQUNJUS5OQVNEQVE6Q0FMTS5JUV9TVE9DS19CQVNFRF9DT01QX1BSRVRBWC45OTcuMjkvMDMvMjAyNi4uLlVTRC5IAQAAACB6BQACAAAABTQuMDYzAEi8f3pEjd4IAfOJfkSN3gg1Q0lRLk5BU0RBUTpDQUxNLklRX0RBX1NVUFBMX0NGLjk5NS4yOS8wMy8yMDI2Li4uVVNELkgBAAAAIHoFAAIAAAAGNTUuMjAzAQgAAAAFAAAAATEBAAAACy0yMDg4MzQ3NDY5AwAAAAMxNjACAAAABDIxNzEEAAAAATAHAAAACTMvMjkvMjAyNggAAAAJNS8zMC8yMDIwCQAAAAEwSLx/ekSN3gjhfYl+RI3eCC9DSVEuTkFTREFROkNBTE0uSVFfREFfQ0YuOTk1LjI5LzAzLzIwMjYuLi5VU0QuSAEAAAAgegUAAgAAAAY1OC4xMDMBCAAAAAUAAAABMQEAAAALLTIwODgzNDc0NjkDAAAAAzE2MAIAAAAEMjE2MAQAAAABMAcAAAAJMy8yOS8yMDI2CAAAAAk1LzMwLzIwMjAJAAAAATBIvH96RI3eCJcIiX5Ejd4IPkNJUS5OQVNE</t>
  </si>
  <si>
    <t>QVE6Q0FMTS5JUV9NSU5PUklUWV9JTlRFUkVTVF9DRi45OTkuMjkvMDMvMjAyNi4uLlVTRC5IAQAAACB6BQADAAAAAABIvH96RI3eCDbhiH5Ejd4IOENJUS5OQVNEQVE6Q0FMTS5JUV9HQUlOX0lOVkVTVF9DRi45OTMuMjkvMDMvMjAyNi4uLlVTRC5IAQAAACB6BQACAAAABDEuNjgBCAAAAAUAAAABMQEAAAAKMjA0NTc0OTMxMAMAAAADMTYwAgAAAAQyMDkwBAAAAAEwBwAAAAkzLzI5LzIwMjYIAAAACDYvMi8yMDE4CQAAAAEwSLx/ekSN3gh4zYh+RI3eCDhDSVEuTkFTREFROkNBTE0uSVFfU1RPQ0tfQkFTRURfU00uOTk3LjI5LzAzLzIwMjYuLi5VU0QuSAEAAAAgegUAAwAAAAAAlICWekSN3ghaP4t+RI3eCDtDSVEuTkFTREFROkNBTE0uSVFfU1RPQ0tfQkFTRURfT1RIRVIuOTk1LjI5LzAzLzIwMjYuLi5VU0QuSAEAAAAgegUAAwAAAAAASLx/ekSN3ghE8Yp+RI3eCD5DSVEuTkFTREFROkNBTE0uSVFfUkVTVFJfU1RPQ0tfQ09NUF9UQVguOTkzLjI5LzAzLzIwMjYuLi5VU0QuSAEAAAAgegUAAwAAAAAASLx/ekSN3ggJfIp+RI3eCDpDSVEuTkFTREFROkNBTE0uSVFfUkVTVFJfU1RPQ0tfQ09NUC45OTkuMjkvMDMvMjAyNi4uLlVTRC5IAQAAACB6BQADAAAAAABIvH96RI3eCOAZin5Ejd4IQENJUS5OQVNEQVE6Q0FMTS5JUV9TVE9DS19PUFRJT05TX0NPTVBfVEFYLjk5My4yOS8wMy8yMDI2Li4uVVNELkgB</t>
  </si>
  <si>
    <t>AAAAIHoFAAMAAAAAAEi8f3pEjd4I4BmKfkSN3gg/Q0lRLk5BU0RBUTpDQUxNLklRX0lNUFVUX09QRVJfTEVBU0VfREVQUi45OTkuMjkvMDMvMjAyNi4uLlVTRC5IAQAAACB6BQADAAAAAACKWZZ6RI3eCHMojX5Ejd4IPkNJUS5OQVNEQVE6Q0FMTS5JUV9JTVBBSVJNRU5UX0dXX1NVUFBMRS45OTcuMjkvMDMvMjAyNi4uLlVTRC5IAQAAACB6BQADAAAAAACKWZZ6RI3eCDezjH5Ejd4IQUNJUS5OQVNEQVE6Q0FMTS5JUV9HQUlOX0JBUkdBSU5fQUNRX1NVUFBMRS45OTUuMjkvMDMvMjAyNi4uLlVTRC5IAQAAACB6BQADAAAAAACUgJZ6RI3eCAU+jH5Ejd4IPkNJUS5OQVNEQVE6Q0FMTS5JUV9UT1RBTF9VTlVTVUFMX1NVUFBMRS45OTMuMjkvMDMvMjAyNi4uLlVTRC5IAQAAACB6BQADAAAAAACUgJZ6RI3eCIbvi35Ejd4IO0NJUS5OQVNEQVE6Q0FMTS5JUV9ORUdBVElWRV9HV19BTU9SVC45OTkuMjkvMDMvMjAyNi4uLlVTRC5IAQAAACB6BQADAAAAAACUgJZ6RI3eCIO0i35Ejd4IM0NJUS5OQVNEQVE6Q0FMTS5JUV9SRF9FWFBfRk4uOTk3LjI5LzAzLzIwMjYuLi5VU0QuSAEAAAAgegUAAwAAAAAAilmWekSN3ggRTo5+RI3eCD9DSVEuTkFTREFROkNBTE0uSVFfTkVUX1JFTlRBTF9FWFBfU1VQUExFLjk5Ny4yOS8wMy8yMDI2Li4uVVNELkgBAAAAIHoFAAMAAAAAAIpZlnpEjd4I6v+NfkSN3gg3Q0lRLk5BU0RB</t>
  </si>
  <si>
    <t>UTpDQUxNLklRX0FJUkNSQUZUX1JFTlQuOTk1LjI5LzAzLzIwMjYuLi5VU0QuSAEAAAAgegUAAwAAAAAAilmWekSN3giSio1+RI3eCEFDSVEuTkFTREFROkNBTE0uSVFfRVhQTE9SRV9EUklMTF9FWFBfVE9UQUwuOTk5LjI5LzAzLzIwMjYuLi5VU0QuSAEAAAAgegUAAwAAAAAAilmWekSN3ghIY41+RI3eCEJDSVEuTkFTREFROkNBTE0uSVFfSU1QVVRfT1BFUl9MRUFTRV9JTlRfRVhQLjk5My4yOS8wMy8yMDI2Li4uVVNELkgBAAAAIHoFAAMAAAAAAIpZlnpEjd4IcyiNfkSN3gg1Q0lRLk5BU0RBUTpDQUxNLklRX1BSRUZfUkVERUVNLjk5OS4yOS8wMy8yMDI2Li4uVVNELkgBAAAAIHoFAAMAAAAAAA2ngHpEjd4I+r55fkSN3ghDQ0lRLk5BU0RBUTpDQUxNLklRX1JVQV9PUEVSQVRJTkdfTEVBU0VfR1JPU1MuOTk1LjI5LzAzLzIwMjYuLi5VU0QuSAEAAAAgegUAAgAAAAUyLjUzMQEIAAAABQAAAAExAQAAAAstMjA4ODM0NzQ2OQMAAAADMTYwAgAAAAU0ODM3NwQAAAABMAcAAAAJMy8yOS8yMDI2CAAAAAk1LzMwLzIwMjAJAAAAATCW4Cx6RI3eCBdxd35Ejd4IM0NJUS5OQVNEQVE6Q0FMTS5JUV9HV19JTlRBTi4xMDAwLjI5LzAzLzIwMjYuLi5VU0QuSAEAAAAgegUAAgAAAAY2MS45MzMBCAAAAAUAAAABMQEAAAALLTE5MzQ5NzgzODEDAAAAAzE2MAIAAAAFMzUzODEEAAAAATAHAAAACTMvMjkvMjAyNggAAAAJ</t>
  </si>
  <si>
    <t>NS8zMS8yMDI1CQAAAAEwwS4tekSN3gh2OnV+RI3eCDVDSVEuTkFTREFROkNBTE0uSVFfQURWRVJUSVNJTkcuOTk5LjI5LzAzLzIwMjYuLi5VU0QuSAEAAAAgegUAAwAAAAAAilmWekSN3ggrnI5+RI3eCDlDSVEuTkFTREFROkNBTE0uSVFfU0FMRVNfTUFSS0VUSU5HLjk5My4yOS8wMy8yMDI2Li4uVVNELkgBAAAAIHoFAAIAAAAENTMuMgEIAAAABQAAAAExAQAAAAoyMDQ1NzQ5MzEwAwAAAAMxNjACAAAABTIxNTYxBAAAAAEwBwAAAAkzLzI5LzIwMjYIAAAACDYvMi8yMDE4CQAAAAEwilmWekSN3ggbdY5+RI3eCC9DSVEuTkFTREFROkNBTE0uSVFfQVJfTFQuOTk2LjI5LzAzLzIwMjYuLi5VU0QuSAEAAAAgegUAAwAAAAAA2X+AekSN3gjSwHx+RI3eCDhDSVEuTkFTREFROkNBTE0uSVFfREVGX0NIQVJHRVNfTFQuOTk0LjI5LzAzLzIwMjYuLi5VU0QuSAEAAAAgegUAAwAAAAAA2X+AekSN3giTa3x+RI3eCCxDSVEuTkFTREFROkNBTE0uSVFfQVAuOTk0LjI5LzAzLzIwMjYuLi5VU0QuSAEAAAAgegUAAgAAAAUzOS4yMQEIAAAABQAAAAExAQAAAAstMjE0MjQyOTAzOQMAAAADMTYwAgAAAAQxMDE4BAAAAAEwBwAAAAkzLzI5LzIwMjYIAAAACDYvMS8yMDE5CQAAAAEw2X+AekSN3ghlHXx+RI3eCD9DSVEuTkFTREFROkNBTE0uSVFfRklOX0RJVl9MSUFCX0NVUlJFTlQuMTAwMC4yOS8wMy8yMDI2Li4uVVNELkgB</t>
  </si>
  <si>
    <t>AAAAIHoFAAMAAAAAANl/gHpEjd4IzFl7fkSN3gg5Q0lRLk5BU0RBUTpDQUxNLklRX0ZJTl9ESVZfTElBQl9MVC45OTguMjkvMDMvMjAyNi4uLlVTRC5IAQAAACB6BQADAAAAAAANp4B6RI3eCFlben5Ejd4IM0NJUS5OQVNEQVE6Q0FMTS5JUV9TVF9JTlZFU1QuOTk3LjI5LzAzLzIwMjYuLi5VU0QuSAEAAAAgegUAAgAAAAcxMTUuNDI5AQgAAAAFAAAAATEBAAAACy0xOTg2NzA4NDMzAwAAAAMxNjACAAAABDEwNjkEAAAAATAHAAAACTMvMjkvMjAyNggAAAAJNS8yOC8yMDIyCQAAAAEwjYF/ekSN3gjwTX9+RI3eCDhDSVEuTkFTREFROkNBTE0uSVFfU1RfTk9URV9SRUNFSVYuOTk4LjI5LzAzLzIwMjYuLi5VU0QuSAEAAAAgegUAAwAAAAAASLx/ekSN3gjVsX5+RI3eCEBDSVEuTkFTREFROkNBTE0uSVFfRklOX0RJVl9BU1NFVFNfQ1VSUkVOVC45OTYuMjkvMDMvMjAyNi4uLlVTRC5IAQAAACB6BQADAAAAAAC1WIB6RI3eCFc8fn5Ejd4ILkNJUS5OQVNEQVE6Q0FMTS5JUV9OUFBFLjk5Ny4yOS8wMy8yMDI2Li4uVVNELkgBAAAAIHoFAAIAAAAHNjc3Ljc5NgEIAAAABQAAAAExAQAAAAstMTk4NjcwODQzMwMAAAADMTYwAgAAAAQxMDA0BAAAAAEwBwAAAAkzLzI5LzIwMjYIAAAACTUvMjgvMjAyMgkAAAABMNl/gHpEjd4I4GR9fkSN3gg1Q0lRLk5BU0RBUTpDQUxNLklRX09USEVSX0lOVEFOLjk5NC4yOS8wMy8y</t>
  </si>
  <si>
    <t>MDI2Li4uVVNELkgBAAAAIHoFAAIAAAAGMjMuNzYyAQgAAAAFAAAAATEBAAAACy0yMTQyNDI5MDM5AwAAAAMxNjACAAAABDEwNDAEAAAAATAHAAAACTMvMjkvMjAyNggAAAAINi8xLzIwMTkJAAAAATDZf4B6RI3eCJkWfX5Ejd4IOkNJUS5OQVNEQVE6Q0FMTS5JUV9DQVNIX1RBWEVTX0ZJTkFOLjk5NS4yOS8wMy8yMDI2Li4uVVNELkgBAAAAIHoFAAMAAAAAAI2Bf3pEjd4IzRyBfkSN3ghEQ0lRLk5BU0RBUTpDQUxNLklRX0NIQU5HRV9ORVRfV09SS0lOR19DQVBJVEFMLjk5NC4yOS8wMy8yMDI2Li4uVVNELkgBAAAAIHoFAAIAAAAGMjIuOTEzAQgAAAAFAAAAATEBAAAACy0yMTQyNDI5MDM5AwAAAAMxNjACAAAABDQ0MjEEAAAAATAHAAAACTMvMjkvMjAyNggAAAAINi8xLzIwMTkJAAAAATCNgX96RI3eCNrhgH5Ejd4INUNJUS5OQVNEQVE6Q0FMTS5JUV9NQUlOVF9DQVBFWC45OTUuMjkvMDMvMjAyNi4uLlVTRC5IAQAAACB6BQADAAAAAACNgX96RI3eCMlsgH5Ejd4IN0NJUS5OQVNEQVE6Q0FMTS5JUV9ET19GSU5BTkNFX0NGLjk5NC4yOS8wMy8yMDI2Li4uVVNELkgBAAAAIHoFAAMAAAAAAI2Bf3pEjd4Iqh6AfkSN3ghHQ0lRLk5BU0RBUTpDQUxNLklRX1RPVEFMX0RFQlRfUkVQQUlEX0VYQ0xfTEVBU0VTLjk5OC4yOS8wMy8yMDI2Li4uVVNELkgBAAAAIHoFAAIAAAAGLTAuMjI0AQgAAAAFAAAAATEBAAAA</t>
  </si>
  <si>
    <t>Cy0xOTM0OTc4NDIwAwAAAAMxNjACAAAABTQ4OTg2BAAAAAEwBwAAAAkzLzI5LzIwMjYIAAAACDYvMy8yMDIzCQAAAAEwjYF/ekSN3gg6nH9+RI3eCDRDSVEuTkFTREFROkNBTE0uSVFfTkVUX0NIQU5HRS45OTYuMjkvMDMvMjAyNi4uLlVTRC5IAQAAACB6BQACAAAABy0yMC43NzgBCAAAAAUAAAABMQEAAAALLTIwMzcyNDE3MjEDAAAAAzE2MAIAAAAEMjA5MwQAAAABMAcAAAAJMy8yOS8yMDI2CAAAAAk1LzI5LzIwMjEJAAAAATCmMYB6RI3eCKhsg35Ejd4IR0NJUS5OQVNEQVE6Q0FMTS5JUV9ERVBSRUNJQVRJT05fUkVOVEFMX0FTU0VUU19DRi45OTguMjkvMDMvMjAyNi4uLlVTRC5IAQAAACB6BQADAAAAAACmMYB6RI3eCC/6gn5Ejd4IRkNJUS5OQVNEQVE6Q0FMTS5JUV9EQV9TVVBQTF9DRl9FWENMX09QRVJfTEVBU0VTLjk5Ny4yOS8wMy8yMDI2Li4uVVNELkgBAAAAIHoFAAIAAAAGNjguMzk1AQgAAAAFAAAAATEBAAAACy0xOTg2NzA4NDMzAwAAAAMxNjACAAAABTQ4OTgzBAAAAAEwBwAAAAkzLzI5LzIwMjYIAAAACTUvMjgvMjAyMgkAAAABMKYxgHpEjd4It6OCfkSN3ghAQ0lRLk5BU0RBUTpDQUxNLklRX0NBU0hfSU5URVJFU1RfUkVDRUlWRUQuOTk1LjI5LzAzLzIwMjYuLi5VU0QuSAEAAAAgegUAAwAAAAAAG1l/ekSN3ghn4IF+RI3eCD5DSVEuTkFTREFROkNBTE0uSVFfQ0FTSF9JTlRFUkVTVF9J</t>
  </si>
  <si>
    <t>TlZFU1QuOTk0LjI5LzAzLzIwMjYuLi5VU0QuSAEAAAAgegUAAwAAAAAAG1l/ekSN3ghPuYF+RI3eCDZDSVEuTkFTREFROkNBTE0uSVFfUFJFRl9JU1NVRUQuMTAwMC4yOS8wMy8yMDI2Li4uVVNELkgBAAAAIHoFAAMAAAAAANcKgHpEjd4IT7mEfkSN3gg4Q0lRLk5BU0RBUTpDQUxNLklRX0NPTU1PTl9ESVZfQ0YuMTAwMC4yOS8wMy8yMDI2Li4uVVNELkgBAAAAIHoFAAIAAAAHLTMzMC4yOQEIAAAABQAAAAExAQAAAAstMTkzNDk3ODM4MQMAAAADMTYwAgAAAAQyMDc0BAAAAAEwBwAAAAkzLzI5LzIwMjYIAAAACTUvMzEvMjAyNQkAAAABMNcKgHpEjd4IP5KEfkSN3gg9Q0lRLk5BU0RBUTpDQUxNLklRX0NPTU1PTl9QUkVGX0RJVl9DRi4xMDAwLjI5LzAzLzIwMjYuLi5VU0QuSAEAAAAgegUAAwAAAAAA1wqAekSN3gjzQ4R+RI3eCEFDSVEuTkFTREFROkNBTE0uSVFfT1RIRVJfRklOQU5DRV9BQ1RfU1VQUEwuOTk2LjI5LzAzLzIwMjYuLi5VU0QuSAEAAAAgegUAAwAAAAAApjGAekSN3gg24oN+RI3eCCxDSVEuTkFTREFROkNBTE0uSVFfRlguOTk2LjI5LzAzLzIwMjYuLi5VU0QuSAEAAAAgegUAAwAAAAAApjGAekSN3ggju4N+RI3eCEBDSVEuTkFTREFROkNBTE0uSVFfT1RIRVJfSU5WRVNUX0FDVF9TVVBQTC45OTcuMjkvMDMvMjAyNi4uLlVTRC5IAQAAACB6BQACAAAABTcuNjU1AQgAAAAFAAAAATEBAAAA</t>
  </si>
  <si>
    <t>Cy0xOTg2NzA4NDMzAwAAAAMxNjACAAAABDIwNTEEAAAAATAHAAAACTMvMjkvMjAyNggAAAAJNS8yOC8yMDIyCQAAAAEw1wqAekSN3gjm3oV+RI3eCDhDSVEuTkFTREFROkNBTE0uSVFfU1RfREVCVF9JU1NVRUQuOTk4LjI5LzAzLzIwMjYuLi5VU0QuSAEAAAAgegUAAwAAAAAA1wqAekSN3gi6fIV+RI3eCDtDSVEuTkFTREFROkNBTE0uSVFfVE9UQUxfREVCVF9JU1NVRUQuOTk3LjI5LzAzLzIwMjYuLi5VU0QuSAEAAAAgegUAAwAAAAAA1wqAekSN3gilVYV+RI3eCDhDSVEuTkFTREFROkNBTE0uSVFfTFRfREVCVF9SRVBBSUQuOTk4LjI5LzAzLzIwMjYuLi5VU0QuSAEAAAAgegUAAgAAAAYtMC4yMjQBCAAAAAUAAAABMQEAAAALLTE5MzQ5Nzg0MjADAAAAAzE2MAIAAAAEMjAzNgQAAAABMAcAAAAJMy8yOS8yMDI2CAAAAAg2LzMvMjAyMwkAAAABMNcKgHpEjd4IfS6FfkSN3gg3Q0lRLk5BU0RBUTpDQUxNLklRX0NPTU1PTl9JU1NVRUQuOTk5LjI5LzAzLzIwMjYuLi5VU0QuSAEAAAAgegUAAwAAAAAA1wqAekSN3ghp4IR+RI3eCDNDSVEuTkFTREFROkNBTE0uSVFfQ0hBTkdFX0FQLjk5OS4yOS8wMy8yMDI2Li4uVVNELkgBAAAAIHoFAAIAAAAFOS4zNTMBCAAAAAUAAAABMQEAAAALLTE5MzQ5Nzg0ODADAAAAAzE2MAIAAAAEMjAxNwQAAAABMAcAAAAJMy8yOS8yMDI2CAAAAAg2LzEvMjAyNAkAAAABMIvjf3pE</t>
  </si>
  <si>
    <t>jd4Ioz6HfkSN3ghGQ0lRLk5BU0RBUTpDQUxNLklRX0NIQU5HRV9PVEhFUl9ORVRfT1BFUl9BU1NFVFMuOTk1LjI5LzAzLzIwMjYuLi5VU0QuSAEAAAAgegUAAwAAAAAAi+N/ekSN3ghnyYZ+RI3eCC9DSVEuTkFTREFROkNBTE0uSVFfQ0FQRVguOTk4LjI5LzAzLzIwMjYuLi5VU0QuSAEAAAAgegUAAgAAAAgtMTM2LjU2OQEIAAAABQAAAAExAQAAAAstMTkzNDk3ODQyMAMAAAADMTYwAgAAAAQyMDIxBAAAAAEwBwAAAAkzLzI5LzIwMjYIAAAACDYvMy8yMDIzCQAAAAEwi+N/ekSN3ghYooZ+RI3eCD1DSVEuTkFTREFROkNBTE0uSVFfU0FMRV9SRUFMX0VTVEFURV9DRi45OTQuMjkvMDMvMjAyNi4uLlVTRC5IAQAAACB6BQADAAAAAADXCoB6RI3eCDlUhn5Ejd4IPENJUS5OQVNEQVE6Q0FMTS5JUV9JTlZFU1RfU0VDVVJJVFlfQ0YuOTk2LjI5LzAzLzIwMjYuLi5VU0QuSAEAAAAgegUAAgAAAAY0Ny40ODgBCAAAAAUAAAABMQEAAAALLTIwMzcyNDE3MjEDAAAAAzE2MAIAAAAEMjAyNwQAAAABMAcAAAAJMy8yOS8yMDI2CAAAAAk1LzI5LzIwMjEJAAAAATDXCoB6RI3eCC4thn5Ejd4IOENJUS5OQVNEQVE6Q0FMTS5JUV9HQUlOX0lOVkVTVF9DRi45OTQuMjkvMDMvMjAyNi4uLlVTRC5IAQAAACB6BQACAAAABTAuOTYyAQgAAAAFAAAAATEBAAAACy0yMTQyNDI5MDM5AwAAAAMxNjACAAAABDIwOTAEAAAAATAHAAAA</t>
  </si>
  <si>
    <t>CTMvMjkvMjAyNggAAAAINi8xLzIwMTkJAAAAATBIvH96RI3eCHjNiH5Ejd4IPUNJUS5OQVNEQVE6Q0FMTS5JUV9BU1NFVF9XUklURURPV05fQ0YuMTAwMC4yOS8wMy8yMDI2Li4uVVNELkgBAAAAIHoFAAMAAAAAAIvjf3pEjd4IPn+IfkSN3gg4Q0lRLk5BU0RBUTpDQUxNLklRX1NUT0NLX0JBU0VEX0NGLjk5Ny4yOS8wMy8yMDI2Li4uVVNELkgBAAAAIHoFAAIAAAAFNC4wNjMBCAAAAAUAAAABMQEAAAALLTE5ODY3MDg0MzMDAAAAAzE2MAIAAAAEMjEyNwQAAAABMAcAAAAJMy8yOS8yMDI2CAAAAAk1LzI4LzIwMjIJAAAAATCL4396RI3eCEUxiH5Ejd4IPENJUS5OQVNEQVE6Q0FMTS5JUV9QUk9WX0JBRF9ERUJUU19DRi4xMDAwLjI5LzAzLzIwMjYuLi5VU0QuSAEAAAAgegUAAwAAAAAAi+N/ekSN3gj04od+RI3eCDNDSVEuTkFTREFROkNBTE0uSVFfQ0hBTkdFX0FSLjk5Ni4yOS8wMy8yMDI2Li4uVVNELkgBAAAAIHoFAAIAAAAHLTMzLjQ4NwEIAAAABQAAAAExAQAAAAstMjAzNzI0MTcyMQMAAAADMTYwAgAAAAQyMDE4BAAAAAEwBwAAAAkzLzI5LzIwMjYIAAAACTUvMjkvMjAyMQkAAAABMIvjf3pEjd4I15SHfkSN3ghAQ0lRLk5BU0RBUTpDQUxNLklRX1NUT0NLX09QVElPTlNfQ09NUF9UQVguOTk0LjI5LzAzLzIwMjYuLi5VU0QuSAEAAAAgegUAAwAAAAAASLx/ekSN3ggB84l+RI3eCEFDSVEuTkFTREFR</t>
  </si>
  <si>
    <t>OkNBTE0uSVFfU1RPQ0tfQkFTRURfQ09NUF9QUkVUQVguOTk4LjI5LzAzLzIwMjYuLi5VU0QuSAEAAAAgegUAAgAAAAU0LjIwNQBIvH96RI3eCAHziX5Ejd4IL0NJUS5OQVNEQVE6Q0FMTS5JUV9OSV9DRi45OTguMjkvMDMvMjAyNi4uLlVTRC5IAQAAACB6BQACAAAABzc1OC4wMjQBCAAAAAUAAAABMQEAAAALLTE5MzQ5Nzg0MjADAAAAAzE2MAIAAAAEMjE1MAQAAAABMAcAAAAJMy8yOS8yMDI2CAAAAAg2LzMvMjAyMwkAAAABMEi8f3pEjd4I4X2JfkSN3ggvQ0lRLk5BU0RBUTpDQUxNLklRX0RBX0NGLjk5Ni4yOS8wMy8yMDI2Li4uVVNELkgBAAAAIHoFAAIAAAAGNTkuNDc3AQgAAAAFAAAAATEBAAAACy0yMDM3MjQxNzIxAwAAAAMxNjACAAAABDIxNjAEAAAAATAHAAAACTMvMjkvMjAyNggAAAAJNS8yOS8yMDIxCQAAAAEwSLx/ekSN3giTL4l+RI3eCD9DSVEuTkFTREFROkNBTE0uSVFfTUlOT1JJVFlfSU5URVJFU1RfQ0YuMTAwMC4yOS8wMy8yMDI2Li4uVVNELkgBAAAAIHoFAAMAAAAAAEi8f3pEjd4INuGIfkSN3gg6Q0lRLk5BU0RBUTpDQUxNLklRX1NUT0NLX0JBU0VEX0NPR1MuOTk0LjI5LzAzLzIwMjYuLi5VU0QuSAEAAAAgegUAAwAAAAAAlICWekSN3gh3Zot+RI3eCDhDSVEuTkFTREFROkNBTE0uSVFfU1RPQ0tfQkFTRURfU00uOTk4LjI5LzAzLzIwMjYuLi5VU0QuSAEAAAAgegUAAwAAAAAAlICW</t>
  </si>
  <si>
    <t>ekSN3ghaP4t+RI3eCDtDSVEuTkFTREFROkNBTE0uSVFfU1RPQ0tfQkFTRURfT1RIRVIuOTk2LjI5LzAzLzIwMjYuLi5VU0QuSAEAAAAgegUAAwAAAAAASLx/ekSN3ghE8Yp+RI3eCEFDSVEuTkFTREFROkNBTE0uSVFfUkVTVFJfU1RPQ0tfQ09NUF9QUkVUQVguOTk2LjI5LzAzLzIwMjYuLi5VU0QuSAEAAAAgegUAAwAAAAAASLx/ekSN3gg8o4p+RI3eCDtDSVEuTkFTREFROkNBTE0uSVFfUkVTVFJfU1RPQ0tfQ09NUC4xMDAwLjI5LzAzLzIwMjYuLi5VU0QuSAEAAAAgegUAAwAAAAAASLx/ekSN3gi8VIp+RI3eCEBDSVEuTkFTREFROkNBTE0uSVFfSU1QVVRfT1BFUl9MRUFTRV9ERVBSLjEwMDAuMjkvMDMvMjAyNi4uLlVTRC5IAQAAACB6BQADAAAAAACKWZZ6RI3eCHkBjX5Ejd4IPkNJUS5OQVNEQVE6Q0FMTS5JUV9JTVBBSVJNRU5UX0dXX1NVUFBMRS45OTguMjkvMDMvMjAyNi4uLlVTRC5IAQAAACB6BQADAAAAAACKWZZ6RI3eCDezjH5Ejd4IQUNJUS5OQVNEQVE6Q0FMTS5JUV9HQUlOX0JBUkdBSU5fQUNRX1NVUFBMRS45OTYuMjkvMDMvMjAyNi4uLlVTRC5IAQAAACB6BQADAAAAAACUgJZ6RI3eCBdljH5Ejd4IPkNJUS5OQVNEQVE6Q0FMTS5JUV9UT1RBTF9VTlVTVUFMX1NVUFBMRS45OTQuMjkvMDMvMjAyNi4uLlVTRC5IAQAAACB6BQADAAAAAACUgJZ6RI3eCIbvi35Ejd4IPENJUS5OQVNEQVE6Q0FM</t>
  </si>
  <si>
    <t>TS5JUV9ORUdBVElWRV9HV19BTU9SVC4xMDAwLjI5LzAzLzIwMjYuLi5VU0QuSAEAAAAgegUAAwAAAAAAlICWekSN3giDtIt+RI3eCDlDSVEuTkFTREFROkNBTE0uSVFfU0FMRVNfTUFSS0VUSU5HLjk5NC4yOS8wMy8yMDI2Li4uVVNELkgBAAAAIHoFAAMAAAAAAIpZlnpEjd4IG3WOfkSN3ggxQ0lRLk5BU0RBUTpDQUxNLklRX0dBX0VYUC4xMDAwLjI5LzAzLzIwMjYuLi5VU0QuSAEAAAAgegUAAgAAAAcxNTIuMTI4AQgAAAAFAAAAATEBAAAACy0xOTM0OTc4MzgxAwAAAAMxNjACAAAABTIxNTYyBAAAAAEwBwAAAAkzLzI5LzIwMjYIAAAACTUvMzEvMjAyNQkAAAABMIpZlnpEjd4IEU6OfkSN3gg/Q0lRLk5BU0RBUTpDQUxNLklRX05FVF9SRU5UQUxfRVhQX1NVUFBMRS45OTguMjkvMDMvMjAyNi4uLlVTRC5IAQAAACB6BQADAAAAAACKWZZ6RI3eCOr/jX5Ejd4IN0NJUS5OQVNEQVE6Q0FMTS5JUV9BSVJDUkFGVF9SRU5ULjk5Ni4yOS8wMy8yMDI2Li4uVVNELkgBAAAAIHoFAAMAAAAAAIpZlnpEjd4I0rGNfkSN3ghCQ0lRLk5BU0RBUTpDQUxNLklRX0lNUFVUX09QRVJfTEVBU0VfSU5UX0VYUC45OTQuMjkvMDMvMjAyNi4uLlVTRC5IAQAAACB6BQADAAAAAACKWZZ6RI3eCHMojX5Ejd4IMUNJUS5OQVNEQVE6Q0FMTS5JUV9OSV9OT1JNLjk5OC4yOS8wMy8yMDI2Li4uVVNELkgBAAAAIHoFAAIAAAAKNjI1LjMy</t>
  </si>
  <si>
    <t>NjM3NQEIAAAABQAAAAExAQAAAAstMTkzNDk3ODQyMAMAAAADMTYwAgAAAAQ0Mzc4BAAAAAEwBwAAAAkzLzI5LzIwMjYIAAAACDYvMy8yMDIzCQAAAAEwfTKWekSN3gjDLpB+RI3eCEtDSVEuTkFTREFROkNBTE0uSVFfSU5URVJFU1RfRVhQX0xFQVNFX0xJQUJJTElUWV9ERUJULjk5Ni4yOS8wMy8yMDI2Li4uVVNELkgBAAAAIHoFAAMAAAAAAH0ylnpEjd4If7mPfkSN3ggzQ0lRLk5BU0RBUTpDQUxNLklRX0RBX0VCSVREQS45OTYuMjkvMDMvMjAyNi4uLlVTRC5IAQAAACB6BQACAAAABjU5LjQ3NwEIAAAABQAAAAExAQAAAAstMjAzNzI0MTcyMQMAAAADMTYwAgAAAAQyMjA2BAAAAAEwBwAAAAkzLzI5LzIwMjYIAAAACTUvMjkvMjAyMQkAAAABMH0ylnpEjd4InGuPfkSN3ghKQ0lRLk5BU0RBUTpDQUxNLklRX0RJU1RSSUJVVEFCTEVfQ0FTSF9TVEFOREFSRElaRUQuMTAwMC4yOS8wMy8yMDI2Li4uVVNELkgBAAAAIHoFAAMAAAAAAH0ylnpEjd4IY0SPfkSN3gg2Q0lRLk5BU0RBUTpDQUxNLklRX0FEVkVSVElTSU5HLjEwMDAuMjkvMDMvMjAyNi4uLlVTRC5IAQAAACB6BQADAAAAAACKWZZ6RI3eCCucjn5Ejd4IQ0NJUS5OQVNEQVE6Q0FMTS5JUV9FQVJOSU5HX1BBUkVOVF9FWENMX0VYVFJBLjk5OC4yOS8wMy8yMDI2Li4uVVNELkgBAAAAIHoFAAIAAAAHNzU4LjAyNAEIAAAABQAAAAExAQAAAAstMTkzNDk3</t>
  </si>
  <si>
    <t>ODQyMAMAAAADMTYwAgAAAAU0MTU5NgQAAAABMAcAAAAJMy8yOS8yMDI2CAAAAAg2LzMvMjAyMwkAAAABMFcLlnpEjd4IY6KRfkSN3ghBQ0lRLk5BU0RBUTpDQUxNLklRX0VYQ0lTRV9UQVhFU19FWENMX1NBTEVTLjk5Ni4yOS8wMy8yMDI2Li4uVVNELkgBAAAAIHoFAAMAAAAAAFcLlnpEjd4IMy2RfkSN3gg0Q0lRLk5BU0RBUTpDQUxNLklRX0NVUlJfVEFYRVMuOTk0LjI5LzAzLzIwMjYuLi5VU0QuSAEAAAAgegUAAgAAAAQ5LjYyAQgAAAAFAAAAATEBAAAACy0yMTQyNDI5MDM5AwAAAAMxNjACAAAABTM1MzgzBAAAAAEwBwAAAAkzLzI5LzIwMjYIAAAACDYvMS8yMDE5CQAAAAEwVwuWekSN3ggV35B+RI3eCEJDSVEuTkFTREFROkNBTE0uSVFfREVGRVJSRURfRE9NRVNUSUNfVEFYRVMuMTAwMC4yOS8wMy8yMDI2Li4uVVNELkgBAAAAIHoFAAIAAAAFMTEuNTcBCAAAAAUAAAABMQEAAAALLTE5MzQ5NzgzODEDAAAAAzE2MAIAAAAEMzA1NAQAAAABMAcAAAAJMy8yOS8yMDI2CAAAAAk1LzMxLzIwMjUJAAAAATBXC5Z6RI3eCA64kH5Ejd4IPkNJUS5OQVNEQVE6Q0FMTS5JUV9ERUZFUlJFRF9UQVhFU19UT1RBTC45OTQuMjkvMDMvMjAyNi4uLlVTRC5IAQAAACB6BQACAAAABTYuMTIzAQgAAAAFAAAAATEBAAAACy0yMTQyNDI5MDM5AwAAAAMxNjACAAAABTM1Mzg1BAAAAAEwBwAAAAkzLzI5LzIwMjYIAAAACDYv</t>
  </si>
  <si>
    <t>MS8yMDE5CQAAAAEwVwuWekSN3giTaZB+RI3eCDhDSVEuTkFTREFROkNBTE0uSVFfT1RIRVJfQ0xfU1VQUEwuOTk1LjI5LzAzLzIwMjYuLi5VU0QuSAEAAAAgegUAAwAAAAAADaeAekSN3ghu0Hp+RI3eCDlDSVEuTkFTREFROkNBTE0uSVFfRklOX0RJVl9MSUFCX0xULjk5OS4yOS8wMy8yMDI2Li4uVVNELkgBAAAAIHoFAAMAAAAAAA2ngHpEjd4IWVt6fkSN3gg1Q0lRLk5BU0RBUTpDQUxNLklRX1BSRUZfUkVERUVNLjk5NS4yOS8wMy8yMDI2Li4uVVNELkgBAAAAIHoFAAMAAAAAAA2ngHpEjd4Inpd5fkSN3ghDQ0lRLk5BU0RBUTpDQUxNLklRX1JVQV9PUEVSQVRJTkdfTEVBU0VfR1JPU1MuOTk2LjI5LzAzLzIwMjYuLi5VU0QuSAEAAAAgegUAAgAAAAUxLjcyNAEIAAAABQAAAAExAQAAAAstMjAzNzI0MTcyMQMAAAADMTYwAgAAAAU0ODM3NwQAAAABMAcAAAAJMy8yOS8yMDI2CAAAAAk1LzI5LzIwMjEJAAAAATCW4Cx6RI3eCMWod35Ejd4IM0NJUS5OQVNEQVE6Q0FMTS5JUV9PVEhFUl9JTlYuOTk0LjI5LzAzLzIwMjYuLi5VU0QuSAEAAAAgegUAAwAAAAAAwFUtekSN3ghfZHN+RI3eCC5DSVEuTkFTREFROkNBTE0uSVFfTlBQRS45OTguMjkvMDMvMjAyNi4uLlVTRC5IAQAAACB6BQACAAAABjc0NC41NAEIAAAABQAAAAExAQAAAAstMTkzNDk3ODQyMAMAAAADMTYwAgAAAAQxMDA0BAAAAAEwBwAAAAkzLzI5</t>
  </si>
  <si>
    <t>LzIwMjYIAAAACDYvMy8yMDIzCQAAAAEw2X+AekSN3gjgZH1+RI3eCDVDSVEuTkFTREFROkNBTE0uSVFfT1RIRVJfSU5UQU4uOTk1LjI5LzAzLzIwMjYuLi5VU0QuSAEAAAAgegUAAgAAAAYyMi44MTYBCAAAAAUAAAABMQEAAAALLTIwODgzNDc0NjkDAAAAAzE2MAIAAAAEMTA0MAQAAAABMAcAAAAJMy8yOS8yMDI2CAAAAAk1LzMwLzIwMjAJAAAAATDZf4B6RI3eCNrvfH5Ejd4IPENJUS5OQVNEQVE6Q0FMTS5JUV9GSU5fRElWX0FTU0VUU19MVC4xMDAwLjI5LzAzLzIwMjYuLi5VU0QuSAEAAAAgegUAAwAAAAAA2X+AekSN3gjSwHx+RI3eCDxDSVEuTkFTREFROkNBTE0uSVFfREVGX1RBWF9BU1NFVFNfTFQuMTAwMC4yOS8wMy8yMDI2Li4uVVNELkgBAAAAIHoFAAMAAAAAANl/gHpEjd4Ik2t8fkSN3gg2Q0lRLk5BU0RBUTpDQUxNLklRX1RPVEFMX0FTU0VUUy45OTcuMjkvMDMvMjAyNi4uLlVTRC5IAQAAACB6BQACAAAACDE0MjcuNDg5AQgAAAAFAAAAATEBAAAACy0xOTg2NzA4NDMzAwAAAAMxNjACAAAABDEwMDcEAAAAATAHAAAACTMvMjkvMjAyNggAAAAJNS8yOC8yMDIyCQAAAAEw2X+AekSN3ghlHXx+RI3eCDdDSVEuTkFTREFROkNBTE0uSVFfRE9fRklOQU5DRV9DRi45OTUuMjkvMDMvMjAyNi4uLlVTRC5IAQAAACB6BQADAAAAAACNgX96RI3eCKoegH5Ejd4IM0NJUS5OQVNEQVE6Q0FMTS5JUV9TVF9J</t>
  </si>
  <si>
    <t>TlZFU1QuOTk5LjI5LzAzLzIwMjYuLi5VU0QuSAEAAAAgegUAAgAAAAc1NzQuNDk5AQgAAAAFAAAAATEBAAAACy0xOTM0OTc4NDgwAwAAAAMxNjACAAAABDEwNjkEAAAAATAHAAAACTMvMjkvMjAyNggAAAAINi8xLzIwMjQJAAAAATCNgX96RI3eCPBNf35Ejd4IOENJUS5OQVNEQVE6Q0FMTS5JUV9TVF9OT1RFX1JFQ0VJVi45OTkuMjkvMDMvMjAyNi4uLlVTRC5IAQAAACB6BQADAAAAAABIvH96RI3eCNWxfn5Ejd4IQENJUS5OQVNEQVE6Q0FMTS5JUV9GSU5fRElWX0FTU0VUU19DVVJSRU5ULjk5Ny4yOS8wMy8yMDI2Li4uVVNELkgBAAAAIHoFAAMAAAAAALVYgHpEjd4IVzx+fkSN3gg5Q0lRLk5BU0RBUTpDQUxNLklRX1JFU1RSSUNURURfQ0FTSC45OTMuMjkvMDMvMjAyNi4uLlVTRC5IAQAAACB6BQADAAAAAADZf4B6RI3eCA7afX5Ejd4INkNJUS5OQVNEQVE6Q0FMTS5JUV9BTU9SVF9ESUNfQ0YuOTk1LjI5LzAzLzIwMjYuLi5VU0QuSAEAAAAgegUAAwAAAAAApjGAekSN3giZVYJ+RI3eCDtDSVEuTkFTREFROkNBTE0uSVFfQ0FTSF9JTlRFUkVTVF9ORVQuOTk4LjI5LzAzLzIwMjYuLi5VU0QuSAEAAAAgegUAAwAAAAAAG1l/ekSN3ghn4IF+RI3eCD5DSVEuTkFTREFROkNBTE0uSVFfQ0FTSF9JTlRFUkVTVF9JTlZFU1QuOTk1LjI5LzAzLzIwMjYuLi5VU0QuSAEAAAAgegUAAwAAAAAAG1l/ekSN3ghPuYF+</t>
  </si>
  <si>
    <t>RI3eCDpDSVEuTkFTREFROkNBTE0uSVFfQ0FTSF9UQVhFU19GSU5BTi45OTYuMjkvMDMvMjAyNi4uLlVTRC5IAQAAACB6BQADAAAAAACNgX96RI3eCM0cgX5Ejd4IRENJUS5OQVNEQVE6Q0FMTS5JUV9DSEFOR0VfTkVUX1dPUktJTkdfQ0FQSVRBTC45OTUuMjkvMDMvMjAyNi4uLlVTRC5IAQAAACB6BQACAAAABjIyLjY2MgEIAAAABQAAAAExAQAAAAstMjA4ODM0NzQ2OQMAAAADMTYwAgAAAAQ0NDIxBAAAAAEwBwAAAAkzLzI5LzIwMjYIAAAACTUvMzAvMjAyMAkAAAABMI2Bf3pEjd4I2uGAfkSN3ggsQ0lRLk5BU0RBUTpDQUxNLklRX0ZYLjk5Ny4yOS8wMy8yMDI2Li4uVVNELkgBAAAAIHoFAAMAAAAAAKYxgHpEjd4II7uDfkSN3gg0Q0lRLk5BU0RBUTpDQUxNLklRX05FVF9DSEFOR0UuOTk3LjI5LzAzLzIwMjYuLi5VU0QuSAEAAAAgegUAAgAAAAUxLjczMgEIAAAABQAAAAExAQAAAAstMTk4NjcwODQzMwMAAAADMTYwAgAAAAQyMDkzBAAAAAEwBwAAAAkzLzI5LzIwMjYIAAAACTUvMjgvMjAyMgkAAAABMKYxgHpEjd4IqGyDfkSN3ghDQ0lRLk5BU0RBUTpDQUxNLklRX0dXX0lOVEFOX0FNT1JUX1BBUlRJQUxfQ0YuOTkzLjI5LzAzLzIwMjYuLi5VU0QuSAEAAAAgegUAAwAAAAAApjGAekSN3ggkNYN+RI3eCEdDSVEuTkFTREFROkNBTE0uSVFfREVQUkVDSUFUSU9OX1JFTlRBTF9BU1NFVFNfQ0YuOTk5LjI5</t>
  </si>
  <si>
    <t>LzAzLzIwMjYuLi5VU0QuSAEAAAAgegUAAwAAAAAApjGAekSN3ggv+oJ+RI3eCEZDSVEuTkFTREFROkNBTE0uSVFfREFfU1VQUExfQ0ZfRVhDTF9PUEVSX0xFQVNFUy45OTguMjkvMDMvMjAyNi4uLlVTRC5IAQAAACB6BQACAAAAAjcwAQgAAAAFAAAAATEBAAAACy0xOTM0OTc4NDIwAwAAAAMxNjACAAAABTQ4OTgzBAAAAAEwBwAAAAkzLzI5LzIwMjYIAAAACDYvMy8yMDIzCQAAAAEwpjGAekSN3gi3o4J+RI3eCDpDSVEuTkFTREFROkNBTE0uSVFfSU5WRVNUX0xPQU5TX0NGLjEwMDAuMjkvMDMvMjAyNi4uLlVTRC5IAQAAACB6BQADAAAAAADXCoB6RI3eCObehX5Ejd4IO0NJUS5OQVNEQVE6Q0FMTS5JUV9UT1RBTF9ERUJUX0lTU1VFRC45OTguMjkvMDMvMjAyNi4uLlVTRC5IAQAAACB6BQADAAAAAADXCoB6RI3eCKVVhX5Ejd4IOENJUS5OQVNEQVE6Q0FMTS5JUV9MVF9ERUJUX1JFUEFJRC45OTkuMjkvMDMvMjAyNi4uLlVTRC5IAQAAACB6BQACAAAABi0wLjIxNAEIAAAABQAAAAExAQAAAAstMTkzNDk3ODQ4MAMAAAADMTYwAgAAAAQyMDM2BAAAAAEwBwAAAAkzLzI5LzIwMjYIAAAACDYvMS8yMDI0CQAAAAEw1wqAekSN3gh9LoV+RI3eCDhDSVEuTkFTREFROkNBTE0uSVFfQ09NTU9OX0lTU1VFRC4xMDAwLjI5LzAzLzIwMjYuLi5VU0QuSAEAAAAgegUAAwAAAAAA1wqAekSN3gifB4V+RI3eCEFDSVEuTkFT</t>
  </si>
  <si>
    <t>REFROkNBTE0uSVFfT1RIRVJfRklOQU5DRV9BQ1RfU1VQUEwuOTk3LjI5LzAzLzIwMjYuLi5VU0QuSAEAAAAgegUAAwAAAAAApjGAekSN3gg24oN+RI3eCDRDSVEuTkFTREFROkNBTE0uSVFfQ0hBTkdFX0FQLjEwMDAuMjkvMDMvMjAyNi4uLlVTRC5IAQAAACB6BQACAAAABjY1LjMxMQEIAAAABQAAAAExAQAAAAstMTkzNDk3ODM4MQMAAAADMTYwAgAAAAQyMDE3BAAAAAEwBwAAAAkzLzI5LzIwMjYIAAAACTUvMzEvMjAyNQkAAAABMIvjf3pEjd4Ioz6HfkSN3gg4Q0lRLk5BU0RBUTpDQUxNLklRX0NIQU5HRV9JTkNfVEFYLjk5My4yOS8wMy8yMDI2Li4uVVNELkgBAAAAIHoFAAMAAAAAAIvjf3pEjd4IqxeHfkSN3ghGQ0lRLk5BU0RBUTpDQUxNLklRX0NIQU5HRV9PVEhFUl9ORVRfT1BFUl9BU1NFVFMuOTk2LjI5LzAzLzIwMjYuLi5VU0QuSAEAAAAgegUAAwAAAAAAi+N/ekSN3giq8IZ+RI3eCD1DSVEuTkFTREFROkNBTE0uSVFfU0FMRV9SRUFMX0VTVEFURV9DRi45OTUuMjkvMDMvMjAyNi4uLlVTRC5IAQAAACB6BQADAAAAAADXCoB6RI3eCC4thn5Ejd4IN0NJUS5OQVNEQVE6Q0FMTS5JUV9TQUxFX0lOVEFOX0NGLjk5OS4yOS8wMy8yMDI2Li4uVVNELkgBAAAAIHoFAAMAAAAAANcKgHpEjd4ILi2GfkSN3gg4Q0lRLk5BU0RBUTpDQUxNLklRX0dBSU5fSU5WRVNUX0NGLjk5NS4yOS8wMy8yMDI2Li4uVVNE</t>
  </si>
  <si>
    <t>LkgBAAAAIHoFAAIAAAAFMC40NDkBCAAAAAUAAAABMQEAAAALLTIwODgzNDc0NjkDAAAAAzE2MAIAAAAEMjA5MAQAAAABMAcAAAAJMy8yOS8yMDI2CAAAAAk1LzMwLzIwMjAJAAAAATBIvH96RI3eCHjNiH5Ejd4IN0NJUS5OQVNEQVE6Q0FMTS5JUV9JTkNfRVFVSVRZX0NGLjk5My4yOS8wMy8yMDI2Li4uVVNELkgBAAAAIHoFAAIAAAAGLTMuNTE3AQgAAAAFAAAAATEBAAAACjIwNDU3NDkzMTADAAAAAzE2MAIAAAAEMjA4NgQAAAABMAcAAAAJMy8yOS8yMDI2CAAAAAg2LzIvMjAxOAkAAAABMIvjf3pEjd4IPliIfkSN3gg4Q0lRLk5BU0RBUTpDQUxNLklRX1NUT0NLX0JBU0VEX0NGLjk5OC4yOS8wMy8yMDI2Li4uVVNELkgBAAAAIHoFAAIAAAAFNC4yMDUBCAAAAAUAAAABMQEAAAALLTE5MzQ5Nzg0MjADAAAAAzE2MAIAAAAEMjEyNwQAAAABMAcAAAAJMy8yOS8yMDI2CAAAAAg2LzMvMjAyMwkAAAABMIvjf3pEjd4IRTGIfkSN3ghNQ0lRLk5BU0RBUTpDQUxNLklRX0xJUVVJREFUSU9OX1ZBTFVFX1BSRUZFUlJFRF9DT05WRVJULjk5Ni4yOS8wMy8yMDI2Li4uVVNELkgBAAAAIHoFAAMAAAAAAKJpLXpEjd4Iii1xfkSN3ghNQ0lRLk5BU0RBUTpDQUxNLklRX0xJUVVJREFUSU9OX1ZBTFVFX1BSRUZFUlJFRF9SRURFRU0uMTAwMC4yOS8wMy8yMDI2Li4uVVNELkgBAAAAIHoFAAMAAAAAAKJpLXpEjd4IiAZxfkSN</t>
  </si>
  <si>
    <t>3gg4Q0lRLk5BU0RBUTpDQUxNLklRX0FTU0VUU19MRVZFTF8yLjk5NC4yOS8wMy8yMDI2Li4uVVNELkgBAAAAIHoFAAIAAAAHMjUwLjE4MQCiaS16RI3eCFjfcH5Ejd4IOUNJUS5OQVNEQVE6Q0FMTS5JUV9BU1NFVFNfTEVWRUxfMy4xMDAwLjI5LzAzLzIwMjYuLi5VU0QuSAEAAAAgegUAAwAAAAAAomktekSN3gg5kXB+RI3eCC5DSVEuTkFTREFROkNBTE0uSVFfTEFORC45OTYuMjkvMDMvMjAyNi4uLlVTRC5IAQAAACB6BQACAAAABzEwMS4xNzQBCAAAAAUAAAABMQEAAAALLTIwMzcyNDE3MjEDAAAAAzE2MAIAAAAEMzA5OAQAAAABMAcAAAAJMy8yOS8yMDI2CAAAAAk1LzI5LzIwMjEJAAAAATDAVS16RI3eCDA9c35Ejd4IMkNJUS5OQVNEQVE6Q0FMTS5JUV9TT0ZUV0FSRS45OTYuMjkvMDMvMjAyNi4uLlVTRC5IAQAAACB6BQADAAAAAADAVS16RI3eCBbvcn5Ejd4ILkNJUS5OQVNEQVE6Q0FMTS5JUV9DSVAuMTAwMC4yOS8wMy8yMDI2Li4uVVNELkgBAAAAIHoFAAIAAAAHMTQ4LjYyMQEIAAAABQAAAAExAQAAAAstMTkzNDk3ODM4MQMAAAADMTYwAgAAAAQzMDMzBAAAAAEwBwAAAAkzLzI5LzIwMjYIAAAACTUvMzEvMjAyNQkAAAABMMBVLXpEjd4IDaFyfkSN3gg9Q0lRLk5BU0RBUTpDQUxNLklRX01JTk9SSVRZX0lOVF9SRURFRU0uOTk0LjI5LzAzLzIwMjYuLi5VU0QuSAEAAAAgegUAAwAAAAAAwFUtekSN</t>
  </si>
  <si>
    <t>3gjeeXJ+RI3eCEFDSVEuTkFTREFROkNBTE0uSVFfTUlOT1JJVFlfSU5UX1JFREVFTV9UT1QuOTk4LjI5LzAzLzIwMjYuLi5VU0QuSAEAAAAgegUAAwAAAAAAomktekSN3gi8BHJ+RI3eCDRDSVEuTkFTREFROkNBTE0uSVFfVE9UQUxfREVCVC45OTguMjkvMDMvMjAyNi4uLlVTRC5IAQAAACB6BQACAAAAATABCAAAAAUAAAABMQEAAAALLTE5MzQ5Nzg0MjADAAAAAzE2MAIAAAAENDE3MwQAAAABMAcAAAAJMy8yOS8yMDI2CAAAAAg2LzMvMjAyMwkAAAABMMEuLXpEjd4I1+t0fkSN3ghBQ0lRLk5BU0RBUTpDQUxNLklRX01JTk9SSVRZX0lOVEVSRVNUX1RPVEFMLjk5Ni4yOS8wMy8yMDI2Li4uVVNELkgBAAAAIHoFAAMAAAAAAMEuLXpEjd4IzGJ0fkSN3gg6Q0lRLk5BU0RBUTpDQUxNLklRX0FMTE9XX0RPVUJUX0FDQ1QuOTk0LjI5LzAzLzIwMjYuLi5VU0QuSAEAAAAgegUAAgAAAAUwLjIwNgEIAAAABQAAAAExAQAAAAstMjE0MjQyOTAzOQMAAAADMTYwAgAAAAQzMDEyBAAAAAEwBwAAAAkzLzI5LzIwMjYIAAAACDYvMS8yMDE5CQAAAAEwwS4tekSN3givFHR+RI3eCDhDSVEuTkFTREFROkNBTE0uSVFfRVFVSVRZX01FVEhPRC4xMDAwLjI5LzAzLzIwMjYuLi5VU0QuSAEAAAAgegUAAgAAAAYxMS4wOTUBCAAAAAUAAAABMQEAAAALLTE5MzQ5NzgzODEDAAAAAzE2MAIAAAAEMzA2MwQAAAABMAcAAAAJMy8yOS8y</t>
  </si>
  <si>
    <t>MDI2CAAAAAk1LzMxLzIwMjUJAAAAATDBLi16RI3eCJ7tc35Ejd4IMUNJUS5OQVNEQVE6Q0FMTS5JUV9SQVdfSU5WLjk5OC4yOS8wMy8yMDI2Li4uVVNELkgBAAAAIHoFAAIAAAAGMTY0LjU0AQgAAAAFAAAAATEBAAAACy0xOTM0OTc4NDIwAwAAAAMxNjACAAAABDMxNzEEAAAAATAHAAAACTMvMjkvMjAyNggAAAAINi8zLzIwMjMJAAAAATDBLi16RI3eCFSfc35Ejd4IPkNJUS5OQVNEQVE6Q0FMTS5JUV9UT1RBTF9GSU5BTkNFX0xFQVNFUy45OTQuMjkvMDMvMjAyNi4uLlVTRC5IAQAAACB6BQACAAAABTEuMDU0AQgAAAAFAAAAATEBAAAACy0yMTQyNDI5MDM5AwAAAAMxNjACAAAABTQ5MDMxBAAAAAEwBwAAAAkzLzI5LzIwMjYIAAAACDYvMS8yMDE5CQAAAAEwugctekSN3gi/rXZ+RI3eCFFDSVEuTkFTREFROkNBTE0uSVFfQ1VSUkVOVF9QT1JUSU9OX09QRVJfTEVBU0VfTElBQklMSVRJRVMuMTAwMC4yOS8wMy8yMDI2Li4uVVNELkgBAAAAIHoFAAMAAAAAALoHLXpEjd4IeYZ2fkSN3ghSQ0lRLk5BU0RBUTpDQUxNLklRX0ZJTkFOQ0lOR19PQkxJR19DVVJSRU5UX0VYQ0xfT1BFUl9MRUFTRVMuOTk4LjI5LzAzLzIwMjYuLi5VU0QuSAEAAAAgegUAAwAAAAAAugctekSN3gigJHZ+RI3eCDNDSVEuTkFTREFROkNBTE0uSVFfVEJWX1NIQVJFLjk5NC4yOS8wMy8yMDI2Li4uVVNELkgBAAAAIHoFAAIAAAAJMTku</t>
  </si>
  <si>
    <t>MDQ0MTczAQgAAAAFAAAAATEBAAAACy0yMTQyNDI5MDM5AwAAAAMxNjACAAAABDQxNTYEAAAAATAHAAAACTMvMjkvMjAyNggAAAAINi8xLzIwMTkJAAAAATDBLi16RI3eCGqvdX5Ejd4IPUNJUS5OQVNEQVE6Q0FMTS5JUV9UQlZfU0hBUkVfUkVQT1JURUQuMTAwMC4yOS8wMy8yMDI2Li4uVVNELkgBAAAAIHoFAAMAAAAAAMEuLXpEjd4Ia4h1fkSN3gg3Q0lRLk5BU0RBUTpDQUxNLklRX1JVQV9BQ0NVTV9ERVAuOTk0LjI5LzAzLzIwMjYuLi5VU0QuSAEAAAAgegUAAwAAAAAAluAsekSN3gg2JHh+RI3eCEFDSVEuTkFTREFROkNBTE0uSVFfUlVBX0NBUElUQUxfTEVBU0VfR1JPU1MuOTk4LjI5LzAzLzIwMjYuLi5VU0QuSAEAAAAgegUAAwAAAAAAluAsekSN3ghY93d+RI3eCENDSVEuTkFTREFROkNBTE0uSVFfUlVBX09QRVJBVElOR19MRUFTRV9HUk9TUy45OTguMjkvMDMvMjAyNi4uLlVTRC5IAQAAACB6BQADAAAAAACW4Cx6RI3eCBdxd35Ejd4IPUNJUS5OQVNEQVE6Q0FMTS5JUV9BRF9FWENMX09QRVJfTEVBU0VTLjk5Ni4yOS8wMy8yMDI2Li4uVVNELkgBAAAAIHoFAAIAAAAILTYyMy43NDYBCAAAAAUAAAABMQEAAAALLTIwMzcyNDE3MjEDAAAAAzE2MAIAAAAFNDg5NzUEAAAAATAHAAAACTMvMjkvMjAyNggAAAAJNS8yOS8yMDIxCQAAAAEwugctekSN3ggPI3d+RI3eCEFDSVEuTkFTREFROkNBTE0uSVFf</t>
  </si>
  <si>
    <t>RklOQU5DRV9MRUFTRVNfQ1VSUkVOVC4xMDAwLjI5LzAzLzIwMjYuLi5VU0QuSAEAAAAgegUAAwAAAAAAugctekSN3gjY1HZ+RI3eCDZDSVEuTkFTREFROkNBTE0uSVFfUFJFRl9DT05WRVJULjk5NC4yOS8wMy8yMDI2Li4uVVNELkgBAAAAIHoFAAMAAAAAAA2ngHpEjd4ItVx5fkSN3gg1Q0lRLk5BU0RBUTpDQUxNLklRX1BSRUZfRVFVSVRZLjk5OC4yOS8wMy8yMDI2Li4uVVNELkgBAAAAIHoFAAMAAAAAAIq5LHpEjd4IrDV5fkSN3ggyQ0lRLk5BU0RBUTpDQUxNLklRX1RSRUFTVVJZLjk5Ni4yOS8wMy8yMDI2Li4uVVNELkgBAAAAIHoFAAIAAAAHLTI3LjQzMwEIAAAABQAAAAExAQAAAAstMjAzNzI0MTcyMQMAAAADMTYwAgAAAAQxMjQ4BAAAAAEwBwAAAAkzLzI5LzIwMjYIAAAACTUvMjkvMjAyMQkAAAABMIq5LHpEjd4Ig+d4fkSN3gg7Q0lRLk5BU0RBUTpDQUxNLklRX01JTk9SSVRZX0lOVEVSRVNULjk5Ni4yOS8wMy8yMDI2Li4uVVNELkgBAAAAIHoFAAMAAAAAAJbgLHpEjd4IbZl4fkSN3gg8Q0lRLk5BU0RBUTpDQUxNLklRX1RPVEFMX0xJQUJfRVFVSVRZLjEwMDAuMjkvMDMvMjAyNi4uLlVTRC5IAQAAACB6BQACAAAACDMwODQuNjE5AQgAAAAFAAAAATEBAAAACy0xOTM0OTc4MzgxAwAAAAMxNjACAAAABDEwMTMEAAAAATAHAAAACTMvMjkvMjAyNggAAAAJNS8zMS8yMDI1CQAAAAEwluAsekSN3ghN</t>
  </si>
  <si>
    <t>S3h+RI3eCD1DSVEuTkFTREFROkNBTE0uSVFfSU5URVJDT01QQU5ZX05PTl9DTC45OTcuMjkvMDMvMjAyNi4uLlVTRC5IAQAAACB6BQADAAAAAAD7sBd6RI3eCDQPbH5Ejd4IMUNJUS5OQVNEQVE6Q0FMTS5JUV9MVF9ERUJULjk5OC4yOS8wMy8yMDI2Li4uVVNELkgBAAAAIHoFAAMAAAAAAA2ngHpEjd4IXKl6fkSN3gg3Q0lRLk5BU0RBUTpDQUxNLklRX1VORUFSTl9SRVZfTFQuOTk2LjI5LzAzLzIwMjYuLi5VU0QuSAEAAAAgegUAAwAAAAAADaeAekSN3ghZW3p+RI3eCDRDSVEuTkFTREFROkNBTE0uSVFfVE9UQUxfTElBQi45OTQuMjkvMDMvMjAyNi4uLlVTRC5IAQAAACB6BQACAAAABzE2Ni40NzIBCAAAAAUAAAABMQEAAAALLTIxNDI0MjkwMzkDAAAAAzE2MAIAAAAEMTI3NgQAAAABMAcAAAAJMy8yOS8yMDI2CAAAAAg2LzEvMjAxOQkAAAABMA2ngHpEjd4IH+Z5fkSN3gg2Q0lRLk5BU0RBUTpDQUxNLklRX1BSRUZfUkVERUVNLjEwMDAuMjkvMDMvMjAyNi4uLlVTRC5IAQAAACB6BQADAAAAAAANp4B6RI3eCPq+eX5Ejd4IOENJUS5OQVNEQVE6Q0FMTS5JUV9BQ0NVTV9BTU9SVF9HVy45OTcuMjkvMDMvMjAyNi4uLlVTRC5IAQAAACB6BQADAAAAAAD7sBd6RI3eCMf5bH5Ejd4INkNJUS5OQVNEQVE6Q0FMTS5JUV9HV19JTlRBTl9ORVQuOTk3LjI5LzAzLzIwMjYuLi5VU0QuSAEAAAAgegUAAwAAAAAA+7AX</t>
  </si>
  <si>
    <t>ekSN3giQhGx+RI3eCD1DSVEuTkFTREFROkNBTE0uSVFfSU5URVJDT01QQU5ZX05PTl9DQS45OTUuMjkvMDMvMjAyNi4uLlVTRC5IAQAAACB6BQADAAAAAAD7sBd6RI3eCHE2bH5Ejd4IPUNJUS5OQVNEQVE6Q0FMTS5JUV9JTlRFUkNPTVBBTllfTk9OX0NMLjk5OS4yOS8wMy8yMDI2Li4uVVNELkgBAAAAIHoFAAMAAAAAAPuwF3pEjd4INA9sfkSN3gg8Q0lRLk5BU0RBUTpDQUxNLklRX1RPVEFMX1JFVl9FTVBMT1lFRS45OTMuMjkvMDMvMjAyNi4uLlVTRC5IAQAAACB6BQACAAAABTQyOS45AQgAAAAFAAAAATEBAAAACjIwNDU3NDkzMTADAAAAAzE2MAIAAAAENDEyMwQAAAABMAcAAAAJMy8yOS8yMDI2CAAAAAg2LzIvMjAxOAkAAAABMCZ9FHpEjd4IJ+hrfkSN3ghAQ0lRLk5BU0RBUTpDQUxNLklRX0NPTlRJTkdFTlRfTElBQklMSVRJRVMuOTk3LjI5LzAzLzIwMjYuLi5VU0QuSAEAAAAgegUAAwAAAAAAAooXekSN3ghwbW5+RI3eCD1DSVEuTkFTREFROkNBTE0uSVFfTFRfREVCVF9ERVJJVkFUSVZFUy45OTUuMjkvMDMvMjAyNi4uLlVTRC5IAQAAACB6BQADAAAAAAACihd6RI3eCEv4bX5Ejd4IQ0NJUS5OQVNEQVE6Q0FMTS5JUV9ERVJJVkFUSVZFX1RSQURJTkdfQVNTRVRTLjk5NS4yOS8wMy8yMDI2Li4uVVNELkgBAAAAIHoFAAMAAAAAAAKKF3pEjd4IJoNtfkSN3gg+Q0lRLk5BU0RBUTpDQUxNLklRX0RF</t>
  </si>
  <si>
    <t>UklWQVRJVkVfQVNTRVRTX0xULjk5OS4yOS8wMy8yMDI2Li4uVVNELkgBAAAAIHoFAAMAAAAAAPuwF3pEjd4Is1ttfkSN3ghCQ0lRLk5BU0RBUTpDQUxNLklRX0FDQ1VNX0FNT1JUX0lOVEFOX0FTU0VUUy45OTMuMjkvMDMvMjAyNi4uLlVTRC5IAQAAACB6BQACAAAABy0yNC4wMzIBCAAAAAUAAAABMQEAAAAKMjA0NTc0OTMxMAMAAAADMTYwAgAAAAUyNDMzMQQAAAABMAcAAAAJMy8yOS8yMDI2CAAAAAg2LzIvMjAxOAkAAAABMPuwF3pEjd4I0iBtfkSN3gg7Q0lRLk5BU0RBUTpDQUxNLklRX0FTU0VUU19GQUlSX1ZBTFVFLjk5Ny4yOS8wMy8yMDI2Li4uVVNELkgBAAAAIHoFAAIAAAAHMTE5LjE4MQDmYhd6RI3eCPdpcH5Ejd4IT0NJUS5OQVNEQVE6Q0FMTS5JUV9MSUFCSUxJVElFU19ORVRUSU5HX09USEVSX0FESlVTVE1FTlRTLjk5NS4yOS8wMy8yMDI2Li4uVVNELkgBAAAAIHoFAAMAAAAAAOZiF3pEjd4IGghwfkSN3gg8Q0lRLk5BU0RBUTpDQUxNLklRX0ZJTl9ESVZfQ0FTSF9FUVVJVi45OTUuMjkvMDMvMjAyNi4uLlVTRC5IAQAAACB6BQADAAAAAAACihd6RI3eCLJrb35Ejd4IRUNJUS5OQVNEQVE6Q0FMTS5JUV9SRVNUUklDVEVEX0NBU0hfTk9OX0NVUlJFTlQuOTk5LjI5LzAzLzIwMjYuLi5VU0QuSAEAAAAgegUAAwAAAAAAAooXekSN3ghKz25+RI3eCD1DSVEuTkFTREFROkNBTE0uSVFfVE9UQUxf</t>
  </si>
  <si>
    <t>REVCVF9FWENMX0ZJTi45OTMuMjkvMDMvMjAyNi4uLlVTRC5IAQAAACB6BQACAAAABDYuMDkBCAAAAAUAAAABMQEAAAAKMjA0NTc0OTMxMAMAAAADMTYwAgAAAAUyMTg2MAQAAAABMAcAAAAJMy8yOS8yMDI2CAAAAAg2LzIvMjAxOAkAAAABMAKKF3pEjd4IeZRufkSN3ghDQ0lRLk5BU0RBUTpDQUxNLklRX0ZJTl9ESVZfTUlOT1JJVFlfSU5URVJFU1QuOTk3LjI5LzAzLzIwMjYuLi5VU0QuSAEAAAAgegUAAwAAAAAAomktekSN3gi4onF+RI3eCEtDSVEuTkFTREFROkNBTE0uSVFfR0VORVJBTF9QQVJUTkVSX01JTk9SSVRZX0lOVEVSRVNULjk5NS4yOS8wMy8yMDI2Li4uVVNELkgBAAAAIHoFAAMAAAAAAKJpLXpEjd4Ij3txfkSN3ghNQ0lRLk5BU0RBUTpDQUxNLklRX0xJUVVJREFUSU9OX1ZBTFVFX1BSRUZFUlJFRF9DT05WRVJULjk5OS4yOS8wMy8yMDI2Li4uVVNELkgBAAAAIHoFAAMAAAAAAKJpLXpEjd4ImVRxfkSN3ghMQ0lRLk5BU0RBUTpDQUxNLklRX0xJUVVJREFUSU9OX1ZBTFVFX1BSRUZFUlJFRF9SRURFRU0uOTkzLjI5LzAzLzIwMjYuLi5VU0QuSAEAAAAgegUAAwAAAAAAomktekSN3giIBnF+RI3eCDhDSVEuTkFTREFROkNBTE0uSVFfQVNTRVRTX0xFVkVMXzEuOTk5LjI5LzAzLzIwMjYuLi5VU0QuSAEAAAAgegUAAwAAAAAAomktekSN3ghY33B+RI3eCDZDSVEuTkFTREFROkNBTE0uSVFfRklO</t>
  </si>
  <si>
    <t>SVNIRURfSU5WLjk5NS4yOS8wMy8yMDI2Li4uVVNELkgBAAAAIHoFAAIAAAAGNzcuMDE4AQgAAAAFAAAAATEBAAAACy0yMDg4MzQ3NDY5AwAAAAMxNjACAAAABDMwNzUEAAAAATAHAAAACTMvMjkvMjAyNggAAAAJNS8zMC8yMDIwCQAAAAEwwFUtekSN3ggUeHN+RI3eCDNDSVEuTkFTREFROkNBTE0uSVFfQlVJTERJTkdTLjk5NS4yOS8wMy8yMDI2Li4uVVNELkgBAAAAIHoFAAIAAAAHMzkzLjE5NQEIAAAABQAAAAExAQAAAAstMjA4ODM0NzQ2OQMAAAADMTYwAgAAAAQzMDIzBAAAAAEwBwAAAAkzLzI5LzIwMjYIAAAACTUvMzAvMjAyMAkAAAABMMBVLXpEjd4IThZzfkSN3ggyQ0lRLk5BU0RBUTpDQUxNLklRX1NPRlRXQVJFLjk5OS4yOS8wMy8yMDI2Li4uVVNELkgBAAAAIHoFAAMAAAAAAMBVLXpEjd4IFu9yfkSN3ggtQ0lRLk5BU0RBUTpDQUxNLklRX0NJUC45OTMuMjkvMDMvMjAyNi4uLlVTRC5IAQAAACB6BQACAAAABTkuMzA3AQgAAAAFAAAAATEBAAAACjIwNDU3NDkzMTADAAAAAzE2MAIAAAAEMzAzMwQAAAABMAcAAAAJMy8yOS8yMDI2CAAAAAg2LzIvMjAxOAkAAAABMMBVLXpEjd4IDaFyfkSN3gg9Q0lRLk5BU0RBUTpDQUxNLklRX01JTk9SSVRZX0lOVF9SRURFRU0uOTk3LjI5LzAzLzIwMjYuLi5VU0QuSAEAAAAgegUAAwAAAAAAwFUtekSN3gjeeXJ+RI3eCDJDSVEuTkFTREFROkNBTE0uSVFfR1df</t>
  </si>
  <si>
    <t>SU5UQU4uOTk3LjI5LzAzLzIwMjYuLi5VU0QuSAEAAAAgegUAAgAAAAY2Mi4xMzcBCAAAAAUAAAABMQEAAAALLTE5ODY3MDg0MzMDAAAAAzE2MAIAAAAFMzUzODEEAAAAATAHAAAACTMvMjkvMjAyNggAAAAJNS8yOC8yMDIyCQAAAAEwwS4tekSN3gh2OnV+RI3eCEBDSVEuTkFTREFROkNBTE0uSVFfVE9UQUxfREVCVF9OT05fQ1VSUkVOVC45OTUuMjkvMDMvMjAyNi4uLlVTRC5IAQAAACB6BQACAAAABTIuMzg3AQgAAAAFAAAAATEBAAAACy0yMDg4MzQ3NDY5AwAAAAMxNjACAAAABTI1MjI0BAAAAAEwBwAAAAkzLzI5LzIwMjYIAAAACTUvMzAvMjAyMAkAAAABMMEuLXpEjd4I8bB0fkSN3gg1Q0lRLk5BU0RBUTpDQUxNLklRX1dPUktJTkdfQ0FQLjk5My4yOS8wMy8yMDI2Li4uVVNELkgBAAAAIHoFAAIAAAAHNDc5LjY4MgEIAAAABQAAAAExAQAAAAoyMDQ1NzQ5MzEwAwAAAAMxNjACAAAABDQxNjUEAAAAATAHAAAACTMvMjkvMjAyNggAAAAINi8yLzIwMTgJAAAAATDBLi16RI3eCMc7dH5Ejd4IOUNJUS5OQVNEQVE6Q0FMTS5JUV9ORVRfV09SS0lOR19DQVAuOTk5LjI5LzAzLzIwMjYuLi5VU0QuSAEAAAAgegUAAgAAAAcyMDEuNzE5AQgAAAAFAAAAATEBAAAACy0xOTM0OTc4NDgwAwAAAAMxNjACAAAABDEzMTEEAAAAATAHAAAACTMvMjkvMjAyNggAAAAINi8xLzIwMjQJAAAAATDBLi16RI3eCK8UdH5Ejd4I</t>
  </si>
  <si>
    <t>N0NJUS5OQVNEQVE6Q0FMTS5JUV9FUVVJVFlfTUVUSE9ELjk5My4yOS8wMy8yMDI2Li4uVVNELkgBAAAAIHoFAAIAAAAGNjYuODA2AQgAAAAFAAAAATEBAAAACjIwNDU3NDkzMTADAAAAAzE2MAIAAAAEMzA2MwQAAAABMAcAAAAJMy8yOS8yMDI2CAAAAAg2LzIvMjAxOAkAAAABMMEuLXpEjd4Inu1zfkSN3ghCQ0lRLk5BU0RBUTpDQUxNLklRX0ZJTkFOQ0VfTEVBU0VTX0xPTkdfVEVSTS45OTkuMjkvMDMvMjAyNi4uLlVTRC5IAQAAACB6BQADAAAAAAC6By16RI3eCNjUdn5Ejd4IO0NJUS5OQVNEQVE6Q0FMTS5JUV9UT1RBTF9PUEVSX0xFQVNFUy45OTcuMjkvMDMvMjAyNi4uLlVTRC5IAQAAACB6BQADAAAAAAC6By16RI3eCMFydn5Ejd4IRUNJUS5OQVNEQVE6Q0FMTS5JUV9UT1RBTF9ERUJUX0VYQ0xfT1BFUl9MRUFTRVMuOTk1LjI5LzAzLzIwMjYuLi5VU0QuSAEAAAAgegUAAgAAAAUwLjg1NwEIAAAABQAAAAExAQAAAAstMjA4ODM0NzQ2OQMAAAADMTYwAgAAAAU0ODk4MgQAAAABMAcAAAAJMy8yOS8yMDI2CAAAAAk1LzMwLzIwMjAJAAAAATC6By16RI3eCIr9dX5Ejd4IMkNJUS5OQVNEQVE6Q0FMTS5JUV9CVl9TSEFSRS45OTMuMjkvMDMvMjAyNi4uLlVTRC5IAQAAACB6BQACAAAACTE5LjYwMzQwMQEIAAAABQAAAAExAQAAAAoyMDQ1NzQ5MzEwAwAAAAMxNjACAAAABDQwMjAEAAAAATAHAAAACTMvMjkv</t>
  </si>
  <si>
    <t>MjAyNggAAAAINi8yLzIwMTgJAAAAATDBLi16RI3eCHnWdX5Ejd4IO0NJUS5OQVNEQVE6Q0FMTS5JUV9CVl9TSEFSRV9SRVBPUlRFRC45OTkuMjkvMDMvMjAyNi4uLlVTRC5IAQAAACB6BQADAAAAAADBLi16RI3eCGqvdX5Ejd4IN0NJUS5OQVNEQVE6Q0FMTS5JUV9SVUFfQUNDVU1fREVQLjk5Ny4yOS8wMy8yMDI2Li4uVVNELkgBAAAAIHoFAAMAAAAAAJbgLHpEjd4INiR4fkSN3ghFQ0lRLk5BU0RBUTpDQUxNLklRX1JVQV9DQVBJVEFMX0xFQVNFX0FDQ1VNX0RFUC45OTcuMjkvMDMvMjAyNi4uLlVTRC5IAQAAACB6BQADAAAAAACW4Cx6RI3eCMWod35Ejd4IQUNJUS5OQVNEQVE6Q0FMTS5JUV9SVUFfT1BFUkFUSU5HX0xFQVNFX05FVC45OTUuMjkvMDMvMjAyNi4uLlVTRC5IAQAAACB6BQADAAAAAAC6By16RI3eCBFKd35Ejd4IPUNJUS5OQVNEQVE6Q0FMTS5JUV9BRF9FWENMX09QRVJfTEVBU0VTLjk5OS4yOS8wMy8yMDI2Li4uVVNELkgBAAAAIHoFAAIAAAAHLTgwNC45NAEIAAAABQAAAAExAQAAAAstMTkzNDk3ODQ4MAMAAAADMTYwAgAAAAU0ODk3NQQAAAABMAcAAAAJMy8yOS8yMDI2CAAAAAg2LzEvMjAyNAkAAAABMLoHLXpEjd4IDyN3fkSN3ghAQ0lRLk5BU0RBUTpDQUxNLklRX0ZJTkFOQ0VfTEVBU0VTX0NVUlJFTlQuOTkzLjI5LzAzLzIwMjYuLi5VU0QuSAEAAAAgegUAAwAAAAAAugctekSN3gj5</t>
  </si>
  <si>
    <t>+3Z+RI3eCDZDSVEuTkFTREFROkNBTE0uSVFfUFJFRl9DT05WRVJULjk5Ny4yOS8wMy8yMDI2Li4uVVNELkgBAAAAIHoFAAMAAAAAAA2ngHpEjd4I3IN5fkSN3gguQ0lRLk5BU0RBUTpDQUxNLklRX0FQSUMuOTk1LjI5LzAzLzIwMjYuLi5VU0QuSAEAAAAgegUAAgAAAAY2MC4zNzIBCAAAAAUAAAABMQEAAAALLTIwODgzNDc0NjkDAAAAAzE2MAIAAAAEMTA4NAQAAAABMAcAAAAJMy8yOS8yMDI2CAAAAAk1LzMwLzIwMjAJAAAAATCKuSx6RI3eCJMOeX5Ejd4INkNJUS5OQVNEQVE6Q0FMTS5JUV9PVEhFUl9FUVVJVFkuOTk1LjI5LzAzLzIwMjYuLi5VU0QuSAEAAAAgegUAAgAAAAUwLjA3OQEIAAAABQAAAAExAQAAAAstMjA4ODM0NzQ2OQMAAAADMTYwAgAAAAQxMDI4BAAAAAEwBwAAAAkzLzI5LzIwMjYIAAAACTUvMzAvMjAyMAkAAAABMJbgLHpEjd4IbZl4fkSN3gg7Q0lRLk5BU0RBUTpDQUxNLklRX01JTk9SSVRZX0lOVEVSRVNULjk5OS4yOS8wMy8yMDI2Li4uVVNELkgBAAAAIHoFAAIAAAAGLTMuMTA0AQgAAAAFAAAAATEBAAAACy0xOTM0OTc4NDgwAwAAAAMxNjACAAAABDEwNTIEAAAAATAHAAAACTMvMjkvMjAyNggAAAAINi8xLzIwMjQJAAAAATCW4Cx6RI3eCFhyeH5Ejd4IO0NJUS5OQVNEQVE6Q0FMTS5JUV9UT1RBTF9MSUFCX0VRVUlUWS45OTMuMjkvMDMvMjAyNi4uLlVTRC5IAQAAACB6BQACAAAA</t>
  </si>
  <si>
    <t>CDExNTAuNDQ3AQgAAAAFAAAAATEBAAAACjIwNDU3NDkzMTADAAAAAzE2MAIAAAAEMTAxMwQAAAABMAcAAAAJMy8yOS8yMDI2CAAAAAg2LzIvMjAxOAkAAAABMJbgLHpEjd4ITUt4fkSN3gg4Q0lRLk5BU0RBUTpDQUxNLklRX09USEVSX0NMX1NVUFBMLjk5Ny4yOS8wMy8yMDI2Li4uVVNELkgBAAAAIHoFAAIAAAAGMzYuNjU2AQgAAAAFAAAAATEBAAAACy0xOTg2NzA4NDMzAwAAAAMxNjACAAAABDEwNTcEAAAAATAHAAAACTMvMjkvMjAyNggAAAAJNS8yOC8yMDIyCQAAAAEwDaeAekSN3ghu0Hp+RI3eCDlDSVEuTkFTREFROkNBTE0uSVFfRklOX0RJVl9ERUJUX0xULjk5NS4yOS8wMy8yMDI2Li4uVVNELkgBAAAAIHoFAAMAAAAAAA2ngHpEjd4IQIJ6fkSN3gg5Q0lRLk5BU0RBUTpDQUxNLklRX0RFRl9UQVhfTElBQl9MVC45OTMuMjkvMDMvMjAyNi4uLlVTRC5IAQAAACB6BQACAAAABjc2LjA1NQEIAAAABQAAAAExAQAAAAoyMDQ1NzQ5MzEwAwAAAAMxNjACAAAABDEwMjcEAAAAATAHAAAACTMvMjkvMjAyNggAAAAINi8yLzIwMTgJAAAAATANp4B6RI3eCDUNen5Ejd4IN0NJUS5OQVNEQVE6Q0FMTS5JUV9PVEhFUl9MSUFCX0xULjk5OS4yOS8wMy8yMDI2Li4uVVNELkgBAAAAIHoFAAIAAAAGMTcuMTA5AQgAAAAFAAAAATEBAAAACy0xOTM0OTc4NDgwAwAAAAMxNjACAAAABDEwNjIEAAAAATAHAAAACTMvMjkv</t>
  </si>
  <si>
    <t>MjAyNggAAAAINi8xLzIwMjQJAAAAATANp4B6RI3eCB/meX5Ejd4INUNJUS5OQVNEQVE6Q0FMTS5JUV9QUkVGX1JFREVFTS45OTMuMjkvMDMvMjAyNi4uLlVTRC5IAQAAACB6BQADAAAAAAANp4B6RI3eCPq+eX5Ejd4IO0NJUS5OQVNEQVE6Q0FMTS5JUV9GSU5fRElWX0FTU0VUU19MVC45OTkuMjkvMDMvMjAyNi4uLlVTRC5IAQAAACB6BQADAAAAAADZf4B6RI3eCNLAfH5Ejd4IOENJUS5OQVNEQVE6Q0FMTS5JUV9ERUZfQ0hBUkdFU19MVC45OTcuMjkvMDMvMjAyNi4uLlVTRC5IAQAAACB6BQADAAAAAADZf4B6RI3eCGdEfH5Ejd4ILENJUS5OQVNEQVE6Q0FMTS5JUV9BRS45OTUuMjkvMDMvMjAyNi4uLlVTRC5IAQAAACB6BQACAAAABjM2LjI3OAEIAAAABQAAAAExAQAAAAstMjA4ODM0NzQ2OQMAAAADMTYwAgAAAAQxMDE2BAAAAAEwBwAAAAkzLzI5LzIwMjYIAAAACTUvMzAvMjAyMAkAAAABMNl/gHpEjd4Iks97fkSN3gg+Q0lRLk5BU0RBUTpDQUxNLklRX0ZJTl9ESVZfREVCVF9DVVJSRU5ULjk5My4yOS8wMy8yMDI2Li4uVVNELkgBAAAAIHoFAAMAAAAAANl/gHpEjd4Is6h7fkSN3gg+Q0lRLk5BU0RBUTpDQUxNLklRX0ZJTl9ESVZfTElBQl9DVVJSRU5ULjk5OS4yOS8wMy8yMDI2Li4uVVNELkgBAAAAIHoFAAMAAAAAANl/gHpEjd4IEYF7fkSN3gg9Q0lRLk5BU0RBUTpDQUxNLklRX0lOVEVSQ09NUEFO</t>
  </si>
  <si>
    <t>WV9OT05fQ0EuOTk2LjI5LzAzLzIwMjYuLi5VU0QuSAEAAAAgegUAAwAAAAAA+7AXekSN3ghxNmx+RI3eCDxDSVEuTkFTREFROkNBTE0uSVFfVE9UQUxfUkVWX0VNUExPWUVFLjk5NC4yOS8wMy8yMDI2Li4uVVNELkgBAAAAIHoFAAIAAAAHNDAwLjIzMQEIAAAABQAAAAExAQAAAAstMjE0MjQyOTAzOQMAAAADMTYwAgAAAAQ0MTIzBAAAAAEwBwAAAAkzLzI5LzIwMjYIAAAACDYvMS8yMDE5CQAAAAEwJn0UekSN3ggn6Gt+RI3eCC5DSVEuTkFTREFROkNBTE0uSVFfTlBQRS45OTUuMjkvMDMvMjAyNi4uLlVTRC5IAQAAACB6BQACAAAABzU2MC41ODQBCAAAAAUAAAABMQEAAAALLTIwODgzNDc0NjkDAAAAAzE2MAIAAAAEMTAwNAQAAAABMAcAAAAJMy8yOS8yMDI2CAAAAAk1LzMwLzIwMjAJAAAAATDZf4B6RI3eCO09fX5Ejd4ILENJUS5OQVNEQVE6Q0FMTS5JUV9HVy45OTkuMjkvMDMvMjAyNi4uLlVTRC5IAQAAACB6BQACAAAABjQ1Ljc3NgEIAAAABQAAAAExAQAAAAstMTkzNDk3ODQ4MAMAAAADMTYwAgAAAAQxMTcxBAAAAAEwBwAAAAkzLzI5LzIwMjYIAAAACDYvMS8yMDI0CQAAAAEw2X+AekSN3giZFn1+RI3eCDpDSVEuTkFTREFROkNBTE0uSVFfRklOX0RJVl9MT0FOU19MVC45OTMuMjkvMDMvMjAyNi4uLlVTRC5IAQAAACB6BQADAAAAAADZf4B6RI3eCNrvfH5Ejd4IQ0NJUS5OQVNEQVE6Q0FMTS5JUV9E</t>
  </si>
  <si>
    <t>RVJJVkFUSVZFX1RSQURJTkdfQVNTRVRTLjk5Ni4yOS8wMy8yMDI2Li4uVVNELkgBAAAAIHoFAAMAAAAAAAKKF3pEjd4IJoNtfkSN3gg/Q0lRLk5BU0RBUTpDQUxNLklRX0RFUklWQVRJVkVfQVNTRVRTX0xULjEwMDAuMjkvMDMvMjAyNi4uLlVTRC5IAQAAACB6BQADAAAAAAD7sBd6RI3eCLNbbX5Ejd4IQkNJUS5OQVNEQVE6Q0FMTS5JUV9BQ0NVTV9BTU9SVF9JTlRBTl9BU1NFVFMuOTk0LjI5LzAzLzIwMjYuLi5VU0QuSAEAAAAgegUAAgAAAActMjYuODI3AQgAAAAFAAAAATEBAAAACy0yMTQyNDI5MDM5AwAAAAMxNjACAAAABTI0MzMxBAAAAAEwBwAAAAkzLzI5LzIwMjYIAAAACDYvMS8yMDE5CQAAAAEw+7AXekSN3gjSIG1+RI3eCDNDSVEuTkFTREFROkNBTE0uSVFfR1JPU1NfR1cuMTAwMC4yOS8wMy8yMDI2Li4uVVNELkgBAAAAIHoFAAMAAAAAAPuwF3pEjd4Ix/lsfkSN3gg2Q0lRLk5BU0RBUTpDQUxNLklRX0dXX0lOVEFOX05FVC45OTguMjkvMDMvMjAyNi4uLlVTRC5IAQAAACB6BQADAAAAAAD7sBd6RI3eCJCEbH5Ejd4IP0NJUS5OQVNEQVE6Q0FMTS5JUV9ERUJUX0VRVUlWX09QRVJfTEVBU0UuOTk2LjI5LzAzLzIwMjYuLi5VU0QuSAEAAAAgegUAAwAAAAAAAooXekSN3giP9m5+RI3eCEZDSVEuTkFTREFROkNBTE0uSVFfUkVTVFJJQ1RFRF9DQVNIX05PTl9DVVJSRU5ULjEwMDAuMjkvMDMvMjAy</t>
  </si>
  <si>
    <t>Ni4uLlVTRC5IAQAAACB6BQADAAAAAAACihd6RI3eCErPbn5Ejd4IPUNJUS5OQVNEQVE6Q0FMTS5JUV9UT1RBTF9ERUJUX0VYQ0xfRklOLjk5NC4yOS8wMy8yMDI2Li4uVVNELkgBAAAAIHoFAAIAAAAFMi41NTQBCAAAAAUAAAABMQEAAAALLTIxNDI0MjkwMzkDAAAAAzE2MAIAAAAFMjE4NjAEAAAAATAHAAAACTMvMjkvMjAyNggAAAAINi8xLzIwMTkJAAAAATACihd6RI3eCHmUbn5Ejd4IQENJUS5OQVNEQVE6Q0FMTS5JUV9DT05USU5HRU5UX0xJQUJJTElUSUVTLjk5OC4yOS8wMy8yMDI2Li4uVVNELkgBAAAAIHoFAAMAAAAAAAKKF3pEjd4IcG1ufkSN3ghHQ0lRLk5BU0RBUTpDQUxNLklRX0NVUlJFTlRfUE9SVF9ERUJUX0RFUklWQVRJVkVTLjk5OC4yOS8wMy8yMDI2Li4uVVNELkgBAAAAIHoFAAMAAAAAAAKKF3pEjd4IS/htfkSN3ghMQ0lRLk5BU0RBUTpDQUxNLklRX0xJUVVJREFUSU9OX1ZBTFVFX1BSRUZFUlJFRF9SRURFRU0uOTk0LjI5LzAzLzIwMjYuLi5VU0QuSAEAAAAgegUAAwAAAAAAomktekSN3giIBnF+RI3eCDlDSVEuTkFTREFROkNBTE0uSVFfQVNTRVRTX0xFVkVMXzEuMTAwMC4yOS8wMy8yMDI2Li4uVVNELkgBAAAAIHoFAAMAAAAAAKJpLXpEjd4IWN9wfkSN3gg7Q0lRLk5BU0RBUTpDQUxNLklRX0FTU0VUU19GQUlSX1ZBTFVFLjk5OC4yOS8wMy8yMDI2Li4uVVNELkgBAAAAIHoFAAIA</t>
  </si>
  <si>
    <t>AAAGMzU1LjA5AOZiF3pEjd4I92lwfkSN3ghPQ0lRLk5BU0RBUTpDQUxNLklRX0xJQUJJTElUSUVTX05FVFRJTkdfT1RIRVJfQURKVVNUTUVOVFMuOTk2LjI5LzAzLzIwMjYuLi5VU0QuSAEAAAAgegUAAwAAAAAA5mIXekSN3ggaCHB+RI3eCDxDSVEuTkFTREFROkNBTE0uSVFfRklOX0RJVl9DQVNIX0VRVUlWLjk5Ni4yOS8wMy8yMDI2Li4uVVNELkgBAAAAIHoFAAMAAAAAAAKKF3pEjd4IsmtvfkSN3ggzQ0lRLk5BU0RBUTpDQUxNLklRX1NPRlRXQVJFLjEwMDAuMjkvMDMvMjAyNi4uLlVTRC5IAQAAACB6BQADAAAAAADAVS16RI3eCBbvcn5Ejd4ILUNJUS5OQVNEQVE6Q0FMTS5JUV9DSVAuOTk0LjI5LzAzLzIwMjYuLi5VU0QuSAEAAAAgegUAAgAAAAY1Mi41NTEBCAAAAAUAAAABMQEAAAALLTIxNDI0MjkwMzkDAAAAAzE2MAIAAAAEMzAzMwQAAAABMAcAAAAJMy8yOS8yMDI2CAAAAAg2LzEvMjAxOQkAAAABMMBVLXpEjd4IG8hyfkSN3ghAQ0lRLk5BU0RBUTpDQUxNLklRX0xFQVNFSE9MRF9JTVBST1ZFTUVOVC4xMDAwLjI5LzAzLzIwMjYuLi5VU0QuSAEAAAAgegUAAwAAAAAAwFUtekSN3gjQUnJ+RI3eCENDSVEuTkFTREFROkNBTE0uSVFfRklOX0RJVl9NSU5PUklUWV9JTlRFUkVTVC45OTguMjkvMDMvMjAyNi4uLlVTRC5IAQAAACB6BQADAAAAAACiaS16RI3eCHrdcX5Ejd4IS0NJUS5OQVNEQVE6Q0FM</t>
  </si>
  <si>
    <t>TS5JUV9HRU5FUkFMX1BBUlRORVJfTUlOT1JJVFlfSU5URVJFU1QuOTk2LjI5LzAzLzIwMjYuLi5VU0QuSAEAAAAgegUAAwAAAAAAomktekSN3giPe3F+RI3eCDNDSVEuTkFTREFROkNBTE0uSVFfVE9UQUxfQ0FQLjk5Ni4yOS8wMy8yMDI2Li4uVVNELkgBAAAAIHoFAAIAAAAIMTAxNS4xNTkBCAAAAAUAAAABMQEAAAALLTIwMzcyNDE3MjEDAAAAAzE2MAIAAAAENDE3NQQAAAABMAcAAAAJMy8yOS8yMDI2CAAAAAk1LzI5LzIwMjEJAAAAATDBLi16RI3eCMc7dH5Ejd4IOkNJUS5OQVNEQVE6Q0FMTS5JUV9ORVRfV09SS0lOR19DQVAuMTAwMC4yOS8wMy8yMDI2Li4uVVNELkgBAAAAIHoFAAIAAAAHMjY3LjYzOQEIAAAABQAAAAExAQAAAAstMTkzNDk3ODM4MQMAAAADMTYwAgAAAAQxMzExBAAAAAEwBwAAAAkzLzI5LzIwMjYIAAAACTUvMzEvMjAyNQkAAAABMMEuLXpEjd4IrxR0fkSN3gg3Q0lRLk5BU0RBUTpDQUxNLklRX0VRVUlUWV9NRVRIT0QuOTk0LjI5LzAzLzIwMjYuLi5VU0QuSAEAAAAgegUAAgAAAAY2Ny41NTQBCAAAAAUAAAABMQEAAAALLTIxNDI0MjkwMzkDAAAAAzE2MAIAAAAEMzA2MwQAAAABMAcAAAAJMy8yOS8yMDI2CAAAAAg2LzEvMjAxOQkAAAABMMEuLXpEjd4Inu1zfkSN3ggxQ0lRLk5BU0RBUTpDQUxNLklRX1dJUF9JTlYuOTk4LjI5LzAzLzIwMjYuLi5VU0QuSAEAAAAgegUAAwAAAAAA</t>
  </si>
  <si>
    <t>wFUtekSN3ggUeHN+RI3eCDNDSVEuTkFTREFROkNBTE0uSVFfQlVJTERJTkdTLjk5Ni4yOS8wMy8yMDI2Li4uVVNELkgBAAAAIHoFAAIAAAAHNDU0LjMzMgEIAAAABQAAAAExAQAAAAstMjAzNzI0MTcyMQMAAAADMTYwAgAAAAQzMDIzBAAAAAEwBwAAAAkzLzI5LzIwMjYIAAAACTUvMjkvMjAyMQkAAAABMMBVLXpEjd4IThZzfkSN3ggyQ0lRLk5BU0RBUTpDQUxNLklRX0JWX1NIQVJFLjk5NC4yOS8wMy8yMDI2Li4uVVNELkgBAAAAIHoFAAIAAAAJMjAuMjYxNzE2AQgAAAAFAAAAATEBAAAACy0yMTQyNDI5MDM5AwAAAAMxNjACAAAABDQwMjAEAAAAATAHAAAACTMvMjkvMjAyNggAAAAINi8xLzIwMTkJAAAAATDBLi16RI3eCHnWdX5Ejd4IPENJUS5OQVNEQVE6Q0FMTS5JUV9CVl9TSEFSRV9SRVBPUlRFRC4xMDAwLjI5LzAzLzIwMjYuLi5VU0QuSAEAAAAgegUAAwAAAAAAwS4tekSN3ghqr3V+RI3eCDxDSVEuTkFTREFROkNBTE0uSVFfVEJWX1NIQVJFX1JFUE9SVEVELjk5NC4yOS8wMy8yMDI2Li4uVVNELkgBAAAAIHoFAAMAAAAAAMEuLXpEjd4Ia4h1fkSN3ggyQ0lRLk5BU0RBUTpDQUxNLklRX0dXX0lOVEFOLjk5OC4yOS8wMy8yMDI2Li4uVVNELkgBAAAAIHoFAAIAAAAGNTkuOTAzAQgAAAAFAAAAATEBAAAACy0xOTM0OTc4NDIwAwAAAAMxNjACAAAABTM1MzgxBAAAAAEwBwAAAAkzLzI5LzIwMjYIAAAA</t>
  </si>
  <si>
    <t>CDYvMy8yMDIzCQAAAAEwwS4tekSN3ghIYXV+RI3eCEBDSVEuTkFTREFROkNBTE0uSVFfVE9UQUxfREVCVF9OT05fQ1VSUkVOVC45OTYuMjkvMDMvMjAyNi4uLlVTRC5IAQAAACB6BQACAAAABTEuNDcyAQgAAAAFAAAAATEBAAAACy0yMDM3MjQxNzIxAwAAAAMxNjACAAAABTI1MjI0BAAAAAEwBwAAAAkzLzI5LzIwMjYIAAAACTUvMjkvMjAyMQkAAAABMMEuLXpEjd4I8bB0fkSN3gg/Q0lRLk5BU0RBUTpDQUxNLklRX0FEVkFOQ0VTX0ZPUl9TVVBQTElFUy45OTMuMjkvMDMvMjAyNi4uLlVTRC5IAQAAACB6BQADAAAAAAD7sBd6RI3eCKGrbH5Ejd4INkNJUS5OQVNEQVE6Q0FMTS5JUV9HV19JTlRBTl9ORVQuOTk5LjI5LzAzLzIwMjYuLi5VU0QuSAEAAAAgegUAAwAAAAAA+7AXekSN3giQhGx+RI3eCDNDSVEuTkFTREFROkNBTE0uSVFfSU5UQU5fTkVULjk5My4yOS8wMy8yMDI2Li4uVVNELkgBAAAAIHoFAAMAAAAAAPuwF3pEjd4IgF1sfkSN3gg9Q0lRLk5BU0RBUTpDQUxNLklRX0lOVEVSQ09NUEFOWV9OT05fQ0EuOTk3LjI5LzAzLzIwMjYuLi5VU0QuSAEAAAAgegUAAwAAAAAA+7AXekSN3ghxNmx+RI3eCDxDSVEuTkFTREFROkNBTE0uSVFfVE9UQUxfUkVWX0VNUExPWUVFLjk5NS4yOS8wMy8yMDI2Li4uVVNELkgBAAAAIHoFAAIAAAAHMzgwLjg0MgEIAAAABQAAAAExAQAAAAstMjA4ODM0NzQ2OQMAAAAD</t>
  </si>
  <si>
    <t>MTYwAgAAAAQ0MTIzBAAAAAEwBwAAAAkzLzI5LzIwMjYIAAAACTUvMzAvMjAyMAkAAAABMCZ9FHpEjd4IJ+hrfkSN3gg9Q0lRLk5BU0RBUTpDQUxNLklRX1RPVEFMX0RFQlRfRVhDTF9GSU4uOTk1LjI5LzAzLzIwMjYuLi5VU0QuSAEAAAAgegUAAgAAAAUzLjM4OAEIAAAABQAAAAExAQAAAAstMjA4ODM0NzQ2OQMAAAADMTYwAgAAAAUyMTg2MAQAAAABMAcAAAAJMy8yOS8yMDI2CAAAAAk1LzMwLzIwMjAJAAAAATACihd6RI3eCHmUbn5Ejd4IPUNJUS5OQVNEQVE6Q0FMTS5JUV9TVF9ERUJUX0RFUklWQVRJVkVTLjk5My4yOS8wMy8yMDI2Li4uVVNELkgBAAAAIHoFAAMAAAAAAAKKF3pEjd4ISh9ufkSN3ghHQ0lRLk5BU0RBUTpDQUxNLklRX0NVUlJFTlRfUE9SVF9ERUJUX0RFUklWQVRJVkVTLjk5OS4yOS8wMy8yMDI2Li4uVVNELkgBAAAAIHoFAAMAAAAAAAKKF3pEjd4IS/htfkSN3ghDQ0lRLk5BU0RBUTpDQUxNLklRX0RFUklWQVRJVkVfVFJBRElOR19BU1NFVFMuOTk3LjI5LzAzLzIwMjYuLi5VU0QuSAEAAAAgegUAAwAAAAAAAooXekSN3gggqm1+RI3eCEJDSVEuTkFTREFROkNBTE0uSVFfQUNDVU1fQU1PUlRfSU5UQU5fQVNTRVRTLjk5NS4yOS8wMy8yMDI2Li4uVVNELkgBAAAAIHoFAAIAAAAHLTI5Ljc3MwEIAAAABQAAAAExAQAAAAstMjA4ODM0NzQ2OQMAAAADMTYwAgAAAAUyNDMzMQQAAAABMAcA</t>
  </si>
  <si>
    <t>AAAJMy8yOS8yMDI2CAAAAAk1LzMwLzIwMjAJAAAAATD7sBd6RI3eCNIgbX5Ejd4IPUNJUS5OQVNEQVE6Q0FMTS5JUV9MSUFCSUxJVElFU19MRVZFTF8yLjk5My4yOS8wMy8yMDI2Li4uVVNELkgBAAAAIHoFAAIAAAAFNS45MDMA5mIXekSN3gggL3B+RI3eCE9DSVEuTkFTREFROkNBTE0uSVFfTElBQklMSVRJRVNfTkVUVElOR19PVEhFUl9BREpVU1RNRU5UUy45OTcuMjkvMDMvMjAyNi4uLlVTRC5IAQAAACB6BQADAAAAAADmYhd6RI3eCBoIcH5Ejd4IP0NJUS5OQVNEQVE6Q0FMTS5JUV9GSU5fRElWX1NUX0RFQlRfVE9UQUwuOTkzLjI5LzAzLzIwMjYuLi5VU0QuSAEAAAAgegUAAwAAAAAA5mIXekSN3gjbkm9+RI3eCDxDSVEuTkFTREFROkNBTE0uSVFfRklOX0RJVl9ERUJUX1RPVEFMLjk5OS4yOS8wMy8yMDI2Li4uVVNELkgBAAAAIHoFAAMAAAAAAOZiF3pEjd4IsmtvfkSN3gg/Q0lRLk5BU0RBUTpDQUxNLklRX0RFQlRfRVFVSVZfT1BFUl9MRUFTRS45OTcuMjkvMDMvMjAyNi4uLlVTRC5IAQAAACB6BQADAAAAAAACihd6RI3eCI/2bn5Ejd4IR0NJUS5OQVNEQVE6Q0FMTS5JUV9HRU5FUkFMX1BBUlRORVJfQ09NTU9OX0VRVUlUWS45OTMuMjkvMDMvMjAyNi4uLlVTRC5IAQAAACB6BQADAAAAAACiaS16RI3eCLiicX5Ejd4IS0NJUS5OQVNEQVE6Q0FMTS5JUV9HRU5FUkFMX1BBUlRORVJfTUlOT1JJVFlf</t>
  </si>
  <si>
    <t>SU5URVJFU1QuOTk3LjI5LzAzLzIwMjYuLi5VU0QuSAEAAAAgegUAAwAAAAAAomktekSN3giPe3F+RI3eCExDSVEuTkFTREFROkNBTE0uSVFfTElRVUlEQVRJT05fVkFMVUVfUFJFRkVSUkVEX1JFREVFTS45OTUuMjkvMDMvMjAyNi4uLlVTRC5IAQAAACB6BQADAAAAAACiaS16RI3eCIotcX5Ejd4IOENJUS5OQVNEQVE6Q0FMTS5JUV9BU1NFVFNfTEVWRUxfMy45OTUuMjkvMDMvMjAyNi4uLlVTRC5IAQAAACB6BQADAAAAAACiaS16RI3eCJy4cH5Ejd4IO0NJUS5OQVNEQVE6Q0FMTS5JUV9BU1NFVFNfRkFJUl9WQUxVRS45OTkuMjkvMDMvMjAyNi4uLlVTRC5IAQAAACB6BQACAAAABzU3NC40OTkA5mIXekSN3gg5kXB+RI3eCDFDSVEuTkFTREFROkNBTE0uSVFfV0lQX0lOVi45OTkuMjkvMDMvMjAyNi4uLlVTRC5IAQAAACB6BQADAAAAAADAVS16RI3eCBR4c35Ejd4IM0NJUS5OQVNEQVE6Q0FMTS5JUV9CVUlMRElOR1MuOTk3LjI5LzAzLzIwMjYuLi5VU0QuSAEAAAAgegUAAgAAAAc1MTcuODU5AQgAAAAFAAAAATEBAAAACy0xOTg2NzA4NDMzAwAAAAMxNjACAAAABDMwMjMEAAAAATAHAAAACTMvMjkvMjAyNggAAAAJNS8yOC8yMDIyCQAAAAEwwFUtekSN3ghOFnN+RI3eCC1DSVEuTkFTREFROkNBTE0uSVFfQ0lQLjk5NS4yOS8wMy8yMDI2Li4uVVNELkgBAAAAIHoFAAIAAAAHMTI2LjA2MQEIAAAABQAAAAEx</t>
  </si>
  <si>
    <t>AQAAAAstMjA4ODM0NzQ2OQMAAAADMTYwAgAAAAQzMDMzBAAAAAEwBwAAAAkzLzI5LzIwMjYIAAAACTUvMzAvMjAyMAkAAAABMMBVLXpEjd4IDaFyfkSN3ghBQ0lRLk5BU0RBUTpDQUxNLklRX01JTk9SSVRZX0lOVF9SRURFRU1fVE9ULjk5My4yOS8wMy8yMDI2Li4uVVNELkgBAAAAIHoFAAMAAAAAAKJpLXpEjd4I+CtyfkSN3ghDQ0lRLk5BU0RBUTpDQUxNLklRX0ZJTl9ESVZfTUlOT1JJVFlfSU5URVJFU1QuOTk5LjI5LzAzLzIwMjYuLi5VU0QuSAEAAAAgegUAAwAAAAAAomktekSN3gh63XF+RI3eCDRDSVEuTkFTREFROkNBTE0uSVFfVE9UQUxfREVCVC45OTMuMjkvMDMvMjAyNi4uLlVTRC5IAQAAACB6BQACAAAABDYuMDkBCAAAAAUAAAABMQEAAAAKMjA0NTc0OTMxMAMAAAADMTYwAgAAAAQ0MTczBAAAAAEwBwAAAAkzLzI5LzIwMjYIAAAACDYvMi8yMDE4CQAAAAEwwS4tekSN3gjX63R+RI3eCDxDSVEuTkFTREFROkNBTE0uSVFfVE9UQUxfREVCVF9DVVJSRU5ULjk5OS4yOS8wMy8yMDI2Li4uVVNELkgBAAAAIHoFAAMAAAAAAMEuLXpEjd4I8bB0fkSN3ggzQ0lRLk5BU0RBUTpDQUxNLklRX1RPVEFMX0NBUC45OTcuMjkvMDMvMjAyNi4uLlVTRC5IAQAAACB6BQACAAAACDExMDQuMzQ1AQgAAAAFAAAAATEBAAAACy0xOTg2NzA4NDMzAwAAAAMxNjACAAAABDQxNzUEAAAAATAHAAAACTMvMjkvMjAyNggA</t>
  </si>
  <si>
    <t>AAAJNS8yOC8yMDIyCQAAAAEwwS4tekSN3gjHO3R+RI3eCDdDSVEuTkFTREFROkNBTE0uSVFfRVFVSVRZX01FVEhPRC45OTUuMjkvMDMvMjAyNi4uLlVTRC5IAQAAACB6BQACAAAABjYwLjk4MgEIAAAABQAAAAExAQAAAAstMjA4ODM0NzQ2OQMAAAADMTYwAgAAAAQzMDYzBAAAAAEwBwAAAAkzLzI5LzIwMjYIAAAACTUvMzAvMjAyMAkAAAABMMEuLXpEjd4Inu1zfkSN3ggxQ0lRLk5BU0RBUTpDQUxNLklRX1JBV19JTlYuOTkzLjI5LzAzLzIwMjYuLi5VU0QuSAEAAAAgegUAAgAAAAY5Ni41OTQBCAAAAAUAAAABMQEAAAAKMjA0NTc0OTMxMAMAAAADMTYwAgAAAAQzMTcxBAAAAAEwBwAAAAkzLzI5LzIwMjYIAAAACDYvMi8yMDE4CQAAAAEwwS4tekSN3ghUn3N+RI3eCDtDSVEuTkFTREFROkNBTE0uSVFfVE9UQUxfT1BFUl9MRUFTRVMuOTk5LjI5LzAzLzIwMjYuLi5VU0QuSAEAAAAgegUAAwAAAAAAugctekSN3gjBcnZ+RI3eCFJDSVEuTkFTREFROkNBTE0uSVFfRklOQU5DSU5HX09CTElHX0NVUlJFTlRfRVhDTF9PUEVSX0xFQVNFUy45OTMuMjkvMDMvMjAyNi4uLlVTRC5IAQAAACB6BQACAAAABTMuNTM2AQgAAAAFAAAAATEBAAAACjIwNDU3NDkzMTADAAAAAzE2MAIAAAAFNDg5ODAEAAAAATAHAAAACTMvMjkvMjAyNggAAAAINi8yLzIwMTgJAAAAATC6By16RI3eCKZLdn5Ejd4IRUNJUS5OQVNEQVE6Q0FM</t>
  </si>
  <si>
    <t>TS5JUV9UT1RBTF9ERUJUX0VYQ0xfT1BFUl9MRUFTRVMuOTk3LjI5LzAzLzIwMjYuLi5VU0QuSAEAAAAgegUAAwAAAAAAugctekSN3gigJHZ+RI3eCDxDSVEuTkFTREFROkNBTE0uSVFfVEJWX1NIQVJFX1JFUE9SVEVELjk5NS4yOS8wMy8yMDI2Li4uVVNELkgBAAAAIHoFAAMAAAAAAMEuLXpEjd4Ia4h1fkSN3ggyQ0lRLk5BU0RBUTpDQUxNLklRX0dXX0lOVEFOLjk5OS4yOS8wMy8yMDI2Li4uVVNELkgBAAAAIHoFAAIAAAAGNjEuNzcyAQgAAAAFAAAAATEBAAAACy0xOTM0OTc4NDgwAwAAAAMxNjACAAAABTM1MzgxBAAAAAEwBwAAAAkzLzI5LzIwMjYIAAAACDYvMS8yMDI0CQAAAAEwwS4tekSN3ghIYXV+RI3eCDdDSVEuTkFTREFROkNBTE0uSVFfR1dfSU5UQU5fTkVULjEwMDAuMjkvMDMvMjAyNi4uLlVTRC5IAQAAACB6BQADAAAAAAD7sBd6RI3eCJCEbH5Ejd4IM0NJUS5OQVNEQVE6Q0FMTS5JUV9JTlRBTl9ORVQuOTk0LjI5LzAzLzIwMjYuLi5VU0QuSAEAAAAgegUAAgAAAAYyMy43NjIBCAAAAAUAAAABMQEAAAALLTIxNDI0MjkwMzkDAAAAAzE2MAIAAAAFNDg5NjIEAAAAATAHAAAACTMvMjkvMjAyNggAAAAINi8xLzIwMTkJAAAAATD7sBd6RI3eCIBdbH5Ejd4IPUNJUS5OQVNEQVE6Q0FMTS5JUV9JTlRFUkNPTVBBTllfTk9OX0NBLjk5OC4yOS8wMy8yMDI2Li4uVVNELkgBAAAAIHoFAAMAAAAAAPuw</t>
  </si>
  <si>
    <t>F3pEjd4IcTZsfkSN3gg8Q0lRLk5BU0RBUTpDQUxNLklRX1RPVEFMX1JFVl9FTVBMT1lFRS45OTYuMjkvMDMvMjAyNi4uLlVTRC5IAQAAACB6BQACAAAABjQxOS4wNwEIAAAABQAAAAExAQAAAAstMjAzNzI0MTcyMQMAAAADMTYwAgAAAAQ0MTIzBAAAAAEwBwAAAAkzLzI5LzIwMjYIAAAACTUvMjkvMjAyMQkAAAABMCZ9FHpEjd4IJ+hrfkSN3ghQQ0lRLk5BU0RBUTpDQUxNLklRX0NVUlJFTlRfUE9SVElPTl9PUEVSX0xFQVNFX0xJQUJJTElUSUVTLjk5NS4yOS8wMy8yMDI2Li4uVVNELkgBAAAAIHoFAAIAAAAFMC43OTYBCAAAAAUAAAABMQEAAAALLTIwODgzNDc0NjkDAAAAAzE2MAIAAAAFNDgzODUEAAAAATAHAAAACTMvMjkvMjAyNggAAAAJNS8zMC8yMDIwCQAAAAEwugctekSN3gh5hnZ+RI3eCEhDSVEuTkFTREFROkNBTE0uSVFfQ1VSUkVOVF9QT1JUX0RFQlRfREVSSVZBVElWRVMuMTAwMC4yOS8wMy8yMDI2Li4uVVNELkgBAAAAIHoFAAMAAAAAAAKKF3pEjd4ISh9ufkSN3ghBQ0lRLk5BU0RBUTpDQUxNLklRX0RFUklWQVRJVkVfTElBQl9DVVJSRU5ULjk5NC4yOS8wMy8yMDI2Li4uVVNELkgBAAAAIHoFAAMAAAAAAAKKF3pEjd4IJtFtfkSN3ghDQ0lRLk5BU0RBUTpDQUxNLklRX0RFUklWQVRJVkVfVFJBRElOR19BU1NFVFMuOTk4LjI5LzAzLzIwMjYuLi5VU0QuSAEAAAAgegUAAwAAAAAAAooXekSN</t>
  </si>
  <si>
    <t>3gggqm1+RI3eCEJDSVEuTkFTREFROkNBTE0uSVFfQUNDVU1fQU1PUlRfSU5UQU5fQVNTRVRTLjk5Ni4yOS8wMy8yMDI2Li4uVVNELkgBAAAAIHoFAAMAAAAAAPuwF3pEjd4I0iBtfkSN3gg8Q0lRLk5BU0RBUTpDQUxNLklRX0xUX01BUktfU0VDVVJJVElFUy45OTYuMjkvMDMvMjAyNi4uLlVTRC5IAQAAACB6BQADAAAAAAD7sBd6RI3eCKGrbH5Ejd4IP0NJUS5OQVNEQVE6Q0FMTS5JUV9GSU5fRElWX1NUX0RFQlRfVE9UQUwuOTk0LjI5LzAzLzIwMjYuLi5VU0QuSAEAAAAgegUAAwAAAAAA5mIXekSN3gjbkm9+RI3eCD1DSVEuTkFTREFROkNBTE0uSVFfRklOX0RJVl9ERUJUX1RPVEFMLjEwMDAuMjkvMDMvMjAyNi4uLlVTRC5IAQAAACB6BQADAAAAAADmYhd6RI3eCLJrb35Ejd4IP0NJUS5OQVNEQVE6Q0FMTS5JUV9ERUJUX0VRVUlWX09QRVJfTEVBU0UuOTk4LjI5LzAzLzIwMjYuLi5VU0QuSAEAAAAgegUAAwAAAAAAAooXekSN3giP9m5+RI3eCD1DSVEuTkFTREFROkNBTE0uSVFfVE9UQUxfREVCVF9FWENMX0ZJTi45OTYuMjkvMDMvMjAyNi4uLlVTRC5IAQAAACB6BQACAAAABTIuMzc4AQgAAAAFAAAAATEBAAAACy0yMDM3MjQxNzIxAwAAAAMxNjACAAAABTIxODYwBAAAAAEwBwAAAAkzLzI5LzIwMjYIAAAACTUvMjkvMjAyMQkAAAABMAKKF3pEjd4IeZRufkSN3gg9Q0lRLk5BU0RBUTpDQUxNLklRX1NU</t>
  </si>
  <si>
    <t>X0RFQlRfREVSSVZBVElWRVMuOTk0LjI5LzAzLzIwMjYuLi5VU0QuSAEAAAAgegUAAwAAAAAAAooXekSN3ghYRm5+RI3eCD5DSVEuTkFTREFROkNBTE0uSVFfREVSSVZBVElWRV9BU1NFVFNfTFQuOTk0LjI5LzAzLzIwMjYuLi5VU0QuSAEAAAAgegUAAwAAAAAA+7AXekSN3ggmg21+RI3eCD1DSVEuTkFTREFROkNBTE0uSVFfR1JPU1NfSU5UQU5fQVNTRVRTLjEwMDAuMjkvMDMvMjAyNi4uLlVTRC5IAQAAACB6BQACAAAABjM1LjY5NQEIAAAABQAAAAExAQAAAAstMTkzNDk3ODM4MQMAAAADMTYwAgAAAAUyNDI5MwQAAAABMAcAAAAJMy8yOS8yMDI2CAAAAAk1LzMxLzIwMjUJAAAAATD7sBd6RI3eCO1HbX5Ejd4IPENJUS5OQVNEQVE6Q0FMTS5JUV9MVF9NQVJLX1NFQ1VSSVRJRVMuOTk4LjI5LzAzLzIwMjYuLi5VU0QuSAEAAAAgegUAAwAAAAAA+7AXekSN3gi30mx+RI3eCDNDSVEuTkFTREFROkNBTE0uSVFfSU5UQU5fTkVULjk5Ni4yOS8wMy8yMDI2Li4uVVNELkgBAAAAIHoFAAIAAAAGMjAuMzQxAQgAAAAFAAAAATEBAAAACy0yMDM3MjQxNzIxAwAAAAMxNjACAAAABTQ4OTYyBAAAAAEwBwAAAAkzLzI5LzIwMjYIAAAACTUvMjkvMjAyMQkAAAABMPuwF3pEjd4IgF1sfkSN3gg9Q0lRLk5BU0RBUTpDQUxNLklRX0lOVEVSQ09NUEFOWV9OT05fQ0wuOTk0LjI5LzAzLzIwMjYuLi5VU0QuSAEAAAAgegUAAwAA</t>
  </si>
  <si>
    <t>AAAA+7AXekSN3gg0D2x+RI3eCDJDSVEuTkFTREFROkNBTE0uSVFfR1JPU1NfR1cuOTk1LjI5LzAzLzIwMjYuLi5VU0QuSAEAAAAgegUAAwAAAAAA+7AXekSN3gjH+Wx+RI3eCDxDSVEuTkFTREFROkNBTE0uSVFfTFRfTUFSS19TRUNVUklUSUVTLjk5OS4yOS8wMy8yMDI2Li4uVVNELkgBAAAAIHoFAAMAAAAAAPuwF3pEjd4It9JsfkSN3gg2Q0lRLk5BU0RBUTpDQUxNLklRX0dXX0lOVEFOX05FVC45OTMuMjkvMDMvMjAyNi4uLlVTRC5IAQAAACB6BQADAAAAAAD7sBd6RI3eCKGrbH5Ejd4IM0NJUS5OQVNEQVE6Q0FMTS5JUV9JTlRBTl9ORVQuOTk3LjI5LzAzLzIwMjYuLi5VU0QuSAEAAAAgegUAAgAAAAYxOC4xMzEBCAAAAAUAAAABMQEAAAALLTE5ODY3MDg0MzMDAAAAAzE2MAIAAAAFNDg5NjIEAAAAATAHAAAACTMvMjkvMjAyNggAAAAJNS8yOC8yMDIyCQAAAAEw+7AXekSN3giQhGx+RI3eCDlDSVEuTkFTREFROkNBTE0uSVFfSU5URVJDT01QQU5ZX0NMLjk5Ny4yOS8wMy8yMDI2Li4uVVNELkgBAAAAIHoFAAMAAAAAAPuwF3pEjd4INA9sfkSN3ghAQ0lRLk5BU0RBUTpDQUxNLklRX0NPTlRJTkdFTlRfTElBQklMSVRJRVMuOTkzLjI5LzAzLzIwMjYuLi5VU0QuSAEAAAAgegUAAwAAAAAAAooXekSN3ghwbW5+RI3eCD5DSVEuTkFTREFROkNBTE0uSVFfV0FSUkFOVFlfTElBQklMSVRJRVMuOTk5LjI5LzAz</t>
  </si>
  <si>
    <t>LzIwMjYuLi5VU0QuSAEAAAAgegUAAwAAAAAAAooXekSN3ghYRm5+RI3eCEdDSVEuTkFTREFROkNBTE0uSVFfQ1VSUkVOVF9QT1JUX0RFQlRfREVSSVZBVElWRVMuOTkzLjI5LzAzLzIwMjYuLi5VU0QuSAEAAAAgegUAAwAAAAAAAooXekSN3ghKH25+RI3eCEFDSVEuTkFTREFROkNBTE0uSVFfREVSSVZBVElWRV9MSUFCX0NVUlJFTlQuOTk3LjI5LzAzLzIwMjYuLi5VU0QuSAEAAAAgegUAAwAAAAAAAooXekSN3ghL+G1+RI3eCD5DSVEuTkFTREFROkNBTE0uSVFfREVSSVZBVElWRV9BU1NFVFNfTFQuOTk1LjI5LzAzLzIwMjYuLi5VU0QuSAEAAAAgegUAAwAAAAAA+7AXekSN3ggmg21+RI3eCD1DSVEuTkFTREFROkNBTE0uSVFfTElBQklMSVRJRVNfTEVWRUxfMS45OTkuMjkvMDMvMjAyNi4uLlVTRC5IAQAAACB6BQADAAAAAADmYhd6RI3eCCAvcH5Ejd4IQENJUS5OQVNEQVE6Q0FMTS5JUV9MSUFCSUxJVElFU19GQUlSX1ZBTFVFLjk5Ny4yOS8wMy8yMDI2Li4uVVNELkgBAAAAIHoFAAMAAAAAAOZiF3pEjd4I4uBvfkSN3gg/Q0lRLk5BU0RBUTpDQUxNLklRX0ZJTl9ESVZfTFRfREVCVF9UT1RBTC45OTkuMjkvMDMvMjAyNi4uLlVTRC5IAQAAACB6BQADAAAAAADmYhd6RI3eCEu6b35Ejd4IO0NJUS5OQVNEQVE6Q0FMTS5JUV9GSU5fRElWX1NUX0lOVkVTVC45OTcuMjkvMDMvMjAyNi4uLlVTRC5IAQAAACB6</t>
  </si>
  <si>
    <t>BQADAAAAAAACihd6RI3eCNVEb35Ejd4IRUNJUS5OQVNEQVE6Q0FMTS5JUV9SRVNUUklDVEVEX0NBU0hfTk9OX0NVUlJFTlQuOTk1LjI5LzAzLzIwMjYuLi5VU0QuSAEAAAAgegUAAwAAAAAAAooXekSN3ghKz25+RI3eCEdDSVEuTkFTREFROkNBTE0uSVFfR0VORVJBTF9QQVJUTkVSX0NPTU1PTl9FUVVJVFkuOTk3LjI5LzAzLzIwMjYuLi5VU0QuSAEAAAAgegUAAwAAAAAAomktekSN3gi4onF+RI3eCEhDSVEuTkFTREFROkNBTE0uSVFfVE9UQUxfR0VORVJBTF9QQVJUTkVSX0lOVEVSRVNULjk5Ny4yOS8wMy8yMDI2Li4uVVNELkgBAAAAIHoFAAMAAAAAAKJpLXpEjd4Iii1xfkSN3gg4Q0lRLk5BU0RBUTpDQUxNLklRX0FTU0VUU19MRVZFTF8xLjk5NS4yOS8wMy8yMDI2Li4uVVNELkgBAAAAIHoFAAIAAAAFMi43NDkAomktekSN3ghY33B+RI3eCDhDSVEuTkFTREFROkNBTE0uSVFfQVNTRVRTX0xFVkVMXzMuOTk5LjI5LzAzLzIwMjYuLi5VU0QuSAEAAAAgegUAAwAAAAAAomktekSN3gicuHB+RI3eCDtDSVEuTkFTREFROkNBTE0uSVFfQVNTRVRTX0ZBSVJfVkFMVUUuOTkzLjI5LzAzLzIwMjYuLi5VU0QuSAEAAAAgegUAAgAAAAcyODUuNjU3AOZiF3pEjd4IOZFwfkSN3gg9Q0lRLk5BU0RBUTpDQUxNLklRX0xUX01BUktfU0VDVVJJVElFUy4xMDAwLjI5LzAzLzIwMjYuLi5VU0QuSAEAAAAgegUAAwAAAAAA</t>
  </si>
  <si>
    <t>+7AXekSN3gi30mx+RI3eCDZDSVEuTkFTREFROkNBTE0uSVFfR1dfSU5UQU5fTkVULjk5NC4yOS8wMy8yMDI2Li4uVVNELkgBAAAAIHoFAAMAAAAAAPuwF3pEjd4IoatsfkSN3ggxQ0lRLk5BU0RBUTpDQUxNLklRX0dXX05FVC4xMDAwLjI5LzAzLzIwMjYuLi5VU0QuSAEAAAAgegUAAgAAAAY0Ni43NzYBCAAAAAUAAAABMQEAAAALLTE5MzQ5NzgzODEDAAAAAzE2MAIAAAAFNDg5NjAEAAAAATAHAAAACTMvMjkvMjAyNggAAAAJNS8zMS8yMDI1CQAAAAEw+7AXekSN3giQhGx+RI3eCDlDSVEuTkFTREFROkNBTE0uSVFfSU5URVJDT01QQU5ZX0NMLjk5OC4yOS8wMy8yMDI2Li4uVVNELkgBAAAAIHoFAAMAAAAAAPuwF3pEjd4INA9sfkSN3ghDQ0lRLk5BU0RBUTpDQUxNLklRX0ZJTl9ESVZfTUlOT1JJVFlfSU5URVJFU1QuOTkzLjI5LzAzLzIwMjYuLi5VU0QuSAEAAAAgegUAAwAAAAAAomktekSN3gh63XF+RI3eCD9DSVEuTkFTREFROkNBTE0uSVFfV0FSUkFOVFlfTElBQklMSVRJRVMuMTAwMC4yOS8wMy8yMDI2Li4uVVNELkgBAAAAIHoFAAMAAAAAAAKKF3pEjd4IWEZufkSN3ghHQ0lRLk5BU0RBUTpDQUxNLklRX0NVUlJFTlRfUE9SVF9ERUJUX0RFUklWQVRJVkVTLjk5NC4yOS8wMy8yMDI2Li4uVVNELkgBAAAAIHoFAAMAAAAAAAKKF3pEjd4ISh9ufkSN3ghBQ0lRLk5BU0RBUTpDQUxNLklRX0RFUklWQVRJ</t>
  </si>
  <si>
    <t>VkVfTElBQl9DVVJSRU5ULjk5OC4yOS8wMy8yMDI2Li4uVVNELkgBAAAAIHoFAAMAAAAAAAKKF3pEjd4IS/htfkSN3ghDQ0lRLk5BU0RBUTpDQUxNLklRX0RFUklWQVRJVkVfQVNTRVRTX0NVUlJFTlQuOTk4LjI5LzAzLzIwMjYuLi5VU0QuSAEAAAAgegUAAwAAAAAAAooXekSN3ggmg21+RI3eCDJDSVEuTkFTREFROkNBTE0uSVFfR1JPU1NfR1cuOTk2LjI5LzAzLzIwMjYuLi5VU0QuSAEAAAAgegUAAwAAAAAA+7AXekSN3gjH+Wx+RI3eCEBDSVEuTkFTREFROkNBTE0uSVFfRklOX0RJVl9MVF9ERUJUX1RPVEFMLjEwMDAuMjkvMDMvMjAyNi4uLlVTRC5IAQAAACB6BQADAAAAAADmYhd6RI3eCEu6b35Ejd4IPENJUS5OQVNEQVE6Q0FMTS5JUV9GSU5fRElWX0RFQlRfVE9UQUwuOTk0LjI5LzAzLzIwMjYuLi5VU0QuSAEAAAAgegUAAwAAAAAA5mIXekSN3giya29+RI3eCDtDSVEuTkFTREFROkNBTE0uSVFfRklOX0RJVl9TVF9JTlZFU1QuOTk4LjI5LzAzLzIwMjYuLi5VU0QuSAEAAAAgegUAAwAAAAAAAooXekSN3gjVRG9+RI3eCEVDSVEuTkFTREFROkNBTE0uSVFfUkVTVFJJQ1RFRF9DQVNIX05PTl9DVVJSRU5ULjk5Ni4yOS8wMy8yMDI2Li4uVVNELkgBAAAAIHoFAAMAAAAAAAKKF3pEjd4ISs9ufkSN3gg3Q0lRLk5BU0RBUTpDQUxNLklRX09SREVSX0JBQ0tMT0cuOTk2LjI5LzAzLzIwMjYuLi5VU0QuSAEA</t>
  </si>
  <si>
    <t>AAAgegUAAwAAAAAAAooXekSN3ghwbW5+RI3eCD1DSVEuTkFTREFROkNBTE0uSVFfSU5URVJDT01QQU5ZX05PTl9DQS45OTMuMjkvMDMvMjAyNi4uLlVTRC5IAQAAACB6BQADAAAAAAD7sBd6RI3eCHE2bH5Ejd4IOUNJUS5OQVNEQVE6Q0FMTS5JUV9JTlRFUkNPTVBBTllfQ0wuOTk5LjI5LzAzLzIwMjYuLi5VU0QuSAEAAAAgegUAAwAAAAAA+7AXekSN3gg0D2x+RI3eCDtDSVEuTkFTREFROkNBTE0uSVFfQVNTRVRTX0ZBSVJfVkFMVUUuOTk0LjI5LzAzLzIwMjYuLi5VU0QuSAEAAAAgegUAAgAAAAcyNTMuNTM4AOZiF3pEjd4IOZFwfkSN3gg+Q0lRLk5BU0RBUTpDQUxNLklRX0xJQUJJTElUSUVTX0xFVkVMXzEuMTAwMC4yOS8wMy8yMDI2Li4uVVNELkgBAAAAIHoFAAMAAAAAAOZiF3pEjd4IIC9wfkSN3ghAQ0lRLk5BU0RBUTpDQUxNLklRX0xJQUJJTElUSUVTX0ZBSVJfVkFMVUUuOTk4LjI5LzAzLzIwMjYuLi5VU0QuSAEAAAAgegUAAwAAAAAA5mIXekSN3ghLum9+RI3eCEdDSVEuTkFTREFROkNBTE0uSVFfQ1VSUkVOVF9QT1JUX0RFQlRfREVSSVZBVElWRVMuOTk1LjI5LzAzLzIwMjYuLi5VU0QuSAEAAAAgegUAAwAAAAAAAooXekSN3ghKH25+RI3eCENDSVEuTkFTREFROkNBTE0uSVFfREVSSVZBVElWRV9UUkFESU5HX0FTU0VUUy45OTMuMjkvMDMvMjAyNi4uLlVTRC5IAQAAACB6BQADAAAAAAACihd6</t>
  </si>
  <si>
    <t>RI3eCCCqbX5Ejd4IQ0NJUS5OQVNEQVE6Q0FMTS5JUV9ERVJJVkFUSVZFX0FTU0VUU19DVVJSRU5ULjk5OS4yOS8wMy8yMDI2Li4uVVNELkgBAAAAIHoFAAMAAAAAAAKKF3pEjd4Is1ttfkSN3ggyQ0lRLk5BU0RBUTpDQUxNLklRX0dST1NTX0dXLjk5Ny4yOS8wMy8yMDI2Li4uVVNELkgBAAAAIHoFAAMAAAAAAPuwF3pEjd4I0iBtfkSN3gg2Q0lRLk5BU0RBUTpDQUxNLklRX0dXX0lOVEFOX05FVC45OTUuMjkvMDMvMjAyNi4uLlVTRC5IAQAAACB6BQADAAAAAAD7sBd6RI3eCKGrbH5Ejd4IQENJUS5OQVNEQVE6Q0FMTS5JUV9MSUFCSUxJVElFU19GQUlSX1ZBTFVFLjk5OS4yOS8wMy8yMDI2Li4uVVNELkgBAAAAIHoFAAIAAAADNi41AOZiF3pEjd4I4uBvfkSN3gg8Q0lRLk5BU0RBUTpDQUxNLklRX0ZJTl9ESVZfREVCVF9UT1RBTC45OTUuMjkvMDMvMjAyNi4uLlVTRC5IAQAAACB6BQADAAAAAADmYhd6RI3eCLJrb35Ejd4IO0NJUS5OQVNEQVE6Q0FMTS5JUV9GSU5fRElWX1NUX0lOVkVTVC45OTkuMjkvMDMvMjAyNi4uLlVTRC5IAQAAACB6BQADAAAAAAACihd6RI3eCNVEb35Ejd4IP0NJUS5OQVNEQVE6Q0FMTS5JUV9ERUJUX0VRVUlWX09QRVJfTEVBU0UuOTkzLjI5LzAzLzIwMjYuLi5VU0QuSAEAAAAgegUAAwAAAAAAAooXekSN3giP9m5+RI3eCDdDSVEuTkFTREFROkNBTE0uSVFfT1JERVJfQkFDS0xP</t>
  </si>
  <si>
    <t>Ry45OTcuMjkvMDMvMjAyNi4uLlVTRC5IAQAAACB6BQADAAAAAAACihd6RI3eCHBtbn5Ejd4IOkNJUS5OQVNEQVE6Q0FMTS5JUV9JTlRFUkNPTVBBTllfQ0wuMTAwMC4yOS8wMy8yMDI2Li4uVVNELkgBAAAAIHoFAAMAAAAAAPuwF3pEjd4INA9sfkSN3ghQQ0lRLk5BU0RBUTpDQUxNLklRX0xJUVVJREFUSU9OX1ZBTFVFX1BSRUZFUlJFRF9OT05fUkVERUVNLjk5My4yOS8wMy8yMDI2Li4uVVNELkgBAAAAIHoFAAMAAAAAAKJpLXpEjd4IiAZxfkSN3gg4Q0lRLk5BU0RBUTpDQUxNLklRX0FTU0VUU19MRVZFTF8xLjk5Ny4yOS8wMy8yMDI2Li4uVVNELkgBAAAAIHoFAAIAAAAFMy43NTIAomktekSN3ghY33B+RI3eCDtDSVEuTkFTREFROkNBTE0uSVFfQVNTRVRTX0ZBSVJfVkFMVUUuOTk1LjI5LzAzLzIwMjYuLi5VU0QuSAEAAAAgegUAAgAAAAcxNTYuOTEyAOZiF3pEjd4IOZFwfkSN3gg9Q0lRLk5BU0RBUTpDQUxNLklRX0xJQUJJTElUSUVTX0xFVkVMXzMuOTk1LjI5LzAzLzIwMjYuLi5VU0QuSAEAAAAgegUAAwAAAAAA5mIXekSN3ggaCHB+RI3eCERDSVEuTkFTREFROkNBTE0uSVFfREVSSVZBVElWRV9BU1NFVFNfQ1VSUkVOVC4xMDAwLjI5LzAzLzIwMjYuLi5VU0QuSAEAAAAgegUAAwAAAAAAAooXekSN3ggmg21+RI3eCDxDSVEuTkFTREFROkNBTE0uSVFfR1JPU1NfSU5UQU5fQVNTRVRTLjk5NC4yOS8w</t>
  </si>
  <si>
    <t>My8yMDI2Li4uVVNELkgBAAAAIHoFAAIAAAAGNTAuNTg5AQgAAAAFAAAAATEBAAAACy0yMTQyNDI5MDM5AwAAAAMxNjACAAAABTI0MjkzBAAAAAEwBwAAAAkzLzI5LzIwMjYIAAAACDYvMS8yMDE5CQAAAAEw+7AXekSN3gjtR21+RI3eCDJDSVEuTkFTREFROkNBTE0uSVFfR1JPU1NfR1cuOTk4LjI5LzAzLzIwMjYuLi5VU0QuSAEAAAAgegUAAwAAAAAA+7AXekSN3gjH+Wx+RI3eCDZDSVEuTkFTREFROkNBTE0uSVFfR1dfSU5UQU5fTkVULjk5Ni4yOS8wMy8yMDI2Li4uVVNELkgBAAAAIHoFAAMAAAAAAPuwF3pEjd4IoatsfkSN3gg5Q0lRLk5BU0RBUTpDQUxNLklRX0lOVEVSQ09NUEFOWV9DQS45OTYuMjkvMDMvMjAyNi4uLlVTRC5IAQAAACB6BQADAAAAAAD7sBd6RI3eCHE2bH5Ejd4IPENJUS5OQVNEQVE6Q0FMTS5JUV9GSU5fRElWX0RFQlRfVE9UQUwuOTk2LjI5LzAzLzIwMjYuLi5VU0QuSAEAAAAgegUAAwAAAAAA5mIXekSN3gjbkm9+RI3eCD9DSVEuTkFTREFROkNBTE0uSVFfREVCVF9FUVVJVl9PUEVSX0xFQVNFLjk5NC4yOS8wMy8yMDI2Li4uVVNELkgBAAAAIHoFAAMAAAAAAAKKF3pEjd4Ij/ZufkSN3gg3Q0lRLk5BU0RBUTpDQUxNLklRX09SREVSX0JBQ0tMT0cuOTk4LjI5LzAzLzIwMjYuLi5VU0QuSAEAAAAgegUAAwAAAAAAAooXekSN3ghwbW5+RI3eCEdDSVEuTkFTREFROkNBTE0uSVFfQ1VS</t>
  </si>
  <si>
    <t>UkVOVF9QT1JUX0RFQlRfREVSSVZBVElWRVMuOTk2LjI5LzAzLzIwMjYuLi5VU0QuSAEAAAAgegUAAwAAAAAAAooXekSN3ghKH25+RI3eCENDSVEuTkFTREFROkNBTE0uSVFfREVSSVZBVElWRV9UUkFESU5HX0FTU0VUUy45OTQuMjkvMDMvMjAyNi4uLlVTRC5IAQAAACB6BQADAAAAAAACihd6RI3eCCCqbX5Ejd4IUENJUS5OQVNEQVE6Q0FMTS5JUV9MSVFVSURBVElPTl9WQUxVRV9QUkVGRVJSRURfTk9OX1JFREVFTS45OTQuMjkvMDMvMjAyNi4uLlVTRC5IAQAAACB6BQADAAAAAACiaS16RI3eCIotcX5Ejd4IOENJUS5OQVNEQVE6Q0FMTS5JUV9BU1NFVFNfTEVWRUxfMS45OTguMjkvMDMvMjAyNi4uLlVTRC5IAQAAACB6BQADAAAAAACiaS16RI3eCFjfcH5Ejd4ISkNJUS5OQVNEQVE6Q0FMTS5JUV9BU1NFVFNfTkVUVElOR19PVEhFUl9BREpVU1RNRU5UUy45OTguMjkvMDMvMjAyNi4uLlVTRC5IAQAAACB6BQADAAAAAACiaS16RI3eCDmRcH5Ejd4IPUNJUS5OQVNEQVE6Q0FMTS5JUV9MSUFCSUxJVElFU19MRVZFTF8zLjk5Ni4yOS8wMy8yMDI2Li4uVVNELkgBAAAAIHoFAAMAAAAAAOZiF3pEjd4IGghwfkSN3ghBQ0lRLk5BU0RBUTpDQUxNLklRX0xJQUJJTElUSUVTX0ZBSVJfVkFMVUUuMTAwMC4yOS8wMy8yMDI2Li4uVVNELkgBAAAAIHoFAAIAAAAEMjEuNQDmYhd6RI3eCOLgb35Ejd4IOUNJUS5OQVNE</t>
  </si>
  <si>
    <t>QVE6Q0FMTS5JUV9JTlRFUkNPTVBBTllfQ0EuOTk3LjI5LzAzLzIwMjYuLi5VU0QuSAEAAAAgegUAAwAAAAAA+7AXekSN3giAXWx+RI3eCD9DSVEuTkFTREFROkNBTE0uSVFfTEVBU0VIT0xEX0lNUFJPVkVNRU5ULjk5OC4yOS8wMy8yMDI2Li4uVVNELkgBAAAAIHoFAAMAAAAAAMBVLXpEjd4I3nlyfkSN3ghDQ0lRLk5BU0RBUTpDQUxNLklRX0ZJTl9ESVZfTUlOT1JJVFlfSU5URVJFU1QuOTk2LjI5LzAzLzIwMjYuLi5VU0QuSAEAAAAgegUAAwAAAAAAomktekSN3gi8BHJ+RI3eCEVDSVEuTkFTREFROkNBTE0uSVFfR0VORVJBTF9QQVJUTkVSX1BSRUZfRVFVSVRZLjk5Ni4yOS8wMy8yMDI2Li4uVVNELkgBAAAAIHoFAAMAAAAAAKJpLXpEjd4Ij3txfkSN3ghJQ0lRLk5BU0RBUTpDQUxNLklRX1RPVEFMX0dFTkVSQUxfUEFSVE5FUl9JTlRFUkVTVC4xMDAwLjI5LzAzLzIwMjYuLi5VU0QuSAEAAAAgegUAAwAAAAAAomktekSN3giZVHF+RI3eCEVDSVEuTkFTREFROkNBTE0uSVFfREVSSVZBVElWRV9MSUFCX05PTl9DVVJSRU5ULjk5Ny4yOS8wMy8yMDI2Li4uVVNELkgBAAAAIHoFAAMAAAAAAAKKF3pEjd4IIKptfkSN3gg8Q0lRLk5BU0RBUTpDQUxNLklRX0dST1NTX0lOVEFOX0FTU0VUUy45OTUuMjkvMDMvMjAyNi4uLlVTRC5IAQAAACB6BQACAAAABjUyLjU4OQEIAAAABQAAAAExAQAAAAstMjA4ODM0NzQ2</t>
  </si>
  <si>
    <t>OQMAAAADMTYwAgAAAAUyNDI5MwQAAAABMAcAAAAJMy8yOS8yMDI2CAAAAAk1LzMwLzIwMjAJAAAAATD7sBd6RI3eCO1HbX5Ejd4IMkNJUS5OQVNEQVE6Q0FMTS5JUV9HUk9TU19HVy45OTkuMjkvMDMvMjAyNi4uLlVTRC5IAQAAACB6BQADAAAAAAD7sBd6RI3eCMf5bH5Ejd4IPENJUS5OQVNEQVE6Q0FMTS5JUV9MVF9NQVJLX1NFQ1VSSVRJRVMuOTkzLjI5LzAzLzIwMjYuLi5VU0QuSAEAAAAgegUAAwAAAAAA+7AXekSN3gi30mx+RI3eCD9DSVEuTkFTREFROkNBTE0uSVFfQURWQU5DRVNfRk9SX1NVUFBMSUVTLjk5OS4yOS8wMy8yMDI2Li4uVVNELkgBAAAAIHoFAAMAAAAAAPuwF3pEjd4IoatsfkSN3gg/Q0lRLk5BU0RBUTpDQUxNLklRX0RFQlRfRVFVSVZfT1BFUl9MRUFTRS45OTUuMjkvMDMvMjAyNi4uLlVTRC5IAQAAACB6BQADAAAAAAACihd6RI3eCI/2bn5Ejd4IP0NJUS5OQVNEQVE6Q0FMTS5JUV9SRVNUUklDVEVEX0NBU0hfVE9UQUwuOTk1LjI5LzAzLzIwMjYuLi5VU0QuSAEAAAAgegUAAwAAAAAAAooXekSN3gh5lG5+RI3eCDdDSVEuTkFTREFROkNBTE0uSVFfT1JERVJfQkFDS0xPRy45OTkuMjkvMDMvMjAyNi4uLlVTRC5IAQAAACB6BQADAAAAAAACihd6RI3eCHBtbn5Ejd4IPkNJUS5OQVNEQVE6Q0FMTS5JUV9XQVJSQU5UWV9MSUFCSUxJVElFUy45OTMuMjkvMDMvMjAyNi4uLlVTRC5IAQAA</t>
  </si>
  <si>
    <t>ACB6BQADAAAAAAACihd6RI3eCFhGbn5Ejd4IR0NJUS5OQVNEQVE6Q0FMTS5JUV9DVVJSRU5UX1BPUlRfREVCVF9ERVJJVkFUSVZFUy45OTcuMjkvMDMvMjAyNi4uLlVTRC5IAQAAACB6BQADAAAAAAACihd6RI3eCEofbn5Ejd4IOENJUS5OQVNEQVE6Q0FMTS5JUV9BU1NFVFNfTEVWRUxfMy45OTMuMjkvMDMvMjAyNi4uLlVTRC5IAQAAACB6BQADAAAAAACiaS16RI3eCJy4cH5Ejd4ISkNJUS5OQVNEQVE6Q0FMTS5JUV9BU1NFVFNfTkVUVElOR19PVEhFUl9BREpVU1RNRU5UUy45OTkuMjkvMDMvMjAyNi4uLlVTRC5IAQAAACB6BQADAAAAAACiaS16RI3eCDmRcH5Ejd4IPUNJUS5OQVNEQVE6Q0FMTS5JUV9MSUFCSUxJVElFU19MRVZFTF8zLjk5Ny4yOS8wMy8yMDI2Li4uVVNELkgBAAAAIHoFAAMAAAAAAOZiF3pEjd4IGghwfkSN3gg/Q0lRLk5BU0RBUTpDQUxNLklRX0ZJTl9ESVZfTFRfREVCVF9UT1RBTC45OTMuMjkvMDMvMjAyNi4uLlVTRC5IAQAAACB6BQADAAAAAADmYhd6RI3eCNuSb35Ejd4IPENJUS5OQVNEQVE6Q0FMTS5JUV9GSU5fRElWX0RFQlRfVE9UQUwuOTk3LjI5LzAzLzIwMjYuLi5VU0QuSAEAAAAgegUAAwAAAAAA5mIXekSN3gjbkm9+RI3eCD9DSVEuTkFTREFROkNBTE0uSVFfTEVBU0VIT0xEX0lNUFJPVkVNRU5ULjk5OS4yOS8wMy8yMDI2Li4uVVNELkgBAAAAIHoFAAMAAAAAAMBVLXpE</t>
  </si>
  <si>
    <t>jd4I3nlyfkSN3ghFQ0lRLk5BU0RBUTpDQUxNLklRX0ZJTl9ESVZfTUlOT1JJVFlfSU5UX1JFREVFTS45OTMuMjkvMDMvMjAyNi4uLlVTRC5IAQAAACB6BQADAAAAAADAVS16RI3eCPgrcn5Ejd4IQUNJUS5OQVNEQVE6Q0FMTS5JUV9NSU5PUklUWV9JTlRfUkVERUVNX1RPVC45OTkuMjkvMDMvMjAyNi4uLlVTRC5IAQAAACB6BQADAAAAAACiaS16RI3eCHrdcX5Ejd4IRUNJUS5OQVNEQVE6Q0FMTS5JUV9HRU5FUkFMX1BBUlRORVJfUFJFRl9FUVVJVFkuOTk3LjI5LzAzLzIwMjYuLi5VU0QuSAEAAAAgegUAAwAAAAAAomktekSN3giPe3F+RI3eCFBDSVEuTkFTREFROkNBTE0uSVFfTElRVUlEQVRJT05fVkFMVUVfUFJFRkVSUkVEX05PTl9SRURFRU0uOTk1LjI5LzAzLzIwMjYuLi5VU0QuSAEAAAAgegUAAwAAAAAAomktekSN3giKLXF+RI3eCDVDSVEuTkFTREFROkNBTE0uSVFfQVJfVU5CSUxMRUQuOTk5LjI5LzAzLzIwMjYuLi5VU0QuSAEAAAAgegUAAwAAAAAAwS4tekSN3gie7XN+RI3eCC9DSVEuTkFTREFROkNBTE0uSVFfTElGT1IuOTkzLjI5LzAzLzIwMjYuLi5VU0QuSAEAAAAgegUAAwAAAAAAwS4tekSN3gicxnN+RI3eCDFDSVEuTkFTREFROkNBTE0uSVFfV0lQX0lOVi45OTcuMjkvMDMvMjAyNi4uLlVTRC5IAQAAACB6BQADAAAAAADAVS16RI3eCFSfc35Ejd4ILkNJUS5OQVNEQVE6Q0FMTS5JUV9M</t>
  </si>
  <si>
    <t>QU5ELjk5Ny4yOS8wMy8yMDI2Li4uVVNELkgBAAAAIHoFAAIAAAAHMTA5LjgzMwEIAAAABQAAAAExAQAAAAstMTk4NjcwODQzMwMAAAADMTYwAgAAAAQzMDk4BAAAAAEwBwAAAAkzLzI5LzIwMjYIAAAACTUvMjgvMjAyMgkAAAABMMBVLXpEjd4IThZzfkSN3ghAQ0lRLk5BU0RBUTpDQUxNLklRX05BVFVSQUxfUkVTT1VSQ0VTX0NPU1QuOTk1LjI5LzAzLzIwMjYuLi5VU0QuSAEAAAAgegUAAwAAAAAAwFUtekSN3ggbyHJ+RI3eCC1DSVEuTkFTREFROkNBTE0uSVFfVEJWLjk5OS4yOS8wMy8yMDI2Li4uVVNELkgBAAAAIHoFAAIAAAAIMTczOC4zNzUBCAAAAAUAAAABMQEAAAALLTE5MzQ5Nzg0ODADAAAAAzE2MAIAAAAEMTMxMAQAAAABMAcAAAAJMy8yOS8yMDI2CAAAAAg2LzEvMjAyNAkAAAABMMEuLXpEjd4ISGF1fkSN3gg0Q0lRLk5BU0RBUTpDQUxNLklRX0NBU0hfU0hBUkUuOTkzLjI5LzAzLzIwMjYuLi5VU0QuSAEAAAAgegUAAgAAAAgwLjk5NTg4NwEIAAAABQAAAAExAQAAAAoyMDQ1NzQ5MzEwAwAAAAMxNjACAAAABDQzODEEAAAAATAHAAAACTMvMjkvMjAyNggAAAAINi8yLzIwMTgJAAAAATDBLi16RI3eCHY6dX5Ejd4IPENJUS5OQVNEQVE6Q0FMTS5JUV9UT1RBTF9ERUJUX0NVUlJFTlQuOTk3LjI5LzAzLzIwMjYuLi5VU0QuSAEAAAAgegUAAwAAAAAAwS4tekSN3gjxsHR+RI3eCDNDSVEuTkFTREFR</t>
  </si>
  <si>
    <t>OkNBTE0uSVFfVE9UQUxfQ0FQLjk5NS4yOS8wMy8yMDI2Li4uVVNELkgBAAAAIHoFAAIAAAAIMTAxMy4wNjMBCAAAAAUAAAABMQEAAAALLTIwODgzNDc0NjkDAAAAAzE2MAIAAAAENDE3NQQAAAABMAcAAAAJMy8yOS8yMDI2CAAAAAk1LzMwLzIwMjAJAAAAATDBLi16RI3eCMxidH5Ejd4IOkNJUS5OQVNEQVE6Q0FMTS5JUV9BTExPV19ET1VCVF9BQ0NULjk5NS4yOS8wMy8yMDI2Li4uVVNELkgBAAAAIHoFAAIAAAAFMC43NDQBCAAAAAUAAAABMQEAAAALLTIwODgzNDc0NjkDAAAAAzE2MAIAAAAEMzAxMgQAAAABMAcAAAAJMy8yOS8yMDI2CAAAAAk1LzMwLzIwMjAJAAAAATDBLi16RI3eCK8UdH5Ejd4IPENJUS5OQVNEQVE6Q0FMTS5JUV9MVF9NQVJLX1NFQ1VSSVRJRVMuOTk1LjI5LzAzLzIwMjYuLi5VU0QuSAEAAAAgegUAAwAAAAAA+7AXekSN3gi30mx+RI3eCDBDSVEuTkFTREFROkNBTE0uSVFfR1dfTkVULjk5NS4yOS8wMy8yMDI2Li4uVVNELkgBAAAAIHoFAAIAAAAGMzUuNTI1AQgAAAAFAAAAATEBAAAACy0yMDg4MzQ3NDY5AwAAAAMxNjACAAAABTQ4OTYwBAAAAAEwBwAAAAkzLzI5LzIwMjYIAAAACTUvMzAvMjAyMAkAAAABMPuwF3pEjd4IkIRsfkSN3gg5Q0lRLk5BU0RBUTpDQUxNLklRX0lOVEVSQ09NUEFOWV9DQS45OTkuMjkvMDMvMjAyNi4uLlVTRC5IAQAAACB6BQADAAAAAAD7sBd6RI3eCIBd</t>
  </si>
  <si>
    <t>bH5Ejd4IOUNJUS5OQVNEQVE6Q0FMTS5JUV9JTlRFUkNPTVBBTllfQ0wuOTkzLjI5LzAzLzIwMjYuLi5VU0QuSAEAAAAgegUAAwAAAAAA+7AXekSN3gg0D2x+RI3eCDxDSVEuTkFTREFROkNBTE0uSVFfVEJWX1NIQVJFX1JFUE9SVEVELjk5My4yOS8wMy8yMDI2Li4uVVNELkgBAAAAIHoFAAMAAAAAAMEuLXpEjd4Ia4h1fkSN3gg+Q0lRLk5BU0RBUTpDQUxNLklRX1dBUlJBTlRZX0xJQUJJTElUSUVTLjk5NS4yOS8wMy8yMDI2Li4uVVNELkgBAAAAIHoFAAMAAAAAAAKKF3pEjd4IWEZufkSN3ghBQ0lRLk5BU0RBUTpDQUxNLklRX0RFUklWQVRJVkVfTElBQl9DVVJSRU5ULjk5My4yOS8wMy8yMDI2Li4uVVNELkgBAAAAIHoFAAMAAAAAAAKKF3pEjd4IS/htfkSN3ghFQ0lRLk5BU0RBUTpDQUxNLklRX0RFUklWQVRJVkVfTElBQl9OT05fQ1VSUkVOVC45OTkuMjkvMDMvMjAyNi4uLlVTRC5IAQAAACB6BQADAAAAAAACihd6RI3eCCCqbX5Ejd4IQ0NJUS5OQVNEQVE6Q0FMTS5JUV9ERVJJVkFUSVZFX0FTU0VUU19DVVJSRU5ULjk5My4yOS8wMy8yMDI2Li4uVVNELkgBAAAAIHoFAAMAAAAAAAKKF3pEjd4IJoNtfkSN3gg8Q0lRLk5BU0RBUTpDQUxNLklRX0dST1NTX0lOVEFOX0FTU0VUUy45OTcuMjkvMDMvMjAyNi4uLlVTRC5IAQAAACB6BQACAAAABjIwLjM1MQEIAAAABQAAAAExAQAAAAstMTk4NjcwODQzMwMA</t>
  </si>
  <si>
    <t>AAADMTYwAgAAAAUyNDI5MwQAAAABMAcAAAAJMy8yOS8yMDI2CAAAAAk1LzI4LzIwMjIJAAAAATD7sBd6RI3eCLNbbX5Ejd4ISUNJUS5OQVNEQVE6Q0FMTS5JUV9GQUlSX1ZBTFVFX0NIQU5HRV9JTkNMX0VBUk5JTkdTLjk5OS4yOS8wMy8yMDI2Li4uVVNELkgBAAAAIHoFAAIAAAAELTUuNQDmYhd6RI3eCEu6b35Ejd4IP0NJUS5OQVNEQVE6Q0FMTS5JUV9GSU5fRElWX0xUX0RFQlRfVE9UQUwuOTk1LjI5LzAzLzIwMjYuLi5VU0QuSAEAAAAgegUAAwAAAAAA5mIXekSN3gjbkm9+RI3eCDtDSVEuTkFTREFROkNBTE0uSVFfRklOX0RJVl9TVF9JTlZFU1QuOTkzLjI5LzAzLzIwMjYuLi5VU0QuSAEAAAAgegUAAwAAAAAAAooXekSN3giya29+RI3eCDxDSVEuTkFTREFROkNBTE0uSVFfREVCVF9FUVVJVl9ORVRfUEJPLjk5OS4yOS8wMy8yMDI2Li4uVVNELkgBAAAAIHoFAAMAAAAAAAKKF3pEjd4IxB1vfkSN3gg/Q0lRLk5BU0RBUTpDQUxNLklRX1JFU1RSSUNURURfQ0FTSF9UT1RBTC45OTcuMjkvMDMvMjAyNi4uLlVTRC5IAQAAACB6BQADAAAAAAACihd6RI3eCErPbn5Ejd4IUENJUS5OQVNEQVE6Q0FMTS5JUV9MSVFVSURBVElPTl9WQUxVRV9QUkVGRVJSRURfTk9OX1JFREVFTS45OTcuMjkvMDMvMjAyNi4uLlVTRC5IAQAAACB6BQADAAAAAACiaS16RI3eCIotcX5Ejd4IOENJUS5OQVNEQVE6Q0FMTS5JUV9B</t>
  </si>
  <si>
    <t>U1NFVFNfTEVWRUxfMi45OTcuMjkvMDMvMjAyNi4uLlVTRC5IAQAAACB6BQACAAAABzExNS40MjkAomktekSN3gicuHB+RI3eCD1DSVEuTkFTREFROkNBTE0uSVFfTElBQklMSVRJRVNfTEVWRUxfMS45OTUuMjkvMDMvMjAyNi4uLlVTRC5IAQAAACB6BQADAAAAAADmYhd6RI3eCPdpcH5Ejd4IPUNJUS5OQVNEQVE6Q0FMTS5JUV9MSUFCSUxJVElFU19MRVZFTF8zLjk5OS4yOS8wMy8yMDI2Li4uVVNELkgBAAAAIHoFAAIAAAADNi41AOZiF3pEjd4IIC9wfkSN3ghAQ0lRLk5BU0RBUTpDQUxNLklRX0xJQUJJTElUSUVTX0ZBSVJfVkFMVUUuOTkzLjI5LzAzLzIwMjYuLi5VU0QuSAEAAAAgegUAAgAAAAU1LjkwMwDmYhd6RI3eCOLgb35Ejd4IQENJUS5OQVNEQVE6Q0FMTS5JUV9OQVRVUkFMX1JFU09VUkNFU19DT1NULjk5Ny4yOS8wMy8yMDI2Li4uVVNELkgBAAAAIHoFAAMAAAAAAMBVLXpEjd4IG8hyfkSN3ghFQ0lRLk5BU0RBUTpDQUxNLklRX0ZJTl9ESVZfTUlOT1JJVFlfSU5UX1JFREVFTS45OTUuMjkvMDMvMjAyNi4uLlVTRC5IAQAAACB6BQADAAAAAADAVS16RI3eCNBScn5Ejd4IRUNJUS5OQVNEQVE6Q0FMTS5JUV9ERUZfVEFYX1ZBTFVBVElPTl9BTExPV0FOQ0UuOTk1LjI5LzAzLzIwMjYuLi5VU0QuSAEAAAAgegUAAwAAAAAAomktekSN3gi4onF+RI3eCEVDSVEuTkFTREFROkNBTE0uSVFfR0VORVJB</t>
  </si>
  <si>
    <t>TF9QQVJUTkVSX1BSRUZfRVFVSVRZLjk5OS4yOS8wMy8yMDI2Li4uVVNELkgBAAAAIHoFAAMAAAAAAKJpLXpEjd4IuKJxfkSN3ghIQ0lRLk5BU0RBUTpDQUxNLklRX1RPVEFMX0dFTkVSQUxfUEFSVE5FUl9JTlRFUkVTVC45OTMuMjkvMDMvMjAyNi4uLlVTRC5IAQAAACB6BQADAAAAAACiaS16RI3eCJlUcX5Ejd4IOkNJUS5OQVNEQVE6Q0FMTS5JUV9BTExPV19ET1VCVF9BQ0NULjk5Ny4yOS8wMy8yMDI2Li4uVVNELkgBAAAAIHoFAAIAAAAFMC43NzUBCAAAAAUAAAABMQEAAAALLTE5ODY3MDg0MzMDAAAAAzE2MAIAAAAEMzAxMgQAAAABMAcAAAAJMy8yOS8yMDI2CAAAAAk1LzI4LzIwMjIJAAAAATDBLi16RI3eCJ7tc35Ejd4IL0NJUS5OQVNEQVE6Q0FMTS5JUV9MSUZPUi45OTUuMjkvMDMvMjAyNi4uLlVTRC5IAQAAACB6BQADAAAAAADBLi16RI3eCJzGc35Ejd4IM0NJUS5OQVNEQVE6Q0FMTS5JUV9PVEhFUl9JTlYuOTkzLjI5LzAzLzIwMjYuLi5VU0QuSAEAAAAgegUAAwAAAAAAwFUtekSN3ggUeHN+RI3eCC5DSVEuTkFTREFROkNBTE0uSVFfTEFORC45OTkuMjkvMDMvMjAyNi4uLlVTRC5IAQAAACB6BQACAAAABzEzMS4wNTEBCAAAAAUAAAABMQEAAAALLTE5MzQ5Nzg0ODADAAAAAzE2MAIAAAAEMzA5OAQAAAABMAcAAAAJMy8yOS8yMDI2CAAAAAg2LzEvMjAyNAkAAAABMMBVLXpEjd4IMD1zfkSN3ggz</t>
  </si>
  <si>
    <t>Q0lRLk5BU0RBUTpDQUxNLklRX01BQ0hJTkVSWS45OTMuMjkvMDMvMjAyNi4uLlVTRC5IAQAAACB6BQACAAAABzQ3OC45OTcBCAAAAAUAAAABMQEAAAAKMjA0NTc0OTMxMAMAAAADMTYwAgAAAAQzMTE0BAAAAAEwBwAAAAkzLzI5LzIwMjYIAAAACDYvMi8yMDE4CQAAAAEwwFUtekSN3ggW73J+RI3eCEBDSVEuTkFTREFROkNBTE0uSVFfVE9UQUxfREVCVF9FWENMX0xFQVNFUy45OTMuMjkvMDMvMjAyNi4uLlVTRC5IAQAAACB6BQACAAAABDQuNzUBCAAAAAUAAAABMQEAAAAKMjA0NTc0OTMxMAMAAAADMTYwAgAAAAU0ODk5MgQAAAABMAcAAAAJMy8yOS8yMDI2CAAAAAg2LzIvMjAxOAkAAAABMLoHLXpEjd4Iiv11fkSN3ggzQ0lRLk5BU0RBUTpDQUxNLklRX1RCVl9TSEFSRS45OTcuMjkvMDMvMjAyNi4uLlVTRC5IAQAAACB6BQACAAAACTIxLjI5OTgzNgEIAAAABQAAAAExAQAAAAstMTk4NjcwODQzMwMAAAADMTYwAgAAAAQ0MTU2BAAAAAEwBwAAAAkzLzI5LzIwMjYIAAAACTUvMjgvMjAyMgkAAAABMMEuLXpEjd4Ia4h1fkSN3gg0Q0lRLk5BU0RBUTpDQUxNLklRX0NBU0hfU0hBUkUuOTk1LjI5LzAzLzIwMjYuLi5VU0QuSAEAAAAgegUAAgAAAAgxLjYwMTg3OAEIAAAABQAAAAExAQAAAAstMjA4ODM0NzQ2OQMAAAADMTYwAgAAAAQ0MzgxBAAAAAEwBwAAAAkzLzI5LzIwMjYIAAAACTUvMzAvMjAyMAkAAAAB</t>
  </si>
  <si>
    <t>MMEuLXpEjd4IKxN1fkSN3ggyQ0lRLk5BU0RBUTpDQUxNLklRX05FVF9ERUJULjk5My4yOS8wMy8yMDI2Li4uVVNELkgBAAAAIHoFAAIAAAAILTMyNC45MjcBCAAAAAUAAAABMQEAAAAKMjA0NTc0OTMxMAMAAAADMTYwAgAAAAQ0MzY0BAAAAAEwBwAAAAkzLzI5LzIwMjYIAAAACDYvMi8yMDE4CQAAAAEwwS4tekSN3gjciXR+RI3eCEFDSVEuTkFTREFROkNBTE0uSVFfTUlOT1JJVFlfSU5URVJFU1RfVE9UQUwuOTk5LjI5LzAzLzIwMjYuLi5VU0QuSAEAAAAgegUAAgAAAAYtMy4xMDQBCAAAAAUAAAABMQEAAAALLTE5MzQ5Nzg0ODADAAAAAzE2MAIAAAAEMTMxMgQAAAABMAcAAAAJMy8yOS8yMDI2CAAAAAg2LzEvMjAyNAkAAAABMMEuLXpEjd4IzGJ0fkSN3gg8Q0lRLk5BU0RBUTpDQUxNLklRX1RPVEFMX1JFVl9FTVBMT1lFRS45OTguMjkvMDMvMjAyNi4uLlVTRC5IAQAAACB6BQACAAAABjEwODYuNAEIAAAABQAAAAExAQAAAAstMTkzNDk3ODQyMAMAAAADMTYwAgAAAAQ0MTIzBAAAAAEwBwAAAAkzLzI5LzIwMjYIAAAACDYvMy8yMDIzCQAAAAEwJn0UekSN3gjawGt+RI3eCD9DSVEuTkFTREFROkNBTE0uSVFfTlBQRV9FWENMX09QRVJfTEVBU0VTLjk5Ny4yOS8wMy8yMDI2Li4uVVNELkgBAAAAIHoFAAIAAAAHNjc3Ljc5NgEIAAAABQAAAAExAQAAAAstMTk4NjcwODQzMwMAAAADMTYwAgAAAAU0ODk3NgQA</t>
  </si>
  <si>
    <t>AAABMAcAAAAJMy8yOS8yMDI2CAAAAAk1LzI4LzIwMjIJAAAAATC6By16RI3eCA8jd35Ejd4IPkNJUS5OQVNEQVE6Q0FMTS5JUV9UT1RBTF9GSU5BTkNFX0xFQVNFUy45OTcuMjkvMDMvMjAyNi4uLlVTRC5IAQAAACB6BQADAAAAAAC6By16RI3eCL+tdn5Ejd4INkNJUS5OQVNEQVE6Q0FMTS5JUV9UT1RBTF9MRUFTRVMuOTk1LjI5LzAzLzIwMjYuLi5VU0QuSAEAAAAgegUAAgAAAAUzLjM4OAEIAAAABQAAAAExAQAAAAstMjA4ODM0NzQ2OQMAAAADMTYwAgAAAAU0ODk3OQQAAAABMAcAAAAJMy8yOS8yMDI2CAAAAAk1LzMwLzIwMjAJAAAAATC6By16RI3eCKZLdn5Ejd4IVkNJUS5OQVNEQVE6Q0FMTS5JUV9GSU5BTkNJTkdfT0JMSUdfTk9OX0NVUlJFTlRfRVhDTF9PUEVSX0xFQVNFUy45OTkuMjkvMDMvMjAyNi4uLlVTRC5IAQAAACB6BQADAAAAAAC6By16RI3eCKAkdn5Ejd4IPENJUS5OQVNEQVE6Q0FMTS5JUV9GSU5fRElWX0NBU0hfRVFVSVYuOTk4LjI5LzAzLzIwMjYuLi5VU0QuSAEAAAAgegUAAwAAAAAAAooXekSN3gjVRG9+RI3eCD1DSVEuTkFTREFROkNBTE0uSVFfTFRfREVCVF9ERVJJVkFUSVZFUy45OTQuMjkvMDMvMjAyNi4uLlVTRC5IAQAAACB6BQADAAAAAAACihd6RI3eCEv4bX5Ejd4IRENJUS5OQVNEQVE6Q0FMTS5JUV9ERVJJVkFUSVZFX1RSQURJTkdfQVNTRVRTLjEwMDAuMjkvMDMvMjAy</t>
  </si>
  <si>
    <t>Ni4uLlVTRC5IAQAAACB6BQADAAAAAAACihd6RI3eCCCqbX5Ejd4IMENJUS5OQVNEQVE6Q0FMTS5JUV9HV19ORVQuOTkzLjI5LzAzLzIwMjYuLi5VU0QuSAEAAAAgegUAAwAAAAAA+7AXekSN3giQhGx+RI3eCDlDSVEuTkFTREFROkNBTE0uSVFfSU5URVJDT01QQU5ZX0NMLjk5NC4yOS8wMy8yMDI2Li4uVVNELkgBAAAAIHoFAAMAAAAAAPuwF3pEjd4INA9sfkSN3ghHQ0lRLk5BU0RBUTpDQUxNLklRX0dFTkVSQUxfUEFSVE5FUl9DT01NT05fRVFVSVRZLjk5NC4yOS8wMy8yMDI2Li4uVVNELkgBAAAAIHoFAAMAAAAAAKJpLXpEjd4IuKJxfkSN3ghIQ0lRLk5BU0RBUTpDQUxNLklRX1RPVEFMX0dFTkVSQUxfUEFSVE5FUl9JTlRFUkVTVC45OTQuMjkvMDMvMjAyNi4uLlVTRC5IAQAAACB6BQADAAAAAACiaS16RI3eCJlUcX5Ejd4ITENJUS5OQVNEQVE6Q0FMTS5JUV9MSVFVSURBVElPTl9WQUxVRV9QUkVGRVJSRURfUkVERUVNLjk5OC4yOS8wMy8yMDI2Li4uVVNELkgBAAAAIHoFAAMAAAAAAKJpLXpEjd4IiAZxfkSN3gg+Q0lRLk5BU0RBUTpDQUxNLklRX0xJQUJJTElUSUVTX0xFVkVMXzIuMTAwMC4yOS8wMy8yMDI2Li4uVVNELkgBAAAAIHoFAAMAAAAAAOZiF3pEjd4IIC9wfkSN3ghJQ0lRLk5BU0RBUTpDQUxNLklRX0ZBSVJfVkFMVUVfQ0hBTkdFX0lOQ0xfRUFSTklOR1MuOTk4LjI5LzAzLzIwMjYuLi5V</t>
  </si>
  <si>
    <t>U0QuSAEAAAAgegUAAwAAAAAA5mIXekSN3ghLum9+RI3eCDJDSVEuTkFTREFROkNBTE0uSVFfTkVUX0RFQlQuOTk2LjI5LzAzLzIwMjYuLi5VU0QuSAEAAAAgegUAAgAAAAgtMTY3LjEzMgEIAAAABQAAAAExAQAAAAstMjAzNzI0MTcyMQMAAAADMTYwAgAAAAQ0MzY0BAAAAAEwBwAAAAkzLzI5LzIwMjYIAAAACTUvMjkvMjAyMQkAAAABMMEuLXpEjd4I3Il0fkSN3gg1Q0lRLk5BU0RBUTpDQUxNLklRX1dPUktJTkdfQ0FQLjk5OC4yOS8wMy8yMDI2Li4uVVNELkgBAAAAIHoFAAIAAAAHOTQyLjE5NAEIAAAABQAAAAExAQAAAAstMTkzNDk3ODQyMAMAAAADMTYwAgAAAAQ0MTY1BAAAAAEwBwAAAAkzLzI5LzIwMjYIAAAACDYvMy8yMDIzCQAAAAEwwS4tekSN3gjHO3R+RI3eCDNDSVEuTkFTREFROkNBTE0uSVFfT1RIRVJfSU5WLjk5OC4yOS8wMy8yMDI2Li4uVVNELkgBAAAAIHoFAAMAAAAAAMBVLXpEjd4IX2RzfkSN3ghAQ0lRLk5BU0RBUTpDQUxNLklRX05BVFVSQUxfUkVTT1VSQ0VTX0NPU1QuOTk4LjI5LzAzLzIwMjYuLi5VU0QuSAEAAAAgegUAAwAAAAAAwFUtekSN3ggbyHJ+RI3eCEFDSVEuTkFTREFROkNBTE0uSVFfTUlOT1JJVFlfSU5UX1JFREVFTV9UT1QuOTk0LjI5LzAzLzIwMjYuLi5VU0QuSAEAAAAgegUAAwAAAAAAomktekSN3gi8BHJ+RI3eCEFDSVEuTkFTREFROkNBTE0uSVFfUlVBX0NBUElU</t>
  </si>
  <si>
    <t>QUxfTEVBU0VfR1JPU1MuOTk5LjI5LzAzLzIwMjYuLi5VU0QuSAEAAAAgegUAAwAAAAAAluAsekSN3ggh0Hd+RI3eCD1DSVEuTkFTREFROkNBTE0uSVFfQURfRVhDTF9PUEVSX0xFQVNFUy45OTMuMjkvMDMvMjAyNi4uLlVTRC5IAQAAACB6BQACAAAACC01MTMuNzA3AQgAAAAFAAAAATEBAAAACjIwNDU3NDkzMTADAAAAAzE2MAIAAAAFNDg5NzUEAAAAATAHAAAACTMvMjkvMjAyNggAAAAINi8yLzIwMTgJAAAAATC6By16RI3eCBFKd35Ejd4IQENJUS5OQVNEQVE6Q0FMTS5JUV9GSU5BTkNFX0xFQVNFU19DVVJSRU5ULjk5NC4yOS8wMy8yMDI2Li4uVVNELkgBAAAAIHoFAAIAAAAFMC4xOTYBCAAAAAUAAAABMQEAAAALLTIxNDI0MjkwMzkDAAAAAzE2MAIAAAAFNDg5OTAEAAAAATAHAAAACTMvMjkvMjAyNggAAAAINi8xLzIwMTkJAAAAATC6By16RI3eCPn7dn5Ejd4IMkNJUS5OQVNEQVE6Q0FMTS5JUV9CVl9TSEFSRS45OTUuMjkvMDMvMjAyNi4uLlVTRC5IAQAAACB6BQACAAAACDIwLjcwMTA5AQgAAAAFAAAAATEBAAAACy0yMDg4MzQ3NDY5AwAAAAMxNjACAAAABDQwMjAEAAAAATAHAAAACTMvMjkvMjAyNggAAAAJNS8zMC8yMDIwCQAAAAEwwS4tekSN3gh51nV+RI3eCDJDSVEuTkFTREFROkNBTE0uSVFfR1dfSU5UQU4uOTk1LjI5LzAzLzIwMjYuLi5VU0QuSAEAAAAgegUAAgAAAAY1OC4zNDEBCAAAAAUA</t>
  </si>
  <si>
    <t>AAABMQEAAAALLTIwODgzNDc0NjkDAAAAAzE2MAIAAAAFMzUzODEEAAAAATAHAAAACTMvMjkvMjAyNggAAAAJNS8zMC8yMDIwCQAAAAEwwS4tekSN3gh2OnV+RI3eCDRDSVEuTkFTREFROkNBTE0uSVFfUFJFRl9PVEhFUi45OTcuMjkvMDMvMjAyNi4uLlVTRC5IAQAAACB6BQADAAAAAACKuSx6RI3eCLVceX5Ejd4IMENJUS5OQVNEQVE6Q0FMTS5JUV9DT01NT04uOTk5LjI5LzAzLzIwMjYuLi5VU0QuSAEAAAAgegUAAgAAAAUwLjc1MQEIAAAABQAAAAExAQAAAAstMTkzNDk3ODQ4MAMAAAADMTYwAgAAAAQxMTAzBAAAAAEwBwAAAAkzLzI5LzIwMjYIAAAACDYvMS8yMDI0CQAAAAEwirksekSN3gisNXl+RI3eCC1DSVEuTkFTREFROkNBTE0uSVFfUkUuMTAwMC4yOS8wMy8yMDI2Li4uVVNELkgBAAAAIHoFAAIAAAAIMjU2NS45MjgBCAAAAAUAAAABMQEAAAALLTE5MzQ5NzgzODEDAAAAAzE2MAIAAAAEMTIyMgQAAAABMAcAAAAJMy8yOS8yMDI2CAAAAAk1LzMxLzIwMjUJAAAAATCKuSx6RI3eCIPneH5Ejd4IM0NJUS5OQVNEQVE6Q0FMTS5JUV9SVUFfR1JPU1MuOTkzLjI5LzAzLzIwMjYuLi5VU0QuSAEAAAAgegUAAwAAAAAAluAsekSN3ghNS3h+RI3eCDFDSVEuTkFTREFROkNBTE0uSVFfUlVBX05FVC45OTUuMjkvMDMvMjAyNi4uLlVTRC5IAQAAACB6BQADAAAAAACW4Cx6RI3eCFj3d35Ejd4IPUNJUS5OQVNE</t>
  </si>
  <si>
    <t>QVE6Q0FMTS5JUV9VTkVBUk5fUkVWX0NVUlJFTlQuMTAwMC4yOS8wMy8yMDI2Li4uVVNELkgBAAAAIHoFAAMAAAAAAA2ngHpEjd4IrzJ7fkSN3gg6Q0lRLk5BU0RBUTpDQUxNLklRX0xPTkdfVEVSTV9MRUFTRVMuOTkzLjI5LzAzLzIwMjYuLi5VU0QuSAEAAAAgegUAAgAAAAQxLjM0AQgAAAAFAAAAATEBAAAACjIwNDU3NDkzMTADAAAAAzE2MAIAAAAEMTE4MwQAAAABMAcAAAAJMy8yOS8yMDI2CAAAAAg2LzIvMjAxOAkAAAABMA2ngHpEjd4IXKl6fkSN3gg5Q0lRLk5BU0RBUTpDQUxNLklRX0ZJTl9ESVZfREVCVF9MVC45OTcuMjkvMDMvMjAyNi4uLlVTRC5IAQAAACB6BQADAAAAAAANp4B6RI3eCECCen5Ejd4IN0NJUS5OQVNEQVE6Q0FMTS5JUV9VTkVBUk5fUkVWX0xULjk5OS4yOS8wMy8yMDI2Li4uVVNELkgBAAAAIHoFAAMAAAAAAA2ngHpEjd4IWVt6fkSN3gg2Q0lRLk5BU0RBUTpDQUxNLklRX1BSRUZfQ09OVkVSVC45OTMuMjkvMDMvMjAyNi4uLlVTRC5IAQAAACB6BQADAAAAAAANp4B6RI3eCNyDeX5Ejd4IO0NJUS5OQVNEQVE6Q0FMTS5JUV9GSU5fRElWX0FTU0VUU19MVC45OTUuMjkvMDMvMjAyNi4uLlVTRC5IAQAAACB6BQADAAAAAADZf4B6RI3eCNLAfH5Ejd4IOUNJUS5OQVNEQVE6Q0FMTS5JUV9MT0FOU19SRUNFSVZfTFQuOTk4LjI5LzAzLzIwMjYuLi5VU0QuSAEAAAAgegUAAwAAAAAA2X+A</t>
  </si>
  <si>
    <t>ekSN3giJknx+RI3eCDZDSVEuTkFTREFROkNBTE0uSVFfVE9UQUxfQVNTRVRTLjk5NC4yOS8wMy8yMDI2Li4uVVNELkgBAAAAIHoFAAIAAAAIMTE1Ni4yNzgBCAAAAAUAAAABMQEAAAALLTIxNDI0MjkwMzkDAAAAAzE2MAIAAAAEMTAwNwQAAAABMAcAAAAJMy8yOS8yMDI2CAAAAAg2LzEvMjAxOQkAAAABMNl/gHpEjd4IZR18fkSN3ggsQ0lRLk5BU0RBUTpDQUxNLklRX0FFLjk5Ny4yOS8wMy8yMDI2Li4uVVNELkgBAAAAIHoFAAIAAAAGNDAuMjgyAQgAAAAFAAAAATEBAAAACy0xOTg2NzA4NDMzAwAAAAMxNjACAAAABDEwMTYEAAAAATAHAAAACTMvMjkvMjAyNggAAAAJNS8yOC8yMDIyCQAAAAEw2X+AekSN3ghc9nt+RI3eCD1DSVEuTkFTREFROkNBTE0uSVFfSU5DX1RBWF9QQVlfQ1VSUkVOVC45OTUuMjkvMDMvMjAyNi4uLlVTRC5IAQAAACB6BQADAAAAAADZf4B6RI3eCMxZe35Ejd4IMENJUS5OQVNEQVE6Q0FMTS5JUV9HV19ORVQuOTk0LjI5LzAzLzIwMjYuLi5VU0QuSAEAAAAgegUAAgAAAAYzNS41MjUBCAAAAAUAAAABMQEAAAALLTIxNDI0MjkwMzkDAAAAAzE2MAIAAAAFNDg5NjAEAAAAATAHAAAACTMvMjkvMjAyNggAAAAINi8xLzIwMTkJAAAAATD7sBd6RI3eCKGrbH5Ejd4IOUNJUS5OQVNEQVE6Q0FMTS5JUV9JTlRFUkNPTVBBTllfQ0wuOTk1LjI5LzAzLzIwMjYuLi5VU0QuSAEAAAAgegUAAwAA</t>
  </si>
  <si>
    <t>AAAA+7AXekSN3gg0D2x+RI3eCDhDSVEuTkFTREFROkNBTE0uSVFfT1RIRVJfQ0FfU1VQUEwuOTk2LjI5LzAzLzIwMjYuLi5VU0QuSAEAAAAgegUAAwAAAAAA2X+AekSN3ggO2n1+RI3eCCxDSVEuTkFTREFROkNBTE0uSVFfQUQuOTk2LjI5LzAzLzIwMjYuLi5VU0QuSAEAAAAgegUAAgAAAAgtNjIzLjc0NgEIAAAABQAAAAExAQAAAAstMjAzNzI0MTcyMQMAAAADMTYwAgAAAAQxMDc1BAAAAAEwBwAAAAkzLzI5LzIwMjYIAAAACTUvMjkvMjAyMQkAAAABMNl/gHpEjd4I4GR9fkSN3ggzQ0lRLk5BU0RBUTpDQUxNLklRX0xUX0lOVkVTVC45OTkuMjkvMDMvMjAyNi4uLlVTRC5IAQAAACB6BQACAAAABjExLjE5NQEIAAAABQAAAAExAQAAAAstMTkzNDk3ODQ4MAMAAAADMTYwAgAAAAQxMDU0BAAAAAEwBwAAAAkzLzI5LzIwMjYIAAAACDYvMS8yMDI0CQAAAAEw2X+AekSN3gjtPX1+RI3eCDhDSVEuTkFTREFROkNBTE0uSVFfQVNTRVRTX0xFVkVMXzMuOTk2LjI5LzAzLzIwMjYuLi5VU0QuSAEAAAAgegUAAwAAAAAAomktekSN3gicuHB+RI3eCD1DSVEuTkFTREFROkNBTE0uSVFfTElBQklMSVRJRVNfTEVWRUxfMi45OTQuMjkvMDMvMjAyNi4uLlVTRC5IAQAAACB6BQADAAAAAADmYhd6RI3eCDhWcH5Ejd4IPENJUS5OQVNEQVE6Q0FMTS5JUV9GSU5fRElWX0NBU0hfRVFVSVYuOTk5LjI5LzAzLzIwMjYuLi5VU0Qu</t>
  </si>
  <si>
    <t>SAEAAAAgegUAAwAAAAAAAooXekSN3gjVRG9+RI3eCDhDSVEuTkFTREFROkNBTE0uSVFfT1JERVJfQkFDS0xPRy4xMDAwLjI5LzAzLzIwMjYuLi5VU0QuSAEAAAAgegUAAwAAAAAAAooXekSN3ghwbW5+RI3eCDJDSVEuTkFTREFROkNBTE0uSVFfR1JPU1NfR1cuOTkzLjI5LzAzLzIwMjYuLi5VU0QuSAEAAAAgegUAAwAAAAAA+7AXekSN3gjH+Wx+RI3eCD1DSVEuTkFTREFROkNBTE0uSVFfTElBQklMSVRJRVNfTEVWRUxfMi45OTUuMjkvMDMvMjAyNi4uLlVTRC5IAQAAACB6BQADAAAAAADmYhd6RI3eCDhWcH5Ejd4ISUNJUS5OQVNEQVE6Q0FMTS5JUV9GQUlSX1ZBTFVFX0NIQU5HRV9JTkNMX0VBUk5JTkdTLjk5My4yOS8wMy8yMDI2Li4uVVNELkgBAAAAIHoFAAMAAAAAAOZiF3pEjd4I4uBvfkSN3gg9Q0lRLk5BU0RBUTpDQUxNLklRX0ZJTl9ESVZfQ0FTSF9FUVVJVi4xMDAwLjI5LzAzLzIwMjYuLi5VU0QuSAEAAAAgegUAAwAAAAAAAooXekSN3giya29+RI3eCDJDSVEuTkFTREFROkNBTE0uSVFfR1JPU1NfR1cuOTk0LjI5LzAzLzIwMjYuLi5VU0QuSAEAAAAgegUAAwAAAAAA+7AXekSN3gjSIG1+RI3eCDlDSVEuTkFTREFROkNBTE0uSVFfSU5URVJDT01QQU5ZX0NMLjk5Ni4yOS8wMy8yMDI2Li4uVVNELkgBAAAAIHoFAAMAAAAAAPuwF3pEjd4INA9sfkSN3gg/Q0lRLk5BU0RBUTpDQUxNLklRX0xFQVNF</t>
  </si>
  <si>
    <t>SE9MRF9JTVBST1ZFTUVOVC45OTUuMjkvMDMvMjAyNi4uLlVTRC5IAQAAACB6BQADAAAAAADAVS16RI3eCN55cn5Ejd4IQUNJUS5OQVNEQVE6Q0FMTS5JUV9NSU5PUklUWV9JTlRfUkVERUVNX1RPVC45OTYuMjkvMDMvMjAyNi4uLlVTRC5IAQAAACB6BQADAAAAAACiaS16RI3eCLwEcn5Ejd4IR0NJUS5OQVNEQVE6Q0FMTS5JUV9HRU5FUkFMX1BBUlRORVJfQ09NTU9OX0VRVUlUWS45OTYuMjkvMDMvMjAyNi4uLlVTRC5IAQAAACB6BQADAAAAAACiaS16RI3eCLiicX5Ejd4ISENJUS5OQVNEQVE6Q0FMTS5JUV9UT1RBTF9HRU5FUkFMX1BBUlRORVJfSU5URVJFU1QuOTk2LjI5LzAzLzIwMjYuLi5VU0QuSAEAAAAgegUAAwAAAAAAomktekSN3giZVHF+RI3eCDhDSVEuTkFTREFROkNBTE0uSVFfQVNTRVRTX0xFVkVMXzMuOTk3LjI5LzAzLzIwMjYuLi5VU0QuSAEAAAAgegUAAwAAAAAAomktekSN3gicuHB+RI3eCDJDSVEuTkFTREFROkNBTE0uSVFfQlZfU0hBUkUuOTk3LjI5LzAzLzIwMjYuLi5VU0QuSAEAAAAgegUAAgAAAAkyMi41Njk0OTMBCAAAAAUAAAABMQEAAAALLTE5ODY3MDg0MzMDAAAAAzE2MAIAAAAENDAyMAQAAAABMAcAAAAJMy8yOS8yMDI2CAAAAAk1LzI4LzIwMjIJAAAAATDBLi16RI3eCGqvdX5Ejd4IMkNJUS5OQVNEQVE6Q0FMTS5JUV9ORVRfREVCVC45OTguMjkvMDMvMjAyNi4uLlVTRC5I</t>
  </si>
  <si>
    <t>AQAAACB6BQACAAAACC02NDcuOTE0AQgAAAAFAAAAATEBAAAACy0xOTM0OTc4NDIwAwAAAAMxNjACAAAABDQzNjQEAAAAATAHAAAACTMvMjkvMjAyNggAAAAINi8zLzIwMjMJAAAAATDBLi16RI3eCNyJdH5Ejd4IOkNJUS5OQVNEQVE6Q0FMTS5JUV9BTExPV19ET1VCVF9BQ0NULjk5OC4yOS8wMy8yMDI2Li4uVVNELkgBAAAAIHoFAAIAAAAFMC41NzkBCAAAAAUAAAABMQEAAAALLTE5MzQ5Nzg0MjADAAAAAzE2MAIAAAAEMzAxMgQAAAABMAcAAAAJMy8yOS8yMDI2CAAAAAg2LzMvMjAyMwkAAAABMMEuLXpEjd4IrxR0fkSN3ggxQ0lRLk5BU0RBUTpDQUxNLklRX1JBV19JTlYuOTk2LjI5LzAzLzIwMjYuLi5VU0QuSAEAAAAgegUAAgAAAAYxMjMuODYBCAAAAAUAAAABMQEAAAALLTIwMzcyNDE3MjEDAAAAAzE2MAIAAAAEMzE3MQQAAAABMAcAAAAJMy8yOS8yMDI2CAAAAAk1LzI5LzIwMjEJAAAAATDBLi16RI3eCFSfc35Ejd4IM0NJUS5OQVNEQVE6Q0FMTS5JUV9CVUlMRElOR1MuOTk4LjI5LzAzLzIwMjYuLi5VU0QuSAEAAAAgegUAAgAAAAc1NTIuNjY5AQgAAAAFAAAAATEBAAAACy0xOTM0OTc4NDIwAwAAAAMxNjACAAAABDMwMjMEAAAAATAHAAAACTMvMjkvMjAyNggAAAAINi8zLzIwMjMJAAAAATDAVS16RI3eCE4Wc35Ejd4IQUNJUS5OQVNEQVE6Q0FMTS5JUV9SVUFfT1BFUkFUSU5HX0xFQVNFX05FVC45</t>
  </si>
  <si>
    <t>OTMuMjkvMDMvMjAyNi4uLlVTRC5IAQAAACB6BQADAAAAAAC6By16RI3eCBFKd35Ejd4IP0NJUS5OQVNEQVE6Q0FMTS5JUV9HUFBFX0VYQ0xfT1BFUl9MRUFTRVMuOTk3LjI5LzAzLzIwMjYuLi5VU0QuSAEAAAAgegUAAgAAAAgxMzU1LjU4NAEIAAAABQAAAAExAQAAAAstMTk4NjcwODQzMwMAAAADMTYwAgAAAAU0ODk3NAQAAAABMAcAAAAJMy8yOS8yMDI2CAAAAAk1LzI4LzIwMjIJAAAAATC6By16RI3eCA8jd35Ejd4IP0NJUS5OQVNEQVE6Q0FMTS5JUV9OUFBFX0VYQ0xfT1BFUl9MRUFTRVMuOTk4LjI5LzAzLzIwMjYuLi5VU0QuSAEAAAAgegUAAgAAAAY3NDQuNTQBCAAAAAUAAAABMQEAAAALLTE5MzQ5Nzg0MjADAAAAAzE2MAIAAAAFNDg5NzYEAAAAATAHAAAACTMvMjkvMjAyNggAAAAINi8zLzIwMjMJAAAAATC6By16RI3eCPn7dn5Ejd4IPkNJUS5OQVNEQVE6Q0FMTS5JUV9UT1RBTF9GSU5BTkNFX0xFQVNFUy45OTUuMjkvMDMvMjAyNi4uLlVTRC5IAQAAACB6BQACAAAABTAuODU3AQgAAAAFAAAAATEBAAAACy0yMDg4MzQ3NDY5AwAAAAMxNjACAAAABTQ5MDMxBAAAAAEwBwAAAAkzLzI5LzIwMjYIAAAACTUvMzAvMjAyMAkAAAABMLoHLXpEjd4Iv612fkSN3ghLQ0lRLk5BU0RBUTpDQUxNLklRX0xUX1BPUlRJT05fT1BFUl9MRUFTRV9MSUFCSUxJVElFUy45OTQuMjkvMDMvMjAyNi4uLlVTRC5IAQAA</t>
  </si>
  <si>
    <t>ACB6BQADAAAAAAC6By16RI3eCHmGdn5Ejd4IQENJUS5OQVNEQVE6Q0FMTS5JUV9BRFZBTkNFU19GT1JfU1VQUExJRVMuMTAwMC4yOS8wMy8yMDI2Li4uVVNELkgBAAAAIHoFAAMAAAAAAPuwF3pEjd4IoatsfkSN3gg9Q0lRLk5BU0RBUTpDQUxNLklRX0lOVEVSQ09NUEFOWV9OT05fQ0EuOTk5LjI5LzAzLzIwMjYuLi5VU0QuSAEAAAAgegUAAwAAAAAA+7AXekSN3ghxNmx+RI3eCDZDSVEuTkFTREFROkNBTE0uSVFfVE9UQUxfRVFVSVRZLjk5My4yOS8wMy8yMDI2Li4uVVNELkgBAAAAIHoFAAIAAAAHOTU1LjY4MgEIAAAABQAAAAExAQAAAAoyMDQ1NzQ5MzEwAwAAAAMxNjACAAAABDEyNzUEAAAAATAHAAAACTMvMjkvMjAyNggAAAAINi8yLzIwMTgJAAAAATCW4Cx6RI3eCFhyeH5Ejd4IO0NJUS5OQVNEQVE6Q0FMTS5JUV9UT1RBTF9MSUFCX0VRVUlUWS45OTcuMjkvMDMvMjAyNi4uLlVTRC5IAQAAACB6BQACAAAACDE0MjcuNDg5AQgAAAAFAAAAATEBAAAACy0xOTg2NzA4NDMzAwAAAAMxNjACAAAABDEwMTMEAAAAATAHAAAACTMvMjkvMjAyNggAAAAJNS8yOC8yMDIyCQAAAAEwluAsekSN3ghNS3h+RI3eCDdDSVEuTkFTREFROkNBTE0uSVFfUlVBX0FDQ1VNX0RFUC45OTkuMjkvMDMvMjAyNi4uLlVTRC5IAQAAACB6BQADAAAAAACW4Cx6RI3eCDYkeH5Ejd4IPENJUS5OQVNEQVE6Q0FMTS5JUV9GSU5fRElW</t>
  </si>
  <si>
    <t>X0NBU0hfRVFVSVYuOTkzLjI5LzAzLzIwMjYuLi5VU0QuSAEAAAAgegUAAwAAAAAAAooXekSN3giya29+RI3eCDdDSVEuTkFTREFROkNBTE0uSVFfT1JERVJfQkFDS0xPRy45OTMuMjkvMDMvMjAyNi4uLlVTRC5IAQAAACB6BQADAAAAAAACihd6RI3eCHmUbn5Ejd4IPkNJUS5OQVNEQVE6Q0FMTS5JUV9TVF9ERUJUX0RFUklWQVRJVkVTLjEwMDAuMjkvMDMvMjAyNi4uLlVTRC5IAQAAACB6BQADAAAAAAACihd6RI3eCEofbn5Ejd4IQ0NJUS5OQVNEQVE6Q0FMTS5JUV9ERVJJVkFUSVZFX1RSQURJTkdfQVNTRVRTLjk5OS4yOS8wMy8yMDI2Li4uVVNELkgBAAAAIHoFAAMAAAAAAAKKF3pEjd4IIKptfkSN3ghCQ0lRLk5BU0RBUTpDQUxNLklRX0FDQ1VNX0FNT1JUX0lOVEFOX0FTU0VUUy45OTcuMjkvMDMvMjAyNi4uLlVTRC5IAQAAACB6BQACAAAABS0yLjIyAQgAAAAFAAAAATEBAAAACy0xOTg2NzA4NDMzAwAAAAMxNjACAAAABTI0MzMxBAAAAAEwBwAAAAkzLzI5LzIwMjYIAAAACTUvMjgvMjAyMgkAAAABMPuwF3pEjd4I0iBtfkSN3ghLQ0lRLk5BU0RBUTpDQUxNLklRX0dFTkVSQUxfUEFSVE5FUl9NSU5PUklUWV9JTlRFUkVTVC45OTkuMjkvMDMvMjAyNi4uLlVTRC5IAQAAACB6BQADAAAAAACiaS16RI3eCJlUcX5Ejd4IUENJUS5OQVNEQVE6Q0FMTS5JUV9MSVFVSURBVElPTl9WQUxVRV9QUkVGRVJSRURf</t>
  </si>
  <si>
    <t>Tk9OX1JFREVFTS45OTguMjkvMDMvMjAyNi4uLlVTRC5IAQAAACB6BQADAAAAAACiaS16RI3eCIotcX5Ejd4IOENJUS5OQVNEQVE6Q0FMTS5JUV9BU1NFVFNfTEVWRUxfMy45OTguMjkvMDMvMjAyNi4uLlVTRC5IAQAAACB6BQADAAAAAACiaS16RI3eCJy4cH5Ejd4IPUNJUS5OQVNEQVE6Q0FMTS5JUV9MSUFCSUxJVElFU19MRVZFTF8yLjk5Ni4yOS8wMy8yMDI2Li4uVVNELkgBAAAAIHoFAAMAAAAAAOZiF3pEjd4IOFZwfkSN3ghAQ0lRLk5BU0RBUTpDQUxNLklRX0xJQUJJTElUSUVTX0ZBSVJfVkFMVUUuOTk2LjI5LzAzLzIwMjYuLi5VU0QuSAEAAAAgegUAAwAAAAAA5mIXekSN3gji4G9+RI3eCDFDSVEuTkFTREFROkNBTE0uSVFfUkFXX0lOVi45OTcuMjkvMDMvMjAyNi4uLlVTRC5IAQAAACB6BQACAAAABzE0NC4wNTEBCAAAAAUAAAABMQEAAAALLTE5ODY3MDg0MzMDAAAAAzE2MAIAAAAEMzE3MQQAAAABMAcAAAAJMy8yOS8yMDI2CAAAAAk1LzI4LzIwMjIJAAAAATDBLi16RI3eCFSfc35Ejd4IM0NJUS5OQVNEQVE6Q0FMTS5JUV9CVUlMRElOR1MuOTk5LjI5LzAzLzIwMjYuLi5VU0QuSAEAAAAgegUAAgAAAAc2MjcuMTIxAQgAAAAFAAAAATEBAAAACy0xOTM0OTc4NDgwAwAAAAMxNjACAAAABDMwMjMEAAAAATAHAAAACTMvMjkvMjAyNggAAAAINi8xLzIwMjQJAAAAATDAVS16RI3eCDA9c35Ejd4IP0NJ</t>
  </si>
  <si>
    <t>US5OQVNEQVE6Q0FMTS5JUV9MRUFTRUhPTERfSU1QUk9WRU1FTlQuOTk2LjI5LzAzLzIwMjYuLi5VU0QuSAEAAAAgegUAAwAAAAAAwFUtekSN3gjeeXJ+RI3eCEFDSVEuTkFTREFROkNBTE0uSVFfTUlOT1JJVFlfSU5UX1JFREVFTV9UT1QuOTk3LjI5LzAzLzIwMjYuLi5VU0QuSAEAAAAgegUAAwAAAAAAomktekSN3gi8BHJ+RI3eCEZDSVEuTkFTREFROkNBTE0uSVFfREVGX1RBWF9WQUxVQVRJT05fQUxMT1dBTkNFLjEwMDAuMjkvMDMvMjAyNi4uLlVTRC5IAQAAACB6BQADAAAAAACiaS16RI3eCLiicX5Ejd4IMkNJUS5OQVNEQVE6Q0FMTS5JUV9CVl9TSEFSRS45OTguMjkvMDMvMjAyNi4uLlVTRC5IAQAAACB6BQACAAAACTMyLjg4OTkxMQEIAAAABQAAAAExAQAAAAstMTkzNDk3ODQyMAMAAAADMTYwAgAAAAQ0MDIwBAAAAAEwBwAAAAkzLzI5LzIwMjYIAAAACDYvMy8yMDIzCQAAAAEwwS4tekSN3gh51nV+RI3eCDNDSVEuTkFTREFROkNBTE0uSVFfVEJWX1NIQVJFLjk5Ni4yOS8wMy8yMDI2Li4uVVNELkgBAAAAIHoFAAIAAAAIMTkuNTg1NDUBCAAAAAUAAAABMQEAAAALLTIwMzcyNDE3MjEDAAAAAzE2MAIAAAAENDE1NgQAAAABMAcAAAAJMy8yOS8yMDI2CAAAAAk1LzI5LzIwMjEJAAAAATDBLi16RI3eCGuIdX5Ejd4IPENJUS5OQVNEQVE6Q0FMTS5JUV9UT1RBTF9ERUJUX0NVUlJFTlQuOTkzLjI5LzAz</t>
  </si>
  <si>
    <t>LzIwMjYuLi5VU0QuSAEAAAAgegUAAgAAAAUzLjUzNgEIAAAABQAAAAExAQAAAAoyMDQ1NzQ5MzEwAwAAAAMxNjACAAAABTI1MjIzBAAAAAEwBwAAAAkzLzI5LzIwMjYIAAAACDYvMi8yMDE4CQAAAAEwwS4tekSN3gjxsHR+RI3eCDJDSVEuTkFTREFROkNBTE0uSVFfTkVUX0RFQlQuOTk5LjI5LzAzLzIwMjYuLi5VU0QuSAEAAAAgegUAAgAAAAgtODEyLjM3NwEIAAAABQAAAAExAQAAAAstMTkzNDk3ODQ4MAMAAAADMTYwAgAAAAQ0MzY0BAAAAAEwBwAAAAkzLzI5LzIwMjYIAAAACDYvMS8yMDI0CQAAAAEwwS4tekSN3gjciXR+RI3eCDpDSVEuTkFTREFROkNBTE0uSVFfQUxMT1dfRE9VQlRfQUNDVC45OTkuMjkvMDMvMjAyNi4uLlVTRC5IAQAAACB6BQACAAAABDAuNDkBCAAAAAUAAAABMQEAAAALLTE5MzQ5Nzg0ODADAAAAAzE2MAIAAAAEMzAxMgQAAAABMAcAAAAJMy8yOS8yMDI2CAAAAAg2LzEvMjAyNAkAAAABMMEuLXpEjd4IrxR0fkSN3gg/Q0lRLk5BU0RBUTpDQUxNLklRX0dQUEVfRVhDTF9PUEVSX0xFQVNFUy45OTguMjkvMDMvMjAyNi4uLlVTRC5IAQAAACB6BQACAAAACDE0ODMuNzU4AQgAAAAFAAAAATEBAAAACy0xOTM0OTc4NDIwAwAAAAMxNjACAAAABTQ4OTc0BAAAAAEwBwAAAAkzLzI5LzIwMjYIAAAACDYvMy8yMDIzCQAAAAEwugctekSN3ggPI3d+RI3eCD9DSVEuTkFTREFROkNBTE0uSVFf</t>
  </si>
  <si>
    <t>TlBQRV9FWENMX09QRVJfTEVBU0VTLjk5OS4yOS8wMy8yMDI2Li4uVVNELkgBAAAAIHoFAAIAAAAHODU3LjIzNAEIAAAABQAAAAExAQAAAAstMTkzNDk3ODQ4MAMAAAADMTYwAgAAAAU0ODk3NgQAAAABMAcAAAAJMy8yOS8yMDI2CAAAAAg2LzEvMjAyNAkAAAABMLoHLXpEjd4I+ft2fkSN3gg+Q0lRLk5BU0RBUTpDQUxNLklRX1RPVEFMX0ZJTkFOQ0VfTEVBU0VTLjk5Ni4yOS8wMy8yMDI2Li4uVVNELkgBAAAAIHoFAAIAAAAFMC42NTMBCAAAAAUAAAABMQEAAAALLTIwMzcyNDE3MjEDAAAAAzE2MAIAAAAFNDkwMzEEAAAAATAHAAAACTMvMjkvMjAyNggAAAAJNS8yOS8yMDIxCQAAAAEwugctekSN3gjY1HZ+RI3eCEtDSVEuTkFTREFROkNBTE0uSVFfTFRfUE9SVElPTl9PUEVSX0xFQVNFX0xJQUJJTElUSUVTLjk5NS4yOS8wMy8yMDI2Li4uVVNELkgBAAAAIHoFAAIAAAAFMS43MzUBCAAAAAUAAAABMQEAAAALLTIwODgzNDc0NjkDAAAAAzE2MAIAAAAFNDgzODMEAAAAATAHAAAACTMvMjkvMjAyNggAAAAJNS8zMC8yMDIwCQAAAAEwugctekSN3gh5hnZ+RI3eCDZDSVEuTkFTREFROkNBTE0uSVFfVE9UQUxfTEVBU0VTLjk5NC4yOS8wMy8yMDI2Li4uVVNELkgBAAAAIHoFAAIAAAAFMS4wNTQBCAAAAAUAAAABMQEAAAALLTIxNDI0MjkwMzkDAAAAAzE2MAIAAAAFNDg5NzkEAAAAATAHAAAACTMvMjkvMjAyNggA</t>
  </si>
  <si>
    <t>AAAINi8xLzIwMTkJAAAAATC6By16RI3eCKZLdn5Ejd4INkNJUS5OQVNEQVE6Q0FMTS5JUV9PVEhFUl9FUVVJVFkuOTk2LjI5LzAzLzIwMjYuLi5VU0QuSAEAAAAgegUAAgAAAAYtMC41NTgBCAAAAAUAAAABMQEAAAALLTIwMzcyNDE3MjEDAAAAAzE2MAIAAAAEMTAyOAQAAAABMAcAAAAJMy8yOS8yMDI2CAAAAAk1LzI5LzIwMjEJAAAAATCW4Cx6RI3eCH3AeH5Ejd4IO0NJUS5OQVNEQVE6Q0FMTS5JUV9NSU5PUklUWV9JTlRFUkVTVC45OTcuMjkvMDMvMjAyNi4uLlVTRC5IAQAAACB6BQACAAAABi0wLjIwNgEIAAAABQAAAAExAQAAAAstMTk4NjcwODQzMwMAAAADMTYwAgAAAAQxMDUyBAAAAAEwBwAAAAkzLzI5LzIwMjYIAAAACTUvMjgvMjAyMgkAAAABMJbgLHpEjd4IWHJ4fkSN3gg7Q0lRLk5BU0RBUTpDQUxNLklRX1RPVEFMX0xJQUJfRVFVSVRZLjk5OC4yOS8wMy8yMDI2Li4uVVNELkgBAAAAIHoFAAIAAAAIMTk1NC41MjUBCAAAAAUAAAABMQEAAAALLTE5MzQ5Nzg0MjADAAAAAzE2MAIAAAAEMTAxMwQAAAABMAcAAAAJMy8yOS8yMDI2CAAAAAg2LzMvMjAyMwkAAAABMJbgLHpEjd4ITUt4fkSN3gg4Q0lRLk5BU0RBUTpDQUxNLklRX1JVQV9BQ0NVTV9ERVAuMTAwMC4yOS8wMy8yMDI2Li4uVVNELkgBAAAAIHoFAAMAAAAAAJbgLHpEjd4INiR4fkSN3ghHQ0lRLk5BU0RBUTpDQUxNLklRX1JVQV9PUEVS</t>
  </si>
  <si>
    <t>QVRJTkdfTEVBU0VfQUNDVU1fREVQLjk5Ni4yOS8wMy8yMDI2Li4uVVNELkgBAAAAIHoFAAMAAAAAALoHLXpEjd4IF3F3fkSN3gg5Q0lRLk5BU0RBUTpDQUxNLklRX0RFRl9UQVhfTElBQl9MVC45OTQuMjkvMDMvMjAyNi4uLlVTRC5IAQAAACB6BQACAAAABjgyLjU5NwEIAAAABQAAAAExAQAAAAstMjE0MjQyOTAzOQMAAAADMTYwAgAAAAQxMDI3BAAAAAEwBwAAAAkzLzI5LzIwMjYIAAAACDYvMS8yMDE5CQAAAAEwDaeAekSN3gg1DXp+RI3eCDRDSVEuTkFTREFROkNBTE0uSVFfVE9UQUxfTElBQi45OTYuMjkvMDMvMjAyNi4uLlVTRC5IAQAAACB6BQACAAAABzIxNi4zOTMBCAAAAAUAAAABMQEAAAALLTIwMzcyNDE3MjEDAAAAAzE2MAIAAAAEMTI3NgQAAAABMAcAAAAJMy8yOS8yMDI2CAAAAAk1LzI5LzIwMjEJAAAAATANp4B6RI3eCB/meX5Ejd4IOUNJUS5OQVNEQVE6Q0FMTS5JUV9QUkVGX05PTl9SRURFRU0uOTk4LjI5LzAzLzIwMjYuLi5VU0QuSAEAAAAgegUAAwAAAAAADaeAekSN3giel3l+RI3eCDVDSVEuTkFTREFROkNBTE0uSVFfUFJFRl9PVEhFUi4xMDAwLjI5LzAzLzIwMjYuLi5VU0QuSAEAAAAgegUAAwAAAAAAirksekSN3gi1XHl+RI3eCCxDSVEuTkFTREFROkNBTE0uSVFfUkUuOTk0LjI5LzAzLzIwMjYuLi5VU0QuSAEAAAAgegUAAgAAAAc5NTQuNTI3AQgAAAAFAAAAATEBAAAACy0yMTQy</t>
  </si>
  <si>
    <t>NDI5MDM5AwAAAAMxNjACAAAABDEyMjIEAAAAATAHAAAACTMvMjkvMjAyNggAAAAINi8xLzIwMTkJAAAAATCKuSx6RI3eCIPneH5Ejd4IQkNJUS5OQVNEQVE6Q0FMTS5JUV9BQ0NVTV9BTU9SVF9JTlRBTl9BU1NFVFMuOTk4LjI5LzAzLzIwMjYuLi5VU0QuSAEAAAAgegUAAgAAAActMjUuNjAxAQgAAAAFAAAAATEBAAAACy0xOTM0OTc4NDIwAwAAAAMxNjACAAAABTI0MzMxBAAAAAEwBwAAAAkzLzI5LzIwMjYIAAAACDYvMy8yMDIzCQAAAAEw+7AXekSN3gjSIG1+RI3eCD5DSVEuTkFTREFROkNBTE0uSVFfSU5URVJDT01QQU5ZX05PTl9DQS4xMDAwLjI5LzAzLzIwMjYuLi5VU0QuSAEAAAAgegUAAwAAAAAA+7AXekSN3ghxNmx+RI3eCDxDSVEuTkFTREFROkNBTE0uSVFfVE9UQUxfUkVWX0VNUExPWUVFLjk5Ny4yOS8wMy8yMDI2Li4uVVNELkgBAAAAIHoFAAIAAAAGNjA5LjY2AQgAAAAFAAAAATEBAAAACy0xOTg2NzA4NDMzAwAAAAMxNjACAAAABDQxMjMEAAAAATAHAAAACTMvMjkvMjAyNggAAAAJNS8yOC8yMDIyCQAAAAEwJn0UekSN3gjawGt+RI3eCDFDSVEuTkFTREFROkNBTE0uSVFfTFRfREVCVC45OTkuMjkvMDMvMjAyNi4uLlVTRC5IAQAAACB6BQADAAAAAAANp4B6RI3eCFypen5Ejd4IOkNJUS5OQVNEQVE6Q0FMTS5JUV9GSU5fRElWX0RFQlRfTFQuMTAwMC4yOS8wMy8yMDI2Li4uVVNELkgBAAAA</t>
  </si>
  <si>
    <t>IHoFAAMAAAAAAA2ngHpEjd4IQIJ6fkSN3ghMQ0lRLk5BU0RBUTpDQUxNLklRX0dFTkVSQUxfUEFSVE5FUl9NSU5PUklUWV9JTlRFUkVTVC4xMDAwLjI5LzAzLzIwMjYuLi5VU0QuSAEAAAAgegUAAwAAAAAAomktekSN3giZVHF+RI3eCFBDSVEuTkFTREFROkNBTE0uSVFfTElRVUlEQVRJT05fVkFMVUVfUFJFRkVSUkVEX05PTl9SRURFRU0uOTk5LjI5LzAzLzIwMjYuLi5VU0QuSAEAAAAgegUAAwAAAAAAomktekSN3giIBnF+RI3eCD1DSVEuTkFTREFROkNBTE0uSVFfTElBQklMSVRJRVNfTEVWRUxfMS45OTQuMjkvMDMvMjAyNi4uLlVTRC5IAQAAACB6BQADAAAAAADmYhd6RI3eCPdpcH5Ejd4IPENJUS5OQVNEQVE6Q0FMTS5JUV9GSU5fRElWX0NBU0hfRVFVSVYuOTk0LjI5LzAzLzIwMjYuLi5VU0QuSAEAAAAgegUAAwAAAAAAAooXekSN3giya29+RI3eCDdDSVEuTkFTREFROkNBTE0uSVFfT1JERVJfQkFDS0xPRy45OTQuMjkvMDMvMjAyNi4uLlVTRC5IAQAAACB6BQADAAAAAAACihd6RI3eCHmUbn5Ejd4IM0NJUS5OQVNEQVE6Q0FMTS5JUV9UT1RBTF9DQVAuOTk4LjI5LzAzLzIwMjYuLi5VU0QuSAEAAAAgegUAAgAAAAgxNjA5LjU4MwEIAAAABQAAAAExAQAAAAstMTkzNDk3ODQyMAMAAAADMTYwAgAAAAQ0MTc1BAAAAAEwBwAAAAkzLzI5LzIwMjYIAAAACDYvMy8yMDIzCQAAAAEwwS4tekSN3gjMYnR+</t>
  </si>
  <si>
    <t>RI3eCDVDSVEuTkFTREFROkNBTE0uSVFfQVJfVU5CSUxMRUQuOTk2LjI5LzAzLzIwMjYuLi5VU0QuSAEAAAAgegUAAwAAAAAAwS4tekSN3gicxnN+RI3eCDFDSVEuTkFTREFROkNBTE0uSVFfUkFXX0lOVi45OTkuMjkvMDMvMjAyNi4uLlVTRC5IAQAAACB6BQACAAAABzE0OS45ODUBCAAAAAUAAAABMQEAAAALLTE5MzQ5Nzg0ODADAAAAAzE2MAIAAAAEMzE3MQQAAAABMAcAAAAJMy8yOS8yMDI2CAAAAAg2LzEvMjAyNAkAAAABMMEuLXpEjd4InMZzfkSN3gg2Q0lRLk5BU0RBUTpDQUxNLklRX0ZJTklTSEVEX0lOVi45OTYuMjkvMDMvMjAyNi4uLlVTRC5IAQAAACB6BQACAAAABjk0LjUxNQEIAAAABQAAAAExAQAAAAstMjAzNzI0MTcyMQMAAAADMTYwAgAAAAQzMDc1BAAAAAEwBwAAAAkzLzI5LzIwMjYIAAAACTUvMjkvMjAyMQkAAAABMMBVLXpEjd4IFHhzfkSN3gg/Q0lRLk5BU0RBUTpDQUxNLklRX0xFQVNFSE9MRF9JTVBST1ZFTUVOVC45OTcuMjkvMDMvMjAyNi4uLlVTRC5IAQAAACB6BQADAAAAAADAVS16RI3eCN55cn5Ejd4INkNJUS5OQVNEQVE6Q0FMTS5JUV9UT1RBTF9MRUFTRVMuOTk2LjI5LzAzLzIwMjYuLi5VU0QuSAEAAAAgegUAAgAAAAUyLjM3OAEIAAAABQAAAAExAQAAAAstMjAzNzI0MTcyMQMAAAADMTYwAgAAAAU0ODk3OQQAAAABMAcAAAAJMy8yOS8yMDI2CAAAAAk1LzI5LzIwMjEJAAAA</t>
  </si>
  <si>
    <t>ATC6By16RI3eCKZLdn5Ejd4IVkNJUS5OQVNEQVE6Q0FMTS5JUV9GSU5BTkNJTkdfT0JMSUdfTk9OX0NVUlJFTlRfRVhDTF9PUEVSX0xFQVNFUy45OTUuMjkvMDMvMjAyNi4uLlVTRC5IAQAAACB6BQACAAAABTAuNjUyAQgAAAAFAAAAATEBAAAACy0yMDg4MzQ3NDY5AwAAAAMxNjACAAAABTQ4OTgxBAAAAAEwBwAAAAkzLzI5LzIwMjYIAAAACTUvMzAvMjAyMAkAAAABMLoHLXpEjd4Iiv11fkSN3ggyQ0lRLk5BU0RBUTpDQUxNLklRX0JWX1NIQVJFLjk5OS4yOS8wMy8yMDI2Li4uVVNELkgBAAAAIHoFAAIAAAAJMzYuNzA4NjUyAQgAAAAFAAAAATEBAAAACy0xOTM0OTc4NDgwAwAAAAMxNjACAAAABDQwMjAEAAAAATAHAAAACTMvMjkvMjAyNggAAAAINi8xLzIwMjQJAAAAATDBLi16RI3eCHnWdX5Ejd4IM0NJUS5OQVNEQVE6Q0FMTS5JUV9UQlZfU0hBUkUuOTk4LjI5LzAzLzIwMjYuLi5VU0QuSAEAAAAgegUAAgAAAAkzMS42NjcwMDMBCAAAAAUAAAABMQEAAAALLTE5MzQ5Nzg0MjADAAAAAzE2MAIAAAAENDE1NgQAAAABMAcAAAAJMy8yOS8yMDI2CAAAAAg2LzMvMjAyMwkAAAABMMEuLXpEjd4Iaq91fkSN3gg0Q0lRLk5BU0RBUTpDQUxNLklRX1RPVEFMX0RFQlQuOTk2LjI5LzAzLzIwMjYuLi5VU0QuSAEAAAAgegUAAgAAAAUyLjM3OAEIAAAABQAAAAExAQAAAAstMjAzNzI0MTcyMQMAAAADMTYwAgAAAAQ0</t>
  </si>
  <si>
    <t>MTczBAAAAAEwBwAAAAkzLzI5LzIwMjYIAAAACTUvMjkvMjAyMQkAAAABMMEuLXpEjd4I8bB0fkSN3ghHQ0lRLk5BU0RBUTpDQUxNLklRX1JVQV9PUEVSQVRJTkdfTEVBU0VfQUNDVU1fREVQLjk5Ny4yOS8wMy8yMDI2Li4uVVNELkgBAAAAIHoFAAMAAAAAALoHLXpEjd4IF3F3fkSN3gg/Q0lRLk5BU0RBUTpDQUxNLklRX0dQUEVfRVhDTF9PUEVSX0xFQVNFUy45OTkuMjkvMDMvMjAyNi4uLlVTRC5IAQAAACB6BQACAAAACDE2NjIuMTc0AQgAAAAFAAAAATEBAAAACy0xOTM0OTc4NDgwAwAAAAMxNjACAAAABTQ4OTc0BAAAAAEwBwAAAAkzLzI5LzIwMjYIAAAACDYvMS8yMDI0CQAAAAEwugctekSN3ggPI3d+RI3eCEBDSVEuTkFTREFROkNBTE0uSVFfTlBQRV9FWENMX09QRVJfTEVBU0VTLjEwMDAuMjkvMDMvMjAyNi4uLlVTRC5IAQAAACB6BQACAAAACDEwMjYuNjg0AQgAAAAFAAAAATEBAAAACy0xOTM0OTc4MzgxAwAAAAMxNjACAAAABTQ4OTc2BAAAAAEwBwAAAAkzLzI5LzIwMjYIAAAACTUvMzEvMjAyNQkAAAABMLoHLXpEjd4I+ft2fkSN3ghDQ0lRLk5BU0RBUTpDQUxNLklRX0ZJTkFOQ0VfTEVBU0VTX0xPTkdfVEVSTS4xMDAwLjI5LzAzLzIwMjYuLi5VU0QuSAEAAAAgegUAAwAAAAAAugctekSN3gjY1HZ+RI3eCEtDSVEuTkFTREFROkNBTE0uSVFfTFRfUE9SVElPTl9PUEVSX0xFQVNFX0xJQUJJTElU</t>
  </si>
  <si>
    <t>SUVTLjk5Ni4yOS8wMy8yMDI2Li4uVVNELkgBAAAAIHoFAAIAAAAFMS4wMzQBCAAAAAUAAAABMQEAAAALLTIwMzcyNDE3MjEDAAAAAzE2MAIAAAAFNDgzODMEAAAAATAHAAAACTMvMjkvMjAyNggAAAAJNS8yOS8yMDIxCQAAAAEwugctekSN3gi/rXZ+RI3eCCxDSVEuTkFTREFROkNBTE0uSVFfUkUuOTk1LjI5LzAzLzIwMjYuLi5VU0QuSAEAAAAgegUAAgAAAAc5NzUuMTQ3AQgAAAAFAAAAATEBAAAACy0yMDg4MzQ3NDY5AwAAAAMxNjACAAAABDEyMjIEAAAAATAHAAAACTMvMjkvMjAyNggAAAAJNS8zMC8yMDIwCQAAAAEwirksekSN3giD53h+RI3eCDZDSVEuTkFTREFROkNBTE0uSVFfT1RIRVJfRVFVSVRZLjk5Ny4yOS8wMy8yMDI2Li4uVVNELkgBAAAAIHoFAAIAAAAGLTEuNTk2AQgAAAAFAAAAATEBAAAACy0xOTg2NzA4NDMzAwAAAAMxNjACAAAABDEwMjgEAAAAATAHAAAACTMvMjkvMjAyNggAAAAJNS8yOC8yMDIyCQAAAAEwluAsekSN3gh9wHh+RI3eCDtDSVEuTkFTREFROkNBTE0uSVFfTUlOT1JJVFlfSU5URVJFU1QuOTk4LjI5LzAzLzIwMjYuLi5VU0QuSAEAAAAgegUAAgAAAAYtMS40OTgBCAAAAAUAAAABMQEAAAALLTE5MzQ5Nzg0MjADAAAAAzE2MAIAAAAEMTA1MgQAAAABMAcAAAAJMy8yOS8yMDI2CAAAAAg2LzMvMjAyMwkAAAABMJbgLHpEjd4IWHJ4fkSN3gg7Q0lRLk5BU0RBUTpDQUxNLklR</t>
  </si>
  <si>
    <t>X1RPVEFMX0xJQUJfRVFVSVRZLjk5OS4yOS8wMy8yMDI2Li4uVVNELkgBAAAAIHoFAAIAAAAIMjE4NC43NjEBCAAAAAUAAAABMQEAAAALLTE5MzQ5Nzg0ODADAAAAAzE2MAIAAAAEMTAxMwQAAAABMAcAAAAJMy8yOS8yMDI2CAAAAAg2LzEvMjAyNAkAAAABMJbgLHpEjd4ITUt4fkSN3gg/Q0lRLk5BU0RBUTpDQUxNLklRX1JVQV9DQVBJVEFMX0xFQVNFX05FVC45OTUuMjkvMDMvMjAyNi4uLlVTRC5IAQAAACB6BQADAAAAAACW4Cx6RI3eCBdxd35Ejd4IN0NJUS5OQVNEQVE6Q0FMTS5JUV9VTkVBUk5fUkVWX0xULjk5My4yOS8wMy8yMDI2Li4uVVNELkgBAAAAIHoFAAMAAAAAAA2ngHpEjd4ILTR6fkSN3gg5Q0lRLk5BU0RBUTpDQUxNLklRX0RFRl9UQVhfTElBQl9MVC45OTUuMjkvMDMvMjAyNi4uLlVTRC5IAQAAACB6BQACAAAABjkyLjc2OAEIAAAABQAAAAExAQAAAAstMjA4ODM0NzQ2OQMAAAADMTYwAgAAAAQxMDI3BAAAAAEwBwAAAAkzLzI5LzIwMjYIAAAACTUvMzAvMjAyMAkAAAABMA2ngHpEjd4INQ16fkSN3gg0Q0lRLk5BU0RBUTpDQUxNLklRX1RPVEFMX0xJQUIuOTk3LjI5LzAzLzIwMjYuLi5VU0QuSAEAAAAgegUAAgAAAAczMjMuMTQ0AQgAAAAFAAAAATEBAAAACy0xOTg2NzA4NDMzAwAAAAMxNjACAAAABDEyNzYEAAAAATAHAAAACTMvMjkvMjAyNggAAAAJNS8yOC8yMDIyCQAAAAEwDaeAekSN</t>
  </si>
  <si>
    <t>3ggf5nl+RI3eCDlDSVEuTkFTREFROkNBTE0uSVFfUFJFRl9OT05fUkVERUVNLjk5OS4yOS8wMy8yMDI2Li4uVVNELkgBAAAAIHoFAAMAAAAAAA2ngHpEjd4Inpd5fkSN3ggwQ0lRLk5BU0RBUTpDQUxNLklRX0NPTU1PTi45OTMuMjkvMDMvMjAyNi4uLlVTRC5IAQAAACB6BQACAAAABTAuNzUxAQgAAAAFAAAAATEBAAAACjIwNDU3NDkzMTADAAAAAzE2MAIAAAAEMTEwMwQAAAABMAcAAAAJMy8yOS8yMDI2CAAAAAg2LzIvMjAxOAkAAAABMIq5LHpEjd4Ikw55fkSN3ggxQ0lRLk5BU0RBUTpDQUxNLklRX1NUX0RFQlQuOTk2LjI5LzAzLzIwMjYuLi5VU0QuSAEAAAAgegUAAwAAAAAA2X+AekSN3giSz3t+RI3eCD1DSVEuTkFTREFROkNBTE0uSVFfQ1VSUkVOVF9QT1JUX0xFQVNFUy45OTkuMjkvMDMvMjAyNi4uLlVTRC5IAQAAACB6BQADAAAAAADZf4B6RI3eCBGBe35Ejd4IPENJUS5OQVNEQVE6Q0FMTS5JUV9VTkVBUk5fUkVWX0NVUlJFTlQuOTk1LjI5LzAzLzIwMjYuLi5VU0QuSAEAAAAgegUAAwAAAAAADaeAekSN3givMnt+RI3eCDhDSVEuTkFTREFROkNBTE0uSVFfT1RIRVJfQ0xfU1VQUEwuOTk4LjI5LzAzLzIwMjYuLi5VU0QuSAEAAAAgegUAAgAAAAUzNy4xMwEIAAAABQAAAAExAQAAAAstMTkzNDk3ODQyMAMAAAADMTYwAgAAAAQxMDU3BAAAAAEwBwAAAAkzLzI5LzIwMjYIAAAACDYvMy8yMDIzCQAA</t>
  </si>
  <si>
    <t>AAEwDaeAekSN3ghu0Hp+RI3eCDJDSVEuTkFTREFROkNBTE0uSVFfTFRfREVCVC4xMDAwLjI5LzAzLzIwMjYuLi5VU0QuSAEAAAAgegUAAwAAAAAADaeAekSN3ghcqXp+RI3eCC1DSVEuTkFTREFROkNBTE0uSVFfQUQuMTAwMC4yOS8wMy8yMDI2Li4uVVNELkgBAAAAIHoFAAIAAAAHLTg3OS4xNAEIAAAABQAAAAExAQAAAAstMTkzNDk3ODM4MQMAAAADMTYwAgAAAAQxMDc1BAAAAAEwBwAAAAkzLzI5LzIwMjYIAAAACTUvMzEvMjAyNQkAAAABMNl/gHpEjd4I4GR9fkSN3ggzQ0lRLk5BU0RBUTpDQUxNLklRX0xUX0lOVkVTVC45OTMuMjkvMDMvMjAyNi4uLlVTRC5IAQAAACB6BQACAAAABjcyLjUwNgEIAAAABQAAAAExAQAAAAoyMDQ1NzQ5MzEwAwAAAAMxNjACAAAABDEwNTQEAAAAATAHAAAACTMvMjkvMjAyNggAAAAINi8yLzIwMTgJAAAAATDZf4B6RI3eCO09fX5Ejd4INUNJUS5OQVNEQVE6Q0FMTS5JUV9PVEhFUl9JTlRBTi45OTYuMjkvMDMvMjAyNi4uLlVTRC5IAQAAACB6BQACAAAABjIwLjM0MQEIAAAABQAAAAExAQAAAAstMjAzNzI0MTcyMQMAAAADMTYwAgAAAAQxMDQwBAAAAAEwBwAAAAkzLzI5LzIwMjYIAAAACTUvMjkvMjAyMQkAAAABMNl/gHpEjd4ImRZ9fkSN3gg4Q0lRLk5BU0RBUTpDQUxNLklRX0RFRl9DSEFSR0VTX0xULjk5NS4yOS8wMy8yMDI2Li4uVVNELkgBAAAAIHoFAAMAAAAAANl/</t>
  </si>
  <si>
    <t>gHpEjd4Ik2t8fkSN3gg6Q0lRLk5BU0RBUTpDQUxNLklRX09USEVSX0xUX0FTU0VUUy4xMDAwLjI5LzAzLzIwMjYuLi5VU0QuSAEAAAAgegUAAgAAAAYxNi43OTcBCAAAAAUAAAABMQEAAAALLTE5MzQ5NzgzODEDAAAAAzE2MAIAAAAEMTA2MAQAAAABMAcAAAAJMy8yOS8yMDI2CAAAAAk1LzMxLzIwMjUJAAAAATDZf4B6RI3eCGdEfH5Ejd4IN0NJUS5OQVNEQVE6Q0FMTS5JUV9PVEhFUl9SRUNFSVYuMTAwMC4yOS8wMy8yMDI2Li4uVVNELkgBAAAAIHoFAAIAAAAGMjguMjgyAQgAAAAFAAAAATEBAAAACy0xOTM0OTc4MzgxAwAAAAMxNjACAAAABDEyMDYEAAAAATAHAAAACTMvMjkvMjAyNggAAAAJNS8zMS8yMDI1CQAAAAEwSLx/ekSN3gj82H5+RI3eCDZDSVEuTkFTREFROkNBTE0uSVFfVE9UQUxfUkVDRUlWLjk5NC4yOS8wMy8yMDI2Li4uVVNELkgBAAAAIHoFAAIAAAAFNzEuNzYBCAAAAAUAAAABMQEAAAALLTIxNDI0MjkwMzkDAAAAAzE2MAIAAAAEMTAwMQQAAAABMAcAAAAJMy8yOS8yMDI2CAAAAAg2LzEvMjAxOQkAAAABMEi8f3pEjd4IcYt+fkSN3gg1Q0lRLk5BU0RBUTpDQUxNLklRX1BSRVBBSURfRVhQLjk5OC4yOS8wMy8yMDI2Li4uVVNELkgBAAAAIHoFAAIAAAAENS4zOAEIAAAABQAAAAExAQAAAAstMTkzNDk3ODQyMAMAAAADMTYwAgAAAAQxMjEyBAAAAAEwBwAAAAkzLzI5LzIwMjYIAAAACDYv</t>
  </si>
  <si>
    <t>My8yMDIzCQAAAAEwtViAekSN3ghuY35+RI3eCDhDSVEuTkFTREFROkNBTE0uSVFfTE9BTlNfRk9SX1NBTEUuOTk4LjI5LzAzLzIwMjYuLi5VU0QuSAEAAAAgegUAAwAAAAAAtViAekSN3ggO2n1+RI3eCDJDSVEuTkFTREFROkNBTE0uSVFfVE9UQUxfQ0EuOTk2LjI5LzAzLzIwMjYuLi5VU0QuSAEAAAAgegUAAgAAAAc1MTkuOTMxAQgAAAAFAAAAATEBAAAACy0yMDM3MjQxNzIxAwAAAAMxNjACAAAABDEwMDgEAAAAATAHAAAACTMvMjkvMjAyNggAAAAJNS8yOS8yMDIxCQAAAAEw2X+AekSN3ggOs31+RI3eCEVDSVEuTkFTREFROkNBTE0uSVFfT1BFUkFUSU5HX0xFQVNFX0xJQUJJTElUSUVTLjk5NC4yOS8wMy8yMDI2Li4uVVNELkgBAAAAIHoFAAMAAAAAAI2Bf3pEjd4Iqh6AfkSN3ghOQ0lRLk5BU0RBUTpDQUxNLklRX09QRVJBVElOR19MRUFTRV9MSUFCSUxJVElFU19OT05DQVNILjEwMDAuMjkvMDMvMjAyNi4uLlVTRC5IAQAAACB6BQADAAAAAACNgX96RI3eCJT3f35Ejd4IR0NJUS5OQVNEQVE6Q0FMTS5JUV9UT1RBTF9ERUJUX1JFUEFJRF9FWENMX0xFQVNFUy45OTQuMjkvMDMvMjAyNi4uLlVTRC5IAQAAACB6BQACAAAABi0zLjc1NAEIAAAABQAAAAExAQAAAAstMjE0MjQyOTAzOQMAAAADMTYwAgAAAAU0ODk4NgQAAAABMAcAAAAJMy8yOS8yMDI2CAAAAAg2LzEvMjAxOQkAAAABMI2Bf3pEjd4IOpx/</t>
  </si>
  <si>
    <t>fkSN3gg0Q0lRLk5BU0RBUTpDQUxNLklRX0NBU0hfRVFVSVYuOTk2LjI5LzAzLzIwMjYuLi5VU0QuSAEAAAAgegUAAgAAAAY1Ny4zNTIBCAAAAAUAAAABMQEAAAALLTIwMzcyNDE3MjEDAAAAAzE2MAIAAAAEMTA5NgQAAAABMAcAAAAJMy8yOS8yMDI2CAAAAAk1LzI5LzIwMjEJAAAAATCNgX96RI3eCCJ1f35Ejd4IOENJUS5OQVNEQVE6Q0FMTS5JUV9DQVNIX1NUX0lOVkVTVC45OTYuMjkvMDMvMjAyNi4uLlVTRC5IAQAAACB6BQACAAAABjE2OS41MQEIAAAABQAAAAExAQAAAAstMjAzNzI0MTcyMQMAAAADMTYwAgAAAAQxMDAyBAAAAAEwBwAAAAkzLzI5LzIwMjYIAAAACTUvMjkvMjAyMQkAAAABMI2Bf3pEjd4I0v9+fkSN3gg8Q0lRLk5BU0RBUTpDQUxNLklRX0NBU0hfSU5URVJFU1RfT1BFUi45OTYuMjkvMDMvMjAyNi4uLlVTRC5IAQAAACB6BQADAAAAAAAbWX96RI3eCE+5gX5Ejd4IOUNJUS5OQVNEQVE6Q0FMTS5JUV9DQVNIX1RBWEVTX09QRVIuOTk0LjI5LzAzLzIwMjYuLi5VU0QuSAEAAAAgegUAAwAAAAAAjYF/ekSN3ggra4F+RI3eCDxDSVEuTkFTREFROkNBTE0uSVFfQ0FTSF9UQVhFU19JTlZFU1QuMTAwMC4yOS8wMy8yMDI2Li4uVVNELkgBAAAAIHoFAAMAAAAAAI2Bf3pEjd4IRUSBfkSN3gg1Q0lRLk5BU0RBUTpDQUxNLklRX0xFVkVSRURfRkNGLjk5OC4yOS8wMy8yMDI2Li4uVVNELkgBAAAA</t>
  </si>
  <si>
    <t>IHoFAAIAAAAKNTUwLjIxMzg3NQEIAAAABQAAAAExAQAAAAstMTkzNDk3ODQyMAMAAAADMTYwAgAAAAQ0NDIyBAAAAAEwBwAAAAkzLzI5LzIwMjYIAAAACDYvMy8yMDIzCQAAAAEwjYF/ekSN3gjNuoB+RI3eCDVDSVEuTkFTREFROkNBTE0uSVFfTUFJTlRfQ0FQRVguOTk2LjI5LzAzLzIwMjYuLi5VU0QuSAEAAAAgegUAAwAAAAAAjYF/ekSN3gjJbIB+RI3eCENDSVEuTkFTREFROkNBTE0uSVFfR1dfSU5UQU5fQU1PUlRfUEFSVElBTF9DRi45OTYuMjkvMDMvMjAyNi4uLlVTRC5IAQAAACB6BQADAAAAAACmMYB6RI3eCDohg35Ejd4ISENJUS5OQVNEQVE6Q0FMTS5JUV9ERVBSRUNJQVRJT05fUkVOVEFMX0FTU0VUU19DRi4xMDAwLjI5LzAzLzIwMjYuLi5VU0QuSAEAAAAgegUAAwAAAAAApjGAekSN3ggv+oJ+RI3eCEZDSVEuTkFTREFROkNBTE0uSVFfREFfU1VQUExfQ0ZfRVhDTF9PUEVSX0xFQVNFUy45OTQuMjkvMDMvMjAyNi4uLlVTRC5IAQAAACB6BQACAAAABTUxLjg1AQgAAAAFAAAAATEBAAAACy0yMTQyNDI5MDM5AwAAAAMxNjACAAAABTQ4OTgzBAAAAAEwBwAAAAkzLzI5LzIwMjYIAAAACDYvMS8yMDE5CQAAAAEwpjGAekSN3gjx0oJ+RI3eCEFDSVEuTkFTREFROkNBTE0uSVFfREFfQ0ZfRVhDTF9PUEVSX0xFQVNFUy4xMDAwLjI5LzAzLzIwMjYuLi5VU0QuSAEAAAAgegUAAgAAAAY5NC4wMjEBCAAA</t>
  </si>
  <si>
    <t>AAUAAAABMQEAAAALLTE5MzQ5NzgzODEDAAAAAzE2MAIAAAAFNDg5ODUEAAAAATAHAAAACTMvMjkvMjAyNggAAAAJNS8zMS8yMDI1CQAAAAEwpjGAekSN3gipfIJ+RI3eCEVDSVEuTkFTREFROkNBTE0uSVFfU0FMRV9QUk9DRUVEU19SRU5UQUxfQVNTRVRTLjk5OC4yOS8wMy8yMDI2Li4uVVNELkgBAAAAIHoFAAMAAAAAAKYxgHpEjd4IdgeCfkSN3gg9Q0lRLk5BU0RBUTpDQUxNLklRX0xJQUJJTElUSUVTX0xFVkVMXzEuOTk2LjI5LzAzLzIwMjYuLi5VU0QuSAEAAAAgegUAAwAAAAAA5mIXekSN3gj3aXB+RI3eCEBDSVEuTkFTREFROkNBTE0uSVFfTElBQklMSVRJRVNfRkFJUl9WQUxVRS45OTQuMjkvMDMvMjAyNi4uLlVTRC5IAQAAACB6BQADAAAAAADmYhd6RI3eCOLgb35Ejd4IN0NJUS5OQVNEQVE6Q0FMTS5JUV9PUkRFUl9CQUNLTE9HLjk5NS4yOS8wMy8yMDI2Li4uVVNELkgBAAAAIHoFAAMAAAAAAAKKF3pEjd4IeZRufkSN3ghFQ0lRLk5BU0RBUTpDQUxNLklRX0RFUklWQVRJVkVfTElBQl9OT05fQ1VSUkVOVC45OTguMjkvMDMvMjAyNi4uLlVTRC5IAQAAACB6BQADAAAAAAACihd6RI3eCCCqbX5Ejd4IPUNJUS5OQVNEQVE6Q0FMTS5JUV9JTlRFUkNPTVBBTllfTk9OX0NBLjk5NC4yOS8wMy8yMDI2Li4uVVNELkgBAAAAIHoFAAMAAAAAAPuwF3pEjd4IcTZsfkSN3gg1Q0lRLk5BU0RBUTpDQUxNLklR</t>
  </si>
  <si>
    <t>X0FSX1VOQklMTEVELjk5Ny4yOS8wMy8yMDI2Li4uVVNELkgBAAAAIHoFAAMAAAAAAMEuLXpEjd4InMZzfkSN3gg2Q0lRLk5BU0RBUTpDQUxNLklRX0ZJTklTSEVEX0lOVi45OTcuMjkvMDMvMjAyNi4uLlVTRC5IAQAAACB6BQACAAAABzExOS4yNjUBCAAAAAUAAAABMQEAAAALLTE5ODY3MDg0MzMDAAAAAzE2MAIAAAAEMzA3NQQAAAABMAcAAAAJMy8yOS8yMDI2CAAAAAk1LzI4LzIwMjIJAAAAATDAVS16RI3eCF9kc35Ejd4IQENJUS5OQVNEQVE6Q0FMTS5JUV9OQVRVUkFMX1JFU09VUkNFU19DT1NULjk5My4yOS8wMy8yMDI2Li4uVVNELkgBAAAAIHoFAAMAAAAAAMBVLXpEjd4IFu9yfkSN3ghRQ0lRLk5BU0RBUTpDQUxNLklRX0xJUVVJREFUSU9OX1ZBTFVFX1BSRUZFUlJFRF9OT05fUkVERUVNLjEwMDAuMjkvMDMvMjAyNi4uLlVTRC5IAQAAACB6BQADAAAAAACiaS16RI3eCIgGcX5Ejd4IOENJUS5OQVNEQVE6Q0FMTS5JUV9BU1NFVFNfTEVWRUxfMy45OTQuMjkvMDMvMjAyNi4uLlVTRC5IAQAAACB6BQADAAAAAACiaS16RI3eCJy4cH5Ejd4IQENJUS5OQVNEQVE6Q0FMTS5JUV9UT1RBTF9ERUJUX0VYQ0xfTEVBU0VTLjk5Ni4yOS8wMy8yMDI2Li4uVVNELkgBAAAAIHoFAAIAAAABMAEIAAAABQAAAAExAQAAAAstMjAzNzI0MTcyMQMAAAADMTYwAgAAAAU0ODk5MgQAAAABMAcAAAAJMy8yOS8yMDI2CAAA</t>
  </si>
  <si>
    <t>AAk1LzI5LzIwMjEJAAAAATC6By16RI3eCHnWdX5Ejd4IM0NJUS5OQVNEQVE6Q0FMTS5JUV9UQlZfU0hBUkUuOTk5LjI5LzAzLzIwMjYuLi5VU0QuSAEAAAAgegUAAgAAAAkzNS40NDg5OTUBCAAAAAUAAAABMQEAAAALLTE5MzQ5Nzg0ODADAAAAAzE2MAIAAAAENDE1NgQAAAABMAcAAAAJMy8yOS8yMDI2CAAAAAg2LzEvMjAyNAkAAAABMMEuLXpEjd4Iaq91fkSN3ggyQ0lRLk5BU0RBUTpDQUxNLklRX0dXX0lOVEFOLjk5My4yOS8wMy8yMDI2Li4uVVNELkgBAAAAIHoFAAIAAAAGNjEuODMyAQgAAAAFAAAAATEBAAAACjIwNDU3NDkzMTADAAAAAzE2MAIAAAAFMzUzODEEAAAAATAHAAAACTMvMjkvMjAyNggAAAAINi8yLzIwMTgJAAAAATDBLi16RI3eCEhhdX5Ejd4INENJUS5OQVNEQVE6Q0FMTS5JUV9UT1RBTF9ERUJULjk5Ny4yOS8wMy8yMDI2Li4uVVNELkgBAAAAIHoFAAIAAAABMAEIAAAABQAAAAExAQAAAAstMTk4NjcwODQzMwMAAAADMTYwAgAAAAQ0MTczBAAAAAEwBwAAAAkzLzI5LzIwMjYIAAAACTUvMjgvMjAyMgkAAAABMMEuLXpEjd4I8bB0fkSN3ggzQ0lRLk5BU0RBUTpDQUxNLklRX1RPVEFMX0NBUC45OTkuMjkvMDMvMjAyNi4uLlVTRC5IAQAAACB6BQACAAAACDE3OTcuMDQzAQgAAAAFAAAAATEBAAAACy0xOTM0OTc4NDgwAwAAAAMxNjACAAAABDQxNzUEAAAAATAHAAAACTMvMjkvMjAyNggA</t>
  </si>
  <si>
    <t>AAAINi8xLzIwMjQJAAAAATDBLi16RI3eCMxidH5Ejd4IR0NJUS5OQVNEQVE6Q0FMTS5JUV9SVUFfT1BFUkFUSU5HX0xFQVNFX0FDQ1VNX0RFUC45OTguMjkvMDMvMjAyNi4uLlVTRC5IAQAAACB6BQADAAAAAAC6By16RI3eCBdxd35Ejd4IQENJUS5OQVNEQVE6Q0FMTS5JUV9HUFBFX0VYQ0xfT1BFUl9MRUFTRVMuMTAwMC4yOS8wMy8yMDI2Li4uVVNELkgBAAAAIHoFAAIAAAAIMTkwNS44MjQBCAAAAAUAAAABMQEAAAALLTE5MzQ5NzgzODEDAAAAAzE2MAIAAAAFNDg5NzQEAAAAATAHAAAACTMvMjkvMjAyNggAAAAJNS8zMS8yMDI1CQAAAAEwugctekSN3ggRSnd+RI3eCEtDSVEuTkFTREFROkNBTE0uSVFfTFRfUE9SVElPTl9PUEVSX0xFQVNFX0xJQUJJTElUSUVTLjk5Ny4yOS8wMy8yMDI2Li4uVVNELkgBAAAAIHoFAAMAAAAAALoHLXpEjd4Iv612fkSN3gg2Q0lRLk5BU0RBUTpDQUxNLklRX1RPVEFMX0xFQVNFUy45OTcuMjkvMDMvMjAyNi4uLlVTRC5IAQAAACB6BQADAAAAAAC6By16RI3eCKZLdn5Ejd4IVkNJUS5OQVNEQVE6Q0FMTS5JUV9GSU5BTkNJTkdfT0JMSUdfTk9OX0NVUlJFTlRfRVhDTF9PUEVSX0xFQVNFUy45OTYuMjkvMDMvMjAyNi4uLlVTRC5IAQAAACB6BQACAAAABTAuNDM4AQgAAAAFAAAAATEBAAAACy0yMDM3MjQxNzIxAwAAAAMxNjACAAAABTQ4OTgxBAAAAAEwBwAAAAkzLzI5LzIw</t>
  </si>
  <si>
    <t>MjYIAAAACTUvMjkvMjAyMQkAAAABMLoHLXpEjd4IoCR2fkSN3ggsQ0lRLk5BU0RBUTpDQUxNLklRX1JFLjk5Ni4yOS8wMy8yMDI2Li4uVVNELkgBAAAAIHoFAAIAAAAHOTc1Ljk3NwEIAAAABQAAAAExAQAAAAstMjAzNzI0MTcyMQMAAAADMTYwAgAAAAQxMjIyBAAAAAEwBwAAAAkzLzI5LzIwMjYIAAAACTUvMjkvMjAyMQkAAAABMIq5LHpEjd4Ig+d4fkSN3gg2Q0lRLk5BU0RBUTpDQUxNLklRX09USEVSX0VRVUlUWS45OTguMjkvMDMvMjAyNi4uLlVTRC5IAQAAACB6BQACAAAABi0yLjg4NgEIAAAABQAAAAExAQAAAAstMTkzNDk3ODQyMAMAAAADMTYwAgAAAAQxMDI4BAAAAAEwBwAAAAkzLzI5LzIwMjYIAAAACDYvMy8yMDIzCQAAAAEwluAsekSN3gh9wHh+RI3eCDxDSVEuTkFTREFROkNBTE0uSVFfTUlOT1JJVFlfSU5URVJFU1QuMTAwMC4yOS8wMy8yMDI2Li4uVVNELkgBAAAAIHoFAAIAAAAFNS4zOTEBCAAAAAUAAAABMQEAAAALLTE5MzQ5NzgzODEDAAAAAzE2MAIAAAAEMTA1MgQAAAABMAcAAAAJMy8yOS8yMDI2CAAAAAk1LzMxLzIwMjUJAAAAATCW4Cx6RI3eCFhyeH5Ejd4IQUNJUS5OQVNEQVE6Q0FMTS5JUV9SVUFfQ0FQSVRBTF9MRUFTRV9HUk9TUy45OTQuMjkvMDMvMjAyNi4uLlVTRC5IAQAAACB6BQACAAAABTAuOTQ3AQgAAAAFAAAAATEBAAAACy0yMTQyNDI5MDM5AwAAAAMxNjACAAAABTQ4</t>
  </si>
  <si>
    <t>MzcxBAAAAAEwBwAAAAkzLzI5LzIwMjYIAAAACDYvMS8yMDE5CQAAAAEwluAsekSN3ggh0Hd+RI3eCD9DSVEuTkFTREFROkNBTE0uSVFfUlVBX0NBUElUQUxfTEVBU0VfTkVULjk5Ni4yOS8wMy8yMDI2Li4uVVNELkgBAAAAIHoFAAMAAAAAAJbgLHpEjd4Ixah3fkSN3gg3Q0lRLk5BU0RBUTpDQUxNLklRX1VORUFSTl9SRVZfTFQuOTk0LjI5LzAzLzIwMjYuLi5VU0QuSAEAAAAgegUAAwAAAAAADaeAekSN3ggtNHp+RI3eCDlDSVEuTkFTREFROkNBTE0uSVFfREVGX1RBWF9MSUFCX0xULjk5Ni4yOS8wMy8yMDI2Li4uVVNELkgBAAAAIHoFAAIAAAAHMTE0LjQwOAEIAAAABQAAAAExAQAAAAstMjAzNzI0MTcyMQMAAAADMTYwAgAAAAQxMDI3BAAAAAEwBwAAAAkzLzI5LzIwMjYIAAAACTUvMjkvMjAyMQkAAAABMA2ngHpEjd4INQ16fkSN3gg0Q0lRLk5BU0RBUTpDQUxNLklRX1RPVEFMX0xJQUIuOTk4LjI5LzAzLzIwMjYuLi5VU0QuSAEAAAAgegUAAgAAAAczNDQuOTQyAQgAAAAFAAAAATEBAAAACy0xOTM0OTc4NDIwAwAAAAMxNjACAAAABDEyNzYEAAAAATAHAAAACTMvMjkvMjAyNggAAAAINi8zLzIwMjMJAAAAATANp4B6RI3eCB/meX5Ejd4IOkNJUS5OQVNEQVE6Q0FMTS5JUV9QUkVGX05PTl9SRURFRU0uMTAwMC4yOS8wMy8yMDI2Li4uVVNELkgBAAAAIHoFAAMAAAAAAA2ngHpEjd4Inpd5fkSN3ggwQ0lR</t>
  </si>
  <si>
    <t>Lk5BU0RBUTpDQUxNLklRX0NPTU1PTi45OTQuMjkvMDMvMjAyNi4uLlVTRC5IAQAAACB6BQACAAAABTAuNzUxAQgAAAAFAAAAATEBAAAACy0yMTQyNDI5MDM5AwAAAAMxNjACAAAABDExMDMEAAAAATAHAAAACTMvMjkvMjAyNggAAAAINi8xLzIwMTkJAAAAATCKuSx6RI3eCJMOeX5Ejd4IPkNJUS5OQVNEQVE6Q0FMTS5JUV9DVVJSRU5UX1BPUlRfTEVBU0VTLjEwMDAuMjkvMDMvMjAyNi4uLlVTRC5IAQAAACB6BQADAAAAAADZf4B6RI3eCLOoe35Ejd4IPkNJUS5OQVNEQVE6Q0FMTS5JUV9GSU5fRElWX0xJQUJfQ1VSUkVOVC45OTMuMjkvMDMvMjAyNi4uLlVTRC5IAQAAACB6BQADAAAAAADZf4B6RI3eCMxZe35Ejd4IPENJUS5OQVNEQVE6Q0FMTS5JUV9VTkVBUk5fUkVWX0NVUlJFTlQuOTk2LjI5LzAzLzIwMjYuLi5VU0QuSAEAAAAgegUAAwAAAAAADaeAekSN3givMnt+RI3eCDhDSVEuTkFTREFROkNBTE0uSVFfT1RIRVJfQ0xfU1VQUEwuOTk5LjI5LzAzLzIwMjYuLi5VU0QuSAEAAAAgegUAAgAAAAUzNy43NgEIAAAABQAAAAExAQAAAAstMTkzNDk3ODQ4MAMAAAADMTYwAgAAAAQxMDU3BAAAAAEwBwAAAAkzLzI5LzIwMjYIAAAACDYvMS8yMDI0CQAAAAEwDaeAekSN3ghu0Hp+RI3eCDlDSVEuTkFTREFROkNBTE0uSVFfRklOX0RJVl9ERUJUX0xULjk5My4yOS8wMy8yMDI2Li4uVVNELkgBAAAAIHoFAAMA</t>
  </si>
  <si>
    <t>AAAAAA2ngHpEjd4IQIJ6fkSN3ggzQ0lRLk5BU0RBUTpDQUxNLklRX0xUX0lOVkVTVC45OTQuMjkvMDMvMjAyNi4uLlVTRC5IAQAAACB6BQACAAAABjcwLjkxMQEIAAAABQAAAAExAQAAAAstMjE0MjQyOTAzOQMAAAADMTYwAgAAAAQxMDU0BAAAAAEwBwAAAAkzLzI5LzIwMjYIAAAACDYvMS8yMDE5CQAAAAEw2X+AekSN3gjtPX1+RI3eCDVDSVEuTkFTREFROkNBTE0uSVFfT1RIRVJfSU5UQU4uOTk3LjI5LzAzLzIwMjYuLi5VU0QuSAEAAAAgegUAAgAAAAYxOC4xMzEBCAAAAAUAAAABMQEAAAALLTE5ODY3MDg0MzMDAAAAAzE2MAIAAAAEMTA0MAQAAAABMAcAAAAJMy8yOS8yMDI2CAAAAAk1LzI4LzIwMjIJAAAAATDZf4B6RI3eCJkWfX5Ejd4IOUNJUS5OQVNEQVE6Q0FMTS5JUV9MT0FOU19SRUNFSVZfTFQuOTkzLjI5LzAzLzIwMjYuLi5VU0QuSAEAAAAgegUAAwAAAAAA2X+AekSN3gjSwHx+RI3eCDtDSVEuTkFTREFROkNBTE0uSVFfREVGX1RBWF9BU1NFVFNfTFQuOTk4LjI5LzAzLzIwMjYuLi5VU0QuSAEAAAAgegUAAwAAAAAA2X+AekSN3ghnRHx+RI3eCDFDSVEuTkFTREFROkNBTE0uSVFfU1RfREVCVC45OTcuMjkvMDMvMjAyNi4uLlVTRC5IAQAAACB6BQADAAAAAADZf4B6RI3eCJLPe35Ejd4IOENJUS5OQVNEQVE6Q0FMTS5JUV9DQVNIX1NUX0lOVkVTVC45OTcuMjkvMDMvMjAyNi4uLlVTRC5IAQAA</t>
  </si>
  <si>
    <t>ACB6BQACAAAABzE3NC41MTMBCAAAAAUAAAABMQEAAAALLTE5ODY3MDg0MzMDAAAAAzE2MAIAAAAEMTAwMgQAAAABMAcAAAAJMy8yOS8yMDI2CAAAAAk1LzI4LzIwMjIJAAAAATCNgX96RI3eCNL/fn5Ejd4INkNJUS5OQVNEQVE6Q0FMTS5JUV9UT1RBTF9SRUNFSVYuOTk1LjI5LzAzLzIwMjYuLi5VU0QuSAEAAAAgegUAAgAAAAY5OC4zNzUBCAAAAAUAAAABMQEAAAALLTIwODgzNDc0NjkDAAAAAzE2MAIAAAAEMTAwMQQAAAABMAcAAAAJMy8yOS8yMDI2CAAAAAk1LzMwLzIwMjAJAAAAATBIvH96RI3eCHGLfn5Ejd4IQENJUS5OQVNEQVE6Q0FMTS5JUV9GSU5fRElWX0FTU0VUU19DVVJSRU5ULjk5My4yOS8wMy8yMDI2Li4uVVNELkgBAAAAIHoFAAMAAAAAALVYgHpEjd4IVzx+fkSN3gg4Q0lRLk5BU0RBUTpDQUxNLklRX0xPQU5TX0ZPUl9TQUxFLjk5OS4yOS8wMy8yMDI2Li4uVVNELkgBAAAAIHoFAAMAAAAAALVYgHpEjd4I8BR+fkSN3ggyQ0lRLk5BU0RBUTpDQUxNLklRX1RPVEFMX0NBLjk5Ny4yOS8wMy8yMDI2Li4uVVNELkgBAAAAIHoFAAIAAAAHNjYxLjUxOQEIAAAABQAAAAExAQAAAAstMTk4NjcwODQzMwMAAAADMTYwAgAAAAQxMDA4BAAAAAEwBwAAAAkzLzI5LzIwMjYIAAAACTUvMjgvMjAyMgkAAAABMNl/gHpEjd4IDrN9fkSN3gg1Q0lRLk5BU0RBUTpDQUxNLklRX0xFVkVSRURfRkNGLjk5OS4y</t>
  </si>
  <si>
    <t>OS8wMy8yMDI2Li4uVVNELkgBAAAAIHoFAAIAAAAKMjI2LjAwOTYyNQEIAAAABQAAAAExAQAAAAstMTkzNDk3ODQ4MAMAAAADMTYwAgAAAAQ0NDIyBAAAAAEwBwAAAAkzLzI5LzIwMjYIAAAACDYvMS8yMDI0CQAAAAEwjYF/ekSN3gjNuoB+RI3eCDJDSVEuTkFTREFROkNBTE0uSVFfQ0ZfU0hBUkUuOTkzLjI5LzAzLzIwMjYuLi5VU0QuSAEAAAAgegUAAgAAAAczLjczODAxAQgAAAAFAAAAATEBAAAACjIwNDU3NDkzMTADAAAAAzE2MAIAAAAFNDM5MjMEAAAAATAHAAAACTMvMjkvMjAyNggAAAAINi8yLzIwMTgJAAAAATCNgX96RI3eCMmTgH5Ejd4INUNJUS5OQVNEQVE6Q0FMTS5JUV9NQUlOVF9DQVBFWC45OTcuMjkvMDMvMjAyNi4uLlVTRC5IAQAAACB6BQADAAAAAACNgX96RI3eCMlsgH5Ejd4IQkNJUS5OQVNEQVE6Q0FMTS5JUV9PUEVSQVRJTkdfTEVBU0VfUEFZTUVOVFMuOTk3LjI5LzAzLzIwMjYuLi5VU0QuSAEAAAAgegUAAwAAAAAAjYF/ekSN3giqHoB+RI3eCEdDSVEuTkFTREFROkNBTE0uSVFfVE9UQUxfREVCVF9SRVBBSURfRVhDTF9MRUFTRVMuOTk1LjI5LzAzLzIwMjYuLi5VU0QuSAEAAAAgegUAAgAAAAYtMS42OTYBCAAAAAUAAAABMQEAAAALLTIwODgzNDc0NjkDAAAAAzE2MAIAAAAFNDg5ODYEAAAAATAHAAAACTMvMjkvMjAyNggAAAAJNS8zMC8yMDIwCQAAAAEwjYF/ekSN3gg6nH9+RI3e</t>
  </si>
  <si>
    <t>CEVDSVEuTkFTREFROkNBTE0uSVFfU0FMRV9QUk9DRUVEU19SRU5UQUxfQVNTRVRTLjk5OS4yOS8wMy8yMDI2Li4uVVNELkgBAAAAIHoFAAMAAAAAAKYxgHpEjd4IdgeCfkSN3gg7Q0lRLk5BU0RBUTpDQUxNLklRX0NBU0hfSU5URVJFU1RfTkVULjk5My4yOS8wMy8yMDI2Li4uVVNELkgBAAAAIHoFAAMAAAAAABtZf3pEjd4IZ+CBfkSN3gg8Q0lRLk5BU0RBUTpDQUxNLklRX0NBU0hfSU5URVJFU1RfT1BFUi45OTcuMjkvMDMvMjAyNi4uLlVTRC5IAQAAACB6BQADAAAAAAAbWX96RI3eCE+5gX5Ejd4IOUNJUS5OQVNEQVE6Q0FMTS5JUV9DQVNIX1RBWEVTX09QRVIuOTk1LjI5LzAzLzIwMjYuLi5VU0QuSAEAAAAgegUAAwAAAAAAjYF/ekSN3ggra4F+RI3eCD5DSVEuTkFTREFROkNBTE0uSVFfQ0hBTkdFX0RFRl9UQVhfVE9UQUwuOTk1LjI5LzAzLzIwMjYuLi5VU0QuSAEAAAAgegUAAgAAAAYxMC4yODEBCAAAAAUAAAABMQEAAAALLTIwODgzNDc0NjkDAAAAAzE2MAIAAAAFMzA5MjQEAAAAATAHAAAACTMvMjkvMjAyNggAAAAJNS8zMC8yMDIwCQAAAAEwjYF/ekSN3gja4YB+RI3eCCxDSVEuTkFTREFROkNBTE0uSVFfRlguOTkzLjI5LzAzLzIwMjYuLi5VU0QuSAEAAAAgegUAAwAAAAAApjGAekSN3ggju4N+RI3eCDhDSVEuTkFTREFROkNBTE0uSVFfTUlTQ19BREpVU1RfQ0YuOTk5LjI5LzAzLzIwMjYuLi5V</t>
  </si>
  <si>
    <t>U0QuSAEAAAAgegUAAwAAAAAApjGAekSN3gj0k4N+RI3eCENDSVEuTkFTREFROkNBTE0uSVFfR1dfSU5UQU5fQU1PUlRfUEFSVElBTF9DRi45OTcuMjkvMDMvMjAyNi4uLlVTRC5IAQAAACB6BQADAAAAAACmMYB6RI3eCCQ1g35Ejd4IRkNJUS5OQVNEQVE6Q0FMTS5JUV9EQV9TVVBQTF9DRl9FWENMX09QRVJfTEVBU0VTLjk5NS4yOS8wMy8yMDI2Li4uVVNELkgBAAAAIHoFAAIAAAAGNTUuMjAzAQgAAAAFAAAAATEBAAAACy0yMDg4MzQ3NDY5AwAAAAMxNjACAAAABTQ4OTgzBAAAAAEwBwAAAAkzLzI5LzIwMjYIAAAACTUvMzAvMjAyMAkAAAABMKYxgHpEjd4I8dKCfkSN3ghCQ0lRLk5BU0RBUTpDQUxNLklRX0FNT1JUX1NPRlRXQVJFX0FTU0VUU19DRi45OTMuMjkvMDMvMjAyNi4uLlVTRC5IAQAAACB6BQADAAAAAACmMYB6RI3eCIcugn5Ejd4IO0NJUS5OQVNEQVE6Q0FMTS5JUV9UT1RBTF9ERUJUX0lTU1VFRC45OTkuMjkvMDMvMjAyNi4uLlVTRC5IAQAAACB6BQADAAAAAADXCoB6RI3eCKVVhX5Ejd4IOENJUS5OQVNEQVE6Q0FMTS5JUV9MVF9ERUJUX1JFUEFJRC45OTMuMjkvMDMvMjAyNi4uLlVTRC5IAQAAACB6BQACAAAABi00Ljg0OQEIAAAABQAAAAExAQAAAAoyMDQ1NzQ5MzEwAwAAAAMxNjACAAAABDIwMzYEAAAAATAHAAAACTMvMjkvMjAyNggAAAAINi8yLzIwMTgJAAAAATDXCoB6RI3eCH0uhX5E</t>
  </si>
  <si>
    <t>jd4IO0NJUS5OQVNEQVE6Q0FMTS5JUV9UT1RBTF9ERUJUX1JFUEFJRC45OTkuMjkvMDMvMjAyNi4uLlVTRC5IAQAAACB6BQACAAAABi0wLjIxNAEIAAAABQAAAAExAQAAAAstMTkzNDk3ODQ4MAMAAAADMTYwAgAAAAQyMTY2BAAAAAEwBwAAAAkzLzI5LzIwMjYIAAAACDYvMS8yMDI0CQAAAAEw1wqAekSN3gifB4V+RI3eCDJDSVEuTkFTREFROkNBTE0uSVFfUFJFRl9SRVAuOTk3LjI5LzAzLzIwMjYuLi5VU0QuSAEAAAAgegUAAwAAAAAA1wqAekSN3ghPuYR+RI3eCDtDSVEuTkFTREFROkNBTE0uSVFfVE9UQUxfRElWX1BBSURfQ0YuOTk1LjI5LzAzLzIwMjYuLi5VU0QuSAEAAAAgegUAAwAAAAAA1wqAekSN3gguMIR+RI3eCD1DSVEuTkFTREFROkNBTE0uSVFfVE9UQUxfREVCVF9FWENMX0ZJTi45OTguMjkvMDMvMjAyNi4uLlVTRC5IAQAAACB6BQADAAAAAAACihd6RI3eCHmUbn5Ejd4IRkNJUS5OQVNEQVE6Q0FMTS5JUV9ERVJJVkFUSVZFX0xJQUJfTk9OX0NVUlJFTlQuMTAwMC4yOS8wMy8yMDI2Li4uVVNELkgBAAAAIHoFAAMAAAAAAAKKF3pEjd4IIKptfkSN3gg/Q0lRLk5BU0RBUTpDQUxNLklRX0FEVkFOQ0VTX0ZPUl9TVVBQTElFUy45OTQuMjkvMDMvMjAyNi4uLlVTRC5IAQAAACB6BQADAAAAAAD7sBd6RI3eCKGrbH5Ejd4IPENJUS5OQVNEQVE6Q0FMTS5JUV9JTlZFU1RfU0VDVVJJVFlfQ0YuOTk3</t>
  </si>
  <si>
    <t>LjI5LzAzLzIwMjYuLi5VU0QuSAEAAAAgegUAAgAAAAUtOC4xNAEIAAAABQAAAAExAQAAAAstMTk4NjcwODQzMwMAAAADMTYwAgAAAAQyMDI3BAAAAAEwBwAAAAkzLzI5LzIwMjYIAAAACTUvMjgvMjAyMgkAAAABMNcKgHpEjd4I6wWGfkSN3gg4Q0lRLk5BU0RBUTpDQUxNLklRX1NUX0RFQlRfSVNTVUVELjk5NS4yOS8wMy8yMDI2Li4uVVNELkgBAAAAIHoFAAMAAAAAANcKgHpEjd4IunyFfkSN3ghFQ0lRLk5BU0RBUTpDQUxNLklRX0ZJTl9ESVZfTUlOT1JJVFlfSU5UX1JFREVFTS45OTYuMjkvMDMvMjAyNi4uLlVTRC5IAQAAACB6BQADAAAAAADAVS16RI3eCPgrcn5Ejd4IRUNJUS5OQVNEQVE6Q0FMTS5JUV9ERUZfVEFYX1ZBTFVBVElPTl9BTExPV0FOQ0UuOTk2LjI5LzAzLzIwMjYuLi5VU0QuSAEAAAAgegUAAwAAAAAAomktekSN3gi4onF+RI3eCDhDSVEuTkFTREFROkNBTE0uSVFfQVNTRVRTX0xFVkVMXzIuOTk4LjI5LzAzLzIwMjYuLi5VU0QuSAEAAAAgegUAAgAAAAYzNTUuMDkAomktekSN3ghY33B+RI3eCD1DSVEuTkFTREFROkNBTE0uSVFfTElBQklMSVRJRVNfTEVWRUxfMS45OTcuMjkvMDMvMjAyNi4uLlVTRC5IAQAAACB6BQADAAAAAADmYhd6RI3eCPdpcH5Ejd4IQENJUS5OQVNEQVE6Q0FMTS5JUV9MSUFCSUxJVElFU19GQUlSX1ZBTFVFLjk5NS4yOS8wMy8yMDI2Li4uVVNELkgBAAAAIHoF</t>
  </si>
  <si>
    <t>AAMAAAAAAOZiF3pEjd4I4uBvfkSN3gg0Q0lRLk5BU0RBUTpDQUxNLklRX1RPVEFMX0NBUC4xMDAwLjI5LzAzLzIwMjYuLi5VU0QuSAEAAAAgegUAAgAAAAgyNTY2LjAxNQEIAAAABQAAAAExAQAAAAstMTkzNDk3ODM4MQMAAAADMTYwAgAAAAQ0MTc1BAAAAAEwBwAAAAkzLzI5LzIwMjYIAAAACTUvMzEvMjAyNQkAAAABMMEuLXpEjd4IzGJ0fkSN3gg1Q0lRLk5BU0RBUTpDQUxNLklRX0FSX1VOQklMTEVELjk5OC4yOS8wMy8yMDI2Li4uVVNELkgBAAAAIHoFAAMAAAAAAMEuLXpEjd4Inu1zfkSN3ggxQ0lRLk5BU0RBUTpDQUxNLklRX1JBV19JTlYuOTk0LjI5LzAzLzIwMjYuLi5VU0QuSAEAAAAgegUAAgAAAAcxMDUuNTM2AQgAAAAFAAAAATEBAAAACy0yMTQyNDI5MDM5AwAAAAMxNjACAAAABDMxNzEEAAAAATAHAAAACTMvMjkvMjAyNggAAAAINi8xLzIwMTkJAAAAATDBLi16RI3eCFSfc35Ejd4INkNJUS5OQVNEQVE6Q0FMTS5JUV9GSU5JU0hFRF9JTlYuOTk4LjI5LzAzLzIwMjYuLi5VU0QuSAEAAAAgegUAAgAAAAcxMTkuODc4AQgAAAAFAAAAATEBAAAACy0xOTM0OTc4NDIwAwAAAAMxNjACAAAABDMwNzUEAAAAATAHAAAACTMvMjkvMjAyNggAAAAINi8zLzIwMjMJAAAAATDAVS16RI3eCF9kc35Ejd4IMkNJUS5OQVNEQVE6Q0FMTS5JUV9TT0ZUV0FSRS45OTcuMjkvMDMvMjAyNi4uLlVTRC5IAQAAACB6</t>
  </si>
  <si>
    <t>BQADAAAAAADAVS16RI3eCBvIcn5Ejd4IQENJUS5OQVNEQVE6Q0FMTS5JUV9UT1RBTF9ERUJUX0VYQ0xfTEVBU0VTLjk5Ny4yOS8wMy8yMDI2Li4uVVNELkgBAAAAIHoFAAMAAAAAALoHLXpEjd4IedZ1fkSN3gg0Q0lRLk5BU0RBUTpDQUxNLklRX1RCVl9TSEFSRS4xMDAwLjI5LzAzLzIwMjYuLi5VU0QuSAEAAAAgegUAAgAAAAk1MS41MjU3NzYBCAAAAAUAAAABMQEAAAALLTE5MzQ5NzgzODEDAAAAAzE2MAIAAAAENDE1NgQAAAABMAcAAAAJMy8yOS8yMDI2CAAAAAk1LzMxLzIwMjUJAAAAATDBLi16RI3eCGuIdX5Ejd4IMkNJUS5OQVNEQVE6Q0FMTS5JUV9HV19JTlRBTi45OTQuMjkvMDMvMjAyNi4uLlVTRC5IAQAAACB6BQACAAAABjU5LjI4NwEIAAAABQAAAAExAQAAAAstMjE0MjQyOTAzOQMAAAADMTYwAgAAAAUzNTM4MQQAAAABMAcAAAAJMy8yOS8yMDI2CAAAAAg2LzEvMjAxOQkAAAABMMEuLXpEjd4Idjp1fkSN3gg0Q0lRLk5BU0RBUTpDQUxNLklRX1RPVEFMX0RFQlQuOTk5LjI5LzAzLzIwMjYuLi5VU0QuSAEAAAAgegUAAgAAAAEwAQgAAAAFAAAAATEBAAAACy0xOTM0OTc4NDgwAwAAAAMxNjACAAAABDQxNzMEAAAAATAHAAAACTMvMjkvMjAyNggAAAAINi8xLzIwMjQJAAAAATDBLi16RI3eCNfrdH5Ejd4IMkNJUS5OQVNEQVE6Q0FMTS5JUV9ORVRfREVCVC45OTQuMjkvMDMvMjAyNi4uLlVTRC5I</t>
  </si>
  <si>
    <t>AQAAACB6BQACAAAACC0zMTYuODc0AQgAAAAFAAAAATEBAAAACy0yMTQyNDI5MDM5AwAAAAMxNjACAAAABDQzNjQEAAAAATAHAAAACTMvMjkvMjAyNggAAAAINi8xLzIwMTkJAAAAATDBLi16RI3eCNyJdH5Ejd4IQUNJUS5OQVNEQVE6Q0FMTS5JUV9SVUFfQ0FQSVRBTF9MRUFTRV9HUk9TUy45OTUuMjkvMDMvMjAyNi4uLlVTRC5IAQAAACB6BQACAAAABTAuNjc4AQgAAAAFAAAAATEBAAAACy0yMDg4MzQ3NDY5AwAAAAMxNjACAAAABTQ4MzcxBAAAAAEwBwAAAAkzLzI5LzIwMjYIAAAACTUvMzAvMjAyMAkAAAABMJbgLHpEjd4IIdB3fkSN3gg/Q0lRLk5BU0RBUTpDQUxNLklRX1JVQV9DQVBJVEFMX0xFQVNFX05FVC45OTcuMjkvMDMvMjAyNi4uLlVTRC5IAQAAACB6BQADAAAAAACW4Cx6RI3eCMWod35Ejd4IR0NJUS5OQVNEQVE6Q0FMTS5JUV9SVUFfT1BFUkFUSU5HX0xFQVNFX0FDQ1VNX0RFUC45OTkuMjkvMDMvMjAyNi4uLlVTRC5IAQAAACB6BQADAAAAAAC6By16RI3eCBdxd35Ejd4INkNJUS5OQVNEQVE6Q0FMTS5JUV9UT1RBTF9MRUFTRVMuOTk4LjI5LzAzLzIwMjYuLi5VU0QuSAEAAAAgegUAAwAAAAAAugctekSN3gimS3Z+RI3eCFZDSVEuTkFTREFROkNBTE0uSVFfRklOQU5DSU5HX09CTElHX05PTl9DVVJSRU5UX0VYQ0xfT1BFUl9MRUFTRVMuOTk3LjI5LzAzLzIwMjYuLi5VU0QuSAEAAAAgegUA</t>
  </si>
  <si>
    <t>AwAAAAAAugctekSN3gigJHZ+RI3eCDRDSVEuTkFTREFROkNBTE0uSVFfUFJFRl9PVEhFUi45OTMuMjkvMDMvMjAyNi4uLlVTRC5IAQAAACB6BQADAAAAAACKuSx6RI3eCLVceX5Ejd4IMENJUS5OQVNEQVE6Q0FMTS5JUV9DT01NT04uOTk1LjI5LzAzLzIwMjYuLi5VU0QuSAEAAAAgegUAAgAAAAUwLjc1MQEIAAAABQAAAAExAQAAAAstMjA4ODM0NzQ2OQMAAAADMTYwAgAAAAQxMTAzBAAAAAEwBwAAAAkzLzI5LzIwMjYIAAAACTUvMzAvMjAyMAkAAAABMIq5LHpEjd4Ikw55fkSN3ggsQ0lRLk5BU0RBUTpDQUxNLklRX1JFLjk5Ny4yOS8wMy8yMDI2Li4uVVNELkgBAAAAIHoFAAIAAAAIMTA2NS44NTQBCAAAAAUAAAABMQEAAAALLTE5ODY3MDg0MzMDAAAAAzE2MAIAAAAEMTIyMgQAAAABMAcAAAAJMy8yOS8yMDI2CAAAAAk1LzI4LzIwMjIJAAAAATCKuSx6RI3eCIPneH5Ejd4INkNJUS5OQVNEQVE6Q0FMTS5JUV9PVEhFUl9FUVVJVFkuOTk5LjI5LzAzLzIwMjYuLi5VU0QuSAEAAAAgegUAAgAAAAYtMS43NzMBCAAAAAUAAAABMQEAAAALLTE5MzQ5Nzg0ODADAAAAAzE2MAIAAAAEMTAyOAQAAAABMAcAAAAJMy8yOS8yMDI2CAAAAAg2LzEvMjAyNAkAAAABMJbgLHpEjd4IfcB4fkSN3gg3Q0lRLk5BU0RBUTpDQUxNLklRX1JVQV9BQ0NVTV9ERVAuOTkzLjI5LzAzLzIwMjYuLi5VU0QuSAEAAAAgegUAAwAAAAAA</t>
  </si>
  <si>
    <t>luAsekSN3gg2JHh+RI3eCDFDSVEuTkFTREFROkNBTE0uSVFfTFRfREVCVC45OTMuMjkvMDMvMjAyNi4uLlVTRC5IAQAAACB6BQACAAAABTEuMjE0AQgAAAAFAAAAATEBAAAACjIwNDU3NDkzMTADAAAAAzE2MAIAAAAEMTA0OQQAAAABMAcAAAAJMy8yOS8yMDI2CAAAAAg2LzIvMjAxOAkAAAABMA2ngHpEjd4IXKl6fkSN3gg5Q0lRLk5BU0RBUTpDQUxNLklRX0ZJTl9ESVZfREVCVF9MVC45OTQuMjkvMDMvMjAyNi4uLlVTRC5IAQAAACB6BQADAAAAAAANp4B6RI3eCECCen5Ejd4IN0NJUS5OQVNEQVE6Q0FMTS5JUV9VTkVBUk5fUkVWX0xULjk5NS4yOS8wMy8yMDI2Li4uVVNELkgBAAAAIHoFAAMAAAAAAA2ngHpEjd4ILTR6fkSN3gg5Q0lRLk5BU0RBUTpDQUxNLklRX0RFRl9UQVhfTElBQl9MVC45OTcuMjkvMDMvMjAyNi4uLlVTRC5IAQAAACB6BQACAAAABzEyOC4xOTYBCAAAAAUAAAABMQEAAAALLTE5ODY3MDg0MzMDAAAAAzE2MAIAAAAEMTAyNwQAAAABMAcAAAAJMy8yOS8yMDI2CAAAAAk1LzI4LzIwMjIJAAAAATANp4B6RI3eCDUNen5Ejd4INENJUS5OQVNEQVE6Q0FMTS5JUV9UT1RBTF9MSUFCLjk5OS4yOS8wMy8yMDI2Li4uVVNELkgBAAAAIHoFAAIAAAAHMzg3LjcxOAEIAAAABQAAAAExAQAAAAstMTkzNDk3ODQ4MAMAAAADMTYwAgAAAAQxMjc2BAAAAAEwBwAAAAkzLzI5LzIwMjYIAAAACDYvMS8y</t>
  </si>
  <si>
    <t>MDI0CQAAAAEwDaeAekSN3gj6vnl+RI3eCDtDSVEuTkFTREFROkNBTE0uSVFfREVGX1RBWF9BU1NFVFNfTFQuOTk5LjI5LzAzLzIwMjYuLi5VU0QuSAEAAAAgegUAAwAAAAAA2X+AekSN3giTa3x+RI3eCCxDSVEuTkFTREFROkNBTE0uSVFfQVAuOTk1LjI5LzAzLzIwMjYuLi5VU0QuSAEAAAAgegUAAgAAAAY1NS45MDQBCAAAAAUAAAABMQEAAAALLTIwODgzNDc0NjkDAAAAAzE2MAIAAAAEMTAxOAQAAAABMAcAAAAJMy8yOS8yMDI2CAAAAAk1LzMwLzIwMjAJAAAAATDZf4B6RI3eCFz2e35Ejd4IMUNJUS5OQVNEQVE6Q0FMTS5JUV9TVF9ERUJULjk5OC4yOS8wMy8yMDI2Li4uVVNELkgBAAAAIHoFAAMAAAAAANl/gHpEjd4Iks97fkSN3gg+Q0lRLk5BU0RBUTpDQUxNLklRX0ZJTl9ESVZfTElBQl9DVVJSRU5ULjk5NC4yOS8wMy8yMDI2Li4uVVNELkgBAAAAIHoFAAMAAAAAANl/gHpEjd4IzFl7fkSN3gg8Q0lRLk5BU0RBUTpDQUxNLklRX1VORUFSTl9SRVZfQ1VSUkVOVC45OTcuMjkvMDMvMjAyNi4uLlVTRC5IAQAAACB6BQADAAAAAAANp4B6RI3eCK8ye35Ejd4IOUNJUS5OQVNEQVE6Q0FMTS5JUV9SRVNUUklDVEVEX0NBU0guOTk0LjI5LzAzLzIwMjYuLi5VU0QuSAEAAAAgegUAAwAAAAAA2X+AekSN3ggO2n1+RI3eCDJDSVEuTkFTREFROkNBTE0uSVFfVE9UQUxfQ0EuOTk4LjI5LzAzLzIwMjYuLi5VU0Qu</t>
  </si>
  <si>
    <t>SAEAAAAgegUAAgAAAAgxMTI0LjkyNQEIAAAABQAAAAExAQAAAAstMTkzNDk3ODQyMAMAAAADMTYwAgAAAAQxMDA4BAAAAAEwBwAAAAkzLzI5LzIwMjYIAAAACDYvMy8yMDIzCQAAAAEw2X+AekSN3ggOs31+RI3eCDNDSVEuTkFTREFROkNBTE0uSVFfTFRfSU5WRVNULjk5NS4yOS8wMy8yMDI2Li4uVVNELkgBAAAAIHoFAAIAAAAGNjMuNzMxAQgAAAAFAAAAATEBAAAACy0yMDg4MzQ3NDY5AwAAAAMxNjACAAAABDEwNTQEAAAAATAHAAAACTMvMjkvMjAyNggAAAAJNS8zMC8yMDIwCQAAAAEw2X+AekSN3gjtPX1+RI3eCC1DSVEuTkFTREFROkNBTE0uSVFfR1cuMTAwMC4yOS8wMy8yMDI2Li4uVVNELkgBAAAAIHoFAAIAAAAGNDYuNzc2AQgAAAAFAAAAATEBAAAACy0xOTM0OTc4MzgxAwAAAAMxNjACAAAABDExNzEEAAAAATAHAAAACTMvMjkvMjAyNggAAAAJNS8zMS8yMDI1CQAAAAEw2X+AekSN3giZFn1+RI3eCDlDSVEuTkFTREFROkNBTE0uSVFfTE9BTlNfUkVDRUlWX0xULjk5NC4yOS8wMy8yMDI2Li4uVVNELkgBAAAAIHoFAAMAAAAAANl/gHpEjd4I0sB8fkSN3ghHQ0lRLk5BU0RBUTpDQUxNLklRX1RPVEFMX0RFQlRfUkVQQUlEX0VYQ0xfTEVBU0VTLjk5Ni4yOS8wMy8yMDI2Li4uVVNELkgBAAAAIHoFAAIAAAAGLTAuMjA1AQgAAAAFAAAAATEBAAAACy0yMDM3MjQxNzIxAwAAAAMxNjACAAAABTQ4OTg2</t>
  </si>
  <si>
    <t>BAAAAAEwBwAAAAkzLzI5LzIwMjYIAAAACTUvMjkvMjAyMQkAAAABMI2Bf3pEjd4IOpx/fkSN3gg4Q0lRLk5BU0RBUTpDQUxNLklRX0NBU0hfU1RfSU5WRVNULjk5OC4yOS8wMy8yMDI2Li4uVVNELkgBAAAAIHoFAAIAAAAHNjQ3LjkxNAEIAAAABQAAAAExAQAAAAstMTkzNDk3ODQyMAMAAAADMTYwAgAAAAQxMDAyBAAAAAEwBwAAAAkzLzI5LzIwMjYIAAAACDYvMy8yMDIzCQAAAAEwjYF/ekSN3gjS/35+RI3eCDZDSVEuTkFTREFROkNBTE0uSVFfVE9UQUxfUkVDRUlWLjk5Ni4yOS8wMy8yMDI2Li4uVVNELkgBAAAAIHoFAAIAAAAHMTI2LjYzOQEIAAAABQAAAAExAQAAAAstMjAzNzI0MTcyMQMAAAADMTYwAgAAAAQxMDAxBAAAAAEwBwAAAAkzLzI5LzIwMjYIAAAACTUvMjkvMjAyMQkAAAABMNcKgHpEjd4I1bF+fkSN3ghAQ0lRLk5BU0RBUTpDQUxNLklRX0ZJTl9ESVZfQVNTRVRTX0NVUlJFTlQuOTk0LjI5LzAzLzIwMjYuLi5VU0QuSAEAAAAgegUAAwAAAAAAtViAekSN3ghXPH5+RI3eCDlDSVEuTkFTREFROkNBTE0uSVFfTE9BTlNfRk9SX1NBTEUuMTAwMC4yOS8wMy8yMDI2Li4uVVNELkgBAAAAIHoFAAMAAAAAALVYgHpEjd4I8BR+fkSN3gg+Q0lRLk5BU0RBUTpDQUxNLklRX0NIQU5HRV9ERUZfVEFYX1RPVEFMLjk5Ni4yOS8wMy8yMDI2Li4uVVNELkgBAAAAIHoFAAIAAAAGMjIuMzUxAQgAAAAFAAAA</t>
  </si>
  <si>
    <t>ATEBAAAACy0yMDM3MjQxNzIxAwAAAAMxNjACAAAABTMwOTI0BAAAAAEwBwAAAAkzLzI5LzIwMjYIAAAACTUvMjkvMjAyMQkAAAABMI2Bf3pEjd4I2uGAfkSN3gg2Q0lRLk5BU0RBUTpDQUxNLklRX0xFVkVSRURfRkNGLjEwMDAuMjkvMDMvMjAyNi4uLlVTRC5IAQAAACB6BQACAAAABzg0MC42MzgBCAAAAAUAAAABMQEAAAALLTE5MzQ5NzgzODEDAAAAAzE2MAIAAAAENDQyMgQAAAABMAcAAAAJMy8yOS8yMDI2CAAAAAk1LzMxLzIwMjUJAAAAATCNgX96RI3eCM26gH5Ejd4IMkNJUS5OQVNEQVE6Q0FMTS5JUV9DRl9TSEFSRS45OTQuMjkvMDMvMjAyNi4uLlVTRC5IAQAAACB6BQACAAAACDAuOTcxNzEyAQgAAAAFAAAAATEBAAAACy0yMTQyNDI5MDM5AwAAAAMxNjACAAAABTQzOTIzBAAAAAEwBwAAAAkzLzI5LzIwMjYIAAAACDYvMS8yMDE5CQAAAAEwjYF/ekSN3gjJk4B+RI3eCDpDSVEuTkFTREFROkNBTE0uSVFfTkVUX0RFQlRfSVNTVUVELjEwMDAuMjkvMDMvMjAyNi4uLlVTRC5IAQAAACB6BQACAAAABi0yLjQ4MQEIAAAABQAAAAExAQAAAAstMTkzNDk3ODM4MQMAAAADMTYwAgAAAAQyMDAzBAAAAAEwBwAAAAkzLzI5LzIwMjYIAAAACTUvMzEvMjAyNQkAAAABMI2Bf3pEjd4IyWyAfkSN3ghCQ0lRLk5BU0RBUTpDQUxNLklRX09QRVJBVElOR19MRUFTRV9QQVlNRU5UUy45OTguMjkvMDMvMjAyNi4uLlVT</t>
  </si>
  <si>
    <t>RC5IAQAAACB6BQADAAAAAACNgX96RI3eCKoegH5Ejd4INkNJUS5OQVNEQVE6Q0FMTS5JUV9BTU9SVF9ESUNfQ0YuOTk2LjI5LzAzLzIwMjYuLi5VU0QuSAEAAAAgegUAAwAAAAAApjGAekSN3giHLoJ+RI3eCEZDSVEuTkFTREFROkNBTE0uSVFfU0FMRV9QUk9DRUVEU19SRU5UQUxfQVNTRVRTLjEwMDAuMjkvMDMvMjAyNi4uLlVTRC5IAQAAACB6BQADAAAAAACmMYB6RI3eCHYHgn5Ejd4IO0NJUS5OQVNEQVE6Q0FMTS5JUV9DQVNIX0lOVEVSRVNUX05FVC45OTQuMjkvMDMvMjAyNi4uLlVTRC5IAQAAACB6BQADAAAAAAAbWX96RI3eCGfggX5Ejd4IPENJUS5OQVNEQVE6Q0FMTS5JUV9DQVNIX0lOVEVSRVNUX09QRVIuOTk4LjI5LzAzLzIwMjYuLi5VU0QuSAEAAAAgegUAAwAAAAAAG1l/ekSN3ghPuYF+RI3eCDRDSVEuTkFTREFROkNBTE0uSVFfQ0FTSF9UQVhFUy45OTguMjkvMDMvMjAyNi4uLlVTRC5IAQAAACB6BQACAAAABzI1OC4yNDcBCAAAAAUAAAABMQEAAAALLTE5MzQ5Nzg0MjADAAAAAzE2MAIAAAAEMzA1MwQAAAABMAcAAAAJMy8yOS8yMDI2CAAAAAg2LzMvMjAyMwkAAAABMBtZf3pEjd4IK2uBfkSN3gg7Q0lRLk5BU0RBUTpDQUxNLklRX1RPVEFMX0RJVl9QQUlEX0NGLjk5Ni4yOS8wMy8yMDI2Li4uVVNELkgBAAAAIHoFAAIAAAAGLTEuNjUyAQgAAAAFAAAAATEBAAAACy0yMDM3MjQxNzIxAwAA</t>
  </si>
  <si>
    <t>AAMxNjACAAAABDIwMjIEAAAAATAHAAAACTMvMjkvMjAyNggAAAAJNS8yOS8yMDIxCQAAAAEw1wqAekSN3gjzQ4R+RI3eCCxDSVEuTkFTREFROkNBTE0uSVFfRlguOTk0LjI5LzAzLzIwMjYuLi5VU0QuSAEAAAAgegUAAwAAAAAApjGAekSN3ggju4N+RI3eCDlDSVEuTkFTREFROkNBTE0uSVFfTUlTQ19BREpVU1RfQ0YuMTAwMC4yOS8wMy8yMDI2Li4uVVNELkgBAAAAIHoFAAMAAAAAAKYxgHpEjd4I9JODfkSN3ghDQ0lRLk5BU0RBUTpDQUxNLklRX0dXX0lOVEFOX0FNT1JUX1BBUlRJQUxfQ0YuOTk4LjI5LzAzLzIwMjYuLi5VU0QuSAEAAAAgegUAAwAAAAAApjGAekSN3ggkNYN+RI3eCEZDSVEuTkFTREFROkNBTE0uSVFfREFfU1VQUExfQ0ZfRVhDTF9PUEVSX0xFQVNFUy45OTYuMjkvMDMvMjAyNi4uLlVTRC5IAQAAACB6BQACAAAABjU5LjQ3NwEIAAAABQAAAAExAQAAAAstMjAzNzI0MTcyMQMAAAADMTYwAgAAAAU0ODk4MwQAAAABMAcAAAAJMy8yOS8yMDI2CAAAAAk1LzI5LzIwMjEJAAAAATCmMYB6RI3eCPHSgn5Ejd4IPENJUS5OQVNEQVE6Q0FMTS5JUV9JTlZFU1RfU0VDVVJJVFlfQ0YuOTk4LjI5LzAzLzIwMjYuLi5VU0QuSAEAAAAgegUAAgAAAAgtMjM5LjEyMgEIAAAABQAAAAExAQAAAAstMTkzNDk3ODQyMAMAAAADMTYwAgAAAAQyMDI3BAAAAAEwBwAAAAkzLzI5LzIwMjYIAAAACDYvMy8yMDIz</t>
  </si>
  <si>
    <t>CQAAAAEw1wqAekSN3gjrBYZ+RI3eCDhDSVEuTkFTREFROkNBTE0uSVFfU1RfREVCVF9JU1NVRUQuOTk2LjI5LzAzLzIwMjYuLi5VU0QuSAEAAAAgegUAAwAAAAAA1wqAekSN3gi6fIV+RI3eCDhDSVEuTkFTREFROkNBTE0uSVFfTFRfREVCVF9SRVBBSUQuOTk0LjI5LzAzLzIwMjYuLi5VU0QuSAEAAAAgegUAAgAAAAYtMy43NTQBCAAAAAUAAAABMQEAAAALLTIxNDI0MjkwMzkDAAAAAzE2MAIAAAAEMjAzNgQAAAABMAcAAAAJMy8yOS8yMDI2CAAAAAg2LzEvMjAxOQkAAAABMNcKgHpEjd4IfS6FfkSN3gg8Q0lRLk5BU0RBUTpDQUxNLklRX1RPVEFMX0RFQlRfUkVQQUlELjEwMDAuMjkvMDMvMjAyNi4uLlVTRC5IAQAAACB6BQACAAAABi0yLjQ4MQEIAAAABQAAAAExAQAAAAstMTkzNDk3ODM4MQMAAAADMTYwAgAAAAQyMTY2BAAAAAEwBwAAAAkzLzI5LzIwMjYIAAAACTUvMzEvMjAyNQkAAAABMNcKgHpEjd4InweFfkSN3ggyQ0lRLk5BU0RBUTpDQUxNLklRX1BSRUZfUkVQLjk5OC4yOS8wMy8yMDI2Li4uVVNELkgBAAAAIHoFAAMAAAAAANcKgHpEjd4IP5KEfkSN3gg6Q0lRLk5BU0RBUTpDQUxNLklRX0NIQU5HRV9JTlZFTlRPUlkuOTk4LjI5LzAzLzIwMjYuLi5VU0QuSAEAAAAgegUAAgAAAActMjEuMTAyAQgAAAAFAAAAATEBAAAACy0xOTM0OTc4NDIwAwAAAAMxNjACAAAABDIwOTkEAAAAATAHAAAACTMv</t>
  </si>
  <si>
    <t>MjkvMjAyNggAAAAINi8zLzIwMjMJAAAAATCL4396RI3eCKM+h35Ejd4IOENJUS5OQVNEQVE6Q0FMTS5JUV9DSEFOR0VfREVGX1RBWC45OTYuMjkvMDMvMjAyNi4uLlVTRC5IAQAAACB6BQADAAAAAACL4396RI3eCKrwhn5Ejd4INENJUS5OQVNEQVE6Q0FMTS5JUV9DQVNIX09QRVIuMTAwMC4yOS8wMy8yMDI2Li4uVVNELkgBAAAAIHoFAAIAAAAIMTIyNC43MzQBCAAAAAUAAAABMQEAAAALLTE5MzQ5NzgzODEDAAAAAzE2MAIAAAAEMjAwNgQAAAABMAcAAAAJMy8yOS8yMDI2CAAAAAk1LzMxLzIwMjUJAAAAATCL4396RI3eCFiihn5Ejd4INUNJUS5OQVNEQVE6Q0FMTS5JUV9TQUxFX1BQRV9DRi45OTQuMjkvMDMvMjAyNi4uLlVTRC5IAQAAACB6BQACAAAABTEuNTc1AQgAAAAFAAAAATEBAAAACy0yMTQyNDI5MDM5AwAAAAMxNjACAAAABDIwNDIEAAAAATAHAAAACTMvMjkvMjAyNggAAAAINi8xLzIwMTkJAAAAATCL4396RI3eCFB7hn5Ejd4IOkNJUS5OQVNEQVE6Q0FMTS5JUV9DQVNIX0FDUVVJUkVfQ0YuMTAwMC4yOS8wMy8yMDI2Li4uVVNELkgBAAAAIHoFAAIAAAAILTExNi4xOTMBCAAAAAUAAAABMQEAAAALLTE5MzQ5NzgzODEDAAAAAzE2MAIAAAAEMjA1NwQAAAABMAcAAAAJMy8yOS8yMDI2CAAAAAk1LzMxLzIwMjUJAAAAATCL4396RI3eCDlUhn5Ejd4IP0NJUS5OQVNEQVE6Q0FMTS5JUV9BRFZBTkNF</t>
  </si>
  <si>
    <t>U19GT1JfU1VQUExJRVMuOTk1LjI5LzAzLzIwMjYuLi5VU0QuSAEAAAAgegUAAwAAAAAA+7AXekSN3gihq2x+RI3eCDlDSVEuTkFTREFROkNBTE0uSVFfSU5URVJDT01QQU5ZX0NBLjk5OC4yOS8wMy8yMDI2Li4uVVNELkgBAAAAIHoFAAMAAAAAAPuwF3pEjd4IgF1sfkSN3gg5Q0lRLk5BU0RBUTpDQUxNLklRX1NUT0NLX0JBU0VEX0NGLjEwMDAuMjkvMDMvMjAyNi4uLlVTRC5IAQAAACB6BQACAAAABTQuNTI3AQgAAAAFAAAAATEBAAAACy0xOTM0OTc4MzgxAwAAAAMxNjACAAAABDIxMjcEAAAAATAHAAAACTMvMjkvMjAyNggAAAAJNS8zMS8yMDI1CQAAAAEwi+N/ekSN3ghFMYh+RI3eCDtDSVEuTkFTREFROkNBTE0uSVFfUFJPVl9CQURfREVCVFNfQ0YuOTk0LjI5LzAzLzIwMjYuLi5VU0QuSAEAAAAgegUAAwAAAAAAi+N/ekSN3gj04od+RI3eCDhDSVEuTkFTREFROkNBTE0uSVFfT1RIRVJfT1BFUl9BQ1QuOTk4LjI5LzAzLzIwMjYuLi5VU0QuSAEAAAAgegUAAgAAAAYyMS42ODQBCAAAAAUAAAABMQEAAAALLTE5MzQ5Nzg0MjADAAAAAzE2MAIAAAAEMjA0NwQAAAABMAcAAAAJMy8yOS8yMDI2CAAAAAg2LzMvMjAyMwkAAAABMIvjf3pEjd4I57uHfkSN3ghPQ0lRLk5BU0RBUTpDQUxNLklRX0xJQUJJTElUSUVTX05FVFRJTkdfT1RIRVJfQURKVVNUTUVOVFMuOTk4LjI5LzAzLzIwMjYuLi5VU0QuSAEAAAAg</t>
  </si>
  <si>
    <t>egUAAwAAAAAA5mIXekSN3gji4G9+RI3eCDxDSVEuTkFTREFROkNBTE0uSVFfRklOX0RJVl9ERUJUX1RPVEFMLjk5OC4yOS8wMy8yMDI2Li4uVVNELkgBAAAAIHoFAAMAAAAAAOZiF3pEjd4IsmtvfkSN3gg/Q0lRLk5BU0RBUTpDQUxNLklRX0RFQlRfRVFVSVZfT1BFUl9MRUFTRS45OTkuMjkvMDMvMjAyNi4uLlVTRC5IAQAAACB6BQADAAAAAAACihd6RI3eCI/2bn5Ejd4IPUNJUS5OQVNEQVE6Q0FMTS5JUV9TVF9ERUJUX0RFUklWQVRJVkVTLjk5NS4yOS8wMy8yMDI2Li4uVVNELkgBAAAAIHoFAAMAAAAAAAKKF3pEjd4ISh9ufkSN3gg8Q0lRLk5BU0RBUTpDQUxNLklRX0dST1NTX0lOVEFOX0FTU0VUUy45OTkuMjkvMDMvMjAyNi4uLlVTRC5IAQAAACB6BQACAAAABjM3LjAyNgEIAAAABQAAAAExAQAAAAstMTkzNDk3ODQ4MAMAAAADMTYwAgAAAAUyNDI5MwQAAAABMAcAAAAJMy8yOS8yMDI2CAAAAAg2LzEvMjAyNAkAAAABMPuwF3pEjd4I7UdtfkSN3ghFQ0lRLk5BU0RBUTpDQUxNLklRX0RFRl9UQVhfVkFMVUFUSU9OX0FMTE9XQU5DRS45OTcuMjkvMDMvMjAyNi4uLlVTRC5IAQAAACB6BQADAAAAAACiaS16RI3eCLiicX5Ejd4IS0NJUS5OQVNEQVE6Q0FMTS5JUV9HRU5FUkFMX1BBUlRORVJfTUlOT1JJVFlfSU5URVJFU1QuOTk0LjI5LzAzLzIwMjYuLi5VU0QuSAEAAAAgegUAAwAAAAAAomktekSN3giP</t>
  </si>
  <si>
    <t>e3F+RI3eCFBDSVEuTkFTREFROkNBTE0uSVFfTElRVUlEQVRJT05fVkFMVUVfUFJFRkVSUkVEX05PTl9SRURFRU0uOTk2LjI5LzAzLzIwMjYuLi5VU0QuSAEAAAAgegUAAwAAAAAAomktekSN3giKLXF+RI3eCDhDSVEuTkFTREFROkNBTE0uSVFfQVNTRVRTX0xFVkVMXzIuOTk5LjI5LzAzLzIwMjYuLi5VU0QuSAEAAAAgegUAAgAAAAc1NzQuNDk5AKJpLXpEjd4IWN9wfkSN3gg9Q0lRLk5BU0RBUTpDQUxNLklRX0xJQUJJTElUSUVTX0xFVkVMXzEuOTk4LjI5LzAzLzIwMjYuLi5VU0QuSAEAAAAgegUAAwAAAAAA5mIXekSN3gg4VnB+RI3eCDZDSVEuTkFTREFROkNBTE0uSVFfRklOSVNIRURfSU5WLjk5OS4yOS8wMy8yMDI2Li4uVVNELkgBAAAAIHoFAAIAAAAHMTExLjc5NwEIAAAABQAAAAExAQAAAAstMTkzNDk3ODQ4MAMAAAADMTYwAgAAAAQzMDc1BAAAAAEwBwAAAAkzLzI5LzIwMjYIAAAACDYvMS8yMDI0CQAAAAEwwFUtekSN3ggUeHN+RI3eCDNDSVEuTkFTREFROkNBTE0uSVFfQlVJTERJTkdTLjk5My4yOS8wMy8yMDI2Li4uVVNELkgBAAAAIHoFAAIAAAAGMzYwLjAzAQgAAAAFAAAAATEBAAAACjIwNDU3NDkzMTADAAAAAzE2MAIAAAAEMzAyMwQAAAABMAcAAAAJMy8yOS8yMDI2CAAAAAg2LzIvMjAxOAkAAAABMMBVLXpEjd4IThZzfkSN3ggyQ0lRLk5BU0RBUTpDQUxNLklRX1NPRlRXQVJFLjk5OC4y</t>
  </si>
  <si>
    <t>OS8wMy8yMDI2Li4uVVNELkgBAAAAIHoFAAMAAAAAAMBVLXpEjd4IG8hyfkSN3gg/Q0lRLk5BU0RBUTpDQUxNLklRX0xFQVNFSE9MRF9JTVBST1ZFTUVOVC45OTMuMjkvMDMvMjAyNi4uLlVTRC5IAQAAACB6BQADAAAAAADAVS16RI3eCN55cn5Ejd4IRUNJUS5OQVNEQVE6Q0FMTS5JUV9GSU5fRElWX01JTk9SSVRZX0lOVF9SRURFRU0uOTk3LjI5LzAzLzIwMjYuLi5VU0QuSAEAAAAgegUAAwAAAAAAwFUtekSN3gj4K3J+RI3eCD9DSVEuTkFTREFROkNBTE0uSVFfQURWQU5DRVNfRk9SX1NVUFBMSUVTLjk5Ni4yOS8wMy8yMDI2Li4uVVNELkgBAAAAIHoFAAMAAAAAAPuwF3pEjd4IoatsfkSN3gg6Q0lRLk5BU0RBUTpDQUxNLklRX0lOVEVSQ09NUEFOWV9DQS4xMDAwLjI5LzAzLzIwMjYuLi5VU0QuSAEAAAAgegUAAwAAAAAA+7AXekSN3ghxNmx+RI3eCDpDSVEuTkFTREFROkNBTE0uSVFfQUxMT1dfRE9VQlRfQUNDVC45OTMuMjkvMDMvMjAyNi4uLlVTRC5IAQAAACB6BQACAAAABTAuMjY4AQgAAAAFAAAAATEBAAAACjIwNDU3NDkzMTADAAAAAzE2MAIAAAAEMzAxMgQAAAABMAcAAAAJMy8yOS8yMDI2CAAAAAg2LzIvMjAxOAkAAAABMMEuLXpEjd4IrxR0fkSN3gg2Q0lRLk5BU0RBUTpDQUxNLklRX0FSX1VOQklMTEVELjEwMDAuMjkvMDMvMjAyNi4uLlVTRC5IAQAAACB6BQADAAAAAADBLi16RI3eCJzGc35E</t>
  </si>
  <si>
    <t>jd4IL0NJUS5OQVNEQVE6Q0FMTS5JUV9MSUZPUi45OTcuMjkvMDMvMjAyNi4uLlVTRC5IAQAAACB6BQADAAAAAADBLi16RI3eCFSfc35Ejd4IOUNJUS5OQVNEQVE6Q0FMTS5JUV9BU1NFVFNfTEVWRUxfMi4xMDAwLjI5LzAzLzIwMjYuLi5VU0QuSAEAAAAgegUAAgAAAAc4OTIuNzA4AKJpLXpEjd4IWN9wfkSN3ghPQ0lRLk5BU0RBUTpDQUxNLklRX0xJQUJJTElUSUVTX05FVFRJTkdfT1RIRVJfQURKVVNUTUVOVFMuOTk5LjI5LzAzLzIwMjYuLi5VU0QuSAEAAAAgegUAAwAAAAAA5mIXekSN3gji4G9+RI3eCEBDSVEuTkFTREFROkNBTE0uSVFfREVCVF9FUVVJVl9PUEVSX0xFQVNFLjEwMDAuMjkvMDMvMjAyNi4uLlVTRC5IAQAAACB6BQADAAAAAAACihd6RI3eCErPbn5Ejd4IPUNJUS5OQVNEQVE6Q0FMTS5JUV9TVF9ERUJUX0RFUklWQVRJVkVTLjk5Ni4yOS8wMy8yMDI2Li4uVVNELkgBAAAAIHoFAAMAAAAAAAKKF3pEjd4ISh9ufkSN3gg8Q0lRLk5BU0RBUTpDQUxNLklRX0dST1NTX0lOVEFOX0FTU0VUUy45OTYuMjkvMDMvMjAyNi4uLlVTRC5IAQAAACB6BQADAAAAAAD7sBd6RI3eCNIgbX5Ejd4IP0NJUS5OQVNEQVE6Q0FMTS5JUV9MRUFTRUhPTERfSU1QUk9WRU1FTlQuOTk0LjI5LzAzLzIwMjYuLi5VU0QuSAEAAAAgegUAAwAAAAAAwFUtekSN3gjeeXJ+RI3eCEVDSVEuTkFTREFROkNBTE0uSVFfRklO</t>
  </si>
  <si>
    <t>X0RJVl9NSU5PUklUWV9JTlRfUkVERUVNLjk5OC4yOS8wMy8yMDI2Li4uVVNELkgBAAAAIHoFAAMAAAAAAMBVLXpEjd4I+CtyfkSN3ghFQ0lRLk5BU0RBUTpDQUxNLklRX0RFRl9UQVhfVkFMVUFUSU9OX0FMTE9XQU5DRS45OTguMjkvMDMvMjAyNi4uLlVTRC5IAQAAACB6BQADAAAAAACiaS16RI3eCLiicX5Ejd4IS0NJUS5OQVNEQVE6Q0FMTS5JUV9HRU5FUkFMX1BBUlRORVJfTUlOT1JJVFlfSU5URVJFU1QuOTk4LjI5LzAzLzIwMjYuLi5VU0QuSAEAAAAgegUAAwAAAAAAomktekSN3giZVHF+RI3eCE5DSVEuTkFTREFROkNBTE0uSVFfTElRVUlEQVRJT05fVkFMVUVfUFJFRkVSUkVEX0NPTlZFUlQuMTAwMC4yOS8wMy8yMDI2Li4uVVNELkgBAAAAIHoFAAMAAAAAAKJpLXpEjd4Iii1xfkSN3ghAQ0lRLk5BU0RBUTpDQUxNLklRX1RPVEFMX0RFQlRfTk9OX0NVUlJFTlQuOTk4LjI5LzAzLzIwMjYuLi5VU0QuSAEAAAAgegUAAwAAAAAAwS4tekSN3gjxsHR+RI3eCDlDSVEuTkFTREFROkNBTE0uSVFfTkVUX1dPUktJTkdfQ0FQLjk5Ny4yOS8wMy8yMDI2Li4uVVNELkgBAAAAIHoFAAIAAAAHMzAyLjMzMgEIAAAABQAAAAExAQAAAAstMTk4NjcwODQzMwMAAAADMTYwAgAAAAQxMzExBAAAAAEwBwAAAAkzLzI5LzIwMjYIAAAACTUvMjgvMjAyMgkAAAABMMEuLXpEjd4IrxR0fkSN3ggvQ0lRLk5BU0RBUTpDQUxN</t>
  </si>
  <si>
    <t>LklRX0xJRk9SLjk5OC4yOS8wMy8yMDI2Li4uVVNELkgBAAAAIHoFAAMAAAAAAMEuLXpEjd4InMZzfkSN3gg3Q0lRLk5BU0RBUTpDQUxNLklRX0ZJTklTSEVEX0lOVi4xMDAwLjI5LzAzLzIwMjYuLi5VU0QuSAEAAAAgegUAAgAAAAcxMjkuMTYzAQgAAAAFAAAAATEBAAAACy0xOTM0OTc4MzgxAwAAAAMxNjACAAAABDMwNzUEAAAAATAHAAAACTMvMjkvMjAyNggAAAAJNS8zMS8yMDI1CQAAAAEwwFUtekSN3ggUeHN+RI3eCDNDSVEuTkFTREFROkNBTE0uSVFfQlVJTERJTkdTLjk5NC4yOS8wMy8yMDI2Li4uVVNELkgBAAAAIHoFAAIAAAAHMzcwLjQ1MQEIAAAABQAAAAExAQAAAAstMjE0MjQyOTAzOQMAAAADMTYwAgAAAAQzMDIzBAAAAAEwBwAAAAkzLzI5LzIwMjYIAAAACDYvMS8yMDE5CQAAAAEwwFUtekSN3ghOFnN+RI3eCD9DSVEuTkFTREFROkNBTE0uSVFfTlBQRV9FWENMX09QRVJfTEVBU0VTLjk5NC4yOS8wMy8yMDI2Li4uVVNELkgBAAAAIHoFAAIAAAAHNDU2LjI5NAEIAAAABQAAAAExAQAAAAstMjE0MjQyOTAzOQMAAAADMTYwAgAAAAU0ODk3NgQAAAABMAcAAAAJMy8yOS8yMDI2CAAAAAg2LzEvMjAxOQkAAAABMLoHLXpEjd4I+ft2fkSN3ghCQ0lRLk5BU0RBUTpDQUxNLklRX0ZJTkFOQ0VfTEVBU0VTX0xPTkdfVEVSTS45OTUuMjkvMDMvMjAyNi4uLlVTRC5IAQAAACB6BQACAAAABTAuNjUyAQgA</t>
  </si>
  <si>
    <t>AAAFAAAAATEBAAAACy0yMDg4MzQ3NDY5AwAAAAMxNjACAAAABTQ4OTkxBAAAAAEwBwAAAAkzLzI5LzIwMjYIAAAACTUvMzAvMjAyMAkAAAABMLoHLXpEjd4I2NR2fkSN3ghAQ0lRLk5BU0RBUTpDQUxNLklRX1RPVEFMX0RFQlRfRVhDTF9MRUFTRVMuOTk5LjI5LzAzLzIwMjYuLi5VU0QuSAEAAAAgegUAAwAAAAAAugctekSN3gh51nV+RI3eCC1DSVEuTkFTREFROkNBTE0uSVFfVEJWLjk5OC4yOS8wMy8yMDI2Li4uVVNELkgBAAAAIHoFAAIAAAAIMTU1MS4xNzgBCAAAAAUAAAABMQEAAAALLTE5MzQ5Nzg0MjADAAAAAzE2MAIAAAAEMTMxMAQAAAABMAcAAAAJMy8yOS8yMDI2CAAAAAg2LzMvMjAyMwkAAAABMMEuLXpEjd4ISGF1fkSN3gg0Q0lRLk5BU0RBUTpDQUxNLklRX1RPVEFMX0RFQlQuOTk0LjI5LzAzLzIwMjYuLi5VU0QuSAEAAAAgegUAAgAAAAUyLjU1NAEIAAAABQAAAAExAQAAAAstMjE0MjQyOTAzOQMAAAADMTYwAgAAAAQ0MTczBAAAAAEwBwAAAAkzLzI5LzIwMjYIAAAACDYvMS8yMDE5CQAAAAEwwS4tekSN3ggrE3V+RI3eCDtDSVEuTkFTREFROkNBTE0uSVFfVE9UQUxfTElBQl9FUVVJVFkuOTk1LjI5LzAzLzIwMjYuLi5VU0QuSAEAAAAgegUAAgAAAAgxMjA2LjY5NAEIAAAABQAAAAExAQAAAAstMjA4ODM0NzQ2OQMAAAADMTYwAgAAAAQxMDEzBAAAAAEwBwAAAAkzLzI5LzIwMjYIAAAACTUv</t>
  </si>
  <si>
    <t>MzAvMjAyMAkAAAABMJbgLHpEjd4ITUt4fkSN3gg3Q0lRLk5BU0RBUTpDQUxNLklRX1JVQV9BQ0NVTV9ERVAuOTk2LjI5LzAzLzIwMjYuLi5VU0QuSAEAAAAgegUAAwAAAAAAluAsekSN3gg2JHh+RI3eCEFDSVEuTkFTREFROkNBTE0uSVFfUlVBX0NBUElUQUxfTEVBU0VfR1JPU1MuOTk3LjI5LzAzLzIwMjYuLi5VU0QuSAEAAAAgegUAAwAAAAAAluAsekSN3ghY93d+RI3eCD9DSVEuTkFTREFROkNBTE0uSVFfUlVBX0NBUElUQUxfTEVBU0VfTkVULjk5OS4yOS8wMy8yMDI2Li4uVVNELkgBAAAAIHoFAAMAAAAAAJbgLHpEjd4Ixah3fkSN3gg/Q0lRLk5BU0RBUTpDQUxNLklRX0dQUEVfRVhDTF9PUEVSX0xFQVNFUy45OTMuMjkvMDMvMjAyNi4uLlVTRC5IAQAAACB6BQACAAAABzkzOS4wOTEBCAAAAAUAAAABMQEAAAAKMjA0NTc0OTMxMAMAAAADMTYwAgAAAAU0ODk3NAQAAAABMAcAAAAJMy8yOS8yMDI2CAAAAAg2LzIvMjAxOAkAAAABMLoHLXpEjd4IEUp3fkSN3gg6Q0lRLk5BU0RBUTpDQUxNLklRX0ZJTl9ESVZfTElBQl9MVC4xMDAwLjI5LzAzLzIwMjYuLi5VU0QuSAEAAAAgegUAAwAAAAAADaeAekSN3ghZW3p+RI3eCDlDSVEuTkFTREFROkNBTE0uSVFfUFJFRl9OT05fUkVERUVNLjk5My4yOS8wMy8yMDI2Li4uVVNELkgBAAAAIHoFAAMAAAAAAA2ngHpEjd4Inpd5fkSN3gg0Q0lRLk5BU0RBUTpDQUxN</t>
  </si>
  <si>
    <t>LklRX1BSRUZfT1RIRVIuOTk1LjI5LzAzLzIwMjYuLi5VU0QuSAEAAAAgegUAAwAAAAAAirksekSN3gi1XHl+RI3eCDBDSVEuTkFTREFROkNBTE0uSVFfQ09NTU9OLjk5Ny4yOS8wMy8yMDI2Li4uVVNELkgBAAAAIHoFAAIAAAAFMC43NTEBCAAAAAUAAAABMQEAAAALLTE5ODY3MDg0MzMDAAAAAzE2MAIAAAAEMTEwMwQAAAABMAcAAAAJMy8yOS8yMDI2CAAAAAk1LzI4LzIwMjIJAAAAATCKuSx6RI3eCKw1eX5Ejd4IO0NJUS5OQVNEQVE6Q0FMTS5JUV9NSU5PUklUWV9JTlRFUkVTVC45OTMuMjkvMDMvMjAyNi4uLlVTRC5IAQAAACB6BQACAAAABTIuMzQ5AQgAAAAFAAAAATEBAAAACjIwNDU3NDkzMTADAAAAAzE2MAIAAAAEMTA1MgQAAAABMAcAAAAJMy8yOS8yMDI2CAAAAAg2LzIvMjAxOAkAAAABMJbgLHpEjd4IbZl4fkSN3gg8Q0lRLk5BU0RBUTpDQUxNLklRX0dST1NTX0lOVEFOX0FTU0VUUy45OTguMjkvMDMvMjAyNi4uLlVTRC5IAQAAACB6BQACAAAABjQxLjQ5OAEIAAAABQAAAAExAQAAAAstMTkzNDk3ODQyMAMAAAADMTYwAgAAAAUyNDI5MwQAAAABMAcAAAAJMy8yOS8yMDI2CAAAAAg2LzMvMjAyMwkAAAABMPuwF3pEjd4Is1ttfkSN3gg9Q0lRLk5BU0RBUTpDQUxNLklRX0NVUlJFTlRfUE9SVF9MRUFTRVMuOTkzLjI5LzAzLzIwMjYuLi5VU0QuSAEAAAAgegUAAwAAAAAA2X+AekSN3gizqHt+RI3e</t>
  </si>
  <si>
    <t>CD5DSVEuTkFTREFROkNBTE0uSVFfRklOX0RJVl9MSUFCX0NVUlJFTlQuOTk2LjI5LzAzLzIwMjYuLi5VU0QuSAEAAAAgegUAAwAAAAAA2X+AekSN3ggRgXt+RI3eCDFDSVEuTkFTREFROkNBTE0uSVFfTFRfREVCVC45OTUuMjkvMDMvMjAyNi4uLlVTRC5IAQAAACB6BQADAAAAAAANp4B6RI3eCFypen5Ejd4IOkNJUS5OQVNEQVE6Q0FMTS5JUV9MT05HX1RFUk1fTEVBU0VTLjk5OS4yOS8wMy8yMDI2Li4uVVNELkgBAAAAIHoFAAMAAAAAAA2ngHpEjd4IQIJ6fkSN3ghQQ0lRLk5BU0RBUTpDQUxNLklRX0xJQUJJTElUSUVTX05FVFRJTkdfT1RIRVJfQURKVVNUTUVOVFMuMTAwMC4yOS8wMy8yMDI2Li4uVVNELkgBAAAAIHoFAAMAAAAAAOZiF3pEjd4I4uBvfkSN3gg8Q0lRLk5BU0RBUTpDQUxNLklRX0RFQlRfRVFVSVZfTkVUX1BCTy45OTguMjkvMDMvMjAyNi4uLlVTRC5IAQAAACB6BQACAAAAAzUuNgEIAAAABQAAAAExAQAAAAstMTkzNDk3ODQyMAMAAAADMTYwAgAAAAUyMTY3OQQAAAABMAcAAAAJMy8yOS8yMDI2CAAAAAg2LzMvMjAyMwkAAAABMAKKF3pEjd4Ij/ZufkSN3gg9Q0lRLk5BU0RBUTpDQUxNLklRX1RPVEFMX0RFQlRfRVhDTF9GSU4uOTk3LjI5LzAzLzIwMjYuLi5VU0QuSAEAAAAgegUAAwAAAAAAAooXekSN3gh5lG5+RI3eCD1DSVEuTkFTREFROkNBTE0uSVFfU1RfREVCVF9ERVJJVkFUSVZF</t>
  </si>
  <si>
    <t>Uy45OTkuMjkvMDMvMjAyNi4uLlVTRC5IAQAAACB6BQADAAAAAAACihd6RI3eCEofbn5Ejd4IRUNJUS5OQVNEQVE6Q0FMTS5JUV9ERVJJVkFUSVZFX0xJQUJfTk9OX0NVUlJFTlQuOTkzLjI5LzAzLzIwMjYuLi5VU0QuSAEAAAAgegUAAwAAAAAAAooXekSN3ggm0W1+RI3eCC5DSVEuTkFTREFROkNBTE0uSVFfTEFORC45OTguMjkvMDMvMjAyNi4uLlVTRC5IAQAAACB6BQACAAAABzExNy4yNzkBCAAAAAUAAAABMQEAAAALLTE5MzQ5Nzg0MjADAAAAAzE2MAIAAAAEMzA5OAQAAAABMAcAAAAJMy8yOS8yMDI2CAAAAAg2LzMvMjAyMwkAAAABMMBVLXpEjd4IMD1zfkSN3ggyQ0lRLk5BU0RBUTpDQUxNLklRX1NPRlRXQVJFLjk5My4yOS8wMy8yMDI2Li4uVVNELkgBAAAAIHoFAAMAAAAAAMBVLXpEjd4IFu9yfkSN3ggtQ0lRLk5BU0RBUTpDQUxNLklRX0NJUC45OTcuMjkvMDMvMjAyNi4uLlVTRC5IAQAAACB6BQACAAAABjcxLjk2NwEIAAAABQAAAAExAQAAAAstMTk4NjcwODQzMwMAAAADMTYwAgAAAAQzMDMzBAAAAAEwBwAAAAkzLzI5LzIwMjYIAAAACTUvMjgvMjAyMgkAAAABMMBVLXpEjd4I3nlyfkSN3ghFQ0lRLk5BU0RBUTpDQUxNLklRX0ZJTl9ESVZfTUlOT1JJVFlfSU5UX1JFREVFTS45OTkuMjkvMDMvMjAyNi4uLlVTRC5IAQAAACB6BQADAAAAAADAVS16RI3eCNBScn5Ejd4IRUNJUS5OQVNEQVE6Q0FM</t>
  </si>
  <si>
    <t>TS5JUV9ERUZfVEFYX1ZBTFVBVElPTl9BTExPV0FOQ0UuOTk5LjI5LzAzLzIwMjYuLi5VU0QuSAEAAAAgegUAAwAAAAAAomktekSN3gh63XF+RI3eCEBDSVEuTkFTREFROkNBTE0uSVFfVE9UQUxfREVCVF9OT05fQ1VSUkVOVC45OTkuMjkvMDMvMjAyNi4uLlVTRC5IAQAAACB6BQADAAAAAADBLi16RI3eCNyJdH5Ejd4IM0NJUS5OQVNEQVE6Q0FMTS5JUV9UT1RBTF9DQVAuOTkzLjI5LzAzLzIwMjYuLi5VU0QuSAEAAAAgegUAAgAAAAc5NjEuNzcyAQgAAAAFAAAAATEBAAAACjIwNDU3NDkzMTADAAAAAzE2MAIAAAAENDE3NQQAAAABMAcAAAAJMy8yOS8yMDI2CAAAAAg2LzIvMjAxOAkAAAABMMEuLXpEjd4IzGJ0fkSN3gg5Q0lRLk5BU0RBUTpDQUxNLklRX05FVF9XT1JLSU5HX0NBUC45OTguMjkvMDMvMjAyNi4uLlVTRC5IAQAAACB6BQACAAAABjI5NC4yOAEIAAAABQAAAAExAQAAAAstMTkzNDk3ODQyMAMAAAADMTYwAgAAAAQxMzExBAAAAAEwBwAAAAkzLzI5LzIwMjYIAAAACDYvMy8yMDIzCQAAAAEwwS4tekSN3givFHR+RI3eCDVDSVEuTkFTREFROkNBTE0uSVFfQVJfVU5CSUxMRUQuOTkzLjI5LzAzLzIwMjYuLi5VU0QuSAEAAAAgegUAAwAAAAAAwS4tekSN3gicxnN+RI3eCC9DSVEuTkFTREFROkNBTE0uSVFfTElGT1IuOTk5LjI5LzAzLzIwMjYuLi5VU0QuSAEAAAAgegUAAwAAAAAAwS4tekSN3gic</t>
  </si>
  <si>
    <t>xnN+RI3eCFBDSVEuTkFTREFROkNBTE0uSVFfQ1VSUkVOVF9QT1JUSU9OX09QRVJfTEVBU0VfTElBQklMSVRJRVMuOTk2LjI5LzAzLzIwMjYuLi5VU0QuSAEAAAAgegUAAgAAAAUwLjY5MQEIAAAABQAAAAExAQAAAAstMjAzNzI0MTcyMQMAAAADMTYwAgAAAAU0ODM4NQQAAAABMAcAAAAJMy8yOS8yMDI2CAAAAAk1LzI5LzIwMjEJAAAAATC6By16RI3eCL+tdn5Ejd4IQUNJUS5OQVNEQVE6Q0FMTS5JUV9UT1RBTF9ERUJUX0VYQ0xfTEVBU0VTLjEwMDAuMjkvMDMvMjAyNi4uLlVTRC5IAQAAACB6BQADAAAAAAC6By16RI3eCHnWdX5Ejd4IM0NJUS5OQVNEQVE6Q0FMTS5JUV9UQlZfU0hBUkUuOTkzLjI5LzAzLzIwMjYuLi5VU0QuSAEAAAAgegUAAgAAAAkxOC4zMzE5NDgBCAAAAAUAAAABMQEAAAAKMjA0NTc0OTMxMAMAAAADMTYwAgAAAAQ0MTU2BAAAAAEwBwAAAAkzLzI5LzIwMjYIAAAACDYvMi8yMDE4CQAAAAEwwS4tekSN3ghriHV+RI3eCC5DSVEuTkFTREFROkNBTE0uSVFfVEJWLjEwMDAuMjkvMDMvMjAyNi4uLlVTRC5IAQAAACB6BQACAAAACDI0OTguNjkxAQgAAAAFAAAAATEBAAAACy0xOTM0OTc4MzgxAwAAAAMxNjACAAAABDEzMTAEAAAAATAHAAAACTMvMjkvMjAyNggAAAAJNS8zMS8yMDI1CQAAAAEwwS4tekSN3ghIYXV+RI3eCDRDSVEuTkFTREFROkNBTE0uSVFfVE9UQUxfREVCVC45OTUuMjkv</t>
  </si>
  <si>
    <t>MDMvMjAyNi4uLlVTRC5IAQAAACB6BQACAAAABTMuMzg4AQgAAAAFAAAAATEBAAAACy0yMDg4MzQ3NDY5AwAAAAMxNjACAAAABDQxNzMEAAAAATAHAAAACTMvMjkvMjAyNggAAAAJNS8zMC8yMDIwCQAAAAEwwS4tekSN3ggrE3V+RI3eCDtDSVEuTkFTREFROkNBTE0uSVFfVE9UQUxfTElBQl9FUVVJVFkuOTk2LjI5LzAzLzIwMjYuLi5VU0QuSAEAAAAgegUAAgAAAAgxMjI5LjE3NAEIAAAABQAAAAExAQAAAAstMjAzNzI0MTcyMQMAAAADMTYwAgAAAAQxMDEzBAAAAAEwBwAAAAkzLzI5LzIwMjYIAAAACTUvMjkvMjAyMQkAAAABMJbgLHpEjd4IWHJ4fkSN3gg0Q0lRLk5BU0RBUTpDQUxNLklRX1JVQV9HUk9TUy4xMDAwLjI5LzAzLzIwMjYuLi5VU0QuSAEAAAAgegUAAwAAAAAAluAsekSN3gg2JHh+RI3eCD9DSVEuTkFTREFROkNBTE0uSVFfR1BQRV9FWENMX09QRVJfTEVBU0VTLjk5NC4yOS8wMy8yMDI2Li4uVVNELkgBAAAAIHoFAAIAAAAIMTAxMS45MzIBCAAAAAUAAAABMQEAAAALLTIxNDI0MjkwMzkDAAAAAzE2MAIAAAAFNDg5NzQEAAAAATAHAAAACTMvMjkvMjAyNggAAAAINi8xLzIwMTkJAAAAATC6By16RI3eCBFKd35Ejd4IP0NJUS5OQVNEQVE6Q0FMTS5JUV9OUFBFX0VYQ0xfT1BFUl9MRUFTRVMuOTk1LjI5LzAzLzIwMjYuLi5VU0QuSAEAAAAgegUAAgAAAAc1NTguMDUzAQgAAAAFAAAAATEBAAAA</t>
  </si>
  <si>
    <t>Cy0yMDg4MzQ3NDY5AwAAAAMxNjACAAAABTQ4OTc2BAAAAAEwBwAAAAkzLzI5LzIwMjYIAAAACTUvMzAvMjAyMAkAAAABMLoHLXpEjd4I+ft2fkSN3ghCQ0lRLk5BU0RBUTpDQUxNLklRX0ZJTkFOQ0VfTEVBU0VTX0xPTkdfVEVSTS45OTYuMjkvMDMvMjAyNi4uLlVTRC5IAQAAACB6BQACAAAABTAuNDM4AQgAAAAFAAAAATEBAAAACy0yMDM3MjQxNzIxAwAAAAMxNjACAAAABTQ4OTkxBAAAAAEwBwAAAAkzLzI5LzIwMjYIAAAACTUvMjkvMjAyMQkAAAABMLoHLXpEjd4I2NR2fkSN3ghFQ0lRLk5BU0RBUTpDQUxNLklRX0RFUklWQVRJVkVfTElBQl9OT05fQ1VSUkVOVC45OTQuMjkvMDMvMjAyNi4uLlVTRC5IAQAAACB6BQADAAAAAAACihd6RI3eCCbRbX5Ejd4IOUNJUS5OQVNEQVE6Q0FMTS5JUV9QUkVGX05PTl9SRURFRU0uOTk0LjI5LzAzLzIwMjYuLi5VU0QuSAEAAAAgegUAAwAAAAAADaeAekSN3giel3l+RI3eCDRDSVEuTkFTREFROkNBTE0uSVFfUFJFRl9PVEhFUi45OTYuMjkvMDMvMjAyNi4uLlVTRC5IAQAAACB6BQADAAAAAACKuSx6RI3eCNyDeX5Ejd4INkNJUS5OQVNEQVE6Q0FMTS5JUV9QUkVGX0VRVUlUWS4xMDAwLjI5LzAzLzIwMjYuLi5VU0QuSAEAAAAgegUAAwAAAAAAirksekSN3gisNXl+RI3eCDtDSVEuTkFTREFROkNBTE0uSVFfTUlOT1JJVFlfSU5URVJFU1QuOTk0LjI5LzAzLzIwMjYu</t>
  </si>
  <si>
    <t>Li5VU0QuSAEAAAAgegUAAgAAAAUzLjE4MgEIAAAABQAAAAExAQAAAAstMjE0MjQyOTAzOQMAAAADMTYwAgAAAAQxMDUyBAAAAAEwBwAAAAkzLzI5LzIwMjYIAAAACDYvMS8yMDE5CQAAAAEwluAsekSN3ghtmXh+RI3eCEZDSVEuTkFTREFROkNBTE0uSVFfRklOX0RJVl9NSU5PUklUWV9JTlRfUkVERUVNLjEwMDAuMjkvMDMvMjAyNi4uLlVTRC5IAQAAACB6BQADAAAAAADAVS16RI3eCNBScn5Ejd4IPUNJUS5OQVNEQVE6Q0FMTS5JUV9MSUFCSUxJVElFU19MRVZFTF8xLjk5My4yOS8wMy8yMDI2Li4uVVNELkgBAAAAIHoFAAMAAAAAAOZiF3pEjd4I92lwfkSN3ghPQ0lRLk5BU0RBUTpDQUxNLklRX0xJQUJJTElUSUVTX05FVFRJTkdfT1RIRVJfQURKVVNUTUVOVFMuOTkzLjI5LzAzLzIwMjYuLi5VU0QuSAEAAAAgegUAAwAAAAAA5mIXekSN3gji4G9+RI3eCD1DSVEuTkFTREFROkNBTE0uSVFfREVCVF9FUVVJVl9ORVRfUEJPLjEwMDAuMjkvMDMvMjAyNi4uLlVTRC5IAQAAACB6BQADAAAAAAACihd6RI3eCMQdb35Ejd4IQENJUS5OQVNEQVE6Q0FMTS5JUV9SRVNUUklDVEVEX0NBU0hfVE9UQUwuMTAwMC4yOS8wMy8yMDI2Li4uVVNELkgBAAAAIHoFAAIAAAABMQEIAAAABQAAAAExAQAAAAstMTkzNDk3ODM4MQMAAAADMTYwAgAAAAUyNDE5MgQAAAABMAcAAAAJMy8yOS8yMDI2CAAAAAk1LzMxLzIwMjUJAAAA</t>
  </si>
  <si>
    <t>ATACihd6RI3eCHmUbn5Ejd4IMENJUS5OQVNEQVE6Q0FMTS5JUV9MSUZPUi4xMDAwLjI5LzAzLzIwMjYuLi5VU0QuSAEAAAAgegUAAwAAAAAAwS4tekSN3gicxnN+RI3eCDZDSVEuTkFTREFROkNBTE0uSVFfRklOSVNIRURfSU5WLjk5My4yOS8wMy8yMDI2Li4uVVNELkgBAAAAIHoFAAIAAAAFNzIuMDUBCAAAAAUAAAABMQEAAAAKMjA0NTc0OTMxMAMAAAADMTYwAgAAAAQzMDc1BAAAAAEwBwAAAAkzLzI5LzIwMjYIAAAACDYvMi8yMDE4CQAAAAEwwFUtekSN3ggUeHN+RI3eCC9DSVEuTkFTREFROkNBTE0uSVFfTEFORC4xMDAwLjI5LzAzLzIwMjYuLi5VU0QuSAEAAAAgegUAAgAAAAcxNTguNjI3AQgAAAAFAAAAATEBAAAACy0xOTM0OTc4MzgxAwAAAAMxNjACAAAABDMwOTgEAAAAATAHAAAACTMvMjkvMjAyNggAAAAJNS8zMS8yMDI1CQAAAAEwwFUtekSN3ggwPXN+RI3eCDJDSVEuTkFTREFROkNBTE0uSVFfU09GVFdBUkUuOTk0LjI5LzAzLzIwMjYuLi5VU0QuSAEAAAAgegUAAwAAAAAAwFUtekSN3ggW73J+RI3eCC1DSVEuTkFTREFROkNBTE0uSVFfQ0lQLjk5OC4yOS8wMy8yMDI2Li4uVVNELkgBAAAAIHoFAAIAAAAGOTguNjA1AQgAAAAFAAAAATEBAAAACy0xOTM0OTc4NDIwAwAAAAMxNjACAAAABDMwMzMEAAAAATAHAAAACTMvMjkvMjAyNggAAAAINi8zLzIwMjMJAAAAATDAVS16RI3eCA2hcn5Ejd4I</t>
  </si>
  <si>
    <t>M0NJUS5OQVNEQVE6Q0FMTS5JUV9UQlZfU0hBUkUuOTk1LjI5LzAzLzIwMjYuLi5VU0QuSAEAAAAgegUAAgAAAAkxOS41MDQ5NDEBCAAAAAUAAAABMQEAAAALLTIwODgzNDc0NjkDAAAAAzE2MAIAAAAENDE1NgQAAAABMAcAAAAJMy8yOS8yMDI2CAAAAAk1LzMwLzIwMjAJAAAAATDBLi16RI3eCGqvdX5Ejd4INENJUS5OQVNEQVE6Q0FMTS5JUV9DQVNIX1NIQVJFLjk5OC4yOS8wMy8yMDI2Li4uVVNELkgBAAAAIHoFAAIAAAAINS45Nzc5NDYBCAAAAAUAAAABMQEAAAALLTE5MzQ5Nzg0MjADAAAAAzE2MAIAAAAENDM4MQQAAAABMAcAAAAJMy8yOS8yMDI2CAAAAAg2LzMvMjAyMwkAAAABMMEuLXpEjd4IKxN1fkSN3ghBQ0lRLk5BU0RBUTpDQUxNLklRX1RPVEFMX0RFQlRfTk9OX0NVUlJFTlQuMTAwMC4yOS8wMy8yMDI2Li4uVVNELkgBAAAAIHoFAAMAAAAAAMEuLXpEjd4I3Il0fkSN3ggzQ0lRLk5BU0RBUTpDQUxNLklRX1RPVEFMX0NBUC45OTQuMjkvMDMvMjAyNi4uLlVTRC5IAQAAACB6BQACAAAABjk5Mi4zNgEIAAAABQAAAAExAQAAAAstMjE0MjQyOTAzOQMAAAADMTYwAgAAAAQ0MTc1BAAAAAEwBwAAAAkzLzI5LzIwMjYIAAAACDYvMS8yMDE5CQAAAAEwwS4tekSN3gjMYnR+RI3eCDVDSVEuTkFTREFROkNBTE0uSVFfQVJfVU5CSUxMRUQuOTk0LjI5LzAzLzIwMjYuLi5VU0QuSAEAAAAgegUAAwAAAAAA</t>
  </si>
  <si>
    <t>wS4tekSN3gie7XN+RI3eCD9DSVEuTkFTREFROkNBTE0uSVFfR1BQRV9FWENMX09QRVJfTEVBU0VTLjk5NS4yOS8wMy8yMDI2Li4uVVNELkgBAAAAIHoFAAIAAAAIMTE0My4zNDQBCAAAAAUAAAABMQEAAAALLTIwODgzNDc0NjkDAAAAAzE2MAIAAAAFNDg5NzQEAAAAATAHAAAACTMvMjkvMjAyNggAAAAJNS8zMC8yMDIwCQAAAAEwugctekSN3ggRSnd+RI3eCD9DSVEuTkFTREFROkNBTE0uSVFfTlBQRV9FWENMX09QRVJfTEVBU0VTLjk5Ni4yOS8wMy8yMDI2Li4uVVNELkgBAAAAIHoFAAIAAAAHNTg5Ljk0MgEIAAAABQAAAAExAQAAAAstMjAzNzI0MTcyMQMAAAADMTYwAgAAAAU0ODk3NgQAAAABMAcAAAAJMy8yOS8yMDI2CAAAAAk1LzI5LzIwMjEJAAAAATC6By16RI3eCA8jd35Ejd4IQkNJUS5OQVNEQVE6Q0FMTS5JUV9GSU5BTkNFX0xFQVNFU19MT05HX1RFUk0uOTk3LjI5LzAzLzIwMjYuLi5VU0QuSAEAAAAgegUAAwAAAAAAugctekSN3gjY1HZ+RI3eCFBDSVEuTkFTREFROkNBTE0uSVFfQ1VSUkVOVF9QT1JUSU9OX09QRVJfTEVBU0VfTElBQklMSVRJRVMuOTk3LjI5LzAzLzIwMjYuLi5VU0QuSAEAAAAgegUAAwAAAAAAugctekSN3gi/rXZ+RI3eCDZDSVEuTkFTREFROkNBTE0uSVFfVE9UQUxfTEVBU0VTLjk5My4yOS8wMy8yMDI2Li4uVVNELkgBAAAAIHoFAAIAAAAEMS4zNAEIAAAABQAAAAExAQAA</t>
  </si>
  <si>
    <t>AAoyMDQ1NzQ5MzEwAwAAAAMxNjACAAAABTQ4OTc5BAAAAAEwBwAAAAkzLzI5LzIwMjYIAAAACDYvMi8yMDE4CQAAAAEwugctekSN3gimS3Z+RI3eCDZDSVEuTkFTREFROkNBTE0uSVFfUFJFRl9DT05WRVJULjk5OS4yOS8wMy8yMDI2Li4uVVNELkgBAAAAIHoFAAMAAAAAAIq5LHpEjd4ItVx5fkSN3gg2Q0lRLk5BU0RBUTpDQUxNLklRX09USEVSX0VRVUlUWS45OTMuMjkvMDMvMjAyNi4uLlVTRC5IAQAAACB6BQACAAAABi0wLjY5MwEIAAAABQAAAAExAQAAAAoyMDQ1NzQ5MzEwAwAAAAMxNjACAAAABDEwMjgEAAAAATAHAAAACTMvMjkvMjAyNggAAAAINi8yLzIwMTgJAAAAATCKuSx6RI3eCH3AeH5Ejd4IO0NJUS5OQVNEQVE6Q0FMTS5JUV9NSU5PUklUWV9JTlRFUkVTVC45OTUuMjkvMDMvMjAyNi4uLlVTRC5IAQAAACB6BQADAAAAAACW4Cx6RI3eCG2ZeH5Ejd4INkNJUS5OQVNEQVE6Q0FMTS5JUV9UT1RBTF9FUVVJVFkuOTk5LjI5LzAzLzIwMjYuLi5VU0QuSAEAAAAgegUAAgAAAAgxNzk3LjA0MwEIAAAABQAAAAExAQAAAAstMTkzNDk3ODQ4MAMAAAADMTYwAgAAAAQxMjc1BAAAAAEwBwAAAAkzLzI5LzIwMjYIAAAACDYvMS8yMDI0CQAAAAEwluAsekSN3ghYcnh+RI3eCEdDSVEuTkFTREFROkNBTE0uSVFfUlVBX09QRVJBVElOR19MRUFTRV9BQ0NVTV9ERVAuOTkzLjI5LzAzLzIwMjYuLi5VU0QuSAEA</t>
  </si>
  <si>
    <t>AAAgegUAAwAAAAAAluAsekSN3ggXcXd+RI3eCD9DSVEuTkFTREFROkNBTE0uSVFfRklOX0RJVl9ERUJUX0NVUlJFTlQuMTAwMC4yOS8wMy8yMDI2Li4uVVNELkgBAAAAIHoFAAMAAAAAANl/gHpEjd4IEYF7fkSN3gg4Q0lRLk5BU0RBUTpDQUxNLklRX09USEVSX0NMX1NVUFBMLjk5NC4yOS8wMy8yMDI2Li4uVVNELkgBAAAAIHoFAAMAAAAAAA2ngHpEjd4ITgt7fkSN3ggyQ0lRLk5BU0RBUTpDQUxNLklRX1RPVEFMX0NMLjk5OS4yOS8wMy8yMDI2Li4uVVNELkgBAAAAIHoFAAIAAAAHMjI3Ljc0MwEIAAAABQAAAAExAQAAAAstMTkzNDk3ODQ4MAMAAAADMTYwAgAAAAQxMDA5BAAAAAEwBwAAAAkzLzI5LzIwMjYIAAAACDYvMS8yMDI0CQAAAAEwDaeAekSN3ghu0Hp+RI3eCDRDSVEuTkFTREFROkNBTE0uSVFfVE9UQUxfTElBQi45OTMuMjkvMDMvMjAyNi4uLlVTRC5IAQAAACB6BQACAAAABzE5NC43NjUBCAAAAAUAAAABMQEAAAAKMjA0NTc0OTMxMAMAAAADMTYwAgAAAAQxMjc2BAAAAAEwBwAAAAkzLzI5LzIwMjYIAAAACDYvMi8yMDE4CQAAAAEwDaeAekSN3ggf5nl+RI3eCDlDSVEuTkFTREFROkNBTE0uSVFfUFJFRl9OT05fUkVERUVNLjk5NS4yOS8wMy8yMDI2Li4uVVNELkgBAAAAIHoFAAMAAAAAAA2ngHpEjd4Inpd5fkSN3ggwQ0lRLk5BU0RBUTpDQUxNLklRX0FSX0xULjEwMDAuMjkvMDMvMjAyNi4u</t>
  </si>
  <si>
    <t>LlVTRC5IAQAAACB6BQADAAAAAADZf4B6RI3eCNLAfH5Ejd4IO0NJUS5OQVNEQVE6Q0FMTS5JUV9ERUZfVEFYX0FTU0VUU19MVC45OTMuMjkvMDMvMjAyNi4uLlVTRC5IAQAAACB6BQADAAAAAADZf4B6RI3eCJNrfH5Ejd4IOUNJUS5OQVNEQVE6Q0FMTS5JUV9PVEhFUl9MVF9BU1NFVFMuOTk2LjI5LzAzLzIwMjYuLi5VU0QuSAEAAAAgegUAAgAAAAUyLjY1NAEIAAAABQAAAAExAQAAAAstMjAzNzI0MTcyMQMAAAADMTYwAgAAAAQxMDYwBAAAAAEwBwAAAAkzLzI5LzIwMjYIAAAACTUvMjkvMjAyMQkAAAABMNl/gHpEjd4IZ0R8fkSN3ggsQ0lRLk5BU0RBUTpDQUxNLklRX0FQLjk5OS4yOS8wMy8yMDI2Li4uVVNELkgBAAAAIHoFAAIAAAAGNzUuODYyAQgAAAAFAAAAATEBAAAACy0xOTM0OTc4NDgwAwAAAAMxNjACAAAABDEwMTgEAAAAATAHAAAACTMvMjkvMjAyNggAAAAINi8xLzIwMjQJAAAAATDZf4B6RI3eCFz2e35Ejd4IPUNJUS5OQVNEQVE6Q0FMTS5JUV9DVVJSRU5UX1BPUlRfTEVBU0VTLjk5NS4yOS8wMy8yMDI2Li4uVVNELkgBAAAAIHoFAAIAAAAFMS4wMDEBCAAAAAUAAAABMQEAAAALLTIwODgzNDc0NjkDAAAAAzE2MAIAAAAEMTA5MAQAAAABMAcAAAAJMy8yOS8yMDI2CAAAAAk1LzMwLzIwMjAJAAAAATDZf4B6RI3eCLOoe35Ejd4IQENJUS5OQVNEQVE6Q0FMTS5JUV9GSU5fRElWX0xPQU5TX0NV</t>
  </si>
  <si>
    <t>UlJFTlQuMTAwMC4yOS8wMy8yMDI2Li4uVVNELkgBAAAAIHoFAAMAAAAAALVYgHpEjd4IbmN+fkSN3gg4Q0lRLk5BU0RBUTpDQUxNLklRX0xPQU5TX0ZPUl9TQUxFLjk5NC4yOS8wMy8yMDI2Li4uVVNELkgBAAAAIHoFAAMAAAAAALVYgHpEjd4I8BR+fkSN3gg5Q0lRLk5BU0RBUTpDQUxNLklRX1JFU1RSSUNURURfQ0FTSC45OTguMjkvMDMvMjAyNi4uLlVTRC5IAQAAACB6BQADAAAAAADZf4B6RI3eCA7afX5Ejd4ILkNJUS5OQVNEQVE6Q0FMTS5JUV9HUFBFLjk5OC4yOS8wMy8yMDI2Li4uVVNELkgBAAAAIHoFAAIAAAAIMTQ4My43NTgBCAAAAAUAAAABMQEAAAALLTE5MzQ5Nzg0MjADAAAAAzE2MAIAAAAEMTE2OQQAAAABMAcAAAAJMy8yOS8yMDI2CAAAAAg2LzMvMjAyMwkAAAABMNl/gHpEjd4I4GR9fkSN3gg6Q0lRLk5BU0RBUTpDQUxNLklRX0ZJTl9ESVZfTE9BTlNfTFQuOTk3LjI5LzAzLzIwMjYuLi5VU0QuSAEAAAAgegUAAwAAAAAA2X+AekSN3gja73x+RI3eCDxDSVEuTkFTREFROkNBTE0uSVFfTFRfTUFSS19TRUNVUklUSUVTLjk5Ny4yOS8wMy8yMDI2Li4uVVNELkgBAAAAIHoFAAMAAAAAAPuwF3pEjd4It9JsfkSN3gg5Q0lRLk5BU0RBUTpDQUxNLklRX0lOVEVSQ09NUEFOWV9DQS45OTMuMjkvMDMvMjAyNi4uLlVTRC5IAQAAACB6BQADAAAAAAD7sBd6RI3eCIBdbH5Ejd4IM0NJUS5OQVNEQVE6</t>
  </si>
  <si>
    <t>Q0FMTS5JUV9TVF9JTlZFU1QuOTk4LjI5LzAzLzIwMjYuLi5VU0QuSAEAAAAgegUAAgAAAAYzNTUuMDkBCAAAAAUAAAABMQEAAAALLTE5MzQ5Nzg0MjADAAAAAzE2MAIAAAAEMTA2OQQAAAABMAcAAAAJMy8yOS8yMDI2CAAAAAg2LzMvMjAyMwkAAAABMI2Bf3pEjd4I8E1/fkSN3gg2Q0lRLk5BU0RBUTpDQUxNLklRX09USEVSX1JFQ0VJVi45OTYuMjkvMDMvMjAyNi4uLlVTRC5IAQAAACB6BQACAAAABjQ3LjU3MwEIAAAABQAAAAExAQAAAAstMjAzNzI0MTcyMQMAAAADMTYwAgAAAAQxMjA2BAAAAAEwBwAAAAkzLzI5LzIwMjYIAAAACTUvMjkvMjAyMQkAAAABMI2Bf3pEjd4I0v9+fkSN3ggzQ0lRLk5BU0RBUTpDQUxNLklRX0lOVkVOVE9SWS45OTYuMjkvMDMvMjAyNi4uLlVTRC5IAQAAACB6BQACAAAABzIxOC4zNzUBCAAAAAUAAAABMQEAAAALLTIwMzcyNDE3MjEDAAAAAzE2MAIAAAAEMTA0MwQAAAABMAcAAAAJMy8yOS8yMDI2CAAAAAk1LzI5LzIwMjEJAAAAATC1WIB6RI3eCHGLfn5Ejd4IT0NJUS5OQVNEQVE6Q0FMTS5JUV9MSUFCSUxJVElFU19ORVRUSU5HX09USEVSX0FESlVTVE1FTlRTLjk5NC4yOS8wMy8yMDI2Li4uVVNELkgBAAAAIHoFAAMAAAAAAOZiF3pEjd4IGghwfkSN3gg8Q0lRLk5BU0RBUTpDQUxNLklRX0ZJTl9ESVZfREVCVF9UT1RBTC45OTMuMjkvMDMvMjAyNi4uLlVTRC5IAQAAACB6</t>
  </si>
  <si>
    <t>BQADAAAAAADmYhd6RI3eCLJrb35Ejd4IP0NJUS5OQVNEQVE6Q0FMTS5JUV9SRVNUUklDVEVEX0NBU0hfVE9UQUwuOTk2LjI5LzAzLzIwMjYuLi5VU0QuSAEAAAAgegUAAwAAAAAAAooXekSN3gh5lG5+RI3eCD5DSVEuTkFTREFROkNBTE0uSVFfV0FSUkFOVFlfTElBQklMSVRJRVMuOTk3LjI5LzAzLzIwMjYuLi5VU0QuSAEAAAAgegUAAwAAAAAAAooXekSN3ghYRm5+RI3eCEFDSVEuTkFTREFROkNBTE0uSVFfREVSSVZBVElWRV9MSUFCX0NVUlJFTlQuOTk5LjI5LzAzLzIwMjYuLi5VU0QuSAEAAAAgegUAAwAAAAAAAooXekSN3ggm0W1+RI3eCDZDSVEuTkFTREFROkNBTE0uSVFfRklOSVNIRURfSU5WLjk5NC4yOS8wMy8yMDI2Li4uVVNELkgBAAAAIHoFAAIAAAAGNjYuNzAxAQgAAAAFAAAAATEBAAAACy0yMTQyNDI5MDM5AwAAAAMxNjACAAAABDMwNzUEAAAAATAHAAAACTMvMjkvMjAyNggAAAAINi8xLzIwMTkJAAAAATDAVS16RI3eCBR4c35Ejd4IMkNJUS5OQVNEQVE6Q0FMTS5JUV9TT0ZUV0FSRS45OTUuMjkvMDMvMjAyNi4uLlVTRC5IAQAAACB6BQADAAAAAADAVS16RI3eCBbvcn5Ejd4ILUNJUS5OQVNEQVE6Q0FMTS5JUV9DSVAuOTk5LjI5LzAzLzIwMjYuLi5VU0QuSAEAAAAgegUAAgAAAAcxMjEuMjY2AQgAAAAFAAAAATEBAAAACy0xOTM0OTc4NDgwAwAAAAMxNjACAAAABDMwMzMEAAAAATAHAAAA</t>
  </si>
  <si>
    <t>CTMvMjkvMjAyNggAAAAINi8xLzIwMjQJAAAAATDAVS16RI3eCA2hcn5Ejd4IOENJUS5OQVNEQVE6Q0FMTS5JUV9BU1NFVFNfTEVWRUxfMi45OTUuMjkvMDMvMjAyNi4uLlVTRC5IAQAAACB6BQACAAAABzE1NC4xNjMAomktekSN3ghY33B+RI3eCDtDSVEuTkFTREFROkNBTE0uSVFfQVNTRVRTX0ZBSVJfVkFMVUUuOTk2LjI5LzAzLzIwMjYuLi5VU0QuSAEAAAAgegUAAgAAAAcxMTYuMjc0AOZiF3pEjd4I92lwfkSN3ggtQ0lRLk5BU0RBUTpDQUxNLklRX1RCVi45OTMuMjkvMDMvMjAyNi4uLlVTRC5IAQAAACB6BQACAAAABzg5MS41MDEBCAAAAAUAAAABMQEAAAAKMjA0NTc0OTMxMAMAAAADMTYwAgAAAAQxMzEwBAAAAAEwBwAAAAkzLzI5LzIwMjYIAAAACDYvMi8yMDE4CQAAAAEwwS4tekSN3ghriHV+RI3eCDRDSVEuTkFTREFROkNBTE0uSVFfQ0FTSF9TSEFSRS45OTkuMjkvMDMvMjAyNi4uLlVTRC5IAQAAACB6BQACAAAACDQuODUwODE1AQgAAAAFAAAAATEBAAAACy0xOTM0OTc4NDgwAwAAAAMxNjACAAAABDQzODEEAAAAATAHAAAACTMvMjkvMjAyNggAAAAINi8xLzIwMjQJAAAAATDBLi16RI3eCNfrdH5Ejd4IQUNJUS5OQVNEQVE6Q0FMTS5JUV9NSU5PUklUWV9JTlRFUkVTVF9UT1RBTC45OTguMjkvMDMvMjAyNi4uLlVTRC5IAQAAACB6BQACAAAABi0xLjQ5OAEIAAAABQAAAAExAQAAAAstMTkzNDk3</t>
  </si>
  <si>
    <t>ODQyMAMAAAADMTYwAgAAAAQxMzEyBAAAAAEwBwAAAAkzLzI5LzIwMjYIAAAACDYvMy8yMDIzCQAAAAEwwS4tekSN3gjMYnR+RI3eCDlDSVEuTkFTREFROkNBTE0uSVFfTkVUX1dPUktJTkdfQ0FQLjk5My4yOS8wMy8yMDI2Li4uVVNELkgBAAAAIHoFAAIAAAAHMTUyLjIwMQEIAAAABQAAAAExAQAAAAoyMDQ1NzQ5MzEwAwAAAAMxNjACAAAABDEzMTEEAAAAATAHAAAACTMvMjkvMjAyNggAAAAINi8yLzIwMTgJAAAAATDBLi16RI3eCMc7dH5Ejd4INUNJUS5OQVNEQVE6Q0FMTS5JUV9BUl9VTkJJTExFRC45OTUuMjkvMDMvMjAyNi4uLlVTRC5IAQAAACB6BQADAAAAAADBLi16RI3eCJ7tc35Ejd4IQkNJUS5OQVNEQVE6Q0FMTS5JUV9GSU5BTkNFX0xFQVNFU19MT05HX1RFUk0uOTk4LjI5LzAzLzIwMjYuLi5VU0QuSAEAAAAgegUAAwAAAAAAugctekSN3gjY1HZ+RI3eCFBDSVEuTkFTREFROkNBTE0uSVFfQ1VSUkVOVF9QT1JUSU9OX09QRVJfTEVBU0VfTElBQklMSVRJRVMuOTk4LjI5LzAzLzIwMjYuLi5VU0QuSAEAAAAgegUAAwAAAAAAugctekSN3gi/rXZ+RI3eCDtDSVEuTkFTREFROkNBTE0uSVFfVE9UQUxfT1BFUl9MRUFTRVMuOTk2LjI5LzAzLzIwMjYuLi5VU0QuSAEAAAAgegUAAgAAAAUxLjcyNQEIAAAABQAAAAExAQAAAAstMjAzNzI0MTcyMQMAAAADMTYwAgAAAAU0ODk3OAQAAAABMAcAAAAJMy8y</t>
  </si>
  <si>
    <t>OS8yMDI2CAAAAAk1LzI5LzIwMjEJAAAAATC6By16RI3eCMFydn5Ejd4IVkNJUS5OQVNEQVE6Q0FMTS5JUV9GSU5BTkNJTkdfT0JMSUdfTk9OX0NVUlJFTlRfRVhDTF9PUEVSX0xFQVNFUy45OTMuMjkvMDMvMjAyNi4uLlVTRC5IAQAAACB6BQACAAAABTIuNTU0AQgAAAAFAAAAATEBAAAACjIwNDU3NDkzMTADAAAAAzE2MAIAAAAFNDg5ODEEAAAAATAHAAAACTMvMjkvMjAyNggAAAAINi8yLzIwMTgJAAAAATC6By16RI3eCKAkdn5Ejd4IO0NJUS5OQVNEQVE6Q0FMTS5JUV9CVl9TSEFSRV9SRVBPUlRFRC45OTguMjkvMDMvMjAyNi4uLlVTRC5IAQAAACB6BQADAAAAAADBLi16RI3eCGqvdX5Ejd4IN0NJUS5OQVNEQVE6Q0FMTS5JUV9UT1RBTF9FUVVJVFkuMTAwMC4yOS8wMy8yMDI2Li4uVVNELkgBAAAAIHoFAAIAAAAIMjU2Ni4wMTUBCAAAAAUAAAABMQEAAAALLTE5MzQ5NzgzODEDAAAAAzE2MAIAAAAEMTI3NQQAAAABMAcAAAAJMy8yOS8yMDI2CAAAAAk1LzMxLzIwMjUJAAAAATCW4Cx6RI3eCFhyeH5Ejd4IP0NJUS5OQVNEQVE6Q0FMTS5JUV9SVUFfQ0FQSVRBTF9MRUFTRV9ORVQuOTkzLjI5LzAzLzIwMjYuLi5VU0QuSAEAAAAgegUAAwAAAAAAluAsekSN3ggh0Hd+RI3eCEdDSVEuTkFTREFROkNBTE0uSVFfUlVBX09QRVJBVElOR19MRUFTRV9BQ0NVTV9ERVAuOTk0LjI5LzAzLzIwMjYuLi5VU0QuSAEA</t>
  </si>
  <si>
    <t>AAAgegUAAwAAAAAAluAsekSN3ggXcXd+RI3eCD9DSVEuTkFTREFROkNBTE0uSVFfR1BQRV9FWENMX09QRVJfTEVBU0VTLjk5Ni4yOS8wMy8yMDI2Li4uVVNELkgBAAAAIHoFAAIAAAAIMTIxMy42ODgBCAAAAAUAAAABMQEAAAALLTIwMzcyNDE3MjEDAAAAAzE2MAIAAAAFNDg5NzQEAAAAATAHAAAACTMvMjkvMjAyNggAAAAJNS8yOS8yMDIxCQAAAAEwugctekSN3ggRSnd+RI3eCD5DSVEuTkFTREFROkNBTE0uSVFfQURfRVhDTF9PUEVSX0xFQVNFUy4xMDAwLjI5LzAzLzIwMjYuLi5VU0QuSAEAAAAgegUAAgAAAActODc5LjE0AQgAAAAFAAAAATEBAAAACy0xOTM0OTc4MzgxAwAAAAMxNjACAAAABTQ4OTc1BAAAAAEwBwAAAAkzLzI5LzIwMjYIAAAACTUvMzEvMjAyNQkAAAABMLoHLXpEjd4IDyN3fkSN3gg3Q0lRLk5BU0RBUTpDQUxNLklRX09USEVSX0xJQUJfTFQuOTk3LjI5LzAzLzIwMjYuLi5VU0QuSAEAAAAgegUAAgAAAAYxMC4yNzQBCAAAAAUAAAABMQEAAAALLTE5ODY3MDg0MzMDAAAAAzE2MAIAAAAEMTA2MgQAAAABMAcAAAAJMy8yOS8yMDI2CAAAAAk1LzI4LzIwMjIJAAAAATANp4B6RI3eCB/meX5Ejd4INUNJUS5OQVNEQVE6Q0FMTS5JUV9QUkVGX1JFREVFTS45OTguMjkvMDMvMjAyNi4uLlVTRC5IAQAAACB6BQADAAAAAAANp4B6RI3eCJ6XeX5Ejd4IN0NJUS5OQVNEQVE6Q0FMTS5JUV9QUkVG</t>
  </si>
  <si>
    <t>X0NPTlZFUlQuMTAwMC4yOS8wMy8yMDI2Li4uVVNELkgBAAAAIHoFAAMAAAAAAIq5LHpEjd4ItVx5fkSN3gg2Q0lRLk5BU0RBUTpDQUxNLklRX09USEVSX0VRVUlUWS45OTQuMjkvMDMvMjAyNi4uLlVTRC5IAQAAACB6BQACAAAABTAuMzU1AQgAAAAFAAAAATEBAAAACy0yMTQyNDI5MDM5AwAAAAMxNjACAAAABDEwMjgEAAAAATAHAAAACTMvMjkvMjAyNggAAAAINi8xLzIwMTkJAAAAATCKuSx6RI3eCH3AeH5Ejd4IPUNJUS5OQVNEQVE6Q0FMTS5JUV9UT1RBTF9DT01NT05fRVFVSVRZLjk5OC4yOS8wMy8yMDI2Li4uVVNELkgBAAAAIHoFAAIAAAAIMTYxMS4wODEBCAAAAAUAAAABMQEAAAALLTE5MzQ5Nzg0MjADAAAAAzE2MAIAAAAEMTAwNgQAAAABMAcAAAAJMy8yOS8yMDI2CAAAAAg2LzMvMjAyMwkAAAABMJbgLHpEjd4IbZl4fkSN3gg8Q0lRLk5BU0RBUTpDQUxNLklRX0xUX01BUktfU0VDVVJJVElFUy45OTQuMjkvMDMvMjAyNi4uLlVTRC5IAQAAACB6BQADAAAAAAD7sBd6RI3eCLfSbH5Ejd4IOUNJUS5OQVNEQVE6Q0FMTS5JUV9JTlRFUkNPTVBBTllfQ0EuOTk0LjI5LzAzLzIwMjYuLi5VU0QuSAEAAAAgegUAAwAAAAAA+7AXekSN3giAXWx+RI3eCD5DSVEuTkFTREFROkNBTE0uSVFfREVGX1RBWF9MSUFCX0NVUlJFTlQuOTk3LjI5LzAzLzIwMjYuLi5VU0QuSAEAAAAgegUAAwAAAAAADaeAekSN3ghO</t>
  </si>
  <si>
    <t>C3t+RI3eCDNDSVEuTkFTREFROkNBTE0uSVFfVE9UQUxfQ0wuMTAwMC4yOS8wMy8yMDI2Li4uVVNELkgBAAAAIHoFAAIAAAAHMzA4LjM3MQEIAAAABQAAAAExAQAAAAstMTkzNDk3ODM4MQMAAAADMTYwAgAAAAQxMDA5BAAAAAEwBwAAAAkzLzI5LzIwMjYIAAAACTUvMzEvMjAyNQkAAAABMA2ngHpEjd4IbtB6fkSN3ggxQ0lRLk5BU0RBUTpDQUxNLklRX1BFTlNJT04uOTk2LjI5LzAzLzIwMjYuLi5VU0QuSAEAAAAgegUAAwAAAAAADaeAekSN3ggtNHp+RI3eCD5DSVEuTkFTREFROkNBTE0uSVFfTElBQklMSVRJRVNfTEVWRUxfMy4xMDAwLjI5LzAzLzIwMjYuLi5VU0QuSAEAAAAgegUAAgAAAAQyMS41AOZiF3pEjd4IGghwfkSN3gg/Q0lRLk5BU0RBUTpDQUxNLklRX0ZJTl9ESVZfU1RfREVCVF9UT1RBTC45OTYuMjkvMDMvMjAyNi4uLlVTRC5IAQAAACB6BQADAAAAAADmYhd6RI3eCNuSb35Ejd4IP0NJUS5OQVNEQVE6Q0FMTS5JUV9SRVNUUklDVEVEX0NBU0hfVE9UQUwuOTk4LjI5LzAzLzIwMjYuLi5VU0QuSAEAAAAgegUAAwAAAAAAAooXekSN3ghKz25+RI3eCD5DSVEuTkFTREFROkNBTE0uSVFfV0FSUkFOVFlfTElBQklMSVRJRVMuOTk4LjI5LzAzLzIwMjYuLi5VU0QuSAEAAAAgegUAAwAAAAAAAooXekSN3ghYRm5+RI3eCEJDSVEuTkFTREFROkNBTE0uSVFfREVSSVZBVElWRV9MSUFCX0NVUlJFTlQu</t>
  </si>
  <si>
    <t>MTAwMC4yOS8wMy8yMDI2Li4uVVNELkgBAAAAIHoFAAMAAAAAAAKKF3pEjd4IJtFtfkSN3ghFQ0lRLk5BU0RBUTpDQUxNLklRX0ZJTl9ESVZfTUlOT1JJVFlfSU5UX1JFREVFTS45OTQuMjkvMDMvMjAyNi4uLlVTRC5IAQAAACB6BQADAAAAAADAVS16RI3eCPgrcn5Ejd4IRUNJUS5OQVNEQVE6Q0FMTS5JUV9ERUZfVEFYX1ZBTFVBVElPTl9BTExPV0FOQ0UuOTkzLjI5LzAzLzIwMjYuLi5VU0QuSAEAAAAgegUAAwAAAAAAomktekSN3gi4onF+RI3eCEtDSVEuTkFTREFROkNBTE0uSVFfR0VORVJBTF9QQVJUTkVSX01JTk9SSVRZX0lOVEVSRVNULjk5My4yOS8wMy8yMDI2Li4uVVNELkgBAAAAIHoFAAMAAAAAAKJpLXpEjd4Ij3txfkSN3gg4Q0lRLk5BU0RBUTpDQUxNLklRX0FTU0VUU19MRVZFTF8yLjk5Ni4yOS8wMy8yMDI2Li4uVVNELkgBAAAAIHoFAAIAAAAHMTEyLjE1OACiaS16RI3eCFjfcH5Ejd4IPENJUS5OQVNEQVE6Q0FMTS5JUV9BU1NFVFNfRkFJUl9WQUxVRS4xMDAwLjI5LzAzLzIwMjYuLi5VU0QuSAEAAAAgegUAAgAAAAc4OTIuNzA4AOZiF3pEjd4IOZFwfkSN3ghCQ0lRLk5BU0RBUTpDQUxNLklRX01JTk9SSVRZX0lOVEVSRVNUX1RPVEFMLjEwMDAuMjkvMDMvMjAyNi4uLlVTRC5IAQAAACB6BQACAAAABTUuMzkxAQgAAAAFAAAAATEBAAAACy0xOTM0OTc4MzgxAwAAAAMxNjACAAAABDEzMTIE</t>
  </si>
  <si>
    <t>AAAAATAHAAAACTMvMjkvMjAyNggAAAAJNS8zMS8yMDI1CQAAAAEwwS4tekSN3gjMYnR+RI3eCDlDSVEuTkFTREFROkNBTE0uSVFfTkVUX1dPUktJTkdfQ0FQLjk5NC4yOS8wMy8yMDI2Li4uVVNELkgBAAAAIHoFAAIAAAAHMTc1LjExNAEIAAAABQAAAAExAQAAAAstMjE0MjQyOTAzOQMAAAADMTYwAgAAAAQxMzExBAAAAAEwBwAAAAkzLzI5LzIwMjYIAAAACDYvMS8yMDE5CQAAAAEwwS4tekSN3gjHO3R+RI3eCDdDSVEuTkFTREFROkNBTE0uSVFfRVFVSVRZX01FVEhPRC45OTguMjkvMDMvMjAyNi4uLlVTRC5IAQAAACB6BQACAAAABjE0LjQ0OQEIAAAABQAAAAExAQAAAAstMTkzNDk3ODQyMAMAAAADMTYwAgAAAAQzMDYzBAAAAAEwBwAAAAkzLzI5LzIwMjYIAAAACDYvMy8yMDIzCQAAAAEwwS4tekSN3gie7XN+RI3eCDJDSVEuTkFTREFROkNBTE0uSVFfV0lQX0lOVi4xMDAwLjI5LzAzLzIwMjYuLi5VU0QuSAEAAAAgegUAAwAAAAAAwFUtekSN3ggUeHN+RI3eCDNDSVEuTkFTREFROkNBTE0uSVFfTUFDSElORVJZLjk5OC4yOS8wMy8yMDI2Li4uVVNELkgBAAAAIHoFAAIAAAAHNzE1LjIwNQEIAAAABQAAAAExAQAAAAstMTkzNDk3ODQyMAMAAAADMTYwAgAAAAQzMTE0BAAAAAEwBwAAAAkzLzI5LzIwMjYIAAAACDYvMy8yMDIzCQAAAAEwwFUtekSN3ggW73J+RI3eCFZDSVEuTkFTREFROkNBTE0uSVFfRklO</t>
  </si>
  <si>
    <t>QU5DSU5HX09CTElHX05PTl9DVVJSRU5UX0VYQ0xfT1BFUl9MRUFTRVMuOTk0LjI5LzAzLzIwMjYuLi5VU0QuSAEAAAAgegUAAgAAAAUwLjg1OAEIAAAABQAAAAExAQAAAAstMjE0MjQyOTAzOQMAAAADMTYwAgAAAAU0ODk4MQQAAAABMAcAAAAJMy8yOS8yMDI2CAAAAAg2LzEvMjAxOQkAAAABMLoHLXpEjd4IoCR2fkSN3ghAQ0lRLk5BU0RBUTpDQUxNLklRX1RPVEFMX0RFQlRfRVhDTF9MRUFTRVMuOTk0LjI5LzAzLzIwMjYuLi5VU0QuSAEAAAAgegUAAgAAAAMxLjUBCAAAAAUAAAABMQEAAAALLTIxNDI0MjkwMzkDAAAAAzE2MAIAAAAFNDg5OTIEAAAAATAHAAAACTMvMjkvMjAyNggAAAAINi8xLzIwMTkJAAAAATC6By16RI3eCIr9dX5Ejd4ILUNJUS5OQVNEQVE6Q0FMTS5JUV9UQlYuOTk0LjI5LzAzLzIwMjYuLi5VU0QuSAEAAAAgegUAAgAAAAc5MjcuMzM3AQgAAAAFAAAAATEBAAAACy0yMTQyNDI5MDM5AwAAAAMxNjACAAAABDEzMTAEAAAAATAHAAAACTMvMjkvMjAyNggAAAAINi8xLzIwMTkJAAAAATDBLi16RI3eCGuIdX5Ejd4INUNJUS5OQVNEQVE6Q0FMTS5JUV9DQVNIX1NIQVJFLjEwMDAuMjkvMDMvMjAyNi4uLlVTRC5IAQAAACB6BQACAAAACTEwLjI5ODAxNgEIAAAABQAAAAExAQAAAAstMTkzNDk3ODM4MQMAAAADMTYwAgAAAAQ0MzgxBAAAAAEwBwAAAAkzLzI5LzIwMjYIAAAACTUvMzEvMjAy</t>
  </si>
  <si>
    <t>NQkAAAABMMEuLXpEjd4I1+t0fkSN3ghAQ0lRLk5BU0RBUTpDQUxNLklRX1RPVEFMX0RFQlRfTk9OX0NVUlJFTlQuOTkzLjI5LzAzLzIwMjYuLi5VU0QuSAEAAAAgegUAAgAAAAUyLjU1NAEIAAAABQAAAAExAQAAAAoyMDQ1NzQ5MzEwAwAAAAMxNjACAAAABTI1MjI0BAAAAAEwBwAAAAkzLzI5LzIwMjYIAAAACDYvMi8yMDE4CQAAAAEwwS4tekSN3gjxsHR+RI3eCD9DSVEuTkFTREFROkNBTE0uSVFfUlVBX0NBUElUQUxfTEVBU0VfTkVULjk5NC4yOS8wMy8yMDI2Li4uVVNELkgBAAAAIHoFAAMAAAAAAJbgLHpEjd4Ixah3fkSN3ghHQ0lRLk5BU0RBUTpDQUxNLklRX1JVQV9PUEVSQVRJTkdfTEVBU0VfQUNDVU1fREVQLjk5NS4yOS8wMy8yMDI2Li4uVVNELkgBAAAAIHoFAAMAAAAAALoHLXpEjd4IF3F3fkSN3ghBQ0lRLk5BU0RBUTpDQUxNLklRX1JVQV9PUEVSQVRJTkdfTEVBU0VfTkVULjk5OS4yOS8wMy8yMDI2Li4uVVNELkgBAAAAIHoFAAMAAAAAALoHLXpEjd4IEUp3fkSN3ghQQ0lRLk5BU0RBUTpDQUxNLklRX0NVUlJFTlRfUE9SVElPTl9PUEVSX0xFQVNFX0xJQUJJTElUSUVTLjk5OS4yOS8wMy8yMDI2Li4uVVNELkgBAAAAIHoFAAMAAAAAALoHLXpEjd4Iv612fkSN3gg7Q0lRLk5BU0RBUTpDQUxNLklRX1RPVEFMX09QRVJfTEVBU0VTLjk5OC4yOS8wMy8yMDI2Li4uVVNELkgBAAAAIHoFAAMAAAAA</t>
  </si>
  <si>
    <t>ALoHLXpEjd4IwXJ2fkSN3ggzQ0lRLk5BU0RBUTpDQUxNLklRX0lOVEFOX05FVC45OTkuMjkvMDMvMjAyNi4uLlVTRC5IAQAAACB6BQACAAAABjE1Ljk5NgEIAAAABQAAAAExAQAAAAstMTkzNDk3ODQ4MAMAAAADMTYwAgAAAAU0ODk2MgQAAAABMAcAAAAJMy8yOS8yMDI2CAAAAAg2LzEvMjAyNAkAAAABMPuwF3pEjd4IgF1sfkSN3ggsQ0lRLk5BU0RBUTpDQUxNLklRX1JFLjk5My4yOS8wMy8yMDI2Li4uVVNELkgBAAAAIHoFAAIAAAAHOTI0LjkxOAEIAAAABQAAAAExAQAAAAoyMDQ1NzQ5MzEwAwAAAAMxNjACAAAABDEyMjIEAAAAATAHAAAACTMvMjkvMjAyNggAAAAINi8yLzIwMTgJAAAAATCKuSx6RI3eCIPneH5Ejd4IMkNJUS5OQVNEQVE6Q0FMTS5JUV9UUkVBU1VSWS45OTcuMjkvMDMvMjAyNi4uLlVTRC5IAQAAACB6BQACAAAABy0yOC40NDcBCAAAAAUAAAABMQEAAAALLTE5ODY3MDg0MzMDAAAAAzE2MAIAAAAEMTI0OAQAAAABMAcAAAAJMy8yOS8yMDI2CAAAAAk1LzI4LzIwMjIJAAAAATCKuSx6RI3eCH3AeH5Ejd4IPUNJUS5OQVNEQVE6Q0FMTS5JUV9UT1RBTF9DT01NT05fRVFVSVRZLjk5OS4yOS8wMy8yMDI2Li4uVVNELkgBAAAAIHoFAAIAAAAIMTgwMC4xNDcBCAAAAAUAAAABMQEAAAALLTE5MzQ5Nzg0ODADAAAAAzE2MAIAAAAEMTAwNgQAAAABMAcAAAAJMy8yOS8yMDI2CAAAAAg2LzEvMjAy</t>
  </si>
  <si>
    <t>NAkAAAABMJbgLHpEjd4IbZl4fkSN3ghBQ0lRLk5BU0RBUTpDQUxNLklRX1JVQV9DQVBJVEFMX0xFQVNFX0dST1NTLjk5My4yOS8wMy8yMDI2Li4uVVNELkgBAAAAIHoFAAMAAAAAAJbgLHpEjd4IWPd3fkSN3gg8Q0lRLk5BU0RBUTpDQUxNLklRX0RFQlRfRVFVSVZfTkVUX1BCTy45OTMuMjkvMDMvMjAyNi4uLlVTRC5IAQAAACB6BQACAAAAAzQuNgEIAAAABQAAAAExAQAAAAoyMDQ1NzQ5MzEwAwAAAAMxNjACAAAABTIxNjc5BAAAAAEwBwAAAAkzLzI5LzIwMjYIAAAACDYvMi8yMDE4CQAAAAEwAooXekSN3giP9m5+RI3eCD9DSVEuTkFTREFROkNBTE0uSVFfUkVTVFJJQ1RFRF9DQVNIX1RPVEFMLjk5OS4yOS8wMy8yMDI2Li4uVVNELkgBAAAAIHoFAAMAAAAAAAKKF3pEjd4ISs9ufkSN3gg+Q0lRLk5BU0RBUTpDQUxNLklRX1dBUlJBTlRZX0xJQUJJTElUSUVTLjk5NC4yOS8wMy8yMDI2Li4uVVNELkgBAAAAIHoFAAMAAAAAAAKKF3pEjd4IWEZufkSN3ghBQ0lRLk5BU0RBUTpDQUxNLklRX0RFUklWQVRJVkVfTElBQl9DVVJSRU5ULjk5NS4yOS8wMy8yMDI2Li4uVVNELkgBAAAAIHoFAAMAAAAAAAKKF3pEjd4IJtFtfkSN3gg4Q0lRLk5BU0RBUTpDQUxNLklRX0FDQ1VNX0FNT1JUX0dXLjk5OC4yOS8wMy8yMDI2Li4uVVNELkgBAAAAIHoFAAMAAAAAAPuwF3pEjd4It9JsfkSN3gg9Q0lRLk5BU0RBUTpDQUxN</t>
  </si>
  <si>
    <t>LklRX01JTk9SSVRZX0lOVF9SRURFRU0uOTk4LjI5LzAzLzIwMjYuLi5VU0QuSAEAAAAgegUAAwAAAAAAwFUtekSN3gjQUnJ+RI3eCEVDSVEuTkFTREFROkNBTE0uSVFfREVGX1RBWF9WQUxVQVRJT05fQUxMT1dBTkNFLjk5NC4yOS8wMy8yMDI2Li4uVVNELkgBAAAAIHoFAAMAAAAAAKJpLXpEjd4IuKJxfkSN3ghFQ0lRLk5BU0RBUTpDQUxNLklRX0dFTkVSQUxfUEFSVE5FUl9QUkVGX0VRVUlUWS45OTguMjkvMDMvMjAyNi4uLlVTRC5IAQAAACB6BQADAAAAAACiaS16RI3eCI97cX5Ejd4ITUNJUS5OQVNEQVE6Q0FMTS5JUV9MSVFVSURBVElPTl9WQUxVRV9QUkVGRVJSRURfQ09OVkVSVC45OTUuMjkvMDMvMjAyNi4uLlVTRC5IAQAAACB6BQADAAAAAACiaS16RI3eCIotcX5Ejd4IP0NJUS5OQVNEQVE6Q0FMTS5JUV9GSU5fRElWX1NUX0RFQlRfVE9UQUwuOTk5LjI5LzAzLzIwMjYuLi5VU0QuSAEAAAAgegUAAwAAAAAA5mIXekSN3gjbkm9+RI3eCDlDSVEuTkFTREFROkNBTE0uSVFfTkVUX1dPUktJTkdfQ0FQLjk5NS4yOS8wMy8yMDI2Li4uVVNELkgBAAAAIHoFAAIAAAAHMTk3Ljc3NgEIAAAABQAAAAExAQAAAAstMjA4ODM0NzQ2OQMAAAADMTYwAgAAAAQxMzExBAAAAAEwBwAAAAkzLzI5LzIwMjYIAAAACTUvMzAvMjAyMAkAAAABMMEuLXpEjd4Ixzt0fkSN3gg3Q0lRLk5BU0RBUTpDQUxNLklRX0VRVUlU</t>
  </si>
  <si>
    <t>WV9NRVRIT0QuOTk5LjI5LzAzLzIwMjYuLi5VU0QuSAEAAAAgegUAAgAAAAYxMS4xOTUBCAAAAAUAAAABMQEAAAALLTE5MzQ5Nzg0ODADAAAAAzE2MAIAAAAEMzA2MwQAAAABMAcAAAAJMy8yOS8yMDI2CAAAAAg2LzEvMjAyNAkAAAABMMEuLXpEjd4Inu1zfkSN3ggvQ0lRLk5BU0RBUTpDQUxNLklRX0xJRk9SLjk5NC4yOS8wMy8yMDI2Li4uVVNELkgBAAAAIHoFAAMAAAAAAMEuLXpEjd4InMZzfkSN3gguQ0lRLk5BU0RBUTpDQUxNLklRX0xBTkQuOTkzLjI5LzAzLzIwMjYuLi5VU0QuSAEAAAAgegUAAgAAAAY5MC43NTcBCAAAAAUAAAABMQEAAAAKMjA0NTc0OTMxMAMAAAADMTYwAgAAAAQzMDk4BAAAAAEwBwAAAAkzLzI5LzIwMjYIAAAACDYvMi8yMDE4CQAAAAEwwFUtekSN3ggwPXN+RI3eCDNDSVEuTkFTREFROkNBTE0uSVFfTUFDSElORVJZLjk5OS4yOS8wMy8yMDI2Li4uVVNELkgBAAAAIHoFAAIAAAAHNzgyLjczNgEIAAAABQAAAAExAQAAAAstMTkzNDk3ODQ4MAMAAAADMTYwAgAAAAQzMTE0BAAAAAEwBwAAAAkzLzI5LzIwMjYIAAAACDYvMS8yMDI0CQAAAAEwwFUtekSN3ggW73J+RI3eCFJDSVEuTkFTREFROkNBTE0uSVFfRklOQU5DSU5HX09CTElHX0NVUlJFTlRfRVhDTF9PUEVSX0xFQVNFUy45OTcuMjkvMDMvMjAyNi4uLlVTRC5IAQAAACB6BQADAAAAAAC6By16RI3eCKAkdn5Ejd4IQENJUS5O</t>
  </si>
  <si>
    <t>QVNEQVE6Q0FMTS5JUV9UT1RBTF9ERUJUX0VYQ0xfTEVBU0VTLjk5NS4yOS8wMy8yMDI2Li4uVVNELkgBAAAAIHoFAAIAAAABMAEIAAAABQAAAAExAQAAAAstMjA4ODM0NzQ2OQMAAAADMTYwAgAAAAU0ODk5MgQAAAABMAcAAAAJMy8yOS8yMDI2CAAAAAk1LzMwLzIwMjAJAAAAATC6By16RI3eCIr9dX5Ejd4IO0NJUS5OQVNEQVE6Q0FMTS5JUV9CVl9TSEFSRV9SRVBPUlRFRC45OTMuMjkvMDMvMjAyNi4uLlVTRC5IAQAAACB6BQADAAAAAADBLi16RI3eCGqvdX5Ejd4ILUNJUS5OQVNEQVE6Q0FMTS5JUV9UQlYuOTk1LjI5LzAzLzIwMjYuLi5VU0QuSAEAAAAgegUAAgAAAAc5NTEuMzM0AQgAAAAFAAAAATEBAAAACy0yMDg4MzQ3NDY5AwAAAAMxNjACAAAABDEzMTAEAAAAATAHAAAACTMvMjkvMjAyNggAAAAJNS8zMC8yMDIwCQAAAAEwwS4tekSN3ghIYXV+RI3eCEBDSVEuTkFTREFROkNBTE0uSVFfVE9UQUxfREVCVF9OT05fQ1VSUkVOVC45OTQuMjkvMDMvMjAyNi4uLlVTRC5IAQAAACB6BQACAAAABTAuODU4AQgAAAAFAAAAATEBAAAACy0yMTQyNDI5MDM5AwAAAAMxNjACAAAABTI1MjI0BAAAAAEwBwAAAAkzLzI5LzIwMjYIAAAACDYvMS8yMDE5CQAAAAEwwS4tekSN3gjxsHR+RI3eCDFDSVEuTkFTREFROkNBTE0uSVFfUlVBX05FVC45OTYuMjkvMDMvMjAyNi4uLlVTRC5IAQAAACB6BQADAAAAAACW4Cx6</t>
  </si>
  <si>
    <t>RI3eCFj3d35Ejd4IRUNJUS5OQVNEQVE6Q0FMTS5JUV9SVUFfQ0FQSVRBTF9MRUFTRV9BQ0NVTV9ERVAuOTk4LjI5LzAzLzIwMjYuLi5VU0QuSAEAAAAgegUAAwAAAAAAluAsekSN3gjFqHd+RI3eCENDSVEuTkFTREFROkNBTE0uSVFfUlVBX09QRVJBVElOR19MRUFTRV9HUk9TUy45OTkuMjkvMDMvMjAyNi4uLlVTRC5IAQAAACB6BQADAAAAAACW4Cx6RI3eCBdxd35Ejd4IQkNJUS5OQVNEQVE6Q0FMTS5JUV9SVUFfT1BFUkFUSU5HX0xFQVNFX05FVC4xMDAwLjI5LzAzLzIwMjYuLi5VU0QuSAEAAAAgegUAAwAAAAAAugctekSN3ggRSnd+RI3eCDxDSVEuTkFTREFROkNBTE0uSVFfVE9UQUxfT1BFUl9MRUFTRVMuMTAwMC4yOS8wMy8yMDI2Li4uVVNELkgBAAAAIHoFAAMAAAAAALoHLXpEjd4IwXJ2fkSN3ggxQ0lRLk5BU0RBUTpDQUxNLklRX1BFTlNJT04uOTk4LjI5LzAzLzIwMjYuLi5VU0QuSAEAAAAgegUAAwAAAAAADaeAekSN3gg1DXp+RI3eCDhDSVEuTkFTREFROkNBTE0uSVFfT1RIRVJfTElBQl9MVC4xMDAwLjI5LzAzLzIwMjYuLi5VU0QuSAEAAAAgegUAAgAAAAY1NS41ODIBCAAAAAUAAAABMQEAAAALLTE5MzQ5NzgzODEDAAAAAzE2MAIAAAAEMTA2MgQAAAABMAcAAAAJMy8yOS8yMDI2CAAAAAk1LzMxLzIwMjUJAAAAATANp4B6RI3eCDUNen5Ejd4ILkNJUS5OQVNEQVE6Q0FMTS5JUV9BUElDLjk5</t>
  </si>
  <si>
    <t>Ni4yOS8wMy8yMDI2Li4uVVNELkgBAAAAIHoFAAIAAAAGNjQuMDQ0AQgAAAAFAAAAATEBAAAACy0yMDM3MjQxNzIxAwAAAAMxNjACAAAABDEwODQEAAAAATAHAAAACTMvMjkvMjAyNggAAAAJNS8yOS8yMDIxCQAAAAEwirksekSN3giTDnl+RI3eCDJDSVEuTkFTREFROkNBTE0uSVFfVFJFQVNVUlkuOTk4LjI5LzAzLzIwMjYuLi5VU0QuSAEAAAAgegUAAgAAAActMzAuMDA4AQgAAAAFAAAAATEBAAAACy0xOTM0OTc4NDIwAwAAAAMxNjACAAAABDEyNDgEAAAAATAHAAAACTMvMjkvMjAyNggAAAAINi8zLzIwMjMJAAAAATCKuSx6RI3eCH3AeH5Ejd4IPkNJUS5OQVNEQVE6Q0FMTS5JUV9UT1RBTF9DT01NT05fRVFVSVRZLjEwMDAuMjkvMDMvMjAyNi4uLlVTRC5IAQAAACB6BQACAAAACDI1NjAuNjI0AQgAAAAFAAAAATEBAAAACy0xOTM0OTc4MzgxAwAAAAMxNjACAAAABDEwMDYEAAAAATAHAAAACTMvMjkvMjAyNggAAAAJNS8zMS8yMDI1CQAAAAEwluAsekSN3ghtmXh+RI3eCDxDSVEuTkFTREFROkNBTE0uSVFfQ1VSUkVOVF9QT1JUX0RFQlQuMTAwMC4yOS8wMy8yMDI2Li4uVVNELkgBAAAAIHoFAAMAAAAAANl/gHpEjd4Is6h7fkSN3gg9Q0lRLk5BU0RBUTpDQUxNLklRX0lOQ19UQVhfUEFZX0NVUlJFTlQuOTk2LjI5LzAzLzIwMjYuLi5VU0QuSAEAAAAgegUAAwAAAAAADaeAekSN3gjMWXt+RI3eCD5DSVEu</t>
  </si>
  <si>
    <t>TkFTREFROkNBTE0uSVFfREVGX1RBWF9MSUFCX0NVUlJFTlQuOTk5LjI5LzAzLzIwMjYuLi5VU0QuSAEAAAAgegUAAwAAAAAADaeAekSN3ghu0Hp+RI3eCDpDSVEuTkFTREFROkNBTE0uSVFfTE9OR19URVJNX0xFQVNFUy45OTQuMjkvMDMvMjAyNi4uLlVTRC5IAQAAACB6BQACAAAABTAuODU4AQgAAAAFAAAAATEBAAAACy0yMTQyNDI5MDM5AwAAAAMxNjACAAAABDExODMEAAAAATAHAAAACTMvMjkvMjAyNggAAAAINi8xLzIwMTkJAAAAATANp4B6RI3eCECCen5Ejd4IOUNJUS5OQVNEQVE6Q0FMTS5JUV9GSU5fRElWX0xJQUJfTFQuOTk2LjI5LzAzLzIwMjYuLi5VU0QuSAEAAAAgegUAAwAAAAAADaeAekSN3ghZW3p+RI3eCCxDSVEuTkFTREFROkNBTE0uSVFfR1cuOTk3LjI5LzAzLzIwMjYuLi5VU0QuSAEAAAAgegUAAgAAAAY0NC4wMDYBCAAAAAUAAAABMQEAAAALLTE5ODY3MDg0MzMDAAAAAzE2MAIAAAAEMTE3MQQAAAABMAcAAAAJMy8yOS8yMDI2CAAAAAk1LzI4LzIwMjIJAAAAATDZf4B6RI3eCJkWfX5Ejd4IO0NJUS5OQVNEQVE6Q0FMTS5JUV9GSU5fRElWX0xPQU5TX0xULjEwMDAuMjkvMDMvMjAyNi4uLlVTRC5IAQAAACB6BQADAAAAAADZf4B6RI3eCNrvfH5Ejd4IL0NJUS5OQVNEQVE6Q0FMTS5JUV9BUl9MVC45OTMuMjkvMDMvMjAyNi4uLlVTRC5IAQAAACB6BQADAAAAAADZf4B6RI3eCNLAfH5E</t>
  </si>
  <si>
    <t>jd4IO0NJUS5OQVNEQVE6Q0FMTS5JUV9ERUZfVEFYX0FTU0VUU19MVC45OTYuMjkvMDMvMjAyNi4uLlVTRC5IAQAAACB6BQADAAAAAADZf4B6RI3eCImSfH5Ejd4IMUNJUS5OQVNEQVE6Q0FMTS5JUV9TVF9ERUJULjk5NS4yOS8wMy8yMDI2Li4uVVNELkgBAAAAIHoFAAMAAAAAANl/gHpEjd4Iks97fkSN3ggzQ0lRLk5BU0RBUTpDQUxNLklRX0lOVkVOVE9SWS45OTkuMjkvMDMvMjAyNi4uLlVTRC5IAQAAACB6BQACAAAABzI2MS43ODIBCAAAAAUAAAABMQEAAAALLTE5MzQ5Nzg0ODADAAAAAzE2MAIAAAAEMTA0MwQAAAABMAcAAAAJMy8yOS8yMDI2CAAAAAg2LzEvMjAyNAkAAAABMLVYgHpEjd4IcYt+fkSN3gg/Q0lRLk5BU0RBUTpDQUxNLklRX0ZJTl9ESVZfTE9BTlNfQ1VSUkVOVC45OTMuMjkvMDMvMjAyNi4uLlVTRC5IAQAAACB6BQADAAAAAAC1WIB6RI3eCG5jfn5Ejd4IOENJUS5OQVNEQVE6Q0FMTS5JUV9MT0FOU19GT1JfU0FMRS45OTcuMjkvMDMvMjAyNi4uLlVTRC5IAQAAACB6BQADAAAAAAC1WIB6RI3eCPAUfn5Ejd4IOENJUS5OQVNEQVE6Q0FMTS5JUV9PVEhFUl9DQV9TVVBQTC45OTcuMjkvMDMvMjAyNi4uLlVTRC5IAQAAACB6BQADAAAAAADZf4B6RI3eCA6zfX5Ejd4ILkNJUS5OQVNEQVE6Q0FMTS5JUV9OUFBFLjk5NC4yOS8wMy8yMDI2Li4uVVNELkgBAAAAIHoFAAIAAAAHNDU2LjI5NAEI</t>
  </si>
  <si>
    <t>AAAABQAAAAExAQAAAAstMjE0MjQyOTAzOQMAAAADMTYwAgAAAAQxMDA0BAAAAAEwBwAAAAkzLzI5LzIwMjYIAAAACDYvMS8yMDE5CQAAAAEw2X+AekSN3gjtPX1+RI3eCEJDSVEuTkFTREFROkNBTE0uSVFfT1BFUkFUSU5HX0xFQVNFX1BBWU1FTlRTLjk5NS4yOS8wMy8yMDI2Li4uVVNELkgBAAAAIHoFAAMAAAAAAI2Bf3pEjd4Iqh6AfkSN3ghHQ0lRLk5BU0RBUTpDQUxNLklRX1RPVEFMX0RFQlRfUkVQQUlEX0VYQ0xfTEVBU0VTLjk5My4yOS8wMy8yMDI2Li4uVVNELkgBAAAAIHoFAAIAAAAGLTQuODQ5AQgAAAAFAAAAATEBAAAACjIwNDU3NDkzMTADAAAAAzE2MAIAAAAFNDg5ODYEAAAAATAHAAAACTMvMjkvMjAyNggAAAAINi8yLzIwMTgJAAAAATCNgX96RI3eCDqcf35Ejd4IPUNJUS5OQVNEQVE6Q0FMTS5JUV9HQUlOX0JBUkdBSU5fQUNRX0NGLjk5OS4yOS8wMy8yMDI2Li4uVVNELkgBAAAAIHoFAAMAAAAAAI2Bf3pEjd4IInV/fkSN3gg4Q0lRLk5BU0RBUTpDQUxNLklRX0NBU0hfU1RfSU5WRVNULjk5NS4yOS8wMy8yMDI2Li4uVVNELkgBAAAAIHoFAAIAAAAHMjMyLjI5MwEIAAAABQAAAAExAQAAAAstMjA4ODM0NzQ2OQMAAAADMTYwAgAAAAQxMDAyBAAAAAEwBwAAAAkzLzI5LzIwMjYIAAAACTUvMzAvMjAyMAkAAAABMI2Bf3pEjd4I/SZ/fkSN3gg4Q0lRLk5BU0RBUTpDQUxNLklRX1NUX05PVEVf</t>
  </si>
  <si>
    <t>UkVDRUlWLjk5NS4yOS8wMy8yMDI2Li4uVVNELkgBAAAAIHoFAAMAAAAAAEi8f3pEjd4I1bF+fkSN3ghAQ0lRLk5BU0RBUTpDQUxNLklRX0NBU0hfSU5URVJFU1RfUkVDRUlWRUQuOTk3LjI5LzAzLzIwMjYuLi5VU0QuSAEAAAAgegUAAwAAAAAAG1l/ekSN3ghn4IF+RI3eCDRDSVEuTkFTREFROkNBTE0uSVFfQ0FTSF9UQVhFUy45OTUuMjkvMDMvMjAyNi4uLlVTRC5IAQAAACB6BQACAAAABTAuMDMyAQgAAAAFAAAAATEBAAAACy0yMDg4MzQ3NDY5AwAAAAMxNjACAAAABDMwNTMEAAAAATAHAAAACTMvMjkvMjAyNggAAAAJNS8zMC8yMDIwCQAAAAEwG1l/ekSN3ggra4F+RI3eCD5DSVEuTkFTREFROkNBTE0uSVFfQ0hBTkdFX0RFRl9UQVhfVE9UQUwuOTkzLjI5LzAzLzIwMjYuLi5VU0QuSAEAAAAgegUAAgAAAActMzMuODA5AQgAAAAFAAAAATEBAAAACjIwNDU3NDkzMTADAAAAAzE2MAIAAAAFMzA5MjQEAAAAATAHAAAACTMvMjkvMjAyNggAAAAINi8yLzIwMTgJAAAAATCNgX96RI3eCNrhgH5Ejd4IRENJUS5OQVNEQVE6Q0FMTS5JUV9DSEFOR0VfTkVUX1dPUktJTkdfQ0FQSVRBTC45OTkuMjkvMDMvMjAyNi4uLlVTRC5IAQAAACB6BQACAAAABy05Mi41NjEBCAAAAAUAAAABMQEAAAALLTE5MzQ5Nzg0ODADAAAAAzE2MAIAAAAENDQyMQQAAAABMAcAAAAJMy8yOS8yMDI2CAAAAAg2LzEvMjAyNAkAAAABMI2B</t>
  </si>
  <si>
    <t>f3pEjd4IzbqAfkSN3gg5Q0lRLk5BU0RBUTpDQUxNLklRX05FVF9ERUJUX0lTU1VFRC45OTcuMjkvMDMvMjAyNi4uLlVTRC5IAQAAACB6BQACAAAABi0wLjIxNQEIAAAABQAAAAExAQAAAAstMTk4NjcwODQzMwMAAAADMTYwAgAAAAQyMDAzBAAAAAEwBwAAAAkzLzI5LzIwMjYIAAAACTUvMjgvMjAyMgkAAAABMI2Bf3pEjd4IyZOAfkSN3gg9Q0lRLk5BU0RBUTpDQUxNLklRX0RBX1NVUFBMX1BBUlRJQUxfQ0YuOTk3LjI5LzAzLzIwMjYuLi5VU0QuSAEAAAAgegUAAwAAAAAApjGAekSN3ggkNYN+RI3eCDFDSVEuTkFTREFROkNBTE0uSVFfREVQX1JVQS45OTUuMjkvMDMvMjAyNi4uLlVTRC5IAQAAACB6BQADAAAAAACmMYB6RI3eCPHSgn5Ejd4IQENJUS5OQVNEQVE6Q0FMTS5JUV9EQV9DRl9FWENMX09QRVJfTEVBU0VTLjk5OS4yOS8wMy8yMDI2Li4uVVNELkgBAAAAIHoFAAIAAAAGODAuMjQxAQgAAAAFAAAAATEBAAAACy0xOTM0OTc4NDgwAwAAAAMxNjACAAAABTQ4OTg1BAAAAAEwBwAAAAkzLzI5LzIwMjYIAAAACDYvMS8yMDI0CQAAAAEwpjGAekSN3gi3o4J+RI3eCDZDSVEuTkFTREFROkNBTE0uSVFfQU1PUlRfRElDX0NGLjk5My4yOS8wMy8yMDI2Li4uVVNELkgBAAAAIHoFAAMAAAAAAKYxgHpEjd4ImVWCfkSN3ghCQ0lRLk5BU0RBUTpDQUxNLklRX0FNT1JUX1NPRlRXQVJFX0FTU0VUU19DRi45OTku</t>
  </si>
  <si>
    <t>MjkvMDMvMjAyNi4uLlVTRC5IAQAAACB6BQADAAAAAACmMYB6RI3eCIcugn5Ejd4IMkNJUS5OQVNEQVE6Q0FMTS5JUV9QUkVGX1JFUC45OTUuMjkvMDMvMjAyNi4uLlVTRC5IAQAAACB6BQADAAAAAADXCoB6RI3eCE+5hH5Ejd4IPENJUS5OQVNEQVE6Q0FMTS5JUV9DT01NT05fUFJFRl9ESVZfQ0YuOTk1LjI5LzAzLzIwMjYuLi5VU0QuSAEAAAAgegUAAwAAAAAA1wqAekSN3gjzQ4R+RI3eCDhDSVEuTkFTREFROkNBTE0uSVFfU1BFQ0lBTF9ESVZfQ0YuOTk5LjI5LzAzLzIwMjYuLi5VU0QuSAEAAAAgegUAAwAAAAAApjGAekSN3ggrCYR+RI3eCDRDSVEuTkFTREFROkNBTE0uSVFfQ0FTSF9GSU5BTi45OTMuMjkvMDMvMjAyNi4uLlVTRC5IAQAAACB6BQACAAAABi01LjY5OAEIAAAABQAAAAExAQAAAAoyMDQ1NzQ5MzEwAwAAAAMxNjACAAAABDIwMDQEAAAAATAHAAAACTMvMjkvMjAyNggAAAAINi8yLzIwMTgJAAAAATCmMYB6RI3eCDbig35Ejd4IOENJUS5OQVNEQVE6Q0FMTS5JUV9NSVNDX0FESlVTVF9DRi45OTcuMjkvMDMvMjAyNi4uLlVTRC5IAQAAACB6BQADAAAAAACmMYB6RI3eCCO7g35Ejd4IPkNJUS5OQVNEQVE6Q0FMTS5JUV9JTlRFUkNPTVBBTllfTk9OX0NMLjEwMDAuMjkvMDMvMjAyNi4uLlVTRC5IAQAAACB6BQADAAAAAAD7sBd6RI3eCCfoa35Ejd4IOENJUS5OQVNEQVE6Q0FMTS5JUV9TVF9E</t>
  </si>
  <si>
    <t>RUJUX0lTU1VFRC45OTMuMjkvMDMvMjAyNi4uLlVTRC5IAQAAACB6BQADAAAAAADXCoB6RI3eCLp8hX5Ejd4IOENJUS5OQVNEQVE6Q0FMTS5JUV9MVF9ERUJUX0lTU1VFRC45OTkuMjkvMDMvMjAyNi4uLlVTRC5IAQAAACB6BQADAAAAAADXCoB6RI3eCKVVhX5Ejd4IOENJUS5OQVNEQVE6Q0FMTS5JUV9TVF9ERUJUX1JFUEFJRC45OTMuMjkvMDMvMjAyNi4uLlVTRC5IAQAAACB6BQADAAAAAADXCoB6RI3eCH0uhX5Ejd4IO0NJUS5OQVNEQVE6Q0FMTS5JUV9UT1RBTF9ERUJUX1JFUEFJRC45OTcuMjkvMDMvMjAyNi4uLlVTRC5IAQAAACB6BQACAAAABi0wLjIxNQEIAAAABQAAAAExAQAAAAstMTk4NjcwODQzMwMAAAADMTYwAgAAAAQyMTY2BAAAAAEwBwAAAAkzLzI5LzIwMjYIAAAACTUvMjgvMjAyMgkAAAABMNcKgHpEjd4InweFfkSN3gg+Q0lRLk5BU0RBUTpDQUxNLklRX1dBUlJBTlRZX0xJQUJJTElUSUVTLjk5Ni4yOS8wMy8yMDI2Li4uVVNELkgBAAAAIHoFAAMAAAAAAAKKF3pEjd4IWEZufkSN3ghBQ0lRLk5BU0RBUTpDQUxNLklRX0RFUklWQVRJVkVfTElBQl9DVVJSRU5ULjk5Ni4yOS8wMy8yMDI2Li4uVVNELkgBAAAAIHoFAAMAAAAAAAKKF3pEjd4IJtFtfkSN3gg+Q0lRLk5BU0RBUTpDQUxNLklRX0RFUklWQVRJVkVfQVNTRVRTX0xULjk5Ny4yOS8wMy8yMDI2Li4uVVNELkgBAAAAIHoFAAMAAAAA</t>
  </si>
  <si>
    <t>APuwF3pEjd4Is1ttfkSN3gg4Q0lRLk5BU0RBUTpDQUxNLklRX0FDQ1VNX0FNT1JUX0dXLjk5OS4yOS8wMy8yMDI2Li4uVVNELkgBAAAAIHoFAAMAAAAAAPuwF3pEjd4It9JsfkSN3gg0Q0lRLk5BU0RBUTpDQUxNLklRX0lOVEFOX05FVC4xMDAwLjI5LzAzLzIwMjYuLi5VU0QuSAEAAAAgegUAAgAAAAYxNS4xNTcBCAAAAAUAAAABMQEAAAALLTE5MzQ5NzgzODEDAAAAAzE2MAIAAAAFNDg5NjIEAAAAATAHAAAACTMvMjkvMjAyNggAAAAJNS8zMS8yMDI1CQAAAAEw+7AXekSN3giAXWx+RI3eCERDSVEuTkFTREFROkNBTE0uSVFfRklOX0RJVl9NSU5PUklUWV9JTlRFUkVTVC4xMDAwLjI5LzAzLzIwMjYuLi5VU0QuSAEAAAAgegUAAwAAAAAAomktekSN3gh63XF+RI3eCEZDSVEuTkFTREFROkNBTE0uSVFfR0VORVJBTF9QQVJUTkVSX1BSRUZfRVFVSVRZLjEwMDAuMjkvMDMvMjAyNi4uLlVTRC5IAQAAACB6BQADAAAAAACiaS16RI3eCLiicX5Ejd4ITUNJUS5OQVNEQVE6Q0FMTS5JUV9MSVFVSURBVElPTl9WQUxVRV9QUkVGRVJSRURfQ09OVkVSVC45OTcuMjkvMDMvMjAyNi4uLlVTRC5IAQAAACB6BQADAAAAAACiaS16RI3eCIotcX5Ejd4IQENJUS5OQVNEQVE6Q0FMTS5JUV9GSU5fRElWX1NUX0RFQlRfVE9UQUwuMTAwMC4yOS8wMy8yMDI2Li4uVVNELkgBAAAAIHoFAAMAAAAAAOZiF3pEjd4I25JvfkSN3gg8</t>
  </si>
  <si>
    <t>Q0lRLk5BU0RBUTpDQUxNLklRX0RFQlRfRVFVSVZfTkVUX1BCTy45OTQuMjkvMDMvMjAyNi4uLlVTRC5IAQAAACB6BQACAAAAAzQuOQEIAAAABQAAAAExAQAAAAstMjE0MjQyOTAzOQMAAAADMTYwAgAAAAUyMTY3OQQAAAABMAcAAAAJMy8yOS8yMDI2CAAAAAg2LzEvMjAxOQkAAAABMAKKF3pEjd4Ij/ZufkSN3ggvQ0lRLk5BU0RBUTpDQUxNLklRX0xJRk9SLjk5Ni4yOS8wMy8yMDI2Li4uVVNELkgBAAAAIHoFAAMAAAAAAMEuLXpEjd4InMZzfkSN3gguQ0lRLk5BU0RBUTpDQUxNLklRX0xBTkQuOTk0LjI5LzAzLzIwMjYuLi5VU0QuSAEAAAAgegUAAgAAAAY5My4wNDYBCAAAAAUAAAABMQEAAAALLTIxNDI0MjkwMzkDAAAAAzE2MAIAAAAEMzA5OAQAAAABMAcAAAAJMy8yOS8yMDI2CAAAAAg2LzEvMjAxOQkAAAABMMBVLXpEjd4IMD1zfkSN3gg0Q0lRLk5BU0RBUTpDQUxNLklRX01BQ0hJTkVSWS4xMDAwLjI5LzAzLzIwMjYuLi5VU0QuSAEAAAAgegUAAgAAAAc4NzYuMDI0AQgAAAAFAAAAATEBAAAACy0xOTM0OTc4MzgxAwAAAAMxNjACAAAABDMxMTQEAAAAATAHAAAACTMvMjkvMjAyNggAAAAJNS8zMS8yMDI1CQAAAAEwwFUtekSN3ggW73J+RI3eCC1DSVEuTkFTREFROkNBTE0uSVFfQ0lQLjk5Ni4yOS8wMy8yMDI2Li4uVVNELkgBAAAAIHoFAAIAAAAGNzIuODc5AQgAAAAFAAAAATEBAAAACy0yMDM3MjQx</t>
  </si>
  <si>
    <t>NzIxAwAAAAMxNjACAAAABDMwMzMEAAAAATAHAAAACTMvMjkvMjAyNggAAAAJNS8yOS8yMDIxCQAAAAEwwFUtekSN3ggNoXJ+RI3eCD1DSVEuTkFTREFROkNBTE0uSVFfTUlOT1JJVFlfSU5UX1JFREVFTS45OTkuMjkvMDMvMjAyNi4uLlVTRC5IAQAAACB6BQADAAAAAADAVS16RI3eCNBScn5Ejd4IRUNJUS5OQVNEQVE6Q0FMTS5JUV9UT1RBTF9ERUJUX0VYQ0xfT1BFUl9MRUFTRVMuOTk4LjI5LzAzLzIwMjYuLi5VU0QuSAEAAAAgegUAAwAAAAAAugctekSN3giK/XV+RI3eCDtDSVEuTkFTREFROkNBTE0uSVFfQlZfU0hBUkVfUkVQT1JURUQuOTk0LjI5LzAzLzIwMjYuLi5VU0QuSAEAAAAgegUAAwAAAAAAwS4tekSN3ghqr3V+RI3eCC1DSVEuTkFTREFROkNBTE0uSVFfVEJWLjk5Ni4yOS8wMy8yMDI2Li4uVVNELkgBAAAAIHoFAAIAAAAHOTU2LjkxNQEIAAAABQAAAAExAQAAAAstMjAzNzI0MTcyMQMAAAADMTYwAgAAAAQxMzEwBAAAAAEwBwAAAAkzLzI5LzIwMjYIAAAACTUvMjkvMjAyMQkAAAABMMEuLXpEjd4ISGF1fkSN3gg9Q0lRLk5BU0RBUTpDQUxNLklRX1RPVEFMX0RFQlRfQ1VSUkVOVC4xMDAwLjI5LzAzLzIwMjYuLi5VU0QuSAEAAAAgegUAAwAAAAAAwS4tekSN3gjxsHR+RI3eCDlDSVEuTkFTREFROkNBTE0uSVFfTkVUX1dPUktJTkdfQ0FQLjk5Ni4yOS8wMy8yMDI2Li4uVVNELkgBAAAAIHoF</t>
  </si>
  <si>
    <t>AAIAAAAGMjYxLjIzAQgAAAAFAAAAATEBAAAACy0yMDM3MjQxNzIxAwAAAAMxNjACAAAABDEzMTEEAAAAATAHAAAACTMvMjkvMjAyNggAAAAJNS8yOS8yMDIxCQAAAAEwwS4tekSN3gjHO3R+RI3eCDNDSVEuTkFTREFROkNBTE0uSVFfUlVBX0dST1NTLjk5NS4yOS8wMy8yMDI2Li4uVVNELkgBAAAAIHoFAAMAAAAAAJbgLHpEjd4INiR4fkSN3ggxQ0lRLk5BU0RBUTpDQUxNLklRX1JVQV9ORVQuOTk3LjI5LzAzLzIwMjYuLi5VU0QuSAEAAAAgegUAAwAAAAAAluAsekSN3ghY93d+RI3eCEVDSVEuTkFTREFROkNBTE0uSVFfUlVBX0NBUElUQUxfTEVBU0VfQUNDVU1fREVQLjk5OS4yOS8wMy8yMDI2Li4uVVNELkgBAAAAIHoFAAMAAAAAAJbgLHpEjd4Ixah3fkSN3ghEQ0lRLk5BU0RBUTpDQUxNLklRX1JVQV9PUEVSQVRJTkdfTEVBU0VfR1JPU1MuMTAwMC4yOS8wMy8yMDI2Li4uVVNELkgBAAAAIHoFAAMAAAAAAJbgLHpEjd4IF3F3fkSN3ghSQ0lRLk5BU0RBUTpDQUxNLklRX0ZJTkFOQ0lOR19PQkxJR19DVVJSRU5UX0VYQ0xfT1BFUl9MRUFTRVMuOTk5LjI5LzAzLzIwMjYuLi5VU0QuSAEAAAAgegUAAwAAAAAAugctekSN3gigJHZ+RI3eCDlDSVEuTkFTREFROkNBTE0uSVFfRklOX0RJVl9MSUFCX0xULjk5Ny4yOS8wMy8yMDI2Li4uVVNELkgBAAAAIHoFAAMAAAAAAA2ngHpEjd4IWVt6fkSN3ggxQ0lRLk5B</t>
  </si>
  <si>
    <t>U0RBUTpDQUxNLklRX1BFTlNJT04uOTk5LjI5LzAzLzIwMjYuLi5VU0QuSAEAAAAgegUAAwAAAAAADaeAekSN3gg1DXp+RI3eCDVDSVEuTkFTREFROkNBTE0uSVFfUFJFRl9FUVVJVFkuOTk1LjI5LzAzLzIwMjYuLi5VU0QuSAEAAAAgegUAAwAAAAAAirksekSN3gisNXl+RI3eCC5DSVEuTkFTREFROkNBTE0uSVFfQVBJQy45OTcuMjkvMDMvMjAyNi4uLlVTRC5IAQAAACB6BQACAAAABjY3Ljk4OQEIAAAABQAAAAExAQAAAAstMTk4NjcwODQzMwMAAAADMTYwAgAAAAQxMDg0BAAAAAEwBwAAAAkzLzI5LzIwMjYIAAAACTUvMjgvMjAyMgkAAAABMIq5LHpEjd4Ikw55fkSN3ggyQ0lRLk5BU0RBUTpDQUxNLklRX1RSRUFTVVJZLjk5OS4yOS8wMy8yMDI2Li4uVVNELkgBAAAAIHoFAAIAAAAHLTMxLjU5NwEIAAAABQAAAAExAQAAAAstMTkzNDk3ODQ4MAMAAAADMTYwAgAAAAQxMjQ4BAAAAAEwBwAAAAkzLzI5LzIwMjYIAAAACDYvMS8yMDI0CQAAAAEwirksekSN3gh9wHh+RI3eCCxDSVEuTkFTREFROkNBTE0uSVFfQUUuOTk4LjI5LzAzLzIwMjYuLi5VU0QuSAEAAAAgegUAAgAAAAY1NC43MjMBCAAAAAUAAAABMQEAAAALLTE5MzQ5Nzg0MjADAAAAAzE2MAIAAAAEMTAxNgQAAAABMAcAAAAJMy8yOS8yMDI2CAAAAAg2LzMvMjAyMwkAAAABMNl/gHpEjd4Iks97fkSN3gg9Q0lRLk5BU0RBUTpDQUxNLklRX0lOQ19U</t>
  </si>
  <si>
    <t>QVhfUEFZX0NVUlJFTlQuOTk3LjI5LzAzLzIwMjYuLi5VU0QuSAEAAAAgegUAAgAAAAYyNS42ODcBCAAAAAUAAAABMQEAAAALLTE5ODY3MDg0MzMDAAAAAzE2MAIAAAAEMTA5NAQAAAABMAcAAAAJMy8yOS8yMDI2CAAAAAk1LzI4LzIwMjIJAAAAATANp4B6RI3eCMxZe35Ejd4IP0NJUS5OQVNEQVE6Q0FMTS5JUV9ERUZfVEFYX0xJQUJfQ1VSUkVOVC4xMDAwLjI5LzAzLzIwMjYuLi5VU0QuSAEAAAAgegUAAwAAAAAADaeAekSN3ghOC3t+RI3eCDJDSVEuTkFTREFROkNBTE0uSVFfVE9UQUxfQ0wuOTkzLjI5LzAzLzIwMjYuLi5VU0QuSAEAAAAgegUAAgAAAAcxMDcuODM4AQgAAAAFAAAAATEBAAAACjIwNDU3NDkzMTADAAAAAzE2MAIAAAAEMTAwOQQAAAABMAcAAAAJMy8yOS8yMDI2CAAAAAg2LzIvMjAxOAkAAAABMA2ngHpEjd4IbtB6fkSN3gg6Q0lRLk5BU0RBUTpDQUxNLklRX0xPTkdfVEVSTV9MRUFTRVMuOTk1LjI5LzAzLzIwMjYuLi5VU0QuSAEAAAAgegUAAgAAAAUyLjM4NwEIAAAABQAAAAExAQAAAAstMjA4ODM0NzQ2OQMAAAADMTYwAgAAAAQxMTgzBAAAAAEwBwAAAAkzLzI5LzIwMjYIAAAACTUvMzAvMjAyMAkAAAABMA2ngHpEjd4IQIJ6fkSN3gguQ0lRLk5BU0RBUTpDQUxNLklRX05QUEUuOTk2LjI5LzAzLzIwMjYuLi5VU0QuSAEAAAAgegUAAgAAAAc1OTEuNjY2AQgAAAAFAAAAATEBAAAACy0y</t>
  </si>
  <si>
    <t>MDM3MjQxNzIxAwAAAAMxNjACAAAABDEwMDQEAAAAATAHAAAACTMvMjkvMjAyNggAAAAJNS8yOS8yMDIxCQAAAAEw2X+AekSN3gjgZH1+RI3eCCxDSVEuTkFTREFROkNBTE0uSVFfR1cuOTk4LjI5LzAzLzIwMjYuLi5VU0QuSAEAAAAgegUAAgAAAAY0NC4wMDYBCAAAAAUAAAABMQEAAAALLTE5MzQ5Nzg0MjADAAAAAzE2MAIAAAAEMTE3MQQAAAABMAcAAAAJMy8yOS8yMDI2CAAAAAg2LzMvMjAyMwkAAAABMNl/gHpEjd4ImRZ9fkSN3ggvQ0lRLk5BU0RBUTpDQUxNLklRX0FSX0xULjk5NC4yOS8wMy8yMDI2Li4uVVNELkgBAAAAIHoFAAMAAAAAANl/gHpEjd4I0sB8fkSN3gg7Q0lRLk5BU0RBUTpDQUxNLklRX0RFRl9UQVhfQVNTRVRTX0xULjk5Ny4yOS8wMy8yMDI2Li4uVVNELkgBAAAAIHoFAAMAAAAAANl/gHpEjd4IiZJ8fkSN3ggsQ0lRLk5BU0RBUTpDQUxNLklRX0FQLjk5My4yOS8wMy8yMDI2Li4uVVNELkgBAAAAIHoFAAIAAAAFMzcuODQBCAAAAAUAAAABMQEAAAAKMjA0NTc0OTMxMAMAAAADMTYwAgAAAAQxMDE4BAAAAAEwBwAAAAkzLzI5LzIwMjYIAAAACDYvMi8yMDE4CQAAAAEw2X+AekSN3ghlHXx+RI3eCDhDSVEuTkFTREFROkNBTE0uSVFfU1RfTk9URV9SRUNFSVYuOTk2LjI5LzAzLzIwMjYuLi5VU0QuSAEAAAAgegUAAwAAAAAASLx/ekSN3gjVsX5+RI3eCDRDSVEuTkFTREFROkNBTE0uSVFf</t>
  </si>
  <si>
    <t>SU5WRU5UT1JZLjEwMDAuMjkvMDMvMjAyNi4uLlVTRC5IAQAAACB6BQACAAAABjI5NS42NwEIAAAABQAAAAExAQAAAAstMTkzNDk3ODM4MQMAAAADMTYwAgAAAAQxMDQzBAAAAAEwBwAAAAkzLzI5LzIwMjYIAAAACTUvMzEvMjAyNQkAAAABMLVYgHpEjd4IbmN+fkSN3gg/Q0lRLk5BU0RBUTpDQUxNLklRX0ZJTl9ESVZfTE9BTlNfQ1VSUkVOVC45OTQuMjkvMDMvMjAyNi4uLlVTRC5IAQAAACB6BQADAAAAAAC1WIB6RI3eCFc8fn5Ejd4IQUNJUS5OQVNEQVE6Q0FMTS5JUV9GSU5fRElWX0FTU0VUU19DVVJSRU5ULjEwMDAuMjkvMDMvMjAyNi4uLlVTRC5IAQAAACB6BQADAAAAAAC1WIB6RI3eCPAUfn5Ejd4IOENJUS5OQVNEQVE6Q0FMTS5JUV9PVEhFUl9DQV9TVVBQTC45OTguMjkvMDMvMjAyNi4uLlVTRC5IAQAAACB6BQADAAAAAADZf4B6RI3eCA6zfX5Ejd4IOUNJUS5OQVNEQVE6Q0FMTS5JUV9ORVRfREVCVF9JU1NVRUQuOTk4LjI5LzAzLzIwMjYuLi5VU0QuSAEAAAAgegUAAgAAAAYtMC4yMjQBCAAAAAUAAAABMQEAAAALLTE5MzQ5Nzg0MjADAAAAAzE2MAIAAAAEMjAwMwQAAAABMAcAAAAJMy8yOS8yMDI2CAAAAAg2LzMvMjAyMwkAAAABMI2Bf3pEjd4IyWyAfkSN3ghCQ0lRLk5BU0RBUTpDQUxNLklRX09QRVJBVElOR19MRUFTRV9QQVlNRU5UUy45OTYuMjkvMDMvMjAyNi4uLlVTRC5IAQAAACB6BQAD</t>
  </si>
  <si>
    <t>AAAAAACNgX96RI3eCKoegH5Ejd4IS0NJUS5OQVNEQVE6Q0FMTS5JUV9MT05HX1RFUk1fREVCVF9SRVBBSURfRVhDTF9MRUFTRVMuOTk2LjI5LzAzLzIwMjYuLi5VU0QuSAEAAAAgegUAAgAAAAYtMC4yMDUBCAAAAAUAAAABMQEAAAALLTIwMzcyNDE3MjEDAAAAAzE2MAIAAAAFNDg5ODQEAAAAATAHAAAACTMvMjkvMjAyNggAAAAJNS8yOS8yMDIxCQAAAAEwjYF/ekSN3gg6nH9+RI3eCD5DSVEuTkFTREFROkNBTE0uSVFfR0FJTl9CQVJHQUlOX0FDUV9DRi4xMDAwLjI5LzAzLzIwMjYuLi5VU0QuSAEAAAAgegUAAwAAAAAAjYF/ekSN3ggidX9+RI3eCDhDSVEuTkFTREFROkNBTE0uSVFfVFJBRElOR19BU1NFVFMuOTk4LjI5LzAzLzIwMjYuLi5VU0QuSAEAAAAgegUAAwAAAAAAjYF/ekSN3gjS/35+RI3eCEBDSVEuTkFTREFROkNBTE0uSVFfQ0FTSF9JTlRFUkVTVF9SRUNFSVZFRC45OTguMjkvMDMvMjAyNi4uLlVTRC5IAQAAACB6BQADAAAAAAAbWX96RI3eCGfggX5Ejd4INENJUS5OQVNEQVE6Q0FMTS5JUV9DQVNIX1RBWEVTLjk5Ni4yOS8wMy8yMDI2Li4uVVNELkgBAAAAIHoFAAIAAAAFMC45OTUBCAAAAAUAAAABMQEAAAALLTIwMzcyNDE3MjEDAAAAAzE2MAIAAAAEMzA1MwQAAAABMAcAAAAJMy8yOS8yMDI2CAAAAAk1LzI5LzIwMjEJAAAAATAbWX96RI3eCCtrgX5Ejd4IPkNJUS5OQVNEQVE6Q0FMTS5J</t>
  </si>
  <si>
    <t>UV9DSEFOR0VfREVGX1RBWF9UT1RBTC45OTQuMjkvMDMvMjAyNi4uLlVTRC5IAQAAACB6BQACAAAABTYuMTIzAQgAAAAFAAAAATEBAAAACy0yMTQyNDI5MDM5AwAAAAMxNjACAAAABTMwOTI0BAAAAAEwBwAAAAkzLzI5LzIwMjYIAAAACDYvMS8yMDE5CQAAAAEwjYF/ekSN3gjNHIF+RI3eCEVDSVEuTkFTREFROkNBTE0uSVFfQ0hBTkdFX05FVF9XT1JLSU5HX0NBUElUQUwuMTAwMC4yOS8wMy8yMDI2Li4uVVNELkgBAAAAIHoFAAIAAAAFNjUuOTIBCAAAAAUAAAABMQEAAAALLTE5MzQ5NzgzODEDAAAAAzE2MAIAAAAENDQyMQQAAAABMAcAAAAJMy8yOS8yMDI2CAAAAAk1LzMxLzIwMjUJAAAAATCNgX96RI3eCNrhgH5Ejd4IN0NJUS5OQVNEQVE6Q0FMTS5JUV9VTkxFVkVSRURfRkNGLjk5NC4yOS8wMy8yMDI2Li4uVVNELkgBAAAAIHoFAAIAAAAILTMuOTk5MjUBCAAAAAUAAAABMQEAAAALLTIxNDI0MjkwMzkDAAAAAzE2MAIAAAAENDQyMwQAAAABMAcAAAAJMy8yOS8yMDI2CAAAAAg2LzEvMjAxOQkAAAABMI2Bf3pEjd4IyZOAfkSN3ggtQ0lRLk5BU0RBUTpDQUxNLklRX0ZYLjEwMDAuMjkvMDMvMjAyNi4uLlVTRC5IAQAAACB6BQADAAAAAACmMYB6RI3eCCO7g35Ejd4IPUNJUS5OQVNEQVE6Q0FMTS5JUV9EQV9TVVBQTF9QQVJUSUFMX0NGLjk5OC4yOS8wMy8yMDI2Li4uVVNELkgBAAAAIHoFAAMAAAAAAKYx</t>
  </si>
  <si>
    <t>gHpEjd4IJDWDfkSN3ggxQ0lRLk5BU0RBUTpDQUxNLklRX0RFUF9SVUEuOTk2LjI5LzAzLzIwMjYuLi5VU0QuSAEAAAAgegUAAwAAAAAApjGAekSN3gjx0oJ+RI3eCDZDSVEuTkFTREFROkNBTE0uSVFfQU1PUlRfRElDX0NGLjk5NC4yOS8wMy8yMDI2Li4uVVNELkgBAAAAIHoFAAMAAAAAAKYxgHpEjd4ImVWCfkSN3ghDQ0lRLk5BU0RBUTpDQUxNLklRX0FNT1JUX1NPRlRXQVJFX0FTU0VUU19DRi4xMDAwLjI5LzAzLzIwMjYuLi5VU0QuSAEAAAAgegUAAwAAAAAApjGAekSN3giHLoJ+RI3eCDlDSVEuTkFTREFROkNBTE0uSVFfQUNDVU1fQU1PUlRfR1cuMTAwMC4yOS8wMy8yMDI2Li4uVVNELkgBAAAAIHoFAAMAAAAAAPuwF3pEjd4Ix/lsfkSN3ggzQ0lRLk5BU0RBUTpDQUxNLklRX0lOVEFOX05FVC45OTUuMjkvMDMvMjAyNi4uLlVTRC5IAQAAACB6BQACAAAABjIyLjgxNgEIAAAABQAAAAExAQAAAAstMjA4ODM0NzQ2OQMAAAADMTYwAgAAAAU0ODk2MgQAAAABMAcAAAAJMy8yOS8yMDI2CAAAAAk1LzMwLzIwMjAJAAAAATD7sBd6RI3eCIBdbH5Ejd4IPENJUS5OQVNEQVE6Q0FMTS5JUV9DT01NT05fUFJFRl9ESVZfQ0YuOTk2LjI5LzAzLzIwMjYuLi5VU0QuSAEAAAAgegUAAwAAAAAA1wqAekSN3gg7a4R+RI3eCDlDSVEuTkFTREFROkNBTE0uSVFfU1BFQ0lBTF9ESVZfQ0YuMTAwMC4yOS8wMy8yMDI2Li4u</t>
  </si>
  <si>
    <t>VVNELkgBAAAAIHoFAAMAAAAAAKYxgHpEjd4INuKDfkSN3gg0Q0lRLk5BU0RBUTpDQUxNLklRX0NBU0hfRklOQU4uOTk0LjI5LzAzLzIwMjYuLi5VU0QuSAEAAAAgegUAAgAAAActNDYuNDUyAQgAAAAFAAAAATEBAAAACy0yMTQyNDI5MDM5AwAAAAMxNjACAAAABDIwMDQEAAAAATAHAAAACTMvMjkvMjAyNggAAAAINi8xLzIwMTkJAAAAATCmMYB6RI3eCCO7g35Ejd4IPUNJUS5OQVNEQVE6Q0FMTS5JUV9MSUFCSUxJVElFU19MRVZFTF8zLjk5OC4yOS8wMy8yMDI2Li4uVVNELkgBAAAAIHoFAAMAAAAAAOZiF3pEjd4IGghwfkSN3gg/Q0lRLk5BU0RBUTpDQUxNLklRX0ZJTl9ESVZfU1RfREVCVF9UT1RBTC45OTUuMjkvMDMvMjAyNi4uLlVTRC5IAQAAACB6BQADAAAAAADmYhd6RI3eCNuSb35Ejd4IPENJUS5OQVNEQVE6Q0FMTS5JUV9ERUJUX0VRVUlWX05FVF9QQk8uOTk3LjI5LzAzLzIwMjYuLi5VU0QuSAEAAAAgegUAAgAAAAM1LjYBCAAAAAUAAAABMQEAAAALLTE5ODY3MDg0MzMDAAAAAzE2MAIAAAAFMjE2NzkEAAAAATAHAAAACTMvMjkvMjAyNggAAAAJNS8yOC8yMDIyCQAAAAEwAooXekSN3gjEHW9+RI3eCEBDSVEuTkFTREFROkNBTE0uSVFfQ09OVElOR0VOVF9MSUFCSUxJVElFUy45OTkuMjkvMDMvMjAyNi4uLlVTRC5IAQAAACB6BQADAAAAAAACihd6RI3eCHBtbn5Ejd4IPkNJUS5OQVNEQVE6Q0FM</t>
  </si>
  <si>
    <t>TS5JUV9ERVJJVkFUSVZFX0FTU0VUU19MVC45OTguMjkvMDMvMjAyNi4uLlVTRC5IAQAAACB6BQADAAAAAAD7sBd6RI3eCLNbbX5Ejd4IQENJUS5OQVNEQVE6Q0FMTS5JUV9OQVRVUkFMX1JFU09VUkNFU19DT1NULjk5OS4yOS8wMy8yMDI2Li4uVVNELkgBAAAAIHoFAAMAAAAAAMBVLXpEjd4IDaFyfkSN3gg+Q0lRLk5BU0RBUTpDQUxNLklRX01JTk9SSVRZX0lOVF9SRURFRU0uMTAwMC4yOS8wMy8yMDI2Li4uVVNELkgBAAAAIHoFAAMAAAAAAMBVLXpEjd4I0FJyfkSN3ghNQ0lRLk5BU0RBUTpDQUxNLklRX0xJUVVJREFUSU9OX1ZBTFVFX1BSRUZFUlJFRF9DT05WRVJULjk5OC4yOS8wMy8yMDI2Li4uVVNELkgBAAAAIHoFAAMAAAAAAKJpLXpEjd4Iii1xfkSN3gg4Q0lRLk5BU0RBUTpDQUxNLklRX0FTU0VUU19MRVZFTF8xLjk5NC4yOS8wMy8yMDI2Li4uVVNELkgBAAAAIHoFAAIAAAAFMy4zNTcAomktekSN3ghY33B+RI3eCEtDSVEuTkFTREFROkNBTE0uSVFfQVNTRVRTX05FVFRJTkdfT1RIRVJfQURKVVNUTUVOVFMuMTAwMC4yOS8wMy8yMDI2Li4uVVNELkgBAAAAIHoFAAMAAAAAAKJpLXpEjd4IOZFwfkSN3gg0Q0lRLk5BU0RBUTpDQUxNLklRX0NBU0hfU0hBUkUuOTk0LjI5LzAzLzIwMjYuLi5VU0QuSAEAAAAgegUAAgAAAAgxLjQyMjA4NAEIAAAABQAAAAExAQAAAAstMjE0MjQyOTAzOQMAAAADMTYw</t>
  </si>
  <si>
    <t>AgAAAAQ0MzgxBAAAAAEwBwAAAAkzLzI5LzIwMjYIAAAACDYvMS8yMDE5CQAAAAEwwS4tekSN3ggrE3V+RI3eCEFDSVEuTkFTREFROkNBTE0uSVFfTUlOT1JJVFlfSU5URVJFU1RfVE9UQUwuOTkzLjI5LzAzLzIwMjYuLi5VU0QuSAEAAAAgegUAAgAAAAUyLjM0OQEIAAAABQAAAAExAQAAAAoyMDQ1NzQ5MzEwAwAAAAMxNjACAAAABDEzMTIEAAAAATAHAAAACTMvMjkvMjAyNggAAAAINi8yLzIwMTgJAAAAATDBLi16RI3eCNyJdH5Ejd4INUNJUS5OQVNEQVE6Q0FMTS5JUV9XT1JLSU5HX0NBUC45OTkuMjkvMDMvMjAyNi4uLlVTRC5IAQAAACB6BQACAAAACDEwMTQuMDk2AQgAAAAFAAAAATEBAAAACy0xOTM0OTc4NDgwAwAAAAMxNjACAAAABDQxNjUEAAAAATAHAAAACTMvMjkvMjAyNggAAAAINi8xLzIwMjQJAAAAATDBLi16RI3eCK8UdH5Ejd4IMUNJUS5OQVNEQVE6Q0FMTS5JUV9XSVBfSU5WLjk5My4yOS8wMy8yMDI2Li4uVVNELkgBAAAAIHoFAAMAAAAAAMBVLXpEjd4IFHhzfkSN3gguQ0lRLk5BU0RBUTpDQUxNLklRX0xBTkQuOTk1LjI5LzAzLzIwMjYuLi5VU0QuSAEAAAAgegUAAgAAAAY5MS44NjUBCAAAAAUAAAABMQEAAAALLTIwODgzNDc0NjkDAAAAAzE2MAIAAAAEMzA5OAQAAAABMAcAAAAJMy8yOS8yMDI2CAAAAAk1LzMwLzIwMjAJAAAAATDAVS16RI3eCDA9c35Ejd4IQkNJUS5OQVNEQVE6Q0FM</t>
  </si>
  <si>
    <t>TS5JUV9GSU5BTkNFX0xFQVNFU19MT05HX1RFUk0uOTkzLjI5LzAzLzIwMjYuLi5VU0QuSAEAAAAgegUAAgAAAAQxLjM0AQgAAAAFAAAAATEBAAAACjIwNDU3NDkzMTADAAAAAzE2MAIAAAAFNDg5OTEEAAAAATAHAAAACTMvMjkvMjAyNggAAAAINi8yLzIwMTgJAAAAATC6By16RI3eCNjUdn5Ejd4IU0NJUS5OQVNEQVE6Q0FMTS5JUV9GSU5BTkNJTkdfT0JMSUdfQ1VSUkVOVF9FWENMX09QRVJfTEVBU0VTLjEwMDAuMjkvMDMvMjAyNi4uLlVTRC5IAQAAACB6BQADAAAAAAC6By16RI3eCKZLdn5Ejd4IRUNJUS5OQVNEQVE6Q0FMTS5JUV9UT1RBTF9ERUJUX0VYQ0xfT1BFUl9MRUFTRVMuOTk5LjI5LzAzLzIwMjYuLi5VU0QuSAEAAAAgegUAAwAAAAAAugctekSN3giK/XV+RI3eCDtDSVEuTkFTREFROkNBTE0uSVFfQlZfU0hBUkVfUkVQT1JURUQuOTk1LjI5LzAzLzIwMjYuLi5VU0QuSAEAAAAgegUAAwAAAAAAwS4tekSN3ghqr3V+RI3eCDxDSVEuTkFTREFROkNBTE0uSVFfVEJWX1NIQVJFX1JFUE9SVEVELjk5OS4yOS8wMy8yMDI2Li4uVVNELkgBAAAAIHoFAAMAAAAAAMEuLXpEjd4ISGF1fkSN3ggzQ0lRLk5BU0RBUTpDQUxNLklRX1RSRUFTVVJZLjEwMDAuMjkvMDMvMjAyNi4uLlVTRC5IAQAAACB6BQACAAAABy04NS44OTMBCAAAAAUAAAABMQEAAAALLTE5MzQ5NzgzODEDAAAAAzE2MAIAAAAEMTI0OAQA</t>
  </si>
  <si>
    <t>AAABMAcAAAAJMy8yOS8yMDI2CAAAAAk1LzMxLzIwMjUJAAAAATCKuSx6RI3eCIPneH5Ejd4INkNJUS5OQVNEQVE6Q0FMTS5JUV9UT1RBTF9FUVVJVFkuOTk0LjI5LzAzLzIwMjYuLi5VU0QuSAEAAAAgegUAAgAAAAc5ODkuODA2AQgAAAAFAAAAATEBAAAACy0yMTQyNDI5MDM5AwAAAAMxNjACAAAABDEyNzUEAAAAATAHAAAACTMvMjkvMjAyNggAAAAINi8xLzIwMTkJAAAAATCW4Cx6RI3eCFhyeH5Ejd4IM0NJUS5OQVNEQVE6Q0FMTS5JUV9SVUFfR1JPU1MuOTk2LjI5LzAzLzIwMjYuLi5VU0QuSAEAAAAgegUAAwAAAAAAluAsekSN3ghNS3h+RI3eCDFDSVEuTkFTREFROkNBTE0uSVFfUlVBX05FVC45OTguMjkvMDMvMjAyNi4uLlVTRC5IAQAAACB6BQADAAAAAACW4Cx6RI3eCFj3d35Ejd4IRkNJUS5OQVNEQVE6Q0FMTS5JUV9SVUFfQ0FQSVRBTF9MRUFTRV9BQ0NVTV9ERVAuMTAwMC4yOS8wMy8yMDI2Li4uVVNELkgBAAAAIHoFAAMAAAAAAJbgLHpEjd4IIdB3fkSN3ggyQ0lRLk5BU0RBUTpDQUxNLklRX1BFTlNJT04uMTAwMC4yOS8wMy8yMDI2Li4uVVNELkgBAAAAIHoFAAMAAAAAAA2ngHpEjd4INQ16fkSN3gg1Q0lRLk5BU0RBUTpDQUxNLklRX1BSRUZfUkVERUVNLjk5NC4yOS8wMy8yMDI2Li4uVVNELkgBAAAAIHoFAAMAAAAAAA2ngHpEjd4Inpd5fkSN3gg2Q0lRLk5BU0RBUTpDQUxNLklRX1BSRUZf</t>
  </si>
  <si>
    <t>Q09OVkVSVC45OTUuMjkvMDMvMjAyNi4uLlVTRC5IAQAAACB6BQADAAAAAAANp4B6RI3eCLVceX5Ejd4INUNJUS5OQVNEQVE6Q0FMTS5JUV9QUkVGX0VRVUlUWS45OTYuMjkvMDMvMjAyNi4uLlVTRC5IAQAAACB6BQADAAAAAACKuSx6RI3eCKw1eX5Ejd4ILkNJUS5OQVNEQVE6Q0FMTS5JUV9BUElDLjk5OC4yOS8wMy8yMDI2Li4uVVNELkgBAAAAIHoFAAIAAAAGNzIuMTEyAQgAAAAFAAAAATEBAAAACy0xOTM0OTc4NDIwAwAAAAMxNjACAAAABDEwODQEAAAAATAHAAAACTMvMjkvMjAyNggAAAAINi8zLzIwMjMJAAAAATCKuSx6RI3eCJMOeX5Ejd4IP0NJUS5OQVNEQVE6Q0FMTS5JUV9GSU5fRElWX0xUX0RFQlRfVE9UQUwuOTk4LjI5LzAzLzIwMjYuLi5VU0QuSAEAAAAgegUAAwAAAAAA5mIXekSN3gjbkm9+RI3eCDxDSVEuTkFTREFROkNBTE0uSVFfRklOX0RJVl9TVF9JTlZFU1QuMTAwMC4yOS8wMy8yMDI2Li4uVVNELkgBAAAAIHoFAAMAAAAAAAKKF3pEjd4IxB1vfkSN3ggfQ0lRLk5BU0RBUTpDQUxNLklRX0NPTVBBTllfTkFNRQEAAAAgegUAAwAAABVDYWwtTWFpbmUgRm9vZHMsIEluYy4AJn0UekSN3gjccBN8RI3eCB9DSVEuTkFTREFROkNBTE0uSVFfUVVJQ0tfQ09NUC41AQAAACB6BQADAAAACE5ZU0U6R0lTACZ9FHpEjd4I3ZcTfESN3ggfQ0lRLk5BU0RBUTpDQUxNLklRX1FVSUNLX0NPTVAuNgEA</t>
  </si>
  <si>
    <t>AAAgegUAAwAAAAhOWVNFOk1LQwAmfRR6RI3eCN2XE3xEjd4IH0NJUS5OQVNEQVE6Q0FMTS5JUV9RVUlDS19DT01QLjcBAAAAIHoFAAMAAAALU1pTRTozMDA3NjEAJn0UekSN3gjccBN8RI3eCB9DSVEuTkFTREFROkNBTE0uSVFfUVVJQ0tfQ09NUC44AQAAACB6BQADAAAADU5hc2RhcUdTOk1ETFoAJn0UekSN3gjccBN8RI3eCB9DSVEuTkFTREFROkNBTE0uSVFfUVVJQ0tfQ09NUC4yAQAAACB6BQADAAAACU5ZU0U6UE9TVAAmfRR6RI3eCNxwE3xEjd4IH0NJUS5OQVNEQVE6Q0FMTS5JUV9RVUlDS19DT01QLjMBAAAAIHoFAAMAAAAMTmFzZGFxR1M6S0hDACZ9FHpEjd4I3HATfESN3ggfQ0lRLk5BU0RBUTpDQUxNLklRX1FVSUNLX0NPTVAuNAEAAAAgegUAAwAAAAhOWVNFOkhSTAAmfRR6RI3eCNxwE3xEjd4IH0NJUS5OQVNEQVE6Q0FMTS5JUV9RVUlDS19DT01QLjEBAAAAIHoFAAMAAAANTmFzZGFxR006VklUTAAmfRR6RI3eCNxwE3xEjd4IJUNJUS5OQVNEQVE6Q0FMTS5JUV9TSEFSRVNPVVRTVEFORElORy4BAAAAIHoFAAIAAAAJNDcuNjU0MDQ2ACZ9FHpEjd4I3ZcTfESN3ggnQ0lRLk5BU0RBUTpDQUxNLklRX0xBU1RTQUxFUFJJQ0UuLlVTRC5IAQAAACB6BQACAAAABTc3LjEyACZ9FHpEjd4IofhmfESN3ggiQ0lRLk5BU0RBUTpDQUxNLklRX1lFQVJISUdILi5VU0QuSAEAAAAgegUAAgAAAAUxMjYuNAAm</t>
  </si>
  <si>
    <t>fRR6RI3eCKH4ZnxEjd4IIUNJUS5OQVNEQVE6Q0FMTS5JUV9ZRUFSTE9XLi5VU0QuSAEAAAAgegUAAgAAAAU3MS45MgAmfRR6RI3eCKH4ZnxEjd4IHENJUS5OQVNEQVE6Q0FMTS5JUV9QQlYuMjAwMC4BAAAAIHoFAAIAAAAQMS4zNjU0NTc4Mjk4NDgwNQEHAAAABQAAAAExAQAAAAstMTkxMDYyNzgzOAMAAAABMAIAAAAGMTAwMDY3BAAAAAEwBwAAAAkzLzI3LzIwMjYIAAAACTMvMjcvMjAyNiZ9FHpEjd4I7L4TfESN3ggjQ0lRLk5BU0RBUTpDQUxNLklRX1RFVl9FQklUREEuMjAwMC4BAAAAIHoFAAIAAAAQMS42MTkwMjM5NTMzMDM5OQEHAAAABQAAAAExAQAAAAstMTkxMDYyNzgzOAMAAAABMAIAAAAGMTAwMDYzBAAAAAEwBwAAAAkzLzI3LzIwMjYIAAAACTMvMjcvMjAyNiZ9FHpEjd4I3ZcTfESN3ggdQ0lRLk5BU0RBUTpDQUxNLklRX1BUQlYuMjAwMC4BAAAAIHoFAAIAAAAQMS40NDE1OTU5OTYzMTEwNwEHAAAABQAAAAExAQAAAAstMTkxMDYyNzgzOAMAAAABMAIAAAAGMTAwMDY4BAAAAAEwBwAAAAkzLzI3LzIwMjYIAAAACTMvMjcvMjAyNiZ9FHpEjd4I3ZcTfESN3ggmQ0lRLk5BU0RBUTpDQUxNLklRX1RFVl9UT1RBTF9SRVYuMjAwMC4BAAAAIHoFAAIAAAARMC42MDM0MDEzMTA0MDU3NjYBBwAAAAUAAAABMQEAAAALLTE5MTA2Mjc4MzgDAAAAATACAAAABjEwMDA2MQQAAAABMAcAAAAJMy8yNy8yMDI2</t>
  </si>
  <si>
    <t>CAAAAAkzLzI3LzIwMjYmfRR6RI3eCN2XE3xEjd4IIENJUS5OQVNEQVE6Q0FMTS5JUV9QRV9FWENMLjIwMDAuAQAAACB6BQACAAAAEDMuMjQ3OTkxNDMxOTA2NDIBBwAAAAUAAAABMQEAAAALLTE5MTA2Mjc4MzgDAAAAATACAAAABjEwMDA2NgQAAAABMAcAAAAJMy8yNy8yMDI2CAAAAAkzLzI3LzIwMjYmfRR6RI3eCN2XE3xEjd4IJUNJUS5OQVNEQVE6Q0FMTS5JUV9QRV9FWENMX0ZXRC4xMDAwMi4BAAAAIHoFAAIAAAAQMTUuNzMwNzQ5NjE3NTQyMQENAAAABQAAAAE5AQAAAAcyNTk3MDc4AgAAAAk3MDQxNTM3NzIDAAAABjEwMDMwOQQAAAABMgYAAAABMAcAAAADMTYwCAAAAAEwCQAAAAExCgAAAAEwCwAAAAsxNDcxMTQ0MDY3MAwAAAABNw0AAAAJMy8yOS8yMDI2Jn0UekSN3gjsvhN8RI3eCCVDSVEuTkFTREFROkNBTE0uSVFfUEVfRVhDTF9GV0QuMTAwMDEuAQAAACB6BQACAAAABzI0LjY3ODQBDQAAAAUAAAABOQEAAAAHMjU5NzA3OAIAAAAJNzA0MTUzNzcxAwAAAAYxMDAzMDkEAAAAATIGAAAAATAHAAAAAzE2MAgAAAABMAkAAAABMQoAAAABMAsAAAALMTQ3MTE0NDA2NDYMAAAAATcNAAAACTMvMjkvMjAyNiZ9FHpEjd4I7L4TfESN3ggoQ0lRLk5BU0RBUTpDQUxNLklRX1RFVl9FQklUREFfRldELjEwMDAyLgEAAAAgegUAAgAAABA2Ljc0NTQ5MDY5MjM1ODE0AQ0AAAAFAAAAATkBAAAABzI1OTcwNzgC</t>
  </si>
  <si>
    <t>AAAACTcwNDE1Mzc3MgMAAAAGMTAwMzA4BAAAAAEyBgAAAAEwBwAAAAMxNjAIAAAAATAJAAAAATEKAAAAATALAAAACzE0NzExNDQwNjU0DAAAAAE3DQAAAAkzLzI5LzIwMjYmfRR6RI3eCN2XE3xEjd4IKENJUS5OQVNEQVE6Q0FMTS5JUV9URVZfRUJJVERBX0ZXRC4xMDAwMS4BAAAAIHoFAAIAAAAQOS41OTAxMTUwMDEyNDQ3OAENAAAABQAAAAE5AQAAAAcyNTk3MDc4AgAAAAk3MDQxNTM3NzEDAAAABjEwMDMwOAQAAAABMgYAAAABMAcAAAADMTYwCAAAAAEwCQAAAAExCgAAAAEwCwAAAAsxNDcxMTQ0MDYyMgwAAAABNw0AAAAJMy8yOS8yMDI2Jn0UekSN3gjdlxN8RI3eCClDSVEuTkFTREFROkNBTE0uSVFfRVBTX0VTVC4xMDAwMi4uLi5VU0QuSAEAAAAgegUAAgAAAAY0LjkwMjUBDgAAAAUAAAACMTEBAAAABzI1OTcwNzgCAAAACTcwNDE1Mzc3MgMAAAAGMTAwMjc4BAAAAAEyBgAAAAEwBwAAAAMxNjAIAAAAATAJAAAAATEKAAAAATALAAAACzE0NzExNDQwNjcwDAAAAAE3DQAAAAkzLzI5LzIwMjYQAAAACTMvMjgvMjAyNp2zFHpEjd4IcB9nfESN3ggpQ0lRLk5BU0RBUTpDQUxNLklRX0VQU19FU1QuMTAwMDEuLi4uVVNELkgBAAAAIHoFAAIAAAAFMy4xMjUBDgAAAAUAAAACMTEBAAAABzI1OTcwNzgCAAAACTcwNDE1Mzc3MQMAAAAGMTAwMjc4BAAAAAEyBgAAAAEwBwAAAAMxNjAIAAAAATAJAAAAATEKAAAA</t>
  </si>
  <si>
    <t>ATALAAAACzE0NzExNDQwNjQ2DAAAAAE3DQAAAAkzLzI5LzIwMjYQAAAACTMvMjgvMjAyNp2zFHpEjd4IcB9nfESN3ggsQ0lRLk5BU0RBUTpDQUxNLklRX0VCSVREQV9FU1QuMTAwMDIuLi4uVVNELkgBAAAAIHoFAAIAAAAIMzc2LjkwMzIBDgAAAAUAAAACMTEBAAAAATACAAAACTcwNDE1Mzc3MgMAAAAGMTAwMTg3BAAAAAEyBgAAAAEwBwAAAAMxNjAIAAAAATAJAAAAATEKAAAAATALAAAACzE0NzExNDQwNjU0DAAAAAE3DQAAAAkzLzI5LzIwMjYQAAAACTMvMjgvMjAyNp2zFHpEjd4IcB9nfESN3ggsQ0lRLk5BU0RBUTpDQUxNLklRX0VCSVREQV9FU1QuMTAwMDEuLi4uVVNELkgBAAAAIHoFAAIAAAAHMjY1LjEwNgEOAAAABQAAAAIxMQEAAAABMAIAAAAJNzA0MTUzNzcxAwAAAAYxMDAxODcEAAAAATIGAAAAATAHAAAAAzE2MAgAAAABMAkAAAABMQoAAAABMAsAAAALMTQ3MTE0NDA2MjIMAAAAATcNAAAACTMvMjkvMjAyNhAAAAAJMy8yOC8yMDI2nbMUekSN3ghwH2d8RI3eCC1DSVEuTkFTREFROkNBTE0uSVFfUkVWRU5VRV9FU1QuMTAwMDEuLi4uVVNELkgBAAAAIHoFAAIAAAAJMjY4NC44MzkzAQ4AAAAFAAAAAjExAQAAAAEwAgAAAAk3MDQxNTM3NzEDAAAABjEwMDE4MAQAAAABMgYAAAABMAcAAAADMTYwCAAAAAEwCQAAAAExCgAAAAEwCwAAAAsxNDcxMTQ0MDYxOAwAAAABNw0AAAAJMy8yOS8yMDI2EAAA</t>
  </si>
  <si>
    <t>AAkzLzI4LzIwMjadsxR6RI3eCKH4ZnxEjd4ILUNJUS5OQVNEQVE6Q0FMTS5JUV9SRVZFTlVFX0VTVC4xMDAwMi4uLi5VU0QuSAEAAAAgegUAAgAAAAkyODE5LjAzNzcBDgAAAAUAAAACMTEBAAAAATACAAAACTcwNDE1Mzc3MgMAAAAGMTAwMTgwBAAAAAEyBgAAAAEwBwAAAAMxNjAIAAAAATAJAAAAATEKAAAAATALAAAACzE0NzExNDQwNjUwDAAAAAE3DQAAAAkzLzI5LzIwMjYQAAAACTMvMjgvMjAyNp2zFHpEjd4IofhmfESN3ggoQ0lRLk5BU0RBUTpDQUxNLklRX0NBU0hfQ09OVkVSU0lPTi4yMDAwLgEAAAAgegUAAgAAAAk1My40NTkyMjQBCAAAAAUAAAABMQEAAAALLTE5MTA2Mjc4MzgDAAAAAzE2MAIAAAAENDE4NAQAAAABMAcAAAAJMy8yOC8yMDI2CAAAAAoxMS8yOS8yMDI1CQAAAAEwnbMUekSN3gjzIBR8RI3eCClDSVEuTkFTREFROkNBTE0uSVFfREFZU19QQVlBQkxFX09VVC4yMDAwLgEAAAAgegUAAgAAAAkxNy41NzY0NjgBCAAAAAUAAAABMQEAAAALLTE5MTA2Mjc4MzgDAAAAAzE2MAIAAAAENDE4MwQAAAABMAcAAAAJMy8yOC8yMDI2CAAAAAoxMS8yOS8yMDI1CQAAAAEwnbMUekSN3gjzIBR8RI3eCCtDSVEuTkFTREFROkNBTE0uSVFfREFZU19JTlZFTlRPUllfT1VULjIwMDAuAQAAACB6BQACAAAACTQ3LjU5NTE4NAEIAAAABQAAAAExAQAAAAstMTkxMDYyNzgzOAMAAAADMTYwAgAAAAQ0MDM1</t>
  </si>
  <si>
    <t>BAAAAAEwBwAAAAkzLzI4LzIwMjYIAAAACjExLzI5LzIwMjUJAAAAATCdsxR6RI3eCPMgFHxEjd4IKENJUS5OQVNEQVE6Q0FMTS5JUV9JTlZFTlRPUllfVFVSTlMuMjAwMC4BAAAAIHoFAAIAAAAINy42NDc4MDUBCAAAAAUAAAABMQEAAAALLTE5MTA2Mjc4MzgDAAAAAzE2MAIAAAAENDA4MgQAAAABMAcAAAAJMy8yOC8yMDI2CAAAAAoxMS8yOS8yMDI1CQAAAAEwnbMUekSN3gjzIBR8RI3eCCFDSVEuTkFTREFROkNBTE0uSVFfQVJfVFVSTlMuMjAwMC4BAAAAIHoFAAIAAAAJMTUuNTI4NTkyAQgAAAAFAAAAATEBAAAACy0xOTEwNjI3ODM4AwAAAAMxNjACAAAABDQwMDEEAAAAATAHAAAACTMvMjgvMjAyNggAAAAKMTEvMjkvMjAyNQkAAAABMJ2zFHpEjd4I8yAUfESN3gglQ0lRLk5BU0RBUTpDQUxNLklRX0NVUlJFTlRfUkFUSU8uNTAwLgEAAAAgegUAAgAAAAg4LjAxNzMzNwEIAAAABQAAAAExAQAAAAstMTkxMDYyODM2MgMAAAADMTYwAgAAAAQ0MDMwBAAAAAEwBwAAAAkzLzI4LzIwMjYIAAAACjExLzI5LzIwMjUJAAAAATCdsxR6RI3eCADmE3xEjd4IMENJUS5OQVNEQVE6Q0FMTS5JUV9SRVRVUk5fSU5WRVNURURfQ0FQSVRBTC4yMDAwLgEAAAAgegUAAgAAAAczMC43NDM4AJ2zFHpEjd4IAOYTfESN3ggmQ0lRLk5BU0RBUTpDQUxNLklRX1JFVFVSTl9BU1NFVFMuMjAwMC4BAAAAIHoFAAIAAAAHMzIuMzA1</t>
  </si>
  <si>
    <t>OQEIAAAABQAAAAExAQAAAAstMTkxMDYyNzgzOAMAAAADMTYwAgAAAAQ0MTc4BAAAAAEwBwAAAAkzLzI4LzIwMjYIAAAACjExLzI5LzIwMjUJAAAAATCdsxR6RI3eCADmE3xEjd4IKkNJUS5OQVNEQVE6Q0FMTS5JUV9GSVhFRF9BU1NFVF9UVVJOUy4yMDAwLgEAAAAgegUAAgAAAAgzLjg0MDQyNwEIAAAABQAAAAExAQAAAAstMTkxMDYyNzgzOAMAAAADMTYwAgAAAAQ0MDY2BAAAAAEwBwAAAAkzLzI4LzIwMjYIAAAACjExLzI5LzIwMjUJAAAAATCdsxR6RI3eCPMgFHxEjd4IJENJUS5OQVNEQVE6Q0FMTS5JUV9BU1NFVF9UVVJOUy4yMDAwLgEAAAAgegUAAgAAAAgxLjQ5NTY3NgEIAAAABQAAAAExAQAAAAstMTkxMDYyNzgzOAMAAAADMTYwAgAAAAQ0MTc3BAAAAAEwBwAAAAkzLzI4LzIwMjYIAAAACjExLzI5LzIwMjUJAAAAATCdsxR6RI3eCPMgFHxEjd4IKUNJUS5OQVNEQVE6Q0FMTS5JUV9UT1RBTF9ERUJUX0VRVUlUWS41MDAuAQAAACB6BQADAAAAAACdsxR6RI3eCADmE3xEjd4IKUNJUS5OQVNEQVE6Q0FMTS5JUV9FQklUREFfQ0FQRVhfSU5ULjIwMDAuAQAAACB6BQACAAAACzIxMDcuNjY0NjI0AQgAAAAFAAAAATEBAAAACy0xOTEwNjI3ODM4AwAAAAMxNjACAAAABDQxOTEEAAAAATAHAAAACTMvMjgvMjAyNggAAAAKMTEvMjkvMjAyNQkAAAABMJ2zFHpEjd4IAOYTfESN3ggjQ0lRLk5BU0RBUTpDQUxN</t>
  </si>
  <si>
    <t>LklRX0VCSVREQV9JTlQuMjAwMC4BAAAAIHoFAAIAAAALMjM5NS4yNjE4NjgBCAAAAAUAAAABMQEAAAALLTE5MTA2Mjc4MzgDAAAAAzE2MAIAAAAENDE5MAQAAAABMAcAAAAJMy8yOC8yMDI2CAAAAAoxMS8yOS8yMDI1CQAAAAEwnbMUekSN3ggA5hN8RI3eCCdDSVEuTkFTREFROkNBTE0uSVFfREFZU19TQUxFU19PVVQuMjAwMC4BAAAAIHoFAAIAAAAJMjMuNDQwNTA4AQgAAAAFAAAAATEBAAAACy0xOTEwNjI3ODM4AwAAAAMxNjACAAAABDQwNDIEAAAAATAHAAAACTMvMjgvMjAyNggAAAAKMTEvMjkvMjAyNQkAAAABMJ2zFHpEjd4IAOYTfESN3ggjQ0lRLk5BU0RBUTpDQUxNLklRX1FVSUNLX1JBVElPLjUwMC4BAAAAIHoFAAIAAAAINi40MDM5MTkBCAAAAAUAAAABMQEAAAALLTE5MTA2MjgzNjIDAAAAAzE2MAIAAAAENDEyMQQAAAABMAcAAAAJMy8yOC8yMDI2CAAAAAoxMS8yOS8yMDI1CQAAAAEwnbMUekSN3ggA5hN8RI3eCCtDSVEuTkFTREFROkNBTE0uSVFfRVBTXzFZUl9BTk5fR1JPV1RILjIwMDAuAQAAACB6BQACAAAABzg0LjY0MTUBCAAAAAUAAAABMQEAAAALLTE5MTA2Mjc4MzgDAAAAAzE2MAIAAAAENDIwMAQAAAABMAcAAAAJMy8yOC8yMDI2CAAAAAoxMS8yOS8yMDI1CQAAAAEwnbMUekSN3ggA5hN8RI3eCCtDSVEuTkFTREFROkNBTE0uSVFfRVBTXzFZUl9BTk5fR1JPV1RILjEwMDAuAQAAACB6</t>
  </si>
  <si>
    <t>BQACAAAACDMzOC40ODg1AQgAAAAFAAAAATEBAAAACy0xOTM0OTc4MzgxAwAAAAMxNjACAAAABDQyMDAEAAAAATAHAAAACTMvMjgvMjAyNggAAAAJNS8zMS8yMDI1CQAAAAEwnbMUekSN3ggA5hN8RI3eCClDSVEuTkFTREFROkNBTE0uSVFfRVBTXzNZUl9BTk5fQ0FHUi4yMDAwLgEAAAAgegUAAgAAAAYzNC43MzkBCAAAAAUAAAABMQEAAAALLTE5MTA2Mjc4MzgDAAAAAzE2MAIAAAAENDIyNgQAAAABMAcAAAAJMy8yOC8yMDI2CAAAAAoxMS8yOS8yMDI1CQAAAAEwnbMUekSN3ggA5hN8RI3eCCZDSVEuTkFTREFROkNBTE0uSVFfUkVUVVJOX0VRVUlUWS4yMDAwLgEAAAAgegUAAgAAAAc0OC41MjYyAQgAAAAFAAAAATEBAAAACy0xOTEwNjI3ODM4AwAAAAMxNjACAAAABDQxMjgEAAAAATAHAAAACTMvMjgvMjAyNggAAAAKMTEvMjkvMjAyNQkAAAABMJ2zFHpEjd4IAOYTfESN3ggqQ0lRLk5BU0RBUTpDQUxNLklRX1RPVEFMX0RFQlRfQ0FQSVRBTC41MDAuAQAAACB6BQADAAAAAACdsxR6RI3eCADmE3xEjd4ILkNJUS5OQVNEQVE6Q0FMTS5JUV9FQklUREFfMVlSX0FOTl9HUk9XVEguMTAwMC4BAAAAIHoFAAIAAAAIMzE3LjI3MzgBCAAAAAUAAAABMQEAAAALLTE5MzQ5NzgzODEDAAAAAzE2MAIAAAAENDE5NgQAAAABMAcAAAAJMy8yOC8yMDI2CAAAAAk1LzMxLzIwMjUJAAAAATCdsxR6RI3eCADmE3xEjd4ILENJ</t>
  </si>
  <si>
    <t>US5OQVNEQVE6Q0FMTS5JUV9FQklUREFfM1lSX0FOTl9DQUdSLjIwMDAuAQAAACB6BQACAAAABzMyLjMxMDcBCAAAAAUAAAABMQEAAAALLTE5MTA2Mjc4MzgDAAAAAzE2MAIAAAAENDIyMgQAAAABMAcAAAAJMy8yOC8yMDI2CAAAAAoxMS8yOS8yMDI1CQAAAAEwnbMUekSN3ggA5hN8RI3eCCxDSVEuTkFTREFROkNBTE0uSVFfRUJJVERBXzVZUl9BTk5fQ0FHUi4yMDAwLgEAAAAgegUAAgAAAAc2NC44Mzg5AQgAAAAFAAAAATEBAAAACy0xOTEwNjI3ODM4AwAAAAMxNjACAAAABDQyMzUEAAAAATAHAAAACTMvMjgvMjAyNggAAAAKMTEvMjkvMjAyNQkAAAABMJ2zFHpEjd4IAOYTfESN3ggoQ0lRLk5BU0RBUTpDQUxNLklRX05FVF9ERUJUX0VCSVREQS4yMDAwLgEAAAAgegUAAwAAAAJOTQEIAAAABQAAAAExAQAAAAstMTkxMDYyNzgzOAMAAAADMTYwAgAAAAQ0MTkzBAAAAAEwBwAAAAkzLzI4LzIwMjYIAAAACjExLzI5LzIwMjUJAAAAATCdsxR6RI3eCADmE3xEjd4IKkNJUS5OQVNEQVE6Q0FMTS5JUV9UT1RBTF9ERUJUX0VCSVREQS4yMDAwLgEAAAAgegUAAwAAAAAAnbMUekSN3ggA5hN8RI3eCC9DSVEuTkFTREFROkNBTE0uSVFfVE9UQUxfUkVWXzNZUl9BTk5fQ0FHUi4yMDAwLgEAAAAgegUAAgAAAAcxOC41MjUyAQgAAAAFAAAAATEBAAAACy0xOTEwNjI3ODM4AwAAAAMxNjACAAAABDQyMjAEAAAAATAHAAAA</t>
  </si>
  <si>
    <t>CTMvMjgvMjAyNggAAAAKMTEvMjkvMjAyNQkAAAABMJ2zFHpEjd4IAOYTfESN3ggvQ0lRLk5BU0RBUTpDQUxNLklRX1RPVEFMX1JFVl81WVJfQU5OX0NBR1IuMjAwMC4BAAAAIHoFAAIAAAAHMjMuOTY5MQEIAAAABQAAAAExAQAAAAstMTkxMDYyNzgzOAMAAAADMTYwAgAAAAQ0MjMzBAAAAAEwBwAAAAkzLzI4LzIwMjYIAAAACjExLzI5LzIwMjUJAAAAATCdsxR6RI3eCADmE3xEjd4IIkNJUS5OQVNEQVE6Q0FMTS5JUV9OSV9NQVJHSU4uMjAwMC4BAAAAIHoFAAIAAAAHMjcuMzY3MwEIAAAABQAAAAExAQAAAAstMTkxMDYyNzgzOAMAAAADMTYwAgAAAAQ0MDk0BAAAAAEwBwAAAAkzLzI4LzIwMjYIAAAACjExLzI5LzIwMjUJAAAAATCdsxR6RI3eCADmE3xEjd4IKUNJUS5OQVNEQVE6Q0FMTS5JUV9FUFNfNVlSX0FOTl9DQUdSLjIwMDAuAQAAACB6BQACAAAABzc2Ljc1NDcBCAAAAAUAAAABMQEAAAALLTE5MTA2Mjc4MzgDAAAAAzE2MAIAAAAENDIzOQQAAAABMAcAAAAJMy8yOC8yMDI2CAAAAAoxMS8yOS8yMDI1CQAAAAEwnbMUekSN3ggA5hN8RI3eCC5DSVEuTkFTREFROkNBTE0uSVFfRUJJVERBXzFZUl9BTk5fR1JPV1RILjIwMDAuAQAAACB6BQACAAAABzg2Ljg2MTEBCAAAAAUAAAABMQEAAAALLTE5MTA2Mjc4MzgDAAAAAzE2MAIAAAAENDE5NgQAAAABMAcAAAAJMy8yOC8yMDI2CAAAAAoxMS8yOS8yMDI1</t>
  </si>
  <si>
    <t>CQAAAAEwnbMUekSN3ggA5hN8RI3eCCFDSVEuTkFTREFROkNBTE0uSVFfTklfTUFSR0lOLjk5OC4BAAAAIHoFAAIAAAAHMjQuMDkzMQEIAAAABQAAAAExAQAAAAstMTkzNDk3ODQyMAMAAAADMTYwAgAAAAQ0MDk0BAAAAAEwBwAAAAkzLzI4LzIwMjYIAAAACDYvMy8yMDIzCQAAAAEwnbMUekSN3gjsvhN8RI3eCCZDSVEuTkFTREFROkNBTE0uSVFfRUJJVERBX01BUkdJTi4yMDAwLgEAAAAgegUAAgAAAAczNy4xMjE4AQgAAAAFAAAAATEBAAAACy0xOTEwNjI3ODM4AwAAAAMxNjACAAAABDQwNDcEAAAAATAHAAAACTMvMjgvMjAyNggAAAAKMTEvMjkvMjAyNQkAAAABMJ2zFHpEjd4I7L4TfESN3ggmQ0lRLk5BU0RBUTpDQUxNLklRX0VCSVREQV9NQVJHSU4uMTAwMC4BAAAAIHoFAAIAAAAHMzguNjA4NgEIAAAABQAAAAExAQAAAAstMTkzNDk3ODM4MQMAAAADMTYwAgAAAAQ0MDQ3BAAAAAEwBwAAAAkzLzI4LzIwMjYIAAAACTUvMzEvMjAyNQkAAAABMJ2zFHpEjd4I7L4TfESN3ggxQ0lRLk5BU0RBUTpDQUxNLklRX1RPVEFMX1JFVl8xWVJfQU5OX0dST1dUSC4yMDAwLgEAAAAgegUAAgAAAAczNi42MDQ2AQgAAAAFAAAAATEBAAAACy0xOTEwNjI3ODM4AwAAAAMxNjACAAAABDQxOTQEAAAAATAHAAAACTMvMjgvMjAyNggAAAAKMTEvMjkvMjAyNQkAAAABMJ2zFHpEjd4I7L4TfESN3ggxQ0lRLk5BU0RBUTpDQUxN</t>
  </si>
  <si>
    <t>LklRX1RPVEFMX1JFVl8xWVJfQU5OX0dST1dUSC4xMDAwLgEAAAAgegUAAgAAAAc4My4xOTMxAQgAAAAFAAAAATEBAAAACy0xOTM0OTc4MzgxAwAAAAMxNjACAAAABDQxOTQEAAAAATAHAAAACTMvMjgvMjAyNggAAAAJNS8zMS8yMDI1CQAAAAEwnbMUekSN3gjsvhN8RI3eCCVDSVEuTkFTREFROkNBTE0uSVFfR1JPU1NfTUFSR0lOLjIwMDAuAQAAACB6BQACAAAABzQxLjkyMTEBCAAAAAUAAAABMQEAAAALLTE5MTA2Mjc4MzgDAAAAAzE2MAIAAAAENDA3NAQAAAABMAcAAAAJMy8yOC8yMDI2CAAAAAoxMS8yOS8yMDI1CQAAAAEwnbMUekSN3gjsvhN8RI3eCCVDSVEuTkFTREFROkNBTE0uSVFfR1JPU1NfTUFSR0lOLjEwMDAuAQAAACB6BQACAAAABzQzLjQyODcBCAAAAAUAAAABMQEAAAALLTE5MzQ5NzgzODEDAAAAAzE2MAIAAAAENDA3NAQAAAABMAcAAAAJMy8yOC8yMDI2CAAAAAk1LzMxLzIwMjUJAAAAATCdsxR6RI3eCOy+E3xEjd4IJENJUS5OQVNEQVE6Q0FMTS5JUV9HUk9TU19NQVJHSU4uOTk5LgEAAAAgegUAAgAAAAcyMy4yNzg5AQgAAAAFAAAAATEBAAAACy0xOTM0OTc4NDgwAwAAAAMxNjACAAAABDQwNzQEAAAAATAHAAAACTMvMjgvMjAyNggAAAAINi8xLzIwMjQJAAAAATCdsxR6RI3eCOy+E3xEjd4IIkNJUS5OQVNEQVE6Q0FMTS5JUV9OSV9NQVJHSU4uMTAwMC4BAAAAIHoFAAIAAAAHMjguNjI2</t>
  </si>
  <si>
    <t>OQEIAAAABQAAAAExAQAAAAstMTkzNDk3ODM4MQMAAAADMTYwAgAAAAQ0MDk0BAAAAAEwBwAAAAkzLzI4LzIwMjYIAAAACTUvMzEvMjAyNQkAAAABMJ2zFHpEjd4I7L4TfESN3gghQ0lRLk5BU0RBUTpDQUxNLklRX05JX01BUkdJTi45OTkuAQAAACB6BQACAAAABzExLjk0NDcBCAAAAAUAAAABMQEAAAALLTE5MzQ5Nzg0ODADAAAAAzE2MAIAAAAENDA5NAQAAAABMAcAAAAJMy8yOC8yMDI2CAAAAAg2LzEvMjAyNAkAAAABMJ2zFHpEjd4I7L4TfESN3gglQ0lRLk5BU0RBUTpDQUxNLklRX0VCSVREQV9NQVJHSU4uOTk5LgEAAAAgegUAAgAAAAcxNi45NTAxAQgAAAAFAAAAATEBAAAACy0xOTM0OTc4NDgwAwAAAAMxNjACAAAABDQwNDcEAAAAATAHAAAACTMvMjgvMjAyNggAAAAINi8xLzIwMjQJAAAAATCdsxR6RI3eCOy+E3xEjd4IJUNJUS5OQVNEQVE6Q0FMTS5JUV9FQklUREFfTUFSR0lOLjk5OC4BAAAAIHoFAAIAAAAHMzIuOTQzOAEIAAAABQAAAAExAQAAAAstMTkzNDk3ODQyMAMAAAADMTYwAgAAAAQ0MDQ3BAAAAAEwBwAAAAkzLzI4LzIwMjYIAAAACDYvMy8yMDIzCQAAAAEwnbMUekSN3gjsvhN8RI3eCCRDSVEuTkFTREFROkNBTE0uSVFfR1JPU1NfTUFSR0lOLjk5OC4BAAAAIHoFAAIAAAAHMzguMDI4NAEIAAAABQAAAAExAQAAAAstMTkzNDk3ODQyMAMAAAADMTYwAgAAAAQ0MDc0BAAAAAEwBwAAAAkz</t>
  </si>
  <si>
    <t>LzI4LzIwMjYIAAAACDYvMy8yMDIzCQAAAAEwnbMUekSN3gjdlxN8RI3eCCNDSVEuTkFTREFROkNBTE0uSVFfUEVSSU9EREFURS4yMDAwLgEAAAAgegUABQAAAAoyOS8xMS8yMDI1AJ2zFHpEjd4I3ZcTfESN3ggjQ0lRLk5BU0RBUTpDQUxNLklRX1BFUklPRERBVEUuMTAwMC4BAAAAIHoFAAUAAAAKMzEvMDUvMjAyNQCdsxR6RI3eCN2XE3xEjd4IJ0NJUS5OQVNEQVE6Q0FMTS5JUV9FQklUREEuMjAwMC4uLi5VU0QuSAEAAAAgegUAAgAAAAgxNTY0LjEwNgEIAAAABQAAAAExAQAAAAstMTkxMDYyNzgzOAMAAAADMTYwAgAAAAQ0MDUxBAAAAAEwBwAAAAkzLzI4LzIwMjYIAAAACjExLzI5LzIwMjUJAAAAATCdsxR6RI3eCHAfZ3xEjd4IKkNJUS5OQVNEQVE6Q0FMTS5JUV9UT1RBTF9SRVYuMjAwMC4uLi5VU0QuSAEAAAAgegUAAgAAAAg0MjEzLjQ0MwEIAAAABQAAAAExAQAAAAstMTkxMDYyNzgzOAMAAAADMTYwAgAAAAIyOAQAAAABMAcAAAAJMy8yOC8yMDI2CAAAAAoxMS8yOS8yMDI1CQAAAAEwnbMUekSN3gih+GZ8RI3eCCpDSVEuTkFTREFROkNBTE0uSVFfVE9UQUxfUkVWLjEwMDAuLi4uVVNELkgBAAAAIHoFAAIAAAAINDI2MS44ODUBCAAAAAUAAAABMQEAAAALLTE5MzQ5NzgzODEDAAAAAzE2MAIAAAACMjgEAAAAATAHAAAACTMvMjgvMjAyNggAAAAJNS8zMS8yMDI1CQAAAAEwnbMUekSN3gih+GZ8RI3e</t>
  </si>
  <si>
    <t>CC9DSVEuTkFTREFROkNBTE0uSVFfRElMVVRfRVBTX0VYQ0wuMjAwMC4uLi5VU0QuSAEAAAAgegUAAgAAAAkyMy43NDM5MDUBCAAAAAUAAAABMQEAAAALLTE5MTA2Mjc4MzgDAAAAAzE2MAIAAAADMTQyBAAAAAEwBwAAAAkzLzI4LzIwMjYIAAAACjExLzI5LzIwMjUJAAAAATCdsxR6RI3eCKH4ZnxEjd4IL0NJUS5OQVNEQVE6Q0FMTS5JUV9ESUxVVF9FUFNfRVhDTC4xMDAwLi4uLlVTRC5IAQAAACB6BQACAAAABTI0Ljk1AQgAAAAFAAAAATEBAAAACy0xOTM0OTc4MzgxAwAAAAMxNjACAAAAAzE0MgQAAAABMAcAAAAJMy8yOC8yMDI2CAAAAAk1LzMxLzIwMjUJAAAAATCdsxR6RI3eCHAfZ3xEjd4IK0NJUS5OQVNEQVE6Q0FMTS5JUV9UT1RBTF9ERUJULjUwMC4uLkYuVVNELkgBAAAAIHoFAAIAAAABMAEIAAAABQAAAAExAQAAAAstMTkxMDYyODM2MgMAAAADMTYwAgAAAAQ0MTczBAAAAAEwBwAAAAkzLzI4LzIwMjYIAAAACjExLzI5LzIwMjUJAAAAATCdsxR6RI3eCKH4ZnxEjd4IL0NJUS5OQVNEQVE6Q0FMTS5JUV9DQVNIX1NUX0lOVkVTVC41MDAuLi5GLlVTRC5IAQAAACB6BQACAAAACDExMzguOTg4AQgAAAAFAAAAATEBAAAACy0xOTEwNjI4MzYyAwAAAAMxNjACAAAABDEwMDIEAAAAATAHAAAACTMvMjgvMjAyNggAAAAKMTEvMjkvMjAyNQkAAAABMJ2zFHpEjd4IofhmfESN3ggnQ0lRLk5BU0RBUTpDQUxN</t>
  </si>
  <si>
    <t>LklRX0VCSVREQS4xMDAwLi4uLlVTRC5IAQAAACB6BQACAAAACDE2NDUuNDU3AQgAAAAFAAAAATEBAAAACy0xOTM0OTc4MzgxAwAAAAMxNjACAAAABDQwNTEEAAAAATAHAAAACTMvMjgvMjAyNggAAAAJNS8zMS8yMDI1CQAAAAEwnbMUekSN3gih+GZ8RI3eCDhDSVEuTkFTREFROkNBTE0uSVFfTUlOT1JJVFlfSU5URVJFU1RfVE9UQUwuNTAwLi4uRi5VU0QuSAEAAAAgegUAAgAAAAU2LjMwNQEIAAAABQAAAAExAQAAAAstMTkxMDYyODM2MgMAAAADMTYwAgAAAAQxMzEyBAAAAAEwBwAAAAkzLzI4LzIwMjYIAAAACjExLzI5LzIwMjUJAAAAATCdsxR6RI3eCKH4ZnxEjd4ILENJUS5OQVNEQVE6Q0FMTS5JUV9QUkVGX0VRVUlUWS41MDAuLi5GLlVTRC5IAQAAACB6BQADAAAAAACdsxR6RI3eCKH4ZnxEjd4IP0NJUS5OQVNEQVE6Q0FMTS5JUV9BRFZBTkNFU19GT1JfU1VQUExJRVMuOTk3LjI5LzAzLzIwMjYuLi5VU0QuSAEAAAAgegUAAwAAAAAA+7AXekSN3gi30mx+RI3eCDlDSVEuTkFTREFROkNBTE0uSVFfSU5URVJDT01QQU5ZX0NBLjk5NS4yOS8wMy8yMDI2Li4uVVNELkgBAAAAIHoFAAMAAAAAAPuwF3pEjd4IgF1sfkSN3gg9Q0lRLk5BU0RBUTpDQUxNLklRX0lOVEVSQ09NUEFOWV9OT05fQ0wuOTk1LjI5LzAzLzIwMjYuLi5VU0QuSAEAAAAgegUAAwAAAAAA+7AXekSN3ggn6Gt+RI3eCDxDSVEuTkFTREFR</t>
  </si>
  <si>
    <t>OkNBTE0uSVFfVE9UQUxfUkVWX0VNUExPWUVFLjk5OS4yOS8wMy8yMDI2Li4uVVNELkgBAAAAIHoFAAIAAAAHNzc1Ljk5OAEIAAAABQAAAAExAQAAAAstMTkzNDk3ODQ4MAMAAAADMTYwAgAAAAQ0MTIzBAAAAAEwBwAAAAkzLzI5LzIwMjYIAAAACDYvMS8yMDI0CQAAAAEwJn0UekSN3ggn6Gt+RI3eCD1DSVEuTkFTREFROkNBTE0uSVFfU1RfREVCVF9ERVJJVkFUSVZFUy45OTcuMjkvMDMvMjAyNi4uLlVTRC5IAQAAACB6BQADAAAAAAACihd6RI3eCFhGbn5Ejd4IRUNJUS5OQVNEQVE6Q0FMTS5JUV9ERVJJVkFUSVZFX0xJQUJfTk9OX0NVUlJFTlQuOTk1LjI5LzAzLzIwMjYuLi5VU0QuSAEAAAAgegUAAwAAAAAAAooXekSN3ggm0W1+RI3eCDxDSVEuTkFTREFROkNBTE0uSVFfR1JPU1NfSU5UQU5fQVNTRVRTLjk5My4yOS8wMy8yMDI2Li4uVVNELkgBAAAAIHoFAAIAAAAGNTAuMzM5AQgAAAAFAAAAATEBAAAACjIwNDU3NDkzMTADAAAAAzE2MAIAAAAFMjQyOTMEAAAAATAHAAAACTMvMjkvMjAyNggAAAAINi8yLzIwMTgJAAAAATD7sBd6RI3eCLNbbX5Ejd4IQkNJUS5OQVNEQVE6Q0FMTS5JUV9BQ0NVTV9BTU9SVF9JTlRBTl9BU1NFVFMuOTk5LjI5LzAzLzIwMjYuLi5VU0QuSAEAAAAgegUAAgAAAAYtMjEuMDMBCAAAAAUAAAABMQEAAAALLTE5MzQ5Nzg0ODADAAAAAzE2MAIAAAAFMjQzMzEEAAAAATAHAAAA</t>
  </si>
  <si>
    <t>CTMvMjkvMjAyNggAAAAINi8xLzIwMjQJAAAAATD7sBd6RI3eCNIgbX5Ejd4IOENJUS5OQVNEQVE6Q0FMTS5JUV9BQ0NVTV9BTU9SVF9HVy45OTMuMjkvMDMvMjAyNi4uLlVTRC5IAQAAACB6BQADAAAAAAD7sBd6RI3eCMf5bH5Ejd4ISUNJUS5OQVNEQVE6Q0FMTS5JUV9GQUlSX1ZBTFVFX0NIQU5HRV9JTkNMX0VBUk5JTkdTLjk5NS4yOS8wMy8yMDI2Li4uVVNELkgBAAAAIHoFAAMAAAAAAOZiF3pEjd4IS7pvfkSN3gg/Q0lRLk5BU0RBUTpDQUxNLklRX0ZJTl9ESVZfU1RfREVCVF9UT1RBTC45OTcuMjkvMDMvMjAyNi4uLlVTRC5IAQAAACB6BQADAAAAAADmYhd6RI3eCNuSb35Ejd4IPENJUS5OQVNEQVE6Q0FMTS5JUV9ERUJUX0VRVUlWX05FVF9QQk8uOTk1LjI5LzAzLzIwMjYuLi5VU0QuSAEAAAAgegUAAgAAAAM0LjEBCAAAAAUAAAABMQEAAAALLTIwODgzNDc0NjkDAAAAAzE2MAIAAAAFMjE2NzkEAAAAATAHAAAACTMvMjkvMjAyNggAAAAJNS8zMC8yMDIwCQAAAAEwAooXekSN3giP9m5+RI3eCD9DSVEuTkFTREFROkNBTE0uSVFfUkVTVFJJQ1RFRF9DQVNIX1RPVEFMLjk5My4yOS8wMy8yMDI2Li4uVVNELkgBAAAAIHoFAAMAAAAAAAKKF3pEjd4IeZRufkSN3gg9Q0lRLk5BU0RBUTpDQUxNLklRX1RPVEFMX0RFQlRfRVhDTF9GSU4uOTk5LjI5LzAzLzIwMjYuLi5VU0QuSAEAAAAgegUAAwAAAAAAAooX</t>
  </si>
  <si>
    <t>ekSN3ghwbW5+RI3eCD1DSVEuTkFTREFROkNBTE0uSVFfVE9UQUxfUkVWX0VNUExPWUVFLjEwMDAuMjkvMDMvMjAyNi4uLlVTRC5IAQAAACB6BQACAAAACDExMzQuNjg3AQgAAAAFAAAAATEBAAAACy0xOTM0OTc4MzgxAwAAAAMxNjACAAAABDQxMjMEAAAAATAHAAAACTMvMjkvMjAyNggAAAAJNS8zMS8yMDI1CQAAAAEwJn0UekSN3ggn6Gt+RI3eCExDSVEuTkFTREFROkNBTE0uSVFfTElRVUlEQVRJT05fVkFMVUVfUFJFRkVSUkVEX1JFREVFTS45OTkuMjkvMDMvMjAyNi4uLlVTRC5IAQAAACB6BQADAAAAAACiaS16RI3eCIgGcX5Ejd4IOENJUS5OQVNEQVE6Q0FMTS5JUV9BU1NFVFNfTEVWRUxfMi45OTMuMjkvMDMvMjAyNi4uLlVTRC5IAQAAACB6BQACAAAABzI4Mi41ODYAomktekSN3gicuHB+RI3eCEpDSVEuTkFTREFROkNBTE0uSVFfQVNTRVRTX05FVFRJTkdfT1RIRVJfQURKVVNUTUVOVFMuOTk3LjI5LzAzLzIwMjYuLi5VU0QuSAEAAAAgegUAAwAAAAAAomktekSN3gg5kXB+RI3eCD1DSVEuTkFTREFROkNBTE0uSVFfTElBQklMSVRJRVNfTEVWRUxfMi45OTcuMjkvMDMvMjAyNi4uLlVTRC5IAQAAACB6BQADAAAAAADmYhd6RI3eCBoIcH5Ejd4IQ0NJUS5OQVNEQVE6Q0FMTS5JUV9BQ0NVTV9BTU9SVF9JTlRBTl9BU1NFVFMuMTAwMC4yOS8wMy8yMDI2Li4uVVNELkgBAAAAIHoFAAIAAAAHLTIwLjUz</t>
  </si>
  <si>
    <t>OAEIAAAABQAAAAExAQAAAAstMTkzNDk3ODM4MQMAAAADMTYwAgAAAAUyNDMzMQQAAAABMAcAAAAJMy8yOS8yMDI2CAAAAAk1LzMxLzIwMjUJAAAAATD7sBd6RI3eCNIgbX5Ejd4IOENJUS5OQVNEQVE6Q0FMTS5JUV9BQ0NVTV9BTU9SVF9HVy45OTQuMjkvMDMvMjAyNi4uLlVTRC5IAQAAACB6BQADAAAAAAD7sBd6RI3eCMf5bH5Ejd4IP0NJUS5OQVNEQVE6Q0FMTS5JUV9BRFZBTkNFU19GT1JfU1VQUExJRVMuOTk4LjI5LzAzLzIwMjYuLi5VU0QuSAEAAAAgegUAAwAAAAAA+7AXekSN3gi30mx+RI3eCDNDSVEuTkFTREFROkNBTE0uSVFfSU5UQU5fTkVULjk5OC4yOS8wMy8yMDI2Li4uVVNELkgBAAAAIHoFAAIAAAAGMTUuODk3AQgAAAAFAAAAATEBAAAACy0xOTM0OTc4NDIwAwAAAAMxNjACAAAABTQ4OTYyBAAAAAEwBwAAAAkzLzI5LzIwMjYIAAAACDYvMy8yMDIzCQAAAAEw+7AXekSN3giAXWx+RI3eCD1DSVEuTkFTREFROkNBTE0uSVFfSU5URVJDT01QQU5ZX05PTl9DTC45OTYuMjkvMDMvMjAyNi4uLlVTRC5IAQAAACB6BQADAAAAAAD7sBd6RI3eCCfoa35Ejd4IPkNJUS5OQVNEQVE6Q0FMTS5JUV9UT1RBTF9ERUJUX0VYQ0xfRklOLjEwMDAuMjkvMDMvMjAyNi4uLlVTRC5IAQAAACB6BQADAAAAAAACihd6RI3eCHmUbn5Ejd4IQENJUS5OQVNEQVE6Q0FMTS5JUV9DT05USU5HRU5UX0xJQUJJTElUSUVT</t>
  </si>
  <si>
    <t>Ljk5NC4yOS8wMy8yMDI2Li4uVVNELkgBAAAAIHoFAAMAAAAAAAKKF3pEjd4IcG1ufkSN3gg9Q0lRLk5BU0RBUTpDQUxNLklRX1NUX0RFQlRfREVSSVZBVElWRVMuOTk4LjI5LzAzLzIwMjYuLi5VU0QuSAEAAAAgegUAAwAAAAAAAooXekSN3ghKH25+RI3eCEVDSVEuTkFTREFROkNBTE0uSVFfREVSSVZBVElWRV9MSUFCX05PTl9DVVJSRU5ULjk5Ni4yOS8wMy8yMDI2Li4uVVNELkgBAAAAIHoFAAMAAAAAAAKKF3pEjd4IJtFtfkSN3gg+Q0lRLk5BU0RBUTpDQUxNLklRX0RFUklWQVRJVkVfQVNTRVRTX0xULjk5Ni4yOS8wMy8yMDI2Li4uVVNELkgBAAAAIHoFAAMAAAAAAPuwF3pEjd4I7UdtfkSN3gg9Q0lRLk5BU0RBUTpDQUxNLklRX0xJQUJJTElUSUVTX0xFVkVMXzIuOTk4LjI5LzAzLzIwMjYuLi5VU0QuSAEAAAAgegUAAwAAAAAA5mIXekSN3gggL3B+RI3eCElDSVEuTkFTREFROkNBTE0uSVFfRkFJUl9WQUxVRV9DSEFOR0VfSU5DTF9FQVJOSU5HUy45OTYuMjkvMDMvMjAyNi4uLlVTRC5IAQAAACB6BQADAAAAAADmYhd6RI3eCEu6b35Ejd4IP0NJUS5OQVNEQVE6Q0FMTS5JUV9GSU5fRElWX1NUX0RFQlRfVE9UQUwuOTk4LjI5LzAzLzIwMjYuLi5VU0QuSAEAAAAgegUAAwAAAAAA5mIXekSN3gjbkm9+RI3eCDxDSVEuTkFTREFROkNBTE0uSVFfREVCVF9FUVVJVl9ORVRfUEJPLjk5Ni4yOS8wMy8yMDI2</t>
  </si>
  <si>
    <t>Li4uVVNELkgBAAAAIHoFAAIAAAADNS41AQgAAAAFAAAAATEBAAAACy0yMDM3MjQxNzIxAwAAAAMxNjACAAAABTIxNjc5BAAAAAEwBwAAAAkzLzI5LzIwMjYIAAAACTUvMjkvMjAyMQkAAAABMAKKF3pEjd4IxB1vfkSN3gg/Q0lRLk5BU0RBUTpDQUxNLklRX1JFU1RSSUNURURfQ0FTSF9UT1RBTC45OTQuMjkvMDMvMjAyNi4uLlVTRC5IAQAAACB6BQADAAAAAAACihd6RI3eCErPbn5Ejd4IR0NJUS5OQVNEQVE6Q0FMTS5JUV9HRU5FUkFMX1BBUlRORVJfQ09NTU9OX0VRVUlUWS45OTguMjkvMDMvMjAyNi4uLlVTRC5IAQAAACB6BQADAAAAAACiaS16RI3eCLiicX5Ejd4IHENJUS5OWVNFOkdJUy5JUV9DT01QQU5ZX05BTUUBAAAAGzEEAAMAAAATR2VuZXJhbCBNaWxscywgSW5jLgBV81ZzRI3eCKekenxEjd4IHENJUS5OWVNFOk1LQy5JUV9DT01QQU5ZX05BTUUBAAAAuMMCAAMAAAAhTWNDb3JtaWNrICYgQ29tcGFueSwgSW5jb3Jwb3JhdGVkAFXzVnNEjd4IKNB5fESN3ggfQ0lRLlNaU0U6MzAwNzYxLklRX0NPTVBBTllfTkFNRQEAAADv78cTAwAAACJKaWFuZ3N1IExpaHVhIEZvb2RzIEdyb3VwIENvLiwgTHRkAFXzVnNEjd4IIkd5fESN3gghQ0lRLk5BU0RBUUdTOk1ETFouSVFfQ09NUEFOWV9OQU1FAQAAAG1JCwADAAAAHE1vbmRlbGV6IEludGVybmF0aW9uYWwsIEluYy4AVfNWc0SN3ghPpXh8RI3eCB1D</t>
  </si>
  <si>
    <t>SVEuTllTRTpQT1NULklRX0NPTVBBTllfTkFNRQEAAACPvWYIAwAAABNQb3N0IEhvbGRpbmdzLCBJbmMuAFXzVnNEjd4I+Wd3fESN3gggQ0lRLk5BU0RBUUdTOktIQy5JUV9DT01QQU5ZX05BTUUBAAAAxD4EAAMAAAAXVGhlIEtyYWZ0IEhlaW56IENvbXBhbnkAVfNWc0SN3ggSrHZ8RI3eCBxDSVEuTllTRTpIUkwuSVFfQ09NUEFOWV9OQU1FAQAAAAJCBAADAAAAGEhvcm1lbCBGb29kcyBDb3Jwb3JhdGlvbgBV81ZzRI3eCAcQdnxEjd4IIUNJUS5OQVNEQVFHTTpWSVRMLklRX0NPTVBBTllfTkFNRQEAAACR7M8NAwAAABFWaXRhbCBGYXJtcywgSW5jLgBV81ZzRI3eCAgJeHxEjd4IJENJUS5OWVNFOkdJUy5JUV9MQVNUU0FMRVBSSUNFLi5VU0QuSAEAAAAbMQQAAgAAAAUzNi40NQBV81ZzRI3eCITkFHxEjd4IHkNJUS5OWVNFOkdJUy5JUV9ZRUFSTE9XLi5VU0QuSAEAAAAbMQQAAgAAAAYzNS42MzUAVfNWc0SN3giE5BR8RI3eCB9DSVEuTllTRTpHSVMuSVFfWUVBUkhJR0guLlVTRC5IAQAAABsxBAACAAAABTYyLjYxAFXzVnNEjd4IhOQUfESN3ggfQ0lRLk5ZU0U6TUtDLklRX1lFQVJISUdILi5VU0QuSAEAAAC4wwIAAgAAAAU4My4xNQBV81ZzRI3eCIG9FHxEjd4IJENJUS5OWVNFOk1LQy5JUV9MQVNUU0FMRVBSSUNFLi5VU0QuSAEAAAC4wwIAAgAAAAU1My4wNwBV81ZzRI3eCIG9FHxEjd4IHkNJUS5OWVNF</t>
  </si>
  <si>
    <t>Ok1LQy5JUV9ZRUFSTE9XLi5VU0QuSAEAAAC4wwIAAgAAAAU1MS4yOQBV81ZzRI3eCIG9FHxEjd4IIUNJUS5TWlNFOjMwMDc2MS5JUV9ZRUFSTE9XLi5VU0QuSAEAAADv78cTAgAAAA0yLjU5NTQ4NjExMjQ0AFXzVnNEjd4IbJYUfESN3ggiQ0lRLlNaU0U6MzAwNzYxLklRX1lFQVJISUdILi5VU0QuSAEAAADv78cTAgAAAAwzLjY3NDc2ODUyMDQAVfNWc0SN3ghslhR8RI3eCCdDSVEuU1pTRTozMDA3NjEuSVFfTEFTVFNBTEVQUklDRS4uVVNELkgBAAAA7+/HEwIAAAANMi45NjE1MTYyMDUyMgBV81ZzRI3eCGyWFHxEjd4IJENJUS5OQVNEQVFHUzpNRExaLklRX1lFQVJISUdILi5VU0QuSAEAAABtSQsAAgAAAAU3MS4xNQBV81ZzRI3eCDVIFHxEjd4II0NJUS5OQVNEQVFHUzpNRExaLklRX1lFQVJMT1cuLlVTRC5IAQAAAG1JCwACAAAABzUxLjIwMDgAVfNWc0SN3gg1SBR8RI3eCClDSVEuTkFTREFRR1M6TURMWi5JUV9MQVNUU0FMRVBSSUNFLi5VU0QuSAEAAABtSQsAAgAAAAU1OC4yNwBV81ZzRI3eCDVIFHxEjd4IH0NJUS5OWVNFOlBPU1QuSVFfWUVBUkxPVy4uVVNELkgBAAAAj71mCAIAAAAFOTQuMTMAVfNWc0SN3gjogBV8RI3eCCBDSVEuTllTRTpQT1NULklRX1lFQVJISUdILi5VU0QuSAEAAACPvWYIAgAAAAYxMTkuODUAVfNWc0SN3gjogBV8RI3eCCVDSVEuTllTRTpQT1NULklRX0xBU1RTQUxFUFJJ</t>
  </si>
  <si>
    <t>Q0UuLlVTRC5IAQAAAI+9ZggCAAAABDk1LjcAVfNWc0SN3ggZqBV8RI3eCChDSVEuTkFTREFRR1M6S0hDLklRX0xBU1RTQUxFUFJJQ0UuLlVTRC5IAQAAAMQ+BAACAAAABTIyLjA0AFXzVnNEjd4Iu1kVfESN3ggjQ0lRLk5BU0RBUUdTOktIQy5JUV9ZRUFSSElHSC4uVVNELkgBAAAAxD4EAAIAAAAFMzEuMTUAVfNWc0SN3gi7WRV8RI3eCCJDSVEuTkFTREFRR1M6S0hDLklRX1lFQVJMT1cuLlVTRC5IAQAAAMQ+BAACAAAABjIxLjAzNQBV81ZzRI3eCLtZFXxEjd4IH0NJUS5OWVNFOkhSTC5JUV9ZRUFSSElHSC4uVVNELkgBAAAAAkIEAAIAAAAFMzIuMDcAVfNWc0SN3gi5MhV8RI3eCB5DSVEuTllTRTpIUkwuSVFfWUVBUkxPVy4uVVNELkgBAAAAAkIEAAIAAAAFMjEuMDMAVfNWc0SN3gi5MhV8RI3eCCRDSVEuTllTRTpIUkwuSVFfTEFTVFNBTEVQUklDRS4uVVNELkgBAAAAAkIEAAIAAAAFMjMuMDcAVfNWc0SN3gi5MhV8RI3eCCJDSVEuTllTRTpHSVMuSVFfU0hBUkVTT1VUU1RBTkRJTkcuAQAAABsxBAACAAAACjUzMy42ODEyMTgAVfNWc0SN3ginpHp8RI3eCCJDSVEuTllTRTpNS0MuSVFfU0hBUkVTT1VUU1RBTkRJTkcuAQAAALjDAgACAAAACjI2OC40MzgyMzkAVfNWc0SN3ggo0Hl8RI3eCCVDSVEuU1pTRTozMDA3NjEuSVFfU0hBUkVTT1VUU1RBTkRJTkcuAQAAAO/vxxMCAAAACjgzNy4yNjk2NDEAVfNW</t>
  </si>
  <si>
    <t>c0SN3ggiR3l8RI3eCCdDSVEuTkFTREFRR1M6TURMWi5JUV9TSEFSRVNPVVRTVEFORElORy4BAAAAbUkLAAIAAAALMTI4MS44NDU2NjkAVfNWc0SN3ghPpXh8RI3eCCNDSVEuTllTRTpQT1NULklRX1NIQVJFU09VVFNUQU5ESU5HLgEAAACPvWYIAgAAAAk0Ny44MjQyMTkAVfNWc0SN3gj5Z3d8RI3eCCZDSVEuTkFTREFRR1M6S0hDLklRX1NIQVJFU09VVFNUQU5ESU5HLgEAAADEPgQAAgAAAAsxMTgzLjc0NDc1MQBV81ZzRI3eCBKsdnxEjd4IIkNJUS5OWVNFOkhSTC5JUV9TSEFSRVNPVVRTVEFORElORy4BAAAAAkIEAAIAAAAKNTUwLjI4NDIwNwBV81ZzRI3eCOvodXxEjd4II0NJUS5OQVNEQVFHTTpWSVRMLklRX1lFQVJMT1cuLlVTRC5IAQAAAJHszw0CAAAABDEyLjgAVfNWc0SN3gjRzBV8RI3eCClDSVEuTkFTREFRR006VklUTC5JUV9MQVNUU0FMRVBSSUNFLi5VU0QuSAEAAACR7M8NAgAAAAUxMy4xNABV81ZzRI3eCNHMFXxEjd4IJENJUS5OQVNEQVFHTTpWSVRMLklRX1lFQVJISUdILi5VU0QuSAEAAACR7M8NAgAAAAY1My4xMjUAVfNWc0SN3gjRzBV8RI3eCCdDSVEuTkFTREFRR006VklUTC5JUV9TSEFSRVNPVVRTVEFORElORy4BAAAAkezPDQIAAAAJNDQuNzk3MTI1AFXzVnNEjd4ICAl4fESN3ggiQ0lRLk5ZU0U6R0lTLklRX1BFX0VYQ0xfRldELjEwMDAxLgEAAAAbMQQAAgAAABAxMC44NzExODYx</t>
  </si>
  <si>
    <t>MzczNzM2AQ0AAAAFAAAAATkBAAAABzI2MTQ2NjYCAAAABzM4NzAwNDcDAAAABjEwMDMwOQQAAAABMgYAAAABMAcAAAADMTYwCAAAAAEwCQAAAAExCgAAAAEwCwAAAAsxNDcwNDg3MzczMgwAAAABNw0AAAAJMy8yOS8yMDI2VfNWc0SN3giDfXp8RI3eCCJDSVEuTllTRTpHSVMuSVFfUEVfRVhDTF9GV0QuMTAwMDIuAQAAABsxBAACAAAAEDEwLjcxMjM5NjQwMjc1MDgBDQAAAAUAAAABOQEAAAAHMjYxNDY2NgIAAAAHMTMyNjMyMAMAAAAGMTAwMzA5BAAAAAEyBgAAAAEwBwAAAAMxNjAIAAAAATAJAAAAATEKAAAAATALAAAACzE0NzA5ODE1NTMzDAAAAAE3DQAAAAkzLzI5LzIwMjZV81ZzRI3eCIN9enxEjd4IJUNJUS5OWVNFOkdJUy5JUV9URVZfRUJJVERBX0ZXRC4xMDAwMS4BAAAAGzEEAAIAAAAQMTAuMDMxNzg0NTkzODM5NgENAAAABQAAAAE5AQAAAAcyNjE0NjY2AgAAAAczODcwMDQ3AwAAAAYxMDAzMDgEAAAAATIGAAAAATAHAAAAAzE2MAgAAAABMAkAAAABMQoAAAABMAsAAAALMTQ3MDQ2OTIwNzMMAAAAATcNAAAACTMvMjkvMjAyNlXzVnNEjd4Ip6R6fESN3gglQ0lRLk5ZU0U6R0lTLklRX1RFVl9FQklUREFfRldELjEwMDAyLgEAAAAbMQQAAgAAABAxMC4wNzA5Nzg0Njc1ODk0AQ0AAAAFAAAAATkBAAAABzI2MTQ2NjYCAAAABzEzMjYzMjADAAAABjEwMDMwOAQAAAABMgYAAAABMAcAAAADMTYwCAAA</t>
  </si>
  <si>
    <t>AAEwCQAAAAExCgAAAAEwCwAAAAsxNDcwNDY5MjE2NgwAAAABNw0AAAAJMy8yOS8yMDI2VfNWc0SN3ginpHp8RI3eCCJDSVEuTllTRTpNS0MuSVFfUEVfRVhDTF9GV0QuMTAwMDEuAQAAALjDAgACAAAAEDE3LjE3MTU4OTcwNjc1MzEBDQAAAAUAAAABOQEAAAAHMjYyOTA2MgIAAAAKMTAwNDgwMTg1MQMAAAAGMTAwMzA5BAAAAAEyBgAAAAEwBwAAAAMxNjAIAAAAATAJAAAAATEKAAAAATALAAAACzE0NzA5NjcwMjQxDAAAAAE3DQAAAAkzLzI5LzIwMjZV81ZzRI3eCCOpeXxEjd4IIkNJUS5OWVNFOk1LQy5JUV9QRV9FWENMX0ZXRC4xMDAwMi4BAAAAuMMCAAIAAAAQMTUuODQ0OTYwMDM2NzgzNQENAAAABQAAAAE5AQAAAAcyNjI5MDYyAgAAAAoxMDA0ODAxODU2AwAAAAYxMDAzMDkEAAAAATIGAAAAATAHAAAAAzE2MAgAAAABMAkAAAABMQoAAAABMAsAAAALMTQ3MDk2MjY2MDQMAAAAATcNAAAACTMvMjkvMjAyNlXzVnNEjd4II6l5fESN3gglQ0lRLk5ZU0U6TUtDLklRX1RFVl9FQklUREFfRldELjEwMDAxLgEAAAC4wwIAAgAAABAxMi4wMDI2NjcyNzc5OTE5AQ0AAAAFAAAAATkBAAAABzI2MjkwNjICAAAACjEwMDQ4MDE4NTEDAAAABjEwMDMwOAQAAAABMgYAAAABMAcAAAADMTYwCAAAAAEwCQAAAAExCgAAAAEwCwAAAAsxNDcxMDY1NzMxOAwAAAABNw0AAAAJMy8yOS8yMDI2VfNWc0SN3ggo0Hl8RI3eCCVD</t>
  </si>
  <si>
    <t>SVEuTllTRTpNS0MuSVFfVEVWX0VCSVREQV9GV0QuMTAwMDIuAQAAALjDAgACAAAAEDExLjI0MDE4NjI4NDEwNDQBDQAAAAUAAAABOQEAAAAHMjYyOTA2MgIAAAAKMTAwNDgwMTg1NgMAAAAGMTAwMzA4BAAAAAEyBgAAAAEwBwAAAAMxNjAIAAAAATAJAAAAATEKAAAAATALAAAACzE0NzEwNjU3MzA2DAAAAAE3DQAAAAkzLzI5LzIwMjZV81ZzRI3eCCjQeXxEjd4IKENJUS5TWlNFOjMwMDc2MS5JUV9URVZfRUJJVERBX0ZXRC4xMDAwMi4BAAAA7+/HEwIAAAAQNy44MDg1MTg4MzYyMTA1NQENAAAABQAAAAE5AQAAAAk1NTc4NTU1MjgCAAAACjEwMDQ3NjM4NjMDAAAABjEwMDMwOAQAAAACMjcGAAAAATAHAAAAAjMyCAAAAAEwCQAAAAExCgAAAAEwCwAAAAsxNDYzMDE2NjQ2MgwAAAABNw0AAAAJMy8yOS8yMDI2VfNWc0SN3ggWIHl8RI3eCCVDSVEuU1pTRTozMDA3NjEuSVFfUEVfRVhDTF9GV0QuMTAwMDEuAQAAAO/vxxMCAAAAEDI5LjE1Mjg5OTYyNDAxNzMBDQAAAAUAAAABOQEAAAAJNTU3ODU1NTI4AgAAAAoxMDA0NzYzODYyAwAAAAYxMDAzMDkEAAAAAjI3BgAAAAEwBwAAAAIzMggAAAABMAkAAAABMQoAAAABMAsAAAALMTQ2MzAxNjY2MDAMAAAAATcNAAAACTMvMjkvMjAyNlXzVnNEjd4IFiB5fESN3gglQ0lRLlNaU0U6MzAwNzYxLklRX1BFX0VYQ0xfRldELjEwMDAyLgEAAADv78cTAgAAAA8xMS4wMDUz</t>
  </si>
  <si>
    <t>NzYzNDQwODYBDQAAAAUAAAABOQEAAAAJNTU3ODU1NTI4AgAAAAoxMDA0NzYzODYzAwAAAAYxMDAzMDkEAAAAAjI3BgAAAAEwBwAAAAIzMggAAAABMAkAAAABMQoAAAABMAsAAAALMTQ2MzAxNjY1ODIMAAAAATcNAAAACTMvMjkvMjAyNlXzVnNEjd4IFiB5fESN3ggoQ0lRLlNaU0U6MzAwNzYxLklRX1RFVl9FQklUREFfRldELjEwMDAxLgEAAADv78cTAgAAABA5LjY1MjkyNTQzOTk1OTYyAQ0AAAAFAAAAATkBAAAACTU1Nzg1NTUyOAIAAAAKMTAwNDc2Mzg2MgMAAAAGMTAwMzA4BAAAAAIyNwYAAAABMAcAAAACMzIIAAAAATAJAAAAATEKAAAAATALAAAACzE0NjMwMTY2NDQ0DAAAAAE3DQAAAAkzLzI5LzIwMjZV81ZzRI3eCBYgeXxEjd4IJ0NJUS5OQVNEQVFHUzpNRExaLklRX1BFX0VYQ0xfRldELjEwMDAxLgEAAABtSQsAAgAAABAxOS4yMDcxODg0Mzk0MjgzAQ0AAAAFAAAAATkBAAAABzI2MjQzMzYCAAAACjEwMDE0NDQ5NDkDAAAABjEwMDMwOQQAAAABMgYAAAABMAcAAAADMTYwCAAAAAEwCQAAAAExCgAAAAEwCwAAAAsxNDcwOTQzODMxNAwAAAABNw0AAAAJMy8yOS8yMDI2VfNWc0SN3ghEfnh8RI3eCCdDSVEuTkFTREFRR1M6TURMWi5JUV9QRV9FWENMX0ZXRC4xMDAwMi4BAAAAbUkLAAIAAAAQMTcuMjQwODE4MTYyMTgyNgENAAAABQAAAAE5AQAAAAcyNjI0MzM2AgAAAAoxMDAxNDQ0OTUwAwAAAAYx</t>
  </si>
  <si>
    <t>MDAzMDkEAAAAATIGAAAAATAHAAAAAzE2MAgAAAABMAkAAAABMQoAAAABMAsAAAALMTQ3MDk0Mzk0MjIMAAAAATcNAAAACTMvMjkvMjAyNlXzVnNEjd4IRH54fESN3ggqQ0lRLk5BU0RBUUdTOk1ETFouSVFfVEVWX0VCSVREQV9GV0QuMTAwMDEuAQAAAG1JCwACAAAAEDE0LjAyMjQ0NjI5OTc2OTgBDQAAAAUAAAABOQEAAAAHMjYyNDMzNgIAAAAKMTAwMTQ0NDk0OQMAAAAGMTAwMzA4BAAAAAEyBgAAAAEwBwAAAAMxNjAIAAAAATAJAAAAATEKAAAAATALAAAACzE0NzA5NDQwMTc4DAAAAAE3DQAAAAkzLzI5LzIwMjZV81ZzRI3eCE+leHxEjd4IKkNJUS5OQVNEQVFHUzpNRExaLklRX1RFVl9FQklUREFfRldELjEwMDAyLgEAAABtSQsAAgAAABAxMi45OTg4NjU2MzQwMDI3AQ0AAAAFAAAAATkBAAAABzI2MjQzMzYCAAAACjEwMDE0NDQ5NTADAAAABjEwMDMwOAQAAAABMgYAAAABMAcAAAADMTYwCAAAAAEwCQAAAAExCgAAAAEwCwAAAAsxNDcwOTQzOTk3OQwAAAABNw0AAAAJMy8yOS8yMDI2VfNWc0SN3ghPpXh8RI3eCCZDSVEuTllTRTpQT1NULklRX1RFVl9FQklUREFfRldELjEwMDAyLgEAAACPvWYIAgAAABA3LjQxOTM5MDYzNTQwMjM5AQ0AAAAFAAAAATkBAAAACTE1NDE0ODk4NwIAAAAHMzkwODYxMAMAAAAGMTAwMzA4BAAAAAEyBgAAAAEwBwAAAAMxNjAIAAAAATAJAAAAATEKAAAAATALAAAACzE0NjUz</t>
  </si>
  <si>
    <t>MTk4NzQzDAAAAAE3DQAAAAkzLzI5LzIwMjZV81ZzRI3eCARUd3xEjd4II0NJUS5OWVNFOlBPU1QuSVFfUEVfRVhDTF9GV0QuMTAwMDEuAQAAAI+9ZggCAAAAEDEyLjg2MzI0OTAxMjA3MDIBDQAAAAUAAAABOQEAAAAJMTU0MTQ4OTg3AgAAAAcyNjI4Nzg2AwAAAAYxMDAzMDkEAAAAATIGAAAAATAHAAAAAzE2MAgAAAABMAkAAAABMQoAAAABMAsAAAALMTQ2NTM4ODQyNjUMAAAAATcNAAAACTMvMjkvMjAyNlXzVnNEjd4IBFR3fESN3ggjQ0lRLk5ZU0U6UE9TVC5JUV9QRV9FWENMX0ZXRC4xMDAwMi4BAAAAj71mCAIAAAAQMTEuMTIyNDc1MDcwMzE0NQENAAAABQAAAAE5AQAAAAkxNTQxNDg5ODcCAAAABzM5MDg2MTADAAAABjEwMDMwOQQAAAABMgYAAAABMAcAAAADMTYwCAAAAAEwCQAAAAExCgAAAAEwCwAAAAsxNDY1Mzg4NDI2OQwAAAABNw0AAAAJMy8yOS8yMDI2VfNWc0SN3ggEVHd8RI3eCCZDSVEuTllTRTpQT1NULklRX1RFVl9FQklUREFfRldELjEwMDAxLgEAAACPvWYIAgAAABA3LjU5NDkyNDk3MTIzNjc3AQ0AAAAFAAAAATkBAAAACTE1NDE0ODk4NwIAAAAHMjYyODc4NgMAAAAGMTAwMzA4BAAAAAEyBgAAAAEwBwAAAAMxNjAIAAAAATAJAAAAATEKAAAAATALAAAACzE0NjUzMTk4MzE3DAAAAAE3DQAAAAkzLzI5LzIwMjZV81ZzRI3eCPlnd3xEjd4IJkNJUS5OQVNEQVFHUzpLSEMuSVFfUEVfRVhD</t>
  </si>
  <si>
    <t>TF9GV0QuMTAwMDEuAQAAAMQ+BAACAAAAEDEwLjgyOTkzNDY0Njk0NjEBDQAAAAUAAAABOQEAAAAJMzA1NzU1NjgzAgAAAAoxMDAzOTcxOTQ4AwAAAAYxMDAzMDkEAAAAATIGAAAAATAHAAAAAzE2MAgAAAABMAkAAAABMQoAAAABMAsAAAALMTQ3MDk2NDM3ODkMAAAAATcNAAAACTMvMjkvMjAyNlXzVnNEjd4IJ4V2fESN3ggpQ0lRLk5BU0RBUUdTOktIQy5JUV9URVZfRUJJVERBX0ZXRC4xMDAwMi4BAAAAxD4EAAIAAAAQOC41OTQxMDU3MDk5MTA1OQENAAAABQAAAAE5AQAAAAkzMDU3NTU2ODMCAAAACjEwMDQyNjc1MTkDAAAABjEwMDMwOAQAAAABMgYAAAABMAcAAAADMTYwCAAAAAEwCQAAAAExCgAAAAEwCwAAAAsxNDcwOTY3MTIwMwwAAAABNw0AAAAJMy8yOS8yMDI2VfNWc0SN3ggnhXZ8RI3eCClDSVEuTkFTREFRR1M6S0hDLklRX1RFVl9FQklUREFfRldELjEwMDAxLgEAAADEPgQAAgAAABA4LjgyMjcwNTE3NzU3NTYxAQ0AAAAFAAAAATkBAAAACTMwNTc1NTY4MwIAAAAKMTAwMzk3MTk0OAMAAAAGMTAwMzA4BAAAAAEyBgAAAAEwBwAAAAMxNjAIAAAAATAJAAAAATEKAAAAATALAAAACzE0NzA5NjcyMDMwDAAAAAE3DQAAAAkzLzI5LzIwMjZV81ZzRI3eCCeFdnxEjd4IJkNJUS5OQVNEQVFHUzpLSEMuSVFfUEVfRVhDTF9GV0QuMTAwMDIuAQAAAMQ+BAACAAAAEDEwLjI5MTgwMzQ0NzEwMDQBDQAAAAUA</t>
  </si>
  <si>
    <t>AAABOQEAAAAJMzA1NzU1NjgzAgAAAAoxMDA0MjY3NTE5AwAAAAYxMDAzMDkEAAAAATIGAAAAATAHAAAAAzE2MAgAAAABMAkAAAABMQoAAAABMAsAAAALMTQ3MDk3MDg5NzQMAAAAATcNAAAACTMvMjkvMjAyNlXzVnNEjd4IJ4V2fESN3ggiQ0lRLk5ZU0U6SFJMLklRX1BFX0VYQ0xfRldELjEwMDAyLgEAAAACQgQAAgAAABAxNC4zNjM5ODcyOTg0MjQ4AQ0AAAAFAAAAATkBAAAABzI2MTkwMzQCAAAABzQyNTg3ODMDAAAABjEwMDMwOQQAAAABMgYAAAABMAcAAAADMTYwCAAAAAEwCQAAAAExCgAAAAEwCwAAAAsxNDcwNzU2NzAwOAwAAAABNw0AAAAJMy8yOS8yMDI2VfNWc0SN3gjr6HV8RI3eCCVDSVEuTllTRTpIUkwuSVFfVEVWX0VCSVREQV9GV0QuMTAwMDEuAQAAAAJCBAACAAAAEDEwLjQ4OTg4MjY5MzAwMTUBDQAAAAUAAAABOQEAAAAHMjYxOTAzNAIAAAAHMzg2MzAyMgMAAAAGMTAwMzA4BAAAAAEyBgAAAAEwBwAAAAMxNjAIAAAAATAJAAAAATEKAAAAATALAAAACzE0NjgyMzk3NDM3DAAAAAE3DQAAAAkzLzI5LzIwMjZV81ZzRI3eCOvodXxEjd4IJUNJUS5OWVNFOkhSTC5JUV9URVZfRUJJVERBX0ZXRC4xMDAwMi4BAAAAAkIEAAIAAAAQMTAuMjM0ODU0MjE2OTUwNwENAAAABQAAAAE5AQAAAAcyNjE5MDM0AgAAAAc0MjU4NzgzAwAAAAYxMDAzMDgEAAAAATIGAAAAATAHAAAAAzE2MAgAAAABMAkAAAAB</t>
  </si>
  <si>
    <t>MQoAAAABMAsAAAALMTQ2ODU2MjQ5NjQMAAAAATcNAAAACTMvMjkvMjAyNlXzVnNEjd4I6+h1fESN3ggiQ0lRLk5ZU0U6SFJMLklRX1BFX0VYQ0xfRldELjEwMDAxLgEAAAACQgQAAgAAABAxNS4yMTQ2NjcyODIyMDAxAQ0AAAAFAAAAATkBAAAABzI2MTkwMzQCAAAABzM4NjMwMjIDAAAABjEwMDMwOQQAAAABMgYAAAABMAcAAAADMTYwCAAAAAEwCQAAAAExCgAAAAEwCwAAAAsxNDY4MjM5ODY2MAwAAAABNw0AAAAJMy8yOS8yMDI2VfNWc0SN3gjr6HV8RI3eCCpDSVEuTkFTREFRR006VklUTC5JUV9URVZfRUJJVERBX0ZXRC4xMDAwMi4BAAAAkezPDQIAAAAQNC4yNDY1MTczOTI4NTgxNQENAAAABQAAAAE5AQAAAAk2NzY3NjE3MjUCAAAACjEwMDQ3NjkwNjUDAAAABjEwMDMwOAQAAAABMgYAAAABMAcAAAADMTYwCAAAAAEwCQAAAAExCgAAAAEwCwAAAAsxNDcxMjQ4NjA3NwwAAAABNw0AAAAJMy8yOS8yMDI2VfNWc0SN3gj64Xd8RI3eCCpDSVEuTkFTREFRR006VklUTC5JUV9URVZfRUJJVERBX0ZXRC4xMDAwMS4BAAAAkezPDQIAAAAQNS4xOTY2MTQzOTQ5Njk4MQENAAAABQAAAAE5AQAAAAk2NzY3NjE3MjUCAAAACjEwMDQ3NjkwNjQDAAAABjEwMDMwOAQAAAABMgYAAAABMAcAAAADMTYwCAAAAAEwCQAAAAExCgAAAAEwCwAAAAsxNDcxMjQ4NjA4MwwAAAABNw0AAAAJMy8yOS8yMDI2VfNWc0SN3ggICXh8</t>
  </si>
  <si>
    <t>RI3eCCdDSVEuTkFTREFRR006VklUTC5JUV9QRV9FWENMX0ZXRC4xMDAwMi4BAAAAkezPDQIAAAAQOS4xMTA5NTM5NDU5OTk5MgENAAAABQAAAAE5AQAAAAk2NzY3NjE3MjUCAAAACjEwMDQ3NjkwNjUDAAAABjEwMDMwOQQAAAABMgYAAAABMAcAAAADMTYwCAAAAAEwCQAAAAExCgAAAAEwCwAAAAsxNDcxMjQ4NjI2NAwAAAABNw0AAAAJMy8yOS8yMDI2VfNWc0SN3gj64Xd8RI3eCCdDSVEuTkFTREFRR006VklUTC5JUV9QRV9FWENMX0ZXRC4xMDAwMS4BAAAAkezPDQIAAAAOMTEuMjczNTUwOTExMTUBDQAAAAUAAAABOQEAAAAJNjc2NzYxNzI1AgAAAAoxMDA0NzY5MDY0AwAAAAYxMDAzMDkEAAAAATIGAAAAATAHAAAAAzE2MAgAAAABMAkAAAABMQoAAAABMAsAAAALMTQ3MTI0ODYyNzAMAAAAATcNAAAACTMvMjkvMjAyNlXzVnNEjd4I+uF3fESN3ggpQ0lRLk5ZU0U6R0lTLklRX1BSRUZfRVFVSVRZLjUwMC4uLkYuVVNELkgBAAAAGzEEAAMAAAAAAFXzVnNEjd4IhOQUfESN3ggoQ0lRLk5ZU0U6R0lTLklRX1RPVEFMX0RFQlQuNTAwLi4uRi5VU0QuSAEAAAAbMQQAAgAAAAcxMzk2Ny43AQgAAAAFAAAAATEBAAAACy0xOTAxMDAwNzk0AwAAAAMxNjACAAAABDQxNzMEAAAAATAHAAAACTMvMjgvMjAyNggAAAAJMi8yMi8yMDI2CQAAAAEwVfNWc0SN3giE5BR8RI3eCCxDSVEuTllTRTpHSVMuSVFfQ0FTSF9TVF9J</t>
  </si>
  <si>
    <t>TlZFU1QuNTAwLi4uRi5VU0QuSAEAAAAbMQQAAgAAAAU3ODUuNQEIAAAABQAAAAExAQAAAAstMTkwMTAwMDc5NAMAAAADMTYwAgAAAAQxMDAyBAAAAAEwBwAAAAkzLzI4LzIwMjYIAAAACTIvMjIvMjAyNgkAAAABMFXzVnNEjd4IhOQUfESN3ggnQ0lRLk5ZU0U6R0lTLklRX1RPVEFMX1JFVi4yMDAwLi4uLlVTRC5IAQAAABsxBAACAAAABzE4MzcxLjIBCAAAAAUAAAABMQEAAAALLTE5MDA5OTk1MjUDAAAAAzE2MAIAAAACMjgEAAAAATAHAAAACTMvMjgvMjAyNggAAAAJMi8yMi8yMDI2CQAAAAEwVfNWc0SN3giE5BR8RI3eCCdDSVEuTllTRTpHSVMuSVFfVE9UQUxfUkVWLjEwMDAuLi4uVVNELkgBAAAAGzEEAAIAAAAHMTk0ODYuNgEIAAAABQAAAAExAQAAAAstMTkzNzAyOTE3MQMAAAADMTYwAgAAAAIyOAQAAAABMAcAAAAJMy8yOC8yMDI2CAAAAAk1LzI1LzIwMjUJAAAAATBV81ZzRI3eCITkFHxEjd4INUNJUS5OWVNFOkdJUy5JUV9NSU5PUklUWV9JTlRFUkVTVF9UT1RBTC41MDAuLi5GLlVTRC5IAQAAABsxBAACAAAABDEzLjcBCAAAAAUAAAABMQEAAAALLTE5MDEwMDA3OTQDAAAAAzE2MAIAAAAEMTMxMgQAAAABMAcAAAAJMy8yOC8yMDI2CAAAAAkyLzIyLzIwMjYJAAAAATBV81ZzRI3eCITkFHxEjd4ILENJUS5OWVNFOkdJUy5JUV9ESUxVVF9FUFNfRVhDTC4xMDAwLi4uLlVTRC5IAQAAABsxBAACAAAA</t>
  </si>
  <si>
    <t>AzQuMQEIAAAABQAAAAExAQAAAAstMTkzNzAyOTE3MQMAAAADMTYwAgAAAAMxNDIEAAAAATAHAAAACTMvMjgvMjAyNggAAAAJNS8yNS8yMDI1CQAAAAEwVfNWc0SN3giBvRR8RI3eCCRDSVEuTllTRTpHSVMuSVFfRUJJVERBLjIwMDAuLi4uVVNELkgBAAAAGzEEAAIAAAAGMzMxOC4xAQgAAAAFAAAAATEBAAAACy0xOTAwOTk5NTI1AwAAAAMxNjACAAAABDQwNTEEAAAAATAHAAAACTMvMjgvMjAyNggAAAAJMi8yMi8yMDI2CQAAAAEwVfNWc0SN3giBvRR8RI3eCCRDSVEuTllTRTpHSVMuSVFfRUJJVERBLjEwMDAuLi4uVVNELkgBAAAAGzEEAAIAAAAGMzkwNC4yAQgAAAAFAAAAATEBAAAACy0xOTM3MDI5MTcxAwAAAAMxNjACAAAABDQwNTEEAAAAATAHAAAACTMvMjgvMjAyNggAAAAJNS8yNS8yMDI1CQAAAAEwVfNWc0SN3giE5BR8RI3eCCxDSVEuTllTRTpHSVMuSVFfRElMVVRfRVBTX0VYQ0wuMjAwMC4uLi5VU0QuSAEAAAAbMQQAAgAAAAc0LjA3MTI0AQgAAAAFAAAAATEBAAAACy0xOTAwOTk5NTI1AwAAAAMxNjACAAAAAzE0MgQAAAABMAcAAAAJMy8yOC8yMDI2CAAAAAkyLzIyLzIwMjYJAAAAATBV81ZzRI3eCIG9FHxEjd4INUNJUS5OWVNFOk1LQy5JUV9NSU5PUklUWV9JTlRFUkVTVF9UT1RBTC41MDAuLi5GLlVTRC5IAQAAALjDAgACAAAABDMxLjYBCAAAAAUAAAABMQEAAAALLTE5MDkzMzAyOTcDAAAA</t>
  </si>
  <si>
    <t>AzE2MAIAAAAEMTMxMgQAAAABMAcAAAAJMy8yOC8yMDI2CAAAAAoxMS8zMC8yMDI1CQAAAAEwVfNWc0SN3giBvRR8RI3eCClDSVEuTllTRTpNS0MuSVFfUFJFRl9FUVVJVFkuNTAwLi4uRi5VU0QuSAEAAAC4wwIAAwAAAAAAVfNWc0SN3giBvRR8RI3eCChDSVEuTllTRTpNS0MuSVFfVE9UQUxfREVCVC41MDAuLi5GLlVTRC5IAQAAALjDAgACAAAABjQyMjIuOQEIAAAABQAAAAExAQAAAAstMTkwOTMzMDI5NwMAAAADMTYwAgAAAAQ0MTczBAAAAAEwBwAAAAkzLzI4LzIwMjYIAAAACjExLzMwLzIwMjUJAAAAATBV81ZzRI3eCIG9FHxEjd4ILENJUS5OWVNFOk1LQy5JUV9DQVNIX1NUX0lOVkVTVC41MDAuLi5GLlVTRC5IAQAAALjDAgACAAAABDk1LjkBCAAAAAUAAAABMQEAAAALLTE5MDkzMzAyOTcDAAAAAzE2MAIAAAAEMTAwMgQAAAABMAcAAAAJMy8yOC8yMDI2CAAAAAoxMS8zMC8yMDI1CQAAAAEwVfNWc0SN3giBvRR8RI3eCCRDSVEuTllTRTpNS0MuSVFfRUJJVERBLjEwMDAuLi4uVVNELkgBAAAAuMMCAAIAAAAGMTMwNS44AQgAAAAFAAAAATEBAAAACy0xOTA5MzMyMjk2AwAAAAMxNjACAAAABDQwNTEEAAAAATAHAAAACTMvMjgvMjAyNggAAAAKMTEvMzAvMjAyNQkAAAABMFXzVnNEjd4IbJYUfESN3ggnQ0lRLk5ZU0U6TUtDLklRX1RPVEFMX1JFVi4yMDAwLi4uLlVTRC5IAQAAALjDAgACAAAABjY4NDAu</t>
  </si>
  <si>
    <t>MwEIAAAABQAAAAExAQAAAAstMTkwOTMzMDI5NQMAAAADMTYwAgAAAAIyOAQAAAABMAcAAAAJMy8yOC8yMDI2CAAAAAoxMS8zMC8yMDI1CQAAAAEwVfNWc0SN3ghslhR8RI3eCCdDSVEuTllTRTpNS0MuSVFfVE9UQUxfUkVWLjEwMDAuLi4uVVNELkgBAAAAuMMCAAIAAAAGNjg0MC4zAQgAAAAFAAAAATEBAAAACy0xOTA5MzMyMjk2AwAAAAMxNjACAAAAAjI4BAAAAAEwBwAAAAkzLzI4LzIwMjYIAAAACjExLzMwLzIwMjUJAAAAATBV81ZzRI3eCGyWFHxEjd4ILENJUS5OWVNFOk1LQy5JUV9ESUxVVF9FUFNfRVhDTC4yMDAwLi4uLlVTRC5IAQAAALjDAgACAAAABDIuOTMBCAAAAAUAAAABMQEAAAALLTE5MDkzMzAyOTUDAAAAAzE2MAIAAAADMTQyBAAAAAEwBwAAAAkzLzI4LzIwMjYIAAAACjExLzMwLzIwMjUJAAAAATBV81ZzRI3eCGyWFHxEjd4ILENJUS5OWVNFOk1LQy5JUV9ESUxVVF9FUFNfRVhDTC4xMDAwLi4uLlVTRC5IAQAAALjDAgACAAAABDIuOTMBCAAAAAUAAAABMQEAAAALLTE5MDkzMzIyOTYDAAAAAzE2MAIAAAADMTQyBAAAAAEwBwAAAAkzLzI4LzIwMjYIAAAACjExLzMwLzIwMjUJAAAAATBV81ZzRI3eCGyWFHxEjd4IJENJUS5OWVNFOk1LQy5JUV9FQklUREEuMjAwMC4uLi5VU0QuSAEAAAC4wwIAAgAAAAYxMzA1LjgBCAAAAAUAAAABMQEAAAALLTE5MDkzMzAyOTUDAAAAAzE2MAIAAAAENDA1</t>
  </si>
  <si>
    <t>MQQAAAABMAcAAAAJMy8yOC8yMDI2CAAAAAoxMS8zMC8yMDI1CQAAAAEwVfNWc0SN3ghslhR8RI3eCCpDSVEuU1pTRTozMDA3NjEuSVFfVE9UQUxfUkVWLjEwMDAuLi4uVVNELkgBAAAA7+/HEwIAAAAKMjQyOC4zNjQ1MQEIAAAABQAAAAExAQAAAAstMTk1MDEyNDQyNAMAAAADMTYwAgAAAAIyOAQAAAABMAcAAAAJMy8yOC8yMDI2CAAAAAoxMi8zMS8yMDI0CQAAAAEwVfNWc0SN3ghDbxR8RI3eCDhDSVEuU1pTRTozMDA3NjEuSVFfTUlOT1JJVFlfSU5URVJFU1RfVE9UQUwuNTAwLi4uRi5VU0QuSAEAAADv78cTAgAAAAkxNS4yMjEyNjYBCAAAAAUAAAABMQEAAAALLTE5MjA1NTEwNTADAAAAAzE2MAIAAAAEMTMxMgQAAAABMAcAAAAJMy8yOC8yMDI2CAAAAAk5LzMwLzIwMjUJAAAAATBV81ZzRI3eCENvFHxEjd4ILENJUS5TWlNFOjMwMDc2MS5JUV9QUkVGX0VRVUlUWS41MDAuLi5GLlVTRC5IAQAAAO/vxxMDAAAAAABV81ZzRI3eCENvFHxEjd4IK0NJUS5TWlNFOjMwMDc2MS5JUV9UT1RBTF9ERUJULjUwMC4uLkYuVVNELkgBAAAA7+/HEwIAAAAKNDkxLjQ2MDAyNAEIAAAABQAAAAExAQAAAAstMTkyMDU1MTA1MAMAAAADMTYwAgAAAAQ0MTczBAAAAAEwBwAAAAkzLzI4LzIwMjYIAAAACTkvMzAvMjAyNQkAAAABMFXzVnNEjd4IQ28UfESN3ggvQ0lRLlNaU0U6MzAwNzYxLklRX0NBU0hfU1RfSU5WRVNULjUw</t>
  </si>
  <si>
    <t>MC4uLkYuVVNELkgBAAAA7+/HEwIAAAAKMjA1LjE1OTc4NAEIAAAABQAAAAExAQAAAAstMTkyMDU1MTA1MAMAAAADMTYwAgAAAAQxMDAyBAAAAAEwBwAAAAkzLzI4LzIwMjYIAAAACTkvMzAvMjAyNQkAAAABMFXzVnNEjd4IQ28UfESN3ggnQ0lRLlNaU0U6MzAwNzYxLklRX0VCSVREQS4yMDAwLi4uLlVTRC5IAQAAAO/vxxMCAAAACjI0MS40ODI2MjMBCAAAAAUAAAABMQEAAAALLTE5MjA1NTAzNTMDAAAAAzE2MAIAAAAENDA1MQQAAAABMAcAAAAJMy8yOC8yMDI2CAAAAAk5LzMwLzIwMjUJAAAAATBV81ZzRI3eCENvFHxEjd4IJ0NJUS5TWlNFOjMwMDc2MS5JUV9FQklUREEuMTAwMC4uLi5VU0QuSAEAAADv78cTAgAAAAkzMjcuNjc1OTUBCAAAAAUAAAABMQEAAAALLTE5NTAxMjQ0MjQDAAAAAzE2MAIAAAAENDA1MQQAAAABMAcAAAAJMy8yOC8yMDI2CAAAAAoxMi8zMS8yMDI0CQAAAAEwVfNWc0SN3ghDbxR8RI3eCCpDSVEuU1pTRTozMDA3NjEuSVFfVE9UQUxfUkVWLjIwMDAuLi4uVVNELkgBAAAA7+/HEwIAAAALMjYwMy40MTEwMTcBCAAAAAUAAAABMQEAAAALLTE5MjA1NTAzNTMDAAAAAzE2MAIAAAACMjgEAAAAATAHAAAACTMvMjgvMjAyNggAAAAJOS8zMC8yMDI1CQAAAAEwVfNWc0SN3ghDbxR8RI3eCC9DSVEuU1pTRTozMDA3NjEuSVFfRElMVVRfRVBTX0VYQ0wuMjAwMC4uLi5VU0QuSAEAAADv78cT</t>
  </si>
  <si>
    <t>AgAAAAgwLjEwOTQ1MQEIAAAABQAAAAExAQAAAAstMTkyMDU1MDM1MwMAAAADMTYwAgAAAAMxNDIEAAAAATAHAAAACTMvMjgvMjAyNggAAAAJOS8zMC8yMDI1CQAAAAEwVfNWc0SN3ghDbxR8RI3eCC9DSVEuU1pTRTozMDA3NjEuSVFfRElMVVRfRVBTX0VYQ0wuMTAwMC4uLi5VU0QuSAEAAADv78cTAgAAAAgwLjI1MTc3MQEIAAAABQAAAAExAQAAAAstMTk1MDEyNDQyNAMAAAADMTYwAgAAAAMxNDIEAAAAATAHAAAACTMvMjgvMjAyNggAAAAKMTIvMzEvMjAyNAkAAAABMFXzVnNEjd4IQ28UfESN3ggxQ0lRLk5BU0RBUUdTOk1ETFouSVFfQ0FTSF9TVF9JTlZFU1QuNTAwLi4uRi5VU0QuSAEAAABtSQsAAgAAAAQyMTI1AQgAAAAFAAAAATEBAAAACy0xOTA3NjgwNTM4AwAAAAMxNjACAAAABDEwMDIEAAAAATAHAAAACTMvMjgvMjAyNggAAAAKMTIvMzEvMjAyNQkAAAABMFXzVnNEjd4INUgUfESN3ggsQ0lRLk5BU0RBUUdTOk1ETFouSVFfVE9UQUxfUkVWLjIwMDAuLi4uVVNELkgBAAAAbUkLAAIAAAAFMzg1MzcBCAAAAAUAAAABMQEAAAALLTE5MDc2ODA1NTUDAAAAAzE2MAIAAAACMjgEAAAAATAHAAAACTMvMjgvMjAyNggAAAAKMTIvMzEvMjAyNQkAAAABMFXzVnNEjd4INUgUfESN3ggsQ0lRLk5BU0RBUUdTOk1ETFouSVFfVE9UQUxfUkVWLjEwMDAuLi4uVVNELkgBAAAAbUkLAAIAAAAFMzg1MzcBCAAAAAUA</t>
  </si>
  <si>
    <t>AAABMQEAAAALLTE5MDc2ODUwOTkDAAAAAzE2MAIAAAACMjgEAAAAATAHAAAACTMvMjgvMjAyNggAAAAKMTIvMzEvMjAyNQkAAAABMFXzVnNEjd4INUgUfESN3gg6Q0lRLk5BU0RBUUdTOk1ETFouSVFfTUlOT1JJVFlfSU5URVJFU1RfVE9UQUwuNTAwLi4uRi5VU0QuSAEAAABtSQsAAgAAAAI1MwEIAAAABQAAAAExAQAAAAstMTkwNzY4MDUzOAMAAAADMTYwAgAAAAQxMzEyBAAAAAEwBwAAAAkzLzI4LzIwMjYIAAAACjEyLzMxLzIwMjUJAAAAATBV81ZzRI3eCDVIFHxEjd4ILkNJUS5OQVNEQVFHUzpNRExaLklRX1BSRUZfRVFVSVRZLjUwMC4uLkYuVVNELkgBAAAAbUkLAAMAAAAAAFXzVnNEjd4INUgUfESN3ggtQ0lRLk5BU0RBUUdTOk1ETFouSVFfVE9UQUxfREVCVC41MDAuLi5GLlVTRC5IAQAAAG1JCwACAAAABTIxOTY4AQgAAAAFAAAAATEBAAAACy0xOTA3NjgwNTM4AwAAAAMxNjACAAAABDQxNzMEAAAAATAHAAAACTMvMjgvMjAyNggAAAAKMTIvMzEvMjAyNQkAAAABMFXzVnNEjd4INUgUfESN3ggpQ0lRLk5BU0RBUUdTOk1ETFouSVFfRUJJVERBLjIwMDAuLi4uVVNELkgBAAAAbUkLAAIAAAAENDk5MAEIAAAABQAAAAExAQAAAAstMTkwNzY4MDU1NQMAAAADMTYwAgAAAAQ0MDUxBAAAAAEwBwAAAAkzLzI4LzIwMjYIAAAACjEyLzMxLzIwMjUJAAAAATBV81ZzRI3eCDVIFHxEjd4IKUNJUS5OQVNEQVFH</t>
  </si>
  <si>
    <t>UzpNRExaLklRX0VCSVREQS4xMDAwLi4uLlVTRC5IAQAAAG1JCwACAAAABDQ5OTABCAAAAAUAAAABMQEAAAALLTE5MDc2ODUwOTkDAAAAAzE2MAIAAAAENDA1MQQAAAABMAcAAAAJMy8yOC8yMDI2CAAAAAoxMi8zMS8yMDI1CQAAAAEwVfNWc0SN3gg1SBR8RI3eCDFDSVEuTkFTREFRR1M6TURMWi5JUV9ESUxVVF9FUFNfRVhDTC4yMDAwLi4uLlVTRC5IAQAAAG1JCwACAAAABDEuODkBCAAAAAUAAAABMQEAAAALLTE5MDc2ODA1NTUDAAAAAzE2MAIAAAADMTQyBAAAAAEwBwAAAAkzLzI4LzIwMjYIAAAACjEyLzMxLzIwMjUJAAAAATBV81ZzRI3eCPMgFHxEjd4IMUNJUS5OQVNEQVFHUzpNRExaLklRX0RJTFVUX0VQU19FWENMLjEwMDAuLi4uVVNELkgBAAAAbUkLAAIAAAAEMS44OQEIAAAABQAAAAExAQAAAAstMTkwNzY4NTA5OQMAAAADMTYwAgAAAAMxNDIEAAAAATAHAAAACTMvMjgvMjAyNggAAAAKMTIvMzEvMjAyNQkAAAABMFXzVnNEjd4I8yAUfESN3ggoQ0lRLk5ZU0U6UE9TVC5JUV9UT1RBTF9SRVYuMTAwMC4uLi5VU0QuSAEAAACPvWYIAgAAAAY4MTU4LjEBCAAAAAUAAAABMQEAAAALLTE5MTQ4ODI0NjEDAAAAAzE2MAIAAAACMjgEAAAAATAHAAAACTMvMjgvMjAyNggAAAAJOS8zMC8yMDI1CQAAAAEwVfNWc0SN3gjogBV8RI3eCDZDSVEuTllTRTpQT1NULklRX01JTk9SSVRZX0lOVEVSRVNUX1RPVEFM</t>
  </si>
  <si>
    <t>LjUwMC4uLkYuVVNELkgBAAAAj71mCAIAAAAEMTAuOQEIAAAABQAAAAExAQAAAAstMTkwNzgwMDEwMwMAAAADMTYwAgAAAAQxMzEyBAAAAAEwBwAAAAkzLzI4LzIwMjYIAAAACjEyLzMxLzIwMjUJAAAAATBV81ZzRI3eCOiAFXxEjd4IKkNJUS5OWVNFOlBPU1QuSVFfUFJFRl9FUVVJVFkuNTAwLi4uRi5VU0QuSAEAAACPvWYIAwAAAAAAVfNWc0SN3gjogBV8RI3eCClDSVEuTllTRTpQT1NULklRX1RPVEFMX0RFQlQuNTAwLi4uRi5VU0QuSAEAAACPvWYIAgAAAAY3NDYyLjMBCAAAAAUAAAABMQEAAAALLTE5MDc4MDAxMDMDAAAAAzE2MAIAAAAENDE3MwQAAAABMAcAAAAJMy8yOC8yMDI2CAAAAAoxMi8zMS8yMDI1CQAAAAEwVfNWc0SN3gjogBV8RI3eCC1DSVEuTllTRTpQT1NULklRX0NBU0hfU1RfSU5WRVNULjUwMC4uLkYuVVNELkgBAAAAj71mCAIAAAAFMjc5LjMBCAAAAAUAAAABMQEAAAALLTE5MDc4MDAxMDMDAAAAAzE2MAIAAAAEMTAwMgQAAAABMAcAAAAJMy8yOC8yMDI2CAAAAAoxMi8zMS8yMDI1CQAAAAEwVfNWc0SN3gjogBV8RI3eCCVDSVEuTllTRTpQT1NULklRX0VCSVREQS4yMDAwLi4uLlVTRC5IAQAAAI+9ZggCAAAABjE0MjIuNwEIAAAABQAAAAExAQAAAAstMTkwNzgwMDA1NAMAAAADMTYwAgAAAAQ0MDUxBAAAAAEwBwAAAAkzLzI4LzIwMjYIAAAACjEyLzMxLzIwMjUJAAAAATBV81ZzRI3e</t>
  </si>
  <si>
    <t>COiAFXxEjd4IJUNJUS5OWVNFOlBPU1QuSVFfRUJJVERBLjEwMDAuLi4uVVNELkgBAAAAj71mCAIAAAAGMTM3NS45AQgAAAAFAAAAATEBAAAACy0xOTE0ODgyNDYxAwAAAAMxNjACAAAABDQwNTEEAAAAATAHAAAACTMvMjgvMjAyNggAAAAJOS8zMC8yMDI1CQAAAAEwVfNWc0SN3gjogBV8RI3eCChDSVEuTllTRTpQT1NULklRX1RPVEFMX1JFVi4yMDAwLi4uLlVTRC5IAQAAAI+9ZggCAAAABDgzNTgBCAAAAAUAAAABMQEAAAALLTE5MDc4MDAwNTQDAAAAAzE2MAIAAAACMjgEAAAAATAHAAAACTMvMjgvMjAyNggAAAAKMTIvMzEvMjAyNQkAAAABMFXzVnNEjd4I6IAVfESN3ggtQ0lRLk5ZU0U6UE9TVC5JUV9ESUxVVF9FUFNfRVhDTC4yMDAwLi4uLlVTRC5IAQAAAI+9ZggCAAAACDUuMzk4MjAxAQgAAAAFAAAAATEBAAAACy0xOTA3ODAwMDU0AwAAAAMxNjACAAAAAzE0MgQAAAABMAcAAAAJMy8yOC8yMDI2CAAAAAoxMi8zMS8yMDI1CQAAAAEwVfNWc0SN3gi7WRV8RI3eCC1DSVEuTllTRTpQT1NULklRX0RJTFVUX0VQU19FWENMLjEwMDAuLi4uVVNELkgBAAAAj71mCAIAAAAINS41MTAzMzMBCAAAAAUAAAABMQEAAAALLTE5MTQ4ODI0NjEDAAAAAzE2MAIAAAADMTQyBAAAAAEwBwAAAAkzLzI4LzIwMjYIAAAACTkvMzAvMjAyNQkAAAABMFXzVnNEjd4I6IAVfESN3ggwQ0lRLk5BU0RBUUdTOktIQy5JUV9ESUxV</t>
  </si>
  <si>
    <t>VF9FUFNfRVhDTC4xMDAwLi4uLlVTRC5IAQAAAMQ+BAACAAAABS00LjkzAQgAAAAFAAAAATEBAAAACy0xOTA2OTQxMjIwAwAAAAMxNjACAAAAAzE0MgQAAAABMAcAAAAJMy8yOC8yMDI2CAAAAAoxMi8yNy8yMDI1CQAAAAEwVfNWc0SN3gi5MhV8RI3eCDBDSVEuTkFTREFRR1M6S0hDLklRX0RJTFVUX0VQU19FWENMLjIwMDAuLi4uVVNELkgBAAAAxD4EAAIAAAAFLTQuOTMBCAAAAAUAAAABMQEAAAALLTE5MDY5NDAyOTkDAAAAAzE2MAIAAAADMTQyBAAAAAEwBwAAAAkzLzI4LzIwMjYIAAAACjEyLzI3LzIwMjUJAAAAATBV81ZzRI3eCLkyFXxEjd4IKENJUS5OQVNEQVFHUzpLSEMuSVFfRUJJVERBLjEwMDAuLi4uVVNELkgBAAAAxD4EAAIAAAAENTcyNwEIAAAABQAAAAExAQAAAAstMTkwNjk0MTIyMAMAAAADMTYwAgAAAAQ0MDUxBAAAAAEwBwAAAAkzLzI4LzIwMjYIAAAACjEyLzI3LzIwMjUJAAAAATBV81ZzRI3eCLkyFXxEjd4IKENJUS5OQVNEQVFHUzpLSEMuSVFfRUJJVERBLjIwMDAuLi4uVVNELkgBAAAAxD4EAAIAAAAENTcyNwEIAAAABQAAAAExAQAAAAstMTkwNjk0MDI5OQMAAAADMTYwAgAAAAQ0MDUxBAAAAAEwBwAAAAkzLzI4LzIwMjYIAAAACjEyLzI3LzIwMjUJAAAAATBV81ZzRI3eCLkyFXxEjd4ILUNJUS5OQVNEQVFHUzpLSEMuSVFfUFJFRl9FUVVJVFkuNTAwLi4uRi5VU0QuSAEAAADEPgQA</t>
  </si>
  <si>
    <t>AwAAAAAAVfNWc0SN3gi7WRV8RI3eCDlDSVEuTkFTREFRR1M6S0hDLklRX01JTk9SSVRZX0lOVEVSRVNUX1RPVEFMLjUwMC4uLkYuVVNELkgBAAAAxD4EAAIAAAADMTI1AQgAAAAFAAAAATEBAAAACy0xOTA2OTQwMzAxAwAAAAMxNjACAAAABDEzMTIEAAAAATAHAAAACTMvMjgvMjAyNggAAAAKMTIvMjcvMjAyNQkAAAABMFXzVnNEjd4Iu1kVfESN3ggrQ0lRLk5BU0RBUUdTOktIQy5JUV9UT1RBTF9SRVYuMTAwMC4uLi5VU0QuSAEAAADEPgQAAgAAAAUyNDk0MgEIAAAABQAAAAExAQAAAAstMTkwNjk0MTIyMAMAAAADMTYwAgAAAAIyOAQAAAABMAcAAAAJMy8yOC8yMDI2CAAAAAoxMi8yNy8yMDI1CQAAAAEwVfNWc0SN3gi7WRV8RI3eCCtDSVEuTkFTREFRR1M6S0hDLklRX1RPVEFMX1JFVi4yMDAwLi4uLlVTRC5IAQAAAMQ+BAACAAAABTI0OTQyAQgAAAAFAAAAATEBAAAACy0xOTA2OTQwMjk5AwAAAAMxNjACAAAAAjI4BAAAAAEwBwAAAAkzLzI4LzIwMjYIAAAACjEyLzI3LzIwMjUJAAAAATBV81ZzRI3eCLtZFXxEjd4IMENJUS5OQVNEQVFHUzpLSEMuSVFfQ0FTSF9TVF9JTlZFU1QuNTAwLi4uRi5VU0QuSAEAAADEPgQAAgAAAAQzNjc1AQgAAAAFAAAAATEBAAAACy0xOTA2OTQwMzAxAwAAAAMxNjACAAAABDEwMDIEAAAAATAHAAAACTMvMjgvMjAyNggAAAAKMTIvMjcvMjAyNQkAAAABMFXzVnNEjd4Iu1kV</t>
  </si>
  <si>
    <t>fESN3ggsQ0lRLk5BU0RBUUdTOktIQy5JUV9UT1RBTF9ERUJULjUwMC4uLkYuVVNELkgBAAAAxD4EAAIAAAAFMjE3NzIBCAAAAAUAAAABMQEAAAALLTE5MDY5NDAzMDEDAAAAAzE2MAIAAAAENDE3MwQAAAABMAcAAAAJMy8yOC8yMDI2CAAAAAoxMi8yNy8yMDI1CQAAAAEwVfNWc0SN3gi7WRV8RI3eCChDSVEuTllTRTpIUkwuSVFfVE9UQUxfREVCVC41MDAuLi5GLlVTRC5IAQAAAAJCBAACAAAACDI4NTcuNDkyAQgAAAAFAAAAATEBAAAACy0xOTA0ODA0NzU3AwAAAAMxNjACAAAABDQxNzMEAAAAATAHAAAACTMvMjgvMjAyNggAAAAJMS8yNS8yMDI2CQAAAAEwVfNWc0SN3gilCxV8RI3eCCxDSVEuTllTRTpIUkwuSVFfQ0FTSF9TVF9JTlZFU1QuNTAwLi4uRi5VU0QuSAEAAAACQgQAAgAAAAc5MDEuMjA4AQgAAAAFAAAAATEBAAAACy0xOTA0ODA0NzU3AwAAAAMxNjACAAAABDEwMDIEAAAAATAHAAAACTMvMjgvMjAyNggAAAAJMS8yNS8yMDI2CQAAAAEwVfNWc0SN3gilCxV8RI3eCCdDSVEuTllTRTpIUkwuSVFfVE9UQUxfUkVWLjIwMDAuLi4uVVNELkgBAAAAAkIEAAIAAAAJMTIxNDQuNjY0AQgAAAAFAAAAATEBAAAACy0xOTA0ODAzNTM0AwAAAAMxNjACAAAAAjI4BAAAAAEwBwAAAAkzLzI4LzIwMjYIAAAACTEvMjUvMjAyNgkAAAABMFXzVnNEjd4IpQsVfESN3ggnQ0lRLk5ZU0U6SFJMLklRX1RPVEFMX1JF</t>
  </si>
  <si>
    <t>Vi4xMDAwLi4uLlVTRC5IAQAAAAJCBAACAAAACDEyMTA2LjE2AQgAAAAFAAAAATEBAAAACy0xOTEyNjQxMTk3AwAAAAMxNjACAAAAAjI4BAAAAAEwBwAAAAkzLzI4LzIwMjYIAAAACjEwLzI2LzIwMjUJAAAAATBV81ZzRI3eCKULFXxEjd4INUNJUS5OWVNFOkhSTC5JUV9NSU5PUklUWV9JTlRFUkVTVF9UT1RBTC41MDAuLi5GLlVTRC5IAQAAAAJCBAACAAAABjE0LjcwNwEIAAAABQAAAAExAQAAAAstMTkwNDgwNDc1NwMAAAADMTYwAgAAAAQxMzEyBAAAAAEwBwAAAAkzLzI4LzIwMjYIAAAACTEvMjUvMjAyNgkAAAABMFXzVnNEjd4IpQsVfESN3ggpQ0lRLk5ZU0U6SFJMLklRX1BSRUZfRVFVSVRZLjUwMC4uLkYuVVNELkgBAAAAAkIEAAMAAAAAAFXzVnNEjd4IpQsVfESN3ggkQ0lRLk5ZU0U6SFJMLklRX0VCSVREQS4yMDAwLi4uLlVTRC5IAQAAAAJCBAACAAAACDEyMTEuNjEzAQgAAAAFAAAAATEBAAAACy0xOTA0ODAzNTM0AwAAAAMxNjACAAAABDQwNTEEAAAAATAHAAAACTMvMjgvMjAyNggAAAAJMS8yNS8yMDI2CQAAAAEwVfNWc0SN3gilCxV8RI3eCCRDSVEuTllTRTpIUkwuSVFfRUJJVERBLjEwMDAuLi4uVVNELkgBAAAAAkIEAAIAAAAIMTIyNC41NTcBCAAAAAUAAAABMQEAAAALLTE5MTI2NDExOTcDAAAAAzE2MAIAAAAENDA1MQQAAAABMAcAAAAJMy8yOC8yMDI2CAAAAAoxMC8yNi8yMDI1CQAAAAEw</t>
  </si>
  <si>
    <t>VfNWc0SN3gilCxV8RI3eCCxDSVEuTllTRTpIUkwuSVFfRElMVVRfRVBTX0VYQ0wuMjAwMC4uLi5VU0QuSAEAAAACQgQAAgAAAAgwLjg4OTE4MwEIAAAABQAAAAExAQAAAAstMTkwNDgwMzUzNAMAAAADMTYwAgAAAAMxNDIEAAAAATAHAAAACTMvMjgvMjAyNggAAAAJMS8yNS8yMDI2CQAAAAEwVfNWc0SN3giE5BR8RI3eCCxDSVEuTllTRTpIUkwuSVFfRElMVVRfRVBTX0VYQ0wuMTAwMC4uLi5VU0QuSAEAAAACQgQAAgAAAAgwLjg2OTE4OQEIAAAABQAAAAExAQAAAAstMTkxMjY0MTE5NwMAAAADMTYwAgAAAAMxNDIEAAAAATAHAAAACTMvMjgvMjAyNggAAAAKMTAvMjYvMjAyNQkAAAABMFXzVnNEjd4IpQsVfESN3gghQ0lRLk5ZU0U6R0lTLklRX0FTU0VUX1RVUk5TLjIwMDAuAQAAABsxBAACAAAACDAuNTY0MzE4AQgAAAAFAAAAATEBAAAACy0xOTAwOTk5NTI1AwAAAAMxNjACAAAABDQxNzcEAAAAATAHAAAACTMvMjgvMjAyNggAAAAJMi8yMi8yMDI2CQAAAAEwVfNWc0SN3gg+93l8RI3eCCdDSVEuTllTRTpHSVMuSVFfRklYRURfQVNTRVRfVFVSTlMuMjAwMC4BAAAAGzEEAAIAAAAINS4yODQ2OTkBCAAAAAUAAAABMQEAAAALLTE5MDA5OTk1MjUDAAAAAzE2MAIAAAAENDA2NgQAAAABMAcAAAAJMy8yOC8yMDI2CAAAAAkyLzIyLzIwMjYJAAAAATBV81ZzRI3eCD73eXxEjd4IHkNJUS5OWVNFOkdJUy5JUV9B</t>
  </si>
  <si>
    <t>Ul9UVVJOUy4yMDAwLgEAAAAbMQQAAgAAAAkxMC4wNzE2NTMBCAAAAAUAAAABMQEAAAALLTE5MDA5OTk1MjUDAAAAAzE2MAIAAAAENDAwMQQAAAABMAcAAAAJMy8yOC8yMDI2CAAAAAkyLzIyLzIwMjYJAAAAATBV81ZzRI3eCD73eXxEjd4IJUNJUS5OWVNFOkdJUy5JUV9JTlZFTlRPUllfVFVSTlMuMjAwMC4BAAAAGzEEAAIAAAAINi44ODYzODQBCAAAAAUAAAABMQEAAAALLTE5MDA5OTk1MjUDAAAAAzE2MAIAAAAENDA4MgQAAAABMAcAAAAJMy8yOC8yMDI2CAAAAAkyLzIyLzIwMjYJAAAAATBV81ZzRI3eCCjQeXxEjd4IIENJUS5OWVNFOkdJUy5JUV9RVUlDS19SQVRJTy41MDAuAQAAABsxBAACAAAACDAuMzA0MjYxAQgAAAAFAAAAATEBAAAACy0xOTAxMDAwNzk0AwAAAAMxNjACAAAABDQxMjEEAAAAATAHAAAACTMvMjgvMjAyNggAAAAJMi8yMi8yMDI2CQAAAAEwVfNWc0SN3ghbHnp8RI3eCCRDSVEuTllTRTpHSVMuSVFfREFZU19TQUxFU19PVVQuMjAwMC4BAAAAGzEEAAIAAAAJMzYuMTQwODMyAQgAAAAFAAAAATEBAAAACy0xOTAwOTk5NTI1AwAAAAMxNjACAAAABDQwNDIEAAAAATAHAAAACTMvMjgvMjAyNggAAAAJMi8yMi8yMDI2CQAAAAEwVfNWc0SN3ghbHnp8RI3eCChDSVEuTllTRTpHSVMuSVFfREFZU19JTlZFTlRPUllfT1VULjIwMDAuAQAAABsxBAACAAAACTUyLjg1Nzg5NgEIAAAABQAAAAEx</t>
  </si>
  <si>
    <t>AQAAAAstMTkwMDk5OTUyNQMAAAADMTYwAgAAAAQ0MDM1BAAAAAEwBwAAAAkzLzI4LzIwMjYIAAAACTIvMjIvMjAyNgkAAAABMFXzVnNEjd4IPvd5fESN3ggmQ0lRLk5ZU0U6R0lTLklRX0RBWVNfUEFZQUJMRV9PVVQuMjAwMC4BAAAAGzEEAAIAAAAKMTA5LjA1ODQwNAEIAAAABQAAAAExAQAAAAstMTkwMDk5OTUyNQMAAAADMTYwAgAAAAQ0MTgzBAAAAAEwBwAAAAkzLzI4LzIwMjYIAAAACTIvMjIvMjAyNgkAAAABMFXzVnNEjd4IPvd5fESN3gglQ0lRLk5ZU0U6R0lTLklRX0NBU0hfQ09OVkVSU0lPTi4yMDAwLgEAAAAbMQQAAgAAAAotMjAuMDU5Njc2AQgAAAAFAAAAATEBAAAACy0xOTAwOTk5NTI1AwAAAAMxNjACAAAABDQxODQEAAAAATAHAAAACTMvMjgvMjAyNggAAAAJMi8yMi8yMDI2CQAAAAEwVfNWc0SN3gg+93l8RI3eCCdDSVEuTllTRTpHSVMuSVFfVE9UQUxfREVCVF9DQVBJVEFMLjUwMC4BAAAAGzEEAAIAAAAHNTkuODgzNwEIAAAABQAAAAExAQAAAAstMTkwMTAwMDc5NAMAAAADMTYwAgAAAAQ0MTg2BAAAAAEwBwAAAAkzLzI4LzIwMjYIAAAACTIvMjIvMjAyNgkAAAABMFXzVnNEjd4IWx56fESN3ggjQ0lRLk5ZU0U6R0lTLklRX1JFVFVSTl9FUVVJVFkuMjAwMC4BAAAAGzEEAAIAAAAHMjMuNTkxMwEIAAAABQAAAAExAQAAAAstMTkwMDk5OTUyNQMAAAADMTYwAgAAAAQ0MTI4BAAAAAEwBwAA</t>
  </si>
  <si>
    <t>AAkzLzI4LzIwMjYIAAAACTIvMjIvMjAyNgkAAAABMFXzVnNEjd4IWx56fESN3ggjQ0lRLk5ZU0U6R0lTLklRX1JFVFVSTl9BU1NFVFMuMjAwMC4BAAAAGzEEAAIAAAAFNS4zMTEBCAAAAAUAAAABMQEAAAALLTE5MDA5OTk1MjUDAAAAAzE2MAIAAAAENDE3OAQAAAABMAcAAAAJMy8yOC8yMDI2CAAAAAkyLzIyLzIwMjYJAAAAATBV81ZzRI3eCFseenxEjd4ILUNJUS5OWVNFOkdJUy5JUV9SRVRVUk5fSU5WRVNURURfQ0FQSVRBTC4yMDAwLgEAAAAbMQQAAgAAAAYzLjgxNDEAVfNWc0SN3ghbHnp8RI3eCCJDSVEuTllTRTpHSVMuSVFfQ1VSUkVOVF9SQVRJTy41MDAuAQAAABsxBAACAAAACDAuNTYyODU5AQgAAAAFAAAAATEBAAAACy0xOTAxMDAwNzk0AwAAAAMxNjACAAAABDQwMzAEAAAAATAHAAAACTMvMjgvMjAyNggAAAAJMi8yMi8yMDI2CQAAAAEwVfNWc0SN3ghbHnp8RI3eCCdDSVEuTllTRTpHSVMuSVFfVE9UQUxfREVCVF9FQklUREEuMjAwMC4BAAAAGzEEAAIAAAAIMy45ODYzMjkBCAAAAAUAAAABMQEAAAALLTE5MDA5OTk1MjUDAAAAAzE2MAIAAAAENDE5MgQAAAABMAcAAAAJMy8yOC8yMDI2CAAAAAkyLzIyLzIwMjYJAAAAATBV81ZzRI3eCFseenxEjd4IJUNJUS5OWVNFOkdJUy5JUV9ORVRfREVCVF9FQklUREEuMjAwMC4BAAAAGzEEAAIAAAAHMy43NjIxNQEIAAAABQAAAAExAQAAAAstMTkwMDk5</t>
  </si>
  <si>
    <t>OTUyNQMAAAADMTYwAgAAAAQ0MTkzBAAAAAEwBwAAAAkzLzI4LzIwMjYIAAAACTIvMjIvMjAyNgkAAAABMFXzVnNEjd4IWx56fESN3gggQ0lRLk5ZU0U6R0lTLklRX0VCSVREQV9JTlQuMjAwMC4BAAAAGzEEAAIAAAAINi4zNTQ1NTIBCAAAAAUAAAABMQEAAAALLTE5MDA5OTk1MjUDAAAAAzE2MAIAAAAENDE5MAQAAAABMAcAAAAJMy8yOC8yMDI2CAAAAAkyLzIyLzIwMjYJAAAAATBV81ZzRI3eCFseenxEjd4IJkNJUS5OWVNFOkdJUy5JUV9FQklUREFfQ0FQRVhfSU5ULjIwMDAuAQAAABsxBAACAAAACDUuMzEwNDgyAQgAAAAFAAAAATEBAAAACy0xOTAwOTk5NTI1AwAAAAMxNjACAAAABDQxOTEEAAAAATAHAAAACTMvMjgvMjAyNggAAAAJMi8yMi8yMDI2CQAAAAEwVfNWc0SN3ghbHnp8RI3eCCZDSVEuTllTRTpHSVMuSVFfVE9UQUxfREVCVF9FUVVJVFkuNTAwLgEAAAAbMQQAAgAAAAgxNDkuMjc1NAEIAAAABQAAAAExAQAAAAstMTkwMTAwMDc5NAMAAAADMTYwAgAAAAQ0MDM0BAAAAAEwBwAAAAkzLzI4LzIwMjYIAAAACTIvMjIvMjAyNgkAAAABMFXzVnNEjd4IWx56fESN3ggrQ0lRLk5ZU0U6R0lTLklRX0VCSVREQV8xWVJfQU5OX0dST1dUSC4yMDAwLgEAAAAbMQQAAgAAAActMjEuMzU5AQgAAAAFAAAAATEBAAAACy0xOTAwOTk5NTI1AwAAAAMxNjACAAAABDQxOTYEAAAAATAHAAAACTMvMjgvMjAyNggA</t>
  </si>
  <si>
    <t>AAAJMi8yMi8yMDI2CQAAAAEwVfNWc0SN3gg9Vnp8RI3eCCZDSVEuTllTRTpHSVMuSVFfRVBTXzVZUl9BTk5fQ0FHUi4yMDAwLgEAAAAbMQQAAgAAAActMC4yMzMyAQgAAAAFAAAAATEBAAAACy0xOTAwOTk5NTI1AwAAAAMxNjACAAAABDQyMzkEAAAAATAHAAAACTMvMjgvMjAyNggAAAAJMi8yMi8yMDI2CQAAAAEwVfNWc0SN3gg9Vnp8RI3eCCZDSVEuTllTRTpHSVMuSVFfRVBTXzNZUl9BTk5fQ0FHUi4yMDAwLgEAAAAbMQQAAgAAAActNC4yMjI5AQgAAAAFAAAAATEBAAAACy0xOTAwOTk5NTI1AwAAAAMxNjACAAAABDQyMjYEAAAAATAHAAAACTMvMjgvMjAyNggAAAAJMi8yMi8yMDI2CQAAAAEwVfNWc0SN3gg9Vnp8RI3eCChDSVEuTllTRTpHSVMuSVFfRVBTXzFZUl9BTk5fR1JPV1RILjEwMDAuAQAAABsxBAACAAAABy00Ljg3MjQBCAAAAAUAAAABMQEAAAALLTE5MzcwMjkxNzEDAAAAAzE2MAIAAAAENDIwMAQAAAABMAcAAAAJMy8yOC8yMDI2CAAAAAk1LzI1LzIwMjUJAAAAATBV81ZzRI3eCFseenxEjd4IKENJUS5OWVNFOkdJUy5JUV9FUFNfMVlSX0FOTl9HUk9XVEguMjAwMC4BAAAAGzEEAAIAAAAILTEwLjQyMjMBCAAAAAUAAAABMQEAAAALLTE5MDA5OTk1MjUDAAAAAzE2MAIAAAAENDIwMAQAAAABMAcAAAAJMy8yOC8yMDI2CAAAAAkyLzIyLzIwMjYJAAAAATBV81ZzRI3eCFseenxEjd4ILkNJUS5O</t>
  </si>
  <si>
    <t>WVNFOkdJUy5JUV9UT1RBTF9SRVZfMVlSX0FOTl9HUk9XVEguMTAwMC4BAAAAGzEEAAIAAAAHLTEuODY2NAEIAAAABQAAAAExAQAAAAstMTkzNzAyOTE3MQMAAAADMTYwAgAAAAQ0MTk0BAAAAAEwBwAAAAkzLzI4LzIwMjYIAAAACTUvMjUvMjAyNQkAAAABMFXzVnNEjd4IPVZ6fESN3gguQ0lRLk5ZU0U6R0lTLklRX1RPVEFMX1JFVl8xWVJfQU5OX0dST1dUSC4yMDAwLgEAAAAbMQQAAgAAAActNi40ODA4AQgAAAAFAAAAATEBAAAACy0xOTAwOTk5NTI1AwAAAAMxNjACAAAABDQxOTQEAAAAATAHAAAACTMvMjgvMjAyNggAAAAJMi8yMi8yMDI2CQAAAAEwVfNWc0SN3gg9Vnp8RI3eCClDSVEuTllTRTpHSVMuSVFfRUJJVERBXzVZUl9BTk5fQ0FHUi4yMDAwLgEAAAAbMQQAAgAAAAYtNC40NTgBCAAAAAUAAAABMQEAAAALLTE5MDA5OTk1MjUDAAAAAzE2MAIAAAAENDIzNQQAAAABMAcAAAAJMy8yOC8yMDI2CAAAAAkyLzIyLzIwMjYJAAAAATBV81ZzRI3eCD1WenxEjd4IKUNJUS5OWVNFOkdJUy5JUV9FQklUREFfM1lSX0FOTl9DQUdSLjIwMDAuAQAAABsxBAACAAAABy00LjYxMDkBCAAAAAUAAAABMQEAAAALLTE5MDA5OTk1MjUDAAAAAzE2MAIAAAAENDIyMgQAAAABMAcAAAAJMy8yOC8yMDI2CAAAAAkyLzIyLzIwMjYJAAAAATBV81ZzRI3eCD1WenxEjd4IK0NJUS5OWVNFOkdJUy5JUV9FQklUREFfMVlSX0FO</t>
  </si>
  <si>
    <t>Tl9HUk9XVEguMTAwMC4BAAAAGzEEAAIAAAAHLTkuOTQ2MQEIAAAABQAAAAExAQAAAAstMTkzNzAyOTE3MQMAAAADMTYwAgAAAAQ0MTk2BAAAAAEwBwAAAAkzLzI4LzIwMjYIAAAACTUvMjUvMjAyNQkAAAABMFXzVnNEjd4IPVZ6fESN3ggeQ0lRLk5ZU0U6R0lTLklRX05JX01BUkdJTi45OTkuAQAAABsxBAACAAAABzEyLjU3MjcBCAAAAAUAAAABMQEAAAALLTE5MzcwMjkyMjMDAAAAAzE2MAIAAAAENDA5NAQAAAABMAcAAAAJMy8yOC8yMDI2CAAAAAk1LzI2LzIwMjQJAAAAATBV81ZzRI3eCD1WenxEjd4IH0NJUS5OWVNFOkdJUy5JUV9OSV9NQVJHSU4uMTAwMC4BAAAAGzEEAAIAAAAHMTEuNzc4MwEIAAAABQAAAAExAQAAAAstMTkzNzAyOTE3MQMAAAADMTYwAgAAAAQ0MDk0BAAAAAEwBwAAAAkzLzI4LzIwMjYIAAAACTUvMjUvMjAyNQkAAAABMFXzVnNEjd4IPVZ6fESN3ggfQ0lRLk5ZU0U6R0lTLklRX05JX01BUkdJTi4yMDAwLgEAAAAbMQQAAgAAAAcxMi4wNTMxAQgAAAAFAAAAATEBAAAACy0xOTAwOTk5NTI1AwAAAAMxNjACAAAABDQwOTQEAAAAATAHAAAACTMvMjgvMjAyNggAAAAJMi8yMi8yMDI2CQAAAAEwVfNWc0SN3gg9Vnp8RI3eCCxDSVEuTllTRTpHSVMuSVFfVE9UQUxfUkVWXzVZUl9BTk5fQ0FHUi4yMDAwLgEAAAAbMQQAAgAAAActMC4yNzU1AQgAAAAFAAAAATEBAAAACy0xOTAwOTk5NTI1</t>
  </si>
  <si>
    <t>AwAAAAMxNjACAAAABDQyMzMEAAAAATAHAAAACTMvMjgvMjAyNggAAAAJMi8yMi8yMDI2CQAAAAEwVfNWc0SN3gg9Vnp8RI3eCCxDSVEuTllTRTpHSVMuSVFfVE9UQUxfUkVWXzNZUl9BTk5fQ0FHUi4yMDAwLgEAAAAbMQQAAgAAAActMi43MTk2AQgAAAAFAAAAATEBAAAACy0xOTAwOTk5NTI1AwAAAAMxNjACAAAABDQyMjAEAAAAATAHAAAACTMvMjgvMjAyNggAAAAJMi8yMi8yMDI2CQAAAAEwVfNWc0SN3gg9Vnp8RI3eCCJDSVEuTllTRTpHSVMuSVFfRUJJVERBX01BUkdJTi45OTguAQAAABsxBAACAAAABzE4LjM1MzUBCAAAAAUAAAABMQEAAAALLTE5MzcwMjkyMTADAAAAAzE2MAIAAAAENDA0NwQAAAABMAcAAAAJMy8yOC8yMDI2CAAAAAk1LzI4LzIwMjMJAAAAATBV81ZzRI3eCIN9enxEjd4IIkNJUS5OWVNFOkdJUy5JUV9FQklUREFfTUFSR0lOLjk5OS4BAAAAGzEEAAIAAAAHMjEuODMyOAEIAAAABQAAAAExAQAAAAstMTkzNzAyOTIyMwMAAAADMTYwAgAAAAQ0MDQ3BAAAAAEwBwAAAAkzLzI4LzIwMjYIAAAACTUvMjYvMjAyNAkAAAABMFXzVnNEjd4Ig316fESN3ggjQ0lRLk5ZU0U6R0lTLklRX0VCSVREQV9NQVJHSU4uMTAwMC4BAAAAGzEEAAIAAAAHMjAuMDM1MwEIAAAABQAAAAExAQAAAAstMTkzNzAyOTE3MQMAAAADMTYwAgAAAAQ0MDQ3BAAAAAEwBwAAAAkzLzI4LzIwMjYIAAAACTUvMjUvMjAy</t>
  </si>
  <si>
    <t>NQkAAAABMFXzVnNEjd4Ig316fESN3ggjQ0lRLk5ZU0U6R0lTLklRX0VCSVREQV9NQVJHSU4uMjAwMC4BAAAAGzEEAAIAAAAHMTguMDYxNAEIAAAABQAAAAExAQAAAAstMTkwMDk5OTUyNQMAAAADMTYwAgAAAAQ0MDQ3BAAAAAEwBwAAAAkzLzI4LzIwMjYIAAAACTIvMjIvMjAyNgkAAAABMFXzVnNEjd4IPVZ6fESN3ggeQ0lRLk5ZU0U6R0lTLklRX05JX01BUkdJTi45OTguAQAAABsxBAACAAAABzEyLjkwODcBCAAAAAUAAAABMQEAAAALLTE5MzcwMjkyMTADAAAAAzE2MAIAAAAENDA5NAQAAAABMAcAAAAJMy8yOC8yMDI2CAAAAAk1LzI4LzIwMjMJAAAAATBV81ZzRI3eCD1WenxEjd4IIUNJUS5OWVNFOkdJUy5JUV9HUk9TU19NQVJHSU4uOTk4LgEAAAAbMQQAAgAAAAczMi42MTE0AQgAAAAFAAAAATEBAAAACy0xOTM3MDI5MjEwAwAAAAMxNjACAAAABDQwNzQEAAAAATAHAAAACTMvMjgvMjAyNggAAAAJNS8yOC8yMDIzCQAAAAEwVfNWc0SN3giDfXp8RI3eCCFDSVEuTllTRTpHSVMuSVFfR1JPU1NfTUFSR0lOLjk5OS4BAAAAGzEEAAIAAAAHMzUuMDA4NAEIAAAABQAAAAExAQAAAAstMTkzNzAyOTIyMwMAAAADMTYwAgAAAAQ0MDc0BAAAAAEwBwAAAAkzLzI4LzIwMjYIAAAACTUvMjYvMjAyNAkAAAABMFXzVnNEjd4Ig316fESN3ggiQ0lRLk5ZU0U6R0lTLklRX0dST1NTX01BUkdJTi4xMDAwLgEAAAAbMQQA</t>
  </si>
  <si>
    <t>AgAAAAczNC42MDE3AQgAAAAFAAAAATEBAAAACy0xOTM3MDI5MTcxAwAAAAMxNjACAAAABDQwNzQEAAAAATAHAAAACTMvMjgvMjAyNggAAAAJNS8yNS8yMDI1CQAAAAEwVfNWc0SN3giDfXp8RI3eCCJDSVEuTllTRTpHSVMuSVFfR1JPU1NfTUFSR0lOLjIwMDAuAQAAABsxBAACAAAABzMzLjE0MDQBCAAAAAUAAAABMQEAAAALLTE5MDA5OTk1MjUDAAAAAzE2MAIAAAAENDA3NAQAAAABMAcAAAAJMy8yOC8yMDI2CAAAAAkyLzIyLzIwMjYJAAAAATBV81ZzRI3eCIN9enxEjd4IIENJUS5OWVNFOkdJUy5JUV9QRVJJT0REQVRFLjEwMDAuAQAAABsxBAAFAAAACjI1LzA1LzIwMjUAVfNWc0SN3ginpHp8RI3eCCBDSVEuTllTRTpHSVMuSVFfUEVSSU9EREFURS4yMDAwLgEAAAAbMQQABQAAAAoyMi8wMi8yMDI2AFXzVnNEjd4Ip6R6fESN3ggeQ0lRLk5ZU0U6TUtDLklRX0FSX1RVUk5TLjIwMDAuAQAAALjDAgACAAAACTExLjI0NzcxOAEIAAAABQAAAAExAQAAAAstMTkwOTMzMDI5NQMAAAADMTYwAgAAAAQ0MDAxBAAAAAEwBwAAAAkzLzI4LzIwMjYIAAAACjExLzMwLzIwMjUJAAAAATBV81ZzRI3eCP9aeXxEjd4IJUNJUS5OWVNFOk1LQy5JUV9JTlZFTlRPUllfVFVSTlMuMjAwMC4BAAAAuMMCAAIAAAAIMy4zODA3MDcBCAAAAAUAAAABMQEAAAALLTE5MDkzMzAyOTUDAAAAAzE2MAIAAAAENDA4MgQAAAABMAcAAAAJ</t>
  </si>
  <si>
    <t>My8yOC8yMDI2CAAAAAoxMS8zMC8yMDI1CQAAAAEwVfNWc0SN3gj/Wnl8RI3eCChDSVEuTllTRTpNS0MuSVFfREFZU19JTlZFTlRPUllfT1VULjIwMDAuAQAAALjDAgACAAAACTEwNy45NjU1NAEIAAAABQAAAAExAQAAAAstMTkwOTMzMDI5NQMAAAADMTYwAgAAAAQ0MDM1BAAAAAEwBwAAAAkzLzI4LzIwMjYIAAAACjExLzMwLzIwMjUJAAAAATBV81ZzRI3eCP9aeXxEjd4IJkNJUS5OWVNFOk1LQy5JUV9EQVlTX1BBWUFCTEVfT1VULjIwMDAuAQAAALjDAgACAAAACjEwNi41NDA5NDUBCAAAAAUAAAABMQEAAAALLTE5MDkzMzAyOTUDAAAAAzE2MAIAAAAENDE4MwQAAAABMAcAAAAJMy8yOC8yMDI2CAAAAAoxMS8zMC8yMDI1CQAAAAEwVfNWc0SN3gj/Wnl8RI3eCCVDSVEuTllTRTpNS0MuSVFfQ0FTSF9DT05WRVJTSU9OLjIwMDAuAQAAALjDAgACAAAACTMzLjg3NTI4NQEIAAAABQAAAAExAQAAAAstMTkwOTMzMDI5NQMAAAADMTYwAgAAAAQ0MTg0BAAAAAEwBwAAAAkzLzI4LzIwMjYIAAAACjExLzMwLzIwMjUJAAAAATBV81ZzRI3eCP9aeXxEjd4IIUNJUS5OWVNFOk1LQy5JUV9BU1NFVF9UVVJOUy4yMDAwLgEAAAC4wwIAAgAAAAgwLjUyMDc1NQEIAAAABQAAAAExAQAAAAstMTkwOTMzMDI5NQMAAAADMTYwAgAAAAQ0MTc3BAAAAAEwBwAAAAkzLzI4LzIwMjYIAAAACjExLzMwLzIwMjUJAAAAATBV81ZzRI3e</t>
  </si>
  <si>
    <t>CP9aeXxEjd4IJ0NJUS5OWVNFOk1LQy5JUV9GSVhFRF9BU1NFVF9UVVJOUy4yMDAwLgEAAAC4wwIAAgAAAAg0LjE1ODc0MgEIAAAABQAAAAExAQAAAAstMTkwOTMzMDI5NQMAAAADMTYwAgAAAAQ0MDY2BAAAAAEwBwAAAAkzLzI4LzIwMjYIAAAACjExLzMwLzIwMjUJAAAAATBV81ZzRI3eCP9aeXxEjd4II0NJUS5OWVNFOk1LQy5JUV9SRVRVUk5fQVNTRVRTLjIwMDAuAQAAALjDAgACAAAABjUuMjI4MgEIAAAABQAAAAExAQAAAAstMTkwOTMzMDI5NQMAAAADMTYwAgAAAAQ0MTc4BAAAAAEwBwAAAAkzLzI4LzIwMjYIAAAACjExLzMwLzIwMjUJAAAAATBV81ZzRI3eCP9aeXxEjd4ILUNJUS5OWVNFOk1LQy5JUV9SRVRVUk5fSU5WRVNURURfQ0FQSVRBTC4yMDAwLgEAAAC4wwIAAgAAAAYzLjA4MzcAVfNWc0SN3gj/Wnl8RI3eCCJDSVEuTllTRTpNS0MuSVFfQ1VSUkVOVF9SQVRJTy41MDAuAQAAALjDAgACAAAACDAuNjk4MjIzAQgAAAAFAAAAATEBAAAACy0xOTA5MzMwMjk3AwAAAAMxNjACAAAABDQwMzAEAAAAATAHAAAACTMvMjgvMjAyNggAAAAKMTEvMzAvMjAyNQkAAAABMFXzVnNEjd4I/1p5fESN3gggQ0lRLk5ZU0U6TUtDLklRX1FVSUNLX1JBVElPLjUwMC4BAAAAuMMCAAIAAAAIMC4yMzY2OTIBCAAAAAUAAAABMQEAAAALLTE5MDkzMzAyOTcDAAAAAzE2MAIAAAAENDEyMQQAAAABMAcAAAAJMy8yOC8y</t>
  </si>
  <si>
    <t>MDI2CAAAAAoxMS8zMC8yMDI1CQAAAAEwVfNWc0SN3gj/Wnl8RI3eCCRDSVEuTllTRTpNS0MuSVFfREFZU19TQUxFU19PVVQuMjAwMC4BAAAAuMMCAAIAAAAIMzIuNDUwNjkBCAAAAAUAAAABMQEAAAALLTE5MDkzMzAyOTUDAAAAAzE2MAIAAAAENDA0MgQAAAABMAcAAAAJMy8yOC8yMDI2CAAAAAoxMS8zMC8yMDI1CQAAAAEwVfNWc0SN3gj/Wnl8RI3eCCBDSVEuTllTRTpNS0MuSVFfRUJJVERBX0lOVC4yMDAwLgEAAAC4wwIAAgAAAAc3LjA0NzkxAQgAAAAFAAAAATEBAAAACy0xOTA5MzMwMjk1AwAAAAMxNjACAAAABDQxOTAEAAAAATAHAAAACTMvMjgvMjAyNggAAAAKMTEvMzAvMjAyNQkAAAABMFXzVnNEjd4IC4J5fESN3ggmQ0lRLk5ZU0U6TUtDLklRX0VCSVREQV9DQVBFWF9JTlQuMjAwMC4BAAAAuMMCAAIAAAAINS45MTc0MzEBCAAAAAUAAAABMQEAAAALLTE5MDkzMzAyOTUDAAAAAzE2MAIAAAAENDE5MQQAAAABMAcAAAAJMy8yOC8yMDI2CAAAAAoxMS8zMC8yMDI1CQAAAAEwVfNWc0SN3ggLgnl8RI3eCCZDSVEuTllTRTpNS0MuSVFfVE9UQUxfREVCVF9FUVVJVFkuNTAwLgEAAAC4wwIAAgAAAAc3My4yMTEyAQgAAAAFAAAAATEBAAAACy0xOTA5MzMwMjk3AwAAAAMxNjACAAAABDQwMzQEAAAAATAHAAAACTMvMjgvMjAyNggAAAAKMTEvMzAvMjAyNQkAAAABMFXzVnNEjd4I/1p5fESN3ggnQ0lRLk5Z</t>
  </si>
  <si>
    <t>U0U6TUtDLklRX1RPVEFMX0RFQlRfQ0FQSVRBTC41MDAuAQAAALjDAgACAAAABjQyLjI2NwEIAAAABQAAAAExAQAAAAstMTkwOTMzMDI5NwMAAAADMTYwAgAAAAQ0MTg2BAAAAAEwBwAAAAkzLzI4LzIwMjYIAAAACjExLzMwLzIwMjUJAAAAATBV81ZzRI3eCP9aeXxEjd4II0NJUS5OWVNFOk1LQy5JUV9SRVRVUk5fRVFVSVRZLjIwMDAuAQAAALjDAgACAAAABzE0LjI0MjcBCAAAAAUAAAABMQEAAAALLTE5MDkzMzAyOTUDAAAAAzE2MAIAAAAENDEyOAQAAAABMAcAAAAJMy8yOC8yMDI2CAAAAAoxMS8zMC8yMDI1CQAAAAEwVfNWc0SN3gj/Wnl8RI3eCCZDSVEuTllTRTpNS0MuSVFfRVBTXzNZUl9BTk5fQ0FHUi4yMDAwLgEAAAC4wwIAAgAAAAY1LjE1MzIBCAAAAAUAAAABMQEAAAALLTE5MDkzMzAyOTUDAAAAAzE2MAIAAAAENDIyNgQAAAABMAcAAAAJMy8yOC8yMDI2CAAAAAoxMS8zMC8yMDI1CQAAAAEwVfNWc0SN3ggLgnl8RI3eCChDSVEuTllTRTpNS0MuSVFfRVBTXzFZUl9BTk5fR1JPV1RILjEwMDAuAQAAALjDAgACAAAABjAuMzQyNAEIAAAABQAAAAExAQAAAAstMTkwOTMzMjI5NgMAAAADMTYwAgAAAAQ0MjAwBAAAAAEwBwAAAAkzLzI4LzIwMjYIAAAACjExLzMwLzIwMjUJAAAAATBV81ZzRI3eCAuCeXxEjd4IKENJUS5OWVNFOk1LQy5JUV9FUFNfMVlSX0FOTl9HUk9XVEguMjAwMC4BAAAAuMMCAAIA</t>
  </si>
  <si>
    <t>AAAGMC4zNDI0AQgAAAAFAAAAATEBAAAACy0xOTA5MzMwMjk1AwAAAAMxNjACAAAABDQyMDAEAAAAATAHAAAACTMvMjgvMjAyNggAAAAKMTEvMzAvMjAyNQkAAAABMFXzVnNEjd4IC4J5fESN3ggnQ0lRLk5ZU0U6TUtDLklRX1RPVEFMX0RFQlRfRUJJVERBLjIwMDAuAQAAALjDAgACAAAACDMuMDUzODc2AQgAAAAFAAAAATEBAAAACy0xOTA5MzMwMjk1AwAAAAMxNjACAAAABDQxOTIEAAAAATAHAAAACTMvMjgvMjAyNggAAAAKMTEvMzAvMjAyNQkAAAABMFXzVnNEjd4IC4J5fESN3gglQ0lRLk5ZU0U6TUtDLklRX05FVF9ERUJUX0VCSVREQS4yMDAwLgEAAAC4wwIAAgAAAAgyLjk4NDUyNAEIAAAABQAAAAExAQAAAAstMTkwOTMzMDI5NQMAAAADMTYwAgAAAAQ0MTkzBAAAAAEwBwAAAAkzLzI4LzIwMjYIAAAACjExLzMwLzIwMjUJAAAAATBV81ZzRI3eCAuCeXxEjd4IKUNJUS5OWVNFOk1LQy5JUV9FQklUREFfNVlSX0FOTl9DQUdSLjIwMDAuAQAAALjDAgACAAAABjIuMDIyNQEIAAAABQAAAAExAQAAAAstMTkwOTMzMDI5NQMAAAADMTYwAgAAAAQ0MjM1BAAAAAEwBwAAAAkzLzI4LzIwMjYIAAAACjExLzMwLzIwMjUJAAAAATBV81ZzRI3eCAuCeXxEjd4IKUNJUS5OWVNFOk1LQy5JUV9FQklUREFfM1lSX0FOTl9DQUdSLjIwMDAuAQAAALjDAgACAAAABjUuODAzMwEIAAAABQAAAAExAQAAAAstMTkwOTMzMDI5</t>
  </si>
  <si>
    <t>NQMAAAADMTYwAgAAAAQ0MjIyBAAAAAEwBwAAAAkzLzI4LzIwMjYIAAAACjExLzMwLzIwMjUJAAAAATBV81ZzRI3eCAuCeXxEjd4IK0NJUS5OWVNFOk1LQy5JUV9FQklUREFfMVlSX0FOTl9HUk9XVEguMTAwMC4BAAAAuMMCAAIAAAAGMy4yMTcxAQgAAAAFAAAAATEBAAAACy0xOTA5MzMyMjk2AwAAAAMxNjACAAAABDQxOTYEAAAAATAHAAAACTMvMjgvMjAyNggAAAAKMTEvMzAvMjAyNQkAAAABMFXzVnNEjd4IC4J5fESN3ggrQ0lRLk5ZU0U6TUtDLklRX0VCSVREQV8xWVJfQU5OX0dST1dUSC4yMDAwLgEAAAC4wwIAAgAAAAYzLjIxNzEBCAAAAAUAAAABMQEAAAALLTE5MDkzMzAyOTUDAAAAAzE2MAIAAAAENDE5NgQAAAABMAcAAAAJMy8yOC8yMDI2CAAAAAoxMS8zMC8yMDI1CQAAAAEwVfNWc0SN3ggLgnl8RI3eCCZDSVEuTllTRTpNS0MuSVFfRVBTXzVZUl9BTk5fQ0FHUi4yMDAwLgEAAAC4wwIAAgAAAAYxLjA1NjYBCAAAAAUAAAABMQEAAAALLTE5MDkzMzAyOTUDAAAAAzE2MAIAAAAENDIzOQQAAAABMAcAAAAJMy8yOC8yMDI2CAAAAAoxMS8zMC8yMDI1CQAAAAEwVfNWc0SN3ggLgnl8RI3eCB9DSVEuTllTRTpNS0MuSVFfTklfTUFSR0lOLjIwMDAuAQAAALjDAgACAAAABzExLjU0MDQBCAAAAAUAAAABMQEAAAALLTE5MDkzMzAyOTUDAAAAAzE2MAIAAAAENDA5NAQAAAABMAcAAAAJMy8yOC8yMDI2CAAA</t>
  </si>
  <si>
    <t>AAoxMS8zMC8yMDI1CQAAAAEwVfNWc0SN3ggjqXl8RI3eCCxDSVEuTllTRTpNS0MuSVFfVE9UQUxfUkVWXzVZUl9BTk5fQ0FHUi4yMDAwLgEAAAC4wwIAAgAAAAY0LjA3NzYBCAAAAAUAAAABMQEAAAALLTE5MDkzMzAyOTUDAAAAAzE2MAIAAAAENDIzMwQAAAABMAcAAAAJMy8yOC8yMDI2CAAAAAoxMS8zMC8yMDI1CQAAAAEwVfNWc0SN3ggjqXl8RI3eCCxDSVEuTllTRTpNS0MuSVFfVE9UQUxfUkVWXzNZUl9BTk5fQ0FHUi4yMDAwLgEAAAC4wwIAAgAAAAYyLjUwNzUBCAAAAAUAAAABMQEAAAALLTE5MDkzMzAyOTUDAAAAAzE2MAIAAAAENDIyMAQAAAABMAcAAAAJMy8yOC8yMDI2CAAAAAoxMS8zMC8yMDI1CQAAAAEwVfNWc0SN3ggLgnl8RI3eCC5DSVEuTllTRTpNS0MuSVFfVE9UQUxfUkVWXzFZUl9BTk5fR1JPV1RILjEwMDAuAQAAALjDAgACAAAABjEuNzM0MQEIAAAABQAAAAExAQAAAAstMTkwOTMzMjI5NgMAAAADMTYwAgAAAAQ0MTk0BAAAAAEwBwAAAAkzLzI4LzIwMjYIAAAACjExLzMwLzIwMjUJAAAAATBV81ZzRI3eCAuCeXxEjd4ILkNJUS5OWVNFOk1LQy5JUV9UT1RBTF9SRVZfMVlSX0FOTl9HUk9XVEguMjAwMC4BAAAAuMMCAAIAAAAGMS43MzQxAQgAAAAFAAAAATEBAAAACy0xOTA5MzMwMjk1AwAAAAMxNjACAAAABDQxOTQEAAAAATAHAAAACTMvMjgvMjAyNggAAAAKMTEvMzAvMjAyNQkAAAAB</t>
  </si>
  <si>
    <t>MFXzVnNEjd4IC4J5fESN3ggjQ0lRLk5ZU0U6TUtDLklRX0VCSVREQV9NQVJHSU4uMTAwMC4BAAAAuMMCAAIAAAAHMTkuMDg5OAEIAAAABQAAAAExAQAAAAstMTkwOTMzMjI5NgMAAAADMTYwAgAAAAQ0MDQ3BAAAAAEwBwAAAAkzLzI4LzIwMjYIAAAACjExLzMwLzIwMjUJAAAAATBV81ZzRI3eCCOpeXxEjd4II0NJUS5OWVNFOk1LQy5JUV9FQklUREFfTUFSR0lOLjIwMDAuAQAAALjDAgACAAAABzE5LjA4OTgBCAAAAAUAAAABMQEAAAALLTE5MDkzMzAyOTUDAAAAAzE2MAIAAAAENDA0NwQAAAABMAcAAAAJMy8yOC8yMDI2CAAAAAoxMS8zMC8yMDI1CQAAAAEwVfNWc0SN3ggjqXl8RI3eCB5DSVEuTllTRTpNS0MuSVFfTklfTUFSR0lOLjk5OC4BAAAAuMMCAAIAAAAHMTAuMjE1OAEIAAAABQAAAAExAQAAAAstMTkwOTMzMjMwMgMAAAADMTYwAgAAAAQ0MDk0BAAAAAEwBwAAAAkzLzI4LzIwMjYIAAAACjExLzMwLzIwMjMJAAAAATBV81ZzRI3eCCOpeXxEjd4IHkNJUS5OWVNFOk1LQy5JUV9OSV9NQVJHSU4uOTk5LgEAAAC4wwIAAgAAAAcxMS43MjcxAQgAAAAFAAAAATEBAAAACy0xOTA5MzMyMzI4AwAAAAMxNjACAAAABDQwOTQEAAAAATAHAAAACTMvMjgvMjAyNggAAAAKMTEvMzAvMjAyNAkAAAABMFXzVnNEjd4II6l5fESN3ggfQ0lRLk5ZU0U6TUtDLklRX05JX01BUkdJTi4xMDAwLgEAAAC4wwIAAgAAAAcx</t>
  </si>
  <si>
    <t>MS41NDA0AQgAAAAFAAAAATEBAAAACy0xOTA5MzMyMjk2AwAAAAMxNjACAAAABDQwOTQEAAAAATAHAAAACTMvMjgvMjAyNggAAAAKMTEvMzAvMjAyNQkAAAABMFXzVnNEjd4II6l5fESN3gghQ0lRLk5ZU0U6TUtDLklRX0dST1NTX01BUkdJTi45OTkuAQAAALjDAgACAAAABzM4LjUzNTMBCAAAAAUAAAABMQEAAAALLTE5MDkzMzIzMjgDAAAAAzE2MAIAAAAENDA3NAQAAAABMAcAAAAJMy8yOC8yMDI2CAAAAAoxMS8zMC8yMDI0CQAAAAEwVfNWc0SN3ggjqXl8RI3eCCJDSVEuTllTRTpNS0MuSVFfR1JPU1NfTUFSR0lOLjEwMDAuAQAAALjDAgACAAAABzM3LjkyNjYBCAAAAAUAAAABMQEAAAALLTE5MDkzMzIyOTYDAAAAAzE2MAIAAAAENDA3NAQAAAABMAcAAAAJMy8yOC8yMDI2CAAAAAoxMS8zMC8yMDI1CQAAAAEwVfNWc0SN3ggjqXl8RI3eCCJDSVEuTllTRTpNS0MuSVFfR1JPU1NfTUFSR0lOLjIwMDAuAQAAALjDAgACAAAABzM3LjkyNjYBCAAAAAUAAAABMQEAAAALLTE5MDkzMzAyOTUDAAAAAzE2MAIAAAAENDA3NAQAAAABMAcAAAAJMy8yOC8yMDI2CAAAAAoxMS8zMC8yMDI1CQAAAAEwVfNWc0SN3ggjqXl8RI3eCCJDSVEuTllTRTpNS0MuSVFfRUJJVERBX01BUkdJTi45OTguAQAAALjDAgACAAAABzE4LjIxNDcBCAAAAAUAAAABMQEAAAALLTE5MDkzMzIzMDIDAAAAAzE2MAIAAAAENDA0NwQAAAABMAcA</t>
  </si>
  <si>
    <t>AAAJMy8yOC8yMDI2CAAAAAoxMS8zMC8yMDIzCQAAAAEwVfNWc0SN3ggjqXl8RI3eCCJDSVEuTllTRTpNS0MuSVFfRUJJVERBX01BUkdJTi45OTkuAQAAALjDAgACAAAABzE4LjgxNTUBCAAAAAUAAAABMQEAAAALLTE5MDkzMzIzMjgDAAAAAzE2MAIAAAAENDA0NwQAAAABMAcAAAAJMy8yOC8yMDI2CAAAAAoxMS8zMC8yMDI0CQAAAAEwVfNWc0SN3ggjqXl8RI3eCCFDSVEuTllTRTpNS0MuSVFfR1JPU1NfTUFSR0lOLjk5OC4BAAAAuMMCAAIAAAAHMzcuNTYyNgEIAAAABQAAAAExAQAAAAstMTkwOTMzMjMwMgMAAAADMTYwAgAAAAQ0MDc0BAAAAAEwBwAAAAkzLzI4LzIwMjYIAAAACjExLzMwLzIwMjMJAAAAATBV81ZzRI3eCCOpeXxEjd4IIENJUS5OWVNFOk1LQy5JUV9QRVJJT0REQVRFLjEwMDAuAQAAALjDAgAFAAAACjMwLzExLzIwMjUAVfNWc0SN3ggo0Hl8RI3eCCBDSVEuTllTRTpNS0MuSVFfUEVSSU9EREFURS4yMDAwLgEAAAC4wwIABQAAAAozMC8xMS8yMDI1AFXzVnNEjd4IKNB5fESN3ggoQ0lRLlNaU0U6MzAwNzYxLklRX0NBU0hfQ09OVkVSU0lPTi4yMDAwLgEAAADv78cTAgAAAAg0OC40Njk4MQEIAAAABQAAAAExAQAAAAstMTkyMDU1MDM1MwMAAAACMzICAAAABDQxODQEAAAAATAHAAAACTMvMjgvMjAyNggAAAAJOS8zMC8yMDI1CQAAAAEwVfNWc0SN3ghlzHh8RI3eCCRDSVEuU1pTRTozMDA3</t>
  </si>
  <si>
    <t>NjEuSVFfQVNTRVRfVFVSTlMuMjAwMC4BAAAA7+/HEwIAAAAHMS4yMDI3NAEIAAAABQAAAAExAQAAAAstMTkyMDU1MDM1MwMAAAACMzICAAAABDQxNzcEAAAAATAHAAAACTMvMjgvMjAyNggAAAAJOS8zMC8yMDI1CQAAAAEwVfNWc0SN3ghPpXh8RI3eCCpDSVEuU1pTRTozMDA3NjEuSVFfRklYRURfQVNTRVRfVFVSTlMuMjAwMC4BAAAA7+/HEwIAAAAIMi4wODg1NTMBCAAAAAUAAAABMQEAAAALLTE5MjA1NTAzNTMDAAAAAjMyAgAAAAQ0MDY2BAAAAAEwBwAAAAkzLzI4LzIwMjYIAAAACTkvMzAvMjAyNQkAAAABMFXzVnNEjd4IT6V4fESN3gghQ0lRLlNaU0U6MzAwNzYxLklRX0FSX1RVUk5TLjIwMDAuAQAAAO/vxxMCAAAACjc4MS4zNjM2OTUBCAAAAAUAAAABMQEAAAALLTE5MjA1NTAzNTMDAAAAAjMyAgAAAAQ0MDAxBAAAAAEwBwAAAAkzLzI4LzIwMjYIAAAACTkvMzAvMjAyNQkAAAABMFXzVnNEjd4IT6V4fESN3ggoQ0lRLlNaU0U6MzAwNzYxLklRX0lOVkVOVE9SWV9UVVJOUy4yMDAwLgEAAADv78cTAgAAAAg1LjQ1NzM0OQEIAAAABQAAAAExAQAAAAstMTkyMDU1MDM1MwMAAAACMzICAAAABDQwODIEAAAAATAHAAAACTMvMjgvMjAyNggAAAAJOS8zMC8yMDI1CQAAAAEwVfNWc0SN3ghPpXh8RI3eCCVDSVEuU1pTRTozMDA3NjEuSVFfQ1VSUkVOVF9SQVRJTy41MDAuAQAAAO/vxxMCAAAACDAuODE1OTA0</t>
  </si>
  <si>
    <t>AQgAAAAFAAAAATEBAAAACy0xOTIwNTUxMDUwAwAAAAIzMgIAAAAENDAzMAQAAAABMAcAAAAJMy8yOC8yMDI2CAAAAAk5LzMwLzIwMjUJAAAAATBV81ZzRI3eCGXMeHxEjd4II0NJUS5TWlNFOjMwMDc2MS5JUV9RVUlDS19SQVRJTy41MDAuAQAAAO/vxxMCAAAACDAuMjk1NTc0AQgAAAAFAAAAATEBAAAACy0xOTIwNTUxMDUwAwAAAAIzMgIAAAAENDEyMQQAAAABMAcAAAAJMy8yOC8yMDI2CAAAAAk5LzMwLzIwMjUJAAAAATBV81ZzRI3eCGXMeHxEjd4IJ0NJUS5TWlNFOjMwMDc2MS5JUV9EQVlTX1NBTEVTX09VVC4yMDAwLgEAAADv78cTAgAAAAgwLjQ2NjgzNQEIAAAABQAAAAExAQAAAAstMTkyMDU1MDM1MwMAAAACMzICAAAABDQwNDIEAAAAATAHAAAACTMvMjgvMjAyNggAAAAJOS8zMC8yMDI1CQAAAAEwVfNWc0SN3ghlzHh8RI3eCCtDSVEuU1pTRTozMDA3NjEuSVFfREFZU19JTlZFTlRPUllfT1VULjIwMDAuAQAAAO/vxxMCAAAACTY2Ljg4MjIzNQEIAAAABQAAAAExAQAAAAstMTkyMDU1MDM1MwMAAAACMzICAAAABDQwMzUEAAAAATAHAAAACTMvMjgvMjAyNggAAAAJOS8zMC8yMDI1CQAAAAEwVfNWc0SN3ghlzHh8RI3eCClDSVEuU1pTRTozMDA3NjEuSVFfREFZU19QQVlBQkxFX09VVC4yMDAwLgEAAADv78cTAgAAAAgxOC44NzkyNgEIAAAABQAAAAExAQAAAAstMTkyMDU1MDM1MwMAAAACMzICAAAA</t>
  </si>
  <si>
    <t>BDQxODMEAAAAATAHAAAACTMvMjgvMjAyNggAAAAJOS8zMC8yMDI1CQAAAAEwVfNWc0SN3ghlzHh8RI3eCClDSVEuU1pTRTozMDA3NjEuSVFfVE9UQUxfREVCVF9FUVVJVFkuNTAwLgEAAADv78cTAgAAAAczOC4zMzg3AQgAAAAFAAAAATEBAAAACy0xOTIwNTUxMDUwAwAAAAIzMgIAAAAENDAzNAQAAAABMAcAAAAJMy8yOC8yMDI2CAAAAAk5LzMwLzIwMjUJAAAAATBV81ZzRI3eCGXMeHxEjd4IKkNJUS5TWlNFOjMwMDc2MS5JUV9UT1RBTF9ERUJUX0NBUElUQUwuNTAwLgEAAADv78cTAgAAAAcyNy43MTM2AQgAAAAFAAAAATEBAAAACy0xOTIwNTUxMDUwAwAAAAIzMgIAAAAENDE4NgQAAAABMAcAAAAJMy8yOC8yMDI2CAAAAAk5LzMwLzIwMjUJAAAAATBV81ZzRI3eCGXMeHxEjd4IJkNJUS5TWlNFOjMwMDc2MS5JUV9SRVRVUk5fRVFVSVRZLjIwMDAuAQAAAO/vxxMCAAAABjcuMDYwOAEIAAAABQAAAAExAQAAAAstMTkyMDU1MDM1MwMAAAACMzICAAAABDQxMjgEAAAAATAHAAAACTMvMjgvMjAyNggAAAAJOS8zMC8yMDI1CQAAAAEwVfNWc0SN3ghlzHh8RI3eCCZDSVEuU1pTRTozMDA3NjEuSVFfUkVUVVJOX0FTU0VUUy4yMDAwLgEAAADv78cTAgAAAAYzLjQxNjEBCAAAAAUAAAABMQEAAAALLTE5MjA1NTAzNTMDAAAAAjMyAgAAAAQ0MTc4BAAAAAEwBwAAAAkzLzI4LzIwMjYIAAAACTkvMzAvMjAyNQkAAAAB</t>
  </si>
  <si>
    <t>MFXzVnNEjd4IZcx4fESN3ggwQ0lRLlNaU0U6MzAwNzYxLklRX1JFVFVSTl9JTlZFU1RFRF9DQVBJVEFMLjIwMDAuAQAAAO/vxxMCAAAABjAuNzY4OABV81ZzRI3eCGXMeHxEjd4IK0NJUS5TWlNFOjMwMDc2MS5JUV9FUFNfMVlSX0FOTl9HUk9XVEguMjAwMC4BAAAA7+/HEwIAAAAILTM2LjAxNjYBCAAAAAUAAAABMQEAAAALLTE5MjA1NTAzNTMDAAAAAjMyAgAAAAQ0MjAwBAAAAAEwBwAAAAkzLzI4LzIwMjYIAAAACTkvMzAvMjAyNQkAAAABMFXzVnNEjd4IZcx4fESN3ggqQ0lRLlNaU0U6MzAwNzYxLklRX1RPVEFMX0RFQlRfRUJJVERBLjIwMDAuAQAAAO/vxxMCAAAACDEuOTg4NDMyAQgAAAAFAAAAATEBAAAACy0xOTIwNTUwMzUzAwAAAAIzMgIAAAAENDE5MgQAAAABMAcAAAAJMy8yOC8yMDI2CAAAAAk5LzMwLzIwMjUJAAAAATBV81ZzRI3eCGXMeHxEjd4IKENJUS5TWlNFOjMwMDc2MS5JUV9ORVRfREVCVF9FQklUREEuMjAwMC4BAAAA7+/HEwIAAAAIMS4xNTgzNjIBCAAAAAUAAAABMQEAAAALLTE5MjA1NTAzNTMDAAAAAjMyAgAAAAQ0MTkzBAAAAAEwBwAAAAkzLzI4LzIwMjYIAAAACTkvMzAvMjAyNQkAAAABMFXzVnNEjd4IZcx4fESN3ggjQ0lRLlNaU0U6MzAwNzYxLklRX0VCSVREQV9JTlQuMjAwMC4BAAAA7+/HEwIAAAAJMjAuMzI3NDQ2AQgAAAAFAAAAATEBAAAACy0xOTIwNTUwMzUzAwAAAAIz</t>
  </si>
  <si>
    <t>MgIAAAAENDE5MAQAAAABMAcAAAAJMy8yOC8yMDI2CAAAAAk5LzMwLzIwMjUJAAAAATBV81ZzRI3eCGXMeHxEjd4IKUNJUS5TWlNFOjMwMDc2MS5JUV9FQklUREFfQ0FQRVhfSU5ULjIwMDAuAQAAAO/vxxMCAAAACDIuMTE2NDgzAQgAAAAFAAAAATEBAAAACy0xOTIwNTUwMzUzAwAAAAIzMgIAAAAENDE5MQQAAAABMAcAAAAJMy8yOC8yMDI2CAAAAAk5LzMwLzIwMjUJAAAAATBV81ZzRI3eCGXMeHxEjd4ILkNJUS5TWlNFOjMwMDc2MS5JUV9FQklUREFfMVlSX0FOTl9HUk9XVEguMTAwMC4BAAAA7+/HEwIAAAAINjM5LjI5MDkBCAAAAAUAAAABMQEAAAALLTE5NTAxMjQ0MjQDAAAAAjMyAgAAAAQ0MTk2BAAAAAEwBwAAAAkzLzI4LzIwMjYIAAAACjEyLzMxLzIwMjQJAAAAATBV81ZzRI3eCAf5eHxEjd4ILkNJUS5TWlNFOjMwMDc2MS5JUV9FQklUREFfMVlSX0FOTl9HUk9XVEguMjAwMC4BAAAA7+/HEwIAAAAGLTQuODQ0AQgAAAAFAAAAATEBAAAACy0xOTIwNTUwMzUzAwAAAAIzMgIAAAAENDE5NgQAAAABMAcAAAAJMy8yOC8yMDI2CAAAAAk5LzMwLzIwMjUJAAAAATBV81ZzRI3eCAf5eHxEjd4IKUNJUS5TWlNFOjMwMDc2MS5JUV9FUFNfNVlSX0FOTl9DQUdSLjIwMDAuAQAAAO/vxxMCAAAABy03LjAyMzQBCAAAAAUAAAABMQEAAAALLTE5MjA1NTAzNTMDAAAAAjMyAgAAAAQ0MjM5BAAAAAEwBwAAAAkzLzI4</t>
  </si>
  <si>
    <t>LzIwMjYIAAAACTkvMzAvMjAyNQkAAAABMFXzVnNEjd4IB/l4fESN3ggpQ0lRLlNaU0U6MzAwNzYxLklRX0VQU18zWVJfQU5OX0NBR1IuMjAwMC4BAAAA7+/HEwIAAAAILTIzLjcyMzIBCAAAAAUAAAABMQEAAAALLTE5MjA1NTAzNTMDAAAAAjMyAgAAAAQ0MjI2BAAAAAEwBwAAAAkzLzI4LzIwMjYIAAAACTkvMzAvMjAyNQkAAAABMFXzVnNEjd4IZcx4fESN3ggrQ0lRLlNaU0U6MzAwNzYxLklRX0VQU18xWVJfQU5OX0dST1dUSC4xMDAwLgEAAADv78cTAwAAAAJOTQEIAAAABQAAAAExAQAAAAstMTk1MDEyNDQyNAMAAAACMzICAAAABDQyMDAEAAAAATAHAAAACTMvMjgvMjAyNggAAAAKMTIvMzEvMjAyNAkAAAABMFXzVnNEjd4IZcx4fESN3ggvQ0lRLlNaU0U6MzAwNzYxLklRX1RPVEFMX1JFVl8zWVJfQU5OX0NBR1IuMjAwMC4BAAAA7+/HEwIAAAAHMTEuNzU4NwEIAAAABQAAAAExAQAAAAstMTkyMDU1MDM1MwMAAAACMzICAAAABDQyMjAEAAAAATAHAAAACTMvMjgvMjAyNggAAAAJOS8zMC8yMDI1CQAAAAEwVfNWc0SN3ggH+Xh8RI3eCDFDSVEuU1pTRTozMDA3NjEuSVFfVE9UQUxfUkVWXzFZUl9BTk5fR1JPV1RILjEwMDAuAQAAAO/vxxMCAAAABzE1LjQ0MDYBCAAAAAUAAAABMQEAAAALLTE5NTAxMjQ0MjQDAAAAAjMyAgAAAAQ0MTk0BAAAAAEwBwAAAAkzLzI4LzIwMjYIAAAACjEyLzMxLzIwMjQJAAAA</t>
  </si>
  <si>
    <t>ATBV81ZzRI3eCAf5eHxEjd4IMUNJUS5TWlNFOjMwMDc2MS5JUV9UT1RBTF9SRVZfMVlSX0FOTl9HUk9XVEguMjAwMC4BAAAA7+/HEwIAAAAGOS44MTc3AQgAAAAFAAAAATEBAAAACy0xOTIwNTUwMzUzAwAAAAIzMgIAAAAENDE5NAQAAAABMAcAAAAJMy8yOC8yMDI2CAAAAAk5LzMwLzIwMjUJAAAAATBV81ZzRI3eCAf5eHxEjd4ILENJUS5TWlNFOjMwMDc2MS5JUV9FQklUREFfNVlSX0FOTl9DQUdSLjIwMDAuAQAAAO/vxxMCAAAABzEwLjYxMTgBCAAAAAUAAAABMQEAAAALLTE5MjA1NTAzNTMDAAAAAjMyAgAAAAQ0MjM1BAAAAAEwBwAAAAkzLzI4LzIwMjYIAAAACTkvMzAvMjAyNQkAAAABMFXzVnNEjd4IB/l4fESN3ggsQ0lRLlNaU0U6MzAwNzYxLklRX0VCSVREQV8zWVJfQU5OX0NBR1IuMjAwMC4BAAAA7+/HEwIAAAAHMjQuMzg3NwEIAAAABQAAAAExAQAAAAstMTkyMDU1MDM1MwMAAAACMzICAAAABDQyMjIEAAAAATAHAAAACTMvMjgvMjAyNggAAAAJOS8zMC8yMDI1CQAAAAEwVfNWc0SN3ggH+Xh8RI3eCCFDSVEuU1pTRTozMDA3NjEuSVFfTklfTUFSR0lOLjk5OC4BAAAA7+/HEwIAAAAGNi4xNjU1AQgAAAAFAAAAATEBAAAACy0yMDAwNzk3MzgzAwAAAAIzMgIAAAAENDA5NAQAAAABMAcAAAAJMy8yOC8yMDI2CAAAAAgxLzEvMjAyMwkAAAABMFXzVnNEjd4IB/l4fESN3gghQ0lRLlNaU0U6MzAwNzYx</t>
  </si>
  <si>
    <t>LklRX05JX01BUkdJTi45OTkuAQAAAO/vxxMCAAAABy0yLjg0ODgBCAAAAAUAAAABMQEAAAALLTE5NTAxMjQ0NjUDAAAAAjMyAgAAAAQ0MDk0BAAAAAEwBwAAAAkzLzI4LzIwMjYIAAAACjEyLzMxLzIwMjMJAAAAATBV81ZzRI3eCAf5eHxEjd4IIkNJUS5TWlNFOjMwMDc2MS5JUV9OSV9NQVJHSU4uMTAwMC4BAAAA7+/HEwIAAAAGOC41ODA5AQgAAAAFAAAAATEBAAAACy0xOTUwMTI0NDI0AwAAAAIzMgIAAAAENDA5NAQAAAABMAcAAAAJMy8yOC8yMDI2CAAAAAoxMi8zMS8yMDI0CQAAAAEwVfNWc0SN3ggH+Xh8RI3eCCJDSVEuU1pTRTozMDA3NjEuSVFfTklfTUFSR0lOLjIwMDAuAQAAAO/vxxMCAAAABjMuNDkyMwEIAAAABQAAAAExAQAAAAstMTkyMDU1MDM1MwMAAAACMzICAAAABDQwOTQEAAAAATAHAAAACTMvMjgvMjAyNggAAAAJOS8zMC8yMDI1CQAAAAEwVfNWc0SN3ggH+Xh8RI3eCC9DSVEuU1pTRTozMDA3NjEuSVFfVE9UQUxfUkVWXzVZUl9BTk5fQ0FHUi4yMDAwLgEAAADv78cTAgAAAAcxNi44MDQ1AQgAAAAFAAAAATEBAAAACy0xOTIwNTUwMzUzAwAAAAIzMgIAAAAENDIzMwQAAAABMAcAAAAJMy8yOC8yMDI2CAAAAAk5LzMwLzIwMjUJAAAAATBV81ZzRI3eCAf5eHxEjd4IJUNJUS5TWlNFOjMwMDc2MS5JUV9HUk9TU19NQVJHSU4uMjAwMC4BAAAA7+/HEwIAAAAGMTEuMTg1AQgAAAAFAAAAATEB</t>
  </si>
  <si>
    <t>AAAACy0xOTIwNTUwMzUzAwAAAAIzMgIAAAAENDA3NAQAAAABMAcAAAAJMy8yOC8yMDI2CAAAAAk5LzMwLzIwMjUJAAAAATBV81ZzRI3eCBYgeXxEjd4IJUNJUS5TWlNFOjMwMDc2MS5JUV9FQklUREFfTUFSR0lOLjk5OC4BAAAA7+/HEwIAAAAHMTEuMDMxMwEIAAAABQAAAAExAQAAAAstMjAwMDc5NzM4MwMAAAACMzICAAAABDQwNDcEAAAAATAHAAAACTMvMjgvMjAyNggAAAAIMS8xLzIwMjMJAAAAATBV81ZzRI3eCBYgeXxEjd4IJUNJUS5TWlNFOjMwMDc2MS5JUV9FQklUREFfTUFSR0lOLjk5OS4BAAAA7+/HEwIAAAAFMi4xMDcBCAAAAAUAAAABMQEAAAALLTE5NTAxMjQ0NjUDAAAAAjMyAgAAAAQ0MDQ3BAAAAAEwBwAAAAkzLzI4LzIwMjYIAAAACjEyLzMxLzIwMjMJAAAAATBV81ZzRI3eCAf5eHxEjd4IJkNJUS5TWlNFOjMwMDc2MS5JUV9FQklUREFfTUFSR0lOLjEwMDAuAQAAAO/vxxMCAAAABzEzLjQ5MzYBCAAAAAUAAAABMQEAAAALLTE5NTAxMjQ0MjQDAAAAAjMyAgAAAAQ0MDQ3BAAAAAEwBwAAAAkzLzI4LzIwMjYIAAAACjEyLzMxLzIwMjQJAAAAATBV81ZzRI3eCAf5eHxEjd4IJkNJUS5TWlNFOjMwMDc2MS5JUV9FQklUREFfTUFSR0lOLjIwMDAuAQAAAO/vxxMCAAAABjkuMjc1NgEIAAAABQAAAAExAQAAAAstMTkyMDU1MDM1MwMAAAACMzICAAAABDQwNDcEAAAAATAHAAAACTMvMjgvMjAyNggA</t>
  </si>
  <si>
    <t>AAAJOS8zMC8yMDI1CQAAAAEwVfNWc0SN3ggH+Xh8RI3eCCRDSVEuU1pTRTozMDA3NjEuSVFfR1JPU1NfTUFSR0lOLjk5OC4BAAAA7+/HEwIAAAAHMTMuMDQzMQEIAAAABQAAAAExAQAAAAstMjAwMDc5NzM4MwMAAAACMzICAAAABDQwNzQEAAAAATAHAAAACTMvMjgvMjAyNggAAAAIMS8xLzIwMjMJAAAAATBV81ZzRI3eCBYgeXxEjd4IJENJUS5TWlNFOjMwMDc2MS5JUV9HUk9TU19NQVJHSU4uOTk5LgEAAADv78cTAgAAAAY0LjAxNDMBCAAAAAUAAAABMQEAAAALLTE5NTAxMjQ0NjUDAAAAAjMyAgAAAAQ0MDc0BAAAAAEwBwAAAAkzLzI4LzIwMjYIAAAACjEyLzMxLzIwMjMJAAAAATBV81ZzRI3eCBYgeXxEjd4IJUNJUS5TWlNFOjMwMDc2MS5JUV9HUk9TU19NQVJHSU4uMTAwMC4BAAAA7+/HEwIAAAAHMTUuNjUxNgEIAAAABQAAAAExAQAAAAstMTk1MDEyNDQyNAMAAAACMzICAAAABDQwNzQEAAAAATAHAAAACTMvMjgvMjAyNggAAAAKMTIvMzEvMjAyNAkAAAABMFXzVnNEjd4IFiB5fESN3ggjQ0lRLlNaU0U6MzAwNzYxLklRX1BFUklPRERBVEUuMTAwMC4BAAAA7+/HEwUAAAAKMzEvMTIvMjAyNABV81ZzRI3eCCJHeXxEjd4II0NJUS5TWlNFOjMwMDc2MS5JUV9QRVJJT0REQVRFLjIwMDAuAQAAAO/vxxMFAAAACjMwLzA5LzIwMjUAVfNWc0SN3ggiR3l8RI3eCCxDSVEuTkFTREFRR1M6TURMWi5JUV9GSVhF</t>
  </si>
  <si>
    <t>RF9BU1NFVF9UVVJOUy4yMDAwLgEAAABtSQsAAgAAAAgzLjU2MDY1NwEIAAAABQAAAAExAQAAAAstMTkwNzY4MDU1NQMAAAADMTYwAgAAAAQ0MDY2BAAAAAEwBwAAAAkzLzI4LzIwMjYIAAAACjEyLzMxLzIwMjUJAAAAATBV81ZzRI3eCAgJeHxEjd4II0NJUS5OQVNEQVFHUzpNRExaLklRX0FSX1RVUk5TLjIwMDAuAQAAAG1JCwACAAAACDkuOTEwNTA1AQgAAAAFAAAAATEBAAAACy0xOTA3NjgwNTU1AwAAAAMxNjACAAAABDQwMDEEAAAAATAHAAAACTMvMjgvMjAyNggAAAAKMTIvMzEvMjAyNQkAAAABMFXzVnNEjd4ICAl4fESN3ggqQ0lRLk5BU0RBUUdTOk1ETFouSVFfSU5WRU5UT1JZX1RVUk5TLjIwMDAuAQAAAG1JCwACAAAACDYuNjk0NjM5AQgAAAAFAAAAATEBAAAACy0xOTA3NjgwNTU1AwAAAAMxNjACAAAABDQwODIEAAAAATAHAAAACTMvMjgvMjAyNggAAAAKMTIvMzEvMjAyNQkAAAABMFXzVnNEjd4ICAl4fESN3ggpQ0lRLk5BU0RBUUdTOk1ETFouSVFfREFZU19TQUxFU19PVVQuMjAwMC4BAAAAbUkLAAIAAAAJMzYuODI5NTk1AQgAAAAFAAAAATEBAAAACy0xOTA3NjgwNTU1AwAAAAMxNjACAAAABDQwNDIEAAAAATAHAAAACTMvMjgvMjAyNggAAAAKMTIvMzEvMjAyNQkAAAABMFXzVnNEjd4ICAl4fESN3ggtQ0lRLk5BU0RBUUdTOk1ETFouSVFfREFZU19JTlZFTlRPUllfT1VULjIwMDAuAQAAAG1J</t>
  </si>
  <si>
    <t>CwACAAAACTU0LjUyMTE0NQEIAAAABQAAAAExAQAAAAstMTkwNzY4MDU1NQMAAAADMTYwAgAAAAQ0MDM1BAAAAAEwBwAAAAkzLzI4LzIwMjYIAAAACjEyLzMxLzIwMjUJAAAAATBV81ZzRI3eCAgJeHxEjd4IK0NJUS5OQVNEQVFHUzpNRExaLklRX0RBWVNfUEFZQUJMRV9PVVQuMjAwMC4BAAAAbUkLAAIAAAAKMTI2LjY4OTY3NQEIAAAABQAAAAExAQAAAAstMTkwNzY4MDU1NQMAAAADMTYwAgAAAAQ0MTgzBAAAAAEwBwAAAAkzLzI4LzIwMjYIAAAACjEyLzMxLzIwMjUJAAAAATBV81ZzRI3eCAgJeHxEjd4IKkNJUS5OQVNEQVFHUzpNRExaLklRX0NBU0hfQ09OVkVSU0lPTi4yMDAwLgEAAABtSQsAAgAAAAotMzUuMzM4OTM1AQgAAAAFAAAAATEBAAAACy0xOTA3NjgwNTU1AwAAAAMxNjACAAAABDQxODQEAAAAATAHAAAACTMvMjgvMjAyNggAAAAKMTIvMzEvMjAyNQkAAAABMFXzVnNEjd4ICAl4fESN3ggmQ0lRLk5BU0RBUUdTOk1ETFouSVFfQVNTRVRfVFVSTlMuMjAwMC4BAAAAbUkLAAIAAAAIMC41NTA1OTEBCAAAAAUAAAABMQEAAAALLTE5MDc2ODA1NTUDAAAAAzE2MAIAAAAENDE3NwQAAAABMAcAAAAJMy8yOC8yMDI2CAAAAAoxMi8zMS8yMDI1CQAAAAEwVfNWc0SN3ggICXh8RI3eCChDSVEuTkFTREFRR1M6TURMWi5JUV9SRVRVUk5fRVFVSVRZLjIwMDAuAQAAAG1JCwACAAAABjkuMzMyMgEIAAAABQAA</t>
  </si>
  <si>
    <t>AAExAQAAAAstMTkwNzY4MDU1NQMAAAADMTYwAgAAAAQ0MTI4BAAAAAEwBwAAAAkzLzI4LzIwMjYIAAAACjEyLzMxLzIwMjUJAAAAATBV81ZzRI3eCCIweHxEjd4IKENJUS5OQVNEQVFHUzpNRExaLklRX1JFVFVSTl9BU1NFVFMuMjAwMC4BAAAAbUkLAAIAAAAGMy4yNDMyAQgAAAAFAAAAATEBAAAACy0xOTA3NjgwNTU1AwAAAAMxNjACAAAABDQxNzgEAAAAATAHAAAACTMvMjgvMjAyNggAAAAKMTIvMzEvMjAyNQkAAAABMFXzVnNEjd4IIjB4fESN3ggyQ0lRLk5BU0RBUUdTOk1ETFouSVFfUkVUVVJOX0lOVkVTVEVEX0NBUElUQUwuMjAwMC4BAAAAbUkLAAIAAAAHLTAuMDc3MQBV81ZzRI3eCCIweHxEjd4IJ0NJUS5OQVNEQVFHUzpNRExaLklRX0NVUlJFTlRfUkFUSU8uNTAwLgEAAABtSQsAAgAAAAgwLjU5MjM0MwEIAAAABQAAAAExAQAAAAstMTkwNzY4MDUzOAMAAAADMTYwAgAAAAQ0MDMwBAAAAAEwBwAAAAkzLzI4LzIwMjYIAAAACjEyLzMxLzIwMjUJAAAAATBV81ZzRI3eCCIweHxEjd4IJUNJUS5OQVNEQVFHUzpNRExaLklRX1FVSUNLX1JBVElPLjUwMC4BAAAAbUkLAAIAAAAIMC4zMTkzODMBCAAAAAUAAAABMQEAAAALLTE5MDc2ODA1MzgDAAAAAzE2MAIAAAAENDEyMQQAAAABMAcAAAAJMy8yOC8yMDI2CAAAAAoxMi8zMS8yMDI1CQAAAAEwVfNWc0SN3ggiMHh8RI3eCCpDSVEuTkFTREFRR1M6TURM</t>
  </si>
  <si>
    <t>Wi5JUV9ORVRfREVCVF9FQklUREEuMjAwMC4BAAAAbUkLAAIAAAAIMy40MzQ4MjcBCAAAAAUAAAABMQEAAAALLTE5MDc2ODA1NTUDAAAAAzE2MAIAAAAENDE5MwQAAAABMAcAAAAJMy8yOC8yMDI2CAAAAAoxMi8zMS8yMDI1CQAAAAEwVfNWc0SN3ggiMHh8RI3eCCVDSVEuTkFTREFRR1M6TURMWi5JUV9FQklUREFfSU5ULjIwMDAuAQAAAG1JCwACAAAACDkuODkyMTIzAQgAAAAFAAAAATEBAAAACy0xOTA3NjgwNTU1AwAAAAMxNjACAAAABDQxOTAEAAAAATAHAAAACTMvMjgvMjAyNggAAAAKMTIvMzEvMjAyNQkAAAABMFXzVnNEjd4IIjB4fESN3ggrQ0lRLk5BU0RBUUdTOk1ETFouSVFfRUJJVERBX0NBUEVYX0lOVC4yMDAwLgEAAABtSQsAAgAAAAg3LjcwMjA1NAEIAAAABQAAAAExAQAAAAstMTkwNzY4MDU1NQMAAAADMTYwAgAAAAQ0MTkxBAAAAAEwBwAAAAkzLzI4LzIwMjYIAAAACjEyLzMxLzIwMjUJAAAAATBV81ZzRI3eCCIweHxEjd4IK0NJUS5OQVNEQVFHUzpNRExaLklRX1RPVEFMX0RFQlRfRVFVSVRZLjUwMC4BAAAAbUkLAAIAAAAGODQuODQ4AQgAAAAFAAAAATEBAAAACy0xOTA3NjgwNTM4AwAAAAMxNjACAAAABDQwMzQEAAAAATAHAAAACTMvMjgvMjAyNggAAAAKMTIvMzEvMjAyNQkAAAABMFXzVnNEjd4IIjB4fESN3ggsQ0lRLk5BU0RBUUdTOk1ETFouSVFfVE9UQUxfREVCVF9DQVBJVEFMLjUw</t>
  </si>
  <si>
    <t>MC4BAAAAbUkLAAIAAAAHNDUuOTAxNQEIAAAABQAAAAExAQAAAAstMTkwNzY4MDUzOAMAAAADMTYwAgAAAAQ0MTg2BAAAAAEwBwAAAAkzLzI4LzIwMjYIAAAACjEyLzMxLzIwMjUJAAAAATBV81ZzRI3eCCIweHxEjd4IK0NJUS5OQVNEQVFHUzpNRExaLklRX0VQU181WVJfQU5OX0NBR1IuMjAwMC4BAAAAbUkLAAIAAAAHLTUuMjEyMQEIAAAABQAAAAExAQAAAAstMTkwNzY4MDU1NQMAAAADMTYwAgAAAAQ0MjM5BAAAAAEwBwAAAAkzLzI4LzIwMjYIAAAACjEyLzMxLzIwMjUJAAAAATBV81ZzRI3eCCIweHxEjd4IK0NJUS5OQVNEQVFHUzpNRExaLklRX0VQU18zWVJfQU5OX0NBR1IuMjAwMC4BAAAAbUkLAAIAAAAGLTEuMjA1AQgAAAAFAAAAATEBAAAACy0xOTA3NjgwNTU1AwAAAAMxNjACAAAABDQyMjYEAAAAATAHAAAACTMvMjgvMjAyNggAAAAKMTIvMzEvMjAyNQkAAAABMFXzVnNEjd4IIjB4fESN3ggtQ0lRLk5BU0RBUUdTOk1ETFouSVFfRVBTXzFZUl9BTk5fR1JPV1RILjEwMDAuAQAAAG1JCwACAAAACC00NC43MzY5AQgAAAAFAAAAATEBAAAACy0xOTA3Njg1MDk5AwAAAAMxNjACAAAABDQyMDAEAAAAATAHAAAACTMvMjgvMjAyNggAAAAKMTIvMzEvMjAyNQkAAAABMFXzVnNEjd4IIjB4fESN3ggtQ0lRLk5BU0RBUUdTOk1ETFouSVFfRVBTXzFZUl9BTk5fR1JPV1RILjIwMDAuAQAAAG1JCwACAAAACC00</t>
  </si>
  <si>
    <t>NC43MzY5AQgAAAAFAAAAATEBAAAACy0xOTA3NjgwNTU1AwAAAAMxNjACAAAABDQyMDAEAAAAATAHAAAACTMvMjgvMjAyNggAAAAKMTIvMzEvMjAyNQkAAAABMFXzVnNEjd4IIjB4fESN3ggsQ0lRLk5BU0RBUUdTOk1ETFouSVFfVE9UQUxfREVCVF9FQklUREEuMjAwMC4BAAAAbUkLAAIAAAAIMy44MDI2NjUBCAAAAAUAAAABMQEAAAALLTE5MDc2ODA1NTUDAAAAAzE2MAIAAAAENDE5MgQAAAABMAcAAAAJMy8yOC8yMDI2CAAAAAoxMi8zMS8yMDI1CQAAAAEwVfNWc0SN3ggiMHh8RI3eCDNDSVEuTkFTREFRR1M6TURMWi5JUV9UT1RBTF9SRVZfMVlSX0FOTl9HUk9XVEguMjAwMC4BAAAAbUkLAAIAAAAGNS43NTE3AQgAAAAFAAAAATEBAAAACy0xOTA3NjgwNTU1AwAAAAMxNjACAAAABDQxOTQEAAAAATAHAAAACTMvMjgvMjAyNggAAAAKMTIvMzEvMjAyNQkAAAABMFXzVnNEjd4IKFd4fESN3gguQ0lRLk5BU0RBUUdTOk1ETFouSVFfRUJJVERBXzVZUl9BTk5fQ0FHUi4yMDAwLgEAAABtSQsAAgAAAActMS42MjUxAQgAAAAFAAAAATEBAAAACy0xOTA3NjgwNTU1AwAAAAMxNjACAAAABDQyMzUEAAAAATAHAAAACTMvMjgvMjAyNggAAAAKMTIvMzEvMjAyNQkAAAABMFXzVnNEjd4IKFd4fESN3gguQ0lRLk5BU0RBUUdTOk1ETFouSVFfRUJJVERBXzNZUl9BTk5fQ0FHUi4yMDAwLgEAAABtSQsAAgAAAActNS4wOTcz</t>
  </si>
  <si>
    <t>AQgAAAAFAAAAATEBAAAACy0xOTA3NjgwNTU1AwAAAAMxNjACAAAABDQyMjIEAAAAATAHAAAACTMvMjgvMjAyNggAAAAKMTIvMzEvMjAyNQkAAAABMFXzVnNEjd4IKFd4fESN3ggwQ0lRLk5BU0RBUUdTOk1ETFouSVFfRUJJVERBXzFZUl9BTk5fR1JPV1RILjEwMDAuAQAAAG1JCwACAAAACC0zNS41Mjk4AQgAAAAFAAAAATEBAAAACy0xOTA3Njg1MDk5AwAAAAMxNjACAAAABDQxOTYEAAAAATAHAAAACTMvMjgvMjAyNggAAAAKMTIvMzEvMjAyNQkAAAABMFXzVnNEjd4IKFd4fESN3ggwQ0lRLk5BU0RBUUdTOk1ETFouSVFfRUJJVERBXzFZUl9BTk5fR1JPV1RILjIwMDAuAQAAAG1JCwACAAAACC0zNS41Mjk4AQgAAAAFAAAAATEBAAAACy0xOTA3NjgwNTU1AwAAAAMxNjACAAAABDQxOTYEAAAAATAHAAAACTMvMjgvMjAyNggAAAAKMTIvMzEvMjAyNQkAAAABMFXzVnNEjd4IKFd4fESN3ggkQ0lRLk5BU0RBUUdTOk1ETFouSVFfTklfTUFSR0lOLjEwMDAuAQAAAG1JCwACAAAABjYuMzYwMQEIAAAABQAAAAExAQAAAAstMTkwNzY4NTA5OQMAAAADMTYwAgAAAAQ0MDk0BAAAAAEwBwAAAAkzLzI4LzIwMjYIAAAACjEyLzMxLzIwMjUJAAAAATBV81ZzRI3eCChXeHxEjd4IJENJUS5OQVNEQVFHUzpNRExaLklRX05JX01BUkdJTi4yMDAwLgEAAABtSQsAAgAAAAY2LjM2MDEBCAAAAAUAAAABMQEAAAALLTE5MDc2ODA1</t>
  </si>
  <si>
    <t>NTUDAAAAAzE2MAIAAAAENDA5NAQAAAABMAcAAAAJMy8yOC8yMDI2CAAAAAoxMi8zMS8yMDI1CQAAAAEwVfNWc0SN3ggoV3h8RI3eCDFDSVEuTkFTREFRR1M6TURMWi5JUV9UT1RBTF9SRVZfNVlSX0FOTl9DQUdSLjIwMDAuAQAAAG1JCwACAAAABjcuNzExMwEIAAAABQAAAAExAQAAAAstMTkwNzY4MDU1NQMAAAADMTYwAgAAAAQ0MjMzBAAAAAEwBwAAAAkzLzI4LzIwMjYIAAAACjEyLzMxLzIwMjUJAAAAATBV81ZzRI3eCChXeHxEjd4IMUNJUS5OQVNEQVFHUzpNRExaLklRX1RPVEFMX1JFVl8zWVJfQU5OX0NBR1IuMjAwMC4BAAAAbUkLAAIAAAAGNi45NTY2AQgAAAAFAAAAATEBAAAACy0xOTA3NjgwNTU1AwAAAAMxNjACAAAABDQyMjAEAAAAATAHAAAACTMvMjgvMjAyNggAAAAKMTIvMzEvMjAyNQkAAAABMFXzVnNEjd4IKFd4fESN3ggzQ0lRLk5BU0RBUUdTOk1ETFouSVFfVE9UQUxfUkVWXzFZUl9BTk5fR1JPV1RILjEwMDAuAQAAAG1JCwACAAAABjUuNzUxNwEIAAAABQAAAAExAQAAAAstMTkwNzY4NTA5OQMAAAADMTYwAgAAAAQ0MTk0BAAAAAEwBwAAAAkzLzI4LzIwMjYIAAAACjEyLzMxLzIwMjUJAAAAATBV81ZzRI3eCChXeHxEjd4IJ0NJUS5OQVNEQVFHUzpNRExaLklRX0VCSVREQV9NQVJHSU4uOTk5LgEAAABtSQsAAgAAAAcyMS4yMzk4AQgAAAAFAAAAATEBAAAACy0xOTA3Njg1MDk0AwAAAAMx</t>
  </si>
  <si>
    <t>NjACAAAABDQwNDcEAAAAATAHAAAACTMvMjgvMjAyNggAAAAKMTIvMzEvMjAyNAkAAAABMFXzVnNEjd4IRH54fESN3ggoQ0lRLk5BU0RBUUdTOk1ETFouSVFfRUJJVERBX01BUkdJTi4xMDAwLgEAAABtSQsAAgAAAAcxMi45NDg1AQgAAAAFAAAAATEBAAAACy0xOTA3Njg1MDk5AwAAAAMxNjACAAAABDQwNDcEAAAAATAHAAAACTMvMjgvMjAyNggAAAAKMTIvMzEvMjAyNQkAAAABMFXzVnNEjd4IRH54fESN3ggoQ0lRLk5BU0RBUUdTOk1ETFouSVFfRUJJVERBX01BUkdJTi4yMDAwLgEAAABtSQsAAgAAAAcxMi45NDg1AQgAAAAFAAAAATEBAAAACy0xOTA3NjgwNTU1AwAAAAMxNjACAAAABDQwNDcEAAAAATAHAAAACTMvMjgvMjAyNggAAAAKMTIvMzEvMjAyNQkAAAABMFXzVnNEjd4IRH54fESN3ggjQ0lRLk5BU0RBUUdTOk1ETFouSVFfTklfTUFSR0lOLjk5OC4BAAAAbUkLAAIAAAAHMTMuNzY4OAEIAAAABQAAAAExAQAAAAstMTkwNzY4NTA5MQMAAAADMTYwAgAAAAQ0MDk0BAAAAAEwBwAAAAkzLzI4LzIwMjYIAAAACjEyLzMxLzIwMjMJAAAAATBV81ZzRI3eCChXeHxEjd4II0NJUS5OQVNEQVFHUzpNRExaLklRX05JX01BUkdJTi45OTkuAQAAAG1JCwACAAAABzEyLjY1MzMBCAAAAAUAAAABMQEAAAALLTE5MDc2ODUwOTQDAAAAAzE2MAIAAAAENDA5NAQAAAABMAcAAAAJMy8yOC8yMDI2CAAAAAoxMi8zMS8y</t>
  </si>
  <si>
    <t>MDI0CQAAAAEwVfNWc0SN3ggoV3h8RI3eCCZDSVEuTkFTREFRR1M6TURMWi5JUV9HUk9TU19NQVJHSU4uOTk4LgEAAABtSQsAAgAAAAczOC4yMTYzAQgAAAAFAAAAATEBAAAACy0xOTA3Njg1MDkxAwAAAAMxNjACAAAABDQwNzQEAAAAATAHAAAACTMvMjgvMjAyNggAAAAKMTIvMzEvMjAyMwkAAAABMFXzVnNEjd4IRH54fESN3ggmQ0lRLk5BU0RBUUdTOk1ETFouSVFfR1JPU1NfTUFSR0lOLjk5OS4BAAAAbUkLAAIAAAAHMzkuMTIzNQEIAAAABQAAAAExAQAAAAstMTkwNzY4NTA5NAMAAAADMTYwAgAAAAQ0MDc0BAAAAAEwBwAAAAkzLzI4LzIwMjYIAAAACjEyLzMxLzIwMjQJAAAAATBV81ZzRI3eCER+eHxEjd4IJ0NJUS5OQVNEQVFHUzpNRExaLklRX0dST1NTX01BUkdJTi4xMDAwLgEAAABtSQsAAgAAAAcyOC4zNzUzAQgAAAAFAAAAATEBAAAACy0xOTA3Njg1MDk5AwAAAAMxNjACAAAABDQwNzQEAAAAATAHAAAACTMvMjgvMjAyNggAAAAKMTIvMzEvMjAyNQkAAAABMFXzVnNEjd4IRH54fESN3ggnQ0lRLk5BU0RBUUdTOk1ETFouSVFfR1JPU1NfTUFSR0lOLjIwMDAuAQAAAG1JCwACAAAABzI4LjM3NTMBCAAAAAUAAAABMQEAAAALLTE5MDc2ODA1NTUDAAAAAzE2MAIAAAAENDA3NAQAAAABMAcAAAAJMy8yOC8yMDI2CAAAAAoxMi8zMS8yMDI1CQAAAAEwVfNWc0SN3ghEfnh8RI3eCCdDSVEuTkFTREFRR1M6</t>
  </si>
  <si>
    <t>TURMWi5JUV9FQklUREFfTUFSR0lOLjk5OC4BAAAAbUkLAAIAAAAHMTkuMTUyNQEIAAAABQAAAAExAQAAAAstMTkwNzY4NTA5MQMAAAADMTYwAgAAAAQ0MDQ3BAAAAAEwBwAAAAkzLzI4LzIwMjYIAAAACjEyLzMxLzIwMjMJAAAAATBV81ZzRI3eCER+eHxEjd4IJUNJUS5OQVNEQVFHUzpNRExaLklRX1BFUklPRERBVEUuMTAwMC4BAAAAbUkLAAUAAAAKMzEvMTIvMjAyNQBV81ZzRI3eCE+leHxEjd4IJUNJUS5OQVNEQVFHUzpNRExaLklRX1BFUklPRERBVEUuMjAwMC4BAAAAbUkLAAUAAAAKMzEvMTIvMjAyNQBV81ZzRI3eCE+leHxEjd4IJkNJUS5OWVNFOlBPU1QuSVFfQ0FTSF9DT05WRVJTSU9OLjIwMDAuAQAAAI+9ZggCAAAACDQ0LjQwMjI1AQgAAAAFAAAAATEBAAAACy0xOTA3ODAwMDU0AwAAAAMxNjACAAAABDQxODQEAAAAATAHAAAACTMvMjgvMjAyNggAAAAKMTIvMzEvMjAyNQkAAAABMFXzVnNEjd4IEqx2fESN3ggiQ0lRLk5ZU0U6UE9TVC5JUV9BU1NFVF9UVVJOUy4yMDAwLgEAAACPvWYIAgAAAAgwLjY0NzgwOQEIAAAABQAAAAExAQAAAAstMTkwNzgwMDA1NAMAAAADMTYwAgAAAAQ0MTc3BAAAAAEwBwAAAAkzLzI4LzIwMjYIAAAACjEyLzMxLzIwMjUJAAAAATBV81ZzRI3eCBKsdnxEjd4IKENJUS5OWVNFOlBPU1QuSVFfRklYRURfQVNTRVRfVFVSTlMuMjAwMC4BAAAAj71mCAIAAAAIMy4zNTQ5</t>
  </si>
  <si>
    <t>NDIBCAAAAAUAAAABMQEAAAALLTE5MDc4MDAwNTQDAAAAAzE2MAIAAAAENDA2NgQAAAABMAcAAAAJMy8yOC8yMDI2CAAAAAoxMi8zMS8yMDI1CQAAAAEwVfNWc0SN3ggSrHZ8RI3eCB9DSVEuTllTRTpQT1NULklRX0FSX1RVUk5TLjIwMDAuAQAAAI+9ZggCAAAACTEzLjAzNDkzNAEIAAAABQAAAAExAQAAAAstMTkwNzgwMDA1NAMAAAADMTYwAgAAAAQ0MDAxBAAAAAEwBwAAAAkzLzI4LzIwMjYIAAAACjEyLzMxLzIwMjUJAAAAATBV81ZzRI3eCBKsdnxEjd4IJkNJUS5OWVNFOlBPU1QuSVFfSU5WRU5UT1JZX1RVUk5TLjIwMDAuAQAAAI+9ZggCAAAACDcuMjUxMjU5AQgAAAAFAAAAATEBAAAACy0xOTA3ODAwMDU0AwAAAAMxNjACAAAABDQwODIEAAAAATAHAAAACTMvMjgvMjAyNggAAAAKMTIvMzEvMjAyNQkAAAABMFXzVnNEjd4IEqx2fESN3ggjQ0lRLk5ZU0U6UE9TVC5JUV9DVVJSRU5UX1JBVElPLjUwMC4BAAAAj71mCAIAAAAIMS44OTY5ODkBCAAAAAUAAAABMQEAAAALLTE5MDc4MDAxMDMDAAAAAzE2MAIAAAAENDAzMAQAAAABMAcAAAAJMy8yOC8yMDI2CAAAAAoxMi8zMS8yMDI1CQAAAAEwVfNWc0SN3ggm03Z8RI3eCCFDSVEuTllTRTpQT1NULklRX1FVSUNLX1JBVElPLjUwMC4BAAAAj71mCAIAAAAIMC45MjMyNDcBCAAAAAUAAAABMQEAAAALLTE5MDc4MDAxMDMDAAAAAzE2MAIAAAAENDEyMQQAAAAB</t>
  </si>
  <si>
    <t>MAcAAAAJMy8yOC8yMDI2CAAAAAoxMi8zMS8yMDI1CQAAAAEwVfNWc0SN3ggSrHZ8RI3eCCVDSVEuTllTRTpQT1NULklRX0RBWVNfU0FMRVNfT1VULjIwMDAuAQAAAI+9ZggCAAAACDI4LjAwMTM0AQgAAAAFAAAAATEBAAAACy0xOTA3ODAwMDU0AwAAAAMxNjACAAAABDQwNDIEAAAAATAHAAAACTMvMjgvMjAyNggAAAAKMTIvMzEvMjAyNQkAAAABMFXzVnNEjd4IEqx2fESN3ggpQ0lRLk5ZU0U6UE9TVC5JUV9EQVlTX0lOVkVOVE9SWV9PVVQuMjAwMC4BAAAAj71mCAIAAAAJNTAuMzM2MDU1AQgAAAAFAAAAATEBAAAACy0xOTA3ODAwMDU0AwAAAAMxNjACAAAABDQwMzUEAAAAATAHAAAACTMvMjgvMjAyNggAAAAKMTIvMzEvMjAyNQkAAAABMFXzVnNEjd4IEqx2fESN3ggnQ0lRLk5ZU0U6UE9TVC5JUV9EQVlTX1BBWUFCTEVfT1VULjIwMDAuAQAAAI+9ZggCAAAACTMzLjkzNTE0NQEIAAAABQAAAAExAQAAAAstMTkwNzgwMDA1NAMAAAADMTYwAgAAAAQ0MTgzBAAAAAEwBwAAAAkzLzI4LzIwMjYIAAAACjEyLzMxLzIwMjUJAAAAATBV81ZzRI3eCBKsdnxEjd4IJ0NJUS5OWVNFOlBPU1QuSVFfVE9UQUxfREVCVF9FUVVJVFkuNTAwLgEAAACPvWYIAgAAAAgyMTUuMTY5NgEIAAAABQAAAAExAQAAAAstMTkwNzgwMDEwMwMAAAADMTYwAgAAAAQ0MDM0BAAAAAEwBwAAAAkzLzI4LzIwMjYIAAAACjEyLzMxLzIwMjUJ</t>
  </si>
  <si>
    <t>AAAAATBV81ZzRI3eCCbTdnxEjd4IKENJUS5OWVNFOlBPU1QuSVFfVE9UQUxfREVCVF9DQVBJVEFMLjUwMC4BAAAAj71mCAIAAAAGNjguMjcxAQgAAAAFAAAAATEBAAAACy0xOTA3ODAwMTAzAwAAAAMxNjACAAAABDQxODYEAAAAATAHAAAACTMvMjgvMjAyNggAAAAKMTIvMzEvMjAyNQkAAAABMFXzVnNEjd4IJtN2fESN3ggkQ0lRLk5ZU0U6UE9TVC5JUV9SRVRVUk5fRVFVSVRZLjIwMDAuAQAAAI+9ZggCAAAABTguNjcyAQgAAAAFAAAAATEBAAAACy0xOTA3ODAwMDU0AwAAAAMxNjACAAAABDQxMjgEAAAAATAHAAAACTMvMjgvMjAyNggAAAAKMTIvMzEvMjAyNQkAAAABMFXzVnNEjd4IJtN2fESN3ggkQ0lRLk5ZU0U6UE9TVC5JUV9SRVRVUk5fQVNTRVRTLjIwMDAuAQAAAI+9ZggCAAAABTQuMTk2AQgAAAAFAAAAATEBAAAACy0xOTA3ODAwMDU0AwAAAAMxNjACAAAABDQxNzgEAAAAATAHAAAACTMvMjgvMjAyNggAAAAKMTIvMzEvMjAyNQkAAAABMFXzVnNEjd4IJtN2fESN3gguQ0lRLk5ZU0U6UE9TVC5JUV9SRVRVUk5fSU5WRVNURURfQ0FQSVRBTC4yMDAwLgEAAACPvWYIAgAAAAYyLjkzMTkAVfNWc0SN3ggm03Z8RI3eCClDSVEuTllTRTpQT1NULklRX0VQU18xWVJfQU5OX0dST1dUSC4yMDAwLgEAAACPvWYIAgAAAAgtMTEuMDQ2MwEIAAAABQAAAAExAQAAAAstMTkwNzgwMDA1NAMAAAADMTYwAgAAAAQ0</t>
  </si>
  <si>
    <t>MjAwBAAAAAEwBwAAAAkzLzI4LzIwMjYIAAAACjEyLzMxLzIwMjUJAAAAATBV81ZzRI3eCKAFd3xEjd4IKENJUS5OWVNFOlBPU1QuSVFfVE9UQUxfREVCVF9FQklUREEuMjAwMC4BAAAAj71mCAIAAAAHNC45MjU2MQEIAAAABQAAAAExAQAAAAstMTkwNzgwMDA1NAMAAAADMTYwAgAAAAQ0MTkyBAAAAAEwBwAAAAkzLzI4LzIwMjYIAAAACjEyLzMxLzIwMjUJAAAAATBV81ZzRI3eCKAFd3xEjd4IJkNJUS5OWVNFOlBPU1QuSVFfTkVUX0RFQlRfRUJJVERBLjIwMDAuAQAAAI+9ZggCAAAACDQuNzQxMjU0AQgAAAAFAAAAATEBAAAACy0xOTA3ODAwMDU0AwAAAAMxNjACAAAABDQxOTMEAAAAATAHAAAACTMvMjgvMjAyNggAAAAKMTIvMzEvMjAyNQkAAAABMFXzVnNEjd4IJtN2fESN3gghQ0lRLk5ZU0U6UE9TVC5JUV9FQklUREFfSU5ULjIwMDAuAQAAAI+9ZggCAAAACDQuMDUyOTY5AQgAAAAFAAAAATEBAAAACy0xOTA3ODAwMDU0AwAAAAMxNjACAAAABDQxOTAEAAAAATAHAAAACTMvMjgvMjAyNggAAAAKMTIvMzEvMjAyNQkAAAABMFXzVnNEjd4IJtN2fESN3ggnQ0lRLk5ZU0U6UE9TVC5JUV9FQklUREFfQ0FQRVhfSU5ULjIwMDAuAQAAAI+9ZggCAAAACDIuNzQ4NTI4AQgAAAAFAAAAATEBAAAACy0xOTA3ODAwMDU0AwAAAAMxNjACAAAABDQxOTEEAAAAATAHAAAACTMvMjgvMjAyNggAAAAKMTIvMzEvMjAyNQkA</t>
  </si>
  <si>
    <t>AAABMFXzVnNEjd4IJtN2fESN3ggsQ0lRLk5ZU0U6UE9TVC5JUV9FQklUREFfMVlSX0FOTl9HUk9XVEguMTAwMC4BAAAAj71mCAIAAAAGNi4zNDU2AQgAAAAFAAAAATEBAAAACy0xOTE0ODgyNDYxAwAAAAMxNjACAAAABDQxOTYEAAAAATAHAAAACTMvMjgvMjAyNggAAAAJOS8zMC8yMDI1CQAAAAEwVfNWc0SN3gigBXd8RI3eCCxDSVEuTllTRTpQT1NULklRX0VCSVREQV8xWVJfQU5OX0dST1dUSC4yMDAwLgEAAACPvWYIAgAAAAY4Ljk1MjMBCAAAAAUAAAABMQEAAAALLTE5MDc4MDAwNTQDAAAAAzE2MAIAAAAENDE5NgQAAAABMAcAAAAJMy8yOC8yMDI2CAAAAAoxMi8zMS8yMDI1CQAAAAEwVfNWc0SN3gigBXd8RI3eCCdDSVEuTllTRTpQT1NULklRX0VQU181WVJfQU5OX0NBR1IuMjAwMC4BAAAAj71mCAMAAAACTk0BCAAAAAUAAAABMQEAAAALLTE5MDc4MDAwNTQDAAAAAzE2MAIAAAAENDIzOQQAAAABMAcAAAAJMy8yOC8yMDI2CAAAAAoxMi8zMS8yMDI1CQAAAAEwVfNWc0SN3gigBXd8RI3eCCdDSVEuTllTRTpQT1NULklRX0VQU18zWVJfQU5OX0NBR1IuMjAwMC4BAAAAj71mCAIAAAAILTI2Ljg2OTcBCAAAAAUAAAABMQEAAAALLTE5MDc4MDAwNTQDAAAAAzE2MAIAAAAENDIyNgQAAAABMAcAAAAJMy8yOC8yMDI2CAAAAAoxMi8zMS8yMDI1CQAAAAEwVfNWc0SN3gigBXd8RI3eCClDSVEuTllTRTpQT1NU</t>
  </si>
  <si>
    <t>LklRX0VQU18xWVJfQU5OX0dST1dUSC4xMDAwLgEAAACPvWYIAgAAAActMi4zNzI2AQgAAAAFAAAAATEBAAAACy0xOTE0ODgyNDYxAwAAAAMxNjACAAAABDQyMDAEAAAAATAHAAAACTMvMjgvMjAyNggAAAAJOS8zMC8yMDI1CQAAAAEwVfNWc0SN3gigBXd8RI3eCC1DSVEuTllTRTpQT1NULklRX1RPVEFMX1JFVl8zWVJfQU5OX0NBR1IuMjAwMC4BAAAAj71mCAIAAAAHMTEuMTkwMQEIAAAABQAAAAExAQAAAAstMTkwNzgwMDA1NAMAAAADMTYwAgAAAAQ0MjIwBAAAAAEwBwAAAAkzLzI4LzIwMjYIAAAACjEyLzMxLzIwMjUJAAAAATBV81ZzRI3eCKAFd3xEjd4IL0NJUS5OWVNFOlBPU1QuSVFfVE9UQUxfUkVWXzFZUl9BTk5fR1JPV1RILjEwMDAuAQAAAI+9ZggCAAAABjIuOTcxMgEIAAAABQAAAAExAQAAAAstMTkxNDg4MjQ2MQMAAAADMTYwAgAAAAQ0MTk0BAAAAAEwBwAAAAkzLzI4LzIwMjYIAAAACTkvMzAvMjAyNQkAAAABMFXzVnNEjd4IoAV3fESN3ggvQ0lRLk5ZU0U6UE9TVC5JUV9UT1RBTF9SRVZfMVlSX0FOTl9HUk9XVEguMjAwMC4BAAAAj71mCAIAAAAGNS4zNzcyAQgAAAAFAAAAATEBAAAACy0xOTA3ODAwMDU0AwAAAAMxNjACAAAABDQxOTQEAAAAATAHAAAACTMvMjgvMjAyNggAAAAKMTIvMzEvMjAyNQkAAAABMFXzVnNEjd4IoAV3fESN3ggqQ0lRLk5ZU0U6UE9TVC5JUV9FQklUREFfNVlSX0FO</t>
  </si>
  <si>
    <t>Tl9DQUdSLjIwMDAuAQAAAI+9ZggCAAAABjcuNDM0OQEIAAAABQAAAAExAQAAAAstMTkwNzgwMDA1NAMAAAADMTYwAgAAAAQ0MjM1BAAAAAEwBwAAAAkzLzI4LzIwMjYIAAAACjEyLzMxLzIwMjUJAAAAATBV81ZzRI3eCKAFd3xEjd4IKkNJUS5OWVNFOlBPU1QuSVFfRUJJVERBXzNZUl9BTk5fQ0FHUi4yMDAwLgEAAACPvWYIAgAAAAcxNi41NjgyAQgAAAAFAAAAATEBAAAACy0xOTA3ODAwMDU0AwAAAAMxNjACAAAABDQyMjIEAAAAATAHAAAACTMvMjgvMjAyNggAAAAKMTIvMzEvMjAyNQkAAAABMFXzVnNEjd4IoAV3fESN3ggfQ0lRLk5ZU0U6UE9TVC5JUV9OSV9NQVJHSU4uOTk4LgEAAACPvWYIAgAAAAY0LjMwOTgBCAAAAAUAAAABMQEAAAALLTE5MTQ4ODI3MTgDAAAAAzE2MAIAAAAENDA5NAQAAAABMAcAAAAJMy8yOC8yMDI2CAAAAAk5LzMwLzIwMjMJAAAAATBV81ZzRI3eCOcsd3xEjd4IH0NJUS5OWVNFOlBPU1QuSVFfTklfTUFSR0lOLjk5OS4BAAAAj71mCAIAAAAGNC42Mjg0AQgAAAAFAAAAATEBAAAACy0xOTE0ODgzMTg3AwAAAAMxNjACAAAABDQwOTQEAAAAATAHAAAACTMvMjgvMjAyNggAAAAJOS8zMC8yMDI0CQAAAAEwVfNWc0SN3gjnLHd8RI3eCCBDSVEuTllTRTpQT1NULklRX05JX01BUkdJTi4xMDAwLgEAAACPvWYIAgAAAAY0LjExNDkBCAAAAAUAAAABMQEAAAALLTE5MTQ4ODI0NjEDAAAA</t>
  </si>
  <si>
    <t>AzE2MAIAAAAENDA5NAQAAAABMAcAAAAJMy8yOC8yMDI2CAAAAAk5LzMwLzIwMjUJAAAAATBV81ZzRI3eCOcsd3xEjd4IIENJUS5OWVNFOlBPU1QuSVFfTklfTUFSR0lOLjIwMDAuAQAAAI+9ZggCAAAABTMuODE5AQgAAAAFAAAAATEBAAAACy0xOTA3ODAwMDU0AwAAAAMxNjACAAAABDQwOTQEAAAAATAHAAAACTMvMjgvMjAyNggAAAAKMTIvMzEvMjAyNQkAAAABMFXzVnNEjd4I5yx3fESN3ggtQ0lRLk5ZU0U6UE9TVC5JUV9UT1RBTF9SRVZfNVlSX0FOTl9DQUdSLjIwMDAuAQAAAI+9ZggCAAAABTkuMDU4AQgAAAAFAAAAATEBAAAACy0xOTA3ODAwMDU0AwAAAAMxNjACAAAABDQyMzMEAAAAATAHAAAACTMvMjgvMjAyNggAAAAKMTIvMzEvMjAyNQkAAAABMFXzVnNEjd4I5yx3fESN3ggjQ0lRLk5ZU0U6UE9TVC5JUV9HUk9TU19NQVJHSU4uMjAwMC4BAAAAj71mCAIAAAAHMjguNTA2OAEIAAAABQAAAAExAQAAAAstMTkwNzgwMDA1NAMAAAADMTYwAgAAAAQ0MDc0BAAAAAEwBwAAAAkzLzI4LzIwMjYIAAAACjEyLzMxLzIwMjUJAAAAATBV81ZzRI3eCOcsd3xEjd4II0NJUS5OWVNFOlBPU1QuSVFfRUJJVERBX01BUkdJTi45OTguAQAAAI+9ZggCAAAABzE1LjI2OTYBCAAAAAUAAAABMQEAAAALLTE5MTQ4ODI3MTgDAAAAAzE2MAIAAAAENDA0NwQAAAABMAcAAAAJMy8yOC8yMDI2CAAAAAk5LzMwLzIwMjMJAAAA</t>
  </si>
  <si>
    <t>ATBV81ZzRI3eCOcsd3xEjd4II0NJUS5OWVNFOlBPU1QuSVFfRUJJVERBX01BUkdJTi45OTkuAQAAAI+9ZggCAAAABzE2LjMzMDIBCAAAAAUAAAABMQEAAAALLTE5MTQ4ODMxODcDAAAAAzE2MAIAAAAENDA0NwQAAAABMAcAAAAJMy8yOC8yMDI2CAAAAAk5LzMwLzIwMjQJAAAAATBV81ZzRI3eCOcsd3xEjd4IJENJUS5OWVNFOlBPU1QuSVFfRUJJVERBX01BUkdJTi4xMDAwLgEAAACPvWYIAgAAAAcxNi44NjU0AQgAAAAFAAAAATEBAAAACy0xOTE0ODgyNDYxAwAAAAMxNjACAAAABDQwNDcEAAAAATAHAAAACTMvMjgvMjAyNggAAAAJOS8zMC8yMDI1CQAAAAEwVfNWc0SN3gjnLHd8RI3eCCRDSVEuTllTRTpQT1NULklRX0VCSVREQV9NQVJHSU4uMjAwMC4BAAAAj71mCAIAAAAGMTcuMDIyAQgAAAAFAAAAATEBAAAACy0xOTA3ODAwMDU0AwAAAAMxNjACAAAABDQwNDcEAAAAATAHAAAACTMvMjgvMjAyNggAAAAKMTIvMzEvMjAyNQkAAAABMFXzVnNEjd4I5yx3fESN3ggiQ0lRLk5ZU0U6UE9TVC5JUV9HUk9TU19NQVJHSU4uOTk4LgEAAACPvWYIAgAAAAYyNi45MTYBCAAAAAUAAAABMQEAAAALLTE5MTQ4ODI3MTgDAAAAAzE2MAIAAAAENDA3NAQAAAABMAcAAAAJMy8yOC8yMDI2CAAAAAk5LzMwLzIwMjMJAAAAATBV81ZzRI3eCOcsd3xEjd4IIkNJUS5OWVNFOlBPU1QuSVFfR1JPU1NfTUFSR0lOLjk5OS4BAAAA</t>
  </si>
  <si>
    <t>j71mCAIAAAAHMjkuMDkyMwEIAAAABQAAAAExAQAAAAstMTkxNDg4MzE4NwMAAAADMTYwAgAAAAQ0MDc0BAAAAAEwBwAAAAkzLzI4LzIwMjYIAAAACTkvMzAvMjAyNAkAAAABMFXzVnNEjd4I5yx3fESN3ggjQ0lRLk5ZU0U6UE9TVC5JUV9HUk9TU19NQVJHSU4uMTAwMC4BAAAAj71mCAIAAAAHMjguNjc1NwEIAAAABQAAAAExAQAAAAstMTkxNDg4MjQ2MQMAAAADMTYwAgAAAAQ0MDc0BAAAAAEwBwAAAAkzLzI4LzIwMjYIAAAACTkvMzAvMjAyNQkAAAABMFXzVnNEjd4I5yx3fESN3gghQ0lRLk5ZU0U6UE9TVC5JUV9QRVJJT0REQVRFLjEwMDAuAQAAAI+9ZggFAAAACjMwLzA5LzIwMjUAVfNWc0SN3gj5Z3d8RI3eCCFDSVEuTllTRTpQT1NULklRX1BFUklPRERBVEUuMjAwMC4BAAAAj71mCAUAAAAKMzEvMTIvMjAyNQBV81ZzRI3eCPlnd3xEjd4IJENJUS5OQVNEQVFHUzpLSEMuSVFfUEVSSU9EREFURS4yMDAwLgEAAADEPgQABQAAAAoyNy8xMi8yMDI1AFXzVnNEjd4IEqx2fESN3ggkQ0lRLk5BU0RBUUdTOktIQy5JUV9QRVJJT0REQVRFLjEwMDAuAQAAAMQ+BAAFAAAACjI3LzEyLzIwMjUAVfNWc0SN3ggSrHZ8RI3eCCVDSVEuTkFTREFRR1M6S0hDLklRX0dST1NTX01BUkdJTi45OTkuAQAAAMQ+BAACAAAABzM0LjcyODcBCAAAAAUAAAABMQEAAAALLTE5MDY5NDEyMjIDAAAAAzE2MAIAAAAENDA3NAQAAAAB</t>
  </si>
  <si>
    <t>MAcAAAAJMy8yOC8yMDI2CAAAAAoxMi8yOC8yMDI0CQAAAAEwVfNWc0SN3ggnhXZ8RI3eCCVDSVEuTkFTREFRR1M6S0hDLklRX0dST1NTX01BUkdJTi45OTguAQAAAMQ+BAACAAAABzMzLjcxOTkBCAAAAAUAAAABMQEAAAALLTE5MDY5NDEyMTADAAAAAzE2MAIAAAAENDA3NAQAAAABMAcAAAAJMy8yOC8yMDI2CAAAAAoxMi8zMC8yMDIzCQAAAAEwVfNWc0SN3ggnhXZ8RI3eCCdDSVEuTkFTREFRR1M6S0hDLklRX0VCSVREQV9NQVJHSU4uMTAwMC4BAAAAxD4EAAIAAAAHMjIuOTYxMgEIAAAABQAAAAExAQAAAAstMTkwNjk0MTIyMAMAAAADMTYwAgAAAAQ0MDQ3BAAAAAEwBwAAAAkzLzI4LzIwMjYIAAAACjEyLzI3LzIwMjUJAAAAATBV81ZzRI3eCPJddnxEjd4IJkNJUS5OQVNEQVFHUzpLSEMuSVFfRUJJVERBX01BUkdJTi45OTkuAQAAAMQ+BAACAAAABzI1LjAyMTIBCAAAAAUAAAABMQEAAAALLTE5MDY5NDEyMjIDAAAAAzE2MAIAAAAENDA0NwQAAAABMAcAAAAJMy8yOC8yMDI2CAAAAAoxMi8yOC8yMDI0CQAAAAEwVfNWc0SN3gjyXXZ8RI3eCCZDSVEuTkFTREFRR1M6S0hDLklRX0VCSVREQV9NQVJHSU4uOTk4LgEAAADEPgQAAgAAAAcyMy4yODA3AQgAAAAFAAAAATEBAAAACy0xOTA2OTQxMjEwAwAAAAMxNjACAAAABDQwNDcEAAAAATAHAAAACTMvMjgvMjAyNggAAAAKMTIvMzAvMjAyMwkAAAABMFXzVnNE</t>
  </si>
  <si>
    <t>jd4I8l12fESN3ggmQ0lRLk5BU0RBUUdTOktIQy5JUV9HUk9TU19NQVJHSU4uMjAwMC4BAAAAxD4EAAIAAAAHMzMuMzE3MgEIAAAABQAAAAExAQAAAAstMTkwNjk0MDI5OQMAAAADMTYwAgAAAAQ0MDc0BAAAAAEwBwAAAAkzLzI4LzIwMjYIAAAACjEyLzI3LzIwMjUJAAAAATBV81ZzRI3eCCeFdnxEjd4IJkNJUS5OQVNEQVFHUzpLSEMuSVFfR1JPU1NfTUFSR0lOLjEwMDAuAQAAAMQ+BAACAAAABzMzLjMxNzIBCAAAAAUAAAABMQEAAAALLTE5MDY5NDEyMjADAAAAAzE2MAIAAAAENDA3NAQAAAABMAcAAAAJMy8yOC8yMDI2CAAAAAoxMi8yNy8yMDI1CQAAAAEwVfNWc0SN3ggnhXZ8RI3eCCNDSVEuTkFTREFRR1M6S0hDLklRX05JX01BUkdJTi4yMDAwLgEAAADEPgQAAgAAAAgtMjMuNDM4MwEIAAAABQAAAAExAQAAAAstMTkwNjk0MDI5OQMAAAADMTYwAgAAAAQ0MDk0BAAAAAEwBwAAAAkzLzI4LzIwMjYIAAAACjEyLzI3LzIwMjUJAAAAATBV81ZzRI3eCPJddnxEjd4II0NJUS5OQVNEQVFHUzpLSEMuSVFfTklfTUFSR0lOLjEwMDAuAQAAAMQ+BAACAAAACC0yMy40MzgzAQgAAAAFAAAAATEBAAAACy0xOTA2OTQxMjIwAwAAAAMxNjACAAAABDQwOTQEAAAAATAHAAAACTMvMjgvMjAyNggAAAAKMTIvMjcvMjAyNQkAAAABMFXzVnNEjd4I8l12fESN3ggiQ0lRLk5BU0RBUUdTOktIQy5JUV9OSV9NQVJHSU4uOTk5</t>
  </si>
  <si>
    <t>LgEAAADEPgQAAgAAAAcxMC42MTY3AQgAAAAFAAAAATEBAAAACy0xOTA2OTQxMjIyAwAAAAMxNjACAAAABDQwOTQEAAAAATAHAAAACTMvMjgvMjAyNggAAAAKMTIvMjgvMjAyNAkAAAABMFXzVnNEjd4I8l12fESN3ggiQ0lRLk5BU0RBUUdTOktIQy5JUV9OSV9NQVJHSU4uOTk4LgEAAADEPgQAAgAAAAcxMC43MTY5AQgAAAAFAAAAATEBAAAACy0xOTA2OTQxMjEwAwAAAAMxNjACAAAABDQwOTQEAAAAATAHAAAACTMvMjgvMjAyNggAAAAKMTIvMzAvMjAyMwkAAAABMFXzVnNEjd4I8l12fESN3ggnQ0lRLk5BU0RBUUdTOktIQy5JUV9FQklUREFfTUFSR0lOLjIwMDAuAQAAAMQ+BAACAAAABzIyLjk2MTIBCAAAAAUAAAABMQEAAAALLTE5MDY5NDAyOTkDAAAAAzE2MAIAAAAENDA0NwQAAAABMAcAAAAJMy8yOC8yMDI2CAAAAAoxMi8yNy8yMDI1CQAAAAEwVfNWc0SN3gjyXXZ8RI3eCC1DSVEuTkFTREFRR1M6S0hDLklRX0VCSVREQV81WVJfQU5OX0NBR1IuMjAwMC4BAAAAxD4EAAIAAAAHLTMuNDk1MgEIAAAABQAAAAExAQAAAAstMTkwNjk0MDI5OQMAAAADMTYwAgAAAAQ0MjM1BAAAAAEwBwAAAAkzLzI4LzIwMjYIAAAACjEyLzI3LzIwMjUJAAAAATA5LldzRI3eCPJddnxEjd4IMkNJUS5OQVNEQVFHUzpLSEMuSVFfVE9UQUxfUkVWXzFZUl9BTk5fR1JPV1RILjIwMDAuAQAAAMQ+BAACAAAABy0zLjQ5NzcBCAAA</t>
  </si>
  <si>
    <t>AAUAAAABMQEAAAALLTE5MDY5NDAyOTkDAAAAAzE2MAIAAAAENDE5NAQAAAABMAcAAAAJMy8yOC8yMDI2CAAAAAoxMi8yNy8yMDI1CQAAAAEwOS5Xc0SN3gjyXXZ8RI3eCDJDSVEuTkFTREFRR1M6S0hDLklRX1RPVEFMX1JFVl8xWVJfQU5OX0dST1dUSC4xMDAwLgEAAADEPgQAAgAAAActMy40OTc3AQgAAAAFAAAAATEBAAAACy0xOTA2OTQxMjIwAwAAAAMxNjACAAAABDQxOTQEAAAAATAHAAAACTMvMjgvMjAyNggAAAAKMTIvMjcvMjAyNQkAAAABMDkuV3NEjd4I8l12fESN3ggwQ0lRLk5BU0RBUUdTOktIQy5JUV9UT1RBTF9SRVZfM1lSX0FOTl9DQUdSLjIwMDAuAQAAAMQ+BAACAAAABi0xLjk4MQEIAAAABQAAAAExAQAAAAstMTkwNjk0MDI5OQMAAAADMTYwAgAAAAQ0MjIwBAAAAAEwBwAAAAkzLzI4LzIwMjYIAAAACjEyLzI3LzIwMjUJAAAAATA5LldzRI3eCPJddnxEjd4IMENJUS5OQVNEQVFHUzpLSEMuSVFfVE9UQUxfUkVWXzVZUl9BTk5fQ0FHUi4yMDAwLgEAAADEPgQAAgAAAAYtMC45NjgBCAAAAAUAAAABMQEAAAALLTE5MDY5NDAyOTkDAAAAAzE2MAIAAAAENDIzMwQAAAABMAcAAAAJMy8yOC8yMDI2CAAAAAoxMi8yNy8yMDI1CQAAAAEwOS5Xc0SN3gjyXXZ8RI3eCCpDSVEuTkFTREFRR1M6S0hDLklRX0VQU18zWVJfQU5OX0NBR1IuMjAwMC4BAAAAxD4EAAMAAAACTk0BCAAAAAUAAAABMQEAAAAL</t>
  </si>
  <si>
    <t>LTE5MDY5NDAyOTkDAAAAAzE2MAIAAAAENDIyNgQAAAABMAcAAAAJMy8yOC8yMDI2CAAAAAoxMi8yNy8yMDI1CQAAAAEwOS5Xc0SN3gggN3Z8RI3eCCpDSVEuTkFTREFRR1M6S0hDLklRX0VQU181WVJfQU5OX0NBR1IuMjAwMC4BAAAAxD4EAAMAAAACTk0BCAAAAAUAAAABMQEAAAALLTE5MDY5NDAyOTkDAAAAAzE2MAIAAAAENDIzOQQAAAABMAcAAAAJMy8yOC8yMDI2CAAAAAoxMi8yNy8yMDI1CQAAAAEwOS5Xc0SN3gggN3Z8RI3eCC9DSVEuTkFTREFRR1M6S0hDLklRX0VCSVREQV8xWVJfQU5OX0dST1dUSC4yMDAwLgEAAADEPgQAAgAAAAgtMTEuNDQyOAEIAAAABQAAAAExAQAAAAstMTkwNjk0MDI5OQMAAAADMTYwAgAAAAQ0MTk2BAAAAAEwBwAAAAkzLzI4LzIwMjYIAAAACjEyLzI3LzIwMjUJAAAAATA5LldzRI3eCCA3dnxEjd4IL0NJUS5OQVNEQVFHUzpLSEMuSVFfRUJJVERBXzFZUl9BTk5fR1JPV1RILjEwMDAuAQAAAMQ+BAACAAAACC0xMS40NDI4AQgAAAAFAAAAATEBAAAACy0xOTA2OTQxMjIwAwAAAAMxNjACAAAABDQxOTYEAAAAATAHAAAACTMvMjgvMjAyNggAAAAKMTIvMjcvMjAyNQkAAAABMDkuV3NEjd4IIDd2fESN3ggtQ0lRLk5BU0RBUUdTOktIQy5JUV9FQklUREFfM1lSX0FOTl9DQUdSLjIwMDAuAQAAAMQ+BAACAAAABy0xLjUzNDgBCAAAAAUAAAABMQEAAAALLTE5MDY5NDAyOTkDAAAA</t>
  </si>
  <si>
    <t>AzE2MAIAAAAENDIyMgQAAAABMAcAAAAJMy8yOC8yMDI2CAAAAAoxMi8yNy8yMDI1CQAAAAEwOS5Xc0SN3gjyXXZ8RI3eCCRDSVEuTkFTREFRR1M6S0hDLklRX0VCSVREQV9JTlQuMjAwMC4BAAAAxD4EAAIAAAAHNi42MDcxOAEIAAAABQAAAAExAQAAAAstMTkwNjk0MDI5OQMAAAADMTYwAgAAAAQ0MTkwBAAAAAEwBwAAAAkzLzI4LzIwMjYIAAAACjEyLzI3LzIwMjUJAAAAATA5LldzRI3eCCA3dnxEjd4IKUNJUS5OQVNEQVFHUzpLSEMuSVFfTkVUX0RFQlRfRUJJVERBLjIwMDAuAQAAAMQ+BAACAAAABzIuODkyMjgBCAAAAAUAAAABMQEAAAALLTE5MDY5NDAyOTkDAAAAAzE2MAIAAAAENDE5MwQAAAABMAcAAAAJMy8yOC8yMDI2CAAAAAoxMi8yNy8yMDI1CQAAAAEwOS5Xc0SN3gggN3Z8RI3eCCtDSVEuTkFTREFRR1M6S0hDLklRX1RPVEFMX0RFQlRfRUJJVERBLjIwMDAuAQAAAMQ+BAACAAAACDMuNDc5NjIyAQgAAAAFAAAAATEBAAAACy0xOTA2OTQwMjk5AwAAAAMxNjACAAAABDQxOTIEAAAAATAHAAAACTMvMjgvMjAyNggAAAAKMTIvMjcvMjAyNQkAAAABMDkuV3NEjd4IIDd2fESN3ggsQ0lRLk5BU0RBUUdTOktIQy5JUV9FUFNfMVlSX0FOTl9HUk9XVEguMjAwMC4BAAAAxD4EAAMAAAACTk0BCAAAAAUAAAABMQEAAAALLTE5MDY5NDAyOTkDAAAAAzE2MAIAAAAENDIwMAQAAAABMAcAAAAJMy8yOC8yMDI2</t>
  </si>
  <si>
    <t>CAAAAAoxMi8yNy8yMDI1CQAAAAEwOS5Xc0SN3gggN3Z8RI3eCCxDSVEuTkFTREFRR1M6S0hDLklRX0VQU18xWVJfQU5OX0dST1dUSC4xMDAwLgEAAADEPgQAAwAAAAJOTQEIAAAABQAAAAExAQAAAAstMTkwNjk0MTIyMAMAAAADMTYwAgAAAAQ0MjAwBAAAAAEwBwAAAAkzLzI4LzIwMjYIAAAACjEyLzI3LzIwMjUJAAAAATA5LldzRI3eCCA3dnxEjd4IJ0NJUS5OQVNEQVFHUzpLSEMuSVFfUkVUVVJOX0FTU0VUUy4yMDAwLgEAAADEPgQAAgAAAAYzLjQ5NzcBCAAAAAUAAAABMQEAAAALLTE5MDY5NDAyOTkDAAAAAzE2MAIAAAAENDE3OAQAAAABMAcAAAAJMy8yOC8yMDI2CAAAAAoxMi8yNy8yMDI1CQAAAAEwOS5Xc0SN3gggN3Z8RI3eCCdDSVEuTkFTREFRR1M6S0hDLklRX1JFVFVSTl9FUVVJVFkuMjAwMC4BAAAAxD4EAAIAAAAILTEyLjgzNjYBCAAAAAUAAAABMQEAAAALLTE5MDY5NDAyOTkDAAAAAzE2MAIAAAAENDEyOAQAAAABMAcAAAAJMy8yOC8yMDI2CAAAAAoxMi8yNy8yMDI1CQAAAAEwOS5Xc0SN3gggN3Z8RI3eCCtDSVEuTkFTREFRR1M6S0hDLklRX1RPVEFMX0RFQlRfQ0FQSVRBTC41MDAuAQAAAMQ+BAACAAAABzM0LjI1MzcBCAAAAAUAAAABMQEAAAALLTE5MDY5NDAzMDEDAAAAAzE2MAIAAAAENDE4NgQAAAABMAcAAAAJMy8yOC8yMDI2CAAAAAoxMi8yNy8yMDI1CQAAAAEwOS5Xc0SN3gggN3Z8</t>
  </si>
  <si>
    <t>RI3eCCpDSVEuTkFTREFRR1M6S0hDLklRX1RPVEFMX0RFQlRfRVFVSVRZLjUwMC4BAAAAxD4EAAIAAAAHNTIuMDk5OAEIAAAABQAAAAExAQAAAAstMTkwNjk0MDMwMQMAAAADMTYwAgAAAAQ0MDM0BAAAAAEwBwAAAAkzLzI4LzIwMjYIAAAACjEyLzI3LzIwMjUJAAAAATA5LldzRI3eCCA3dnxEjd4IKkNJUS5OQVNEQVFHUzpLSEMuSVFfRUJJVERBX0NBUEVYX0lOVC4yMDAwLgEAAADEPgQAAgAAAAg1Ljc2MTM1MQEIAAAABQAAAAExAQAAAAstMTkwNjk0MDI5OQMAAAADMTYwAgAAAAQ0MTkxBAAAAAEwBwAAAAkzLzI4LzIwMjYIAAAACjEyLzI3LzIwMjUJAAAAATA5LldzRI3eCCA3dnxEjd4ILENJUS5OQVNEQVFHUzpLSEMuSVFfREFZU19JTlZFTlRPUllfT1VULjIwMDAuAQAAAMQ+BAACAAAACTcxLjU5ODQzNgEIAAAABQAAAAExAQAAAAstMTkwNjk0MDI5OQMAAAADMTYwAgAAAAQ0MDM1BAAAAAEwBwAAAAkzLzI4LzIwMjYIAAAACjEyLzI3LzIwMjUJAAAAATA5LldzRI3eCAcQdnxEjd4IKENJUS5OQVNEQVFHUzpLSEMuSVFfREFZU19TQUxFU19PVVQuMjAwMC4BAAAAxD4EAAIAAAAJMzIuMTEzNTM2AQgAAAAFAAAAATEBAAAACy0xOTA2OTQwMjk5AwAAAAMxNjACAAAABDQwNDIEAAAAATAHAAAACTMvMjgvMjAyNggAAAAKMTIvMjcvMjAyNQkAAAABMDkuV3NEjd4IBxB2fESN3ggkQ0lRLk5BU0RBUUdTOktI</t>
  </si>
  <si>
    <t>Qy5JUV9RVUlDS19SQVRJTy41MDAuAQAAAMQ+BAACAAAACDAuNjc1NDM4AQgAAAAFAAAAATEBAAAACy0xOTA2OTQwMzAxAwAAAAMxNjACAAAABDQxMjEEAAAAATAHAAAACTMvMjgvMjAyNggAAAAKMTIvMjcvMjAyNQkAAAABMDkuV3NEjd4IBxB2fESN3ggmQ0lRLk5BU0RBUUdTOktIQy5JUV9DVVJSRU5UX1JBVElPLjUwMC4BAAAAxD4EAAIAAAAIMS4xNTM2NzkBCAAAAAUAAAABMQEAAAALLTE5MDY5NDAzMDEDAAAAAzE2MAIAAAAENDAzMAQAAAABMAcAAAAJMy8yOC8yMDI2CAAAAAoxMi8yNy8yMDI1CQAAAAEwOS5Xc0SN3ggHEHZ8RI3eCDFDSVEuTkFTREFRR1M6S0hDLklRX1JFVFVSTl9JTlZFU1RFRF9DQVBJVEFMLjIwMDAuAQAAAMQ+BAACAAAACC0xMS42MTU3ADkuV3NEjd4IBxB2fESN3ggiQ0lRLk5BU0RBUUdTOktIQy5JUV9BUl9UVVJOUy4yMDAwLgEAAADEPgQAAgAAAAkxMS4zMzQ2OTYBCAAAAAUAAAABMQEAAAALLTE5MDY5NDAyOTkDAAAAAzE2MAIAAAAENDAwMQQAAAABMAcAAAAJMy8yOC8yMDI2CAAAAAoxMi8yNy8yMDI1CQAAAAEwOS5Xc0SN3ggHEHZ8RI3eCCtDSVEuTkFTREFRR1M6S0hDLklRX0ZJWEVEX0FTU0VUX1RVUk5TLjIwMDAuAQAAAMQ+BAACAAAACDMuMjEyMzEyAQgAAAAFAAAAATEBAAAACy0xOTA2OTQwMjk5AwAAAAMxNjACAAAABDQwNjYEAAAAATAHAAAACTMvMjgvMjAyNggA</t>
  </si>
  <si>
    <t>AAAKMTIvMjcvMjAyNQkAAAABMDkuV3NEjd4IBxB2fESN3gglQ0lRLk5BU0RBUUdTOktIQy5JUV9BU1NFVF9UVVJOUy4yMDAwLgEAAADEPgQAAgAAAAgwLjI5MzMwOQEIAAAABQAAAAExAQAAAAstMTkwNjk0MDI5OQMAAAADMTYwAgAAAAQ0MTc3BAAAAAEwBwAAAAkzLzI4LzIwMjYIAAAACjEyLzI3LzIwMjUJAAAAATA5LldzRI3eCAcQdnxEjd4IKUNJUS5OQVNEQVFHUzpLSEMuSVFfQ0FTSF9DT05WRVJTSU9OLjIwMDAuAQAAAMQ+BAACAAAACDkuNTU5MzY4AQgAAAAFAAAAATEBAAAACy0xOTA2OTQwMjk5AwAAAAMxNjACAAAABDQxODQEAAAAATAHAAAACTMvMjgvMjAyNggAAAAKMTIvMjcvMjAyNQkAAAABMDkuV3NEjd4IBxB2fESN3ggqQ0lRLk5BU0RBUUdTOktIQy5JUV9EQVlTX1BBWUFCTEVfT1VULjIwMDAuAQAAAMQ+BAACAAAACTk0LjE1MjYwNAEIAAAABQAAAAExAQAAAAstMTkwNjk0MDI5OQMAAAADMTYwAgAAAAQ0MTgzBAAAAAEwBwAAAAkzLzI4LzIwMjYIAAAACjEyLzI3LzIwMjUJAAAAATA5LldzRI3eCAcQdnxEjd4IKUNJUS5OQVNEQVFHUzpLSEMuSVFfSU5WRU5UT1JZX1RVUk5TLjIwMDAuAQAAAMQ+BAACAAAACDUuMDgzOTA2AQgAAAAFAAAAATEBAAAACy0xOTA2OTQwMjk5AwAAAAMxNjACAAAABDQwODIEAAAAATAHAAAACTMvMjgvMjAyNggAAAAKMTIvMjcvMjAyNQkAAAABMDkuV3NEjd4I</t>
  </si>
  <si>
    <t>BxB2fESN3gglQ0lRLk5ZU0U6SFJMLklRX0lOVkVOVE9SWV9UVVJOUy4yMDAwLgEAAAACQgQAAgAAAAg2LjQ3ODQ4OQEIAAAABQAAAAExAQAAAAstMTkwNDgwMzUzNAMAAAADMTYwAgAAAAQ0MDgyBAAAAAEwBwAAAAkzLzI4LzIwMjYIAAAACTEvMjUvMjAyNgkAAAABMDkuV3NEjd4IRF91fESN3ggmQ0lRLk5ZU0U6SFJMLklRX0RBWVNfUEFZQUJMRV9PVVQuMjAwMC4BAAAAAkIEAAIAAAAJMjQuMTk0NzE2AQgAAAAFAAAAATEBAAAACy0xOTA0ODAzNTM0AwAAAAMxNjACAAAABDQxODMEAAAAATAHAAAACTMvMjgvMjAyNggAAAAJMS8yNS8yMDI2CQAAAAEwOS5Xc0SN3ghEX3V8RI3eCCVDSVEuTllTRTpIUkwuSVFfQ0FTSF9DT05WRVJTSU9OLjIwMDAuAQAAAAJCBAACAAAACTUzLjkzMDk2OAEIAAAABQAAAAExAQAAAAstMTkwNDgwMzUzNAMAAAADMTYwAgAAAAQ0MTg0BAAAAAEwBwAAAAkzLzI4LzIwMjYIAAAACTEvMjUvMjAyNgkAAAABMDkuV3NEjd4IRF91fESN3gghQ0lRLk5ZU0U6SFJMLklRX0FTU0VUX1RVUk5TLjIwMDAuAQAAAAJCBAACAAAACDAuOTA5MDM0AQgAAAAFAAAAATEBAAAACy0xOTA0ODAzNTM0AwAAAAMxNjACAAAABDQxNzcEAAAAATAHAAAACTMvMjgvMjAyNggAAAAJMS8yNS8yMDI2CQAAAAEwOS5Xc0SN3ghEX3V8RI3eCCdDSVEuTllTRTpIUkwuSVFfRklYRURfQVNTRVRfVFVSTlMuMjAw</t>
  </si>
  <si>
    <t>MC4BAAAAAkIEAAIAAAAINS40OTk5NjQBCAAAAAUAAAABMQEAAAALLTE5MDQ4MDM1MzQDAAAAAzE2MAIAAAAENDA2NgQAAAABMAcAAAAJMy8yOC8yMDI2CAAAAAkxLzI1LzIwMjYJAAAAATA5LldzRI3eCERfdXxEjd4IHkNJUS5OWVNFOkhSTC5JUV9BUl9UVVJOUy4yMDAwLgEAAAACQgQAAgAAAAkxNi41OTA0MzYBCAAAAAUAAAABMQEAAAALLTE5MDQ4MDM1MzQDAAAAAzE2MAIAAAAENDAwMQQAAAABMAcAAAAJMy8yOC8yMDI2CAAAAAkxLzI1LzIwMjYJAAAAATA5LldzRI3eCERfdXxEjd4ILUNJUS5OWVNFOkhSTC5JUV9SRVRVUk5fSU5WRVNURURfQ0FQSVRBTC4yMDAwLgEAAAACQgQAAgAAAActMS4zNjYzADkuV3NEjd4IYoZ1fESN3ggiQ0lRLk5ZU0U6SFJMLklRX0NVUlJFTlRfUkFUSU8uNTAwLgEAAAACQgQAAgAAAAgyLjY2MTc5MQEIAAAABQAAAAExAQAAAAstMTkwNDgwNDc1NwMAAAADMTYwAgAAAAQ0MDMwBAAAAAEwBwAAAAkzLzI4LzIwMjYIAAAACTEvMjUvMjAyNgkAAAABMDkuV3NEjd4IYoZ1fESN3gggQ0lRLk5ZU0U6SFJMLklRX1FVSUNLX1JBVElPLjUwMC4BAAAAAkIEAAIAAAAIMS4zMDExNTkBCAAAAAUAAAABMQEAAAALLTE5MDQ4MDQ3NTcDAAAAAzE2MAIAAAAENDEyMQQAAAABMAcAAAAJMy8yOC8yMDI2CAAAAAkxLzI1LzIwMjYJAAAAATA5LldzRI3eCERfdXxEjd4IJENJUS5OWVNFOkhS</t>
  </si>
  <si>
    <t>TC5JUV9EQVlTX1NBTEVTX09VVC4yMDAwLgEAAAACQgQAAgAAAAcyMS45NDAxAQgAAAAFAAAAATEBAAAACy0xOTA0ODAzNTM0AwAAAAMxNjACAAAABDQwNDIEAAAAATAHAAAACTMvMjgvMjAyNggAAAAJMS8yNS8yMDI2CQAAAAEwOS5Xc0SN3ghEX3V8RI3eCChDSVEuTllTRTpIUkwuSVFfREFZU19JTlZFTlRPUllfT1VULjIwMDAuAQAAAAJCBAACAAAACTU2LjE4NTU4NAEIAAAABQAAAAExAQAAAAstMTkwNDgwMzUzNAMAAAADMTYwAgAAAAQ0MDM1BAAAAAEwBwAAAAkzLzI4LzIwMjYIAAAACTEvMjUvMjAyNgkAAAABMDkuV3NEjd4IRF91fESN3ggmQ0lRLk5ZU0U6SFJMLklRX0VCSVREQV9DQVBFWF9JTlQuMjAwMC4BAAAAAkIEAAIAAAAJMTYuNjk1MDczAQgAAAAFAAAAATEBAAAACy0xOTA0ODAzNTM0AwAAAAMxNjACAAAABDQxOTEEAAAAATAHAAAACTMvMjgvMjAyNggAAAAJMS8yNS8yMDI2CQAAAAEwOS5Xc0SN3ghihnV8RI3eCCZDSVEuTllTRTpIUkwuSVFfVE9UQUxfREVCVF9FUVVJVFkuNTAwLgEAAAACQgQAAgAAAAczNS45Mjg4AQgAAAAFAAAAATEBAAAACy0xOTA0ODA0NzU3AwAAAAMxNjACAAAABDQwMzQEAAAAATAHAAAACTMvMjgvMjAyNggAAAAJMS8yNS8yMDI2CQAAAAEwOS5Xc0SN3ghihnV8RI3eCCdDSVEuTllTRTpIUkwuSVFfVE9UQUxfREVCVF9DQVBJVEFMLjUwMC4BAAAAAkIEAAIAAAAG</t>
  </si>
  <si>
    <t>MjYuNDMyAQgAAAAFAAAAATEBAAAACy0xOTA0ODA0NzU3AwAAAAMxNjACAAAABDQxODYEAAAAATAHAAAACTMvMjgvMjAyNggAAAAJMS8yNS8yMDI2CQAAAAEwOS5Xc0SN3ghihnV8RI3eCCNDSVEuTllTRTpIUkwuSVFfUkVUVVJOX0VRVUlUWS4yMDAwLgEAAAACQgQAAgAAAAY2LjExNTcBCAAAAAUAAAABMQEAAAALLTE5MDQ4MDM1MzQDAAAAAzE2MAIAAAAENDEyOAQAAAABMAcAAAAJMy8yOC8yMDI2CAAAAAkxLzI1LzIwMjYJAAAAATA5LldzRI3eCGKGdXxEjd4II0NJUS5OWVNFOkhSTC5JUV9SRVRVUk5fQVNTRVRTLjIwMDAuAQAAAAJCBAACAAAABjQuNDI3OAEIAAAABQAAAAExAQAAAAstMTkwNDgwMzUzNAMAAAADMTYwAgAAAAQ0MTc4BAAAAAEwBwAAAAkzLzI4LzIwMjYIAAAACTEvMjUvMjAyNgkAAAABMDkuV3NEjd4IYoZ1fESN3ggoQ0lRLk5ZU0U6SFJMLklRX0VQU18xWVJfQU5OX0dST1dUSC4xMDAwLgEAAAACQgQAAgAAAAgtNDAuODE5MwEIAAAABQAAAAExAQAAAAstMTkxMjY0MTE5NwMAAAADMTYwAgAAAAQ0MjAwBAAAAAEwBwAAAAkzLzI4LzIwMjYIAAAACjEwLzI2LzIwMjUJAAAAATA5LldzRI3eCGKGdXxEjd4IKENJUS5OWVNFOkhSTC5JUV9FUFNfMVlSX0FOTl9HUk9XVEguMjAwMC4BAAAAAkIEAAIAAAAHLTM1LjUyMwEIAAAABQAAAAExAQAAAAstMTkwNDgwMzUzNAMAAAADMTYwAgAAAAQ0</t>
  </si>
  <si>
    <t>MjAwBAAAAAEwBwAAAAkzLzI4LzIwMjYIAAAACTEvMjUvMjAyNgkAAAABMDkuV3NEjd4IYoZ1fESN3ggnQ0lRLk5ZU0U6SFJMLklRX1RPVEFMX0RFQlRfRUJJVERBLjIwMDAuAQAAAAJCBAACAAAACDEuNzY5MzI0AQgAAAAFAAAAATEBAAAACy0xOTA0ODAzNTM0AwAAAAMxNjACAAAABDQxOTIEAAAAATAHAAAACTMvMjgvMjAyNggAAAAJMS8yNS8yMDI2CQAAAAEwOS5Xc0SN3ghihnV8RI3eCCVDSVEuTllTRTpIUkwuSVFfTkVUX0RFQlRfRUJJVERBLjIwMDAuAQAAAAJCBAACAAAACDEuMjExMzA3AQgAAAAFAAAAATEBAAAACy0xOTA0ODAzNTM0AwAAAAMxNjACAAAABDQxOTMEAAAAATAHAAAACTMvMjgvMjAyNggAAAAJMS8yNS8yMDI2CQAAAAEwOS5Xc0SN3ghihnV8RI3eCCBDSVEuTllTRTpIUkwuSVFfRUJJVERBX0lOVC4yMDAwLgEAAAACQgQAAgAAAAkyMC42MjQ5ODcBCAAAAAUAAAABMQEAAAALLTE5MDQ4MDM1MzQDAAAAAzE2MAIAAAAENDE5MAQAAAABMAcAAAAJMy8yOC8yMDI2CAAAAAkxLzI1LzIwMjYJAAAAATA5LldzRI3eCGKGdXxEjd4IKUNJUS5OWVNFOkhSTC5JUV9FQklUREFfM1lSX0FOTl9DQUdSLjIwMDAuAQAAAAJCBAACAAAABy02LjQ0NDYBCAAAAAUAAAABMQEAAAALLTE5MDQ4MDM1MzQDAAAAAzE2MAIAAAAENDIyMgQAAAABMAcAAAAJMy8yOC8yMDI2CAAAAAkxLzI1LzIwMjYJAAAAATA5</t>
  </si>
  <si>
    <t>LldzRI3eCGKGdXxEjd4IK0NJUS5OWVNFOkhSTC5JUV9FQklUREFfMVlSX0FOTl9HUk9XVEguMTAwMC4BAAAAAkIEAAIAAAAHLTkuNDU1OAEIAAAABQAAAAExAQAAAAstMTkxMjY0MTE5NwMAAAADMTYwAgAAAAQ0MTk2BAAAAAEwBwAAAAkzLzI4LzIwMjYIAAAACjEwLzI2LzIwMjUJAAAAATA5LldzRI3eCGKGdXxEjd4IK0NJUS5OWVNFOkhSTC5JUV9FQklUREFfMVlSX0FOTl9HUk9XVEguMjAwMC4BAAAAAkIEAAIAAAAHLTcuNzU4NgEIAAAABQAAAAExAQAAAAstMTkwNDgwMzUzNAMAAAADMTYwAgAAAAQ0MTk2BAAAAAEwBwAAAAkzLzI4LzIwMjYIAAAACTEvMjUvMjAyNgkAAAABMDkuV3NEjd4IYoZ1fESN3ggmQ0lRLk5ZU0U6SFJMLklRX0VQU181WVJfQU5OX0NBR1IuMjAwMC4BAAAAAkIEAAIAAAAILTExLjMwNzUBCAAAAAUAAAABMQEAAAALLTE5MDQ4MDM1MzQDAAAAAzE2MAIAAAAENDIzOQQAAAABMAcAAAAJMy8yOC8yMDI2CAAAAAkxLzI1LzIwMjYJAAAAATA5LldzRI3eCGKGdXxEjd4IJkNJUS5OWVNFOkhSTC5JUV9FUFNfM1lSX0FOTl9DQUdSLjIwMDAuAQAAAAJCBAACAAAACC0yMC42NTM1AQgAAAAFAAAAATEBAAAACy0xOTA0ODAzNTM0AwAAAAMxNjACAAAABDQyMjYEAAAAATAHAAAACTMvMjgvMjAyNggAAAAJMS8yNS8yMDI2CQAAAAEwOS5Xc0SN3ghihnV8RI3eCCxDSVEuTllTRTpIUkwuSVFf</t>
  </si>
  <si>
    <t>VE9UQUxfUkVWXzVZUl9BTk5fQ0FHUi4yMDAwLgEAAAACQgQAAgAAAAY0LjYyOTgBCAAAAAUAAAABMQEAAAALLTE5MDQ4MDM1MzQDAAAAAzE2MAIAAAAENDIzMwQAAAABMAcAAAAJMy8yOC8yMDI2CAAAAAkxLzI1LzIwMjYJAAAAATA5LldzRI3eCHPBdXxEjd4ILENJUS5OWVNFOkhSTC5JUV9UT1RBTF9SRVZfM1lSX0FOTl9DQUdSLjIwMDAuAQAAAAJCBAACAAAABy0wLjY1MjMBCAAAAAUAAAABMQEAAAALLTE5MDQ4MDM1MzQDAAAAAzE2MAIAAAAENDIyMAQAAAABMAcAAAAJMy8yOC8yMDI2CAAAAAkxLzI1LzIwMjYJAAAAATA5LldzRI3eCHPBdXxEjd4ILkNJUS5OWVNFOkhSTC5JUV9UT1RBTF9SRVZfMVlSX0FOTl9HUk9XVEguMTAwMC4BAAAAAkIEAAIAAAAGMS41NTQ5AQgAAAAFAAAAATEBAAAACy0xOTEyNjQxMTk3AwAAAAMxNjACAAAABDQxOTQEAAAAATAHAAAACTMvMjgvMjAyNggAAAAKMTAvMjYvMjAyNQkAAAABMDkuV3NEjd4Ic8F1fESN3gguQ0lRLk5ZU0U6SFJMLklRX1RPVEFMX1JFVl8xWVJfQU5OX0dST1dUSC4yMDAwLgEAAAACQgQAAgAAAAYxLjk0NzIBCAAAAAUAAAABMQEAAAALLTE5MDQ4MDM1MzQDAAAAAzE2MAIAAAAENDE5NAQAAAABMAcAAAAJMy8yOC8yMDI2CAAAAAkxLzI1LzIwMjYJAAAAATA5LldzRI3eCGKGdXxEjd4IKUNJUS5OWVNFOkhSTC5JUV9FQklUREFfNVlSX0FOTl9DQUdS</t>
  </si>
  <si>
    <t>LjIwMDAuAQAAAAJCBAACAAAABi0xLjg5MgEIAAAABQAAAAExAQAAAAstMTkwNDgwMzUzNAMAAAADMTYwAgAAAAQ0MjM1BAAAAAEwBwAAAAkzLzI4LzIwMjYIAAAACTEvMjUvMjAyNgkAAAABMDkuV3NEjd4IYoZ1fESN3ggjQ0lRLk5ZU0U6SFJMLklRX0VCSVREQV9NQVJHSU4uMjAwMC4BAAAAAkIEAAIAAAAGOS45NzY1AQgAAAAFAAAAATEBAAAACy0xOTA0ODAzNTM0AwAAAAMxNjACAAAABDQwNDcEAAAAATAHAAAACTMvMjgvMjAyNggAAAAJMS8yNS8yMDI2CQAAAAEwOS5Xc0SN3ghzwXV8RI3eCB5DSVEuTllTRTpIUkwuSVFfTklfTUFSR0lOLjk5OC4BAAAAAkIEAAIAAAAFNi41NTMBCAAAAAUAAAABMQEAAAALLTE5MTI2NDEyMzkDAAAAAzE2MAIAAAAENDA5NAQAAAABMAcAAAAJMy8yOC8yMDI2CAAAAAoxMC8yOS8yMDIzCQAAAAEwOS5Xc0SN3ghzwXV8RI3eCB5DSVEuTllTRTpIUkwuSVFfTklfTUFSR0lOLjk5OS4BAAAAAkIEAAIAAAAGNi43NTMyAQgAAAAFAAAAATEBAAAACy0xOTEyNjQxMjAyAwAAAAMxNjACAAAABDQwOTQEAAAAATAHAAAACTMvMjgvMjAyNggAAAAKMTAvMjcvMjAyNAkAAAABMDkuV3NEjd4Ic8F1fESN3ggfQ0lRLk5ZU0U6SFJMLklRX05JX01BUkdJTi4xMDAwLgEAAAACQgQAAgAAAAQzLjk1AQgAAAAFAAAAATEBAAAACy0xOTEyNjQxMTk3AwAAAAMxNjACAAAABDQwOTQEAAAAATAH</t>
  </si>
  <si>
    <t>AAAACTMvMjgvMjAyNggAAAAKMTAvMjYvMjAyNQkAAAABMDkuV3NEjd4Ic8F1fESN3ggfQ0lRLk5ZU0U6SFJMLklRX05JX01BUkdJTi4yMDAwLgEAAAACQgQAAgAAAAY0LjAyOTkBCAAAAAUAAAABMQEAAAALLTE5MDQ4MDM1MzQDAAAAAzE2MAIAAAAENDA5NAQAAAABMAcAAAAJMy8yOC8yMDI2CAAAAAkxLzI1LzIwMjYJAAAAATA5LldzRI3eCHPBdXxEjd4IIkNJUS5OWVNFOkhSTC5JUV9HUk9TU19NQVJHSU4uMTAwMC4BAAAAAkIEAAIAAAAHMTUuNzA0MwEIAAAABQAAAAExAQAAAAstMTkxMjY0MTE5NwMAAAADMTYwAgAAAAQ0MDc0BAAAAAEwBwAAAAkzLzI4LzIwMjYIAAAACjEwLzI2LzIwMjUJAAAAATA5LldzRI3eCHPBdXxEjd4IIkNJUS5OWVNFOkhSTC5JUV9HUk9TU19NQVJHSU4uMjAwMC4BAAAAAkIEAAIAAAAHMTUuNjA5NgEIAAAABQAAAAExAQAAAAstMTkwNDgwMzUzNAMAAAADMTYwAgAAAAQ0MDc0BAAAAAEwBwAAAAkzLzI4LzIwMjYIAAAACTEvMjUvMjAyNgkAAAABMDkuV3NEjd4Ic8F1fESN3ggiQ0lRLk5ZU0U6SFJMLklRX0VCSVREQV9NQVJHSU4uOTk4LgEAAAACQgQAAgAAAAcxMC44MjU2AQgAAAAFAAAAATEBAAAACy0xOTEyNjQxMjM5AwAAAAMxNjACAAAABDQwNDcEAAAAATAHAAAACTMvMjgvMjAyNggAAAAKMTAvMjkvMjAyMwkAAAABMDkuV3NEjd4Ic8F1fESN3ggiQ0lRLk5ZU0U6SFJM</t>
  </si>
  <si>
    <t>LklRX0VCSVREQV9NQVJHSU4uOTk5LgEAAAACQgQAAgAAAAcxMS4zNDUyAQgAAAAFAAAAATEBAAAACy0xOTEyNjQxMjAyAwAAAAMxNjACAAAABDQwNDcEAAAAATAHAAAACTMvMjgvMjAyNggAAAAKMTAvMjcvMjAyNAkAAAABMDkuV3NEjd4Ic8F1fESN3ggjQ0lRLk5ZU0U6SFJMLklRX0VCSVREQV9NQVJHSU4uMTAwMC4BAAAAAkIEAAIAAAAHMTAuMTE1MQEIAAAABQAAAAExAQAAAAstMTkxMjY0MTE5NwMAAAADMTYwAgAAAAQ0MDQ3BAAAAAEwBwAAAAkzLzI4LzIwMjYIAAAACjEwLzI2LzIwMjUJAAAAATA5LldzRI3eCHPBdXxEjd4IIUNJUS5OWVNFOkhSTC5JUV9HUk9TU19NQVJHSU4uOTk4LgEAAAACQgQAAgAAAAcxNi41MTM5AQgAAAAFAAAAATEBAAAACy0xOTEyNjQxMjM5AwAAAAMxNjACAAAABDQwNzQEAAAAATAHAAAACTMvMjgvMjAyNggAAAAKMTAvMjkvMjAyMwkAAAABMDkuV3NEjd4I6+h1fESN3gghQ0lRLk5ZU0U6SFJMLklRX0dST1NTX01BUkdJTi45OTkuAQAAAAJCBAACAAAABzE3LjAwOTcBCAAAAAUAAAABMQEAAAALLTE5MTI2NDEyMDIDAAAAAzE2MAIAAAAENDA3NAQAAAABMAcAAAAJMy8yOC8yMDI2CAAAAAoxMC8yNy8yMDI0CQAAAAEwOS5Xc0SN3ghzwXV8RI3eCCBDSVEuTllTRTpIUkwuSVFfUEVSSU9EREFURS4yMDAwLgEAAAACQgQABQAAAAoyNS8wMS8yMDI2ADkuV3NEjd4IBxB2fESN</t>
  </si>
  <si>
    <t>3gggQ0lRLk5ZU0U6SFJMLklRX1BFUklPRERBVEUuMTAwMC4BAAAAAkIEAAUAAAAKMjYvMTAvMjAyNQA5LldzRI3eCAcQdnxEjd4IOkNJUS5OQVNEQVFHTTpWSVRMLklRX01JTk9SSVRZX0lOVEVSRVNUX1RPVEFMLjUwMC4uLkYuVVNELkgBAAAAkezPDQMAAAAAADkuV3NEjd4I0cwVfESN3gguQ0lRLk5BU0RBUUdNOlZJVEwuSVFfUFJFRl9FUVVJVFkuNTAwLi4uRi5VU0QuSAEAAACR7M8NAwAAAAAAOS5Xc0SN3gjRzBV8RI3eCC1DSVEuTkFTREFRR006VklUTC5JUV9UT1RBTF9ERUJULjUwMC4uLkYuVVNELkgBAAAAkezPDQIAAAAGNTMuNDkxAQgAAAAFAAAAATEBAAAACy0xOTA0OTYyNzMzAwAAAAMxNjACAAAABDQxNzMEAAAAATAHAAAACTMvMjgvMjAyNggAAAAKMTIvMjgvMjAyNQkAAAABMDkuV3NEjd4I0cwVfESN3ggxQ0lRLk5BU0RBUUdNOlZJVEwuSVFfQ0FTSF9TVF9JTlZFU1QuNTAwLi4uRi5VU0QuSAEAAACR7M8NAgAAAAcxMTMuMzUxAQgAAAAFAAAAATEBAAAACy0xOTA0OTYyNzMzAwAAAAMxNjACAAAABDEwMDIEAAAAATAHAAAACTMvMjgvMjAyNggAAAAKMTIvMjgvMjAyNQkAAAABMDkuV3NEjd4I0cwVfESN3ggpQ0lRLk5BU0RBUUdNOlZJVEwuSVFfRUJJVERBLjEwMDAuLi4uVVNELkgBAAAAkezPDQIAAAAHMTAyLjg4NQEIAAAABQAAAAExAQAAAAstMTkwNDk2MzM0MQMAAAADMTYwAgAAAAQ0</t>
  </si>
  <si>
    <t>MDUxBAAAAAEwBwAAAAkzLzI4LzIwMjYIAAAACjEyLzI4LzIwMjUJAAAAATA5LldzRI3eCN67FXxEjd4ILENJUS5OQVNEQVFHTTpWSVRMLklRX1RPVEFMX1JFVi4yMDAwLi4uLlVTRC5IAQAAAJHszw0CAAAABzc1OS40NDQBCAAAAAUAAAABMQEAAAALLTE5MDQ5NjI3MTkDAAAAAzE2MAIAAAACMjgEAAAAATAHAAAACTMvMjgvMjAyNggAAAAKMTIvMjgvMjAyNQkAAAABMDkuV3NEjd4I3rsVfESN3ggsQ0lRLk5BU0RBUUdNOlZJVEwuSVFfVE9UQUxfUkVWLjEwMDAuLi4uVVNELkgBAAAAkezPDQIAAAAHNzU5LjQ0NAEIAAAABQAAAAExAQAAAAstMTkwNDk2MzM0MQMAAAADMTYwAgAAAAIyOAQAAAABMAcAAAAJMy8yOC8yMDI2CAAAAAoxMi8yOC8yMDI1CQAAAAEwOS5Xc0SN3gjeuxV8RI3eCDFDSVEuTkFTREFRR006VklUTC5JUV9ESUxVVF9FUFNfRVhDTC4yMDAwLi4uLlVTRC5IAQAAAJHszw0CAAAACDEuNDM5OTk5AQgAAAAFAAAAATEBAAAACy0xOTA0OTYyNzE5AwAAAAMxNjACAAAAAzE0MgQAAAABMAcAAAAJMy8yOC8yMDI2CAAAAAoxMi8yOC8yMDI1CQAAAAEwOS5Xc0SN3ggZqBV8RI3eCDFDSVEuTkFTREFRR006VklUTC5JUV9ESUxVVF9FUFNfRVhDTC4xMDAwLi4uLlVTRC5IAQAAAJHszw0CAAAACDEuNDM5OTk5AQgAAAAFAAAAATEBAAAACy0xOTA0OTYzMzQxAwAAAAMxNjACAAAAAzE0MgQAAAABMAcA</t>
  </si>
  <si>
    <t>AAAJMy8yOC8yMDI2CAAAAAoxMi8yOC8yMDI1CQAAAAEwOS5Xc0SN3ggZqBV8RI3eCClDSVEuTkFTREFRR006VklUTC5JUV9FQklUREEuMjAwMC4uLi5VU0QuSAEAAACR7M8NAgAAAAcxMDIuODg1AQgAAAAFAAAAATEBAAAACy0xOTA0OTYyNzE5AwAAAAMxNjACAAAABDQwNTEEAAAAATAHAAAACTMvMjgvMjAyNggAAAAKMTIvMjgvMjAyNQkAAAABMDkuV3NEjd4I3rsVfESN3gglQ0lRLk5BU0RBUUdNOlZJVEwuSVFfUEVSSU9EREFURS4yMDAwLgEAAACR7M8NBQAAAAoyOC8xMi8yMDI1ADkuV3NEjd4ICAl4fESN3gglQ0lRLk5BU0RBUUdNOlZJVEwuSVFfUEVSSU9EREFURS4xMDAwLgEAAACR7M8NBQAAAAoyOC8xMi8yMDI1ADkuV3NEjd4ICAl4fESN3ggmQ0lRLk5BU0RBUUdNOlZJVEwuSVFfR1JPU1NfTUFSR0lOLjk5OC4BAAAAkezPDQIAAAAHMzQuNDAxNQEIAAAABQAAAAExAQAAAAstMTkwNDk2MzMzMQMAAAADMTYwAgAAAAQ0MDc0BAAAAAEwBwAAAAkzLzI4LzIwMjYIAAAACjEyLzMxLzIwMjMJAAAAATA5LldzRI3eCPrhd3xEjd4IJ0NJUS5OQVNEQVFHTTpWSVRMLklRX0VCSVREQV9NQVJHSU4uOTk5LgEAAACR7M8NAgAAAAcxMi42NDEyAQgAAAAFAAAAATEBAAAACy0xOTA0OTYzMzQzAwAAAAMxNjACAAAABDQwNDcEAAAAATAHAAAACTMvMjgvMjAyNggAAAAKMTIvMjkvMjAyNAkAAAABMDkuV3NEjd4I</t>
  </si>
  <si>
    <t>+uF3fESN3ggnQ0lRLk5BU0RBUUdNOlZJVEwuSVFfRUJJVERBX01BUkdJTi45OTguAQAAAJHszw0CAAAABTguNzI3AQgAAAAFAAAAATEBAAAACy0xOTA0OTYzMzMxAwAAAAMxNjACAAAABDQwNDcEAAAAATAHAAAACTMvMjgvMjAyNggAAAAKMTIvMzEvMjAyMwkAAAABMDkuV3NEjd4I+uF3fESN3ggnQ0lRLk5BU0RBUUdNOlZJVEwuSVFfR1JPU1NfTUFSR0lOLjIwMDAuAQAAAJHszw0CAAAABzM3LjYxNzIBCAAAAAUAAAABMQEAAAALLTE5MDQ5NjI3MTkDAAAAAzE2MAIAAAAENDA3NAQAAAABMAcAAAAJMy8yOC8yMDI2CAAAAAoxMi8yOC8yMDI1CQAAAAEwOS5Xc0SN3gj64Xd8RI3eCCdDSVEuTkFTREFRR006VklUTC5JUV9HUk9TU19NQVJHSU4uMTAwMC4BAAAAkezPDQIAAAAHMzcuNjE3MgEIAAAABQAAAAExAQAAAAstMTkwNDk2MzM0MQMAAAADMTYwAgAAAAQ0MDc0BAAAAAEwBwAAAAkzLzI4LzIwMjYIAAAACjEyLzI4LzIwMjUJAAAAATA5LldzRI3eCPrhd3xEjd4IJkNJUS5OQVNEQVFHTTpWSVRMLklRX0dST1NTX01BUkdJTi45OTkuAQAAAJHszw0CAAAABzM3LjkyMjMBCAAAAAUAAAABMQEAAAALLTE5MDQ5NjMzNDMDAAAAAzE2MAIAAAAENDA3NAQAAAABMAcAAAAJMy8yOC8yMDI2CAAAAAoxMi8yOS8yMDI0CQAAAAEwOS5Xc0SN3gj64Xd8RI3eCCRDSVEuTkFTREFRR006VklUTC5JUV9OSV9NQVJHSU4u</t>
  </si>
  <si>
    <t>MTAwMC4BAAAAkezPDQIAAAAGOC43Mjc3AQgAAAAFAAAAATEBAAAACy0xOTA0OTYzMzQxAwAAAAMxNjACAAAABDQwOTQEAAAAATAHAAAACTMvMjgvMjAyNggAAAAKMTIvMjgvMjAyNQkAAAABMDkuV3NEjd4IALt3fESN3ggjQ0lRLk5BU0RBUUdNOlZJVEwuSVFfTklfTUFSR0lOLjk5OS4BAAAAkezPDQIAAAAGOC44MDU0AQgAAAAFAAAAATEBAAAACy0xOTA0OTYzMzQzAwAAAAMxNjACAAAABDQwOTQEAAAAATAHAAAACTMvMjgvMjAyNggAAAAKMTIvMjkvMjAyNAkAAAABMDkuV3NEjd4IALt3fESN3ggjQ0lRLk5BU0RBUUdNOlZJVEwuSVFfTklfTUFSR0lOLjk5OC4BAAAAkezPDQIAAAAGNS40MTgxAQgAAAAFAAAAATEBAAAACy0xOTA0OTYzMzMxAwAAAAMxNjACAAAABDQwOTQEAAAAATAHAAAACTMvMjgvMjAyNggAAAAKMTIvMzEvMjAyMwkAAAABMDkuV3NEjd4I+uF3fESN3ggoQ0lRLk5BU0RBUUdNOlZJVEwuSVFfRUJJVERBX01BUkdJTi4yMDAwLgEAAACR7M8NAgAAAAcxMy41NDc0AQgAAAAFAAAAATEBAAAACy0xOTA0OTYyNzE5AwAAAAMxNjACAAAABDQwNDcEAAAAATAHAAAACTMvMjgvMjAyNggAAAAKMTIvMjgvMjAyNQkAAAABMDkuV3NEjd4I+uF3fESN3ggoQ0lRLk5BU0RBUUdNOlZJVEwuSVFfRUJJVERBX01BUkdJTi4xMDAwLgEAAACR7M8NAgAAAAcxMy41NDc0AQgAAAAFAAAAATEBAAAACy0xOTA0</t>
  </si>
  <si>
    <t>OTYzMzQxAwAAAAMxNjACAAAABDQwNDcEAAAAATAHAAAACTMvMjgvMjAyNggAAAAKMTIvMjgvMjAyNQkAAAABMDkuV3NEjd4I+uF3fESN3ggzQ0lRLk5BU0RBUUdNOlZJVEwuSVFfVE9UQUxfUkVWXzFZUl9BTk5fR1JPV1RILjIwMDAuAQAAAJHszw0CAAAABzI1LjI1NzMBCAAAAAUAAAABMQEAAAALLTE5MDQ5NjI3MTkDAAAAAzE2MAIAAAAENDE5NAQAAAABMAcAAAAJMy8yOC8yMDI2CAAAAAoxMi8yOC8yMDI1CQAAAAEwOS5Xc0SN3ggAu3d8RI3eCDNDSVEuTkFTREFRR006VklUTC5JUV9UT1RBTF9SRVZfMVlSX0FOTl9HUk9XVEguMTAwMC4BAAAAkezPDQIAAAAHMjUuMjU3MwEIAAAABQAAAAExAQAAAAstMTkwNDk2MzM0MQMAAAADMTYwAgAAAAQ0MTk0BAAAAAEwBwAAAAkzLzI4LzIwMjYIAAAACjEyLzI4LzIwMjUJAAAAATA5LldzRI3eCAC7d3xEjd4IMUNJUS5OQVNEQVFHTTpWSVRMLklRX1RPVEFMX1JFVl8zWVJfQU5OX0NBR1IuMjAwMC4BAAAAkezPDQIAAAAHMjguMDA5NQEIAAAABQAAAAExAQAAAAstMTkwNDk2MjcxOQMAAAADMTYwAgAAAAQ0MjIwBAAAAAEwBwAAAAkzLzI4LzIwMjYIAAAACjEyLzI4LzIwMjUJAAAAATA5LldzRI3eCAC7d3xEjd4IMUNJUS5OQVNEQVFHTTpWSVRMLklRX1RPVEFMX1JFVl81WVJfQU5OX0NBR1IuMjAwMC4BAAAAkezPDQIAAAAHMjguNzk2MQEIAAAABQAAAAExAQAA</t>
  </si>
  <si>
    <t>AAstMTkwNDk2MjcxOQMAAAADMTYwAgAAAAQ0MjMzBAAAAAEwBwAAAAkzLzI4LzIwMjYIAAAACjEyLzI4LzIwMjUJAAAAATA5LldzRI3eCAC7d3xEjd4IJENJUS5OQVNEQVFHTTpWSVRMLklRX05JX01BUkdJTi4yMDAwLgEAAACR7M8NAgAAAAY4LjcyNzcBCAAAAAUAAAABMQEAAAALLTE5MDQ5NjI3MTkDAAAAAzE2MAIAAAAENDA5NAQAAAABMAcAAAAJMy8yOC8yMDI2CAAAAAoxMi8yOC8yMDI1CQAAAAEwOS5Xc0SN3ggAu3d8RI3eCCtDSVEuTkFTREFRR006VklUTC5JUV9FUFNfNVlSX0FOTl9DQUdSLjIwMDAuAQAAAJHszw0CAAAABzM5Ljc2NTUBCAAAAAUAAAABMQEAAAALLTE5MDQ5NjI3MTkDAAAAAzE2MAIAAAAENDIzOQQAAAABMAcAAAAJMy8yOC8yMDI2CAAAAAoxMi8yOC8yMDI1CQAAAAEwOS5Xc0SN3ggAu3d8RI3eCDBDSVEuTkFTREFRR006VklUTC5JUV9FQklUREFfMVlSX0FOTl9HUk9XVEguMjAwMC4BAAAAkezPDQIAAAAHMzQuMjM1NwEIAAAABQAAAAExAQAAAAstMTkwNDk2MjcxOQMAAAADMTYwAgAAAAQ0MTk2BAAAAAEwBwAAAAkzLzI4LzIwMjYIAAAACjEyLzI4LzIwMjUJAAAAATA5LldzRI3eCAC7d3xEjd4IMENJUS5OQVNEQVFHTTpWSVRMLklRX0VCSVREQV8xWVJfQU5OX0dST1dUSC4xMDAwLgEAAACR7M8NAgAAAAczNC4yMzU3AQgAAAAFAAAAATEBAAAACy0xOTA0OTYzMzQxAwAAAAMx</t>
  </si>
  <si>
    <t>NjACAAAABDQxOTYEAAAAATAHAAAACTMvMjgvMjAyNggAAAAKMTIvMjgvMjAyNQkAAAABMDkuV3NEjd4IALt3fESN3gguQ0lRLk5BU0RBUUdNOlZJVEwuSVFfRUJJVERBXzNZUl9BTk5fQ0FHUi4yMDAwLgEAAACR7M8NAgAAAAcxMTkuNDE0AQgAAAAFAAAAATEBAAAACy0xOTA0OTYyNzE5AwAAAAMxNjACAAAABDQyMjIEAAAAATAHAAAACTMvMjgvMjAyNggAAAAKMTIvMjgvMjAyNQkAAAABMDkuV3NEjd4IALt3fESN3gguQ0lRLk5BU0RBUUdNOlZJVEwuSVFfRUJJVERBXzVZUl9BTk5fQ0FHUi4yMDAwLgEAAACR7M8NAgAAAAc0Ny40MTY5AQgAAAAFAAAAATEBAAAACy0xOTA0OTYyNzE5AwAAAAMxNjACAAAABDQyMzUEAAAAATAHAAAACTMvMjgvMjAyNggAAAAKMTIvMjgvMjAyNQkAAAABMDkuV3NEjd4IALt3fESN3ggqQ0lRLk5BU0RBUUdNOlZJVEwuSVFfTkVUX0RFQlRfRUJJVERBLjIwMDAuAQAAAJHszw0DAAAAAk5NAQgAAAAFAAAAATEBAAAACy0xOTA0OTYyNzE5AwAAAAMxNjACAAAABDQxOTMEAAAAATAHAAAACTMvMjgvMjAyNggAAAAKMTIvMjgvMjAyNQkAAAABMDkuV3NEjd4InJN3fESN3ggsQ0lRLk5BU0RBUUdNOlZJVEwuSVFfVE9UQUxfREVCVF9FQklUREEuMjAwMC4BAAAAkezPDQIAAAAIMC4xMzY5OTIBCAAAAAUAAAABMQEAAAALLTE5MDQ5NjI3MTkDAAAAAzE2MAIAAAAENDE5MgQAAAABMAcA</t>
  </si>
  <si>
    <t>AAAJMy8yOC8yMDI2CAAAAAoxMi8yOC8yMDI1CQAAAAEwOS5Xc0SN3ggAu3d8RI3eCC1DSVEuTkFTREFRR006VklUTC5JUV9FUFNfMVlSX0FOTl9HUk9XVEguMjAwMC4BAAAAkezPDQIAAAAHMjIuMDMzOQEIAAAABQAAAAExAQAAAAstMTkwNDk2MjcxOQMAAAADMTYwAgAAAAQ0MjAwBAAAAAEwBwAAAAkzLzI4LzIwMjYIAAAACjEyLzI4LzIwMjUJAAAAATA5LldzRI3eCAC7d3xEjd4ILUNJUS5OQVNEQVFHTTpWSVRMLklRX0VQU18xWVJfQU5OX0dST1dUSC4xMDAwLgEAAACR7M8NAgAAAAcyMi4wMzM5AQgAAAAFAAAAATEBAAAACy0xOTA0OTYzMzQxAwAAAAMxNjACAAAABDQyMDAEAAAAATAHAAAACTMvMjgvMjAyNggAAAAKMTIvMjgvMjAyNQkAAAABMDkuV3NEjd4IALt3fESN3ggrQ0lRLk5BU0RBUUdNOlZJVEwuSVFfRVBTXzNZUl9BTk5fQ0FHUi4yMDAwLgEAAACR7M8NAgAAAAcyNjMuNDI0AQgAAAAFAAAAATEBAAAACy0xOTA0OTYyNzE5AwAAAAMxNjACAAAABDQyMjYEAAAAATAHAAAACTMvMjgvMjAyNggAAAAKMTIvMjgvMjAyNQkAAAABMDkuV3NEjd4IALt3fESN3ggoQ0lRLk5BU0RBUUdNOlZJVEwuSVFfUkVUVVJOX0VRVUlUWS4yMDAwLgEAAACR7M8NAgAAAAcyMS4zNjE5AQgAAAAFAAAAATEBAAAACy0xOTA0OTYyNzE5AwAAAAMxNjACAAAABDQxMjgEAAAAATAHAAAACTMvMjgvMjAyNggAAAAKMTIv</t>
  </si>
  <si>
    <t>MjgvMjAyNQkAAAABMDkuV3NEjd4InJN3fESN3ggsQ0lRLk5BU0RBUUdNOlZJVEwuSVFfVE9UQUxfREVCVF9DQVBJVEFMLjUwMC4BAAAAkezPDQIAAAAHMTMuMjE1NwEIAAAABQAAAAExAQAAAAstMTkwNDk2MjczMwMAAAADMTYwAgAAAAQ0MTg2BAAAAAEwBwAAAAkzLzI4LzIwMjYIAAAACjEyLzI4LzIwMjUJAAAAATA5LldzRI3eCJyTd3xEjd4IK0NJUS5OQVNEQVFHTTpWSVRMLklRX1RPVEFMX0RFQlRfRVFVSVRZLjUwMC4BAAAAkezPDQIAAAAHMTUuMjI4MwEIAAAABQAAAAExAQAAAAstMTkwNDk2MjczMwMAAAADMTYwAgAAAAQ0MDM0BAAAAAEwBwAAAAkzLzI4LzIwMjYIAAAACjEyLzI4LzIwMjUJAAAAATA5LldzRI3eCJyTd3xEjd4IK0NJUS5OQVNEQVFHTTpWSVRMLklRX0VCSVREQV9DQVBFWF9JTlQuMjAwMC4BAAAAkezPDQIAAAAKMzUyLjk5NTQyMwEIAAAABQAAAAExAQAAAAstMTkwNDk2MjcxOQMAAAADMTYwAgAAAAQ0MTkxBAAAAAEwBwAAAAkzLzI4LzIwMjYIAAAACjEyLzI4LzIwMjUJAAAAATA5LldzRI3eCJyTd3xEjd4IJUNJUS5OQVNEQVFHTTpWSVRMLklRX0VCSVREQV9JTlQuMjAwMC4BAAAAkezPDQIAAAAKNDQ2Ljc1OTcyNQEIAAAABQAAAAExAQAAAAstMTkwNDk2MjcxOQMAAAADMTYwAgAAAAQ0MTkwBAAAAAEwBwAAAAkzLzI4LzIwMjYIAAAACjEyLzI4LzIwMjUJAAAAATA5LldzRI3e</t>
  </si>
  <si>
    <t>CJyTd3xEjd4IKUNJUS5OQVNEQVFHTTpWSVRMLklRX0RBWVNfU0FMRVNfT1VULjIwMDAuAQAAAJHszw0CAAAACTI5LjI4MjcwOAEIAAAABQAAAAExAQAAAAstMTkwNDk2MjcxOQMAAAADMTYwAgAAAAQ0MDQyBAAAAAEwBwAAAAkzLzI4LzIwMjYIAAAACjEyLzI4LzIwMjUJAAAAATA5LldzRI3eCJyTd3xEjd4IJUNJUS5OQVNEQVFHTTpWSVRMLklRX1FVSUNLX1JBVElPLjUwMC4BAAAAkezPDQIAAAAIMS41Mjc2ODUBCAAAAAUAAAABMQEAAAALLTE5MDQ5NjI3MzMDAAAAAzE2MAIAAAAENDEyMQQAAAABMAcAAAAJMy8yOC8yMDI2CAAAAAoxMi8yOC8yMDI1CQAAAAEwOS5Xc0SN3gick3d8RI3eCCdDSVEuTkFTREFRR006VklUTC5JUV9DVVJSRU5UX1JBVElPLjUwMC4BAAAAkezPDQIAAAAIMi4xNTk1MTgBCAAAAAUAAAABMQEAAAALLTE5MDQ5NjI3MzMDAAAAAzE2MAIAAAAENDAzMAQAAAABMAcAAAAJMy8yOC8yMDI2CAAAAAoxMi8yOC8yMDI1CQAAAAEwOS5Xc0SN3gick3d8RI3eCDJDSVEuTkFTREFRR006VklUTC5JUV9SRVRVUk5fSU5WRVNURURfQ0FQSVRBTC4yMDAwLgEAAACR7M8NAgAAAAcxOS4xMzU1ADkuV3NEjd4InJN3fESN3ggoQ0lRLk5BU0RBUUdNOlZJVEwuSVFfUkVUVVJOX0FTU0VUUy4yMDAwLgEAAACR7M8NAgAAAAcxMi41ODA1AQgAAAAFAAAAATEBAAAACy0xOTA0OTYyNzE5AwAAAAMxNjAC</t>
  </si>
  <si>
    <t>AAAABDQxNzgEAAAAATAHAAAACTMvMjgvMjAyNggAAAAKMTIvMjgvMjAyNQkAAAABMDkuV3NEjd4InJN3fESN3ggsQ0lRLk5BU0RBUUdNOlZJVEwuSVFfRklYRURfQVNTRVRfVFVSTlMuMjAwMC4BAAAAkezPDQIAAAAINC40MDA5MjgBCAAAAAUAAAABMQEAAAALLTE5MDQ5NjI3MTkDAAAAAzE2MAIAAAAENDA2NgQAAAABMAcAAAAJMy8yOC8yMDI2CAAAAAoxMi8yOC8yMDI1CQAAAAEwOS5Xc0SN3gj5Z3d8RI3eCCZDSVEuTkFTREFRR006VklUTC5JUV9BU1NFVF9UVVJOUy4yMDAwLgEAAACR7M8NAgAAAAgxLjcyOTgwMgEIAAAABQAAAAExAQAAAAstMTkwNDk2MjcxOQMAAAADMTYwAgAAAAQ0MTc3BAAAAAEwBwAAAAkzLzI4LzIwMjYIAAAACjEyLzI4LzIwMjUJAAAAATA5LldzRI3eCPlnd3xEjd4IKkNJUS5OQVNEQVFHTTpWSVRMLklRX0NBU0hfQ09OVkVSU0lPTi4yMDAwLgEAAACR7M8NAgAAAAkzMC44OTk1OTYBCAAAAAUAAAABMQEAAAALLTE5MDQ5NjI3MTkDAAAAAzE2MAIAAAAENDE4NAQAAAABMAcAAAAJMy8yOC8yMDI2CAAAAAoxMi8yOC8yMDI1CQAAAAEwOS5Xc0SN3gj5Z3d8RI3eCCtDSVEuTkFTREFRR006VklUTC5JUV9EQVlTX1BBWUFCTEVfT1VULjIwMDAuAQAAAJHszw0CAAAACTMzLjAxOTE2OAEIAAAABQAAAAExAQAAAAstMTkwNDk2MjcxOQMAAAADMTYwAgAAAAQ0MTgzBAAAAAEwBwAAAAkz</t>
  </si>
  <si>
    <t>LzI4LzIwMjYIAAAACjEyLzI4LzIwMjUJAAAAATA5LldzRI3eCPlnd3xEjd4ILUNJUS5OQVNEQVFHTTpWSVRMLklRX0RBWVNfSU5WRU5UT1JZX09VVC4yMDAwLgEAAACR7M8NAgAAAAkzNC42MzYwNTYBCAAAAAUAAAABMQEAAAALLTE5MDQ5NjI3MTkDAAAAAzE2MAIAAAAENDAzNQQAAAABMAcAAAAJMy8yOC8yMDI2CAAAAAoxMi8yOC8yMDI1CQAAAAEwOS5Xc0SN3gick3d8RI3eCCpDSVEuTkFTREFRR006VklUTC5JUV9JTlZFTlRPUllfVFVSTlMuMjAwMC4BAAAAkezPDQIAAAAJMTAuNTA5MjQ0AQgAAAAFAAAAATEBAAAACy0xOTA0OTYyNzE5AwAAAAMxNjACAAAABDQwODIEAAAAATAHAAAACTMvMjgvMjAyNggAAAAKMTIvMjgvMjAyNQkAAAABMDkuV3NEjd4I+Wd3fESN3ggjQ0lRLk5BU0RBUUdNOlZJVEwuSVFfQVJfVFVSTlMuMjAwMC4BAAAAkezPDQIAAAAIMTIuNDMwNDQBCAAAAAUAAAABMQEAAAALLTE5MDQ5NjI3MTkDAAAAAzE2MAIAAAAENDAwMQQAAAABMAcAAAAJMy8yOC8yMDI2CAAAAAoxMi8yOC8yMDI1CQAAAAEwOS5Xc0SN3gj5Z3d8RI3eCCpDSVEuTllTRTpHSVMuSVFfUkVWRU5VRV9FU1QuMTAwMDIuLi4uVVNELkgBAAAAGzEEAAIAAAAKMTc4MDMuMzY0NQEOAAAABQAAAAIxMQEAAAABMAIAAAAHMTMyNjMyMAMAAAAGMTAwMTgwBAAAAAEyBgAAAAEwBwAAAAMxNjAIAAAAATAJAAAAATEKAAAA</t>
  </si>
  <si>
    <t>ATALAAAACzE0NzA0ODczNjk2DAAAAAE3DQAAAAkzLzI5LzIwMjYQAAAACTMvMjgvMjAyNjkuV3NEjd4IhOQUfESN3ggqQ0lRLk5ZU0U6R0lTLklRX1JFVkVOVUVfRVNULjEwMDAxLi4uLlVTRC5IAQAAABsxBAACAAAACjE4MjQ5LjQ1NTQBDgAAAAUAAAACMTEBAAAAATACAAAABzM4NzAwNDcDAAAABjEwMDE4MAQAAAABMgYAAAABMAcAAAADMTYwCAAAAAEwCQAAAAExCgAAAAEwCwAAAAsxNDcwNjExNjI5NAwAAAABNw0AAAAJMy8yOS8yMDI2EAAAAAkzLzI4LzIwMjY5LldzRI3eCITkFHxEjd4IKUNJUS5OWVNFOkdJUy5JUV9FQklUREFfRVNULjEwMDAyLi4uLlVTRC5IAQAAABsxBAACAAAACTMyNDEuODQ3OQEOAAAABQAAAAIxMQEAAAABMAIAAAAHMTMyNjMyMAMAAAAGMTAwMTg3BAAAAAEyBgAAAAEwBwAAAAMxNjAIAAAAATAJAAAAATEKAAAAATALAAAACzE0NzA0NjkyMTY2DAAAAAE3DQAAAAkzLzI5LzIwMjYQAAAACTMvMjgvMjAyNjkuV3NEjd4Igb0UfESN3ggpQ0lRLk5ZU0U6R0lTLklRX0VCSVREQV9FU1QuMTAwMDEuLi4uVVNELkgBAAAAGzEEAAIAAAAJMzI1NC41MTM3AQ4AAAAFAAAAAjExAQAAAAEwAgAAAAczODcwMDQ3AwAAAAYxMDAxODcEAAAAATIGAAAAATAHAAAAAzE2MAgAAAABMAkAAAABMQoAAAABMAsAAAALMTQ3MDQ2OTIwNzMMAAAAATcNAAAACTMvMjkvMjAyNhAAAAAJMy8yOC8yMDI2</t>
  </si>
  <si>
    <t>OS5Xc0SN3giBvRR8RI3eCCZDSVEuTllTRTpHSVMuSVFfRVBTX0VTVC4xMDAwMi4uLi5VU0QuSAEAAAAbMQQAAgAAAAYzLjQwMjYBDgAAAAUAAAACMTEBAAAABzI2MTQ2NjYCAAAABzEzMjYzMjADAAAABjEwMDE3MwQAAAABMgYAAAABMAcAAAADMTYwCAAAAAEwCQAAAAExCgAAAAEwCwAAAAsxNDcwOTgxNTUzMwwAAAABNw0AAAAJMy8yOS8yMDI2EAAAAAkzLzI4LzIwMjY5LldzRI3eCIG9FHxEjd4IJkNJUS5OWVNFOkdJUy5JUV9FUFNfRVNULjEwMDAxLi4uLlVTRC5IAQAAABsxBAACAAAABjMuMzUyOQEOAAAABQAAAAIxMQEAAAAHMjYxNDY2NgIAAAAHMzg3MDA0NwMAAAAGMTAwMTczBAAAAAEyBgAAAAEwBwAAAAMxNjAIAAAAATAJAAAAATEKAAAAATALAAAACzE0NzA0ODczNzMyDAAAAAE3DQAAAAkzLzI5LzIwMjYQAAAACTMvMjgvMjAyNjkuV3NEjd4Igb0UfESN3ggqQ0lRLk5ZU0U6TUtDLklRX1JFVkVOVUVfRVNULjEwMDAyLi4uLlVTRC5IAQAAALjDAgACAAAACjgxNTMuNDU4OTEBDgAAAAUAAAACMTEBAAAAATACAAAACjEwMDQ4MDE4NTYDAAAABjEwMDE4MAQAAAABMgYAAAABMAcAAAADMTYwCAAAAAEwCQAAAAExCgAAAAEwCwAAAAsxNDcxMDY1NzM3OAwAAAABNw0AAAAJMy8yOS8yMDI2EAAAAAkzLzI4LzIwMjY5LldzRI3eCGyWFHxEjd4IKkNJUS5OWVNFOk1LQy5JUV9SRVZFTlVFX0VTVC4xMDAw</t>
  </si>
  <si>
    <t>MS4uLi5VU0QuSAEAAAC4wwIAAgAAAAo3ODQxLjc3OTYxAQ4AAAAFAAAAAjExAQAAAAEwAgAAAAoxMDA0ODAxODUxAwAAAAYxMDAxODAEAAAAATIGAAAAATAHAAAAAzE2MAgAAAABMAkAAAABMQoAAAABMAsAAAALMTQ3MTA2NTc0MDIMAAAAATcNAAAACTMvMjkvMjAyNhAAAAAJMy8yOC8yMDI2OS5Xc0SN3ghslhR8RI3eCClDSVEuTllTRTpNS0MuSVFfRUJJVERBX0VTVC4xMDAwMi4uLi5VU0QuSAEAAAC4wwIAAgAAAAoxNjM3LjI2MjI0AQ4AAAAFAAAAAjExAQAAAAEwAgAAAAoxMDA0ODAxODU2AwAAAAYxMDAxODcEAAAAATIGAAAAATAHAAAAAzE2MAgAAAABMAkAAAABMQoAAAABMAsAAAALMTQ3MTA2NTczMDYMAAAAATcNAAAACTMvMjkvMjAyNhAAAAAJMy8yOC8yMDI2OS5Xc0SN3ghslhR8RI3eCClDSVEuTllTRTpNS0MuSVFfRUJJVERBX0VTVC4xMDAwMS4uLi5VU0QuSAEAAAC4wwIAAgAAAAoxNTMzLjI1MzU4AQ4AAAAFAAAAAjExAQAAAAEwAgAAAAoxMDA0ODAxODUxAwAAAAYxMDAxODcEAAAAATIGAAAAATAHAAAAAzE2MAgAAAABMAkAAAABMQoAAAABMAsAAAALMTQ3MTA2NTczMTgMAAAAATcNAAAACTMvMjkvMjAyNhAAAAAJMy8yOC8yMDI2OS5Xc0SN3ghslhR8RI3eCCZDSVEuTllTRTpNS0MuSVFfRVBTX0VTVC4xMDAwMi4uLi5VU0QuSAEAAAC4wwIAAgAAAAczLjM0OTMzAQ4AAAAFAAAAAjExAQAA</t>
  </si>
  <si>
    <t>AAcyNjI5MDYyAgAAAAoxMDA0ODAxODU2AwAAAAYxMDAxNzMEAAAAATIGAAAAATAHAAAAAzE2MAgAAAABMAkAAAABMQoAAAABMAsAAAALMTQ3MDk2MjY2MDQMAAAAATcNAAAACTMvMjkvMjAyNhAAAAAJMy8yOC8yMDI2OS5Xc0SN3ghslhR8RI3eCCZDSVEuTllTRTpNS0MuSVFfRVBTX0VTVC4xMDAwMS4uLi5VU0QuSAEAAAC4wwIAAgAAAAczLjA5MDU3AQ4AAAAFAAAAAjExAQAAAAcyNjI5MDYyAgAAAAoxMDA0ODAxODUxAwAAAAYxMDAxNzMEAAAAATIGAAAAATAHAAAAAzE2MAgAAAABMAkAAAABMQoAAAABMAsAAAALMTQ3MDk2NzAyNDEMAAAAATcNAAAACTMvMjkvMjAyNhAAAAAJMy8yOC8yMDI2OS5Xc0SN3ghslhR8RI3eCC1DSVEuU1pTRTozMDA3NjEuSVFfUkVWRU5VRV9FU1QuMTAwMDIuLi4uVVNELkgBAAAA7+/HEwIAAAAQMjkzMy43ODU4ODgzNjU1MgEOAAAABQAAAAIxMQEAAAABMAIAAAAKMTAwNDc2Mzg2MwMAAAAGMTAwMTgwBAAAAAIyNwYAAAABMAcAAAADMTYwCAAAAAEwCQAAAAExCgAAAAEwCwAAAAsxNDYzMDE2NjQ4NgwAAAABNw0AAAAJMy8yOS8yMDI2EAAAAAkzLzI4LzIwMjY5LldzRI3eCENvFHxEjd4ILUNJUS5TWlNFOjMwMDc2MS5JUV9SRVZFTlVFX0VTVC4xMDAwMS4uLi5VU0QuSAEAAADv78cTAgAAABAyNTYzLjY3MDk5NDA1NTEyAQ4AAAAFAAAAAjExAQAAAAEwAgAAAAoxMDA0NzYz</t>
  </si>
  <si>
    <t>ODYyAwAAAAYxMDAxODAEAAAAAjI3BgAAAAEwBwAAAAMxNjAIAAAAATAJAAAAATEKAAAAATALAAAACzE0NjMwMTY2NDk4DAAAAAE3DQAAAAkzLzI5LzIwMjYQAAAACjEyLzMxLzIwMjU5LldzRI3eCENvFHxEjd4IKUNJUS5TWlNFOjMwMDc2MS5JUV9FUFNfRVNULjEwMDAxLi4uLlVTRC5IAQAAAO/vxxMCAAAADzAuMTAwMzg4ODgyNDgzMgEOAAAABQAAAAIxMQEAAAAJNTU3ODU1NTI4AgAAAAoxMDA0NzYzODYyAwAAAAYxMDAyNzgEAAAAAjI3BgAAAAEwBwAAAAMxNjAIAAAAATAJAAAAATEKAAAAATALAAAACzE0NjMwMTY2NjAwDAAAAAE3DQAAAAkzLzI5LzIwMjYQAAAACjEyLzMxLzIwMjU5LldzRI3eCDVIFHxEjd4ILENJUS5TWlNFOjMwMDc2MS5JUV9FQklUREFfRVNULjEwMDAyLi4uLlVTRC5IAQAAAO/vxxMCAAAAEDM1Ny4zMjEwMDI3ODcxMTUBDgAAAAUAAAACMTEBAAAAATACAAAACjEwMDQ3NjM4NjMDAAAABjEwMDE4NwQAAAACMjcGAAAAATAHAAAAAzE2MAgAAAABMAkAAAABMQoAAAABMAsAAAALMTQ2MzAxNjY0NjIMAAAAATcNAAAACTMvMjkvMjAyNhAAAAAJMy8yOC8yMDI2OS5Xc0SN3ghDbxR8RI3eCCxDSVEuU1pTRTozMDA3NjEuSVFfRUJJVERBX0VTVC4xMDAwMS4uLi5VU0QuSAEAAADv78cTAgAAABAyODUuNjQxNjQwMzA4OTczAQ4AAAAFAAAAAjExAQAAAAEwAgAAAAoxMDA0NzYzODYyAwAA</t>
  </si>
  <si>
    <t>AAYxMDAxODcEAAAAAjI3BgAAAAEwBwAAAAMxNjAIAAAAATAJAAAAATEKAAAAATALAAAACzE0NjMwMTY2NDQ0DAAAAAE3DQAAAAkzLzI5LzIwMjYQAAAACjEyLzMxLzIwMjU5LldzRI3eCENvFHxEjd4IKUNJUS5TWlNFOjMwMDc2MS5JUV9FUFNfRVNULjEwMDAyLi4uLlVTRC5IAQAAAO/vxxMCAAAADTAuMjY5MDk3MjIyMzYBDgAAAAUAAAACMTEBAAAACTU1Nzg1NTUyOAIAAAAKMTAwNDc2Mzg2MwMAAAAGMTAwMjc4BAAAAAIyNwYAAAABMAcAAAADMTYwCAAAAAEwCQAAAAExCgAAAAEwCwAAAAsxNDYzMDE2NjU4MgwAAAABNw0AAAAJMy8yOS8yMDI2EAAAAAkzLzI4LzIwMjY5LldzRI3eCDVIFHxEjd4ILkNJUS5OQVNEQVFHUzpNRExaLklRX0VCSVREQV9FU1QuMTAwMDEuLi4uVVNELkgBAAAAbUkLAAIAAAAKNjc0NS41NTI0NgEOAAAABQAAAAIxMQEAAAABMAIAAAAKMTAwMTQ0NDk0OQMAAAAGMTAwMTg3BAAAAAEyBgAAAAEwBwAAAAMxNjAIAAAAATAJAAAAATEKAAAAATALAAAACzE0NzA5NDQwMTc4DAAAAAE3DQAAAAkzLzI5LzIwMjYQAAAACTMvMjgvMjAyNjkuV3NEjd4I8yAUfESN3ggvQ0lRLk5BU0RBUUdTOk1ETFouSVFfUkVWRU5VRV9FU1QuMTAwMDIuLi4uVVNELkgBAAAAbUkLAAIAAAAKNDA5MzAuMjg2NwEOAAAABQAAAAIxMQEAAAABMAIAAAAKMTAwMTQ0NDk1MAMAAAAGMTAwMTgwBAAAAAEyBgAA</t>
  </si>
  <si>
    <t>AAEwBwAAAAMxNjAIAAAAATAJAAAAATEKAAAAATALAAAACzE0NzA5NDQ5NDgzDAAAAAE3DQAAAAkzLzI5LzIwMjYQAAAACTMvMjgvMjAyNjkuV3NEjd4INUgUfESN3ggvQ0lRLk5BU0RBUUdTOk1ETFouSVFfUkVWRU5VRV9FU1QuMTAwMDEuLi4uVVNELkgBAAAAbUkLAAIAAAALMzk2ODcuNzc4MDEBDgAAAAUAAAACMTEBAAAAATACAAAACjEwMDE0NDQ5NDkDAAAABjEwMDE4MAQAAAABMgYAAAABMAcAAAADMTYwCAAAAAEwCQAAAAExCgAAAAEwCwAAAAsxNDcwOTQ1NjA4OQwAAAABNw0AAAAJMy8yOS8yMDI2EAAAAAkzLzI4LzIwMjY5LldzRI3eCDVIFHxEjd4IK0NJUS5OQVNEQVFHUzpNRExaLklRX0VQU19FU1QuMTAwMDIuLi4uVVNELkgBAAAAbUkLAAIAAAAHMy4zNzk3NwEOAAAABQAAAAIxMQEAAAAHMjYyNDMzNgIAAAAKMTAwMTQ0NDk1MAMAAAAGMTAwMTczBAAAAAEyBgAAAAEwBwAAAAMxNjAIAAAAATAJAAAAATEKAAAAATALAAAACzE0NzA5NDM5NDIyDAAAAAE3DQAAAAkzLzI5LzIwMjYQAAAACTMvMjgvMjAyNjkuV3NEjd4I8yAUfESN3ggrQ0lRLk5BU0RBUUdTOk1ETFouSVFfRVBTX0VTVC4xMDAwMS4uLi5VU0QuSAEAAABtSQsAAgAAAAczLjAzMzc2AQ4AAAAFAAAAAjExAQAAAAcyNjI0MzM2AgAAAAoxMDAxNDQ0OTQ5AwAAAAYxMDAxNzMEAAAAATIGAAAAATAHAAAAAzE2MAgAAAABMAkAAAABMQoA</t>
  </si>
  <si>
    <t>AAABMAsAAAALMTQ3MDk0MzgzMTQMAAAAATcNAAAACTMvMjkvMjAyNhAAAAAJMy8yOC8yMDI2OS5Xc0SN3gjzIBR8RI3eCC5DSVEuTkFTREFRR1M6TURMWi5JUV9FQklUREFfRVNULjEwMDAyLi4uLlVTRC5IAQAAAG1JCwACAAAACTcyNzYuNzIzMgEOAAAABQAAAAIxMQEAAAABMAIAAAAKMTAwMTQ0NDk1MAMAAAAGMTAwMTg3BAAAAAEyBgAAAAEwBwAAAAMxNjAIAAAAATAJAAAAATEKAAAAATALAAAACzE0NzA5NDM5OTc5DAAAAAE3DQAAAAkzLzI5LzIwMjYQAAAACTMvMjgvMjAyNjkuV3NEjd4I8yAUfESN3ggrQ0lRLk5ZU0U6UE9TVC5JUV9SRVZFTlVFX0VTVC4xMDAwMi4uLi5VU0QuSAEAAACPvWYIAgAAAAk4MzkyLjc4NTcBDgAAAAUAAAACMTEBAAAAATACAAAABzM5MDg2MTADAAAABjEwMDE4MAQAAAABMgYAAAABMAcAAAADMTYwCAAAAAEwCQAAAAExCgAAAAEwCwAAAAsxNDY4ODg2NTA4MQwAAAABNw0AAAAJMy8yOS8yMDI2EAAAAAkzLzI4LzIwMjY5LldzRI3eCOiAFXxEjd4IK0NJUS5OWVNFOlBPU1QuSVFfUkVWRU5VRV9FU1QuMTAwMDEuLi4uVVNELkgBAAAAj71mCAIAAAAJODMyNS4yMTY3AQ4AAAAFAAAAAjExAQAAAAEwAgAAAAcyNjI4Nzg2AwAAAAYxMDAxODAEAAAAATIGAAAAATAHAAAAAzE2MAgAAAABMAkAAAABMQoAAAABMAsAAAALMTQ2ODg4NjUwNzcMAAAAATcNAAAACTMvMjkvMjAyNhAA</t>
  </si>
  <si>
    <t>AAAJMy8yOC8yMDI2OS5Xc0SN3gjogBV8RI3eCCdDSVEuTllTRTpQT1NULklRX0VQU19FU1QuMTAwMDEuLi4uVVNELkgBAAAAj71mCAIAAAAGNy40Mzk4AQ4AAAAFAAAAAjExAQAAAAkxNTQxNDg5ODcCAAAABzI2Mjg3ODYDAAAABjEwMDE3MwQAAAABMgYAAAABMAcAAAADMTYwCAAAAAEwCQAAAAExCgAAAAEwCwAAAAsxNDY1Mzg4NDI2NQwAAAABNw0AAAAJMy8yOS8yMDI2EAAAAAkzLzI4LzIwMjY5LldzRI3eCLtZFXxEjd4IKkNJUS5OWVNFOlBPU1QuSVFfRUJJVERBX0VTVC4xMDAwMi4uLi5VU0QuSAEAAACPvWYIAgAAAAgxNTg2LjQ3NQEOAAAABQAAAAIxMQEAAAABMAIAAAAHMzkwODYxMAMAAAAGMTAwMTg3BAAAAAEyBgAAAAEwBwAAAAMxNjAIAAAAATAJAAAAATEKAAAAATALAAAACzE0NjUzMTk4NzQzDAAAAAE3DQAAAAkzLzI5LzIwMjYQAAAACTMvMjgvMjAyNjkuV3NEjd4I6IAVfESN3ggqQ0lRLk5ZU0U6UE9TVC5JUV9FQklUREFfRVNULjEwMDAxLi4uLlVTRC5IAQAAAI+9ZggCAAAACTE1NDkuODA4MwEOAAAABQAAAAIxMQEAAAABMAIAAAAHMjYyODc4NgMAAAAGMTAwMTg3BAAAAAEyBgAAAAEwBwAAAAMxNjAIAAAAATAJAAAAATEKAAAAATALAAAACzE0NjUzMTk4MzE3DAAAAAE3DQAAAAkzLzI5LzIwMjYQAAAACTMvMjgvMjAyNjkuV3NEjd4I6IAVfESN3ggnQ0lRLk5ZU0U6UE9TVC5JUV9FUFNf</t>
  </si>
  <si>
    <t>RVNULjEwMDAyLi4uLlVTRC5IAQAAAI+9ZggCAAAABjguNjA0MgEOAAAABQAAAAIxMQEAAAAJMTU0MTQ4OTg3AgAAAAczOTA4NjEwAwAAAAYxMDAxNzMEAAAAATIGAAAAATAHAAAAAzE2MAgAAAABMAkAAAABMQoAAAABMAsAAAALMTQ2NTM4ODQyNjkMAAAAATcNAAAACTMvMjkvMjAyNhAAAAAJMy8yOC8yMDI2OS5Xc0SN3gi7WRV8RI3eCCpDSVEuTkFTREFRR1M6S0hDLklRX0VQU19FU1QuMTAwMDEuLi4uVVNELkgBAAAAxD4EAAIAAAAGMi4wMzUxAQ4AAAAFAAAAAjExAQAAAAkzMDU3NTU2ODMCAAAACjEwMDM5NzE5NDgDAAAABjEwMDE3MwQAAAABMgYAAAABMAcAAAADMTYwCAAAAAEwCQAAAAExCgAAAAEwCwAAAAsxNDcwOTY0Mzc4OQwAAAABNw0AAAAJMy8yOS8yMDI2EAAAAAkzLzI4LzIwMjY5LldzRI3eCLkyFXxEjd4IKkNJUS5OQVNEQVFHUzpLSEMuSVFfRVBTX0VTVC4xMDAwMi4uLi5VU0QuSAEAAADEPgQAAgAAAAcyLjE0MTUxAQ4AAAAFAAAAAjExAQAAAAkzMDU3NTU2ODMCAAAACjEwMDQyNjc1MTkDAAAABjEwMDE3MwQAAAABMgYAAAABMAcAAAADMTYwCAAAAAEwCQAAAAExCgAAAAEwCwAAAAsxNDcwOTcwODk3NAwAAAABNw0AAAAJMy8yOS8yMDI2EAAAAAkzLzI4LzIwMjY5LldzRI3eCLkyFXxEjd4ILkNJUS5OQVNEQVFHUzpLSEMuSVFfUkVWRU5VRV9FU1QuMTAwMDIuLi4uVVNELkgBAAAAxD4E</t>
  </si>
  <si>
    <t>AAIAAAALMjQ2MTcuNzA1MjgBDgAAAAUAAAACMTEBAAAAATACAAAACjEwMDQyNjc1MTkDAAAABjEwMDE4MAQAAAABMgYAAAABMAcAAAADMTYwCAAAAAEwCQAAAAExCgAAAAEwCwAAAAsxNDcwOTY2OTg2MwwAAAABNw0AAAAJMy8yOS8yMDI2EAAAAAkzLzI4LzIwMjY5LldzRI3eCLkyFXxEjd4ILUNJUS5OQVNEQVFHUzpLSEMuSVFfRUJJVERBX0VTVC4xMDAwMS4uLi5VU0QuSAEAAADEPgQAAgAAAAo1MDIyLjQ2NTcyAQ4AAAAFAAAAAjExAQAAAAEwAgAAAAoxMDAzOTcxOTQ4AwAAAAYxMDAxODcEAAAAATIGAAAAATAHAAAAAzE2MAgAAAABMAkAAAABMQoAAAABMAsAAAALMTQ3MDk2NzIwMzAMAAAAATcNAAAACTMvMjkvMjAyNhAAAAAJMy8yOC8yMDI2OS5Xc0SN3gi5MhV8RI3eCC1DSVEuTkFTREFRR1M6S0hDLklRX0VCSVREQV9FU1QuMTAwMDIuLi4uVVNELkgBAAAAxD4EAAIAAAAKNTE1Ni4wNjExMgEOAAAABQAAAAIxMQEAAAABMAIAAAAKMTAwNDI2NzUxOQMAAAAGMTAwMTg3BAAAAAEyBgAAAAEwBwAAAAMxNjAIAAAAATAJAAAAATEKAAAAATALAAAACzE0NzA5NjcxMjAzDAAAAAE3DQAAAAkzLzI5LzIwMjYQAAAACTMvMjgvMjAyNjkuV3NEjd4IuTIVfESN3gguQ0lRLk5BU0RBUUdTOktIQy5JUV9SRVZFTlVFX0VTVC4xMDAwMS4uLi5VU0QuSAEAAADEPgQAAgAAAAsyNDQ2MS42ODE0OQEOAAAABQAAAAIx</t>
  </si>
  <si>
    <t>MQEAAAABMAIAAAAKMTAwMzk3MTk0OAMAAAAGMTAwMTgwBAAAAAEyBgAAAAEwBwAAAAMxNjAIAAAAATAJAAAAATEKAAAAATALAAAACzE0NzA5NjY4MzExDAAAAAE3DQAAAAkzLzI5LzIwMjYQAAAACTMvMjgvMjAyNjkuV3NEjd4Iu1kVfESN3ggqQ0lRLk5ZU0U6SFJMLklRX1JFVkVOVUVfRVNULjEwMDAxLi4uLlVTRC5IAQAAAAJCBAACAAAACTEyMzEyLjkwNwEOAAAABQAAAAIxMQEAAAABMAIAAAAHMzg2MzAyMgMAAAAGMTAwMTgwBAAAAAEyBgAAAAEwBwAAAAMxNjAIAAAAATAJAAAAATEKAAAAATALAAAACzE0NjgyMzk4NjUyDAAAAAE3DQAAAAkzLzI5LzIwMjYQAAAACTMvMjgvMjAyNjkuV3NEjd4IpQsVfESN3ggpQ0lRLk5ZU0U6SFJMLklRX0VCSVREQV9FU1QuMTAwMDIuLi4uVVNELkgBAAAAAkIEAAIAAAAJMTQzMi45NTEzAQ4AAAAFAAAAAjExAQAAAAEwAgAAAAc0MjU4NzgzAwAAAAYxMDAxODcEAAAAATIGAAAAATAHAAAAAzE2MAgAAAABMAkAAAABMQoAAAABMAsAAAALMTQ2ODU2MjQ5NjQMAAAAATcNAAAACTMvMjkvMjAyNhAAAAAJMy8yOC8yMDI2OS5Xc0SN3gilCxV8RI3eCClDSVEuTllTRTpIUkwuSVFfRUJJVERBX0VTVC4xMDAwMS4uLi5VU0QuSAEAAAACQgQAAgAAAAkxMzk4LjExMzYBDgAAAAUAAAACMTEBAAAAATACAAAABzM4NjMwMjIDAAAABjEwMDE4NwQAAAABMgYAAAABMAcAAAADMTYw</t>
  </si>
  <si>
    <t>CAAAAAEwCQAAAAExCgAAAAEwCwAAAAsxNDY4MjM5NzQzNwwAAAABNw0AAAAJMy8yOS8yMDI2EAAAAAkzLzI4LzIwMjY5LldzRI3eCKULFXxEjd4IKkNJUS5OWVNFOkhSTC5JUV9SRVZFTlVFX0VTVC4xMDAwMi4uLi5VU0QuSAEAAAACQgQAAgAAAAoxMjYwNi4wNjA3AQ4AAAAFAAAAAjExAQAAAAEwAgAAAAc0MjU4NzgzAwAAAAYxMDAxODAEAAAAATIGAAAAATAHAAAAAzE2MAgAAAABMAkAAAABMQoAAAABMAsAAAALMTQ2ODU2MjQ5NjAMAAAAATcNAAAACTMvMjkvMjAyNhAAAAAJMy8yOC8yMDI2OS5Xc0SN3gilCxV8RI3eCCZDSVEuTllTRTpIUkwuSVFfRVBTX0VTVC4xMDAwMi4uLi5VU0QuSAEAAAACQgQAAgAAAAYxLjYwNjEBDgAAAAUAAAACMTEBAAAABzI2MTkwMzQCAAAABzQyNTg3ODMDAAAABjEwMDE3MwQAAAABMgYAAAABMAcAAAADMTYwCAAAAAEwCQAAAAExCgAAAAEwCwAAAAsxNDcwNzU2NzAwOAwAAAABNw0AAAAJMy8yOS8yMDI2EAAAAAkzLzI4LzIwMjY5LldzRI3eCITkFHxEjd4IJkNJUS5OWVNFOkhSTC5JUV9FUFNfRVNULjEwMDAxLi4uLlVTRC5IAQAAAAJCBAACAAAABjEuNTE2MwEOAAAABQAAAAIxMQEAAAAHMjYxOTAzNAIAAAAHMzg2MzAyMgMAAAAGMTAwMTczBAAAAAEyBgAAAAEwBwAAAAMxNjAIAAAAATAJAAAAATEKAAAAATALAAAACzE0NjgyMzk4NjYwDAAAAAE3DQAAAAkzLzI5LzIw</t>
  </si>
  <si>
    <t>MjYQAAAACTMvMjgvMjAyNjkuV3NEjd4IhOQUfESN3ggvQ0lRLk5BU0RBUUdNOlZJVEwuSVFfUkVWRU5VRV9FU1QuMTAwMDIuLi4uVVNELkgBAAAAkezPDQIAAAAKMTA1OS43MzI2NAEOAAAABQAAAAIxMQEAAAABMAIAAAAKMTAwNDc2OTA2NQMAAAAGMTAwMTgwBAAAAAEyBgAAAAEwBwAAAAMxNjAIAAAAATAJAAAAATEKAAAAATALAAAACzE0NzEyNDg2MTQ0DAAAAAE3DQAAAAkzLzI5LzIwMjYQAAAACTMvMjgvMjAyNjkuV3NEjd4I3rsVfESN3ggvQ0lRLk5BU0RBUUdNOlZJVEwuSVFfUkVWRU5VRV9FU1QuMTAwMDEuLi4uVVNELkgBAAAAkezPDQIAAAAJODk4LjI3NzQ1AQ4AAAAFAAAAAjExAQAAAAEwAgAAAAoxMDA0NzY5MDY0AwAAAAYxMDAxODAEAAAAATIGAAAAATAHAAAAAzE2MAgAAAABMAkAAAABMQoAAAABMAsAAAALMTQ3MTI0ODYxNTAMAAAAATcNAAAACTMvMjkvMjAyNhAAAAAJMy8yOC8yMDI2OS5Xc0SN3gjeuxV8RI3eCC5DSVEuTkFTREFRR006VklUTC5JUV9FQklUREFfRVNULjEwMDAyLi4uLlVTRC5IAQAAAJHszw0CAAAACDEyNC41MTk1AQ4AAAAFAAAAAjExAQAAAAEwAgAAAAoxMDA0NzY5MDY1AwAAAAYxMDAxODcEAAAAATIGAAAAATAHAAAAAzE2MAgAAAABMAkAAAABMQoAAAABMAsAAAALMTQ3MTI0ODYwNzcMAAAAATcNAAAACTMvMjkvMjAyNhAAAAAJMy8yOC8yMDI2OS5Xc0SN3ggZqBV8</t>
  </si>
  <si>
    <t>RI3eCC5DSVEuTkFTREFRR006VklUTC5JUV9FQklUREFfRVNULjEwMDAxLi4uLlVTRC5IAQAAAJHszw0CAAAACDEwMS43NTM2AQ4AAAAFAAAAAjExAQAAAAEwAgAAAAoxMDA0NzY5MDY0AwAAAAYxMDAxODcEAAAAATIGAAAAATAHAAAAAzE2MAgAAAABMAkAAAABMQoAAAABMAsAAAALMTQ3MTI0ODYwODMMAAAAATcNAAAACTMvMjkvMjAyNhAAAAAJMy8yOC8yMDI2OS5Xc0SN3ggZqBV8RI3eCCtDSVEuTkFTREFRR006VklUTC5JUV9FUFNfRVNULjEwMDAyLi4uLlVTRC5IAQAAAJHszw0CAAAABzEuNDQyMjIBDgAAAAUAAAACMTEBAAAACTY3Njc2MTcyNQIAAAAKMTAwNDc2OTA2NQMAAAAGMTAwMTczBAAAAAEyBgAAAAEwBwAAAAMxNjAIAAAAATAJAAAAATEKAAAAATALAAAACzE0NzEyNDg2MjY0DAAAAAE3DQAAAAkzLzI5LzIwMjYQAAAACTMvMjgvMjAyNjkuV3NEjd4IGagVfESN3ggrQ0lRLk5BU0RBUUdNOlZJVEwuSVFfRVBTX0VTVC4xMDAwMS4uLi5VU0QuSAEAAACR7M8NAgAAAAcxLjE2NTU2AQ4AAAAFAAAAAjExAQAAAAk2NzY3NjE3MjUCAAAACjEwMDQ3NjkwNjQDAAAABjEwMDE3MwQAAAABMgYAAAABMAcAAAADMTYwCAAAAAEwCQAAAAExCgAAAAEwCwAAAAsxNDcxMjQ4NjI3MAwAAAABNw0AAAAJMy8yOS8yMDI2EAAAAAkzLzI4LzIwMjY5LldzRI3eCBmoFXxEjd4IGkNJUS5OWVNFOkdJUy5JUV9QVEJW</t>
  </si>
  <si>
    <t>LjIwMDAuAQAAABsxBAADAAAAAk5NAQcAAAAFAAAAATEBAAAACy0xOTAwOTk5NTI1AwAAAAEwAgAAAAYxMDAwNjgEAAAAATAHAAAACTMvMjcvMjAyNggAAAAJMy8yNy8yMDI2OS5Xc0SN3giDfXp8RI3eCB1DSVEuTllTRTpHSVMuSVFfUEVfRVhDTC4yMDAwLgEAAAAbMQQAAgAAABA4Ljk1MzA0NjI0NjM1MjQ2AQcAAAAFAAAAATEBAAAACy0xOTAwOTk5NTI1AwAAAAEwAgAAAAYxMDAwNjYEAAAAATAHAAAACTMvMjcvMjAyNggAAAAJMy8yNy8yMDI2OS5Xc0SN3ginpHp8RI3eCBlDSVEuTllTRTpHSVMuSVFfUEJWLjIwMDAuAQAAABsxBAACAAAAEDIuMDgyMDY1ODM4ODYzMTgBBwAAAAUAAAABMQEAAAALLTE5MDA5OTk1MjUDAAAAATACAAAABjEwMDA2NwQAAAABMAcAAAAJMy8yNy8yMDI2CAAAAAkzLzI3LzIwMjY5LldzRI3eCIN9enxEjd4II0NJUS5OWVNFOkdJUy5JUV9URVZfVE9UQUxfUkVWLjIwMDAuAQAAABsxBAACAAAAEDEuNzc3MTYxMDEyNjc3NDUBBwAAAAUAAAABMQEAAAALLTE5MDA5OTk1MjUDAAAAATACAAAABjEwMDA2MQQAAAABMAcAAAAJMy8yNy8yMDI2CAAAAAkzLzI3LzIwMjY5LldzRI3eCKekenxEjd4IIENJUS5OWVNFOkdJUy5JUV9URVZfRUJJVERBLjIwMDAuAQAAABsxBAACAAAAEDkuNDkzNjI2MTY5MjY0MzIBBwAAAAUAAAABMQEAAAALLTE5MDA5OTk1MjUDAAAAATACAAAABjEwMDA2</t>
  </si>
  <si>
    <t>MwQAAAABMAcAAAAJMy8yNy8yMDI2CAAAAAkzLzI3LzIwMjY5LldzRI3eCKekenxEjd4IGUNJUS5OWVNFOk1LQy5JUV9QQlYuMjAwMC4BAAAAuMMCAAIAAAAQMi40ODMwNDUxNTc1NDcyNwEHAAAABQAAAAExAQAAAAstMTkwOTMzMDI5NQMAAAABMAIAAAAGMTAwMDY3BAAAAAEwBwAAAAkzLzI3LzIwMjYIAAAACTMvMjcvMjAyNjkuV3NEjd4II6l5fESN3ggaQ0lRLk5ZU0U6TUtDLklRX1BUQlYuMjAwMC4BAAAAuMMCAAMAAAACTk0BBwAAAAUAAAABMQEAAAALLTE5MDkzMzAyOTUDAAAAATACAAAABjEwMDA2OAQAAAABMAcAAAAJMy8yNy8yMDI2CAAAAAkzLzI3LzIwMjY5LldzRI3eCCOpeXxEjd4IIENJUS5OWVNFOk1LQy5JUV9URVZfRUJJVERBLjIwMDAuAQAAALjDAgACAAAAEDEyLjY0ODIwMTA4MTQ2MzkBBwAAAAUAAAABMQEAAAALLTE5MDkzMzAyOTUDAAAAATACAAAABjEwMDA2MwQAAAABMAcAAAAJMy8yNy8yMDI2CAAAAAkzLzI3LzIwMjY5LldzRI3eCCjQeXxEjd4IHUNJUS5OWVNFOk1LQy5JUV9QRV9FWENMLjIwMDAuAQAAALjDAgACAAAAEDE4LjExMjYyNzk4NjM0ODEBBwAAAAUAAAABMQEAAAALLTE5MDkzMzAyOTUDAAAAATACAAAABjEwMDA2NgQAAAABMAcAAAAJMy8yNy8yMDI2CAAAAAkzLzI3LzIwMjY5LldzRI3eCCjQeXxEjd4II0NJUS5OWVNFOk1LQy5JUV9URVZfVE9UQUxfUkVWLjIwMDAu</t>
  </si>
  <si>
    <t>AQAAALjDAgACAAAAEDIuNjkwMzk4NDU4MTg2MDQBBwAAAAUAAAABMQEAAAALLTE5MDkzMzAyOTUDAAAAATACAAAABjEwMDA2MQQAAAABMAcAAAAJMy8yNy8yMDI2CAAAAAkzLzI3LzIwMjY5LldzRI3eCCjQeXxEjd4IHENJUS5TWlNFOjMwMDc2MS5JUV9QQlYuMjAwMC4BAAAA7+/HEwIAAAAQMS45MDA1OTI0MjQwMzYxOQEHAAAABQAAAAExAQAAAAstMTkyMDU1MDM1MwMAAAABMAIAAAAGMTAwMDY3BAAAAAEwBwAAAAkzLzI3LzIwMjYIAAAACTMvMjcvMjAyNjkuV3NEjd4IFiB5fESN3ggdQ0lRLlNaU0U6MzAwNzYxLklRX1BUQlYuMjAwMC4BAAAA7+/HEwIAAAAQMS45ODEwNTAwNTEzNjk4OAEHAAAABQAAAAExAQAAAAstMTkyMDU1MDM1MwMAAAABMAIAAAAGMTAwMDY4BAAAAAEwBwAAAAkzLzI3LzIwMjYIAAAACTMvMjcvMjAyNjkuV3NEjd4IFiB5fESN3gggQ0lRLlNaU0U6MzAwNzYxLklRX1BFX0VYQ0wuMjAwMC4BAAAA7+/HEwIAAAAQMjYuMjcwNTAwMTY2MTk1OQEHAAAABQAAAAExAQAAAAstMTkyMDU1MDM1MwMAAAABMAIAAAAGMTAwMDY2BAAAAAEwBwAAAAkzLzI3LzIwMjYIAAAACTMvMjcvMjAyNjkuV3NEjd4IFiB5fESN3ggmQ0lRLlNaU0U6MzAwNzYxLklRX1RFVl9UT1RBTF9SRVYuMjAwMC4BAAAA7+/HEwIAAAAQMS4wNDA1MzU3NDU0NzQ1NAEHAAAABQAAAAExAQAAAAstMTkyMDU1MDM1MwMA</t>
  </si>
  <si>
    <t>AAABMAIAAAAGMTAwMDYxBAAAAAEwBwAAAAkzLzI3LzIwMjYIAAAACTMvMjcvMjAyNjkuV3NEjd4IIkd5fESN3ggjQ0lRLlNaU0U6MzAwNzYxLklRX1RFVl9FQklUREEuMjAwMC4BAAAA7+/HEwIAAAAQMTAuOTYwMjk3MzUzOTIxOAEHAAAABQAAAAExAQAAAAstMTkyMDU1MDM1MwMAAAABMAIAAAAGMTAwMDYzBAAAAAEwBwAAAAkzLzI3LzIwMjYIAAAACTMvMjcvMjAyNjkuV3NEjd4IIkd5fESN3ggiQ0lRLk5BU0RBUUdTOk1ETFouSVFfUEVfRVhDTC4yMDAwLgEAAABtSQsAAgAAABAzMC44MzA2ODc4MzA2ODc4AQcAAAAFAAAAATEBAAAACy0xOTA3NjgwNTU1AwAAAAEwAgAAAAYxMDAwNjYEAAAAATAHAAAACTMvMjcvMjAyNggAAAAJMy8yNy8yMDI2OS5Xc0SN3ghPpXh8RI3eCB5DSVEuTkFTREFRR1M6TURMWi5JUV9QQlYuMjAwMC4BAAAAbUkLAAIAAAAQMi44OTAyMTgyODAxNzY3OAEHAAAABQAAAAExAQAAAAstMTkwNzY4MDU1NQMAAAABMAIAAAAGMTAwMDY3BAAAAAEwBwAAAAkzLzI3LzIwMjYIAAAACTMvMjcvMjAyNjkuV3NEjd4IRH54fESN3ggfQ0lRLk5BU0RBUUdTOk1ETFouSVFfUFRCVi4yMDAwLgEAAABtSQsAAwAAAAJOTQEHAAAABQAAAAExAQAAAAstMTkwNzY4MDU1NQMAAAABMAIAAAAGMTAwMDY4BAAAAAEwBwAAAAkzLzI3LzIwMjYIAAAACTMvMjcvMjAyNjkuV3NEjd4IRH54fESN3gglQ0lR</t>
  </si>
  <si>
    <t>Lk5BU0RBUUdTOk1ETFouSVFfVEVWX0VCSVREQS4yMDAwLgEAAABtSQsAAgAAABAxNi4xOTEyMjY4Mjg1OTEyAQcAAAAFAAAAATEBAAAACy0xOTA3NjgwNTU1AwAAAAEwAgAAAAYxMDAwNjMEAAAAATAHAAAACTMvMjcvMjAyNggAAAAJMy8yNy8yMDI2OS5Xc0SN3ghPpXh8RI3eCChDSVEuTkFTREFRR1M6TURMWi5JUV9URVZfVE9UQUxfUkVWLjIwMDAuAQAAAG1JCwACAAAADzIuNDU0NTAyMDkyMzQzMgEHAAAABQAAAAExAQAAAAstMTkwNzY4MDU1NQMAAAABMAIAAAAGMTAwMDYxBAAAAAEwBwAAAAkzLzI3LzIwMjYIAAAACTMvMjcvMjAyNjkuV3NEjd4IT6V4fESN3ggaQ0lRLk5ZU0U6UE9TVC5JUV9QQlYuMjAwMC4BAAAAj71mCAIAAAAQMS4zMjc1MDcyMDg5MDUxMwEHAAAABQAAAAExAQAAAAstMTkwNzgwMDA1NAMAAAABMAIAAAAGMTAwMDY3BAAAAAEwBwAAAAkzLzI3LzIwMjYIAAAACTMvMjcvMjAyNjkuV3NEjd4IBFR3fESN3ggbQ0lRLk5ZU0U6UE9TVC5JUV9QVEJWLjIwMDAuAQAAAI+9ZggDAAAAAk5NAQcAAAAFAAAAATEBAAAACy0xOTA3ODAwMDU0AwAAAAEwAgAAAAYxMDAwNjgEAAAAATAHAAAACTMvMjcvMjAyNggAAAAJMy8yNy8yMDI2OS5Xc0SN3ggEVHd8RI3eCB5DSVEuTllTRTpQT1NULklRX1BFX0VYQ0wuMjAwMC4BAAAAj71mCAIAAAAQMTcuNzI4MTI4MzE1MzQwNgEHAAAABQAAAAExAQAA</t>
  </si>
  <si>
    <t>AAstMTkwNzgwMDA1NAMAAAABMAIAAAAGMTAwMDY2BAAAAAEwBwAAAAkzLzI3LzIwMjYIAAAACTMvMjcvMjAyNjkuV3NEjd4IBFR3fESN3ggkQ0lRLk5ZU0U6UE9TVC5JUV9URVZfVE9UQUxfUkVWLjIwMDAuAQAAAI+9ZggCAAAAEDEuNDA4MzEyNzI1MzI5MDMBBwAAAAUAAAABMQEAAAALLTE5MDc4MDAwNTQDAAAAATACAAAABjEwMDA2MQQAAAABMAcAAAAJMy8yNy8yMDI2CAAAAAkzLzI3LzIwMjY5LldzRI3eCPlnd3xEjd4IIUNJUS5OWVNFOlBPU1QuSVFfVEVWX0VCSVREQS4yMDAwLgEAAACPvWYIAgAAABA3Ljc2NTgzNjA4NzgxNDIxAQcAAAAFAAAAATEBAAAACy0xOTA3ODAwMDU0AwAAAAEwAgAAAAYxMDAwNjMEAAAAATAHAAAACTMvMjcvMjAyNggAAAAJMy8yNy8yMDI2OS5Xc0SN3gj5Z3d8RI3eCCRDSVEuTkFTREFRR1M6S0hDLklRX1RFVl9FQklUREEuMjAwMC4BAAAAxD4EAAIAAAAQNy4wODE5NDU3MTA3MzAzOAEHAAAABQAAAAExAQAAAAstMTkwNjk0MDI5OQMAAAABMAIAAAAGMTAwMDYzBAAAAAEwBwAAAAkzLzI3LzIwMjYIAAAACTMvMjcvMjAyNjkuV3NEjd4IJ4V2fESN3ggnQ0lRLk5BU0RBUUdTOktIQy5JUV9URVZfVE9UQUxfUkVWLjIwMDAuAQAAAMQ+BAACAAAADzEuNzc2NTkxMDYzNzQ5NQEHAAAABQAAAAExAQAAAAstMTkwNjk0MDI5OQMAAAABMAIAAAAGMTAwMDYxBAAAAAEwBwAAAAkz</t>
  </si>
  <si>
    <t>LzI3LzIwMjYIAAAACTMvMjcvMjAyNjkuV3NEjd4IEqx2fESN3gghQ0lRLk5BU0RBUUdTOktIQy5JUV9QRV9FWENMLjIwMDAuAQAAAMQ+BAADAAAAAk5NAQcAAAAFAAAAATEBAAAACy0xOTA2OTQwMjk5AwAAAAEwAgAAAAYxMDAwNjYEAAAAATAHAAAACTMvMjcvMjAyNggAAAAJMy8yNy8yMDI2OS5Xc0SN3ggnhXZ8RI3eCB5DSVEuTkFTREFRR1M6S0hDLklRX1BUQlYuMjAwMC4BAAAAxD4EAAMAAAACTk0BBwAAAAUAAAABMQEAAAALLTE5MDY5NDAyOTkDAAAAATACAAAABjEwMDA2OAQAAAABMAcAAAAJMy8yNy8yMDI2CAAAAAkzLzI3LzIwMjY5LldzRI3eCCeFdnxEjd4IHUNJUS5OQVNEQVFHUzpLSEMuSVFfUEJWLjIwMDAuAQAAAMQ+BAACAAAAETAuNjI2MzI4NzI4NDA1NzYxAQcAAAAFAAAAATEBAAAACy0xOTA2OTQwMjk5AwAAAAEwAgAAAAYxMDAwNjcEAAAAATAHAAAACTMvMjcvMjAyNggAAAAJMy8yNy8yMDI2OS5Xc0SN3ggnhXZ8RI3eCBlDSVEuTllTRTpIUkwuSVFfUEJWLjIwMDAuAQAAAAJCBAACAAAADzEuNTk4OTY1MTI5MjUyOAEHAAAABQAAAAExAQAAAAstMTkwNDgwMzUzNAMAAAABMAIAAAAGMTAwMDY3BAAAAAEwBwAAAAkzLzI3LzIwMjYIAAAACTMvMjcvMjAyNjkuV3NEjd4I6+h1fESN3ggaQ0lRLk5ZU0U6SFJMLklRX1BUQlYuMjAwMC4BAAAAAkIEAAIAAAAQOC42ODMwMTU3Mjc2NjI2OQEH</t>
  </si>
  <si>
    <t>AAAABQAAAAExAQAAAAstMTkwNDgwMzUzNAMAAAABMAIAAAAGMTAwMDY4BAAAAAEwBwAAAAkzLzI3LzIwMjYIAAAACTMvMjcvMjAyNjkuV3NEjd4I6+h1fESN3ggdQ0lRLk5ZU0U6SFJMLklRX1BFX0VYQ0wuMjAwMC4BAAAAAkIEAAIAAAAQMjUuOTQ1MTY1MzkzNDAwNQEHAAAABQAAAAExAQAAAAstMTkwNDgwMzUzNAMAAAABMAIAAAAGMTAwMDY2BAAAAAEwBwAAAAkzLzI3LzIwMjYIAAAACTMvMjcvMjAyNjkuV3NEjd4I6+h1fESN3ggjQ0lRLk5ZU0U6SFJMLklRX1RFVl9UT1RBTF9SRVYuMjAwMC4BAAAAAkIEAAIAAAAQMS4yMDc2MTI0NjcxMjg3NwEHAAAABQAAAAExAQAAAAstMTkwNDgwMzUzNAMAAAABMAIAAAAGMTAwMDYxBAAAAAEwBwAAAAkzLzI3LzIwMjYIAAAACTMvMjcvMjAyNjkuV3NEjd4I6+h1fESN3gggQ0lRLk5ZU0U6SFJMLklRX1RFVl9FQklUREEuMjAwMC4BAAAAAkIEAAIAAAAQOS43MTk3NjU3NzE2OTY5MgEHAAAABQAAAAExAQAAAAstMTkwNDgwMzUzNAMAAAABMAIAAAAGMTAwMDYzBAAAAAEwBwAAAAkzLzI3LzIwMjYIAAAACTMvMjcvMjAyNjkuV3NEjd4I6+h1fESN3ggoQ0lRLk5BU0RBUUdNOlZJVEwuSVFfVEVWX1RPVEFMX1JFVi4yMDAwLgEAAACR7M8NAgAAABEwLjY5NjI2NDkyODY4NDY2OQEHAAAABQAAAAExAQAAAAstMTkwNDk2MjcxOQMAAAABMAIAAAAGMTAwMDYxBAAAAAEw</t>
  </si>
  <si>
    <t>BwAAAAkzLzI3LzIwMjYIAAAACTMvMjcvMjAyNjkuV3NEjd4ICAl4fESN3ggiQ0lRLk5BU0RBUUdNOlZJVEwuSVFfUEVfRVhDTC4yMDAwLgEAAACR7M8NAgAAABA5LjEyNTAwNjMzNjgwOTk2AQcAAAAFAAAAATEBAAAACy0xOTA0OTYyNzE5AwAAAAEwAgAAAAYxMDAwNjYEAAAAATAHAAAACTMvMjcvMjAyNggAAAAJMy8yNy8yMDI2OS5Xc0SN3gj64Xd8RI3eCCVDSVEuTkFTREFRR006VklUTC5JUV9URVZfRUJJVERBLjIwMDAuAQAAAJHszw0CAAAAEDEuMzU0MjA2MjkyMTkyOTYBBwAAAAUAAAABMQEAAAALLTE5MDQ5NjI3MTkDAAAAATACAAAABjEwMDA2MwQAAAABMAcAAAAJMy8yNy8yMDI2CAAAAAkzLzI3LzIwMjY5LldzRI3eCAgJeHxEjd4IH0NJUS5OQVNEQVFHTTpWSVRMLklRX1BUQlYuMjAwMC4BAAAAkezPDQIAAAAQMS42OTQzODk0MDQ3Mjc3MwEHAAAABQAAAAExAQAAAAstMTkwNDk2MjcxOQMAAAABMAIAAAAGMTAwMDY4BAAAAAEwBwAAAAkzLzI3LzIwMjYIAAAACTMvMjcvMjAyNjkuV3NEjd4I+uF3fESN3ggeQ0lRLk5BU0RBUUdNOlZJVEwuSVFfUEJWLjIwMDAuAQAAAJHszw0CAAAAEDEuNjc1Nzc5MzAxMTQxMzcBBwAAAAUAAAABMQEAAAALLTE5MDQ5NjI3MTkDAAAAATACAAAABjEwMDA2NwQAAAABMAcAAAAJMy8yNy8yMDI2CAAAAAkzLzI3LzIwMjY5LldzRI3eCPrhd3xEjd4INUNJUUFWRy5O</t>
  </si>
  <si>
    <t>QVNEQVE6Q0FMTS5JUV9QVEJWLjIwMDAuMzAvMDgvMjAyNS4yOS8xMS8yMDI1AQAAACB6BQACAAAAEDEuODA2MjM4NjczNTY3NDEAOS5Xc0SN3gimy3p8RI3eCDhDSVFBVkcuTkFTREFROkNBTE0uSVFfUEVfRVhDTC4yMDAwLjMwLzA4LzIwMjUuMjkvMTEvMjAyNQEAAAAgegUAAgAAABAzLjY5NjkyNDk3MDkyNTQ4ADkuV3NEjd4Ipst6fESN3gg0Q0lRQVZHLk5BU0RBUTpDQUxNLklRX1BCVi4yMDAwLjMwLzA4LzIwMjUuMjkvMTEvMjAyNQEAAAAgegUAAgAAABAxLjczNzAzOTQ5NTA5Mjc5ADkuV3NEjd4Ipst6fESN3gg5Q0lRQVZHLk5BU0RBUTpDQUxNLklRX1RFVl9FQklULjIwMDAuMzAvMDgvMjAyNS4yOS8xMS8yMDI1AQAAACB6BQACAAAAEDIuMDcyMDY3MjM0NzAxNjUAOS5Xc0SN3gimy3p8RI3eCD5DSVFBVkcuTkFTREFROkNBTE0uSVFfVEVWX1RPVEFMX1JFVi4yMDAwLjMwLzA4LzIwMjUuMjkvMTEvMjAyNQEAAAAgegUAAgAAABEwLjc1OTIxMzE4MTI4ODkxOQA5LldzRI3eCK7yenxEjd4IO0NJUUFWRy5OQVNEQVE6Q0FMTS5JUV9URVZfRUJJVERBLjIwMDAuMzAvMDgvMjAyNS4yOS8xMS8yMDI1AQAAACB6BQACAAAAEDEuOTUxMTU5MjQ5MzUxOTIAOS5Xc0SN3gimy3p8RI3eCDRDSVFBVkcuTkFTREFROkNBTE0uSVFfUEJWLjIwMDAuMzEvMDUvMjAxNC4zMC8wNS8yMDE1AQAAACB6BQACAAAAEDMu</t>
  </si>
  <si>
    <t>MTYxMTQ4ODc1OTA5MTUAOS5Xc0SN3gimy3p8RI3eCDVDSVFBVkcuTkFTREFROkNBTE0uSVFfUFRCVi4yMDAwLjMxLzA1LzIwMTQuMzAvMDUvMjAxNQEAAAAgegUAAgAAABAzLjM3MDE1NjcxODM4MTk0ADkuV3NEjd4Ipst6fESN3gg4Q0lRQVZHLk5BU0RBUTpDQUxNLklRX1BFX0VYQ0wuMjAwMC4zMS8wNS8yMDE0LjMwLzA1LzIwMTUBAAAAIHoFAAIAAAAQMTYuNjYxNjcwMjE0MDAyMgA5LldzRI3eCKbLenxEjd4IO0NJUUFWRy5OQVNEQVE6Q0FMTS5JUV9URVZfRUJJVERBLjIwMDAuMzEvMDUvMjAxNC4zMC8wNS8yMDE1AQAAACB6BQACAAAAEDguNDc5NzI0OTk0MDE0MzgAOS5Xc0SN3gimy3p8RI3eCDlDSVFBVkcuTkFTREFROkNBTE0uSVFfVEVWX0VCSVQuMjAwMC4zMS8wNS8yMDE0LjMwLzA1LzIwMTUBAAAAIHoFAAIAAAAQMTAuMzg1OTQwNzE4NzkxNwA5LldzRI3eCKbLenxEjd4IPkNJUUFWRy5OQVNEQVE6Q0FMTS5JUV9URVZfVE9UQUxfUkVWLjIwMDAuMzEvMDUvMjAxNC4zMC8wNS8yMDE1AQAAACB6BQACAAAAEDEuMjI0MTA3OTM1ODAyMDkAOS5Xc0SN3gimy3p8RI3eCDVDSVFBVkcuTkFTREFROkNBTE0uSVFfUFRCVi4yMDAwLjMwLzA1LzIwMTUuMjgvMDUvMjAxNgEAAAAgegUAAgAAABAzLjM2NjM3MzYxMzc5Nzk3ADkuV3NEjd4Ip6R6fESN3gg5Q0lRQVZHLk5BU0RBUTpDQUxNLklRX1RFVl9F</t>
  </si>
  <si>
    <t>QklULjIwMDAuMzAvMDUvMjAxNS4yOC8wNS8yMDE2AQAAACB6BQACAAAAEDYuNDM0MDYyOTg5ODI0NjUAOS5Xc0SN3gimy3p8RI3eCDhDSVFBVkcuTkFTREFROkNBTE0uSVFfUEVfRVhDTC4yMDAwLjMwLzA1LzIwMTUuMjgvMDUvMjAxNgEAAAAgegUAAgAAAA8xMC43NzMxNDgyOTcwNTMAOS5Xc0SN3gimy3p8RI3eCDRDSVFBVkcuTkFTREFROkNBTE0uSVFfUEJWLjIwMDAuMzAvMDUvMjAxNS4yOC8wNS8yMDE2AQAAACB6BQACAAAAEDMuMjEwNTgzNzA3ODk4MTMAOS5Xc0SN3ginpHp8RI3eCDtDSVFBVkcuTkFTREFROkNBTE0uSVFfVEVWX0VCSVREQS4yMDAwLjMwLzA1LzIwMTUuMjgvMDUvMjAxNgEAAAAgegUAAgAAABA1LjY3MjA0NDc0NTkyMjM1ADkuV3NEjd4Ipst6fESN3gg+Q0lRQVZHLk5BU0RBUTpDQUxNLklRX1RFVl9UT1RBTF9SRVYuMjAwMC4zMC8wNS8yMDE1LjI4LzA1LzIwMTYBAAAAIHoFAAIAAAAQMS4yNTQzMTkwMjczMzY1NgA5LldzRI3eCKbLenxEjd4IPkNJUUFWRy5OQVNEQVE6Q0FMTS5JUV9URVZfVE9UQUxfUkVWLjIwMDAuMjgvMDUvMjAxNi4wMy8wNi8yMDE3AQAAACB6BQACAAAAEDEuMTg3MzU4NTY3MDI3NDEAOS5Xc0SN3ghbaZt+RI3eCDVDSVFBVkcuTkFTREFROkNBTE0uSVFfUFRCVi4yMDAwLjI4LzA1LzIwMTYuMDMvMDYvMjAxNwEAAAAgegUAAgAAABAyLjM1MDkzMTgwNTkw</t>
  </si>
  <si>
    <t>NTE5ADkuV3NEjd4Ir0GbfkSN3gg7Q0lRQVZHLk5BU0RBUTpDQUxNLklRX1RFVl9FQklUREEuMjAwMC4yOC8wNS8yMDE2LjAzLzA2LzIwMTcBAAAAIHoFAAIAAAAQMTUuMjU0OTc2ODk2NTg1NgA5LldzRI3eCK9Bm35Ejd4IOUNJUUFWRy5OQVNEQVE6Q0FMTS5JUV9URVZfRUJJVC4yMDAwLjI4LzA1LzIwMTYuMDMvMDYvMjAxNwEAAAAgegUAAgAAABA1LjM5Mzk1NzUyMTIyMDQxADkuV3NEjd4Ir0GbfkSN3gg4Q0lRQVZHLk5BU0RBUTpDQUxNLklRX1BFX0VYQ0wuMjAwMC4yOC8wNS8yMDE2LjAzLzA2LzIwMTcBAAAAIHoFAAIAAAAQNzAuMjE0ODcwODg5OTMzNAA5LldzRI3eCK9Bm35Ejd4INENJUUFWRy5OQVNEQVE6Q0FMTS5JUV9QQlYuMjAwMC4yOC8wNS8yMDE2LjAzLzA2LzIwMTcBAAAAIHoFAAIAAAAQMi4yMjU5MjYxNTYxMDI5NgA5LldzRI3eCK9Bm35Ejd4INUNJUUFWRy5OQVNEQVE6Q0FMTS5JUV9QVEJWLjIwMDAuMDMvMDYvMjAxNy4wMi8wNi8yMDE4AQAAACB6BQACAAAAEDIuNjU4MjgyNTk4Mjk4NzkAOS5Xc0SN3ghbaZt+RI3eCDRDSVFBVkcuTkFTREFROkNBTE0uSVFfUEJWLjIwMDAuMDMvMDYvMjAxNy4wMi8wNi8yMDE4AQAAACB6BQACAAAAEDIuNDU2MTgxNDM4NjI4MTIAOS5Xc0SN3ghbaZt+RI3eCDhDSVFBVkcuTkFTREFROkNBTE0uSVFfUEVfRVhDTC4yMDAwLjAzLzA2LzIwMTcuMDIv</t>
  </si>
  <si>
    <t>MDYvMjAxOAEAAAAgegUAAgAAABA3OC4yOTgzNTM1OTk4NDMzADkuV3NEjd4IW2mbfkSN3gg5Q0lRQVZHLk5BU0RBUTpDQUxNLklRX1RFVl9FQklULjIwMDAuMDMvMDYvMjAxNy4wMi8wNi8yMDE4AQAAACB6BQACAAAAEDM1LjQ3Nzc1NzE3ODUyNzgAOS5Xc0SN3ghbaZt+RI3eCD5DSVFBVkcuTkFTREFROkNBTE0uSVFfVEVWX1RPVEFMX1JFVi4yMDAwLjAzLzA2LzIwMTcuMDIvMDYvMjAxOAEAAAAgegUAAgAAABAxLjYzNTQzNTU1MDYxMDA5ADkuV3NEjd4IW2mbfkSN3gg7Q0lRQVZHLk5BU0RBUTpDQUxNLklRX1RFVl9FQklUREEuMjAwMC4wMy8wNi8yMDE3LjAyLzA2LzIwMTgBAAAAIHoFAAIAAAAQNDUuOTM3ODQzOTQ1NzgwNgA5LldzRI3eCFtpm35Ejd4INUNJUUFWRy5OQVNEQVE6Q0FMTS5JUV9QVEJWLjIwMDAuMDIvMDYvMjAxOC4wMS8wNi8yMDE5AQAAACB6BQACAAAAEDIuNDU5OTc4MjUwMzk0ODIAOS5Xc0SN3ghbaZt+RI3eCDRDSVFBVkcuTkFTREFROkNBTE0uSVFfUEJWLjIwMDAuMDIvMDYvMjAxOC4wMS8wNi8yMDE5AQAAACB6BQACAAAAEDIuMzAyODg1OTg5MTA1NDIAOS5Xc0SN3ghbaZt+RI3eCDhDSVFBVkcuTkFTREFROkNBTE0uSVFfUEVfRVhDTC4yMDAwLjAyLzA2LzIwMTguMDEvMDYvMjAxOQEAAAAgegUAAgAAABAyMy4wMzk4NTc2MjM5MDM3ADkuV3NEjd4IW2mbfkSN3gg7Q0lRQVZH</t>
  </si>
  <si>
    <t>Lk5BU0RBUTpDQUxNLklRX1RFVl9FQklUREEuMjAwMC4wMi8wNi8yMDE4LjAxLzA2LzIwMTkBAAAAIHoFAAIAAAAQOC44MzQ0NTU4MDA1ODI5MQA5LldzRI3eCGuQm35Ejd4IPkNJUUFWRy5OQVNEQVE6Q0FMTS5JUV9URVZfVE9UQUxfUkVWLjIwMDAuMDIvMDYvMjAxOC4wMS8wNi8yMDE5AQAAACB6BQACAAAAEDEuMjU3NjUxODE3OTA4OTYAOS5Xc0SN3ghrkJt+RI3eCDlDSVFBVkcuTkFTREFROkNBTE0uSVFfVEVWX0VCSVQuMjAwMC4wMi8wNi8yMDE4LjAxLzA2LzIwMTkBAAAAIHoFAAIAAAAQMTIuOTAxODUzMTA5MDU0OQA5LldzRI3eCGuQm35Ejd4INUNJUUFWRy5OQVNEQVE6Q0FMTS5JUV9QVEJWLjIwMDAuMDEvMDYvMjAxOS4zMC8wNS8yMDIwAQAAACB6BQACAAAAEDIuMjA0OTQ3OTQ4NTM5NzcAOS5Xc0SN3ghrkJt+RI3eCDRDSVFBVkcuTkFTREFROkNBTE0uSVFfUEJWLjIwMDAuMDEvMDYvMjAxOS4zMC8wNS8yMDIwAQAAACB6BQACAAAAEDIuMDY4Mzk4MTQ3ODQ3ODEAOS5Xc0SN3ghrkJt+RI3eCDlDSVFBVkcuTkFTREFROkNBTE0uSVFfVEVWX0VCSVQuMjAwMC4wMS8wNi8yMDE5LjMwLzA1LzIwMjABAAAAIHoFAAIAAAAQMjMuMDYzNzE5NDYzNjU5MQA5LldzRI3eCGuQm35Ejd4IO0NJUUFWRy5OQVNEQVE6Q0FMTS5JUV9URVZfRUJJVERBLjIwMDAuMDEvMDYvMjAxOS4zMC8wNS8yMDIwAQAAACB6</t>
  </si>
  <si>
    <t>BQACAAAAEDI5Ljg1OTkzMTc2MDEwNDMAOS5Xc0SN3ghrkJt+RI3eCD5DSVFBVkcuTkFTREFROkNBTE0uSVFfVEVWX1RPVEFMX1JFVi4yMDAwLjAxLzA2LzIwMTkuMzAvMDUvMjAyMAEAAAAgegUAAgAAABAxLjM3MzI5NjU1ODA4NDcyADkuV3NEjd4Ia5CbfkSN3gg4Q0lRQVZHLk5BU0RBUTpDQUxNLklRX1BFX0VYQ0wuMjAwMC4wMS8wNi8yMDE5LjMwLzA1LzIwMjABAAAAIHoFAAIAAAAQMjcuNTkzNTkzMzYxOTMxMQA5LldzRI3eCGuQm35Ejd4INUNJUUFWRy5OQVNEQVE6Q0FMTS5JUV9QVEJWLjIwMDAuMzAvMDUvMjAyMC4yOS8wNS8yMDIxAQAAACB6BQACAAAAEDIuMDgwNjEzMDcxNTQzNDEAOS5Xc0SN3ghrkJt+RI3eCDhDSVFBVkcuTkFTREFROkNBTE0uSVFfUEVfRVhDTC4yMDAwLjMwLzA1LzIwMjAuMjkvMDUvMjAyMQEAAAAgegUAAgAAABA1MC45ODcxNjA0MTYzMTY1ADkuV3NEjd4IJrebfkSN3gg5Q0lRQVZHLk5BU0RBUTpDQUxNLklRX1RFVl9FQklULjIwMDAuMzAvMDUvMjAyMC4yOS8wNS8yMDIxAQAAACB6BQACAAAAEDg0LjE1NzczODU2NzE0ODgAOS5Xc0SN3ggmt5t+RI3eCDtDSVFBVkcuTkFTREFROkNBTE0uSVFfVEVWX0VCSVREQS4yMDAwLjMwLzA1LzIwMjAuMjkvMDUvMjAyMQEAAAAgegUAAgAAABAxNi44MTY2NjE4MzY0NDIyADkuV3NEjd4IJrebfkSN3gg+Q0lRQVZHLk5BU0RBUTpD</t>
  </si>
  <si>
    <t>QUxNLklRX1RFVl9UT1RBTF9SRVYuMjAwMC4zMC8wNS8yMDIwLjI5LzA1LzIwMjEBAAAAIHoFAAIAAAAQMS4yODg5MzAwMTQwNDM1NgA5LldzRI3eCCa3m35Ejd4INENJUUFWRy5OQVNEQVE6Q0FMTS5JUV9QQlYuMjAwMC4zMC8wNS8yMDIwLjI5LzA1LzIwMjEBAAAAIHoFAAIAAAAPMS45NTg4NzY5MDM0MDE1ADkuV3NEjd4Ia5CbfkSN3gg0Q0lRQVZHLk5BU0RBUTpDQUxNLklRX1BCVi4yMDAwLjI5LzA1LzIwMjEuMjgvMDUvMjAyMgEAAAAgegUAAgAAABAxLjk2MTgzMDI1NzYzNTQ1ADkuV3NEjd4IJrebfkSN3gg4Q0lRQVZHLk5BU0RBUTpDQUxNLklRX1BFX0VYQ0wuMjAwMC4yOS8wNS8yMDIxLjI4LzA1LzIwMjIBAAAAIHoFAAIAAAAQOTEuNjc3MDY5NTM0MDc0NQA5LldzRI3eCCa3m35Ejd4IOUNJUUFWRy5OQVNEQVE6Q0FMTS5JUV9URVZfRUJJVC4yMDAwLjI5LzA1LzIwMjEuMjgvMDUvMjAyMgEAAAAgegUAAgAAABAyMy44MTI1MzkyMDQ4NzQyADkuV3NEjd4IJrebfkSN3gg7Q0lRQVZHLk5BU0RBUTpDQUxNLklRX1RFVl9FQklUREEuMjAwMC4yOS8wNS8yMDIxLjI4LzA1LzIwMjIBAAAAIHoFAAIAAAAQNjEuODMxOTMyNTk3NDg0MQA5LldzRI3eCCa3m35Ejd4INUNJUUFWRy5OQVNEQVE6Q0FMTS5JUV9QVEJWLjIwMDAuMjkvMDUvMjAyMS4yOC8wNS8yMDIyAQAAACB6BQACAAAAEDIuMDg4ODc3ODI5</t>
  </si>
  <si>
    <t>NDU4ODIAOS5Xc0SN3ggmt5t+RI3eCD5DSVFBVkcuTkFTREFROkNBTE0uSVFfVEVWX1RPVEFMX1JFVi4yMDAwLjI5LzA1LzIwMjEuMjgvMDUvMjAyMgEAAAAgegUAAgAAABAxLjMwMTg2NzY5Njc3Mzc0ADkuV3NEjd4IJrebfkSN3gg1Q0lRQVZHLk5BU0RBUTpDQUxNLklRX1BUQlYuMjAwMC4yOC8wNS8yMDIyLjAzLzA2LzIwMjMBAAAAIHoFAAIAAAAQMi4yODgzNzg1ODQ5MDgyNQAjVldzRI3eCCa3m35Ejd4INENJUUFWRy5OQVNEQVE6Q0FMTS5JUV9QQlYuMjAwMC4yOC8wNS8yMDIyLjAzLzA2LzIwMjMBAAAAIHoFAAIAAAAQMi4xNzE1MjgxNDIwNzIxOAAjVldzRI3eCDHem35Ejd4IOENJUUFWRy5OQVNEQVE6Q0FMTS5JUV9QRV9FWENMLjIwMDAuMjgvMDUvMjAyMi4wMy8wNi8yMDIzAQAAACB6BQACAAAAEDI1LjU1ODMwOTg4NzU3NTcAI1ZXc0SN3ggx3pt+RI3eCDlDSVFBVkcuTkFTREFROkNBTE0uSVFfVEVWX0VCSVQuMjAwMC4yOC8wNS8yMDIyLjAzLzA2LzIwMjMBAAAAIHoFAAIAAAAQNy41OTcxMzI1NTIwNzI3OAAjVldzRI3eCDHem35Ejd4IPkNJUUFWRy5OQVNEQVE6Q0FMTS5JUV9URVZfVE9UQUxfUkVWLjIwMDAuMjgvMDUvMjAyMi4wMy8wNi8yMDIzAQAAACB6BQACAAAAEDEuMTA4NjIwMzkyMjY0MzcAI1ZXc0SN3ggx3pt+RI3eCDtDSVFBVkcuTkFTREFROkNBTE0uSVFfVEVWX0VCSVREQS4y</t>
  </si>
  <si>
    <t>MDAwLjI4LzA1LzIwMjIuMDMvMDYvMjAyMwEAAAAgegUAAgAAABAxMC4yNTU3NzMwNzQyNTUyACNWV3NEjd4IMd6bfkSN3gg1Q0lRQVZHLk5BU0RBUTpDQUxNLklRX1BUQlYuMjAwMC4wMy8wNi8yMDIzLjAxLzA2LzIwMjQBAAAAIHoFAAIAAAAQMS42Mjg0ODY4MzcwMDE0NQAjVldzRI3eCDHem35Ejd4INENJUUFWRy5OQVNEQVE6Q0FMTS5JUV9QQlYuMjAwMC4wMy8wNi8yMDIzLjAxLzA2LzIwMjQBAAAAIHoFAAIAAAAQMS41NjczMTIyMTQ0MzgxMgAjVldzRI3eCDHem35Ejd4IOENJUUFWRy5OQVNEQVE6Q0FMTS5JUV9QRV9FWENMLjIwMDAuMDMvMDYvMjAyMy4wMS8wNi8yMDI0AQAAACB6BQACAAAAEDUuMjY4MDI0NjU3NzA0MzYAI1ZXc0SN3ggx3pt+RI3eCDtDSVFBVkcuTkFTREFROkNBTE0uSVFfVEVWX0VCSVREQS4yMDAwLjAzLzA2LzIwMjMuMDEvMDYvMjAyNAEAAAAgegUAAgAAAA8yLjgyMzA3OTQ0MjY1NDkAI1ZXc0SN3ggx3pt+RI3eCD5DSVFBVkcuTkFTREFROkNBTE0uSVFfVEVWX1RPVEFMX1JFVi4yMDAwLjAzLzA2LzIwMjMuMDEvMDYvMjAyNAEAAAAgegUAAgAAABEwLjY5Mjk3MTYyOTI5Mzg0OAAjVldzRI3eCDHem35Ejd4IOUNJUUFWRy5OQVNEQVE6Q0FMTS5JUV9URVZfRUJJVC4yMDAwLjAzLzA2LzIwMjMuMDEvMDYvMjAyNAEAAAAgegUAAgAAABAzLjI4NTUwNDA0NTQ3MTY3ACNWV3NE</t>
  </si>
  <si>
    <t>jd4IMd6bfkSN3gg1Q0lRQVZHLk5BU0RBUTpDQUxNLklRX1BUQlYuMjAwMC4wMS8wNi8yMDI0LjMxLzA1LzIwMjUBAAAAIHoFAAIAAAAQMi4yMTk5MDMzNjM3OTcxMQAjVldzRI3eCEAFnH5Ejd4INENJUUFWRy5OQVNEQVE6Q0FMTS5JUV9QQlYuMjAwMC4wMS8wNi8yMDI0LjMxLzA1LzIwMjUBAAAAIHoFAAIAAAAPMi4xNDkyOTI2NDQzMjQ0ACNWV3NEjd4IQAWcfkSN3gg4Q0lRQVZHLk5BU0RBUTpDQUxNLklRX1BFX0VYQ0wuMjAwMC4wMS8wNi8yMDI0LjMxLzA1LzIwMjUBAAAAIHoFAAIAAAAQOS40NDc2NTYxNjU2NjU4MwAjVldzRI3eCEAFnH5Ejd4IOUNJUUFWRy5OQVNEQVE6Q0FMTS5JUV9URVZfRUJJVC4yMDAwLjAxLzA2LzIwMjQuMzEvMDUvMjAyNQEAAAAgegUAAgAAABA2LjQzNjY3NTkzMTc3OTEzACNWV3NEjd4IQAWcfkSN3gg7Q0lRQVZHLk5BU0RBUTpDQUxNLklRX1RFVl9FQklUREEuMjAwMC4wMS8wNi8yMDI0LjMxLzA1LzIwMjUBAAAAIHoFAAIAAAAQNS40NDE0NTU2MjE3MTU1NAAjVldzRI3eCEAFnH5Ejd4IPkNJUUFWRy5OQVNEQVE6Q0FMTS5JUV9URVZfVE9UQUxfUkVWLjIwMDAuMDEvMDYvMjAyNC4zMS8wNS8yMDI1AQAAACB6BQACAAAAEDEuMjA5MzQ2MDgyODA4ODkAI1ZXc0SN3ghABZx+RI3eCCxDSVEuTkFTREFRR006VklUTC5JUV9QRV9FWENMLjIwMDAuMjgvMTIvMjAyNQEAAACR</t>
  </si>
  <si>
    <t>7M8NAgAAABAyNC4wMDc4ODcxMTY3NzYxAQcAAAAFAAAAATEBAAAACy0xOTE4NjAxOTA2AwAAAAEwAgAAAAYxMDAwNjYEAAAAATAHAAAACjEyLzI2LzIwMjUIAAAACjEyLzI2LzIwMjUH79tzRI3eCK7yenxEjd4IMkNJUS5OQVNEQVFHTTpWSVRMLklRX1RFVl9UT1RBTF9SRVYuMjAwMC4yOC8xMi8yMDI1AQAAAJHszw0CAAAAEDEuODcwOTkxODA4NDYyMzcBBwAAAAUAAAABMQEAAAALLTE5MTg2MDE5MDYDAAAAATACAAAABjEwMDA2MQQAAAABMAcAAAAKMTIvMjYvMjAyNQgAAAAKMTIvMjYvMjAyNQfv23NEjd4IrvJ6fESN3ggvQ0lRLk5BU0RBUUdNOlZJVEwuSVFfVEVWX0VCSVREQS4yMDAwLjI4LzEyLzIwMjUBAAAAkezPDQIAAAAQMy42OTE2MzUxOTMzOTIzNwEHAAAABQAAAAExAQAAAAstMTkxODYwMTkwNgMAAAABMAIAAAAGMTAwMDYzBAAAAAEwBwAAAAoxMi8yNi8yMDI1CAAAAAoxMi8yNi8yMDI1B+/bc0SN3giu8np8RI3eCDhDSVEuTkFTREFROkNBTE0uSVFfRElTVFJJQlVUQUJMRV9DQVNIX1BBWU9VVC4uMjkvMDMvMjAyNgEAAAAgegUAAwAAAAAAjDpZfUSN3giMOll9RI3eCC5DSVEuTkFTREFROkNBTE0uSVFfRUZGRUNUX1RBWF9SQVRFLi4yOS8wMy8yMDI2AQAAACB6BQACAAAABzIzLjk2ODEBCAAAAAUAAAABMQEAAAALLTE5MTA2Mjc4MzgDAAAAAzE2MAIAAAAENDM3NgQAAAABMAcAAAAJMy8y</t>
  </si>
  <si>
    <t>OS8yMDI2CAAAAAoxMS8yOS8yMDI1CQAAAAEwgs43fUSN3giCzjd9RI3eCCtDSVEuTkFTREFROkNBTE0uSVFfUEFZT1VUX1JBVElPLi4yOS8wMy8yMDI2AQAAACB6BQACAAAABzM2LjY4ODMBCAAAAAUAAAABMQEAAAALLTE5MTA2Mjc4MzgDAAAAAzE2MAIAAAAENDM3NwQAAAABMAcAAAAJMy8yOS8yMDI2CAAAAAoxMS8yOS8yMDI1CQAAAAEwgs43fUSN3giCzjd9RI3eCC5DSVEuTkFTREFROkNBTE0uSVFfRklMSU5HX0NVUlJFTkNZLi4yOS8wMy8yMDI2AQAAACB6BQADAAAAA1VTRACCzjd9RI3eCILON31Ejd4ILUNJUS5OQVNEQVE6Q0FMTS5JUV9SRVNUQVRFTUVOVF9JUy4uMjkvMDMvMjAyNgEAAAAgegUAAwAAAAFPAILON31Ejd4Igs43fUSN3ggrQ0lRLk5BU0RBUTpDQUxNLklRX0NBTENfVFlQRV9JUy4uMjkvMDMvMjAyNgEAAAAgegUAAwAAAANMVE0Ags43fUSN3giCzjd9RI3eCCZDSVEuTkFTREFROkNBTE0uSVFfR0FBUF9JUy4uMjkvMDMvMjAyNgEAAAAgegUAAwAAAAAAgs43fUSN3giCzjd9RI3eCC5DSVEuTkFTREFROkNBTE0uSVFfUEVSSU9ETEVOR1RIX0NGLi4yOS8wMy8yMDI2AQAAACB6BQABAAAAAjEyAILON31Ejd4Igs43fUSN3ggtQ0lRLk5BU0RBUTpDQUxNLklRX1JFU1RBVEVNRU5UX0NGLi4yOS8wMy8yMDI2AQAAACB6BQADAAAAAU8Ags43fUSN3giCzjd9RI3eCCtDSVEuTkFTREFROkNB</t>
  </si>
  <si>
    <t>TE0uSVFfQ0FMQ19UWVBFX0NGLi4yOS8wMy8yMDI2AQAAACB6BQADAAAAA0xUTQCCzjd9RI3eCILON31Ejd4IJkNJUS5OQVNEQVE6Q0FMTS5JUV9HQUFQX0NGLi4yOS8wMy8yMDI2AQAAACB6BQADAAAAAACCzjd9RI3eCILON31Ejd4IPENJUS5OQVNEQVE6Q0FMTS5JUV9UT1RBTF9PVVRTVEFORElOR19GSUxJTkdfREFURS4uMjkvMDMvMjAyNgEAAAAgegUAAgAAAAk0Ny42NTQwNDYBBAAAAAUAAAABNQEAAAALLTE5MTA2Mjc4MzgCAAAABTI0MTUzBgAAAAEwgs43fUSN3giCzjd9RI3eCDhDSVEuTkFTREFROkNBTE0uSVFfVE9UQUxfT1VUU1RBTkRJTkdfQlNfREFURS4uMjkvMDMvMjAyNgEAAAAgegUAAgAAAAY0Ny42NTQBBAAAAAUAAAABNQEAAAALLTE5MTA2Mjc4MzgCAAAABTI0MTUyBgAAAAEwgs43fUSN3giCzjd9RI3eCClDSVEuTkFTREFROkNBTE0uSVFfSU5WX01FVEhPRC4uMjkvMDMvMjAyNgEAAAAgegUAAwAAAAAAgs43fUSN3giCzjd9RI3eCChDSVEuTkFTREFROkNBTE0uSVFfRlVMTF9USU1FLi4yOS8wMy8yMDI2AQAAACB6BQADAAAAAACCzjd9RI3eCILON31Ejd4IKENJUS5OQVNEQVE6Q0FMTS5JUV9QQVJUX1RJTUUuLjI5LzAzLzIwMjYBAAAAIHoFAAMAAAAAAILON31Ejd4Igs43fUSN3gguQ0lRLk5BU0RBUTpDQUxNLklRX1RPVEFMX0VNUExPWUVFUy4uMjkvMDMvMjAyNgEAAAAgegUAAwAA</t>
  </si>
  <si>
    <t>AAAAgs43fUSN3giCzjd9RI3eCD5DSVEuTkFTREFROkNBTE0uSVFfRU1QTE9ZRUVTX1VOREVSX1VOSU9OX0NPTlRSQUNUUy4uMjkvMDMvMjAyNgEAAAAgegUAAwAAAAAAgs43fUSN3giCzjd9RI3eCCxDSVEuTkFTREFROkNBTE0uSVFfQVZHX0VNUExPWUVFUy4uMjkvMDMvMjAyNgEAAAAgegUAAwAAAAAAgs43fUSN3giCzjd9RI3eCDFDSVEuTkFTREFROkNBTE0uSVFfQVZHX1RFTVBfRU1QTE9ZRUVTLi4yOS8wMy8yMDI2AQAAACB6BQADAAAAAACCzjd9RI3eCILON31Ejd4IMENJUS5OQVNEQVE6Q0FMTS5JUV9OVU1CRVJfQURSSE9MREVSUy4uMjkvMDMvMjAyNgEAAAAgegUAAwAAAAAAgs43fUSN3giCzjd9RI3eCC1DSVEuTkFTREFROkNBTE0uSVFfQ09TVF9CT1JST1dJTkcuLjI5LzAzLzIwMjYBAAAAIHoFAAMAAAAAAILON31Ejd4Igs43fUSN3ggtQ0lRLk5BU0RBUTpDQUxNLklRX1JFU1RBVEVNRU5UX0JTLi4yOS8wMy8yMDI2AQAAACB6BQADAAAAAU8Ags43fUSN3giCzjd9RI3eCCtDSVEuTkFTREFROkNBTE0uSVFfQ0FMQ19UWVBFX0JTLi4yOS8wMy8yMDI2AQAAACB6BQADAAAAA1JFUACCzjd9RI3eCILON31Ejd4IJkNJUS5OQVNEQVE6Q0FMTS5JUV9HQUFQX0JTLi4yOS8wMy8yMDI2AQAAACB6BQADAAAAB1VTIEdBQVAAgs43fUSN3giCzjd9RI3eCCxDSVEuTkFTREFROkNBTE0uSVFfUkVUVVJOX0FT</t>
  </si>
  <si>
    <t>U0VUUy4uMjkvMDMvMjAyNgEAAAAgegUAAgAAAAczMi4zMDU5AQgAAAAFAAAAATEBAAAACy0xOTEwNjI3ODM4AwAAAAMxNjACAAAABDQxNzgEAAAAATAHAAAACTMvMjkvMjAyNggAAAAKMTEvMjkvMjAyNQkAAAABMF4AOH1Ejd4IXgA4fUSN3ggtQ0lRLk5BU0RBUTpDQUxNLklRX1JFVFVSTl9DQVBJVEFMLi4yOS8wMy8yMDI2AQAAACB6BQACAAAABzM4LjMyNTMBCAAAAAUAAAABMQEAAAALLTE5MTA2Mjc4MzgDAAAAAzE2MAIAAAAENDM2MwQAAAABMAcAAAAJMy8yOS8yMDI2CAAAAAoxMS8yOS8yMDI1CQAAAAEwXgA4fUSN3gheADh9RI3eCCxDSVEuTkFTREFROkNBTE0uSVFfUkVUVVJOX0VRVUlUWS4uMjkvMDMvMjAyNgEAAAAgegUAAgAAAAc0OC41MjYyAQgAAAAFAAAAATEBAAAACy0xOTEwNjI3ODM4AwAAAAMxNjACAAAABDQxMjgEAAAAATAHAAAACTMvMjkvMjAyNggAAAAKMTEvMjkvMjAyNQkAAAABMF4AOH1Ejd4IXgA4fUSN3ggzQ0lRLk5BU0RBUTpDQUxNLklRX1JFVFVSTl9DT01NT05fRVFVSVRZLi4yOS8wMy8yMDI2AQAAACB6BQACAAAABzQ4LjY4NjgBCAAAAAUAAAABMQEAAAALLTE5MTA2Mjc4MzgDAAAAAzE2MAIAAAAFMzMzMjAEAAAAATAHAAAACTMvMjkvMjAyNggAAAAKMTEvMjkvMjAyNQkAAAABMF4AOH1Ejd4IXgA4fUSN3ggrQ0lRLk5BU0RBUTpDQUxNLklRX0dST1NTX01BUkdJTi4uMjkv</t>
  </si>
  <si>
    <t>MDMvMjAyNgEAAAAgegUAAgAAAAc0MS45MjExAQgAAAAFAAAAATEBAAAACy0xOTEwNjI3ODM4AwAAAAMxNjACAAAABDQwNzQEAAAAATAHAAAACTMvMjkvMjAyNggAAAAKMTEvMjkvMjAyNQkAAAABMF4AOH1Ejd4IXgA4fUSN3ggsQ0lRLk5BU0RBUTpDQUxNLklRX0VCSVREQV9NQVJHSU4uLjI5LzAzLzIwMjYBAAAAIHoFAAIAAAAHMzcuMTIxOAEIAAAABQAAAAExAQAAAAstMTkxMDYyNzgzOAMAAAADMTYwAgAAAAQ0MDQ3BAAAAAEwBwAAAAkzLzI5LzIwMjYIAAAACjExLzI5LzIwMjUJAAAAATBeADh9RI3eCF4AOH1Ejd4IKkNJUS5OQVNEQVE6Q0FMTS5JUV9FQklUX01BUkdJTi4uMjkvMDMvMjAyNgEAAAAgegUAAgAAAAczNC41NTkyAQgAAAAFAAAAATEBAAAACy0xOTEwNjI3ODM4AwAAAAMxNjACAAAABDQwNTMEAAAAATAHAAAACTMvMjkvMjAyNggAAAAKMTEvMjkvMjAyNQkAAAABMF4AOH1Ejd4IXgA4fUSN3ggoQ0lRLk5BU0RBUTpDQUxNLklRX05JX01BUkdJTi4uMjkvMDMvMjAyNgEAAAAgegUAAgAAAAcyNy4zNjczAQgAAAAFAAAAATEBAAAACy0xOTEwNjI3ODM4AwAAAAMxNjACAAAABDQwOTQEAAAAATAHAAAACTMvMjkvMjAyNggAAAAKMTEvMjkvMjAyNQkAAAABMF4AOH1Ejd4IXgA4fUSN3ggsQ0lRLk5BU0RBUTpDQUxNLklRX0NBUEVYX1BDVF9SRVYuLjI5LzAzLzIwMjYBAAAAIHoFAAIAAAAGNC40</t>
  </si>
  <si>
    <t>NTcxAQgAAAAFAAAAATEBAAAACy0xOTEwNjI3ODM4AwAAAAMxNjACAAAABTM1MzgwBAAAAAEwBwAAAAkzLzI5LzIwMjYIAAAACjExLzI5LzIwMjUJAAAAATBeADh9RI3eCF4AOH1Ejd4IKkNJUS5OQVNEQVE6Q0FMTS5JUV9BU1NFVF9UVVJOUy4uMjkvMDMvMjAyNgEAAAAgegUAAgAAAAgxLjQ5NTY3NgEIAAAABQAAAAExAQAAAAstMTkxMDYyNzgzOAMAAAADMTYwAgAAAAQ0MTc3BAAAAAEwBwAAAAkzLzI5LzIwMjYIAAAACjExLzI5LzIwMjUJAAAAATBeADh9RI3eCF4AOH1Ejd4IMENJUS5OQVNEQVE6Q0FMTS5JUV9GSVhFRF9BU1NFVF9UVVJOUy4uMjkvMDMvMjAyNgEAAAAgegUAAgAAAAgzLjg0MDQyNwEIAAAABQAAAAExAQAAAAstMTkxMDYyNzgzOAMAAAADMTYwAgAAAAQ0MDY2BAAAAAEwBwAAAAkzLzI5LzIwMjYIAAAACjExLzI5LzIwMjUJAAAAATBeADh9RI3eCF4AOH1Ejd4IJ0NJUS5OQVNEQVE6Q0FMTS5JUV9BUl9UVVJOUy4uMjkvMDMvMjAyNgEAAAAgegUAAgAAAAkxNS41Mjg1OTIBCAAAAAUAAAABMQEAAAALLTE5MTA2Mjc4MzgDAAAAAzE2MAIAAAAENDAwMQQAAAABMAcAAAAJMy8yOS8yMDI2CAAAAAoxMS8yOS8yMDI1CQAAAAEwXgA4fUSN3gheADh9RI3eCC5DSVEuTkFTREFROkNBTE0uSVFfSU5WRU5UT1JZX1RVUk5TLi4yOS8wMy8yMDI2AQAAACB6BQACAAAACDcuNjQ3ODA1AQgAAAAFAAAA</t>
  </si>
  <si>
    <t>ATEBAAAACy0xOTEwNjI3ODM4AwAAAAMxNjACAAAABDQwODIEAAAAATAHAAAACTMvMjkvMjAyNggAAAAKMTEvMjkvMjAyNQkAAAABMF4AOH1Ejd4IXgA4fUSN3ggsQ0lRLk5BU0RBUTpDQUxNLklRX0NVUlJFTlRfUkFUSU8uLjI5LzAzLzIwMjYBAAAAIHoFAAIAAAAIOC4wMTczMzcBCAAAAAUAAAABMQEAAAALLTE5MTA2Mjc4MzgDAAAAAzE2MAIAAAAENDAzMAQAAAABMAcAAAAJMy8yOS8yMDI2CAAAAAoxMS8yOS8yMDI1CQAAAAEwXgA4fUSN3gheADh9RI3eCCpDSVEuTkFTREFROkNBTE0uSVFfUVVJQ0tfUkFUSU8uLjI5LzAzLzIwMjYBAAAAIHoFAAIAAAAINi40MDM5MTkBCAAAAAUAAAABMQEAAAALLTE5MTA2Mjc4MzgDAAAAAzE2MAIAAAAENDEyMQQAAAABMAcAAAAJMy8yOS8yMDI2CAAAAAoxMS8yOS8yMDI1CQAAAAEwXgA4fUSN3gheADh9RI3eCC9DSVEuTkFTREFROkNBTE0uSVFfQ0ZPX0NVUlJFTlRfTElBQi4uMjkvMDMvMjAyNgEAAAAgegUAAgAAAAg2LjIwNTUxMwEIAAAABQAAAAExAQAAAAstMTkxMDYyNzgzOAMAAAADMTYwAgAAAAQ0MTg1BAAAAAEwBwAAAAkzLzI5LzIwMjYIAAAACjExLzI5LzIwMjUJAAAAATBeADh9RI3eCF4AOH1Ejd4ILUNJUS5OQVNEQVE6Q0FMTS5JUV9EQVlTX1NBTEVTX09VVC4uMjkvMDMvMjAyNgEAAAAgegUAAgAAAAkyMy40NDA1MDgBCAAAAAUAAAABMQEAAAALLTE5</t>
  </si>
  <si>
    <t>MTA2Mjc4MzgDAAAAAzE2MAIAAAAENDA0MgQAAAABMAcAAAAJMy8yOS8yMDI2CAAAAAoxMS8yOS8yMDI1CQAAAAEwXgA4fUSN3gheADh9RI3eCDFDSVEuTkFTREFROkNBTE0uSVFfREFZU19JTlZFTlRPUllfT1VULi4yOS8wMy8yMDI2AQAAACB6BQACAAAACTQ3LjU5NTE4NAEIAAAABQAAAAExAQAAAAstMTkxMDYyNzgzOAMAAAADMTYwAgAAAAQ0MDM1BAAAAAEwBwAAAAkzLzI5LzIwMjYIAAAACjExLzI5LzIwMjUJAAAAATBeADh9RI3eCF4AOH1Ejd4IL0NJUS5OQVNEQVE6Q0FMTS5JUV9EQVlTX1BBWUFCTEVfT1VULi4yOS8wMy8yMDI2AQAAACB6BQACAAAACTE3LjU3NjQ2OAEIAAAABQAAAAExAQAAAAstMTkxMDYyNzgzOAMAAAADMTYwAgAAAAQ0MTgzBAAAAAEwBwAAAAkzLzI5LzIwMjYIAAAACjExLzI5LzIwMjUJAAAAATBeADh9RI3eCF4AOH1Ejd4ILkNJUS5OQVNEQVE6Q0FMTS5JUV9DQVNIX0NPTlZFUlNJT04uLjI5LzAzLzIwMjYBAAAAIHoFAAIAAAAJNTMuNDU5MjI0AQgAAAAFAAAAATEBAAAACy0xOTEwNjI3ODM4AwAAAAMxNjACAAAABDQxODQEAAAAATAHAAAACTMvMjkvMjAyNggAAAAKMTEvMjkvMjAyNQkAAAABMF4AOH1Ejd4IXgA4fUSN3ggwQ0lRLk5BU0RBUTpDQUxNLklRX1RPVEFMX0RFQlRfRVFVSVRZLi4yOS8wMy8yMDI2AQAAACB6BQADAAAAAABeADh9RI3eCF4AOH1Ejd4IMUNJUS5O</t>
  </si>
  <si>
    <t>QVNEQVE6Q0FMTS5JUV9UT1RBTF9ERUJUX0NBUElUQUwuLjI5LzAzLzIwMjYBAAAAIHoFAAMAAAAAAKMnOH1Ejd4Ioyc4fUSN3ggtQ0lRLk5BU0RBUTpDQUxNLklRX0xUX0RFQlRfRVFVSVRZLi4yOS8wMy8yMDI2AQAAACB6BQADAAAAAACjJzh9RI3eCKMnOH1Ejd4ILkNJUS5OQVNEQVE6Q0FMTS5JUV9MVF9ERUJUX0NBUElUQUwuLjI5LzAzLzIwMjYBAAAAIHoFAAMAAAAAAKMnOH1Ejd4Ioyc4fUSN3gg2Q0lRLk5BU0RBUTpDQUxNLklRX1RPVEFMX0xJQUJfVE9UQUxfQVNTRVRTLi4yOS8wMy8yMDI2AQAAACB6BQACAAAABzE0LjE5NDkBCAAAAAUAAAABMQEAAAALLTE5MTA2Mjc4MzgDAAAAAzE2MAIAAAAENDE4OAQAAAABMAcAAAAJMy8yOS8yMDI2CAAAAAoxMS8yOS8yMDI1CQAAAAEwoyc4fUSN3gijJzh9RI3eCCdDSVEuTkFTREFROkNBTE0uSVFfRUJJVF9JTlQuLjI5LzAzLzIwMjYBAAAAIHoFAAIAAAALMjIyOS45MTQyNDEBCAAAAAUAAAABMQEAAAALLTE5MTA2Mjc4MzgDAAAAAzE2MAIAAAAENDE4OQQAAAABMAcAAAAJMy8yOS8yMDI2CAAAAAoxMS8yOS8yMDI1CQAAAAEwoyc4fUSN3gijJzh9RI3eCClDSVEuTkFTREFROkNBTE0uSVFfRUJJVERBX0lOVC4uMjkvMDMvMjAyNgEAAAAgegUAAgAAAAsyMzk1LjI2MTg2OAEIAAAABQAAAAExAQAAAAstMTkxMDYyNzgzOAMAAAADMTYwAgAAAAQ0MTkwBAAA</t>
  </si>
  <si>
    <t>AAEwBwAAAAkzLzI5LzIwMjYIAAAACjExLzI5LzIwMjUJAAAAATCjJzh9RI3eCKMnOH1Ejd4IOkNJUS5OQVNEQVE6Q0FMTS5JUV9FQklUREFfRVhDTF9PUEVSX0xFQVNFU19JTlQuLjI5LzAzLzIwMjYBAAAAIHoFAAIAAAALMjM5NS4yNjE4NjgBCAAAAAUAAAABMQEAAAALLTE5MTA2Mjc4MzgDAAAAAzE2MAIAAAAFNDkxNzMEAAAAATAHAAAACTMvMjkvMjAyNggAAAAKMTEvMjkvMjAyNQkAAAABMKMnOH1Ejd4Ioyc4fUSN3ggvQ0lRLk5BU0RBUTpDQUxNLklRX0VCSVREQV9DQVBFWF9JTlQuLjI5LzAzLzIwMjYBAAAAIHoFAAIAAAALMjEwNy42NjQ2MjQBCAAAAAUAAAABMQEAAAALLTE5MTA2Mjc4MzgDAAAAAzE2MAIAAAAENDE5MQQAAAABMAcAAAAJMy8yOS8yMDI2CAAAAAoxMS8yOS8yMDI1CQAAAAEwoyc4fUSN3gijJzh9RI3eCEBDSVEuTkFTREFROkNBTE0uSVFfRUJJVERBX0VYQ0xfT1BFUl9MRUFTRVNfQ0FQRVhfSU5ULi4yOS8wMy8yMDI2AQAAACB6BQACAAAACzIxMDcuNjY0NjI0AQgAAAAFAAAAATEBAAAACy0xOTEwNjI3ODM4AwAAAAMxNjACAAAABTQ5MTc0BAAAAAEwBwAAAAkzLzI5LzIwMjYIAAAACjExLzI5LzIwMjUJAAAAATCjJzh9RI3eCKMnOH1Ejd4IMENJUS5OQVNEQVE6Q0FMTS5JUV9UT1RBTF9ERUJUX0VCSVREQS4uMjkvMDMvMjAyNgEAAAAgegUAAwAAAAAAoyc4fUSN3gijJzh9RI3e</t>
  </si>
  <si>
    <t>CEFDSVEuTkFTREFROkNBTE0uSVFfVE9UQUxfREVCVF9FQklUREFfRVhDTF9PUEVSX0xFQVNFUy4uMjkvMDMvMjAyNgEAAAAgegUAAwAAAAAAoyc4fUSN3gijJzh9RI3eCC5DSVEuTkFTREFROkNBTE0uSVFfTkVUX0RFQlRfRUJJVERBLi4yOS8wMy8yMDI2AQAAACB6BQADAAAAAk5NAQgAAAAFAAAAATEBAAAACy0xOTEwNjI3ODM4AwAAAAMxNjACAAAABDQxOTMEAAAAATAHAAAACTMvMjkvMjAyNggAAAAKMTEvMjkvMjAyNQkAAAABMKMnOH1Ejd4Ioyc4fUSN3gg/Q0lRLk5BU0RBUTpDQUxNLklRX05FVF9ERUJUX0VCSVREQV9FWENMX09QRVJfTEVBU0VTLi4yOS8wMy8yMDI2AQAAACB6BQADAAAAAk5NAQgAAAAFAAAAATEBAAAACy0xOTEwNjI3ODM4AwAAAAMxNjACAAAABTQ5MTc1BAAAAAEwBwAAAAkzLzI5LzIwMjYIAAAACjExLzI5LzIwMjUJAAAAATCjJzh9RI3eCKMnOH1Ejd4INkNJUS5OQVNEQVE6Q0FMTS5JUV9UT1RBTF9ERUJUX0VCSVREQV9DQVBFWC4uMjkvMDMvMjAyNgEAAAAgegUAAwAAAAAAoyc4fUSN3gijJzh9RI3eCEdDSVEuTkFTREFROkNBTE0uSVFfVE9UQUxfREVCVF9FQklUREFfRVhDTF9PUEVSX0xFQVNFU19DQVBFWC4uMjkvMDMvMjAyNgEAAAAgegUAAwAAAAAAoyc4fUSN3gijJzh9RI3eCDRDSVEuTkFTREFROkNBTE0uSVFfTkVUX0RFQlRfRUJJVERBX0NBUEVYLi4yOS8wMy8yMDI2</t>
  </si>
  <si>
    <t>AQAAACB6BQADAAAAAk5NAQgAAAAFAAAAATEBAAAACy0xOTEwNjI3ODM4AwAAAAMxNjACAAAABTIzMzE0BAAAAAEwBwAAAAkzLzI5LzIwMjYIAAAACjExLzI5LzIwMjUJAAAAATCjJzh9RI3eCKMnOH1Ejd4IRUNJUS5OQVNEQVE6Q0FMTS5JUV9ORVRfREVCVF9FQklUREFfRVhDTF9PUEVSX0xFQVNFU19DQVBFWC4uMjkvMDMvMjAyNgEAAAAgegUAAwAAAAJOTQEIAAAABQAAAAExAQAAAAstMTkxMDYyNzgzOAMAAAADMTYwAgAAAAU0OTE4MgQAAAABMAcAAAAJMy8yOS8yMDI2CAAAAAoxMS8yOS8yMDI1CQAAAAEwoyc4fUSN3gijJzh9RI3eCCZDSVEuTkFTREFROkNBTE0uSVFfWl9TQ09SRS4uMjkvMDMvMjAyNgEAAAAgegUAAgAAAAkxMS4xNzQ4ODcBCAAAAAUAAAABMQEAAAALLTE5MTA2Mjc4MzgDAAAAAzE2MAIAAAAGMTAwMTIzBAAAAAEwBwAAAAkzLzI5LzIwMjYIAAAACjExLzI5LzIwMjUJAAAAATCjJzh9RI3eCKMnOH1Ejd4IN0NJUS5OQVNEQVE6Q0FMTS5JUV9UT1RBTF9SRVZfMVlSX0FOTl9HUk9XVEguLjI5LzAzLzIwMjYBAAAAIHoFAAIAAAAHMzYuNjA0NgEIAAAABQAAAAExAQAAAAstMTkxMDYyNzgzOAMAAAADMTYwAgAAAAQ0MTk0BAAAAAEwBwAAAAkzLzI5LzIwMjYIAAAACjExLzI5LzIwMjUJAAAAATCjJzh9RI3eCKMnOH1Ejd4IMENJUS5OQVNEQVE6Q0FMTS5JUV9HUF8xWVJfQU5OX0dST1dU</t>
  </si>
  <si>
    <t>SC4uMjkvMDMvMjAyNgEAAAAgegUAAgAAAAY3NS4xODQBCAAAAAUAAAABMQEAAAALLTE5MTA2Mjc4MzgDAAAAAzE2MAIAAAAENDE5NQQAAAABMAcAAAAJMy8yOS8yMDI2CAAAAAoxMS8yOS8yMDI1CQAAAAEwwk44fUSN3gjCTjh9RI3eCDRDSVEuTkFTREFROkNBTE0uSVFfRUJJVERBXzFZUl9BTk5fR1JPV1RILi4yOS8wMy8yMDI2AQAAACB6BQACAAAABzg2Ljg2MTEBCAAAAAUAAAABMQEAAAALLTE5MTA2Mjc4MzgDAAAAAzE2MAIAAAAENDE5NgQAAAABMAcAAAAJMy8yOS8yMDI2CAAAAAoxMS8yOS8yMDI1CQAAAAEwwk44fUSN3gjCTjh9RI3eCDJDSVEuTkFTREFROkNBTE0uSVFfRUJJVF8xWVJfQU5OX0dST1dUSC4uMjkvMDMvMjAyNgEAAAAgegUAAgAAAAc5NC4wNTM2AQgAAAAFAAAAATEBAAAACy0xOTEwNjI3ODM4AwAAAAMxNjACAAAABDQxOTcEAAAAATAHAAAACTMvMjkvMjAyNggAAAAKMTEvMjkvMjAyNQkAAAABMMJOOH1Ejd4Iwk44fUSN3ggwQ0lRLk5BU0RBUTpDQUxNLklRX05JXzFZUl9BTk5fR1JPV1RILi4yOS8wMy8yMDI2AQAAACB6BQACAAAABzgzLjMyNTgBCAAAAAUAAAABMQEAAAALLTE5MTA2Mjc4MzgDAAAAAzE2MAIAAAAENDE5OQQAAAABMAcAAAAJMy8yOS8yMDI2CAAAAAoxMS8yOS8yMDI1CQAAAAEwwk44fUSN3gjCTjh9RI3eCDFDSVEuTkFTREFROkNBTE0uSVFfRVBTXzFZUl9BTk5f</t>
  </si>
  <si>
    <t>R1JPV1RILi4yOS8wMy8yMDI2AQAAACB6BQACAAAABzg0LjY0MTUBCAAAAAUAAAABMQEAAAALLTE5MTA2Mjc4MzgDAAAAAzE2MAIAAAAENDIwMAQAAAABMAcAAAAJMy8yOS8yMDI2CAAAAAoxMS8yOS8yMDI1CQAAAAEwwk44fUSN3gjCTjh9RI3eCDVDSVEuTkFTREFROkNBTE0uSVFfVE9UQUxfUkVWXzNZUl9BTk5fQ0FHUi4uMjkvMDMvMjAyNgEAAAAgegUAAgAAAAcxOC41MjUyAQgAAAAFAAAAATEBAAAACy0xOTEwNjI3ODM4AwAAAAMxNjACAAAABDQyMjAEAAAAATAHAAAACTMvMjkvMjAyNggAAAAKMTEvMjkvMjAyNQkAAAABMMJOOH1Ejd4Iwk44fUSN3gguQ0lRLk5BU0RBUTpDQUxNLklRX0dQXzNZUl9BTk5fQ0FHUi4uMjkvMDMvMjAyNgEAAAAgegUAAgAAAAcyOS4wNDIyAQgAAAAFAAAAATEBAAAACy0xOTEwNjI3ODM4AwAAAAMxNjACAAAABDQyMjEEAAAAATAHAAAACTMvMjkvMjAyNggAAAAKMTEvMjkvMjAyNQkAAAABMMJOOH1Ejd4Iwk44fUSN3ggyQ0lRLk5BU0RBUTpDQUxNLklRX0VCSVREQV8zWVJfQU5OX0NBR1IuLjI5LzAzLzIwMjYBAAAAIHoFAAIAAAAHMzIuMzEwNwEIAAAABQAAAAExAQAAAAstMTkxMDYyNzgzOAMAAAADMTYwAgAAAAQ0MjIyBAAAAAEwBwAAAAkzLzI5LzIwMjYIAAAACjExLzI5LzIwMjUJAAAAATDCTjh9RI3eCMJOOH1Ejd4IMENJUS5OQVNEQVE6Q0FMTS5JUV9FQklUXzNZ</t>
  </si>
  <si>
    <t>Ul9BTk5fQ0FHUi4uMjkvMDMvMjAyNgEAAAAgegUAAgAAAAczMy45MzA5AQgAAAAFAAAAATEBAAAACy0xOTEwNjI3ODM4AwAAAAMxNjACAAAABDQyMjMEAAAAATAHAAAACTMvMjkvMjAyNggAAAAKMTEvMjkvMjAyNQkAAAABMMJOOH1Ejd4Iwk44fUSN3gguQ0lRLk5BU0RBUTpDQUxNLklRX05JXzNZUl9BTk5fQ0FHUi4uMjkvMDMvMjAyNgEAAAAgegUAAgAAAAczNC41NTEyAQgAAAAFAAAAATEBAAAACy0xOTEwNjI3ODM4AwAAAAMxNjACAAAABDQyMjUEAAAAATAHAAAACTMvMjkvMjAyNggAAAAKMTEvMjkvMjAyNQkAAAABMMJOOH1Ejd4Iwk44fUSN3ggvQ0lRLk5BU0RBUTpDQUxNLklRX0VQU18zWVJfQU5OX0NBR1IuLjI5LzAzLzIwMjYBAAAAIHoFAAIAAAAGMzQuNzM5AQgAAAAFAAAAATEBAAAACy0xOTEwNjI3ODM4AwAAAAMxNjACAAAABDQyMjYEAAAAATAHAAAACTMvMjkvMjAyNggAAAAKMTEvMjkvMjAyNQkAAAABMMJOOH1Ejd4Iwk44fUSN3gg1Q0lRLk5BU0RBUTpDQUxNLklRX1RPVEFMX1JFVl81WVJfQU5OX0NBR1IuLjI5LzAzLzIwMjYBAAAAIHoFAAIAAAAHMjMuOTY5MQEIAAAABQAAAAExAQAAAAstMTkxMDYyNzgzOAMAAAADMTYwAgAAAAQ0MjMzBAAAAAEwBwAAAAkzLzI5LzIwMjYIAAAACjExLzI5LzIwMjUJAAAAATDCTjh9RI3eCMJOOH1Ejd4ILkNJUS5OQVNEQVE6Q0FMTS5JUV9HUF81WVJf</t>
  </si>
  <si>
    <t>QU5OX0NBR1IuLjI5LzAzLzIwMjYBAAAAIHoFAAIAAAAHNDguMjYyNgEIAAAABQAAAAExAQAAAAstMTkxMDYyNzgzOAMAAAADMTYwAgAAAAQ0MjM0BAAAAAEwBwAAAAkzLzI5LzIwMjYIAAAACjExLzI5LzIwMjUJAAAAATDCTjh9RI3eCMJOOH1Ejd4IMkNJUS5OQVNEQVE6Q0FMTS5JUV9FQklUREFfNVlSX0FOTl9DQUdSLi4yOS8wMy8yMDI2AQAAACB6BQACAAAABzY0LjgzODkBCAAAAAUAAAABMQEAAAALLTE5MTA2Mjc4MzgDAAAAAzE2MAIAAAAENDIzNQQAAAABMAcAAAAJMy8yOS8yMDI2CAAAAAoxMS8yOS8yMDI1CQAAAAEwwk44fUSN3gjCTjh9RI3eCDBDSVEuTkFTREFROkNBTE0uSVFfRUJJVF81WVJfQU5OX0NBR1IuLjI5LzAzLzIwMjYBAAAAIHoFAAIAAAAHODQuMTkyNAEIAAAABQAAAAExAQAAAAstMTkxMDYyNzgzOAMAAAADMTYwAgAAAAQ0MjM2BAAAAAEwBwAAAAkzLzI5LzIwMjYIAAAACjExLzI5LzIwMjUJAAAAATDCTjh9RI3eCMJOOH1Ejd4ILkNJUS5OQVNEQVE6Q0FMTS5JUV9OSV81WVJfQU5OX0NBR1IuLjI5LzAzLzIwMjYBAAAAIHoFAAIAAAAHNzYuNjg1MwEIAAAABQAAAAExAQAAAAstMTkxMDYyNzgzOAMAAAADMTYwAgAAAAQ0MjM4BAAAAAEwBwAAAAkzLzI5LzIwMjYIAAAACjExLzI5LzIwMjUJAAAAATDCTjh9RI3eCMJOOH1Ejd4IL0NJUS5OQVNEQVE6Q0FMTS5JUV9FUFNfNVlSX0FO</t>
  </si>
  <si>
    <t>Tl9DQUdSLi4yOS8wMy8yMDI2AQAAACB6BQACAAAABzc2Ljc1NDcBCAAAAAUAAAABMQEAAAALLTE5MTA2Mjc4MzgDAAAAAzE2MAIAAAAENDIzOQQAAAABMAcAAAAJMy8yOS8yMDI2CAAAAAoxMS8yOS8yMDI1CQAAAAEwwk44fUSN3gjCTjh9RI3eCDFDSVEuTkFTREFROkNBTE0uSVFfREVQUkVfU1VQUC4uMjkvMDMvMjAyNi4uLlVTRC5IAQAAACB6BQACAAAABDkxLjEBCAAAAAUAAAABMQEAAAALLTE5MTA2Mjc4MzgDAAAAAzE2MAIAAAAEMjE0MwQAAAABMAcAAAAJMy8yOS8yMDI2CAAAAAoxMS8yOS8yMDI1CQAAAAEw8MOWfUSN3gjww5Z9RI3eCERDSVEuTkFTREFROkNBTE0uSVFfREVQUkVDSUFUSU9OX1JFTlRBTF9BU1NFVFNfQ0YuLjI5LzAzLzIwMjYuLi5VU0QuSAEAAAAgegUAAwAAAAAAZiJPfUSN3ghmIk99RI3eCC5DSVEuTkFTREFROkNBTE0uSVFfREVQX1JVQS4uMjkvMDMvMjAyNi4uLlVTRC5IAQAAACB6BQADAAAAAABmIk99RI3eCGYiT31Ejd4IQ0NJUS5OQVNEQVE6Q0FMTS5JUV9EQV9TVVBQTF9DRl9FWENMX09QRVJfTEVBU0VTLi4yOS8wMy8yMDI2Li4uVVNELkgBAAAAIHoFAAIAAAAHMTA1LjgxNAEIAAAABQAAAAExAQAAAAstMTkxMDYyNzgzOAMAAAADMTYwAgAAAAU0ODk4MwQAAAABMAcAAAAJMy8yOS8yMDI2CAAAAAoxMS8yOS8yMDI1CQAAAAEwZiJPfUSN3ghmIk99RI3eCD1DSVEuTkFT</t>
  </si>
  <si>
    <t>REFROkNBTE0uSVFfREFfQ0ZfRVhDTF9PUEVSX0xFQVNFUy4uMjkvMDMvMjAyNi4uLlVTRC5IAQAAACB6BQACAAAABzEwNy45NzIBCAAAAAUAAAABMQEAAAALLTE5MTA2Mjc4MzgDAAAAAzE2MAIAAAAFNDg5ODUEAAAAATAHAAAACTMvMjkvMjAyNggAAAAKMTEvMjkvMjAyNQkAAAABMGYiT31Ejd4IZiJPfUSN3gg7Q0lRLk5BU0RBUTpDQUxNLklRX05FR0FUSVZFX0dXX0FNT1JUX0NGLi4yOS8wMy8yMDI2Li4uVVNELkgBAAAAIHoFAAMAAAAAAGYiT31Ejd4IZiJPfUSN3ggzQ0lRLk5BU0RBUTpDQUxNLklRX0FNT1JUX0RJQ19DRi4uMjkvMDMvMjAyNi4uLlVTRC5IAQAAACB6BQADAAAAAABmIk99RI3eCGYiT31Ejd4IP0NJUS5OQVNEQVE6Q0FMTS5JUV9BTU9SVF9TT0ZUV0FSRV9BU1NFVFNfQ0YuLjI5LzAzLzIwMjYuLi5VU0QuSAEAAAAgegUAAwAAAAAAZiJPfUSN3ghmIk99RI3eCEJDSVEuTkFTREFROkNBTE0uSVFfU0FMRV9QUk9DRUVEU19SRU5UQUxfQVNTRVRTLi4yOS8wMy8yMDI2Li4uVVNELkgBAAAAIHoFAAMAAAAAAGYiT31Ejd4IZiJPfUSN3gg0Q0lRLk5BU0RBUTpDQUxNLklRX0NBU0hfSU5URVJFU1QuLjI5LzAzLzIwMjYuLi5VU0QuSAEAAAAgegUAAwAAAAAAdElPfUSN3gh0SU99RI3eCDhDSVEuTkFTREFROkNBTE0uSVFfQ0FTSF9JTlRFUkVTVF9ORVQuLjI5LzAzLzIwMjYuLi5VU0QuSAEA</t>
  </si>
  <si>
    <t>AAAgegUAAwAAAAAAdElPfUSN3gh0SU99RI3eCD1DSVEuTkFTREFROkNBTE0uSVFfQ0FTSF9JTlRFUkVTVF9SRUNFSVZFRC4uMjkvMDMvMjAyNi4uLlVTRC5IAQAAACB6BQADAAAAAAB0SU99RI3eCHRJT31Ejd4IOUNJUS5OQVNEQVE6Q0FMTS5JUV9DQVNIX0lOVEVSRVNUX09QRVIuLjI5LzAzLzIwMjYuLi5VU0QuSAEAAAAgegUAAwAAAAAAdElPfUSN3gh0SU99RI3eCDtDSVEuTkFTREFROkNBTE0uSVFfQ0FTSF9JTlRFUkVTVF9JTlZFU1QuLjI5LzAzLzIwMjYuLi5VU0QuSAEAAAAgegUAAwAAAAAAdElPfUSN3gh0SU99RI3eCDpDSVEuTkFTREFROkNBTE0uSVFfQ0FTSF9JTlRFUkVTVF9GSU5BTi4uMjkvMDMvMjAyNi4uLlVTRC5IAQAAACB6BQADAAAAAAB0SU99RI3eCHRJT31Ejd4IMUNJUS5OQVNEQVE6Q0FMTS5JUV9DQVNIX1RBWEVTLi4yOS8wMy8yMDI2Li4uVVNELkgBAAAAIHoFAAIAAAAHNDI2LjE3MgEIAAAABQAAAAExAQAAAAstMTkxMDYyNzgzOAMAAAADMTYwAgAAAAQzMDUzBAAAAAEwBwAAAAkzLzI5LzIwMjYIAAAACjExLzI5LzIwMjUJAAAAATB0SU99RI3eCHRJT31Ejd4INkNJUS5OQVNEQVE6Q0FMTS5JUV9DQVNIX1RBWEVTX09QRVIuLjI5LzAzLzIwMjYuLi5VU0QuSAEAAAAgegUAAwAAAAAAdElPfUSN3gh0SU99RI3eCDhDSVEuTkFTREFROkNBTE0uSVFfQ0FTSF9UQVhFU19JTlZFU1Qu</t>
  </si>
  <si>
    <t>LjI5LzAzLzIwMjYuLi5VU0QuSAEAAAAgegUAAwAAAAAAdElPfUSN3gh0SU99RI3eCDdDSVEuTkFTREFROkNBTE0uSVFfQ0FTSF9UQVhFU19GSU5BTi4uMjkvMDMvMjAyNi4uLlVTRC5IAQAAACB6BQADAAAAAAB0SU99RI3eCHRJT31Ejd4IO0NJUS5OQVNEQVE6Q0FMTS5JUV9DSEFOR0VfREVGX1RBWF9UT1RBTC4uMjkvMDMvMjAyNi4uLlVTRC5IAQAAACB6BQACAAAABjM5Ljg3OQEIAAAABQAAAAExAQAAAAstMTkxMDYyNzgzOAMAAAADMTYwAgAAAAUzMDkyNAQAAAABMAcAAAAJMy8yOS8yMDI2CAAAAAoxMS8yOS8yMDI1CQAAAAEwdElPfUSN3gh0SU99RI3eCEFDSVEuTkFTREFROkNBTE0uSVFfQ0hBTkdFX05FVF9XT1JLSU5HX0NBUElUQUwuLjI5LzAzLzIwMjYuLi5VU0QuSAEAAAAgegUAAgAAAAYyOS45NDEBCAAAAAUAAAABMQEAAAALLTE5MTA2Mjc4MzgDAAAAAzE2MAIAAAAENDQyMQQAAAABMAcAAAAJMy8yOS8yMDI2CAAAAAoxMS8yOS8yMDI1CQAAAAEwdElPfUSN3gh0SU99RI3eCDJDSVEuTkFTREFROkNBTE0uSVFfTEVWRVJFRF9GQ0YuLjI5LzAzLzIwMjYuLi5VU0QuSAEAAAAgegUAAgAAAAo4MDQuOTMyNjI1AQgAAAAFAAAAATEBAAAACy0xOTEwNjI3ODM4AwAAAAMxNjACAAAABDQ0MjIEAAAAATAHAAAACTMvMjkvMjAyNggAAAAKMTEvMjkvMjAyNQkAAAABMHRJT31Ejd4IdElPfUSN3gg0Q0lR</t>
  </si>
  <si>
    <t>Lk5BU0RBUTpDQUxNLklRX1VOTEVWRVJFRF9GQ0YuLjI5LzAzLzIwMjYuLi5VU0QuSAEAAAAgegUAAgAAAAk4MDUuMzQwNzUBCAAAAAUAAAABMQEAAAALLTE5MTA2Mjc4MzgDAAAAAzE2MAIAAAAENDQyMwQAAAABMAcAAAAJMy8yOS8yMDI2CAAAAAoxMS8yOS8yMDI1CQAAAAEwdElPfUSN3gh0SU99RI3eCC9DSVEuTkFTREFROkNBTE0uSVFfQ0ZfU0hBUkUuLjI5LzAzLzIwMjYuLi5VU0QuSAEAAAAgegUAAgAAAAkyNC4xNjk5MzMBCAAAAAUAAAABMQEAAAALLTE5MTA2Mjc4MzgDAAAAAzE2MAIAAAAFNDM5MjMEAAAAATAHAAAACTMvMjkvMjAyNggAAAAKMTEvMjkvMjAyNQkAAAABMHRJT31Ejd4IdElPfUSN3gg2Q0lRLk5BU0RBUTpDQUxNLklRX05FVF9ERUJUX0lTU1VFRC4uMjkvMDMvMjAyNi4uLlVTRC5IAQAAACB6BQACAAAABi0wLjAwNAEIAAAABQAAAAExAQAAAAstMTkxMDYyNzgzOAMAAAADMTYwAgAAAAQyMDAzBAAAAAEwBwAAAAkzLzI5LzIwMjYIAAAACjExLzI5LzIwMjUJAAAAATB0SU99RI3eCHRJT31Ejd4IMkNJUS5OQVNEQVE6Q0FMTS5JUV9NQUlOVF9DQVBFWC4uMjkvMDMvMjAyNi4uLlVTRC5IAQAAACB6BQADAAAAAAB0SU99RI3eCHRJT31Ejd4IM0NJUS5OQVNEQVE6Q0FMTS5JUV9ET19JTlZFU1RfQ0YuLjI5LzAzLzIwMjYuLi5VU0QuSAEAAAAgegUAAwAAAAAAdElPfUSN3gh0SU99RI3e</t>
  </si>
  <si>
    <t>CDRDSVEuTkFTREFROkNBTE0uSVFfRE9fRklOQU5DRV9DRi4uMjkvMDMvMjAyNi4uLlVTRC5IAQAAACB6BQADAAAAAAB0SU99RI3eCHRJT31Ejd4IP0NJUS5OQVNEQVE6Q0FMTS5JUV9PUEVSQVRJTkdfTEVBU0VfUEFZTUVOVFMuLjI5LzAzLzIwMjYuLi5VU0QuSAEAAAAgegUAAwAAAAAAdElPfUSN3gh0SU99RI3eCEJDSVEuTkFTREFROkNBTE0uSVFfT1BFUkFUSU5HX0xFQVNFX0xJQUJJTElUSUVTLi4yOS8wMy8yMDI2Li4uVVNELkgBAAAAIHoFAAMAAAAAAHRJT31Ejd4IdElPfUSN3ghKQ0lRLk5BU0RBUTpDQUxNLklRX09QRVJBVElOR19MRUFTRV9MSUFCSUxJVElFU19OT05DQVNILi4yOS8wMy8yMDI2Li4uVVNELkgBAAAAIHoFAAMAAAAAAHRJT31Ejd4IdElPfUSN3ghIQ0lRLk5BU0RBUTpDQUxNLklRX0xPTkdfVEVSTV9ERUJUX1JFUEFJRF9FWENMX0xFQVNFUy4uMjkvMDMvMjAyNi4uLlVTRC5IAQAAACB6BQACAAAABi0wLjAwNAEIAAAABQAAAAExAQAAAAstMTkxMDYyNzgzOAMAAAADMTYwAgAAAAU0ODk4NAQAAAABMAcAAAAJMy8yOS8yMDI2CAAAAAoxMS8yOS8yMDI1CQAAAAEwdElPfUSN3gh0SU99RI3eCERDSVEuTkFTREFROkNBTE0uSVFfVE9UQUxfREVCVF9SRVBBSURfRVhDTF9MRUFTRVMuLjI5LzAzLzIwMjYuLi5VU0QuSAEAAAAgegUAAgAAAAYtMC4wMDQBCAAAAAUAAAABMQEAAAALLTE5</t>
  </si>
  <si>
    <t>MTA2Mjc4MzgDAAAAAzE2MAIAAAAFNDg5ODYEAAAAATAHAAAACTMvMjkvMjAyNggAAAAKMTEvMjkvMjAyNQkAAAABMHRJT31Ejd4IdElPfUSN3gg6Q0lRLk5BU0RBUTpDQUxNLklRX0dBSU5fQkFSR0FJTl9BQ1FfQ0YuLjI5LzAzLzIwMjYuLi5VU0QuSAEAAAAgegUAAwAAAAAAdElPfUSN3gh0SU99RI3eCDFDSVEuTkFTREFROkNBTE0uSVFfQ0FTSF9FUVVJVi4uMjkvMDMvMjAyNi4uLlVTRC5IAQAAACB6BQACAAAABjM2OS40NQEIAAAABQAAAAExAQAAAAstMTkxMDYyNzgzOAMAAAADMTYwAgAAAAQxMDk2BAAAAAEwBwAAAAkzLzI5LzIwMjYIAAAACjExLzI5LzIwMjUJAAAAATB0SU99RI3eCHRJT31Ejd4IMENJUS5OQVNEQVE6Q0FMTS5JUV9TVF9JTlZFU1QuLjI5LzAzLzIwMjYuLi5VU0QuSAEAAAAgegUAAgAAAAc3NjkuNTM4AQgAAAAFAAAAATEBAAAACy0xOTEwNjI3ODM4AwAAAAMxNjACAAAABDEwNjkEAAAAATAHAAAACTMvMjkvMjAyNggAAAAKMTEvMjkvMjAyNQkAAAABMHRJT31Ejd4IdElPfUSN3gg1Q0lRLk5BU0RBUTpDQUxNLklRX1RSQURJTkdfQVNTRVRTLi4yOS8wMy8yMDI2Li4uVVNELkgBAAAAIHoFAAMAAAAAAHRJT31Ejd4IdElPfUSN3gg1Q0lRLk5BU0RBUTpDQUxNLklRX0NBU0hfU1RfSU5WRVNULi4yOS8wMy8yMDI2Li4uVVNELkgBAAAAIHoFAAIAAAAIMTEzOC45ODgBCAAAAAUAAAAB</t>
  </si>
  <si>
    <t>MQEAAAALLTE5MTA2Mjc4MzgDAAAAAzE2MAIAAAAEMTAwMgQAAAABMAcAAAAJMy8yOS8yMDI2CAAAAAoxMS8yOS8yMDI1CQAAAAEwdElPfUSN3gh0SU99RI3eCClDSVEuTkFTREFROkNBTE0uSVFfQVIuLjI5LzAzLzIwMjYuLi5VU0QuSAEAAAAgegUAAgAAAAcyMzUuMzc3AQgAAAAFAAAAATEBAAAACy0xOTEwNjI3ODM4AwAAAAMxNjACAAAABDEwMjEEAAAAATAHAAAACTMvMjkvMjAyNggAAAAKMTEvMjkvMjAyNQkAAAABMHRJT31Ejd4IdElPfUSN3ggzQ0lRLk5BU0RBUTpDQUxNLklRX09USEVSX1JFQ0VJVi4uMjkvMDMvMjAyNi4uLlVTRC5IAQAAACB6BQACAAAABjI2Ljk5MgEIAAAABQAAAAExAQAAAAstMTkxMDYyNzgzOAMAAAADMTYwAgAAAAQxMjA2BAAAAAEwBwAAAAkzLzI5LzIwMjYIAAAACjExLzI5LzIwMjUJAAAAATB0SU99RI3eCHRJT31Ejd4INUNJUS5OQVNEQVE6Q0FMTS5JUV9TVF9OT1RFX1JFQ0VJVi4uMjkvMDMvMjAyNi4uLlVTRC5IAQAAACB6BQADAAAAAAB0SU99RI3eCHRJT31Ejd4IM0NJUS5OQVNEQVE6Q0FMTS5JUV9UT1RBTF9SRUNFSVYuLjI5LzAzLzIwMjYuLi5VU0QuSAEAAAAgegUAAgAAAAcyNjIuMzY5AQgAAAAFAAAAATEBAAAACy0xOTEwNjI3ODM4AwAAAAMxNjACAAAABDEwMDEEAAAAATAHAAAACTMvMjkvMjAyNggAAAAKMTEvMjkvMjAyNQkAAAABMHRJT31Ejd4IdElPfUSN</t>
  </si>
  <si>
    <t>3ggwQ0lRLk5BU0RBUTpDQUxNLklRX0lOVkVOVE9SWS4uMjkvMDMvMjAyNi4uLlVTRC5IAQAAACB6BQACAAAABzM0MC41ODgBCAAAAAUAAAABMQEAAAALLTE5MTA2Mjc4MzgDAAAAAzE2MAIAAAAEMTA0MwQAAAABMAcAAAAJMy8yOS8yMDI2CAAAAAoxMS8yOS8yMDI1CQAAAAEwj3BPfUSN3giPcE99RI3eCDJDSVEuTkFTREFROkNBTE0uSVFfUFJFUEFJRF9FWFAuLjI5LzAzLzIwMjYuLi5VU0QuSAEAAAAgegUAAgAAAAYxMi40NzMBCAAAAAUAAAABMQEAAAALLTE5MTA2Mjc4MzgDAAAAAzE2MAIAAAAEMTIxMgQAAAABMAcAAAAJMy8yOS8yMDI2CAAAAAoxMS8yOS8yMDI1CQAAAAEwj3BPfUSN3giPcE99RI3eCDxDSVEuTkFTREFROkNBTE0uSVFfRklOX0RJVl9MT0FOU19DVVJSRU5ULi4yOS8wMy8yMDI2Li4uVVNELkgBAAAAIHoFAAMAAAAAAI9wT31Ejd4Ij3BPfUSN3gg9Q0lRLk5BU0RBUTpDQUxNLklRX0ZJTl9ESVZfQVNTRVRTX0NVUlJFTlQuLjI5LzAzLzIwMjYuLi5VU0QuSAEAAAAgegUAAwAAAAAAj3BPfUSN3giPcE99RI3eCDVDSVEuTkFTREFROkNBTE0uSVFfTE9BTlNfRk9SX1NBTEUuLjI5LzAzLzIwMjYuLi5VU0QuSAEAAAAgegUAAwAAAAAAj3BPfUSN3giPcE99RI3eCD1DSVEuTkFTREFROkNBTE0uSVFfREVGX1RBWF9BU1NFVFNfQ1VSUkVOVC4uMjkvMDMvMjAyNi4uLlVTRC5IAQAAACB6BQAD</t>
  </si>
  <si>
    <t>AAAAAACPcE99RI3eCI9wT31Ejd4INkNJUS5OQVNEQVE6Q0FMTS5JUV9SRVNUUklDVEVEX0NBU0guLjI5LzAzLzIwMjYuLi5VU0QuSAEAAAAgegUAAwAAAAAAj3BPfUSN3giPcE99RI3eCDVDSVEuTkFTREFROkNBTE0uSVFfT1RIRVJfQ0FfU1VQUEwuLjI5LzAzLzIwMjYuLi5VU0QuSAEAAAAgegUAAwAAAAAAj3BPfUSN3giPcE99RI3eCC9DSVEuTkFTREFROkNBTE0uSVFfVE9UQUxfQ0EuLjI5LzAzLzIwMjYuLi5VU0QuSAEAAAAgegUAAgAAAAgxNzU0LjQxOAEIAAAABQAAAAExAQAAAAstMTkxMDYyNzgzOAMAAAADMTYwAgAAAAQxMDA4BAAAAAEwBwAAAAkzLzI5LzIwMjYIAAAACjExLzI5LzIwMjUJAAAAATCPcE99RI3eCI9wT31Ejd4IK0NJUS5OQVNEQVE6Q0FMTS5JUV9HUFBFLi4yOS8wMy8yMDI2Li4uVVNELkgBAAAAIHoFAAMAAAAAAI9wT31Ejd4Ij3BPfUSN3ggpQ0lRLk5BU0RBUTpDQUxNLklRX0FELi4yOS8wMy8yMDI2Li4uVVNELkgBAAAAIHoFAAMAAAAAAI9wT31Ejd4Ij3BPfUSN3ggrQ0lRLk5BU0RBUTpDQUxNLklRX05QUEUuLjI5LzAzLzIwMjYuLi5VU0QuSAEAAAAgegUAAgAAAAgxMjE4LjY1NAEIAAAABQAAAAExAQAAAAstMTkxMDYyNzgzOAMAAAADMTYwAgAAAAQxMDA0BAAAAAEwBwAAAAkzLzI5LzIwMjYIAAAACjExLzI5LzIwMjUJAAAAATCPcE99RI3eCI9wT31Ejd4IMENJUS5OQVNE</t>
  </si>
  <si>
    <t>QVE6Q0FMTS5JUV9MVF9JTlZFU1QuLjI5LzAzLzIwMjYuLi5VU0QuSAEAAAAgegUAAgAAAAU5Ljk3OQEIAAAABQAAAAExAQAAAAstMTkxMDYyNzgzOAMAAAADMTYwAgAAAAQxMDU0BAAAAAEwBwAAAAkzLzI5LzIwMjYIAAAACjExLzI5LzIwMjUJAAAAATCPcE99RI3eCI9wT31Ejd4IKUNJUS5OQVNEQVE6Q0FMTS5JUV9HVy4uMjkvMDMvMjAyNi4uLlVTRC5IAQAAACB6BQACAAAABjg3LjA1OQEIAAAABQAAAAExAQAAAAstMTkxMDYyNzgzOAMAAAADMTYwAgAAAAQxMTcxBAAAAAEwBwAAAAkzLzI5LzIwMjYIAAAACjExLzI5LzIwMjUJAAAAATCPcE99RI3eCI9wT31Ejd4IMkNJUS5OQVNEQVE6Q0FMTS5JUV9PVEhFUl9JTlRBTi4uMjkvMDMvMjAyNi4uLlVTRC5IAQAAACB6BQACAAAABjU1LjA5MQEIAAAABQAAAAExAQAAAAstMTkxMDYyNzgzOAMAAAADMTYwAgAAAAQxMDQwBAAAAAEwBwAAAAkzLzI5LzIwMjYIAAAACjExLzI5LzIwMjUJAAAAATCPcE99RI3eCI9wT31Ejd4IN0NJUS5OQVNEQVE6Q0FMTS5JUV9GSU5fRElWX0xPQU5TX0xULi4yOS8wMy8yMDI2Li4uVVNELkgBAAAAIHoFAAMAAAAAAI9wT31Ejd4Ij3BPfUSN3gg4Q0lRLk5BU0RBUTpDQUxNLklRX0ZJTl9ESVZfQVNTRVRTX0xULi4yOS8wMy8yMDI2Li4uVVNELkgBAAAAIHoFAAMAAAAAAI9wT31Ejd4Ij3BPfUSN3ggsQ0lRLk5BU0RBUTpDQUxN</t>
  </si>
  <si>
    <t>LklRX0FSX0xULi4yOS8wMy8yMDI2Li4uVVNELkgBAAAAIHoFAAMAAAAAAI9wT31Ejd4Ij3BPfUSN3gg2Q0lRLk5BU0RBUTpDQUxNLklRX0xPQU5TX1JFQ0VJVl9MVC4uMjkvMDMvMjAyNi4uLlVTRC5IAQAAACB6BQADAAAAAACPcE99RI3eCI9wT31Ejd4IOENJUS5OQVNEQVE6Q0FMTS5JUV9ERUZfVEFYX0FTU0VUU19MVC4uMjkvMDMvMjAyNi4uLlVTRC5IAQAAACB6BQADAAAAAACPcE99RI3eCI9wT31Ejd4INUNJUS5OQVNEQVE6Q0FMTS5JUV9ERUZfQ0hBUkdFU19MVC4uMjkvMDMvMjAyNi4uLlVTRC5IAQAAACB6BQADAAAAAACPcE99RI3eCI9wT31Ejd4INkNJUS5OQVNEQVE6Q0FMTS5JUV9PVEhFUl9MVF9BU1NFVFMuLjI5LzAzLzIwMjYuLi5VU0QuSAEAAAAgegUAAgAAAAYxOC44NjMBCAAAAAUAAAABMQEAAAALLTE5MTA2Mjc4MzgDAAAAAzE2MAIAAAAEMTA2MAQAAAABMAcAAAAJMy8yOS8yMDI2CAAAAAoxMS8yOS8yMDI1CQAAAAEwj3BPfUSN3giPcE99RI3eCDNDSVEuTkFTREFROkNBTE0uSVFfVE9UQUxfQVNTRVRTLi4yOS8wMy8yMDI2Li4uVVNELkgBAAAAIHoFAAIAAAAIMzE0NC4wNjQBCAAAAAUAAAABMQEAAAALLTE5MTA2Mjc4MzgDAAAAAzE2MAIAAAAEMTAwNwQAAAABMAcAAAAJMy8yOS8yMDI2CAAAAAoxMS8yOS8yMDI1CQAAAAEwj3BPfUSN3giPcE99RI3eCClDSVEuTkFTREFROkNBTE0u</t>
  </si>
  <si>
    <t>SVFfQVAuLjI5LzAzLzIwMjYuLi5VU0QuSAEAAAAgegUAAgAAAAcxMjMuNDc1AQgAAAAFAAAAATEBAAAACy0xOTEwNjI3ODM4AwAAAAMxNjACAAAABDEwMTgEAAAAATAHAAAACTMvMjkvMjAyNggAAAAKMTEvMjkvMjAyNQkAAAABMI9wT31Ejd4Ij3BPfUSN3ggpQ0lRLk5BU0RBUTpDQUxNLklRX0FFLi4yOS8wMy8yMDI2Li4uVVNELkgBAAAAIHoFAAIAAAAFNjEuMDcBCAAAAAUAAAABMQEAAAALLTE5MTA2Mjc4MzgDAAAAAzE2MAIAAAAEMTAxNgQAAAABMAcAAAAJMy8yOS8yMDI2CAAAAAoxMS8yOS8yMDI1CQAAAAEwj3BPfUSN3giPcE99RI3eCC5DSVEuTkFTREFROkNBTE0uSVFfU1RfREVCVC4uMjkvMDMvMjAyNi4uLlVTRC5IAQAAACB6BQADAAAAAACPcE99RI3eCI9wT31Ejd4IOENJUS5OQVNEQVE6Q0FMTS5JUV9DVVJSRU5UX1BPUlRfREVCVC4uMjkvMDMvMjAyNi4uLlVTRC5IAQAAACB6BQADAAAAAACPcE99RI3eCI9wT31Ejd4IOkNJUS5OQVNEQVE6Q0FMTS5JUV9DVVJSRU5UX1BPUlRfTEVBU0VTLi4yOS8wMy8yMDI2Li4uVVNELkgBAAAAIHoFAAMAAAAAAI9wT31Ejd4Ij3BPfUSN3gg7Q0lRLk5BU0RBUTpDQUxNLklRX0ZJTl9ESVZfREVCVF9DVVJSRU5ULi4yOS8wMy8yMDI2Li4uVVNELkgBAAAAIHoFAAMAAAAAAI9wT31Ejd4Ij3BPfUSN3gg7Q0lRLk5BU0RBUTpDQUxNLklRX0ZJTl9ESVZfTElB</t>
  </si>
  <si>
    <t>Ql9DVVJSRU5ULi4yOS8wMy8yMDI2Li4uVVNELkgBAAAAIHoFAAMAAAAAAI9wT31Ejd4Ij3BPfUSN3gg6Q0lRLk5BU0RBUTpDQUxNLklRX0lOQ19UQVhfUEFZX0NVUlJFTlQuLjI5LzAzLzIwMjYuLi5VU0QuSAEAAAAgegUAAwAAAAAAj3BPfUSN3giPcE99RI3eCDlDSVEuTkFTREFROkNBTE0uSVFfVU5FQVJOX1JFVl9DVVJSRU5ULi4yOS8wMy8yMDI2Li4uVVNELkgBAAAAIHoFAAMAAAAAAI9wT31Ejd4Ij3BPfUSN3gg7Q0lRLk5BU0RBUTpDQUxNLklRX0RFRl9UQVhfTElBQl9DVVJSRU5ULi4yOS8wMy8yMDI2Li4uVVNELkgBAAAAIHoFAAMAAAAAAI9wT31Ejd4Ij3BPfUSN3gg1Q0lRLk5BU0RBUTpDQUxNLklRX09USEVSX0NMX1NVUFBMLi4yOS8wMy8yMDI2Li4uVVNELkgBAAAAIHoFAAIAAAAGMzQuMjgzAQgAAAAFAAAAATEBAAAACy0xOTEwNjI3ODM4AwAAAAMxNjACAAAABDEwNTcEAAAAATAHAAAACTMvMjkvMjAyNggAAAAKMTEvMjkvMjAyNQkAAAABMJOXT31Ejd4Ik5dPfUSN3ggvQ0lRLk5BU0RBUTpDQUxNLklRX1RPVEFMX0NMLi4yOS8wMy8yMDI2Li4uVVNELkgBAAAAIHoFAAIAAAAHMjE4LjgyOAEIAAAABQAAAAExAQAAAAstMTkxMDYyNzgzOAMAAAADMTYwAgAAAAQxMDA5BAAAAAEwBwAAAAkzLzI5LzIwMjYIAAAACjExLzI5LzIwMjUJAAAAATCTl099RI3eCJOXT31Ejd4ILkNJUS5OQVNEQVE6</t>
  </si>
  <si>
    <t>Q0FMTS5JUV9MVF9ERUJULi4yOS8wMy8yMDI2Li4uVVNELkgBAAAAIHoFAAMAAAAAAJOXT31Ejd4Ik5dPfUSN3gg3Q0lRLk5BU0RBUTpDQUxNLklRX0xPTkdfVEVSTV9MRUFTRVMuLjI5LzAzLzIwMjYuLi5VU0QuSAEAAAAgegUAAwAAAAAAk5dPfUSN3giTl099RI3eCDZDSVEuTkFTREFROkNBTE0uSVFfRklOX0RJVl9ERUJUX0xULi4yOS8wMy8yMDI2Li4uVVNELkgBAAAAIHoFAAMAAAAAAJOXT31Ejd4Ik5dPfUSN3gg2Q0lRLk5BU0RBUTpDQUxNLklRX0ZJTl9ESVZfTElBQl9MVC4uMjkvMDMvMjAyNi4uLlVTRC5IAQAAACB6BQADAAAAAACTl099RI3eCJOXT31Ejd4INENJUS5OQVNEQVE6Q0FMTS5JUV9VTkVBUk5fUkVWX0xULi4yOS8wMy8yMDI2Li4uVVNELkgBAAAAIHoFAAMAAAAAAJOXT31Ejd4Ik5dPfUSN3gguQ0lRLk5BU0RBUTpDQUxNLklRX1BFTlNJT04uLjI5LzAzLzIwMjYuLi5VU0QuSAEAAAAgegUAAwAAAAAAk5dPfUSN3giTl099RI3eCDZDSVEuTkFTREFROkNBTE0uSVFfREVGX1RBWF9MSUFCX0xULi4yOS8wMy8yMDI2Li4uVVNELkgBAAAAIHoFAAIAAAAHMTY5Ljg4MgEIAAAABQAAAAExAQAAAAstMTkxMDYyNzgzOAMAAAADMTYwAgAAAAQxMDI3BAAAAAEwBwAAAAkzLzI5LzIwMjYIAAAACjExLzI5LzIwMjUJAAAAATCTl099RI3eCJOXT31Ejd4INENJUS5OQVNEQVE6Q0FMTS5JUV9PVEhF</t>
  </si>
  <si>
    <t>Ul9MSUFCX0xULi4yOS8wMy8yMDI2Li4uVVNELkgBAAAAIHoFAAIAAAAGNTcuNTg4AQgAAAAFAAAAATEBAAAACy0xOTEwNjI3ODM4AwAAAAMxNjACAAAABDEwNjIEAAAAATAHAAAACTMvMjkvMjAyNggAAAAKMTEvMjkvMjAyNQkAAAABMJOXT31Ejd4Ik5dPfUSN3ggxQ0lRLk5BU0RBUTpDQUxNLklRX1RPVEFMX0xJQUIuLjI5LzAzLzIwMjYuLi5VU0QuSAEAAAAgegUAAgAAAAc0NDYuMjk4AQgAAAAFAAAAATEBAAAACy0xOTEwNjI3ODM4AwAAAAMxNjACAAAABDEyNzYEAAAAATAHAAAACTMvMjkvMjAyNggAAAAKMTEvMjkvMjAyNQkAAAABMJOXT31Ejd4Ik5dPfUSN3ggyQ0lRLk5BU0RBUTpDQUxNLklRX1BSRUZfUkVERUVNLi4yOS8wMy8yMDI2Li4uVVNELkgBAAAAIHoFAAMAAAAAAJOXT31Ejd4Ik5dPfUSN3gg2Q0lRLk5BU0RBUTpDQUxNLklRX1BSRUZfTk9OX1JFREVFTS4uMjkvMDMvMjAyNi4uLlVTRC5IAQAAACB6BQADAAAAAACTl099RI3eCJOXT31Ejd4IM0NJUS5OQVNEQVE6Q0FMTS5JUV9QUkVGX0NPTlZFUlQuLjI5LzAzLzIwMjYuLi5VU0QuSAEAAAAgegUAAwAAAAAAk5dPfUSN3giTl099RI3eCDFDSVEuTkFTREFROkNBTE0uSVFfUFJFRl9PVEhFUi4uMjkvMDMvMjAyNi4uLlVTRC5IAQAAACB6BQADAAAAAACTl099RI3eCJOXT31Ejd4IMkNJUS5OQVNEQVE6Q0FMTS5JUV9QUkVGX0VRVUlUWS4u</t>
  </si>
  <si>
    <t>MjkvMDMvMjAyNi4uLlVTRC5IAQAAACB6BQADAAAAAACTl099RI3eCJOXT31Ejd4ILUNJUS5OQVNEQVE6Q0FMTS5JUV9DT01NT04uLjI5LzAzLzIwMjYuLi5VU0QuSAEAAAAgegUAAgAAAAUwLjc1MQEIAAAABQAAAAExAQAAAAstMTkxMDYyNzgzOAMAAAADMTYwAgAAAAQxMTAzBAAAAAEwBwAAAAkzLzI5LzIwMjYIAAAACjExLzI5LzIwMjUJAAAAATCTl099RI3eCJOXT31Ejd4IK0NJUS5OQVNEQVE6Q0FMTS5JUV9BUElDLi4yOS8wMy8yMDI2Li4uVVNELkgBAAAAIHoFAAIAAAAGODMuNTE0AQgAAAAFAAAAATEBAAAACy0xOTEwNjI3ODM4AwAAAAMxNjACAAAABDEwODQEAAAAATAHAAAACTMvMjkvMjAyNggAAAAKMTEvMjkvMjAyNQkAAAABMJOXT31Ejd4Ik5dPfUSN3ggpQ0lRLk5BU0RBUTpDQUxNLklRX1JFLi4yOS8wMy8yMDI2Li4uVVNELkgBAAAAIHoFAAIAAAAIMjc2Ny4zNDcBCAAAAAUAAAABMQEAAAALLTE5MTA2Mjc4MzgDAAAAAzE2MAIAAAAEMTIyMgQAAAABMAcAAAAJMy8yOS8yMDI2CAAAAAoxMS8yOS8yMDI1CQAAAAEwk5dPfUSN3giTl099RI3eCC9DSVEuTkFTREFROkNBTE0uSVFfVFJFQVNVUlkuLjI5LzAzLzIwMjYuLi5VU0QuSAEAAAAgegUAAgAAAAgtMTYxLjQ3NwEIAAAABQAAAAExAQAAAAstMTkxMDYyNzgzOAMAAAADMTYwAgAAAAQxMjQ4BAAAAAEwBwAAAAkzLzI5LzIwMjYIAAAACjEx</t>
  </si>
  <si>
    <t>LzI5LzIwMjUJAAAAATCTl099RI3eCJOXT31Ejd4IM0NJUS5OQVNEQVE6Q0FMTS5JUV9PVEhFUl9FUVVJVFkuLjI5LzAzLzIwMjYuLi5VU0QuSAEAAAAgegUAAgAAAAUxLjMyNgEIAAAABQAAAAExAQAAAAstMTkxMDYyNzgzOAMAAAADMTYwAgAAAAQxMDI4BAAAAAEwBwAAAAkzLzI5LzIwMjYIAAAACjExLzI5LzIwMjUJAAAAATCTl099RI3eCJOXT31Ejd4IOkNJUS5OQVNEQVE6Q0FMTS5JUV9UT1RBTF9DT01NT05fRVFVSVRZLi4yOS8wMy8yMDI2Li4uVVNELkgBAAAAIHoFAAIAAAAIMjY5MS40NjEBCAAAAAUAAAABMQEAAAALLTE5MTA2Mjc4MzgDAAAAAzE2MAIAAAAEMTAwNgQAAAABMAcAAAAJMy8yOS8yMDI2CAAAAAoxMS8yOS8yMDI1CQAAAAEwk5dPfUSN3giTl099RI3eCDhDSVEuTkFTREFROkNBTE0uSVFfTUlOT1JJVFlfSU5URVJFU1QuLjI5LzAzLzIwMjYuLi5VU0QuSAEAAAAgegUAAgAAAAU2LjMwNQEIAAAABQAAAAExAQAAAAstMTkxMDYyNzgzOAMAAAADMTYwAgAAAAQxMDUyBAAAAAEwBwAAAAkzLzI5LzIwMjYIAAAACjExLzI5LzIwMjUJAAAAATCTl099RI3eCJOXT31Ejd4IM0NJUS5OQVNEQVE6Q0FMTS5JUV9UT1RBTF9FUVVJVFkuLjI5LzAzLzIwMjYuLi5VU0QuSAEAAAAgegUAAgAAAAgyNjk3Ljc2NgEIAAAABQAAAAExAQAAAAstMTkxMDYyNzgzOAMAAAADMTYwAgAAAAQxMjc1BAAAAAEw</t>
  </si>
  <si>
    <t>BwAAAAkzLzI5LzIwMjYIAAAACjExLzI5LzIwMjUJAAAAATCTl099RI3eCJOXT31Ejd4IOENJUS5OQVNEQVE6Q0FMTS5JUV9UT1RBTF9MSUFCX0VRVUlUWS4uMjkvMDMvMjAyNi4uLlVTRC5IAQAAACB6BQACAAAACDMxNDQuMDY0AQgAAAAFAAAAATEBAAAACy0xOTEwNjI3ODM4AwAAAAMxNjACAAAABDEwMTMEAAAAATAHAAAACTMvMjkvMjAyNggAAAAKMTEvMjkvMjAyNQkAAAABMJOXT31Ejd4Ik5dPfUSN3ggwQ0lRLk5BU0RBUTpDQUxNLklRX1JVQV9HUk9TUy4uMjkvMDMvMjAyNi4uLlVTRC5IAQAAACB6BQADAAAAAACTl099RI3eCJOXT31Ejd4INENJUS5OQVNEQVE6Q0FMTS5JUV9SVUFfQUNDVU1fREVQLi4yOS8wMy8yMDI2Li4uVVNELkgBAAAAIHoFAAMAAAAAAJOXT31Ejd4Ik5dPfUSN3gguQ0lRLk5BU0RBUTpDQUxNLklRX1JVQV9ORVQuLjI5LzAzLzIwMjYuLi5VU0QuSAEAAAAgegUAAwAAAAAAk5dPfUSN3giTl099RI3eCD5DSVEuTkFTREFROkNBTE0uSVFfUlVBX0NBUElUQUxfTEVBU0VfR1JPU1MuLjI5LzAzLzIwMjYuLi5VU0QuSAEAAAAgegUAAwAAAAAAk5dPfUSN3giTl099RI3eCEJDSVEuTkFTREFROkNBTE0uSVFfUlVBX0NBUElUQUxfTEVBU0VfQUNDVU1fREVQLi4yOS8wMy8yMDI2Li4uVVNELkgBAAAAIHoFAAMAAAAAAKK+T31Ejd4Ior5PfUSN3gg8Q0lRLk5BU0RBUTpDQUxNLklRX1JV</t>
  </si>
  <si>
    <t>QV9DQVBJVEFMX0xFQVNFX05FVC4uMjkvMDMvMjAyNi4uLlVTRC5IAQAAACB6BQADAAAAAACivk99RI3eCKK+T31Ejd4IQENJUS5OQVNEQVE6Q0FMTS5JUV9SVUFfT1BFUkFUSU5HX0xFQVNFX0dST1NTLi4yOS8wMy8yMDI2Li4uVVNELkgBAAAAIHoFAAMAAAAAAKK+T31Ejd4Ior5PfUSN3ghEQ0lRLk5BU0RBUTpDQUxNLklRX1JVQV9PUEVSQVRJTkdfTEVBU0VfQUNDVU1fREVQLi4yOS8wMy8yMDI2Li4uVVNELkgBAAAAIHoFAAMAAAAAAKK+T31Ejd4Ior5PfUSN3gg+Q0lRLk5BU0RBUTpDQUxNLklRX1JVQV9PUEVSQVRJTkdfTEVBU0VfTkVULi4yOS8wMy8yMDI2Li4uVVNELkgBAAAAIHoFAAMAAAAAAKK+T31Ejd4Ior5PfUSN3gg8Q0lRLk5BU0RBUTpDQUxNLklRX0dQUEVfRVhDTF9PUEVSX0xFQVNFUy4uMjkvMDMvMjAyNi4uLlVTRC5IAQAAACB6BQADAAAAAACivk99RI3eCKK+T31Ejd4IOkNJUS5OQVNEQVE6Q0FMTS5JUV9BRF9FWENMX09QRVJfTEVBU0VTLi4yOS8wMy8yMDI2Li4uVVNELkgBAAAAIHoFAAMAAAAAAKK+T31Ejd4Ior5PfUSN3gg8Q0lRLk5BU0RBUTpDQUxNLklRX05QUEVfRVhDTF9PUEVSX0xFQVNFUy4uMjkvMDMvMjAyNi4uLlVTRC5IAQAAACB6BQACAAAACDEyMTguNjU0AQgAAAAFAAAAATEBAAAACy0xOTEwNjI3ODM4AwAAAAMxNjACAAAABTQ4OTc2BAAAAAEwBwAAAAkzLzI5LzIw</t>
  </si>
  <si>
    <t>MjYIAAAACjExLzI5LzIwMjUJAAAAATCAdlh9RI3eCIB2WH1Ejd4IPUNJUS5OQVNEQVE6Q0FMTS5JUV9GSU5BTkNFX0xFQVNFU19DVVJSRU5ULi4yOS8wMy8yMDI2Li4uVVNELkgBAAAAIHoFAAMAAAAAAIB2WH1Ejd4IgHZYfUSN3gg/Q0lRLk5BU0RBUTpDQUxNLklRX0ZJTkFOQ0VfTEVBU0VTX0xPTkdfVEVSTS4uMjkvMDMvMjAyNi4uLlVTRC5IAQAAACB6BQADAAAAAACAdlh9RI3eCIB2WH1Ejd4IO0NJUS5OQVNEQVE6Q0FMTS5JUV9UT1RBTF9GSU5BTkNFX0xFQVNFUy4uMjkvMDMvMjAyNi4uLlVTRC5IAQAAACB6BQADAAAAAACAdlh9RI3eCIB2WH1Ejd4ITUNJUS5OQVNEQVE6Q0FMTS5JUV9DVVJSRU5UX1BPUlRJT05fT1BFUl9MRUFTRV9MSUFCSUxJVElFUy4uMjkvMDMvMjAyNi4uLlVTRC5IAQAAACB6BQADAAAAAACnnVh9RI3eCKedWH1Ejd4ISENJUS5OQVNEQVE6Q0FMTS5JUV9MVF9QT1JUSU9OX09QRVJfTEVBU0VfTElBQklMSVRJRVMuLjI5LzAzLzIwMjYuLi5VU0QuSAEAAAAgegUAAwAAAAAAp51YfUSN3ginnVh9RI3eCDhDSVEuTkFTREFROkNBTE0uSVFfVE9UQUxfT1BFUl9MRUFTRVMuLjI5LzAzLzIwMjYuLi5VU0QuSAEAAAAgegUAAwAAAAAAp51YfUSN3ginnVh9RI3eCDNDSVEuTkFTREFROkNBTE0uSVFfVE9UQUxfTEVBU0VTLi4yOS8wMy8yMDI2Li4uVVNELkgBAAAAIHoFAAMAAAAAAKed</t>
  </si>
  <si>
    <t>WH1Ejd4Ip51YfUSN3ghPQ0lRLk5BU0RBUTpDQUxNLklRX0ZJTkFOQ0lOR19PQkxJR19DVVJSRU5UX0VYQ0xfT1BFUl9MRUFTRVMuLjI5LzAzLzIwMjYuLi5VU0QuSAEAAAAgegUAAwAAAAAAp51YfUSN3ginnVh9RI3eCFNDSVEuTkFTREFROkNBTE0uSVFfRklOQU5DSU5HX09CTElHX05PTl9DVVJSRU5UX0VYQ0xfT1BFUl9MRUFTRVMuLjI5LzAzLzIwMjYuLi5VU0QuSAEAAAAgegUAAwAAAAAAp51YfUSN3ginnVh9RI3eCEJDSVEuTkFTREFROkNBTE0uSVFfVE9UQUxfREVCVF9FWENMX09QRVJfTEVBU0VTLi4yOS8wMy8yMDI2Li4uVVNELkgBAAAAIHoFAAMAAAAAAKedWH1Ejd4Ip51YfUSN3gg9Q0lRLk5BU0RBUTpDQUxNLklRX1RPVEFMX0RFQlRfRVhDTF9MRUFTRVMuLjI5LzAzLzIwMjYuLi5VU0QuSAEAAAAgegUAAwAAAAAAp51YfUSN3ginnVh9RI3eCC9DSVEuTkFTREFROkNBTE0uSVFfQlZfU0hBUkUuLjI5LzAzLzIwMjYuLi5VU0QuSAEAAAAgegUAAgAAAAk1Ni40NzkyMjUBCAAAAAUAAAABMQEAAAALLTE5MTA2Mjc4MzgDAAAAAzE2MAIAAAAENDAyMAQAAAABMAcAAAAJMy8yOS8yMDI2CAAAAAoxMS8yOS8yMDI1CQAAAAEwp51YfUSN3ginnVh9RI3eCDhDSVEuTkFTREFROkNBTE0uSVFfQlZfU0hBUkVfUkVQT1JURUQuLjI5LzAzLzIwMjYuLi5VU0QuSAEAAAAgegUAAwAAAAAAp51YfUSN3ginnVh9</t>
  </si>
  <si>
    <t>RI3eCDBDSVEuTkFTREFROkNBTE0uSVFfVEJWX1NIQVJFLi4yOS8wMy8yMDI2Li4uVVNELkgBAAAAIHoFAAIAAAAJNTMuNDk2MjY0AQgAAAAFAAAAATEBAAAACy0xOTEwNjI3ODM4AwAAAAMxNjACAAAABDQxNTYEAAAAATAHAAAACTMvMjkvMjAyNggAAAAKMTEvMjkvMjAyNQkAAAABMKedWH1Ejd4Ip51YfUSN3gg5Q0lRLk5BU0RBUTpDQUxNLklRX1RCVl9TSEFSRV9SRVBPUlRFRC4uMjkvMDMvMjAyNi4uLlVTRC5IAQAAACB6BQADAAAAAACnnVh9RI3eCKedWH1Ejd4IKkNJUS5OQVNEQVE6Q0FMTS5JUV9UQlYuLjI5LzAzLzIwMjYuLi5VU0QuSAEAAAAgegUAAgAAAAgyNTQ5LjMxMQEIAAAABQAAAAExAQAAAAstMTkxMDYyNzgzOAMAAAADMTYwAgAAAAQxMzEwBAAAAAEwBwAAAAkzLzI5LzIwMjYIAAAACjExLzI5LzIwMjUJAAAAATCnnVh9RI3eCKedWH1Ejd4IL0NJUS5OQVNEQVE6Q0FMTS5JUV9HV19JTlRBTi4uMjkvMDMvMjAyNi4uLlVTRC5IAQAAACB6BQACAAAABjE0Mi4xNQEIAAAABQAAAAExAQAAAAstMTkxMDYyNzgzOAMAAAADMTYwAgAAAAUzNTM4MQQAAAABMAcAAAAJMy8yOS8yMDI2CAAAAAoxMS8yOS8yMDI1CQAAAAEwp51YfUSN3ginnVh9RI3eCDFDSVEuTkFTREFROkNBTE0uSVFfQ0FTSF9TSEFSRS4uMjkvMDMvMjAyNi4uLlVTRC5IAQAAACB6BQACAAAACDcuNzUyNzU5AQgAAAAFAAAAATEB</t>
  </si>
  <si>
    <t>AAAACy0xOTEwNjI3ODM4AwAAAAMxNjACAAAABDQzODEEAAAAATAHAAAACTMvMjkvMjAyNggAAAAKMTEvMjkvMjAyNQkAAAABMKedWH1Ejd4Ip51YfUSN3ggxQ0lRLk5BU0RBUTpDQUxNLklRX1RPVEFMX0RFQlQuLjI5LzAzLzIwMjYuLi5VU0QuSAEAAAAgegUAAgAAAAEwAQgAAAAFAAAAATEBAAAACy0xOTEwNjI3ODM4AwAAAAMxNjACAAAABDQxNzMEAAAAATAHAAAACTMvMjkvMjAyNggAAAAKMTEvMjkvMjAyNQkAAAABMKedWH1Ejd4Ip51YfUSN3gg5Q0lRLk5BU0RBUTpDQUxNLklRX1RPVEFMX0RFQlRfQ1VSUkVOVC4uMjkvMDMvMjAyNi4uLlVTRC5IAQAAACB6BQADAAAAAACnnVh9RI3eCKedWH1Ejd4IPUNJUS5OQVNEQVE6Q0FMTS5JUV9UT1RBTF9ERUJUX05PTl9DVVJSRU5ULi4yOS8wMy8yMDI2Li4uVVNELkgBAAAAIHoFAAMAAAAAAKedWH1Ejd4Ip51YfUSN3ggvQ0lRLk5BU0RBUTpDQUxNLklRX05FVF9ERUJULi4yOS8wMy8yMDI2Li4uVVNELkgBAAAAIHoFAAIAAAAJLTExMzguOTg4AQgAAAAFAAAAATEBAAAACy0xOTEwNjI3ODM4AwAAAAMxNjACAAAABDQzNjQEAAAAATAHAAAACTMvMjkvMjAyNggAAAAKMTEvMjkvMjAyNQkAAAABMKedWH1Ejd4Ip51YfUSN3gg+Q0lRLk5BU0RBUTpDQUxNLklRX01JTk9SSVRZX0lOVEVSRVNUX1RPVEFMLi4yOS8wMy8yMDI2Li4uVVNELkgBAAAAIHoFAAIAAAAF</t>
  </si>
  <si>
    <t>Ni4zMDUBCAAAAAUAAAABMQEAAAALLTE5MTA2Mjc4MzgDAAAAAzE2MAIAAAAEMTMxMgQAAAABMAcAAAAJMy8yOS8yMDI2CAAAAAoxMS8yOS8yMDI1CQAAAAEwp51YfUSN3ginnVh9RI3eCDBDSVEuTkFTREFROkNBTE0uSVFfVE9UQUxfQ0FQLi4yOS8wMy8yMDI2Li4uVVNELkgBAAAAIHoFAAIAAAAIMjY5Ny43NjYBCAAAAAUAAAABMQEAAAALLTE5MTA2Mjc4MzgDAAAAAzE2MAIAAAAENDE3NQQAAAABMAcAAAAJMy8yOS8yMDI2CAAAAAoxMS8yOS8yMDI1CQAAAAEwp51YfUSN3ginnVh9RI3eCDJDSVEuTkFTREFROkNBTE0uSVFfV09SS0lOR19DQVAuLjI5LzAzLzIwMjYuLi5VU0QuSAEAAAAgegUAAgAAAAcxNTM1LjU5AQgAAAAFAAAAATEBAAAACy0xOTEwNjI3ODM4AwAAAAMxNjACAAAABDQxNjUEAAAAATAHAAAACTMvMjkvMjAyNggAAAAKMTEvMjkvMjAyNQkAAAABMKedWH1Ejd4Ip51YfUSN3gg2Q0lRLk5BU0RBUTpDQUxNLklRX05FVF9XT1JLSU5HX0NBUC4uMjkvMDMvMjAyNi4uLlVTRC5IAQAAACB6BQACAAAABzM5Ni42MDIBCAAAAAUAAAABMQEAAAALLTE5MTA2Mjc4MzgDAAAAAzE2MAIAAAAEMTMxMQQAAAABMAcAAAAJMy8yOS8yMDI2CAAAAAoxMS8yOS8yMDI1CQAAAAEwp51YfUSN3ginnVh9RI3eCDdDSVEuTkFTREFROkNBTE0uSVFfQUxMT1dfRE9VQlRfQUNDVC4uMjkvMDMvMjAyNi4uLlVTRC5I</t>
  </si>
  <si>
    <t>AQAAACB6BQADAAAAAACnnVh9RI3eCKedWH1Ejd4INENJUS5OQVNEQVE6Q0FMTS5JUV9FUVVJVFlfTUVUSE9ELi4yOS8wMy8yMDI2Li4uVVNELkgBAAAAIHoFAAIAAAAFOS45NzkBCAAAAAUAAAABMQEAAAALLTE5MTA2Mjc4MzgDAAAAAzE2MAIAAAAEMzA2MwQAAAABMAcAAAAJMy8yOS8yMDI2CAAAAAoxMS8yOS8yMDI1CQAAAAEwp51YfUSN3ginnVh9RI3eCDJDSVEuTkFTREFROkNBTE0uSVFfQVJfVU5CSUxMRUQuLjI5LzAzLzIwMjYuLi5VU0QuSAEAAAAgegUAAwAAAAAAp51YfUSN3ginnVh9RI3eCCxDSVEuTkFTREFROkNBTE0uSVFfTElGT1IuLjI5LzAzLzIwMjYuLi5VU0QuSAEAAAAgegUAAwAAAAAAp51YfUSN3ginnVh9RI3eCC5DSVEuTkFTREFROkNBTE0uSVFfUkFXX0lOVi4uMjkvMDMvMjAyNi4uLlVTRC5IAQAAACB6BQACAAAABzIzMS4wMDUBCAAAAAUAAAABMQEAAAALLTE5MTA2Mjc4MzgDAAAAAzE2MAIAAAAEMzE3MQQAAAABMAcAAAAJMy8yOS8yMDI2CAAAAAoxMS8yOS8yMDI1CQAAAAEwp51YfUSN3ginnVh9RI3eCC5DSVEuTkFTREFROkNBTE0uSVFfV0lQX0lOVi4uMjkvMDMvMjAyNi4uLlVTRC5IAQAAACB6BQADAAAAAACnnVh9RI3eCKedWH1Ejd4IM0NJUS5OQVNEQVE6Q0FMTS5JUV9GSU5JU0hFRF9JTlYuLjI5LzAzLzIwMjYuLi5VU0QuSAEAAAAgegUAAgAAAAcxMDkuNTgzAQgAAAAF</t>
  </si>
  <si>
    <t>AAAAATEBAAAACy0xOTEwNjI3ODM4AwAAAAMxNjACAAAABDMwNzUEAAAAATAHAAAACTMvMjkvMjAyNggAAAAKMTEvMjkvMjAyNQkAAAABMKedWH1Ejd4Ip51YfUSN3ggwQ0lRLk5BU0RBUTpDQUxNLklRX09USEVSX0lOVi4uMjkvMDMvMjAyNi4uLlVTRC5IAQAAACB6BQADAAAAAACnnVh9RI3eCKedWH1Ejd4IK0NJUS5OQVNEQVE6Q0FMTS5JUV9MQU5ELi4yOS8wMy8yMDI2Li4uVVNELkgBAAAAIHoFAAMAAAAAAKedWH1Ejd4Ip51YfUSN3ggwQ0lRLk5BU0RBUTpDQUxNLklRX0JVSUxESU5HUy4uMjkvMDMvMjAyNi4uLlVTRC5IAQAAACB6BQADAAAAAACnnVh9RI3eCKedWH1Ejd4IMENJUS5OQVNEQVE6Q0FMTS5JUV9NQUNISU5FUlkuLjI5LzAzLzIwMjYuLi5VU0QuSAEAAAAgegUAAwAAAAAAp51YfUSN3ginnVh9RI3eCC9DSVEuTkFTREFROkNBTE0uSVFfU09GVFdBUkUuLjI5LzAzLzIwMjYuLi5VU0QuSAEAAAAgegUAAwAAAAAAp51YfUSN3ginnVh9RI3eCD1DSVEuTkFTREFROkNBTE0uSVFfTkFUVVJBTF9SRVNPVVJDRVNfQ09TVC4uMjkvMDMvMjAyNi4uLlVTRC5IAQAAACB6BQADAAAAAACnnVh9RI3eCKedWH1Ejd4IKkNJUS5OQVNEQVE6Q0FMTS5JUV9DSVAuLjI5LzAzLzIwMjYuLi5VU0QuSAEAAAAgegUAAwAAAAAAp51YfUSN3ginnVh9RI3eCDxDSVEuTkFTREFROkNBTE0uSVFfTEVBU0VIT0xEX0lN</t>
  </si>
  <si>
    <t>UFJPVkVNRU5ULi4yOS8wMy8yMDI2Li4uVVNELkgBAAAAIHoFAAMAAAAAAKedWH1Ejd4Ip51YfUSN3gg6Q0lRLk5BU0RBUTpDQUxNLklRX01JTk9SSVRZX0lOVF9SRURFRU0uLjI5LzAzLzIwMjYuLi5VU0QuSAEAAAAgegUAAwAAAAAAp51YfUSN3ginnVh9RI3eCEJDSVEuTkFTREFROkNBTE0uSVFfRklOX0RJVl9NSU5PUklUWV9JTlRfUkVERUVNLi4yOS8wMy8yMDI2Li4uVVNELkgBAAAAIHoFAAMAAAAAAKedWH1Ejd4Ip51YfUSN3gg+Q0lRLk5BU0RBUTpDQUxNLklRX01JTk9SSVRZX0lOVF9SRURFRU1fVE9ULi4yOS8wMy8yMDI2Li4uVVNELkgBAAAAIHoFAAMAAAAAAKedWH1Ejd4Ip51YfUSN3ghAQ0lRLk5BU0RBUTpDQUxNLklRX0ZJTl9ESVZfTUlOT1JJVFlfSU5URVJFU1QuLjI5LzAzLzIwMjYuLi5VU0QuSAEAAAAgegUAAwAAAAAAp51YfUSN3ginnVh9RI3eCEJDSVEuTkFTREFROkNBTE0uSVFfREVGX1RBWF9WQUxVQVRJT05fQUxMT1dBTkNFLi4yOS8wMy8yMDI2Li4uVVNELkgBAAAAIHoFAAMAAAAAAI/YWH1Ejd4Ij9hYfUSN3ghEQ0lRLk5BU0RBUTpDQUxNLklRX0dFTkVSQUxfUEFSVE5FUl9DT01NT05fRVFVSVRZLi4yOS8wMy8yMDI2Li4uVVNELkgBAAAAIHoFAAMAAAAAAI/YWH1Ejd4Ij9hYfUSN3ghCQ0lRLk5BU0RBUTpDQUxNLklRX0dFTkVSQUxfUEFSVE5FUl9QUkVGX0VRVUlUWS4uMjkv</t>
  </si>
  <si>
    <t>MDMvMjAyNi4uLlVTRC5IAQAAACB6BQADAAAAAACP2Fh9RI3eCI/YWH1Ejd4ISENJUS5OQVNEQVE6Q0FMTS5JUV9HRU5FUkFMX1BBUlRORVJfTUlOT1JJVFlfSU5URVJFU1QuLjI5LzAzLzIwMjYuLi5VU0QuSAEAAAAgegUAAwAAAAAAj9hYfUSN3giP2Fh9RI3eCEVDSVEuTkFTREFROkNBTE0uSVFfVE9UQUxfR0VORVJBTF9QQVJUTkVSX0lOVEVSRVNULi4yOS8wMy8yMDI2Li4uVVNELkgBAAAAIHoFAAMAAAAAAI/YWH1Ejd4Ij9hYfUSN3ghKQ0lRLk5BU0RBUTpDQUxNLklRX0xJUVVJREFUSU9OX1ZBTFVFX1BSRUZFUlJFRF9DT05WRVJULi4yOS8wMy8yMDI2Li4uVVNELkgBAAAAIHoFAAMAAAAAAI/YWH1Ejd4Ij9hYfUSN3ghNQ0lRLk5BU0RBUTpDQUxNLklRX0xJUVVJREFUSU9OX1ZBTFVFX1BSRUZFUlJFRF9OT05fUkVERUVNLi4yOS8wMy8yMDI2Li4uVVNELkgBAAAAIHoFAAMAAAAAAI/YWH1Ejd4Ij9hYfUSN3ghJQ0lRLk5BU0RBUTpDQUxNLklRX0xJUVVJREFUSU9OX1ZBTFVFX1BSRUZFUlJFRF9SRURFRU0uLjI5LzAzLzIwMjYuLi5VU0QuSAEAAAAgegUAAwAAAAAAj9hYfUSN3giP2Fh9RI3eCDVDSVEuTkFTREFROkNBTE0uSVFfQVNTRVRTX0xFVkVMXzEuLjI5LzAzLzIwMjYuLi5VU0QuSAEAAAAgegUAAwAAAAAAj9hYfUSN3giP2Fh9RI3eCDVDSVEuTkFTREFROkNBTE0uSVFfQVNTRVRTX0xFVkVM</t>
  </si>
  <si>
    <t>XzIuLjI5LzAzLzIwMjYuLi5VU0QuSAEAAAAgegUAAgAAAAc3NjkuNTM4AI/YWH1Ejd4Ij9hYfUSN3gg1Q0lRLk5BU0RBUTpDQUxNLklRX0FTU0VUU19MRVZFTF8zLi4yOS8wMy8yMDI2Li4uVVNELkgBAAAAIHoFAAMAAAAAAI/YWH1Ejd4Ij9hYfUSN3ghHQ0lRLk5BU0RBUTpDQUxNLklRX0FTU0VUU19ORVRUSU5HX09USEVSX0FESlVTVE1FTlRTLi4yOS8wMy8yMDI2Li4uVVNELkgBAAAAIHoFAAMAAAAAAI/YWH1Ejd4Ij9hYfUSN3gg4Q0lRLk5BU0RBUTpDQUxNLklRX0FTU0VUU19GQUlSX1ZBTFVFLi4yOS8wMy8yMDI2Li4uVVNELkgBAAAAIHoFAAIAAAAHNzY5LjUzOACP2Fh9RI3eCI/YWH1Ejd4IOkNJUS5OQVNEQVE6Q0FMTS5JUV9MSUFCSUxJVElFU19MRVZFTF8xLi4yOS8wMy8yMDI2Li4uVVNELkgBAAAAIHoFAAMAAAAAAI/YWH1Ejd4Ij9hYfUSN3gg6Q0lRLk5BU0RBUTpDQUxNLklRX0xJQUJJTElUSUVTX0xFVkVMXzIuLjI5LzAzLzIwMjYuLi5VU0QuSAEAAAAgegUAAwAAAAAAj9hYfUSN3giP2Fh9RI3eCDpDSVEuTkFTREFROkNBTE0uSVFfTElBQklMSVRJRVNfTEVWRUxfMy4uMjkvMDMvMjAyNi4uLlVTRC5IAQAAACB6BQACAAAAAjIzAI/YWH1Ejd4Ij9hYfUSN3ghMQ0lRLk5BU0RBUTpDQUxNLklRX0xJQUJJTElUSUVTX05FVFRJTkdfT1RIRVJfQURKVVNUTUVOVFMuLjI5LzAzLzIwMjYuLi5V</t>
  </si>
  <si>
    <t>U0QuSAEAAAAgegUAAwAAAAAAj9hYfUSN3giP2Fh9RI3eCD1DSVEuTkFTREFROkNBTE0uSVFfTElBQklMSVRJRVNfRkFJUl9WQUxVRS4uMjkvMDMvMjAyNi4uLlVTRC5IAQAAACB6BQACAAAAAjIzAI/YWH1Ejd4Ij9hYfUSN3ghGQ0lRLk5BU0RBUTpDQUxNLklRX0ZBSVJfVkFMVUVfQ0hBTkdFX0lOQ0xfRUFSTklOR1MuLjI5LzAzLzIwMjYuLi5VU0QuSAEAAAAgegUAAgAAAAUtMTYuNQCP2Fh9RI3eCI/YWH1Ejd4IPENJUS5OQVNEQVE6Q0FMTS5JUV9GSU5fRElWX0xUX0RFQlRfVE9UQUwuLjI5LzAzLzIwMjYuLi5VU0QuSAEAAAAgegUAAwAAAAAA2/9YfUSN3gjb/1h9RI3eCDxDSVEuTkFTREFROkNBTE0uSVFfRklOX0RJVl9TVF9ERUJUX1RPVEFMLi4yOS8wMy8yMDI2Li4uVVNELkgBAAAAIHoFAAMAAAAAANv/WH1Ejd4I2/9YfUSN3gg5Q0lRLk5BU0RBUTpDQUxNLklRX0ZJTl9ESVZfREVCVF9UT1RBTC4uMjkvMDMvMjAyNi4uLlVTRC5IAQAAACB6BQADAAAAAADb/1h9RI3eCNv/WH1Ejd4IOUNJUS5OQVNEQVE6Q0FMTS5JUV9GSU5fRElWX0NBU0hfRVFVSVYuLjI5LzAzLzIwMjYuLi5VU0QuSAEAAAAgegUAAwAAAAAA2/9YfUSN3gjb/1h9RI3eCDhDSVEuTkFTREFROkNBTE0uSVFfRklOX0RJVl9TVF9JTlZFU1QuLjI5LzAzLzIwMjYuLi5VU0QuSAEAAAAgegUAAwAAAAAA2/9YfUSN3gjb/1h9RI3eCDlD</t>
  </si>
  <si>
    <t>SVEuTkFTREFROkNBTE0uSVFfREVCVF9FUVVJVl9ORVRfUEJPLi4yOS8wMy8yMDI2Li4uVVNELkgBAAAAIHoFAAMAAAAAANv/WH1Ejd4I2/9YfUSN3gg8Q0lRLk5BU0RBUTpDQUxNLklRX0RFQlRfRVFVSVZfT1BFUl9MRUFTRS4uMjkvMDMvMjAyNi4uLlVTRC5IAQAAACB6BQADAAAAAADb/1h9RI3eCNv/WH1Ejd4IQkNJUS5OQVNEQVE6Q0FMTS5JUV9SRVNUUklDVEVEX0NBU0hfTk9OX0NVUlJFTlQuLjI5LzAzLzIwMjYuLi5VU0QuSAEAAAAgegUAAwAAAAAA2/9YfUSN3gjb/1h9RI3eCDxDSVEuTkFTREFROkNBTE0uSVFfUkVTVFJJQ1RFRF9DQVNIX1RPVEFMLi4yOS8wMy8yMDI2Li4uVVNELkgBAAAAIHoFAAMAAAAAANv/WH1Ejd4I2/9YfUSN3gg6Q0lRLk5BU0RBUTpDQUxNLklRX1RPVEFMX0RFQlRfRVhDTF9GSU4uLjI5LzAzLzIwMjYuLi5VU0QuSAEAAAAgegUAAwAAAAAA2/9YfUSN3gjb/1h9RI3eCDRDSVEuTkFTREFROkNBTE0uSVFfT1JERVJfQkFDS0xPRy4uMjkvMDMvMjAyNi4uLlVTRC5IAQAAACB6BQADAAAAAADb/1h9RI3eCNv/WH1Ejd4IPUNJUS5OQVNEQVE6Q0FMTS5JUV9DT05USU5HRU5UX0xJQUJJTElUSUVTLi4yOS8wMy8yMDI2Li4uVVNELkgBAAAAIHoFAAIAAAADNC43AQgAAAAFAAAAATEBAAAACy0xOTEwNjI3ODM4AwAAAAMxNjACAAAABTI0NjcxBAAAAAEwBwAAAAkzLzI5LzIwMjYI</t>
  </si>
  <si>
    <t>AAAACjExLzI5LzIwMjUJAAAAATDb/1h9RI3eCNv/WH1Ejd4IO0NJUS5OQVNEQVE6Q0FMTS5JUV9XQVJSQU5UWV9MSUFCSUxJVElFUy4uMjkvMDMvMjAyNi4uLlVTRC5IAQAAACB6BQADAAAAAADb/1h9RI3eCNv/WH1Ejd4IOkNJUS5OQVNEQVE6Q0FMTS5JUV9TVF9ERUJUX0RFUklWQVRJVkVTLi4yOS8wMy8yMDI2Li4uVVNELkgBAAAAIHoFAAMAAAAAANv/WH1Ejd4I2/9YfUSN3ghEQ0lRLk5BU0RBUTpDQUxNLklRX0NVUlJFTlRfUE9SVF9ERUJUX0RFUklWQVRJVkVTLi4yOS8wMy8yMDI2Li4uVVNELkgBAAAAIHoFAAMAAAAAANv/WH1Ejd4I2/9YfUSN3gg6Q0lRLk5BU0RBUTpDQUxNLklRX0xUX0RFQlRfREVSSVZBVElWRVMuLjI5LzAzLzIwMjYuLi5VU0QuSAEAAAAgegUAAwAAAAAA2/9YfUSN3gjb/1h9RI3eCD5DSVEuTkFTREFROkNBTE0uSVFfREVSSVZBVElWRV9MSUFCX0NVUlJFTlQuLjI5LzAzLzIwMjYuLi5VU0QuSAEAAAAgegUAAwAAAAAA2/9YfUSN3gjb/1h9RI3eCEJDSVEuTkFTREFROkNBTE0uSVFfREVSSVZBVElWRV9MSUFCX05PTl9DVVJSRU5ULi4yOS8wMy8yMDI2Li4uVVNELkgBAAAAIHoFAAMAAAAAANv/WH1Ejd4I2/9YfUSN3ghAQ0lRLk5BU0RBUTpDQUxNLklRX0RFUklWQVRJVkVfVFJBRElOR19BU1NFVFMuLjI5LzAzLzIwMjYuLi5VU0QuSAEAAAAgegUAAwAAAAAA2/9YfUSN3gjb</t>
  </si>
  <si>
    <t>/1h9RI3eCEBDSVEuTkFTREFROkNBTE0uSVFfREVSSVZBVElWRV9BU1NFVFNfQ1VSUkVOVC4uMjkvMDMvMjAyNi4uLlVTRC5IAQAAACB6BQADAAAAAADb/1h9RI3eCNv/WH1Ejd4IO0NJUS5OQVNEQVE6Q0FMTS5JUV9ERVJJVkFUSVZFX0FTU0VUU19MVC4uMjkvMDMvMjAyNi4uLlVTRC5IAQAAACB6BQADAAAAAADb/1h9RI3eCNv/WH1Ejd4IOUNJUS5OQVNEQVE6Q0FMTS5JUV9HUk9TU19JTlRBTl9BU1NFVFMuLjI5LzAzLzIwMjYuLi5VU0QuSAEAAAAgegUAAwAAAAAA2/9YfUSN3gjb/1h9RI3eCD9DSVEuTkFTREFROkNBTE0uSVFfQUNDVU1fQU1PUlRfSU5UQU5fQVNTRVRTLi4yOS8wMy8yMDI2Li4uVVNELkgBAAAAIHoFAAMAAAAAANv/WH1Ejd4I2/9YfUSN3ggvQ0lRLk5BU0RBUTpDQUxNLklRX0dST1NTX0dXLi4yOS8wMy8yMDI2Li4uVVNELkgBAAAAIHoFAAMAAAAAAOImWX1Ejd4I4iZZfUSN3gg1Q0lRLk5BU0RBUTpDQUxNLklRX0FDQ1VNX0FNT1JUX0dXLi4yOS8wMy8yMDI2Li4uVVNELkgBAAAAIHoFAAMAAAAAAOImWX1Ejd4I4iZZfUSN3gg5Q0lRLk5BU0RBUTpDQUxNLklRX0xUX01BUktfU0VDVVJJVElFUy4uMjkvMDMvMjAyNi4uLlVTRC5IAQAAACB6BQADAAAAAADiJll9RI3eCOImWX1Ejd4IPENJUS5OQVNEQVE6Q0FMTS5JUV9BRFZBTkNFU19GT1JfU1VQUExJRVMuLjI5LzAzLzIwMjYuLi5V</t>
  </si>
  <si>
    <t>U0QuSAEAAAAgegUAAwAAAAAA4iZZfUSN3gjiJll9RI3eCDNDSVEuTkFTREFROkNBTE0uSVFfR1dfSU5UQU5fTkVULi4yOS8wMy8yMDI2Li4uVVNELkgBAAAAIHoFAAMAAAAAAOImWX1Ejd4I4iZZfUSN3ggtQ0lRLk5BU0RBUTpDQUxNLklRX0dXX05FVC4uMjkvMDMvMjAyNi4uLlVTRC5IAQAAACB6BQACAAAABjg3LjA1OQEIAAAABQAAAAExAQAAAAstMTkxMDYyNzgzOAMAAAADMTYwAgAAAAU0ODk2MAQAAAABMAcAAAAJMy8yOS8yMDI2CAAAAAoxMS8yOS8yMDI1CQAAAAEw4iZZfUSN3gjiJll9RI3eCDBDSVEuTkFTREFROkNBTE0uSVFfSU5UQU5fTkVULi4yOS8wMy8yMDI2Li4uVVNELkgBAAAAIHoFAAIAAAAGNTUuMDkxAQgAAAAFAAAAATEBAAAACy0xOTEwNjI3ODM4AwAAAAMxNjACAAAABTQ4OTYyBAAAAAEwBwAAAAkzLzI5LzIwMjYIAAAACjExLzI5LzIwMjUJAAAAATDiJll9RI3eCOImWX1Ejd4INkNJUS5OQVNEQVE6Q0FMTS5JUV9JTlRFUkNPTVBBTllfQ0EuLjI5LzAzLzIwMjYuLi5VU0QuSAEAAAAgegUAAwAAAAAA4iZZfUSN3gjiJll9RI3eCDpDSVEuTkFTREFROkNBTE0uSVFfSU5URVJDT01QQU5ZX05PTl9DQS4uMjkvMDMvMjAyNi4uLlVTRC5IAQAAACB6BQADAAAAAADiJll9RI3eCOImWX1Ejd4INkNJUS5OQVNEQVE6Q0FMTS5JUV9JTlRFUkNPTVBBTllfQ0wuLjI5LzAzLzIwMjYuLi5VU0Qu</t>
  </si>
  <si>
    <t>SAEAAAAgegUAAwAAAAAA4iZZfUSN3gjiJll9RI3eCDpDSVEuTkFTREFROkNBTE0uSVFfSU5URVJDT01QQU5ZX05PTl9DTC4uMjkvMDMvMjAyNi4uLlVTRC5IAQAAACB6BQADAAAAAADiJll9RI3eCOImWX1Ejd4IOUNJUS5OQVNEQVE6Q0FMTS5JUV9UT1RBTF9SRVZfRU1QTE9ZRUUuLjI5LzAzLzIwMjYuLi5VU0QuSAEAAAAgegUAAwAAAAAA4iZZfUSN3gjiJll9RI3eCClDSVEuTkFTREFROkNBTE0uSVFfUEVSSU9EREFURS4uMjkvMDMvMjAyNgEAAAAgegUABQAAAAoyOS8xMS8yMDI1AOImWX1Ejd4I4iZZfUSN3ggrQ0lRLk5BU0RBUTpDQUxNLklRX0JBU0lDX1dFSUdIVC4uMjkvMDMvMjAyNgEAAAAgegUAAgAAAAY0OC40MTMA4iZZfUSN3gjiJll9RI3eCCtDSVEuTkFTREFROkNBTE0uSVFfRElMVVRfV0VJR0hULi4yOS8wMy8yMDI2AQAAACB6BQACAAAABjQ4LjU2MgCMOll9RI3eCIw6WX1Ejd4IPkNJUS5OQVNEQVE6Q0FMTS5JUV9ESVNUUklCVVRBQkxFX0NBU0hfU0hBUkVTX0JBU0lDLi4yOS8wMy8yMDI2AQAAACB6BQADAAAAAACMOll9RI3eCIw6WX1Ejd4IQENJUS5OQVNEQVE6Q0FMTS5JUV9ESVNUUklCVVRBQkxFX0NBU0hfU0hBUkVTX0RJTFVURUQuLjI5LzAzLzIwMjYBAAAAIHoFAAMAAAAAAIw6WX1Ejd4IjDpZfUSN3ggvQ0lRLk5BU0RBUTpDQUxNLklRX0RSX1JBVElPX1BSSU1BUlkuLjI5LzAz</t>
  </si>
  <si>
    <t>LzIwMjYBAAAAIHoFAAMAAAAAAIw6WX1Ejd4IjDpZfUSN3ggsQ0lRLk5BU0RBUTpDQUxNLklRX0ZJTElOR0RBVEVfSVMuLjI5LzAzLzIwMjYBAAAAIHoFAAUAAAAKMDcvMDEvMjAyNgCMOll9RI3eCIw6WX1Ejd4ILkNJUS5OQVNEQVE6Q0FMTS5JUV9QRVJJT0RMRU5HVEhfSVMuLjI5LzAzLzIwMjYBAAAAIHoFAAEAAAACMTIAjDpZfUSN3giMOll9RI3eCClDSVEuTkFTREFROkNBTE0uSVFfU0FNRV9TVE9SRS4uMjkvMDMvMjAyNgEAAAAgegUAAwAAAAAAjDpZfUSN3giMOll9RI3eCD1DSVEuTkFTREFROkNBTE0uSVFfQU5OVV9ESVNUUklCVVRJT05fVU5JVC4uMjkvMDMvMjAyNi4uLlVTRC5IAQAAACB6BQADAAAAAABnHLR9RI3eCGcctH1Ejd4IMUNJUS5OQVNEQVE6Q0FMTS5JUV9DT01NT05fRElWLi4yOS8wMy8yMDI2Li4uVVNELkgBAAAAIHoFAAIAAAAHMzg0LjM0NQAhT5Z9RI3eCCFPln1Ejd4IKkNJUS5OQVNEQVE6Q0FMTS5JUV9ESUMuLjI5LzAzLzIwMjYuLi5VU0QuSAEAAAAgegUAAwAAAAAAIU+WfUSN3gghT5Z9RI3eCDJDSVEuTkFTREFROkNBTE0uSVFfQURWRVJUSVNJTkcuLjI5LzAzLzIwMjYuLi5VU0QuSAEAAAAgegUAAwAAAAAAIU+WfUSN3gghT5Z9RI3eCDBDSVEuTkFTREFROkNBTE0uSVFfTUFSS0VUSU5HLi4yOS8wMy8yMDI2Li4uVVNELkgBAAAAIHoFAAMAAAAAACFPln1Ejd4IIU+WfUSN</t>
  </si>
  <si>
    <t>3gg2Q0lRLk5BU0RBUTpDQUxNLklRX1NBTEVTX01BUktFVElORy4uMjkvMDMvMjAyNi4uLlVTRC5IAQAAACB6BQACAAAABzE0Ny4yMjMBCAAAAAUAAAABMQEAAAALLTE5MTA2Mjc4MzgDAAAAAzE2MAIAAAAFMjE1NjEEAAAAATAHAAAACTMvMjkvMjAyNggAAAAKMTEvMjkvMjAyNQkAAAABMCFPln1Ejd4IIU+WfUSN3ggtQ0lRLk5BU0RBUTpDQUxNLklRX0dBX0VYUC4uMjkvMDMvMjAyNi4uLlVTRC5IAQAAACB6BQACAAAABzE1Mi4xMjgBCAAAAAUAAAABMQEAAAALLTE5MTA2Mjc4MzgDAAAAAzE2MAIAAAAFMjE1NjIEAAAAATAHAAAACTMvMjkvMjAyNggAAAAKMTEvMjkvMjAyNQkAAAABMCFPln1Ejd4IIU+WfUSN3ggwQ0lRLk5BU0RBUTpDQUxNLklRX1JEX0VYUF9GTi4uMjkvMDMvMjAyNi4uLlVTRC5IAQAAACB6BQADAAAAAAAhT5Z9RI3eCCFPln1Ejd4IOENJUS5OQVNEQVE6Q0FMTS5JUV9ORVRfUkVOVEFMX0VYUF9GTi4uMjkvMDMvMjAyNi4uLlVTRC5IAQAAACB6BQADAAAAAAAhT5Z9RI3eCCFPln1Ejd4INUNJUS5OQVNEQVE6Q0FMTS5JUV9ORVRfUkVOVEFMX0VYUC4uMjkvMDMvMjAyNi4uLlVTRC5IAQAAACB6BQADAAAAAAAhT5Z9RI3eCCFPln1Ejd4IPENJUS5OQVNEQVE6Q0FMTS5JUV9ORVRfUkVOVEFMX0VYUF9TVVBQTEUuLjI5LzAzLzIwMjYuLi5VU0QuSAEAAAAgegUAAwAAAAAAIU+WfUSN3ggh</t>
  </si>
  <si>
    <t>T5Z9RI3eCDhDSVEuTkFTREFROkNBTE0uSVFfQ09OVElOR0VOVF9SRU5UQUwuLjI5LzAzLzIwMjYuLi5VU0QuSAEAAAAgegUAAwAAAAAAIU+WfUSN3gghT5Z9RI3eCDVDSVEuTkFTREFROkNBTE0uSVFfTUlOSU1VTV9SRU5UQUwuLjI5LzAzLzIwMjYuLi5VU0QuSAEAAAAgegUAAwAAAAAAIU+WfUSN3gghT5Z9RI3eCDNDSVEuTkFTREFROkNBTE0uSVFfT1RIRVJfUkVOVEFMLi4yOS8wMy8yMDI2Li4uVVNELkgBAAAAIHoFAAMAAAAAACFPln1Ejd4IIU+WfUSN3gg0Q0lRLk5BU0RBUTpDQUxNLklRX0FJUkNSQUZUX1JFTlQuLjI5LzAzLzIwMjYuLi5VU0QuSAEAAAAgegUAAwAAAAAAIU+WfUSN3gghT5Z9RI3eCEFDSVEuTkFTREFROkNBTE0uSVFfREVQUkVDSUFUSU9OX1JFTlRBTF9BU1NFVFMuLjI5LzAzLzIwMjYuLi5VU0QuSAEAAAAgegUAAwAAAAAAIU+WfUSN3gghT5Z9RI3eCD5DSVEuTkFTREFROkNBTE0uSVFfRVhQTE9SRV9EUklMTF9FWFBfVE9UQUwuLjI5LzAzLzIwMjYuLi5VU0QuSAEAAAAgegUAAwAAAAAAIU+WfUSN3gghT5Z9RI3eCDNDSVEuTkFTREFROkNBTE0uSVFfTUFJTlRfUkVQQUlSLi4yOS8wMy8yMDI2Li4uVVNELkgBAAAAIHoFAAMAAAAAACFPln1Ejd4IIU+WfUSN3gg/Q0lRLk5BU0RBUTpDQUxNLklRX0lNUFVUX09QRVJfTEVBU0VfSU5UX0VYUC4uMjkvMDMvMjAyNi4uLlVTRC5IAQAA</t>
  </si>
  <si>
    <t>ACB6BQADAAAAAAAhT5Z9RI3eCCFPln1Ejd4IPENJUS5OQVNEQVE6Q0FMTS5JUV9JTVBVVF9PUEVSX0xFQVNFX0RFUFIuLjI5LzAzLzIwMjYuLi5VU0QuSAEAAAAgegUAAwAAAAAAIU+WfUSN3gghT5Z9RI3eCD5DSVEuTkFTREFROkNBTE0uSVFfU0FMQVJJRVNfT1RIRVJfQkVORUZJVFMuLjI5LzAzLzIwMjYuLi5VU0QuSAEAAAAgegUAAwAAAAAAIU+WfUSN3gghT5Z9RI3eCDlDSVEuTkFTREFROkNBTE0uSVFfUkVTVFJVQ1RVUkVfU1VQUExFLi4yOS8wMy8yMDI2Li4uVVNELkgBAAAAIHoFAAMAAAAAACFPln1Ejd4IIU+WfUSN3gg0Q0lRLk5BU0RBUTpDQUxNLklRX01FUkdFUl9TVVBQTEUuLjI5LzAzLzIwMjYuLi5VU0QuSAEAAAAgegUAAwAAAAAAIU+WfUSN3gghT5Z9RI3eCDtDSVEuTkFTREFROkNBTE0uSVFfSU1QQUlSTUVOVF9HV19TVVBQTEUuLjI5LzAzLzIwMjYuLi5VU0QuSAEAAAAgegUAAwAAAAAAIU+WfUSN3gghT5Z9RI3eCD1DSVEuTkFTREFROkNBTE0uSVFfQVNTRVRfV1JJVEVET1dOX1NVUFBMRS4uMjkvMDMvMjAyNi4uLlVTRC5IAQAAACB6BQADAAAAAAAhT5Z9RI3eCCFPln1Ejd4IMkNJUS5OQVNEQVE6Q0FMTS5JUV9JUFJEX1NVUFBMRS4uMjkvMDMvMjAyNi4uLlVTRC5IAQAAACB6BQADAAAAAAAhT5Z9RI3eCCFPln1Ejd4IN0NJUS5OQVNEQVE6Q0FMTS5JUV9HQUlOX0JBUkdBSU5fQUNR</t>
  </si>
  <si>
    <t>Li4yOS8wMy8yMDI2Li4uVVNELkgBAAAAIHoFAAMAAAAAACFPln1Ejd4IIU+WfUSN3gg+Q0lRLk5BU0RBUTpDQUxNLklRX0dBSU5fQkFSR0FJTl9BQ1FfU1VQUExFLi4yOS8wMy8yMDI2Li4uVVNELkgBAAAAIHoFAAMAAAAAACFPln1Ejd4IIU+WfUSN3gg4Q0lRLk5BU0RBUTpDQUxNLklRX0lOU19TRVRUTEVfU1VQUExFLi4yOS8wMy8yMDI2Li4uVVNELkgBAAAAIHoFAAMAAAAAACFPln1Ejd4IIU+WfUSN3gg6Q0lRLk5BU0RBUTpDQUxNLklRX0xFR0FMX1NFVFRMRV9TVVBQTEUuLjI5LzAzLzIwMjYuLi5VU0QuSAEAAAAgegUAAwAAAAAAIU+WfUSN3gghT5Z9RI3eCDtDSVEuTkFTREFROkNBTE0uSVFfT1RIRVJfVU5VU1VBTF9TVVBQTEUuLjI5LzAzLzIwMjYuLi5VU0QuSAEAAAAgegUAAwAAAAAAIU+WfUSN3gghT5Z9RI3eCDtDSVEuTkFTREFROkNBTE0uSVFfVE9UQUxfVU5VU1VBTF9TVVBQTEUuLjI5LzAzLzIwMjYuLi5VU0QuSAEAAAAgegUAAwAAAAAAIU+WfUSN3gghT5Z9RI3eCDhDSVEuTkFTREFROkNBTE0uSVFfTkVHQVRJVkVfR1dfQU1PUlQuLjI5LzAzLzIwMjYuLi5VU0QuSAEAAAAgegUAAwAAAAAAIU+WfUSN3gghT5Z9RI3eCDtDSVEuTkFTREFROkNBTE0uSVFfTkVHQVRJVkVfR1dfQU1PUlRfQVQuLjI5LzAzLzIwMjYuLi5VU0QuSAEAAAAgegUAAwAAAAAAIU+WfUSN3gghT5Z9RI3eCDdDSVEu</t>
  </si>
  <si>
    <t>TkFTREFROkNBTE0uSVFfU1RPQ0tfQkFTRURfQ09HUy4uMjkvMDMvMjAyNi4uLlVTRC5IAQAAACB6BQADAAAAAAC4dZZ9RI3eCLh1ln1Ejd4INUNJUS5OQVNEQVE6Q0FMTS5JUV9TVE9DS19CQVNFRF9SRC4uMjkvMDMvMjAyNi4uLlVTRC5IAQAAACB6BQADAAAAAAC4dZZ9RI3eCLh1ln1Ejd4INUNJUS5OQVNEQVE6Q0FMTS5JUV9TVE9DS19CQVNFRF9TTS4uMjkvMDMvMjAyNi4uLlVTRC5IAQAAACB6BQADAAAAAAC4dZZ9RI3eCLh1ln1Ejd4INUNJUS5OQVNEQVE6Q0FMTS5JUV9TVE9DS19CQVNFRF9HQS4uMjkvMDMvMjAyNi4uLlVTRC5IAQAAACB6BQADAAAAAAC4dZZ9RI3eCLh1ln1Ejd4INkNJUS5OQVNEQVE6Q0FMTS5JUV9TVE9DS19CQVNFRF9TR0EuLjI5LzAzLzIwMjYuLi5VU0QuSAEAAAAgegUAAwAAAAAAuHWWfUSN3gi4dZZ9RI3eCEBDSVEuTkFTREFROkNBTE0uSVFfU1RPQ0tfQkFTRURfRVhQTE9SRV9EUklMTC4uMjkvMDMvMjAyNi4uLlVTRC5IAQAAACB6BQADAAAAAAC4dZZ9RI3eCLh1ln1Ejd4IOENJUS5OQVNEQVE6Q0FMTS5JUV9TVE9DS19CQVNFRF9PVEhFUi4uMjkvMDMvMjAyNi4uLlVTRC5IAQAAACB6BQACAAAABTUuMDI3AQgAAAAFAAAAATEBAAAACy0xOTEwNjI3ODM4AwAAAAMxNjACAAAABTIyNjc2BAAAAAEwBwAAAAkzLzI5LzIwMjYIAAAACjExLzI5LzIwMjUJAAAAATC4dZZ9RI3e</t>
  </si>
  <si>
    <t>CLh1ln1Ejd4INUNJUS5OQVNEQVE6Q0FMTS5JUV9TVE9DS19CQVNFRF9BVC4uMjkvMDMvMjAyNi4uLlVTRC5IAQAAACB6BQADAAAAAAC4dZZ9RI3eCLh1ln1Ejd4IOENJUS5OQVNEQVE6Q0FMTS5JUV9TVE9DS19CQVNFRF9UT1RBTC4uMjkvMDMvMjAyNi4uLlVTRC5IAQAAACB6BQACAAAABTUuMDI3AQgAAAAFAAAAATEBAAAACy0xOTEwNjI3ODM4AwAAAAMxNjACAAAABTI0MDM0BAAAAAEwBwAAAAkzLzI5LzIwMjYIAAAACjExLzI5LzIwMjUJAAAAATC4dZZ9RI3eCLh1ln1Ejd4IPkNJUS5OQVNEQVE6Q0FMTS5JUV9SRVNUUl9TVE9DS19DT01QX1BSRVRBWC4uMjkvMDMvMjAyNi4uLlVTRC5IAQAAACB6BQADAAAAAAC4dZZ9RI3eCLh1ln1Ejd4IO0NJUS5OQVNEQVE6Q0FMTS5JUV9SRVNUUl9TVE9DS19DT01QX1RBWC4uMjkvMDMvMjAyNi4uLlVTRC5IAQAAACB6BQADAAAAAAC4dZZ9RI3eCLh1ln1Ejd4IN0NJUS5OQVNEQVE6Q0FMTS5JUV9SRVNUUl9TVE9DS19DT01QLi4yOS8wMy8yMDI2Li4uVVNELkgBAAAAIHoFAAMAAAAAALh1ln1Ejd4IuHWWfUSN3ghAQ0lRLk5BU0RBUTpDQUxNLklRX1NUT0NLX09QVElPTlNfQ09NUF9QUkVUQVguLjI5LzAzLzIwMjYuLi5VU0QuSAEAAAAgegUAAwAAAAAAuHWWfUSN3gi4dZZ9RI3eCD1DSVEuTkFTREFROkNBTE0uSVFfU1RPQ0tfT1BUSU9OU19DT01QX1RBWC4uMjkv</t>
  </si>
  <si>
    <t>MDMvMjAyNi4uLlVTRC5IAQAAACB6BQADAAAAAAC4dZZ9RI3eCLh1ln1Ejd4IOUNJUS5OQVNEQVE6Q0FMTS5JUV9TVE9DS19PUFRJT05TX0NPTVAuLjI5LzAzLzIwMjYuLi5VU0QuSAEAAAAgegUAAwAAAAAAuHWWfUSN3gi4dZZ9RI3eCD5DSVEuTkFTREFROkNBTE0uSVFfU1RPQ0tfQkFTRURfQ09NUF9QUkVUQVguLjI5LzAzLzIwMjYuLi5VU0QuSAEAAAAgegUAAgAAAAU1LjAyNwC4dZZ9RI3eCLh1ln1Ejd4IO0NJUS5OQVNEQVE6Q0FMTS5JUV9TVE9DS19CQVNFRF9DT01QX1RBWC4uMjkvMDMvMjAyNi4uLlVTRC5IAQAAACB6BQADAAAAAAC4dZZ9RI3eCLh1ln1Ejd4IN0NJUS5OQVNEQVE6Q0FMTS5JUV9TVE9DS19CQVNFRF9DT01QLi4yOS8wMy8yMDI2Li4uVVNELkgBAAAAIHoFAAMAAAAAALh1ln1Ejd4IuHWWfUSN3ggsQ0lRLk5BU0RBUTpDQUxNLklRX05JX0NGLi4yOS8wMy8yMDI2Li4uVVNELkgBAAAAIHoFAAIAAAAIMTE1My4xMDcBCAAAAAUAAAABMQEAAAALLTE5MTA2Mjc4MzgDAAAAAzE2MAIAAAAEMjE1MAQAAAABMAcAAAAJMy8yOS8yMDI2CAAAAAoxMS8yOS8yMDI1CQAAAAEwuHWWfUSN3gi4dZZ9RI3eCDJDSVEuTkFTREFROkNBTE0uSVFfREFfU1VQUExfQ0YuLjI5LzAzLzIwMjYuLi5VU0QuSAEAAAAgegUAAgAAAAcxMDUuODE0AQgAAAAFAAAAATEBAAAACy0xOTEwNjI3ODM4AwAAAAMxNjAC</t>
  </si>
  <si>
    <t>AAAABDIxNzEEAAAAATAHAAAACTMvMjkvMjAyNggAAAAKMTEvMjkvMjAyNQkAAAABMLh1ln1Ejd4IuHWWfUSN3gg4Q0lRLk5BU0RBUTpDQUxNLklRX0dXX0lOVEFOX0FNT1JUX0NGLi4yOS8wMy8yMDI2Li4uVVNELkgBAAAAIHoFAAIAAAAFMi4xNTgBCAAAAAUAAAABMQEAAAALLTE5MTA2Mjc4MzgDAAAAAzE2MAIAAAAEMjE4MgQAAAABMAcAAAAJMy8yOS8yMDI2CAAAAAoxMS8yOS8yMDI1CQAAAAEwuHWWfUSN3gi4dZZ9RI3eCDFDSVEuTkFTREFROkNBTE0uSVFfT0lMX0lNUEFJUi4uMjkvMDMvMjAyNi4uLlVTRC5IAQAAACB6BQADAAAAAAC4dZZ9RI3eCLh1ln1Ejd4ILENJUS5OQVNEQVE6Q0FMTS5JUV9EQV9DRi4uMjkvMDMvMjAyNi4uLlVTRC5IAQAAACB6BQACAAAABzEwNy45NzIBCAAAAAUAAAABMQEAAAALLTE5MTA2Mjc4MzgDAAAAAzE2MAIAAAAEMjE2MAQAAAABMAcAAAAJMy8yOS8yMDI2CAAAAAoxMS8yOS8yMDI1CQAAAAEwuHWWfUSN3gi4dZZ9RI3eCDJDSVEuTkFTREFROkNBTE0uSVFfT1RIRVJfQU1PUlQuLjI5LzAzLzIwMjYuLi5VU0QuSAEAAAAgegUAAwAAAAAAuHWWfUSN3gi4dZZ9RI3eCDtDSVEuTkFTREFROkNBTE0uSVFfTUlOT1JJVFlfSU5URVJFU1RfQ0YuLjI5LzAzLzIwMjYuLi5VU0QuSAEAAAAgegUAAwAAAAAAuHWWfUSN3gi4dZZ9RI3eCDVDSVEuTkFTREFROkNBTE0uSVFfR0FJ</t>
  </si>
  <si>
    <t>Tl9BU1NFVFNfQ0YuLjI5LzAzLzIwMjYuLi5VU0QuSAEAAAAgegUAAwAAAAAAuHWWfUSN3gi4dZZ9RI3eCDVDSVEuTkFTREFROkNBTE0uSVFfR0FJTl9JTlZFU1RfQ0YuLjI5LzAzLzIwMjYuLi5VU0QuSAEAAAAgegUAAwAAAAAAuHWWfUSN3gi4dZZ9RI3eCDlDSVEuTkFTREFROkNBTE0uSVFfQVNTRVRfV1JJVEVET1dOX0NGLi4yOS8wMy8yMDI2Li4uVVNELkgBAAAAIHoFAAMAAAAAALh1ln1Ejd4IuHWWfUSN3ggvQ0lRLk5BU0RBUTpDQUxNLklRX0xPQU5TX0NGLi4yOS8wMy8yMDI2Li4uVVNELkgBAAAAIHoFAAMAAAAAALh1ln1Ejd4IuHWWfUSN3gg1Q0lRLk5BU0RBUTpDQUxNLklRX0NSRURJVF9MT1NTX0NGLi4yOS8wMy8yMDI2Li4uVVNELkgBAAAAIHoFAAMAAAAAALh1ln1Ejd4IuHWWfUSN3gg0Q0lRLk5BU0RBUTpDQUxNLklRX0lOQ19FUVVJVFlfQ0YuLjI5LzAzLzIwMjYuLi5VU0QuSAEAAAAgegUAAwAAAAAAuHWWfUSN3gi4dZZ9RI3eCDVDSVEuTkFTREFROkNBTE0uSVFfU1RPQ0tfQkFTRURfQ0YuLjI5LzAzLzIwMjYuLi5VU0QuSAEAAAAgegUAAgAAAAU0LjUyNwEIAAAABQAAAAExAQAAAAstMTkxMDYyNzgzOAMAAAADMTYwAgAAAAQyMTI3BAAAAAEwBwAAAAkzLzI5LzIwMjYIAAAACjExLzI5LzIwMjUJAAAAATC4dZZ9RI3eCLh1ln1Ejd4IOkNJUS5OQVNEQVE6Q0FMTS5JUV9UQVhfQkVORUZJ</t>
  </si>
  <si>
    <t>VF9PUFRJT05TLi4yOS8wMy8yMDI2Li4uVVNELkgBAAAAIHoFAAMAAAAAALh1ln1Ejd4IuHWWfUSN3gg4Q0lRLk5BU0RBUTpDQUxNLklRX1BST1ZfQkFEX0RFQlRTX0NGLi4yOS8wMy8yMDI2Li4uVVNELkgBAAAAIHoFAAMAAAAAALh1ln1Ejd4IuHWWfUSN3ggsQ0lRLk5BU0RBUTpDQUxNLklRX0RPX0NGLi4yOS8wMy8yMDI2Li4uVVNELkgBAAAAIHoFAAMAAAAAALh1ln1Ejd4IuHWWfUSN3gg1Q0lRLk5BU0RBUTpDQUxNLklRX09USEVSX09QRVJfQUNULi4yOS8wMy8yMDI2Li4uVVNELkgBAAAAIHoFAAIAAAAHMTk1LjUyNAEIAAAABQAAAAExAQAAAAstMTkxMDYyNzgzOAMAAAADMTYwAgAAAAQyMDQ3BAAAAAEwBwAAAAkzLzI5LzIwMjYIAAAACjExLzI5LzIwMjUJAAAAATC4dZZ9RI3eCLh1ln1Ejd4IPENJUS5OQVNEQVE6Q0FMTS5JUV9DSEFOR0VfVFJBRElOR19BU1NFVFMuLjI5LzAzLzIwMjYuLi5VU0QuSAEAAAAgegUAAwAAAAAAuHWWfUSN3gi4dZZ9RI3eCDBDSVEuTkFTREFROkNBTE0uSVFfQ0hBTkdFX0FSLi4yOS8wMy8yMDI2Li4uVVNELkgBAAAAIHoFAAIAAAAILTEwNC45OTcBCAAAAAUAAAABMQEAAAALLTE5MTA2Mjc4MzgDAAAAAzE2MAIAAAAEMjAxOAQAAAABMAcAAAAJMy8yOS8yMDI2CAAAAAoxMS8yOS8yMDI1CQAAAAEwuHWWfUSN3gi4dZZ9RI3eCDdDSVEuTkFTREFROkNBTE0uSVFfQ0hB</t>
  </si>
  <si>
    <t>TkdFX0lOVkVOVE9SWS4uMjkvMDMvMjAyNi4uLlVTRC5IAQAAACB6BQACAAAABy0xMi4yMjQBCAAAAAUAAAABMQEAAAALLTE5MTA2Mjc4MzgDAAAAAzE2MAIAAAAEMjA5OQQAAAABMAcAAAAJMy8yOS8yMDI2CAAAAAoxMS8yOS8yMDI1CQAAAAEwyZyWfUSN3gjJnJZ9RI3eCDBDSVEuTkFTREFROkNBTE0uSVFfQ0hBTkdFX0FQLi4yOS8wMy8yMDI2Li4uVVNELkgBAAAAIHoFAAIAAAAGNjUuMzExAQgAAAAFAAAAATEBAAAACy0xOTEwNjI3ODM4AwAAAAMxNjACAAAABDIwMTcEAAAAATAHAAAACTMvMjkvMjAyNggAAAAKMTEvMjkvMjAyNQkAAAABMMmcln1Ejd4IyZyWfUSN3gg4Q0lRLk5BU0RBUTpDQUxNLklRX0NIQU5HRV9VTkVBUk5fUkVWLi4yOS8wMy8yMDI2Li4uVVNELkgBAAAAIHoFAAMAAAAAAMmcln1Ejd4IyZyWfUSN3gg1Q0lRLk5BU0RBUTpDQUxNLklRX0NIQU5HRV9JTkNfVEFYLi4yOS8wMy8yMDI2Li4uVVNELkgBAAAAIHoFAAIAAAAHLTQ1Ljk0NgEIAAAABQAAAAExAQAAAAstMTkxMDYyNzgzOAMAAAADMTYwAgAAAAQyMTAxBAAAAAEwBwAAAAkzLzI5LzIwMjYIAAAACjExLzI5LzIwMjUJAAAAATDJnJZ9RI3eCMmcln1Ejd4INUNJUS5OQVNEQVE6Q0FMTS5JUV9DSEFOR0VfREVGX1RBWC4uMjkvMDMvMjAyNi4uLlVTRC5IAQAAACB6BQADAAAAAADJnJZ9RI3eCMmcln1Ejd4IQ0NJUS5OQVNEQVE6</t>
  </si>
  <si>
    <t>Q0FMTS5JUV9DSEFOR0VfT1RIRVJfTkVUX09QRVJfQVNTRVRTLi4yOS8wMy8yMDI2Li4uVVNELkgBAAAAIHoFAAIAAAAGLTUuMzM0AQgAAAAFAAAAATEBAAAACy0xOTEwNjI3ODM4AwAAAAMxNjACAAAABDIwNDUEAAAAATAHAAAACTMvMjkvMjAyNggAAAAKMTEvMjkvMjAyNQkAAAABMMmcln1Ejd4IyZyWfUSN3ggwQ0lRLk5BU0RBUTpDQUxNLklRX0NBU0hfT1BFUi4uMjkvMDMvMjAyNi4uLlVTRC5IAQAAACB6BQACAAAABzEzNTcuOTQBCAAAAAUAAAABMQEAAAALLTE5MTA2Mjc4MzgDAAAAAzE2MAIAAAAEMjAwNgQAAAABMAcAAAAJMy8yOS8yMDI2CAAAAAoxMS8yOS8yMDI1CQAAAAEwyZyWfUSN3gjJnJZ9RI3eCCxDSVEuTkFTREFROkNBTE0uSVFfQ0FQRVguLjI5LzAzLzIwMjYuLi5VU0QuSAEAAAAgegUAAgAAAAgtMTg3LjgwMQEIAAAABQAAAAExAQAAAAstMTkxMDYyNzgzOAMAAAADMTYwAgAAAAQyMDIxBAAAAAEwBwAAAAkzLzI5LzIwMjYIAAAACjExLzI5LzIwMjUJAAAAATDJnJZ9RI3eCMmcln1Ejd4IMkNJUS5OQVNEQVE6Q0FMTS5JUV9TQUxFX1BQRV9DRi4uMjkvMDMvMjAyNi4uLlVTRC5IAQAAACB6BQACAAAABTAuMDExAQgAAAAFAAAAATEBAAAACy0xOTEwNjI3ODM4AwAAAAMxNjACAAAABDIwNDIEAAAAATAHAAAACTMvMjkvMjAyNggAAAAKMTEvMjkvMjAyNQkAAAABMMmcln1Ejd4IyZyWfUSN</t>
  </si>
  <si>
    <t>3gg2Q0lRLk5BU0RBUTpDQUxNLklRX0NBU0hfQUNRVUlSRV9DRi4uMjkvMDMvMjAyNi4uLlVTRC5IAQAAACB6BQACAAAACC0zMDMuNjgyAQgAAAAFAAAAATEBAAAACy0xOTEwNjI3ODM4AwAAAAMxNjACAAAABDIwNTcEAAAAATAHAAAACTMvMjkvMjAyNggAAAAKMTEvMjkvMjAyNQkAAAABMMmcln1Ejd4IyZyWfUSN3ggwQ0lRLk5BU0RBUTpDQUxNLklRX0RJVkVTVF9DRi4uMjkvMDMvMjAyNi4uLlVTRC5IAQAAACB6BQADAAAAAADJnJZ9RI3eCMmcln1Ejd4IOkNJUS5OQVNEQVE6Q0FMTS5JUV9TQUxFX1JFQUxfRVNUQVRFX0NGLi4yOS8wMy8yMDI2Li4uVVNELkgBAAAAIHoFAAMAAAAAAMmcln1Ejd4IyZyWfUSN3gg0Q0lRLk5BU0RBUTpDQUxNLklRX1NBTEVfSU5UQU5fQ0YuLjI5LzAzLzIwMjYuLi5VU0QuSAEAAAAgegUAAwAAAAAAyZyWfUSN3gjJnJZ9RI3eCDlDSVEuTkFTREFROkNBTE0uSVFfSU5WRVNUX1NFQ1VSSVRZX0NGLi4yOS8wMy8yMDI2Li4uVVNELkgBAAAAIHoFAAIAAAAHLTgyLjU2MQEIAAAABQAAAAExAQAAAAstMTkxMDYyNzgzOAMAAAADMTYwAgAAAAQyMDI3BAAAAAEwBwAAAAkzLzI5LzIwMjYIAAAACjExLzI5LzIwMjUJAAAAATDJnJZ9RI3eCMmcln1Ejd4INkNJUS5OQVNEQVE6Q0FMTS5JUV9JTlZFU1RfTE9BTlNfQ0YuLjI5LzAzLzIwMjYuLi5VU0QuSAEAAAAgegUAAwAAAAAAyZyW</t>
  </si>
  <si>
    <t>fUSN3gjJnJZ9RI3eCD1DSVEuTkFTREFROkNBTE0uSVFfT1RIRVJfSU5WRVNUX0FDVF9TVVBQTC4uMjkvMDMvMjAyNi4uLlVTRC5IAQAAACB6BQADAAAAAADJnJZ9RI3eCMmcln1Ejd4IMkNJUS5OQVNEQVE6Q0FMTS5JUV9DQVNIX0lOVkVTVC4uMjkvMDMvMjAyNi4uLlVTRC5IAQAAACB6BQACAAAACC01NzQuMDMzAQgAAAAFAAAAATEBAAAACy0xOTEwNjI3ODM4AwAAAAMxNjACAAAABDIwMDUEAAAAATAHAAAACTMvMjkvMjAyNggAAAAKMTEvMjkvMjAyNQkAAAABMMmcln1Ejd4IyZyWfUSN3gg1Q0lRLk5BU0RBUTpDQUxNLklRX1NUX0RFQlRfSVNTVUVELi4yOS8wMy8yMDI2Li4uVVNELkgBAAAAIHoFAAMAAAAAAMmcln1Ejd4IyZyWfUSN3gg1Q0lRLk5BU0RBUTpDQUxNLklRX0xUX0RFQlRfSVNTVUVELi4yOS8wMy8yMDI2Li4uVVNELkgBAAAAIHoFAAMAAAAAAMmcln1Ejd4IyZyWfUSN3gg4Q0lRLk5BU0RBUTpDQUxNLklRX1RPVEFMX0RFQlRfSVNTVUVELi4yOS8wMy8yMDI2Li4uVVNELkgBAAAAIHoFAAMAAAAAAMmcln1Ejd4IyZyWfUSN3gg1Q0lRLk5BU0RBUTpDQUxNLklRX1NUX0RFQlRfUkVQQUlELi4yOS8wMy8yMDI2Li4uVVNELkgBAAAAIHoFAAMAAAAAAMmcln1Ejd4IyZyWfUSN3gg1Q0lRLk5BU0RBUTpDQUxNLklRX0xUX0RFQlRfUkVQQUlELi4yOS8wMy8yMDI2Li4uVVNELkgBAAAAIHoFAAMA</t>
  </si>
  <si>
    <t>AAAAAMmcln1Ejd4IyZyWfUSN3gg4Q0lRLk5BU0RBUTpDQUxNLklRX1RPVEFMX0RFQlRfUkVQQUlELi4yOS8wMy8yMDI2Li4uVVNELkgBAAAAIHoFAAIAAAAGLTAuMDA0AQgAAAAFAAAAATEBAAAACy0xOTEwNjI3ODM4AwAAAAMxNjACAAAABDIxNjYEAAAAATAHAAAACTMvMjkvMjAyNggAAAAKMTEvMjkvMjAyNQkAAAABMMmcln1Ejd4IyZyWfUSN3gg0Q0lRLk5BU0RBUTpDQUxNLklRX0NPTU1PTl9JU1NVRUQuLjI5LzAzLzIwMjYuLi5VU0QuSAEAAAAgegUAAwAAAAAAyZyWfUSN3gjJnJZ9RI3eCDFDSVEuTkFTREFROkNBTE0uSVFfQ09NTU9OX1JFUC4uMjkvMDMvMjAyNi4uLlVTRC5IAQAAACB6BQACAAAACC0xMjguNzUzAQgAAAAFAAAAATEBAAAACy0xOTEwNjI3ODM4AwAAAAMxNjACAAAABDIxNjQEAAAAATAHAAAACTMvMjkvMjAyNggAAAAKMTEvMjkvMjAyNQkAAAABMMmcln1Ejd4IyZyWfUSN3ggyQ0lRLk5BU0RBUTpDQUxNLklRX1BSRUZfSVNTVUVELi4yOS8wMy8yMDI2Li4uVVNELkgBAAAAIHoFAAMAAAAAAMmcln1Ejd4IyZyWfUSN3ggvQ0lRLk5BU0RBUTpDQUxNLklRX1BSRUZfUkVQLi4yOS8wMy8yMDI2Li4uVVNELkgBAAAAIHoFAAMAAAAAAMmcln1Ejd4IyZyWfUSN3gg0Q0lRLk5BU0RBUTpDQUxNLklRX0NPTU1PTl9ESVZfQ0YuLjI5LzAzLzIwMjYuLi5VU0QuSAEAAAAgegUAAgAAAAgtNDIz</t>
  </si>
  <si>
    <t>LjA1NgEIAAAABQAAAAExAQAAAAstMTkxMDYyNzgzOAMAAAADMTYwAgAAAAQyMDc0BAAAAAEwBwAAAAkzLzI5LzIwMjYIAAAACjExLzI5LzIwMjUJAAAAATDJnJZ9RI3eCMmcln1Ejd4IMkNJUS5OQVNEQVE6Q0FMTS5JUV9QUkVGX0RJVl9DRi4uMjkvMDMvMjAyNi4uLlVTRC5IAQAAACB6BQADAAAAAADJnJZ9RI3eCMmcln1Ejd4IOUNJUS5OQVNEQVE6Q0FMTS5JUV9DT01NT05fUFJFRl9ESVZfQ0YuLjI5LzAzLzIwMjYuLi5VU0QuSAEAAAAgegUAAwAAAAAAyZyWfUSN3gjJnJZ9RI3eCDhDSVEuTkFTREFROkNBTE0uSVFfVE9UQUxfRElWX1BBSURfQ0YuLjI5LzAzLzIwMjYuLi5VU0QuSAEAAAAgegUAAgAAAAgtNDIzLjA1NgEIAAAABQAAAAExAQAAAAstMTkxMDYyNzgzOAMAAAADMTYwAgAAAAQyMDIyBAAAAAEwBwAAAAkzLzI5LzIwMjYIAAAACjExLzI5LzIwMjUJAAAAATDJnJZ9RI3eCMmcln1Ejd4INUNJUS5OQVNEQVE6Q0FMTS5JUV9TUEVDSUFMX0RJVl9DRi4uMjkvMDMvMjAyNi4uLlVTRC5IAQAAACB6BQADAAAAAADJnJZ9RI3eCMmcln1Ejd4IPkNJUS5OQVNEQVE6Q0FMTS5JUV9PVEhFUl9GSU5BTkNFX0FDVF9TVVBQTC4uMjkvMDMvMjAyNi4uLlVTRC5IAQAAACB6BQADAAAAAADJnJZ9RI3eCMmcln1Ejd4IMUNJUS5OQVNEQVE6Q0FMTS5JUV9DQVNIX0ZJTkFOLi4yOS8wMy8yMDI2Li4uVVNELkgB</t>
  </si>
  <si>
    <t>AAAAIHoFAAIAAAAILTU1MS44MTMBCAAAAAUAAAABMQEAAAALLTE5MTA2Mjc4MzgDAAAAAzE2MAIAAAAEMjAwNAQAAAABMAcAAAAJMy8yOS8yMDI2CAAAAAoxMS8yOS8yMDI1CQAAAAEwyZyWfUSN3gjJnJZ9RI3eCClDSVEuTkFTREFROkNBTE0uSVFfRlguLjI5LzAzLzIwMjYuLi5VU0QuSAEAAAAgegUAAwAAAAAAyZyWfUSN3gjJnJZ9RI3eCDVDSVEuTkFTREFROkNBTE0uSVFfTUlTQ19BREpVU1RfQ0YuLjI5LzAzLzIwMjYuLi5VU0QuSAEAAAAgegUAAwAAAAAAyZyWfUSN3gjJnJZ9RI3eCDFDSVEuTkFTREFROkNBTE0uSVFfTkVUX0NIQU5HRS4uMjkvMDMvMjAyNi4uLlVTRC5IAQAAACB6BQACAAAABzIzMi4wOTQBCAAAAAUAAAABMQEAAAALLTE5MTA2Mjc4MzgDAAAAAzE2MAIAAAAEMjA5MwQAAAABMAcAAAAJMy8yOS8yMDI2CAAAAAoxMS8yOS8yMDI1CQAAAAEwyZyWfUSN3gjJnJZ9RI3eCDpDSVEuTkFTREFROkNBTE0uSVFfREFfU1VQUExfUEFSVElBTF9DRi4uMjkvMDMvMjAyNi4uLlVTRC5IAQAAACB6BQADAAAAAADww5Z9RI3eCPDDln1Ejd4IQENJUS5OQVNEQVE6Q0FMTS5JUV9HV19JTlRBTl9BTU9SVF9QQVJUSUFMX0NGLi4yOS8wMy8yMDI2Li4uVVNELkgBAAAAIHoFAAMAAAAAAPDDln1Ejd4I8MOWfUSN3ggqQ0lRLk5BU0RBUTpDQUxNLklRX1JFVi4uMjkvMDMvMjAyNi4uLlVTRC5IAQAAACB6</t>
  </si>
  <si>
    <t>BQACAAAACDQyMTMuNDQzAQgAAAAFAAAAATEBAAAACy0xOTEwNjI3ODM4AwAAAAMxNjACAAAAAzExMgQAAAABMAcAAAAJMy8yOS8yMDI2CAAAAAoxMS8yOS8yMDI1CQAAAAEwR6ezfUSN3ghHp7N9RI3eCDJDSVEuTkFTREFROkNBTE0uSVFfRklOX0RJVl9SRVYuLjI5LzAzLzIwMjYuLi5VU0QuSAEAAAAgegUAAwAAAAAAR6ezfUSN3ghHp7N9RI3eCDJDSVEuTkFTREFROkNBTE0uSVFfSU5TX0RJVl9SRVYuLjI5LzAzLzIwMjYuLi5VU0QuSAEAAAAgegUAAwAAAAAAR6ezfUSN3ghHp7N9RI3eCDZDSVEuTkFTREFROkNBTE0uSVFfR0FJTl9BU1NFVFNfUkVWLi4yOS8wMy8yMDI2Li4uVVNELkgBAAAAIHoFAAMAAAAAAEens31Ejd4IR6ezfUSN3gg2Q0lRLk5BU0RBUTpDQUxNLklRX0dBSU5fSU5WRVNUX1JFVi4uMjkvMDMvMjAyNi4uLlVTRC5IAQAAACB6BQADAAAAAABHp7N9RI3eCEens31Ejd4IMkNJUS5OQVNEQVE6Q0FMTS5JUV9JTlRfSU5WX0lOQy4uMjkvMDMvMjAyNi4uLlVTRC5IAQAAACB6BQADAAAAAABHp7N9RI3eCEens31Ejd4INkNJUS5OQVNEQVE6Q0FMTS5JUV9PVEhFUl9SRVZfU1VQUEwuLjI5LzAzLzIwMjYuLi5VU0QuSAEAAAAgegUAAwAAAAAAR6ezfUSN3ghHp7N9RI3eCDBDSVEuTkFTREFROkNBTE0uSVFfVE9UQUxfUkVWLi4yOS8wMy8yMDI2Li4uVVNELkgBAAAAIHoFAAIAAAAINDIxMy40</t>
  </si>
  <si>
    <t>NDMBCAAAAAUAAAABMQEAAAALLTE5MTA2Mjc4MzgDAAAAAzE2MAIAAAACMjgEAAAAATAHAAAACTMvMjkvMjAyNggAAAAKMTEvMjkvMjAyNQkAAAABMEens31Ejd4IR6ezfUSN3ggrQ0lRLk5BU0RBUTpDQUxNLklRX0NPR1MuLjI5LzAzLzIwMjYuLi5VU0QuSAEAAAAgegUAAgAAAAgyNDQ3LjExOAEIAAAABQAAAAExAQAAAAstMTkxMDYyNzgzOAMAAAADMTYwAgAAAAIzNAQAAAABMAcAAAAJMy8yOS8yMDI2CAAAAAoxMS8yOS8yMDI1CQAAAAEwR6ezfUSN3ghHp7N9RI3eCDJDSVEuTkFTREFROkNBTE0uSVFfRklOX0RJVl9FWFAuLjI5LzAzLzIwMjYuLi5VU0QuSAEAAAAgegUAAwAAAAAAR6ezfUSN3ghHp7N9RI3eCDJDSVEuTkFTREFROkNBTE0uSVFfSU5TX0RJVl9FWFAuLjI5LzAzLzIwMjYuLi5VU0QuSAEAAAAgegUAAwAAAAAAR6ezfUSN3ghHp7N9RI3eCDZDSVEuTkFTREFROkNBTE0uSVFfRklOX0RJVl9JTlRfRVhQLi4yOS8wMy8yMDI2Li4uVVNELkgBAAAAIHoFAAMAAAAAAEens31Ejd4IR6ezfUSN3ggpQ0lRLk5BU0RBUTpDQUxNLklRX0dQLi4yOS8wMy8yMDI2Li4uVVNELkgBAAAAIHoFAAIAAAAIMTc2Ni4zMjUBCAAAAAUAAAABMQEAAAALLTE5MTA2Mjc4MzgDAAAAAzE2MAIAAAACMTAEAAAAATAHAAAACTMvMjkvMjAyNggAAAAKMTEvMjkvMjAyNQkAAAABMEens31Ejd4IR6ezfUSN3ggwQ0lRLk5B</t>
  </si>
  <si>
    <t>U0RBUTpDQUxNLklRX1NHQV9TVVBQTC4uMjkvMDMvMjAyNi4uLlVTRC5IAQAAACB6BQACAAAABzMxMC4xOTEBCAAAAAUAAAABMQEAAAALLTE5MTA2Mjc4MzgDAAAAAzE2MAIAAAADMTAyBAAAAAEwBwAAAAkzLzI5LzIwMjYIAAAACjExLzI5LzIwMjUJAAAAATBHp7N9RI3eCEens31Ejd4INENJUS5OQVNEQVE6Q0FMTS5JUV9FWFBMT1JFX0RSSUxMLi4yOS8wMy8yMDI2Li4uVVNELkgBAAAAIHoFAAMAAAAAAEens31Ejd4IR6ezfUSN3gg1Q0lRLk5BU0RBUTpDQUxNLklRX1BST1ZfQkFEX0RFQlRTLi4yOS8wMy8yMDI2Li4uVVNELkgBAAAAIHoFAAMAAAAAAEens31Ejd4IR6ezfUSN3ggyQ0lRLk5BU0RBUTpDQUxNLklRX1NUT0NLX0JBU0VELi4yOS8wMy8yMDI2Li4uVVNELkgBAAAAIHoFAAMAAAAAAEens31Ejd4IR6ezfUSN3gg0Q0lRLk5BU0RBUTpDQUxNLklRX1BSRV9PUEVOX0NPU1QuLjI5LzAzLzIwMjYuLi5VU0QuSAEAAAAgegUAAwAAAAAAR6ezfUSN3ghHp7N9RI3eCC1DSVEuTkFTREFROkNBTE0uSVFfUkRfRVhQLi4yOS8wMy8yMDI2Li4uVVNELkgBAAAAIHoFAAMAAAAAAEens31Ejd4IR6ezfUSN3ggvQ0lRLk5BU0RBUTpDQUxNLklRX0RBX1NVUFBMLi4yOS8wMy8yMDI2Li4uVVNELkgBAAAAIHoFAAMAAAAAAEens31Ejd4IR6ezfUSN3gg1Q0lRLk5BU0RBUTpDQUxNLklRX0dXX0lOVEFOX0FNT1JU</t>
  </si>
  <si>
    <t>Li4yOS8wMy8yMDI2Li4uVVNELkgBAAAAIHoFAAMAAAAAAEens31Ejd4IR6ezfUSN3ggxQ0lRLk5BU0RBUTpDQUxNLklRX0lNUEFJUl9PSUwuLjI5LzAzLzIwMjYuLi5VU0QuSAEAAAAgegUAAwAAAAAAR6ezfUSN3ghHp7N9RI3eCDFDSVEuTkFTREFROkNBTE0uSVFfT1RIRVJfT1BFUi4uMjkvMDMvMjAyNi4uLlVTRC5IAQAAACB6BQADAAAAAAAWzrN9RI3eCBbOs31Ejd4IN0NJUS5OQVNEQVE6Q0FMTS5JUV9UT1RBTF9PVEhFUl9PUEVSLi4yOS8wMy8yMDI2Li4uVVNELkgBAAAAIHoFAAIAAAAHMzEwLjE5MQEIAAAABQAAAAExAQAAAAstMTkxMDYyNzgzOAMAAAADMTYwAgAAAAMzODAEAAAAATAHAAAACTMvMjkvMjAyNggAAAAKMTEvMjkvMjAyNQkAAAABMBbOs31Ejd4IFs6zfUSN3ggvQ0lRLk5BU0RBUTpDQUxNLklRX09QRVJfSU5DLi4yOS8wMy8yMDI2Li4uVVNELkgBAAAAIHoFAAIAAAAIMTQ1Ni4xMzQBCAAAAAUAAAABMQEAAAALLTE5MTA2Mjc4MzgDAAAAAzE2MAIAAAACMjEEAAAAATAHAAAACTMvMjkvMjAyNggAAAAKMTEvMjkvMjAyNQkAAAABMBbOs31Ejd4IFs6zfUSN3ggzQ0lRLk5BU0RBUTpDQUxNLklRX0lOVEVSRVNUX0VYUC4uMjkvMDMvMjAyNi4uLlVTRC5IAQAAACB6BQACAAAABi0wLjY1MwEIAAAABQAAAAExAQAAAAstMTkxMDYyNzgzOAMAAAADMTYwAgAAAAI4MgQAAAABMAcAAAAJMy8y</t>
  </si>
  <si>
    <t>OS8yMDI2CAAAAAoxMS8yOS8yMDI1CQAAAAEwFs6zfUSN3ggWzrN9RI3eCDpDSVEuTkFTREFROkNBTE0uSVFfSU5URVJFU1RfSU5WRVNUX0lOQy4uMjkvMDMvMjAyNi4uLlVTRC5IAQAAACB6BQACAAAABTY1LjQ3AQgAAAAFAAAAATEBAAAACy0xOTEwNjI3ODM4AwAAAAMxNjACAAAAAjY1BAAAAAEwBwAAAAkzLzI5LzIwMjYIAAAACjExLzI5LzIwMjUJAAAAATAWzrN9RI3eCBbOs31Ejd4IN0NJUS5OQVNEQVE6Q0FMTS5JUV9ORVRfSU5URVJFU1RfRVhQLi4yOS8wMy8yMDI2Li4uVVNELkgBAAAAIHoFAAIAAAAGNjQuODE3AQgAAAAFAAAAATEBAAAACy0xOTEwNjI3ODM4AwAAAAMxNjACAAAAAzM2OAQAAAABMAcAAAAJMy8yOS8yMDI2CAAAAAoxMS8yOS8yMDI1CQAAAAEwFs6zfUSN3ggWzrN9RI3eCDFDSVEuTkFTREFROkNBTE0uSVFfSU5DX0VRVUlUWS4uMjkvMDMvMjAyNi4uLlVTRC5IAQAAACB6BQACAAAABTYuMjIxAQgAAAAFAAAAATEBAAAACy0xOTEwNjI3ODM4AwAAAAMxNjACAAAAAjQ3BAAAAAEwBwAAAAkzLzI5LzIwMjYIAAAACjExLzI5LzIwMjUJAAAAATAWzrN9RI3eCBbOs31Ejd4INENJUS5OQVNEQVE6Q0FMTS5JUV9DVVJSRU5DWV9HQUlOLi4yOS8wMy8yMDI2Li4uVVNELkgBAAAAIHoFAAMAAAAAABbOs31Ejd4IFs6zfUSN3gg/Q0lRLk5BU0RBUTpDQUxNLklRX09USEVSX05PTl9PUEVSX0VY</t>
  </si>
  <si>
    <t>UF9TVVBQTC4uMjkvMDMvMjAyNi4uLlVTRC5IAQAAACB6BQACAAAABTcuMzcyAQgAAAAFAAAAATEBAAAACy0xOTEwNjI3ODM4AwAAAAMxNjACAAAAAjg1BAAAAAEwBwAAAAkzLzI5LzIwMjYIAAAACjExLzI5LzIwMjUJAAAAATAWzrN9RI3eCBbOs31Ejd4IL0NJUS5OQVNEQVE6Q0FMTS5JUV9FQlRfRVhDTC4uMjkvMDMvMjAyNi4uLlVTRC5IAQAAACB6BQACAAAACDE1MzQuNTQ0AQgAAAAFAAAAATEBAAAACy0xOTEwNjI3ODM4AwAAAAMxNjACAAAAATQEAAAAATAHAAAACTMvMjkvMjAyNggAAAAKMTEvMjkvMjAyNQkAAAABMBbOs31Ejd4IFs6zfUSN3ggyQ0lRLk5BU0RBUTpDQUxNLklRX1JFU1RSVUNUVVJFLi4yOS8wMy8yMDI2Li4uVVNELkgBAAAAIHoFAAMAAAAAABbOs31Ejd4IFs6zfUSN3ggtQ0lRLk5BU0RBUTpDQUxNLklRX01FUkdFUi4uMjkvMDMvMjAyNi4uLlVTRC5IAQAAACB6BQACAAAABi0wLjU5NAEIAAAABQAAAAExAQAAAAstMTkxMDYyNzgzOAMAAAADMTYwAgAAAAI4MAQAAAABMAcAAAAJMy8yOS8yMDI2CAAAAAoxMS8yOS8yMDI1CQAAAAEwFs6zfUSN3ggWzrN9RI3eCDRDSVEuTkFTREFROkNBTE0uSVFfSU1QQUlSTUVOVF9HVy4uMjkvMDMvMjAyNi4uLlVTRC5IAQAAACB6BQADAAAAAAAWzrN9RI3eCBbOs31Ejd4IMkNJUS5OQVNEQVE6Q0FMTS5JUV9HQUlOX0lOVkVTVC4uMjkvMDMvMjAy</t>
  </si>
  <si>
    <t>Ni4uLlVTRC5IAQAAACB6BQACAAAABTAuMDc2AQgAAAAFAAAAATEBAAAACy0xOTEwNjI3ODM4AwAAAAMxNjACAAAAAjYyBAAAAAEwBwAAAAkzLzI5LzIwMjYIAAAACjExLzI5LzIwMjUJAAAAATAWzrN9RI3eCBbOs31Ejd4IMkNJUS5OQVNEQVE6Q0FMTS5JUV9HQUlOX0FTU0VUUy4uMjkvMDMvMjAyNi4uLlVTRC5IAQAAACB6BQACAAAABi0xLjk1NAEIAAAABQAAAAExAQAAAAstMTkxMDYyNzgzOAMAAAADMTYwAgAAAAI1NgQAAAABMAcAAAAJMy8yOS8yMDI2CAAAAAoxMS8yOS8yMDI1CQAAAAEwFs6zfUSN3ggWzrN9RI3eCDZDSVEuTkFTREFROkNBTE0uSVFfQVNTRVRfV1JJVEVET1dOLi4yOS8wMy8yMDI2Li4uVVNELkgBAAAAIHoFAAMAAAAAABbOs31Ejd4IFs6zfUSN3ggrQ0lRLk5BU0RBUTpDQUxNLklRX0lQUkQuLjI5LzAzLzIwMjYuLi5VU0QuSAEAAAAgegUAAwAAAAAAFs6zfUSN3ggWzrN9RI3eCDFDSVEuTkFTREFROkNBTE0uSVFfSU5TX1NFVFRMRS4uMjkvMDMvMjAyNi4uLlVTRC5IAQAAACB6BQADAAAAAAAWzrN9RI3eCBbOs31Ejd4IM0NJUS5OQVNEQVE6Q0FMTS5JUV9MRUdBTF9TRVRUTEUuLjI5LzAzLzIwMjYuLi5VU0QuSAEAAAAgegUAAwAAAAAAFs6zfUSN3ggWzrN9RI3eCDpDSVEuTkFTREFROkNBTE0uSVFfT1RIRVJfVU5VU1VBTF9TVVBQTC4uMjkvMDMvMjAyNi4uLlVTRC5IAQAAACB6</t>
  </si>
  <si>
    <t>BQACAAAABS0xNi41AQgAAAAFAAAAATEBAAAACy0xOTEwNjI3ODM4AwAAAAMxNjACAAAAAjg3BAAAAAEwBwAAAAkzLzI5LzIwMjYIAAAACjExLzI5LzIwMjUJAAAAATAWzrN9RI3eCBbOs31Ejd4IKkNJUS5OQVNEQVE6Q0FMTS5JUV9FQlQuLjI5LzAzLzIwMjYuLi5VU0QuSAEAAAAgegUAAgAAAAgxNTE1LjU3MgEIAAAABQAAAAExAQAAAAstMTkxMDYyNzgzOAMAAAADMTYwAgAAAAMxMzkEAAAAATAHAAAACTMvMjkvMjAyNggAAAAKMTEvMjkvMjAyNQkAAAABMBbOs31Ejd4IFs6zfUSN3gguQ0lRLk5BU0RBUTpDQUxNLklRX0lOQ19UQVguLjI5LzAzLzIwMjYuLi5VU0QuSAEAAAAgegUAAgAAAAczNjMuMjU1AQgAAAAFAAAAATEBAAAACy0xOTEwNjI3ODM4AwAAAAMxNjACAAAAAjc1BAAAAAEwBwAAAAkzLzI5LzIwMjYIAAAACjExLzI5LzIwMjUJAAAAATAWzrN9RI3eCBbOs31Ejd4IMUNJUS5OQVNEQVE6Q0FMTS5JUV9FQVJOSU5HX0NPLi4yOS8wMy8yMDI2Li4uVVNELkgBAAAAIHoFAAIAAAAIMTE1Mi4zMTcBCAAAAAUAAAABMQEAAAALLTE5MTA2Mjc4MzgDAAAAAzE2MAIAAAABNwQAAAABMAcAAAAJMy8yOS8yMDI2CAAAAAoxMS8yOS8yMDI1CQAAAAEwFs6zfUSN3ggWzrN9RI3eCClDSVEuTkFTREFROkNBTE0uSVFfRE8uLjI5LzAzLzIwMjYuLi5VU0QuSAEAAAAgegUAAwAAAAAAFs6zfUSN3ggWzrN9RI3e</t>
  </si>
  <si>
    <t>CDZDSVEuTkFTREFROkNBTE0uSVFfRVhUUkFfQUNDX0lURU1TLi4yOS8wMy8yMDI2Li4uVVNELkgBAAAAIHoFAAMAAAAAABbOs31Ejd4IFs6zfUSN3ggxQ0lRLk5BU0RBUTpDQUxNLklRX05JX0NPTVBBTlkuLjI5LzAzLzIwMjYuLi5VU0QuSAEAAAAgegUAAgAAAAgxMTUyLjMxNwEIAAAABQAAAAExAQAAAAstMTkxMDYyNzgzOAMAAAADMTYwAgAAAAU0MTU3MQQAAAABMAcAAAAJMy8yOS8yMDI2CAAAAAoxMS8yOS8yMDI1CQAAAAEwFs6zfUSN3ggWzrN9RI3eCDtDSVEuTkFTREFROkNBTE0uSVFfTUlOT1JJVFlfSU5URVJFU1RfSVMuLjI5LzAzLzIwMjYuLi5VU0QuSAEAAAAgegUAAgAAAAQwLjc5AQgAAAAFAAAAATEBAAAACy0xOTEwNjI3ODM4AwAAAAMxNjACAAAAAjgzBAAAAAEwBwAAAAkzLzI5LzIwMjYIAAAACjExLzI5LzIwMjUJAAAAATAWzrN9RI3eCBbOs31Ejd4IKUNJUS5OQVNEQVE6Q0FMTS5JUV9OSS4uMjkvMDMvMjAyNi4uLlVTRC5IAQAAACB6BQACAAAACDExNTMuMTA3AQgAAAAFAAAAATEBAAAACy0xOTEwNjI3ODM4AwAAAAMxNjACAAAAAjE1BAAAAAEwBwAAAAkzLzI5LzIwMjYIAAAACjExLzI5LzIwMjUJAAAAATAWzrN9RI3eCBbOs31Ejd4INUNJUS5OQVNEQVE6Q0FMTS5JUV9QUkVGX0RJVl9PVEhFUi4uMjkvMDMvMjAyNi4uLlVTRC5IAQAAACB6BQADAAAAAAAWzrN9RI3eCBbOs31Ejd4I</t>
  </si>
  <si>
    <t>NENJUS5OQVNEQVE6Q0FMTS5JUV9OSV9BVkFJTF9JTkNMLi4yOS8wMy8yMDI2Li4uVVNELkgBAAAAIHoFAAIAAAAIMTE1My4xMDcBCAAAAAUAAAABMQEAAAALLTE5MTA2Mjc4MzgDAAAAAzE2MAIAAAACMTYEAAAAATAHAAAACTMvMjkvMjAyNggAAAAKMTEvMjkvMjAyNQkAAAABMBbOs31Ejd4IFs6zfUSN3gg0Q0lRLk5BU0RBUTpDQUxNLklRX05JX0FWQUlMX0VYQ0wuLjI5LzAzLzIwMjYuLi5VU0QuSAEAAAAgegUAAgAAAAgxMTUzLjEwNwEIAAAABQAAAAExAQAAAAstMTkxMDYyNzgzOAMAAAADMTYwAgAAAAMzNzkEAAAAATAHAAAACTMvMjkvMjAyNggAAAAKMTEvMjkvMjAyNQkAAAABMBbOs31Ejd4IFs6zfUSN3gg1Q0lRLk5BU0RBUTpDQUxNLklRX0JBU0lDX0VQU19JTkNMLi4yOS8wMy8yMDI2Li4uVVNELkgBAAAAIHoFAAIAAAAJMjMuODE4MTI3AQgAAAAFAAAAATEBAAAACy0xOTEwNjI3ODM4AwAAAAMxNjACAAAAATkEAAAAATAHAAAACTMvMjkvMjAyNggAAAAKMTEvMjkvMjAyNQkAAAABMBbOs31Ejd4IFs6zfUSN3gg1Q0lRLk5BU0RBUTpDQUxNLklRX0JBU0lDX0VQU19FWENMLi4yOS8wMy8yMDI2Li4uVVNELkgBAAAAIHoFAAIAAAAJMjMuODE4MTI3AQgAAAAFAAAAATEBAAAACy0xOTEwNjI3ODM4AwAAAAMxNjACAAAABDMwNjQEAAAAATAHAAAACTMvMjkvMjAyNggAAAAKMTEvMjkvMjAyNQkAAAAB</t>
  </si>
  <si>
    <t>MBbOs31Ejd4IFs6zfUSN3gg1Q0lRLk5BU0RBUTpDQUxNLklRX0RJTFVUX0VQU19JTkNMLi4yOS8wMy8yMDI2Li4uVVNELkgBAAAAIHoFAAIAAAAJMjMuNzQzOTA1AQgAAAAFAAAAATEBAAAACy0xOTEwNjI3ODM4AwAAAAMxNjACAAAAATgEAAAAATAHAAAACTMvMjkvMjAyNggAAAAKMTEvMjkvMjAyNQkAAAABMBbOs31Ejd4IFs6zfUSN3gg1Q0lRLk5BU0RBUTpDQUxNLklRX0RJTFVUX0VQU19FWENMLi4yOS8wMy8yMDI2Li4uVVNELkgBAAAAIHoFAAIAAAAJMjMuNzQzOTA1AQgAAAAFAAAAATEBAAAACy0xOTEwNjI3ODM4AwAAAAMxNjACAAAAAzE0MgQAAAABMAcAAAAJMy8yOS8yMDI2CAAAAAoxMS8yOS8yMDI1CQAAAAEwFs6zfUSN3ggWzrN9RI3eCC9DSVEuTkFTREFROkNBTE0uSVFfRVBTX05PUk0uLjI5LzAzLzIwMjYuLi5VU0QuSAEAAAAgegUAAgAAAAkxOS44MjY5MDUBCAAAAAUAAAABMQEAAAALLTE5MTA2Mjc4MzgDAAAAAzE2MAIAAAAENDM3OQQAAAABMAcAAAAJMy8yOS8yMDI2CAAAAAoxMS8yOS8yMDI1CQAAAAEwKvWzfUSN3ggq9bN9RI3eCDVDSVEuTkFTREFROkNBTE0uSVFfRElMVVRfRVBTX05PUk0uLjI5LzAzLzIwMjYuLi5VU0QuSAEAAAAgegUAAgAAAAkxOS43NjYwNzIBCAAAAAUAAAABMQEAAAALLTE5MTA2Mjc4MzgDAAAAAzE2MAIAAAAENDM4MAQAAAABMAcAAAAJMy8yOS8yMDI2CAAA</t>
  </si>
  <si>
    <t>AAoxMS8yOS8yMDI1CQAAAAEwKvWzfUSN3ggq9bN9RI3eCEtDSVEuTkFTREFROkNBTE0uSVFfRElTVFJJQlVUQUJMRV9DQVNIX1BFUl9TSEFSRV9ESUxVVEVELi4yOS8wMy8yMDI2Li4uVVNELkgBAAAAIHoFAAMAAAAAACr1s31Ejd4IKvWzfUSN3ggwQ0lRLk5BU0RBUTpDQUxNLklRX0RJVl9TSEFSRS4uMjkvMDMvMjAyNi4uLlVTRC5IAQAAACB6BQACAAAABTcuOTQ1AQgAAAAFAAAAATEBAAAACy0xOTEwNjI3ODM4AwAAAAMxNjACAAAABDMwNTgEAAAAATAHAAAACTMvMjkvMjAyNggAAAAKMTEvMjkvMjAyNQkAAAABMCr1s31Ejd4IKvWzfUSN3gg2Q0lRLk5BU0RBUTpDQUxNLklRX1RPVEFMX1JFVl9TSEFSRS4uMjkvMDMvMjAyNi4uLlVTRC5IAQAAACB6BQACAAAACTg3LjAzMTIzMQEIAAAABQAAAAExAQAAAAstMTkxMDYyNzgzOAMAAAADMTYwAgAAAAQ0MzgyBAAAAAEwBwAAAAkzLzI5LzIwMjYIAAAACjExLzI5LzIwMjUJAAAAATAq9bN9RI3eCCr1s31Ejd4IP0NJUS5OQVNEQVE6Q0FMTS5JUV9ESVNUUklCVVRBQkxFX0NBU0hfU0hBUkUuLjI5LzAzLzIwMjYuLi5VU0QuSAEAAAAgegUAAwAAAAAAKvWzfUSN3ggq9bN9RI3eCDhDSVEuTkFTREFROkNBTE0uSVFfU1BFQ0lBTF9ESVZfU0hBUkUuLjI5LzAzLzIwMjYuLi5VU0QuSAEAAAAgegUAAwAAAAAAKvWzfUSN3ggq9bN9RI3eCC1DSVEuTkFTREFROkNB</t>
  </si>
  <si>
    <t>TE0uSVFfRUJJVERBLi4yOS8wMy8yMDI2Li4uVVNELkgBAAAAIHoFAAIAAAAIMTU2NC4xMDYBCAAAAAUAAAABMQEAAAALLTE5MTA2Mjc4MzgDAAAAAzE2MAIAAAAENDA1MQQAAAABMAcAAAAJMy8yOS8yMDI2CAAAAAoxMS8yOS8yMDI1CQAAAAEwKvWzfUSN3ggq9bN9RI3eCDRDSVEuTkFTREFROkNBTE0uSVFfRUJJVERBX0VRX0lOQy4uMjkvMDMvMjAyNi4uLlVTRC5IAQAAACB6BQACAAAACDE1NzAuMzI3AQgAAAAFAAAAATEBAAAACy0xOTEwNjI3ODM4AwAAAAMxNjACAAAABTIxNjc3BAAAAAEwBwAAAAkzLzI5LzIwMjYIAAAACjExLzI5LzIwMjUJAAAAATAq9bN9RI3eCCr1s31Ejd4IPUNJUS5OQVNEQVE6Q0FMTS5JUV9FQklUREFfRVFfSU5DX0VYQ0xfU0JDLi4yOS8wMy8yMDI2Li4uVVNELkgBAAAAIHoFAAIAAAAIMTU3NS4zNTQBCAAAAAUAAAABMQEAAAALLTE5MTA2Mjc4MzgDAAAAAzE2MAIAAAAFMjQxMzEEAAAAATAHAAAACTMvMjkvMjAyNggAAAAKMTEvMjkvMjAyNQkAAAABMCr1s31Ejd4IKvWzfUSN3gg2Q0lRLk5BU0RBUTpDQUxNLklRX0VCSVREQV9FWENMX1NCQy4uMjkvMDMvMjAyNi4uLlVTRC5IAQAAACB6BQACAAAACDE1NjkuMTMzAQgAAAAFAAAAATEBAAAACy0xOTEwNjI3ODM4AwAAAAMxNjACAAAABTI0MTM1BAAAAAEwBwAAAAkzLzI5LzIwMjYIAAAACjExLzI5LzIwMjUJAAAAATAq9bN9</t>
  </si>
  <si>
    <t>RI3eCCr1s31Ejd4IPENJUS5OQVNEQVE6Q0FMTS5JUV9FQklUREFfTEVBU0VfQURKVVNURUQuLjI5LzAzLzIwMjYuLi5VU0QuSAEAAAAgegUAAgAAAAgxNTY0LjEwNgEIAAAABQAAAAExAQAAAAstMTkxMDYyNzgzOAMAAAADMTYwAgAAAAU0ODk5MwQAAAABMAcAAAAJMy8yOS8yMDI2CAAAAAoxMS8yOS8yMDI1CQAAAAEwKvWzfUSN3ggq9bN9RI3eCD5DSVEuTkFTREFROkNBTE0uSVFfTEVBU0VfQURKVVNUTUVOVF9FQklUREEuLjI5LzAzLzIwMjYuLi5VU0QuSAEAAAAgegUAAwAAAAAAKvWzfUSN3ggq9bN9RI3eCEhDSVEuTkFTREFROkNBTE0uSVFfRUJJVERBX0VRX0lOQ19FWENMX09QRVJfTEVBU0VfQURKLi4yOS8wMy8yMDI2Li4uVVNELkgBAAAAIHoFAAIAAAAIMTU3MC4zMjcBCAAAAAUAAAABMQEAAAALLTE5MTA2Mjc4MzgDAAAAAzE2MAIAAAAFNDg5ODcEAAAAATAHAAAACTMvMjkvMjAyNggAAAAKMTEvMjkvMjAyNQkAAAABMCr1s31Ejd4IKvWzfUSN3ggrQ0lRLk5BU0RBUTpDQUxNLklRX0VCSVQuLjI5LzAzLzIwMjYuLi5VU0QuSAEAAAAgegUAAgAAAAgxNDU2LjEzNAEIAAAABQAAAAExAQAAAAstMTkxMDYyNzgzOAMAAAADMTYwAgAAAAM0MDAEAAAAATAHAAAACTMvMjkvMjAyNggAAAAKMTEvMjkvMjAyNQkAAAABMCr1s31Ejd4IKvWzfUSN3ggyQ0lRLk5BU0RBUTpDQUxNLklRX0VCSVRfRVFfSU5D</t>
  </si>
  <si>
    <t>Li4yOS8wMy8yMDI2Li4uVVNELkgBAAAAIHoFAAIAAAAIMTQ2Mi4zNTUBCAAAAAUAAAABMQEAAAALLTE5MTA2Mjc4MzgDAAAAAzE2MAIAAAAFMjE2NzUEAAAAATAHAAAACTMvMjkvMjAyNggAAAAKMTEvMjkvMjAyNQkAAAABMCr1s31Ejd4IKvWzfUSN3gg7Q0lRLk5BU0RBUTpDQUxNLklRX0VCSVRfRVFfSU5DX0VYQ0xfU0JDLi4yOS8wMy8yMDI2Li4uVVNELkgBAAAAIHoFAAIAAAAIMTQ2Ny4zODIBCAAAAAUAAAABMQEAAAALLTE5MTA2Mjc4MzgDAAAAAzE2MAIAAAAFMjQxMzAEAAAAATAHAAAACTMvMjkvMjAyNggAAAAKMTEvMjkvMjAyNQkAAAABMCr1s31Ejd4IKvWzfUSN3gg0Q0lRLk5BU0RBUTpDQUxNLklRX0VCSVRfRVhDTF9TQkMuLjI5LzAzLzIwMjYuLi5VU0QuSAEAAAAgegUAAgAAAAgxNDYxLjE2MQEIAAAABQAAAAExAQAAAAstMTkxMDYyNzgzOAMAAAADMTYwAgAAAAUyNDEzNAQAAAABMAcAAAAJMy8yOS8yMDI2CAAAAAoxMS8yOS8yMDI1CQAAAAEwKvWzfUSN3ggq9bN9RI3eCCxDSVEuTkFTREFROkNBTE0uSVFfRUJJVEEuLjI5LzAzLzIwMjYuLi5VU0QuSAEAAAAgegUAAgAAAAgxNDU4LjI5MgEIAAAABQAAAAExAQAAAAstMTkxMDYyNzgzOAMAAAADMTYwAgAAAAYxMDA2ODkEAAAAATAHAAAACTMvMjkvMjAyNggAAAAKMTEvMjkvMjAyNQkAAAABMCr1s31Ejd4IKvWzfUSN3ggzQ0lRLk5BU0RB</t>
  </si>
  <si>
    <t>UTpDQUxNLklRX0VCSVRBX0VRX0lOQy4uMjkvMDMvMjAyNi4uLlVTRC5IAQAAACB6BQACAAAACDE0NjQuNTEzAQgAAAAFAAAAATEBAAAACy0xOTEwNjI3ODM4AwAAAAMxNjACAAAABTIxNjc2BAAAAAEwBwAAAAkzLzI5LzIwMjYIAAAACjExLzI5LzIwMjUJAAAAATAq9bN9RI3eCCr1s31Ejd4IPENJUS5OQVNEQVE6Q0FMTS5JUV9FQklUQV9FUV9JTkNfRVhDTF9TQkMuLjI5LzAzLzIwMjYuLi5VU0QuSAEAAAAgegUAAgAAAAcxNDY5LjU0AQgAAAAFAAAAATEBAAAACy0xOTEwNjI3ODM4AwAAAAMxNjACAAAABTI0MTMyBAAAAAEwBwAAAAkzLzI5LzIwMjYIAAAACjExLzI5LzIwMjUJAAAAATAq9bN9RI3eCCr1s31Ejd4INUNJUS5OQVNEQVE6Q0FMTS5JUV9FQklUQV9FWENMX1NCQy4uMjkvMDMvMjAyNi4uLlVTRC5IAQAAACB6BQACAAAACDE0NjMuMzE5AQgAAAAFAAAAATEBAAAACy0xOTEwNjI3ODM4AwAAAAMxNjACAAAABTI0MTM2BAAAAAEwBwAAAAkzLzI5LzIwMjYIAAAACjExLzI5LzIwMjUJAAAAATAq9bN9RI3eCCr1s31Ejd4ILkNJUS5OQVNEQVE6Q0FMTS5JUV9FQklUREFSLi4yOS8wMy8yMDI2Li4uVVNELkgBAAAAIHoFAAMAAAAAACr1s31Ejd4IKvWzfUSN3gg1Q0lRLk5BU0RBUTpDQUxNLklRX0VCSVREQVJfRVFfSU5DLi4yOS8wMy8yMDI2Li4uVVNELkgBAAAAIHoFAAMAAAAAACr1s31Ejd4IKvWz</t>
  </si>
  <si>
    <t>fUSN3gg+Q0lRLk5BU0RBUTpDQUxNLklRX0VCSVREQVJfRVFfSU5DX0VYQ0xfU0JDLi4yOS8wMy8yMDI2Li4uVVNELkgBAAAAIHoFAAMAAAAAACr1s31Ejd4IKvWzfUSN3gg3Q0lRLk5BU0RBUTpDQUxNLklRX0VCSVREQVJfRVhDTF9TQkMuLjI5LzAzLzIwMjYuLi5VU0QuSAEAAAAgegUAAwAAAAAAKvWzfUSN3ggq9bN9RI3eCDNDSVEuTkFTREFROkNBTE0uSVFfRUJJVERBX0NBUEVYLi4yOS8wMy8yMDI2Li4uVVNELkgBAAAAIHoFAAIAAAAIMTM3Ni4zMDUBCAAAAAUAAAABMQEAAAALLTE5MTA2Mjc4MzgDAAAAAzE2MAIAAAAFMzUzNzkEAAAAATAHAAAACTMvMjkvMjAyNggAAAAKMTEvMjkvMjAyNQkAAAABMCr1s31Ejd4IKvWzfUSN3gg4Q0lRLk5BU0RBUTpDQUxNLklRX0ZFRVNfT1RIRVJfSU5DT01FLi4yOS8wMy8yMDI2Li4uVVNELkgBAAAAIHoFAAMAAAAAACr1s31Ejd4IKvWzfUSN3gg8Q0lRLk5BU0RBUTpDQUxNLklRX1RPVEFMX1JFVl9BU19SRVBPUlRFRC4uMjkvMDMvMjAyNi4uLlVTRC5IAQAAACB6BQADAAAAAAAq9bN9RI3eCCr1s31Ejd4IOUNJUS5OQVNEQVE6Q0FMTS5JUV9BU19SRVBPUlRFRF9FQklUREEuLjI5LzAzLzIwMjYuLi5VU0QuSAEAAAAgegUAAwAAAAAAKvWzfUSN3ggq9bN9RI3eCElDSVEuTkFTREFROkNBTE0uSVFfUFJPVl9CQURfREVCVFNfUEFUSUVOVF9TRVJWSUNFX1JFVi4u</t>
  </si>
  <si>
    <t>MjkvMDMvMjAyNi4uLlVTRC5IAQAAACB6BQADAAAAAAAq9bN9RI3eCCr1s31Ejd4IQENJUS5OQVNEQVE6Q0FMTS5JUV9FQVJOSU5HX1BBUkVOVF9FWENMX0VYVFJBLi4yOS8wMy8yMDI2Li4uVVNELkgBAAAAIHoFAAIAAAAIMTE1My4xMDcBCAAAAAUAAAABMQEAAAALLTE5MTA2Mjc4MzgDAAAAAzE2MAIAAAAFNDE1OTYEAAAAATAHAAAACTMvMjkvMjAyNggAAAAKMTEvMjkvMjAyNQkAAAABMGcctH1Ejd4IZxy0fUSN3gguQ0lRLk5BU0RBUTpDQUxNLklRX05JX1NGQVMuLjI5LzAzLzIwMjYuLi5VU0QuSAEAAAAgegUAAwAAAAAAZxy0fUSN3ghnHLR9RI3eCDZDSVEuTkFTREFROkNBTE0uSVFfSU5URVJFU1RfSU5DT01FLi4yOS8wMy8yMDI2Li4uVVNELkgBAAAAIHoFAAIAAAAFNjUuNDcBCAAAAAUAAAABMQEAAAALLTE5MTA2Mjc4MzgDAAAAAzE2MAIAAAADMjEwBAAAAAEwBwAAAAkzLzI5LzIwMjYIAAAACjExLzI5LzIwMjUJAAAAATBnHLR9RI3eCGcctH1Ejd4IOENJUS5OQVNEQVE6Q0FMTS5JUV9JTlZFU1RNRU5UX0lOQ09NRS4uMjkvMDMvMjAyNi4uLlVTRC5IAQAAACB6BQADAAAAAABnHLR9RI3eCGcctH1Ejd4IPkNJUS5OQVNEQVE6Q0FMTS5JUV9FWENJU0VfVEFYRVNfRVhDTF9TQUxFUy4uMjkvMDMvMjAyNi4uLlVTRC5IAQAAACB6BQADAAAAAABnHLR9RI3eCGcctH1Ejd4IPkNJUS5OQVNEQVE6Q0FM</t>
  </si>
  <si>
    <t>TS5JUV9FWENJU0VfVEFYRVNfSU5DTF9TQUxFUy4uMjkvMDMvMjAyNi4uLlVTRC5IAQAAACB6BQADAAAAAABnHLR9RI3eCGcctH1Ejd4IOkNJUS5OQVNEQVE6Q0FMTS5JUV9DVVJSX0RPTUVTVElDX1RBWEVTLi4yOS8wMy8yMDI2Li4uVVNELkgBAAAAIHoFAAIAAAAGMzczLjM0AQgAAAAFAAAAATEBAAAACy0xOTEwNjI3ODM4AwAAAAMxNjACAAAABDMwMjcEAAAAATAHAAAACTMvMjkvMjAyNggAAAAKMTEvMjkvMjAyNQkAAAABMGcctH1Ejd4IZxy0fUSN3gg5Q0lRLk5BU0RBUTpDQUxNLklRX0NVUlJfRk9SRUlHTl9UQVhFUy4uMjkvMDMvMjAyNi4uLlVTRC5IAQAAACB6BQADAAAAAABnHLR9RI3eCGcctH1Ejd4IMUNJUS5OQVNEQVE6Q0FMTS5JUV9DVVJSX1RBWEVTLi4yOS8wMy8yMDI2Li4uVVNELkgBAAAAIHoFAAIAAAAGMzczLjM0AQgAAAAFAAAAATEBAAAACy0xOTEwNjI3ODM4AwAAAAMxNjACAAAABTM1MzgzBAAAAAEwBwAAAAkzLzI5LzIwMjYIAAAACjExLzI5LzIwMjUJAAAAATBnHLR9RI3eCGcctH1Ejd4IPkNJUS5OQVNEQVE6Q0FMTS5JUV9ERUZFUlJFRF9ET01FU1RJQ19UQVhFUy4uMjkvMDMvMjAyNi4uLlVTRC5IAQAAACB6BQACAAAABTExLjU3AQgAAAAFAAAAATEBAAAACy0xOTEwNjI3ODM4AwAAAAMxNjACAAAABDMwNTQEAAAAATAHAAAACTMvMjkvMjAyNggAAAAKMTEvMjkvMjAyNQkAAAAB</t>
  </si>
  <si>
    <t>MGcctH1Ejd4IZxy0fUSN3gg9Q0lRLk5BU0RBUTpDQUxNLklRX0RFRkVSUkVEX0ZPUkVJR05fVEFYRVMuLjI5LzAzLzIwMjYuLi5VU0QuSAEAAAAgegUAAwAAAAAAZxy0fUSN3ghnHLR9RI3eCDtDSVEuTkFTREFROkNBTE0uSVFfREVGRVJSRURfVEFYRVNfVE9UQUwuLjI5LzAzLzIwMjYuLi5VU0QuSAEAAAAgegUAAgAAAAUxMS41NwEIAAAABQAAAAExAQAAAAstMTkxMDYyNzgzOAMAAAADMTYwAgAAAAUzNTM4NQQAAAABMAcAAAAJMy8yOS8yMDI2CAAAAAoxMS8yOS8yMDI1CQAAAAEwZxy0fUSN3ghnHLR9RI3eCEBDSVEuTkFTREFROkNBTE0uSVFfTk9OUkVDVVJSSU5HX0lOQ09NRV9UQVhFUy4uMjkvMDMvMjAyNi4uLlVTRC5IAQAAACB6BQADAAAAAABnHLR9RI3eCGcctH1Ejd4ILkNJUS5OQVNEQVE6Q0FMTS5JUV9OSV9OT1JNLi4yOS8wMy8yMDI2Li4uVVNELkgBAAAAIHoFAAIAAAAGOTU5Ljg4AQgAAAAFAAAAATEBAAAACy0xOTEwNjI3ODM4AwAAAAMxNjACAAAABDQzNzgEAAAAATAHAAAACTMvMjkvMjAyNggAAAAKMTEvMjkvMjAyNQkAAAABMGcctH1Ejd4IZxy0fUSN3ggvQ0lRLk5BU0RBUTpDQUxNLklRX0RJTFVUX05JLi4yOS8wMy8yMDI2Li4uVVNELkgBAAAAIHoFAAIAAAAKMTE1My4wNTE1MwEIAAAABQAAAAExAQAAAAstMTkxMDYyNzgzOAMAAAADMTYwAgAAAAQzNTIyBAAAAAEwBwAAAAkzLzI5</t>
  </si>
  <si>
    <t>LzIwMjYIAAAACjExLzI5LzIwMjUJAAAAATBnHLR9RI3eCGcctH1Ejd4IO0NJUS5OQVNEQVE6Q0FMTS5JUV9DQVBJVEFMSVpFRF9JTlRFUkVTVC4uMjkvMDMvMjAyNi4uLlVTRC5IAQAAACB6BQADAAAAAABnHLR9RI3eCGcctH1Ejd4IMkNJUS5OQVNEQVE6Q0FMTS5JUV9JTlRfRVhQX0xURC4uMjkvMDMvMjAyNi4uLlVTRC5IAQAAACB6BQADAAAAAABnHLR9RI3eCGcctH1Ejd4ISENJUS5OQVNEQVE6Q0FMTS5JUV9JTlRFUkVTVF9FWFBfTEVBU0VfTElBQklMSVRZX0RFQlQuLjI5LzAzLzIwMjYuLi5VU0QuSAEAAAAgegUAAwAAAAAAZxy0fUSN3ghnHLR9RI3eCDdDSVEuTkFTREFROkNBTE0uSVFfSU5UX0VYUF9JTkNMX0NBUC4uMjkvMDMvMjAyNi4uLlVTRC5IAQAAACB6BQACAAAABTAuNjUzAQgAAAAFAAAAATEBAAAACy0xOTEwNjI3ODM4AwAAAAMxNjACAAAABTIxODYxBAAAAAEwBwAAAAkzLzI5LzIwMjYIAAAACjExLzI5LzIwMjUJAAAAATBnHLR9RI3eCGcctH1Ejd4IOkNJUS5OQVNEQVE6Q0FMTS5JUV9OT05DQVNIX1BFTlNJT05fRVhQLi4yOS8wMy8yMDI2Li4uVVNELkgBAAAAIHoFAAMAAAAAAGcctH1Ejd4IZxy0fUSN3ggwQ0lRLk5BU0RBUTpDQUxNLklRX0RBX0VCSVREQS4uMjkvMDMvMjAyNi4uLlVTRC5IAQAAACB6BQACAAAABzEwNy45NzIBCAAAAAUAAAABMQEAAAALLTE5MTA2Mjc4MzgDAAAA</t>
  </si>
  <si>
    <t>AzE2MAIAAAAEMjIwNgQAAAABMAcAAAAJMy8yOS8yMDI2CAAAAAoxMS8yOS8yMDI1CQAAAAEwZxy0fUSN3ghnHLR9RI3eCDlDSVEuTkFTREFROkNBTE0uSVFfRElTVFJJQlVUQUJMRV9DQVNILi4yOS8wMy8yMDI2Li4uVVNELkgBAAAAIHoFAAMAAAAAAGcctH1Ejd4IZxy0fUSN3ghGQ0lRLk5BU0RBUTpDQUxNLklRX0RJU1RSSUJVVEFCTEVfQ0FTSF9TVEFOREFSRElaRUQuLjI5LzAzLzIwMjYuLi5VU0QuSAEAAAAgegUAAwAAAAAAZxy0fUSN3ghnHLR9RI3eC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</si>
</sst>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.00_);\(&quot;$&quot;#,##0.00\)"/>
    <numFmt numFmtId="165" formatCode="0.0%"/>
    <numFmt numFmtId="166" formatCode="0.0\x"/>
    <numFmt numFmtId="167" formatCode="_(#,##0_);_(\(#,##0\);_(&quot; - &quot;??_);_(@_)"/>
    <numFmt numFmtId="168" formatCode="_(#,##0.0_);_(\(#,##0.0\);_(&quot; - &quot;??_);_(@_)"/>
    <numFmt numFmtId="169" formatCode="&quot;$&quot;#,##0.0_);\(&quot;$&quot;#,##0.0\)"/>
    <numFmt numFmtId="170" formatCode="#,##0.0_);\(#,##0.0\)"/>
    <numFmt numFmtId="171" formatCode="#,##0.000;\(#,##0.000\)"/>
    <numFmt numFmtId="172" formatCode="#,##0.0;\(#,##0.0\)"/>
    <numFmt numFmtId="173" formatCode="0.0;\(0.0\)"/>
    <numFmt numFmtId="174" formatCode="_(* #,##0.0_);_(* \(#,##0.0\);_(* &quot; - &quot;_);_(@_)"/>
  </numFmts>
  <fonts count="12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color indexed="17"/>
      <name val="Arial"/>
      <family val="2"/>
    </font>
    <font>
      <b/>
      <sz val="10"/>
      <color indexed="8"/>
      <name val="Arial"/>
      <family val="2"/>
    </font>
    <font>
      <sz val="10"/>
      <color indexed="17"/>
      <name val="Arial"/>
      <family val="2"/>
    </font>
    <font>
      <sz val="10"/>
      <name val="Times New Roman"/>
      <family val="1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9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Protection="0">
      <alignment horizontal="left"/>
    </xf>
    <xf numFmtId="171" fontId="3" fillId="0" borderId="0" applyFill="0" applyBorder="0" applyProtection="0">
      <alignment horizontal="right" vertical="top"/>
    </xf>
    <xf numFmtId="14" fontId="3" fillId="0" borderId="0" applyFill="0" applyBorder="0" applyProtection="0">
      <alignment horizontal="left" vertical="top"/>
    </xf>
    <xf numFmtId="172" fontId="3" fillId="0" borderId="0" applyFill="0" applyBorder="0" applyProtection="0">
      <alignment horizontal="left" vertical="top" wrapText="1"/>
    </xf>
    <xf numFmtId="0" fontId="1" fillId="0" borderId="0"/>
    <xf numFmtId="0" fontId="10" fillId="0" borderId="0"/>
  </cellStyleXfs>
  <cellXfs count="70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170" fontId="6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left" indent="1"/>
    </xf>
    <xf numFmtId="170" fontId="7" fillId="0" borderId="3" xfId="0" applyNumberFormat="1" applyFont="1" applyBorder="1" applyAlignment="1">
      <alignment horizontal="right"/>
    </xf>
    <xf numFmtId="170" fontId="7" fillId="0" borderId="0" xfId="0" applyNumberFormat="1" applyFont="1" applyAlignment="1">
      <alignment horizontal="right"/>
    </xf>
    <xf numFmtId="170" fontId="6" fillId="0" borderId="1" xfId="0" applyNumberFormat="1" applyFont="1" applyBorder="1" applyAlignment="1">
      <alignment horizontal="right"/>
    </xf>
    <xf numFmtId="170" fontId="7" fillId="0" borderId="4" xfId="0" applyNumberFormat="1" applyFont="1" applyBorder="1" applyAlignment="1">
      <alignment horizontal="right"/>
    </xf>
    <xf numFmtId="170" fontId="7" fillId="0" borderId="5" xfId="0" applyNumberFormat="1" applyFont="1" applyBorder="1" applyAlignment="1">
      <alignment horizontal="right"/>
    </xf>
    <xf numFmtId="39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74" fontId="6" fillId="0" borderId="0" xfId="0" applyNumberFormat="1" applyFont="1" applyAlignment="1">
      <alignment horizontal="right"/>
    </xf>
    <xf numFmtId="168" fontId="4" fillId="0" borderId="0" xfId="0" applyNumberFormat="1" applyFont="1"/>
    <xf numFmtId="169" fontId="4" fillId="0" borderId="0" xfId="0" applyNumberFormat="1" applyFont="1"/>
    <xf numFmtId="37" fontId="6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6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70" fontId="5" fillId="0" borderId="0" xfId="0" applyNumberFormat="1" applyFont="1" applyAlignment="1">
      <alignment horizontal="right"/>
    </xf>
    <xf numFmtId="14" fontId="7" fillId="0" borderId="1" xfId="0" applyNumberFormat="1" applyFon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right"/>
    </xf>
    <xf numFmtId="165" fontId="4" fillId="0" borderId="3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4" xfId="0" applyNumberFormat="1" applyFont="1" applyBorder="1" applyAlignment="1">
      <alignment horizontal="right"/>
    </xf>
    <xf numFmtId="165" fontId="4" fillId="0" borderId="5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centerContinuous"/>
    </xf>
    <xf numFmtId="0" fontId="4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65" fontId="5" fillId="0" borderId="0" xfId="1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73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70" fontId="9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2" fillId="0" borderId="0" xfId="0" applyNumberFormat="1" applyFont="1" applyAlignment="1">
      <alignment horizontal="center"/>
    </xf>
    <xf numFmtId="169" fontId="2" fillId="0" borderId="0" xfId="0" applyNumberFormat="1" applyFont="1"/>
    <xf numFmtId="39" fontId="2" fillId="0" borderId="0" xfId="0" applyNumberFormat="1" applyFont="1"/>
    <xf numFmtId="164" fontId="2" fillId="0" borderId="0" xfId="0" applyNumberFormat="1" applyFont="1"/>
    <xf numFmtId="170" fontId="2" fillId="0" borderId="0" xfId="0" applyNumberFormat="1" applyFont="1" applyAlignment="1">
      <alignment horizontal="right"/>
    </xf>
    <xf numFmtId="170" fontId="2" fillId="0" borderId="0" xfId="0" applyNumberFormat="1" applyFont="1"/>
    <xf numFmtId="0" fontId="2" fillId="0" borderId="0" xfId="0" applyFont="1" applyAlignment="1">
      <alignment horizontal="right"/>
    </xf>
    <xf numFmtId="174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3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0" fontId="11" fillId="0" borderId="0" xfId="0" applyFont="1"/>
    <xf numFmtId="1" fontId="4" fillId="0" borderId="5" xfId="0" applyNumberFormat="1" applyFont="1" applyBorder="1" applyAlignment="1">
      <alignment horizontal="left"/>
    </xf>
    <xf numFmtId="0" fontId="7" fillId="0" borderId="5" xfId="0" applyFont="1" applyBorder="1" applyAlignment="1">
      <alignment horizontal="left"/>
    </xf>
    <xf numFmtId="14" fontId="7" fillId="0" borderId="5" xfId="0" applyNumberFormat="1" applyFont="1" applyBorder="1" applyAlignment="1">
      <alignment horizontal="right"/>
    </xf>
    <xf numFmtId="39" fontId="7" fillId="0" borderId="5" xfId="0" applyNumberFormat="1" applyFont="1" applyBorder="1" applyAlignment="1">
      <alignment horizontal="right"/>
    </xf>
    <xf numFmtId="165" fontId="4" fillId="0" borderId="5" xfId="1" applyNumberFormat="1" applyFont="1" applyBorder="1" applyAlignment="1">
      <alignment horizontal="right"/>
    </xf>
    <xf numFmtId="170" fontId="4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right"/>
    </xf>
    <xf numFmtId="166" fontId="4" fillId="0" borderId="5" xfId="0" applyNumberFormat="1" applyFont="1" applyBorder="1" applyAlignment="1">
      <alignment horizontal="right"/>
    </xf>
    <xf numFmtId="173" fontId="4" fillId="0" borderId="5" xfId="0" applyNumberFormat="1" applyFont="1" applyBorder="1" applyAlignment="1">
      <alignment horizontal="right"/>
    </xf>
    <xf numFmtId="14" fontId="0" fillId="0" borderId="0" xfId="0" applyNumberFormat="1"/>
  </cellXfs>
  <cellStyles count="8">
    <cellStyle name="Normal" xfId="0" builtinId="0"/>
    <cellStyle name="Normal 2" xfId="7" xr:uid="{00000000-0005-0000-0000-000001000000}"/>
    <cellStyle name="Normal 4" xfId="6" xr:uid="{00000000-0005-0000-0000-000002000000}"/>
    <cellStyle name="Per cent" xfId="1" builtinId="5"/>
    <cellStyle name="Style 21" xfId="2" xr:uid="{00000000-0005-0000-0000-000006000000}"/>
    <cellStyle name="Style 22" xfId="3" xr:uid="{00000000-0005-0000-0000-000007000000}"/>
    <cellStyle name="Style 23" xfId="4" xr:uid="{00000000-0005-0000-0000-000008000000}"/>
    <cellStyle name="Style 24" xfId="5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E26D"/>
      <rgbColor rgb="000000FF"/>
      <rgbColor rgb="00009EA6"/>
      <rgbColor rgb="00DFB793"/>
      <rgbColor rgb="001E3086"/>
      <rgbColor rgb="00800000"/>
      <rgbColor rgb="00008000"/>
      <rgbColor rgb="00000080"/>
      <rgbColor rgb="00808000"/>
      <rgbColor rgb="00800080"/>
      <rgbColor rgb="00008080"/>
      <rgbColor rgb="00FFE26D"/>
      <rgbColor rgb="005A5A5A"/>
      <rgbColor rgb="00E31837"/>
      <rgbColor rgb="0000B1B0"/>
      <rgbColor rgb="00919195"/>
      <rgbColor rgb="00B5E1E1"/>
      <rgbColor rgb="00006C67"/>
      <rgbColor rgb="00643CE6"/>
      <rgbColor rgb="00000000"/>
      <rgbColor rgb="007D2364"/>
      <rgbColor rgb="00E31837"/>
      <rgbColor rgb="0000B1B0"/>
      <rgbColor rgb="00919195"/>
      <rgbColor rgb="00B5E1E1"/>
      <rgbColor rgb="00006C67"/>
      <rgbColor rgb="00643CE6"/>
      <rgbColor rgb="00000000"/>
      <rgbColor rgb="007D2364"/>
      <rgbColor rgb="00E1E1E1"/>
      <rgbColor rgb="000059C2"/>
      <rgbColor rgb="00A5BF88"/>
      <rgbColor rgb="00DCDCFF"/>
      <rgbColor rgb="00E41F1F"/>
      <rgbColor rgb="00FF0000"/>
      <rgbColor rgb="0073868B"/>
      <rgbColor rgb="00969696"/>
      <rgbColor rgb="003366FF"/>
      <rgbColor rgb="0033CCCC"/>
      <rgbColor rgb="0099CC00"/>
      <rgbColor rgb="00008C03"/>
      <rgbColor rgb="00FF9900"/>
      <rgbColor rgb="00FF6600"/>
      <rgbColor rgb="00666699"/>
      <rgbColor rgb="00DFDFDF"/>
      <rgbColor rgb="00003366"/>
      <rgbColor rgb="00339966"/>
      <rgbColor rgb="00003300"/>
      <rgbColor rgb="00333300"/>
      <rgbColor rgb="00993300"/>
      <rgbColor rgb="003264AF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patri/AppData/Roaming/Microsoft/Excel/Portfolio%20Snapshot%20(version%201).xlsb" TargetMode="External"/><Relationship Id="rId2" Type="http://schemas.openxmlformats.org/officeDocument/2006/relationships/externalLinkPath" Target="file:///C:\Users\patri\AppData\Roaming\Microsoft\Excel\Portfolio%20Snapshot%20(version%201).xlsb" TargetMode="External"/><Relationship Id="rId1" Type="http://schemas.openxmlformats.org/officeDocument/2006/relationships/externalLinkPath" Target="/Users/patri/AppData/Roaming/Microsoft/Excel/Portfolio%20Snapshot%20(version%201)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yjanam/Desktop/20.02%20Release%20-%20Copy/Key%20Stats/Key%20Stats%20-%20Standard%2020.2.xlsm" TargetMode="External"/><Relationship Id="rId1" Type="http://schemas.openxmlformats.org/officeDocument/2006/relationships/externalLinkPath" Target="/Users/yjanam/Desktop/20.02%20Release%20-%20Copy/Key%20Stats/Key%20Stats%20-%20Standard%2020.2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crego/AppData/Local/Capital%20IQ/Office%20Plug-in/Templates/+Multi-Language/Financial%20Snapshot%20Tearsheet.xls" TargetMode="External"/><Relationship Id="rId1" Type="http://schemas.openxmlformats.org/officeDocument/2006/relationships/externalLinkPath" Target="/Users/crego/AppData/Local/Capital%20IQ/Office%20Plug-in/Templates/+Multi-Language/Financial%20Snapshot%20Tearsheet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patri/AppData/Local/Capital%20IQ/Office%20Plug-in/Templates/Portfolio%20and%20Index/CIQ%20Alpha%20Models.xls" TargetMode="External"/><Relationship Id="rId2" Type="http://schemas.openxmlformats.org/officeDocument/2006/relationships/externalLinkPath" Target="file:///C:\Users\patri\AppData\Local\Capital%20IQ\Office%20Plug-in\Templates\Portfolio%20and%20Index\CIQ%20Alpha%20Models.xls" TargetMode="External"/><Relationship Id="rId1" Type="http://schemas.openxmlformats.org/officeDocument/2006/relationships/externalLinkPath" Target="/Users/patri/AppData/Local/Capital%20IQ/Office%20Plug-in/Templates/Portfolio%20and%20Index/CIQ%20Alpha%20Mode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view"/>
      <sheetName val="Summary"/>
      <sheetName val="Portfolio"/>
      <sheetName val="Benchmark"/>
      <sheetName val="PortContrib"/>
      <sheetName val="BenchContrib"/>
      <sheetName val="Chart Data"/>
      <sheetName val="Data"/>
    </sheetNames>
    <sheetDataSet>
      <sheetData sheetId="0"/>
      <sheetData sheetId="1"/>
      <sheetData sheetId="2">
        <row r="7">
          <cell r="AI7" t="str">
            <v>(User access restricted)</v>
          </cell>
          <cell r="AJ7" t="str">
            <v>(User access restricted)</v>
          </cell>
          <cell r="AL7" t="str">
            <v>(User access restricted)</v>
          </cell>
          <cell r="AM7" t="str">
            <v>(User access restricted)</v>
          </cell>
          <cell r="AO7" t="str">
            <v>(User access restricted)</v>
          </cell>
          <cell r="AP7" t="str">
            <v>(User access restricted)</v>
          </cell>
          <cell r="AR7" t="str">
            <v>(User access restricted)</v>
          </cell>
          <cell r="AS7" t="str">
            <v>(User access restricted)</v>
          </cell>
          <cell r="AU7" t="str">
            <v>(User access restricted)</v>
          </cell>
          <cell r="AV7" t="str">
            <v>(User access restricted)</v>
          </cell>
          <cell r="AX7" t="str">
            <v>(User access restricted)</v>
          </cell>
          <cell r="AY7" t="str">
            <v>(User access restricted)</v>
          </cell>
          <cell r="BA7" t="str">
            <v>(User access restricted)</v>
          </cell>
          <cell r="BB7" t="str">
            <v>(User access restricted)</v>
          </cell>
          <cell r="BD7" t="str">
            <v>(User access restricted)</v>
          </cell>
          <cell r="BE7" t="str">
            <v>(User access restricted)</v>
          </cell>
          <cell r="BG7" t="str">
            <v>(User access restricted)</v>
          </cell>
          <cell r="BH7" t="str">
            <v>(User access restricted)</v>
          </cell>
          <cell r="BJ7" t="str">
            <v>(User access restricted)</v>
          </cell>
          <cell r="BK7" t="str">
            <v>(User access restricted)</v>
          </cell>
          <cell r="BM7" t="str">
            <v>(User access restricted)</v>
          </cell>
          <cell r="BN7" t="str">
            <v>(User access restricted)</v>
          </cell>
        </row>
      </sheetData>
      <sheetData sheetId="3">
        <row r="7">
          <cell r="AI7" t="str">
            <v>(User access restricted)</v>
          </cell>
          <cell r="AJ7" t="str">
            <v>(User access restricted)</v>
          </cell>
          <cell r="AL7" t="str">
            <v>(User access restricted)</v>
          </cell>
          <cell r="AM7" t="str">
            <v>(User access restricted)</v>
          </cell>
          <cell r="AO7" t="str">
            <v>(User access restricted)</v>
          </cell>
          <cell r="AP7" t="str">
            <v>(User access restricted)</v>
          </cell>
          <cell r="AR7" t="str">
            <v>(User access restricted)</v>
          </cell>
          <cell r="AS7" t="str">
            <v>(User access restricted)</v>
          </cell>
          <cell r="AU7" t="str">
            <v>(User access restricted)</v>
          </cell>
          <cell r="AV7" t="str">
            <v>(User access restricted)</v>
          </cell>
          <cell r="AX7" t="str">
            <v>(User access restricted)</v>
          </cell>
          <cell r="AY7" t="str">
            <v>(User access restricted)</v>
          </cell>
          <cell r="BA7" t="str">
            <v>(User access restricted)</v>
          </cell>
          <cell r="BB7" t="str">
            <v>(User access restricted)</v>
          </cell>
          <cell r="BD7" t="str">
            <v>(User access restricted)</v>
          </cell>
          <cell r="BE7" t="str">
            <v>(User access restricted)</v>
          </cell>
          <cell r="BG7" t="str">
            <v>(User access restricted)</v>
          </cell>
          <cell r="BH7" t="str">
            <v>(User access restricted)</v>
          </cell>
          <cell r="BJ7" t="str">
            <v>(User access restricted)</v>
          </cell>
          <cell r="BK7" t="str">
            <v>(User access restricted)</v>
          </cell>
          <cell r="BM7" t="str">
            <v>(User access restricted)</v>
          </cell>
          <cell r="BN7" t="str">
            <v>(User access restricted)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ey Stats"/>
      <sheetName val="Income Statement"/>
      <sheetName val="Balance Sheet"/>
      <sheetName val="Cash Flow"/>
      <sheetName val="Multiples"/>
      <sheetName val="Capitalization"/>
      <sheetName val="Capital Structure Summary"/>
      <sheetName val="Capital Structure Details"/>
      <sheetName val="Ratios"/>
      <sheetName val="Supplemental"/>
      <sheetName val="Pension-OPE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U6" t="str">
            <v>IQDCS921164068</v>
          </cell>
        </row>
        <row r="7">
          <cell r="U7" t="str">
            <v>IQDCS922008726</v>
          </cell>
        </row>
        <row r="8">
          <cell r="U8" t="str">
            <v>IQDCS921164065</v>
          </cell>
        </row>
        <row r="9">
          <cell r="U9" t="str">
            <v>IQDCS923200891</v>
          </cell>
        </row>
        <row r="10">
          <cell r="U10" t="str">
            <v>IQDCS922584855</v>
          </cell>
        </row>
        <row r="11">
          <cell r="U11" t="str">
            <v>IQDCS920779925</v>
          </cell>
        </row>
        <row r="12">
          <cell r="U12" t="str">
            <v>IQDCS922920408</v>
          </cell>
        </row>
        <row r="13">
          <cell r="U13" t="str">
            <v>IQDCS920779921</v>
          </cell>
        </row>
        <row r="14">
          <cell r="U14" t="str">
            <v>IQDCS920779609</v>
          </cell>
        </row>
        <row r="15">
          <cell r="U15" t="str">
            <v>IQDCS920779615</v>
          </cell>
        </row>
        <row r="16">
          <cell r="U16" t="str">
            <v>IQDCS920779926</v>
          </cell>
        </row>
        <row r="17">
          <cell r="U17" t="str">
            <v>IQDCS922921278</v>
          </cell>
        </row>
        <row r="18">
          <cell r="U18" t="str">
            <v>IQDCS920779614</v>
          </cell>
        </row>
        <row r="19">
          <cell r="U19" t="str">
            <v>IQDCS920779928</v>
          </cell>
        </row>
        <row r="20">
          <cell r="U20" t="str">
            <v>IQDCS922921284</v>
          </cell>
        </row>
        <row r="21">
          <cell r="U21" t="str">
            <v>IQDCS921345359</v>
          </cell>
        </row>
        <row r="22">
          <cell r="U22" t="str">
            <v>IQDCS922920407</v>
          </cell>
        </row>
        <row r="23">
          <cell r="U23" t="str">
            <v>IQDCS920779608</v>
          </cell>
        </row>
        <row r="24">
          <cell r="U24" t="str">
            <v>IQDCS922921285</v>
          </cell>
        </row>
        <row r="25">
          <cell r="U25" t="str">
            <v>IQDCS920779922</v>
          </cell>
        </row>
        <row r="26">
          <cell r="U26" t="str">
            <v>IQDCS922921279</v>
          </cell>
        </row>
        <row r="27">
          <cell r="U27" t="str">
            <v>IQDCS920779620</v>
          </cell>
        </row>
        <row r="28">
          <cell r="U28" t="str">
            <v>IQDCS919289665</v>
          </cell>
        </row>
        <row r="29">
          <cell r="U29" t="str">
            <v>IQDCS920779612</v>
          </cell>
        </row>
        <row r="30">
          <cell r="U30" t="str">
            <v>IQDCS922921287</v>
          </cell>
        </row>
        <row r="35">
          <cell r="U35" t="str">
            <v>IQDCS921164068</v>
          </cell>
        </row>
        <row r="36">
          <cell r="U36" t="str">
            <v>IQDCS922008726</v>
          </cell>
        </row>
        <row r="37">
          <cell r="U37" t="str">
            <v>IQDCS921164065</v>
          </cell>
        </row>
        <row r="38">
          <cell r="U38" t="str">
            <v>IQDCS922031102</v>
          </cell>
        </row>
        <row r="39">
          <cell r="U39" t="str">
            <v>IQDCS922373212</v>
          </cell>
        </row>
        <row r="40">
          <cell r="U40" t="str">
            <v>IQDCS921164072</v>
          </cell>
        </row>
        <row r="41">
          <cell r="U41" t="str">
            <v>IQDCS920779925</v>
          </cell>
        </row>
        <row r="42">
          <cell r="U42" t="str">
            <v>IQDCS920779921</v>
          </cell>
        </row>
        <row r="43">
          <cell r="U43" t="str">
            <v>IQDCS920779609</v>
          </cell>
        </row>
        <row r="44">
          <cell r="U44" t="str">
            <v>IQDCS920779615</v>
          </cell>
        </row>
        <row r="45">
          <cell r="U45" t="str">
            <v>IQDCS920779926</v>
          </cell>
        </row>
        <row r="46">
          <cell r="U46" t="str">
            <v>IQDCS920779614</v>
          </cell>
        </row>
        <row r="47">
          <cell r="U47" t="str">
            <v>IQDCS920779928</v>
          </cell>
        </row>
        <row r="48">
          <cell r="U48" t="str">
            <v>IQDCS920780032</v>
          </cell>
        </row>
        <row r="49">
          <cell r="U49" t="str">
            <v>IQDCS921345359</v>
          </cell>
        </row>
        <row r="50">
          <cell r="U50" t="str">
            <v>IQDCS920779608</v>
          </cell>
        </row>
        <row r="51">
          <cell r="U51" t="str">
            <v>IQDCS920779922</v>
          </cell>
        </row>
        <row r="52">
          <cell r="U52" t="str">
            <v>IQDCS920779620</v>
          </cell>
        </row>
        <row r="53">
          <cell r="U53" t="str">
            <v>IQDCS919289665</v>
          </cell>
        </row>
        <row r="54">
          <cell r="U54" t="str">
            <v>IQDCS920779612</v>
          </cell>
        </row>
        <row r="55">
          <cell r="U55" t="str">
            <v>IQDCS919289795</v>
          </cell>
        </row>
        <row r="56">
          <cell r="U56" t="str">
            <v>IQDCS920779918</v>
          </cell>
        </row>
        <row r="57">
          <cell r="U57" t="str">
            <v>IQDCS920779617</v>
          </cell>
        </row>
        <row r="58">
          <cell r="U58" t="str">
            <v>IQDCS920779919</v>
          </cell>
        </row>
        <row r="59">
          <cell r="U59" t="str">
            <v>IQDCS921164084</v>
          </cell>
        </row>
        <row r="64">
          <cell r="U64" t="str">
            <v>IQDCS921164068</v>
          </cell>
        </row>
        <row r="65">
          <cell r="U65" t="str">
            <v>IQDCS921164072</v>
          </cell>
        </row>
        <row r="66">
          <cell r="U66" t="str">
            <v>IQDCS920779925</v>
          </cell>
        </row>
        <row r="67">
          <cell r="U67" t="str">
            <v>IQDCS920779921</v>
          </cell>
        </row>
        <row r="68">
          <cell r="U68" t="str">
            <v>IQDCS920779609</v>
          </cell>
        </row>
        <row r="69">
          <cell r="U69" t="str">
            <v>IQDCS920779615</v>
          </cell>
        </row>
        <row r="70">
          <cell r="U70" t="str">
            <v>IQDCS920779926</v>
          </cell>
        </row>
        <row r="71">
          <cell r="U71" t="str">
            <v>IQDCS920779614</v>
          </cell>
        </row>
        <row r="72">
          <cell r="U72" t="str">
            <v>IQDCS920779928</v>
          </cell>
        </row>
        <row r="73">
          <cell r="U73" t="str">
            <v>IQDCS920780032</v>
          </cell>
        </row>
        <row r="74">
          <cell r="U74" t="str">
            <v>IQDCS920779608</v>
          </cell>
        </row>
        <row r="75">
          <cell r="U75" t="str">
            <v>IQDCS920779922</v>
          </cell>
        </row>
        <row r="76">
          <cell r="U76" t="str">
            <v>IQDCS920779620</v>
          </cell>
        </row>
        <row r="77">
          <cell r="U77" t="str">
            <v>IQDCS919289665</v>
          </cell>
        </row>
        <row r="78">
          <cell r="U78" t="str">
            <v>IQDCS920779612</v>
          </cell>
        </row>
        <row r="79">
          <cell r="U79" t="str">
            <v>IQDCS919289795</v>
          </cell>
        </row>
        <row r="80">
          <cell r="U80" t="str">
            <v>IQDCS920779918</v>
          </cell>
        </row>
        <row r="81">
          <cell r="U81" t="str">
            <v>IQDCS920779617</v>
          </cell>
        </row>
        <row r="82">
          <cell r="U82" t="str">
            <v>IQDCS920779919</v>
          </cell>
        </row>
        <row r="83">
          <cell r="U83" t="str">
            <v>IQDCS919771151</v>
          </cell>
        </row>
        <row r="84">
          <cell r="U84" t="str">
            <v>IQDCS921164084</v>
          </cell>
        </row>
        <row r="85">
          <cell r="U85" t="str">
            <v>IQDCS921164085</v>
          </cell>
        </row>
        <row r="86">
          <cell r="U86" t="str">
            <v>IQDCS921164070</v>
          </cell>
        </row>
        <row r="87">
          <cell r="U87" t="str">
            <v>IQDCS921164071</v>
          </cell>
        </row>
        <row r="88">
          <cell r="U88" t="str">
            <v>IQDCS916957982</v>
          </cell>
        </row>
      </sheetData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napshot"/>
      <sheetName val="Data"/>
      <sheetName val="Lanugage Index"/>
    </sheetNames>
    <sheetDataSet>
      <sheetData sheetId="0" refreshError="1"/>
      <sheetData sheetId="1">
        <row r="9">
          <cell r="A9">
            <v>43558</v>
          </cell>
          <cell r="B9">
            <v>143.63</v>
          </cell>
          <cell r="C9">
            <v>2.6816499999999999</v>
          </cell>
        </row>
        <row r="10">
          <cell r="A10">
            <v>43559</v>
          </cell>
          <cell r="B10">
            <v>142.78</v>
          </cell>
          <cell r="C10">
            <v>2.7714599999999998</v>
          </cell>
        </row>
        <row r="11">
          <cell r="A11">
            <v>43560</v>
          </cell>
          <cell r="B11">
            <v>143.28</v>
          </cell>
          <cell r="C11">
            <v>2.7319900000000001</v>
          </cell>
        </row>
        <row r="12">
          <cell r="A12">
            <v>43563</v>
          </cell>
          <cell r="B12">
            <v>143.38999999999999</v>
          </cell>
          <cell r="C12">
            <v>2.1182300000000001</v>
          </cell>
        </row>
        <row r="13">
          <cell r="A13">
            <v>43564</v>
          </cell>
          <cell r="B13">
            <v>142.11000000000001</v>
          </cell>
          <cell r="C13">
            <v>3.0384600000000002</v>
          </cell>
        </row>
        <row r="14">
          <cell r="A14">
            <v>43565</v>
          </cell>
          <cell r="B14">
            <v>143.02000000000001</v>
          </cell>
          <cell r="C14">
            <v>2.6783100000000002</v>
          </cell>
        </row>
        <row r="15">
          <cell r="A15">
            <v>43566</v>
          </cell>
          <cell r="B15">
            <v>143.78</v>
          </cell>
          <cell r="C15">
            <v>2.9419900000000001</v>
          </cell>
        </row>
        <row r="16">
          <cell r="A16">
            <v>43567</v>
          </cell>
          <cell r="B16">
            <v>144.35</v>
          </cell>
          <cell r="C16">
            <v>2.8988999999999998</v>
          </cell>
        </row>
        <row r="17">
          <cell r="A17">
            <v>43570</v>
          </cell>
          <cell r="B17">
            <v>143.9</v>
          </cell>
          <cell r="C17">
            <v>3.6031599999999999</v>
          </cell>
        </row>
        <row r="18">
          <cell r="A18">
            <v>43571</v>
          </cell>
          <cell r="B18">
            <v>145.13999999999999</v>
          </cell>
          <cell r="C18">
            <v>6.3016699999999997</v>
          </cell>
        </row>
        <row r="19">
          <cell r="A19">
            <v>43572</v>
          </cell>
          <cell r="B19">
            <v>139.11000000000001</v>
          </cell>
          <cell r="C19">
            <v>12.525690000000001</v>
          </cell>
        </row>
        <row r="20">
          <cell r="A20">
            <v>43573</v>
          </cell>
          <cell r="B20">
            <v>140.33000000000001</v>
          </cell>
          <cell r="C20">
            <v>4.9600200000000001</v>
          </cell>
        </row>
        <row r="21">
          <cell r="A21">
            <v>43577</v>
          </cell>
          <cell r="B21">
            <v>138.88999999999999</v>
          </cell>
          <cell r="C21">
            <v>4.4943299999999997</v>
          </cell>
        </row>
        <row r="22">
          <cell r="A22">
            <v>43578</v>
          </cell>
          <cell r="B22">
            <v>140.44</v>
          </cell>
          <cell r="C22">
            <v>4.4622400000000004</v>
          </cell>
        </row>
        <row r="23">
          <cell r="A23">
            <v>43579</v>
          </cell>
          <cell r="B23">
            <v>139.94999999999999</v>
          </cell>
          <cell r="C23">
            <v>2.7748699999999999</v>
          </cell>
        </row>
        <row r="24">
          <cell r="A24">
            <v>43580</v>
          </cell>
          <cell r="B24">
            <v>138.63</v>
          </cell>
          <cell r="C24">
            <v>2.91011</v>
          </cell>
        </row>
        <row r="25">
          <cell r="A25">
            <v>43581</v>
          </cell>
          <cell r="B25">
            <v>139.44</v>
          </cell>
          <cell r="C25">
            <v>2.3198300000000001</v>
          </cell>
        </row>
        <row r="26">
          <cell r="A26">
            <v>43584</v>
          </cell>
          <cell r="B26">
            <v>139.05000000000001</v>
          </cell>
          <cell r="C26">
            <v>2.9583300000000001</v>
          </cell>
        </row>
        <row r="27">
          <cell r="A27">
            <v>43585</v>
          </cell>
          <cell r="B27">
            <v>140.27000000000001</v>
          </cell>
          <cell r="C27">
            <v>4.6388299999999996</v>
          </cell>
        </row>
        <row r="28">
          <cell r="A28">
            <v>43586</v>
          </cell>
          <cell r="B28">
            <v>140.56</v>
          </cell>
          <cell r="C28">
            <v>3.0536799999999999</v>
          </cell>
        </row>
        <row r="29">
          <cell r="A29">
            <v>43587</v>
          </cell>
          <cell r="B29">
            <v>139.59</v>
          </cell>
          <cell r="C29">
            <v>3.54135</v>
          </cell>
        </row>
        <row r="30">
          <cell r="A30">
            <v>43588</v>
          </cell>
          <cell r="B30">
            <v>140.25</v>
          </cell>
          <cell r="C30">
            <v>2.5800299999999998</v>
          </cell>
        </row>
        <row r="31">
          <cell r="A31">
            <v>43591</v>
          </cell>
          <cell r="B31">
            <v>140.38</v>
          </cell>
          <cell r="C31">
            <v>2.79366</v>
          </cell>
        </row>
        <row r="32">
          <cell r="A32">
            <v>43592</v>
          </cell>
          <cell r="B32">
            <v>137.63999999999999</v>
          </cell>
          <cell r="C32">
            <v>4.7267700000000001</v>
          </cell>
        </row>
        <row r="33">
          <cell r="A33">
            <v>43593</v>
          </cell>
          <cell r="B33">
            <v>138</v>
          </cell>
          <cell r="C33">
            <v>3.8189099999999998</v>
          </cell>
        </row>
        <row r="34">
          <cell r="A34">
            <v>43594</v>
          </cell>
          <cell r="B34">
            <v>135.34</v>
          </cell>
          <cell r="C34">
            <v>4.1929400000000001</v>
          </cell>
        </row>
        <row r="35">
          <cell r="A35">
            <v>43595</v>
          </cell>
          <cell r="B35">
            <v>135.32</v>
          </cell>
          <cell r="C35">
            <v>3.9776899999999999</v>
          </cell>
        </row>
        <row r="36">
          <cell r="A36">
            <v>43598</v>
          </cell>
          <cell r="B36">
            <v>131.41999999999999</v>
          </cell>
          <cell r="C36">
            <v>4.9580200000000003</v>
          </cell>
        </row>
        <row r="37">
          <cell r="A37">
            <v>43599</v>
          </cell>
          <cell r="B37">
            <v>133.31</v>
          </cell>
          <cell r="C37">
            <v>3.28037</v>
          </cell>
        </row>
        <row r="38">
          <cell r="A38">
            <v>43600</v>
          </cell>
          <cell r="B38">
            <v>134.4</v>
          </cell>
          <cell r="C38">
            <v>2.5510100000000002</v>
          </cell>
        </row>
        <row r="39">
          <cell r="A39">
            <v>43601</v>
          </cell>
          <cell r="B39">
            <v>135.88</v>
          </cell>
          <cell r="C39">
            <v>3.0174699999999999</v>
          </cell>
        </row>
        <row r="40">
          <cell r="A40">
            <v>43602</v>
          </cell>
          <cell r="B40">
            <v>134.32</v>
          </cell>
          <cell r="C40">
            <v>2.6191399999999998</v>
          </cell>
        </row>
        <row r="41">
          <cell r="A41">
            <v>43605</v>
          </cell>
          <cell r="B41">
            <v>135.12</v>
          </cell>
          <cell r="C41">
            <v>3.2646500000000001</v>
          </cell>
        </row>
        <row r="42">
          <cell r="A42">
            <v>43606</v>
          </cell>
          <cell r="B42">
            <v>136.44999999999999</v>
          </cell>
          <cell r="C42">
            <v>2.5034999999999998</v>
          </cell>
        </row>
        <row r="43">
          <cell r="A43">
            <v>43607</v>
          </cell>
          <cell r="B43">
            <v>136.35</v>
          </cell>
          <cell r="C43">
            <v>1.84982</v>
          </cell>
        </row>
        <row r="44">
          <cell r="A44">
            <v>43608</v>
          </cell>
          <cell r="B44">
            <v>132.38999999999999</v>
          </cell>
          <cell r="C44">
            <v>5.3434400000000002</v>
          </cell>
        </row>
        <row r="45">
          <cell r="A45">
            <v>43609</v>
          </cell>
          <cell r="B45">
            <v>132.28</v>
          </cell>
          <cell r="C45">
            <v>2.59612</v>
          </cell>
        </row>
        <row r="46">
          <cell r="A46">
            <v>43613</v>
          </cell>
          <cell r="B46">
            <v>130.46</v>
          </cell>
          <cell r="C46">
            <v>4.9091199999999997</v>
          </cell>
        </row>
        <row r="47">
          <cell r="A47">
            <v>43614</v>
          </cell>
          <cell r="B47">
            <v>129.69</v>
          </cell>
          <cell r="C47">
            <v>3.6789800000000001</v>
          </cell>
        </row>
        <row r="48">
          <cell r="A48">
            <v>43615</v>
          </cell>
          <cell r="B48">
            <v>129.57</v>
          </cell>
          <cell r="C48">
            <v>2.7418800000000001</v>
          </cell>
        </row>
        <row r="49">
          <cell r="A49">
            <v>43616</v>
          </cell>
          <cell r="B49">
            <v>126.99</v>
          </cell>
          <cell r="C49">
            <v>3.5393400000000002</v>
          </cell>
        </row>
        <row r="50">
          <cell r="A50">
            <v>43619</v>
          </cell>
          <cell r="B50">
            <v>128.27000000000001</v>
          </cell>
          <cell r="C50">
            <v>4.26708</v>
          </cell>
        </row>
        <row r="51">
          <cell r="A51">
            <v>43620</v>
          </cell>
          <cell r="B51">
            <v>132.69</v>
          </cell>
          <cell r="C51">
            <v>3.9135399999999998</v>
          </cell>
        </row>
        <row r="52">
          <cell r="A52">
            <v>43621</v>
          </cell>
          <cell r="B52">
            <v>131.49</v>
          </cell>
          <cell r="C52">
            <v>3.1615799999999998</v>
          </cell>
        </row>
        <row r="53">
          <cell r="A53">
            <v>43622</v>
          </cell>
          <cell r="B53">
            <v>132.22</v>
          </cell>
          <cell r="C53">
            <v>2.2982499999999999</v>
          </cell>
        </row>
        <row r="54">
          <cell r="A54">
            <v>43623</v>
          </cell>
          <cell r="B54">
            <v>133.31</v>
          </cell>
          <cell r="C54">
            <v>2.5533999999999999</v>
          </cell>
        </row>
        <row r="55">
          <cell r="A55">
            <v>43626</v>
          </cell>
          <cell r="B55">
            <v>134.74</v>
          </cell>
          <cell r="C55">
            <v>2.91133</v>
          </cell>
        </row>
        <row r="56">
          <cell r="A56">
            <v>43627</v>
          </cell>
          <cell r="B56">
            <v>135.94999999999999</v>
          </cell>
          <cell r="C56">
            <v>3.4073500000000001</v>
          </cell>
        </row>
        <row r="57">
          <cell r="A57">
            <v>43628</v>
          </cell>
          <cell r="B57">
            <v>134.87</v>
          </cell>
          <cell r="C57">
            <v>2.25474</v>
          </cell>
        </row>
        <row r="58">
          <cell r="A58">
            <v>43629</v>
          </cell>
          <cell r="B58">
            <v>135.76</v>
          </cell>
          <cell r="C58">
            <v>2.9554200000000002</v>
          </cell>
        </row>
        <row r="59">
          <cell r="A59">
            <v>43630</v>
          </cell>
          <cell r="B59">
            <v>135.15</v>
          </cell>
          <cell r="C59">
            <v>2.1933699999999998</v>
          </cell>
        </row>
        <row r="60">
          <cell r="A60">
            <v>43633</v>
          </cell>
          <cell r="B60">
            <v>134.94999999999999</v>
          </cell>
          <cell r="C60">
            <v>2.1941299999999999</v>
          </cell>
        </row>
        <row r="61">
          <cell r="A61">
            <v>43634</v>
          </cell>
          <cell r="B61">
            <v>136.38</v>
          </cell>
          <cell r="C61">
            <v>2.9146999999999998</v>
          </cell>
        </row>
        <row r="62">
          <cell r="A62">
            <v>43635</v>
          </cell>
          <cell r="B62">
            <v>137.08000000000001</v>
          </cell>
          <cell r="C62">
            <v>2.38252</v>
          </cell>
        </row>
        <row r="63">
          <cell r="A63">
            <v>43636</v>
          </cell>
          <cell r="B63">
            <v>138.85</v>
          </cell>
          <cell r="C63">
            <v>3.0710199999999999</v>
          </cell>
        </row>
        <row r="64">
          <cell r="A64">
            <v>43637</v>
          </cell>
          <cell r="B64">
            <v>139.19999999999999</v>
          </cell>
          <cell r="C64">
            <v>5.2887599999999999</v>
          </cell>
        </row>
        <row r="65">
          <cell r="A65">
            <v>43640</v>
          </cell>
          <cell r="B65">
            <v>139.35</v>
          </cell>
          <cell r="C65">
            <v>2.18614</v>
          </cell>
        </row>
        <row r="66">
          <cell r="A66">
            <v>43641</v>
          </cell>
          <cell r="B66">
            <v>138.36000000000001</v>
          </cell>
          <cell r="C66">
            <v>2.80125</v>
          </cell>
        </row>
        <row r="67">
          <cell r="A67">
            <v>43642</v>
          </cell>
          <cell r="B67">
            <v>138.52000000000001</v>
          </cell>
          <cell r="C67">
            <v>2.28457</v>
          </cell>
        </row>
        <row r="68">
          <cell r="A68">
            <v>43643</v>
          </cell>
          <cell r="B68">
            <v>138.52000000000001</v>
          </cell>
          <cell r="C68">
            <v>2.1498200000000001</v>
          </cell>
        </row>
        <row r="69">
          <cell r="A69">
            <v>43644</v>
          </cell>
          <cell r="B69">
            <v>137.9</v>
          </cell>
          <cell r="C69">
            <v>6.1540400000000002</v>
          </cell>
        </row>
        <row r="70">
          <cell r="A70">
            <v>43647</v>
          </cell>
          <cell r="B70">
            <v>139.88</v>
          </cell>
          <cell r="C70">
            <v>3.3871799999999999</v>
          </cell>
        </row>
        <row r="71">
          <cell r="A71">
            <v>43648</v>
          </cell>
          <cell r="B71">
            <v>140.22</v>
          </cell>
          <cell r="C71">
            <v>2.4100899999999998</v>
          </cell>
        </row>
        <row r="72">
          <cell r="A72">
            <v>43649</v>
          </cell>
          <cell r="B72">
            <v>141.54</v>
          </cell>
          <cell r="C72">
            <v>1.9303600000000001</v>
          </cell>
        </row>
        <row r="73">
          <cell r="A73">
            <v>43651</v>
          </cell>
          <cell r="B73">
            <v>141.38</v>
          </cell>
          <cell r="C73">
            <v>2.1350899999999999</v>
          </cell>
        </row>
        <row r="74">
          <cell r="A74">
            <v>43654</v>
          </cell>
          <cell r="B74">
            <v>140.57</v>
          </cell>
          <cell r="C74">
            <v>2.3954900000000001</v>
          </cell>
        </row>
        <row r="75">
          <cell r="A75">
            <v>43655</v>
          </cell>
          <cell r="B75">
            <v>139.33000000000001</v>
          </cell>
          <cell r="C75">
            <v>3.3652299999999999</v>
          </cell>
        </row>
        <row r="76">
          <cell r="A76">
            <v>43656</v>
          </cell>
          <cell r="B76">
            <v>140.47</v>
          </cell>
          <cell r="C76">
            <v>2.5139300000000002</v>
          </cell>
        </row>
        <row r="77">
          <cell r="A77">
            <v>43657</v>
          </cell>
          <cell r="B77">
            <v>141.24</v>
          </cell>
          <cell r="C77">
            <v>2.1333299999999999</v>
          </cell>
        </row>
        <row r="78">
          <cell r="A78">
            <v>43658</v>
          </cell>
          <cell r="B78">
            <v>142.74</v>
          </cell>
          <cell r="C78">
            <v>2.7862800000000001</v>
          </cell>
        </row>
        <row r="79">
          <cell r="A79">
            <v>43661</v>
          </cell>
          <cell r="B79">
            <v>143.32</v>
          </cell>
          <cell r="C79">
            <v>2.3683100000000001</v>
          </cell>
        </row>
        <row r="80">
          <cell r="A80">
            <v>43662</v>
          </cell>
          <cell r="B80">
            <v>143.53</v>
          </cell>
          <cell r="C80">
            <v>3.4746899999999998</v>
          </cell>
        </row>
        <row r="81">
          <cell r="A81">
            <v>43663</v>
          </cell>
          <cell r="B81">
            <v>143.07</v>
          </cell>
          <cell r="C81">
            <v>6.0642699999999996</v>
          </cell>
        </row>
        <row r="82">
          <cell r="A82">
            <v>43664</v>
          </cell>
          <cell r="B82">
            <v>149.63</v>
          </cell>
          <cell r="C82">
            <v>12.69539</v>
          </cell>
        </row>
        <row r="83">
          <cell r="A83">
            <v>43665</v>
          </cell>
          <cell r="B83">
            <v>149.68</v>
          </cell>
          <cell r="C83">
            <v>7.29068</v>
          </cell>
        </row>
        <row r="84">
          <cell r="A84">
            <v>43668</v>
          </cell>
          <cell r="B84">
            <v>149.74</v>
          </cell>
          <cell r="C84">
            <v>4.0932399999999998</v>
          </cell>
        </row>
        <row r="85">
          <cell r="A85">
            <v>43669</v>
          </cell>
          <cell r="B85">
            <v>150.38</v>
          </cell>
          <cell r="C85">
            <v>3.7422</v>
          </cell>
        </row>
        <row r="86">
          <cell r="A86">
            <v>43670</v>
          </cell>
          <cell r="B86">
            <v>150.03</v>
          </cell>
          <cell r="C86">
            <v>2.9524400000000002</v>
          </cell>
        </row>
        <row r="87">
          <cell r="A87">
            <v>43671</v>
          </cell>
          <cell r="B87">
            <v>150.38999999999999</v>
          </cell>
          <cell r="C87">
            <v>3.1021100000000001</v>
          </cell>
        </row>
        <row r="88">
          <cell r="A88">
            <v>43672</v>
          </cell>
          <cell r="B88">
            <v>151.36000000000001</v>
          </cell>
          <cell r="C88">
            <v>2.90449</v>
          </cell>
        </row>
        <row r="89">
          <cell r="A89">
            <v>43675</v>
          </cell>
          <cell r="B89">
            <v>150.88</v>
          </cell>
          <cell r="C89">
            <v>2.0755300000000001</v>
          </cell>
        </row>
        <row r="90">
          <cell r="A90">
            <v>43676</v>
          </cell>
          <cell r="B90">
            <v>149.77000000000001</v>
          </cell>
          <cell r="C90">
            <v>2.63273</v>
          </cell>
        </row>
        <row r="91">
          <cell r="A91">
            <v>43677</v>
          </cell>
          <cell r="B91">
            <v>148.24</v>
          </cell>
          <cell r="C91">
            <v>3.7229100000000002</v>
          </cell>
        </row>
        <row r="92">
          <cell r="A92">
            <v>43678</v>
          </cell>
          <cell r="B92">
            <v>150.32</v>
          </cell>
          <cell r="C92">
            <v>6.3440099999999999</v>
          </cell>
        </row>
        <row r="93">
          <cell r="A93">
            <v>43679</v>
          </cell>
          <cell r="B93">
            <v>147.25</v>
          </cell>
          <cell r="C93">
            <v>8.1017200000000003</v>
          </cell>
        </row>
        <row r="94">
          <cell r="A94">
            <v>43682</v>
          </cell>
          <cell r="B94">
            <v>140.76</v>
          </cell>
          <cell r="C94">
            <v>7.1148699999999998</v>
          </cell>
        </row>
        <row r="95">
          <cell r="A95">
            <v>43683</v>
          </cell>
          <cell r="B95">
            <v>140.72999999999999</v>
          </cell>
          <cell r="C95">
            <v>5.0706499999999997</v>
          </cell>
        </row>
        <row r="96">
          <cell r="A96">
            <v>43684</v>
          </cell>
          <cell r="B96">
            <v>139.11000000000001</v>
          </cell>
          <cell r="C96">
            <v>5.9318799999999996</v>
          </cell>
        </row>
        <row r="97">
          <cell r="A97">
            <v>43685</v>
          </cell>
          <cell r="B97">
            <v>140.1</v>
          </cell>
          <cell r="C97">
            <v>5.2614400000000003</v>
          </cell>
        </row>
        <row r="98">
          <cell r="A98">
            <v>43686</v>
          </cell>
          <cell r="B98">
            <v>136.13</v>
          </cell>
          <cell r="C98">
            <v>5.2445899999999996</v>
          </cell>
        </row>
        <row r="99">
          <cell r="A99">
            <v>43689</v>
          </cell>
          <cell r="B99">
            <v>134.12</v>
          </cell>
          <cell r="C99">
            <v>4.1936400000000003</v>
          </cell>
        </row>
        <row r="100">
          <cell r="A100">
            <v>43690</v>
          </cell>
          <cell r="B100">
            <v>135.79</v>
          </cell>
          <cell r="C100">
            <v>4.5511699999999999</v>
          </cell>
        </row>
        <row r="101">
          <cell r="A101">
            <v>43691</v>
          </cell>
          <cell r="B101">
            <v>131.25</v>
          </cell>
          <cell r="C101">
            <v>5.11416</v>
          </cell>
        </row>
        <row r="102">
          <cell r="A102">
            <v>43692</v>
          </cell>
          <cell r="B102">
            <v>131.91999999999999</v>
          </cell>
          <cell r="C102">
            <v>3.73895</v>
          </cell>
        </row>
        <row r="103">
          <cell r="A103">
            <v>43693</v>
          </cell>
          <cell r="B103">
            <v>133.76</v>
          </cell>
          <cell r="C103">
            <v>3.0119899999999999</v>
          </cell>
        </row>
        <row r="104">
          <cell r="A104">
            <v>43696</v>
          </cell>
          <cell r="B104">
            <v>135.04</v>
          </cell>
          <cell r="C104">
            <v>3.1654399999999998</v>
          </cell>
        </row>
        <row r="105">
          <cell r="A105">
            <v>43697</v>
          </cell>
          <cell r="B105">
            <v>133</v>
          </cell>
          <cell r="C105">
            <v>3.0189300000000001</v>
          </cell>
        </row>
        <row r="106">
          <cell r="A106">
            <v>43698</v>
          </cell>
          <cell r="B106">
            <v>134.25</v>
          </cell>
          <cell r="C106">
            <v>2.8067700000000002</v>
          </cell>
        </row>
        <row r="107">
          <cell r="A107">
            <v>43699</v>
          </cell>
          <cell r="B107">
            <v>134.32</v>
          </cell>
          <cell r="C107">
            <v>2.6950099999999999</v>
          </cell>
        </row>
        <row r="108">
          <cell r="A108">
            <v>43700</v>
          </cell>
          <cell r="B108">
            <v>129.57</v>
          </cell>
          <cell r="C108">
            <v>4.8187600000000002</v>
          </cell>
        </row>
        <row r="109">
          <cell r="A109">
            <v>43703</v>
          </cell>
          <cell r="B109">
            <v>129.99</v>
          </cell>
          <cell r="C109">
            <v>2.83684</v>
          </cell>
        </row>
        <row r="110">
          <cell r="A110">
            <v>43704</v>
          </cell>
          <cell r="B110">
            <v>131.16999999999999</v>
          </cell>
          <cell r="C110">
            <v>4.7283900000000001</v>
          </cell>
        </row>
        <row r="111">
          <cell r="A111">
            <v>43705</v>
          </cell>
          <cell r="B111">
            <v>132.76</v>
          </cell>
          <cell r="C111">
            <v>2.7203599999999999</v>
          </cell>
        </row>
        <row r="112">
          <cell r="A112">
            <v>43706</v>
          </cell>
          <cell r="B112">
            <v>134.88</v>
          </cell>
          <cell r="C112">
            <v>2.9728400000000001</v>
          </cell>
        </row>
        <row r="113">
          <cell r="A113">
            <v>43707</v>
          </cell>
          <cell r="B113">
            <v>135.53</v>
          </cell>
          <cell r="C113">
            <v>2.9605899999999998</v>
          </cell>
        </row>
        <row r="114">
          <cell r="A114">
            <v>43711</v>
          </cell>
          <cell r="B114">
            <v>134.1</v>
          </cell>
          <cell r="C114">
            <v>2.8282400000000001</v>
          </cell>
        </row>
        <row r="115">
          <cell r="A115">
            <v>43712</v>
          </cell>
          <cell r="B115">
            <v>136.32</v>
          </cell>
          <cell r="C115">
            <v>2.2620800000000001</v>
          </cell>
        </row>
        <row r="116">
          <cell r="A116">
            <v>43713</v>
          </cell>
          <cell r="B116">
            <v>140.97</v>
          </cell>
          <cell r="C116">
            <v>5.0129099999999998</v>
          </cell>
        </row>
        <row r="117">
          <cell r="A117">
            <v>43714</v>
          </cell>
          <cell r="B117">
            <v>140.57</v>
          </cell>
          <cell r="C117">
            <v>2.5771999999999999</v>
          </cell>
        </row>
        <row r="118">
          <cell r="A118">
            <v>43717</v>
          </cell>
          <cell r="B118">
            <v>142.6</v>
          </cell>
          <cell r="C118">
            <v>4.2269399999999999</v>
          </cell>
        </row>
        <row r="119">
          <cell r="A119">
            <v>43718</v>
          </cell>
          <cell r="B119">
            <v>145.05000000000001</v>
          </cell>
          <cell r="C119">
            <v>4.9797399999999996</v>
          </cell>
        </row>
        <row r="120">
          <cell r="A120">
            <v>43719</v>
          </cell>
          <cell r="B120">
            <v>143.6</v>
          </cell>
          <cell r="C120">
            <v>3.8697300000000001</v>
          </cell>
        </row>
        <row r="121">
          <cell r="A121">
            <v>43720</v>
          </cell>
          <cell r="B121">
            <v>143.62</v>
          </cell>
          <cell r="C121">
            <v>2.50543</v>
          </cell>
        </row>
        <row r="122">
          <cell r="A122">
            <v>43721</v>
          </cell>
          <cell r="B122">
            <v>143.66999999999999</v>
          </cell>
          <cell r="C122">
            <v>2.20661</v>
          </cell>
        </row>
        <row r="123">
          <cell r="A123">
            <v>43724</v>
          </cell>
          <cell r="B123">
            <v>142.47999999999999</v>
          </cell>
          <cell r="C123">
            <v>1.9285000000000001</v>
          </cell>
        </row>
        <row r="124">
          <cell r="A124">
            <v>43725</v>
          </cell>
          <cell r="B124">
            <v>142.19999999999999</v>
          </cell>
          <cell r="C124">
            <v>2.94049</v>
          </cell>
        </row>
        <row r="125">
          <cell r="A125">
            <v>43726</v>
          </cell>
          <cell r="B125">
            <v>142.22</v>
          </cell>
          <cell r="C125">
            <v>1.99516</v>
          </cell>
        </row>
        <row r="126">
          <cell r="A126">
            <v>43727</v>
          </cell>
          <cell r="B126">
            <v>142.97</v>
          </cell>
          <cell r="C126">
            <v>3.1820900000000001</v>
          </cell>
        </row>
        <row r="127">
          <cell r="A127">
            <v>43728</v>
          </cell>
          <cell r="B127">
            <v>141.88</v>
          </cell>
          <cell r="C127">
            <v>5.2178800000000001</v>
          </cell>
        </row>
        <row r="128">
          <cell r="A128">
            <v>43731</v>
          </cell>
          <cell r="B128">
            <v>142.07</v>
          </cell>
          <cell r="C128">
            <v>1.85006</v>
          </cell>
        </row>
        <row r="129">
          <cell r="A129">
            <v>43732</v>
          </cell>
          <cell r="B129">
            <v>141.68</v>
          </cell>
          <cell r="C129">
            <v>3.3111700000000002</v>
          </cell>
        </row>
        <row r="130">
          <cell r="A130">
            <v>43733</v>
          </cell>
          <cell r="B130">
            <v>143.16</v>
          </cell>
          <cell r="C130">
            <v>2.5462099999999999</v>
          </cell>
        </row>
        <row r="131">
          <cell r="A131">
            <v>43734</v>
          </cell>
          <cell r="B131">
            <v>143.55000000000001</v>
          </cell>
          <cell r="C131">
            <v>2.31454</v>
          </cell>
        </row>
        <row r="132">
          <cell r="A132">
            <v>43735</v>
          </cell>
          <cell r="B132">
            <v>143.24</v>
          </cell>
          <cell r="C132">
            <v>2.3570799999999998</v>
          </cell>
        </row>
        <row r="133">
          <cell r="A133">
            <v>43738</v>
          </cell>
          <cell r="B133">
            <v>145.41999999999999</v>
          </cell>
          <cell r="C133">
            <v>4.0044300000000002</v>
          </cell>
        </row>
        <row r="134">
          <cell r="A134">
            <v>43739</v>
          </cell>
          <cell r="B134">
            <v>143.66</v>
          </cell>
          <cell r="C134">
            <v>2.9737100000000001</v>
          </cell>
        </row>
        <row r="135">
          <cell r="A135">
            <v>43740</v>
          </cell>
          <cell r="B135">
            <v>141.69</v>
          </cell>
          <cell r="C135">
            <v>3.34728</v>
          </cell>
        </row>
        <row r="136">
          <cell r="A136">
            <v>43741</v>
          </cell>
          <cell r="B136">
            <v>142.02000000000001</v>
          </cell>
          <cell r="C136">
            <v>3.1617199999999999</v>
          </cell>
        </row>
        <row r="137">
          <cell r="A137">
            <v>43742</v>
          </cell>
          <cell r="B137">
            <v>142.99</v>
          </cell>
          <cell r="C137">
            <v>2.4494799999999999</v>
          </cell>
        </row>
        <row r="138">
          <cell r="A138">
            <v>43745</v>
          </cell>
          <cell r="B138">
            <v>141.28</v>
          </cell>
          <cell r="C138">
            <v>2.4887999999999999</v>
          </cell>
        </row>
        <row r="139">
          <cell r="A139">
            <v>43746</v>
          </cell>
          <cell r="B139">
            <v>138.38</v>
          </cell>
          <cell r="C139">
            <v>3.3440799999999999</v>
          </cell>
        </row>
        <row r="140">
          <cell r="A140">
            <v>43747</v>
          </cell>
          <cell r="B140">
            <v>139.66999999999999</v>
          </cell>
          <cell r="C140">
            <v>2.63347</v>
          </cell>
        </row>
        <row r="141">
          <cell r="A141">
            <v>43748</v>
          </cell>
          <cell r="B141">
            <v>141.13</v>
          </cell>
          <cell r="C141">
            <v>2.64669</v>
          </cell>
        </row>
        <row r="142">
          <cell r="A142">
            <v>43749</v>
          </cell>
          <cell r="B142">
            <v>142.76</v>
          </cell>
          <cell r="C142">
            <v>3.0186700000000002</v>
          </cell>
        </row>
        <row r="143">
          <cell r="A143">
            <v>43752</v>
          </cell>
          <cell r="B143">
            <v>142.04</v>
          </cell>
          <cell r="C143">
            <v>2.3256100000000002</v>
          </cell>
        </row>
        <row r="144">
          <cell r="A144">
            <v>43753</v>
          </cell>
          <cell r="B144">
            <v>143</v>
          </cell>
          <cell r="C144">
            <v>3.0470000000000002</v>
          </cell>
        </row>
        <row r="145">
          <cell r="A145">
            <v>43754</v>
          </cell>
          <cell r="B145">
            <v>142.11000000000001</v>
          </cell>
          <cell r="C145">
            <v>5.9157099999999998</v>
          </cell>
        </row>
        <row r="146">
          <cell r="A146">
            <v>43755</v>
          </cell>
          <cell r="B146">
            <v>134.26</v>
          </cell>
          <cell r="C146">
            <v>15.83081</v>
          </cell>
        </row>
        <row r="147">
          <cell r="A147">
            <v>43756</v>
          </cell>
          <cell r="B147">
            <v>134.09</v>
          </cell>
          <cell r="C147">
            <v>7.1783799999999998</v>
          </cell>
        </row>
        <row r="148">
          <cell r="A148">
            <v>43759</v>
          </cell>
          <cell r="B148">
            <v>132.58000000000001</v>
          </cell>
          <cell r="C148">
            <v>6.3729800000000001</v>
          </cell>
        </row>
        <row r="149">
          <cell r="A149">
            <v>43760</v>
          </cell>
          <cell r="B149">
            <v>133.96</v>
          </cell>
          <cell r="C149">
            <v>4.1958000000000002</v>
          </cell>
        </row>
        <row r="150">
          <cell r="A150">
            <v>43761</v>
          </cell>
          <cell r="B150">
            <v>134.38</v>
          </cell>
          <cell r="C150">
            <v>3.6273499999999999</v>
          </cell>
        </row>
        <row r="151">
          <cell r="A151">
            <v>43762</v>
          </cell>
          <cell r="B151">
            <v>134.07</v>
          </cell>
          <cell r="C151">
            <v>2.61931</v>
          </cell>
        </row>
        <row r="152">
          <cell r="A152">
            <v>43763</v>
          </cell>
          <cell r="B152">
            <v>135.44</v>
          </cell>
          <cell r="C152">
            <v>2.5790600000000001</v>
          </cell>
        </row>
        <row r="153">
          <cell r="A153">
            <v>43766</v>
          </cell>
          <cell r="B153">
            <v>135.97</v>
          </cell>
          <cell r="C153">
            <v>3.2261299999999999</v>
          </cell>
        </row>
        <row r="154">
          <cell r="A154">
            <v>43767</v>
          </cell>
          <cell r="B154">
            <v>133.82</v>
          </cell>
          <cell r="C154">
            <v>4.1607200000000004</v>
          </cell>
        </row>
        <row r="155">
          <cell r="A155">
            <v>43768</v>
          </cell>
          <cell r="B155">
            <v>135.25</v>
          </cell>
          <cell r="C155">
            <v>2.25299</v>
          </cell>
        </row>
        <row r="156">
          <cell r="A156">
            <v>43769</v>
          </cell>
          <cell r="B156">
            <v>133.72999999999999</v>
          </cell>
          <cell r="C156">
            <v>3.4121199999999998</v>
          </cell>
        </row>
        <row r="157">
          <cell r="A157">
            <v>43770</v>
          </cell>
          <cell r="B157">
            <v>135.53</v>
          </cell>
          <cell r="C157">
            <v>3.0897899999999998</v>
          </cell>
        </row>
        <row r="158">
          <cell r="A158">
            <v>43773</v>
          </cell>
          <cell r="B158">
            <v>137.66999999999999</v>
          </cell>
          <cell r="C158">
            <v>3.3353899999999999</v>
          </cell>
        </row>
        <row r="159">
          <cell r="A159">
            <v>43774</v>
          </cell>
          <cell r="B159">
            <v>137.88999999999999</v>
          </cell>
          <cell r="C159">
            <v>3.0149599999999999</v>
          </cell>
        </row>
        <row r="160">
          <cell r="A160">
            <v>43775</v>
          </cell>
          <cell r="B160">
            <v>138.78</v>
          </cell>
          <cell r="C160">
            <v>4.47729</v>
          </cell>
        </row>
        <row r="161">
          <cell r="A161">
            <v>43776</v>
          </cell>
          <cell r="B161">
            <v>137.69</v>
          </cell>
          <cell r="C161">
            <v>4.0739099999999997</v>
          </cell>
        </row>
        <row r="162">
          <cell r="A162">
            <v>43777</v>
          </cell>
          <cell r="B162">
            <v>137.61000000000001</v>
          </cell>
          <cell r="C162">
            <v>2.2786</v>
          </cell>
        </row>
        <row r="163">
          <cell r="A163">
            <v>43780</v>
          </cell>
          <cell r="B163">
            <v>135.47</v>
          </cell>
          <cell r="C163">
            <v>2.5687600000000002</v>
          </cell>
        </row>
        <row r="164">
          <cell r="A164">
            <v>43781</v>
          </cell>
          <cell r="B164">
            <v>135.59</v>
          </cell>
          <cell r="C164">
            <v>3.0465399999999998</v>
          </cell>
        </row>
        <row r="165">
          <cell r="A165">
            <v>43782</v>
          </cell>
          <cell r="B165">
            <v>134.47999999999999</v>
          </cell>
          <cell r="C165">
            <v>3.0609199999999999</v>
          </cell>
        </row>
        <row r="166">
          <cell r="A166">
            <v>43783</v>
          </cell>
          <cell r="B166">
            <v>134</v>
          </cell>
          <cell r="C166">
            <v>4.2314699999999998</v>
          </cell>
        </row>
        <row r="167">
          <cell r="A167">
            <v>43784</v>
          </cell>
          <cell r="B167">
            <v>134.4</v>
          </cell>
          <cell r="C167">
            <v>3.2626599999999999</v>
          </cell>
        </row>
        <row r="168">
          <cell r="A168">
            <v>43787</v>
          </cell>
          <cell r="B168">
            <v>134.31</v>
          </cell>
          <cell r="C168">
            <v>3.2108699999999999</v>
          </cell>
        </row>
        <row r="169">
          <cell r="A169">
            <v>43788</v>
          </cell>
          <cell r="B169">
            <v>134.52000000000001</v>
          </cell>
          <cell r="C169">
            <v>2.9950700000000001</v>
          </cell>
        </row>
        <row r="170">
          <cell r="A170">
            <v>43789</v>
          </cell>
          <cell r="B170">
            <v>133.19999999999999</v>
          </cell>
          <cell r="C170">
            <v>4.1401500000000002</v>
          </cell>
        </row>
        <row r="171">
          <cell r="A171">
            <v>43790</v>
          </cell>
          <cell r="B171">
            <v>133.84</v>
          </cell>
          <cell r="C171">
            <v>3.3453400000000002</v>
          </cell>
        </row>
        <row r="172">
          <cell r="A172">
            <v>43791</v>
          </cell>
          <cell r="B172">
            <v>134.34</v>
          </cell>
          <cell r="C172">
            <v>3.2978000000000001</v>
          </cell>
        </row>
        <row r="173">
          <cell r="A173">
            <v>43794</v>
          </cell>
          <cell r="B173">
            <v>135.97</v>
          </cell>
          <cell r="C173">
            <v>2.5901700000000001</v>
          </cell>
        </row>
        <row r="174">
          <cell r="A174">
            <v>43795</v>
          </cell>
          <cell r="B174">
            <v>135.09</v>
          </cell>
          <cell r="C174">
            <v>3.7933400000000002</v>
          </cell>
        </row>
        <row r="175">
          <cell r="A175">
            <v>43796</v>
          </cell>
          <cell r="B175">
            <v>133.77000000000001</v>
          </cell>
          <cell r="C175">
            <v>3.2828300000000001</v>
          </cell>
        </row>
        <row r="176">
          <cell r="A176">
            <v>43798</v>
          </cell>
          <cell r="B176">
            <v>134.44999999999999</v>
          </cell>
          <cell r="C176">
            <v>1.8252600000000001</v>
          </cell>
        </row>
        <row r="177">
          <cell r="A177">
            <v>43801</v>
          </cell>
          <cell r="B177">
            <v>132.91</v>
          </cell>
          <cell r="C177">
            <v>3.0678299999999998</v>
          </cell>
        </row>
        <row r="178">
          <cell r="A178">
            <v>43802</v>
          </cell>
          <cell r="B178">
            <v>132.12</v>
          </cell>
          <cell r="C178">
            <v>3.7110699999999999</v>
          </cell>
        </row>
        <row r="179">
          <cell r="A179">
            <v>43803</v>
          </cell>
          <cell r="B179">
            <v>131.99</v>
          </cell>
          <cell r="C179">
            <v>3.53077</v>
          </cell>
        </row>
        <row r="180">
          <cell r="A180">
            <v>43804</v>
          </cell>
          <cell r="B180">
            <v>131.91</v>
          </cell>
          <cell r="C180">
            <v>3.5985800000000001</v>
          </cell>
        </row>
        <row r="181">
          <cell r="A181">
            <v>43805</v>
          </cell>
          <cell r="B181">
            <v>133.22</v>
          </cell>
          <cell r="C181">
            <v>3.4379900000000001</v>
          </cell>
        </row>
        <row r="182">
          <cell r="A182">
            <v>43808</v>
          </cell>
          <cell r="B182">
            <v>133.91999999999999</v>
          </cell>
          <cell r="C182">
            <v>2.9788000000000001</v>
          </cell>
        </row>
        <row r="183">
          <cell r="A183">
            <v>43809</v>
          </cell>
          <cell r="B183">
            <v>133.91</v>
          </cell>
          <cell r="C183">
            <v>3.4803899999999999</v>
          </cell>
        </row>
        <row r="184">
          <cell r="A184">
            <v>43810</v>
          </cell>
          <cell r="B184">
            <v>133.76</v>
          </cell>
          <cell r="C184">
            <v>3.9533100000000001</v>
          </cell>
        </row>
        <row r="185">
          <cell r="A185">
            <v>43811</v>
          </cell>
          <cell r="B185">
            <v>135.32</v>
          </cell>
          <cell r="C185">
            <v>4.8241899999999998</v>
          </cell>
        </row>
        <row r="186">
          <cell r="A186">
            <v>43812</v>
          </cell>
          <cell r="B186">
            <v>134.21</v>
          </cell>
          <cell r="C186">
            <v>2.5349699999999999</v>
          </cell>
        </row>
        <row r="187">
          <cell r="A187">
            <v>43815</v>
          </cell>
          <cell r="B187">
            <v>134.13</v>
          </cell>
          <cell r="C187">
            <v>3.0493299999999999</v>
          </cell>
        </row>
        <row r="188">
          <cell r="A188">
            <v>43816</v>
          </cell>
          <cell r="B188">
            <v>134.22</v>
          </cell>
          <cell r="C188">
            <v>2.9075500000000001</v>
          </cell>
        </row>
        <row r="189">
          <cell r="A189">
            <v>43817</v>
          </cell>
          <cell r="B189">
            <v>134.41</v>
          </cell>
          <cell r="C189">
            <v>3.1023499999999999</v>
          </cell>
        </row>
        <row r="190">
          <cell r="A190">
            <v>43818</v>
          </cell>
          <cell r="B190">
            <v>134.56</v>
          </cell>
          <cell r="C190">
            <v>3.8667199999999999</v>
          </cell>
        </row>
        <row r="191">
          <cell r="A191">
            <v>43819</v>
          </cell>
          <cell r="B191">
            <v>135.59</v>
          </cell>
          <cell r="C191">
            <v>7.1120700000000001</v>
          </cell>
        </row>
        <row r="192">
          <cell r="A192">
            <v>43822</v>
          </cell>
          <cell r="B192">
            <v>135.55000000000001</v>
          </cell>
          <cell r="C192">
            <v>2.8031700000000002</v>
          </cell>
        </row>
        <row r="193">
          <cell r="A193">
            <v>43823</v>
          </cell>
          <cell r="B193">
            <v>134.97999999999999</v>
          </cell>
          <cell r="C193">
            <v>1.2020900000000001</v>
          </cell>
        </row>
        <row r="194">
          <cell r="A194">
            <v>43825</v>
          </cell>
          <cell r="B194">
            <v>134.91</v>
          </cell>
          <cell r="C194">
            <v>2.1307100000000001</v>
          </cell>
        </row>
        <row r="195">
          <cell r="A195">
            <v>43826</v>
          </cell>
          <cell r="B195">
            <v>135.27000000000001</v>
          </cell>
          <cell r="C195">
            <v>2.75271</v>
          </cell>
        </row>
        <row r="196">
          <cell r="A196">
            <v>43829</v>
          </cell>
          <cell r="B196">
            <v>132.81</v>
          </cell>
          <cell r="C196">
            <v>4.1189400000000003</v>
          </cell>
        </row>
        <row r="197">
          <cell r="A197">
            <v>43830</v>
          </cell>
          <cell r="B197">
            <v>134.04</v>
          </cell>
          <cell r="C197">
            <v>3.7780100000000001</v>
          </cell>
        </row>
        <row r="198">
          <cell r="A198">
            <v>43832</v>
          </cell>
          <cell r="B198">
            <v>135.41999999999999</v>
          </cell>
          <cell r="C198">
            <v>3.1488299999999998</v>
          </cell>
        </row>
        <row r="199">
          <cell r="A199">
            <v>43833</v>
          </cell>
          <cell r="B199">
            <v>134.34</v>
          </cell>
          <cell r="C199">
            <v>2.3736799999999998</v>
          </cell>
        </row>
        <row r="200">
          <cell r="A200">
            <v>43836</v>
          </cell>
          <cell r="B200">
            <v>134.1</v>
          </cell>
          <cell r="C200">
            <v>2.42631</v>
          </cell>
        </row>
        <row r="201">
          <cell r="A201">
            <v>43837</v>
          </cell>
          <cell r="B201">
            <v>134.19</v>
          </cell>
          <cell r="C201">
            <v>3.27597</v>
          </cell>
        </row>
        <row r="202">
          <cell r="A202">
            <v>43838</v>
          </cell>
          <cell r="B202">
            <v>135.31</v>
          </cell>
          <cell r="C202">
            <v>4.3461400000000001</v>
          </cell>
        </row>
        <row r="203">
          <cell r="A203">
            <v>43839</v>
          </cell>
          <cell r="B203">
            <v>136.74</v>
          </cell>
          <cell r="C203">
            <v>3.7328299999999999</v>
          </cell>
        </row>
        <row r="204">
          <cell r="A204">
            <v>43840</v>
          </cell>
          <cell r="B204">
            <v>136.69</v>
          </cell>
          <cell r="C204">
            <v>3.2556400000000001</v>
          </cell>
        </row>
        <row r="205">
          <cell r="A205">
            <v>43843</v>
          </cell>
          <cell r="B205">
            <v>136.6</v>
          </cell>
          <cell r="C205">
            <v>3.5315699999999999</v>
          </cell>
        </row>
        <row r="206">
          <cell r="A206">
            <v>43844</v>
          </cell>
          <cell r="B206">
            <v>135.82</v>
          </cell>
          <cell r="C206">
            <v>3.6834600000000002</v>
          </cell>
        </row>
        <row r="207">
          <cell r="A207">
            <v>43845</v>
          </cell>
          <cell r="B207">
            <v>136.62</v>
          </cell>
          <cell r="C207">
            <v>4.0459500000000004</v>
          </cell>
        </row>
        <row r="208">
          <cell r="A208">
            <v>43846</v>
          </cell>
          <cell r="B208">
            <v>137.97999999999999</v>
          </cell>
          <cell r="C208">
            <v>4.3209099999999996</v>
          </cell>
        </row>
        <row r="209">
          <cell r="A209">
            <v>43847</v>
          </cell>
          <cell r="B209">
            <v>138.31</v>
          </cell>
          <cell r="C209">
            <v>5.6233399999999998</v>
          </cell>
        </row>
        <row r="210">
          <cell r="A210">
            <v>43851</v>
          </cell>
          <cell r="B210">
            <v>139.16999999999999</v>
          </cell>
          <cell r="C210">
            <v>7.2440800000000003</v>
          </cell>
        </row>
        <row r="211">
          <cell r="A211">
            <v>43852</v>
          </cell>
          <cell r="B211">
            <v>143.88999999999999</v>
          </cell>
          <cell r="C211">
            <v>16.47043</v>
          </cell>
        </row>
        <row r="212">
          <cell r="A212">
            <v>43853</v>
          </cell>
          <cell r="B212">
            <v>142.87</v>
          </cell>
          <cell r="C212">
            <v>5.6577900000000003</v>
          </cell>
        </row>
        <row r="213">
          <cell r="A213">
            <v>43854</v>
          </cell>
          <cell r="B213">
            <v>140.56</v>
          </cell>
          <cell r="C213">
            <v>5.58019</v>
          </cell>
        </row>
        <row r="214">
          <cell r="A214">
            <v>43857</v>
          </cell>
          <cell r="B214">
            <v>138.62</v>
          </cell>
          <cell r="C214">
            <v>4.1665599999999996</v>
          </cell>
        </row>
        <row r="215">
          <cell r="A215">
            <v>43858</v>
          </cell>
          <cell r="B215">
            <v>139.55000000000001</v>
          </cell>
          <cell r="C215">
            <v>3.4515600000000002</v>
          </cell>
        </row>
        <row r="216">
          <cell r="A216">
            <v>43859</v>
          </cell>
          <cell r="B216">
            <v>137.69</v>
          </cell>
          <cell r="C216">
            <v>3.05471</v>
          </cell>
        </row>
        <row r="217">
          <cell r="A217">
            <v>43860</v>
          </cell>
          <cell r="B217">
            <v>136.77000000000001</v>
          </cell>
          <cell r="C217">
            <v>5.0579099999999997</v>
          </cell>
        </row>
        <row r="218">
          <cell r="A218">
            <v>43861</v>
          </cell>
          <cell r="B218">
            <v>143.72999999999999</v>
          </cell>
          <cell r="C218">
            <v>18.99456</v>
          </cell>
        </row>
        <row r="219">
          <cell r="A219">
            <v>43864</v>
          </cell>
          <cell r="B219">
            <v>146.27000000000001</v>
          </cell>
          <cell r="C219">
            <v>8.8874999999999993</v>
          </cell>
        </row>
        <row r="220">
          <cell r="A220">
            <v>43865</v>
          </cell>
          <cell r="B220">
            <v>149.11000000000001</v>
          </cell>
          <cell r="C220">
            <v>5.6209699999999998</v>
          </cell>
        </row>
        <row r="221">
          <cell r="A221">
            <v>43866</v>
          </cell>
          <cell r="B221">
            <v>156.33000000000001</v>
          </cell>
          <cell r="C221">
            <v>14.38682</v>
          </cell>
        </row>
        <row r="222">
          <cell r="A222">
            <v>43867</v>
          </cell>
          <cell r="B222">
            <v>156.76</v>
          </cell>
          <cell r="C222">
            <v>8.4005500000000008</v>
          </cell>
        </row>
        <row r="223">
          <cell r="A223">
            <v>43868</v>
          </cell>
          <cell r="B223">
            <v>153.41</v>
          </cell>
          <cell r="C223">
            <v>6.4234299999999998</v>
          </cell>
        </row>
        <row r="224">
          <cell r="A224">
            <v>43871</v>
          </cell>
          <cell r="B224">
            <v>154.43</v>
          </cell>
          <cell r="C224">
            <v>5.2398100000000003</v>
          </cell>
        </row>
        <row r="225">
          <cell r="A225">
            <v>43872</v>
          </cell>
          <cell r="B225">
            <v>153.47999999999999</v>
          </cell>
          <cell r="C225">
            <v>3.8351099999999998</v>
          </cell>
        </row>
        <row r="226">
          <cell r="A226">
            <v>43873</v>
          </cell>
          <cell r="B226">
            <v>155.31</v>
          </cell>
          <cell r="C226">
            <v>4.4380100000000002</v>
          </cell>
        </row>
        <row r="227">
          <cell r="A227">
            <v>43874</v>
          </cell>
          <cell r="B227">
            <v>154.31</v>
          </cell>
          <cell r="C227">
            <v>3.8207</v>
          </cell>
        </row>
        <row r="228">
          <cell r="A228">
            <v>43875</v>
          </cell>
          <cell r="B228">
            <v>150.69999999999999</v>
          </cell>
          <cell r="C228">
            <v>6.09924</v>
          </cell>
        </row>
        <row r="229">
          <cell r="A229">
            <v>43879</v>
          </cell>
          <cell r="B229">
            <v>151.1</v>
          </cell>
          <cell r="C229">
            <v>3.3435100000000002</v>
          </cell>
        </row>
        <row r="230">
          <cell r="A230">
            <v>43880</v>
          </cell>
          <cell r="B230">
            <v>150.86000000000001</v>
          </cell>
          <cell r="C230">
            <v>2.7332800000000002</v>
          </cell>
        </row>
        <row r="231">
          <cell r="A231">
            <v>43881</v>
          </cell>
          <cell r="B231">
            <v>151.22</v>
          </cell>
          <cell r="C231">
            <v>2.8807100000000001</v>
          </cell>
        </row>
        <row r="232">
          <cell r="A232">
            <v>43882</v>
          </cell>
          <cell r="B232">
            <v>149.84</v>
          </cell>
          <cell r="C232">
            <v>3.5372599999999998</v>
          </cell>
        </row>
        <row r="233">
          <cell r="A233">
            <v>43885</v>
          </cell>
          <cell r="B233">
            <v>146.43</v>
          </cell>
          <cell r="C233">
            <v>5.4524100000000004</v>
          </cell>
        </row>
        <row r="234">
          <cell r="A234">
            <v>43886</v>
          </cell>
          <cell r="B234">
            <v>141.71</v>
          </cell>
          <cell r="C234">
            <v>6.2115499999999999</v>
          </cell>
        </row>
        <row r="235">
          <cell r="A235">
            <v>43887</v>
          </cell>
          <cell r="B235">
            <v>139.75</v>
          </cell>
          <cell r="C235">
            <v>5.4095399999999998</v>
          </cell>
        </row>
        <row r="236">
          <cell r="A236">
            <v>43888</v>
          </cell>
          <cell r="B236">
            <v>133.11000000000001</v>
          </cell>
          <cell r="C236">
            <v>8.4211299999999998</v>
          </cell>
        </row>
        <row r="237">
          <cell r="A237">
            <v>43889</v>
          </cell>
          <cell r="B237">
            <v>130.15</v>
          </cell>
          <cell r="C237">
            <v>13.012230000000001</v>
          </cell>
        </row>
        <row r="238">
          <cell r="A238">
            <v>43892</v>
          </cell>
          <cell r="B238">
            <v>134.30000000000001</v>
          </cell>
          <cell r="C238">
            <v>8.5314200000000007</v>
          </cell>
        </row>
        <row r="239">
          <cell r="A239">
            <v>43893</v>
          </cell>
          <cell r="B239">
            <v>128.9</v>
          </cell>
          <cell r="C239">
            <v>7.8960699999999999</v>
          </cell>
        </row>
        <row r="240">
          <cell r="A240">
            <v>43894</v>
          </cell>
          <cell r="B240">
            <v>134.22</v>
          </cell>
          <cell r="C240">
            <v>4.9963699999999998</v>
          </cell>
        </row>
        <row r="241">
          <cell r="A241">
            <v>43895</v>
          </cell>
          <cell r="B241">
            <v>129.55000000000001</v>
          </cell>
          <cell r="C241">
            <v>5.4462299999999999</v>
          </cell>
        </row>
        <row r="242">
          <cell r="A242">
            <v>43896</v>
          </cell>
          <cell r="B242">
            <v>127.73</v>
          </cell>
          <cell r="C242">
            <v>8.1932600000000004</v>
          </cell>
        </row>
        <row r="243">
          <cell r="A243">
            <v>43899</v>
          </cell>
          <cell r="B243">
            <v>117.81</v>
          </cell>
          <cell r="C243">
            <v>10.757490000000001</v>
          </cell>
        </row>
        <row r="244">
          <cell r="A244">
            <v>43900</v>
          </cell>
          <cell r="B244">
            <v>124.77</v>
          </cell>
          <cell r="C244">
            <v>11.410690000000001</v>
          </cell>
        </row>
        <row r="245">
          <cell r="A245">
            <v>43901</v>
          </cell>
          <cell r="B245">
            <v>117.97</v>
          </cell>
          <cell r="C245">
            <v>8.4510400000000008</v>
          </cell>
        </row>
        <row r="246">
          <cell r="A246">
            <v>43902</v>
          </cell>
          <cell r="B246">
            <v>102.81</v>
          </cell>
          <cell r="C246">
            <v>12.51266</v>
          </cell>
        </row>
        <row r="247">
          <cell r="A247">
            <v>43903</v>
          </cell>
          <cell r="B247">
            <v>107.95</v>
          </cell>
          <cell r="C247">
            <v>12.50211</v>
          </cell>
        </row>
        <row r="248">
          <cell r="A248">
            <v>43906</v>
          </cell>
          <cell r="B248">
            <v>99.08</v>
          </cell>
          <cell r="C248">
            <v>10.567959999999999</v>
          </cell>
        </row>
        <row r="249">
          <cell r="A249">
            <v>43907</v>
          </cell>
          <cell r="B249">
            <v>106.65</v>
          </cell>
          <cell r="C249">
            <v>9.2583400000000005</v>
          </cell>
        </row>
        <row r="250">
          <cell r="A250">
            <v>43908</v>
          </cell>
          <cell r="B250">
            <v>103.55</v>
          </cell>
          <cell r="C250">
            <v>8.7724600000000006</v>
          </cell>
        </row>
        <row r="251">
          <cell r="A251">
            <v>43909</v>
          </cell>
          <cell r="B251">
            <v>100.34</v>
          </cell>
          <cell r="C251">
            <v>8.3965200000000006</v>
          </cell>
        </row>
        <row r="252">
          <cell r="A252">
            <v>43910</v>
          </cell>
          <cell r="B252">
            <v>95.39</v>
          </cell>
          <cell r="C252">
            <v>10.54646</v>
          </cell>
        </row>
        <row r="253">
          <cell r="A253">
            <v>43913</v>
          </cell>
          <cell r="B253">
            <v>94.77</v>
          </cell>
          <cell r="C253">
            <v>9.7293900000000004</v>
          </cell>
        </row>
        <row r="254">
          <cell r="A254">
            <v>43914</v>
          </cell>
          <cell r="B254">
            <v>105.48</v>
          </cell>
          <cell r="C254">
            <v>7.9739399999999998</v>
          </cell>
        </row>
        <row r="255">
          <cell r="A255">
            <v>43915</v>
          </cell>
          <cell r="B255">
            <v>105.85</v>
          </cell>
          <cell r="C255">
            <v>8.6540499999999998</v>
          </cell>
        </row>
        <row r="256">
          <cell r="A256">
            <v>43916</v>
          </cell>
          <cell r="B256">
            <v>112.89</v>
          </cell>
          <cell r="C256">
            <v>7.1580500000000002</v>
          </cell>
        </row>
        <row r="257">
          <cell r="A257">
            <v>43917</v>
          </cell>
          <cell r="B257">
            <v>108.03</v>
          </cell>
          <cell r="C257">
            <v>6.4230400000000003</v>
          </cell>
        </row>
        <row r="258">
          <cell r="A258">
            <v>43920</v>
          </cell>
          <cell r="B258">
            <v>112.93</v>
          </cell>
          <cell r="C258">
            <v>5.56454</v>
          </cell>
        </row>
        <row r="259">
          <cell r="A259">
            <v>43921</v>
          </cell>
          <cell r="B259">
            <v>110.93</v>
          </cell>
          <cell r="C259">
            <v>6.3466800000000001</v>
          </cell>
        </row>
        <row r="260">
          <cell r="A260">
            <v>43922</v>
          </cell>
          <cell r="B260">
            <v>105.14</v>
          </cell>
          <cell r="C260">
            <v>6.1129499999999997</v>
          </cell>
        </row>
        <row r="261">
          <cell r="A261">
            <v>43923</v>
          </cell>
          <cell r="B261">
            <v>110</v>
          </cell>
          <cell r="C261">
            <v>6.3286699999999998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me"/>
      <sheetName val="Value Model"/>
      <sheetName val="Growth Model"/>
      <sheetName val="Quality Model"/>
      <sheetName val="Momentum Model"/>
      <sheetName val="Factors"/>
    </sheetNames>
    <sheetDataSet>
      <sheetData sheetId="0"/>
      <sheetData sheetId="1">
        <row r="10">
          <cell r="A10" t="str">
            <v>(User access restricted)</v>
          </cell>
        </row>
      </sheetData>
      <sheetData sheetId="2">
        <row r="10">
          <cell r="A10" t="str">
            <v>(User access restricted)</v>
          </cell>
        </row>
      </sheetData>
      <sheetData sheetId="3">
        <row r="10">
          <cell r="A10" t="str">
            <v>(User access restricted)</v>
          </cell>
        </row>
      </sheetData>
      <sheetData sheetId="4">
        <row r="10">
          <cell r="A10" t="str">
            <v>(User access restricted)</v>
          </cell>
        </row>
      </sheetData>
      <sheetData sheetId="5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F52D9D7-B53F-4669-843D-D99C91072628}" autoFormatId="16" applyNumberFormats="0" applyBorderFormats="0" applyFontFormats="0" applyPatternFormats="0" applyAlignmentFormats="0" applyWidthHeightFormats="0">
  <queryTableRefresh nextId="4">
    <queryTableFields count="2">
      <queryTableField id="2" name="Name" tableColumnId="2"/>
      <queryTableField id="1" name="Value" tableColumnId="1"/>
    </queryTableFields>
  </queryTableRefresh>
  <extLst>
    <ext xmlns:x15="http://schemas.microsoft.com/office/spreadsheetml/2010/11/main" uri="{883FBD77-0823-4a55-B5E3-86C4891E6966}">
      <x15:queryTable sourceDataName="Query - financials_inpu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5A11AE-CA0F-4FEE-A7A6-6739C5883E91}" name="financials_input" displayName="financials_input" ref="A1:B6" tableType="queryTable" totalsRowShown="0">
  <autoFilter ref="A1:B6" xr:uid="{F05A11AE-CA0F-4FEE-A7A6-6739C5883E91}"/>
  <tableColumns count="2">
    <tableColumn id="2" xr3:uid="{54D31CCF-3CD9-4810-854F-1ED992163180}" uniqueName="2" name="Name" queryTableFieldId="2"/>
    <tableColumn id="1" xr3:uid="{9FD20C48-6091-498E-9A37-F7E8CBC468B5}" uniqueName="1" name="Valu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&amp;P Updated">
      <a:dk1>
        <a:srgbClr val="000000"/>
      </a:dk1>
      <a:lt1>
        <a:srgbClr val="FFFFFF"/>
      </a:lt1>
      <a:dk2>
        <a:srgbClr val="5A5A5A"/>
      </a:dk2>
      <a:lt2>
        <a:srgbClr val="DFDFDF"/>
      </a:lt2>
      <a:accent1>
        <a:srgbClr val="E31837"/>
      </a:accent1>
      <a:accent2>
        <a:srgbClr val="00B1B0"/>
      </a:accent2>
      <a:accent3>
        <a:srgbClr val="919195"/>
      </a:accent3>
      <a:accent4>
        <a:srgbClr val="B5E1E1"/>
      </a:accent4>
      <a:accent5>
        <a:srgbClr val="006C67"/>
      </a:accent5>
      <a:accent6>
        <a:srgbClr val="5A3CE6"/>
      </a:accent6>
      <a:hlink>
        <a:srgbClr val="0000FF"/>
      </a:hlink>
      <a:folHlink>
        <a:srgbClr val="800080"/>
      </a:folHlink>
    </a:clrScheme>
    <a:fontScheme name="S&amp;P Capital IQ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FB2D-E8CD-4063-9892-A2F3F3C66C85}">
  <dimension ref="A1:B6"/>
  <sheetViews>
    <sheetView workbookViewId="0">
      <selection activeCell="H7" sqref="H7"/>
    </sheetView>
  </sheetViews>
  <sheetFormatPr defaultRowHeight="12.75" x14ac:dyDescent="0.2"/>
  <cols>
    <col min="1" max="1" width="10.7109375" bestFit="1" customWidth="1"/>
    <col min="2" max="2" width="14.7109375" bestFit="1" customWidth="1"/>
  </cols>
  <sheetData>
    <row r="1" spans="1:2" x14ac:dyDescent="0.2">
      <c r="A1" t="s">
        <v>257</v>
      </c>
      <c r="B1" t="s">
        <v>274</v>
      </c>
    </row>
    <row r="2" spans="1:2" x14ac:dyDescent="0.2">
      <c r="A2" t="s">
        <v>513</v>
      </c>
      <c r="B2" t="s">
        <v>606</v>
      </c>
    </row>
    <row r="3" spans="1:2" x14ac:dyDescent="0.2">
      <c r="A3" t="s">
        <v>577</v>
      </c>
      <c r="B3" t="s">
        <v>578</v>
      </c>
    </row>
    <row r="4" spans="1:2" x14ac:dyDescent="0.2">
      <c r="A4" t="s">
        <v>579</v>
      </c>
      <c r="B4" t="s">
        <v>580</v>
      </c>
    </row>
    <row r="5" spans="1:2" x14ac:dyDescent="0.2">
      <c r="A5" t="s">
        <v>581</v>
      </c>
      <c r="B5" t="s">
        <v>607</v>
      </c>
    </row>
    <row r="6" spans="1:2" x14ac:dyDescent="0.2">
      <c r="A6" t="s">
        <v>582</v>
      </c>
      <c r="B6" t="s">
        <v>387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92C4-8904-4FD6-9FED-D6B02BEAEA80}">
  <dimension ref="A1:O8"/>
  <sheetViews>
    <sheetView workbookViewId="0">
      <selection activeCell="I32" sqref="I32"/>
    </sheetView>
  </sheetViews>
  <sheetFormatPr defaultRowHeight="12.75" x14ac:dyDescent="0.2"/>
  <cols>
    <col min="1" max="1" width="10.7109375" bestFit="1" customWidth="1"/>
    <col min="2" max="2" width="10" customWidth="1"/>
  </cols>
  <sheetData>
    <row r="1" spans="1:15" x14ac:dyDescent="0.2">
      <c r="A1" t="str">
        <f>Input_Raw!A1</f>
        <v>Name</v>
      </c>
      <c r="B1" t="str">
        <f>Input_Raw!B1</f>
        <v>Value</v>
      </c>
    </row>
    <row r="2" spans="1:15" x14ac:dyDescent="0.2">
      <c r="A2" t="str">
        <f>Input_Raw!A2</f>
        <v>ticker</v>
      </c>
      <c r="B2" t="str">
        <f>Input_Raw!B2</f>
        <v>NASDAQ:CALM</v>
      </c>
      <c r="D2">
        <v>990</v>
      </c>
      <c r="E2">
        <f>D2+1</f>
        <v>991</v>
      </c>
      <c r="F2">
        <f>E2+1</f>
        <v>992</v>
      </c>
      <c r="G2">
        <f t="shared" ref="G2:N2" si="0">F2+1</f>
        <v>993</v>
      </c>
      <c r="H2">
        <f t="shared" si="0"/>
        <v>994</v>
      </c>
      <c r="I2">
        <f t="shared" si="0"/>
        <v>995</v>
      </c>
      <c r="J2">
        <f t="shared" si="0"/>
        <v>996</v>
      </c>
      <c r="K2">
        <f t="shared" si="0"/>
        <v>997</v>
      </c>
      <c r="L2">
        <f t="shared" si="0"/>
        <v>998</v>
      </c>
      <c r="M2">
        <f t="shared" si="0"/>
        <v>999</v>
      </c>
      <c r="N2">
        <f t="shared" si="0"/>
        <v>1000</v>
      </c>
      <c r="O2">
        <v>2000</v>
      </c>
    </row>
    <row r="3" spans="1:15" x14ac:dyDescent="0.2">
      <c r="A3" t="str">
        <f>Input_Raw!A3</f>
        <v>date_year</v>
      </c>
      <c r="B3" t="str">
        <f>Input_Raw!B3</f>
        <v>2026</v>
      </c>
    </row>
    <row r="4" spans="1:15" x14ac:dyDescent="0.2">
      <c r="A4" t="str">
        <f>Input_Raw!A4</f>
        <v>date_month</v>
      </c>
      <c r="B4" t="str">
        <f>Input_Raw!B4</f>
        <v>3</v>
      </c>
    </row>
    <row r="5" spans="1:15" x14ac:dyDescent="0.2">
      <c r="A5" t="str">
        <f>Input_Raw!A5</f>
        <v>date_day</v>
      </c>
      <c r="B5" t="str">
        <f>Input_Raw!B5</f>
        <v>29</v>
      </c>
    </row>
    <row r="6" spans="1:15" x14ac:dyDescent="0.2">
      <c r="A6" s="42" t="s">
        <v>583</v>
      </c>
      <c r="B6" s="69">
        <f>DATE(B3,B4,B5)</f>
        <v>46110</v>
      </c>
    </row>
    <row r="7" spans="1:15" x14ac:dyDescent="0.2">
      <c r="A7" t="str">
        <f>Input_Raw!A6</f>
        <v>currency</v>
      </c>
      <c r="B7" t="str">
        <f>Input_Raw!B6</f>
        <v>USD</v>
      </c>
    </row>
    <row r="8" spans="1:15" x14ac:dyDescent="0.2">
      <c r="A8" s="42" t="s">
        <v>584</v>
      </c>
      <c r="B8" s="42" t="s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4DCC-BC0C-4DF6-8B86-E4CA1CA45E97}">
  <dimension ref="A1:IV6"/>
  <sheetViews>
    <sheetView workbookViewId="0"/>
  </sheetViews>
  <sheetFormatPr defaultRowHeight="12.75" x14ac:dyDescent="0.2"/>
  <sheetData>
    <row r="1" spans="1:256" x14ac:dyDescent="0.2">
      <c r="A1">
        <v>1520</v>
      </c>
      <c r="B1" t="s">
        <v>608</v>
      </c>
      <c r="C1" t="s">
        <v>609</v>
      </c>
      <c r="D1" t="s">
        <v>610</v>
      </c>
      <c r="E1" t="s">
        <v>611</v>
      </c>
      <c r="F1" t="s">
        <v>612</v>
      </c>
      <c r="G1" t="s">
        <v>613</v>
      </c>
      <c r="H1" t="s">
        <v>614</v>
      </c>
      <c r="I1" t="s">
        <v>615</v>
      </c>
      <c r="J1" t="s">
        <v>616</v>
      </c>
      <c r="K1" t="s">
        <v>617</v>
      </c>
      <c r="L1" t="s">
        <v>618</v>
      </c>
      <c r="M1" t="s">
        <v>619</v>
      </c>
      <c r="N1" t="s">
        <v>620</v>
      </c>
      <c r="O1" t="s">
        <v>621</v>
      </c>
      <c r="P1" t="s">
        <v>622</v>
      </c>
      <c r="Q1" t="s">
        <v>623</v>
      </c>
      <c r="R1" t="s">
        <v>624</v>
      </c>
      <c r="S1" t="s">
        <v>625</v>
      </c>
      <c r="T1" t="s">
        <v>626</v>
      </c>
      <c r="U1" t="s">
        <v>627</v>
      </c>
      <c r="V1" t="s">
        <v>628</v>
      </c>
      <c r="W1" t="s">
        <v>629</v>
      </c>
      <c r="X1" t="s">
        <v>630</v>
      </c>
      <c r="Y1" t="s">
        <v>631</v>
      </c>
      <c r="Z1" t="s">
        <v>632</v>
      </c>
      <c r="AA1" t="s">
        <v>633</v>
      </c>
      <c r="AB1" t="s">
        <v>634</v>
      </c>
      <c r="AC1" t="s">
        <v>635</v>
      </c>
      <c r="AD1" t="s">
        <v>636</v>
      </c>
      <c r="AE1" t="s">
        <v>637</v>
      </c>
      <c r="AF1" t="s">
        <v>638</v>
      </c>
      <c r="AG1" t="s">
        <v>639</v>
      </c>
      <c r="AH1" t="s">
        <v>640</v>
      </c>
      <c r="AI1" t="s">
        <v>641</v>
      </c>
      <c r="AJ1" t="s">
        <v>642</v>
      </c>
      <c r="AK1" t="s">
        <v>643</v>
      </c>
      <c r="AL1" t="s">
        <v>644</v>
      </c>
      <c r="AM1" t="s">
        <v>645</v>
      </c>
      <c r="AN1" t="s">
        <v>646</v>
      </c>
      <c r="AO1" t="s">
        <v>647</v>
      </c>
      <c r="AP1" t="s">
        <v>648</v>
      </c>
      <c r="AQ1" t="s">
        <v>649</v>
      </c>
      <c r="AR1" t="s">
        <v>650</v>
      </c>
      <c r="AS1" t="s">
        <v>651</v>
      </c>
      <c r="AT1" t="s">
        <v>652</v>
      </c>
      <c r="AU1" t="s">
        <v>653</v>
      </c>
      <c r="AV1" t="s">
        <v>654</v>
      </c>
      <c r="AW1" t="s">
        <v>655</v>
      </c>
      <c r="AX1" t="s">
        <v>656</v>
      </c>
      <c r="AY1" t="s">
        <v>657</v>
      </c>
      <c r="AZ1" t="s">
        <v>658</v>
      </c>
      <c r="BA1" t="s">
        <v>659</v>
      </c>
      <c r="BB1" t="s">
        <v>660</v>
      </c>
      <c r="BC1" t="s">
        <v>661</v>
      </c>
      <c r="BD1" t="s">
        <v>662</v>
      </c>
      <c r="BE1" t="s">
        <v>663</v>
      </c>
      <c r="BF1" t="s">
        <v>664</v>
      </c>
      <c r="BG1" t="s">
        <v>665</v>
      </c>
      <c r="BH1" t="s">
        <v>666</v>
      </c>
      <c r="BI1" t="s">
        <v>667</v>
      </c>
      <c r="BJ1" t="s">
        <v>668</v>
      </c>
      <c r="BK1" t="s">
        <v>669</v>
      </c>
      <c r="BL1" t="s">
        <v>670</v>
      </c>
      <c r="BM1" t="s">
        <v>671</v>
      </c>
      <c r="BN1" t="s">
        <v>672</v>
      </c>
      <c r="BO1" t="s">
        <v>673</v>
      </c>
      <c r="BP1" t="s">
        <v>674</v>
      </c>
      <c r="BQ1" t="s">
        <v>675</v>
      </c>
      <c r="BR1" t="s">
        <v>676</v>
      </c>
      <c r="BS1" t="s">
        <v>677</v>
      </c>
      <c r="BT1" t="s">
        <v>678</v>
      </c>
      <c r="BU1" t="s">
        <v>679</v>
      </c>
      <c r="BV1" t="s">
        <v>680</v>
      </c>
      <c r="BW1" t="s">
        <v>681</v>
      </c>
      <c r="BX1" t="s">
        <v>682</v>
      </c>
      <c r="BY1" t="s">
        <v>683</v>
      </c>
      <c r="BZ1" t="s">
        <v>684</v>
      </c>
      <c r="CA1" t="s">
        <v>685</v>
      </c>
      <c r="CB1" t="s">
        <v>686</v>
      </c>
      <c r="CC1" t="s">
        <v>687</v>
      </c>
      <c r="CD1" t="s">
        <v>688</v>
      </c>
      <c r="CE1" t="s">
        <v>689</v>
      </c>
      <c r="CF1" t="s">
        <v>690</v>
      </c>
      <c r="CG1" t="s">
        <v>691</v>
      </c>
      <c r="CH1" t="s">
        <v>692</v>
      </c>
      <c r="CI1" t="s">
        <v>693</v>
      </c>
      <c r="CJ1" t="s">
        <v>694</v>
      </c>
      <c r="CK1" t="s">
        <v>695</v>
      </c>
      <c r="CL1" t="s">
        <v>696</v>
      </c>
      <c r="CM1" t="s">
        <v>697</v>
      </c>
      <c r="CN1" t="s">
        <v>698</v>
      </c>
      <c r="CO1" t="s">
        <v>699</v>
      </c>
      <c r="CP1" t="s">
        <v>700</v>
      </c>
      <c r="CQ1" t="s">
        <v>701</v>
      </c>
      <c r="CR1" t="s">
        <v>702</v>
      </c>
      <c r="CS1" t="s">
        <v>703</v>
      </c>
      <c r="CT1" t="s">
        <v>704</v>
      </c>
      <c r="CU1" t="s">
        <v>705</v>
      </c>
      <c r="CV1" t="s">
        <v>706</v>
      </c>
      <c r="CW1" t="s">
        <v>707</v>
      </c>
      <c r="CX1" t="s">
        <v>708</v>
      </c>
      <c r="CY1" t="s">
        <v>709</v>
      </c>
      <c r="CZ1" t="s">
        <v>710</v>
      </c>
      <c r="DA1" t="s">
        <v>711</v>
      </c>
      <c r="DB1" t="s">
        <v>712</v>
      </c>
      <c r="DC1" t="s">
        <v>713</v>
      </c>
      <c r="DD1" t="s">
        <v>714</v>
      </c>
      <c r="DE1" t="s">
        <v>715</v>
      </c>
      <c r="DF1" t="s">
        <v>716</v>
      </c>
      <c r="DG1" t="s">
        <v>717</v>
      </c>
      <c r="DH1" t="s">
        <v>718</v>
      </c>
      <c r="DI1" t="s">
        <v>719</v>
      </c>
      <c r="DJ1" t="s">
        <v>720</v>
      </c>
      <c r="DK1" t="s">
        <v>721</v>
      </c>
      <c r="DL1" t="s">
        <v>722</v>
      </c>
      <c r="DM1" t="s">
        <v>723</v>
      </c>
      <c r="DN1" t="s">
        <v>724</v>
      </c>
      <c r="DO1" t="s">
        <v>725</v>
      </c>
      <c r="DP1" t="s">
        <v>726</v>
      </c>
      <c r="DQ1" t="s">
        <v>727</v>
      </c>
      <c r="DR1" t="s">
        <v>728</v>
      </c>
      <c r="DS1" t="s">
        <v>729</v>
      </c>
      <c r="DT1" t="s">
        <v>730</v>
      </c>
      <c r="DU1" t="s">
        <v>731</v>
      </c>
      <c r="DV1" t="s">
        <v>732</v>
      </c>
      <c r="DW1" t="s">
        <v>733</v>
      </c>
      <c r="DX1" t="s">
        <v>734</v>
      </c>
      <c r="DY1" t="s">
        <v>735</v>
      </c>
      <c r="DZ1" t="s">
        <v>736</v>
      </c>
      <c r="EA1" t="s">
        <v>737</v>
      </c>
      <c r="EB1" t="s">
        <v>738</v>
      </c>
      <c r="EC1" t="s">
        <v>739</v>
      </c>
      <c r="ED1" t="s">
        <v>740</v>
      </c>
      <c r="EE1" t="s">
        <v>741</v>
      </c>
      <c r="EF1" t="s">
        <v>742</v>
      </c>
      <c r="EG1" t="s">
        <v>743</v>
      </c>
      <c r="EH1" t="s">
        <v>744</v>
      </c>
      <c r="EI1" t="s">
        <v>745</v>
      </c>
      <c r="EJ1" t="s">
        <v>746</v>
      </c>
      <c r="EK1" t="s">
        <v>747</v>
      </c>
      <c r="EL1" t="s">
        <v>748</v>
      </c>
      <c r="EM1" t="s">
        <v>749</v>
      </c>
      <c r="EN1" t="s">
        <v>750</v>
      </c>
      <c r="EO1" t="s">
        <v>751</v>
      </c>
      <c r="EP1" t="s">
        <v>752</v>
      </c>
      <c r="EQ1" t="s">
        <v>753</v>
      </c>
      <c r="ER1" t="s">
        <v>754</v>
      </c>
      <c r="ES1" t="s">
        <v>755</v>
      </c>
      <c r="ET1" t="s">
        <v>756</v>
      </c>
      <c r="EU1" t="s">
        <v>757</v>
      </c>
      <c r="EV1" t="s">
        <v>758</v>
      </c>
      <c r="EW1" t="s">
        <v>759</v>
      </c>
      <c r="EX1" t="s">
        <v>760</v>
      </c>
      <c r="EY1" t="s">
        <v>761</v>
      </c>
      <c r="EZ1" t="s">
        <v>762</v>
      </c>
      <c r="FA1" t="s">
        <v>763</v>
      </c>
      <c r="FB1" t="s">
        <v>764</v>
      </c>
      <c r="FC1" t="s">
        <v>765</v>
      </c>
      <c r="FD1" t="s">
        <v>766</v>
      </c>
      <c r="FE1" t="s">
        <v>767</v>
      </c>
      <c r="FF1" t="s">
        <v>768</v>
      </c>
      <c r="FG1" t="s">
        <v>769</v>
      </c>
      <c r="FH1" t="s">
        <v>770</v>
      </c>
      <c r="FI1" t="s">
        <v>771</v>
      </c>
      <c r="FJ1" t="s">
        <v>772</v>
      </c>
      <c r="FK1" t="s">
        <v>773</v>
      </c>
      <c r="FL1" t="s">
        <v>774</v>
      </c>
      <c r="FM1" t="s">
        <v>775</v>
      </c>
      <c r="FN1" t="s">
        <v>776</v>
      </c>
      <c r="FO1" t="s">
        <v>777</v>
      </c>
      <c r="FP1" t="s">
        <v>778</v>
      </c>
      <c r="FQ1" t="s">
        <v>779</v>
      </c>
      <c r="FR1" t="s">
        <v>780</v>
      </c>
      <c r="FS1" t="s">
        <v>781</v>
      </c>
      <c r="FT1" t="s">
        <v>782</v>
      </c>
      <c r="FU1" t="s">
        <v>783</v>
      </c>
      <c r="FV1" t="s">
        <v>784</v>
      </c>
      <c r="FW1" t="s">
        <v>785</v>
      </c>
      <c r="FX1" t="s">
        <v>786</v>
      </c>
      <c r="FY1" t="s">
        <v>787</v>
      </c>
      <c r="FZ1" t="s">
        <v>788</v>
      </c>
      <c r="GA1" t="s">
        <v>789</v>
      </c>
      <c r="GB1" t="s">
        <v>790</v>
      </c>
      <c r="GC1" t="s">
        <v>791</v>
      </c>
      <c r="GD1" t="s">
        <v>792</v>
      </c>
      <c r="GE1" t="s">
        <v>793</v>
      </c>
      <c r="GF1" t="s">
        <v>794</v>
      </c>
      <c r="GG1" t="s">
        <v>795</v>
      </c>
      <c r="GH1" t="s">
        <v>796</v>
      </c>
      <c r="GI1" t="s">
        <v>797</v>
      </c>
      <c r="GJ1" t="s">
        <v>798</v>
      </c>
      <c r="GK1" t="s">
        <v>799</v>
      </c>
      <c r="GL1" t="s">
        <v>800</v>
      </c>
      <c r="GM1" t="s">
        <v>801</v>
      </c>
      <c r="GN1" t="s">
        <v>802</v>
      </c>
      <c r="GO1" t="s">
        <v>803</v>
      </c>
      <c r="GP1" t="s">
        <v>804</v>
      </c>
      <c r="GQ1" t="s">
        <v>805</v>
      </c>
      <c r="GR1" t="s">
        <v>806</v>
      </c>
      <c r="GS1" t="s">
        <v>807</v>
      </c>
      <c r="GT1" t="s">
        <v>808</v>
      </c>
      <c r="GU1" t="s">
        <v>809</v>
      </c>
      <c r="GV1" t="s">
        <v>810</v>
      </c>
      <c r="GW1" t="s">
        <v>811</v>
      </c>
      <c r="GX1" t="s">
        <v>812</v>
      </c>
      <c r="GY1" t="s">
        <v>813</v>
      </c>
      <c r="GZ1" t="s">
        <v>814</v>
      </c>
      <c r="HA1" t="s">
        <v>815</v>
      </c>
      <c r="HB1" t="s">
        <v>816</v>
      </c>
      <c r="HC1" t="s">
        <v>817</v>
      </c>
      <c r="HD1" t="s">
        <v>818</v>
      </c>
      <c r="HE1" t="s">
        <v>819</v>
      </c>
      <c r="HF1" t="s">
        <v>820</v>
      </c>
      <c r="HG1" t="s">
        <v>821</v>
      </c>
      <c r="HH1" t="s">
        <v>822</v>
      </c>
      <c r="HI1" t="s">
        <v>823</v>
      </c>
      <c r="HJ1" t="s">
        <v>824</v>
      </c>
      <c r="HK1" t="s">
        <v>825</v>
      </c>
      <c r="HL1" t="s">
        <v>826</v>
      </c>
      <c r="HM1" t="s">
        <v>827</v>
      </c>
      <c r="HN1" t="s">
        <v>828</v>
      </c>
      <c r="HO1" t="s">
        <v>829</v>
      </c>
      <c r="HP1" t="s">
        <v>830</v>
      </c>
      <c r="HQ1" t="s">
        <v>831</v>
      </c>
      <c r="HR1" t="s">
        <v>832</v>
      </c>
      <c r="HS1" t="s">
        <v>833</v>
      </c>
      <c r="HT1" t="s">
        <v>834</v>
      </c>
      <c r="HU1" t="s">
        <v>835</v>
      </c>
      <c r="HV1" t="s">
        <v>836</v>
      </c>
      <c r="HW1" t="s">
        <v>837</v>
      </c>
      <c r="HX1" t="s">
        <v>838</v>
      </c>
      <c r="HY1" t="s">
        <v>839</v>
      </c>
      <c r="HZ1" t="s">
        <v>840</v>
      </c>
      <c r="IA1" t="s">
        <v>841</v>
      </c>
      <c r="IB1" t="s">
        <v>842</v>
      </c>
      <c r="IC1" t="s">
        <v>843</v>
      </c>
      <c r="ID1" t="s">
        <v>844</v>
      </c>
      <c r="IE1" t="s">
        <v>845</v>
      </c>
      <c r="IF1" t="s">
        <v>846</v>
      </c>
      <c r="IG1" t="s">
        <v>847</v>
      </c>
      <c r="IH1" t="s">
        <v>848</v>
      </c>
      <c r="II1" t="s">
        <v>849</v>
      </c>
      <c r="IJ1" t="s">
        <v>850</v>
      </c>
      <c r="IK1" t="s">
        <v>851</v>
      </c>
      <c r="IL1" t="s">
        <v>852</v>
      </c>
      <c r="IM1" t="s">
        <v>853</v>
      </c>
      <c r="IN1" t="s">
        <v>854</v>
      </c>
      <c r="IO1" t="s">
        <v>855</v>
      </c>
      <c r="IP1" t="s">
        <v>856</v>
      </c>
      <c r="IQ1" t="s">
        <v>857</v>
      </c>
      <c r="IR1" t="s">
        <v>858</v>
      </c>
      <c r="IS1" t="s">
        <v>859</v>
      </c>
      <c r="IT1" t="s">
        <v>860</v>
      </c>
      <c r="IU1" t="s">
        <v>861</v>
      </c>
      <c r="IV1" t="s">
        <v>862</v>
      </c>
    </row>
    <row r="2" spans="1:256" x14ac:dyDescent="0.2">
      <c r="A2" t="s">
        <v>863</v>
      </c>
      <c r="B2" t="s">
        <v>864</v>
      </c>
      <c r="C2" t="s">
        <v>865</v>
      </c>
      <c r="D2" t="s">
        <v>866</v>
      </c>
      <c r="E2" t="s">
        <v>867</v>
      </c>
      <c r="F2" t="s">
        <v>868</v>
      </c>
      <c r="G2" t="s">
        <v>869</v>
      </c>
      <c r="H2" t="s">
        <v>870</v>
      </c>
      <c r="I2" t="s">
        <v>871</v>
      </c>
      <c r="J2" t="s">
        <v>872</v>
      </c>
      <c r="K2" t="s">
        <v>873</v>
      </c>
      <c r="L2" t="s">
        <v>874</v>
      </c>
      <c r="M2" t="s">
        <v>875</v>
      </c>
      <c r="N2" t="s">
        <v>876</v>
      </c>
      <c r="O2" t="s">
        <v>877</v>
      </c>
      <c r="P2" t="s">
        <v>878</v>
      </c>
      <c r="Q2" t="s">
        <v>879</v>
      </c>
      <c r="R2" t="s">
        <v>880</v>
      </c>
      <c r="S2" t="s">
        <v>881</v>
      </c>
      <c r="T2" t="s">
        <v>882</v>
      </c>
      <c r="U2" t="s">
        <v>883</v>
      </c>
      <c r="V2" t="s">
        <v>884</v>
      </c>
      <c r="W2" t="s">
        <v>885</v>
      </c>
      <c r="X2" t="s">
        <v>886</v>
      </c>
      <c r="Y2" t="s">
        <v>887</v>
      </c>
      <c r="Z2" t="s">
        <v>888</v>
      </c>
      <c r="AA2" t="s">
        <v>889</v>
      </c>
      <c r="AB2" t="s">
        <v>890</v>
      </c>
      <c r="AC2" t="s">
        <v>891</v>
      </c>
      <c r="AD2" t="s">
        <v>892</v>
      </c>
      <c r="AE2" t="s">
        <v>893</v>
      </c>
      <c r="AF2" t="s">
        <v>894</v>
      </c>
      <c r="AG2" t="s">
        <v>895</v>
      </c>
      <c r="AH2" t="s">
        <v>896</v>
      </c>
      <c r="AI2" t="s">
        <v>897</v>
      </c>
      <c r="AJ2" t="s">
        <v>898</v>
      </c>
      <c r="AK2" t="s">
        <v>899</v>
      </c>
      <c r="AL2" t="s">
        <v>900</v>
      </c>
      <c r="AM2" t="s">
        <v>901</v>
      </c>
      <c r="AN2" t="s">
        <v>902</v>
      </c>
      <c r="AO2" t="s">
        <v>903</v>
      </c>
      <c r="AP2" t="s">
        <v>904</v>
      </c>
      <c r="AQ2" t="s">
        <v>905</v>
      </c>
      <c r="AR2" t="s">
        <v>906</v>
      </c>
      <c r="AS2" t="s">
        <v>907</v>
      </c>
      <c r="AT2" t="s">
        <v>908</v>
      </c>
      <c r="AU2" t="s">
        <v>909</v>
      </c>
      <c r="AV2" t="s">
        <v>910</v>
      </c>
      <c r="AW2" t="s">
        <v>911</v>
      </c>
      <c r="AX2" t="s">
        <v>912</v>
      </c>
      <c r="AY2" t="s">
        <v>913</v>
      </c>
      <c r="AZ2" t="s">
        <v>914</v>
      </c>
      <c r="BA2" t="s">
        <v>915</v>
      </c>
      <c r="BB2" t="s">
        <v>916</v>
      </c>
      <c r="BC2" t="s">
        <v>917</v>
      </c>
      <c r="BD2" t="s">
        <v>918</v>
      </c>
      <c r="BE2" t="s">
        <v>919</v>
      </c>
      <c r="BF2" t="s">
        <v>920</v>
      </c>
      <c r="BG2" t="s">
        <v>921</v>
      </c>
      <c r="BH2" t="s">
        <v>922</v>
      </c>
      <c r="BI2" t="s">
        <v>923</v>
      </c>
      <c r="BJ2" t="s">
        <v>924</v>
      </c>
      <c r="BK2" t="s">
        <v>925</v>
      </c>
      <c r="BL2" t="s">
        <v>926</v>
      </c>
      <c r="BM2" t="s">
        <v>927</v>
      </c>
      <c r="BN2" t="s">
        <v>928</v>
      </c>
      <c r="BO2" t="s">
        <v>929</v>
      </c>
      <c r="BP2" t="s">
        <v>930</v>
      </c>
      <c r="BQ2" t="s">
        <v>931</v>
      </c>
      <c r="BR2" t="s">
        <v>932</v>
      </c>
      <c r="BS2" t="s">
        <v>933</v>
      </c>
      <c r="BT2" t="s">
        <v>934</v>
      </c>
      <c r="BU2" t="s">
        <v>935</v>
      </c>
      <c r="BV2" t="s">
        <v>936</v>
      </c>
      <c r="BW2" t="s">
        <v>937</v>
      </c>
      <c r="BX2" t="s">
        <v>938</v>
      </c>
      <c r="BY2" t="s">
        <v>939</v>
      </c>
      <c r="BZ2" t="s">
        <v>940</v>
      </c>
      <c r="CA2" t="s">
        <v>941</v>
      </c>
      <c r="CB2" t="s">
        <v>942</v>
      </c>
      <c r="CC2" t="s">
        <v>943</v>
      </c>
      <c r="CD2" t="s">
        <v>944</v>
      </c>
      <c r="CE2" t="s">
        <v>945</v>
      </c>
      <c r="CF2" t="s">
        <v>946</v>
      </c>
      <c r="CG2" t="s">
        <v>947</v>
      </c>
      <c r="CH2" t="s">
        <v>948</v>
      </c>
      <c r="CI2" t="s">
        <v>949</v>
      </c>
      <c r="CJ2" t="s">
        <v>950</v>
      </c>
      <c r="CK2" t="s">
        <v>951</v>
      </c>
      <c r="CL2" t="s">
        <v>952</v>
      </c>
      <c r="CM2" t="s">
        <v>953</v>
      </c>
      <c r="CN2" t="s">
        <v>954</v>
      </c>
      <c r="CO2" t="s">
        <v>955</v>
      </c>
      <c r="CP2" t="s">
        <v>956</v>
      </c>
      <c r="CQ2" t="s">
        <v>957</v>
      </c>
      <c r="CR2" t="s">
        <v>958</v>
      </c>
      <c r="CS2" t="s">
        <v>959</v>
      </c>
      <c r="CT2" t="s">
        <v>960</v>
      </c>
      <c r="CU2" t="s">
        <v>961</v>
      </c>
      <c r="CV2" t="s">
        <v>962</v>
      </c>
      <c r="CW2" t="s">
        <v>963</v>
      </c>
      <c r="CX2" t="s">
        <v>964</v>
      </c>
      <c r="CY2" t="s">
        <v>965</v>
      </c>
      <c r="CZ2" t="s">
        <v>966</v>
      </c>
      <c r="DA2" t="s">
        <v>967</v>
      </c>
      <c r="DB2" t="s">
        <v>968</v>
      </c>
      <c r="DC2" t="s">
        <v>969</v>
      </c>
      <c r="DD2" t="s">
        <v>970</v>
      </c>
      <c r="DE2" t="s">
        <v>971</v>
      </c>
      <c r="DF2" t="s">
        <v>972</v>
      </c>
      <c r="DG2" t="s">
        <v>973</v>
      </c>
      <c r="DH2" t="s">
        <v>974</v>
      </c>
      <c r="DI2" t="s">
        <v>975</v>
      </c>
      <c r="DJ2" t="s">
        <v>976</v>
      </c>
      <c r="DK2" t="s">
        <v>977</v>
      </c>
      <c r="DL2" t="s">
        <v>978</v>
      </c>
      <c r="DM2" t="s">
        <v>979</v>
      </c>
      <c r="DN2" t="s">
        <v>980</v>
      </c>
      <c r="DO2" t="s">
        <v>981</v>
      </c>
      <c r="DP2" t="s">
        <v>982</v>
      </c>
      <c r="DQ2" t="s">
        <v>983</v>
      </c>
      <c r="DR2" t="s">
        <v>984</v>
      </c>
      <c r="DS2" t="s">
        <v>985</v>
      </c>
      <c r="DT2" t="s">
        <v>986</v>
      </c>
      <c r="DU2" t="s">
        <v>987</v>
      </c>
      <c r="DV2" t="s">
        <v>988</v>
      </c>
      <c r="DW2" t="s">
        <v>989</v>
      </c>
      <c r="DX2" t="s">
        <v>990</v>
      </c>
      <c r="DY2" t="s">
        <v>991</v>
      </c>
      <c r="DZ2" t="s">
        <v>992</v>
      </c>
      <c r="EA2" t="s">
        <v>993</v>
      </c>
      <c r="EB2" t="s">
        <v>994</v>
      </c>
      <c r="EC2" t="s">
        <v>995</v>
      </c>
      <c r="ED2" t="s">
        <v>996</v>
      </c>
      <c r="EE2" t="s">
        <v>997</v>
      </c>
      <c r="EF2" t="s">
        <v>998</v>
      </c>
      <c r="EG2" t="s">
        <v>999</v>
      </c>
      <c r="EH2" t="s">
        <v>1000</v>
      </c>
      <c r="EI2" t="s">
        <v>1001</v>
      </c>
      <c r="EJ2" t="s">
        <v>1002</v>
      </c>
      <c r="EK2" t="s">
        <v>1003</v>
      </c>
      <c r="EL2" t="s">
        <v>1004</v>
      </c>
      <c r="EM2" t="s">
        <v>1005</v>
      </c>
      <c r="EN2" t="s">
        <v>1006</v>
      </c>
      <c r="EO2" t="s">
        <v>1007</v>
      </c>
      <c r="EP2" t="s">
        <v>1008</v>
      </c>
      <c r="EQ2" t="s">
        <v>1009</v>
      </c>
      <c r="ER2" t="s">
        <v>1010</v>
      </c>
      <c r="ES2" t="s">
        <v>1011</v>
      </c>
      <c r="ET2" t="s">
        <v>1012</v>
      </c>
      <c r="EU2" t="s">
        <v>1013</v>
      </c>
      <c r="EV2" t="s">
        <v>1014</v>
      </c>
      <c r="EW2" t="s">
        <v>1015</v>
      </c>
      <c r="EX2" t="s">
        <v>1016</v>
      </c>
      <c r="EY2" t="s">
        <v>1017</v>
      </c>
      <c r="EZ2" t="s">
        <v>1018</v>
      </c>
      <c r="FA2" t="s">
        <v>1019</v>
      </c>
      <c r="FB2" t="s">
        <v>1020</v>
      </c>
      <c r="FC2" t="s">
        <v>1021</v>
      </c>
      <c r="FD2" t="s">
        <v>1022</v>
      </c>
      <c r="FE2" t="s">
        <v>1023</v>
      </c>
      <c r="FF2" t="s">
        <v>1024</v>
      </c>
      <c r="FG2" t="s">
        <v>1025</v>
      </c>
      <c r="FH2" t="s">
        <v>1026</v>
      </c>
      <c r="FI2" t="s">
        <v>1027</v>
      </c>
      <c r="FJ2" t="s">
        <v>1028</v>
      </c>
      <c r="FK2" t="s">
        <v>1029</v>
      </c>
      <c r="FL2" t="s">
        <v>1030</v>
      </c>
      <c r="FM2" t="s">
        <v>1031</v>
      </c>
      <c r="FN2" t="s">
        <v>1032</v>
      </c>
      <c r="FO2" t="s">
        <v>1033</v>
      </c>
      <c r="FP2" t="s">
        <v>1034</v>
      </c>
      <c r="FQ2" t="s">
        <v>1035</v>
      </c>
      <c r="FR2" t="s">
        <v>1036</v>
      </c>
      <c r="FS2" t="s">
        <v>1037</v>
      </c>
      <c r="FT2" t="s">
        <v>1038</v>
      </c>
      <c r="FU2" t="s">
        <v>1039</v>
      </c>
      <c r="FV2" t="s">
        <v>1040</v>
      </c>
      <c r="FW2" t="s">
        <v>1041</v>
      </c>
      <c r="FX2" t="s">
        <v>1042</v>
      </c>
      <c r="FY2" t="s">
        <v>1043</v>
      </c>
      <c r="FZ2" t="s">
        <v>1044</v>
      </c>
      <c r="GA2" t="s">
        <v>1045</v>
      </c>
      <c r="GB2" t="s">
        <v>1046</v>
      </c>
      <c r="GC2" t="s">
        <v>1047</v>
      </c>
      <c r="GD2" t="s">
        <v>1048</v>
      </c>
      <c r="GE2" t="s">
        <v>1049</v>
      </c>
      <c r="GF2" t="s">
        <v>1050</v>
      </c>
      <c r="GG2" t="s">
        <v>1051</v>
      </c>
      <c r="GH2" t="s">
        <v>1052</v>
      </c>
      <c r="GI2" t="s">
        <v>1053</v>
      </c>
      <c r="GJ2" t="s">
        <v>1054</v>
      </c>
      <c r="GK2" t="s">
        <v>1055</v>
      </c>
      <c r="GL2" t="s">
        <v>1056</v>
      </c>
      <c r="GM2" t="s">
        <v>1057</v>
      </c>
      <c r="GN2" t="s">
        <v>1058</v>
      </c>
      <c r="GO2" t="s">
        <v>1059</v>
      </c>
      <c r="GP2" t="s">
        <v>1060</v>
      </c>
      <c r="GQ2" t="s">
        <v>1061</v>
      </c>
      <c r="GR2" t="s">
        <v>1062</v>
      </c>
      <c r="GS2" t="s">
        <v>1063</v>
      </c>
      <c r="GT2" t="s">
        <v>1064</v>
      </c>
      <c r="GU2" t="s">
        <v>1065</v>
      </c>
      <c r="GV2" t="s">
        <v>1066</v>
      </c>
      <c r="GW2" t="s">
        <v>1067</v>
      </c>
      <c r="GX2" t="s">
        <v>1068</v>
      </c>
      <c r="GY2" t="s">
        <v>1069</v>
      </c>
      <c r="GZ2" t="s">
        <v>1070</v>
      </c>
      <c r="HA2" t="s">
        <v>1071</v>
      </c>
      <c r="HB2" t="s">
        <v>1072</v>
      </c>
      <c r="HC2" t="s">
        <v>1073</v>
      </c>
      <c r="HD2" t="s">
        <v>1074</v>
      </c>
      <c r="HE2" t="s">
        <v>1075</v>
      </c>
      <c r="HF2" t="s">
        <v>1076</v>
      </c>
      <c r="HG2" t="s">
        <v>1077</v>
      </c>
      <c r="HH2" t="s">
        <v>1078</v>
      </c>
      <c r="HI2" t="s">
        <v>1079</v>
      </c>
      <c r="HJ2" t="s">
        <v>1080</v>
      </c>
      <c r="HK2" t="s">
        <v>1081</v>
      </c>
      <c r="HL2" t="s">
        <v>1082</v>
      </c>
      <c r="HM2" t="s">
        <v>1083</v>
      </c>
      <c r="HN2" t="s">
        <v>1084</v>
      </c>
      <c r="HO2" t="s">
        <v>1085</v>
      </c>
      <c r="HP2" t="s">
        <v>1086</v>
      </c>
      <c r="HQ2" t="s">
        <v>1087</v>
      </c>
      <c r="HR2" t="s">
        <v>1088</v>
      </c>
      <c r="HS2" t="s">
        <v>1089</v>
      </c>
      <c r="HT2" t="s">
        <v>1090</v>
      </c>
      <c r="HU2" t="s">
        <v>1091</v>
      </c>
      <c r="HV2" t="s">
        <v>1092</v>
      </c>
      <c r="HW2" t="s">
        <v>1093</v>
      </c>
      <c r="HX2" t="s">
        <v>1094</v>
      </c>
      <c r="HY2" t="s">
        <v>1095</v>
      </c>
      <c r="HZ2" t="s">
        <v>1096</v>
      </c>
      <c r="IA2" t="s">
        <v>1097</v>
      </c>
      <c r="IB2" t="s">
        <v>1098</v>
      </c>
      <c r="IC2" t="s">
        <v>1099</v>
      </c>
      <c r="ID2" t="s">
        <v>1100</v>
      </c>
      <c r="IE2" t="s">
        <v>1101</v>
      </c>
      <c r="IF2" t="s">
        <v>1102</v>
      </c>
      <c r="IG2" t="s">
        <v>1103</v>
      </c>
      <c r="IH2" t="s">
        <v>1104</v>
      </c>
      <c r="II2" t="s">
        <v>1105</v>
      </c>
      <c r="IJ2" t="s">
        <v>1106</v>
      </c>
      <c r="IK2" t="s">
        <v>1107</v>
      </c>
      <c r="IL2" t="s">
        <v>1108</v>
      </c>
      <c r="IM2" t="s">
        <v>1109</v>
      </c>
      <c r="IN2" t="s">
        <v>1110</v>
      </c>
      <c r="IO2" t="s">
        <v>1111</v>
      </c>
      <c r="IP2" t="s">
        <v>1112</v>
      </c>
      <c r="IQ2" t="s">
        <v>1113</v>
      </c>
      <c r="IR2" t="s">
        <v>1114</v>
      </c>
      <c r="IS2" t="s">
        <v>1115</v>
      </c>
      <c r="IT2" t="s">
        <v>1116</v>
      </c>
      <c r="IU2" t="s">
        <v>1117</v>
      </c>
      <c r="IV2" t="s">
        <v>1118</v>
      </c>
    </row>
    <row r="3" spans="1:256" x14ac:dyDescent="0.2">
      <c r="A3" t="s">
        <v>1119</v>
      </c>
      <c r="B3" t="s">
        <v>1120</v>
      </c>
      <c r="C3" t="s">
        <v>1121</v>
      </c>
      <c r="D3" t="s">
        <v>1122</v>
      </c>
      <c r="E3" t="s">
        <v>1123</v>
      </c>
      <c r="F3" t="s">
        <v>1124</v>
      </c>
      <c r="G3" t="s">
        <v>1125</v>
      </c>
      <c r="H3" t="s">
        <v>1126</v>
      </c>
      <c r="I3" t="s">
        <v>1127</v>
      </c>
      <c r="J3" t="s">
        <v>1128</v>
      </c>
      <c r="K3" t="s">
        <v>1129</v>
      </c>
      <c r="L3" t="s">
        <v>1130</v>
      </c>
      <c r="M3" t="s">
        <v>1131</v>
      </c>
      <c r="N3" t="s">
        <v>1132</v>
      </c>
      <c r="O3" t="s">
        <v>1133</v>
      </c>
      <c r="P3" t="s">
        <v>1134</v>
      </c>
      <c r="Q3" t="s">
        <v>1135</v>
      </c>
      <c r="R3" t="s">
        <v>1136</v>
      </c>
      <c r="S3" t="s">
        <v>1137</v>
      </c>
      <c r="T3" t="s">
        <v>1138</v>
      </c>
      <c r="U3" t="s">
        <v>1139</v>
      </c>
      <c r="V3" t="s">
        <v>1140</v>
      </c>
      <c r="W3" t="s">
        <v>1141</v>
      </c>
      <c r="X3" t="s">
        <v>1142</v>
      </c>
      <c r="Y3" t="s">
        <v>1143</v>
      </c>
      <c r="Z3" t="s">
        <v>1144</v>
      </c>
      <c r="AA3" t="s">
        <v>1145</v>
      </c>
      <c r="AB3" t="s">
        <v>1146</v>
      </c>
      <c r="AC3" t="s">
        <v>1147</v>
      </c>
      <c r="AD3" t="s">
        <v>1148</v>
      </c>
      <c r="AE3" t="s">
        <v>1149</v>
      </c>
      <c r="AF3" t="s">
        <v>1150</v>
      </c>
      <c r="AG3" t="s">
        <v>1151</v>
      </c>
      <c r="AH3" t="s">
        <v>1152</v>
      </c>
      <c r="AI3" t="s">
        <v>1153</v>
      </c>
      <c r="AJ3" t="s">
        <v>1154</v>
      </c>
      <c r="AK3" t="s">
        <v>1155</v>
      </c>
      <c r="AL3" t="s">
        <v>1156</v>
      </c>
      <c r="AM3" t="s">
        <v>1157</v>
      </c>
      <c r="AN3" t="s">
        <v>1158</v>
      </c>
      <c r="AO3" t="s">
        <v>1159</v>
      </c>
      <c r="AP3" t="s">
        <v>1160</v>
      </c>
      <c r="AQ3" t="s">
        <v>1161</v>
      </c>
      <c r="AR3" t="s">
        <v>1162</v>
      </c>
      <c r="AS3" t="s">
        <v>1163</v>
      </c>
      <c r="AT3" t="s">
        <v>1164</v>
      </c>
      <c r="AU3" t="s">
        <v>1165</v>
      </c>
      <c r="AV3" t="s">
        <v>1166</v>
      </c>
      <c r="AW3" t="s">
        <v>1167</v>
      </c>
      <c r="AX3" t="s">
        <v>1168</v>
      </c>
      <c r="AY3" t="s">
        <v>1169</v>
      </c>
      <c r="AZ3" t="s">
        <v>1170</v>
      </c>
      <c r="BA3" t="s">
        <v>1171</v>
      </c>
      <c r="BB3" t="s">
        <v>1172</v>
      </c>
      <c r="BC3" t="s">
        <v>1173</v>
      </c>
      <c r="BD3" t="s">
        <v>1174</v>
      </c>
      <c r="BE3" t="s">
        <v>1175</v>
      </c>
      <c r="BF3" t="s">
        <v>1176</v>
      </c>
      <c r="BG3" t="s">
        <v>1177</v>
      </c>
      <c r="BH3" t="s">
        <v>1178</v>
      </c>
      <c r="BI3" t="s">
        <v>1179</v>
      </c>
      <c r="BJ3" t="s">
        <v>1180</v>
      </c>
      <c r="BK3" t="s">
        <v>1181</v>
      </c>
      <c r="BL3" t="s">
        <v>1182</v>
      </c>
      <c r="BM3" t="s">
        <v>1183</v>
      </c>
      <c r="BN3" t="s">
        <v>1184</v>
      </c>
      <c r="BO3" t="s">
        <v>1185</v>
      </c>
      <c r="BP3" t="s">
        <v>1186</v>
      </c>
      <c r="BQ3" t="s">
        <v>1187</v>
      </c>
      <c r="BR3" t="s">
        <v>1188</v>
      </c>
      <c r="BS3" t="s">
        <v>1189</v>
      </c>
      <c r="BT3" t="s">
        <v>1190</v>
      </c>
      <c r="BU3" t="s">
        <v>1191</v>
      </c>
      <c r="BV3" t="s">
        <v>1192</v>
      </c>
      <c r="BW3" t="s">
        <v>1193</v>
      </c>
      <c r="BX3" t="s">
        <v>1194</v>
      </c>
      <c r="BY3" t="s">
        <v>1195</v>
      </c>
      <c r="BZ3" t="s">
        <v>1196</v>
      </c>
      <c r="CA3" t="s">
        <v>1197</v>
      </c>
      <c r="CB3" t="s">
        <v>1198</v>
      </c>
      <c r="CC3" t="s">
        <v>1199</v>
      </c>
      <c r="CD3" t="s">
        <v>1200</v>
      </c>
      <c r="CE3" t="s">
        <v>1201</v>
      </c>
      <c r="CF3" t="s">
        <v>1202</v>
      </c>
      <c r="CG3" t="s">
        <v>1203</v>
      </c>
      <c r="CH3" t="s">
        <v>1204</v>
      </c>
      <c r="CI3" t="s">
        <v>1205</v>
      </c>
      <c r="CJ3" t="s">
        <v>1206</v>
      </c>
      <c r="CK3" t="s">
        <v>1207</v>
      </c>
      <c r="CL3" t="s">
        <v>1208</v>
      </c>
      <c r="CM3" t="s">
        <v>1209</v>
      </c>
      <c r="CN3" t="s">
        <v>1210</v>
      </c>
      <c r="CO3" t="s">
        <v>1211</v>
      </c>
      <c r="CP3" t="s">
        <v>1212</v>
      </c>
      <c r="CQ3" t="s">
        <v>1213</v>
      </c>
      <c r="CR3" t="s">
        <v>1214</v>
      </c>
      <c r="CS3" t="s">
        <v>1215</v>
      </c>
      <c r="CT3" t="s">
        <v>1216</v>
      </c>
      <c r="CU3" t="s">
        <v>1217</v>
      </c>
      <c r="CV3" t="s">
        <v>1218</v>
      </c>
      <c r="CW3" t="s">
        <v>1219</v>
      </c>
      <c r="CX3" t="s">
        <v>1220</v>
      </c>
      <c r="CY3" t="s">
        <v>1221</v>
      </c>
      <c r="CZ3" t="s">
        <v>1222</v>
      </c>
      <c r="DA3" t="s">
        <v>1223</v>
      </c>
      <c r="DB3" t="s">
        <v>1224</v>
      </c>
      <c r="DC3" t="s">
        <v>1225</v>
      </c>
      <c r="DD3" t="s">
        <v>1226</v>
      </c>
      <c r="DE3" t="s">
        <v>1227</v>
      </c>
      <c r="DF3" t="s">
        <v>1228</v>
      </c>
      <c r="DG3" t="s">
        <v>1229</v>
      </c>
      <c r="DH3" t="s">
        <v>1230</v>
      </c>
      <c r="DI3" t="s">
        <v>1231</v>
      </c>
      <c r="DJ3" t="s">
        <v>1232</v>
      </c>
      <c r="DK3" t="s">
        <v>1233</v>
      </c>
      <c r="DL3" t="s">
        <v>1234</v>
      </c>
      <c r="DM3" t="s">
        <v>1235</v>
      </c>
      <c r="DN3" t="s">
        <v>1236</v>
      </c>
      <c r="DO3" t="s">
        <v>1237</v>
      </c>
      <c r="DP3" t="s">
        <v>1238</v>
      </c>
      <c r="DQ3" t="s">
        <v>1239</v>
      </c>
      <c r="DR3" t="s">
        <v>1240</v>
      </c>
      <c r="DS3" t="s">
        <v>1241</v>
      </c>
      <c r="DT3" t="s">
        <v>1242</v>
      </c>
      <c r="DU3" t="s">
        <v>1243</v>
      </c>
      <c r="DV3" t="s">
        <v>1244</v>
      </c>
      <c r="DW3" t="s">
        <v>1245</v>
      </c>
      <c r="DX3" t="s">
        <v>1246</v>
      </c>
      <c r="DY3" t="s">
        <v>1247</v>
      </c>
      <c r="DZ3" t="s">
        <v>1248</v>
      </c>
      <c r="EA3" t="s">
        <v>1249</v>
      </c>
      <c r="EB3" t="s">
        <v>1250</v>
      </c>
      <c r="EC3" t="s">
        <v>1251</v>
      </c>
      <c r="ED3" t="s">
        <v>1252</v>
      </c>
      <c r="EE3" t="s">
        <v>1253</v>
      </c>
      <c r="EF3" t="s">
        <v>1254</v>
      </c>
      <c r="EG3" t="s">
        <v>1255</v>
      </c>
      <c r="EH3" t="s">
        <v>1256</v>
      </c>
      <c r="EI3" t="s">
        <v>1257</v>
      </c>
      <c r="EJ3" t="s">
        <v>1258</v>
      </c>
      <c r="EK3" t="s">
        <v>1259</v>
      </c>
      <c r="EL3" t="s">
        <v>1260</v>
      </c>
      <c r="EM3" t="s">
        <v>1261</v>
      </c>
      <c r="EN3" t="s">
        <v>1262</v>
      </c>
      <c r="EO3" t="s">
        <v>1263</v>
      </c>
      <c r="EP3" t="s">
        <v>1264</v>
      </c>
      <c r="EQ3" t="s">
        <v>1265</v>
      </c>
      <c r="ER3" t="s">
        <v>1266</v>
      </c>
      <c r="ES3" t="s">
        <v>1267</v>
      </c>
      <c r="ET3" t="s">
        <v>1268</v>
      </c>
      <c r="EU3" t="s">
        <v>1269</v>
      </c>
      <c r="EV3" t="s">
        <v>1270</v>
      </c>
      <c r="EW3" t="s">
        <v>1271</v>
      </c>
      <c r="EX3" t="s">
        <v>1272</v>
      </c>
      <c r="EY3" t="s">
        <v>1273</v>
      </c>
      <c r="EZ3" t="s">
        <v>1274</v>
      </c>
      <c r="FA3" t="s">
        <v>1275</v>
      </c>
      <c r="FB3" t="s">
        <v>1276</v>
      </c>
      <c r="FC3" t="s">
        <v>1277</v>
      </c>
      <c r="FD3" t="s">
        <v>1278</v>
      </c>
      <c r="FE3" t="s">
        <v>1279</v>
      </c>
      <c r="FF3" t="s">
        <v>1280</v>
      </c>
      <c r="FG3" t="s">
        <v>1281</v>
      </c>
      <c r="FH3" t="s">
        <v>1282</v>
      </c>
      <c r="FI3" t="s">
        <v>1283</v>
      </c>
      <c r="FJ3" t="s">
        <v>1284</v>
      </c>
      <c r="FK3" t="s">
        <v>1285</v>
      </c>
      <c r="FL3" t="s">
        <v>1286</v>
      </c>
      <c r="FM3" t="s">
        <v>1287</v>
      </c>
      <c r="FN3" t="s">
        <v>1288</v>
      </c>
      <c r="FO3" t="s">
        <v>1289</v>
      </c>
      <c r="FP3" t="s">
        <v>1290</v>
      </c>
      <c r="FQ3" t="s">
        <v>1291</v>
      </c>
      <c r="FR3" t="s">
        <v>1292</v>
      </c>
      <c r="FS3" t="s">
        <v>1293</v>
      </c>
      <c r="FT3" t="s">
        <v>1294</v>
      </c>
      <c r="FU3" t="s">
        <v>1295</v>
      </c>
      <c r="FV3" t="s">
        <v>1296</v>
      </c>
      <c r="FW3" t="s">
        <v>1297</v>
      </c>
      <c r="FX3" t="s">
        <v>1298</v>
      </c>
      <c r="FY3" t="s">
        <v>1299</v>
      </c>
      <c r="FZ3" t="s">
        <v>1300</v>
      </c>
      <c r="GA3" t="s">
        <v>1301</v>
      </c>
      <c r="GB3" t="s">
        <v>1302</v>
      </c>
      <c r="GC3" t="s">
        <v>1303</v>
      </c>
      <c r="GD3" t="s">
        <v>1304</v>
      </c>
      <c r="GE3" t="s">
        <v>1305</v>
      </c>
      <c r="GF3" t="s">
        <v>1306</v>
      </c>
      <c r="GG3" t="s">
        <v>1307</v>
      </c>
      <c r="GH3" t="s">
        <v>1308</v>
      </c>
      <c r="GI3" t="s">
        <v>1309</v>
      </c>
      <c r="GJ3" t="s">
        <v>1310</v>
      </c>
      <c r="GK3" t="s">
        <v>1311</v>
      </c>
      <c r="GL3" t="s">
        <v>1312</v>
      </c>
      <c r="GM3" t="s">
        <v>1313</v>
      </c>
      <c r="GN3" t="s">
        <v>1314</v>
      </c>
      <c r="GO3" t="s">
        <v>1315</v>
      </c>
      <c r="GP3" t="s">
        <v>1316</v>
      </c>
      <c r="GQ3" t="s">
        <v>1317</v>
      </c>
      <c r="GR3" t="s">
        <v>1318</v>
      </c>
      <c r="GS3" t="s">
        <v>1319</v>
      </c>
      <c r="GT3" t="s">
        <v>1320</v>
      </c>
      <c r="GU3" t="s">
        <v>1321</v>
      </c>
      <c r="GV3" t="s">
        <v>1322</v>
      </c>
      <c r="GW3" t="s">
        <v>1323</v>
      </c>
      <c r="GX3" t="s">
        <v>1324</v>
      </c>
      <c r="GY3" t="s">
        <v>1325</v>
      </c>
      <c r="GZ3" t="s">
        <v>1326</v>
      </c>
      <c r="HA3" t="s">
        <v>1327</v>
      </c>
      <c r="HB3" t="s">
        <v>1328</v>
      </c>
      <c r="HC3" t="s">
        <v>1329</v>
      </c>
      <c r="HD3" t="s">
        <v>1330</v>
      </c>
      <c r="HE3" t="s">
        <v>1331</v>
      </c>
      <c r="HF3" t="s">
        <v>1332</v>
      </c>
      <c r="HG3" t="s">
        <v>1333</v>
      </c>
      <c r="HH3" t="s">
        <v>1334</v>
      </c>
      <c r="HI3" t="s">
        <v>1335</v>
      </c>
      <c r="HJ3" t="s">
        <v>1336</v>
      </c>
      <c r="HK3" t="s">
        <v>1337</v>
      </c>
      <c r="HL3" t="s">
        <v>1338</v>
      </c>
      <c r="HM3" t="s">
        <v>1339</v>
      </c>
      <c r="HN3" t="s">
        <v>1340</v>
      </c>
      <c r="HO3" t="s">
        <v>1341</v>
      </c>
      <c r="HP3" t="s">
        <v>1342</v>
      </c>
      <c r="HQ3" t="s">
        <v>1343</v>
      </c>
      <c r="HR3" t="s">
        <v>1344</v>
      </c>
      <c r="HS3" t="s">
        <v>1345</v>
      </c>
      <c r="HT3" t="s">
        <v>1346</v>
      </c>
      <c r="HU3" t="s">
        <v>1347</v>
      </c>
      <c r="HV3" t="s">
        <v>1348</v>
      </c>
      <c r="HW3" t="s">
        <v>1349</v>
      </c>
      <c r="HX3" t="s">
        <v>1350</v>
      </c>
      <c r="HY3" t="s">
        <v>1351</v>
      </c>
      <c r="HZ3" t="s">
        <v>1352</v>
      </c>
      <c r="IA3" t="s">
        <v>1353</v>
      </c>
      <c r="IB3" t="s">
        <v>1354</v>
      </c>
      <c r="IC3" t="s">
        <v>1355</v>
      </c>
      <c r="ID3" t="s">
        <v>1356</v>
      </c>
      <c r="IE3" t="s">
        <v>1357</v>
      </c>
      <c r="IF3" t="s">
        <v>1358</v>
      </c>
      <c r="IG3" t="s">
        <v>1359</v>
      </c>
      <c r="IH3" t="s">
        <v>1360</v>
      </c>
      <c r="II3" t="s">
        <v>1361</v>
      </c>
      <c r="IJ3" t="s">
        <v>1362</v>
      </c>
      <c r="IK3" t="s">
        <v>1363</v>
      </c>
      <c r="IL3" t="s">
        <v>1364</v>
      </c>
      <c r="IM3" t="s">
        <v>1365</v>
      </c>
      <c r="IN3" t="s">
        <v>1366</v>
      </c>
      <c r="IO3" t="s">
        <v>1367</v>
      </c>
      <c r="IP3" t="s">
        <v>1368</v>
      </c>
      <c r="IQ3" t="s">
        <v>1369</v>
      </c>
      <c r="IR3" t="s">
        <v>1370</v>
      </c>
      <c r="IS3" t="s">
        <v>1371</v>
      </c>
      <c r="IT3" t="s">
        <v>1372</v>
      </c>
      <c r="IU3" t="s">
        <v>1373</v>
      </c>
      <c r="IV3" t="s">
        <v>1374</v>
      </c>
    </row>
    <row r="4" spans="1:256" x14ac:dyDescent="0.2">
      <c r="A4" t="s">
        <v>1375</v>
      </c>
      <c r="B4" t="s">
        <v>1376</v>
      </c>
      <c r="C4" t="s">
        <v>1377</v>
      </c>
      <c r="D4" t="s">
        <v>1378</v>
      </c>
      <c r="E4" t="s">
        <v>1379</v>
      </c>
      <c r="F4" t="s">
        <v>1380</v>
      </c>
      <c r="G4" t="s">
        <v>1381</v>
      </c>
      <c r="H4" t="s">
        <v>1382</v>
      </c>
      <c r="I4" t="s">
        <v>1383</v>
      </c>
      <c r="J4" t="s">
        <v>1384</v>
      </c>
      <c r="K4" t="s">
        <v>1385</v>
      </c>
      <c r="L4" t="s">
        <v>1386</v>
      </c>
      <c r="M4" t="s">
        <v>1387</v>
      </c>
      <c r="N4" t="s">
        <v>1388</v>
      </c>
      <c r="O4" t="s">
        <v>1389</v>
      </c>
      <c r="P4" t="s">
        <v>1390</v>
      </c>
      <c r="Q4" t="s">
        <v>1391</v>
      </c>
      <c r="R4" t="s">
        <v>1392</v>
      </c>
      <c r="S4" t="s">
        <v>1393</v>
      </c>
      <c r="T4" t="s">
        <v>1394</v>
      </c>
      <c r="U4" t="s">
        <v>1395</v>
      </c>
      <c r="V4" t="s">
        <v>1396</v>
      </c>
      <c r="W4" t="s">
        <v>1397</v>
      </c>
      <c r="X4" t="s">
        <v>1398</v>
      </c>
      <c r="Y4" t="s">
        <v>1399</v>
      </c>
      <c r="Z4" t="s">
        <v>1400</v>
      </c>
      <c r="AA4" t="s">
        <v>1401</v>
      </c>
      <c r="AB4" t="s">
        <v>1402</v>
      </c>
      <c r="AC4" t="s">
        <v>1403</v>
      </c>
      <c r="AD4" t="s">
        <v>1404</v>
      </c>
      <c r="AE4" t="s">
        <v>1405</v>
      </c>
      <c r="AF4" t="s">
        <v>1406</v>
      </c>
      <c r="AG4" t="s">
        <v>1407</v>
      </c>
      <c r="AH4" t="s">
        <v>1408</v>
      </c>
      <c r="AI4" t="s">
        <v>1409</v>
      </c>
      <c r="AJ4" t="s">
        <v>1410</v>
      </c>
      <c r="AK4" t="s">
        <v>1411</v>
      </c>
      <c r="AL4" t="s">
        <v>1412</v>
      </c>
      <c r="AM4" t="s">
        <v>1413</v>
      </c>
      <c r="AN4" t="s">
        <v>1414</v>
      </c>
      <c r="AO4" t="s">
        <v>1415</v>
      </c>
      <c r="AP4" t="s">
        <v>1416</v>
      </c>
      <c r="AQ4" t="s">
        <v>1417</v>
      </c>
      <c r="AR4" t="s">
        <v>1418</v>
      </c>
      <c r="AS4" t="s">
        <v>1419</v>
      </c>
      <c r="AT4" t="s">
        <v>1420</v>
      </c>
      <c r="AU4" t="s">
        <v>1421</v>
      </c>
      <c r="AV4" t="s">
        <v>1422</v>
      </c>
      <c r="AW4" t="s">
        <v>1423</v>
      </c>
      <c r="AX4" t="s">
        <v>1424</v>
      </c>
      <c r="AY4" t="s">
        <v>1425</v>
      </c>
      <c r="AZ4" t="s">
        <v>1426</v>
      </c>
      <c r="BA4" t="s">
        <v>1427</v>
      </c>
      <c r="BB4" t="s">
        <v>1428</v>
      </c>
      <c r="BC4" t="s">
        <v>1429</v>
      </c>
      <c r="BD4" t="s">
        <v>1430</v>
      </c>
      <c r="BE4" t="s">
        <v>1431</v>
      </c>
      <c r="BF4" t="s">
        <v>1432</v>
      </c>
      <c r="BG4" t="s">
        <v>1433</v>
      </c>
      <c r="BH4" t="s">
        <v>1434</v>
      </c>
      <c r="BI4" t="s">
        <v>1435</v>
      </c>
      <c r="BJ4" t="s">
        <v>1436</v>
      </c>
      <c r="BK4" t="s">
        <v>1437</v>
      </c>
      <c r="BL4" t="s">
        <v>1438</v>
      </c>
      <c r="BM4" t="s">
        <v>1439</v>
      </c>
      <c r="BN4" t="s">
        <v>1440</v>
      </c>
      <c r="BO4" t="s">
        <v>1441</v>
      </c>
      <c r="BP4" t="s">
        <v>1442</v>
      </c>
      <c r="BQ4" t="s">
        <v>1443</v>
      </c>
      <c r="BR4" t="s">
        <v>1444</v>
      </c>
      <c r="BS4" t="s">
        <v>1445</v>
      </c>
      <c r="BT4" t="s">
        <v>1446</v>
      </c>
      <c r="BU4" t="s">
        <v>1447</v>
      </c>
      <c r="BV4" t="s">
        <v>1448</v>
      </c>
      <c r="BW4" t="s">
        <v>1449</v>
      </c>
      <c r="BX4" t="s">
        <v>1450</v>
      </c>
      <c r="BY4" t="s">
        <v>1451</v>
      </c>
      <c r="BZ4" t="s">
        <v>1452</v>
      </c>
      <c r="CA4" t="s">
        <v>1453</v>
      </c>
      <c r="CB4" t="s">
        <v>1454</v>
      </c>
      <c r="CC4" t="s">
        <v>1455</v>
      </c>
      <c r="CD4" t="s">
        <v>1456</v>
      </c>
      <c r="CE4" t="s">
        <v>1457</v>
      </c>
      <c r="CF4" t="s">
        <v>1458</v>
      </c>
      <c r="CG4" t="s">
        <v>1459</v>
      </c>
      <c r="CH4" t="s">
        <v>1460</v>
      </c>
      <c r="CI4" t="s">
        <v>1461</v>
      </c>
      <c r="CJ4" t="s">
        <v>1462</v>
      </c>
      <c r="CK4" t="s">
        <v>1463</v>
      </c>
      <c r="CL4" t="s">
        <v>1464</v>
      </c>
      <c r="CM4" t="s">
        <v>1465</v>
      </c>
      <c r="CN4" t="s">
        <v>1466</v>
      </c>
      <c r="CO4" t="s">
        <v>1467</v>
      </c>
      <c r="CP4" t="s">
        <v>1468</v>
      </c>
      <c r="CQ4" t="s">
        <v>1469</v>
      </c>
      <c r="CR4" t="s">
        <v>1470</v>
      </c>
      <c r="CS4" t="s">
        <v>1471</v>
      </c>
      <c r="CT4" t="s">
        <v>1472</v>
      </c>
      <c r="CU4" t="s">
        <v>1473</v>
      </c>
      <c r="CV4" t="s">
        <v>1474</v>
      </c>
      <c r="CW4" t="s">
        <v>1475</v>
      </c>
      <c r="CX4" t="s">
        <v>1476</v>
      </c>
      <c r="CY4" t="s">
        <v>1477</v>
      </c>
      <c r="CZ4" t="s">
        <v>1478</v>
      </c>
      <c r="DA4" t="s">
        <v>1479</v>
      </c>
      <c r="DB4" t="s">
        <v>1480</v>
      </c>
      <c r="DC4" t="s">
        <v>1481</v>
      </c>
      <c r="DD4" t="s">
        <v>1482</v>
      </c>
      <c r="DE4" t="s">
        <v>1483</v>
      </c>
      <c r="DF4" t="s">
        <v>1484</v>
      </c>
      <c r="DG4" t="s">
        <v>1485</v>
      </c>
      <c r="DH4" t="s">
        <v>1486</v>
      </c>
      <c r="DI4" t="s">
        <v>1487</v>
      </c>
      <c r="DJ4" t="s">
        <v>1488</v>
      </c>
      <c r="DK4" t="s">
        <v>1489</v>
      </c>
      <c r="DL4" t="s">
        <v>1490</v>
      </c>
      <c r="DM4" t="s">
        <v>1491</v>
      </c>
      <c r="DN4" t="s">
        <v>1492</v>
      </c>
      <c r="DO4" t="s">
        <v>1493</v>
      </c>
      <c r="DP4" t="s">
        <v>1494</v>
      </c>
      <c r="DQ4" t="s">
        <v>1495</v>
      </c>
      <c r="DR4" t="s">
        <v>1496</v>
      </c>
      <c r="DS4" t="s">
        <v>1497</v>
      </c>
      <c r="DT4" t="s">
        <v>1498</v>
      </c>
      <c r="DU4" t="s">
        <v>1499</v>
      </c>
      <c r="DV4" t="s">
        <v>1500</v>
      </c>
      <c r="DW4" t="s">
        <v>1501</v>
      </c>
      <c r="DX4" t="s">
        <v>1502</v>
      </c>
      <c r="DY4" t="s">
        <v>1503</v>
      </c>
      <c r="DZ4" t="s">
        <v>1504</v>
      </c>
      <c r="EA4" t="s">
        <v>1505</v>
      </c>
      <c r="EB4" t="s">
        <v>1506</v>
      </c>
      <c r="EC4" t="s">
        <v>1507</v>
      </c>
      <c r="ED4" t="s">
        <v>1508</v>
      </c>
      <c r="EE4" t="s">
        <v>1509</v>
      </c>
      <c r="EF4" t="s">
        <v>1510</v>
      </c>
      <c r="EG4" t="s">
        <v>1511</v>
      </c>
      <c r="EH4" t="s">
        <v>1512</v>
      </c>
      <c r="EI4" t="s">
        <v>1513</v>
      </c>
      <c r="EJ4" t="s">
        <v>1514</v>
      </c>
      <c r="EK4" t="s">
        <v>1515</v>
      </c>
      <c r="EL4" t="s">
        <v>1516</v>
      </c>
      <c r="EM4" t="s">
        <v>1517</v>
      </c>
      <c r="EN4" t="s">
        <v>1518</v>
      </c>
      <c r="EO4" t="s">
        <v>1519</v>
      </c>
      <c r="EP4" t="s">
        <v>1520</v>
      </c>
      <c r="EQ4" t="s">
        <v>1521</v>
      </c>
      <c r="ER4" t="s">
        <v>1522</v>
      </c>
      <c r="ES4" t="s">
        <v>1523</v>
      </c>
      <c r="ET4" t="s">
        <v>1524</v>
      </c>
      <c r="EU4" t="s">
        <v>1525</v>
      </c>
      <c r="EV4" t="s">
        <v>1526</v>
      </c>
      <c r="EW4" t="s">
        <v>1527</v>
      </c>
      <c r="EX4" t="s">
        <v>1528</v>
      </c>
      <c r="EY4" t="s">
        <v>1529</v>
      </c>
      <c r="EZ4" t="s">
        <v>1530</v>
      </c>
      <c r="FA4" t="s">
        <v>1531</v>
      </c>
      <c r="FB4" t="s">
        <v>1532</v>
      </c>
      <c r="FC4" t="s">
        <v>1533</v>
      </c>
      <c r="FD4" t="s">
        <v>1534</v>
      </c>
      <c r="FE4" t="s">
        <v>1535</v>
      </c>
      <c r="FF4" t="s">
        <v>1536</v>
      </c>
      <c r="FG4" t="s">
        <v>1537</v>
      </c>
      <c r="FH4" t="s">
        <v>1538</v>
      </c>
      <c r="FI4" t="s">
        <v>1539</v>
      </c>
      <c r="FJ4" t="s">
        <v>1540</v>
      </c>
      <c r="FK4" t="s">
        <v>1541</v>
      </c>
      <c r="FL4" t="s">
        <v>1542</v>
      </c>
      <c r="FM4" t="s">
        <v>1543</v>
      </c>
      <c r="FN4" t="s">
        <v>1544</v>
      </c>
      <c r="FO4" t="s">
        <v>1545</v>
      </c>
      <c r="FP4" t="s">
        <v>1546</v>
      </c>
      <c r="FQ4" t="s">
        <v>1547</v>
      </c>
      <c r="FR4" t="s">
        <v>1548</v>
      </c>
      <c r="FS4" t="s">
        <v>1549</v>
      </c>
      <c r="FT4" t="s">
        <v>1550</v>
      </c>
      <c r="FU4" t="s">
        <v>1551</v>
      </c>
      <c r="FV4" t="s">
        <v>1552</v>
      </c>
      <c r="FW4" t="s">
        <v>1553</v>
      </c>
      <c r="FX4" t="s">
        <v>1554</v>
      </c>
      <c r="FY4" t="s">
        <v>1555</v>
      </c>
      <c r="FZ4" t="s">
        <v>1556</v>
      </c>
      <c r="GA4" t="s">
        <v>1557</v>
      </c>
      <c r="GB4" t="s">
        <v>1558</v>
      </c>
      <c r="GC4" t="s">
        <v>1559</v>
      </c>
      <c r="GD4" t="s">
        <v>1560</v>
      </c>
      <c r="GE4" t="s">
        <v>1561</v>
      </c>
      <c r="GF4" t="s">
        <v>1562</v>
      </c>
      <c r="GG4" t="s">
        <v>1563</v>
      </c>
      <c r="GH4" t="s">
        <v>1564</v>
      </c>
      <c r="GI4" t="s">
        <v>1565</v>
      </c>
      <c r="GJ4" t="s">
        <v>1566</v>
      </c>
      <c r="GK4" t="s">
        <v>1567</v>
      </c>
      <c r="GL4" t="s">
        <v>1568</v>
      </c>
      <c r="GM4" t="s">
        <v>1569</v>
      </c>
      <c r="GN4" t="s">
        <v>1570</v>
      </c>
      <c r="GO4" t="s">
        <v>1571</v>
      </c>
      <c r="GP4" t="s">
        <v>1572</v>
      </c>
      <c r="GQ4" t="s">
        <v>1573</v>
      </c>
      <c r="GR4" t="s">
        <v>1574</v>
      </c>
      <c r="GS4" t="s">
        <v>1575</v>
      </c>
      <c r="GT4" t="s">
        <v>1576</v>
      </c>
      <c r="GU4" t="s">
        <v>1577</v>
      </c>
      <c r="GV4" t="s">
        <v>1578</v>
      </c>
      <c r="GW4" t="s">
        <v>1579</v>
      </c>
      <c r="GX4" t="s">
        <v>1580</v>
      </c>
      <c r="GY4" t="s">
        <v>1581</v>
      </c>
      <c r="GZ4" t="s">
        <v>1582</v>
      </c>
      <c r="HA4" t="s">
        <v>1583</v>
      </c>
      <c r="HB4" t="s">
        <v>1584</v>
      </c>
      <c r="HC4" t="s">
        <v>1585</v>
      </c>
      <c r="HD4" t="s">
        <v>1586</v>
      </c>
      <c r="HE4" t="s">
        <v>1587</v>
      </c>
      <c r="HF4" t="s">
        <v>1588</v>
      </c>
      <c r="HG4" t="s">
        <v>1589</v>
      </c>
      <c r="HH4" t="s">
        <v>1590</v>
      </c>
      <c r="HI4" t="s">
        <v>1591</v>
      </c>
      <c r="HJ4" t="s">
        <v>1592</v>
      </c>
      <c r="HK4" t="s">
        <v>1593</v>
      </c>
      <c r="HL4" t="s">
        <v>1594</v>
      </c>
      <c r="HM4" t="s">
        <v>1595</v>
      </c>
      <c r="HN4" t="s">
        <v>1596</v>
      </c>
      <c r="HO4" t="s">
        <v>1597</v>
      </c>
      <c r="HP4" t="s">
        <v>1598</v>
      </c>
      <c r="HQ4" t="s">
        <v>1599</v>
      </c>
      <c r="HR4" t="s">
        <v>1600</v>
      </c>
      <c r="HS4" t="s">
        <v>1601</v>
      </c>
      <c r="HT4" t="s">
        <v>1602</v>
      </c>
      <c r="HU4" t="s">
        <v>1603</v>
      </c>
      <c r="HV4" t="s">
        <v>1604</v>
      </c>
      <c r="HW4" t="s">
        <v>1605</v>
      </c>
      <c r="HX4" t="s">
        <v>1606</v>
      </c>
      <c r="HY4" t="s">
        <v>1607</v>
      </c>
      <c r="HZ4" t="s">
        <v>1608</v>
      </c>
      <c r="IA4" t="s">
        <v>1609</v>
      </c>
      <c r="IB4" t="s">
        <v>1610</v>
      </c>
      <c r="IC4" t="s">
        <v>1611</v>
      </c>
      <c r="ID4" t="s">
        <v>1612</v>
      </c>
      <c r="IE4" t="s">
        <v>1613</v>
      </c>
      <c r="IF4" t="s">
        <v>1614</v>
      </c>
      <c r="IG4" t="s">
        <v>1615</v>
      </c>
      <c r="IH4" t="s">
        <v>1616</v>
      </c>
      <c r="II4" t="s">
        <v>1617</v>
      </c>
      <c r="IJ4" t="s">
        <v>1618</v>
      </c>
      <c r="IK4" t="s">
        <v>1619</v>
      </c>
      <c r="IL4" t="s">
        <v>1620</v>
      </c>
      <c r="IM4" t="s">
        <v>1621</v>
      </c>
      <c r="IN4" t="s">
        <v>1622</v>
      </c>
      <c r="IO4" t="s">
        <v>1623</v>
      </c>
      <c r="IP4" t="s">
        <v>1624</v>
      </c>
      <c r="IQ4" t="s">
        <v>1625</v>
      </c>
      <c r="IR4" t="s">
        <v>1626</v>
      </c>
      <c r="IS4" t="s">
        <v>1627</v>
      </c>
      <c r="IT4" t="s">
        <v>1628</v>
      </c>
      <c r="IU4" t="s">
        <v>1629</v>
      </c>
      <c r="IV4" t="s">
        <v>1630</v>
      </c>
    </row>
    <row r="5" spans="1:256" x14ac:dyDescent="0.2">
      <c r="A5" t="s">
        <v>1631</v>
      </c>
      <c r="B5" t="s">
        <v>1632</v>
      </c>
      <c r="C5" t="s">
        <v>1633</v>
      </c>
      <c r="D5" t="s">
        <v>1634</v>
      </c>
      <c r="E5" t="s">
        <v>1635</v>
      </c>
      <c r="F5" t="s">
        <v>1636</v>
      </c>
      <c r="G5" t="s">
        <v>1637</v>
      </c>
      <c r="H5" t="s">
        <v>1638</v>
      </c>
      <c r="I5" t="s">
        <v>1639</v>
      </c>
      <c r="J5" t="s">
        <v>1640</v>
      </c>
      <c r="K5" t="s">
        <v>1641</v>
      </c>
      <c r="L5" t="s">
        <v>1642</v>
      </c>
      <c r="M5" t="s">
        <v>1643</v>
      </c>
      <c r="N5" t="s">
        <v>1644</v>
      </c>
      <c r="O5" t="s">
        <v>1645</v>
      </c>
      <c r="P5" t="s">
        <v>1646</v>
      </c>
      <c r="Q5" t="s">
        <v>1647</v>
      </c>
      <c r="R5" t="s">
        <v>1648</v>
      </c>
      <c r="S5" t="s">
        <v>1649</v>
      </c>
      <c r="T5" t="s">
        <v>1650</v>
      </c>
      <c r="U5" t="s">
        <v>1651</v>
      </c>
      <c r="V5" t="s">
        <v>1652</v>
      </c>
      <c r="W5" t="s">
        <v>1653</v>
      </c>
      <c r="X5" t="s">
        <v>1654</v>
      </c>
      <c r="Y5" t="s">
        <v>1655</v>
      </c>
      <c r="Z5" t="s">
        <v>1656</v>
      </c>
      <c r="AA5" t="s">
        <v>1657</v>
      </c>
      <c r="AB5" t="s">
        <v>1658</v>
      </c>
      <c r="AC5" t="s">
        <v>1659</v>
      </c>
      <c r="AD5" t="s">
        <v>1660</v>
      </c>
      <c r="AE5" t="s">
        <v>1661</v>
      </c>
      <c r="AF5" t="s">
        <v>1662</v>
      </c>
      <c r="AG5" t="s">
        <v>1663</v>
      </c>
      <c r="AH5" t="s">
        <v>1664</v>
      </c>
      <c r="AI5" t="s">
        <v>1665</v>
      </c>
      <c r="AJ5" t="s">
        <v>1666</v>
      </c>
      <c r="AK5" t="s">
        <v>1667</v>
      </c>
      <c r="AL5" t="s">
        <v>1668</v>
      </c>
      <c r="AM5" t="s">
        <v>1669</v>
      </c>
      <c r="AN5" t="s">
        <v>1670</v>
      </c>
      <c r="AO5" t="s">
        <v>1671</v>
      </c>
      <c r="AP5" t="s">
        <v>1672</v>
      </c>
      <c r="AQ5" t="s">
        <v>1673</v>
      </c>
      <c r="AR5" t="s">
        <v>1674</v>
      </c>
      <c r="AS5" t="s">
        <v>1675</v>
      </c>
      <c r="AT5" t="s">
        <v>1676</v>
      </c>
      <c r="AU5" t="s">
        <v>1677</v>
      </c>
      <c r="AV5" t="s">
        <v>1678</v>
      </c>
      <c r="AW5" t="s">
        <v>1679</v>
      </c>
      <c r="AX5" t="s">
        <v>1680</v>
      </c>
      <c r="AY5" t="s">
        <v>1681</v>
      </c>
      <c r="AZ5" t="s">
        <v>1682</v>
      </c>
      <c r="BA5" t="s">
        <v>1683</v>
      </c>
      <c r="BB5" t="s">
        <v>1684</v>
      </c>
      <c r="BC5" t="s">
        <v>1685</v>
      </c>
      <c r="BD5" t="s">
        <v>1686</v>
      </c>
      <c r="BE5" t="s">
        <v>1687</v>
      </c>
      <c r="BF5" t="s">
        <v>1688</v>
      </c>
      <c r="BG5" t="s">
        <v>1689</v>
      </c>
      <c r="BH5" t="s">
        <v>1690</v>
      </c>
      <c r="BI5" t="s">
        <v>1691</v>
      </c>
      <c r="BJ5" t="s">
        <v>1692</v>
      </c>
      <c r="BK5" t="s">
        <v>1693</v>
      </c>
      <c r="BL5" t="s">
        <v>1694</v>
      </c>
      <c r="BM5" t="s">
        <v>1695</v>
      </c>
      <c r="BN5" t="s">
        <v>1696</v>
      </c>
      <c r="BO5" t="s">
        <v>1697</v>
      </c>
      <c r="BP5" t="s">
        <v>1698</v>
      </c>
      <c r="BQ5" t="s">
        <v>1699</v>
      </c>
      <c r="BR5" t="s">
        <v>1700</v>
      </c>
      <c r="BS5" t="s">
        <v>1701</v>
      </c>
      <c r="BT5" t="s">
        <v>1702</v>
      </c>
      <c r="BU5" t="s">
        <v>1703</v>
      </c>
      <c r="BV5" t="s">
        <v>1704</v>
      </c>
      <c r="BW5" t="s">
        <v>1705</v>
      </c>
      <c r="BX5" t="s">
        <v>1706</v>
      </c>
      <c r="BY5" t="s">
        <v>1707</v>
      </c>
      <c r="BZ5" t="s">
        <v>1708</v>
      </c>
      <c r="CA5" t="s">
        <v>1709</v>
      </c>
      <c r="CB5" t="s">
        <v>1710</v>
      </c>
      <c r="CC5" t="s">
        <v>1711</v>
      </c>
      <c r="CD5" t="s">
        <v>1712</v>
      </c>
      <c r="CE5" t="s">
        <v>1713</v>
      </c>
      <c r="CF5" t="s">
        <v>1714</v>
      </c>
      <c r="CG5" t="s">
        <v>1715</v>
      </c>
      <c r="CH5" t="s">
        <v>1716</v>
      </c>
      <c r="CI5" t="s">
        <v>1717</v>
      </c>
      <c r="CJ5" t="s">
        <v>1718</v>
      </c>
      <c r="CK5" t="s">
        <v>1719</v>
      </c>
      <c r="CL5" t="s">
        <v>1720</v>
      </c>
      <c r="CM5" t="s">
        <v>1721</v>
      </c>
      <c r="CN5" t="s">
        <v>1722</v>
      </c>
      <c r="CO5" t="s">
        <v>1723</v>
      </c>
      <c r="CP5" t="s">
        <v>1724</v>
      </c>
      <c r="CQ5" t="s">
        <v>1725</v>
      </c>
      <c r="CR5" t="s">
        <v>1726</v>
      </c>
      <c r="CS5" t="s">
        <v>1727</v>
      </c>
      <c r="CT5" t="s">
        <v>1728</v>
      </c>
      <c r="CU5" t="s">
        <v>1729</v>
      </c>
      <c r="CV5" t="s">
        <v>1730</v>
      </c>
      <c r="CW5" t="s">
        <v>1731</v>
      </c>
      <c r="CX5" t="s">
        <v>1732</v>
      </c>
      <c r="CY5" t="s">
        <v>1733</v>
      </c>
      <c r="CZ5" t="s">
        <v>1734</v>
      </c>
      <c r="DA5" t="s">
        <v>1735</v>
      </c>
      <c r="DB5" t="s">
        <v>1736</v>
      </c>
      <c r="DC5" t="s">
        <v>1737</v>
      </c>
      <c r="DD5" t="s">
        <v>1738</v>
      </c>
      <c r="DE5" t="s">
        <v>1739</v>
      </c>
      <c r="DF5" t="s">
        <v>1740</v>
      </c>
      <c r="DG5" t="s">
        <v>1741</v>
      </c>
      <c r="DH5" t="s">
        <v>1742</v>
      </c>
      <c r="DI5" t="s">
        <v>1743</v>
      </c>
      <c r="DJ5" t="s">
        <v>1744</v>
      </c>
      <c r="DK5" t="s">
        <v>1745</v>
      </c>
      <c r="DL5" t="s">
        <v>1746</v>
      </c>
      <c r="DM5" t="s">
        <v>1747</v>
      </c>
      <c r="DN5" t="s">
        <v>1748</v>
      </c>
      <c r="DO5" t="s">
        <v>1749</v>
      </c>
      <c r="DP5" t="s">
        <v>1750</v>
      </c>
      <c r="DQ5" t="s">
        <v>1751</v>
      </c>
      <c r="DR5" t="s">
        <v>1752</v>
      </c>
      <c r="DS5" t="s">
        <v>1753</v>
      </c>
      <c r="DT5" t="s">
        <v>1754</v>
      </c>
      <c r="DU5" t="s">
        <v>1755</v>
      </c>
      <c r="DV5" t="s">
        <v>1756</v>
      </c>
      <c r="DW5" t="s">
        <v>1757</v>
      </c>
      <c r="DX5" t="s">
        <v>1758</v>
      </c>
      <c r="DY5" t="s">
        <v>1759</v>
      </c>
      <c r="DZ5" t="s">
        <v>1760</v>
      </c>
      <c r="EA5" t="s">
        <v>1761</v>
      </c>
      <c r="EB5" t="s">
        <v>1762</v>
      </c>
      <c r="EC5" t="s">
        <v>1763</v>
      </c>
      <c r="ED5" t="s">
        <v>1764</v>
      </c>
      <c r="EE5" t="s">
        <v>1765</v>
      </c>
      <c r="EF5" t="s">
        <v>1766</v>
      </c>
      <c r="EG5" t="s">
        <v>1767</v>
      </c>
      <c r="EH5" t="s">
        <v>1768</v>
      </c>
      <c r="EI5" t="s">
        <v>1769</v>
      </c>
      <c r="EJ5" t="s">
        <v>1770</v>
      </c>
      <c r="EK5" t="s">
        <v>1771</v>
      </c>
      <c r="EL5" t="s">
        <v>1772</v>
      </c>
      <c r="EM5" t="s">
        <v>1773</v>
      </c>
      <c r="EN5" t="s">
        <v>1774</v>
      </c>
      <c r="EO5" t="s">
        <v>1775</v>
      </c>
      <c r="EP5" t="s">
        <v>1776</v>
      </c>
      <c r="EQ5" t="s">
        <v>1777</v>
      </c>
      <c r="ER5" t="s">
        <v>1778</v>
      </c>
      <c r="ES5" t="s">
        <v>1779</v>
      </c>
      <c r="ET5" t="s">
        <v>1780</v>
      </c>
      <c r="EU5" t="s">
        <v>1781</v>
      </c>
      <c r="EV5" t="s">
        <v>1782</v>
      </c>
      <c r="EW5" t="s">
        <v>1783</v>
      </c>
      <c r="EX5" t="s">
        <v>1784</v>
      </c>
      <c r="EY5" t="s">
        <v>1785</v>
      </c>
      <c r="EZ5" t="s">
        <v>1786</v>
      </c>
      <c r="FA5" t="s">
        <v>1787</v>
      </c>
      <c r="FB5" t="s">
        <v>1788</v>
      </c>
      <c r="FC5" t="s">
        <v>1789</v>
      </c>
      <c r="FD5" t="s">
        <v>1790</v>
      </c>
      <c r="FE5" t="s">
        <v>1791</v>
      </c>
      <c r="FF5" t="s">
        <v>1792</v>
      </c>
      <c r="FG5" t="s">
        <v>1793</v>
      </c>
      <c r="FH5" t="s">
        <v>1794</v>
      </c>
      <c r="FI5" t="s">
        <v>1795</v>
      </c>
      <c r="FJ5" t="s">
        <v>1796</v>
      </c>
      <c r="FK5" t="s">
        <v>1797</v>
      </c>
      <c r="FL5" t="s">
        <v>1798</v>
      </c>
      <c r="FM5" t="s">
        <v>1799</v>
      </c>
      <c r="FN5" t="s">
        <v>1800</v>
      </c>
      <c r="FO5" t="s">
        <v>1801</v>
      </c>
      <c r="FP5" t="s">
        <v>1802</v>
      </c>
      <c r="FQ5" t="s">
        <v>1803</v>
      </c>
      <c r="FR5" t="s">
        <v>1804</v>
      </c>
      <c r="FS5" t="s">
        <v>1805</v>
      </c>
      <c r="FT5" t="s">
        <v>1806</v>
      </c>
      <c r="FU5" t="s">
        <v>1807</v>
      </c>
      <c r="FV5" t="s">
        <v>1808</v>
      </c>
      <c r="FW5" t="s">
        <v>1809</v>
      </c>
      <c r="FX5" t="s">
        <v>1810</v>
      </c>
      <c r="FY5" t="s">
        <v>1811</v>
      </c>
      <c r="FZ5" t="s">
        <v>1812</v>
      </c>
      <c r="GA5" t="s">
        <v>1813</v>
      </c>
      <c r="GB5" t="s">
        <v>1814</v>
      </c>
      <c r="GC5" t="s">
        <v>1815</v>
      </c>
      <c r="GD5" t="s">
        <v>1816</v>
      </c>
      <c r="GE5" t="s">
        <v>1817</v>
      </c>
      <c r="GF5" t="s">
        <v>1818</v>
      </c>
      <c r="GG5" t="s">
        <v>1819</v>
      </c>
      <c r="GH5" t="s">
        <v>1820</v>
      </c>
      <c r="GI5" t="s">
        <v>1821</v>
      </c>
      <c r="GJ5" t="s">
        <v>1822</v>
      </c>
      <c r="GK5" t="s">
        <v>1823</v>
      </c>
      <c r="GL5" t="s">
        <v>1824</v>
      </c>
      <c r="GM5" t="s">
        <v>1825</v>
      </c>
      <c r="GN5" t="s">
        <v>1826</v>
      </c>
      <c r="GO5" t="s">
        <v>1827</v>
      </c>
      <c r="GP5" t="s">
        <v>1828</v>
      </c>
      <c r="GQ5" t="s">
        <v>1829</v>
      </c>
      <c r="GR5" t="s">
        <v>1830</v>
      </c>
      <c r="GS5" t="s">
        <v>1831</v>
      </c>
      <c r="GT5" t="s">
        <v>1832</v>
      </c>
      <c r="GU5" t="s">
        <v>1833</v>
      </c>
      <c r="GV5" t="s">
        <v>1834</v>
      </c>
      <c r="GW5" t="s">
        <v>1835</v>
      </c>
      <c r="GX5" t="s">
        <v>1836</v>
      </c>
      <c r="GY5" t="s">
        <v>1837</v>
      </c>
      <c r="GZ5" t="s">
        <v>1838</v>
      </c>
      <c r="HA5" t="s">
        <v>1839</v>
      </c>
      <c r="HB5" t="s">
        <v>1840</v>
      </c>
      <c r="HC5" t="s">
        <v>1841</v>
      </c>
      <c r="HD5" t="s">
        <v>1842</v>
      </c>
      <c r="HE5" t="s">
        <v>1843</v>
      </c>
      <c r="HF5" t="s">
        <v>1844</v>
      </c>
      <c r="HG5" t="s">
        <v>1845</v>
      </c>
      <c r="HH5" t="s">
        <v>1846</v>
      </c>
      <c r="HI5" t="s">
        <v>1847</v>
      </c>
      <c r="HJ5" t="s">
        <v>1848</v>
      </c>
      <c r="HK5" t="s">
        <v>1849</v>
      </c>
      <c r="HL5" t="s">
        <v>1850</v>
      </c>
      <c r="HM5" t="s">
        <v>1851</v>
      </c>
      <c r="HN5" t="s">
        <v>1852</v>
      </c>
      <c r="HO5" t="s">
        <v>1853</v>
      </c>
      <c r="HP5" t="s">
        <v>1854</v>
      </c>
      <c r="HQ5" t="s">
        <v>1855</v>
      </c>
      <c r="HR5" t="s">
        <v>1856</v>
      </c>
      <c r="HS5" t="s">
        <v>1857</v>
      </c>
      <c r="HT5" t="s">
        <v>1858</v>
      </c>
      <c r="HU5" t="s">
        <v>1859</v>
      </c>
      <c r="HV5" t="s">
        <v>1860</v>
      </c>
      <c r="HW5" t="s">
        <v>1861</v>
      </c>
      <c r="HX5" t="s">
        <v>1862</v>
      </c>
      <c r="HY5" t="s">
        <v>1863</v>
      </c>
      <c r="HZ5" t="s">
        <v>1864</v>
      </c>
      <c r="IA5" t="s">
        <v>1865</v>
      </c>
      <c r="IB5" t="s">
        <v>1866</v>
      </c>
      <c r="IC5" t="s">
        <v>1867</v>
      </c>
      <c r="ID5" t="s">
        <v>1868</v>
      </c>
      <c r="IE5" t="s">
        <v>1869</v>
      </c>
      <c r="IF5" t="s">
        <v>1870</v>
      </c>
      <c r="IG5" t="s">
        <v>1871</v>
      </c>
      <c r="IH5" t="s">
        <v>1872</v>
      </c>
      <c r="II5" t="s">
        <v>1873</v>
      </c>
      <c r="IJ5" t="s">
        <v>1874</v>
      </c>
      <c r="IK5" t="s">
        <v>1875</v>
      </c>
      <c r="IL5" t="s">
        <v>1876</v>
      </c>
      <c r="IM5" t="s">
        <v>1877</v>
      </c>
      <c r="IN5" t="s">
        <v>1878</v>
      </c>
      <c r="IO5" t="s">
        <v>1879</v>
      </c>
      <c r="IP5" t="s">
        <v>1880</v>
      </c>
      <c r="IQ5" t="s">
        <v>1881</v>
      </c>
      <c r="IR5" t="s">
        <v>1882</v>
      </c>
      <c r="IS5" t="s">
        <v>1883</v>
      </c>
      <c r="IT5" t="s">
        <v>1884</v>
      </c>
      <c r="IU5" t="s">
        <v>1885</v>
      </c>
      <c r="IV5" t="s">
        <v>1886</v>
      </c>
    </row>
    <row r="6" spans="1:256" x14ac:dyDescent="0.2">
      <c r="A6" t="s">
        <v>1887</v>
      </c>
      <c r="B6" t="s">
        <v>1888</v>
      </c>
      <c r="C6" t="s">
        <v>1889</v>
      </c>
      <c r="D6" t="s">
        <v>1890</v>
      </c>
      <c r="E6" t="s">
        <v>1891</v>
      </c>
      <c r="F6" t="s">
        <v>1892</v>
      </c>
      <c r="G6" t="s">
        <v>1893</v>
      </c>
      <c r="H6" t="s">
        <v>1894</v>
      </c>
      <c r="I6" t="s">
        <v>1895</v>
      </c>
      <c r="J6" t="s">
        <v>1896</v>
      </c>
      <c r="K6" t="s">
        <v>1897</v>
      </c>
      <c r="L6" t="s">
        <v>1898</v>
      </c>
      <c r="M6" t="s">
        <v>1899</v>
      </c>
      <c r="N6" t="s">
        <v>1900</v>
      </c>
      <c r="O6" t="s">
        <v>1901</v>
      </c>
      <c r="P6" t="s">
        <v>1902</v>
      </c>
      <c r="Q6" t="s">
        <v>1903</v>
      </c>
      <c r="R6" t="s">
        <v>1904</v>
      </c>
      <c r="S6" t="s">
        <v>1905</v>
      </c>
      <c r="T6" t="s">
        <v>1906</v>
      </c>
      <c r="U6" t="s">
        <v>1907</v>
      </c>
      <c r="V6" t="s">
        <v>1908</v>
      </c>
      <c r="W6" t="s">
        <v>1909</v>
      </c>
      <c r="X6" t="s">
        <v>1910</v>
      </c>
      <c r="Y6" t="s">
        <v>1911</v>
      </c>
      <c r="Z6" t="s">
        <v>1912</v>
      </c>
      <c r="AA6" t="s">
        <v>1913</v>
      </c>
      <c r="AB6" t="s">
        <v>1914</v>
      </c>
      <c r="AC6" t="s">
        <v>1915</v>
      </c>
      <c r="AD6" t="s">
        <v>1916</v>
      </c>
      <c r="AE6" t="s">
        <v>1917</v>
      </c>
      <c r="AF6" t="s">
        <v>1918</v>
      </c>
      <c r="AG6" t="s">
        <v>1919</v>
      </c>
      <c r="AH6" t="s">
        <v>1920</v>
      </c>
      <c r="AI6" t="s">
        <v>1921</v>
      </c>
      <c r="AJ6" t="s">
        <v>1922</v>
      </c>
      <c r="AK6" t="s">
        <v>1923</v>
      </c>
      <c r="AL6" t="s">
        <v>1924</v>
      </c>
      <c r="AM6" t="s">
        <v>1925</v>
      </c>
      <c r="AN6" t="s">
        <v>1926</v>
      </c>
      <c r="AO6" t="s">
        <v>1927</v>
      </c>
      <c r="AP6" t="s">
        <v>1928</v>
      </c>
      <c r="AQ6" t="s">
        <v>1929</v>
      </c>
      <c r="AR6" t="s">
        <v>1930</v>
      </c>
      <c r="AS6" t="s">
        <v>1931</v>
      </c>
      <c r="AT6" t="s">
        <v>1932</v>
      </c>
      <c r="AU6" t="s">
        <v>1933</v>
      </c>
      <c r="AV6" t="s">
        <v>1934</v>
      </c>
      <c r="AW6" t="s">
        <v>1935</v>
      </c>
      <c r="AX6" t="s">
        <v>1936</v>
      </c>
      <c r="AY6" t="s">
        <v>1937</v>
      </c>
      <c r="AZ6" t="s">
        <v>1938</v>
      </c>
      <c r="BA6" t="s">
        <v>1939</v>
      </c>
      <c r="BB6" t="s">
        <v>1940</v>
      </c>
      <c r="BC6" t="s">
        <v>1941</v>
      </c>
      <c r="BD6" t="s">
        <v>1942</v>
      </c>
      <c r="BE6" t="s">
        <v>1943</v>
      </c>
      <c r="BF6" t="s">
        <v>1944</v>
      </c>
      <c r="BG6" t="s">
        <v>1945</v>
      </c>
      <c r="BH6" t="s">
        <v>1946</v>
      </c>
      <c r="BI6" t="s">
        <v>1947</v>
      </c>
      <c r="BJ6" t="s">
        <v>1948</v>
      </c>
      <c r="BK6" t="s">
        <v>1949</v>
      </c>
      <c r="BL6" t="s">
        <v>1950</v>
      </c>
      <c r="BM6" t="s">
        <v>1951</v>
      </c>
      <c r="BN6" t="s">
        <v>1952</v>
      </c>
      <c r="BO6" t="s">
        <v>1953</v>
      </c>
      <c r="BP6" t="s">
        <v>1954</v>
      </c>
      <c r="BQ6" t="s">
        <v>1955</v>
      </c>
      <c r="BR6" t="s">
        <v>1956</v>
      </c>
      <c r="BS6" t="s">
        <v>1957</v>
      </c>
      <c r="BT6" t="s">
        <v>1958</v>
      </c>
      <c r="BU6" t="s">
        <v>1959</v>
      </c>
      <c r="BV6" t="s">
        <v>1960</v>
      </c>
      <c r="BW6" t="s">
        <v>1961</v>
      </c>
      <c r="BX6" t="s">
        <v>1962</v>
      </c>
      <c r="BY6" t="s">
        <v>1963</v>
      </c>
      <c r="BZ6" t="s">
        <v>1964</v>
      </c>
      <c r="CA6" t="s">
        <v>1965</v>
      </c>
      <c r="CB6" t="s">
        <v>1966</v>
      </c>
      <c r="CC6" t="s">
        <v>1967</v>
      </c>
      <c r="CD6" t="s">
        <v>1968</v>
      </c>
      <c r="CE6" t="s">
        <v>1969</v>
      </c>
      <c r="CF6" t="s">
        <v>1970</v>
      </c>
      <c r="CG6" t="s">
        <v>1971</v>
      </c>
      <c r="CH6" t="s">
        <v>1972</v>
      </c>
      <c r="CI6" t="s">
        <v>1973</v>
      </c>
      <c r="CJ6" t="s">
        <v>1974</v>
      </c>
      <c r="CK6" t="s">
        <v>1975</v>
      </c>
      <c r="CL6" t="s">
        <v>1976</v>
      </c>
      <c r="CM6" t="s">
        <v>1977</v>
      </c>
      <c r="CN6" t="s">
        <v>1978</v>
      </c>
      <c r="CO6" t="s">
        <v>1979</v>
      </c>
      <c r="CP6" t="s">
        <v>1980</v>
      </c>
      <c r="CQ6" t="s">
        <v>1981</v>
      </c>
      <c r="CR6" t="s">
        <v>1982</v>
      </c>
      <c r="CS6" t="s">
        <v>1983</v>
      </c>
      <c r="CT6" t="s">
        <v>1984</v>
      </c>
      <c r="CU6" t="s">
        <v>1985</v>
      </c>
      <c r="CV6" t="s">
        <v>1986</v>
      </c>
      <c r="CW6" t="s">
        <v>1987</v>
      </c>
      <c r="CX6" t="s">
        <v>1988</v>
      </c>
      <c r="CY6" t="s">
        <v>1989</v>
      </c>
      <c r="CZ6" t="s">
        <v>1990</v>
      </c>
      <c r="DA6" t="s">
        <v>1991</v>
      </c>
      <c r="DB6" t="s">
        <v>1992</v>
      </c>
      <c r="DC6" t="s">
        <v>1993</v>
      </c>
      <c r="DD6" t="s">
        <v>1994</v>
      </c>
      <c r="DE6" t="s">
        <v>1995</v>
      </c>
      <c r="DF6" t="s">
        <v>1996</v>
      </c>
      <c r="DG6" t="s">
        <v>1997</v>
      </c>
      <c r="DH6" t="s">
        <v>1998</v>
      </c>
      <c r="DI6" t="s">
        <v>1999</v>
      </c>
      <c r="DJ6" t="s">
        <v>2000</v>
      </c>
      <c r="DK6" t="s">
        <v>2001</v>
      </c>
      <c r="DL6" t="s">
        <v>2002</v>
      </c>
      <c r="DM6" t="s">
        <v>2003</v>
      </c>
      <c r="DN6" t="s">
        <v>2004</v>
      </c>
      <c r="DO6" t="s">
        <v>2005</v>
      </c>
      <c r="DP6" t="s">
        <v>2006</v>
      </c>
      <c r="DQ6" t="s">
        <v>2007</v>
      </c>
      <c r="DR6" t="s">
        <v>2008</v>
      </c>
      <c r="DS6" t="s">
        <v>2009</v>
      </c>
      <c r="DT6" t="s">
        <v>2010</v>
      </c>
      <c r="DU6" t="s">
        <v>2011</v>
      </c>
      <c r="DV6" t="s">
        <v>2012</v>
      </c>
      <c r="DW6" t="s">
        <v>2013</v>
      </c>
      <c r="DX6" t="s">
        <v>2014</v>
      </c>
      <c r="DY6" t="s">
        <v>2015</v>
      </c>
      <c r="DZ6" t="s">
        <v>2016</v>
      </c>
      <c r="EA6" t="s">
        <v>2017</v>
      </c>
      <c r="EB6" t="s">
        <v>2018</v>
      </c>
      <c r="EC6" t="s">
        <v>2019</v>
      </c>
      <c r="ED6" t="s">
        <v>2020</v>
      </c>
      <c r="EE6" t="s">
        <v>2021</v>
      </c>
      <c r="EF6" t="s">
        <v>2022</v>
      </c>
      <c r="EG6" t="s">
        <v>2023</v>
      </c>
      <c r="EH6" t="s">
        <v>2024</v>
      </c>
      <c r="EI6" t="s">
        <v>2025</v>
      </c>
      <c r="EJ6" t="s">
        <v>2026</v>
      </c>
      <c r="EK6" t="s">
        <v>2027</v>
      </c>
      <c r="EL6" t="s">
        <v>2028</v>
      </c>
      <c r="EM6" t="s">
        <v>2029</v>
      </c>
      <c r="EN6" t="s">
        <v>2030</v>
      </c>
      <c r="EO6" t="s">
        <v>2031</v>
      </c>
      <c r="EP6" t="s">
        <v>2032</v>
      </c>
      <c r="EQ6" t="s">
        <v>2033</v>
      </c>
      <c r="ER6" t="s">
        <v>2034</v>
      </c>
      <c r="ES6" t="s">
        <v>2035</v>
      </c>
      <c r="ET6" t="s">
        <v>2036</v>
      </c>
      <c r="EU6" t="s">
        <v>2037</v>
      </c>
      <c r="EV6" t="s">
        <v>2038</v>
      </c>
      <c r="EW6" t="s">
        <v>2039</v>
      </c>
      <c r="EX6" t="s">
        <v>2040</v>
      </c>
      <c r="EY6" t="s">
        <v>2041</v>
      </c>
      <c r="EZ6" t="s">
        <v>2042</v>
      </c>
      <c r="FA6" t="s">
        <v>2043</v>
      </c>
      <c r="FB6" t="s">
        <v>2044</v>
      </c>
      <c r="FC6" t="s">
        <v>2045</v>
      </c>
      <c r="FD6" t="s">
        <v>2046</v>
      </c>
      <c r="FE6" t="s">
        <v>2047</v>
      </c>
      <c r="FF6" t="s">
        <v>2048</v>
      </c>
      <c r="FG6" t="s">
        <v>2049</v>
      </c>
      <c r="FH6" t="s">
        <v>2050</v>
      </c>
      <c r="FI6" t="s">
        <v>2051</v>
      </c>
      <c r="FJ6" t="s">
        <v>2052</v>
      </c>
      <c r="FK6" t="s">
        <v>2053</v>
      </c>
      <c r="FL6" t="s">
        <v>2054</v>
      </c>
      <c r="FM6" t="s">
        <v>2055</v>
      </c>
      <c r="FN6" t="s">
        <v>2056</v>
      </c>
      <c r="FO6" t="s">
        <v>2057</v>
      </c>
      <c r="FP6" t="s">
        <v>2058</v>
      </c>
      <c r="FQ6" t="s">
        <v>2059</v>
      </c>
      <c r="FR6" t="s">
        <v>2060</v>
      </c>
      <c r="FS6" t="s">
        <v>2061</v>
      </c>
      <c r="FT6" t="s">
        <v>2062</v>
      </c>
      <c r="FU6" t="s">
        <v>2063</v>
      </c>
      <c r="FV6" t="s">
        <v>2064</v>
      </c>
      <c r="FW6" t="s">
        <v>2065</v>
      </c>
      <c r="FX6" t="s">
        <v>2066</v>
      </c>
      <c r="FY6" t="s">
        <v>2067</v>
      </c>
      <c r="FZ6" t="s">
        <v>2068</v>
      </c>
      <c r="GA6" t="s">
        <v>2069</v>
      </c>
      <c r="GB6" t="s">
        <v>2070</v>
      </c>
      <c r="GC6" t="s">
        <v>2071</v>
      </c>
      <c r="GD6" t="s">
        <v>2072</v>
      </c>
      <c r="GE6" t="s">
        <v>2073</v>
      </c>
      <c r="GF6" t="s">
        <v>2074</v>
      </c>
      <c r="GG6" t="s">
        <v>2075</v>
      </c>
      <c r="GH6" t="s">
        <v>2076</v>
      </c>
      <c r="GI6" t="s">
        <v>2077</v>
      </c>
      <c r="GJ6" t="s">
        <v>2078</v>
      </c>
      <c r="GK6" t="s">
        <v>2079</v>
      </c>
      <c r="GL6" t="s">
        <v>2080</v>
      </c>
      <c r="GM6" t="s">
        <v>2081</v>
      </c>
      <c r="GN6" t="s">
        <v>2082</v>
      </c>
      <c r="GO6" t="s">
        <v>2083</v>
      </c>
      <c r="GP6" t="s">
        <v>2084</v>
      </c>
      <c r="GQ6" t="s">
        <v>2085</v>
      </c>
      <c r="GR6" t="s">
        <v>2086</v>
      </c>
      <c r="GS6" t="s">
        <v>2087</v>
      </c>
      <c r="GT6" t="s">
        <v>2088</v>
      </c>
      <c r="GU6" t="s">
        <v>2089</v>
      </c>
      <c r="GV6" t="s">
        <v>2090</v>
      </c>
      <c r="GW6" t="s">
        <v>2091</v>
      </c>
      <c r="GX6" t="s">
        <v>2092</v>
      </c>
      <c r="GY6" t="s">
        <v>2093</v>
      </c>
      <c r="GZ6" t="s">
        <v>2094</v>
      </c>
      <c r="HA6" t="s">
        <v>2095</v>
      </c>
      <c r="HB6" t="s">
        <v>2096</v>
      </c>
      <c r="HC6" t="s">
        <v>2097</v>
      </c>
      <c r="HD6" t="s">
        <v>2098</v>
      </c>
      <c r="HE6" t="s">
        <v>2099</v>
      </c>
      <c r="HF6" t="s">
        <v>2100</v>
      </c>
      <c r="HG6" t="s">
        <v>2101</v>
      </c>
      <c r="HH6" t="s">
        <v>2102</v>
      </c>
      <c r="HI6" t="s">
        <v>2103</v>
      </c>
      <c r="HJ6" t="s">
        <v>2104</v>
      </c>
      <c r="HK6" t="s">
        <v>2105</v>
      </c>
      <c r="HL6" t="s">
        <v>2106</v>
      </c>
      <c r="HM6" t="s">
        <v>2107</v>
      </c>
      <c r="HN6" t="s">
        <v>2108</v>
      </c>
      <c r="HO6" t="s">
        <v>2109</v>
      </c>
      <c r="HP6" t="s">
        <v>2110</v>
      </c>
      <c r="HQ6" t="s">
        <v>2111</v>
      </c>
      <c r="HR6" t="s">
        <v>2112</v>
      </c>
      <c r="HS6" t="s">
        <v>2113</v>
      </c>
      <c r="HT6" t="s">
        <v>2114</v>
      </c>
      <c r="HU6" t="s">
        <v>2115</v>
      </c>
      <c r="HV6" t="s">
        <v>2116</v>
      </c>
      <c r="HW6" t="s">
        <v>2117</v>
      </c>
      <c r="HX6" t="s">
        <v>2118</v>
      </c>
      <c r="HY6" t="s">
        <v>2119</v>
      </c>
      <c r="HZ6" t="s">
        <v>2120</v>
      </c>
      <c r="IA6" t="s">
        <v>2121</v>
      </c>
      <c r="IB6" t="s">
        <v>2122</v>
      </c>
      <c r="IC6" t="s">
        <v>2123</v>
      </c>
      <c r="ID6" t="s">
        <v>2124</v>
      </c>
      <c r="IE6" t="s">
        <v>2125</v>
      </c>
      <c r="IF6" t="s">
        <v>2126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  <pageSetUpPr fitToPage="1"/>
  </sheetPr>
  <dimension ref="A1:BN537"/>
  <sheetViews>
    <sheetView showGridLines="0" tabSelected="1" zoomScale="85" zoomScaleNormal="85" zoomScaleSheetLayoutView="100" workbookViewId="0">
      <pane xSplit="1" ySplit="1" topLeftCell="B2" activePane="bottomRight" state="frozen"/>
      <selection activeCell="F51" sqref="F51"/>
      <selection pane="topRight" activeCell="F51" sqref="F51"/>
      <selection pane="bottomLeft" activeCell="F51" sqref="F51"/>
      <selection pane="bottomRight" activeCell="K6" sqref="K6"/>
    </sheetView>
  </sheetViews>
  <sheetFormatPr defaultColWidth="9.140625" defaultRowHeight="12.75" x14ac:dyDescent="0.2"/>
  <cols>
    <col min="1" max="1" width="34.5703125" bestFit="1" customWidth="1"/>
    <col min="2" max="13" width="13.28515625" customWidth="1"/>
    <col min="14" max="14" width="5.85546875" style="59" customWidth="1"/>
    <col min="15" max="18" width="9.140625" style="42"/>
    <col min="19" max="19" width="9.140625" style="42" customWidth="1"/>
    <col min="20" max="21" width="9.140625" style="59" customWidth="1"/>
    <col min="22" max="66" width="9.140625" style="59"/>
    <col min="67" max="16384" width="9.140625" style="42"/>
  </cols>
  <sheetData>
    <row r="1" spans="1:66" ht="12.75" customHeight="1" thickBot="1" x14ac:dyDescent="0.25">
      <c r="A1" s="3" t="s">
        <v>605</v>
      </c>
      <c r="B1" s="32" t="str">
        <f t="shared" ref="B1:L1" si="0">"FY"&amp;RIGHT(YEAR(B2),2)</f>
        <v>FY15</v>
      </c>
      <c r="C1" s="32" t="str">
        <f t="shared" si="0"/>
        <v>FY16</v>
      </c>
      <c r="D1" s="32" t="str">
        <f t="shared" si="0"/>
        <v>FY17</v>
      </c>
      <c r="E1" s="32" t="str">
        <f t="shared" si="0"/>
        <v>FY18</v>
      </c>
      <c r="F1" s="32" t="str">
        <f t="shared" si="0"/>
        <v>FY19</v>
      </c>
      <c r="G1" s="32" t="str">
        <f t="shared" si="0"/>
        <v>FY20</v>
      </c>
      <c r="H1" s="32" t="str">
        <f t="shared" si="0"/>
        <v>FY21</v>
      </c>
      <c r="I1" s="32" t="str">
        <f t="shared" si="0"/>
        <v>FY22</v>
      </c>
      <c r="J1" s="32" t="str">
        <f t="shared" si="0"/>
        <v>FY23</v>
      </c>
      <c r="K1" s="32" t="str">
        <f t="shared" si="0"/>
        <v>FY24</v>
      </c>
      <c r="L1" s="32" t="str">
        <f t="shared" si="0"/>
        <v>FY25</v>
      </c>
      <c r="M1" s="32" t="s">
        <v>266</v>
      </c>
      <c r="N1" s="42"/>
      <c r="S1" s="3"/>
      <c r="T1" s="2"/>
      <c r="U1" s="3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spans="1:66" ht="12.75" customHeight="1" thickTop="1" x14ac:dyDescent="0.2">
      <c r="A2" s="3" t="s">
        <v>408</v>
      </c>
      <c r="B2" s="23">
        <f>_xll.ciqfunctions.udf.CIQ(InputTicker, "IQ_PERIODDATE",Input!D$2,Date)</f>
        <v>42154</v>
      </c>
      <c r="C2" s="23">
        <f>_xll.ciqfunctions.udf.CIQ(InputTicker, "IQ_PERIODDATE",Input!E$2,Date)</f>
        <v>42518</v>
      </c>
      <c r="D2" s="23">
        <f>_xll.ciqfunctions.udf.CIQ(InputTicker, "IQ_PERIODDATE",Input!F$2,Date)</f>
        <v>42889</v>
      </c>
      <c r="E2" s="23">
        <f>_xll.ciqfunctions.udf.CIQ(InputTicker, "IQ_PERIODDATE",Input!G$2,Date)</f>
        <v>43253</v>
      </c>
      <c r="F2" s="23">
        <f>_xll.ciqfunctions.udf.CIQ(InputTicker, "IQ_PERIODDATE",Input!H$2,Date)</f>
        <v>43617</v>
      </c>
      <c r="G2" s="23">
        <f>_xll.ciqfunctions.udf.CIQ(InputTicker, "IQ_PERIODDATE",Input!I$2,Date)</f>
        <v>43981</v>
      </c>
      <c r="H2" s="23">
        <f>_xll.ciqfunctions.udf.CIQ(InputTicker, "IQ_PERIODDATE",Input!J$2,Date)</f>
        <v>44345</v>
      </c>
      <c r="I2" s="23">
        <f>_xll.ciqfunctions.udf.CIQ(InputTicker, "IQ_PERIODDATE",Input!K$2,Date)</f>
        <v>44709</v>
      </c>
      <c r="J2" s="23">
        <f>_xll.ciqfunctions.udf.CIQ(InputTicker, "IQ_PERIODDATE",Input!L$2,Date)</f>
        <v>45080</v>
      </c>
      <c r="K2" s="23">
        <f>_xll.ciqfunctions.udf.CIQ(InputTicker, "IQ_PERIODDATE",Input!M$2,Date)</f>
        <v>45444</v>
      </c>
      <c r="L2" s="23">
        <f>_xll.ciqfunctions.udf.CIQ(InputTicker, "IQ_PERIODDATE",Input!N$2,Date)</f>
        <v>45808</v>
      </c>
      <c r="M2" s="23">
        <f>_xll.ciqfunctions.udf.CIQ(InputTicker, "IQ_PERIODDATE",Input!O$2,Date)</f>
        <v>45990</v>
      </c>
      <c r="N2" s="42"/>
      <c r="S2" s="44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</row>
    <row r="3" spans="1:66" ht="12.75" customHeight="1" x14ac:dyDescent="0.2">
      <c r="A3" s="1" t="s">
        <v>57</v>
      </c>
      <c r="B3" s="4">
        <f>_xll.ciqfunctions.udf.CIQ(InputTicker, "IQ_REV",Input!D$2,Date,,,Ccy,Conv)</f>
        <v>1576.1279999999999</v>
      </c>
      <c r="C3" s="4">
        <f>_xll.ciqfunctions.udf.CIQ(InputTicker, "IQ_REV",Input!E$2,Date,,,Ccy,Conv)</f>
        <v>1908.65</v>
      </c>
      <c r="D3" s="41">
        <f>_xll.ciqfunctions.udf.CIQ(InputTicker, "IQ_REV",Input!F$2,Date,,,Ccy,Conv)</f>
        <v>1074.5129999999999</v>
      </c>
      <c r="E3" s="4">
        <f>_xll.ciqfunctions.udf.CIQ(InputTicker, "IQ_REV",Input!G$2,Date,,,Ccy,Conv)</f>
        <v>1502.932</v>
      </c>
      <c r="F3" s="4">
        <f>_xll.ciqfunctions.udf.CIQ(InputTicker, "IQ_REV",Input!H$2,Date,,,Ccy,Conv)</f>
        <v>1361.1880000000001</v>
      </c>
      <c r="G3" s="4">
        <f>_xll.ciqfunctions.udf.CIQ(InputTicker, "IQ_REV",Input!I$2,Date,,,Ccy,Conv)</f>
        <v>1351.6089999999999</v>
      </c>
      <c r="H3" s="4">
        <f>_xll.ciqfunctions.udf.CIQ(InputTicker, "IQ_REV",Input!J$2,Date,,,Ccy,Conv)</f>
        <v>1348.9870000000001</v>
      </c>
      <c r="I3" s="4">
        <f>_xll.ciqfunctions.udf.CIQ(InputTicker, "IQ_REV",Input!K$2,Date,,,Ccy,Conv)</f>
        <v>1777.1590000000001</v>
      </c>
      <c r="J3" s="4">
        <f>_xll.ciqfunctions.udf.CIQ(InputTicker, "IQ_REV",Input!L$2,Date,,,Ccy,Conv)</f>
        <v>3146.2170000000001</v>
      </c>
      <c r="K3" s="4">
        <f>_xll.ciqfunctions.udf.CIQ(InputTicker, "IQ_REV",Input!M$2,Date,,,Ccy,Conv)</f>
        <v>2326.4430000000002</v>
      </c>
      <c r="L3" s="4">
        <f>_xll.ciqfunctions.udf.CIQ(InputTicker, "IQ_REV",Input!N$2,Date,,,Ccy,Conv)</f>
        <v>4261.8850000000002</v>
      </c>
      <c r="M3" s="4">
        <f>_xll.ciqfunctions.udf.CIQ(InputTicker, "IQ_REV",Input!O$2,Date,,,Ccy,Conv)</f>
        <v>4213.4430000000002</v>
      </c>
      <c r="N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</row>
    <row r="4" spans="1:66" ht="12.75" customHeight="1" x14ac:dyDescent="0.2">
      <c r="A4" s="1" t="s">
        <v>157</v>
      </c>
      <c r="B4" s="4">
        <f>_xll.ciqfunctions.udf.CIQ(InputTicker,"IQ_FIN_DIV_REV",Input!D$2,Date,,,Ccy,Conv)</f>
        <v>0</v>
      </c>
      <c r="C4" s="4">
        <f>_xll.ciqfunctions.udf.CIQ(InputTicker,"IQ_FIN_DIV_REV",Input!E$2,Date,,,Ccy,Conv)</f>
        <v>0</v>
      </c>
      <c r="D4" s="4">
        <f>_xll.ciqfunctions.udf.CIQ(InputTicker,"IQ_FIN_DIV_REV",Input!F$2,Date,,,Ccy,Conv)</f>
        <v>0</v>
      </c>
      <c r="E4" s="4">
        <f>_xll.ciqfunctions.udf.CIQ(InputTicker,"IQ_FIN_DIV_REV",Input!G$2,Date,,,Ccy,Conv)</f>
        <v>0</v>
      </c>
      <c r="F4" s="4">
        <f>_xll.ciqfunctions.udf.CIQ(InputTicker,"IQ_FIN_DIV_REV",Input!H$2,Date,,,Ccy,Conv)</f>
        <v>0</v>
      </c>
      <c r="G4" s="4">
        <f>_xll.ciqfunctions.udf.CIQ(InputTicker,"IQ_FIN_DIV_REV",Input!I$2,Date,,,Ccy,Conv)</f>
        <v>0</v>
      </c>
      <c r="H4" s="4">
        <f>_xll.ciqfunctions.udf.CIQ(InputTicker,"IQ_FIN_DIV_REV",Input!J$2,Date,,,Ccy,Conv)</f>
        <v>0</v>
      </c>
      <c r="I4" s="4">
        <f>_xll.ciqfunctions.udf.CIQ(InputTicker,"IQ_FIN_DIV_REV",Input!K$2,Date,,,Ccy,Conv)</f>
        <v>0</v>
      </c>
      <c r="J4" s="4">
        <f>_xll.ciqfunctions.udf.CIQ(InputTicker,"IQ_FIN_DIV_REV",Input!L$2,Date,,,Ccy,Conv)</f>
        <v>0</v>
      </c>
      <c r="K4" s="4">
        <f>_xll.ciqfunctions.udf.CIQ(InputTicker,"IQ_FIN_DIV_REV",Input!M$2,Date,,,Ccy,Conv)</f>
        <v>0</v>
      </c>
      <c r="L4" s="4">
        <f>_xll.ciqfunctions.udf.CIQ(InputTicker,"IQ_FIN_DIV_REV",Input!N$2,Date,,,Ccy,Conv)</f>
        <v>0</v>
      </c>
      <c r="M4" s="4">
        <f>_xll.ciqfunctions.udf.CIQ(InputTicker,"IQ_FIN_DIV_REV",Input!O$2,Date,,,Ccy,Conv)</f>
        <v>0</v>
      </c>
      <c r="N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</row>
    <row r="5" spans="1:66" ht="12.75" customHeight="1" x14ac:dyDescent="0.2">
      <c r="A5" s="1" t="s">
        <v>158</v>
      </c>
      <c r="B5" s="4">
        <f>_xll.ciqfunctions.udf.CIQ(InputTicker, "IQ_INS_DIV_REV",Input!D$2,Date,,,Ccy,Conv)</f>
        <v>0</v>
      </c>
      <c r="C5" s="4">
        <f>_xll.ciqfunctions.udf.CIQ(InputTicker, "IQ_INS_DIV_REV",Input!E$2,Date,,,Ccy,Conv)</f>
        <v>0</v>
      </c>
      <c r="D5" s="4">
        <f>_xll.ciqfunctions.udf.CIQ(InputTicker, "IQ_INS_DIV_REV",Input!F$2,Date,,,Ccy,Conv)</f>
        <v>0</v>
      </c>
      <c r="E5" s="4">
        <f>_xll.ciqfunctions.udf.CIQ(InputTicker, "IQ_INS_DIV_REV",Input!G$2,Date,,,Ccy,Conv)</f>
        <v>0</v>
      </c>
      <c r="F5" s="4">
        <f>_xll.ciqfunctions.udf.CIQ(InputTicker, "IQ_INS_DIV_REV",Input!H$2,Date,,,Ccy,Conv)</f>
        <v>0</v>
      </c>
      <c r="G5" s="4">
        <f>_xll.ciqfunctions.udf.CIQ(InputTicker, "IQ_INS_DIV_REV",Input!I$2,Date,,,Ccy,Conv)</f>
        <v>0</v>
      </c>
      <c r="H5" s="4">
        <f>_xll.ciqfunctions.udf.CIQ(InputTicker, "IQ_INS_DIV_REV",Input!J$2,Date,,,Ccy,Conv)</f>
        <v>0</v>
      </c>
      <c r="I5" s="4">
        <f>_xll.ciqfunctions.udf.CIQ(InputTicker, "IQ_INS_DIV_REV",Input!K$2,Date,,,Ccy,Conv)</f>
        <v>0</v>
      </c>
      <c r="J5" s="4">
        <f>_xll.ciqfunctions.udf.CIQ(InputTicker, "IQ_INS_DIV_REV",Input!L$2,Date,,,Ccy,Conv)</f>
        <v>0</v>
      </c>
      <c r="K5" s="4">
        <f>_xll.ciqfunctions.udf.CIQ(InputTicker, "IQ_INS_DIV_REV",Input!M$2,Date,,,Ccy,Conv)</f>
        <v>0</v>
      </c>
      <c r="L5" s="4">
        <f>_xll.ciqfunctions.udf.CIQ(InputTicker, "IQ_INS_DIV_REV",Input!N$2,Date,,,Ccy,Conv)</f>
        <v>0</v>
      </c>
      <c r="M5" s="4">
        <f>_xll.ciqfunctions.udf.CIQ(InputTicker, "IQ_INS_DIV_REV",Input!O$2,Date,,,Ccy,Conv)</f>
        <v>0</v>
      </c>
      <c r="N5" s="42"/>
      <c r="P5" s="45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</row>
    <row r="6" spans="1:66" ht="12.75" customHeight="1" x14ac:dyDescent="0.2">
      <c r="A6" s="1" t="s">
        <v>276</v>
      </c>
      <c r="B6" s="4">
        <f>_xll.ciqfunctions.udf.CIQ(InputTicker, "IQ_GAIN_ASSETS_REV",Input!D$2,Date,,,Ccy,Conv)</f>
        <v>0</v>
      </c>
      <c r="C6" s="4">
        <f>_xll.ciqfunctions.udf.CIQ(InputTicker, "IQ_GAIN_ASSETS_REV",Input!E$2,Date,,,Ccy,Conv)</f>
        <v>0</v>
      </c>
      <c r="D6" s="4">
        <f>_xll.ciqfunctions.udf.CIQ(InputTicker, "IQ_GAIN_ASSETS_REV",Input!F$2,Date,,,Ccy,Conv)</f>
        <v>0</v>
      </c>
      <c r="E6" s="4">
        <f>_xll.ciqfunctions.udf.CIQ(InputTicker, "IQ_GAIN_ASSETS_REV",Input!G$2,Date,,,Ccy,Conv)</f>
        <v>0</v>
      </c>
      <c r="F6" s="4">
        <f>_xll.ciqfunctions.udf.CIQ(InputTicker, "IQ_GAIN_ASSETS_REV",Input!H$2,Date,,,Ccy,Conv)</f>
        <v>0</v>
      </c>
      <c r="G6" s="4">
        <f>_xll.ciqfunctions.udf.CIQ(InputTicker, "IQ_GAIN_ASSETS_REV",Input!I$2,Date,,,Ccy,Conv)</f>
        <v>0</v>
      </c>
      <c r="H6" s="4">
        <f>_xll.ciqfunctions.udf.CIQ(InputTicker, "IQ_GAIN_ASSETS_REV",Input!J$2,Date,,,Ccy,Conv)</f>
        <v>0</v>
      </c>
      <c r="I6" s="4">
        <f>_xll.ciqfunctions.udf.CIQ(InputTicker, "IQ_GAIN_ASSETS_REV",Input!K$2,Date,,,Ccy,Conv)</f>
        <v>0</v>
      </c>
      <c r="J6" s="4">
        <f>_xll.ciqfunctions.udf.CIQ(InputTicker, "IQ_GAIN_ASSETS_REV",Input!L$2,Date,,,Ccy,Conv)</f>
        <v>0</v>
      </c>
      <c r="K6" s="4">
        <f>_xll.ciqfunctions.udf.CIQ(InputTicker, "IQ_GAIN_ASSETS_REV",Input!M$2,Date,,,Ccy,Conv)</f>
        <v>0</v>
      </c>
      <c r="L6" s="4">
        <f>_xll.ciqfunctions.udf.CIQ(InputTicker, "IQ_GAIN_ASSETS_REV",Input!N$2,Date,,,Ccy,Conv)</f>
        <v>0</v>
      </c>
      <c r="M6" s="4">
        <f>_xll.ciqfunctions.udf.CIQ(InputTicker, "IQ_GAIN_ASSETS_REV",Input!O$2,Date,,,Ccy,Conv)</f>
        <v>0</v>
      </c>
      <c r="N6" s="42"/>
      <c r="P6" s="45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</row>
    <row r="7" spans="1:66" ht="12.75" customHeight="1" x14ac:dyDescent="0.2">
      <c r="A7" s="1" t="s">
        <v>277</v>
      </c>
      <c r="B7" s="4">
        <f>_xll.ciqfunctions.udf.CIQ(InputTicker, "IQ_GAIN_INVEST_REV",Input!D$2,Date,,,Ccy,Conv)</f>
        <v>0</v>
      </c>
      <c r="C7" s="4">
        <f>_xll.ciqfunctions.udf.CIQ(InputTicker, "IQ_GAIN_INVEST_REV",Input!E$2,Date,,,Ccy,Conv)</f>
        <v>0</v>
      </c>
      <c r="D7" s="4">
        <f>_xll.ciqfunctions.udf.CIQ(InputTicker, "IQ_GAIN_INVEST_REV",Input!F$2,Date,,,Ccy,Conv)</f>
        <v>0</v>
      </c>
      <c r="E7" s="4">
        <f>_xll.ciqfunctions.udf.CIQ(InputTicker, "IQ_GAIN_INVEST_REV",Input!G$2,Date,,,Ccy,Conv)</f>
        <v>0</v>
      </c>
      <c r="F7" s="4">
        <f>_xll.ciqfunctions.udf.CIQ(InputTicker, "IQ_GAIN_INVEST_REV",Input!H$2,Date,,,Ccy,Conv)</f>
        <v>0</v>
      </c>
      <c r="G7" s="4">
        <f>_xll.ciqfunctions.udf.CIQ(InputTicker, "IQ_GAIN_INVEST_REV",Input!I$2,Date,,,Ccy,Conv)</f>
        <v>0</v>
      </c>
      <c r="H7" s="4">
        <f>_xll.ciqfunctions.udf.CIQ(InputTicker, "IQ_GAIN_INVEST_REV",Input!J$2,Date,,,Ccy,Conv)</f>
        <v>0</v>
      </c>
      <c r="I7" s="4">
        <f>_xll.ciqfunctions.udf.CIQ(InputTicker, "IQ_GAIN_INVEST_REV",Input!K$2,Date,,,Ccy,Conv)</f>
        <v>0</v>
      </c>
      <c r="J7" s="4">
        <f>_xll.ciqfunctions.udf.CIQ(InputTicker, "IQ_GAIN_INVEST_REV",Input!L$2,Date,,,Ccy,Conv)</f>
        <v>0</v>
      </c>
      <c r="K7" s="4">
        <f>_xll.ciqfunctions.udf.CIQ(InputTicker, "IQ_GAIN_INVEST_REV",Input!M$2,Date,,,Ccy,Conv)</f>
        <v>0</v>
      </c>
      <c r="L7" s="4">
        <f>_xll.ciqfunctions.udf.CIQ(InputTicker, "IQ_GAIN_INVEST_REV",Input!N$2,Date,,,Ccy,Conv)</f>
        <v>0</v>
      </c>
      <c r="M7" s="4">
        <f>_xll.ciqfunctions.udf.CIQ(InputTicker, "IQ_GAIN_INVEST_REV",Input!O$2,Date,,,Ccy,Conv)</f>
        <v>0</v>
      </c>
      <c r="N7" s="42"/>
      <c r="P7" s="45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 t="s">
        <v>604</v>
      </c>
      <c r="AH7" s="42" t="s">
        <v>604</v>
      </c>
      <c r="AI7" s="42"/>
      <c r="AJ7" s="42" t="s">
        <v>604</v>
      </c>
      <c r="AK7" s="42" t="s">
        <v>604</v>
      </c>
      <c r="AL7" s="42"/>
      <c r="AM7" s="42" t="s">
        <v>604</v>
      </c>
      <c r="AN7" s="42" t="s">
        <v>604</v>
      </c>
      <c r="AO7" s="42"/>
      <c r="AP7" s="42" t="s">
        <v>604</v>
      </c>
      <c r="AQ7" s="42" t="s">
        <v>604</v>
      </c>
      <c r="AR7" s="42"/>
      <c r="AS7" s="42" t="s">
        <v>604</v>
      </c>
      <c r="AT7" s="42" t="s">
        <v>604</v>
      </c>
      <c r="AU7" s="42"/>
      <c r="AV7" s="42" t="s">
        <v>604</v>
      </c>
      <c r="AW7" s="42" t="s">
        <v>604</v>
      </c>
      <c r="AX7" s="42"/>
      <c r="AY7" s="42" t="s">
        <v>604</v>
      </c>
      <c r="AZ7" s="42" t="s">
        <v>604</v>
      </c>
      <c r="BA7" s="42"/>
      <c r="BB7" s="42" t="s">
        <v>604</v>
      </c>
      <c r="BC7" s="42" t="s">
        <v>604</v>
      </c>
      <c r="BD7" s="42"/>
      <c r="BE7" s="42" t="s">
        <v>604</v>
      </c>
      <c r="BF7" s="42" t="s">
        <v>604</v>
      </c>
      <c r="BG7" s="42"/>
      <c r="BH7" s="42" t="s">
        <v>604</v>
      </c>
      <c r="BI7" s="42" t="s">
        <v>604</v>
      </c>
      <c r="BJ7" s="42"/>
      <c r="BK7" s="42" t="s">
        <v>604</v>
      </c>
      <c r="BL7" s="42" t="s">
        <v>604</v>
      </c>
      <c r="BM7" s="42"/>
      <c r="BN7" s="42"/>
    </row>
    <row r="8" spans="1:66" ht="12.75" customHeight="1" x14ac:dyDescent="0.2">
      <c r="A8" s="1" t="s">
        <v>159</v>
      </c>
      <c r="B8" s="4">
        <f>_xll.ciqfunctions.udf.CIQ(InputTicker, "IQ_INT_INV_INC",Input!D$2,Date,,,Ccy,Conv)</f>
        <v>0</v>
      </c>
      <c r="C8" s="4">
        <f>_xll.ciqfunctions.udf.CIQ(InputTicker, "IQ_INT_INV_INC",Input!E$2,Date,,,Ccy,Conv)</f>
        <v>0</v>
      </c>
      <c r="D8" s="4">
        <f>_xll.ciqfunctions.udf.CIQ(InputTicker, "IQ_INT_INV_INC",Input!F$2,Date,,,Ccy,Conv)</f>
        <v>0</v>
      </c>
      <c r="E8" s="4">
        <f>_xll.ciqfunctions.udf.CIQ(InputTicker, "IQ_INT_INV_INC",Input!G$2,Date,,,Ccy,Conv)</f>
        <v>0</v>
      </c>
      <c r="F8" s="4">
        <f>_xll.ciqfunctions.udf.CIQ(InputTicker, "IQ_INT_INV_INC",Input!H$2,Date,,,Ccy,Conv)</f>
        <v>0</v>
      </c>
      <c r="G8" s="4">
        <f>_xll.ciqfunctions.udf.CIQ(InputTicker, "IQ_INT_INV_INC",Input!I$2,Date,,,Ccy,Conv)</f>
        <v>0</v>
      </c>
      <c r="H8" s="4">
        <f>_xll.ciqfunctions.udf.CIQ(InputTicker, "IQ_INT_INV_INC",Input!J$2,Date,,,Ccy,Conv)</f>
        <v>0</v>
      </c>
      <c r="I8" s="4">
        <f>_xll.ciqfunctions.udf.CIQ(InputTicker, "IQ_INT_INV_INC",Input!K$2,Date,,,Ccy,Conv)</f>
        <v>0</v>
      </c>
      <c r="J8" s="4">
        <f>_xll.ciqfunctions.udf.CIQ(InputTicker, "IQ_INT_INV_INC",Input!L$2,Date,,,Ccy,Conv)</f>
        <v>0</v>
      </c>
      <c r="K8" s="4">
        <f>_xll.ciqfunctions.udf.CIQ(InputTicker, "IQ_INT_INV_INC",Input!M$2,Date,,,Ccy,Conv)</f>
        <v>0</v>
      </c>
      <c r="L8" s="4">
        <f>_xll.ciqfunctions.udf.CIQ(InputTicker, "IQ_INT_INV_INC",Input!N$2,Date,,,Ccy,Conv)</f>
        <v>0</v>
      </c>
      <c r="M8" s="4">
        <f>_xll.ciqfunctions.udf.CIQ(InputTicker, "IQ_INT_INV_INC",Input!O$2,Date,,,Ccy,Conv)</f>
        <v>0</v>
      </c>
      <c r="N8" s="42"/>
      <c r="P8" s="45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</row>
    <row r="9" spans="1:66" ht="12.75" customHeight="1" x14ac:dyDescent="0.2">
      <c r="A9" s="1" t="s">
        <v>123</v>
      </c>
      <c r="B9" s="4">
        <f>_xll.ciqfunctions.udf.CIQ(InputTicker, "IQ_OTHER_REV_SUPPL",Input!D$2,Date,,,Ccy,Conv)</f>
        <v>0</v>
      </c>
      <c r="C9" s="4">
        <f>_xll.ciqfunctions.udf.CIQ(InputTicker, "IQ_OTHER_REV_SUPPL",Input!E$2,Date,,,Ccy,Conv)</f>
        <v>0</v>
      </c>
      <c r="D9" s="4">
        <f>_xll.ciqfunctions.udf.CIQ(InputTicker, "IQ_OTHER_REV_SUPPL",Input!F$2,Date,,,Ccy,Conv)</f>
        <v>0</v>
      </c>
      <c r="E9" s="4">
        <f>_xll.ciqfunctions.udf.CIQ(InputTicker, "IQ_OTHER_REV_SUPPL",Input!G$2,Date,,,Ccy,Conv)</f>
        <v>0</v>
      </c>
      <c r="F9" s="4">
        <f>_xll.ciqfunctions.udf.CIQ(InputTicker, "IQ_OTHER_REV_SUPPL",Input!H$2,Date,,,Ccy,Conv)</f>
        <v>0</v>
      </c>
      <c r="G9" s="4">
        <f>_xll.ciqfunctions.udf.CIQ(InputTicker, "IQ_OTHER_REV_SUPPL",Input!I$2,Date,,,Ccy,Conv)</f>
        <v>0</v>
      </c>
      <c r="H9" s="4">
        <f>_xll.ciqfunctions.udf.CIQ(InputTicker, "IQ_OTHER_REV_SUPPL",Input!J$2,Date,,,Ccy,Conv)</f>
        <v>0</v>
      </c>
      <c r="I9" s="4">
        <f>_xll.ciqfunctions.udf.CIQ(InputTicker, "IQ_OTHER_REV_SUPPL",Input!K$2,Date,,,Ccy,Conv)</f>
        <v>0</v>
      </c>
      <c r="J9" s="4">
        <f>_xll.ciqfunctions.udf.CIQ(InputTicker, "IQ_OTHER_REV_SUPPL",Input!L$2,Date,,,Ccy,Conv)</f>
        <v>0</v>
      </c>
      <c r="K9" s="4">
        <f>_xll.ciqfunctions.udf.CIQ(InputTicker, "IQ_OTHER_REV_SUPPL",Input!M$2,Date,,,Ccy,Conv)</f>
        <v>0</v>
      </c>
      <c r="L9" s="4">
        <f>_xll.ciqfunctions.udf.CIQ(InputTicker, "IQ_OTHER_REV_SUPPL",Input!N$2,Date,,,Ccy,Conv)</f>
        <v>0</v>
      </c>
      <c r="M9" s="4">
        <f>_xll.ciqfunctions.udf.CIQ(InputTicker, "IQ_OTHER_REV_SUPPL",Input!O$2,Date,,,Ccy,Conv)</f>
        <v>0</v>
      </c>
      <c r="N9" s="42"/>
      <c r="P9" s="45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</row>
    <row r="10" spans="1:66" ht="12.75" customHeight="1" x14ac:dyDescent="0.2">
      <c r="A10" s="5" t="s">
        <v>58</v>
      </c>
      <c r="B10" s="6">
        <f>_xll.ciqfunctions.udf.CIQ(InputTicker, "IQ_TOTAL_REV",Input!D$2,Date,,,Ccy,Conv)</f>
        <v>1576.1279999999999</v>
      </c>
      <c r="C10" s="6">
        <f>_xll.ciqfunctions.udf.CIQ(InputTicker, "IQ_TOTAL_REV",Input!E$2,Date,,,Ccy,Conv)</f>
        <v>1908.65</v>
      </c>
      <c r="D10" s="6">
        <f>_xll.ciqfunctions.udf.CIQ(InputTicker, "IQ_TOTAL_REV",Input!F$2,Date,,,Ccy,Conv)</f>
        <v>1074.5129999999999</v>
      </c>
      <c r="E10" s="6">
        <f>_xll.ciqfunctions.udf.CIQ(InputTicker, "IQ_TOTAL_REV",Input!G$2,Date,,,Ccy,Conv)</f>
        <v>1502.932</v>
      </c>
      <c r="F10" s="6">
        <f>_xll.ciqfunctions.udf.CIQ(InputTicker, "IQ_TOTAL_REV",Input!H$2,Date,,,Ccy,Conv)</f>
        <v>1361.1880000000001</v>
      </c>
      <c r="G10" s="6">
        <f>_xll.ciqfunctions.udf.CIQ(InputTicker, "IQ_TOTAL_REV",Input!I$2,Date,,,Ccy,Conv)</f>
        <v>1351.6089999999999</v>
      </c>
      <c r="H10" s="6">
        <f>_xll.ciqfunctions.udf.CIQ(InputTicker, "IQ_TOTAL_REV",Input!J$2,Date,,,Ccy,Conv)</f>
        <v>1348.9870000000001</v>
      </c>
      <c r="I10" s="6">
        <f>_xll.ciqfunctions.udf.CIQ(InputTicker, "IQ_TOTAL_REV",Input!K$2,Date,,,Ccy,Conv)</f>
        <v>1777.1590000000001</v>
      </c>
      <c r="J10" s="6">
        <f>_xll.ciqfunctions.udf.CIQ(InputTicker, "IQ_TOTAL_REV",Input!L$2,Date,,,Ccy,Conv)</f>
        <v>3146.2170000000001</v>
      </c>
      <c r="K10" s="6">
        <f>_xll.ciqfunctions.udf.CIQ(InputTicker, "IQ_TOTAL_REV",Input!M$2,Date,,,Ccy,Conv)</f>
        <v>2326.4430000000002</v>
      </c>
      <c r="L10" s="6">
        <f>_xll.ciqfunctions.udf.CIQ(InputTicker, "IQ_TOTAL_REV",Input!N$2,Date,,,Ccy,Conv)</f>
        <v>4261.8850000000002</v>
      </c>
      <c r="M10" s="6">
        <f>_xll.ciqfunctions.udf.CIQ(InputTicker, "IQ_TOTAL_REV",Input!O$2,Date,,,Ccy,Conv)</f>
        <v>4213.4430000000002</v>
      </c>
      <c r="N10" s="46"/>
      <c r="P10" s="45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</row>
    <row r="11" spans="1:66" ht="12.75" customHeight="1" x14ac:dyDescent="0.2">
      <c r="A11" s="1" t="s">
        <v>124</v>
      </c>
      <c r="B11" s="4">
        <f>_xll.ciqfunctions.udf.CIQ(InputTicker, "IQ_COGS",Input!D$2,Date,,,Ccy,Conv)</f>
        <v>1180.4069999999999</v>
      </c>
      <c r="C11" s="4">
        <f>_xll.ciqfunctions.udf.CIQ(InputTicker, "IQ_COGS",Input!E$2,Date,,,Ccy,Conv)</f>
        <v>1260.576</v>
      </c>
      <c r="D11" s="4">
        <f>_xll.ciqfunctions.udf.CIQ(InputTicker, "IQ_COGS",Input!F$2,Date,,,Ccy,Conv)</f>
        <v>1028.963</v>
      </c>
      <c r="E11" s="4">
        <f>_xll.ciqfunctions.udf.CIQ(InputTicker, "IQ_COGS",Input!G$2,Date,,,Ccy,Conv)</f>
        <v>1141.886</v>
      </c>
      <c r="F11" s="4">
        <f>_xll.ciqfunctions.udf.CIQ(InputTicker, "IQ_COGS",Input!H$2,Date,,,Ccy,Conv)</f>
        <v>1138.329</v>
      </c>
      <c r="G11" s="4">
        <f>_xll.ciqfunctions.udf.CIQ(InputTicker, "IQ_COGS",Input!I$2,Date,,,Ccy,Conv)</f>
        <v>1172.021</v>
      </c>
      <c r="H11" s="4">
        <f>_xll.ciqfunctions.udf.CIQ(InputTicker, "IQ_COGS",Input!J$2,Date,,,Ccy,Conv)</f>
        <v>1188.326</v>
      </c>
      <c r="I11" s="4">
        <f>_xll.ciqfunctions.udf.CIQ(InputTicker, "IQ_COGS",Input!K$2,Date,,,Ccy,Conv)</f>
        <v>1440.1</v>
      </c>
      <c r="J11" s="4">
        <f>_xll.ciqfunctions.udf.CIQ(InputTicker, "IQ_COGS",Input!L$2,Date,,,Ccy,Conv)</f>
        <v>1949.76</v>
      </c>
      <c r="K11" s="4">
        <f>_xll.ciqfunctions.udf.CIQ(InputTicker, "IQ_COGS",Input!M$2,Date,,,Ccy,Conv)</f>
        <v>1784.8720000000001</v>
      </c>
      <c r="L11" s="4">
        <f>_xll.ciqfunctions.udf.CIQ(InputTicker, "IQ_COGS",Input!N$2,Date,,,Ccy,Conv)</f>
        <v>2411</v>
      </c>
      <c r="M11" s="4">
        <f>_xll.ciqfunctions.udf.CIQ(InputTicker, "IQ_COGS",Input!O$2,Date,,,Ccy,Conv)</f>
        <v>2447.1179999999999</v>
      </c>
      <c r="N11" s="46"/>
      <c r="P11" s="45"/>
      <c r="Q11" s="46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</row>
    <row r="12" spans="1:66" ht="12.75" customHeight="1" x14ac:dyDescent="0.2">
      <c r="A12" s="1" t="s">
        <v>160</v>
      </c>
      <c r="B12" s="4">
        <f>_xll.ciqfunctions.udf.CIQ(InputTicker, "IQ_FIN_DIV_EXP",Input!D$2,Date,,,Ccy,Conv)</f>
        <v>0</v>
      </c>
      <c r="C12" s="4">
        <f>_xll.ciqfunctions.udf.CIQ(InputTicker, "IQ_FIN_DIV_EXP",Input!E$2,Date,,,Ccy,Conv)</f>
        <v>0</v>
      </c>
      <c r="D12" s="4">
        <f>_xll.ciqfunctions.udf.CIQ(InputTicker, "IQ_FIN_DIV_EXP",Input!F$2,Date,,,Ccy,Conv)</f>
        <v>0</v>
      </c>
      <c r="E12" s="4">
        <f>_xll.ciqfunctions.udf.CIQ(InputTicker, "IQ_FIN_DIV_EXP",Input!G$2,Date,,,Ccy,Conv)</f>
        <v>0</v>
      </c>
      <c r="F12" s="4">
        <f>_xll.ciqfunctions.udf.CIQ(InputTicker, "IQ_FIN_DIV_EXP",Input!H$2,Date,,,Ccy,Conv)</f>
        <v>0</v>
      </c>
      <c r="G12" s="4">
        <f>_xll.ciqfunctions.udf.CIQ(InputTicker, "IQ_FIN_DIV_EXP",Input!I$2,Date,,,Ccy,Conv)</f>
        <v>0</v>
      </c>
      <c r="H12" s="4">
        <f>_xll.ciqfunctions.udf.CIQ(InputTicker, "IQ_FIN_DIV_EXP",Input!J$2,Date,,,Ccy,Conv)</f>
        <v>0</v>
      </c>
      <c r="I12" s="4">
        <f>_xll.ciqfunctions.udf.CIQ(InputTicker, "IQ_FIN_DIV_EXP",Input!K$2,Date,,,Ccy,Conv)</f>
        <v>0</v>
      </c>
      <c r="J12" s="4">
        <f>_xll.ciqfunctions.udf.CIQ(InputTicker, "IQ_FIN_DIV_EXP",Input!L$2,Date,,,Ccy,Conv)</f>
        <v>0</v>
      </c>
      <c r="K12" s="4">
        <f>_xll.ciqfunctions.udf.CIQ(InputTicker, "IQ_FIN_DIV_EXP",Input!M$2,Date,,,Ccy,Conv)</f>
        <v>0</v>
      </c>
      <c r="L12" s="4">
        <f>_xll.ciqfunctions.udf.CIQ(InputTicker, "IQ_FIN_DIV_EXP",Input!N$2,Date,,,Ccy,Conv)</f>
        <v>0</v>
      </c>
      <c r="M12" s="4">
        <f>_xll.ciqfunctions.udf.CIQ(InputTicker, "IQ_FIN_DIV_EXP",Input!O$2,Date,,,Ccy,Conv)</f>
        <v>0</v>
      </c>
      <c r="N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</row>
    <row r="13" spans="1:66" ht="12.75" customHeight="1" x14ac:dyDescent="0.2">
      <c r="A13" s="1" t="s">
        <v>161</v>
      </c>
      <c r="B13" s="4">
        <f>_xll.ciqfunctions.udf.CIQ(InputTicker, "IQ_INS_DIV_EXP",Input!D$2,Date,,,Ccy,Conv)</f>
        <v>0</v>
      </c>
      <c r="C13" s="4">
        <f>_xll.ciqfunctions.udf.CIQ(InputTicker, "IQ_INS_DIV_EXP",Input!E$2,Date,,,Ccy,Conv)</f>
        <v>0</v>
      </c>
      <c r="D13" s="4">
        <f>_xll.ciqfunctions.udf.CIQ(InputTicker, "IQ_INS_DIV_EXP",Input!F$2,Date,,,Ccy,Conv)</f>
        <v>0</v>
      </c>
      <c r="E13" s="4">
        <f>_xll.ciqfunctions.udf.CIQ(InputTicker, "IQ_INS_DIV_EXP",Input!G$2,Date,,,Ccy,Conv)</f>
        <v>0</v>
      </c>
      <c r="F13" s="4">
        <f>_xll.ciqfunctions.udf.CIQ(InputTicker, "IQ_INS_DIV_EXP",Input!H$2,Date,,,Ccy,Conv)</f>
        <v>0</v>
      </c>
      <c r="G13" s="4">
        <f>_xll.ciqfunctions.udf.CIQ(InputTicker, "IQ_INS_DIV_EXP",Input!I$2,Date,,,Ccy,Conv)</f>
        <v>0</v>
      </c>
      <c r="H13" s="4">
        <f>_xll.ciqfunctions.udf.CIQ(InputTicker, "IQ_INS_DIV_EXP",Input!J$2,Date,,,Ccy,Conv)</f>
        <v>0</v>
      </c>
      <c r="I13" s="4">
        <f>_xll.ciqfunctions.udf.CIQ(InputTicker, "IQ_INS_DIV_EXP",Input!K$2,Date,,,Ccy,Conv)</f>
        <v>0</v>
      </c>
      <c r="J13" s="4">
        <f>_xll.ciqfunctions.udf.CIQ(InputTicker, "IQ_INS_DIV_EXP",Input!L$2,Date,,,Ccy,Conv)</f>
        <v>0</v>
      </c>
      <c r="K13" s="4">
        <f>_xll.ciqfunctions.udf.CIQ(InputTicker, "IQ_INS_DIV_EXP",Input!M$2,Date,,,Ccy,Conv)</f>
        <v>0</v>
      </c>
      <c r="L13" s="4">
        <f>_xll.ciqfunctions.udf.CIQ(InputTicker, "IQ_INS_DIV_EXP",Input!N$2,Date,,,Ccy,Conv)</f>
        <v>0</v>
      </c>
      <c r="M13" s="4">
        <f>_xll.ciqfunctions.udf.CIQ(InputTicker, "IQ_INS_DIV_EXP",Input!O$2,Date,,,Ccy,Conv)</f>
        <v>0</v>
      </c>
      <c r="N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</row>
    <row r="14" spans="1:66" ht="12.75" customHeight="1" x14ac:dyDescent="0.2">
      <c r="A14" s="1" t="s">
        <v>162</v>
      </c>
      <c r="B14" s="4">
        <f>_xll.ciqfunctions.udf.CIQ(InputTicker, "IQ_FIN_DIV_INT_EXP",Input!D$2,Date,,,Ccy,Conv)</f>
        <v>0</v>
      </c>
      <c r="C14" s="4">
        <f>_xll.ciqfunctions.udf.CIQ(InputTicker, "IQ_FIN_DIV_INT_EXP",Input!E$2,Date,,,Ccy,Conv)</f>
        <v>0</v>
      </c>
      <c r="D14" s="4">
        <f>_xll.ciqfunctions.udf.CIQ(InputTicker, "IQ_FIN_DIV_INT_EXP",Input!F$2,Date,,,Ccy,Conv)</f>
        <v>0</v>
      </c>
      <c r="E14" s="4">
        <f>_xll.ciqfunctions.udf.CIQ(InputTicker, "IQ_FIN_DIV_INT_EXP",Input!G$2,Date,,,Ccy,Conv)</f>
        <v>0</v>
      </c>
      <c r="F14" s="4">
        <f>_xll.ciqfunctions.udf.CIQ(InputTicker, "IQ_FIN_DIV_INT_EXP",Input!H$2,Date,,,Ccy,Conv)</f>
        <v>0</v>
      </c>
      <c r="G14" s="4">
        <f>_xll.ciqfunctions.udf.CIQ(InputTicker, "IQ_FIN_DIV_INT_EXP",Input!I$2,Date,,,Ccy,Conv)</f>
        <v>0</v>
      </c>
      <c r="H14" s="4">
        <f>_xll.ciqfunctions.udf.CIQ(InputTicker, "IQ_FIN_DIV_INT_EXP",Input!J$2,Date,,,Ccy,Conv)</f>
        <v>0</v>
      </c>
      <c r="I14" s="4">
        <f>_xll.ciqfunctions.udf.CIQ(InputTicker, "IQ_FIN_DIV_INT_EXP",Input!K$2,Date,,,Ccy,Conv)</f>
        <v>0</v>
      </c>
      <c r="J14" s="4">
        <f>_xll.ciqfunctions.udf.CIQ(InputTicker, "IQ_FIN_DIV_INT_EXP",Input!L$2,Date,,,Ccy,Conv)</f>
        <v>0</v>
      </c>
      <c r="K14" s="4">
        <f>_xll.ciqfunctions.udf.CIQ(InputTicker, "IQ_FIN_DIV_INT_EXP",Input!M$2,Date,,,Ccy,Conv)</f>
        <v>0</v>
      </c>
      <c r="L14" s="4">
        <f>_xll.ciqfunctions.udf.CIQ(InputTicker, "IQ_FIN_DIV_INT_EXP",Input!N$2,Date,,,Ccy,Conv)</f>
        <v>0</v>
      </c>
      <c r="M14" s="4">
        <f>_xll.ciqfunctions.udf.CIQ(InputTicker, "IQ_FIN_DIV_INT_EXP",Input!O$2,Date,,,Ccy,Conv)</f>
        <v>0</v>
      </c>
      <c r="N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</row>
    <row r="15" spans="1:66" ht="12.75" customHeight="1" x14ac:dyDescent="0.2">
      <c r="A15" s="5" t="s">
        <v>53</v>
      </c>
      <c r="B15" s="6">
        <f>_xll.ciqfunctions.udf.CIQ(InputTicker, "IQ_GP",Input!D$2,Date,,,Ccy,Conv)</f>
        <v>395.721</v>
      </c>
      <c r="C15" s="6">
        <f>_xll.ciqfunctions.udf.CIQ(InputTicker, "IQ_GP",Input!E$2,Date,,,Ccy,Conv)</f>
        <v>648.07399999999996</v>
      </c>
      <c r="D15" s="6">
        <f>_xll.ciqfunctions.udf.CIQ(InputTicker, "IQ_GP",Input!F$2,Date,,,Ccy,Conv)</f>
        <v>45.55</v>
      </c>
      <c r="E15" s="6">
        <f>_xll.ciqfunctions.udf.CIQ(InputTicker, "IQ_GP",Input!G$2,Date,,,Ccy,Conv)</f>
        <v>361.04599999999999</v>
      </c>
      <c r="F15" s="6">
        <f>_xll.ciqfunctions.udf.CIQ(InputTicker, "IQ_GP",Input!H$2,Date,,,Ccy,Conv)</f>
        <v>222.85900000000001</v>
      </c>
      <c r="G15" s="6">
        <f>_xll.ciqfunctions.udf.CIQ(InputTicker, "IQ_GP",Input!I$2,Date,,,Ccy,Conv)</f>
        <v>179.58799999999999</v>
      </c>
      <c r="H15" s="6">
        <f>_xll.ciqfunctions.udf.CIQ(InputTicker, "IQ_GP",Input!J$2,Date,,,Ccy,Conv)</f>
        <v>160.661</v>
      </c>
      <c r="I15" s="6">
        <f>_xll.ciqfunctions.udf.CIQ(InputTicker, "IQ_GP",Input!K$2,Date,,,Ccy,Conv)</f>
        <v>337.05900000000003</v>
      </c>
      <c r="J15" s="6">
        <f>_xll.ciqfunctions.udf.CIQ(InputTicker, "IQ_GP",Input!L$2,Date,,,Ccy,Conv)</f>
        <v>1196.4570000000001</v>
      </c>
      <c r="K15" s="6">
        <f>_xll.ciqfunctions.udf.CIQ(InputTicker, "IQ_GP",Input!M$2,Date,,,Ccy,Conv)</f>
        <v>541.57100000000003</v>
      </c>
      <c r="L15" s="6">
        <f>_xll.ciqfunctions.udf.CIQ(InputTicker, "IQ_GP",Input!N$2,Date,,,Ccy,Conv)</f>
        <v>1850.885</v>
      </c>
      <c r="M15" s="6">
        <f>_xll.ciqfunctions.udf.CIQ(InputTicker, "IQ_GP",Input!O$2,Date,,,Ccy,Conv)</f>
        <v>1766.325</v>
      </c>
      <c r="N15" s="46"/>
      <c r="P15" s="46"/>
      <c r="Q15" s="46"/>
      <c r="R15" s="46"/>
      <c r="T15" s="42"/>
      <c r="U15" s="42"/>
      <c r="V15" s="46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</row>
    <row r="16" spans="1:66" ht="12.75" customHeight="1" x14ac:dyDescent="0.2">
      <c r="A16" s="1" t="s">
        <v>125</v>
      </c>
      <c r="B16" s="4">
        <f>_xll.ciqfunctions.udf.CIQ(InputTicker, "IQ_SGA_SUPPL",Input!D$2,Date,,,Ccy,Conv)</f>
        <v>160.386</v>
      </c>
      <c r="C16" s="4">
        <f>_xll.ciqfunctions.udf.CIQ(InputTicker, "IQ_SGA_SUPPL",Input!E$2,Date,,,Ccy,Conv)</f>
        <v>177.76</v>
      </c>
      <c r="D16" s="4">
        <f>_xll.ciqfunctions.udf.CIQ(InputTicker, "IQ_SGA_SUPPL",Input!F$2,Date,,,Ccy,Conv)</f>
        <v>176.03200000000001</v>
      </c>
      <c r="E16" s="4">
        <f>_xll.ciqfunctions.udf.CIQ(InputTicker, "IQ_SGA_SUPPL",Input!G$2,Date,,,Ccy,Conv)</f>
        <v>179.316</v>
      </c>
      <c r="F16" s="4">
        <f>_xll.ciqfunctions.udf.CIQ(InputTicker, "IQ_SGA_SUPPL",Input!H$2,Date,,,Ccy,Conv)</f>
        <v>177.04499999999999</v>
      </c>
      <c r="G16" s="4">
        <f>_xll.ciqfunctions.udf.CIQ(InputTicker, "IQ_SGA_SUPPL",Input!I$2,Date,,,Ccy,Conv)</f>
        <v>178.23699999999999</v>
      </c>
      <c r="H16" s="4">
        <f>_xll.ciqfunctions.udf.CIQ(InputTicker, "IQ_SGA_SUPPL",Input!J$2,Date,,,Ccy,Conv)</f>
        <v>183.94300000000001</v>
      </c>
      <c r="I16" s="4">
        <f>_xll.ciqfunctions.udf.CIQ(InputTicker, "IQ_SGA_SUPPL",Input!K$2,Date,,,Ccy,Conv)</f>
        <v>198.631</v>
      </c>
      <c r="J16" s="4">
        <f>_xll.ciqfunctions.udf.CIQ(InputTicker, "IQ_SGA_SUPPL",Input!L$2,Date,,,Ccy,Conv)</f>
        <v>232.20699999999999</v>
      </c>
      <c r="K16" s="4">
        <f>_xll.ciqfunctions.udf.CIQ(InputTicker, "IQ_SGA_SUPPL",Input!M$2,Date,,,Ccy,Conv)</f>
        <v>227.477</v>
      </c>
      <c r="L16" s="4">
        <f>_xll.ciqfunctions.udf.CIQ(InputTicker, "IQ_SGA_SUPPL",Input!N$2,Date,,,Ccy,Conv)</f>
        <v>299.44900000000001</v>
      </c>
      <c r="M16" s="4">
        <f>_xll.ciqfunctions.udf.CIQ(InputTicker, "IQ_SGA_SUPPL",Input!O$2,Date,,,Ccy,Conv)</f>
        <v>310.19099999999997</v>
      </c>
      <c r="N16" s="46"/>
      <c r="P16" s="46"/>
      <c r="Q16" s="46"/>
      <c r="R16" s="46"/>
      <c r="T16" s="42"/>
      <c r="U16" s="42"/>
      <c r="V16" s="46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</row>
    <row r="17" spans="1:66" ht="12.75" customHeight="1" x14ac:dyDescent="0.2">
      <c r="A17" s="1" t="s">
        <v>209</v>
      </c>
      <c r="B17" s="4">
        <f>_xll.ciqfunctions.udf.CIQ(InputTicker, "IQ_EXPLORE_DRILL",Input!D$2,Date,,,Ccy,Conv)</f>
        <v>0</v>
      </c>
      <c r="C17" s="4">
        <f>_xll.ciqfunctions.udf.CIQ(InputTicker, "IQ_EXPLORE_DRILL",Input!E$2,Date,,,Ccy,Conv)</f>
        <v>0</v>
      </c>
      <c r="D17" s="4">
        <f>_xll.ciqfunctions.udf.CIQ(InputTicker, "IQ_EXPLORE_DRILL",Input!F$2,Date,,,Ccy,Conv)</f>
        <v>0</v>
      </c>
      <c r="E17" s="4">
        <f>_xll.ciqfunctions.udf.CIQ(InputTicker, "IQ_EXPLORE_DRILL",Input!G$2,Date,,,Ccy,Conv)</f>
        <v>0</v>
      </c>
      <c r="F17" s="4">
        <f>_xll.ciqfunctions.udf.CIQ(InputTicker, "IQ_EXPLORE_DRILL",Input!H$2,Date,,,Ccy,Conv)</f>
        <v>0</v>
      </c>
      <c r="G17" s="4">
        <f>_xll.ciqfunctions.udf.CIQ(InputTicker, "IQ_EXPLORE_DRILL",Input!I$2,Date,,,Ccy,Conv)</f>
        <v>0</v>
      </c>
      <c r="H17" s="4">
        <f>_xll.ciqfunctions.udf.CIQ(InputTicker, "IQ_EXPLORE_DRILL",Input!J$2,Date,,,Ccy,Conv)</f>
        <v>0</v>
      </c>
      <c r="I17" s="4">
        <f>_xll.ciqfunctions.udf.CIQ(InputTicker, "IQ_EXPLORE_DRILL",Input!K$2,Date,,,Ccy,Conv)</f>
        <v>0</v>
      </c>
      <c r="J17" s="4">
        <f>_xll.ciqfunctions.udf.CIQ(InputTicker, "IQ_EXPLORE_DRILL",Input!L$2,Date,,,Ccy,Conv)</f>
        <v>0</v>
      </c>
      <c r="K17" s="4">
        <f>_xll.ciqfunctions.udf.CIQ(InputTicker, "IQ_EXPLORE_DRILL",Input!M$2,Date,,,Ccy,Conv)</f>
        <v>0</v>
      </c>
      <c r="L17" s="4">
        <f>_xll.ciqfunctions.udf.CIQ(InputTicker, "IQ_EXPLORE_DRILL",Input!N$2,Date,,,Ccy,Conv)</f>
        <v>0</v>
      </c>
      <c r="M17" s="4">
        <f>_xll.ciqfunctions.udf.CIQ(InputTicker, "IQ_EXPLORE_DRILL",Input!O$2,Date,,,Ccy,Conv)</f>
        <v>0</v>
      </c>
      <c r="N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</row>
    <row r="18" spans="1:66" ht="12.75" customHeight="1" x14ac:dyDescent="0.2">
      <c r="A18" s="1" t="s">
        <v>210</v>
      </c>
      <c r="B18" s="4">
        <f>_xll.ciqfunctions.udf.CIQ(InputTicker, "IQ_PROV_BAD_DEBTS",Input!D$2,Date,,,Ccy,Conv)</f>
        <v>0</v>
      </c>
      <c r="C18" s="4">
        <f>_xll.ciqfunctions.udf.CIQ(InputTicker, "IQ_PROV_BAD_DEBTS",Input!E$2,Date,,,Ccy,Conv)</f>
        <v>0</v>
      </c>
      <c r="D18" s="4">
        <f>_xll.ciqfunctions.udf.CIQ(InputTicker, "IQ_PROV_BAD_DEBTS",Input!F$2,Date,,,Ccy,Conv)</f>
        <v>0</v>
      </c>
      <c r="E18" s="4">
        <f>_xll.ciqfunctions.udf.CIQ(InputTicker, "IQ_PROV_BAD_DEBTS",Input!G$2,Date,,,Ccy,Conv)</f>
        <v>0</v>
      </c>
      <c r="F18" s="4">
        <f>_xll.ciqfunctions.udf.CIQ(InputTicker, "IQ_PROV_BAD_DEBTS",Input!H$2,Date,,,Ccy,Conv)</f>
        <v>0</v>
      </c>
      <c r="G18" s="4">
        <f>_xll.ciqfunctions.udf.CIQ(InputTicker, "IQ_PROV_BAD_DEBTS",Input!I$2,Date,,,Ccy,Conv)</f>
        <v>0</v>
      </c>
      <c r="H18" s="4">
        <f>_xll.ciqfunctions.udf.CIQ(InputTicker, "IQ_PROV_BAD_DEBTS",Input!J$2,Date,,,Ccy,Conv)</f>
        <v>0</v>
      </c>
      <c r="I18" s="4">
        <f>_xll.ciqfunctions.udf.CIQ(InputTicker, "IQ_PROV_BAD_DEBTS",Input!K$2,Date,,,Ccy,Conv)</f>
        <v>0</v>
      </c>
      <c r="J18" s="4">
        <f>_xll.ciqfunctions.udf.CIQ(InputTicker, "IQ_PROV_BAD_DEBTS",Input!L$2,Date,,,Ccy,Conv)</f>
        <v>0</v>
      </c>
      <c r="K18" s="4">
        <f>_xll.ciqfunctions.udf.CIQ(InputTicker, "IQ_PROV_BAD_DEBTS",Input!M$2,Date,,,Ccy,Conv)</f>
        <v>0</v>
      </c>
      <c r="L18" s="4">
        <f>_xll.ciqfunctions.udf.CIQ(InputTicker, "IQ_PROV_BAD_DEBTS",Input!N$2,Date,,,Ccy,Conv)</f>
        <v>0</v>
      </c>
      <c r="M18" s="4">
        <f>_xll.ciqfunctions.udf.CIQ(InputTicker, "IQ_PROV_BAD_DEBTS",Input!O$2,Date,,,Ccy,Conv)</f>
        <v>0</v>
      </c>
      <c r="N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</row>
    <row r="19" spans="1:66" ht="12.75" customHeight="1" x14ac:dyDescent="0.2">
      <c r="A19" s="1" t="s">
        <v>203</v>
      </c>
      <c r="B19" s="4">
        <f>_xll.ciqfunctions.udf.CIQ(InputTicker, "IQ_STOCK_BASED",Input!D$2,Date,,,Ccy,Conv)</f>
        <v>0</v>
      </c>
      <c r="C19" s="4">
        <f>_xll.ciqfunctions.udf.CIQ(InputTicker, "IQ_STOCK_BASED",Input!E$2,Date,,,Ccy,Conv)</f>
        <v>0</v>
      </c>
      <c r="D19" s="4">
        <f>_xll.ciqfunctions.udf.CIQ(InputTicker, "IQ_STOCK_BASED",Input!F$2,Date,,,Ccy,Conv)</f>
        <v>0</v>
      </c>
      <c r="E19" s="4">
        <f>_xll.ciqfunctions.udf.CIQ(InputTicker, "IQ_STOCK_BASED",Input!G$2,Date,,,Ccy,Conv)</f>
        <v>0</v>
      </c>
      <c r="F19" s="4">
        <f>_xll.ciqfunctions.udf.CIQ(InputTicker, "IQ_STOCK_BASED",Input!H$2,Date,,,Ccy,Conv)</f>
        <v>0</v>
      </c>
      <c r="G19" s="4">
        <f>_xll.ciqfunctions.udf.CIQ(InputTicker, "IQ_STOCK_BASED",Input!I$2,Date,,,Ccy,Conv)</f>
        <v>0</v>
      </c>
      <c r="H19" s="4">
        <f>_xll.ciqfunctions.udf.CIQ(InputTicker, "IQ_STOCK_BASED",Input!J$2,Date,,,Ccy,Conv)</f>
        <v>0</v>
      </c>
      <c r="I19" s="4">
        <f>_xll.ciqfunctions.udf.CIQ(InputTicker, "IQ_STOCK_BASED",Input!K$2,Date,,,Ccy,Conv)</f>
        <v>0</v>
      </c>
      <c r="J19" s="4">
        <f>_xll.ciqfunctions.udf.CIQ(InputTicker, "IQ_STOCK_BASED",Input!L$2,Date,,,Ccy,Conv)</f>
        <v>0</v>
      </c>
      <c r="K19" s="4">
        <f>_xll.ciqfunctions.udf.CIQ(InputTicker, "IQ_STOCK_BASED",Input!M$2,Date,,,Ccy,Conv)</f>
        <v>0</v>
      </c>
      <c r="L19" s="4">
        <f>_xll.ciqfunctions.udf.CIQ(InputTicker, "IQ_STOCK_BASED",Input!N$2,Date,,,Ccy,Conv)</f>
        <v>0</v>
      </c>
      <c r="M19" s="4">
        <f>_xll.ciqfunctions.udf.CIQ(InputTicker, "IQ_STOCK_BASED",Input!O$2,Date,,,Ccy,Conv)</f>
        <v>0</v>
      </c>
      <c r="N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</row>
    <row r="20" spans="1:66" ht="12.75" customHeight="1" x14ac:dyDescent="0.2">
      <c r="A20" s="1" t="s">
        <v>211</v>
      </c>
      <c r="B20" s="4">
        <f>_xll.ciqfunctions.udf.CIQ(InputTicker, "IQ_PRE_OPEN_COST",Input!D$2,Date,,,Ccy,Conv)</f>
        <v>0</v>
      </c>
      <c r="C20" s="4">
        <f>_xll.ciqfunctions.udf.CIQ(InputTicker, "IQ_PRE_OPEN_COST",Input!E$2,Date,,,Ccy,Conv)</f>
        <v>0</v>
      </c>
      <c r="D20" s="4">
        <f>_xll.ciqfunctions.udf.CIQ(InputTicker, "IQ_PRE_OPEN_COST",Input!F$2,Date,,,Ccy,Conv)</f>
        <v>0</v>
      </c>
      <c r="E20" s="4">
        <f>_xll.ciqfunctions.udf.CIQ(InputTicker, "IQ_PRE_OPEN_COST",Input!G$2,Date,,,Ccy,Conv)</f>
        <v>0</v>
      </c>
      <c r="F20" s="4">
        <f>_xll.ciqfunctions.udf.CIQ(InputTicker, "IQ_PRE_OPEN_COST",Input!H$2,Date,,,Ccy,Conv)</f>
        <v>0</v>
      </c>
      <c r="G20" s="4">
        <f>_xll.ciqfunctions.udf.CIQ(InputTicker, "IQ_PRE_OPEN_COST",Input!I$2,Date,,,Ccy,Conv)</f>
        <v>0</v>
      </c>
      <c r="H20" s="4">
        <f>_xll.ciqfunctions.udf.CIQ(InputTicker, "IQ_PRE_OPEN_COST",Input!J$2,Date,,,Ccy,Conv)</f>
        <v>0</v>
      </c>
      <c r="I20" s="4">
        <f>_xll.ciqfunctions.udf.CIQ(InputTicker, "IQ_PRE_OPEN_COST",Input!K$2,Date,,,Ccy,Conv)</f>
        <v>0</v>
      </c>
      <c r="J20" s="4">
        <f>_xll.ciqfunctions.udf.CIQ(InputTicker, "IQ_PRE_OPEN_COST",Input!L$2,Date,,,Ccy,Conv)</f>
        <v>0</v>
      </c>
      <c r="K20" s="4">
        <f>_xll.ciqfunctions.udf.CIQ(InputTicker, "IQ_PRE_OPEN_COST",Input!M$2,Date,,,Ccy,Conv)</f>
        <v>0</v>
      </c>
      <c r="L20" s="4">
        <f>_xll.ciqfunctions.udf.CIQ(InputTicker, "IQ_PRE_OPEN_COST",Input!N$2,Date,,,Ccy,Conv)</f>
        <v>0</v>
      </c>
      <c r="M20" s="4">
        <f>_xll.ciqfunctions.udf.CIQ(InputTicker, "IQ_PRE_OPEN_COST",Input!O$2,Date,,,Ccy,Conv)</f>
        <v>0</v>
      </c>
      <c r="N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</row>
    <row r="21" spans="1:66" ht="12.75" customHeight="1" x14ac:dyDescent="0.2">
      <c r="A21" s="1" t="s">
        <v>59</v>
      </c>
      <c r="B21" s="4">
        <f>_xll.ciqfunctions.udf.CIQ(InputTicker, "IQ_RD_EXP",Input!D$2,Date,,,Ccy,Conv)</f>
        <v>0</v>
      </c>
      <c r="C21" s="4">
        <f>_xll.ciqfunctions.udf.CIQ(InputTicker, "IQ_RD_EXP",Input!E$2,Date,,,Ccy,Conv)</f>
        <v>0</v>
      </c>
      <c r="D21" s="4">
        <f>_xll.ciqfunctions.udf.CIQ(InputTicker, "IQ_RD_EXP",Input!F$2,Date,,,Ccy,Conv)</f>
        <v>0</v>
      </c>
      <c r="E21" s="4">
        <f>_xll.ciqfunctions.udf.CIQ(InputTicker, "IQ_RD_EXP",Input!G$2,Date,,,Ccy,Conv)</f>
        <v>0</v>
      </c>
      <c r="F21" s="4">
        <f>_xll.ciqfunctions.udf.CIQ(InputTicker, "IQ_RD_EXP",Input!H$2,Date,,,Ccy,Conv)</f>
        <v>0</v>
      </c>
      <c r="G21" s="4">
        <f>_xll.ciqfunctions.udf.CIQ(InputTicker, "IQ_RD_EXP",Input!I$2,Date,,,Ccy,Conv)</f>
        <v>0</v>
      </c>
      <c r="H21" s="4">
        <f>_xll.ciqfunctions.udf.CIQ(InputTicker, "IQ_RD_EXP",Input!J$2,Date,,,Ccy,Conv)</f>
        <v>0</v>
      </c>
      <c r="I21" s="4">
        <f>_xll.ciqfunctions.udf.CIQ(InputTicker, "IQ_RD_EXP",Input!K$2,Date,,,Ccy,Conv)</f>
        <v>0</v>
      </c>
      <c r="J21" s="4">
        <f>_xll.ciqfunctions.udf.CIQ(InputTicker, "IQ_RD_EXP",Input!L$2,Date,,,Ccy,Conv)</f>
        <v>0</v>
      </c>
      <c r="K21" s="4">
        <f>_xll.ciqfunctions.udf.CIQ(InputTicker, "IQ_RD_EXP",Input!M$2,Date,,,Ccy,Conv)</f>
        <v>0</v>
      </c>
      <c r="L21" s="4">
        <f>_xll.ciqfunctions.udf.CIQ(InputTicker, "IQ_RD_EXP",Input!N$2,Date,,,Ccy,Conv)</f>
        <v>0</v>
      </c>
      <c r="M21" s="4">
        <f>_xll.ciqfunctions.udf.CIQ(InputTicker, "IQ_RD_EXP",Input!O$2,Date,,,Ccy,Conv)</f>
        <v>0</v>
      </c>
      <c r="N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</row>
    <row r="22" spans="1:66" ht="12.75" customHeight="1" x14ac:dyDescent="0.2">
      <c r="A22" s="1" t="s">
        <v>126</v>
      </c>
      <c r="B22" s="4">
        <f>_xll.ciqfunctions.udf.CIQ(InputTicker, "IQ_DA_SUPPL",Input!D$2,Date,,,Ccy,Conv)</f>
        <v>0</v>
      </c>
      <c r="C22" s="4">
        <f>_xll.ciqfunctions.udf.CIQ(InputTicker, "IQ_DA_SUPPL",Input!E$2,Date,,,Ccy,Conv)</f>
        <v>0</v>
      </c>
      <c r="D22" s="4">
        <f>_xll.ciqfunctions.udf.CIQ(InputTicker, "IQ_DA_SUPPL",Input!F$2,Date,,,Ccy,Conv)</f>
        <v>0</v>
      </c>
      <c r="E22" s="4">
        <f>_xll.ciqfunctions.udf.CIQ(InputTicker, "IQ_DA_SUPPL",Input!G$2,Date,,,Ccy,Conv)</f>
        <v>0</v>
      </c>
      <c r="F22" s="4">
        <f>_xll.ciqfunctions.udf.CIQ(InputTicker, "IQ_DA_SUPPL",Input!H$2,Date,,,Ccy,Conv)</f>
        <v>0</v>
      </c>
      <c r="G22" s="4">
        <f>_xll.ciqfunctions.udf.CIQ(InputTicker, "IQ_DA_SUPPL",Input!I$2,Date,,,Ccy,Conv)</f>
        <v>0</v>
      </c>
      <c r="H22" s="4">
        <f>_xll.ciqfunctions.udf.CIQ(InputTicker, "IQ_DA_SUPPL",Input!J$2,Date,,,Ccy,Conv)</f>
        <v>0</v>
      </c>
      <c r="I22" s="4">
        <f>_xll.ciqfunctions.udf.CIQ(InputTicker, "IQ_DA_SUPPL",Input!K$2,Date,,,Ccy,Conv)</f>
        <v>0</v>
      </c>
      <c r="J22" s="4">
        <f>_xll.ciqfunctions.udf.CIQ(InputTicker, "IQ_DA_SUPPL",Input!L$2,Date,,,Ccy,Conv)</f>
        <v>0</v>
      </c>
      <c r="K22" s="4">
        <f>_xll.ciqfunctions.udf.CIQ(InputTicker, "IQ_DA_SUPPL",Input!M$2,Date,,,Ccy,Conv)</f>
        <v>0</v>
      </c>
      <c r="L22" s="4">
        <f>_xll.ciqfunctions.udf.CIQ(InputTicker, "IQ_DA_SUPPL",Input!N$2,Date,,,Ccy,Conv)</f>
        <v>0</v>
      </c>
      <c r="M22" s="4">
        <f>_xll.ciqfunctions.udf.CIQ(InputTicker, "IQ_DA_SUPPL",Input!O$2,Date,,,Ccy,Conv)</f>
        <v>0</v>
      </c>
      <c r="N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</row>
    <row r="23" spans="1:66" ht="12.75" customHeight="1" x14ac:dyDescent="0.2">
      <c r="A23" s="1" t="s">
        <v>141</v>
      </c>
      <c r="B23" s="4">
        <f>_xll.ciqfunctions.udf.CIQ(InputTicker, "IQ_GW_INTAN_AMORT",Input!D$2,Date,,,Ccy,Conv)</f>
        <v>0</v>
      </c>
      <c r="C23" s="4">
        <f>_xll.ciqfunctions.udf.CIQ(InputTicker, "IQ_GW_INTAN_AMORT",Input!E$2,Date,,,Ccy,Conv)</f>
        <v>0</v>
      </c>
      <c r="D23" s="4">
        <f>_xll.ciqfunctions.udf.CIQ(InputTicker, "IQ_GW_INTAN_AMORT",Input!F$2,Date,,,Ccy,Conv)</f>
        <v>0</v>
      </c>
      <c r="E23" s="4">
        <f>_xll.ciqfunctions.udf.CIQ(InputTicker, "IQ_GW_INTAN_AMORT",Input!G$2,Date,,,Ccy,Conv)</f>
        <v>0</v>
      </c>
      <c r="F23" s="4">
        <f>_xll.ciqfunctions.udf.CIQ(InputTicker, "IQ_GW_INTAN_AMORT",Input!H$2,Date,,,Ccy,Conv)</f>
        <v>0</v>
      </c>
      <c r="G23" s="4">
        <f>_xll.ciqfunctions.udf.CIQ(InputTicker, "IQ_GW_INTAN_AMORT",Input!I$2,Date,,,Ccy,Conv)</f>
        <v>0</v>
      </c>
      <c r="H23" s="4">
        <f>_xll.ciqfunctions.udf.CIQ(InputTicker, "IQ_GW_INTAN_AMORT",Input!J$2,Date,,,Ccy,Conv)</f>
        <v>0</v>
      </c>
      <c r="I23" s="4">
        <f>_xll.ciqfunctions.udf.CIQ(InputTicker, "IQ_GW_INTAN_AMORT",Input!K$2,Date,,,Ccy,Conv)</f>
        <v>0</v>
      </c>
      <c r="J23" s="4">
        <f>_xll.ciqfunctions.udf.CIQ(InputTicker, "IQ_GW_INTAN_AMORT",Input!L$2,Date,,,Ccy,Conv)</f>
        <v>0</v>
      </c>
      <c r="K23" s="4">
        <f>_xll.ciqfunctions.udf.CIQ(InputTicker, "IQ_GW_INTAN_AMORT",Input!M$2,Date,,,Ccy,Conv)</f>
        <v>0</v>
      </c>
      <c r="L23" s="4">
        <f>_xll.ciqfunctions.udf.CIQ(InputTicker, "IQ_GW_INTAN_AMORT",Input!N$2,Date,,,Ccy,Conv)</f>
        <v>0</v>
      </c>
      <c r="M23" s="4">
        <f>_xll.ciqfunctions.udf.CIQ(InputTicker, "IQ_GW_INTAN_AMORT",Input!O$2,Date,,,Ccy,Conv)</f>
        <v>0</v>
      </c>
      <c r="N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</row>
    <row r="24" spans="1:66" ht="12.75" customHeight="1" x14ac:dyDescent="0.2">
      <c r="A24" s="1" t="s">
        <v>197</v>
      </c>
      <c r="B24" s="4">
        <f>_xll.ciqfunctions.udf.CIQ(InputTicker, "IQ_IMPAIR_OIL",Input!D$2,Date,,,Ccy,Conv)</f>
        <v>0</v>
      </c>
      <c r="C24" s="4">
        <f>_xll.ciqfunctions.udf.CIQ(InputTicker, "IQ_IMPAIR_OIL",Input!E$2,Date,,,Ccy,Conv)</f>
        <v>0</v>
      </c>
      <c r="D24" s="4">
        <f>_xll.ciqfunctions.udf.CIQ(InputTicker, "IQ_IMPAIR_OIL",Input!F$2,Date,,,Ccy,Conv)</f>
        <v>0</v>
      </c>
      <c r="E24" s="4">
        <f>_xll.ciqfunctions.udf.CIQ(InputTicker, "IQ_IMPAIR_OIL",Input!G$2,Date,,,Ccy,Conv)</f>
        <v>0</v>
      </c>
      <c r="F24" s="4">
        <f>_xll.ciqfunctions.udf.CIQ(InputTicker, "IQ_IMPAIR_OIL",Input!H$2,Date,,,Ccy,Conv)</f>
        <v>0</v>
      </c>
      <c r="G24" s="4">
        <f>_xll.ciqfunctions.udf.CIQ(InputTicker, "IQ_IMPAIR_OIL",Input!I$2,Date,,,Ccy,Conv)</f>
        <v>0</v>
      </c>
      <c r="H24" s="4">
        <f>_xll.ciqfunctions.udf.CIQ(InputTicker, "IQ_IMPAIR_OIL",Input!J$2,Date,,,Ccy,Conv)</f>
        <v>0</v>
      </c>
      <c r="I24" s="4">
        <f>_xll.ciqfunctions.udf.CIQ(InputTicker, "IQ_IMPAIR_OIL",Input!K$2,Date,,,Ccy,Conv)</f>
        <v>0</v>
      </c>
      <c r="J24" s="4">
        <f>_xll.ciqfunctions.udf.CIQ(InputTicker, "IQ_IMPAIR_OIL",Input!L$2,Date,,,Ccy,Conv)</f>
        <v>0</v>
      </c>
      <c r="K24" s="4">
        <f>_xll.ciqfunctions.udf.CIQ(InputTicker, "IQ_IMPAIR_OIL",Input!M$2,Date,,,Ccy,Conv)</f>
        <v>0</v>
      </c>
      <c r="L24" s="4">
        <f>_xll.ciqfunctions.udf.CIQ(InputTicker, "IQ_IMPAIR_OIL",Input!N$2,Date,,,Ccy,Conv)</f>
        <v>0</v>
      </c>
      <c r="M24" s="4">
        <f>_xll.ciqfunctions.udf.CIQ(InputTicker, "IQ_IMPAIR_OIL",Input!O$2,Date,,,Ccy,Conv)</f>
        <v>0</v>
      </c>
      <c r="N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</row>
    <row r="25" spans="1:66" ht="12.75" customHeight="1" x14ac:dyDescent="0.2">
      <c r="A25" s="1" t="s">
        <v>61</v>
      </c>
      <c r="B25" s="8">
        <f>_xll.ciqfunctions.udf.CIQ(InputTicker, "IQ_OTHER_OPER",Input!D$2,Date,,,Ccy,Conv)</f>
        <v>0</v>
      </c>
      <c r="C25" s="8">
        <f>_xll.ciqfunctions.udf.CIQ(InputTicker, "IQ_OTHER_OPER",Input!E$2,Date,,,Ccy,Conv)</f>
        <v>0</v>
      </c>
      <c r="D25" s="8">
        <f>_xll.ciqfunctions.udf.CIQ(InputTicker, "IQ_OTHER_OPER",Input!F$2,Date,,,Ccy,Conv)</f>
        <v>0</v>
      </c>
      <c r="E25" s="8">
        <f>_xll.ciqfunctions.udf.CIQ(InputTicker, "IQ_OTHER_OPER",Input!G$2,Date,,,Ccy,Conv)</f>
        <v>0</v>
      </c>
      <c r="F25" s="8">
        <f>_xll.ciqfunctions.udf.CIQ(InputTicker, "IQ_OTHER_OPER",Input!H$2,Date,,,Ccy,Conv)</f>
        <v>0</v>
      </c>
      <c r="G25" s="8">
        <f>_xll.ciqfunctions.udf.CIQ(InputTicker, "IQ_OTHER_OPER",Input!I$2,Date,,,Ccy,Conv)</f>
        <v>0</v>
      </c>
      <c r="H25" s="8">
        <f>_xll.ciqfunctions.udf.CIQ(InputTicker, "IQ_OTHER_OPER",Input!J$2,Date,,,Ccy,Conv)</f>
        <v>0</v>
      </c>
      <c r="I25" s="8">
        <f>_xll.ciqfunctions.udf.CIQ(InputTicker, "IQ_OTHER_OPER",Input!K$2,Date,,,Ccy,Conv)</f>
        <v>0</v>
      </c>
      <c r="J25" s="8">
        <f>_xll.ciqfunctions.udf.CIQ(InputTicker, "IQ_OTHER_OPER",Input!L$2,Date,,,Ccy,Conv)</f>
        <v>0</v>
      </c>
      <c r="K25" s="8">
        <f>_xll.ciqfunctions.udf.CIQ(InputTicker, "IQ_OTHER_OPER",Input!M$2,Date,,,Ccy,Conv)</f>
        <v>0</v>
      </c>
      <c r="L25" s="8">
        <f>_xll.ciqfunctions.udf.CIQ(InputTicker, "IQ_OTHER_OPER",Input!N$2,Date,,,Ccy,Conv)</f>
        <v>0</v>
      </c>
      <c r="M25" s="8">
        <f>_xll.ciqfunctions.udf.CIQ(InputTicker, "IQ_OTHER_OPER",Input!O$2,Date,,,Ccy,Conv)</f>
        <v>0</v>
      </c>
      <c r="N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</row>
    <row r="26" spans="1:66" ht="12.75" customHeight="1" x14ac:dyDescent="0.2">
      <c r="A26" s="5" t="s">
        <v>62</v>
      </c>
      <c r="B26" s="7">
        <f>_xll.ciqfunctions.udf.CIQ(InputTicker, "IQ_TOTAL_OTHER_OPER",Input!D$2,Date,,,Ccy,Conv)</f>
        <v>160.386</v>
      </c>
      <c r="C26" s="7">
        <f>_xll.ciqfunctions.udf.CIQ(InputTicker, "IQ_TOTAL_OTHER_OPER",Input!E$2,Date,,,Ccy,Conv)</f>
        <v>177.76</v>
      </c>
      <c r="D26" s="7">
        <f>_xll.ciqfunctions.udf.CIQ(InputTicker, "IQ_TOTAL_OTHER_OPER",Input!F$2,Date,,,Ccy,Conv)</f>
        <v>176.03200000000001</v>
      </c>
      <c r="E26" s="7">
        <f>_xll.ciqfunctions.udf.CIQ(InputTicker, "IQ_TOTAL_OTHER_OPER",Input!G$2,Date,,,Ccy,Conv)</f>
        <v>179.316</v>
      </c>
      <c r="F26" s="7">
        <f>_xll.ciqfunctions.udf.CIQ(InputTicker, "IQ_TOTAL_OTHER_OPER",Input!H$2,Date,,,Ccy,Conv)</f>
        <v>177.04499999999999</v>
      </c>
      <c r="G26" s="7">
        <f>_xll.ciqfunctions.udf.CIQ(InputTicker, "IQ_TOTAL_OTHER_OPER",Input!I$2,Date,,,Ccy,Conv)</f>
        <v>178.23699999999999</v>
      </c>
      <c r="H26" s="7">
        <f>_xll.ciqfunctions.udf.CIQ(InputTicker, "IQ_TOTAL_OTHER_OPER",Input!J$2,Date,,,Ccy,Conv)</f>
        <v>183.94300000000001</v>
      </c>
      <c r="I26" s="7">
        <f>_xll.ciqfunctions.udf.CIQ(InputTicker, "IQ_TOTAL_OTHER_OPER",Input!K$2,Date,,,Ccy,Conv)</f>
        <v>198.631</v>
      </c>
      <c r="J26" s="7">
        <f>_xll.ciqfunctions.udf.CIQ(InputTicker, "IQ_TOTAL_OTHER_OPER",Input!L$2,Date,,,Ccy,Conv)</f>
        <v>232.20699999999999</v>
      </c>
      <c r="K26" s="7">
        <f>_xll.ciqfunctions.udf.CIQ(InputTicker, "IQ_TOTAL_OTHER_OPER",Input!M$2,Date,,,Ccy,Conv)</f>
        <v>227.477</v>
      </c>
      <c r="L26" s="7">
        <f>_xll.ciqfunctions.udf.CIQ(InputTicker, "IQ_TOTAL_OTHER_OPER",Input!N$2,Date,,,Ccy,Conv)</f>
        <v>299.44900000000001</v>
      </c>
      <c r="M26" s="7">
        <f>_xll.ciqfunctions.udf.CIQ(InputTicker, "IQ_TOTAL_OTHER_OPER",Input!O$2,Date,,,Ccy,Conv)</f>
        <v>310.19099999999997</v>
      </c>
      <c r="N26" s="46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</row>
    <row r="27" spans="1:66" ht="12.75" customHeight="1" thickBot="1" x14ac:dyDescent="0.25">
      <c r="A27" s="5" t="s">
        <v>63</v>
      </c>
      <c r="B27" s="9">
        <f>_xll.ciqfunctions.udf.CIQ(InputTicker, "IQ_OPER_INC",Input!D$2,Date,,,Ccy,Conv)</f>
        <v>235.33500000000001</v>
      </c>
      <c r="C27" s="9">
        <f>_xll.ciqfunctions.udf.CIQ(InputTicker, "IQ_OPER_INC",Input!E$2,Date,,,Ccy,Conv)</f>
        <v>470.31400000000002</v>
      </c>
      <c r="D27" s="9">
        <f>_xll.ciqfunctions.udf.CIQ(InputTicker, "IQ_OPER_INC",Input!F$2,Date,,,Ccy,Conv)</f>
        <v>-130.482</v>
      </c>
      <c r="E27" s="9">
        <f>_xll.ciqfunctions.udf.CIQ(InputTicker, "IQ_OPER_INC",Input!G$2,Date,,,Ccy,Conv)</f>
        <v>181.73</v>
      </c>
      <c r="F27" s="9">
        <f>_xll.ciqfunctions.udf.CIQ(InputTicker, "IQ_OPER_INC",Input!H$2,Date,,,Ccy,Conv)</f>
        <v>45.814</v>
      </c>
      <c r="G27" s="9">
        <f>_xll.ciqfunctions.udf.CIQ(InputTicker, "IQ_OPER_INC",Input!I$2,Date,,,Ccy,Conv)</f>
        <v>1.351</v>
      </c>
      <c r="H27" s="9">
        <f>_xll.ciqfunctions.udf.CIQ(InputTicker, "IQ_OPER_INC",Input!J$2,Date,,,Ccy,Conv)</f>
        <v>-23.282</v>
      </c>
      <c r="I27" s="9">
        <f>_xll.ciqfunctions.udf.CIQ(InputTicker, "IQ_OPER_INC",Input!K$2,Date,,,Ccy,Conv)</f>
        <v>138.428</v>
      </c>
      <c r="J27" s="9">
        <f>_xll.ciqfunctions.udf.CIQ(InputTicker, "IQ_OPER_INC",Input!L$2,Date,,,Ccy,Conv)</f>
        <v>964.25</v>
      </c>
      <c r="K27" s="9">
        <f>_xll.ciqfunctions.udf.CIQ(InputTicker, "IQ_OPER_INC",Input!M$2,Date,,,Ccy,Conv)</f>
        <v>314.09399999999999</v>
      </c>
      <c r="L27" s="9">
        <f>_xll.ciqfunctions.udf.CIQ(InputTicker, "IQ_OPER_INC",Input!N$2,Date,,,Ccy,Conv)</f>
        <v>1551.4359999999999</v>
      </c>
      <c r="M27" s="9">
        <f>_xll.ciqfunctions.udf.CIQ(InputTicker, "IQ_OPER_INC",Input!O$2,Date,,,Ccy,Conv)</f>
        <v>1456.134</v>
      </c>
      <c r="N27" s="46"/>
      <c r="P27" s="46"/>
      <c r="Q27" s="46"/>
      <c r="R27" s="46"/>
      <c r="T27" s="42"/>
      <c r="U27" s="42"/>
      <c r="V27" s="46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</row>
    <row r="28" spans="1:66" ht="12.75" customHeight="1" thickTop="1" x14ac:dyDescent="0.2">
      <c r="A28" s="1" t="s">
        <v>52</v>
      </c>
      <c r="B28" s="4">
        <f>_xll.ciqfunctions.udf.CIQ(InputTicker, "IQ_INTEREST_EXP",Input!D$2,Date,,,Ccy,Conv)</f>
        <v>-2.3130000000000002</v>
      </c>
      <c r="C28" s="4">
        <f>_xll.ciqfunctions.udf.CIQ(InputTicker, "IQ_INTEREST_EXP",Input!E$2,Date,,,Ccy,Conv)</f>
        <v>-1.1559999999999999</v>
      </c>
      <c r="D28" s="4">
        <f>_xll.ciqfunctions.udf.CIQ(InputTicker, "IQ_INTEREST_EXP",Input!F$2,Date,,,Ccy,Conv)</f>
        <v>-0.318</v>
      </c>
      <c r="E28" s="4">
        <f>_xll.ciqfunctions.udf.CIQ(InputTicker, "IQ_INTEREST_EXP",Input!G$2,Date,,,Ccy,Conv)</f>
        <v>-0.26500000000000001</v>
      </c>
      <c r="F28" s="4">
        <f>_xll.ciqfunctions.udf.CIQ(InputTicker, "IQ_INTEREST_EXP",Input!H$2,Date,,,Ccy,Conv)</f>
        <v>-0.64400000000000002</v>
      </c>
      <c r="G28" s="4">
        <f>_xll.ciqfunctions.udf.CIQ(InputTicker, "IQ_INTEREST_EXP",Input!I$2,Date,,,Ccy,Conv)</f>
        <v>-0.498</v>
      </c>
      <c r="H28" s="4">
        <f>_xll.ciqfunctions.udf.CIQ(InputTicker, "IQ_INTEREST_EXP",Input!J$2,Date,,,Ccy,Conv)</f>
        <v>-0.21299999999999999</v>
      </c>
      <c r="I28" s="4">
        <f>_xll.ciqfunctions.udf.CIQ(InputTicker, "IQ_INTEREST_EXP",Input!K$2,Date,,,Ccy,Conv)</f>
        <v>-0.40300000000000002</v>
      </c>
      <c r="J28" s="4">
        <f>_xll.ciqfunctions.udf.CIQ(InputTicker, "IQ_INTEREST_EXP",Input!L$2,Date,,,Ccy,Conv)</f>
        <v>-0.58299999999999996</v>
      </c>
      <c r="K28" s="4">
        <f>_xll.ciqfunctions.udf.CIQ(InputTicker, "IQ_INTEREST_EXP",Input!M$2,Date,,,Ccy,Conv)</f>
        <v>-0.54900000000000004</v>
      </c>
      <c r="L28" s="4">
        <f>_xll.ciqfunctions.udf.CIQ(InputTicker, "IQ_INTEREST_EXP",Input!N$2,Date,,,Ccy,Conv)</f>
        <v>-0.61199999999999999</v>
      </c>
      <c r="M28" s="4">
        <f>_xll.ciqfunctions.udf.CIQ(InputTicker, "IQ_INTEREST_EXP",Input!O$2,Date,,,Ccy,Conv)</f>
        <v>-0.65300000000000002</v>
      </c>
      <c r="N28" s="46"/>
      <c r="P28" s="46"/>
      <c r="Q28" s="46"/>
      <c r="R28" s="46"/>
      <c r="T28" s="42"/>
      <c r="U28" s="42"/>
      <c r="V28" s="46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</row>
    <row r="29" spans="1:66" ht="12.75" customHeight="1" x14ac:dyDescent="0.2">
      <c r="A29" s="1" t="s">
        <v>64</v>
      </c>
      <c r="B29" s="4">
        <f>_xll.ciqfunctions.udf.CIQ(InputTicker, "IQ_INTEREST_INVEST_INC",Input!D$2,Date,,,Ccy,Conv)</f>
        <v>8.6910000000000007</v>
      </c>
      <c r="C29" s="4">
        <f>_xll.ciqfunctions.udf.CIQ(InputTicker, "IQ_INTEREST_INVEST_INC",Input!E$2,Date,,,Ccy,Conv)</f>
        <v>11.244</v>
      </c>
      <c r="D29" s="4">
        <f>_xll.ciqfunctions.udf.CIQ(InputTicker, "IQ_INTEREST_INVEST_INC",Input!F$2,Date,,,Ccy,Conv)</f>
        <v>10.768000000000001</v>
      </c>
      <c r="E29" s="4">
        <f>_xll.ciqfunctions.udf.CIQ(InputTicker, "IQ_INTEREST_INVEST_INC",Input!G$2,Date,,,Ccy,Conv)</f>
        <v>11.983000000000001</v>
      </c>
      <c r="F29" s="4">
        <f>_xll.ciqfunctions.udf.CIQ(InputTicker, "IQ_INTEREST_INVEST_INC",Input!H$2,Date,,,Ccy,Conv)</f>
        <v>18.46</v>
      </c>
      <c r="G29" s="4">
        <f>_xll.ciqfunctions.udf.CIQ(InputTicker, "IQ_INTEREST_INVEST_INC",Input!I$2,Date,,,Ccy,Conv)</f>
        <v>15.058</v>
      </c>
      <c r="H29" s="4">
        <f>_xll.ciqfunctions.udf.CIQ(InputTicker, "IQ_INTEREST_INVEST_INC",Input!J$2,Date,,,Ccy,Conv)</f>
        <v>11.832000000000001</v>
      </c>
      <c r="I29" s="4">
        <f>_xll.ciqfunctions.udf.CIQ(InputTicker, "IQ_INTEREST_INVEST_INC",Input!K$2,Date,,,Ccy,Conv)</f>
        <v>11.118</v>
      </c>
      <c r="J29" s="4">
        <f>_xll.ciqfunctions.udf.CIQ(InputTicker, "IQ_INTEREST_INVEST_INC",Input!L$2,Date,,,Ccy,Conv)</f>
        <v>28.792000000000002</v>
      </c>
      <c r="K29" s="4">
        <f>_xll.ciqfunctions.udf.CIQ(InputTicker, "IQ_INTEREST_INVEST_INC",Input!M$2,Date,,,Ccy,Conv)</f>
        <v>43.606000000000002</v>
      </c>
      <c r="L29" s="4">
        <f>_xll.ciqfunctions.udf.CIQ(InputTicker, "IQ_INTEREST_INVEST_INC",Input!N$2,Date,,,Ccy,Conv)</f>
        <v>59.868000000000002</v>
      </c>
      <c r="M29" s="4">
        <f>_xll.ciqfunctions.udf.CIQ(InputTicker, "IQ_INTEREST_INVEST_INC",Input!O$2,Date,,,Ccy,Conv)</f>
        <v>65.47</v>
      </c>
      <c r="N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</row>
    <row r="30" spans="1:66" ht="12.75" customHeight="1" x14ac:dyDescent="0.2">
      <c r="A30" s="5" t="s">
        <v>65</v>
      </c>
      <c r="B30" s="6">
        <f>_xll.ciqfunctions.udf.CIQ(InputTicker, "IQ_NET_INTEREST_EXP",Input!D$2,Date,,,Ccy,Conv)</f>
        <v>6.3780000000000001</v>
      </c>
      <c r="C30" s="6">
        <f>_xll.ciqfunctions.udf.CIQ(InputTicker, "IQ_NET_INTEREST_EXP",Input!E$2,Date,,,Ccy,Conv)</f>
        <v>10.087999999999999</v>
      </c>
      <c r="D30" s="6">
        <f>_xll.ciqfunctions.udf.CIQ(InputTicker, "IQ_NET_INTEREST_EXP",Input!F$2,Date,,,Ccy,Conv)</f>
        <v>10.45</v>
      </c>
      <c r="E30" s="6">
        <f>_xll.ciqfunctions.udf.CIQ(InputTicker, "IQ_NET_INTEREST_EXP",Input!G$2,Date,,,Ccy,Conv)</f>
        <v>11.718</v>
      </c>
      <c r="F30" s="6">
        <f>_xll.ciqfunctions.udf.CIQ(InputTicker, "IQ_NET_INTEREST_EXP",Input!H$2,Date,,,Ccy,Conv)</f>
        <v>17.815999999999999</v>
      </c>
      <c r="G30" s="6">
        <f>_xll.ciqfunctions.udf.CIQ(InputTicker, "IQ_NET_INTEREST_EXP",Input!I$2,Date,,,Ccy,Conv)</f>
        <v>14.56</v>
      </c>
      <c r="H30" s="6">
        <f>_xll.ciqfunctions.udf.CIQ(InputTicker, "IQ_NET_INTEREST_EXP",Input!J$2,Date,,,Ccy,Conv)</f>
        <v>11.619</v>
      </c>
      <c r="I30" s="6">
        <f>_xll.ciqfunctions.udf.CIQ(InputTicker, "IQ_NET_INTEREST_EXP",Input!K$2,Date,,,Ccy,Conv)</f>
        <v>10.715</v>
      </c>
      <c r="J30" s="6">
        <f>_xll.ciqfunctions.udf.CIQ(InputTicker, "IQ_NET_INTEREST_EXP",Input!L$2,Date,,,Ccy,Conv)</f>
        <v>28.209</v>
      </c>
      <c r="K30" s="6">
        <f>_xll.ciqfunctions.udf.CIQ(InputTicker, "IQ_NET_INTEREST_EXP",Input!M$2,Date,,,Ccy,Conv)</f>
        <v>43.057000000000002</v>
      </c>
      <c r="L30" s="6">
        <f>_xll.ciqfunctions.udf.CIQ(InputTicker, "IQ_NET_INTEREST_EXP",Input!N$2,Date,,,Ccy,Conv)</f>
        <v>59.256</v>
      </c>
      <c r="M30" s="6">
        <f>_xll.ciqfunctions.udf.CIQ(InputTicker, "IQ_NET_INTEREST_EXP",Input!O$2,Date,,,Ccy,Conv)</f>
        <v>64.816999999999993</v>
      </c>
      <c r="N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</row>
    <row r="31" spans="1:66" ht="12.75" customHeight="1" x14ac:dyDescent="0.2">
      <c r="A31" s="1" t="s">
        <v>163</v>
      </c>
      <c r="B31" s="4">
        <f>_xll.ciqfunctions.udf.CIQ(InputTicker, "IQ_INC_EQUITY",Input!D$2,Date,,,Ccy,Conv)</f>
        <v>2.657</v>
      </c>
      <c r="C31" s="4">
        <f>_xll.ciqfunctions.udf.CIQ(InputTicker, "IQ_INC_EQUITY",Input!E$2,Date,,,Ccy,Conv)</f>
        <v>5.016</v>
      </c>
      <c r="D31" s="4">
        <f>_xll.ciqfunctions.udf.CIQ(InputTicker, "IQ_INC_EQUITY",Input!F$2,Date,,,Ccy,Conv)</f>
        <v>1.39</v>
      </c>
      <c r="E31" s="4">
        <f>_xll.ciqfunctions.udf.CIQ(InputTicker, "IQ_INC_EQUITY",Input!G$2,Date,,,Ccy,Conv)</f>
        <v>3.5169999999999999</v>
      </c>
      <c r="F31" s="4">
        <f>_xll.ciqfunctions.udf.CIQ(InputTicker, "IQ_INC_EQUITY",Input!H$2,Date,,,Ccy,Conv)</f>
        <v>4.7759999999999998</v>
      </c>
      <c r="G31" s="4">
        <f>_xll.ciqfunctions.udf.CIQ(InputTicker, "IQ_INC_EQUITY",Input!I$2,Date,,,Ccy,Conv)</f>
        <v>0.53400000000000003</v>
      </c>
      <c r="H31" s="4">
        <f>_xll.ciqfunctions.udf.CIQ(InputTicker, "IQ_INC_EQUITY",Input!J$2,Date,,,Ccy,Conv)</f>
        <v>0.622</v>
      </c>
      <c r="I31" s="4">
        <f>_xll.ciqfunctions.udf.CIQ(InputTicker, "IQ_INC_EQUITY",Input!K$2,Date,,,Ccy,Conv)</f>
        <v>1.9430000000000001</v>
      </c>
      <c r="J31" s="4">
        <f>_xll.ciqfunctions.udf.CIQ(InputTicker, "IQ_INC_EQUITY",Input!L$2,Date,,,Ccy,Conv)</f>
        <v>0.746</v>
      </c>
      <c r="K31" s="4">
        <f>_xll.ciqfunctions.udf.CIQ(InputTicker, "IQ_INC_EQUITY",Input!M$2,Date,,,Ccy,Conv)</f>
        <v>1.42</v>
      </c>
      <c r="L31" s="4">
        <f>_xll.ciqfunctions.udf.CIQ(InputTicker, "IQ_INC_EQUITY",Input!N$2,Date,,,Ccy,Conv)</f>
        <v>6.2210000000000001</v>
      </c>
      <c r="M31" s="4">
        <f>_xll.ciqfunctions.udf.CIQ(InputTicker, "IQ_INC_EQUITY",Input!O$2,Date,,,Ccy,Conv)</f>
        <v>6.2210000000000001</v>
      </c>
      <c r="N31" s="46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</row>
    <row r="32" spans="1:66" ht="12.75" customHeight="1" x14ac:dyDescent="0.2">
      <c r="A32" s="1" t="s">
        <v>164</v>
      </c>
      <c r="B32" s="4">
        <f>_xll.ciqfunctions.udf.CIQ(InputTicker, "IQ_CURRENCY_GAIN",Input!D$2,Date,,,Ccy,Conv)</f>
        <v>0</v>
      </c>
      <c r="C32" s="4">
        <f>_xll.ciqfunctions.udf.CIQ(InputTicker, "IQ_CURRENCY_GAIN",Input!E$2,Date,,,Ccy,Conv)</f>
        <v>0</v>
      </c>
      <c r="D32" s="4">
        <f>_xll.ciqfunctions.udf.CIQ(InputTicker, "IQ_CURRENCY_GAIN",Input!F$2,Date,,,Ccy,Conv)</f>
        <v>0</v>
      </c>
      <c r="E32" s="4">
        <f>_xll.ciqfunctions.udf.CIQ(InputTicker, "IQ_CURRENCY_GAIN",Input!G$2,Date,,,Ccy,Conv)</f>
        <v>0</v>
      </c>
      <c r="F32" s="4">
        <f>_xll.ciqfunctions.udf.CIQ(InputTicker, "IQ_CURRENCY_GAIN",Input!H$2,Date,,,Ccy,Conv)</f>
        <v>0</v>
      </c>
      <c r="G32" s="4">
        <f>_xll.ciqfunctions.udf.CIQ(InputTicker, "IQ_CURRENCY_GAIN",Input!I$2,Date,,,Ccy,Conv)</f>
        <v>0</v>
      </c>
      <c r="H32" s="4">
        <f>_xll.ciqfunctions.udf.CIQ(InputTicker, "IQ_CURRENCY_GAIN",Input!J$2,Date,,,Ccy,Conv)</f>
        <v>0</v>
      </c>
      <c r="I32" s="4">
        <f>_xll.ciqfunctions.udf.CIQ(InputTicker, "IQ_CURRENCY_GAIN",Input!K$2,Date,,,Ccy,Conv)</f>
        <v>0</v>
      </c>
      <c r="J32" s="4">
        <f>_xll.ciqfunctions.udf.CIQ(InputTicker, "IQ_CURRENCY_GAIN",Input!L$2,Date,,,Ccy,Conv)</f>
        <v>0</v>
      </c>
      <c r="K32" s="4">
        <f>_xll.ciqfunctions.udf.CIQ(InputTicker, "IQ_CURRENCY_GAIN",Input!M$2,Date,,,Ccy,Conv)</f>
        <v>0</v>
      </c>
      <c r="L32" s="4">
        <f>_xll.ciqfunctions.udf.CIQ(InputTicker, "IQ_CURRENCY_GAIN",Input!N$2,Date,,,Ccy,Conv)</f>
        <v>0</v>
      </c>
      <c r="M32" s="4">
        <f>_xll.ciqfunctions.udf.CIQ(InputTicker, "IQ_CURRENCY_GAIN",Input!O$2,Date,,,Ccy,Conv)</f>
        <v>0</v>
      </c>
      <c r="N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</row>
    <row r="33" spans="1:66" ht="12.75" customHeight="1" x14ac:dyDescent="0.2">
      <c r="A33" s="1" t="s">
        <v>127</v>
      </c>
      <c r="B33" s="4">
        <f>_xll.ciqfunctions.udf.CIQ(InputTicker, "IQ_OTHER_NON_OPER_EXP_SUPPL",Input!D$2,Date,,,Ccy,Conv)</f>
        <v>2.6720000000000002</v>
      </c>
      <c r="C33" s="4">
        <f>_xll.ciqfunctions.udf.CIQ(InputTicker, "IQ_OTHER_NON_OPER_EXP_SUPPL",Input!E$2,Date,,,Ccy,Conv)</f>
        <v>0.247</v>
      </c>
      <c r="D33" s="4">
        <f>_xll.ciqfunctions.udf.CIQ(InputTicker, "IQ_OTHER_NON_OPER_EXP_SUPPL",Input!F$2,Date,,,Ccy,Conv)</f>
        <v>7.7880000000000003</v>
      </c>
      <c r="E33" s="4">
        <f>_xll.ciqfunctions.udf.CIQ(InputTicker, "IQ_OTHER_NON_OPER_EXP_SUPPL",Input!G$2,Date,,,Ccy,Conv)</f>
        <v>1.63</v>
      </c>
      <c r="F33" s="4">
        <f>_xll.ciqfunctions.udf.CIQ(InputTicker, "IQ_OTHER_NON_OPER_EXP_SUPPL",Input!H$2,Date,,,Ccy,Conv)</f>
        <v>2.4079999999999999</v>
      </c>
      <c r="G33" s="4">
        <f>_xll.ciqfunctions.udf.CIQ(InputTicker, "IQ_OTHER_NON_OPER_EXP_SUPPL",Input!I$2,Date,,,Ccy,Conv)</f>
        <v>3.5569999999999999</v>
      </c>
      <c r="H33" s="4">
        <f>_xll.ciqfunctions.udf.CIQ(InputTicker, "IQ_OTHER_NON_OPER_EXP_SUPPL",Input!J$2,Date,,,Ccy,Conv)</f>
        <v>5.4249999999999998</v>
      </c>
      <c r="I33" s="4">
        <f>_xll.ciqfunctions.udf.CIQ(InputTicker, "IQ_OTHER_NON_OPER_EXP_SUPPL",Input!K$2,Date,,,Ccy,Conv)</f>
        <v>9.7149999999999999</v>
      </c>
      <c r="J33" s="4">
        <f>_xll.ciqfunctions.udf.CIQ(InputTicker, "IQ_OTHER_NON_OPER_EXP_SUPPL",Input!L$2,Date,,,Ccy,Conv)</f>
        <v>5.25</v>
      </c>
      <c r="K33" s="4">
        <f>_xll.ciqfunctions.udf.CIQ(InputTicker, "IQ_OTHER_NON_OPER_EXP_SUPPL",Input!M$2,Date,,,Ccy,Conv)</f>
        <v>26.382999999999999</v>
      </c>
      <c r="L33" s="4">
        <f>_xll.ciqfunctions.udf.CIQ(InputTicker, "IQ_OTHER_NON_OPER_EXP_SUPPL",Input!N$2,Date,,,Ccy,Conv)</f>
        <v>0.89400000000000002</v>
      </c>
      <c r="M33" s="4">
        <f>_xll.ciqfunctions.udf.CIQ(InputTicker, "IQ_OTHER_NON_OPER_EXP_SUPPL",Input!O$2,Date,,,Ccy,Conv)</f>
        <v>7.3719999999999999</v>
      </c>
      <c r="N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</row>
    <row r="34" spans="1:66" ht="12.75" customHeight="1" x14ac:dyDescent="0.2">
      <c r="A34" s="5" t="s">
        <v>66</v>
      </c>
      <c r="B34" s="6">
        <f>_xll.ciqfunctions.udf.CIQ(InputTicker, "IQ_EBT_EXCL",Input!D$2,Date,,,Ccy,Conv)</f>
        <v>247.042</v>
      </c>
      <c r="C34" s="6">
        <f>_xll.ciqfunctions.udf.CIQ(InputTicker, "IQ_EBT_EXCL",Input!E$2,Date,,,Ccy,Conv)</f>
        <v>485.66500000000002</v>
      </c>
      <c r="D34" s="6">
        <f>_xll.ciqfunctions.udf.CIQ(InputTicker, "IQ_EBT_EXCL",Input!F$2,Date,,,Ccy,Conv)</f>
        <v>-110.854</v>
      </c>
      <c r="E34" s="6">
        <f>_xll.ciqfunctions.udf.CIQ(InputTicker, "IQ_EBT_EXCL",Input!G$2,Date,,,Ccy,Conv)</f>
        <v>198.595</v>
      </c>
      <c r="F34" s="6">
        <f>_xll.ciqfunctions.udf.CIQ(InputTicker, "IQ_EBT_EXCL",Input!H$2,Date,,,Ccy,Conv)</f>
        <v>70.813999999999993</v>
      </c>
      <c r="G34" s="6">
        <f>_xll.ciqfunctions.udf.CIQ(InputTicker, "IQ_EBT_EXCL",Input!I$2,Date,,,Ccy,Conv)</f>
        <v>20.001999999999999</v>
      </c>
      <c r="H34" s="6">
        <f>_xll.ciqfunctions.udf.CIQ(InputTicker, "IQ_EBT_EXCL",Input!J$2,Date,,,Ccy,Conv)</f>
        <v>-5.6159999999999997</v>
      </c>
      <c r="I34" s="6">
        <f>_xll.ciqfunctions.udf.CIQ(InputTicker, "IQ_EBT_EXCL",Input!K$2,Date,,,Ccy,Conv)</f>
        <v>160.80099999999999</v>
      </c>
      <c r="J34" s="6">
        <f>_xll.ciqfunctions.udf.CIQ(InputTicker, "IQ_EBT_EXCL",Input!L$2,Date,,,Ccy,Conv)</f>
        <v>998.45500000000004</v>
      </c>
      <c r="K34" s="6">
        <f>_xll.ciqfunctions.udf.CIQ(InputTicker, "IQ_EBT_EXCL",Input!M$2,Date,,,Ccy,Conv)</f>
        <v>384.95400000000001</v>
      </c>
      <c r="L34" s="6">
        <f>_xll.ciqfunctions.udf.CIQ(InputTicker, "IQ_EBT_EXCL",Input!N$2,Date,,,Ccy,Conv)</f>
        <v>1617.807</v>
      </c>
      <c r="M34" s="6">
        <f>_xll.ciqfunctions.udf.CIQ(InputTicker, "IQ_EBT_EXCL",Input!O$2,Date,,,Ccy,Conv)</f>
        <v>1534.5440000000001</v>
      </c>
      <c r="N34" s="46"/>
      <c r="P34" s="46"/>
      <c r="Q34" s="46"/>
      <c r="R34" s="46"/>
      <c r="T34" s="42"/>
      <c r="U34" s="42"/>
      <c r="V34" s="46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</row>
    <row r="35" spans="1:66" ht="12.75" customHeight="1" x14ac:dyDescent="0.2">
      <c r="A35" s="1" t="s">
        <v>165</v>
      </c>
      <c r="B35" s="4">
        <f>_xll.ciqfunctions.udf.CIQ(InputTicker, "IQ_RESTRUCTURE",Input!D$2,Date,,,Ccy,Conv)</f>
        <v>0</v>
      </c>
      <c r="C35" s="4">
        <f>_xll.ciqfunctions.udf.CIQ(InputTicker, "IQ_RESTRUCTURE",Input!E$2,Date,,,Ccy,Conv)</f>
        <v>0</v>
      </c>
      <c r="D35" s="4">
        <f>_xll.ciqfunctions.udf.CIQ(InputTicker, "IQ_RESTRUCTURE",Input!F$2,Date,,,Ccy,Conv)</f>
        <v>0</v>
      </c>
      <c r="E35" s="4">
        <f>_xll.ciqfunctions.udf.CIQ(InputTicker, "IQ_RESTRUCTURE",Input!G$2,Date,,,Ccy,Conv)</f>
        <v>0</v>
      </c>
      <c r="F35" s="4">
        <f>_xll.ciqfunctions.udf.CIQ(InputTicker, "IQ_RESTRUCTURE",Input!H$2,Date,,,Ccy,Conv)</f>
        <v>0</v>
      </c>
      <c r="G35" s="4">
        <f>_xll.ciqfunctions.udf.CIQ(InputTicker, "IQ_RESTRUCTURE",Input!I$2,Date,,,Ccy,Conv)</f>
        <v>0</v>
      </c>
      <c r="H35" s="4">
        <f>_xll.ciqfunctions.udf.CIQ(InputTicker, "IQ_RESTRUCTURE",Input!J$2,Date,,,Ccy,Conv)</f>
        <v>0</v>
      </c>
      <c r="I35" s="4">
        <f>_xll.ciqfunctions.udf.CIQ(InputTicker, "IQ_RESTRUCTURE",Input!K$2,Date,,,Ccy,Conv)</f>
        <v>0</v>
      </c>
      <c r="J35" s="4">
        <f>_xll.ciqfunctions.udf.CIQ(InputTicker, "IQ_RESTRUCTURE",Input!L$2,Date,,,Ccy,Conv)</f>
        <v>0</v>
      </c>
      <c r="K35" s="4">
        <f>_xll.ciqfunctions.udf.CIQ(InputTicker, "IQ_RESTRUCTURE",Input!M$2,Date,,,Ccy,Conv)</f>
        <v>0</v>
      </c>
      <c r="L35" s="4">
        <f>_xll.ciqfunctions.udf.CIQ(InputTicker, "IQ_RESTRUCTURE",Input!N$2,Date,,,Ccy,Conv)</f>
        <v>0</v>
      </c>
      <c r="M35" s="4">
        <f>_xll.ciqfunctions.udf.CIQ(InputTicker, "IQ_RESTRUCTURE",Input!O$2,Date,,,Ccy,Conv)</f>
        <v>0</v>
      </c>
      <c r="N35" s="46"/>
      <c r="P35" s="46"/>
      <c r="Q35" s="46"/>
      <c r="R35" s="46"/>
      <c r="T35" s="42"/>
      <c r="U35" s="42"/>
      <c r="V35" s="46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</row>
    <row r="36" spans="1:66" ht="12.75" customHeight="1" x14ac:dyDescent="0.2">
      <c r="A36" s="1" t="s">
        <v>128</v>
      </c>
      <c r="B36" s="4">
        <f>_xll.ciqfunctions.udf.CIQ(InputTicker, "IQ_MERGER",Input!D$2,Date,,,Ccy,Conv)</f>
        <v>0</v>
      </c>
      <c r="C36" s="4">
        <f>_xll.ciqfunctions.udf.CIQ(InputTicker, "IQ_MERGER",Input!E$2,Date,,,Ccy,Conv)</f>
        <v>0</v>
      </c>
      <c r="D36" s="4">
        <f>_xll.ciqfunctions.udf.CIQ(InputTicker, "IQ_MERGER",Input!F$2,Date,,,Ccy,Conv)</f>
        <v>0</v>
      </c>
      <c r="E36" s="4">
        <f>_xll.ciqfunctions.udf.CIQ(InputTicker, "IQ_MERGER",Input!G$2,Date,,,Ccy,Conv)</f>
        <v>0</v>
      </c>
      <c r="F36" s="4">
        <f>_xll.ciqfunctions.udf.CIQ(InputTicker, "IQ_MERGER",Input!H$2,Date,,,Ccy,Conv)</f>
        <v>0</v>
      </c>
      <c r="G36" s="4">
        <f>_xll.ciqfunctions.udf.CIQ(InputTicker, "IQ_MERGER",Input!I$2,Date,,,Ccy,Conv)</f>
        <v>0</v>
      </c>
      <c r="H36" s="4">
        <f>_xll.ciqfunctions.udf.CIQ(InputTicker, "IQ_MERGER",Input!J$2,Date,,,Ccy,Conv)</f>
        <v>0</v>
      </c>
      <c r="I36" s="4">
        <f>_xll.ciqfunctions.udf.CIQ(InputTicker, "IQ_MERGER",Input!K$2,Date,,,Ccy,Conv)</f>
        <v>0</v>
      </c>
      <c r="J36" s="4">
        <f>_xll.ciqfunctions.udf.CIQ(InputTicker, "IQ_MERGER",Input!L$2,Date,,,Ccy,Conv)</f>
        <v>0</v>
      </c>
      <c r="K36" s="4">
        <f>_xll.ciqfunctions.udf.CIQ(InputTicker, "IQ_MERGER",Input!M$2,Date,,,Ccy,Conv)</f>
        <v>0</v>
      </c>
      <c r="L36" s="4">
        <f>_xll.ciqfunctions.udf.CIQ(InputTicker, "IQ_MERGER",Input!N$2,Date,,,Ccy,Conv)</f>
        <v>0</v>
      </c>
      <c r="M36" s="4">
        <f>_xll.ciqfunctions.udf.CIQ(InputTicker, "IQ_MERGER",Input!O$2,Date,,,Ccy,Conv)</f>
        <v>-0.59399999999999997</v>
      </c>
      <c r="N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</row>
    <row r="37" spans="1:66" ht="12.75" customHeight="1" x14ac:dyDescent="0.2">
      <c r="A37" s="1" t="s">
        <v>67</v>
      </c>
      <c r="B37" s="4">
        <f>_xll.ciqfunctions.udf.CIQ(InputTicker, "IQ_IMPAIRMENT_GW",Input!D$2,Date,,,Ccy,Conv)</f>
        <v>0</v>
      </c>
      <c r="C37" s="4">
        <f>_xll.ciqfunctions.udf.CIQ(InputTicker, "IQ_IMPAIRMENT_GW",Input!E$2,Date,,,Ccy,Conv)</f>
        <v>0</v>
      </c>
      <c r="D37" s="4">
        <f>_xll.ciqfunctions.udf.CIQ(InputTicker, "IQ_IMPAIRMENT_GW",Input!F$2,Date,,,Ccy,Conv)</f>
        <v>0</v>
      </c>
      <c r="E37" s="4">
        <f>_xll.ciqfunctions.udf.CIQ(InputTicker, "IQ_IMPAIRMENT_GW",Input!G$2,Date,,,Ccy,Conv)</f>
        <v>0</v>
      </c>
      <c r="F37" s="4">
        <f>_xll.ciqfunctions.udf.CIQ(InputTicker, "IQ_IMPAIRMENT_GW",Input!H$2,Date,,,Ccy,Conv)</f>
        <v>0</v>
      </c>
      <c r="G37" s="4">
        <f>_xll.ciqfunctions.udf.CIQ(InputTicker, "IQ_IMPAIRMENT_GW",Input!I$2,Date,,,Ccy,Conv)</f>
        <v>0</v>
      </c>
      <c r="H37" s="4">
        <f>_xll.ciqfunctions.udf.CIQ(InputTicker, "IQ_IMPAIRMENT_GW",Input!J$2,Date,,,Ccy,Conv)</f>
        <v>0</v>
      </c>
      <c r="I37" s="4">
        <f>_xll.ciqfunctions.udf.CIQ(InputTicker, "IQ_IMPAIRMENT_GW",Input!K$2,Date,,,Ccy,Conv)</f>
        <v>0</v>
      </c>
      <c r="J37" s="4">
        <f>_xll.ciqfunctions.udf.CIQ(InputTicker, "IQ_IMPAIRMENT_GW",Input!L$2,Date,,,Ccy,Conv)</f>
        <v>0</v>
      </c>
      <c r="K37" s="4">
        <f>_xll.ciqfunctions.udf.CIQ(InputTicker, "IQ_IMPAIRMENT_GW",Input!M$2,Date,,,Ccy,Conv)</f>
        <v>0</v>
      </c>
      <c r="L37" s="4">
        <f>_xll.ciqfunctions.udf.CIQ(InputTicker, "IQ_IMPAIRMENT_GW",Input!N$2,Date,,,Ccy,Conv)</f>
        <v>0</v>
      </c>
      <c r="M37" s="4">
        <f>_xll.ciqfunctions.udf.CIQ(InputTicker, "IQ_IMPAIRMENT_GW",Input!O$2,Date,,,Ccy,Conv)</f>
        <v>0</v>
      </c>
      <c r="N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</row>
    <row r="38" spans="1:66" ht="12.75" customHeight="1" x14ac:dyDescent="0.2">
      <c r="A38" s="1" t="s">
        <v>68</v>
      </c>
      <c r="B38" s="4">
        <f>_xll.ciqfunctions.udf.CIQ(InputTicker, "IQ_GAIN_INVEST",Input!D$2,Date,,,Ccy,Conv)</f>
        <v>7.4999999999999997E-2</v>
      </c>
      <c r="C38" s="4">
        <f>_xll.ciqfunctions.udf.CIQ(InputTicker, "IQ_GAIN_INVEST",Input!E$2,Date,,,Ccy,Conv)</f>
        <v>2.1000000000000001E-2</v>
      </c>
      <c r="D38" s="4">
        <f>_xll.ciqfunctions.udf.CIQ(InputTicker, "IQ_GAIN_INVEST",Input!F$2,Date,,,Ccy,Conv)</f>
        <v>0.224</v>
      </c>
      <c r="E38" s="4">
        <f>_xll.ciqfunctions.udf.CIQ(InputTicker, "IQ_GAIN_INVEST",Input!G$2,Date,,,Ccy,Conv)</f>
        <v>-3.5000000000000003E-2</v>
      </c>
      <c r="F38" s="4">
        <f>_xll.ciqfunctions.udf.CIQ(InputTicker, "IQ_GAIN_INVEST",Input!H$2,Date,,,Ccy,Conv)</f>
        <v>2.4E-2</v>
      </c>
      <c r="G38" s="4">
        <f>_xll.ciqfunctions.udf.CIQ(InputTicker, "IQ_GAIN_INVEST",Input!I$2,Date,,,Ccy,Conv)</f>
        <v>0.13900000000000001</v>
      </c>
      <c r="H38" s="4">
        <f>_xll.ciqfunctions.udf.CIQ(InputTicker, "IQ_GAIN_INVEST",Input!J$2,Date,,,Ccy,Conv)</f>
        <v>-1.351</v>
      </c>
      <c r="I38" s="4">
        <f>_xll.ciqfunctions.udf.CIQ(InputTicker, "IQ_GAIN_INVEST",Input!K$2,Date,,,Ccy,Conv)</f>
        <v>0.105</v>
      </c>
      <c r="J38" s="4">
        <f>_xll.ciqfunctions.udf.CIQ(InputTicker, "IQ_GAIN_INVEST",Input!L$2,Date,,,Ccy,Conv)</f>
        <v>-3.5999999999999997E-2</v>
      </c>
      <c r="K38" s="4">
        <f>_xll.ciqfunctions.udf.CIQ(InputTicker, "IQ_GAIN_INVEST",Input!M$2,Date,,,Ccy,Conv)</f>
        <v>0.191</v>
      </c>
      <c r="L38" s="4">
        <f>_xll.ciqfunctions.udf.CIQ(InputTicker, "IQ_GAIN_INVEST",Input!N$2,Date,,,Ccy,Conv)</f>
        <v>7.5999999999999998E-2</v>
      </c>
      <c r="M38" s="4">
        <f>_xll.ciqfunctions.udf.CIQ(InputTicker, "IQ_GAIN_INVEST",Input!O$2,Date,,,Ccy,Conv)</f>
        <v>7.5999999999999998E-2</v>
      </c>
      <c r="N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</row>
    <row r="39" spans="1:66" ht="12.75" customHeight="1" x14ac:dyDescent="0.2">
      <c r="A39" s="1" t="s">
        <v>69</v>
      </c>
      <c r="B39" s="4">
        <f>_xll.ciqfunctions.udf.CIQ(InputTicker, "IQ_GAIN_ASSETS",Input!D$2,Date,,,Ccy,Conv)</f>
        <v>-0.56799999999999995</v>
      </c>
      <c r="C39" s="4">
        <f>_xll.ciqfunctions.udf.CIQ(InputTicker, "IQ_GAIN_ASSETS",Input!E$2,Date,,,Ccy,Conv)</f>
        <v>1.5629999999999999</v>
      </c>
      <c r="D39" s="4">
        <f>_xll.ciqfunctions.udf.CIQ(InputTicker, "IQ_GAIN_ASSETS",Input!F$2,Date,,,Ccy,Conv)</f>
        <v>-3.6640000000000001</v>
      </c>
      <c r="E39" s="4">
        <f>_xll.ciqfunctions.udf.CIQ(InputTicker, "IQ_GAIN_ASSETS",Input!G$2,Date,,,Ccy,Conv)</f>
        <v>-0.47299999999999998</v>
      </c>
      <c r="F39" s="4">
        <f>_xll.ciqfunctions.udf.CIQ(InputTicker, "IQ_GAIN_ASSETS",Input!H$2,Date,,,Ccy,Conv)</f>
        <v>-3.3000000000000002E-2</v>
      </c>
      <c r="G39" s="4">
        <f>_xll.ciqfunctions.udf.CIQ(InputTicker, "IQ_GAIN_ASSETS",Input!I$2,Date,,,Ccy,Conv)</f>
        <v>-8.2000000000000003E-2</v>
      </c>
      <c r="H39" s="4">
        <f>_xll.ciqfunctions.udf.CIQ(InputTicker, "IQ_GAIN_ASSETS",Input!J$2,Date,,,Ccy,Conv)</f>
        <v>-2.9820000000000002</v>
      </c>
      <c r="I39" s="4">
        <f>_xll.ciqfunctions.udf.CIQ(InputTicker, "IQ_GAIN_ASSETS",Input!K$2,Date,,,Ccy,Conv)</f>
        <v>-0.38300000000000001</v>
      </c>
      <c r="J39" s="4">
        <f>_xll.ciqfunctions.udf.CIQ(InputTicker, "IQ_GAIN_ASSETS",Input!L$2,Date,,,Ccy,Conv)</f>
        <v>0.13100000000000001</v>
      </c>
      <c r="K39" s="4">
        <f>_xll.ciqfunctions.udf.CIQ(InputTicker, "IQ_GAIN_ASSETS",Input!M$2,Date,,,Ccy,Conv)</f>
        <v>-2.5999999999999999E-2</v>
      </c>
      <c r="L39" s="4">
        <f>_xll.ciqfunctions.udf.CIQ(InputTicker, "IQ_GAIN_ASSETS",Input!N$2,Date,,,Ccy,Conv)</f>
        <v>0.25900000000000001</v>
      </c>
      <c r="M39" s="4">
        <f>_xll.ciqfunctions.udf.CIQ(InputTicker, "IQ_GAIN_ASSETS",Input!O$2,Date,,,Ccy,Conv)</f>
        <v>-1.954</v>
      </c>
      <c r="N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</row>
    <row r="40" spans="1:66" ht="12.75" customHeight="1" x14ac:dyDescent="0.2">
      <c r="A40" s="1" t="s">
        <v>166</v>
      </c>
      <c r="B40" s="4">
        <f>_xll.ciqfunctions.udf.CIQ(InputTicker, "IQ_ASSET_WRITEDOWN",Input!D$2,Date,,,Ccy,Conv)</f>
        <v>0</v>
      </c>
      <c r="C40" s="4">
        <f>_xll.ciqfunctions.udf.CIQ(InputTicker, "IQ_ASSET_WRITEDOWN",Input!E$2,Date,,,Ccy,Conv)</f>
        <v>0</v>
      </c>
      <c r="D40" s="4">
        <f>_xll.ciqfunctions.udf.CIQ(InputTicker, "IQ_ASSET_WRITEDOWN",Input!F$2,Date,,,Ccy,Conv)</f>
        <v>0</v>
      </c>
      <c r="E40" s="4">
        <f>_xll.ciqfunctions.udf.CIQ(InputTicker, "IQ_ASSET_WRITEDOWN",Input!G$2,Date,,,Ccy,Conv)</f>
        <v>0</v>
      </c>
      <c r="F40" s="4">
        <f>_xll.ciqfunctions.udf.CIQ(InputTicker, "IQ_ASSET_WRITEDOWN",Input!H$2,Date,,,Ccy,Conv)</f>
        <v>0</v>
      </c>
      <c r="G40" s="4">
        <f>_xll.ciqfunctions.udf.CIQ(InputTicker, "IQ_ASSET_WRITEDOWN",Input!I$2,Date,,,Ccy,Conv)</f>
        <v>0</v>
      </c>
      <c r="H40" s="4">
        <f>_xll.ciqfunctions.udf.CIQ(InputTicker, "IQ_ASSET_WRITEDOWN",Input!J$2,Date,,,Ccy,Conv)</f>
        <v>0</v>
      </c>
      <c r="I40" s="4">
        <f>_xll.ciqfunctions.udf.CIQ(InputTicker, "IQ_ASSET_WRITEDOWN",Input!K$2,Date,,,Ccy,Conv)</f>
        <v>0</v>
      </c>
      <c r="J40" s="4">
        <f>_xll.ciqfunctions.udf.CIQ(InputTicker, "IQ_ASSET_WRITEDOWN",Input!L$2,Date,,,Ccy,Conv)</f>
        <v>0</v>
      </c>
      <c r="K40" s="4">
        <f>_xll.ciqfunctions.udf.CIQ(InputTicker, "IQ_ASSET_WRITEDOWN",Input!M$2,Date,,,Ccy,Conv)</f>
        <v>0</v>
      </c>
      <c r="L40" s="4">
        <f>_xll.ciqfunctions.udf.CIQ(InputTicker, "IQ_ASSET_WRITEDOWN",Input!N$2,Date,,,Ccy,Conv)</f>
        <v>0</v>
      </c>
      <c r="M40" s="4">
        <f>_xll.ciqfunctions.udf.CIQ(InputTicker, "IQ_ASSET_WRITEDOWN",Input!O$2,Date,,,Ccy,Conv)</f>
        <v>0</v>
      </c>
      <c r="N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</row>
    <row r="41" spans="1:66" ht="12.75" customHeight="1" x14ac:dyDescent="0.2">
      <c r="A41" s="1" t="s">
        <v>278</v>
      </c>
      <c r="B41" s="4">
        <f>_xll.ciqfunctions.udf.CIQ(InputTicker, "IQ_IPRD",Input!D$2,Date,,,Ccy,Conv)</f>
        <v>0</v>
      </c>
      <c r="C41" s="4">
        <f>_xll.ciqfunctions.udf.CIQ(InputTicker, "IQ_IPRD",Input!E$2,Date,,,Ccy,Conv)</f>
        <v>0</v>
      </c>
      <c r="D41" s="4">
        <f>_xll.ciqfunctions.udf.CIQ(InputTicker, "IQ_IPRD",Input!F$2,Date,,,Ccy,Conv)</f>
        <v>0</v>
      </c>
      <c r="E41" s="4">
        <f>_xll.ciqfunctions.udf.CIQ(InputTicker, "IQ_IPRD",Input!G$2,Date,,,Ccy,Conv)</f>
        <v>0</v>
      </c>
      <c r="F41" s="4">
        <f>_xll.ciqfunctions.udf.CIQ(InputTicker, "IQ_IPRD",Input!H$2,Date,,,Ccy,Conv)</f>
        <v>0</v>
      </c>
      <c r="G41" s="4">
        <f>_xll.ciqfunctions.udf.CIQ(InputTicker, "IQ_IPRD",Input!I$2,Date,,,Ccy,Conv)</f>
        <v>0</v>
      </c>
      <c r="H41" s="4">
        <f>_xll.ciqfunctions.udf.CIQ(InputTicker, "IQ_IPRD",Input!J$2,Date,,,Ccy,Conv)</f>
        <v>0</v>
      </c>
      <c r="I41" s="4">
        <f>_xll.ciqfunctions.udf.CIQ(InputTicker, "IQ_IPRD",Input!K$2,Date,,,Ccy,Conv)</f>
        <v>0</v>
      </c>
      <c r="J41" s="4">
        <f>_xll.ciqfunctions.udf.CIQ(InputTicker, "IQ_IPRD",Input!L$2,Date,,,Ccy,Conv)</f>
        <v>0</v>
      </c>
      <c r="K41" s="4">
        <f>_xll.ciqfunctions.udf.CIQ(InputTicker, "IQ_IPRD",Input!M$2,Date,,,Ccy,Conv)</f>
        <v>0</v>
      </c>
      <c r="L41" s="4">
        <f>_xll.ciqfunctions.udf.CIQ(InputTicker, "IQ_IPRD",Input!N$2,Date,,,Ccy,Conv)</f>
        <v>0</v>
      </c>
      <c r="M41" s="4">
        <f>_xll.ciqfunctions.udf.CIQ(InputTicker, "IQ_IPRD",Input!O$2,Date,,,Ccy,Conv)</f>
        <v>0</v>
      </c>
      <c r="N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</row>
    <row r="42" spans="1:66" ht="12.75" customHeight="1" x14ac:dyDescent="0.2">
      <c r="A42" s="1" t="s">
        <v>167</v>
      </c>
      <c r="B42" s="4">
        <f>_xll.ciqfunctions.udf.CIQ(InputTicker, "IQ_INS_SETTLE",Input!D$2,Date,,,Ccy,Conv)</f>
        <v>0</v>
      </c>
      <c r="C42" s="4">
        <f>_xll.ciqfunctions.udf.CIQ(InputTicker, "IQ_INS_SETTLE",Input!E$2,Date,,,Ccy,Conv)</f>
        <v>0</v>
      </c>
      <c r="D42" s="4">
        <f>_xll.ciqfunctions.udf.CIQ(InputTicker, "IQ_INS_SETTLE",Input!F$2,Date,,,Ccy,Conv)</f>
        <v>0</v>
      </c>
      <c r="E42" s="4">
        <f>_xll.ciqfunctions.udf.CIQ(InputTicker, "IQ_INS_SETTLE",Input!G$2,Date,,,Ccy,Conv)</f>
        <v>0</v>
      </c>
      <c r="F42" s="4">
        <f>_xll.ciqfunctions.udf.CIQ(InputTicker, "IQ_INS_SETTLE",Input!H$2,Date,,,Ccy,Conv)</f>
        <v>0</v>
      </c>
      <c r="G42" s="4">
        <f>_xll.ciqfunctions.udf.CIQ(InputTicker, "IQ_INS_SETTLE",Input!I$2,Date,,,Ccy,Conv)</f>
        <v>0</v>
      </c>
      <c r="H42" s="4">
        <f>_xll.ciqfunctions.udf.CIQ(InputTicker, "IQ_INS_SETTLE",Input!J$2,Date,,,Ccy,Conv)</f>
        <v>0</v>
      </c>
      <c r="I42" s="4">
        <f>_xll.ciqfunctions.udf.CIQ(InputTicker, "IQ_INS_SETTLE",Input!K$2,Date,,,Ccy,Conv)</f>
        <v>5.492</v>
      </c>
      <c r="J42" s="4">
        <f>_xll.ciqfunctions.udf.CIQ(InputTicker, "IQ_INS_SETTLE",Input!L$2,Date,,,Ccy,Conv)</f>
        <v>0</v>
      </c>
      <c r="K42" s="4">
        <f>_xll.ciqfunctions.udf.CIQ(InputTicker, "IQ_INS_SETTLE",Input!M$2,Date,,,Ccy,Conv)</f>
        <v>0</v>
      </c>
      <c r="L42" s="4">
        <f>_xll.ciqfunctions.udf.CIQ(InputTicker, "IQ_INS_SETTLE",Input!N$2,Date,,,Ccy,Conv)</f>
        <v>0</v>
      </c>
      <c r="M42" s="4">
        <f>_xll.ciqfunctions.udf.CIQ(InputTicker, "IQ_INS_SETTLE",Input!O$2,Date,,,Ccy,Conv)</f>
        <v>0</v>
      </c>
      <c r="N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</row>
    <row r="43" spans="1:66" ht="12.75" customHeight="1" x14ac:dyDescent="0.2">
      <c r="A43" s="1" t="s">
        <v>168</v>
      </c>
      <c r="B43" s="4">
        <f>_xll.ciqfunctions.udf.CIQ(InputTicker, "IQ_LEGAL_SETTLE",Input!D$2,Date,,,Ccy,Conv)</f>
        <v>0</v>
      </c>
      <c r="C43" s="4">
        <f>_xll.ciqfunctions.udf.CIQ(InputTicker, "IQ_LEGAL_SETTLE",Input!E$2,Date,,,Ccy,Conv)</f>
        <v>0</v>
      </c>
      <c r="D43" s="4">
        <f>_xll.ciqfunctions.udf.CIQ(InputTicker, "IQ_LEGAL_SETTLE",Input!F$2,Date,,,Ccy,Conv)</f>
        <v>0</v>
      </c>
      <c r="E43" s="4">
        <f>_xll.ciqfunctions.udf.CIQ(InputTicker, "IQ_LEGAL_SETTLE",Input!G$2,Date,,,Ccy,Conv)</f>
        <v>-80.75</v>
      </c>
      <c r="F43" s="4">
        <f>_xll.ciqfunctions.udf.CIQ(InputTicker, "IQ_LEGAL_SETTLE",Input!H$2,Date,,,Ccy,Conv)</f>
        <v>0</v>
      </c>
      <c r="G43" s="4">
        <f>_xll.ciqfunctions.udf.CIQ(InputTicker, "IQ_LEGAL_SETTLE",Input!I$2,Date,,,Ccy,Conv)</f>
        <v>0</v>
      </c>
      <c r="H43" s="4">
        <f>_xll.ciqfunctions.udf.CIQ(InputTicker, "IQ_LEGAL_SETTLE",Input!J$2,Date,,,Ccy,Conv)</f>
        <v>0</v>
      </c>
      <c r="I43" s="4">
        <f>_xll.ciqfunctions.udf.CIQ(InputTicker, "IQ_LEGAL_SETTLE",Input!K$2,Date,,,Ccy,Conv)</f>
        <v>0</v>
      </c>
      <c r="J43" s="4">
        <f>_xll.ciqfunctions.udf.CIQ(InputTicker, "IQ_LEGAL_SETTLE",Input!L$2,Date,,,Ccy,Conv)</f>
        <v>0</v>
      </c>
      <c r="K43" s="4">
        <f>_xll.ciqfunctions.udf.CIQ(InputTicker, "IQ_LEGAL_SETTLE",Input!M$2,Date,,,Ccy,Conv)</f>
        <v>-19.648</v>
      </c>
      <c r="L43" s="4">
        <f>_xll.ciqfunctions.udf.CIQ(InputTicker, "IQ_LEGAL_SETTLE",Input!N$2,Date,,,Ccy,Conv)</f>
        <v>0</v>
      </c>
      <c r="M43" s="4">
        <f>_xll.ciqfunctions.udf.CIQ(InputTicker, "IQ_LEGAL_SETTLE",Input!O$2,Date,,,Ccy,Conv)</f>
        <v>0</v>
      </c>
      <c r="N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</row>
    <row r="44" spans="1:66" ht="12.75" customHeight="1" x14ac:dyDescent="0.2">
      <c r="A44" s="1" t="s">
        <v>129</v>
      </c>
      <c r="B44" s="8">
        <f>_xll.ciqfunctions.udf.CIQ(InputTicker, "IQ_OTHER_UNUSUAL_SUPPL",Input!D$2,Date,,,Ccy,Conv)</f>
        <v>0</v>
      </c>
      <c r="C44" s="8">
        <f>_xll.ciqfunctions.udf.CIQ(InputTicker, "IQ_OTHER_UNUSUAL_SUPPL",Input!E$2,Date,,,Ccy,Conv)</f>
        <v>0</v>
      </c>
      <c r="D44" s="8">
        <f>_xll.ciqfunctions.udf.CIQ(InputTicker, "IQ_OTHER_UNUSUAL_SUPPL",Input!F$2,Date,,,Ccy,Conv)</f>
        <v>0</v>
      </c>
      <c r="E44" s="8">
        <f>_xll.ciqfunctions.udf.CIQ(InputTicker, "IQ_OTHER_UNUSUAL_SUPPL",Input!G$2,Date,,,Ccy,Conv)</f>
        <v>0</v>
      </c>
      <c r="F44" s="8">
        <f>_xll.ciqfunctions.udf.CIQ(InputTicker, "IQ_OTHER_UNUSUAL_SUPPL",Input!H$2,Date,,,Ccy,Conv)</f>
        <v>0</v>
      </c>
      <c r="G44" s="8">
        <f>_xll.ciqfunctions.udf.CIQ(InputTicker, "IQ_OTHER_UNUSUAL_SUPPL",Input!I$2,Date,,,Ccy,Conv)</f>
        <v>0</v>
      </c>
      <c r="H44" s="8">
        <f>_xll.ciqfunctions.udf.CIQ(InputTicker, "IQ_OTHER_UNUSUAL_SUPPL",Input!J$2,Date,,,Ccy,Conv)</f>
        <v>0</v>
      </c>
      <c r="I44" s="8">
        <f>_xll.ciqfunctions.udf.CIQ(InputTicker, "IQ_OTHER_UNUSUAL_SUPPL",Input!K$2,Date,,,Ccy,Conv)</f>
        <v>0</v>
      </c>
      <c r="J44" s="8">
        <f>_xll.ciqfunctions.udf.CIQ(InputTicker, "IQ_OTHER_UNUSUAL_SUPPL",Input!L$2,Date,,,Ccy,Conv)</f>
        <v>0</v>
      </c>
      <c r="K44" s="8">
        <f>_xll.ciqfunctions.udf.CIQ(InputTicker, "IQ_OTHER_UNUSUAL_SUPPL",Input!M$2,Date,,,Ccy,Conv)</f>
        <v>-5.5</v>
      </c>
      <c r="L44" s="8">
        <f>_xll.ciqfunctions.udf.CIQ(InputTicker, "IQ_OTHER_UNUSUAL_SUPPL",Input!N$2,Date,,,Ccy,Conv)</f>
        <v>-15</v>
      </c>
      <c r="M44" s="8">
        <f>_xll.ciqfunctions.udf.CIQ(InputTicker, "IQ_OTHER_UNUSUAL_SUPPL",Input!O$2,Date,,,Ccy,Conv)</f>
        <v>-16.5</v>
      </c>
      <c r="N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</row>
    <row r="45" spans="1:66" ht="12.75" customHeight="1" x14ac:dyDescent="0.2">
      <c r="A45" s="5" t="s">
        <v>70</v>
      </c>
      <c r="B45" s="6">
        <f>_xll.ciqfunctions.udf.CIQ(InputTicker, "IQ_EBT",Input!D$2,Date,,,Ccy,Conv)</f>
        <v>246.54900000000001</v>
      </c>
      <c r="C45" s="6">
        <f>_xll.ciqfunctions.udf.CIQ(InputTicker, "IQ_EBT",Input!E$2,Date,,,Ccy,Conv)</f>
        <v>487.24900000000002</v>
      </c>
      <c r="D45" s="6">
        <f>_xll.ciqfunctions.udf.CIQ(InputTicker, "IQ_EBT",Input!F$2,Date,,,Ccy,Conv)</f>
        <v>-114.294</v>
      </c>
      <c r="E45" s="6">
        <f>_xll.ciqfunctions.udf.CIQ(InputTicker, "IQ_EBT",Input!G$2,Date,,,Ccy,Conv)</f>
        <v>117.337</v>
      </c>
      <c r="F45" s="6">
        <f>_xll.ciqfunctions.udf.CIQ(InputTicker, "IQ_EBT",Input!H$2,Date,,,Ccy,Conv)</f>
        <v>70.805000000000007</v>
      </c>
      <c r="G45" s="6">
        <f>_xll.ciqfunctions.udf.CIQ(InputTicker, "IQ_EBT",Input!I$2,Date,,,Ccy,Conv)</f>
        <v>20.059000000000001</v>
      </c>
      <c r="H45" s="6">
        <f>_xll.ciqfunctions.udf.CIQ(InputTicker, "IQ_EBT",Input!J$2,Date,,,Ccy,Conv)</f>
        <v>-9.9489999999999998</v>
      </c>
      <c r="I45" s="6">
        <f>_xll.ciqfunctions.udf.CIQ(InputTicker, "IQ_EBT",Input!K$2,Date,,,Ccy,Conv)</f>
        <v>166.01499999999999</v>
      </c>
      <c r="J45" s="6">
        <f>_xll.ciqfunctions.udf.CIQ(InputTicker, "IQ_EBT",Input!L$2,Date,,,Ccy,Conv)</f>
        <v>998.55</v>
      </c>
      <c r="K45" s="6">
        <f>_xll.ciqfunctions.udf.CIQ(InputTicker, "IQ_EBT",Input!M$2,Date,,,Ccy,Conv)</f>
        <v>359.971</v>
      </c>
      <c r="L45" s="6">
        <f>_xll.ciqfunctions.udf.CIQ(InputTicker, "IQ_EBT",Input!N$2,Date,,,Ccy,Conv)</f>
        <v>1603.1420000000001</v>
      </c>
      <c r="M45" s="6">
        <f>_xll.ciqfunctions.udf.CIQ(InputTicker, "IQ_EBT",Input!O$2,Date,,,Ccy,Conv)</f>
        <v>1515.5719999999999</v>
      </c>
      <c r="N45" s="46"/>
      <c r="P45" s="46"/>
      <c r="Q45" s="46"/>
      <c r="R45" s="46"/>
      <c r="T45" s="42"/>
      <c r="U45" s="42"/>
      <c r="V45" s="46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</row>
    <row r="46" spans="1:66" ht="12.75" customHeight="1" x14ac:dyDescent="0.2">
      <c r="A46" s="1" t="s">
        <v>71</v>
      </c>
      <c r="B46" s="4">
        <f>_xll.ciqfunctions.udf.CIQ(InputTicker, "IQ_INC_TAX",Input!D$2,Date,,,Ccy,Conv)</f>
        <v>84.268000000000001</v>
      </c>
      <c r="C46" s="4">
        <f>_xll.ciqfunctions.udf.CIQ(InputTicker, "IQ_INC_TAX",Input!E$2,Date,,,Ccy,Conv)</f>
        <v>169.202</v>
      </c>
      <c r="D46" s="4">
        <f>_xll.ciqfunctions.udf.CIQ(InputTicker, "IQ_INC_TAX",Input!F$2,Date,,,Ccy,Conv)</f>
        <v>-39.866999999999997</v>
      </c>
      <c r="E46" s="4">
        <f>_xll.ciqfunctions.udf.CIQ(InputTicker, "IQ_INC_TAX",Input!G$2,Date,,,Ccy,Conv)</f>
        <v>-8.859</v>
      </c>
      <c r="F46" s="4">
        <f>_xll.ciqfunctions.udf.CIQ(InputTicker, "IQ_INC_TAX",Input!H$2,Date,,,Ccy,Conv)</f>
        <v>15.743</v>
      </c>
      <c r="G46" s="4">
        <f>_xll.ciqfunctions.udf.CIQ(InputTicker, "IQ_INC_TAX",Input!I$2,Date,,,Ccy,Conv)</f>
        <v>1.7310000000000001</v>
      </c>
      <c r="H46" s="4">
        <f>_xll.ciqfunctions.udf.CIQ(InputTicker, "IQ_INC_TAX",Input!J$2,Date,,,Ccy,Conv)</f>
        <v>-12.009</v>
      </c>
      <c r="I46" s="4">
        <f>_xll.ciqfunctions.udf.CIQ(InputTicker, "IQ_INC_TAX",Input!K$2,Date,,,Ccy,Conv)</f>
        <v>33.573999999999998</v>
      </c>
      <c r="J46" s="4">
        <f>_xll.ciqfunctions.udf.CIQ(InputTicker, "IQ_INC_TAX",Input!L$2,Date,,,Ccy,Conv)</f>
        <v>241.81800000000001</v>
      </c>
      <c r="K46" s="4">
        <f>_xll.ciqfunctions.udf.CIQ(InputTicker, "IQ_INC_TAX",Input!M$2,Date,,,Ccy,Conv)</f>
        <v>83.688999999999993</v>
      </c>
      <c r="L46" s="4">
        <f>_xll.ciqfunctions.udf.CIQ(InputTicker, "IQ_INC_TAX",Input!N$2,Date,,,Ccy,Conv)</f>
        <v>384.91</v>
      </c>
      <c r="M46" s="4">
        <f>_xll.ciqfunctions.udf.CIQ(InputTicker, "IQ_INC_TAX",Input!O$2,Date,,,Ccy,Conv)</f>
        <v>363.255</v>
      </c>
      <c r="N46" s="46"/>
      <c r="P46" s="46"/>
      <c r="Q46" s="46"/>
      <c r="R46" s="46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</row>
    <row r="47" spans="1:66" ht="12.75" customHeight="1" x14ac:dyDescent="0.2">
      <c r="A47" s="5" t="s">
        <v>72</v>
      </c>
      <c r="B47" s="6">
        <f>_xll.ciqfunctions.udf.CIQ(InputTicker, "IQ_EARNING_CO",Input!D$2,Date,,,Ccy,Conv)</f>
        <v>162.28100000000001</v>
      </c>
      <c r="C47" s="6">
        <f>_xll.ciqfunctions.udf.CIQ(InputTicker, "IQ_EARNING_CO",Input!E$2,Date,,,Ccy,Conv)</f>
        <v>318.04700000000003</v>
      </c>
      <c r="D47" s="6">
        <f>_xll.ciqfunctions.udf.CIQ(InputTicker, "IQ_EARNING_CO",Input!F$2,Date,,,Ccy,Conv)</f>
        <v>-74.427000000000007</v>
      </c>
      <c r="E47" s="6">
        <f>_xll.ciqfunctions.udf.CIQ(InputTicker, "IQ_EARNING_CO",Input!G$2,Date,,,Ccy,Conv)</f>
        <v>126.196</v>
      </c>
      <c r="F47" s="6">
        <f>_xll.ciqfunctions.udf.CIQ(InputTicker, "IQ_EARNING_CO",Input!H$2,Date,,,Ccy,Conv)</f>
        <v>55.061999999999998</v>
      </c>
      <c r="G47" s="6">
        <f>_xll.ciqfunctions.udf.CIQ(InputTicker, "IQ_EARNING_CO",Input!I$2,Date,,,Ccy,Conv)</f>
        <v>18.327999999999999</v>
      </c>
      <c r="H47" s="6">
        <f>_xll.ciqfunctions.udf.CIQ(InputTicker, "IQ_EARNING_CO",Input!J$2,Date,,,Ccy,Conv)</f>
        <v>2.06</v>
      </c>
      <c r="I47" s="6">
        <f>_xll.ciqfunctions.udf.CIQ(InputTicker, "IQ_EARNING_CO",Input!K$2,Date,,,Ccy,Conv)</f>
        <v>132.441</v>
      </c>
      <c r="J47" s="6">
        <f>_xll.ciqfunctions.udf.CIQ(InputTicker, "IQ_EARNING_CO",Input!L$2,Date,,,Ccy,Conv)</f>
        <v>756.73199999999997</v>
      </c>
      <c r="K47" s="6">
        <f>_xll.ciqfunctions.udf.CIQ(InputTicker, "IQ_EARNING_CO",Input!M$2,Date,,,Ccy,Conv)</f>
        <v>276.28199999999998</v>
      </c>
      <c r="L47" s="6">
        <f>_xll.ciqfunctions.udf.CIQ(InputTicker, "IQ_EARNING_CO",Input!N$2,Date,,,Ccy,Conv)</f>
        <v>1218.232</v>
      </c>
      <c r="M47" s="6">
        <f>_xll.ciqfunctions.udf.CIQ(InputTicker, "IQ_EARNING_CO",Input!O$2,Date,,,Ccy,Conv)</f>
        <v>1152.317</v>
      </c>
      <c r="N47" s="46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</row>
    <row r="48" spans="1:66" ht="12.75" customHeight="1" x14ac:dyDescent="0.2">
      <c r="A48" s="1" t="s">
        <v>73</v>
      </c>
      <c r="B48" s="4">
        <f>_xll.ciqfunctions.udf.CIQ(InputTicker, "IQ_DO",Input!D$2,Date,,,Ccy,Conv)</f>
        <v>0</v>
      </c>
      <c r="C48" s="4">
        <f>_xll.ciqfunctions.udf.CIQ(InputTicker, "IQ_DO",Input!E$2,Date,,,Ccy,Conv)</f>
        <v>0</v>
      </c>
      <c r="D48" s="4">
        <f>_xll.ciqfunctions.udf.CIQ(InputTicker, "IQ_DO",Input!F$2,Date,,,Ccy,Conv)</f>
        <v>0</v>
      </c>
      <c r="E48" s="4">
        <f>_xll.ciqfunctions.udf.CIQ(InputTicker, "IQ_DO",Input!G$2,Date,,,Ccy,Conv)</f>
        <v>0</v>
      </c>
      <c r="F48" s="4">
        <f>_xll.ciqfunctions.udf.CIQ(InputTicker, "IQ_DO",Input!H$2,Date,,,Ccy,Conv)</f>
        <v>0</v>
      </c>
      <c r="G48" s="4">
        <f>_xll.ciqfunctions.udf.CIQ(InputTicker, "IQ_DO",Input!I$2,Date,,,Ccy,Conv)</f>
        <v>0</v>
      </c>
      <c r="H48" s="4">
        <f>_xll.ciqfunctions.udf.CIQ(InputTicker, "IQ_DO",Input!J$2,Date,,,Ccy,Conv)</f>
        <v>0</v>
      </c>
      <c r="I48" s="4">
        <f>_xll.ciqfunctions.udf.CIQ(InputTicker, "IQ_DO",Input!K$2,Date,,,Ccy,Conv)</f>
        <v>0</v>
      </c>
      <c r="J48" s="4">
        <f>_xll.ciqfunctions.udf.CIQ(InputTicker, "IQ_DO",Input!L$2,Date,,,Ccy,Conv)</f>
        <v>0</v>
      </c>
      <c r="K48" s="4">
        <f>_xll.ciqfunctions.udf.CIQ(InputTicker, "IQ_DO",Input!M$2,Date,,,Ccy,Conv)</f>
        <v>0</v>
      </c>
      <c r="L48" s="4">
        <f>_xll.ciqfunctions.udf.CIQ(InputTicker, "IQ_DO",Input!N$2,Date,,,Ccy,Conv)</f>
        <v>0</v>
      </c>
      <c r="M48" s="4">
        <f>_xll.ciqfunctions.udf.CIQ(InputTicker, "IQ_DO",Input!O$2,Date,,,Ccy,Conv)</f>
        <v>0</v>
      </c>
      <c r="N48" s="46"/>
      <c r="P48" s="46"/>
      <c r="Q48" s="46"/>
      <c r="R48" s="46"/>
      <c r="T48" s="42"/>
      <c r="U48" s="42"/>
      <c r="V48" s="46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</row>
    <row r="49" spans="1:66" ht="12.75" customHeight="1" x14ac:dyDescent="0.2">
      <c r="A49" s="1" t="s">
        <v>74</v>
      </c>
      <c r="B49" s="4">
        <f>_xll.ciqfunctions.udf.CIQ(InputTicker, "IQ_EXTRA_ACC_ITEMS",Input!D$2,Date,,,Ccy,Conv)</f>
        <v>0</v>
      </c>
      <c r="C49" s="4">
        <f>_xll.ciqfunctions.udf.CIQ(InputTicker, "IQ_EXTRA_ACC_ITEMS",Input!E$2,Date,,,Ccy,Conv)</f>
        <v>0</v>
      </c>
      <c r="D49" s="4">
        <f>_xll.ciqfunctions.udf.CIQ(InputTicker, "IQ_EXTRA_ACC_ITEMS",Input!F$2,Date,,,Ccy,Conv)</f>
        <v>0</v>
      </c>
      <c r="E49" s="4">
        <f>_xll.ciqfunctions.udf.CIQ(InputTicker, "IQ_EXTRA_ACC_ITEMS",Input!G$2,Date,,,Ccy,Conv)</f>
        <v>0</v>
      </c>
      <c r="F49" s="4">
        <f>_xll.ciqfunctions.udf.CIQ(InputTicker, "IQ_EXTRA_ACC_ITEMS",Input!H$2,Date,,,Ccy,Conv)</f>
        <v>0</v>
      </c>
      <c r="G49" s="4">
        <f>_xll.ciqfunctions.udf.CIQ(InputTicker, "IQ_EXTRA_ACC_ITEMS",Input!I$2,Date,,,Ccy,Conv)</f>
        <v>0</v>
      </c>
      <c r="H49" s="4">
        <f>_xll.ciqfunctions.udf.CIQ(InputTicker, "IQ_EXTRA_ACC_ITEMS",Input!J$2,Date,,,Ccy,Conv)</f>
        <v>0</v>
      </c>
      <c r="I49" s="4">
        <f>_xll.ciqfunctions.udf.CIQ(InputTicker, "IQ_EXTRA_ACC_ITEMS",Input!K$2,Date,,,Ccy,Conv)</f>
        <v>0</v>
      </c>
      <c r="J49" s="4">
        <f>_xll.ciqfunctions.udf.CIQ(InputTicker, "IQ_EXTRA_ACC_ITEMS",Input!L$2,Date,,,Ccy,Conv)</f>
        <v>0</v>
      </c>
      <c r="K49" s="4">
        <f>_xll.ciqfunctions.udf.CIQ(InputTicker, "IQ_EXTRA_ACC_ITEMS",Input!M$2,Date,,,Ccy,Conv)</f>
        <v>0</v>
      </c>
      <c r="L49" s="4">
        <f>_xll.ciqfunctions.udf.CIQ(InputTicker, "IQ_EXTRA_ACC_ITEMS",Input!N$2,Date,,,Ccy,Conv)</f>
        <v>0</v>
      </c>
      <c r="M49" s="4">
        <f>_xll.ciqfunctions.udf.CIQ(InputTicker, "IQ_EXTRA_ACC_ITEMS",Input!O$2,Date,,,Ccy,Conv)</f>
        <v>0</v>
      </c>
      <c r="N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</row>
    <row r="50" spans="1:66" ht="12.75" customHeight="1" x14ac:dyDescent="0.2">
      <c r="A50" s="5" t="s">
        <v>21</v>
      </c>
      <c r="B50" s="10">
        <f>_xll.ciqfunctions.udf.CIQ(InputTicker, "IQ_NI_COMPANY",Input!D$2,Date,,,Ccy,Conv)</f>
        <v>162.28100000000001</v>
      </c>
      <c r="C50" s="10">
        <f>_xll.ciqfunctions.udf.CIQ(InputTicker, "IQ_NI_COMPANY",Input!E$2,Date,,,Ccy,Conv)</f>
        <v>318.04700000000003</v>
      </c>
      <c r="D50" s="10">
        <f>_xll.ciqfunctions.udf.CIQ(InputTicker, "IQ_NI_COMPANY",Input!F$2,Date,,,Ccy,Conv)</f>
        <v>-74.427000000000007</v>
      </c>
      <c r="E50" s="10">
        <f>_xll.ciqfunctions.udf.CIQ(InputTicker, "IQ_NI_COMPANY",Input!G$2,Date,,,Ccy,Conv)</f>
        <v>126.196</v>
      </c>
      <c r="F50" s="10">
        <f>_xll.ciqfunctions.udf.CIQ(InputTicker, "IQ_NI_COMPANY",Input!H$2,Date,,,Ccy,Conv)</f>
        <v>55.061999999999998</v>
      </c>
      <c r="G50" s="10">
        <f>_xll.ciqfunctions.udf.CIQ(InputTicker, "IQ_NI_COMPANY",Input!I$2,Date,,,Ccy,Conv)</f>
        <v>18.327999999999999</v>
      </c>
      <c r="H50" s="10">
        <f>_xll.ciqfunctions.udf.CIQ(InputTicker, "IQ_NI_COMPANY",Input!J$2,Date,,,Ccy,Conv)</f>
        <v>2.06</v>
      </c>
      <c r="I50" s="10">
        <f>_xll.ciqfunctions.udf.CIQ(InputTicker, "IQ_NI_COMPANY",Input!K$2,Date,,,Ccy,Conv)</f>
        <v>132.441</v>
      </c>
      <c r="J50" s="10">
        <f>_xll.ciqfunctions.udf.CIQ(InputTicker, "IQ_NI_COMPANY",Input!L$2,Date,,,Ccy,Conv)</f>
        <v>756.73199999999997</v>
      </c>
      <c r="K50" s="10">
        <f>_xll.ciqfunctions.udf.CIQ(InputTicker, "IQ_NI_COMPANY",Input!M$2,Date,,,Ccy,Conv)</f>
        <v>276.28199999999998</v>
      </c>
      <c r="L50" s="10">
        <f>_xll.ciqfunctions.udf.CIQ(InputTicker, "IQ_NI_COMPANY",Input!N$2,Date,,,Ccy,Conv)</f>
        <v>1218.232</v>
      </c>
      <c r="M50" s="10">
        <f>_xll.ciqfunctions.udf.CIQ(InputTicker, "IQ_NI_COMPANY",Input!O$2,Date,,,Ccy,Conv)</f>
        <v>1152.317</v>
      </c>
      <c r="N50" s="46"/>
      <c r="P50" s="46"/>
      <c r="Q50" s="46"/>
      <c r="R50" s="46"/>
      <c r="T50" s="42"/>
      <c r="U50" s="42"/>
      <c r="V50" s="46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</row>
    <row r="51" spans="1:66" ht="12.75" customHeight="1" x14ac:dyDescent="0.2">
      <c r="A51" s="1" t="s">
        <v>169</v>
      </c>
      <c r="B51" s="4">
        <f>_xll.ciqfunctions.udf.CIQ(InputTicker, "IQ_MINORITY_INTEREST_IS",Input!D$2,Date,,,Ccy,Conv)</f>
        <v>-1.0269999999999999</v>
      </c>
      <c r="C51" s="4">
        <f>_xll.ciqfunctions.udf.CIQ(InputTicker, "IQ_MINORITY_INTEREST_IS",Input!E$2,Date,,,Ccy,Conv)</f>
        <v>-2.0059999999999998</v>
      </c>
      <c r="D51" s="4">
        <f>_xll.ciqfunctions.udf.CIQ(InputTicker, "IQ_MINORITY_INTEREST_IS",Input!F$2,Date,,,Ccy,Conv)</f>
        <v>0.14899999999999999</v>
      </c>
      <c r="E51" s="4">
        <f>_xll.ciqfunctions.udf.CIQ(InputTicker, "IQ_MINORITY_INTEREST_IS",Input!G$2,Date,,,Ccy,Conv)</f>
        <v>-0.26400000000000001</v>
      </c>
      <c r="F51" s="4">
        <f>_xll.ciqfunctions.udf.CIQ(InputTicker, "IQ_MINORITY_INTEREST_IS",Input!H$2,Date,,,Ccy,Conv)</f>
        <v>-0.83299999999999996</v>
      </c>
      <c r="G51" s="4">
        <f>_xll.ciqfunctions.udf.CIQ(InputTicker, "IQ_MINORITY_INTEREST_IS",Input!I$2,Date,,,Ccy,Conv)</f>
        <v>6.3E-2</v>
      </c>
      <c r="H51" s="4">
        <f>_xll.ciqfunctions.udf.CIQ(InputTicker, "IQ_MINORITY_INTEREST_IS",Input!J$2,Date,,,Ccy,Conv)</f>
        <v>0</v>
      </c>
      <c r="I51" s="4">
        <f>_xll.ciqfunctions.udf.CIQ(InputTicker, "IQ_MINORITY_INTEREST_IS",Input!K$2,Date,,,Ccy,Conv)</f>
        <v>0.20899999999999999</v>
      </c>
      <c r="J51" s="4">
        <f>_xll.ciqfunctions.udf.CIQ(InputTicker, "IQ_MINORITY_INTEREST_IS",Input!L$2,Date,,,Ccy,Conv)</f>
        <v>1.292</v>
      </c>
      <c r="K51" s="4">
        <f>_xll.ciqfunctions.udf.CIQ(InputTicker, "IQ_MINORITY_INTEREST_IS",Input!M$2,Date,,,Ccy,Conv)</f>
        <v>1.6060000000000001</v>
      </c>
      <c r="L51" s="4">
        <f>_xll.ciqfunctions.udf.CIQ(InputTicker, "IQ_MINORITY_INTEREST_IS",Input!N$2,Date,,,Ccy,Conv)</f>
        <v>1.8160000000000001</v>
      </c>
      <c r="M51" s="4">
        <f>_xll.ciqfunctions.udf.CIQ(InputTicker, "IQ_MINORITY_INTEREST_IS",Input!O$2,Date,,,Ccy,Conv)</f>
        <v>0.79</v>
      </c>
      <c r="N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</row>
    <row r="52" spans="1:66" ht="12.75" customHeight="1" thickBot="1" x14ac:dyDescent="0.25">
      <c r="A52" s="5" t="s">
        <v>22</v>
      </c>
      <c r="B52" s="9">
        <f>_xll.ciqfunctions.udf.CIQ(InputTicker, "IQ_NI",Input!D$2,Date,,,Ccy,Conv)</f>
        <v>161.25399999999999</v>
      </c>
      <c r="C52" s="9">
        <f>_xll.ciqfunctions.udf.CIQ(InputTicker, "IQ_NI",Input!E$2,Date,,,Ccy,Conv)</f>
        <v>316.041</v>
      </c>
      <c r="D52" s="9">
        <f>_xll.ciqfunctions.udf.CIQ(InputTicker, "IQ_NI",Input!F$2,Date,,,Ccy,Conv)</f>
        <v>-74.278000000000006</v>
      </c>
      <c r="E52" s="9">
        <f>_xll.ciqfunctions.udf.CIQ(InputTicker, "IQ_NI",Input!G$2,Date,,,Ccy,Conv)</f>
        <v>125.932</v>
      </c>
      <c r="F52" s="9">
        <f>_xll.ciqfunctions.udf.CIQ(InputTicker, "IQ_NI",Input!H$2,Date,,,Ccy,Conv)</f>
        <v>54.228999999999999</v>
      </c>
      <c r="G52" s="9">
        <f>_xll.ciqfunctions.udf.CIQ(InputTicker, "IQ_NI",Input!I$2,Date,,,Ccy,Conv)</f>
        <v>18.390999999999998</v>
      </c>
      <c r="H52" s="9">
        <f>_xll.ciqfunctions.udf.CIQ(InputTicker, "IQ_NI",Input!J$2,Date,,,Ccy,Conv)</f>
        <v>2.06</v>
      </c>
      <c r="I52" s="9">
        <f>_xll.ciqfunctions.udf.CIQ(InputTicker, "IQ_NI",Input!K$2,Date,,,Ccy,Conv)</f>
        <v>132.65</v>
      </c>
      <c r="J52" s="9">
        <f>_xll.ciqfunctions.udf.CIQ(InputTicker, "IQ_NI",Input!L$2,Date,,,Ccy,Conv)</f>
        <v>758.024</v>
      </c>
      <c r="K52" s="9">
        <f>_xll.ciqfunctions.udf.CIQ(InputTicker, "IQ_NI",Input!M$2,Date,,,Ccy,Conv)</f>
        <v>277.88799999999998</v>
      </c>
      <c r="L52" s="9">
        <f>_xll.ciqfunctions.udf.CIQ(InputTicker, "IQ_NI",Input!N$2,Date,,,Ccy,Conv)</f>
        <v>1220.048</v>
      </c>
      <c r="M52" s="9">
        <f>_xll.ciqfunctions.udf.CIQ(InputTicker, "IQ_NI",Input!O$2,Date,,,Ccy,Conv)</f>
        <v>1153.107</v>
      </c>
      <c r="N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</row>
    <row r="53" spans="1:66" ht="12.75" customHeight="1" thickTop="1" x14ac:dyDescent="0.2">
      <c r="A53" s="1" t="s">
        <v>75</v>
      </c>
      <c r="B53" s="4">
        <f>_xll.ciqfunctions.udf.CIQ(InputTicker, "IQ_PREF_DIV_OTHER",Input!D$2,Date,,,Ccy,Conv)</f>
        <v>0</v>
      </c>
      <c r="C53" s="4">
        <f>_xll.ciqfunctions.udf.CIQ(InputTicker, "IQ_PREF_DIV_OTHER",Input!E$2,Date,,,Ccy,Conv)</f>
        <v>0</v>
      </c>
      <c r="D53" s="4">
        <f>_xll.ciqfunctions.udf.CIQ(InputTicker, "IQ_PREF_DIV_OTHER",Input!F$2,Date,,,Ccy,Conv)</f>
        <v>0</v>
      </c>
      <c r="E53" s="4">
        <f>_xll.ciqfunctions.udf.CIQ(InputTicker, "IQ_PREF_DIV_OTHER",Input!G$2,Date,,,Ccy,Conv)</f>
        <v>0</v>
      </c>
      <c r="F53" s="4">
        <f>_xll.ciqfunctions.udf.CIQ(InputTicker, "IQ_PREF_DIV_OTHER",Input!H$2,Date,,,Ccy,Conv)</f>
        <v>0</v>
      </c>
      <c r="G53" s="4">
        <f>_xll.ciqfunctions.udf.CIQ(InputTicker, "IQ_PREF_DIV_OTHER",Input!I$2,Date,,,Ccy,Conv)</f>
        <v>0</v>
      </c>
      <c r="H53" s="4">
        <f>_xll.ciqfunctions.udf.CIQ(InputTicker, "IQ_PREF_DIV_OTHER",Input!J$2,Date,,,Ccy,Conv)</f>
        <v>0</v>
      </c>
      <c r="I53" s="4">
        <f>_xll.ciqfunctions.udf.CIQ(InputTicker, "IQ_PREF_DIV_OTHER",Input!K$2,Date,,,Ccy,Conv)</f>
        <v>0</v>
      </c>
      <c r="J53" s="4">
        <f>_xll.ciqfunctions.udf.CIQ(InputTicker, "IQ_PREF_DIV_OTHER",Input!L$2,Date,,,Ccy,Conv)</f>
        <v>0</v>
      </c>
      <c r="K53" s="4">
        <f>_xll.ciqfunctions.udf.CIQ(InputTicker, "IQ_PREF_DIV_OTHER",Input!M$2,Date,,,Ccy,Conv)</f>
        <v>0</v>
      </c>
      <c r="L53" s="4">
        <f>_xll.ciqfunctions.udf.CIQ(InputTicker, "IQ_PREF_DIV_OTHER",Input!N$2,Date,,,Ccy,Conv)</f>
        <v>0</v>
      </c>
      <c r="M53" s="4">
        <f>_xll.ciqfunctions.udf.CIQ(InputTicker, "IQ_PREF_DIV_OTHER",Input!O$2,Date,,,Ccy,Conv)</f>
        <v>0</v>
      </c>
      <c r="N53" s="46"/>
      <c r="P53" s="46"/>
      <c r="Q53" s="46"/>
      <c r="R53" s="46"/>
      <c r="T53" s="42"/>
      <c r="U53" s="42"/>
      <c r="V53" s="46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</row>
    <row r="54" spans="1:66" ht="12.75" customHeight="1" x14ac:dyDescent="0.2">
      <c r="A54" s="5" t="s">
        <v>76</v>
      </c>
      <c r="B54" s="7">
        <f>_xll.ciqfunctions.udf.CIQ(InputTicker, "IQ_NI_AVAIL_INCL",Input!D$2,Date,,,Ccy,Conv)</f>
        <v>161.25399999999999</v>
      </c>
      <c r="C54" s="7">
        <f>_xll.ciqfunctions.udf.CIQ(InputTicker, "IQ_NI_AVAIL_INCL",Input!E$2,Date,,,Ccy,Conv)</f>
        <v>316.041</v>
      </c>
      <c r="D54" s="7">
        <f>_xll.ciqfunctions.udf.CIQ(InputTicker, "IQ_NI_AVAIL_INCL",Input!F$2,Date,,,Ccy,Conv)</f>
        <v>-74.278000000000006</v>
      </c>
      <c r="E54" s="7">
        <f>_xll.ciqfunctions.udf.CIQ(InputTicker, "IQ_NI_AVAIL_INCL",Input!G$2,Date,,,Ccy,Conv)</f>
        <v>125.932</v>
      </c>
      <c r="F54" s="7">
        <f>_xll.ciqfunctions.udf.CIQ(InputTicker, "IQ_NI_AVAIL_INCL",Input!H$2,Date,,,Ccy,Conv)</f>
        <v>54.228999999999999</v>
      </c>
      <c r="G54" s="7">
        <f>_xll.ciqfunctions.udf.CIQ(InputTicker, "IQ_NI_AVAIL_INCL",Input!I$2,Date,,,Ccy,Conv)</f>
        <v>18.390999999999998</v>
      </c>
      <c r="H54" s="7">
        <f>_xll.ciqfunctions.udf.CIQ(InputTicker, "IQ_NI_AVAIL_INCL",Input!J$2,Date,,,Ccy,Conv)</f>
        <v>2.06</v>
      </c>
      <c r="I54" s="7">
        <f>_xll.ciqfunctions.udf.CIQ(InputTicker, "IQ_NI_AVAIL_INCL",Input!K$2,Date,,,Ccy,Conv)</f>
        <v>132.65</v>
      </c>
      <c r="J54" s="7">
        <f>_xll.ciqfunctions.udf.CIQ(InputTicker, "IQ_NI_AVAIL_INCL",Input!L$2,Date,,,Ccy,Conv)</f>
        <v>758.024</v>
      </c>
      <c r="K54" s="7">
        <f>_xll.ciqfunctions.udf.CIQ(InputTicker, "IQ_NI_AVAIL_INCL",Input!M$2,Date,,,Ccy,Conv)</f>
        <v>277.88799999999998</v>
      </c>
      <c r="L54" s="7">
        <f>_xll.ciqfunctions.udf.CIQ(InputTicker, "IQ_NI_AVAIL_INCL",Input!N$2,Date,,,Ccy,Conv)</f>
        <v>1220.048</v>
      </c>
      <c r="M54" s="7">
        <f>_xll.ciqfunctions.udf.CIQ(InputTicker, "IQ_NI_AVAIL_INCL",Input!O$2,Date,,,Ccy,Conv)</f>
        <v>1153.107</v>
      </c>
      <c r="N54" s="46"/>
      <c r="P54" s="46"/>
      <c r="Q54" s="46"/>
      <c r="R54" s="46"/>
      <c r="T54" s="42"/>
      <c r="U54" s="42"/>
      <c r="V54" s="46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</row>
    <row r="55" spans="1:66" ht="12.75" customHeight="1" x14ac:dyDescent="0.2">
      <c r="A55" s="5" t="s">
        <v>77</v>
      </c>
      <c r="B55" s="7">
        <f>_xll.ciqfunctions.udf.CIQ(InputTicker, "IQ_NI_AVAIL_EXCL",Input!D$2,Date,,,Ccy,Conv)</f>
        <v>161.25399999999999</v>
      </c>
      <c r="C55" s="7">
        <f>_xll.ciqfunctions.udf.CIQ(InputTicker, "IQ_NI_AVAIL_EXCL",Input!E$2,Date,,,Ccy,Conv)</f>
        <v>316.041</v>
      </c>
      <c r="D55" s="7">
        <f>_xll.ciqfunctions.udf.CIQ(InputTicker, "IQ_NI_AVAIL_EXCL",Input!F$2,Date,,,Ccy,Conv)</f>
        <v>-74.278000000000006</v>
      </c>
      <c r="E55" s="7">
        <f>_xll.ciqfunctions.udf.CIQ(InputTicker, "IQ_NI_AVAIL_EXCL",Input!G$2,Date,,,Ccy,Conv)</f>
        <v>125.932</v>
      </c>
      <c r="F55" s="7">
        <f>_xll.ciqfunctions.udf.CIQ(InputTicker, "IQ_NI_AVAIL_EXCL",Input!H$2,Date,,,Ccy,Conv)</f>
        <v>54.228999999999999</v>
      </c>
      <c r="G55" s="7">
        <f>_xll.ciqfunctions.udf.CIQ(InputTicker, "IQ_NI_AVAIL_EXCL",Input!I$2,Date,,,Ccy,Conv)</f>
        <v>18.390999999999998</v>
      </c>
      <c r="H55" s="7">
        <f>_xll.ciqfunctions.udf.CIQ(InputTicker, "IQ_NI_AVAIL_EXCL",Input!J$2,Date,,,Ccy,Conv)</f>
        <v>2.06</v>
      </c>
      <c r="I55" s="7">
        <f>_xll.ciqfunctions.udf.CIQ(InputTicker, "IQ_NI_AVAIL_EXCL",Input!K$2,Date,,,Ccy,Conv)</f>
        <v>132.65</v>
      </c>
      <c r="J55" s="7">
        <f>_xll.ciqfunctions.udf.CIQ(InputTicker, "IQ_NI_AVAIL_EXCL",Input!L$2,Date,,,Ccy,Conv)</f>
        <v>758.024</v>
      </c>
      <c r="K55" s="7">
        <f>_xll.ciqfunctions.udf.CIQ(InputTicker, "IQ_NI_AVAIL_EXCL",Input!M$2,Date,,,Ccy,Conv)</f>
        <v>277.88799999999998</v>
      </c>
      <c r="L55" s="7">
        <f>_xll.ciqfunctions.udf.CIQ(InputTicker, "IQ_NI_AVAIL_EXCL",Input!N$2,Date,,,Ccy,Conv)</f>
        <v>1220.048</v>
      </c>
      <c r="M55" s="7">
        <f>_xll.ciqfunctions.udf.CIQ(InputTicker, "IQ_NI_AVAIL_EXCL",Input!O$2,Date,,,Ccy,Conv)</f>
        <v>1153.107</v>
      </c>
      <c r="N55" s="46"/>
      <c r="P55" s="46"/>
      <c r="Q55" s="46"/>
      <c r="R55" s="46"/>
      <c r="T55" s="42"/>
      <c r="U55" s="42"/>
      <c r="V55" s="46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</row>
    <row r="56" spans="1:66" ht="12.75" customHeight="1" x14ac:dyDescent="0.2">
      <c r="A56" s="1" t="s">
        <v>78</v>
      </c>
      <c r="B56" s="11">
        <f>_xll.ciqfunctions.udf.CIQ(InputTicker, "IQ_BASIC_EPS_INCL",Input!D$2,Date,,,Ccy,Conv)</f>
        <v>3.3499699999999999</v>
      </c>
      <c r="C56" s="11">
        <f>_xll.ciqfunctions.udf.CIQ(InputTicker, "IQ_BASIC_EPS_INCL",Input!E$2,Date,,,Ccy,Conv)</f>
        <v>6.55755</v>
      </c>
      <c r="D56" s="11">
        <f>_xll.ciqfunctions.udf.CIQ(InputTicker, "IQ_BASIC_EPS_INCL",Input!F$2,Date,,,Ccy,Conv)</f>
        <v>-1.5358799999999999</v>
      </c>
      <c r="E56" s="11">
        <f>_xll.ciqfunctions.udf.CIQ(InputTicker, "IQ_BASIC_EPS_INCL",Input!G$2,Date,,,Ccy,Conv)</f>
        <v>2.6044299999999998</v>
      </c>
      <c r="F56" s="11">
        <f>_xll.ciqfunctions.udf.CIQ(InputTicker, "IQ_BASIC_EPS_INCL",Input!H$2,Date,,,Ccy,Conv)</f>
        <v>1.1188899999999999</v>
      </c>
      <c r="G56" s="11">
        <f>_xll.ciqfunctions.udf.CIQ(InputTicker, "IQ_BASIC_EPS_INCL",Input!I$2,Date,,,Ccy,Conv)</f>
        <v>0.37945000000000001</v>
      </c>
      <c r="H56" s="11">
        <f>_xll.ciqfunctions.udf.CIQ(InputTicker, "IQ_BASIC_EPS_INCL",Input!J$2,Date,,,Ccy,Conv)</f>
        <v>4.2450000000000002E-2</v>
      </c>
      <c r="I56" s="11">
        <f>_xll.ciqfunctions.udf.CIQ(InputTicker, "IQ_BASIC_EPS_INCL",Input!K$2,Date,,,Ccy,Conv)</f>
        <v>2.7304900000000001</v>
      </c>
      <c r="J56" s="11">
        <f>_xll.ciqfunctions.udf.CIQ(InputTicker, "IQ_BASIC_EPS_INCL",Input!L$2,Date,,,Ccy,Conv)</f>
        <v>15.581810000000001</v>
      </c>
      <c r="K56" s="11">
        <f>_xll.ciqfunctions.udf.CIQ(InputTicker, "IQ_BASIC_EPS_INCL",Input!M$2,Date,,,Ccy,Conv)</f>
        <v>5.7041300000000001</v>
      </c>
      <c r="L56" s="11">
        <f>_xll.ciqfunctions.udf.CIQ(InputTicker, "IQ_BASIC_EPS_INCL",Input!N$2,Date,,,Ccy,Conv)</f>
        <v>25.042549999999999</v>
      </c>
      <c r="M56" s="11">
        <f>_xll.ciqfunctions.udf.CIQ(InputTicker, "IQ_BASIC_EPS_INCL",Input!O$2,Date,,,Ccy,Conv)</f>
        <v>23.81813</v>
      </c>
      <c r="N56" s="47"/>
      <c r="P56" s="48"/>
      <c r="Q56" s="48"/>
      <c r="R56" s="48"/>
      <c r="T56" s="42"/>
      <c r="U56" s="42"/>
      <c r="V56" s="48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</row>
    <row r="57" spans="1:66" ht="12.75" customHeight="1" x14ac:dyDescent="0.2">
      <c r="A57" s="1" t="s">
        <v>79</v>
      </c>
      <c r="B57" s="11">
        <f>_xll.ciqfunctions.udf.CIQ(InputTicker, "IQ_BASIC_EPS_EXCL",Input!D$2,Date,,,Ccy,Conv)</f>
        <v>3.3499699999999999</v>
      </c>
      <c r="C57" s="11">
        <f>_xll.ciqfunctions.udf.CIQ(InputTicker, "IQ_BASIC_EPS_EXCL",Input!E$2,Date,,,Ccy,Conv)</f>
        <v>6.55755</v>
      </c>
      <c r="D57" s="11">
        <f>_xll.ciqfunctions.udf.CIQ(InputTicker, "IQ_BASIC_EPS_EXCL",Input!F$2,Date,,,Ccy,Conv)</f>
        <v>-1.5358799999999999</v>
      </c>
      <c r="E57" s="11">
        <f>_xll.ciqfunctions.udf.CIQ(InputTicker, "IQ_BASIC_EPS_EXCL",Input!G$2,Date,,,Ccy,Conv)</f>
        <v>2.6044299999999998</v>
      </c>
      <c r="F57" s="11">
        <f>_xll.ciqfunctions.udf.CIQ(InputTicker, "IQ_BASIC_EPS_EXCL",Input!H$2,Date,,,Ccy,Conv)</f>
        <v>1.1188899999999999</v>
      </c>
      <c r="G57" s="11">
        <f>_xll.ciqfunctions.udf.CIQ(InputTicker, "IQ_BASIC_EPS_EXCL",Input!I$2,Date,,,Ccy,Conv)</f>
        <v>0.37945000000000001</v>
      </c>
      <c r="H57" s="11">
        <f>_xll.ciqfunctions.udf.CIQ(InputTicker, "IQ_BASIC_EPS_EXCL",Input!J$2,Date,,,Ccy,Conv)</f>
        <v>4.2450000000000002E-2</v>
      </c>
      <c r="I57" s="11">
        <f>_xll.ciqfunctions.udf.CIQ(InputTicker, "IQ_BASIC_EPS_EXCL",Input!K$2,Date,,,Ccy,Conv)</f>
        <v>2.7304900000000001</v>
      </c>
      <c r="J57" s="11">
        <f>_xll.ciqfunctions.udf.CIQ(InputTicker, "IQ_BASIC_EPS_EXCL",Input!L$2,Date,,,Ccy,Conv)</f>
        <v>15.581810000000001</v>
      </c>
      <c r="K57" s="11">
        <f>_xll.ciqfunctions.udf.CIQ(InputTicker, "IQ_BASIC_EPS_EXCL",Input!M$2,Date,,,Ccy,Conv)</f>
        <v>5.7041300000000001</v>
      </c>
      <c r="L57" s="11">
        <f>_xll.ciqfunctions.udf.CIQ(InputTicker, "IQ_BASIC_EPS_EXCL",Input!N$2,Date,,,Ccy,Conv)</f>
        <v>25.042549999999999</v>
      </c>
      <c r="M57" s="11">
        <f>_xll.ciqfunctions.udf.CIQ(InputTicker, "IQ_BASIC_EPS_EXCL",Input!O$2,Date,,,Ccy,Conv)</f>
        <v>23.81813</v>
      </c>
      <c r="N57" s="47"/>
      <c r="P57" s="48"/>
      <c r="Q57" s="48"/>
      <c r="R57" s="48"/>
      <c r="T57" s="42"/>
      <c r="U57" s="42"/>
      <c r="V57" s="48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</row>
    <row r="58" spans="1:66" ht="12.75" customHeight="1" x14ac:dyDescent="0.2">
      <c r="A58" s="1" t="s">
        <v>80</v>
      </c>
      <c r="B58" s="12">
        <f>_xll.ciqfunctions.udf.CIQ(InputTicker, "IQ_BASIC_WEIGHT",Input!D$2,Date)</f>
        <v>48.136000000000003</v>
      </c>
      <c r="C58" s="12">
        <f>_xll.ciqfunctions.udf.CIQ(InputTicker, "IQ_BASIC_WEIGHT",Input!E$2,Date)</f>
        <v>48.195</v>
      </c>
      <c r="D58" s="12">
        <f>_xll.ciqfunctions.udf.CIQ(InputTicker, "IQ_BASIC_WEIGHT",Input!F$2,Date)</f>
        <v>48.362000000000002</v>
      </c>
      <c r="E58" s="12">
        <f>_xll.ciqfunctions.udf.CIQ(InputTicker, "IQ_BASIC_WEIGHT",Input!G$2,Date)</f>
        <v>48.353000000000002</v>
      </c>
      <c r="F58" s="12">
        <f>_xll.ciqfunctions.udf.CIQ(InputTicker, "IQ_BASIC_WEIGHT",Input!H$2,Date)</f>
        <v>48.466999999999999</v>
      </c>
      <c r="G58" s="12">
        <f>_xll.ciqfunctions.udf.CIQ(InputTicker, "IQ_BASIC_WEIGHT",Input!I$2,Date)</f>
        <v>48.466999999999999</v>
      </c>
      <c r="H58" s="12">
        <f>_xll.ciqfunctions.udf.CIQ(InputTicker, "IQ_BASIC_WEIGHT",Input!J$2,Date)</f>
        <v>48.521999999999998</v>
      </c>
      <c r="I58" s="12">
        <f>_xll.ciqfunctions.udf.CIQ(InputTicker, "IQ_BASIC_WEIGHT",Input!K$2,Date)</f>
        <v>48.581000000000003</v>
      </c>
      <c r="J58" s="12">
        <f>_xll.ciqfunctions.udf.CIQ(InputTicker, "IQ_BASIC_WEIGHT",Input!L$2,Date)</f>
        <v>48.648000000000003</v>
      </c>
      <c r="K58" s="12">
        <f>_xll.ciqfunctions.udf.CIQ(InputTicker, "IQ_BASIC_WEIGHT",Input!M$2,Date)</f>
        <v>48.716999999999999</v>
      </c>
      <c r="L58" s="12">
        <f>_xll.ciqfunctions.udf.CIQ(InputTicker, "IQ_BASIC_WEIGHT",Input!N$2,Date)</f>
        <v>48.719000000000001</v>
      </c>
      <c r="M58" s="12">
        <f>_xll.ciqfunctions.udf.CIQ(InputTicker, "IQ_BASIC_WEIGHT",Input!O$2,Date)</f>
        <v>48.412999999999997</v>
      </c>
      <c r="N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</row>
    <row r="59" spans="1:66" ht="12.75" customHeight="1" x14ac:dyDescent="0.2">
      <c r="A59" s="1" t="s">
        <v>81</v>
      </c>
      <c r="B59" s="11">
        <f>_xll.ciqfunctions.udf.CIQ(InputTicker, "IQ_DILUT_EPS_INCL",Input!D$2,Date,,,Ccy,Conv)</f>
        <v>3.33</v>
      </c>
      <c r="C59" s="11">
        <f>_xll.ciqfunctions.udf.CIQ(InputTicker, "IQ_DILUT_EPS_INCL",Input!E$2,Date,,,Ccy,Conv)</f>
        <v>6.53</v>
      </c>
      <c r="D59" s="11">
        <f>_xll.ciqfunctions.udf.CIQ(InputTicker, "IQ_DILUT_EPS_INCL",Input!F$2,Date,,,Ccy,Conv)</f>
        <v>-1.54</v>
      </c>
      <c r="E59" s="11">
        <f>_xll.ciqfunctions.udf.CIQ(InputTicker, "IQ_DILUT_EPS_INCL",Input!G$2,Date,,,Ccy,Conv)</f>
        <v>2.6</v>
      </c>
      <c r="F59" s="11">
        <f>_xll.ciqfunctions.udf.CIQ(InputTicker, "IQ_DILUT_EPS_INCL",Input!H$2,Date,,,Ccy,Conv)</f>
        <v>1.1188899999999999</v>
      </c>
      <c r="G59" s="11">
        <f>_xll.ciqfunctions.udf.CIQ(InputTicker, "IQ_DILUT_EPS_INCL",Input!I$2,Date,,,Ccy,Conv)</f>
        <v>0.37945000000000001</v>
      </c>
      <c r="H59" s="11">
        <f>_xll.ciqfunctions.udf.CIQ(InputTicker, "IQ_DILUT_EPS_INCL",Input!J$2,Date,,,Ccy,Conv)</f>
        <v>0.04</v>
      </c>
      <c r="I59" s="11">
        <f>_xll.ciqfunctions.udf.CIQ(InputTicker, "IQ_DILUT_EPS_INCL",Input!K$2,Date,,,Ccy,Conv)</f>
        <v>2.72</v>
      </c>
      <c r="J59" s="11">
        <f>_xll.ciqfunctions.udf.CIQ(InputTicker, "IQ_DILUT_EPS_INCL",Input!L$2,Date,,,Ccy,Conv)</f>
        <v>15.52</v>
      </c>
      <c r="K59" s="11">
        <f>_xll.ciqfunctions.udf.CIQ(InputTicker, "IQ_DILUT_EPS_INCL",Input!M$2,Date,,,Ccy,Conv)</f>
        <v>5.69</v>
      </c>
      <c r="L59" s="11">
        <f>_xll.ciqfunctions.udf.CIQ(InputTicker, "IQ_DILUT_EPS_INCL",Input!N$2,Date,,,Ccy,Conv)</f>
        <v>24.95</v>
      </c>
      <c r="M59" s="11">
        <f>_xll.ciqfunctions.udf.CIQ(InputTicker, "IQ_DILUT_EPS_INCL",Input!O$2,Date,,,Ccy,Conv)</f>
        <v>23.74391</v>
      </c>
      <c r="N59" s="48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</row>
    <row r="60" spans="1:66" ht="12.75" customHeight="1" x14ac:dyDescent="0.2">
      <c r="A60" s="1" t="s">
        <v>82</v>
      </c>
      <c r="B60" s="11">
        <f>_xll.ciqfunctions.udf.CIQ(InputTicker, "IQ_DILUT_EPS_EXCL",Input!D$2,Date,,,Ccy,Conv)</f>
        <v>3.33</v>
      </c>
      <c r="C60" s="11">
        <f>_xll.ciqfunctions.udf.CIQ(InputTicker, "IQ_DILUT_EPS_EXCL",Input!E$2,Date,,,Ccy,Conv)</f>
        <v>6.53</v>
      </c>
      <c r="D60" s="11">
        <f>_xll.ciqfunctions.udf.CIQ(InputTicker, "IQ_DILUT_EPS_EXCL",Input!F$2,Date,,,Ccy,Conv)</f>
        <v>-1.54</v>
      </c>
      <c r="E60" s="11">
        <f>_xll.ciqfunctions.udf.CIQ(InputTicker, "IQ_DILUT_EPS_EXCL",Input!G$2,Date,,,Ccy,Conv)</f>
        <v>2.6</v>
      </c>
      <c r="F60" s="11">
        <f>_xll.ciqfunctions.udf.CIQ(InputTicker, "IQ_DILUT_EPS_EXCL",Input!H$2,Date,,,Ccy,Conv)</f>
        <v>1.1188899999999999</v>
      </c>
      <c r="G60" s="11">
        <f>_xll.ciqfunctions.udf.CIQ(InputTicker, "IQ_DILUT_EPS_EXCL",Input!I$2,Date,,,Ccy,Conv)</f>
        <v>0.37945000000000001</v>
      </c>
      <c r="H60" s="11">
        <f>_xll.ciqfunctions.udf.CIQ(InputTicker, "IQ_DILUT_EPS_EXCL",Input!J$2,Date,,,Ccy,Conv)</f>
        <v>0.04</v>
      </c>
      <c r="I60" s="11">
        <f>_xll.ciqfunctions.udf.CIQ(InputTicker, "IQ_DILUT_EPS_EXCL",Input!K$2,Date,,,Ccy,Conv)</f>
        <v>2.72</v>
      </c>
      <c r="J60" s="11">
        <f>_xll.ciqfunctions.udf.CIQ(InputTicker, "IQ_DILUT_EPS_EXCL",Input!L$2,Date,,,Ccy,Conv)</f>
        <v>15.52</v>
      </c>
      <c r="K60" s="11">
        <f>_xll.ciqfunctions.udf.CIQ(InputTicker, "IQ_DILUT_EPS_EXCL",Input!M$2,Date,,,Ccy,Conv)</f>
        <v>5.69</v>
      </c>
      <c r="L60" s="11">
        <f>_xll.ciqfunctions.udf.CIQ(InputTicker, "IQ_DILUT_EPS_EXCL",Input!N$2,Date,,,Ccy,Conv)</f>
        <v>24.95</v>
      </c>
      <c r="M60" s="11">
        <f>_xll.ciqfunctions.udf.CIQ(InputTicker, "IQ_DILUT_EPS_EXCL",Input!O$2,Date,,,Ccy,Conv)</f>
        <v>23.74391</v>
      </c>
      <c r="N60" s="48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</row>
    <row r="61" spans="1:66" ht="12.75" customHeight="1" x14ac:dyDescent="0.2">
      <c r="A61" s="1" t="s">
        <v>83</v>
      </c>
      <c r="B61" s="12">
        <f>_xll.ciqfunctions.udf.CIQ(InputTicker, "IQ_DILUT_WEIGHT",Input!D$2,Date)</f>
        <v>48.436999999999998</v>
      </c>
      <c r="C61" s="12">
        <f>_xll.ciqfunctions.udf.CIQ(InputTicker, "IQ_DILUT_WEIGHT",Input!E$2,Date)</f>
        <v>48.365000000000002</v>
      </c>
      <c r="D61" s="12">
        <f>_xll.ciqfunctions.udf.CIQ(InputTicker, "IQ_DILUT_WEIGHT",Input!F$2,Date)</f>
        <v>48.362000000000002</v>
      </c>
      <c r="E61" s="12">
        <f>_xll.ciqfunctions.udf.CIQ(InputTicker, "IQ_DILUT_WEIGHT",Input!G$2,Date)</f>
        <v>48.468000000000004</v>
      </c>
      <c r="F61" s="12">
        <f>_xll.ciqfunctions.udf.CIQ(InputTicker, "IQ_DILUT_WEIGHT",Input!H$2,Date)</f>
        <v>48.588999999999999</v>
      </c>
      <c r="G61" s="12">
        <f>_xll.ciqfunctions.udf.CIQ(InputTicker, "IQ_DILUT_WEIGHT",Input!I$2,Date)</f>
        <v>48.584000000000003</v>
      </c>
      <c r="H61" s="12">
        <f>_xll.ciqfunctions.udf.CIQ(InputTicker, "IQ_DILUT_WEIGHT",Input!J$2,Date)</f>
        <v>48.655999999999999</v>
      </c>
      <c r="I61" s="12">
        <f>_xll.ciqfunctions.udf.CIQ(InputTicker, "IQ_DILUT_WEIGHT",Input!K$2,Date)</f>
        <v>48.734000000000002</v>
      </c>
      <c r="J61" s="12">
        <f>_xll.ciqfunctions.udf.CIQ(InputTicker, "IQ_DILUT_WEIGHT",Input!L$2,Date)</f>
        <v>48.834000000000003</v>
      </c>
      <c r="K61" s="12">
        <f>_xll.ciqfunctions.udf.CIQ(InputTicker, "IQ_DILUT_WEIGHT",Input!M$2,Date)</f>
        <v>48.872999999999998</v>
      </c>
      <c r="L61" s="12">
        <f>_xll.ciqfunctions.udf.CIQ(InputTicker, "IQ_DILUT_WEIGHT",Input!N$2,Date)</f>
        <v>48.890999999999998</v>
      </c>
      <c r="M61" s="12">
        <f>_xll.ciqfunctions.udf.CIQ(InputTicker, "IQ_DILUT_WEIGHT",Input!O$2,Date)</f>
        <v>48.561999999999998</v>
      </c>
      <c r="N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</row>
    <row r="62" spans="1:66" ht="12.75" customHeight="1" x14ac:dyDescent="0.2">
      <c r="A62" s="1" t="s">
        <v>311</v>
      </c>
      <c r="B62" s="11">
        <f>_xll.ciqfunctions.udf.CIQ(InputTicker, "IQ_EPS_NORM",Input!D$2,Date,,,Ccy,Conv)</f>
        <v>3.1862699999999999</v>
      </c>
      <c r="C62" s="11">
        <f>_xll.ciqfunctions.udf.CIQ(InputTicker, "IQ_EPS_NORM",Input!E$2,Date,,,Ccy,Conv)</f>
        <v>6.2565499999999998</v>
      </c>
      <c r="D62" s="11">
        <f>_xll.ciqfunctions.udf.CIQ(InputTicker, "IQ_EPS_NORM",Input!F$2,Date,,,Ccy,Conv)</f>
        <v>-1.42953</v>
      </c>
      <c r="E62" s="11">
        <f>_xll.ciqfunctions.udf.CIQ(InputTicker, "IQ_EPS_NORM",Input!G$2,Date,,,Ccy,Conv)</f>
        <v>2.5615299999999999</v>
      </c>
      <c r="F62" s="11">
        <f>_xll.ciqfunctions.udf.CIQ(InputTicker, "IQ_EPS_NORM",Input!H$2,Date,,,Ccy,Conv)</f>
        <v>0.89598999999999995</v>
      </c>
      <c r="G62" s="11">
        <f>_xll.ciqfunctions.udf.CIQ(InputTicker, "IQ_EPS_NORM",Input!I$2,Date,,,Ccy,Conv)</f>
        <v>0.25923000000000002</v>
      </c>
      <c r="H62" s="11">
        <f>_xll.ciqfunctions.udf.CIQ(InputTicker, "IQ_EPS_NORM",Input!J$2,Date,,,Ccy,Conv)</f>
        <v>-7.2340000000000002E-2</v>
      </c>
      <c r="I62" s="11">
        <f>_xll.ciqfunctions.udf.CIQ(InputTicker, "IQ_EPS_NORM",Input!K$2,Date,,,Ccy,Conv)</f>
        <v>2.0730200000000001</v>
      </c>
      <c r="J62" s="11">
        <f>_xll.ciqfunctions.udf.CIQ(InputTicker, "IQ_EPS_NORM",Input!L$2,Date,,,Ccy,Conv)</f>
        <v>12.854100000000001</v>
      </c>
      <c r="K62" s="11">
        <f>_xll.ciqfunctions.udf.CIQ(InputTicker, "IQ_EPS_NORM",Input!M$2,Date,,,Ccy,Conv)</f>
        <v>4.9716199999999997</v>
      </c>
      <c r="L62" s="11">
        <f>_xll.ciqfunctions.udf.CIQ(InputTicker, "IQ_EPS_NORM",Input!N$2,Date,,,Ccy,Conv)</f>
        <v>20.791589999999999</v>
      </c>
      <c r="M62" s="11">
        <f>_xll.ciqfunctions.udf.CIQ(InputTicker, "IQ_EPS_NORM",Input!O$2,Date,,,Ccy,Conv)</f>
        <v>19.826910000000002</v>
      </c>
      <c r="N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</row>
    <row r="63" spans="1:66" ht="12.75" customHeight="1" x14ac:dyDescent="0.2">
      <c r="A63" s="1" t="s">
        <v>312</v>
      </c>
      <c r="B63" s="11">
        <f>_xll.ciqfunctions.udf.CIQ(InputTicker, "IQ_DILUT_EPS_NORM",Input!D$2,Date,,,Ccy,Conv)</f>
        <v>3.1664699999999999</v>
      </c>
      <c r="C63" s="11">
        <f>_xll.ciqfunctions.udf.CIQ(InputTicker, "IQ_DILUT_EPS_NORM",Input!E$2,Date,,,Ccy,Conv)</f>
        <v>6.2345600000000001</v>
      </c>
      <c r="D63" s="11">
        <f>_xll.ciqfunctions.udf.CIQ(InputTicker, "IQ_DILUT_EPS_NORM",Input!F$2,Date,,,Ccy,Conv)</f>
        <v>-1.42953</v>
      </c>
      <c r="E63" s="11">
        <f>_xll.ciqfunctions.udf.CIQ(InputTicker, "IQ_DILUT_EPS_NORM",Input!G$2,Date,,,Ccy,Conv)</f>
        <v>2.5554600000000001</v>
      </c>
      <c r="F63" s="11">
        <f>_xll.ciqfunctions.udf.CIQ(InputTicker, "IQ_DILUT_EPS_NORM",Input!H$2,Date,,,Ccy,Conv)</f>
        <v>0.89373999999999998</v>
      </c>
      <c r="G63" s="11">
        <f>_xll.ciqfunctions.udf.CIQ(InputTicker, "IQ_DILUT_EPS_NORM",Input!I$2,Date,,,Ccy,Conv)</f>
        <v>0.25861000000000001</v>
      </c>
      <c r="H63" s="11">
        <f>_xll.ciqfunctions.udf.CIQ(InputTicker, "IQ_DILUT_EPS_NORM",Input!J$2,Date,,,Ccy,Conv)</f>
        <v>-7.2139999999999996E-2</v>
      </c>
      <c r="I63" s="11">
        <f>_xll.ciqfunctions.udf.CIQ(InputTicker, "IQ_DILUT_EPS_NORM",Input!K$2,Date,,,Ccy,Conv)</f>
        <v>2.0665200000000001</v>
      </c>
      <c r="J63" s="11">
        <f>_xll.ciqfunctions.udf.CIQ(InputTicker, "IQ_DILUT_EPS_NORM",Input!L$2,Date,,,Ccy,Conv)</f>
        <v>12.80514</v>
      </c>
      <c r="K63" s="11">
        <f>_xll.ciqfunctions.udf.CIQ(InputTicker, "IQ_DILUT_EPS_NORM",Input!M$2,Date,,,Ccy,Conv)</f>
        <v>4.9557500000000001</v>
      </c>
      <c r="L63" s="11">
        <f>_xll.ciqfunctions.udf.CIQ(InputTicker, "IQ_DILUT_EPS_NORM",Input!N$2,Date,,,Ccy,Conv)</f>
        <v>20.718440000000001</v>
      </c>
      <c r="M63" s="11">
        <f>_xll.ciqfunctions.udf.CIQ(InputTicker, "IQ_DILUT_EPS_NORM",Input!O$2,Date,,,Ccy,Conv)</f>
        <v>19.766069999999999</v>
      </c>
      <c r="N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</row>
    <row r="64" spans="1:66" ht="12.75" customHeight="1" x14ac:dyDescent="0.2">
      <c r="A64" s="1" t="s">
        <v>391</v>
      </c>
      <c r="B64" s="4">
        <f>_xll.ciqfunctions.udf.CIQ(InputTicker, "IQ_DISTRIBUTABLE_CASH_PER_SHARE_DILUTED",Input!D$2,Date,,,Ccy,Conv)</f>
        <v>0</v>
      </c>
      <c r="C64" s="4">
        <f>_xll.ciqfunctions.udf.CIQ(InputTicker, "IQ_DISTRIBUTABLE_CASH_PER_SHARE_DILUTED",Input!E$2,Date,,,Ccy,Conv)</f>
        <v>0</v>
      </c>
      <c r="D64" s="4">
        <f>_xll.ciqfunctions.udf.CIQ(InputTicker, "IQ_DISTRIBUTABLE_CASH_PER_SHARE_DILUTED",Input!F$2,Date,,,Ccy,Conv)</f>
        <v>0</v>
      </c>
      <c r="E64" s="4">
        <f>_xll.ciqfunctions.udf.CIQ(InputTicker, "IQ_DISTRIBUTABLE_CASH_PER_SHARE_DILUTED",Input!G$2,Date,,,Ccy,Conv)</f>
        <v>0</v>
      </c>
      <c r="F64" s="4">
        <f>_xll.ciqfunctions.udf.CIQ(InputTicker, "IQ_DISTRIBUTABLE_CASH_PER_SHARE_DILUTED",Input!H$2,Date,,,Ccy,Conv)</f>
        <v>0</v>
      </c>
      <c r="G64" s="4">
        <f>_xll.ciqfunctions.udf.CIQ(InputTicker, "IQ_DISTRIBUTABLE_CASH_PER_SHARE_DILUTED",Input!I$2,Date,,,Ccy,Conv)</f>
        <v>0</v>
      </c>
      <c r="H64" s="4">
        <f>_xll.ciqfunctions.udf.CIQ(InputTicker, "IQ_DISTRIBUTABLE_CASH_PER_SHARE_DILUTED",Input!J$2,Date,,,Ccy,Conv)</f>
        <v>0</v>
      </c>
      <c r="I64" s="4">
        <f>_xll.ciqfunctions.udf.CIQ(InputTicker, "IQ_DISTRIBUTABLE_CASH_PER_SHARE_DILUTED",Input!K$2,Date,,,Ccy,Conv)</f>
        <v>0</v>
      </c>
      <c r="J64" s="4">
        <f>_xll.ciqfunctions.udf.CIQ(InputTicker, "IQ_DISTRIBUTABLE_CASH_PER_SHARE_DILUTED",Input!L$2,Date,,,Ccy,Conv)</f>
        <v>0</v>
      </c>
      <c r="K64" s="4">
        <f>_xll.ciqfunctions.udf.CIQ(InputTicker, "IQ_DISTRIBUTABLE_CASH_PER_SHARE_DILUTED",Input!M$2,Date,,,Ccy,Conv)</f>
        <v>0</v>
      </c>
      <c r="L64" s="4">
        <f>_xll.ciqfunctions.udf.CIQ(InputTicker, "IQ_DISTRIBUTABLE_CASH_PER_SHARE_DILUTED",Input!N$2,Date,,,Ccy,Conv)</f>
        <v>0</v>
      </c>
      <c r="M64" s="4">
        <f>_xll.ciqfunctions.udf.CIQ(InputTicker, "IQ_DISTRIBUTABLE_CASH_PER_SHARE_DILUTED",Input!O$2,Date,,,Ccy,Conv)</f>
        <v>0</v>
      </c>
      <c r="N64" s="42"/>
      <c r="P64" s="48"/>
      <c r="Q64" s="48"/>
      <c r="R64" s="48"/>
      <c r="T64" s="42"/>
      <c r="U64" s="42"/>
      <c r="V64" s="48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</row>
    <row r="65" spans="1:66" ht="12.75" customHeight="1" x14ac:dyDescent="0.2">
      <c r="A65" s="1" t="s">
        <v>389</v>
      </c>
      <c r="B65" s="4">
        <f>_xll.ciqfunctions.udf.CIQ(InputTicker, "IQ_DISTRIBUTABLE_CASH_SHARES_BASIC",Input!D$2,Date)</f>
        <v>0</v>
      </c>
      <c r="C65" s="4">
        <f>_xll.ciqfunctions.udf.CIQ(InputTicker, "IQ_DISTRIBUTABLE_CASH_SHARES_BASIC",Input!E$2,Date)</f>
        <v>0</v>
      </c>
      <c r="D65" s="4">
        <f>_xll.ciqfunctions.udf.CIQ(InputTicker, "IQ_DISTRIBUTABLE_CASH_SHARES_BASIC",Input!F$2,Date)</f>
        <v>0</v>
      </c>
      <c r="E65" s="4">
        <f>_xll.ciqfunctions.udf.CIQ(InputTicker, "IQ_DISTRIBUTABLE_CASH_SHARES_BASIC",Input!G$2,Date)</f>
        <v>0</v>
      </c>
      <c r="F65" s="4">
        <f>_xll.ciqfunctions.udf.CIQ(InputTicker, "IQ_DISTRIBUTABLE_CASH_SHARES_BASIC",Input!H$2,Date)</f>
        <v>0</v>
      </c>
      <c r="G65" s="4">
        <f>_xll.ciqfunctions.udf.CIQ(InputTicker, "IQ_DISTRIBUTABLE_CASH_SHARES_BASIC",Input!I$2,Date)</f>
        <v>0</v>
      </c>
      <c r="H65" s="4">
        <f>_xll.ciqfunctions.udf.CIQ(InputTicker, "IQ_DISTRIBUTABLE_CASH_SHARES_BASIC",Input!J$2,Date)</f>
        <v>0</v>
      </c>
      <c r="I65" s="4">
        <f>_xll.ciqfunctions.udf.CIQ(InputTicker, "IQ_DISTRIBUTABLE_CASH_SHARES_BASIC",Input!K$2,Date)</f>
        <v>0</v>
      </c>
      <c r="J65" s="4">
        <f>_xll.ciqfunctions.udf.CIQ(InputTicker, "IQ_DISTRIBUTABLE_CASH_SHARES_BASIC",Input!L$2,Date)</f>
        <v>0</v>
      </c>
      <c r="K65" s="4">
        <f>_xll.ciqfunctions.udf.CIQ(InputTicker, "IQ_DISTRIBUTABLE_CASH_SHARES_BASIC",Input!M$2,Date)</f>
        <v>0</v>
      </c>
      <c r="L65" s="4">
        <f>_xll.ciqfunctions.udf.CIQ(InputTicker, "IQ_DISTRIBUTABLE_CASH_SHARES_BASIC",Input!N$2,Date)</f>
        <v>0</v>
      </c>
      <c r="M65" s="4">
        <f>_xll.ciqfunctions.udf.CIQ(InputTicker, "IQ_DISTRIBUTABLE_CASH_SHARES_BASIC",Input!O$2,Date)</f>
        <v>0</v>
      </c>
      <c r="N65" s="49"/>
      <c r="P65" s="48"/>
      <c r="Q65" s="48"/>
      <c r="R65" s="48"/>
      <c r="T65" s="42"/>
      <c r="U65" s="42"/>
      <c r="V65" s="48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</row>
    <row r="66" spans="1:66" ht="12.75" customHeight="1" x14ac:dyDescent="0.2">
      <c r="A66" s="1" t="s">
        <v>390</v>
      </c>
      <c r="B66" s="4">
        <f>_xll.ciqfunctions.udf.CIQ(InputTicker, "IQ_DISTRIBUTABLE_CASH_SHARES_DILUTED",Input!D$2,Date)</f>
        <v>0</v>
      </c>
      <c r="C66" s="4">
        <f>_xll.ciqfunctions.udf.CIQ(InputTicker, "IQ_DISTRIBUTABLE_CASH_SHARES_DILUTED",Input!E$2,Date)</f>
        <v>0</v>
      </c>
      <c r="D66" s="4">
        <f>_xll.ciqfunctions.udf.CIQ(InputTicker, "IQ_DISTRIBUTABLE_CASH_SHARES_DILUTED",Input!F$2,Date)</f>
        <v>0</v>
      </c>
      <c r="E66" s="4">
        <f>_xll.ciqfunctions.udf.CIQ(InputTicker, "IQ_DISTRIBUTABLE_CASH_SHARES_DILUTED",Input!G$2,Date)</f>
        <v>0</v>
      </c>
      <c r="F66" s="4">
        <f>_xll.ciqfunctions.udf.CIQ(InputTicker, "IQ_DISTRIBUTABLE_CASH_SHARES_DILUTED",Input!H$2,Date)</f>
        <v>0</v>
      </c>
      <c r="G66" s="4">
        <f>_xll.ciqfunctions.udf.CIQ(InputTicker, "IQ_DISTRIBUTABLE_CASH_SHARES_DILUTED",Input!I$2,Date)</f>
        <v>0</v>
      </c>
      <c r="H66" s="4">
        <f>_xll.ciqfunctions.udf.CIQ(InputTicker, "IQ_DISTRIBUTABLE_CASH_SHARES_DILUTED",Input!J$2,Date)</f>
        <v>0</v>
      </c>
      <c r="I66" s="4">
        <f>_xll.ciqfunctions.udf.CIQ(InputTicker, "IQ_DISTRIBUTABLE_CASH_SHARES_DILUTED",Input!K$2,Date)</f>
        <v>0</v>
      </c>
      <c r="J66" s="4">
        <f>_xll.ciqfunctions.udf.CIQ(InputTicker, "IQ_DISTRIBUTABLE_CASH_SHARES_DILUTED",Input!L$2,Date)</f>
        <v>0</v>
      </c>
      <c r="K66" s="4">
        <f>_xll.ciqfunctions.udf.CIQ(InputTicker, "IQ_DISTRIBUTABLE_CASH_SHARES_DILUTED",Input!M$2,Date)</f>
        <v>0</v>
      </c>
      <c r="L66" s="4">
        <f>_xll.ciqfunctions.udf.CIQ(InputTicker, "IQ_DISTRIBUTABLE_CASH_SHARES_DILUTED",Input!N$2,Date)</f>
        <v>0</v>
      </c>
      <c r="M66" s="4">
        <f>_xll.ciqfunctions.udf.CIQ(InputTicker, "IQ_DISTRIBUTABLE_CASH_SHARES_DILUTED",Input!O$2,Date)</f>
        <v>0</v>
      </c>
      <c r="N66" s="49"/>
      <c r="P66" s="48"/>
      <c r="Q66" s="48"/>
      <c r="R66" s="48"/>
      <c r="T66" s="42"/>
      <c r="U66" s="42"/>
      <c r="V66" s="48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</row>
    <row r="67" spans="1:66" ht="12.75" customHeight="1" x14ac:dyDescent="0.2">
      <c r="A67" s="1" t="s">
        <v>316</v>
      </c>
      <c r="B67" s="11">
        <f>_xll.ciqfunctions.udf.CIQ(InputTicker, "IQ_DIV_SHARE",Input!D$2,Date,,,Ccy,Conv)</f>
        <v>1.1100000000000001</v>
      </c>
      <c r="C67" s="11">
        <f>_xll.ciqfunctions.udf.CIQ(InputTicker, "IQ_DIV_SHARE",Input!E$2,Date,,,Ccy,Conv)</f>
        <v>2.1749999999999998</v>
      </c>
      <c r="D67" s="11">
        <f>_xll.ciqfunctions.udf.CIQ(InputTicker, "IQ_DIV_SHARE",Input!F$2,Date,,,Ccy,Conv)</f>
        <v>0</v>
      </c>
      <c r="E67" s="11">
        <f>_xll.ciqfunctions.udf.CIQ(InputTicker, "IQ_DIV_SHARE",Input!G$2,Date,,,Ccy,Conv)</f>
        <v>0.35099999999999998</v>
      </c>
      <c r="F67" s="11">
        <f>_xll.ciqfunctions.udf.CIQ(InputTicker, "IQ_DIV_SHARE",Input!H$2,Date,,,Ccy,Conv)</f>
        <v>0.50600000000000001</v>
      </c>
      <c r="G67" s="11">
        <f>_xll.ciqfunctions.udf.CIQ(InputTicker, "IQ_DIV_SHARE",Input!I$2,Date,,,Ccy,Conv)</f>
        <v>0</v>
      </c>
      <c r="H67" s="11">
        <f>_xll.ciqfunctions.udf.CIQ(InputTicker, "IQ_DIV_SHARE",Input!J$2,Date,,,Ccy,Conv)</f>
        <v>3.4000000000000002E-2</v>
      </c>
      <c r="I67" s="11">
        <f>_xll.ciqfunctions.udf.CIQ(InputTicker, "IQ_DIV_SHARE",Input!K$2,Date,,,Ccy,Conv)</f>
        <v>0.874</v>
      </c>
      <c r="J67" s="11">
        <f>_xll.ciqfunctions.udf.CIQ(InputTicker, "IQ_DIV_SHARE",Input!L$2,Date,,,Ccy,Conv)</f>
        <v>5.165</v>
      </c>
      <c r="K67" s="11">
        <f>_xll.ciqfunctions.udf.CIQ(InputTicker, "IQ_DIV_SHARE",Input!M$2,Date,,,Ccy,Conv)</f>
        <v>1.889</v>
      </c>
      <c r="L67" s="11">
        <f>_xll.ciqfunctions.udf.CIQ(InputTicker, "IQ_DIV_SHARE",Input!N$2,Date,,,Ccy,Conv)</f>
        <v>8.3569999999999993</v>
      </c>
      <c r="M67" s="11">
        <f>_xll.ciqfunctions.udf.CIQ(InputTicker, "IQ_DIV_SHARE",Input!O$2,Date,,,Ccy,Conv)</f>
        <v>7.9450000000000003</v>
      </c>
      <c r="N67" s="47"/>
      <c r="P67" s="48"/>
      <c r="Q67" s="48"/>
      <c r="R67" s="48"/>
      <c r="T67" s="42"/>
      <c r="U67" s="42"/>
      <c r="V67" s="48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</row>
    <row r="68" spans="1:66" ht="12.75" customHeight="1" x14ac:dyDescent="0.2">
      <c r="A68" s="1" t="s">
        <v>429</v>
      </c>
      <c r="B68" s="4">
        <f>_xll.ciqfunctions.udf.CIQ(InputTicker, "IQ_DR_RATIO_PRIMARY",Input!D$2,Date)</f>
        <v>0</v>
      </c>
      <c r="C68" s="4">
        <f>_xll.ciqfunctions.udf.CIQ(InputTicker, "IQ_DR_RATIO_PRIMARY",Input!E$2,Date)</f>
        <v>0</v>
      </c>
      <c r="D68" s="4">
        <f>_xll.ciqfunctions.udf.CIQ(InputTicker, "IQ_DR_RATIO_PRIMARY",Input!F$2,Date)</f>
        <v>0</v>
      </c>
      <c r="E68" s="4">
        <f>_xll.ciqfunctions.udf.CIQ(InputTicker, "IQ_DR_RATIO_PRIMARY",Input!G$2,Date)</f>
        <v>0</v>
      </c>
      <c r="F68" s="4">
        <f>_xll.ciqfunctions.udf.CIQ(InputTicker, "IQ_DR_RATIO_PRIMARY",Input!H$2,Date)</f>
        <v>0</v>
      </c>
      <c r="G68" s="4">
        <f>_xll.ciqfunctions.udf.CIQ(InputTicker, "IQ_DR_RATIO_PRIMARY",Input!I$2,Date)</f>
        <v>0</v>
      </c>
      <c r="H68" s="4">
        <f>_xll.ciqfunctions.udf.CIQ(InputTicker, "IQ_DR_RATIO_PRIMARY",Input!J$2,Date)</f>
        <v>0</v>
      </c>
      <c r="I68" s="4">
        <f>_xll.ciqfunctions.udf.CIQ(InputTicker, "IQ_DR_RATIO_PRIMARY",Input!K$2,Date)</f>
        <v>0</v>
      </c>
      <c r="J68" s="4">
        <f>_xll.ciqfunctions.udf.CIQ(InputTicker, "IQ_DR_RATIO_PRIMARY",Input!L$2,Date)</f>
        <v>0</v>
      </c>
      <c r="K68" s="4">
        <f>_xll.ciqfunctions.udf.CIQ(InputTicker, "IQ_DR_RATIO_PRIMARY",Input!M$2,Date)</f>
        <v>0</v>
      </c>
      <c r="L68" s="4">
        <f>_xll.ciqfunctions.udf.CIQ(InputTicker, "IQ_DR_RATIO_PRIMARY",Input!N$2,Date)</f>
        <v>0</v>
      </c>
      <c r="M68" s="4">
        <f>_xll.ciqfunctions.udf.CIQ(InputTicker, "IQ_DR_RATIO_PRIMARY",Input!O$2,Date)</f>
        <v>0</v>
      </c>
      <c r="N68" s="48"/>
      <c r="P68" s="48"/>
      <c r="Q68" s="48"/>
      <c r="R68" s="48"/>
      <c r="T68" s="42"/>
      <c r="U68" s="42"/>
      <c r="V68" s="48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</row>
    <row r="69" spans="1:66" ht="12.75" customHeight="1" x14ac:dyDescent="0.2">
      <c r="A69" s="1" t="s">
        <v>314</v>
      </c>
      <c r="B69" s="11">
        <f>_xll.ciqfunctions.udf.CIQ(InputTicker, "IQ_TOTAL_REV_SHARE",Input!D$2,Date,,,Ccy,Conv)</f>
        <v>32.743229999999997</v>
      </c>
      <c r="C69" s="11">
        <f>_xll.ciqfunctions.udf.CIQ(InputTicker, "IQ_TOTAL_REV_SHARE",Input!E$2,Date,,,Ccy,Conv)</f>
        <v>39.60266</v>
      </c>
      <c r="D69" s="11">
        <f>_xll.ciqfunctions.udf.CIQ(InputTicker, "IQ_TOTAL_REV_SHARE",Input!F$2,Date,,,Ccy,Conv)</f>
        <v>22.218129999999999</v>
      </c>
      <c r="E69" s="11">
        <f>_xll.ciqfunctions.udf.CIQ(InputTicker, "IQ_TOTAL_REV_SHARE",Input!G$2,Date,,,Ccy,Conv)</f>
        <v>31.0825</v>
      </c>
      <c r="F69" s="11">
        <f>_xll.ciqfunctions.udf.CIQ(InputTicker, "IQ_TOTAL_REV_SHARE",Input!H$2,Date,,,Ccy,Conv)</f>
        <v>28.08484</v>
      </c>
      <c r="G69" s="11">
        <f>_xll.ciqfunctions.udf.CIQ(InputTicker, "IQ_TOTAL_REV_SHARE",Input!I$2,Date,,,Ccy,Conv)</f>
        <v>27.8872</v>
      </c>
      <c r="H69" s="11">
        <f>_xll.ciqfunctions.udf.CIQ(InputTicker, "IQ_TOTAL_REV_SHARE",Input!J$2,Date,,,Ccy,Conv)</f>
        <v>27.801549999999999</v>
      </c>
      <c r="I69" s="11">
        <f>_xll.ciqfunctions.udf.CIQ(InputTicker, "IQ_TOTAL_REV_SHARE",Input!K$2,Date,,,Ccy,Conv)</f>
        <v>36.581359999999997</v>
      </c>
      <c r="J69" s="11">
        <f>_xll.ciqfunctions.udf.CIQ(InputTicker, "IQ_TOTAL_REV_SHARE",Input!L$2,Date,,,Ccy,Conv)</f>
        <v>64.673100000000005</v>
      </c>
      <c r="K69" s="11">
        <f>_xll.ciqfunctions.udf.CIQ(InputTicker, "IQ_TOTAL_REV_SHARE",Input!M$2,Date,,,Ccy,Conv)</f>
        <v>47.75423</v>
      </c>
      <c r="L69" s="11">
        <f>_xll.ciqfunctions.udf.CIQ(InputTicker, "IQ_TOTAL_REV_SHARE",Input!N$2,Date,,,Ccy,Conv)</f>
        <v>87.478909999999999</v>
      </c>
      <c r="M69" s="11">
        <f>_xll.ciqfunctions.udf.CIQ(InputTicker, "IQ_TOTAL_REV_SHARE",Input!O$2,Date,,,Ccy,Conv)</f>
        <v>87.031229999999994</v>
      </c>
      <c r="N69" s="48"/>
      <c r="P69" s="48"/>
      <c r="Q69" s="48"/>
      <c r="R69" s="48"/>
      <c r="T69" s="42"/>
      <c r="U69" s="42"/>
      <c r="V69" s="48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</row>
    <row r="70" spans="1:66" ht="12.75" customHeight="1" x14ac:dyDescent="0.2">
      <c r="A70" s="1" t="s">
        <v>313</v>
      </c>
      <c r="B70" s="11">
        <f>_xll.ciqfunctions.udf.CIQ(InputTicker, "IQ_DISTRIBUTABLE_CASH_SHARE",Input!D$2,Date,,,Ccy,Conv)</f>
        <v>0</v>
      </c>
      <c r="C70" s="11">
        <f>_xll.ciqfunctions.udf.CIQ(InputTicker, "IQ_DISTRIBUTABLE_CASH_SHARE",Input!E$2,Date,,,Ccy,Conv)</f>
        <v>0</v>
      </c>
      <c r="D70" s="11">
        <f>_xll.ciqfunctions.udf.CIQ(InputTicker, "IQ_DISTRIBUTABLE_CASH_SHARE",Input!F$2,Date,,,Ccy,Conv)</f>
        <v>0</v>
      </c>
      <c r="E70" s="11">
        <f>_xll.ciqfunctions.udf.CIQ(InputTicker, "IQ_DISTRIBUTABLE_CASH_SHARE",Input!G$2,Date,,,Ccy,Conv)</f>
        <v>0</v>
      </c>
      <c r="F70" s="11">
        <f>_xll.ciqfunctions.udf.CIQ(InputTicker, "IQ_DISTRIBUTABLE_CASH_SHARE",Input!H$2,Date,,,Ccy,Conv)</f>
        <v>0</v>
      </c>
      <c r="G70" s="11">
        <f>_xll.ciqfunctions.udf.CIQ(InputTicker, "IQ_DISTRIBUTABLE_CASH_SHARE",Input!I$2,Date,,,Ccy,Conv)</f>
        <v>0</v>
      </c>
      <c r="H70" s="11">
        <f>_xll.ciqfunctions.udf.CIQ(InputTicker, "IQ_DISTRIBUTABLE_CASH_SHARE",Input!J$2,Date,,,Ccy,Conv)</f>
        <v>0</v>
      </c>
      <c r="I70" s="11">
        <f>_xll.ciqfunctions.udf.CIQ(InputTicker, "IQ_DISTRIBUTABLE_CASH_SHARE",Input!K$2,Date,,,Ccy,Conv)</f>
        <v>0</v>
      </c>
      <c r="J70" s="11">
        <f>_xll.ciqfunctions.udf.CIQ(InputTicker, "IQ_DISTRIBUTABLE_CASH_SHARE",Input!L$2,Date,,,Ccy,Conv)</f>
        <v>0</v>
      </c>
      <c r="K70" s="11">
        <f>_xll.ciqfunctions.udf.CIQ(InputTicker, "IQ_DISTRIBUTABLE_CASH_SHARE",Input!M$2,Date,,,Ccy,Conv)</f>
        <v>0</v>
      </c>
      <c r="L70" s="11">
        <f>_xll.ciqfunctions.udf.CIQ(InputTicker, "IQ_DISTRIBUTABLE_CASH_SHARE",Input!N$2,Date,,,Ccy,Conv)</f>
        <v>0</v>
      </c>
      <c r="M70" s="11">
        <f>_xll.ciqfunctions.udf.CIQ(InputTicker, "IQ_DISTRIBUTABLE_CASH_SHARE",Input!O$2,Date,,,Ccy,Conv)</f>
        <v>0</v>
      </c>
      <c r="N70" s="48"/>
      <c r="P70" s="48"/>
      <c r="Q70" s="48"/>
      <c r="R70" s="48"/>
      <c r="T70" s="42"/>
      <c r="U70" s="42"/>
      <c r="V70" s="48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</row>
    <row r="71" spans="1:66" ht="12.75" customHeight="1" x14ac:dyDescent="0.2">
      <c r="A71" s="1" t="s">
        <v>315</v>
      </c>
      <c r="B71" s="11">
        <f>_xll.ciqfunctions.udf.CIQ(InputTicker, "IQ_SPECIAL_DIV_SHARE",Input!D$2,Date,,,Ccy,Conv)</f>
        <v>0</v>
      </c>
      <c r="C71" s="11">
        <f>_xll.ciqfunctions.udf.CIQ(InputTicker, "IQ_SPECIAL_DIV_SHARE",Input!E$2,Date,,,Ccy,Conv)</f>
        <v>0</v>
      </c>
      <c r="D71" s="11">
        <f>_xll.ciqfunctions.udf.CIQ(InputTicker, "IQ_SPECIAL_DIV_SHARE",Input!F$2,Date,,,Ccy,Conv)</f>
        <v>0</v>
      </c>
      <c r="E71" s="11">
        <f>_xll.ciqfunctions.udf.CIQ(InputTicker, "IQ_SPECIAL_DIV_SHARE",Input!G$2,Date,,,Ccy,Conv)</f>
        <v>0</v>
      </c>
      <c r="F71" s="11">
        <f>_xll.ciqfunctions.udf.CIQ(InputTicker, "IQ_SPECIAL_DIV_SHARE",Input!H$2,Date,,,Ccy,Conv)</f>
        <v>0</v>
      </c>
      <c r="G71" s="11">
        <f>_xll.ciqfunctions.udf.CIQ(InputTicker, "IQ_SPECIAL_DIV_SHARE",Input!I$2,Date,,,Ccy,Conv)</f>
        <v>0</v>
      </c>
      <c r="H71" s="11">
        <f>_xll.ciqfunctions.udf.CIQ(InputTicker, "IQ_SPECIAL_DIV_SHARE",Input!J$2,Date,,,Ccy,Conv)</f>
        <v>0</v>
      </c>
      <c r="I71" s="11">
        <f>_xll.ciqfunctions.udf.CIQ(InputTicker, "IQ_SPECIAL_DIV_SHARE",Input!K$2,Date,,,Ccy,Conv)</f>
        <v>0</v>
      </c>
      <c r="J71" s="11">
        <f>_xll.ciqfunctions.udf.CIQ(InputTicker, "IQ_SPECIAL_DIV_SHARE",Input!L$2,Date,,,Ccy,Conv)</f>
        <v>0</v>
      </c>
      <c r="K71" s="11">
        <f>_xll.ciqfunctions.udf.CIQ(InputTicker, "IQ_SPECIAL_DIV_SHARE",Input!M$2,Date,,,Ccy,Conv)</f>
        <v>0</v>
      </c>
      <c r="L71" s="11">
        <f>_xll.ciqfunctions.udf.CIQ(InputTicker, "IQ_SPECIAL_DIV_SHARE",Input!N$2,Date,,,Ccy,Conv)</f>
        <v>0</v>
      </c>
      <c r="M71" s="11">
        <f>_xll.ciqfunctions.udf.CIQ(InputTicker, "IQ_SPECIAL_DIV_SHARE",Input!O$2,Date,,,Ccy,Conv)</f>
        <v>0</v>
      </c>
      <c r="N71" s="48"/>
      <c r="P71" s="48"/>
      <c r="Q71" s="48"/>
      <c r="R71" s="48"/>
      <c r="T71" s="42"/>
      <c r="U71" s="42"/>
      <c r="V71" s="48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</row>
    <row r="72" spans="1:66" ht="12.75" customHeight="1" x14ac:dyDescent="0.2">
      <c r="A72" s="1" t="s">
        <v>216</v>
      </c>
      <c r="B72" s="13">
        <f>_xll.ciqfunctions.udf.CIQ(InputTicker, "IQ_FILINGDATE_IS",Input!D$2,Date)</f>
        <v>42940</v>
      </c>
      <c r="C72" s="13">
        <f>_xll.ciqfunctions.udf.CIQ(InputTicker, "IQ_FILINGDATE_IS",Input!E$2,Date)</f>
        <v>43304</v>
      </c>
      <c r="D72" s="13">
        <f>_xll.ciqfunctions.udf.CIQ(InputTicker, "IQ_FILINGDATE_IS",Input!F$2,Date)</f>
        <v>43668</v>
      </c>
      <c r="E72" s="13">
        <f>_xll.ciqfunctions.udf.CIQ(InputTicker, "IQ_FILINGDATE_IS",Input!G$2,Date)</f>
        <v>44032</v>
      </c>
      <c r="F72" s="13">
        <f>_xll.ciqfunctions.udf.CIQ(InputTicker, "IQ_FILINGDATE_IS",Input!H$2,Date)</f>
        <v>44396</v>
      </c>
      <c r="G72" s="13">
        <f>_xll.ciqfunctions.udf.CIQ(InputTicker, "IQ_FILINGDATE_IS",Input!I$2,Date)</f>
        <v>44761</v>
      </c>
      <c r="H72" s="13">
        <f>_xll.ciqfunctions.udf.CIQ(InputTicker, "IQ_FILINGDATE_IS",Input!J$2,Date)</f>
        <v>45132</v>
      </c>
      <c r="I72" s="13">
        <f>_xll.ciqfunctions.udf.CIQ(InputTicker, "IQ_FILINGDATE_IS",Input!K$2,Date)</f>
        <v>45496</v>
      </c>
      <c r="J72" s="13">
        <f>_xll.ciqfunctions.udf.CIQ(InputTicker, "IQ_FILINGDATE_IS",Input!L$2,Date)</f>
        <v>45860</v>
      </c>
      <c r="K72" s="13">
        <f>_xll.ciqfunctions.udf.CIQ(InputTicker, "IQ_FILINGDATE_IS",Input!M$2,Date)</f>
        <v>45860</v>
      </c>
      <c r="L72" s="13">
        <f>_xll.ciqfunctions.udf.CIQ(InputTicker, "IQ_FILINGDATE_IS",Input!N$2,Date)</f>
        <v>45860</v>
      </c>
      <c r="M72" s="13">
        <f>_xll.ciqfunctions.udf.CIQ(InputTicker, "IQ_FILINGDATE_IS",Input!O$2,Date)</f>
        <v>46029</v>
      </c>
      <c r="N72" s="42"/>
      <c r="P72" s="46"/>
      <c r="Q72" s="46"/>
      <c r="R72" s="46"/>
      <c r="T72" s="42"/>
      <c r="U72" s="42"/>
      <c r="V72" s="46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</row>
    <row r="73" spans="1:66" ht="12.75" customHeight="1" x14ac:dyDescent="0.2">
      <c r="A73" s="1" t="s">
        <v>317</v>
      </c>
      <c r="B73" s="18">
        <f>_xll.ciqfunctions.udf.CIQ(InputTicker,"IQ_PERIODLENGTH_IS",Input!D$2,Date)</f>
        <v>12</v>
      </c>
      <c r="C73" s="18">
        <f>_xll.ciqfunctions.udf.CIQ(InputTicker,"IQ_PERIODLENGTH_IS",Input!E$2,Date)</f>
        <v>12</v>
      </c>
      <c r="D73" s="18">
        <f>_xll.ciqfunctions.udf.CIQ(InputTicker,"IQ_PERIODLENGTH_IS",Input!F$2,Date)</f>
        <v>12</v>
      </c>
      <c r="E73" s="18">
        <f>_xll.ciqfunctions.udf.CIQ(InputTicker,"IQ_PERIODLENGTH_IS",Input!G$2,Date)</f>
        <v>12</v>
      </c>
      <c r="F73" s="18">
        <f>_xll.ciqfunctions.udf.CIQ(InputTicker,"IQ_PERIODLENGTH_IS",Input!H$2,Date)</f>
        <v>12</v>
      </c>
      <c r="G73" s="18">
        <f>_xll.ciqfunctions.udf.CIQ(InputTicker,"IQ_PERIODLENGTH_IS",Input!I$2,Date)</f>
        <v>12</v>
      </c>
      <c r="H73" s="18">
        <f>_xll.ciqfunctions.udf.CIQ(InputTicker,"IQ_PERIODLENGTH_IS",Input!J$2,Date)</f>
        <v>12</v>
      </c>
      <c r="I73" s="18">
        <f>_xll.ciqfunctions.udf.CIQ(InputTicker,"IQ_PERIODLENGTH_IS",Input!K$2,Date)</f>
        <v>12</v>
      </c>
      <c r="J73" s="18">
        <f>_xll.ciqfunctions.udf.CIQ(InputTicker,"IQ_PERIODLENGTH_IS",Input!L$2,Date)</f>
        <v>12</v>
      </c>
      <c r="K73" s="18">
        <f>_xll.ciqfunctions.udf.CIQ(InputTicker,"IQ_PERIODLENGTH_IS",Input!M$2,Date)</f>
        <v>12</v>
      </c>
      <c r="L73" s="18">
        <f>_xll.ciqfunctions.udf.CIQ(InputTicker,"IQ_PERIODLENGTH_IS",Input!N$2,Date)</f>
        <v>12</v>
      </c>
      <c r="M73" s="18">
        <f>_xll.ciqfunctions.udf.CIQ(InputTicker,"IQ_PERIODLENGTH_IS",Input!O$2,Date)</f>
        <v>12</v>
      </c>
      <c r="N73" s="42"/>
      <c r="P73" s="46"/>
      <c r="Q73" s="46"/>
      <c r="R73" s="46"/>
      <c r="T73" s="42"/>
      <c r="U73" s="42"/>
      <c r="V73" s="46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</row>
    <row r="74" spans="1:66" ht="12.75" customHeight="1" x14ac:dyDescent="0.2">
      <c r="A74" s="1" t="s">
        <v>84</v>
      </c>
      <c r="B74" s="4">
        <f>_xll.ciqfunctions.udf.CIQ(InputTicker,"IQ_EBITDA",Input!D$2,Date,,,Ccy,Conv)</f>
        <v>276.04300000000001</v>
      </c>
      <c r="C74" s="4">
        <f>_xll.ciqfunctions.udf.CIQ(InputTicker,"IQ_EBITDA",Input!E$2,Date,,,Ccy,Conv)</f>
        <v>514.90599999999995</v>
      </c>
      <c r="D74" s="4">
        <f>_xll.ciqfunctions.udf.CIQ(InputTicker,"IQ_EBITDA",Input!F$2,Date,,,Ccy,Conv)</f>
        <v>-81.369</v>
      </c>
      <c r="E74" s="4">
        <f>_xll.ciqfunctions.udf.CIQ(InputTicker,"IQ_EBITDA",Input!G$2,Date,,,Ccy,Conv)</f>
        <v>235.756</v>
      </c>
      <c r="F74" s="4">
        <f>_xll.ciqfunctions.udf.CIQ(InputTicker,"IQ_EBITDA",Input!H$2,Date,,,Ccy,Conv)</f>
        <v>100.464</v>
      </c>
      <c r="G74" s="4">
        <f>_xll.ciqfunctions.udf.CIQ(InputTicker,"IQ_EBITDA",Input!I$2,Date,,,Ccy,Conv)</f>
        <v>59.454000000000001</v>
      </c>
      <c r="H74" s="4">
        <f>_xll.ciqfunctions.udf.CIQ(InputTicker,"IQ_EBITDA",Input!J$2,Date,,,Ccy,Conv)</f>
        <v>36.195</v>
      </c>
      <c r="I74" s="4">
        <f>_xll.ciqfunctions.udf.CIQ(InputTicker,"IQ_EBITDA",Input!K$2,Date,,,Ccy,Conv)</f>
        <v>206.82300000000001</v>
      </c>
      <c r="J74" s="4">
        <f>_xll.ciqfunctions.udf.CIQ(InputTicker,"IQ_EBITDA",Input!L$2,Date,,,Ccy,Conv)</f>
        <v>1036.4839999999999</v>
      </c>
      <c r="K74" s="4">
        <f>_xll.ciqfunctions.udf.CIQ(InputTicker,"IQ_EBITDA",Input!M$2,Date,,,Ccy,Conv)</f>
        <v>394.33499999999998</v>
      </c>
      <c r="L74" s="4">
        <f>_xll.ciqfunctions.udf.CIQ(InputTicker,"IQ_EBITDA",Input!N$2,Date,,,Ccy,Conv)</f>
        <v>1645.4570000000001</v>
      </c>
      <c r="M74" s="4">
        <f>_xll.ciqfunctions.udf.CIQ(InputTicker,"IQ_EBITDA",Input!O$2,Date,,,Ccy,Conv)</f>
        <v>1564.106</v>
      </c>
      <c r="N74" s="42"/>
      <c r="P74" s="46"/>
      <c r="Q74" s="46"/>
      <c r="R74" s="46"/>
      <c r="T74" s="42"/>
      <c r="U74" s="42"/>
      <c r="V74" s="46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</row>
    <row r="75" spans="1:66" ht="12.75" customHeight="1" x14ac:dyDescent="0.2">
      <c r="A75" s="1" t="s">
        <v>286</v>
      </c>
      <c r="B75" s="4">
        <f>_xll.ciqfunctions.udf.CIQ(InputTicker,"IQ_EBITDA_EQ_INC",Input!D$2,Date,,,Ccy,Conv)</f>
        <v>278.7</v>
      </c>
      <c r="C75" s="4">
        <f>_xll.ciqfunctions.udf.CIQ(InputTicker,"IQ_EBITDA_EQ_INC",Input!E$2,Date,,,Ccy,Conv)</f>
        <v>519.92200000000003</v>
      </c>
      <c r="D75" s="4">
        <f>_xll.ciqfunctions.udf.CIQ(InputTicker,"IQ_EBITDA_EQ_INC",Input!F$2,Date,,,Ccy,Conv)</f>
        <v>-79.978999999999999</v>
      </c>
      <c r="E75" s="4">
        <f>_xll.ciqfunctions.udf.CIQ(InputTicker,"IQ_EBITDA_EQ_INC",Input!G$2,Date,,,Ccy,Conv)</f>
        <v>239.273</v>
      </c>
      <c r="F75" s="4">
        <f>_xll.ciqfunctions.udf.CIQ(InputTicker,"IQ_EBITDA_EQ_INC",Input!H$2,Date,,,Ccy,Conv)</f>
        <v>105.24</v>
      </c>
      <c r="G75" s="4">
        <f>_xll.ciqfunctions.udf.CIQ(InputTicker,"IQ_EBITDA_EQ_INC",Input!I$2,Date,,,Ccy,Conv)</f>
        <v>64.688000000000002</v>
      </c>
      <c r="H75" s="4">
        <f>_xll.ciqfunctions.udf.CIQ(InputTicker,"IQ_EBITDA_EQ_INC",Input!J$2,Date,,,Ccy,Conv)</f>
        <v>41.372999999999998</v>
      </c>
      <c r="I75" s="4">
        <f>_xll.ciqfunctions.udf.CIQ(InputTicker,"IQ_EBITDA_EQ_INC",Input!K$2,Date,,,Ccy,Conv)</f>
        <v>208.76599999999999</v>
      </c>
      <c r="J75" s="4">
        <f>_xll.ciqfunctions.udf.CIQ(InputTicker,"IQ_EBITDA_EQ_INC",Input!L$2,Date,,,Ccy,Conv)</f>
        <v>1037.23</v>
      </c>
      <c r="K75" s="4">
        <f>_xll.ciqfunctions.udf.CIQ(InputTicker,"IQ_EBITDA_EQ_INC",Input!M$2,Date,,,Ccy,Conv)</f>
        <v>395.755</v>
      </c>
      <c r="L75" s="4">
        <f>_xll.ciqfunctions.udf.CIQ(InputTicker,"IQ_EBITDA_EQ_INC",Input!N$2,Date,,,Ccy,Conv)</f>
        <v>1651.6780000000001</v>
      </c>
      <c r="M75" s="4">
        <f>_xll.ciqfunctions.udf.CIQ(InputTicker,"IQ_EBITDA_EQ_INC",Input!O$2,Date,,,Ccy,Conv)</f>
        <v>1570.327</v>
      </c>
      <c r="N75" s="50"/>
      <c r="P75" s="46"/>
      <c r="Q75" s="46"/>
      <c r="R75" s="46"/>
      <c r="T75" s="42"/>
      <c r="U75" s="42"/>
      <c r="V75" s="46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</row>
    <row r="76" spans="1:66" ht="12.75" customHeight="1" x14ac:dyDescent="0.2">
      <c r="A76" s="1" t="s">
        <v>287</v>
      </c>
      <c r="B76" s="4">
        <f>_xll.ciqfunctions.udf.CIQ(InputTicker,"IQ_EBITDA_EQ_INC_EXCL_SBC",Input!D$2,Date,,,Ccy,Conv)</f>
        <v>281.65499999999997</v>
      </c>
      <c r="C76" s="4">
        <f>_xll.ciqfunctions.udf.CIQ(InputTicker,"IQ_EBITDA_EQ_INC_EXCL_SBC",Input!E$2,Date,,,Ccy,Conv)</f>
        <v>522.99300000000005</v>
      </c>
      <c r="D76" s="4">
        <f>_xll.ciqfunctions.udf.CIQ(InputTicker,"IQ_EBITDA_EQ_INC_EXCL_SBC",Input!F$2,Date,,,Ccy,Conv)</f>
        <v>-76.552000000000007</v>
      </c>
      <c r="E76" s="4">
        <f>_xll.ciqfunctions.udf.CIQ(InputTicker,"IQ_EBITDA_EQ_INC_EXCL_SBC",Input!G$2,Date,,,Ccy,Conv)</f>
        <v>242.74</v>
      </c>
      <c r="F76" s="4">
        <f>_xll.ciqfunctions.udf.CIQ(InputTicker,"IQ_EBITDA_EQ_INC_EXCL_SBC",Input!H$2,Date,,,Ccy,Conv)</f>
        <v>108.85899999999999</v>
      </c>
      <c r="G76" s="4">
        <f>_xll.ciqfunctions.udf.CIQ(InputTicker,"IQ_EBITDA_EQ_INC_EXCL_SBC",Input!I$2,Date,,,Ccy,Conv)</f>
        <v>63.604999999999997</v>
      </c>
      <c r="H76" s="4">
        <f>_xll.ciqfunctions.udf.CIQ(InputTicker,"IQ_EBITDA_EQ_INC_EXCL_SBC",Input!J$2,Date,,,Ccy,Conv)</f>
        <v>40.594999999999999</v>
      </c>
      <c r="I76" s="4">
        <f>_xll.ciqfunctions.udf.CIQ(InputTicker,"IQ_EBITDA_EQ_INC_EXCL_SBC",Input!K$2,Date,,,Ccy,Conv)</f>
        <v>212.82900000000001</v>
      </c>
      <c r="J76" s="4">
        <f>_xll.ciqfunctions.udf.CIQ(InputTicker,"IQ_EBITDA_EQ_INC_EXCL_SBC",Input!L$2,Date,,,Ccy,Conv)</f>
        <v>1041.4349999999999</v>
      </c>
      <c r="K76" s="4">
        <f>_xll.ciqfunctions.udf.CIQ(InputTicker,"IQ_EBITDA_EQ_INC_EXCL_SBC",Input!M$2,Date,,,Ccy,Conv)</f>
        <v>400.113</v>
      </c>
      <c r="L76" s="4">
        <f>_xll.ciqfunctions.udf.CIQ(InputTicker,"IQ_EBITDA_EQ_INC_EXCL_SBC",Input!N$2,Date,,,Ccy,Conv)</f>
        <v>1656.2049999999999</v>
      </c>
      <c r="M76" s="4">
        <f>_xll.ciqfunctions.udf.CIQ(InputTicker,"IQ_EBITDA_EQ_INC_EXCL_SBC",Input!O$2,Date,,,Ccy,Conv)</f>
        <v>1575.354</v>
      </c>
      <c r="N76" s="50"/>
      <c r="P76" s="46"/>
      <c r="Q76" s="46"/>
      <c r="R76" s="46"/>
      <c r="T76" s="42"/>
      <c r="U76" s="42"/>
      <c r="V76" s="46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</row>
    <row r="77" spans="1:66" ht="12.75" customHeight="1" x14ac:dyDescent="0.2">
      <c r="A77" s="1" t="s">
        <v>288</v>
      </c>
      <c r="B77" s="4">
        <f>_xll.ciqfunctions.udf.CIQ(InputTicker,"IQ_EBITDA_EXCL_SBC",Input!D$2,Date,,,Ccy,Conv)</f>
        <v>278.99799999999999</v>
      </c>
      <c r="C77" s="4">
        <f>_xll.ciqfunctions.udf.CIQ(InputTicker,"IQ_EBITDA_EXCL_SBC",Input!E$2,Date,,,Ccy,Conv)</f>
        <v>517.97699999999998</v>
      </c>
      <c r="D77" s="4">
        <f>_xll.ciqfunctions.udf.CIQ(InputTicker,"IQ_EBITDA_EXCL_SBC",Input!F$2,Date,,,Ccy,Conv)</f>
        <v>-77.941999999999993</v>
      </c>
      <c r="E77" s="4">
        <f>_xll.ciqfunctions.udf.CIQ(InputTicker,"IQ_EBITDA_EXCL_SBC",Input!G$2,Date,,,Ccy,Conv)</f>
        <v>239.22300000000001</v>
      </c>
      <c r="F77" s="4">
        <f>_xll.ciqfunctions.udf.CIQ(InputTicker,"IQ_EBITDA_EXCL_SBC",Input!H$2,Date,,,Ccy,Conv)</f>
        <v>104.083</v>
      </c>
      <c r="G77" s="4">
        <f>_xll.ciqfunctions.udf.CIQ(InputTicker,"IQ_EBITDA_EXCL_SBC",Input!I$2,Date,,,Ccy,Conv)</f>
        <v>63.070999999999998</v>
      </c>
      <c r="H77" s="4">
        <f>_xll.ciqfunctions.udf.CIQ(InputTicker,"IQ_EBITDA_EXCL_SBC",Input!J$2,Date,,,Ccy,Conv)</f>
        <v>39.972999999999999</v>
      </c>
      <c r="I77" s="4">
        <f>_xll.ciqfunctions.udf.CIQ(InputTicker,"IQ_EBITDA_EXCL_SBC",Input!K$2,Date,,,Ccy,Conv)</f>
        <v>210.886</v>
      </c>
      <c r="J77" s="4">
        <f>_xll.ciqfunctions.udf.CIQ(InputTicker,"IQ_EBITDA_EXCL_SBC",Input!L$2,Date,,,Ccy,Conv)</f>
        <v>1040.6890000000001</v>
      </c>
      <c r="K77" s="4">
        <f>_xll.ciqfunctions.udf.CIQ(InputTicker,"IQ_EBITDA_EXCL_SBC",Input!M$2,Date,,,Ccy,Conv)</f>
        <v>398.69299999999998</v>
      </c>
      <c r="L77" s="4">
        <f>_xll.ciqfunctions.udf.CIQ(InputTicker,"IQ_EBITDA_EXCL_SBC",Input!N$2,Date,,,Ccy,Conv)</f>
        <v>1649.9839999999999</v>
      </c>
      <c r="M77" s="4">
        <f>_xll.ciqfunctions.udf.CIQ(InputTicker,"IQ_EBITDA_EXCL_SBC",Input!O$2,Date,,,Ccy,Conv)</f>
        <v>1569.133</v>
      </c>
      <c r="N77" s="50"/>
      <c r="P77" s="46"/>
      <c r="Q77" s="46"/>
      <c r="R77" s="46"/>
      <c r="T77" s="42"/>
      <c r="U77" s="42"/>
      <c r="V77" s="46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</row>
    <row r="78" spans="1:66" ht="12.75" customHeight="1" x14ac:dyDescent="0.2">
      <c r="A78" s="1" t="s">
        <v>460</v>
      </c>
      <c r="B78" s="4">
        <f>_xll.ciqfunctions.udf.CIQ(InputTicker,"IQ_EBITDA_LEASE_ADJUSTED",Input!D$2,Date,,,Ccy,Conv)</f>
        <v>276.04300000000001</v>
      </c>
      <c r="C78" s="4">
        <f>_xll.ciqfunctions.udf.CIQ(InputTicker,"IQ_EBITDA_LEASE_ADJUSTED",Input!E$2,Date,,,Ccy,Conv)</f>
        <v>514.90599999999995</v>
      </c>
      <c r="D78" s="4">
        <f>_xll.ciqfunctions.udf.CIQ(InputTicker,"IQ_EBITDA_LEASE_ADJUSTED",Input!F$2,Date,,,Ccy,Conv)</f>
        <v>-81.369</v>
      </c>
      <c r="E78" s="4">
        <f>_xll.ciqfunctions.udf.CIQ(InputTicker,"IQ_EBITDA_LEASE_ADJUSTED",Input!G$2,Date,,,Ccy,Conv)</f>
        <v>235.756</v>
      </c>
      <c r="F78" s="4">
        <f>_xll.ciqfunctions.udf.CIQ(InputTicker,"IQ_EBITDA_LEASE_ADJUSTED",Input!H$2,Date,,,Ccy,Conv)</f>
        <v>100.464</v>
      </c>
      <c r="G78" s="4">
        <f>_xll.ciqfunctions.udf.CIQ(InputTicker,"IQ_EBITDA_LEASE_ADJUSTED",Input!I$2,Date,,,Ccy,Conv)</f>
        <v>64.153999999999996</v>
      </c>
      <c r="H78" s="4">
        <f>_xll.ciqfunctions.udf.CIQ(InputTicker,"IQ_EBITDA_LEASE_ADJUSTED",Input!J$2,Date,,,Ccy,Conv)</f>
        <v>40.750999999999998</v>
      </c>
      <c r="I78" s="4">
        <f>_xll.ciqfunctions.udf.CIQ(InputTicker,"IQ_EBITDA_LEASE_ADJUSTED",Input!K$2,Date,,,Ccy,Conv)</f>
        <v>206.82300000000001</v>
      </c>
      <c r="J78" s="4">
        <f>_xll.ciqfunctions.udf.CIQ(InputTicker,"IQ_EBITDA_LEASE_ADJUSTED",Input!L$2,Date,,,Ccy,Conv)</f>
        <v>1036.4839999999999</v>
      </c>
      <c r="K78" s="4">
        <f>_xll.ciqfunctions.udf.CIQ(InputTicker,"IQ_EBITDA_LEASE_ADJUSTED",Input!M$2,Date,,,Ccy,Conv)</f>
        <v>394.33499999999998</v>
      </c>
      <c r="L78" s="4">
        <f>_xll.ciqfunctions.udf.CIQ(InputTicker,"IQ_EBITDA_LEASE_ADJUSTED",Input!N$2,Date,,,Ccy,Conv)</f>
        <v>1645.4570000000001</v>
      </c>
      <c r="M78" s="4">
        <f>_xll.ciqfunctions.udf.CIQ(InputTicker,"IQ_EBITDA_LEASE_ADJUSTED",Input!O$2,Date,,,Ccy,Conv)</f>
        <v>1564.106</v>
      </c>
      <c r="N78" s="50"/>
      <c r="P78" s="46"/>
      <c r="Q78" s="46"/>
      <c r="R78" s="46"/>
      <c r="T78" s="42"/>
      <c r="U78" s="42"/>
      <c r="V78" s="46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</row>
    <row r="79" spans="1:66" ht="12.75" customHeight="1" x14ac:dyDescent="0.2">
      <c r="A79" s="1" t="s">
        <v>461</v>
      </c>
      <c r="B79" s="4">
        <f>_xll.ciqfunctions.udf.CIQ(InputTicker,"IQ_LEASE_ADJUSTMENT_EBITDA",Input!D$2,Date,,,Ccy,Conv)</f>
        <v>0</v>
      </c>
      <c r="C79" s="4">
        <f>_xll.ciqfunctions.udf.CIQ(InputTicker,"IQ_LEASE_ADJUSTMENT_EBITDA",Input!E$2,Date,,,Ccy,Conv)</f>
        <v>0</v>
      </c>
      <c r="D79" s="4">
        <f>_xll.ciqfunctions.udf.CIQ(InputTicker,"IQ_LEASE_ADJUSTMENT_EBITDA",Input!F$2,Date,,,Ccy,Conv)</f>
        <v>0</v>
      </c>
      <c r="E79" s="4">
        <f>_xll.ciqfunctions.udf.CIQ(InputTicker,"IQ_LEASE_ADJUSTMENT_EBITDA",Input!G$2,Date,,,Ccy,Conv)</f>
        <v>0</v>
      </c>
      <c r="F79" s="4">
        <f>_xll.ciqfunctions.udf.CIQ(InputTicker,"IQ_LEASE_ADJUSTMENT_EBITDA",Input!H$2,Date,,,Ccy,Conv)</f>
        <v>0</v>
      </c>
      <c r="G79" s="4">
        <f>_xll.ciqfunctions.udf.CIQ(InputTicker,"IQ_LEASE_ADJUSTMENT_EBITDA",Input!I$2,Date,,,Ccy,Conv)</f>
        <v>4.7</v>
      </c>
      <c r="H79" s="4">
        <f>_xll.ciqfunctions.udf.CIQ(InputTicker,"IQ_LEASE_ADJUSTMENT_EBITDA",Input!J$2,Date,,,Ccy,Conv)</f>
        <v>4.556</v>
      </c>
      <c r="I79" s="4">
        <f>_xll.ciqfunctions.udf.CIQ(InputTicker,"IQ_LEASE_ADJUSTMENT_EBITDA",Input!K$2,Date,,,Ccy,Conv)</f>
        <v>0</v>
      </c>
      <c r="J79" s="4">
        <f>_xll.ciqfunctions.udf.CIQ(InputTicker,"IQ_LEASE_ADJUSTMENT_EBITDA",Input!L$2,Date,,,Ccy,Conv)</f>
        <v>0</v>
      </c>
      <c r="K79" s="4">
        <f>_xll.ciqfunctions.udf.CIQ(InputTicker,"IQ_LEASE_ADJUSTMENT_EBITDA",Input!M$2,Date,,,Ccy,Conv)</f>
        <v>0</v>
      </c>
      <c r="L79" s="4">
        <f>_xll.ciqfunctions.udf.CIQ(InputTicker,"IQ_LEASE_ADJUSTMENT_EBITDA",Input!N$2,Date,,,Ccy,Conv)</f>
        <v>0</v>
      </c>
      <c r="M79" s="4">
        <f>_xll.ciqfunctions.udf.CIQ(InputTicker,"IQ_LEASE_ADJUSTMENT_EBITDA",Input!O$2,Date,,,Ccy,Conv)</f>
        <v>0</v>
      </c>
      <c r="N79" s="50"/>
      <c r="P79" s="46"/>
      <c r="Q79" s="46"/>
      <c r="R79" s="46"/>
      <c r="T79" s="42"/>
      <c r="U79" s="42"/>
      <c r="V79" s="46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</row>
    <row r="80" spans="1:66" ht="12.75" customHeight="1" x14ac:dyDescent="0.2">
      <c r="A80" s="1" t="s">
        <v>462</v>
      </c>
      <c r="B80" s="4">
        <f>_xll.ciqfunctions.udf.CIQ(InputTicker,"IQ_EBITDA_EQ_INC_EXCL_OPER_LEASE_ADJ",Input!D$2,Date,,,Ccy,Conv)</f>
        <v>278.7</v>
      </c>
      <c r="C80" s="4">
        <f>_xll.ciqfunctions.udf.CIQ(InputTicker,"IQ_EBITDA_EQ_INC_EXCL_OPER_LEASE_ADJ",Input!E$2,Date,,,Ccy,Conv)</f>
        <v>519.92200000000003</v>
      </c>
      <c r="D80" s="4">
        <f>_xll.ciqfunctions.udf.CIQ(InputTicker,"IQ_EBITDA_EQ_INC_EXCL_OPER_LEASE_ADJ",Input!F$2,Date,,,Ccy,Conv)</f>
        <v>-79.978999999999999</v>
      </c>
      <c r="E80" s="4">
        <f>_xll.ciqfunctions.udf.CIQ(InputTicker,"IQ_EBITDA_EQ_INC_EXCL_OPER_LEASE_ADJ",Input!G$2,Date,,,Ccy,Conv)</f>
        <v>239.273</v>
      </c>
      <c r="F80" s="4">
        <f>_xll.ciqfunctions.udf.CIQ(InputTicker,"IQ_EBITDA_EQ_INC_EXCL_OPER_LEASE_ADJ",Input!H$2,Date,,,Ccy,Conv)</f>
        <v>105.24</v>
      </c>
      <c r="G80" s="4">
        <f>_xll.ciqfunctions.udf.CIQ(InputTicker,"IQ_EBITDA_EQ_INC_EXCL_OPER_LEASE_ADJ",Input!I$2,Date,,,Ccy,Conv)</f>
        <v>59.988</v>
      </c>
      <c r="H80" s="4">
        <f>_xll.ciqfunctions.udf.CIQ(InputTicker,"IQ_EBITDA_EQ_INC_EXCL_OPER_LEASE_ADJ",Input!J$2,Date,,,Ccy,Conv)</f>
        <v>36.817</v>
      </c>
      <c r="I80" s="4">
        <f>_xll.ciqfunctions.udf.CIQ(InputTicker,"IQ_EBITDA_EQ_INC_EXCL_OPER_LEASE_ADJ",Input!K$2,Date,,,Ccy,Conv)</f>
        <v>208.76599999999999</v>
      </c>
      <c r="J80" s="4">
        <f>_xll.ciqfunctions.udf.CIQ(InputTicker,"IQ_EBITDA_EQ_INC_EXCL_OPER_LEASE_ADJ",Input!L$2,Date,,,Ccy,Conv)</f>
        <v>1037.23</v>
      </c>
      <c r="K80" s="4">
        <f>_xll.ciqfunctions.udf.CIQ(InputTicker,"IQ_EBITDA_EQ_INC_EXCL_OPER_LEASE_ADJ",Input!M$2,Date,,,Ccy,Conv)</f>
        <v>395.755</v>
      </c>
      <c r="L80" s="4">
        <f>_xll.ciqfunctions.udf.CIQ(InputTicker,"IQ_EBITDA_EQ_INC_EXCL_OPER_LEASE_ADJ",Input!N$2,Date,,,Ccy,Conv)</f>
        <v>1651.6780000000001</v>
      </c>
      <c r="M80" s="4">
        <f>_xll.ciqfunctions.udf.CIQ(InputTicker,"IQ_EBITDA_EQ_INC_EXCL_OPER_LEASE_ADJ",Input!O$2,Date,,,Ccy,Conv)</f>
        <v>1570.327</v>
      </c>
      <c r="N80" s="50"/>
      <c r="P80" s="46"/>
      <c r="Q80" s="46"/>
      <c r="R80" s="46"/>
      <c r="T80" s="42"/>
      <c r="U80" s="42"/>
      <c r="V80" s="46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</row>
    <row r="81" spans="1:66" ht="12.75" customHeight="1" x14ac:dyDescent="0.2">
      <c r="A81" s="1" t="s">
        <v>307</v>
      </c>
      <c r="B81" s="4">
        <f>_xll.ciqfunctions.udf.CIQ(InputTicker,"IQ_EBIT",Input!D$2,Date,,,Ccy,Conv)</f>
        <v>235.33500000000001</v>
      </c>
      <c r="C81" s="4">
        <f>_xll.ciqfunctions.udf.CIQ(InputTicker,"IQ_EBIT",Input!E$2,Date,,,Ccy,Conv)</f>
        <v>470.31400000000002</v>
      </c>
      <c r="D81" s="4">
        <f>_xll.ciqfunctions.udf.CIQ(InputTicker,"IQ_EBIT",Input!F$2,Date,,,Ccy,Conv)</f>
        <v>-130.482</v>
      </c>
      <c r="E81" s="4">
        <f>_xll.ciqfunctions.udf.CIQ(InputTicker,"IQ_EBIT",Input!G$2,Date,,,Ccy,Conv)</f>
        <v>181.73</v>
      </c>
      <c r="F81" s="4">
        <f>_xll.ciqfunctions.udf.CIQ(InputTicker,"IQ_EBIT",Input!H$2,Date,,,Ccy,Conv)</f>
        <v>45.814</v>
      </c>
      <c r="G81" s="4">
        <f>_xll.ciqfunctions.udf.CIQ(InputTicker,"IQ_EBIT",Input!I$2,Date,,,Ccy,Conv)</f>
        <v>1.351</v>
      </c>
      <c r="H81" s="4">
        <f>_xll.ciqfunctions.udf.CIQ(InputTicker,"IQ_EBIT",Input!J$2,Date,,,Ccy,Conv)</f>
        <v>-23.282</v>
      </c>
      <c r="I81" s="4">
        <f>_xll.ciqfunctions.udf.CIQ(InputTicker,"IQ_EBIT",Input!K$2,Date,,,Ccy,Conv)</f>
        <v>138.428</v>
      </c>
      <c r="J81" s="4">
        <f>_xll.ciqfunctions.udf.CIQ(InputTicker,"IQ_EBIT",Input!L$2,Date,,,Ccy,Conv)</f>
        <v>964.25</v>
      </c>
      <c r="K81" s="4">
        <f>_xll.ciqfunctions.udf.CIQ(InputTicker,"IQ_EBIT",Input!M$2,Date,,,Ccy,Conv)</f>
        <v>314.09399999999999</v>
      </c>
      <c r="L81" s="4">
        <f>_xll.ciqfunctions.udf.CIQ(InputTicker,"IQ_EBIT",Input!N$2,Date,,,Ccy,Conv)</f>
        <v>1551.4359999999999</v>
      </c>
      <c r="M81" s="4">
        <f>_xll.ciqfunctions.udf.CIQ(InputTicker,"IQ_EBIT",Input!O$2,Date,,,Ccy,Conv)</f>
        <v>1456.134</v>
      </c>
      <c r="N81" s="50"/>
      <c r="P81" s="46"/>
      <c r="Q81" s="46"/>
      <c r="R81" s="46"/>
      <c r="T81" s="42"/>
      <c r="U81" s="42"/>
      <c r="V81" s="46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</row>
    <row r="82" spans="1:66" ht="12.75" customHeight="1" x14ac:dyDescent="0.2">
      <c r="A82" s="1" t="s">
        <v>289</v>
      </c>
      <c r="B82" s="4">
        <f>_xll.ciqfunctions.udf.CIQ(InputTicker,"IQ_EBIT_EQ_INC",Input!D$2,Date,,,Ccy,Conv)</f>
        <v>237.99199999999999</v>
      </c>
      <c r="C82" s="4">
        <f>_xll.ciqfunctions.udf.CIQ(InputTicker,"IQ_EBIT_EQ_INC",Input!E$2,Date,,,Ccy,Conv)</f>
        <v>475.33</v>
      </c>
      <c r="D82" s="4">
        <f>_xll.ciqfunctions.udf.CIQ(InputTicker,"IQ_EBIT_EQ_INC",Input!F$2,Date,,,Ccy,Conv)</f>
        <v>-129.09200000000001</v>
      </c>
      <c r="E82" s="4">
        <f>_xll.ciqfunctions.udf.CIQ(InputTicker,"IQ_EBIT_EQ_INC",Input!G$2,Date,,,Ccy,Conv)</f>
        <v>185.24700000000001</v>
      </c>
      <c r="F82" s="4">
        <f>_xll.ciqfunctions.udf.CIQ(InputTicker,"IQ_EBIT_EQ_INC",Input!H$2,Date,,,Ccy,Conv)</f>
        <v>50.59</v>
      </c>
      <c r="G82" s="4">
        <f>_xll.ciqfunctions.udf.CIQ(InputTicker,"IQ_EBIT_EQ_INC",Input!I$2,Date,,,Ccy,Conv)</f>
        <v>1.885</v>
      </c>
      <c r="H82" s="4">
        <f>_xll.ciqfunctions.udf.CIQ(InputTicker,"IQ_EBIT_EQ_INC",Input!J$2,Date,,,Ccy,Conv)</f>
        <v>-22.66</v>
      </c>
      <c r="I82" s="4">
        <f>_xll.ciqfunctions.udf.CIQ(InputTicker,"IQ_EBIT_EQ_INC",Input!K$2,Date,,,Ccy,Conv)</f>
        <v>140.37100000000001</v>
      </c>
      <c r="J82" s="4">
        <f>_xll.ciqfunctions.udf.CIQ(InputTicker,"IQ_EBIT_EQ_INC",Input!L$2,Date,,,Ccy,Conv)</f>
        <v>964.99599999999998</v>
      </c>
      <c r="K82" s="4">
        <f>_xll.ciqfunctions.udf.CIQ(InputTicker,"IQ_EBIT_EQ_INC",Input!M$2,Date,,,Ccy,Conv)</f>
        <v>315.51400000000001</v>
      </c>
      <c r="L82" s="4">
        <f>_xll.ciqfunctions.udf.CIQ(InputTicker,"IQ_EBIT_EQ_INC",Input!N$2,Date,,,Ccy,Conv)</f>
        <v>1557.6569999999999</v>
      </c>
      <c r="M82" s="4">
        <f>_xll.ciqfunctions.udf.CIQ(InputTicker,"IQ_EBIT_EQ_INC",Input!O$2,Date,,,Ccy,Conv)</f>
        <v>1462.355</v>
      </c>
      <c r="N82" s="50"/>
      <c r="P82" s="46"/>
      <c r="Q82" s="46"/>
      <c r="R82" s="46"/>
      <c r="T82" s="42"/>
      <c r="U82" s="42"/>
      <c r="V82" s="46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</row>
    <row r="83" spans="1:66" ht="12.75" customHeight="1" x14ac:dyDescent="0.2">
      <c r="A83" s="1" t="s">
        <v>290</v>
      </c>
      <c r="B83" s="4">
        <f>_xll.ciqfunctions.udf.CIQ(InputTicker,"IQ_EBIT_EQ_INC_EXCL_SBC",Input!D$2,Date,,,Ccy,Conv)</f>
        <v>240.947</v>
      </c>
      <c r="C83" s="4">
        <f>_xll.ciqfunctions.udf.CIQ(InputTicker,"IQ_EBIT_EQ_INC_EXCL_SBC",Input!E$2,Date,,,Ccy,Conv)</f>
        <v>478.40100000000001</v>
      </c>
      <c r="D83" s="4">
        <f>_xll.ciqfunctions.udf.CIQ(InputTicker,"IQ_EBIT_EQ_INC_EXCL_SBC",Input!F$2,Date,,,Ccy,Conv)</f>
        <v>-125.66500000000001</v>
      </c>
      <c r="E83" s="4">
        <f>_xll.ciqfunctions.udf.CIQ(InputTicker,"IQ_EBIT_EQ_INC_EXCL_SBC",Input!G$2,Date,,,Ccy,Conv)</f>
        <v>188.714</v>
      </c>
      <c r="F83" s="4">
        <f>_xll.ciqfunctions.udf.CIQ(InputTicker,"IQ_EBIT_EQ_INC_EXCL_SBC",Input!H$2,Date,,,Ccy,Conv)</f>
        <v>54.209000000000003</v>
      </c>
      <c r="G83" s="4">
        <f>_xll.ciqfunctions.udf.CIQ(InputTicker,"IQ_EBIT_EQ_INC_EXCL_SBC",Input!I$2,Date,,,Ccy,Conv)</f>
        <v>5.5019999999999998</v>
      </c>
      <c r="H83" s="4">
        <f>_xll.ciqfunctions.udf.CIQ(InputTicker,"IQ_EBIT_EQ_INC_EXCL_SBC",Input!J$2,Date,,,Ccy,Conv)</f>
        <v>-18.882000000000001</v>
      </c>
      <c r="I83" s="4">
        <f>_xll.ciqfunctions.udf.CIQ(InputTicker,"IQ_EBIT_EQ_INC_EXCL_SBC",Input!K$2,Date,,,Ccy,Conv)</f>
        <v>144.434</v>
      </c>
      <c r="J83" s="4">
        <f>_xll.ciqfunctions.udf.CIQ(InputTicker,"IQ_EBIT_EQ_INC_EXCL_SBC",Input!L$2,Date,,,Ccy,Conv)</f>
        <v>969.20100000000002</v>
      </c>
      <c r="K83" s="4">
        <f>_xll.ciqfunctions.udf.CIQ(InputTicker,"IQ_EBIT_EQ_INC_EXCL_SBC",Input!M$2,Date,,,Ccy,Conv)</f>
        <v>319.87200000000001</v>
      </c>
      <c r="L83" s="4">
        <f>_xll.ciqfunctions.udf.CIQ(InputTicker,"IQ_EBIT_EQ_INC_EXCL_SBC",Input!N$2,Date,,,Ccy,Conv)</f>
        <v>1562.184</v>
      </c>
      <c r="M83" s="4">
        <f>_xll.ciqfunctions.udf.CIQ(InputTicker,"IQ_EBIT_EQ_INC_EXCL_SBC",Input!O$2,Date,,,Ccy,Conv)</f>
        <v>1467.3820000000001</v>
      </c>
      <c r="N83" s="50"/>
      <c r="P83" s="46"/>
      <c r="Q83" s="46"/>
      <c r="R83" s="46"/>
      <c r="T83" s="42"/>
      <c r="U83" s="42"/>
      <c r="V83" s="46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</row>
    <row r="84" spans="1:66" ht="12.75" customHeight="1" x14ac:dyDescent="0.2">
      <c r="A84" s="1" t="s">
        <v>291</v>
      </c>
      <c r="B84" s="4">
        <f>_xll.ciqfunctions.udf.CIQ(InputTicker,"IQ_EBIT_EXCL_SBC",Input!D$2,Date,,,Ccy,Conv)</f>
        <v>238.29</v>
      </c>
      <c r="C84" s="4">
        <f>_xll.ciqfunctions.udf.CIQ(InputTicker,"IQ_EBIT_EXCL_SBC",Input!E$2,Date,,,Ccy,Conv)</f>
        <v>473.38499999999999</v>
      </c>
      <c r="D84" s="4">
        <f>_xll.ciqfunctions.udf.CIQ(InputTicker,"IQ_EBIT_EXCL_SBC",Input!F$2,Date,,,Ccy,Conv)</f>
        <v>-127.05500000000001</v>
      </c>
      <c r="E84" s="4">
        <f>_xll.ciqfunctions.udf.CIQ(InputTicker,"IQ_EBIT_EXCL_SBC",Input!G$2,Date,,,Ccy,Conv)</f>
        <v>185.197</v>
      </c>
      <c r="F84" s="4">
        <f>_xll.ciqfunctions.udf.CIQ(InputTicker,"IQ_EBIT_EXCL_SBC",Input!H$2,Date,,,Ccy,Conv)</f>
        <v>49.433</v>
      </c>
      <c r="G84" s="4">
        <f>_xll.ciqfunctions.udf.CIQ(InputTicker,"IQ_EBIT_EXCL_SBC",Input!I$2,Date,,,Ccy,Conv)</f>
        <v>4.968</v>
      </c>
      <c r="H84" s="4">
        <f>_xll.ciqfunctions.udf.CIQ(InputTicker,"IQ_EBIT_EXCL_SBC",Input!J$2,Date,,,Ccy,Conv)</f>
        <v>-19.504000000000001</v>
      </c>
      <c r="I84" s="4">
        <f>_xll.ciqfunctions.udf.CIQ(InputTicker,"IQ_EBIT_EXCL_SBC",Input!K$2,Date,,,Ccy,Conv)</f>
        <v>142.49100000000001</v>
      </c>
      <c r="J84" s="4">
        <f>_xll.ciqfunctions.udf.CIQ(InputTicker,"IQ_EBIT_EXCL_SBC",Input!L$2,Date,,,Ccy,Conv)</f>
        <v>968.45500000000004</v>
      </c>
      <c r="K84" s="4">
        <f>_xll.ciqfunctions.udf.CIQ(InputTicker,"IQ_EBIT_EXCL_SBC",Input!M$2,Date,,,Ccy,Conv)</f>
        <v>318.452</v>
      </c>
      <c r="L84" s="4">
        <f>_xll.ciqfunctions.udf.CIQ(InputTicker,"IQ_EBIT_EXCL_SBC",Input!N$2,Date,,,Ccy,Conv)</f>
        <v>1555.963</v>
      </c>
      <c r="M84" s="4">
        <f>_xll.ciqfunctions.udf.CIQ(InputTicker,"IQ_EBIT_EXCL_SBC",Input!O$2,Date,,,Ccy,Conv)</f>
        <v>1461.1610000000001</v>
      </c>
      <c r="N84" s="50"/>
      <c r="P84" s="46"/>
      <c r="Q84" s="46"/>
      <c r="R84" s="46"/>
      <c r="T84" s="42"/>
      <c r="U84" s="42"/>
      <c r="V84" s="46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</row>
    <row r="85" spans="1:66" ht="12.75" customHeight="1" x14ac:dyDescent="0.2">
      <c r="A85" s="1" t="s">
        <v>308</v>
      </c>
      <c r="B85" s="4">
        <f>_xll.ciqfunctions.udf.CIQ(InputTicker,"IQ_EBITA",Input!D$2,Date,,,Ccy,Conv)</f>
        <v>238.23500000000001</v>
      </c>
      <c r="C85" s="4">
        <f>_xll.ciqfunctions.udf.CIQ(InputTicker,"IQ_EBITA",Input!E$2,Date,,,Ccy,Conv)</f>
        <v>472.91399999999999</v>
      </c>
      <c r="D85" s="4">
        <f>_xll.ciqfunctions.udf.CIQ(InputTicker,"IQ_EBITA",Input!F$2,Date,,,Ccy,Conv)</f>
        <v>-128.28200000000001</v>
      </c>
      <c r="E85" s="4">
        <f>_xll.ciqfunctions.udf.CIQ(InputTicker,"IQ_EBITA",Input!G$2,Date,,,Ccy,Conv)</f>
        <v>184.53</v>
      </c>
      <c r="F85" s="4">
        <f>_xll.ciqfunctions.udf.CIQ(InputTicker,"IQ_EBITA",Input!H$2,Date,,,Ccy,Conv)</f>
        <v>48.613999999999997</v>
      </c>
      <c r="G85" s="4">
        <f>_xll.ciqfunctions.udf.CIQ(InputTicker,"IQ_EBITA",Input!I$2,Date,,,Ccy,Conv)</f>
        <v>4.2510000000000003</v>
      </c>
      <c r="H85" s="4">
        <f>_xll.ciqfunctions.udf.CIQ(InputTicker,"IQ_EBITA",Input!J$2,Date,,,Ccy,Conv)</f>
        <v>-23.282</v>
      </c>
      <c r="I85" s="4">
        <f>_xll.ciqfunctions.udf.CIQ(InputTicker,"IQ_EBITA",Input!K$2,Date,,,Ccy,Conv)</f>
        <v>138.428</v>
      </c>
      <c r="J85" s="4">
        <f>_xll.ciqfunctions.udf.CIQ(InputTicker,"IQ_EBITA",Input!L$2,Date,,,Ccy,Conv)</f>
        <v>966.48400000000004</v>
      </c>
      <c r="K85" s="4">
        <f>_xll.ciqfunctions.udf.CIQ(InputTicker,"IQ_EBITA",Input!M$2,Date,,,Ccy,Conv)</f>
        <v>316.267</v>
      </c>
      <c r="L85" s="4">
        <f>_xll.ciqfunctions.udf.CIQ(InputTicker,"IQ_EBITA",Input!N$2,Date,,,Ccy,Conv)</f>
        <v>1553.5940000000001</v>
      </c>
      <c r="M85" s="4">
        <f>_xll.ciqfunctions.udf.CIQ(InputTicker,"IQ_EBITA",Input!O$2,Date,,,Ccy,Conv)</f>
        <v>1458.2919999999999</v>
      </c>
      <c r="N85" s="50"/>
      <c r="P85" s="46"/>
      <c r="Q85" s="46"/>
      <c r="R85" s="46"/>
      <c r="T85" s="42"/>
      <c r="U85" s="42"/>
      <c r="V85" s="46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</row>
    <row r="86" spans="1:66" ht="12.75" customHeight="1" x14ac:dyDescent="0.2">
      <c r="A86" s="1" t="s">
        <v>292</v>
      </c>
      <c r="B86" s="4">
        <f>_xll.ciqfunctions.udf.CIQ(InputTicker,"IQ_EBITA_EQ_INC",Input!D$2,Date,,,Ccy,Conv)</f>
        <v>240.892</v>
      </c>
      <c r="C86" s="4">
        <f>_xll.ciqfunctions.udf.CIQ(InputTicker,"IQ_EBITA_EQ_INC",Input!E$2,Date,,,Ccy,Conv)</f>
        <v>477.93</v>
      </c>
      <c r="D86" s="4">
        <f>_xll.ciqfunctions.udf.CIQ(InputTicker,"IQ_EBITA_EQ_INC",Input!F$2,Date,,,Ccy,Conv)</f>
        <v>-126.892</v>
      </c>
      <c r="E86" s="4">
        <f>_xll.ciqfunctions.udf.CIQ(InputTicker,"IQ_EBITA_EQ_INC",Input!G$2,Date,,,Ccy,Conv)</f>
        <v>188.047</v>
      </c>
      <c r="F86" s="4">
        <f>_xll.ciqfunctions.udf.CIQ(InputTicker,"IQ_EBITA_EQ_INC",Input!H$2,Date,,,Ccy,Conv)</f>
        <v>53.39</v>
      </c>
      <c r="G86" s="4">
        <f>_xll.ciqfunctions.udf.CIQ(InputTicker,"IQ_EBITA_EQ_INC",Input!I$2,Date,,,Ccy,Conv)</f>
        <v>4.7850000000000001</v>
      </c>
      <c r="H86" s="4">
        <f>_xll.ciqfunctions.udf.CIQ(InputTicker,"IQ_EBITA_EQ_INC",Input!J$2,Date,,,Ccy,Conv)</f>
        <v>-22.66</v>
      </c>
      <c r="I86" s="4">
        <f>_xll.ciqfunctions.udf.CIQ(InputTicker,"IQ_EBITA_EQ_INC",Input!K$2,Date,,,Ccy,Conv)</f>
        <v>140.37100000000001</v>
      </c>
      <c r="J86" s="4">
        <f>_xll.ciqfunctions.udf.CIQ(InputTicker,"IQ_EBITA_EQ_INC",Input!L$2,Date,,,Ccy,Conv)</f>
        <v>967.23</v>
      </c>
      <c r="K86" s="4">
        <f>_xll.ciqfunctions.udf.CIQ(InputTicker,"IQ_EBITA_EQ_INC",Input!M$2,Date,,,Ccy,Conv)</f>
        <v>317.68700000000001</v>
      </c>
      <c r="L86" s="4">
        <f>_xll.ciqfunctions.udf.CIQ(InputTicker,"IQ_EBITA_EQ_INC",Input!N$2,Date,,,Ccy,Conv)</f>
        <v>1559.8150000000001</v>
      </c>
      <c r="M86" s="4">
        <f>_xll.ciqfunctions.udf.CIQ(InputTicker,"IQ_EBITA_EQ_INC",Input!O$2,Date,,,Ccy,Conv)</f>
        <v>1464.5129999999999</v>
      </c>
      <c r="N86" s="50"/>
      <c r="P86" s="46"/>
      <c r="Q86" s="46"/>
      <c r="R86" s="46"/>
      <c r="T86" s="42"/>
      <c r="U86" s="42"/>
      <c r="V86" s="46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</row>
    <row r="87" spans="1:66" ht="12.75" customHeight="1" x14ac:dyDescent="0.2">
      <c r="A87" s="1" t="s">
        <v>293</v>
      </c>
      <c r="B87" s="4">
        <f>_xll.ciqfunctions.udf.CIQ(InputTicker,"IQ_EBITA_EQ_INC_EXCL_SBC",Input!D$2,Date,,,Ccy,Conv)</f>
        <v>243.84700000000001</v>
      </c>
      <c r="C87" s="4">
        <f>_xll.ciqfunctions.udf.CIQ(InputTicker,"IQ_EBITA_EQ_INC_EXCL_SBC",Input!E$2,Date,,,Ccy,Conv)</f>
        <v>481.00099999999998</v>
      </c>
      <c r="D87" s="4">
        <f>_xll.ciqfunctions.udf.CIQ(InputTicker,"IQ_EBITA_EQ_INC_EXCL_SBC",Input!F$2,Date,,,Ccy,Conv)</f>
        <v>-123.465</v>
      </c>
      <c r="E87" s="4">
        <f>_xll.ciqfunctions.udf.CIQ(InputTicker,"IQ_EBITA_EQ_INC_EXCL_SBC",Input!G$2,Date,,,Ccy,Conv)</f>
        <v>191.51400000000001</v>
      </c>
      <c r="F87" s="4">
        <f>_xll.ciqfunctions.udf.CIQ(InputTicker,"IQ_EBITA_EQ_INC_EXCL_SBC",Input!H$2,Date,,,Ccy,Conv)</f>
        <v>57.009</v>
      </c>
      <c r="G87" s="4">
        <f>_xll.ciqfunctions.udf.CIQ(InputTicker,"IQ_EBITA_EQ_INC_EXCL_SBC",Input!I$2,Date,,,Ccy,Conv)</f>
        <v>8.4019999999999992</v>
      </c>
      <c r="H87" s="4">
        <f>_xll.ciqfunctions.udf.CIQ(InputTicker,"IQ_EBITA_EQ_INC_EXCL_SBC",Input!J$2,Date,,,Ccy,Conv)</f>
        <v>-18.882000000000001</v>
      </c>
      <c r="I87" s="4">
        <f>_xll.ciqfunctions.udf.CIQ(InputTicker,"IQ_EBITA_EQ_INC_EXCL_SBC",Input!K$2,Date,,,Ccy,Conv)</f>
        <v>144.434</v>
      </c>
      <c r="J87" s="4">
        <f>_xll.ciqfunctions.udf.CIQ(InputTicker,"IQ_EBITA_EQ_INC_EXCL_SBC",Input!L$2,Date,,,Ccy,Conv)</f>
        <v>971.43499999999995</v>
      </c>
      <c r="K87" s="4">
        <f>_xll.ciqfunctions.udf.CIQ(InputTicker,"IQ_EBITA_EQ_INC_EXCL_SBC",Input!M$2,Date,,,Ccy,Conv)</f>
        <v>322.04500000000002</v>
      </c>
      <c r="L87" s="4">
        <f>_xll.ciqfunctions.udf.CIQ(InputTicker,"IQ_EBITA_EQ_INC_EXCL_SBC",Input!N$2,Date,,,Ccy,Conv)</f>
        <v>1564.3420000000001</v>
      </c>
      <c r="M87" s="4">
        <f>_xll.ciqfunctions.udf.CIQ(InputTicker,"IQ_EBITA_EQ_INC_EXCL_SBC",Input!O$2,Date,,,Ccy,Conv)</f>
        <v>1469.54</v>
      </c>
      <c r="N87" s="50"/>
      <c r="P87" s="46"/>
      <c r="Q87" s="46"/>
      <c r="R87" s="46"/>
      <c r="T87" s="42"/>
      <c r="U87" s="42"/>
      <c r="V87" s="46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</row>
    <row r="88" spans="1:66" ht="12.75" customHeight="1" x14ac:dyDescent="0.2">
      <c r="A88" s="1" t="s">
        <v>294</v>
      </c>
      <c r="B88" s="4">
        <f>_xll.ciqfunctions.udf.CIQ(InputTicker,"IQ_EBITA_EXCL_SBC",Input!D$2,Date,,,Ccy,Conv)</f>
        <v>241.19</v>
      </c>
      <c r="C88" s="4">
        <f>_xll.ciqfunctions.udf.CIQ(InputTicker,"IQ_EBITA_EXCL_SBC",Input!E$2,Date,,,Ccy,Conv)</f>
        <v>475.98500000000001</v>
      </c>
      <c r="D88" s="4">
        <f>_xll.ciqfunctions.udf.CIQ(InputTicker,"IQ_EBITA_EXCL_SBC",Input!F$2,Date,,,Ccy,Conv)</f>
        <v>-124.855</v>
      </c>
      <c r="E88" s="4">
        <f>_xll.ciqfunctions.udf.CIQ(InputTicker,"IQ_EBITA_EXCL_SBC",Input!G$2,Date,,,Ccy,Conv)</f>
        <v>187.99700000000001</v>
      </c>
      <c r="F88" s="4">
        <f>_xll.ciqfunctions.udf.CIQ(InputTicker,"IQ_EBITA_EXCL_SBC",Input!H$2,Date,,,Ccy,Conv)</f>
        <v>52.232999999999997</v>
      </c>
      <c r="G88" s="4">
        <f>_xll.ciqfunctions.udf.CIQ(InputTicker,"IQ_EBITA_EXCL_SBC",Input!I$2,Date,,,Ccy,Conv)</f>
        <v>7.8680000000000003</v>
      </c>
      <c r="H88" s="4">
        <f>_xll.ciqfunctions.udf.CIQ(InputTicker,"IQ_EBITA_EXCL_SBC",Input!J$2,Date,,,Ccy,Conv)</f>
        <v>-19.504000000000001</v>
      </c>
      <c r="I88" s="4">
        <f>_xll.ciqfunctions.udf.CIQ(InputTicker,"IQ_EBITA_EXCL_SBC",Input!K$2,Date,,,Ccy,Conv)</f>
        <v>142.49100000000001</v>
      </c>
      <c r="J88" s="4">
        <f>_xll.ciqfunctions.udf.CIQ(InputTicker,"IQ_EBITA_EXCL_SBC",Input!L$2,Date,,,Ccy,Conv)</f>
        <v>970.68899999999996</v>
      </c>
      <c r="K88" s="4">
        <f>_xll.ciqfunctions.udf.CIQ(InputTicker,"IQ_EBITA_EXCL_SBC",Input!M$2,Date,,,Ccy,Conv)</f>
        <v>320.625</v>
      </c>
      <c r="L88" s="4">
        <f>_xll.ciqfunctions.udf.CIQ(InputTicker,"IQ_EBITA_EXCL_SBC",Input!N$2,Date,,,Ccy,Conv)</f>
        <v>1558.1210000000001</v>
      </c>
      <c r="M88" s="4">
        <f>_xll.ciqfunctions.udf.CIQ(InputTicker,"IQ_EBITA_EXCL_SBC",Input!O$2,Date,,,Ccy,Conv)</f>
        <v>1463.319</v>
      </c>
      <c r="N88" s="50"/>
      <c r="P88" s="46"/>
      <c r="Q88" s="46"/>
      <c r="R88" s="46"/>
      <c r="T88" s="42"/>
      <c r="U88" s="42"/>
      <c r="V88" s="46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</row>
    <row r="89" spans="1:66" ht="12.75" customHeight="1" x14ac:dyDescent="0.2">
      <c r="A89" s="1" t="s">
        <v>309</v>
      </c>
      <c r="B89" s="4">
        <f>_xll.ciqfunctions.udf.CIQ(InputTicker,"IQ_EBITDAR",Input!D$2,Date,,,Ccy,Conv)</f>
        <v>279.14400000000001</v>
      </c>
      <c r="C89" s="4">
        <f>_xll.ciqfunctions.udf.CIQ(InputTicker,"IQ_EBITDAR",Input!E$2,Date,,,Ccy,Conv)</f>
        <v>518.99599999999998</v>
      </c>
      <c r="D89" s="4">
        <f>_xll.ciqfunctions.udf.CIQ(InputTicker,"IQ_EBITDAR",Input!F$2,Date,,,Ccy,Conv)</f>
        <v>-77.394000000000005</v>
      </c>
      <c r="E89" s="4">
        <f>_xll.ciqfunctions.udf.CIQ(InputTicker,"IQ_EBITDAR",Input!G$2,Date,,,Ccy,Conv)</f>
        <v>0</v>
      </c>
      <c r="F89" s="4">
        <f>_xll.ciqfunctions.udf.CIQ(InputTicker,"IQ_EBITDAR",Input!H$2,Date,,,Ccy,Conv)</f>
        <v>0</v>
      </c>
      <c r="G89" s="4">
        <f>_xll.ciqfunctions.udf.CIQ(InputTicker,"IQ_EBITDAR",Input!I$2,Date,,,Ccy,Conv)</f>
        <v>0</v>
      </c>
      <c r="H89" s="4">
        <f>_xll.ciqfunctions.udf.CIQ(InputTicker,"IQ_EBITDAR",Input!J$2,Date,,,Ccy,Conv)</f>
        <v>0</v>
      </c>
      <c r="I89" s="4">
        <f>_xll.ciqfunctions.udf.CIQ(InputTicker,"IQ_EBITDAR",Input!K$2,Date,,,Ccy,Conv)</f>
        <v>0</v>
      </c>
      <c r="J89" s="4">
        <f>_xll.ciqfunctions.udf.CIQ(InputTicker,"IQ_EBITDAR",Input!L$2,Date,,,Ccy,Conv)</f>
        <v>0</v>
      </c>
      <c r="K89" s="4">
        <f>_xll.ciqfunctions.udf.CIQ(InputTicker,"IQ_EBITDAR",Input!M$2,Date,,,Ccy,Conv)</f>
        <v>0</v>
      </c>
      <c r="L89" s="4">
        <f>_xll.ciqfunctions.udf.CIQ(InputTicker,"IQ_EBITDAR",Input!N$2,Date,,,Ccy,Conv)</f>
        <v>0</v>
      </c>
      <c r="M89" s="4">
        <f>_xll.ciqfunctions.udf.CIQ(InputTicker,"IQ_EBITDAR",Input!O$2,Date,,,Ccy,Conv)</f>
        <v>0</v>
      </c>
      <c r="N89" s="50"/>
      <c r="P89" s="46"/>
      <c r="Q89" s="46"/>
      <c r="R89" s="46"/>
      <c r="T89" s="42"/>
      <c r="U89" s="42"/>
      <c r="V89" s="46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</row>
    <row r="90" spans="1:66" ht="12.75" customHeight="1" x14ac:dyDescent="0.2">
      <c r="A90" s="1" t="s">
        <v>295</v>
      </c>
      <c r="B90" s="4">
        <f>_xll.ciqfunctions.udf.CIQ(InputTicker,"IQ_EBITDAR_EQ_INC",Input!D$2,Date,,,Ccy,Conv)</f>
        <v>281.80099999999999</v>
      </c>
      <c r="C90" s="4">
        <f>_xll.ciqfunctions.udf.CIQ(InputTicker,"IQ_EBITDAR_EQ_INC",Input!E$2,Date,,,Ccy,Conv)</f>
        <v>524.01199999999994</v>
      </c>
      <c r="D90" s="4">
        <f>_xll.ciqfunctions.udf.CIQ(InputTicker,"IQ_EBITDAR_EQ_INC",Input!F$2,Date,,,Ccy,Conv)</f>
        <v>-76.004000000000005</v>
      </c>
      <c r="E90" s="4">
        <f>_xll.ciqfunctions.udf.CIQ(InputTicker,"IQ_EBITDAR_EQ_INC",Input!G$2,Date,,,Ccy,Conv)</f>
        <v>0</v>
      </c>
      <c r="F90" s="4">
        <f>_xll.ciqfunctions.udf.CIQ(InputTicker,"IQ_EBITDAR_EQ_INC",Input!H$2,Date,,,Ccy,Conv)</f>
        <v>0</v>
      </c>
      <c r="G90" s="4">
        <f>_xll.ciqfunctions.udf.CIQ(InputTicker,"IQ_EBITDAR_EQ_INC",Input!I$2,Date,,,Ccy,Conv)</f>
        <v>0</v>
      </c>
      <c r="H90" s="4">
        <f>_xll.ciqfunctions.udf.CIQ(InputTicker,"IQ_EBITDAR_EQ_INC",Input!J$2,Date,,,Ccy,Conv)</f>
        <v>0</v>
      </c>
      <c r="I90" s="4">
        <f>_xll.ciqfunctions.udf.CIQ(InputTicker,"IQ_EBITDAR_EQ_INC",Input!K$2,Date,,,Ccy,Conv)</f>
        <v>0</v>
      </c>
      <c r="J90" s="4">
        <f>_xll.ciqfunctions.udf.CIQ(InputTicker,"IQ_EBITDAR_EQ_INC",Input!L$2,Date,,,Ccy,Conv)</f>
        <v>0</v>
      </c>
      <c r="K90" s="4">
        <f>_xll.ciqfunctions.udf.CIQ(InputTicker,"IQ_EBITDAR_EQ_INC",Input!M$2,Date,,,Ccy,Conv)</f>
        <v>0</v>
      </c>
      <c r="L90" s="4">
        <f>_xll.ciqfunctions.udf.CIQ(InputTicker,"IQ_EBITDAR_EQ_INC",Input!N$2,Date,,,Ccy,Conv)</f>
        <v>0</v>
      </c>
      <c r="M90" s="4">
        <f>_xll.ciqfunctions.udf.CIQ(InputTicker,"IQ_EBITDAR_EQ_INC",Input!O$2,Date,,,Ccy,Conv)</f>
        <v>0</v>
      </c>
      <c r="N90" s="50"/>
      <c r="P90" s="46"/>
      <c r="Q90" s="46"/>
      <c r="R90" s="46"/>
      <c r="T90" s="42"/>
      <c r="U90" s="42"/>
      <c r="V90" s="46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</row>
    <row r="91" spans="1:66" ht="12.75" customHeight="1" x14ac:dyDescent="0.2">
      <c r="A91" s="1" t="s">
        <v>296</v>
      </c>
      <c r="B91" s="4">
        <f>_xll.ciqfunctions.udf.CIQ(InputTicker,"IQ_EBITDAR_EQ_INC_EXCL_SBC",Input!D$2,Date,,,Ccy,Conv)</f>
        <v>284.75599999999997</v>
      </c>
      <c r="C91" s="4">
        <f>_xll.ciqfunctions.udf.CIQ(InputTicker,"IQ_EBITDAR_EQ_INC_EXCL_SBC",Input!E$2,Date,,,Ccy,Conv)</f>
        <v>527.08299999999997</v>
      </c>
      <c r="D91" s="4">
        <f>_xll.ciqfunctions.udf.CIQ(InputTicker,"IQ_EBITDAR_EQ_INC_EXCL_SBC",Input!F$2,Date,,,Ccy,Conv)</f>
        <v>-72.576999999999998</v>
      </c>
      <c r="E91" s="4">
        <f>_xll.ciqfunctions.udf.CIQ(InputTicker,"IQ_EBITDAR_EQ_INC_EXCL_SBC",Input!G$2,Date,,,Ccy,Conv)</f>
        <v>0</v>
      </c>
      <c r="F91" s="4">
        <f>_xll.ciqfunctions.udf.CIQ(InputTicker,"IQ_EBITDAR_EQ_INC_EXCL_SBC",Input!H$2,Date,,,Ccy,Conv)</f>
        <v>0</v>
      </c>
      <c r="G91" s="4">
        <f>_xll.ciqfunctions.udf.CIQ(InputTicker,"IQ_EBITDAR_EQ_INC_EXCL_SBC",Input!I$2,Date,,,Ccy,Conv)</f>
        <v>0</v>
      </c>
      <c r="H91" s="4">
        <f>_xll.ciqfunctions.udf.CIQ(InputTicker,"IQ_EBITDAR_EQ_INC_EXCL_SBC",Input!J$2,Date,,,Ccy,Conv)</f>
        <v>0</v>
      </c>
      <c r="I91" s="4">
        <f>_xll.ciqfunctions.udf.CIQ(InputTicker,"IQ_EBITDAR_EQ_INC_EXCL_SBC",Input!K$2,Date,,,Ccy,Conv)</f>
        <v>0</v>
      </c>
      <c r="J91" s="4">
        <f>_xll.ciqfunctions.udf.CIQ(InputTicker,"IQ_EBITDAR_EQ_INC_EXCL_SBC",Input!L$2,Date,,,Ccy,Conv)</f>
        <v>0</v>
      </c>
      <c r="K91" s="4">
        <f>_xll.ciqfunctions.udf.CIQ(InputTicker,"IQ_EBITDAR_EQ_INC_EXCL_SBC",Input!M$2,Date,,,Ccy,Conv)</f>
        <v>0</v>
      </c>
      <c r="L91" s="4">
        <f>_xll.ciqfunctions.udf.CIQ(InputTicker,"IQ_EBITDAR_EQ_INC_EXCL_SBC",Input!N$2,Date,,,Ccy,Conv)</f>
        <v>0</v>
      </c>
      <c r="M91" s="4">
        <f>_xll.ciqfunctions.udf.CIQ(InputTicker,"IQ_EBITDAR_EQ_INC_EXCL_SBC",Input!O$2,Date,,,Ccy,Conv)</f>
        <v>0</v>
      </c>
      <c r="N91" s="50"/>
      <c r="P91" s="46"/>
      <c r="Q91" s="46"/>
      <c r="R91" s="46"/>
      <c r="T91" s="42"/>
      <c r="U91" s="42"/>
      <c r="V91" s="46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</row>
    <row r="92" spans="1:66" ht="12.75" customHeight="1" x14ac:dyDescent="0.2">
      <c r="A92" s="1" t="s">
        <v>297</v>
      </c>
      <c r="B92" s="4">
        <f>_xll.ciqfunctions.udf.CIQ(InputTicker,"IQ_EBITDAR_EXCL_SBC",Input!D$2,Date,,,Ccy,Conv)</f>
        <v>282.09899999999999</v>
      </c>
      <c r="C92" s="4">
        <f>_xll.ciqfunctions.udf.CIQ(InputTicker,"IQ_EBITDAR_EXCL_SBC",Input!E$2,Date,,,Ccy,Conv)</f>
        <v>522.06700000000001</v>
      </c>
      <c r="D92" s="4">
        <f>_xll.ciqfunctions.udf.CIQ(InputTicker,"IQ_EBITDAR_EXCL_SBC",Input!F$2,Date,,,Ccy,Conv)</f>
        <v>-73.966999999999999</v>
      </c>
      <c r="E92" s="4">
        <f>_xll.ciqfunctions.udf.CIQ(InputTicker,"IQ_EBITDAR_EXCL_SBC",Input!G$2,Date,,,Ccy,Conv)</f>
        <v>0</v>
      </c>
      <c r="F92" s="4">
        <f>_xll.ciqfunctions.udf.CIQ(InputTicker,"IQ_EBITDAR_EXCL_SBC",Input!H$2,Date,,,Ccy,Conv)</f>
        <v>0</v>
      </c>
      <c r="G92" s="4">
        <f>_xll.ciqfunctions.udf.CIQ(InputTicker,"IQ_EBITDAR_EXCL_SBC",Input!I$2,Date,,,Ccy,Conv)</f>
        <v>0</v>
      </c>
      <c r="H92" s="4">
        <f>_xll.ciqfunctions.udf.CIQ(InputTicker,"IQ_EBITDAR_EXCL_SBC",Input!J$2,Date,,,Ccy,Conv)</f>
        <v>0</v>
      </c>
      <c r="I92" s="4">
        <f>_xll.ciqfunctions.udf.CIQ(InputTicker,"IQ_EBITDAR_EXCL_SBC",Input!K$2,Date,,,Ccy,Conv)</f>
        <v>0</v>
      </c>
      <c r="J92" s="4">
        <f>_xll.ciqfunctions.udf.CIQ(InputTicker,"IQ_EBITDAR_EXCL_SBC",Input!L$2,Date,,,Ccy,Conv)</f>
        <v>0</v>
      </c>
      <c r="K92" s="4">
        <f>_xll.ciqfunctions.udf.CIQ(InputTicker,"IQ_EBITDAR_EXCL_SBC",Input!M$2,Date,,,Ccy,Conv)</f>
        <v>0</v>
      </c>
      <c r="L92" s="4">
        <f>_xll.ciqfunctions.udf.CIQ(InputTicker,"IQ_EBITDAR_EXCL_SBC",Input!N$2,Date,,,Ccy,Conv)</f>
        <v>0</v>
      </c>
      <c r="M92" s="4">
        <f>_xll.ciqfunctions.udf.CIQ(InputTicker,"IQ_EBITDAR_EXCL_SBC",Input!O$2,Date,,,Ccy,Conv)</f>
        <v>0</v>
      </c>
      <c r="N92" s="50"/>
      <c r="P92" s="46"/>
      <c r="Q92" s="46"/>
      <c r="R92" s="46"/>
      <c r="T92" s="42"/>
      <c r="U92" s="42"/>
      <c r="V92" s="46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</row>
    <row r="93" spans="1:66" ht="12.75" customHeight="1" x14ac:dyDescent="0.2">
      <c r="A93" s="1" t="s">
        <v>430</v>
      </c>
      <c r="B93" s="4">
        <f>_xll.ciqfunctions.udf.CIQ(InputTicker,"IQ_EBITDA_CAPEX",Input!D$2,Date,,,Ccy,Conv)</f>
        <v>193.78</v>
      </c>
      <c r="C93" s="4">
        <f>_xll.ciqfunctions.udf.CIQ(InputTicker,"IQ_EBITDA_CAPEX",Input!E$2,Date,,,Ccy,Conv)</f>
        <v>438.78100000000001</v>
      </c>
      <c r="D93" s="4">
        <f>_xll.ciqfunctions.udf.CIQ(InputTicker,"IQ_EBITDA_CAPEX",Input!F$2,Date,,,Ccy,Conv)</f>
        <v>-148.02600000000001</v>
      </c>
      <c r="E93" s="4">
        <f>_xll.ciqfunctions.udf.CIQ(InputTicker,"IQ_EBITDA_CAPEX",Input!G$2,Date,,,Ccy,Conv)</f>
        <v>216.08500000000001</v>
      </c>
      <c r="F93" s="4">
        <f>_xll.ciqfunctions.udf.CIQ(InputTicker,"IQ_EBITDA_CAPEX",Input!H$2,Date,,,Ccy,Conv)</f>
        <v>32.475000000000001</v>
      </c>
      <c r="G93" s="4">
        <f>_xll.ciqfunctions.udf.CIQ(InputTicker,"IQ_EBITDA_CAPEX",Input!I$2,Date,,,Ccy,Conv)</f>
        <v>-64.724000000000004</v>
      </c>
      <c r="H93" s="4">
        <f>_xll.ciqfunctions.udf.CIQ(InputTicker,"IQ_EBITDA_CAPEX",Input!J$2,Date,,,Ccy,Conv)</f>
        <v>-58.874000000000002</v>
      </c>
      <c r="I93" s="4">
        <f>_xll.ciqfunctions.udf.CIQ(InputTicker,"IQ_EBITDA_CAPEX",Input!K$2,Date,,,Ccy,Conv)</f>
        <v>134.42400000000001</v>
      </c>
      <c r="J93" s="4">
        <f>_xll.ciqfunctions.udf.CIQ(InputTicker,"IQ_EBITDA_CAPEX",Input!L$2,Date,,,Ccy,Conv)</f>
        <v>899.91499999999996</v>
      </c>
      <c r="K93" s="4">
        <f>_xll.ciqfunctions.udf.CIQ(InputTicker,"IQ_EBITDA_CAPEX",Input!M$2,Date,,,Ccy,Conv)</f>
        <v>247.21899999999999</v>
      </c>
      <c r="L93" s="4">
        <f>_xll.ciqfunctions.udf.CIQ(InputTicker,"IQ_EBITDA_CAPEX",Input!N$2,Date,,,Ccy,Conv)</f>
        <v>1484.202</v>
      </c>
      <c r="M93" s="4">
        <f>_xll.ciqfunctions.udf.CIQ(InputTicker,"IQ_EBITDA_CAPEX",Input!O$2,Date,,,Ccy,Conv)</f>
        <v>1376.3050000000001</v>
      </c>
      <c r="N93" s="49"/>
      <c r="P93" s="46"/>
      <c r="Q93" s="46"/>
      <c r="R93" s="46"/>
      <c r="T93" s="42"/>
      <c r="U93" s="42"/>
      <c r="V93" s="46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</row>
    <row r="94" spans="1:66" ht="12.75" customHeight="1" x14ac:dyDescent="0.2">
      <c r="A94" s="1" t="s">
        <v>39</v>
      </c>
      <c r="B94" s="4">
        <f>_xll.ciqfunctions.udf.CIQ(InputTicker,"IQ_FEES_OTHER_INCOME",Input!D$2,Date,,,Ccy,Conv)</f>
        <v>0</v>
      </c>
      <c r="C94" s="4">
        <f>_xll.ciqfunctions.udf.CIQ(InputTicker,"IQ_FEES_OTHER_INCOME",Input!E$2,Date,,,Ccy,Conv)</f>
        <v>0</v>
      </c>
      <c r="D94" s="4">
        <f>_xll.ciqfunctions.udf.CIQ(InputTicker,"IQ_FEES_OTHER_INCOME",Input!F$2,Date,,,Ccy,Conv)</f>
        <v>0</v>
      </c>
      <c r="E94" s="4">
        <f>_xll.ciqfunctions.udf.CIQ(InputTicker,"IQ_FEES_OTHER_INCOME",Input!G$2,Date,,,Ccy,Conv)</f>
        <v>0</v>
      </c>
      <c r="F94" s="4">
        <f>_xll.ciqfunctions.udf.CIQ(InputTicker,"IQ_FEES_OTHER_INCOME",Input!H$2,Date,,,Ccy,Conv)</f>
        <v>0</v>
      </c>
      <c r="G94" s="4">
        <f>_xll.ciqfunctions.udf.CIQ(InputTicker,"IQ_FEES_OTHER_INCOME",Input!I$2,Date,,,Ccy,Conv)</f>
        <v>0</v>
      </c>
      <c r="H94" s="4">
        <f>_xll.ciqfunctions.udf.CIQ(InputTicker,"IQ_FEES_OTHER_INCOME",Input!J$2,Date,,,Ccy,Conv)</f>
        <v>0</v>
      </c>
      <c r="I94" s="4">
        <f>_xll.ciqfunctions.udf.CIQ(InputTicker,"IQ_FEES_OTHER_INCOME",Input!K$2,Date,,,Ccy,Conv)</f>
        <v>0</v>
      </c>
      <c r="J94" s="4">
        <f>_xll.ciqfunctions.udf.CIQ(InputTicker,"IQ_FEES_OTHER_INCOME",Input!L$2,Date,,,Ccy,Conv)</f>
        <v>0</v>
      </c>
      <c r="K94" s="4">
        <f>_xll.ciqfunctions.udf.CIQ(InputTicker,"IQ_FEES_OTHER_INCOME",Input!M$2,Date,,,Ccy,Conv)</f>
        <v>0</v>
      </c>
      <c r="L94" s="4">
        <f>_xll.ciqfunctions.udf.CIQ(InputTicker,"IQ_FEES_OTHER_INCOME",Input!N$2,Date,,,Ccy,Conv)</f>
        <v>0</v>
      </c>
      <c r="M94" s="4">
        <f>_xll.ciqfunctions.udf.CIQ(InputTicker,"IQ_FEES_OTHER_INCOME",Input!O$2,Date,,,Ccy,Conv)</f>
        <v>0</v>
      </c>
      <c r="N94" s="50"/>
      <c r="P94" s="46"/>
      <c r="Q94" s="46"/>
      <c r="R94" s="46"/>
      <c r="T94" s="42"/>
      <c r="U94" s="42"/>
      <c r="V94" s="46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</row>
    <row r="95" spans="1:66" ht="12.75" customHeight="1" x14ac:dyDescent="0.2">
      <c r="A95" s="1" t="s">
        <v>318</v>
      </c>
      <c r="B95" s="4">
        <f>_xll.ciqfunctions.udf.CIQ(InputTicker,"IQ_SAME_STORE",Input!D$2,Date)</f>
        <v>0</v>
      </c>
      <c r="C95" s="4">
        <f>_xll.ciqfunctions.udf.CIQ(InputTicker,"IQ_SAME_STORE",Input!E$2,Date)</f>
        <v>0</v>
      </c>
      <c r="D95" s="4">
        <f>_xll.ciqfunctions.udf.CIQ(InputTicker,"IQ_SAME_STORE",Input!F$2,Date)</f>
        <v>0</v>
      </c>
      <c r="E95" s="4">
        <f>_xll.ciqfunctions.udf.CIQ(InputTicker,"IQ_SAME_STORE",Input!G$2,Date)</f>
        <v>0</v>
      </c>
      <c r="F95" s="4">
        <f>_xll.ciqfunctions.udf.CIQ(InputTicker,"IQ_SAME_STORE",Input!H$2,Date)</f>
        <v>0</v>
      </c>
      <c r="G95" s="4">
        <f>_xll.ciqfunctions.udf.CIQ(InputTicker,"IQ_SAME_STORE",Input!I$2,Date)</f>
        <v>0</v>
      </c>
      <c r="H95" s="4">
        <f>_xll.ciqfunctions.udf.CIQ(InputTicker,"IQ_SAME_STORE",Input!J$2,Date)</f>
        <v>0</v>
      </c>
      <c r="I95" s="4">
        <f>_xll.ciqfunctions.udf.CIQ(InputTicker,"IQ_SAME_STORE",Input!K$2,Date)</f>
        <v>0</v>
      </c>
      <c r="J95" s="4">
        <f>_xll.ciqfunctions.udf.CIQ(InputTicker,"IQ_SAME_STORE",Input!L$2,Date)</f>
        <v>0</v>
      </c>
      <c r="K95" s="4">
        <f>_xll.ciqfunctions.udf.CIQ(InputTicker,"IQ_SAME_STORE",Input!M$2,Date)</f>
        <v>0</v>
      </c>
      <c r="L95" s="4">
        <f>_xll.ciqfunctions.udf.CIQ(InputTicker,"IQ_SAME_STORE",Input!N$2,Date)</f>
        <v>0</v>
      </c>
      <c r="M95" s="4">
        <f>_xll.ciqfunctions.udf.CIQ(InputTicker,"IQ_SAME_STORE",Input!O$2,Date)</f>
        <v>0</v>
      </c>
      <c r="N95" s="42"/>
      <c r="P95" s="46"/>
      <c r="Q95" s="46"/>
      <c r="R95" s="46"/>
      <c r="T95" s="42"/>
      <c r="U95" s="42"/>
      <c r="V95" s="46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</row>
    <row r="96" spans="1:66" ht="12.75" customHeight="1" x14ac:dyDescent="0.2">
      <c r="A96" s="1" t="s">
        <v>215</v>
      </c>
      <c r="B96" s="4">
        <f>_xll.ciqfunctions.udf.CIQ(InputTicker, "IQ_TOTAL_REV_AS_REPORTED",Input!D$2,Date,,,Ccy,Conv)</f>
        <v>0</v>
      </c>
      <c r="C96" s="4">
        <f>_xll.ciqfunctions.udf.CIQ(InputTicker, "IQ_TOTAL_REV_AS_REPORTED",Input!E$2,Date,,,Ccy,Conv)</f>
        <v>0</v>
      </c>
      <c r="D96" s="4">
        <f>_xll.ciqfunctions.udf.CIQ(InputTicker, "IQ_TOTAL_REV_AS_REPORTED",Input!F$2,Date,,,Ccy,Conv)</f>
        <v>0</v>
      </c>
      <c r="E96" s="4">
        <f>_xll.ciqfunctions.udf.CIQ(InputTicker, "IQ_TOTAL_REV_AS_REPORTED",Input!G$2,Date,,,Ccy,Conv)</f>
        <v>0</v>
      </c>
      <c r="F96" s="4">
        <f>_xll.ciqfunctions.udf.CIQ(InputTicker, "IQ_TOTAL_REV_AS_REPORTED",Input!H$2,Date,,,Ccy,Conv)</f>
        <v>0</v>
      </c>
      <c r="G96" s="4">
        <f>_xll.ciqfunctions.udf.CIQ(InputTicker, "IQ_TOTAL_REV_AS_REPORTED",Input!I$2,Date,,,Ccy,Conv)</f>
        <v>0</v>
      </c>
      <c r="H96" s="4">
        <f>_xll.ciqfunctions.udf.CIQ(InputTicker, "IQ_TOTAL_REV_AS_REPORTED",Input!J$2,Date,,,Ccy,Conv)</f>
        <v>0</v>
      </c>
      <c r="I96" s="4">
        <f>_xll.ciqfunctions.udf.CIQ(InputTicker, "IQ_TOTAL_REV_AS_REPORTED",Input!K$2,Date,,,Ccy,Conv)</f>
        <v>0</v>
      </c>
      <c r="J96" s="4">
        <f>_xll.ciqfunctions.udf.CIQ(InputTicker, "IQ_TOTAL_REV_AS_REPORTED",Input!L$2,Date,,,Ccy,Conv)</f>
        <v>0</v>
      </c>
      <c r="K96" s="4">
        <f>_xll.ciqfunctions.udf.CIQ(InputTicker, "IQ_TOTAL_REV_AS_REPORTED",Input!M$2,Date,,,Ccy,Conv)</f>
        <v>0</v>
      </c>
      <c r="L96" s="4">
        <f>_xll.ciqfunctions.udf.CIQ(InputTicker, "IQ_TOTAL_REV_AS_REPORTED",Input!N$2,Date,,,Ccy,Conv)</f>
        <v>0</v>
      </c>
      <c r="M96" s="4">
        <f>_xll.ciqfunctions.udf.CIQ(InputTicker, "IQ_TOTAL_REV_AS_REPORTED",Input!O$2,Date,,,Ccy,Conv)</f>
        <v>0</v>
      </c>
      <c r="N96" s="49"/>
      <c r="P96" s="46"/>
      <c r="Q96" s="46"/>
      <c r="R96" s="46"/>
      <c r="T96" s="42"/>
      <c r="U96" s="42"/>
      <c r="V96" s="46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</row>
    <row r="97" spans="1:66" ht="12.75" customHeight="1" x14ac:dyDescent="0.2">
      <c r="A97" s="1" t="s">
        <v>463</v>
      </c>
      <c r="B97" s="4">
        <f>_xll.ciqfunctions.udf.CIQ(InputTicker, "IQ_AS_REPORTED_EBITDA",Input!D$2,Date,,,Ccy,Conv)</f>
        <v>0</v>
      </c>
      <c r="C97" s="4">
        <f>_xll.ciqfunctions.udf.CIQ(InputTicker, "IQ_AS_REPORTED_EBITDA",Input!E$2,Date,,,Ccy,Conv)</f>
        <v>0</v>
      </c>
      <c r="D97" s="4">
        <f>_xll.ciqfunctions.udf.CIQ(InputTicker, "IQ_AS_REPORTED_EBITDA",Input!F$2,Date,,,Ccy,Conv)</f>
        <v>0</v>
      </c>
      <c r="E97" s="4">
        <f>_xll.ciqfunctions.udf.CIQ(InputTicker, "IQ_AS_REPORTED_EBITDA",Input!G$2,Date,,,Ccy,Conv)</f>
        <v>0</v>
      </c>
      <c r="F97" s="4">
        <f>_xll.ciqfunctions.udf.CIQ(InputTicker, "IQ_AS_REPORTED_EBITDA",Input!H$2,Date,,,Ccy,Conv)</f>
        <v>0</v>
      </c>
      <c r="G97" s="4">
        <f>_xll.ciqfunctions.udf.CIQ(InputTicker, "IQ_AS_REPORTED_EBITDA",Input!I$2,Date,,,Ccy,Conv)</f>
        <v>0</v>
      </c>
      <c r="H97" s="4">
        <f>_xll.ciqfunctions.udf.CIQ(InputTicker, "IQ_AS_REPORTED_EBITDA",Input!J$2,Date,,,Ccy,Conv)</f>
        <v>0</v>
      </c>
      <c r="I97" s="4">
        <f>_xll.ciqfunctions.udf.CIQ(InputTicker, "IQ_AS_REPORTED_EBITDA",Input!K$2,Date,,,Ccy,Conv)</f>
        <v>0</v>
      </c>
      <c r="J97" s="4">
        <f>_xll.ciqfunctions.udf.CIQ(InputTicker, "IQ_AS_REPORTED_EBITDA",Input!L$2,Date,,,Ccy,Conv)</f>
        <v>0</v>
      </c>
      <c r="K97" s="4">
        <f>_xll.ciqfunctions.udf.CIQ(InputTicker, "IQ_AS_REPORTED_EBITDA",Input!M$2,Date,,,Ccy,Conv)</f>
        <v>0</v>
      </c>
      <c r="L97" s="4">
        <f>_xll.ciqfunctions.udf.CIQ(InputTicker, "IQ_AS_REPORTED_EBITDA",Input!N$2,Date,,,Ccy,Conv)</f>
        <v>0</v>
      </c>
      <c r="M97" s="4">
        <f>_xll.ciqfunctions.udf.CIQ(InputTicker, "IQ_AS_REPORTED_EBITDA",Input!O$2,Date,,,Ccy,Conv)</f>
        <v>0</v>
      </c>
      <c r="N97" s="49"/>
      <c r="P97" s="46"/>
      <c r="Q97" s="46"/>
      <c r="R97" s="46"/>
      <c r="T97" s="42"/>
      <c r="U97" s="42"/>
      <c r="V97" s="46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</row>
    <row r="98" spans="1:66" ht="12.75" customHeight="1" x14ac:dyDescent="0.2">
      <c r="A98" s="1" t="s">
        <v>0</v>
      </c>
      <c r="B98" s="4">
        <f>_xll.ciqfunctions.udf.CIQ(InputTicker, "IQ_PROV_BAD_DEBTS_PATIENT_SERVICE_REV",Input!D$2,Date,,,Ccy,Conv)</f>
        <v>0</v>
      </c>
      <c r="C98" s="4">
        <f>_xll.ciqfunctions.udf.CIQ(InputTicker, "IQ_PROV_BAD_DEBTS_PATIENT_SERVICE_REV",Input!E$2,Date,,,Ccy,Conv)</f>
        <v>0</v>
      </c>
      <c r="D98" s="4">
        <f>_xll.ciqfunctions.udf.CIQ(InputTicker, "IQ_PROV_BAD_DEBTS_PATIENT_SERVICE_REV",Input!F$2,Date,,,Ccy,Conv)</f>
        <v>0</v>
      </c>
      <c r="E98" s="4">
        <f>_xll.ciqfunctions.udf.CIQ(InputTicker, "IQ_PROV_BAD_DEBTS_PATIENT_SERVICE_REV",Input!G$2,Date,,,Ccy,Conv)</f>
        <v>0</v>
      </c>
      <c r="F98" s="4">
        <f>_xll.ciqfunctions.udf.CIQ(InputTicker, "IQ_PROV_BAD_DEBTS_PATIENT_SERVICE_REV",Input!H$2,Date,,,Ccy,Conv)</f>
        <v>0</v>
      </c>
      <c r="G98" s="4">
        <f>_xll.ciqfunctions.udf.CIQ(InputTicker, "IQ_PROV_BAD_DEBTS_PATIENT_SERVICE_REV",Input!I$2,Date,,,Ccy,Conv)</f>
        <v>0</v>
      </c>
      <c r="H98" s="4">
        <f>_xll.ciqfunctions.udf.CIQ(InputTicker, "IQ_PROV_BAD_DEBTS_PATIENT_SERVICE_REV",Input!J$2,Date,,,Ccy,Conv)</f>
        <v>0</v>
      </c>
      <c r="I98" s="4">
        <f>_xll.ciqfunctions.udf.CIQ(InputTicker, "IQ_PROV_BAD_DEBTS_PATIENT_SERVICE_REV",Input!K$2,Date,,,Ccy,Conv)</f>
        <v>0</v>
      </c>
      <c r="J98" s="4">
        <f>_xll.ciqfunctions.udf.CIQ(InputTicker, "IQ_PROV_BAD_DEBTS_PATIENT_SERVICE_REV",Input!L$2,Date,,,Ccy,Conv)</f>
        <v>0</v>
      </c>
      <c r="K98" s="4">
        <f>_xll.ciqfunctions.udf.CIQ(InputTicker, "IQ_PROV_BAD_DEBTS_PATIENT_SERVICE_REV",Input!M$2,Date,,,Ccy,Conv)</f>
        <v>0</v>
      </c>
      <c r="L98" s="4">
        <f>_xll.ciqfunctions.udf.CIQ(InputTicker, "IQ_PROV_BAD_DEBTS_PATIENT_SERVICE_REV",Input!N$2,Date,,,Ccy,Conv)</f>
        <v>0</v>
      </c>
      <c r="M98" s="4">
        <f>_xll.ciqfunctions.udf.CIQ(InputTicker, "IQ_PROV_BAD_DEBTS_PATIENT_SERVICE_REV",Input!O$2,Date,,,Ccy,Conv)</f>
        <v>0</v>
      </c>
      <c r="N98" s="49"/>
      <c r="P98" s="46"/>
      <c r="Q98" s="46"/>
      <c r="R98" s="46"/>
      <c r="T98" s="42"/>
      <c r="U98" s="42"/>
      <c r="V98" s="46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</row>
    <row r="99" spans="1:66" ht="12.75" customHeight="1" x14ac:dyDescent="0.2">
      <c r="A99" s="1" t="s">
        <v>23</v>
      </c>
      <c r="B99" s="4">
        <f>_xll.ciqfunctions.udf.CIQ(InputTicker, "IQ_EARNING_PARENT_EXCL_EXTRA",Input!D$2,Date,,,Ccy,Conv)</f>
        <v>161.25399999999999</v>
      </c>
      <c r="C99" s="4">
        <f>_xll.ciqfunctions.udf.CIQ(InputTicker, "IQ_EARNING_PARENT_EXCL_EXTRA",Input!E$2,Date,,,Ccy,Conv)</f>
        <v>316.041</v>
      </c>
      <c r="D99" s="4">
        <f>_xll.ciqfunctions.udf.CIQ(InputTicker, "IQ_EARNING_PARENT_EXCL_EXTRA",Input!F$2,Date,,,Ccy,Conv)</f>
        <v>-74.278000000000006</v>
      </c>
      <c r="E99" s="4">
        <f>_xll.ciqfunctions.udf.CIQ(InputTicker, "IQ_EARNING_PARENT_EXCL_EXTRA",Input!G$2,Date,,,Ccy,Conv)</f>
        <v>125.932</v>
      </c>
      <c r="F99" s="4">
        <f>_xll.ciqfunctions.udf.CIQ(InputTicker, "IQ_EARNING_PARENT_EXCL_EXTRA",Input!H$2,Date,,,Ccy,Conv)</f>
        <v>54.228999999999999</v>
      </c>
      <c r="G99" s="4">
        <f>_xll.ciqfunctions.udf.CIQ(InputTicker, "IQ_EARNING_PARENT_EXCL_EXTRA",Input!I$2,Date,,,Ccy,Conv)</f>
        <v>18.390999999999998</v>
      </c>
      <c r="H99" s="4">
        <f>_xll.ciqfunctions.udf.CIQ(InputTicker, "IQ_EARNING_PARENT_EXCL_EXTRA",Input!J$2,Date,,,Ccy,Conv)</f>
        <v>2.06</v>
      </c>
      <c r="I99" s="4">
        <f>_xll.ciqfunctions.udf.CIQ(InputTicker, "IQ_EARNING_PARENT_EXCL_EXTRA",Input!K$2,Date,,,Ccy,Conv)</f>
        <v>132.65</v>
      </c>
      <c r="J99" s="4">
        <f>_xll.ciqfunctions.udf.CIQ(InputTicker, "IQ_EARNING_PARENT_EXCL_EXTRA",Input!L$2,Date,,,Ccy,Conv)</f>
        <v>758.024</v>
      </c>
      <c r="K99" s="4">
        <f>_xll.ciqfunctions.udf.CIQ(InputTicker, "IQ_EARNING_PARENT_EXCL_EXTRA",Input!M$2,Date,,,Ccy,Conv)</f>
        <v>277.88799999999998</v>
      </c>
      <c r="L99" s="4">
        <f>_xll.ciqfunctions.udf.CIQ(InputTicker, "IQ_EARNING_PARENT_EXCL_EXTRA",Input!N$2,Date,,,Ccy,Conv)</f>
        <v>1220.048</v>
      </c>
      <c r="M99" s="4">
        <f>_xll.ciqfunctions.udf.CIQ(InputTicker, "IQ_EARNING_PARENT_EXCL_EXTRA",Input!O$2,Date,,,Ccy,Conv)</f>
        <v>1153.107</v>
      </c>
      <c r="N99" s="49"/>
      <c r="P99" s="46"/>
      <c r="Q99" s="46"/>
      <c r="R99" s="46"/>
      <c r="T99" s="42"/>
      <c r="U99" s="42"/>
      <c r="V99" s="46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</row>
    <row r="100" spans="1:66" ht="12.75" customHeight="1" x14ac:dyDescent="0.2">
      <c r="A100" s="1" t="s">
        <v>213</v>
      </c>
      <c r="B100" s="4">
        <f>_xll.ciqfunctions.udf.CIQ(InputTicker, "IQ_NI_SFAS",Input!D$2,Date,,,Ccy,Conv)</f>
        <v>0</v>
      </c>
      <c r="C100" s="4">
        <f>_xll.ciqfunctions.udf.CIQ(InputTicker, "IQ_NI_SFAS",Input!E$2,Date,,,Ccy,Conv)</f>
        <v>0</v>
      </c>
      <c r="D100" s="4">
        <f>_xll.ciqfunctions.udf.CIQ(InputTicker, "IQ_NI_SFAS",Input!F$2,Date,,,Ccy,Conv)</f>
        <v>0</v>
      </c>
      <c r="E100" s="4">
        <f>_xll.ciqfunctions.udf.CIQ(InputTicker, "IQ_NI_SFAS",Input!G$2,Date,,,Ccy,Conv)</f>
        <v>0</v>
      </c>
      <c r="F100" s="4">
        <f>_xll.ciqfunctions.udf.CIQ(InputTicker, "IQ_NI_SFAS",Input!H$2,Date,,,Ccy,Conv)</f>
        <v>0</v>
      </c>
      <c r="G100" s="4">
        <f>_xll.ciqfunctions.udf.CIQ(InputTicker, "IQ_NI_SFAS",Input!I$2,Date,,,Ccy,Conv)</f>
        <v>0</v>
      </c>
      <c r="H100" s="4">
        <f>_xll.ciqfunctions.udf.CIQ(InputTicker, "IQ_NI_SFAS",Input!J$2,Date,,,Ccy,Conv)</f>
        <v>0</v>
      </c>
      <c r="I100" s="4">
        <f>_xll.ciqfunctions.udf.CIQ(InputTicker, "IQ_NI_SFAS",Input!K$2,Date,,,Ccy,Conv)</f>
        <v>0</v>
      </c>
      <c r="J100" s="4">
        <f>_xll.ciqfunctions.udf.CIQ(InputTicker, "IQ_NI_SFAS",Input!L$2,Date,,,Ccy,Conv)</f>
        <v>0</v>
      </c>
      <c r="K100" s="4">
        <f>_xll.ciqfunctions.udf.CIQ(InputTicker, "IQ_NI_SFAS",Input!M$2,Date,,,Ccy,Conv)</f>
        <v>0</v>
      </c>
      <c r="L100" s="4">
        <f>_xll.ciqfunctions.udf.CIQ(InputTicker, "IQ_NI_SFAS",Input!N$2,Date,,,Ccy,Conv)</f>
        <v>0</v>
      </c>
      <c r="M100" s="4">
        <f>_xll.ciqfunctions.udf.CIQ(InputTicker, "IQ_NI_SFAS",Input!O$2,Date,,,Ccy,Conv)</f>
        <v>0</v>
      </c>
      <c r="N100" s="49"/>
      <c r="P100" s="46"/>
      <c r="Q100" s="46"/>
      <c r="R100" s="46"/>
      <c r="T100" s="42"/>
      <c r="U100" s="42"/>
      <c r="V100" s="46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</row>
    <row r="101" spans="1:66" ht="12.75" customHeight="1" x14ac:dyDescent="0.2">
      <c r="A101" s="1" t="s">
        <v>442</v>
      </c>
      <c r="B101" s="4">
        <f>_xll.ciqfunctions.udf.CIQ(InputTicker, "IQ_INTEREST_INCOME",Input!D$2,Date,,,Ccy,Conv)</f>
        <v>8.6910000000000007</v>
      </c>
      <c r="C101" s="4">
        <f>_xll.ciqfunctions.udf.CIQ(InputTicker, "IQ_INTEREST_INCOME",Input!E$2,Date,,,Ccy,Conv)</f>
        <v>11.244</v>
      </c>
      <c r="D101" s="4">
        <f>_xll.ciqfunctions.udf.CIQ(InputTicker, "IQ_INTEREST_INCOME",Input!F$2,Date,,,Ccy,Conv)</f>
        <v>10.768000000000001</v>
      </c>
      <c r="E101" s="4">
        <f>_xll.ciqfunctions.udf.CIQ(InputTicker, "IQ_INTEREST_INCOME",Input!G$2,Date,,,Ccy,Conv)</f>
        <v>11.983000000000001</v>
      </c>
      <c r="F101" s="4">
        <f>_xll.ciqfunctions.udf.CIQ(InputTicker, "IQ_INTEREST_INCOME",Input!H$2,Date,,,Ccy,Conv)</f>
        <v>18.46</v>
      </c>
      <c r="G101" s="4">
        <f>_xll.ciqfunctions.udf.CIQ(InputTicker, "IQ_INTEREST_INCOME",Input!I$2,Date,,,Ccy,Conv)</f>
        <v>15.058</v>
      </c>
      <c r="H101" s="4">
        <f>_xll.ciqfunctions.udf.CIQ(InputTicker, "IQ_INTEREST_INCOME",Input!J$2,Date,,,Ccy,Conv)</f>
        <v>11.832000000000001</v>
      </c>
      <c r="I101" s="4">
        <f>_xll.ciqfunctions.udf.CIQ(InputTicker, "IQ_INTEREST_INCOME",Input!K$2,Date,,,Ccy,Conv)</f>
        <v>11.118</v>
      </c>
      <c r="J101" s="4">
        <f>_xll.ciqfunctions.udf.CIQ(InputTicker, "IQ_INTEREST_INCOME",Input!L$2,Date,,,Ccy,Conv)</f>
        <v>28.792000000000002</v>
      </c>
      <c r="K101" s="4">
        <f>_xll.ciqfunctions.udf.CIQ(InputTicker, "IQ_INTEREST_INCOME",Input!M$2,Date,,,Ccy,Conv)</f>
        <v>43.606000000000002</v>
      </c>
      <c r="L101" s="4">
        <f>_xll.ciqfunctions.udf.CIQ(InputTicker, "IQ_INTEREST_INCOME",Input!N$2,Date,,,Ccy,Conv)</f>
        <v>59.868000000000002</v>
      </c>
      <c r="M101" s="4">
        <f>_xll.ciqfunctions.udf.CIQ(InputTicker, "IQ_INTEREST_INCOME",Input!O$2,Date,,,Ccy,Conv)</f>
        <v>65.47</v>
      </c>
      <c r="N101" s="49"/>
      <c r="P101" s="46"/>
      <c r="Q101" s="46"/>
      <c r="R101" s="46"/>
      <c r="T101" s="42"/>
      <c r="U101" s="42"/>
      <c r="V101" s="46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</row>
    <row r="102" spans="1:66" ht="12.75" customHeight="1" x14ac:dyDescent="0.2">
      <c r="A102" s="1" t="s">
        <v>444</v>
      </c>
      <c r="B102" s="4">
        <f>_xll.ciqfunctions.udf.CIQ(InputTicker, "IQ_INVESTMENT_INCOME",Input!D$2,Date,,,Ccy,Conv)</f>
        <v>0</v>
      </c>
      <c r="C102" s="4">
        <f>_xll.ciqfunctions.udf.CIQ(InputTicker, "IQ_INVESTMENT_INCOME",Input!E$2,Date,,,Ccy,Conv)</f>
        <v>0</v>
      </c>
      <c r="D102" s="4">
        <f>_xll.ciqfunctions.udf.CIQ(InputTicker, "IQ_INVESTMENT_INCOME",Input!F$2,Date,,,Ccy,Conv)</f>
        <v>0</v>
      </c>
      <c r="E102" s="4">
        <f>_xll.ciqfunctions.udf.CIQ(InputTicker, "IQ_INVESTMENT_INCOME",Input!G$2,Date,,,Ccy,Conv)</f>
        <v>0</v>
      </c>
      <c r="F102" s="4">
        <f>_xll.ciqfunctions.udf.CIQ(InputTicker, "IQ_INVESTMENT_INCOME",Input!H$2,Date,,,Ccy,Conv)</f>
        <v>0</v>
      </c>
      <c r="G102" s="4">
        <f>_xll.ciqfunctions.udf.CIQ(InputTicker, "IQ_INVESTMENT_INCOME",Input!I$2,Date,,,Ccy,Conv)</f>
        <v>0</v>
      </c>
      <c r="H102" s="4">
        <f>_xll.ciqfunctions.udf.CIQ(InputTicker, "IQ_INVESTMENT_INCOME",Input!J$2,Date,,,Ccy,Conv)</f>
        <v>0</v>
      </c>
      <c r="I102" s="4">
        <f>_xll.ciqfunctions.udf.CIQ(InputTicker, "IQ_INVESTMENT_INCOME",Input!K$2,Date,,,Ccy,Conv)</f>
        <v>0</v>
      </c>
      <c r="J102" s="4">
        <f>_xll.ciqfunctions.udf.CIQ(InputTicker, "IQ_INVESTMENT_INCOME",Input!L$2,Date,,,Ccy,Conv)</f>
        <v>0</v>
      </c>
      <c r="K102" s="4">
        <f>_xll.ciqfunctions.udf.CIQ(InputTicker, "IQ_INVESTMENT_INCOME",Input!M$2,Date,,,Ccy,Conv)</f>
        <v>0</v>
      </c>
      <c r="L102" s="4">
        <f>_xll.ciqfunctions.udf.CIQ(InputTicker, "IQ_INVESTMENT_INCOME",Input!N$2,Date,,,Ccy,Conv)</f>
        <v>0</v>
      </c>
      <c r="M102" s="4">
        <f>_xll.ciqfunctions.udf.CIQ(InputTicker, "IQ_INVESTMENT_INCOME",Input!O$2,Date,,,Ccy,Conv)</f>
        <v>0</v>
      </c>
      <c r="N102" s="49"/>
      <c r="P102" s="46"/>
      <c r="Q102" s="46"/>
      <c r="R102" s="46"/>
      <c r="T102" s="42"/>
      <c r="U102" s="42"/>
      <c r="V102" s="46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</row>
    <row r="103" spans="1:66" ht="12.75" customHeight="1" x14ac:dyDescent="0.2">
      <c r="A103" s="1" t="s">
        <v>373</v>
      </c>
      <c r="B103" s="4">
        <f>_xll.ciqfunctions.udf.CIQ(InputTicker, "IQ_EXCISE_TAXES_EXCL_SALES",Input!D$2,Date,,,Ccy,Conv)</f>
        <v>0</v>
      </c>
      <c r="C103" s="4">
        <f>_xll.ciqfunctions.udf.CIQ(InputTicker, "IQ_EXCISE_TAXES_EXCL_SALES",Input!E$2,Date,,,Ccy,Conv)</f>
        <v>0</v>
      </c>
      <c r="D103" s="4">
        <f>_xll.ciqfunctions.udf.CIQ(InputTicker, "IQ_EXCISE_TAXES_EXCL_SALES",Input!F$2,Date,,,Ccy,Conv)</f>
        <v>0</v>
      </c>
      <c r="E103" s="4">
        <f>_xll.ciqfunctions.udf.CIQ(InputTicker, "IQ_EXCISE_TAXES_EXCL_SALES",Input!G$2,Date,,,Ccy,Conv)</f>
        <v>0</v>
      </c>
      <c r="F103" s="4">
        <f>_xll.ciqfunctions.udf.CIQ(InputTicker, "IQ_EXCISE_TAXES_EXCL_SALES",Input!H$2,Date,,,Ccy,Conv)</f>
        <v>0</v>
      </c>
      <c r="G103" s="4">
        <f>_xll.ciqfunctions.udf.CIQ(InputTicker, "IQ_EXCISE_TAXES_EXCL_SALES",Input!I$2,Date,,,Ccy,Conv)</f>
        <v>0</v>
      </c>
      <c r="H103" s="4">
        <f>_xll.ciqfunctions.udf.CIQ(InputTicker, "IQ_EXCISE_TAXES_EXCL_SALES",Input!J$2,Date,,,Ccy,Conv)</f>
        <v>0</v>
      </c>
      <c r="I103" s="4">
        <f>_xll.ciqfunctions.udf.CIQ(InputTicker, "IQ_EXCISE_TAXES_EXCL_SALES",Input!K$2,Date,,,Ccy,Conv)</f>
        <v>0</v>
      </c>
      <c r="J103" s="4">
        <f>_xll.ciqfunctions.udf.CIQ(InputTicker, "IQ_EXCISE_TAXES_EXCL_SALES",Input!L$2,Date,,,Ccy,Conv)</f>
        <v>0</v>
      </c>
      <c r="K103" s="4">
        <f>_xll.ciqfunctions.udf.CIQ(InputTicker, "IQ_EXCISE_TAXES_EXCL_SALES",Input!M$2,Date,,,Ccy,Conv)</f>
        <v>0</v>
      </c>
      <c r="L103" s="4">
        <f>_xll.ciqfunctions.udf.CIQ(InputTicker, "IQ_EXCISE_TAXES_EXCL_SALES",Input!N$2,Date,,,Ccy,Conv)</f>
        <v>0</v>
      </c>
      <c r="M103" s="4">
        <f>_xll.ciqfunctions.udf.CIQ(InputTicker, "IQ_EXCISE_TAXES_EXCL_SALES",Input!O$2,Date,,,Ccy,Conv)</f>
        <v>0</v>
      </c>
      <c r="N103" s="49"/>
      <c r="P103" s="46"/>
      <c r="Q103" s="46"/>
      <c r="R103" s="46"/>
      <c r="T103" s="42"/>
      <c r="U103" s="42"/>
      <c r="V103" s="46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</row>
    <row r="104" spans="1:66" ht="12.75" customHeight="1" x14ac:dyDescent="0.2">
      <c r="A104" s="1" t="s">
        <v>374</v>
      </c>
      <c r="B104" s="4">
        <f>_xll.ciqfunctions.udf.CIQ(InputTicker, "IQ_EXCISE_TAXES_INCL_SALES",Input!D$2,Date,,,Ccy,Conv)</f>
        <v>0</v>
      </c>
      <c r="C104" s="4">
        <f>_xll.ciqfunctions.udf.CIQ(InputTicker, "IQ_EXCISE_TAXES_INCL_SALES",Input!E$2,Date,,,Ccy,Conv)</f>
        <v>0</v>
      </c>
      <c r="D104" s="4">
        <f>_xll.ciqfunctions.udf.CIQ(InputTicker, "IQ_EXCISE_TAXES_INCL_SALES",Input!F$2,Date,,,Ccy,Conv)</f>
        <v>0</v>
      </c>
      <c r="E104" s="4">
        <f>_xll.ciqfunctions.udf.CIQ(InputTicker, "IQ_EXCISE_TAXES_INCL_SALES",Input!G$2,Date,,,Ccy,Conv)</f>
        <v>0</v>
      </c>
      <c r="F104" s="4">
        <f>_xll.ciqfunctions.udf.CIQ(InputTicker, "IQ_EXCISE_TAXES_INCL_SALES",Input!H$2,Date,,,Ccy,Conv)</f>
        <v>0</v>
      </c>
      <c r="G104" s="4">
        <f>_xll.ciqfunctions.udf.CIQ(InputTicker, "IQ_EXCISE_TAXES_INCL_SALES",Input!I$2,Date,,,Ccy,Conv)</f>
        <v>0</v>
      </c>
      <c r="H104" s="4">
        <f>_xll.ciqfunctions.udf.CIQ(InputTicker, "IQ_EXCISE_TAXES_INCL_SALES",Input!J$2,Date,,,Ccy,Conv)</f>
        <v>0</v>
      </c>
      <c r="I104" s="4">
        <f>_xll.ciqfunctions.udf.CIQ(InputTicker, "IQ_EXCISE_TAXES_INCL_SALES",Input!K$2,Date,,,Ccy,Conv)</f>
        <v>0</v>
      </c>
      <c r="J104" s="4">
        <f>_xll.ciqfunctions.udf.CIQ(InputTicker, "IQ_EXCISE_TAXES_INCL_SALES",Input!L$2,Date,,,Ccy,Conv)</f>
        <v>0</v>
      </c>
      <c r="K104" s="4">
        <f>_xll.ciqfunctions.udf.CIQ(InputTicker, "IQ_EXCISE_TAXES_INCL_SALES",Input!M$2,Date,,,Ccy,Conv)</f>
        <v>0</v>
      </c>
      <c r="L104" s="4">
        <f>_xll.ciqfunctions.udf.CIQ(InputTicker, "IQ_EXCISE_TAXES_INCL_SALES",Input!N$2,Date,,,Ccy,Conv)</f>
        <v>0</v>
      </c>
      <c r="M104" s="4">
        <f>_xll.ciqfunctions.udf.CIQ(InputTicker, "IQ_EXCISE_TAXES_INCL_SALES",Input!O$2,Date,,,Ccy,Conv)</f>
        <v>0</v>
      </c>
      <c r="N104" s="49"/>
      <c r="P104" s="46"/>
      <c r="Q104" s="46"/>
      <c r="R104" s="46"/>
      <c r="T104" s="42"/>
      <c r="U104" s="42"/>
      <c r="V104" s="46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</row>
    <row r="105" spans="1:66" ht="12.75" customHeight="1" x14ac:dyDescent="0.2">
      <c r="A105" s="1" t="s">
        <v>319</v>
      </c>
      <c r="B105" s="4">
        <f>_xll.ciqfunctions.udf.CIQ(InputTicker, "IQ_CURR_DOMESTIC_TAXES",Input!D$2,Date,,,Ccy,Conv)</f>
        <v>79.16</v>
      </c>
      <c r="C105" s="4">
        <f>_xll.ciqfunctions.udf.CIQ(InputTicker, "IQ_CURR_DOMESTIC_TAXES",Input!E$2,Date,,,Ccy,Conv)</f>
        <v>149.81</v>
      </c>
      <c r="D105" s="4">
        <f>_xll.ciqfunctions.udf.CIQ(InputTicker, "IQ_CURR_DOMESTIC_TAXES",Input!F$2,Date,,,Ccy,Conv)</f>
        <v>-54.7</v>
      </c>
      <c r="E105" s="4">
        <f>_xll.ciqfunctions.udf.CIQ(InputTicker, "IQ_CURR_DOMESTIC_TAXES",Input!G$2,Date,,,Ccy,Conv)</f>
        <v>24.95</v>
      </c>
      <c r="F105" s="4">
        <f>_xll.ciqfunctions.udf.CIQ(InputTicker, "IQ_CURR_DOMESTIC_TAXES",Input!H$2,Date,,,Ccy,Conv)</f>
        <v>9.6199999999999992</v>
      </c>
      <c r="G105" s="4">
        <f>_xll.ciqfunctions.udf.CIQ(InputTicker, "IQ_CURR_DOMESTIC_TAXES",Input!I$2,Date,,,Ccy,Conv)</f>
        <v>-8.5500000000000007</v>
      </c>
      <c r="H105" s="4">
        <f>_xll.ciqfunctions.udf.CIQ(InputTicker, "IQ_CURR_DOMESTIC_TAXES",Input!J$2,Date,,,Ccy,Conv)</f>
        <v>-34.36</v>
      </c>
      <c r="I105" s="4">
        <f>_xll.ciqfunctions.udf.CIQ(InputTicker, "IQ_CURR_DOMESTIC_TAXES",Input!K$2,Date,,,Ccy,Conv)</f>
        <v>27.898</v>
      </c>
      <c r="J105" s="4">
        <f>_xll.ciqfunctions.udf.CIQ(InputTicker, "IQ_CURR_DOMESTIC_TAXES",Input!L$2,Date,,,Ccy,Conv)</f>
        <v>217.351</v>
      </c>
      <c r="K105" s="4">
        <f>_xll.ciqfunctions.udf.CIQ(InputTicker, "IQ_CURR_DOMESTIC_TAXES",Input!M$2,Date,,,Ccy,Conv)</f>
        <v>93.361000000000004</v>
      </c>
      <c r="L105" s="4">
        <f>_xll.ciqfunctions.udf.CIQ(InputTicker, "IQ_CURR_DOMESTIC_TAXES",Input!N$2,Date,,,Ccy,Conv)</f>
        <v>373.34</v>
      </c>
      <c r="M105" s="4">
        <f>_xll.ciqfunctions.udf.CIQ(InputTicker, "IQ_CURR_DOMESTIC_TAXES",Input!O$2,Date,,,Ccy,Conv)</f>
        <v>373.34</v>
      </c>
      <c r="N105" s="49"/>
      <c r="P105" s="46"/>
      <c r="Q105" s="46"/>
      <c r="R105" s="46"/>
      <c r="T105" s="42"/>
      <c r="U105" s="42"/>
      <c r="V105" s="46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</row>
    <row r="106" spans="1:66" ht="12.75" customHeight="1" x14ac:dyDescent="0.2">
      <c r="A106" s="1" t="s">
        <v>320</v>
      </c>
      <c r="B106" s="4">
        <f>_xll.ciqfunctions.udf.CIQ(InputTicker, "IQ_CURR_FOREIGN_TAXES",Input!D$2,Date,,,Ccy,Conv)</f>
        <v>0</v>
      </c>
      <c r="C106" s="4">
        <f>_xll.ciqfunctions.udf.CIQ(InputTicker, "IQ_CURR_FOREIGN_TAXES",Input!E$2,Date,,,Ccy,Conv)</f>
        <v>0</v>
      </c>
      <c r="D106" s="4">
        <f>_xll.ciqfunctions.udf.CIQ(InputTicker, "IQ_CURR_FOREIGN_TAXES",Input!F$2,Date,,,Ccy,Conv)</f>
        <v>0</v>
      </c>
      <c r="E106" s="4">
        <f>_xll.ciqfunctions.udf.CIQ(InputTicker, "IQ_CURR_FOREIGN_TAXES",Input!G$2,Date,,,Ccy,Conv)</f>
        <v>0</v>
      </c>
      <c r="F106" s="4">
        <f>_xll.ciqfunctions.udf.CIQ(InputTicker, "IQ_CURR_FOREIGN_TAXES",Input!H$2,Date,,,Ccy,Conv)</f>
        <v>0</v>
      </c>
      <c r="G106" s="4">
        <f>_xll.ciqfunctions.udf.CIQ(InputTicker, "IQ_CURR_FOREIGN_TAXES",Input!I$2,Date,,,Ccy,Conv)</f>
        <v>0</v>
      </c>
      <c r="H106" s="4">
        <f>_xll.ciqfunctions.udf.CIQ(InputTicker, "IQ_CURR_FOREIGN_TAXES",Input!J$2,Date,,,Ccy,Conv)</f>
        <v>0</v>
      </c>
      <c r="I106" s="4">
        <f>_xll.ciqfunctions.udf.CIQ(InputTicker, "IQ_CURR_FOREIGN_TAXES",Input!K$2,Date,,,Ccy,Conv)</f>
        <v>0</v>
      </c>
      <c r="J106" s="4">
        <f>_xll.ciqfunctions.udf.CIQ(InputTicker, "IQ_CURR_FOREIGN_TAXES",Input!L$2,Date,,,Ccy,Conv)</f>
        <v>0</v>
      </c>
      <c r="K106" s="4">
        <f>_xll.ciqfunctions.udf.CIQ(InputTicker, "IQ_CURR_FOREIGN_TAXES",Input!M$2,Date,,,Ccy,Conv)</f>
        <v>0</v>
      </c>
      <c r="L106" s="4">
        <f>_xll.ciqfunctions.udf.CIQ(InputTicker, "IQ_CURR_FOREIGN_TAXES",Input!N$2,Date,,,Ccy,Conv)</f>
        <v>0</v>
      </c>
      <c r="M106" s="4">
        <f>_xll.ciqfunctions.udf.CIQ(InputTicker, "IQ_CURR_FOREIGN_TAXES",Input!O$2,Date,,,Ccy,Conv)</f>
        <v>0</v>
      </c>
      <c r="N106" s="49"/>
      <c r="P106" s="46"/>
      <c r="Q106" s="46"/>
      <c r="R106" s="46"/>
      <c r="T106" s="42"/>
      <c r="U106" s="42"/>
      <c r="V106" s="46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</row>
    <row r="107" spans="1:66" ht="12.75" customHeight="1" x14ac:dyDescent="0.2">
      <c r="A107" s="1" t="s">
        <v>432</v>
      </c>
      <c r="B107" s="4">
        <f>_xll.ciqfunctions.udf.CIQ(InputTicker, "IQ_CURR_TAXES",Input!D$2,Date,,,Ccy,Conv)</f>
        <v>79.16</v>
      </c>
      <c r="C107" s="4">
        <f>_xll.ciqfunctions.udf.CIQ(InputTicker, "IQ_CURR_TAXES",Input!E$2,Date,,,Ccy,Conv)</f>
        <v>149.81</v>
      </c>
      <c r="D107" s="4">
        <f>_xll.ciqfunctions.udf.CIQ(InputTicker, "IQ_CURR_TAXES",Input!F$2,Date,,,Ccy,Conv)</f>
        <v>-54.7</v>
      </c>
      <c r="E107" s="4">
        <f>_xll.ciqfunctions.udf.CIQ(InputTicker, "IQ_CURR_TAXES",Input!G$2,Date,,,Ccy,Conv)</f>
        <v>24.95</v>
      </c>
      <c r="F107" s="4">
        <f>_xll.ciqfunctions.udf.CIQ(InputTicker, "IQ_CURR_TAXES",Input!H$2,Date,,,Ccy,Conv)</f>
        <v>9.6199999999999992</v>
      </c>
      <c r="G107" s="4">
        <f>_xll.ciqfunctions.udf.CIQ(InputTicker, "IQ_CURR_TAXES",Input!I$2,Date,,,Ccy,Conv)</f>
        <v>-8.5500000000000007</v>
      </c>
      <c r="H107" s="4">
        <f>_xll.ciqfunctions.udf.CIQ(InputTicker, "IQ_CURR_TAXES",Input!J$2,Date,,,Ccy,Conv)</f>
        <v>-34.36</v>
      </c>
      <c r="I107" s="4">
        <f>_xll.ciqfunctions.udf.CIQ(InputTicker, "IQ_CURR_TAXES",Input!K$2,Date,,,Ccy,Conv)</f>
        <v>27.898</v>
      </c>
      <c r="J107" s="4">
        <f>_xll.ciqfunctions.udf.CIQ(InputTicker, "IQ_CURR_TAXES",Input!L$2,Date,,,Ccy,Conv)</f>
        <v>217.351</v>
      </c>
      <c r="K107" s="4">
        <f>_xll.ciqfunctions.udf.CIQ(InputTicker, "IQ_CURR_TAXES",Input!M$2,Date,,,Ccy,Conv)</f>
        <v>93.361000000000004</v>
      </c>
      <c r="L107" s="4">
        <f>_xll.ciqfunctions.udf.CIQ(InputTicker, "IQ_CURR_TAXES",Input!N$2,Date,,,Ccy,Conv)</f>
        <v>373.34</v>
      </c>
      <c r="M107" s="4">
        <f>_xll.ciqfunctions.udf.CIQ(InputTicker, "IQ_CURR_TAXES",Input!O$2,Date,,,Ccy,Conv)</f>
        <v>373.34</v>
      </c>
      <c r="N107" s="49"/>
      <c r="P107" s="46"/>
      <c r="Q107" s="46"/>
      <c r="R107" s="46"/>
      <c r="T107" s="42"/>
      <c r="U107" s="42"/>
      <c r="V107" s="46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</row>
    <row r="108" spans="1:66" ht="12.75" customHeight="1" x14ac:dyDescent="0.2">
      <c r="A108" s="1" t="s">
        <v>321</v>
      </c>
      <c r="B108" s="4">
        <f>_xll.ciqfunctions.udf.CIQ(InputTicker, "IQ_DEFERRED_DOMESTIC_TAXES",Input!D$2,Date,,,Ccy,Conv)</f>
        <v>5.1079999999999997</v>
      </c>
      <c r="C108" s="4">
        <f>_xll.ciqfunctions.udf.CIQ(InputTicker, "IQ_DEFERRED_DOMESTIC_TAXES",Input!E$2,Date,,,Ccy,Conv)</f>
        <v>19.391999999999999</v>
      </c>
      <c r="D108" s="4">
        <f>_xll.ciqfunctions.udf.CIQ(InputTicker, "IQ_DEFERRED_DOMESTIC_TAXES",Input!F$2,Date,,,Ccy,Conv)</f>
        <v>14.833</v>
      </c>
      <c r="E108" s="4">
        <f>_xll.ciqfunctions.udf.CIQ(InputTicker, "IQ_DEFERRED_DOMESTIC_TAXES",Input!G$2,Date,,,Ccy,Conv)</f>
        <v>-33.808999999999997</v>
      </c>
      <c r="F108" s="4">
        <f>_xll.ciqfunctions.udf.CIQ(InputTicker, "IQ_DEFERRED_DOMESTIC_TAXES",Input!H$2,Date,,,Ccy,Conv)</f>
        <v>6.1230000000000002</v>
      </c>
      <c r="G108" s="4">
        <f>_xll.ciqfunctions.udf.CIQ(InputTicker, "IQ_DEFERRED_DOMESTIC_TAXES",Input!I$2,Date,,,Ccy,Conv)</f>
        <v>10.281000000000001</v>
      </c>
      <c r="H108" s="4">
        <f>_xll.ciqfunctions.udf.CIQ(InputTicker, "IQ_DEFERRED_DOMESTIC_TAXES",Input!J$2,Date,,,Ccy,Conv)</f>
        <v>22.350999999999999</v>
      </c>
      <c r="I108" s="4">
        <f>_xll.ciqfunctions.udf.CIQ(InputTicker, "IQ_DEFERRED_DOMESTIC_TAXES",Input!K$2,Date,,,Ccy,Conv)</f>
        <v>5.6760000000000002</v>
      </c>
      <c r="J108" s="4">
        <f>_xll.ciqfunctions.udf.CIQ(InputTicker, "IQ_DEFERRED_DOMESTIC_TAXES",Input!L$2,Date,,,Ccy,Conv)</f>
        <v>24.466999999999999</v>
      </c>
      <c r="K108" s="4">
        <f>_xll.ciqfunctions.udf.CIQ(InputTicker, "IQ_DEFERRED_DOMESTIC_TAXES",Input!M$2,Date,,,Ccy,Conv)</f>
        <v>-9.6720000000000006</v>
      </c>
      <c r="L108" s="4">
        <f>_xll.ciqfunctions.udf.CIQ(InputTicker, "IQ_DEFERRED_DOMESTIC_TAXES",Input!N$2,Date,,,Ccy,Conv)</f>
        <v>11.57</v>
      </c>
      <c r="M108" s="4">
        <f>_xll.ciqfunctions.udf.CIQ(InputTicker, "IQ_DEFERRED_DOMESTIC_TAXES",Input!O$2,Date,,,Ccy,Conv)</f>
        <v>11.57</v>
      </c>
      <c r="N108" s="49"/>
      <c r="P108" s="46"/>
      <c r="Q108" s="46"/>
      <c r="R108" s="46"/>
      <c r="T108" s="42"/>
      <c r="U108" s="42"/>
      <c r="V108" s="46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</row>
    <row r="109" spans="1:66" ht="12.75" customHeight="1" x14ac:dyDescent="0.2">
      <c r="A109" s="1" t="s">
        <v>322</v>
      </c>
      <c r="B109" s="4">
        <f>_xll.ciqfunctions.udf.CIQ(InputTicker, "IQ_DEFERRED_FOREIGN_TAXES",Input!D$2,Date,,,Ccy,Conv)</f>
        <v>0</v>
      </c>
      <c r="C109" s="4">
        <f>_xll.ciqfunctions.udf.CIQ(InputTicker, "IQ_DEFERRED_FOREIGN_TAXES",Input!E$2,Date,,,Ccy,Conv)</f>
        <v>0</v>
      </c>
      <c r="D109" s="4">
        <f>_xll.ciqfunctions.udf.CIQ(InputTicker, "IQ_DEFERRED_FOREIGN_TAXES",Input!F$2,Date,,,Ccy,Conv)</f>
        <v>0</v>
      </c>
      <c r="E109" s="4">
        <f>_xll.ciqfunctions.udf.CIQ(InputTicker, "IQ_DEFERRED_FOREIGN_TAXES",Input!G$2,Date,,,Ccy,Conv)</f>
        <v>0</v>
      </c>
      <c r="F109" s="4">
        <f>_xll.ciqfunctions.udf.CIQ(InputTicker, "IQ_DEFERRED_FOREIGN_TAXES",Input!H$2,Date,,,Ccy,Conv)</f>
        <v>0</v>
      </c>
      <c r="G109" s="4">
        <f>_xll.ciqfunctions.udf.CIQ(InputTicker, "IQ_DEFERRED_FOREIGN_TAXES",Input!I$2,Date,,,Ccy,Conv)</f>
        <v>0</v>
      </c>
      <c r="H109" s="4">
        <f>_xll.ciqfunctions.udf.CIQ(InputTicker, "IQ_DEFERRED_FOREIGN_TAXES",Input!J$2,Date,,,Ccy,Conv)</f>
        <v>0</v>
      </c>
      <c r="I109" s="4">
        <f>_xll.ciqfunctions.udf.CIQ(InputTicker, "IQ_DEFERRED_FOREIGN_TAXES",Input!K$2,Date,,,Ccy,Conv)</f>
        <v>0</v>
      </c>
      <c r="J109" s="4">
        <f>_xll.ciqfunctions.udf.CIQ(InputTicker, "IQ_DEFERRED_FOREIGN_TAXES",Input!L$2,Date,,,Ccy,Conv)</f>
        <v>0</v>
      </c>
      <c r="K109" s="4">
        <f>_xll.ciqfunctions.udf.CIQ(InputTicker, "IQ_DEFERRED_FOREIGN_TAXES",Input!M$2,Date,,,Ccy,Conv)</f>
        <v>0</v>
      </c>
      <c r="L109" s="4">
        <f>_xll.ciqfunctions.udf.CIQ(InputTicker, "IQ_DEFERRED_FOREIGN_TAXES",Input!N$2,Date,,,Ccy,Conv)</f>
        <v>0</v>
      </c>
      <c r="M109" s="4">
        <f>_xll.ciqfunctions.udf.CIQ(InputTicker, "IQ_DEFERRED_FOREIGN_TAXES",Input!O$2,Date,,,Ccy,Conv)</f>
        <v>0</v>
      </c>
      <c r="N109" s="49"/>
      <c r="P109" s="46"/>
      <c r="Q109" s="46"/>
      <c r="R109" s="46"/>
      <c r="T109" s="42"/>
      <c r="U109" s="42"/>
      <c r="V109" s="46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</row>
    <row r="110" spans="1:66" ht="12.75" customHeight="1" x14ac:dyDescent="0.2">
      <c r="A110" s="1" t="s">
        <v>433</v>
      </c>
      <c r="B110" s="4">
        <f>_xll.ciqfunctions.udf.CIQ(InputTicker, "IQ_DEFERRED_TAXES_TOTAL",Input!D$2,Date,,,Ccy,Conv)</f>
        <v>5.1079999999999997</v>
      </c>
      <c r="C110" s="4">
        <f>_xll.ciqfunctions.udf.CIQ(InputTicker, "IQ_DEFERRED_TAXES_TOTAL",Input!E$2,Date,,,Ccy,Conv)</f>
        <v>19.391999999999999</v>
      </c>
      <c r="D110" s="4">
        <f>_xll.ciqfunctions.udf.CIQ(InputTicker, "IQ_DEFERRED_TAXES_TOTAL",Input!F$2,Date,,,Ccy,Conv)</f>
        <v>14.833</v>
      </c>
      <c r="E110" s="4">
        <f>_xll.ciqfunctions.udf.CIQ(InputTicker, "IQ_DEFERRED_TAXES_TOTAL",Input!G$2,Date,,,Ccy,Conv)</f>
        <v>-33.808999999999997</v>
      </c>
      <c r="F110" s="4">
        <f>_xll.ciqfunctions.udf.CIQ(InputTicker, "IQ_DEFERRED_TAXES_TOTAL",Input!H$2,Date,,,Ccy,Conv)</f>
        <v>6.1230000000000002</v>
      </c>
      <c r="G110" s="4">
        <f>_xll.ciqfunctions.udf.CIQ(InputTicker, "IQ_DEFERRED_TAXES_TOTAL",Input!I$2,Date,,,Ccy,Conv)</f>
        <v>10.281000000000001</v>
      </c>
      <c r="H110" s="4">
        <f>_xll.ciqfunctions.udf.CIQ(InputTicker, "IQ_DEFERRED_TAXES_TOTAL",Input!J$2,Date,,,Ccy,Conv)</f>
        <v>22.350999999999999</v>
      </c>
      <c r="I110" s="4">
        <f>_xll.ciqfunctions.udf.CIQ(InputTicker, "IQ_DEFERRED_TAXES_TOTAL",Input!K$2,Date,,,Ccy,Conv)</f>
        <v>5.6760000000000002</v>
      </c>
      <c r="J110" s="4">
        <f>_xll.ciqfunctions.udf.CIQ(InputTicker, "IQ_DEFERRED_TAXES_TOTAL",Input!L$2,Date,,,Ccy,Conv)</f>
        <v>24.466999999999999</v>
      </c>
      <c r="K110" s="4">
        <f>_xll.ciqfunctions.udf.CIQ(InputTicker, "IQ_DEFERRED_TAXES_TOTAL",Input!M$2,Date,,,Ccy,Conv)</f>
        <v>-9.6720000000000006</v>
      </c>
      <c r="L110" s="4">
        <f>_xll.ciqfunctions.udf.CIQ(InputTicker, "IQ_DEFERRED_TAXES_TOTAL",Input!N$2,Date,,,Ccy,Conv)</f>
        <v>11.57</v>
      </c>
      <c r="M110" s="4">
        <f>_xll.ciqfunctions.udf.CIQ(InputTicker, "IQ_DEFERRED_TAXES_TOTAL",Input!O$2,Date,,,Ccy,Conv)</f>
        <v>11.57</v>
      </c>
      <c r="N110" s="49"/>
      <c r="P110" s="46"/>
      <c r="Q110" s="46"/>
      <c r="R110" s="46"/>
      <c r="T110" s="42"/>
      <c r="U110" s="42"/>
      <c r="V110" s="46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</row>
    <row r="111" spans="1:66" ht="12.75" customHeight="1" x14ac:dyDescent="0.2">
      <c r="A111" s="1" t="s">
        <v>458</v>
      </c>
      <c r="B111" s="4">
        <f>_xll.ciqfunctions.udf.CIQ(InputTicker, "IQ_NONRECURRING_INCOME_TAXES",Input!D$2,Date,,,Ccy,Conv)</f>
        <v>0</v>
      </c>
      <c r="C111" s="4">
        <f>_xll.ciqfunctions.udf.CIQ(InputTicker, "IQ_NONRECURRING_INCOME_TAXES",Input!E$2,Date,,,Ccy,Conv)</f>
        <v>0</v>
      </c>
      <c r="D111" s="4">
        <f>_xll.ciqfunctions.udf.CIQ(InputTicker, "IQ_NONRECURRING_INCOME_TAXES",Input!F$2,Date,,,Ccy,Conv)</f>
        <v>0</v>
      </c>
      <c r="E111" s="4">
        <f>_xll.ciqfunctions.udf.CIQ(InputTicker, "IQ_NONRECURRING_INCOME_TAXES",Input!G$2,Date,,,Ccy,Conv)</f>
        <v>-42.972999999999999</v>
      </c>
      <c r="F111" s="4">
        <f>_xll.ciqfunctions.udf.CIQ(InputTicker, "IQ_NONRECURRING_INCOME_TAXES",Input!H$2,Date,,,Ccy,Conv)</f>
        <v>0</v>
      </c>
      <c r="G111" s="4">
        <f>_xll.ciqfunctions.udf.CIQ(InputTicker, "IQ_NONRECURRING_INCOME_TAXES",Input!I$2,Date,,,Ccy,Conv)</f>
        <v>0</v>
      </c>
      <c r="H111" s="4">
        <f>_xll.ciqfunctions.udf.CIQ(InputTicker, "IQ_NONRECURRING_INCOME_TAXES",Input!J$2,Date,,,Ccy,Conv)</f>
        <v>0</v>
      </c>
      <c r="I111" s="4">
        <f>_xll.ciqfunctions.udf.CIQ(InputTicker, "IQ_NONRECURRING_INCOME_TAXES",Input!K$2,Date,,,Ccy,Conv)</f>
        <v>0</v>
      </c>
      <c r="J111" s="4">
        <f>_xll.ciqfunctions.udf.CIQ(InputTicker, "IQ_NONRECURRING_INCOME_TAXES",Input!L$2,Date,,,Ccy,Conv)</f>
        <v>0</v>
      </c>
      <c r="K111" s="4">
        <f>_xll.ciqfunctions.udf.CIQ(InputTicker, "IQ_NONRECURRING_INCOME_TAXES",Input!M$2,Date,,,Ccy,Conv)</f>
        <v>0</v>
      </c>
      <c r="L111" s="4">
        <f>_xll.ciqfunctions.udf.CIQ(InputTicker, "IQ_NONRECURRING_INCOME_TAXES",Input!N$2,Date,,,Ccy,Conv)</f>
        <v>0</v>
      </c>
      <c r="M111" s="4">
        <f>_xll.ciqfunctions.udf.CIQ(InputTicker, "IQ_NONRECURRING_INCOME_TAXES",Input!O$2,Date,,,Ccy,Conv)</f>
        <v>0</v>
      </c>
      <c r="N111" s="49"/>
      <c r="P111" s="46"/>
      <c r="Q111" s="46"/>
      <c r="R111" s="46"/>
      <c r="T111" s="42"/>
      <c r="U111" s="42"/>
      <c r="V111" s="46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</row>
    <row r="112" spans="1:66" ht="12.75" customHeight="1" x14ac:dyDescent="0.2">
      <c r="A112" s="1" t="s">
        <v>323</v>
      </c>
      <c r="B112" s="4">
        <f>_xll.ciqfunctions.udf.CIQ(InputTicker, "IQ_NI_NORM",Input!D$2,Date,,,Ccy,Conv)</f>
        <v>153.37424999999999</v>
      </c>
      <c r="C112" s="4">
        <f>_xll.ciqfunctions.udf.CIQ(InputTicker, "IQ_NI_NORM",Input!E$2,Date,,,Ccy,Conv)</f>
        <v>301.53462999999999</v>
      </c>
      <c r="D112" s="4">
        <f>_xll.ciqfunctions.udf.CIQ(InputTicker, "IQ_NI_NORM",Input!F$2,Date,,,Ccy,Conv)</f>
        <v>-69.134749999999997</v>
      </c>
      <c r="E112" s="4">
        <f>_xll.ciqfunctions.udf.CIQ(InputTicker, "IQ_NI_NORM",Input!G$2,Date,,,Ccy,Conv)</f>
        <v>123.85787999999999</v>
      </c>
      <c r="F112" s="4">
        <f>_xll.ciqfunctions.udf.CIQ(InputTicker, "IQ_NI_NORM",Input!H$2,Date,,,Ccy,Conv)</f>
        <v>43.425750000000001</v>
      </c>
      <c r="G112" s="4">
        <f>_xll.ciqfunctions.udf.CIQ(InputTicker, "IQ_NI_NORM",Input!I$2,Date,,,Ccy,Conv)</f>
        <v>12.564249999999999</v>
      </c>
      <c r="H112" s="4">
        <f>_xll.ciqfunctions.udf.CIQ(InputTicker, "IQ_NI_NORM",Input!J$2,Date,,,Ccy,Conv)</f>
        <v>-3.51</v>
      </c>
      <c r="I112" s="4">
        <f>_xll.ciqfunctions.udf.CIQ(InputTicker, "IQ_NI_NORM",Input!K$2,Date,,,Ccy,Conv)</f>
        <v>100.70963</v>
      </c>
      <c r="J112" s="4">
        <f>_xll.ciqfunctions.udf.CIQ(InputTicker, "IQ_NI_NORM",Input!L$2,Date,,,Ccy,Conv)</f>
        <v>625.32637999999997</v>
      </c>
      <c r="K112" s="4">
        <f>_xll.ciqfunctions.udf.CIQ(InputTicker, "IQ_NI_NORM",Input!M$2,Date,,,Ccy,Conv)</f>
        <v>242.20224999999999</v>
      </c>
      <c r="L112" s="4">
        <f>_xll.ciqfunctions.udf.CIQ(InputTicker, "IQ_NI_NORM",Input!N$2,Date,,,Ccy,Conv)</f>
        <v>1012.94538</v>
      </c>
      <c r="M112" s="4">
        <f>_xll.ciqfunctions.udf.CIQ(InputTicker, "IQ_NI_NORM",Input!O$2,Date,,,Ccy,Conv)</f>
        <v>959.88</v>
      </c>
      <c r="N112" s="49"/>
      <c r="P112" s="46"/>
      <c r="Q112" s="46"/>
      <c r="R112" s="46"/>
      <c r="T112" s="42"/>
      <c r="U112" s="42"/>
      <c r="V112" s="46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</row>
    <row r="113" spans="1:66" ht="12.75" customHeight="1" x14ac:dyDescent="0.2">
      <c r="A113" s="1" t="s">
        <v>348</v>
      </c>
      <c r="B113" s="4">
        <f>_xll.ciqfunctions.udf.CIQ(InputTicker, "IQ_DILUT_NI",Input!D$2,Date,,,Ccy,Conv)</f>
        <v>161.29521</v>
      </c>
      <c r="C113" s="4">
        <f>_xll.ciqfunctions.udf.CIQ(InputTicker, "IQ_DILUT_NI",Input!E$2,Date,,,Ccy,Conv)</f>
        <v>315.82344999999998</v>
      </c>
      <c r="D113" s="4">
        <f>_xll.ciqfunctions.udf.CIQ(InputTicker, "IQ_DILUT_NI",Input!F$2,Date,,,Ccy,Conv)</f>
        <v>-74.47748</v>
      </c>
      <c r="E113" s="4">
        <f>_xll.ciqfunctions.udf.CIQ(InputTicker, "IQ_DILUT_NI",Input!G$2,Date,,,Ccy,Conv)</f>
        <v>126.0168</v>
      </c>
      <c r="F113" s="4">
        <f>_xll.ciqfunctions.udf.CIQ(InputTicker, "IQ_DILUT_NI",Input!H$2,Date,,,Ccy,Conv)</f>
        <v>54.41968</v>
      </c>
      <c r="G113" s="4">
        <f>_xll.ciqfunctions.udf.CIQ(InputTicker, "IQ_DILUT_NI",Input!I$2,Date,,,Ccy,Conv)</f>
        <v>18.461919999999999</v>
      </c>
      <c r="H113" s="4">
        <f>_xll.ciqfunctions.udf.CIQ(InputTicker, "IQ_DILUT_NI",Input!J$2,Date,,,Ccy,Conv)</f>
        <v>1.94624</v>
      </c>
      <c r="I113" s="4">
        <f>_xll.ciqfunctions.udf.CIQ(InputTicker, "IQ_DILUT_NI",Input!K$2,Date,,,Ccy,Conv)</f>
        <v>132.55647999999999</v>
      </c>
      <c r="J113" s="4">
        <f>_xll.ciqfunctions.udf.CIQ(InputTicker, "IQ_DILUT_NI",Input!L$2,Date,,,Ccy,Conv)</f>
        <v>757.90368000000001</v>
      </c>
      <c r="K113" s="4">
        <f>_xll.ciqfunctions.udf.CIQ(InputTicker, "IQ_DILUT_NI",Input!M$2,Date,,,Ccy,Conv)</f>
        <v>278.08737000000002</v>
      </c>
      <c r="L113" s="4">
        <f>_xll.ciqfunctions.udf.CIQ(InputTicker, "IQ_DILUT_NI",Input!N$2,Date,,,Ccy,Conv)</f>
        <v>1219.8304499999999</v>
      </c>
      <c r="M113" s="4">
        <f>_xll.ciqfunctions.udf.CIQ(InputTicker, "IQ_DILUT_NI",Input!O$2,Date,,,Ccy,Conv)</f>
        <v>1153.05153</v>
      </c>
      <c r="N113" s="49"/>
      <c r="P113" s="46"/>
      <c r="Q113" s="46"/>
      <c r="R113" s="46"/>
      <c r="T113" s="42"/>
      <c r="U113" s="42"/>
      <c r="V113" s="46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</row>
    <row r="114" spans="1:66" ht="12.75" customHeight="1" x14ac:dyDescent="0.2">
      <c r="A114" s="1" t="s">
        <v>310</v>
      </c>
      <c r="B114" s="4">
        <f>_xll.ciqfunctions.udf.CIQ(InputTicker, "IQ_CAPITALIZED_INTEREST",Input!D$2,Date,,,Ccy,Conv)</f>
        <v>1.2</v>
      </c>
      <c r="C114" s="4">
        <f>_xll.ciqfunctions.udf.CIQ(InputTicker, "IQ_CAPITALIZED_INTEREST",Input!E$2,Date,,,Ccy,Conv)</f>
        <v>1.1000000000000001</v>
      </c>
      <c r="D114" s="4">
        <f>_xll.ciqfunctions.udf.CIQ(InputTicker, "IQ_CAPITALIZED_INTEREST",Input!F$2,Date,,,Ccy,Conv)</f>
        <v>1.1000000000000001</v>
      </c>
      <c r="E114" s="4">
        <f>_xll.ciqfunctions.udf.CIQ(InputTicker, "IQ_CAPITALIZED_INTEREST",Input!G$2,Date,,,Ccy,Conv)</f>
        <v>0.217</v>
      </c>
      <c r="F114" s="4">
        <f>_xll.ciqfunctions.udf.CIQ(InputTicker, "IQ_CAPITALIZED_INTEREST",Input!H$2,Date,,,Ccy,Conv)</f>
        <v>0</v>
      </c>
      <c r="G114" s="4">
        <f>_xll.ciqfunctions.udf.CIQ(InputTicker, "IQ_CAPITALIZED_INTEREST",Input!I$2,Date,,,Ccy,Conv)</f>
        <v>0</v>
      </c>
      <c r="H114" s="4">
        <f>_xll.ciqfunctions.udf.CIQ(InputTicker, "IQ_CAPITALIZED_INTEREST",Input!J$2,Date,,,Ccy,Conv)</f>
        <v>0</v>
      </c>
      <c r="I114" s="4">
        <f>_xll.ciqfunctions.udf.CIQ(InputTicker, "IQ_CAPITALIZED_INTEREST",Input!K$2,Date,,,Ccy,Conv)</f>
        <v>0</v>
      </c>
      <c r="J114" s="4">
        <f>_xll.ciqfunctions.udf.CIQ(InputTicker, "IQ_CAPITALIZED_INTEREST",Input!L$2,Date,,,Ccy,Conv)</f>
        <v>0</v>
      </c>
      <c r="K114" s="4">
        <f>_xll.ciqfunctions.udf.CIQ(InputTicker, "IQ_CAPITALIZED_INTEREST",Input!M$2,Date,,,Ccy,Conv)</f>
        <v>0</v>
      </c>
      <c r="L114" s="4">
        <f>_xll.ciqfunctions.udf.CIQ(InputTicker, "IQ_CAPITALIZED_INTEREST",Input!N$2,Date,,,Ccy,Conv)</f>
        <v>0</v>
      </c>
      <c r="M114" s="4">
        <f>_xll.ciqfunctions.udf.CIQ(InputTicker, "IQ_CAPITALIZED_INTEREST",Input!O$2,Date,,,Ccy,Conv)</f>
        <v>0</v>
      </c>
      <c r="N114" s="49"/>
      <c r="P114" s="46"/>
      <c r="Q114" s="46"/>
      <c r="R114" s="46"/>
      <c r="T114" s="42"/>
      <c r="U114" s="42"/>
      <c r="V114" s="46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</row>
    <row r="115" spans="1:66" ht="12.75" customHeight="1" x14ac:dyDescent="0.2">
      <c r="A115" s="1" t="s">
        <v>324</v>
      </c>
      <c r="B115" s="4">
        <f>_xll.ciqfunctions.udf.CIQ(InputTicker, "IQ_INT_EXP_LTD",Input!D$2,Date,,,Ccy,Conv)</f>
        <v>0</v>
      </c>
      <c r="C115" s="4">
        <f>_xll.ciqfunctions.udf.CIQ(InputTicker, "IQ_INT_EXP_LTD",Input!E$2,Date,,,Ccy,Conv)</f>
        <v>0</v>
      </c>
      <c r="D115" s="4">
        <f>_xll.ciqfunctions.udf.CIQ(InputTicker, "IQ_INT_EXP_LTD",Input!F$2,Date,,,Ccy,Conv)</f>
        <v>1.4179999999999999</v>
      </c>
      <c r="E115" s="4">
        <f>_xll.ciqfunctions.udf.CIQ(InputTicker, "IQ_INT_EXP_LTD",Input!G$2,Date,,,Ccy,Conv)</f>
        <v>0</v>
      </c>
      <c r="F115" s="4">
        <f>_xll.ciqfunctions.udf.CIQ(InputTicker, "IQ_INT_EXP_LTD",Input!H$2,Date,,,Ccy,Conv)</f>
        <v>0</v>
      </c>
      <c r="G115" s="4">
        <f>_xll.ciqfunctions.udf.CIQ(InputTicker, "IQ_INT_EXP_LTD",Input!I$2,Date,,,Ccy,Conv)</f>
        <v>0</v>
      </c>
      <c r="H115" s="4">
        <f>_xll.ciqfunctions.udf.CIQ(InputTicker, "IQ_INT_EXP_LTD",Input!J$2,Date,,,Ccy,Conv)</f>
        <v>0</v>
      </c>
      <c r="I115" s="4">
        <f>_xll.ciqfunctions.udf.CIQ(InputTicker, "IQ_INT_EXP_LTD",Input!K$2,Date,,,Ccy,Conv)</f>
        <v>0.40300000000000002</v>
      </c>
      <c r="J115" s="4">
        <f>_xll.ciqfunctions.udf.CIQ(InputTicker, "IQ_INT_EXP_LTD",Input!L$2,Date,,,Ccy,Conv)</f>
        <v>0.58299999999999996</v>
      </c>
      <c r="K115" s="4">
        <f>_xll.ciqfunctions.udf.CIQ(InputTicker, "IQ_INT_EXP_LTD",Input!M$2,Date,,,Ccy,Conv)</f>
        <v>0.54900000000000004</v>
      </c>
      <c r="L115" s="4">
        <f>_xll.ciqfunctions.udf.CIQ(InputTicker, "IQ_INT_EXP_LTD",Input!N$2,Date,,,Ccy,Conv)</f>
        <v>0.61199999999999999</v>
      </c>
      <c r="M115" s="4">
        <f>_xll.ciqfunctions.udf.CIQ(InputTicker, "IQ_INT_EXP_LTD",Input!O$2,Date,,,Ccy,Conv)</f>
        <v>0</v>
      </c>
      <c r="N115" s="49"/>
      <c r="P115" s="46"/>
      <c r="Q115" s="46"/>
      <c r="R115" s="46"/>
      <c r="T115" s="42"/>
      <c r="U115" s="42"/>
      <c r="V115" s="46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</row>
    <row r="116" spans="1:66" ht="12.75" customHeight="1" x14ac:dyDescent="0.2">
      <c r="A116" s="1" t="s">
        <v>459</v>
      </c>
      <c r="B116" s="4">
        <f>_xll.ciqfunctions.udf.CIQ(InputTicker, "IQ_INTEREST_EXP_LEASE_LIABILITY_DEBT",Input!D$2,Date,,,Ccy,Conv)</f>
        <v>0</v>
      </c>
      <c r="C116" s="4">
        <f>_xll.ciqfunctions.udf.CIQ(InputTicker, "IQ_INTEREST_EXP_LEASE_LIABILITY_DEBT",Input!E$2,Date,,,Ccy,Conv)</f>
        <v>0</v>
      </c>
      <c r="D116" s="4">
        <f>_xll.ciqfunctions.udf.CIQ(InputTicker, "IQ_INTEREST_EXP_LEASE_LIABILITY_DEBT",Input!F$2,Date,,,Ccy,Conv)</f>
        <v>0</v>
      </c>
      <c r="E116" s="4">
        <f>_xll.ciqfunctions.udf.CIQ(InputTicker, "IQ_INTEREST_EXP_LEASE_LIABILITY_DEBT",Input!G$2,Date,,,Ccy,Conv)</f>
        <v>0</v>
      </c>
      <c r="F116" s="4">
        <f>_xll.ciqfunctions.udf.CIQ(InputTicker, "IQ_INTEREST_EXP_LEASE_LIABILITY_DEBT",Input!H$2,Date,,,Ccy,Conv)</f>
        <v>0</v>
      </c>
      <c r="G116" s="4">
        <f>_xll.ciqfunctions.udf.CIQ(InputTicker, "IQ_INTEREST_EXP_LEASE_LIABILITY_DEBT",Input!I$2,Date,,,Ccy,Conv)</f>
        <v>0</v>
      </c>
      <c r="H116" s="4">
        <f>_xll.ciqfunctions.udf.CIQ(InputTicker, "IQ_INTEREST_EXP_LEASE_LIABILITY_DEBT",Input!J$2,Date,,,Ccy,Conv)</f>
        <v>0</v>
      </c>
      <c r="I116" s="4">
        <f>_xll.ciqfunctions.udf.CIQ(InputTicker, "IQ_INTEREST_EXP_LEASE_LIABILITY_DEBT",Input!K$2,Date,,,Ccy,Conv)</f>
        <v>0</v>
      </c>
      <c r="J116" s="4">
        <f>_xll.ciqfunctions.udf.CIQ(InputTicker, "IQ_INTEREST_EXP_LEASE_LIABILITY_DEBT",Input!L$2,Date,,,Ccy,Conv)</f>
        <v>0</v>
      </c>
      <c r="K116" s="4">
        <f>_xll.ciqfunctions.udf.CIQ(InputTicker, "IQ_INTEREST_EXP_LEASE_LIABILITY_DEBT",Input!M$2,Date,,,Ccy,Conv)</f>
        <v>0</v>
      </c>
      <c r="L116" s="4">
        <f>_xll.ciqfunctions.udf.CIQ(InputTicker, "IQ_INTEREST_EXP_LEASE_LIABILITY_DEBT",Input!N$2,Date,,,Ccy,Conv)</f>
        <v>0</v>
      </c>
      <c r="M116" s="4">
        <f>_xll.ciqfunctions.udf.CIQ(InputTicker, "IQ_INTEREST_EXP_LEASE_LIABILITY_DEBT",Input!O$2,Date,,,Ccy,Conv)</f>
        <v>0</v>
      </c>
      <c r="N116" s="49"/>
      <c r="P116" s="46"/>
      <c r="Q116" s="46"/>
      <c r="R116" s="46"/>
      <c r="T116" s="42"/>
      <c r="U116" s="42"/>
      <c r="V116" s="46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</row>
    <row r="117" spans="1:66" ht="12.75" customHeight="1" x14ac:dyDescent="0.2">
      <c r="A117" s="1" t="s">
        <v>328</v>
      </c>
      <c r="B117" s="4">
        <f>_xll.ciqfunctions.udf.CIQ(InputTicker, "IQ_INT_EXP_INCL_CAP",Input!D$2,Date,,,Ccy,Conv)</f>
        <v>3.5129999999999999</v>
      </c>
      <c r="C117" s="4">
        <f>_xll.ciqfunctions.udf.CIQ(InputTicker, "IQ_INT_EXP_INCL_CAP",Input!E$2,Date,,,Ccy,Conv)</f>
        <v>2.2559999999999998</v>
      </c>
      <c r="D117" s="4">
        <f>_xll.ciqfunctions.udf.CIQ(InputTicker, "IQ_INT_EXP_INCL_CAP",Input!F$2,Date,,,Ccy,Conv)</f>
        <v>1.4179999999999999</v>
      </c>
      <c r="E117" s="4">
        <f>_xll.ciqfunctions.udf.CIQ(InputTicker, "IQ_INT_EXP_INCL_CAP",Input!G$2,Date,,,Ccy,Conv)</f>
        <v>0.48199999999999998</v>
      </c>
      <c r="F117" s="4">
        <f>_xll.ciqfunctions.udf.CIQ(InputTicker, "IQ_INT_EXP_INCL_CAP",Input!H$2,Date,,,Ccy,Conv)</f>
        <v>0.64400000000000002</v>
      </c>
      <c r="G117" s="4">
        <f>_xll.ciqfunctions.udf.CIQ(InputTicker, "IQ_INT_EXP_INCL_CAP",Input!I$2,Date,,,Ccy,Conv)</f>
        <v>0.498</v>
      </c>
      <c r="H117" s="4">
        <f>_xll.ciqfunctions.udf.CIQ(InputTicker, "IQ_INT_EXP_INCL_CAP",Input!J$2,Date,,,Ccy,Conv)</f>
        <v>0.21299999999999999</v>
      </c>
      <c r="I117" s="4">
        <f>_xll.ciqfunctions.udf.CIQ(InputTicker, "IQ_INT_EXP_INCL_CAP",Input!K$2,Date,,,Ccy,Conv)</f>
        <v>0.40300000000000002</v>
      </c>
      <c r="J117" s="4">
        <f>_xll.ciqfunctions.udf.CIQ(InputTicker, "IQ_INT_EXP_INCL_CAP",Input!L$2,Date,,,Ccy,Conv)</f>
        <v>0.58299999999999996</v>
      </c>
      <c r="K117" s="4">
        <f>_xll.ciqfunctions.udf.CIQ(InputTicker, "IQ_INT_EXP_INCL_CAP",Input!M$2,Date,,,Ccy,Conv)</f>
        <v>0.54900000000000004</v>
      </c>
      <c r="L117" s="4">
        <f>_xll.ciqfunctions.udf.CIQ(InputTicker, "IQ_INT_EXP_INCL_CAP",Input!N$2,Date,,,Ccy,Conv)</f>
        <v>0.61199999999999999</v>
      </c>
      <c r="M117" s="4">
        <f>_xll.ciqfunctions.udf.CIQ(InputTicker, "IQ_INT_EXP_INCL_CAP",Input!O$2,Date,,,Ccy,Conv)</f>
        <v>0.65300000000000002</v>
      </c>
      <c r="N117" s="49"/>
      <c r="P117" s="46"/>
      <c r="Q117" s="46"/>
      <c r="R117" s="46"/>
      <c r="T117" s="42"/>
      <c r="U117" s="42"/>
      <c r="V117" s="46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</row>
    <row r="118" spans="1:66" ht="12.75" customHeight="1" x14ac:dyDescent="0.2">
      <c r="A118" s="1" t="s">
        <v>325</v>
      </c>
      <c r="B118" s="4">
        <f>_xll.ciqfunctions.udf.CIQ(InputTicker, "IQ_NONCASH_PENSION_EXP",Input!D$2,Date,,,Ccy,Conv)</f>
        <v>0.47</v>
      </c>
      <c r="C118" s="4">
        <f>_xll.ciqfunctions.udf.CIQ(InputTicker, "IQ_NONCASH_PENSION_EXP",Input!E$2,Date,,,Ccy,Conv)</f>
        <v>0.34699999999999998</v>
      </c>
      <c r="D118" s="4">
        <f>_xll.ciqfunctions.udf.CIQ(InputTicker, "IQ_NONCASH_PENSION_EXP",Input!F$2,Date,,,Ccy,Conv)</f>
        <v>0.61599999999999999</v>
      </c>
      <c r="E118" s="4">
        <f>_xll.ciqfunctions.udf.CIQ(InputTicker, "IQ_NONCASH_PENSION_EXP",Input!G$2,Date,,,Ccy,Conv)</f>
        <v>0.69299999999999995</v>
      </c>
      <c r="F118" s="4">
        <f>_xll.ciqfunctions.udf.CIQ(InputTicker, "IQ_NONCASH_PENSION_EXP",Input!H$2,Date,,,Ccy,Conv)</f>
        <v>0.377</v>
      </c>
      <c r="G118" s="4">
        <f>_xll.ciqfunctions.udf.CIQ(InputTicker, "IQ_NONCASH_PENSION_EXP",Input!I$2,Date,,,Ccy,Conv)</f>
        <v>0.621</v>
      </c>
      <c r="H118" s="4">
        <f>_xll.ciqfunctions.udf.CIQ(InputTicker, "IQ_NONCASH_PENSION_EXP",Input!J$2,Date,,,Ccy,Conv)</f>
        <v>1.6</v>
      </c>
      <c r="I118" s="4">
        <f>_xll.ciqfunctions.udf.CIQ(InputTicker, "IQ_NONCASH_PENSION_EXP",Input!K$2,Date,,,Ccy,Conv)</f>
        <v>0.25800000000000001</v>
      </c>
      <c r="J118" s="4">
        <f>_xll.ciqfunctions.udf.CIQ(InputTicker, "IQ_NONCASH_PENSION_EXP",Input!L$2,Date,,,Ccy,Conv)</f>
        <v>0.752</v>
      </c>
      <c r="K118" s="4">
        <f>_xll.ciqfunctions.udf.CIQ(InputTicker, "IQ_NONCASH_PENSION_EXP",Input!M$2,Date,,,Ccy,Conv)</f>
        <v>1.2</v>
      </c>
      <c r="L118" s="4">
        <f>_xll.ciqfunctions.udf.CIQ(InputTicker, "IQ_NONCASH_PENSION_EXP",Input!N$2,Date,,,Ccy,Conv)</f>
        <v>1.5</v>
      </c>
      <c r="M118" s="4">
        <f>_xll.ciqfunctions.udf.CIQ(InputTicker, "IQ_NONCASH_PENSION_EXP",Input!O$2,Date,,,Ccy,Conv)</f>
        <v>0</v>
      </c>
      <c r="N118" s="49"/>
      <c r="P118" s="46"/>
      <c r="Q118" s="46"/>
      <c r="R118" s="46"/>
      <c r="T118" s="42"/>
      <c r="U118" s="42"/>
      <c r="V118" s="46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</row>
    <row r="119" spans="1:66" ht="12.75" customHeight="1" x14ac:dyDescent="0.2">
      <c r="A119" s="1" t="s">
        <v>326</v>
      </c>
      <c r="B119" s="4">
        <f>_xll.ciqfunctions.udf.CIQ(InputTicker, "IQ_DA_EBITDA",Input!D$2,Date,,,Ccy,Conv)</f>
        <v>40.707999999999998</v>
      </c>
      <c r="C119" s="4">
        <f>_xll.ciqfunctions.udf.CIQ(InputTicker, "IQ_DA_EBITDA",Input!E$2,Date,,,Ccy,Conv)</f>
        <v>44.591999999999999</v>
      </c>
      <c r="D119" s="4">
        <f>_xll.ciqfunctions.udf.CIQ(InputTicker, "IQ_DA_EBITDA",Input!F$2,Date,,,Ccy,Conv)</f>
        <v>49.113</v>
      </c>
      <c r="E119" s="4">
        <f>_xll.ciqfunctions.udf.CIQ(InputTicker, "IQ_DA_EBITDA",Input!G$2,Date,,,Ccy,Conv)</f>
        <v>54.026000000000003</v>
      </c>
      <c r="F119" s="4">
        <f>_xll.ciqfunctions.udf.CIQ(InputTicker, "IQ_DA_EBITDA",Input!H$2,Date,,,Ccy,Conv)</f>
        <v>54.65</v>
      </c>
      <c r="G119" s="4">
        <f>_xll.ciqfunctions.udf.CIQ(InputTicker, "IQ_DA_EBITDA",Input!I$2,Date,,,Ccy,Conv)</f>
        <v>58.103000000000002</v>
      </c>
      <c r="H119" s="4">
        <f>_xll.ciqfunctions.udf.CIQ(InputTicker, "IQ_DA_EBITDA",Input!J$2,Date,,,Ccy,Conv)</f>
        <v>59.476999999999997</v>
      </c>
      <c r="I119" s="4">
        <f>_xll.ciqfunctions.udf.CIQ(InputTicker, "IQ_DA_EBITDA",Input!K$2,Date,,,Ccy,Conv)</f>
        <v>68.394999999999996</v>
      </c>
      <c r="J119" s="4">
        <f>_xll.ciqfunctions.udf.CIQ(InputTicker, "IQ_DA_EBITDA",Input!L$2,Date,,,Ccy,Conv)</f>
        <v>72.233999999999995</v>
      </c>
      <c r="K119" s="4">
        <f>_xll.ciqfunctions.udf.CIQ(InputTicker, "IQ_DA_EBITDA",Input!M$2,Date,,,Ccy,Conv)</f>
        <v>80.241</v>
      </c>
      <c r="L119" s="4">
        <f>_xll.ciqfunctions.udf.CIQ(InputTicker, "IQ_DA_EBITDA",Input!N$2,Date,,,Ccy,Conv)</f>
        <v>94.021000000000001</v>
      </c>
      <c r="M119" s="4">
        <f>_xll.ciqfunctions.udf.CIQ(InputTicker, "IQ_DA_EBITDA",Input!O$2,Date,,,Ccy,Conv)</f>
        <v>107.97199999999999</v>
      </c>
      <c r="N119" s="49"/>
      <c r="P119" s="46"/>
      <c r="Q119" s="46"/>
      <c r="R119" s="46"/>
      <c r="T119" s="42"/>
      <c r="U119" s="42"/>
      <c r="V119" s="46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</row>
    <row r="120" spans="1:66" ht="12.75" customHeight="1" x14ac:dyDescent="0.2">
      <c r="A120" s="1" t="s">
        <v>327</v>
      </c>
      <c r="B120" s="4">
        <f>_xll.ciqfunctions.udf.CIQ(InputTicker, "IQ_DISTRIBUTABLE_CASH",Input!D$2,Date,,,Ccy,Conv)</f>
        <v>0</v>
      </c>
      <c r="C120" s="4">
        <f>_xll.ciqfunctions.udf.CIQ(InputTicker, "IQ_DISTRIBUTABLE_CASH",Input!E$2,Date,,,Ccy,Conv)</f>
        <v>0</v>
      </c>
      <c r="D120" s="4">
        <f>_xll.ciqfunctions.udf.CIQ(InputTicker, "IQ_DISTRIBUTABLE_CASH",Input!F$2,Date,,,Ccy,Conv)</f>
        <v>0</v>
      </c>
      <c r="E120" s="4">
        <f>_xll.ciqfunctions.udf.CIQ(InputTicker, "IQ_DISTRIBUTABLE_CASH",Input!G$2,Date,,,Ccy,Conv)</f>
        <v>0</v>
      </c>
      <c r="F120" s="4">
        <f>_xll.ciqfunctions.udf.CIQ(InputTicker, "IQ_DISTRIBUTABLE_CASH",Input!H$2,Date,,,Ccy,Conv)</f>
        <v>0</v>
      </c>
      <c r="G120" s="4">
        <f>_xll.ciqfunctions.udf.CIQ(InputTicker, "IQ_DISTRIBUTABLE_CASH",Input!I$2,Date,,,Ccy,Conv)</f>
        <v>0</v>
      </c>
      <c r="H120" s="4">
        <f>_xll.ciqfunctions.udf.CIQ(InputTicker, "IQ_DISTRIBUTABLE_CASH",Input!J$2,Date,,,Ccy,Conv)</f>
        <v>0</v>
      </c>
      <c r="I120" s="4">
        <f>_xll.ciqfunctions.udf.CIQ(InputTicker, "IQ_DISTRIBUTABLE_CASH",Input!K$2,Date,,,Ccy,Conv)</f>
        <v>0</v>
      </c>
      <c r="J120" s="4">
        <f>_xll.ciqfunctions.udf.CIQ(InputTicker, "IQ_DISTRIBUTABLE_CASH",Input!L$2,Date,,,Ccy,Conv)</f>
        <v>0</v>
      </c>
      <c r="K120" s="4">
        <f>_xll.ciqfunctions.udf.CIQ(InputTicker, "IQ_DISTRIBUTABLE_CASH",Input!M$2,Date,,,Ccy,Conv)</f>
        <v>0</v>
      </c>
      <c r="L120" s="4">
        <f>_xll.ciqfunctions.udf.CIQ(InputTicker, "IQ_DISTRIBUTABLE_CASH",Input!N$2,Date,,,Ccy,Conv)</f>
        <v>0</v>
      </c>
      <c r="M120" s="4">
        <f>_xll.ciqfunctions.udf.CIQ(InputTicker, "IQ_DISTRIBUTABLE_CASH",Input!O$2,Date,,,Ccy,Conv)</f>
        <v>0</v>
      </c>
      <c r="N120" s="49"/>
      <c r="P120" s="46"/>
      <c r="Q120" s="46"/>
      <c r="R120" s="46"/>
      <c r="T120" s="42"/>
      <c r="U120" s="42"/>
      <c r="V120" s="46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</row>
    <row r="121" spans="1:66" ht="12.75" customHeight="1" x14ac:dyDescent="0.2">
      <c r="A121" s="1" t="s">
        <v>436</v>
      </c>
      <c r="B121" s="4">
        <f>_xll.ciqfunctions.udf.CIQ(InputTicker, "IQ_DISTRIBUTABLE_CASH_STANDARDIZED",Input!D$2,Date,,,Ccy,Conv)</f>
        <v>0</v>
      </c>
      <c r="C121" s="4">
        <f>_xll.ciqfunctions.udf.CIQ(InputTicker, "IQ_DISTRIBUTABLE_CASH_STANDARDIZED",Input!E$2,Date,,,Ccy,Conv)</f>
        <v>0</v>
      </c>
      <c r="D121" s="4">
        <f>_xll.ciqfunctions.udf.CIQ(InputTicker, "IQ_DISTRIBUTABLE_CASH_STANDARDIZED",Input!F$2,Date,,,Ccy,Conv)</f>
        <v>0</v>
      </c>
      <c r="E121" s="4">
        <f>_xll.ciqfunctions.udf.CIQ(InputTicker, "IQ_DISTRIBUTABLE_CASH_STANDARDIZED",Input!G$2,Date,,,Ccy,Conv)</f>
        <v>0</v>
      </c>
      <c r="F121" s="4">
        <f>_xll.ciqfunctions.udf.CIQ(InputTicker, "IQ_DISTRIBUTABLE_CASH_STANDARDIZED",Input!H$2,Date,,,Ccy,Conv)</f>
        <v>0</v>
      </c>
      <c r="G121" s="4">
        <f>_xll.ciqfunctions.udf.CIQ(InputTicker, "IQ_DISTRIBUTABLE_CASH_STANDARDIZED",Input!I$2,Date,,,Ccy,Conv)</f>
        <v>0</v>
      </c>
      <c r="H121" s="4">
        <f>_xll.ciqfunctions.udf.CIQ(InputTicker, "IQ_DISTRIBUTABLE_CASH_STANDARDIZED",Input!J$2,Date,,,Ccy,Conv)</f>
        <v>0</v>
      </c>
      <c r="I121" s="4">
        <f>_xll.ciqfunctions.udf.CIQ(InputTicker, "IQ_DISTRIBUTABLE_CASH_STANDARDIZED",Input!K$2,Date,,,Ccy,Conv)</f>
        <v>0</v>
      </c>
      <c r="J121" s="4">
        <f>_xll.ciqfunctions.udf.CIQ(InputTicker, "IQ_DISTRIBUTABLE_CASH_STANDARDIZED",Input!L$2,Date,,,Ccy,Conv)</f>
        <v>0</v>
      </c>
      <c r="K121" s="4">
        <f>_xll.ciqfunctions.udf.CIQ(InputTicker, "IQ_DISTRIBUTABLE_CASH_STANDARDIZED",Input!M$2,Date,,,Ccy,Conv)</f>
        <v>0</v>
      </c>
      <c r="L121" s="4">
        <f>_xll.ciqfunctions.udf.CIQ(InputTicker, "IQ_DISTRIBUTABLE_CASH_STANDARDIZED",Input!N$2,Date,,,Ccy,Conv)</f>
        <v>0</v>
      </c>
      <c r="M121" s="4">
        <f>_xll.ciqfunctions.udf.CIQ(InputTicker, "IQ_DISTRIBUTABLE_CASH_STANDARDIZED",Input!O$2,Date,,,Ccy,Conv)</f>
        <v>0</v>
      </c>
      <c r="N121" s="49"/>
      <c r="P121" s="46"/>
      <c r="Q121" s="46"/>
      <c r="R121" s="46"/>
      <c r="T121" s="42"/>
      <c r="U121" s="42"/>
      <c r="V121" s="46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</row>
    <row r="122" spans="1:66" ht="12.75" customHeight="1" x14ac:dyDescent="0.2">
      <c r="A122" s="1" t="s">
        <v>389</v>
      </c>
      <c r="B122" s="4">
        <f>_xll.ciqfunctions.udf.CIQ(InputTicker, "IQ_DISTRIBUTABLE_CASH_SHARES_BASIC",Input!D$2,Date)</f>
        <v>0</v>
      </c>
      <c r="C122" s="4">
        <f>_xll.ciqfunctions.udf.CIQ(InputTicker, "IQ_DISTRIBUTABLE_CASH_SHARES_BASIC",Input!E$2,Date)</f>
        <v>0</v>
      </c>
      <c r="D122" s="4">
        <f>_xll.ciqfunctions.udf.CIQ(InputTicker, "IQ_DISTRIBUTABLE_CASH_SHARES_BASIC",Input!F$2,Date)</f>
        <v>0</v>
      </c>
      <c r="E122" s="4">
        <f>_xll.ciqfunctions.udf.CIQ(InputTicker, "IQ_DISTRIBUTABLE_CASH_SHARES_BASIC",Input!G$2,Date)</f>
        <v>0</v>
      </c>
      <c r="F122" s="4">
        <f>_xll.ciqfunctions.udf.CIQ(InputTicker, "IQ_DISTRIBUTABLE_CASH_SHARES_BASIC",Input!H$2,Date)</f>
        <v>0</v>
      </c>
      <c r="G122" s="4">
        <f>_xll.ciqfunctions.udf.CIQ(InputTicker, "IQ_DISTRIBUTABLE_CASH_SHARES_BASIC",Input!I$2,Date)</f>
        <v>0</v>
      </c>
      <c r="H122" s="4">
        <f>_xll.ciqfunctions.udf.CIQ(InputTicker, "IQ_DISTRIBUTABLE_CASH_SHARES_BASIC",Input!J$2,Date)</f>
        <v>0</v>
      </c>
      <c r="I122" s="4">
        <f>_xll.ciqfunctions.udf.CIQ(InputTicker, "IQ_DISTRIBUTABLE_CASH_SHARES_BASIC",Input!K$2,Date)</f>
        <v>0</v>
      </c>
      <c r="J122" s="4">
        <f>_xll.ciqfunctions.udf.CIQ(InputTicker, "IQ_DISTRIBUTABLE_CASH_SHARES_BASIC",Input!L$2,Date)</f>
        <v>0</v>
      </c>
      <c r="K122" s="4">
        <f>_xll.ciqfunctions.udf.CIQ(InputTicker, "IQ_DISTRIBUTABLE_CASH_SHARES_BASIC",Input!M$2,Date)</f>
        <v>0</v>
      </c>
      <c r="L122" s="4">
        <f>_xll.ciqfunctions.udf.CIQ(InputTicker, "IQ_DISTRIBUTABLE_CASH_SHARES_BASIC",Input!N$2,Date)</f>
        <v>0</v>
      </c>
      <c r="M122" s="4">
        <f>_xll.ciqfunctions.udf.CIQ(InputTicker, "IQ_DISTRIBUTABLE_CASH_SHARES_BASIC",Input!O$2,Date)</f>
        <v>0</v>
      </c>
      <c r="N122" s="49"/>
      <c r="P122" s="46"/>
      <c r="Q122" s="46"/>
      <c r="R122" s="46"/>
      <c r="T122" s="42"/>
      <c r="U122" s="42"/>
      <c r="V122" s="46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</row>
    <row r="123" spans="1:66" ht="12.75" customHeight="1" x14ac:dyDescent="0.2">
      <c r="A123" s="1" t="s">
        <v>390</v>
      </c>
      <c r="B123" s="4">
        <f>_xll.ciqfunctions.udf.CIQ(InputTicker, "IQ_DISTRIBUTABLE_CASH_SHARES_DILUTED",Input!D$2,Date)</f>
        <v>0</v>
      </c>
      <c r="C123" s="4">
        <f>_xll.ciqfunctions.udf.CIQ(InputTicker, "IQ_DISTRIBUTABLE_CASH_SHARES_DILUTED",Input!E$2,Date)</f>
        <v>0</v>
      </c>
      <c r="D123" s="4">
        <f>_xll.ciqfunctions.udf.CIQ(InputTicker, "IQ_DISTRIBUTABLE_CASH_SHARES_DILUTED",Input!F$2,Date)</f>
        <v>0</v>
      </c>
      <c r="E123" s="4">
        <f>_xll.ciqfunctions.udf.CIQ(InputTicker, "IQ_DISTRIBUTABLE_CASH_SHARES_DILUTED",Input!G$2,Date)</f>
        <v>0</v>
      </c>
      <c r="F123" s="4">
        <f>_xll.ciqfunctions.udf.CIQ(InputTicker, "IQ_DISTRIBUTABLE_CASH_SHARES_DILUTED",Input!H$2,Date)</f>
        <v>0</v>
      </c>
      <c r="G123" s="4">
        <f>_xll.ciqfunctions.udf.CIQ(InputTicker, "IQ_DISTRIBUTABLE_CASH_SHARES_DILUTED",Input!I$2,Date)</f>
        <v>0</v>
      </c>
      <c r="H123" s="4">
        <f>_xll.ciqfunctions.udf.CIQ(InputTicker, "IQ_DISTRIBUTABLE_CASH_SHARES_DILUTED",Input!J$2,Date)</f>
        <v>0</v>
      </c>
      <c r="I123" s="4">
        <f>_xll.ciqfunctions.udf.CIQ(InputTicker, "IQ_DISTRIBUTABLE_CASH_SHARES_DILUTED",Input!K$2,Date)</f>
        <v>0</v>
      </c>
      <c r="J123" s="4">
        <f>_xll.ciqfunctions.udf.CIQ(InputTicker, "IQ_DISTRIBUTABLE_CASH_SHARES_DILUTED",Input!L$2,Date)</f>
        <v>0</v>
      </c>
      <c r="K123" s="4">
        <f>_xll.ciqfunctions.udf.CIQ(InputTicker, "IQ_DISTRIBUTABLE_CASH_SHARES_DILUTED",Input!M$2,Date)</f>
        <v>0</v>
      </c>
      <c r="L123" s="4">
        <f>_xll.ciqfunctions.udf.CIQ(InputTicker, "IQ_DISTRIBUTABLE_CASH_SHARES_DILUTED",Input!N$2,Date)</f>
        <v>0</v>
      </c>
      <c r="M123" s="4">
        <f>_xll.ciqfunctions.udf.CIQ(InputTicker, "IQ_DISTRIBUTABLE_CASH_SHARES_DILUTED",Input!O$2,Date)</f>
        <v>0</v>
      </c>
      <c r="N123" s="49"/>
      <c r="P123" s="46"/>
      <c r="Q123" s="46"/>
      <c r="R123" s="46"/>
      <c r="T123" s="42"/>
      <c r="U123" s="42"/>
      <c r="V123" s="46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</row>
    <row r="124" spans="1:66" ht="12.75" customHeight="1" x14ac:dyDescent="0.2">
      <c r="A124" s="1" t="s">
        <v>344</v>
      </c>
      <c r="B124" s="4">
        <f>_xll.ciqfunctions.udf.CIQ(InputTicker, "IQ_ANNU_DISTRIBUTION_UNIT",Input!D$2,Date,,,Ccy,Conv)</f>
        <v>0</v>
      </c>
      <c r="C124" s="4">
        <f>_xll.ciqfunctions.udf.CIQ(InputTicker, "IQ_ANNU_DISTRIBUTION_UNIT",Input!E$2,Date,,,Ccy,Conv)</f>
        <v>0</v>
      </c>
      <c r="D124" s="4">
        <f>_xll.ciqfunctions.udf.CIQ(InputTicker, "IQ_ANNU_DISTRIBUTION_UNIT",Input!F$2,Date,,,Ccy,Conv)</f>
        <v>0</v>
      </c>
      <c r="E124" s="4">
        <f>_xll.ciqfunctions.udf.CIQ(InputTicker, "IQ_ANNU_DISTRIBUTION_UNIT",Input!G$2,Date,,,Ccy,Conv)</f>
        <v>0</v>
      </c>
      <c r="F124" s="4">
        <f>_xll.ciqfunctions.udf.CIQ(InputTicker, "IQ_ANNU_DISTRIBUTION_UNIT",Input!H$2,Date,,,Ccy,Conv)</f>
        <v>0</v>
      </c>
      <c r="G124" s="4">
        <f>_xll.ciqfunctions.udf.CIQ(InputTicker, "IQ_ANNU_DISTRIBUTION_UNIT",Input!I$2,Date,,,Ccy,Conv)</f>
        <v>0</v>
      </c>
      <c r="H124" s="4">
        <f>_xll.ciqfunctions.udf.CIQ(InputTicker, "IQ_ANNU_DISTRIBUTION_UNIT",Input!J$2,Date,,,Ccy,Conv)</f>
        <v>0</v>
      </c>
      <c r="I124" s="4">
        <f>_xll.ciqfunctions.udf.CIQ(InputTicker, "IQ_ANNU_DISTRIBUTION_UNIT",Input!K$2,Date,,,Ccy,Conv)</f>
        <v>0</v>
      </c>
      <c r="J124" s="4">
        <f>_xll.ciqfunctions.udf.CIQ(InputTicker, "IQ_ANNU_DISTRIBUTION_UNIT",Input!L$2,Date,,,Ccy,Conv)</f>
        <v>0</v>
      </c>
      <c r="K124" s="4">
        <f>_xll.ciqfunctions.udf.CIQ(InputTicker, "IQ_ANNU_DISTRIBUTION_UNIT",Input!M$2,Date,,,Ccy,Conv)</f>
        <v>0</v>
      </c>
      <c r="L124" s="4">
        <f>_xll.ciqfunctions.udf.CIQ(InputTicker, "IQ_ANNU_DISTRIBUTION_UNIT",Input!N$2,Date,,,Ccy,Conv)</f>
        <v>0</v>
      </c>
      <c r="M124" s="4">
        <f>_xll.ciqfunctions.udf.CIQ(InputTicker, "IQ_ANNU_DISTRIBUTION_UNIT",Input!O$2,Date,,,Ccy,Conv)</f>
        <v>0</v>
      </c>
      <c r="N124" s="49"/>
      <c r="P124" s="46"/>
      <c r="Q124" s="46"/>
      <c r="R124" s="46"/>
      <c r="T124" s="42"/>
      <c r="U124" s="42"/>
      <c r="V124" s="46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</row>
    <row r="125" spans="1:66" ht="12.75" customHeight="1" x14ac:dyDescent="0.2">
      <c r="A125" s="1" t="s">
        <v>365</v>
      </c>
      <c r="B125" s="4">
        <f>_xll.ciqfunctions.udf.CIQ(InputTicker, "IQ_DISTRIBUTABLE_CASH_PAYOUT",Input!D$2,Date)</f>
        <v>0</v>
      </c>
      <c r="C125" s="4">
        <f>_xll.ciqfunctions.udf.CIQ(InputTicker, "IQ_DISTRIBUTABLE_CASH_PAYOUT",Input!E$2,Date)</f>
        <v>0</v>
      </c>
      <c r="D125" s="4">
        <f>_xll.ciqfunctions.udf.CIQ(InputTicker, "IQ_DISTRIBUTABLE_CASH_PAYOUT",Input!F$2,Date)</f>
        <v>0</v>
      </c>
      <c r="E125" s="4">
        <f>_xll.ciqfunctions.udf.CIQ(InputTicker, "IQ_DISTRIBUTABLE_CASH_PAYOUT",Input!G$2,Date)</f>
        <v>0</v>
      </c>
      <c r="F125" s="4">
        <f>_xll.ciqfunctions.udf.CIQ(InputTicker, "IQ_DISTRIBUTABLE_CASH_PAYOUT",Input!H$2,Date)</f>
        <v>0</v>
      </c>
      <c r="G125" s="4">
        <f>_xll.ciqfunctions.udf.CIQ(InputTicker, "IQ_DISTRIBUTABLE_CASH_PAYOUT",Input!I$2,Date)</f>
        <v>0</v>
      </c>
      <c r="H125" s="4">
        <f>_xll.ciqfunctions.udf.CIQ(InputTicker, "IQ_DISTRIBUTABLE_CASH_PAYOUT",Input!J$2,Date)</f>
        <v>0</v>
      </c>
      <c r="I125" s="4">
        <f>_xll.ciqfunctions.udf.CIQ(InputTicker, "IQ_DISTRIBUTABLE_CASH_PAYOUT",Input!K$2,Date)</f>
        <v>0</v>
      </c>
      <c r="J125" s="4">
        <f>_xll.ciqfunctions.udf.CIQ(InputTicker, "IQ_DISTRIBUTABLE_CASH_PAYOUT",Input!L$2,Date)</f>
        <v>0</v>
      </c>
      <c r="K125" s="4">
        <f>_xll.ciqfunctions.udf.CIQ(InputTicker, "IQ_DISTRIBUTABLE_CASH_PAYOUT",Input!M$2,Date)</f>
        <v>0</v>
      </c>
      <c r="L125" s="4">
        <f>_xll.ciqfunctions.udf.CIQ(InputTicker, "IQ_DISTRIBUTABLE_CASH_PAYOUT",Input!N$2,Date)</f>
        <v>0</v>
      </c>
      <c r="M125" s="4">
        <f>_xll.ciqfunctions.udf.CIQ(InputTicker, "IQ_DISTRIBUTABLE_CASH_PAYOUT",Input!O$2,Date)</f>
        <v>0</v>
      </c>
      <c r="N125" s="49"/>
      <c r="P125" s="46"/>
      <c r="Q125" s="46"/>
      <c r="R125" s="46"/>
      <c r="T125" s="42"/>
      <c r="U125" s="42"/>
      <c r="V125" s="46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</row>
    <row r="126" spans="1:66" ht="12.75" customHeight="1" x14ac:dyDescent="0.2">
      <c r="A126" s="1" t="s">
        <v>329</v>
      </c>
      <c r="B126" s="4">
        <f>_xll.ciqfunctions.udf.CIQ(InputTicker, "IQ_COMMON_DIV",Input!D$2,Date,,,Ccy,Conv)</f>
        <v>53.783999999999999</v>
      </c>
      <c r="C126" s="4">
        <f>_xll.ciqfunctions.udf.CIQ(InputTicker, "IQ_COMMON_DIV",Input!E$2,Date,,,Ccy,Conv)</f>
        <v>0</v>
      </c>
      <c r="D126" s="4">
        <f>_xll.ciqfunctions.udf.CIQ(InputTicker, "IQ_COMMON_DIV",Input!F$2,Date,,,Ccy,Conv)</f>
        <v>0</v>
      </c>
      <c r="E126" s="4">
        <f>_xll.ciqfunctions.udf.CIQ(InputTicker, "IQ_COMMON_DIV",Input!G$2,Date,,,Ccy,Conv)</f>
        <v>17.093</v>
      </c>
      <c r="F126" s="4">
        <f>_xll.ciqfunctions.udf.CIQ(InputTicker, "IQ_COMMON_DIV",Input!H$2,Date,,,Ccy,Conv)</f>
        <v>0</v>
      </c>
      <c r="G126" s="4">
        <f>_xll.ciqfunctions.udf.CIQ(InputTicker, "IQ_COMMON_DIV",Input!I$2,Date,,,Ccy,Conv)</f>
        <v>0</v>
      </c>
      <c r="H126" s="4">
        <f>_xll.ciqfunctions.udf.CIQ(InputTicker, "IQ_COMMON_DIV",Input!J$2,Date,,,Ccy,Conv)</f>
        <v>1.6519999999999999</v>
      </c>
      <c r="I126" s="4">
        <f>_xll.ciqfunctions.udf.CIQ(InputTicker, "IQ_COMMON_DIV",Input!K$2,Date,,,Ccy,Conv)</f>
        <v>42.773000000000003</v>
      </c>
      <c r="J126" s="4">
        <f>_xll.ciqfunctions.udf.CIQ(InputTicker, "IQ_COMMON_DIV",Input!L$2,Date,,,Ccy,Conv)</f>
        <v>252.76599999999999</v>
      </c>
      <c r="K126" s="4">
        <f>_xll.ciqfunctions.udf.CIQ(InputTicker, "IQ_COMMON_DIV",Input!M$2,Date,,,Ccy,Conv)</f>
        <v>92.605000000000004</v>
      </c>
      <c r="L126" s="4">
        <f>_xll.ciqfunctions.udf.CIQ(InputTicker, "IQ_COMMON_DIV",Input!N$2,Date,,,Ccy,Conv)</f>
        <v>406.68900000000002</v>
      </c>
      <c r="M126" s="4">
        <f>_xll.ciqfunctions.udf.CIQ(InputTicker, "IQ_COMMON_DIV",Input!O$2,Date,,,Ccy,Conv)</f>
        <v>384.34500000000003</v>
      </c>
      <c r="N126" s="49"/>
      <c r="P126" s="46"/>
      <c r="Q126" s="46"/>
      <c r="R126" s="46"/>
      <c r="T126" s="42"/>
      <c r="U126" s="42"/>
      <c r="V126" s="46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</row>
    <row r="127" spans="1:66" ht="12.75" customHeight="1" x14ac:dyDescent="0.2">
      <c r="A127" s="1" t="s">
        <v>282</v>
      </c>
      <c r="B127" s="4">
        <f>_xll.ciqfunctions.udf.CIQ(InputTicker, "IQ_EFFECT_TAX_RATE",Input!D$2,Date)</f>
        <v>34.179000000000002</v>
      </c>
      <c r="C127" s="4">
        <f>_xll.ciqfunctions.udf.CIQ(InputTicker, "IQ_EFFECT_TAX_RATE",Input!E$2,Date)</f>
        <v>34.725900000000003</v>
      </c>
      <c r="D127" s="4" t="str">
        <f>_xll.ciqfunctions.udf.CIQ(InputTicker, "IQ_EFFECT_TAX_RATE",Input!F$2,Date)</f>
        <v>NM</v>
      </c>
      <c r="E127" s="4" t="str">
        <f>_xll.ciqfunctions.udf.CIQ(InputTicker, "IQ_EFFECT_TAX_RATE",Input!G$2,Date)</f>
        <v>NM</v>
      </c>
      <c r="F127" s="4">
        <f>_xll.ciqfunctions.udf.CIQ(InputTicker, "IQ_EFFECT_TAX_RATE",Input!H$2,Date)</f>
        <v>22.234300000000001</v>
      </c>
      <c r="G127" s="4">
        <f>_xll.ciqfunctions.udf.CIQ(InputTicker, "IQ_EFFECT_TAX_RATE",Input!I$2,Date)</f>
        <v>8.6295000000000002</v>
      </c>
      <c r="H127" s="4" t="str">
        <f>_xll.ciqfunctions.udf.CIQ(InputTicker, "IQ_EFFECT_TAX_RATE",Input!J$2,Date)</f>
        <v>NM</v>
      </c>
      <c r="I127" s="4">
        <f>_xll.ciqfunctions.udf.CIQ(InputTicker, "IQ_EFFECT_TAX_RATE",Input!K$2,Date)</f>
        <v>20.223400000000002</v>
      </c>
      <c r="J127" s="4">
        <f>_xll.ciqfunctions.udf.CIQ(InputTicker, "IQ_EFFECT_TAX_RATE",Input!L$2,Date)</f>
        <v>24.216899999999999</v>
      </c>
      <c r="K127" s="4">
        <f>_xll.ciqfunctions.udf.CIQ(InputTicker, "IQ_EFFECT_TAX_RATE",Input!M$2,Date)</f>
        <v>23.248799999999999</v>
      </c>
      <c r="L127" s="4">
        <f>_xll.ciqfunctions.udf.CIQ(InputTicker, "IQ_EFFECT_TAX_RATE",Input!N$2,Date)</f>
        <v>24.009699999999999</v>
      </c>
      <c r="M127" s="4">
        <f>_xll.ciqfunctions.udf.CIQ(InputTicker, "IQ_EFFECT_TAX_RATE",Input!O$2,Date)</f>
        <v>23.9681</v>
      </c>
      <c r="N127" s="49"/>
      <c r="P127" s="46"/>
      <c r="Q127" s="46"/>
      <c r="R127" s="46"/>
      <c r="T127" s="42"/>
      <c r="U127" s="42"/>
      <c r="V127" s="46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</row>
    <row r="128" spans="1:66" ht="12.75" customHeight="1" x14ac:dyDescent="0.2">
      <c r="A128" s="1" t="s">
        <v>283</v>
      </c>
      <c r="B128" s="4">
        <f>_xll.ciqfunctions.udf.CIQ(InputTicker, "IQ_PAYOUT_RATIO",Input!D$2,Date)</f>
        <v>30.331</v>
      </c>
      <c r="C128" s="4">
        <f>_xll.ciqfunctions.udf.CIQ(InputTicker, "IQ_PAYOUT_RATIO",Input!E$2,Date)</f>
        <v>38.267800000000001</v>
      </c>
      <c r="D128" s="4">
        <f>_xll.ciqfunctions.udf.CIQ(InputTicker, "IQ_PAYOUT_RATIO",Input!F$2,Date)</f>
        <v>0</v>
      </c>
      <c r="E128" s="4">
        <f>_xll.ciqfunctions.udf.CIQ(InputTicker, "IQ_PAYOUT_RATIO",Input!G$2,Date)</f>
        <v>0</v>
      </c>
      <c r="F128" s="4">
        <f>_xll.ciqfunctions.udf.CIQ(InputTicker, "IQ_PAYOUT_RATIO",Input!H$2,Date)</f>
        <v>76.92</v>
      </c>
      <c r="G128" s="4">
        <f>_xll.ciqfunctions.udf.CIQ(InputTicker, "IQ_PAYOUT_RATIO",Input!I$2,Date)</f>
        <v>0</v>
      </c>
      <c r="H128" s="4">
        <f>_xll.ciqfunctions.udf.CIQ(InputTicker, "IQ_PAYOUT_RATIO",Input!J$2,Date)</f>
        <v>80.194100000000006</v>
      </c>
      <c r="I128" s="4">
        <f>_xll.ciqfunctions.udf.CIQ(InputTicker, "IQ_PAYOUT_RATIO",Input!K$2,Date)</f>
        <v>4.6113</v>
      </c>
      <c r="J128" s="4">
        <f>_xll.ciqfunctions.udf.CIQ(InputTicker, "IQ_PAYOUT_RATIO",Input!L$2,Date)</f>
        <v>33.282800000000002</v>
      </c>
      <c r="K128" s="4">
        <f>_xll.ciqfunctions.udf.CIQ(InputTicker, "IQ_PAYOUT_RATIO",Input!M$2,Date)</f>
        <v>33.055</v>
      </c>
      <c r="L128" s="4">
        <f>_xll.ciqfunctions.udf.CIQ(InputTicker, "IQ_PAYOUT_RATIO",Input!N$2,Date)</f>
        <v>27.0718</v>
      </c>
      <c r="M128" s="4">
        <f>_xll.ciqfunctions.udf.CIQ(InputTicker, "IQ_PAYOUT_RATIO",Input!O$2,Date)</f>
        <v>36.688299999999998</v>
      </c>
      <c r="N128" s="49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</row>
    <row r="129" spans="1:66" ht="12.75" customHeight="1" x14ac:dyDescent="0.2">
      <c r="A129" s="1" t="s">
        <v>407</v>
      </c>
      <c r="B129" s="4">
        <f>_xll.ciqfunctions.udf.CIQ(InputTicker, "IQ_DIC",Input!D$2,Date,,,Ccy,Conv)</f>
        <v>0</v>
      </c>
      <c r="C129" s="4">
        <f>_xll.ciqfunctions.udf.CIQ(InputTicker, "IQ_DIC",Input!E$2,Date,,,Ccy,Conv)</f>
        <v>0</v>
      </c>
      <c r="D129" s="4">
        <f>_xll.ciqfunctions.udf.CIQ(InputTicker, "IQ_DIC",Input!F$2,Date,,,Ccy,Conv)</f>
        <v>0</v>
      </c>
      <c r="E129" s="4">
        <f>_xll.ciqfunctions.udf.CIQ(InputTicker, "IQ_DIC",Input!G$2,Date,,,Ccy,Conv)</f>
        <v>0</v>
      </c>
      <c r="F129" s="4">
        <f>_xll.ciqfunctions.udf.CIQ(InputTicker, "IQ_DIC",Input!H$2,Date,,,Ccy,Conv)</f>
        <v>0</v>
      </c>
      <c r="G129" s="4">
        <f>_xll.ciqfunctions.udf.CIQ(InputTicker, "IQ_DIC",Input!I$2,Date,,,Ccy,Conv)</f>
        <v>0</v>
      </c>
      <c r="H129" s="4">
        <f>_xll.ciqfunctions.udf.CIQ(InputTicker, "IQ_DIC",Input!J$2,Date,,,Ccy,Conv)</f>
        <v>0</v>
      </c>
      <c r="I129" s="4">
        <f>_xll.ciqfunctions.udf.CIQ(InputTicker, "IQ_DIC",Input!K$2,Date,,,Ccy,Conv)</f>
        <v>0</v>
      </c>
      <c r="J129" s="4">
        <f>_xll.ciqfunctions.udf.CIQ(InputTicker, "IQ_DIC",Input!L$2,Date,,,Ccy,Conv)</f>
        <v>0</v>
      </c>
      <c r="K129" s="4">
        <f>_xll.ciqfunctions.udf.CIQ(InputTicker, "IQ_DIC",Input!M$2,Date,,,Ccy,Conv)</f>
        <v>0</v>
      </c>
      <c r="L129" s="4">
        <f>_xll.ciqfunctions.udf.CIQ(InputTicker, "IQ_DIC",Input!N$2,Date,,,Ccy,Conv)</f>
        <v>0</v>
      </c>
      <c r="M129" s="4">
        <f>_xll.ciqfunctions.udf.CIQ(InputTicker, "IQ_DIC",Input!O$2,Date,,,Ccy,Conv)</f>
        <v>0</v>
      </c>
      <c r="N129" s="49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</row>
    <row r="130" spans="1:66" ht="12.75" customHeight="1" x14ac:dyDescent="0.2">
      <c r="A130" s="1" t="s">
        <v>347</v>
      </c>
      <c r="B130" s="15" t="str">
        <f>_xll.ciqfunctions.udf.CIQ(InputTicker, "IQ_FILING_CURRENCY",Input!D$2,Date)</f>
        <v>USD</v>
      </c>
      <c r="C130" s="15" t="str">
        <f>_xll.ciqfunctions.udf.CIQ(InputTicker, "IQ_FILING_CURRENCY",Input!E$2,Date)</f>
        <v>USD</v>
      </c>
      <c r="D130" s="15" t="str">
        <f>_xll.ciqfunctions.udf.CIQ(InputTicker, "IQ_FILING_CURRENCY",Input!F$2,Date)</f>
        <v>USD</v>
      </c>
      <c r="E130" s="15" t="str">
        <f>_xll.ciqfunctions.udf.CIQ(InputTicker, "IQ_FILING_CURRENCY",Input!G$2,Date)</f>
        <v>USD</v>
      </c>
      <c r="F130" s="15" t="str">
        <f>_xll.ciqfunctions.udf.CIQ(InputTicker, "IQ_FILING_CURRENCY",Input!H$2,Date)</f>
        <v>USD</v>
      </c>
      <c r="G130" s="15" t="str">
        <f>_xll.ciqfunctions.udf.CIQ(InputTicker, "IQ_FILING_CURRENCY",Input!I$2,Date)</f>
        <v>USD</v>
      </c>
      <c r="H130" s="15" t="str">
        <f>_xll.ciqfunctions.udf.CIQ(InputTicker, "IQ_FILING_CURRENCY",Input!J$2,Date)</f>
        <v>USD</v>
      </c>
      <c r="I130" s="15" t="str">
        <f>_xll.ciqfunctions.udf.CIQ(InputTicker, "IQ_FILING_CURRENCY",Input!K$2,Date)</f>
        <v>USD</v>
      </c>
      <c r="J130" s="15" t="str">
        <f>_xll.ciqfunctions.udf.CIQ(InputTicker, "IQ_FILING_CURRENCY",Input!L$2,Date)</f>
        <v>USD</v>
      </c>
      <c r="K130" s="15" t="str">
        <f>_xll.ciqfunctions.udf.CIQ(InputTicker, "IQ_FILING_CURRENCY",Input!M$2,Date)</f>
        <v>USD</v>
      </c>
      <c r="L130" s="15" t="str">
        <f>_xll.ciqfunctions.udf.CIQ(InputTicker, "IQ_FILING_CURRENCY",Input!N$2,Date)</f>
        <v>USD</v>
      </c>
      <c r="M130" s="15" t="str">
        <f>_xll.ciqfunctions.udf.CIQ(InputTicker, "IQ_FILING_CURRENCY",Input!O$2,Date)</f>
        <v>USD</v>
      </c>
      <c r="N130" s="49"/>
      <c r="P130" s="51"/>
      <c r="Q130" s="51"/>
      <c r="R130" s="51"/>
      <c r="T130" s="42"/>
      <c r="U130" s="42"/>
      <c r="V130" s="51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</row>
    <row r="131" spans="1:66" ht="12.75" customHeight="1" x14ac:dyDescent="0.2">
      <c r="A131" s="1" t="s">
        <v>345</v>
      </c>
      <c r="B131" s="15" t="str">
        <f>_xll.ciqfunctions.udf.CIQ(InputTicker, "IQ_RESTATEMENT_IS",Input!D$2,Date)</f>
        <v>RC</v>
      </c>
      <c r="C131" s="15" t="str">
        <f>_xll.ciqfunctions.udf.CIQ(InputTicker, "IQ_RESTATEMENT_IS",Input!E$2,Date)</f>
        <v>NC</v>
      </c>
      <c r="D131" s="15" t="str">
        <f>_xll.ciqfunctions.udf.CIQ(InputTicker, "IQ_RESTATEMENT_IS",Input!F$2,Date)</f>
        <v>RC</v>
      </c>
      <c r="E131" s="15" t="str">
        <f>_xll.ciqfunctions.udf.CIQ(InputTicker, "IQ_RESTATEMENT_IS",Input!G$2,Date)</f>
        <v>RC</v>
      </c>
      <c r="F131" s="15" t="str">
        <f>_xll.ciqfunctions.udf.CIQ(InputTicker, "IQ_RESTATEMENT_IS",Input!H$2,Date)</f>
        <v>RC</v>
      </c>
      <c r="G131" s="15" t="str">
        <f>_xll.ciqfunctions.udf.CIQ(InputTicker, "IQ_RESTATEMENT_IS",Input!I$2,Date)</f>
        <v>RC</v>
      </c>
      <c r="H131" s="15" t="str">
        <f>_xll.ciqfunctions.udf.CIQ(InputTicker, "IQ_RESTATEMENT_IS",Input!J$2,Date)</f>
        <v>RC</v>
      </c>
      <c r="I131" s="15" t="str">
        <f>_xll.ciqfunctions.udf.CIQ(InputTicker, "IQ_RESTATEMENT_IS",Input!K$2,Date)</f>
        <v>NC</v>
      </c>
      <c r="J131" s="15" t="str">
        <f>_xll.ciqfunctions.udf.CIQ(InputTicker, "IQ_RESTATEMENT_IS",Input!L$2,Date)</f>
        <v>NC</v>
      </c>
      <c r="K131" s="15" t="str">
        <f>_xll.ciqfunctions.udf.CIQ(InputTicker, "IQ_RESTATEMENT_IS",Input!M$2,Date)</f>
        <v>NC</v>
      </c>
      <c r="L131" s="15" t="str">
        <f>_xll.ciqfunctions.udf.CIQ(InputTicker, "IQ_RESTATEMENT_IS",Input!N$2,Date)</f>
        <v>O</v>
      </c>
      <c r="M131" s="15" t="str">
        <f>_xll.ciqfunctions.udf.CIQ(InputTicker, "IQ_RESTATEMENT_IS",Input!O$2,Date)</f>
        <v>O</v>
      </c>
      <c r="N131" s="49"/>
      <c r="P131" s="51"/>
      <c r="Q131" s="51"/>
      <c r="R131" s="51"/>
      <c r="T131" s="42"/>
      <c r="U131" s="42"/>
      <c r="V131" s="51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</row>
    <row r="132" spans="1:66" ht="12.75" customHeight="1" x14ac:dyDescent="0.2">
      <c r="A132" s="1" t="s">
        <v>346</v>
      </c>
      <c r="B132" s="15" t="str">
        <f>_xll.ciqfunctions.udf.CIQ(InputTicker, "IQ_CALC_TYPE_IS",Input!D$2,Date)</f>
        <v>REP</v>
      </c>
      <c r="C132" s="15" t="str">
        <f>_xll.ciqfunctions.udf.CIQ(InputTicker, "IQ_CALC_TYPE_IS",Input!E$2,Date)</f>
        <v>REP</v>
      </c>
      <c r="D132" s="15" t="str">
        <f>_xll.ciqfunctions.udf.CIQ(InputTicker, "IQ_CALC_TYPE_IS",Input!F$2,Date)</f>
        <v>REP</v>
      </c>
      <c r="E132" s="15" t="str">
        <f>_xll.ciqfunctions.udf.CIQ(InputTicker, "IQ_CALC_TYPE_IS",Input!G$2,Date)</f>
        <v>REP</v>
      </c>
      <c r="F132" s="15" t="str">
        <f>_xll.ciqfunctions.udf.CIQ(InputTicker, "IQ_CALC_TYPE_IS",Input!H$2,Date)</f>
        <v>REP</v>
      </c>
      <c r="G132" s="15" t="str">
        <f>_xll.ciqfunctions.udf.CIQ(InputTicker, "IQ_CALC_TYPE_IS",Input!I$2,Date)</f>
        <v>REP</v>
      </c>
      <c r="H132" s="15" t="str">
        <f>_xll.ciqfunctions.udf.CIQ(InputTicker, "IQ_CALC_TYPE_IS",Input!J$2,Date)</f>
        <v>REP</v>
      </c>
      <c r="I132" s="15" t="str">
        <f>_xll.ciqfunctions.udf.CIQ(InputTicker, "IQ_CALC_TYPE_IS",Input!K$2,Date)</f>
        <v>REP</v>
      </c>
      <c r="J132" s="15" t="str">
        <f>_xll.ciqfunctions.udf.CIQ(InputTicker, "IQ_CALC_TYPE_IS",Input!L$2,Date)</f>
        <v>REP</v>
      </c>
      <c r="K132" s="15" t="str">
        <f>_xll.ciqfunctions.udf.CIQ(InputTicker, "IQ_CALC_TYPE_IS",Input!M$2,Date)</f>
        <v>REP</v>
      </c>
      <c r="L132" s="15" t="str">
        <f>_xll.ciqfunctions.udf.CIQ(InputTicker, "IQ_CALC_TYPE_IS",Input!N$2,Date)</f>
        <v>REP</v>
      </c>
      <c r="M132" s="15" t="str">
        <f>_xll.ciqfunctions.udf.CIQ(InputTicker, "IQ_CALC_TYPE_IS",Input!O$2,Date)</f>
        <v>LTM</v>
      </c>
      <c r="N132" s="49"/>
      <c r="P132" s="51"/>
      <c r="Q132" s="51"/>
      <c r="R132" s="51"/>
      <c r="T132" s="42"/>
      <c r="U132" s="42"/>
      <c r="V132" s="51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</row>
    <row r="133" spans="1:66" ht="12.75" customHeight="1" x14ac:dyDescent="0.2">
      <c r="A133" s="1" t="s">
        <v>376</v>
      </c>
      <c r="B133" s="15" t="str">
        <f>_xll.ciqfunctions.udf.CIQ(InputTicker, "IQ_GAAP_IS",Input!D$2,Date)</f>
        <v>US GAAP</v>
      </c>
      <c r="C133" s="15" t="str">
        <f>_xll.ciqfunctions.udf.CIQ(InputTicker, "IQ_GAAP_IS",Input!E$2,Date)</f>
        <v>US GAAP</v>
      </c>
      <c r="D133" s="15" t="str">
        <f>_xll.ciqfunctions.udf.CIQ(InputTicker, "IQ_GAAP_IS",Input!F$2,Date)</f>
        <v>US GAAP</v>
      </c>
      <c r="E133" s="15" t="str">
        <f>_xll.ciqfunctions.udf.CIQ(InputTicker, "IQ_GAAP_IS",Input!G$2,Date)</f>
        <v>US GAAP</v>
      </c>
      <c r="F133" s="15" t="str">
        <f>_xll.ciqfunctions.udf.CIQ(InputTicker, "IQ_GAAP_IS",Input!H$2,Date)</f>
        <v>US GAAP</v>
      </c>
      <c r="G133" s="15" t="str">
        <f>_xll.ciqfunctions.udf.CIQ(InputTicker, "IQ_GAAP_IS",Input!I$2,Date)</f>
        <v>US GAAP</v>
      </c>
      <c r="H133" s="15" t="str">
        <f>_xll.ciqfunctions.udf.CIQ(InputTicker, "IQ_GAAP_IS",Input!J$2,Date)</f>
        <v>US GAAP</v>
      </c>
      <c r="I133" s="15" t="str">
        <f>_xll.ciqfunctions.udf.CIQ(InputTicker, "IQ_GAAP_IS",Input!K$2,Date)</f>
        <v>US GAAP</v>
      </c>
      <c r="J133" s="15" t="str">
        <f>_xll.ciqfunctions.udf.CIQ(InputTicker, "IQ_GAAP_IS",Input!L$2,Date)</f>
        <v>US GAAP</v>
      </c>
      <c r="K133" s="15" t="str">
        <f>_xll.ciqfunctions.udf.CIQ(InputTicker, "IQ_GAAP_IS",Input!M$2,Date)</f>
        <v>US GAAP</v>
      </c>
      <c r="L133" s="15" t="str">
        <f>_xll.ciqfunctions.udf.CIQ(InputTicker, "IQ_GAAP_IS",Input!N$2,Date)</f>
        <v>US GAAP</v>
      </c>
      <c r="M133" s="15">
        <f>_xll.ciqfunctions.udf.CIQ(InputTicker, "IQ_GAAP_IS",Input!O$2,Date)</f>
        <v>0</v>
      </c>
      <c r="N133" s="42"/>
      <c r="P133" s="51"/>
      <c r="Q133" s="51"/>
      <c r="R133" s="51"/>
      <c r="T133" s="42"/>
      <c r="U133" s="42"/>
      <c r="V133" s="51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</row>
    <row r="134" spans="1:66" ht="12.75" customHeight="1" x14ac:dyDescent="0.2">
      <c r="A134" s="1" t="s">
        <v>366</v>
      </c>
      <c r="B134" s="4">
        <f>_xll.ciqfunctions.udf.CIQ(InputTicker,"IQ_ADVERTISING",Input!D$2,Date,,,Ccy,Conv)</f>
        <v>9.3000000000000007</v>
      </c>
      <c r="C134" s="4">
        <f>_xll.ciqfunctions.udf.CIQ(InputTicker,"IQ_ADVERTISING",Input!E$2,Date,,,Ccy,Conv)</f>
        <v>10.3</v>
      </c>
      <c r="D134" s="4">
        <f>_xll.ciqfunctions.udf.CIQ(InputTicker,"IQ_ADVERTISING",Input!F$2,Date,,,Ccy,Conv)</f>
        <v>10.3</v>
      </c>
      <c r="E134" s="4">
        <f>_xll.ciqfunctions.udf.CIQ(InputTicker,"IQ_ADVERTISING",Input!G$2,Date,,,Ccy,Conv)</f>
        <v>6.3</v>
      </c>
      <c r="F134" s="4">
        <f>_xll.ciqfunctions.udf.CIQ(InputTicker,"IQ_ADVERTISING",Input!H$2,Date,,,Ccy,Conv)</f>
        <v>7.3</v>
      </c>
      <c r="G134" s="4">
        <f>_xll.ciqfunctions.udf.CIQ(InputTicker,"IQ_ADVERTISING",Input!I$2,Date,,,Ccy,Conv)</f>
        <v>9</v>
      </c>
      <c r="H134" s="4">
        <f>_xll.ciqfunctions.udf.CIQ(InputTicker,"IQ_ADVERTISING",Input!J$2,Date,,,Ccy,Conv)</f>
        <v>11.7</v>
      </c>
      <c r="I134" s="4">
        <f>_xll.ciqfunctions.udf.CIQ(InputTicker,"IQ_ADVERTISING",Input!K$2,Date,,,Ccy,Conv)</f>
        <v>0</v>
      </c>
      <c r="J134" s="4">
        <f>_xll.ciqfunctions.udf.CIQ(InputTicker,"IQ_ADVERTISING",Input!L$2,Date,,,Ccy,Conv)</f>
        <v>0</v>
      </c>
      <c r="K134" s="4">
        <f>_xll.ciqfunctions.udf.CIQ(InputTicker,"IQ_ADVERTISING",Input!M$2,Date,,,Ccy,Conv)</f>
        <v>0</v>
      </c>
      <c r="L134" s="4">
        <f>_xll.ciqfunctions.udf.CIQ(InputTicker,"IQ_ADVERTISING",Input!N$2,Date,,,Ccy,Conv)</f>
        <v>0</v>
      </c>
      <c r="M134" s="4">
        <f>_xll.ciqfunctions.udf.CIQ(InputTicker,"IQ_ADVERTISING",Input!O$2,Date,,,Ccy,Conv)</f>
        <v>0</v>
      </c>
      <c r="N134" s="49"/>
      <c r="P134" s="51"/>
      <c r="Q134" s="51"/>
      <c r="R134" s="51"/>
      <c r="T134" s="42"/>
      <c r="U134" s="42"/>
      <c r="V134" s="51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</row>
    <row r="135" spans="1:66" ht="12.75" customHeight="1" x14ac:dyDescent="0.2">
      <c r="A135" s="1" t="s">
        <v>330</v>
      </c>
      <c r="B135" s="4">
        <f>_xll.ciqfunctions.udf.CIQ(InputTicker,"IQ_MARKETING",Input!D$2,Date,,,Ccy,Conv)</f>
        <v>0</v>
      </c>
      <c r="C135" s="4">
        <f>_xll.ciqfunctions.udf.CIQ(InputTicker,"IQ_MARKETING",Input!E$2,Date,,,Ccy,Conv)</f>
        <v>0</v>
      </c>
      <c r="D135" s="4">
        <f>_xll.ciqfunctions.udf.CIQ(InputTicker,"IQ_MARKETING",Input!F$2,Date,,,Ccy,Conv)</f>
        <v>0</v>
      </c>
      <c r="E135" s="4">
        <f>_xll.ciqfunctions.udf.CIQ(InputTicker,"IQ_MARKETING",Input!G$2,Date,,,Ccy,Conv)</f>
        <v>0</v>
      </c>
      <c r="F135" s="4">
        <f>_xll.ciqfunctions.udf.CIQ(InputTicker,"IQ_MARKETING",Input!H$2,Date,,,Ccy,Conv)</f>
        <v>0</v>
      </c>
      <c r="G135" s="4">
        <f>_xll.ciqfunctions.udf.CIQ(InputTicker,"IQ_MARKETING",Input!I$2,Date,,,Ccy,Conv)</f>
        <v>0</v>
      </c>
      <c r="H135" s="4">
        <f>_xll.ciqfunctions.udf.CIQ(InputTicker,"IQ_MARKETING",Input!J$2,Date,,,Ccy,Conv)</f>
        <v>0</v>
      </c>
      <c r="I135" s="4">
        <f>_xll.ciqfunctions.udf.CIQ(InputTicker,"IQ_MARKETING",Input!K$2,Date,,,Ccy,Conv)</f>
        <v>0</v>
      </c>
      <c r="J135" s="4">
        <f>_xll.ciqfunctions.udf.CIQ(InputTicker,"IQ_MARKETING",Input!L$2,Date,,,Ccy,Conv)</f>
        <v>0</v>
      </c>
      <c r="K135" s="4">
        <f>_xll.ciqfunctions.udf.CIQ(InputTicker,"IQ_MARKETING",Input!M$2,Date,,,Ccy,Conv)</f>
        <v>52.284999999999997</v>
      </c>
      <c r="L135" s="4">
        <f>_xll.ciqfunctions.udf.CIQ(InputTicker,"IQ_MARKETING",Input!N$2,Date,,,Ccy,Conv)</f>
        <v>53.860999999999997</v>
      </c>
      <c r="M135" s="4">
        <f>_xll.ciqfunctions.udf.CIQ(InputTicker,"IQ_MARKETING",Input!O$2,Date,,,Ccy,Conv)</f>
        <v>0</v>
      </c>
      <c r="N135" s="49"/>
      <c r="P135" s="51"/>
      <c r="Q135" s="51"/>
      <c r="R135" s="51"/>
      <c r="T135" s="42"/>
      <c r="U135" s="42"/>
      <c r="V135" s="51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</row>
    <row r="136" spans="1:66" ht="12.75" customHeight="1" x14ac:dyDescent="0.2">
      <c r="A136" s="1" t="s">
        <v>331</v>
      </c>
      <c r="B136" s="4">
        <f>_xll.ciqfunctions.udf.CIQ(InputTicker,"IQ_SALES_MARKETING",Input!D$2,Date,,,Ccy,Conv)</f>
        <v>46.999000000000002</v>
      </c>
      <c r="C136" s="4">
        <f>_xll.ciqfunctions.udf.CIQ(InputTicker,"IQ_SALES_MARKETING",Input!E$2,Date,,,Ccy,Conv)</f>
        <v>49.628999999999998</v>
      </c>
      <c r="D136" s="4">
        <f>_xll.ciqfunctions.udf.CIQ(InputTicker,"IQ_SALES_MARKETING",Input!F$2,Date,,,Ccy,Conv)</f>
        <v>0</v>
      </c>
      <c r="E136" s="4">
        <f>_xll.ciqfunctions.udf.CIQ(InputTicker,"IQ_SALES_MARKETING",Input!G$2,Date,,,Ccy,Conv)</f>
        <v>53.2</v>
      </c>
      <c r="F136" s="4">
        <f>_xll.ciqfunctions.udf.CIQ(InputTicker,"IQ_SALES_MARKETING",Input!H$2,Date,,,Ccy,Conv)</f>
        <v>0</v>
      </c>
      <c r="G136" s="4">
        <f>_xll.ciqfunctions.udf.CIQ(InputTicker,"IQ_SALES_MARKETING",Input!I$2,Date,,,Ccy,Conv)</f>
        <v>0</v>
      </c>
      <c r="H136" s="4">
        <f>_xll.ciqfunctions.udf.CIQ(InputTicker,"IQ_SALES_MARKETING",Input!J$2,Date,,,Ccy,Conv)</f>
        <v>0</v>
      </c>
      <c r="I136" s="4">
        <f>_xll.ciqfunctions.udf.CIQ(InputTicker,"IQ_SALES_MARKETING",Input!K$2,Date,,,Ccy,Conv)</f>
        <v>0</v>
      </c>
      <c r="J136" s="4">
        <f>_xll.ciqfunctions.udf.CIQ(InputTicker,"IQ_SALES_MARKETING",Input!L$2,Date,,,Ccy,Conv)</f>
        <v>0</v>
      </c>
      <c r="K136" s="4">
        <f>_xll.ciqfunctions.udf.CIQ(InputTicker,"IQ_SALES_MARKETING",Input!M$2,Date,,,Ccy,Conv)</f>
        <v>125.027</v>
      </c>
      <c r="L136" s="4">
        <f>_xll.ciqfunctions.udf.CIQ(InputTicker,"IQ_SALES_MARKETING",Input!N$2,Date,,,Ccy,Conv)</f>
        <v>147.321</v>
      </c>
      <c r="M136" s="4">
        <f>_xll.ciqfunctions.udf.CIQ(InputTicker,"IQ_SALES_MARKETING",Input!O$2,Date,,,Ccy,Conv)</f>
        <v>147.22300000000001</v>
      </c>
      <c r="N136" s="49"/>
      <c r="P136" s="51"/>
      <c r="Q136" s="51"/>
      <c r="R136" s="51"/>
      <c r="T136" s="42"/>
      <c r="U136" s="42"/>
      <c r="V136" s="51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</row>
    <row r="137" spans="1:66" ht="12.75" customHeight="1" x14ac:dyDescent="0.2">
      <c r="A137" s="1" t="s">
        <v>332</v>
      </c>
      <c r="B137" s="4">
        <f>_xll.ciqfunctions.udf.CIQ(InputTicker,"IQ_GA_EXP",Input!D$2,Date,,,Ccy,Conv)</f>
        <v>0</v>
      </c>
      <c r="C137" s="4">
        <f>_xll.ciqfunctions.udf.CIQ(InputTicker,"IQ_GA_EXP",Input!E$2,Date,,,Ccy,Conv)</f>
        <v>0</v>
      </c>
      <c r="D137" s="4">
        <f>_xll.ciqfunctions.udf.CIQ(InputTicker,"IQ_GA_EXP",Input!F$2,Date,,,Ccy,Conv)</f>
        <v>0</v>
      </c>
      <c r="E137" s="4">
        <f>_xll.ciqfunctions.udf.CIQ(InputTicker,"IQ_GA_EXP",Input!G$2,Date,,,Ccy,Conv)</f>
        <v>0</v>
      </c>
      <c r="F137" s="4">
        <f>_xll.ciqfunctions.udf.CIQ(InputTicker,"IQ_GA_EXP",Input!H$2,Date,,,Ccy,Conv)</f>
        <v>0</v>
      </c>
      <c r="G137" s="4">
        <f>_xll.ciqfunctions.udf.CIQ(InputTicker,"IQ_GA_EXP",Input!I$2,Date,,,Ccy,Conv)</f>
        <v>0</v>
      </c>
      <c r="H137" s="4">
        <f>_xll.ciqfunctions.udf.CIQ(InputTicker,"IQ_GA_EXP",Input!J$2,Date,,,Ccy,Conv)</f>
        <v>0</v>
      </c>
      <c r="I137" s="4">
        <f>_xll.ciqfunctions.udf.CIQ(InputTicker,"IQ_GA_EXP",Input!K$2,Date,,,Ccy,Conv)</f>
        <v>0</v>
      </c>
      <c r="J137" s="4">
        <f>_xll.ciqfunctions.udf.CIQ(InputTicker,"IQ_GA_EXP",Input!L$2,Date,,,Ccy,Conv)</f>
        <v>0</v>
      </c>
      <c r="K137" s="4">
        <f>_xll.ciqfunctions.udf.CIQ(InputTicker,"IQ_GA_EXP",Input!M$2,Date,,,Ccy,Conv)</f>
        <v>102.45</v>
      </c>
      <c r="L137" s="4">
        <f>_xll.ciqfunctions.udf.CIQ(InputTicker,"IQ_GA_EXP",Input!N$2,Date,,,Ccy,Conv)</f>
        <v>152.12799999999999</v>
      </c>
      <c r="M137" s="4">
        <f>_xll.ciqfunctions.udf.CIQ(InputTicker,"IQ_GA_EXP",Input!O$2,Date,,,Ccy,Conv)</f>
        <v>152.12799999999999</v>
      </c>
      <c r="N137" s="49"/>
      <c r="P137" s="51"/>
      <c r="Q137" s="51"/>
      <c r="R137" s="51"/>
      <c r="T137" s="42"/>
      <c r="U137" s="42"/>
      <c r="V137" s="51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</row>
    <row r="138" spans="1:66" ht="12.75" customHeight="1" x14ac:dyDescent="0.2">
      <c r="A138" s="1" t="s">
        <v>369</v>
      </c>
      <c r="B138" s="4">
        <f>_xll.ciqfunctions.udf.CIQ(InputTicker, "IQ_RD_EXP_FN",Input!D$2,Date,,,Ccy,Conv)</f>
        <v>0</v>
      </c>
      <c r="C138" s="4">
        <f>_xll.ciqfunctions.udf.CIQ(InputTicker, "IQ_RD_EXP_FN",Input!E$2,Date,,,Ccy,Conv)</f>
        <v>0</v>
      </c>
      <c r="D138" s="4">
        <f>_xll.ciqfunctions.udf.CIQ(InputTicker, "IQ_RD_EXP_FN",Input!F$2,Date,,,Ccy,Conv)</f>
        <v>0</v>
      </c>
      <c r="E138" s="4">
        <f>_xll.ciqfunctions.udf.CIQ(InputTicker, "IQ_RD_EXP_FN",Input!G$2,Date,,,Ccy,Conv)</f>
        <v>0</v>
      </c>
      <c r="F138" s="4">
        <f>_xll.ciqfunctions.udf.CIQ(InputTicker, "IQ_RD_EXP_FN",Input!H$2,Date,,,Ccy,Conv)</f>
        <v>0</v>
      </c>
      <c r="G138" s="4">
        <f>_xll.ciqfunctions.udf.CIQ(InputTicker, "IQ_RD_EXP_FN",Input!I$2,Date,,,Ccy,Conv)</f>
        <v>0</v>
      </c>
      <c r="H138" s="4">
        <f>_xll.ciqfunctions.udf.CIQ(InputTicker, "IQ_RD_EXP_FN",Input!J$2,Date,,,Ccy,Conv)</f>
        <v>0</v>
      </c>
      <c r="I138" s="4">
        <f>_xll.ciqfunctions.udf.CIQ(InputTicker, "IQ_RD_EXP_FN",Input!K$2,Date,,,Ccy,Conv)</f>
        <v>0</v>
      </c>
      <c r="J138" s="4">
        <f>_xll.ciqfunctions.udf.CIQ(InputTicker, "IQ_RD_EXP_FN",Input!L$2,Date,,,Ccy,Conv)</f>
        <v>0</v>
      </c>
      <c r="K138" s="4">
        <f>_xll.ciqfunctions.udf.CIQ(InputTicker, "IQ_RD_EXP_FN",Input!M$2,Date,,,Ccy,Conv)</f>
        <v>0</v>
      </c>
      <c r="L138" s="4">
        <f>_xll.ciqfunctions.udf.CIQ(InputTicker, "IQ_RD_EXP_FN",Input!N$2,Date,,,Ccy,Conv)</f>
        <v>0</v>
      </c>
      <c r="M138" s="4">
        <f>_xll.ciqfunctions.udf.CIQ(InputTicker, "IQ_RD_EXP_FN",Input!O$2,Date,,,Ccy,Conv)</f>
        <v>0</v>
      </c>
      <c r="N138" s="49"/>
      <c r="P138" s="51"/>
      <c r="Q138" s="51"/>
      <c r="R138" s="51"/>
      <c r="T138" s="42"/>
      <c r="U138" s="42"/>
      <c r="V138" s="51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</row>
    <row r="139" spans="1:66" ht="12.75" customHeight="1" x14ac:dyDescent="0.2">
      <c r="A139" s="1" t="s">
        <v>36</v>
      </c>
      <c r="B139" s="4">
        <f>_xll.ciqfunctions.udf.CIQ(InputTicker, "IQ_NET_RENTAL_EXP_FN",Input!D$2,Date,,,Ccy,Conv)</f>
        <v>3.101</v>
      </c>
      <c r="C139" s="4">
        <f>_xll.ciqfunctions.udf.CIQ(InputTicker, "IQ_NET_RENTAL_EXP_FN",Input!E$2,Date,,,Ccy,Conv)</f>
        <v>4.09</v>
      </c>
      <c r="D139" s="4">
        <f>_xll.ciqfunctions.udf.CIQ(InputTicker, "IQ_NET_RENTAL_EXP_FN",Input!F$2,Date,,,Ccy,Conv)</f>
        <v>3.9750000000000001</v>
      </c>
      <c r="E139" s="4">
        <f>_xll.ciqfunctions.udf.CIQ(InputTicker, "IQ_NET_RENTAL_EXP_FN",Input!G$2,Date,,,Ccy,Conv)</f>
        <v>0</v>
      </c>
      <c r="F139" s="4">
        <f>_xll.ciqfunctions.udf.CIQ(InputTicker, "IQ_NET_RENTAL_EXP_FN",Input!H$2,Date,,,Ccy,Conv)</f>
        <v>0</v>
      </c>
      <c r="G139" s="4">
        <f>_xll.ciqfunctions.udf.CIQ(InputTicker, "IQ_NET_RENTAL_EXP_FN",Input!I$2,Date,,,Ccy,Conv)</f>
        <v>0</v>
      </c>
      <c r="H139" s="4">
        <f>_xll.ciqfunctions.udf.CIQ(InputTicker, "IQ_NET_RENTAL_EXP_FN",Input!J$2,Date,,,Ccy,Conv)</f>
        <v>0</v>
      </c>
      <c r="I139" s="4">
        <f>_xll.ciqfunctions.udf.CIQ(InputTicker, "IQ_NET_RENTAL_EXP_FN",Input!K$2,Date,,,Ccy,Conv)</f>
        <v>0</v>
      </c>
      <c r="J139" s="4">
        <f>_xll.ciqfunctions.udf.CIQ(InputTicker, "IQ_NET_RENTAL_EXP_FN",Input!L$2,Date,,,Ccy,Conv)</f>
        <v>0</v>
      </c>
      <c r="K139" s="4">
        <f>_xll.ciqfunctions.udf.CIQ(InputTicker, "IQ_NET_RENTAL_EXP_FN",Input!M$2,Date,,,Ccy,Conv)</f>
        <v>0</v>
      </c>
      <c r="L139" s="4">
        <f>_xll.ciqfunctions.udf.CIQ(InputTicker, "IQ_NET_RENTAL_EXP_FN",Input!N$2,Date,,,Ccy,Conv)</f>
        <v>0</v>
      </c>
      <c r="M139" s="4">
        <f>_xll.ciqfunctions.udf.CIQ(InputTicker, "IQ_NET_RENTAL_EXP_FN",Input!O$2,Date,,,Ccy,Conv)</f>
        <v>0</v>
      </c>
      <c r="N139" s="49"/>
      <c r="P139" s="51"/>
      <c r="Q139" s="51"/>
      <c r="R139" s="51"/>
      <c r="T139" s="42"/>
      <c r="U139" s="42"/>
      <c r="V139" s="51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</row>
    <row r="140" spans="1:66" ht="12.75" customHeight="1" x14ac:dyDescent="0.2">
      <c r="A140" s="1" t="s">
        <v>37</v>
      </c>
      <c r="B140" s="4">
        <f>_xll.ciqfunctions.udf.CIQ(InputTicker, "IQ_NET_RENTAL_EXP",Input!D$2,Date,,,Ccy,Conv)</f>
        <v>0</v>
      </c>
      <c r="C140" s="4">
        <f>_xll.ciqfunctions.udf.CIQ(InputTicker, "IQ_NET_RENTAL_EXP",Input!E$2,Date,,,Ccy,Conv)</f>
        <v>0</v>
      </c>
      <c r="D140" s="4">
        <f>_xll.ciqfunctions.udf.CIQ(InputTicker, "IQ_NET_RENTAL_EXP",Input!F$2,Date,,,Ccy,Conv)</f>
        <v>0</v>
      </c>
      <c r="E140" s="4">
        <f>_xll.ciqfunctions.udf.CIQ(InputTicker, "IQ_NET_RENTAL_EXP",Input!G$2,Date,,,Ccy,Conv)</f>
        <v>0</v>
      </c>
      <c r="F140" s="4">
        <f>_xll.ciqfunctions.udf.CIQ(InputTicker, "IQ_NET_RENTAL_EXP",Input!H$2,Date,,,Ccy,Conv)</f>
        <v>0</v>
      </c>
      <c r="G140" s="4">
        <f>_xll.ciqfunctions.udf.CIQ(InputTicker, "IQ_NET_RENTAL_EXP",Input!I$2,Date,,,Ccy,Conv)</f>
        <v>0</v>
      </c>
      <c r="H140" s="4">
        <f>_xll.ciqfunctions.udf.CIQ(InputTicker, "IQ_NET_RENTAL_EXP",Input!J$2,Date,,,Ccy,Conv)</f>
        <v>0</v>
      </c>
      <c r="I140" s="4">
        <f>_xll.ciqfunctions.udf.CIQ(InputTicker, "IQ_NET_RENTAL_EXP",Input!K$2,Date,,,Ccy,Conv)</f>
        <v>0</v>
      </c>
      <c r="J140" s="4">
        <f>_xll.ciqfunctions.udf.CIQ(InputTicker, "IQ_NET_RENTAL_EXP",Input!L$2,Date,,,Ccy,Conv)</f>
        <v>0</v>
      </c>
      <c r="K140" s="4">
        <f>_xll.ciqfunctions.udf.CIQ(InputTicker, "IQ_NET_RENTAL_EXP",Input!M$2,Date,,,Ccy,Conv)</f>
        <v>0</v>
      </c>
      <c r="L140" s="4">
        <f>_xll.ciqfunctions.udf.CIQ(InputTicker, "IQ_NET_RENTAL_EXP",Input!N$2,Date,,,Ccy,Conv)</f>
        <v>0</v>
      </c>
      <c r="M140" s="4">
        <f>_xll.ciqfunctions.udf.CIQ(InputTicker, "IQ_NET_RENTAL_EXP",Input!O$2,Date,,,Ccy,Conv)</f>
        <v>0</v>
      </c>
      <c r="N140" s="49"/>
      <c r="P140" s="51"/>
      <c r="Q140" s="51"/>
      <c r="R140" s="51"/>
      <c r="T140" s="42"/>
      <c r="U140" s="42"/>
      <c r="V140" s="51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</row>
    <row r="141" spans="1:66" ht="12.75" customHeight="1" x14ac:dyDescent="0.2">
      <c r="A141" s="1" t="s">
        <v>38</v>
      </c>
      <c r="B141" s="4">
        <f>_xll.ciqfunctions.udf.CIQ(InputTicker, "IQ_NET_RENTAL_EXP_SUPPLE",Input!D$2,Date,,,Ccy,Conv)</f>
        <v>3.101</v>
      </c>
      <c r="C141" s="4">
        <f>_xll.ciqfunctions.udf.CIQ(InputTicker, "IQ_NET_RENTAL_EXP_SUPPLE",Input!E$2,Date,,,Ccy,Conv)</f>
        <v>4.09</v>
      </c>
      <c r="D141" s="4">
        <f>_xll.ciqfunctions.udf.CIQ(InputTicker, "IQ_NET_RENTAL_EXP_SUPPLE",Input!F$2,Date,,,Ccy,Conv)</f>
        <v>3.9750000000000001</v>
      </c>
      <c r="E141" s="4">
        <f>_xll.ciqfunctions.udf.CIQ(InputTicker, "IQ_NET_RENTAL_EXP_SUPPLE",Input!G$2,Date,,,Ccy,Conv)</f>
        <v>0</v>
      </c>
      <c r="F141" s="4">
        <f>_xll.ciqfunctions.udf.CIQ(InputTicker, "IQ_NET_RENTAL_EXP_SUPPLE",Input!H$2,Date,,,Ccy,Conv)</f>
        <v>0</v>
      </c>
      <c r="G141" s="4">
        <f>_xll.ciqfunctions.udf.CIQ(InputTicker, "IQ_NET_RENTAL_EXP_SUPPLE",Input!I$2,Date,,,Ccy,Conv)</f>
        <v>0</v>
      </c>
      <c r="H141" s="4">
        <f>_xll.ciqfunctions.udf.CIQ(InputTicker, "IQ_NET_RENTAL_EXP_SUPPLE",Input!J$2,Date,,,Ccy,Conv)</f>
        <v>0</v>
      </c>
      <c r="I141" s="4">
        <f>_xll.ciqfunctions.udf.CIQ(InputTicker, "IQ_NET_RENTAL_EXP_SUPPLE",Input!K$2,Date,,,Ccy,Conv)</f>
        <v>0</v>
      </c>
      <c r="J141" s="4">
        <f>_xll.ciqfunctions.udf.CIQ(InputTicker, "IQ_NET_RENTAL_EXP_SUPPLE",Input!L$2,Date,,,Ccy,Conv)</f>
        <v>0</v>
      </c>
      <c r="K141" s="4">
        <f>_xll.ciqfunctions.udf.CIQ(InputTicker, "IQ_NET_RENTAL_EXP_SUPPLE",Input!M$2,Date,,,Ccy,Conv)</f>
        <v>0</v>
      </c>
      <c r="L141" s="4">
        <f>_xll.ciqfunctions.udf.CIQ(InputTicker, "IQ_NET_RENTAL_EXP_SUPPLE",Input!N$2,Date,,,Ccy,Conv)</f>
        <v>0</v>
      </c>
      <c r="M141" s="4">
        <f>_xll.ciqfunctions.udf.CIQ(InputTicker, "IQ_NET_RENTAL_EXP_SUPPLE",Input!O$2,Date,,,Ccy,Conv)</f>
        <v>0</v>
      </c>
      <c r="N141" s="49"/>
      <c r="P141" s="51"/>
      <c r="Q141" s="51"/>
      <c r="R141" s="51"/>
      <c r="T141" s="42"/>
      <c r="U141" s="42"/>
      <c r="V141" s="51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</row>
    <row r="142" spans="1:66" ht="12.75" customHeight="1" x14ac:dyDescent="0.2">
      <c r="A142" s="1" t="s">
        <v>7</v>
      </c>
      <c r="B142" s="4">
        <f>_xll.ciqfunctions.udf.CIQ(InputTicker, "IQ_CONTINGENT_RENTAL",Input!D$2,Date,,,Ccy,Conv)</f>
        <v>0</v>
      </c>
      <c r="C142" s="4">
        <f>_xll.ciqfunctions.udf.CIQ(InputTicker, "IQ_CONTINGENT_RENTAL",Input!E$2,Date,,,Ccy,Conv)</f>
        <v>0</v>
      </c>
      <c r="D142" s="4">
        <f>_xll.ciqfunctions.udf.CIQ(InputTicker, "IQ_CONTINGENT_RENTAL",Input!F$2,Date,,,Ccy,Conv)</f>
        <v>0</v>
      </c>
      <c r="E142" s="4">
        <f>_xll.ciqfunctions.udf.CIQ(InputTicker, "IQ_CONTINGENT_RENTAL",Input!G$2,Date,,,Ccy,Conv)</f>
        <v>0</v>
      </c>
      <c r="F142" s="4">
        <f>_xll.ciqfunctions.udf.CIQ(InputTicker, "IQ_CONTINGENT_RENTAL",Input!H$2,Date,,,Ccy,Conv)</f>
        <v>0</v>
      </c>
      <c r="G142" s="4">
        <f>_xll.ciqfunctions.udf.CIQ(InputTicker, "IQ_CONTINGENT_RENTAL",Input!I$2,Date,,,Ccy,Conv)</f>
        <v>0</v>
      </c>
      <c r="H142" s="4">
        <f>_xll.ciqfunctions.udf.CIQ(InputTicker, "IQ_CONTINGENT_RENTAL",Input!J$2,Date,,,Ccy,Conv)</f>
        <v>0</v>
      </c>
      <c r="I142" s="4">
        <f>_xll.ciqfunctions.udf.CIQ(InputTicker, "IQ_CONTINGENT_RENTAL",Input!K$2,Date,,,Ccy,Conv)</f>
        <v>0</v>
      </c>
      <c r="J142" s="4">
        <f>_xll.ciqfunctions.udf.CIQ(InputTicker, "IQ_CONTINGENT_RENTAL",Input!L$2,Date,,,Ccy,Conv)</f>
        <v>0</v>
      </c>
      <c r="K142" s="4">
        <f>_xll.ciqfunctions.udf.CIQ(InputTicker, "IQ_CONTINGENT_RENTAL",Input!M$2,Date,,,Ccy,Conv)</f>
        <v>0</v>
      </c>
      <c r="L142" s="4">
        <f>_xll.ciqfunctions.udf.CIQ(InputTicker, "IQ_CONTINGENT_RENTAL",Input!N$2,Date,,,Ccy,Conv)</f>
        <v>0</v>
      </c>
      <c r="M142" s="4">
        <f>_xll.ciqfunctions.udf.CIQ(InputTicker, "IQ_CONTINGENT_RENTAL",Input!O$2,Date,,,Ccy,Conv)</f>
        <v>0</v>
      </c>
      <c r="N142" s="49"/>
      <c r="P142" s="51"/>
      <c r="Q142" s="51"/>
      <c r="R142" s="51"/>
      <c r="T142" s="42"/>
      <c r="U142" s="42"/>
      <c r="V142" s="51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</row>
    <row r="143" spans="1:66" ht="12.75" customHeight="1" x14ac:dyDescent="0.2">
      <c r="A143" s="1" t="s">
        <v>29</v>
      </c>
      <c r="B143" s="4">
        <f>_xll.ciqfunctions.udf.CIQ(InputTicker, "IQ_MINIMUM_RENTAL",Input!D$2,Date,,,Ccy,Conv)</f>
        <v>0</v>
      </c>
      <c r="C143" s="4">
        <f>_xll.ciqfunctions.udf.CIQ(InputTicker, "IQ_MINIMUM_RENTAL",Input!E$2,Date,,,Ccy,Conv)</f>
        <v>0</v>
      </c>
      <c r="D143" s="4">
        <f>_xll.ciqfunctions.udf.CIQ(InputTicker, "IQ_MINIMUM_RENTAL",Input!F$2,Date,,,Ccy,Conv)</f>
        <v>0</v>
      </c>
      <c r="E143" s="4">
        <f>_xll.ciqfunctions.udf.CIQ(InputTicker, "IQ_MINIMUM_RENTAL",Input!G$2,Date,,,Ccy,Conv)</f>
        <v>0</v>
      </c>
      <c r="F143" s="4">
        <f>_xll.ciqfunctions.udf.CIQ(InputTicker, "IQ_MINIMUM_RENTAL",Input!H$2,Date,,,Ccy,Conv)</f>
        <v>0</v>
      </c>
      <c r="G143" s="4">
        <f>_xll.ciqfunctions.udf.CIQ(InputTicker, "IQ_MINIMUM_RENTAL",Input!I$2,Date,,,Ccy,Conv)</f>
        <v>0</v>
      </c>
      <c r="H143" s="4">
        <f>_xll.ciqfunctions.udf.CIQ(InputTicker, "IQ_MINIMUM_RENTAL",Input!J$2,Date,,,Ccy,Conv)</f>
        <v>0</v>
      </c>
      <c r="I143" s="4">
        <f>_xll.ciqfunctions.udf.CIQ(InputTicker, "IQ_MINIMUM_RENTAL",Input!K$2,Date,,,Ccy,Conv)</f>
        <v>0</v>
      </c>
      <c r="J143" s="4">
        <f>_xll.ciqfunctions.udf.CIQ(InputTicker, "IQ_MINIMUM_RENTAL",Input!L$2,Date,,,Ccy,Conv)</f>
        <v>0</v>
      </c>
      <c r="K143" s="4">
        <f>_xll.ciqfunctions.udf.CIQ(InputTicker, "IQ_MINIMUM_RENTAL",Input!M$2,Date,,,Ccy,Conv)</f>
        <v>0</v>
      </c>
      <c r="L143" s="4">
        <f>_xll.ciqfunctions.udf.CIQ(InputTicker, "IQ_MINIMUM_RENTAL",Input!N$2,Date,,,Ccy,Conv)</f>
        <v>0</v>
      </c>
      <c r="M143" s="4">
        <f>_xll.ciqfunctions.udf.CIQ(InputTicker, "IQ_MINIMUM_RENTAL",Input!O$2,Date,,,Ccy,Conv)</f>
        <v>0</v>
      </c>
      <c r="N143" s="49"/>
      <c r="P143" s="51"/>
      <c r="Q143" s="51"/>
      <c r="R143" s="51"/>
      <c r="T143" s="42"/>
      <c r="U143" s="42"/>
      <c r="V143" s="51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</row>
    <row r="144" spans="1:66" ht="12.75" customHeight="1" x14ac:dyDescent="0.2">
      <c r="A144" s="1" t="s">
        <v>30</v>
      </c>
      <c r="B144" s="4">
        <f>_xll.ciqfunctions.udf.CIQ(InputTicker, "IQ_OTHER_RENTAL",Input!D$2,Date,,,Ccy,Conv)</f>
        <v>0</v>
      </c>
      <c r="C144" s="4">
        <f>_xll.ciqfunctions.udf.CIQ(InputTicker, "IQ_OTHER_RENTAL",Input!E$2,Date,,,Ccy,Conv)</f>
        <v>0</v>
      </c>
      <c r="D144" s="4">
        <f>_xll.ciqfunctions.udf.CIQ(InputTicker, "IQ_OTHER_RENTAL",Input!F$2,Date,,,Ccy,Conv)</f>
        <v>0</v>
      </c>
      <c r="E144" s="4">
        <f>_xll.ciqfunctions.udf.CIQ(InputTicker, "IQ_OTHER_RENTAL",Input!G$2,Date,,,Ccy,Conv)</f>
        <v>0</v>
      </c>
      <c r="F144" s="4">
        <f>_xll.ciqfunctions.udf.CIQ(InputTicker, "IQ_OTHER_RENTAL",Input!H$2,Date,,,Ccy,Conv)</f>
        <v>0</v>
      </c>
      <c r="G144" s="4">
        <f>_xll.ciqfunctions.udf.CIQ(InputTicker, "IQ_OTHER_RENTAL",Input!I$2,Date,,,Ccy,Conv)</f>
        <v>0</v>
      </c>
      <c r="H144" s="4">
        <f>_xll.ciqfunctions.udf.CIQ(InputTicker, "IQ_OTHER_RENTAL",Input!J$2,Date,,,Ccy,Conv)</f>
        <v>0</v>
      </c>
      <c r="I144" s="4">
        <f>_xll.ciqfunctions.udf.CIQ(InputTicker, "IQ_OTHER_RENTAL",Input!K$2,Date,,,Ccy,Conv)</f>
        <v>0</v>
      </c>
      <c r="J144" s="4">
        <f>_xll.ciqfunctions.udf.CIQ(InputTicker, "IQ_OTHER_RENTAL",Input!L$2,Date,,,Ccy,Conv)</f>
        <v>0</v>
      </c>
      <c r="K144" s="4">
        <f>_xll.ciqfunctions.udf.CIQ(InputTicker, "IQ_OTHER_RENTAL",Input!M$2,Date,,,Ccy,Conv)</f>
        <v>0</v>
      </c>
      <c r="L144" s="4">
        <f>_xll.ciqfunctions.udf.CIQ(InputTicker, "IQ_OTHER_RENTAL",Input!N$2,Date,,,Ccy,Conv)</f>
        <v>0</v>
      </c>
      <c r="M144" s="4">
        <f>_xll.ciqfunctions.udf.CIQ(InputTicker, "IQ_OTHER_RENTAL",Input!O$2,Date,,,Ccy,Conv)</f>
        <v>0</v>
      </c>
      <c r="N144" s="49"/>
      <c r="P144" s="51"/>
      <c r="Q144" s="51"/>
      <c r="R144" s="51"/>
      <c r="T144" s="42"/>
      <c r="U144" s="42"/>
      <c r="V144" s="51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</row>
    <row r="145" spans="1:66" ht="12.75" customHeight="1" x14ac:dyDescent="0.2">
      <c r="A145" s="1" t="s">
        <v>17</v>
      </c>
      <c r="B145" s="4">
        <f>_xll.ciqfunctions.udf.CIQ(InputTicker, "IQ_AIRCRAFT_RENT",Input!D$2,Date,,,Ccy,Conv)</f>
        <v>0</v>
      </c>
      <c r="C145" s="4">
        <f>_xll.ciqfunctions.udf.CIQ(InputTicker, "IQ_AIRCRAFT_RENT",Input!E$2,Date,,,Ccy,Conv)</f>
        <v>0</v>
      </c>
      <c r="D145" s="4">
        <f>_xll.ciqfunctions.udf.CIQ(InputTicker, "IQ_AIRCRAFT_RENT",Input!F$2,Date,,,Ccy,Conv)</f>
        <v>0</v>
      </c>
      <c r="E145" s="4">
        <f>_xll.ciqfunctions.udf.CIQ(InputTicker, "IQ_AIRCRAFT_RENT",Input!G$2,Date,,,Ccy,Conv)</f>
        <v>0</v>
      </c>
      <c r="F145" s="4">
        <f>_xll.ciqfunctions.udf.CIQ(InputTicker, "IQ_AIRCRAFT_RENT",Input!H$2,Date,,,Ccy,Conv)</f>
        <v>0</v>
      </c>
      <c r="G145" s="4">
        <f>_xll.ciqfunctions.udf.CIQ(InputTicker, "IQ_AIRCRAFT_RENT",Input!I$2,Date,,,Ccy,Conv)</f>
        <v>0</v>
      </c>
      <c r="H145" s="4">
        <f>_xll.ciqfunctions.udf.CIQ(InputTicker, "IQ_AIRCRAFT_RENT",Input!J$2,Date,,,Ccy,Conv)</f>
        <v>0</v>
      </c>
      <c r="I145" s="4">
        <f>_xll.ciqfunctions.udf.CIQ(InputTicker, "IQ_AIRCRAFT_RENT",Input!K$2,Date,,,Ccy,Conv)</f>
        <v>0</v>
      </c>
      <c r="J145" s="4">
        <f>_xll.ciqfunctions.udf.CIQ(InputTicker, "IQ_AIRCRAFT_RENT",Input!L$2,Date,,,Ccy,Conv)</f>
        <v>0</v>
      </c>
      <c r="K145" s="4">
        <f>_xll.ciqfunctions.udf.CIQ(InputTicker, "IQ_AIRCRAFT_RENT",Input!M$2,Date,,,Ccy,Conv)</f>
        <v>0</v>
      </c>
      <c r="L145" s="4">
        <f>_xll.ciqfunctions.udf.CIQ(InputTicker, "IQ_AIRCRAFT_RENT",Input!N$2,Date,,,Ccy,Conv)</f>
        <v>0</v>
      </c>
      <c r="M145" s="4">
        <f>_xll.ciqfunctions.udf.CIQ(InputTicker, "IQ_AIRCRAFT_RENT",Input!O$2,Date,,,Ccy,Conv)</f>
        <v>0</v>
      </c>
      <c r="N145" s="49"/>
      <c r="P145" s="51"/>
      <c r="Q145" s="51"/>
      <c r="R145" s="51"/>
      <c r="T145" s="42"/>
      <c r="U145" s="42"/>
      <c r="V145" s="51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</row>
    <row r="146" spans="1:66" ht="12.75" customHeight="1" x14ac:dyDescent="0.2">
      <c r="A146" s="1" t="s">
        <v>31</v>
      </c>
      <c r="B146" s="4">
        <f>_xll.ciqfunctions.udf.CIQ(InputTicker, "IQ_DEPRECIATION_RENTAL_ASSETS",Input!D$2,Date,,,Ccy,Conv)</f>
        <v>0</v>
      </c>
      <c r="C146" s="4">
        <f>_xll.ciqfunctions.udf.CIQ(InputTicker, "IQ_DEPRECIATION_RENTAL_ASSETS",Input!E$2,Date,,,Ccy,Conv)</f>
        <v>0</v>
      </c>
      <c r="D146" s="4">
        <f>_xll.ciqfunctions.udf.CIQ(InputTicker, "IQ_DEPRECIATION_RENTAL_ASSETS",Input!F$2,Date,,,Ccy,Conv)</f>
        <v>0</v>
      </c>
      <c r="E146" s="4">
        <f>_xll.ciqfunctions.udf.CIQ(InputTicker, "IQ_DEPRECIATION_RENTAL_ASSETS",Input!G$2,Date,,,Ccy,Conv)</f>
        <v>0</v>
      </c>
      <c r="F146" s="4">
        <f>_xll.ciqfunctions.udf.CIQ(InputTicker, "IQ_DEPRECIATION_RENTAL_ASSETS",Input!H$2,Date,,,Ccy,Conv)</f>
        <v>0</v>
      </c>
      <c r="G146" s="4">
        <f>_xll.ciqfunctions.udf.CIQ(InputTicker, "IQ_DEPRECIATION_RENTAL_ASSETS",Input!I$2,Date,,,Ccy,Conv)</f>
        <v>0</v>
      </c>
      <c r="H146" s="4">
        <f>_xll.ciqfunctions.udf.CIQ(InputTicker, "IQ_DEPRECIATION_RENTAL_ASSETS",Input!J$2,Date,,,Ccy,Conv)</f>
        <v>0</v>
      </c>
      <c r="I146" s="4">
        <f>_xll.ciqfunctions.udf.CIQ(InputTicker, "IQ_DEPRECIATION_RENTAL_ASSETS",Input!K$2,Date,,,Ccy,Conv)</f>
        <v>0</v>
      </c>
      <c r="J146" s="4">
        <f>_xll.ciqfunctions.udf.CIQ(InputTicker, "IQ_DEPRECIATION_RENTAL_ASSETS",Input!L$2,Date,,,Ccy,Conv)</f>
        <v>0</v>
      </c>
      <c r="K146" s="4">
        <f>_xll.ciqfunctions.udf.CIQ(InputTicker, "IQ_DEPRECIATION_RENTAL_ASSETS",Input!M$2,Date,,,Ccy,Conv)</f>
        <v>0</v>
      </c>
      <c r="L146" s="4">
        <f>_xll.ciqfunctions.udf.CIQ(InputTicker, "IQ_DEPRECIATION_RENTAL_ASSETS",Input!N$2,Date,,,Ccy,Conv)</f>
        <v>0</v>
      </c>
      <c r="M146" s="4">
        <f>_xll.ciqfunctions.udf.CIQ(InputTicker, "IQ_DEPRECIATION_RENTAL_ASSETS",Input!O$2,Date,,,Ccy,Conv)</f>
        <v>0</v>
      </c>
      <c r="N146" s="49"/>
      <c r="P146" s="51"/>
      <c r="Q146" s="51"/>
      <c r="R146" s="51"/>
      <c r="T146" s="42"/>
      <c r="U146" s="42"/>
      <c r="V146" s="51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</row>
    <row r="147" spans="1:66" ht="12.75" customHeight="1" x14ac:dyDescent="0.2">
      <c r="A147" s="1" t="s">
        <v>406</v>
      </c>
      <c r="B147" s="4">
        <f>_xll.ciqfunctions.udf.CIQ(InputTicker, "IQ_EXPLORE_DRILL_EXP_TOTAL",Input!D$2,Date,,,Ccy,Conv)</f>
        <v>0</v>
      </c>
      <c r="C147" s="4">
        <f>_xll.ciqfunctions.udf.CIQ(InputTicker, "IQ_EXPLORE_DRILL_EXP_TOTAL",Input!E$2,Date,,,Ccy,Conv)</f>
        <v>0</v>
      </c>
      <c r="D147" s="4">
        <f>_xll.ciqfunctions.udf.CIQ(InputTicker, "IQ_EXPLORE_DRILL_EXP_TOTAL",Input!F$2,Date,,,Ccy,Conv)</f>
        <v>0</v>
      </c>
      <c r="E147" s="4">
        <f>_xll.ciqfunctions.udf.CIQ(InputTicker, "IQ_EXPLORE_DRILL_EXP_TOTAL",Input!G$2,Date,,,Ccy,Conv)</f>
        <v>0</v>
      </c>
      <c r="F147" s="4">
        <f>_xll.ciqfunctions.udf.CIQ(InputTicker, "IQ_EXPLORE_DRILL_EXP_TOTAL",Input!H$2,Date,,,Ccy,Conv)</f>
        <v>0</v>
      </c>
      <c r="G147" s="4">
        <f>_xll.ciqfunctions.udf.CIQ(InputTicker, "IQ_EXPLORE_DRILL_EXP_TOTAL",Input!I$2,Date,,,Ccy,Conv)</f>
        <v>0</v>
      </c>
      <c r="H147" s="4">
        <f>_xll.ciqfunctions.udf.CIQ(InputTicker, "IQ_EXPLORE_DRILL_EXP_TOTAL",Input!J$2,Date,,,Ccy,Conv)</f>
        <v>0</v>
      </c>
      <c r="I147" s="4">
        <f>_xll.ciqfunctions.udf.CIQ(InputTicker, "IQ_EXPLORE_DRILL_EXP_TOTAL",Input!K$2,Date,,,Ccy,Conv)</f>
        <v>0</v>
      </c>
      <c r="J147" s="4">
        <f>_xll.ciqfunctions.udf.CIQ(InputTicker, "IQ_EXPLORE_DRILL_EXP_TOTAL",Input!L$2,Date,,,Ccy,Conv)</f>
        <v>0</v>
      </c>
      <c r="K147" s="4">
        <f>_xll.ciqfunctions.udf.CIQ(InputTicker, "IQ_EXPLORE_DRILL_EXP_TOTAL",Input!M$2,Date,,,Ccy,Conv)</f>
        <v>0</v>
      </c>
      <c r="L147" s="4">
        <f>_xll.ciqfunctions.udf.CIQ(InputTicker, "IQ_EXPLORE_DRILL_EXP_TOTAL",Input!N$2,Date,,,Ccy,Conv)</f>
        <v>0</v>
      </c>
      <c r="M147" s="4">
        <f>_xll.ciqfunctions.udf.CIQ(InputTicker, "IQ_EXPLORE_DRILL_EXP_TOTAL",Input!O$2,Date,,,Ccy,Conv)</f>
        <v>0</v>
      </c>
      <c r="N147" s="49"/>
      <c r="P147" s="51"/>
      <c r="Q147" s="51"/>
      <c r="R147" s="51"/>
      <c r="T147" s="42"/>
      <c r="U147" s="42"/>
      <c r="V147" s="51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</row>
    <row r="148" spans="1:66" ht="12.75" customHeight="1" x14ac:dyDescent="0.2">
      <c r="A148" s="1" t="s">
        <v>333</v>
      </c>
      <c r="B148" s="4">
        <f>_xll.ciqfunctions.udf.CIQ(InputTicker, "IQ_MAINT_REPAIR",Input!D$2,Date,,,Ccy,Conv)</f>
        <v>0</v>
      </c>
      <c r="C148" s="4">
        <f>_xll.ciqfunctions.udf.CIQ(InputTicker, "IQ_MAINT_REPAIR",Input!E$2,Date,,,Ccy,Conv)</f>
        <v>0</v>
      </c>
      <c r="D148" s="4">
        <f>_xll.ciqfunctions.udf.CIQ(InputTicker, "IQ_MAINT_REPAIR",Input!F$2,Date,,,Ccy,Conv)</f>
        <v>0</v>
      </c>
      <c r="E148" s="4">
        <f>_xll.ciqfunctions.udf.CIQ(InputTicker, "IQ_MAINT_REPAIR",Input!G$2,Date,,,Ccy,Conv)</f>
        <v>0</v>
      </c>
      <c r="F148" s="4">
        <f>_xll.ciqfunctions.udf.CIQ(InputTicker, "IQ_MAINT_REPAIR",Input!H$2,Date,,,Ccy,Conv)</f>
        <v>0</v>
      </c>
      <c r="G148" s="4">
        <f>_xll.ciqfunctions.udf.CIQ(InputTicker, "IQ_MAINT_REPAIR",Input!I$2,Date,,,Ccy,Conv)</f>
        <v>0</v>
      </c>
      <c r="H148" s="4">
        <f>_xll.ciqfunctions.udf.CIQ(InputTicker, "IQ_MAINT_REPAIR",Input!J$2,Date,,,Ccy,Conv)</f>
        <v>0</v>
      </c>
      <c r="I148" s="4">
        <f>_xll.ciqfunctions.udf.CIQ(InputTicker, "IQ_MAINT_REPAIR",Input!K$2,Date,,,Ccy,Conv)</f>
        <v>0</v>
      </c>
      <c r="J148" s="4">
        <f>_xll.ciqfunctions.udf.CIQ(InputTicker, "IQ_MAINT_REPAIR",Input!L$2,Date,,,Ccy,Conv)</f>
        <v>0</v>
      </c>
      <c r="K148" s="4">
        <f>_xll.ciqfunctions.udf.CIQ(InputTicker, "IQ_MAINT_REPAIR",Input!M$2,Date,,,Ccy,Conv)</f>
        <v>0</v>
      </c>
      <c r="L148" s="4">
        <f>_xll.ciqfunctions.udf.CIQ(InputTicker, "IQ_MAINT_REPAIR",Input!N$2,Date,,,Ccy,Conv)</f>
        <v>0</v>
      </c>
      <c r="M148" s="4">
        <f>_xll.ciqfunctions.udf.CIQ(InputTicker, "IQ_MAINT_REPAIR",Input!O$2,Date,,,Ccy,Conv)</f>
        <v>0</v>
      </c>
      <c r="N148" s="49"/>
      <c r="P148" s="51"/>
      <c r="Q148" s="51"/>
      <c r="R148" s="51"/>
      <c r="T148" s="42"/>
      <c r="U148" s="42"/>
      <c r="V148" s="51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</row>
    <row r="149" spans="1:66" ht="12.75" customHeight="1" x14ac:dyDescent="0.2">
      <c r="A149" s="1" t="s">
        <v>334</v>
      </c>
      <c r="B149" s="4">
        <f>_xll.ciqfunctions.udf.CIQ(InputTicker, "IQ_IMPUT_OPER_LEASE_INT_EXP",Input!D$2,Date,,,Ccy,Conv)</f>
        <v>1.5569</v>
      </c>
      <c r="C149" s="4">
        <f>_xll.ciqfunctions.udf.CIQ(InputTicker, "IQ_IMPUT_OPER_LEASE_INT_EXP",Input!E$2,Date,,,Ccy,Conv)</f>
        <v>1.9315899999999999</v>
      </c>
      <c r="D149" s="4">
        <f>_xll.ciqfunctions.udf.CIQ(InputTicker, "IQ_IMPUT_OPER_LEASE_INT_EXP",Input!F$2,Date,,,Ccy,Conv)</f>
        <v>2.4701900000000001</v>
      </c>
      <c r="E149" s="4">
        <f>_xll.ciqfunctions.udf.CIQ(InputTicker, "IQ_IMPUT_OPER_LEASE_INT_EXP",Input!G$2,Date,,,Ccy,Conv)</f>
        <v>0</v>
      </c>
      <c r="F149" s="4">
        <f>_xll.ciqfunctions.udf.CIQ(InputTicker, "IQ_IMPUT_OPER_LEASE_INT_EXP",Input!H$2,Date,,,Ccy,Conv)</f>
        <v>0</v>
      </c>
      <c r="G149" s="4">
        <f>_xll.ciqfunctions.udf.CIQ(InputTicker, "IQ_IMPUT_OPER_LEASE_INT_EXP",Input!I$2,Date,,,Ccy,Conv)</f>
        <v>0</v>
      </c>
      <c r="H149" s="4">
        <f>_xll.ciqfunctions.udf.CIQ(InputTicker, "IQ_IMPUT_OPER_LEASE_INT_EXP",Input!J$2,Date,,,Ccy,Conv)</f>
        <v>0</v>
      </c>
      <c r="I149" s="4">
        <f>_xll.ciqfunctions.udf.CIQ(InputTicker, "IQ_IMPUT_OPER_LEASE_INT_EXP",Input!K$2,Date,,,Ccy,Conv)</f>
        <v>0</v>
      </c>
      <c r="J149" s="4">
        <f>_xll.ciqfunctions.udf.CIQ(InputTicker, "IQ_IMPUT_OPER_LEASE_INT_EXP",Input!L$2,Date,,,Ccy,Conv)</f>
        <v>0</v>
      </c>
      <c r="K149" s="4">
        <f>_xll.ciqfunctions.udf.CIQ(InputTicker, "IQ_IMPUT_OPER_LEASE_INT_EXP",Input!M$2,Date,,,Ccy,Conv)</f>
        <v>0</v>
      </c>
      <c r="L149" s="4">
        <f>_xll.ciqfunctions.udf.CIQ(InputTicker, "IQ_IMPUT_OPER_LEASE_INT_EXP",Input!N$2,Date,,,Ccy,Conv)</f>
        <v>0</v>
      </c>
      <c r="M149" s="4">
        <f>_xll.ciqfunctions.udf.CIQ(InputTicker, "IQ_IMPUT_OPER_LEASE_INT_EXP",Input!O$2,Date,,,Ccy,Conv)</f>
        <v>0</v>
      </c>
      <c r="N149" s="49"/>
      <c r="P149" s="51"/>
      <c r="Q149" s="51"/>
      <c r="R149" s="51"/>
      <c r="T149" s="42"/>
      <c r="U149" s="42"/>
      <c r="V149" s="51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</row>
    <row r="150" spans="1:66" ht="12.75" customHeight="1" x14ac:dyDescent="0.2">
      <c r="A150" s="1" t="s">
        <v>335</v>
      </c>
      <c r="B150" s="4">
        <f>_xll.ciqfunctions.udf.CIQ(InputTicker, "IQ_IMPUT_OPER_LEASE_DEPR",Input!D$2,Date,,,Ccy,Conv)</f>
        <v>1.5441</v>
      </c>
      <c r="C150" s="4">
        <f>_xll.ciqfunctions.udf.CIQ(InputTicker, "IQ_IMPUT_OPER_LEASE_DEPR",Input!E$2,Date,,,Ccy,Conv)</f>
        <v>2.1584099999999999</v>
      </c>
      <c r="D150" s="4">
        <f>_xll.ciqfunctions.udf.CIQ(InputTicker, "IQ_IMPUT_OPER_LEASE_DEPR",Input!F$2,Date,,,Ccy,Conv)</f>
        <v>1.50481</v>
      </c>
      <c r="E150" s="4">
        <f>_xll.ciqfunctions.udf.CIQ(InputTicker, "IQ_IMPUT_OPER_LEASE_DEPR",Input!G$2,Date,,,Ccy,Conv)</f>
        <v>0</v>
      </c>
      <c r="F150" s="4">
        <f>_xll.ciqfunctions.udf.CIQ(InputTicker, "IQ_IMPUT_OPER_LEASE_DEPR",Input!H$2,Date,,,Ccy,Conv)</f>
        <v>0</v>
      </c>
      <c r="G150" s="4">
        <f>_xll.ciqfunctions.udf.CIQ(InputTicker, "IQ_IMPUT_OPER_LEASE_DEPR",Input!I$2,Date,,,Ccy,Conv)</f>
        <v>0</v>
      </c>
      <c r="H150" s="4">
        <f>_xll.ciqfunctions.udf.CIQ(InputTicker, "IQ_IMPUT_OPER_LEASE_DEPR",Input!J$2,Date,,,Ccy,Conv)</f>
        <v>0</v>
      </c>
      <c r="I150" s="4">
        <f>_xll.ciqfunctions.udf.CIQ(InputTicker, "IQ_IMPUT_OPER_LEASE_DEPR",Input!K$2,Date,,,Ccy,Conv)</f>
        <v>0</v>
      </c>
      <c r="J150" s="4">
        <f>_xll.ciqfunctions.udf.CIQ(InputTicker, "IQ_IMPUT_OPER_LEASE_DEPR",Input!L$2,Date,,,Ccy,Conv)</f>
        <v>0</v>
      </c>
      <c r="K150" s="4">
        <f>_xll.ciqfunctions.udf.CIQ(InputTicker, "IQ_IMPUT_OPER_LEASE_DEPR",Input!M$2,Date,,,Ccy,Conv)</f>
        <v>0</v>
      </c>
      <c r="L150" s="4">
        <f>_xll.ciqfunctions.udf.CIQ(InputTicker, "IQ_IMPUT_OPER_LEASE_DEPR",Input!N$2,Date,,,Ccy,Conv)</f>
        <v>0</v>
      </c>
      <c r="M150" s="4">
        <f>_xll.ciqfunctions.udf.CIQ(InputTicker, "IQ_IMPUT_OPER_LEASE_DEPR",Input!O$2,Date,,,Ccy,Conv)</f>
        <v>0</v>
      </c>
      <c r="N150" s="49"/>
      <c r="P150" s="46"/>
      <c r="Q150" s="46"/>
      <c r="R150" s="46"/>
      <c r="T150" s="42"/>
      <c r="U150" s="42"/>
      <c r="V150" s="46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</row>
    <row r="151" spans="1:66" ht="12.75" customHeight="1" x14ac:dyDescent="0.2">
      <c r="A151" s="1" t="s">
        <v>392</v>
      </c>
      <c r="B151" s="4">
        <f>_xll.ciqfunctions.udf.CIQ(InputTicker, "IQ_SALARIES_OTHER_BENEFITS",Input!D$2,Date,,,Ccy,Conv)</f>
        <v>0</v>
      </c>
      <c r="C151" s="4">
        <f>_xll.ciqfunctions.udf.CIQ(InputTicker, "IQ_SALARIES_OTHER_BENEFITS",Input!E$2,Date,,,Ccy,Conv)</f>
        <v>0</v>
      </c>
      <c r="D151" s="4">
        <f>_xll.ciqfunctions.udf.CIQ(InputTicker, "IQ_SALARIES_OTHER_BENEFITS",Input!F$2,Date,,,Ccy,Conv)</f>
        <v>0</v>
      </c>
      <c r="E151" s="4">
        <f>_xll.ciqfunctions.udf.CIQ(InputTicker, "IQ_SALARIES_OTHER_BENEFITS",Input!G$2,Date,,,Ccy,Conv)</f>
        <v>0</v>
      </c>
      <c r="F151" s="4">
        <f>_xll.ciqfunctions.udf.CIQ(InputTicker, "IQ_SALARIES_OTHER_BENEFITS",Input!H$2,Date,,,Ccy,Conv)</f>
        <v>0</v>
      </c>
      <c r="G151" s="4">
        <f>_xll.ciqfunctions.udf.CIQ(InputTicker, "IQ_SALARIES_OTHER_BENEFITS",Input!I$2,Date,,,Ccy,Conv)</f>
        <v>0</v>
      </c>
      <c r="H151" s="4">
        <f>_xll.ciqfunctions.udf.CIQ(InputTicker, "IQ_SALARIES_OTHER_BENEFITS",Input!J$2,Date,,,Ccy,Conv)</f>
        <v>0</v>
      </c>
      <c r="I151" s="4">
        <f>_xll.ciqfunctions.udf.CIQ(InputTicker, "IQ_SALARIES_OTHER_BENEFITS",Input!K$2,Date,,,Ccy,Conv)</f>
        <v>0</v>
      </c>
      <c r="J151" s="4">
        <f>_xll.ciqfunctions.udf.CIQ(InputTicker, "IQ_SALARIES_OTHER_BENEFITS",Input!L$2,Date,,,Ccy,Conv)</f>
        <v>0</v>
      </c>
      <c r="K151" s="4">
        <f>_xll.ciqfunctions.udf.CIQ(InputTicker, "IQ_SALARIES_OTHER_BENEFITS",Input!M$2,Date,,,Ccy,Conv)</f>
        <v>0</v>
      </c>
      <c r="L151" s="4">
        <f>_xll.ciqfunctions.udf.CIQ(InputTicker, "IQ_SALARIES_OTHER_BENEFITS",Input!N$2,Date,,,Ccy,Conv)</f>
        <v>0</v>
      </c>
      <c r="M151" s="4">
        <f>_xll.ciqfunctions.udf.CIQ(InputTicker, "IQ_SALARIES_OTHER_BENEFITS",Input!O$2,Date,,,Ccy,Conv)</f>
        <v>0</v>
      </c>
      <c r="N151" s="49"/>
      <c r="P151" s="46"/>
      <c r="Q151" s="46"/>
      <c r="R151" s="46"/>
      <c r="T151" s="42"/>
      <c r="U151" s="42"/>
      <c r="V151" s="46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</row>
    <row r="152" spans="1:66" ht="12.75" customHeight="1" x14ac:dyDescent="0.2">
      <c r="A152" s="1" t="s">
        <v>411</v>
      </c>
      <c r="B152" s="4">
        <f>_xll.ciqfunctions.udf.CIQ(InputTicker,"IQ_RESTRUCTURE_SUPPLE",Input!D$2,Date,,,Ccy,Conv)</f>
        <v>0</v>
      </c>
      <c r="C152" s="4">
        <f>_xll.ciqfunctions.udf.CIQ(InputTicker,"IQ_RESTRUCTURE_SUPPLE",Input!E$2,Date,,,Ccy,Conv)</f>
        <v>0</v>
      </c>
      <c r="D152" s="4">
        <f>_xll.ciqfunctions.udf.CIQ(InputTicker,"IQ_RESTRUCTURE_SUPPLE",Input!F$2,Date,,,Ccy,Conv)</f>
        <v>0</v>
      </c>
      <c r="E152" s="4">
        <f>_xll.ciqfunctions.udf.CIQ(InputTicker,"IQ_RESTRUCTURE_SUPPLE",Input!G$2,Date,,,Ccy,Conv)</f>
        <v>0</v>
      </c>
      <c r="F152" s="4">
        <f>_xll.ciqfunctions.udf.CIQ(InputTicker,"IQ_RESTRUCTURE_SUPPLE",Input!H$2,Date,,,Ccy,Conv)</f>
        <v>0</v>
      </c>
      <c r="G152" s="4">
        <f>_xll.ciqfunctions.udf.CIQ(InputTicker,"IQ_RESTRUCTURE_SUPPLE",Input!I$2,Date,,,Ccy,Conv)</f>
        <v>0</v>
      </c>
      <c r="H152" s="4">
        <f>_xll.ciqfunctions.udf.CIQ(InputTicker,"IQ_RESTRUCTURE_SUPPLE",Input!J$2,Date,,,Ccy,Conv)</f>
        <v>0</v>
      </c>
      <c r="I152" s="4">
        <f>_xll.ciqfunctions.udf.CIQ(InputTicker,"IQ_RESTRUCTURE_SUPPLE",Input!K$2,Date,,,Ccy,Conv)</f>
        <v>0</v>
      </c>
      <c r="J152" s="4">
        <f>_xll.ciqfunctions.udf.CIQ(InputTicker,"IQ_RESTRUCTURE_SUPPLE",Input!L$2,Date,,,Ccy,Conv)</f>
        <v>0</v>
      </c>
      <c r="K152" s="4">
        <f>_xll.ciqfunctions.udf.CIQ(InputTicker,"IQ_RESTRUCTURE_SUPPLE",Input!M$2,Date,,,Ccy,Conv)</f>
        <v>0</v>
      </c>
      <c r="L152" s="4">
        <f>_xll.ciqfunctions.udf.CIQ(InputTicker,"IQ_RESTRUCTURE_SUPPLE",Input!N$2,Date,,,Ccy,Conv)</f>
        <v>0</v>
      </c>
      <c r="M152" s="4">
        <f>_xll.ciqfunctions.udf.CIQ(InputTicker,"IQ_RESTRUCTURE_SUPPLE",Input!O$2,Date,,,Ccy,Conv)</f>
        <v>0</v>
      </c>
      <c r="N152" s="49"/>
      <c r="P152" s="46"/>
      <c r="Q152" s="46"/>
      <c r="R152" s="46"/>
      <c r="T152" s="42"/>
      <c r="U152" s="42"/>
      <c r="V152" s="46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</row>
    <row r="153" spans="1:66" ht="12.75" customHeight="1" x14ac:dyDescent="0.2">
      <c r="A153" s="1" t="s">
        <v>412</v>
      </c>
      <c r="B153" s="4">
        <f>_xll.ciqfunctions.udf.CIQ(InputTicker,"IQ_MERGER_SUPPLE",Input!D$2,Date,,,Ccy,Conv)</f>
        <v>0</v>
      </c>
      <c r="C153" s="4">
        <f>_xll.ciqfunctions.udf.CIQ(InputTicker,"IQ_MERGER_SUPPLE",Input!E$2,Date,,,Ccy,Conv)</f>
        <v>0</v>
      </c>
      <c r="D153" s="4">
        <f>_xll.ciqfunctions.udf.CIQ(InputTicker,"IQ_MERGER_SUPPLE",Input!F$2,Date,,,Ccy,Conv)</f>
        <v>0</v>
      </c>
      <c r="E153" s="4">
        <f>_xll.ciqfunctions.udf.CIQ(InputTicker,"IQ_MERGER_SUPPLE",Input!G$2,Date,,,Ccy,Conv)</f>
        <v>0</v>
      </c>
      <c r="F153" s="4">
        <f>_xll.ciqfunctions.udf.CIQ(InputTicker,"IQ_MERGER_SUPPLE",Input!H$2,Date,,,Ccy,Conv)</f>
        <v>0</v>
      </c>
      <c r="G153" s="4">
        <f>_xll.ciqfunctions.udf.CIQ(InputTicker,"IQ_MERGER_SUPPLE",Input!I$2,Date,,,Ccy,Conv)</f>
        <v>0</v>
      </c>
      <c r="H153" s="4">
        <f>_xll.ciqfunctions.udf.CIQ(InputTicker,"IQ_MERGER_SUPPLE",Input!J$2,Date,,,Ccy,Conv)</f>
        <v>0</v>
      </c>
      <c r="I153" s="4">
        <f>_xll.ciqfunctions.udf.CIQ(InputTicker,"IQ_MERGER_SUPPLE",Input!K$2,Date,,,Ccy,Conv)</f>
        <v>0</v>
      </c>
      <c r="J153" s="4">
        <f>_xll.ciqfunctions.udf.CIQ(InputTicker,"IQ_MERGER_SUPPLE",Input!L$2,Date,,,Ccy,Conv)</f>
        <v>0</v>
      </c>
      <c r="K153" s="4">
        <f>_xll.ciqfunctions.udf.CIQ(InputTicker,"IQ_MERGER_SUPPLE",Input!M$2,Date,,,Ccy,Conv)</f>
        <v>0</v>
      </c>
      <c r="L153" s="4">
        <f>_xll.ciqfunctions.udf.CIQ(InputTicker,"IQ_MERGER_SUPPLE",Input!N$2,Date,,,Ccy,Conv)</f>
        <v>0</v>
      </c>
      <c r="M153" s="4">
        <f>_xll.ciqfunctions.udf.CIQ(InputTicker,"IQ_MERGER_SUPPLE",Input!O$2,Date,,,Ccy,Conv)</f>
        <v>0</v>
      </c>
      <c r="N153" s="49"/>
      <c r="P153" s="46"/>
      <c r="Q153" s="46"/>
      <c r="R153" s="46"/>
      <c r="T153" s="42"/>
      <c r="U153" s="42"/>
      <c r="V153" s="46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</row>
    <row r="154" spans="1:66" ht="12.75" customHeight="1" x14ac:dyDescent="0.2">
      <c r="A154" s="1" t="s">
        <v>413</v>
      </c>
      <c r="B154" s="4">
        <f>_xll.ciqfunctions.udf.CIQ(InputTicker,"IQ_IMPAIRMENT_GW_SUPPLE",Input!D$2,Date,,,Ccy,Conv)</f>
        <v>0</v>
      </c>
      <c r="C154" s="4">
        <f>_xll.ciqfunctions.udf.CIQ(InputTicker,"IQ_IMPAIRMENT_GW_SUPPLE",Input!E$2,Date,,,Ccy,Conv)</f>
        <v>0</v>
      </c>
      <c r="D154" s="4">
        <f>_xll.ciqfunctions.udf.CIQ(InputTicker,"IQ_IMPAIRMENT_GW_SUPPLE",Input!F$2,Date,,,Ccy,Conv)</f>
        <v>0</v>
      </c>
      <c r="E154" s="4">
        <f>_xll.ciqfunctions.udf.CIQ(InputTicker,"IQ_IMPAIRMENT_GW_SUPPLE",Input!G$2,Date,,,Ccy,Conv)</f>
        <v>0</v>
      </c>
      <c r="F154" s="4">
        <f>_xll.ciqfunctions.udf.CIQ(InputTicker,"IQ_IMPAIRMENT_GW_SUPPLE",Input!H$2,Date,,,Ccy,Conv)</f>
        <v>0</v>
      </c>
      <c r="G154" s="4">
        <f>_xll.ciqfunctions.udf.CIQ(InputTicker,"IQ_IMPAIRMENT_GW_SUPPLE",Input!I$2,Date,,,Ccy,Conv)</f>
        <v>0</v>
      </c>
      <c r="H154" s="4">
        <f>_xll.ciqfunctions.udf.CIQ(InputTicker,"IQ_IMPAIRMENT_GW_SUPPLE",Input!J$2,Date,,,Ccy,Conv)</f>
        <v>0</v>
      </c>
      <c r="I154" s="4">
        <f>_xll.ciqfunctions.udf.CIQ(InputTicker,"IQ_IMPAIRMENT_GW_SUPPLE",Input!K$2,Date,,,Ccy,Conv)</f>
        <v>0</v>
      </c>
      <c r="J154" s="4">
        <f>_xll.ciqfunctions.udf.CIQ(InputTicker,"IQ_IMPAIRMENT_GW_SUPPLE",Input!L$2,Date,,,Ccy,Conv)</f>
        <v>0</v>
      </c>
      <c r="K154" s="4">
        <f>_xll.ciqfunctions.udf.CIQ(InputTicker,"IQ_IMPAIRMENT_GW_SUPPLE",Input!M$2,Date,,,Ccy,Conv)</f>
        <v>0</v>
      </c>
      <c r="L154" s="4">
        <f>_xll.ciqfunctions.udf.CIQ(InputTicker,"IQ_IMPAIRMENT_GW_SUPPLE",Input!N$2,Date,,,Ccy,Conv)</f>
        <v>0</v>
      </c>
      <c r="M154" s="4">
        <f>_xll.ciqfunctions.udf.CIQ(InputTicker,"IQ_IMPAIRMENT_GW_SUPPLE",Input!O$2,Date,,,Ccy,Conv)</f>
        <v>0</v>
      </c>
      <c r="N154" s="49"/>
      <c r="P154" s="46"/>
      <c r="Q154" s="46"/>
      <c r="R154" s="46"/>
      <c r="T154" s="42"/>
      <c r="U154" s="42"/>
      <c r="V154" s="46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</row>
    <row r="155" spans="1:66" ht="12.75" customHeight="1" x14ac:dyDescent="0.2">
      <c r="A155" s="1" t="s">
        <v>414</v>
      </c>
      <c r="B155" s="4">
        <f>_xll.ciqfunctions.udf.CIQ(InputTicker,"IQ_ASSET_WRITEDOWN_SUPPLE",Input!D$2,Date,,,Ccy,Conv)</f>
        <v>0</v>
      </c>
      <c r="C155" s="4">
        <f>_xll.ciqfunctions.udf.CIQ(InputTicker,"IQ_ASSET_WRITEDOWN_SUPPLE",Input!E$2,Date,,,Ccy,Conv)</f>
        <v>0</v>
      </c>
      <c r="D155" s="4">
        <f>_xll.ciqfunctions.udf.CIQ(InputTicker,"IQ_ASSET_WRITEDOWN_SUPPLE",Input!F$2,Date,,,Ccy,Conv)</f>
        <v>0</v>
      </c>
      <c r="E155" s="4">
        <f>_xll.ciqfunctions.udf.CIQ(InputTicker,"IQ_ASSET_WRITEDOWN_SUPPLE",Input!G$2,Date,,,Ccy,Conv)</f>
        <v>0</v>
      </c>
      <c r="F155" s="4">
        <f>_xll.ciqfunctions.udf.CIQ(InputTicker,"IQ_ASSET_WRITEDOWN_SUPPLE",Input!H$2,Date,,,Ccy,Conv)</f>
        <v>0</v>
      </c>
      <c r="G155" s="4">
        <f>_xll.ciqfunctions.udf.CIQ(InputTicker,"IQ_ASSET_WRITEDOWN_SUPPLE",Input!I$2,Date,,,Ccy,Conv)</f>
        <v>-2.919</v>
      </c>
      <c r="H155" s="4">
        <f>_xll.ciqfunctions.udf.CIQ(InputTicker,"IQ_ASSET_WRITEDOWN_SUPPLE",Input!J$2,Date,,,Ccy,Conv)</f>
        <v>0</v>
      </c>
      <c r="I155" s="4">
        <f>_xll.ciqfunctions.udf.CIQ(InputTicker,"IQ_ASSET_WRITEDOWN_SUPPLE",Input!K$2,Date,,,Ccy,Conv)</f>
        <v>0</v>
      </c>
      <c r="J155" s="4">
        <f>_xll.ciqfunctions.udf.CIQ(InputTicker,"IQ_ASSET_WRITEDOWN_SUPPLE",Input!L$2,Date,,,Ccy,Conv)</f>
        <v>0</v>
      </c>
      <c r="K155" s="4">
        <f>_xll.ciqfunctions.udf.CIQ(InputTicker,"IQ_ASSET_WRITEDOWN_SUPPLE",Input!M$2,Date,,,Ccy,Conv)</f>
        <v>0</v>
      </c>
      <c r="L155" s="4">
        <f>_xll.ciqfunctions.udf.CIQ(InputTicker,"IQ_ASSET_WRITEDOWN_SUPPLE",Input!N$2,Date,,,Ccy,Conv)</f>
        <v>0</v>
      </c>
      <c r="M155" s="4">
        <f>_xll.ciqfunctions.udf.CIQ(InputTicker,"IQ_ASSET_WRITEDOWN_SUPPLE",Input!O$2,Date,,,Ccy,Conv)</f>
        <v>0</v>
      </c>
      <c r="N155" s="49"/>
      <c r="P155" s="46"/>
      <c r="Q155" s="46"/>
      <c r="R155" s="46"/>
      <c r="T155" s="42"/>
      <c r="U155" s="42"/>
      <c r="V155" s="46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</row>
    <row r="156" spans="1:66" ht="12.75" customHeight="1" x14ac:dyDescent="0.2">
      <c r="A156" s="1" t="s">
        <v>415</v>
      </c>
      <c r="B156" s="4">
        <f>_xll.ciqfunctions.udf.CIQ(InputTicker,"IQ_IPRD_SUPPLE",Input!D$2,Date,,,Ccy,Conv)</f>
        <v>0</v>
      </c>
      <c r="C156" s="4">
        <f>_xll.ciqfunctions.udf.CIQ(InputTicker,"IQ_IPRD_SUPPLE",Input!E$2,Date,,,Ccy,Conv)</f>
        <v>0</v>
      </c>
      <c r="D156" s="4">
        <f>_xll.ciqfunctions.udf.CIQ(InputTicker,"IQ_IPRD_SUPPLE",Input!F$2,Date,,,Ccy,Conv)</f>
        <v>0</v>
      </c>
      <c r="E156" s="4">
        <f>_xll.ciqfunctions.udf.CIQ(InputTicker,"IQ_IPRD_SUPPLE",Input!G$2,Date,,,Ccy,Conv)</f>
        <v>0</v>
      </c>
      <c r="F156" s="4">
        <f>_xll.ciqfunctions.udf.CIQ(InputTicker,"IQ_IPRD_SUPPLE",Input!H$2,Date,,,Ccy,Conv)</f>
        <v>0</v>
      </c>
      <c r="G156" s="4">
        <f>_xll.ciqfunctions.udf.CIQ(InputTicker,"IQ_IPRD_SUPPLE",Input!I$2,Date,,,Ccy,Conv)</f>
        <v>0</v>
      </c>
      <c r="H156" s="4">
        <f>_xll.ciqfunctions.udf.CIQ(InputTicker,"IQ_IPRD_SUPPLE",Input!J$2,Date,,,Ccy,Conv)</f>
        <v>0</v>
      </c>
      <c r="I156" s="4">
        <f>_xll.ciqfunctions.udf.CIQ(InputTicker,"IQ_IPRD_SUPPLE",Input!K$2,Date,,,Ccy,Conv)</f>
        <v>0</v>
      </c>
      <c r="J156" s="4">
        <f>_xll.ciqfunctions.udf.CIQ(InputTicker,"IQ_IPRD_SUPPLE",Input!L$2,Date,,,Ccy,Conv)</f>
        <v>0</v>
      </c>
      <c r="K156" s="4">
        <f>_xll.ciqfunctions.udf.CIQ(InputTicker,"IQ_IPRD_SUPPLE",Input!M$2,Date,,,Ccy,Conv)</f>
        <v>0</v>
      </c>
      <c r="L156" s="4">
        <f>_xll.ciqfunctions.udf.CIQ(InputTicker,"IQ_IPRD_SUPPLE",Input!N$2,Date,,,Ccy,Conv)</f>
        <v>0</v>
      </c>
      <c r="M156" s="4">
        <f>_xll.ciqfunctions.udf.CIQ(InputTicker,"IQ_IPRD_SUPPLE",Input!O$2,Date,,,Ccy,Conv)</f>
        <v>0</v>
      </c>
      <c r="N156" s="49"/>
      <c r="P156" s="46"/>
      <c r="Q156" s="46"/>
      <c r="R156" s="46"/>
      <c r="T156" s="42"/>
      <c r="U156" s="42"/>
      <c r="V156" s="46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</row>
    <row r="157" spans="1:66" ht="12.75" customHeight="1" x14ac:dyDescent="0.2">
      <c r="A157" s="1" t="s">
        <v>464</v>
      </c>
      <c r="B157" s="4">
        <f>_xll.ciqfunctions.udf.CIQ(InputTicker,"IQ_GAIN_BARGAIN_ACQ",Input!D$2,Date,,,Ccy,Conv)</f>
        <v>0</v>
      </c>
      <c r="C157" s="4">
        <f>_xll.ciqfunctions.udf.CIQ(InputTicker,"IQ_GAIN_BARGAIN_ACQ",Input!E$2,Date,,,Ccy,Conv)</f>
        <v>0</v>
      </c>
      <c r="D157" s="4">
        <f>_xll.ciqfunctions.udf.CIQ(InputTicker,"IQ_GAIN_BARGAIN_ACQ",Input!F$2,Date,,,Ccy,Conv)</f>
        <v>0</v>
      </c>
      <c r="E157" s="4">
        <f>_xll.ciqfunctions.udf.CIQ(InputTicker,"IQ_GAIN_BARGAIN_ACQ",Input!G$2,Date,,,Ccy,Conv)</f>
        <v>0</v>
      </c>
      <c r="F157" s="4">
        <f>_xll.ciqfunctions.udf.CIQ(InputTicker,"IQ_GAIN_BARGAIN_ACQ",Input!H$2,Date,,,Ccy,Conv)</f>
        <v>0</v>
      </c>
      <c r="G157" s="4">
        <f>_xll.ciqfunctions.udf.CIQ(InputTicker,"IQ_GAIN_BARGAIN_ACQ",Input!I$2,Date,,,Ccy,Conv)</f>
        <v>0</v>
      </c>
      <c r="H157" s="4">
        <f>_xll.ciqfunctions.udf.CIQ(InputTicker,"IQ_GAIN_BARGAIN_ACQ",Input!J$2,Date,,,Ccy,Conv)</f>
        <v>0</v>
      </c>
      <c r="I157" s="4">
        <f>_xll.ciqfunctions.udf.CIQ(InputTicker,"IQ_GAIN_BARGAIN_ACQ",Input!K$2,Date,,,Ccy,Conv)</f>
        <v>0</v>
      </c>
      <c r="J157" s="4">
        <f>_xll.ciqfunctions.udf.CIQ(InputTicker,"IQ_GAIN_BARGAIN_ACQ",Input!L$2,Date,,,Ccy,Conv)</f>
        <v>0</v>
      </c>
      <c r="K157" s="4">
        <f>_xll.ciqfunctions.udf.CIQ(InputTicker,"IQ_GAIN_BARGAIN_ACQ",Input!M$2,Date,,,Ccy,Conv)</f>
        <v>0</v>
      </c>
      <c r="L157" s="4">
        <f>_xll.ciqfunctions.udf.CIQ(InputTicker,"IQ_GAIN_BARGAIN_ACQ",Input!N$2,Date,,,Ccy,Conv)</f>
        <v>0</v>
      </c>
      <c r="M157" s="4">
        <f>_xll.ciqfunctions.udf.CIQ(InputTicker,"IQ_GAIN_BARGAIN_ACQ",Input!O$2,Date,,,Ccy,Conv)</f>
        <v>0</v>
      </c>
      <c r="N157" s="49"/>
      <c r="P157" s="46"/>
      <c r="Q157" s="46"/>
      <c r="R157" s="46"/>
      <c r="T157" s="42"/>
      <c r="U157" s="42"/>
      <c r="V157" s="46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</row>
    <row r="158" spans="1:66" ht="12.75" customHeight="1" x14ac:dyDescent="0.2">
      <c r="A158" s="1" t="s">
        <v>465</v>
      </c>
      <c r="B158" s="4">
        <f>_xll.ciqfunctions.udf.CIQ(InputTicker,"IQ_GAIN_BARGAIN_ACQ_SUPPLE",Input!D$2,Date,,,Ccy,Conv)</f>
        <v>0</v>
      </c>
      <c r="C158" s="4">
        <f>_xll.ciqfunctions.udf.CIQ(InputTicker,"IQ_GAIN_BARGAIN_ACQ_SUPPLE",Input!E$2,Date,,,Ccy,Conv)</f>
        <v>0</v>
      </c>
      <c r="D158" s="4">
        <f>_xll.ciqfunctions.udf.CIQ(InputTicker,"IQ_GAIN_BARGAIN_ACQ_SUPPLE",Input!F$2,Date,,,Ccy,Conv)</f>
        <v>0</v>
      </c>
      <c r="E158" s="4">
        <f>_xll.ciqfunctions.udf.CIQ(InputTicker,"IQ_GAIN_BARGAIN_ACQ_SUPPLE",Input!G$2,Date,,,Ccy,Conv)</f>
        <v>0</v>
      </c>
      <c r="F158" s="4">
        <f>_xll.ciqfunctions.udf.CIQ(InputTicker,"IQ_GAIN_BARGAIN_ACQ_SUPPLE",Input!H$2,Date,,,Ccy,Conv)</f>
        <v>0</v>
      </c>
      <c r="G158" s="4">
        <f>_xll.ciqfunctions.udf.CIQ(InputTicker,"IQ_GAIN_BARGAIN_ACQ_SUPPLE",Input!I$2,Date,,,Ccy,Conv)</f>
        <v>0</v>
      </c>
      <c r="H158" s="4">
        <f>_xll.ciqfunctions.udf.CIQ(InputTicker,"IQ_GAIN_BARGAIN_ACQ_SUPPLE",Input!J$2,Date,,,Ccy,Conv)</f>
        <v>0</v>
      </c>
      <c r="I158" s="4">
        <f>_xll.ciqfunctions.udf.CIQ(InputTicker,"IQ_GAIN_BARGAIN_ACQ_SUPPLE",Input!K$2,Date,,,Ccy,Conv)</f>
        <v>0</v>
      </c>
      <c r="J158" s="4">
        <f>_xll.ciqfunctions.udf.CIQ(InputTicker,"IQ_GAIN_BARGAIN_ACQ_SUPPLE",Input!L$2,Date,,,Ccy,Conv)</f>
        <v>0</v>
      </c>
      <c r="K158" s="4">
        <f>_xll.ciqfunctions.udf.CIQ(InputTicker,"IQ_GAIN_BARGAIN_ACQ_SUPPLE",Input!M$2,Date,,,Ccy,Conv)</f>
        <v>0</v>
      </c>
      <c r="L158" s="4">
        <f>_xll.ciqfunctions.udf.CIQ(InputTicker,"IQ_GAIN_BARGAIN_ACQ_SUPPLE",Input!N$2,Date,,,Ccy,Conv)</f>
        <v>0</v>
      </c>
      <c r="M158" s="4">
        <f>_xll.ciqfunctions.udf.CIQ(InputTicker,"IQ_GAIN_BARGAIN_ACQ_SUPPLE",Input!O$2,Date,,,Ccy,Conv)</f>
        <v>0</v>
      </c>
      <c r="N158" s="49"/>
      <c r="P158" s="46"/>
      <c r="Q158" s="46"/>
      <c r="R158" s="46"/>
      <c r="T158" s="42"/>
      <c r="U158" s="42"/>
      <c r="V158" s="46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</row>
    <row r="159" spans="1:66" ht="12.75" customHeight="1" x14ac:dyDescent="0.2">
      <c r="A159" s="1" t="s">
        <v>416</v>
      </c>
      <c r="B159" s="4">
        <f>_xll.ciqfunctions.udf.CIQ(InputTicker,"IQ_INS_SETTLE_SUPPLE",Input!D$2,Date,,,Ccy,Conv)</f>
        <v>0</v>
      </c>
      <c r="C159" s="4">
        <f>_xll.ciqfunctions.udf.CIQ(InputTicker,"IQ_INS_SETTLE_SUPPLE",Input!E$2,Date,,,Ccy,Conv)</f>
        <v>0</v>
      </c>
      <c r="D159" s="4">
        <f>_xll.ciqfunctions.udf.CIQ(InputTicker,"IQ_INS_SETTLE_SUPPLE",Input!F$2,Date,,,Ccy,Conv)</f>
        <v>0</v>
      </c>
      <c r="E159" s="4">
        <f>_xll.ciqfunctions.udf.CIQ(InputTicker,"IQ_INS_SETTLE_SUPPLE",Input!G$2,Date,,,Ccy,Conv)</f>
        <v>0</v>
      </c>
      <c r="F159" s="4">
        <f>_xll.ciqfunctions.udf.CIQ(InputTicker,"IQ_INS_SETTLE_SUPPLE",Input!H$2,Date,,,Ccy,Conv)</f>
        <v>0</v>
      </c>
      <c r="G159" s="4">
        <f>_xll.ciqfunctions.udf.CIQ(InputTicker,"IQ_INS_SETTLE_SUPPLE",Input!I$2,Date,,,Ccy,Conv)</f>
        <v>0</v>
      </c>
      <c r="H159" s="4">
        <f>_xll.ciqfunctions.udf.CIQ(InputTicker,"IQ_INS_SETTLE_SUPPLE",Input!J$2,Date,,,Ccy,Conv)</f>
        <v>0</v>
      </c>
      <c r="I159" s="4">
        <f>_xll.ciqfunctions.udf.CIQ(InputTicker,"IQ_INS_SETTLE_SUPPLE",Input!K$2,Date,,,Ccy,Conv)</f>
        <v>0</v>
      </c>
      <c r="J159" s="4">
        <f>_xll.ciqfunctions.udf.CIQ(InputTicker,"IQ_INS_SETTLE_SUPPLE",Input!L$2,Date,,,Ccy,Conv)</f>
        <v>0</v>
      </c>
      <c r="K159" s="4">
        <f>_xll.ciqfunctions.udf.CIQ(InputTicker,"IQ_INS_SETTLE_SUPPLE",Input!M$2,Date,,,Ccy,Conv)</f>
        <v>0</v>
      </c>
      <c r="L159" s="4">
        <f>_xll.ciqfunctions.udf.CIQ(InputTicker,"IQ_INS_SETTLE_SUPPLE",Input!N$2,Date,,,Ccy,Conv)</f>
        <v>0</v>
      </c>
      <c r="M159" s="4">
        <f>_xll.ciqfunctions.udf.CIQ(InputTicker,"IQ_INS_SETTLE_SUPPLE",Input!O$2,Date,,,Ccy,Conv)</f>
        <v>0</v>
      </c>
      <c r="N159" s="49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</row>
    <row r="160" spans="1:66" ht="12.75" customHeight="1" x14ac:dyDescent="0.2">
      <c r="A160" s="1" t="s">
        <v>417</v>
      </c>
      <c r="B160" s="4">
        <f>_xll.ciqfunctions.udf.CIQ(InputTicker,"IQ_LEGAL_SETTLE_SUPPLE",Input!D$2,Date,,,Ccy,Conv)</f>
        <v>0</v>
      </c>
      <c r="C160" s="4">
        <f>_xll.ciqfunctions.udf.CIQ(InputTicker,"IQ_LEGAL_SETTLE_SUPPLE",Input!E$2,Date,,,Ccy,Conv)</f>
        <v>0</v>
      </c>
      <c r="D160" s="4">
        <f>_xll.ciqfunctions.udf.CIQ(InputTicker,"IQ_LEGAL_SETTLE_SUPPLE",Input!F$2,Date,,,Ccy,Conv)</f>
        <v>0</v>
      </c>
      <c r="E160" s="4">
        <f>_xll.ciqfunctions.udf.CIQ(InputTicker,"IQ_LEGAL_SETTLE_SUPPLE",Input!G$2,Date,,,Ccy,Conv)</f>
        <v>0</v>
      </c>
      <c r="F160" s="4">
        <f>_xll.ciqfunctions.udf.CIQ(InputTicker,"IQ_LEGAL_SETTLE_SUPPLE",Input!H$2,Date,,,Ccy,Conv)</f>
        <v>0</v>
      </c>
      <c r="G160" s="4">
        <f>_xll.ciqfunctions.udf.CIQ(InputTicker,"IQ_LEGAL_SETTLE_SUPPLE",Input!I$2,Date,,,Ccy,Conv)</f>
        <v>0</v>
      </c>
      <c r="H160" s="4">
        <f>_xll.ciqfunctions.udf.CIQ(InputTicker,"IQ_LEGAL_SETTLE_SUPPLE",Input!J$2,Date,,,Ccy,Conv)</f>
        <v>0</v>
      </c>
      <c r="I160" s="4">
        <f>_xll.ciqfunctions.udf.CIQ(InputTicker,"IQ_LEGAL_SETTLE_SUPPLE",Input!K$2,Date,,,Ccy,Conv)</f>
        <v>0</v>
      </c>
      <c r="J160" s="4">
        <f>_xll.ciqfunctions.udf.CIQ(InputTicker,"IQ_LEGAL_SETTLE_SUPPLE",Input!L$2,Date,,,Ccy,Conv)</f>
        <v>0</v>
      </c>
      <c r="K160" s="4">
        <f>_xll.ciqfunctions.udf.CIQ(InputTicker,"IQ_LEGAL_SETTLE_SUPPLE",Input!M$2,Date,,,Ccy,Conv)</f>
        <v>0</v>
      </c>
      <c r="L160" s="4">
        <f>_xll.ciqfunctions.udf.CIQ(InputTicker,"IQ_LEGAL_SETTLE_SUPPLE",Input!N$2,Date,,,Ccy,Conv)</f>
        <v>0</v>
      </c>
      <c r="M160" s="4">
        <f>_xll.ciqfunctions.udf.CIQ(InputTicker,"IQ_LEGAL_SETTLE_SUPPLE",Input!O$2,Date,,,Ccy,Conv)</f>
        <v>0</v>
      </c>
      <c r="N160" s="49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</row>
    <row r="161" spans="1:66" ht="12.75" customHeight="1" x14ac:dyDescent="0.2">
      <c r="A161" s="1" t="s">
        <v>418</v>
      </c>
      <c r="B161" s="4">
        <f>_xll.ciqfunctions.udf.CIQ(InputTicker,"IQ_OTHER_UNUSUAL_SUPPLE",Input!D$2,Date,,,Ccy,Conv)</f>
        <v>0.32800000000000001</v>
      </c>
      <c r="C161" s="4">
        <f>_xll.ciqfunctions.udf.CIQ(InputTicker,"IQ_OTHER_UNUSUAL_SUPPLE",Input!E$2,Date,,,Ccy,Conv)</f>
        <v>0.79800000000000004</v>
      </c>
      <c r="D161" s="4">
        <f>_xll.ciqfunctions.udf.CIQ(InputTicker,"IQ_OTHER_UNUSUAL_SUPPLE",Input!F$2,Date,,,Ccy,Conv)</f>
        <v>0</v>
      </c>
      <c r="E161" s="4">
        <f>_xll.ciqfunctions.udf.CIQ(InputTicker,"IQ_OTHER_UNUSUAL_SUPPLE",Input!G$2,Date,,,Ccy,Conv)</f>
        <v>0</v>
      </c>
      <c r="F161" s="4">
        <f>_xll.ciqfunctions.udf.CIQ(InputTicker,"IQ_OTHER_UNUSUAL_SUPPLE",Input!H$2,Date,,,Ccy,Conv)</f>
        <v>0</v>
      </c>
      <c r="G161" s="4">
        <f>_xll.ciqfunctions.udf.CIQ(InputTicker,"IQ_OTHER_UNUSUAL_SUPPLE",Input!I$2,Date,,,Ccy,Conv)</f>
        <v>0</v>
      </c>
      <c r="H161" s="4">
        <f>_xll.ciqfunctions.udf.CIQ(InputTicker,"IQ_OTHER_UNUSUAL_SUPPLE",Input!J$2,Date,,,Ccy,Conv)</f>
        <v>0</v>
      </c>
      <c r="I161" s="4">
        <f>_xll.ciqfunctions.udf.CIQ(InputTicker,"IQ_OTHER_UNUSUAL_SUPPLE",Input!K$2,Date,,,Ccy,Conv)</f>
        <v>0</v>
      </c>
      <c r="J161" s="4">
        <f>_xll.ciqfunctions.udf.CIQ(InputTicker,"IQ_OTHER_UNUSUAL_SUPPLE",Input!L$2,Date,,,Ccy,Conv)</f>
        <v>0</v>
      </c>
      <c r="K161" s="4">
        <f>_xll.ciqfunctions.udf.CIQ(InputTicker,"IQ_OTHER_UNUSUAL_SUPPLE",Input!M$2,Date,,,Ccy,Conv)</f>
        <v>0</v>
      </c>
      <c r="L161" s="4">
        <f>_xll.ciqfunctions.udf.CIQ(InputTicker,"IQ_OTHER_UNUSUAL_SUPPLE",Input!N$2,Date,,,Ccy,Conv)</f>
        <v>0</v>
      </c>
      <c r="M161" s="4">
        <f>_xll.ciqfunctions.udf.CIQ(InputTicker,"IQ_OTHER_UNUSUAL_SUPPLE",Input!O$2,Date,,,Ccy,Conv)</f>
        <v>0</v>
      </c>
      <c r="N161" s="49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</row>
    <row r="162" spans="1:66" ht="12.75" customHeight="1" x14ac:dyDescent="0.2">
      <c r="A162" s="1" t="s">
        <v>410</v>
      </c>
      <c r="B162" s="4">
        <f>_xll.ciqfunctions.udf.CIQ(InputTicker,"IQ_TOTAL_UNUSUAL_SUPPLE",Input!D$2,Date,,,Ccy,Conv)</f>
        <v>0.32800000000000001</v>
      </c>
      <c r="C162" s="4">
        <f>_xll.ciqfunctions.udf.CIQ(InputTicker,"IQ_TOTAL_UNUSUAL_SUPPLE",Input!E$2,Date,,,Ccy,Conv)</f>
        <v>0.79800000000000004</v>
      </c>
      <c r="D162" s="4">
        <f>_xll.ciqfunctions.udf.CIQ(InputTicker,"IQ_TOTAL_UNUSUAL_SUPPLE",Input!F$2,Date,,,Ccy,Conv)</f>
        <v>0</v>
      </c>
      <c r="E162" s="4">
        <f>_xll.ciqfunctions.udf.CIQ(InputTicker,"IQ_TOTAL_UNUSUAL_SUPPLE",Input!G$2,Date,,,Ccy,Conv)</f>
        <v>0</v>
      </c>
      <c r="F162" s="4">
        <f>_xll.ciqfunctions.udf.CIQ(InputTicker,"IQ_TOTAL_UNUSUAL_SUPPLE",Input!H$2,Date,,,Ccy,Conv)</f>
        <v>0</v>
      </c>
      <c r="G162" s="4">
        <f>_xll.ciqfunctions.udf.CIQ(InputTicker,"IQ_TOTAL_UNUSUAL_SUPPLE",Input!I$2,Date,,,Ccy,Conv)</f>
        <v>-2.919</v>
      </c>
      <c r="H162" s="4">
        <f>_xll.ciqfunctions.udf.CIQ(InputTicker,"IQ_TOTAL_UNUSUAL_SUPPLE",Input!J$2,Date,,,Ccy,Conv)</f>
        <v>0</v>
      </c>
      <c r="I162" s="4">
        <f>_xll.ciqfunctions.udf.CIQ(InputTicker,"IQ_TOTAL_UNUSUAL_SUPPLE",Input!K$2,Date,,,Ccy,Conv)</f>
        <v>0</v>
      </c>
      <c r="J162" s="4">
        <f>_xll.ciqfunctions.udf.CIQ(InputTicker,"IQ_TOTAL_UNUSUAL_SUPPLE",Input!L$2,Date,,,Ccy,Conv)</f>
        <v>0</v>
      </c>
      <c r="K162" s="4">
        <f>_xll.ciqfunctions.udf.CIQ(InputTicker,"IQ_TOTAL_UNUSUAL_SUPPLE",Input!M$2,Date,,,Ccy,Conv)</f>
        <v>0</v>
      </c>
      <c r="L162" s="4">
        <f>_xll.ciqfunctions.udf.CIQ(InputTicker,"IQ_TOTAL_UNUSUAL_SUPPLE",Input!N$2,Date,,,Ccy,Conv)</f>
        <v>0</v>
      </c>
      <c r="M162" s="4">
        <f>_xll.ciqfunctions.udf.CIQ(InputTicker,"IQ_TOTAL_UNUSUAL_SUPPLE",Input!O$2,Date,,,Ccy,Conv)</f>
        <v>0</v>
      </c>
      <c r="N162" s="49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</row>
    <row r="163" spans="1:66" ht="12.75" customHeight="1" x14ac:dyDescent="0.2">
      <c r="A163" s="1" t="s">
        <v>40</v>
      </c>
      <c r="B163" s="4">
        <f>_xll.ciqfunctions.udf.CIQ(InputTicker,"IQ_NEGATIVE_GW_AMORT",Input!D$2,Date,,,Ccy,Conv)</f>
        <v>0</v>
      </c>
      <c r="C163" s="4">
        <f>_xll.ciqfunctions.udf.CIQ(InputTicker,"IQ_NEGATIVE_GW_AMORT",Input!E$2,Date,,,Ccy,Conv)</f>
        <v>0</v>
      </c>
      <c r="D163" s="4">
        <f>_xll.ciqfunctions.udf.CIQ(InputTicker,"IQ_NEGATIVE_GW_AMORT",Input!F$2,Date,,,Ccy,Conv)</f>
        <v>0</v>
      </c>
      <c r="E163" s="4">
        <f>_xll.ciqfunctions.udf.CIQ(InputTicker,"IQ_NEGATIVE_GW_AMORT",Input!G$2,Date,,,Ccy,Conv)</f>
        <v>0</v>
      </c>
      <c r="F163" s="4">
        <f>_xll.ciqfunctions.udf.CIQ(InputTicker,"IQ_NEGATIVE_GW_AMORT",Input!H$2,Date,,,Ccy,Conv)</f>
        <v>0</v>
      </c>
      <c r="G163" s="4">
        <f>_xll.ciqfunctions.udf.CIQ(InputTicker,"IQ_NEGATIVE_GW_AMORT",Input!I$2,Date,,,Ccy,Conv)</f>
        <v>0</v>
      </c>
      <c r="H163" s="4">
        <f>_xll.ciqfunctions.udf.CIQ(InputTicker,"IQ_NEGATIVE_GW_AMORT",Input!J$2,Date,,,Ccy,Conv)</f>
        <v>0</v>
      </c>
      <c r="I163" s="4">
        <f>_xll.ciqfunctions.udf.CIQ(InputTicker,"IQ_NEGATIVE_GW_AMORT",Input!K$2,Date,,,Ccy,Conv)</f>
        <v>0</v>
      </c>
      <c r="J163" s="4">
        <f>_xll.ciqfunctions.udf.CIQ(InputTicker,"IQ_NEGATIVE_GW_AMORT",Input!L$2,Date,,,Ccy,Conv)</f>
        <v>0</v>
      </c>
      <c r="K163" s="4">
        <f>_xll.ciqfunctions.udf.CIQ(InputTicker,"IQ_NEGATIVE_GW_AMORT",Input!M$2,Date,,,Ccy,Conv)</f>
        <v>0</v>
      </c>
      <c r="L163" s="4">
        <f>_xll.ciqfunctions.udf.CIQ(InputTicker,"IQ_NEGATIVE_GW_AMORT",Input!N$2,Date,,,Ccy,Conv)</f>
        <v>0</v>
      </c>
      <c r="M163" s="4">
        <f>_xll.ciqfunctions.udf.CIQ(InputTicker,"IQ_NEGATIVE_GW_AMORT",Input!O$2,Date,,,Ccy,Conv)</f>
        <v>0</v>
      </c>
      <c r="N163" s="49"/>
      <c r="P163" s="51"/>
      <c r="Q163" s="51"/>
      <c r="R163" s="51"/>
      <c r="T163" s="42"/>
      <c r="U163" s="42"/>
      <c r="V163" s="51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</row>
    <row r="164" spans="1:66" ht="12.75" customHeight="1" x14ac:dyDescent="0.2">
      <c r="A164" s="1" t="s">
        <v>41</v>
      </c>
      <c r="B164" s="4">
        <f>_xll.ciqfunctions.udf.CIQ(InputTicker,"IQ_NEGATIVE_GW_AMORT_AT",Input!D$2,Date,,,Ccy,Conv)</f>
        <v>0</v>
      </c>
      <c r="C164" s="4">
        <f>_xll.ciqfunctions.udf.CIQ(InputTicker,"IQ_NEGATIVE_GW_AMORT_AT",Input!E$2,Date,,,Ccy,Conv)</f>
        <v>0</v>
      </c>
      <c r="D164" s="4">
        <f>_xll.ciqfunctions.udf.CIQ(InputTicker,"IQ_NEGATIVE_GW_AMORT_AT",Input!F$2,Date,,,Ccy,Conv)</f>
        <v>0</v>
      </c>
      <c r="E164" s="4">
        <f>_xll.ciqfunctions.udf.CIQ(InputTicker,"IQ_NEGATIVE_GW_AMORT_AT",Input!G$2,Date,,,Ccy,Conv)</f>
        <v>0</v>
      </c>
      <c r="F164" s="4">
        <f>_xll.ciqfunctions.udf.CIQ(InputTicker,"IQ_NEGATIVE_GW_AMORT_AT",Input!H$2,Date,,,Ccy,Conv)</f>
        <v>0</v>
      </c>
      <c r="G164" s="4">
        <f>_xll.ciqfunctions.udf.CIQ(InputTicker,"IQ_NEGATIVE_GW_AMORT_AT",Input!I$2,Date,,,Ccy,Conv)</f>
        <v>0</v>
      </c>
      <c r="H164" s="4">
        <f>_xll.ciqfunctions.udf.CIQ(InputTicker,"IQ_NEGATIVE_GW_AMORT_AT",Input!J$2,Date,,,Ccy,Conv)</f>
        <v>0</v>
      </c>
      <c r="I164" s="4">
        <f>_xll.ciqfunctions.udf.CIQ(InputTicker,"IQ_NEGATIVE_GW_AMORT_AT",Input!K$2,Date,,,Ccy,Conv)</f>
        <v>0</v>
      </c>
      <c r="J164" s="4">
        <f>_xll.ciqfunctions.udf.CIQ(InputTicker,"IQ_NEGATIVE_GW_AMORT_AT",Input!L$2,Date,,,Ccy,Conv)</f>
        <v>0</v>
      </c>
      <c r="K164" s="4">
        <f>_xll.ciqfunctions.udf.CIQ(InputTicker,"IQ_NEGATIVE_GW_AMORT_AT",Input!M$2,Date,,,Ccy,Conv)</f>
        <v>0</v>
      </c>
      <c r="L164" s="4">
        <f>_xll.ciqfunctions.udf.CIQ(InputTicker,"IQ_NEGATIVE_GW_AMORT_AT",Input!N$2,Date,,,Ccy,Conv)</f>
        <v>0</v>
      </c>
      <c r="M164" s="4">
        <f>_xll.ciqfunctions.udf.CIQ(InputTicker,"IQ_NEGATIVE_GW_AMORT_AT",Input!O$2,Date,,,Ccy,Conv)</f>
        <v>0</v>
      </c>
      <c r="N164" s="49"/>
      <c r="P164" s="51"/>
      <c r="Q164" s="51"/>
      <c r="R164" s="51"/>
      <c r="T164" s="42"/>
      <c r="U164" s="42"/>
      <c r="V164" s="51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</row>
    <row r="165" spans="1:66" ht="12.75" customHeight="1" x14ac:dyDescent="0.2">
      <c r="A165" s="1" t="s">
        <v>336</v>
      </c>
      <c r="B165" s="4">
        <f>_xll.ciqfunctions.udf.CIQ(InputTicker, "IQ_STOCK_BASED_COGS",Input!D$2,Date,,,Ccy,Conv)</f>
        <v>0</v>
      </c>
      <c r="C165" s="4">
        <f>_xll.ciqfunctions.udf.CIQ(InputTicker, "IQ_STOCK_BASED_COGS",Input!E$2,Date,,,Ccy,Conv)</f>
        <v>0</v>
      </c>
      <c r="D165" s="4">
        <f>_xll.ciqfunctions.udf.CIQ(InputTicker, "IQ_STOCK_BASED_COGS",Input!F$2,Date,,,Ccy,Conv)</f>
        <v>0</v>
      </c>
      <c r="E165" s="4">
        <f>_xll.ciqfunctions.udf.CIQ(InputTicker, "IQ_STOCK_BASED_COGS",Input!G$2,Date,,,Ccy,Conv)</f>
        <v>0</v>
      </c>
      <c r="F165" s="4">
        <f>_xll.ciqfunctions.udf.CIQ(InputTicker, "IQ_STOCK_BASED_COGS",Input!H$2,Date,,,Ccy,Conv)</f>
        <v>0</v>
      </c>
      <c r="G165" s="4">
        <f>_xll.ciqfunctions.udf.CIQ(InputTicker, "IQ_STOCK_BASED_COGS",Input!I$2,Date,,,Ccy,Conv)</f>
        <v>0</v>
      </c>
      <c r="H165" s="4">
        <f>_xll.ciqfunctions.udf.CIQ(InputTicker, "IQ_STOCK_BASED_COGS",Input!J$2,Date,,,Ccy,Conv)</f>
        <v>0</v>
      </c>
      <c r="I165" s="4">
        <f>_xll.ciqfunctions.udf.CIQ(InputTicker, "IQ_STOCK_BASED_COGS",Input!K$2,Date,,,Ccy,Conv)</f>
        <v>0</v>
      </c>
      <c r="J165" s="4">
        <f>_xll.ciqfunctions.udf.CIQ(InputTicker, "IQ_STOCK_BASED_COGS",Input!L$2,Date,,,Ccy,Conv)</f>
        <v>0</v>
      </c>
      <c r="K165" s="4">
        <f>_xll.ciqfunctions.udf.CIQ(InputTicker, "IQ_STOCK_BASED_COGS",Input!M$2,Date,,,Ccy,Conv)</f>
        <v>0</v>
      </c>
      <c r="L165" s="4">
        <f>_xll.ciqfunctions.udf.CIQ(InputTicker, "IQ_STOCK_BASED_COGS",Input!N$2,Date,,,Ccy,Conv)</f>
        <v>0</v>
      </c>
      <c r="M165" s="4">
        <f>_xll.ciqfunctions.udf.CIQ(InputTicker, "IQ_STOCK_BASED_COGS",Input!O$2,Date,,,Ccy,Conv)</f>
        <v>0</v>
      </c>
      <c r="N165" s="49"/>
      <c r="P165" s="51"/>
      <c r="Q165" s="51"/>
      <c r="R165" s="51"/>
      <c r="T165" s="42"/>
      <c r="U165" s="42"/>
      <c r="V165" s="51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</row>
    <row r="166" spans="1:66" ht="12.75" customHeight="1" x14ac:dyDescent="0.2">
      <c r="A166" s="1" t="s">
        <v>337</v>
      </c>
      <c r="B166" s="4">
        <f>_xll.ciqfunctions.udf.CIQ(InputTicker, "IQ_STOCK_BASED_RD",Input!D$2,Date,,,Ccy,Conv)</f>
        <v>0</v>
      </c>
      <c r="C166" s="4">
        <f>_xll.ciqfunctions.udf.CIQ(InputTicker, "IQ_STOCK_BASED_RD",Input!E$2,Date,,,Ccy,Conv)</f>
        <v>0</v>
      </c>
      <c r="D166" s="4">
        <f>_xll.ciqfunctions.udf.CIQ(InputTicker, "IQ_STOCK_BASED_RD",Input!F$2,Date,,,Ccy,Conv)</f>
        <v>0</v>
      </c>
      <c r="E166" s="4">
        <f>_xll.ciqfunctions.udf.CIQ(InputTicker, "IQ_STOCK_BASED_RD",Input!G$2,Date,,,Ccy,Conv)</f>
        <v>0</v>
      </c>
      <c r="F166" s="4">
        <f>_xll.ciqfunctions.udf.CIQ(InputTicker, "IQ_STOCK_BASED_RD",Input!H$2,Date,,,Ccy,Conv)</f>
        <v>0</v>
      </c>
      <c r="G166" s="4">
        <f>_xll.ciqfunctions.udf.CIQ(InputTicker, "IQ_STOCK_BASED_RD",Input!I$2,Date,,,Ccy,Conv)</f>
        <v>0</v>
      </c>
      <c r="H166" s="4">
        <f>_xll.ciqfunctions.udf.CIQ(InputTicker, "IQ_STOCK_BASED_RD",Input!J$2,Date,,,Ccy,Conv)</f>
        <v>0</v>
      </c>
      <c r="I166" s="4">
        <f>_xll.ciqfunctions.udf.CIQ(InputTicker, "IQ_STOCK_BASED_RD",Input!K$2,Date,,,Ccy,Conv)</f>
        <v>0</v>
      </c>
      <c r="J166" s="4">
        <f>_xll.ciqfunctions.udf.CIQ(InputTicker, "IQ_STOCK_BASED_RD",Input!L$2,Date,,,Ccy,Conv)</f>
        <v>0</v>
      </c>
      <c r="K166" s="4">
        <f>_xll.ciqfunctions.udf.CIQ(InputTicker, "IQ_STOCK_BASED_RD",Input!M$2,Date,,,Ccy,Conv)</f>
        <v>0</v>
      </c>
      <c r="L166" s="4">
        <f>_xll.ciqfunctions.udf.CIQ(InputTicker, "IQ_STOCK_BASED_RD",Input!N$2,Date,,,Ccy,Conv)</f>
        <v>0</v>
      </c>
      <c r="M166" s="4">
        <f>_xll.ciqfunctions.udf.CIQ(InputTicker, "IQ_STOCK_BASED_RD",Input!O$2,Date,,,Ccy,Conv)</f>
        <v>0</v>
      </c>
      <c r="N166" s="49"/>
      <c r="P166" s="51"/>
      <c r="Q166" s="51"/>
      <c r="R166" s="51"/>
      <c r="T166" s="42"/>
      <c r="U166" s="42"/>
      <c r="V166" s="51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</row>
    <row r="167" spans="1:66" ht="12.75" customHeight="1" x14ac:dyDescent="0.2">
      <c r="A167" s="1" t="s">
        <v>338</v>
      </c>
      <c r="B167" s="4">
        <f>_xll.ciqfunctions.udf.CIQ(InputTicker, "IQ_STOCK_BASED_SM",Input!D$2,Date,,,Ccy,Conv)</f>
        <v>0</v>
      </c>
      <c r="C167" s="4">
        <f>_xll.ciqfunctions.udf.CIQ(InputTicker, "IQ_STOCK_BASED_SM",Input!E$2,Date,,,Ccy,Conv)</f>
        <v>0</v>
      </c>
      <c r="D167" s="4">
        <f>_xll.ciqfunctions.udf.CIQ(InputTicker, "IQ_STOCK_BASED_SM",Input!F$2,Date,,,Ccy,Conv)</f>
        <v>0</v>
      </c>
      <c r="E167" s="4">
        <f>_xll.ciqfunctions.udf.CIQ(InputTicker, "IQ_STOCK_BASED_SM",Input!G$2,Date,,,Ccy,Conv)</f>
        <v>0</v>
      </c>
      <c r="F167" s="4">
        <f>_xll.ciqfunctions.udf.CIQ(InputTicker, "IQ_STOCK_BASED_SM",Input!H$2,Date,,,Ccy,Conv)</f>
        <v>0</v>
      </c>
      <c r="G167" s="4">
        <f>_xll.ciqfunctions.udf.CIQ(InputTicker, "IQ_STOCK_BASED_SM",Input!I$2,Date,,,Ccy,Conv)</f>
        <v>0</v>
      </c>
      <c r="H167" s="4">
        <f>_xll.ciqfunctions.udf.CIQ(InputTicker, "IQ_STOCK_BASED_SM",Input!J$2,Date,,,Ccy,Conv)</f>
        <v>0</v>
      </c>
      <c r="I167" s="4">
        <f>_xll.ciqfunctions.udf.CIQ(InputTicker, "IQ_STOCK_BASED_SM",Input!K$2,Date,,,Ccy,Conv)</f>
        <v>0</v>
      </c>
      <c r="J167" s="4">
        <f>_xll.ciqfunctions.udf.CIQ(InputTicker, "IQ_STOCK_BASED_SM",Input!L$2,Date,,,Ccy,Conv)</f>
        <v>0</v>
      </c>
      <c r="K167" s="4">
        <f>_xll.ciqfunctions.udf.CIQ(InputTicker, "IQ_STOCK_BASED_SM",Input!M$2,Date,,,Ccy,Conv)</f>
        <v>0</v>
      </c>
      <c r="L167" s="4">
        <f>_xll.ciqfunctions.udf.CIQ(InputTicker, "IQ_STOCK_BASED_SM",Input!N$2,Date,,,Ccy,Conv)</f>
        <v>0</v>
      </c>
      <c r="M167" s="4">
        <f>_xll.ciqfunctions.udf.CIQ(InputTicker, "IQ_STOCK_BASED_SM",Input!O$2,Date,,,Ccy,Conv)</f>
        <v>0</v>
      </c>
      <c r="N167" s="49"/>
      <c r="P167" s="51"/>
      <c r="Q167" s="51"/>
      <c r="R167" s="51"/>
      <c r="T167" s="42"/>
      <c r="U167" s="42"/>
      <c r="V167" s="51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</row>
    <row r="168" spans="1:66" ht="12.75" customHeight="1" x14ac:dyDescent="0.2">
      <c r="A168" s="1" t="s">
        <v>339</v>
      </c>
      <c r="B168" s="4">
        <f>_xll.ciqfunctions.udf.CIQ(InputTicker, "IQ_STOCK_BASED_GA",Input!D$2,Date,,,Ccy,Conv)</f>
        <v>0</v>
      </c>
      <c r="C168" s="4">
        <f>_xll.ciqfunctions.udf.CIQ(InputTicker, "IQ_STOCK_BASED_GA",Input!E$2,Date,,,Ccy,Conv)</f>
        <v>0</v>
      </c>
      <c r="D168" s="4">
        <f>_xll.ciqfunctions.udf.CIQ(InputTicker, "IQ_STOCK_BASED_GA",Input!F$2,Date,,,Ccy,Conv)</f>
        <v>0</v>
      </c>
      <c r="E168" s="4">
        <f>_xll.ciqfunctions.udf.CIQ(InputTicker, "IQ_STOCK_BASED_GA",Input!G$2,Date,,,Ccy,Conv)</f>
        <v>0</v>
      </c>
      <c r="F168" s="4">
        <f>_xll.ciqfunctions.udf.CIQ(InputTicker, "IQ_STOCK_BASED_GA",Input!H$2,Date,,,Ccy,Conv)</f>
        <v>0</v>
      </c>
      <c r="G168" s="4">
        <f>_xll.ciqfunctions.udf.CIQ(InputTicker, "IQ_STOCK_BASED_GA",Input!I$2,Date,,,Ccy,Conv)</f>
        <v>0</v>
      </c>
      <c r="H168" s="4">
        <f>_xll.ciqfunctions.udf.CIQ(InputTicker, "IQ_STOCK_BASED_GA",Input!J$2,Date,,,Ccy,Conv)</f>
        <v>0</v>
      </c>
      <c r="I168" s="4">
        <f>_xll.ciqfunctions.udf.CIQ(InputTicker, "IQ_STOCK_BASED_GA",Input!K$2,Date,,,Ccy,Conv)</f>
        <v>0</v>
      </c>
      <c r="J168" s="4">
        <f>_xll.ciqfunctions.udf.CIQ(InputTicker, "IQ_STOCK_BASED_GA",Input!L$2,Date,,,Ccy,Conv)</f>
        <v>0</v>
      </c>
      <c r="K168" s="4">
        <f>_xll.ciqfunctions.udf.CIQ(InputTicker, "IQ_STOCK_BASED_GA",Input!M$2,Date,,,Ccy,Conv)</f>
        <v>0</v>
      </c>
      <c r="L168" s="4">
        <f>_xll.ciqfunctions.udf.CIQ(InputTicker, "IQ_STOCK_BASED_GA",Input!N$2,Date,,,Ccy,Conv)</f>
        <v>0</v>
      </c>
      <c r="M168" s="4">
        <f>_xll.ciqfunctions.udf.CIQ(InputTicker, "IQ_STOCK_BASED_GA",Input!O$2,Date,,,Ccy,Conv)</f>
        <v>0</v>
      </c>
      <c r="N168" s="49"/>
      <c r="P168" s="51"/>
      <c r="Q168" s="51"/>
      <c r="R168" s="51"/>
      <c r="T168" s="42"/>
      <c r="U168" s="42"/>
      <c r="V168" s="51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</row>
    <row r="169" spans="1:66" ht="12.75" customHeight="1" x14ac:dyDescent="0.2">
      <c r="A169" s="1" t="s">
        <v>340</v>
      </c>
      <c r="B169" s="4">
        <f>_xll.ciqfunctions.udf.CIQ(InputTicker, "IQ_STOCK_BASED_SGA",Input!D$2,Date,,,Ccy,Conv)</f>
        <v>2.9550000000000001</v>
      </c>
      <c r="C169" s="4">
        <f>_xll.ciqfunctions.udf.CIQ(InputTicker, "IQ_STOCK_BASED_SGA",Input!E$2,Date,,,Ccy,Conv)</f>
        <v>3.0179999999999998</v>
      </c>
      <c r="D169" s="4">
        <f>_xll.ciqfunctions.udf.CIQ(InputTicker, "IQ_STOCK_BASED_SGA",Input!F$2,Date,,,Ccy,Conv)</f>
        <v>3.427</v>
      </c>
      <c r="E169" s="4">
        <f>_xll.ciqfunctions.udf.CIQ(InputTicker, "IQ_STOCK_BASED_SGA",Input!G$2,Date,,,Ccy,Conv)</f>
        <v>3.4670000000000001</v>
      </c>
      <c r="F169" s="4">
        <f>_xll.ciqfunctions.udf.CIQ(InputTicker, "IQ_STOCK_BASED_SGA",Input!H$2,Date,,,Ccy,Conv)</f>
        <v>3.6190000000000002</v>
      </c>
      <c r="G169" s="4">
        <f>_xll.ciqfunctions.udf.CIQ(InputTicker, "IQ_STOCK_BASED_SGA",Input!I$2,Date,,,Ccy,Conv)</f>
        <v>3.617</v>
      </c>
      <c r="H169" s="4">
        <f>_xll.ciqfunctions.udf.CIQ(InputTicker, "IQ_STOCK_BASED_SGA",Input!J$2,Date,,,Ccy,Conv)</f>
        <v>3.778</v>
      </c>
      <c r="I169" s="4">
        <f>_xll.ciqfunctions.udf.CIQ(InputTicker, "IQ_STOCK_BASED_SGA",Input!K$2,Date,,,Ccy,Conv)</f>
        <v>0</v>
      </c>
      <c r="J169" s="4">
        <f>_xll.ciqfunctions.udf.CIQ(InputTicker, "IQ_STOCK_BASED_SGA",Input!L$2,Date,,,Ccy,Conv)</f>
        <v>0</v>
      </c>
      <c r="K169" s="4">
        <f>_xll.ciqfunctions.udf.CIQ(InputTicker, "IQ_STOCK_BASED_SGA",Input!M$2,Date,,,Ccy,Conv)</f>
        <v>0</v>
      </c>
      <c r="L169" s="4">
        <f>_xll.ciqfunctions.udf.CIQ(InputTicker, "IQ_STOCK_BASED_SGA",Input!N$2,Date,,,Ccy,Conv)</f>
        <v>0</v>
      </c>
      <c r="M169" s="4">
        <f>_xll.ciqfunctions.udf.CIQ(InputTicker, "IQ_STOCK_BASED_SGA",Input!O$2,Date,,,Ccy,Conv)</f>
        <v>0</v>
      </c>
      <c r="N169" s="49"/>
      <c r="P169" s="51"/>
      <c r="Q169" s="51"/>
      <c r="R169" s="51"/>
      <c r="T169" s="42"/>
      <c r="U169" s="42"/>
      <c r="V169" s="51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</row>
    <row r="170" spans="1:66" ht="12.75" customHeight="1" x14ac:dyDescent="0.2">
      <c r="A170" s="1" t="s">
        <v>393</v>
      </c>
      <c r="B170" s="4">
        <f>_xll.ciqfunctions.udf.CIQ(InputTicker, "IQ_STOCK_BASED_EXPLORE_DRILL",Input!D$2,Date,,,Ccy,Conv)</f>
        <v>0</v>
      </c>
      <c r="C170" s="4">
        <f>_xll.ciqfunctions.udf.CIQ(InputTicker, "IQ_STOCK_BASED_EXPLORE_DRILL",Input!E$2,Date,,,Ccy,Conv)</f>
        <v>0</v>
      </c>
      <c r="D170" s="4">
        <f>_xll.ciqfunctions.udf.CIQ(InputTicker, "IQ_STOCK_BASED_EXPLORE_DRILL",Input!F$2,Date,,,Ccy,Conv)</f>
        <v>0</v>
      </c>
      <c r="E170" s="4">
        <f>_xll.ciqfunctions.udf.CIQ(InputTicker, "IQ_STOCK_BASED_EXPLORE_DRILL",Input!G$2,Date,,,Ccy,Conv)</f>
        <v>0</v>
      </c>
      <c r="F170" s="4">
        <f>_xll.ciqfunctions.udf.CIQ(InputTicker, "IQ_STOCK_BASED_EXPLORE_DRILL",Input!H$2,Date,,,Ccy,Conv)</f>
        <v>0</v>
      </c>
      <c r="G170" s="4">
        <f>_xll.ciqfunctions.udf.CIQ(InputTicker, "IQ_STOCK_BASED_EXPLORE_DRILL",Input!I$2,Date,,,Ccy,Conv)</f>
        <v>0</v>
      </c>
      <c r="H170" s="4">
        <f>_xll.ciqfunctions.udf.CIQ(InputTicker, "IQ_STOCK_BASED_EXPLORE_DRILL",Input!J$2,Date,,,Ccy,Conv)</f>
        <v>0</v>
      </c>
      <c r="I170" s="4">
        <f>_xll.ciqfunctions.udf.CIQ(InputTicker, "IQ_STOCK_BASED_EXPLORE_DRILL",Input!K$2,Date,,,Ccy,Conv)</f>
        <v>0</v>
      </c>
      <c r="J170" s="4">
        <f>_xll.ciqfunctions.udf.CIQ(InputTicker, "IQ_STOCK_BASED_EXPLORE_DRILL",Input!L$2,Date,,,Ccy,Conv)</f>
        <v>0</v>
      </c>
      <c r="K170" s="4">
        <f>_xll.ciqfunctions.udf.CIQ(InputTicker, "IQ_STOCK_BASED_EXPLORE_DRILL",Input!M$2,Date,,,Ccy,Conv)</f>
        <v>0</v>
      </c>
      <c r="L170" s="4">
        <f>_xll.ciqfunctions.udf.CIQ(InputTicker, "IQ_STOCK_BASED_EXPLORE_DRILL",Input!N$2,Date,,,Ccy,Conv)</f>
        <v>0</v>
      </c>
      <c r="M170" s="4">
        <f>_xll.ciqfunctions.udf.CIQ(InputTicker, "IQ_STOCK_BASED_EXPLORE_DRILL",Input!O$2,Date,,,Ccy,Conv)</f>
        <v>0</v>
      </c>
      <c r="N170" s="49"/>
      <c r="P170" s="51"/>
      <c r="Q170" s="51"/>
      <c r="R170" s="51"/>
      <c r="T170" s="42"/>
      <c r="U170" s="42"/>
      <c r="V170" s="51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</row>
    <row r="171" spans="1:66" ht="12.75" customHeight="1" x14ac:dyDescent="0.2">
      <c r="A171" s="1" t="s">
        <v>341</v>
      </c>
      <c r="B171" s="4">
        <f>_xll.ciqfunctions.udf.CIQ(InputTicker, "IQ_STOCK_BASED_OTHER",Input!D$2,Date,,,Ccy,Conv)</f>
        <v>0</v>
      </c>
      <c r="C171" s="4">
        <f>_xll.ciqfunctions.udf.CIQ(InputTicker, "IQ_STOCK_BASED_OTHER",Input!E$2,Date,,,Ccy,Conv)</f>
        <v>5.2999999999999999E-2</v>
      </c>
      <c r="D171" s="4">
        <f>_xll.ciqfunctions.udf.CIQ(InputTicker, "IQ_STOCK_BASED_OTHER",Input!F$2,Date,,,Ccy,Conv)</f>
        <v>0</v>
      </c>
      <c r="E171" s="4">
        <f>_xll.ciqfunctions.udf.CIQ(InputTicker, "IQ_STOCK_BASED_OTHER",Input!G$2,Date,,,Ccy,Conv)</f>
        <v>0</v>
      </c>
      <c r="F171" s="4">
        <f>_xll.ciqfunctions.udf.CIQ(InputTicker, "IQ_STOCK_BASED_OTHER",Input!H$2,Date,,,Ccy,Conv)</f>
        <v>0</v>
      </c>
      <c r="G171" s="4">
        <f>_xll.ciqfunctions.udf.CIQ(InputTicker, "IQ_STOCK_BASED_OTHER",Input!I$2,Date,,,Ccy,Conv)</f>
        <v>0</v>
      </c>
      <c r="H171" s="4">
        <f>_xll.ciqfunctions.udf.CIQ(InputTicker, "IQ_STOCK_BASED_OTHER",Input!J$2,Date,,,Ccy,Conv)</f>
        <v>0</v>
      </c>
      <c r="I171" s="4">
        <f>_xll.ciqfunctions.udf.CIQ(InputTicker, "IQ_STOCK_BASED_OTHER",Input!K$2,Date,,,Ccy,Conv)</f>
        <v>4.0629999999999997</v>
      </c>
      <c r="J171" s="4">
        <f>_xll.ciqfunctions.udf.CIQ(InputTicker, "IQ_STOCK_BASED_OTHER",Input!L$2,Date,,,Ccy,Conv)</f>
        <v>4.2050000000000001</v>
      </c>
      <c r="K171" s="4">
        <f>_xll.ciqfunctions.udf.CIQ(InputTicker, "IQ_STOCK_BASED_OTHER",Input!M$2,Date,,,Ccy,Conv)</f>
        <v>4.3579999999999997</v>
      </c>
      <c r="L171" s="4">
        <f>_xll.ciqfunctions.udf.CIQ(InputTicker, "IQ_STOCK_BASED_OTHER",Input!N$2,Date,,,Ccy,Conv)</f>
        <v>4.5270000000000001</v>
      </c>
      <c r="M171" s="4">
        <f>_xll.ciqfunctions.udf.CIQ(InputTicker, "IQ_STOCK_BASED_OTHER",Input!O$2,Date,,,Ccy,Conv)</f>
        <v>5.0270000000000001</v>
      </c>
      <c r="N171" s="49"/>
      <c r="P171" s="51"/>
      <c r="Q171" s="51"/>
      <c r="R171" s="51"/>
      <c r="T171" s="42"/>
      <c r="U171" s="42"/>
      <c r="V171" s="51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</row>
    <row r="172" spans="1:66" ht="12.75" customHeight="1" x14ac:dyDescent="0.2">
      <c r="A172" s="1" t="s">
        <v>342</v>
      </c>
      <c r="B172" s="4">
        <f>_xll.ciqfunctions.udf.CIQ(InputTicker, "IQ_STOCK_BASED_AT",Input!D$2,Date,,,Ccy,Conv)</f>
        <v>0</v>
      </c>
      <c r="C172" s="4">
        <f>_xll.ciqfunctions.udf.CIQ(InputTicker, "IQ_STOCK_BASED_AT",Input!E$2,Date,,,Ccy,Conv)</f>
        <v>0</v>
      </c>
      <c r="D172" s="4">
        <f>_xll.ciqfunctions.udf.CIQ(InputTicker, "IQ_STOCK_BASED_AT",Input!F$2,Date,,,Ccy,Conv)</f>
        <v>0</v>
      </c>
      <c r="E172" s="4">
        <f>_xll.ciqfunctions.udf.CIQ(InputTicker, "IQ_STOCK_BASED_AT",Input!G$2,Date,,,Ccy,Conv)</f>
        <v>0</v>
      </c>
      <c r="F172" s="4">
        <f>_xll.ciqfunctions.udf.CIQ(InputTicker, "IQ_STOCK_BASED_AT",Input!H$2,Date,,,Ccy,Conv)</f>
        <v>0</v>
      </c>
      <c r="G172" s="4">
        <f>_xll.ciqfunctions.udf.CIQ(InputTicker, "IQ_STOCK_BASED_AT",Input!I$2,Date,,,Ccy,Conv)</f>
        <v>0</v>
      </c>
      <c r="H172" s="4">
        <f>_xll.ciqfunctions.udf.CIQ(InputTicker, "IQ_STOCK_BASED_AT",Input!J$2,Date,,,Ccy,Conv)</f>
        <v>0</v>
      </c>
      <c r="I172" s="4">
        <f>_xll.ciqfunctions.udf.CIQ(InputTicker, "IQ_STOCK_BASED_AT",Input!K$2,Date,,,Ccy,Conv)</f>
        <v>0</v>
      </c>
      <c r="J172" s="4">
        <f>_xll.ciqfunctions.udf.CIQ(InputTicker, "IQ_STOCK_BASED_AT",Input!L$2,Date,,,Ccy,Conv)</f>
        <v>0</v>
      </c>
      <c r="K172" s="4">
        <f>_xll.ciqfunctions.udf.CIQ(InputTicker, "IQ_STOCK_BASED_AT",Input!M$2,Date,,,Ccy,Conv)</f>
        <v>0</v>
      </c>
      <c r="L172" s="4">
        <f>_xll.ciqfunctions.udf.CIQ(InputTicker, "IQ_STOCK_BASED_AT",Input!N$2,Date,,,Ccy,Conv)</f>
        <v>0</v>
      </c>
      <c r="M172" s="4">
        <f>_xll.ciqfunctions.udf.CIQ(InputTicker, "IQ_STOCK_BASED_AT",Input!O$2,Date,,,Ccy,Conv)</f>
        <v>0</v>
      </c>
      <c r="N172" s="49"/>
      <c r="P172" s="51"/>
      <c r="Q172" s="51"/>
      <c r="R172" s="51"/>
      <c r="T172" s="42"/>
      <c r="U172" s="42"/>
      <c r="V172" s="51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</row>
    <row r="173" spans="1:66" ht="12.75" customHeight="1" x14ac:dyDescent="0.2">
      <c r="A173" s="1" t="s">
        <v>343</v>
      </c>
      <c r="B173" s="4">
        <f>_xll.ciqfunctions.udf.CIQ(InputTicker, "IQ_STOCK_BASED_TOTAL",Input!D$2,Date,,,Ccy,Conv)</f>
        <v>2.9550000000000001</v>
      </c>
      <c r="C173" s="4">
        <f>_xll.ciqfunctions.udf.CIQ(InputTicker, "IQ_STOCK_BASED_TOTAL",Input!E$2,Date,,,Ccy,Conv)</f>
        <v>3.0710000000000002</v>
      </c>
      <c r="D173" s="4">
        <f>_xll.ciqfunctions.udf.CIQ(InputTicker, "IQ_STOCK_BASED_TOTAL",Input!F$2,Date,,,Ccy,Conv)</f>
        <v>3.427</v>
      </c>
      <c r="E173" s="4">
        <f>_xll.ciqfunctions.udf.CIQ(InputTicker, "IQ_STOCK_BASED_TOTAL",Input!G$2,Date,,,Ccy,Conv)</f>
        <v>3.4670000000000001</v>
      </c>
      <c r="F173" s="4">
        <f>_xll.ciqfunctions.udf.CIQ(InputTicker, "IQ_STOCK_BASED_TOTAL",Input!H$2,Date,,,Ccy,Conv)</f>
        <v>3.6190000000000002</v>
      </c>
      <c r="G173" s="4">
        <f>_xll.ciqfunctions.udf.CIQ(InputTicker, "IQ_STOCK_BASED_TOTAL",Input!I$2,Date,,,Ccy,Conv)</f>
        <v>3.617</v>
      </c>
      <c r="H173" s="4">
        <f>_xll.ciqfunctions.udf.CIQ(InputTicker, "IQ_STOCK_BASED_TOTAL",Input!J$2,Date,,,Ccy,Conv)</f>
        <v>3.778</v>
      </c>
      <c r="I173" s="4">
        <f>_xll.ciqfunctions.udf.CIQ(InputTicker, "IQ_STOCK_BASED_TOTAL",Input!K$2,Date,,,Ccy,Conv)</f>
        <v>4.0629999999999997</v>
      </c>
      <c r="J173" s="4">
        <f>_xll.ciqfunctions.udf.CIQ(InputTicker, "IQ_STOCK_BASED_TOTAL",Input!L$2,Date,,,Ccy,Conv)</f>
        <v>4.2050000000000001</v>
      </c>
      <c r="K173" s="4">
        <f>_xll.ciqfunctions.udf.CIQ(InputTicker, "IQ_STOCK_BASED_TOTAL",Input!M$2,Date,,,Ccy,Conv)</f>
        <v>4.3579999999999997</v>
      </c>
      <c r="L173" s="4">
        <f>_xll.ciqfunctions.udf.CIQ(InputTicker, "IQ_STOCK_BASED_TOTAL",Input!N$2,Date,,,Ccy,Conv)</f>
        <v>4.5270000000000001</v>
      </c>
      <c r="M173" s="4">
        <f>_xll.ciqfunctions.udf.CIQ(InputTicker, "IQ_STOCK_BASED_TOTAL",Input!O$2,Date,,,Ccy,Conv)</f>
        <v>5.0270000000000001</v>
      </c>
      <c r="N173" s="49"/>
      <c r="P173" s="51"/>
      <c r="Q173" s="51"/>
      <c r="R173" s="51"/>
      <c r="T173" s="42"/>
      <c r="U173" s="42"/>
      <c r="V173" s="51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</row>
    <row r="174" spans="1:66" ht="12.75" customHeight="1" x14ac:dyDescent="0.2">
      <c r="A174" s="1" t="s">
        <v>298</v>
      </c>
      <c r="B174" s="4">
        <f>_xll.ciqfunctions.udf.CIQ(InputTicker,"IQ_RESTR_STOCK_COMP_PRETAX",Input!D$2,Date,,,Ccy,Conv)</f>
        <v>0</v>
      </c>
      <c r="C174" s="4">
        <f>_xll.ciqfunctions.udf.CIQ(InputTicker,"IQ_RESTR_STOCK_COMP_PRETAX",Input!E$2,Date,,,Ccy,Conv)</f>
        <v>0</v>
      </c>
      <c r="D174" s="4">
        <f>_xll.ciqfunctions.udf.CIQ(InputTicker,"IQ_RESTR_STOCK_COMP_PRETAX",Input!F$2,Date,,,Ccy,Conv)</f>
        <v>0</v>
      </c>
      <c r="E174" s="4">
        <f>_xll.ciqfunctions.udf.CIQ(InputTicker,"IQ_RESTR_STOCK_COMP_PRETAX",Input!G$2,Date,,,Ccy,Conv)</f>
        <v>0</v>
      </c>
      <c r="F174" s="4">
        <f>_xll.ciqfunctions.udf.CIQ(InputTicker,"IQ_RESTR_STOCK_COMP_PRETAX",Input!H$2,Date,,,Ccy,Conv)</f>
        <v>0</v>
      </c>
      <c r="G174" s="4">
        <f>_xll.ciqfunctions.udf.CIQ(InputTicker,"IQ_RESTR_STOCK_COMP_PRETAX",Input!I$2,Date,,,Ccy,Conv)</f>
        <v>0</v>
      </c>
      <c r="H174" s="4">
        <f>_xll.ciqfunctions.udf.CIQ(InputTicker,"IQ_RESTR_STOCK_COMP_PRETAX",Input!J$2,Date,,,Ccy,Conv)</f>
        <v>0</v>
      </c>
      <c r="I174" s="4">
        <f>_xll.ciqfunctions.udf.CIQ(InputTicker,"IQ_RESTR_STOCK_COMP_PRETAX",Input!K$2,Date,,,Ccy,Conv)</f>
        <v>0</v>
      </c>
      <c r="J174" s="4">
        <f>_xll.ciqfunctions.udf.CIQ(InputTicker,"IQ_RESTR_STOCK_COMP_PRETAX",Input!L$2,Date,,,Ccy,Conv)</f>
        <v>0</v>
      </c>
      <c r="K174" s="4">
        <f>_xll.ciqfunctions.udf.CIQ(InputTicker,"IQ_RESTR_STOCK_COMP_PRETAX",Input!M$2,Date,,,Ccy,Conv)</f>
        <v>0</v>
      </c>
      <c r="L174" s="4">
        <f>_xll.ciqfunctions.udf.CIQ(InputTicker,"IQ_RESTR_STOCK_COMP_PRETAX",Input!N$2,Date,,,Ccy,Conv)</f>
        <v>0</v>
      </c>
      <c r="M174" s="4">
        <f>_xll.ciqfunctions.udf.CIQ(InputTicker,"IQ_RESTR_STOCK_COMP_PRETAX",Input!O$2,Date,,,Ccy,Conv)</f>
        <v>0</v>
      </c>
      <c r="N174" s="49"/>
      <c r="P174" s="51"/>
      <c r="Q174" s="51"/>
      <c r="R174" s="51"/>
      <c r="T174" s="42"/>
      <c r="U174" s="42"/>
      <c r="V174" s="51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</row>
    <row r="175" spans="1:66" ht="12.75" customHeight="1" x14ac:dyDescent="0.2">
      <c r="A175" s="1" t="s">
        <v>299</v>
      </c>
      <c r="B175" s="4">
        <f>_xll.ciqfunctions.udf.CIQ(InputTicker,"IQ_RESTR_STOCK_COMP_TAX",Input!D$2,Date,,,Ccy,Conv)</f>
        <v>0</v>
      </c>
      <c r="C175" s="4">
        <f>_xll.ciqfunctions.udf.CIQ(InputTicker,"IQ_RESTR_STOCK_COMP_TAX",Input!E$2,Date,,,Ccy,Conv)</f>
        <v>0</v>
      </c>
      <c r="D175" s="4">
        <f>_xll.ciqfunctions.udf.CIQ(InputTicker,"IQ_RESTR_STOCK_COMP_TAX",Input!F$2,Date,,,Ccy,Conv)</f>
        <v>0</v>
      </c>
      <c r="E175" s="4">
        <f>_xll.ciqfunctions.udf.CIQ(InputTicker,"IQ_RESTR_STOCK_COMP_TAX",Input!G$2,Date,,,Ccy,Conv)</f>
        <v>0</v>
      </c>
      <c r="F175" s="4">
        <f>_xll.ciqfunctions.udf.CIQ(InputTicker,"IQ_RESTR_STOCK_COMP_TAX",Input!H$2,Date,,,Ccy,Conv)</f>
        <v>0</v>
      </c>
      <c r="G175" s="4">
        <f>_xll.ciqfunctions.udf.CIQ(InputTicker,"IQ_RESTR_STOCK_COMP_TAX",Input!I$2,Date,,,Ccy,Conv)</f>
        <v>0</v>
      </c>
      <c r="H175" s="4">
        <f>_xll.ciqfunctions.udf.CIQ(InputTicker,"IQ_RESTR_STOCK_COMP_TAX",Input!J$2,Date,,,Ccy,Conv)</f>
        <v>0</v>
      </c>
      <c r="I175" s="4">
        <f>_xll.ciqfunctions.udf.CIQ(InputTicker,"IQ_RESTR_STOCK_COMP_TAX",Input!K$2,Date,,,Ccy,Conv)</f>
        <v>0</v>
      </c>
      <c r="J175" s="4">
        <f>_xll.ciqfunctions.udf.CIQ(InputTicker,"IQ_RESTR_STOCK_COMP_TAX",Input!L$2,Date,,,Ccy,Conv)</f>
        <v>0</v>
      </c>
      <c r="K175" s="4">
        <f>_xll.ciqfunctions.udf.CIQ(InputTicker,"IQ_RESTR_STOCK_COMP_TAX",Input!M$2,Date,,,Ccy,Conv)</f>
        <v>0</v>
      </c>
      <c r="L175" s="4">
        <f>_xll.ciqfunctions.udf.CIQ(InputTicker,"IQ_RESTR_STOCK_COMP_TAX",Input!N$2,Date,,,Ccy,Conv)</f>
        <v>0</v>
      </c>
      <c r="M175" s="4">
        <f>_xll.ciqfunctions.udf.CIQ(InputTicker,"IQ_RESTR_STOCK_COMP_TAX",Input!O$2,Date,,,Ccy,Conv)</f>
        <v>0</v>
      </c>
      <c r="N175" s="49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</row>
    <row r="176" spans="1:66" ht="12.75" customHeight="1" x14ac:dyDescent="0.2">
      <c r="A176" s="1" t="s">
        <v>300</v>
      </c>
      <c r="B176" s="4">
        <f>_xll.ciqfunctions.udf.CIQ(InputTicker,"IQ_RESTR_STOCK_COMP",Input!D$2,Date,,,Ccy,Conv)</f>
        <v>0</v>
      </c>
      <c r="C176" s="4">
        <f>_xll.ciqfunctions.udf.CIQ(InputTicker,"IQ_RESTR_STOCK_COMP",Input!E$2,Date,,,Ccy,Conv)</f>
        <v>0</v>
      </c>
      <c r="D176" s="4">
        <f>_xll.ciqfunctions.udf.CIQ(InputTicker,"IQ_RESTR_STOCK_COMP",Input!F$2,Date,,,Ccy,Conv)</f>
        <v>0</v>
      </c>
      <c r="E176" s="4">
        <f>_xll.ciqfunctions.udf.CIQ(InputTicker,"IQ_RESTR_STOCK_COMP",Input!G$2,Date,,,Ccy,Conv)</f>
        <v>0</v>
      </c>
      <c r="F176" s="4">
        <f>_xll.ciqfunctions.udf.CIQ(InputTicker,"IQ_RESTR_STOCK_COMP",Input!H$2,Date,,,Ccy,Conv)</f>
        <v>0</v>
      </c>
      <c r="G176" s="4">
        <f>_xll.ciqfunctions.udf.CIQ(InputTicker,"IQ_RESTR_STOCK_COMP",Input!I$2,Date,,,Ccy,Conv)</f>
        <v>0</v>
      </c>
      <c r="H176" s="4">
        <f>_xll.ciqfunctions.udf.CIQ(InputTicker,"IQ_RESTR_STOCK_COMP",Input!J$2,Date,,,Ccy,Conv)</f>
        <v>0</v>
      </c>
      <c r="I176" s="4">
        <f>_xll.ciqfunctions.udf.CIQ(InputTicker,"IQ_RESTR_STOCK_COMP",Input!K$2,Date,,,Ccy,Conv)</f>
        <v>0</v>
      </c>
      <c r="J176" s="4">
        <f>_xll.ciqfunctions.udf.CIQ(InputTicker,"IQ_RESTR_STOCK_COMP",Input!L$2,Date,,,Ccy,Conv)</f>
        <v>0</v>
      </c>
      <c r="K176" s="4">
        <f>_xll.ciqfunctions.udf.CIQ(InputTicker,"IQ_RESTR_STOCK_COMP",Input!M$2,Date,,,Ccy,Conv)</f>
        <v>0</v>
      </c>
      <c r="L176" s="4">
        <f>_xll.ciqfunctions.udf.CIQ(InputTicker,"IQ_RESTR_STOCK_COMP",Input!N$2,Date,,,Ccy,Conv)</f>
        <v>0</v>
      </c>
      <c r="M176" s="4">
        <f>_xll.ciqfunctions.udf.CIQ(InputTicker,"IQ_RESTR_STOCK_COMP",Input!O$2,Date,,,Ccy,Conv)</f>
        <v>0</v>
      </c>
      <c r="N176" s="49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</row>
    <row r="177" spans="1:66" ht="12.75" customHeight="1" x14ac:dyDescent="0.2">
      <c r="A177" s="1" t="s">
        <v>301</v>
      </c>
      <c r="B177" s="4">
        <f>_xll.ciqfunctions.udf.CIQ(InputTicker,"IQ_STOCK_OPTIONS_COMP_PRETAX",Input!D$2,Date,,,Ccy,Conv)</f>
        <v>0</v>
      </c>
      <c r="C177" s="4">
        <f>_xll.ciqfunctions.udf.CIQ(InputTicker,"IQ_STOCK_OPTIONS_COMP_PRETAX",Input!E$2,Date,,,Ccy,Conv)</f>
        <v>0</v>
      </c>
      <c r="D177" s="4">
        <f>_xll.ciqfunctions.udf.CIQ(InputTicker,"IQ_STOCK_OPTIONS_COMP_PRETAX",Input!F$2,Date,,,Ccy,Conv)</f>
        <v>0</v>
      </c>
      <c r="E177" s="4">
        <f>_xll.ciqfunctions.udf.CIQ(InputTicker,"IQ_STOCK_OPTIONS_COMP_PRETAX",Input!G$2,Date,,,Ccy,Conv)</f>
        <v>0</v>
      </c>
      <c r="F177" s="4">
        <f>_xll.ciqfunctions.udf.CIQ(InputTicker,"IQ_STOCK_OPTIONS_COMP_PRETAX",Input!H$2,Date,,,Ccy,Conv)</f>
        <v>0</v>
      </c>
      <c r="G177" s="4">
        <f>_xll.ciqfunctions.udf.CIQ(InputTicker,"IQ_STOCK_OPTIONS_COMP_PRETAX",Input!I$2,Date,,,Ccy,Conv)</f>
        <v>0</v>
      </c>
      <c r="H177" s="4">
        <f>_xll.ciqfunctions.udf.CIQ(InputTicker,"IQ_STOCK_OPTIONS_COMP_PRETAX",Input!J$2,Date,,,Ccy,Conv)</f>
        <v>0</v>
      </c>
      <c r="I177" s="4">
        <f>_xll.ciqfunctions.udf.CIQ(InputTicker,"IQ_STOCK_OPTIONS_COMP_PRETAX",Input!K$2,Date,,,Ccy,Conv)</f>
        <v>0</v>
      </c>
      <c r="J177" s="4">
        <f>_xll.ciqfunctions.udf.CIQ(InputTicker,"IQ_STOCK_OPTIONS_COMP_PRETAX",Input!L$2,Date,,,Ccy,Conv)</f>
        <v>0</v>
      </c>
      <c r="K177" s="4">
        <f>_xll.ciqfunctions.udf.CIQ(InputTicker,"IQ_STOCK_OPTIONS_COMP_PRETAX",Input!M$2,Date,,,Ccy,Conv)</f>
        <v>0</v>
      </c>
      <c r="L177" s="4">
        <f>_xll.ciqfunctions.udf.CIQ(InputTicker,"IQ_STOCK_OPTIONS_COMP_PRETAX",Input!N$2,Date,,,Ccy,Conv)</f>
        <v>0</v>
      </c>
      <c r="M177" s="4">
        <f>_xll.ciqfunctions.udf.CIQ(InputTicker,"IQ_STOCK_OPTIONS_COMP_PRETAX",Input!O$2,Date,,,Ccy,Conv)</f>
        <v>0</v>
      </c>
      <c r="N177" s="49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</row>
    <row r="178" spans="1:66" ht="12.75" customHeight="1" x14ac:dyDescent="0.2">
      <c r="A178" s="1" t="s">
        <v>302</v>
      </c>
      <c r="B178" s="4">
        <f>_xll.ciqfunctions.udf.CIQ(InputTicker,"IQ_STOCK_OPTIONS_COMP_TAX",Input!D$2,Date,,,Ccy,Conv)</f>
        <v>0</v>
      </c>
      <c r="C178" s="4">
        <f>_xll.ciqfunctions.udf.CIQ(InputTicker,"IQ_STOCK_OPTIONS_COMP_TAX",Input!E$2,Date,,,Ccy,Conv)</f>
        <v>0</v>
      </c>
      <c r="D178" s="4">
        <f>_xll.ciqfunctions.udf.CIQ(InputTicker,"IQ_STOCK_OPTIONS_COMP_TAX",Input!F$2,Date,,,Ccy,Conv)</f>
        <v>0</v>
      </c>
      <c r="E178" s="4">
        <f>_xll.ciqfunctions.udf.CIQ(InputTicker,"IQ_STOCK_OPTIONS_COMP_TAX",Input!G$2,Date,,,Ccy,Conv)</f>
        <v>0</v>
      </c>
      <c r="F178" s="4">
        <f>_xll.ciqfunctions.udf.CIQ(InputTicker,"IQ_STOCK_OPTIONS_COMP_TAX",Input!H$2,Date,,,Ccy,Conv)</f>
        <v>0</v>
      </c>
      <c r="G178" s="4">
        <f>_xll.ciqfunctions.udf.CIQ(InputTicker,"IQ_STOCK_OPTIONS_COMP_TAX",Input!I$2,Date,,,Ccy,Conv)</f>
        <v>0</v>
      </c>
      <c r="H178" s="4">
        <f>_xll.ciqfunctions.udf.CIQ(InputTicker,"IQ_STOCK_OPTIONS_COMP_TAX",Input!J$2,Date,,,Ccy,Conv)</f>
        <v>0</v>
      </c>
      <c r="I178" s="4">
        <f>_xll.ciqfunctions.udf.CIQ(InputTicker,"IQ_STOCK_OPTIONS_COMP_TAX",Input!K$2,Date,,,Ccy,Conv)</f>
        <v>0</v>
      </c>
      <c r="J178" s="4">
        <f>_xll.ciqfunctions.udf.CIQ(InputTicker,"IQ_STOCK_OPTIONS_COMP_TAX",Input!L$2,Date,,,Ccy,Conv)</f>
        <v>0</v>
      </c>
      <c r="K178" s="4">
        <f>_xll.ciqfunctions.udf.CIQ(InputTicker,"IQ_STOCK_OPTIONS_COMP_TAX",Input!M$2,Date,,,Ccy,Conv)</f>
        <v>0</v>
      </c>
      <c r="L178" s="4">
        <f>_xll.ciqfunctions.udf.CIQ(InputTicker,"IQ_STOCK_OPTIONS_COMP_TAX",Input!N$2,Date,,,Ccy,Conv)</f>
        <v>0</v>
      </c>
      <c r="M178" s="4">
        <f>_xll.ciqfunctions.udf.CIQ(InputTicker,"IQ_STOCK_OPTIONS_COMP_TAX",Input!O$2,Date,,,Ccy,Conv)</f>
        <v>0</v>
      </c>
      <c r="N178" s="49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</row>
    <row r="179" spans="1:66" ht="12.75" customHeight="1" x14ac:dyDescent="0.2">
      <c r="A179" s="1" t="s">
        <v>303</v>
      </c>
      <c r="B179" s="4">
        <f>_xll.ciqfunctions.udf.CIQ(InputTicker,"IQ_STOCK_OPTIONS_COMP",Input!D$2,Date,,,Ccy,Conv)</f>
        <v>0</v>
      </c>
      <c r="C179" s="4">
        <f>_xll.ciqfunctions.udf.CIQ(InputTicker,"IQ_STOCK_OPTIONS_COMP",Input!E$2,Date,,,Ccy,Conv)</f>
        <v>0</v>
      </c>
      <c r="D179" s="4">
        <f>_xll.ciqfunctions.udf.CIQ(InputTicker,"IQ_STOCK_OPTIONS_COMP",Input!F$2,Date,,,Ccy,Conv)</f>
        <v>0</v>
      </c>
      <c r="E179" s="4">
        <f>_xll.ciqfunctions.udf.CIQ(InputTicker,"IQ_STOCK_OPTIONS_COMP",Input!G$2,Date,,,Ccy,Conv)</f>
        <v>0</v>
      </c>
      <c r="F179" s="4">
        <f>_xll.ciqfunctions.udf.CIQ(InputTicker,"IQ_STOCK_OPTIONS_COMP",Input!H$2,Date,,,Ccy,Conv)</f>
        <v>0</v>
      </c>
      <c r="G179" s="4">
        <f>_xll.ciqfunctions.udf.CIQ(InputTicker,"IQ_STOCK_OPTIONS_COMP",Input!I$2,Date,,,Ccy,Conv)</f>
        <v>0</v>
      </c>
      <c r="H179" s="4">
        <f>_xll.ciqfunctions.udf.CIQ(InputTicker,"IQ_STOCK_OPTIONS_COMP",Input!J$2,Date,,,Ccy,Conv)</f>
        <v>0</v>
      </c>
      <c r="I179" s="4">
        <f>_xll.ciqfunctions.udf.CIQ(InputTicker,"IQ_STOCK_OPTIONS_COMP",Input!K$2,Date,,,Ccy,Conv)</f>
        <v>0</v>
      </c>
      <c r="J179" s="4">
        <f>_xll.ciqfunctions.udf.CIQ(InputTicker,"IQ_STOCK_OPTIONS_COMP",Input!L$2,Date,,,Ccy,Conv)</f>
        <v>0</v>
      </c>
      <c r="K179" s="4">
        <f>_xll.ciqfunctions.udf.CIQ(InputTicker,"IQ_STOCK_OPTIONS_COMP",Input!M$2,Date,,,Ccy,Conv)</f>
        <v>0</v>
      </c>
      <c r="L179" s="4">
        <f>_xll.ciqfunctions.udf.CIQ(InputTicker,"IQ_STOCK_OPTIONS_COMP",Input!N$2,Date,,,Ccy,Conv)</f>
        <v>0</v>
      </c>
      <c r="M179" s="4">
        <f>_xll.ciqfunctions.udf.CIQ(InputTicker,"IQ_STOCK_OPTIONS_COMP",Input!O$2,Date,,,Ccy,Conv)</f>
        <v>0</v>
      </c>
      <c r="N179" s="49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</row>
    <row r="180" spans="1:66" ht="12.75" customHeight="1" x14ac:dyDescent="0.2">
      <c r="A180" s="1" t="s">
        <v>304</v>
      </c>
      <c r="B180" s="4">
        <f>_xll.ciqfunctions.udf.CIQ(InputTicker,"IQ_STOCK_BASED_COMP_PRETAX",Input!D$2,Date,,,Ccy,Conv)</f>
        <v>2.9550000000000001</v>
      </c>
      <c r="C180" s="4">
        <f>_xll.ciqfunctions.udf.CIQ(InputTicker,"IQ_STOCK_BASED_COMP_PRETAX",Input!E$2,Date,,,Ccy,Conv)</f>
        <v>3.0710000000000002</v>
      </c>
      <c r="D180" s="4">
        <f>_xll.ciqfunctions.udf.CIQ(InputTicker,"IQ_STOCK_BASED_COMP_PRETAX",Input!F$2,Date,,,Ccy,Conv)</f>
        <v>3.427</v>
      </c>
      <c r="E180" s="4">
        <f>_xll.ciqfunctions.udf.CIQ(InputTicker,"IQ_STOCK_BASED_COMP_PRETAX",Input!G$2,Date,,,Ccy,Conv)</f>
        <v>3.4670000000000001</v>
      </c>
      <c r="F180" s="4">
        <f>_xll.ciqfunctions.udf.CIQ(InputTicker,"IQ_STOCK_BASED_COMP_PRETAX",Input!H$2,Date,,,Ccy,Conv)</f>
        <v>3.6190000000000002</v>
      </c>
      <c r="G180" s="4">
        <f>_xll.ciqfunctions.udf.CIQ(InputTicker,"IQ_STOCK_BASED_COMP_PRETAX",Input!I$2,Date,,,Ccy,Conv)</f>
        <v>3.617</v>
      </c>
      <c r="H180" s="4">
        <f>_xll.ciqfunctions.udf.CIQ(InputTicker,"IQ_STOCK_BASED_COMP_PRETAX",Input!J$2,Date,,,Ccy,Conv)</f>
        <v>3.778</v>
      </c>
      <c r="I180" s="4">
        <f>_xll.ciqfunctions.udf.CIQ(InputTicker,"IQ_STOCK_BASED_COMP_PRETAX",Input!K$2,Date,,,Ccy,Conv)</f>
        <v>4.0629999999999997</v>
      </c>
      <c r="J180" s="4">
        <f>_xll.ciqfunctions.udf.CIQ(InputTicker,"IQ_STOCK_BASED_COMP_PRETAX",Input!L$2,Date,,,Ccy,Conv)</f>
        <v>4.2050000000000001</v>
      </c>
      <c r="K180" s="4">
        <f>_xll.ciqfunctions.udf.CIQ(InputTicker,"IQ_STOCK_BASED_COMP_PRETAX",Input!M$2,Date,,,Ccy,Conv)</f>
        <v>4.3579999999999997</v>
      </c>
      <c r="L180" s="4">
        <f>_xll.ciqfunctions.udf.CIQ(InputTicker,"IQ_STOCK_BASED_COMP_PRETAX",Input!N$2,Date,,,Ccy,Conv)</f>
        <v>4.5270000000000001</v>
      </c>
      <c r="M180" s="4">
        <f>_xll.ciqfunctions.udf.CIQ(InputTicker,"IQ_STOCK_BASED_COMP_PRETAX",Input!O$2,Date,,,Ccy,Conv)</f>
        <v>5.0270000000000001</v>
      </c>
      <c r="N180" s="49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</row>
    <row r="181" spans="1:66" ht="12.75" customHeight="1" x14ac:dyDescent="0.2">
      <c r="A181" s="1" t="s">
        <v>305</v>
      </c>
      <c r="B181" s="4">
        <f>_xll.ciqfunctions.udf.CIQ(InputTicker,"IQ_STOCK_BASED_COMP_TAX",Input!D$2,Date,,,Ccy,Conv)</f>
        <v>0</v>
      </c>
      <c r="C181" s="4">
        <f>_xll.ciqfunctions.udf.CIQ(InputTicker,"IQ_STOCK_BASED_COMP_TAX",Input!E$2,Date,,,Ccy,Conv)</f>
        <v>0</v>
      </c>
      <c r="D181" s="4">
        <f>_xll.ciqfunctions.udf.CIQ(InputTicker,"IQ_STOCK_BASED_COMP_TAX",Input!F$2,Date,,,Ccy,Conv)</f>
        <v>0</v>
      </c>
      <c r="E181" s="4">
        <f>_xll.ciqfunctions.udf.CIQ(InputTicker,"IQ_STOCK_BASED_COMP_TAX",Input!G$2,Date,,,Ccy,Conv)</f>
        <v>0</v>
      </c>
      <c r="F181" s="4">
        <f>_xll.ciqfunctions.udf.CIQ(InputTicker,"IQ_STOCK_BASED_COMP_TAX",Input!H$2,Date,,,Ccy,Conv)</f>
        <v>0</v>
      </c>
      <c r="G181" s="4">
        <f>_xll.ciqfunctions.udf.CIQ(InputTicker,"IQ_STOCK_BASED_COMP_TAX",Input!I$2,Date,,,Ccy,Conv)</f>
        <v>0</v>
      </c>
      <c r="H181" s="4">
        <f>_xll.ciqfunctions.udf.CIQ(InputTicker,"IQ_STOCK_BASED_COMP_TAX",Input!J$2,Date,,,Ccy,Conv)</f>
        <v>0</v>
      </c>
      <c r="I181" s="4">
        <f>_xll.ciqfunctions.udf.CIQ(InputTicker,"IQ_STOCK_BASED_COMP_TAX",Input!K$2,Date,,,Ccy,Conv)</f>
        <v>0</v>
      </c>
      <c r="J181" s="4">
        <f>_xll.ciqfunctions.udf.CIQ(InputTicker,"IQ_STOCK_BASED_COMP_TAX",Input!L$2,Date,,,Ccy,Conv)</f>
        <v>0</v>
      </c>
      <c r="K181" s="4">
        <f>_xll.ciqfunctions.udf.CIQ(InputTicker,"IQ_STOCK_BASED_COMP_TAX",Input!M$2,Date,,,Ccy,Conv)</f>
        <v>0</v>
      </c>
      <c r="L181" s="4">
        <f>_xll.ciqfunctions.udf.CIQ(InputTicker,"IQ_STOCK_BASED_COMP_TAX",Input!N$2,Date,,,Ccy,Conv)</f>
        <v>0</v>
      </c>
      <c r="M181" s="4">
        <f>_xll.ciqfunctions.udf.CIQ(InputTicker,"IQ_STOCK_BASED_COMP_TAX",Input!O$2,Date,,,Ccy,Conv)</f>
        <v>0</v>
      </c>
      <c r="N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</row>
    <row r="182" spans="1:66" ht="12.75" customHeight="1" x14ac:dyDescent="0.2">
      <c r="A182" s="1" t="s">
        <v>306</v>
      </c>
      <c r="B182" s="4">
        <f>_xll.ciqfunctions.udf.CIQ(InputTicker,"IQ_STOCK_BASED_COMP",Input!D$2,Date,,,Ccy,Conv)</f>
        <v>0</v>
      </c>
      <c r="C182" s="4">
        <f>_xll.ciqfunctions.udf.CIQ(InputTicker,"IQ_STOCK_BASED_COMP",Input!E$2,Date,,,Ccy,Conv)</f>
        <v>0</v>
      </c>
      <c r="D182" s="4">
        <f>_xll.ciqfunctions.udf.CIQ(InputTicker,"IQ_STOCK_BASED_COMP",Input!F$2,Date,,,Ccy,Conv)</f>
        <v>0</v>
      </c>
      <c r="E182" s="4">
        <f>_xll.ciqfunctions.udf.CIQ(InputTicker,"IQ_STOCK_BASED_COMP",Input!G$2,Date,,,Ccy,Conv)</f>
        <v>0</v>
      </c>
      <c r="F182" s="4">
        <f>_xll.ciqfunctions.udf.CIQ(InputTicker,"IQ_STOCK_BASED_COMP",Input!H$2,Date,,,Ccy,Conv)</f>
        <v>0</v>
      </c>
      <c r="G182" s="4">
        <f>_xll.ciqfunctions.udf.CIQ(InputTicker,"IQ_STOCK_BASED_COMP",Input!I$2,Date,,,Ccy,Conv)</f>
        <v>0</v>
      </c>
      <c r="H182" s="4">
        <f>_xll.ciqfunctions.udf.CIQ(InputTicker,"IQ_STOCK_BASED_COMP",Input!J$2,Date,,,Ccy,Conv)</f>
        <v>0</v>
      </c>
      <c r="I182" s="4">
        <f>_xll.ciqfunctions.udf.CIQ(InputTicker,"IQ_STOCK_BASED_COMP",Input!K$2,Date,,,Ccy,Conv)</f>
        <v>0</v>
      </c>
      <c r="J182" s="4">
        <f>_xll.ciqfunctions.udf.CIQ(InputTicker,"IQ_STOCK_BASED_COMP",Input!L$2,Date,,,Ccy,Conv)</f>
        <v>0</v>
      </c>
      <c r="K182" s="4">
        <f>_xll.ciqfunctions.udf.CIQ(InputTicker,"IQ_STOCK_BASED_COMP",Input!M$2,Date,,,Ccy,Conv)</f>
        <v>0</v>
      </c>
      <c r="L182" s="4">
        <f>_xll.ciqfunctions.udf.CIQ(InputTicker,"IQ_STOCK_BASED_COMP",Input!N$2,Date,,,Ccy,Conv)</f>
        <v>0</v>
      </c>
      <c r="M182" s="4">
        <f>_xll.ciqfunctions.udf.CIQ(InputTicker,"IQ_STOCK_BASED_COMP",Input!O$2,Date,,,Ccy,Conv)</f>
        <v>0</v>
      </c>
      <c r="N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</row>
    <row r="183" spans="1:66" ht="12.75" customHeight="1" x14ac:dyDescent="0.2">
      <c r="A183" s="3" t="s">
        <v>44</v>
      </c>
      <c r="B183" s="7">
        <f>_xll.ciqfunctions.udf.CIQ(InputTicker, "IQ_NI_CF",Input!D$2,Date,,,Ccy,Conv)</f>
        <v>161.25399999999999</v>
      </c>
      <c r="C183" s="7">
        <f>_xll.ciqfunctions.udf.CIQ(InputTicker, "IQ_NI_CF",Input!E$2,Date,,,Ccy,Conv)</f>
        <v>316.041</v>
      </c>
      <c r="D183" s="7">
        <f>_xll.ciqfunctions.udf.CIQ(InputTicker, "IQ_NI_CF",Input!F$2,Date,,,Ccy,Conv)</f>
        <v>-74.278000000000006</v>
      </c>
      <c r="E183" s="7">
        <f>_xll.ciqfunctions.udf.CIQ(InputTicker, "IQ_NI_CF",Input!G$2,Date,,,Ccy,Conv)</f>
        <v>125.932</v>
      </c>
      <c r="F183" s="7">
        <f>_xll.ciqfunctions.udf.CIQ(InputTicker, "IQ_NI_CF",Input!H$2,Date,,,Ccy,Conv)</f>
        <v>54.228999999999999</v>
      </c>
      <c r="G183" s="7">
        <f>_xll.ciqfunctions.udf.CIQ(InputTicker, "IQ_NI_CF",Input!I$2,Date,,,Ccy,Conv)</f>
        <v>18.390999999999998</v>
      </c>
      <c r="H183" s="7">
        <f>_xll.ciqfunctions.udf.CIQ(InputTicker, "IQ_NI_CF",Input!J$2,Date,,,Ccy,Conv)</f>
        <v>2.06</v>
      </c>
      <c r="I183" s="7">
        <f>_xll.ciqfunctions.udf.CIQ(InputTicker, "IQ_NI_CF",Input!K$2,Date,,,Ccy,Conv)</f>
        <v>132.65</v>
      </c>
      <c r="J183" s="7">
        <f>_xll.ciqfunctions.udf.CIQ(InputTicker, "IQ_NI_CF",Input!L$2,Date,,,Ccy,Conv)</f>
        <v>758.024</v>
      </c>
      <c r="K183" s="7">
        <f>_xll.ciqfunctions.udf.CIQ(InputTicker, "IQ_NI_CF",Input!M$2,Date,,,Ccy,Conv)</f>
        <v>277.88799999999998</v>
      </c>
      <c r="L183" s="7">
        <f>_xll.ciqfunctions.udf.CIQ(InputTicker, "IQ_NI_CF",Input!N$2,Date,,,Ccy,Conv)</f>
        <v>1220.048</v>
      </c>
      <c r="M183" s="7">
        <f>_xll.ciqfunctions.udf.CIQ(InputTicker, "IQ_NI_CF",Input!O$2,Date,,,Ccy,Conv)</f>
        <v>1153.107</v>
      </c>
      <c r="N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</row>
    <row r="184" spans="1:66" ht="12.75" customHeight="1" x14ac:dyDescent="0.2">
      <c r="A184" s="1" t="s">
        <v>126</v>
      </c>
      <c r="B184" s="4">
        <f>_xll.ciqfunctions.udf.CIQ(InputTicker, "IQ_DA_SUPPL_CF",Input!D$2,Date,,,Ccy,Conv)</f>
        <v>37.808</v>
      </c>
      <c r="C184" s="4">
        <f>_xll.ciqfunctions.udf.CIQ(InputTicker, "IQ_DA_SUPPL_CF",Input!E$2,Date,,,Ccy,Conv)</f>
        <v>41.991999999999997</v>
      </c>
      <c r="D184" s="4">
        <f>_xll.ciqfunctions.udf.CIQ(InputTicker, "IQ_DA_SUPPL_CF",Input!F$2,Date,,,Ccy,Conv)</f>
        <v>46.912999999999997</v>
      </c>
      <c r="E184" s="4">
        <f>_xll.ciqfunctions.udf.CIQ(InputTicker, "IQ_DA_SUPPL_CF",Input!G$2,Date,,,Ccy,Conv)</f>
        <v>51.225999999999999</v>
      </c>
      <c r="F184" s="4">
        <f>_xll.ciqfunctions.udf.CIQ(InputTicker, "IQ_DA_SUPPL_CF",Input!H$2,Date,,,Ccy,Conv)</f>
        <v>51.85</v>
      </c>
      <c r="G184" s="4">
        <f>_xll.ciqfunctions.udf.CIQ(InputTicker, "IQ_DA_SUPPL_CF",Input!I$2,Date,,,Ccy,Conv)</f>
        <v>55.203000000000003</v>
      </c>
      <c r="H184" s="4">
        <f>_xll.ciqfunctions.udf.CIQ(InputTicker, "IQ_DA_SUPPL_CF",Input!J$2,Date,,,Ccy,Conv)</f>
        <v>59.476999999999997</v>
      </c>
      <c r="I184" s="4">
        <f>_xll.ciqfunctions.udf.CIQ(InputTicker, "IQ_DA_SUPPL_CF",Input!K$2,Date,,,Ccy,Conv)</f>
        <v>68.394999999999996</v>
      </c>
      <c r="J184" s="4">
        <f>_xll.ciqfunctions.udf.CIQ(InputTicker, "IQ_DA_SUPPL_CF",Input!L$2,Date,,,Ccy,Conv)</f>
        <v>70</v>
      </c>
      <c r="K184" s="4">
        <f>_xll.ciqfunctions.udf.CIQ(InputTicker, "IQ_DA_SUPPL_CF",Input!M$2,Date,,,Ccy,Conv)</f>
        <v>78.067999999999998</v>
      </c>
      <c r="L184" s="4">
        <f>_xll.ciqfunctions.udf.CIQ(InputTicker, "IQ_DA_SUPPL_CF",Input!N$2,Date,,,Ccy,Conv)</f>
        <v>91.863</v>
      </c>
      <c r="M184" s="4">
        <f>_xll.ciqfunctions.udf.CIQ(InputTicker, "IQ_DA_SUPPL_CF",Input!O$2,Date,,,Ccy,Conv)</f>
        <v>105.81399999999999</v>
      </c>
      <c r="N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</row>
    <row r="185" spans="1:66" ht="12.75" customHeight="1" x14ac:dyDescent="0.2">
      <c r="A185" s="1" t="s">
        <v>141</v>
      </c>
      <c r="B185" s="4">
        <f>_xll.ciqfunctions.udf.CIQ(InputTicker, "IQ_GW_INTAN_AMORT_CF",Input!D$2,Date,,,Ccy,Conv)</f>
        <v>2.9</v>
      </c>
      <c r="C185" s="4">
        <f>_xll.ciqfunctions.udf.CIQ(InputTicker, "IQ_GW_INTAN_AMORT_CF",Input!E$2,Date,,,Ccy,Conv)</f>
        <v>2.6</v>
      </c>
      <c r="D185" s="4">
        <f>_xll.ciqfunctions.udf.CIQ(InputTicker, "IQ_GW_INTAN_AMORT_CF",Input!F$2,Date,,,Ccy,Conv)</f>
        <v>2.2000000000000002</v>
      </c>
      <c r="E185" s="4">
        <f>_xll.ciqfunctions.udf.CIQ(InputTicker, "IQ_GW_INTAN_AMORT_CF",Input!G$2,Date,,,Ccy,Conv)</f>
        <v>2.8</v>
      </c>
      <c r="F185" s="4">
        <f>_xll.ciqfunctions.udf.CIQ(InputTicker, "IQ_GW_INTAN_AMORT_CF",Input!H$2,Date,,,Ccy,Conv)</f>
        <v>2.8</v>
      </c>
      <c r="G185" s="4">
        <f>_xll.ciqfunctions.udf.CIQ(InputTicker, "IQ_GW_INTAN_AMORT_CF",Input!I$2,Date,,,Ccy,Conv)</f>
        <v>2.9</v>
      </c>
      <c r="H185" s="4">
        <f>_xll.ciqfunctions.udf.CIQ(InputTicker, "IQ_GW_INTAN_AMORT_CF",Input!J$2,Date,,,Ccy,Conv)</f>
        <v>0</v>
      </c>
      <c r="I185" s="4">
        <f>_xll.ciqfunctions.udf.CIQ(InputTicker, "IQ_GW_INTAN_AMORT_CF",Input!K$2,Date,,,Ccy,Conv)</f>
        <v>0</v>
      </c>
      <c r="J185" s="4">
        <f>_xll.ciqfunctions.udf.CIQ(InputTicker, "IQ_GW_INTAN_AMORT_CF",Input!L$2,Date,,,Ccy,Conv)</f>
        <v>2.234</v>
      </c>
      <c r="K185" s="4">
        <f>_xll.ciqfunctions.udf.CIQ(InputTicker, "IQ_GW_INTAN_AMORT_CF",Input!M$2,Date,,,Ccy,Conv)</f>
        <v>2.173</v>
      </c>
      <c r="L185" s="4">
        <f>_xll.ciqfunctions.udf.CIQ(InputTicker, "IQ_GW_INTAN_AMORT_CF",Input!N$2,Date,,,Ccy,Conv)</f>
        <v>2.1579999999999999</v>
      </c>
      <c r="M185" s="4">
        <f>_xll.ciqfunctions.udf.CIQ(InputTicker, "IQ_GW_INTAN_AMORT_CF",Input!O$2,Date,,,Ccy,Conv)</f>
        <v>2.1579999999999999</v>
      </c>
      <c r="N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</row>
    <row r="186" spans="1:66" ht="12.75" customHeight="1" x14ac:dyDescent="0.2">
      <c r="A186" s="1" t="s">
        <v>197</v>
      </c>
      <c r="B186" s="4">
        <f>_xll.ciqfunctions.udf.CIQ(InputTicker, "IQ_OIL_IMPAIR",Input!D$2,Date,,,Ccy,Conv)</f>
        <v>0</v>
      </c>
      <c r="C186" s="4">
        <f>_xll.ciqfunctions.udf.CIQ(InputTicker, "IQ_OIL_IMPAIR",Input!E$2,Date,,,Ccy,Conv)</f>
        <v>0</v>
      </c>
      <c r="D186" s="4">
        <f>_xll.ciqfunctions.udf.CIQ(InputTicker, "IQ_OIL_IMPAIR",Input!F$2,Date,,,Ccy,Conv)</f>
        <v>0</v>
      </c>
      <c r="E186" s="4">
        <f>_xll.ciqfunctions.udf.CIQ(InputTicker, "IQ_OIL_IMPAIR",Input!G$2,Date,,,Ccy,Conv)</f>
        <v>0</v>
      </c>
      <c r="F186" s="4">
        <f>_xll.ciqfunctions.udf.CIQ(InputTicker, "IQ_OIL_IMPAIR",Input!H$2,Date,,,Ccy,Conv)</f>
        <v>0</v>
      </c>
      <c r="G186" s="4">
        <f>_xll.ciqfunctions.udf.CIQ(InputTicker, "IQ_OIL_IMPAIR",Input!I$2,Date,,,Ccy,Conv)</f>
        <v>0</v>
      </c>
      <c r="H186" s="4">
        <f>_xll.ciqfunctions.udf.CIQ(InputTicker, "IQ_OIL_IMPAIR",Input!J$2,Date,,,Ccy,Conv)</f>
        <v>0</v>
      </c>
      <c r="I186" s="4">
        <f>_xll.ciqfunctions.udf.CIQ(InputTicker, "IQ_OIL_IMPAIR",Input!K$2,Date,,,Ccy,Conv)</f>
        <v>0</v>
      </c>
      <c r="J186" s="4">
        <f>_xll.ciqfunctions.udf.CIQ(InputTicker, "IQ_OIL_IMPAIR",Input!L$2,Date,,,Ccy,Conv)</f>
        <v>0</v>
      </c>
      <c r="K186" s="4">
        <f>_xll.ciqfunctions.udf.CIQ(InputTicker, "IQ_OIL_IMPAIR",Input!M$2,Date,,,Ccy,Conv)</f>
        <v>0</v>
      </c>
      <c r="L186" s="4">
        <f>_xll.ciqfunctions.udf.CIQ(InputTicker, "IQ_OIL_IMPAIR",Input!N$2,Date,,,Ccy,Conv)</f>
        <v>0</v>
      </c>
      <c r="M186" s="4">
        <f>_xll.ciqfunctions.udf.CIQ(InputTicker, "IQ_OIL_IMPAIR",Input!O$2,Date,,,Ccy,Conv)</f>
        <v>0</v>
      </c>
      <c r="N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</row>
    <row r="187" spans="1:66" ht="12.75" customHeight="1" x14ac:dyDescent="0.2">
      <c r="A187" s="5" t="s">
        <v>60</v>
      </c>
      <c r="B187" s="6">
        <f>_xll.ciqfunctions.udf.CIQ(InputTicker, "IQ_DA_CF",Input!D$2,Date,,,Ccy,Conv)</f>
        <v>40.707999999999998</v>
      </c>
      <c r="C187" s="6">
        <f>_xll.ciqfunctions.udf.CIQ(InputTicker, "IQ_DA_CF",Input!E$2,Date,,,Ccy,Conv)</f>
        <v>44.591999999999999</v>
      </c>
      <c r="D187" s="6">
        <f>_xll.ciqfunctions.udf.CIQ(InputTicker, "IQ_DA_CF",Input!F$2,Date,,,Ccy,Conv)</f>
        <v>49.113</v>
      </c>
      <c r="E187" s="6">
        <f>_xll.ciqfunctions.udf.CIQ(InputTicker, "IQ_DA_CF",Input!G$2,Date,,,Ccy,Conv)</f>
        <v>54.026000000000003</v>
      </c>
      <c r="F187" s="6">
        <f>_xll.ciqfunctions.udf.CIQ(InputTicker, "IQ_DA_CF",Input!H$2,Date,,,Ccy,Conv)</f>
        <v>54.65</v>
      </c>
      <c r="G187" s="6">
        <f>_xll.ciqfunctions.udf.CIQ(InputTicker, "IQ_DA_CF",Input!I$2,Date,,,Ccy,Conv)</f>
        <v>58.103000000000002</v>
      </c>
      <c r="H187" s="6">
        <f>_xll.ciqfunctions.udf.CIQ(InputTicker, "IQ_DA_CF",Input!J$2,Date,,,Ccy,Conv)</f>
        <v>59.476999999999997</v>
      </c>
      <c r="I187" s="6">
        <f>_xll.ciqfunctions.udf.CIQ(InputTicker, "IQ_DA_CF",Input!K$2,Date,,,Ccy,Conv)</f>
        <v>68.394999999999996</v>
      </c>
      <c r="J187" s="6">
        <f>_xll.ciqfunctions.udf.CIQ(InputTicker, "IQ_DA_CF",Input!L$2,Date,,,Ccy,Conv)</f>
        <v>72.233999999999995</v>
      </c>
      <c r="K187" s="6">
        <f>_xll.ciqfunctions.udf.CIQ(InputTicker, "IQ_DA_CF",Input!M$2,Date,,,Ccy,Conv)</f>
        <v>80.241</v>
      </c>
      <c r="L187" s="6">
        <f>_xll.ciqfunctions.udf.CIQ(InputTicker, "IQ_DA_CF",Input!N$2,Date,,,Ccy,Conv)</f>
        <v>94.021000000000001</v>
      </c>
      <c r="M187" s="6">
        <f>_xll.ciqfunctions.udf.CIQ(InputTicker, "IQ_DA_CF",Input!O$2,Date,,,Ccy,Conv)</f>
        <v>107.97199999999999</v>
      </c>
      <c r="N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</row>
    <row r="188" spans="1:66" ht="12.75" customHeight="1" x14ac:dyDescent="0.2">
      <c r="A188" s="1" t="s">
        <v>424</v>
      </c>
      <c r="B188" s="4">
        <f>_xll.ciqfunctions.udf.CIQ(InputTicker, "IQ_OTHER_AMORT",Input!D$2,Date,,,Ccy,Conv)</f>
        <v>0</v>
      </c>
      <c r="C188" s="4">
        <f>_xll.ciqfunctions.udf.CIQ(InputTicker, "IQ_OTHER_AMORT",Input!E$2,Date,,,Ccy,Conv)</f>
        <v>0</v>
      </c>
      <c r="D188" s="4">
        <f>_xll.ciqfunctions.udf.CIQ(InputTicker, "IQ_OTHER_AMORT",Input!F$2,Date,,,Ccy,Conv)</f>
        <v>0</v>
      </c>
      <c r="E188" s="4">
        <f>_xll.ciqfunctions.udf.CIQ(InputTicker, "IQ_OTHER_AMORT",Input!G$2,Date,,,Ccy,Conv)</f>
        <v>0</v>
      </c>
      <c r="F188" s="4">
        <f>_xll.ciqfunctions.udf.CIQ(InputTicker, "IQ_OTHER_AMORT",Input!H$2,Date,,,Ccy,Conv)</f>
        <v>0</v>
      </c>
      <c r="G188" s="4">
        <f>_xll.ciqfunctions.udf.CIQ(InputTicker, "IQ_OTHER_AMORT",Input!I$2,Date,,,Ccy,Conv)</f>
        <v>0</v>
      </c>
      <c r="H188" s="4">
        <f>_xll.ciqfunctions.udf.CIQ(InputTicker, "IQ_OTHER_AMORT",Input!J$2,Date,,,Ccy,Conv)</f>
        <v>0</v>
      </c>
      <c r="I188" s="4">
        <f>_xll.ciqfunctions.udf.CIQ(InputTicker, "IQ_OTHER_AMORT",Input!K$2,Date,,,Ccy,Conv)</f>
        <v>0</v>
      </c>
      <c r="J188" s="4">
        <f>_xll.ciqfunctions.udf.CIQ(InputTicker, "IQ_OTHER_AMORT",Input!L$2,Date,,,Ccy,Conv)</f>
        <v>0</v>
      </c>
      <c r="K188" s="4">
        <f>_xll.ciqfunctions.udf.CIQ(InputTicker, "IQ_OTHER_AMORT",Input!M$2,Date,,,Ccy,Conv)</f>
        <v>0</v>
      </c>
      <c r="L188" s="4">
        <f>_xll.ciqfunctions.udf.CIQ(InputTicker, "IQ_OTHER_AMORT",Input!N$2,Date,,,Ccy,Conv)</f>
        <v>0</v>
      </c>
      <c r="M188" s="4">
        <f>_xll.ciqfunctions.udf.CIQ(InputTicker, "IQ_OTHER_AMORT",Input!O$2,Date,,,Ccy,Conv)</f>
        <v>0</v>
      </c>
      <c r="N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</row>
    <row r="189" spans="1:66" ht="12.75" customHeight="1" x14ac:dyDescent="0.2">
      <c r="A189" s="1" t="s">
        <v>169</v>
      </c>
      <c r="B189" s="4">
        <f>_xll.ciqfunctions.udf.CIQ(InputTicker, "IQ_MINORITY_INTEREST_CF",Input!D$2,Date,,,Ccy,Conv)</f>
        <v>0</v>
      </c>
      <c r="C189" s="4">
        <f>_xll.ciqfunctions.udf.CIQ(InputTicker, "IQ_MINORITY_INTEREST_CF",Input!E$2,Date,,,Ccy,Conv)</f>
        <v>0</v>
      </c>
      <c r="D189" s="4">
        <f>_xll.ciqfunctions.udf.CIQ(InputTicker, "IQ_MINORITY_INTEREST_CF",Input!F$2,Date,,,Ccy,Conv)</f>
        <v>0</v>
      </c>
      <c r="E189" s="4">
        <f>_xll.ciqfunctions.udf.CIQ(InputTicker, "IQ_MINORITY_INTEREST_CF",Input!G$2,Date,,,Ccy,Conv)</f>
        <v>0</v>
      </c>
      <c r="F189" s="4">
        <f>_xll.ciqfunctions.udf.CIQ(InputTicker, "IQ_MINORITY_INTEREST_CF",Input!H$2,Date,,,Ccy,Conv)</f>
        <v>0</v>
      </c>
      <c r="G189" s="4">
        <f>_xll.ciqfunctions.udf.CIQ(InputTicker, "IQ_MINORITY_INTEREST_CF",Input!I$2,Date,,,Ccy,Conv)</f>
        <v>0</v>
      </c>
      <c r="H189" s="4">
        <f>_xll.ciqfunctions.udf.CIQ(InputTicker, "IQ_MINORITY_INTEREST_CF",Input!J$2,Date,,,Ccy,Conv)</f>
        <v>0</v>
      </c>
      <c r="I189" s="4">
        <f>_xll.ciqfunctions.udf.CIQ(InputTicker, "IQ_MINORITY_INTEREST_CF",Input!K$2,Date,,,Ccy,Conv)</f>
        <v>0</v>
      </c>
      <c r="J189" s="4">
        <f>_xll.ciqfunctions.udf.CIQ(InputTicker, "IQ_MINORITY_INTEREST_CF",Input!L$2,Date,,,Ccy,Conv)</f>
        <v>0</v>
      </c>
      <c r="K189" s="4">
        <f>_xll.ciqfunctions.udf.CIQ(InputTicker, "IQ_MINORITY_INTEREST_CF",Input!M$2,Date,,,Ccy,Conv)</f>
        <v>0</v>
      </c>
      <c r="L189" s="4">
        <f>_xll.ciqfunctions.udf.CIQ(InputTicker, "IQ_MINORITY_INTEREST_CF",Input!N$2,Date,,,Ccy,Conv)</f>
        <v>0</v>
      </c>
      <c r="M189" s="4">
        <f>_xll.ciqfunctions.udf.CIQ(InputTicker, "IQ_MINORITY_INTEREST_CF",Input!O$2,Date,,,Ccy,Conv)</f>
        <v>0</v>
      </c>
      <c r="N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</row>
    <row r="190" spans="1:66" ht="12.75" customHeight="1" x14ac:dyDescent="0.2">
      <c r="A190" s="1" t="s">
        <v>198</v>
      </c>
      <c r="B190" s="4">
        <f>_xll.ciqfunctions.udf.CIQ(InputTicker, "IQ_GAIN_ASSETS_CF",Input!D$2,Date,,,Ccy,Conv)</f>
        <v>0.56799999999999995</v>
      </c>
      <c r="C190" s="4">
        <f>_xll.ciqfunctions.udf.CIQ(InputTicker, "IQ_GAIN_ASSETS_CF",Input!E$2,Date,,,Ccy,Conv)</f>
        <v>-1.5629999999999999</v>
      </c>
      <c r="D190" s="4">
        <f>_xll.ciqfunctions.udf.CIQ(InputTicker, "IQ_GAIN_ASSETS_CF",Input!F$2,Date,,,Ccy,Conv)</f>
        <v>3.6640000000000001</v>
      </c>
      <c r="E190" s="4">
        <f>_xll.ciqfunctions.udf.CIQ(InputTicker, "IQ_GAIN_ASSETS_CF",Input!G$2,Date,,,Ccy,Conv)</f>
        <v>0.47299999999999998</v>
      </c>
      <c r="F190" s="4">
        <f>_xll.ciqfunctions.udf.CIQ(InputTicker, "IQ_GAIN_ASSETS_CF",Input!H$2,Date,,,Ccy,Conv)</f>
        <v>3.3000000000000002E-2</v>
      </c>
      <c r="G190" s="4">
        <f>_xll.ciqfunctions.udf.CIQ(InputTicker, "IQ_GAIN_ASSETS_CF",Input!I$2,Date,,,Ccy,Conv)</f>
        <v>8.2000000000000003E-2</v>
      </c>
      <c r="H190" s="4">
        <f>_xll.ciqfunctions.udf.CIQ(InputTicker, "IQ_GAIN_ASSETS_CF",Input!J$2,Date,,,Ccy,Conv)</f>
        <v>2.9820000000000002</v>
      </c>
      <c r="I190" s="4">
        <f>_xll.ciqfunctions.udf.CIQ(InputTicker, "IQ_GAIN_ASSETS_CF",Input!K$2,Date,,,Ccy,Conv)</f>
        <v>0</v>
      </c>
      <c r="J190" s="4">
        <f>_xll.ciqfunctions.udf.CIQ(InputTicker, "IQ_GAIN_ASSETS_CF",Input!L$2,Date,,,Ccy,Conv)</f>
        <v>0</v>
      </c>
      <c r="K190" s="4">
        <f>_xll.ciqfunctions.udf.CIQ(InputTicker, "IQ_GAIN_ASSETS_CF",Input!M$2,Date,,,Ccy,Conv)</f>
        <v>0</v>
      </c>
      <c r="L190" s="4">
        <f>_xll.ciqfunctions.udf.CIQ(InputTicker, "IQ_GAIN_ASSETS_CF",Input!N$2,Date,,,Ccy,Conv)</f>
        <v>0</v>
      </c>
      <c r="M190" s="4">
        <f>_xll.ciqfunctions.udf.CIQ(InputTicker, "IQ_GAIN_ASSETS_CF",Input!O$2,Date,,,Ccy,Conv)</f>
        <v>0</v>
      </c>
      <c r="N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</row>
    <row r="191" spans="1:66" ht="12.75" customHeight="1" x14ac:dyDescent="0.2">
      <c r="A191" s="1" t="s">
        <v>142</v>
      </c>
      <c r="B191" s="4">
        <f>_xll.ciqfunctions.udf.CIQ(InputTicker, "IQ_GAIN_INVEST_CF",Input!D$2,Date,,,Ccy,Conv)</f>
        <v>0</v>
      </c>
      <c r="C191" s="4">
        <f>_xll.ciqfunctions.udf.CIQ(InputTicker, "IQ_GAIN_INVEST_CF",Input!E$2,Date,,,Ccy,Conv)</f>
        <v>6.5990000000000002</v>
      </c>
      <c r="D191" s="4">
        <f>_xll.ciqfunctions.udf.CIQ(InputTicker, "IQ_GAIN_INVEST_CF",Input!F$2,Date,,,Ccy,Conv)</f>
        <v>3.3980000000000001</v>
      </c>
      <c r="E191" s="4">
        <f>_xll.ciqfunctions.udf.CIQ(InputTicker, "IQ_GAIN_INVEST_CF",Input!G$2,Date,,,Ccy,Conv)</f>
        <v>1.68</v>
      </c>
      <c r="F191" s="4">
        <f>_xll.ciqfunctions.udf.CIQ(InputTicker, "IQ_GAIN_INVEST_CF",Input!H$2,Date,,,Ccy,Conv)</f>
        <v>0.96199999999999997</v>
      </c>
      <c r="G191" s="4">
        <f>_xll.ciqfunctions.udf.CIQ(InputTicker, "IQ_GAIN_INVEST_CF",Input!I$2,Date,,,Ccy,Conv)</f>
        <v>0.44900000000000001</v>
      </c>
      <c r="H191" s="4">
        <f>_xll.ciqfunctions.udf.CIQ(InputTicker, "IQ_GAIN_INVEST_CF",Input!J$2,Date,,,Ccy,Conv)</f>
        <v>2.6779999999999999</v>
      </c>
      <c r="I191" s="4">
        <f>_xll.ciqfunctions.udf.CIQ(InputTicker, "IQ_GAIN_INVEST_CF",Input!K$2,Date,,,Ccy,Conv)</f>
        <v>0</v>
      </c>
      <c r="J191" s="4">
        <f>_xll.ciqfunctions.udf.CIQ(InputTicker, "IQ_GAIN_INVEST_CF",Input!L$2,Date,,,Ccy,Conv)</f>
        <v>0</v>
      </c>
      <c r="K191" s="4">
        <f>_xll.ciqfunctions.udf.CIQ(InputTicker, "IQ_GAIN_INVEST_CF",Input!M$2,Date,,,Ccy,Conv)</f>
        <v>0</v>
      </c>
      <c r="L191" s="4">
        <f>_xll.ciqfunctions.udf.CIQ(InputTicker, "IQ_GAIN_INVEST_CF",Input!N$2,Date,,,Ccy,Conv)</f>
        <v>0</v>
      </c>
      <c r="M191" s="4">
        <f>_xll.ciqfunctions.udf.CIQ(InputTicker, "IQ_GAIN_INVEST_CF",Input!O$2,Date,,,Ccy,Conv)</f>
        <v>0</v>
      </c>
      <c r="N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</row>
    <row r="192" spans="1:66" ht="12.75" customHeight="1" x14ac:dyDescent="0.2">
      <c r="A192" s="1" t="s">
        <v>199</v>
      </c>
      <c r="B192" s="4">
        <f>_xll.ciqfunctions.udf.CIQ(InputTicker, "IQ_ASSET_WRITEDOWN_CF",Input!D$2,Date,,,Ccy,Conv)</f>
        <v>0</v>
      </c>
      <c r="C192" s="4">
        <f>_xll.ciqfunctions.udf.CIQ(InputTicker, "IQ_ASSET_WRITEDOWN_CF",Input!E$2,Date,,,Ccy,Conv)</f>
        <v>0</v>
      </c>
      <c r="D192" s="4">
        <f>_xll.ciqfunctions.udf.CIQ(InputTicker, "IQ_ASSET_WRITEDOWN_CF",Input!F$2,Date,,,Ccy,Conv)</f>
        <v>0</v>
      </c>
      <c r="E192" s="4">
        <f>_xll.ciqfunctions.udf.CIQ(InputTicker, "IQ_ASSET_WRITEDOWN_CF",Input!G$2,Date,,,Ccy,Conv)</f>
        <v>0</v>
      </c>
      <c r="F192" s="4">
        <f>_xll.ciqfunctions.udf.CIQ(InputTicker, "IQ_ASSET_WRITEDOWN_CF",Input!H$2,Date,,,Ccy,Conv)</f>
        <v>0</v>
      </c>
      <c r="G192" s="4">
        <f>_xll.ciqfunctions.udf.CIQ(InputTicker, "IQ_ASSET_WRITEDOWN_CF",Input!I$2,Date,,,Ccy,Conv)</f>
        <v>2.919</v>
      </c>
      <c r="H192" s="4">
        <f>_xll.ciqfunctions.udf.CIQ(InputTicker, "IQ_ASSET_WRITEDOWN_CF",Input!J$2,Date,,,Ccy,Conv)</f>
        <v>0</v>
      </c>
      <c r="I192" s="4">
        <f>_xll.ciqfunctions.udf.CIQ(InputTicker, "IQ_ASSET_WRITEDOWN_CF",Input!K$2,Date,,,Ccy,Conv)</f>
        <v>0</v>
      </c>
      <c r="J192" s="4">
        <f>_xll.ciqfunctions.udf.CIQ(InputTicker, "IQ_ASSET_WRITEDOWN_CF",Input!L$2,Date,,,Ccy,Conv)</f>
        <v>0</v>
      </c>
      <c r="K192" s="4">
        <f>_xll.ciqfunctions.udf.CIQ(InputTicker, "IQ_ASSET_WRITEDOWN_CF",Input!M$2,Date,,,Ccy,Conv)</f>
        <v>0</v>
      </c>
      <c r="L192" s="4">
        <f>_xll.ciqfunctions.udf.CIQ(InputTicker, "IQ_ASSET_WRITEDOWN_CF",Input!N$2,Date,,,Ccy,Conv)</f>
        <v>0</v>
      </c>
      <c r="M192" s="4">
        <f>_xll.ciqfunctions.udf.CIQ(InputTicker, "IQ_ASSET_WRITEDOWN_CF",Input!O$2,Date,,,Ccy,Conv)</f>
        <v>0</v>
      </c>
      <c r="N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</row>
    <row r="193" spans="1:66" ht="12.75" customHeight="1" x14ac:dyDescent="0.2">
      <c r="A193" s="1" t="s">
        <v>200</v>
      </c>
      <c r="B193" s="4">
        <f>_xll.ciqfunctions.udf.CIQ(InputTicker, "IQ_LOANS_CF",Input!D$2,Date,,,Ccy,Conv)</f>
        <v>0</v>
      </c>
      <c r="C193" s="4">
        <f>_xll.ciqfunctions.udf.CIQ(InputTicker, "IQ_LOANS_CF",Input!E$2,Date,,,Ccy,Conv)</f>
        <v>0</v>
      </c>
      <c r="D193" s="4">
        <f>_xll.ciqfunctions.udf.CIQ(InputTicker, "IQ_LOANS_CF",Input!F$2,Date,,,Ccy,Conv)</f>
        <v>0</v>
      </c>
      <c r="E193" s="4">
        <f>_xll.ciqfunctions.udf.CIQ(InputTicker, "IQ_LOANS_CF",Input!G$2,Date,,,Ccy,Conv)</f>
        <v>0</v>
      </c>
      <c r="F193" s="4">
        <f>_xll.ciqfunctions.udf.CIQ(InputTicker, "IQ_LOANS_CF",Input!H$2,Date,,,Ccy,Conv)</f>
        <v>0</v>
      </c>
      <c r="G193" s="4">
        <f>_xll.ciqfunctions.udf.CIQ(InputTicker, "IQ_LOANS_CF",Input!I$2,Date,,,Ccy,Conv)</f>
        <v>0</v>
      </c>
      <c r="H193" s="4">
        <f>_xll.ciqfunctions.udf.CIQ(InputTicker, "IQ_LOANS_CF",Input!J$2,Date,,,Ccy,Conv)</f>
        <v>0</v>
      </c>
      <c r="I193" s="4">
        <f>_xll.ciqfunctions.udf.CIQ(InputTicker, "IQ_LOANS_CF",Input!K$2,Date,,,Ccy,Conv)</f>
        <v>0</v>
      </c>
      <c r="J193" s="4">
        <f>_xll.ciqfunctions.udf.CIQ(InputTicker, "IQ_LOANS_CF",Input!L$2,Date,,,Ccy,Conv)</f>
        <v>0</v>
      </c>
      <c r="K193" s="4">
        <f>_xll.ciqfunctions.udf.CIQ(InputTicker, "IQ_LOANS_CF",Input!M$2,Date,,,Ccy,Conv)</f>
        <v>0</v>
      </c>
      <c r="L193" s="4">
        <f>_xll.ciqfunctions.udf.CIQ(InputTicker, "IQ_LOANS_CF",Input!N$2,Date,,,Ccy,Conv)</f>
        <v>0</v>
      </c>
      <c r="M193" s="4">
        <f>_xll.ciqfunctions.udf.CIQ(InputTicker, "IQ_LOANS_CF",Input!O$2,Date,,,Ccy,Conv)</f>
        <v>0</v>
      </c>
      <c r="N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</row>
    <row r="194" spans="1:66" ht="12.75" customHeight="1" x14ac:dyDescent="0.2">
      <c r="A194" s="1" t="s">
        <v>201</v>
      </c>
      <c r="B194" s="4">
        <f>_xll.ciqfunctions.udf.CIQ(InputTicker, "IQ_CREDIT_LOSS_CF",Input!D$2,Date,,,Ccy,Conv)</f>
        <v>0</v>
      </c>
      <c r="C194" s="4">
        <f>_xll.ciqfunctions.udf.CIQ(InputTicker, "IQ_CREDIT_LOSS_CF",Input!E$2,Date,,,Ccy,Conv)</f>
        <v>0</v>
      </c>
      <c r="D194" s="4">
        <f>_xll.ciqfunctions.udf.CIQ(InputTicker, "IQ_CREDIT_LOSS_CF",Input!F$2,Date,,,Ccy,Conv)</f>
        <v>0</v>
      </c>
      <c r="E194" s="4">
        <f>_xll.ciqfunctions.udf.CIQ(InputTicker, "IQ_CREDIT_LOSS_CF",Input!G$2,Date,,,Ccy,Conv)</f>
        <v>0</v>
      </c>
      <c r="F194" s="4">
        <f>_xll.ciqfunctions.udf.CIQ(InputTicker, "IQ_CREDIT_LOSS_CF",Input!H$2,Date,,,Ccy,Conv)</f>
        <v>0</v>
      </c>
      <c r="G194" s="4">
        <f>_xll.ciqfunctions.udf.CIQ(InputTicker, "IQ_CREDIT_LOSS_CF",Input!I$2,Date,,,Ccy,Conv)</f>
        <v>0</v>
      </c>
      <c r="H194" s="4">
        <f>_xll.ciqfunctions.udf.CIQ(InputTicker, "IQ_CREDIT_LOSS_CF",Input!J$2,Date,,,Ccy,Conv)</f>
        <v>0</v>
      </c>
      <c r="I194" s="4">
        <f>_xll.ciqfunctions.udf.CIQ(InputTicker, "IQ_CREDIT_LOSS_CF",Input!K$2,Date,,,Ccy,Conv)</f>
        <v>0</v>
      </c>
      <c r="J194" s="4">
        <f>_xll.ciqfunctions.udf.CIQ(InputTicker, "IQ_CREDIT_LOSS_CF",Input!L$2,Date,,,Ccy,Conv)</f>
        <v>0</v>
      </c>
      <c r="K194" s="4">
        <f>_xll.ciqfunctions.udf.CIQ(InputTicker, "IQ_CREDIT_LOSS_CF",Input!M$2,Date,,,Ccy,Conv)</f>
        <v>0</v>
      </c>
      <c r="L194" s="4">
        <f>_xll.ciqfunctions.udf.CIQ(InputTicker, "IQ_CREDIT_LOSS_CF",Input!N$2,Date,,,Ccy,Conv)</f>
        <v>0</v>
      </c>
      <c r="M194" s="4">
        <f>_xll.ciqfunctions.udf.CIQ(InputTicker, "IQ_CREDIT_LOSS_CF",Input!O$2,Date,,,Ccy,Conv)</f>
        <v>0</v>
      </c>
      <c r="N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</row>
    <row r="195" spans="1:66" ht="12.75" customHeight="1" x14ac:dyDescent="0.2">
      <c r="A195" s="1" t="s">
        <v>202</v>
      </c>
      <c r="B195" s="4">
        <f>_xll.ciqfunctions.udf.CIQ(InputTicker, "IQ_INC_EQUITY_CF",Input!D$2,Date,,,Ccy,Conv)</f>
        <v>-2.657</v>
      </c>
      <c r="C195" s="4">
        <f>_xll.ciqfunctions.udf.CIQ(InputTicker, "IQ_INC_EQUITY_CF",Input!E$2,Date,,,Ccy,Conv)</f>
        <v>-5.016</v>
      </c>
      <c r="D195" s="4">
        <f>_xll.ciqfunctions.udf.CIQ(InputTicker, "IQ_INC_EQUITY_CF",Input!F$2,Date,,,Ccy,Conv)</f>
        <v>-1.39</v>
      </c>
      <c r="E195" s="4">
        <f>_xll.ciqfunctions.udf.CIQ(InputTicker, "IQ_INC_EQUITY_CF",Input!G$2,Date,,,Ccy,Conv)</f>
        <v>-3.5169999999999999</v>
      </c>
      <c r="F195" s="4">
        <f>_xll.ciqfunctions.udf.CIQ(InputTicker, "IQ_INC_EQUITY_CF",Input!H$2,Date,,,Ccy,Conv)</f>
        <v>-4.7759999999999998</v>
      </c>
      <c r="G195" s="4">
        <f>_xll.ciqfunctions.udf.CIQ(InputTicker, "IQ_INC_EQUITY_CF",Input!I$2,Date,,,Ccy,Conv)</f>
        <v>-0.53400000000000003</v>
      </c>
      <c r="H195" s="4">
        <f>_xll.ciqfunctions.udf.CIQ(InputTicker, "IQ_INC_EQUITY_CF",Input!J$2,Date,,,Ccy,Conv)</f>
        <v>-0.622</v>
      </c>
      <c r="I195" s="4">
        <f>_xll.ciqfunctions.udf.CIQ(InputTicker, "IQ_INC_EQUITY_CF",Input!K$2,Date,,,Ccy,Conv)</f>
        <v>0</v>
      </c>
      <c r="J195" s="4">
        <f>_xll.ciqfunctions.udf.CIQ(InputTicker, "IQ_INC_EQUITY_CF",Input!L$2,Date,,,Ccy,Conv)</f>
        <v>0</v>
      </c>
      <c r="K195" s="4">
        <f>_xll.ciqfunctions.udf.CIQ(InputTicker, "IQ_INC_EQUITY_CF",Input!M$2,Date,,,Ccy,Conv)</f>
        <v>0</v>
      </c>
      <c r="L195" s="4">
        <f>_xll.ciqfunctions.udf.CIQ(InputTicker, "IQ_INC_EQUITY_CF",Input!N$2,Date,,,Ccy,Conv)</f>
        <v>0</v>
      </c>
      <c r="M195" s="4">
        <f>_xll.ciqfunctions.udf.CIQ(InputTicker, "IQ_INC_EQUITY_CF",Input!O$2,Date,,,Ccy,Conv)</f>
        <v>0</v>
      </c>
      <c r="N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</row>
    <row r="196" spans="1:66" ht="12.75" customHeight="1" x14ac:dyDescent="0.2">
      <c r="A196" s="1" t="s">
        <v>203</v>
      </c>
      <c r="B196" s="4">
        <f>_xll.ciqfunctions.udf.CIQ(InputTicker, "IQ_STOCK_BASED_CF",Input!D$2,Date,,,Ccy,Conv)</f>
        <v>2.2679999999999998</v>
      </c>
      <c r="C196" s="4">
        <f>_xll.ciqfunctions.udf.CIQ(InputTicker, "IQ_STOCK_BASED_CF",Input!E$2,Date,,,Ccy,Conv)</f>
        <v>3.0710000000000002</v>
      </c>
      <c r="D196" s="4">
        <f>_xll.ciqfunctions.udf.CIQ(InputTicker, "IQ_STOCK_BASED_CF",Input!F$2,Date,,,Ccy,Conv)</f>
        <v>3.427</v>
      </c>
      <c r="E196" s="4">
        <f>_xll.ciqfunctions.udf.CIQ(InputTicker, "IQ_STOCK_BASED_CF",Input!G$2,Date,,,Ccy,Conv)</f>
        <v>3.4670000000000001</v>
      </c>
      <c r="F196" s="4">
        <f>_xll.ciqfunctions.udf.CIQ(InputTicker, "IQ_STOCK_BASED_CF",Input!H$2,Date,,,Ccy,Conv)</f>
        <v>3.6190000000000002</v>
      </c>
      <c r="G196" s="4">
        <f>_xll.ciqfunctions.udf.CIQ(InputTicker, "IQ_STOCK_BASED_CF",Input!I$2,Date,,,Ccy,Conv)</f>
        <v>3.617</v>
      </c>
      <c r="H196" s="4">
        <f>_xll.ciqfunctions.udf.CIQ(InputTicker, "IQ_STOCK_BASED_CF",Input!J$2,Date,,,Ccy,Conv)</f>
        <v>3.778</v>
      </c>
      <c r="I196" s="4">
        <f>_xll.ciqfunctions.udf.CIQ(InputTicker, "IQ_STOCK_BASED_CF",Input!K$2,Date,,,Ccy,Conv)</f>
        <v>4.0629999999999997</v>
      </c>
      <c r="J196" s="4">
        <f>_xll.ciqfunctions.udf.CIQ(InputTicker, "IQ_STOCK_BASED_CF",Input!L$2,Date,,,Ccy,Conv)</f>
        <v>4.2050000000000001</v>
      </c>
      <c r="K196" s="4">
        <f>_xll.ciqfunctions.udf.CIQ(InputTicker, "IQ_STOCK_BASED_CF",Input!M$2,Date,,,Ccy,Conv)</f>
        <v>4.3579999999999997</v>
      </c>
      <c r="L196" s="4">
        <f>_xll.ciqfunctions.udf.CIQ(InputTicker, "IQ_STOCK_BASED_CF",Input!N$2,Date,,,Ccy,Conv)</f>
        <v>4.5270000000000001</v>
      </c>
      <c r="M196" s="4">
        <f>_xll.ciqfunctions.udf.CIQ(InputTicker, "IQ_STOCK_BASED_CF",Input!O$2,Date,,,Ccy,Conv)</f>
        <v>4.5270000000000001</v>
      </c>
      <c r="N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</row>
    <row r="197" spans="1:66" ht="12.75" customHeight="1" x14ac:dyDescent="0.2">
      <c r="A197" s="1" t="s">
        <v>143</v>
      </c>
      <c r="B197" s="4">
        <f>_xll.ciqfunctions.udf.CIQ(InputTicker, "IQ_TAX_BENEFIT_OPTIONS",Input!D$2,Date,,,Ccy,Conv)</f>
        <v>0</v>
      </c>
      <c r="C197" s="4">
        <f>_xll.ciqfunctions.udf.CIQ(InputTicker, "IQ_TAX_BENEFIT_OPTIONS",Input!E$2,Date,,,Ccy,Conv)</f>
        <v>0</v>
      </c>
      <c r="D197" s="4">
        <f>_xll.ciqfunctions.udf.CIQ(InputTicker, "IQ_TAX_BENEFIT_OPTIONS",Input!F$2,Date,,,Ccy,Conv)</f>
        <v>0</v>
      </c>
      <c r="E197" s="4">
        <f>_xll.ciqfunctions.udf.CIQ(InputTicker, "IQ_TAX_BENEFIT_OPTIONS",Input!G$2,Date,,,Ccy,Conv)</f>
        <v>0</v>
      </c>
      <c r="F197" s="4">
        <f>_xll.ciqfunctions.udf.CIQ(InputTicker, "IQ_TAX_BENEFIT_OPTIONS",Input!H$2,Date,,,Ccy,Conv)</f>
        <v>0</v>
      </c>
      <c r="G197" s="4">
        <f>_xll.ciqfunctions.udf.CIQ(InputTicker, "IQ_TAX_BENEFIT_OPTIONS",Input!I$2,Date,,,Ccy,Conv)</f>
        <v>0</v>
      </c>
      <c r="H197" s="4">
        <f>_xll.ciqfunctions.udf.CIQ(InputTicker, "IQ_TAX_BENEFIT_OPTIONS",Input!J$2,Date,,,Ccy,Conv)</f>
        <v>0</v>
      </c>
      <c r="I197" s="4">
        <f>_xll.ciqfunctions.udf.CIQ(InputTicker, "IQ_TAX_BENEFIT_OPTIONS",Input!K$2,Date,,,Ccy,Conv)</f>
        <v>0</v>
      </c>
      <c r="J197" s="4">
        <f>_xll.ciqfunctions.udf.CIQ(InputTicker, "IQ_TAX_BENEFIT_OPTIONS",Input!L$2,Date,,,Ccy,Conv)</f>
        <v>0</v>
      </c>
      <c r="K197" s="4">
        <f>_xll.ciqfunctions.udf.CIQ(InputTicker, "IQ_TAX_BENEFIT_OPTIONS",Input!M$2,Date,,,Ccy,Conv)</f>
        <v>0</v>
      </c>
      <c r="L197" s="4">
        <f>_xll.ciqfunctions.udf.CIQ(InputTicker, "IQ_TAX_BENEFIT_OPTIONS",Input!N$2,Date,,,Ccy,Conv)</f>
        <v>0</v>
      </c>
      <c r="M197" s="4">
        <f>_xll.ciqfunctions.udf.CIQ(InputTicker, "IQ_TAX_BENEFIT_OPTIONS",Input!O$2,Date,,,Ccy,Conv)</f>
        <v>0</v>
      </c>
      <c r="N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</row>
    <row r="198" spans="1:66" ht="12.75" customHeight="1" x14ac:dyDescent="0.2">
      <c r="A198" s="1" t="s">
        <v>204</v>
      </c>
      <c r="B198" s="4">
        <f>_xll.ciqfunctions.udf.CIQ(InputTicker, "IQ_PROV_BAD_DEBTS_CF",Input!D$2,Date,,,Ccy,Conv)</f>
        <v>0</v>
      </c>
      <c r="C198" s="4">
        <f>_xll.ciqfunctions.udf.CIQ(InputTicker, "IQ_PROV_BAD_DEBTS_CF",Input!E$2,Date,,,Ccy,Conv)</f>
        <v>0</v>
      </c>
      <c r="D198" s="4">
        <f>_xll.ciqfunctions.udf.CIQ(InputTicker, "IQ_PROV_BAD_DEBTS_CF",Input!F$2,Date,,,Ccy,Conv)</f>
        <v>0</v>
      </c>
      <c r="E198" s="4">
        <f>_xll.ciqfunctions.udf.CIQ(InputTicker, "IQ_PROV_BAD_DEBTS_CF",Input!G$2,Date,,,Ccy,Conv)</f>
        <v>0</v>
      </c>
      <c r="F198" s="4">
        <f>_xll.ciqfunctions.udf.CIQ(InputTicker, "IQ_PROV_BAD_DEBTS_CF",Input!H$2,Date,,,Ccy,Conv)</f>
        <v>0</v>
      </c>
      <c r="G198" s="4">
        <f>_xll.ciqfunctions.udf.CIQ(InputTicker, "IQ_PROV_BAD_DEBTS_CF",Input!I$2,Date,,,Ccy,Conv)</f>
        <v>0</v>
      </c>
      <c r="H198" s="4">
        <f>_xll.ciqfunctions.udf.CIQ(InputTicker, "IQ_PROV_BAD_DEBTS_CF",Input!J$2,Date,,,Ccy,Conv)</f>
        <v>0</v>
      </c>
      <c r="I198" s="4">
        <f>_xll.ciqfunctions.udf.CIQ(InputTicker, "IQ_PROV_BAD_DEBTS_CF",Input!K$2,Date,,,Ccy,Conv)</f>
        <v>0</v>
      </c>
      <c r="J198" s="4">
        <f>_xll.ciqfunctions.udf.CIQ(InputTicker, "IQ_PROV_BAD_DEBTS_CF",Input!L$2,Date,,,Ccy,Conv)</f>
        <v>0</v>
      </c>
      <c r="K198" s="4">
        <f>_xll.ciqfunctions.udf.CIQ(InputTicker, "IQ_PROV_BAD_DEBTS_CF",Input!M$2,Date,,,Ccy,Conv)</f>
        <v>0</v>
      </c>
      <c r="L198" s="4">
        <f>_xll.ciqfunctions.udf.CIQ(InputTicker, "IQ_PROV_BAD_DEBTS_CF",Input!N$2,Date,,,Ccy,Conv)</f>
        <v>0</v>
      </c>
      <c r="M198" s="4">
        <f>_xll.ciqfunctions.udf.CIQ(InputTicker, "IQ_PROV_BAD_DEBTS_CF",Input!O$2,Date,,,Ccy,Conv)</f>
        <v>0</v>
      </c>
      <c r="N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</row>
    <row r="199" spans="1:66" ht="12.75" customHeight="1" x14ac:dyDescent="0.2">
      <c r="A199" s="1" t="s">
        <v>205</v>
      </c>
      <c r="B199" s="4">
        <f>_xll.ciqfunctions.udf.CIQ(InputTicker, "IQ_DO_CF",Input!D$2,Date,,,Ccy,Conv)</f>
        <v>0</v>
      </c>
      <c r="C199" s="4">
        <f>_xll.ciqfunctions.udf.CIQ(InputTicker, "IQ_DO_CF",Input!E$2,Date,,,Ccy,Conv)</f>
        <v>0</v>
      </c>
      <c r="D199" s="4">
        <f>_xll.ciqfunctions.udf.CIQ(InputTicker, "IQ_DO_CF",Input!F$2,Date,,,Ccy,Conv)</f>
        <v>0</v>
      </c>
      <c r="E199" s="4">
        <f>_xll.ciqfunctions.udf.CIQ(InputTicker, "IQ_DO_CF",Input!G$2,Date,,,Ccy,Conv)</f>
        <v>0</v>
      </c>
      <c r="F199" s="4">
        <f>_xll.ciqfunctions.udf.CIQ(InputTicker, "IQ_DO_CF",Input!H$2,Date,,,Ccy,Conv)</f>
        <v>0</v>
      </c>
      <c r="G199" s="4">
        <f>_xll.ciqfunctions.udf.CIQ(InputTicker, "IQ_DO_CF",Input!I$2,Date,,,Ccy,Conv)</f>
        <v>0</v>
      </c>
      <c r="H199" s="4">
        <f>_xll.ciqfunctions.udf.CIQ(InputTicker, "IQ_DO_CF",Input!J$2,Date,,,Ccy,Conv)</f>
        <v>0</v>
      </c>
      <c r="I199" s="4">
        <f>_xll.ciqfunctions.udf.CIQ(InputTicker, "IQ_DO_CF",Input!K$2,Date,,,Ccy,Conv)</f>
        <v>0</v>
      </c>
      <c r="J199" s="4">
        <f>_xll.ciqfunctions.udf.CIQ(InputTicker, "IQ_DO_CF",Input!L$2,Date,,,Ccy,Conv)</f>
        <v>0</v>
      </c>
      <c r="K199" s="4">
        <f>_xll.ciqfunctions.udf.CIQ(InputTicker, "IQ_DO_CF",Input!M$2,Date,,,Ccy,Conv)</f>
        <v>0</v>
      </c>
      <c r="L199" s="4">
        <f>_xll.ciqfunctions.udf.CIQ(InputTicker, "IQ_DO_CF",Input!N$2,Date,,,Ccy,Conv)</f>
        <v>0</v>
      </c>
      <c r="M199" s="4">
        <f>_xll.ciqfunctions.udf.CIQ(InputTicker, "IQ_DO_CF",Input!O$2,Date,,,Ccy,Conv)</f>
        <v>0</v>
      </c>
      <c r="N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</row>
    <row r="200" spans="1:66" ht="12.75" customHeight="1" x14ac:dyDescent="0.2">
      <c r="A200" s="1" t="s">
        <v>206</v>
      </c>
      <c r="B200" s="4">
        <f>_xll.ciqfunctions.udf.CIQ(InputTicker, "IQ_OTHER_OPER_ACT",Input!D$2,Date,,,Ccy,Conv)</f>
        <v>5.8070000000000004</v>
      </c>
      <c r="C200" s="4">
        <f>_xll.ciqfunctions.udf.CIQ(InputTicker, "IQ_OTHER_OPER_ACT",Input!E$2,Date,,,Ccy,Conv)</f>
        <v>20.6</v>
      </c>
      <c r="D200" s="4">
        <f>_xll.ciqfunctions.udf.CIQ(InputTicker, "IQ_OTHER_OPER_ACT",Input!F$2,Date,,,Ccy,Conv)</f>
        <v>14.475</v>
      </c>
      <c r="E200" s="4">
        <f>_xll.ciqfunctions.udf.CIQ(InputTicker, "IQ_OTHER_OPER_ACT",Input!G$2,Date,,,Ccy,Conv)</f>
        <v>-33.473999999999997</v>
      </c>
      <c r="F200" s="4">
        <f>_xll.ciqfunctions.udf.CIQ(InputTicker, "IQ_OTHER_OPER_ACT",Input!H$2,Date,,,Ccy,Conv)</f>
        <v>6.9790000000000001</v>
      </c>
      <c r="G200" s="4">
        <f>_xll.ciqfunctions.udf.CIQ(InputTicker, "IQ_OTHER_OPER_ACT",Input!I$2,Date,,,Ccy,Conv)</f>
        <v>10.907</v>
      </c>
      <c r="H200" s="4">
        <f>_xll.ciqfunctions.udf.CIQ(InputTicker, "IQ_OTHER_OPER_ACT",Input!J$2,Date,,,Ccy,Conv)</f>
        <v>21.841000000000001</v>
      </c>
      <c r="I200" s="4">
        <f>_xll.ciqfunctions.udf.CIQ(InputTicker, "IQ_OTHER_OPER_ACT",Input!K$2,Date,,,Ccy,Conv)</f>
        <v>-3.6320000000000001</v>
      </c>
      <c r="J200" s="4">
        <f>_xll.ciqfunctions.udf.CIQ(InputTicker, "IQ_OTHER_OPER_ACT",Input!L$2,Date,,,Ccy,Conv)</f>
        <v>21.684000000000001</v>
      </c>
      <c r="K200" s="4">
        <f>_xll.ciqfunctions.udf.CIQ(InputTicker, "IQ_OTHER_OPER_ACT",Input!M$2,Date,,,Ccy,Conv)</f>
        <v>-12.686</v>
      </c>
      <c r="L200" s="4">
        <f>_xll.ciqfunctions.udf.CIQ(InputTicker, "IQ_OTHER_OPER_ACT",Input!N$2,Date,,,Ccy,Conv)</f>
        <v>9.3279999999999994</v>
      </c>
      <c r="M200" s="4">
        <f>_xll.ciqfunctions.udf.CIQ(InputTicker, "IQ_OTHER_OPER_ACT",Input!O$2,Date,,,Ccy,Conv)</f>
        <v>195.524</v>
      </c>
      <c r="N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</row>
    <row r="201" spans="1:66" ht="12.75" customHeight="1" x14ac:dyDescent="0.2">
      <c r="A201" s="1" t="s">
        <v>207</v>
      </c>
      <c r="B201" s="4">
        <f>_xll.ciqfunctions.udf.CIQ(InputTicker, "IQ_CHANGE_TRADING_ASSETS",Input!D$2,Date,,,Ccy,Conv)</f>
        <v>0</v>
      </c>
      <c r="C201" s="4">
        <f>_xll.ciqfunctions.udf.CIQ(InputTicker, "IQ_CHANGE_TRADING_ASSETS",Input!E$2,Date,,,Ccy,Conv)</f>
        <v>0</v>
      </c>
      <c r="D201" s="4">
        <f>_xll.ciqfunctions.udf.CIQ(InputTicker, "IQ_CHANGE_TRADING_ASSETS",Input!F$2,Date,,,Ccy,Conv)</f>
        <v>0</v>
      </c>
      <c r="E201" s="4">
        <f>_xll.ciqfunctions.udf.CIQ(InputTicker, "IQ_CHANGE_TRADING_ASSETS",Input!G$2,Date,,,Ccy,Conv)</f>
        <v>0</v>
      </c>
      <c r="F201" s="4">
        <f>_xll.ciqfunctions.udf.CIQ(InputTicker, "IQ_CHANGE_TRADING_ASSETS",Input!H$2,Date,,,Ccy,Conv)</f>
        <v>0</v>
      </c>
      <c r="G201" s="4">
        <f>_xll.ciqfunctions.udf.CIQ(InputTicker, "IQ_CHANGE_TRADING_ASSETS",Input!I$2,Date,,,Ccy,Conv)</f>
        <v>0</v>
      </c>
      <c r="H201" s="4">
        <f>_xll.ciqfunctions.udf.CIQ(InputTicker, "IQ_CHANGE_TRADING_ASSETS",Input!J$2,Date,,,Ccy,Conv)</f>
        <v>0</v>
      </c>
      <c r="I201" s="4">
        <f>_xll.ciqfunctions.udf.CIQ(InputTicker, "IQ_CHANGE_TRADING_ASSETS",Input!K$2,Date,,,Ccy,Conv)</f>
        <v>0</v>
      </c>
      <c r="J201" s="4">
        <f>_xll.ciqfunctions.udf.CIQ(InputTicker, "IQ_CHANGE_TRADING_ASSETS",Input!L$2,Date,,,Ccy,Conv)</f>
        <v>0</v>
      </c>
      <c r="K201" s="4">
        <f>_xll.ciqfunctions.udf.CIQ(InputTicker, "IQ_CHANGE_TRADING_ASSETS",Input!M$2,Date,,,Ccy,Conv)</f>
        <v>0</v>
      </c>
      <c r="L201" s="4">
        <f>_xll.ciqfunctions.udf.CIQ(InputTicker, "IQ_CHANGE_TRADING_ASSETS",Input!N$2,Date,,,Ccy,Conv)</f>
        <v>0</v>
      </c>
      <c r="M201" s="4">
        <f>_xll.ciqfunctions.udf.CIQ(InputTicker, "IQ_CHANGE_TRADING_ASSETS",Input!O$2,Date,,,Ccy,Conv)</f>
        <v>0</v>
      </c>
      <c r="N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</row>
    <row r="202" spans="1:66" ht="12.75" customHeight="1" x14ac:dyDescent="0.2">
      <c r="A202" s="1" t="s">
        <v>144</v>
      </c>
      <c r="B202" s="4">
        <f>_xll.ciqfunctions.udf.CIQ(InputTicker, "IQ_CHANGE_AR",Input!D$2,Date,,,Ccy,Conv)</f>
        <v>-18.960999999999999</v>
      </c>
      <c r="C202" s="4">
        <f>_xll.ciqfunctions.udf.CIQ(InputTicker, "IQ_CHANGE_AR",Input!E$2,Date,,,Ccy,Conv)</f>
        <v>21.16</v>
      </c>
      <c r="D202" s="4">
        <f>_xll.ciqfunctions.udf.CIQ(InputTicker, "IQ_CHANGE_AR",Input!F$2,Date,,,Ccy,Conv)</f>
        <v>-37.222000000000001</v>
      </c>
      <c r="E202" s="4">
        <f>_xll.ciqfunctions.udf.CIQ(InputTicker, "IQ_CHANGE_AR",Input!G$2,Date,,,Ccy,Conv)</f>
        <v>31.402000000000001</v>
      </c>
      <c r="F202" s="4">
        <f>_xll.ciqfunctions.udf.CIQ(InputTicker, "IQ_CHANGE_AR",Input!H$2,Date,,,Ccy,Conv)</f>
        <v>16.012</v>
      </c>
      <c r="G202" s="4">
        <f>_xll.ciqfunctions.udf.CIQ(InputTicker, "IQ_CHANGE_AR",Input!I$2,Date,,,Ccy,Conv)</f>
        <v>-28.3</v>
      </c>
      <c r="H202" s="4">
        <f>_xll.ciqfunctions.udf.CIQ(InputTicker, "IQ_CHANGE_AR",Input!J$2,Date,,,Ccy,Conv)</f>
        <v>-33.487000000000002</v>
      </c>
      <c r="I202" s="4">
        <f>_xll.ciqfunctions.udf.CIQ(InputTicker, "IQ_CHANGE_AR",Input!K$2,Date,,,Ccy,Conv)</f>
        <v>-88.063000000000002</v>
      </c>
      <c r="J202" s="4">
        <f>_xll.ciqfunctions.udf.CIQ(InputTicker, "IQ_CHANGE_AR",Input!L$2,Date,,,Ccy,Conv)</f>
        <v>58.128999999999998</v>
      </c>
      <c r="K202" s="4">
        <f>_xll.ciqfunctions.udf.CIQ(InputTicker, "IQ_CHANGE_AR",Input!M$2,Date,,,Ccy,Conv)</f>
        <v>-27.57</v>
      </c>
      <c r="L202" s="4">
        <f>_xll.ciqfunctions.udf.CIQ(InputTicker, "IQ_CHANGE_AR",Input!N$2,Date,,,Ccy,Conv)</f>
        <v>-104.997</v>
      </c>
      <c r="M202" s="4">
        <f>_xll.ciqfunctions.udf.CIQ(InputTicker, "IQ_CHANGE_AR",Input!O$2,Date,,,Ccy,Conv)</f>
        <v>-104.997</v>
      </c>
      <c r="N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</row>
    <row r="203" spans="1:66" ht="12.75" customHeight="1" x14ac:dyDescent="0.2">
      <c r="A203" s="1" t="s">
        <v>145</v>
      </c>
      <c r="B203" s="4">
        <f>_xll.ciqfunctions.udf.CIQ(InputTicker, "IQ_CHANGE_INVENTORY",Input!D$2,Date,,,Ccy,Conv)</f>
        <v>-0.14299999999999999</v>
      </c>
      <c r="C203" s="4">
        <f>_xll.ciqfunctions.udf.CIQ(InputTicker, "IQ_CHANGE_INVENTORY",Input!E$2,Date,,,Ccy,Conv)</f>
        <v>-8.5389999999999997</v>
      </c>
      <c r="D203" s="4">
        <f>_xll.ciqfunctions.udf.CIQ(InputTicker, "IQ_CHANGE_INVENTORY",Input!F$2,Date,,,Ccy,Conv)</f>
        <v>2.3860000000000001</v>
      </c>
      <c r="E203" s="4">
        <f>_xll.ciqfunctions.udf.CIQ(InputTicker, "IQ_CHANGE_INVENTORY",Input!G$2,Date,,,Ccy,Conv)</f>
        <v>-7.952</v>
      </c>
      <c r="F203" s="4">
        <f>_xll.ciqfunctions.udf.CIQ(InputTicker, "IQ_CHANGE_INVENTORY",Input!H$2,Date,,,Ccy,Conv)</f>
        <v>-2.2850000000000001</v>
      </c>
      <c r="G203" s="4">
        <f>_xll.ciqfunctions.udf.CIQ(InputTicker, "IQ_CHANGE_INVENTORY",Input!I$2,Date,,,Ccy,Conv)</f>
        <v>-9.7040000000000006</v>
      </c>
      <c r="H203" s="4">
        <f>_xll.ciqfunctions.udf.CIQ(InputTicker, "IQ_CHANGE_INVENTORY",Input!J$2,Date,,,Ccy,Conv)</f>
        <v>-31.158999999999999</v>
      </c>
      <c r="I203" s="4">
        <f>_xll.ciqfunctions.udf.CIQ(InputTicker, "IQ_CHANGE_INVENTORY",Input!K$2,Date,,,Ccy,Conv)</f>
        <v>-36.152000000000001</v>
      </c>
      <c r="J203" s="4">
        <f>_xll.ciqfunctions.udf.CIQ(InputTicker, "IQ_CHANGE_INVENTORY",Input!L$2,Date,,,Ccy,Conv)</f>
        <v>-21.102</v>
      </c>
      <c r="K203" s="4">
        <f>_xll.ciqfunctions.udf.CIQ(InputTicker, "IQ_CHANGE_INVENTORY",Input!M$2,Date,,,Ccy,Conv)</f>
        <v>28.8</v>
      </c>
      <c r="L203" s="4">
        <f>_xll.ciqfunctions.udf.CIQ(InputTicker, "IQ_CHANGE_INVENTORY",Input!N$2,Date,,,Ccy,Conv)</f>
        <v>-12.224</v>
      </c>
      <c r="M203" s="4">
        <f>_xll.ciqfunctions.udf.CIQ(InputTicker, "IQ_CHANGE_INVENTORY",Input!O$2,Date,,,Ccy,Conv)</f>
        <v>-12.224</v>
      </c>
      <c r="N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</row>
    <row r="204" spans="1:66" ht="12.75" customHeight="1" x14ac:dyDescent="0.2">
      <c r="A204" s="1" t="s">
        <v>146</v>
      </c>
      <c r="B204" s="4">
        <f>_xll.ciqfunctions.udf.CIQ(InputTicker, "IQ_CHANGE_AP",Input!D$2,Date,,,Ccy,Conv)</f>
        <v>6.4859999999999998</v>
      </c>
      <c r="C204" s="4">
        <f>_xll.ciqfunctions.udf.CIQ(InputTicker, "IQ_CHANGE_AP",Input!E$2,Date,,,Ccy,Conv)</f>
        <v>-8.5079999999999991</v>
      </c>
      <c r="D204" s="4">
        <f>_xll.ciqfunctions.udf.CIQ(InputTicker, "IQ_CHANGE_AP",Input!F$2,Date,,,Ccy,Conv)</f>
        <v>-9.4909999999999997</v>
      </c>
      <c r="E204" s="4">
        <f>_xll.ciqfunctions.udf.CIQ(InputTicker, "IQ_CHANGE_AP",Input!G$2,Date,,,Ccy,Conv)</f>
        <v>28.378</v>
      </c>
      <c r="F204" s="4">
        <f>_xll.ciqfunctions.udf.CIQ(InputTicker, "IQ_CHANGE_AP",Input!H$2,Date,,,Ccy,Conv)</f>
        <v>-14.337999999999999</v>
      </c>
      <c r="G204" s="4">
        <f>_xll.ciqfunctions.udf.CIQ(InputTicker, "IQ_CHANGE_AP",Input!I$2,Date,,,Ccy,Conv)</f>
        <v>17.678999999999998</v>
      </c>
      <c r="H204" s="4">
        <f>_xll.ciqfunctions.udf.CIQ(InputTicker, "IQ_CHANGE_AP",Input!J$2,Date,,,Ccy,Conv)</f>
        <v>-1.4119999999999999</v>
      </c>
      <c r="I204" s="4">
        <f>_xll.ciqfunctions.udf.CIQ(InputTicker, "IQ_CHANGE_AP",Input!K$2,Date,,,Ccy,Conv)</f>
        <v>29.992999999999999</v>
      </c>
      <c r="J204" s="4">
        <f>_xll.ciqfunctions.udf.CIQ(InputTicker, "IQ_CHANGE_AP",Input!L$2,Date,,,Ccy,Conv)</f>
        <v>14.944000000000001</v>
      </c>
      <c r="K204" s="4">
        <f>_xll.ciqfunctions.udf.CIQ(InputTicker, "IQ_CHANGE_AP",Input!M$2,Date,,,Ccy,Conv)</f>
        <v>9.3529999999999998</v>
      </c>
      <c r="L204" s="4">
        <f>_xll.ciqfunctions.udf.CIQ(InputTicker, "IQ_CHANGE_AP",Input!N$2,Date,,,Ccy,Conv)</f>
        <v>65.311000000000007</v>
      </c>
      <c r="M204" s="4">
        <f>_xll.ciqfunctions.udf.CIQ(InputTicker, "IQ_CHANGE_AP",Input!O$2,Date,,,Ccy,Conv)</f>
        <v>65.311000000000007</v>
      </c>
      <c r="N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/>
    </row>
    <row r="205" spans="1:66" ht="12.75" customHeight="1" x14ac:dyDescent="0.2">
      <c r="A205" s="1" t="s">
        <v>147</v>
      </c>
      <c r="B205" s="4">
        <f>_xll.ciqfunctions.udf.CIQ(InputTicker, "IQ_CHANGE_UNEARN_REV",Input!D$2,Date,,,Ccy,Conv)</f>
        <v>0</v>
      </c>
      <c r="C205" s="4">
        <f>_xll.ciqfunctions.udf.CIQ(InputTicker, "IQ_CHANGE_UNEARN_REV",Input!E$2,Date,,,Ccy,Conv)</f>
        <v>0</v>
      </c>
      <c r="D205" s="4">
        <f>_xll.ciqfunctions.udf.CIQ(InputTicker, "IQ_CHANGE_UNEARN_REV",Input!F$2,Date,,,Ccy,Conv)</f>
        <v>0</v>
      </c>
      <c r="E205" s="4">
        <f>_xll.ciqfunctions.udf.CIQ(InputTicker, "IQ_CHANGE_UNEARN_REV",Input!G$2,Date,,,Ccy,Conv)</f>
        <v>0</v>
      </c>
      <c r="F205" s="4">
        <f>_xll.ciqfunctions.udf.CIQ(InputTicker, "IQ_CHANGE_UNEARN_REV",Input!H$2,Date,,,Ccy,Conv)</f>
        <v>0</v>
      </c>
      <c r="G205" s="4">
        <f>_xll.ciqfunctions.udf.CIQ(InputTicker, "IQ_CHANGE_UNEARN_REV",Input!I$2,Date,,,Ccy,Conv)</f>
        <v>0</v>
      </c>
      <c r="H205" s="4">
        <f>_xll.ciqfunctions.udf.CIQ(InputTicker, "IQ_CHANGE_UNEARN_REV",Input!J$2,Date,,,Ccy,Conv)</f>
        <v>0</v>
      </c>
      <c r="I205" s="4">
        <f>_xll.ciqfunctions.udf.CIQ(InputTicker, "IQ_CHANGE_UNEARN_REV",Input!K$2,Date,,,Ccy,Conv)</f>
        <v>0</v>
      </c>
      <c r="J205" s="4">
        <f>_xll.ciqfunctions.udf.CIQ(InputTicker, "IQ_CHANGE_UNEARN_REV",Input!L$2,Date,,,Ccy,Conv)</f>
        <v>0</v>
      </c>
      <c r="K205" s="4">
        <f>_xll.ciqfunctions.udf.CIQ(InputTicker, "IQ_CHANGE_UNEARN_REV",Input!M$2,Date,,,Ccy,Conv)</f>
        <v>0</v>
      </c>
      <c r="L205" s="4">
        <f>_xll.ciqfunctions.udf.CIQ(InputTicker, "IQ_CHANGE_UNEARN_REV",Input!N$2,Date,,,Ccy,Conv)</f>
        <v>0</v>
      </c>
      <c r="M205" s="4">
        <f>_xll.ciqfunctions.udf.CIQ(InputTicker, "IQ_CHANGE_UNEARN_REV",Input!O$2,Date,,,Ccy,Conv)</f>
        <v>0</v>
      </c>
      <c r="N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  <c r="BN205" s="42"/>
    </row>
    <row r="206" spans="1:66" ht="12.75" customHeight="1" x14ac:dyDescent="0.2">
      <c r="A206" s="1" t="s">
        <v>208</v>
      </c>
      <c r="B206" s="4">
        <f>_xll.ciqfunctions.udf.CIQ(InputTicker, "IQ_CHANGE_INC_TAX",Input!D$2,Date,,,Ccy,Conv)</f>
        <v>0</v>
      </c>
      <c r="C206" s="4">
        <f>_xll.ciqfunctions.udf.CIQ(InputTicker, "IQ_CHANGE_INC_TAX",Input!E$2,Date,,,Ccy,Conv)</f>
        <v>0</v>
      </c>
      <c r="D206" s="4">
        <f>_xll.ciqfunctions.udf.CIQ(InputTicker, "IQ_CHANGE_INC_TAX",Input!F$2,Date,,,Ccy,Conv)</f>
        <v>0</v>
      </c>
      <c r="E206" s="4">
        <f>_xll.ciqfunctions.udf.CIQ(InputTicker, "IQ_CHANGE_INC_TAX",Input!G$2,Date,,,Ccy,Conv)</f>
        <v>0</v>
      </c>
      <c r="F206" s="4">
        <f>_xll.ciqfunctions.udf.CIQ(InputTicker, "IQ_CHANGE_INC_TAX",Input!H$2,Date,,,Ccy,Conv)</f>
        <v>0</v>
      </c>
      <c r="G206" s="4">
        <f>_xll.ciqfunctions.udf.CIQ(InputTicker, "IQ_CHANGE_INC_TAX",Input!I$2,Date,,,Ccy,Conv)</f>
        <v>0</v>
      </c>
      <c r="H206" s="4">
        <f>_xll.ciqfunctions.udf.CIQ(InputTicker, "IQ_CHANGE_INC_TAX",Input!J$2,Date,,,Ccy,Conv)</f>
        <v>0</v>
      </c>
      <c r="I206" s="4">
        <f>_xll.ciqfunctions.udf.CIQ(InputTicker, "IQ_CHANGE_INC_TAX",Input!K$2,Date,,,Ccy,Conv)</f>
        <v>26.056000000000001</v>
      </c>
      <c r="J206" s="4">
        <f>_xll.ciqfunctions.udf.CIQ(InputTicker, "IQ_CHANGE_INC_TAX",Input!L$2,Date,,,Ccy,Conv)</f>
        <v>-42.218000000000004</v>
      </c>
      <c r="K206" s="4">
        <f>_xll.ciqfunctions.udf.CIQ(InputTicker, "IQ_CHANGE_INC_TAX",Input!M$2,Date,,,Ccy,Conv)</f>
        <v>91.566999999999993</v>
      </c>
      <c r="L206" s="4">
        <f>_xll.ciqfunctions.udf.CIQ(InputTicker, "IQ_CHANGE_INC_TAX",Input!N$2,Date,,,Ccy,Conv)</f>
        <v>-45.945999999999998</v>
      </c>
      <c r="M206" s="4">
        <f>_xll.ciqfunctions.udf.CIQ(InputTicker, "IQ_CHANGE_INC_TAX",Input!O$2,Date,,,Ccy,Conv)</f>
        <v>-45.945999999999998</v>
      </c>
      <c r="N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/>
    </row>
    <row r="207" spans="1:66" ht="12.75" customHeight="1" x14ac:dyDescent="0.2">
      <c r="A207" s="1" t="s">
        <v>148</v>
      </c>
      <c r="B207" s="4">
        <f>_xll.ciqfunctions.udf.CIQ(InputTicker, "IQ_CHANGE_DEF_TAX",Input!D$2,Date,,,Ccy,Conv)</f>
        <v>0</v>
      </c>
      <c r="C207" s="4">
        <f>_xll.ciqfunctions.udf.CIQ(InputTicker, "IQ_CHANGE_DEF_TAX",Input!E$2,Date,,,Ccy,Conv)</f>
        <v>0</v>
      </c>
      <c r="D207" s="4">
        <f>_xll.ciqfunctions.udf.CIQ(InputTicker, "IQ_CHANGE_DEF_TAX",Input!F$2,Date,,,Ccy,Conv)</f>
        <v>0</v>
      </c>
      <c r="E207" s="4">
        <f>_xll.ciqfunctions.udf.CIQ(InputTicker, "IQ_CHANGE_DEF_TAX",Input!G$2,Date,,,Ccy,Conv)</f>
        <v>0</v>
      </c>
      <c r="F207" s="4">
        <f>_xll.ciqfunctions.udf.CIQ(InputTicker, "IQ_CHANGE_DEF_TAX",Input!H$2,Date,,,Ccy,Conv)</f>
        <v>0</v>
      </c>
      <c r="G207" s="4">
        <f>_xll.ciqfunctions.udf.CIQ(InputTicker, "IQ_CHANGE_DEF_TAX",Input!I$2,Date,,,Ccy,Conv)</f>
        <v>0</v>
      </c>
      <c r="H207" s="4">
        <f>_xll.ciqfunctions.udf.CIQ(InputTicker, "IQ_CHANGE_DEF_TAX",Input!J$2,Date,,,Ccy,Conv)</f>
        <v>0</v>
      </c>
      <c r="I207" s="4">
        <f>_xll.ciqfunctions.udf.CIQ(InputTicker, "IQ_CHANGE_DEF_TAX",Input!K$2,Date,,,Ccy,Conv)</f>
        <v>0</v>
      </c>
      <c r="J207" s="4">
        <f>_xll.ciqfunctions.udf.CIQ(InputTicker, "IQ_CHANGE_DEF_TAX",Input!L$2,Date,,,Ccy,Conv)</f>
        <v>0</v>
      </c>
      <c r="K207" s="4">
        <f>_xll.ciqfunctions.udf.CIQ(InputTicker, "IQ_CHANGE_DEF_TAX",Input!M$2,Date,,,Ccy,Conv)</f>
        <v>0</v>
      </c>
      <c r="L207" s="4">
        <f>_xll.ciqfunctions.udf.CIQ(InputTicker, "IQ_CHANGE_DEF_TAX",Input!N$2,Date,,,Ccy,Conv)</f>
        <v>0</v>
      </c>
      <c r="M207" s="4">
        <f>_xll.ciqfunctions.udf.CIQ(InputTicker, "IQ_CHANGE_DEF_TAX",Input!O$2,Date,,,Ccy,Conv)</f>
        <v>0</v>
      </c>
      <c r="N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</row>
    <row r="208" spans="1:66" ht="12.75" customHeight="1" x14ac:dyDescent="0.2">
      <c r="A208" s="1" t="s">
        <v>370</v>
      </c>
      <c r="B208" s="4">
        <f>_xll.ciqfunctions.udf.CIQ(InputTicker, "IQ_CHANGE_OTHER_NET_OPER_ASSETS",Input!D$2,Date,,,Ccy,Conv)</f>
        <v>0</v>
      </c>
      <c r="C208" s="4">
        <f>_xll.ciqfunctions.udf.CIQ(InputTicker, "IQ_CHANGE_OTHER_NET_OPER_ASSETS",Input!E$2,Date,,,Ccy,Conv)</f>
        <v>0</v>
      </c>
      <c r="D208" s="4">
        <f>_xll.ciqfunctions.udf.CIQ(InputTicker, "IQ_CHANGE_OTHER_NET_OPER_ASSETS",Input!F$2,Date,,,Ccy,Conv)</f>
        <v>0</v>
      </c>
      <c r="E208" s="4">
        <f>_xll.ciqfunctions.udf.CIQ(InputTicker, "IQ_CHANGE_OTHER_NET_OPER_ASSETS",Input!G$2,Date,,,Ccy,Conv)</f>
        <v>0</v>
      </c>
      <c r="F208" s="4">
        <f>_xll.ciqfunctions.udf.CIQ(InputTicker, "IQ_CHANGE_OTHER_NET_OPER_ASSETS",Input!H$2,Date,,,Ccy,Conv)</f>
        <v>0</v>
      </c>
      <c r="G208" s="4">
        <f>_xll.ciqfunctions.udf.CIQ(InputTicker, "IQ_CHANGE_OTHER_NET_OPER_ASSETS",Input!I$2,Date,,,Ccy,Conv)</f>
        <v>0</v>
      </c>
      <c r="H208" s="4">
        <f>_xll.ciqfunctions.udf.CIQ(InputTicker, "IQ_CHANGE_OTHER_NET_OPER_ASSETS",Input!J$2,Date,,,Ccy,Conv)</f>
        <v>0</v>
      </c>
      <c r="I208" s="4">
        <f>_xll.ciqfunctions.udf.CIQ(InputTicker, "IQ_CHANGE_OTHER_NET_OPER_ASSETS",Input!K$2,Date,,,Ccy,Conv)</f>
        <v>-7.101</v>
      </c>
      <c r="J208" s="4">
        <f>_xll.ciqfunctions.udf.CIQ(InputTicker, "IQ_CHANGE_OTHER_NET_OPER_ASSETS",Input!L$2,Date,,,Ccy,Conv)</f>
        <v>-2.89</v>
      </c>
      <c r="K208" s="4">
        <f>_xll.ciqfunctions.udf.CIQ(InputTicker, "IQ_CHANGE_OTHER_NET_OPER_ASSETS",Input!M$2,Date,,,Ccy,Conv)</f>
        <v>-0.55300000000000005</v>
      </c>
      <c r="L208" s="4">
        <f>_xll.ciqfunctions.udf.CIQ(InputTicker, "IQ_CHANGE_OTHER_NET_OPER_ASSETS",Input!N$2,Date,,,Ccy,Conv)</f>
        <v>-5.3339999999999996</v>
      </c>
      <c r="M208" s="4">
        <f>_xll.ciqfunctions.udf.CIQ(InputTicker, "IQ_CHANGE_OTHER_NET_OPER_ASSETS",Input!O$2,Date,,,Ccy,Conv)</f>
        <v>-5.3339999999999996</v>
      </c>
      <c r="N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</row>
    <row r="209" spans="1:66" ht="12.75" customHeight="1" thickBot="1" x14ac:dyDescent="0.25">
      <c r="A209" s="5" t="s">
        <v>103</v>
      </c>
      <c r="B209" s="9">
        <f>_xll.ciqfunctions.udf.CIQ(InputTicker, "IQ_CASH_OPER",Input!D$2,Date,,,Ccy,Conv)</f>
        <v>195.33</v>
      </c>
      <c r="C209" s="9">
        <f>_xll.ciqfunctions.udf.CIQ(InputTicker, "IQ_CASH_OPER",Input!E$2,Date,,,Ccy,Conv)</f>
        <v>388.43700000000001</v>
      </c>
      <c r="D209" s="9">
        <f>_xll.ciqfunctions.udf.CIQ(InputTicker, "IQ_CASH_OPER",Input!F$2,Date,,,Ccy,Conv)</f>
        <v>-45.917999999999999</v>
      </c>
      <c r="E209" s="9">
        <f>_xll.ciqfunctions.udf.CIQ(InputTicker, "IQ_CASH_OPER",Input!G$2,Date,,,Ccy,Conv)</f>
        <v>200.41499999999999</v>
      </c>
      <c r="F209" s="9">
        <f>_xll.ciqfunctions.udf.CIQ(InputTicker, "IQ_CASH_OPER",Input!H$2,Date,,,Ccy,Conv)</f>
        <v>115.08499999999999</v>
      </c>
      <c r="G209" s="9">
        <f>_xll.ciqfunctions.udf.CIQ(InputTicker, "IQ_CASH_OPER",Input!I$2,Date,,,Ccy,Conv)</f>
        <v>73.608999999999995</v>
      </c>
      <c r="H209" s="9">
        <f>_xll.ciqfunctions.udf.CIQ(InputTicker, "IQ_CASH_OPER",Input!J$2,Date,,,Ccy,Conv)</f>
        <v>26.135999999999999</v>
      </c>
      <c r="I209" s="9">
        <f>_xll.ciqfunctions.udf.CIQ(InputTicker, "IQ_CASH_OPER",Input!K$2,Date,,,Ccy,Conv)</f>
        <v>126.209</v>
      </c>
      <c r="J209" s="9">
        <f>_xll.ciqfunctions.udf.CIQ(InputTicker, "IQ_CASH_OPER",Input!L$2,Date,,,Ccy,Conv)</f>
        <v>863.01</v>
      </c>
      <c r="K209" s="9">
        <f>_xll.ciqfunctions.udf.CIQ(InputTicker, "IQ_CASH_OPER",Input!M$2,Date,,,Ccy,Conv)</f>
        <v>451.39800000000002</v>
      </c>
      <c r="L209" s="9">
        <f>_xll.ciqfunctions.udf.CIQ(InputTicker, "IQ_CASH_OPER",Input!N$2,Date,,,Ccy,Conv)</f>
        <v>1224.7339999999999</v>
      </c>
      <c r="M209" s="9">
        <f>_xll.ciqfunctions.udf.CIQ(InputTicker, "IQ_CASH_OPER",Input!O$2,Date,,,Ccy,Conv)</f>
        <v>1357.94</v>
      </c>
      <c r="N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</row>
    <row r="210" spans="1:66" ht="12.75" customHeight="1" thickTop="1" x14ac:dyDescent="0.2">
      <c r="A210" s="1" t="s">
        <v>104</v>
      </c>
      <c r="B210" s="4">
        <f>_xll.ciqfunctions.udf.CIQ(InputTicker, "IQ_CAPEX",Input!D$2,Date,,,Ccy,Conv)</f>
        <v>-82.263000000000005</v>
      </c>
      <c r="C210" s="4">
        <f>_xll.ciqfunctions.udf.CIQ(InputTicker, "IQ_CAPEX",Input!E$2,Date,,,Ccy,Conv)</f>
        <v>-76.125</v>
      </c>
      <c r="D210" s="4">
        <f>_xll.ciqfunctions.udf.CIQ(InputTicker, "IQ_CAPEX",Input!F$2,Date,,,Ccy,Conv)</f>
        <v>-66.656999999999996</v>
      </c>
      <c r="E210" s="4">
        <f>_xll.ciqfunctions.udf.CIQ(InputTicker, "IQ_CAPEX",Input!G$2,Date,,,Ccy,Conv)</f>
        <v>-19.670999999999999</v>
      </c>
      <c r="F210" s="4">
        <f>_xll.ciqfunctions.udf.CIQ(InputTicker, "IQ_CAPEX",Input!H$2,Date,,,Ccy,Conv)</f>
        <v>-67.989000000000004</v>
      </c>
      <c r="G210" s="4">
        <f>_xll.ciqfunctions.udf.CIQ(InputTicker, "IQ_CAPEX",Input!I$2,Date,,,Ccy,Conv)</f>
        <v>-124.178</v>
      </c>
      <c r="H210" s="4">
        <f>_xll.ciqfunctions.udf.CIQ(InputTicker, "IQ_CAPEX",Input!J$2,Date,,,Ccy,Conv)</f>
        <v>-95.069000000000003</v>
      </c>
      <c r="I210" s="4">
        <f>_xll.ciqfunctions.udf.CIQ(InputTicker, "IQ_CAPEX",Input!K$2,Date,,,Ccy,Conv)</f>
        <v>-72.399000000000001</v>
      </c>
      <c r="J210" s="4">
        <f>_xll.ciqfunctions.udf.CIQ(InputTicker, "IQ_CAPEX",Input!L$2,Date,,,Ccy,Conv)</f>
        <v>-136.56899999999999</v>
      </c>
      <c r="K210" s="4">
        <f>_xll.ciqfunctions.udf.CIQ(InputTicker, "IQ_CAPEX",Input!M$2,Date,,,Ccy,Conv)</f>
        <v>-147.11600000000001</v>
      </c>
      <c r="L210" s="4">
        <f>_xll.ciqfunctions.udf.CIQ(InputTicker, "IQ_CAPEX",Input!N$2,Date,,,Ccy,Conv)</f>
        <v>-161.255</v>
      </c>
      <c r="M210" s="4">
        <f>_xll.ciqfunctions.udf.CIQ(InputTicker, "IQ_CAPEX",Input!O$2,Date,,,Ccy,Conv)</f>
        <v>-187.80099999999999</v>
      </c>
      <c r="N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</row>
    <row r="211" spans="1:66" ht="12.75" customHeight="1" x14ac:dyDescent="0.2">
      <c r="A211" s="1" t="s">
        <v>105</v>
      </c>
      <c r="B211" s="4">
        <f>_xll.ciqfunctions.udf.CIQ(InputTicker, "IQ_SALE_PPE_CF",Input!D$2,Date,,,Ccy,Conv)</f>
        <v>2.4990000000000001</v>
      </c>
      <c r="C211" s="4">
        <f>_xll.ciqfunctions.udf.CIQ(InputTicker, "IQ_SALE_PPE_CF",Input!E$2,Date,,,Ccy,Conv)</f>
        <v>2.86</v>
      </c>
      <c r="D211" s="4">
        <f>_xll.ciqfunctions.udf.CIQ(InputTicker, "IQ_SALE_PPE_CF",Input!F$2,Date,,,Ccy,Conv)</f>
        <v>8.4000000000000005E-2</v>
      </c>
      <c r="E211" s="4">
        <f>_xll.ciqfunctions.udf.CIQ(InputTicker, "IQ_SALE_PPE_CF",Input!G$2,Date,,,Ccy,Conv)</f>
        <v>0.96299999999999997</v>
      </c>
      <c r="F211" s="4">
        <f>_xll.ciqfunctions.udf.CIQ(InputTicker, "IQ_SALE_PPE_CF",Input!H$2,Date,,,Ccy,Conv)</f>
        <v>1.575</v>
      </c>
      <c r="G211" s="4">
        <f>_xll.ciqfunctions.udf.CIQ(InputTicker, "IQ_SALE_PPE_CF",Input!I$2,Date,,,Ccy,Conv)</f>
        <v>3.306</v>
      </c>
      <c r="H211" s="4">
        <f>_xll.ciqfunctions.udf.CIQ(InputTicker, "IQ_SALE_PPE_CF",Input!J$2,Date,,,Ccy,Conv)</f>
        <v>3.39</v>
      </c>
      <c r="I211" s="4">
        <f>_xll.ciqfunctions.udf.CIQ(InputTicker, "IQ_SALE_PPE_CF",Input!K$2,Date,,,Ccy,Conv)</f>
        <v>0.68600000000000005</v>
      </c>
      <c r="J211" s="4">
        <f>_xll.ciqfunctions.udf.CIQ(InputTicker, "IQ_SALE_PPE_CF",Input!L$2,Date,,,Ccy,Conv)</f>
        <v>0.57999999999999996</v>
      </c>
      <c r="K211" s="4">
        <f>_xll.ciqfunctions.udf.CIQ(InputTicker, "IQ_SALE_PPE_CF",Input!M$2,Date,,,Ccy,Conv)</f>
        <v>0.27200000000000002</v>
      </c>
      <c r="L211" s="4">
        <f>_xll.ciqfunctions.udf.CIQ(InputTicker, "IQ_SALE_PPE_CF",Input!N$2,Date,,,Ccy,Conv)</f>
        <v>3.8820000000000001</v>
      </c>
      <c r="M211" s="4">
        <f>_xll.ciqfunctions.udf.CIQ(InputTicker, "IQ_SALE_PPE_CF",Input!O$2,Date,,,Ccy,Conv)</f>
        <v>1.0999999999999999E-2</v>
      </c>
      <c r="N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</row>
    <row r="212" spans="1:66" ht="12.75" customHeight="1" x14ac:dyDescent="0.2">
      <c r="A212" s="1" t="s">
        <v>106</v>
      </c>
      <c r="B212" s="4">
        <f>_xll.ciqfunctions.udf.CIQ(InputTicker, "IQ_CASH_ACQUIRE_CF",Input!D$2,Date,,,Ccy,Conv)</f>
        <v>0</v>
      </c>
      <c r="C212" s="4">
        <f>_xll.ciqfunctions.udf.CIQ(InputTicker, "IQ_CASH_ACQUIRE_CF",Input!E$2,Date,,,Ccy,Conv)</f>
        <v>0</v>
      </c>
      <c r="D212" s="4">
        <f>_xll.ciqfunctions.udf.CIQ(InputTicker, "IQ_CASH_ACQUIRE_CF",Input!F$2,Date,,,Ccy,Conv)</f>
        <v>-85.822000000000003</v>
      </c>
      <c r="E212" s="4">
        <f>_xll.ciqfunctions.udf.CIQ(InputTicker, "IQ_CASH_ACQUIRE_CF",Input!G$2,Date,,,Ccy,Conv)</f>
        <v>0</v>
      </c>
      <c r="F212" s="4">
        <f>_xll.ciqfunctions.udf.CIQ(InputTicker, "IQ_CASH_ACQUIRE_CF",Input!H$2,Date,,,Ccy,Conv)</f>
        <v>-17.888999999999999</v>
      </c>
      <c r="G212" s="4">
        <f>_xll.ciqfunctions.udf.CIQ(InputTicker, "IQ_CASH_ACQUIRE_CF",Input!I$2,Date,,,Ccy,Conv)</f>
        <v>-44.65</v>
      </c>
      <c r="H212" s="4">
        <f>_xll.ciqfunctions.udf.CIQ(InputTicker, "IQ_CASH_ACQUIRE_CF",Input!J$2,Date,,,Ccy,Conv)</f>
        <v>0</v>
      </c>
      <c r="I212" s="4">
        <f>_xll.ciqfunctions.udf.CIQ(InputTicker, "IQ_CASH_ACQUIRE_CF",Input!K$2,Date,,,Ccy,Conv)</f>
        <v>-44.823</v>
      </c>
      <c r="J212" s="4">
        <f>_xll.ciqfunctions.udf.CIQ(InputTicker, "IQ_CASH_ACQUIRE_CF",Input!L$2,Date,,,Ccy,Conv)</f>
        <v>0</v>
      </c>
      <c r="K212" s="4">
        <f>_xll.ciqfunctions.udf.CIQ(InputTicker, "IQ_CASH_ACQUIRE_CF",Input!M$2,Date,,,Ccy,Conv)</f>
        <v>-53.746000000000002</v>
      </c>
      <c r="L212" s="4">
        <f>_xll.ciqfunctions.udf.CIQ(InputTicker, "IQ_CASH_ACQUIRE_CF",Input!N$2,Date,,,Ccy,Conv)</f>
        <v>-116.193</v>
      </c>
      <c r="M212" s="4">
        <f>_xll.ciqfunctions.udf.CIQ(InputTicker, "IQ_CASH_ACQUIRE_CF",Input!O$2,Date,,,Ccy,Conv)</f>
        <v>-303.68200000000002</v>
      </c>
      <c r="N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</row>
    <row r="213" spans="1:66" ht="12.75" customHeight="1" x14ac:dyDescent="0.2">
      <c r="A213" s="1" t="s">
        <v>107</v>
      </c>
      <c r="B213" s="4">
        <f>_xll.ciqfunctions.udf.CIQ(InputTicker, "IQ_DIVEST_CF",Input!D$2,Date,,,Ccy,Conv)</f>
        <v>0</v>
      </c>
      <c r="C213" s="4">
        <f>_xll.ciqfunctions.udf.CIQ(InputTicker, "IQ_DIVEST_CF",Input!E$2,Date,,,Ccy,Conv)</f>
        <v>0</v>
      </c>
      <c r="D213" s="4">
        <f>_xll.ciqfunctions.udf.CIQ(InputTicker, "IQ_DIVEST_CF",Input!F$2,Date,,,Ccy,Conv)</f>
        <v>0</v>
      </c>
      <c r="E213" s="4">
        <f>_xll.ciqfunctions.udf.CIQ(InputTicker, "IQ_DIVEST_CF",Input!G$2,Date,,,Ccy,Conv)</f>
        <v>0</v>
      </c>
      <c r="F213" s="4">
        <f>_xll.ciqfunctions.udf.CIQ(InputTicker, "IQ_DIVEST_CF",Input!H$2,Date,,,Ccy,Conv)</f>
        <v>0</v>
      </c>
      <c r="G213" s="4">
        <f>_xll.ciqfunctions.udf.CIQ(InputTicker, "IQ_DIVEST_CF",Input!I$2,Date,,,Ccy,Conv)</f>
        <v>0</v>
      </c>
      <c r="H213" s="4">
        <f>_xll.ciqfunctions.udf.CIQ(InputTicker, "IQ_DIVEST_CF",Input!J$2,Date,,,Ccy,Conv)</f>
        <v>0</v>
      </c>
      <c r="I213" s="4">
        <f>_xll.ciqfunctions.udf.CIQ(InputTicker, "IQ_DIVEST_CF",Input!K$2,Date,,,Ccy,Conv)</f>
        <v>0</v>
      </c>
      <c r="J213" s="4">
        <f>_xll.ciqfunctions.udf.CIQ(InputTicker, "IQ_DIVEST_CF",Input!L$2,Date,,,Ccy,Conv)</f>
        <v>0</v>
      </c>
      <c r="K213" s="4">
        <f>_xll.ciqfunctions.udf.CIQ(InputTicker, "IQ_DIVEST_CF",Input!M$2,Date,,,Ccy,Conv)</f>
        <v>0</v>
      </c>
      <c r="L213" s="4">
        <f>_xll.ciqfunctions.udf.CIQ(InputTicker, "IQ_DIVEST_CF",Input!N$2,Date,,,Ccy,Conv)</f>
        <v>0</v>
      </c>
      <c r="M213" s="4">
        <f>_xll.ciqfunctions.udf.CIQ(InputTicker, "IQ_DIVEST_CF",Input!O$2,Date,,,Ccy,Conv)</f>
        <v>0</v>
      </c>
      <c r="N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</row>
    <row r="214" spans="1:66" ht="12.75" customHeight="1" x14ac:dyDescent="0.2">
      <c r="A214" s="1" t="s">
        <v>279</v>
      </c>
      <c r="B214" s="4">
        <f>_xll.ciqfunctions.udf.CIQ(InputTicker, "IQ_SALE_REAL_ESTATE_CF",Input!D$2,Date,,,Ccy,Conv)</f>
        <v>0</v>
      </c>
      <c r="C214" s="4">
        <f>_xll.ciqfunctions.udf.CIQ(InputTicker, "IQ_SALE_REAL_ESTATE_CF",Input!E$2,Date,,,Ccy,Conv)</f>
        <v>0</v>
      </c>
      <c r="D214" s="4">
        <f>_xll.ciqfunctions.udf.CIQ(InputTicker, "IQ_SALE_REAL_ESTATE_CF",Input!F$2,Date,,,Ccy,Conv)</f>
        <v>0</v>
      </c>
      <c r="E214" s="4">
        <f>_xll.ciqfunctions.udf.CIQ(InputTicker, "IQ_SALE_REAL_ESTATE_CF",Input!G$2,Date,,,Ccy,Conv)</f>
        <v>0</v>
      </c>
      <c r="F214" s="4">
        <f>_xll.ciqfunctions.udf.CIQ(InputTicker, "IQ_SALE_REAL_ESTATE_CF",Input!H$2,Date,,,Ccy,Conv)</f>
        <v>0</v>
      </c>
      <c r="G214" s="4">
        <f>_xll.ciqfunctions.udf.CIQ(InputTicker, "IQ_SALE_REAL_ESTATE_CF",Input!I$2,Date,,,Ccy,Conv)</f>
        <v>0</v>
      </c>
      <c r="H214" s="4">
        <f>_xll.ciqfunctions.udf.CIQ(InputTicker, "IQ_SALE_REAL_ESTATE_CF",Input!J$2,Date,,,Ccy,Conv)</f>
        <v>0</v>
      </c>
      <c r="I214" s="4">
        <f>_xll.ciqfunctions.udf.CIQ(InputTicker, "IQ_SALE_REAL_ESTATE_CF",Input!K$2,Date,,,Ccy,Conv)</f>
        <v>0</v>
      </c>
      <c r="J214" s="4">
        <f>_xll.ciqfunctions.udf.CIQ(InputTicker, "IQ_SALE_REAL_ESTATE_CF",Input!L$2,Date,,,Ccy,Conv)</f>
        <v>0</v>
      </c>
      <c r="K214" s="4">
        <f>_xll.ciqfunctions.udf.CIQ(InputTicker, "IQ_SALE_REAL_ESTATE_CF",Input!M$2,Date,,,Ccy,Conv)</f>
        <v>0</v>
      </c>
      <c r="L214" s="4">
        <f>_xll.ciqfunctions.udf.CIQ(InputTicker, "IQ_SALE_REAL_ESTATE_CF",Input!N$2,Date,,,Ccy,Conv)</f>
        <v>0</v>
      </c>
      <c r="M214" s="4">
        <f>_xll.ciqfunctions.udf.CIQ(InputTicker, "IQ_SALE_REAL_ESTATE_CF",Input!O$2,Date,,,Ccy,Conv)</f>
        <v>0</v>
      </c>
      <c r="N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</row>
    <row r="215" spans="1:66" ht="12.75" customHeight="1" x14ac:dyDescent="0.2">
      <c r="A215" s="1" t="s">
        <v>280</v>
      </c>
      <c r="B215" s="4">
        <f>_xll.ciqfunctions.udf.CIQ(InputTicker, "IQ_SALE_INTAN_CF",Input!D$2,Date,,,Ccy,Conv)</f>
        <v>0</v>
      </c>
      <c r="C215" s="4">
        <f>_xll.ciqfunctions.udf.CIQ(InputTicker, "IQ_SALE_INTAN_CF",Input!E$2,Date,,,Ccy,Conv)</f>
        <v>0</v>
      </c>
      <c r="D215" s="4">
        <f>_xll.ciqfunctions.udf.CIQ(InputTicker, "IQ_SALE_INTAN_CF",Input!F$2,Date,,,Ccy,Conv)</f>
        <v>0</v>
      </c>
      <c r="E215" s="4">
        <f>_xll.ciqfunctions.udf.CIQ(InputTicker, "IQ_SALE_INTAN_CF",Input!G$2,Date,,,Ccy,Conv)</f>
        <v>0</v>
      </c>
      <c r="F215" s="4">
        <f>_xll.ciqfunctions.udf.CIQ(InputTicker, "IQ_SALE_INTAN_CF",Input!H$2,Date,,,Ccy,Conv)</f>
        <v>0</v>
      </c>
      <c r="G215" s="4">
        <f>_xll.ciqfunctions.udf.CIQ(InputTicker, "IQ_SALE_INTAN_CF",Input!I$2,Date,,,Ccy,Conv)</f>
        <v>0</v>
      </c>
      <c r="H215" s="4">
        <f>_xll.ciqfunctions.udf.CIQ(InputTicker, "IQ_SALE_INTAN_CF",Input!J$2,Date,,,Ccy,Conv)</f>
        <v>0</v>
      </c>
      <c r="I215" s="4">
        <f>_xll.ciqfunctions.udf.CIQ(InputTicker, "IQ_SALE_INTAN_CF",Input!K$2,Date,,,Ccy,Conv)</f>
        <v>0</v>
      </c>
      <c r="J215" s="4">
        <f>_xll.ciqfunctions.udf.CIQ(InputTicker, "IQ_SALE_INTAN_CF",Input!L$2,Date,,,Ccy,Conv)</f>
        <v>0</v>
      </c>
      <c r="K215" s="4">
        <f>_xll.ciqfunctions.udf.CIQ(InputTicker, "IQ_SALE_INTAN_CF",Input!M$2,Date,,,Ccy,Conv)</f>
        <v>0</v>
      </c>
      <c r="L215" s="4">
        <f>_xll.ciqfunctions.udf.CIQ(InputTicker, "IQ_SALE_INTAN_CF",Input!N$2,Date,,,Ccy,Conv)</f>
        <v>0</v>
      </c>
      <c r="M215" s="4">
        <f>_xll.ciqfunctions.udf.CIQ(InputTicker, "IQ_SALE_INTAN_CF",Input!O$2,Date,,,Ccy,Conv)</f>
        <v>0</v>
      </c>
      <c r="N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</row>
    <row r="216" spans="1:66" ht="12.75" customHeight="1" x14ac:dyDescent="0.2">
      <c r="A216" s="1" t="s">
        <v>281</v>
      </c>
      <c r="B216" s="4">
        <f>_xll.ciqfunctions.udf.CIQ(InputTicker, "IQ_INVEST_SECURITY_CF",Input!D$2,Date,,,Ccy,Conv)</f>
        <v>-63.887</v>
      </c>
      <c r="C216" s="4">
        <f>_xll.ciqfunctions.udf.CIQ(InputTicker, "IQ_INVEST_SECURITY_CF",Input!E$2,Date,,,Ccy,Conv)</f>
        <v>-151.31</v>
      </c>
      <c r="D216" s="4">
        <f>_xll.ciqfunctions.udf.CIQ(InputTicker, "IQ_INVEST_SECURITY_CF",Input!F$2,Date,,,Ccy,Conv)</f>
        <v>198.54300000000001</v>
      </c>
      <c r="E216" s="4">
        <f>_xll.ciqfunctions.udf.CIQ(InputTicker, "IQ_INVEST_SECURITY_CF",Input!G$2,Date,,,Ccy,Conv)</f>
        <v>-145.142</v>
      </c>
      <c r="F216" s="4">
        <f>_xll.ciqfunctions.udf.CIQ(InputTicker, "IQ_INVEST_SECURITY_CF",Input!H$2,Date,,,Ccy,Conv)</f>
        <v>36.485999999999997</v>
      </c>
      <c r="G216" s="4">
        <f>_xll.ciqfunctions.udf.CIQ(InputTicker, "IQ_INVEST_SECURITY_CF",Input!I$2,Date,,,Ccy,Conv)</f>
        <v>104.157</v>
      </c>
      <c r="H216" s="4">
        <f>_xll.ciqfunctions.udf.CIQ(InputTicker, "IQ_INVEST_SECURITY_CF",Input!J$2,Date,,,Ccy,Conv)</f>
        <v>47.488</v>
      </c>
      <c r="I216" s="4">
        <f>_xll.ciqfunctions.udf.CIQ(InputTicker, "IQ_INVEST_SECURITY_CF",Input!K$2,Date,,,Ccy,Conv)</f>
        <v>-8.14</v>
      </c>
      <c r="J216" s="4">
        <f>_xll.ciqfunctions.udf.CIQ(InputTicker, "IQ_INVEST_SECURITY_CF",Input!L$2,Date,,,Ccy,Conv)</f>
        <v>-239.12200000000001</v>
      </c>
      <c r="K216" s="4">
        <f>_xll.ciqfunctions.udf.CIQ(InputTicker, "IQ_INVEST_SECURITY_CF",Input!M$2,Date,,,Ccy,Conv)</f>
        <v>-211.99600000000001</v>
      </c>
      <c r="L216" s="4">
        <f>_xll.ciqfunctions.udf.CIQ(InputTicker, "IQ_INVEST_SECURITY_CF",Input!N$2,Date,,,Ccy,Conv)</f>
        <v>-301.90300000000002</v>
      </c>
      <c r="M216" s="4">
        <f>_xll.ciqfunctions.udf.CIQ(InputTicker, "IQ_INVEST_SECURITY_CF",Input!O$2,Date,,,Ccy,Conv)</f>
        <v>-82.561000000000007</v>
      </c>
      <c r="N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</row>
    <row r="217" spans="1:66" ht="12.75" customHeight="1" x14ac:dyDescent="0.2">
      <c r="A217" s="1" t="s">
        <v>149</v>
      </c>
      <c r="B217" s="4">
        <f>_xll.ciqfunctions.udf.CIQ(InputTicker, "IQ_INVEST_LOANS_CF",Input!D$2,Date,,,Ccy,Conv)</f>
        <v>0</v>
      </c>
      <c r="C217" s="4">
        <f>_xll.ciqfunctions.udf.CIQ(InputTicker, "IQ_INVEST_LOANS_CF",Input!E$2,Date,,,Ccy,Conv)</f>
        <v>0</v>
      </c>
      <c r="D217" s="4">
        <f>_xll.ciqfunctions.udf.CIQ(InputTicker, "IQ_INVEST_LOANS_CF",Input!F$2,Date,,,Ccy,Conv)</f>
        <v>0</v>
      </c>
      <c r="E217" s="4">
        <f>_xll.ciqfunctions.udf.CIQ(InputTicker, "IQ_INVEST_LOANS_CF",Input!G$2,Date,,,Ccy,Conv)</f>
        <v>0</v>
      </c>
      <c r="F217" s="4">
        <f>_xll.ciqfunctions.udf.CIQ(InputTicker, "IQ_INVEST_LOANS_CF",Input!H$2,Date,,,Ccy,Conv)</f>
        <v>0</v>
      </c>
      <c r="G217" s="4">
        <f>_xll.ciqfunctions.udf.CIQ(InputTicker, "IQ_INVEST_LOANS_CF",Input!I$2,Date,,,Ccy,Conv)</f>
        <v>0</v>
      </c>
      <c r="H217" s="4">
        <f>_xll.ciqfunctions.udf.CIQ(InputTicker, "IQ_INVEST_LOANS_CF",Input!J$2,Date,,,Ccy,Conv)</f>
        <v>0</v>
      </c>
      <c r="I217" s="4">
        <f>_xll.ciqfunctions.udf.CIQ(InputTicker, "IQ_INVEST_LOANS_CF",Input!K$2,Date,,,Ccy,Conv)</f>
        <v>0</v>
      </c>
      <c r="J217" s="4">
        <f>_xll.ciqfunctions.udf.CIQ(InputTicker, "IQ_INVEST_LOANS_CF",Input!L$2,Date,,,Ccy,Conv)</f>
        <v>0</v>
      </c>
      <c r="K217" s="4">
        <f>_xll.ciqfunctions.udf.CIQ(InputTicker, "IQ_INVEST_LOANS_CF",Input!M$2,Date,,,Ccy,Conv)</f>
        <v>0</v>
      </c>
      <c r="L217" s="4">
        <f>_xll.ciqfunctions.udf.CIQ(InputTicker, "IQ_INVEST_LOANS_CF",Input!N$2,Date,,,Ccy,Conv)</f>
        <v>0</v>
      </c>
      <c r="M217" s="4">
        <f>_xll.ciqfunctions.udf.CIQ(InputTicker, "IQ_INVEST_LOANS_CF",Input!O$2,Date,,,Ccy,Conv)</f>
        <v>0</v>
      </c>
      <c r="N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2"/>
    </row>
    <row r="218" spans="1:66" ht="12.75" customHeight="1" x14ac:dyDescent="0.2">
      <c r="A218" s="1" t="s">
        <v>150</v>
      </c>
      <c r="B218" s="4">
        <f>_xll.ciqfunctions.udf.CIQ(InputTicker, "IQ_OTHER_INVEST_ACT_SUPPL",Input!D$2,Date,,,Ccy,Conv)</f>
        <v>2.0190000000000001</v>
      </c>
      <c r="C218" s="4">
        <f>_xll.ciqfunctions.udf.CIQ(InputTicker, "IQ_OTHER_INVEST_ACT_SUPPL",Input!E$2,Date,,,Ccy,Conv)</f>
        <v>5.4269999999999996</v>
      </c>
      <c r="D218" s="4">
        <f>_xll.ciqfunctions.udf.CIQ(InputTicker, "IQ_OTHER_INVEST_ACT_SUPPL",Input!F$2,Date,,,Ccy,Conv)</f>
        <v>6.5860000000000003</v>
      </c>
      <c r="E218" s="4">
        <f>_xll.ciqfunctions.udf.CIQ(InputTicker, "IQ_OTHER_INVEST_ACT_SUPPL",Input!G$2,Date,,,Ccy,Conv)</f>
        <v>0</v>
      </c>
      <c r="F218" s="4">
        <f>_xll.ciqfunctions.udf.CIQ(InputTicker, "IQ_OTHER_INVEST_ACT_SUPPL",Input!H$2,Date,,,Ccy,Conv)</f>
        <v>0</v>
      </c>
      <c r="G218" s="4">
        <f>_xll.ciqfunctions.udf.CIQ(InputTicker, "IQ_OTHER_INVEST_ACT_SUPPL",Input!I$2,Date,,,Ccy,Conv)</f>
        <v>0</v>
      </c>
      <c r="H218" s="4">
        <f>_xll.ciqfunctions.udf.CIQ(InputTicker, "IQ_OTHER_INVEST_ACT_SUPPL",Input!J$2,Date,,,Ccy,Conv)</f>
        <v>0</v>
      </c>
      <c r="I218" s="4">
        <f>_xll.ciqfunctions.udf.CIQ(InputTicker, "IQ_OTHER_INVEST_ACT_SUPPL",Input!K$2,Date,,,Ccy,Conv)</f>
        <v>7.6550000000000002</v>
      </c>
      <c r="J218" s="4">
        <f>_xll.ciqfunctions.udf.CIQ(InputTicker, "IQ_OTHER_INVEST_ACT_SUPPL",Input!L$2,Date,,,Ccy,Conv)</f>
        <v>0</v>
      </c>
      <c r="K218" s="4">
        <f>_xll.ciqfunctions.udf.CIQ(InputTicker, "IQ_OTHER_INVEST_ACT_SUPPL",Input!M$2,Date,,,Ccy,Conv)</f>
        <v>0</v>
      </c>
      <c r="L218" s="4">
        <f>_xll.ciqfunctions.udf.CIQ(InputTicker, "IQ_OTHER_INVEST_ACT_SUPPL",Input!N$2,Date,,,Ccy,Conv)</f>
        <v>0</v>
      </c>
      <c r="M218" s="4">
        <f>_xll.ciqfunctions.udf.CIQ(InputTicker, "IQ_OTHER_INVEST_ACT_SUPPL",Input!O$2,Date,,,Ccy,Conv)</f>
        <v>0</v>
      </c>
      <c r="N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</row>
    <row r="219" spans="1:66" ht="12.75" customHeight="1" thickBot="1" x14ac:dyDescent="0.25">
      <c r="A219" s="5" t="s">
        <v>108</v>
      </c>
      <c r="B219" s="9">
        <f>_xll.ciqfunctions.udf.CIQ(InputTicker, "IQ_CASH_INVEST",Input!D$2,Date,,,Ccy,Conv)</f>
        <v>-141.63200000000001</v>
      </c>
      <c r="C219" s="9">
        <f>_xll.ciqfunctions.udf.CIQ(InputTicker, "IQ_CASH_INVEST",Input!E$2,Date,,,Ccy,Conv)</f>
        <v>-219.148</v>
      </c>
      <c r="D219" s="9">
        <f>_xll.ciqfunctions.udf.CIQ(InputTicker, "IQ_CASH_INVEST",Input!F$2,Date,,,Ccy,Conv)</f>
        <v>52.734000000000002</v>
      </c>
      <c r="E219" s="9">
        <f>_xll.ciqfunctions.udf.CIQ(InputTicker, "IQ_CASH_INVEST",Input!G$2,Date,,,Ccy,Conv)</f>
        <v>-163.85</v>
      </c>
      <c r="F219" s="9">
        <f>_xll.ciqfunctions.udf.CIQ(InputTicker, "IQ_CASH_INVEST",Input!H$2,Date,,,Ccy,Conv)</f>
        <v>-47.817</v>
      </c>
      <c r="G219" s="9">
        <f>_xll.ciqfunctions.udf.CIQ(InputTicker, "IQ_CASH_INVEST",Input!I$2,Date,,,Ccy,Conv)</f>
        <v>-61.365000000000002</v>
      </c>
      <c r="H219" s="9">
        <f>_xll.ciqfunctions.udf.CIQ(InputTicker, "IQ_CASH_INVEST",Input!J$2,Date,,,Ccy,Conv)</f>
        <v>-44.191000000000003</v>
      </c>
      <c r="I219" s="9">
        <f>_xll.ciqfunctions.udf.CIQ(InputTicker, "IQ_CASH_INVEST",Input!K$2,Date,,,Ccy,Conv)</f>
        <v>-117.021</v>
      </c>
      <c r="J219" s="9">
        <f>_xll.ciqfunctions.udf.CIQ(InputTicker, "IQ_CASH_INVEST",Input!L$2,Date,,,Ccy,Conv)</f>
        <v>-375.11099999999999</v>
      </c>
      <c r="K219" s="9">
        <f>_xll.ciqfunctions.udf.CIQ(InputTicker, "IQ_CASH_INVEST",Input!M$2,Date,,,Ccy,Conv)</f>
        <v>-412.58600000000001</v>
      </c>
      <c r="L219" s="9">
        <f>_xll.ciqfunctions.udf.CIQ(InputTicker, "IQ_CASH_INVEST",Input!N$2,Date,,,Ccy,Conv)</f>
        <v>-575.46900000000005</v>
      </c>
      <c r="M219" s="9">
        <f>_xll.ciqfunctions.udf.CIQ(InputTicker, "IQ_CASH_INVEST",Input!O$2,Date,,,Ccy,Conv)</f>
        <v>-574.03300000000002</v>
      </c>
      <c r="N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</row>
    <row r="220" spans="1:66" ht="12.75" customHeight="1" thickTop="1" x14ac:dyDescent="0.2">
      <c r="A220" s="1" t="s">
        <v>109</v>
      </c>
      <c r="B220" s="4">
        <f>_xll.ciqfunctions.udf.CIQ(InputTicker, "IQ_ST_DEBT_ISSUED",Input!D$2,Date,,,Ccy,Conv)</f>
        <v>0</v>
      </c>
      <c r="C220" s="4">
        <f>_xll.ciqfunctions.udf.CIQ(InputTicker, "IQ_ST_DEBT_ISSUED",Input!E$2,Date,,,Ccy,Conv)</f>
        <v>0</v>
      </c>
      <c r="D220" s="4">
        <f>_xll.ciqfunctions.udf.CIQ(InputTicker, "IQ_ST_DEBT_ISSUED",Input!F$2,Date,,,Ccy,Conv)</f>
        <v>0</v>
      </c>
      <c r="E220" s="4">
        <f>_xll.ciqfunctions.udf.CIQ(InputTicker, "IQ_ST_DEBT_ISSUED",Input!G$2,Date,,,Ccy,Conv)</f>
        <v>0</v>
      </c>
      <c r="F220" s="4">
        <f>_xll.ciqfunctions.udf.CIQ(InputTicker, "IQ_ST_DEBT_ISSUED",Input!H$2,Date,,,Ccy,Conv)</f>
        <v>0</v>
      </c>
      <c r="G220" s="4">
        <f>_xll.ciqfunctions.udf.CIQ(InputTicker, "IQ_ST_DEBT_ISSUED",Input!I$2,Date,,,Ccy,Conv)</f>
        <v>0</v>
      </c>
      <c r="H220" s="4">
        <f>_xll.ciqfunctions.udf.CIQ(InputTicker, "IQ_ST_DEBT_ISSUED",Input!J$2,Date,,,Ccy,Conv)</f>
        <v>0</v>
      </c>
      <c r="I220" s="4">
        <f>_xll.ciqfunctions.udf.CIQ(InputTicker, "IQ_ST_DEBT_ISSUED",Input!K$2,Date,,,Ccy,Conv)</f>
        <v>0</v>
      </c>
      <c r="J220" s="4">
        <f>_xll.ciqfunctions.udf.CIQ(InputTicker, "IQ_ST_DEBT_ISSUED",Input!L$2,Date,,,Ccy,Conv)</f>
        <v>0</v>
      </c>
      <c r="K220" s="4">
        <f>_xll.ciqfunctions.udf.CIQ(InputTicker, "IQ_ST_DEBT_ISSUED",Input!M$2,Date,,,Ccy,Conv)</f>
        <v>0</v>
      </c>
      <c r="L220" s="4">
        <f>_xll.ciqfunctions.udf.CIQ(InputTicker, "IQ_ST_DEBT_ISSUED",Input!N$2,Date,,,Ccy,Conv)</f>
        <v>0</v>
      </c>
      <c r="M220" s="4">
        <f>_xll.ciqfunctions.udf.CIQ(InputTicker, "IQ_ST_DEBT_ISSUED",Input!O$2,Date,,,Ccy,Conv)</f>
        <v>0</v>
      </c>
      <c r="N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</row>
    <row r="221" spans="1:66" ht="12.75" customHeight="1" x14ac:dyDescent="0.2">
      <c r="A221" s="1" t="s">
        <v>110</v>
      </c>
      <c r="B221" s="4">
        <f>_xll.ciqfunctions.udf.CIQ(InputTicker, "IQ_LT_DEBT_ISSUED",Input!D$2,Date,,,Ccy,Conv)</f>
        <v>0</v>
      </c>
      <c r="C221" s="4">
        <f>_xll.ciqfunctions.udf.CIQ(InputTicker, "IQ_LT_DEBT_ISSUED",Input!E$2,Date,,,Ccy,Conv)</f>
        <v>0</v>
      </c>
      <c r="D221" s="4">
        <f>_xll.ciqfunctions.udf.CIQ(InputTicker, "IQ_LT_DEBT_ISSUED",Input!F$2,Date,,,Ccy,Conv)</f>
        <v>0</v>
      </c>
      <c r="E221" s="4">
        <f>_xll.ciqfunctions.udf.CIQ(InputTicker, "IQ_LT_DEBT_ISSUED",Input!G$2,Date,,,Ccy,Conv)</f>
        <v>0</v>
      </c>
      <c r="F221" s="4">
        <f>_xll.ciqfunctions.udf.CIQ(InputTicker, "IQ_LT_DEBT_ISSUED",Input!H$2,Date,,,Ccy,Conv)</f>
        <v>0</v>
      </c>
      <c r="G221" s="4">
        <f>_xll.ciqfunctions.udf.CIQ(InputTicker, "IQ_LT_DEBT_ISSUED",Input!I$2,Date,,,Ccy,Conv)</f>
        <v>0</v>
      </c>
      <c r="H221" s="4">
        <f>_xll.ciqfunctions.udf.CIQ(InputTicker, "IQ_LT_DEBT_ISSUED",Input!J$2,Date,,,Ccy,Conv)</f>
        <v>0</v>
      </c>
      <c r="I221" s="4">
        <f>_xll.ciqfunctions.udf.CIQ(InputTicker, "IQ_LT_DEBT_ISSUED",Input!K$2,Date,,,Ccy,Conv)</f>
        <v>0</v>
      </c>
      <c r="J221" s="4">
        <f>_xll.ciqfunctions.udf.CIQ(InputTicker, "IQ_LT_DEBT_ISSUED",Input!L$2,Date,,,Ccy,Conv)</f>
        <v>0</v>
      </c>
      <c r="K221" s="4">
        <f>_xll.ciqfunctions.udf.CIQ(InputTicker, "IQ_LT_DEBT_ISSUED",Input!M$2,Date,,,Ccy,Conv)</f>
        <v>0</v>
      </c>
      <c r="L221" s="4">
        <f>_xll.ciqfunctions.udf.CIQ(InputTicker, "IQ_LT_DEBT_ISSUED",Input!N$2,Date,,,Ccy,Conv)</f>
        <v>0</v>
      </c>
      <c r="M221" s="4">
        <f>_xll.ciqfunctions.udf.CIQ(InputTicker, "IQ_LT_DEBT_ISSUED",Input!O$2,Date,,,Ccy,Conv)</f>
        <v>0</v>
      </c>
      <c r="N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</row>
    <row r="222" spans="1:66" ht="12.75" customHeight="1" x14ac:dyDescent="0.2">
      <c r="A222" s="5" t="s">
        <v>111</v>
      </c>
      <c r="B222" s="6">
        <f>_xll.ciqfunctions.udf.CIQ(InputTicker, "IQ_TOTAL_DEBT_ISSUED",Input!D$2,Date,,,Ccy,Conv)</f>
        <v>0</v>
      </c>
      <c r="C222" s="6">
        <f>_xll.ciqfunctions.udf.CIQ(InputTicker, "IQ_TOTAL_DEBT_ISSUED",Input!E$2,Date,,,Ccy,Conv)</f>
        <v>0</v>
      </c>
      <c r="D222" s="6">
        <f>_xll.ciqfunctions.udf.CIQ(InputTicker, "IQ_TOTAL_DEBT_ISSUED",Input!F$2,Date,,,Ccy,Conv)</f>
        <v>0</v>
      </c>
      <c r="E222" s="6">
        <f>_xll.ciqfunctions.udf.CIQ(InputTicker, "IQ_TOTAL_DEBT_ISSUED",Input!G$2,Date,,,Ccy,Conv)</f>
        <v>0</v>
      </c>
      <c r="F222" s="6">
        <f>_xll.ciqfunctions.udf.CIQ(InputTicker, "IQ_TOTAL_DEBT_ISSUED",Input!H$2,Date,,,Ccy,Conv)</f>
        <v>0</v>
      </c>
      <c r="G222" s="6">
        <f>_xll.ciqfunctions.udf.CIQ(InputTicker, "IQ_TOTAL_DEBT_ISSUED",Input!I$2,Date,,,Ccy,Conv)</f>
        <v>0</v>
      </c>
      <c r="H222" s="6">
        <f>_xll.ciqfunctions.udf.CIQ(InputTicker, "IQ_TOTAL_DEBT_ISSUED",Input!J$2,Date,,,Ccy,Conv)</f>
        <v>0</v>
      </c>
      <c r="I222" s="6">
        <f>_xll.ciqfunctions.udf.CIQ(InputTicker, "IQ_TOTAL_DEBT_ISSUED",Input!K$2,Date,,,Ccy,Conv)</f>
        <v>0</v>
      </c>
      <c r="J222" s="6">
        <f>_xll.ciqfunctions.udf.CIQ(InputTicker, "IQ_TOTAL_DEBT_ISSUED",Input!L$2,Date,,,Ccy,Conv)</f>
        <v>0</v>
      </c>
      <c r="K222" s="6">
        <f>_xll.ciqfunctions.udf.CIQ(InputTicker, "IQ_TOTAL_DEBT_ISSUED",Input!M$2,Date,,,Ccy,Conv)</f>
        <v>0</v>
      </c>
      <c r="L222" s="6">
        <f>_xll.ciqfunctions.udf.CIQ(InputTicker, "IQ_TOTAL_DEBT_ISSUED",Input!N$2,Date,,,Ccy,Conv)</f>
        <v>0</v>
      </c>
      <c r="M222" s="6">
        <f>_xll.ciqfunctions.udf.CIQ(InputTicker, "IQ_TOTAL_DEBT_ISSUED",Input!O$2,Date,,,Ccy,Conv)</f>
        <v>0</v>
      </c>
      <c r="N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  <c r="BN222" s="42"/>
    </row>
    <row r="223" spans="1:66" ht="12.75" customHeight="1" x14ac:dyDescent="0.2">
      <c r="A223" s="1" t="s">
        <v>112</v>
      </c>
      <c r="B223" s="4">
        <f>_xll.ciqfunctions.udf.CIQ(InputTicker, "IQ_ST_DEBT_REPAID",Input!D$2,Date,,,Ccy,Conv)</f>
        <v>0</v>
      </c>
      <c r="C223" s="4">
        <f>_xll.ciqfunctions.udf.CIQ(InputTicker, "IQ_ST_DEBT_REPAID",Input!E$2,Date,,,Ccy,Conv)</f>
        <v>0</v>
      </c>
      <c r="D223" s="4">
        <f>_xll.ciqfunctions.udf.CIQ(InputTicker, "IQ_ST_DEBT_REPAID",Input!F$2,Date,,,Ccy,Conv)</f>
        <v>0</v>
      </c>
      <c r="E223" s="4">
        <f>_xll.ciqfunctions.udf.CIQ(InputTicker, "IQ_ST_DEBT_REPAID",Input!G$2,Date,,,Ccy,Conv)</f>
        <v>0</v>
      </c>
      <c r="F223" s="4">
        <f>_xll.ciqfunctions.udf.CIQ(InputTicker, "IQ_ST_DEBT_REPAID",Input!H$2,Date,,,Ccy,Conv)</f>
        <v>0</v>
      </c>
      <c r="G223" s="4">
        <f>_xll.ciqfunctions.udf.CIQ(InputTicker, "IQ_ST_DEBT_REPAID",Input!I$2,Date,,,Ccy,Conv)</f>
        <v>0</v>
      </c>
      <c r="H223" s="4">
        <f>_xll.ciqfunctions.udf.CIQ(InputTicker, "IQ_ST_DEBT_REPAID",Input!J$2,Date,,,Ccy,Conv)</f>
        <v>0</v>
      </c>
      <c r="I223" s="4">
        <f>_xll.ciqfunctions.udf.CIQ(InputTicker, "IQ_ST_DEBT_REPAID",Input!K$2,Date,,,Ccy,Conv)</f>
        <v>0</v>
      </c>
      <c r="J223" s="4">
        <f>_xll.ciqfunctions.udf.CIQ(InputTicker, "IQ_ST_DEBT_REPAID",Input!L$2,Date,,,Ccy,Conv)</f>
        <v>0</v>
      </c>
      <c r="K223" s="4">
        <f>_xll.ciqfunctions.udf.CIQ(InputTicker, "IQ_ST_DEBT_REPAID",Input!M$2,Date,,,Ccy,Conv)</f>
        <v>0</v>
      </c>
      <c r="L223" s="4">
        <f>_xll.ciqfunctions.udf.CIQ(InputTicker, "IQ_ST_DEBT_REPAID",Input!N$2,Date,,,Ccy,Conv)</f>
        <v>0</v>
      </c>
      <c r="M223" s="4">
        <f>_xll.ciqfunctions.udf.CIQ(InputTicker, "IQ_ST_DEBT_REPAID",Input!O$2,Date,,,Ccy,Conv)</f>
        <v>0</v>
      </c>
      <c r="N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  <c r="BN223" s="42"/>
    </row>
    <row r="224" spans="1:66" ht="12.75" customHeight="1" x14ac:dyDescent="0.2">
      <c r="A224" s="1" t="s">
        <v>113</v>
      </c>
      <c r="B224" s="4">
        <f>_xll.ciqfunctions.udf.CIQ(InputTicker, "IQ_LT_DEBT_REPAID",Input!D$2,Date,,,Ccy,Conv)</f>
        <v>-10.233000000000001</v>
      </c>
      <c r="C224" s="4">
        <f>_xll.ciqfunctions.udf.CIQ(InputTicker, "IQ_LT_DEBT_REPAID",Input!E$2,Date,,,Ccy,Conv)</f>
        <v>-25.29</v>
      </c>
      <c r="D224" s="4">
        <f>_xll.ciqfunctions.udf.CIQ(InputTicker, "IQ_LT_DEBT_REPAID",Input!F$2,Date,,,Ccy,Conv)</f>
        <v>-16.510000000000002</v>
      </c>
      <c r="E224" s="4">
        <f>_xll.ciqfunctions.udf.CIQ(InputTicker, "IQ_LT_DEBT_REPAID",Input!G$2,Date,,,Ccy,Conv)</f>
        <v>-4.8490000000000002</v>
      </c>
      <c r="F224" s="4">
        <f>_xll.ciqfunctions.udf.CIQ(InputTicker, "IQ_LT_DEBT_REPAID",Input!H$2,Date,,,Ccy,Conv)</f>
        <v>-3.754</v>
      </c>
      <c r="G224" s="4">
        <f>_xll.ciqfunctions.udf.CIQ(InputTicker, "IQ_LT_DEBT_REPAID",Input!I$2,Date,,,Ccy,Conv)</f>
        <v>-1.696</v>
      </c>
      <c r="H224" s="4">
        <f>_xll.ciqfunctions.udf.CIQ(InputTicker, "IQ_LT_DEBT_REPAID",Input!J$2,Date,,,Ccy,Conv)</f>
        <v>-0.20499999999999999</v>
      </c>
      <c r="I224" s="4">
        <f>_xll.ciqfunctions.udf.CIQ(InputTicker, "IQ_LT_DEBT_REPAID",Input!K$2,Date,,,Ccy,Conv)</f>
        <v>-0.215</v>
      </c>
      <c r="J224" s="4">
        <f>_xll.ciqfunctions.udf.CIQ(InputTicker, "IQ_LT_DEBT_REPAID",Input!L$2,Date,,,Ccy,Conv)</f>
        <v>-0.224</v>
      </c>
      <c r="K224" s="4">
        <f>_xll.ciqfunctions.udf.CIQ(InputTicker, "IQ_LT_DEBT_REPAID",Input!M$2,Date,,,Ccy,Conv)</f>
        <v>-0.214</v>
      </c>
      <c r="L224" s="4">
        <f>_xll.ciqfunctions.udf.CIQ(InputTicker, "IQ_LT_DEBT_REPAID",Input!N$2,Date,,,Ccy,Conv)</f>
        <v>-2.4809999999999999</v>
      </c>
      <c r="M224" s="4">
        <f>_xll.ciqfunctions.udf.CIQ(InputTicker, "IQ_LT_DEBT_REPAID",Input!O$2,Date,,,Ccy,Conv)</f>
        <v>0</v>
      </c>
      <c r="N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/>
      <c r="BN224" s="42"/>
    </row>
    <row r="225" spans="1:66" ht="12.75" customHeight="1" x14ac:dyDescent="0.2">
      <c r="A225" s="5" t="s">
        <v>114</v>
      </c>
      <c r="B225" s="6">
        <f>_xll.ciqfunctions.udf.CIQ(InputTicker, "IQ_TOTAL_DEBT_REPAID",Input!D$2,Date,,,Ccy,Conv)</f>
        <v>-10.233000000000001</v>
      </c>
      <c r="C225" s="6">
        <f>_xll.ciqfunctions.udf.CIQ(InputTicker, "IQ_TOTAL_DEBT_REPAID",Input!E$2,Date,,,Ccy,Conv)</f>
        <v>-25.29</v>
      </c>
      <c r="D225" s="6">
        <f>_xll.ciqfunctions.udf.CIQ(InputTicker, "IQ_TOTAL_DEBT_REPAID",Input!F$2,Date,,,Ccy,Conv)</f>
        <v>-16.510000000000002</v>
      </c>
      <c r="E225" s="6">
        <f>_xll.ciqfunctions.udf.CIQ(InputTicker, "IQ_TOTAL_DEBT_REPAID",Input!G$2,Date,,,Ccy,Conv)</f>
        <v>-4.8490000000000002</v>
      </c>
      <c r="F225" s="6">
        <f>_xll.ciqfunctions.udf.CIQ(InputTicker, "IQ_TOTAL_DEBT_REPAID",Input!H$2,Date,,,Ccy,Conv)</f>
        <v>-3.754</v>
      </c>
      <c r="G225" s="6">
        <f>_xll.ciqfunctions.udf.CIQ(InputTicker, "IQ_TOTAL_DEBT_REPAID",Input!I$2,Date,,,Ccy,Conv)</f>
        <v>-1.696</v>
      </c>
      <c r="H225" s="6">
        <f>_xll.ciqfunctions.udf.CIQ(InputTicker, "IQ_TOTAL_DEBT_REPAID",Input!J$2,Date,,,Ccy,Conv)</f>
        <v>-0.20499999999999999</v>
      </c>
      <c r="I225" s="6">
        <f>_xll.ciqfunctions.udf.CIQ(InputTicker, "IQ_TOTAL_DEBT_REPAID",Input!K$2,Date,,,Ccy,Conv)</f>
        <v>-0.215</v>
      </c>
      <c r="J225" s="6">
        <f>_xll.ciqfunctions.udf.CIQ(InputTicker, "IQ_TOTAL_DEBT_REPAID",Input!L$2,Date,,,Ccy,Conv)</f>
        <v>-0.224</v>
      </c>
      <c r="K225" s="6">
        <f>_xll.ciqfunctions.udf.CIQ(InputTicker, "IQ_TOTAL_DEBT_REPAID",Input!M$2,Date,,,Ccy,Conv)</f>
        <v>-0.214</v>
      </c>
      <c r="L225" s="6">
        <f>_xll.ciqfunctions.udf.CIQ(InputTicker, "IQ_TOTAL_DEBT_REPAID",Input!N$2,Date,,,Ccy,Conv)</f>
        <v>-2.4809999999999999</v>
      </c>
      <c r="M225" s="6">
        <f>_xll.ciqfunctions.udf.CIQ(InputTicker, "IQ_TOTAL_DEBT_REPAID",Input!O$2,Date,,,Ccy,Conv)</f>
        <v>-4.0000000000000001E-3</v>
      </c>
      <c r="N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</row>
    <row r="226" spans="1:66" ht="12.75" customHeight="1" x14ac:dyDescent="0.2">
      <c r="A226" s="1" t="s">
        <v>115</v>
      </c>
      <c r="B226" s="4">
        <f>_xll.ciqfunctions.udf.CIQ(InputTicker, "IQ_COMMON_ISSUED",Input!D$2,Date,,,Ccy,Conv)</f>
        <v>0.13600000000000001</v>
      </c>
      <c r="C226" s="4">
        <f>_xll.ciqfunctions.udf.CIQ(InputTicker, "IQ_COMMON_ISSUED",Input!E$2,Date,,,Ccy,Conv)</f>
        <v>0</v>
      </c>
      <c r="D226" s="4">
        <f>_xll.ciqfunctions.udf.CIQ(InputTicker, "IQ_COMMON_ISSUED",Input!F$2,Date,,,Ccy,Conv)</f>
        <v>0</v>
      </c>
      <c r="E226" s="4">
        <f>_xll.ciqfunctions.udf.CIQ(InputTicker, "IQ_COMMON_ISSUED",Input!G$2,Date,,,Ccy,Conv)</f>
        <v>0</v>
      </c>
      <c r="F226" s="4">
        <f>_xll.ciqfunctions.udf.CIQ(InputTicker, "IQ_COMMON_ISSUED",Input!H$2,Date,,,Ccy,Conv)</f>
        <v>0</v>
      </c>
      <c r="G226" s="4">
        <f>_xll.ciqfunctions.udf.CIQ(InputTicker, "IQ_COMMON_ISSUED",Input!I$2,Date,,,Ccy,Conv)</f>
        <v>0</v>
      </c>
      <c r="H226" s="4">
        <f>_xll.ciqfunctions.udf.CIQ(InputTicker, "IQ_COMMON_ISSUED",Input!J$2,Date,,,Ccy,Conv)</f>
        <v>5.0000000000000001E-3</v>
      </c>
      <c r="I226" s="4">
        <f>_xll.ciqfunctions.udf.CIQ(InputTicker, "IQ_COMMON_ISSUED",Input!K$2,Date,,,Ccy,Conv)</f>
        <v>3.0000000000000001E-3</v>
      </c>
      <c r="J226" s="4">
        <f>_xll.ciqfunctions.udf.CIQ(InputTicker, "IQ_COMMON_ISSUED",Input!L$2,Date,,,Ccy,Conv)</f>
        <v>0</v>
      </c>
      <c r="K226" s="4">
        <f>_xll.ciqfunctions.udf.CIQ(InputTicker, "IQ_COMMON_ISSUED",Input!M$2,Date,,,Ccy,Conv)</f>
        <v>0</v>
      </c>
      <c r="L226" s="4">
        <f>_xll.ciqfunctions.udf.CIQ(InputTicker, "IQ_COMMON_ISSUED",Input!N$2,Date,,,Ccy,Conv)</f>
        <v>0</v>
      </c>
      <c r="M226" s="4">
        <f>_xll.ciqfunctions.udf.CIQ(InputTicker, "IQ_COMMON_ISSUED",Input!O$2,Date,,,Ccy,Conv)</f>
        <v>0</v>
      </c>
      <c r="N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</row>
    <row r="227" spans="1:66" ht="12.75" customHeight="1" x14ac:dyDescent="0.2">
      <c r="A227" s="1" t="s">
        <v>116</v>
      </c>
      <c r="B227" s="4">
        <f>_xll.ciqfunctions.udf.CIQ(InputTicker, "IQ_COMMON_REP",Input!D$2,Date,,,Ccy,Conv)</f>
        <v>0</v>
      </c>
      <c r="C227" s="4">
        <f>_xll.ciqfunctions.udf.CIQ(InputTicker, "IQ_COMMON_REP",Input!E$2,Date,,,Ccy,Conv)</f>
        <v>-1.847</v>
      </c>
      <c r="D227" s="4">
        <f>_xll.ciqfunctions.udf.CIQ(InputTicker, "IQ_COMMON_REP",Input!F$2,Date,,,Ccy,Conv)</f>
        <v>-1.7150000000000001</v>
      </c>
      <c r="E227" s="4">
        <f>_xll.ciqfunctions.udf.CIQ(InputTicker, "IQ_COMMON_REP",Input!G$2,Date,,,Ccy,Conv)</f>
        <v>-1.1279999999999999</v>
      </c>
      <c r="F227" s="4">
        <f>_xll.ciqfunctions.udf.CIQ(InputTicker, "IQ_COMMON_REP",Input!H$2,Date,,,Ccy,Conv)</f>
        <v>-0.98499999999999999</v>
      </c>
      <c r="G227" s="4">
        <f>_xll.ciqfunctions.udf.CIQ(InputTicker, "IQ_COMMON_REP",Input!I$2,Date,,,Ccy,Conv)</f>
        <v>-0.91</v>
      </c>
      <c r="H227" s="4">
        <f>_xll.ciqfunctions.udf.CIQ(InputTicker, "IQ_COMMON_REP",Input!J$2,Date,,,Ccy,Conv)</f>
        <v>-0.871</v>
      </c>
      <c r="I227" s="4">
        <f>_xll.ciqfunctions.udf.CIQ(InputTicker, "IQ_COMMON_REP",Input!K$2,Date,,,Ccy,Conv)</f>
        <v>-1.127</v>
      </c>
      <c r="J227" s="4">
        <f>_xll.ciqfunctions.udf.CIQ(InputTicker, "IQ_COMMON_REP",Input!L$2,Date,,,Ccy,Conv)</f>
        <v>-1.643</v>
      </c>
      <c r="K227" s="4">
        <f>_xll.ciqfunctions.udf.CIQ(InputTicker, "IQ_COMMON_REP",Input!M$2,Date,,,Ccy,Conv)</f>
        <v>-1.6879999999999999</v>
      </c>
      <c r="L227" s="4">
        <f>_xll.ciqfunctions.udf.CIQ(InputTicker, "IQ_COMMON_REP",Input!N$2,Date,,,Ccy,Conv)</f>
        <v>-53.953000000000003</v>
      </c>
      <c r="M227" s="4">
        <f>_xll.ciqfunctions.udf.CIQ(InputTicker, "IQ_COMMON_REP",Input!O$2,Date,,,Ccy,Conv)</f>
        <v>-128.75299999999999</v>
      </c>
      <c r="N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</row>
    <row r="228" spans="1:66" ht="12.75" customHeight="1" x14ac:dyDescent="0.2">
      <c r="A228" s="1" t="s">
        <v>117</v>
      </c>
      <c r="B228" s="4">
        <f>_xll.ciqfunctions.udf.CIQ(InputTicker, "IQ_PREF_ISSUED",Input!D$2,Date,,,Ccy,Conv)</f>
        <v>0</v>
      </c>
      <c r="C228" s="4">
        <f>_xll.ciqfunctions.udf.CIQ(InputTicker, "IQ_PREF_ISSUED",Input!E$2,Date,,,Ccy,Conv)</f>
        <v>0</v>
      </c>
      <c r="D228" s="4">
        <f>_xll.ciqfunctions.udf.CIQ(InputTicker, "IQ_PREF_ISSUED",Input!F$2,Date,,,Ccy,Conv)</f>
        <v>0</v>
      </c>
      <c r="E228" s="4">
        <f>_xll.ciqfunctions.udf.CIQ(InputTicker, "IQ_PREF_ISSUED",Input!G$2,Date,,,Ccy,Conv)</f>
        <v>0</v>
      </c>
      <c r="F228" s="4">
        <f>_xll.ciqfunctions.udf.CIQ(InputTicker, "IQ_PREF_ISSUED",Input!H$2,Date,,,Ccy,Conv)</f>
        <v>0</v>
      </c>
      <c r="G228" s="4">
        <f>_xll.ciqfunctions.udf.CIQ(InputTicker, "IQ_PREF_ISSUED",Input!I$2,Date,,,Ccy,Conv)</f>
        <v>0</v>
      </c>
      <c r="H228" s="4">
        <f>_xll.ciqfunctions.udf.CIQ(InputTicker, "IQ_PREF_ISSUED",Input!J$2,Date,,,Ccy,Conv)</f>
        <v>0</v>
      </c>
      <c r="I228" s="4">
        <f>_xll.ciqfunctions.udf.CIQ(InputTicker, "IQ_PREF_ISSUED",Input!K$2,Date,,,Ccy,Conv)</f>
        <v>0</v>
      </c>
      <c r="J228" s="4">
        <f>_xll.ciqfunctions.udf.CIQ(InputTicker, "IQ_PREF_ISSUED",Input!L$2,Date,,,Ccy,Conv)</f>
        <v>0</v>
      </c>
      <c r="K228" s="4">
        <f>_xll.ciqfunctions.udf.CIQ(InputTicker, "IQ_PREF_ISSUED",Input!M$2,Date,,,Ccy,Conv)</f>
        <v>0</v>
      </c>
      <c r="L228" s="4">
        <f>_xll.ciqfunctions.udf.CIQ(InputTicker, "IQ_PREF_ISSUED",Input!N$2,Date,,,Ccy,Conv)</f>
        <v>0</v>
      </c>
      <c r="M228" s="4">
        <f>_xll.ciqfunctions.udf.CIQ(InputTicker, "IQ_PREF_ISSUED",Input!O$2,Date,,,Ccy,Conv)</f>
        <v>0</v>
      </c>
      <c r="N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</row>
    <row r="229" spans="1:66" ht="12.75" customHeight="1" x14ac:dyDescent="0.2">
      <c r="A229" s="1" t="s">
        <v>118</v>
      </c>
      <c r="B229" s="4">
        <f>_xll.ciqfunctions.udf.CIQ(InputTicker, "IQ_PREF_REP",Input!D$2,Date,,,Ccy,Conv)</f>
        <v>0</v>
      </c>
      <c r="C229" s="4">
        <f>_xll.ciqfunctions.udf.CIQ(InputTicker, "IQ_PREF_REP",Input!E$2,Date,,,Ccy,Conv)</f>
        <v>0</v>
      </c>
      <c r="D229" s="4">
        <f>_xll.ciqfunctions.udf.CIQ(InputTicker, "IQ_PREF_REP",Input!F$2,Date,,,Ccy,Conv)</f>
        <v>0</v>
      </c>
      <c r="E229" s="4">
        <f>_xll.ciqfunctions.udf.CIQ(InputTicker, "IQ_PREF_REP",Input!G$2,Date,,,Ccy,Conv)</f>
        <v>0</v>
      </c>
      <c r="F229" s="4">
        <f>_xll.ciqfunctions.udf.CIQ(InputTicker, "IQ_PREF_REP",Input!H$2,Date,,,Ccy,Conv)</f>
        <v>0</v>
      </c>
      <c r="G229" s="4">
        <f>_xll.ciqfunctions.udf.CIQ(InputTicker, "IQ_PREF_REP",Input!I$2,Date,,,Ccy,Conv)</f>
        <v>0</v>
      </c>
      <c r="H229" s="4">
        <f>_xll.ciqfunctions.udf.CIQ(InputTicker, "IQ_PREF_REP",Input!J$2,Date,,,Ccy,Conv)</f>
        <v>0</v>
      </c>
      <c r="I229" s="4">
        <f>_xll.ciqfunctions.udf.CIQ(InputTicker, "IQ_PREF_REP",Input!K$2,Date,,,Ccy,Conv)</f>
        <v>0</v>
      </c>
      <c r="J229" s="4">
        <f>_xll.ciqfunctions.udf.CIQ(InputTicker, "IQ_PREF_REP",Input!L$2,Date,,,Ccy,Conv)</f>
        <v>0</v>
      </c>
      <c r="K229" s="4">
        <f>_xll.ciqfunctions.udf.CIQ(InputTicker, "IQ_PREF_REP",Input!M$2,Date,,,Ccy,Conv)</f>
        <v>0</v>
      </c>
      <c r="L229" s="4">
        <f>_xll.ciqfunctions.udf.CIQ(InputTicker, "IQ_PREF_REP",Input!N$2,Date,,,Ccy,Conv)</f>
        <v>0</v>
      </c>
      <c r="M229" s="4">
        <f>_xll.ciqfunctions.udf.CIQ(InputTicker, "IQ_PREF_REP",Input!O$2,Date,,,Ccy,Conv)</f>
        <v>0</v>
      </c>
      <c r="N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</row>
    <row r="230" spans="1:66" ht="12.75" customHeight="1" x14ac:dyDescent="0.2">
      <c r="A230" s="1" t="s">
        <v>151</v>
      </c>
      <c r="B230" s="4">
        <f>_xll.ciqfunctions.udf.CIQ(InputTicker, "IQ_COMMON_DIV_CF",Input!D$2,Date,,,Ccy,Conv)</f>
        <v>-48.91</v>
      </c>
      <c r="C230" s="4">
        <f>_xll.ciqfunctions.udf.CIQ(InputTicker, "IQ_COMMON_DIV_CF",Input!E$2,Date,,,Ccy,Conv)</f>
        <v>-120.94199999999999</v>
      </c>
      <c r="D230" s="4">
        <f>_xll.ciqfunctions.udf.CIQ(InputTicker, "IQ_COMMON_DIV_CF",Input!F$2,Date,,,Ccy,Conv)</f>
        <v>0</v>
      </c>
      <c r="E230" s="4">
        <f>_xll.ciqfunctions.udf.CIQ(InputTicker, "IQ_COMMON_DIV_CF",Input!G$2,Date,,,Ccy,Conv)</f>
        <v>0</v>
      </c>
      <c r="F230" s="4">
        <f>_xll.ciqfunctions.udf.CIQ(InputTicker, "IQ_COMMON_DIV_CF",Input!H$2,Date,,,Ccy,Conv)</f>
        <v>-41.713000000000001</v>
      </c>
      <c r="G230" s="4">
        <f>_xll.ciqfunctions.udf.CIQ(InputTicker, "IQ_COMMON_DIV_CF",Input!I$2,Date,,,Ccy,Conv)</f>
        <v>0</v>
      </c>
      <c r="H230" s="4">
        <f>_xll.ciqfunctions.udf.CIQ(InputTicker, "IQ_COMMON_DIV_CF",Input!J$2,Date,,,Ccy,Conv)</f>
        <v>-1.6519999999999999</v>
      </c>
      <c r="I230" s="4">
        <f>_xll.ciqfunctions.udf.CIQ(InputTicker, "IQ_COMMON_DIV_CF",Input!K$2,Date,,,Ccy,Conv)</f>
        <v>-6.117</v>
      </c>
      <c r="J230" s="4">
        <f>_xll.ciqfunctions.udf.CIQ(InputTicker, "IQ_COMMON_DIV_CF",Input!L$2,Date,,,Ccy,Conv)</f>
        <v>-252.292</v>
      </c>
      <c r="K230" s="4">
        <f>_xll.ciqfunctions.udf.CIQ(InputTicker, "IQ_COMMON_DIV_CF",Input!M$2,Date,,,Ccy,Conv)</f>
        <v>-91.855999999999995</v>
      </c>
      <c r="L230" s="4">
        <f>_xll.ciqfunctions.udf.CIQ(InputTicker, "IQ_COMMON_DIV_CF",Input!N$2,Date,,,Ccy,Conv)</f>
        <v>-330.29</v>
      </c>
      <c r="M230" s="4">
        <f>_xll.ciqfunctions.udf.CIQ(InputTicker, "IQ_COMMON_DIV_CF",Input!O$2,Date,,,Ccy,Conv)</f>
        <v>-423.05599999999998</v>
      </c>
      <c r="N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</row>
    <row r="231" spans="1:66" ht="12.75" customHeight="1" x14ac:dyDescent="0.2">
      <c r="A231" s="1" t="s">
        <v>152</v>
      </c>
      <c r="B231" s="4">
        <f>_xll.ciqfunctions.udf.CIQ(InputTicker, "IQ_PREF_DIV_CF",Input!D$2,Date,,,Ccy,Conv)</f>
        <v>0</v>
      </c>
      <c r="C231" s="4">
        <f>_xll.ciqfunctions.udf.CIQ(InputTicker, "IQ_PREF_DIV_CF",Input!E$2,Date,,,Ccy,Conv)</f>
        <v>0</v>
      </c>
      <c r="D231" s="4">
        <f>_xll.ciqfunctions.udf.CIQ(InputTicker, "IQ_PREF_DIV_CF",Input!F$2,Date,,,Ccy,Conv)</f>
        <v>0</v>
      </c>
      <c r="E231" s="4">
        <f>_xll.ciqfunctions.udf.CIQ(InputTicker, "IQ_PREF_DIV_CF",Input!G$2,Date,,,Ccy,Conv)</f>
        <v>0</v>
      </c>
      <c r="F231" s="4">
        <f>_xll.ciqfunctions.udf.CIQ(InputTicker, "IQ_PREF_DIV_CF",Input!H$2,Date,,,Ccy,Conv)</f>
        <v>0</v>
      </c>
      <c r="G231" s="4">
        <f>_xll.ciqfunctions.udf.CIQ(InputTicker, "IQ_PREF_DIV_CF",Input!I$2,Date,,,Ccy,Conv)</f>
        <v>0</v>
      </c>
      <c r="H231" s="4">
        <f>_xll.ciqfunctions.udf.CIQ(InputTicker, "IQ_PREF_DIV_CF",Input!J$2,Date,,,Ccy,Conv)</f>
        <v>0</v>
      </c>
      <c r="I231" s="4">
        <f>_xll.ciqfunctions.udf.CIQ(InputTicker, "IQ_PREF_DIV_CF",Input!K$2,Date,,,Ccy,Conv)</f>
        <v>0</v>
      </c>
      <c r="J231" s="4">
        <f>_xll.ciqfunctions.udf.CIQ(InputTicker, "IQ_PREF_DIV_CF",Input!L$2,Date,,,Ccy,Conv)</f>
        <v>0</v>
      </c>
      <c r="K231" s="4">
        <f>_xll.ciqfunctions.udf.CIQ(InputTicker, "IQ_PREF_DIV_CF",Input!M$2,Date,,,Ccy,Conv)</f>
        <v>0</v>
      </c>
      <c r="L231" s="4">
        <f>_xll.ciqfunctions.udf.CIQ(InputTicker, "IQ_PREF_DIV_CF",Input!N$2,Date,,,Ccy,Conv)</f>
        <v>0</v>
      </c>
      <c r="M231" s="4">
        <f>_xll.ciqfunctions.udf.CIQ(InputTicker, "IQ_PREF_DIV_CF",Input!O$2,Date,,,Ccy,Conv)</f>
        <v>0</v>
      </c>
      <c r="N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</row>
    <row r="232" spans="1:66" ht="12.75" customHeight="1" x14ac:dyDescent="0.2">
      <c r="A232" s="1" t="s">
        <v>153</v>
      </c>
      <c r="B232" s="4">
        <f>_xll.ciqfunctions.udf.CIQ(InputTicker, "IQ_COMMON_PREF_DIV_CF",Input!D$2,Date,,,Ccy,Conv)</f>
        <v>0</v>
      </c>
      <c r="C232" s="4">
        <f>_xll.ciqfunctions.udf.CIQ(InputTicker, "IQ_COMMON_PREF_DIV_CF",Input!E$2,Date,,,Ccy,Conv)</f>
        <v>0</v>
      </c>
      <c r="D232" s="4">
        <f>_xll.ciqfunctions.udf.CIQ(InputTicker, "IQ_COMMON_PREF_DIV_CF",Input!F$2,Date,,,Ccy,Conv)</f>
        <v>0</v>
      </c>
      <c r="E232" s="4">
        <f>_xll.ciqfunctions.udf.CIQ(InputTicker, "IQ_COMMON_PREF_DIV_CF",Input!G$2,Date,,,Ccy,Conv)</f>
        <v>0</v>
      </c>
      <c r="F232" s="4">
        <f>_xll.ciqfunctions.udf.CIQ(InputTicker, "IQ_COMMON_PREF_DIV_CF",Input!H$2,Date,,,Ccy,Conv)</f>
        <v>0</v>
      </c>
      <c r="G232" s="4">
        <f>_xll.ciqfunctions.udf.CIQ(InputTicker, "IQ_COMMON_PREF_DIV_CF",Input!I$2,Date,,,Ccy,Conv)</f>
        <v>0</v>
      </c>
      <c r="H232" s="4">
        <f>_xll.ciqfunctions.udf.CIQ(InputTicker, "IQ_COMMON_PREF_DIV_CF",Input!J$2,Date,,,Ccy,Conv)</f>
        <v>0</v>
      </c>
      <c r="I232" s="4">
        <f>_xll.ciqfunctions.udf.CIQ(InputTicker, "IQ_COMMON_PREF_DIV_CF",Input!K$2,Date,,,Ccy,Conv)</f>
        <v>0</v>
      </c>
      <c r="J232" s="4">
        <f>_xll.ciqfunctions.udf.CIQ(InputTicker, "IQ_COMMON_PREF_DIV_CF",Input!L$2,Date,,,Ccy,Conv)</f>
        <v>0</v>
      </c>
      <c r="K232" s="4">
        <f>_xll.ciqfunctions.udf.CIQ(InputTicker, "IQ_COMMON_PREF_DIV_CF",Input!M$2,Date,,,Ccy,Conv)</f>
        <v>0</v>
      </c>
      <c r="L232" s="4">
        <f>_xll.ciqfunctions.udf.CIQ(InputTicker, "IQ_COMMON_PREF_DIV_CF",Input!N$2,Date,,,Ccy,Conv)</f>
        <v>0</v>
      </c>
      <c r="M232" s="4">
        <f>_xll.ciqfunctions.udf.CIQ(InputTicker, "IQ_COMMON_PREF_DIV_CF",Input!O$2,Date,,,Ccy,Conv)</f>
        <v>0</v>
      </c>
      <c r="N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</row>
    <row r="233" spans="1:66" ht="12.75" customHeight="1" x14ac:dyDescent="0.2">
      <c r="A233" s="1" t="s">
        <v>119</v>
      </c>
      <c r="B233" s="6">
        <f>_xll.ciqfunctions.udf.CIQ(InputTicker, "IQ_TOTAL_DIV_PAID_CF",Input!D$2,Date,,,Ccy,Conv)</f>
        <v>-48.91</v>
      </c>
      <c r="C233" s="6">
        <f>_xll.ciqfunctions.udf.CIQ(InputTicker, "IQ_TOTAL_DIV_PAID_CF",Input!E$2,Date,,,Ccy,Conv)</f>
        <v>-120.94199999999999</v>
      </c>
      <c r="D233" s="6">
        <f>_xll.ciqfunctions.udf.CIQ(InputTicker, "IQ_TOTAL_DIV_PAID_CF",Input!F$2,Date,,,Ccy,Conv)</f>
        <v>0</v>
      </c>
      <c r="E233" s="6">
        <f>_xll.ciqfunctions.udf.CIQ(InputTicker, "IQ_TOTAL_DIV_PAID_CF",Input!G$2,Date,,,Ccy,Conv)</f>
        <v>0</v>
      </c>
      <c r="F233" s="6">
        <f>_xll.ciqfunctions.udf.CIQ(InputTicker, "IQ_TOTAL_DIV_PAID_CF",Input!H$2,Date,,,Ccy,Conv)</f>
        <v>-41.713000000000001</v>
      </c>
      <c r="G233" s="6">
        <f>_xll.ciqfunctions.udf.CIQ(InputTicker, "IQ_TOTAL_DIV_PAID_CF",Input!I$2,Date,,,Ccy,Conv)</f>
        <v>0</v>
      </c>
      <c r="H233" s="6">
        <f>_xll.ciqfunctions.udf.CIQ(InputTicker, "IQ_TOTAL_DIV_PAID_CF",Input!J$2,Date,,,Ccy,Conv)</f>
        <v>-1.6519999999999999</v>
      </c>
      <c r="I233" s="6">
        <f>_xll.ciqfunctions.udf.CIQ(InputTicker, "IQ_TOTAL_DIV_PAID_CF",Input!K$2,Date,,,Ccy,Conv)</f>
        <v>-6.117</v>
      </c>
      <c r="J233" s="6">
        <f>_xll.ciqfunctions.udf.CIQ(InputTicker, "IQ_TOTAL_DIV_PAID_CF",Input!L$2,Date,,,Ccy,Conv)</f>
        <v>-252.292</v>
      </c>
      <c r="K233" s="6">
        <f>_xll.ciqfunctions.udf.CIQ(InputTicker, "IQ_TOTAL_DIV_PAID_CF",Input!M$2,Date,,,Ccy,Conv)</f>
        <v>-91.855999999999995</v>
      </c>
      <c r="L233" s="6">
        <f>_xll.ciqfunctions.udf.CIQ(InputTicker, "IQ_TOTAL_DIV_PAID_CF",Input!N$2,Date,,,Ccy,Conv)</f>
        <v>-330.29</v>
      </c>
      <c r="M233" s="6">
        <f>_xll.ciqfunctions.udf.CIQ(InputTicker, "IQ_TOTAL_DIV_PAID_CF",Input!O$2,Date,,,Ccy,Conv)</f>
        <v>-423.05599999999998</v>
      </c>
      <c r="N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</row>
    <row r="234" spans="1:66" ht="12.75" customHeight="1" x14ac:dyDescent="0.2">
      <c r="A234" s="1" t="s">
        <v>154</v>
      </c>
      <c r="B234" s="4">
        <f>_xll.ciqfunctions.udf.CIQ(InputTicker, "IQ_SPECIAL_DIV_CF",Input!D$2,Date,,,Ccy,Conv)</f>
        <v>0</v>
      </c>
      <c r="C234" s="4">
        <f>_xll.ciqfunctions.udf.CIQ(InputTicker, "IQ_SPECIAL_DIV_CF",Input!E$2,Date,,,Ccy,Conv)</f>
        <v>0</v>
      </c>
      <c r="D234" s="4">
        <f>_xll.ciqfunctions.udf.CIQ(InputTicker, "IQ_SPECIAL_DIV_CF",Input!F$2,Date,,,Ccy,Conv)</f>
        <v>0</v>
      </c>
      <c r="E234" s="4">
        <f>_xll.ciqfunctions.udf.CIQ(InputTicker, "IQ_SPECIAL_DIV_CF",Input!G$2,Date,,,Ccy,Conv)</f>
        <v>0</v>
      </c>
      <c r="F234" s="4">
        <f>_xll.ciqfunctions.udf.CIQ(InputTicker, "IQ_SPECIAL_DIV_CF",Input!H$2,Date,,,Ccy,Conv)</f>
        <v>0</v>
      </c>
      <c r="G234" s="4">
        <f>_xll.ciqfunctions.udf.CIQ(InputTicker, "IQ_SPECIAL_DIV_CF",Input!I$2,Date,,,Ccy,Conv)</f>
        <v>0</v>
      </c>
      <c r="H234" s="4">
        <f>_xll.ciqfunctions.udf.CIQ(InputTicker, "IQ_SPECIAL_DIV_CF",Input!J$2,Date,,,Ccy,Conv)</f>
        <v>0</v>
      </c>
      <c r="I234" s="4">
        <f>_xll.ciqfunctions.udf.CIQ(InputTicker, "IQ_SPECIAL_DIV_CF",Input!K$2,Date,,,Ccy,Conv)</f>
        <v>0</v>
      </c>
      <c r="J234" s="4">
        <f>_xll.ciqfunctions.udf.CIQ(InputTicker, "IQ_SPECIAL_DIV_CF",Input!L$2,Date,,,Ccy,Conv)</f>
        <v>0</v>
      </c>
      <c r="K234" s="4">
        <f>_xll.ciqfunctions.udf.CIQ(InputTicker, "IQ_SPECIAL_DIV_CF",Input!M$2,Date,,,Ccy,Conv)</f>
        <v>0</v>
      </c>
      <c r="L234" s="4">
        <f>_xll.ciqfunctions.udf.CIQ(InputTicker, "IQ_SPECIAL_DIV_CF",Input!N$2,Date,,,Ccy,Conv)</f>
        <v>0</v>
      </c>
      <c r="M234" s="4">
        <f>_xll.ciqfunctions.udf.CIQ(InputTicker, "IQ_SPECIAL_DIV_CF",Input!O$2,Date,,,Ccy,Conv)</f>
        <v>0</v>
      </c>
      <c r="N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  <c r="BN234" s="42"/>
    </row>
    <row r="235" spans="1:66" ht="12.75" customHeight="1" x14ac:dyDescent="0.2">
      <c r="A235" s="1" t="s">
        <v>155</v>
      </c>
      <c r="B235" s="4">
        <f>_xll.ciqfunctions.udf.CIQ(InputTicker, "IQ_OTHER_FINANCE_ACT_SUPPL",Input!D$2,Date,,,Ccy,Conv)</f>
        <v>-0.54500000000000004</v>
      </c>
      <c r="C235" s="4">
        <f>_xll.ciqfunctions.udf.CIQ(InputTicker, "IQ_OTHER_FINANCE_ACT_SUPPL",Input!E$2,Date,,,Ccy,Conv)</f>
        <v>-0.83099999999999996</v>
      </c>
      <c r="D235" s="4">
        <f>_xll.ciqfunctions.udf.CIQ(InputTicker, "IQ_OTHER_FINANCE_ACT_SUPPL",Input!F$2,Date,,,Ccy,Conv)</f>
        <v>-7.2999999999999995E-2</v>
      </c>
      <c r="E235" s="4">
        <f>_xll.ciqfunctions.udf.CIQ(InputTicker, "IQ_OTHER_FINANCE_ACT_SUPPL",Input!G$2,Date,,,Ccy,Conv)</f>
        <v>0.27900000000000003</v>
      </c>
      <c r="F235" s="4">
        <f>_xll.ciqfunctions.udf.CIQ(InputTicker, "IQ_OTHER_FINANCE_ACT_SUPPL",Input!H$2,Date,,,Ccy,Conv)</f>
        <v>0</v>
      </c>
      <c r="G235" s="4">
        <f>_xll.ciqfunctions.udf.CIQ(InputTicker, "IQ_OTHER_FINANCE_ACT_SUPPL",Input!I$2,Date,,,Ccy,Conv)</f>
        <v>-0.755</v>
      </c>
      <c r="H235" s="4">
        <f>_xll.ciqfunctions.udf.CIQ(InputTicker, "IQ_OTHER_FINANCE_ACT_SUPPL",Input!J$2,Date,,,Ccy,Conv)</f>
        <v>0</v>
      </c>
      <c r="I235" s="4">
        <f>_xll.ciqfunctions.udf.CIQ(InputTicker, "IQ_OTHER_FINANCE_ACT_SUPPL",Input!K$2,Date,,,Ccy,Conv)</f>
        <v>0</v>
      </c>
      <c r="J235" s="4">
        <f>_xll.ciqfunctions.udf.CIQ(InputTicker, "IQ_OTHER_FINANCE_ACT_SUPPL",Input!L$2,Date,,,Ccy,Conv)</f>
        <v>0</v>
      </c>
      <c r="K235" s="4">
        <f>_xll.ciqfunctions.udf.CIQ(InputTicker, "IQ_OTHER_FINANCE_ACT_SUPPL",Input!M$2,Date,,,Ccy,Conv)</f>
        <v>0</v>
      </c>
      <c r="L235" s="4">
        <f>_xll.ciqfunctions.udf.CIQ(InputTicker, "IQ_OTHER_FINANCE_ACT_SUPPL",Input!N$2,Date,,,Ccy,Conv)</f>
        <v>0</v>
      </c>
      <c r="M235" s="4">
        <f>_xll.ciqfunctions.udf.CIQ(InputTicker, "IQ_OTHER_FINANCE_ACT_SUPPL",Input!O$2,Date,,,Ccy,Conv)</f>
        <v>0</v>
      </c>
      <c r="N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  <c r="BN235" s="42"/>
    </row>
    <row r="236" spans="1:66" ht="12.75" customHeight="1" thickBot="1" x14ac:dyDescent="0.25">
      <c r="A236" s="5" t="s">
        <v>120</v>
      </c>
      <c r="B236" s="9">
        <f>_xll.ciqfunctions.udf.CIQ(InputTicker, "IQ_CASH_FINAN",Input!D$2,Date,,,Ccy,Conv)</f>
        <v>-59.552</v>
      </c>
      <c r="C236" s="9">
        <f>_xll.ciqfunctions.udf.CIQ(InputTicker, "IQ_CASH_FINAN",Input!E$2,Date,,,Ccy,Conv)</f>
        <v>-148.91</v>
      </c>
      <c r="D236" s="9">
        <f>_xll.ciqfunctions.udf.CIQ(InputTicker, "IQ_CASH_FINAN",Input!F$2,Date,,,Ccy,Conv)</f>
        <v>-18.297999999999998</v>
      </c>
      <c r="E236" s="9">
        <f>_xll.ciqfunctions.udf.CIQ(InputTicker, "IQ_CASH_FINAN",Input!G$2,Date,,,Ccy,Conv)</f>
        <v>-5.6980000000000004</v>
      </c>
      <c r="F236" s="9">
        <f>_xll.ciqfunctions.udf.CIQ(InputTicker, "IQ_CASH_FINAN",Input!H$2,Date,,,Ccy,Conv)</f>
        <v>-46.451999999999998</v>
      </c>
      <c r="G236" s="9">
        <f>_xll.ciqfunctions.udf.CIQ(InputTicker, "IQ_CASH_FINAN",Input!I$2,Date,,,Ccy,Conv)</f>
        <v>-3.3610000000000002</v>
      </c>
      <c r="H236" s="9">
        <f>_xll.ciqfunctions.udf.CIQ(InputTicker, "IQ_CASH_FINAN",Input!J$2,Date,,,Ccy,Conv)</f>
        <v>-2.7229999999999999</v>
      </c>
      <c r="I236" s="9">
        <f>_xll.ciqfunctions.udf.CIQ(InputTicker, "IQ_CASH_FINAN",Input!K$2,Date,,,Ccy,Conv)</f>
        <v>-7.4560000000000004</v>
      </c>
      <c r="J236" s="9">
        <f>_xll.ciqfunctions.udf.CIQ(InputTicker, "IQ_CASH_FINAN",Input!L$2,Date,,,Ccy,Conv)</f>
        <v>-254.15899999999999</v>
      </c>
      <c r="K236" s="9">
        <f>_xll.ciqfunctions.udf.CIQ(InputTicker, "IQ_CASH_FINAN",Input!M$2,Date,,,Ccy,Conv)</f>
        <v>-93.757999999999996</v>
      </c>
      <c r="L236" s="9">
        <f>_xll.ciqfunctions.udf.CIQ(InputTicker, "IQ_CASH_FINAN",Input!N$2,Date,,,Ccy,Conv)</f>
        <v>-386.72399999999999</v>
      </c>
      <c r="M236" s="9">
        <f>_xll.ciqfunctions.udf.CIQ(InputTicker, "IQ_CASH_FINAN",Input!O$2,Date,,,Ccy,Conv)</f>
        <v>-551.81299999999999</v>
      </c>
      <c r="N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</row>
    <row r="237" spans="1:66" ht="12.75" customHeight="1" thickTop="1" x14ac:dyDescent="0.2">
      <c r="A237" s="1" t="s">
        <v>156</v>
      </c>
      <c r="B237" s="4">
        <f>_xll.ciqfunctions.udf.CIQ(InputTicker, "IQ_FX",Input!D$2,Date,,,Ccy,Conv)</f>
        <v>0</v>
      </c>
      <c r="C237" s="4">
        <f>_xll.ciqfunctions.udf.CIQ(InputTicker, "IQ_FX",Input!E$2,Date,,,Ccy,Conv)</f>
        <v>0</v>
      </c>
      <c r="D237" s="4">
        <f>_xll.ciqfunctions.udf.CIQ(InputTicker, "IQ_FX",Input!F$2,Date,,,Ccy,Conv)</f>
        <v>0</v>
      </c>
      <c r="E237" s="4">
        <f>_xll.ciqfunctions.udf.CIQ(InputTicker, "IQ_FX",Input!G$2,Date,,,Ccy,Conv)</f>
        <v>0</v>
      </c>
      <c r="F237" s="4">
        <f>_xll.ciqfunctions.udf.CIQ(InputTicker, "IQ_FX",Input!H$2,Date,,,Ccy,Conv)</f>
        <v>0</v>
      </c>
      <c r="G237" s="4">
        <f>_xll.ciqfunctions.udf.CIQ(InputTicker, "IQ_FX",Input!I$2,Date,,,Ccy,Conv)</f>
        <v>0</v>
      </c>
      <c r="H237" s="4">
        <f>_xll.ciqfunctions.udf.CIQ(InputTicker, "IQ_FX",Input!J$2,Date,,,Ccy,Conv)</f>
        <v>0</v>
      </c>
      <c r="I237" s="4">
        <f>_xll.ciqfunctions.udf.CIQ(InputTicker, "IQ_FX",Input!K$2,Date,,,Ccy,Conv)</f>
        <v>0</v>
      </c>
      <c r="J237" s="4">
        <f>_xll.ciqfunctions.udf.CIQ(InputTicker, "IQ_FX",Input!L$2,Date,,,Ccy,Conv)</f>
        <v>0</v>
      </c>
      <c r="K237" s="4">
        <f>_xll.ciqfunctions.udf.CIQ(InputTicker, "IQ_FX",Input!M$2,Date,,,Ccy,Conv)</f>
        <v>0</v>
      </c>
      <c r="L237" s="4">
        <f>_xll.ciqfunctions.udf.CIQ(InputTicker, "IQ_FX",Input!N$2,Date,,,Ccy,Conv)</f>
        <v>0</v>
      </c>
      <c r="M237" s="4">
        <f>_xll.ciqfunctions.udf.CIQ(InputTicker, "IQ_FX",Input!O$2,Date,,,Ccy,Conv)</f>
        <v>0</v>
      </c>
      <c r="N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  <c r="BN237" s="42"/>
    </row>
    <row r="238" spans="1:66" ht="12.75" customHeight="1" x14ac:dyDescent="0.2">
      <c r="A238" s="1" t="s">
        <v>212</v>
      </c>
      <c r="B238" s="4">
        <f>_xll.ciqfunctions.udf.CIQ(InputTicker, "IQ_MISC_ADJUST_CF",Input!D$2,Date,,,Ccy,Conv)</f>
        <v>0</v>
      </c>
      <c r="C238" s="4">
        <f>_xll.ciqfunctions.udf.CIQ(InputTicker, "IQ_MISC_ADJUST_CF",Input!E$2,Date,,,Ccy,Conv)</f>
        <v>0</v>
      </c>
      <c r="D238" s="4">
        <f>_xll.ciqfunctions.udf.CIQ(InputTicker, "IQ_MISC_ADJUST_CF",Input!F$2,Date,,,Ccy,Conv)</f>
        <v>0</v>
      </c>
      <c r="E238" s="4">
        <f>_xll.ciqfunctions.udf.CIQ(InputTicker, "IQ_MISC_ADJUST_CF",Input!G$2,Date,,,Ccy,Conv)</f>
        <v>0</v>
      </c>
      <c r="F238" s="4">
        <f>_xll.ciqfunctions.udf.CIQ(InputTicker, "IQ_MISC_ADJUST_CF",Input!H$2,Date,,,Ccy,Conv)</f>
        <v>0</v>
      </c>
      <c r="G238" s="4">
        <f>_xll.ciqfunctions.udf.CIQ(InputTicker, "IQ_MISC_ADJUST_CF",Input!I$2,Date,,,Ccy,Conv)</f>
        <v>0</v>
      </c>
      <c r="H238" s="4">
        <f>_xll.ciqfunctions.udf.CIQ(InputTicker, "IQ_MISC_ADJUST_CF",Input!J$2,Date,,,Ccy,Conv)</f>
        <v>0</v>
      </c>
      <c r="I238" s="4">
        <f>_xll.ciqfunctions.udf.CIQ(InputTicker, "IQ_MISC_ADJUST_CF",Input!K$2,Date,,,Ccy,Conv)</f>
        <v>0</v>
      </c>
      <c r="J238" s="4">
        <f>_xll.ciqfunctions.udf.CIQ(InputTicker, "IQ_MISC_ADJUST_CF",Input!L$2,Date,,,Ccy,Conv)</f>
        <v>0</v>
      </c>
      <c r="K238" s="4">
        <f>_xll.ciqfunctions.udf.CIQ(InputTicker, "IQ_MISC_ADJUST_CF",Input!M$2,Date,,,Ccy,Conv)</f>
        <v>0</v>
      </c>
      <c r="L238" s="4">
        <f>_xll.ciqfunctions.udf.CIQ(InputTicker, "IQ_MISC_ADJUST_CF",Input!N$2,Date,,,Ccy,Conv)</f>
        <v>0</v>
      </c>
      <c r="M238" s="4">
        <f>_xll.ciqfunctions.udf.CIQ(InputTicker, "IQ_MISC_ADJUST_CF",Input!O$2,Date,,,Ccy,Conv)</f>
        <v>0</v>
      </c>
      <c r="N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  <c r="BN238" s="42"/>
    </row>
    <row r="239" spans="1:66" ht="12.75" customHeight="1" thickBot="1" x14ac:dyDescent="0.25">
      <c r="A239" s="5" t="s">
        <v>121</v>
      </c>
      <c r="B239" s="9">
        <f>_xll.ciqfunctions.udf.CIQ(InputTicker, "IQ_NET_CHANGE",Input!D$2,Date,,,Ccy,Conv)</f>
        <v>-5.8540000000000001</v>
      </c>
      <c r="C239" s="9">
        <f>_xll.ciqfunctions.udf.CIQ(InputTicker, "IQ_NET_CHANGE",Input!E$2,Date,,,Ccy,Conv)</f>
        <v>20.379000000000001</v>
      </c>
      <c r="D239" s="9">
        <f>_xll.ciqfunctions.udf.CIQ(InputTicker, "IQ_NET_CHANGE",Input!F$2,Date,,,Ccy,Conv)</f>
        <v>-11.481999999999999</v>
      </c>
      <c r="E239" s="9">
        <f>_xll.ciqfunctions.udf.CIQ(InputTicker, "IQ_NET_CHANGE",Input!G$2,Date,,,Ccy,Conv)</f>
        <v>30.867000000000001</v>
      </c>
      <c r="F239" s="9">
        <f>_xll.ciqfunctions.udf.CIQ(InputTicker, "IQ_NET_CHANGE",Input!H$2,Date,,,Ccy,Conv)</f>
        <v>20.815999999999999</v>
      </c>
      <c r="G239" s="9">
        <f>_xll.ciqfunctions.udf.CIQ(InputTicker, "IQ_NET_CHANGE",Input!I$2,Date,,,Ccy,Conv)</f>
        <v>8.8829999999999991</v>
      </c>
      <c r="H239" s="9">
        <f>_xll.ciqfunctions.udf.CIQ(InputTicker, "IQ_NET_CHANGE",Input!J$2,Date,,,Ccy,Conv)</f>
        <v>-20.777999999999999</v>
      </c>
      <c r="I239" s="9">
        <f>_xll.ciqfunctions.udf.CIQ(InputTicker, "IQ_NET_CHANGE",Input!K$2,Date,,,Ccy,Conv)</f>
        <v>1.732</v>
      </c>
      <c r="J239" s="9">
        <f>_xll.ciqfunctions.udf.CIQ(InputTicker, "IQ_NET_CHANGE",Input!L$2,Date,,,Ccy,Conv)</f>
        <v>233.74</v>
      </c>
      <c r="K239" s="9">
        <f>_xll.ciqfunctions.udf.CIQ(InputTicker, "IQ_NET_CHANGE",Input!M$2,Date,,,Ccy,Conv)</f>
        <v>-54.945999999999998</v>
      </c>
      <c r="L239" s="9">
        <f>_xll.ciqfunctions.udf.CIQ(InputTicker, "IQ_NET_CHANGE",Input!N$2,Date,,,Ccy,Conv)</f>
        <v>262.541</v>
      </c>
      <c r="M239" s="9">
        <f>_xll.ciqfunctions.udf.CIQ(InputTicker, "IQ_NET_CHANGE",Input!O$2,Date,,,Ccy,Conv)</f>
        <v>232.09399999999999</v>
      </c>
      <c r="N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</row>
    <row r="240" spans="1:66" ht="12.75" customHeight="1" thickTop="1" x14ac:dyDescent="0.2">
      <c r="A240" s="1" t="s">
        <v>317</v>
      </c>
      <c r="B240" s="18">
        <f>_xll.ciqfunctions.udf.CIQ(InputTicker,"IQ_PERIODLENGTH_CF",Input!D$2,Date)</f>
        <v>12</v>
      </c>
      <c r="C240" s="18">
        <f>_xll.ciqfunctions.udf.CIQ(InputTicker,"IQ_PERIODLENGTH_CF",Input!E$2,Date)</f>
        <v>12</v>
      </c>
      <c r="D240" s="18">
        <f>_xll.ciqfunctions.udf.CIQ(InputTicker,"IQ_PERIODLENGTH_CF",Input!F$2,Date)</f>
        <v>12</v>
      </c>
      <c r="E240" s="18">
        <f>_xll.ciqfunctions.udf.CIQ(InputTicker,"IQ_PERIODLENGTH_CF",Input!G$2,Date)</f>
        <v>12</v>
      </c>
      <c r="F240" s="18">
        <f>_xll.ciqfunctions.udf.CIQ(InputTicker,"IQ_PERIODLENGTH_CF",Input!H$2,Date)</f>
        <v>12</v>
      </c>
      <c r="G240" s="18">
        <f>_xll.ciqfunctions.udf.CIQ(InputTicker,"IQ_PERIODLENGTH_CF",Input!I$2,Date)</f>
        <v>12</v>
      </c>
      <c r="H240" s="18">
        <f>_xll.ciqfunctions.udf.CIQ(InputTicker,"IQ_PERIODLENGTH_CF",Input!J$2,Date)</f>
        <v>12</v>
      </c>
      <c r="I240" s="18">
        <f>_xll.ciqfunctions.udf.CIQ(InputTicker,"IQ_PERIODLENGTH_CF",Input!K$2,Date)</f>
        <v>12</v>
      </c>
      <c r="J240" s="18">
        <f>_xll.ciqfunctions.udf.CIQ(InputTicker,"IQ_PERIODLENGTH_CF",Input!L$2,Date)</f>
        <v>12</v>
      </c>
      <c r="K240" s="18">
        <f>_xll.ciqfunctions.udf.CIQ(InputTicker,"IQ_PERIODLENGTH_CF",Input!M$2,Date)</f>
        <v>12</v>
      </c>
      <c r="L240" s="18">
        <f>_xll.ciqfunctions.udf.CIQ(InputTicker,"IQ_PERIODLENGTH_CF",Input!N$2,Date)</f>
        <v>12</v>
      </c>
      <c r="M240" s="18">
        <f>_xll.ciqfunctions.udf.CIQ(InputTicker,"IQ_PERIODLENGTH_CF",Input!O$2,Date)</f>
        <v>12</v>
      </c>
      <c r="N240" s="49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  <c r="BM240" s="42"/>
      <c r="BN240" s="42"/>
    </row>
    <row r="241" spans="1:66" ht="12.75" customHeight="1" x14ac:dyDescent="0.2">
      <c r="A241" s="1" t="s">
        <v>5</v>
      </c>
      <c r="B241" s="4">
        <f>_xll.ciqfunctions.udf.CIQ(InputTicker, "IQ_DA_SUPPL_PARTIAL_CF",Input!D$2,Date,,,Ccy,Conv)</f>
        <v>0</v>
      </c>
      <c r="C241" s="4">
        <f>_xll.ciqfunctions.udf.CIQ(InputTicker, "IQ_DA_SUPPL_PARTIAL_CF",Input!E$2,Date,,,Ccy,Conv)</f>
        <v>0</v>
      </c>
      <c r="D241" s="4">
        <f>_xll.ciqfunctions.udf.CIQ(InputTicker, "IQ_DA_SUPPL_PARTIAL_CF",Input!F$2,Date,,,Ccy,Conv)</f>
        <v>0</v>
      </c>
      <c r="E241" s="4">
        <f>_xll.ciqfunctions.udf.CIQ(InputTicker, "IQ_DA_SUPPL_PARTIAL_CF",Input!G$2,Date,,,Ccy,Conv)</f>
        <v>0</v>
      </c>
      <c r="F241" s="4">
        <f>_xll.ciqfunctions.udf.CIQ(InputTicker, "IQ_DA_SUPPL_PARTIAL_CF",Input!H$2,Date,,,Ccy,Conv)</f>
        <v>0</v>
      </c>
      <c r="G241" s="4">
        <f>_xll.ciqfunctions.udf.CIQ(InputTicker, "IQ_DA_SUPPL_PARTIAL_CF",Input!I$2,Date,,,Ccy,Conv)</f>
        <v>0</v>
      </c>
      <c r="H241" s="4">
        <f>_xll.ciqfunctions.udf.CIQ(InputTicker, "IQ_DA_SUPPL_PARTIAL_CF",Input!J$2,Date,,,Ccy,Conv)</f>
        <v>0</v>
      </c>
      <c r="I241" s="4">
        <f>_xll.ciqfunctions.udf.CIQ(InputTicker, "IQ_DA_SUPPL_PARTIAL_CF",Input!K$2,Date,,,Ccy,Conv)</f>
        <v>0</v>
      </c>
      <c r="J241" s="4">
        <f>_xll.ciqfunctions.udf.CIQ(InputTicker, "IQ_DA_SUPPL_PARTIAL_CF",Input!L$2,Date,,,Ccy,Conv)</f>
        <v>0</v>
      </c>
      <c r="K241" s="4">
        <f>_xll.ciqfunctions.udf.CIQ(InputTicker, "IQ_DA_SUPPL_PARTIAL_CF",Input!M$2,Date,,,Ccy,Conv)</f>
        <v>0</v>
      </c>
      <c r="L241" s="4">
        <f>_xll.ciqfunctions.udf.CIQ(InputTicker, "IQ_DA_SUPPL_PARTIAL_CF",Input!N$2,Date,,,Ccy,Conv)</f>
        <v>0</v>
      </c>
      <c r="M241" s="4">
        <f>_xll.ciqfunctions.udf.CIQ(InputTicker, "IQ_DA_SUPPL_PARTIAL_CF",Input!O$2,Date,,,Ccy,Conv)</f>
        <v>0</v>
      </c>
      <c r="N241" s="49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  <c r="BN241" s="42"/>
    </row>
    <row r="242" spans="1:66" ht="12.75" customHeight="1" x14ac:dyDescent="0.2">
      <c r="A242" s="1" t="s">
        <v>6</v>
      </c>
      <c r="B242" s="4">
        <f>_xll.ciqfunctions.udf.CIQ(InputTicker, "IQ_GW_INTAN_AMORT_PARTIAL_CF",Input!D$2,Date,,,Ccy,Conv)</f>
        <v>0</v>
      </c>
      <c r="C242" s="4">
        <f>_xll.ciqfunctions.udf.CIQ(InputTicker, "IQ_GW_INTAN_AMORT_PARTIAL_CF",Input!E$2,Date,,,Ccy,Conv)</f>
        <v>0</v>
      </c>
      <c r="D242" s="4">
        <f>_xll.ciqfunctions.udf.CIQ(InputTicker, "IQ_GW_INTAN_AMORT_PARTIAL_CF",Input!F$2,Date,,,Ccy,Conv)</f>
        <v>0</v>
      </c>
      <c r="E242" s="4">
        <f>_xll.ciqfunctions.udf.CIQ(InputTicker, "IQ_GW_INTAN_AMORT_PARTIAL_CF",Input!G$2,Date,,,Ccy,Conv)</f>
        <v>0</v>
      </c>
      <c r="F242" s="4">
        <f>_xll.ciqfunctions.udf.CIQ(InputTicker, "IQ_GW_INTAN_AMORT_PARTIAL_CF",Input!H$2,Date,,,Ccy,Conv)</f>
        <v>0</v>
      </c>
      <c r="G242" s="4">
        <f>_xll.ciqfunctions.udf.CIQ(InputTicker, "IQ_GW_INTAN_AMORT_PARTIAL_CF",Input!I$2,Date,,,Ccy,Conv)</f>
        <v>0</v>
      </c>
      <c r="H242" s="4">
        <f>_xll.ciqfunctions.udf.CIQ(InputTicker, "IQ_GW_INTAN_AMORT_PARTIAL_CF",Input!J$2,Date,,,Ccy,Conv)</f>
        <v>0</v>
      </c>
      <c r="I242" s="4">
        <f>_xll.ciqfunctions.udf.CIQ(InputTicker, "IQ_GW_INTAN_AMORT_PARTIAL_CF",Input!K$2,Date,,,Ccy,Conv)</f>
        <v>0</v>
      </c>
      <c r="J242" s="4">
        <f>_xll.ciqfunctions.udf.CIQ(InputTicker, "IQ_GW_INTAN_AMORT_PARTIAL_CF",Input!L$2,Date,,,Ccy,Conv)</f>
        <v>0</v>
      </c>
      <c r="K242" s="4">
        <f>_xll.ciqfunctions.udf.CIQ(InputTicker, "IQ_GW_INTAN_AMORT_PARTIAL_CF",Input!M$2,Date,,,Ccy,Conv)</f>
        <v>0</v>
      </c>
      <c r="L242" s="4">
        <f>_xll.ciqfunctions.udf.CIQ(InputTicker, "IQ_GW_INTAN_AMORT_PARTIAL_CF",Input!N$2,Date,,,Ccy,Conv)</f>
        <v>0</v>
      </c>
      <c r="M242" s="4">
        <f>_xll.ciqfunctions.udf.CIQ(InputTicker, "IQ_GW_INTAN_AMORT_PARTIAL_CF",Input!O$2,Date,,,Ccy,Conv)</f>
        <v>0</v>
      </c>
      <c r="N242" s="49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  <c r="BM242" s="42"/>
      <c r="BN242" s="42"/>
    </row>
    <row r="243" spans="1:66" ht="12.75" customHeight="1" x14ac:dyDescent="0.2">
      <c r="A243" s="1" t="s">
        <v>349</v>
      </c>
      <c r="B243" s="4">
        <f>_xll.ciqfunctions.udf.CIQ(InputTicker, "IQ_DEPRE_SUPP",Input!D$2,Date,,,Ccy,Conv)</f>
        <v>37.299999999999997</v>
      </c>
      <c r="C243" s="4">
        <f>_xll.ciqfunctions.udf.CIQ(InputTicker, "IQ_DEPRE_SUPP",Input!E$2,Date,,,Ccy,Conv)</f>
        <v>41.4</v>
      </c>
      <c r="D243" s="4">
        <f>_xll.ciqfunctions.udf.CIQ(InputTicker, "IQ_DEPRE_SUPP",Input!F$2,Date,,,Ccy,Conv)</f>
        <v>48.8</v>
      </c>
      <c r="E243" s="4">
        <f>_xll.ciqfunctions.udf.CIQ(InputTicker, "IQ_DEPRE_SUPP",Input!G$2,Date,,,Ccy,Conv)</f>
        <v>51.1</v>
      </c>
      <c r="F243" s="4">
        <f>_xll.ciqfunctions.udf.CIQ(InputTicker, "IQ_DEPRE_SUPP",Input!H$2,Date,,,Ccy,Conv)</f>
        <v>0</v>
      </c>
      <c r="G243" s="4">
        <f>_xll.ciqfunctions.udf.CIQ(InputTicker, "IQ_DEPRE_SUPP",Input!I$2,Date,,,Ccy,Conv)</f>
        <v>0</v>
      </c>
      <c r="H243" s="4">
        <f>_xll.ciqfunctions.udf.CIQ(InputTicker, "IQ_DEPRE_SUPP",Input!J$2,Date,,,Ccy,Conv)</f>
        <v>56.5</v>
      </c>
      <c r="I243" s="4">
        <f>_xll.ciqfunctions.udf.CIQ(InputTicker, "IQ_DEPRE_SUPP",Input!K$2,Date,,,Ccy,Conv)</f>
        <v>65.8</v>
      </c>
      <c r="J243" s="4">
        <f>_xll.ciqfunctions.udf.CIQ(InputTicker, "IQ_DEPRE_SUPP",Input!L$2,Date,,,Ccy,Conv)</f>
        <v>69.400000000000006</v>
      </c>
      <c r="K243" s="4">
        <f>_xll.ciqfunctions.udf.CIQ(InputTicker, "IQ_DEPRE_SUPP",Input!M$2,Date,,,Ccy,Conv)</f>
        <v>77.2</v>
      </c>
      <c r="L243" s="4">
        <f>_xll.ciqfunctions.udf.CIQ(InputTicker, "IQ_DEPRE_SUPP",Input!N$2,Date,,,Ccy,Conv)</f>
        <v>91.1</v>
      </c>
      <c r="M243" s="4">
        <f>_xll.ciqfunctions.udf.CIQ(InputTicker, "IQ_DEPRE_SUPP",Input!O$2,Date,,,Ccy,Conv)</f>
        <v>91.1</v>
      </c>
      <c r="N243" s="49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  <c r="BN243" s="42"/>
    </row>
    <row r="244" spans="1:66" ht="12.75" customHeight="1" x14ac:dyDescent="0.2">
      <c r="A244" s="1" t="s">
        <v>31</v>
      </c>
      <c r="B244" s="4">
        <f>_xll.ciqfunctions.udf.CIQ(InputTicker, "IQ_DEPRECIATION_RENTAL_ASSETS_CF",Input!D$2,Date,,,Ccy,Conv)</f>
        <v>0</v>
      </c>
      <c r="C244" s="4">
        <f>_xll.ciqfunctions.udf.CIQ(InputTicker, "IQ_DEPRECIATION_RENTAL_ASSETS_CF",Input!E$2,Date,,,Ccy,Conv)</f>
        <v>0</v>
      </c>
      <c r="D244" s="4">
        <f>_xll.ciqfunctions.udf.CIQ(InputTicker, "IQ_DEPRECIATION_RENTAL_ASSETS_CF",Input!F$2,Date,,,Ccy,Conv)</f>
        <v>0</v>
      </c>
      <c r="E244" s="4">
        <f>_xll.ciqfunctions.udf.CIQ(InputTicker, "IQ_DEPRECIATION_RENTAL_ASSETS_CF",Input!G$2,Date,,,Ccy,Conv)</f>
        <v>0</v>
      </c>
      <c r="F244" s="4">
        <f>_xll.ciqfunctions.udf.CIQ(InputTicker, "IQ_DEPRECIATION_RENTAL_ASSETS_CF",Input!H$2,Date,,,Ccy,Conv)</f>
        <v>0</v>
      </c>
      <c r="G244" s="4">
        <f>_xll.ciqfunctions.udf.CIQ(InputTicker, "IQ_DEPRECIATION_RENTAL_ASSETS_CF",Input!I$2,Date,,,Ccy,Conv)</f>
        <v>0</v>
      </c>
      <c r="H244" s="4">
        <f>_xll.ciqfunctions.udf.CIQ(InputTicker, "IQ_DEPRECIATION_RENTAL_ASSETS_CF",Input!J$2,Date,,,Ccy,Conv)</f>
        <v>0</v>
      </c>
      <c r="I244" s="4">
        <f>_xll.ciqfunctions.udf.CIQ(InputTicker, "IQ_DEPRECIATION_RENTAL_ASSETS_CF",Input!K$2,Date,,,Ccy,Conv)</f>
        <v>0</v>
      </c>
      <c r="J244" s="4">
        <f>_xll.ciqfunctions.udf.CIQ(InputTicker, "IQ_DEPRECIATION_RENTAL_ASSETS_CF",Input!L$2,Date,,,Ccy,Conv)</f>
        <v>0</v>
      </c>
      <c r="K244" s="4">
        <f>_xll.ciqfunctions.udf.CIQ(InputTicker, "IQ_DEPRECIATION_RENTAL_ASSETS_CF",Input!M$2,Date,,,Ccy,Conv)</f>
        <v>0</v>
      </c>
      <c r="L244" s="4">
        <f>_xll.ciqfunctions.udf.CIQ(InputTicker, "IQ_DEPRECIATION_RENTAL_ASSETS_CF",Input!N$2,Date,,,Ccy,Conv)</f>
        <v>0</v>
      </c>
      <c r="M244" s="4">
        <f>_xll.ciqfunctions.udf.CIQ(InputTicker, "IQ_DEPRECIATION_RENTAL_ASSETS_CF",Input!O$2,Date,,,Ccy,Conv)</f>
        <v>0</v>
      </c>
      <c r="N244" s="49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  <c r="BM244" s="42"/>
      <c r="BN244" s="42"/>
    </row>
    <row r="245" spans="1:66" ht="12.75" customHeight="1" x14ac:dyDescent="0.2">
      <c r="A245" s="1" t="s">
        <v>445</v>
      </c>
      <c r="B245" s="4">
        <f>_xll.ciqfunctions.udf.CIQ(InputTicker, "IQ_DEP_RUA",Input!D$2,Date,,,Ccy,Conv)</f>
        <v>0</v>
      </c>
      <c r="C245" s="4">
        <f>_xll.ciqfunctions.udf.CIQ(InputTicker, "IQ_DEP_RUA",Input!E$2,Date,,,Ccy,Conv)</f>
        <v>0</v>
      </c>
      <c r="D245" s="4">
        <f>_xll.ciqfunctions.udf.CIQ(InputTicker, "IQ_DEP_RUA",Input!F$2,Date,,,Ccy,Conv)</f>
        <v>0</v>
      </c>
      <c r="E245" s="4">
        <f>_xll.ciqfunctions.udf.CIQ(InputTicker, "IQ_DEP_RUA",Input!G$2,Date,,,Ccy,Conv)</f>
        <v>0</v>
      </c>
      <c r="F245" s="4">
        <f>_xll.ciqfunctions.udf.CIQ(InputTicker, "IQ_DEP_RUA",Input!H$2,Date,,,Ccy,Conv)</f>
        <v>0</v>
      </c>
      <c r="G245" s="4">
        <f>_xll.ciqfunctions.udf.CIQ(InputTicker, "IQ_DEP_RUA",Input!I$2,Date,,,Ccy,Conv)</f>
        <v>0</v>
      </c>
      <c r="H245" s="4">
        <f>_xll.ciqfunctions.udf.CIQ(InputTicker, "IQ_DEP_RUA",Input!J$2,Date,,,Ccy,Conv)</f>
        <v>0</v>
      </c>
      <c r="I245" s="4">
        <f>_xll.ciqfunctions.udf.CIQ(InputTicker, "IQ_DEP_RUA",Input!K$2,Date,,,Ccy,Conv)</f>
        <v>0</v>
      </c>
      <c r="J245" s="4">
        <f>_xll.ciqfunctions.udf.CIQ(InputTicker, "IQ_DEP_RUA",Input!L$2,Date,,,Ccy,Conv)</f>
        <v>0</v>
      </c>
      <c r="K245" s="4">
        <f>_xll.ciqfunctions.udf.CIQ(InputTicker, "IQ_DEP_RUA",Input!M$2,Date,,,Ccy,Conv)</f>
        <v>0</v>
      </c>
      <c r="L245" s="4">
        <f>_xll.ciqfunctions.udf.CIQ(InputTicker, "IQ_DEP_RUA",Input!N$2,Date,,,Ccy,Conv)</f>
        <v>0</v>
      </c>
      <c r="M245" s="4">
        <f>_xll.ciqfunctions.udf.CIQ(InputTicker, "IQ_DEP_RUA",Input!O$2,Date,,,Ccy,Conv)</f>
        <v>0</v>
      </c>
      <c r="N245" s="49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  <c r="BM245" s="42"/>
      <c r="BN245" s="42"/>
    </row>
    <row r="246" spans="1:66" ht="12.75" customHeight="1" x14ac:dyDescent="0.2">
      <c r="A246" s="1" t="s">
        <v>466</v>
      </c>
      <c r="B246" s="4">
        <f>_xll.ciqfunctions.udf.CIQ(InputTicker, "IQ_DA_SUPPL_CF_EXCL_OPER_LEASES",Input!D$2,Date,,,Ccy,Conv)</f>
        <v>37.808</v>
      </c>
      <c r="C246" s="4">
        <f>_xll.ciqfunctions.udf.CIQ(InputTicker, "IQ_DA_SUPPL_CF_EXCL_OPER_LEASES",Input!E$2,Date,,,Ccy,Conv)</f>
        <v>41.991999999999997</v>
      </c>
      <c r="D246" s="4">
        <f>_xll.ciqfunctions.udf.CIQ(InputTicker, "IQ_DA_SUPPL_CF_EXCL_OPER_LEASES",Input!F$2,Date,,,Ccy,Conv)</f>
        <v>46.912999999999997</v>
      </c>
      <c r="E246" s="4">
        <f>_xll.ciqfunctions.udf.CIQ(InputTicker, "IQ_DA_SUPPL_CF_EXCL_OPER_LEASES",Input!G$2,Date,,,Ccy,Conv)</f>
        <v>51.225999999999999</v>
      </c>
      <c r="F246" s="4">
        <f>_xll.ciqfunctions.udf.CIQ(InputTicker, "IQ_DA_SUPPL_CF_EXCL_OPER_LEASES",Input!H$2,Date,,,Ccy,Conv)</f>
        <v>51.85</v>
      </c>
      <c r="G246" s="4">
        <f>_xll.ciqfunctions.udf.CIQ(InputTicker, "IQ_DA_SUPPL_CF_EXCL_OPER_LEASES",Input!I$2,Date,,,Ccy,Conv)</f>
        <v>55.203000000000003</v>
      </c>
      <c r="H246" s="4">
        <f>_xll.ciqfunctions.udf.CIQ(InputTicker, "IQ_DA_SUPPL_CF_EXCL_OPER_LEASES",Input!J$2,Date,,,Ccy,Conv)</f>
        <v>59.476999999999997</v>
      </c>
      <c r="I246" s="4">
        <f>_xll.ciqfunctions.udf.CIQ(InputTicker, "IQ_DA_SUPPL_CF_EXCL_OPER_LEASES",Input!K$2,Date,,,Ccy,Conv)</f>
        <v>68.394999999999996</v>
      </c>
      <c r="J246" s="4">
        <f>_xll.ciqfunctions.udf.CIQ(InputTicker, "IQ_DA_SUPPL_CF_EXCL_OPER_LEASES",Input!L$2,Date,,,Ccy,Conv)</f>
        <v>70</v>
      </c>
      <c r="K246" s="4">
        <f>_xll.ciqfunctions.udf.CIQ(InputTicker, "IQ_DA_SUPPL_CF_EXCL_OPER_LEASES",Input!M$2,Date,,,Ccy,Conv)</f>
        <v>78.067999999999998</v>
      </c>
      <c r="L246" s="4">
        <f>_xll.ciqfunctions.udf.CIQ(InputTicker, "IQ_DA_SUPPL_CF_EXCL_OPER_LEASES",Input!N$2,Date,,,Ccy,Conv)</f>
        <v>91.863</v>
      </c>
      <c r="M246" s="4">
        <f>_xll.ciqfunctions.udf.CIQ(InputTicker, "IQ_DA_SUPPL_CF_EXCL_OPER_LEASES",Input!O$2,Date,,,Ccy,Conv)</f>
        <v>105.81399999999999</v>
      </c>
      <c r="N246" s="49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  <c r="BM246" s="42"/>
      <c r="BN246" s="42"/>
    </row>
    <row r="247" spans="1:66" ht="12.75" customHeight="1" x14ac:dyDescent="0.2">
      <c r="A247" s="1" t="s">
        <v>467</v>
      </c>
      <c r="B247" s="4">
        <f>_xll.ciqfunctions.udf.CIQ(InputTicker, "IQ_DA_CF_EXCL_OPER_LEASES",Input!D$2,Date,,,Ccy,Conv)</f>
        <v>40.707999999999998</v>
      </c>
      <c r="C247" s="4">
        <f>_xll.ciqfunctions.udf.CIQ(InputTicker, "IQ_DA_CF_EXCL_OPER_LEASES",Input!E$2,Date,,,Ccy,Conv)</f>
        <v>44.591999999999999</v>
      </c>
      <c r="D247" s="4">
        <f>_xll.ciqfunctions.udf.CIQ(InputTicker, "IQ_DA_CF_EXCL_OPER_LEASES",Input!F$2,Date,,,Ccy,Conv)</f>
        <v>49.113</v>
      </c>
      <c r="E247" s="4">
        <f>_xll.ciqfunctions.udf.CIQ(InputTicker, "IQ_DA_CF_EXCL_OPER_LEASES",Input!G$2,Date,,,Ccy,Conv)</f>
        <v>54.026000000000003</v>
      </c>
      <c r="F247" s="4">
        <f>_xll.ciqfunctions.udf.CIQ(InputTicker, "IQ_DA_CF_EXCL_OPER_LEASES",Input!H$2,Date,,,Ccy,Conv)</f>
        <v>54.65</v>
      </c>
      <c r="G247" s="4">
        <f>_xll.ciqfunctions.udf.CIQ(InputTicker, "IQ_DA_CF_EXCL_OPER_LEASES",Input!I$2,Date,,,Ccy,Conv)</f>
        <v>58.103000000000002</v>
      </c>
      <c r="H247" s="4">
        <f>_xll.ciqfunctions.udf.CIQ(InputTicker, "IQ_DA_CF_EXCL_OPER_LEASES",Input!J$2,Date,,,Ccy,Conv)</f>
        <v>59.476999999999997</v>
      </c>
      <c r="I247" s="4">
        <f>_xll.ciqfunctions.udf.CIQ(InputTicker, "IQ_DA_CF_EXCL_OPER_LEASES",Input!K$2,Date,,,Ccy,Conv)</f>
        <v>68.394999999999996</v>
      </c>
      <c r="J247" s="4">
        <f>_xll.ciqfunctions.udf.CIQ(InputTicker, "IQ_DA_CF_EXCL_OPER_LEASES",Input!L$2,Date,,,Ccy,Conv)</f>
        <v>72.233999999999995</v>
      </c>
      <c r="K247" s="4">
        <f>_xll.ciqfunctions.udf.CIQ(InputTicker, "IQ_DA_CF_EXCL_OPER_LEASES",Input!M$2,Date,,,Ccy,Conv)</f>
        <v>80.241</v>
      </c>
      <c r="L247" s="4">
        <f>_xll.ciqfunctions.udf.CIQ(InputTicker, "IQ_DA_CF_EXCL_OPER_LEASES",Input!N$2,Date,,,Ccy,Conv)</f>
        <v>94.021000000000001</v>
      </c>
      <c r="M247" s="4">
        <f>_xll.ciqfunctions.udf.CIQ(InputTicker, "IQ_DA_CF_EXCL_OPER_LEASES",Input!O$2,Date,,,Ccy,Conv)</f>
        <v>107.97199999999999</v>
      </c>
      <c r="N247" s="49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  <c r="BM247" s="42"/>
      <c r="BN247" s="42"/>
    </row>
    <row r="248" spans="1:66" ht="12.75" customHeight="1" x14ac:dyDescent="0.2">
      <c r="A248" s="1" t="s">
        <v>40</v>
      </c>
      <c r="B248" s="4">
        <f>_xll.ciqfunctions.udf.CIQ(InputTicker, "IQ_NEGATIVE_GW_AMORT_CF",Input!D$2,Date,,,Ccy,Conv)</f>
        <v>0</v>
      </c>
      <c r="C248" s="4">
        <f>_xll.ciqfunctions.udf.CIQ(InputTicker, "IQ_NEGATIVE_GW_AMORT_CF",Input!E$2,Date,,,Ccy,Conv)</f>
        <v>0</v>
      </c>
      <c r="D248" s="4">
        <f>_xll.ciqfunctions.udf.CIQ(InputTicker, "IQ_NEGATIVE_GW_AMORT_CF",Input!F$2,Date,,,Ccy,Conv)</f>
        <v>0</v>
      </c>
      <c r="E248" s="4">
        <f>_xll.ciqfunctions.udf.CIQ(InputTicker, "IQ_NEGATIVE_GW_AMORT_CF",Input!G$2,Date,,,Ccy,Conv)</f>
        <v>0</v>
      </c>
      <c r="F248" s="4">
        <f>_xll.ciqfunctions.udf.CIQ(InputTicker, "IQ_NEGATIVE_GW_AMORT_CF",Input!H$2,Date,,,Ccy,Conv)</f>
        <v>0</v>
      </c>
      <c r="G248" s="4">
        <f>_xll.ciqfunctions.udf.CIQ(InputTicker, "IQ_NEGATIVE_GW_AMORT_CF",Input!I$2,Date,,,Ccy,Conv)</f>
        <v>0</v>
      </c>
      <c r="H248" s="4">
        <f>_xll.ciqfunctions.udf.CIQ(InputTicker, "IQ_NEGATIVE_GW_AMORT_CF",Input!J$2,Date,,,Ccy,Conv)</f>
        <v>0</v>
      </c>
      <c r="I248" s="4">
        <f>_xll.ciqfunctions.udf.CIQ(InputTicker, "IQ_NEGATIVE_GW_AMORT_CF",Input!K$2,Date,,,Ccy,Conv)</f>
        <v>0</v>
      </c>
      <c r="J248" s="4">
        <f>_xll.ciqfunctions.udf.CIQ(InputTicker, "IQ_NEGATIVE_GW_AMORT_CF",Input!L$2,Date,,,Ccy,Conv)</f>
        <v>0</v>
      </c>
      <c r="K248" s="4">
        <f>_xll.ciqfunctions.udf.CIQ(InputTicker, "IQ_NEGATIVE_GW_AMORT_CF",Input!M$2,Date,,,Ccy,Conv)</f>
        <v>0</v>
      </c>
      <c r="L248" s="4">
        <f>_xll.ciqfunctions.udf.CIQ(InputTicker, "IQ_NEGATIVE_GW_AMORT_CF",Input!N$2,Date,,,Ccy,Conv)</f>
        <v>0</v>
      </c>
      <c r="M248" s="4">
        <f>_xll.ciqfunctions.udf.CIQ(InputTicker, "IQ_NEGATIVE_GW_AMORT_CF",Input!O$2,Date,,,Ccy,Conv)</f>
        <v>0</v>
      </c>
      <c r="N248" s="49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  <c r="BN248" s="42"/>
    </row>
    <row r="249" spans="1:66" ht="12.75" customHeight="1" x14ac:dyDescent="0.2">
      <c r="A249" s="1" t="s">
        <v>439</v>
      </c>
      <c r="B249" s="4">
        <f>_xll.ciqfunctions.udf.CIQ(InputTicker, "IQ_AMORT_DIC_CF",Input!D$2,Date,,,Ccy,Conv)</f>
        <v>0</v>
      </c>
      <c r="C249" s="4">
        <f>_xll.ciqfunctions.udf.CIQ(InputTicker, "IQ_AMORT_DIC_CF",Input!E$2,Date,,,Ccy,Conv)</f>
        <v>0</v>
      </c>
      <c r="D249" s="4">
        <f>_xll.ciqfunctions.udf.CIQ(InputTicker, "IQ_AMORT_DIC_CF",Input!F$2,Date,,,Ccy,Conv)</f>
        <v>0</v>
      </c>
      <c r="E249" s="4">
        <f>_xll.ciqfunctions.udf.CIQ(InputTicker, "IQ_AMORT_DIC_CF",Input!G$2,Date,,,Ccy,Conv)</f>
        <v>0</v>
      </c>
      <c r="F249" s="4">
        <f>_xll.ciqfunctions.udf.CIQ(InputTicker, "IQ_AMORT_DIC_CF",Input!H$2,Date,,,Ccy,Conv)</f>
        <v>0</v>
      </c>
      <c r="G249" s="4">
        <f>_xll.ciqfunctions.udf.CIQ(InputTicker, "IQ_AMORT_DIC_CF",Input!I$2,Date,,,Ccy,Conv)</f>
        <v>0</v>
      </c>
      <c r="H249" s="4">
        <f>_xll.ciqfunctions.udf.CIQ(InputTicker, "IQ_AMORT_DIC_CF",Input!J$2,Date,,,Ccy,Conv)</f>
        <v>0</v>
      </c>
      <c r="I249" s="4">
        <f>_xll.ciqfunctions.udf.CIQ(InputTicker, "IQ_AMORT_DIC_CF",Input!K$2,Date,,,Ccy,Conv)</f>
        <v>0</v>
      </c>
      <c r="J249" s="4">
        <f>_xll.ciqfunctions.udf.CIQ(InputTicker, "IQ_AMORT_DIC_CF",Input!L$2,Date,,,Ccy,Conv)</f>
        <v>0</v>
      </c>
      <c r="K249" s="4">
        <f>_xll.ciqfunctions.udf.CIQ(InputTicker, "IQ_AMORT_DIC_CF",Input!M$2,Date,,,Ccy,Conv)</f>
        <v>0</v>
      </c>
      <c r="L249" s="4">
        <f>_xll.ciqfunctions.udf.CIQ(InputTicker, "IQ_AMORT_DIC_CF",Input!N$2,Date,,,Ccy,Conv)</f>
        <v>0</v>
      </c>
      <c r="M249" s="4">
        <f>_xll.ciqfunctions.udf.CIQ(InputTicker, "IQ_AMORT_DIC_CF",Input!O$2,Date,,,Ccy,Conv)</f>
        <v>0</v>
      </c>
      <c r="N249" s="49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  <c r="BM249" s="42"/>
      <c r="BN249" s="42"/>
    </row>
    <row r="250" spans="1:66" ht="12.75" customHeight="1" x14ac:dyDescent="0.2">
      <c r="A250" s="1" t="s">
        <v>440</v>
      </c>
      <c r="B250" s="4">
        <f>_xll.ciqfunctions.udf.CIQ(InputTicker, "IQ_AMORT_SOFTWARE_ASSETS_CF",Input!D$2,Date,,,Ccy,Conv)</f>
        <v>0</v>
      </c>
      <c r="C250" s="4">
        <f>_xll.ciqfunctions.udf.CIQ(InputTicker, "IQ_AMORT_SOFTWARE_ASSETS_CF",Input!E$2,Date,,,Ccy,Conv)</f>
        <v>0</v>
      </c>
      <c r="D250" s="4">
        <f>_xll.ciqfunctions.udf.CIQ(InputTicker, "IQ_AMORT_SOFTWARE_ASSETS_CF",Input!F$2,Date,,,Ccy,Conv)</f>
        <v>0</v>
      </c>
      <c r="E250" s="4">
        <f>_xll.ciqfunctions.udf.CIQ(InputTicker, "IQ_AMORT_SOFTWARE_ASSETS_CF",Input!G$2,Date,,,Ccy,Conv)</f>
        <v>0</v>
      </c>
      <c r="F250" s="4">
        <f>_xll.ciqfunctions.udf.CIQ(InputTicker, "IQ_AMORT_SOFTWARE_ASSETS_CF",Input!H$2,Date,,,Ccy,Conv)</f>
        <v>0</v>
      </c>
      <c r="G250" s="4">
        <f>_xll.ciqfunctions.udf.CIQ(InputTicker, "IQ_AMORT_SOFTWARE_ASSETS_CF",Input!I$2,Date,,,Ccy,Conv)</f>
        <v>0</v>
      </c>
      <c r="H250" s="4">
        <f>_xll.ciqfunctions.udf.CIQ(InputTicker, "IQ_AMORT_SOFTWARE_ASSETS_CF",Input!J$2,Date,,,Ccy,Conv)</f>
        <v>0</v>
      </c>
      <c r="I250" s="4">
        <f>_xll.ciqfunctions.udf.CIQ(InputTicker, "IQ_AMORT_SOFTWARE_ASSETS_CF",Input!K$2,Date,,,Ccy,Conv)</f>
        <v>0</v>
      </c>
      <c r="J250" s="4">
        <f>_xll.ciqfunctions.udf.CIQ(InputTicker, "IQ_AMORT_SOFTWARE_ASSETS_CF",Input!L$2,Date,,,Ccy,Conv)</f>
        <v>0</v>
      </c>
      <c r="K250" s="4">
        <f>_xll.ciqfunctions.udf.CIQ(InputTicker, "IQ_AMORT_SOFTWARE_ASSETS_CF",Input!M$2,Date,,,Ccy,Conv)</f>
        <v>0</v>
      </c>
      <c r="L250" s="4">
        <f>_xll.ciqfunctions.udf.CIQ(InputTicker, "IQ_AMORT_SOFTWARE_ASSETS_CF",Input!N$2,Date,,,Ccy,Conv)</f>
        <v>0</v>
      </c>
      <c r="M250" s="4">
        <f>_xll.ciqfunctions.udf.CIQ(InputTicker, "IQ_AMORT_SOFTWARE_ASSETS_CF",Input!O$2,Date,,,Ccy,Conv)</f>
        <v>0</v>
      </c>
      <c r="N250" s="49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</row>
    <row r="251" spans="1:66" ht="12.75" customHeight="1" x14ac:dyDescent="0.2">
      <c r="A251" s="1" t="s">
        <v>32</v>
      </c>
      <c r="B251" s="4">
        <f>_xll.ciqfunctions.udf.CIQ(InputTicker, "IQ_SALE_PROCEEDS_RENTAL_ASSETS",Input!D$2,Date,,,Ccy,Conv)</f>
        <v>0</v>
      </c>
      <c r="C251" s="4">
        <f>_xll.ciqfunctions.udf.CIQ(InputTicker, "IQ_SALE_PROCEEDS_RENTAL_ASSETS",Input!E$2,Date,,,Ccy,Conv)</f>
        <v>0</v>
      </c>
      <c r="D251" s="4">
        <f>_xll.ciqfunctions.udf.CIQ(InputTicker, "IQ_SALE_PROCEEDS_RENTAL_ASSETS",Input!F$2,Date,,,Ccy,Conv)</f>
        <v>0</v>
      </c>
      <c r="E251" s="4">
        <f>_xll.ciqfunctions.udf.CIQ(InputTicker, "IQ_SALE_PROCEEDS_RENTAL_ASSETS",Input!G$2,Date,,,Ccy,Conv)</f>
        <v>0</v>
      </c>
      <c r="F251" s="4">
        <f>_xll.ciqfunctions.udf.CIQ(InputTicker, "IQ_SALE_PROCEEDS_RENTAL_ASSETS",Input!H$2,Date,,,Ccy,Conv)</f>
        <v>0</v>
      </c>
      <c r="G251" s="4">
        <f>_xll.ciqfunctions.udf.CIQ(InputTicker, "IQ_SALE_PROCEEDS_RENTAL_ASSETS",Input!I$2,Date,,,Ccy,Conv)</f>
        <v>0</v>
      </c>
      <c r="H251" s="4">
        <f>_xll.ciqfunctions.udf.CIQ(InputTicker, "IQ_SALE_PROCEEDS_RENTAL_ASSETS",Input!J$2,Date,,,Ccy,Conv)</f>
        <v>0</v>
      </c>
      <c r="I251" s="4">
        <f>_xll.ciqfunctions.udf.CIQ(InputTicker, "IQ_SALE_PROCEEDS_RENTAL_ASSETS",Input!K$2,Date,,,Ccy,Conv)</f>
        <v>0</v>
      </c>
      <c r="J251" s="4">
        <f>_xll.ciqfunctions.udf.CIQ(InputTicker, "IQ_SALE_PROCEEDS_RENTAL_ASSETS",Input!L$2,Date,,,Ccy,Conv)</f>
        <v>0</v>
      </c>
      <c r="K251" s="4">
        <f>_xll.ciqfunctions.udf.CIQ(InputTicker, "IQ_SALE_PROCEEDS_RENTAL_ASSETS",Input!M$2,Date,,,Ccy,Conv)</f>
        <v>0</v>
      </c>
      <c r="L251" s="4">
        <f>_xll.ciqfunctions.udf.CIQ(InputTicker, "IQ_SALE_PROCEEDS_RENTAL_ASSETS",Input!N$2,Date,,,Ccy,Conv)</f>
        <v>0</v>
      </c>
      <c r="M251" s="4">
        <f>_xll.ciqfunctions.udf.CIQ(InputTicker, "IQ_SALE_PROCEEDS_RENTAL_ASSETS",Input!O$2,Date,,,Ccy,Conv)</f>
        <v>0</v>
      </c>
      <c r="N251" s="49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  <c r="BN251" s="42"/>
    </row>
    <row r="252" spans="1:66" ht="12.75" customHeight="1" x14ac:dyDescent="0.2">
      <c r="A252" s="1" t="s">
        <v>48</v>
      </c>
      <c r="B252" s="4">
        <f>_xll.ciqfunctions.udf.CIQ(InputTicker, "IQ_CASH_INTEREST",Input!D$2,Date,,,Ccy,Conv)</f>
        <v>2.3130000000000002</v>
      </c>
      <c r="C252" s="4">
        <f>_xll.ciqfunctions.udf.CIQ(InputTicker, "IQ_CASH_INTEREST",Input!E$2,Date,,,Ccy,Conv)</f>
        <v>1.0669999999999999</v>
      </c>
      <c r="D252" s="4">
        <f>_xll.ciqfunctions.udf.CIQ(InputTicker, "IQ_CASH_INTEREST",Input!F$2,Date,,,Ccy,Conv)</f>
        <v>0.317</v>
      </c>
      <c r="E252" s="4">
        <f>_xll.ciqfunctions.udf.CIQ(InputTicker, "IQ_CASH_INTEREST",Input!G$2,Date,,,Ccy,Conv)</f>
        <v>0.26500000000000001</v>
      </c>
      <c r="F252" s="4">
        <f>_xll.ciqfunctions.udf.CIQ(InputTicker, "IQ_CASH_INTEREST",Input!H$2,Date,,,Ccy,Conv)</f>
        <v>0.64400000000000002</v>
      </c>
      <c r="G252" s="4">
        <f>_xll.ciqfunctions.udf.CIQ(InputTicker, "IQ_CASH_INTEREST",Input!I$2,Date,,,Ccy,Conv)</f>
        <v>0.498</v>
      </c>
      <c r="H252" s="4">
        <f>_xll.ciqfunctions.udf.CIQ(InputTicker, "IQ_CASH_INTEREST",Input!J$2,Date,,,Ccy,Conv)</f>
        <v>0.50800000000000001</v>
      </c>
      <c r="I252" s="4">
        <f>_xll.ciqfunctions.udf.CIQ(InputTicker, "IQ_CASH_INTEREST",Input!K$2,Date,,,Ccy,Conv)</f>
        <v>0</v>
      </c>
      <c r="J252" s="4">
        <f>_xll.ciqfunctions.udf.CIQ(InputTicker, "IQ_CASH_INTEREST",Input!L$2,Date,,,Ccy,Conv)</f>
        <v>0</v>
      </c>
      <c r="K252" s="4">
        <f>_xll.ciqfunctions.udf.CIQ(InputTicker, "IQ_CASH_INTEREST",Input!M$2,Date,,,Ccy,Conv)</f>
        <v>0</v>
      </c>
      <c r="L252" s="4">
        <f>_xll.ciqfunctions.udf.CIQ(InputTicker, "IQ_CASH_INTEREST",Input!N$2,Date,,,Ccy,Conv)</f>
        <v>0</v>
      </c>
      <c r="M252" s="4">
        <f>_xll.ciqfunctions.udf.CIQ(InputTicker, "IQ_CASH_INTEREST",Input!O$2,Date,,,Ccy,Conv)</f>
        <v>0</v>
      </c>
      <c r="N252" s="49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  <c r="BM252" s="42"/>
      <c r="BN252" s="42"/>
    </row>
    <row r="253" spans="1:66" ht="12.75" customHeight="1" x14ac:dyDescent="0.2">
      <c r="A253" s="1" t="s">
        <v>409</v>
      </c>
      <c r="B253" s="4">
        <f>_xll.ciqfunctions.udf.CIQ(InputTicker, "IQ_CASH_INTEREST_NET",Input!D$2,Date,,,Ccy,Conv)</f>
        <v>0</v>
      </c>
      <c r="C253" s="4">
        <f>_xll.ciqfunctions.udf.CIQ(InputTicker, "IQ_CASH_INTEREST_NET",Input!E$2,Date,,,Ccy,Conv)</f>
        <v>0</v>
      </c>
      <c r="D253" s="4">
        <f>_xll.ciqfunctions.udf.CIQ(InputTicker, "IQ_CASH_INTEREST_NET",Input!F$2,Date,,,Ccy,Conv)</f>
        <v>0</v>
      </c>
      <c r="E253" s="4">
        <f>_xll.ciqfunctions.udf.CIQ(InputTicker, "IQ_CASH_INTEREST_NET",Input!G$2,Date,,,Ccy,Conv)</f>
        <v>0</v>
      </c>
      <c r="F253" s="4">
        <f>_xll.ciqfunctions.udf.CIQ(InputTicker, "IQ_CASH_INTEREST_NET",Input!H$2,Date,,,Ccy,Conv)</f>
        <v>0</v>
      </c>
      <c r="G253" s="4">
        <f>_xll.ciqfunctions.udf.CIQ(InputTicker, "IQ_CASH_INTEREST_NET",Input!I$2,Date,,,Ccy,Conv)</f>
        <v>0</v>
      </c>
      <c r="H253" s="4">
        <f>_xll.ciqfunctions.udf.CIQ(InputTicker, "IQ_CASH_INTEREST_NET",Input!J$2,Date,,,Ccy,Conv)</f>
        <v>0</v>
      </c>
      <c r="I253" s="4">
        <f>_xll.ciqfunctions.udf.CIQ(InputTicker, "IQ_CASH_INTEREST_NET",Input!K$2,Date,,,Ccy,Conv)</f>
        <v>0</v>
      </c>
      <c r="J253" s="4">
        <f>_xll.ciqfunctions.udf.CIQ(InputTicker, "IQ_CASH_INTEREST_NET",Input!L$2,Date,,,Ccy,Conv)</f>
        <v>0</v>
      </c>
      <c r="K253" s="4">
        <f>_xll.ciqfunctions.udf.CIQ(InputTicker, "IQ_CASH_INTEREST_NET",Input!M$2,Date,,,Ccy,Conv)</f>
        <v>0</v>
      </c>
      <c r="L253" s="4">
        <f>_xll.ciqfunctions.udf.CIQ(InputTicker, "IQ_CASH_INTEREST_NET",Input!N$2,Date,,,Ccy,Conv)</f>
        <v>0</v>
      </c>
      <c r="M253" s="4">
        <f>_xll.ciqfunctions.udf.CIQ(InputTicker, "IQ_CASH_INTEREST_NET",Input!O$2,Date,,,Ccy,Conv)</f>
        <v>0</v>
      </c>
      <c r="N253" s="49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  <c r="BN253" s="42"/>
    </row>
    <row r="254" spans="1:66" ht="12.75" customHeight="1" x14ac:dyDescent="0.2">
      <c r="A254" s="1" t="s">
        <v>507</v>
      </c>
      <c r="B254" s="4">
        <f>_xll.ciqfunctions.udf.CIQ(InputTicker, "IQ_CASH_INTEREST_RECEIVED",Input!D$2,Date,,,Ccy,Conv)</f>
        <v>0</v>
      </c>
      <c r="C254" s="4">
        <f>_xll.ciqfunctions.udf.CIQ(InputTicker, "IQ_CASH_INTEREST_RECEIVED",Input!E$2,Date,,,Ccy,Conv)</f>
        <v>0</v>
      </c>
      <c r="D254" s="4">
        <f>_xll.ciqfunctions.udf.CIQ(InputTicker, "IQ_CASH_INTEREST_RECEIVED",Input!F$2,Date,,,Ccy,Conv)</f>
        <v>0</v>
      </c>
      <c r="E254" s="4">
        <f>_xll.ciqfunctions.udf.CIQ(InputTicker, "IQ_CASH_INTEREST_RECEIVED",Input!G$2,Date,,,Ccy,Conv)</f>
        <v>0</v>
      </c>
      <c r="F254" s="4">
        <f>_xll.ciqfunctions.udf.CIQ(InputTicker, "IQ_CASH_INTEREST_RECEIVED",Input!H$2,Date,,,Ccy,Conv)</f>
        <v>0</v>
      </c>
      <c r="G254" s="4">
        <f>_xll.ciqfunctions.udf.CIQ(InputTicker, "IQ_CASH_INTEREST_RECEIVED",Input!I$2,Date,,,Ccy,Conv)</f>
        <v>0</v>
      </c>
      <c r="H254" s="4">
        <f>_xll.ciqfunctions.udf.CIQ(InputTicker, "IQ_CASH_INTEREST_RECEIVED",Input!J$2,Date,,,Ccy,Conv)</f>
        <v>0</v>
      </c>
      <c r="I254" s="4">
        <f>_xll.ciqfunctions.udf.CIQ(InputTicker, "IQ_CASH_INTEREST_RECEIVED",Input!K$2,Date,,,Ccy,Conv)</f>
        <v>0</v>
      </c>
      <c r="J254" s="4">
        <f>_xll.ciqfunctions.udf.CIQ(InputTicker, "IQ_CASH_INTEREST_RECEIVED",Input!L$2,Date,,,Ccy,Conv)</f>
        <v>0</v>
      </c>
      <c r="K254" s="4">
        <f>_xll.ciqfunctions.udf.CIQ(InputTicker, "IQ_CASH_INTEREST_RECEIVED",Input!M$2,Date,,,Ccy,Conv)</f>
        <v>0</v>
      </c>
      <c r="L254" s="4">
        <f>_xll.ciqfunctions.udf.CIQ(InputTicker, "IQ_CASH_INTEREST_RECEIVED",Input!N$2,Date,,,Ccy,Conv)</f>
        <v>0</v>
      </c>
      <c r="M254" s="4">
        <f>_xll.ciqfunctions.udf.CIQ(InputTicker, "IQ_CASH_INTEREST_RECEIVED",Input!O$2,Date,,,Ccy,Conv)</f>
        <v>0</v>
      </c>
      <c r="N254" s="49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</row>
    <row r="255" spans="1:66" ht="12.75" customHeight="1" x14ac:dyDescent="0.2">
      <c r="A255" s="1" t="s">
        <v>381</v>
      </c>
      <c r="B255" s="4">
        <f>_xll.ciqfunctions.udf.CIQ(InputTicker, "IQ_CASH_INTEREST_OPER",Input!D$2,Date,,,Ccy,Conv)</f>
        <v>0</v>
      </c>
      <c r="C255" s="4">
        <f>_xll.ciqfunctions.udf.CIQ(InputTicker, "IQ_CASH_INTEREST_OPER",Input!E$2,Date,,,Ccy,Conv)</f>
        <v>0</v>
      </c>
      <c r="D255" s="4">
        <f>_xll.ciqfunctions.udf.CIQ(InputTicker, "IQ_CASH_INTEREST_OPER",Input!F$2,Date,,,Ccy,Conv)</f>
        <v>0</v>
      </c>
      <c r="E255" s="4">
        <f>_xll.ciqfunctions.udf.CIQ(InputTicker, "IQ_CASH_INTEREST_OPER",Input!G$2,Date,,,Ccy,Conv)</f>
        <v>0</v>
      </c>
      <c r="F255" s="4">
        <f>_xll.ciqfunctions.udf.CIQ(InputTicker, "IQ_CASH_INTEREST_OPER",Input!H$2,Date,,,Ccy,Conv)</f>
        <v>0</v>
      </c>
      <c r="G255" s="4">
        <f>_xll.ciqfunctions.udf.CIQ(InputTicker, "IQ_CASH_INTEREST_OPER",Input!I$2,Date,,,Ccy,Conv)</f>
        <v>0</v>
      </c>
      <c r="H255" s="4">
        <f>_xll.ciqfunctions.udf.CIQ(InputTicker, "IQ_CASH_INTEREST_OPER",Input!J$2,Date,,,Ccy,Conv)</f>
        <v>0</v>
      </c>
      <c r="I255" s="4">
        <f>_xll.ciqfunctions.udf.CIQ(InputTicker, "IQ_CASH_INTEREST_OPER",Input!K$2,Date,,,Ccy,Conv)</f>
        <v>0</v>
      </c>
      <c r="J255" s="4">
        <f>_xll.ciqfunctions.udf.CIQ(InputTicker, "IQ_CASH_INTEREST_OPER",Input!L$2,Date,,,Ccy,Conv)</f>
        <v>0</v>
      </c>
      <c r="K255" s="4">
        <f>_xll.ciqfunctions.udf.CIQ(InputTicker, "IQ_CASH_INTEREST_OPER",Input!M$2,Date,,,Ccy,Conv)</f>
        <v>0</v>
      </c>
      <c r="L255" s="4">
        <f>_xll.ciqfunctions.udf.CIQ(InputTicker, "IQ_CASH_INTEREST_OPER",Input!N$2,Date,,,Ccy,Conv)</f>
        <v>0</v>
      </c>
      <c r="M255" s="4">
        <f>_xll.ciqfunctions.udf.CIQ(InputTicker, "IQ_CASH_INTEREST_OPER",Input!O$2,Date,,,Ccy,Conv)</f>
        <v>0</v>
      </c>
      <c r="N255" s="49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  <c r="BN255" s="42"/>
    </row>
    <row r="256" spans="1:66" ht="12.75" customHeight="1" x14ac:dyDescent="0.2">
      <c r="A256" s="1" t="s">
        <v>382</v>
      </c>
      <c r="B256" s="4">
        <f>_xll.ciqfunctions.udf.CIQ(InputTicker, "IQ_CASH_INTEREST_INVEST",Input!D$2,Date,,,Ccy,Conv)</f>
        <v>0</v>
      </c>
      <c r="C256" s="4">
        <f>_xll.ciqfunctions.udf.CIQ(InputTicker, "IQ_CASH_INTEREST_INVEST",Input!E$2,Date,,,Ccy,Conv)</f>
        <v>0</v>
      </c>
      <c r="D256" s="4">
        <f>_xll.ciqfunctions.udf.CIQ(InputTicker, "IQ_CASH_INTEREST_INVEST",Input!F$2,Date,,,Ccy,Conv)</f>
        <v>0</v>
      </c>
      <c r="E256" s="4">
        <f>_xll.ciqfunctions.udf.CIQ(InputTicker, "IQ_CASH_INTEREST_INVEST",Input!G$2,Date,,,Ccy,Conv)</f>
        <v>0</v>
      </c>
      <c r="F256" s="4">
        <f>_xll.ciqfunctions.udf.CIQ(InputTicker, "IQ_CASH_INTEREST_INVEST",Input!H$2,Date,,,Ccy,Conv)</f>
        <v>0</v>
      </c>
      <c r="G256" s="4">
        <f>_xll.ciqfunctions.udf.CIQ(InputTicker, "IQ_CASH_INTEREST_INVEST",Input!I$2,Date,,,Ccy,Conv)</f>
        <v>0</v>
      </c>
      <c r="H256" s="4">
        <f>_xll.ciqfunctions.udf.CIQ(InputTicker, "IQ_CASH_INTEREST_INVEST",Input!J$2,Date,,,Ccy,Conv)</f>
        <v>0</v>
      </c>
      <c r="I256" s="4">
        <f>_xll.ciqfunctions.udf.CIQ(InputTicker, "IQ_CASH_INTEREST_INVEST",Input!K$2,Date,,,Ccy,Conv)</f>
        <v>0</v>
      </c>
      <c r="J256" s="4">
        <f>_xll.ciqfunctions.udf.CIQ(InputTicker, "IQ_CASH_INTEREST_INVEST",Input!L$2,Date,,,Ccy,Conv)</f>
        <v>0</v>
      </c>
      <c r="K256" s="4">
        <f>_xll.ciqfunctions.udf.CIQ(InputTicker, "IQ_CASH_INTEREST_INVEST",Input!M$2,Date,,,Ccy,Conv)</f>
        <v>0</v>
      </c>
      <c r="L256" s="4">
        <f>_xll.ciqfunctions.udf.CIQ(InputTicker, "IQ_CASH_INTEREST_INVEST",Input!N$2,Date,,,Ccy,Conv)</f>
        <v>0</v>
      </c>
      <c r="M256" s="4">
        <f>_xll.ciqfunctions.udf.CIQ(InputTicker, "IQ_CASH_INTEREST_INVEST",Input!O$2,Date,,,Ccy,Conv)</f>
        <v>0</v>
      </c>
      <c r="N256" s="49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</row>
    <row r="257" spans="1:66" ht="12.75" customHeight="1" x14ac:dyDescent="0.2">
      <c r="A257" s="1" t="s">
        <v>383</v>
      </c>
      <c r="B257" s="4">
        <f>_xll.ciqfunctions.udf.CIQ(InputTicker, "IQ_CASH_INTEREST_FINAN",Input!D$2,Date,,,Ccy,Conv)</f>
        <v>0</v>
      </c>
      <c r="C257" s="4">
        <f>_xll.ciqfunctions.udf.CIQ(InputTicker, "IQ_CASH_INTEREST_FINAN",Input!E$2,Date,,,Ccy,Conv)</f>
        <v>0</v>
      </c>
      <c r="D257" s="4">
        <f>_xll.ciqfunctions.udf.CIQ(InputTicker, "IQ_CASH_INTEREST_FINAN",Input!F$2,Date,,,Ccy,Conv)</f>
        <v>0</v>
      </c>
      <c r="E257" s="4">
        <f>_xll.ciqfunctions.udf.CIQ(InputTicker, "IQ_CASH_INTEREST_FINAN",Input!G$2,Date,,,Ccy,Conv)</f>
        <v>0</v>
      </c>
      <c r="F257" s="4">
        <f>_xll.ciqfunctions.udf.CIQ(InputTicker, "IQ_CASH_INTEREST_FINAN",Input!H$2,Date,,,Ccy,Conv)</f>
        <v>0</v>
      </c>
      <c r="G257" s="4">
        <f>_xll.ciqfunctions.udf.CIQ(InputTicker, "IQ_CASH_INTEREST_FINAN",Input!I$2,Date,,,Ccy,Conv)</f>
        <v>0</v>
      </c>
      <c r="H257" s="4">
        <f>_xll.ciqfunctions.udf.CIQ(InputTicker, "IQ_CASH_INTEREST_FINAN",Input!J$2,Date,,,Ccy,Conv)</f>
        <v>0</v>
      </c>
      <c r="I257" s="4">
        <f>_xll.ciqfunctions.udf.CIQ(InputTicker, "IQ_CASH_INTEREST_FINAN",Input!K$2,Date,,,Ccy,Conv)</f>
        <v>0</v>
      </c>
      <c r="J257" s="4">
        <f>_xll.ciqfunctions.udf.CIQ(InputTicker, "IQ_CASH_INTEREST_FINAN",Input!L$2,Date,,,Ccy,Conv)</f>
        <v>0</v>
      </c>
      <c r="K257" s="4">
        <f>_xll.ciqfunctions.udf.CIQ(InputTicker, "IQ_CASH_INTEREST_FINAN",Input!M$2,Date,,,Ccy,Conv)</f>
        <v>0</v>
      </c>
      <c r="L257" s="4">
        <f>_xll.ciqfunctions.udf.CIQ(InputTicker, "IQ_CASH_INTEREST_FINAN",Input!N$2,Date,,,Ccy,Conv)</f>
        <v>0</v>
      </c>
      <c r="M257" s="4">
        <f>_xll.ciqfunctions.udf.CIQ(InputTicker, "IQ_CASH_INTEREST_FINAN",Input!O$2,Date,,,Ccy,Conv)</f>
        <v>0</v>
      </c>
      <c r="N257" s="49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  <c r="BN257" s="42"/>
    </row>
    <row r="258" spans="1:66" ht="12.75" customHeight="1" x14ac:dyDescent="0.2">
      <c r="A258" s="1" t="s">
        <v>49</v>
      </c>
      <c r="B258" s="4">
        <f>_xll.ciqfunctions.udf.CIQ(InputTicker, "IQ_CASH_TAXES",Input!D$2,Date,,,Ccy,Conv)</f>
        <v>75.533000000000001</v>
      </c>
      <c r="C258" s="4">
        <f>_xll.ciqfunctions.udf.CIQ(InputTicker, "IQ_CASH_TAXES",Input!E$2,Date,,,Ccy,Conv)</f>
        <v>166.84</v>
      </c>
      <c r="D258" s="4">
        <f>_xll.ciqfunctions.udf.CIQ(InputTicker, "IQ_CASH_TAXES",Input!F$2,Date,,,Ccy,Conv)</f>
        <v>-15.233000000000001</v>
      </c>
      <c r="E258" s="4">
        <f>_xll.ciqfunctions.udf.CIQ(InputTicker, "IQ_CASH_TAXES",Input!G$2,Date,,,Ccy,Conv)</f>
        <v>-45.100999999999999</v>
      </c>
      <c r="F258" s="4">
        <f>_xll.ciqfunctions.udf.CIQ(InputTicker, "IQ_CASH_TAXES",Input!H$2,Date,,,Ccy,Conv)</f>
        <v>36.311999999999998</v>
      </c>
      <c r="G258" s="4">
        <f>_xll.ciqfunctions.udf.CIQ(InputTicker, "IQ_CASH_TAXES",Input!I$2,Date,,,Ccy,Conv)</f>
        <v>3.2000000000000001E-2</v>
      </c>
      <c r="H258" s="4">
        <f>_xll.ciqfunctions.udf.CIQ(InputTicker, "IQ_CASH_TAXES",Input!J$2,Date,,,Ccy,Conv)</f>
        <v>0.995</v>
      </c>
      <c r="I258" s="4">
        <f>_xll.ciqfunctions.udf.CIQ(InputTicker, "IQ_CASH_TAXES",Input!K$2,Date,,,Ccy,Conv)</f>
        <v>1.7470000000000001</v>
      </c>
      <c r="J258" s="4">
        <f>_xll.ciqfunctions.udf.CIQ(InputTicker, "IQ_CASH_TAXES",Input!L$2,Date,,,Ccy,Conv)</f>
        <v>258.24700000000001</v>
      </c>
      <c r="K258" s="4">
        <f>_xll.ciqfunctions.udf.CIQ(InputTicker, "IQ_CASH_TAXES",Input!M$2,Date,,,Ccy,Conv)</f>
        <v>35.100999999999999</v>
      </c>
      <c r="L258" s="4">
        <f>_xll.ciqfunctions.udf.CIQ(InputTicker, "IQ_CASH_TAXES",Input!N$2,Date,,,Ccy,Conv)</f>
        <v>426.17200000000003</v>
      </c>
      <c r="M258" s="4">
        <f>_xll.ciqfunctions.udf.CIQ(InputTicker, "IQ_CASH_TAXES",Input!O$2,Date,,,Ccy,Conv)</f>
        <v>426.17200000000003</v>
      </c>
      <c r="N258" s="49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</row>
    <row r="259" spans="1:66" ht="12.75" customHeight="1" x14ac:dyDescent="0.2">
      <c r="A259" s="1" t="s">
        <v>384</v>
      </c>
      <c r="B259" s="4">
        <f>_xll.ciqfunctions.udf.CIQ(InputTicker, "IQ_CASH_TAXES_OPER",Input!D$2,Date,,,Ccy,Conv)</f>
        <v>0</v>
      </c>
      <c r="C259" s="4">
        <f>_xll.ciqfunctions.udf.CIQ(InputTicker, "IQ_CASH_TAXES_OPER",Input!E$2,Date,,,Ccy,Conv)</f>
        <v>0</v>
      </c>
      <c r="D259" s="4">
        <f>_xll.ciqfunctions.udf.CIQ(InputTicker, "IQ_CASH_TAXES_OPER",Input!F$2,Date,,,Ccy,Conv)</f>
        <v>0</v>
      </c>
      <c r="E259" s="4">
        <f>_xll.ciqfunctions.udf.CIQ(InputTicker, "IQ_CASH_TAXES_OPER",Input!G$2,Date,,,Ccy,Conv)</f>
        <v>0</v>
      </c>
      <c r="F259" s="4">
        <f>_xll.ciqfunctions.udf.CIQ(InputTicker, "IQ_CASH_TAXES_OPER",Input!H$2,Date,,,Ccy,Conv)</f>
        <v>0</v>
      </c>
      <c r="G259" s="4">
        <f>_xll.ciqfunctions.udf.CIQ(InputTicker, "IQ_CASH_TAXES_OPER",Input!I$2,Date,,,Ccy,Conv)</f>
        <v>0</v>
      </c>
      <c r="H259" s="4">
        <f>_xll.ciqfunctions.udf.CIQ(InputTicker, "IQ_CASH_TAXES_OPER",Input!J$2,Date,,,Ccy,Conv)</f>
        <v>0</v>
      </c>
      <c r="I259" s="4">
        <f>_xll.ciqfunctions.udf.CIQ(InputTicker, "IQ_CASH_TAXES_OPER",Input!K$2,Date,,,Ccy,Conv)</f>
        <v>0</v>
      </c>
      <c r="J259" s="4">
        <f>_xll.ciqfunctions.udf.CIQ(InputTicker, "IQ_CASH_TAXES_OPER",Input!L$2,Date,,,Ccy,Conv)</f>
        <v>0</v>
      </c>
      <c r="K259" s="4">
        <f>_xll.ciqfunctions.udf.CIQ(InputTicker, "IQ_CASH_TAXES_OPER",Input!M$2,Date,,,Ccy,Conv)</f>
        <v>0</v>
      </c>
      <c r="L259" s="4">
        <f>_xll.ciqfunctions.udf.CIQ(InputTicker, "IQ_CASH_TAXES_OPER",Input!N$2,Date,,,Ccy,Conv)</f>
        <v>0</v>
      </c>
      <c r="M259" s="4">
        <f>_xll.ciqfunctions.udf.CIQ(InputTicker, "IQ_CASH_TAXES_OPER",Input!O$2,Date,,,Ccy,Conv)</f>
        <v>0</v>
      </c>
      <c r="N259" s="49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  <c r="BN259" s="42"/>
    </row>
    <row r="260" spans="1:66" ht="12.75" customHeight="1" x14ac:dyDescent="0.2">
      <c r="A260" s="1" t="s">
        <v>385</v>
      </c>
      <c r="B260" s="4">
        <f>_xll.ciqfunctions.udf.CIQ(InputTicker, "IQ_CASH_TAXES_INVEST",Input!D$2,Date,,,Ccy,Conv)</f>
        <v>0</v>
      </c>
      <c r="C260" s="4">
        <f>_xll.ciqfunctions.udf.CIQ(InputTicker, "IQ_CASH_TAXES_INVEST",Input!E$2,Date,,,Ccy,Conv)</f>
        <v>0</v>
      </c>
      <c r="D260" s="4">
        <f>_xll.ciqfunctions.udf.CIQ(InputTicker, "IQ_CASH_TAXES_INVEST",Input!F$2,Date,,,Ccy,Conv)</f>
        <v>0</v>
      </c>
      <c r="E260" s="4">
        <f>_xll.ciqfunctions.udf.CIQ(InputTicker, "IQ_CASH_TAXES_INVEST",Input!G$2,Date,,,Ccy,Conv)</f>
        <v>0</v>
      </c>
      <c r="F260" s="4">
        <f>_xll.ciqfunctions.udf.CIQ(InputTicker, "IQ_CASH_TAXES_INVEST",Input!H$2,Date,,,Ccy,Conv)</f>
        <v>0</v>
      </c>
      <c r="G260" s="4">
        <f>_xll.ciqfunctions.udf.CIQ(InputTicker, "IQ_CASH_TAXES_INVEST",Input!I$2,Date,,,Ccy,Conv)</f>
        <v>0</v>
      </c>
      <c r="H260" s="4">
        <f>_xll.ciqfunctions.udf.CIQ(InputTicker, "IQ_CASH_TAXES_INVEST",Input!J$2,Date,,,Ccy,Conv)</f>
        <v>0</v>
      </c>
      <c r="I260" s="4">
        <f>_xll.ciqfunctions.udf.CIQ(InputTicker, "IQ_CASH_TAXES_INVEST",Input!K$2,Date,,,Ccy,Conv)</f>
        <v>0</v>
      </c>
      <c r="J260" s="4">
        <f>_xll.ciqfunctions.udf.CIQ(InputTicker, "IQ_CASH_TAXES_INVEST",Input!L$2,Date,,,Ccy,Conv)</f>
        <v>0</v>
      </c>
      <c r="K260" s="4">
        <f>_xll.ciqfunctions.udf.CIQ(InputTicker, "IQ_CASH_TAXES_INVEST",Input!M$2,Date,,,Ccy,Conv)</f>
        <v>0</v>
      </c>
      <c r="L260" s="4">
        <f>_xll.ciqfunctions.udf.CIQ(InputTicker, "IQ_CASH_TAXES_INVEST",Input!N$2,Date,,,Ccy,Conv)</f>
        <v>0</v>
      </c>
      <c r="M260" s="4">
        <f>_xll.ciqfunctions.udf.CIQ(InputTicker, "IQ_CASH_TAXES_INVEST",Input!O$2,Date,,,Ccy,Conv)</f>
        <v>0</v>
      </c>
      <c r="N260" s="49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</row>
    <row r="261" spans="1:66" ht="12.75" customHeight="1" x14ac:dyDescent="0.2">
      <c r="A261" s="1" t="s">
        <v>386</v>
      </c>
      <c r="B261" s="4">
        <f>_xll.ciqfunctions.udf.CIQ(InputTicker, "IQ_CASH_TAXES_FINAN",Input!D$2,Date,,,Ccy,Conv)</f>
        <v>0</v>
      </c>
      <c r="C261" s="4">
        <f>_xll.ciqfunctions.udf.CIQ(InputTicker, "IQ_CASH_TAXES_FINAN",Input!E$2,Date,,,Ccy,Conv)</f>
        <v>0</v>
      </c>
      <c r="D261" s="4">
        <f>_xll.ciqfunctions.udf.CIQ(InputTicker, "IQ_CASH_TAXES_FINAN",Input!F$2,Date,,,Ccy,Conv)</f>
        <v>0</v>
      </c>
      <c r="E261" s="4">
        <f>_xll.ciqfunctions.udf.CIQ(InputTicker, "IQ_CASH_TAXES_FINAN",Input!G$2,Date,,,Ccy,Conv)</f>
        <v>0</v>
      </c>
      <c r="F261" s="4">
        <f>_xll.ciqfunctions.udf.CIQ(InputTicker, "IQ_CASH_TAXES_FINAN",Input!H$2,Date,,,Ccy,Conv)</f>
        <v>0</v>
      </c>
      <c r="G261" s="4">
        <f>_xll.ciqfunctions.udf.CIQ(InputTicker, "IQ_CASH_TAXES_FINAN",Input!I$2,Date,,,Ccy,Conv)</f>
        <v>0</v>
      </c>
      <c r="H261" s="4">
        <f>_xll.ciqfunctions.udf.CIQ(InputTicker, "IQ_CASH_TAXES_FINAN",Input!J$2,Date,,,Ccy,Conv)</f>
        <v>0</v>
      </c>
      <c r="I261" s="4">
        <f>_xll.ciqfunctions.udf.CIQ(InputTicker, "IQ_CASH_TAXES_FINAN",Input!K$2,Date,,,Ccy,Conv)</f>
        <v>0</v>
      </c>
      <c r="J261" s="4">
        <f>_xll.ciqfunctions.udf.CIQ(InputTicker, "IQ_CASH_TAXES_FINAN",Input!L$2,Date,,,Ccy,Conv)</f>
        <v>0</v>
      </c>
      <c r="K261" s="4">
        <f>_xll.ciqfunctions.udf.CIQ(InputTicker, "IQ_CASH_TAXES_FINAN",Input!M$2,Date,,,Ccy,Conv)</f>
        <v>0</v>
      </c>
      <c r="L261" s="4">
        <f>_xll.ciqfunctions.udf.CIQ(InputTicker, "IQ_CASH_TAXES_FINAN",Input!N$2,Date,,,Ccy,Conv)</f>
        <v>0</v>
      </c>
      <c r="M261" s="4">
        <f>_xll.ciqfunctions.udf.CIQ(InputTicker, "IQ_CASH_TAXES_FINAN",Input!O$2,Date,,,Ccy,Conv)</f>
        <v>0</v>
      </c>
      <c r="N261" s="49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</row>
    <row r="262" spans="1:66" ht="12.75" customHeight="1" x14ac:dyDescent="0.2">
      <c r="A262" s="1" t="s">
        <v>388</v>
      </c>
      <c r="B262" s="4">
        <f>_xll.ciqfunctions.udf.CIQ(InputTicker, "IQ_CHANGE_DEF_TAX_TOTAL",Input!D$2,Date,,,Ccy,Conv)</f>
        <v>5.1079999999999997</v>
      </c>
      <c r="C262" s="4">
        <f>_xll.ciqfunctions.udf.CIQ(InputTicker, "IQ_CHANGE_DEF_TAX_TOTAL",Input!E$2,Date,,,Ccy,Conv)</f>
        <v>19.391999999999999</v>
      </c>
      <c r="D262" s="4">
        <f>_xll.ciqfunctions.udf.CIQ(InputTicker, "IQ_CHANGE_DEF_TAX_TOTAL",Input!F$2,Date,,,Ccy,Conv)</f>
        <v>14.833</v>
      </c>
      <c r="E262" s="4">
        <f>_xll.ciqfunctions.udf.CIQ(InputTicker, "IQ_CHANGE_DEF_TAX_TOTAL",Input!G$2,Date,,,Ccy,Conv)</f>
        <v>-33.808999999999997</v>
      </c>
      <c r="F262" s="4">
        <f>_xll.ciqfunctions.udf.CIQ(InputTicker, "IQ_CHANGE_DEF_TAX_TOTAL",Input!H$2,Date,,,Ccy,Conv)</f>
        <v>6.1230000000000002</v>
      </c>
      <c r="G262" s="4">
        <f>_xll.ciqfunctions.udf.CIQ(InputTicker, "IQ_CHANGE_DEF_TAX_TOTAL",Input!I$2,Date,,,Ccy,Conv)</f>
        <v>10.281000000000001</v>
      </c>
      <c r="H262" s="4">
        <f>_xll.ciqfunctions.udf.CIQ(InputTicker, "IQ_CHANGE_DEF_TAX_TOTAL",Input!J$2,Date,,,Ccy,Conv)</f>
        <v>22.350999999999999</v>
      </c>
      <c r="I262" s="4">
        <f>_xll.ciqfunctions.udf.CIQ(InputTicker, "IQ_CHANGE_DEF_TAX_TOTAL",Input!K$2,Date,,,Ccy,Conv)</f>
        <v>5.6760000000000002</v>
      </c>
      <c r="J262" s="4">
        <f>_xll.ciqfunctions.udf.CIQ(InputTicker, "IQ_CHANGE_DEF_TAX_TOTAL",Input!L$2,Date,,,Ccy,Conv)</f>
        <v>24.466999999999999</v>
      </c>
      <c r="K262" s="4">
        <f>_xll.ciqfunctions.udf.CIQ(InputTicker, "IQ_CHANGE_DEF_TAX_TOTAL",Input!M$2,Date,,,Ccy,Conv)</f>
        <v>-9.6720000000000006</v>
      </c>
      <c r="L262" s="4">
        <f>_xll.ciqfunctions.udf.CIQ(InputTicker, "IQ_CHANGE_DEF_TAX_TOTAL",Input!N$2,Date,,,Ccy,Conv)</f>
        <v>11.57</v>
      </c>
      <c r="M262" s="4">
        <f>_xll.ciqfunctions.udf.CIQ(InputTicker, "IQ_CHANGE_DEF_TAX_TOTAL",Input!O$2,Date,,,Ccy,Conv)</f>
        <v>39.878999999999998</v>
      </c>
      <c r="N262" s="49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  <c r="BN262" s="42"/>
    </row>
    <row r="263" spans="1:66" ht="12.75" customHeight="1" x14ac:dyDescent="0.2">
      <c r="A263" s="1" t="s">
        <v>350</v>
      </c>
      <c r="B263" s="4">
        <f>_xll.ciqfunctions.udf.CIQ(InputTicker, "IQ_CHANGE_NET_WORKING_CAPITAL",Input!D$2,Date,,,Ccy,Conv)</f>
        <v>33.606000000000002</v>
      </c>
      <c r="C263" s="4">
        <f>_xll.ciqfunctions.udf.CIQ(InputTicker, "IQ_CHANGE_NET_WORKING_CAPITAL",Input!E$2,Date,,,Ccy,Conv)</f>
        <v>10.752000000000001</v>
      </c>
      <c r="D263" s="4">
        <f>_xll.ciqfunctions.udf.CIQ(InputTicker, "IQ_CHANGE_NET_WORKING_CAPITAL",Input!F$2,Date,,,Ccy,Conv)</f>
        <v>50.72</v>
      </c>
      <c r="E263" s="4">
        <f>_xll.ciqfunctions.udf.CIQ(InputTicker, "IQ_CHANGE_NET_WORKING_CAPITAL",Input!G$2,Date,,,Ccy,Conv)</f>
        <v>-68.126000000000005</v>
      </c>
      <c r="F263" s="4">
        <f>_xll.ciqfunctions.udf.CIQ(InputTicker, "IQ_CHANGE_NET_WORKING_CAPITAL",Input!H$2,Date,,,Ccy,Conv)</f>
        <v>22.913</v>
      </c>
      <c r="G263" s="4">
        <f>_xll.ciqfunctions.udf.CIQ(InputTicker, "IQ_CHANGE_NET_WORKING_CAPITAL",Input!I$2,Date,,,Ccy,Conv)</f>
        <v>22.661999999999999</v>
      </c>
      <c r="H263" s="4">
        <f>_xll.ciqfunctions.udf.CIQ(InputTicker, "IQ_CHANGE_NET_WORKING_CAPITAL",Input!J$2,Date,,,Ccy,Conv)</f>
        <v>63.454000000000001</v>
      </c>
      <c r="I263" s="4">
        <f>_xll.ciqfunctions.udf.CIQ(InputTicker, "IQ_CHANGE_NET_WORKING_CAPITAL",Input!K$2,Date,,,Ccy,Conv)</f>
        <v>41.101999999999997</v>
      </c>
      <c r="J263" s="4">
        <f>_xll.ciqfunctions.udf.CIQ(InputTicker, "IQ_CHANGE_NET_WORKING_CAPITAL",Input!L$2,Date,,,Ccy,Conv)</f>
        <v>-8.0519999999999996</v>
      </c>
      <c r="K263" s="4">
        <f>_xll.ciqfunctions.udf.CIQ(InputTicker, "IQ_CHANGE_NET_WORKING_CAPITAL",Input!M$2,Date,,,Ccy,Conv)</f>
        <v>-92.561000000000007</v>
      </c>
      <c r="L263" s="4">
        <f>_xll.ciqfunctions.udf.CIQ(InputTicker, "IQ_CHANGE_NET_WORKING_CAPITAL",Input!N$2,Date,,,Ccy,Conv)</f>
        <v>65.92</v>
      </c>
      <c r="M263" s="4">
        <f>_xll.ciqfunctions.udf.CIQ(InputTicker, "IQ_CHANGE_NET_WORKING_CAPITAL",Input!O$2,Date,,,Ccy,Conv)</f>
        <v>29.940999999999999</v>
      </c>
      <c r="N263" s="49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  <c r="BN263" s="42"/>
    </row>
    <row r="264" spans="1:66" ht="12.75" customHeight="1" x14ac:dyDescent="0.2">
      <c r="A264" s="1" t="s">
        <v>508</v>
      </c>
      <c r="B264" s="4">
        <f>_xll.ciqfunctions.udf.CIQ(InputTicker, "IQ_LEVERED_FCF",Input!D$2,Date,,,Ccy,Conv)</f>
        <v>73.432749999999999</v>
      </c>
      <c r="C264" s="4">
        <f>_xll.ciqfunctions.udf.CIQ(InputTicker, "IQ_LEVERED_FCF",Input!E$2,Date,,,Ccy,Conv)</f>
        <v>254.00975</v>
      </c>
      <c r="D264" s="4">
        <f>_xll.ciqfunctions.udf.CIQ(InputTicker, "IQ_LEVERED_FCF",Input!F$2,Date,,,Ccy,Conv)</f>
        <v>-146.58699999999999</v>
      </c>
      <c r="E264" s="4">
        <f>_xll.ciqfunctions.udf.CIQ(InputTicker, "IQ_LEVERED_FCF",Input!G$2,Date,,,Ccy,Conv)</f>
        <v>219.36363</v>
      </c>
      <c r="F264" s="4">
        <f>_xll.ciqfunctions.udf.CIQ(InputTicker, "IQ_LEVERED_FCF",Input!H$2,Date,,,Ccy,Conv)</f>
        <v>-4.4017499999999998</v>
      </c>
      <c r="G264" s="4">
        <f>_xll.ciqfunctions.udf.CIQ(InputTicker, "IQ_LEVERED_FCF",Input!I$2,Date,,,Ccy,Conv)</f>
        <v>-84.586879999999994</v>
      </c>
      <c r="H264" s="4">
        <f>_xll.ciqfunctions.udf.CIQ(InputTicker, "IQ_LEVERED_FCF",Input!J$2,Date,,,Ccy,Conv)</f>
        <v>-109.95238000000001</v>
      </c>
      <c r="I264" s="4">
        <f>_xll.ciqfunctions.udf.CIQ(InputTicker, "IQ_LEVERED_FCF",Input!K$2,Date,,,Ccy,Conv)</f>
        <v>45.222630000000002</v>
      </c>
      <c r="J264" s="4">
        <f>_xll.ciqfunctions.udf.CIQ(InputTicker, "IQ_LEVERED_FCF",Input!L$2,Date,,,Ccy,Conv)</f>
        <v>550.21388000000002</v>
      </c>
      <c r="K264" s="4">
        <f>_xll.ciqfunctions.udf.CIQ(InputTicker, "IQ_LEVERED_FCF",Input!M$2,Date,,,Ccy,Conv)</f>
        <v>226.00962999999999</v>
      </c>
      <c r="L264" s="4">
        <f>_xll.ciqfunctions.udf.CIQ(InputTicker, "IQ_LEVERED_FCF",Input!N$2,Date,,,Ccy,Conv)</f>
        <v>840.63800000000003</v>
      </c>
      <c r="M264" s="4">
        <f>_xll.ciqfunctions.udf.CIQ(InputTicker, "IQ_LEVERED_FCF",Input!O$2,Date,,,Ccy,Conv)</f>
        <v>804.93263000000002</v>
      </c>
      <c r="N264" s="49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  <c r="BN264" s="42"/>
    </row>
    <row r="265" spans="1:66" ht="12.75" customHeight="1" x14ac:dyDescent="0.2">
      <c r="A265" s="1" t="s">
        <v>509</v>
      </c>
      <c r="B265" s="4">
        <f>_xll.ciqfunctions.udf.CIQ(InputTicker, "IQ_UNLEVERED_FCF",Input!D$2,Date,,,Ccy,Conv)</f>
        <v>74.878380000000007</v>
      </c>
      <c r="C265" s="4">
        <f>_xll.ciqfunctions.udf.CIQ(InputTicker, "IQ_UNLEVERED_FCF",Input!E$2,Date,,,Ccy,Conv)</f>
        <v>254.73224999999999</v>
      </c>
      <c r="D265" s="4">
        <f>_xll.ciqfunctions.udf.CIQ(InputTicker, "IQ_UNLEVERED_FCF",Input!F$2,Date,,,Ccy,Conv)</f>
        <v>-146.38825</v>
      </c>
      <c r="E265" s="4">
        <f>_xll.ciqfunctions.udf.CIQ(InputTicker, "IQ_UNLEVERED_FCF",Input!G$2,Date,,,Ccy,Conv)</f>
        <v>219.52924999999999</v>
      </c>
      <c r="F265" s="4">
        <f>_xll.ciqfunctions.udf.CIQ(InputTicker, "IQ_UNLEVERED_FCF",Input!H$2,Date,,,Ccy,Conv)</f>
        <v>-3.99925</v>
      </c>
      <c r="G265" s="4">
        <f>_xll.ciqfunctions.udf.CIQ(InputTicker, "IQ_UNLEVERED_FCF",Input!I$2,Date,,,Ccy,Conv)</f>
        <v>-84.275630000000007</v>
      </c>
      <c r="H265" s="4">
        <f>_xll.ciqfunctions.udf.CIQ(InputTicker, "IQ_UNLEVERED_FCF",Input!J$2,Date,,,Ccy,Conv)</f>
        <v>-109.81925</v>
      </c>
      <c r="I265" s="4">
        <f>_xll.ciqfunctions.udf.CIQ(InputTicker, "IQ_UNLEVERED_FCF",Input!K$2,Date,,,Ccy,Conv)</f>
        <v>45.474499999999999</v>
      </c>
      <c r="J265" s="4">
        <f>_xll.ciqfunctions.udf.CIQ(InputTicker, "IQ_UNLEVERED_FCF",Input!L$2,Date,,,Ccy,Conv)</f>
        <v>550.57825000000003</v>
      </c>
      <c r="K265" s="4">
        <f>_xll.ciqfunctions.udf.CIQ(InputTicker, "IQ_UNLEVERED_FCF",Input!M$2,Date,,,Ccy,Conv)</f>
        <v>226.35274999999999</v>
      </c>
      <c r="L265" s="4">
        <f>_xll.ciqfunctions.udf.CIQ(InputTicker, "IQ_UNLEVERED_FCF",Input!N$2,Date,,,Ccy,Conv)</f>
        <v>841.02049999999997</v>
      </c>
      <c r="M265" s="4">
        <f>_xll.ciqfunctions.udf.CIQ(InputTicker, "IQ_UNLEVERED_FCF",Input!O$2,Date,,,Ccy,Conv)</f>
        <v>805.34074999999996</v>
      </c>
      <c r="N265" s="49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  <c r="BN265" s="42"/>
    </row>
    <row r="266" spans="1:66" ht="12.75" customHeight="1" x14ac:dyDescent="0.2">
      <c r="A266" s="1" t="s">
        <v>33</v>
      </c>
      <c r="B266" s="11">
        <f>_xll.ciqfunctions.udf.CIQ(InputTicker, "IQ_CF_SHARE",Input!D$2,Date,,,Ccy,Conv)</f>
        <v>2.3489100000000001</v>
      </c>
      <c r="C266" s="11">
        <f>_xll.ciqfunctions.udf.CIQ(InputTicker, "IQ_CF_SHARE",Input!E$2,Date,,,Ccy,Conv)</f>
        <v>6.4801700000000002</v>
      </c>
      <c r="D266" s="11">
        <f>_xll.ciqfunctions.udf.CIQ(InputTicker, "IQ_CF_SHARE",Input!F$2,Date,,,Ccy,Conv)</f>
        <v>-2.3277600000000001</v>
      </c>
      <c r="E266" s="11">
        <f>_xll.ciqfunctions.udf.CIQ(InputTicker, "IQ_CF_SHARE",Input!G$2,Date,,,Ccy,Conv)</f>
        <v>3.7380100000000001</v>
      </c>
      <c r="F266" s="11">
        <f>_xll.ciqfunctions.udf.CIQ(InputTicker, "IQ_CF_SHARE",Input!H$2,Date,,,Ccy,Conv)</f>
        <v>0.97170999999999996</v>
      </c>
      <c r="G266" s="11">
        <f>_xll.ciqfunctions.udf.CIQ(InputTicker, "IQ_CF_SHARE",Input!I$2,Date,,,Ccy,Conv)</f>
        <v>-1.0433699999999999</v>
      </c>
      <c r="H266" s="11">
        <f>_xll.ciqfunctions.udf.CIQ(InputTicker, "IQ_CF_SHARE",Input!J$2,Date,,,Ccy,Conv)</f>
        <v>-1.42065</v>
      </c>
      <c r="I266" s="11">
        <f>_xll.ciqfunctions.udf.CIQ(InputTicker, "IQ_CF_SHARE",Input!K$2,Date,,,Ccy,Conv)</f>
        <v>1.1076299999999999</v>
      </c>
      <c r="J266" s="11">
        <f>_xll.ciqfunctions.udf.CIQ(InputTicker, "IQ_CF_SHARE",Input!L$2,Date,,,Ccy,Conv)</f>
        <v>14.932600000000001</v>
      </c>
      <c r="K266" s="11">
        <f>_xll.ciqfunctions.udf.CIQ(InputTicker, "IQ_CF_SHARE",Input!M$2,Date,,,Ccy,Conv)</f>
        <v>6.2459100000000003</v>
      </c>
      <c r="L266" s="11">
        <f>_xll.ciqfunctions.udf.CIQ(InputTicker, "IQ_CF_SHARE",Input!N$2,Date,,,Ccy,Conv)</f>
        <v>21.82883</v>
      </c>
      <c r="M266" s="11">
        <f>_xll.ciqfunctions.udf.CIQ(InputTicker, "IQ_CF_SHARE",Input!O$2,Date,,,Ccy,Conv)</f>
        <v>24.169930000000001</v>
      </c>
      <c r="N266" s="49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  <c r="BN266" s="42"/>
    </row>
    <row r="267" spans="1:66" ht="12.75" customHeight="1" x14ac:dyDescent="0.2">
      <c r="A267" s="1" t="s">
        <v>122</v>
      </c>
      <c r="B267" s="4">
        <f>_xll.ciqfunctions.udf.CIQ(InputTicker, "IQ_NET_DEBT_ISSUED",Input!D$2,Date,,,Ccy,Conv)</f>
        <v>-10.233000000000001</v>
      </c>
      <c r="C267" s="4">
        <f>_xll.ciqfunctions.udf.CIQ(InputTicker, "IQ_NET_DEBT_ISSUED",Input!E$2,Date,,,Ccy,Conv)</f>
        <v>-25.29</v>
      </c>
      <c r="D267" s="4">
        <f>_xll.ciqfunctions.udf.CIQ(InputTicker, "IQ_NET_DEBT_ISSUED",Input!F$2,Date,,,Ccy,Conv)</f>
        <v>-16.510000000000002</v>
      </c>
      <c r="E267" s="4">
        <f>_xll.ciqfunctions.udf.CIQ(InputTicker, "IQ_NET_DEBT_ISSUED",Input!G$2,Date,,,Ccy,Conv)</f>
        <v>-4.8490000000000002</v>
      </c>
      <c r="F267" s="4">
        <f>_xll.ciqfunctions.udf.CIQ(InputTicker, "IQ_NET_DEBT_ISSUED",Input!H$2,Date,,,Ccy,Conv)</f>
        <v>-3.754</v>
      </c>
      <c r="G267" s="4">
        <f>_xll.ciqfunctions.udf.CIQ(InputTicker, "IQ_NET_DEBT_ISSUED",Input!I$2,Date,,,Ccy,Conv)</f>
        <v>-1.696</v>
      </c>
      <c r="H267" s="4">
        <f>_xll.ciqfunctions.udf.CIQ(InputTicker, "IQ_NET_DEBT_ISSUED",Input!J$2,Date,,,Ccy,Conv)</f>
        <v>-0.20499999999999999</v>
      </c>
      <c r="I267" s="4">
        <f>_xll.ciqfunctions.udf.CIQ(InputTicker, "IQ_NET_DEBT_ISSUED",Input!K$2,Date,,,Ccy,Conv)</f>
        <v>-0.215</v>
      </c>
      <c r="J267" s="4">
        <f>_xll.ciqfunctions.udf.CIQ(InputTicker, "IQ_NET_DEBT_ISSUED",Input!L$2,Date,,,Ccy,Conv)</f>
        <v>-0.224</v>
      </c>
      <c r="K267" s="4">
        <f>_xll.ciqfunctions.udf.CIQ(InputTicker, "IQ_NET_DEBT_ISSUED",Input!M$2,Date,,,Ccy,Conv)</f>
        <v>-0.214</v>
      </c>
      <c r="L267" s="4">
        <f>_xll.ciqfunctions.udf.CIQ(InputTicker, "IQ_NET_DEBT_ISSUED",Input!N$2,Date,,,Ccy,Conv)</f>
        <v>-2.4809999999999999</v>
      </c>
      <c r="M267" s="4">
        <f>_xll.ciqfunctions.udf.CIQ(InputTicker, "IQ_NET_DEBT_ISSUED",Input!O$2,Date,,,Ccy,Conv)</f>
        <v>-4.0000000000000001E-3</v>
      </c>
      <c r="N267" s="49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  <c r="BN267" s="42"/>
    </row>
    <row r="268" spans="1:66" ht="12.75" customHeight="1" x14ac:dyDescent="0.2">
      <c r="A268" s="1" t="s">
        <v>351</v>
      </c>
      <c r="B268" s="4">
        <f>_xll.ciqfunctions.udf.CIQ(InputTicker, "IQ_MAINT_CAPEX",Input!D$2,Date,,,Ccy,Conv)</f>
        <v>0</v>
      </c>
      <c r="C268" s="4">
        <f>_xll.ciqfunctions.udf.CIQ(InputTicker, "IQ_MAINT_CAPEX",Input!E$2,Date,,,Ccy,Conv)</f>
        <v>0</v>
      </c>
      <c r="D268" s="4">
        <f>_xll.ciqfunctions.udf.CIQ(InputTicker, "IQ_MAINT_CAPEX",Input!F$2,Date,,,Ccy,Conv)</f>
        <v>0</v>
      </c>
      <c r="E268" s="4">
        <f>_xll.ciqfunctions.udf.CIQ(InputTicker, "IQ_MAINT_CAPEX",Input!G$2,Date,,,Ccy,Conv)</f>
        <v>0</v>
      </c>
      <c r="F268" s="4">
        <f>_xll.ciqfunctions.udf.CIQ(InputTicker, "IQ_MAINT_CAPEX",Input!H$2,Date,,,Ccy,Conv)</f>
        <v>0</v>
      </c>
      <c r="G268" s="4">
        <f>_xll.ciqfunctions.udf.CIQ(InputTicker, "IQ_MAINT_CAPEX",Input!I$2,Date,,,Ccy,Conv)</f>
        <v>0</v>
      </c>
      <c r="H268" s="4">
        <f>_xll.ciqfunctions.udf.CIQ(InputTicker, "IQ_MAINT_CAPEX",Input!J$2,Date,,,Ccy,Conv)</f>
        <v>0</v>
      </c>
      <c r="I268" s="4">
        <f>_xll.ciqfunctions.udf.CIQ(InputTicker, "IQ_MAINT_CAPEX",Input!K$2,Date,,,Ccy,Conv)</f>
        <v>0</v>
      </c>
      <c r="J268" s="4">
        <f>_xll.ciqfunctions.udf.CIQ(InputTicker, "IQ_MAINT_CAPEX",Input!L$2,Date,,,Ccy,Conv)</f>
        <v>0</v>
      </c>
      <c r="K268" s="4">
        <f>_xll.ciqfunctions.udf.CIQ(InputTicker, "IQ_MAINT_CAPEX",Input!M$2,Date,,,Ccy,Conv)</f>
        <v>0</v>
      </c>
      <c r="L268" s="4">
        <f>_xll.ciqfunctions.udf.CIQ(InputTicker, "IQ_MAINT_CAPEX",Input!N$2,Date,,,Ccy,Conv)</f>
        <v>0</v>
      </c>
      <c r="M268" s="4">
        <f>_xll.ciqfunctions.udf.CIQ(InputTicker, "IQ_MAINT_CAPEX",Input!O$2,Date,,,Ccy,Conv)</f>
        <v>0</v>
      </c>
      <c r="N268" s="49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</row>
    <row r="269" spans="1:66" ht="12.75" customHeight="1" x14ac:dyDescent="0.2">
      <c r="A269" s="1" t="s">
        <v>34</v>
      </c>
      <c r="B269" s="4">
        <f>_xll.ciqfunctions.udf.CIQ(InputTicker, "IQ_DO_INVEST_CF",Input!D$2,Date,,,Ccy,Conv)</f>
        <v>0</v>
      </c>
      <c r="C269" s="4">
        <f>_xll.ciqfunctions.udf.CIQ(InputTicker, "IQ_DO_INVEST_CF",Input!E$2,Date,,,Ccy,Conv)</f>
        <v>0</v>
      </c>
      <c r="D269" s="4">
        <f>_xll.ciqfunctions.udf.CIQ(InputTicker, "IQ_DO_INVEST_CF",Input!F$2,Date,,,Ccy,Conv)</f>
        <v>0</v>
      </c>
      <c r="E269" s="4">
        <f>_xll.ciqfunctions.udf.CIQ(InputTicker, "IQ_DO_INVEST_CF",Input!G$2,Date,,,Ccy,Conv)</f>
        <v>0</v>
      </c>
      <c r="F269" s="4">
        <f>_xll.ciqfunctions.udf.CIQ(InputTicker, "IQ_DO_INVEST_CF",Input!H$2,Date,,,Ccy,Conv)</f>
        <v>0</v>
      </c>
      <c r="G269" s="4">
        <f>_xll.ciqfunctions.udf.CIQ(InputTicker, "IQ_DO_INVEST_CF",Input!I$2,Date,,,Ccy,Conv)</f>
        <v>0</v>
      </c>
      <c r="H269" s="4">
        <f>_xll.ciqfunctions.udf.CIQ(InputTicker, "IQ_DO_INVEST_CF",Input!J$2,Date,,,Ccy,Conv)</f>
        <v>0</v>
      </c>
      <c r="I269" s="4">
        <f>_xll.ciqfunctions.udf.CIQ(InputTicker, "IQ_DO_INVEST_CF",Input!K$2,Date,,,Ccy,Conv)</f>
        <v>0</v>
      </c>
      <c r="J269" s="4">
        <f>_xll.ciqfunctions.udf.CIQ(InputTicker, "IQ_DO_INVEST_CF",Input!L$2,Date,,,Ccy,Conv)</f>
        <v>0</v>
      </c>
      <c r="K269" s="4">
        <f>_xll.ciqfunctions.udf.CIQ(InputTicker, "IQ_DO_INVEST_CF",Input!M$2,Date,,,Ccy,Conv)</f>
        <v>0</v>
      </c>
      <c r="L269" s="4">
        <f>_xll.ciqfunctions.udf.CIQ(InputTicker, "IQ_DO_INVEST_CF",Input!N$2,Date,,,Ccy,Conv)</f>
        <v>0</v>
      </c>
      <c r="M269" s="4">
        <f>_xll.ciqfunctions.udf.CIQ(InputTicker, "IQ_DO_INVEST_CF",Input!O$2,Date,,,Ccy,Conv)</f>
        <v>0</v>
      </c>
      <c r="N269" s="49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  <c r="BN269" s="42"/>
    </row>
    <row r="270" spans="1:66" ht="12.75" customHeight="1" x14ac:dyDescent="0.2">
      <c r="A270" s="1" t="s">
        <v>35</v>
      </c>
      <c r="B270" s="4">
        <f>_xll.ciqfunctions.udf.CIQ(InputTicker, "IQ_DO_FINANCE_CF",Input!D$2,Date,,,Ccy,Conv)</f>
        <v>0</v>
      </c>
      <c r="C270" s="4">
        <f>_xll.ciqfunctions.udf.CIQ(InputTicker, "IQ_DO_FINANCE_CF",Input!E$2,Date,,,Ccy,Conv)</f>
        <v>0</v>
      </c>
      <c r="D270" s="4">
        <f>_xll.ciqfunctions.udf.CIQ(InputTicker, "IQ_DO_FINANCE_CF",Input!F$2,Date,,,Ccy,Conv)</f>
        <v>0</v>
      </c>
      <c r="E270" s="4">
        <f>_xll.ciqfunctions.udf.CIQ(InputTicker, "IQ_DO_FINANCE_CF",Input!G$2,Date,,,Ccy,Conv)</f>
        <v>0</v>
      </c>
      <c r="F270" s="4">
        <f>_xll.ciqfunctions.udf.CIQ(InputTicker, "IQ_DO_FINANCE_CF",Input!H$2,Date,,,Ccy,Conv)</f>
        <v>0</v>
      </c>
      <c r="G270" s="4">
        <f>_xll.ciqfunctions.udf.CIQ(InputTicker, "IQ_DO_FINANCE_CF",Input!I$2,Date,,,Ccy,Conv)</f>
        <v>0</v>
      </c>
      <c r="H270" s="4">
        <f>_xll.ciqfunctions.udf.CIQ(InputTicker, "IQ_DO_FINANCE_CF",Input!J$2,Date,,,Ccy,Conv)</f>
        <v>0</v>
      </c>
      <c r="I270" s="4">
        <f>_xll.ciqfunctions.udf.CIQ(InputTicker, "IQ_DO_FINANCE_CF",Input!K$2,Date,,,Ccy,Conv)</f>
        <v>0</v>
      </c>
      <c r="J270" s="4">
        <f>_xll.ciqfunctions.udf.CIQ(InputTicker, "IQ_DO_FINANCE_CF",Input!L$2,Date,,,Ccy,Conv)</f>
        <v>0</v>
      </c>
      <c r="K270" s="4">
        <f>_xll.ciqfunctions.udf.CIQ(InputTicker, "IQ_DO_FINANCE_CF",Input!M$2,Date,,,Ccy,Conv)</f>
        <v>0</v>
      </c>
      <c r="L270" s="4">
        <f>_xll.ciqfunctions.udf.CIQ(InputTicker, "IQ_DO_FINANCE_CF",Input!N$2,Date,,,Ccy,Conv)</f>
        <v>0</v>
      </c>
      <c r="M270" s="4">
        <f>_xll.ciqfunctions.udf.CIQ(InputTicker, "IQ_DO_FINANCE_CF",Input!O$2,Date,,,Ccy,Conv)</f>
        <v>0</v>
      </c>
      <c r="N270" s="49"/>
      <c r="T270" s="46"/>
      <c r="U270" s="46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  <c r="BM270" s="42"/>
      <c r="BN270" s="42"/>
    </row>
    <row r="271" spans="1:66" ht="12.75" customHeight="1" x14ac:dyDescent="0.2">
      <c r="A271" s="1" t="s">
        <v>446</v>
      </c>
      <c r="B271" s="4">
        <f>_xll.ciqfunctions.udf.CIQ(InputTicker, "IQ_OPERATING_LEASE_PAYMENTS",Input!D$2,Date,,,Ccy,Conv)</f>
        <v>0</v>
      </c>
      <c r="C271" s="4">
        <f>_xll.ciqfunctions.udf.CIQ(InputTicker, "IQ_OPERATING_LEASE_PAYMENTS",Input!E$2,Date,,,Ccy,Conv)</f>
        <v>0</v>
      </c>
      <c r="D271" s="4">
        <f>_xll.ciqfunctions.udf.CIQ(InputTicker, "IQ_OPERATING_LEASE_PAYMENTS",Input!F$2,Date,,,Ccy,Conv)</f>
        <v>0</v>
      </c>
      <c r="E271" s="4">
        <f>_xll.ciqfunctions.udf.CIQ(InputTicker, "IQ_OPERATING_LEASE_PAYMENTS",Input!G$2,Date,,,Ccy,Conv)</f>
        <v>0</v>
      </c>
      <c r="F271" s="4">
        <f>_xll.ciqfunctions.udf.CIQ(InputTicker, "IQ_OPERATING_LEASE_PAYMENTS",Input!H$2,Date,,,Ccy,Conv)</f>
        <v>0</v>
      </c>
      <c r="G271" s="4">
        <f>_xll.ciqfunctions.udf.CIQ(InputTicker, "IQ_OPERATING_LEASE_PAYMENTS",Input!I$2,Date,,,Ccy,Conv)</f>
        <v>0</v>
      </c>
      <c r="H271" s="4">
        <f>_xll.ciqfunctions.udf.CIQ(InputTicker, "IQ_OPERATING_LEASE_PAYMENTS",Input!J$2,Date,,,Ccy,Conv)</f>
        <v>0</v>
      </c>
      <c r="I271" s="4">
        <f>_xll.ciqfunctions.udf.CIQ(InputTicker, "IQ_OPERATING_LEASE_PAYMENTS",Input!K$2,Date,,,Ccy,Conv)</f>
        <v>0</v>
      </c>
      <c r="J271" s="4">
        <f>_xll.ciqfunctions.udf.CIQ(InputTicker, "IQ_OPERATING_LEASE_PAYMENTS",Input!L$2,Date,,,Ccy,Conv)</f>
        <v>0</v>
      </c>
      <c r="K271" s="4">
        <f>_xll.ciqfunctions.udf.CIQ(InputTicker, "IQ_OPERATING_LEASE_PAYMENTS",Input!M$2,Date,,,Ccy,Conv)</f>
        <v>0</v>
      </c>
      <c r="L271" s="4">
        <f>_xll.ciqfunctions.udf.CIQ(InputTicker, "IQ_OPERATING_LEASE_PAYMENTS",Input!N$2,Date,,,Ccy,Conv)</f>
        <v>0</v>
      </c>
      <c r="M271" s="4">
        <f>_xll.ciqfunctions.udf.CIQ(InputTicker, "IQ_OPERATING_LEASE_PAYMENTS",Input!O$2,Date,,,Ccy,Conv)</f>
        <v>0</v>
      </c>
      <c r="N271" s="5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  <c r="BN271" s="42"/>
    </row>
    <row r="272" spans="1:66" ht="12.75" customHeight="1" x14ac:dyDescent="0.2">
      <c r="A272" s="1" t="s">
        <v>447</v>
      </c>
      <c r="B272" s="4">
        <f>_xll.ciqfunctions.udf.CIQ(InputTicker, "IQ_OPERATING_LEASE_LIABILITIES",Input!D$2,Date,,,Ccy,Conv)</f>
        <v>0</v>
      </c>
      <c r="C272" s="4">
        <f>_xll.ciqfunctions.udf.CIQ(InputTicker, "IQ_OPERATING_LEASE_LIABILITIES",Input!E$2,Date,,,Ccy,Conv)</f>
        <v>0</v>
      </c>
      <c r="D272" s="4">
        <f>_xll.ciqfunctions.udf.CIQ(InputTicker, "IQ_OPERATING_LEASE_LIABILITIES",Input!F$2,Date,,,Ccy,Conv)</f>
        <v>0</v>
      </c>
      <c r="E272" s="4">
        <f>_xll.ciqfunctions.udf.CIQ(InputTicker, "IQ_OPERATING_LEASE_LIABILITIES",Input!G$2,Date,,,Ccy,Conv)</f>
        <v>0</v>
      </c>
      <c r="F272" s="4">
        <f>_xll.ciqfunctions.udf.CIQ(InputTicker, "IQ_OPERATING_LEASE_LIABILITIES",Input!H$2,Date,,,Ccy,Conv)</f>
        <v>0</v>
      </c>
      <c r="G272" s="4">
        <f>_xll.ciqfunctions.udf.CIQ(InputTicker, "IQ_OPERATING_LEASE_LIABILITIES",Input!I$2,Date,,,Ccy,Conv)</f>
        <v>0</v>
      </c>
      <c r="H272" s="4">
        <f>_xll.ciqfunctions.udf.CIQ(InputTicker, "IQ_OPERATING_LEASE_LIABILITIES",Input!J$2,Date,,,Ccy,Conv)</f>
        <v>0</v>
      </c>
      <c r="I272" s="4">
        <f>_xll.ciqfunctions.udf.CIQ(InputTicker, "IQ_OPERATING_LEASE_LIABILITIES",Input!K$2,Date,,,Ccy,Conv)</f>
        <v>0</v>
      </c>
      <c r="J272" s="4">
        <f>_xll.ciqfunctions.udf.CIQ(InputTicker, "IQ_OPERATING_LEASE_LIABILITIES",Input!L$2,Date,,,Ccy,Conv)</f>
        <v>0</v>
      </c>
      <c r="K272" s="4">
        <f>_xll.ciqfunctions.udf.CIQ(InputTicker, "IQ_OPERATING_LEASE_LIABILITIES",Input!M$2,Date,,,Ccy,Conv)</f>
        <v>0</v>
      </c>
      <c r="L272" s="4">
        <f>_xll.ciqfunctions.udf.CIQ(InputTicker, "IQ_OPERATING_LEASE_LIABILITIES",Input!N$2,Date,,,Ccy,Conv)</f>
        <v>0</v>
      </c>
      <c r="M272" s="4">
        <f>_xll.ciqfunctions.udf.CIQ(InputTicker, "IQ_OPERATING_LEASE_LIABILITIES",Input!O$2,Date,,,Ccy,Conv)</f>
        <v>0</v>
      </c>
      <c r="N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  <c r="BM272" s="42"/>
      <c r="BN272" s="42"/>
    </row>
    <row r="273" spans="1:66" ht="12.75" customHeight="1" x14ac:dyDescent="0.2">
      <c r="A273" s="1" t="s">
        <v>448</v>
      </c>
      <c r="B273" s="4">
        <f>_xll.ciqfunctions.udf.CIQ(InputTicker, "IQ_OPERATING_LEASE_LIABILITIES_NONCASH",Input!D$2,Date,,,Ccy,Conv)</f>
        <v>0</v>
      </c>
      <c r="C273" s="4">
        <f>_xll.ciqfunctions.udf.CIQ(InputTicker, "IQ_OPERATING_LEASE_LIABILITIES_NONCASH",Input!E$2,Date,,,Ccy,Conv)</f>
        <v>0</v>
      </c>
      <c r="D273" s="4">
        <f>_xll.ciqfunctions.udf.CIQ(InputTicker, "IQ_OPERATING_LEASE_LIABILITIES_NONCASH",Input!F$2,Date,,,Ccy,Conv)</f>
        <v>0</v>
      </c>
      <c r="E273" s="4">
        <f>_xll.ciqfunctions.udf.CIQ(InputTicker, "IQ_OPERATING_LEASE_LIABILITIES_NONCASH",Input!G$2,Date,,,Ccy,Conv)</f>
        <v>0</v>
      </c>
      <c r="F273" s="4">
        <f>_xll.ciqfunctions.udf.CIQ(InputTicker, "IQ_OPERATING_LEASE_LIABILITIES_NONCASH",Input!H$2,Date,,,Ccy,Conv)</f>
        <v>0</v>
      </c>
      <c r="G273" s="4">
        <f>_xll.ciqfunctions.udf.CIQ(InputTicker, "IQ_OPERATING_LEASE_LIABILITIES_NONCASH",Input!I$2,Date,,,Ccy,Conv)</f>
        <v>0</v>
      </c>
      <c r="H273" s="4">
        <f>_xll.ciqfunctions.udf.CIQ(InputTicker, "IQ_OPERATING_LEASE_LIABILITIES_NONCASH",Input!J$2,Date,,,Ccy,Conv)</f>
        <v>0</v>
      </c>
      <c r="I273" s="4">
        <f>_xll.ciqfunctions.udf.CIQ(InputTicker, "IQ_OPERATING_LEASE_LIABILITIES_NONCASH",Input!K$2,Date,,,Ccy,Conv)</f>
        <v>0</v>
      </c>
      <c r="J273" s="4">
        <f>_xll.ciqfunctions.udf.CIQ(InputTicker, "IQ_OPERATING_LEASE_LIABILITIES_NONCASH",Input!L$2,Date,,,Ccy,Conv)</f>
        <v>0</v>
      </c>
      <c r="K273" s="4">
        <f>_xll.ciqfunctions.udf.CIQ(InputTicker, "IQ_OPERATING_LEASE_LIABILITIES_NONCASH",Input!M$2,Date,,,Ccy,Conv)</f>
        <v>0</v>
      </c>
      <c r="L273" s="4">
        <f>_xll.ciqfunctions.udf.CIQ(InputTicker, "IQ_OPERATING_LEASE_LIABILITIES_NONCASH",Input!N$2,Date,,,Ccy,Conv)</f>
        <v>0</v>
      </c>
      <c r="M273" s="4">
        <f>_xll.ciqfunctions.udf.CIQ(InputTicker, "IQ_OPERATING_LEASE_LIABILITIES_NONCASH",Input!O$2,Date,,,Ccy,Conv)</f>
        <v>0</v>
      </c>
      <c r="N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</row>
    <row r="274" spans="1:66" ht="12.75" customHeight="1" x14ac:dyDescent="0.2">
      <c r="A274" s="1" t="s">
        <v>468</v>
      </c>
      <c r="B274" s="4">
        <f>_xll.ciqfunctions.udf.CIQ(InputTicker, "IQ_LONG_TERM_DEBT_REPAID_EXCL_LEASES",Input!D$2,Date,,,Ccy,Conv)</f>
        <v>-10.233000000000001</v>
      </c>
      <c r="C274" s="4">
        <f>_xll.ciqfunctions.udf.CIQ(InputTicker, "IQ_LONG_TERM_DEBT_REPAID_EXCL_LEASES",Input!E$2,Date,,,Ccy,Conv)</f>
        <v>-25.29</v>
      </c>
      <c r="D274" s="4">
        <f>_xll.ciqfunctions.udf.CIQ(InputTicker, "IQ_LONG_TERM_DEBT_REPAID_EXCL_LEASES",Input!F$2,Date,,,Ccy,Conv)</f>
        <v>-16.510000000000002</v>
      </c>
      <c r="E274" s="4">
        <f>_xll.ciqfunctions.udf.CIQ(InputTicker, "IQ_LONG_TERM_DEBT_REPAID_EXCL_LEASES",Input!G$2,Date,,,Ccy,Conv)</f>
        <v>-4.8490000000000002</v>
      </c>
      <c r="F274" s="4">
        <f>_xll.ciqfunctions.udf.CIQ(InputTicker, "IQ_LONG_TERM_DEBT_REPAID_EXCL_LEASES",Input!H$2,Date,,,Ccy,Conv)</f>
        <v>-3.754</v>
      </c>
      <c r="G274" s="4">
        <f>_xll.ciqfunctions.udf.CIQ(InputTicker, "IQ_LONG_TERM_DEBT_REPAID_EXCL_LEASES",Input!I$2,Date,,,Ccy,Conv)</f>
        <v>-1.696</v>
      </c>
      <c r="H274" s="4">
        <f>_xll.ciqfunctions.udf.CIQ(InputTicker, "IQ_LONG_TERM_DEBT_REPAID_EXCL_LEASES",Input!J$2,Date,,,Ccy,Conv)</f>
        <v>-0.20499999999999999</v>
      </c>
      <c r="I274" s="4">
        <f>_xll.ciqfunctions.udf.CIQ(InputTicker, "IQ_LONG_TERM_DEBT_REPAID_EXCL_LEASES",Input!K$2,Date,,,Ccy,Conv)</f>
        <v>-0.215</v>
      </c>
      <c r="J274" s="4">
        <f>_xll.ciqfunctions.udf.CIQ(InputTicker, "IQ_LONG_TERM_DEBT_REPAID_EXCL_LEASES",Input!L$2,Date,,,Ccy,Conv)</f>
        <v>-0.224</v>
      </c>
      <c r="K274" s="4">
        <f>_xll.ciqfunctions.udf.CIQ(InputTicker, "IQ_LONG_TERM_DEBT_REPAID_EXCL_LEASES",Input!M$2,Date,,,Ccy,Conv)</f>
        <v>-0.214</v>
      </c>
      <c r="L274" s="4">
        <f>_xll.ciqfunctions.udf.CIQ(InputTicker, "IQ_LONG_TERM_DEBT_REPAID_EXCL_LEASES",Input!N$2,Date,,,Ccy,Conv)</f>
        <v>-2.4809999999999999</v>
      </c>
      <c r="M274" s="4">
        <f>_xll.ciqfunctions.udf.CIQ(InputTicker, "IQ_LONG_TERM_DEBT_REPAID_EXCL_LEASES",Input!O$2,Date,,,Ccy,Conv)</f>
        <v>-4.0000000000000001E-3</v>
      </c>
      <c r="N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  <c r="BM274" s="42"/>
      <c r="BN274" s="42"/>
    </row>
    <row r="275" spans="1:66" ht="12.75" customHeight="1" x14ac:dyDescent="0.2">
      <c r="A275" s="1" t="s">
        <v>469</v>
      </c>
      <c r="B275" s="4">
        <f>_xll.ciqfunctions.udf.CIQ(InputTicker, "IQ_TOTAL_DEBT_REPAID_EXCL_LEASES",Input!D$2,Date,,,Ccy,Conv)</f>
        <v>-10.233000000000001</v>
      </c>
      <c r="C275" s="4">
        <f>_xll.ciqfunctions.udf.CIQ(InputTicker, "IQ_TOTAL_DEBT_REPAID_EXCL_LEASES",Input!E$2,Date,,,Ccy,Conv)</f>
        <v>-25.29</v>
      </c>
      <c r="D275" s="4">
        <f>_xll.ciqfunctions.udf.CIQ(InputTicker, "IQ_TOTAL_DEBT_REPAID_EXCL_LEASES",Input!F$2,Date,,,Ccy,Conv)</f>
        <v>-16.510000000000002</v>
      </c>
      <c r="E275" s="4">
        <f>_xll.ciqfunctions.udf.CIQ(InputTicker, "IQ_TOTAL_DEBT_REPAID_EXCL_LEASES",Input!G$2,Date,,,Ccy,Conv)</f>
        <v>-4.8490000000000002</v>
      </c>
      <c r="F275" s="4">
        <f>_xll.ciqfunctions.udf.CIQ(InputTicker, "IQ_TOTAL_DEBT_REPAID_EXCL_LEASES",Input!H$2,Date,,,Ccy,Conv)</f>
        <v>-3.754</v>
      </c>
      <c r="G275" s="4">
        <f>_xll.ciqfunctions.udf.CIQ(InputTicker, "IQ_TOTAL_DEBT_REPAID_EXCL_LEASES",Input!I$2,Date,,,Ccy,Conv)</f>
        <v>-1.696</v>
      </c>
      <c r="H275" s="4">
        <f>_xll.ciqfunctions.udf.CIQ(InputTicker, "IQ_TOTAL_DEBT_REPAID_EXCL_LEASES",Input!J$2,Date,,,Ccy,Conv)</f>
        <v>-0.20499999999999999</v>
      </c>
      <c r="I275" s="4">
        <f>_xll.ciqfunctions.udf.CIQ(InputTicker, "IQ_TOTAL_DEBT_REPAID_EXCL_LEASES",Input!K$2,Date,,,Ccy,Conv)</f>
        <v>-0.215</v>
      </c>
      <c r="J275" s="4">
        <f>_xll.ciqfunctions.udf.CIQ(InputTicker, "IQ_TOTAL_DEBT_REPAID_EXCL_LEASES",Input!L$2,Date,,,Ccy,Conv)</f>
        <v>-0.224</v>
      </c>
      <c r="K275" s="4">
        <f>_xll.ciqfunctions.udf.CIQ(InputTicker, "IQ_TOTAL_DEBT_REPAID_EXCL_LEASES",Input!M$2,Date,,,Ccy,Conv)</f>
        <v>-0.214</v>
      </c>
      <c r="L275" s="4">
        <f>_xll.ciqfunctions.udf.CIQ(InputTicker, "IQ_TOTAL_DEBT_REPAID_EXCL_LEASES",Input!N$2,Date,,,Ccy,Conv)</f>
        <v>-2.4809999999999999</v>
      </c>
      <c r="M275" s="4">
        <f>_xll.ciqfunctions.udf.CIQ(InputTicker, "IQ_TOTAL_DEBT_REPAID_EXCL_LEASES",Input!O$2,Date,,,Ccy,Conv)</f>
        <v>-4.0000000000000001E-3</v>
      </c>
      <c r="N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</row>
    <row r="276" spans="1:66" ht="12.75" customHeight="1" x14ac:dyDescent="0.2">
      <c r="A276" s="1" t="s">
        <v>470</v>
      </c>
      <c r="B276" s="4">
        <f>_xll.ciqfunctions.udf.CIQ(InputTicker, "IQ_GAIN_BARGAIN_ACQ_CF",Input!D$2,Date,,,Ccy,Conv)</f>
        <v>0</v>
      </c>
      <c r="C276" s="4">
        <f>_xll.ciqfunctions.udf.CIQ(InputTicker, "IQ_GAIN_BARGAIN_ACQ_CF",Input!E$2,Date,,,Ccy,Conv)</f>
        <v>0</v>
      </c>
      <c r="D276" s="4">
        <f>_xll.ciqfunctions.udf.CIQ(InputTicker, "IQ_GAIN_BARGAIN_ACQ_CF",Input!F$2,Date,,,Ccy,Conv)</f>
        <v>0</v>
      </c>
      <c r="E276" s="4">
        <f>_xll.ciqfunctions.udf.CIQ(InputTicker, "IQ_GAIN_BARGAIN_ACQ_CF",Input!G$2,Date,,,Ccy,Conv)</f>
        <v>0</v>
      </c>
      <c r="F276" s="4">
        <f>_xll.ciqfunctions.udf.CIQ(InputTicker, "IQ_GAIN_BARGAIN_ACQ_CF",Input!H$2,Date,,,Ccy,Conv)</f>
        <v>0</v>
      </c>
      <c r="G276" s="4">
        <f>_xll.ciqfunctions.udf.CIQ(InputTicker, "IQ_GAIN_BARGAIN_ACQ_CF",Input!I$2,Date,,,Ccy,Conv)</f>
        <v>0</v>
      </c>
      <c r="H276" s="4">
        <f>_xll.ciqfunctions.udf.CIQ(InputTicker, "IQ_GAIN_BARGAIN_ACQ_CF",Input!J$2,Date,,,Ccy,Conv)</f>
        <v>0</v>
      </c>
      <c r="I276" s="4">
        <f>_xll.ciqfunctions.udf.CIQ(InputTicker, "IQ_GAIN_BARGAIN_ACQ_CF",Input!K$2,Date,,,Ccy,Conv)</f>
        <v>0</v>
      </c>
      <c r="J276" s="4">
        <f>_xll.ciqfunctions.udf.CIQ(InputTicker, "IQ_GAIN_BARGAIN_ACQ_CF",Input!L$2,Date,,,Ccy,Conv)</f>
        <v>0</v>
      </c>
      <c r="K276" s="4">
        <f>_xll.ciqfunctions.udf.CIQ(InputTicker, "IQ_GAIN_BARGAIN_ACQ_CF",Input!M$2,Date,,,Ccy,Conv)</f>
        <v>0</v>
      </c>
      <c r="L276" s="4">
        <f>_xll.ciqfunctions.udf.CIQ(InputTicker, "IQ_GAIN_BARGAIN_ACQ_CF",Input!N$2,Date,,,Ccy,Conv)</f>
        <v>0</v>
      </c>
      <c r="M276" s="4">
        <f>_xll.ciqfunctions.udf.CIQ(InputTicker, "IQ_GAIN_BARGAIN_ACQ_CF",Input!O$2,Date,,,Ccy,Conv)</f>
        <v>0</v>
      </c>
      <c r="N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  <c r="BM276" s="42"/>
      <c r="BN276" s="42"/>
    </row>
    <row r="277" spans="1:66" ht="12.75" customHeight="1" x14ac:dyDescent="0.2">
      <c r="A277" s="1" t="s">
        <v>347</v>
      </c>
      <c r="B277" s="15" t="str">
        <f>_xll.ciqfunctions.udf.CIQ(InputTicker, "IQ_FILING_CURRENCY",Input!D$2,Date)</f>
        <v>USD</v>
      </c>
      <c r="C277" s="15" t="str">
        <f>_xll.ciqfunctions.udf.CIQ(InputTicker, "IQ_FILING_CURRENCY",Input!E$2,Date)</f>
        <v>USD</v>
      </c>
      <c r="D277" s="15" t="str">
        <f>_xll.ciqfunctions.udf.CIQ(InputTicker, "IQ_FILING_CURRENCY",Input!F$2,Date)</f>
        <v>USD</v>
      </c>
      <c r="E277" s="15" t="str">
        <f>_xll.ciqfunctions.udf.CIQ(InputTicker, "IQ_FILING_CURRENCY",Input!G$2,Date)</f>
        <v>USD</v>
      </c>
      <c r="F277" s="15" t="str">
        <f>_xll.ciqfunctions.udf.CIQ(InputTicker, "IQ_FILING_CURRENCY",Input!H$2,Date)</f>
        <v>USD</v>
      </c>
      <c r="G277" s="15" t="str">
        <f>_xll.ciqfunctions.udf.CIQ(InputTicker, "IQ_FILING_CURRENCY",Input!I$2,Date)</f>
        <v>USD</v>
      </c>
      <c r="H277" s="15" t="str">
        <f>_xll.ciqfunctions.udf.CIQ(InputTicker, "IQ_FILING_CURRENCY",Input!J$2,Date)</f>
        <v>USD</v>
      </c>
      <c r="I277" s="15" t="str">
        <f>_xll.ciqfunctions.udf.CIQ(InputTicker, "IQ_FILING_CURRENCY",Input!K$2,Date)</f>
        <v>USD</v>
      </c>
      <c r="J277" s="15" t="str">
        <f>_xll.ciqfunctions.udf.CIQ(InputTicker, "IQ_FILING_CURRENCY",Input!L$2,Date)</f>
        <v>USD</v>
      </c>
      <c r="K277" s="15" t="str">
        <f>_xll.ciqfunctions.udf.CIQ(InputTicker, "IQ_FILING_CURRENCY",Input!M$2,Date)</f>
        <v>USD</v>
      </c>
      <c r="L277" s="15" t="str">
        <f>_xll.ciqfunctions.udf.CIQ(InputTicker, "IQ_FILING_CURRENCY",Input!N$2,Date)</f>
        <v>USD</v>
      </c>
      <c r="M277" s="15" t="str">
        <f>_xll.ciqfunctions.udf.CIQ(InputTicker, "IQ_FILING_CURRENCY",Input!O$2,Date)</f>
        <v>USD</v>
      </c>
      <c r="N277" s="42"/>
      <c r="P277" s="46"/>
      <c r="Q277" s="46"/>
      <c r="R277" s="46"/>
      <c r="S277" s="46"/>
      <c r="T277" s="42"/>
      <c r="U277" s="42"/>
      <c r="V277" s="46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42"/>
      <c r="BM277" s="42"/>
      <c r="BN277" s="42"/>
    </row>
    <row r="278" spans="1:66" ht="12.75" customHeight="1" x14ac:dyDescent="0.2">
      <c r="A278" s="1" t="s">
        <v>345</v>
      </c>
      <c r="B278" s="15" t="str">
        <f>_xll.ciqfunctions.udf.CIQ(InputTicker, "IQ_RESTATEMENT_CF",Input!D$2,Date)</f>
        <v>NC</v>
      </c>
      <c r="C278" s="15" t="str">
        <f>_xll.ciqfunctions.udf.CIQ(InputTicker, "IQ_RESTATEMENT_CF",Input!E$2,Date)</f>
        <v>RS</v>
      </c>
      <c r="D278" s="15" t="str">
        <f>_xll.ciqfunctions.udf.CIQ(InputTicker, "IQ_RESTATEMENT_CF",Input!F$2,Date)</f>
        <v>RS</v>
      </c>
      <c r="E278" s="15" t="str">
        <f>_xll.ciqfunctions.udf.CIQ(InputTicker, "IQ_RESTATEMENT_CF",Input!G$2,Date)</f>
        <v>NC</v>
      </c>
      <c r="F278" s="15" t="str">
        <f>_xll.ciqfunctions.udf.CIQ(InputTicker, "IQ_RESTATEMENT_CF",Input!H$2,Date)</f>
        <v>NC</v>
      </c>
      <c r="G278" s="15" t="str">
        <f>_xll.ciqfunctions.udf.CIQ(InputTicker, "IQ_RESTATEMENT_CF",Input!I$2,Date)</f>
        <v>NC</v>
      </c>
      <c r="H278" s="15" t="str">
        <f>_xll.ciqfunctions.udf.CIQ(InputTicker, "IQ_RESTATEMENT_CF",Input!J$2,Date)</f>
        <v>NC</v>
      </c>
      <c r="I278" s="15" t="str">
        <f>_xll.ciqfunctions.udf.CIQ(InputTicker, "IQ_RESTATEMENT_CF",Input!K$2,Date)</f>
        <v>NC</v>
      </c>
      <c r="J278" s="15" t="str">
        <f>_xll.ciqfunctions.udf.CIQ(InputTicker, "IQ_RESTATEMENT_CF",Input!L$2,Date)</f>
        <v>NC</v>
      </c>
      <c r="K278" s="15" t="str">
        <f>_xll.ciqfunctions.udf.CIQ(InputTicker, "IQ_RESTATEMENT_CF",Input!M$2,Date)</f>
        <v>NC</v>
      </c>
      <c r="L278" s="15" t="str">
        <f>_xll.ciqfunctions.udf.CIQ(InputTicker, "IQ_RESTATEMENT_CF",Input!N$2,Date)</f>
        <v>O</v>
      </c>
      <c r="M278" s="15" t="str">
        <f>_xll.ciqfunctions.udf.CIQ(InputTicker, "IQ_RESTATEMENT_CF",Input!O$2,Date)</f>
        <v>O</v>
      </c>
      <c r="N278" s="42"/>
      <c r="T278" s="46"/>
      <c r="U278" s="46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  <c r="BM278" s="42"/>
      <c r="BN278" s="42"/>
    </row>
    <row r="279" spans="1:66" ht="12.75" customHeight="1" x14ac:dyDescent="0.2">
      <c r="A279" s="1" t="s">
        <v>346</v>
      </c>
      <c r="B279" s="15" t="str">
        <f>_xll.ciqfunctions.udf.CIQ(InputTicker, "IQ_CALC_TYPE_CF",Input!D$2,Date)</f>
        <v>REP</v>
      </c>
      <c r="C279" s="15" t="str">
        <f>_xll.ciqfunctions.udf.CIQ(InputTicker, "IQ_CALC_TYPE_CF",Input!E$2,Date)</f>
        <v>REP</v>
      </c>
      <c r="D279" s="15" t="str">
        <f>_xll.ciqfunctions.udf.CIQ(InputTicker, "IQ_CALC_TYPE_CF",Input!F$2,Date)</f>
        <v>REP</v>
      </c>
      <c r="E279" s="15" t="str">
        <f>_xll.ciqfunctions.udf.CIQ(InputTicker, "IQ_CALC_TYPE_CF",Input!G$2,Date)</f>
        <v>REP</v>
      </c>
      <c r="F279" s="15" t="str">
        <f>_xll.ciqfunctions.udf.CIQ(InputTicker, "IQ_CALC_TYPE_CF",Input!H$2,Date)</f>
        <v>REP</v>
      </c>
      <c r="G279" s="15" t="str">
        <f>_xll.ciqfunctions.udf.CIQ(InputTicker, "IQ_CALC_TYPE_CF",Input!I$2,Date)</f>
        <v>REP</v>
      </c>
      <c r="H279" s="15" t="str">
        <f>_xll.ciqfunctions.udf.CIQ(InputTicker, "IQ_CALC_TYPE_CF",Input!J$2,Date)</f>
        <v>REP</v>
      </c>
      <c r="I279" s="15" t="str">
        <f>_xll.ciqfunctions.udf.CIQ(InputTicker, "IQ_CALC_TYPE_CF",Input!K$2,Date)</f>
        <v>REP</v>
      </c>
      <c r="J279" s="15" t="str">
        <f>_xll.ciqfunctions.udf.CIQ(InputTicker, "IQ_CALC_TYPE_CF",Input!L$2,Date)</f>
        <v>REP</v>
      </c>
      <c r="K279" s="15" t="str">
        <f>_xll.ciqfunctions.udf.CIQ(InputTicker, "IQ_CALC_TYPE_CF",Input!M$2,Date)</f>
        <v>REP</v>
      </c>
      <c r="L279" s="15" t="str">
        <f>_xll.ciqfunctions.udf.CIQ(InputTicker, "IQ_CALC_TYPE_CF",Input!N$2,Date)</f>
        <v>REP</v>
      </c>
      <c r="M279" s="15" t="str">
        <f>_xll.ciqfunctions.udf.CIQ(InputTicker, "IQ_CALC_TYPE_CF",Input!O$2,Date)</f>
        <v>LTM</v>
      </c>
      <c r="N279" s="42"/>
      <c r="S279" s="46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42"/>
      <c r="BL279" s="42"/>
      <c r="BM279" s="42"/>
      <c r="BN279" s="42"/>
    </row>
    <row r="280" spans="1:66" ht="12.75" customHeight="1" x14ac:dyDescent="0.2">
      <c r="A280" s="1" t="s">
        <v>376</v>
      </c>
      <c r="B280" s="15" t="str">
        <f>_xll.ciqfunctions.udf.CIQ(InputTicker, "IQ_GAAP_CF",Input!D$2,Date)</f>
        <v>US GAAP</v>
      </c>
      <c r="C280" s="15" t="str">
        <f>_xll.ciqfunctions.udf.CIQ(InputTicker, "IQ_GAAP_CF",Input!E$2,Date)</f>
        <v>US GAAP</v>
      </c>
      <c r="D280" s="15" t="str">
        <f>_xll.ciqfunctions.udf.CIQ(InputTicker, "IQ_GAAP_CF",Input!F$2,Date)</f>
        <v>US GAAP</v>
      </c>
      <c r="E280" s="15" t="str">
        <f>_xll.ciqfunctions.udf.CIQ(InputTicker, "IQ_GAAP_CF",Input!G$2,Date)</f>
        <v>US GAAP</v>
      </c>
      <c r="F280" s="15" t="str">
        <f>_xll.ciqfunctions.udf.CIQ(InputTicker, "IQ_GAAP_CF",Input!H$2,Date)</f>
        <v>US GAAP</v>
      </c>
      <c r="G280" s="15" t="str">
        <f>_xll.ciqfunctions.udf.CIQ(InputTicker, "IQ_GAAP_CF",Input!I$2,Date)</f>
        <v>US GAAP</v>
      </c>
      <c r="H280" s="15" t="str">
        <f>_xll.ciqfunctions.udf.CIQ(InputTicker, "IQ_GAAP_CF",Input!J$2,Date)</f>
        <v>US GAAP</v>
      </c>
      <c r="I280" s="15" t="str">
        <f>_xll.ciqfunctions.udf.CIQ(InputTicker, "IQ_GAAP_CF",Input!K$2,Date)</f>
        <v>US GAAP</v>
      </c>
      <c r="J280" s="15" t="str">
        <f>_xll.ciqfunctions.udf.CIQ(InputTicker, "IQ_GAAP_CF",Input!L$2,Date)</f>
        <v>US GAAP</v>
      </c>
      <c r="K280" s="15" t="str">
        <f>_xll.ciqfunctions.udf.CIQ(InputTicker, "IQ_GAAP_CF",Input!M$2,Date)</f>
        <v>US GAAP</v>
      </c>
      <c r="L280" s="15" t="str">
        <f>_xll.ciqfunctions.udf.CIQ(InputTicker, "IQ_GAAP_CF",Input!N$2,Date)</f>
        <v>US GAAP</v>
      </c>
      <c r="M280" s="15">
        <f>_xll.ciqfunctions.udf.CIQ(InputTicker, "IQ_GAAP_CF",Input!O$2,Date)</f>
        <v>0</v>
      </c>
      <c r="N280" s="42"/>
      <c r="P280" s="46"/>
      <c r="Q280" s="46"/>
      <c r="R280" s="46"/>
      <c r="T280" s="46"/>
      <c r="U280" s="46"/>
      <c r="V280" s="46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  <c r="BN280" s="42"/>
    </row>
    <row r="281" spans="1:66" ht="12.75" customHeight="1" x14ac:dyDescent="0.2">
      <c r="A281" s="1" t="s">
        <v>85</v>
      </c>
      <c r="B281" s="4">
        <f>_xll.ciqfunctions.udf.CIQ(InputTicker, "IQ_CASH_EQUIV",Input!D$2,Date,,,Ccy,Conv)</f>
        <v>8.6669999999999998</v>
      </c>
      <c r="C281" s="4">
        <f>_xll.ciqfunctions.udf.CIQ(InputTicker, "IQ_CASH_EQUIV",Input!E$2,Date,,,Ccy,Conv)</f>
        <v>29.045999999999999</v>
      </c>
      <c r="D281" s="4">
        <f>_xll.ciqfunctions.udf.CIQ(InputTicker, "IQ_CASH_EQUIV",Input!F$2,Date,,,Ccy,Conv)</f>
        <v>17.564</v>
      </c>
      <c r="E281" s="4">
        <f>_xll.ciqfunctions.udf.CIQ(InputTicker, "IQ_CASH_EQUIV",Input!G$2,Date,,,Ccy,Conv)</f>
        <v>48.430999999999997</v>
      </c>
      <c r="F281" s="4">
        <f>_xll.ciqfunctions.udf.CIQ(InputTicker, "IQ_CASH_EQUIV",Input!H$2,Date,,,Ccy,Conv)</f>
        <v>69.247</v>
      </c>
      <c r="G281" s="4">
        <f>_xll.ciqfunctions.udf.CIQ(InputTicker, "IQ_CASH_EQUIV",Input!I$2,Date,,,Ccy,Conv)</f>
        <v>78.13</v>
      </c>
      <c r="H281" s="4">
        <f>_xll.ciqfunctions.udf.CIQ(InputTicker, "IQ_CASH_EQUIV",Input!J$2,Date,,,Ccy,Conv)</f>
        <v>57.351999999999997</v>
      </c>
      <c r="I281" s="4">
        <f>_xll.ciqfunctions.udf.CIQ(InputTicker, "IQ_CASH_EQUIV",Input!K$2,Date,,,Ccy,Conv)</f>
        <v>59.084000000000003</v>
      </c>
      <c r="J281" s="4">
        <f>_xll.ciqfunctions.udf.CIQ(InputTicker, "IQ_CASH_EQUIV",Input!L$2,Date,,,Ccy,Conv)</f>
        <v>292.82400000000001</v>
      </c>
      <c r="K281" s="4">
        <f>_xll.ciqfunctions.udf.CIQ(InputTicker, "IQ_CASH_EQUIV",Input!M$2,Date,,,Ccy,Conv)</f>
        <v>237.87799999999999</v>
      </c>
      <c r="L281" s="4">
        <f>_xll.ciqfunctions.udf.CIQ(InputTicker, "IQ_CASH_EQUIV",Input!N$2,Date,,,Ccy,Conv)</f>
        <v>499.392</v>
      </c>
      <c r="M281" s="4">
        <f>_xll.ciqfunctions.udf.CIQ(InputTicker, "IQ_CASH_EQUIV",Input!O$2,Date,,,Ccy,Conv)</f>
        <v>369.45</v>
      </c>
      <c r="N281" s="42"/>
      <c r="S281" s="46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  <c r="BN281" s="42"/>
    </row>
    <row r="282" spans="1:66" ht="12.75" customHeight="1" x14ac:dyDescent="0.2">
      <c r="A282" s="1" t="s">
        <v>86</v>
      </c>
      <c r="B282" s="4">
        <f>_xll.ciqfunctions.udf.CIQ(InputTicker, "IQ_ST_INVEST",Input!D$2,Date,,,Ccy,Conv)</f>
        <v>249.96100000000001</v>
      </c>
      <c r="C282" s="4">
        <f>_xll.ciqfunctions.udf.CIQ(InputTicker, "IQ_ST_INVEST",Input!E$2,Date,,,Ccy,Conv)</f>
        <v>360.49900000000002</v>
      </c>
      <c r="D282" s="4">
        <f>_xll.ciqfunctions.udf.CIQ(InputTicker, "IQ_ST_INVEST",Input!F$2,Date,,,Ccy,Conv)</f>
        <v>138.46199999999999</v>
      </c>
      <c r="E282" s="4">
        <f>_xll.ciqfunctions.udf.CIQ(InputTicker, "IQ_ST_INVEST",Input!G$2,Date,,,Ccy,Conv)</f>
        <v>282.58600000000001</v>
      </c>
      <c r="F282" s="4">
        <f>_xll.ciqfunctions.udf.CIQ(InputTicker, "IQ_ST_INVEST",Input!H$2,Date,,,Ccy,Conv)</f>
        <v>250.18100000000001</v>
      </c>
      <c r="G282" s="4">
        <f>_xll.ciqfunctions.udf.CIQ(InputTicker, "IQ_ST_INVEST",Input!I$2,Date,,,Ccy,Conv)</f>
        <v>154.16300000000001</v>
      </c>
      <c r="H282" s="4">
        <f>_xll.ciqfunctions.udf.CIQ(InputTicker, "IQ_ST_INVEST",Input!J$2,Date,,,Ccy,Conv)</f>
        <v>112.158</v>
      </c>
      <c r="I282" s="4">
        <f>_xll.ciqfunctions.udf.CIQ(InputTicker, "IQ_ST_INVEST",Input!K$2,Date,,,Ccy,Conv)</f>
        <v>115.429</v>
      </c>
      <c r="J282" s="4">
        <f>_xll.ciqfunctions.udf.CIQ(InputTicker, "IQ_ST_INVEST",Input!L$2,Date,,,Ccy,Conv)</f>
        <v>355.09</v>
      </c>
      <c r="K282" s="4">
        <f>_xll.ciqfunctions.udf.CIQ(InputTicker, "IQ_ST_INVEST",Input!M$2,Date,,,Ccy,Conv)</f>
        <v>574.49900000000002</v>
      </c>
      <c r="L282" s="4">
        <f>_xll.ciqfunctions.udf.CIQ(InputTicker, "IQ_ST_INVEST",Input!N$2,Date,,,Ccy,Conv)</f>
        <v>892.70799999999997</v>
      </c>
      <c r="M282" s="4">
        <f>_xll.ciqfunctions.udf.CIQ(InputTicker, "IQ_ST_INVEST",Input!O$2,Date,,,Ccy,Conv)</f>
        <v>769.53800000000001</v>
      </c>
      <c r="N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  <c r="BM282" s="42"/>
      <c r="BN282" s="42"/>
    </row>
    <row r="283" spans="1:66" ht="12.75" customHeight="1" x14ac:dyDescent="0.2">
      <c r="A283" s="1" t="s">
        <v>170</v>
      </c>
      <c r="B283" s="4">
        <f>_xll.ciqfunctions.udf.CIQ(InputTicker, "IQ_TRADING_ASSETS",Input!D$2,Date,,,Ccy,Conv)</f>
        <v>0</v>
      </c>
      <c r="C283" s="4">
        <f>_xll.ciqfunctions.udf.CIQ(InputTicker, "IQ_TRADING_ASSETS",Input!E$2,Date,,,Ccy,Conv)</f>
        <v>0</v>
      </c>
      <c r="D283" s="4">
        <f>_xll.ciqfunctions.udf.CIQ(InputTicker, "IQ_TRADING_ASSETS",Input!F$2,Date,,,Ccy,Conv)</f>
        <v>0</v>
      </c>
      <c r="E283" s="4">
        <f>_xll.ciqfunctions.udf.CIQ(InputTicker, "IQ_TRADING_ASSETS",Input!G$2,Date,,,Ccy,Conv)</f>
        <v>0</v>
      </c>
      <c r="F283" s="4">
        <f>_xll.ciqfunctions.udf.CIQ(InputTicker, "IQ_TRADING_ASSETS",Input!H$2,Date,,,Ccy,Conv)</f>
        <v>0</v>
      </c>
      <c r="G283" s="4">
        <f>_xll.ciqfunctions.udf.CIQ(InputTicker, "IQ_TRADING_ASSETS",Input!I$2,Date,,,Ccy,Conv)</f>
        <v>0</v>
      </c>
      <c r="H283" s="4">
        <f>_xll.ciqfunctions.udf.CIQ(InputTicker, "IQ_TRADING_ASSETS",Input!J$2,Date,,,Ccy,Conv)</f>
        <v>0</v>
      </c>
      <c r="I283" s="4">
        <f>_xll.ciqfunctions.udf.CIQ(InputTicker, "IQ_TRADING_ASSETS",Input!K$2,Date,,,Ccy,Conv)</f>
        <v>0</v>
      </c>
      <c r="J283" s="4">
        <f>_xll.ciqfunctions.udf.CIQ(InputTicker, "IQ_TRADING_ASSETS",Input!L$2,Date,,,Ccy,Conv)</f>
        <v>0</v>
      </c>
      <c r="K283" s="4">
        <f>_xll.ciqfunctions.udf.CIQ(InputTicker, "IQ_TRADING_ASSETS",Input!M$2,Date,,,Ccy,Conv)</f>
        <v>0</v>
      </c>
      <c r="L283" s="4">
        <f>_xll.ciqfunctions.udf.CIQ(InputTicker, "IQ_TRADING_ASSETS",Input!N$2,Date,,,Ccy,Conv)</f>
        <v>0</v>
      </c>
      <c r="M283" s="4">
        <f>_xll.ciqfunctions.udf.CIQ(InputTicker, "IQ_TRADING_ASSETS",Input!O$2,Date,,,Ccy,Conv)</f>
        <v>0</v>
      </c>
      <c r="N283" s="46"/>
      <c r="S283" s="46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  <c r="BM283" s="42"/>
      <c r="BN283" s="42"/>
    </row>
    <row r="284" spans="1:66" ht="12.75" customHeight="1" x14ac:dyDescent="0.2">
      <c r="A284" s="5" t="s">
        <v>87</v>
      </c>
      <c r="B284" s="6">
        <f>_xll.ciqfunctions.udf.CIQ(InputTicker, "IQ_CASH_ST_INVEST",Input!D$2,Date,,,Ccy,Conv)</f>
        <v>258.62799999999999</v>
      </c>
      <c r="C284" s="6">
        <f>_xll.ciqfunctions.udf.CIQ(InputTicker, "IQ_CASH_ST_INVEST",Input!E$2,Date,,,Ccy,Conv)</f>
        <v>389.54500000000002</v>
      </c>
      <c r="D284" s="6">
        <f>_xll.ciqfunctions.udf.CIQ(InputTicker, "IQ_CASH_ST_INVEST",Input!F$2,Date,,,Ccy,Conv)</f>
        <v>156.02600000000001</v>
      </c>
      <c r="E284" s="6">
        <f>_xll.ciqfunctions.udf.CIQ(InputTicker, "IQ_CASH_ST_INVEST",Input!G$2,Date,,,Ccy,Conv)</f>
        <v>331.017</v>
      </c>
      <c r="F284" s="6">
        <f>_xll.ciqfunctions.udf.CIQ(InputTicker, "IQ_CASH_ST_INVEST",Input!H$2,Date,,,Ccy,Conv)</f>
        <v>319.428</v>
      </c>
      <c r="G284" s="6">
        <f>_xll.ciqfunctions.udf.CIQ(InputTicker, "IQ_CASH_ST_INVEST",Input!I$2,Date,,,Ccy,Conv)</f>
        <v>232.29300000000001</v>
      </c>
      <c r="H284" s="6">
        <f>_xll.ciqfunctions.udf.CIQ(InputTicker, "IQ_CASH_ST_INVEST",Input!J$2,Date,,,Ccy,Conv)</f>
        <v>169.51</v>
      </c>
      <c r="I284" s="6">
        <f>_xll.ciqfunctions.udf.CIQ(InputTicker, "IQ_CASH_ST_INVEST",Input!K$2,Date,,,Ccy,Conv)</f>
        <v>174.51300000000001</v>
      </c>
      <c r="J284" s="6">
        <f>_xll.ciqfunctions.udf.CIQ(InputTicker, "IQ_CASH_ST_INVEST",Input!L$2,Date,,,Ccy,Conv)</f>
        <v>647.91399999999999</v>
      </c>
      <c r="K284" s="6">
        <f>_xll.ciqfunctions.udf.CIQ(InputTicker, "IQ_CASH_ST_INVEST",Input!M$2,Date,,,Ccy,Conv)</f>
        <v>812.37699999999995</v>
      </c>
      <c r="L284" s="6">
        <f>_xll.ciqfunctions.udf.CIQ(InputTicker, "IQ_CASH_ST_INVEST",Input!N$2,Date,,,Ccy,Conv)</f>
        <v>1392.1</v>
      </c>
      <c r="M284" s="6">
        <f>_xll.ciqfunctions.udf.CIQ(InputTicker, "IQ_CASH_ST_INVEST",Input!O$2,Date,,,Ccy,Conv)</f>
        <v>1138.9880000000001</v>
      </c>
      <c r="N284" s="42"/>
      <c r="P284" s="46"/>
      <c r="Q284" s="46"/>
      <c r="R284" s="46"/>
      <c r="T284" s="42"/>
      <c r="U284" s="42"/>
      <c r="V284" s="46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  <c r="BM284" s="42"/>
      <c r="BN284" s="42"/>
    </row>
    <row r="285" spans="1:66" ht="12.75" customHeight="1" x14ac:dyDescent="0.2">
      <c r="A285" s="1" t="s">
        <v>55</v>
      </c>
      <c r="B285" s="4">
        <f>_xll.ciqfunctions.udf.CIQ(InputTicker, "IQ_AR",Input!D$2,Date,,,Ccy,Conv)</f>
        <v>99.013000000000005</v>
      </c>
      <c r="C285" s="4">
        <f>_xll.ciqfunctions.udf.CIQ(InputTicker, "IQ_AR",Input!E$2,Date,,,Ccy,Conv)</f>
        <v>62.012</v>
      </c>
      <c r="D285" s="4">
        <f>_xll.ciqfunctions.udf.CIQ(InputTicker, "IQ_AR",Input!F$2,Date,,,Ccy,Conv)</f>
        <v>61.261000000000003</v>
      </c>
      <c r="E285" s="4">
        <f>_xll.ciqfunctions.udf.CIQ(InputTicker, "IQ_AR",Input!G$2,Date,,,Ccy,Conv)</f>
        <v>80.730999999999995</v>
      </c>
      <c r="F285" s="4">
        <f>_xll.ciqfunctions.udf.CIQ(InputTicker, "IQ_AR",Input!H$2,Date,,,Ccy,Conv)</f>
        <v>57.058999999999997</v>
      </c>
      <c r="G285" s="4">
        <f>_xll.ciqfunctions.udf.CIQ(InputTicker, "IQ_AR",Input!I$2,Date,,,Ccy,Conv)</f>
        <v>84.975999999999999</v>
      </c>
      <c r="H285" s="4">
        <f>_xll.ciqfunctions.udf.CIQ(InputTicker, "IQ_AR",Input!J$2,Date,,,Ccy,Conv)</f>
        <v>79.066000000000003</v>
      </c>
      <c r="I285" s="4">
        <f>_xll.ciqfunctions.udf.CIQ(InputTicker, "IQ_AR",Input!K$2,Date,,,Ccy,Conv)</f>
        <v>169.10900000000001</v>
      </c>
      <c r="J285" s="4">
        <f>_xll.ciqfunctions.udf.CIQ(InputTicker, "IQ_AR",Input!L$2,Date,,,Ccy,Conv)</f>
        <v>110.98</v>
      </c>
      <c r="K285" s="4">
        <f>_xll.ciqfunctions.udf.CIQ(InputTicker, "IQ_AR",Input!M$2,Date,,,Ccy,Conv)</f>
        <v>138.55000000000001</v>
      </c>
      <c r="L285" s="4">
        <f>_xll.ciqfunctions.udf.CIQ(InputTicker, "IQ_AR",Input!N$2,Date,,,Ccy,Conv)</f>
        <v>244.07900000000001</v>
      </c>
      <c r="M285" s="4">
        <f>_xll.ciqfunctions.udf.CIQ(InputTicker, "IQ_AR",Input!O$2,Date,,,Ccy,Conv)</f>
        <v>235.37700000000001</v>
      </c>
      <c r="N285" s="42"/>
      <c r="P285" s="46"/>
      <c r="Q285" s="46"/>
      <c r="R285" s="46"/>
      <c r="T285" s="42"/>
      <c r="U285" s="42"/>
      <c r="V285" s="46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  <c r="BM285" s="42"/>
      <c r="BN285" s="42"/>
    </row>
    <row r="286" spans="1:66" ht="12.75" customHeight="1" x14ac:dyDescent="0.2">
      <c r="A286" s="1" t="s">
        <v>171</v>
      </c>
      <c r="B286" s="4">
        <f>_xll.ciqfunctions.udf.CIQ(InputTicker, "IQ_OTHER_RECEIV",Input!D$2,Date,,,Ccy,Conv)</f>
        <v>2.964</v>
      </c>
      <c r="C286" s="4">
        <f>_xll.ciqfunctions.udf.CIQ(InputTicker, "IQ_OTHER_RECEIV",Input!E$2,Date,,,Ccy,Conv)</f>
        <v>17.265999999999998</v>
      </c>
      <c r="D286" s="4">
        <f>_xll.ciqfunctions.udf.CIQ(InputTicker, "IQ_OTHER_RECEIV",Input!F$2,Date,,,Ccy,Conv)</f>
        <v>55.939</v>
      </c>
      <c r="E286" s="4">
        <f>_xll.ciqfunctions.udf.CIQ(InputTicker, "IQ_OTHER_RECEIV",Input!G$2,Date,,,Ccy,Conv)</f>
        <v>5.1079999999999997</v>
      </c>
      <c r="F286" s="4">
        <f>_xll.ciqfunctions.udf.CIQ(InputTicker, "IQ_OTHER_RECEIV",Input!H$2,Date,,,Ccy,Conv)</f>
        <v>14.701000000000001</v>
      </c>
      <c r="G286" s="4">
        <f>_xll.ciqfunctions.udf.CIQ(InputTicker, "IQ_OTHER_RECEIV",Input!I$2,Date,,,Ccy,Conv)</f>
        <v>13.398999999999999</v>
      </c>
      <c r="H286" s="4">
        <f>_xll.ciqfunctions.udf.CIQ(InputTicker, "IQ_OTHER_RECEIV",Input!J$2,Date,,,Ccy,Conv)</f>
        <v>47.573</v>
      </c>
      <c r="I286" s="4">
        <f>_xll.ciqfunctions.udf.CIQ(InputTicker, "IQ_OTHER_RECEIV",Input!K$2,Date,,,Ccy,Conv)</f>
        <v>50.295000000000002</v>
      </c>
      <c r="J286" s="4">
        <f>_xll.ciqfunctions.udf.CIQ(InputTicker, "IQ_OTHER_RECEIV",Input!L$2,Date,,,Ccy,Conv)</f>
        <v>76.233000000000004</v>
      </c>
      <c r="K286" s="4">
        <f>_xll.ciqfunctions.udf.CIQ(InputTicker, "IQ_OTHER_RECEIV",Input!M$2,Date,,,Ccy,Conv)</f>
        <v>23.891999999999999</v>
      </c>
      <c r="L286" s="4">
        <f>_xll.ciqfunctions.udf.CIQ(InputTicker, "IQ_OTHER_RECEIV",Input!N$2,Date,,,Ccy,Conv)</f>
        <v>28.282</v>
      </c>
      <c r="M286" s="4">
        <f>_xll.ciqfunctions.udf.CIQ(InputTicker, "IQ_OTHER_RECEIV",Input!O$2,Date,,,Ccy,Conv)</f>
        <v>26.992000000000001</v>
      </c>
      <c r="N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  <c r="BM286" s="42"/>
      <c r="BN286" s="42"/>
    </row>
    <row r="287" spans="1:66" ht="12.75" customHeight="1" x14ac:dyDescent="0.2">
      <c r="A287" s="1" t="s">
        <v>88</v>
      </c>
      <c r="B287" s="4">
        <f>_xll.ciqfunctions.udf.CIQ(InputTicker, "IQ_ST_NOTE_RECEIV",Input!D$2,Date,,,Ccy,Conv)</f>
        <v>0</v>
      </c>
      <c r="C287" s="4">
        <f>_xll.ciqfunctions.udf.CIQ(InputTicker, "IQ_ST_NOTE_RECEIV",Input!E$2,Date,,,Ccy,Conv)</f>
        <v>0</v>
      </c>
      <c r="D287" s="4">
        <f>_xll.ciqfunctions.udf.CIQ(InputTicker, "IQ_ST_NOTE_RECEIV",Input!F$2,Date,,,Ccy,Conv)</f>
        <v>0</v>
      </c>
      <c r="E287" s="4">
        <f>_xll.ciqfunctions.udf.CIQ(InputTicker, "IQ_ST_NOTE_RECEIV",Input!G$2,Date,,,Ccy,Conv)</f>
        <v>0</v>
      </c>
      <c r="F287" s="4">
        <f>_xll.ciqfunctions.udf.CIQ(InputTicker, "IQ_ST_NOTE_RECEIV",Input!H$2,Date,,,Ccy,Conv)</f>
        <v>0</v>
      </c>
      <c r="G287" s="4">
        <f>_xll.ciqfunctions.udf.CIQ(InputTicker, "IQ_ST_NOTE_RECEIV",Input!I$2,Date,,,Ccy,Conv)</f>
        <v>0</v>
      </c>
      <c r="H287" s="4">
        <f>_xll.ciqfunctions.udf.CIQ(InputTicker, "IQ_ST_NOTE_RECEIV",Input!J$2,Date,,,Ccy,Conv)</f>
        <v>0</v>
      </c>
      <c r="I287" s="4">
        <f>_xll.ciqfunctions.udf.CIQ(InputTicker, "IQ_ST_NOTE_RECEIV",Input!K$2,Date,,,Ccy,Conv)</f>
        <v>0</v>
      </c>
      <c r="J287" s="4">
        <f>_xll.ciqfunctions.udf.CIQ(InputTicker, "IQ_ST_NOTE_RECEIV",Input!L$2,Date,,,Ccy,Conv)</f>
        <v>0</v>
      </c>
      <c r="K287" s="4">
        <f>_xll.ciqfunctions.udf.CIQ(InputTicker, "IQ_ST_NOTE_RECEIV",Input!M$2,Date,,,Ccy,Conv)</f>
        <v>0</v>
      </c>
      <c r="L287" s="4">
        <f>_xll.ciqfunctions.udf.CIQ(InputTicker, "IQ_ST_NOTE_RECEIV",Input!N$2,Date,,,Ccy,Conv)</f>
        <v>0</v>
      </c>
      <c r="M287" s="4">
        <f>_xll.ciqfunctions.udf.CIQ(InputTicker, "IQ_ST_NOTE_RECEIV",Input!O$2,Date,,,Ccy,Conv)</f>
        <v>0</v>
      </c>
      <c r="N287" s="42"/>
      <c r="P287" s="46"/>
      <c r="Q287" s="46"/>
      <c r="R287" s="46"/>
      <c r="T287" s="42"/>
      <c r="U287" s="42"/>
      <c r="V287" s="46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  <c r="BM287" s="42"/>
      <c r="BN287" s="42"/>
    </row>
    <row r="288" spans="1:66" ht="12.75" customHeight="1" x14ac:dyDescent="0.2">
      <c r="A288" s="5" t="s">
        <v>89</v>
      </c>
      <c r="B288" s="6">
        <f>_xll.ciqfunctions.udf.CIQ(InputTicker, "IQ_TOTAL_RECEIV",Input!D$2,Date,,,Ccy,Conv)</f>
        <v>101.977</v>
      </c>
      <c r="C288" s="6">
        <f>_xll.ciqfunctions.udf.CIQ(InputTicker, "IQ_TOTAL_RECEIV",Input!E$2,Date,,,Ccy,Conv)</f>
        <v>79.278000000000006</v>
      </c>
      <c r="D288" s="6">
        <f>_xll.ciqfunctions.udf.CIQ(InputTicker, "IQ_TOTAL_RECEIV",Input!F$2,Date,,,Ccy,Conv)</f>
        <v>117.2</v>
      </c>
      <c r="E288" s="6">
        <f>_xll.ciqfunctions.udf.CIQ(InputTicker, "IQ_TOTAL_RECEIV",Input!G$2,Date,,,Ccy,Conv)</f>
        <v>85.838999999999999</v>
      </c>
      <c r="F288" s="6">
        <f>_xll.ciqfunctions.udf.CIQ(InputTicker, "IQ_TOTAL_RECEIV",Input!H$2,Date,,,Ccy,Conv)</f>
        <v>71.760000000000005</v>
      </c>
      <c r="G288" s="6">
        <f>_xll.ciqfunctions.udf.CIQ(InputTicker, "IQ_TOTAL_RECEIV",Input!I$2,Date,,,Ccy,Conv)</f>
        <v>98.375</v>
      </c>
      <c r="H288" s="6">
        <f>_xll.ciqfunctions.udf.CIQ(InputTicker, "IQ_TOTAL_RECEIV",Input!J$2,Date,,,Ccy,Conv)</f>
        <v>126.639</v>
      </c>
      <c r="I288" s="6">
        <f>_xll.ciqfunctions.udf.CIQ(InputTicker, "IQ_TOTAL_RECEIV",Input!K$2,Date,,,Ccy,Conv)</f>
        <v>219.404</v>
      </c>
      <c r="J288" s="6">
        <f>_xll.ciqfunctions.udf.CIQ(InputTicker, "IQ_TOTAL_RECEIV",Input!L$2,Date,,,Ccy,Conv)</f>
        <v>187.21299999999999</v>
      </c>
      <c r="K288" s="6">
        <f>_xll.ciqfunctions.udf.CIQ(InputTicker, "IQ_TOTAL_RECEIV",Input!M$2,Date,,,Ccy,Conv)</f>
        <v>162.44200000000001</v>
      </c>
      <c r="L288" s="6">
        <f>_xll.ciqfunctions.udf.CIQ(InputTicker, "IQ_TOTAL_RECEIV",Input!N$2,Date,,,Ccy,Conv)</f>
        <v>272.36099999999999</v>
      </c>
      <c r="M288" s="6">
        <f>_xll.ciqfunctions.udf.CIQ(InputTicker, "IQ_TOTAL_RECEIV",Input!O$2,Date,,,Ccy,Conv)</f>
        <v>262.36900000000003</v>
      </c>
      <c r="N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  <c r="BM288" s="42"/>
      <c r="BN288" s="42"/>
    </row>
    <row r="289" spans="1:66" ht="12.75" customHeight="1" x14ac:dyDescent="0.2">
      <c r="A289" s="1" t="s">
        <v>90</v>
      </c>
      <c r="B289" s="4">
        <f>_xll.ciqfunctions.udf.CIQ(InputTicker, "IQ_INVENTORY",Input!D$2,Date,,,Ccy,Conv)</f>
        <v>146.26</v>
      </c>
      <c r="C289" s="4">
        <f>_xll.ciqfunctions.udf.CIQ(InputTicker, "IQ_INVENTORY",Input!E$2,Date,,,Ccy,Conv)</f>
        <v>154.79900000000001</v>
      </c>
      <c r="D289" s="4">
        <f>_xll.ciqfunctions.udf.CIQ(InputTicker, "IQ_INVENTORY",Input!F$2,Date,,,Ccy,Conv)</f>
        <v>160.69200000000001</v>
      </c>
      <c r="E289" s="4">
        <f>_xll.ciqfunctions.udf.CIQ(InputTicker, "IQ_INVENTORY",Input!G$2,Date,,,Ccy,Conv)</f>
        <v>168.64400000000001</v>
      </c>
      <c r="F289" s="4">
        <f>_xll.ciqfunctions.udf.CIQ(InputTicker, "IQ_INVENTORY",Input!H$2,Date,,,Ccy,Conv)</f>
        <v>172.23699999999999</v>
      </c>
      <c r="G289" s="4">
        <f>_xll.ciqfunctions.udf.CIQ(InputTicker, "IQ_INVENTORY",Input!I$2,Date,,,Ccy,Conv)</f>
        <v>187.21600000000001</v>
      </c>
      <c r="H289" s="4">
        <f>_xll.ciqfunctions.udf.CIQ(InputTicker, "IQ_INVENTORY",Input!J$2,Date,,,Ccy,Conv)</f>
        <v>218.375</v>
      </c>
      <c r="I289" s="4">
        <f>_xll.ciqfunctions.udf.CIQ(InputTicker, "IQ_INVENTORY",Input!K$2,Date,,,Ccy,Conv)</f>
        <v>263.31599999999997</v>
      </c>
      <c r="J289" s="4">
        <f>_xll.ciqfunctions.udf.CIQ(InputTicker, "IQ_INVENTORY",Input!L$2,Date,,,Ccy,Conv)</f>
        <v>284.41800000000001</v>
      </c>
      <c r="K289" s="4">
        <f>_xll.ciqfunctions.udf.CIQ(InputTicker, "IQ_INVENTORY",Input!M$2,Date,,,Ccy,Conv)</f>
        <v>261.78199999999998</v>
      </c>
      <c r="L289" s="4">
        <f>_xll.ciqfunctions.udf.CIQ(InputTicker, "IQ_INVENTORY",Input!N$2,Date,,,Ccy,Conv)</f>
        <v>295.67</v>
      </c>
      <c r="M289" s="4">
        <f>_xll.ciqfunctions.udf.CIQ(InputTicker, "IQ_INVENTORY",Input!O$2,Date,,,Ccy,Conv)</f>
        <v>340.58800000000002</v>
      </c>
      <c r="N289" s="42"/>
      <c r="T289" s="46"/>
      <c r="U289" s="46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42"/>
      <c r="BM289" s="42"/>
      <c r="BN289" s="42"/>
    </row>
    <row r="290" spans="1:66" ht="12.75" customHeight="1" x14ac:dyDescent="0.2">
      <c r="A290" s="1" t="s">
        <v>91</v>
      </c>
      <c r="B290" s="4">
        <f>_xll.ciqfunctions.udf.CIQ(InputTicker, "IQ_PREPAID_EXP",Input!D$2,Date,,,Ccy,Conv)</f>
        <v>1.946</v>
      </c>
      <c r="C290" s="4">
        <f>_xll.ciqfunctions.udf.CIQ(InputTicker, "IQ_PREPAID_EXP",Input!E$2,Date,,,Ccy,Conv)</f>
        <v>2.661</v>
      </c>
      <c r="D290" s="4">
        <f>_xll.ciqfunctions.udf.CIQ(InputTicker, "IQ_PREPAID_EXP",Input!F$2,Date,,,Ccy,Conv)</f>
        <v>2.2879999999999998</v>
      </c>
      <c r="E290" s="4">
        <f>_xll.ciqfunctions.udf.CIQ(InputTicker, "IQ_PREPAID_EXP",Input!G$2,Date,,,Ccy,Conv)</f>
        <v>2.02</v>
      </c>
      <c r="F290" s="4">
        <f>_xll.ciqfunctions.udf.CIQ(InputTicker, "IQ_PREPAID_EXP",Input!H$2,Date,,,Ccy,Conv)</f>
        <v>4.3280000000000003</v>
      </c>
      <c r="G290" s="4">
        <f>_xll.ciqfunctions.udf.CIQ(InputTicker, "IQ_PREPAID_EXP",Input!I$2,Date,,,Ccy,Conv)</f>
        <v>4.367</v>
      </c>
      <c r="H290" s="4">
        <f>_xll.ciqfunctions.udf.CIQ(InputTicker, "IQ_PREPAID_EXP",Input!J$2,Date,,,Ccy,Conv)</f>
        <v>5.407</v>
      </c>
      <c r="I290" s="4">
        <f>_xll.ciqfunctions.udf.CIQ(InputTicker, "IQ_PREPAID_EXP",Input!K$2,Date,,,Ccy,Conv)</f>
        <v>4.2859999999999996</v>
      </c>
      <c r="J290" s="4">
        <f>_xll.ciqfunctions.udf.CIQ(InputTicker, "IQ_PREPAID_EXP",Input!L$2,Date,,,Ccy,Conv)</f>
        <v>5.38</v>
      </c>
      <c r="K290" s="4">
        <f>_xll.ciqfunctions.udf.CIQ(InputTicker, "IQ_PREPAID_EXP",Input!M$2,Date,,,Ccy,Conv)</f>
        <v>5.2380000000000004</v>
      </c>
      <c r="L290" s="4">
        <f>_xll.ciqfunctions.udf.CIQ(InputTicker, "IQ_PREPAID_EXP",Input!N$2,Date,,,Ccy,Conv)</f>
        <v>6.9790000000000001</v>
      </c>
      <c r="M290" s="4">
        <f>_xll.ciqfunctions.udf.CIQ(InputTicker, "IQ_PREPAID_EXP",Input!O$2,Date,,,Ccy,Conv)</f>
        <v>12.473000000000001</v>
      </c>
      <c r="N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  <c r="BM290" s="42"/>
      <c r="BN290" s="42"/>
    </row>
    <row r="291" spans="1:66" ht="12.75" customHeight="1" x14ac:dyDescent="0.2">
      <c r="A291" s="1" t="s">
        <v>172</v>
      </c>
      <c r="B291" s="4">
        <f>_xll.ciqfunctions.udf.CIQ(InputTicker, "IQ_FIN_DIV_LOANS_CURRENT",Input!D$2,Date,,,Ccy,Conv)</f>
        <v>0</v>
      </c>
      <c r="C291" s="4">
        <f>_xll.ciqfunctions.udf.CIQ(InputTicker, "IQ_FIN_DIV_LOANS_CURRENT",Input!E$2,Date,,,Ccy,Conv)</f>
        <v>0</v>
      </c>
      <c r="D291" s="4">
        <f>_xll.ciqfunctions.udf.CIQ(InputTicker, "IQ_FIN_DIV_LOANS_CURRENT",Input!F$2,Date,,,Ccy,Conv)</f>
        <v>0</v>
      </c>
      <c r="E291" s="4">
        <f>_xll.ciqfunctions.udf.CIQ(InputTicker, "IQ_FIN_DIV_LOANS_CURRENT",Input!G$2,Date,,,Ccy,Conv)</f>
        <v>0</v>
      </c>
      <c r="F291" s="4">
        <f>_xll.ciqfunctions.udf.CIQ(InputTicker, "IQ_FIN_DIV_LOANS_CURRENT",Input!H$2,Date,,,Ccy,Conv)</f>
        <v>0</v>
      </c>
      <c r="G291" s="4">
        <f>_xll.ciqfunctions.udf.CIQ(InputTicker, "IQ_FIN_DIV_LOANS_CURRENT",Input!I$2,Date,,,Ccy,Conv)</f>
        <v>0</v>
      </c>
      <c r="H291" s="4">
        <f>_xll.ciqfunctions.udf.CIQ(InputTicker, "IQ_FIN_DIV_LOANS_CURRENT",Input!J$2,Date,,,Ccy,Conv)</f>
        <v>0</v>
      </c>
      <c r="I291" s="4">
        <f>_xll.ciqfunctions.udf.CIQ(InputTicker, "IQ_FIN_DIV_LOANS_CURRENT",Input!K$2,Date,,,Ccy,Conv)</f>
        <v>0</v>
      </c>
      <c r="J291" s="4">
        <f>_xll.ciqfunctions.udf.CIQ(InputTicker, "IQ_FIN_DIV_LOANS_CURRENT",Input!L$2,Date,,,Ccy,Conv)</f>
        <v>0</v>
      </c>
      <c r="K291" s="4">
        <f>_xll.ciqfunctions.udf.CIQ(InputTicker, "IQ_FIN_DIV_LOANS_CURRENT",Input!M$2,Date,,,Ccy,Conv)</f>
        <v>0</v>
      </c>
      <c r="L291" s="4">
        <f>_xll.ciqfunctions.udf.CIQ(InputTicker, "IQ_FIN_DIV_LOANS_CURRENT",Input!N$2,Date,,,Ccy,Conv)</f>
        <v>0</v>
      </c>
      <c r="M291" s="4">
        <f>_xll.ciqfunctions.udf.CIQ(InputTicker, "IQ_FIN_DIV_LOANS_CURRENT",Input!O$2,Date,,,Ccy,Conv)</f>
        <v>0</v>
      </c>
      <c r="N291" s="46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  <c r="BM291" s="42"/>
      <c r="BN291" s="42"/>
    </row>
    <row r="292" spans="1:66" ht="12.75" customHeight="1" x14ac:dyDescent="0.2">
      <c r="A292" s="1" t="s">
        <v>173</v>
      </c>
      <c r="B292" s="4">
        <f>_xll.ciqfunctions.udf.CIQ(InputTicker, "IQ_FIN_DIV_ASSETS_CURRENT",Input!D$2,Date,,,Ccy,Conv)</f>
        <v>0</v>
      </c>
      <c r="C292" s="4">
        <f>_xll.ciqfunctions.udf.CIQ(InputTicker, "IQ_FIN_DIV_ASSETS_CURRENT",Input!E$2,Date,,,Ccy,Conv)</f>
        <v>0</v>
      </c>
      <c r="D292" s="4">
        <f>_xll.ciqfunctions.udf.CIQ(InputTicker, "IQ_FIN_DIV_ASSETS_CURRENT",Input!F$2,Date,,,Ccy,Conv)</f>
        <v>0</v>
      </c>
      <c r="E292" s="4">
        <f>_xll.ciqfunctions.udf.CIQ(InputTicker, "IQ_FIN_DIV_ASSETS_CURRENT",Input!G$2,Date,,,Ccy,Conv)</f>
        <v>0</v>
      </c>
      <c r="F292" s="4">
        <f>_xll.ciqfunctions.udf.CIQ(InputTicker, "IQ_FIN_DIV_ASSETS_CURRENT",Input!H$2,Date,,,Ccy,Conv)</f>
        <v>0</v>
      </c>
      <c r="G292" s="4">
        <f>_xll.ciqfunctions.udf.CIQ(InputTicker, "IQ_FIN_DIV_ASSETS_CURRENT",Input!I$2,Date,,,Ccy,Conv)</f>
        <v>0</v>
      </c>
      <c r="H292" s="4">
        <f>_xll.ciqfunctions.udf.CIQ(InputTicker, "IQ_FIN_DIV_ASSETS_CURRENT",Input!J$2,Date,,,Ccy,Conv)</f>
        <v>0</v>
      </c>
      <c r="I292" s="4">
        <f>_xll.ciqfunctions.udf.CIQ(InputTicker, "IQ_FIN_DIV_ASSETS_CURRENT",Input!K$2,Date,,,Ccy,Conv)</f>
        <v>0</v>
      </c>
      <c r="J292" s="4">
        <f>_xll.ciqfunctions.udf.CIQ(InputTicker, "IQ_FIN_DIV_ASSETS_CURRENT",Input!L$2,Date,,,Ccy,Conv)</f>
        <v>0</v>
      </c>
      <c r="K292" s="4">
        <f>_xll.ciqfunctions.udf.CIQ(InputTicker, "IQ_FIN_DIV_ASSETS_CURRENT",Input!M$2,Date,,,Ccy,Conv)</f>
        <v>0</v>
      </c>
      <c r="L292" s="4">
        <f>_xll.ciqfunctions.udf.CIQ(InputTicker, "IQ_FIN_DIV_ASSETS_CURRENT",Input!N$2,Date,,,Ccy,Conv)</f>
        <v>0</v>
      </c>
      <c r="M292" s="4">
        <f>_xll.ciqfunctions.udf.CIQ(InputTicker, "IQ_FIN_DIV_ASSETS_CURRENT",Input!O$2,Date,,,Ccy,Conv)</f>
        <v>0</v>
      </c>
      <c r="N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  <c r="BM292" s="42"/>
      <c r="BN292" s="42"/>
    </row>
    <row r="293" spans="1:66" ht="12.75" customHeight="1" x14ac:dyDescent="0.2">
      <c r="A293" s="1" t="s">
        <v>174</v>
      </c>
      <c r="B293" s="4">
        <f>_xll.ciqfunctions.udf.CIQ(InputTicker, "IQ_LOANS_FOR_SALE",Input!D$2,Date,,,Ccy,Conv)</f>
        <v>0</v>
      </c>
      <c r="C293" s="4">
        <f>_xll.ciqfunctions.udf.CIQ(InputTicker, "IQ_LOANS_FOR_SALE",Input!E$2,Date,,,Ccy,Conv)</f>
        <v>0</v>
      </c>
      <c r="D293" s="4">
        <f>_xll.ciqfunctions.udf.CIQ(InputTicker, "IQ_LOANS_FOR_SALE",Input!F$2,Date,,,Ccy,Conv)</f>
        <v>0</v>
      </c>
      <c r="E293" s="4">
        <f>_xll.ciqfunctions.udf.CIQ(InputTicker, "IQ_LOANS_FOR_SALE",Input!G$2,Date,,,Ccy,Conv)</f>
        <v>0</v>
      </c>
      <c r="F293" s="4">
        <f>_xll.ciqfunctions.udf.CIQ(InputTicker, "IQ_LOANS_FOR_SALE",Input!H$2,Date,,,Ccy,Conv)</f>
        <v>0</v>
      </c>
      <c r="G293" s="4">
        <f>_xll.ciqfunctions.udf.CIQ(InputTicker, "IQ_LOANS_FOR_SALE",Input!I$2,Date,,,Ccy,Conv)</f>
        <v>0</v>
      </c>
      <c r="H293" s="4">
        <f>_xll.ciqfunctions.udf.CIQ(InputTicker, "IQ_LOANS_FOR_SALE",Input!J$2,Date,,,Ccy,Conv)</f>
        <v>0</v>
      </c>
      <c r="I293" s="4">
        <f>_xll.ciqfunctions.udf.CIQ(InputTicker, "IQ_LOANS_FOR_SALE",Input!K$2,Date,,,Ccy,Conv)</f>
        <v>0</v>
      </c>
      <c r="J293" s="4">
        <f>_xll.ciqfunctions.udf.CIQ(InputTicker, "IQ_LOANS_FOR_SALE",Input!L$2,Date,,,Ccy,Conv)</f>
        <v>0</v>
      </c>
      <c r="K293" s="4">
        <f>_xll.ciqfunctions.udf.CIQ(InputTicker, "IQ_LOANS_FOR_SALE",Input!M$2,Date,,,Ccy,Conv)</f>
        <v>0</v>
      </c>
      <c r="L293" s="4">
        <f>_xll.ciqfunctions.udf.CIQ(InputTicker, "IQ_LOANS_FOR_SALE",Input!N$2,Date,,,Ccy,Conv)</f>
        <v>0</v>
      </c>
      <c r="M293" s="4">
        <f>_xll.ciqfunctions.udf.CIQ(InputTicker, "IQ_LOANS_FOR_SALE",Input!O$2,Date,,,Ccy,Conv)</f>
        <v>0</v>
      </c>
      <c r="N293" s="46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  <c r="BM293" s="42"/>
      <c r="BN293" s="42"/>
    </row>
    <row r="294" spans="1:66" ht="12.75" customHeight="1" x14ac:dyDescent="0.2">
      <c r="A294" s="1" t="s">
        <v>130</v>
      </c>
      <c r="B294" s="4">
        <f>_xll.ciqfunctions.udf.CIQ(InputTicker, "IQ_DEF_TAX_ASSETS_CURRENT",Input!D$2,Date,,,Ccy,Conv)</f>
        <v>0</v>
      </c>
      <c r="C294" s="4">
        <f>_xll.ciqfunctions.udf.CIQ(InputTicker, "IQ_DEF_TAX_ASSETS_CURRENT",Input!E$2,Date,,,Ccy,Conv)</f>
        <v>0</v>
      </c>
      <c r="D294" s="4">
        <f>_xll.ciqfunctions.udf.CIQ(InputTicker, "IQ_DEF_TAX_ASSETS_CURRENT",Input!F$2,Date,,,Ccy,Conv)</f>
        <v>0</v>
      </c>
      <c r="E294" s="4">
        <f>_xll.ciqfunctions.udf.CIQ(InputTicker, "IQ_DEF_TAX_ASSETS_CURRENT",Input!G$2,Date,,,Ccy,Conv)</f>
        <v>0</v>
      </c>
      <c r="F294" s="4">
        <f>_xll.ciqfunctions.udf.CIQ(InputTicker, "IQ_DEF_TAX_ASSETS_CURRENT",Input!H$2,Date,,,Ccy,Conv)</f>
        <v>0</v>
      </c>
      <c r="G294" s="4">
        <f>_xll.ciqfunctions.udf.CIQ(InputTicker, "IQ_DEF_TAX_ASSETS_CURRENT",Input!I$2,Date,,,Ccy,Conv)</f>
        <v>0</v>
      </c>
      <c r="H294" s="4">
        <f>_xll.ciqfunctions.udf.CIQ(InputTicker, "IQ_DEF_TAX_ASSETS_CURRENT",Input!J$2,Date,,,Ccy,Conv)</f>
        <v>0</v>
      </c>
      <c r="I294" s="4">
        <f>_xll.ciqfunctions.udf.CIQ(InputTicker, "IQ_DEF_TAX_ASSETS_CURRENT",Input!K$2,Date,,,Ccy,Conv)</f>
        <v>0</v>
      </c>
      <c r="J294" s="4">
        <f>_xll.ciqfunctions.udf.CIQ(InputTicker, "IQ_DEF_TAX_ASSETS_CURRENT",Input!L$2,Date,,,Ccy,Conv)</f>
        <v>0</v>
      </c>
      <c r="K294" s="4">
        <f>_xll.ciqfunctions.udf.CIQ(InputTicker, "IQ_DEF_TAX_ASSETS_CURRENT",Input!M$2,Date,,,Ccy,Conv)</f>
        <v>0</v>
      </c>
      <c r="L294" s="4">
        <f>_xll.ciqfunctions.udf.CIQ(InputTicker, "IQ_DEF_TAX_ASSETS_CURRENT",Input!N$2,Date,,,Ccy,Conv)</f>
        <v>0</v>
      </c>
      <c r="M294" s="4">
        <f>_xll.ciqfunctions.udf.CIQ(InputTicker, "IQ_DEF_TAX_ASSETS_CURRENT",Input!O$2,Date,,,Ccy,Conv)</f>
        <v>0</v>
      </c>
      <c r="N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</row>
    <row r="295" spans="1:66" ht="12.75" customHeight="1" x14ac:dyDescent="0.2">
      <c r="A295" s="1" t="s">
        <v>175</v>
      </c>
      <c r="B295" s="4">
        <f>_xll.ciqfunctions.udf.CIQ(InputTicker, "IQ_RESTRICTED_CASH",Input!D$2,Date,,,Ccy,Conv)</f>
        <v>0</v>
      </c>
      <c r="C295" s="4">
        <f>_xll.ciqfunctions.udf.CIQ(InputTicker, "IQ_RESTRICTED_CASH",Input!E$2,Date,,,Ccy,Conv)</f>
        <v>0</v>
      </c>
      <c r="D295" s="4">
        <f>_xll.ciqfunctions.udf.CIQ(InputTicker, "IQ_RESTRICTED_CASH",Input!F$2,Date,,,Ccy,Conv)</f>
        <v>0</v>
      </c>
      <c r="E295" s="4">
        <f>_xll.ciqfunctions.udf.CIQ(InputTicker, "IQ_RESTRICTED_CASH",Input!G$2,Date,,,Ccy,Conv)</f>
        <v>0</v>
      </c>
      <c r="F295" s="4">
        <f>_xll.ciqfunctions.udf.CIQ(InputTicker, "IQ_RESTRICTED_CASH",Input!H$2,Date,,,Ccy,Conv)</f>
        <v>0</v>
      </c>
      <c r="G295" s="4">
        <f>_xll.ciqfunctions.udf.CIQ(InputTicker, "IQ_RESTRICTED_CASH",Input!I$2,Date,,,Ccy,Conv)</f>
        <v>0</v>
      </c>
      <c r="H295" s="4">
        <f>_xll.ciqfunctions.udf.CIQ(InputTicker, "IQ_RESTRICTED_CASH",Input!J$2,Date,,,Ccy,Conv)</f>
        <v>0</v>
      </c>
      <c r="I295" s="4">
        <f>_xll.ciqfunctions.udf.CIQ(InputTicker, "IQ_RESTRICTED_CASH",Input!K$2,Date,,,Ccy,Conv)</f>
        <v>0</v>
      </c>
      <c r="J295" s="4">
        <f>_xll.ciqfunctions.udf.CIQ(InputTicker, "IQ_RESTRICTED_CASH",Input!L$2,Date,,,Ccy,Conv)</f>
        <v>0</v>
      </c>
      <c r="K295" s="4">
        <f>_xll.ciqfunctions.udf.CIQ(InputTicker, "IQ_RESTRICTED_CASH",Input!M$2,Date,,,Ccy,Conv)</f>
        <v>0</v>
      </c>
      <c r="L295" s="4">
        <f>_xll.ciqfunctions.udf.CIQ(InputTicker, "IQ_RESTRICTED_CASH",Input!N$2,Date,,,Ccy,Conv)</f>
        <v>1</v>
      </c>
      <c r="M295" s="4">
        <f>_xll.ciqfunctions.udf.CIQ(InputTicker, "IQ_RESTRICTED_CASH",Input!O$2,Date,,,Ccy,Conv)</f>
        <v>0</v>
      </c>
      <c r="N295" s="46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  <c r="BM295" s="42"/>
      <c r="BN295" s="42"/>
    </row>
    <row r="296" spans="1:66" ht="12.75" customHeight="1" x14ac:dyDescent="0.2">
      <c r="A296" s="1" t="s">
        <v>131</v>
      </c>
      <c r="B296" s="4">
        <f>_xll.ciqfunctions.udf.CIQ(InputTicker, "IQ_OTHER_CA_SUPPL",Input!D$2,Date,,,Ccy,Conv)</f>
        <v>0.153</v>
      </c>
      <c r="C296" s="4">
        <f>_xll.ciqfunctions.udf.CIQ(InputTicker, "IQ_OTHER_CA_SUPPL",Input!E$2,Date,,,Ccy,Conv)</f>
        <v>0</v>
      </c>
      <c r="D296" s="4">
        <f>_xll.ciqfunctions.udf.CIQ(InputTicker, "IQ_OTHER_CA_SUPPL",Input!F$2,Date,,,Ccy,Conv)</f>
        <v>0</v>
      </c>
      <c r="E296" s="4">
        <f>_xll.ciqfunctions.udf.CIQ(InputTicker, "IQ_OTHER_CA_SUPPL",Input!G$2,Date,,,Ccy,Conv)</f>
        <v>0</v>
      </c>
      <c r="F296" s="4">
        <f>_xll.ciqfunctions.udf.CIQ(InputTicker, "IQ_OTHER_CA_SUPPL",Input!H$2,Date,,,Ccy,Conv)</f>
        <v>0</v>
      </c>
      <c r="G296" s="4">
        <f>_xll.ciqfunctions.udf.CIQ(InputTicker, "IQ_OTHER_CA_SUPPL",Input!I$2,Date,,,Ccy,Conv)</f>
        <v>0</v>
      </c>
      <c r="H296" s="4">
        <f>_xll.ciqfunctions.udf.CIQ(InputTicker, "IQ_OTHER_CA_SUPPL",Input!J$2,Date,,,Ccy,Conv)</f>
        <v>0</v>
      </c>
      <c r="I296" s="4">
        <f>_xll.ciqfunctions.udf.CIQ(InputTicker, "IQ_OTHER_CA_SUPPL",Input!K$2,Date,,,Ccy,Conv)</f>
        <v>0</v>
      </c>
      <c r="J296" s="4">
        <f>_xll.ciqfunctions.udf.CIQ(InputTicker, "IQ_OTHER_CA_SUPPL",Input!L$2,Date,,,Ccy,Conv)</f>
        <v>0</v>
      </c>
      <c r="K296" s="4">
        <f>_xll.ciqfunctions.udf.CIQ(InputTicker, "IQ_OTHER_CA_SUPPL",Input!M$2,Date,,,Ccy,Conv)</f>
        <v>0</v>
      </c>
      <c r="L296" s="4">
        <f>_xll.ciqfunctions.udf.CIQ(InputTicker, "IQ_OTHER_CA_SUPPL",Input!N$2,Date,,,Ccy,Conv)</f>
        <v>0</v>
      </c>
      <c r="M296" s="4">
        <f>_xll.ciqfunctions.udf.CIQ(InputTicker, "IQ_OTHER_CA_SUPPL",Input!O$2,Date,,,Ccy,Conv)</f>
        <v>0</v>
      </c>
      <c r="N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</row>
    <row r="297" spans="1:66" ht="12.75" customHeight="1" x14ac:dyDescent="0.2">
      <c r="A297" s="5" t="s">
        <v>45</v>
      </c>
      <c r="B297" s="6">
        <f>_xll.ciqfunctions.udf.CIQ(InputTicker, "IQ_TOTAL_CA",Input!D$2,Date,,,Ccy,Conv)</f>
        <v>508.964</v>
      </c>
      <c r="C297" s="6">
        <f>_xll.ciqfunctions.udf.CIQ(InputTicker, "IQ_TOTAL_CA",Input!E$2,Date,,,Ccy,Conv)</f>
        <v>626.28300000000002</v>
      </c>
      <c r="D297" s="6">
        <f>_xll.ciqfunctions.udf.CIQ(InputTicker, "IQ_TOTAL_CA",Input!F$2,Date,,,Ccy,Conv)</f>
        <v>436.20600000000002</v>
      </c>
      <c r="E297" s="6">
        <f>_xll.ciqfunctions.udf.CIQ(InputTicker, "IQ_TOTAL_CA",Input!G$2,Date,,,Ccy,Conv)</f>
        <v>587.52</v>
      </c>
      <c r="F297" s="6">
        <f>_xll.ciqfunctions.udf.CIQ(InputTicker, "IQ_TOTAL_CA",Input!H$2,Date,,,Ccy,Conv)</f>
        <v>567.75300000000004</v>
      </c>
      <c r="G297" s="6">
        <f>_xll.ciqfunctions.udf.CIQ(InputTicker, "IQ_TOTAL_CA",Input!I$2,Date,,,Ccy,Conv)</f>
        <v>522.25099999999998</v>
      </c>
      <c r="H297" s="6">
        <f>_xll.ciqfunctions.udf.CIQ(InputTicker, "IQ_TOTAL_CA",Input!J$2,Date,,,Ccy,Conv)</f>
        <v>519.93100000000004</v>
      </c>
      <c r="I297" s="6">
        <f>_xll.ciqfunctions.udf.CIQ(InputTicker, "IQ_TOTAL_CA",Input!K$2,Date,,,Ccy,Conv)</f>
        <v>661.51900000000001</v>
      </c>
      <c r="J297" s="6">
        <f>_xll.ciqfunctions.udf.CIQ(InputTicker, "IQ_TOTAL_CA",Input!L$2,Date,,,Ccy,Conv)</f>
        <v>1124.925</v>
      </c>
      <c r="K297" s="6">
        <f>_xll.ciqfunctions.udf.CIQ(InputTicker, "IQ_TOTAL_CA",Input!M$2,Date,,,Ccy,Conv)</f>
        <v>1241.8389999999999</v>
      </c>
      <c r="L297" s="6">
        <f>_xll.ciqfunctions.udf.CIQ(InputTicker, "IQ_TOTAL_CA",Input!N$2,Date,,,Ccy,Conv)</f>
        <v>1968.11</v>
      </c>
      <c r="M297" s="6">
        <f>_xll.ciqfunctions.udf.CIQ(InputTicker, "IQ_TOTAL_CA",Input!O$2,Date,,,Ccy,Conv)</f>
        <v>1754.4179999999999</v>
      </c>
      <c r="N297" s="46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</row>
    <row r="298" spans="1:66" ht="12.75" customHeight="1" x14ac:dyDescent="0.2">
      <c r="A298" s="1" t="s">
        <v>92</v>
      </c>
      <c r="B298" s="4">
        <f>_xll.ciqfunctions.udf.CIQ(InputTicker, "IQ_GPPE",Input!D$2,Date,,,Ccy,Conv)</f>
        <v>754.24199999999996</v>
      </c>
      <c r="C298" s="4">
        <f>_xll.ciqfunctions.udf.CIQ(InputTicker, "IQ_GPPE",Input!E$2,Date,,,Ccy,Conv)</f>
        <v>822.64499999999998</v>
      </c>
      <c r="D298" s="4">
        <f>_xll.ciqfunctions.udf.CIQ(InputTicker, "IQ_GPPE",Input!F$2,Date,,,Ccy,Conv)</f>
        <v>927.17899999999997</v>
      </c>
      <c r="E298" s="4">
        <f>_xll.ciqfunctions.udf.CIQ(InputTicker, "IQ_GPPE",Input!G$2,Date,,,Ccy,Conv)</f>
        <v>939.09100000000001</v>
      </c>
      <c r="F298" s="4">
        <f>_xll.ciqfunctions.udf.CIQ(InputTicker, "IQ_GPPE",Input!H$2,Date,,,Ccy,Conv)</f>
        <v>1011.932</v>
      </c>
      <c r="G298" s="4">
        <f>_xll.ciqfunctions.udf.CIQ(InputTicker, "IQ_GPPE",Input!I$2,Date,,,Ccy,Conv)</f>
        <v>1145.875</v>
      </c>
      <c r="H298" s="4">
        <f>_xll.ciqfunctions.udf.CIQ(InputTicker, "IQ_GPPE",Input!J$2,Date,,,Ccy,Conv)</f>
        <v>1215.412</v>
      </c>
      <c r="I298" s="4">
        <f>_xll.ciqfunctions.udf.CIQ(InputTicker, "IQ_GPPE",Input!K$2,Date,,,Ccy,Conv)</f>
        <v>1355.5840000000001</v>
      </c>
      <c r="J298" s="4">
        <f>_xll.ciqfunctions.udf.CIQ(InputTicker, "IQ_GPPE",Input!L$2,Date,,,Ccy,Conv)</f>
        <v>1483.758</v>
      </c>
      <c r="K298" s="4">
        <f>_xll.ciqfunctions.udf.CIQ(InputTicker, "IQ_GPPE",Input!M$2,Date,,,Ccy,Conv)</f>
        <v>1662.174</v>
      </c>
      <c r="L298" s="4">
        <f>_xll.ciqfunctions.udf.CIQ(InputTicker, "IQ_GPPE",Input!N$2,Date,,,Ccy,Conv)</f>
        <v>1905.8240000000001</v>
      </c>
      <c r="M298" s="4">
        <f>_xll.ciqfunctions.udf.CIQ(InputTicker, "IQ_GPPE",Input!O$2,Date,,,Ccy,Conv)</f>
        <v>0</v>
      </c>
      <c r="N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</row>
    <row r="299" spans="1:66" ht="12.75" customHeight="1" x14ac:dyDescent="0.2">
      <c r="A299" s="1" t="s">
        <v>93</v>
      </c>
      <c r="B299" s="4">
        <f>_xll.ciqfunctions.udf.CIQ(InputTicker, "IQ_AD",Input!D$2,Date,,,Ccy,Conv)</f>
        <v>-395.452</v>
      </c>
      <c r="C299" s="4">
        <f>_xll.ciqfunctions.udf.CIQ(InputTicker, "IQ_AD",Input!E$2,Date,,,Ccy,Conv)</f>
        <v>-430.37099999999998</v>
      </c>
      <c r="D299" s="4">
        <f>_xll.ciqfunctions.udf.CIQ(InputTicker, "IQ_AD",Input!F$2,Date,,,Ccy,Conv)</f>
        <v>-468.995</v>
      </c>
      <c r="E299" s="4">
        <f>_xll.ciqfunctions.udf.CIQ(InputTicker, "IQ_AD",Input!G$2,Date,,,Ccy,Conv)</f>
        <v>-513.70699999999999</v>
      </c>
      <c r="F299" s="4">
        <f>_xll.ciqfunctions.udf.CIQ(InputTicker, "IQ_AD",Input!H$2,Date,,,Ccy,Conv)</f>
        <v>-555.63800000000003</v>
      </c>
      <c r="G299" s="4">
        <f>_xll.ciqfunctions.udf.CIQ(InputTicker, "IQ_AD",Input!I$2,Date,,,Ccy,Conv)</f>
        <v>-585.29100000000005</v>
      </c>
      <c r="H299" s="4">
        <f>_xll.ciqfunctions.udf.CIQ(InputTicker, "IQ_AD",Input!J$2,Date,,,Ccy,Conv)</f>
        <v>-623.74599999999998</v>
      </c>
      <c r="I299" s="4">
        <f>_xll.ciqfunctions.udf.CIQ(InputTicker, "IQ_AD",Input!K$2,Date,,,Ccy,Conv)</f>
        <v>-677.78800000000001</v>
      </c>
      <c r="J299" s="4">
        <f>_xll.ciqfunctions.udf.CIQ(InputTicker, "IQ_AD",Input!L$2,Date,,,Ccy,Conv)</f>
        <v>-739.21799999999996</v>
      </c>
      <c r="K299" s="4">
        <f>_xll.ciqfunctions.udf.CIQ(InputTicker, "IQ_AD",Input!M$2,Date,,,Ccy,Conv)</f>
        <v>-804.94</v>
      </c>
      <c r="L299" s="4">
        <f>_xll.ciqfunctions.udf.CIQ(InputTicker, "IQ_AD",Input!N$2,Date,,,Ccy,Conv)</f>
        <v>-879.14</v>
      </c>
      <c r="M299" s="4">
        <f>_xll.ciqfunctions.udf.CIQ(InputTicker, "IQ_AD",Input!O$2,Date,,,Ccy,Conv)</f>
        <v>0</v>
      </c>
      <c r="N299" s="42"/>
      <c r="T299" s="46"/>
      <c r="U299" s="46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</row>
    <row r="300" spans="1:66" ht="12.75" customHeight="1" x14ac:dyDescent="0.2">
      <c r="A300" s="5" t="s">
        <v>94</v>
      </c>
      <c r="B300" s="6">
        <f>_xll.ciqfunctions.udf.CIQ(InputTicker, "IQ_NPPE",Input!D$2,Date,,,Ccy,Conv)</f>
        <v>358.79</v>
      </c>
      <c r="C300" s="6">
        <f>_xll.ciqfunctions.udf.CIQ(InputTicker, "IQ_NPPE",Input!E$2,Date,,,Ccy,Conv)</f>
        <v>392.274</v>
      </c>
      <c r="D300" s="6">
        <f>_xll.ciqfunctions.udf.CIQ(InputTicker, "IQ_NPPE",Input!F$2,Date,,,Ccy,Conv)</f>
        <v>458.18400000000003</v>
      </c>
      <c r="E300" s="6">
        <f>_xll.ciqfunctions.udf.CIQ(InputTicker, "IQ_NPPE",Input!G$2,Date,,,Ccy,Conv)</f>
        <v>425.38400000000001</v>
      </c>
      <c r="F300" s="6">
        <f>_xll.ciqfunctions.udf.CIQ(InputTicker, "IQ_NPPE",Input!H$2,Date,,,Ccy,Conv)</f>
        <v>456.29399999999998</v>
      </c>
      <c r="G300" s="6">
        <f>_xll.ciqfunctions.udf.CIQ(InputTicker, "IQ_NPPE",Input!I$2,Date,,,Ccy,Conv)</f>
        <v>560.58399999999995</v>
      </c>
      <c r="H300" s="6">
        <f>_xll.ciqfunctions.udf.CIQ(InputTicker, "IQ_NPPE",Input!J$2,Date,,,Ccy,Conv)</f>
        <v>591.66600000000005</v>
      </c>
      <c r="I300" s="6">
        <f>_xll.ciqfunctions.udf.CIQ(InputTicker, "IQ_NPPE",Input!K$2,Date,,,Ccy,Conv)</f>
        <v>677.79600000000005</v>
      </c>
      <c r="J300" s="6">
        <f>_xll.ciqfunctions.udf.CIQ(InputTicker, "IQ_NPPE",Input!L$2,Date,,,Ccy,Conv)</f>
        <v>744.54</v>
      </c>
      <c r="K300" s="6">
        <f>_xll.ciqfunctions.udf.CIQ(InputTicker, "IQ_NPPE",Input!M$2,Date,,,Ccy,Conv)</f>
        <v>857.23400000000004</v>
      </c>
      <c r="L300" s="6">
        <f>_xll.ciqfunctions.udf.CIQ(InputTicker, "IQ_NPPE",Input!N$2,Date,,,Ccy,Conv)</f>
        <v>1026.684</v>
      </c>
      <c r="M300" s="6">
        <f>_xll.ciqfunctions.udf.CIQ(InputTicker, "IQ_NPPE",Input!O$2,Date,,,Ccy,Conv)</f>
        <v>1218.654</v>
      </c>
      <c r="N300" s="42"/>
      <c r="P300" s="46"/>
      <c r="Q300" s="46"/>
      <c r="R300" s="46"/>
      <c r="T300" s="42"/>
      <c r="U300" s="42"/>
      <c r="V300" s="46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</row>
    <row r="301" spans="1:66" ht="12.75" customHeight="1" x14ac:dyDescent="0.2">
      <c r="A301" s="1" t="s">
        <v>176</v>
      </c>
      <c r="B301" s="4">
        <f>_xll.ciqfunctions.udf.CIQ(InputTicker, "IQ_LT_INVEST",Input!D$2,Date,,,Ccy,Conv)</f>
        <v>18.843</v>
      </c>
      <c r="C301" s="4">
        <f>_xll.ciqfunctions.udf.CIQ(InputTicker, "IQ_LT_INVEST",Input!E$2,Date,,,Ccy,Conv)</f>
        <v>53.975000000000001</v>
      </c>
      <c r="D301" s="4">
        <f>_xll.ciqfunctions.udf.CIQ(InputTicker, "IQ_LT_INVEST",Input!F$2,Date,,,Ccy,Conv)</f>
        <v>65.730999999999995</v>
      </c>
      <c r="E301" s="4">
        <f>_xll.ciqfunctions.udf.CIQ(InputTicker, "IQ_LT_INVEST",Input!G$2,Date,,,Ccy,Conv)</f>
        <v>72.506</v>
      </c>
      <c r="F301" s="4">
        <f>_xll.ciqfunctions.udf.CIQ(InputTicker, "IQ_LT_INVEST",Input!H$2,Date,,,Ccy,Conv)</f>
        <v>70.911000000000001</v>
      </c>
      <c r="G301" s="4">
        <f>_xll.ciqfunctions.udf.CIQ(InputTicker, "IQ_LT_INVEST",Input!I$2,Date,,,Ccy,Conv)</f>
        <v>63.731000000000002</v>
      </c>
      <c r="H301" s="4">
        <f>_xll.ciqfunctions.udf.CIQ(InputTicker, "IQ_LT_INVEST",Input!J$2,Date,,,Ccy,Conv)</f>
        <v>59.057000000000002</v>
      </c>
      <c r="I301" s="4">
        <f>_xll.ciqfunctions.udf.CIQ(InputTicker, "IQ_LT_INVEST",Input!K$2,Date,,,Ccy,Conv)</f>
        <v>19.282</v>
      </c>
      <c r="J301" s="4">
        <f>_xll.ciqfunctions.udf.CIQ(InputTicker, "IQ_LT_INVEST",Input!L$2,Date,,,Ccy,Conv)</f>
        <v>14.449</v>
      </c>
      <c r="K301" s="4">
        <f>_xll.ciqfunctions.udf.CIQ(InputTicker, "IQ_LT_INVEST",Input!M$2,Date,,,Ccy,Conv)</f>
        <v>11.195</v>
      </c>
      <c r="L301" s="4">
        <f>_xll.ciqfunctions.udf.CIQ(InputTicker, "IQ_LT_INVEST",Input!N$2,Date,,,Ccy,Conv)</f>
        <v>11.095000000000001</v>
      </c>
      <c r="M301" s="4">
        <f>_xll.ciqfunctions.udf.CIQ(InputTicker, "IQ_LT_INVEST",Input!O$2,Date,,,Ccy,Conv)</f>
        <v>9.9789999999999992</v>
      </c>
      <c r="N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  <c r="BN301" s="42"/>
    </row>
    <row r="302" spans="1:66" ht="12.75" customHeight="1" x14ac:dyDescent="0.2">
      <c r="A302" s="1" t="s">
        <v>56</v>
      </c>
      <c r="B302" s="4">
        <f>_xll.ciqfunctions.udf.CIQ(InputTicker, "IQ_GW",Input!D$2,Date,,,Ccy,Conv)</f>
        <v>29.196000000000002</v>
      </c>
      <c r="C302" s="4">
        <f>_xll.ciqfunctions.udf.CIQ(InputTicker, "IQ_GW",Input!E$2,Date,,,Ccy,Conv)</f>
        <v>29.196000000000002</v>
      </c>
      <c r="D302" s="4">
        <f>_xll.ciqfunctions.udf.CIQ(InputTicker, "IQ_GW",Input!F$2,Date,,,Ccy,Conv)</f>
        <v>35.524999999999999</v>
      </c>
      <c r="E302" s="4">
        <f>_xll.ciqfunctions.udf.CIQ(InputTicker, "IQ_GW",Input!G$2,Date,,,Ccy,Conv)</f>
        <v>35.524999999999999</v>
      </c>
      <c r="F302" s="4">
        <f>_xll.ciqfunctions.udf.CIQ(InputTicker, "IQ_GW",Input!H$2,Date,,,Ccy,Conv)</f>
        <v>35.524999999999999</v>
      </c>
      <c r="G302" s="4">
        <f>_xll.ciqfunctions.udf.CIQ(InputTicker, "IQ_GW",Input!I$2,Date,,,Ccy,Conv)</f>
        <v>35.524999999999999</v>
      </c>
      <c r="H302" s="4">
        <f>_xll.ciqfunctions.udf.CIQ(InputTicker, "IQ_GW",Input!J$2,Date,,,Ccy,Conv)</f>
        <v>35.524999999999999</v>
      </c>
      <c r="I302" s="4">
        <f>_xll.ciqfunctions.udf.CIQ(InputTicker, "IQ_GW",Input!K$2,Date,,,Ccy,Conv)</f>
        <v>44.006</v>
      </c>
      <c r="J302" s="4">
        <f>_xll.ciqfunctions.udf.CIQ(InputTicker, "IQ_GW",Input!L$2,Date,,,Ccy,Conv)</f>
        <v>44.006</v>
      </c>
      <c r="K302" s="4">
        <f>_xll.ciqfunctions.udf.CIQ(InputTicker, "IQ_GW",Input!M$2,Date,,,Ccy,Conv)</f>
        <v>45.776000000000003</v>
      </c>
      <c r="L302" s="4">
        <f>_xll.ciqfunctions.udf.CIQ(InputTicker, "IQ_GW",Input!N$2,Date,,,Ccy,Conv)</f>
        <v>46.776000000000003</v>
      </c>
      <c r="M302" s="4">
        <f>_xll.ciqfunctions.udf.CIQ(InputTicker, "IQ_GW",Input!O$2,Date,,,Ccy,Conv)</f>
        <v>87.058999999999997</v>
      </c>
      <c r="N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  <c r="BN302" s="42"/>
    </row>
    <row r="303" spans="1:66" ht="12.75" customHeight="1" x14ac:dyDescent="0.2">
      <c r="A303" s="1" t="s">
        <v>95</v>
      </c>
      <c r="B303" s="4">
        <f>_xll.ciqfunctions.udf.CIQ(InputTicker, "IQ_OTHER_INTAN",Input!D$2,Date,,,Ccy,Conv)</f>
        <v>7.56</v>
      </c>
      <c r="C303" s="4">
        <f>_xll.ciqfunctions.udf.CIQ(InputTicker, "IQ_OTHER_INTAN",Input!E$2,Date,,,Ccy,Conv)</f>
        <v>4.9580000000000002</v>
      </c>
      <c r="D303" s="4">
        <f>_xll.ciqfunctions.udf.CIQ(InputTicker, "IQ_OTHER_INTAN",Input!F$2,Date,,,Ccy,Conv)</f>
        <v>29.149000000000001</v>
      </c>
      <c r="E303" s="4">
        <f>_xll.ciqfunctions.udf.CIQ(InputTicker, "IQ_OTHER_INTAN",Input!G$2,Date,,,Ccy,Conv)</f>
        <v>26.306999999999999</v>
      </c>
      <c r="F303" s="4">
        <f>_xll.ciqfunctions.udf.CIQ(InputTicker, "IQ_OTHER_INTAN",Input!H$2,Date,,,Ccy,Conv)</f>
        <v>23.762</v>
      </c>
      <c r="G303" s="4">
        <f>_xll.ciqfunctions.udf.CIQ(InputTicker, "IQ_OTHER_INTAN",Input!I$2,Date,,,Ccy,Conv)</f>
        <v>22.815999999999999</v>
      </c>
      <c r="H303" s="4">
        <f>_xll.ciqfunctions.udf.CIQ(InputTicker, "IQ_OTHER_INTAN",Input!J$2,Date,,,Ccy,Conv)</f>
        <v>20.341000000000001</v>
      </c>
      <c r="I303" s="4">
        <f>_xll.ciqfunctions.udf.CIQ(InputTicker, "IQ_OTHER_INTAN",Input!K$2,Date,,,Ccy,Conv)</f>
        <v>18.131</v>
      </c>
      <c r="J303" s="4">
        <f>_xll.ciqfunctions.udf.CIQ(InputTicker, "IQ_OTHER_INTAN",Input!L$2,Date,,,Ccy,Conv)</f>
        <v>15.897</v>
      </c>
      <c r="K303" s="4">
        <f>_xll.ciqfunctions.udf.CIQ(InputTicker, "IQ_OTHER_INTAN",Input!M$2,Date,,,Ccy,Conv)</f>
        <v>15.996</v>
      </c>
      <c r="L303" s="4">
        <f>_xll.ciqfunctions.udf.CIQ(InputTicker, "IQ_OTHER_INTAN",Input!N$2,Date,,,Ccy,Conv)</f>
        <v>15.157</v>
      </c>
      <c r="M303" s="4">
        <f>_xll.ciqfunctions.udf.CIQ(InputTicker, "IQ_OTHER_INTAN",Input!O$2,Date,,,Ccy,Conv)</f>
        <v>55.091000000000001</v>
      </c>
      <c r="N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  <c r="BN303" s="42"/>
    </row>
    <row r="304" spans="1:66" ht="12.75" customHeight="1" x14ac:dyDescent="0.2">
      <c r="A304" s="1" t="s">
        <v>177</v>
      </c>
      <c r="B304" s="4">
        <f>_xll.ciqfunctions.udf.CIQ(InputTicker, "IQ_FIN_DIV_LOANS_LT",Input!D$2,Date,,,Ccy,Conv)</f>
        <v>0</v>
      </c>
      <c r="C304" s="4">
        <f>_xll.ciqfunctions.udf.CIQ(InputTicker, "IQ_FIN_DIV_LOANS_LT",Input!E$2,Date,,,Ccy,Conv)</f>
        <v>0</v>
      </c>
      <c r="D304" s="4">
        <f>_xll.ciqfunctions.udf.CIQ(InputTicker, "IQ_FIN_DIV_LOANS_LT",Input!F$2,Date,,,Ccy,Conv)</f>
        <v>0</v>
      </c>
      <c r="E304" s="4">
        <f>_xll.ciqfunctions.udf.CIQ(InputTicker, "IQ_FIN_DIV_LOANS_LT",Input!G$2,Date,,,Ccy,Conv)</f>
        <v>0</v>
      </c>
      <c r="F304" s="4">
        <f>_xll.ciqfunctions.udf.CIQ(InputTicker, "IQ_FIN_DIV_LOANS_LT",Input!H$2,Date,,,Ccy,Conv)</f>
        <v>0</v>
      </c>
      <c r="G304" s="4">
        <f>_xll.ciqfunctions.udf.CIQ(InputTicker, "IQ_FIN_DIV_LOANS_LT",Input!I$2,Date,,,Ccy,Conv)</f>
        <v>0</v>
      </c>
      <c r="H304" s="4">
        <f>_xll.ciqfunctions.udf.CIQ(InputTicker, "IQ_FIN_DIV_LOANS_LT",Input!J$2,Date,,,Ccy,Conv)</f>
        <v>0</v>
      </c>
      <c r="I304" s="4">
        <f>_xll.ciqfunctions.udf.CIQ(InputTicker, "IQ_FIN_DIV_LOANS_LT",Input!K$2,Date,,,Ccy,Conv)</f>
        <v>0</v>
      </c>
      <c r="J304" s="4">
        <f>_xll.ciqfunctions.udf.CIQ(InputTicker, "IQ_FIN_DIV_LOANS_LT",Input!L$2,Date,,,Ccy,Conv)</f>
        <v>0</v>
      </c>
      <c r="K304" s="4">
        <f>_xll.ciqfunctions.udf.CIQ(InputTicker, "IQ_FIN_DIV_LOANS_LT",Input!M$2,Date,,,Ccy,Conv)</f>
        <v>0</v>
      </c>
      <c r="L304" s="4">
        <f>_xll.ciqfunctions.udf.CIQ(InputTicker, "IQ_FIN_DIV_LOANS_LT",Input!N$2,Date,,,Ccy,Conv)</f>
        <v>0</v>
      </c>
      <c r="M304" s="4">
        <f>_xll.ciqfunctions.udf.CIQ(InputTicker, "IQ_FIN_DIV_LOANS_LT",Input!O$2,Date,,,Ccy,Conv)</f>
        <v>0</v>
      </c>
      <c r="N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</row>
    <row r="305" spans="1:66" ht="12.75" customHeight="1" x14ac:dyDescent="0.2">
      <c r="A305" s="1" t="s">
        <v>178</v>
      </c>
      <c r="B305" s="4">
        <f>_xll.ciqfunctions.udf.CIQ(InputTicker, "IQ_FIN_DIV_ASSETS_LT",Input!D$2,Date,,,Ccy,Conv)</f>
        <v>0</v>
      </c>
      <c r="C305" s="4">
        <f>_xll.ciqfunctions.udf.CIQ(InputTicker, "IQ_FIN_DIV_ASSETS_LT",Input!E$2,Date,,,Ccy,Conv)</f>
        <v>0</v>
      </c>
      <c r="D305" s="4">
        <f>_xll.ciqfunctions.udf.CIQ(InputTicker, "IQ_FIN_DIV_ASSETS_LT",Input!F$2,Date,,,Ccy,Conv)</f>
        <v>0</v>
      </c>
      <c r="E305" s="4">
        <f>_xll.ciqfunctions.udf.CIQ(InputTicker, "IQ_FIN_DIV_ASSETS_LT",Input!G$2,Date,,,Ccy,Conv)</f>
        <v>0</v>
      </c>
      <c r="F305" s="4">
        <f>_xll.ciqfunctions.udf.CIQ(InputTicker, "IQ_FIN_DIV_ASSETS_LT",Input!H$2,Date,,,Ccy,Conv)</f>
        <v>0</v>
      </c>
      <c r="G305" s="4">
        <f>_xll.ciqfunctions.udf.CIQ(InputTicker, "IQ_FIN_DIV_ASSETS_LT",Input!I$2,Date,,,Ccy,Conv)</f>
        <v>0</v>
      </c>
      <c r="H305" s="4">
        <f>_xll.ciqfunctions.udf.CIQ(InputTicker, "IQ_FIN_DIV_ASSETS_LT",Input!J$2,Date,,,Ccy,Conv)</f>
        <v>0</v>
      </c>
      <c r="I305" s="4">
        <f>_xll.ciqfunctions.udf.CIQ(InputTicker, "IQ_FIN_DIV_ASSETS_LT",Input!K$2,Date,,,Ccy,Conv)</f>
        <v>0</v>
      </c>
      <c r="J305" s="4">
        <f>_xll.ciqfunctions.udf.CIQ(InputTicker, "IQ_FIN_DIV_ASSETS_LT",Input!L$2,Date,,,Ccy,Conv)</f>
        <v>0</v>
      </c>
      <c r="K305" s="4">
        <f>_xll.ciqfunctions.udf.CIQ(InputTicker, "IQ_FIN_DIV_ASSETS_LT",Input!M$2,Date,,,Ccy,Conv)</f>
        <v>0</v>
      </c>
      <c r="L305" s="4">
        <f>_xll.ciqfunctions.udf.CIQ(InputTicker, "IQ_FIN_DIV_ASSETS_LT",Input!N$2,Date,,,Ccy,Conv)</f>
        <v>0</v>
      </c>
      <c r="M305" s="4">
        <f>_xll.ciqfunctions.udf.CIQ(InputTicker, "IQ_FIN_DIV_ASSETS_LT",Input!O$2,Date,,,Ccy,Conv)</f>
        <v>0</v>
      </c>
      <c r="N305" s="46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  <c r="BN305" s="42"/>
    </row>
    <row r="306" spans="1:66" ht="12.75" customHeight="1" x14ac:dyDescent="0.2">
      <c r="A306" s="1" t="s">
        <v>179</v>
      </c>
      <c r="B306" s="4">
        <f>_xll.ciqfunctions.udf.CIQ(InputTicker, "IQ_AR_LT",Input!D$2,Date,,,Ccy,Conv)</f>
        <v>0</v>
      </c>
      <c r="C306" s="4">
        <f>_xll.ciqfunctions.udf.CIQ(InputTicker, "IQ_AR_LT",Input!E$2,Date,,,Ccy,Conv)</f>
        <v>0</v>
      </c>
      <c r="D306" s="4">
        <f>_xll.ciqfunctions.udf.CIQ(InputTicker, "IQ_AR_LT",Input!F$2,Date,,,Ccy,Conv)</f>
        <v>0</v>
      </c>
      <c r="E306" s="4">
        <f>_xll.ciqfunctions.udf.CIQ(InputTicker, "IQ_AR_LT",Input!G$2,Date,,,Ccy,Conv)</f>
        <v>0</v>
      </c>
      <c r="F306" s="4">
        <f>_xll.ciqfunctions.udf.CIQ(InputTicker, "IQ_AR_LT",Input!H$2,Date,,,Ccy,Conv)</f>
        <v>0</v>
      </c>
      <c r="G306" s="4">
        <f>_xll.ciqfunctions.udf.CIQ(InputTicker, "IQ_AR_LT",Input!I$2,Date,,,Ccy,Conv)</f>
        <v>0</v>
      </c>
      <c r="H306" s="4">
        <f>_xll.ciqfunctions.udf.CIQ(InputTicker, "IQ_AR_LT",Input!J$2,Date,,,Ccy,Conv)</f>
        <v>0</v>
      </c>
      <c r="I306" s="4">
        <f>_xll.ciqfunctions.udf.CIQ(InputTicker, "IQ_AR_LT",Input!K$2,Date,,,Ccy,Conv)</f>
        <v>0</v>
      </c>
      <c r="J306" s="4">
        <f>_xll.ciqfunctions.udf.CIQ(InputTicker, "IQ_AR_LT",Input!L$2,Date,,,Ccy,Conv)</f>
        <v>0</v>
      </c>
      <c r="K306" s="4">
        <f>_xll.ciqfunctions.udf.CIQ(InputTicker, "IQ_AR_LT",Input!M$2,Date,,,Ccy,Conv)</f>
        <v>0</v>
      </c>
      <c r="L306" s="4">
        <f>_xll.ciqfunctions.udf.CIQ(InputTicker, "IQ_AR_LT",Input!N$2,Date,,,Ccy,Conv)</f>
        <v>0</v>
      </c>
      <c r="M306" s="4">
        <f>_xll.ciqfunctions.udf.CIQ(InputTicker, "IQ_AR_LT",Input!O$2,Date,,,Ccy,Conv)</f>
        <v>0</v>
      </c>
      <c r="N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  <c r="BN306" s="42"/>
    </row>
    <row r="307" spans="1:66" ht="12.75" customHeight="1" x14ac:dyDescent="0.2">
      <c r="A307" s="1" t="s">
        <v>132</v>
      </c>
      <c r="B307" s="4">
        <f>_xll.ciqfunctions.udf.CIQ(InputTicker, "IQ_LOANS_RECEIV_LT",Input!D$2,Date,,,Ccy,Conv)</f>
        <v>0</v>
      </c>
      <c r="C307" s="4">
        <f>_xll.ciqfunctions.udf.CIQ(InputTicker, "IQ_LOANS_RECEIV_LT",Input!E$2,Date,,,Ccy,Conv)</f>
        <v>0</v>
      </c>
      <c r="D307" s="4">
        <f>_xll.ciqfunctions.udf.CIQ(InputTicker, "IQ_LOANS_RECEIV_LT",Input!F$2,Date,,,Ccy,Conv)</f>
        <v>0</v>
      </c>
      <c r="E307" s="4">
        <f>_xll.ciqfunctions.udf.CIQ(InputTicker, "IQ_LOANS_RECEIV_LT",Input!G$2,Date,,,Ccy,Conv)</f>
        <v>0</v>
      </c>
      <c r="F307" s="4">
        <f>_xll.ciqfunctions.udf.CIQ(InputTicker, "IQ_LOANS_RECEIV_LT",Input!H$2,Date,,,Ccy,Conv)</f>
        <v>0</v>
      </c>
      <c r="G307" s="4">
        <f>_xll.ciqfunctions.udf.CIQ(InputTicker, "IQ_LOANS_RECEIV_LT",Input!I$2,Date,,,Ccy,Conv)</f>
        <v>0</v>
      </c>
      <c r="H307" s="4">
        <f>_xll.ciqfunctions.udf.CIQ(InputTicker, "IQ_LOANS_RECEIV_LT",Input!J$2,Date,,,Ccy,Conv)</f>
        <v>0</v>
      </c>
      <c r="I307" s="4">
        <f>_xll.ciqfunctions.udf.CIQ(InputTicker, "IQ_LOANS_RECEIV_LT",Input!K$2,Date,,,Ccy,Conv)</f>
        <v>0</v>
      </c>
      <c r="J307" s="4">
        <f>_xll.ciqfunctions.udf.CIQ(InputTicker, "IQ_LOANS_RECEIV_LT",Input!L$2,Date,,,Ccy,Conv)</f>
        <v>0</v>
      </c>
      <c r="K307" s="4">
        <f>_xll.ciqfunctions.udf.CIQ(InputTicker, "IQ_LOANS_RECEIV_LT",Input!M$2,Date,,,Ccy,Conv)</f>
        <v>0</v>
      </c>
      <c r="L307" s="4">
        <f>_xll.ciqfunctions.udf.CIQ(InputTicker, "IQ_LOANS_RECEIV_LT",Input!N$2,Date,,,Ccy,Conv)</f>
        <v>0</v>
      </c>
      <c r="M307" s="4">
        <f>_xll.ciqfunctions.udf.CIQ(InputTicker, "IQ_LOANS_RECEIV_LT",Input!O$2,Date,,,Ccy,Conv)</f>
        <v>0</v>
      </c>
      <c r="N307" s="42"/>
      <c r="S307" s="46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  <c r="BN307" s="42"/>
    </row>
    <row r="308" spans="1:66" ht="12.75" customHeight="1" x14ac:dyDescent="0.2">
      <c r="A308" s="1" t="s">
        <v>133</v>
      </c>
      <c r="B308" s="4">
        <f>_xll.ciqfunctions.udf.CIQ(InputTicker, "IQ_DEF_TAX_ASSETS_LT",Input!D$2,Date,,,Ccy,Conv)</f>
        <v>0</v>
      </c>
      <c r="C308" s="4">
        <f>_xll.ciqfunctions.udf.CIQ(InputTicker, "IQ_DEF_TAX_ASSETS_LT",Input!E$2,Date,,,Ccy,Conv)</f>
        <v>0</v>
      </c>
      <c r="D308" s="4">
        <f>_xll.ciqfunctions.udf.CIQ(InputTicker, "IQ_DEF_TAX_ASSETS_LT",Input!F$2,Date,,,Ccy,Conv)</f>
        <v>0</v>
      </c>
      <c r="E308" s="4">
        <f>_xll.ciqfunctions.udf.CIQ(InputTicker, "IQ_DEF_TAX_ASSETS_LT",Input!G$2,Date,,,Ccy,Conv)</f>
        <v>0</v>
      </c>
      <c r="F308" s="4">
        <f>_xll.ciqfunctions.udf.CIQ(InputTicker, "IQ_DEF_TAX_ASSETS_LT",Input!H$2,Date,,,Ccy,Conv)</f>
        <v>0</v>
      </c>
      <c r="G308" s="4">
        <f>_xll.ciqfunctions.udf.CIQ(InputTicker, "IQ_DEF_TAX_ASSETS_LT",Input!I$2,Date,,,Ccy,Conv)</f>
        <v>0</v>
      </c>
      <c r="H308" s="4">
        <f>_xll.ciqfunctions.udf.CIQ(InputTicker, "IQ_DEF_TAX_ASSETS_LT",Input!J$2,Date,,,Ccy,Conv)</f>
        <v>0</v>
      </c>
      <c r="I308" s="4">
        <f>_xll.ciqfunctions.udf.CIQ(InputTicker, "IQ_DEF_TAX_ASSETS_LT",Input!K$2,Date,,,Ccy,Conv)</f>
        <v>0</v>
      </c>
      <c r="J308" s="4">
        <f>_xll.ciqfunctions.udf.CIQ(InputTicker, "IQ_DEF_TAX_ASSETS_LT",Input!L$2,Date,,,Ccy,Conv)</f>
        <v>0</v>
      </c>
      <c r="K308" s="4">
        <f>_xll.ciqfunctions.udf.CIQ(InputTicker, "IQ_DEF_TAX_ASSETS_LT",Input!M$2,Date,,,Ccy,Conv)</f>
        <v>0</v>
      </c>
      <c r="L308" s="4">
        <f>_xll.ciqfunctions.udf.CIQ(InputTicker, "IQ_DEF_TAX_ASSETS_LT",Input!N$2,Date,,,Ccy,Conv)</f>
        <v>0</v>
      </c>
      <c r="M308" s="4">
        <f>_xll.ciqfunctions.udf.CIQ(InputTicker, "IQ_DEF_TAX_ASSETS_LT",Input!O$2,Date,,,Ccy,Conv)</f>
        <v>0</v>
      </c>
      <c r="N308" s="46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</row>
    <row r="309" spans="1:66" ht="12.75" customHeight="1" x14ac:dyDescent="0.2">
      <c r="A309" s="1" t="s">
        <v>180</v>
      </c>
      <c r="B309" s="4">
        <f>_xll.ciqfunctions.udf.CIQ(InputTicker, "IQ_DEF_CHARGES_LT",Input!D$2,Date,,,Ccy,Conv)</f>
        <v>0</v>
      </c>
      <c r="C309" s="4">
        <f>_xll.ciqfunctions.udf.CIQ(InputTicker, "IQ_DEF_CHARGES_LT",Input!E$2,Date,,,Ccy,Conv)</f>
        <v>0</v>
      </c>
      <c r="D309" s="4">
        <f>_xll.ciqfunctions.udf.CIQ(InputTicker, "IQ_DEF_CHARGES_LT",Input!F$2,Date,,,Ccy,Conv)</f>
        <v>0</v>
      </c>
      <c r="E309" s="4">
        <f>_xll.ciqfunctions.udf.CIQ(InputTicker, "IQ_DEF_CHARGES_LT",Input!G$2,Date,,,Ccy,Conv)</f>
        <v>0</v>
      </c>
      <c r="F309" s="4">
        <f>_xll.ciqfunctions.udf.CIQ(InputTicker, "IQ_DEF_CHARGES_LT",Input!H$2,Date,,,Ccy,Conv)</f>
        <v>0</v>
      </c>
      <c r="G309" s="4">
        <f>_xll.ciqfunctions.udf.CIQ(InputTicker, "IQ_DEF_CHARGES_LT",Input!I$2,Date,,,Ccy,Conv)</f>
        <v>0</v>
      </c>
      <c r="H309" s="4">
        <f>_xll.ciqfunctions.udf.CIQ(InputTicker, "IQ_DEF_CHARGES_LT",Input!J$2,Date,,,Ccy,Conv)</f>
        <v>0</v>
      </c>
      <c r="I309" s="4">
        <f>_xll.ciqfunctions.udf.CIQ(InputTicker, "IQ_DEF_CHARGES_LT",Input!K$2,Date,,,Ccy,Conv)</f>
        <v>0</v>
      </c>
      <c r="J309" s="4">
        <f>_xll.ciqfunctions.udf.CIQ(InputTicker, "IQ_DEF_CHARGES_LT",Input!L$2,Date,,,Ccy,Conv)</f>
        <v>0</v>
      </c>
      <c r="K309" s="4">
        <f>_xll.ciqfunctions.udf.CIQ(InputTicker, "IQ_DEF_CHARGES_LT",Input!M$2,Date,,,Ccy,Conv)</f>
        <v>0</v>
      </c>
      <c r="L309" s="4">
        <f>_xll.ciqfunctions.udf.CIQ(InputTicker, "IQ_DEF_CHARGES_LT",Input!N$2,Date,,,Ccy,Conv)</f>
        <v>0</v>
      </c>
      <c r="M309" s="4">
        <f>_xll.ciqfunctions.udf.CIQ(InputTicker, "IQ_DEF_CHARGES_LT",Input!O$2,Date,,,Ccy,Conv)</f>
        <v>0</v>
      </c>
      <c r="N309" s="42"/>
      <c r="S309" s="46"/>
      <c r="T309" s="46"/>
      <c r="U309" s="46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  <c r="BN309" s="42"/>
    </row>
    <row r="310" spans="1:66" ht="12.75" customHeight="1" x14ac:dyDescent="0.2">
      <c r="A310" s="1" t="s">
        <v>134</v>
      </c>
      <c r="B310" s="4">
        <f>_xll.ciqfunctions.udf.CIQ(InputTicker, "IQ_OTHER_LT_ASSETS",Input!D$2,Date,,,Ccy,Conv)</f>
        <v>5.3</v>
      </c>
      <c r="C310" s="4">
        <f>_xll.ciqfunctions.udf.CIQ(InputTicker, "IQ_OTHER_LT_ASSETS",Input!E$2,Date,,,Ccy,Conv)</f>
        <v>5.0789999999999997</v>
      </c>
      <c r="D310" s="4">
        <f>_xll.ciqfunctions.udf.CIQ(InputTicker, "IQ_OTHER_LT_ASSETS",Input!F$2,Date,,,Ccy,Conv)</f>
        <v>8.2989999999999995</v>
      </c>
      <c r="E310" s="4">
        <f>_xll.ciqfunctions.udf.CIQ(InputTicker, "IQ_OTHER_LT_ASSETS",Input!G$2,Date,,,Ccy,Conv)</f>
        <v>3.2050000000000001</v>
      </c>
      <c r="F310" s="4">
        <f>_xll.ciqfunctions.udf.CIQ(InputTicker, "IQ_OTHER_LT_ASSETS",Input!H$2,Date,,,Ccy,Conv)</f>
        <v>2.0329999999999999</v>
      </c>
      <c r="G310" s="4">
        <f>_xll.ciqfunctions.udf.CIQ(InputTicker, "IQ_OTHER_LT_ASSETS",Input!I$2,Date,,,Ccy,Conv)</f>
        <v>1.7869999999999999</v>
      </c>
      <c r="H310" s="4">
        <f>_xll.ciqfunctions.udf.CIQ(InputTicker, "IQ_OTHER_LT_ASSETS",Input!J$2,Date,,,Ccy,Conv)</f>
        <v>2.6539999999999999</v>
      </c>
      <c r="I310" s="4">
        <f>_xll.ciqfunctions.udf.CIQ(InputTicker, "IQ_OTHER_LT_ASSETS",Input!K$2,Date,,,Ccy,Conv)</f>
        <v>6.7549999999999999</v>
      </c>
      <c r="J310" s="4">
        <f>_xll.ciqfunctions.udf.CIQ(InputTicker, "IQ_OTHER_LT_ASSETS",Input!L$2,Date,,,Ccy,Conv)</f>
        <v>10.708</v>
      </c>
      <c r="K310" s="4">
        <f>_xll.ciqfunctions.udf.CIQ(InputTicker, "IQ_OTHER_LT_ASSETS",Input!M$2,Date,,,Ccy,Conv)</f>
        <v>12.721</v>
      </c>
      <c r="L310" s="4">
        <f>_xll.ciqfunctions.udf.CIQ(InputTicker, "IQ_OTHER_LT_ASSETS",Input!N$2,Date,,,Ccy,Conv)</f>
        <v>16.797000000000001</v>
      </c>
      <c r="M310" s="4">
        <f>_xll.ciqfunctions.udf.CIQ(InputTicker, "IQ_OTHER_LT_ASSETS",Input!O$2,Date,,,Ccy,Conv)</f>
        <v>18.863</v>
      </c>
      <c r="N310" s="42"/>
      <c r="P310" s="46"/>
      <c r="Q310" s="46"/>
      <c r="R310" s="46"/>
      <c r="T310" s="42"/>
      <c r="U310" s="42"/>
      <c r="V310" s="46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</row>
    <row r="311" spans="1:66" ht="12.75" customHeight="1" thickBot="1" x14ac:dyDescent="0.25">
      <c r="A311" s="5" t="s">
        <v>267</v>
      </c>
      <c r="B311" s="9">
        <f>_xll.ciqfunctions.udf.CIQ(InputTicker, "IQ_TOTAL_ASSETS",Input!D$2,Date,,,Ccy,Conv)</f>
        <v>928.65300000000002</v>
      </c>
      <c r="C311" s="9">
        <f>_xll.ciqfunctions.udf.CIQ(InputTicker, "IQ_TOTAL_ASSETS",Input!E$2,Date,,,Ccy,Conv)</f>
        <v>1111.7650000000001</v>
      </c>
      <c r="D311" s="9">
        <f>_xll.ciqfunctions.udf.CIQ(InputTicker, "IQ_TOTAL_ASSETS",Input!F$2,Date,,,Ccy,Conv)</f>
        <v>1033.0940000000001</v>
      </c>
      <c r="E311" s="9">
        <f>_xll.ciqfunctions.udf.CIQ(InputTicker, "IQ_TOTAL_ASSETS",Input!G$2,Date,,,Ccy,Conv)</f>
        <v>1150.4469999999999</v>
      </c>
      <c r="F311" s="9">
        <f>_xll.ciqfunctions.udf.CIQ(InputTicker, "IQ_TOTAL_ASSETS",Input!H$2,Date,,,Ccy,Conv)</f>
        <v>1156.278</v>
      </c>
      <c r="G311" s="9">
        <f>_xll.ciqfunctions.udf.CIQ(InputTicker, "IQ_TOTAL_ASSETS",Input!I$2,Date,,,Ccy,Conv)</f>
        <v>1206.694</v>
      </c>
      <c r="H311" s="9">
        <f>_xll.ciqfunctions.udf.CIQ(InputTicker, "IQ_TOTAL_ASSETS",Input!J$2,Date,,,Ccy,Conv)</f>
        <v>1229.174</v>
      </c>
      <c r="I311" s="9">
        <f>_xll.ciqfunctions.udf.CIQ(InputTicker, "IQ_TOTAL_ASSETS",Input!K$2,Date,,,Ccy,Conv)</f>
        <v>1427.489</v>
      </c>
      <c r="J311" s="9">
        <f>_xll.ciqfunctions.udf.CIQ(InputTicker, "IQ_TOTAL_ASSETS",Input!L$2,Date,,,Ccy,Conv)</f>
        <v>1954.5250000000001</v>
      </c>
      <c r="K311" s="9">
        <f>_xll.ciqfunctions.udf.CIQ(InputTicker, "IQ_TOTAL_ASSETS",Input!M$2,Date,,,Ccy,Conv)</f>
        <v>2184.761</v>
      </c>
      <c r="L311" s="9">
        <f>_xll.ciqfunctions.udf.CIQ(InputTicker, "IQ_TOTAL_ASSETS",Input!N$2,Date,,,Ccy,Conv)</f>
        <v>3084.6190000000001</v>
      </c>
      <c r="M311" s="9">
        <f>_xll.ciqfunctions.udf.CIQ(InputTicker, "IQ_TOTAL_ASSETS",Input!O$2,Date,,,Ccy,Conv)</f>
        <v>3144.0639999999999</v>
      </c>
      <c r="N311" s="42"/>
      <c r="T311" s="46"/>
      <c r="U311" s="46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  <c r="BM311" s="42"/>
      <c r="BN311" s="42"/>
    </row>
    <row r="312" spans="1:66" ht="12.75" customHeight="1" thickTop="1" x14ac:dyDescent="0.2">
      <c r="A312" s="1" t="s">
        <v>50</v>
      </c>
      <c r="B312" s="4">
        <f>_xll.ciqfunctions.udf.CIQ(InputTicker, "IQ_AP",Input!D$2,Date,,,Ccy,Conv)</f>
        <v>44.709000000000003</v>
      </c>
      <c r="C312" s="4">
        <f>_xll.ciqfunctions.udf.CIQ(InputTicker, "IQ_AP",Input!E$2,Date,,,Ccy,Conv)</f>
        <v>36.262</v>
      </c>
      <c r="D312" s="4">
        <f>_xll.ciqfunctions.udf.CIQ(InputTicker, "IQ_AP",Input!F$2,Date,,,Ccy,Conv)</f>
        <v>30.629000000000001</v>
      </c>
      <c r="E312" s="4">
        <f>_xll.ciqfunctions.udf.CIQ(InputTicker, "IQ_AP",Input!G$2,Date,,,Ccy,Conv)</f>
        <v>37.840000000000003</v>
      </c>
      <c r="F312" s="4">
        <f>_xll.ciqfunctions.udf.CIQ(InputTicker, "IQ_AP",Input!H$2,Date,,,Ccy,Conv)</f>
        <v>39.21</v>
      </c>
      <c r="G312" s="4">
        <f>_xll.ciqfunctions.udf.CIQ(InputTicker, "IQ_AP",Input!I$2,Date,,,Ccy,Conv)</f>
        <v>55.904000000000003</v>
      </c>
      <c r="H312" s="4">
        <f>_xll.ciqfunctions.udf.CIQ(InputTicker, "IQ_AP",Input!J$2,Date,,,Ccy,Conv)</f>
        <v>52.783999999999999</v>
      </c>
      <c r="I312" s="4">
        <f>_xll.ciqfunctions.udf.CIQ(InputTicker, "IQ_AP",Input!K$2,Date,,,Ccy,Conv)</f>
        <v>82.049000000000007</v>
      </c>
      <c r="J312" s="4">
        <f>_xll.ciqfunctions.udf.CIQ(InputTicker, "IQ_AP",Input!L$2,Date,,,Ccy,Conv)</f>
        <v>82.59</v>
      </c>
      <c r="K312" s="4">
        <f>_xll.ciqfunctions.udf.CIQ(InputTicker, "IQ_AP",Input!M$2,Date,,,Ccy,Conv)</f>
        <v>75.861999999999995</v>
      </c>
      <c r="L312" s="4">
        <f>_xll.ciqfunctions.udf.CIQ(InputTicker, "IQ_AP",Input!N$2,Date,,,Ccy,Conv)</f>
        <v>101.033</v>
      </c>
      <c r="M312" s="4">
        <f>_xll.ciqfunctions.udf.CIQ(InputTicker, "IQ_AP",Input!O$2,Date,,,Ccy,Conv)</f>
        <v>123.47499999999999</v>
      </c>
      <c r="N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  <c r="BN312" s="42"/>
    </row>
    <row r="313" spans="1:66" ht="12.75" customHeight="1" x14ac:dyDescent="0.2">
      <c r="A313" s="1" t="s">
        <v>96</v>
      </c>
      <c r="B313" s="4">
        <f>_xll.ciqfunctions.udf.CIQ(InputTicker, "IQ_AE",Input!D$2,Date,,,Ccy,Conv)</f>
        <v>26.111999999999998</v>
      </c>
      <c r="C313" s="4">
        <f>_xll.ciqfunctions.udf.CIQ(InputTicker, "IQ_AE",Input!E$2,Date,,,Ccy,Conv)</f>
        <v>30.869</v>
      </c>
      <c r="D313" s="4">
        <f>_xll.ciqfunctions.udf.CIQ(InputTicker, "IQ_AE",Input!F$2,Date,,,Ccy,Conv)</f>
        <v>29.224</v>
      </c>
      <c r="E313" s="4">
        <f>_xll.ciqfunctions.udf.CIQ(InputTicker, "IQ_AE",Input!G$2,Date,,,Ccy,Conv)</f>
        <v>31.922999999999998</v>
      </c>
      <c r="F313" s="4">
        <f>_xll.ciqfunctions.udf.CIQ(InputTicker, "IQ_AE",Input!H$2,Date,,,Ccy,Conv)</f>
        <v>34.000999999999998</v>
      </c>
      <c r="G313" s="4">
        <f>_xll.ciqfunctions.udf.CIQ(InputTicker, "IQ_AE",Input!I$2,Date,,,Ccy,Conv)</f>
        <v>36.277999999999999</v>
      </c>
      <c r="H313" s="4">
        <f>_xll.ciqfunctions.udf.CIQ(InputTicker, "IQ_AE",Input!J$2,Date,,,Ccy,Conv)</f>
        <v>36.406999999999996</v>
      </c>
      <c r="I313" s="4">
        <f>_xll.ciqfunctions.udf.CIQ(InputTicker, "IQ_AE",Input!K$2,Date,,,Ccy,Conv)</f>
        <v>40.281999999999996</v>
      </c>
      <c r="J313" s="4">
        <f>_xll.ciqfunctions.udf.CIQ(InputTicker, "IQ_AE",Input!L$2,Date,,,Ccy,Conv)</f>
        <v>54.722999999999999</v>
      </c>
      <c r="K313" s="4">
        <f>_xll.ciqfunctions.udf.CIQ(InputTicker, "IQ_AE",Input!M$2,Date,,,Ccy,Conv)</f>
        <v>70.772999999999996</v>
      </c>
      <c r="L313" s="4">
        <f>_xll.ciqfunctions.udf.CIQ(InputTicker, "IQ_AE",Input!N$2,Date,,,Ccy,Conv)</f>
        <v>93.174999999999997</v>
      </c>
      <c r="M313" s="4">
        <f>_xll.ciqfunctions.udf.CIQ(InputTicker, "IQ_AE",Input!O$2,Date,,,Ccy,Conv)</f>
        <v>61.07</v>
      </c>
      <c r="N313" s="42"/>
      <c r="T313" s="17"/>
      <c r="U313" s="17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</row>
    <row r="314" spans="1:66" ht="12.75" customHeight="1" x14ac:dyDescent="0.2">
      <c r="A314" s="1" t="s">
        <v>181</v>
      </c>
      <c r="B314" s="4">
        <f>_xll.ciqfunctions.udf.CIQ(InputTicker, "IQ_ST_DEBT",Input!D$2,Date,,,Ccy,Conv)</f>
        <v>0</v>
      </c>
      <c r="C314" s="4">
        <f>_xll.ciqfunctions.udf.CIQ(InputTicker, "IQ_ST_DEBT",Input!E$2,Date,,,Ccy,Conv)</f>
        <v>0</v>
      </c>
      <c r="D314" s="4">
        <f>_xll.ciqfunctions.udf.CIQ(InputTicker, "IQ_ST_DEBT",Input!F$2,Date,,,Ccy,Conv)</f>
        <v>0</v>
      </c>
      <c r="E314" s="4">
        <f>_xll.ciqfunctions.udf.CIQ(InputTicker, "IQ_ST_DEBT",Input!G$2,Date,,,Ccy,Conv)</f>
        <v>0</v>
      </c>
      <c r="F314" s="4">
        <f>_xll.ciqfunctions.udf.CIQ(InputTicker, "IQ_ST_DEBT",Input!H$2,Date,,,Ccy,Conv)</f>
        <v>0</v>
      </c>
      <c r="G314" s="4">
        <f>_xll.ciqfunctions.udf.CIQ(InputTicker, "IQ_ST_DEBT",Input!I$2,Date,,,Ccy,Conv)</f>
        <v>0</v>
      </c>
      <c r="H314" s="4">
        <f>_xll.ciqfunctions.udf.CIQ(InputTicker, "IQ_ST_DEBT",Input!J$2,Date,,,Ccy,Conv)</f>
        <v>0</v>
      </c>
      <c r="I314" s="4">
        <f>_xll.ciqfunctions.udf.CIQ(InputTicker, "IQ_ST_DEBT",Input!K$2,Date,,,Ccy,Conv)</f>
        <v>0</v>
      </c>
      <c r="J314" s="4">
        <f>_xll.ciqfunctions.udf.CIQ(InputTicker, "IQ_ST_DEBT",Input!L$2,Date,,,Ccy,Conv)</f>
        <v>0</v>
      </c>
      <c r="K314" s="4">
        <f>_xll.ciqfunctions.udf.CIQ(InputTicker, "IQ_ST_DEBT",Input!M$2,Date,,,Ccy,Conv)</f>
        <v>0</v>
      </c>
      <c r="L314" s="4">
        <f>_xll.ciqfunctions.udf.CIQ(InputTicker, "IQ_ST_DEBT",Input!N$2,Date,,,Ccy,Conv)</f>
        <v>0</v>
      </c>
      <c r="M314" s="4">
        <f>_xll.ciqfunctions.udf.CIQ(InputTicker, "IQ_ST_DEBT",Input!O$2,Date,,,Ccy,Conv)</f>
        <v>0</v>
      </c>
      <c r="N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  <c r="BN314" s="42"/>
    </row>
    <row r="315" spans="1:66" ht="12.75" customHeight="1" x14ac:dyDescent="0.2">
      <c r="A315" s="1" t="s">
        <v>182</v>
      </c>
      <c r="B315" s="4">
        <f>_xll.ciqfunctions.udf.CIQ(InputTicker, "IQ_CURRENT_PORT_DEBT",Input!D$2,Date,,,Ccy,Conv)</f>
        <v>10.065</v>
      </c>
      <c r="C315" s="4">
        <f>_xll.ciqfunctions.udf.CIQ(InputTicker, "IQ_CURRENT_PORT_DEBT",Input!E$2,Date,,,Ccy,Conv)</f>
        <v>16.32</v>
      </c>
      <c r="D315" s="4">
        <f>_xll.ciqfunctions.udf.CIQ(InputTicker, "IQ_CURRENT_PORT_DEBT",Input!F$2,Date,,,Ccy,Conv)</f>
        <v>4.8259999999999996</v>
      </c>
      <c r="E315" s="4">
        <f>_xll.ciqfunctions.udf.CIQ(InputTicker, "IQ_CURRENT_PORT_DEBT",Input!G$2,Date,,,Ccy,Conv)</f>
        <v>3.536</v>
      </c>
      <c r="F315" s="4">
        <f>_xll.ciqfunctions.udf.CIQ(InputTicker, "IQ_CURRENT_PORT_DEBT",Input!H$2,Date,,,Ccy,Conv)</f>
        <v>1.5</v>
      </c>
      <c r="G315" s="4">
        <f>_xll.ciqfunctions.udf.CIQ(InputTicker, "IQ_CURRENT_PORT_DEBT",Input!I$2,Date,,,Ccy,Conv)</f>
        <v>0</v>
      </c>
      <c r="H315" s="4">
        <f>_xll.ciqfunctions.udf.CIQ(InputTicker, "IQ_CURRENT_PORT_DEBT",Input!J$2,Date,,,Ccy,Conv)</f>
        <v>0</v>
      </c>
      <c r="I315" s="4">
        <f>_xll.ciqfunctions.udf.CIQ(InputTicker, "IQ_CURRENT_PORT_DEBT",Input!K$2,Date,,,Ccy,Conv)</f>
        <v>0</v>
      </c>
      <c r="J315" s="4">
        <f>_xll.ciqfunctions.udf.CIQ(InputTicker, "IQ_CURRENT_PORT_DEBT",Input!L$2,Date,,,Ccy,Conv)</f>
        <v>0</v>
      </c>
      <c r="K315" s="4">
        <f>_xll.ciqfunctions.udf.CIQ(InputTicker, "IQ_CURRENT_PORT_DEBT",Input!M$2,Date,,,Ccy,Conv)</f>
        <v>0</v>
      </c>
      <c r="L315" s="4">
        <f>_xll.ciqfunctions.udf.CIQ(InputTicker, "IQ_CURRENT_PORT_DEBT",Input!N$2,Date,,,Ccy,Conv)</f>
        <v>0</v>
      </c>
      <c r="M315" s="4">
        <f>_xll.ciqfunctions.udf.CIQ(InputTicker, "IQ_CURRENT_PORT_DEBT",Input!O$2,Date,,,Ccy,Conv)</f>
        <v>0</v>
      </c>
      <c r="N315" s="42"/>
      <c r="T315" s="46"/>
      <c r="U315" s="46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  <c r="BM315" s="42"/>
      <c r="BN315" s="42"/>
    </row>
    <row r="316" spans="1:66" ht="12.75" customHeight="1" x14ac:dyDescent="0.2">
      <c r="A316" s="1" t="s">
        <v>471</v>
      </c>
      <c r="B316" s="4">
        <f>_xll.ciqfunctions.udf.CIQ(InputTicker, "IQ_CURRENT_PORT_LEASES",Input!D$2,Date,,,Ccy,Conv)</f>
        <v>0</v>
      </c>
      <c r="C316" s="4">
        <f>_xll.ciqfunctions.udf.CIQ(InputTicker, "IQ_CURRENT_PORT_LEASES",Input!E$2,Date,,,Ccy,Conv)</f>
        <v>0</v>
      </c>
      <c r="D316" s="4">
        <f>_xll.ciqfunctions.udf.CIQ(InputTicker, "IQ_CURRENT_PORT_LEASES",Input!F$2,Date,,,Ccy,Conv)</f>
        <v>0</v>
      </c>
      <c r="E316" s="4">
        <f>_xll.ciqfunctions.udf.CIQ(InputTicker, "IQ_CURRENT_PORT_LEASES",Input!G$2,Date,,,Ccy,Conv)</f>
        <v>0</v>
      </c>
      <c r="F316" s="4">
        <f>_xll.ciqfunctions.udf.CIQ(InputTicker, "IQ_CURRENT_PORT_LEASES",Input!H$2,Date,,,Ccy,Conv)</f>
        <v>0.19600000000000001</v>
      </c>
      <c r="G316" s="4">
        <f>_xll.ciqfunctions.udf.CIQ(InputTicker, "IQ_CURRENT_PORT_LEASES",Input!I$2,Date,,,Ccy,Conv)</f>
        <v>1.0009999999999999</v>
      </c>
      <c r="H316" s="4">
        <f>_xll.ciqfunctions.udf.CIQ(InputTicker, "IQ_CURRENT_PORT_LEASES",Input!J$2,Date,,,Ccy,Conv)</f>
        <v>0.90600000000000003</v>
      </c>
      <c r="I316" s="4">
        <f>_xll.ciqfunctions.udf.CIQ(InputTicker, "IQ_CURRENT_PORT_LEASES",Input!K$2,Date,,,Ccy,Conv)</f>
        <v>0</v>
      </c>
      <c r="J316" s="4">
        <f>_xll.ciqfunctions.udf.CIQ(InputTicker, "IQ_CURRENT_PORT_LEASES",Input!L$2,Date,,,Ccy,Conv)</f>
        <v>0</v>
      </c>
      <c r="K316" s="4">
        <f>_xll.ciqfunctions.udf.CIQ(InputTicker, "IQ_CURRENT_PORT_LEASES",Input!M$2,Date,,,Ccy,Conv)</f>
        <v>0</v>
      </c>
      <c r="L316" s="4">
        <f>_xll.ciqfunctions.udf.CIQ(InputTicker, "IQ_CURRENT_PORT_LEASES",Input!N$2,Date,,,Ccy,Conv)</f>
        <v>0</v>
      </c>
      <c r="M316" s="4">
        <f>_xll.ciqfunctions.udf.CIQ(InputTicker, "IQ_CURRENT_PORT_LEASES",Input!O$2,Date,,,Ccy,Conv)</f>
        <v>0</v>
      </c>
      <c r="N316" s="42"/>
      <c r="S316" s="46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  <c r="BN316" s="42"/>
    </row>
    <row r="317" spans="1:66" ht="12.75" customHeight="1" x14ac:dyDescent="0.2">
      <c r="A317" s="1" t="s">
        <v>183</v>
      </c>
      <c r="B317" s="4">
        <f>_xll.ciqfunctions.udf.CIQ(InputTicker, "IQ_FIN_DIV_DEBT_CURRENT",Input!D$2,Date,,,Ccy,Conv)</f>
        <v>0</v>
      </c>
      <c r="C317" s="4">
        <f>_xll.ciqfunctions.udf.CIQ(InputTicker, "IQ_FIN_DIV_DEBT_CURRENT",Input!E$2,Date,,,Ccy,Conv)</f>
        <v>0</v>
      </c>
      <c r="D317" s="4">
        <f>_xll.ciqfunctions.udf.CIQ(InputTicker, "IQ_FIN_DIV_DEBT_CURRENT",Input!F$2,Date,,,Ccy,Conv)</f>
        <v>0</v>
      </c>
      <c r="E317" s="4">
        <f>_xll.ciqfunctions.udf.CIQ(InputTicker, "IQ_FIN_DIV_DEBT_CURRENT",Input!G$2,Date,,,Ccy,Conv)</f>
        <v>0</v>
      </c>
      <c r="F317" s="4">
        <f>_xll.ciqfunctions.udf.CIQ(InputTicker, "IQ_FIN_DIV_DEBT_CURRENT",Input!H$2,Date,,,Ccy,Conv)</f>
        <v>0</v>
      </c>
      <c r="G317" s="4">
        <f>_xll.ciqfunctions.udf.CIQ(InputTicker, "IQ_FIN_DIV_DEBT_CURRENT",Input!I$2,Date,,,Ccy,Conv)</f>
        <v>0</v>
      </c>
      <c r="H317" s="4">
        <f>_xll.ciqfunctions.udf.CIQ(InputTicker, "IQ_FIN_DIV_DEBT_CURRENT",Input!J$2,Date,,,Ccy,Conv)</f>
        <v>0</v>
      </c>
      <c r="I317" s="4">
        <f>_xll.ciqfunctions.udf.CIQ(InputTicker, "IQ_FIN_DIV_DEBT_CURRENT",Input!K$2,Date,,,Ccy,Conv)</f>
        <v>0</v>
      </c>
      <c r="J317" s="4">
        <f>_xll.ciqfunctions.udf.CIQ(InputTicker, "IQ_FIN_DIV_DEBT_CURRENT",Input!L$2,Date,,,Ccy,Conv)</f>
        <v>0</v>
      </c>
      <c r="K317" s="4">
        <f>_xll.ciqfunctions.udf.CIQ(InputTicker, "IQ_FIN_DIV_DEBT_CURRENT",Input!M$2,Date,,,Ccy,Conv)</f>
        <v>0</v>
      </c>
      <c r="L317" s="4">
        <f>_xll.ciqfunctions.udf.CIQ(InputTicker, "IQ_FIN_DIV_DEBT_CURRENT",Input!N$2,Date,,,Ccy,Conv)</f>
        <v>0</v>
      </c>
      <c r="M317" s="4">
        <f>_xll.ciqfunctions.udf.CIQ(InputTicker, "IQ_FIN_DIV_DEBT_CURRENT",Input!O$2,Date,,,Ccy,Conv)</f>
        <v>0</v>
      </c>
      <c r="N317" s="46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  <c r="BM317" s="42"/>
      <c r="BN317" s="42"/>
    </row>
    <row r="318" spans="1:66" ht="12.75" customHeight="1" x14ac:dyDescent="0.2">
      <c r="A318" s="1" t="s">
        <v>184</v>
      </c>
      <c r="B318" s="4">
        <f>_xll.ciqfunctions.udf.CIQ(InputTicker, "IQ_FIN_DIV_LIAB_CURRENT",Input!D$2,Date,,,Ccy,Conv)</f>
        <v>0</v>
      </c>
      <c r="C318" s="4">
        <f>_xll.ciqfunctions.udf.CIQ(InputTicker, "IQ_FIN_DIV_LIAB_CURRENT",Input!E$2,Date,,,Ccy,Conv)</f>
        <v>0</v>
      </c>
      <c r="D318" s="4">
        <f>_xll.ciqfunctions.udf.CIQ(InputTicker, "IQ_FIN_DIV_LIAB_CURRENT",Input!F$2,Date,,,Ccy,Conv)</f>
        <v>0</v>
      </c>
      <c r="E318" s="4">
        <f>_xll.ciqfunctions.udf.CIQ(InputTicker, "IQ_FIN_DIV_LIAB_CURRENT",Input!G$2,Date,,,Ccy,Conv)</f>
        <v>0</v>
      </c>
      <c r="F318" s="4">
        <f>_xll.ciqfunctions.udf.CIQ(InputTicker, "IQ_FIN_DIV_LIAB_CURRENT",Input!H$2,Date,,,Ccy,Conv)</f>
        <v>0</v>
      </c>
      <c r="G318" s="4">
        <f>_xll.ciqfunctions.udf.CIQ(InputTicker, "IQ_FIN_DIV_LIAB_CURRENT",Input!I$2,Date,,,Ccy,Conv)</f>
        <v>0</v>
      </c>
      <c r="H318" s="4">
        <f>_xll.ciqfunctions.udf.CIQ(InputTicker, "IQ_FIN_DIV_LIAB_CURRENT",Input!J$2,Date,,,Ccy,Conv)</f>
        <v>0</v>
      </c>
      <c r="I318" s="4">
        <f>_xll.ciqfunctions.udf.CIQ(InputTicker, "IQ_FIN_DIV_LIAB_CURRENT",Input!K$2,Date,,,Ccy,Conv)</f>
        <v>0</v>
      </c>
      <c r="J318" s="4">
        <f>_xll.ciqfunctions.udf.CIQ(InputTicker, "IQ_FIN_DIV_LIAB_CURRENT",Input!L$2,Date,,,Ccy,Conv)</f>
        <v>0</v>
      </c>
      <c r="K318" s="4">
        <f>_xll.ciqfunctions.udf.CIQ(InputTicker, "IQ_FIN_DIV_LIAB_CURRENT",Input!M$2,Date,,,Ccy,Conv)</f>
        <v>0</v>
      </c>
      <c r="L318" s="4">
        <f>_xll.ciqfunctions.udf.CIQ(InputTicker, "IQ_FIN_DIV_LIAB_CURRENT",Input!N$2,Date,,,Ccy,Conv)</f>
        <v>0</v>
      </c>
      <c r="M318" s="4">
        <f>_xll.ciqfunctions.udf.CIQ(InputTicker, "IQ_FIN_DIV_LIAB_CURRENT",Input!O$2,Date,,,Ccy,Conv)</f>
        <v>0</v>
      </c>
      <c r="N318" s="42"/>
      <c r="S318" s="46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  <c r="BN318" s="42"/>
    </row>
    <row r="319" spans="1:66" ht="12.75" customHeight="1" x14ac:dyDescent="0.2">
      <c r="A319" s="1" t="s">
        <v>185</v>
      </c>
      <c r="B319" s="4">
        <f>_xll.ciqfunctions.udf.CIQ(InputTicker, "IQ_INC_TAX_PAY_CURRENT",Input!D$2,Date,,,Ccy,Conv)</f>
        <v>5.2880000000000003</v>
      </c>
      <c r="C319" s="4">
        <f>_xll.ciqfunctions.udf.CIQ(InputTicker, "IQ_INC_TAX_PAY_CURRENT",Input!E$2,Date,,,Ccy,Conv)</f>
        <v>0</v>
      </c>
      <c r="D319" s="4">
        <f>_xll.ciqfunctions.udf.CIQ(InputTicker, "IQ_INC_TAX_PAY_CURRENT",Input!F$2,Date,,,Ccy,Conv)</f>
        <v>0</v>
      </c>
      <c r="E319" s="4">
        <f>_xll.ciqfunctions.udf.CIQ(InputTicker, "IQ_INC_TAX_PAY_CURRENT",Input!G$2,Date,,,Ccy,Conv)</f>
        <v>17.446000000000002</v>
      </c>
      <c r="F319" s="4">
        <f>_xll.ciqfunctions.udf.CIQ(InputTicker, "IQ_INC_TAX_PAY_CURRENT",Input!H$2,Date,,,Ccy,Conv)</f>
        <v>0</v>
      </c>
      <c r="G319" s="4">
        <f>_xll.ciqfunctions.udf.CIQ(InputTicker, "IQ_INC_TAX_PAY_CURRENT",Input!I$2,Date,,,Ccy,Conv)</f>
        <v>0</v>
      </c>
      <c r="H319" s="4">
        <f>_xll.ciqfunctions.udf.CIQ(InputTicker, "IQ_INC_TAX_PAY_CURRENT",Input!J$2,Date,,,Ccy,Conv)</f>
        <v>0</v>
      </c>
      <c r="I319" s="4">
        <f>_xll.ciqfunctions.udf.CIQ(InputTicker, "IQ_INC_TAX_PAY_CURRENT",Input!K$2,Date,,,Ccy,Conv)</f>
        <v>25.687000000000001</v>
      </c>
      <c r="J319" s="4">
        <f>_xll.ciqfunctions.udf.CIQ(InputTicker, "IQ_INC_TAX_PAY_CURRENT",Input!L$2,Date,,,Ccy,Conv)</f>
        <v>8.2880000000000003</v>
      </c>
      <c r="K319" s="4">
        <f>_xll.ciqfunctions.udf.CIQ(InputTicker, "IQ_INC_TAX_PAY_CURRENT",Input!M$2,Date,,,Ccy,Conv)</f>
        <v>43.347999999999999</v>
      </c>
      <c r="L319" s="4">
        <f>_xll.ciqfunctions.udf.CIQ(InputTicker, "IQ_INC_TAX_PAY_CURRENT",Input!N$2,Date,,,Ccy,Conv)</f>
        <v>0</v>
      </c>
      <c r="M319" s="4">
        <f>_xll.ciqfunctions.udf.CIQ(InputTicker, "IQ_INC_TAX_PAY_CURRENT",Input!O$2,Date,,,Ccy,Conv)</f>
        <v>0</v>
      </c>
      <c r="N319" s="46"/>
      <c r="P319" s="46"/>
      <c r="Q319" s="46"/>
      <c r="R319" s="46"/>
      <c r="T319" s="42"/>
      <c r="U319" s="42"/>
      <c r="V319" s="46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  <c r="BN319" s="42"/>
    </row>
    <row r="320" spans="1:66" ht="12.75" customHeight="1" x14ac:dyDescent="0.2">
      <c r="A320" s="1" t="s">
        <v>135</v>
      </c>
      <c r="B320" s="4">
        <f>_xll.ciqfunctions.udf.CIQ(InputTicker, "IQ_UNEARN_REV_CURRENT",Input!D$2,Date,,,Ccy,Conv)</f>
        <v>0</v>
      </c>
      <c r="C320" s="4">
        <f>_xll.ciqfunctions.udf.CIQ(InputTicker, "IQ_UNEARN_REV_CURRENT",Input!E$2,Date,,,Ccy,Conv)</f>
        <v>0</v>
      </c>
      <c r="D320" s="4">
        <f>_xll.ciqfunctions.udf.CIQ(InputTicker, "IQ_UNEARN_REV_CURRENT",Input!F$2,Date,,,Ccy,Conv)</f>
        <v>0</v>
      </c>
      <c r="E320" s="4">
        <f>_xll.ciqfunctions.udf.CIQ(InputTicker, "IQ_UNEARN_REV_CURRENT",Input!G$2,Date,,,Ccy,Conv)</f>
        <v>0</v>
      </c>
      <c r="F320" s="4">
        <f>_xll.ciqfunctions.udf.CIQ(InputTicker, "IQ_UNEARN_REV_CURRENT",Input!H$2,Date,,,Ccy,Conv)</f>
        <v>0</v>
      </c>
      <c r="G320" s="4">
        <f>_xll.ciqfunctions.udf.CIQ(InputTicker, "IQ_UNEARN_REV_CURRENT",Input!I$2,Date,,,Ccy,Conv)</f>
        <v>0</v>
      </c>
      <c r="H320" s="4">
        <f>_xll.ciqfunctions.udf.CIQ(InputTicker, "IQ_UNEARN_REV_CURRENT",Input!J$2,Date,,,Ccy,Conv)</f>
        <v>0</v>
      </c>
      <c r="I320" s="4">
        <f>_xll.ciqfunctions.udf.CIQ(InputTicker, "IQ_UNEARN_REV_CURRENT",Input!K$2,Date,,,Ccy,Conv)</f>
        <v>0</v>
      </c>
      <c r="J320" s="4">
        <f>_xll.ciqfunctions.udf.CIQ(InputTicker, "IQ_UNEARN_REV_CURRENT",Input!L$2,Date,,,Ccy,Conv)</f>
        <v>0</v>
      </c>
      <c r="K320" s="4">
        <f>_xll.ciqfunctions.udf.CIQ(InputTicker, "IQ_UNEARN_REV_CURRENT",Input!M$2,Date,,,Ccy,Conv)</f>
        <v>0</v>
      </c>
      <c r="L320" s="4">
        <f>_xll.ciqfunctions.udf.CIQ(InputTicker, "IQ_UNEARN_REV_CURRENT",Input!N$2,Date,,,Ccy,Conv)</f>
        <v>0</v>
      </c>
      <c r="M320" s="4">
        <f>_xll.ciqfunctions.udf.CIQ(InputTicker, "IQ_UNEARN_REV_CURRENT",Input!O$2,Date,,,Ccy,Conv)</f>
        <v>0</v>
      </c>
      <c r="N320" s="42"/>
      <c r="T320" s="46"/>
      <c r="U320" s="46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  <c r="BN320" s="42"/>
    </row>
    <row r="321" spans="1:66" ht="12.75" customHeight="1" x14ac:dyDescent="0.2">
      <c r="A321" s="1" t="s">
        <v>186</v>
      </c>
      <c r="B321" s="4">
        <f>_xll.ciqfunctions.udf.CIQ(InputTicker, "IQ_DEF_TAX_LIAB_CURRENT",Input!D$2,Date,,,Ccy,Conv)</f>
        <v>0</v>
      </c>
      <c r="C321" s="4">
        <f>_xll.ciqfunctions.udf.CIQ(InputTicker, "IQ_DEF_TAX_LIAB_CURRENT",Input!E$2,Date,,,Ccy,Conv)</f>
        <v>0</v>
      </c>
      <c r="D321" s="4">
        <f>_xll.ciqfunctions.udf.CIQ(InputTicker, "IQ_DEF_TAX_LIAB_CURRENT",Input!F$2,Date,,,Ccy,Conv)</f>
        <v>0</v>
      </c>
      <c r="E321" s="4">
        <f>_xll.ciqfunctions.udf.CIQ(InputTicker, "IQ_DEF_TAX_LIAB_CURRENT",Input!G$2,Date,,,Ccy,Conv)</f>
        <v>0</v>
      </c>
      <c r="F321" s="4">
        <f>_xll.ciqfunctions.udf.CIQ(InputTicker, "IQ_DEF_TAX_LIAB_CURRENT",Input!H$2,Date,,,Ccy,Conv)</f>
        <v>0</v>
      </c>
      <c r="G321" s="4">
        <f>_xll.ciqfunctions.udf.CIQ(InputTicker, "IQ_DEF_TAX_LIAB_CURRENT",Input!I$2,Date,,,Ccy,Conv)</f>
        <v>0</v>
      </c>
      <c r="H321" s="4">
        <f>_xll.ciqfunctions.udf.CIQ(InputTicker, "IQ_DEF_TAX_LIAB_CURRENT",Input!J$2,Date,,,Ccy,Conv)</f>
        <v>0</v>
      </c>
      <c r="I321" s="4">
        <f>_xll.ciqfunctions.udf.CIQ(InputTicker, "IQ_DEF_TAX_LIAB_CURRENT",Input!K$2,Date,,,Ccy,Conv)</f>
        <v>0</v>
      </c>
      <c r="J321" s="4">
        <f>_xll.ciqfunctions.udf.CIQ(InputTicker, "IQ_DEF_TAX_LIAB_CURRENT",Input!L$2,Date,,,Ccy,Conv)</f>
        <v>0</v>
      </c>
      <c r="K321" s="4">
        <f>_xll.ciqfunctions.udf.CIQ(InputTicker, "IQ_DEF_TAX_LIAB_CURRENT",Input!M$2,Date,,,Ccy,Conv)</f>
        <v>0</v>
      </c>
      <c r="L321" s="4">
        <f>_xll.ciqfunctions.udf.CIQ(InputTicker, "IQ_DEF_TAX_LIAB_CURRENT",Input!N$2,Date,,,Ccy,Conv)</f>
        <v>0</v>
      </c>
      <c r="M321" s="4">
        <f>_xll.ciqfunctions.udf.CIQ(InputTicker, "IQ_DEF_TAX_LIAB_CURRENT",Input!O$2,Date,,,Ccy,Conv)</f>
        <v>0</v>
      </c>
      <c r="N321" s="42"/>
      <c r="S321" s="17"/>
      <c r="T321" s="46"/>
      <c r="U321" s="46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  <c r="BN321" s="42"/>
    </row>
    <row r="322" spans="1:66" ht="12.75" customHeight="1" x14ac:dyDescent="0.2">
      <c r="A322" s="1" t="s">
        <v>136</v>
      </c>
      <c r="B322" s="4">
        <f>_xll.ciqfunctions.udf.CIQ(InputTicker, "IQ_OTHER_CL_SUPPL",Input!D$2,Date,,,Ccy,Conv)</f>
        <v>15.372</v>
      </c>
      <c r="C322" s="4">
        <f>_xll.ciqfunctions.udf.CIQ(InputTicker, "IQ_OTHER_CL_SUPPL",Input!E$2,Date,,,Ccy,Conv)</f>
        <v>0</v>
      </c>
      <c r="D322" s="4">
        <f>_xll.ciqfunctions.udf.CIQ(InputTicker, "IQ_OTHER_CL_SUPPL",Input!F$2,Date,,,Ccy,Conv)</f>
        <v>0</v>
      </c>
      <c r="E322" s="4">
        <f>_xll.ciqfunctions.udf.CIQ(InputTicker, "IQ_OTHER_CL_SUPPL",Input!G$2,Date,,,Ccy,Conv)</f>
        <v>17.093</v>
      </c>
      <c r="F322" s="4">
        <f>_xll.ciqfunctions.udf.CIQ(InputTicker, "IQ_OTHER_CL_SUPPL",Input!H$2,Date,,,Ccy,Conv)</f>
        <v>0</v>
      </c>
      <c r="G322" s="4">
        <f>_xll.ciqfunctions.udf.CIQ(InputTicker, "IQ_OTHER_CL_SUPPL",Input!I$2,Date,,,Ccy,Conv)</f>
        <v>0</v>
      </c>
      <c r="H322" s="4">
        <f>_xll.ciqfunctions.udf.CIQ(InputTicker, "IQ_OTHER_CL_SUPPL",Input!J$2,Date,,,Ccy,Conv)</f>
        <v>0</v>
      </c>
      <c r="I322" s="4">
        <f>_xll.ciqfunctions.udf.CIQ(InputTicker, "IQ_OTHER_CL_SUPPL",Input!K$2,Date,,,Ccy,Conv)</f>
        <v>36.655999999999999</v>
      </c>
      <c r="J322" s="4">
        <f>_xll.ciqfunctions.udf.CIQ(InputTicker, "IQ_OTHER_CL_SUPPL",Input!L$2,Date,,,Ccy,Conv)</f>
        <v>37.130000000000003</v>
      </c>
      <c r="K322" s="4">
        <f>_xll.ciqfunctions.udf.CIQ(InputTicker, "IQ_OTHER_CL_SUPPL",Input!M$2,Date,,,Ccy,Conv)</f>
        <v>37.76</v>
      </c>
      <c r="L322" s="4">
        <f>_xll.ciqfunctions.udf.CIQ(InputTicker, "IQ_OTHER_CL_SUPPL",Input!N$2,Date,,,Ccy,Conv)</f>
        <v>114.163</v>
      </c>
      <c r="M322" s="4">
        <f>_xll.ciqfunctions.udf.CIQ(InputTicker, "IQ_OTHER_CL_SUPPL",Input!O$2,Date,,,Ccy,Conv)</f>
        <v>34.283000000000001</v>
      </c>
      <c r="N322" s="42"/>
      <c r="T322" s="46"/>
      <c r="U322" s="46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  <c r="BN322" s="42"/>
    </row>
    <row r="323" spans="1:66" ht="12.75" customHeight="1" x14ac:dyDescent="0.2">
      <c r="A323" s="5" t="s">
        <v>97</v>
      </c>
      <c r="B323" s="6">
        <f>_xll.ciqfunctions.udf.CIQ(InputTicker, "IQ_TOTAL_CL",Input!D$2,Date,,,Ccy,Conv)</f>
        <v>101.54600000000001</v>
      </c>
      <c r="C323" s="6">
        <f>_xll.ciqfunctions.udf.CIQ(InputTicker, "IQ_TOTAL_CL",Input!E$2,Date,,,Ccy,Conv)</f>
        <v>83.450999999999993</v>
      </c>
      <c r="D323" s="6">
        <f>_xll.ciqfunctions.udf.CIQ(InputTicker, "IQ_TOTAL_CL",Input!F$2,Date,,,Ccy,Conv)</f>
        <v>64.679000000000002</v>
      </c>
      <c r="E323" s="6">
        <f>_xll.ciqfunctions.udf.CIQ(InputTicker, "IQ_TOTAL_CL",Input!G$2,Date,,,Ccy,Conv)</f>
        <v>107.83799999999999</v>
      </c>
      <c r="F323" s="6">
        <f>_xll.ciqfunctions.udf.CIQ(InputTicker, "IQ_TOTAL_CL",Input!H$2,Date,,,Ccy,Conv)</f>
        <v>74.906999999999996</v>
      </c>
      <c r="G323" s="6">
        <f>_xll.ciqfunctions.udf.CIQ(InputTicker, "IQ_TOTAL_CL",Input!I$2,Date,,,Ccy,Conv)</f>
        <v>93.183000000000007</v>
      </c>
      <c r="H323" s="6">
        <f>_xll.ciqfunctions.udf.CIQ(InputTicker, "IQ_TOTAL_CL",Input!J$2,Date,,,Ccy,Conv)</f>
        <v>90.096999999999994</v>
      </c>
      <c r="I323" s="6">
        <f>_xll.ciqfunctions.udf.CIQ(InputTicker, "IQ_TOTAL_CL",Input!K$2,Date,,,Ccy,Conv)</f>
        <v>184.67400000000001</v>
      </c>
      <c r="J323" s="6">
        <f>_xll.ciqfunctions.udf.CIQ(InputTicker, "IQ_TOTAL_CL",Input!L$2,Date,,,Ccy,Conv)</f>
        <v>182.73099999999999</v>
      </c>
      <c r="K323" s="6">
        <f>_xll.ciqfunctions.udf.CIQ(InputTicker, "IQ_TOTAL_CL",Input!M$2,Date,,,Ccy,Conv)</f>
        <v>227.74299999999999</v>
      </c>
      <c r="L323" s="6">
        <f>_xll.ciqfunctions.udf.CIQ(InputTicker, "IQ_TOTAL_CL",Input!N$2,Date,,,Ccy,Conv)</f>
        <v>308.37099999999998</v>
      </c>
      <c r="M323" s="6">
        <f>_xll.ciqfunctions.udf.CIQ(InputTicker, "IQ_TOTAL_CL",Input!O$2,Date,,,Ccy,Conv)</f>
        <v>218.828</v>
      </c>
      <c r="N323" s="42"/>
      <c r="S323" s="46"/>
      <c r="T323" s="46"/>
      <c r="U323" s="46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  <c r="BN323" s="42"/>
    </row>
    <row r="324" spans="1:66" ht="12.75" customHeight="1" x14ac:dyDescent="0.2">
      <c r="A324" s="1" t="s">
        <v>187</v>
      </c>
      <c r="B324" s="4">
        <f>_xll.ciqfunctions.udf.CIQ(InputTicker, "IQ_LT_DEBT",Input!D$2,Date,,,Ccy,Conv)</f>
        <v>40.795000000000002</v>
      </c>
      <c r="C324" s="4">
        <f>_xll.ciqfunctions.udf.CIQ(InputTicker, "IQ_LT_DEBT",Input!E$2,Date,,,Ccy,Conv)</f>
        <v>9.25</v>
      </c>
      <c r="D324" s="4">
        <f>_xll.ciqfunctions.udf.CIQ(InputTicker, "IQ_LT_DEBT",Input!F$2,Date,,,Ccy,Conv)</f>
        <v>6.1130000000000004</v>
      </c>
      <c r="E324" s="4">
        <f>_xll.ciqfunctions.udf.CIQ(InputTicker, "IQ_LT_DEBT",Input!G$2,Date,,,Ccy,Conv)</f>
        <v>1.214</v>
      </c>
      <c r="F324" s="4">
        <f>_xll.ciqfunctions.udf.CIQ(InputTicker, "IQ_LT_DEBT",Input!H$2,Date,,,Ccy,Conv)</f>
        <v>0</v>
      </c>
      <c r="G324" s="4">
        <f>_xll.ciqfunctions.udf.CIQ(InputTicker, "IQ_LT_DEBT",Input!I$2,Date,,,Ccy,Conv)</f>
        <v>0</v>
      </c>
      <c r="H324" s="4">
        <f>_xll.ciqfunctions.udf.CIQ(InputTicker, "IQ_LT_DEBT",Input!J$2,Date,,,Ccy,Conv)</f>
        <v>0</v>
      </c>
      <c r="I324" s="4">
        <f>_xll.ciqfunctions.udf.CIQ(InputTicker, "IQ_LT_DEBT",Input!K$2,Date,,,Ccy,Conv)</f>
        <v>0</v>
      </c>
      <c r="J324" s="4">
        <f>_xll.ciqfunctions.udf.CIQ(InputTicker, "IQ_LT_DEBT",Input!L$2,Date,,,Ccy,Conv)</f>
        <v>0</v>
      </c>
      <c r="K324" s="4">
        <f>_xll.ciqfunctions.udf.CIQ(InputTicker, "IQ_LT_DEBT",Input!M$2,Date,,,Ccy,Conv)</f>
        <v>0</v>
      </c>
      <c r="L324" s="4">
        <f>_xll.ciqfunctions.udf.CIQ(InputTicker, "IQ_LT_DEBT",Input!N$2,Date,,,Ccy,Conv)</f>
        <v>0</v>
      </c>
      <c r="M324" s="4">
        <f>_xll.ciqfunctions.udf.CIQ(InputTicker, "IQ_LT_DEBT",Input!O$2,Date,,,Ccy,Conv)</f>
        <v>0</v>
      </c>
      <c r="N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  <c r="BN324" s="42"/>
    </row>
    <row r="325" spans="1:66" ht="12.75" customHeight="1" x14ac:dyDescent="0.2">
      <c r="A325" s="42" t="s">
        <v>472</v>
      </c>
      <c r="B325" s="4">
        <f>_xll.ciqfunctions.udf.CIQ(InputTicker, "IQ_LONG_TERM_LEASES",Input!D$2,Date,,,Ccy,Conv)</f>
        <v>0</v>
      </c>
      <c r="C325" s="4">
        <f>_xll.ciqfunctions.udf.CIQ(InputTicker, "IQ_LONG_TERM_LEASES",Input!E$2,Date,,,Ccy,Conv)</f>
        <v>0</v>
      </c>
      <c r="D325" s="4">
        <f>_xll.ciqfunctions.udf.CIQ(InputTicker, "IQ_LONG_TERM_LEASES",Input!F$2,Date,,,Ccy,Conv)</f>
        <v>0</v>
      </c>
      <c r="E325" s="4">
        <f>_xll.ciqfunctions.udf.CIQ(InputTicker, "IQ_LONG_TERM_LEASES",Input!G$2,Date,,,Ccy,Conv)</f>
        <v>1.34</v>
      </c>
      <c r="F325" s="4">
        <f>_xll.ciqfunctions.udf.CIQ(InputTicker, "IQ_LONG_TERM_LEASES",Input!H$2,Date,,,Ccy,Conv)</f>
        <v>0.85799999999999998</v>
      </c>
      <c r="G325" s="4">
        <f>_xll.ciqfunctions.udf.CIQ(InputTicker, "IQ_LONG_TERM_LEASES",Input!I$2,Date,,,Ccy,Conv)</f>
        <v>2.387</v>
      </c>
      <c r="H325" s="4">
        <f>_xll.ciqfunctions.udf.CIQ(InputTicker, "IQ_LONG_TERM_LEASES",Input!J$2,Date,,,Ccy,Conv)</f>
        <v>1.472</v>
      </c>
      <c r="I325" s="4">
        <f>_xll.ciqfunctions.udf.CIQ(InputTicker, "IQ_LONG_TERM_LEASES",Input!K$2,Date,,,Ccy,Conv)</f>
        <v>0</v>
      </c>
      <c r="J325" s="4">
        <f>_xll.ciqfunctions.udf.CIQ(InputTicker, "IQ_LONG_TERM_LEASES",Input!L$2,Date,,,Ccy,Conv)</f>
        <v>0</v>
      </c>
      <c r="K325" s="4">
        <f>_xll.ciqfunctions.udf.CIQ(InputTicker, "IQ_LONG_TERM_LEASES",Input!M$2,Date,,,Ccy,Conv)</f>
        <v>0</v>
      </c>
      <c r="L325" s="4">
        <f>_xll.ciqfunctions.udf.CIQ(InputTicker, "IQ_LONG_TERM_LEASES",Input!N$2,Date,,,Ccy,Conv)</f>
        <v>0</v>
      </c>
      <c r="M325" s="4">
        <f>_xll.ciqfunctions.udf.CIQ(InputTicker, "IQ_LONG_TERM_LEASES",Input!O$2,Date,,,Ccy,Conv)</f>
        <v>0</v>
      </c>
      <c r="N325" s="42"/>
      <c r="P325" s="46"/>
      <c r="Q325" s="46"/>
      <c r="R325" s="46"/>
      <c r="T325" s="42"/>
      <c r="U325" s="42"/>
      <c r="V325" s="46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  <c r="BN325" s="42"/>
    </row>
    <row r="326" spans="1:66" ht="12.75" customHeight="1" x14ac:dyDescent="0.2">
      <c r="A326" s="42" t="s">
        <v>189</v>
      </c>
      <c r="B326" s="4">
        <f>_xll.ciqfunctions.udf.CIQ(InputTicker, "IQ_FIN_DIV_DEBT_LT",Input!D$2,Date,,,Ccy,Conv)</f>
        <v>0</v>
      </c>
      <c r="C326" s="4">
        <f>_xll.ciqfunctions.udf.CIQ(InputTicker, "IQ_FIN_DIV_DEBT_LT",Input!E$2,Date,,,Ccy,Conv)</f>
        <v>0</v>
      </c>
      <c r="D326" s="4">
        <f>_xll.ciqfunctions.udf.CIQ(InputTicker, "IQ_FIN_DIV_DEBT_LT",Input!F$2,Date,,,Ccy,Conv)</f>
        <v>0</v>
      </c>
      <c r="E326" s="4">
        <f>_xll.ciqfunctions.udf.CIQ(InputTicker, "IQ_FIN_DIV_DEBT_LT",Input!G$2,Date,,,Ccy,Conv)</f>
        <v>0</v>
      </c>
      <c r="F326" s="4">
        <f>_xll.ciqfunctions.udf.CIQ(InputTicker, "IQ_FIN_DIV_DEBT_LT",Input!H$2,Date,,,Ccy,Conv)</f>
        <v>0</v>
      </c>
      <c r="G326" s="4">
        <f>_xll.ciqfunctions.udf.CIQ(InputTicker, "IQ_FIN_DIV_DEBT_LT",Input!I$2,Date,,,Ccy,Conv)</f>
        <v>0</v>
      </c>
      <c r="H326" s="4">
        <f>_xll.ciqfunctions.udf.CIQ(InputTicker, "IQ_FIN_DIV_DEBT_LT",Input!J$2,Date,,,Ccy,Conv)</f>
        <v>0</v>
      </c>
      <c r="I326" s="4">
        <f>_xll.ciqfunctions.udf.CIQ(InputTicker, "IQ_FIN_DIV_DEBT_LT",Input!K$2,Date,,,Ccy,Conv)</f>
        <v>0</v>
      </c>
      <c r="J326" s="4">
        <f>_xll.ciqfunctions.udf.CIQ(InputTicker, "IQ_FIN_DIV_DEBT_LT",Input!L$2,Date,,,Ccy,Conv)</f>
        <v>0</v>
      </c>
      <c r="K326" s="4">
        <f>_xll.ciqfunctions.udf.CIQ(InputTicker, "IQ_FIN_DIV_DEBT_LT",Input!M$2,Date,,,Ccy,Conv)</f>
        <v>0</v>
      </c>
      <c r="L326" s="4">
        <f>_xll.ciqfunctions.udf.CIQ(InputTicker, "IQ_FIN_DIV_DEBT_LT",Input!N$2,Date,,,Ccy,Conv)</f>
        <v>0</v>
      </c>
      <c r="M326" s="4">
        <f>_xll.ciqfunctions.udf.CIQ(InputTicker, "IQ_FIN_DIV_DEBT_LT",Input!O$2,Date,,,Ccy,Conv)</f>
        <v>0</v>
      </c>
      <c r="N326" s="46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</row>
    <row r="327" spans="1:66" ht="12.75" customHeight="1" x14ac:dyDescent="0.2">
      <c r="A327" s="42" t="s">
        <v>190</v>
      </c>
      <c r="B327" s="4">
        <f>_xll.ciqfunctions.udf.CIQ(InputTicker, "IQ_FIN_DIV_LIAB_LT",Input!D$2,Date,,,Ccy,Conv)</f>
        <v>0</v>
      </c>
      <c r="C327" s="4">
        <f>_xll.ciqfunctions.udf.CIQ(InputTicker, "IQ_FIN_DIV_LIAB_LT",Input!E$2,Date,,,Ccy,Conv)</f>
        <v>0</v>
      </c>
      <c r="D327" s="4">
        <f>_xll.ciqfunctions.udf.CIQ(InputTicker, "IQ_FIN_DIV_LIAB_LT",Input!F$2,Date,,,Ccy,Conv)</f>
        <v>0</v>
      </c>
      <c r="E327" s="4">
        <f>_xll.ciqfunctions.udf.CIQ(InputTicker, "IQ_FIN_DIV_LIAB_LT",Input!G$2,Date,,,Ccy,Conv)</f>
        <v>0</v>
      </c>
      <c r="F327" s="4">
        <f>_xll.ciqfunctions.udf.CIQ(InputTicker, "IQ_FIN_DIV_LIAB_LT",Input!H$2,Date,,,Ccy,Conv)</f>
        <v>0</v>
      </c>
      <c r="G327" s="4">
        <f>_xll.ciqfunctions.udf.CIQ(InputTicker, "IQ_FIN_DIV_LIAB_LT",Input!I$2,Date,,,Ccy,Conv)</f>
        <v>0</v>
      </c>
      <c r="H327" s="4">
        <f>_xll.ciqfunctions.udf.CIQ(InputTicker, "IQ_FIN_DIV_LIAB_LT",Input!J$2,Date,,,Ccy,Conv)</f>
        <v>0</v>
      </c>
      <c r="I327" s="4">
        <f>_xll.ciqfunctions.udf.CIQ(InputTicker, "IQ_FIN_DIV_LIAB_LT",Input!K$2,Date,,,Ccy,Conv)</f>
        <v>0</v>
      </c>
      <c r="J327" s="4">
        <f>_xll.ciqfunctions.udf.CIQ(InputTicker, "IQ_FIN_DIV_LIAB_LT",Input!L$2,Date,,,Ccy,Conv)</f>
        <v>0</v>
      </c>
      <c r="K327" s="4">
        <f>_xll.ciqfunctions.udf.CIQ(InputTicker, "IQ_FIN_DIV_LIAB_LT",Input!M$2,Date,,,Ccy,Conv)</f>
        <v>0</v>
      </c>
      <c r="L327" s="4">
        <f>_xll.ciqfunctions.udf.CIQ(InputTicker, "IQ_FIN_DIV_LIAB_LT",Input!N$2,Date,,,Ccy,Conv)</f>
        <v>0</v>
      </c>
      <c r="M327" s="4">
        <f>_xll.ciqfunctions.udf.CIQ(InputTicker, "IQ_FIN_DIV_LIAB_LT",Input!O$2,Date,,,Ccy,Conv)</f>
        <v>0</v>
      </c>
      <c r="N327" s="42"/>
      <c r="S327" s="46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  <c r="BN327" s="42"/>
    </row>
    <row r="328" spans="1:66" ht="12.75" customHeight="1" x14ac:dyDescent="0.2">
      <c r="A328" s="42" t="s">
        <v>191</v>
      </c>
      <c r="B328" s="4">
        <f>_xll.ciqfunctions.udf.CIQ(InputTicker, "IQ_UNEARN_REV_LT",Input!D$2,Date,,,Ccy,Conv)</f>
        <v>0</v>
      </c>
      <c r="C328" s="4">
        <f>_xll.ciqfunctions.udf.CIQ(InputTicker, "IQ_UNEARN_REV_LT",Input!E$2,Date,,,Ccy,Conv)</f>
        <v>0</v>
      </c>
      <c r="D328" s="4">
        <f>_xll.ciqfunctions.udf.CIQ(InputTicker, "IQ_UNEARN_REV_LT",Input!F$2,Date,,,Ccy,Conv)</f>
        <v>0</v>
      </c>
      <c r="E328" s="4">
        <f>_xll.ciqfunctions.udf.CIQ(InputTicker, "IQ_UNEARN_REV_LT",Input!G$2,Date,,,Ccy,Conv)</f>
        <v>0</v>
      </c>
      <c r="F328" s="4">
        <f>_xll.ciqfunctions.udf.CIQ(InputTicker, "IQ_UNEARN_REV_LT",Input!H$2,Date,,,Ccy,Conv)</f>
        <v>0</v>
      </c>
      <c r="G328" s="4">
        <f>_xll.ciqfunctions.udf.CIQ(InputTicker, "IQ_UNEARN_REV_LT",Input!I$2,Date,,,Ccy,Conv)</f>
        <v>0</v>
      </c>
      <c r="H328" s="4">
        <f>_xll.ciqfunctions.udf.CIQ(InputTicker, "IQ_UNEARN_REV_LT",Input!J$2,Date,,,Ccy,Conv)</f>
        <v>0</v>
      </c>
      <c r="I328" s="4">
        <f>_xll.ciqfunctions.udf.CIQ(InputTicker, "IQ_UNEARN_REV_LT",Input!K$2,Date,,,Ccy,Conv)</f>
        <v>0</v>
      </c>
      <c r="J328" s="4">
        <f>_xll.ciqfunctions.udf.CIQ(InputTicker, "IQ_UNEARN_REV_LT",Input!L$2,Date,,,Ccy,Conv)</f>
        <v>0</v>
      </c>
      <c r="K328" s="4">
        <f>_xll.ciqfunctions.udf.CIQ(InputTicker, "IQ_UNEARN_REV_LT",Input!M$2,Date,,,Ccy,Conv)</f>
        <v>0</v>
      </c>
      <c r="L328" s="4">
        <f>_xll.ciqfunctions.udf.CIQ(InputTicker, "IQ_UNEARN_REV_LT",Input!N$2,Date,,,Ccy,Conv)</f>
        <v>0</v>
      </c>
      <c r="M328" s="4">
        <f>_xll.ciqfunctions.udf.CIQ(InputTicker, "IQ_UNEARN_REV_LT",Input!O$2,Date,,,Ccy,Conv)</f>
        <v>0</v>
      </c>
      <c r="N328" s="42"/>
      <c r="P328" s="46"/>
      <c r="Q328" s="46"/>
      <c r="R328" s="46"/>
      <c r="T328" s="46"/>
      <c r="U328" s="46"/>
      <c r="V328" s="46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  <c r="BN328" s="42"/>
    </row>
    <row r="329" spans="1:66" ht="12.75" customHeight="1" x14ac:dyDescent="0.2">
      <c r="A329" s="42" t="s">
        <v>192</v>
      </c>
      <c r="B329" s="4">
        <f>_xll.ciqfunctions.udf.CIQ(InputTicker, "IQ_PENSION",Input!D$2,Date,,,Ccy,Conv)</f>
        <v>0</v>
      </c>
      <c r="C329" s="4">
        <f>_xll.ciqfunctions.udf.CIQ(InputTicker, "IQ_PENSION",Input!E$2,Date,,,Ccy,Conv)</f>
        <v>0</v>
      </c>
      <c r="D329" s="4">
        <f>_xll.ciqfunctions.udf.CIQ(InputTicker, "IQ_PENSION",Input!F$2,Date,,,Ccy,Conv)</f>
        <v>0</v>
      </c>
      <c r="E329" s="4">
        <f>_xll.ciqfunctions.udf.CIQ(InputTicker, "IQ_PENSION",Input!G$2,Date,,,Ccy,Conv)</f>
        <v>0</v>
      </c>
      <c r="F329" s="4">
        <f>_xll.ciqfunctions.udf.CIQ(InputTicker, "IQ_PENSION",Input!H$2,Date,,,Ccy,Conv)</f>
        <v>0</v>
      </c>
      <c r="G329" s="4">
        <f>_xll.ciqfunctions.udf.CIQ(InputTicker, "IQ_PENSION",Input!I$2,Date,,,Ccy,Conv)</f>
        <v>0</v>
      </c>
      <c r="H329" s="4">
        <f>_xll.ciqfunctions.udf.CIQ(InputTicker, "IQ_PENSION",Input!J$2,Date,,,Ccy,Conv)</f>
        <v>0</v>
      </c>
      <c r="I329" s="4">
        <f>_xll.ciqfunctions.udf.CIQ(InputTicker, "IQ_PENSION",Input!K$2,Date,,,Ccy,Conv)</f>
        <v>0</v>
      </c>
      <c r="J329" s="4">
        <f>_xll.ciqfunctions.udf.CIQ(InputTicker, "IQ_PENSION",Input!L$2,Date,,,Ccy,Conv)</f>
        <v>0</v>
      </c>
      <c r="K329" s="4">
        <f>_xll.ciqfunctions.udf.CIQ(InputTicker, "IQ_PENSION",Input!M$2,Date,,,Ccy,Conv)</f>
        <v>0</v>
      </c>
      <c r="L329" s="4">
        <f>_xll.ciqfunctions.udf.CIQ(InputTicker, "IQ_PENSION",Input!N$2,Date,,,Ccy,Conv)</f>
        <v>0</v>
      </c>
      <c r="M329" s="4">
        <f>_xll.ciqfunctions.udf.CIQ(InputTicker, "IQ_PENSION",Input!O$2,Date,,,Ccy,Conv)</f>
        <v>0</v>
      </c>
      <c r="N329" s="46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</row>
    <row r="330" spans="1:66" ht="12.75" customHeight="1" x14ac:dyDescent="0.2">
      <c r="A330" s="42" t="s">
        <v>137</v>
      </c>
      <c r="B330" s="4">
        <f>_xll.ciqfunctions.udf.CIQ(InputTicker, "IQ_DEF_TAX_LIAB_LT",Input!D$2,Date,,,Ccy,Conv)</f>
        <v>76.004999999999995</v>
      </c>
      <c r="C330" s="4">
        <f>_xll.ciqfunctions.udf.CIQ(InputTicker, "IQ_DEF_TAX_LIAB_LT",Input!E$2,Date,,,Ccy,Conv)</f>
        <v>95.382000000000005</v>
      </c>
      <c r="D330" s="4">
        <f>_xll.ciqfunctions.udf.CIQ(InputTicker, "IQ_DEF_TAX_LIAB_LT",Input!F$2,Date,,,Ccy,Conv)</f>
        <v>110.282</v>
      </c>
      <c r="E330" s="4">
        <f>_xll.ciqfunctions.udf.CIQ(InputTicker, "IQ_DEF_TAX_LIAB_LT",Input!G$2,Date,,,Ccy,Conv)</f>
        <v>76.055000000000007</v>
      </c>
      <c r="F330" s="4">
        <f>_xll.ciqfunctions.udf.CIQ(InputTicker, "IQ_DEF_TAX_LIAB_LT",Input!H$2,Date,,,Ccy,Conv)</f>
        <v>82.596999999999994</v>
      </c>
      <c r="G330" s="4">
        <f>_xll.ciqfunctions.udf.CIQ(InputTicker, "IQ_DEF_TAX_LIAB_LT",Input!I$2,Date,,,Ccy,Conv)</f>
        <v>92.768000000000001</v>
      </c>
      <c r="H330" s="4">
        <f>_xll.ciqfunctions.udf.CIQ(InputTicker, "IQ_DEF_TAX_LIAB_LT",Input!J$2,Date,,,Ccy,Conv)</f>
        <v>114.408</v>
      </c>
      <c r="I330" s="4">
        <f>_xll.ciqfunctions.udf.CIQ(InputTicker, "IQ_DEF_TAX_LIAB_LT",Input!K$2,Date,,,Ccy,Conv)</f>
        <v>128.196</v>
      </c>
      <c r="J330" s="4">
        <f>_xll.ciqfunctions.udf.CIQ(InputTicker, "IQ_DEF_TAX_LIAB_LT",Input!L$2,Date,,,Ccy,Conv)</f>
        <v>152.21199999999999</v>
      </c>
      <c r="K330" s="4">
        <f>_xll.ciqfunctions.udf.CIQ(InputTicker, "IQ_DEF_TAX_LIAB_LT",Input!M$2,Date,,,Ccy,Conv)</f>
        <v>142.86600000000001</v>
      </c>
      <c r="L330" s="4">
        <f>_xll.ciqfunctions.udf.CIQ(InputTicker, "IQ_DEF_TAX_LIAB_LT",Input!N$2,Date,,,Ccy,Conv)</f>
        <v>154.65100000000001</v>
      </c>
      <c r="M330" s="4">
        <f>_xll.ciqfunctions.udf.CIQ(InputTicker, "IQ_DEF_TAX_LIAB_LT",Input!O$2,Date,,,Ccy,Conv)</f>
        <v>169.88200000000001</v>
      </c>
      <c r="N330" s="42"/>
      <c r="S330" s="46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  <c r="BM330" s="42"/>
      <c r="BN330" s="42"/>
    </row>
    <row r="331" spans="1:66" ht="12.75" customHeight="1" x14ac:dyDescent="0.2">
      <c r="A331" s="42" t="s">
        <v>138</v>
      </c>
      <c r="B331" s="4">
        <f>_xll.ciqfunctions.udf.CIQ(InputTicker, "IQ_OTHER_LIAB_LT",Input!D$2,Date,,,Ccy,Conv)</f>
        <v>5.7450000000000001</v>
      </c>
      <c r="C331" s="4">
        <f>_xll.ciqfunctions.udf.CIQ(InputTicker, "IQ_OTHER_LIAB_LT",Input!E$2,Date,,,Ccy,Conv)</f>
        <v>6.3209999999999997</v>
      </c>
      <c r="D331" s="4">
        <f>_xll.ciqfunctions.udf.CIQ(InputTicker, "IQ_OTHER_LIAB_LT",Input!F$2,Date,,,Ccy,Conv)</f>
        <v>7.5270000000000001</v>
      </c>
      <c r="E331" s="4">
        <f>_xll.ciqfunctions.udf.CIQ(InputTicker, "IQ_OTHER_LIAB_LT",Input!G$2,Date,,,Ccy,Conv)</f>
        <v>8.3179999999999996</v>
      </c>
      <c r="F331" s="4">
        <f>_xll.ciqfunctions.udf.CIQ(InputTicker, "IQ_OTHER_LIAB_LT",Input!H$2,Date,,,Ccy,Conv)</f>
        <v>8.11</v>
      </c>
      <c r="G331" s="4">
        <f>_xll.ciqfunctions.udf.CIQ(InputTicker, "IQ_OTHER_LIAB_LT",Input!I$2,Date,,,Ccy,Conv)</f>
        <v>8.6809999999999992</v>
      </c>
      <c r="H331" s="4">
        <f>_xll.ciqfunctions.udf.CIQ(InputTicker, "IQ_OTHER_LIAB_LT",Input!J$2,Date,,,Ccy,Conv)</f>
        <v>10.416</v>
      </c>
      <c r="I331" s="4">
        <f>_xll.ciqfunctions.udf.CIQ(InputTicker, "IQ_OTHER_LIAB_LT",Input!K$2,Date,,,Ccy,Conv)</f>
        <v>10.273999999999999</v>
      </c>
      <c r="J331" s="4">
        <f>_xll.ciqfunctions.udf.CIQ(InputTicker, "IQ_OTHER_LIAB_LT",Input!L$2,Date,,,Ccy,Conv)</f>
        <v>9.9990000000000006</v>
      </c>
      <c r="K331" s="4">
        <f>_xll.ciqfunctions.udf.CIQ(InputTicker, "IQ_OTHER_LIAB_LT",Input!M$2,Date,,,Ccy,Conv)</f>
        <v>17.109000000000002</v>
      </c>
      <c r="L331" s="4">
        <f>_xll.ciqfunctions.udf.CIQ(InputTicker, "IQ_OTHER_LIAB_LT",Input!N$2,Date,,,Ccy,Conv)</f>
        <v>55.582000000000001</v>
      </c>
      <c r="M331" s="4">
        <f>_xll.ciqfunctions.udf.CIQ(InputTicker, "IQ_OTHER_LIAB_LT",Input!O$2,Date,,,Ccy,Conv)</f>
        <v>57.588000000000001</v>
      </c>
      <c r="N331" s="42"/>
      <c r="P331" s="46"/>
      <c r="Q331" s="46"/>
      <c r="R331" s="46"/>
      <c r="S331" s="46"/>
      <c r="T331" s="42"/>
      <c r="U331" s="42"/>
      <c r="V331" s="46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  <c r="BM331" s="42"/>
      <c r="BN331" s="42"/>
    </row>
    <row r="332" spans="1:66" ht="12.75" customHeight="1" thickBot="1" x14ac:dyDescent="0.25">
      <c r="A332" s="5" t="s">
        <v>510</v>
      </c>
      <c r="B332" s="9">
        <f>_xll.ciqfunctions.udf.CIQ(InputTicker, "IQ_TOTAL_LIAB",Input!D$2,Date,,,Ccy,Conv)</f>
        <v>224.09100000000001</v>
      </c>
      <c r="C332" s="9">
        <f>_xll.ciqfunctions.udf.CIQ(InputTicker, "IQ_TOTAL_LIAB",Input!E$2,Date,,,Ccy,Conv)</f>
        <v>194.404</v>
      </c>
      <c r="D332" s="9">
        <f>_xll.ciqfunctions.udf.CIQ(InputTicker, "IQ_TOTAL_LIAB",Input!F$2,Date,,,Ccy,Conv)</f>
        <v>188.601</v>
      </c>
      <c r="E332" s="9">
        <f>_xll.ciqfunctions.udf.CIQ(InputTicker, "IQ_TOTAL_LIAB",Input!G$2,Date,,,Ccy,Conv)</f>
        <v>194.76499999999999</v>
      </c>
      <c r="F332" s="9">
        <f>_xll.ciqfunctions.udf.CIQ(InputTicker, "IQ_TOTAL_LIAB",Input!H$2,Date,,,Ccy,Conv)</f>
        <v>166.47200000000001</v>
      </c>
      <c r="G332" s="9">
        <f>_xll.ciqfunctions.udf.CIQ(InputTicker, "IQ_TOTAL_LIAB",Input!I$2,Date,,,Ccy,Conv)</f>
        <v>197.01900000000001</v>
      </c>
      <c r="H332" s="9">
        <f>_xll.ciqfunctions.udf.CIQ(InputTicker, "IQ_TOTAL_LIAB",Input!J$2,Date,,,Ccy,Conv)</f>
        <v>216.393</v>
      </c>
      <c r="I332" s="9">
        <f>_xll.ciqfunctions.udf.CIQ(InputTicker, "IQ_TOTAL_LIAB",Input!K$2,Date,,,Ccy,Conv)</f>
        <v>323.14400000000001</v>
      </c>
      <c r="J332" s="9">
        <f>_xll.ciqfunctions.udf.CIQ(InputTicker, "IQ_TOTAL_LIAB",Input!L$2,Date,,,Ccy,Conv)</f>
        <v>344.94200000000001</v>
      </c>
      <c r="K332" s="9">
        <f>_xll.ciqfunctions.udf.CIQ(InputTicker, "IQ_TOTAL_LIAB",Input!M$2,Date,,,Ccy,Conv)</f>
        <v>387.71800000000002</v>
      </c>
      <c r="L332" s="9">
        <f>_xll.ciqfunctions.udf.CIQ(InputTicker, "IQ_TOTAL_LIAB",Input!N$2,Date,,,Ccy,Conv)</f>
        <v>518.60400000000004</v>
      </c>
      <c r="M332" s="9">
        <f>_xll.ciqfunctions.udf.CIQ(InputTicker, "IQ_TOTAL_LIAB",Input!O$2,Date,,,Ccy,Conv)</f>
        <v>446.298</v>
      </c>
      <c r="N332" s="42"/>
      <c r="S332" s="46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</row>
    <row r="333" spans="1:66" ht="12.75" customHeight="1" thickTop="1" x14ac:dyDescent="0.2">
      <c r="A333" s="1" t="s">
        <v>193</v>
      </c>
      <c r="B333" s="4">
        <f>_xll.ciqfunctions.udf.CIQ(InputTicker, "IQ_PREF_REDEEM",Input!D$2,Date,,,Ccy,Conv)</f>
        <v>0</v>
      </c>
      <c r="C333" s="4">
        <f>_xll.ciqfunctions.udf.CIQ(InputTicker, "IQ_PREF_REDEEM",Input!E$2,Date,,,Ccy,Conv)</f>
        <v>0</v>
      </c>
      <c r="D333" s="4">
        <f>_xll.ciqfunctions.udf.CIQ(InputTicker, "IQ_PREF_REDEEM",Input!F$2,Date,,,Ccy,Conv)</f>
        <v>0</v>
      </c>
      <c r="E333" s="4">
        <f>_xll.ciqfunctions.udf.CIQ(InputTicker, "IQ_PREF_REDEEM",Input!G$2,Date,,,Ccy,Conv)</f>
        <v>0</v>
      </c>
      <c r="F333" s="4">
        <f>_xll.ciqfunctions.udf.CIQ(InputTicker, "IQ_PREF_REDEEM",Input!H$2,Date,,,Ccy,Conv)</f>
        <v>0</v>
      </c>
      <c r="G333" s="4">
        <f>_xll.ciqfunctions.udf.CIQ(InputTicker, "IQ_PREF_REDEEM",Input!I$2,Date,,,Ccy,Conv)</f>
        <v>0</v>
      </c>
      <c r="H333" s="4">
        <f>_xll.ciqfunctions.udf.CIQ(InputTicker, "IQ_PREF_REDEEM",Input!J$2,Date,,,Ccy,Conv)</f>
        <v>0</v>
      </c>
      <c r="I333" s="4">
        <f>_xll.ciqfunctions.udf.CIQ(InputTicker, "IQ_PREF_REDEEM",Input!K$2,Date,,,Ccy,Conv)</f>
        <v>0</v>
      </c>
      <c r="J333" s="4">
        <f>_xll.ciqfunctions.udf.CIQ(InputTicker, "IQ_PREF_REDEEM",Input!L$2,Date,,,Ccy,Conv)</f>
        <v>0</v>
      </c>
      <c r="K333" s="4">
        <f>_xll.ciqfunctions.udf.CIQ(InputTicker, "IQ_PREF_REDEEM",Input!M$2,Date,,,Ccy,Conv)</f>
        <v>0</v>
      </c>
      <c r="L333" s="4">
        <f>_xll.ciqfunctions.udf.CIQ(InputTicker, "IQ_PREF_REDEEM",Input!N$2,Date,,,Ccy,Conv)</f>
        <v>0</v>
      </c>
      <c r="M333" s="4">
        <f>_xll.ciqfunctions.udf.CIQ(InputTicker, "IQ_PREF_REDEEM",Input!O$2,Date,,,Ccy,Conv)</f>
        <v>0</v>
      </c>
      <c r="N333" s="46"/>
      <c r="P333" s="46"/>
      <c r="Q333" s="46"/>
      <c r="R333" s="46"/>
      <c r="T333" s="42"/>
      <c r="U333" s="42"/>
      <c r="V333" s="46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  <c r="BM333" s="42"/>
      <c r="BN333" s="42"/>
    </row>
    <row r="334" spans="1:66" ht="12.75" customHeight="1" x14ac:dyDescent="0.2">
      <c r="A334" s="1" t="s">
        <v>194</v>
      </c>
      <c r="B334" s="4">
        <f>_xll.ciqfunctions.udf.CIQ(InputTicker, "IQ_PREF_NON_REDEEM",Input!D$2,Date,,,Ccy,Conv)</f>
        <v>0</v>
      </c>
      <c r="C334" s="4">
        <f>_xll.ciqfunctions.udf.CIQ(InputTicker, "IQ_PREF_NON_REDEEM",Input!E$2,Date,,,Ccy,Conv)</f>
        <v>0</v>
      </c>
      <c r="D334" s="4">
        <f>_xll.ciqfunctions.udf.CIQ(InputTicker, "IQ_PREF_NON_REDEEM",Input!F$2,Date,,,Ccy,Conv)</f>
        <v>0</v>
      </c>
      <c r="E334" s="4">
        <f>_xll.ciqfunctions.udf.CIQ(InputTicker, "IQ_PREF_NON_REDEEM",Input!G$2,Date,,,Ccy,Conv)</f>
        <v>0</v>
      </c>
      <c r="F334" s="4">
        <f>_xll.ciqfunctions.udf.CIQ(InputTicker, "IQ_PREF_NON_REDEEM",Input!H$2,Date,,,Ccy,Conv)</f>
        <v>0</v>
      </c>
      <c r="G334" s="4">
        <f>_xll.ciqfunctions.udf.CIQ(InputTicker, "IQ_PREF_NON_REDEEM",Input!I$2,Date,,,Ccy,Conv)</f>
        <v>0</v>
      </c>
      <c r="H334" s="4">
        <f>_xll.ciqfunctions.udf.CIQ(InputTicker, "IQ_PREF_NON_REDEEM",Input!J$2,Date,,,Ccy,Conv)</f>
        <v>0</v>
      </c>
      <c r="I334" s="4">
        <f>_xll.ciqfunctions.udf.CIQ(InputTicker, "IQ_PREF_NON_REDEEM",Input!K$2,Date,,,Ccy,Conv)</f>
        <v>0</v>
      </c>
      <c r="J334" s="4">
        <f>_xll.ciqfunctions.udf.CIQ(InputTicker, "IQ_PREF_NON_REDEEM",Input!L$2,Date,,,Ccy,Conv)</f>
        <v>0</v>
      </c>
      <c r="K334" s="4">
        <f>_xll.ciqfunctions.udf.CIQ(InputTicker, "IQ_PREF_NON_REDEEM",Input!M$2,Date,,,Ccy,Conv)</f>
        <v>0</v>
      </c>
      <c r="L334" s="4">
        <f>_xll.ciqfunctions.udf.CIQ(InputTicker, "IQ_PREF_NON_REDEEM",Input!N$2,Date,,,Ccy,Conv)</f>
        <v>0</v>
      </c>
      <c r="M334" s="4">
        <f>_xll.ciqfunctions.udf.CIQ(InputTicker, "IQ_PREF_NON_REDEEM",Input!O$2,Date,,,Ccy,Conv)</f>
        <v>0</v>
      </c>
      <c r="N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  <c r="BN334" s="42"/>
    </row>
    <row r="335" spans="1:66" ht="12.75" customHeight="1" x14ac:dyDescent="0.2">
      <c r="A335" s="1" t="s">
        <v>195</v>
      </c>
      <c r="B335" s="4">
        <f>_xll.ciqfunctions.udf.CIQ(InputTicker, "IQ_PREF_CONVERT",Input!D$2,Date,,,Ccy,Conv)</f>
        <v>0</v>
      </c>
      <c r="C335" s="4">
        <f>_xll.ciqfunctions.udf.CIQ(InputTicker, "IQ_PREF_CONVERT",Input!E$2,Date,,,Ccy,Conv)</f>
        <v>0</v>
      </c>
      <c r="D335" s="4">
        <f>_xll.ciqfunctions.udf.CIQ(InputTicker, "IQ_PREF_CONVERT",Input!F$2,Date,,,Ccy,Conv)</f>
        <v>0</v>
      </c>
      <c r="E335" s="4">
        <f>_xll.ciqfunctions.udf.CIQ(InputTicker, "IQ_PREF_CONVERT",Input!G$2,Date,,,Ccy,Conv)</f>
        <v>0</v>
      </c>
      <c r="F335" s="4">
        <f>_xll.ciqfunctions.udf.CIQ(InputTicker, "IQ_PREF_CONVERT",Input!H$2,Date,,,Ccy,Conv)</f>
        <v>0</v>
      </c>
      <c r="G335" s="4">
        <f>_xll.ciqfunctions.udf.CIQ(InputTicker, "IQ_PREF_CONVERT",Input!I$2,Date,,,Ccy,Conv)</f>
        <v>0</v>
      </c>
      <c r="H335" s="4">
        <f>_xll.ciqfunctions.udf.CIQ(InputTicker, "IQ_PREF_CONVERT",Input!J$2,Date,,,Ccy,Conv)</f>
        <v>0</v>
      </c>
      <c r="I335" s="4">
        <f>_xll.ciqfunctions.udf.CIQ(InputTicker, "IQ_PREF_CONVERT",Input!K$2,Date,,,Ccy,Conv)</f>
        <v>0</v>
      </c>
      <c r="J335" s="4">
        <f>_xll.ciqfunctions.udf.CIQ(InputTicker, "IQ_PREF_CONVERT",Input!L$2,Date,,,Ccy,Conv)</f>
        <v>0</v>
      </c>
      <c r="K335" s="4">
        <f>_xll.ciqfunctions.udf.CIQ(InputTicker, "IQ_PREF_CONVERT",Input!M$2,Date,,,Ccy,Conv)</f>
        <v>0</v>
      </c>
      <c r="L335" s="4">
        <f>_xll.ciqfunctions.udf.CIQ(InputTicker, "IQ_PREF_CONVERT",Input!N$2,Date,,,Ccy,Conv)</f>
        <v>0</v>
      </c>
      <c r="M335" s="4">
        <f>_xll.ciqfunctions.udf.CIQ(InputTicker, "IQ_PREF_CONVERT",Input!O$2,Date,,,Ccy,Conv)</f>
        <v>0</v>
      </c>
      <c r="N335" s="42"/>
      <c r="T335" s="51"/>
      <c r="U335" s="51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  <c r="BM335" s="42"/>
      <c r="BN335" s="42"/>
    </row>
    <row r="336" spans="1:66" ht="12.75" customHeight="1" x14ac:dyDescent="0.2">
      <c r="A336" s="1" t="s">
        <v>196</v>
      </c>
      <c r="B336" s="4">
        <f>_xll.ciqfunctions.udf.CIQ(InputTicker, "IQ_PREF_OTHER",Input!D$2,Date,,,Ccy,Conv)</f>
        <v>0</v>
      </c>
      <c r="C336" s="4">
        <f>_xll.ciqfunctions.udf.CIQ(InputTicker, "IQ_PREF_OTHER",Input!E$2,Date,,,Ccy,Conv)</f>
        <v>0</v>
      </c>
      <c r="D336" s="4">
        <f>_xll.ciqfunctions.udf.CIQ(InputTicker, "IQ_PREF_OTHER",Input!F$2,Date,,,Ccy,Conv)</f>
        <v>0</v>
      </c>
      <c r="E336" s="4">
        <f>_xll.ciqfunctions.udf.CIQ(InputTicker, "IQ_PREF_OTHER",Input!G$2,Date,,,Ccy,Conv)</f>
        <v>0</v>
      </c>
      <c r="F336" s="4">
        <f>_xll.ciqfunctions.udf.CIQ(InputTicker, "IQ_PREF_OTHER",Input!H$2,Date,,,Ccy,Conv)</f>
        <v>0</v>
      </c>
      <c r="G336" s="4">
        <f>_xll.ciqfunctions.udf.CIQ(InputTicker, "IQ_PREF_OTHER",Input!I$2,Date,,,Ccy,Conv)</f>
        <v>0</v>
      </c>
      <c r="H336" s="4">
        <f>_xll.ciqfunctions.udf.CIQ(InputTicker, "IQ_PREF_OTHER",Input!J$2,Date,,,Ccy,Conv)</f>
        <v>0</v>
      </c>
      <c r="I336" s="4">
        <f>_xll.ciqfunctions.udf.CIQ(InputTicker, "IQ_PREF_OTHER",Input!K$2,Date,,,Ccy,Conv)</f>
        <v>0</v>
      </c>
      <c r="J336" s="4">
        <f>_xll.ciqfunctions.udf.CIQ(InputTicker, "IQ_PREF_OTHER",Input!L$2,Date,,,Ccy,Conv)</f>
        <v>0</v>
      </c>
      <c r="K336" s="4">
        <f>_xll.ciqfunctions.udf.CIQ(InputTicker, "IQ_PREF_OTHER",Input!M$2,Date,,,Ccy,Conv)</f>
        <v>0</v>
      </c>
      <c r="L336" s="4">
        <f>_xll.ciqfunctions.udf.CIQ(InputTicker, "IQ_PREF_OTHER",Input!N$2,Date,,,Ccy,Conv)</f>
        <v>0</v>
      </c>
      <c r="M336" s="4">
        <f>_xll.ciqfunctions.udf.CIQ(InputTicker, "IQ_PREF_OTHER",Input!O$2,Date,,,Ccy,Conv)</f>
        <v>0</v>
      </c>
      <c r="N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  <c r="BM336" s="42"/>
      <c r="BN336" s="42"/>
    </row>
    <row r="337" spans="1:66" ht="12.75" customHeight="1" x14ac:dyDescent="0.2">
      <c r="A337" s="5" t="s">
        <v>511</v>
      </c>
      <c r="B337" s="10">
        <f>_xll.ciqfunctions.udf.CIQ(InputTicker, "IQ_PREF_EQUITY",Input!D$2,Date,,,Ccy,Conv)</f>
        <v>0</v>
      </c>
      <c r="C337" s="10">
        <f>_xll.ciqfunctions.udf.CIQ(InputTicker, "IQ_PREF_EQUITY",Input!E$2,Date,,,Ccy,Conv)</f>
        <v>0</v>
      </c>
      <c r="D337" s="10">
        <f>_xll.ciqfunctions.udf.CIQ(InputTicker, "IQ_PREF_EQUITY",Input!F$2,Date,,,Ccy,Conv)</f>
        <v>0</v>
      </c>
      <c r="E337" s="10">
        <f>_xll.ciqfunctions.udf.CIQ(InputTicker, "IQ_PREF_EQUITY",Input!G$2,Date,,,Ccy,Conv)</f>
        <v>0</v>
      </c>
      <c r="F337" s="10">
        <f>_xll.ciqfunctions.udf.CIQ(InputTicker, "IQ_PREF_EQUITY",Input!H$2,Date,,,Ccy,Conv)</f>
        <v>0</v>
      </c>
      <c r="G337" s="10">
        <f>_xll.ciqfunctions.udf.CIQ(InputTicker, "IQ_PREF_EQUITY",Input!I$2,Date,,,Ccy,Conv)</f>
        <v>0</v>
      </c>
      <c r="H337" s="10">
        <f>_xll.ciqfunctions.udf.CIQ(InputTicker, "IQ_PREF_EQUITY",Input!J$2,Date,,,Ccy,Conv)</f>
        <v>0</v>
      </c>
      <c r="I337" s="10">
        <f>_xll.ciqfunctions.udf.CIQ(InputTicker, "IQ_PREF_EQUITY",Input!K$2,Date,,,Ccy,Conv)</f>
        <v>0</v>
      </c>
      <c r="J337" s="10">
        <f>_xll.ciqfunctions.udf.CIQ(InputTicker, "IQ_PREF_EQUITY",Input!L$2,Date,,,Ccy,Conv)</f>
        <v>0</v>
      </c>
      <c r="K337" s="10">
        <f>_xll.ciqfunctions.udf.CIQ(InputTicker, "IQ_PREF_EQUITY",Input!M$2,Date,,,Ccy,Conv)</f>
        <v>0</v>
      </c>
      <c r="L337" s="10">
        <f>_xll.ciqfunctions.udf.CIQ(InputTicker, "IQ_PREF_EQUITY",Input!N$2,Date,,,Ccy,Conv)</f>
        <v>0</v>
      </c>
      <c r="M337" s="10">
        <f>_xll.ciqfunctions.udf.CIQ(InputTicker, "IQ_PREF_EQUITY",Input!O$2,Date,,,Ccy,Conv)</f>
        <v>0</v>
      </c>
      <c r="N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  <c r="BN337" s="42"/>
    </row>
    <row r="338" spans="1:66" ht="12.75" customHeight="1" x14ac:dyDescent="0.2">
      <c r="A338" s="1" t="s">
        <v>47</v>
      </c>
      <c r="B338" s="4">
        <f>_xll.ciqfunctions.udf.CIQ(InputTicker, "IQ_COMMON",Input!D$2,Date,,,Ccy,Conv)</f>
        <v>0.751</v>
      </c>
      <c r="C338" s="4">
        <f>_xll.ciqfunctions.udf.CIQ(InputTicker, "IQ_COMMON",Input!E$2,Date,,,Ccy,Conv)</f>
        <v>0.751</v>
      </c>
      <c r="D338" s="4">
        <f>_xll.ciqfunctions.udf.CIQ(InputTicker, "IQ_COMMON",Input!F$2,Date,,,Ccy,Conv)</f>
        <v>0.751</v>
      </c>
      <c r="E338" s="4">
        <f>_xll.ciqfunctions.udf.CIQ(InputTicker, "IQ_COMMON",Input!G$2,Date,,,Ccy,Conv)</f>
        <v>0.751</v>
      </c>
      <c r="F338" s="4">
        <f>_xll.ciqfunctions.udf.CIQ(InputTicker, "IQ_COMMON",Input!H$2,Date,,,Ccy,Conv)</f>
        <v>0.751</v>
      </c>
      <c r="G338" s="4">
        <f>_xll.ciqfunctions.udf.CIQ(InputTicker, "IQ_COMMON",Input!I$2,Date,,,Ccy,Conv)</f>
        <v>0.751</v>
      </c>
      <c r="H338" s="4">
        <f>_xll.ciqfunctions.udf.CIQ(InputTicker, "IQ_COMMON",Input!J$2,Date,,,Ccy,Conv)</f>
        <v>0.751</v>
      </c>
      <c r="I338" s="4">
        <f>_xll.ciqfunctions.udf.CIQ(InputTicker, "IQ_COMMON",Input!K$2,Date,,,Ccy,Conv)</f>
        <v>0.751</v>
      </c>
      <c r="J338" s="4">
        <f>_xll.ciqfunctions.udf.CIQ(InputTicker, "IQ_COMMON",Input!L$2,Date,,,Ccy,Conv)</f>
        <v>0.751</v>
      </c>
      <c r="K338" s="4">
        <f>_xll.ciqfunctions.udf.CIQ(InputTicker, "IQ_COMMON",Input!M$2,Date,,,Ccy,Conv)</f>
        <v>0.751</v>
      </c>
      <c r="L338" s="4">
        <f>_xll.ciqfunctions.udf.CIQ(InputTicker, "IQ_COMMON",Input!N$2,Date,,,Ccy,Conv)</f>
        <v>0.751</v>
      </c>
      <c r="M338" s="4">
        <f>_xll.ciqfunctions.udf.CIQ(InputTicker, "IQ_COMMON",Input!O$2,Date,,,Ccy,Conv)</f>
        <v>0.751</v>
      </c>
      <c r="N338" s="46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  <c r="BM338" s="42"/>
      <c r="BN338" s="42"/>
    </row>
    <row r="339" spans="1:66" ht="12.75" customHeight="1" x14ac:dyDescent="0.2">
      <c r="A339" s="1" t="s">
        <v>139</v>
      </c>
      <c r="B339" s="4">
        <f>_xll.ciqfunctions.udf.CIQ(InputTicker, "IQ_APIC",Input!D$2,Date,,,Ccy,Conv)</f>
        <v>43.304000000000002</v>
      </c>
      <c r="C339" s="4">
        <f>_xll.ciqfunctions.udf.CIQ(InputTicker, "IQ_APIC",Input!E$2,Date,,,Ccy,Conv)</f>
        <v>46.404000000000003</v>
      </c>
      <c r="D339" s="4">
        <f>_xll.ciqfunctions.udf.CIQ(InputTicker, "IQ_APIC",Input!F$2,Date,,,Ccy,Conv)</f>
        <v>49.932000000000002</v>
      </c>
      <c r="E339" s="4">
        <f>_xll.ciqfunctions.udf.CIQ(InputTicker, "IQ_APIC",Input!G$2,Date,,,Ccy,Conv)</f>
        <v>53.323</v>
      </c>
      <c r="F339" s="4">
        <f>_xll.ciqfunctions.udf.CIQ(InputTicker, "IQ_APIC",Input!H$2,Date,,,Ccy,Conv)</f>
        <v>56.856999999999999</v>
      </c>
      <c r="G339" s="4">
        <f>_xll.ciqfunctions.udf.CIQ(InputTicker, "IQ_APIC",Input!I$2,Date,,,Ccy,Conv)</f>
        <v>60.372</v>
      </c>
      <c r="H339" s="4">
        <f>_xll.ciqfunctions.udf.CIQ(InputTicker, "IQ_APIC",Input!J$2,Date,,,Ccy,Conv)</f>
        <v>64.043999999999997</v>
      </c>
      <c r="I339" s="4">
        <f>_xll.ciqfunctions.udf.CIQ(InputTicker, "IQ_APIC",Input!K$2,Date,,,Ccy,Conv)</f>
        <v>67.989000000000004</v>
      </c>
      <c r="J339" s="4">
        <f>_xll.ciqfunctions.udf.CIQ(InputTicker, "IQ_APIC",Input!L$2,Date,,,Ccy,Conv)</f>
        <v>72.111999999999995</v>
      </c>
      <c r="K339" s="4">
        <f>_xll.ciqfunctions.udf.CIQ(InputTicker, "IQ_APIC",Input!M$2,Date,,,Ccy,Conv)</f>
        <v>76.370999999999995</v>
      </c>
      <c r="L339" s="4">
        <f>_xll.ciqfunctions.udf.CIQ(InputTicker, "IQ_APIC",Input!N$2,Date,,,Ccy,Conv)</f>
        <v>80.844999999999999</v>
      </c>
      <c r="M339" s="4">
        <f>_xll.ciqfunctions.udf.CIQ(InputTicker, "IQ_APIC",Input!O$2,Date,,,Ccy,Conv)</f>
        <v>83.513999999999996</v>
      </c>
      <c r="N339" s="42"/>
      <c r="S339" s="46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  <c r="BM339" s="42"/>
      <c r="BN339" s="42"/>
    </row>
    <row r="340" spans="1:66" ht="12.75" customHeight="1" x14ac:dyDescent="0.2">
      <c r="A340" s="1" t="s">
        <v>98</v>
      </c>
      <c r="B340" s="4">
        <f>_xll.ciqfunctions.udf.CIQ(InputTicker, "IQ_RE",Input!D$2,Date,,,Ccy,Conv)</f>
        <v>679.96900000000005</v>
      </c>
      <c r="C340" s="4">
        <f>_xll.ciqfunctions.udf.CIQ(InputTicker, "IQ_RE",Input!E$2,Date,,,Ccy,Conv)</f>
        <v>890.44</v>
      </c>
      <c r="D340" s="4">
        <f>_xll.ciqfunctions.udf.CIQ(InputTicker, "IQ_RE",Input!F$2,Date,,,Ccy,Conv)</f>
        <v>816.04600000000005</v>
      </c>
      <c r="E340" s="4">
        <f>_xll.ciqfunctions.udf.CIQ(InputTicker, "IQ_RE",Input!G$2,Date,,,Ccy,Conv)</f>
        <v>924.91800000000001</v>
      </c>
      <c r="F340" s="4">
        <f>_xll.ciqfunctions.udf.CIQ(InputTicker, "IQ_RE",Input!H$2,Date,,,Ccy,Conv)</f>
        <v>954.52700000000004</v>
      </c>
      <c r="G340" s="4">
        <f>_xll.ciqfunctions.udf.CIQ(InputTicker, "IQ_RE",Input!I$2,Date,,,Ccy,Conv)</f>
        <v>975.14700000000005</v>
      </c>
      <c r="H340" s="4">
        <f>_xll.ciqfunctions.udf.CIQ(InputTicker, "IQ_RE",Input!J$2,Date,,,Ccy,Conv)</f>
        <v>975.97699999999998</v>
      </c>
      <c r="I340" s="4">
        <f>_xll.ciqfunctions.udf.CIQ(InputTicker, "IQ_RE",Input!K$2,Date,,,Ccy,Conv)</f>
        <v>1065.854</v>
      </c>
      <c r="J340" s="4">
        <f>_xll.ciqfunctions.udf.CIQ(InputTicker, "IQ_RE",Input!L$2,Date,,,Ccy,Conv)</f>
        <v>1571.1120000000001</v>
      </c>
      <c r="K340" s="4">
        <f>_xll.ciqfunctions.udf.CIQ(InputTicker, "IQ_RE",Input!M$2,Date,,,Ccy,Conv)</f>
        <v>1756.395</v>
      </c>
      <c r="L340" s="4">
        <f>_xll.ciqfunctions.udf.CIQ(InputTicker, "IQ_RE",Input!N$2,Date,,,Ccy,Conv)</f>
        <v>2565.9279999999999</v>
      </c>
      <c r="M340" s="4">
        <f>_xll.ciqfunctions.udf.CIQ(InputTicker, "IQ_RE",Input!O$2,Date,,,Ccy,Conv)</f>
        <v>2767.3470000000002</v>
      </c>
      <c r="N340" s="46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  <c r="BN340" s="42"/>
    </row>
    <row r="341" spans="1:66" ht="12.75" customHeight="1" x14ac:dyDescent="0.2">
      <c r="A341" s="1" t="s">
        <v>54</v>
      </c>
      <c r="B341" s="4">
        <f>_xll.ciqfunctions.udf.CIQ(InputTicker, "IQ_TREASURY",Input!D$2,Date,,,Ccy,Conv)</f>
        <v>-20.481999999999999</v>
      </c>
      <c r="C341" s="4">
        <f>_xll.ciqfunctions.udf.CIQ(InputTicker, "IQ_TREASURY",Input!E$2,Date,,,Ccy,Conv)</f>
        <v>-22.271999999999998</v>
      </c>
      <c r="D341" s="4">
        <f>_xll.ciqfunctions.udf.CIQ(InputTicker, "IQ_TREASURY",Input!F$2,Date,,,Ccy,Conv)</f>
        <v>-23.914000000000001</v>
      </c>
      <c r="E341" s="4">
        <f>_xll.ciqfunctions.udf.CIQ(InputTicker, "IQ_TREASURY",Input!G$2,Date,,,Ccy,Conv)</f>
        <v>-24.966000000000001</v>
      </c>
      <c r="F341" s="4">
        <f>_xll.ciqfunctions.udf.CIQ(InputTicker, "IQ_TREASURY",Input!H$2,Date,,,Ccy,Conv)</f>
        <v>-25.866</v>
      </c>
      <c r="G341" s="4">
        <f>_xll.ciqfunctions.udf.CIQ(InputTicker, "IQ_TREASURY",Input!I$2,Date,,,Ccy,Conv)</f>
        <v>-26.673999999999999</v>
      </c>
      <c r="H341" s="4">
        <f>_xll.ciqfunctions.udf.CIQ(InputTicker, "IQ_TREASURY",Input!J$2,Date,,,Ccy,Conv)</f>
        <v>-27.433</v>
      </c>
      <c r="I341" s="4">
        <f>_xll.ciqfunctions.udf.CIQ(InputTicker, "IQ_TREASURY",Input!K$2,Date,,,Ccy,Conv)</f>
        <v>-28.446999999999999</v>
      </c>
      <c r="J341" s="4">
        <f>_xll.ciqfunctions.udf.CIQ(InputTicker, "IQ_TREASURY",Input!L$2,Date,,,Ccy,Conv)</f>
        <v>-30.007999999999999</v>
      </c>
      <c r="K341" s="4">
        <f>_xll.ciqfunctions.udf.CIQ(InputTicker, "IQ_TREASURY",Input!M$2,Date,,,Ccy,Conv)</f>
        <v>-31.597000000000001</v>
      </c>
      <c r="L341" s="4">
        <f>_xll.ciqfunctions.udf.CIQ(InputTicker, "IQ_TREASURY",Input!N$2,Date,,,Ccy,Conv)</f>
        <v>-85.893000000000001</v>
      </c>
      <c r="M341" s="4">
        <f>_xll.ciqfunctions.udf.CIQ(InputTicker, "IQ_TREASURY",Input!O$2,Date,,,Ccy,Conv)</f>
        <v>-161.477</v>
      </c>
      <c r="N341" s="46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  <c r="BM341" s="42"/>
      <c r="BN341" s="42"/>
    </row>
    <row r="342" spans="1:66" ht="12.75" customHeight="1" x14ac:dyDescent="0.2">
      <c r="A342" s="1" t="s">
        <v>140</v>
      </c>
      <c r="B342" s="4">
        <f>_xll.ciqfunctions.udf.CIQ(InputTicker, "IQ_OTHER_EQUITY",Input!D$2,Date,,,Ccy,Conv)</f>
        <v>2.1999999999999999E-2</v>
      </c>
      <c r="C342" s="4">
        <f>_xll.ciqfunctions.udf.CIQ(InputTicker, "IQ_OTHER_EQUITY",Input!E$2,Date,,,Ccy,Conv)</f>
        <v>-4.8000000000000001E-2</v>
      </c>
      <c r="D342" s="4">
        <f>_xll.ciqfunctions.udf.CIQ(InputTicker, "IQ_OTHER_EQUITY",Input!F$2,Date,,,Ccy,Conv)</f>
        <v>-0.128</v>
      </c>
      <c r="E342" s="4">
        <f>_xll.ciqfunctions.udf.CIQ(InputTicker, "IQ_OTHER_EQUITY",Input!G$2,Date,,,Ccy,Conv)</f>
        <v>-0.69299999999999995</v>
      </c>
      <c r="F342" s="4">
        <f>_xll.ciqfunctions.udf.CIQ(InputTicker, "IQ_OTHER_EQUITY",Input!H$2,Date,,,Ccy,Conv)</f>
        <v>0.35499999999999998</v>
      </c>
      <c r="G342" s="4">
        <f>_xll.ciqfunctions.udf.CIQ(InputTicker, "IQ_OTHER_EQUITY",Input!I$2,Date,,,Ccy,Conv)</f>
        <v>7.9000000000000001E-2</v>
      </c>
      <c r="H342" s="4">
        <f>_xll.ciqfunctions.udf.CIQ(InputTicker, "IQ_OTHER_EQUITY",Input!J$2,Date,,,Ccy,Conv)</f>
        <v>-0.55800000000000005</v>
      </c>
      <c r="I342" s="4">
        <f>_xll.ciqfunctions.udf.CIQ(InputTicker, "IQ_OTHER_EQUITY",Input!K$2,Date,,,Ccy,Conv)</f>
        <v>-1.5960000000000001</v>
      </c>
      <c r="J342" s="4">
        <f>_xll.ciqfunctions.udf.CIQ(InputTicker, "IQ_OTHER_EQUITY",Input!L$2,Date,,,Ccy,Conv)</f>
        <v>-2.8860000000000001</v>
      </c>
      <c r="K342" s="4">
        <f>_xll.ciqfunctions.udf.CIQ(InputTicker, "IQ_OTHER_EQUITY",Input!M$2,Date,,,Ccy,Conv)</f>
        <v>-1.7729999999999999</v>
      </c>
      <c r="L342" s="4">
        <f>_xll.ciqfunctions.udf.CIQ(InputTicker, "IQ_OTHER_EQUITY",Input!N$2,Date,,,Ccy,Conv)</f>
        <v>-1.0069999999999999</v>
      </c>
      <c r="M342" s="4">
        <f>_xll.ciqfunctions.udf.CIQ(InputTicker, "IQ_OTHER_EQUITY",Input!O$2,Date,,,Ccy,Conv)</f>
        <v>1.3260000000000001</v>
      </c>
      <c r="N342" s="46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  <c r="BN342" s="42"/>
    </row>
    <row r="343" spans="1:66" ht="12.75" customHeight="1" x14ac:dyDescent="0.2">
      <c r="A343" s="5" t="s">
        <v>99</v>
      </c>
      <c r="B343" s="6">
        <f>_xll.ciqfunctions.udf.CIQ(InputTicker, "IQ_TOTAL_COMMON_EQUITY",Input!D$2,Date,,,Ccy,Conv)</f>
        <v>703.56399999999996</v>
      </c>
      <c r="C343" s="6">
        <f>_xll.ciqfunctions.udf.CIQ(InputTicker, "IQ_TOTAL_COMMON_EQUITY",Input!E$2,Date,,,Ccy,Conv)</f>
        <v>915.27499999999998</v>
      </c>
      <c r="D343" s="6">
        <f>_xll.ciqfunctions.udf.CIQ(InputTicker, "IQ_TOTAL_COMMON_EQUITY",Input!F$2,Date,,,Ccy,Conv)</f>
        <v>842.68700000000001</v>
      </c>
      <c r="E343" s="6">
        <f>_xll.ciqfunctions.udf.CIQ(InputTicker, "IQ_TOTAL_COMMON_EQUITY",Input!G$2,Date,,,Ccy,Conv)</f>
        <v>953.33299999999997</v>
      </c>
      <c r="F343" s="6">
        <f>_xll.ciqfunctions.udf.CIQ(InputTicker, "IQ_TOTAL_COMMON_EQUITY",Input!H$2,Date,,,Ccy,Conv)</f>
        <v>986.62400000000002</v>
      </c>
      <c r="G343" s="6">
        <f>_xll.ciqfunctions.udf.CIQ(InputTicker, "IQ_TOTAL_COMMON_EQUITY",Input!I$2,Date,,,Ccy,Conv)</f>
        <v>1009.675</v>
      </c>
      <c r="H343" s="6">
        <f>_xll.ciqfunctions.udf.CIQ(InputTicker, "IQ_TOTAL_COMMON_EQUITY",Input!J$2,Date,,,Ccy,Conv)</f>
        <v>1012.7809999999999</v>
      </c>
      <c r="I343" s="6">
        <f>_xll.ciqfunctions.udf.CIQ(InputTicker, "IQ_TOTAL_COMMON_EQUITY",Input!K$2,Date,,,Ccy,Conv)</f>
        <v>1104.5509999999999</v>
      </c>
      <c r="J343" s="6">
        <f>_xll.ciqfunctions.udf.CIQ(InputTicker, "IQ_TOTAL_COMMON_EQUITY",Input!L$2,Date,,,Ccy,Conv)</f>
        <v>1611.0809999999999</v>
      </c>
      <c r="K343" s="6">
        <f>_xll.ciqfunctions.udf.CIQ(InputTicker, "IQ_TOTAL_COMMON_EQUITY",Input!M$2,Date,,,Ccy,Conv)</f>
        <v>1800.1469999999999</v>
      </c>
      <c r="L343" s="6">
        <f>_xll.ciqfunctions.udf.CIQ(InputTicker, "IQ_TOTAL_COMMON_EQUITY",Input!N$2,Date,,,Ccy,Conv)</f>
        <v>2560.6239999999998</v>
      </c>
      <c r="M343" s="6">
        <f>_xll.ciqfunctions.udf.CIQ(InputTicker, "IQ_TOTAL_COMMON_EQUITY",Input!O$2,Date,,,Ccy,Conv)</f>
        <v>2691.4609999999998</v>
      </c>
      <c r="N343" s="42"/>
      <c r="P343" s="51"/>
      <c r="Q343" s="51"/>
      <c r="R343" s="51"/>
      <c r="T343" s="42"/>
      <c r="U343" s="42"/>
      <c r="V343" s="51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  <c r="BM343" s="42"/>
      <c r="BN343" s="42"/>
    </row>
    <row r="344" spans="1:66" ht="12.75" customHeight="1" x14ac:dyDescent="0.2">
      <c r="A344" s="1" t="s">
        <v>188</v>
      </c>
      <c r="B344" s="4">
        <f>_xll.ciqfunctions.udf.CIQ(InputTicker, "IQ_MINORITY_INTEREST",Input!D$2,Date,,,Ccy,Conv)</f>
        <v>0.998</v>
      </c>
      <c r="C344" s="4">
        <f>_xll.ciqfunctions.udf.CIQ(InputTicker, "IQ_MINORITY_INTEREST",Input!E$2,Date,,,Ccy,Conv)</f>
        <v>2.0859999999999999</v>
      </c>
      <c r="D344" s="4">
        <f>_xll.ciqfunctions.udf.CIQ(InputTicker, "IQ_MINORITY_INTEREST",Input!F$2,Date,,,Ccy,Conv)</f>
        <v>1.806</v>
      </c>
      <c r="E344" s="4">
        <f>_xll.ciqfunctions.udf.CIQ(InputTicker, "IQ_MINORITY_INTEREST",Input!G$2,Date,,,Ccy,Conv)</f>
        <v>2.3490000000000002</v>
      </c>
      <c r="F344" s="4">
        <f>_xll.ciqfunctions.udf.CIQ(InputTicker, "IQ_MINORITY_INTEREST",Input!H$2,Date,,,Ccy,Conv)</f>
        <v>3.1819999999999999</v>
      </c>
      <c r="G344" s="4">
        <f>_xll.ciqfunctions.udf.CIQ(InputTicker, "IQ_MINORITY_INTEREST",Input!I$2,Date,,,Ccy,Conv)</f>
        <v>0</v>
      </c>
      <c r="H344" s="4">
        <f>_xll.ciqfunctions.udf.CIQ(InputTicker, "IQ_MINORITY_INTEREST",Input!J$2,Date,,,Ccy,Conv)</f>
        <v>0</v>
      </c>
      <c r="I344" s="4">
        <f>_xll.ciqfunctions.udf.CIQ(InputTicker, "IQ_MINORITY_INTEREST",Input!K$2,Date,,,Ccy,Conv)</f>
        <v>-0.20599999999999999</v>
      </c>
      <c r="J344" s="4">
        <f>_xll.ciqfunctions.udf.CIQ(InputTicker, "IQ_MINORITY_INTEREST",Input!L$2,Date,,,Ccy,Conv)</f>
        <v>-1.498</v>
      </c>
      <c r="K344" s="4">
        <f>_xll.ciqfunctions.udf.CIQ(InputTicker, "IQ_MINORITY_INTEREST",Input!M$2,Date,,,Ccy,Conv)</f>
        <v>-3.1040000000000001</v>
      </c>
      <c r="L344" s="4">
        <f>_xll.ciqfunctions.udf.CIQ(InputTicker, "IQ_MINORITY_INTEREST",Input!N$2,Date,,,Ccy,Conv)</f>
        <v>5.391</v>
      </c>
      <c r="M344" s="4">
        <f>_xll.ciqfunctions.udf.CIQ(InputTicker, "IQ_MINORITY_INTEREST",Input!O$2,Date,,,Ccy,Conv)</f>
        <v>6.3049999999999997</v>
      </c>
      <c r="N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  <c r="BN344" s="42"/>
    </row>
    <row r="345" spans="1:66" ht="12.75" customHeight="1" x14ac:dyDescent="0.2">
      <c r="A345" s="5" t="s">
        <v>46</v>
      </c>
      <c r="B345" s="6">
        <f>_xll.ciqfunctions.udf.CIQ(InputTicker, "IQ_TOTAL_EQUITY",Input!D$2,Date,,,Ccy,Conv)</f>
        <v>704.56200000000001</v>
      </c>
      <c r="C345" s="6">
        <f>_xll.ciqfunctions.udf.CIQ(InputTicker, "IQ_TOTAL_EQUITY",Input!E$2,Date,,,Ccy,Conv)</f>
        <v>917.36099999999999</v>
      </c>
      <c r="D345" s="6">
        <f>_xll.ciqfunctions.udf.CIQ(InputTicker, "IQ_TOTAL_EQUITY",Input!F$2,Date,,,Ccy,Conv)</f>
        <v>844.49300000000005</v>
      </c>
      <c r="E345" s="6">
        <f>_xll.ciqfunctions.udf.CIQ(InputTicker, "IQ_TOTAL_EQUITY",Input!G$2,Date,,,Ccy,Conv)</f>
        <v>955.68200000000002</v>
      </c>
      <c r="F345" s="6">
        <f>_xll.ciqfunctions.udf.CIQ(InputTicker, "IQ_TOTAL_EQUITY",Input!H$2,Date,,,Ccy,Conv)</f>
        <v>989.80600000000004</v>
      </c>
      <c r="G345" s="6">
        <f>_xll.ciqfunctions.udf.CIQ(InputTicker, "IQ_TOTAL_EQUITY",Input!I$2,Date,,,Ccy,Conv)</f>
        <v>1009.675</v>
      </c>
      <c r="H345" s="6">
        <f>_xll.ciqfunctions.udf.CIQ(InputTicker, "IQ_TOTAL_EQUITY",Input!J$2,Date,,,Ccy,Conv)</f>
        <v>1012.7809999999999</v>
      </c>
      <c r="I345" s="6">
        <f>_xll.ciqfunctions.udf.CIQ(InputTicker, "IQ_TOTAL_EQUITY",Input!K$2,Date,,,Ccy,Conv)</f>
        <v>1104.345</v>
      </c>
      <c r="J345" s="6">
        <f>_xll.ciqfunctions.udf.CIQ(InputTicker, "IQ_TOTAL_EQUITY",Input!L$2,Date,,,Ccy,Conv)</f>
        <v>1609.5830000000001</v>
      </c>
      <c r="K345" s="6">
        <f>_xll.ciqfunctions.udf.CIQ(InputTicker, "IQ_TOTAL_EQUITY",Input!M$2,Date,,,Ccy,Conv)</f>
        <v>1797.0429999999999</v>
      </c>
      <c r="L345" s="6">
        <f>_xll.ciqfunctions.udf.CIQ(InputTicker, "IQ_TOTAL_EQUITY",Input!N$2,Date,,,Ccy,Conv)</f>
        <v>2566.0149999999999</v>
      </c>
      <c r="M345" s="6">
        <f>_xll.ciqfunctions.udf.CIQ(InputTicker, "IQ_TOTAL_EQUITY",Input!O$2,Date,,,Ccy,Conv)</f>
        <v>2697.7660000000001</v>
      </c>
      <c r="N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  <c r="BM345" s="42"/>
      <c r="BN345" s="42"/>
    </row>
    <row r="346" spans="1:66" ht="12.75" customHeight="1" thickBot="1" x14ac:dyDescent="0.25">
      <c r="A346" s="5" t="s">
        <v>100</v>
      </c>
      <c r="B346" s="9">
        <f>_xll.ciqfunctions.udf.CIQ(InputTicker, "IQ_TOTAL_LIAB_EQUITY",Input!D$2,Date,,,Ccy,Conv)</f>
        <v>928.65300000000002</v>
      </c>
      <c r="C346" s="9">
        <f>_xll.ciqfunctions.udf.CIQ(InputTicker, "IQ_TOTAL_LIAB_EQUITY",Input!E$2,Date,,,Ccy,Conv)</f>
        <v>1111.7650000000001</v>
      </c>
      <c r="D346" s="9">
        <f>_xll.ciqfunctions.udf.CIQ(InputTicker, "IQ_TOTAL_LIAB_EQUITY",Input!F$2,Date,,,Ccy,Conv)</f>
        <v>1033.0940000000001</v>
      </c>
      <c r="E346" s="9">
        <f>_xll.ciqfunctions.udf.CIQ(InputTicker, "IQ_TOTAL_LIAB_EQUITY",Input!G$2,Date,,,Ccy,Conv)</f>
        <v>1150.4469999999999</v>
      </c>
      <c r="F346" s="9">
        <f>_xll.ciqfunctions.udf.CIQ(InputTicker, "IQ_TOTAL_LIAB_EQUITY",Input!H$2,Date,,,Ccy,Conv)</f>
        <v>1156.278</v>
      </c>
      <c r="G346" s="9">
        <f>_xll.ciqfunctions.udf.CIQ(InputTicker, "IQ_TOTAL_LIAB_EQUITY",Input!I$2,Date,,,Ccy,Conv)</f>
        <v>1206.694</v>
      </c>
      <c r="H346" s="9">
        <f>_xll.ciqfunctions.udf.CIQ(InputTicker, "IQ_TOTAL_LIAB_EQUITY",Input!J$2,Date,,,Ccy,Conv)</f>
        <v>1229.174</v>
      </c>
      <c r="I346" s="9">
        <f>_xll.ciqfunctions.udf.CIQ(InputTicker, "IQ_TOTAL_LIAB_EQUITY",Input!K$2,Date,,,Ccy,Conv)</f>
        <v>1427.489</v>
      </c>
      <c r="J346" s="9">
        <f>_xll.ciqfunctions.udf.CIQ(InputTicker, "IQ_TOTAL_LIAB_EQUITY",Input!L$2,Date,,,Ccy,Conv)</f>
        <v>1954.5250000000001</v>
      </c>
      <c r="K346" s="9">
        <f>_xll.ciqfunctions.udf.CIQ(InputTicker, "IQ_TOTAL_LIAB_EQUITY",Input!M$2,Date,,,Ccy,Conv)</f>
        <v>2184.761</v>
      </c>
      <c r="L346" s="9">
        <f>_xll.ciqfunctions.udf.CIQ(InputTicker, "IQ_TOTAL_LIAB_EQUITY",Input!N$2,Date,,,Ccy,Conv)</f>
        <v>3084.6190000000001</v>
      </c>
      <c r="M346" s="9">
        <f>_xll.ciqfunctions.udf.CIQ(InputTicker, "IQ_TOTAL_LIAB_EQUITY",Input!O$2,Date,,,Ccy,Conv)</f>
        <v>3144.0639999999999</v>
      </c>
      <c r="N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  <c r="BM346" s="42"/>
      <c r="BN346" s="42"/>
    </row>
    <row r="347" spans="1:66" ht="12.75" customHeight="1" thickTop="1" x14ac:dyDescent="0.2">
      <c r="A347" s="1" t="s">
        <v>449</v>
      </c>
      <c r="B347" s="4">
        <f>_xll.ciqfunctions.udf.CIQ(InputTicker, "IQ_RUA_GROSS",Input!D$2,Date,,,Ccy,Conv)</f>
        <v>0</v>
      </c>
      <c r="C347" s="4">
        <f>_xll.ciqfunctions.udf.CIQ(InputTicker, "IQ_RUA_GROSS",Input!E$2,Date,,,Ccy,Conv)</f>
        <v>0</v>
      </c>
      <c r="D347" s="4">
        <f>_xll.ciqfunctions.udf.CIQ(InputTicker, "IQ_RUA_GROSS",Input!F$2,Date,,,Ccy,Conv)</f>
        <v>0</v>
      </c>
      <c r="E347" s="4">
        <f>_xll.ciqfunctions.udf.CIQ(InputTicker, "IQ_RUA_GROSS",Input!G$2,Date,,,Ccy,Conv)</f>
        <v>0</v>
      </c>
      <c r="F347" s="4">
        <f>_xll.ciqfunctions.udf.CIQ(InputTicker, "IQ_RUA_GROSS",Input!H$2,Date,,,Ccy,Conv)</f>
        <v>0</v>
      </c>
      <c r="G347" s="4">
        <f>_xll.ciqfunctions.udf.CIQ(InputTicker, "IQ_RUA_GROSS",Input!I$2,Date,,,Ccy,Conv)</f>
        <v>0</v>
      </c>
      <c r="H347" s="4">
        <f>_xll.ciqfunctions.udf.CIQ(InputTicker, "IQ_RUA_GROSS",Input!J$2,Date,,,Ccy,Conv)</f>
        <v>0</v>
      </c>
      <c r="I347" s="4">
        <f>_xll.ciqfunctions.udf.CIQ(InputTicker, "IQ_RUA_GROSS",Input!K$2,Date,,,Ccy,Conv)</f>
        <v>0</v>
      </c>
      <c r="J347" s="4">
        <f>_xll.ciqfunctions.udf.CIQ(InputTicker, "IQ_RUA_GROSS",Input!L$2,Date,,,Ccy,Conv)</f>
        <v>0</v>
      </c>
      <c r="K347" s="4">
        <f>_xll.ciqfunctions.udf.CIQ(InputTicker, "IQ_RUA_GROSS",Input!M$2,Date,,,Ccy,Conv)</f>
        <v>0</v>
      </c>
      <c r="L347" s="4">
        <f>_xll.ciqfunctions.udf.CIQ(InputTicker, "IQ_RUA_GROSS",Input!N$2,Date,,,Ccy,Conv)</f>
        <v>0</v>
      </c>
      <c r="M347" s="4">
        <f>_xll.ciqfunctions.udf.CIQ(InputTicker, "IQ_RUA_GROSS",Input!O$2,Date,,,Ccy,Conv)</f>
        <v>0</v>
      </c>
      <c r="N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  <c r="BM347" s="42"/>
      <c r="BN347" s="42"/>
    </row>
    <row r="348" spans="1:66" ht="12.75" customHeight="1" x14ac:dyDescent="0.2">
      <c r="A348" s="1" t="s">
        <v>450</v>
      </c>
      <c r="B348" s="4">
        <f>_xll.ciqfunctions.udf.CIQ(InputTicker, "IQ_RUA_ACCUM_DEP",Input!D$2,Date,,,Ccy,Conv)</f>
        <v>0</v>
      </c>
      <c r="C348" s="4">
        <f>_xll.ciqfunctions.udf.CIQ(InputTicker, "IQ_RUA_ACCUM_DEP",Input!E$2,Date,,,Ccy,Conv)</f>
        <v>0</v>
      </c>
      <c r="D348" s="4">
        <f>_xll.ciqfunctions.udf.CIQ(InputTicker, "IQ_RUA_ACCUM_DEP",Input!F$2,Date,,,Ccy,Conv)</f>
        <v>0</v>
      </c>
      <c r="E348" s="4">
        <f>_xll.ciqfunctions.udf.CIQ(InputTicker, "IQ_RUA_ACCUM_DEP",Input!G$2,Date,,,Ccy,Conv)</f>
        <v>0</v>
      </c>
      <c r="F348" s="4">
        <f>_xll.ciqfunctions.udf.CIQ(InputTicker, "IQ_RUA_ACCUM_DEP",Input!H$2,Date,,,Ccy,Conv)</f>
        <v>0</v>
      </c>
      <c r="G348" s="4">
        <f>_xll.ciqfunctions.udf.CIQ(InputTicker, "IQ_RUA_ACCUM_DEP",Input!I$2,Date,,,Ccy,Conv)</f>
        <v>0</v>
      </c>
      <c r="H348" s="4">
        <f>_xll.ciqfunctions.udf.CIQ(InputTicker, "IQ_RUA_ACCUM_DEP",Input!J$2,Date,,,Ccy,Conv)</f>
        <v>0</v>
      </c>
      <c r="I348" s="4">
        <f>_xll.ciqfunctions.udf.CIQ(InputTicker, "IQ_RUA_ACCUM_DEP",Input!K$2,Date,,,Ccy,Conv)</f>
        <v>0</v>
      </c>
      <c r="J348" s="4">
        <f>_xll.ciqfunctions.udf.CIQ(InputTicker, "IQ_RUA_ACCUM_DEP",Input!L$2,Date,,,Ccy,Conv)</f>
        <v>0</v>
      </c>
      <c r="K348" s="4">
        <f>_xll.ciqfunctions.udf.CIQ(InputTicker, "IQ_RUA_ACCUM_DEP",Input!M$2,Date,,,Ccy,Conv)</f>
        <v>0</v>
      </c>
      <c r="L348" s="4">
        <f>_xll.ciqfunctions.udf.CIQ(InputTicker, "IQ_RUA_ACCUM_DEP",Input!N$2,Date,,,Ccy,Conv)</f>
        <v>0</v>
      </c>
      <c r="M348" s="4">
        <f>_xll.ciqfunctions.udf.CIQ(InputTicker, "IQ_RUA_ACCUM_DEP",Input!O$2,Date,,,Ccy,Conv)</f>
        <v>0</v>
      </c>
      <c r="N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</row>
    <row r="349" spans="1:66" ht="12.75" customHeight="1" x14ac:dyDescent="0.2">
      <c r="A349" s="1" t="s">
        <v>451</v>
      </c>
      <c r="B349" s="4">
        <f>_xll.ciqfunctions.udf.CIQ(InputTicker, "IQ_RUA_NET",Input!D$2,Date,,,Ccy,Conv)</f>
        <v>0</v>
      </c>
      <c r="C349" s="4">
        <f>_xll.ciqfunctions.udf.CIQ(InputTicker, "IQ_RUA_NET",Input!E$2,Date,,,Ccy,Conv)</f>
        <v>0</v>
      </c>
      <c r="D349" s="4">
        <f>_xll.ciqfunctions.udf.CIQ(InputTicker, "IQ_RUA_NET",Input!F$2,Date,,,Ccy,Conv)</f>
        <v>0</v>
      </c>
      <c r="E349" s="4">
        <f>_xll.ciqfunctions.udf.CIQ(InputTicker, "IQ_RUA_NET",Input!G$2,Date,,,Ccy,Conv)</f>
        <v>0</v>
      </c>
      <c r="F349" s="4">
        <f>_xll.ciqfunctions.udf.CIQ(InputTicker, "IQ_RUA_NET",Input!H$2,Date,,,Ccy,Conv)</f>
        <v>0</v>
      </c>
      <c r="G349" s="4">
        <f>_xll.ciqfunctions.udf.CIQ(InputTicker, "IQ_RUA_NET",Input!I$2,Date,,,Ccy,Conv)</f>
        <v>0</v>
      </c>
      <c r="H349" s="4">
        <f>_xll.ciqfunctions.udf.CIQ(InputTicker, "IQ_RUA_NET",Input!J$2,Date,,,Ccy,Conv)</f>
        <v>0</v>
      </c>
      <c r="I349" s="4">
        <f>_xll.ciqfunctions.udf.CIQ(InputTicker, "IQ_RUA_NET",Input!K$2,Date,,,Ccy,Conv)</f>
        <v>0</v>
      </c>
      <c r="J349" s="4">
        <f>_xll.ciqfunctions.udf.CIQ(InputTicker, "IQ_RUA_NET",Input!L$2,Date,,,Ccy,Conv)</f>
        <v>0</v>
      </c>
      <c r="K349" s="4">
        <f>_xll.ciqfunctions.udf.CIQ(InputTicker, "IQ_RUA_NET",Input!M$2,Date,,,Ccy,Conv)</f>
        <v>0</v>
      </c>
      <c r="L349" s="4">
        <f>_xll.ciqfunctions.udf.CIQ(InputTicker, "IQ_RUA_NET",Input!N$2,Date,,,Ccy,Conv)</f>
        <v>0</v>
      </c>
      <c r="M349" s="4">
        <f>_xll.ciqfunctions.udf.CIQ(InputTicker, "IQ_RUA_NET",Input!O$2,Date,,,Ccy,Conv)</f>
        <v>0</v>
      </c>
      <c r="N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  <c r="BM349" s="42"/>
      <c r="BN349" s="42"/>
    </row>
    <row r="350" spans="1:66" ht="12.75" customHeight="1" x14ac:dyDescent="0.2">
      <c r="A350" s="1" t="s">
        <v>452</v>
      </c>
      <c r="B350" s="4">
        <f>_xll.ciqfunctions.udf.CIQ(InputTicker, "IQ_RUA_CAPITAL_LEASE_GROSS",Input!D$2,Date,,,Ccy,Conv)</f>
        <v>0</v>
      </c>
      <c r="C350" s="4">
        <f>_xll.ciqfunctions.udf.CIQ(InputTicker, "IQ_RUA_CAPITAL_LEASE_GROSS",Input!E$2,Date,,,Ccy,Conv)</f>
        <v>0</v>
      </c>
      <c r="D350" s="4">
        <f>_xll.ciqfunctions.udf.CIQ(InputTicker, "IQ_RUA_CAPITAL_LEASE_GROSS",Input!F$2,Date,,,Ccy,Conv)</f>
        <v>0</v>
      </c>
      <c r="E350" s="4">
        <f>_xll.ciqfunctions.udf.CIQ(InputTicker, "IQ_RUA_CAPITAL_LEASE_GROSS",Input!G$2,Date,,,Ccy,Conv)</f>
        <v>0</v>
      </c>
      <c r="F350" s="4">
        <f>_xll.ciqfunctions.udf.CIQ(InputTicker, "IQ_RUA_CAPITAL_LEASE_GROSS",Input!H$2,Date,,,Ccy,Conv)</f>
        <v>0.94699999999999995</v>
      </c>
      <c r="G350" s="4">
        <f>_xll.ciqfunctions.udf.CIQ(InputTicker, "IQ_RUA_CAPITAL_LEASE_GROSS",Input!I$2,Date,,,Ccy,Conv)</f>
        <v>0.67800000000000005</v>
      </c>
      <c r="H350" s="4">
        <f>_xll.ciqfunctions.udf.CIQ(InputTicker, "IQ_RUA_CAPITAL_LEASE_GROSS",Input!J$2,Date,,,Ccy,Conv)</f>
        <v>0.52500000000000002</v>
      </c>
      <c r="I350" s="4">
        <f>_xll.ciqfunctions.udf.CIQ(InputTicker, "IQ_RUA_CAPITAL_LEASE_GROSS",Input!K$2,Date,,,Ccy,Conv)</f>
        <v>0</v>
      </c>
      <c r="J350" s="4">
        <f>_xll.ciqfunctions.udf.CIQ(InputTicker, "IQ_RUA_CAPITAL_LEASE_GROSS",Input!L$2,Date,,,Ccy,Conv)</f>
        <v>0</v>
      </c>
      <c r="K350" s="4">
        <f>_xll.ciqfunctions.udf.CIQ(InputTicker, "IQ_RUA_CAPITAL_LEASE_GROSS",Input!M$2,Date,,,Ccy,Conv)</f>
        <v>0</v>
      </c>
      <c r="L350" s="4">
        <f>_xll.ciqfunctions.udf.CIQ(InputTicker, "IQ_RUA_CAPITAL_LEASE_GROSS",Input!N$2,Date,,,Ccy,Conv)</f>
        <v>0</v>
      </c>
      <c r="M350" s="4">
        <f>_xll.ciqfunctions.udf.CIQ(InputTicker, "IQ_RUA_CAPITAL_LEASE_GROSS",Input!O$2,Date,,,Ccy,Conv)</f>
        <v>0</v>
      </c>
      <c r="N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  <c r="BN350" s="42"/>
    </row>
    <row r="351" spans="1:66" ht="12.75" customHeight="1" x14ac:dyDescent="0.2">
      <c r="A351" s="1" t="s">
        <v>453</v>
      </c>
      <c r="B351" s="4">
        <f>_xll.ciqfunctions.udf.CIQ(InputTicker, "IQ_RUA_CAPITAL_LEASE_ACCUM_DEP",Input!D$2,Date,,,Ccy,Conv)</f>
        <v>0</v>
      </c>
      <c r="C351" s="4">
        <f>_xll.ciqfunctions.udf.CIQ(InputTicker, "IQ_RUA_CAPITAL_LEASE_ACCUM_DEP",Input!E$2,Date,,,Ccy,Conv)</f>
        <v>0</v>
      </c>
      <c r="D351" s="4">
        <f>_xll.ciqfunctions.udf.CIQ(InputTicker, "IQ_RUA_CAPITAL_LEASE_ACCUM_DEP",Input!F$2,Date,,,Ccy,Conv)</f>
        <v>0</v>
      </c>
      <c r="E351" s="4">
        <f>_xll.ciqfunctions.udf.CIQ(InputTicker, "IQ_RUA_CAPITAL_LEASE_ACCUM_DEP",Input!G$2,Date,,,Ccy,Conv)</f>
        <v>0</v>
      </c>
      <c r="F351" s="4">
        <f>_xll.ciqfunctions.udf.CIQ(InputTicker, "IQ_RUA_CAPITAL_LEASE_ACCUM_DEP",Input!H$2,Date,,,Ccy,Conv)</f>
        <v>0</v>
      </c>
      <c r="G351" s="4">
        <f>_xll.ciqfunctions.udf.CIQ(InputTicker, "IQ_RUA_CAPITAL_LEASE_ACCUM_DEP",Input!I$2,Date,,,Ccy,Conv)</f>
        <v>0</v>
      </c>
      <c r="H351" s="4">
        <f>_xll.ciqfunctions.udf.CIQ(InputTicker, "IQ_RUA_CAPITAL_LEASE_ACCUM_DEP",Input!J$2,Date,,,Ccy,Conv)</f>
        <v>0</v>
      </c>
      <c r="I351" s="4">
        <f>_xll.ciqfunctions.udf.CIQ(InputTicker, "IQ_RUA_CAPITAL_LEASE_ACCUM_DEP",Input!K$2,Date,,,Ccy,Conv)</f>
        <v>0</v>
      </c>
      <c r="J351" s="4">
        <f>_xll.ciqfunctions.udf.CIQ(InputTicker, "IQ_RUA_CAPITAL_LEASE_ACCUM_DEP",Input!L$2,Date,,,Ccy,Conv)</f>
        <v>0</v>
      </c>
      <c r="K351" s="4">
        <f>_xll.ciqfunctions.udf.CIQ(InputTicker, "IQ_RUA_CAPITAL_LEASE_ACCUM_DEP",Input!M$2,Date,,,Ccy,Conv)</f>
        <v>0</v>
      </c>
      <c r="L351" s="4">
        <f>_xll.ciqfunctions.udf.CIQ(InputTicker, "IQ_RUA_CAPITAL_LEASE_ACCUM_DEP",Input!N$2,Date,,,Ccy,Conv)</f>
        <v>0</v>
      </c>
      <c r="M351" s="4">
        <f>_xll.ciqfunctions.udf.CIQ(InputTicker, "IQ_RUA_CAPITAL_LEASE_ACCUM_DEP",Input!O$2,Date,,,Ccy,Conv)</f>
        <v>0</v>
      </c>
      <c r="N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  <c r="BN351" s="42"/>
    </row>
    <row r="352" spans="1:66" ht="12.75" customHeight="1" x14ac:dyDescent="0.2">
      <c r="A352" s="1" t="s">
        <v>454</v>
      </c>
      <c r="B352" s="4">
        <f>_xll.ciqfunctions.udf.CIQ(InputTicker, "IQ_RUA_CAPITAL_LEASE_NET",Input!D$2,Date,,,Ccy,Conv)</f>
        <v>0</v>
      </c>
      <c r="C352" s="4">
        <f>_xll.ciqfunctions.udf.CIQ(InputTicker, "IQ_RUA_CAPITAL_LEASE_NET",Input!E$2,Date,,,Ccy,Conv)</f>
        <v>0</v>
      </c>
      <c r="D352" s="4">
        <f>_xll.ciqfunctions.udf.CIQ(InputTicker, "IQ_RUA_CAPITAL_LEASE_NET",Input!F$2,Date,,,Ccy,Conv)</f>
        <v>0</v>
      </c>
      <c r="E352" s="4">
        <f>_xll.ciqfunctions.udf.CIQ(InputTicker, "IQ_RUA_CAPITAL_LEASE_NET",Input!G$2,Date,,,Ccy,Conv)</f>
        <v>0</v>
      </c>
      <c r="F352" s="4">
        <f>_xll.ciqfunctions.udf.CIQ(InputTicker, "IQ_RUA_CAPITAL_LEASE_NET",Input!H$2,Date,,,Ccy,Conv)</f>
        <v>0</v>
      </c>
      <c r="G352" s="4">
        <f>_xll.ciqfunctions.udf.CIQ(InputTicker, "IQ_RUA_CAPITAL_LEASE_NET",Input!I$2,Date,,,Ccy,Conv)</f>
        <v>0</v>
      </c>
      <c r="H352" s="4">
        <f>_xll.ciqfunctions.udf.CIQ(InputTicker, "IQ_RUA_CAPITAL_LEASE_NET",Input!J$2,Date,,,Ccy,Conv)</f>
        <v>0</v>
      </c>
      <c r="I352" s="4">
        <f>_xll.ciqfunctions.udf.CIQ(InputTicker, "IQ_RUA_CAPITAL_LEASE_NET",Input!K$2,Date,,,Ccy,Conv)</f>
        <v>0</v>
      </c>
      <c r="J352" s="4">
        <f>_xll.ciqfunctions.udf.CIQ(InputTicker, "IQ_RUA_CAPITAL_LEASE_NET",Input!L$2,Date,,,Ccy,Conv)</f>
        <v>0</v>
      </c>
      <c r="K352" s="4">
        <f>_xll.ciqfunctions.udf.CIQ(InputTicker, "IQ_RUA_CAPITAL_LEASE_NET",Input!M$2,Date,,,Ccy,Conv)</f>
        <v>0</v>
      </c>
      <c r="L352" s="4">
        <f>_xll.ciqfunctions.udf.CIQ(InputTicker, "IQ_RUA_CAPITAL_LEASE_NET",Input!N$2,Date,,,Ccy,Conv)</f>
        <v>0</v>
      </c>
      <c r="M352" s="4">
        <f>_xll.ciqfunctions.udf.CIQ(InputTicker, "IQ_RUA_CAPITAL_LEASE_NET",Input!O$2,Date,,,Ccy,Conv)</f>
        <v>0</v>
      </c>
      <c r="N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  <c r="BM352" s="42"/>
      <c r="BN352" s="42"/>
    </row>
    <row r="353" spans="1:66" ht="12.75" customHeight="1" x14ac:dyDescent="0.2">
      <c r="A353" s="1" t="s">
        <v>455</v>
      </c>
      <c r="B353" s="4">
        <f>_xll.ciqfunctions.udf.CIQ(InputTicker, "IQ_RUA_OPERATING_LEASE_GROSS",Input!D$2,Date,,,Ccy,Conv)</f>
        <v>0</v>
      </c>
      <c r="C353" s="4">
        <f>_xll.ciqfunctions.udf.CIQ(InputTicker, "IQ_RUA_OPERATING_LEASE_GROSS",Input!E$2,Date,,,Ccy,Conv)</f>
        <v>0</v>
      </c>
      <c r="D353" s="4">
        <f>_xll.ciqfunctions.udf.CIQ(InputTicker, "IQ_RUA_OPERATING_LEASE_GROSS",Input!F$2,Date,,,Ccy,Conv)</f>
        <v>0</v>
      </c>
      <c r="E353" s="4">
        <f>_xll.ciqfunctions.udf.CIQ(InputTicker, "IQ_RUA_OPERATING_LEASE_GROSS",Input!G$2,Date,,,Ccy,Conv)</f>
        <v>0</v>
      </c>
      <c r="F353" s="4">
        <f>_xll.ciqfunctions.udf.CIQ(InputTicker, "IQ_RUA_OPERATING_LEASE_GROSS",Input!H$2,Date,,,Ccy,Conv)</f>
        <v>0</v>
      </c>
      <c r="G353" s="4">
        <f>_xll.ciqfunctions.udf.CIQ(InputTicker, "IQ_RUA_OPERATING_LEASE_GROSS",Input!I$2,Date,,,Ccy,Conv)</f>
        <v>2.5310000000000001</v>
      </c>
      <c r="H353" s="4">
        <f>_xll.ciqfunctions.udf.CIQ(InputTicker, "IQ_RUA_OPERATING_LEASE_GROSS",Input!J$2,Date,,,Ccy,Conv)</f>
        <v>1.724</v>
      </c>
      <c r="I353" s="4">
        <f>_xll.ciqfunctions.udf.CIQ(InputTicker, "IQ_RUA_OPERATING_LEASE_GROSS",Input!K$2,Date,,,Ccy,Conv)</f>
        <v>0</v>
      </c>
      <c r="J353" s="4">
        <f>_xll.ciqfunctions.udf.CIQ(InputTicker, "IQ_RUA_OPERATING_LEASE_GROSS",Input!L$2,Date,,,Ccy,Conv)</f>
        <v>0</v>
      </c>
      <c r="K353" s="4">
        <f>_xll.ciqfunctions.udf.CIQ(InputTicker, "IQ_RUA_OPERATING_LEASE_GROSS",Input!M$2,Date,,,Ccy,Conv)</f>
        <v>0</v>
      </c>
      <c r="L353" s="4">
        <f>_xll.ciqfunctions.udf.CIQ(InputTicker, "IQ_RUA_OPERATING_LEASE_GROSS",Input!N$2,Date,,,Ccy,Conv)</f>
        <v>0</v>
      </c>
      <c r="M353" s="4">
        <f>_xll.ciqfunctions.udf.CIQ(InputTicker, "IQ_RUA_OPERATING_LEASE_GROSS",Input!O$2,Date,,,Ccy,Conv)</f>
        <v>0</v>
      </c>
      <c r="N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</row>
    <row r="354" spans="1:66" ht="12.75" customHeight="1" x14ac:dyDescent="0.2">
      <c r="A354" s="1" t="s">
        <v>456</v>
      </c>
      <c r="B354" s="4">
        <f>_xll.ciqfunctions.udf.CIQ(InputTicker, "IQ_RUA_OPERATING_LEASE_ACCUM_DEP",Input!D$2,Date,,,Ccy,Conv)</f>
        <v>0</v>
      </c>
      <c r="C354" s="4">
        <f>_xll.ciqfunctions.udf.CIQ(InputTicker, "IQ_RUA_OPERATING_LEASE_ACCUM_DEP",Input!E$2,Date,,,Ccy,Conv)</f>
        <v>0</v>
      </c>
      <c r="D354" s="4">
        <f>_xll.ciqfunctions.udf.CIQ(InputTicker, "IQ_RUA_OPERATING_LEASE_ACCUM_DEP",Input!F$2,Date,,,Ccy,Conv)</f>
        <v>0</v>
      </c>
      <c r="E354" s="4">
        <f>_xll.ciqfunctions.udf.CIQ(InputTicker, "IQ_RUA_OPERATING_LEASE_ACCUM_DEP",Input!G$2,Date,,,Ccy,Conv)</f>
        <v>0</v>
      </c>
      <c r="F354" s="4">
        <f>_xll.ciqfunctions.udf.CIQ(InputTicker, "IQ_RUA_OPERATING_LEASE_ACCUM_DEP",Input!H$2,Date,,,Ccy,Conv)</f>
        <v>0</v>
      </c>
      <c r="G354" s="4">
        <f>_xll.ciqfunctions.udf.CIQ(InputTicker, "IQ_RUA_OPERATING_LEASE_ACCUM_DEP",Input!I$2,Date,,,Ccy,Conv)</f>
        <v>0</v>
      </c>
      <c r="H354" s="4">
        <f>_xll.ciqfunctions.udf.CIQ(InputTicker, "IQ_RUA_OPERATING_LEASE_ACCUM_DEP",Input!J$2,Date,,,Ccy,Conv)</f>
        <v>0</v>
      </c>
      <c r="I354" s="4">
        <f>_xll.ciqfunctions.udf.CIQ(InputTicker, "IQ_RUA_OPERATING_LEASE_ACCUM_DEP",Input!K$2,Date,,,Ccy,Conv)</f>
        <v>0</v>
      </c>
      <c r="J354" s="4">
        <f>_xll.ciqfunctions.udf.CIQ(InputTicker, "IQ_RUA_OPERATING_LEASE_ACCUM_DEP",Input!L$2,Date,,,Ccy,Conv)</f>
        <v>0</v>
      </c>
      <c r="K354" s="4">
        <f>_xll.ciqfunctions.udf.CIQ(InputTicker, "IQ_RUA_OPERATING_LEASE_ACCUM_DEP",Input!M$2,Date,,,Ccy,Conv)</f>
        <v>0</v>
      </c>
      <c r="L354" s="4">
        <f>_xll.ciqfunctions.udf.CIQ(InputTicker, "IQ_RUA_OPERATING_LEASE_ACCUM_DEP",Input!N$2,Date,,,Ccy,Conv)</f>
        <v>0</v>
      </c>
      <c r="M354" s="4">
        <f>_xll.ciqfunctions.udf.CIQ(InputTicker, "IQ_RUA_OPERATING_LEASE_ACCUM_DEP",Input!O$2,Date,,,Ccy,Conv)</f>
        <v>0</v>
      </c>
      <c r="N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  <c r="BM354" s="42"/>
      <c r="BN354" s="42"/>
    </row>
    <row r="355" spans="1:66" ht="12.75" customHeight="1" x14ac:dyDescent="0.2">
      <c r="A355" s="1" t="s">
        <v>457</v>
      </c>
      <c r="B355" s="4">
        <f>_xll.ciqfunctions.udf.CIQ(InputTicker, "IQ_RUA_OPERATING_LEASE_NET",Input!D$2,Date,,,Ccy,Conv)</f>
        <v>0</v>
      </c>
      <c r="C355" s="4">
        <f>_xll.ciqfunctions.udf.CIQ(InputTicker, "IQ_RUA_OPERATING_LEASE_NET",Input!E$2,Date,,,Ccy,Conv)</f>
        <v>0</v>
      </c>
      <c r="D355" s="4">
        <f>_xll.ciqfunctions.udf.CIQ(InputTicker, "IQ_RUA_OPERATING_LEASE_NET",Input!F$2,Date,,,Ccy,Conv)</f>
        <v>0</v>
      </c>
      <c r="E355" s="4">
        <f>_xll.ciqfunctions.udf.CIQ(InputTicker, "IQ_RUA_OPERATING_LEASE_NET",Input!G$2,Date,,,Ccy,Conv)</f>
        <v>0</v>
      </c>
      <c r="F355" s="4">
        <f>_xll.ciqfunctions.udf.CIQ(InputTicker, "IQ_RUA_OPERATING_LEASE_NET",Input!H$2,Date,,,Ccy,Conv)</f>
        <v>0</v>
      </c>
      <c r="G355" s="4">
        <f>_xll.ciqfunctions.udf.CIQ(InputTicker, "IQ_RUA_OPERATING_LEASE_NET",Input!I$2,Date,,,Ccy,Conv)</f>
        <v>0</v>
      </c>
      <c r="H355" s="4">
        <f>_xll.ciqfunctions.udf.CIQ(InputTicker, "IQ_RUA_OPERATING_LEASE_NET",Input!J$2,Date,,,Ccy,Conv)</f>
        <v>0</v>
      </c>
      <c r="I355" s="4">
        <f>_xll.ciqfunctions.udf.CIQ(InputTicker, "IQ_RUA_OPERATING_LEASE_NET",Input!K$2,Date,,,Ccy,Conv)</f>
        <v>0</v>
      </c>
      <c r="J355" s="4">
        <f>_xll.ciqfunctions.udf.CIQ(InputTicker, "IQ_RUA_OPERATING_LEASE_NET",Input!L$2,Date,,,Ccy,Conv)</f>
        <v>0</v>
      </c>
      <c r="K355" s="4">
        <f>_xll.ciqfunctions.udf.CIQ(InputTicker, "IQ_RUA_OPERATING_LEASE_NET",Input!M$2,Date,,,Ccy,Conv)</f>
        <v>0</v>
      </c>
      <c r="L355" s="4">
        <f>_xll.ciqfunctions.udf.CIQ(InputTicker, "IQ_RUA_OPERATING_LEASE_NET",Input!N$2,Date,,,Ccy,Conv)</f>
        <v>0</v>
      </c>
      <c r="M355" s="4">
        <f>_xll.ciqfunctions.udf.CIQ(InputTicker, "IQ_RUA_OPERATING_LEASE_NET",Input!O$2,Date,,,Ccy,Conv)</f>
        <v>0</v>
      </c>
      <c r="N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  <c r="BM355" s="42"/>
      <c r="BN355" s="42"/>
    </row>
    <row r="356" spans="1:66" ht="12.75" customHeight="1" x14ac:dyDescent="0.2">
      <c r="A356" s="1" t="s">
        <v>473</v>
      </c>
      <c r="B356" s="4">
        <f>_xll.ciqfunctions.udf.CIQ(InputTicker, "IQ_GPPE_EXCL_OPER_LEASES",Input!D$2,Date,,,Ccy,Conv)</f>
        <v>754.24199999999996</v>
      </c>
      <c r="C356" s="4">
        <f>_xll.ciqfunctions.udf.CIQ(InputTicker, "IQ_GPPE_EXCL_OPER_LEASES",Input!E$2,Date,,,Ccy,Conv)</f>
        <v>822.64499999999998</v>
      </c>
      <c r="D356" s="4">
        <f>_xll.ciqfunctions.udf.CIQ(InputTicker, "IQ_GPPE_EXCL_OPER_LEASES",Input!F$2,Date,,,Ccy,Conv)</f>
        <v>927.17899999999997</v>
      </c>
      <c r="E356" s="4">
        <f>_xll.ciqfunctions.udf.CIQ(InputTicker, "IQ_GPPE_EXCL_OPER_LEASES",Input!G$2,Date,,,Ccy,Conv)</f>
        <v>939.09100000000001</v>
      </c>
      <c r="F356" s="4">
        <f>_xll.ciqfunctions.udf.CIQ(InputTicker, "IQ_GPPE_EXCL_OPER_LEASES",Input!H$2,Date,,,Ccy,Conv)</f>
        <v>1011.932</v>
      </c>
      <c r="G356" s="4">
        <f>_xll.ciqfunctions.udf.CIQ(InputTicker, "IQ_GPPE_EXCL_OPER_LEASES",Input!I$2,Date,,,Ccy,Conv)</f>
        <v>1143.3440000000001</v>
      </c>
      <c r="H356" s="4">
        <f>_xll.ciqfunctions.udf.CIQ(InputTicker, "IQ_GPPE_EXCL_OPER_LEASES",Input!J$2,Date,,,Ccy,Conv)</f>
        <v>1213.6880000000001</v>
      </c>
      <c r="I356" s="4">
        <f>_xll.ciqfunctions.udf.CIQ(InputTicker, "IQ_GPPE_EXCL_OPER_LEASES",Input!K$2,Date,,,Ccy,Conv)</f>
        <v>1355.5840000000001</v>
      </c>
      <c r="J356" s="4">
        <f>_xll.ciqfunctions.udf.CIQ(InputTicker, "IQ_GPPE_EXCL_OPER_LEASES",Input!L$2,Date,,,Ccy,Conv)</f>
        <v>1483.758</v>
      </c>
      <c r="K356" s="4">
        <f>_xll.ciqfunctions.udf.CIQ(InputTicker, "IQ_GPPE_EXCL_OPER_LEASES",Input!M$2,Date,,,Ccy,Conv)</f>
        <v>1662.174</v>
      </c>
      <c r="L356" s="4">
        <f>_xll.ciqfunctions.udf.CIQ(InputTicker, "IQ_GPPE_EXCL_OPER_LEASES",Input!N$2,Date,,,Ccy,Conv)</f>
        <v>1905.8240000000001</v>
      </c>
      <c r="M356" s="4">
        <f>_xll.ciqfunctions.udf.CIQ(InputTicker, "IQ_GPPE_EXCL_OPER_LEASES",Input!O$2,Date,,,Ccy,Conv)</f>
        <v>0</v>
      </c>
      <c r="N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  <c r="BN356" s="42"/>
    </row>
    <row r="357" spans="1:66" ht="12.75" customHeight="1" x14ac:dyDescent="0.2">
      <c r="A357" s="1" t="s">
        <v>474</v>
      </c>
      <c r="B357" s="4">
        <f>_xll.ciqfunctions.udf.CIQ(InputTicker, "IQ_AD_EXCL_OPER_LEASES",Input!D$2,Date,,,Ccy,Conv)</f>
        <v>-395.452</v>
      </c>
      <c r="C357" s="4">
        <f>_xll.ciqfunctions.udf.CIQ(InputTicker, "IQ_AD_EXCL_OPER_LEASES",Input!E$2,Date,,,Ccy,Conv)</f>
        <v>-430.37099999999998</v>
      </c>
      <c r="D357" s="4">
        <f>_xll.ciqfunctions.udf.CIQ(InputTicker, "IQ_AD_EXCL_OPER_LEASES",Input!F$2,Date,,,Ccy,Conv)</f>
        <v>-468.995</v>
      </c>
      <c r="E357" s="4">
        <f>_xll.ciqfunctions.udf.CIQ(InputTicker, "IQ_AD_EXCL_OPER_LEASES",Input!G$2,Date,,,Ccy,Conv)</f>
        <v>-513.70699999999999</v>
      </c>
      <c r="F357" s="4">
        <f>_xll.ciqfunctions.udf.CIQ(InputTicker, "IQ_AD_EXCL_OPER_LEASES",Input!H$2,Date,,,Ccy,Conv)</f>
        <v>-555.63800000000003</v>
      </c>
      <c r="G357" s="4">
        <f>_xll.ciqfunctions.udf.CIQ(InputTicker, "IQ_AD_EXCL_OPER_LEASES",Input!I$2,Date,,,Ccy,Conv)</f>
        <v>-585.29100000000005</v>
      </c>
      <c r="H357" s="4">
        <f>_xll.ciqfunctions.udf.CIQ(InputTicker, "IQ_AD_EXCL_OPER_LEASES",Input!J$2,Date,,,Ccy,Conv)</f>
        <v>-623.74599999999998</v>
      </c>
      <c r="I357" s="4">
        <f>_xll.ciqfunctions.udf.CIQ(InputTicker, "IQ_AD_EXCL_OPER_LEASES",Input!K$2,Date,,,Ccy,Conv)</f>
        <v>-677.78800000000001</v>
      </c>
      <c r="J357" s="4">
        <f>_xll.ciqfunctions.udf.CIQ(InputTicker, "IQ_AD_EXCL_OPER_LEASES",Input!L$2,Date,,,Ccy,Conv)</f>
        <v>-739.21799999999996</v>
      </c>
      <c r="K357" s="4">
        <f>_xll.ciqfunctions.udf.CIQ(InputTicker, "IQ_AD_EXCL_OPER_LEASES",Input!M$2,Date,,,Ccy,Conv)</f>
        <v>-804.94</v>
      </c>
      <c r="L357" s="4">
        <f>_xll.ciqfunctions.udf.CIQ(InputTicker, "IQ_AD_EXCL_OPER_LEASES",Input!N$2,Date,,,Ccy,Conv)</f>
        <v>-879.14</v>
      </c>
      <c r="M357" s="4">
        <f>_xll.ciqfunctions.udf.CIQ(InputTicker, "IQ_AD_EXCL_OPER_LEASES",Input!O$2,Date,,,Ccy,Conv)</f>
        <v>0</v>
      </c>
      <c r="N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  <c r="BM357" s="42"/>
      <c r="BN357" s="42"/>
    </row>
    <row r="358" spans="1:66" ht="12.75" customHeight="1" x14ac:dyDescent="0.2">
      <c r="A358" s="1" t="s">
        <v>475</v>
      </c>
      <c r="B358" s="4">
        <f>_xll.ciqfunctions.udf.CIQ(InputTicker, "IQ_NPPE_EXCL_OPER_LEASES",Input!D$2,Date,,,Ccy,Conv)</f>
        <v>358.79</v>
      </c>
      <c r="C358" s="4">
        <f>_xll.ciqfunctions.udf.CIQ(InputTicker, "IQ_NPPE_EXCL_OPER_LEASES",Input!E$2,Date,,,Ccy,Conv)</f>
        <v>392.274</v>
      </c>
      <c r="D358" s="4">
        <f>_xll.ciqfunctions.udf.CIQ(InputTicker, "IQ_NPPE_EXCL_OPER_LEASES",Input!F$2,Date,,,Ccy,Conv)</f>
        <v>458.18400000000003</v>
      </c>
      <c r="E358" s="4">
        <f>_xll.ciqfunctions.udf.CIQ(InputTicker, "IQ_NPPE_EXCL_OPER_LEASES",Input!G$2,Date,,,Ccy,Conv)</f>
        <v>425.38400000000001</v>
      </c>
      <c r="F358" s="4">
        <f>_xll.ciqfunctions.udf.CIQ(InputTicker, "IQ_NPPE_EXCL_OPER_LEASES",Input!H$2,Date,,,Ccy,Conv)</f>
        <v>456.29399999999998</v>
      </c>
      <c r="G358" s="4">
        <f>_xll.ciqfunctions.udf.CIQ(InputTicker, "IQ_NPPE_EXCL_OPER_LEASES",Input!I$2,Date,,,Ccy,Conv)</f>
        <v>558.053</v>
      </c>
      <c r="H358" s="4">
        <f>_xll.ciqfunctions.udf.CIQ(InputTicker, "IQ_NPPE_EXCL_OPER_LEASES",Input!J$2,Date,,,Ccy,Conv)</f>
        <v>589.94200000000001</v>
      </c>
      <c r="I358" s="4">
        <f>_xll.ciqfunctions.udf.CIQ(InputTicker, "IQ_NPPE_EXCL_OPER_LEASES",Input!K$2,Date,,,Ccy,Conv)</f>
        <v>677.79600000000005</v>
      </c>
      <c r="J358" s="4">
        <f>_xll.ciqfunctions.udf.CIQ(InputTicker, "IQ_NPPE_EXCL_OPER_LEASES",Input!L$2,Date,,,Ccy,Conv)</f>
        <v>744.54</v>
      </c>
      <c r="K358" s="4">
        <f>_xll.ciqfunctions.udf.CIQ(InputTicker, "IQ_NPPE_EXCL_OPER_LEASES",Input!M$2,Date,,,Ccy,Conv)</f>
        <v>857.23400000000004</v>
      </c>
      <c r="L358" s="4">
        <f>_xll.ciqfunctions.udf.CIQ(InputTicker, "IQ_NPPE_EXCL_OPER_LEASES",Input!N$2,Date,,,Ccy,Conv)</f>
        <v>1026.684</v>
      </c>
      <c r="M358" s="4">
        <f>_xll.ciqfunctions.udf.CIQ(InputTicker, "IQ_NPPE_EXCL_OPER_LEASES",Input!O$2,Date,,,Ccy,Conv)</f>
        <v>1218.654</v>
      </c>
      <c r="N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  <c r="BN358" s="42"/>
    </row>
    <row r="359" spans="1:66" ht="12.75" customHeight="1" x14ac:dyDescent="0.2">
      <c r="A359" s="1" t="s">
        <v>476</v>
      </c>
      <c r="B359" s="4">
        <f>_xll.ciqfunctions.udf.CIQ(InputTicker, "IQ_FINANCE_LEASES_CURRENT",Input!D$2,Date,,,Ccy,Conv)</f>
        <v>0</v>
      </c>
      <c r="C359" s="4">
        <f>_xll.ciqfunctions.udf.CIQ(InputTicker, "IQ_FINANCE_LEASES_CURRENT",Input!E$2,Date,,,Ccy,Conv)</f>
        <v>0</v>
      </c>
      <c r="D359" s="4">
        <f>_xll.ciqfunctions.udf.CIQ(InputTicker, "IQ_FINANCE_LEASES_CURRENT",Input!F$2,Date,,,Ccy,Conv)</f>
        <v>0</v>
      </c>
      <c r="E359" s="4">
        <f>_xll.ciqfunctions.udf.CIQ(InputTicker, "IQ_FINANCE_LEASES_CURRENT",Input!G$2,Date,,,Ccy,Conv)</f>
        <v>0</v>
      </c>
      <c r="F359" s="4">
        <f>_xll.ciqfunctions.udf.CIQ(InputTicker, "IQ_FINANCE_LEASES_CURRENT",Input!H$2,Date,,,Ccy,Conv)</f>
        <v>0.19600000000000001</v>
      </c>
      <c r="G359" s="4">
        <f>_xll.ciqfunctions.udf.CIQ(InputTicker, "IQ_FINANCE_LEASES_CURRENT",Input!I$2,Date,,,Ccy,Conv)</f>
        <v>0.20499999999999999</v>
      </c>
      <c r="H359" s="4">
        <f>_xll.ciqfunctions.udf.CIQ(InputTicker, "IQ_FINANCE_LEASES_CURRENT",Input!J$2,Date,,,Ccy,Conv)</f>
        <v>0.215</v>
      </c>
      <c r="I359" s="4">
        <f>_xll.ciqfunctions.udf.CIQ(InputTicker, "IQ_FINANCE_LEASES_CURRENT",Input!K$2,Date,,,Ccy,Conv)</f>
        <v>0</v>
      </c>
      <c r="J359" s="4">
        <f>_xll.ciqfunctions.udf.CIQ(InputTicker, "IQ_FINANCE_LEASES_CURRENT",Input!L$2,Date,,,Ccy,Conv)</f>
        <v>0</v>
      </c>
      <c r="K359" s="4">
        <f>_xll.ciqfunctions.udf.CIQ(InputTicker, "IQ_FINANCE_LEASES_CURRENT",Input!M$2,Date,,,Ccy,Conv)</f>
        <v>0</v>
      </c>
      <c r="L359" s="4">
        <f>_xll.ciqfunctions.udf.CIQ(InputTicker, "IQ_FINANCE_LEASES_CURRENT",Input!N$2,Date,,,Ccy,Conv)</f>
        <v>0</v>
      </c>
      <c r="M359" s="4">
        <f>_xll.ciqfunctions.udf.CIQ(InputTicker, "IQ_FINANCE_LEASES_CURRENT",Input!O$2,Date,,,Ccy,Conv)</f>
        <v>0</v>
      </c>
      <c r="N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  <c r="BN359" s="42"/>
    </row>
    <row r="360" spans="1:66" ht="12.75" customHeight="1" x14ac:dyDescent="0.2">
      <c r="A360" s="1" t="s">
        <v>477</v>
      </c>
      <c r="B360" s="4">
        <f>_xll.ciqfunctions.udf.CIQ(InputTicker, "IQ_FINANCE_LEASES_LONG_TERM",Input!D$2,Date,,,Ccy,Conv)</f>
        <v>0</v>
      </c>
      <c r="C360" s="4">
        <f>_xll.ciqfunctions.udf.CIQ(InputTicker, "IQ_FINANCE_LEASES_LONG_TERM",Input!E$2,Date,,,Ccy,Conv)</f>
        <v>0</v>
      </c>
      <c r="D360" s="4">
        <f>_xll.ciqfunctions.udf.CIQ(InputTicker, "IQ_FINANCE_LEASES_LONG_TERM",Input!F$2,Date,,,Ccy,Conv)</f>
        <v>0</v>
      </c>
      <c r="E360" s="4">
        <f>_xll.ciqfunctions.udf.CIQ(InputTicker, "IQ_FINANCE_LEASES_LONG_TERM",Input!G$2,Date,,,Ccy,Conv)</f>
        <v>1.34</v>
      </c>
      <c r="F360" s="4">
        <f>_xll.ciqfunctions.udf.CIQ(InputTicker, "IQ_FINANCE_LEASES_LONG_TERM",Input!H$2,Date,,,Ccy,Conv)</f>
        <v>0.85799999999999998</v>
      </c>
      <c r="G360" s="4">
        <f>_xll.ciqfunctions.udf.CIQ(InputTicker, "IQ_FINANCE_LEASES_LONG_TERM",Input!I$2,Date,,,Ccy,Conv)</f>
        <v>0.65200000000000002</v>
      </c>
      <c r="H360" s="4">
        <f>_xll.ciqfunctions.udf.CIQ(InputTicker, "IQ_FINANCE_LEASES_LONG_TERM",Input!J$2,Date,,,Ccy,Conv)</f>
        <v>0.438</v>
      </c>
      <c r="I360" s="4">
        <f>_xll.ciqfunctions.udf.CIQ(InputTicker, "IQ_FINANCE_LEASES_LONG_TERM",Input!K$2,Date,,,Ccy,Conv)</f>
        <v>0</v>
      </c>
      <c r="J360" s="4">
        <f>_xll.ciqfunctions.udf.CIQ(InputTicker, "IQ_FINANCE_LEASES_LONG_TERM",Input!L$2,Date,,,Ccy,Conv)</f>
        <v>0</v>
      </c>
      <c r="K360" s="4">
        <f>_xll.ciqfunctions.udf.CIQ(InputTicker, "IQ_FINANCE_LEASES_LONG_TERM",Input!M$2,Date,,,Ccy,Conv)</f>
        <v>0</v>
      </c>
      <c r="L360" s="4">
        <f>_xll.ciqfunctions.udf.CIQ(InputTicker, "IQ_FINANCE_LEASES_LONG_TERM",Input!N$2,Date,,,Ccy,Conv)</f>
        <v>0</v>
      </c>
      <c r="M360" s="4">
        <f>_xll.ciqfunctions.udf.CIQ(InputTicker, "IQ_FINANCE_LEASES_LONG_TERM",Input!O$2,Date,,,Ccy,Conv)</f>
        <v>0</v>
      </c>
      <c r="N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42"/>
      <c r="BH360" s="42"/>
      <c r="BI360" s="42"/>
      <c r="BJ360" s="42"/>
      <c r="BK360" s="42"/>
      <c r="BL360" s="42"/>
      <c r="BM360" s="42"/>
      <c r="BN360" s="42"/>
    </row>
    <row r="361" spans="1:66" ht="12.75" customHeight="1" x14ac:dyDescent="0.2">
      <c r="A361" s="1" t="s">
        <v>478</v>
      </c>
      <c r="B361" s="4">
        <f>_xll.ciqfunctions.udf.CIQ(InputTicker, "IQ_TOTAL_FINANCE_LEASES",Input!D$2,Date,,,Ccy,Conv)</f>
        <v>0</v>
      </c>
      <c r="C361" s="4">
        <f>_xll.ciqfunctions.udf.CIQ(InputTicker, "IQ_TOTAL_FINANCE_LEASES",Input!E$2,Date,,,Ccy,Conv)</f>
        <v>0</v>
      </c>
      <c r="D361" s="4">
        <f>_xll.ciqfunctions.udf.CIQ(InputTicker, "IQ_TOTAL_FINANCE_LEASES",Input!F$2,Date,,,Ccy,Conv)</f>
        <v>0</v>
      </c>
      <c r="E361" s="4">
        <f>_xll.ciqfunctions.udf.CIQ(InputTicker, "IQ_TOTAL_FINANCE_LEASES",Input!G$2,Date,,,Ccy,Conv)</f>
        <v>1.34</v>
      </c>
      <c r="F361" s="4">
        <f>_xll.ciqfunctions.udf.CIQ(InputTicker, "IQ_TOTAL_FINANCE_LEASES",Input!H$2,Date,,,Ccy,Conv)</f>
        <v>1.054</v>
      </c>
      <c r="G361" s="4">
        <f>_xll.ciqfunctions.udf.CIQ(InputTicker, "IQ_TOTAL_FINANCE_LEASES",Input!I$2,Date,,,Ccy,Conv)</f>
        <v>0.85699999999999998</v>
      </c>
      <c r="H361" s="4">
        <f>_xll.ciqfunctions.udf.CIQ(InputTicker, "IQ_TOTAL_FINANCE_LEASES",Input!J$2,Date,,,Ccy,Conv)</f>
        <v>0.65300000000000002</v>
      </c>
      <c r="I361" s="4">
        <f>_xll.ciqfunctions.udf.CIQ(InputTicker, "IQ_TOTAL_FINANCE_LEASES",Input!K$2,Date,,,Ccy,Conv)</f>
        <v>0</v>
      </c>
      <c r="J361" s="4">
        <f>_xll.ciqfunctions.udf.CIQ(InputTicker, "IQ_TOTAL_FINANCE_LEASES",Input!L$2,Date,,,Ccy,Conv)</f>
        <v>0</v>
      </c>
      <c r="K361" s="4">
        <f>_xll.ciqfunctions.udf.CIQ(InputTicker, "IQ_TOTAL_FINANCE_LEASES",Input!M$2,Date,,,Ccy,Conv)</f>
        <v>0</v>
      </c>
      <c r="L361" s="4">
        <f>_xll.ciqfunctions.udf.CIQ(InputTicker, "IQ_TOTAL_FINANCE_LEASES",Input!N$2,Date,,,Ccy,Conv)</f>
        <v>0</v>
      </c>
      <c r="M361" s="4">
        <f>_xll.ciqfunctions.udf.CIQ(InputTicker, "IQ_TOTAL_FINANCE_LEASES",Input!O$2,Date,,,Ccy,Conv)</f>
        <v>0</v>
      </c>
      <c r="N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  <c r="BM361" s="42"/>
      <c r="BN361" s="42"/>
    </row>
    <row r="362" spans="1:66" ht="12.75" customHeight="1" x14ac:dyDescent="0.2">
      <c r="A362" s="1" t="s">
        <v>479</v>
      </c>
      <c r="B362" s="4">
        <f>_xll.ciqfunctions.udf.CIQ(InputTicker, "IQ_CURRENT_PORTION_OPER_LEASE_LIABILITIES",Input!D$2,Date,,,Ccy,Conv)</f>
        <v>0</v>
      </c>
      <c r="C362" s="4">
        <f>_xll.ciqfunctions.udf.CIQ(InputTicker, "IQ_CURRENT_PORTION_OPER_LEASE_LIABILITIES",Input!E$2,Date,,,Ccy,Conv)</f>
        <v>0</v>
      </c>
      <c r="D362" s="4">
        <f>_xll.ciqfunctions.udf.CIQ(InputTicker, "IQ_CURRENT_PORTION_OPER_LEASE_LIABILITIES",Input!F$2,Date,,,Ccy,Conv)</f>
        <v>0</v>
      </c>
      <c r="E362" s="4">
        <f>_xll.ciqfunctions.udf.CIQ(InputTicker, "IQ_CURRENT_PORTION_OPER_LEASE_LIABILITIES",Input!G$2,Date,,,Ccy,Conv)</f>
        <v>0</v>
      </c>
      <c r="F362" s="4">
        <f>_xll.ciqfunctions.udf.CIQ(InputTicker, "IQ_CURRENT_PORTION_OPER_LEASE_LIABILITIES",Input!H$2,Date,,,Ccy,Conv)</f>
        <v>0</v>
      </c>
      <c r="G362" s="4">
        <f>_xll.ciqfunctions.udf.CIQ(InputTicker, "IQ_CURRENT_PORTION_OPER_LEASE_LIABILITIES",Input!I$2,Date,,,Ccy,Conv)</f>
        <v>0.79600000000000004</v>
      </c>
      <c r="H362" s="4">
        <f>_xll.ciqfunctions.udf.CIQ(InputTicker, "IQ_CURRENT_PORTION_OPER_LEASE_LIABILITIES",Input!J$2,Date,,,Ccy,Conv)</f>
        <v>0.69099999999999995</v>
      </c>
      <c r="I362" s="4">
        <f>_xll.ciqfunctions.udf.CIQ(InputTicker, "IQ_CURRENT_PORTION_OPER_LEASE_LIABILITIES",Input!K$2,Date,,,Ccy,Conv)</f>
        <v>0</v>
      </c>
      <c r="J362" s="4">
        <f>_xll.ciqfunctions.udf.CIQ(InputTicker, "IQ_CURRENT_PORTION_OPER_LEASE_LIABILITIES",Input!L$2,Date,,,Ccy,Conv)</f>
        <v>0</v>
      </c>
      <c r="K362" s="4">
        <f>_xll.ciqfunctions.udf.CIQ(InputTicker, "IQ_CURRENT_PORTION_OPER_LEASE_LIABILITIES",Input!M$2,Date,,,Ccy,Conv)</f>
        <v>0</v>
      </c>
      <c r="L362" s="4">
        <f>_xll.ciqfunctions.udf.CIQ(InputTicker, "IQ_CURRENT_PORTION_OPER_LEASE_LIABILITIES",Input!N$2,Date,,,Ccy,Conv)</f>
        <v>0</v>
      </c>
      <c r="M362" s="4">
        <f>_xll.ciqfunctions.udf.CIQ(InputTicker, "IQ_CURRENT_PORTION_OPER_LEASE_LIABILITIES",Input!O$2,Date,,,Ccy,Conv)</f>
        <v>0</v>
      </c>
      <c r="N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  <c r="BM362" s="42"/>
      <c r="BN362" s="42"/>
    </row>
    <row r="363" spans="1:66" ht="12.75" customHeight="1" x14ac:dyDescent="0.2">
      <c r="A363" s="1" t="s">
        <v>480</v>
      </c>
      <c r="B363" s="4">
        <f>_xll.ciqfunctions.udf.CIQ(InputTicker, "IQ_LT_PORTION_OPER_LEASE_LIABILITIES",Input!D$2,Date,,,Ccy,Conv)</f>
        <v>0</v>
      </c>
      <c r="C363" s="4">
        <f>_xll.ciqfunctions.udf.CIQ(InputTicker, "IQ_LT_PORTION_OPER_LEASE_LIABILITIES",Input!E$2,Date,,,Ccy,Conv)</f>
        <v>0</v>
      </c>
      <c r="D363" s="4">
        <f>_xll.ciqfunctions.udf.CIQ(InputTicker, "IQ_LT_PORTION_OPER_LEASE_LIABILITIES",Input!F$2,Date,,,Ccy,Conv)</f>
        <v>0</v>
      </c>
      <c r="E363" s="4">
        <f>_xll.ciqfunctions.udf.CIQ(InputTicker, "IQ_LT_PORTION_OPER_LEASE_LIABILITIES",Input!G$2,Date,,,Ccy,Conv)</f>
        <v>0</v>
      </c>
      <c r="F363" s="4">
        <f>_xll.ciqfunctions.udf.CIQ(InputTicker, "IQ_LT_PORTION_OPER_LEASE_LIABILITIES",Input!H$2,Date,,,Ccy,Conv)</f>
        <v>0</v>
      </c>
      <c r="G363" s="4">
        <f>_xll.ciqfunctions.udf.CIQ(InputTicker, "IQ_LT_PORTION_OPER_LEASE_LIABILITIES",Input!I$2,Date,,,Ccy,Conv)</f>
        <v>1.7350000000000001</v>
      </c>
      <c r="H363" s="4">
        <f>_xll.ciqfunctions.udf.CIQ(InputTicker, "IQ_LT_PORTION_OPER_LEASE_LIABILITIES",Input!J$2,Date,,,Ccy,Conv)</f>
        <v>1.034</v>
      </c>
      <c r="I363" s="4">
        <f>_xll.ciqfunctions.udf.CIQ(InputTicker, "IQ_LT_PORTION_OPER_LEASE_LIABILITIES",Input!K$2,Date,,,Ccy,Conv)</f>
        <v>0</v>
      </c>
      <c r="J363" s="4">
        <f>_xll.ciqfunctions.udf.CIQ(InputTicker, "IQ_LT_PORTION_OPER_LEASE_LIABILITIES",Input!L$2,Date,,,Ccy,Conv)</f>
        <v>0</v>
      </c>
      <c r="K363" s="4">
        <f>_xll.ciqfunctions.udf.CIQ(InputTicker, "IQ_LT_PORTION_OPER_LEASE_LIABILITIES",Input!M$2,Date,,,Ccy,Conv)</f>
        <v>0</v>
      </c>
      <c r="L363" s="4">
        <f>_xll.ciqfunctions.udf.CIQ(InputTicker, "IQ_LT_PORTION_OPER_LEASE_LIABILITIES",Input!N$2,Date,,,Ccy,Conv)</f>
        <v>0</v>
      </c>
      <c r="M363" s="4">
        <f>_xll.ciqfunctions.udf.CIQ(InputTicker, "IQ_LT_PORTION_OPER_LEASE_LIABILITIES",Input!O$2,Date,,,Ccy,Conv)</f>
        <v>0</v>
      </c>
      <c r="N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  <c r="BM363" s="42"/>
      <c r="BN363" s="42"/>
    </row>
    <row r="364" spans="1:66" ht="12.75" customHeight="1" x14ac:dyDescent="0.2">
      <c r="A364" s="1" t="s">
        <v>481</v>
      </c>
      <c r="B364" s="4">
        <f>_xll.ciqfunctions.udf.CIQ(InputTicker, "IQ_TOTAL_OPER_LEASES",Input!D$2,Date,,,Ccy,Conv)</f>
        <v>0</v>
      </c>
      <c r="C364" s="4">
        <f>_xll.ciqfunctions.udf.CIQ(InputTicker, "IQ_TOTAL_OPER_LEASES",Input!E$2,Date,,,Ccy,Conv)</f>
        <v>0</v>
      </c>
      <c r="D364" s="4">
        <f>_xll.ciqfunctions.udf.CIQ(InputTicker, "IQ_TOTAL_OPER_LEASES",Input!F$2,Date,,,Ccy,Conv)</f>
        <v>0</v>
      </c>
      <c r="E364" s="4">
        <f>_xll.ciqfunctions.udf.CIQ(InputTicker, "IQ_TOTAL_OPER_LEASES",Input!G$2,Date,,,Ccy,Conv)</f>
        <v>0</v>
      </c>
      <c r="F364" s="4">
        <f>_xll.ciqfunctions.udf.CIQ(InputTicker, "IQ_TOTAL_OPER_LEASES",Input!H$2,Date,,,Ccy,Conv)</f>
        <v>0</v>
      </c>
      <c r="G364" s="4">
        <f>_xll.ciqfunctions.udf.CIQ(InputTicker, "IQ_TOTAL_OPER_LEASES",Input!I$2,Date,,,Ccy,Conv)</f>
        <v>2.5310000000000001</v>
      </c>
      <c r="H364" s="4">
        <f>_xll.ciqfunctions.udf.CIQ(InputTicker, "IQ_TOTAL_OPER_LEASES",Input!J$2,Date,,,Ccy,Conv)</f>
        <v>1.7250000000000001</v>
      </c>
      <c r="I364" s="4">
        <f>_xll.ciqfunctions.udf.CIQ(InputTicker, "IQ_TOTAL_OPER_LEASES",Input!K$2,Date,,,Ccy,Conv)</f>
        <v>0</v>
      </c>
      <c r="J364" s="4">
        <f>_xll.ciqfunctions.udf.CIQ(InputTicker, "IQ_TOTAL_OPER_LEASES",Input!L$2,Date,,,Ccy,Conv)</f>
        <v>0</v>
      </c>
      <c r="K364" s="4">
        <f>_xll.ciqfunctions.udf.CIQ(InputTicker, "IQ_TOTAL_OPER_LEASES",Input!M$2,Date,,,Ccy,Conv)</f>
        <v>0</v>
      </c>
      <c r="L364" s="4">
        <f>_xll.ciqfunctions.udf.CIQ(InputTicker, "IQ_TOTAL_OPER_LEASES",Input!N$2,Date,,,Ccy,Conv)</f>
        <v>0</v>
      </c>
      <c r="M364" s="4">
        <f>_xll.ciqfunctions.udf.CIQ(InputTicker, "IQ_TOTAL_OPER_LEASES",Input!O$2,Date,,,Ccy,Conv)</f>
        <v>0</v>
      </c>
      <c r="N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  <c r="BM364" s="42"/>
      <c r="BN364" s="42"/>
    </row>
    <row r="365" spans="1:66" ht="12.75" customHeight="1" x14ac:dyDescent="0.2">
      <c r="A365" s="1" t="s">
        <v>482</v>
      </c>
      <c r="B365" s="4">
        <f>_xll.ciqfunctions.udf.CIQ(InputTicker, "IQ_TOTAL_LEASES",Input!D$2,Date,,,Ccy,Conv)</f>
        <v>0</v>
      </c>
      <c r="C365" s="4">
        <f>_xll.ciqfunctions.udf.CIQ(InputTicker, "IQ_TOTAL_LEASES",Input!E$2,Date,,,Ccy,Conv)</f>
        <v>0</v>
      </c>
      <c r="D365" s="4">
        <f>_xll.ciqfunctions.udf.CIQ(InputTicker, "IQ_TOTAL_LEASES",Input!F$2,Date,,,Ccy,Conv)</f>
        <v>0</v>
      </c>
      <c r="E365" s="4">
        <f>_xll.ciqfunctions.udf.CIQ(InputTicker, "IQ_TOTAL_LEASES",Input!G$2,Date,,,Ccy,Conv)</f>
        <v>1.34</v>
      </c>
      <c r="F365" s="4">
        <f>_xll.ciqfunctions.udf.CIQ(InputTicker, "IQ_TOTAL_LEASES",Input!H$2,Date,,,Ccy,Conv)</f>
        <v>1.054</v>
      </c>
      <c r="G365" s="4">
        <f>_xll.ciqfunctions.udf.CIQ(InputTicker, "IQ_TOTAL_LEASES",Input!I$2,Date,,,Ccy,Conv)</f>
        <v>3.3879999999999999</v>
      </c>
      <c r="H365" s="4">
        <f>_xll.ciqfunctions.udf.CIQ(InputTicker, "IQ_TOTAL_LEASES",Input!J$2,Date,,,Ccy,Conv)</f>
        <v>2.3780000000000001</v>
      </c>
      <c r="I365" s="4">
        <f>_xll.ciqfunctions.udf.CIQ(InputTicker, "IQ_TOTAL_LEASES",Input!K$2,Date,,,Ccy,Conv)</f>
        <v>0</v>
      </c>
      <c r="J365" s="4">
        <f>_xll.ciqfunctions.udf.CIQ(InputTicker, "IQ_TOTAL_LEASES",Input!L$2,Date,,,Ccy,Conv)</f>
        <v>0</v>
      </c>
      <c r="K365" s="4">
        <f>_xll.ciqfunctions.udf.CIQ(InputTicker, "IQ_TOTAL_LEASES",Input!M$2,Date,,,Ccy,Conv)</f>
        <v>0</v>
      </c>
      <c r="L365" s="4">
        <f>_xll.ciqfunctions.udf.CIQ(InputTicker, "IQ_TOTAL_LEASES",Input!N$2,Date,,,Ccy,Conv)</f>
        <v>0</v>
      </c>
      <c r="M365" s="4">
        <f>_xll.ciqfunctions.udf.CIQ(InputTicker, "IQ_TOTAL_LEASES",Input!O$2,Date,,,Ccy,Conv)</f>
        <v>0</v>
      </c>
      <c r="N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  <c r="BN365" s="42"/>
    </row>
    <row r="366" spans="1:66" ht="12.75" customHeight="1" x14ac:dyDescent="0.2">
      <c r="A366" s="1" t="s">
        <v>483</v>
      </c>
      <c r="B366" s="4">
        <f>_xll.ciqfunctions.udf.CIQ(InputTicker, "IQ_FINANCING_OBLIG_CURRENT_EXCL_OPER_LEASES",Input!D$2,Date,,,Ccy,Conv)</f>
        <v>10.065</v>
      </c>
      <c r="C366" s="4">
        <f>_xll.ciqfunctions.udf.CIQ(InputTicker, "IQ_FINANCING_OBLIG_CURRENT_EXCL_OPER_LEASES",Input!E$2,Date,,,Ccy,Conv)</f>
        <v>16.32</v>
      </c>
      <c r="D366" s="4">
        <f>_xll.ciqfunctions.udf.CIQ(InputTicker, "IQ_FINANCING_OBLIG_CURRENT_EXCL_OPER_LEASES",Input!F$2,Date,,,Ccy,Conv)</f>
        <v>4.8259999999999996</v>
      </c>
      <c r="E366" s="4">
        <f>_xll.ciqfunctions.udf.CIQ(InputTicker, "IQ_FINANCING_OBLIG_CURRENT_EXCL_OPER_LEASES",Input!G$2,Date,,,Ccy,Conv)</f>
        <v>3.536</v>
      </c>
      <c r="F366" s="4">
        <f>_xll.ciqfunctions.udf.CIQ(InputTicker, "IQ_FINANCING_OBLIG_CURRENT_EXCL_OPER_LEASES",Input!H$2,Date,,,Ccy,Conv)</f>
        <v>1.696</v>
      </c>
      <c r="G366" s="4">
        <f>_xll.ciqfunctions.udf.CIQ(InputTicker, "IQ_FINANCING_OBLIG_CURRENT_EXCL_OPER_LEASES",Input!I$2,Date,,,Ccy,Conv)</f>
        <v>0.20499999999999999</v>
      </c>
      <c r="H366" s="4">
        <f>_xll.ciqfunctions.udf.CIQ(InputTicker, "IQ_FINANCING_OBLIG_CURRENT_EXCL_OPER_LEASES",Input!J$2,Date,,,Ccy,Conv)</f>
        <v>0.215</v>
      </c>
      <c r="I366" s="4">
        <f>_xll.ciqfunctions.udf.CIQ(InputTicker, "IQ_FINANCING_OBLIG_CURRENT_EXCL_OPER_LEASES",Input!K$2,Date,,,Ccy,Conv)</f>
        <v>0</v>
      </c>
      <c r="J366" s="4">
        <f>_xll.ciqfunctions.udf.CIQ(InputTicker, "IQ_FINANCING_OBLIG_CURRENT_EXCL_OPER_LEASES",Input!L$2,Date,,,Ccy,Conv)</f>
        <v>0</v>
      </c>
      <c r="K366" s="4">
        <f>_xll.ciqfunctions.udf.CIQ(InputTicker, "IQ_FINANCING_OBLIG_CURRENT_EXCL_OPER_LEASES",Input!M$2,Date,,,Ccy,Conv)</f>
        <v>0</v>
      </c>
      <c r="L366" s="4">
        <f>_xll.ciqfunctions.udf.CIQ(InputTicker, "IQ_FINANCING_OBLIG_CURRENT_EXCL_OPER_LEASES",Input!N$2,Date,,,Ccy,Conv)</f>
        <v>0</v>
      </c>
      <c r="M366" s="4">
        <f>_xll.ciqfunctions.udf.CIQ(InputTicker, "IQ_FINANCING_OBLIG_CURRENT_EXCL_OPER_LEASES",Input!O$2,Date,,,Ccy,Conv)</f>
        <v>0</v>
      </c>
      <c r="N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  <c r="BN366" s="42"/>
    </row>
    <row r="367" spans="1:66" ht="12.75" customHeight="1" x14ac:dyDescent="0.2">
      <c r="A367" s="1" t="s">
        <v>484</v>
      </c>
      <c r="B367" s="4">
        <f>_xll.ciqfunctions.udf.CIQ(InputTicker, "IQ_FINANCING_OBLIG_NON_CURRENT_EXCL_OPER_LEASES",Input!D$2,Date,,,Ccy,Conv)</f>
        <v>40.795000000000002</v>
      </c>
      <c r="C367" s="4">
        <f>_xll.ciqfunctions.udf.CIQ(InputTicker, "IQ_FINANCING_OBLIG_NON_CURRENT_EXCL_OPER_LEASES",Input!E$2,Date,,,Ccy,Conv)</f>
        <v>9.25</v>
      </c>
      <c r="D367" s="4">
        <f>_xll.ciqfunctions.udf.CIQ(InputTicker, "IQ_FINANCING_OBLIG_NON_CURRENT_EXCL_OPER_LEASES",Input!F$2,Date,,,Ccy,Conv)</f>
        <v>6.1130000000000004</v>
      </c>
      <c r="E367" s="4">
        <f>_xll.ciqfunctions.udf.CIQ(InputTicker, "IQ_FINANCING_OBLIG_NON_CURRENT_EXCL_OPER_LEASES",Input!G$2,Date,,,Ccy,Conv)</f>
        <v>2.5539999999999998</v>
      </c>
      <c r="F367" s="4">
        <f>_xll.ciqfunctions.udf.CIQ(InputTicker, "IQ_FINANCING_OBLIG_NON_CURRENT_EXCL_OPER_LEASES",Input!H$2,Date,,,Ccy,Conv)</f>
        <v>0.85799999999999998</v>
      </c>
      <c r="G367" s="4">
        <f>_xll.ciqfunctions.udf.CIQ(InputTicker, "IQ_FINANCING_OBLIG_NON_CURRENT_EXCL_OPER_LEASES",Input!I$2,Date,,,Ccy,Conv)</f>
        <v>0.65200000000000002</v>
      </c>
      <c r="H367" s="4">
        <f>_xll.ciqfunctions.udf.CIQ(InputTicker, "IQ_FINANCING_OBLIG_NON_CURRENT_EXCL_OPER_LEASES",Input!J$2,Date,,,Ccy,Conv)</f>
        <v>0.438</v>
      </c>
      <c r="I367" s="4">
        <f>_xll.ciqfunctions.udf.CIQ(InputTicker, "IQ_FINANCING_OBLIG_NON_CURRENT_EXCL_OPER_LEASES",Input!K$2,Date,,,Ccy,Conv)</f>
        <v>0</v>
      </c>
      <c r="J367" s="4">
        <f>_xll.ciqfunctions.udf.CIQ(InputTicker, "IQ_FINANCING_OBLIG_NON_CURRENT_EXCL_OPER_LEASES",Input!L$2,Date,,,Ccy,Conv)</f>
        <v>0</v>
      </c>
      <c r="K367" s="4">
        <f>_xll.ciqfunctions.udf.CIQ(InputTicker, "IQ_FINANCING_OBLIG_NON_CURRENT_EXCL_OPER_LEASES",Input!M$2,Date,,,Ccy,Conv)</f>
        <v>0</v>
      </c>
      <c r="L367" s="4">
        <f>_xll.ciqfunctions.udf.CIQ(InputTicker, "IQ_FINANCING_OBLIG_NON_CURRENT_EXCL_OPER_LEASES",Input!N$2,Date,,,Ccy,Conv)</f>
        <v>0</v>
      </c>
      <c r="M367" s="4">
        <f>_xll.ciqfunctions.udf.CIQ(InputTicker, "IQ_FINANCING_OBLIG_NON_CURRENT_EXCL_OPER_LEASES",Input!O$2,Date,,,Ccy,Conv)</f>
        <v>0</v>
      </c>
      <c r="N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  <c r="BM367" s="42"/>
      <c r="BN367" s="42"/>
    </row>
    <row r="368" spans="1:66" ht="12.75" customHeight="1" x14ac:dyDescent="0.2">
      <c r="A368" s="1" t="s">
        <v>485</v>
      </c>
      <c r="B368" s="4">
        <f>_xll.ciqfunctions.udf.CIQ(InputTicker, "IQ_TOTAL_DEBT_EXCL_OPER_LEASES",Input!D$2,Date,,,Ccy,Conv)</f>
        <v>50.86</v>
      </c>
      <c r="C368" s="4">
        <f>_xll.ciqfunctions.udf.CIQ(InputTicker, "IQ_TOTAL_DEBT_EXCL_OPER_LEASES",Input!E$2,Date,,,Ccy,Conv)</f>
        <v>25.57</v>
      </c>
      <c r="D368" s="4">
        <f>_xll.ciqfunctions.udf.CIQ(InputTicker, "IQ_TOTAL_DEBT_EXCL_OPER_LEASES",Input!F$2,Date,,,Ccy,Conv)</f>
        <v>10.939</v>
      </c>
      <c r="E368" s="4">
        <f>_xll.ciqfunctions.udf.CIQ(InputTicker, "IQ_TOTAL_DEBT_EXCL_OPER_LEASES",Input!G$2,Date,,,Ccy,Conv)</f>
        <v>6.09</v>
      </c>
      <c r="F368" s="4">
        <f>_xll.ciqfunctions.udf.CIQ(InputTicker, "IQ_TOTAL_DEBT_EXCL_OPER_LEASES",Input!H$2,Date,,,Ccy,Conv)</f>
        <v>2.5539999999999998</v>
      </c>
      <c r="G368" s="4">
        <f>_xll.ciqfunctions.udf.CIQ(InputTicker, "IQ_TOTAL_DEBT_EXCL_OPER_LEASES",Input!I$2,Date,,,Ccy,Conv)</f>
        <v>0.85699999999999998</v>
      </c>
      <c r="H368" s="4">
        <f>_xll.ciqfunctions.udf.CIQ(InputTicker, "IQ_TOTAL_DEBT_EXCL_OPER_LEASES",Input!J$2,Date,,,Ccy,Conv)</f>
        <v>0.65300000000000002</v>
      </c>
      <c r="I368" s="4">
        <f>_xll.ciqfunctions.udf.CIQ(InputTicker, "IQ_TOTAL_DEBT_EXCL_OPER_LEASES",Input!K$2,Date,,,Ccy,Conv)</f>
        <v>0</v>
      </c>
      <c r="J368" s="4">
        <f>_xll.ciqfunctions.udf.CIQ(InputTicker, "IQ_TOTAL_DEBT_EXCL_OPER_LEASES",Input!L$2,Date,,,Ccy,Conv)</f>
        <v>0</v>
      </c>
      <c r="K368" s="4">
        <f>_xll.ciqfunctions.udf.CIQ(InputTicker, "IQ_TOTAL_DEBT_EXCL_OPER_LEASES",Input!M$2,Date,,,Ccy,Conv)</f>
        <v>0</v>
      </c>
      <c r="L368" s="4">
        <f>_xll.ciqfunctions.udf.CIQ(InputTicker, "IQ_TOTAL_DEBT_EXCL_OPER_LEASES",Input!N$2,Date,,,Ccy,Conv)</f>
        <v>0</v>
      </c>
      <c r="M368" s="4">
        <f>_xll.ciqfunctions.udf.CIQ(InputTicker, "IQ_TOTAL_DEBT_EXCL_OPER_LEASES",Input!O$2,Date,,,Ccy,Conv)</f>
        <v>0</v>
      </c>
      <c r="N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  <c r="BM368" s="42"/>
      <c r="BN368" s="42"/>
    </row>
    <row r="369" spans="1:66" ht="12.75" customHeight="1" x14ac:dyDescent="0.2">
      <c r="A369" s="1" t="s">
        <v>486</v>
      </c>
      <c r="B369" s="4">
        <f>_xll.ciqfunctions.udf.CIQ(InputTicker, "IQ_TOTAL_DEBT_EXCL_LEASES",Input!D$2,Date,,,Ccy,Conv)</f>
        <v>50.86</v>
      </c>
      <c r="C369" s="4">
        <f>_xll.ciqfunctions.udf.CIQ(InputTicker, "IQ_TOTAL_DEBT_EXCL_LEASES",Input!E$2,Date,,,Ccy,Conv)</f>
        <v>25.57</v>
      </c>
      <c r="D369" s="4">
        <f>_xll.ciqfunctions.udf.CIQ(InputTicker, "IQ_TOTAL_DEBT_EXCL_LEASES",Input!F$2,Date,,,Ccy,Conv)</f>
        <v>10.939</v>
      </c>
      <c r="E369" s="4">
        <f>_xll.ciqfunctions.udf.CIQ(InputTicker, "IQ_TOTAL_DEBT_EXCL_LEASES",Input!G$2,Date,,,Ccy,Conv)</f>
        <v>4.75</v>
      </c>
      <c r="F369" s="4">
        <f>_xll.ciqfunctions.udf.CIQ(InputTicker, "IQ_TOTAL_DEBT_EXCL_LEASES",Input!H$2,Date,,,Ccy,Conv)</f>
        <v>1.5</v>
      </c>
      <c r="G369" s="4">
        <f>_xll.ciqfunctions.udf.CIQ(InputTicker, "IQ_TOTAL_DEBT_EXCL_LEASES",Input!I$2,Date,,,Ccy,Conv)</f>
        <v>0</v>
      </c>
      <c r="H369" s="4">
        <f>_xll.ciqfunctions.udf.CIQ(InputTicker, "IQ_TOTAL_DEBT_EXCL_LEASES",Input!J$2,Date,,,Ccy,Conv)</f>
        <v>0</v>
      </c>
      <c r="I369" s="4">
        <f>_xll.ciqfunctions.udf.CIQ(InputTicker, "IQ_TOTAL_DEBT_EXCL_LEASES",Input!K$2,Date,,,Ccy,Conv)</f>
        <v>0</v>
      </c>
      <c r="J369" s="4">
        <f>_xll.ciqfunctions.udf.CIQ(InputTicker, "IQ_TOTAL_DEBT_EXCL_LEASES",Input!L$2,Date,,,Ccy,Conv)</f>
        <v>0</v>
      </c>
      <c r="K369" s="4">
        <f>_xll.ciqfunctions.udf.CIQ(InputTicker, "IQ_TOTAL_DEBT_EXCL_LEASES",Input!M$2,Date,,,Ccy,Conv)</f>
        <v>0</v>
      </c>
      <c r="L369" s="4">
        <f>_xll.ciqfunctions.udf.CIQ(InputTicker, "IQ_TOTAL_DEBT_EXCL_LEASES",Input!N$2,Date,,,Ccy,Conv)</f>
        <v>0</v>
      </c>
      <c r="M369" s="4">
        <f>_xll.ciqfunctions.udf.CIQ(InputTicker, "IQ_TOTAL_DEBT_EXCL_LEASES",Input!O$2,Date,,,Ccy,Conv)</f>
        <v>0</v>
      </c>
      <c r="N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</row>
    <row r="370" spans="1:66" ht="12.75" customHeight="1" x14ac:dyDescent="0.2">
      <c r="A370" s="1" t="s">
        <v>419</v>
      </c>
      <c r="B370" s="12">
        <f>_xll.ciqfunctions.udf.CIQ(InputTicker, "IQ_TOTAL_OUTSTANDING_FILING_DATE",Input!D$2,Date)</f>
        <v>48.497839999999997</v>
      </c>
      <c r="C370" s="12">
        <f>_xll.ciqfunctions.udf.CIQ(InputTicker, "IQ_TOTAL_OUTSTANDING_FILING_DATE",Input!E$2,Date)</f>
        <v>48.534959999999998</v>
      </c>
      <c r="D370" s="12">
        <f>_xll.ciqfunctions.udf.CIQ(InputTicker, "IQ_TOTAL_OUTSTANDING_FILING_DATE",Input!F$2,Date)</f>
        <v>48.57405</v>
      </c>
      <c r="E370" s="12">
        <f>_xll.ciqfunctions.udf.CIQ(InputTicker, "IQ_TOTAL_OUTSTANDING_FILING_DATE",Input!G$2,Date)</f>
        <v>48.630519999999997</v>
      </c>
      <c r="F370" s="12">
        <f>_xll.ciqfunctions.udf.CIQ(InputTicker, "IQ_TOTAL_OUTSTANDING_FILING_DATE",Input!H$2,Date)</f>
        <v>48.694479999999999</v>
      </c>
      <c r="G370" s="12">
        <f>_xll.ciqfunctions.udf.CIQ(InputTicker, "IQ_TOTAL_OUTSTANDING_FILING_DATE",Input!I$2,Date)</f>
        <v>48.300719999999998</v>
      </c>
      <c r="H370" s="12">
        <f>_xll.ciqfunctions.udf.CIQ(InputTicker, "IQ_TOTAL_OUTSTANDING_FILING_DATE",Input!J$2,Date)</f>
        <v>48.858460000000001</v>
      </c>
      <c r="I370" s="12">
        <f>_xll.ciqfunctions.udf.CIQ(InputTicker, "IQ_TOTAL_OUTSTANDING_FILING_DATE",Input!K$2,Date)</f>
        <v>48.939520000000002</v>
      </c>
      <c r="J370" s="12">
        <f>_xll.ciqfunctions.udf.CIQ(InputTicker, "IQ_TOTAL_OUTSTANDING_FILING_DATE",Input!L$2,Date)</f>
        <v>48.984050000000003</v>
      </c>
      <c r="K370" s="12">
        <f>_xll.ciqfunctions.udf.CIQ(InputTicker, "IQ_TOTAL_OUTSTANDING_FILING_DATE",Input!M$2,Date)</f>
        <v>49.03877</v>
      </c>
      <c r="L370" s="12">
        <f>_xll.ciqfunctions.udf.CIQ(InputTicker, "IQ_TOTAL_OUTSTANDING_FILING_DATE",Input!N$2,Date)</f>
        <v>48.497480000000003</v>
      </c>
      <c r="M370" s="12">
        <f>_xll.ciqfunctions.udf.CIQ(InputTicker, "IQ_TOTAL_OUTSTANDING_FILING_DATE",Input!O$2,Date)</f>
        <v>47.654049999999998</v>
      </c>
      <c r="N370" s="53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</row>
    <row r="371" spans="1:66" ht="12.75" customHeight="1" x14ac:dyDescent="0.2">
      <c r="A371" s="1" t="s">
        <v>285</v>
      </c>
      <c r="B371" s="12">
        <f>_xll.ciqfunctions.udf.CIQ(InputTicker,"IQ_TOTAL_OUTSTANDING_BS_DATE",Input!D$2,Date)</f>
        <v>48.497999999999998</v>
      </c>
      <c r="C371" s="12">
        <f>_xll.ciqfunctions.udf.CIQ(InputTicker,"IQ_TOTAL_OUTSTANDING_BS_DATE",Input!E$2,Date)</f>
        <v>48.536999999999999</v>
      </c>
      <c r="D371" s="12">
        <f>_xll.ciqfunctions.udf.CIQ(InputTicker,"IQ_TOTAL_OUTSTANDING_BS_DATE",Input!F$2,Date)</f>
        <v>48.576999999999998</v>
      </c>
      <c r="E371" s="12">
        <f>_xll.ciqfunctions.udf.CIQ(InputTicker,"IQ_TOTAL_OUTSTANDING_BS_DATE",Input!G$2,Date)</f>
        <v>48.631</v>
      </c>
      <c r="F371" s="12">
        <f>_xll.ciqfunctions.udf.CIQ(InputTicker,"IQ_TOTAL_OUTSTANDING_BS_DATE",Input!H$2,Date)</f>
        <v>48.694000000000003</v>
      </c>
      <c r="G371" s="12">
        <f>_xll.ciqfunctions.udf.CIQ(InputTicker,"IQ_TOTAL_OUTSTANDING_BS_DATE",Input!I$2,Date)</f>
        <v>48.774000000000001</v>
      </c>
      <c r="H371" s="12">
        <f>_xll.ciqfunctions.udf.CIQ(InputTicker,"IQ_TOTAL_OUTSTANDING_BS_DATE",Input!J$2,Date)</f>
        <v>48.858460000000001</v>
      </c>
      <c r="I371" s="12">
        <f>_xll.ciqfunctions.udf.CIQ(InputTicker,"IQ_TOTAL_OUTSTANDING_BS_DATE",Input!K$2,Date)</f>
        <v>48.94</v>
      </c>
      <c r="J371" s="12">
        <f>_xll.ciqfunctions.udf.CIQ(InputTicker,"IQ_TOTAL_OUTSTANDING_BS_DATE",Input!L$2,Date)</f>
        <v>48.984050000000003</v>
      </c>
      <c r="K371" s="12">
        <f>_xll.ciqfunctions.udf.CIQ(InputTicker,"IQ_TOTAL_OUTSTANDING_BS_DATE",Input!M$2,Date)</f>
        <v>49.03877</v>
      </c>
      <c r="L371" s="12">
        <f>_xll.ciqfunctions.udf.CIQ(InputTicker,"IQ_TOTAL_OUTSTANDING_BS_DATE",Input!N$2,Date)</f>
        <v>48.494</v>
      </c>
      <c r="M371" s="12">
        <f>_xll.ciqfunctions.udf.CIQ(InputTicker,"IQ_TOTAL_OUTSTANDING_BS_DATE",Input!O$2,Date)</f>
        <v>47.654000000000003</v>
      </c>
      <c r="N371" s="53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  <c r="BM371" s="42"/>
      <c r="BN371" s="42"/>
    </row>
    <row r="372" spans="1:66" ht="12.75" customHeight="1" x14ac:dyDescent="0.2">
      <c r="A372" s="1" t="s">
        <v>101</v>
      </c>
      <c r="B372" s="11">
        <f>_xll.ciqfunctions.udf.CIQ(InputTicker,"IQ_BV_SHARE",Input!D$2,Date,,,Ccy,Conv)</f>
        <v>14.507070000000001</v>
      </c>
      <c r="C372" s="11">
        <f>_xll.ciqfunctions.udf.CIQ(InputTicker,"IQ_BV_SHARE",Input!E$2,Date,,,Ccy,Conv)</f>
        <v>18.85726</v>
      </c>
      <c r="D372" s="11">
        <f>_xll.ciqfunctions.udf.CIQ(InputTicker,"IQ_BV_SHARE",Input!F$2,Date,,,Ccy,Conv)</f>
        <v>17.347449999999998</v>
      </c>
      <c r="E372" s="11">
        <f>_xll.ciqfunctions.udf.CIQ(InputTicker,"IQ_BV_SHARE",Input!G$2,Date,,,Ccy,Conv)</f>
        <v>19.603400000000001</v>
      </c>
      <c r="F372" s="11">
        <f>_xll.ciqfunctions.udf.CIQ(InputTicker,"IQ_BV_SHARE",Input!H$2,Date,,,Ccy,Conv)</f>
        <v>20.26172</v>
      </c>
      <c r="G372" s="11">
        <f>_xll.ciqfunctions.udf.CIQ(InputTicker,"IQ_BV_SHARE",Input!I$2,Date,,,Ccy,Conv)</f>
        <v>20.701090000000001</v>
      </c>
      <c r="H372" s="11">
        <f>_xll.ciqfunctions.udf.CIQ(InputTicker,"IQ_BV_SHARE",Input!J$2,Date,,,Ccy,Conv)</f>
        <v>20.72888</v>
      </c>
      <c r="I372" s="11">
        <f>_xll.ciqfunctions.udf.CIQ(InputTicker,"IQ_BV_SHARE",Input!K$2,Date,,,Ccy,Conv)</f>
        <v>22.569489999999998</v>
      </c>
      <c r="J372" s="11">
        <f>_xll.ciqfunctions.udf.CIQ(InputTicker,"IQ_BV_SHARE",Input!L$2,Date,,,Ccy,Conv)</f>
        <v>32.88991</v>
      </c>
      <c r="K372" s="11">
        <f>_xll.ciqfunctions.udf.CIQ(InputTicker,"IQ_BV_SHARE",Input!M$2,Date,,,Ccy,Conv)</f>
        <v>36.708649999999999</v>
      </c>
      <c r="L372" s="11">
        <f>_xll.ciqfunctions.udf.CIQ(InputTicker,"IQ_BV_SHARE",Input!N$2,Date,,,Ccy,Conv)</f>
        <v>52.802900000000001</v>
      </c>
      <c r="M372" s="11">
        <f>_xll.ciqfunctions.udf.CIQ(InputTicker,"IQ_BV_SHARE",Input!O$2,Date,,,Ccy,Conv)</f>
        <v>56.479230000000001</v>
      </c>
      <c r="N372" s="53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  <c r="BM372" s="42"/>
      <c r="BN372" s="42"/>
    </row>
    <row r="373" spans="1:66" ht="12.75" customHeight="1" x14ac:dyDescent="0.2">
      <c r="A373" s="1" t="s">
        <v>42</v>
      </c>
      <c r="B373" s="11">
        <f>_xll.ciqfunctions.udf.CIQ(InputTicker,"IQ_BV_SHARE_REPORTED",Input!D$2,Date,,,Ccy,Conv)</f>
        <v>0</v>
      </c>
      <c r="C373" s="11">
        <f>_xll.ciqfunctions.udf.CIQ(InputTicker,"IQ_BV_SHARE_REPORTED",Input!E$2,Date,,,Ccy,Conv)</f>
        <v>0</v>
      </c>
      <c r="D373" s="11">
        <f>_xll.ciqfunctions.udf.CIQ(InputTicker,"IQ_BV_SHARE_REPORTED",Input!F$2,Date,,,Ccy,Conv)</f>
        <v>0</v>
      </c>
      <c r="E373" s="11">
        <f>_xll.ciqfunctions.udf.CIQ(InputTicker,"IQ_BV_SHARE_REPORTED",Input!G$2,Date,,,Ccy,Conv)</f>
        <v>0</v>
      </c>
      <c r="F373" s="11">
        <f>_xll.ciqfunctions.udf.CIQ(InputTicker,"IQ_BV_SHARE_REPORTED",Input!H$2,Date,,,Ccy,Conv)</f>
        <v>0</v>
      </c>
      <c r="G373" s="11">
        <f>_xll.ciqfunctions.udf.CIQ(InputTicker,"IQ_BV_SHARE_REPORTED",Input!I$2,Date,,,Ccy,Conv)</f>
        <v>0</v>
      </c>
      <c r="H373" s="11">
        <f>_xll.ciqfunctions.udf.CIQ(InputTicker,"IQ_BV_SHARE_REPORTED",Input!J$2,Date,,,Ccy,Conv)</f>
        <v>0</v>
      </c>
      <c r="I373" s="11">
        <f>_xll.ciqfunctions.udf.CIQ(InputTicker,"IQ_BV_SHARE_REPORTED",Input!K$2,Date,,,Ccy,Conv)</f>
        <v>0</v>
      </c>
      <c r="J373" s="11">
        <f>_xll.ciqfunctions.udf.CIQ(InputTicker,"IQ_BV_SHARE_REPORTED",Input!L$2,Date,,,Ccy,Conv)</f>
        <v>0</v>
      </c>
      <c r="K373" s="11">
        <f>_xll.ciqfunctions.udf.CIQ(InputTicker,"IQ_BV_SHARE_REPORTED",Input!M$2,Date,,,Ccy,Conv)</f>
        <v>0</v>
      </c>
      <c r="L373" s="11">
        <f>_xll.ciqfunctions.udf.CIQ(InputTicker,"IQ_BV_SHARE_REPORTED",Input!N$2,Date,,,Ccy,Conv)</f>
        <v>0</v>
      </c>
      <c r="M373" s="11">
        <f>_xll.ciqfunctions.udf.CIQ(InputTicker,"IQ_BV_SHARE_REPORTED",Input!O$2,Date,,,Ccy,Conv)</f>
        <v>0</v>
      </c>
      <c r="N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  <c r="BM373" s="42"/>
      <c r="BN373" s="42"/>
    </row>
    <row r="374" spans="1:66" ht="12.75" customHeight="1" x14ac:dyDescent="0.2">
      <c r="A374" s="1" t="s">
        <v>217</v>
      </c>
      <c r="B374" s="11">
        <f>_xll.ciqfunctions.udf.CIQ(InputTicker, "IQ_TBV_SHARE",Input!D$2,Date,,,Ccy,Conv)</f>
        <v>13.74919</v>
      </c>
      <c r="C374" s="11">
        <f>_xll.ciqfunctions.udf.CIQ(InputTicker, "IQ_TBV_SHARE",Input!E$2,Date,,,Ccy,Conv)</f>
        <v>18.153590000000001</v>
      </c>
      <c r="D374" s="11">
        <f>_xll.ciqfunctions.udf.CIQ(InputTicker, "IQ_TBV_SHARE",Input!F$2,Date,,,Ccy,Conv)</f>
        <v>16.016079999999999</v>
      </c>
      <c r="E374" s="11">
        <f>_xll.ciqfunctions.udf.CIQ(InputTicker, "IQ_TBV_SHARE",Input!G$2,Date,,,Ccy,Conv)</f>
        <v>18.331949999999999</v>
      </c>
      <c r="F374" s="11">
        <f>_xll.ciqfunctions.udf.CIQ(InputTicker, "IQ_TBV_SHARE",Input!H$2,Date,,,Ccy,Conv)</f>
        <v>19.044170000000001</v>
      </c>
      <c r="G374" s="11">
        <f>_xll.ciqfunctions.udf.CIQ(InputTicker, "IQ_TBV_SHARE",Input!I$2,Date,,,Ccy,Conv)</f>
        <v>19.504940000000001</v>
      </c>
      <c r="H374" s="11">
        <f>_xll.ciqfunctions.udf.CIQ(InputTicker, "IQ_TBV_SHARE",Input!J$2,Date,,,Ccy,Conv)</f>
        <v>19.585450000000002</v>
      </c>
      <c r="I374" s="11">
        <f>_xll.ciqfunctions.udf.CIQ(InputTicker, "IQ_TBV_SHARE",Input!K$2,Date,,,Ccy,Conv)</f>
        <v>21.29984</v>
      </c>
      <c r="J374" s="11">
        <f>_xll.ciqfunctions.udf.CIQ(InputTicker, "IQ_TBV_SHARE",Input!L$2,Date,,,Ccy,Conv)</f>
        <v>31.667000000000002</v>
      </c>
      <c r="K374" s="11">
        <f>_xll.ciqfunctions.udf.CIQ(InputTicker, "IQ_TBV_SHARE",Input!M$2,Date,,,Ccy,Conv)</f>
        <v>35.448999999999998</v>
      </c>
      <c r="L374" s="11">
        <f>_xll.ciqfunctions.udf.CIQ(InputTicker, "IQ_TBV_SHARE",Input!N$2,Date,,,Ccy,Conv)</f>
        <v>51.525779999999997</v>
      </c>
      <c r="M374" s="11">
        <f>_xll.ciqfunctions.udf.CIQ(InputTicker, "IQ_TBV_SHARE",Input!O$2,Date,,,Ccy,Conv)</f>
        <v>53.496259999999999</v>
      </c>
      <c r="N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  <c r="BM374" s="42"/>
      <c r="BN374" s="42"/>
    </row>
    <row r="375" spans="1:66" ht="12.75" customHeight="1" x14ac:dyDescent="0.2">
      <c r="A375" s="1" t="s">
        <v>431</v>
      </c>
      <c r="B375" s="11">
        <f>_xll.ciqfunctions.udf.CIQ(InputTicker, "IQ_TBV_SHARE_REPORTED",Input!D$2,Date,,,Ccy,Conv)</f>
        <v>0</v>
      </c>
      <c r="C375" s="11">
        <f>_xll.ciqfunctions.udf.CIQ(InputTicker, "IQ_TBV_SHARE_REPORTED",Input!E$2,Date,,,Ccy,Conv)</f>
        <v>0</v>
      </c>
      <c r="D375" s="11">
        <f>_xll.ciqfunctions.udf.CIQ(InputTicker, "IQ_TBV_SHARE_REPORTED",Input!F$2,Date,,,Ccy,Conv)</f>
        <v>0</v>
      </c>
      <c r="E375" s="11">
        <f>_xll.ciqfunctions.udf.CIQ(InputTicker, "IQ_TBV_SHARE_REPORTED",Input!G$2,Date,,,Ccy,Conv)</f>
        <v>0</v>
      </c>
      <c r="F375" s="11">
        <f>_xll.ciqfunctions.udf.CIQ(InputTicker, "IQ_TBV_SHARE_REPORTED",Input!H$2,Date,,,Ccy,Conv)</f>
        <v>0</v>
      </c>
      <c r="G375" s="11">
        <f>_xll.ciqfunctions.udf.CIQ(InputTicker, "IQ_TBV_SHARE_REPORTED",Input!I$2,Date,,,Ccy,Conv)</f>
        <v>0</v>
      </c>
      <c r="H375" s="11">
        <f>_xll.ciqfunctions.udf.CIQ(InputTicker, "IQ_TBV_SHARE_REPORTED",Input!J$2,Date,,,Ccy,Conv)</f>
        <v>0</v>
      </c>
      <c r="I375" s="11">
        <f>_xll.ciqfunctions.udf.CIQ(InputTicker, "IQ_TBV_SHARE_REPORTED",Input!K$2,Date,,,Ccy,Conv)</f>
        <v>0</v>
      </c>
      <c r="J375" s="11">
        <f>_xll.ciqfunctions.udf.CIQ(InputTicker, "IQ_TBV_SHARE_REPORTED",Input!L$2,Date,,,Ccy,Conv)</f>
        <v>0</v>
      </c>
      <c r="K375" s="11">
        <f>_xll.ciqfunctions.udf.CIQ(InputTicker, "IQ_TBV_SHARE_REPORTED",Input!M$2,Date,,,Ccy,Conv)</f>
        <v>0</v>
      </c>
      <c r="L375" s="11">
        <f>_xll.ciqfunctions.udf.CIQ(InputTicker, "IQ_TBV_SHARE_REPORTED",Input!N$2,Date,,,Ccy,Conv)</f>
        <v>0</v>
      </c>
      <c r="M375" s="11">
        <f>_xll.ciqfunctions.udf.CIQ(InputTicker, "IQ_TBV_SHARE_REPORTED",Input!O$2,Date,,,Ccy,Conv)</f>
        <v>0</v>
      </c>
      <c r="N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  <c r="BM375" s="42"/>
      <c r="BN375" s="42"/>
    </row>
    <row r="376" spans="1:66" ht="12.75" customHeight="1" x14ac:dyDescent="0.2">
      <c r="A376" s="1" t="s">
        <v>284</v>
      </c>
      <c r="B376" s="4">
        <f>_xll.ciqfunctions.udf.CIQ(InputTicker, "IQ_TBV",Input!D$2,Date,,,Ccy,Conv)</f>
        <v>666.80799999999999</v>
      </c>
      <c r="C376" s="4">
        <f>_xll.ciqfunctions.udf.CIQ(InputTicker, "IQ_TBV",Input!E$2,Date,,,Ccy,Conv)</f>
        <v>881.12099999999998</v>
      </c>
      <c r="D376" s="4">
        <f>_xll.ciqfunctions.udf.CIQ(InputTicker, "IQ_TBV",Input!F$2,Date,,,Ccy,Conv)</f>
        <v>778.01300000000003</v>
      </c>
      <c r="E376" s="4">
        <f>_xll.ciqfunctions.udf.CIQ(InputTicker, "IQ_TBV",Input!G$2,Date,,,Ccy,Conv)</f>
        <v>891.50099999999998</v>
      </c>
      <c r="F376" s="4">
        <f>_xll.ciqfunctions.udf.CIQ(InputTicker, "IQ_TBV",Input!H$2,Date,,,Ccy,Conv)</f>
        <v>927.33699999999999</v>
      </c>
      <c r="G376" s="4">
        <f>_xll.ciqfunctions.udf.CIQ(InputTicker, "IQ_TBV",Input!I$2,Date,,,Ccy,Conv)</f>
        <v>951.33399999999995</v>
      </c>
      <c r="H376" s="4">
        <f>_xll.ciqfunctions.udf.CIQ(InputTicker, "IQ_TBV",Input!J$2,Date,,,Ccy,Conv)</f>
        <v>956.91499999999996</v>
      </c>
      <c r="I376" s="4">
        <f>_xll.ciqfunctions.udf.CIQ(InputTicker, "IQ_TBV",Input!K$2,Date,,,Ccy,Conv)</f>
        <v>1042.414</v>
      </c>
      <c r="J376" s="4">
        <f>_xll.ciqfunctions.udf.CIQ(InputTicker, "IQ_TBV",Input!L$2,Date,,,Ccy,Conv)</f>
        <v>1551.1780000000001</v>
      </c>
      <c r="K376" s="4">
        <f>_xll.ciqfunctions.udf.CIQ(InputTicker, "IQ_TBV",Input!M$2,Date,,,Ccy,Conv)</f>
        <v>1738.375</v>
      </c>
      <c r="L376" s="4">
        <f>_xll.ciqfunctions.udf.CIQ(InputTicker, "IQ_TBV",Input!N$2,Date,,,Ccy,Conv)</f>
        <v>2498.6909999999998</v>
      </c>
      <c r="M376" s="4">
        <f>_xll.ciqfunctions.udf.CIQ(InputTicker, "IQ_TBV",Input!O$2,Date,,,Ccy,Conv)</f>
        <v>2549.3110000000001</v>
      </c>
      <c r="N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  <c r="BM376" s="42"/>
      <c r="BN376" s="42"/>
    </row>
    <row r="377" spans="1:66" ht="12.75" customHeight="1" x14ac:dyDescent="0.2">
      <c r="A377" s="1" t="s">
        <v>435</v>
      </c>
      <c r="B377" s="11">
        <f>_xll.ciqfunctions.udf.CIQ(InputTicker, "IQ_GW_INTAN",Input!D$2,Date,,,Ccy,Conv)</f>
        <v>36.756</v>
      </c>
      <c r="C377" s="11">
        <f>_xll.ciqfunctions.udf.CIQ(InputTicker, "IQ_GW_INTAN",Input!E$2,Date,,,Ccy,Conv)</f>
        <v>34.154000000000003</v>
      </c>
      <c r="D377" s="11">
        <f>_xll.ciqfunctions.udf.CIQ(InputTicker, "IQ_GW_INTAN",Input!F$2,Date,,,Ccy,Conv)</f>
        <v>64.674000000000007</v>
      </c>
      <c r="E377" s="11">
        <f>_xll.ciqfunctions.udf.CIQ(InputTicker, "IQ_GW_INTAN",Input!G$2,Date,,,Ccy,Conv)</f>
        <v>61.832000000000001</v>
      </c>
      <c r="F377" s="11">
        <f>_xll.ciqfunctions.udf.CIQ(InputTicker, "IQ_GW_INTAN",Input!H$2,Date,,,Ccy,Conv)</f>
        <v>59.286999999999999</v>
      </c>
      <c r="G377" s="11">
        <f>_xll.ciqfunctions.udf.CIQ(InputTicker, "IQ_GW_INTAN",Input!I$2,Date,,,Ccy,Conv)</f>
        <v>58.341000000000001</v>
      </c>
      <c r="H377" s="11">
        <f>_xll.ciqfunctions.udf.CIQ(InputTicker, "IQ_GW_INTAN",Input!J$2,Date,,,Ccy,Conv)</f>
        <v>55.866</v>
      </c>
      <c r="I377" s="11">
        <f>_xll.ciqfunctions.udf.CIQ(InputTicker, "IQ_GW_INTAN",Input!K$2,Date,,,Ccy,Conv)</f>
        <v>62.137</v>
      </c>
      <c r="J377" s="11">
        <f>_xll.ciqfunctions.udf.CIQ(InputTicker, "IQ_GW_INTAN",Input!L$2,Date,,,Ccy,Conv)</f>
        <v>59.902999999999999</v>
      </c>
      <c r="K377" s="11">
        <f>_xll.ciqfunctions.udf.CIQ(InputTicker, "IQ_GW_INTAN",Input!M$2,Date,,,Ccy,Conv)</f>
        <v>61.771999999999998</v>
      </c>
      <c r="L377" s="11">
        <f>_xll.ciqfunctions.udf.CIQ(InputTicker, "IQ_GW_INTAN",Input!N$2,Date,,,Ccy,Conv)</f>
        <v>61.933</v>
      </c>
      <c r="M377" s="11">
        <f>_xll.ciqfunctions.udf.CIQ(InputTicker, "IQ_GW_INTAN",Input!O$2,Date,,,Ccy,Conv)</f>
        <v>142.15</v>
      </c>
      <c r="N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  <c r="BM377" s="42"/>
      <c r="BN377" s="42"/>
    </row>
    <row r="378" spans="1:66" ht="12.75" customHeight="1" x14ac:dyDescent="0.2">
      <c r="A378" s="1" t="s">
        <v>352</v>
      </c>
      <c r="B378" s="11">
        <f>_xll.ciqfunctions.udf.CIQ(InputTicker, "IQ_CASH_SHARE",Input!D$2,Date,,,Ccy,Conv)</f>
        <v>0.17871000000000001</v>
      </c>
      <c r="C378" s="11">
        <f>_xll.ciqfunctions.udf.CIQ(InputTicker, "IQ_CASH_SHARE",Input!E$2,Date,,,Ccy,Conv)</f>
        <v>0.59843000000000002</v>
      </c>
      <c r="D378" s="11">
        <f>_xll.ciqfunctions.udf.CIQ(InputTicker, "IQ_CASH_SHARE",Input!F$2,Date,,,Ccy,Conv)</f>
        <v>0.36157</v>
      </c>
      <c r="E378" s="11">
        <f>_xll.ciqfunctions.udf.CIQ(InputTicker, "IQ_CASH_SHARE",Input!G$2,Date,,,Ccy,Conv)</f>
        <v>0.99589000000000005</v>
      </c>
      <c r="F378" s="11">
        <f>_xll.ciqfunctions.udf.CIQ(InputTicker, "IQ_CASH_SHARE",Input!H$2,Date,,,Ccy,Conv)</f>
        <v>1.42208</v>
      </c>
      <c r="G378" s="11">
        <f>_xll.ciqfunctions.udf.CIQ(InputTicker, "IQ_CASH_SHARE",Input!I$2,Date,,,Ccy,Conv)</f>
        <v>1.60188</v>
      </c>
      <c r="H378" s="11">
        <f>_xll.ciqfunctions.udf.CIQ(InputTicker, "IQ_CASH_SHARE",Input!J$2,Date,,,Ccy,Conv)</f>
        <v>1.17384</v>
      </c>
      <c r="I378" s="11">
        <f>_xll.ciqfunctions.udf.CIQ(InputTicker, "IQ_CASH_SHARE",Input!K$2,Date,,,Ccy,Conv)</f>
        <v>1.2072700000000001</v>
      </c>
      <c r="J378" s="11">
        <f>_xll.ciqfunctions.udf.CIQ(InputTicker, "IQ_CASH_SHARE",Input!L$2,Date,,,Ccy,Conv)</f>
        <v>5.9779499999999999</v>
      </c>
      <c r="K378" s="11">
        <f>_xll.ciqfunctions.udf.CIQ(InputTicker, "IQ_CASH_SHARE",Input!M$2,Date,,,Ccy,Conv)</f>
        <v>4.8508199999999997</v>
      </c>
      <c r="L378" s="11">
        <f>_xll.ciqfunctions.udf.CIQ(InputTicker, "IQ_CASH_SHARE",Input!N$2,Date,,,Ccy,Conv)</f>
        <v>10.298019999999999</v>
      </c>
      <c r="M378" s="11">
        <f>_xll.ciqfunctions.udf.CIQ(InputTicker, "IQ_CASH_SHARE",Input!O$2,Date,,,Ccy,Conv)</f>
        <v>7.7527600000000003</v>
      </c>
      <c r="N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  <c r="BM378" s="42"/>
      <c r="BN378" s="42"/>
    </row>
    <row r="379" spans="1:66" ht="12.75" customHeight="1" x14ac:dyDescent="0.2">
      <c r="A379" s="1" t="s">
        <v>51</v>
      </c>
      <c r="B379" s="4">
        <f>_xll.ciqfunctions.udf.CIQ(InputTicker, "IQ_TOTAL_DEBT",Input!D$2,Date,,,Ccy,Conv)</f>
        <v>50.86</v>
      </c>
      <c r="C379" s="4">
        <f>_xll.ciqfunctions.udf.CIQ(InputTicker, "IQ_TOTAL_DEBT",Input!E$2,Date,,,Ccy,Conv)</f>
        <v>25.57</v>
      </c>
      <c r="D379" s="4">
        <f>_xll.ciqfunctions.udf.CIQ(InputTicker, "IQ_TOTAL_DEBT",Input!F$2,Date,,,Ccy,Conv)</f>
        <v>10.939</v>
      </c>
      <c r="E379" s="4">
        <f>_xll.ciqfunctions.udf.CIQ(InputTicker, "IQ_TOTAL_DEBT",Input!G$2,Date,,,Ccy,Conv)</f>
        <v>6.09</v>
      </c>
      <c r="F379" s="4">
        <f>_xll.ciqfunctions.udf.CIQ(InputTicker, "IQ_TOTAL_DEBT",Input!H$2,Date,,,Ccy,Conv)</f>
        <v>2.5539999999999998</v>
      </c>
      <c r="G379" s="4">
        <f>_xll.ciqfunctions.udf.CIQ(InputTicker, "IQ_TOTAL_DEBT",Input!I$2,Date,,,Ccy,Conv)</f>
        <v>3.3879999999999999</v>
      </c>
      <c r="H379" s="4">
        <f>_xll.ciqfunctions.udf.CIQ(InputTicker, "IQ_TOTAL_DEBT",Input!J$2,Date,,,Ccy,Conv)</f>
        <v>2.3780000000000001</v>
      </c>
      <c r="I379" s="4">
        <f>_xll.ciqfunctions.udf.CIQ(InputTicker, "IQ_TOTAL_DEBT",Input!K$2,Date,,,Ccy,Conv)</f>
        <v>0</v>
      </c>
      <c r="J379" s="4">
        <f>_xll.ciqfunctions.udf.CIQ(InputTicker, "IQ_TOTAL_DEBT",Input!L$2,Date,,,Ccy,Conv)</f>
        <v>0</v>
      </c>
      <c r="K379" s="4">
        <f>_xll.ciqfunctions.udf.CIQ(InputTicker, "IQ_TOTAL_DEBT",Input!M$2,Date,,,Ccy,Conv)</f>
        <v>0</v>
      </c>
      <c r="L379" s="4">
        <f>_xll.ciqfunctions.udf.CIQ(InputTicker, "IQ_TOTAL_DEBT",Input!N$2,Date,,,Ccy,Conv)</f>
        <v>0</v>
      </c>
      <c r="M379" s="4">
        <f>_xll.ciqfunctions.udf.CIQ(InputTicker, "IQ_TOTAL_DEBT",Input!O$2,Date,,,Ccy,Conv)</f>
        <v>0</v>
      </c>
      <c r="N379" s="53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  <c r="BM379" s="42"/>
      <c r="BN379" s="42"/>
    </row>
    <row r="380" spans="1:66" ht="12.75" customHeight="1" x14ac:dyDescent="0.2">
      <c r="A380" s="1" t="s">
        <v>377</v>
      </c>
      <c r="B380" s="4">
        <f>_xll.ciqfunctions.udf.CIQ(InputTicker, "IQ_TOTAL_DEBT_CURRENT",Input!D$2,Date,,,Ccy,Conv)</f>
        <v>10.065</v>
      </c>
      <c r="C380" s="4">
        <f>_xll.ciqfunctions.udf.CIQ(InputTicker, "IQ_TOTAL_DEBT_CURRENT",Input!E$2,Date,,,Ccy,Conv)</f>
        <v>16.32</v>
      </c>
      <c r="D380" s="4">
        <f>_xll.ciqfunctions.udf.CIQ(InputTicker, "IQ_TOTAL_DEBT_CURRENT",Input!F$2,Date,,,Ccy,Conv)</f>
        <v>4.8259999999999996</v>
      </c>
      <c r="E380" s="4">
        <f>_xll.ciqfunctions.udf.CIQ(InputTicker, "IQ_TOTAL_DEBT_CURRENT",Input!G$2,Date,,,Ccy,Conv)</f>
        <v>3.536</v>
      </c>
      <c r="F380" s="4">
        <f>_xll.ciqfunctions.udf.CIQ(InputTicker, "IQ_TOTAL_DEBT_CURRENT",Input!H$2,Date,,,Ccy,Conv)</f>
        <v>1.696</v>
      </c>
      <c r="G380" s="4">
        <f>_xll.ciqfunctions.udf.CIQ(InputTicker, "IQ_TOTAL_DEBT_CURRENT",Input!I$2,Date,,,Ccy,Conv)</f>
        <v>1.0009999999999999</v>
      </c>
      <c r="H380" s="4">
        <f>_xll.ciqfunctions.udf.CIQ(InputTicker, "IQ_TOTAL_DEBT_CURRENT",Input!J$2,Date,,,Ccy,Conv)</f>
        <v>0.90600000000000003</v>
      </c>
      <c r="I380" s="4">
        <f>_xll.ciqfunctions.udf.CIQ(InputTicker, "IQ_TOTAL_DEBT_CURRENT",Input!K$2,Date,,,Ccy,Conv)</f>
        <v>0</v>
      </c>
      <c r="J380" s="4">
        <f>_xll.ciqfunctions.udf.CIQ(InputTicker, "IQ_TOTAL_DEBT_CURRENT",Input!L$2,Date,,,Ccy,Conv)</f>
        <v>0</v>
      </c>
      <c r="K380" s="4">
        <f>_xll.ciqfunctions.udf.CIQ(InputTicker, "IQ_TOTAL_DEBT_CURRENT",Input!M$2,Date,,,Ccy,Conv)</f>
        <v>0</v>
      </c>
      <c r="L380" s="4">
        <f>_xll.ciqfunctions.udf.CIQ(InputTicker, "IQ_TOTAL_DEBT_CURRENT",Input!N$2,Date,,,Ccy,Conv)</f>
        <v>0</v>
      </c>
      <c r="M380" s="4">
        <f>_xll.ciqfunctions.udf.CIQ(InputTicker, "IQ_TOTAL_DEBT_CURRENT",Input!O$2,Date,,,Ccy,Conv)</f>
        <v>0</v>
      </c>
      <c r="N380" s="53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  <c r="BN380" s="42"/>
    </row>
    <row r="381" spans="1:66" ht="12.75" customHeight="1" x14ac:dyDescent="0.2">
      <c r="A381" s="1" t="s">
        <v>512</v>
      </c>
      <c r="B381" s="4">
        <f>_xll.ciqfunctions.udf.CIQ(InputTicker, "IQ_TOTAL_DEBT_NON_CURRENT",Input!D$2,Date,,,Ccy,Conv)</f>
        <v>40.795000000000002</v>
      </c>
      <c r="C381" s="4">
        <f>_xll.ciqfunctions.udf.CIQ(InputTicker, "IQ_TOTAL_DEBT_NON_CURRENT",Input!E$2,Date,,,Ccy,Conv)</f>
        <v>9.25</v>
      </c>
      <c r="D381" s="4">
        <f>_xll.ciqfunctions.udf.CIQ(InputTicker, "IQ_TOTAL_DEBT_NON_CURRENT",Input!F$2,Date,,,Ccy,Conv)</f>
        <v>6.1130000000000004</v>
      </c>
      <c r="E381" s="4">
        <f>_xll.ciqfunctions.udf.CIQ(InputTicker, "IQ_TOTAL_DEBT_NON_CURRENT",Input!G$2,Date,,,Ccy,Conv)</f>
        <v>2.5539999999999998</v>
      </c>
      <c r="F381" s="4">
        <f>_xll.ciqfunctions.udf.CIQ(InputTicker, "IQ_TOTAL_DEBT_NON_CURRENT",Input!H$2,Date,,,Ccy,Conv)</f>
        <v>0.85799999999999998</v>
      </c>
      <c r="G381" s="4">
        <f>_xll.ciqfunctions.udf.CIQ(InputTicker, "IQ_TOTAL_DEBT_NON_CURRENT",Input!I$2,Date,,,Ccy,Conv)</f>
        <v>2.387</v>
      </c>
      <c r="H381" s="4">
        <f>_xll.ciqfunctions.udf.CIQ(InputTicker, "IQ_TOTAL_DEBT_NON_CURRENT",Input!J$2,Date,,,Ccy,Conv)</f>
        <v>1.472</v>
      </c>
      <c r="I381" s="4">
        <f>_xll.ciqfunctions.udf.CIQ(InputTicker, "IQ_TOTAL_DEBT_NON_CURRENT",Input!K$2,Date,,,Ccy,Conv)</f>
        <v>0</v>
      </c>
      <c r="J381" s="4">
        <f>_xll.ciqfunctions.udf.CIQ(InputTicker, "IQ_TOTAL_DEBT_NON_CURRENT",Input!L$2,Date,,,Ccy,Conv)</f>
        <v>0</v>
      </c>
      <c r="K381" s="4">
        <f>_xll.ciqfunctions.udf.CIQ(InputTicker, "IQ_TOTAL_DEBT_NON_CURRENT",Input!M$2,Date,,,Ccy,Conv)</f>
        <v>0</v>
      </c>
      <c r="L381" s="4">
        <f>_xll.ciqfunctions.udf.CIQ(InputTicker, "IQ_TOTAL_DEBT_NON_CURRENT",Input!N$2,Date,,,Ccy,Conv)</f>
        <v>0</v>
      </c>
      <c r="M381" s="4">
        <f>_xll.ciqfunctions.udf.CIQ(InputTicker, "IQ_TOTAL_DEBT_NON_CURRENT",Input!O$2,Date,,,Ccy,Conv)</f>
        <v>0</v>
      </c>
      <c r="N381" s="53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  <c r="BN381" s="42"/>
    </row>
    <row r="382" spans="1:66" ht="12.75" customHeight="1" x14ac:dyDescent="0.2">
      <c r="A382" s="1" t="s">
        <v>102</v>
      </c>
      <c r="B382" s="4">
        <f>_xll.ciqfunctions.udf.CIQ(InputTicker, "IQ_NET_DEBT",Input!D$2,Date,,,Ccy,Conv)</f>
        <v>-207.768</v>
      </c>
      <c r="C382" s="4">
        <f>_xll.ciqfunctions.udf.CIQ(InputTicker, "IQ_NET_DEBT",Input!E$2,Date,,,Ccy,Conv)</f>
        <v>-363.97500000000002</v>
      </c>
      <c r="D382" s="4">
        <f>_xll.ciqfunctions.udf.CIQ(InputTicker, "IQ_NET_DEBT",Input!F$2,Date,,,Ccy,Conv)</f>
        <v>-145.08699999999999</v>
      </c>
      <c r="E382" s="4">
        <f>_xll.ciqfunctions.udf.CIQ(InputTicker, "IQ_NET_DEBT",Input!G$2,Date,,,Ccy,Conv)</f>
        <v>-324.92700000000002</v>
      </c>
      <c r="F382" s="4">
        <f>_xll.ciqfunctions.udf.CIQ(InputTicker, "IQ_NET_DEBT",Input!H$2,Date,,,Ccy,Conv)</f>
        <v>-316.87400000000002</v>
      </c>
      <c r="G382" s="4">
        <f>_xll.ciqfunctions.udf.CIQ(InputTicker, "IQ_NET_DEBT",Input!I$2,Date,,,Ccy,Conv)</f>
        <v>-228.905</v>
      </c>
      <c r="H382" s="4">
        <f>_xll.ciqfunctions.udf.CIQ(InputTicker, "IQ_NET_DEBT",Input!J$2,Date,,,Ccy,Conv)</f>
        <v>-167.13200000000001</v>
      </c>
      <c r="I382" s="4">
        <f>_xll.ciqfunctions.udf.CIQ(InputTicker, "IQ_NET_DEBT",Input!K$2,Date,,,Ccy,Conv)</f>
        <v>-174.51300000000001</v>
      </c>
      <c r="J382" s="4">
        <f>_xll.ciqfunctions.udf.CIQ(InputTicker, "IQ_NET_DEBT",Input!L$2,Date,,,Ccy,Conv)</f>
        <v>-647.91399999999999</v>
      </c>
      <c r="K382" s="4">
        <f>_xll.ciqfunctions.udf.CIQ(InputTicker, "IQ_NET_DEBT",Input!M$2,Date,,,Ccy,Conv)</f>
        <v>-812.37699999999995</v>
      </c>
      <c r="L382" s="4">
        <f>_xll.ciqfunctions.udf.CIQ(InputTicker, "IQ_NET_DEBT",Input!N$2,Date,,,Ccy,Conv)</f>
        <v>-1392.1</v>
      </c>
      <c r="M382" s="4">
        <f>_xll.ciqfunctions.udf.CIQ(InputTicker, "IQ_NET_DEBT",Input!O$2,Date,,,Ccy,Conv)</f>
        <v>-1138.9880000000001</v>
      </c>
      <c r="N382" s="53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  <c r="BM382" s="42"/>
      <c r="BN382" s="42"/>
    </row>
    <row r="383" spans="1:66" ht="12.75" customHeight="1" x14ac:dyDescent="0.2">
      <c r="A383" s="1" t="s">
        <v>368</v>
      </c>
      <c r="B383" s="4">
        <f>_xll.ciqfunctions.udf.CIQ(InputTicker, "IQ_MINORITY_INTEREST_TOTAL",Input!D$2,Date,,,Ccy,Conv)</f>
        <v>0.998</v>
      </c>
      <c r="C383" s="4">
        <f>_xll.ciqfunctions.udf.CIQ(InputTicker, "IQ_MINORITY_INTEREST_TOTAL",Input!E$2,Date,,,Ccy,Conv)</f>
        <v>2.0859999999999999</v>
      </c>
      <c r="D383" s="4">
        <f>_xll.ciqfunctions.udf.CIQ(InputTicker, "IQ_MINORITY_INTEREST_TOTAL",Input!F$2,Date,,,Ccy,Conv)</f>
        <v>1.806</v>
      </c>
      <c r="E383" s="4">
        <f>_xll.ciqfunctions.udf.CIQ(InputTicker, "IQ_MINORITY_INTEREST_TOTAL",Input!G$2,Date,,,Ccy,Conv)</f>
        <v>2.3490000000000002</v>
      </c>
      <c r="F383" s="4">
        <f>_xll.ciqfunctions.udf.CIQ(InputTicker, "IQ_MINORITY_INTEREST_TOTAL",Input!H$2,Date,,,Ccy,Conv)</f>
        <v>3.1819999999999999</v>
      </c>
      <c r="G383" s="4">
        <f>_xll.ciqfunctions.udf.CIQ(InputTicker, "IQ_MINORITY_INTEREST_TOTAL",Input!I$2,Date,,,Ccy,Conv)</f>
        <v>0</v>
      </c>
      <c r="H383" s="4">
        <f>_xll.ciqfunctions.udf.CIQ(InputTicker, "IQ_MINORITY_INTEREST_TOTAL",Input!J$2,Date,,,Ccy,Conv)</f>
        <v>0</v>
      </c>
      <c r="I383" s="4">
        <f>_xll.ciqfunctions.udf.CIQ(InputTicker, "IQ_MINORITY_INTEREST_TOTAL",Input!K$2,Date,,,Ccy,Conv)</f>
        <v>-0.20599999999999999</v>
      </c>
      <c r="J383" s="4">
        <f>_xll.ciqfunctions.udf.CIQ(InputTicker, "IQ_MINORITY_INTEREST_TOTAL",Input!L$2,Date,,,Ccy,Conv)</f>
        <v>-1.498</v>
      </c>
      <c r="K383" s="4">
        <f>_xll.ciqfunctions.udf.CIQ(InputTicker, "IQ_MINORITY_INTEREST_TOTAL",Input!M$2,Date,,,Ccy,Conv)</f>
        <v>-3.1040000000000001</v>
      </c>
      <c r="L383" s="4">
        <f>_xll.ciqfunctions.udf.CIQ(InputTicker, "IQ_MINORITY_INTEREST_TOTAL",Input!N$2,Date,,,Ccy,Conv)</f>
        <v>5.391</v>
      </c>
      <c r="M383" s="4">
        <f>_xll.ciqfunctions.udf.CIQ(InputTicker, "IQ_MINORITY_INTEREST_TOTAL",Input!O$2,Date,,,Ccy,Conv)</f>
        <v>6.3049999999999997</v>
      </c>
      <c r="N383" s="53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  <c r="BM383" s="42"/>
      <c r="BN383" s="42"/>
    </row>
    <row r="384" spans="1:66" ht="12.75" customHeight="1" x14ac:dyDescent="0.2">
      <c r="A384" s="1" t="s">
        <v>218</v>
      </c>
      <c r="B384" s="4">
        <f>_xll.ciqfunctions.udf.CIQ(InputTicker, "IQ_TOTAL_CAP",Input!D$2,Date,,,Ccy,Conv)</f>
        <v>755.42200000000003</v>
      </c>
      <c r="C384" s="4">
        <f>_xll.ciqfunctions.udf.CIQ(InputTicker, "IQ_TOTAL_CAP",Input!E$2,Date,,,Ccy,Conv)</f>
        <v>942.93100000000004</v>
      </c>
      <c r="D384" s="4">
        <f>_xll.ciqfunctions.udf.CIQ(InputTicker, "IQ_TOTAL_CAP",Input!F$2,Date,,,Ccy,Conv)</f>
        <v>855.43200000000002</v>
      </c>
      <c r="E384" s="4">
        <f>_xll.ciqfunctions.udf.CIQ(InputTicker, "IQ_TOTAL_CAP",Input!G$2,Date,,,Ccy,Conv)</f>
        <v>961.77200000000005</v>
      </c>
      <c r="F384" s="4">
        <f>_xll.ciqfunctions.udf.CIQ(InputTicker, "IQ_TOTAL_CAP",Input!H$2,Date,,,Ccy,Conv)</f>
        <v>992.36</v>
      </c>
      <c r="G384" s="4">
        <f>_xll.ciqfunctions.udf.CIQ(InputTicker, "IQ_TOTAL_CAP",Input!I$2,Date,,,Ccy,Conv)</f>
        <v>1013.063</v>
      </c>
      <c r="H384" s="4">
        <f>_xll.ciqfunctions.udf.CIQ(InputTicker, "IQ_TOTAL_CAP",Input!J$2,Date,,,Ccy,Conv)</f>
        <v>1015.159</v>
      </c>
      <c r="I384" s="4">
        <f>_xll.ciqfunctions.udf.CIQ(InputTicker, "IQ_TOTAL_CAP",Input!K$2,Date,,,Ccy,Conv)</f>
        <v>1104.345</v>
      </c>
      <c r="J384" s="4">
        <f>_xll.ciqfunctions.udf.CIQ(InputTicker, "IQ_TOTAL_CAP",Input!L$2,Date,,,Ccy,Conv)</f>
        <v>1609.5830000000001</v>
      </c>
      <c r="K384" s="4">
        <f>_xll.ciqfunctions.udf.CIQ(InputTicker, "IQ_TOTAL_CAP",Input!M$2,Date,,,Ccy,Conv)</f>
        <v>1797.0429999999999</v>
      </c>
      <c r="L384" s="4">
        <f>_xll.ciqfunctions.udf.CIQ(InputTicker, "IQ_TOTAL_CAP",Input!N$2,Date,,,Ccy,Conv)</f>
        <v>2566.0149999999999</v>
      </c>
      <c r="M384" s="4">
        <f>_xll.ciqfunctions.udf.CIQ(InputTicker, "IQ_TOTAL_CAP",Input!O$2,Date,,,Ccy,Conv)</f>
        <v>2697.7660000000001</v>
      </c>
      <c r="N384" s="53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  <c r="BN384" s="42"/>
    </row>
    <row r="385" spans="1:66" ht="12.75" customHeight="1" x14ac:dyDescent="0.2">
      <c r="A385" s="1" t="s">
        <v>353</v>
      </c>
      <c r="B385" s="4">
        <f>_xll.ciqfunctions.udf.CIQ(InputTicker, "IQ_WORKING_CAP",Input!D$2,Date,,,Ccy,Conv)</f>
        <v>407.41800000000001</v>
      </c>
      <c r="C385" s="4">
        <f>_xll.ciqfunctions.udf.CIQ(InputTicker, "IQ_WORKING_CAP",Input!E$2,Date,,,Ccy,Conv)</f>
        <v>542.83199999999999</v>
      </c>
      <c r="D385" s="4">
        <f>_xll.ciqfunctions.udf.CIQ(InputTicker, "IQ_WORKING_CAP",Input!F$2,Date,,,Ccy,Conv)</f>
        <v>371.52699999999999</v>
      </c>
      <c r="E385" s="4">
        <f>_xll.ciqfunctions.udf.CIQ(InputTicker, "IQ_WORKING_CAP",Input!G$2,Date,,,Ccy,Conv)</f>
        <v>479.68200000000002</v>
      </c>
      <c r="F385" s="4">
        <f>_xll.ciqfunctions.udf.CIQ(InputTicker, "IQ_WORKING_CAP",Input!H$2,Date,,,Ccy,Conv)</f>
        <v>492.846</v>
      </c>
      <c r="G385" s="4">
        <f>_xll.ciqfunctions.udf.CIQ(InputTicker, "IQ_WORKING_CAP",Input!I$2,Date,,,Ccy,Conv)</f>
        <v>429.06799999999998</v>
      </c>
      <c r="H385" s="4">
        <f>_xll.ciqfunctions.udf.CIQ(InputTicker, "IQ_WORKING_CAP",Input!J$2,Date,,,Ccy,Conv)</f>
        <v>429.834</v>
      </c>
      <c r="I385" s="4">
        <f>_xll.ciqfunctions.udf.CIQ(InputTicker, "IQ_WORKING_CAP",Input!K$2,Date,,,Ccy,Conv)</f>
        <v>476.84500000000003</v>
      </c>
      <c r="J385" s="4">
        <f>_xll.ciqfunctions.udf.CIQ(InputTicker, "IQ_WORKING_CAP",Input!L$2,Date,,,Ccy,Conv)</f>
        <v>942.19399999999996</v>
      </c>
      <c r="K385" s="4">
        <f>_xll.ciqfunctions.udf.CIQ(InputTicker, "IQ_WORKING_CAP",Input!M$2,Date,,,Ccy,Conv)</f>
        <v>1014.096</v>
      </c>
      <c r="L385" s="4">
        <f>_xll.ciqfunctions.udf.CIQ(InputTicker, "IQ_WORKING_CAP",Input!N$2,Date,,,Ccy,Conv)</f>
        <v>1659.739</v>
      </c>
      <c r="M385" s="4">
        <f>_xll.ciqfunctions.udf.CIQ(InputTicker, "IQ_WORKING_CAP",Input!O$2,Date,,,Ccy,Conv)</f>
        <v>1535.59</v>
      </c>
      <c r="N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  <c r="BM385" s="42"/>
      <c r="BN385" s="42"/>
    </row>
    <row r="386" spans="1:66" ht="12.75" customHeight="1" x14ac:dyDescent="0.2">
      <c r="A386" s="1" t="s">
        <v>354</v>
      </c>
      <c r="B386" s="4">
        <f>_xll.ciqfunctions.udf.CIQ(InputTicker, "IQ_NET_WORKING_CAP",Input!D$2,Date,,,Ccy,Conv)</f>
        <v>158.85499999999999</v>
      </c>
      <c r="C386" s="4">
        <f>_xll.ciqfunctions.udf.CIQ(InputTicker, "IQ_NET_WORKING_CAP",Input!E$2,Date,,,Ccy,Conv)</f>
        <v>169.607</v>
      </c>
      <c r="D386" s="4">
        <f>_xll.ciqfunctions.udf.CIQ(InputTicker, "IQ_NET_WORKING_CAP",Input!F$2,Date,,,Ccy,Conv)</f>
        <v>220.327</v>
      </c>
      <c r="E386" s="4">
        <f>_xll.ciqfunctions.udf.CIQ(InputTicker, "IQ_NET_WORKING_CAP",Input!G$2,Date,,,Ccy,Conv)</f>
        <v>152.20099999999999</v>
      </c>
      <c r="F386" s="4">
        <f>_xll.ciqfunctions.udf.CIQ(InputTicker, "IQ_NET_WORKING_CAP",Input!H$2,Date,,,Ccy,Conv)</f>
        <v>175.114</v>
      </c>
      <c r="G386" s="4">
        <f>_xll.ciqfunctions.udf.CIQ(InputTicker, "IQ_NET_WORKING_CAP",Input!I$2,Date,,,Ccy,Conv)</f>
        <v>197.77600000000001</v>
      </c>
      <c r="H386" s="4">
        <f>_xll.ciqfunctions.udf.CIQ(InputTicker, "IQ_NET_WORKING_CAP",Input!J$2,Date,,,Ccy,Conv)</f>
        <v>261.23</v>
      </c>
      <c r="I386" s="4">
        <f>_xll.ciqfunctions.udf.CIQ(InputTicker, "IQ_NET_WORKING_CAP",Input!K$2,Date,,,Ccy,Conv)</f>
        <v>302.33199999999999</v>
      </c>
      <c r="J386" s="4">
        <f>_xll.ciqfunctions.udf.CIQ(InputTicker, "IQ_NET_WORKING_CAP",Input!L$2,Date,,,Ccy,Conv)</f>
        <v>294.27999999999997</v>
      </c>
      <c r="K386" s="4">
        <f>_xll.ciqfunctions.udf.CIQ(InputTicker, "IQ_NET_WORKING_CAP",Input!M$2,Date,,,Ccy,Conv)</f>
        <v>201.71899999999999</v>
      </c>
      <c r="L386" s="4">
        <f>_xll.ciqfunctions.udf.CIQ(InputTicker, "IQ_NET_WORKING_CAP",Input!N$2,Date,,,Ccy,Conv)</f>
        <v>267.63900000000001</v>
      </c>
      <c r="M386" s="4">
        <f>_xll.ciqfunctions.udf.CIQ(InputTicker, "IQ_NET_WORKING_CAP",Input!O$2,Date,,,Ccy,Conv)</f>
        <v>396.60199999999998</v>
      </c>
      <c r="N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  <c r="BM386" s="42"/>
      <c r="BN386" s="42"/>
    </row>
    <row r="387" spans="1:66" ht="12.75" customHeight="1" x14ac:dyDescent="0.2">
      <c r="A387" s="1" t="s">
        <v>367</v>
      </c>
      <c r="B387" s="4">
        <f>_xll.ciqfunctions.udf.CIQ(InputTicker, "IQ_ALLOW_DOUBT_ACCT",Input!D$2,Date,,,Ccy,Conv)</f>
        <v>0.51300000000000001</v>
      </c>
      <c r="C387" s="4">
        <f>_xll.ciqfunctions.udf.CIQ(InputTicker, "IQ_ALLOW_DOUBT_ACCT",Input!E$2,Date,,,Ccy,Conv)</f>
        <v>0.72699999999999998</v>
      </c>
      <c r="D387" s="4">
        <f>_xll.ciqfunctions.udf.CIQ(InputTicker, "IQ_ALLOW_DOUBT_ACCT",Input!F$2,Date,,,Ccy,Conv)</f>
        <v>0.38600000000000001</v>
      </c>
      <c r="E387" s="4">
        <f>_xll.ciqfunctions.udf.CIQ(InputTicker, "IQ_ALLOW_DOUBT_ACCT",Input!G$2,Date,,,Ccy,Conv)</f>
        <v>0.26800000000000002</v>
      </c>
      <c r="F387" s="4">
        <f>_xll.ciqfunctions.udf.CIQ(InputTicker, "IQ_ALLOW_DOUBT_ACCT",Input!H$2,Date,,,Ccy,Conv)</f>
        <v>0.20599999999999999</v>
      </c>
      <c r="G387" s="4">
        <f>_xll.ciqfunctions.udf.CIQ(InputTicker, "IQ_ALLOW_DOUBT_ACCT",Input!I$2,Date,,,Ccy,Conv)</f>
        <v>0.74399999999999999</v>
      </c>
      <c r="H387" s="4">
        <f>_xll.ciqfunctions.udf.CIQ(InputTicker, "IQ_ALLOW_DOUBT_ACCT",Input!J$2,Date,,,Ccy,Conv)</f>
        <v>0.79500000000000004</v>
      </c>
      <c r="I387" s="4">
        <f>_xll.ciqfunctions.udf.CIQ(InputTicker, "IQ_ALLOW_DOUBT_ACCT",Input!K$2,Date,,,Ccy,Conv)</f>
        <v>0.77500000000000002</v>
      </c>
      <c r="J387" s="4">
        <f>_xll.ciqfunctions.udf.CIQ(InputTicker, "IQ_ALLOW_DOUBT_ACCT",Input!L$2,Date,,,Ccy,Conv)</f>
        <v>0.57899999999999996</v>
      </c>
      <c r="K387" s="4">
        <f>_xll.ciqfunctions.udf.CIQ(InputTicker, "IQ_ALLOW_DOUBT_ACCT",Input!M$2,Date,,,Ccy,Conv)</f>
        <v>0.49</v>
      </c>
      <c r="L387" s="4">
        <f>_xll.ciqfunctions.udf.CIQ(InputTicker, "IQ_ALLOW_DOUBT_ACCT",Input!N$2,Date,,,Ccy,Conv)</f>
        <v>0.745</v>
      </c>
      <c r="M387" s="4">
        <f>_xll.ciqfunctions.udf.CIQ(InputTicker, "IQ_ALLOW_DOUBT_ACCT",Input!O$2,Date,,,Ccy,Conv)</f>
        <v>0</v>
      </c>
      <c r="N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  <c r="BM387" s="42"/>
      <c r="BN387" s="42"/>
    </row>
    <row r="388" spans="1:66" ht="12.75" customHeight="1" x14ac:dyDescent="0.2">
      <c r="A388" s="1" t="s">
        <v>355</v>
      </c>
      <c r="B388" s="4">
        <f>_xll.ciqfunctions.udf.CIQ(InputTicker, "IQ_EQUITY_METHOD",Input!D$2,Date,,,Ccy,Conv)</f>
        <v>13.1</v>
      </c>
      <c r="C388" s="4">
        <f>_xll.ciqfunctions.udf.CIQ(InputTicker, "IQ_EQUITY_METHOD",Input!E$2,Date,,,Ccy,Conv)</f>
        <v>47.5</v>
      </c>
      <c r="D388" s="4">
        <f>_xll.ciqfunctions.udf.CIQ(InputTicker, "IQ_EQUITY_METHOD",Input!F$2,Date,,,Ccy,Conv)</f>
        <v>65.730999999999995</v>
      </c>
      <c r="E388" s="4">
        <f>_xll.ciqfunctions.udf.CIQ(InputTicker, "IQ_EQUITY_METHOD",Input!G$2,Date,,,Ccy,Conv)</f>
        <v>66.805999999999997</v>
      </c>
      <c r="F388" s="4">
        <f>_xll.ciqfunctions.udf.CIQ(InputTicker, "IQ_EQUITY_METHOD",Input!H$2,Date,,,Ccy,Conv)</f>
        <v>67.554000000000002</v>
      </c>
      <c r="G388" s="4">
        <f>_xll.ciqfunctions.udf.CIQ(InputTicker, "IQ_EQUITY_METHOD",Input!I$2,Date,,,Ccy,Conv)</f>
        <v>60.981999999999999</v>
      </c>
      <c r="H388" s="4">
        <f>_xll.ciqfunctions.udf.CIQ(InputTicker, "IQ_EQUITY_METHOD",Input!J$2,Date,,,Ccy,Conv)</f>
        <v>54.941000000000003</v>
      </c>
      <c r="I388" s="4">
        <f>_xll.ciqfunctions.udf.CIQ(InputTicker, "IQ_EQUITY_METHOD",Input!K$2,Date,,,Ccy,Conv)</f>
        <v>15.53</v>
      </c>
      <c r="J388" s="4">
        <f>_xll.ciqfunctions.udf.CIQ(InputTicker, "IQ_EQUITY_METHOD",Input!L$2,Date,,,Ccy,Conv)</f>
        <v>14.449</v>
      </c>
      <c r="K388" s="4">
        <f>_xll.ciqfunctions.udf.CIQ(InputTicker, "IQ_EQUITY_METHOD",Input!M$2,Date,,,Ccy,Conv)</f>
        <v>11.195</v>
      </c>
      <c r="L388" s="4">
        <f>_xll.ciqfunctions.udf.CIQ(InputTicker, "IQ_EQUITY_METHOD",Input!N$2,Date,,,Ccy,Conv)</f>
        <v>11.095000000000001</v>
      </c>
      <c r="M388" s="4">
        <f>_xll.ciqfunctions.udf.CIQ(InputTicker, "IQ_EQUITY_METHOD",Input!O$2,Date,,,Ccy,Conv)</f>
        <v>9.9789999999999992</v>
      </c>
      <c r="N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</row>
    <row r="389" spans="1:66" ht="12.75" customHeight="1" x14ac:dyDescent="0.2">
      <c r="A389" s="1" t="s">
        <v>43</v>
      </c>
      <c r="B389" s="4">
        <f>_xll.ciqfunctions.udf.CIQ(InputTicker, "IQ_AR_UNBILLED",Input!D$2,Date,,,Ccy,Conv)</f>
        <v>0</v>
      </c>
      <c r="C389" s="4">
        <f>_xll.ciqfunctions.udf.CIQ(InputTicker, "IQ_AR_UNBILLED",Input!E$2,Date,,,Ccy,Conv)</f>
        <v>0</v>
      </c>
      <c r="D389" s="4">
        <f>_xll.ciqfunctions.udf.CIQ(InputTicker, "IQ_AR_UNBILLED",Input!F$2,Date,,,Ccy,Conv)</f>
        <v>0</v>
      </c>
      <c r="E389" s="4">
        <f>_xll.ciqfunctions.udf.CIQ(InputTicker, "IQ_AR_UNBILLED",Input!G$2,Date,,,Ccy,Conv)</f>
        <v>0</v>
      </c>
      <c r="F389" s="4">
        <f>_xll.ciqfunctions.udf.CIQ(InputTicker, "IQ_AR_UNBILLED",Input!H$2,Date,,,Ccy,Conv)</f>
        <v>0</v>
      </c>
      <c r="G389" s="4">
        <f>_xll.ciqfunctions.udf.CIQ(InputTicker, "IQ_AR_UNBILLED",Input!I$2,Date,,,Ccy,Conv)</f>
        <v>0</v>
      </c>
      <c r="H389" s="4">
        <f>_xll.ciqfunctions.udf.CIQ(InputTicker, "IQ_AR_UNBILLED",Input!J$2,Date,,,Ccy,Conv)</f>
        <v>0</v>
      </c>
      <c r="I389" s="4">
        <f>_xll.ciqfunctions.udf.CIQ(InputTicker, "IQ_AR_UNBILLED",Input!K$2,Date,,,Ccy,Conv)</f>
        <v>0</v>
      </c>
      <c r="J389" s="4">
        <f>_xll.ciqfunctions.udf.CIQ(InputTicker, "IQ_AR_UNBILLED",Input!L$2,Date,,,Ccy,Conv)</f>
        <v>0</v>
      </c>
      <c r="K389" s="4">
        <f>_xll.ciqfunctions.udf.CIQ(InputTicker, "IQ_AR_UNBILLED",Input!M$2,Date,,,Ccy,Conv)</f>
        <v>0</v>
      </c>
      <c r="L389" s="4">
        <f>_xll.ciqfunctions.udf.CIQ(InputTicker, "IQ_AR_UNBILLED",Input!N$2,Date,,,Ccy,Conv)</f>
        <v>0</v>
      </c>
      <c r="M389" s="4">
        <f>_xll.ciqfunctions.udf.CIQ(InputTicker, "IQ_AR_UNBILLED",Input!O$2,Date,,,Ccy,Conv)</f>
        <v>0</v>
      </c>
      <c r="N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  <c r="BM389" s="42"/>
      <c r="BN389" s="42"/>
    </row>
    <row r="390" spans="1:66" ht="12.75" customHeight="1" x14ac:dyDescent="0.2">
      <c r="A390" s="1" t="s">
        <v>356</v>
      </c>
      <c r="B390" s="4" t="str">
        <f>_xll.ciqfunctions.udf.CIQ(InputTicker, "IQ_INV_METHOD",Input!D$2,Date)</f>
        <v>FIFO</v>
      </c>
      <c r="C390" s="4" t="str">
        <f>_xll.ciqfunctions.udf.CIQ(InputTicker, "IQ_INV_METHOD",Input!E$2,Date)</f>
        <v>FIFO</v>
      </c>
      <c r="D390" s="4" t="str">
        <f>_xll.ciqfunctions.udf.CIQ(InputTicker, "IQ_INV_METHOD",Input!F$2,Date)</f>
        <v>FIFO</v>
      </c>
      <c r="E390" s="4" t="str">
        <f>_xll.ciqfunctions.udf.CIQ(InputTicker, "IQ_INV_METHOD",Input!G$2,Date)</f>
        <v>FIFO</v>
      </c>
      <c r="F390" s="4" t="str">
        <f>_xll.ciqfunctions.udf.CIQ(InputTicker, "IQ_INV_METHOD",Input!H$2,Date)</f>
        <v>FIFO</v>
      </c>
      <c r="G390" s="4" t="str">
        <f>_xll.ciqfunctions.udf.CIQ(InputTicker, "IQ_INV_METHOD",Input!I$2,Date)</f>
        <v>FIFO</v>
      </c>
      <c r="H390" s="4" t="str">
        <f>_xll.ciqfunctions.udf.CIQ(InputTicker, "IQ_INV_METHOD",Input!J$2,Date)</f>
        <v>FIFO</v>
      </c>
      <c r="I390" s="4" t="str">
        <f>_xll.ciqfunctions.udf.CIQ(InputTicker, "IQ_INV_METHOD",Input!K$2,Date)</f>
        <v>FIFO</v>
      </c>
      <c r="J390" s="4" t="str">
        <f>_xll.ciqfunctions.udf.CIQ(InputTicker, "IQ_INV_METHOD",Input!L$2,Date)</f>
        <v>FIFO</v>
      </c>
      <c r="K390" s="4" t="str">
        <f>_xll.ciqfunctions.udf.CIQ(InputTicker, "IQ_INV_METHOD",Input!M$2,Date)</f>
        <v>FIFO</v>
      </c>
      <c r="L390" s="4" t="str">
        <f>_xll.ciqfunctions.udf.CIQ(InputTicker, "IQ_INV_METHOD",Input!N$2,Date)</f>
        <v>FIFO</v>
      </c>
      <c r="M390" s="4">
        <f>_xll.ciqfunctions.udf.CIQ(InputTicker, "IQ_INV_METHOD",Input!O$2,Date)</f>
        <v>0</v>
      </c>
      <c r="N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  <c r="BM390" s="42"/>
      <c r="BN390" s="42"/>
    </row>
    <row r="391" spans="1:66" ht="12.75" customHeight="1" x14ac:dyDescent="0.2">
      <c r="A391" s="1" t="s">
        <v>219</v>
      </c>
      <c r="B391" s="4">
        <f>_xll.ciqfunctions.udf.CIQ(InputTicker, "IQ_LIFOR",Input!D$2,Date,,,Ccy,Conv)</f>
        <v>0</v>
      </c>
      <c r="C391" s="4">
        <f>_xll.ciqfunctions.udf.CIQ(InputTicker, "IQ_LIFOR",Input!E$2,Date,,,Ccy,Conv)</f>
        <v>0</v>
      </c>
      <c r="D391" s="4">
        <f>_xll.ciqfunctions.udf.CIQ(InputTicker, "IQ_LIFOR",Input!F$2,Date,,,Ccy,Conv)</f>
        <v>0</v>
      </c>
      <c r="E391" s="4">
        <f>_xll.ciqfunctions.udf.CIQ(InputTicker, "IQ_LIFOR",Input!G$2,Date,,,Ccy,Conv)</f>
        <v>0</v>
      </c>
      <c r="F391" s="4">
        <f>_xll.ciqfunctions.udf.CIQ(InputTicker, "IQ_LIFOR",Input!H$2,Date,,,Ccy,Conv)</f>
        <v>0</v>
      </c>
      <c r="G391" s="4">
        <f>_xll.ciqfunctions.udf.CIQ(InputTicker, "IQ_LIFOR",Input!I$2,Date,,,Ccy,Conv)</f>
        <v>0</v>
      </c>
      <c r="H391" s="4">
        <f>_xll.ciqfunctions.udf.CIQ(InputTicker, "IQ_LIFOR",Input!J$2,Date,,,Ccy,Conv)</f>
        <v>0</v>
      </c>
      <c r="I391" s="4">
        <f>_xll.ciqfunctions.udf.CIQ(InputTicker, "IQ_LIFOR",Input!K$2,Date,,,Ccy,Conv)</f>
        <v>0</v>
      </c>
      <c r="J391" s="4">
        <f>_xll.ciqfunctions.udf.CIQ(InputTicker, "IQ_LIFOR",Input!L$2,Date,,,Ccy,Conv)</f>
        <v>0</v>
      </c>
      <c r="K391" s="4">
        <f>_xll.ciqfunctions.udf.CIQ(InputTicker, "IQ_LIFOR",Input!M$2,Date,,,Ccy,Conv)</f>
        <v>0</v>
      </c>
      <c r="L391" s="4">
        <f>_xll.ciqfunctions.udf.CIQ(InputTicker, "IQ_LIFOR",Input!N$2,Date,,,Ccy,Conv)</f>
        <v>0</v>
      </c>
      <c r="M391" s="4">
        <f>_xll.ciqfunctions.udf.CIQ(InputTicker, "IQ_LIFOR",Input!O$2,Date,,,Ccy,Conv)</f>
        <v>0</v>
      </c>
      <c r="N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  <c r="BM391" s="42"/>
      <c r="BN391" s="42"/>
    </row>
    <row r="392" spans="1:66" ht="12.75" customHeight="1" x14ac:dyDescent="0.2">
      <c r="A392" s="1" t="s">
        <v>220</v>
      </c>
      <c r="B392" s="4">
        <f>_xll.ciqfunctions.udf.CIQ(InputTicker,"IQ_RAW_INV",Input!D$2,Date,,,Ccy,Conv)</f>
        <v>87.28</v>
      </c>
      <c r="C392" s="4">
        <f>_xll.ciqfunctions.udf.CIQ(InputTicker,"IQ_RAW_INV",Input!E$2,Date,,,Ccy,Conv)</f>
        <v>94.311999999999998</v>
      </c>
      <c r="D392" s="4">
        <f>_xll.ciqfunctions.udf.CIQ(InputTicker,"IQ_RAW_INV",Input!F$2,Date,,,Ccy,Conv)</f>
        <v>98.058999999999997</v>
      </c>
      <c r="E392" s="4">
        <f>_xll.ciqfunctions.udf.CIQ(InputTicker,"IQ_RAW_INV",Input!G$2,Date,,,Ccy,Conv)</f>
        <v>96.593999999999994</v>
      </c>
      <c r="F392" s="4">
        <f>_xll.ciqfunctions.udf.CIQ(InputTicker,"IQ_RAW_INV",Input!H$2,Date,,,Ccy,Conv)</f>
        <v>105.536</v>
      </c>
      <c r="G392" s="4">
        <f>_xll.ciqfunctions.udf.CIQ(InputTicker,"IQ_RAW_INV",Input!I$2,Date,,,Ccy,Conv)</f>
        <v>110.19799999999999</v>
      </c>
      <c r="H392" s="4">
        <f>_xll.ciqfunctions.udf.CIQ(InputTicker,"IQ_RAW_INV",Input!J$2,Date,,,Ccy,Conv)</f>
        <v>123.86</v>
      </c>
      <c r="I392" s="4">
        <f>_xll.ciqfunctions.udf.CIQ(InputTicker,"IQ_RAW_INV",Input!K$2,Date,,,Ccy,Conv)</f>
        <v>144.05099999999999</v>
      </c>
      <c r="J392" s="4">
        <f>_xll.ciqfunctions.udf.CIQ(InputTicker,"IQ_RAW_INV",Input!L$2,Date,,,Ccy,Conv)</f>
        <v>164.54</v>
      </c>
      <c r="K392" s="4">
        <f>_xll.ciqfunctions.udf.CIQ(InputTicker,"IQ_RAW_INV",Input!M$2,Date,,,Ccy,Conv)</f>
        <v>149.98500000000001</v>
      </c>
      <c r="L392" s="4">
        <f>_xll.ciqfunctions.udf.CIQ(InputTicker,"IQ_RAW_INV",Input!N$2,Date,,,Ccy,Conv)</f>
        <v>166.50700000000001</v>
      </c>
      <c r="M392" s="4">
        <f>_xll.ciqfunctions.udf.CIQ(InputTicker,"IQ_RAW_INV",Input!O$2,Date,,,Ccy,Conv)</f>
        <v>231.005</v>
      </c>
      <c r="N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  <c r="BM392" s="42"/>
      <c r="BN392" s="42"/>
    </row>
    <row r="393" spans="1:66" ht="12.75" customHeight="1" x14ac:dyDescent="0.2">
      <c r="A393" s="1" t="s">
        <v>221</v>
      </c>
      <c r="B393" s="4">
        <f>_xll.ciqfunctions.udf.CIQ(InputTicker, "IQ_WIP_INV",Input!D$2,Date,,,Ccy,Conv)</f>
        <v>0</v>
      </c>
      <c r="C393" s="4">
        <f>_xll.ciqfunctions.udf.CIQ(InputTicker, "IQ_WIP_INV",Input!E$2,Date,,,Ccy,Conv)</f>
        <v>0</v>
      </c>
      <c r="D393" s="4">
        <f>_xll.ciqfunctions.udf.CIQ(InputTicker, "IQ_WIP_INV",Input!F$2,Date,,,Ccy,Conv)</f>
        <v>0</v>
      </c>
      <c r="E393" s="4">
        <f>_xll.ciqfunctions.udf.CIQ(InputTicker, "IQ_WIP_INV",Input!G$2,Date,,,Ccy,Conv)</f>
        <v>0</v>
      </c>
      <c r="F393" s="4">
        <f>_xll.ciqfunctions.udf.CIQ(InputTicker, "IQ_WIP_INV",Input!H$2,Date,,,Ccy,Conv)</f>
        <v>0</v>
      </c>
      <c r="G393" s="4">
        <f>_xll.ciqfunctions.udf.CIQ(InputTicker, "IQ_WIP_INV",Input!I$2,Date,,,Ccy,Conv)</f>
        <v>0</v>
      </c>
      <c r="H393" s="4">
        <f>_xll.ciqfunctions.udf.CIQ(InputTicker, "IQ_WIP_INV",Input!J$2,Date,,,Ccy,Conv)</f>
        <v>0</v>
      </c>
      <c r="I393" s="4">
        <f>_xll.ciqfunctions.udf.CIQ(InputTicker, "IQ_WIP_INV",Input!K$2,Date,,,Ccy,Conv)</f>
        <v>0</v>
      </c>
      <c r="J393" s="4">
        <f>_xll.ciqfunctions.udf.CIQ(InputTicker, "IQ_WIP_INV",Input!L$2,Date,,,Ccy,Conv)</f>
        <v>0</v>
      </c>
      <c r="K393" s="4">
        <f>_xll.ciqfunctions.udf.CIQ(InputTicker, "IQ_WIP_INV",Input!M$2,Date,,,Ccy,Conv)</f>
        <v>0</v>
      </c>
      <c r="L393" s="4">
        <f>_xll.ciqfunctions.udf.CIQ(InputTicker, "IQ_WIP_INV",Input!N$2,Date,,,Ccy,Conv)</f>
        <v>0</v>
      </c>
      <c r="M393" s="4">
        <f>_xll.ciqfunctions.udf.CIQ(InputTicker, "IQ_WIP_INV",Input!O$2,Date,,,Ccy,Conv)</f>
        <v>0</v>
      </c>
      <c r="N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</row>
    <row r="394" spans="1:66" ht="12.75" customHeight="1" x14ac:dyDescent="0.2">
      <c r="A394" s="1" t="s">
        <v>222</v>
      </c>
      <c r="B394" s="4">
        <f>_xll.ciqfunctions.udf.CIQ(InputTicker, "IQ_FINISHED_INV",Input!D$2,Date,,,Ccy,Conv)</f>
        <v>58.98</v>
      </c>
      <c r="C394" s="4">
        <f>_xll.ciqfunctions.udf.CIQ(InputTicker, "IQ_FINISHED_INV",Input!E$2,Date,,,Ccy,Conv)</f>
        <v>60.487000000000002</v>
      </c>
      <c r="D394" s="4">
        <f>_xll.ciqfunctions.udf.CIQ(InputTicker, "IQ_FINISHED_INV",Input!F$2,Date,,,Ccy,Conv)</f>
        <v>62.633000000000003</v>
      </c>
      <c r="E394" s="4">
        <f>_xll.ciqfunctions.udf.CIQ(InputTicker, "IQ_FINISHED_INV",Input!G$2,Date,,,Ccy,Conv)</f>
        <v>72.05</v>
      </c>
      <c r="F394" s="4">
        <f>_xll.ciqfunctions.udf.CIQ(InputTicker, "IQ_FINISHED_INV",Input!H$2,Date,,,Ccy,Conv)</f>
        <v>66.700999999999993</v>
      </c>
      <c r="G394" s="4">
        <f>_xll.ciqfunctions.udf.CIQ(InputTicker, "IQ_FINISHED_INV",Input!I$2,Date,,,Ccy,Conv)</f>
        <v>77.018000000000001</v>
      </c>
      <c r="H394" s="4">
        <f>_xll.ciqfunctions.udf.CIQ(InputTicker, "IQ_FINISHED_INV",Input!J$2,Date,,,Ccy,Conv)</f>
        <v>94.515000000000001</v>
      </c>
      <c r="I394" s="4">
        <f>_xll.ciqfunctions.udf.CIQ(InputTicker, "IQ_FINISHED_INV",Input!K$2,Date,,,Ccy,Conv)</f>
        <v>119.265</v>
      </c>
      <c r="J394" s="4">
        <f>_xll.ciqfunctions.udf.CIQ(InputTicker, "IQ_FINISHED_INV",Input!L$2,Date,,,Ccy,Conv)</f>
        <v>119.878</v>
      </c>
      <c r="K394" s="4">
        <f>_xll.ciqfunctions.udf.CIQ(InputTicker, "IQ_FINISHED_INV",Input!M$2,Date,,,Ccy,Conv)</f>
        <v>111.797</v>
      </c>
      <c r="L394" s="4">
        <f>_xll.ciqfunctions.udf.CIQ(InputTicker, "IQ_FINISHED_INV",Input!N$2,Date,,,Ccy,Conv)</f>
        <v>129.16300000000001</v>
      </c>
      <c r="M394" s="4">
        <f>_xll.ciqfunctions.udf.CIQ(InputTicker, "IQ_FINISHED_INV",Input!O$2,Date,,,Ccy,Conv)</f>
        <v>109.583</v>
      </c>
      <c r="N394" s="53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  <c r="BM394" s="42"/>
      <c r="BN394" s="42"/>
    </row>
    <row r="395" spans="1:66" ht="12.75" customHeight="1" x14ac:dyDescent="0.2">
      <c r="A395" s="1" t="s">
        <v>223</v>
      </c>
      <c r="B395" s="4">
        <f>_xll.ciqfunctions.udf.CIQ(InputTicker, "IQ_OTHER_INV",Input!D$2,Date,,,Ccy,Conv)</f>
        <v>0</v>
      </c>
      <c r="C395" s="4">
        <f>_xll.ciqfunctions.udf.CIQ(InputTicker, "IQ_OTHER_INV",Input!E$2,Date,,,Ccy,Conv)</f>
        <v>0</v>
      </c>
      <c r="D395" s="4">
        <f>_xll.ciqfunctions.udf.CIQ(InputTicker, "IQ_OTHER_INV",Input!F$2,Date,,,Ccy,Conv)</f>
        <v>0</v>
      </c>
      <c r="E395" s="4">
        <f>_xll.ciqfunctions.udf.CIQ(InputTicker, "IQ_OTHER_INV",Input!G$2,Date,,,Ccy,Conv)</f>
        <v>0</v>
      </c>
      <c r="F395" s="4">
        <f>_xll.ciqfunctions.udf.CIQ(InputTicker, "IQ_OTHER_INV",Input!H$2,Date,,,Ccy,Conv)</f>
        <v>0</v>
      </c>
      <c r="G395" s="4">
        <f>_xll.ciqfunctions.udf.CIQ(InputTicker, "IQ_OTHER_INV",Input!I$2,Date,,,Ccy,Conv)</f>
        <v>0</v>
      </c>
      <c r="H395" s="4">
        <f>_xll.ciqfunctions.udf.CIQ(InputTicker, "IQ_OTHER_INV",Input!J$2,Date,,,Ccy,Conv)</f>
        <v>0</v>
      </c>
      <c r="I395" s="4">
        <f>_xll.ciqfunctions.udf.CIQ(InputTicker, "IQ_OTHER_INV",Input!K$2,Date,,,Ccy,Conv)</f>
        <v>0</v>
      </c>
      <c r="J395" s="4">
        <f>_xll.ciqfunctions.udf.CIQ(InputTicker, "IQ_OTHER_INV",Input!L$2,Date,,,Ccy,Conv)</f>
        <v>0</v>
      </c>
      <c r="K395" s="4">
        <f>_xll.ciqfunctions.udf.CIQ(InputTicker, "IQ_OTHER_INV",Input!M$2,Date,,,Ccy,Conv)</f>
        <v>0</v>
      </c>
      <c r="L395" s="4">
        <f>_xll.ciqfunctions.udf.CIQ(InputTicker, "IQ_OTHER_INV",Input!N$2,Date,,,Ccy,Conv)</f>
        <v>0</v>
      </c>
      <c r="M395" s="4">
        <f>_xll.ciqfunctions.udf.CIQ(InputTicker, "IQ_OTHER_INV",Input!O$2,Date,,,Ccy,Conv)</f>
        <v>0</v>
      </c>
      <c r="N395" s="53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  <c r="BM395" s="42"/>
      <c r="BN395" s="42"/>
    </row>
    <row r="396" spans="1:66" ht="12.75" customHeight="1" x14ac:dyDescent="0.2">
      <c r="A396" s="1" t="s">
        <v>224</v>
      </c>
      <c r="B396" s="4">
        <f>_xll.ciqfunctions.udf.CIQ(InputTicker, "IQ_LAND",Input!D$2,Date,,,Ccy,Conv)</f>
        <v>77.063999999999993</v>
      </c>
      <c r="C396" s="4">
        <f>_xll.ciqfunctions.udf.CIQ(InputTicker, "IQ_LAND",Input!E$2,Date,,,Ccy,Conv)</f>
        <v>80.775000000000006</v>
      </c>
      <c r="D396" s="4">
        <f>_xll.ciqfunctions.udf.CIQ(InputTicker, "IQ_LAND",Input!F$2,Date,,,Ccy,Conv)</f>
        <v>87.275999999999996</v>
      </c>
      <c r="E396" s="4">
        <f>_xll.ciqfunctions.udf.CIQ(InputTicker, "IQ_LAND",Input!G$2,Date,,,Ccy,Conv)</f>
        <v>90.757000000000005</v>
      </c>
      <c r="F396" s="4">
        <f>_xll.ciqfunctions.udf.CIQ(InputTicker, "IQ_LAND",Input!H$2,Date,,,Ccy,Conv)</f>
        <v>93.046000000000006</v>
      </c>
      <c r="G396" s="4">
        <f>_xll.ciqfunctions.udf.CIQ(InputTicker, "IQ_LAND",Input!I$2,Date,,,Ccy,Conv)</f>
        <v>91.864999999999995</v>
      </c>
      <c r="H396" s="4">
        <f>_xll.ciqfunctions.udf.CIQ(InputTicker, "IQ_LAND",Input!J$2,Date,,,Ccy,Conv)</f>
        <v>101.17400000000001</v>
      </c>
      <c r="I396" s="4">
        <f>_xll.ciqfunctions.udf.CIQ(InputTicker, "IQ_LAND",Input!K$2,Date,,,Ccy,Conv)</f>
        <v>109.833</v>
      </c>
      <c r="J396" s="4">
        <f>_xll.ciqfunctions.udf.CIQ(InputTicker, "IQ_LAND",Input!L$2,Date,,,Ccy,Conv)</f>
        <v>117.279</v>
      </c>
      <c r="K396" s="4">
        <f>_xll.ciqfunctions.udf.CIQ(InputTicker, "IQ_LAND",Input!M$2,Date,,,Ccy,Conv)</f>
        <v>131.05099999999999</v>
      </c>
      <c r="L396" s="4">
        <f>_xll.ciqfunctions.udf.CIQ(InputTicker, "IQ_LAND",Input!N$2,Date,,,Ccy,Conv)</f>
        <v>158.62700000000001</v>
      </c>
      <c r="M396" s="4">
        <f>_xll.ciqfunctions.udf.CIQ(InputTicker, "IQ_LAND",Input!O$2,Date,,,Ccy,Conv)</f>
        <v>0</v>
      </c>
      <c r="N396" s="53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  <c r="BN396" s="42"/>
    </row>
    <row r="397" spans="1:66" ht="12.75" customHeight="1" x14ac:dyDescent="0.2">
      <c r="A397" s="1" t="s">
        <v>225</v>
      </c>
      <c r="B397" s="4">
        <f>_xll.ciqfunctions.udf.CIQ(InputTicker, "IQ_BUILDINGS",Input!D$2,Date,,,Ccy,Conv)</f>
        <v>270.07600000000002</v>
      </c>
      <c r="C397" s="4">
        <f>_xll.ciqfunctions.udf.CIQ(InputTicker, "IQ_BUILDINGS",Input!E$2,Date,,,Ccy,Conv)</f>
        <v>291.88799999999998</v>
      </c>
      <c r="D397" s="4">
        <f>_xll.ciqfunctions.udf.CIQ(InputTicker, "IQ_BUILDINGS",Input!F$2,Date,,,Ccy,Conv)</f>
        <v>342.93299999999999</v>
      </c>
      <c r="E397" s="4">
        <f>_xll.ciqfunctions.udf.CIQ(InputTicker, "IQ_BUILDINGS",Input!G$2,Date,,,Ccy,Conv)</f>
        <v>360.03</v>
      </c>
      <c r="F397" s="4">
        <f>_xll.ciqfunctions.udf.CIQ(InputTicker, "IQ_BUILDINGS",Input!H$2,Date,,,Ccy,Conv)</f>
        <v>370.45100000000002</v>
      </c>
      <c r="G397" s="4">
        <f>_xll.ciqfunctions.udf.CIQ(InputTicker, "IQ_BUILDINGS",Input!I$2,Date,,,Ccy,Conv)</f>
        <v>393.19499999999999</v>
      </c>
      <c r="H397" s="4">
        <f>_xll.ciqfunctions.udf.CIQ(InputTicker, "IQ_BUILDINGS",Input!J$2,Date,,,Ccy,Conv)</f>
        <v>454.33199999999999</v>
      </c>
      <c r="I397" s="4">
        <f>_xll.ciqfunctions.udf.CIQ(InputTicker, "IQ_BUILDINGS",Input!K$2,Date,,,Ccy,Conv)</f>
        <v>517.85900000000004</v>
      </c>
      <c r="J397" s="4">
        <f>_xll.ciqfunctions.udf.CIQ(InputTicker, "IQ_BUILDINGS",Input!L$2,Date,,,Ccy,Conv)</f>
        <v>552.66899999999998</v>
      </c>
      <c r="K397" s="4">
        <f>_xll.ciqfunctions.udf.CIQ(InputTicker, "IQ_BUILDINGS",Input!M$2,Date,,,Ccy,Conv)</f>
        <v>627.12099999999998</v>
      </c>
      <c r="L397" s="4">
        <f>_xll.ciqfunctions.udf.CIQ(InputTicker, "IQ_BUILDINGS",Input!N$2,Date,,,Ccy,Conv)</f>
        <v>722.55200000000002</v>
      </c>
      <c r="M397" s="4">
        <f>_xll.ciqfunctions.udf.CIQ(InputTicker, "IQ_BUILDINGS",Input!O$2,Date,,,Ccy,Conv)</f>
        <v>0</v>
      </c>
      <c r="N397" s="53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  <c r="BM397" s="42"/>
      <c r="BN397" s="42"/>
    </row>
    <row r="398" spans="1:66" ht="12.75" customHeight="1" x14ac:dyDescent="0.2">
      <c r="A398" s="1" t="s">
        <v>226</v>
      </c>
      <c r="B398" s="4">
        <f>_xll.ciqfunctions.udf.CIQ(InputTicker, "IQ_MACHINERY",Input!D$2,Date,,,Ccy,Conv)</f>
        <v>364.209</v>
      </c>
      <c r="C398" s="4">
        <f>_xll.ciqfunctions.udf.CIQ(InputTicker, "IQ_MACHINERY",Input!E$2,Date,,,Ccy,Conv)</f>
        <v>399.80399999999997</v>
      </c>
      <c r="D398" s="4">
        <f>_xll.ciqfunctions.udf.CIQ(InputTicker, "IQ_MACHINERY",Input!F$2,Date,,,Ccy,Conv)</f>
        <v>460.21800000000002</v>
      </c>
      <c r="E398" s="4">
        <f>_xll.ciqfunctions.udf.CIQ(InputTicker, "IQ_MACHINERY",Input!G$2,Date,,,Ccy,Conv)</f>
        <v>478.99700000000001</v>
      </c>
      <c r="F398" s="4">
        <f>_xll.ciqfunctions.udf.CIQ(InputTicker, "IQ_MACHINERY",Input!H$2,Date,,,Ccy,Conv)</f>
        <v>494.93700000000001</v>
      </c>
      <c r="G398" s="4">
        <f>_xll.ciqfunctions.udf.CIQ(InputTicker, "IQ_MACHINERY",Input!I$2,Date,,,Ccy,Conv)</f>
        <v>531.54499999999996</v>
      </c>
      <c r="H398" s="4">
        <f>_xll.ciqfunctions.udf.CIQ(InputTicker, "IQ_MACHINERY",Input!J$2,Date,,,Ccy,Conv)</f>
        <v>584.77800000000002</v>
      </c>
      <c r="I398" s="4">
        <f>_xll.ciqfunctions.udf.CIQ(InputTicker, "IQ_MACHINERY",Input!K$2,Date,,,Ccy,Conv)</f>
        <v>655.92499999999995</v>
      </c>
      <c r="J398" s="4">
        <f>_xll.ciqfunctions.udf.CIQ(InputTicker, "IQ_MACHINERY",Input!L$2,Date,,,Ccy,Conv)</f>
        <v>715.20500000000004</v>
      </c>
      <c r="K398" s="4">
        <f>_xll.ciqfunctions.udf.CIQ(InputTicker, "IQ_MACHINERY",Input!M$2,Date,,,Ccy,Conv)</f>
        <v>782.73599999999999</v>
      </c>
      <c r="L398" s="4">
        <f>_xll.ciqfunctions.udf.CIQ(InputTicker, "IQ_MACHINERY",Input!N$2,Date,,,Ccy,Conv)</f>
        <v>876.024</v>
      </c>
      <c r="M398" s="4">
        <f>_xll.ciqfunctions.udf.CIQ(InputTicker, "IQ_MACHINERY",Input!O$2,Date,,,Ccy,Conv)</f>
        <v>0</v>
      </c>
      <c r="N398" s="53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  <c r="BM398" s="42"/>
      <c r="BN398" s="42"/>
    </row>
    <row r="399" spans="1:66" ht="12.75" customHeight="1" x14ac:dyDescent="0.2">
      <c r="A399" s="1" t="s">
        <v>28</v>
      </c>
      <c r="B399" s="4">
        <f>_xll.ciqfunctions.udf.CIQ(InputTicker, "IQ_SOFTWARE",Input!D$2,Date,,,Ccy,Conv)</f>
        <v>0</v>
      </c>
      <c r="C399" s="4">
        <f>_xll.ciqfunctions.udf.CIQ(InputTicker, "IQ_SOFTWARE",Input!E$2,Date,,,Ccy,Conv)</f>
        <v>0</v>
      </c>
      <c r="D399" s="4">
        <f>_xll.ciqfunctions.udf.CIQ(InputTicker, "IQ_SOFTWARE",Input!F$2,Date,,,Ccy,Conv)</f>
        <v>0</v>
      </c>
      <c r="E399" s="4">
        <f>_xll.ciqfunctions.udf.CIQ(InputTicker, "IQ_SOFTWARE",Input!G$2,Date,,,Ccy,Conv)</f>
        <v>0</v>
      </c>
      <c r="F399" s="4">
        <f>_xll.ciqfunctions.udf.CIQ(InputTicker, "IQ_SOFTWARE",Input!H$2,Date,,,Ccy,Conv)</f>
        <v>0</v>
      </c>
      <c r="G399" s="4">
        <f>_xll.ciqfunctions.udf.CIQ(InputTicker, "IQ_SOFTWARE",Input!I$2,Date,,,Ccy,Conv)</f>
        <v>0</v>
      </c>
      <c r="H399" s="4">
        <f>_xll.ciqfunctions.udf.CIQ(InputTicker, "IQ_SOFTWARE",Input!J$2,Date,,,Ccy,Conv)</f>
        <v>0</v>
      </c>
      <c r="I399" s="4">
        <f>_xll.ciqfunctions.udf.CIQ(InputTicker, "IQ_SOFTWARE",Input!K$2,Date,,,Ccy,Conv)</f>
        <v>0</v>
      </c>
      <c r="J399" s="4">
        <f>_xll.ciqfunctions.udf.CIQ(InputTicker, "IQ_SOFTWARE",Input!L$2,Date,,,Ccy,Conv)</f>
        <v>0</v>
      </c>
      <c r="K399" s="4">
        <f>_xll.ciqfunctions.udf.CIQ(InputTicker, "IQ_SOFTWARE",Input!M$2,Date,,,Ccy,Conv)</f>
        <v>0</v>
      </c>
      <c r="L399" s="4">
        <f>_xll.ciqfunctions.udf.CIQ(InputTicker, "IQ_SOFTWARE",Input!N$2,Date,,,Ccy,Conv)</f>
        <v>0</v>
      </c>
      <c r="M399" s="4">
        <f>_xll.ciqfunctions.udf.CIQ(InputTicker, "IQ_SOFTWARE",Input!O$2,Date,,,Ccy,Conv)</f>
        <v>0</v>
      </c>
      <c r="N399" s="53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  <c r="BN399" s="42"/>
    </row>
    <row r="400" spans="1:66" ht="12.75" customHeight="1" x14ac:dyDescent="0.2">
      <c r="A400" s="1" t="s">
        <v>501</v>
      </c>
      <c r="B400" s="4">
        <f>_xll.ciqfunctions.udf.CIQ(InputTicker, "IQ_NATURAL_RESOURCES_COST",Input!D$2,Date,,,Ccy,Conv)</f>
        <v>0</v>
      </c>
      <c r="C400" s="4">
        <f>_xll.ciqfunctions.udf.CIQ(InputTicker, "IQ_NATURAL_RESOURCES_COST",Input!E$2,Date,,,Ccy,Conv)</f>
        <v>0</v>
      </c>
      <c r="D400" s="4">
        <f>_xll.ciqfunctions.udf.CIQ(InputTicker, "IQ_NATURAL_RESOURCES_COST",Input!F$2,Date,,,Ccy,Conv)</f>
        <v>0</v>
      </c>
      <c r="E400" s="4">
        <f>_xll.ciqfunctions.udf.CIQ(InputTicker, "IQ_NATURAL_RESOURCES_COST",Input!G$2,Date,,,Ccy,Conv)</f>
        <v>0</v>
      </c>
      <c r="F400" s="4">
        <f>_xll.ciqfunctions.udf.CIQ(InputTicker, "IQ_NATURAL_RESOURCES_COST",Input!H$2,Date,,,Ccy,Conv)</f>
        <v>0</v>
      </c>
      <c r="G400" s="4">
        <f>_xll.ciqfunctions.udf.CIQ(InputTicker, "IQ_NATURAL_RESOURCES_COST",Input!I$2,Date,,,Ccy,Conv)</f>
        <v>0</v>
      </c>
      <c r="H400" s="4">
        <f>_xll.ciqfunctions.udf.CIQ(InputTicker, "IQ_NATURAL_RESOURCES_COST",Input!J$2,Date,,,Ccy,Conv)</f>
        <v>0</v>
      </c>
      <c r="I400" s="4">
        <f>_xll.ciqfunctions.udf.CIQ(InputTicker, "IQ_NATURAL_RESOURCES_COST",Input!K$2,Date,,,Ccy,Conv)</f>
        <v>0</v>
      </c>
      <c r="J400" s="4">
        <f>_xll.ciqfunctions.udf.CIQ(InputTicker, "IQ_NATURAL_RESOURCES_COST",Input!L$2,Date,,,Ccy,Conv)</f>
        <v>0</v>
      </c>
      <c r="K400" s="4">
        <f>_xll.ciqfunctions.udf.CIQ(InputTicker, "IQ_NATURAL_RESOURCES_COST",Input!M$2,Date,,,Ccy,Conv)</f>
        <v>0</v>
      </c>
      <c r="L400" s="4">
        <f>_xll.ciqfunctions.udf.CIQ(InputTicker, "IQ_NATURAL_RESOURCES_COST",Input!N$2,Date,,,Ccy,Conv)</f>
        <v>0</v>
      </c>
      <c r="M400" s="4">
        <f>_xll.ciqfunctions.udf.CIQ(InputTicker, "IQ_NATURAL_RESOURCES_COST",Input!O$2,Date,,,Ccy,Conv)</f>
        <v>0</v>
      </c>
      <c r="N400" s="53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</row>
    <row r="401" spans="1:66" ht="12.75" customHeight="1" x14ac:dyDescent="0.2">
      <c r="A401" s="1" t="s">
        <v>437</v>
      </c>
      <c r="B401" s="4">
        <f>_xll.ciqfunctions.udf.CIQ(InputTicker, "IQ_CIP",Input!D$2,Date,,,Ccy,Conv)</f>
        <v>42.893000000000001</v>
      </c>
      <c r="C401" s="4">
        <f>_xll.ciqfunctions.udf.CIQ(InputTicker, "IQ_CIP",Input!E$2,Date,,,Ccy,Conv)</f>
        <v>50.177999999999997</v>
      </c>
      <c r="D401" s="4">
        <f>_xll.ciqfunctions.udf.CIQ(InputTicker, "IQ_CIP",Input!F$2,Date,,,Ccy,Conv)</f>
        <v>36.752000000000002</v>
      </c>
      <c r="E401" s="4">
        <f>_xll.ciqfunctions.udf.CIQ(InputTicker, "IQ_CIP",Input!G$2,Date,,,Ccy,Conv)</f>
        <v>9.3070000000000004</v>
      </c>
      <c r="F401" s="4">
        <f>_xll.ciqfunctions.udf.CIQ(InputTicker, "IQ_CIP",Input!H$2,Date,,,Ccy,Conv)</f>
        <v>52.551000000000002</v>
      </c>
      <c r="G401" s="4">
        <f>_xll.ciqfunctions.udf.CIQ(InputTicker, "IQ_CIP",Input!I$2,Date,,,Ccy,Conv)</f>
        <v>126.06100000000001</v>
      </c>
      <c r="H401" s="4">
        <f>_xll.ciqfunctions.udf.CIQ(InputTicker, "IQ_CIP",Input!J$2,Date,,,Ccy,Conv)</f>
        <v>72.879000000000005</v>
      </c>
      <c r="I401" s="4">
        <f>_xll.ciqfunctions.udf.CIQ(InputTicker, "IQ_CIP",Input!K$2,Date,,,Ccy,Conv)</f>
        <v>71.966999999999999</v>
      </c>
      <c r="J401" s="4">
        <f>_xll.ciqfunctions.udf.CIQ(InputTicker, "IQ_CIP",Input!L$2,Date,,,Ccy,Conv)</f>
        <v>98.605000000000004</v>
      </c>
      <c r="K401" s="4">
        <f>_xll.ciqfunctions.udf.CIQ(InputTicker, "IQ_CIP",Input!M$2,Date,,,Ccy,Conv)</f>
        <v>121.26600000000001</v>
      </c>
      <c r="L401" s="4">
        <f>_xll.ciqfunctions.udf.CIQ(InputTicker, "IQ_CIP",Input!N$2,Date,,,Ccy,Conv)</f>
        <v>148.62100000000001</v>
      </c>
      <c r="M401" s="4">
        <f>_xll.ciqfunctions.udf.CIQ(InputTicker, "IQ_CIP",Input!O$2,Date,,,Ccy,Conv)</f>
        <v>0</v>
      </c>
      <c r="N401" s="53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  <c r="BN401" s="42"/>
    </row>
    <row r="402" spans="1:66" ht="12.75" customHeight="1" x14ac:dyDescent="0.2">
      <c r="A402" s="1" t="s">
        <v>438</v>
      </c>
      <c r="B402" s="4">
        <f>_xll.ciqfunctions.udf.CIQ(InputTicker, "IQ_LEASEHOLD_IMPROVEMENT",Input!D$2,Date,,,Ccy,Conv)</f>
        <v>0</v>
      </c>
      <c r="C402" s="4">
        <f>_xll.ciqfunctions.udf.CIQ(InputTicker, "IQ_LEASEHOLD_IMPROVEMENT",Input!E$2,Date,,,Ccy,Conv)</f>
        <v>0</v>
      </c>
      <c r="D402" s="4">
        <f>_xll.ciqfunctions.udf.CIQ(InputTicker, "IQ_LEASEHOLD_IMPROVEMENT",Input!F$2,Date,,,Ccy,Conv)</f>
        <v>0</v>
      </c>
      <c r="E402" s="4">
        <f>_xll.ciqfunctions.udf.CIQ(InputTicker, "IQ_LEASEHOLD_IMPROVEMENT",Input!G$2,Date,,,Ccy,Conv)</f>
        <v>0</v>
      </c>
      <c r="F402" s="4">
        <f>_xll.ciqfunctions.udf.CIQ(InputTicker, "IQ_LEASEHOLD_IMPROVEMENT",Input!H$2,Date,,,Ccy,Conv)</f>
        <v>0</v>
      </c>
      <c r="G402" s="4">
        <f>_xll.ciqfunctions.udf.CIQ(InputTicker, "IQ_LEASEHOLD_IMPROVEMENT",Input!I$2,Date,,,Ccy,Conv)</f>
        <v>0</v>
      </c>
      <c r="H402" s="4">
        <f>_xll.ciqfunctions.udf.CIQ(InputTicker, "IQ_LEASEHOLD_IMPROVEMENT",Input!J$2,Date,,,Ccy,Conv)</f>
        <v>0</v>
      </c>
      <c r="I402" s="4">
        <f>_xll.ciqfunctions.udf.CIQ(InputTicker, "IQ_LEASEHOLD_IMPROVEMENT",Input!K$2,Date,,,Ccy,Conv)</f>
        <v>0</v>
      </c>
      <c r="J402" s="4">
        <f>_xll.ciqfunctions.udf.CIQ(InputTicker, "IQ_LEASEHOLD_IMPROVEMENT",Input!L$2,Date,,,Ccy,Conv)</f>
        <v>0</v>
      </c>
      <c r="K402" s="4">
        <f>_xll.ciqfunctions.udf.CIQ(InputTicker, "IQ_LEASEHOLD_IMPROVEMENT",Input!M$2,Date,,,Ccy,Conv)</f>
        <v>0</v>
      </c>
      <c r="L402" s="4">
        <f>_xll.ciqfunctions.udf.CIQ(InputTicker, "IQ_LEASEHOLD_IMPROVEMENT",Input!N$2,Date,,,Ccy,Conv)</f>
        <v>0</v>
      </c>
      <c r="M402" s="4">
        <f>_xll.ciqfunctions.udf.CIQ(InputTicker, "IQ_LEASEHOLD_IMPROVEMENT",Input!O$2,Date,,,Ccy,Conv)</f>
        <v>0</v>
      </c>
      <c r="N402" s="53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  <c r="BM402" s="42"/>
      <c r="BN402" s="42"/>
    </row>
    <row r="403" spans="1:66" ht="12.75" customHeight="1" x14ac:dyDescent="0.2">
      <c r="A403" s="1" t="s">
        <v>24</v>
      </c>
      <c r="B403" s="4">
        <f>_xll.ciqfunctions.udf.CIQ(InputTicker, "IQ_MINORITY_INT_REDEEM",Input!D$2,Date,,,Ccy,Conv)</f>
        <v>0</v>
      </c>
      <c r="C403" s="4">
        <f>_xll.ciqfunctions.udf.CIQ(InputTicker, "IQ_MINORITY_INT_REDEEM",Input!E$2,Date,,,Ccy,Conv)</f>
        <v>0</v>
      </c>
      <c r="D403" s="4">
        <f>_xll.ciqfunctions.udf.CIQ(InputTicker, "IQ_MINORITY_INT_REDEEM",Input!F$2,Date,,,Ccy,Conv)</f>
        <v>0</v>
      </c>
      <c r="E403" s="4">
        <f>_xll.ciqfunctions.udf.CIQ(InputTicker, "IQ_MINORITY_INT_REDEEM",Input!G$2,Date,,,Ccy,Conv)</f>
        <v>0</v>
      </c>
      <c r="F403" s="4">
        <f>_xll.ciqfunctions.udf.CIQ(InputTicker, "IQ_MINORITY_INT_REDEEM",Input!H$2,Date,,,Ccy,Conv)</f>
        <v>0</v>
      </c>
      <c r="G403" s="4">
        <f>_xll.ciqfunctions.udf.CIQ(InputTicker, "IQ_MINORITY_INT_REDEEM",Input!I$2,Date,,,Ccy,Conv)</f>
        <v>0</v>
      </c>
      <c r="H403" s="4">
        <f>_xll.ciqfunctions.udf.CIQ(InputTicker, "IQ_MINORITY_INT_REDEEM",Input!J$2,Date,,,Ccy,Conv)</f>
        <v>0</v>
      </c>
      <c r="I403" s="4">
        <f>_xll.ciqfunctions.udf.CIQ(InputTicker, "IQ_MINORITY_INT_REDEEM",Input!K$2,Date,,,Ccy,Conv)</f>
        <v>0</v>
      </c>
      <c r="J403" s="4">
        <f>_xll.ciqfunctions.udf.CIQ(InputTicker, "IQ_MINORITY_INT_REDEEM",Input!L$2,Date,,,Ccy,Conv)</f>
        <v>0</v>
      </c>
      <c r="K403" s="4">
        <f>_xll.ciqfunctions.udf.CIQ(InputTicker, "IQ_MINORITY_INT_REDEEM",Input!M$2,Date,,,Ccy,Conv)</f>
        <v>0</v>
      </c>
      <c r="L403" s="4">
        <f>_xll.ciqfunctions.udf.CIQ(InputTicker, "IQ_MINORITY_INT_REDEEM",Input!N$2,Date,,,Ccy,Conv)</f>
        <v>0</v>
      </c>
      <c r="M403" s="4">
        <f>_xll.ciqfunctions.udf.CIQ(InputTicker, "IQ_MINORITY_INT_REDEEM",Input!O$2,Date,,,Ccy,Conv)</f>
        <v>0</v>
      </c>
      <c r="N403" s="53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  <c r="BM403" s="42"/>
      <c r="BN403" s="42"/>
    </row>
    <row r="404" spans="1:66" ht="12.75" customHeight="1" x14ac:dyDescent="0.2">
      <c r="A404" s="1" t="s">
        <v>25</v>
      </c>
      <c r="B404" s="4">
        <f>_xll.ciqfunctions.udf.CIQ(InputTicker, "IQ_FIN_DIV_MINORITY_INT_REDEEM",Input!D$2,Date,,,Ccy,Conv)</f>
        <v>0</v>
      </c>
      <c r="C404" s="4">
        <f>_xll.ciqfunctions.udf.CIQ(InputTicker, "IQ_FIN_DIV_MINORITY_INT_REDEEM",Input!E$2,Date,,,Ccy,Conv)</f>
        <v>0</v>
      </c>
      <c r="D404" s="4">
        <f>_xll.ciqfunctions.udf.CIQ(InputTicker, "IQ_FIN_DIV_MINORITY_INT_REDEEM",Input!F$2,Date,,,Ccy,Conv)</f>
        <v>0</v>
      </c>
      <c r="E404" s="4">
        <f>_xll.ciqfunctions.udf.CIQ(InputTicker, "IQ_FIN_DIV_MINORITY_INT_REDEEM",Input!G$2,Date,,,Ccy,Conv)</f>
        <v>0</v>
      </c>
      <c r="F404" s="4">
        <f>_xll.ciqfunctions.udf.CIQ(InputTicker, "IQ_FIN_DIV_MINORITY_INT_REDEEM",Input!H$2,Date,,,Ccy,Conv)</f>
        <v>0</v>
      </c>
      <c r="G404" s="4">
        <f>_xll.ciqfunctions.udf.CIQ(InputTicker, "IQ_FIN_DIV_MINORITY_INT_REDEEM",Input!I$2,Date,,,Ccy,Conv)</f>
        <v>0</v>
      </c>
      <c r="H404" s="4">
        <f>_xll.ciqfunctions.udf.CIQ(InputTicker, "IQ_FIN_DIV_MINORITY_INT_REDEEM",Input!J$2,Date,,,Ccy,Conv)</f>
        <v>0</v>
      </c>
      <c r="I404" s="4">
        <f>_xll.ciqfunctions.udf.CIQ(InputTicker, "IQ_FIN_DIV_MINORITY_INT_REDEEM",Input!K$2,Date,,,Ccy,Conv)</f>
        <v>0</v>
      </c>
      <c r="J404" s="4">
        <f>_xll.ciqfunctions.udf.CIQ(InputTicker, "IQ_FIN_DIV_MINORITY_INT_REDEEM",Input!L$2,Date,,,Ccy,Conv)</f>
        <v>0</v>
      </c>
      <c r="K404" s="4">
        <f>_xll.ciqfunctions.udf.CIQ(InputTicker, "IQ_FIN_DIV_MINORITY_INT_REDEEM",Input!M$2,Date,,,Ccy,Conv)</f>
        <v>0</v>
      </c>
      <c r="L404" s="4">
        <f>_xll.ciqfunctions.udf.CIQ(InputTicker, "IQ_FIN_DIV_MINORITY_INT_REDEEM",Input!N$2,Date,,,Ccy,Conv)</f>
        <v>0</v>
      </c>
      <c r="M404" s="4">
        <f>_xll.ciqfunctions.udf.CIQ(InputTicker, "IQ_FIN_DIV_MINORITY_INT_REDEEM",Input!O$2,Date,,,Ccy,Conv)</f>
        <v>0</v>
      </c>
      <c r="N404" s="53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  <c r="BN404" s="42"/>
    </row>
    <row r="405" spans="1:66" ht="12.75" customHeight="1" x14ac:dyDescent="0.2">
      <c r="A405" s="1" t="s">
        <v>26</v>
      </c>
      <c r="B405" s="4">
        <f>_xll.ciqfunctions.udf.CIQ(InputTicker, "IQ_MINORITY_INT_REDEEM_TOT",Input!D$2,Date,,,Ccy,Conv)</f>
        <v>0</v>
      </c>
      <c r="C405" s="4">
        <f>_xll.ciqfunctions.udf.CIQ(InputTicker, "IQ_MINORITY_INT_REDEEM_TOT",Input!E$2,Date,,,Ccy,Conv)</f>
        <v>0</v>
      </c>
      <c r="D405" s="4">
        <f>_xll.ciqfunctions.udf.CIQ(InputTicker, "IQ_MINORITY_INT_REDEEM_TOT",Input!F$2,Date,,,Ccy,Conv)</f>
        <v>0</v>
      </c>
      <c r="E405" s="4">
        <f>_xll.ciqfunctions.udf.CIQ(InputTicker, "IQ_MINORITY_INT_REDEEM_TOT",Input!G$2,Date,,,Ccy,Conv)</f>
        <v>0</v>
      </c>
      <c r="F405" s="4">
        <f>_xll.ciqfunctions.udf.CIQ(InputTicker, "IQ_MINORITY_INT_REDEEM_TOT",Input!H$2,Date,,,Ccy,Conv)</f>
        <v>0</v>
      </c>
      <c r="G405" s="4">
        <f>_xll.ciqfunctions.udf.CIQ(InputTicker, "IQ_MINORITY_INT_REDEEM_TOT",Input!I$2,Date,,,Ccy,Conv)</f>
        <v>0</v>
      </c>
      <c r="H405" s="4">
        <f>_xll.ciqfunctions.udf.CIQ(InputTicker, "IQ_MINORITY_INT_REDEEM_TOT",Input!J$2,Date,,,Ccy,Conv)</f>
        <v>0</v>
      </c>
      <c r="I405" s="4">
        <f>_xll.ciqfunctions.udf.CIQ(InputTicker, "IQ_MINORITY_INT_REDEEM_TOT",Input!K$2,Date,,,Ccy,Conv)</f>
        <v>0</v>
      </c>
      <c r="J405" s="4">
        <f>_xll.ciqfunctions.udf.CIQ(InputTicker, "IQ_MINORITY_INT_REDEEM_TOT",Input!L$2,Date,,,Ccy,Conv)</f>
        <v>0</v>
      </c>
      <c r="K405" s="4">
        <f>_xll.ciqfunctions.udf.CIQ(InputTicker, "IQ_MINORITY_INT_REDEEM_TOT",Input!M$2,Date,,,Ccy,Conv)</f>
        <v>0</v>
      </c>
      <c r="L405" s="4">
        <f>_xll.ciqfunctions.udf.CIQ(InputTicker, "IQ_MINORITY_INT_REDEEM_TOT",Input!N$2,Date,,,Ccy,Conv)</f>
        <v>0</v>
      </c>
      <c r="M405" s="4">
        <f>_xll.ciqfunctions.udf.CIQ(InputTicker, "IQ_MINORITY_INT_REDEEM_TOT",Input!O$2,Date,,,Ccy,Conv)</f>
        <v>0</v>
      </c>
      <c r="N405" s="53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  <c r="BN405" s="42"/>
    </row>
    <row r="406" spans="1:66" ht="12.75" customHeight="1" x14ac:dyDescent="0.2">
      <c r="A406" s="1" t="s">
        <v>27</v>
      </c>
      <c r="B406" s="4">
        <f>_xll.ciqfunctions.udf.CIQ(InputTicker, "IQ_FIN_DIV_MINORITY_INTEREST",Input!D$2,Date,,,Ccy,Conv)</f>
        <v>0</v>
      </c>
      <c r="C406" s="4">
        <f>_xll.ciqfunctions.udf.CIQ(InputTicker, "IQ_FIN_DIV_MINORITY_INTEREST",Input!E$2,Date,,,Ccy,Conv)</f>
        <v>0</v>
      </c>
      <c r="D406" s="4">
        <f>_xll.ciqfunctions.udf.CIQ(InputTicker, "IQ_FIN_DIV_MINORITY_INTEREST",Input!F$2,Date,,,Ccy,Conv)</f>
        <v>0</v>
      </c>
      <c r="E406" s="4">
        <f>_xll.ciqfunctions.udf.CIQ(InputTicker, "IQ_FIN_DIV_MINORITY_INTEREST",Input!G$2,Date,,,Ccy,Conv)</f>
        <v>0</v>
      </c>
      <c r="F406" s="4">
        <f>_xll.ciqfunctions.udf.CIQ(InputTicker, "IQ_FIN_DIV_MINORITY_INTEREST",Input!H$2,Date,,,Ccy,Conv)</f>
        <v>0</v>
      </c>
      <c r="G406" s="4">
        <f>_xll.ciqfunctions.udf.CIQ(InputTicker, "IQ_FIN_DIV_MINORITY_INTEREST",Input!I$2,Date,,,Ccy,Conv)</f>
        <v>0</v>
      </c>
      <c r="H406" s="4">
        <f>_xll.ciqfunctions.udf.CIQ(InputTicker, "IQ_FIN_DIV_MINORITY_INTEREST",Input!J$2,Date,,,Ccy,Conv)</f>
        <v>0</v>
      </c>
      <c r="I406" s="4">
        <f>_xll.ciqfunctions.udf.CIQ(InputTicker, "IQ_FIN_DIV_MINORITY_INTEREST",Input!K$2,Date,,,Ccy,Conv)</f>
        <v>0</v>
      </c>
      <c r="J406" s="4">
        <f>_xll.ciqfunctions.udf.CIQ(InputTicker, "IQ_FIN_DIV_MINORITY_INTEREST",Input!L$2,Date,,,Ccy,Conv)</f>
        <v>0</v>
      </c>
      <c r="K406" s="4">
        <f>_xll.ciqfunctions.udf.CIQ(InputTicker, "IQ_FIN_DIV_MINORITY_INTEREST",Input!M$2,Date,,,Ccy,Conv)</f>
        <v>0</v>
      </c>
      <c r="L406" s="4">
        <f>_xll.ciqfunctions.udf.CIQ(InputTicker, "IQ_FIN_DIV_MINORITY_INTEREST",Input!N$2,Date,,,Ccy,Conv)</f>
        <v>0</v>
      </c>
      <c r="M406" s="4">
        <f>_xll.ciqfunctions.udf.CIQ(InputTicker, "IQ_FIN_DIV_MINORITY_INTEREST",Input!O$2,Date,,,Ccy,Conv)</f>
        <v>0</v>
      </c>
      <c r="N406" s="53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  <c r="BN406" s="42"/>
    </row>
    <row r="407" spans="1:66" ht="12.75" customHeight="1" x14ac:dyDescent="0.2">
      <c r="A407" s="1" t="s">
        <v>441</v>
      </c>
      <c r="B407" s="4">
        <f>_xll.ciqfunctions.udf.CIQ(InputTicker, "IQ_DEF_TAX_VALUATION_ALLOWANCE",Input!D$2,Date,,,Ccy,Conv)</f>
        <v>0</v>
      </c>
      <c r="C407" s="4">
        <f>_xll.ciqfunctions.udf.CIQ(InputTicker, "IQ_DEF_TAX_VALUATION_ALLOWANCE",Input!E$2,Date,,,Ccy,Conv)</f>
        <v>0</v>
      </c>
      <c r="D407" s="4">
        <f>_xll.ciqfunctions.udf.CIQ(InputTicker, "IQ_DEF_TAX_VALUATION_ALLOWANCE",Input!F$2,Date,,,Ccy,Conv)</f>
        <v>0</v>
      </c>
      <c r="E407" s="4">
        <f>_xll.ciqfunctions.udf.CIQ(InputTicker, "IQ_DEF_TAX_VALUATION_ALLOWANCE",Input!G$2,Date,,,Ccy,Conv)</f>
        <v>0</v>
      </c>
      <c r="F407" s="4">
        <f>_xll.ciqfunctions.udf.CIQ(InputTicker, "IQ_DEF_TAX_VALUATION_ALLOWANCE",Input!H$2,Date,,,Ccy,Conv)</f>
        <v>0</v>
      </c>
      <c r="G407" s="4">
        <f>_xll.ciqfunctions.udf.CIQ(InputTicker, "IQ_DEF_TAX_VALUATION_ALLOWANCE",Input!I$2,Date,,,Ccy,Conv)</f>
        <v>0</v>
      </c>
      <c r="H407" s="4">
        <f>_xll.ciqfunctions.udf.CIQ(InputTicker, "IQ_DEF_TAX_VALUATION_ALLOWANCE",Input!J$2,Date,,,Ccy,Conv)</f>
        <v>0</v>
      </c>
      <c r="I407" s="4">
        <f>_xll.ciqfunctions.udf.CIQ(InputTicker, "IQ_DEF_TAX_VALUATION_ALLOWANCE",Input!K$2,Date,,,Ccy,Conv)</f>
        <v>0</v>
      </c>
      <c r="J407" s="4">
        <f>_xll.ciqfunctions.udf.CIQ(InputTicker, "IQ_DEF_TAX_VALUATION_ALLOWANCE",Input!L$2,Date,,,Ccy,Conv)</f>
        <v>0</v>
      </c>
      <c r="K407" s="4">
        <f>_xll.ciqfunctions.udf.CIQ(InputTicker, "IQ_DEF_TAX_VALUATION_ALLOWANCE",Input!M$2,Date,,,Ccy,Conv)</f>
        <v>0</v>
      </c>
      <c r="L407" s="4">
        <f>_xll.ciqfunctions.udf.CIQ(InputTicker, "IQ_DEF_TAX_VALUATION_ALLOWANCE",Input!N$2,Date,,,Ccy,Conv)</f>
        <v>0</v>
      </c>
      <c r="M407" s="4">
        <f>_xll.ciqfunctions.udf.CIQ(InputTicker, "IQ_DEF_TAX_VALUATION_ALLOWANCE",Input!O$2,Date,,,Ccy,Conv)</f>
        <v>0</v>
      </c>
      <c r="N407" s="53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  <c r="BN407" s="42"/>
    </row>
    <row r="408" spans="1:66" ht="12.75" customHeight="1" x14ac:dyDescent="0.2">
      <c r="A408" s="1" t="s">
        <v>1</v>
      </c>
      <c r="B408" s="4">
        <f>_xll.ciqfunctions.udf.CIQ(InputTicker, "IQ_GENERAL_PARTNER_COMMON_EQUITY",Input!D$2,Date,,,Ccy,Conv)</f>
        <v>0</v>
      </c>
      <c r="C408" s="4">
        <f>_xll.ciqfunctions.udf.CIQ(InputTicker, "IQ_GENERAL_PARTNER_COMMON_EQUITY",Input!E$2,Date,,,Ccy,Conv)</f>
        <v>0</v>
      </c>
      <c r="D408" s="4">
        <f>_xll.ciqfunctions.udf.CIQ(InputTicker, "IQ_GENERAL_PARTNER_COMMON_EQUITY",Input!F$2,Date,,,Ccy,Conv)</f>
        <v>0</v>
      </c>
      <c r="E408" s="4">
        <f>_xll.ciqfunctions.udf.CIQ(InputTicker, "IQ_GENERAL_PARTNER_COMMON_EQUITY",Input!G$2,Date,,,Ccy,Conv)</f>
        <v>0</v>
      </c>
      <c r="F408" s="4">
        <f>_xll.ciqfunctions.udf.CIQ(InputTicker, "IQ_GENERAL_PARTNER_COMMON_EQUITY",Input!H$2,Date,,,Ccy,Conv)</f>
        <v>0</v>
      </c>
      <c r="G408" s="4">
        <f>_xll.ciqfunctions.udf.CIQ(InputTicker, "IQ_GENERAL_PARTNER_COMMON_EQUITY",Input!I$2,Date,,,Ccy,Conv)</f>
        <v>0</v>
      </c>
      <c r="H408" s="4">
        <f>_xll.ciqfunctions.udf.CIQ(InputTicker, "IQ_GENERAL_PARTNER_COMMON_EQUITY",Input!J$2,Date,,,Ccy,Conv)</f>
        <v>0</v>
      </c>
      <c r="I408" s="4">
        <f>_xll.ciqfunctions.udf.CIQ(InputTicker, "IQ_GENERAL_PARTNER_COMMON_EQUITY",Input!K$2,Date,,,Ccy,Conv)</f>
        <v>0</v>
      </c>
      <c r="J408" s="4">
        <f>_xll.ciqfunctions.udf.CIQ(InputTicker, "IQ_GENERAL_PARTNER_COMMON_EQUITY",Input!L$2,Date,,,Ccy,Conv)</f>
        <v>0</v>
      </c>
      <c r="K408" s="4">
        <f>_xll.ciqfunctions.udf.CIQ(InputTicker, "IQ_GENERAL_PARTNER_COMMON_EQUITY",Input!M$2,Date,,,Ccy,Conv)</f>
        <v>0</v>
      </c>
      <c r="L408" s="4">
        <f>_xll.ciqfunctions.udf.CIQ(InputTicker, "IQ_GENERAL_PARTNER_COMMON_EQUITY",Input!N$2,Date,,,Ccy,Conv)</f>
        <v>0</v>
      </c>
      <c r="M408" s="4">
        <f>_xll.ciqfunctions.udf.CIQ(InputTicker, "IQ_GENERAL_PARTNER_COMMON_EQUITY",Input!O$2,Date,,,Ccy,Conv)</f>
        <v>0</v>
      </c>
      <c r="N408" s="53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</row>
    <row r="409" spans="1:66" ht="12.75" customHeight="1" x14ac:dyDescent="0.2">
      <c r="A409" s="1" t="s">
        <v>2</v>
      </c>
      <c r="B409" s="4">
        <f>_xll.ciqfunctions.udf.CIQ(InputTicker, "IQ_GENERAL_PARTNER_PREF_EQUITY",Input!D$2,Date,,,Ccy,Conv)</f>
        <v>0</v>
      </c>
      <c r="C409" s="4">
        <f>_xll.ciqfunctions.udf.CIQ(InputTicker, "IQ_GENERAL_PARTNER_PREF_EQUITY",Input!E$2,Date,,,Ccy,Conv)</f>
        <v>0</v>
      </c>
      <c r="D409" s="4">
        <f>_xll.ciqfunctions.udf.CIQ(InputTicker, "IQ_GENERAL_PARTNER_PREF_EQUITY",Input!F$2,Date,,,Ccy,Conv)</f>
        <v>0</v>
      </c>
      <c r="E409" s="4">
        <f>_xll.ciqfunctions.udf.CIQ(InputTicker, "IQ_GENERAL_PARTNER_PREF_EQUITY",Input!G$2,Date,,,Ccy,Conv)</f>
        <v>0</v>
      </c>
      <c r="F409" s="4">
        <f>_xll.ciqfunctions.udf.CIQ(InputTicker, "IQ_GENERAL_PARTNER_PREF_EQUITY",Input!H$2,Date,,,Ccy,Conv)</f>
        <v>0</v>
      </c>
      <c r="G409" s="4">
        <f>_xll.ciqfunctions.udf.CIQ(InputTicker, "IQ_GENERAL_PARTNER_PREF_EQUITY",Input!I$2,Date,,,Ccy,Conv)</f>
        <v>0</v>
      </c>
      <c r="H409" s="4">
        <f>_xll.ciqfunctions.udf.CIQ(InputTicker, "IQ_GENERAL_PARTNER_PREF_EQUITY",Input!J$2,Date,,,Ccy,Conv)</f>
        <v>0</v>
      </c>
      <c r="I409" s="4">
        <f>_xll.ciqfunctions.udf.CIQ(InputTicker, "IQ_GENERAL_PARTNER_PREF_EQUITY",Input!K$2,Date,,,Ccy,Conv)</f>
        <v>0</v>
      </c>
      <c r="J409" s="4">
        <f>_xll.ciqfunctions.udf.CIQ(InputTicker, "IQ_GENERAL_PARTNER_PREF_EQUITY",Input!L$2,Date,,,Ccy,Conv)</f>
        <v>0</v>
      </c>
      <c r="K409" s="4">
        <f>_xll.ciqfunctions.udf.CIQ(InputTicker, "IQ_GENERAL_PARTNER_PREF_EQUITY",Input!M$2,Date,,,Ccy,Conv)</f>
        <v>0</v>
      </c>
      <c r="L409" s="4">
        <f>_xll.ciqfunctions.udf.CIQ(InputTicker, "IQ_GENERAL_PARTNER_PREF_EQUITY",Input!N$2,Date,,,Ccy,Conv)</f>
        <v>0</v>
      </c>
      <c r="M409" s="4">
        <f>_xll.ciqfunctions.udf.CIQ(InputTicker, "IQ_GENERAL_PARTNER_PREF_EQUITY",Input!O$2,Date,,,Ccy,Conv)</f>
        <v>0</v>
      </c>
      <c r="N409" s="53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  <c r="BM409" s="42"/>
      <c r="BN409" s="42"/>
    </row>
    <row r="410" spans="1:66" ht="12.75" customHeight="1" x14ac:dyDescent="0.2">
      <c r="A410" s="1" t="s">
        <v>3</v>
      </c>
      <c r="B410" s="4">
        <f>_xll.ciqfunctions.udf.CIQ(InputTicker, "IQ_GENERAL_PARTNER_MINORITY_INTEREST",Input!D$2,Date,,,Ccy,Conv)</f>
        <v>0</v>
      </c>
      <c r="C410" s="4">
        <f>_xll.ciqfunctions.udf.CIQ(InputTicker, "IQ_GENERAL_PARTNER_MINORITY_INTEREST",Input!E$2,Date,,,Ccy,Conv)</f>
        <v>0</v>
      </c>
      <c r="D410" s="4">
        <f>_xll.ciqfunctions.udf.CIQ(InputTicker, "IQ_GENERAL_PARTNER_MINORITY_INTEREST",Input!F$2,Date,,,Ccy,Conv)</f>
        <v>0</v>
      </c>
      <c r="E410" s="4">
        <f>_xll.ciqfunctions.udf.CIQ(InputTicker, "IQ_GENERAL_PARTNER_MINORITY_INTEREST",Input!G$2,Date,,,Ccy,Conv)</f>
        <v>0</v>
      </c>
      <c r="F410" s="4">
        <f>_xll.ciqfunctions.udf.CIQ(InputTicker, "IQ_GENERAL_PARTNER_MINORITY_INTEREST",Input!H$2,Date,,,Ccy,Conv)</f>
        <v>0</v>
      </c>
      <c r="G410" s="4">
        <f>_xll.ciqfunctions.udf.CIQ(InputTicker, "IQ_GENERAL_PARTNER_MINORITY_INTEREST",Input!I$2,Date,,,Ccy,Conv)</f>
        <v>0</v>
      </c>
      <c r="H410" s="4">
        <f>_xll.ciqfunctions.udf.CIQ(InputTicker, "IQ_GENERAL_PARTNER_MINORITY_INTEREST",Input!J$2,Date,,,Ccy,Conv)</f>
        <v>0</v>
      </c>
      <c r="I410" s="4">
        <f>_xll.ciqfunctions.udf.CIQ(InputTicker, "IQ_GENERAL_PARTNER_MINORITY_INTEREST",Input!K$2,Date,,,Ccy,Conv)</f>
        <v>0</v>
      </c>
      <c r="J410" s="4">
        <f>_xll.ciqfunctions.udf.CIQ(InputTicker, "IQ_GENERAL_PARTNER_MINORITY_INTEREST",Input!L$2,Date,,,Ccy,Conv)</f>
        <v>0</v>
      </c>
      <c r="K410" s="4">
        <f>_xll.ciqfunctions.udf.CIQ(InputTicker, "IQ_GENERAL_PARTNER_MINORITY_INTEREST",Input!M$2,Date,,,Ccy,Conv)</f>
        <v>0</v>
      </c>
      <c r="L410" s="4">
        <f>_xll.ciqfunctions.udf.CIQ(InputTicker, "IQ_GENERAL_PARTNER_MINORITY_INTEREST",Input!N$2,Date,,,Ccy,Conv)</f>
        <v>0</v>
      </c>
      <c r="M410" s="4">
        <f>_xll.ciqfunctions.udf.CIQ(InputTicker, "IQ_GENERAL_PARTNER_MINORITY_INTEREST",Input!O$2,Date,,,Ccy,Conv)</f>
        <v>0</v>
      </c>
      <c r="N410" s="53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  <c r="BM410" s="42"/>
      <c r="BN410" s="42"/>
    </row>
    <row r="411" spans="1:66" ht="12.75" customHeight="1" x14ac:dyDescent="0.2">
      <c r="A411" s="1" t="s">
        <v>4</v>
      </c>
      <c r="B411" s="4">
        <f>_xll.ciqfunctions.udf.CIQ(InputTicker, "IQ_TOTAL_GENERAL_PARTNER_INTEREST",Input!D$2,Date,,,Ccy,Conv)</f>
        <v>0</v>
      </c>
      <c r="C411" s="4">
        <f>_xll.ciqfunctions.udf.CIQ(InputTicker, "IQ_TOTAL_GENERAL_PARTNER_INTEREST",Input!E$2,Date,,,Ccy,Conv)</f>
        <v>0</v>
      </c>
      <c r="D411" s="4">
        <f>_xll.ciqfunctions.udf.CIQ(InputTicker, "IQ_TOTAL_GENERAL_PARTNER_INTEREST",Input!F$2,Date,,,Ccy,Conv)</f>
        <v>0</v>
      </c>
      <c r="E411" s="4">
        <f>_xll.ciqfunctions.udf.CIQ(InputTicker, "IQ_TOTAL_GENERAL_PARTNER_INTEREST",Input!G$2,Date,,,Ccy,Conv)</f>
        <v>0</v>
      </c>
      <c r="F411" s="4">
        <f>_xll.ciqfunctions.udf.CIQ(InputTicker, "IQ_TOTAL_GENERAL_PARTNER_INTEREST",Input!H$2,Date,,,Ccy,Conv)</f>
        <v>0</v>
      </c>
      <c r="G411" s="4">
        <f>_xll.ciqfunctions.udf.CIQ(InputTicker, "IQ_TOTAL_GENERAL_PARTNER_INTEREST",Input!I$2,Date,,,Ccy,Conv)</f>
        <v>0</v>
      </c>
      <c r="H411" s="4">
        <f>_xll.ciqfunctions.udf.CIQ(InputTicker, "IQ_TOTAL_GENERAL_PARTNER_INTEREST",Input!J$2,Date,,,Ccy,Conv)</f>
        <v>0</v>
      </c>
      <c r="I411" s="4">
        <f>_xll.ciqfunctions.udf.CIQ(InputTicker, "IQ_TOTAL_GENERAL_PARTNER_INTEREST",Input!K$2,Date,,,Ccy,Conv)</f>
        <v>0</v>
      </c>
      <c r="J411" s="4">
        <f>_xll.ciqfunctions.udf.CIQ(InputTicker, "IQ_TOTAL_GENERAL_PARTNER_INTEREST",Input!L$2,Date,,,Ccy,Conv)</f>
        <v>0</v>
      </c>
      <c r="K411" s="4">
        <f>_xll.ciqfunctions.udf.CIQ(InputTicker, "IQ_TOTAL_GENERAL_PARTNER_INTEREST",Input!M$2,Date,,,Ccy,Conv)</f>
        <v>0</v>
      </c>
      <c r="L411" s="4">
        <f>_xll.ciqfunctions.udf.CIQ(InputTicker, "IQ_TOTAL_GENERAL_PARTNER_INTEREST",Input!N$2,Date,,,Ccy,Conv)</f>
        <v>0</v>
      </c>
      <c r="M411" s="4">
        <f>_xll.ciqfunctions.udf.CIQ(InputTicker, "IQ_TOTAL_GENERAL_PARTNER_INTEREST",Input!O$2,Date,,,Ccy,Conv)</f>
        <v>0</v>
      </c>
      <c r="N411" s="53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  <c r="BM411" s="42"/>
      <c r="BN411" s="42"/>
    </row>
    <row r="412" spans="1:66" ht="12.75" customHeight="1" x14ac:dyDescent="0.2">
      <c r="A412" s="1" t="s">
        <v>396</v>
      </c>
      <c r="B412" s="4">
        <f>_xll.ciqfunctions.udf.CIQ(InputTicker, "IQ_LIQUIDATION_VALUE_PREFERRED_CONVERT",Input!D$2,Date,,,Ccy,Conv)</f>
        <v>0</v>
      </c>
      <c r="C412" s="4">
        <f>_xll.ciqfunctions.udf.CIQ(InputTicker, "IQ_LIQUIDATION_VALUE_PREFERRED_CONVERT",Input!E$2,Date,,,Ccy,Conv)</f>
        <v>0</v>
      </c>
      <c r="D412" s="4">
        <f>_xll.ciqfunctions.udf.CIQ(InputTicker, "IQ_LIQUIDATION_VALUE_PREFERRED_CONVERT",Input!F$2,Date,,,Ccy,Conv)</f>
        <v>0</v>
      </c>
      <c r="E412" s="4">
        <f>_xll.ciqfunctions.udf.CIQ(InputTicker, "IQ_LIQUIDATION_VALUE_PREFERRED_CONVERT",Input!G$2,Date,,,Ccy,Conv)</f>
        <v>0</v>
      </c>
      <c r="F412" s="4">
        <f>_xll.ciqfunctions.udf.CIQ(InputTicker, "IQ_LIQUIDATION_VALUE_PREFERRED_CONVERT",Input!H$2,Date,,,Ccy,Conv)</f>
        <v>0</v>
      </c>
      <c r="G412" s="4">
        <f>_xll.ciqfunctions.udf.CIQ(InputTicker, "IQ_LIQUIDATION_VALUE_PREFERRED_CONVERT",Input!I$2,Date,,,Ccy,Conv)</f>
        <v>0</v>
      </c>
      <c r="H412" s="4">
        <f>_xll.ciqfunctions.udf.CIQ(InputTicker, "IQ_LIQUIDATION_VALUE_PREFERRED_CONVERT",Input!J$2,Date,,,Ccy,Conv)</f>
        <v>0</v>
      </c>
      <c r="I412" s="4">
        <f>_xll.ciqfunctions.udf.CIQ(InputTicker, "IQ_LIQUIDATION_VALUE_PREFERRED_CONVERT",Input!K$2,Date,,,Ccy,Conv)</f>
        <v>0</v>
      </c>
      <c r="J412" s="4">
        <f>_xll.ciqfunctions.udf.CIQ(InputTicker, "IQ_LIQUIDATION_VALUE_PREFERRED_CONVERT",Input!L$2,Date,,,Ccy,Conv)</f>
        <v>0</v>
      </c>
      <c r="K412" s="4">
        <f>_xll.ciqfunctions.udf.CIQ(InputTicker, "IQ_LIQUIDATION_VALUE_PREFERRED_CONVERT",Input!M$2,Date,,,Ccy,Conv)</f>
        <v>0</v>
      </c>
      <c r="L412" s="4">
        <f>_xll.ciqfunctions.udf.CIQ(InputTicker, "IQ_LIQUIDATION_VALUE_PREFERRED_CONVERT",Input!N$2,Date,,,Ccy,Conv)</f>
        <v>0</v>
      </c>
      <c r="M412" s="4">
        <f>_xll.ciqfunctions.udf.CIQ(InputTicker, "IQ_LIQUIDATION_VALUE_PREFERRED_CONVERT",Input!O$2,Date,,,Ccy,Conv)</f>
        <v>0</v>
      </c>
      <c r="N412" s="53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  <c r="BM412" s="42"/>
      <c r="BN412" s="42"/>
    </row>
    <row r="413" spans="1:66" ht="12.75" customHeight="1" x14ac:dyDescent="0.2">
      <c r="A413" s="1" t="s">
        <v>397</v>
      </c>
      <c r="B413" s="4">
        <f>_xll.ciqfunctions.udf.CIQ(InputTicker, "IQ_LIQUIDATION_VALUE_PREFERRED_NON_REDEEM",Input!D$2,Date,,,Ccy,Conv)</f>
        <v>0</v>
      </c>
      <c r="C413" s="4">
        <f>_xll.ciqfunctions.udf.CIQ(InputTicker, "IQ_LIQUIDATION_VALUE_PREFERRED_NON_REDEEM",Input!E$2,Date,,,Ccy,Conv)</f>
        <v>0</v>
      </c>
      <c r="D413" s="4">
        <f>_xll.ciqfunctions.udf.CIQ(InputTicker, "IQ_LIQUIDATION_VALUE_PREFERRED_NON_REDEEM",Input!F$2,Date,,,Ccy,Conv)</f>
        <v>0</v>
      </c>
      <c r="E413" s="4">
        <f>_xll.ciqfunctions.udf.CIQ(InputTicker, "IQ_LIQUIDATION_VALUE_PREFERRED_NON_REDEEM",Input!G$2,Date,,,Ccy,Conv)</f>
        <v>0</v>
      </c>
      <c r="F413" s="4">
        <f>_xll.ciqfunctions.udf.CIQ(InputTicker, "IQ_LIQUIDATION_VALUE_PREFERRED_NON_REDEEM",Input!H$2,Date,,,Ccy,Conv)</f>
        <v>0</v>
      </c>
      <c r="G413" s="4">
        <f>_xll.ciqfunctions.udf.CIQ(InputTicker, "IQ_LIQUIDATION_VALUE_PREFERRED_NON_REDEEM",Input!I$2,Date,,,Ccy,Conv)</f>
        <v>0</v>
      </c>
      <c r="H413" s="4">
        <f>_xll.ciqfunctions.udf.CIQ(InputTicker, "IQ_LIQUIDATION_VALUE_PREFERRED_NON_REDEEM",Input!J$2,Date,,,Ccy,Conv)</f>
        <v>0</v>
      </c>
      <c r="I413" s="4">
        <f>_xll.ciqfunctions.udf.CIQ(InputTicker, "IQ_LIQUIDATION_VALUE_PREFERRED_NON_REDEEM",Input!K$2,Date,,,Ccy,Conv)</f>
        <v>0</v>
      </c>
      <c r="J413" s="4">
        <f>_xll.ciqfunctions.udf.CIQ(InputTicker, "IQ_LIQUIDATION_VALUE_PREFERRED_NON_REDEEM",Input!L$2,Date,,,Ccy,Conv)</f>
        <v>0</v>
      </c>
      <c r="K413" s="4">
        <f>_xll.ciqfunctions.udf.CIQ(InputTicker, "IQ_LIQUIDATION_VALUE_PREFERRED_NON_REDEEM",Input!M$2,Date,,,Ccy,Conv)</f>
        <v>0</v>
      </c>
      <c r="L413" s="4">
        <f>_xll.ciqfunctions.udf.CIQ(InputTicker, "IQ_LIQUIDATION_VALUE_PREFERRED_NON_REDEEM",Input!N$2,Date,,,Ccy,Conv)</f>
        <v>0</v>
      </c>
      <c r="M413" s="4">
        <f>_xll.ciqfunctions.udf.CIQ(InputTicker, "IQ_LIQUIDATION_VALUE_PREFERRED_NON_REDEEM",Input!O$2,Date,,,Ccy,Conv)</f>
        <v>0</v>
      </c>
      <c r="N413" s="53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  <c r="BN413" s="42"/>
    </row>
    <row r="414" spans="1:66" ht="12.75" customHeight="1" x14ac:dyDescent="0.2">
      <c r="A414" s="1" t="s">
        <v>398</v>
      </c>
      <c r="B414" s="4">
        <f>_xll.ciqfunctions.udf.CIQ(InputTicker, "IQ_LIQUIDATION_VALUE_PREFERRED_REDEEM",Input!D$2,Date,,,Ccy,Conv)</f>
        <v>0</v>
      </c>
      <c r="C414" s="4">
        <f>_xll.ciqfunctions.udf.CIQ(InputTicker, "IQ_LIQUIDATION_VALUE_PREFERRED_REDEEM",Input!E$2,Date,,,Ccy,Conv)</f>
        <v>0</v>
      </c>
      <c r="D414" s="4">
        <f>_xll.ciqfunctions.udf.CIQ(InputTicker, "IQ_LIQUIDATION_VALUE_PREFERRED_REDEEM",Input!F$2,Date,,,Ccy,Conv)</f>
        <v>0</v>
      </c>
      <c r="E414" s="4">
        <f>_xll.ciqfunctions.udf.CIQ(InputTicker, "IQ_LIQUIDATION_VALUE_PREFERRED_REDEEM",Input!G$2,Date,,,Ccy,Conv)</f>
        <v>0</v>
      </c>
      <c r="F414" s="4">
        <f>_xll.ciqfunctions.udf.CIQ(InputTicker, "IQ_LIQUIDATION_VALUE_PREFERRED_REDEEM",Input!H$2,Date,,,Ccy,Conv)</f>
        <v>0</v>
      </c>
      <c r="G414" s="4">
        <f>_xll.ciqfunctions.udf.CIQ(InputTicker, "IQ_LIQUIDATION_VALUE_PREFERRED_REDEEM",Input!I$2,Date,,,Ccy,Conv)</f>
        <v>0</v>
      </c>
      <c r="H414" s="4">
        <f>_xll.ciqfunctions.udf.CIQ(InputTicker, "IQ_LIQUIDATION_VALUE_PREFERRED_REDEEM",Input!J$2,Date,,,Ccy,Conv)</f>
        <v>0</v>
      </c>
      <c r="I414" s="4">
        <f>_xll.ciqfunctions.udf.CIQ(InputTicker, "IQ_LIQUIDATION_VALUE_PREFERRED_REDEEM",Input!K$2,Date,,,Ccy,Conv)</f>
        <v>0</v>
      </c>
      <c r="J414" s="4">
        <f>_xll.ciqfunctions.udf.CIQ(InputTicker, "IQ_LIQUIDATION_VALUE_PREFERRED_REDEEM",Input!L$2,Date,,,Ccy,Conv)</f>
        <v>0</v>
      </c>
      <c r="K414" s="4">
        <f>_xll.ciqfunctions.udf.CIQ(InputTicker, "IQ_LIQUIDATION_VALUE_PREFERRED_REDEEM",Input!M$2,Date,,,Ccy,Conv)</f>
        <v>0</v>
      </c>
      <c r="L414" s="4">
        <f>_xll.ciqfunctions.udf.CIQ(InputTicker, "IQ_LIQUIDATION_VALUE_PREFERRED_REDEEM",Input!N$2,Date,,,Ccy,Conv)</f>
        <v>0</v>
      </c>
      <c r="M414" s="4">
        <f>_xll.ciqfunctions.udf.CIQ(InputTicker, "IQ_LIQUIDATION_VALUE_PREFERRED_REDEEM",Input!O$2,Date,,,Ccy,Conv)</f>
        <v>0</v>
      </c>
      <c r="N414" s="53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  <c r="BM414" s="42"/>
      <c r="BN414" s="42"/>
    </row>
    <row r="415" spans="1:66" ht="12.75" customHeight="1" x14ac:dyDescent="0.2">
      <c r="A415" s="1" t="s">
        <v>399</v>
      </c>
      <c r="B415" s="4">
        <f>_xll.ciqfunctions.udf.CIQ(InputTicker, "IQ_ASSETS_LEVEL_1",Input!D$2,Date,,,Ccy,Conv)</f>
        <v>4.508</v>
      </c>
      <c r="C415" s="4">
        <f>_xll.ciqfunctions.udf.CIQ(InputTicker, "IQ_ASSETS_LEVEL_1",Input!E$2,Date,,,Ccy,Conv)</f>
        <v>5.5030000000000001</v>
      </c>
      <c r="D415" s="4">
        <f>_xll.ciqfunctions.udf.CIQ(InputTicker, "IQ_ASSETS_LEVEL_1",Input!F$2,Date,,,Ccy,Conv)</f>
        <v>2.4590000000000001</v>
      </c>
      <c r="E415" s="4">
        <f>_xll.ciqfunctions.udf.CIQ(InputTicker, "IQ_ASSETS_LEVEL_1",Input!G$2,Date,,,Ccy,Conv)</f>
        <v>3.0710000000000002</v>
      </c>
      <c r="F415" s="4">
        <f>_xll.ciqfunctions.udf.CIQ(InputTicker, "IQ_ASSETS_LEVEL_1",Input!H$2,Date,,,Ccy,Conv)</f>
        <v>3.3570000000000002</v>
      </c>
      <c r="G415" s="4">
        <f>_xll.ciqfunctions.udf.CIQ(InputTicker, "IQ_ASSETS_LEVEL_1",Input!I$2,Date,,,Ccy,Conv)</f>
        <v>2.7490000000000001</v>
      </c>
      <c r="H415" s="4">
        <f>_xll.ciqfunctions.udf.CIQ(InputTicker, "IQ_ASSETS_LEVEL_1",Input!J$2,Date,,,Ccy,Conv)</f>
        <v>4.1159999999999997</v>
      </c>
      <c r="I415" s="4">
        <f>_xll.ciqfunctions.udf.CIQ(InputTicker, "IQ_ASSETS_LEVEL_1",Input!K$2,Date,,,Ccy,Conv)</f>
        <v>3.7519999999999998</v>
      </c>
      <c r="J415" s="4">
        <f>_xll.ciqfunctions.udf.CIQ(InputTicker, "IQ_ASSETS_LEVEL_1",Input!L$2,Date,,,Ccy,Conv)</f>
        <v>0</v>
      </c>
      <c r="K415" s="4">
        <f>_xll.ciqfunctions.udf.CIQ(InputTicker, "IQ_ASSETS_LEVEL_1",Input!M$2,Date,,,Ccy,Conv)</f>
        <v>0</v>
      </c>
      <c r="L415" s="4">
        <f>_xll.ciqfunctions.udf.CIQ(InputTicker, "IQ_ASSETS_LEVEL_1",Input!N$2,Date,,,Ccy,Conv)</f>
        <v>0</v>
      </c>
      <c r="M415" s="4">
        <f>_xll.ciqfunctions.udf.CIQ(InputTicker, "IQ_ASSETS_LEVEL_1",Input!O$2,Date,,,Ccy,Conv)</f>
        <v>0</v>
      </c>
      <c r="N415" s="53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</row>
    <row r="416" spans="1:66" ht="12.75" customHeight="1" x14ac:dyDescent="0.2">
      <c r="A416" s="1" t="s">
        <v>420</v>
      </c>
      <c r="B416" s="4">
        <f>_xll.ciqfunctions.udf.CIQ(InputTicker, "IQ_ASSETS_LEVEL_2",Input!D$2,Date,,,Ccy,Conv)</f>
        <v>247.28200000000001</v>
      </c>
      <c r="C416" s="4">
        <f>_xll.ciqfunctions.udf.CIQ(InputTicker, "IQ_ASSETS_LEVEL_2",Input!E$2,Date,,,Ccy,Conv)</f>
        <v>356.93299999999999</v>
      </c>
      <c r="D416" s="4">
        <f>_xll.ciqfunctions.udf.CIQ(InputTicker, "IQ_ASSETS_LEVEL_2",Input!F$2,Date,,,Ccy,Conv)</f>
        <v>138.46199999999999</v>
      </c>
      <c r="E416" s="4">
        <f>_xll.ciqfunctions.udf.CIQ(InputTicker, "IQ_ASSETS_LEVEL_2",Input!G$2,Date,,,Ccy,Conv)</f>
        <v>282.58600000000001</v>
      </c>
      <c r="F416" s="4">
        <f>_xll.ciqfunctions.udf.CIQ(InputTicker, "IQ_ASSETS_LEVEL_2",Input!H$2,Date,,,Ccy,Conv)</f>
        <v>250.18100000000001</v>
      </c>
      <c r="G416" s="4">
        <f>_xll.ciqfunctions.udf.CIQ(InputTicker, "IQ_ASSETS_LEVEL_2",Input!I$2,Date,,,Ccy,Conv)</f>
        <v>154.16300000000001</v>
      </c>
      <c r="H416" s="4">
        <f>_xll.ciqfunctions.udf.CIQ(InputTicker, "IQ_ASSETS_LEVEL_2",Input!J$2,Date,,,Ccy,Conv)</f>
        <v>112.158</v>
      </c>
      <c r="I416" s="4">
        <f>_xll.ciqfunctions.udf.CIQ(InputTicker, "IQ_ASSETS_LEVEL_2",Input!K$2,Date,,,Ccy,Conv)</f>
        <v>115.429</v>
      </c>
      <c r="J416" s="4">
        <f>_xll.ciqfunctions.udf.CIQ(InputTicker, "IQ_ASSETS_LEVEL_2",Input!L$2,Date,,,Ccy,Conv)</f>
        <v>355.09</v>
      </c>
      <c r="K416" s="4">
        <f>_xll.ciqfunctions.udf.CIQ(InputTicker, "IQ_ASSETS_LEVEL_2",Input!M$2,Date,,,Ccy,Conv)</f>
        <v>574.49900000000002</v>
      </c>
      <c r="L416" s="4">
        <f>_xll.ciqfunctions.udf.CIQ(InputTicker, "IQ_ASSETS_LEVEL_2",Input!N$2,Date,,,Ccy,Conv)</f>
        <v>892.70799999999997</v>
      </c>
      <c r="M416" s="4">
        <f>_xll.ciqfunctions.udf.CIQ(InputTicker, "IQ_ASSETS_LEVEL_2",Input!O$2,Date,,,Ccy,Conv)</f>
        <v>769.53800000000001</v>
      </c>
      <c r="N416" s="53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  <c r="BN416" s="42"/>
    </row>
    <row r="417" spans="1:66" ht="12.75" customHeight="1" x14ac:dyDescent="0.2">
      <c r="A417" s="1" t="s">
        <v>421</v>
      </c>
      <c r="B417" s="4">
        <f>_xll.ciqfunctions.udf.CIQ(InputTicker, "IQ_ASSETS_LEVEL_3",Input!D$2,Date,,,Ccy,Conv)</f>
        <v>0</v>
      </c>
      <c r="C417" s="4">
        <f>_xll.ciqfunctions.udf.CIQ(InputTicker, "IQ_ASSETS_LEVEL_3",Input!E$2,Date,,,Ccy,Conv)</f>
        <v>0</v>
      </c>
      <c r="D417" s="4">
        <f>_xll.ciqfunctions.udf.CIQ(InputTicker, "IQ_ASSETS_LEVEL_3",Input!F$2,Date,,,Ccy,Conv)</f>
        <v>0</v>
      </c>
      <c r="E417" s="4">
        <f>_xll.ciqfunctions.udf.CIQ(InputTicker, "IQ_ASSETS_LEVEL_3",Input!G$2,Date,,,Ccy,Conv)</f>
        <v>0</v>
      </c>
      <c r="F417" s="4">
        <f>_xll.ciqfunctions.udf.CIQ(InputTicker, "IQ_ASSETS_LEVEL_3",Input!H$2,Date,,,Ccy,Conv)</f>
        <v>0</v>
      </c>
      <c r="G417" s="4">
        <f>_xll.ciqfunctions.udf.CIQ(InputTicker, "IQ_ASSETS_LEVEL_3",Input!I$2,Date,,,Ccy,Conv)</f>
        <v>0</v>
      </c>
      <c r="H417" s="4">
        <f>_xll.ciqfunctions.udf.CIQ(InputTicker, "IQ_ASSETS_LEVEL_3",Input!J$2,Date,,,Ccy,Conv)</f>
        <v>0</v>
      </c>
      <c r="I417" s="4">
        <f>_xll.ciqfunctions.udf.CIQ(InputTicker, "IQ_ASSETS_LEVEL_3",Input!K$2,Date,,,Ccy,Conv)</f>
        <v>0</v>
      </c>
      <c r="J417" s="4">
        <f>_xll.ciqfunctions.udf.CIQ(InputTicker, "IQ_ASSETS_LEVEL_3",Input!L$2,Date,,,Ccy,Conv)</f>
        <v>0</v>
      </c>
      <c r="K417" s="4">
        <f>_xll.ciqfunctions.udf.CIQ(InputTicker, "IQ_ASSETS_LEVEL_3",Input!M$2,Date,,,Ccy,Conv)</f>
        <v>0</v>
      </c>
      <c r="L417" s="4">
        <f>_xll.ciqfunctions.udf.CIQ(InputTicker, "IQ_ASSETS_LEVEL_3",Input!N$2,Date,,,Ccy,Conv)</f>
        <v>0</v>
      </c>
      <c r="M417" s="4">
        <f>_xll.ciqfunctions.udf.CIQ(InputTicker, "IQ_ASSETS_LEVEL_3",Input!O$2,Date,,,Ccy,Conv)</f>
        <v>0</v>
      </c>
      <c r="N417" s="53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  <c r="BN417" s="42"/>
    </row>
    <row r="418" spans="1:66" ht="12.75" customHeight="1" x14ac:dyDescent="0.2">
      <c r="A418" s="1" t="s">
        <v>400</v>
      </c>
      <c r="B418" s="4">
        <f>_xll.ciqfunctions.udf.CIQ(InputTicker, "IQ_ASSETS_NETTING_OTHER_ADJUSTMENTS",Input!D$2,Date,,,Ccy,Conv)</f>
        <v>0</v>
      </c>
      <c r="C418" s="4">
        <f>_xll.ciqfunctions.udf.CIQ(InputTicker, "IQ_ASSETS_NETTING_OTHER_ADJUSTMENTS",Input!E$2,Date,,,Ccy,Conv)</f>
        <v>0</v>
      </c>
      <c r="D418" s="4">
        <f>_xll.ciqfunctions.udf.CIQ(InputTicker, "IQ_ASSETS_NETTING_OTHER_ADJUSTMENTS",Input!F$2,Date,,,Ccy,Conv)</f>
        <v>0</v>
      </c>
      <c r="E418" s="4">
        <f>_xll.ciqfunctions.udf.CIQ(InputTicker, "IQ_ASSETS_NETTING_OTHER_ADJUSTMENTS",Input!G$2,Date,,,Ccy,Conv)</f>
        <v>0</v>
      </c>
      <c r="F418" s="4">
        <f>_xll.ciqfunctions.udf.CIQ(InputTicker, "IQ_ASSETS_NETTING_OTHER_ADJUSTMENTS",Input!H$2,Date,,,Ccy,Conv)</f>
        <v>0</v>
      </c>
      <c r="G418" s="4">
        <f>_xll.ciqfunctions.udf.CIQ(InputTicker, "IQ_ASSETS_NETTING_OTHER_ADJUSTMENTS",Input!I$2,Date,,,Ccy,Conv)</f>
        <v>0</v>
      </c>
      <c r="H418" s="4">
        <f>_xll.ciqfunctions.udf.CIQ(InputTicker, "IQ_ASSETS_NETTING_OTHER_ADJUSTMENTS",Input!J$2,Date,,,Ccy,Conv)</f>
        <v>0</v>
      </c>
      <c r="I418" s="4">
        <f>_xll.ciqfunctions.udf.CIQ(InputTicker, "IQ_ASSETS_NETTING_OTHER_ADJUSTMENTS",Input!K$2,Date,,,Ccy,Conv)</f>
        <v>0</v>
      </c>
      <c r="J418" s="4">
        <f>_xll.ciqfunctions.udf.CIQ(InputTicker, "IQ_ASSETS_NETTING_OTHER_ADJUSTMENTS",Input!L$2,Date,,,Ccy,Conv)</f>
        <v>0</v>
      </c>
      <c r="K418" s="4">
        <f>_xll.ciqfunctions.udf.CIQ(InputTicker, "IQ_ASSETS_NETTING_OTHER_ADJUSTMENTS",Input!M$2,Date,,,Ccy,Conv)</f>
        <v>0</v>
      </c>
      <c r="L418" s="4">
        <f>_xll.ciqfunctions.udf.CIQ(InputTicker, "IQ_ASSETS_NETTING_OTHER_ADJUSTMENTS",Input!N$2,Date,,,Ccy,Conv)</f>
        <v>0</v>
      </c>
      <c r="M418" s="4">
        <f>_xll.ciqfunctions.udf.CIQ(InputTicker, "IQ_ASSETS_NETTING_OTHER_ADJUSTMENTS",Input!O$2,Date,,,Ccy,Conv)</f>
        <v>0</v>
      </c>
      <c r="N418" s="53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  <c r="BN418" s="42"/>
    </row>
    <row r="419" spans="1:66" ht="12.75" customHeight="1" x14ac:dyDescent="0.2">
      <c r="A419" s="1" t="s">
        <v>401</v>
      </c>
      <c r="B419" s="4">
        <f>_xll.ciqfunctions.udf.CIQ(InputTicker, "IQ_ASSETS_FAIR_VALUE",Input!D$2,Date,,,Ccy,Conv)</f>
        <v>251.79</v>
      </c>
      <c r="C419" s="4">
        <f>_xll.ciqfunctions.udf.CIQ(InputTicker, "IQ_ASSETS_FAIR_VALUE",Input!E$2,Date,,,Ccy,Conv)</f>
        <v>362.43599999999998</v>
      </c>
      <c r="D419" s="4">
        <f>_xll.ciqfunctions.udf.CIQ(InputTicker, "IQ_ASSETS_FAIR_VALUE",Input!F$2,Date,,,Ccy,Conv)</f>
        <v>140.92099999999999</v>
      </c>
      <c r="E419" s="4">
        <f>_xll.ciqfunctions.udf.CIQ(InputTicker, "IQ_ASSETS_FAIR_VALUE",Input!G$2,Date,,,Ccy,Conv)</f>
        <v>285.65699999999998</v>
      </c>
      <c r="F419" s="4">
        <f>_xll.ciqfunctions.udf.CIQ(InputTicker, "IQ_ASSETS_FAIR_VALUE",Input!H$2,Date,,,Ccy,Conv)</f>
        <v>253.53800000000001</v>
      </c>
      <c r="G419" s="4">
        <f>_xll.ciqfunctions.udf.CIQ(InputTicker, "IQ_ASSETS_FAIR_VALUE",Input!I$2,Date,,,Ccy,Conv)</f>
        <v>156.91200000000001</v>
      </c>
      <c r="H419" s="4">
        <f>_xll.ciqfunctions.udf.CIQ(InputTicker, "IQ_ASSETS_FAIR_VALUE",Input!J$2,Date,,,Ccy,Conv)</f>
        <v>116.274</v>
      </c>
      <c r="I419" s="4">
        <f>_xll.ciqfunctions.udf.CIQ(InputTicker, "IQ_ASSETS_FAIR_VALUE",Input!K$2,Date,,,Ccy,Conv)</f>
        <v>119.181</v>
      </c>
      <c r="J419" s="4">
        <f>_xll.ciqfunctions.udf.CIQ(InputTicker, "IQ_ASSETS_FAIR_VALUE",Input!L$2,Date,,,Ccy,Conv)</f>
        <v>355.09</v>
      </c>
      <c r="K419" s="4">
        <f>_xll.ciqfunctions.udf.CIQ(InputTicker, "IQ_ASSETS_FAIR_VALUE",Input!M$2,Date,,,Ccy,Conv)</f>
        <v>574.49900000000002</v>
      </c>
      <c r="L419" s="4">
        <f>_xll.ciqfunctions.udf.CIQ(InputTicker, "IQ_ASSETS_FAIR_VALUE",Input!N$2,Date,,,Ccy,Conv)</f>
        <v>892.70799999999997</v>
      </c>
      <c r="M419" s="4">
        <f>_xll.ciqfunctions.udf.CIQ(InputTicker, "IQ_ASSETS_FAIR_VALUE",Input!O$2,Date,,,Ccy,Conv)</f>
        <v>769.53800000000001</v>
      </c>
      <c r="N419" s="53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  <c r="BN419" s="42"/>
    </row>
    <row r="420" spans="1:66" ht="12.75" customHeight="1" x14ac:dyDescent="0.2">
      <c r="A420" s="1" t="s">
        <v>402</v>
      </c>
      <c r="B420" s="4">
        <f>_xll.ciqfunctions.udf.CIQ(InputTicker, "IQ_LIABILITIES_LEVEL_1",Input!D$2,Date,,,Ccy,Conv)</f>
        <v>0</v>
      </c>
      <c r="C420" s="4">
        <f>_xll.ciqfunctions.udf.CIQ(InputTicker, "IQ_LIABILITIES_LEVEL_1",Input!E$2,Date,,,Ccy,Conv)</f>
        <v>0</v>
      </c>
      <c r="D420" s="4">
        <f>_xll.ciqfunctions.udf.CIQ(InputTicker, "IQ_LIABILITIES_LEVEL_1",Input!F$2,Date,,,Ccy,Conv)</f>
        <v>0</v>
      </c>
      <c r="E420" s="4">
        <f>_xll.ciqfunctions.udf.CIQ(InputTicker, "IQ_LIABILITIES_LEVEL_1",Input!G$2,Date,,,Ccy,Conv)</f>
        <v>0</v>
      </c>
      <c r="F420" s="4">
        <f>_xll.ciqfunctions.udf.CIQ(InputTicker, "IQ_LIABILITIES_LEVEL_1",Input!H$2,Date,,,Ccy,Conv)</f>
        <v>0</v>
      </c>
      <c r="G420" s="4">
        <f>_xll.ciqfunctions.udf.CIQ(InputTicker, "IQ_LIABILITIES_LEVEL_1",Input!I$2,Date,,,Ccy,Conv)</f>
        <v>0</v>
      </c>
      <c r="H420" s="4">
        <f>_xll.ciqfunctions.udf.CIQ(InputTicker, "IQ_LIABILITIES_LEVEL_1",Input!J$2,Date,,,Ccy,Conv)</f>
        <v>0</v>
      </c>
      <c r="I420" s="4">
        <f>_xll.ciqfunctions.udf.CIQ(InputTicker, "IQ_LIABILITIES_LEVEL_1",Input!K$2,Date,,,Ccy,Conv)</f>
        <v>0</v>
      </c>
      <c r="J420" s="4">
        <f>_xll.ciqfunctions.udf.CIQ(InputTicker, "IQ_LIABILITIES_LEVEL_1",Input!L$2,Date,,,Ccy,Conv)</f>
        <v>0</v>
      </c>
      <c r="K420" s="4">
        <f>_xll.ciqfunctions.udf.CIQ(InputTicker, "IQ_LIABILITIES_LEVEL_1",Input!M$2,Date,,,Ccy,Conv)</f>
        <v>0</v>
      </c>
      <c r="L420" s="4">
        <f>_xll.ciqfunctions.udf.CIQ(InputTicker, "IQ_LIABILITIES_LEVEL_1",Input!N$2,Date,,,Ccy,Conv)</f>
        <v>0</v>
      </c>
      <c r="M420" s="4">
        <f>_xll.ciqfunctions.udf.CIQ(InputTicker, "IQ_LIABILITIES_LEVEL_1",Input!O$2,Date,,,Ccy,Conv)</f>
        <v>0</v>
      </c>
      <c r="N420" s="53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  <c r="BN420" s="42"/>
    </row>
    <row r="421" spans="1:66" ht="12.75" customHeight="1" x14ac:dyDescent="0.2">
      <c r="A421" s="1" t="s">
        <v>422</v>
      </c>
      <c r="B421" s="4">
        <f>_xll.ciqfunctions.udf.CIQ(InputTicker, "IQ_LIABILITIES_LEVEL_2",Input!D$2,Date,,,Ccy,Conv)</f>
        <v>51.47</v>
      </c>
      <c r="C421" s="4">
        <f>_xll.ciqfunctions.udf.CIQ(InputTicker, "IQ_LIABILITIES_LEVEL_2",Input!E$2,Date,,,Ccy,Conv)</f>
        <v>25.824000000000002</v>
      </c>
      <c r="D421" s="4">
        <f>_xll.ciqfunctions.udf.CIQ(InputTicker, "IQ_LIABILITIES_LEVEL_2",Input!F$2,Date,,,Ccy,Conv)</f>
        <v>10.815</v>
      </c>
      <c r="E421" s="4">
        <f>_xll.ciqfunctions.udf.CIQ(InputTicker, "IQ_LIABILITIES_LEVEL_2",Input!G$2,Date,,,Ccy,Conv)</f>
        <v>5.9029999999999996</v>
      </c>
      <c r="F421" s="4">
        <f>_xll.ciqfunctions.udf.CIQ(InputTicker, "IQ_LIABILITIES_LEVEL_2",Input!H$2,Date,,,Ccy,Conv)</f>
        <v>0</v>
      </c>
      <c r="G421" s="4">
        <f>_xll.ciqfunctions.udf.CIQ(InputTicker, "IQ_LIABILITIES_LEVEL_2",Input!I$2,Date,,,Ccy,Conv)</f>
        <v>0</v>
      </c>
      <c r="H421" s="4">
        <f>_xll.ciqfunctions.udf.CIQ(InputTicker, "IQ_LIABILITIES_LEVEL_2",Input!J$2,Date,,,Ccy,Conv)</f>
        <v>0</v>
      </c>
      <c r="I421" s="4">
        <f>_xll.ciqfunctions.udf.CIQ(InputTicker, "IQ_LIABILITIES_LEVEL_2",Input!K$2,Date,,,Ccy,Conv)</f>
        <v>0</v>
      </c>
      <c r="J421" s="4">
        <f>_xll.ciqfunctions.udf.CIQ(InputTicker, "IQ_LIABILITIES_LEVEL_2",Input!L$2,Date,,,Ccy,Conv)</f>
        <v>0</v>
      </c>
      <c r="K421" s="4">
        <f>_xll.ciqfunctions.udf.CIQ(InputTicker, "IQ_LIABILITIES_LEVEL_2",Input!M$2,Date,,,Ccy,Conv)</f>
        <v>0</v>
      </c>
      <c r="L421" s="4">
        <f>_xll.ciqfunctions.udf.CIQ(InputTicker, "IQ_LIABILITIES_LEVEL_2",Input!N$2,Date,,,Ccy,Conv)</f>
        <v>0</v>
      </c>
      <c r="M421" s="4">
        <f>_xll.ciqfunctions.udf.CIQ(InputTicker, "IQ_LIABILITIES_LEVEL_2",Input!O$2,Date,,,Ccy,Conv)</f>
        <v>0</v>
      </c>
      <c r="N421" s="53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  <c r="BN421" s="42"/>
    </row>
    <row r="422" spans="1:66" ht="12.75" customHeight="1" x14ac:dyDescent="0.2">
      <c r="A422" s="1" t="s">
        <v>423</v>
      </c>
      <c r="B422" s="4">
        <f>_xll.ciqfunctions.udf.CIQ(InputTicker, "IQ_LIABILITIES_LEVEL_3",Input!D$2,Date,,,Ccy,Conv)</f>
        <v>1.024</v>
      </c>
      <c r="C422" s="4">
        <f>_xll.ciqfunctions.udf.CIQ(InputTicker, "IQ_LIABILITIES_LEVEL_3",Input!E$2,Date,,,Ccy,Conv)</f>
        <v>0</v>
      </c>
      <c r="D422" s="4">
        <f>_xll.ciqfunctions.udf.CIQ(InputTicker, "IQ_LIABILITIES_LEVEL_3",Input!F$2,Date,,,Ccy,Conv)</f>
        <v>0</v>
      </c>
      <c r="E422" s="4">
        <f>_xll.ciqfunctions.udf.CIQ(InputTicker, "IQ_LIABILITIES_LEVEL_3",Input!G$2,Date,,,Ccy,Conv)</f>
        <v>0</v>
      </c>
      <c r="F422" s="4">
        <f>_xll.ciqfunctions.udf.CIQ(InputTicker, "IQ_LIABILITIES_LEVEL_3",Input!H$2,Date,,,Ccy,Conv)</f>
        <v>0</v>
      </c>
      <c r="G422" s="4">
        <f>_xll.ciqfunctions.udf.CIQ(InputTicker, "IQ_LIABILITIES_LEVEL_3",Input!I$2,Date,,,Ccy,Conv)</f>
        <v>0</v>
      </c>
      <c r="H422" s="4">
        <f>_xll.ciqfunctions.udf.CIQ(InputTicker, "IQ_LIABILITIES_LEVEL_3",Input!J$2,Date,,,Ccy,Conv)</f>
        <v>0</v>
      </c>
      <c r="I422" s="4">
        <f>_xll.ciqfunctions.udf.CIQ(InputTicker, "IQ_LIABILITIES_LEVEL_3",Input!K$2,Date,,,Ccy,Conv)</f>
        <v>0</v>
      </c>
      <c r="J422" s="4">
        <f>_xll.ciqfunctions.udf.CIQ(InputTicker, "IQ_LIABILITIES_LEVEL_3",Input!L$2,Date,,,Ccy,Conv)</f>
        <v>0</v>
      </c>
      <c r="K422" s="4">
        <f>_xll.ciqfunctions.udf.CIQ(InputTicker, "IQ_LIABILITIES_LEVEL_3",Input!M$2,Date,,,Ccy,Conv)</f>
        <v>6.5</v>
      </c>
      <c r="L422" s="4">
        <f>_xll.ciqfunctions.udf.CIQ(InputTicker, "IQ_LIABILITIES_LEVEL_3",Input!N$2,Date,,,Ccy,Conv)</f>
        <v>21.5</v>
      </c>
      <c r="M422" s="4">
        <f>_xll.ciqfunctions.udf.CIQ(InputTicker, "IQ_LIABILITIES_LEVEL_3",Input!O$2,Date,,,Ccy,Conv)</f>
        <v>23</v>
      </c>
      <c r="N422" s="53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  <c r="BN422" s="42"/>
    </row>
    <row r="423" spans="1:66" ht="12.75" customHeight="1" x14ac:dyDescent="0.2">
      <c r="A423" s="1" t="s">
        <v>403</v>
      </c>
      <c r="B423" s="4">
        <f>_xll.ciqfunctions.udf.CIQ(InputTicker, "IQ_LIABILITIES_NETTING_OTHER_ADJUSTMENTS",Input!D$2,Date,,,Ccy,Conv)</f>
        <v>0</v>
      </c>
      <c r="C423" s="4">
        <f>_xll.ciqfunctions.udf.CIQ(InputTicker, "IQ_LIABILITIES_NETTING_OTHER_ADJUSTMENTS",Input!E$2,Date,,,Ccy,Conv)</f>
        <v>0</v>
      </c>
      <c r="D423" s="4">
        <f>_xll.ciqfunctions.udf.CIQ(InputTicker, "IQ_LIABILITIES_NETTING_OTHER_ADJUSTMENTS",Input!F$2,Date,,,Ccy,Conv)</f>
        <v>0</v>
      </c>
      <c r="E423" s="4">
        <f>_xll.ciqfunctions.udf.CIQ(InputTicker, "IQ_LIABILITIES_NETTING_OTHER_ADJUSTMENTS",Input!G$2,Date,,,Ccy,Conv)</f>
        <v>0</v>
      </c>
      <c r="F423" s="4">
        <f>_xll.ciqfunctions.udf.CIQ(InputTicker, "IQ_LIABILITIES_NETTING_OTHER_ADJUSTMENTS",Input!H$2,Date,,,Ccy,Conv)</f>
        <v>0</v>
      </c>
      <c r="G423" s="4">
        <f>_xll.ciqfunctions.udf.CIQ(InputTicker, "IQ_LIABILITIES_NETTING_OTHER_ADJUSTMENTS",Input!I$2,Date,,,Ccy,Conv)</f>
        <v>0</v>
      </c>
      <c r="H423" s="4">
        <f>_xll.ciqfunctions.udf.CIQ(InputTicker, "IQ_LIABILITIES_NETTING_OTHER_ADJUSTMENTS",Input!J$2,Date,,,Ccy,Conv)</f>
        <v>0</v>
      </c>
      <c r="I423" s="4">
        <f>_xll.ciqfunctions.udf.CIQ(InputTicker, "IQ_LIABILITIES_NETTING_OTHER_ADJUSTMENTS",Input!K$2,Date,,,Ccy,Conv)</f>
        <v>0</v>
      </c>
      <c r="J423" s="4">
        <f>_xll.ciqfunctions.udf.CIQ(InputTicker, "IQ_LIABILITIES_NETTING_OTHER_ADJUSTMENTS",Input!L$2,Date,,,Ccy,Conv)</f>
        <v>0</v>
      </c>
      <c r="K423" s="4">
        <f>_xll.ciqfunctions.udf.CIQ(InputTicker, "IQ_LIABILITIES_NETTING_OTHER_ADJUSTMENTS",Input!M$2,Date,,,Ccy,Conv)</f>
        <v>0</v>
      </c>
      <c r="L423" s="4">
        <f>_xll.ciqfunctions.udf.CIQ(InputTicker, "IQ_LIABILITIES_NETTING_OTHER_ADJUSTMENTS",Input!N$2,Date,,,Ccy,Conv)</f>
        <v>0</v>
      </c>
      <c r="M423" s="4">
        <f>_xll.ciqfunctions.udf.CIQ(InputTicker, "IQ_LIABILITIES_NETTING_OTHER_ADJUSTMENTS",Input!O$2,Date,,,Ccy,Conv)</f>
        <v>0</v>
      </c>
      <c r="N423" s="53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  <c r="BN423" s="42"/>
    </row>
    <row r="424" spans="1:66" ht="12.75" customHeight="1" x14ac:dyDescent="0.2">
      <c r="A424" s="1" t="s">
        <v>404</v>
      </c>
      <c r="B424" s="4">
        <f>_xll.ciqfunctions.udf.CIQ(InputTicker, "IQ_LIABILITIES_FAIR_VALUE",Input!D$2,Date,,,Ccy,Conv)</f>
        <v>52.494</v>
      </c>
      <c r="C424" s="4">
        <f>_xll.ciqfunctions.udf.CIQ(InputTicker, "IQ_LIABILITIES_FAIR_VALUE",Input!E$2,Date,,,Ccy,Conv)</f>
        <v>25.824000000000002</v>
      </c>
      <c r="D424" s="4">
        <f>_xll.ciqfunctions.udf.CIQ(InputTicker, "IQ_LIABILITIES_FAIR_VALUE",Input!F$2,Date,,,Ccy,Conv)</f>
        <v>10.815</v>
      </c>
      <c r="E424" s="4">
        <f>_xll.ciqfunctions.udf.CIQ(InputTicker, "IQ_LIABILITIES_FAIR_VALUE",Input!G$2,Date,,,Ccy,Conv)</f>
        <v>5.9029999999999996</v>
      </c>
      <c r="F424" s="4">
        <f>_xll.ciqfunctions.udf.CIQ(InputTicker, "IQ_LIABILITIES_FAIR_VALUE",Input!H$2,Date,,,Ccy,Conv)</f>
        <v>0</v>
      </c>
      <c r="G424" s="4">
        <f>_xll.ciqfunctions.udf.CIQ(InputTicker, "IQ_LIABILITIES_FAIR_VALUE",Input!I$2,Date,,,Ccy,Conv)</f>
        <v>0</v>
      </c>
      <c r="H424" s="4">
        <f>_xll.ciqfunctions.udf.CIQ(InputTicker, "IQ_LIABILITIES_FAIR_VALUE",Input!J$2,Date,,,Ccy,Conv)</f>
        <v>0</v>
      </c>
      <c r="I424" s="4">
        <f>_xll.ciqfunctions.udf.CIQ(InputTicker, "IQ_LIABILITIES_FAIR_VALUE",Input!K$2,Date,,,Ccy,Conv)</f>
        <v>0</v>
      </c>
      <c r="J424" s="4">
        <f>_xll.ciqfunctions.udf.CIQ(InputTicker, "IQ_LIABILITIES_FAIR_VALUE",Input!L$2,Date,,,Ccy,Conv)</f>
        <v>0</v>
      </c>
      <c r="K424" s="4">
        <f>_xll.ciqfunctions.udf.CIQ(InputTicker, "IQ_LIABILITIES_FAIR_VALUE",Input!M$2,Date,,,Ccy,Conv)</f>
        <v>6.5</v>
      </c>
      <c r="L424" s="4">
        <f>_xll.ciqfunctions.udf.CIQ(InputTicker, "IQ_LIABILITIES_FAIR_VALUE",Input!N$2,Date,,,Ccy,Conv)</f>
        <v>21.5</v>
      </c>
      <c r="M424" s="4">
        <f>_xll.ciqfunctions.udf.CIQ(InputTicker, "IQ_LIABILITIES_FAIR_VALUE",Input!O$2,Date,,,Ccy,Conv)</f>
        <v>23</v>
      </c>
      <c r="N424" s="54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  <c r="BN424" s="42"/>
    </row>
    <row r="425" spans="1:66" ht="12.75" customHeight="1" x14ac:dyDescent="0.2">
      <c r="A425" s="1" t="s">
        <v>405</v>
      </c>
      <c r="B425" s="4">
        <f>_xll.ciqfunctions.udf.CIQ(InputTicker, "IQ_FAIR_VALUE_CHANGE_INCL_EARNINGS",Input!D$2,Date,,,Ccy,Conv)</f>
        <v>-0.25600000000000001</v>
      </c>
      <c r="C425" s="4">
        <f>_xll.ciqfunctions.udf.CIQ(InputTicker, "IQ_FAIR_VALUE_CHANGE_INCL_EARNINGS",Input!E$2,Date,,,Ccy,Conv)</f>
        <v>0</v>
      </c>
      <c r="D425" s="4">
        <f>_xll.ciqfunctions.udf.CIQ(InputTicker, "IQ_FAIR_VALUE_CHANGE_INCL_EARNINGS",Input!F$2,Date,,,Ccy,Conv)</f>
        <v>0</v>
      </c>
      <c r="E425" s="4">
        <f>_xll.ciqfunctions.udf.CIQ(InputTicker, "IQ_FAIR_VALUE_CHANGE_INCL_EARNINGS",Input!G$2,Date,,,Ccy,Conv)</f>
        <v>0</v>
      </c>
      <c r="F425" s="4">
        <f>_xll.ciqfunctions.udf.CIQ(InputTicker, "IQ_FAIR_VALUE_CHANGE_INCL_EARNINGS",Input!H$2,Date,,,Ccy,Conv)</f>
        <v>0</v>
      </c>
      <c r="G425" s="4">
        <f>_xll.ciqfunctions.udf.CIQ(InputTicker, "IQ_FAIR_VALUE_CHANGE_INCL_EARNINGS",Input!I$2,Date,,,Ccy,Conv)</f>
        <v>0</v>
      </c>
      <c r="H425" s="4">
        <f>_xll.ciqfunctions.udf.CIQ(InputTicker, "IQ_FAIR_VALUE_CHANGE_INCL_EARNINGS",Input!J$2,Date,,,Ccy,Conv)</f>
        <v>0</v>
      </c>
      <c r="I425" s="4">
        <f>_xll.ciqfunctions.udf.CIQ(InputTicker, "IQ_FAIR_VALUE_CHANGE_INCL_EARNINGS",Input!K$2,Date,,,Ccy,Conv)</f>
        <v>0</v>
      </c>
      <c r="J425" s="4">
        <f>_xll.ciqfunctions.udf.CIQ(InputTicker, "IQ_FAIR_VALUE_CHANGE_INCL_EARNINGS",Input!L$2,Date,,,Ccy,Conv)</f>
        <v>0</v>
      </c>
      <c r="K425" s="4">
        <f>_xll.ciqfunctions.udf.CIQ(InputTicker, "IQ_FAIR_VALUE_CHANGE_INCL_EARNINGS",Input!M$2,Date,,,Ccy,Conv)</f>
        <v>-5.5</v>
      </c>
      <c r="L425" s="4">
        <f>_xll.ciqfunctions.udf.CIQ(InputTicker, "IQ_FAIR_VALUE_CHANGE_INCL_EARNINGS",Input!N$2,Date,,,Ccy,Conv)</f>
        <v>-15</v>
      </c>
      <c r="M425" s="4">
        <f>_xll.ciqfunctions.udf.CIQ(InputTicker, "IQ_FAIR_VALUE_CHANGE_INCL_EARNINGS",Input!O$2,Date,,,Ccy,Conv)</f>
        <v>-16.5</v>
      </c>
      <c r="N425" s="54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  <c r="BN425" s="42"/>
    </row>
    <row r="426" spans="1:66" ht="12.75" customHeight="1" x14ac:dyDescent="0.2">
      <c r="A426" s="1" t="s">
        <v>357</v>
      </c>
      <c r="B426" s="18">
        <f>_xll.ciqfunctions.udf.CIQ(InputTicker, "IQ_FULL_TIME",Input!D$2,Date)</f>
        <v>2749</v>
      </c>
      <c r="C426" s="18">
        <f>_xll.ciqfunctions.udf.CIQ(InputTicker, "IQ_FULL_TIME",Input!E$2,Date)</f>
        <v>3143</v>
      </c>
      <c r="D426" s="18">
        <f>_xll.ciqfunctions.udf.CIQ(InputTicker, "IQ_FULL_TIME",Input!F$2,Date)</f>
        <v>3438</v>
      </c>
      <c r="E426" s="18">
        <f>_xll.ciqfunctions.udf.CIQ(InputTicker, "IQ_FULL_TIME",Input!G$2,Date)</f>
        <v>3419</v>
      </c>
      <c r="F426" s="18">
        <f>_xll.ciqfunctions.udf.CIQ(InputTicker, "IQ_FULL_TIME",Input!H$2,Date)</f>
        <v>3312</v>
      </c>
      <c r="G426" s="18">
        <f>_xll.ciqfunctions.udf.CIQ(InputTicker, "IQ_FULL_TIME",Input!I$2,Date)</f>
        <v>3461</v>
      </c>
      <c r="H426" s="18">
        <f>_xll.ciqfunctions.udf.CIQ(InputTicker, "IQ_FULL_TIME",Input!J$2,Date)</f>
        <v>3151</v>
      </c>
      <c r="I426" s="18">
        <f>_xll.ciqfunctions.udf.CIQ(InputTicker, "IQ_FULL_TIME",Input!K$2,Date)</f>
        <v>2845</v>
      </c>
      <c r="J426" s="18">
        <f>_xll.ciqfunctions.udf.CIQ(InputTicker, "IQ_FULL_TIME",Input!L$2,Date)</f>
        <v>2815</v>
      </c>
      <c r="K426" s="18">
        <f>_xll.ciqfunctions.udf.CIQ(InputTicker, "IQ_FULL_TIME",Input!M$2,Date)</f>
        <v>2929</v>
      </c>
      <c r="L426" s="18">
        <f>_xll.ciqfunctions.udf.CIQ(InputTicker, "IQ_FULL_TIME",Input!N$2,Date)</f>
        <v>3683</v>
      </c>
      <c r="M426" s="18">
        <f>_xll.ciqfunctions.udf.CIQ(InputTicker, "IQ_FULL_TIME",Input!O$2,Date)</f>
        <v>0</v>
      </c>
      <c r="N426" s="53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  <c r="BN426" s="42"/>
    </row>
    <row r="427" spans="1:66" ht="12.75" customHeight="1" x14ac:dyDescent="0.2">
      <c r="A427" s="1" t="s">
        <v>358</v>
      </c>
      <c r="B427" s="18">
        <f>_xll.ciqfunctions.udf.CIQ(InputTicker, "IQ_PART_TIME",Input!D$2,Date)</f>
        <v>123</v>
      </c>
      <c r="C427" s="18">
        <f>_xll.ciqfunctions.udf.CIQ(InputTicker, "IQ_PART_TIME",Input!E$2,Date)</f>
        <v>134</v>
      </c>
      <c r="D427" s="18">
        <f>_xll.ciqfunctions.udf.CIQ(InputTicker, "IQ_PART_TIME",Input!F$2,Date)</f>
        <v>140</v>
      </c>
      <c r="E427" s="18">
        <f>_xll.ciqfunctions.udf.CIQ(InputTicker, "IQ_PART_TIME",Input!G$2,Date)</f>
        <v>154</v>
      </c>
      <c r="F427" s="18">
        <f>_xll.ciqfunctions.udf.CIQ(InputTicker, "IQ_PART_TIME",Input!H$2,Date)</f>
        <v>178</v>
      </c>
      <c r="G427" s="18">
        <f>_xll.ciqfunctions.udf.CIQ(InputTicker, "IQ_PART_TIME",Input!I$2,Date)</f>
        <v>175</v>
      </c>
      <c r="H427" s="18">
        <f>_xll.ciqfunctions.udf.CIQ(InputTicker, "IQ_PART_TIME",Input!J$2,Date)</f>
        <v>135</v>
      </c>
      <c r="I427" s="18">
        <f>_xll.ciqfunctions.udf.CIQ(InputTicker, "IQ_PART_TIME",Input!K$2,Date)</f>
        <v>140</v>
      </c>
      <c r="J427" s="18">
        <f>_xll.ciqfunctions.udf.CIQ(InputTicker, "IQ_PART_TIME",Input!L$2,Date)</f>
        <v>161</v>
      </c>
      <c r="K427" s="18">
        <f>_xll.ciqfunctions.udf.CIQ(InputTicker, "IQ_PART_TIME",Input!M$2,Date)</f>
        <v>138</v>
      </c>
      <c r="L427" s="18">
        <f>_xll.ciqfunctions.udf.CIQ(InputTicker, "IQ_PART_TIME",Input!N$2,Date)</f>
        <v>145</v>
      </c>
      <c r="M427" s="18">
        <f>_xll.ciqfunctions.udf.CIQ(InputTicker, "IQ_PART_TIME",Input!O$2,Date)</f>
        <v>0</v>
      </c>
      <c r="N427" s="53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  <c r="BN427" s="42"/>
    </row>
    <row r="428" spans="1:66" ht="12.75" customHeight="1" x14ac:dyDescent="0.2">
      <c r="A428" s="1" t="s">
        <v>359</v>
      </c>
      <c r="B428" s="18">
        <f>_xll.ciqfunctions.udf.CIQ(InputTicker, "IQ_TOTAL_EMPLOYEES",Input!D$2,Date)</f>
        <v>2811</v>
      </c>
      <c r="C428" s="18">
        <f>_xll.ciqfunctions.udf.CIQ(InputTicker, "IQ_TOTAL_EMPLOYEES",Input!E$2,Date)</f>
        <v>3210</v>
      </c>
      <c r="D428" s="18">
        <f>_xll.ciqfunctions.udf.CIQ(InputTicker, "IQ_TOTAL_EMPLOYEES",Input!F$2,Date)</f>
        <v>3508</v>
      </c>
      <c r="E428" s="18">
        <f>_xll.ciqfunctions.udf.CIQ(InputTicker, "IQ_TOTAL_EMPLOYEES",Input!G$2,Date)</f>
        <v>3496</v>
      </c>
      <c r="F428" s="18">
        <f>_xll.ciqfunctions.udf.CIQ(InputTicker, "IQ_TOTAL_EMPLOYEES",Input!H$2,Date)</f>
        <v>3401</v>
      </c>
      <c r="G428" s="18">
        <f>_xll.ciqfunctions.udf.CIQ(InputTicker, "IQ_TOTAL_EMPLOYEES",Input!I$2,Date)</f>
        <v>3549</v>
      </c>
      <c r="H428" s="18">
        <f>_xll.ciqfunctions.udf.CIQ(InputTicker, "IQ_TOTAL_EMPLOYEES",Input!J$2,Date)</f>
        <v>3219</v>
      </c>
      <c r="I428" s="18">
        <f>_xll.ciqfunctions.udf.CIQ(InputTicker, "IQ_TOTAL_EMPLOYEES",Input!K$2,Date)</f>
        <v>2915</v>
      </c>
      <c r="J428" s="18">
        <f>_xll.ciqfunctions.udf.CIQ(InputTicker, "IQ_TOTAL_EMPLOYEES",Input!L$2,Date)</f>
        <v>2896</v>
      </c>
      <c r="K428" s="18">
        <f>_xll.ciqfunctions.udf.CIQ(InputTicker, "IQ_TOTAL_EMPLOYEES",Input!M$2,Date)</f>
        <v>2998</v>
      </c>
      <c r="L428" s="18">
        <f>_xll.ciqfunctions.udf.CIQ(InputTicker, "IQ_TOTAL_EMPLOYEES",Input!N$2,Date)</f>
        <v>3756</v>
      </c>
      <c r="M428" s="18">
        <f>_xll.ciqfunctions.udf.CIQ(InputTicker, "IQ_TOTAL_EMPLOYEES",Input!O$2,Date)</f>
        <v>0</v>
      </c>
      <c r="N428" s="53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</row>
    <row r="429" spans="1:66" ht="12.75" customHeight="1" x14ac:dyDescent="0.2">
      <c r="A429" s="1" t="s">
        <v>394</v>
      </c>
      <c r="B429" s="18">
        <f>_xll.ciqfunctions.udf.CIQ(InputTicker, "IQ_EMPLOYEES_UNDER_UNION_CONTRACTS",Input!D$2,Date)</f>
        <v>0</v>
      </c>
      <c r="C429" s="18">
        <f>_xll.ciqfunctions.udf.CIQ(InputTicker, "IQ_EMPLOYEES_UNDER_UNION_CONTRACTS",Input!E$2,Date)</f>
        <v>0</v>
      </c>
      <c r="D429" s="18">
        <f>_xll.ciqfunctions.udf.CIQ(InputTicker, "IQ_EMPLOYEES_UNDER_UNION_CONTRACTS",Input!F$2,Date)</f>
        <v>0</v>
      </c>
      <c r="E429" s="18">
        <f>_xll.ciqfunctions.udf.CIQ(InputTicker, "IQ_EMPLOYEES_UNDER_UNION_CONTRACTS",Input!G$2,Date)</f>
        <v>0</v>
      </c>
      <c r="F429" s="18">
        <f>_xll.ciqfunctions.udf.CIQ(InputTicker, "IQ_EMPLOYEES_UNDER_UNION_CONTRACTS",Input!H$2,Date)</f>
        <v>0</v>
      </c>
      <c r="G429" s="18">
        <f>_xll.ciqfunctions.udf.CIQ(InputTicker, "IQ_EMPLOYEES_UNDER_UNION_CONTRACTS",Input!I$2,Date)</f>
        <v>0</v>
      </c>
      <c r="H429" s="18">
        <f>_xll.ciqfunctions.udf.CIQ(InputTicker, "IQ_EMPLOYEES_UNDER_UNION_CONTRACTS",Input!J$2,Date)</f>
        <v>0</v>
      </c>
      <c r="I429" s="18">
        <f>_xll.ciqfunctions.udf.CIQ(InputTicker, "IQ_EMPLOYEES_UNDER_UNION_CONTRACTS",Input!K$2,Date)</f>
        <v>0</v>
      </c>
      <c r="J429" s="18">
        <f>_xll.ciqfunctions.udf.CIQ(InputTicker, "IQ_EMPLOYEES_UNDER_UNION_CONTRACTS",Input!L$2,Date)</f>
        <v>0</v>
      </c>
      <c r="K429" s="18">
        <f>_xll.ciqfunctions.udf.CIQ(InputTicker, "IQ_EMPLOYEES_UNDER_UNION_CONTRACTS",Input!M$2,Date)</f>
        <v>0</v>
      </c>
      <c r="L429" s="18">
        <f>_xll.ciqfunctions.udf.CIQ(InputTicker, "IQ_EMPLOYEES_UNDER_UNION_CONTRACTS",Input!N$2,Date)</f>
        <v>43</v>
      </c>
      <c r="M429" s="18">
        <f>_xll.ciqfunctions.udf.CIQ(InputTicker, "IQ_EMPLOYEES_UNDER_UNION_CONTRACTS",Input!O$2,Date)</f>
        <v>0</v>
      </c>
      <c r="N429" s="53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  <c r="BN429" s="42"/>
    </row>
    <row r="430" spans="1:66" ht="12.75" customHeight="1" x14ac:dyDescent="0.2">
      <c r="A430" s="1" t="s">
        <v>371</v>
      </c>
      <c r="B430" s="18">
        <f>_xll.ciqfunctions.udf.CIQ(InputTicker, "IQ_AVG_EMPLOYEES",Input!D$2,Date)</f>
        <v>0</v>
      </c>
      <c r="C430" s="18">
        <f>_xll.ciqfunctions.udf.CIQ(InputTicker, "IQ_AVG_EMPLOYEES",Input!E$2,Date)</f>
        <v>0</v>
      </c>
      <c r="D430" s="18">
        <f>_xll.ciqfunctions.udf.CIQ(InputTicker, "IQ_AVG_EMPLOYEES",Input!F$2,Date)</f>
        <v>0</v>
      </c>
      <c r="E430" s="18">
        <f>_xll.ciqfunctions.udf.CIQ(InputTicker, "IQ_AVG_EMPLOYEES",Input!G$2,Date)</f>
        <v>0</v>
      </c>
      <c r="F430" s="18">
        <f>_xll.ciqfunctions.udf.CIQ(InputTicker, "IQ_AVG_EMPLOYEES",Input!H$2,Date)</f>
        <v>0</v>
      </c>
      <c r="G430" s="18">
        <f>_xll.ciqfunctions.udf.CIQ(InputTicker, "IQ_AVG_EMPLOYEES",Input!I$2,Date)</f>
        <v>0</v>
      </c>
      <c r="H430" s="18">
        <f>_xll.ciqfunctions.udf.CIQ(InputTicker, "IQ_AVG_EMPLOYEES",Input!J$2,Date)</f>
        <v>0</v>
      </c>
      <c r="I430" s="18">
        <f>_xll.ciqfunctions.udf.CIQ(InputTicker, "IQ_AVG_EMPLOYEES",Input!K$2,Date)</f>
        <v>0</v>
      </c>
      <c r="J430" s="18">
        <f>_xll.ciqfunctions.udf.CIQ(InputTicker, "IQ_AVG_EMPLOYEES",Input!L$2,Date)</f>
        <v>0</v>
      </c>
      <c r="K430" s="18">
        <f>_xll.ciqfunctions.udf.CIQ(InputTicker, "IQ_AVG_EMPLOYEES",Input!M$2,Date)</f>
        <v>0</v>
      </c>
      <c r="L430" s="18">
        <f>_xll.ciqfunctions.udf.CIQ(InputTicker, "IQ_AVG_EMPLOYEES",Input!N$2,Date)</f>
        <v>0</v>
      </c>
      <c r="M430" s="18">
        <f>_xll.ciqfunctions.udf.CIQ(InputTicker, "IQ_AVG_EMPLOYEES",Input!O$2,Date)</f>
        <v>0</v>
      </c>
      <c r="N430" s="53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  <c r="BN430" s="42"/>
    </row>
    <row r="431" spans="1:66" ht="12.75" customHeight="1" x14ac:dyDescent="0.2">
      <c r="A431" s="1" t="s">
        <v>372</v>
      </c>
      <c r="B431" s="18">
        <f>_xll.ciqfunctions.udf.CIQ(InputTicker, "IQ_AVG_TEMP_EMPLOYEES",Input!D$2,Date)</f>
        <v>0</v>
      </c>
      <c r="C431" s="18">
        <f>_xll.ciqfunctions.udf.CIQ(InputTicker, "IQ_AVG_TEMP_EMPLOYEES",Input!E$2,Date)</f>
        <v>0</v>
      </c>
      <c r="D431" s="18">
        <f>_xll.ciqfunctions.udf.CIQ(InputTicker, "IQ_AVG_TEMP_EMPLOYEES",Input!F$2,Date)</f>
        <v>0</v>
      </c>
      <c r="E431" s="18">
        <f>_xll.ciqfunctions.udf.CIQ(InputTicker, "IQ_AVG_TEMP_EMPLOYEES",Input!G$2,Date)</f>
        <v>0</v>
      </c>
      <c r="F431" s="18">
        <f>_xll.ciqfunctions.udf.CIQ(InputTicker, "IQ_AVG_TEMP_EMPLOYEES",Input!H$2,Date)</f>
        <v>0</v>
      </c>
      <c r="G431" s="18">
        <f>_xll.ciqfunctions.udf.CIQ(InputTicker, "IQ_AVG_TEMP_EMPLOYEES",Input!I$2,Date)</f>
        <v>0</v>
      </c>
      <c r="H431" s="18">
        <f>_xll.ciqfunctions.udf.CIQ(InputTicker, "IQ_AVG_TEMP_EMPLOYEES",Input!J$2,Date)</f>
        <v>0</v>
      </c>
      <c r="I431" s="18">
        <f>_xll.ciqfunctions.udf.CIQ(InputTicker, "IQ_AVG_TEMP_EMPLOYEES",Input!K$2,Date)</f>
        <v>0</v>
      </c>
      <c r="J431" s="18">
        <f>_xll.ciqfunctions.udf.CIQ(InputTicker, "IQ_AVG_TEMP_EMPLOYEES",Input!L$2,Date)</f>
        <v>0</v>
      </c>
      <c r="K431" s="18">
        <f>_xll.ciqfunctions.udf.CIQ(InputTicker, "IQ_AVG_TEMP_EMPLOYEES",Input!M$2,Date)</f>
        <v>0</v>
      </c>
      <c r="L431" s="18">
        <f>_xll.ciqfunctions.udf.CIQ(InputTicker, "IQ_AVG_TEMP_EMPLOYEES",Input!N$2,Date)</f>
        <v>0</v>
      </c>
      <c r="M431" s="18">
        <f>_xll.ciqfunctions.udf.CIQ(InputTicker, "IQ_AVG_TEMP_EMPLOYEES",Input!O$2,Date)</f>
        <v>0</v>
      </c>
      <c r="N431" s="53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</row>
    <row r="432" spans="1:66" ht="12.75" customHeight="1" x14ac:dyDescent="0.2">
      <c r="A432" s="1" t="s">
        <v>502</v>
      </c>
      <c r="B432" s="18">
        <f>_xll.ciqfunctions.udf.CIQ(InputTicker, "IQ_NUMBER_ADRHOLDERS",Input!D$2,Date)</f>
        <v>0</v>
      </c>
      <c r="C432" s="18">
        <f>_xll.ciqfunctions.udf.CIQ(InputTicker, "IQ_NUMBER_ADRHOLDERS",Input!E$2,Date)</f>
        <v>0</v>
      </c>
      <c r="D432" s="18">
        <f>_xll.ciqfunctions.udf.CIQ(InputTicker, "IQ_NUMBER_ADRHOLDERS",Input!F$2,Date)</f>
        <v>0</v>
      </c>
      <c r="E432" s="18">
        <f>_xll.ciqfunctions.udf.CIQ(InputTicker, "IQ_NUMBER_ADRHOLDERS",Input!G$2,Date)</f>
        <v>0</v>
      </c>
      <c r="F432" s="18">
        <f>_xll.ciqfunctions.udf.CIQ(InputTicker, "IQ_NUMBER_ADRHOLDERS",Input!H$2,Date)</f>
        <v>0</v>
      </c>
      <c r="G432" s="18">
        <f>_xll.ciqfunctions.udf.CIQ(InputTicker, "IQ_NUMBER_ADRHOLDERS",Input!I$2,Date)</f>
        <v>0</v>
      </c>
      <c r="H432" s="18">
        <f>_xll.ciqfunctions.udf.CIQ(InputTicker, "IQ_NUMBER_ADRHOLDERS",Input!J$2,Date)</f>
        <v>0</v>
      </c>
      <c r="I432" s="18">
        <f>_xll.ciqfunctions.udf.CIQ(InputTicker, "IQ_NUMBER_ADRHOLDERS",Input!K$2,Date)</f>
        <v>0</v>
      </c>
      <c r="J432" s="18">
        <f>_xll.ciqfunctions.udf.CIQ(InputTicker, "IQ_NUMBER_ADRHOLDERS",Input!L$2,Date)</f>
        <v>0</v>
      </c>
      <c r="K432" s="18">
        <f>_xll.ciqfunctions.udf.CIQ(InputTicker, "IQ_NUMBER_ADRHOLDERS",Input!M$2,Date)</f>
        <v>0</v>
      </c>
      <c r="L432" s="18">
        <f>_xll.ciqfunctions.udf.CIQ(InputTicker, "IQ_NUMBER_ADRHOLDERS",Input!N$2,Date)</f>
        <v>0</v>
      </c>
      <c r="M432" s="18">
        <f>_xll.ciqfunctions.udf.CIQ(InputTicker, "IQ_NUMBER_ADRHOLDERS",Input!O$2,Date)</f>
        <v>0</v>
      </c>
      <c r="N432" s="53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  <c r="BN432" s="42"/>
    </row>
    <row r="433" spans="1:66" ht="12.75" customHeight="1" x14ac:dyDescent="0.2">
      <c r="A433" s="1" t="s">
        <v>360</v>
      </c>
      <c r="B433" s="4">
        <f>_xll.ciqfunctions.udf.CIQ(InputTicker, "IQ_FIN_DIV_LT_DEBT_TOTAL",Input!D$2,Date,,,Ccy,Conv)</f>
        <v>0</v>
      </c>
      <c r="C433" s="4">
        <f>_xll.ciqfunctions.udf.CIQ(InputTicker, "IQ_FIN_DIV_LT_DEBT_TOTAL",Input!E$2,Date,,,Ccy,Conv)</f>
        <v>0</v>
      </c>
      <c r="D433" s="4">
        <f>_xll.ciqfunctions.udf.CIQ(InputTicker, "IQ_FIN_DIV_LT_DEBT_TOTAL",Input!F$2,Date,,,Ccy,Conv)</f>
        <v>0</v>
      </c>
      <c r="E433" s="4">
        <f>_xll.ciqfunctions.udf.CIQ(InputTicker, "IQ_FIN_DIV_LT_DEBT_TOTAL",Input!G$2,Date,,,Ccy,Conv)</f>
        <v>0</v>
      </c>
      <c r="F433" s="4">
        <f>_xll.ciqfunctions.udf.CIQ(InputTicker, "IQ_FIN_DIV_LT_DEBT_TOTAL",Input!H$2,Date,,,Ccy,Conv)</f>
        <v>0</v>
      </c>
      <c r="G433" s="4">
        <f>_xll.ciqfunctions.udf.CIQ(InputTicker, "IQ_FIN_DIV_LT_DEBT_TOTAL",Input!I$2,Date,,,Ccy,Conv)</f>
        <v>0</v>
      </c>
      <c r="H433" s="4">
        <f>_xll.ciqfunctions.udf.CIQ(InputTicker, "IQ_FIN_DIV_LT_DEBT_TOTAL",Input!J$2,Date,,,Ccy,Conv)</f>
        <v>0</v>
      </c>
      <c r="I433" s="4">
        <f>_xll.ciqfunctions.udf.CIQ(InputTicker, "IQ_FIN_DIV_LT_DEBT_TOTAL",Input!K$2,Date,,,Ccy,Conv)</f>
        <v>0</v>
      </c>
      <c r="J433" s="4">
        <f>_xll.ciqfunctions.udf.CIQ(InputTicker, "IQ_FIN_DIV_LT_DEBT_TOTAL",Input!L$2,Date,,,Ccy,Conv)</f>
        <v>0</v>
      </c>
      <c r="K433" s="4">
        <f>_xll.ciqfunctions.udf.CIQ(InputTicker, "IQ_FIN_DIV_LT_DEBT_TOTAL",Input!M$2,Date,,,Ccy,Conv)</f>
        <v>0</v>
      </c>
      <c r="L433" s="4">
        <f>_xll.ciqfunctions.udf.CIQ(InputTicker, "IQ_FIN_DIV_LT_DEBT_TOTAL",Input!N$2,Date,,,Ccy,Conv)</f>
        <v>0</v>
      </c>
      <c r="M433" s="4">
        <f>_xll.ciqfunctions.udf.CIQ(InputTicker, "IQ_FIN_DIV_LT_DEBT_TOTAL",Input!O$2,Date,,,Ccy,Conv)</f>
        <v>0</v>
      </c>
      <c r="N433" s="53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</row>
    <row r="434" spans="1:66" ht="12.75" customHeight="1" x14ac:dyDescent="0.2">
      <c r="A434" s="1" t="s">
        <v>361</v>
      </c>
      <c r="B434" s="4">
        <f>_xll.ciqfunctions.udf.CIQ(InputTicker,"IQ_FIN_DIV_ST_DEBT_TOTAL",Input!D$2,Date,,,Ccy,Conv)</f>
        <v>0</v>
      </c>
      <c r="C434" s="4">
        <f>_xll.ciqfunctions.udf.CIQ(InputTicker,"IQ_FIN_DIV_ST_DEBT_TOTAL",Input!E$2,Date,,,Ccy,Conv)</f>
        <v>0</v>
      </c>
      <c r="D434" s="4">
        <f>_xll.ciqfunctions.udf.CIQ(InputTicker,"IQ_FIN_DIV_ST_DEBT_TOTAL",Input!F$2,Date,,,Ccy,Conv)</f>
        <v>0</v>
      </c>
      <c r="E434" s="4">
        <f>_xll.ciqfunctions.udf.CIQ(InputTicker,"IQ_FIN_DIV_ST_DEBT_TOTAL",Input!G$2,Date,,,Ccy,Conv)</f>
        <v>0</v>
      </c>
      <c r="F434" s="4">
        <f>_xll.ciqfunctions.udf.CIQ(InputTicker,"IQ_FIN_DIV_ST_DEBT_TOTAL",Input!H$2,Date,,,Ccy,Conv)</f>
        <v>0</v>
      </c>
      <c r="G434" s="4">
        <f>_xll.ciqfunctions.udf.CIQ(InputTicker,"IQ_FIN_DIV_ST_DEBT_TOTAL",Input!I$2,Date,,,Ccy,Conv)</f>
        <v>0</v>
      </c>
      <c r="H434" s="4">
        <f>_xll.ciqfunctions.udf.CIQ(InputTicker,"IQ_FIN_DIV_ST_DEBT_TOTAL",Input!J$2,Date,,,Ccy,Conv)</f>
        <v>0</v>
      </c>
      <c r="I434" s="4">
        <f>_xll.ciqfunctions.udf.CIQ(InputTicker,"IQ_FIN_DIV_ST_DEBT_TOTAL",Input!K$2,Date,,,Ccy,Conv)</f>
        <v>0</v>
      </c>
      <c r="J434" s="4">
        <f>_xll.ciqfunctions.udf.CIQ(InputTicker,"IQ_FIN_DIV_ST_DEBT_TOTAL",Input!L$2,Date,,,Ccy,Conv)</f>
        <v>0</v>
      </c>
      <c r="K434" s="4">
        <f>_xll.ciqfunctions.udf.CIQ(InputTicker,"IQ_FIN_DIV_ST_DEBT_TOTAL",Input!M$2,Date,,,Ccy,Conv)</f>
        <v>0</v>
      </c>
      <c r="L434" s="4">
        <f>_xll.ciqfunctions.udf.CIQ(InputTicker,"IQ_FIN_DIV_ST_DEBT_TOTAL",Input!N$2,Date,,,Ccy,Conv)</f>
        <v>0</v>
      </c>
      <c r="M434" s="4">
        <f>_xll.ciqfunctions.udf.CIQ(InputTicker,"IQ_FIN_DIV_ST_DEBT_TOTAL",Input!O$2,Date,,,Ccy,Conv)</f>
        <v>0</v>
      </c>
      <c r="N434" s="53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  <c r="BN434" s="42"/>
    </row>
    <row r="435" spans="1:66" ht="12.75" customHeight="1" x14ac:dyDescent="0.2">
      <c r="A435" s="1" t="s">
        <v>375</v>
      </c>
      <c r="B435" s="4">
        <f>_xll.ciqfunctions.udf.CIQ(InputTicker,"IQ_FIN_DIV_DEBT_TOTAL",Input!D$2,Date,,,Ccy,Conv)</f>
        <v>0</v>
      </c>
      <c r="C435" s="4">
        <f>_xll.ciqfunctions.udf.CIQ(InputTicker,"IQ_FIN_DIV_DEBT_TOTAL",Input!E$2,Date,,,Ccy,Conv)</f>
        <v>0</v>
      </c>
      <c r="D435" s="4">
        <f>_xll.ciqfunctions.udf.CIQ(InputTicker,"IQ_FIN_DIV_DEBT_TOTAL",Input!F$2,Date,,,Ccy,Conv)</f>
        <v>0</v>
      </c>
      <c r="E435" s="4">
        <f>_xll.ciqfunctions.udf.CIQ(InputTicker,"IQ_FIN_DIV_DEBT_TOTAL",Input!G$2,Date,,,Ccy,Conv)</f>
        <v>0</v>
      </c>
      <c r="F435" s="4">
        <f>_xll.ciqfunctions.udf.CIQ(InputTicker,"IQ_FIN_DIV_DEBT_TOTAL",Input!H$2,Date,,,Ccy,Conv)</f>
        <v>0</v>
      </c>
      <c r="G435" s="4">
        <f>_xll.ciqfunctions.udf.CIQ(InputTicker,"IQ_FIN_DIV_DEBT_TOTAL",Input!I$2,Date,,,Ccy,Conv)</f>
        <v>0</v>
      </c>
      <c r="H435" s="4">
        <f>_xll.ciqfunctions.udf.CIQ(InputTicker,"IQ_FIN_DIV_DEBT_TOTAL",Input!J$2,Date,,,Ccy,Conv)</f>
        <v>0</v>
      </c>
      <c r="I435" s="4">
        <f>_xll.ciqfunctions.udf.CIQ(InputTicker,"IQ_FIN_DIV_DEBT_TOTAL",Input!K$2,Date,,,Ccy,Conv)</f>
        <v>0</v>
      </c>
      <c r="J435" s="4">
        <f>_xll.ciqfunctions.udf.CIQ(InputTicker,"IQ_FIN_DIV_DEBT_TOTAL",Input!L$2,Date,,,Ccy,Conv)</f>
        <v>0</v>
      </c>
      <c r="K435" s="4">
        <f>_xll.ciqfunctions.udf.CIQ(InputTicker,"IQ_FIN_DIV_DEBT_TOTAL",Input!M$2,Date,,,Ccy,Conv)</f>
        <v>0</v>
      </c>
      <c r="L435" s="4">
        <f>_xll.ciqfunctions.udf.CIQ(InputTicker,"IQ_FIN_DIV_DEBT_TOTAL",Input!N$2,Date,,,Ccy,Conv)</f>
        <v>0</v>
      </c>
      <c r="M435" s="4">
        <f>_xll.ciqfunctions.udf.CIQ(InputTicker,"IQ_FIN_DIV_DEBT_TOTAL",Input!O$2,Date,,,Ccy,Conv)</f>
        <v>0</v>
      </c>
      <c r="N435" s="53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  <c r="BN435" s="42"/>
    </row>
    <row r="436" spans="1:66" ht="12.75" customHeight="1" x14ac:dyDescent="0.2">
      <c r="A436" s="1" t="s">
        <v>379</v>
      </c>
      <c r="B436" s="4">
        <f>_xll.ciqfunctions.udf.CIQ(InputTicker, "IQ_FIN_DIV_CASH_EQUIV",Input!D$2,Date,,,Ccy,Conv)</f>
        <v>0</v>
      </c>
      <c r="C436" s="4">
        <f>_xll.ciqfunctions.udf.CIQ(InputTicker, "IQ_FIN_DIV_CASH_EQUIV",Input!E$2,Date,,,Ccy,Conv)</f>
        <v>0</v>
      </c>
      <c r="D436" s="4">
        <f>_xll.ciqfunctions.udf.CIQ(InputTicker, "IQ_FIN_DIV_CASH_EQUIV",Input!F$2,Date,,,Ccy,Conv)</f>
        <v>0</v>
      </c>
      <c r="E436" s="4">
        <f>_xll.ciqfunctions.udf.CIQ(InputTicker, "IQ_FIN_DIV_CASH_EQUIV",Input!G$2,Date,,,Ccy,Conv)</f>
        <v>0</v>
      </c>
      <c r="F436" s="4">
        <f>_xll.ciqfunctions.udf.CIQ(InputTicker, "IQ_FIN_DIV_CASH_EQUIV",Input!H$2,Date,,,Ccy,Conv)</f>
        <v>0</v>
      </c>
      <c r="G436" s="4">
        <f>_xll.ciqfunctions.udf.CIQ(InputTicker, "IQ_FIN_DIV_CASH_EQUIV",Input!I$2,Date,,,Ccy,Conv)</f>
        <v>0</v>
      </c>
      <c r="H436" s="4">
        <f>_xll.ciqfunctions.udf.CIQ(InputTicker, "IQ_FIN_DIV_CASH_EQUIV",Input!J$2,Date,,,Ccy,Conv)</f>
        <v>0</v>
      </c>
      <c r="I436" s="4">
        <f>_xll.ciqfunctions.udf.CIQ(InputTicker, "IQ_FIN_DIV_CASH_EQUIV",Input!K$2,Date,,,Ccy,Conv)</f>
        <v>0</v>
      </c>
      <c r="J436" s="4">
        <f>_xll.ciqfunctions.udf.CIQ(InputTicker, "IQ_FIN_DIV_CASH_EQUIV",Input!L$2,Date,,,Ccy,Conv)</f>
        <v>0</v>
      </c>
      <c r="K436" s="4">
        <f>_xll.ciqfunctions.udf.CIQ(InputTicker, "IQ_FIN_DIV_CASH_EQUIV",Input!M$2,Date,,,Ccy,Conv)</f>
        <v>0</v>
      </c>
      <c r="L436" s="4">
        <f>_xll.ciqfunctions.udf.CIQ(InputTicker, "IQ_FIN_DIV_CASH_EQUIV",Input!N$2,Date,,,Ccy,Conv)</f>
        <v>0</v>
      </c>
      <c r="M436" s="4">
        <f>_xll.ciqfunctions.udf.CIQ(InputTicker, "IQ_FIN_DIV_CASH_EQUIV",Input!O$2,Date,,,Ccy,Conv)</f>
        <v>0</v>
      </c>
      <c r="N436" s="53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  <c r="BN436" s="42"/>
    </row>
    <row r="437" spans="1:66" ht="12.75" customHeight="1" x14ac:dyDescent="0.2">
      <c r="A437" s="1" t="s">
        <v>380</v>
      </c>
      <c r="B437" s="4">
        <f>_xll.ciqfunctions.udf.CIQ(InputTicker, "IQ_FIN_DIV_ST_INVEST",Input!D$2,Date,,,Ccy,Conv)</f>
        <v>0</v>
      </c>
      <c r="C437" s="4">
        <f>_xll.ciqfunctions.udf.CIQ(InputTicker, "IQ_FIN_DIV_ST_INVEST",Input!E$2,Date,,,Ccy,Conv)</f>
        <v>0</v>
      </c>
      <c r="D437" s="4">
        <f>_xll.ciqfunctions.udf.CIQ(InputTicker, "IQ_FIN_DIV_ST_INVEST",Input!F$2,Date,,,Ccy,Conv)</f>
        <v>0</v>
      </c>
      <c r="E437" s="4">
        <f>_xll.ciqfunctions.udf.CIQ(InputTicker, "IQ_FIN_DIV_ST_INVEST",Input!G$2,Date,,,Ccy,Conv)</f>
        <v>0</v>
      </c>
      <c r="F437" s="4">
        <f>_xll.ciqfunctions.udf.CIQ(InputTicker, "IQ_FIN_DIV_ST_INVEST",Input!H$2,Date,,,Ccy,Conv)</f>
        <v>0</v>
      </c>
      <c r="G437" s="4">
        <f>_xll.ciqfunctions.udf.CIQ(InputTicker, "IQ_FIN_DIV_ST_INVEST",Input!I$2,Date,,,Ccy,Conv)</f>
        <v>0</v>
      </c>
      <c r="H437" s="4">
        <f>_xll.ciqfunctions.udf.CIQ(InputTicker, "IQ_FIN_DIV_ST_INVEST",Input!J$2,Date,,,Ccy,Conv)</f>
        <v>0</v>
      </c>
      <c r="I437" s="4">
        <f>_xll.ciqfunctions.udf.CIQ(InputTicker, "IQ_FIN_DIV_ST_INVEST",Input!K$2,Date,,,Ccy,Conv)</f>
        <v>0</v>
      </c>
      <c r="J437" s="4">
        <f>_xll.ciqfunctions.udf.CIQ(InputTicker, "IQ_FIN_DIV_ST_INVEST",Input!L$2,Date,,,Ccy,Conv)</f>
        <v>0</v>
      </c>
      <c r="K437" s="4">
        <f>_xll.ciqfunctions.udf.CIQ(InputTicker, "IQ_FIN_DIV_ST_INVEST",Input!M$2,Date,,,Ccy,Conv)</f>
        <v>0</v>
      </c>
      <c r="L437" s="4">
        <f>_xll.ciqfunctions.udf.CIQ(InputTicker, "IQ_FIN_DIV_ST_INVEST",Input!N$2,Date,,,Ccy,Conv)</f>
        <v>0</v>
      </c>
      <c r="M437" s="4">
        <f>_xll.ciqfunctions.udf.CIQ(InputTicker, "IQ_FIN_DIV_ST_INVEST",Input!O$2,Date,,,Ccy,Conv)</f>
        <v>0</v>
      </c>
      <c r="N437" s="53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  <c r="BM437" s="42"/>
      <c r="BN437" s="42"/>
    </row>
    <row r="438" spans="1:66" ht="12.75" customHeight="1" x14ac:dyDescent="0.2">
      <c r="A438" s="1" t="s">
        <v>503</v>
      </c>
      <c r="B438" s="4">
        <f>_xll.ciqfunctions.udf.CIQ(InputTicker, "IQ_DEBT_EQUIV_NET_PBO",Input!D$2,Date,,,Ccy,Conv)</f>
        <v>3.3</v>
      </c>
      <c r="C438" s="4">
        <f>_xll.ciqfunctions.udf.CIQ(InputTicker, "IQ_DEBT_EQUIV_NET_PBO",Input!E$2,Date,,,Ccy,Conv)</f>
        <v>3.5</v>
      </c>
      <c r="D438" s="4">
        <f>_xll.ciqfunctions.udf.CIQ(InputTicker, "IQ_DEBT_EQUIV_NET_PBO",Input!F$2,Date,,,Ccy,Conv)</f>
        <v>4.0999999999999996</v>
      </c>
      <c r="E438" s="4">
        <f>_xll.ciqfunctions.udf.CIQ(InputTicker, "IQ_DEBT_EQUIV_NET_PBO",Input!G$2,Date,,,Ccy,Conv)</f>
        <v>4.5999999999999996</v>
      </c>
      <c r="F438" s="4">
        <f>_xll.ciqfunctions.udf.CIQ(InputTicker, "IQ_DEBT_EQUIV_NET_PBO",Input!H$2,Date,,,Ccy,Conv)</f>
        <v>4.9000000000000004</v>
      </c>
      <c r="G438" s="4">
        <f>_xll.ciqfunctions.udf.CIQ(InputTicker, "IQ_DEBT_EQUIV_NET_PBO",Input!I$2,Date,,,Ccy,Conv)</f>
        <v>4.0999999999999996</v>
      </c>
      <c r="H438" s="4">
        <f>_xll.ciqfunctions.udf.CIQ(InputTicker, "IQ_DEBT_EQUIV_NET_PBO",Input!J$2,Date,,,Ccy,Conv)</f>
        <v>5.5</v>
      </c>
      <c r="I438" s="4">
        <f>_xll.ciqfunctions.udf.CIQ(InputTicker, "IQ_DEBT_EQUIV_NET_PBO",Input!K$2,Date,,,Ccy,Conv)</f>
        <v>5.6</v>
      </c>
      <c r="J438" s="4">
        <f>_xll.ciqfunctions.udf.CIQ(InputTicker, "IQ_DEBT_EQUIV_NET_PBO",Input!L$2,Date,,,Ccy,Conv)</f>
        <v>5.6</v>
      </c>
      <c r="K438" s="4">
        <f>_xll.ciqfunctions.udf.CIQ(InputTicker, "IQ_DEBT_EQUIV_NET_PBO",Input!M$2,Date,,,Ccy,Conv)</f>
        <v>0</v>
      </c>
      <c r="L438" s="4">
        <f>_xll.ciqfunctions.udf.CIQ(InputTicker, "IQ_DEBT_EQUIV_NET_PBO",Input!N$2,Date,,,Ccy,Conv)</f>
        <v>0</v>
      </c>
      <c r="M438" s="4">
        <f>_xll.ciqfunctions.udf.CIQ(InputTicker, "IQ_DEBT_EQUIV_NET_PBO",Input!O$2,Date,,,Ccy,Conv)</f>
        <v>0</v>
      </c>
      <c r="N438" s="53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  <c r="BN438" s="42"/>
    </row>
    <row r="439" spans="1:66" ht="12.75" customHeight="1" x14ac:dyDescent="0.2">
      <c r="A439" s="1" t="s">
        <v>504</v>
      </c>
      <c r="B439" s="4">
        <f>_xll.ciqfunctions.udf.CIQ(InputTicker, "IQ_DEBT_EQUIV_OPER_LEASE",Input!D$2,Date,,,Ccy,Conv)</f>
        <v>24.808</v>
      </c>
      <c r="C439" s="4">
        <f>_xll.ciqfunctions.udf.CIQ(InputTicker, "IQ_DEBT_EQUIV_OPER_LEASE",Input!E$2,Date,,,Ccy,Conv)</f>
        <v>32.72</v>
      </c>
      <c r="D439" s="4">
        <f>_xll.ciqfunctions.udf.CIQ(InputTicker, "IQ_DEBT_EQUIV_OPER_LEASE",Input!F$2,Date,,,Ccy,Conv)</f>
        <v>31.8</v>
      </c>
      <c r="E439" s="4">
        <f>_xll.ciqfunctions.udf.CIQ(InputTicker, "IQ_DEBT_EQUIV_OPER_LEASE",Input!G$2,Date,,,Ccy,Conv)</f>
        <v>0</v>
      </c>
      <c r="F439" s="4">
        <f>_xll.ciqfunctions.udf.CIQ(InputTicker, "IQ_DEBT_EQUIV_OPER_LEASE",Input!H$2,Date,,,Ccy,Conv)</f>
        <v>0</v>
      </c>
      <c r="G439" s="4">
        <f>_xll.ciqfunctions.udf.CIQ(InputTicker, "IQ_DEBT_EQUIV_OPER_LEASE",Input!I$2,Date,,,Ccy,Conv)</f>
        <v>0</v>
      </c>
      <c r="H439" s="4">
        <f>_xll.ciqfunctions.udf.CIQ(InputTicker, "IQ_DEBT_EQUIV_OPER_LEASE",Input!J$2,Date,,,Ccy,Conv)</f>
        <v>0</v>
      </c>
      <c r="I439" s="4">
        <f>_xll.ciqfunctions.udf.CIQ(InputTicker, "IQ_DEBT_EQUIV_OPER_LEASE",Input!K$2,Date,,,Ccy,Conv)</f>
        <v>0</v>
      </c>
      <c r="J439" s="4">
        <f>_xll.ciqfunctions.udf.CIQ(InputTicker, "IQ_DEBT_EQUIV_OPER_LEASE",Input!L$2,Date,,,Ccy,Conv)</f>
        <v>0</v>
      </c>
      <c r="K439" s="4">
        <f>_xll.ciqfunctions.udf.CIQ(InputTicker, "IQ_DEBT_EQUIV_OPER_LEASE",Input!M$2,Date,,,Ccy,Conv)</f>
        <v>0</v>
      </c>
      <c r="L439" s="4">
        <f>_xll.ciqfunctions.udf.CIQ(InputTicker, "IQ_DEBT_EQUIV_OPER_LEASE",Input!N$2,Date,,,Ccy,Conv)</f>
        <v>0</v>
      </c>
      <c r="M439" s="4">
        <f>_xll.ciqfunctions.udf.CIQ(InputTicker, "IQ_DEBT_EQUIV_OPER_LEASE",Input!O$2,Date,,,Ccy,Conv)</f>
        <v>0</v>
      </c>
      <c r="N439" s="53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  <c r="BN439" s="42"/>
    </row>
    <row r="440" spans="1:66" ht="12.75" customHeight="1" x14ac:dyDescent="0.2">
      <c r="A440" s="1" t="s">
        <v>362</v>
      </c>
      <c r="B440" s="4">
        <f>_xll.ciqfunctions.udf.CIQ(InputTicker,"IQ_COST_BORROWING",Input!D$2,Date)</f>
        <v>6.2758000000000003</v>
      </c>
      <c r="C440" s="4">
        <f>_xll.ciqfunctions.udf.CIQ(InputTicker,"IQ_COST_BORROWING",Input!E$2,Date)</f>
        <v>5.9034000000000004</v>
      </c>
      <c r="D440" s="4">
        <f>_xll.ciqfunctions.udf.CIQ(InputTicker,"IQ_COST_BORROWING",Input!F$2,Date)</f>
        <v>7.7679</v>
      </c>
      <c r="E440" s="4">
        <f>_xll.ciqfunctions.udf.CIQ(InputTicker,"IQ_COST_BORROWING",Input!G$2,Date)</f>
        <v>5.6608999999999998</v>
      </c>
      <c r="F440" s="4">
        <f>_xll.ciqfunctions.udf.CIQ(InputTicker,"IQ_COST_BORROWING",Input!H$2,Date)</f>
        <v>14.900499999999999</v>
      </c>
      <c r="G440" s="4">
        <f>_xll.ciqfunctions.udf.CIQ(InputTicker,"IQ_COST_BORROWING",Input!I$2,Date)</f>
        <v>16.762</v>
      </c>
      <c r="H440" s="4">
        <f>_xll.ciqfunctions.udf.CIQ(InputTicker,"IQ_COST_BORROWING",Input!J$2,Date)</f>
        <v>7.3880999999999997</v>
      </c>
      <c r="I440" s="4">
        <f>_xll.ciqfunctions.udf.CIQ(InputTicker,"IQ_COST_BORROWING",Input!K$2,Date)</f>
        <v>0</v>
      </c>
      <c r="J440" s="4">
        <f>_xll.ciqfunctions.udf.CIQ(InputTicker,"IQ_COST_BORROWING",Input!L$2,Date)</f>
        <v>0</v>
      </c>
      <c r="K440" s="4">
        <f>_xll.ciqfunctions.udf.CIQ(InputTicker,"IQ_COST_BORROWING",Input!M$2,Date)</f>
        <v>0</v>
      </c>
      <c r="L440" s="4">
        <f>_xll.ciqfunctions.udf.CIQ(InputTicker,"IQ_COST_BORROWING",Input!N$2,Date)</f>
        <v>0</v>
      </c>
      <c r="M440" s="4">
        <f>_xll.ciqfunctions.udf.CIQ(InputTicker,"IQ_COST_BORROWING",Input!O$2,Date)</f>
        <v>0</v>
      </c>
      <c r="N440" s="53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  <c r="BN440" s="42"/>
    </row>
    <row r="441" spans="1:66" ht="12.75" customHeight="1" x14ac:dyDescent="0.2">
      <c r="A441" s="1" t="s">
        <v>378</v>
      </c>
      <c r="B441" s="4">
        <f>_xll.ciqfunctions.udf.CIQ(InputTicker,"IQ_RESTRICTED_CASH_NON_CURRENT",Input!D$2,Date,,,Ccy,Conv)</f>
        <v>0</v>
      </c>
      <c r="C441" s="4">
        <f>_xll.ciqfunctions.udf.CIQ(InputTicker,"IQ_RESTRICTED_CASH_NON_CURRENT",Input!E$2,Date,,,Ccy,Conv)</f>
        <v>0</v>
      </c>
      <c r="D441" s="4">
        <f>_xll.ciqfunctions.udf.CIQ(InputTicker,"IQ_RESTRICTED_CASH_NON_CURRENT",Input!F$2,Date,,,Ccy,Conv)</f>
        <v>0</v>
      </c>
      <c r="E441" s="4">
        <f>_xll.ciqfunctions.udf.CIQ(InputTicker,"IQ_RESTRICTED_CASH_NON_CURRENT",Input!G$2,Date,,,Ccy,Conv)</f>
        <v>0</v>
      </c>
      <c r="F441" s="4">
        <f>_xll.ciqfunctions.udf.CIQ(InputTicker,"IQ_RESTRICTED_CASH_NON_CURRENT",Input!H$2,Date,,,Ccy,Conv)</f>
        <v>0</v>
      </c>
      <c r="G441" s="4">
        <f>_xll.ciqfunctions.udf.CIQ(InputTicker,"IQ_RESTRICTED_CASH_NON_CURRENT",Input!I$2,Date,,,Ccy,Conv)</f>
        <v>0</v>
      </c>
      <c r="H441" s="4">
        <f>_xll.ciqfunctions.udf.CIQ(InputTicker,"IQ_RESTRICTED_CASH_NON_CURRENT",Input!J$2,Date,,,Ccy,Conv)</f>
        <v>0</v>
      </c>
      <c r="I441" s="4">
        <f>_xll.ciqfunctions.udf.CIQ(InputTicker,"IQ_RESTRICTED_CASH_NON_CURRENT",Input!K$2,Date,,,Ccy,Conv)</f>
        <v>0</v>
      </c>
      <c r="J441" s="4">
        <f>_xll.ciqfunctions.udf.CIQ(InputTicker,"IQ_RESTRICTED_CASH_NON_CURRENT",Input!L$2,Date,,,Ccy,Conv)</f>
        <v>0</v>
      </c>
      <c r="K441" s="4">
        <f>_xll.ciqfunctions.udf.CIQ(InputTicker,"IQ_RESTRICTED_CASH_NON_CURRENT",Input!M$2,Date,,,Ccy,Conv)</f>
        <v>0</v>
      </c>
      <c r="L441" s="4">
        <f>_xll.ciqfunctions.udf.CIQ(InputTicker,"IQ_RESTRICTED_CASH_NON_CURRENT",Input!N$2,Date,,,Ccy,Conv)</f>
        <v>0</v>
      </c>
      <c r="M441" s="4">
        <f>_xll.ciqfunctions.udf.CIQ(InputTicker,"IQ_RESTRICTED_CASH_NON_CURRENT",Input!O$2,Date,,,Ccy,Conv)</f>
        <v>0</v>
      </c>
      <c r="N441" s="53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</row>
    <row r="442" spans="1:66" ht="12.75" customHeight="1" x14ac:dyDescent="0.2">
      <c r="A442" s="1" t="s">
        <v>505</v>
      </c>
      <c r="B442" s="4">
        <f>_xll.ciqfunctions.udf.CIQ(InputTicker,"IQ_RESTRICTED_CASH_TOTAL",Input!D$2,Date,,,Ccy,Conv)</f>
        <v>0</v>
      </c>
      <c r="C442" s="4">
        <f>_xll.ciqfunctions.udf.CIQ(InputTicker,"IQ_RESTRICTED_CASH_TOTAL",Input!E$2,Date,,,Ccy,Conv)</f>
        <v>0</v>
      </c>
      <c r="D442" s="4">
        <f>_xll.ciqfunctions.udf.CIQ(InputTicker,"IQ_RESTRICTED_CASH_TOTAL",Input!F$2,Date,,,Ccy,Conv)</f>
        <v>0</v>
      </c>
      <c r="E442" s="4">
        <f>_xll.ciqfunctions.udf.CIQ(InputTicker,"IQ_RESTRICTED_CASH_TOTAL",Input!G$2,Date,,,Ccy,Conv)</f>
        <v>0</v>
      </c>
      <c r="F442" s="4">
        <f>_xll.ciqfunctions.udf.CIQ(InputTicker,"IQ_RESTRICTED_CASH_TOTAL",Input!H$2,Date,,,Ccy,Conv)</f>
        <v>0</v>
      </c>
      <c r="G442" s="4">
        <f>_xll.ciqfunctions.udf.CIQ(InputTicker,"IQ_RESTRICTED_CASH_TOTAL",Input!I$2,Date,,,Ccy,Conv)</f>
        <v>0</v>
      </c>
      <c r="H442" s="4">
        <f>_xll.ciqfunctions.udf.CIQ(InputTicker,"IQ_RESTRICTED_CASH_TOTAL",Input!J$2,Date,,,Ccy,Conv)</f>
        <v>0</v>
      </c>
      <c r="I442" s="4">
        <f>_xll.ciqfunctions.udf.CIQ(InputTicker,"IQ_RESTRICTED_CASH_TOTAL",Input!K$2,Date,,,Ccy,Conv)</f>
        <v>0</v>
      </c>
      <c r="J442" s="4">
        <f>_xll.ciqfunctions.udf.CIQ(InputTicker,"IQ_RESTRICTED_CASH_TOTAL",Input!L$2,Date,,,Ccy,Conv)</f>
        <v>0</v>
      </c>
      <c r="K442" s="4">
        <f>_xll.ciqfunctions.udf.CIQ(InputTicker,"IQ_RESTRICTED_CASH_TOTAL",Input!M$2,Date,,,Ccy,Conv)</f>
        <v>0</v>
      </c>
      <c r="L442" s="4">
        <f>_xll.ciqfunctions.udf.CIQ(InputTicker,"IQ_RESTRICTED_CASH_TOTAL",Input!N$2,Date,,,Ccy,Conv)</f>
        <v>1</v>
      </c>
      <c r="M442" s="4">
        <f>_xll.ciqfunctions.udf.CIQ(InputTicker,"IQ_RESTRICTED_CASH_TOTAL",Input!O$2,Date,,,Ccy,Conv)</f>
        <v>0</v>
      </c>
      <c r="N442" s="53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  <c r="BN442" s="42"/>
    </row>
    <row r="443" spans="1:66" ht="12.75" customHeight="1" x14ac:dyDescent="0.2">
      <c r="A443" s="1" t="s">
        <v>363</v>
      </c>
      <c r="B443" s="4">
        <f>_xll.ciqfunctions.udf.CIQ(InputTicker,"IQ_TOTAL_DEBT_EXCL_FIN",Input!D$2,Date,,,Ccy,Conv)</f>
        <v>50.86</v>
      </c>
      <c r="C443" s="4">
        <f>_xll.ciqfunctions.udf.CIQ(InputTicker,"IQ_TOTAL_DEBT_EXCL_FIN",Input!E$2,Date,,,Ccy,Conv)</f>
        <v>25.57</v>
      </c>
      <c r="D443" s="4">
        <f>_xll.ciqfunctions.udf.CIQ(InputTicker,"IQ_TOTAL_DEBT_EXCL_FIN",Input!F$2,Date,,,Ccy,Conv)</f>
        <v>10.939</v>
      </c>
      <c r="E443" s="4">
        <f>_xll.ciqfunctions.udf.CIQ(InputTicker,"IQ_TOTAL_DEBT_EXCL_FIN",Input!G$2,Date,,,Ccy,Conv)</f>
        <v>6.09</v>
      </c>
      <c r="F443" s="4">
        <f>_xll.ciqfunctions.udf.CIQ(InputTicker,"IQ_TOTAL_DEBT_EXCL_FIN",Input!H$2,Date,,,Ccy,Conv)</f>
        <v>2.5539999999999998</v>
      </c>
      <c r="G443" s="4">
        <f>_xll.ciqfunctions.udf.CIQ(InputTicker,"IQ_TOTAL_DEBT_EXCL_FIN",Input!I$2,Date,,,Ccy,Conv)</f>
        <v>3.3879999999999999</v>
      </c>
      <c r="H443" s="4">
        <f>_xll.ciqfunctions.udf.CIQ(InputTicker,"IQ_TOTAL_DEBT_EXCL_FIN",Input!J$2,Date,,,Ccy,Conv)</f>
        <v>2.3780000000000001</v>
      </c>
      <c r="I443" s="4">
        <f>_xll.ciqfunctions.udf.CIQ(InputTicker,"IQ_TOTAL_DEBT_EXCL_FIN",Input!K$2,Date,,,Ccy,Conv)</f>
        <v>0</v>
      </c>
      <c r="J443" s="4">
        <f>_xll.ciqfunctions.udf.CIQ(InputTicker,"IQ_TOTAL_DEBT_EXCL_FIN",Input!L$2,Date,,,Ccy,Conv)</f>
        <v>0</v>
      </c>
      <c r="K443" s="4">
        <f>_xll.ciqfunctions.udf.CIQ(InputTicker,"IQ_TOTAL_DEBT_EXCL_FIN",Input!M$2,Date,,,Ccy,Conv)</f>
        <v>0</v>
      </c>
      <c r="L443" s="4">
        <f>_xll.ciqfunctions.udf.CIQ(InputTicker,"IQ_TOTAL_DEBT_EXCL_FIN",Input!N$2,Date,,,Ccy,Conv)</f>
        <v>0</v>
      </c>
      <c r="M443" s="4">
        <f>_xll.ciqfunctions.udf.CIQ(InputTicker,"IQ_TOTAL_DEBT_EXCL_FIN",Input!O$2,Date,,,Ccy,Conv)</f>
        <v>0</v>
      </c>
      <c r="N443" s="53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  <c r="BN443" s="42"/>
    </row>
    <row r="444" spans="1:66" ht="12.75" customHeight="1" x14ac:dyDescent="0.2">
      <c r="A444" s="1" t="s">
        <v>364</v>
      </c>
      <c r="B444" s="4">
        <f>_xll.ciqfunctions.udf.CIQ(InputTicker,"IQ_ORDER_BACKLOG",Input!D$2,Date,,,Ccy,Conv)</f>
        <v>0</v>
      </c>
      <c r="C444" s="4">
        <f>_xll.ciqfunctions.udf.CIQ(InputTicker,"IQ_ORDER_BACKLOG",Input!E$2,Date,,,Ccy,Conv)</f>
        <v>0</v>
      </c>
      <c r="D444" s="4">
        <f>_xll.ciqfunctions.udf.CIQ(InputTicker,"IQ_ORDER_BACKLOG",Input!F$2,Date,,,Ccy,Conv)</f>
        <v>0</v>
      </c>
      <c r="E444" s="4">
        <f>_xll.ciqfunctions.udf.CIQ(InputTicker,"IQ_ORDER_BACKLOG",Input!G$2,Date,,,Ccy,Conv)</f>
        <v>0</v>
      </c>
      <c r="F444" s="4">
        <f>_xll.ciqfunctions.udf.CIQ(InputTicker,"IQ_ORDER_BACKLOG",Input!H$2,Date,,,Ccy,Conv)</f>
        <v>0</v>
      </c>
      <c r="G444" s="4">
        <f>_xll.ciqfunctions.udf.CIQ(InputTicker,"IQ_ORDER_BACKLOG",Input!I$2,Date,,,Ccy,Conv)</f>
        <v>0</v>
      </c>
      <c r="H444" s="4">
        <f>_xll.ciqfunctions.udf.CIQ(InputTicker,"IQ_ORDER_BACKLOG",Input!J$2,Date,,,Ccy,Conv)</f>
        <v>0</v>
      </c>
      <c r="I444" s="4">
        <f>_xll.ciqfunctions.udf.CIQ(InputTicker,"IQ_ORDER_BACKLOG",Input!K$2,Date,,,Ccy,Conv)</f>
        <v>0</v>
      </c>
      <c r="J444" s="4">
        <f>_xll.ciqfunctions.udf.CIQ(InputTicker,"IQ_ORDER_BACKLOG",Input!L$2,Date,,,Ccy,Conv)</f>
        <v>0</v>
      </c>
      <c r="K444" s="4">
        <f>_xll.ciqfunctions.udf.CIQ(InputTicker,"IQ_ORDER_BACKLOG",Input!M$2,Date,,,Ccy,Conv)</f>
        <v>0</v>
      </c>
      <c r="L444" s="4">
        <f>_xll.ciqfunctions.udf.CIQ(InputTicker,"IQ_ORDER_BACKLOG",Input!N$2,Date,,,Ccy,Conv)</f>
        <v>0</v>
      </c>
      <c r="M444" s="4">
        <f>_xll.ciqfunctions.udf.CIQ(InputTicker,"IQ_ORDER_BACKLOG",Input!O$2,Date,,,Ccy,Conv)</f>
        <v>0</v>
      </c>
      <c r="N444" s="53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  <c r="BN444" s="42"/>
    </row>
    <row r="445" spans="1:66" ht="12.75" customHeight="1" x14ac:dyDescent="0.2">
      <c r="A445" s="1" t="s">
        <v>395</v>
      </c>
      <c r="B445" s="4">
        <f>_xll.ciqfunctions.udf.CIQ(InputTicker,"IQ_CONTINGENT_LIABILITIES",Input!D$2,Date,,,Ccy,Conv)</f>
        <v>0</v>
      </c>
      <c r="C445" s="4">
        <f>_xll.ciqfunctions.udf.CIQ(InputTicker,"IQ_CONTINGENT_LIABILITIES",Input!E$2,Date,,,Ccy,Conv)</f>
        <v>0</v>
      </c>
      <c r="D445" s="4">
        <f>_xll.ciqfunctions.udf.CIQ(InputTicker,"IQ_CONTINGENT_LIABILITIES",Input!F$2,Date,,,Ccy,Conv)</f>
        <v>0</v>
      </c>
      <c r="E445" s="4">
        <f>_xll.ciqfunctions.udf.CIQ(InputTicker,"IQ_CONTINGENT_LIABILITIES",Input!G$2,Date,,,Ccy,Conv)</f>
        <v>0</v>
      </c>
      <c r="F445" s="4">
        <f>_xll.ciqfunctions.udf.CIQ(InputTicker,"IQ_CONTINGENT_LIABILITIES",Input!H$2,Date,,,Ccy,Conv)</f>
        <v>0</v>
      </c>
      <c r="G445" s="4">
        <f>_xll.ciqfunctions.udf.CIQ(InputTicker,"IQ_CONTINGENT_LIABILITIES",Input!I$2,Date,,,Ccy,Conv)</f>
        <v>0</v>
      </c>
      <c r="H445" s="4">
        <f>_xll.ciqfunctions.udf.CIQ(InputTicker,"IQ_CONTINGENT_LIABILITIES",Input!J$2,Date,,,Ccy,Conv)</f>
        <v>0</v>
      </c>
      <c r="I445" s="4">
        <f>_xll.ciqfunctions.udf.CIQ(InputTicker,"IQ_CONTINGENT_LIABILITIES",Input!K$2,Date,,,Ccy,Conv)</f>
        <v>0</v>
      </c>
      <c r="J445" s="4">
        <f>_xll.ciqfunctions.udf.CIQ(InputTicker,"IQ_CONTINGENT_LIABILITIES",Input!L$2,Date,,,Ccy,Conv)</f>
        <v>0</v>
      </c>
      <c r="K445" s="4">
        <f>_xll.ciqfunctions.udf.CIQ(InputTicker,"IQ_CONTINGENT_LIABILITIES",Input!M$2,Date,,,Ccy,Conv)</f>
        <v>0</v>
      </c>
      <c r="L445" s="4">
        <f>_xll.ciqfunctions.udf.CIQ(InputTicker,"IQ_CONTINGENT_LIABILITIES",Input!N$2,Date,,,Ccy,Conv)</f>
        <v>4.7</v>
      </c>
      <c r="M445" s="4">
        <f>_xll.ciqfunctions.udf.CIQ(InputTicker,"IQ_CONTINGENT_LIABILITIES",Input!O$2,Date,,,Ccy,Conv)</f>
        <v>4.7</v>
      </c>
      <c r="N445" s="53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</row>
    <row r="446" spans="1:66" ht="12.75" customHeight="1" x14ac:dyDescent="0.2">
      <c r="A446" s="1" t="s">
        <v>443</v>
      </c>
      <c r="B446" s="4">
        <f>_xll.ciqfunctions.udf.CIQ(InputTicker,"IQ_WARRANTY_LIABILITIES",Input!D$2,Date,,,Ccy,Conv)</f>
        <v>0</v>
      </c>
      <c r="C446" s="4">
        <f>_xll.ciqfunctions.udf.CIQ(InputTicker,"IQ_WARRANTY_LIABILITIES",Input!E$2,Date,,,Ccy,Conv)</f>
        <v>0</v>
      </c>
      <c r="D446" s="4">
        <f>_xll.ciqfunctions.udf.CIQ(InputTicker,"IQ_WARRANTY_LIABILITIES",Input!F$2,Date,,,Ccy,Conv)</f>
        <v>0</v>
      </c>
      <c r="E446" s="4">
        <f>_xll.ciqfunctions.udf.CIQ(InputTicker,"IQ_WARRANTY_LIABILITIES",Input!G$2,Date,,,Ccy,Conv)</f>
        <v>0</v>
      </c>
      <c r="F446" s="4">
        <f>_xll.ciqfunctions.udf.CIQ(InputTicker,"IQ_WARRANTY_LIABILITIES",Input!H$2,Date,,,Ccy,Conv)</f>
        <v>0</v>
      </c>
      <c r="G446" s="4">
        <f>_xll.ciqfunctions.udf.CIQ(InputTicker,"IQ_WARRANTY_LIABILITIES",Input!I$2,Date,,,Ccy,Conv)</f>
        <v>0</v>
      </c>
      <c r="H446" s="4">
        <f>_xll.ciqfunctions.udf.CIQ(InputTicker,"IQ_WARRANTY_LIABILITIES",Input!J$2,Date,,,Ccy,Conv)</f>
        <v>0</v>
      </c>
      <c r="I446" s="4">
        <f>_xll.ciqfunctions.udf.CIQ(InputTicker,"IQ_WARRANTY_LIABILITIES",Input!K$2,Date,,,Ccy,Conv)</f>
        <v>0</v>
      </c>
      <c r="J446" s="4">
        <f>_xll.ciqfunctions.udf.CIQ(InputTicker,"IQ_WARRANTY_LIABILITIES",Input!L$2,Date,,,Ccy,Conv)</f>
        <v>0</v>
      </c>
      <c r="K446" s="4">
        <f>_xll.ciqfunctions.udf.CIQ(InputTicker,"IQ_WARRANTY_LIABILITIES",Input!M$2,Date,,,Ccy,Conv)</f>
        <v>0</v>
      </c>
      <c r="L446" s="4">
        <f>_xll.ciqfunctions.udf.CIQ(InputTicker,"IQ_WARRANTY_LIABILITIES",Input!N$2,Date,,,Ccy,Conv)</f>
        <v>0</v>
      </c>
      <c r="M446" s="4">
        <f>_xll.ciqfunctions.udf.CIQ(InputTicker,"IQ_WARRANTY_LIABILITIES",Input!O$2,Date,,,Ccy,Conv)</f>
        <v>0</v>
      </c>
      <c r="N446" s="53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</row>
    <row r="447" spans="1:66" ht="12.75" customHeight="1" x14ac:dyDescent="0.2">
      <c r="A447" s="1" t="s">
        <v>8</v>
      </c>
      <c r="B447" s="4">
        <f>_xll.ciqfunctions.udf.CIQ(InputTicker,"IQ_ST_DEBT_DERIVATIVES",Input!D$2,Date,,,Ccy,Conv)</f>
        <v>0</v>
      </c>
      <c r="C447" s="4">
        <f>_xll.ciqfunctions.udf.CIQ(InputTicker,"IQ_ST_DEBT_DERIVATIVES",Input!E$2,Date,,,Ccy,Conv)</f>
        <v>0</v>
      </c>
      <c r="D447" s="4">
        <f>_xll.ciqfunctions.udf.CIQ(InputTicker,"IQ_ST_DEBT_DERIVATIVES",Input!F$2,Date,,,Ccy,Conv)</f>
        <v>0</v>
      </c>
      <c r="E447" s="4">
        <f>_xll.ciqfunctions.udf.CIQ(InputTicker,"IQ_ST_DEBT_DERIVATIVES",Input!G$2,Date,,,Ccy,Conv)</f>
        <v>0</v>
      </c>
      <c r="F447" s="4">
        <f>_xll.ciqfunctions.udf.CIQ(InputTicker,"IQ_ST_DEBT_DERIVATIVES",Input!H$2,Date,,,Ccy,Conv)</f>
        <v>0</v>
      </c>
      <c r="G447" s="4">
        <f>_xll.ciqfunctions.udf.CIQ(InputTicker,"IQ_ST_DEBT_DERIVATIVES",Input!I$2,Date,,,Ccy,Conv)</f>
        <v>0</v>
      </c>
      <c r="H447" s="4">
        <f>_xll.ciqfunctions.udf.CIQ(InputTicker,"IQ_ST_DEBT_DERIVATIVES",Input!J$2,Date,,,Ccy,Conv)</f>
        <v>0</v>
      </c>
      <c r="I447" s="4">
        <f>_xll.ciqfunctions.udf.CIQ(InputTicker,"IQ_ST_DEBT_DERIVATIVES",Input!K$2,Date,,,Ccy,Conv)</f>
        <v>0</v>
      </c>
      <c r="J447" s="4">
        <f>_xll.ciqfunctions.udf.CIQ(InputTicker,"IQ_ST_DEBT_DERIVATIVES",Input!L$2,Date,,,Ccy,Conv)</f>
        <v>0</v>
      </c>
      <c r="K447" s="4">
        <f>_xll.ciqfunctions.udf.CIQ(InputTicker,"IQ_ST_DEBT_DERIVATIVES",Input!M$2,Date,,,Ccy,Conv)</f>
        <v>0</v>
      </c>
      <c r="L447" s="4">
        <f>_xll.ciqfunctions.udf.CIQ(InputTicker,"IQ_ST_DEBT_DERIVATIVES",Input!N$2,Date,,,Ccy,Conv)</f>
        <v>0</v>
      </c>
      <c r="M447" s="4">
        <f>_xll.ciqfunctions.udf.CIQ(InputTicker,"IQ_ST_DEBT_DERIVATIVES",Input!O$2,Date,,,Ccy,Conv)</f>
        <v>0</v>
      </c>
      <c r="N447" s="53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  <c r="BG447" s="42"/>
      <c r="BH447" s="42"/>
      <c r="BI447" s="42"/>
      <c r="BJ447" s="42"/>
      <c r="BK447" s="42"/>
      <c r="BL447" s="42"/>
      <c r="BM447" s="42"/>
      <c r="BN447" s="42"/>
    </row>
    <row r="448" spans="1:66" ht="12.75" customHeight="1" x14ac:dyDescent="0.2">
      <c r="A448" s="1" t="s">
        <v>9</v>
      </c>
      <c r="B448" s="4">
        <f>_xll.ciqfunctions.udf.CIQ(InputTicker,"IQ_CURRENT_PORT_DEBT_DERIVATIVES",Input!D$2,Date,,,Ccy,Conv)</f>
        <v>0</v>
      </c>
      <c r="C448" s="4">
        <f>_xll.ciqfunctions.udf.CIQ(InputTicker,"IQ_CURRENT_PORT_DEBT_DERIVATIVES",Input!E$2,Date,,,Ccy,Conv)</f>
        <v>0</v>
      </c>
      <c r="D448" s="4">
        <f>_xll.ciqfunctions.udf.CIQ(InputTicker,"IQ_CURRENT_PORT_DEBT_DERIVATIVES",Input!F$2,Date,,,Ccy,Conv)</f>
        <v>0</v>
      </c>
      <c r="E448" s="4">
        <f>_xll.ciqfunctions.udf.CIQ(InputTicker,"IQ_CURRENT_PORT_DEBT_DERIVATIVES",Input!G$2,Date,,,Ccy,Conv)</f>
        <v>0</v>
      </c>
      <c r="F448" s="4">
        <f>_xll.ciqfunctions.udf.CIQ(InputTicker,"IQ_CURRENT_PORT_DEBT_DERIVATIVES",Input!H$2,Date,,,Ccy,Conv)</f>
        <v>0</v>
      </c>
      <c r="G448" s="4">
        <f>_xll.ciqfunctions.udf.CIQ(InputTicker,"IQ_CURRENT_PORT_DEBT_DERIVATIVES",Input!I$2,Date,,,Ccy,Conv)</f>
        <v>0</v>
      </c>
      <c r="H448" s="4">
        <f>_xll.ciqfunctions.udf.CIQ(InputTicker,"IQ_CURRENT_PORT_DEBT_DERIVATIVES",Input!J$2,Date,,,Ccy,Conv)</f>
        <v>0</v>
      </c>
      <c r="I448" s="4">
        <f>_xll.ciqfunctions.udf.CIQ(InputTicker,"IQ_CURRENT_PORT_DEBT_DERIVATIVES",Input!K$2,Date,,,Ccy,Conv)</f>
        <v>0</v>
      </c>
      <c r="J448" s="4">
        <f>_xll.ciqfunctions.udf.CIQ(InputTicker,"IQ_CURRENT_PORT_DEBT_DERIVATIVES",Input!L$2,Date,,,Ccy,Conv)</f>
        <v>0</v>
      </c>
      <c r="K448" s="4">
        <f>_xll.ciqfunctions.udf.CIQ(InputTicker,"IQ_CURRENT_PORT_DEBT_DERIVATIVES",Input!M$2,Date,,,Ccy,Conv)</f>
        <v>0</v>
      </c>
      <c r="L448" s="4">
        <f>_xll.ciqfunctions.udf.CIQ(InputTicker,"IQ_CURRENT_PORT_DEBT_DERIVATIVES",Input!N$2,Date,,,Ccy,Conv)</f>
        <v>0</v>
      </c>
      <c r="M448" s="4">
        <f>_xll.ciqfunctions.udf.CIQ(InputTicker,"IQ_CURRENT_PORT_DEBT_DERIVATIVES",Input!O$2,Date,,,Ccy,Conv)</f>
        <v>0</v>
      </c>
      <c r="N448" s="53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  <c r="BM448" s="42"/>
      <c r="BN448" s="42"/>
    </row>
    <row r="449" spans="1:66" ht="12.75" customHeight="1" x14ac:dyDescent="0.2">
      <c r="A449" s="1" t="s">
        <v>10</v>
      </c>
      <c r="B449" s="4">
        <f>_xll.ciqfunctions.udf.CIQ(InputTicker,"IQ_LT_DEBT_DERIVATIVES",Input!D$2,Date,,,Ccy,Conv)</f>
        <v>0</v>
      </c>
      <c r="C449" s="4">
        <f>_xll.ciqfunctions.udf.CIQ(InputTicker,"IQ_LT_DEBT_DERIVATIVES",Input!E$2,Date,,,Ccy,Conv)</f>
        <v>0</v>
      </c>
      <c r="D449" s="4">
        <f>_xll.ciqfunctions.udf.CIQ(InputTicker,"IQ_LT_DEBT_DERIVATIVES",Input!F$2,Date,,,Ccy,Conv)</f>
        <v>0</v>
      </c>
      <c r="E449" s="4">
        <f>_xll.ciqfunctions.udf.CIQ(InputTicker,"IQ_LT_DEBT_DERIVATIVES",Input!G$2,Date,,,Ccy,Conv)</f>
        <v>0</v>
      </c>
      <c r="F449" s="4">
        <f>_xll.ciqfunctions.udf.CIQ(InputTicker,"IQ_LT_DEBT_DERIVATIVES",Input!H$2,Date,,,Ccy,Conv)</f>
        <v>0</v>
      </c>
      <c r="G449" s="4">
        <f>_xll.ciqfunctions.udf.CIQ(InputTicker,"IQ_LT_DEBT_DERIVATIVES",Input!I$2,Date,,,Ccy,Conv)</f>
        <v>0</v>
      </c>
      <c r="H449" s="4">
        <f>_xll.ciqfunctions.udf.CIQ(InputTicker,"IQ_LT_DEBT_DERIVATIVES",Input!J$2,Date,,,Ccy,Conv)</f>
        <v>0</v>
      </c>
      <c r="I449" s="4">
        <f>_xll.ciqfunctions.udf.CIQ(InputTicker,"IQ_LT_DEBT_DERIVATIVES",Input!K$2,Date,,,Ccy,Conv)</f>
        <v>0</v>
      </c>
      <c r="J449" s="4">
        <f>_xll.ciqfunctions.udf.CIQ(InputTicker,"IQ_LT_DEBT_DERIVATIVES",Input!L$2,Date,,,Ccy,Conv)</f>
        <v>0</v>
      </c>
      <c r="K449" s="4">
        <f>_xll.ciqfunctions.udf.CIQ(InputTicker,"IQ_LT_DEBT_DERIVATIVES",Input!M$2,Date,,,Ccy,Conv)</f>
        <v>0</v>
      </c>
      <c r="L449" s="4">
        <f>_xll.ciqfunctions.udf.CIQ(InputTicker,"IQ_LT_DEBT_DERIVATIVES",Input!N$2,Date,,,Ccy,Conv)</f>
        <v>0</v>
      </c>
      <c r="M449" s="4">
        <f>_xll.ciqfunctions.udf.CIQ(InputTicker,"IQ_LT_DEBT_DERIVATIVES",Input!O$2,Date,,,Ccy,Conv)</f>
        <v>0</v>
      </c>
      <c r="N449" s="53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  <c r="BN449" s="42"/>
    </row>
    <row r="450" spans="1:66" ht="12.75" customHeight="1" x14ac:dyDescent="0.2">
      <c r="A450" s="1" t="s">
        <v>18</v>
      </c>
      <c r="B450" s="4">
        <f>_xll.ciqfunctions.udf.CIQ(InputTicker,"IQ_DERIVATIVE_LIAB_CURRENT",Input!D$2,Date,,,Ccy,Conv)</f>
        <v>0</v>
      </c>
      <c r="C450" s="4">
        <f>_xll.ciqfunctions.udf.CIQ(InputTicker,"IQ_DERIVATIVE_LIAB_CURRENT",Input!E$2,Date,,,Ccy,Conv)</f>
        <v>0</v>
      </c>
      <c r="D450" s="4">
        <f>_xll.ciqfunctions.udf.CIQ(InputTicker,"IQ_DERIVATIVE_LIAB_CURRENT",Input!F$2,Date,,,Ccy,Conv)</f>
        <v>0</v>
      </c>
      <c r="E450" s="4">
        <f>_xll.ciqfunctions.udf.CIQ(InputTicker,"IQ_DERIVATIVE_LIAB_CURRENT",Input!G$2,Date,,,Ccy,Conv)</f>
        <v>0</v>
      </c>
      <c r="F450" s="4">
        <f>_xll.ciqfunctions.udf.CIQ(InputTicker,"IQ_DERIVATIVE_LIAB_CURRENT",Input!H$2,Date,,,Ccy,Conv)</f>
        <v>0</v>
      </c>
      <c r="G450" s="4">
        <f>_xll.ciqfunctions.udf.CIQ(InputTicker,"IQ_DERIVATIVE_LIAB_CURRENT",Input!I$2,Date,,,Ccy,Conv)</f>
        <v>0</v>
      </c>
      <c r="H450" s="4">
        <f>_xll.ciqfunctions.udf.CIQ(InputTicker,"IQ_DERIVATIVE_LIAB_CURRENT",Input!J$2,Date,,,Ccy,Conv)</f>
        <v>0</v>
      </c>
      <c r="I450" s="4">
        <f>_xll.ciqfunctions.udf.CIQ(InputTicker,"IQ_DERIVATIVE_LIAB_CURRENT",Input!K$2,Date,,,Ccy,Conv)</f>
        <v>0</v>
      </c>
      <c r="J450" s="4">
        <f>_xll.ciqfunctions.udf.CIQ(InputTicker,"IQ_DERIVATIVE_LIAB_CURRENT",Input!L$2,Date,,,Ccy,Conv)</f>
        <v>0</v>
      </c>
      <c r="K450" s="4">
        <f>_xll.ciqfunctions.udf.CIQ(InputTicker,"IQ_DERIVATIVE_LIAB_CURRENT",Input!M$2,Date,,,Ccy,Conv)</f>
        <v>0</v>
      </c>
      <c r="L450" s="4">
        <f>_xll.ciqfunctions.udf.CIQ(InputTicker,"IQ_DERIVATIVE_LIAB_CURRENT",Input!N$2,Date,,,Ccy,Conv)</f>
        <v>0</v>
      </c>
      <c r="M450" s="4">
        <f>_xll.ciqfunctions.udf.CIQ(InputTicker,"IQ_DERIVATIVE_LIAB_CURRENT",Input!O$2,Date,,,Ccy,Conv)</f>
        <v>0</v>
      </c>
      <c r="N450" s="53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  <c r="BN450" s="42"/>
    </row>
    <row r="451" spans="1:66" ht="12.75" customHeight="1" x14ac:dyDescent="0.2">
      <c r="A451" s="1" t="s">
        <v>19</v>
      </c>
      <c r="B451" s="4">
        <f>_xll.ciqfunctions.udf.CIQ(InputTicker,"IQ_DERIVATIVE_LIAB_NON_CURRENT",Input!D$2,Date,,,Ccy,Conv)</f>
        <v>0</v>
      </c>
      <c r="C451" s="4">
        <f>_xll.ciqfunctions.udf.CIQ(InputTicker,"IQ_DERIVATIVE_LIAB_NON_CURRENT",Input!E$2,Date,,,Ccy,Conv)</f>
        <v>0</v>
      </c>
      <c r="D451" s="4">
        <f>_xll.ciqfunctions.udf.CIQ(InputTicker,"IQ_DERIVATIVE_LIAB_NON_CURRENT",Input!F$2,Date,,,Ccy,Conv)</f>
        <v>0</v>
      </c>
      <c r="E451" s="4">
        <f>_xll.ciqfunctions.udf.CIQ(InputTicker,"IQ_DERIVATIVE_LIAB_NON_CURRENT",Input!G$2,Date,,,Ccy,Conv)</f>
        <v>0</v>
      </c>
      <c r="F451" s="4">
        <f>_xll.ciqfunctions.udf.CIQ(InputTicker,"IQ_DERIVATIVE_LIAB_NON_CURRENT",Input!H$2,Date,,,Ccy,Conv)</f>
        <v>0</v>
      </c>
      <c r="G451" s="4">
        <f>_xll.ciqfunctions.udf.CIQ(InputTicker,"IQ_DERIVATIVE_LIAB_NON_CURRENT",Input!I$2,Date,,,Ccy,Conv)</f>
        <v>0</v>
      </c>
      <c r="H451" s="4">
        <f>_xll.ciqfunctions.udf.CIQ(InputTicker,"IQ_DERIVATIVE_LIAB_NON_CURRENT",Input!J$2,Date,,,Ccy,Conv)</f>
        <v>0</v>
      </c>
      <c r="I451" s="4">
        <f>_xll.ciqfunctions.udf.CIQ(InputTicker,"IQ_DERIVATIVE_LIAB_NON_CURRENT",Input!K$2,Date,,,Ccy,Conv)</f>
        <v>0</v>
      </c>
      <c r="J451" s="4">
        <f>_xll.ciqfunctions.udf.CIQ(InputTicker,"IQ_DERIVATIVE_LIAB_NON_CURRENT",Input!L$2,Date,,,Ccy,Conv)</f>
        <v>0</v>
      </c>
      <c r="K451" s="4">
        <f>_xll.ciqfunctions.udf.CIQ(InputTicker,"IQ_DERIVATIVE_LIAB_NON_CURRENT",Input!M$2,Date,,,Ccy,Conv)</f>
        <v>0</v>
      </c>
      <c r="L451" s="4">
        <f>_xll.ciqfunctions.udf.CIQ(InputTicker,"IQ_DERIVATIVE_LIAB_NON_CURRENT",Input!N$2,Date,,,Ccy,Conv)</f>
        <v>0</v>
      </c>
      <c r="M451" s="4">
        <f>_xll.ciqfunctions.udf.CIQ(InputTicker,"IQ_DERIVATIVE_LIAB_NON_CURRENT",Input!O$2,Date,,,Ccy,Conv)</f>
        <v>0</v>
      </c>
      <c r="N451" s="53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  <c r="BM451" s="42"/>
      <c r="BN451" s="42"/>
    </row>
    <row r="452" spans="1:66" ht="12.75" customHeight="1" x14ac:dyDescent="0.2">
      <c r="A452" s="1" t="s">
        <v>20</v>
      </c>
      <c r="B452" s="4">
        <f>_xll.ciqfunctions.udf.CIQ(InputTicker,"IQ_DERIVATIVE_TRADING_ASSETS",Input!D$2,Date,,,Ccy,Conv)</f>
        <v>0</v>
      </c>
      <c r="C452" s="4">
        <f>_xll.ciqfunctions.udf.CIQ(InputTicker,"IQ_DERIVATIVE_TRADING_ASSETS",Input!E$2,Date,,,Ccy,Conv)</f>
        <v>0</v>
      </c>
      <c r="D452" s="4">
        <f>_xll.ciqfunctions.udf.CIQ(InputTicker,"IQ_DERIVATIVE_TRADING_ASSETS",Input!F$2,Date,,,Ccy,Conv)</f>
        <v>0</v>
      </c>
      <c r="E452" s="4">
        <f>_xll.ciqfunctions.udf.CIQ(InputTicker,"IQ_DERIVATIVE_TRADING_ASSETS",Input!G$2,Date,,,Ccy,Conv)</f>
        <v>0</v>
      </c>
      <c r="F452" s="4">
        <f>_xll.ciqfunctions.udf.CIQ(InputTicker,"IQ_DERIVATIVE_TRADING_ASSETS",Input!H$2,Date,,,Ccy,Conv)</f>
        <v>0</v>
      </c>
      <c r="G452" s="4">
        <f>_xll.ciqfunctions.udf.CIQ(InputTicker,"IQ_DERIVATIVE_TRADING_ASSETS",Input!I$2,Date,,,Ccy,Conv)</f>
        <v>0</v>
      </c>
      <c r="H452" s="4">
        <f>_xll.ciqfunctions.udf.CIQ(InputTicker,"IQ_DERIVATIVE_TRADING_ASSETS",Input!J$2,Date,,,Ccy,Conv)</f>
        <v>0</v>
      </c>
      <c r="I452" s="4">
        <f>_xll.ciqfunctions.udf.CIQ(InputTicker,"IQ_DERIVATIVE_TRADING_ASSETS",Input!K$2,Date,,,Ccy,Conv)</f>
        <v>0</v>
      </c>
      <c r="J452" s="4">
        <f>_xll.ciqfunctions.udf.CIQ(InputTicker,"IQ_DERIVATIVE_TRADING_ASSETS",Input!L$2,Date,,,Ccy,Conv)</f>
        <v>0</v>
      </c>
      <c r="K452" s="4">
        <f>_xll.ciqfunctions.udf.CIQ(InputTicker,"IQ_DERIVATIVE_TRADING_ASSETS",Input!M$2,Date,,,Ccy,Conv)</f>
        <v>0</v>
      </c>
      <c r="L452" s="4">
        <f>_xll.ciqfunctions.udf.CIQ(InputTicker,"IQ_DERIVATIVE_TRADING_ASSETS",Input!N$2,Date,,,Ccy,Conv)</f>
        <v>0</v>
      </c>
      <c r="M452" s="4">
        <f>_xll.ciqfunctions.udf.CIQ(InputTicker,"IQ_DERIVATIVE_TRADING_ASSETS",Input!O$2,Date,,,Ccy,Conv)</f>
        <v>0</v>
      </c>
      <c r="N452" s="53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  <c r="BM452" s="42"/>
      <c r="BN452" s="42"/>
    </row>
    <row r="453" spans="1:66" ht="12.75" customHeight="1" x14ac:dyDescent="0.2">
      <c r="A453" s="1" t="s">
        <v>11</v>
      </c>
      <c r="B453" s="4">
        <f>_xll.ciqfunctions.udf.CIQ(InputTicker,"IQ_DERIVATIVE_ASSETS_CURRENT",Input!D$2,Date,,,Ccy,Conv)</f>
        <v>0</v>
      </c>
      <c r="C453" s="4">
        <f>_xll.ciqfunctions.udf.CIQ(InputTicker,"IQ_DERIVATIVE_ASSETS_CURRENT",Input!E$2,Date,,,Ccy,Conv)</f>
        <v>0</v>
      </c>
      <c r="D453" s="4">
        <f>_xll.ciqfunctions.udf.CIQ(InputTicker,"IQ_DERIVATIVE_ASSETS_CURRENT",Input!F$2,Date,,,Ccy,Conv)</f>
        <v>0</v>
      </c>
      <c r="E453" s="4">
        <f>_xll.ciqfunctions.udf.CIQ(InputTicker,"IQ_DERIVATIVE_ASSETS_CURRENT",Input!G$2,Date,,,Ccy,Conv)</f>
        <v>0</v>
      </c>
      <c r="F453" s="4">
        <f>_xll.ciqfunctions.udf.CIQ(InputTicker,"IQ_DERIVATIVE_ASSETS_CURRENT",Input!H$2,Date,,,Ccy,Conv)</f>
        <v>0</v>
      </c>
      <c r="G453" s="4">
        <f>_xll.ciqfunctions.udf.CIQ(InputTicker,"IQ_DERIVATIVE_ASSETS_CURRENT",Input!I$2,Date,,,Ccy,Conv)</f>
        <v>0</v>
      </c>
      <c r="H453" s="4">
        <f>_xll.ciqfunctions.udf.CIQ(InputTicker,"IQ_DERIVATIVE_ASSETS_CURRENT",Input!J$2,Date,,,Ccy,Conv)</f>
        <v>0</v>
      </c>
      <c r="I453" s="4">
        <f>_xll.ciqfunctions.udf.CIQ(InputTicker,"IQ_DERIVATIVE_ASSETS_CURRENT",Input!K$2,Date,,,Ccy,Conv)</f>
        <v>0</v>
      </c>
      <c r="J453" s="4">
        <f>_xll.ciqfunctions.udf.CIQ(InputTicker,"IQ_DERIVATIVE_ASSETS_CURRENT",Input!L$2,Date,,,Ccy,Conv)</f>
        <v>0</v>
      </c>
      <c r="K453" s="4">
        <f>_xll.ciqfunctions.udf.CIQ(InputTicker,"IQ_DERIVATIVE_ASSETS_CURRENT",Input!M$2,Date,,,Ccy,Conv)</f>
        <v>0</v>
      </c>
      <c r="L453" s="4">
        <f>_xll.ciqfunctions.udf.CIQ(InputTicker,"IQ_DERIVATIVE_ASSETS_CURRENT",Input!N$2,Date,,,Ccy,Conv)</f>
        <v>0</v>
      </c>
      <c r="M453" s="4">
        <f>_xll.ciqfunctions.udf.CIQ(InputTicker,"IQ_DERIVATIVE_ASSETS_CURRENT",Input!O$2,Date,,,Ccy,Conv)</f>
        <v>0</v>
      </c>
      <c r="N453" s="53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  <c r="BM453" s="42"/>
      <c r="BN453" s="42"/>
    </row>
    <row r="454" spans="1:66" ht="12.75" customHeight="1" x14ac:dyDescent="0.2">
      <c r="A454" s="1" t="s">
        <v>12</v>
      </c>
      <c r="B454" s="4">
        <f>_xll.ciqfunctions.udf.CIQ(InputTicker,"IQ_DERIVATIVE_ASSETS_LT",Input!D$2,Date,,,Ccy,Conv)</f>
        <v>0</v>
      </c>
      <c r="C454" s="4">
        <f>_xll.ciqfunctions.udf.CIQ(InputTicker,"IQ_DERIVATIVE_ASSETS_LT",Input!E$2,Date,,,Ccy,Conv)</f>
        <v>0</v>
      </c>
      <c r="D454" s="4">
        <f>_xll.ciqfunctions.udf.CIQ(InputTicker,"IQ_DERIVATIVE_ASSETS_LT",Input!F$2,Date,,,Ccy,Conv)</f>
        <v>0</v>
      </c>
      <c r="E454" s="4">
        <f>_xll.ciqfunctions.udf.CIQ(InputTicker,"IQ_DERIVATIVE_ASSETS_LT",Input!G$2,Date,,,Ccy,Conv)</f>
        <v>0</v>
      </c>
      <c r="F454" s="4">
        <f>_xll.ciqfunctions.udf.CIQ(InputTicker,"IQ_DERIVATIVE_ASSETS_LT",Input!H$2,Date,,,Ccy,Conv)</f>
        <v>0</v>
      </c>
      <c r="G454" s="4">
        <f>_xll.ciqfunctions.udf.CIQ(InputTicker,"IQ_DERIVATIVE_ASSETS_LT",Input!I$2,Date,,,Ccy,Conv)</f>
        <v>0</v>
      </c>
      <c r="H454" s="4">
        <f>_xll.ciqfunctions.udf.CIQ(InputTicker,"IQ_DERIVATIVE_ASSETS_LT",Input!J$2,Date,,,Ccy,Conv)</f>
        <v>0</v>
      </c>
      <c r="I454" s="4">
        <f>_xll.ciqfunctions.udf.CIQ(InputTicker,"IQ_DERIVATIVE_ASSETS_LT",Input!K$2,Date,,,Ccy,Conv)</f>
        <v>0</v>
      </c>
      <c r="J454" s="4">
        <f>_xll.ciqfunctions.udf.CIQ(InputTicker,"IQ_DERIVATIVE_ASSETS_LT",Input!L$2,Date,,,Ccy,Conv)</f>
        <v>0</v>
      </c>
      <c r="K454" s="4">
        <f>_xll.ciqfunctions.udf.CIQ(InputTicker,"IQ_DERIVATIVE_ASSETS_LT",Input!M$2,Date,,,Ccy,Conv)</f>
        <v>0</v>
      </c>
      <c r="L454" s="4">
        <f>_xll.ciqfunctions.udf.CIQ(InputTicker,"IQ_DERIVATIVE_ASSETS_LT",Input!N$2,Date,,,Ccy,Conv)</f>
        <v>0</v>
      </c>
      <c r="M454" s="4">
        <f>_xll.ciqfunctions.udf.CIQ(InputTicker,"IQ_DERIVATIVE_ASSETS_LT",Input!O$2,Date,,,Ccy,Conv)</f>
        <v>0</v>
      </c>
      <c r="N454" s="53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  <c r="BM454" s="42"/>
      <c r="BN454" s="42"/>
    </row>
    <row r="455" spans="1:66" ht="12.75" customHeight="1" x14ac:dyDescent="0.2">
      <c r="A455" s="1" t="s">
        <v>13</v>
      </c>
      <c r="B455" s="4">
        <f>_xll.ciqfunctions.udf.CIQ(InputTicker,"IQ_GROSS_INTAN_ASSETS",Input!D$2,Date,,,Ccy,Conv)</f>
        <v>23.939</v>
      </c>
      <c r="C455" s="4">
        <f>_xll.ciqfunctions.udf.CIQ(InputTicker,"IQ_GROSS_INTAN_ASSETS",Input!E$2,Date,,,Ccy,Conv)</f>
        <v>23.939</v>
      </c>
      <c r="D455" s="4">
        <f>_xll.ciqfunctions.udf.CIQ(InputTicker,"IQ_GROSS_INTAN_ASSETS",Input!F$2,Date,,,Ccy,Conv)</f>
        <v>50.338999999999999</v>
      </c>
      <c r="E455" s="4">
        <f>_xll.ciqfunctions.udf.CIQ(InputTicker,"IQ_GROSS_INTAN_ASSETS",Input!G$2,Date,,,Ccy,Conv)</f>
        <v>50.338999999999999</v>
      </c>
      <c r="F455" s="4">
        <f>_xll.ciqfunctions.udf.CIQ(InputTicker,"IQ_GROSS_INTAN_ASSETS",Input!H$2,Date,,,Ccy,Conv)</f>
        <v>50.588999999999999</v>
      </c>
      <c r="G455" s="4">
        <f>_xll.ciqfunctions.udf.CIQ(InputTicker,"IQ_GROSS_INTAN_ASSETS",Input!I$2,Date,,,Ccy,Conv)</f>
        <v>52.588999999999999</v>
      </c>
      <c r="H455" s="4">
        <f>_xll.ciqfunctions.udf.CIQ(InputTicker,"IQ_GROSS_INTAN_ASSETS",Input!J$2,Date,,,Ccy,Conv)</f>
        <v>0</v>
      </c>
      <c r="I455" s="4">
        <f>_xll.ciqfunctions.udf.CIQ(InputTicker,"IQ_GROSS_INTAN_ASSETS",Input!K$2,Date,,,Ccy,Conv)</f>
        <v>20.350999999999999</v>
      </c>
      <c r="J455" s="4">
        <f>_xll.ciqfunctions.udf.CIQ(InputTicker,"IQ_GROSS_INTAN_ASSETS",Input!L$2,Date,,,Ccy,Conv)</f>
        <v>41.497999999999998</v>
      </c>
      <c r="K455" s="4">
        <f>_xll.ciqfunctions.udf.CIQ(InputTicker,"IQ_GROSS_INTAN_ASSETS",Input!M$2,Date,,,Ccy,Conv)</f>
        <v>37.026000000000003</v>
      </c>
      <c r="L455" s="4">
        <f>_xll.ciqfunctions.udf.CIQ(InputTicker,"IQ_GROSS_INTAN_ASSETS",Input!N$2,Date,,,Ccy,Conv)</f>
        <v>35.695</v>
      </c>
      <c r="M455" s="4">
        <f>_xll.ciqfunctions.udf.CIQ(InputTicker,"IQ_GROSS_INTAN_ASSETS",Input!O$2,Date,,,Ccy,Conv)</f>
        <v>0</v>
      </c>
      <c r="N455" s="53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  <c r="BM455" s="42"/>
      <c r="BN455" s="42"/>
    </row>
    <row r="456" spans="1:66" ht="12.75" customHeight="1" x14ac:dyDescent="0.2">
      <c r="A456" s="1" t="s">
        <v>14</v>
      </c>
      <c r="B456" s="4">
        <f>_xll.ciqfunctions.udf.CIQ(InputTicker,"IQ_ACCUM_AMORT_INTAN_ASSETS",Input!D$2,Date,,,Ccy,Conv)</f>
        <v>-16.379000000000001</v>
      </c>
      <c r="C456" s="4">
        <f>_xll.ciqfunctions.udf.CIQ(InputTicker,"IQ_ACCUM_AMORT_INTAN_ASSETS",Input!E$2,Date,,,Ccy,Conv)</f>
        <v>-18.981000000000002</v>
      </c>
      <c r="D456" s="4">
        <f>_xll.ciqfunctions.udf.CIQ(InputTicker,"IQ_ACCUM_AMORT_INTAN_ASSETS",Input!F$2,Date,,,Ccy,Conv)</f>
        <v>-21.19</v>
      </c>
      <c r="E456" s="4">
        <f>_xll.ciqfunctions.udf.CIQ(InputTicker,"IQ_ACCUM_AMORT_INTAN_ASSETS",Input!G$2,Date,,,Ccy,Conv)</f>
        <v>-24.032</v>
      </c>
      <c r="F456" s="4">
        <f>_xll.ciqfunctions.udf.CIQ(InputTicker,"IQ_ACCUM_AMORT_INTAN_ASSETS",Input!H$2,Date,,,Ccy,Conv)</f>
        <v>-26.827000000000002</v>
      </c>
      <c r="G456" s="4">
        <f>_xll.ciqfunctions.udf.CIQ(InputTicker,"IQ_ACCUM_AMORT_INTAN_ASSETS",Input!I$2,Date,,,Ccy,Conv)</f>
        <v>-29.773</v>
      </c>
      <c r="H456" s="4">
        <f>_xll.ciqfunctions.udf.CIQ(InputTicker,"IQ_ACCUM_AMORT_INTAN_ASSETS",Input!J$2,Date,,,Ccy,Conv)</f>
        <v>0</v>
      </c>
      <c r="I456" s="4">
        <f>_xll.ciqfunctions.udf.CIQ(InputTicker,"IQ_ACCUM_AMORT_INTAN_ASSETS",Input!K$2,Date,,,Ccy,Conv)</f>
        <v>-2.2200000000000002</v>
      </c>
      <c r="J456" s="4">
        <f>_xll.ciqfunctions.udf.CIQ(InputTicker,"IQ_ACCUM_AMORT_INTAN_ASSETS",Input!L$2,Date,,,Ccy,Conv)</f>
        <v>-25.600999999999999</v>
      </c>
      <c r="K456" s="4">
        <f>_xll.ciqfunctions.udf.CIQ(InputTicker,"IQ_ACCUM_AMORT_INTAN_ASSETS",Input!M$2,Date,,,Ccy,Conv)</f>
        <v>-21.03</v>
      </c>
      <c r="L456" s="4">
        <f>_xll.ciqfunctions.udf.CIQ(InputTicker,"IQ_ACCUM_AMORT_INTAN_ASSETS",Input!N$2,Date,,,Ccy,Conv)</f>
        <v>-20.538</v>
      </c>
      <c r="M456" s="4">
        <f>_xll.ciqfunctions.udf.CIQ(InputTicker,"IQ_ACCUM_AMORT_INTAN_ASSETS",Input!O$2,Date,,,Ccy,Conv)</f>
        <v>0</v>
      </c>
      <c r="N456" s="53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  <c r="BM456" s="42"/>
      <c r="BN456" s="42"/>
    </row>
    <row r="457" spans="1:66" ht="12.75" customHeight="1" x14ac:dyDescent="0.2">
      <c r="A457" s="1" t="s">
        <v>15</v>
      </c>
      <c r="B457" s="4">
        <f>_xll.ciqfunctions.udf.CIQ(InputTicker,"IQ_GROSS_GW",Input!D$2,Date,,,Ccy,Conv)</f>
        <v>0</v>
      </c>
      <c r="C457" s="4">
        <f>_xll.ciqfunctions.udf.CIQ(InputTicker,"IQ_GROSS_GW",Input!E$2,Date,,,Ccy,Conv)</f>
        <v>0</v>
      </c>
      <c r="D457" s="4">
        <f>_xll.ciqfunctions.udf.CIQ(InputTicker,"IQ_GROSS_GW",Input!F$2,Date,,,Ccy,Conv)</f>
        <v>0</v>
      </c>
      <c r="E457" s="4">
        <f>_xll.ciqfunctions.udf.CIQ(InputTicker,"IQ_GROSS_GW",Input!G$2,Date,,,Ccy,Conv)</f>
        <v>0</v>
      </c>
      <c r="F457" s="4">
        <f>_xll.ciqfunctions.udf.CIQ(InputTicker,"IQ_GROSS_GW",Input!H$2,Date,,,Ccy,Conv)</f>
        <v>0</v>
      </c>
      <c r="G457" s="4">
        <f>_xll.ciqfunctions.udf.CIQ(InputTicker,"IQ_GROSS_GW",Input!I$2,Date,,,Ccy,Conv)</f>
        <v>0</v>
      </c>
      <c r="H457" s="4">
        <f>_xll.ciqfunctions.udf.CIQ(InputTicker,"IQ_GROSS_GW",Input!J$2,Date,,,Ccy,Conv)</f>
        <v>0</v>
      </c>
      <c r="I457" s="4">
        <f>_xll.ciqfunctions.udf.CIQ(InputTicker,"IQ_GROSS_GW",Input!K$2,Date,,,Ccy,Conv)</f>
        <v>0</v>
      </c>
      <c r="J457" s="4">
        <f>_xll.ciqfunctions.udf.CIQ(InputTicker,"IQ_GROSS_GW",Input!L$2,Date,,,Ccy,Conv)</f>
        <v>0</v>
      </c>
      <c r="K457" s="4">
        <f>_xll.ciqfunctions.udf.CIQ(InputTicker,"IQ_GROSS_GW",Input!M$2,Date,,,Ccy,Conv)</f>
        <v>0</v>
      </c>
      <c r="L457" s="4">
        <f>_xll.ciqfunctions.udf.CIQ(InputTicker,"IQ_GROSS_GW",Input!N$2,Date,,,Ccy,Conv)</f>
        <v>0</v>
      </c>
      <c r="M457" s="4">
        <f>_xll.ciqfunctions.udf.CIQ(InputTicker,"IQ_GROSS_GW",Input!O$2,Date,,,Ccy,Conv)</f>
        <v>0</v>
      </c>
      <c r="N457" s="55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  <c r="BN457" s="42"/>
    </row>
    <row r="458" spans="1:66" ht="12.75" customHeight="1" x14ac:dyDescent="0.2">
      <c r="A458" s="1" t="s">
        <v>16</v>
      </c>
      <c r="B458" s="4">
        <f>_xll.ciqfunctions.udf.CIQ(InputTicker,"IQ_ACCUM_AMORT_GW",Input!D$2,Date,,,Ccy,Conv)</f>
        <v>0</v>
      </c>
      <c r="C458" s="4">
        <f>_xll.ciqfunctions.udf.CIQ(InputTicker,"IQ_ACCUM_AMORT_GW",Input!E$2,Date,,,Ccy,Conv)</f>
        <v>0</v>
      </c>
      <c r="D458" s="4">
        <f>_xll.ciqfunctions.udf.CIQ(InputTicker,"IQ_ACCUM_AMORT_GW",Input!F$2,Date,,,Ccy,Conv)</f>
        <v>0</v>
      </c>
      <c r="E458" s="4">
        <f>_xll.ciqfunctions.udf.CIQ(InputTicker,"IQ_ACCUM_AMORT_GW",Input!G$2,Date,,,Ccy,Conv)</f>
        <v>0</v>
      </c>
      <c r="F458" s="4">
        <f>_xll.ciqfunctions.udf.CIQ(InputTicker,"IQ_ACCUM_AMORT_GW",Input!H$2,Date,,,Ccy,Conv)</f>
        <v>0</v>
      </c>
      <c r="G458" s="4">
        <f>_xll.ciqfunctions.udf.CIQ(InputTicker,"IQ_ACCUM_AMORT_GW",Input!I$2,Date,,,Ccy,Conv)</f>
        <v>0</v>
      </c>
      <c r="H458" s="4">
        <f>_xll.ciqfunctions.udf.CIQ(InputTicker,"IQ_ACCUM_AMORT_GW",Input!J$2,Date,,,Ccy,Conv)</f>
        <v>0</v>
      </c>
      <c r="I458" s="4">
        <f>_xll.ciqfunctions.udf.CIQ(InputTicker,"IQ_ACCUM_AMORT_GW",Input!K$2,Date,,,Ccy,Conv)</f>
        <v>0</v>
      </c>
      <c r="J458" s="4">
        <f>_xll.ciqfunctions.udf.CIQ(InputTicker,"IQ_ACCUM_AMORT_GW",Input!L$2,Date,,,Ccy,Conv)</f>
        <v>0</v>
      </c>
      <c r="K458" s="4">
        <f>_xll.ciqfunctions.udf.CIQ(InputTicker,"IQ_ACCUM_AMORT_GW",Input!M$2,Date,,,Ccy,Conv)</f>
        <v>0</v>
      </c>
      <c r="L458" s="4">
        <f>_xll.ciqfunctions.udf.CIQ(InputTicker,"IQ_ACCUM_AMORT_GW",Input!N$2,Date,,,Ccy,Conv)</f>
        <v>0</v>
      </c>
      <c r="M458" s="4">
        <f>_xll.ciqfunctions.udf.CIQ(InputTicker,"IQ_ACCUM_AMORT_GW",Input!O$2,Date,,,Ccy,Conv)</f>
        <v>0</v>
      </c>
      <c r="N458" s="55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  <c r="BM458" s="42"/>
      <c r="BN458" s="42"/>
    </row>
    <row r="459" spans="1:66" ht="12.75" customHeight="1" x14ac:dyDescent="0.2">
      <c r="A459" s="1" t="s">
        <v>487</v>
      </c>
      <c r="B459" s="4">
        <f>_xll.ciqfunctions.udf.CIQ(InputTicker,"IQ_LT_MARK_SECURITIES",Input!D$2,Date,,,Ccy,Conv)</f>
        <v>0</v>
      </c>
      <c r="C459" s="4">
        <f>_xll.ciqfunctions.udf.CIQ(InputTicker,"IQ_LT_MARK_SECURITIES",Input!E$2,Date,,,Ccy,Conv)</f>
        <v>0</v>
      </c>
      <c r="D459" s="4">
        <f>_xll.ciqfunctions.udf.CIQ(InputTicker,"IQ_LT_MARK_SECURITIES",Input!F$2,Date,,,Ccy,Conv)</f>
        <v>0</v>
      </c>
      <c r="E459" s="4">
        <f>_xll.ciqfunctions.udf.CIQ(InputTicker,"IQ_LT_MARK_SECURITIES",Input!G$2,Date,,,Ccy,Conv)</f>
        <v>0</v>
      </c>
      <c r="F459" s="4">
        <f>_xll.ciqfunctions.udf.CIQ(InputTicker,"IQ_LT_MARK_SECURITIES",Input!H$2,Date,,,Ccy,Conv)</f>
        <v>0</v>
      </c>
      <c r="G459" s="4">
        <f>_xll.ciqfunctions.udf.CIQ(InputTicker,"IQ_LT_MARK_SECURITIES",Input!I$2,Date,,,Ccy,Conv)</f>
        <v>0</v>
      </c>
      <c r="H459" s="4">
        <f>_xll.ciqfunctions.udf.CIQ(InputTicker,"IQ_LT_MARK_SECURITIES",Input!J$2,Date,,,Ccy,Conv)</f>
        <v>0</v>
      </c>
      <c r="I459" s="4">
        <f>_xll.ciqfunctions.udf.CIQ(InputTicker,"IQ_LT_MARK_SECURITIES",Input!K$2,Date,,,Ccy,Conv)</f>
        <v>0</v>
      </c>
      <c r="J459" s="4">
        <f>_xll.ciqfunctions.udf.CIQ(InputTicker,"IQ_LT_MARK_SECURITIES",Input!L$2,Date,,,Ccy,Conv)</f>
        <v>0</v>
      </c>
      <c r="K459" s="4">
        <f>_xll.ciqfunctions.udf.CIQ(InputTicker,"IQ_LT_MARK_SECURITIES",Input!M$2,Date,,,Ccy,Conv)</f>
        <v>0</v>
      </c>
      <c r="L459" s="4">
        <f>_xll.ciqfunctions.udf.CIQ(InputTicker,"IQ_LT_MARK_SECURITIES",Input!N$2,Date,,,Ccy,Conv)</f>
        <v>0</v>
      </c>
      <c r="M459" s="4">
        <f>_xll.ciqfunctions.udf.CIQ(InputTicker,"IQ_LT_MARK_SECURITIES",Input!O$2,Date,,,Ccy,Conv)</f>
        <v>0</v>
      </c>
      <c r="N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  <c r="BM459" s="42"/>
      <c r="BN459" s="42"/>
    </row>
    <row r="460" spans="1:66" ht="12.75" customHeight="1" x14ac:dyDescent="0.2">
      <c r="A460" s="1" t="s">
        <v>488</v>
      </c>
      <c r="B460" s="4">
        <f>_xll.ciqfunctions.udf.CIQ(InputTicker,"IQ_ADVANCES_FOR_SUPPLIES",Input!D$2,Date,,,Ccy,Conv)</f>
        <v>0</v>
      </c>
      <c r="C460" s="4">
        <f>_xll.ciqfunctions.udf.CIQ(InputTicker,"IQ_ADVANCES_FOR_SUPPLIES",Input!E$2,Date,,,Ccy,Conv)</f>
        <v>0</v>
      </c>
      <c r="D460" s="4">
        <f>_xll.ciqfunctions.udf.CIQ(InputTicker,"IQ_ADVANCES_FOR_SUPPLIES",Input!F$2,Date,,,Ccy,Conv)</f>
        <v>0</v>
      </c>
      <c r="E460" s="4">
        <f>_xll.ciqfunctions.udf.CIQ(InputTicker,"IQ_ADVANCES_FOR_SUPPLIES",Input!G$2,Date,,,Ccy,Conv)</f>
        <v>0</v>
      </c>
      <c r="F460" s="4">
        <f>_xll.ciqfunctions.udf.CIQ(InputTicker,"IQ_ADVANCES_FOR_SUPPLIES",Input!H$2,Date,,,Ccy,Conv)</f>
        <v>0</v>
      </c>
      <c r="G460" s="4">
        <f>_xll.ciqfunctions.udf.CIQ(InputTicker,"IQ_ADVANCES_FOR_SUPPLIES",Input!I$2,Date,,,Ccy,Conv)</f>
        <v>0</v>
      </c>
      <c r="H460" s="4">
        <f>_xll.ciqfunctions.udf.CIQ(InputTicker,"IQ_ADVANCES_FOR_SUPPLIES",Input!J$2,Date,,,Ccy,Conv)</f>
        <v>0</v>
      </c>
      <c r="I460" s="4">
        <f>_xll.ciqfunctions.udf.CIQ(InputTicker,"IQ_ADVANCES_FOR_SUPPLIES",Input!K$2,Date,,,Ccy,Conv)</f>
        <v>0</v>
      </c>
      <c r="J460" s="4">
        <f>_xll.ciqfunctions.udf.CIQ(InputTicker,"IQ_ADVANCES_FOR_SUPPLIES",Input!L$2,Date,,,Ccy,Conv)</f>
        <v>0</v>
      </c>
      <c r="K460" s="4">
        <f>_xll.ciqfunctions.udf.CIQ(InputTicker,"IQ_ADVANCES_FOR_SUPPLIES",Input!M$2,Date,,,Ccy,Conv)</f>
        <v>0</v>
      </c>
      <c r="L460" s="4">
        <f>_xll.ciqfunctions.udf.CIQ(InputTicker,"IQ_ADVANCES_FOR_SUPPLIES",Input!N$2,Date,,,Ccy,Conv)</f>
        <v>0</v>
      </c>
      <c r="M460" s="4">
        <f>_xll.ciqfunctions.udf.CIQ(InputTicker,"IQ_ADVANCES_FOR_SUPPLIES",Input!O$2,Date,,,Ccy,Conv)</f>
        <v>0</v>
      </c>
      <c r="N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  <c r="BM460" s="42"/>
      <c r="BN460" s="42"/>
    </row>
    <row r="461" spans="1:66" ht="12.75" customHeight="1" x14ac:dyDescent="0.2">
      <c r="A461" s="1" t="s">
        <v>489</v>
      </c>
      <c r="B461" s="4">
        <f>_xll.ciqfunctions.udf.CIQ(InputTicker,"IQ_GW_INTAN_NET",Input!D$2,Date,,,Ccy,Conv)</f>
        <v>0</v>
      </c>
      <c r="C461" s="4">
        <f>_xll.ciqfunctions.udf.CIQ(InputTicker,"IQ_GW_INTAN_NET",Input!E$2,Date,,,Ccy,Conv)</f>
        <v>0</v>
      </c>
      <c r="D461" s="4">
        <f>_xll.ciqfunctions.udf.CIQ(InputTicker,"IQ_GW_INTAN_NET",Input!F$2,Date,,,Ccy,Conv)</f>
        <v>0</v>
      </c>
      <c r="E461" s="4">
        <f>_xll.ciqfunctions.udf.CIQ(InputTicker,"IQ_GW_INTAN_NET",Input!G$2,Date,,,Ccy,Conv)</f>
        <v>0</v>
      </c>
      <c r="F461" s="4">
        <f>_xll.ciqfunctions.udf.CIQ(InputTicker,"IQ_GW_INTAN_NET",Input!H$2,Date,,,Ccy,Conv)</f>
        <v>0</v>
      </c>
      <c r="G461" s="4">
        <f>_xll.ciqfunctions.udf.CIQ(InputTicker,"IQ_GW_INTAN_NET",Input!I$2,Date,,,Ccy,Conv)</f>
        <v>0</v>
      </c>
      <c r="H461" s="4">
        <f>_xll.ciqfunctions.udf.CIQ(InputTicker,"IQ_GW_INTAN_NET",Input!J$2,Date,,,Ccy,Conv)</f>
        <v>0</v>
      </c>
      <c r="I461" s="4">
        <f>_xll.ciqfunctions.udf.CIQ(InputTicker,"IQ_GW_INTAN_NET",Input!K$2,Date,,,Ccy,Conv)</f>
        <v>0</v>
      </c>
      <c r="J461" s="4">
        <f>_xll.ciqfunctions.udf.CIQ(InputTicker,"IQ_GW_INTAN_NET",Input!L$2,Date,,,Ccy,Conv)</f>
        <v>0</v>
      </c>
      <c r="K461" s="4">
        <f>_xll.ciqfunctions.udf.CIQ(InputTicker,"IQ_GW_INTAN_NET",Input!M$2,Date,,,Ccy,Conv)</f>
        <v>0</v>
      </c>
      <c r="L461" s="4">
        <f>_xll.ciqfunctions.udf.CIQ(InputTicker,"IQ_GW_INTAN_NET",Input!N$2,Date,,,Ccy,Conv)</f>
        <v>0</v>
      </c>
      <c r="M461" s="4">
        <f>_xll.ciqfunctions.udf.CIQ(InputTicker,"IQ_GW_INTAN_NET",Input!O$2,Date,,,Ccy,Conv)</f>
        <v>0</v>
      </c>
      <c r="N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  <c r="BN461" s="42"/>
    </row>
    <row r="462" spans="1:66" ht="12.75" customHeight="1" x14ac:dyDescent="0.2">
      <c r="A462" s="1" t="s">
        <v>490</v>
      </c>
      <c r="B462" s="4">
        <f>_xll.ciqfunctions.udf.CIQ(InputTicker,"IQ_GW_NET",Input!D$2,Date,,,Ccy,Conv)</f>
        <v>0</v>
      </c>
      <c r="C462" s="4">
        <f>_xll.ciqfunctions.udf.CIQ(InputTicker,"IQ_GW_NET",Input!E$2,Date,,,Ccy,Conv)</f>
        <v>0</v>
      </c>
      <c r="D462" s="4">
        <f>_xll.ciqfunctions.udf.CIQ(InputTicker,"IQ_GW_NET",Input!F$2,Date,,,Ccy,Conv)</f>
        <v>0</v>
      </c>
      <c r="E462" s="4">
        <f>_xll.ciqfunctions.udf.CIQ(InputTicker,"IQ_GW_NET",Input!G$2,Date,,,Ccy,Conv)</f>
        <v>0</v>
      </c>
      <c r="F462" s="4">
        <f>_xll.ciqfunctions.udf.CIQ(InputTicker,"IQ_GW_NET",Input!H$2,Date,,,Ccy,Conv)</f>
        <v>35.524999999999999</v>
      </c>
      <c r="G462" s="4">
        <f>_xll.ciqfunctions.udf.CIQ(InputTicker,"IQ_GW_NET",Input!I$2,Date,,,Ccy,Conv)</f>
        <v>35.524999999999999</v>
      </c>
      <c r="H462" s="4">
        <f>_xll.ciqfunctions.udf.CIQ(InputTicker,"IQ_GW_NET",Input!J$2,Date,,,Ccy,Conv)</f>
        <v>35.524999999999999</v>
      </c>
      <c r="I462" s="4">
        <f>_xll.ciqfunctions.udf.CIQ(InputTicker,"IQ_GW_NET",Input!K$2,Date,,,Ccy,Conv)</f>
        <v>44.006</v>
      </c>
      <c r="J462" s="4">
        <f>_xll.ciqfunctions.udf.CIQ(InputTicker,"IQ_GW_NET",Input!L$2,Date,,,Ccy,Conv)</f>
        <v>44.006</v>
      </c>
      <c r="K462" s="4">
        <f>_xll.ciqfunctions.udf.CIQ(InputTicker,"IQ_GW_NET",Input!M$2,Date,,,Ccy,Conv)</f>
        <v>45.776000000000003</v>
      </c>
      <c r="L462" s="4">
        <f>_xll.ciqfunctions.udf.CIQ(InputTicker,"IQ_GW_NET",Input!N$2,Date,,,Ccy,Conv)</f>
        <v>46.776000000000003</v>
      </c>
      <c r="M462" s="4">
        <f>_xll.ciqfunctions.udf.CIQ(InputTicker,"IQ_GW_NET",Input!O$2,Date,,,Ccy,Conv)</f>
        <v>87.058999999999997</v>
      </c>
      <c r="N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  <c r="BN462" s="42"/>
    </row>
    <row r="463" spans="1:66" ht="12.75" customHeight="1" x14ac:dyDescent="0.2">
      <c r="A463" s="1" t="s">
        <v>491</v>
      </c>
      <c r="B463" s="4">
        <f>_xll.ciqfunctions.udf.CIQ(InputTicker,"IQ_INTAN_NET",Input!D$2,Date,,,Ccy,Conv)</f>
        <v>0</v>
      </c>
      <c r="C463" s="4">
        <f>_xll.ciqfunctions.udf.CIQ(InputTicker,"IQ_INTAN_NET",Input!E$2,Date,,,Ccy,Conv)</f>
        <v>0</v>
      </c>
      <c r="D463" s="4">
        <f>_xll.ciqfunctions.udf.CIQ(InputTicker,"IQ_INTAN_NET",Input!F$2,Date,,,Ccy,Conv)</f>
        <v>0</v>
      </c>
      <c r="E463" s="4">
        <f>_xll.ciqfunctions.udf.CIQ(InputTicker,"IQ_INTAN_NET",Input!G$2,Date,,,Ccy,Conv)</f>
        <v>0</v>
      </c>
      <c r="F463" s="4">
        <f>_xll.ciqfunctions.udf.CIQ(InputTicker,"IQ_INTAN_NET",Input!H$2,Date,,,Ccy,Conv)</f>
        <v>23.762</v>
      </c>
      <c r="G463" s="4">
        <f>_xll.ciqfunctions.udf.CIQ(InputTicker,"IQ_INTAN_NET",Input!I$2,Date,,,Ccy,Conv)</f>
        <v>22.815999999999999</v>
      </c>
      <c r="H463" s="4">
        <f>_xll.ciqfunctions.udf.CIQ(InputTicker,"IQ_INTAN_NET",Input!J$2,Date,,,Ccy,Conv)</f>
        <v>20.341000000000001</v>
      </c>
      <c r="I463" s="4">
        <f>_xll.ciqfunctions.udf.CIQ(InputTicker,"IQ_INTAN_NET",Input!K$2,Date,,,Ccy,Conv)</f>
        <v>18.131</v>
      </c>
      <c r="J463" s="4">
        <f>_xll.ciqfunctions.udf.CIQ(InputTicker,"IQ_INTAN_NET",Input!L$2,Date,,,Ccy,Conv)</f>
        <v>15.897</v>
      </c>
      <c r="K463" s="4">
        <f>_xll.ciqfunctions.udf.CIQ(InputTicker,"IQ_INTAN_NET",Input!M$2,Date,,,Ccy,Conv)</f>
        <v>15.996</v>
      </c>
      <c r="L463" s="4">
        <f>_xll.ciqfunctions.udf.CIQ(InputTicker,"IQ_INTAN_NET",Input!N$2,Date,,,Ccy,Conv)</f>
        <v>15.157</v>
      </c>
      <c r="M463" s="4">
        <f>_xll.ciqfunctions.udf.CIQ(InputTicker,"IQ_INTAN_NET",Input!O$2,Date,,,Ccy,Conv)</f>
        <v>55.091000000000001</v>
      </c>
      <c r="N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  <c r="BN463" s="42"/>
    </row>
    <row r="464" spans="1:66" ht="12.75" customHeight="1" x14ac:dyDescent="0.2">
      <c r="A464" s="1" t="s">
        <v>506</v>
      </c>
      <c r="B464" s="4">
        <f>_xll.ciqfunctions.udf.CIQ(InputTicker,"IQ_INTERCOMPANY_CA",Input!D$2,Date,,,Ccy,Conv)</f>
        <v>0</v>
      </c>
      <c r="C464" s="4">
        <f>_xll.ciqfunctions.udf.CIQ(InputTicker,"IQ_INTERCOMPANY_CA",Input!E$2,Date,,,Ccy,Conv)</f>
        <v>0</v>
      </c>
      <c r="D464" s="4">
        <f>_xll.ciqfunctions.udf.CIQ(InputTicker,"IQ_INTERCOMPANY_CA",Input!F$2,Date,,,Ccy,Conv)</f>
        <v>0</v>
      </c>
      <c r="E464" s="4">
        <f>_xll.ciqfunctions.udf.CIQ(InputTicker,"IQ_INTERCOMPANY_CA",Input!G$2,Date,,,Ccy,Conv)</f>
        <v>0</v>
      </c>
      <c r="F464" s="4">
        <f>_xll.ciqfunctions.udf.CIQ(InputTicker,"IQ_INTERCOMPANY_CA",Input!H$2,Date,,,Ccy,Conv)</f>
        <v>0</v>
      </c>
      <c r="G464" s="4">
        <f>_xll.ciqfunctions.udf.CIQ(InputTicker,"IQ_INTERCOMPANY_CA",Input!I$2,Date,,,Ccy,Conv)</f>
        <v>0</v>
      </c>
      <c r="H464" s="4">
        <f>_xll.ciqfunctions.udf.CIQ(InputTicker,"IQ_INTERCOMPANY_CA",Input!J$2,Date,,,Ccy,Conv)</f>
        <v>0</v>
      </c>
      <c r="I464" s="4">
        <f>_xll.ciqfunctions.udf.CIQ(InputTicker,"IQ_INTERCOMPANY_CA",Input!K$2,Date,,,Ccy,Conv)</f>
        <v>0</v>
      </c>
      <c r="J464" s="4">
        <f>_xll.ciqfunctions.udf.CIQ(InputTicker,"IQ_INTERCOMPANY_CA",Input!L$2,Date,,,Ccy,Conv)</f>
        <v>0</v>
      </c>
      <c r="K464" s="4">
        <f>_xll.ciqfunctions.udf.CIQ(InputTicker,"IQ_INTERCOMPANY_CA",Input!M$2,Date,,,Ccy,Conv)</f>
        <v>0</v>
      </c>
      <c r="L464" s="4">
        <f>_xll.ciqfunctions.udf.CIQ(InputTicker,"IQ_INTERCOMPANY_CA",Input!N$2,Date,,,Ccy,Conv)</f>
        <v>0</v>
      </c>
      <c r="M464" s="4">
        <f>_xll.ciqfunctions.udf.CIQ(InputTicker,"IQ_INTERCOMPANY_CA",Input!O$2,Date,,,Ccy,Conv)</f>
        <v>0</v>
      </c>
      <c r="N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  <c r="BM464" s="42"/>
      <c r="BN464" s="42"/>
    </row>
    <row r="465" spans="1:66" ht="12.75" customHeight="1" x14ac:dyDescent="0.2">
      <c r="A465" s="1" t="s">
        <v>492</v>
      </c>
      <c r="B465" s="4">
        <f>_xll.ciqfunctions.udf.CIQ(InputTicker,"IQ_INTERCOMPANY_NON_CA",Input!D$2,Date,,,Ccy,Conv)</f>
        <v>0</v>
      </c>
      <c r="C465" s="4">
        <f>_xll.ciqfunctions.udf.CIQ(InputTicker,"IQ_INTERCOMPANY_NON_CA",Input!E$2,Date,,,Ccy,Conv)</f>
        <v>0</v>
      </c>
      <c r="D465" s="4">
        <f>_xll.ciqfunctions.udf.CIQ(InputTicker,"IQ_INTERCOMPANY_NON_CA",Input!F$2,Date,,,Ccy,Conv)</f>
        <v>0</v>
      </c>
      <c r="E465" s="4">
        <f>_xll.ciqfunctions.udf.CIQ(InputTicker,"IQ_INTERCOMPANY_NON_CA",Input!G$2,Date,,,Ccy,Conv)</f>
        <v>0</v>
      </c>
      <c r="F465" s="4">
        <f>_xll.ciqfunctions.udf.CIQ(InputTicker,"IQ_INTERCOMPANY_NON_CA",Input!H$2,Date,,,Ccy,Conv)</f>
        <v>0</v>
      </c>
      <c r="G465" s="4">
        <f>_xll.ciqfunctions.udf.CIQ(InputTicker,"IQ_INTERCOMPANY_NON_CA",Input!I$2,Date,,,Ccy,Conv)</f>
        <v>0</v>
      </c>
      <c r="H465" s="4">
        <f>_xll.ciqfunctions.udf.CIQ(InputTicker,"IQ_INTERCOMPANY_NON_CA",Input!J$2,Date,,,Ccy,Conv)</f>
        <v>0</v>
      </c>
      <c r="I465" s="4">
        <f>_xll.ciqfunctions.udf.CIQ(InputTicker,"IQ_INTERCOMPANY_NON_CA",Input!K$2,Date,,,Ccy,Conv)</f>
        <v>0</v>
      </c>
      <c r="J465" s="4">
        <f>_xll.ciqfunctions.udf.CIQ(InputTicker,"IQ_INTERCOMPANY_NON_CA",Input!L$2,Date,,,Ccy,Conv)</f>
        <v>0</v>
      </c>
      <c r="K465" s="4">
        <f>_xll.ciqfunctions.udf.CIQ(InputTicker,"IQ_INTERCOMPANY_NON_CA",Input!M$2,Date,,,Ccy,Conv)</f>
        <v>0</v>
      </c>
      <c r="L465" s="4">
        <f>_xll.ciqfunctions.udf.CIQ(InputTicker,"IQ_INTERCOMPANY_NON_CA",Input!N$2,Date,,,Ccy,Conv)</f>
        <v>0</v>
      </c>
      <c r="M465" s="4">
        <f>_xll.ciqfunctions.udf.CIQ(InputTicker,"IQ_INTERCOMPANY_NON_CA",Input!O$2,Date,,,Ccy,Conv)</f>
        <v>0</v>
      </c>
      <c r="N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  <c r="BM465" s="42"/>
      <c r="BN465" s="42"/>
    </row>
    <row r="466" spans="1:66" ht="12.75" customHeight="1" x14ac:dyDescent="0.2">
      <c r="A466" s="1" t="s">
        <v>493</v>
      </c>
      <c r="B466" s="4">
        <f>_xll.ciqfunctions.udf.CIQ(InputTicker,"IQ_INTERCOMPANY_CL",Input!D$2,Date,,,Ccy,Conv)</f>
        <v>0</v>
      </c>
      <c r="C466" s="4">
        <f>_xll.ciqfunctions.udf.CIQ(InputTicker,"IQ_INTERCOMPANY_CL",Input!E$2,Date,,,Ccy,Conv)</f>
        <v>0</v>
      </c>
      <c r="D466" s="4">
        <f>_xll.ciqfunctions.udf.CIQ(InputTicker,"IQ_INTERCOMPANY_CL",Input!F$2,Date,,,Ccy,Conv)</f>
        <v>0</v>
      </c>
      <c r="E466" s="4">
        <f>_xll.ciqfunctions.udf.CIQ(InputTicker,"IQ_INTERCOMPANY_CL",Input!G$2,Date,,,Ccy,Conv)</f>
        <v>0</v>
      </c>
      <c r="F466" s="4">
        <f>_xll.ciqfunctions.udf.CIQ(InputTicker,"IQ_INTERCOMPANY_CL",Input!H$2,Date,,,Ccy,Conv)</f>
        <v>0</v>
      </c>
      <c r="G466" s="4">
        <f>_xll.ciqfunctions.udf.CIQ(InputTicker,"IQ_INTERCOMPANY_CL",Input!I$2,Date,,,Ccy,Conv)</f>
        <v>0</v>
      </c>
      <c r="H466" s="4">
        <f>_xll.ciqfunctions.udf.CIQ(InputTicker,"IQ_INTERCOMPANY_CL",Input!J$2,Date,,,Ccy,Conv)</f>
        <v>0</v>
      </c>
      <c r="I466" s="4">
        <f>_xll.ciqfunctions.udf.CIQ(InputTicker,"IQ_INTERCOMPANY_CL",Input!K$2,Date,,,Ccy,Conv)</f>
        <v>0</v>
      </c>
      <c r="J466" s="4">
        <f>_xll.ciqfunctions.udf.CIQ(InputTicker,"IQ_INTERCOMPANY_CL",Input!L$2,Date,,,Ccy,Conv)</f>
        <v>0</v>
      </c>
      <c r="K466" s="4">
        <f>_xll.ciqfunctions.udf.CIQ(InputTicker,"IQ_INTERCOMPANY_CL",Input!M$2,Date,,,Ccy,Conv)</f>
        <v>0</v>
      </c>
      <c r="L466" s="4">
        <f>_xll.ciqfunctions.udf.CIQ(InputTicker,"IQ_INTERCOMPANY_CL",Input!N$2,Date,,,Ccy,Conv)</f>
        <v>0</v>
      </c>
      <c r="M466" s="4">
        <f>_xll.ciqfunctions.udf.CIQ(InputTicker,"IQ_INTERCOMPANY_CL",Input!O$2,Date,,,Ccy,Conv)</f>
        <v>0</v>
      </c>
      <c r="N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  <c r="BN466" s="42"/>
    </row>
    <row r="467" spans="1:66" ht="12.75" customHeight="1" x14ac:dyDescent="0.2">
      <c r="A467" s="1" t="s">
        <v>494</v>
      </c>
      <c r="B467" s="4">
        <f>_xll.ciqfunctions.udf.CIQ(InputTicker,"IQ_INTERCOMPANY_NON_CL",Input!D$2,Date,,,Ccy,Conv)</f>
        <v>0</v>
      </c>
      <c r="C467" s="4">
        <f>_xll.ciqfunctions.udf.CIQ(InputTicker,"IQ_INTERCOMPANY_NON_CL",Input!E$2,Date,,,Ccy,Conv)</f>
        <v>0</v>
      </c>
      <c r="D467" s="4">
        <f>_xll.ciqfunctions.udf.CIQ(InputTicker,"IQ_INTERCOMPANY_NON_CL",Input!F$2,Date,,,Ccy,Conv)</f>
        <v>0</v>
      </c>
      <c r="E467" s="4">
        <f>_xll.ciqfunctions.udf.CIQ(InputTicker,"IQ_INTERCOMPANY_NON_CL",Input!G$2,Date,,,Ccy,Conv)</f>
        <v>0</v>
      </c>
      <c r="F467" s="4">
        <f>_xll.ciqfunctions.udf.CIQ(InputTicker,"IQ_INTERCOMPANY_NON_CL",Input!H$2,Date,,,Ccy,Conv)</f>
        <v>0</v>
      </c>
      <c r="G467" s="4">
        <f>_xll.ciqfunctions.udf.CIQ(InputTicker,"IQ_INTERCOMPANY_NON_CL",Input!I$2,Date,,,Ccy,Conv)</f>
        <v>0</v>
      </c>
      <c r="H467" s="4">
        <f>_xll.ciqfunctions.udf.CIQ(InputTicker,"IQ_INTERCOMPANY_NON_CL",Input!J$2,Date,,,Ccy,Conv)</f>
        <v>0</v>
      </c>
      <c r="I467" s="4">
        <f>_xll.ciqfunctions.udf.CIQ(InputTicker,"IQ_INTERCOMPANY_NON_CL",Input!K$2,Date,,,Ccy,Conv)</f>
        <v>0</v>
      </c>
      <c r="J467" s="4">
        <f>_xll.ciqfunctions.udf.CIQ(InputTicker,"IQ_INTERCOMPANY_NON_CL",Input!L$2,Date,,,Ccy,Conv)</f>
        <v>0</v>
      </c>
      <c r="K467" s="4">
        <f>_xll.ciqfunctions.udf.CIQ(InputTicker,"IQ_INTERCOMPANY_NON_CL",Input!M$2,Date,,,Ccy,Conv)</f>
        <v>0</v>
      </c>
      <c r="L467" s="4">
        <f>_xll.ciqfunctions.udf.CIQ(InputTicker,"IQ_INTERCOMPANY_NON_CL",Input!N$2,Date,,,Ccy,Conv)</f>
        <v>0</v>
      </c>
      <c r="M467" s="4">
        <f>_xll.ciqfunctions.udf.CIQ(InputTicker,"IQ_INTERCOMPANY_NON_CL",Input!O$2,Date,,,Ccy,Conv)</f>
        <v>0</v>
      </c>
      <c r="N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  <c r="BN467" s="42"/>
    </row>
    <row r="468" spans="1:66" ht="12.75" customHeight="1" x14ac:dyDescent="0.2">
      <c r="A468" s="1" t="s">
        <v>347</v>
      </c>
      <c r="B468" s="15" t="str">
        <f>_xll.ciqfunctions.udf.CIQ(InputTicker, "IQ_FILING_CURRENCY",Input!D$2,Date)</f>
        <v>USD</v>
      </c>
      <c r="C468" s="15" t="str">
        <f>_xll.ciqfunctions.udf.CIQ(InputTicker, "IQ_FILING_CURRENCY",Input!E$2,Date)</f>
        <v>USD</v>
      </c>
      <c r="D468" s="15" t="str">
        <f>_xll.ciqfunctions.udf.CIQ(InputTicker, "IQ_FILING_CURRENCY",Input!F$2,Date)</f>
        <v>USD</v>
      </c>
      <c r="E468" s="15" t="str">
        <f>_xll.ciqfunctions.udf.CIQ(InputTicker, "IQ_FILING_CURRENCY",Input!G$2,Date)</f>
        <v>USD</v>
      </c>
      <c r="F468" s="15" t="str">
        <f>_xll.ciqfunctions.udf.CIQ(InputTicker, "IQ_FILING_CURRENCY",Input!H$2,Date)</f>
        <v>USD</v>
      </c>
      <c r="G468" s="15" t="str">
        <f>_xll.ciqfunctions.udf.CIQ(InputTicker, "IQ_FILING_CURRENCY",Input!I$2,Date)</f>
        <v>USD</v>
      </c>
      <c r="H468" s="15" t="str">
        <f>_xll.ciqfunctions.udf.CIQ(InputTicker, "IQ_FILING_CURRENCY",Input!J$2,Date)</f>
        <v>USD</v>
      </c>
      <c r="I468" s="15" t="str">
        <f>_xll.ciqfunctions.udf.CIQ(InputTicker, "IQ_FILING_CURRENCY",Input!K$2,Date)</f>
        <v>USD</v>
      </c>
      <c r="J468" s="15" t="str">
        <f>_xll.ciqfunctions.udf.CIQ(InputTicker, "IQ_FILING_CURRENCY",Input!L$2,Date)</f>
        <v>USD</v>
      </c>
      <c r="K468" s="15" t="str">
        <f>_xll.ciqfunctions.udf.CIQ(InputTicker, "IQ_FILING_CURRENCY",Input!M$2,Date)</f>
        <v>USD</v>
      </c>
      <c r="L468" s="15" t="str">
        <f>_xll.ciqfunctions.udf.CIQ(InputTicker, "IQ_FILING_CURRENCY",Input!N$2,Date)</f>
        <v>USD</v>
      </c>
      <c r="M468" s="15" t="str">
        <f>_xll.ciqfunctions.udf.CIQ(InputTicker, "IQ_FILING_CURRENCY",Input!O$2,Date)</f>
        <v>USD</v>
      </c>
      <c r="N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</row>
    <row r="469" spans="1:66" ht="12.75" customHeight="1" x14ac:dyDescent="0.2">
      <c r="A469" s="1" t="s">
        <v>345</v>
      </c>
      <c r="B469" s="15" t="str">
        <f>_xll.ciqfunctions.udf.CIQ(InputTicker, "IQ_RESTATEMENT_BS",Input!D$2,Date)</f>
        <v>RC</v>
      </c>
      <c r="C469" s="15" t="str">
        <f>_xll.ciqfunctions.udf.CIQ(InputTicker, "IQ_RESTATEMENT_BS",Input!E$2,Date)</f>
        <v>NC</v>
      </c>
      <c r="D469" s="15" t="str">
        <f>_xll.ciqfunctions.udf.CIQ(InputTicker, "IQ_RESTATEMENT_BS",Input!F$2,Date)</f>
        <v>NC</v>
      </c>
      <c r="E469" s="15" t="str">
        <f>_xll.ciqfunctions.udf.CIQ(InputTicker, "IQ_RESTATEMENT_BS",Input!G$2,Date)</f>
        <v>NC</v>
      </c>
      <c r="F469" s="15" t="str">
        <f>_xll.ciqfunctions.udf.CIQ(InputTicker, "IQ_RESTATEMENT_BS",Input!H$2,Date)</f>
        <v>NC</v>
      </c>
      <c r="G469" s="15" t="str">
        <f>_xll.ciqfunctions.udf.CIQ(InputTicker, "IQ_RESTATEMENT_BS",Input!I$2,Date)</f>
        <v>NC</v>
      </c>
      <c r="H469" s="15" t="str">
        <f>_xll.ciqfunctions.udf.CIQ(InputTicker, "IQ_RESTATEMENT_BS",Input!J$2,Date)</f>
        <v>NC</v>
      </c>
      <c r="I469" s="15" t="str">
        <f>_xll.ciqfunctions.udf.CIQ(InputTicker, "IQ_RESTATEMENT_BS",Input!K$2,Date)</f>
        <v>RD</v>
      </c>
      <c r="J469" s="15" t="str">
        <f>_xll.ciqfunctions.udf.CIQ(InputTicker, "IQ_RESTATEMENT_BS",Input!L$2,Date)</f>
        <v>NC</v>
      </c>
      <c r="K469" s="15" t="str">
        <f>_xll.ciqfunctions.udf.CIQ(InputTicker, "IQ_RESTATEMENT_BS",Input!M$2,Date)</f>
        <v>NC</v>
      </c>
      <c r="L469" s="15" t="str">
        <f>_xll.ciqfunctions.udf.CIQ(InputTicker, "IQ_RESTATEMENT_BS",Input!N$2,Date)</f>
        <v>O</v>
      </c>
      <c r="M469" s="15" t="str">
        <f>_xll.ciqfunctions.udf.CIQ(InputTicker, "IQ_RESTATEMENT_BS",Input!O$2,Date)</f>
        <v>O</v>
      </c>
      <c r="N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  <c r="BN469" s="42"/>
    </row>
    <row r="470" spans="1:66" ht="12.75" customHeight="1" x14ac:dyDescent="0.2">
      <c r="A470" s="1" t="s">
        <v>346</v>
      </c>
      <c r="B470" s="15" t="str">
        <f>_xll.ciqfunctions.udf.CIQ(InputTicker, "IQ_CALC_TYPE_BS",Input!D$2,Date)</f>
        <v>RUP</v>
      </c>
      <c r="C470" s="15" t="str">
        <f>_xll.ciqfunctions.udf.CIQ(InputTicker, "IQ_CALC_TYPE_BS",Input!E$2,Date)</f>
        <v>RUP</v>
      </c>
      <c r="D470" s="15" t="str">
        <f>_xll.ciqfunctions.udf.CIQ(InputTicker, "IQ_CALC_TYPE_BS",Input!F$2,Date)</f>
        <v>RUP</v>
      </c>
      <c r="E470" s="15" t="str">
        <f>_xll.ciqfunctions.udf.CIQ(InputTicker, "IQ_CALC_TYPE_BS",Input!G$2,Date)</f>
        <v>RUP</v>
      </c>
      <c r="F470" s="15" t="str">
        <f>_xll.ciqfunctions.udf.CIQ(InputTicker, "IQ_CALC_TYPE_BS",Input!H$2,Date)</f>
        <v>RUP</v>
      </c>
      <c r="G470" s="15" t="str">
        <f>_xll.ciqfunctions.udf.CIQ(InputTicker, "IQ_CALC_TYPE_BS",Input!I$2,Date)</f>
        <v>RUP</v>
      </c>
      <c r="H470" s="15" t="str">
        <f>_xll.ciqfunctions.udf.CIQ(InputTicker, "IQ_CALC_TYPE_BS",Input!J$2,Date)</f>
        <v>RUP</v>
      </c>
      <c r="I470" s="15" t="str">
        <f>_xll.ciqfunctions.udf.CIQ(InputTicker, "IQ_CALC_TYPE_BS",Input!K$2,Date)</f>
        <v>RUP</v>
      </c>
      <c r="J470" s="15" t="str">
        <f>_xll.ciqfunctions.udf.CIQ(InputTicker, "IQ_CALC_TYPE_BS",Input!L$2,Date)</f>
        <v>RUP</v>
      </c>
      <c r="K470" s="15" t="str">
        <f>_xll.ciqfunctions.udf.CIQ(InputTicker, "IQ_CALC_TYPE_BS",Input!M$2,Date)</f>
        <v>REP</v>
      </c>
      <c r="L470" s="15" t="str">
        <f>_xll.ciqfunctions.udf.CIQ(InputTicker, "IQ_CALC_TYPE_BS",Input!N$2,Date)</f>
        <v>REP</v>
      </c>
      <c r="M470" s="15" t="str">
        <f>_xll.ciqfunctions.udf.CIQ(InputTicker, "IQ_CALC_TYPE_BS",Input!O$2,Date)</f>
        <v>REP</v>
      </c>
      <c r="N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  <c r="BM470" s="42"/>
      <c r="BN470" s="42"/>
    </row>
    <row r="471" spans="1:66" ht="12.75" customHeight="1" x14ac:dyDescent="0.2">
      <c r="A471" s="1" t="s">
        <v>376</v>
      </c>
      <c r="B471" s="15" t="str">
        <f>_xll.ciqfunctions.udf.CIQ(InputTicker, "IQ_GAAP_BS",Input!D$2,Date)</f>
        <v>US GAAP</v>
      </c>
      <c r="C471" s="15" t="str">
        <f>_xll.ciqfunctions.udf.CIQ(InputTicker, "IQ_GAAP_BS",Input!E$2,Date)</f>
        <v>US GAAP</v>
      </c>
      <c r="D471" s="15" t="str">
        <f>_xll.ciqfunctions.udf.CIQ(InputTicker, "IQ_GAAP_BS",Input!F$2,Date)</f>
        <v>US GAAP</v>
      </c>
      <c r="E471" s="15" t="str">
        <f>_xll.ciqfunctions.udf.CIQ(InputTicker, "IQ_GAAP_BS",Input!G$2,Date)</f>
        <v>US GAAP</v>
      </c>
      <c r="F471" s="15" t="str">
        <f>_xll.ciqfunctions.udf.CIQ(InputTicker, "IQ_GAAP_BS",Input!H$2,Date)</f>
        <v>US GAAP</v>
      </c>
      <c r="G471" s="15" t="str">
        <f>_xll.ciqfunctions.udf.CIQ(InputTicker, "IQ_GAAP_BS",Input!I$2,Date)</f>
        <v>US GAAP</v>
      </c>
      <c r="H471" s="15" t="str">
        <f>_xll.ciqfunctions.udf.CIQ(InputTicker, "IQ_GAAP_BS",Input!J$2,Date)</f>
        <v>US GAAP</v>
      </c>
      <c r="I471" s="15" t="str">
        <f>_xll.ciqfunctions.udf.CIQ(InputTicker, "IQ_GAAP_BS",Input!K$2,Date)</f>
        <v>US GAAP</v>
      </c>
      <c r="J471" s="15" t="str">
        <f>_xll.ciqfunctions.udf.CIQ(InputTicker, "IQ_GAAP_BS",Input!L$2,Date)</f>
        <v>US GAAP</v>
      </c>
      <c r="K471" s="15" t="str">
        <f>_xll.ciqfunctions.udf.CIQ(InputTicker, "IQ_GAAP_BS",Input!M$2,Date)</f>
        <v>US GAAP</v>
      </c>
      <c r="L471" s="15" t="str">
        <f>_xll.ciqfunctions.udf.CIQ(InputTicker, "IQ_GAAP_BS",Input!N$2,Date)</f>
        <v>US GAAP</v>
      </c>
      <c r="M471" s="15" t="str">
        <f>_xll.ciqfunctions.udf.CIQ(InputTicker, "IQ_GAAP_BS",Input!O$2,Date)</f>
        <v>US GAAP</v>
      </c>
      <c r="N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</row>
    <row r="472" spans="1:66" ht="12.75" customHeight="1" x14ac:dyDescent="0.2">
      <c r="A472" s="42" t="s">
        <v>603</v>
      </c>
      <c r="B472" s="13">
        <f>_xll.ciqfunctions.udf.CIQ(InputTicker, "IQ_PERIODDATE",Input!D$2-1,Date)</f>
        <v>41790</v>
      </c>
      <c r="C472" s="13">
        <f>_xll.ciqfunctions.udf.CIQ(InputTicker, "IQ_PERIODDATE",Input!E$2-1,Date)</f>
        <v>42154</v>
      </c>
      <c r="D472" s="13">
        <f>_xll.ciqfunctions.udf.CIQ(InputTicker, "IQ_PERIODDATE",Input!F$2-1,Date)</f>
        <v>42518</v>
      </c>
      <c r="E472" s="13">
        <f>_xll.ciqfunctions.udf.CIQ(InputTicker, "IQ_PERIODDATE",Input!G$2-1,Date)</f>
        <v>42889</v>
      </c>
      <c r="F472" s="13">
        <f>_xll.ciqfunctions.udf.CIQ(InputTicker, "IQ_PERIODDATE",Input!H$2-1,Date)</f>
        <v>43253</v>
      </c>
      <c r="G472" s="13">
        <f>_xll.ciqfunctions.udf.CIQ(InputTicker, "IQ_PERIODDATE",Input!I$2-1,Date)</f>
        <v>43617</v>
      </c>
      <c r="H472" s="13">
        <f>_xll.ciqfunctions.udf.CIQ(InputTicker, "IQ_PERIODDATE",Input!J$2-1,Date)</f>
        <v>43981</v>
      </c>
      <c r="I472" s="13">
        <f>_xll.ciqfunctions.udf.CIQ(InputTicker, "IQ_PERIODDATE",Input!K$2-1,Date)</f>
        <v>44345</v>
      </c>
      <c r="J472" s="13">
        <f>_xll.ciqfunctions.udf.CIQ(InputTicker, "IQ_PERIODDATE",Input!L$2-1,Date)</f>
        <v>44709</v>
      </c>
      <c r="K472" s="13">
        <f>_xll.ciqfunctions.udf.CIQ(InputTicker, "IQ_PERIODDATE",Input!M$2-1,Date)</f>
        <v>45080</v>
      </c>
      <c r="L472" s="13">
        <f>_xll.ciqfunctions.udf.CIQ(InputTicker, "IQ_PERIODDATE",Input!N$2-1,Date)</f>
        <v>45444</v>
      </c>
      <c r="M472" s="13">
        <f>_xll.ciqfunctions.udf.CIQ(InputTicker, "IQ_PERIODDATE",Input!O$2-1,Date)</f>
        <v>45899</v>
      </c>
      <c r="N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</row>
    <row r="473" spans="1:66" ht="12.75" customHeight="1" x14ac:dyDescent="0.2">
      <c r="A473" s="19" t="s">
        <v>268</v>
      </c>
      <c r="B473" s="20">
        <f>_xll.ciqfunctions.udf.CIQAVG(InputTicker, "IQ_TEV_TOTAL_REV",[0]!IQ_LTM,B$472,B$2)</f>
        <v>1.22411</v>
      </c>
      <c r="C473" s="20">
        <f>_xll.ciqfunctions.udf.CIQAVG(InputTicker, "IQ_TEV_TOTAL_REV",[0]!IQ_LTM,C$472,C$2)</f>
        <v>1.2543200000000001</v>
      </c>
      <c r="D473" s="20">
        <f>_xll.ciqfunctions.udf.CIQAVG(InputTicker, "IQ_TEV_TOTAL_REV",[0]!IQ_LTM,D$472,D$2)</f>
        <v>1.18736</v>
      </c>
      <c r="E473" s="20">
        <f>_xll.ciqfunctions.udf.CIQAVG(InputTicker, "IQ_TEV_TOTAL_REV",[0]!IQ_LTM,E$472,E$2)</f>
        <v>1.63544</v>
      </c>
      <c r="F473" s="20">
        <f>_xll.ciqfunctions.udf.CIQAVG(InputTicker, "IQ_TEV_TOTAL_REV",[0]!IQ_LTM,F$472,F$2)</f>
        <v>1.2576499999999999</v>
      </c>
      <c r="G473" s="20">
        <f>_xll.ciqfunctions.udf.CIQAVG(InputTicker, "IQ_TEV_TOTAL_REV",[0]!IQ_LTM,G$472,G$2)</f>
        <v>1.3733</v>
      </c>
      <c r="H473" s="20">
        <f>_xll.ciqfunctions.udf.CIQAVG(InputTicker, "IQ_TEV_TOTAL_REV",[0]!IQ_LTM,H$472,H$2)</f>
        <v>1.2889299999999999</v>
      </c>
      <c r="I473" s="20">
        <f>_xll.ciqfunctions.udf.CIQAVG(InputTicker, "IQ_TEV_TOTAL_REV",[0]!IQ_LTM,I$472,I$2)</f>
        <v>1.3018700000000001</v>
      </c>
      <c r="J473" s="20">
        <f>_xll.ciqfunctions.udf.CIQAVG(InputTicker, "IQ_TEV_TOTAL_REV",[0]!IQ_LTM,J$472,J$2)</f>
        <v>1.1086199999999999</v>
      </c>
      <c r="K473" s="20">
        <f>_xll.ciqfunctions.udf.CIQAVG(InputTicker, "IQ_TEV_TOTAL_REV",[0]!IQ_LTM,K$472,K$2)</f>
        <v>0.69296999999999997</v>
      </c>
      <c r="L473" s="20">
        <f>_xll.ciqfunctions.udf.CIQAVG(InputTicker, "IQ_TEV_TOTAL_REV",[0]!IQ_LTM,L$472,L$2)</f>
        <v>1.2093499999999999</v>
      </c>
      <c r="M473" s="20">
        <f>_xll.ciqfunctions.udf.CIQAVG(InputTicker, "IQ_TEV_TOTAL_REV",[0]!IQ_LTM,M$472,M$2)</f>
        <v>0.75921000000000005</v>
      </c>
      <c r="N473" s="49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</row>
    <row r="474" spans="1:66" ht="12.75" customHeight="1" x14ac:dyDescent="0.2">
      <c r="A474" s="19" t="s">
        <v>269</v>
      </c>
      <c r="B474" s="20">
        <f>_xll.ciqfunctions.udf.CIQAVG(InputTicker, "IQ_TEV_EBITDA",[0]!IQ_LTM,B$472,B$2)</f>
        <v>8.4797200000000004</v>
      </c>
      <c r="C474" s="20">
        <f>_xll.ciqfunctions.udf.CIQAVG(InputTicker, "IQ_TEV_EBITDA",[0]!IQ_LTM,C$472,C$2)</f>
        <v>5.67204</v>
      </c>
      <c r="D474" s="20">
        <f>_xll.ciqfunctions.udf.CIQAVG(InputTicker, "IQ_TEV_EBITDA",[0]!IQ_LTM,D$472,D$2)</f>
        <v>15.25498</v>
      </c>
      <c r="E474" s="20">
        <f>_xll.ciqfunctions.udf.CIQAVG(InputTicker, "IQ_TEV_EBITDA",[0]!IQ_LTM,E$472,E$2)</f>
        <v>45.937840000000001</v>
      </c>
      <c r="F474" s="20">
        <f>_xll.ciqfunctions.udf.CIQAVG(InputTicker, "IQ_TEV_EBITDA",[0]!IQ_LTM,F$472,F$2)</f>
        <v>8.83446</v>
      </c>
      <c r="G474" s="20">
        <f>_xll.ciqfunctions.udf.CIQAVG(InputTicker, "IQ_TEV_EBITDA",[0]!IQ_LTM,G$472,G$2)</f>
        <v>29.859929999999999</v>
      </c>
      <c r="H474" s="20">
        <f>_xll.ciqfunctions.udf.CIQAVG(InputTicker, "IQ_TEV_EBITDA",[0]!IQ_LTM,H$472,H$2)</f>
        <v>16.816659999999999</v>
      </c>
      <c r="I474" s="20">
        <f>_xll.ciqfunctions.udf.CIQAVG(InputTicker, "IQ_TEV_EBITDA",[0]!IQ_LTM,I$472,I$2)</f>
        <v>61.83193</v>
      </c>
      <c r="J474" s="20">
        <f>_xll.ciqfunctions.udf.CIQAVG(InputTicker, "IQ_TEV_EBITDA",[0]!IQ_LTM,J$472,J$2)</f>
        <v>10.25577</v>
      </c>
      <c r="K474" s="20">
        <f>_xll.ciqfunctions.udf.CIQAVG(InputTicker, "IQ_TEV_EBITDA",[0]!IQ_LTM,K$472,K$2)</f>
        <v>2.82308</v>
      </c>
      <c r="L474" s="20">
        <f>_xll.ciqfunctions.udf.CIQAVG(InputTicker, "IQ_TEV_EBITDA",[0]!IQ_LTM,L$472,L$2)</f>
        <v>5.4414600000000002</v>
      </c>
      <c r="M474" s="20">
        <f>_xll.ciqfunctions.udf.CIQAVG(InputTicker, "IQ_TEV_EBITDA",[0]!IQ_LTM,M$472,M$2)</f>
        <v>1.95116</v>
      </c>
      <c r="N474" s="56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</row>
    <row r="475" spans="1:66" ht="12.75" customHeight="1" x14ac:dyDescent="0.2">
      <c r="A475" s="19" t="s">
        <v>270</v>
      </c>
      <c r="B475" s="20">
        <f>_xll.ciqfunctions.udf.CIQAVG(InputTicker, "IQ_TEV_EBIT",[0]!IQ_LTM,B$472,B$2)</f>
        <v>10.38594</v>
      </c>
      <c r="C475" s="20">
        <f>_xll.ciqfunctions.udf.CIQAVG(InputTicker, "IQ_TEV_EBIT",[0]!IQ_LTM,C$472,C$2)</f>
        <v>6.4340599999999997</v>
      </c>
      <c r="D475" s="20">
        <f>_xll.ciqfunctions.udf.CIQAVG(InputTicker, "IQ_TEV_EBIT",[0]!IQ_LTM,D$472,D$2)</f>
        <v>5.3939599999999999</v>
      </c>
      <c r="E475" s="20">
        <f>_xll.ciqfunctions.udf.CIQAVG(InputTicker, "IQ_TEV_EBIT",[0]!IQ_LTM,E$472,E$2)</f>
        <v>35.477760000000004</v>
      </c>
      <c r="F475" s="20">
        <f>_xll.ciqfunctions.udf.CIQAVG(InputTicker, "IQ_TEV_EBIT",[0]!IQ_LTM,F$472,F$2)</f>
        <v>12.90185</v>
      </c>
      <c r="G475" s="20">
        <f>_xll.ciqfunctions.udf.CIQAVG(InputTicker, "IQ_TEV_EBIT",[0]!IQ_LTM,G$472,G$2)</f>
        <v>23.06372</v>
      </c>
      <c r="H475" s="20">
        <f>_xll.ciqfunctions.udf.CIQAVG(InputTicker, "IQ_TEV_EBIT",[0]!IQ_LTM,H$472,H$2)</f>
        <v>84.157740000000004</v>
      </c>
      <c r="I475" s="20">
        <f>_xll.ciqfunctions.udf.CIQAVG(InputTicker, "IQ_TEV_EBIT",[0]!IQ_LTM,I$472,I$2)</f>
        <v>23.812539999999998</v>
      </c>
      <c r="J475" s="20">
        <f>_xll.ciqfunctions.udf.CIQAVG(InputTicker, "IQ_TEV_EBIT",[0]!IQ_LTM,J$472,J$2)</f>
        <v>7.5971299999999999</v>
      </c>
      <c r="K475" s="20">
        <f>_xll.ciqfunctions.udf.CIQAVG(InputTicker, "IQ_TEV_EBIT",[0]!IQ_LTM,K$472,K$2)</f>
        <v>3.2854999999999999</v>
      </c>
      <c r="L475" s="20">
        <f>_xll.ciqfunctions.udf.CIQAVG(InputTicker, "IQ_TEV_EBIT",[0]!IQ_LTM,L$472,L$2)</f>
        <v>6.43668</v>
      </c>
      <c r="M475" s="20">
        <f>_xll.ciqfunctions.udf.CIQAVG(InputTicker, "IQ_TEV_EBIT",[0]!IQ_LTM,M$472,M$2)</f>
        <v>2.0720700000000001</v>
      </c>
      <c r="N475" s="56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</row>
    <row r="476" spans="1:66" ht="12.75" customHeight="1" x14ac:dyDescent="0.2">
      <c r="A476" s="19" t="s">
        <v>271</v>
      </c>
      <c r="B476" s="20">
        <f>_xll.ciqfunctions.udf.CIQAVG(InputTicker, "IQ_PE_EXCL",[0]!IQ_LTM,B$472,B$2)</f>
        <v>16.661670000000001</v>
      </c>
      <c r="C476" s="20">
        <f>_xll.ciqfunctions.udf.CIQAVG(InputTicker, "IQ_PE_EXCL",[0]!IQ_LTM,C$472,C$2)</f>
        <v>10.773149999999999</v>
      </c>
      <c r="D476" s="20">
        <f>_xll.ciqfunctions.udf.CIQAVG(InputTicker, "IQ_PE_EXCL",[0]!IQ_LTM,D$472,D$2)</f>
        <v>70.214870000000005</v>
      </c>
      <c r="E476" s="20">
        <f>_xll.ciqfunctions.udf.CIQAVG(InputTicker, "IQ_PE_EXCL",[0]!IQ_LTM,E$472,E$2)</f>
        <v>78.298349999999999</v>
      </c>
      <c r="F476" s="20">
        <f>_xll.ciqfunctions.udf.CIQAVG(InputTicker, "IQ_PE_EXCL",[0]!IQ_LTM,F$472,F$2)</f>
        <v>23.039860000000001</v>
      </c>
      <c r="G476" s="20">
        <f>_xll.ciqfunctions.udf.CIQAVG(InputTicker, "IQ_PE_EXCL",[0]!IQ_LTM,G$472,G$2)</f>
        <v>27.593589999999999</v>
      </c>
      <c r="H476" s="20">
        <f>_xll.ciqfunctions.udf.CIQAVG(InputTicker, "IQ_PE_EXCL",[0]!IQ_LTM,H$472,H$2)</f>
        <v>50.987160000000003</v>
      </c>
      <c r="I476" s="20">
        <f>_xll.ciqfunctions.udf.CIQAVG(InputTicker, "IQ_PE_EXCL",[0]!IQ_LTM,I$472,I$2)</f>
        <v>91.677070000000001</v>
      </c>
      <c r="J476" s="20">
        <f>_xll.ciqfunctions.udf.CIQAVG(InputTicker, "IQ_PE_EXCL",[0]!IQ_LTM,J$472,J$2)</f>
        <v>25.558309999999999</v>
      </c>
      <c r="K476" s="20">
        <f>_xll.ciqfunctions.udf.CIQAVG(InputTicker, "IQ_PE_EXCL",[0]!IQ_LTM,K$472,K$2)</f>
        <v>5.2680199999999999</v>
      </c>
      <c r="L476" s="20">
        <f>_xll.ciqfunctions.udf.CIQAVG(InputTicker, "IQ_PE_EXCL",[0]!IQ_LTM,L$472,L$2)</f>
        <v>9.4476600000000008</v>
      </c>
      <c r="M476" s="20">
        <f>_xll.ciqfunctions.udf.CIQAVG(InputTicker, "IQ_PE_EXCL",[0]!IQ_LTM,M$472,M$2)</f>
        <v>3.69692</v>
      </c>
      <c r="N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  <c r="BN476" s="42"/>
    </row>
    <row r="477" spans="1:66" ht="12.75" customHeight="1" x14ac:dyDescent="0.2">
      <c r="A477" s="19" t="s">
        <v>272</v>
      </c>
      <c r="B477" s="20">
        <f>_xll.ciqfunctions.udf.CIQAVG(InputTicker, "IQ_PBV",[0]!IQ_LTM,B$472,B$2)</f>
        <v>3.1611500000000001</v>
      </c>
      <c r="C477" s="20">
        <f>_xll.ciqfunctions.udf.CIQAVG(InputTicker, "IQ_PBV",[0]!IQ_LTM,C$472,C$2)</f>
        <v>3.2105800000000002</v>
      </c>
      <c r="D477" s="20">
        <f>_xll.ciqfunctions.udf.CIQAVG(InputTicker, "IQ_PBV",[0]!IQ_LTM,D$472,D$2)</f>
        <v>2.22593</v>
      </c>
      <c r="E477" s="20">
        <f>_xll.ciqfunctions.udf.CIQAVG(InputTicker, "IQ_PBV",[0]!IQ_LTM,E$472,E$2)</f>
        <v>2.4561799999999998</v>
      </c>
      <c r="F477" s="20">
        <f>_xll.ciqfunctions.udf.CIQAVG(InputTicker, "IQ_PBV",[0]!IQ_LTM,F$472,F$2)</f>
        <v>2.3028900000000001</v>
      </c>
      <c r="G477" s="20">
        <f>_xll.ciqfunctions.udf.CIQAVG(InputTicker, "IQ_PBV",[0]!IQ_LTM,G$472,G$2)</f>
        <v>2.0684</v>
      </c>
      <c r="H477" s="20">
        <f>_xll.ciqfunctions.udf.CIQAVG(InputTicker, "IQ_PBV",[0]!IQ_LTM,H$472,H$2)</f>
        <v>1.95888</v>
      </c>
      <c r="I477" s="20">
        <f>_xll.ciqfunctions.udf.CIQAVG(InputTicker, "IQ_PBV",[0]!IQ_LTM,I$472,I$2)</f>
        <v>1.96183</v>
      </c>
      <c r="J477" s="20">
        <f>_xll.ciqfunctions.udf.CIQAVG(InputTicker, "IQ_PBV",[0]!IQ_LTM,J$472,J$2)</f>
        <v>2.1715300000000002</v>
      </c>
      <c r="K477" s="20">
        <f>_xll.ciqfunctions.udf.CIQAVG(InputTicker, "IQ_PBV",[0]!IQ_LTM,K$472,K$2)</f>
        <v>1.56731</v>
      </c>
      <c r="L477" s="20">
        <f>_xll.ciqfunctions.udf.CIQAVG(InputTicker, "IQ_PBV",[0]!IQ_LTM,L$472,L$2)</f>
        <v>2.1492900000000001</v>
      </c>
      <c r="M477" s="20">
        <f>_xll.ciqfunctions.udf.CIQAVG(InputTicker, "IQ_PBV",[0]!IQ_LTM,M$472,M$2)</f>
        <v>1.7370399999999999</v>
      </c>
      <c r="N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  <c r="BM477" s="42"/>
      <c r="BN477" s="42"/>
    </row>
    <row r="478" spans="1:66" ht="12.75" customHeight="1" x14ac:dyDescent="0.2">
      <c r="A478" s="19" t="s">
        <v>273</v>
      </c>
      <c r="B478" s="20">
        <f>_xll.ciqfunctions.udf.CIQAVG(InputTicker, "IQ_PTBV",[0]!IQ_LTM,B$472,B$2)</f>
        <v>3.3701599999999998</v>
      </c>
      <c r="C478" s="20">
        <f>_xll.ciqfunctions.udf.CIQAVG(InputTicker, "IQ_PTBV",[0]!IQ_LTM,C$472,C$2)</f>
        <v>3.3663699999999999</v>
      </c>
      <c r="D478" s="20">
        <f>_xll.ciqfunctions.udf.CIQAVG(InputTicker, "IQ_PTBV",[0]!IQ_LTM,D$472,D$2)</f>
        <v>2.35093</v>
      </c>
      <c r="E478" s="20">
        <f>_xll.ciqfunctions.udf.CIQAVG(InputTicker, "IQ_PTBV",[0]!IQ_LTM,E$472,E$2)</f>
        <v>2.65828</v>
      </c>
      <c r="F478" s="20">
        <f>_xll.ciqfunctions.udf.CIQAVG(InputTicker, "IQ_PTBV",[0]!IQ_LTM,F$472,F$2)</f>
        <v>2.4599799999999998</v>
      </c>
      <c r="G478" s="20">
        <f>_xll.ciqfunctions.udf.CIQAVG(InputTicker, "IQ_PTBV",[0]!IQ_LTM,G$472,G$2)</f>
        <v>2.2049500000000002</v>
      </c>
      <c r="H478" s="20">
        <f>_xll.ciqfunctions.udf.CIQAVG(InputTicker, "IQ_PTBV",[0]!IQ_LTM,H$472,H$2)</f>
        <v>2.0806100000000001</v>
      </c>
      <c r="I478" s="20">
        <f>_xll.ciqfunctions.udf.CIQAVG(InputTicker, "IQ_PTBV",[0]!IQ_LTM,I$472,I$2)</f>
        <v>2.0888800000000001</v>
      </c>
      <c r="J478" s="20">
        <f>_xll.ciqfunctions.udf.CIQAVG(InputTicker, "IQ_PTBV",[0]!IQ_LTM,J$472,J$2)</f>
        <v>2.2883800000000001</v>
      </c>
      <c r="K478" s="20">
        <f>_xll.ciqfunctions.udf.CIQAVG(InputTicker, "IQ_PTBV",[0]!IQ_LTM,K$472,K$2)</f>
        <v>1.62849</v>
      </c>
      <c r="L478" s="20">
        <f>_xll.ciqfunctions.udf.CIQAVG(InputTicker, "IQ_PTBV",[0]!IQ_LTM,L$472,L$2)</f>
        <v>2.2199</v>
      </c>
      <c r="M478" s="20">
        <f>_xll.ciqfunctions.udf.CIQAVG(InputTicker, "IQ_PTBV",[0]!IQ_LTM,M$472,M$2)</f>
        <v>1.8062400000000001</v>
      </c>
      <c r="N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  <c r="BM478" s="42"/>
      <c r="BN478" s="42"/>
    </row>
    <row r="479" spans="1:66" ht="12.75" customHeight="1" x14ac:dyDescent="0.2">
      <c r="A479" s="19" t="s">
        <v>227</v>
      </c>
      <c r="B479" s="4">
        <f>_xll.ciqfunctions.udf.CIQ(InputTicker, "IQ_RETURN_ASSETS",Input!D$2,Date)</f>
        <v>16.903099999999998</v>
      </c>
      <c r="C479" s="4">
        <f>_xll.ciqfunctions.udf.CIQ(InputTicker, "IQ_RETURN_ASSETS",Input!E$2,Date)</f>
        <v>28.8123</v>
      </c>
      <c r="D479" s="4">
        <f>_xll.ciqfunctions.udf.CIQ(InputTicker, "IQ_RETURN_ASSETS",Input!F$2,Date)</f>
        <v>-7.6043000000000003</v>
      </c>
      <c r="E479" s="4">
        <f>_xll.ciqfunctions.udf.CIQ(InputTicker, "IQ_RETURN_ASSETS",Input!G$2,Date)</f>
        <v>10.4033</v>
      </c>
      <c r="F479" s="4">
        <f>_xll.ciqfunctions.udf.CIQ(InputTicker, "IQ_RETURN_ASSETS",Input!H$2,Date)</f>
        <v>2.4826000000000001</v>
      </c>
      <c r="G479" s="4">
        <f>_xll.ciqfunctions.udf.CIQ(InputTicker, "IQ_RETURN_ASSETS",Input!I$2,Date)</f>
        <v>7.1400000000000005E-2</v>
      </c>
      <c r="H479" s="4">
        <f>_xll.ciqfunctions.udf.CIQ(InputTicker, "IQ_RETURN_ASSETS",Input!J$2,Date)</f>
        <v>-1.1947000000000001</v>
      </c>
      <c r="I479" s="4">
        <f>_xll.ciqfunctions.udf.CIQ(InputTicker, "IQ_RETURN_ASSETS",Input!K$2,Date)</f>
        <v>6.5132000000000003</v>
      </c>
      <c r="J479" s="4">
        <f>_xll.ciqfunctions.udf.CIQ(InputTicker, "IQ_RETURN_ASSETS",Input!L$2,Date)</f>
        <v>35.638800000000003</v>
      </c>
      <c r="K479" s="4">
        <f>_xll.ciqfunctions.udf.CIQ(InputTicker, "IQ_RETURN_ASSETS",Input!M$2,Date)</f>
        <v>9.4850999999999992</v>
      </c>
      <c r="L479" s="4">
        <f>_xll.ciqfunctions.udf.CIQ(InputTicker, "IQ_RETURN_ASSETS",Input!N$2,Date)</f>
        <v>36.802999999999997</v>
      </c>
      <c r="M479" s="4">
        <f>_xll.ciqfunctions.udf.CIQ(InputTicker, "IQ_RETURN_ASSETS",Input!O$2,Date)</f>
        <v>32.305900000000001</v>
      </c>
      <c r="N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  <c r="BM479" s="42"/>
      <c r="BN479" s="42"/>
    </row>
    <row r="480" spans="1:66" ht="12.75" customHeight="1" x14ac:dyDescent="0.2">
      <c r="A480" s="19" t="s">
        <v>228</v>
      </c>
      <c r="B480" s="4">
        <f>_xll.ciqfunctions.udf.CIQ(InputTicker, "IQ_RETURN_CAPITAL",Input!D$2,Date)</f>
        <v>20.8444</v>
      </c>
      <c r="C480" s="4">
        <f>_xll.ciqfunctions.udf.CIQ(InputTicker, "IQ_RETURN_CAPITAL",Input!E$2,Date)</f>
        <v>34.615400000000001</v>
      </c>
      <c r="D480" s="4">
        <f>_xll.ciqfunctions.udf.CIQ(InputTicker, "IQ_RETURN_CAPITAL",Input!F$2,Date)</f>
        <v>-9.0693999999999999</v>
      </c>
      <c r="E480" s="4">
        <f>_xll.ciqfunctions.udf.CIQ(InputTicker, "IQ_RETURN_CAPITAL",Input!G$2,Date)</f>
        <v>12.5006</v>
      </c>
      <c r="F480" s="4">
        <f>_xll.ciqfunctions.udf.CIQ(InputTicker, "IQ_RETURN_CAPITAL",Input!H$2,Date)</f>
        <v>2.9304999999999999</v>
      </c>
      <c r="G480" s="4">
        <f>_xll.ciqfunctions.udf.CIQ(InputTicker, "IQ_RETURN_CAPITAL",Input!I$2,Date)</f>
        <v>8.4199999999999997E-2</v>
      </c>
      <c r="H480" s="4">
        <f>_xll.ciqfunctions.udf.CIQ(InputTicker, "IQ_RETURN_CAPITAL",Input!J$2,Date)</f>
        <v>-1.4348000000000001</v>
      </c>
      <c r="I480" s="4">
        <f>_xll.ciqfunctions.udf.CIQ(InputTicker, "IQ_RETURN_CAPITAL",Input!K$2,Date)</f>
        <v>8.1638999999999999</v>
      </c>
      <c r="J480" s="4">
        <f>_xll.ciqfunctions.udf.CIQ(InputTicker, "IQ_RETURN_CAPITAL",Input!L$2,Date)</f>
        <v>44.412100000000002</v>
      </c>
      <c r="K480" s="4">
        <f>_xll.ciqfunctions.udf.CIQ(InputTicker, "IQ_RETURN_CAPITAL",Input!M$2,Date)</f>
        <v>11.5251</v>
      </c>
      <c r="L480" s="4">
        <f>_xll.ciqfunctions.udf.CIQ(InputTicker, "IQ_RETURN_CAPITAL",Input!N$2,Date)</f>
        <v>44.448</v>
      </c>
      <c r="M480" s="4">
        <f>_xll.ciqfunctions.udf.CIQ(InputTicker, "IQ_RETURN_CAPITAL",Input!O$2,Date)</f>
        <v>38.325299999999999</v>
      </c>
      <c r="N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  <c r="BN480" s="42"/>
    </row>
    <row r="481" spans="1:66" ht="12.75" customHeight="1" x14ac:dyDescent="0.2">
      <c r="A481" s="19" t="s">
        <v>229</v>
      </c>
      <c r="B481" s="4">
        <f>_xll.ciqfunctions.udf.CIQ(InputTicker,  "IQ_RETURN_EQUITY",Input!D$2,Date)</f>
        <v>24.979600000000001</v>
      </c>
      <c r="C481" s="4">
        <f>_xll.ciqfunctions.udf.CIQ(InputTicker,  "IQ_RETURN_EQUITY",Input!E$2,Date)</f>
        <v>39.218499999999999</v>
      </c>
      <c r="D481" s="4">
        <f>_xll.ciqfunctions.udf.CIQ(InputTicker,  "IQ_RETURN_EQUITY",Input!F$2,Date)</f>
        <v>-8.4487000000000005</v>
      </c>
      <c r="E481" s="4">
        <f>_xll.ciqfunctions.udf.CIQ(InputTicker,  "IQ_RETURN_EQUITY",Input!G$2,Date)</f>
        <v>14.0204</v>
      </c>
      <c r="F481" s="4">
        <f>_xll.ciqfunctions.udf.CIQ(InputTicker,  "IQ_RETURN_EQUITY",Input!H$2,Date)</f>
        <v>5.6604000000000001</v>
      </c>
      <c r="G481" s="4">
        <f>_xll.ciqfunctions.udf.CIQ(InputTicker,  "IQ_RETURN_EQUITY",Input!I$2,Date)</f>
        <v>1.8331999999999999</v>
      </c>
      <c r="H481" s="4">
        <f>_xll.ciqfunctions.udf.CIQ(InputTicker,  "IQ_RETURN_EQUITY",Input!J$2,Date)</f>
        <v>0.20369999999999999</v>
      </c>
      <c r="I481" s="4">
        <f>_xll.ciqfunctions.udf.CIQ(InputTicker,  "IQ_RETURN_EQUITY",Input!K$2,Date)</f>
        <v>12.5113</v>
      </c>
      <c r="J481" s="4">
        <f>_xll.ciqfunctions.udf.CIQ(InputTicker,  "IQ_RETURN_EQUITY",Input!L$2,Date)</f>
        <v>55.766500000000001</v>
      </c>
      <c r="K481" s="4">
        <f>_xll.ciqfunctions.udf.CIQ(InputTicker,  "IQ_RETURN_EQUITY",Input!M$2,Date)</f>
        <v>16.220199999999998</v>
      </c>
      <c r="L481" s="4">
        <f>_xll.ciqfunctions.udf.CIQ(InputTicker,  "IQ_RETURN_EQUITY",Input!N$2,Date)</f>
        <v>55.843000000000004</v>
      </c>
      <c r="M481" s="4">
        <f>_xll.ciqfunctions.udf.CIQ(InputTicker,  "IQ_RETURN_EQUITY",Input!O$2,Date)</f>
        <v>48.526200000000003</v>
      </c>
      <c r="N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  <c r="BN481" s="42"/>
    </row>
    <row r="482" spans="1:66" ht="12.75" customHeight="1" x14ac:dyDescent="0.2">
      <c r="A482" s="19" t="s">
        <v>425</v>
      </c>
      <c r="B482" s="4">
        <f>_xll.ciqfunctions.udf.CIQ(InputTicker,  "IQ_RETURN_COMMON_EQUITY",Input!D$2,Date)</f>
        <v>24.858000000000001</v>
      </c>
      <c r="C482" s="4">
        <f>_xll.ciqfunctions.udf.CIQ(InputTicker,  "IQ_RETURN_COMMON_EQUITY",Input!E$2,Date)</f>
        <v>39.045299999999997</v>
      </c>
      <c r="D482" s="4">
        <f>_xll.ciqfunctions.udf.CIQ(InputTicker,  "IQ_RETURN_COMMON_EQUITY",Input!F$2,Date)</f>
        <v>-8.4504000000000001</v>
      </c>
      <c r="E482" s="4">
        <f>_xll.ciqfunctions.udf.CIQ(InputTicker,  "IQ_RETURN_COMMON_EQUITY",Input!G$2,Date)</f>
        <v>14.023400000000001</v>
      </c>
      <c r="F482" s="4">
        <f>_xll.ciqfunctions.udf.CIQ(InputTicker,  "IQ_RETURN_COMMON_EQUITY",Input!H$2,Date)</f>
        <v>5.5907</v>
      </c>
      <c r="G482" s="4">
        <f>_xll.ciqfunctions.udf.CIQ(InputTicker,  "IQ_RETURN_COMMON_EQUITY",Input!I$2,Date)</f>
        <v>1.8425</v>
      </c>
      <c r="H482" s="4">
        <f>_xll.ciqfunctions.udf.CIQ(InputTicker,  "IQ_RETURN_COMMON_EQUITY",Input!J$2,Date)</f>
        <v>0.20369999999999999</v>
      </c>
      <c r="I482" s="4">
        <f>_xll.ciqfunctions.udf.CIQ(InputTicker,  "IQ_RETURN_COMMON_EQUITY",Input!K$2,Date)</f>
        <v>12.5299</v>
      </c>
      <c r="J482" s="4">
        <f>_xll.ciqfunctions.udf.CIQ(InputTicker,  "IQ_RETURN_COMMON_EQUITY",Input!L$2,Date)</f>
        <v>55.826700000000002</v>
      </c>
      <c r="K482" s="4">
        <f>_xll.ciqfunctions.udf.CIQ(InputTicker,  "IQ_RETURN_COMMON_EQUITY",Input!M$2,Date)</f>
        <v>16.2925</v>
      </c>
      <c r="L482" s="4">
        <f>_xll.ciqfunctions.udf.CIQ(InputTicker,  "IQ_RETURN_COMMON_EQUITY",Input!N$2,Date)</f>
        <v>55.955599999999997</v>
      </c>
      <c r="M482" s="4">
        <f>_xll.ciqfunctions.udf.CIQ(InputTicker,  "IQ_RETURN_COMMON_EQUITY",Input!O$2,Date)</f>
        <v>48.686799999999998</v>
      </c>
      <c r="N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  <c r="BN482" s="42"/>
    </row>
    <row r="483" spans="1:66" ht="12.75" customHeight="1" x14ac:dyDescent="0.2">
      <c r="A483" s="19" t="s">
        <v>230</v>
      </c>
      <c r="B483" s="4">
        <f>_xll.ciqfunctions.udf.CIQ(InputTicker, "IQ_GROSS_MARGIN",Input!D$2,Date)</f>
        <v>25.107099999999999</v>
      </c>
      <c r="C483" s="4">
        <f>_xll.ciqfunctions.udf.CIQ(InputTicker, "IQ_GROSS_MARGIN",Input!E$2,Date)</f>
        <v>33.954500000000003</v>
      </c>
      <c r="D483" s="4">
        <f>_xll.ciqfunctions.udf.CIQ(InputTicker, "IQ_GROSS_MARGIN",Input!F$2,Date)</f>
        <v>4.2390999999999996</v>
      </c>
      <c r="E483" s="4">
        <f>_xll.ciqfunctions.udf.CIQ(InputTicker, "IQ_GROSS_MARGIN",Input!G$2,Date)</f>
        <v>24.0227</v>
      </c>
      <c r="F483" s="4">
        <f>_xll.ciqfunctions.udf.CIQ(InputTicker, "IQ_GROSS_MARGIN",Input!H$2,Date)</f>
        <v>16.372299999999999</v>
      </c>
      <c r="G483" s="4">
        <f>_xll.ciqfunctions.udf.CIQ(InputTicker, "IQ_GROSS_MARGIN",Input!I$2,Date)</f>
        <v>13.286899999999999</v>
      </c>
      <c r="H483" s="4">
        <f>_xll.ciqfunctions.udf.CIQ(InputTicker, "IQ_GROSS_MARGIN",Input!J$2,Date)</f>
        <v>11.909700000000001</v>
      </c>
      <c r="I483" s="4">
        <f>_xll.ciqfunctions.udf.CIQ(InputTicker, "IQ_GROSS_MARGIN",Input!K$2,Date)</f>
        <v>18.966100000000001</v>
      </c>
      <c r="J483" s="4">
        <f>_xll.ciqfunctions.udf.CIQ(InputTicker, "IQ_GROSS_MARGIN",Input!L$2,Date)</f>
        <v>38.028399999999998</v>
      </c>
      <c r="K483" s="4">
        <f>_xll.ciqfunctions.udf.CIQ(InputTicker, "IQ_GROSS_MARGIN",Input!M$2,Date)</f>
        <v>23.2789</v>
      </c>
      <c r="L483" s="4">
        <f>_xll.ciqfunctions.udf.CIQ(InputTicker, "IQ_GROSS_MARGIN",Input!N$2,Date)</f>
        <v>43.428699999999999</v>
      </c>
      <c r="M483" s="4">
        <f>_xll.ciqfunctions.udf.CIQ(InputTicker, "IQ_GROSS_MARGIN",Input!O$2,Date)</f>
        <v>41.921100000000003</v>
      </c>
      <c r="N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  <c r="BM483" s="42"/>
      <c r="BN483" s="42"/>
    </row>
    <row r="484" spans="1:66" ht="12.75" customHeight="1" x14ac:dyDescent="0.2">
      <c r="A484" s="19" t="s">
        <v>231</v>
      </c>
      <c r="B484" s="4">
        <f>_xll.ciqfunctions.udf.CIQ(InputTicker,  "IQ_EBITDA_MARGIN",Input!D$2,Date)</f>
        <v>17.5139</v>
      </c>
      <c r="C484" s="4">
        <f>_xll.ciqfunctions.udf.CIQ(InputTicker,  "IQ_EBITDA_MARGIN",Input!E$2,Date)</f>
        <v>26.977399999999999</v>
      </c>
      <c r="D484" s="4">
        <f>_xll.ciqfunctions.udf.CIQ(InputTicker,  "IQ_EBITDA_MARGIN",Input!F$2,Date)</f>
        <v>-7.5726000000000004</v>
      </c>
      <c r="E484" s="4">
        <f>_xll.ciqfunctions.udf.CIQ(InputTicker,  "IQ_EBITDA_MARGIN",Input!G$2,Date)</f>
        <v>15.686400000000001</v>
      </c>
      <c r="F484" s="4">
        <f>_xll.ciqfunctions.udf.CIQ(InputTicker,  "IQ_EBITDA_MARGIN",Input!H$2,Date)</f>
        <v>7.3806000000000003</v>
      </c>
      <c r="G484" s="4">
        <f>_xll.ciqfunctions.udf.CIQ(InputTicker,  "IQ_EBITDA_MARGIN",Input!I$2,Date)</f>
        <v>4.3986999999999998</v>
      </c>
      <c r="H484" s="4">
        <f>_xll.ciqfunctions.udf.CIQ(InputTicker,  "IQ_EBITDA_MARGIN",Input!J$2,Date)</f>
        <v>2.6831</v>
      </c>
      <c r="I484" s="4">
        <f>_xll.ciqfunctions.udf.CIQ(InputTicker,  "IQ_EBITDA_MARGIN",Input!K$2,Date)</f>
        <v>11.6378</v>
      </c>
      <c r="J484" s="4">
        <f>_xll.ciqfunctions.udf.CIQ(InputTicker,  "IQ_EBITDA_MARGIN",Input!L$2,Date)</f>
        <v>32.943800000000003</v>
      </c>
      <c r="K484" s="4">
        <f>_xll.ciqfunctions.udf.CIQ(InputTicker,  "IQ_EBITDA_MARGIN",Input!M$2,Date)</f>
        <v>16.950099999999999</v>
      </c>
      <c r="L484" s="4">
        <f>_xll.ciqfunctions.udf.CIQ(InputTicker,  "IQ_EBITDA_MARGIN",Input!N$2,Date)</f>
        <v>38.608600000000003</v>
      </c>
      <c r="M484" s="4">
        <f>_xll.ciqfunctions.udf.CIQ(InputTicker,  "IQ_EBITDA_MARGIN",Input!O$2,Date)</f>
        <v>37.1218</v>
      </c>
      <c r="N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</row>
    <row r="485" spans="1:66" ht="12.75" customHeight="1" x14ac:dyDescent="0.2">
      <c r="A485" s="19" t="s">
        <v>232</v>
      </c>
      <c r="B485" s="4">
        <f>_xll.ciqfunctions.udf.CIQ(InputTicker, "IQ_EBIT_MARGIN",Input!D$2,Date)</f>
        <v>14.9312</v>
      </c>
      <c r="C485" s="4">
        <f>_xll.ciqfunctions.udf.CIQ(InputTicker, "IQ_EBIT_MARGIN",Input!E$2,Date)</f>
        <v>24.641100000000002</v>
      </c>
      <c r="D485" s="4">
        <f>_xll.ciqfunctions.udf.CIQ(InputTicker, "IQ_EBIT_MARGIN",Input!F$2,Date)</f>
        <v>-12.1433</v>
      </c>
      <c r="E485" s="4">
        <f>_xll.ciqfunctions.udf.CIQ(InputTicker, "IQ_EBIT_MARGIN",Input!G$2,Date)</f>
        <v>12.0916</v>
      </c>
      <c r="F485" s="4">
        <f>_xll.ciqfunctions.udf.CIQ(InputTicker, "IQ_EBIT_MARGIN",Input!H$2,Date)</f>
        <v>3.3656999999999999</v>
      </c>
      <c r="G485" s="4">
        <f>_xll.ciqfunctions.udf.CIQ(InputTicker, "IQ_EBIT_MARGIN",Input!I$2,Date)</f>
        <v>9.9900000000000003E-2</v>
      </c>
      <c r="H485" s="4">
        <f>_xll.ciqfunctions.udf.CIQ(InputTicker, "IQ_EBIT_MARGIN",Input!J$2,Date)</f>
        <v>-1.7258</v>
      </c>
      <c r="I485" s="4">
        <f>_xll.ciqfunctions.udf.CIQ(InputTicker, "IQ_EBIT_MARGIN",Input!K$2,Date)</f>
        <v>7.7892000000000001</v>
      </c>
      <c r="J485" s="4">
        <f>_xll.ciqfunctions.udf.CIQ(InputTicker, "IQ_EBIT_MARGIN",Input!L$2,Date)</f>
        <v>30.6479</v>
      </c>
      <c r="K485" s="4">
        <f>_xll.ciqfunctions.udf.CIQ(InputTicker, "IQ_EBIT_MARGIN",Input!M$2,Date)</f>
        <v>13.500999999999999</v>
      </c>
      <c r="L485" s="4">
        <f>_xll.ciqfunctions.udf.CIQ(InputTicker, "IQ_EBIT_MARGIN",Input!N$2,Date)</f>
        <v>36.402500000000003</v>
      </c>
      <c r="M485" s="4">
        <f>_xll.ciqfunctions.udf.CIQ(InputTicker, "IQ_EBIT_MARGIN",Input!O$2,Date)</f>
        <v>34.559199999999997</v>
      </c>
      <c r="N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  <c r="BM485" s="42"/>
      <c r="BN485" s="42"/>
    </row>
    <row r="486" spans="1:66" ht="12.75" customHeight="1" x14ac:dyDescent="0.2">
      <c r="A486" s="19" t="s">
        <v>233</v>
      </c>
      <c r="B486" s="4">
        <f>_xll.ciqfunctions.udf.CIQ(InputTicker, "IQ_NI_MARGIN",Input!D$2,Date)</f>
        <v>10.231</v>
      </c>
      <c r="C486" s="4">
        <f>_xll.ciqfunctions.udf.CIQ(InputTicker, "IQ_NI_MARGIN",Input!E$2,Date)</f>
        <v>16.558299999999999</v>
      </c>
      <c r="D486" s="4">
        <f>_xll.ciqfunctions.udf.CIQ(InputTicker, "IQ_NI_MARGIN",Input!F$2,Date)</f>
        <v>-6.9127000000000001</v>
      </c>
      <c r="E486" s="4">
        <f>_xll.ciqfunctions.udf.CIQ(InputTicker, "IQ_NI_MARGIN",Input!G$2,Date)</f>
        <v>8.3789999999999996</v>
      </c>
      <c r="F486" s="4">
        <f>_xll.ciqfunctions.udf.CIQ(InputTicker, "IQ_NI_MARGIN",Input!H$2,Date)</f>
        <v>3.9839000000000002</v>
      </c>
      <c r="G486" s="4">
        <f>_xll.ciqfunctions.udf.CIQ(InputTicker, "IQ_NI_MARGIN",Input!I$2,Date)</f>
        <v>1.3606</v>
      </c>
      <c r="H486" s="4">
        <f>_xll.ciqfunctions.udf.CIQ(InputTicker, "IQ_NI_MARGIN",Input!J$2,Date)</f>
        <v>0.1527</v>
      </c>
      <c r="I486" s="4">
        <f>_xll.ciqfunctions.udf.CIQ(InputTicker, "IQ_NI_MARGIN",Input!K$2,Date)</f>
        <v>7.4641000000000002</v>
      </c>
      <c r="J486" s="4">
        <f>_xll.ciqfunctions.udf.CIQ(InputTicker, "IQ_NI_MARGIN",Input!L$2,Date)</f>
        <v>24.0931</v>
      </c>
      <c r="K486" s="4">
        <f>_xll.ciqfunctions.udf.CIQ(InputTicker, "IQ_NI_MARGIN",Input!M$2,Date)</f>
        <v>11.944699999999999</v>
      </c>
      <c r="L486" s="4">
        <f>_xll.ciqfunctions.udf.CIQ(InputTicker, "IQ_NI_MARGIN",Input!N$2,Date)</f>
        <v>28.626899999999999</v>
      </c>
      <c r="M486" s="4">
        <f>_xll.ciqfunctions.udf.CIQ(InputTicker, "IQ_NI_MARGIN",Input!O$2,Date)</f>
        <v>27.3673</v>
      </c>
      <c r="N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  <c r="BN486" s="42"/>
    </row>
    <row r="487" spans="1:66" ht="12.75" customHeight="1" x14ac:dyDescent="0.2">
      <c r="A487" s="19" t="s">
        <v>434</v>
      </c>
      <c r="B487" s="21">
        <f>_xll.ciqfunctions.udf.CIQ(InputTicker, "IQ_CAPEX_PCT_REV",Input!D$2,Date)</f>
        <v>5.2192999999999996</v>
      </c>
      <c r="C487" s="21">
        <f>_xll.ciqfunctions.udf.CIQ(InputTicker, "IQ_CAPEX_PCT_REV",Input!E$2,Date)</f>
        <v>3.9883999999999999</v>
      </c>
      <c r="D487" s="21">
        <f>_xll.ciqfunctions.udf.CIQ(InputTicker, "IQ_CAPEX_PCT_REV",Input!F$2,Date)</f>
        <v>6.2034000000000002</v>
      </c>
      <c r="E487" s="21">
        <f>_xll.ciqfunctions.udf.CIQ(InputTicker, "IQ_CAPEX_PCT_REV",Input!G$2,Date)</f>
        <v>1.3088</v>
      </c>
      <c r="F487" s="21">
        <f>_xll.ciqfunctions.udf.CIQ(InputTicker, "IQ_CAPEX_PCT_REV",Input!H$2,Date)</f>
        <v>4.9947999999999997</v>
      </c>
      <c r="G487" s="21">
        <f>_xll.ciqfunctions.udf.CIQ(InputTicker, "IQ_CAPEX_PCT_REV",Input!I$2,Date)</f>
        <v>9.1874000000000002</v>
      </c>
      <c r="H487" s="21">
        <f>_xll.ciqfunctions.udf.CIQ(InputTicker, "IQ_CAPEX_PCT_REV",Input!J$2,Date)</f>
        <v>7.0473999999999997</v>
      </c>
      <c r="I487" s="21">
        <f>_xll.ciqfunctions.udf.CIQ(InputTicker, "IQ_CAPEX_PCT_REV",Input!K$2,Date)</f>
        <v>4.0738000000000003</v>
      </c>
      <c r="J487" s="21">
        <f>_xll.ciqfunctions.udf.CIQ(InputTicker, "IQ_CAPEX_PCT_REV",Input!L$2,Date)</f>
        <v>4.3407</v>
      </c>
      <c r="K487" s="21">
        <f>_xll.ciqfunctions.udf.CIQ(InputTicker, "IQ_CAPEX_PCT_REV",Input!M$2,Date)</f>
        <v>6.3235999999999999</v>
      </c>
      <c r="L487" s="21">
        <f>_xll.ciqfunctions.udf.CIQ(InputTicker, "IQ_CAPEX_PCT_REV",Input!N$2,Date)</f>
        <v>3.7835999999999999</v>
      </c>
      <c r="M487" s="21">
        <f>_xll.ciqfunctions.udf.CIQ(InputTicker, "IQ_CAPEX_PCT_REV",Input!O$2,Date)</f>
        <v>4.4570999999999996</v>
      </c>
      <c r="N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  <c r="BM487" s="42"/>
      <c r="BN487" s="42"/>
    </row>
    <row r="488" spans="1:66" ht="12.75" customHeight="1" x14ac:dyDescent="0.2">
      <c r="A488" s="19" t="s">
        <v>234</v>
      </c>
      <c r="B488" s="20">
        <f>_xll.ciqfunctions.udf.CIQ(InputTicker, "IQ_ASSET_TURNS",Input!D$2,Date)</f>
        <v>1.81131</v>
      </c>
      <c r="C488" s="20">
        <f>_xll.ciqfunctions.udf.CIQ(InputTicker, "IQ_ASSET_TURNS",Input!E$2,Date)</f>
        <v>1.8708400000000001</v>
      </c>
      <c r="D488" s="20">
        <f>_xll.ciqfunctions.udf.CIQ(InputTicker, "IQ_ASSET_TURNS",Input!F$2,Date)</f>
        <v>1.0019400000000001</v>
      </c>
      <c r="E488" s="20">
        <f>_xll.ciqfunctions.udf.CIQ(InputTicker, "IQ_ASSET_TURNS",Input!G$2,Date)</f>
        <v>1.3766</v>
      </c>
      <c r="F488" s="20">
        <f>_xll.ciqfunctions.udf.CIQ(InputTicker, "IQ_ASSET_TURNS",Input!H$2,Date)</f>
        <v>1.1801900000000001</v>
      </c>
      <c r="G488" s="20">
        <f>_xll.ciqfunctions.udf.CIQ(InputTicker, "IQ_ASSET_TURNS",Input!I$2,Date)</f>
        <v>1.1439900000000001</v>
      </c>
      <c r="H488" s="20">
        <f>_xll.ciqfunctions.udf.CIQ(InputTicker, "IQ_ASSET_TURNS",Input!J$2,Date)</f>
        <v>1.1075999999999999</v>
      </c>
      <c r="I488" s="20">
        <f>_xll.ciqfunctions.udf.CIQ(InputTicker, "IQ_ASSET_TURNS",Input!K$2,Date)</f>
        <v>1.33789</v>
      </c>
      <c r="J488" s="20">
        <f>_xll.ciqfunctions.udf.CIQ(InputTicker, "IQ_ASSET_TURNS",Input!L$2,Date)</f>
        <v>1.86056</v>
      </c>
      <c r="K488" s="20">
        <f>_xll.ciqfunctions.udf.CIQ(InputTicker, "IQ_ASSET_TURNS",Input!M$2,Date)</f>
        <v>1.12408</v>
      </c>
      <c r="L488" s="20">
        <f>_xll.ciqfunctions.udf.CIQ(InputTicker, "IQ_ASSET_TURNS",Input!N$2,Date)</f>
        <v>1.6175999999999999</v>
      </c>
      <c r="M488" s="20">
        <f>_xll.ciqfunctions.udf.CIQ(InputTicker, "IQ_ASSET_TURNS",Input!O$2,Date)</f>
        <v>1.4956799999999999</v>
      </c>
      <c r="N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  <c r="BM488" s="42"/>
      <c r="BN488" s="42"/>
    </row>
    <row r="489" spans="1:66" ht="12.75" customHeight="1" x14ac:dyDescent="0.2">
      <c r="A489" s="19" t="s">
        <v>235</v>
      </c>
      <c r="B489" s="20">
        <f>_xll.ciqfunctions.udf.CIQ(InputTicker,  "IQ_FIXED_ASSET_TURNS",Input!D$2,Date)</f>
        <v>4.6788499999999997</v>
      </c>
      <c r="C489" s="20">
        <f>_xll.ciqfunctions.udf.CIQ(InputTicker,  "IQ_FIXED_ASSET_TURNS",Input!E$2,Date)</f>
        <v>5.0825199999999997</v>
      </c>
      <c r="D489" s="20">
        <f>_xll.ciqfunctions.udf.CIQ(InputTicker,  "IQ_FIXED_ASSET_TURNS",Input!F$2,Date)</f>
        <v>2.5268999999999999</v>
      </c>
      <c r="E489" s="20">
        <f>_xll.ciqfunctions.udf.CIQ(InputTicker,  "IQ_FIXED_ASSET_TURNS",Input!G$2,Date)</f>
        <v>3.4019599999999999</v>
      </c>
      <c r="F489" s="20">
        <f>_xll.ciqfunctions.udf.CIQ(InputTicker,  "IQ_FIXED_ASSET_TURNS",Input!H$2,Date)</f>
        <v>3.08772</v>
      </c>
      <c r="G489" s="20">
        <f>_xll.ciqfunctions.udf.CIQ(InputTicker,  "IQ_FIXED_ASSET_TURNS",Input!I$2,Date)</f>
        <v>2.65835</v>
      </c>
      <c r="H489" s="20">
        <f>_xll.ciqfunctions.udf.CIQ(InputTicker,  "IQ_FIXED_ASSET_TURNS",Input!J$2,Date)</f>
        <v>2.3414799999999998</v>
      </c>
      <c r="I489" s="20">
        <f>_xll.ciqfunctions.udf.CIQ(InputTicker,  "IQ_FIXED_ASSET_TURNS",Input!K$2,Date)</f>
        <v>2.7998599999999998</v>
      </c>
      <c r="J489" s="20">
        <f>_xll.ciqfunctions.udf.CIQ(InputTicker,  "IQ_FIXED_ASSET_TURNS",Input!L$2,Date)</f>
        <v>4.42401</v>
      </c>
      <c r="K489" s="20">
        <f>_xll.ciqfunctions.udf.CIQ(InputTicker,  "IQ_FIXED_ASSET_TURNS",Input!M$2,Date)</f>
        <v>2.90483</v>
      </c>
      <c r="L489" s="20">
        <f>_xll.ciqfunctions.udf.CIQ(InputTicker,  "IQ_FIXED_ASSET_TURNS",Input!N$2,Date)</f>
        <v>4.5244900000000001</v>
      </c>
      <c r="M489" s="20">
        <f>_xll.ciqfunctions.udf.CIQ(InputTicker,  "IQ_FIXED_ASSET_TURNS",Input!O$2,Date)</f>
        <v>3.84043</v>
      </c>
      <c r="N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  <c r="BM489" s="42"/>
      <c r="BN489" s="42"/>
    </row>
    <row r="490" spans="1:66" ht="12.75" customHeight="1" x14ac:dyDescent="0.2">
      <c r="A490" s="19" t="s">
        <v>236</v>
      </c>
      <c r="B490" s="20">
        <f>_xll.ciqfunctions.udf.CIQ(InputTicker, "IQ_AR_TURNS",Input!D$2,Date)</f>
        <v>17.32094</v>
      </c>
      <c r="C490" s="20">
        <f>_xll.ciqfunctions.udf.CIQ(InputTicker, "IQ_AR_TURNS",Input!E$2,Date)</f>
        <v>23.70626</v>
      </c>
      <c r="D490" s="20">
        <f>_xll.ciqfunctions.udf.CIQ(InputTicker, "IQ_AR_TURNS",Input!F$2,Date)</f>
        <v>17.433060000000001</v>
      </c>
      <c r="E490" s="20">
        <f>_xll.ciqfunctions.udf.CIQ(InputTicker, "IQ_AR_TURNS",Input!G$2,Date)</f>
        <v>21.169250000000002</v>
      </c>
      <c r="F490" s="20">
        <f>_xll.ciqfunctions.udf.CIQ(InputTicker, "IQ_AR_TURNS",Input!H$2,Date)</f>
        <v>19.757429999999999</v>
      </c>
      <c r="G490" s="20">
        <f>_xll.ciqfunctions.udf.CIQ(InputTicker, "IQ_AR_TURNS",Input!I$2,Date)</f>
        <v>19.032060000000001</v>
      </c>
      <c r="H490" s="20">
        <f>_xll.ciqfunctions.udf.CIQ(InputTicker, "IQ_AR_TURNS",Input!J$2,Date)</f>
        <v>16.446850000000001</v>
      </c>
      <c r="I490" s="20">
        <f>_xll.ciqfunctions.udf.CIQ(InputTicker, "IQ_AR_TURNS",Input!K$2,Date)</f>
        <v>14.321820000000001</v>
      </c>
      <c r="J490" s="20">
        <f>_xll.ciqfunctions.udf.CIQ(InputTicker, "IQ_AR_TURNS",Input!L$2,Date)</f>
        <v>22.46584</v>
      </c>
      <c r="K490" s="20">
        <f>_xll.ciqfunctions.udf.CIQ(InputTicker, "IQ_AR_TURNS",Input!M$2,Date)</f>
        <v>18.646599999999999</v>
      </c>
      <c r="L490" s="20">
        <f>_xll.ciqfunctions.udf.CIQ(InputTicker, "IQ_AR_TURNS",Input!N$2,Date)</f>
        <v>22.27685</v>
      </c>
      <c r="M490" s="20">
        <f>_xll.ciqfunctions.udf.CIQ(InputTicker, "IQ_AR_TURNS",Input!O$2,Date)</f>
        <v>15.528589999999999</v>
      </c>
      <c r="N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  <c r="BM490" s="42"/>
      <c r="BN490" s="42"/>
    </row>
    <row r="491" spans="1:66" ht="12.75" customHeight="1" x14ac:dyDescent="0.2">
      <c r="A491" s="19" t="s">
        <v>237</v>
      </c>
      <c r="B491" s="20">
        <f>_xll.ciqfunctions.udf.CIQ(InputTicker,"IQ_INVENTORY_TURNS",Input!D$2,Date)</f>
        <v>8.0745500000000003</v>
      </c>
      <c r="C491" s="20">
        <f>_xll.ciqfunctions.udf.CIQ(InputTicker,"IQ_INVENTORY_TURNS",Input!E$2,Date)</f>
        <v>8.3742800000000006</v>
      </c>
      <c r="D491" s="20">
        <f>_xll.ciqfunctions.udf.CIQ(InputTicker,"IQ_INVENTORY_TURNS",Input!F$2,Date)</f>
        <v>6.5229299999999997</v>
      </c>
      <c r="E491" s="20">
        <f>_xll.ciqfunctions.udf.CIQ(InputTicker,"IQ_INVENTORY_TURNS",Input!G$2,Date)</f>
        <v>6.9344700000000001</v>
      </c>
      <c r="F491" s="20">
        <f>_xll.ciqfunctions.udf.CIQ(InputTicker,"IQ_INVENTORY_TURNS",Input!H$2,Date)</f>
        <v>6.67875</v>
      </c>
      <c r="G491" s="20">
        <f>_xll.ciqfunctions.udf.CIQ(InputTicker,"IQ_INVENTORY_TURNS",Input!I$2,Date)</f>
        <v>6.5211399999999999</v>
      </c>
      <c r="H491" s="20">
        <f>_xll.ciqfunctions.udf.CIQ(InputTicker,"IQ_INVENTORY_TURNS",Input!J$2,Date)</f>
        <v>5.8597299999999999</v>
      </c>
      <c r="I491" s="20">
        <f>_xll.ciqfunctions.udf.CIQ(InputTicker,"IQ_INVENTORY_TURNS",Input!K$2,Date)</f>
        <v>5.9793500000000002</v>
      </c>
      <c r="J491" s="20">
        <f>_xll.ciqfunctions.udf.CIQ(InputTicker,"IQ_INVENTORY_TURNS",Input!L$2,Date)</f>
        <v>7.11937</v>
      </c>
      <c r="K491" s="20">
        <f>_xll.ciqfunctions.udf.CIQ(InputTicker,"IQ_INVENTORY_TURNS",Input!M$2,Date)</f>
        <v>6.5355999999999996</v>
      </c>
      <c r="L491" s="20">
        <f>_xll.ciqfunctions.udf.CIQ(InputTicker,"IQ_INVENTORY_TURNS",Input!N$2,Date)</f>
        <v>8.6500699999999995</v>
      </c>
      <c r="M491" s="20">
        <f>_xll.ciqfunctions.udf.CIQ(InputTicker,"IQ_INVENTORY_TURNS",Input!O$2,Date)</f>
        <v>7.6478099999999998</v>
      </c>
      <c r="N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  <c r="BM491" s="42"/>
      <c r="BN491" s="42"/>
    </row>
    <row r="492" spans="1:66" ht="12.75" customHeight="1" x14ac:dyDescent="0.2">
      <c r="A492" s="19" t="s">
        <v>238</v>
      </c>
      <c r="B492" s="20">
        <f>_xll.ciqfunctions.udf.CIQ(InputTicker, "IQ_CURRENT_RATIO",Input!D$2,Date)</f>
        <v>5.0121500000000001</v>
      </c>
      <c r="C492" s="20">
        <f>_xll.ciqfunctions.udf.CIQ(InputTicker, "IQ_CURRENT_RATIO",Input!E$2,Date)</f>
        <v>7.5048000000000004</v>
      </c>
      <c r="D492" s="20">
        <f>_xll.ciqfunctions.udf.CIQ(InputTicker, "IQ_CURRENT_RATIO",Input!F$2,Date)</f>
        <v>6.7441700000000004</v>
      </c>
      <c r="E492" s="20">
        <f>_xll.ciqfunctions.udf.CIQ(InputTicker, "IQ_CURRENT_RATIO",Input!G$2,Date)</f>
        <v>5.4481700000000002</v>
      </c>
      <c r="F492" s="20">
        <f>_xll.ciqfunctions.udf.CIQ(InputTicker, "IQ_CURRENT_RATIO",Input!H$2,Date)</f>
        <v>7.57944</v>
      </c>
      <c r="G492" s="20">
        <f>_xll.ciqfunctions.udf.CIQ(InputTicker, "IQ_CURRENT_RATIO",Input!I$2,Date)</f>
        <v>5.6045699999999998</v>
      </c>
      <c r="H492" s="20">
        <f>_xll.ciqfunctions.udf.CIQ(InputTicker, "IQ_CURRENT_RATIO",Input!J$2,Date)</f>
        <v>5.7707899999999999</v>
      </c>
      <c r="I492" s="20">
        <f>_xll.ciqfunctions.udf.CIQ(InputTicker, "IQ_CURRENT_RATIO",Input!K$2,Date)</f>
        <v>3.58209</v>
      </c>
      <c r="J492" s="20">
        <f>_xll.ciqfunctions.udf.CIQ(InputTicker, "IQ_CURRENT_RATIO",Input!L$2,Date)</f>
        <v>6.15618</v>
      </c>
      <c r="K492" s="20">
        <f>_xll.ciqfunctions.udf.CIQ(InputTicker, "IQ_CURRENT_RATIO",Input!M$2,Date)</f>
        <v>5.4528100000000004</v>
      </c>
      <c r="L492" s="20">
        <f>_xll.ciqfunctions.udf.CIQ(InputTicker, "IQ_CURRENT_RATIO",Input!N$2,Date)</f>
        <v>6.3822799999999997</v>
      </c>
      <c r="M492" s="20">
        <f>_xll.ciqfunctions.udf.CIQ(InputTicker, "IQ_CURRENT_RATIO",Input!O$2,Date)</f>
        <v>8.0173400000000008</v>
      </c>
      <c r="N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  <c r="BG492" s="42"/>
      <c r="BH492" s="42"/>
      <c r="BI492" s="42"/>
      <c r="BJ492" s="42"/>
      <c r="BK492" s="42"/>
      <c r="BL492" s="42"/>
      <c r="BM492" s="42"/>
      <c r="BN492" s="42"/>
    </row>
    <row r="493" spans="1:66" ht="12.75" customHeight="1" x14ac:dyDescent="0.2">
      <c r="A493" s="19" t="s">
        <v>239</v>
      </c>
      <c r="B493" s="20">
        <f>_xll.ciqfunctions.udf.CIQ(InputTicker, "IQ_QUICK_RATIO",Input!D$2,Date)</f>
        <v>3.5511499999999998</v>
      </c>
      <c r="C493" s="20">
        <f>_xll.ciqfunctions.udf.CIQ(InputTicker, "IQ_QUICK_RATIO",Input!E$2,Date)</f>
        <v>5.6179399999999999</v>
      </c>
      <c r="D493" s="20">
        <f>_xll.ciqfunctions.udf.CIQ(InputTicker, "IQ_QUICK_RATIO",Input!F$2,Date)</f>
        <v>4.2243399999999998</v>
      </c>
      <c r="E493" s="20">
        <f>_xll.ciqfunctions.udf.CIQ(InputTicker, "IQ_QUICK_RATIO",Input!G$2,Date)</f>
        <v>3.86558</v>
      </c>
      <c r="F493" s="20">
        <f>_xll.ciqfunctions.udf.CIQ(InputTicker, "IQ_QUICK_RATIO",Input!H$2,Date)</f>
        <v>5.2223199999999999</v>
      </c>
      <c r="G493" s="20">
        <f>_xll.ciqfunctions.udf.CIQ(InputTicker, "IQ_QUICK_RATIO",Input!I$2,Date)</f>
        <v>3.5485899999999999</v>
      </c>
      <c r="H493" s="20">
        <f>_xll.ciqfunctions.udf.CIQ(InputTicker, "IQ_QUICK_RATIO",Input!J$2,Date)</f>
        <v>3.2869999999999999</v>
      </c>
      <c r="I493" s="20">
        <f>_xll.ciqfunctions.udf.CIQ(InputTicker, "IQ_QUICK_RATIO",Input!K$2,Date)</f>
        <v>2.1330399999999998</v>
      </c>
      <c r="J493" s="20">
        <f>_xll.ciqfunctions.udf.CIQ(InputTicker, "IQ_QUICK_RATIO",Input!L$2,Date)</f>
        <v>4.5702499999999997</v>
      </c>
      <c r="K493" s="20">
        <f>_xll.ciqfunctions.udf.CIQ(InputTicker, "IQ_QUICK_RATIO",Input!M$2,Date)</f>
        <v>4.2803500000000003</v>
      </c>
      <c r="L493" s="20">
        <f>_xll.ciqfunctions.udf.CIQ(InputTicker, "IQ_QUICK_RATIO",Input!N$2,Date)</f>
        <v>5.3975900000000001</v>
      </c>
      <c r="M493" s="20">
        <f>_xll.ciqfunctions.udf.CIQ(InputTicker, "IQ_QUICK_RATIO",Input!O$2,Date)</f>
        <v>6.4039200000000003</v>
      </c>
      <c r="N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  <c r="BG493" s="42"/>
      <c r="BH493" s="42"/>
      <c r="BI493" s="42"/>
      <c r="BJ493" s="42"/>
      <c r="BK493" s="42"/>
      <c r="BL493" s="42"/>
      <c r="BM493" s="42"/>
      <c r="BN493" s="42"/>
    </row>
    <row r="494" spans="1:66" ht="12.75" customHeight="1" x14ac:dyDescent="0.2">
      <c r="A494" s="19" t="s">
        <v>250</v>
      </c>
      <c r="B494" s="20">
        <f>_xll.ciqfunctions.udf.CIQ(InputTicker,"IQ_CFO_CURRENT_LIAB",Input!D$2,Date)</f>
        <v>1.9235599999999999</v>
      </c>
      <c r="C494" s="20">
        <f>_xll.ciqfunctions.udf.CIQ(InputTicker,"IQ_CFO_CURRENT_LIAB",Input!E$2,Date)</f>
        <v>4.6546700000000003</v>
      </c>
      <c r="D494" s="20">
        <f>_xll.ciqfunctions.udf.CIQ(InputTicker,"IQ_CFO_CURRENT_LIAB",Input!F$2,Date)</f>
        <v>-0.70994000000000002</v>
      </c>
      <c r="E494" s="20">
        <f>_xll.ciqfunctions.udf.CIQ(InputTicker,"IQ_CFO_CURRENT_LIAB",Input!G$2,Date)</f>
        <v>1.8584799999999999</v>
      </c>
      <c r="F494" s="20">
        <f>_xll.ciqfunctions.udf.CIQ(InputTicker,"IQ_CFO_CURRENT_LIAB",Input!H$2,Date)</f>
        <v>1.53637</v>
      </c>
      <c r="G494" s="20">
        <f>_xll.ciqfunctions.udf.CIQ(InputTicker,"IQ_CFO_CURRENT_LIAB",Input!I$2,Date)</f>
        <v>0.78993999999999998</v>
      </c>
      <c r="H494" s="20">
        <f>_xll.ciqfunctions.udf.CIQ(InputTicker,"IQ_CFO_CURRENT_LIAB",Input!J$2,Date)</f>
        <v>0.29009000000000001</v>
      </c>
      <c r="I494" s="20">
        <f>_xll.ciqfunctions.udf.CIQ(InputTicker,"IQ_CFO_CURRENT_LIAB",Input!K$2,Date)</f>
        <v>0.68342000000000003</v>
      </c>
      <c r="J494" s="20">
        <f>_xll.ciqfunctions.udf.CIQ(InputTicker,"IQ_CFO_CURRENT_LIAB",Input!L$2,Date)</f>
        <v>4.7228399999999997</v>
      </c>
      <c r="K494" s="20">
        <f>_xll.ciqfunctions.udf.CIQ(InputTicker,"IQ_CFO_CURRENT_LIAB",Input!M$2,Date)</f>
        <v>1.9820500000000001</v>
      </c>
      <c r="L494" s="20">
        <f>_xll.ciqfunctions.udf.CIQ(InputTicker,"IQ_CFO_CURRENT_LIAB",Input!N$2,Date)</f>
        <v>3.9716300000000002</v>
      </c>
      <c r="M494" s="20">
        <f>_xll.ciqfunctions.udf.CIQ(InputTicker,"IQ_CFO_CURRENT_LIAB",Input!O$2,Date)</f>
        <v>6.2055100000000003</v>
      </c>
      <c r="N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  <c r="BG494" s="42"/>
      <c r="BH494" s="42"/>
      <c r="BI494" s="42"/>
      <c r="BJ494" s="42"/>
      <c r="BK494" s="42"/>
      <c r="BL494" s="42"/>
      <c r="BM494" s="42"/>
      <c r="BN494" s="42"/>
    </row>
    <row r="495" spans="1:66" ht="12.75" customHeight="1" x14ac:dyDescent="0.2">
      <c r="A495" s="19" t="s">
        <v>247</v>
      </c>
      <c r="B495" s="4">
        <f>_xll.ciqfunctions.udf.CIQ(InputTicker, "IQ_DAYS_SALES_OUT",Input!D$2,Date)</f>
        <v>21.014810000000001</v>
      </c>
      <c r="C495" s="4">
        <f>_xll.ciqfunctions.udf.CIQ(InputTicker, "IQ_DAYS_SALES_OUT",Input!E$2,Date)</f>
        <v>15.35425</v>
      </c>
      <c r="D495" s="4">
        <f>_xll.ciqfunctions.udf.CIQ(InputTicker, "IQ_DAYS_SALES_OUT",Input!F$2,Date)</f>
        <v>21.281300000000002</v>
      </c>
      <c r="E495" s="4">
        <f>_xll.ciqfunctions.udf.CIQ(InputTicker, "IQ_DAYS_SALES_OUT",Input!G$2,Date)</f>
        <v>17.19463</v>
      </c>
      <c r="F495" s="4">
        <f>_xll.ciqfunctions.udf.CIQ(InputTicker, "IQ_DAYS_SALES_OUT",Input!H$2,Date)</f>
        <v>18.42313</v>
      </c>
      <c r="G495" s="4">
        <f>_xll.ciqfunctions.udf.CIQ(InputTicker, "IQ_DAYS_SALES_OUT",Input!I$2,Date)</f>
        <v>19.12529</v>
      </c>
      <c r="H495" s="4">
        <f>_xll.ciqfunctions.udf.CIQ(InputTicker, "IQ_DAYS_SALES_OUT",Input!J$2,Date)</f>
        <v>22.13156</v>
      </c>
      <c r="I495" s="4">
        <f>_xll.ciqfunctions.udf.CIQ(InputTicker, "IQ_DAYS_SALES_OUT",Input!K$2,Date)</f>
        <v>25.415569999999999</v>
      </c>
      <c r="J495" s="4">
        <f>_xll.ciqfunctions.udf.CIQ(InputTicker, "IQ_DAYS_SALES_OUT",Input!L$2,Date)</f>
        <v>16.513950000000001</v>
      </c>
      <c r="K495" s="4">
        <f>_xll.ciqfunctions.udf.CIQ(InputTicker, "IQ_DAYS_SALES_OUT",Input!M$2,Date)</f>
        <v>19.520959999999999</v>
      </c>
      <c r="L495" s="4">
        <f>_xll.ciqfunctions.udf.CIQ(InputTicker, "IQ_DAYS_SALES_OUT",Input!N$2,Date)</f>
        <v>16.339600000000001</v>
      </c>
      <c r="M495" s="4">
        <f>_xll.ciqfunctions.udf.CIQ(InputTicker, "IQ_DAYS_SALES_OUT",Input!O$2,Date)</f>
        <v>23.44051</v>
      </c>
      <c r="N495" s="57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  <c r="BG495" s="42"/>
      <c r="BH495" s="42"/>
      <c r="BI495" s="42"/>
      <c r="BJ495" s="42"/>
      <c r="BK495" s="42"/>
      <c r="BL495" s="42"/>
      <c r="BM495" s="42"/>
      <c r="BN495" s="42"/>
    </row>
    <row r="496" spans="1:66" ht="12.75" customHeight="1" x14ac:dyDescent="0.2">
      <c r="A496" s="19" t="s">
        <v>248</v>
      </c>
      <c r="B496" s="4">
        <f>_xll.ciqfunctions.udf.CIQ(InputTicker, "IQ_DAYS_INVENTORY_OUT",Input!D$2,Date)</f>
        <v>45.07958</v>
      </c>
      <c r="C496" s="4">
        <f>_xll.ciqfunctions.udf.CIQ(InputTicker, "IQ_DAYS_INVENTORY_OUT",Input!E$2,Date)</f>
        <v>43.466329999999999</v>
      </c>
      <c r="D496" s="4">
        <f>_xll.ciqfunctions.udf.CIQ(InputTicker, "IQ_DAYS_INVENTORY_OUT",Input!F$2,Date)</f>
        <v>56.876159999999999</v>
      </c>
      <c r="E496" s="4">
        <f>_xll.ciqfunctions.udf.CIQ(InputTicker, "IQ_DAYS_INVENTORY_OUT",Input!G$2,Date)</f>
        <v>52.491349999999997</v>
      </c>
      <c r="F496" s="4">
        <f>_xll.ciqfunctions.udf.CIQ(InputTicker, "IQ_DAYS_INVENTORY_OUT",Input!H$2,Date)</f>
        <v>54.500990000000002</v>
      </c>
      <c r="G496" s="4">
        <f>_xll.ciqfunctions.udf.CIQ(InputTicker, "IQ_DAYS_INVENTORY_OUT",Input!I$2,Date)</f>
        <v>55.818309999999997</v>
      </c>
      <c r="H496" s="4">
        <f>_xll.ciqfunctions.udf.CIQ(InputTicker, "IQ_DAYS_INVENTORY_OUT",Input!J$2,Date)</f>
        <v>62.118780000000001</v>
      </c>
      <c r="I496" s="4">
        <f>_xll.ciqfunctions.udf.CIQ(InputTicker, "IQ_DAYS_INVENTORY_OUT",Input!K$2,Date)</f>
        <v>60.876089999999998</v>
      </c>
      <c r="J496" s="4">
        <f>_xll.ciqfunctions.udf.CIQ(InputTicker, "IQ_DAYS_INVENTORY_OUT",Input!L$2,Date)</f>
        <v>52.11103</v>
      </c>
      <c r="K496" s="4">
        <f>_xll.ciqfunctions.udf.CIQ(InputTicker, "IQ_DAYS_INVENTORY_OUT",Input!M$2,Date)</f>
        <v>55.69491</v>
      </c>
      <c r="L496" s="4">
        <f>_xll.ciqfunctions.udf.CIQ(InputTicker, "IQ_DAYS_INVENTORY_OUT",Input!N$2,Date)</f>
        <v>42.080219999999997</v>
      </c>
      <c r="M496" s="4">
        <f>_xll.ciqfunctions.udf.CIQ(InputTicker, "IQ_DAYS_INVENTORY_OUT",Input!O$2,Date)</f>
        <v>47.595179999999999</v>
      </c>
      <c r="N496" s="57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2"/>
      <c r="BI496" s="42"/>
      <c r="BJ496" s="42"/>
      <c r="BK496" s="42"/>
      <c r="BL496" s="42"/>
      <c r="BM496" s="42"/>
      <c r="BN496" s="42"/>
    </row>
    <row r="497" spans="1:66" ht="12.75" customHeight="1" x14ac:dyDescent="0.2">
      <c r="A497" s="19" t="s">
        <v>249</v>
      </c>
      <c r="B497" s="4">
        <f>_xll.ciqfunctions.udf.CIQ(InputTicker,  "IQ_DAYS_PAYABLE_OUT",Input!D$2,Date)</f>
        <v>12.90089</v>
      </c>
      <c r="C497" s="4">
        <f>_xll.ciqfunctions.udf.CIQ(InputTicker,  "IQ_DAYS_PAYABLE_OUT",Input!E$2,Date)</f>
        <v>11.611599999999999</v>
      </c>
      <c r="D497" s="4">
        <f>_xll.ciqfunctions.udf.CIQ(InputTicker,  "IQ_DAYS_PAYABLE_OUT",Input!F$2,Date)</f>
        <v>11.989979999999999</v>
      </c>
      <c r="E497" s="4">
        <f>_xll.ciqfunctions.udf.CIQ(InputTicker,  "IQ_DAYS_PAYABLE_OUT",Input!G$2,Date)</f>
        <v>10.83737</v>
      </c>
      <c r="F497" s="4">
        <f>_xll.ciqfunctions.udf.CIQ(InputTicker,  "IQ_DAYS_PAYABLE_OUT",Input!H$2,Date)</f>
        <v>12.2799</v>
      </c>
      <c r="G497" s="4">
        <f>_xll.ciqfunctions.udf.CIQ(InputTicker,  "IQ_DAYS_PAYABLE_OUT",Input!I$2,Date)</f>
        <v>14.583299999999999</v>
      </c>
      <c r="H497" s="4">
        <f>_xll.ciqfunctions.udf.CIQ(InputTicker,  "IQ_DAYS_PAYABLE_OUT",Input!J$2,Date)</f>
        <v>16.220929999999999</v>
      </c>
      <c r="I497" s="4">
        <f>_xll.ciqfunctions.udf.CIQ(InputTicker,  "IQ_DAYS_PAYABLE_OUT",Input!K$2,Date)</f>
        <v>16.524509999999999</v>
      </c>
      <c r="J497" s="4">
        <f>_xll.ciqfunctions.udf.CIQ(InputTicker,  "IQ_DAYS_PAYABLE_OUT",Input!L$2,Date)</f>
        <v>15.49593</v>
      </c>
      <c r="K497" s="4">
        <f>_xll.ciqfunctions.udf.CIQ(InputTicker,  "IQ_DAYS_PAYABLE_OUT",Input!M$2,Date)</f>
        <v>16.364350000000002</v>
      </c>
      <c r="L497" s="4">
        <f>_xll.ciqfunctions.udf.CIQ(InputTicker,  "IQ_DAYS_PAYABLE_OUT",Input!N$2,Date)</f>
        <v>13.168060000000001</v>
      </c>
      <c r="M497" s="4">
        <f>_xll.ciqfunctions.udf.CIQ(InputTicker,  "IQ_DAYS_PAYABLE_OUT",Input!O$2,Date)</f>
        <v>17.57647</v>
      </c>
      <c r="N497" s="57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  <c r="BG497" s="42"/>
      <c r="BH497" s="42"/>
      <c r="BI497" s="42"/>
      <c r="BJ497" s="42"/>
      <c r="BK497" s="42"/>
      <c r="BL497" s="42"/>
      <c r="BM497" s="42"/>
      <c r="BN497" s="42"/>
    </row>
    <row r="498" spans="1:66" ht="12.75" customHeight="1" x14ac:dyDescent="0.2">
      <c r="A498" s="19" t="s">
        <v>240</v>
      </c>
      <c r="B498" s="4">
        <f>_xll.ciqfunctions.udf.CIQ(InputTicker, "IQ_CASH_CONVERSION",Input!D$2,Date)</f>
        <v>53.1935</v>
      </c>
      <c r="C498" s="4">
        <f>_xll.ciqfunctions.udf.CIQ(InputTicker, "IQ_CASH_CONVERSION",Input!E$2,Date)</f>
        <v>47.208979999999997</v>
      </c>
      <c r="D498" s="4">
        <f>_xll.ciqfunctions.udf.CIQ(InputTicker, "IQ_CASH_CONVERSION",Input!F$2,Date)</f>
        <v>66.167479999999998</v>
      </c>
      <c r="E498" s="4">
        <f>_xll.ciqfunctions.udf.CIQ(InputTicker, "IQ_CASH_CONVERSION",Input!G$2,Date)</f>
        <v>58.848610000000001</v>
      </c>
      <c r="F498" s="4">
        <f>_xll.ciqfunctions.udf.CIQ(InputTicker, "IQ_CASH_CONVERSION",Input!H$2,Date)</f>
        <v>60.644219999999997</v>
      </c>
      <c r="G498" s="4">
        <f>_xll.ciqfunctions.udf.CIQ(InputTicker, "IQ_CASH_CONVERSION",Input!I$2,Date)</f>
        <v>60.360300000000002</v>
      </c>
      <c r="H498" s="4">
        <f>_xll.ciqfunctions.udf.CIQ(InputTicker, "IQ_CASH_CONVERSION",Input!J$2,Date)</f>
        <v>68.029420000000002</v>
      </c>
      <c r="I498" s="4">
        <f>_xll.ciqfunctions.udf.CIQ(InputTicker, "IQ_CASH_CONVERSION",Input!K$2,Date)</f>
        <v>69.767150000000001</v>
      </c>
      <c r="J498" s="4">
        <f>_xll.ciqfunctions.udf.CIQ(InputTicker, "IQ_CASH_CONVERSION",Input!L$2,Date)</f>
        <v>53.129060000000003</v>
      </c>
      <c r="K498" s="4">
        <f>_xll.ciqfunctions.udf.CIQ(InputTicker, "IQ_CASH_CONVERSION",Input!M$2,Date)</f>
        <v>58.851520000000001</v>
      </c>
      <c r="L498" s="4">
        <f>_xll.ciqfunctions.udf.CIQ(InputTicker, "IQ_CASH_CONVERSION",Input!N$2,Date)</f>
        <v>45.251750000000001</v>
      </c>
      <c r="M498" s="4">
        <f>_xll.ciqfunctions.udf.CIQ(InputTicker, "IQ_CASH_CONVERSION",Input!O$2,Date)</f>
        <v>53.459220000000002</v>
      </c>
      <c r="N498" s="57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  <c r="BG498" s="42"/>
      <c r="BH498" s="42"/>
      <c r="BI498" s="42"/>
      <c r="BJ498" s="42"/>
      <c r="BK498" s="42"/>
      <c r="BL498" s="42"/>
      <c r="BM498" s="42"/>
      <c r="BN498" s="42"/>
    </row>
    <row r="499" spans="1:66" ht="12.75" customHeight="1" x14ac:dyDescent="0.2">
      <c r="A499" s="19" t="s">
        <v>251</v>
      </c>
      <c r="B499" s="4">
        <f>_xll.ciqfunctions.udf.CIQ(InputTicker, "IQ_TOTAL_DEBT_EQUITY",Input!D$2,Date)</f>
        <v>7.2186000000000003</v>
      </c>
      <c r="C499" s="4">
        <f>_xll.ciqfunctions.udf.CIQ(InputTicker, "IQ_TOTAL_DEBT_EQUITY",Input!E$2,Date)</f>
        <v>2.7873000000000001</v>
      </c>
      <c r="D499" s="4">
        <f>_xll.ciqfunctions.udf.CIQ(InputTicker, "IQ_TOTAL_DEBT_EQUITY",Input!F$2,Date)</f>
        <v>1.2952999999999999</v>
      </c>
      <c r="E499" s="4">
        <f>_xll.ciqfunctions.udf.CIQ(InputTicker, "IQ_TOTAL_DEBT_EQUITY",Input!G$2,Date)</f>
        <v>0.63719999999999999</v>
      </c>
      <c r="F499" s="4">
        <f>_xll.ciqfunctions.udf.CIQ(InputTicker, "IQ_TOTAL_DEBT_EQUITY",Input!H$2,Date)</f>
        <v>0.25800000000000001</v>
      </c>
      <c r="G499" s="4">
        <f>_xll.ciqfunctions.udf.CIQ(InputTicker, "IQ_TOTAL_DEBT_EQUITY",Input!I$2,Date)</f>
        <v>0.33550000000000002</v>
      </c>
      <c r="H499" s="4">
        <f>_xll.ciqfunctions.udf.CIQ(InputTicker, "IQ_TOTAL_DEBT_EQUITY",Input!J$2,Date)</f>
        <v>0.23469999999999999</v>
      </c>
      <c r="I499" s="4">
        <f>_xll.ciqfunctions.udf.CIQ(InputTicker, "IQ_TOTAL_DEBT_EQUITY",Input!K$2,Date)</f>
        <v>0</v>
      </c>
      <c r="J499" s="4">
        <f>_xll.ciqfunctions.udf.CIQ(InputTicker, "IQ_TOTAL_DEBT_EQUITY",Input!L$2,Date)</f>
        <v>0</v>
      </c>
      <c r="K499" s="4">
        <f>_xll.ciqfunctions.udf.CIQ(InputTicker, "IQ_TOTAL_DEBT_EQUITY",Input!M$2,Date)</f>
        <v>0</v>
      </c>
      <c r="L499" s="4">
        <f>_xll.ciqfunctions.udf.CIQ(InputTicker, "IQ_TOTAL_DEBT_EQUITY",Input!N$2,Date)</f>
        <v>0</v>
      </c>
      <c r="M499" s="4">
        <f>_xll.ciqfunctions.udf.CIQ(InputTicker, "IQ_TOTAL_DEBT_EQUITY",Input!O$2,Date)</f>
        <v>0</v>
      </c>
      <c r="N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  <c r="BM499" s="42"/>
      <c r="BN499" s="42"/>
    </row>
    <row r="500" spans="1:66" ht="12.75" customHeight="1" x14ac:dyDescent="0.2">
      <c r="A500" s="19" t="s">
        <v>252</v>
      </c>
      <c r="B500" s="4">
        <f>_xll.ciqfunctions.udf.CIQ(InputTicker, "IQ_TOTAL_DEBT_CAPITAL",Input!D$2,Date)</f>
        <v>6.7325999999999997</v>
      </c>
      <c r="C500" s="4">
        <f>_xll.ciqfunctions.udf.CIQ(InputTicker, "IQ_TOTAL_DEBT_CAPITAL",Input!E$2,Date)</f>
        <v>2.7117</v>
      </c>
      <c r="D500" s="4">
        <f>_xll.ciqfunctions.udf.CIQ(InputTicker, "IQ_TOTAL_DEBT_CAPITAL",Input!F$2,Date)</f>
        <v>1.2786999999999999</v>
      </c>
      <c r="E500" s="4">
        <f>_xll.ciqfunctions.udf.CIQ(InputTicker, "IQ_TOTAL_DEBT_CAPITAL",Input!G$2,Date)</f>
        <v>0.63319999999999999</v>
      </c>
      <c r="F500" s="4">
        <f>_xll.ciqfunctions.udf.CIQ(InputTicker, "IQ_TOTAL_DEBT_CAPITAL",Input!H$2,Date)</f>
        <v>0.25729999999999997</v>
      </c>
      <c r="G500" s="4">
        <f>_xll.ciqfunctions.udf.CIQ(InputTicker, "IQ_TOTAL_DEBT_CAPITAL",Input!I$2,Date)</f>
        <v>0.33439999999999998</v>
      </c>
      <c r="H500" s="4">
        <f>_xll.ciqfunctions.udf.CIQ(InputTicker, "IQ_TOTAL_DEBT_CAPITAL",Input!J$2,Date)</f>
        <v>0.23419999999999999</v>
      </c>
      <c r="I500" s="4">
        <f>_xll.ciqfunctions.udf.CIQ(InputTicker, "IQ_TOTAL_DEBT_CAPITAL",Input!K$2,Date)</f>
        <v>0</v>
      </c>
      <c r="J500" s="4">
        <f>_xll.ciqfunctions.udf.CIQ(InputTicker, "IQ_TOTAL_DEBT_CAPITAL",Input!L$2,Date)</f>
        <v>0</v>
      </c>
      <c r="K500" s="4">
        <f>_xll.ciqfunctions.udf.CIQ(InputTicker, "IQ_TOTAL_DEBT_CAPITAL",Input!M$2,Date)</f>
        <v>0</v>
      </c>
      <c r="L500" s="4">
        <f>_xll.ciqfunctions.udf.CIQ(InputTicker, "IQ_TOTAL_DEBT_CAPITAL",Input!N$2,Date)</f>
        <v>0</v>
      </c>
      <c r="M500" s="4">
        <f>_xll.ciqfunctions.udf.CIQ(InputTicker, "IQ_TOTAL_DEBT_CAPITAL",Input!O$2,Date)</f>
        <v>0</v>
      </c>
      <c r="N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  <c r="BM500" s="42"/>
      <c r="BN500" s="42"/>
    </row>
    <row r="501" spans="1:66" ht="12.75" customHeight="1" x14ac:dyDescent="0.2">
      <c r="A501" s="19" t="s">
        <v>253</v>
      </c>
      <c r="B501" s="4">
        <f>_xll.ciqfunctions.udf.CIQ(InputTicker,  "IQ_LT_DEBT_EQUITY",Input!D$2,Date)</f>
        <v>5.7900999999999998</v>
      </c>
      <c r="C501" s="4">
        <f>_xll.ciqfunctions.udf.CIQ(InputTicker,  "IQ_LT_DEBT_EQUITY",Input!E$2,Date)</f>
        <v>1.0083</v>
      </c>
      <c r="D501" s="4">
        <f>_xll.ciqfunctions.udf.CIQ(InputTicker,  "IQ_LT_DEBT_EQUITY",Input!F$2,Date)</f>
        <v>0.7238</v>
      </c>
      <c r="E501" s="4">
        <f>_xll.ciqfunctions.udf.CIQ(InputTicker,  "IQ_LT_DEBT_EQUITY",Input!G$2,Date)</f>
        <v>0.26719999999999999</v>
      </c>
      <c r="F501" s="4">
        <f>_xll.ciqfunctions.udf.CIQ(InputTicker,  "IQ_LT_DEBT_EQUITY",Input!H$2,Date)</f>
        <v>8.6599999999999996E-2</v>
      </c>
      <c r="G501" s="4">
        <f>_xll.ciqfunctions.udf.CIQ(InputTicker,  "IQ_LT_DEBT_EQUITY",Input!I$2,Date)</f>
        <v>0.2364</v>
      </c>
      <c r="H501" s="4">
        <f>_xll.ciqfunctions.udf.CIQ(InputTicker,  "IQ_LT_DEBT_EQUITY",Input!J$2,Date)</f>
        <v>0.14530000000000001</v>
      </c>
      <c r="I501" s="4">
        <f>_xll.ciqfunctions.udf.CIQ(InputTicker,  "IQ_LT_DEBT_EQUITY",Input!K$2,Date)</f>
        <v>0</v>
      </c>
      <c r="J501" s="4">
        <f>_xll.ciqfunctions.udf.CIQ(InputTicker,  "IQ_LT_DEBT_EQUITY",Input!L$2,Date)</f>
        <v>0</v>
      </c>
      <c r="K501" s="4">
        <f>_xll.ciqfunctions.udf.CIQ(InputTicker,  "IQ_LT_DEBT_EQUITY",Input!M$2,Date)</f>
        <v>0</v>
      </c>
      <c r="L501" s="4">
        <f>_xll.ciqfunctions.udf.CIQ(InputTicker,  "IQ_LT_DEBT_EQUITY",Input!N$2,Date)</f>
        <v>0</v>
      </c>
      <c r="M501" s="4">
        <f>_xll.ciqfunctions.udf.CIQ(InputTicker,  "IQ_LT_DEBT_EQUITY",Input!O$2,Date)</f>
        <v>0</v>
      </c>
      <c r="N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  <c r="BG501" s="42"/>
      <c r="BH501" s="42"/>
      <c r="BI501" s="42"/>
      <c r="BJ501" s="42"/>
      <c r="BK501" s="42"/>
      <c r="BL501" s="42"/>
      <c r="BM501" s="42"/>
      <c r="BN501" s="42"/>
    </row>
    <row r="502" spans="1:66" ht="12.75" customHeight="1" x14ac:dyDescent="0.2">
      <c r="A502" s="19" t="s">
        <v>254</v>
      </c>
      <c r="B502" s="4">
        <f>_xll.ciqfunctions.udf.CIQ(InputTicker, "IQ_LT_DEBT_CAPITAL",Input!D$2,Date)</f>
        <v>5.4001999999999999</v>
      </c>
      <c r="C502" s="4">
        <f>_xll.ciqfunctions.udf.CIQ(InputTicker, "IQ_LT_DEBT_CAPITAL",Input!E$2,Date)</f>
        <v>0.98089999999999999</v>
      </c>
      <c r="D502" s="4">
        <f>_xll.ciqfunctions.udf.CIQ(InputTicker, "IQ_LT_DEBT_CAPITAL",Input!F$2,Date)</f>
        <v>0.71460000000000001</v>
      </c>
      <c r="E502" s="4">
        <f>_xll.ciqfunctions.udf.CIQ(InputTicker, "IQ_LT_DEBT_CAPITAL",Input!G$2,Date)</f>
        <v>0.26550000000000001</v>
      </c>
      <c r="F502" s="4">
        <f>_xll.ciqfunctions.udf.CIQ(InputTicker, "IQ_LT_DEBT_CAPITAL",Input!H$2,Date)</f>
        <v>8.6400000000000005E-2</v>
      </c>
      <c r="G502" s="4">
        <f>_xll.ciqfunctions.udf.CIQ(InputTicker, "IQ_LT_DEBT_CAPITAL",Input!I$2,Date)</f>
        <v>0.2356</v>
      </c>
      <c r="H502" s="4">
        <f>_xll.ciqfunctions.udf.CIQ(InputTicker, "IQ_LT_DEBT_CAPITAL",Input!J$2,Date)</f>
        <v>0.14499999999999999</v>
      </c>
      <c r="I502" s="4">
        <f>_xll.ciqfunctions.udf.CIQ(InputTicker, "IQ_LT_DEBT_CAPITAL",Input!K$2,Date)</f>
        <v>0</v>
      </c>
      <c r="J502" s="4">
        <f>_xll.ciqfunctions.udf.CIQ(InputTicker, "IQ_LT_DEBT_CAPITAL",Input!L$2,Date)</f>
        <v>0</v>
      </c>
      <c r="K502" s="4">
        <f>_xll.ciqfunctions.udf.CIQ(InputTicker, "IQ_LT_DEBT_CAPITAL",Input!M$2,Date)</f>
        <v>0</v>
      </c>
      <c r="L502" s="4">
        <f>_xll.ciqfunctions.udf.CIQ(InputTicker, "IQ_LT_DEBT_CAPITAL",Input!N$2,Date)</f>
        <v>0</v>
      </c>
      <c r="M502" s="4">
        <f>_xll.ciqfunctions.udf.CIQ(InputTicker, "IQ_LT_DEBT_CAPITAL",Input!O$2,Date)</f>
        <v>0</v>
      </c>
      <c r="N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  <c r="BM502" s="42"/>
      <c r="BN502" s="42"/>
    </row>
    <row r="503" spans="1:66" ht="12.75" customHeight="1" x14ac:dyDescent="0.2">
      <c r="A503" s="19" t="s">
        <v>255</v>
      </c>
      <c r="B503" s="4">
        <f>_xll.ciqfunctions.udf.CIQ(InputTicker, "IQ_TOTAL_LIAB_TOTAL_ASSETS",Input!D$2,Date)</f>
        <v>24.130700000000001</v>
      </c>
      <c r="C503" s="4">
        <f>_xll.ciqfunctions.udf.CIQ(InputTicker, "IQ_TOTAL_LIAB_TOTAL_ASSETS",Input!E$2,Date)</f>
        <v>17.486000000000001</v>
      </c>
      <c r="D503" s="4">
        <f>_xll.ciqfunctions.udf.CIQ(InputTicker, "IQ_TOTAL_LIAB_TOTAL_ASSETS",Input!F$2,Date)</f>
        <v>18.2559</v>
      </c>
      <c r="E503" s="4">
        <f>_xll.ciqfunctions.udf.CIQ(InputTicker, "IQ_TOTAL_LIAB_TOTAL_ASSETS",Input!G$2,Date)</f>
        <v>16.929500000000001</v>
      </c>
      <c r="F503" s="4">
        <f>_xll.ciqfunctions.udf.CIQ(InputTicker, "IQ_TOTAL_LIAB_TOTAL_ASSETS",Input!H$2,Date)</f>
        <v>14.3972</v>
      </c>
      <c r="G503" s="4">
        <f>_xll.ciqfunctions.udf.CIQ(InputTicker, "IQ_TOTAL_LIAB_TOTAL_ASSETS",Input!I$2,Date)</f>
        <v>16.327100000000002</v>
      </c>
      <c r="H503" s="4">
        <f>_xll.ciqfunctions.udf.CIQ(InputTicker, "IQ_TOTAL_LIAB_TOTAL_ASSETS",Input!J$2,Date)</f>
        <v>17.604700000000001</v>
      </c>
      <c r="I503" s="4">
        <f>_xll.ciqfunctions.udf.CIQ(InputTicker, "IQ_TOTAL_LIAB_TOTAL_ASSETS",Input!K$2,Date)</f>
        <v>22.6372</v>
      </c>
      <c r="J503" s="4">
        <f>_xll.ciqfunctions.udf.CIQ(InputTicker, "IQ_TOTAL_LIAB_TOTAL_ASSETS",Input!L$2,Date)</f>
        <v>17.648299999999999</v>
      </c>
      <c r="K503" s="4">
        <f>_xll.ciqfunctions.udf.CIQ(InputTicker, "IQ_TOTAL_LIAB_TOTAL_ASSETS",Input!M$2,Date)</f>
        <v>17.746400000000001</v>
      </c>
      <c r="L503" s="4">
        <f>_xll.ciqfunctions.udf.CIQ(InputTicker, "IQ_TOTAL_LIAB_TOTAL_ASSETS",Input!N$2,Date)</f>
        <v>16.8125</v>
      </c>
      <c r="M503" s="4">
        <f>_xll.ciqfunctions.udf.CIQ(InputTicker, "IQ_TOTAL_LIAB_TOTAL_ASSETS",Input!O$2,Date)</f>
        <v>14.194900000000001</v>
      </c>
      <c r="N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  <c r="BG503" s="42"/>
      <c r="BH503" s="42"/>
      <c r="BI503" s="42"/>
      <c r="BJ503" s="42"/>
      <c r="BK503" s="42"/>
      <c r="BL503" s="42"/>
      <c r="BM503" s="42"/>
      <c r="BN503" s="42"/>
    </row>
    <row r="504" spans="1:66" ht="12.75" customHeight="1" x14ac:dyDescent="0.2">
      <c r="A504" s="19" t="s">
        <v>241</v>
      </c>
      <c r="B504" s="20">
        <f>_xll.ciqfunctions.udf.CIQ(InputTicker, "IQ_EBIT_INT",Input!D$2,Date)</f>
        <v>101.74449</v>
      </c>
      <c r="C504" s="20">
        <f>_xll.ciqfunctions.udf.CIQ(InputTicker, "IQ_EBIT_INT",Input!E$2,Date)</f>
        <v>406.84602000000001</v>
      </c>
      <c r="D504" s="20" t="str">
        <f>_xll.ciqfunctions.udf.CIQ(InputTicker, "IQ_EBIT_INT",Input!F$2,Date)</f>
        <v>NM</v>
      </c>
      <c r="E504" s="20">
        <f>_xll.ciqfunctions.udf.CIQ(InputTicker, "IQ_EBIT_INT",Input!G$2,Date)</f>
        <v>685.77358000000004</v>
      </c>
      <c r="F504" s="20">
        <f>_xll.ciqfunctions.udf.CIQ(InputTicker, "IQ_EBIT_INT",Input!H$2,Date)</f>
        <v>71.139750000000006</v>
      </c>
      <c r="G504" s="20">
        <f>_xll.ciqfunctions.udf.CIQ(InputTicker, "IQ_EBIT_INT",Input!I$2,Date)</f>
        <v>2.71285</v>
      </c>
      <c r="H504" s="20" t="str">
        <f>_xll.ciqfunctions.udf.CIQ(InputTicker, "IQ_EBIT_INT",Input!J$2,Date)</f>
        <v>NM</v>
      </c>
      <c r="I504" s="20">
        <f>_xll.ciqfunctions.udf.CIQ(InputTicker, "IQ_EBIT_INT",Input!K$2,Date)</f>
        <v>343.49380000000002</v>
      </c>
      <c r="J504" s="20">
        <f>_xll.ciqfunctions.udf.CIQ(InputTicker, "IQ_EBIT_INT",Input!L$2,Date)</f>
        <v>1653.9451100000001</v>
      </c>
      <c r="K504" s="20">
        <f>_xll.ciqfunctions.udf.CIQ(InputTicker, "IQ_EBIT_INT",Input!M$2,Date)</f>
        <v>572.12022000000002</v>
      </c>
      <c r="L504" s="20">
        <f>_xll.ciqfunctions.udf.CIQ(InputTicker, "IQ_EBIT_INT",Input!N$2,Date)</f>
        <v>2535.0261399999999</v>
      </c>
      <c r="M504" s="20">
        <f>_xll.ciqfunctions.udf.CIQ(InputTicker, "IQ_EBIT_INT",Input!O$2,Date)</f>
        <v>2229.9142400000001</v>
      </c>
      <c r="N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  <c r="BG504" s="42"/>
      <c r="BH504" s="42"/>
      <c r="BI504" s="42"/>
      <c r="BJ504" s="42"/>
      <c r="BK504" s="42"/>
      <c r="BL504" s="42"/>
      <c r="BM504" s="42"/>
      <c r="BN504" s="42"/>
    </row>
    <row r="505" spans="1:66" ht="12.75" customHeight="1" x14ac:dyDescent="0.2">
      <c r="A505" s="19" t="s">
        <v>245</v>
      </c>
      <c r="B505" s="20">
        <f>_xll.ciqfunctions.udf.CIQ(InputTicker,  "IQ_EBITDA_INT",Input!D$2,Date)</f>
        <v>119.34414</v>
      </c>
      <c r="C505" s="20">
        <f>_xll.ciqfunctions.udf.CIQ(InputTicker,  "IQ_EBITDA_INT",Input!E$2,Date)</f>
        <v>445.42041999999998</v>
      </c>
      <c r="D505" s="20" t="str">
        <f>_xll.ciqfunctions.udf.CIQ(InputTicker,  "IQ_EBITDA_INT",Input!F$2,Date)</f>
        <v>NM</v>
      </c>
      <c r="E505" s="20">
        <f>_xll.ciqfunctions.udf.CIQ(InputTicker,  "IQ_EBITDA_INT",Input!G$2,Date)</f>
        <v>889.64527999999996</v>
      </c>
      <c r="F505" s="20">
        <f>_xll.ciqfunctions.udf.CIQ(InputTicker,  "IQ_EBITDA_INT",Input!H$2,Date)</f>
        <v>156</v>
      </c>
      <c r="G505" s="20">
        <f>_xll.ciqfunctions.udf.CIQ(InputTicker,  "IQ_EBITDA_INT",Input!I$2,Date)</f>
        <v>128.82328999999999</v>
      </c>
      <c r="H505" s="20">
        <f>_xll.ciqfunctions.udf.CIQ(InputTicker,  "IQ_EBITDA_INT",Input!J$2,Date)</f>
        <v>191.31924000000001</v>
      </c>
      <c r="I505" s="20">
        <f>_xll.ciqfunctions.udf.CIQ(InputTicker,  "IQ_EBITDA_INT",Input!K$2,Date)</f>
        <v>513.20844</v>
      </c>
      <c r="J505" s="20">
        <f>_xll.ciqfunctions.udf.CIQ(InputTicker,  "IQ_EBITDA_INT",Input!L$2,Date)</f>
        <v>1777.84563</v>
      </c>
      <c r="K505" s="20">
        <f>_xll.ciqfunctions.udf.CIQ(InputTicker,  "IQ_EBITDA_INT",Input!M$2,Date)</f>
        <v>718.27868999999998</v>
      </c>
      <c r="L505" s="20">
        <f>_xll.ciqfunctions.udf.CIQ(InputTicker,  "IQ_EBITDA_INT",Input!N$2,Date)</f>
        <v>2688.6552299999998</v>
      </c>
      <c r="M505" s="20">
        <f>_xll.ciqfunctions.udf.CIQ(InputTicker,  "IQ_EBITDA_INT",Input!O$2,Date)</f>
        <v>2395.2618699999998</v>
      </c>
      <c r="N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  <c r="BG505" s="42"/>
      <c r="BH505" s="42"/>
      <c r="BI505" s="42"/>
      <c r="BJ505" s="42"/>
      <c r="BK505" s="42"/>
      <c r="BL505" s="42"/>
      <c r="BM505" s="42"/>
      <c r="BN505" s="42"/>
    </row>
    <row r="506" spans="1:66" ht="12.75" customHeight="1" x14ac:dyDescent="0.2">
      <c r="A506" s="43" t="s">
        <v>495</v>
      </c>
      <c r="B506" s="20">
        <f>_xll.ciqfunctions.udf.CIQ(InputTicker,  "IQ_EBITDA_EXCL_OPER_LEASES_INT",Input!D$2,Date)</f>
        <v>119.34414</v>
      </c>
      <c r="C506" s="20">
        <f>_xll.ciqfunctions.udf.CIQ(InputTicker,  "IQ_EBITDA_EXCL_OPER_LEASES_INT",Input!E$2,Date)</f>
        <v>445.42041999999998</v>
      </c>
      <c r="D506" s="20" t="str">
        <f>_xll.ciqfunctions.udf.CIQ(InputTicker,  "IQ_EBITDA_EXCL_OPER_LEASES_INT",Input!F$2,Date)</f>
        <v>NM</v>
      </c>
      <c r="E506" s="20">
        <f>_xll.ciqfunctions.udf.CIQ(InputTicker,  "IQ_EBITDA_EXCL_OPER_LEASES_INT",Input!G$2,Date)</f>
        <v>889.64527999999996</v>
      </c>
      <c r="F506" s="20">
        <f>_xll.ciqfunctions.udf.CIQ(InputTicker,  "IQ_EBITDA_EXCL_OPER_LEASES_INT",Input!H$2,Date)</f>
        <v>156</v>
      </c>
      <c r="G506" s="20">
        <f>_xll.ciqfunctions.udf.CIQ(InputTicker,  "IQ_EBITDA_EXCL_OPER_LEASES_INT",Input!I$2,Date)</f>
        <v>119.38554000000001</v>
      </c>
      <c r="H506" s="20">
        <f>_xll.ciqfunctions.udf.CIQ(InputTicker,  "IQ_EBITDA_EXCL_OPER_LEASES_INT",Input!J$2,Date)</f>
        <v>169.92957999999999</v>
      </c>
      <c r="I506" s="20">
        <f>_xll.ciqfunctions.udf.CIQ(InputTicker,  "IQ_EBITDA_EXCL_OPER_LEASES_INT",Input!K$2,Date)</f>
        <v>513.20844</v>
      </c>
      <c r="J506" s="20">
        <f>_xll.ciqfunctions.udf.CIQ(InputTicker,  "IQ_EBITDA_EXCL_OPER_LEASES_INT",Input!L$2,Date)</f>
        <v>1777.84563</v>
      </c>
      <c r="K506" s="20">
        <f>_xll.ciqfunctions.udf.CIQ(InputTicker,  "IQ_EBITDA_EXCL_OPER_LEASES_INT",Input!M$2,Date)</f>
        <v>718.27868999999998</v>
      </c>
      <c r="L506" s="20">
        <f>_xll.ciqfunctions.udf.CIQ(InputTicker,  "IQ_EBITDA_EXCL_OPER_LEASES_INT",Input!N$2,Date)</f>
        <v>2688.6552299999998</v>
      </c>
      <c r="M506" s="20">
        <f>_xll.ciqfunctions.udf.CIQ(InputTicker,  "IQ_EBITDA_EXCL_OPER_LEASES_INT",Input!O$2,Date)</f>
        <v>2395.2618699999998</v>
      </c>
      <c r="N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  <c r="BG506" s="42"/>
      <c r="BH506" s="42"/>
      <c r="BI506" s="42"/>
      <c r="BJ506" s="42"/>
      <c r="BK506" s="42"/>
      <c r="BL506" s="42"/>
      <c r="BM506" s="42"/>
      <c r="BN506" s="42"/>
    </row>
    <row r="507" spans="1:66" ht="12.75" customHeight="1" x14ac:dyDescent="0.2">
      <c r="A507" s="19" t="s">
        <v>246</v>
      </c>
      <c r="B507" s="20">
        <f>_xll.ciqfunctions.udf.CIQ(InputTicker, "IQ_EBITDA_CAPEX_INT",Input!D$2,Date)</f>
        <v>83.778639999999996</v>
      </c>
      <c r="C507" s="20">
        <f>_xll.ciqfunctions.udf.CIQ(InputTicker, "IQ_EBITDA_CAPEX_INT",Input!E$2,Date)</f>
        <v>379.56833999999998</v>
      </c>
      <c r="D507" s="20" t="str">
        <f>_xll.ciqfunctions.udf.CIQ(InputTicker, "IQ_EBITDA_CAPEX_INT",Input!F$2,Date)</f>
        <v>NM</v>
      </c>
      <c r="E507" s="20">
        <f>_xll.ciqfunctions.udf.CIQ(InputTicker, "IQ_EBITDA_CAPEX_INT",Input!G$2,Date)</f>
        <v>815.41508999999996</v>
      </c>
      <c r="F507" s="20">
        <f>_xll.ciqfunctions.udf.CIQ(InputTicker, "IQ_EBITDA_CAPEX_INT",Input!H$2,Date)</f>
        <v>50.427019999999999</v>
      </c>
      <c r="G507" s="20" t="str">
        <f>_xll.ciqfunctions.udf.CIQ(InputTicker, "IQ_EBITDA_CAPEX_INT",Input!I$2,Date)</f>
        <v>NM</v>
      </c>
      <c r="H507" s="20" t="str">
        <f>_xll.ciqfunctions.udf.CIQ(InputTicker, "IQ_EBITDA_CAPEX_INT",Input!J$2,Date)</f>
        <v>NM</v>
      </c>
      <c r="I507" s="20">
        <f>_xll.ciqfunctions.udf.CIQ(InputTicker, "IQ_EBITDA_CAPEX_INT",Input!K$2,Date)</f>
        <v>333.55831000000001</v>
      </c>
      <c r="J507" s="20">
        <f>_xll.ciqfunctions.udf.CIQ(InputTicker, "IQ_EBITDA_CAPEX_INT",Input!L$2,Date)</f>
        <v>1543.59348</v>
      </c>
      <c r="K507" s="20">
        <f>_xll.ciqfunctions.udf.CIQ(InputTicker, "IQ_EBITDA_CAPEX_INT",Input!M$2,Date)</f>
        <v>450.30783000000002</v>
      </c>
      <c r="L507" s="20">
        <f>_xll.ciqfunctions.udf.CIQ(InputTicker, "IQ_EBITDA_CAPEX_INT",Input!N$2,Date)</f>
        <v>2425.1666700000001</v>
      </c>
      <c r="M507" s="20">
        <f>_xll.ciqfunctions.udf.CIQ(InputTicker, "IQ_EBITDA_CAPEX_INT",Input!O$2,Date)</f>
        <v>2107.66462</v>
      </c>
      <c r="N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  <c r="BG507" s="42"/>
      <c r="BH507" s="42"/>
      <c r="BI507" s="42"/>
      <c r="BJ507" s="42"/>
      <c r="BK507" s="42"/>
      <c r="BL507" s="42"/>
      <c r="BM507" s="42"/>
      <c r="BN507" s="42"/>
    </row>
    <row r="508" spans="1:66" ht="12.75" customHeight="1" x14ac:dyDescent="0.2">
      <c r="A508" s="43" t="s">
        <v>496</v>
      </c>
      <c r="B508" s="20">
        <f>_xll.ciqfunctions.udf.CIQ(InputTicker,  "IQ_EBITDA_EXCL_OPER_LEASES_CAPEX_INT",Input!D$2,Date)</f>
        <v>83.778639999999996</v>
      </c>
      <c r="C508" s="20">
        <f>_xll.ciqfunctions.udf.CIQ(InputTicker,  "IQ_EBITDA_EXCL_OPER_LEASES_CAPEX_INT",Input!E$2,Date)</f>
        <v>379.56833999999998</v>
      </c>
      <c r="D508" s="20" t="str">
        <f>_xll.ciqfunctions.udf.CIQ(InputTicker,  "IQ_EBITDA_EXCL_OPER_LEASES_CAPEX_INT",Input!F$2,Date)</f>
        <v>NM</v>
      </c>
      <c r="E508" s="20">
        <f>_xll.ciqfunctions.udf.CIQ(InputTicker,  "IQ_EBITDA_EXCL_OPER_LEASES_CAPEX_INT",Input!G$2,Date)</f>
        <v>815.41508999999996</v>
      </c>
      <c r="F508" s="20">
        <f>_xll.ciqfunctions.udf.CIQ(InputTicker,  "IQ_EBITDA_EXCL_OPER_LEASES_CAPEX_INT",Input!H$2,Date)</f>
        <v>50.427019999999999</v>
      </c>
      <c r="G508" s="20" t="str">
        <f>_xll.ciqfunctions.udf.CIQ(InputTicker,  "IQ_EBITDA_EXCL_OPER_LEASES_CAPEX_INT",Input!I$2,Date)</f>
        <v>NM</v>
      </c>
      <c r="H508" s="20" t="str">
        <f>_xll.ciqfunctions.udf.CIQ(InputTicker,  "IQ_EBITDA_EXCL_OPER_LEASES_CAPEX_INT",Input!J$2,Date)</f>
        <v>NM</v>
      </c>
      <c r="I508" s="20">
        <f>_xll.ciqfunctions.udf.CIQ(InputTicker,  "IQ_EBITDA_EXCL_OPER_LEASES_CAPEX_INT",Input!K$2,Date)</f>
        <v>333.55831000000001</v>
      </c>
      <c r="J508" s="20">
        <f>_xll.ciqfunctions.udf.CIQ(InputTicker,  "IQ_EBITDA_EXCL_OPER_LEASES_CAPEX_INT",Input!L$2,Date)</f>
        <v>1543.59348</v>
      </c>
      <c r="K508" s="20">
        <f>_xll.ciqfunctions.udf.CIQ(InputTicker,  "IQ_EBITDA_EXCL_OPER_LEASES_CAPEX_INT",Input!M$2,Date)</f>
        <v>450.30783000000002</v>
      </c>
      <c r="L508" s="20">
        <f>_xll.ciqfunctions.udf.CIQ(InputTicker,  "IQ_EBITDA_EXCL_OPER_LEASES_CAPEX_INT",Input!N$2,Date)</f>
        <v>2425.1666700000001</v>
      </c>
      <c r="M508" s="20">
        <f>_xll.ciqfunctions.udf.CIQ(InputTicker,  "IQ_EBITDA_EXCL_OPER_LEASES_CAPEX_INT",Input!O$2,Date)</f>
        <v>2107.66462</v>
      </c>
      <c r="N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</row>
    <row r="509" spans="1:66" ht="12.75" customHeight="1" x14ac:dyDescent="0.2">
      <c r="A509" s="19" t="s">
        <v>242</v>
      </c>
      <c r="B509" s="20">
        <f>_xll.ciqfunctions.udf.CIQ(InputTicker, "IQ_TOTAL_DEBT_EBITDA",Input!D$2,Date)</f>
        <v>0.18425</v>
      </c>
      <c r="C509" s="20">
        <f>_xll.ciqfunctions.udf.CIQ(InputTicker, "IQ_TOTAL_DEBT_EBITDA",Input!E$2,Date)</f>
        <v>4.9660000000000003E-2</v>
      </c>
      <c r="D509" s="20" t="str">
        <f>_xll.ciqfunctions.udf.CIQ(InputTicker, "IQ_TOTAL_DEBT_EBITDA",Input!F$2,Date)</f>
        <v>NM</v>
      </c>
      <c r="E509" s="20">
        <f>_xll.ciqfunctions.udf.CIQ(InputTicker, "IQ_TOTAL_DEBT_EBITDA",Input!G$2,Date)</f>
        <v>2.5829999999999999E-2</v>
      </c>
      <c r="F509" s="20">
        <f>_xll.ciqfunctions.udf.CIQ(InputTicker, "IQ_TOTAL_DEBT_EBITDA",Input!H$2,Date)</f>
        <v>2.5420000000000002E-2</v>
      </c>
      <c r="G509" s="20">
        <f>_xll.ciqfunctions.udf.CIQ(InputTicker, "IQ_TOTAL_DEBT_EBITDA",Input!I$2,Date)</f>
        <v>5.2810000000000003E-2</v>
      </c>
      <c r="H509" s="20">
        <f>_xll.ciqfunctions.udf.CIQ(InputTicker, "IQ_TOTAL_DEBT_EBITDA",Input!J$2,Date)</f>
        <v>5.8349999999999999E-2</v>
      </c>
      <c r="I509" s="20">
        <f>_xll.ciqfunctions.udf.CIQ(InputTicker, "IQ_TOTAL_DEBT_EBITDA",Input!K$2,Date)</f>
        <v>0</v>
      </c>
      <c r="J509" s="20">
        <f>_xll.ciqfunctions.udf.CIQ(InputTicker, "IQ_TOTAL_DEBT_EBITDA",Input!L$2,Date)</f>
        <v>0</v>
      </c>
      <c r="K509" s="20">
        <f>_xll.ciqfunctions.udf.CIQ(InputTicker, "IQ_TOTAL_DEBT_EBITDA",Input!M$2,Date)</f>
        <v>0</v>
      </c>
      <c r="L509" s="20">
        <f>_xll.ciqfunctions.udf.CIQ(InputTicker, "IQ_TOTAL_DEBT_EBITDA",Input!N$2,Date)</f>
        <v>0</v>
      </c>
      <c r="M509" s="20">
        <f>_xll.ciqfunctions.udf.CIQ(InputTicker, "IQ_TOTAL_DEBT_EBITDA",Input!O$2,Date)</f>
        <v>0</v>
      </c>
      <c r="N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  <c r="BL509" s="42"/>
      <c r="BM509" s="42"/>
      <c r="BN509" s="42"/>
    </row>
    <row r="510" spans="1:66" ht="12.75" customHeight="1" x14ac:dyDescent="0.2">
      <c r="A510" s="43" t="s">
        <v>497</v>
      </c>
      <c r="B510" s="20">
        <f>_xll.ciqfunctions.udf.CIQ(InputTicker,  "IQ_TOTAL_DEBT_EBITDA_EXCL_OPER_LEASES",Input!D$2,Date)</f>
        <v>0.18425</v>
      </c>
      <c r="C510" s="20">
        <f>_xll.ciqfunctions.udf.CIQ(InputTicker,  "IQ_TOTAL_DEBT_EBITDA_EXCL_OPER_LEASES",Input!E$2,Date)</f>
        <v>4.9660000000000003E-2</v>
      </c>
      <c r="D510" s="20" t="str">
        <f>_xll.ciqfunctions.udf.CIQ(InputTicker,  "IQ_TOTAL_DEBT_EBITDA_EXCL_OPER_LEASES",Input!F$2,Date)</f>
        <v>NM</v>
      </c>
      <c r="E510" s="20">
        <f>_xll.ciqfunctions.udf.CIQ(InputTicker,  "IQ_TOTAL_DEBT_EBITDA_EXCL_OPER_LEASES",Input!G$2,Date)</f>
        <v>2.5829999999999999E-2</v>
      </c>
      <c r="F510" s="20">
        <f>_xll.ciqfunctions.udf.CIQ(InputTicker,  "IQ_TOTAL_DEBT_EBITDA_EXCL_OPER_LEASES",Input!H$2,Date)</f>
        <v>2.5420000000000002E-2</v>
      </c>
      <c r="G510" s="20">
        <f>_xll.ciqfunctions.udf.CIQ(InputTicker,  "IQ_TOTAL_DEBT_EBITDA_EXCL_OPER_LEASES",Input!I$2,Date)</f>
        <v>5.6989999999999999E-2</v>
      </c>
      <c r="H510" s="20">
        <f>_xll.ciqfunctions.udf.CIQ(InputTicker,  "IQ_TOTAL_DEBT_EBITDA_EXCL_OPER_LEASES",Input!J$2,Date)</f>
        <v>6.5699999999999995E-2</v>
      </c>
      <c r="I510" s="20">
        <f>_xll.ciqfunctions.udf.CIQ(InputTicker,  "IQ_TOTAL_DEBT_EBITDA_EXCL_OPER_LEASES",Input!K$2,Date)</f>
        <v>0</v>
      </c>
      <c r="J510" s="20">
        <f>_xll.ciqfunctions.udf.CIQ(InputTicker,  "IQ_TOTAL_DEBT_EBITDA_EXCL_OPER_LEASES",Input!L$2,Date)</f>
        <v>0</v>
      </c>
      <c r="K510" s="20">
        <f>_xll.ciqfunctions.udf.CIQ(InputTicker,  "IQ_TOTAL_DEBT_EBITDA_EXCL_OPER_LEASES",Input!M$2,Date)</f>
        <v>0</v>
      </c>
      <c r="L510" s="20">
        <f>_xll.ciqfunctions.udf.CIQ(InputTicker,  "IQ_TOTAL_DEBT_EBITDA_EXCL_OPER_LEASES",Input!N$2,Date)</f>
        <v>0</v>
      </c>
      <c r="M510" s="20">
        <f>_xll.ciqfunctions.udf.CIQ(InputTicker,  "IQ_TOTAL_DEBT_EBITDA_EXCL_OPER_LEASES",Input!O$2,Date)</f>
        <v>0</v>
      </c>
      <c r="N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  <c r="BL510" s="42"/>
      <c r="BM510" s="42"/>
      <c r="BN510" s="42"/>
    </row>
    <row r="511" spans="1:66" ht="12.75" customHeight="1" x14ac:dyDescent="0.2">
      <c r="A511" s="19" t="s">
        <v>243</v>
      </c>
      <c r="B511" s="20" t="str">
        <f>_xll.ciqfunctions.udf.CIQ(InputTicker,"IQ_NET_DEBT_EBITDA",Input!D$2,Date)</f>
        <v>NM</v>
      </c>
      <c r="C511" s="20" t="str">
        <f>_xll.ciqfunctions.udf.CIQ(InputTicker,"IQ_NET_DEBT_EBITDA",Input!E$2,Date)</f>
        <v>NM</v>
      </c>
      <c r="D511" s="20" t="str">
        <f>_xll.ciqfunctions.udf.CIQ(InputTicker,"IQ_NET_DEBT_EBITDA",Input!F$2,Date)</f>
        <v>NM</v>
      </c>
      <c r="E511" s="20" t="str">
        <f>_xll.ciqfunctions.udf.CIQ(InputTicker,"IQ_NET_DEBT_EBITDA",Input!G$2,Date)</f>
        <v>NM</v>
      </c>
      <c r="F511" s="20" t="str">
        <f>_xll.ciqfunctions.udf.CIQ(InputTicker,"IQ_NET_DEBT_EBITDA",Input!H$2,Date)</f>
        <v>NM</v>
      </c>
      <c r="G511" s="20" t="str">
        <f>_xll.ciqfunctions.udf.CIQ(InputTicker,"IQ_NET_DEBT_EBITDA",Input!I$2,Date)</f>
        <v>NM</v>
      </c>
      <c r="H511" s="20" t="str">
        <f>_xll.ciqfunctions.udf.CIQ(InputTicker,"IQ_NET_DEBT_EBITDA",Input!J$2,Date)</f>
        <v>NM</v>
      </c>
      <c r="I511" s="20" t="str">
        <f>_xll.ciqfunctions.udf.CIQ(InputTicker,"IQ_NET_DEBT_EBITDA",Input!K$2,Date)</f>
        <v>NM</v>
      </c>
      <c r="J511" s="20" t="str">
        <f>_xll.ciqfunctions.udf.CIQ(InputTicker,"IQ_NET_DEBT_EBITDA",Input!L$2,Date)</f>
        <v>NM</v>
      </c>
      <c r="K511" s="20" t="str">
        <f>_xll.ciqfunctions.udf.CIQ(InputTicker,"IQ_NET_DEBT_EBITDA",Input!M$2,Date)</f>
        <v>NM</v>
      </c>
      <c r="L511" s="20" t="str">
        <f>_xll.ciqfunctions.udf.CIQ(InputTicker,"IQ_NET_DEBT_EBITDA",Input!N$2,Date)</f>
        <v>NM</v>
      </c>
      <c r="M511" s="20" t="str">
        <f>_xll.ciqfunctions.udf.CIQ(InputTicker,"IQ_NET_DEBT_EBITDA",Input!O$2,Date)</f>
        <v>NM</v>
      </c>
      <c r="N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  <c r="BL511" s="42"/>
      <c r="BM511" s="42"/>
      <c r="BN511" s="42"/>
    </row>
    <row r="512" spans="1:66" ht="12.75" customHeight="1" x14ac:dyDescent="0.2">
      <c r="A512" s="43" t="s">
        <v>498</v>
      </c>
      <c r="B512" s="20" t="str">
        <f>_xll.ciqfunctions.udf.CIQ(InputTicker,  "IQ_NET_DEBT_EBITDA_EXCL_OPER_LEASES",Input!D$2,Date)</f>
        <v>NM</v>
      </c>
      <c r="C512" s="20" t="str">
        <f>_xll.ciqfunctions.udf.CIQ(InputTicker,  "IQ_NET_DEBT_EBITDA_EXCL_OPER_LEASES",Input!E$2,Date)</f>
        <v>NM</v>
      </c>
      <c r="D512" s="20" t="str">
        <f>_xll.ciqfunctions.udf.CIQ(InputTicker,  "IQ_NET_DEBT_EBITDA_EXCL_OPER_LEASES",Input!F$2,Date)</f>
        <v>NM</v>
      </c>
      <c r="E512" s="20" t="str">
        <f>_xll.ciqfunctions.udf.CIQ(InputTicker,  "IQ_NET_DEBT_EBITDA_EXCL_OPER_LEASES",Input!G$2,Date)</f>
        <v>NM</v>
      </c>
      <c r="F512" s="20" t="str">
        <f>_xll.ciqfunctions.udf.CIQ(InputTicker,  "IQ_NET_DEBT_EBITDA_EXCL_OPER_LEASES",Input!H$2,Date)</f>
        <v>NM</v>
      </c>
      <c r="G512" s="20" t="str">
        <f>_xll.ciqfunctions.udf.CIQ(InputTicker,  "IQ_NET_DEBT_EBITDA_EXCL_OPER_LEASES",Input!I$2,Date)</f>
        <v>NM</v>
      </c>
      <c r="H512" s="20" t="str">
        <f>_xll.ciqfunctions.udf.CIQ(InputTicker,  "IQ_NET_DEBT_EBITDA_EXCL_OPER_LEASES",Input!J$2,Date)</f>
        <v>NM</v>
      </c>
      <c r="I512" s="20" t="str">
        <f>_xll.ciqfunctions.udf.CIQ(InputTicker,  "IQ_NET_DEBT_EBITDA_EXCL_OPER_LEASES",Input!K$2,Date)</f>
        <v>NM</v>
      </c>
      <c r="J512" s="20" t="str">
        <f>_xll.ciqfunctions.udf.CIQ(InputTicker,  "IQ_NET_DEBT_EBITDA_EXCL_OPER_LEASES",Input!L$2,Date)</f>
        <v>NM</v>
      </c>
      <c r="K512" s="20" t="str">
        <f>_xll.ciqfunctions.udf.CIQ(InputTicker,  "IQ_NET_DEBT_EBITDA_EXCL_OPER_LEASES",Input!M$2,Date)</f>
        <v>NM</v>
      </c>
      <c r="L512" s="20" t="str">
        <f>_xll.ciqfunctions.udf.CIQ(InputTicker,  "IQ_NET_DEBT_EBITDA_EXCL_OPER_LEASES",Input!N$2,Date)</f>
        <v>NM</v>
      </c>
      <c r="M512" s="20" t="str">
        <f>_xll.ciqfunctions.udf.CIQ(InputTicker,  "IQ_NET_DEBT_EBITDA_EXCL_OPER_LEASES",Input!O$2,Date)</f>
        <v>NM</v>
      </c>
      <c r="N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  <c r="BL512" s="42"/>
      <c r="BM512" s="42"/>
      <c r="BN512" s="42"/>
    </row>
    <row r="513" spans="1:66" ht="12.75" customHeight="1" x14ac:dyDescent="0.2">
      <c r="A513" s="19" t="s">
        <v>426</v>
      </c>
      <c r="B513" s="20">
        <f>_xll.ciqfunctions.udf.CIQ(InputTicker, "IQ_TOTAL_DEBT_EBITDA_CAPEX",Input!D$2,Date)</f>
        <v>0.26246000000000003</v>
      </c>
      <c r="C513" s="20">
        <f>_xll.ciqfunctions.udf.CIQ(InputTicker, "IQ_TOTAL_DEBT_EBITDA_CAPEX",Input!E$2,Date)</f>
        <v>5.8279999999999998E-2</v>
      </c>
      <c r="D513" s="20" t="str">
        <f>_xll.ciqfunctions.udf.CIQ(InputTicker, "IQ_TOTAL_DEBT_EBITDA_CAPEX",Input!F$2,Date)</f>
        <v>NM</v>
      </c>
      <c r="E513" s="20">
        <f>_xll.ciqfunctions.udf.CIQ(InputTicker, "IQ_TOTAL_DEBT_EBITDA_CAPEX",Input!G$2,Date)</f>
        <v>2.818E-2</v>
      </c>
      <c r="F513" s="20">
        <f>_xll.ciqfunctions.udf.CIQ(InputTicker, "IQ_TOTAL_DEBT_EBITDA_CAPEX",Input!H$2,Date)</f>
        <v>7.8649999999999998E-2</v>
      </c>
      <c r="G513" s="20" t="str">
        <f>_xll.ciqfunctions.udf.CIQ(InputTicker, "IQ_TOTAL_DEBT_EBITDA_CAPEX",Input!I$2,Date)</f>
        <v>NM</v>
      </c>
      <c r="H513" s="20" t="str">
        <f>_xll.ciqfunctions.udf.CIQ(InputTicker, "IQ_TOTAL_DEBT_EBITDA_CAPEX",Input!J$2,Date)</f>
        <v>NM</v>
      </c>
      <c r="I513" s="20">
        <f>_xll.ciqfunctions.udf.CIQ(InputTicker, "IQ_TOTAL_DEBT_EBITDA_CAPEX",Input!K$2,Date)</f>
        <v>0</v>
      </c>
      <c r="J513" s="20">
        <f>_xll.ciqfunctions.udf.CIQ(InputTicker, "IQ_TOTAL_DEBT_EBITDA_CAPEX",Input!L$2,Date)</f>
        <v>0</v>
      </c>
      <c r="K513" s="20">
        <f>_xll.ciqfunctions.udf.CIQ(InputTicker, "IQ_TOTAL_DEBT_EBITDA_CAPEX",Input!M$2,Date)</f>
        <v>0</v>
      </c>
      <c r="L513" s="20">
        <f>_xll.ciqfunctions.udf.CIQ(InputTicker, "IQ_TOTAL_DEBT_EBITDA_CAPEX",Input!N$2,Date)</f>
        <v>0</v>
      </c>
      <c r="M513" s="20">
        <f>_xll.ciqfunctions.udf.CIQ(InputTicker, "IQ_TOTAL_DEBT_EBITDA_CAPEX",Input!O$2,Date)</f>
        <v>0</v>
      </c>
      <c r="N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</row>
    <row r="514" spans="1:66" ht="12.75" customHeight="1" x14ac:dyDescent="0.2">
      <c r="A514" s="43" t="s">
        <v>499</v>
      </c>
      <c r="B514" s="20">
        <f>_xll.ciqfunctions.udf.CIQ(InputTicker,  "IQ_TOTAL_DEBT_EBITDA_EXCL_OPER_LEASES_CAPEX",Input!D$2,Date)</f>
        <v>0.26246000000000003</v>
      </c>
      <c r="C514" s="20">
        <f>_xll.ciqfunctions.udf.CIQ(InputTicker,  "IQ_TOTAL_DEBT_EBITDA_EXCL_OPER_LEASES_CAPEX",Input!E$2,Date)</f>
        <v>5.8279999999999998E-2</v>
      </c>
      <c r="D514" s="20" t="str">
        <f>_xll.ciqfunctions.udf.CIQ(InputTicker,  "IQ_TOTAL_DEBT_EBITDA_EXCL_OPER_LEASES_CAPEX",Input!F$2,Date)</f>
        <v>NM</v>
      </c>
      <c r="E514" s="20">
        <f>_xll.ciqfunctions.udf.CIQ(InputTicker,  "IQ_TOTAL_DEBT_EBITDA_EXCL_OPER_LEASES_CAPEX",Input!G$2,Date)</f>
        <v>2.818E-2</v>
      </c>
      <c r="F514" s="20">
        <f>_xll.ciqfunctions.udf.CIQ(InputTicker,  "IQ_TOTAL_DEBT_EBITDA_EXCL_OPER_LEASES_CAPEX",Input!H$2,Date)</f>
        <v>7.8649999999999998E-2</v>
      </c>
      <c r="G514" s="20" t="str">
        <f>_xll.ciqfunctions.udf.CIQ(InputTicker,  "IQ_TOTAL_DEBT_EBITDA_EXCL_OPER_LEASES_CAPEX",Input!I$2,Date)</f>
        <v>NM</v>
      </c>
      <c r="H514" s="20" t="str">
        <f>_xll.ciqfunctions.udf.CIQ(InputTicker,  "IQ_TOTAL_DEBT_EBITDA_EXCL_OPER_LEASES_CAPEX",Input!J$2,Date)</f>
        <v>NM</v>
      </c>
      <c r="I514" s="20">
        <f>_xll.ciqfunctions.udf.CIQ(InputTicker,  "IQ_TOTAL_DEBT_EBITDA_EXCL_OPER_LEASES_CAPEX",Input!K$2,Date)</f>
        <v>0</v>
      </c>
      <c r="J514" s="20">
        <f>_xll.ciqfunctions.udf.CIQ(InputTicker,  "IQ_TOTAL_DEBT_EBITDA_EXCL_OPER_LEASES_CAPEX",Input!L$2,Date)</f>
        <v>0</v>
      </c>
      <c r="K514" s="20">
        <f>_xll.ciqfunctions.udf.CIQ(InputTicker,  "IQ_TOTAL_DEBT_EBITDA_EXCL_OPER_LEASES_CAPEX",Input!M$2,Date)</f>
        <v>0</v>
      </c>
      <c r="L514" s="20">
        <f>_xll.ciqfunctions.udf.CIQ(InputTicker,  "IQ_TOTAL_DEBT_EBITDA_EXCL_OPER_LEASES_CAPEX",Input!N$2,Date)</f>
        <v>0</v>
      </c>
      <c r="M514" s="20">
        <f>_xll.ciqfunctions.udf.CIQ(InputTicker,  "IQ_TOTAL_DEBT_EBITDA_EXCL_OPER_LEASES_CAPEX",Input!O$2,Date)</f>
        <v>0</v>
      </c>
      <c r="N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  <c r="BL514" s="42"/>
      <c r="BM514" s="42"/>
      <c r="BN514" s="42"/>
    </row>
    <row r="515" spans="1:66" ht="12.75" customHeight="1" x14ac:dyDescent="0.2">
      <c r="A515" s="43" t="s">
        <v>427</v>
      </c>
      <c r="B515" s="20" t="str">
        <f>_xll.ciqfunctions.udf.CIQ(InputTicker, "IQ_NET_DEBT_EBITDA_CAPEX",Input!D$2,Date)</f>
        <v>NM</v>
      </c>
      <c r="C515" s="20" t="str">
        <f>_xll.ciqfunctions.udf.CIQ(InputTicker, "IQ_NET_DEBT_EBITDA_CAPEX",Input!E$2,Date)</f>
        <v>NM</v>
      </c>
      <c r="D515" s="20" t="str">
        <f>_xll.ciqfunctions.udf.CIQ(InputTicker, "IQ_NET_DEBT_EBITDA_CAPEX",Input!F$2,Date)</f>
        <v>NM</v>
      </c>
      <c r="E515" s="20" t="str">
        <f>_xll.ciqfunctions.udf.CIQ(InputTicker, "IQ_NET_DEBT_EBITDA_CAPEX",Input!G$2,Date)</f>
        <v>NM</v>
      </c>
      <c r="F515" s="20" t="str">
        <f>_xll.ciqfunctions.udf.CIQ(InputTicker, "IQ_NET_DEBT_EBITDA_CAPEX",Input!H$2,Date)</f>
        <v>NM</v>
      </c>
      <c r="G515" s="20" t="str">
        <f>_xll.ciqfunctions.udf.CIQ(InputTicker, "IQ_NET_DEBT_EBITDA_CAPEX",Input!I$2,Date)</f>
        <v>NM</v>
      </c>
      <c r="H515" s="20" t="str">
        <f>_xll.ciqfunctions.udf.CIQ(InputTicker, "IQ_NET_DEBT_EBITDA_CAPEX",Input!J$2,Date)</f>
        <v>NM</v>
      </c>
      <c r="I515" s="20" t="str">
        <f>_xll.ciqfunctions.udf.CIQ(InputTicker, "IQ_NET_DEBT_EBITDA_CAPEX",Input!K$2,Date)</f>
        <v>NM</v>
      </c>
      <c r="J515" s="20" t="str">
        <f>_xll.ciqfunctions.udf.CIQ(InputTicker, "IQ_NET_DEBT_EBITDA_CAPEX",Input!L$2,Date)</f>
        <v>NM</v>
      </c>
      <c r="K515" s="20" t="str">
        <f>_xll.ciqfunctions.udf.CIQ(InputTicker, "IQ_NET_DEBT_EBITDA_CAPEX",Input!M$2,Date)</f>
        <v>NM</v>
      </c>
      <c r="L515" s="20" t="str">
        <f>_xll.ciqfunctions.udf.CIQ(InputTicker, "IQ_NET_DEBT_EBITDA_CAPEX",Input!N$2,Date)</f>
        <v>NM</v>
      </c>
      <c r="M515" s="20" t="str">
        <f>_xll.ciqfunctions.udf.CIQ(InputTicker, "IQ_NET_DEBT_EBITDA_CAPEX",Input!O$2,Date)</f>
        <v>NM</v>
      </c>
      <c r="N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  <c r="BL515" s="42"/>
      <c r="BM515" s="42"/>
      <c r="BN515" s="42"/>
    </row>
    <row r="516" spans="1:66" ht="12.75" customHeight="1" x14ac:dyDescent="0.2">
      <c r="A516" s="43" t="s">
        <v>500</v>
      </c>
      <c r="B516" s="20" t="str">
        <f>_xll.ciqfunctions.udf.CIQ(InputTicker,  "IQ_NET_DEBT_EBITDA_EXCL_OPER_LEASES_CAPEX",Input!D$2,Date)</f>
        <v>NM</v>
      </c>
      <c r="C516" s="20" t="str">
        <f>_xll.ciqfunctions.udf.CIQ(InputTicker,  "IQ_NET_DEBT_EBITDA_EXCL_OPER_LEASES_CAPEX",Input!E$2,Date)</f>
        <v>NM</v>
      </c>
      <c r="D516" s="20" t="str">
        <f>_xll.ciqfunctions.udf.CIQ(InputTicker,  "IQ_NET_DEBT_EBITDA_EXCL_OPER_LEASES_CAPEX",Input!F$2,Date)</f>
        <v>NM</v>
      </c>
      <c r="E516" s="20" t="str">
        <f>_xll.ciqfunctions.udf.CIQ(InputTicker,  "IQ_NET_DEBT_EBITDA_EXCL_OPER_LEASES_CAPEX",Input!G$2,Date)</f>
        <v>NM</v>
      </c>
      <c r="F516" s="20" t="str">
        <f>_xll.ciqfunctions.udf.CIQ(InputTicker,  "IQ_NET_DEBT_EBITDA_EXCL_OPER_LEASES_CAPEX",Input!H$2,Date)</f>
        <v>NM</v>
      </c>
      <c r="G516" s="20" t="str">
        <f>_xll.ciqfunctions.udf.CIQ(InputTicker,  "IQ_NET_DEBT_EBITDA_EXCL_OPER_LEASES_CAPEX",Input!I$2,Date)</f>
        <v>NM</v>
      </c>
      <c r="H516" s="20" t="str">
        <f>_xll.ciqfunctions.udf.CIQ(InputTicker,  "IQ_NET_DEBT_EBITDA_EXCL_OPER_LEASES_CAPEX",Input!J$2,Date)</f>
        <v>NM</v>
      </c>
      <c r="I516" s="20" t="str">
        <f>_xll.ciqfunctions.udf.CIQ(InputTicker,  "IQ_NET_DEBT_EBITDA_EXCL_OPER_LEASES_CAPEX",Input!K$2,Date)</f>
        <v>NM</v>
      </c>
      <c r="J516" s="20" t="str">
        <f>_xll.ciqfunctions.udf.CIQ(InputTicker,  "IQ_NET_DEBT_EBITDA_EXCL_OPER_LEASES_CAPEX",Input!L$2,Date)</f>
        <v>NM</v>
      </c>
      <c r="K516" s="20" t="str">
        <f>_xll.ciqfunctions.udf.CIQ(InputTicker,  "IQ_NET_DEBT_EBITDA_EXCL_OPER_LEASES_CAPEX",Input!M$2,Date)</f>
        <v>NM</v>
      </c>
      <c r="L516" s="20" t="str">
        <f>_xll.ciqfunctions.udf.CIQ(InputTicker,  "IQ_NET_DEBT_EBITDA_EXCL_OPER_LEASES_CAPEX",Input!N$2,Date)</f>
        <v>NM</v>
      </c>
      <c r="M516" s="20" t="str">
        <f>_xll.ciqfunctions.udf.CIQ(InputTicker,  "IQ_NET_DEBT_EBITDA_EXCL_OPER_LEASES_CAPEX",Input!O$2,Date)</f>
        <v>NM</v>
      </c>
      <c r="N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  <c r="BL516" s="42"/>
      <c r="BM516" s="42"/>
      <c r="BN516" s="42"/>
    </row>
    <row r="517" spans="1:66" ht="12.75" customHeight="1" x14ac:dyDescent="0.2">
      <c r="A517" s="19" t="s">
        <v>428</v>
      </c>
      <c r="B517" s="21">
        <f>_xll.ciqfunctions.udf.CIQ(InputTicker, "IQ_TOTAL_REV_EMPLOYEE",Input!D$2,Date,,,Ccy,Conv)</f>
        <v>560.70000000000005</v>
      </c>
      <c r="C517" s="21">
        <f>_xll.ciqfunctions.udf.CIQ(InputTicker, "IQ_TOTAL_REV_EMPLOYEE",Input!E$2,Date,,,Ccy,Conv)</f>
        <v>594.59500000000003</v>
      </c>
      <c r="D517" s="21">
        <f>_xll.ciqfunctions.udf.CIQ(InputTicker, "IQ_TOTAL_REV_EMPLOYEE",Input!F$2,Date,,,Ccy,Conv)</f>
        <v>306.303</v>
      </c>
      <c r="E517" s="21">
        <f>_xll.ciqfunctions.udf.CIQ(InputTicker, "IQ_TOTAL_REV_EMPLOYEE",Input!G$2,Date,,,Ccy,Conv)</f>
        <v>429.9</v>
      </c>
      <c r="F517" s="21">
        <f>_xll.ciqfunctions.udf.CIQ(InputTicker, "IQ_TOTAL_REV_EMPLOYEE",Input!H$2,Date,,,Ccy,Conv)</f>
        <v>400.23099999999999</v>
      </c>
      <c r="G517" s="21">
        <f>_xll.ciqfunctions.udf.CIQ(InputTicker, "IQ_TOTAL_REV_EMPLOYEE",Input!I$2,Date,,,Ccy,Conv)</f>
        <v>380.84199999999998</v>
      </c>
      <c r="H517" s="21">
        <f>_xll.ciqfunctions.udf.CIQ(InputTicker, "IQ_TOTAL_REV_EMPLOYEE",Input!J$2,Date,,,Ccy,Conv)</f>
        <v>419.07</v>
      </c>
      <c r="I517" s="21">
        <f>_xll.ciqfunctions.udf.CIQ(InputTicker, "IQ_TOTAL_REV_EMPLOYEE",Input!K$2,Date,,,Ccy,Conv)</f>
        <v>609.66</v>
      </c>
      <c r="J517" s="21">
        <f>_xll.ciqfunctions.udf.CIQ(InputTicker, "IQ_TOTAL_REV_EMPLOYEE",Input!L$2,Date,,,Ccy,Conv)</f>
        <v>1086.4000000000001</v>
      </c>
      <c r="K517" s="21">
        <f>_xll.ciqfunctions.udf.CIQ(InputTicker, "IQ_TOTAL_REV_EMPLOYEE",Input!M$2,Date,,,Ccy,Conv)</f>
        <v>775.99800000000005</v>
      </c>
      <c r="L517" s="21">
        <f>_xll.ciqfunctions.udf.CIQ(InputTicker, "IQ_TOTAL_REV_EMPLOYEE",Input!N$2,Date,,,Ccy,Conv)</f>
        <v>1134.6869999999999</v>
      </c>
      <c r="M517" s="21">
        <f>_xll.ciqfunctions.udf.CIQ(InputTicker, "IQ_TOTAL_REV_EMPLOYEE",Input!O$2,Date,,,Ccy,Conv)</f>
        <v>0</v>
      </c>
      <c r="N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  <c r="BL517" s="42"/>
      <c r="BM517" s="42"/>
      <c r="BN517" s="42"/>
    </row>
    <row r="518" spans="1:66" ht="12.75" customHeight="1" x14ac:dyDescent="0.2">
      <c r="A518" s="19" t="s">
        <v>244</v>
      </c>
      <c r="B518" s="4">
        <f>_xll.ciqfunctions.udf.CIQ(InputTicker,"IQ_Z_SCORE",Input!D$2,Date)</f>
        <v>9.3289600000000004</v>
      </c>
      <c r="C518" s="4">
        <f>_xll.ciqfunctions.udf.CIQ(InputTicker,"IQ_Z_SCORE",Input!E$2,Date)</f>
        <v>12.645020000000001</v>
      </c>
      <c r="D518" s="4">
        <f>_xll.ciqfunctions.udf.CIQ(InputTicker,"IQ_Z_SCORE",Input!F$2,Date)</f>
        <v>8.4344900000000003</v>
      </c>
      <c r="E518" s="4">
        <f>_xll.ciqfunctions.udf.CIQ(InputTicker,"IQ_Z_SCORE",Input!G$2,Date)</f>
        <v>9.81935</v>
      </c>
      <c r="F518" s="4">
        <f>_xll.ciqfunctions.udf.CIQ(InputTicker,"IQ_Z_SCORE",Input!H$2,Date)</f>
        <v>10.946899999999999</v>
      </c>
      <c r="G518" s="4">
        <f>_xll.ciqfunctions.udf.CIQ(InputTicker,"IQ_Z_SCORE",Input!I$2,Date)</f>
        <v>8.7148900000000005</v>
      </c>
      <c r="H518" s="4">
        <f>_xll.ciqfunctions.udf.CIQ(InputTicker,"IQ_Z_SCORE",Input!J$2,Date)</f>
        <v>7.9693300000000002</v>
      </c>
      <c r="I518" s="4">
        <f>_xll.ciqfunctions.udf.CIQ(InputTicker,"IQ_Z_SCORE",Input!K$2,Date)</f>
        <v>6.6844099999999997</v>
      </c>
      <c r="J518" s="4">
        <f>_xll.ciqfunctions.udf.CIQ(InputTicker,"IQ_Z_SCORE",Input!L$2,Date)</f>
        <v>9.5767699999999998</v>
      </c>
      <c r="K518" s="4">
        <f>_xll.ciqfunctions.udf.CIQ(InputTicker,"IQ_Z_SCORE",Input!M$2,Date)</f>
        <v>7.1681499999999998</v>
      </c>
      <c r="L518" s="4">
        <f>_xll.ciqfunctions.udf.CIQ(InputTicker,"IQ_Z_SCORE",Input!N$2,Date)</f>
        <v>9.7453199999999995</v>
      </c>
      <c r="M518" s="4">
        <f>_xll.ciqfunctions.udf.CIQ(InputTicker,"IQ_Z_SCORE",Input!O$2,Date)</f>
        <v>11.17489</v>
      </c>
      <c r="N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  <c r="BL518" s="42"/>
      <c r="BM518" s="42"/>
      <c r="BN518" s="42"/>
    </row>
    <row r="519" spans="1:66" ht="12.75" customHeight="1" x14ac:dyDescent="0.2">
      <c r="A519" s="19" t="s">
        <v>585</v>
      </c>
      <c r="B519" s="4">
        <f>_xll.ciqfunctions.udf.CIQ(InputTicker, "IQ_TOTAL_REV_1YR_ANN_GROWTH",Input!D$2,Date)</f>
        <v>9.3843999999999994</v>
      </c>
      <c r="C519" s="4">
        <f>_xll.ciqfunctions.udf.CIQ(InputTicker, "IQ_TOTAL_REV_1YR_ANN_GROWTH",Input!E$2,Date)</f>
        <v>21.097300000000001</v>
      </c>
      <c r="D519" s="4">
        <f>_xll.ciqfunctions.udf.CIQ(InputTicker, "IQ_TOTAL_REV_1YR_ANN_GROWTH",Input!F$2,Date)</f>
        <v>-43.703000000000003</v>
      </c>
      <c r="E519" s="4">
        <f>_xll.ciqfunctions.udf.CIQ(InputTicker, "IQ_TOTAL_REV_1YR_ANN_GROWTH",Input!G$2,Date)</f>
        <v>39.870899999999999</v>
      </c>
      <c r="F519" s="4">
        <f>_xll.ciqfunctions.udf.CIQ(InputTicker, "IQ_TOTAL_REV_1YR_ANN_GROWTH",Input!H$2,Date)</f>
        <v>-9.4312000000000005</v>
      </c>
      <c r="G519" s="4">
        <f>_xll.ciqfunctions.udf.CIQ(InputTicker, "IQ_TOTAL_REV_1YR_ANN_GROWTH",Input!I$2,Date)</f>
        <v>-0.70379999999999998</v>
      </c>
      <c r="H519" s="4">
        <f>_xll.ciqfunctions.udf.CIQ(InputTicker, "IQ_TOTAL_REV_1YR_ANN_GROWTH",Input!J$2,Date)</f>
        <v>-0.19400000000000001</v>
      </c>
      <c r="I519" s="4">
        <f>_xll.ciqfunctions.udf.CIQ(InputTicker, "IQ_TOTAL_REV_1YR_ANN_GROWTH",Input!K$2,Date)</f>
        <v>31.740200000000002</v>
      </c>
      <c r="J519" s="4">
        <f>_xll.ciqfunctions.udf.CIQ(InputTicker, "IQ_TOTAL_REV_1YR_ANN_GROWTH",Input!L$2,Date)</f>
        <v>77.036299999999997</v>
      </c>
      <c r="K519" s="4">
        <f>_xll.ciqfunctions.udf.CIQ(InputTicker, "IQ_TOTAL_REV_1YR_ANN_GROWTH",Input!M$2,Date)</f>
        <v>-26.055900000000001</v>
      </c>
      <c r="L519" s="4">
        <f>_xll.ciqfunctions.udf.CIQ(InputTicker, "IQ_TOTAL_REV_1YR_ANN_GROWTH",Input!N$2,Date)</f>
        <v>83.193100000000001</v>
      </c>
      <c r="M519" s="4">
        <f>_xll.ciqfunctions.udf.CIQ(InputTicker, "IQ_TOTAL_REV_1YR_ANN_GROWTH",Input!O$2,Date)</f>
        <v>36.604599999999998</v>
      </c>
      <c r="N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  <c r="BL519" s="42"/>
      <c r="BM519" s="42"/>
      <c r="BN519" s="42"/>
    </row>
    <row r="520" spans="1:66" ht="12.75" customHeight="1" x14ac:dyDescent="0.2">
      <c r="A520" s="19" t="s">
        <v>586</v>
      </c>
      <c r="B520" s="4">
        <f>_xll.ciqfunctions.udf.CIQ(InputTicker, "IQ_GP_1YR_ANN_GROWTH",Input!D$2,Date)</f>
        <v>30.7027</v>
      </c>
      <c r="C520" s="4">
        <f>_xll.ciqfunctions.udf.CIQ(InputTicker, "IQ_GP_1YR_ANN_GROWTH",Input!E$2,Date)</f>
        <v>63.770400000000002</v>
      </c>
      <c r="D520" s="4">
        <f>_xll.ciqfunctions.udf.CIQ(InputTicker, "IQ_GP_1YR_ANN_GROWTH",Input!F$2,Date)</f>
        <v>-92.971500000000006</v>
      </c>
      <c r="E520" s="4">
        <f>_xll.ciqfunctions.udf.CIQ(InputTicker, "IQ_GP_1YR_ANN_GROWTH",Input!G$2,Date)</f>
        <v>692.63660000000004</v>
      </c>
      <c r="F520" s="4">
        <f>_xll.ciqfunctions.udf.CIQ(InputTicker, "IQ_GP_1YR_ANN_GROWTH",Input!H$2,Date)</f>
        <v>-38.274099999999997</v>
      </c>
      <c r="G520" s="4">
        <f>_xll.ciqfunctions.udf.CIQ(InputTicker, "IQ_GP_1YR_ANN_GROWTH",Input!I$2,Date)</f>
        <v>-19.416399999999999</v>
      </c>
      <c r="H520" s="4">
        <f>_xll.ciqfunctions.udf.CIQ(InputTicker, "IQ_GP_1YR_ANN_GROWTH",Input!J$2,Date)</f>
        <v>-10.539199999999999</v>
      </c>
      <c r="I520" s="4">
        <f>_xll.ciqfunctions.udf.CIQ(InputTicker, "IQ_GP_1YR_ANN_GROWTH",Input!K$2,Date)</f>
        <v>109.79510000000001</v>
      </c>
      <c r="J520" s="4">
        <f>_xll.ciqfunctions.udf.CIQ(InputTicker, "IQ_GP_1YR_ANN_GROWTH",Input!L$2,Date)</f>
        <v>254.96960000000001</v>
      </c>
      <c r="K520" s="4">
        <f>_xll.ciqfunctions.udf.CIQ(InputTicker, "IQ_GP_1YR_ANN_GROWTH",Input!M$2,Date)</f>
        <v>-54.735500000000002</v>
      </c>
      <c r="L520" s="4">
        <f>_xll.ciqfunctions.udf.CIQ(InputTicker, "IQ_GP_1YR_ANN_GROWTH",Input!N$2,Date)</f>
        <v>241.76220000000001</v>
      </c>
      <c r="M520" s="4">
        <f>_xll.ciqfunctions.udf.CIQ(InputTicker, "IQ_GP_1YR_ANN_GROWTH",Input!O$2,Date)</f>
        <v>75.183999999999997</v>
      </c>
      <c r="N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  <c r="BL520" s="42"/>
      <c r="BM520" s="42"/>
      <c r="BN520" s="42"/>
    </row>
    <row r="521" spans="1:66" ht="12.75" customHeight="1" x14ac:dyDescent="0.2">
      <c r="A521" s="19" t="s">
        <v>587</v>
      </c>
      <c r="B521" s="4">
        <f>_xll.ciqfunctions.udf.CIQ(InputTicker,  "IQ_EBITDA_1YR_ANN_GROWTH",Input!D$2,Date)</f>
        <v>47.133400000000002</v>
      </c>
      <c r="C521" s="4">
        <f>_xll.ciqfunctions.udf.CIQ(InputTicker,  "IQ_EBITDA_1YR_ANN_GROWTH",Input!E$2,Date)</f>
        <v>86.531000000000006</v>
      </c>
      <c r="D521" s="4" t="str">
        <f>_xll.ciqfunctions.udf.CIQ(InputTicker,  "IQ_EBITDA_1YR_ANN_GROWTH",Input!F$2,Date)</f>
        <v>NM</v>
      </c>
      <c r="E521" s="4" t="str">
        <f>_xll.ciqfunctions.udf.CIQ(InputTicker,  "IQ_EBITDA_1YR_ANN_GROWTH",Input!G$2,Date)</f>
        <v>NM</v>
      </c>
      <c r="F521" s="4">
        <f>_xll.ciqfunctions.udf.CIQ(InputTicker,  "IQ_EBITDA_1YR_ANN_GROWTH",Input!H$2,Date)</f>
        <v>-57.386499999999998</v>
      </c>
      <c r="G521" s="4">
        <f>_xll.ciqfunctions.udf.CIQ(InputTicker,  "IQ_EBITDA_1YR_ANN_GROWTH",Input!I$2,Date)</f>
        <v>-40.820599999999999</v>
      </c>
      <c r="H521" s="4">
        <f>_xll.ciqfunctions.udf.CIQ(InputTicker,  "IQ_EBITDA_1YR_ANN_GROWTH",Input!J$2,Date)</f>
        <v>-39.121099999999998</v>
      </c>
      <c r="I521" s="4">
        <f>_xll.ciqfunctions.udf.CIQ(InputTicker,  "IQ_EBITDA_1YR_ANN_GROWTH",Input!K$2,Date)</f>
        <v>471.41309999999999</v>
      </c>
      <c r="J521" s="4">
        <f>_xll.ciqfunctions.udf.CIQ(InputTicker,  "IQ_EBITDA_1YR_ANN_GROWTH",Input!L$2,Date)</f>
        <v>401.1454</v>
      </c>
      <c r="K521" s="4">
        <f>_xll.ciqfunctions.udf.CIQ(InputTicker,  "IQ_EBITDA_1YR_ANN_GROWTH",Input!M$2,Date)</f>
        <v>-61.954599999999999</v>
      </c>
      <c r="L521" s="4">
        <f>_xll.ciqfunctions.udf.CIQ(InputTicker,  "IQ_EBITDA_1YR_ANN_GROWTH",Input!N$2,Date)</f>
        <v>317.27379999999999</v>
      </c>
      <c r="M521" s="4">
        <f>_xll.ciqfunctions.udf.CIQ(InputTicker,  "IQ_EBITDA_1YR_ANN_GROWTH",Input!O$2,Date)</f>
        <v>86.861099999999993</v>
      </c>
      <c r="N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  <c r="BM521" s="42"/>
      <c r="BN521" s="42"/>
    </row>
    <row r="522" spans="1:66" ht="12.75" customHeight="1" x14ac:dyDescent="0.2">
      <c r="A522" s="19" t="s">
        <v>588</v>
      </c>
      <c r="B522" s="4">
        <f>_xll.ciqfunctions.udf.CIQ(InputTicker, "IQ_EBIT_1YR_ANN_GROWTH",Input!D$2,Date)</f>
        <v>56.461199999999998</v>
      </c>
      <c r="C522" s="4">
        <f>_xll.ciqfunctions.udf.CIQ(InputTicker, "IQ_EBIT_1YR_ANN_GROWTH",Input!E$2,Date)</f>
        <v>99.848699999999994</v>
      </c>
      <c r="D522" s="4" t="str">
        <f>_xll.ciqfunctions.udf.CIQ(InputTicker, "IQ_EBIT_1YR_ANN_GROWTH",Input!F$2,Date)</f>
        <v>NM</v>
      </c>
      <c r="E522" s="4" t="str">
        <f>_xll.ciqfunctions.udf.CIQ(InputTicker, "IQ_EBIT_1YR_ANN_GROWTH",Input!G$2,Date)</f>
        <v>NM</v>
      </c>
      <c r="F522" s="4">
        <f>_xll.ciqfunctions.udf.CIQ(InputTicker, "IQ_EBIT_1YR_ANN_GROWTH",Input!H$2,Date)</f>
        <v>-74.790099999999995</v>
      </c>
      <c r="G522" s="4">
        <f>_xll.ciqfunctions.udf.CIQ(InputTicker, "IQ_EBIT_1YR_ANN_GROWTH",Input!I$2,Date)</f>
        <v>-97.051199999999994</v>
      </c>
      <c r="H522" s="4" t="str">
        <f>_xll.ciqfunctions.udf.CIQ(InputTicker, "IQ_EBIT_1YR_ANN_GROWTH",Input!J$2,Date)</f>
        <v>NM</v>
      </c>
      <c r="I522" s="4" t="str">
        <f>_xll.ciqfunctions.udf.CIQ(InputTicker, "IQ_EBIT_1YR_ANN_GROWTH",Input!K$2,Date)</f>
        <v>NM</v>
      </c>
      <c r="J522" s="4">
        <f>_xll.ciqfunctions.udf.CIQ(InputTicker, "IQ_EBIT_1YR_ANN_GROWTH",Input!L$2,Date)</f>
        <v>596.57150000000001</v>
      </c>
      <c r="K522" s="4">
        <f>_xll.ciqfunctions.udf.CIQ(InputTicker, "IQ_EBIT_1YR_ANN_GROWTH",Input!M$2,Date)</f>
        <v>-67.426100000000005</v>
      </c>
      <c r="L522" s="4">
        <f>_xll.ciqfunctions.udf.CIQ(InputTicker, "IQ_EBIT_1YR_ANN_GROWTH",Input!N$2,Date)</f>
        <v>393.94</v>
      </c>
      <c r="M522" s="4">
        <f>_xll.ciqfunctions.udf.CIQ(InputTicker, "IQ_EBIT_1YR_ANN_GROWTH",Input!O$2,Date)</f>
        <v>94.053600000000003</v>
      </c>
      <c r="N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</row>
    <row r="523" spans="1:66" ht="12.75" customHeight="1" x14ac:dyDescent="0.2">
      <c r="A523" s="19" t="s">
        <v>589</v>
      </c>
      <c r="B523" s="4">
        <f>_xll.ciqfunctions.udf.CIQ(InputTicker,  "IQ_NI_1YR_ANN_GROWTH",Input!D$2,Date)</f>
        <v>47.658999999999999</v>
      </c>
      <c r="C523" s="4">
        <f>_xll.ciqfunctions.udf.CIQ(InputTicker,  "IQ_NI_1YR_ANN_GROWTH",Input!E$2,Date)</f>
        <v>95.989500000000007</v>
      </c>
      <c r="D523" s="4" t="str">
        <f>_xll.ciqfunctions.udf.CIQ(InputTicker,  "IQ_NI_1YR_ANN_GROWTH",Input!F$2,Date)</f>
        <v>NM</v>
      </c>
      <c r="E523" s="4" t="str">
        <f>_xll.ciqfunctions.udf.CIQ(InputTicker,  "IQ_NI_1YR_ANN_GROWTH",Input!G$2,Date)</f>
        <v>NM</v>
      </c>
      <c r="F523" s="4">
        <f>_xll.ciqfunctions.udf.CIQ(InputTicker,  "IQ_NI_1YR_ANN_GROWTH",Input!H$2,Date)</f>
        <v>-56.937899999999999</v>
      </c>
      <c r="G523" s="4">
        <f>_xll.ciqfunctions.udf.CIQ(InputTicker,  "IQ_NI_1YR_ANN_GROWTH",Input!I$2,Date)</f>
        <v>-66.086500000000001</v>
      </c>
      <c r="H523" s="4">
        <f>_xll.ciqfunctions.udf.CIQ(InputTicker,  "IQ_NI_1YR_ANN_GROWTH",Input!J$2,Date)</f>
        <v>-88.798900000000003</v>
      </c>
      <c r="I523" s="4">
        <f>_xll.ciqfunctions.udf.CIQ(InputTicker,  "IQ_NI_1YR_ANN_GROWTH",Input!K$2,Date)</f>
        <v>6339.3203000000003</v>
      </c>
      <c r="J523" s="4">
        <f>_xll.ciqfunctions.udf.CIQ(InputTicker,  "IQ_NI_1YR_ANN_GROWTH",Input!L$2,Date)</f>
        <v>471.44659999999999</v>
      </c>
      <c r="K523" s="4">
        <f>_xll.ciqfunctions.udf.CIQ(InputTicker,  "IQ_NI_1YR_ANN_GROWTH",Input!M$2,Date)</f>
        <v>-63.340499999999999</v>
      </c>
      <c r="L523" s="4">
        <f>_xll.ciqfunctions.udf.CIQ(InputTicker,  "IQ_NI_1YR_ANN_GROWTH",Input!N$2,Date)</f>
        <v>339.04300000000001</v>
      </c>
      <c r="M523" s="4">
        <f>_xll.ciqfunctions.udf.CIQ(InputTicker,  "IQ_NI_1YR_ANN_GROWTH",Input!O$2,Date)</f>
        <v>83.325800000000001</v>
      </c>
      <c r="N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2"/>
      <c r="BI523" s="42"/>
      <c r="BJ523" s="42"/>
      <c r="BK523" s="42"/>
      <c r="BL523" s="42"/>
      <c r="BM523" s="42"/>
      <c r="BN523" s="42"/>
    </row>
    <row r="524" spans="1:66" ht="12.75" customHeight="1" x14ac:dyDescent="0.2">
      <c r="A524" s="19" t="s">
        <v>590</v>
      </c>
      <c r="B524" s="4">
        <f>_xll.ciqfunctions.udf.CIQ(InputTicker, "IQ_EPS_1YR_ANN_GROWTH",Input!D$2,Date)</f>
        <v>47.345100000000002</v>
      </c>
      <c r="C524" s="4">
        <f>_xll.ciqfunctions.udf.CIQ(InputTicker, "IQ_EPS_1YR_ANN_GROWTH",Input!E$2,Date)</f>
        <v>96.096000000000004</v>
      </c>
      <c r="D524" s="4" t="str">
        <f>_xll.ciqfunctions.udf.CIQ(InputTicker, "IQ_EPS_1YR_ANN_GROWTH",Input!F$2,Date)</f>
        <v>NM</v>
      </c>
      <c r="E524" s="4" t="str">
        <f>_xll.ciqfunctions.udf.CIQ(InputTicker, "IQ_EPS_1YR_ANN_GROWTH",Input!G$2,Date)</f>
        <v>NM</v>
      </c>
      <c r="F524" s="4">
        <f>_xll.ciqfunctions.udf.CIQ(InputTicker, "IQ_EPS_1YR_ANN_GROWTH",Input!H$2,Date)</f>
        <v>-56.966000000000001</v>
      </c>
      <c r="G524" s="4">
        <f>_xll.ciqfunctions.udf.CIQ(InputTicker, "IQ_EPS_1YR_ANN_GROWTH",Input!I$2,Date)</f>
        <v>-66.086500000000001</v>
      </c>
      <c r="H524" s="4">
        <f>_xll.ciqfunctions.udf.CIQ(InputTicker, "IQ_EPS_1YR_ANN_GROWTH",Input!J$2,Date)</f>
        <v>-89.458600000000004</v>
      </c>
      <c r="I524" s="4">
        <f>_xll.ciqfunctions.udf.CIQ(InputTicker, "IQ_EPS_1YR_ANN_GROWTH",Input!K$2,Date)</f>
        <v>6700</v>
      </c>
      <c r="J524" s="4">
        <f>_xll.ciqfunctions.udf.CIQ(InputTicker, "IQ_EPS_1YR_ANN_GROWTH",Input!L$2,Date)</f>
        <v>470.58819999999997</v>
      </c>
      <c r="K524" s="4">
        <f>_xll.ciqfunctions.udf.CIQ(InputTicker, "IQ_EPS_1YR_ANN_GROWTH",Input!M$2,Date)</f>
        <v>-63.337699999999998</v>
      </c>
      <c r="L524" s="4">
        <f>_xll.ciqfunctions.udf.CIQ(InputTicker, "IQ_EPS_1YR_ANN_GROWTH",Input!N$2,Date)</f>
        <v>338.48849999999999</v>
      </c>
      <c r="M524" s="4">
        <f>_xll.ciqfunctions.udf.CIQ(InputTicker, "IQ_EPS_1YR_ANN_GROWTH",Input!O$2,Date)</f>
        <v>84.641499999999994</v>
      </c>
      <c r="N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  <c r="BL524" s="42"/>
      <c r="BM524" s="42"/>
      <c r="BN524" s="42"/>
    </row>
    <row r="525" spans="1:66" ht="12.75" customHeight="1" x14ac:dyDescent="0.2">
      <c r="A525" s="19" t="s">
        <v>591</v>
      </c>
      <c r="B525" s="4">
        <f>_xll.ciqfunctions.udf.CIQ(InputTicker, "IQ_TOTAL_REV_3YR_ANN_CAGR",Input!D$2,Date)</f>
        <v>12.292400000000001</v>
      </c>
      <c r="C525" s="4">
        <f>_xll.ciqfunctions.udf.CIQ(InputTicker, "IQ_TOTAL_REV_3YR_ANN_CAGR",Input!E$2,Date)</f>
        <v>14.0053</v>
      </c>
      <c r="D525" s="4">
        <f>_xll.ciqfunctions.udf.CIQ(InputTicker, "IQ_TOTAL_REV_3YR_ANN_CAGR",Input!F$2,Date)</f>
        <v>-9.3171999999999997</v>
      </c>
      <c r="E525" s="4">
        <f>_xll.ciqfunctions.udf.CIQ(InputTicker, "IQ_TOTAL_REV_3YR_ANN_CAGR",Input!G$2,Date)</f>
        <v>-1.5726</v>
      </c>
      <c r="F525" s="4">
        <f>_xll.ciqfunctions.udf.CIQ(InputTicker, "IQ_TOTAL_REV_3YR_ANN_CAGR",Input!H$2,Date)</f>
        <v>-10.6563</v>
      </c>
      <c r="G525" s="4">
        <f>_xll.ciqfunctions.udf.CIQ(InputTicker, "IQ_TOTAL_REV_3YR_ANN_CAGR",Input!I$2,Date)</f>
        <v>7.9476000000000004</v>
      </c>
      <c r="H525" s="4">
        <f>_xll.ciqfunctions.udf.CIQ(InputTicker, "IQ_TOTAL_REV_3YR_ANN_CAGR",Input!J$2,Date)</f>
        <v>-3.5379999999999998</v>
      </c>
      <c r="I525" s="4">
        <f>_xll.ciqfunctions.udf.CIQ(InputTicker, "IQ_TOTAL_REV_3YR_ANN_CAGR",Input!K$2,Date)</f>
        <v>9.2956000000000003</v>
      </c>
      <c r="J525" s="4">
        <f>_xll.ciqfunctions.udf.CIQ(InputTicker, "IQ_TOTAL_REV_3YR_ANN_CAGR",Input!L$2,Date)</f>
        <v>32.529499999999999</v>
      </c>
      <c r="K525" s="4">
        <f>_xll.ciqfunctions.udf.CIQ(InputTicker, "IQ_TOTAL_REV_3YR_ANN_CAGR",Input!M$2,Date)</f>
        <v>19.9209</v>
      </c>
      <c r="L525" s="4">
        <f>_xll.ciqfunctions.udf.CIQ(InputTicker, "IQ_TOTAL_REV_3YR_ANN_CAGR",Input!N$2,Date)</f>
        <v>33.8521</v>
      </c>
      <c r="M525" s="4">
        <f>_xll.ciqfunctions.udf.CIQ(InputTicker, "IQ_TOTAL_REV_3YR_ANN_CAGR",Input!O$2,Date)</f>
        <v>18.525200000000002</v>
      </c>
      <c r="N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  <c r="BL525" s="42"/>
      <c r="BM525" s="42"/>
      <c r="BN525" s="42"/>
    </row>
    <row r="526" spans="1:66" ht="12.75" customHeight="1" x14ac:dyDescent="0.2">
      <c r="A526" s="19" t="s">
        <v>592</v>
      </c>
      <c r="B526" s="4">
        <f>_xll.ciqfunctions.udf.CIQ(InputTicker, "IQ_GP_3YR_ANN_CAGR",Input!D$2,Date)</f>
        <v>25.5032</v>
      </c>
      <c r="C526" s="4">
        <f>_xll.ciqfunctions.udf.CIQ(InputTicker, "IQ_GP_3YR_ANN_CAGR",Input!E$2,Date)</f>
        <v>44.5548</v>
      </c>
      <c r="D526" s="4">
        <f>_xll.ciqfunctions.udf.CIQ(InputTicker, "IQ_GP_3YR_ANN_CAGR",Input!F$2,Date)</f>
        <v>-46.814300000000003</v>
      </c>
      <c r="E526" s="4">
        <f>_xll.ciqfunctions.udf.CIQ(InputTicker, "IQ_GP_3YR_ANN_CAGR",Input!G$2,Date)</f>
        <v>-3.0106000000000002</v>
      </c>
      <c r="F526" s="4">
        <f>_xll.ciqfunctions.udf.CIQ(InputTicker, "IQ_GP_3YR_ANN_CAGR",Input!H$2,Date)</f>
        <v>-29.940300000000001</v>
      </c>
      <c r="G526" s="4">
        <f>_xll.ciqfunctions.udf.CIQ(InputTicker, "IQ_GP_3YR_ANN_CAGR",Input!I$2,Date)</f>
        <v>57.977899999999998</v>
      </c>
      <c r="H526" s="4">
        <f>_xll.ciqfunctions.udf.CIQ(InputTicker, "IQ_GP_3YR_ANN_CAGR",Input!J$2,Date)</f>
        <v>-23.654699999999998</v>
      </c>
      <c r="I526" s="4">
        <f>_xll.ciqfunctions.udf.CIQ(InputTicker, "IQ_GP_3YR_ANN_CAGR",Input!K$2,Date)</f>
        <v>14.786799999999999</v>
      </c>
      <c r="J526" s="4">
        <f>_xll.ciqfunctions.udf.CIQ(InputTicker, "IQ_GP_3YR_ANN_CAGR",Input!L$2,Date)</f>
        <v>88.165499999999994</v>
      </c>
      <c r="K526" s="4">
        <f>_xll.ciqfunctions.udf.CIQ(InputTicker, "IQ_GP_3YR_ANN_CAGR",Input!M$2,Date)</f>
        <v>49.939100000000003</v>
      </c>
      <c r="L526" s="4">
        <f>_xll.ciqfunctions.udf.CIQ(InputTicker, "IQ_GP_3YR_ANN_CAGR",Input!N$2,Date)</f>
        <v>76.424099999999996</v>
      </c>
      <c r="M526" s="4">
        <f>_xll.ciqfunctions.udf.CIQ(InputTicker, "IQ_GP_3YR_ANN_CAGR",Input!O$2,Date)</f>
        <v>29.042200000000001</v>
      </c>
      <c r="N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  <c r="BL526" s="42"/>
      <c r="BM526" s="42"/>
      <c r="BN526" s="42"/>
    </row>
    <row r="527" spans="1:66" ht="12.75" customHeight="1" x14ac:dyDescent="0.2">
      <c r="A527" s="19" t="s">
        <v>593</v>
      </c>
      <c r="B527" s="4">
        <f>_xll.ciqfunctions.udf.CIQ(InputTicker,  "IQ_EBITDA_3YR_ANN_CAGR",Input!D$2,Date)</f>
        <v>32.822699999999998</v>
      </c>
      <c r="C527" s="4">
        <f>_xll.ciqfunctions.udf.CIQ(InputTicker,  "IQ_EBITDA_3YR_ANN_CAGR",Input!E$2,Date)</f>
        <v>62.266100000000002</v>
      </c>
      <c r="D527" s="4" t="str">
        <f>_xll.ciqfunctions.udf.CIQ(InputTicker,  "IQ_EBITDA_3YR_ANN_CAGR",Input!F$2,Date)</f>
        <v>NM</v>
      </c>
      <c r="E527" s="4">
        <f>_xll.ciqfunctions.udf.CIQ(InputTicker,  "IQ_EBITDA_3YR_ANN_CAGR",Input!G$2,Date)</f>
        <v>-5.1227999999999998</v>
      </c>
      <c r="F527" s="4">
        <f>_xll.ciqfunctions.udf.CIQ(InputTicker,  "IQ_EBITDA_3YR_ANN_CAGR",Input!H$2,Date)</f>
        <v>-42.000100000000003</v>
      </c>
      <c r="G527" s="4" t="str">
        <f>_xll.ciqfunctions.udf.CIQ(InputTicker,  "IQ_EBITDA_3YR_ANN_CAGR",Input!I$2,Date)</f>
        <v>NM</v>
      </c>
      <c r="H527" s="4">
        <f>_xll.ciqfunctions.udf.CIQ(InputTicker,  "IQ_EBITDA_3YR_ANN_CAGR",Input!J$2,Date)</f>
        <v>-46.453800000000001</v>
      </c>
      <c r="I527" s="4">
        <f>_xll.ciqfunctions.udf.CIQ(InputTicker,  "IQ_EBITDA_3YR_ANN_CAGR",Input!K$2,Date)</f>
        <v>27.212399999999999</v>
      </c>
      <c r="J527" s="4">
        <f>_xll.ciqfunctions.udf.CIQ(InputTicker,  "IQ_EBITDA_3YR_ANN_CAGR",Input!L$2,Date)</f>
        <v>159.29480000000001</v>
      </c>
      <c r="K527" s="4">
        <f>_xll.ciqfunctions.udf.CIQ(InputTicker,  "IQ_EBITDA_3YR_ANN_CAGR",Input!M$2,Date)</f>
        <v>121.6863</v>
      </c>
      <c r="L527" s="4">
        <f>_xll.ciqfunctions.udf.CIQ(InputTicker,  "IQ_EBITDA_3YR_ANN_CAGR",Input!N$2,Date)</f>
        <v>99.631600000000006</v>
      </c>
      <c r="M527" s="4">
        <f>_xll.ciqfunctions.udf.CIQ(InputTicker,  "IQ_EBITDA_3YR_ANN_CAGR",Input!O$2,Date)</f>
        <v>32.310699999999997</v>
      </c>
      <c r="N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  <c r="BL527" s="42"/>
      <c r="BM527" s="42"/>
      <c r="BN527" s="42"/>
    </row>
    <row r="528" spans="1:66" ht="12.75" customHeight="1" x14ac:dyDescent="0.2">
      <c r="A528" s="19" t="s">
        <v>594</v>
      </c>
      <c r="B528" s="4">
        <f>_xll.ciqfunctions.udf.CIQ(InputTicker, "IQ_EBIT_3YR_ANN_CAGR",Input!D$2,Date)</f>
        <v>39.305799999999998</v>
      </c>
      <c r="C528" s="4">
        <f>_xll.ciqfunctions.udf.CIQ(InputTicker, "IQ_EBIT_3YR_ANN_CAGR",Input!E$2,Date)</f>
        <v>75.948999999999998</v>
      </c>
      <c r="D528" s="4" t="str">
        <f>_xll.ciqfunctions.udf.CIQ(InputTicker, "IQ_EBIT_3YR_ANN_CAGR",Input!F$2,Date)</f>
        <v>NM</v>
      </c>
      <c r="E528" s="4">
        <f>_xll.ciqfunctions.udf.CIQ(InputTicker, "IQ_EBIT_3YR_ANN_CAGR",Input!G$2,Date)</f>
        <v>-8.2554999999999996</v>
      </c>
      <c r="F528" s="4">
        <f>_xll.ciqfunctions.udf.CIQ(InputTicker, "IQ_EBIT_3YR_ANN_CAGR",Input!H$2,Date)</f>
        <v>-53.988199999999999</v>
      </c>
      <c r="G528" s="4" t="str">
        <f>_xll.ciqfunctions.udf.CIQ(InputTicker, "IQ_EBIT_3YR_ANN_CAGR",Input!I$2,Date)</f>
        <v>NM</v>
      </c>
      <c r="H528" s="4" t="str">
        <f>_xll.ciqfunctions.udf.CIQ(InputTicker, "IQ_EBIT_3YR_ANN_CAGR",Input!J$2,Date)</f>
        <v>NM</v>
      </c>
      <c r="I528" s="4">
        <f>_xll.ciqfunctions.udf.CIQ(InputTicker, "IQ_EBIT_3YR_ANN_CAGR",Input!K$2,Date)</f>
        <v>44.569000000000003</v>
      </c>
      <c r="J528" s="4">
        <f>_xll.ciqfunctions.udf.CIQ(InputTicker, "IQ_EBIT_3YR_ANN_CAGR",Input!L$2,Date)</f>
        <v>793.67190000000005</v>
      </c>
      <c r="K528" s="4" t="str">
        <f>_xll.ciqfunctions.udf.CIQ(InputTicker, "IQ_EBIT_3YR_ANN_CAGR",Input!M$2,Date)</f>
        <v>NM</v>
      </c>
      <c r="L528" s="4">
        <f>_xll.ciqfunctions.udf.CIQ(InputTicker, "IQ_EBIT_3YR_ANN_CAGR",Input!N$2,Date)</f>
        <v>123.78789999999999</v>
      </c>
      <c r="M528" s="4">
        <f>_xll.ciqfunctions.udf.CIQ(InputTicker, "IQ_EBIT_3YR_ANN_CAGR",Input!O$2,Date)</f>
        <v>33.930900000000001</v>
      </c>
      <c r="N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  <c r="BM528" s="42"/>
      <c r="BN528" s="42"/>
    </row>
    <row r="529" spans="1:66" ht="12.75" customHeight="1" x14ac:dyDescent="0.2">
      <c r="A529" s="19" t="s">
        <v>595</v>
      </c>
      <c r="B529" s="4">
        <f>_xll.ciqfunctions.udf.CIQ(InputTicker,  "IQ_NI_3YR_ANN_CAGR",Input!D$2,Date)</f>
        <v>21.576499999999999</v>
      </c>
      <c r="C529" s="4">
        <f>_xll.ciqfunctions.udf.CIQ(InputTicker,  "IQ_NI_3YR_ANN_CAGR",Input!E$2,Date)</f>
        <v>84.376199999999997</v>
      </c>
      <c r="D529" s="4" t="str">
        <f>_xll.ciqfunctions.udf.CIQ(InputTicker,  "IQ_NI_3YR_ANN_CAGR",Input!F$2,Date)</f>
        <v>NM</v>
      </c>
      <c r="E529" s="4">
        <f>_xll.ciqfunctions.udf.CIQ(InputTicker,  "IQ_NI_3YR_ANN_CAGR",Input!G$2,Date)</f>
        <v>-7.9108000000000001</v>
      </c>
      <c r="F529" s="4">
        <f>_xll.ciqfunctions.udf.CIQ(InputTicker,  "IQ_NI_3YR_ANN_CAGR",Input!H$2,Date)</f>
        <v>-44.4315</v>
      </c>
      <c r="G529" s="4" t="str">
        <f>_xll.ciqfunctions.udf.CIQ(InputTicker,  "IQ_NI_3YR_ANN_CAGR",Input!I$2,Date)</f>
        <v>NM</v>
      </c>
      <c r="H529" s="4">
        <f>_xll.ciqfunctions.udf.CIQ(InputTicker,  "IQ_NI_3YR_ANN_CAGR",Input!J$2,Date)</f>
        <v>-74.614999999999995</v>
      </c>
      <c r="I529" s="4">
        <f>_xll.ciqfunctions.udf.CIQ(InputTicker,  "IQ_NI_3YR_ANN_CAGR",Input!K$2,Date)</f>
        <v>34.738599999999998</v>
      </c>
      <c r="J529" s="4">
        <f>_xll.ciqfunctions.udf.CIQ(InputTicker,  "IQ_NI_3YR_ANN_CAGR",Input!L$2,Date)</f>
        <v>245.42930000000001</v>
      </c>
      <c r="K529" s="4">
        <f>_xll.ciqfunctions.udf.CIQ(InputTicker,  "IQ_NI_3YR_ANN_CAGR",Input!M$2,Date)</f>
        <v>412.86239999999998</v>
      </c>
      <c r="L529" s="4">
        <f>_xll.ciqfunctions.udf.CIQ(InputTicker,  "IQ_NI_3YR_ANN_CAGR",Input!N$2,Date)</f>
        <v>109.5189</v>
      </c>
      <c r="M529" s="4">
        <f>_xll.ciqfunctions.udf.CIQ(InputTicker,  "IQ_NI_3YR_ANN_CAGR",Input!O$2,Date)</f>
        <v>34.551200000000001</v>
      </c>
      <c r="N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  <c r="BL529" s="42"/>
      <c r="BM529" s="42"/>
      <c r="BN529" s="42"/>
    </row>
    <row r="530" spans="1:66" ht="12.75" customHeight="1" x14ac:dyDescent="0.2">
      <c r="A530" s="19" t="s">
        <v>596</v>
      </c>
      <c r="B530" s="4">
        <f>_xll.ciqfunctions.udf.CIQ(InputTicker, "IQ_EPS_3YR_ANN_CAGR",Input!D$2,Date)</f>
        <v>21.100999999999999</v>
      </c>
      <c r="C530" s="4">
        <f>_xll.ciqfunctions.udf.CIQ(InputTicker, "IQ_EPS_3YR_ANN_CAGR",Input!E$2,Date)</f>
        <v>83.897000000000006</v>
      </c>
      <c r="D530" s="4" t="str">
        <f>_xll.ciqfunctions.udf.CIQ(InputTicker, "IQ_EPS_3YR_ANN_CAGR",Input!F$2,Date)</f>
        <v>NM</v>
      </c>
      <c r="E530" s="4">
        <f>_xll.ciqfunctions.udf.CIQ(InputTicker, "IQ_EPS_3YR_ANN_CAGR",Input!G$2,Date)</f>
        <v>-7.9177</v>
      </c>
      <c r="F530" s="4">
        <f>_xll.ciqfunctions.udf.CIQ(InputTicker, "IQ_EPS_3YR_ANN_CAGR",Input!H$2,Date)</f>
        <v>-44.457700000000003</v>
      </c>
      <c r="G530" s="4" t="str">
        <f>_xll.ciqfunctions.udf.CIQ(InputTicker, "IQ_EPS_3YR_ANN_CAGR",Input!I$2,Date)</f>
        <v>NM</v>
      </c>
      <c r="H530" s="4">
        <f>_xll.ciqfunctions.udf.CIQ(InputTicker, "IQ_EPS_3YR_ANN_CAGR",Input!J$2,Date)</f>
        <v>-75.129199999999997</v>
      </c>
      <c r="I530" s="4">
        <f>_xll.ciqfunctions.udf.CIQ(InputTicker, "IQ_EPS_3YR_ANN_CAGR",Input!K$2,Date)</f>
        <v>34.4604</v>
      </c>
      <c r="J530" s="4">
        <f>_xll.ciqfunctions.udf.CIQ(InputTicker, "IQ_EPS_3YR_ANN_CAGR",Input!L$2,Date)</f>
        <v>244.5436</v>
      </c>
      <c r="K530" s="4">
        <f>_xll.ciqfunctions.udf.CIQ(InputTicker, "IQ_EPS_3YR_ANN_CAGR",Input!M$2,Date)</f>
        <v>422.0163</v>
      </c>
      <c r="L530" s="4">
        <f>_xll.ciqfunctions.udf.CIQ(InputTicker, "IQ_EPS_3YR_ANN_CAGR",Input!N$2,Date)</f>
        <v>109.3312</v>
      </c>
      <c r="M530" s="4">
        <f>_xll.ciqfunctions.udf.CIQ(InputTicker, "IQ_EPS_3YR_ANN_CAGR",Input!O$2,Date)</f>
        <v>34.738999999999997</v>
      </c>
      <c r="N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  <c r="BL530" s="42"/>
      <c r="BM530" s="42"/>
      <c r="BN530" s="42"/>
    </row>
    <row r="531" spans="1:66" ht="12.75" customHeight="1" x14ac:dyDescent="0.2">
      <c r="A531" s="19" t="s">
        <v>597</v>
      </c>
      <c r="B531" s="4">
        <f>_xll.ciqfunctions.udf.CIQ(InputTicker, "IQ_TOTAL_REV_5YR_ANN_CAGR",Input!D$2,Date)</f>
        <v>11.6083</v>
      </c>
      <c r="C531" s="4">
        <f>_xll.ciqfunctions.udf.CIQ(InputTicker, "IQ_TOTAL_REV_5YR_ANN_CAGR",Input!E$2,Date)</f>
        <v>15.1693</v>
      </c>
      <c r="D531" s="4">
        <f>_xll.ciqfunctions.udf.CIQ(InputTicker, "IQ_TOTAL_REV_5YR_ANN_CAGR",Input!F$2,Date)</f>
        <v>-0.70340000000000003</v>
      </c>
      <c r="E531" s="4">
        <f>_xll.ciqfunctions.udf.CIQ(InputTicker, "IQ_TOTAL_REV_5YR_ANN_CAGR",Input!G$2,Date)</f>
        <v>3.133</v>
      </c>
      <c r="F531" s="4">
        <f>_xll.ciqfunctions.udf.CIQ(InputTicker, "IQ_TOTAL_REV_5YR_ANN_CAGR",Input!H$2,Date)</f>
        <v>-1.1318999999999999</v>
      </c>
      <c r="G531" s="4">
        <f>_xll.ciqfunctions.udf.CIQ(InputTicker, "IQ_TOTAL_REV_5YR_ANN_CAGR",Input!I$2,Date)</f>
        <v>-3.0268000000000002</v>
      </c>
      <c r="H531" s="4">
        <f>_xll.ciqfunctions.udf.CIQ(InputTicker, "IQ_TOTAL_REV_5YR_ANN_CAGR",Input!J$2,Date)</f>
        <v>-6.7054999999999998</v>
      </c>
      <c r="I531" s="4">
        <f>_xll.ciqfunctions.udf.CIQ(InputTicker, "IQ_TOTAL_REV_5YR_ANN_CAGR",Input!K$2,Date)</f>
        <v>10.5867</v>
      </c>
      <c r="J531" s="4">
        <f>_xll.ciqfunctions.udf.CIQ(InputTicker, "IQ_TOTAL_REV_5YR_ANN_CAGR",Input!L$2,Date)</f>
        <v>15.9231</v>
      </c>
      <c r="K531" s="4">
        <f>_xll.ciqfunctions.udf.CIQ(InputTicker, "IQ_TOTAL_REV_5YR_ANN_CAGR",Input!M$2,Date)</f>
        <v>11.315300000000001</v>
      </c>
      <c r="L531" s="4">
        <f>_xll.ciqfunctions.udf.CIQ(InputTicker, "IQ_TOTAL_REV_5YR_ANN_CAGR",Input!N$2,Date)</f>
        <v>25.8201</v>
      </c>
      <c r="M531" s="4">
        <f>_xll.ciqfunctions.udf.CIQ(InputTicker, "IQ_TOTAL_REV_5YR_ANN_CAGR",Input!O$2,Date)</f>
        <v>23.969100000000001</v>
      </c>
      <c r="N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  <c r="BL531" s="42"/>
      <c r="BM531" s="42"/>
      <c r="BN531" s="42"/>
    </row>
    <row r="532" spans="1:66" ht="12.75" customHeight="1" x14ac:dyDescent="0.2">
      <c r="A532" s="19" t="s">
        <v>598</v>
      </c>
      <c r="B532" s="4">
        <f>_xll.ciqfunctions.udf.CIQ(InputTicker, "IQ_GP_5YR_ANN_CAGR",Input!D$2,Date)</f>
        <v>15.247</v>
      </c>
      <c r="C532" s="4">
        <f>_xll.ciqfunctions.udf.CIQ(InputTicker, "IQ_GP_5YR_ANN_CAGR",Input!E$2,Date)</f>
        <v>29.151399999999999</v>
      </c>
      <c r="D532" s="4">
        <f>_xll.ciqfunctions.udf.CIQ(InputTicker, "IQ_GP_5YR_ANN_CAGR",Input!F$2,Date)</f>
        <v>-25.627500000000001</v>
      </c>
      <c r="E532" s="4">
        <f>_xll.ciqfunctions.udf.CIQ(InputTicker, "IQ_GP_5YR_ANN_CAGR",Input!G$2,Date)</f>
        <v>10.9704</v>
      </c>
      <c r="F532" s="4">
        <f>_xll.ciqfunctions.udf.CIQ(InputTicker, "IQ_GP_5YR_ANN_CAGR",Input!H$2,Date)</f>
        <v>-5.9443000000000001</v>
      </c>
      <c r="G532" s="4">
        <f>_xll.ciqfunctions.udf.CIQ(InputTicker, "IQ_GP_5YR_ANN_CAGR",Input!I$2,Date)</f>
        <v>-14.6158</v>
      </c>
      <c r="H532" s="4">
        <f>_xll.ciqfunctions.udf.CIQ(InputTicker, "IQ_GP_5YR_ANN_CAGR",Input!J$2,Date)</f>
        <v>-24.3416</v>
      </c>
      <c r="I532" s="4">
        <f>_xll.ciqfunctions.udf.CIQ(InputTicker, "IQ_GP_5YR_ANN_CAGR",Input!K$2,Date)</f>
        <v>49.225700000000003</v>
      </c>
      <c r="J532" s="4">
        <f>_xll.ciqfunctions.udf.CIQ(InputTicker, "IQ_GP_5YR_ANN_CAGR",Input!L$2,Date)</f>
        <v>27.077000000000002</v>
      </c>
      <c r="K532" s="4">
        <f>_xll.ciqfunctions.udf.CIQ(InputTicker, "IQ_GP_5YR_ANN_CAGR",Input!M$2,Date)</f>
        <v>19.433199999999999</v>
      </c>
      <c r="L532" s="4">
        <f>_xll.ciqfunctions.udf.CIQ(InputTicker, "IQ_GP_5YR_ANN_CAGR",Input!N$2,Date)</f>
        <v>59.448500000000003</v>
      </c>
      <c r="M532" s="4">
        <f>_xll.ciqfunctions.udf.CIQ(InputTicker, "IQ_GP_5YR_ANN_CAGR",Input!O$2,Date)</f>
        <v>48.262599999999999</v>
      </c>
      <c r="N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  <c r="BL532" s="42"/>
      <c r="BM532" s="42"/>
      <c r="BN532" s="42"/>
    </row>
    <row r="533" spans="1:66" ht="12.75" customHeight="1" x14ac:dyDescent="0.2">
      <c r="A533" s="19" t="s">
        <v>599</v>
      </c>
      <c r="B533" s="4">
        <f>_xll.ciqfunctions.udf.CIQ(InputTicker,  "IQ_EBITDA_5YR_ANN_CAGR",Input!D$2,Date)</f>
        <v>15.4842</v>
      </c>
      <c r="C533" s="4">
        <f>_xll.ciqfunctions.udf.CIQ(InputTicker,  "IQ_EBITDA_5YR_ANN_CAGR",Input!E$2,Date)</f>
        <v>36.249600000000001</v>
      </c>
      <c r="D533" s="4" t="str">
        <f>_xll.ciqfunctions.udf.CIQ(InputTicker,  "IQ_EBITDA_5YR_ANN_CAGR",Input!F$2,Date)</f>
        <v>NM</v>
      </c>
      <c r="E533" s="4">
        <f>_xll.ciqfunctions.udf.CIQ(InputTicker,  "IQ_EBITDA_5YR_ANN_CAGR",Input!G$2,Date)</f>
        <v>14.362500000000001</v>
      </c>
      <c r="F533" s="4">
        <f>_xll.ciqfunctions.udf.CIQ(InputTicker,  "IQ_EBITDA_5YR_ANN_CAGR",Input!H$2,Date)</f>
        <v>-11.743</v>
      </c>
      <c r="G533" s="4">
        <f>_xll.ciqfunctions.udf.CIQ(InputTicker,  "IQ_EBITDA_5YR_ANN_CAGR",Input!I$2,Date)</f>
        <v>-26.440200000000001</v>
      </c>
      <c r="H533" s="4">
        <f>_xll.ciqfunctions.udf.CIQ(InputTicker,  "IQ_EBITDA_5YR_ANN_CAGR",Input!J$2,Date)</f>
        <v>-41.199100000000001</v>
      </c>
      <c r="I533" s="4" t="str">
        <f>_xll.ciqfunctions.udf.CIQ(InputTicker,  "IQ_EBITDA_5YR_ANN_CAGR",Input!K$2,Date)</f>
        <v>NM</v>
      </c>
      <c r="J533" s="4">
        <f>_xll.ciqfunctions.udf.CIQ(InputTicker,  "IQ_EBITDA_5YR_ANN_CAGR",Input!L$2,Date)</f>
        <v>34.468299999999999</v>
      </c>
      <c r="K533" s="4">
        <f>_xll.ciqfunctions.udf.CIQ(InputTicker,  "IQ_EBITDA_5YR_ANN_CAGR",Input!M$2,Date)</f>
        <v>31.453099999999999</v>
      </c>
      <c r="L533" s="4">
        <f>_xll.ciqfunctions.udf.CIQ(InputTicker,  "IQ_EBITDA_5YR_ANN_CAGR",Input!N$2,Date)</f>
        <v>94.276899999999998</v>
      </c>
      <c r="M533" s="4">
        <f>_xll.ciqfunctions.udf.CIQ(InputTicker,  "IQ_EBITDA_5YR_ANN_CAGR",Input!O$2,Date)</f>
        <v>64.838899999999995</v>
      </c>
      <c r="N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  <c r="BL533" s="42"/>
      <c r="BM533" s="42"/>
      <c r="BN533" s="42"/>
    </row>
    <row r="534" spans="1:66" ht="12.75" customHeight="1" x14ac:dyDescent="0.2">
      <c r="A534" s="19" t="s">
        <v>600</v>
      </c>
      <c r="B534" s="4">
        <f>_xll.ciqfunctions.udf.CIQ(InputTicker, "IQ_EBIT_5YR_ANN_CAGR",Input!D$2,Date)</f>
        <v>18.060500000000001</v>
      </c>
      <c r="C534" s="4">
        <f>_xll.ciqfunctions.udf.CIQ(InputTicker, "IQ_EBIT_5YR_ANN_CAGR",Input!E$2,Date)</f>
        <v>42.907299999999999</v>
      </c>
      <c r="D534" s="4" t="str">
        <f>_xll.ciqfunctions.udf.CIQ(InputTicker, "IQ_EBIT_5YR_ANN_CAGR",Input!F$2,Date)</f>
        <v>NM</v>
      </c>
      <c r="E534" s="4">
        <f>_xll.ciqfunctions.udf.CIQ(InputTicker, "IQ_EBIT_5YR_ANN_CAGR",Input!G$2,Date)</f>
        <v>16.0486</v>
      </c>
      <c r="F534" s="4">
        <f>_xll.ciqfunctions.udf.CIQ(InputTicker, "IQ_EBIT_5YR_ANN_CAGR",Input!H$2,Date)</f>
        <v>-21.160499999999999</v>
      </c>
      <c r="G534" s="4">
        <f>_xll.ciqfunctions.udf.CIQ(InputTicker, "IQ_EBIT_5YR_ANN_CAGR",Input!I$2,Date)</f>
        <v>-64.372699999999995</v>
      </c>
      <c r="H534" s="4" t="str">
        <f>_xll.ciqfunctions.udf.CIQ(InputTicker, "IQ_EBIT_5YR_ANN_CAGR",Input!J$2,Date)</f>
        <v>NM</v>
      </c>
      <c r="I534" s="4" t="str">
        <f>_xll.ciqfunctions.udf.CIQ(InputTicker, "IQ_EBIT_5YR_ANN_CAGR",Input!K$2,Date)</f>
        <v>NM</v>
      </c>
      <c r="J534" s="4">
        <f>_xll.ciqfunctions.udf.CIQ(InputTicker, "IQ_EBIT_5YR_ANN_CAGR",Input!L$2,Date)</f>
        <v>39.621600000000001</v>
      </c>
      <c r="K534" s="4">
        <f>_xll.ciqfunctions.udf.CIQ(InputTicker, "IQ_EBIT_5YR_ANN_CAGR",Input!M$2,Date)</f>
        <v>46.964399999999998</v>
      </c>
      <c r="L534" s="4">
        <f>_xll.ciqfunctions.udf.CIQ(InputTicker, "IQ_EBIT_5YR_ANN_CAGR",Input!N$2,Date)</f>
        <v>309.27550000000002</v>
      </c>
      <c r="M534" s="4">
        <f>_xll.ciqfunctions.udf.CIQ(InputTicker, "IQ_EBIT_5YR_ANN_CAGR",Input!O$2,Date)</f>
        <v>84.192400000000006</v>
      </c>
      <c r="N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  <c r="BM534" s="42"/>
      <c r="BN534" s="42"/>
    </row>
    <row r="535" spans="1:66" ht="12.75" customHeight="1" x14ac:dyDescent="0.2">
      <c r="A535" s="19" t="s">
        <v>601</v>
      </c>
      <c r="B535" s="4">
        <f>_xll.ciqfunctions.udf.CIQ(InputTicker,  "IQ_NI_5YR_ANN_CAGR",Input!D$2,Date)</f>
        <v>18.912299999999998</v>
      </c>
      <c r="C535" s="4">
        <f>_xll.ciqfunctions.udf.CIQ(InputTicker,  "IQ_NI_5YR_ANN_CAGR",Input!E$2,Date)</f>
        <v>39.031199999999998</v>
      </c>
      <c r="D535" s="4" t="str">
        <f>_xll.ciqfunctions.udf.CIQ(InputTicker,  "IQ_NI_5YR_ANN_CAGR",Input!F$2,Date)</f>
        <v>NM</v>
      </c>
      <c r="E535" s="4">
        <f>_xll.ciqfunctions.udf.CIQ(InputTicker,  "IQ_NI_5YR_ANN_CAGR",Input!G$2,Date)</f>
        <v>20.0885</v>
      </c>
      <c r="F535" s="4">
        <f>_xll.ciqfunctions.udf.CIQ(InputTicker,  "IQ_NI_5YR_ANN_CAGR",Input!H$2,Date)</f>
        <v>-13.0647</v>
      </c>
      <c r="G535" s="4">
        <f>_xll.ciqfunctions.udf.CIQ(InputTicker,  "IQ_NI_5YR_ANN_CAGR",Input!I$2,Date)</f>
        <v>-35.223399999999998</v>
      </c>
      <c r="H535" s="4">
        <f>_xll.ciqfunctions.udf.CIQ(InputTicker,  "IQ_NI_5YR_ANN_CAGR",Input!J$2,Date)</f>
        <v>-63.455399999999997</v>
      </c>
      <c r="I535" s="4" t="str">
        <f>_xll.ciqfunctions.udf.CIQ(InputTicker,  "IQ_NI_5YR_ANN_CAGR",Input!K$2,Date)</f>
        <v>NM</v>
      </c>
      <c r="J535" s="4">
        <f>_xll.ciqfunctions.udf.CIQ(InputTicker,  "IQ_NI_5YR_ANN_CAGR",Input!L$2,Date)</f>
        <v>43.188899999999997</v>
      </c>
      <c r="K535" s="4">
        <f>_xll.ciqfunctions.udf.CIQ(InputTicker,  "IQ_NI_5YR_ANN_CAGR",Input!M$2,Date)</f>
        <v>38.652500000000003</v>
      </c>
      <c r="L535" s="4">
        <f>_xll.ciqfunctions.udf.CIQ(InputTicker,  "IQ_NI_5YR_ANN_CAGR",Input!N$2,Date)</f>
        <v>131.39519999999999</v>
      </c>
      <c r="M535" s="4">
        <f>_xll.ciqfunctions.udf.CIQ(InputTicker,  "IQ_NI_5YR_ANN_CAGR",Input!O$2,Date)</f>
        <v>76.685299999999998</v>
      </c>
      <c r="N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  <c r="BM535" s="42"/>
      <c r="BN535" s="42"/>
    </row>
    <row r="536" spans="1:66" ht="12.75" customHeight="1" x14ac:dyDescent="0.2">
      <c r="A536" s="19" t="s">
        <v>602</v>
      </c>
      <c r="B536" s="4">
        <f>_xll.ciqfunctions.udf.CIQ(InputTicker, "IQ_EPS_5YR_ANN_CAGR",Input!D$2,Date)</f>
        <v>18.5854</v>
      </c>
      <c r="C536" s="4">
        <f>_xll.ciqfunctions.udf.CIQ(InputTicker, "IQ_EPS_5YR_ANN_CAGR",Input!E$2,Date)</f>
        <v>38.746499999999997</v>
      </c>
      <c r="D536" s="4" t="str">
        <f>_xll.ciqfunctions.udf.CIQ(InputTicker, "IQ_EPS_5YR_ANN_CAGR",Input!F$2,Date)</f>
        <v>NM</v>
      </c>
      <c r="E536" s="4">
        <f>_xll.ciqfunctions.udf.CIQ(InputTicker, "IQ_EPS_5YR_ANN_CAGR",Input!G$2,Date)</f>
        <v>19.8828</v>
      </c>
      <c r="F536" s="4">
        <f>_xll.ciqfunctions.udf.CIQ(InputTicker, "IQ_EPS_5YR_ANN_CAGR",Input!H$2,Date)</f>
        <v>-13.116899999999999</v>
      </c>
      <c r="G536" s="4">
        <f>_xll.ciqfunctions.udf.CIQ(InputTicker, "IQ_EPS_5YR_ANN_CAGR",Input!I$2,Date)</f>
        <v>-35.2346</v>
      </c>
      <c r="H536" s="4">
        <f>_xll.ciqfunctions.udf.CIQ(InputTicker, "IQ_EPS_5YR_ANN_CAGR",Input!J$2,Date)</f>
        <v>-63.9071</v>
      </c>
      <c r="I536" s="4" t="str">
        <f>_xll.ciqfunctions.udf.CIQ(InputTicker, "IQ_EPS_5YR_ANN_CAGR",Input!K$2,Date)</f>
        <v>NM</v>
      </c>
      <c r="J536" s="4">
        <f>_xll.ciqfunctions.udf.CIQ(InputTicker, "IQ_EPS_5YR_ANN_CAGR",Input!L$2,Date)</f>
        <v>42.949800000000003</v>
      </c>
      <c r="K536" s="4">
        <f>_xll.ciqfunctions.udf.CIQ(InputTicker, "IQ_EPS_5YR_ANN_CAGR",Input!M$2,Date)</f>
        <v>38.441200000000002</v>
      </c>
      <c r="L536" s="4">
        <f>_xll.ciqfunctions.udf.CIQ(InputTicker, "IQ_EPS_5YR_ANN_CAGR",Input!N$2,Date)</f>
        <v>130.98419999999999</v>
      </c>
      <c r="M536" s="4">
        <f>_xll.ciqfunctions.udf.CIQ(InputTicker, "IQ_EPS_5YR_ANN_CAGR",Input!O$2,Date)</f>
        <v>76.7547</v>
      </c>
      <c r="N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  <c r="BM536" s="42"/>
      <c r="BN536" s="42"/>
    </row>
    <row r="537" spans="1:66" x14ac:dyDescent="0.2">
      <c r="A537" s="1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  <c r="BM537" s="42"/>
      <c r="BN537" s="42"/>
    </row>
  </sheetData>
  <phoneticPr fontId="3" type="noConversion"/>
  <printOptions horizontalCentered="1"/>
  <pageMargins left="0.25" right="0.25" top="0.25" bottom="0.25" header="0.25" footer="0.25"/>
  <pageSetup scale="22" orientation="landscape" r:id="rId1"/>
  <headerFooter alignWithMargins="0"/>
  <customProperties>
    <customPr name="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122"/>
  <sheetViews>
    <sheetView showGridLines="0" zoomScale="85" zoomScaleNormal="100" zoomScaleSheetLayoutView="85" workbookViewId="0">
      <pane xSplit="1" ySplit="2" topLeftCell="B64" activePane="bottomRight" state="frozen"/>
      <selection pane="topRight" activeCell="D1" sqref="D1"/>
      <selection pane="bottomLeft" activeCell="A8" sqref="A8"/>
      <selection pane="bottomRight" activeCell="K1" sqref="K1"/>
    </sheetView>
  </sheetViews>
  <sheetFormatPr defaultRowHeight="12.75" customHeight="1" x14ac:dyDescent="0.2"/>
  <cols>
    <col min="1" max="1" width="34.5703125" bestFit="1" customWidth="1"/>
    <col min="2" max="13" width="13.28515625" customWidth="1"/>
  </cols>
  <sheetData>
    <row r="1" spans="1:21" s="42" customFormat="1" x14ac:dyDescent="0.2">
      <c r="A1" s="3" t="s">
        <v>605</v>
      </c>
      <c r="B1" s="32" t="str">
        <f>"FY"&amp;RIGHT(YEAR(B2),2)</f>
        <v>FY15</v>
      </c>
      <c r="C1" s="32" t="str">
        <f t="shared" ref="C1:L1" si="0">"FY"&amp;RIGHT(YEAR(C2),2)</f>
        <v>FY16</v>
      </c>
      <c r="D1" s="32" t="str">
        <f t="shared" si="0"/>
        <v>FY17</v>
      </c>
      <c r="E1" s="32" t="str">
        <f t="shared" si="0"/>
        <v>FY18</v>
      </c>
      <c r="F1" s="32" t="str">
        <f t="shared" si="0"/>
        <v>FY19</v>
      </c>
      <c r="G1" s="32" t="str">
        <f t="shared" si="0"/>
        <v>FY20</v>
      </c>
      <c r="H1" s="32" t="str">
        <f t="shared" si="0"/>
        <v>FY21</v>
      </c>
      <c r="I1" s="32" t="str">
        <f t="shared" si="0"/>
        <v>FY22</v>
      </c>
      <c r="J1" s="32" t="str">
        <f t="shared" si="0"/>
        <v>FY23</v>
      </c>
      <c r="K1" s="32" t="str">
        <f t="shared" si="0"/>
        <v>FY24</v>
      </c>
      <c r="L1" s="32" t="str">
        <f t="shared" si="0"/>
        <v>FY25</v>
      </c>
      <c r="M1" s="32" t="s">
        <v>266</v>
      </c>
      <c r="S1" s="3"/>
      <c r="T1" s="2"/>
      <c r="U1" s="3"/>
    </row>
    <row r="2" spans="1:21" ht="12.75" customHeight="1" x14ac:dyDescent="0.2">
      <c r="A2" s="3" t="s">
        <v>408</v>
      </c>
      <c r="B2" s="24">
        <f>'Financial Statements'!B$2</f>
        <v>42154</v>
      </c>
      <c r="C2" s="24">
        <f>'Financial Statements'!C$2</f>
        <v>42518</v>
      </c>
      <c r="D2" s="24">
        <f>'Financial Statements'!D$2</f>
        <v>42889</v>
      </c>
      <c r="E2" s="24">
        <f>'Financial Statements'!E$2</f>
        <v>43253</v>
      </c>
      <c r="F2" s="24">
        <f>'Financial Statements'!F$2</f>
        <v>43617</v>
      </c>
      <c r="G2" s="24">
        <f>'Financial Statements'!G$2</f>
        <v>43981</v>
      </c>
      <c r="H2" s="24">
        <f>'Financial Statements'!H$2</f>
        <v>44345</v>
      </c>
      <c r="I2" s="24">
        <f>'Financial Statements'!I$2</f>
        <v>44709</v>
      </c>
      <c r="J2" s="24">
        <f>'Financial Statements'!J$2</f>
        <v>45080</v>
      </c>
      <c r="K2" s="24">
        <f>'Financial Statements'!K$2</f>
        <v>45444</v>
      </c>
      <c r="L2" s="24">
        <f>'Financial Statements'!L$2</f>
        <v>45808</v>
      </c>
      <c r="M2" s="24">
        <f>'Financial Statements'!M$2</f>
        <v>45990</v>
      </c>
    </row>
    <row r="3" spans="1:21" ht="12.75" customHeight="1" x14ac:dyDescent="0.2">
      <c r="A3" s="1" t="s">
        <v>57</v>
      </c>
      <c r="B3" s="25">
        <f>'Financial Statements'!B3/'Financial Statements'!B$10</f>
        <v>1</v>
      </c>
      <c r="C3" s="25">
        <f>'Financial Statements'!C3/'Financial Statements'!C$10</f>
        <v>1</v>
      </c>
      <c r="D3" s="25">
        <f>'Financial Statements'!D3/'Financial Statements'!D$10</f>
        <v>1</v>
      </c>
      <c r="E3" s="25">
        <f>'Financial Statements'!E3/'Financial Statements'!E$10</f>
        <v>1</v>
      </c>
      <c r="F3" s="25">
        <f>'Financial Statements'!F3/'Financial Statements'!F$10</f>
        <v>1</v>
      </c>
      <c r="G3" s="25">
        <f>'Financial Statements'!G3/'Financial Statements'!G$10</f>
        <v>1</v>
      </c>
      <c r="H3" s="25">
        <f>'Financial Statements'!H3/'Financial Statements'!H$10</f>
        <v>1</v>
      </c>
      <c r="I3" s="25">
        <f>'Financial Statements'!I3/'Financial Statements'!I$10</f>
        <v>1</v>
      </c>
      <c r="J3" s="25">
        <f>'Financial Statements'!J3/'Financial Statements'!J$10</f>
        <v>1</v>
      </c>
      <c r="K3" s="25">
        <f>'Financial Statements'!K3/'Financial Statements'!K$10</f>
        <v>1</v>
      </c>
      <c r="L3" s="25">
        <f>'Financial Statements'!L3/'Financial Statements'!L$10</f>
        <v>1</v>
      </c>
      <c r="M3" s="25">
        <f>'Financial Statements'!M3/'Financial Statements'!M$10</f>
        <v>1</v>
      </c>
    </row>
    <row r="4" spans="1:21" ht="12.75" customHeight="1" x14ac:dyDescent="0.2">
      <c r="A4" s="1" t="s">
        <v>157</v>
      </c>
      <c r="B4" s="25">
        <f>'Financial Statements'!B4/'Financial Statements'!B$10</f>
        <v>0</v>
      </c>
      <c r="C4" s="25">
        <f>'Financial Statements'!C4/'Financial Statements'!C$10</f>
        <v>0</v>
      </c>
      <c r="D4" s="25">
        <f>'Financial Statements'!D4/'Financial Statements'!D$10</f>
        <v>0</v>
      </c>
      <c r="E4" s="25">
        <f>'Financial Statements'!E4/'Financial Statements'!E$10</f>
        <v>0</v>
      </c>
      <c r="F4" s="25">
        <f>'Financial Statements'!F4/'Financial Statements'!F$10</f>
        <v>0</v>
      </c>
      <c r="G4" s="25">
        <f>'Financial Statements'!G4/'Financial Statements'!G$10</f>
        <v>0</v>
      </c>
      <c r="H4" s="25">
        <f>'Financial Statements'!H4/'Financial Statements'!H$10</f>
        <v>0</v>
      </c>
      <c r="I4" s="25">
        <f>'Financial Statements'!I4/'Financial Statements'!I$10</f>
        <v>0</v>
      </c>
      <c r="J4" s="25">
        <f>'Financial Statements'!J4/'Financial Statements'!J$10</f>
        <v>0</v>
      </c>
      <c r="K4" s="25">
        <f>'Financial Statements'!K4/'Financial Statements'!K$10</f>
        <v>0</v>
      </c>
      <c r="L4" s="25">
        <f>'Financial Statements'!L4/'Financial Statements'!L$10</f>
        <v>0</v>
      </c>
      <c r="M4" s="25">
        <f>'Financial Statements'!M4/'Financial Statements'!M$10</f>
        <v>0</v>
      </c>
    </row>
    <row r="5" spans="1:21" ht="12.75" customHeight="1" x14ac:dyDescent="0.2">
      <c r="A5" s="1" t="s">
        <v>158</v>
      </c>
      <c r="B5" s="25">
        <f>'Financial Statements'!B5/'Financial Statements'!B$10</f>
        <v>0</v>
      </c>
      <c r="C5" s="25">
        <f>'Financial Statements'!C5/'Financial Statements'!C$10</f>
        <v>0</v>
      </c>
      <c r="D5" s="25">
        <f>'Financial Statements'!D5/'Financial Statements'!D$10</f>
        <v>0</v>
      </c>
      <c r="E5" s="25">
        <f>'Financial Statements'!E5/'Financial Statements'!E$10</f>
        <v>0</v>
      </c>
      <c r="F5" s="25">
        <f>'Financial Statements'!F5/'Financial Statements'!F$10</f>
        <v>0</v>
      </c>
      <c r="G5" s="25">
        <f>'Financial Statements'!G5/'Financial Statements'!G$10</f>
        <v>0</v>
      </c>
      <c r="H5" s="25">
        <f>'Financial Statements'!H5/'Financial Statements'!H$10</f>
        <v>0</v>
      </c>
      <c r="I5" s="25">
        <f>'Financial Statements'!I5/'Financial Statements'!I$10</f>
        <v>0</v>
      </c>
      <c r="J5" s="25">
        <f>'Financial Statements'!J5/'Financial Statements'!J$10</f>
        <v>0</v>
      </c>
      <c r="K5" s="25">
        <f>'Financial Statements'!K5/'Financial Statements'!K$10</f>
        <v>0</v>
      </c>
      <c r="L5" s="25">
        <f>'Financial Statements'!L5/'Financial Statements'!L$10</f>
        <v>0</v>
      </c>
      <c r="M5" s="25">
        <f>'Financial Statements'!M5/'Financial Statements'!M$10</f>
        <v>0</v>
      </c>
    </row>
    <row r="6" spans="1:21" ht="12.75" customHeight="1" x14ac:dyDescent="0.2">
      <c r="A6" s="1" t="s">
        <v>276</v>
      </c>
      <c r="B6" s="25">
        <f>'Financial Statements'!B6/'Financial Statements'!B$10</f>
        <v>0</v>
      </c>
      <c r="C6" s="25">
        <f>'Financial Statements'!C6/'Financial Statements'!C$10</f>
        <v>0</v>
      </c>
      <c r="D6" s="25">
        <f>'Financial Statements'!D6/'Financial Statements'!D$10</f>
        <v>0</v>
      </c>
      <c r="E6" s="25">
        <f>'Financial Statements'!E6/'Financial Statements'!E$10</f>
        <v>0</v>
      </c>
      <c r="F6" s="25">
        <f>'Financial Statements'!F6/'Financial Statements'!F$10</f>
        <v>0</v>
      </c>
      <c r="G6" s="25">
        <f>'Financial Statements'!G6/'Financial Statements'!G$10</f>
        <v>0</v>
      </c>
      <c r="H6" s="25">
        <f>'Financial Statements'!H6/'Financial Statements'!H$10</f>
        <v>0</v>
      </c>
      <c r="I6" s="25">
        <f>'Financial Statements'!I6/'Financial Statements'!I$10</f>
        <v>0</v>
      </c>
      <c r="J6" s="25">
        <f>'Financial Statements'!J6/'Financial Statements'!J$10</f>
        <v>0</v>
      </c>
      <c r="K6" s="25">
        <f>'Financial Statements'!K6/'Financial Statements'!K$10</f>
        <v>0</v>
      </c>
      <c r="L6" s="25">
        <f>'Financial Statements'!L6/'Financial Statements'!L$10</f>
        <v>0</v>
      </c>
      <c r="M6" s="25">
        <f>'Financial Statements'!M6/'Financial Statements'!M$10</f>
        <v>0</v>
      </c>
    </row>
    <row r="7" spans="1:21" ht="12.75" customHeight="1" x14ac:dyDescent="0.2">
      <c r="A7" s="1" t="s">
        <v>277</v>
      </c>
      <c r="B7" s="25">
        <f>'Financial Statements'!B7/'Financial Statements'!B$10</f>
        <v>0</v>
      </c>
      <c r="C7" s="25">
        <f>'Financial Statements'!C7/'Financial Statements'!C$10</f>
        <v>0</v>
      </c>
      <c r="D7" s="25">
        <f>'Financial Statements'!D7/'Financial Statements'!D$10</f>
        <v>0</v>
      </c>
      <c r="E7" s="25">
        <f>'Financial Statements'!E7/'Financial Statements'!E$10</f>
        <v>0</v>
      </c>
      <c r="F7" s="25">
        <f>'Financial Statements'!F7/'Financial Statements'!F$10</f>
        <v>0</v>
      </c>
      <c r="G7" s="25">
        <f>'Financial Statements'!G7/'Financial Statements'!G$10</f>
        <v>0</v>
      </c>
      <c r="H7" s="25">
        <f>'Financial Statements'!H7/'Financial Statements'!H$10</f>
        <v>0</v>
      </c>
      <c r="I7" s="25">
        <f>'Financial Statements'!I7/'Financial Statements'!I$10</f>
        <v>0</v>
      </c>
      <c r="J7" s="25">
        <f>'Financial Statements'!J7/'Financial Statements'!J$10</f>
        <v>0</v>
      </c>
      <c r="K7" s="25">
        <f>'Financial Statements'!K7/'Financial Statements'!K$10</f>
        <v>0</v>
      </c>
      <c r="L7" s="25">
        <f>'Financial Statements'!L7/'Financial Statements'!L$10</f>
        <v>0</v>
      </c>
      <c r="M7" s="25">
        <f>'Financial Statements'!M7/'Financial Statements'!M$10</f>
        <v>0</v>
      </c>
    </row>
    <row r="8" spans="1:21" ht="12.75" customHeight="1" x14ac:dyDescent="0.2">
      <c r="A8" s="1" t="s">
        <v>159</v>
      </c>
      <c r="B8" s="25">
        <f>'Financial Statements'!B8/'Financial Statements'!B$10</f>
        <v>0</v>
      </c>
      <c r="C8" s="25">
        <f>'Financial Statements'!C8/'Financial Statements'!C$10</f>
        <v>0</v>
      </c>
      <c r="D8" s="25">
        <f>'Financial Statements'!D8/'Financial Statements'!D$10</f>
        <v>0</v>
      </c>
      <c r="E8" s="25">
        <f>'Financial Statements'!E8/'Financial Statements'!E$10</f>
        <v>0</v>
      </c>
      <c r="F8" s="25">
        <f>'Financial Statements'!F8/'Financial Statements'!F$10</f>
        <v>0</v>
      </c>
      <c r="G8" s="25">
        <f>'Financial Statements'!G8/'Financial Statements'!G$10</f>
        <v>0</v>
      </c>
      <c r="H8" s="25">
        <f>'Financial Statements'!H8/'Financial Statements'!H$10</f>
        <v>0</v>
      </c>
      <c r="I8" s="25">
        <f>'Financial Statements'!I8/'Financial Statements'!I$10</f>
        <v>0</v>
      </c>
      <c r="J8" s="25">
        <f>'Financial Statements'!J8/'Financial Statements'!J$10</f>
        <v>0</v>
      </c>
      <c r="K8" s="25">
        <f>'Financial Statements'!K8/'Financial Statements'!K$10</f>
        <v>0</v>
      </c>
      <c r="L8" s="25">
        <f>'Financial Statements'!L8/'Financial Statements'!L$10</f>
        <v>0</v>
      </c>
      <c r="M8" s="25">
        <f>'Financial Statements'!M8/'Financial Statements'!M$10</f>
        <v>0</v>
      </c>
    </row>
    <row r="9" spans="1:21" ht="12.75" customHeight="1" x14ac:dyDescent="0.2">
      <c r="A9" s="1" t="s">
        <v>123</v>
      </c>
      <c r="B9" s="25">
        <f>'Financial Statements'!B9/'Financial Statements'!B$10</f>
        <v>0</v>
      </c>
      <c r="C9" s="25">
        <f>'Financial Statements'!C9/'Financial Statements'!C$10</f>
        <v>0</v>
      </c>
      <c r="D9" s="25">
        <f>'Financial Statements'!D9/'Financial Statements'!D$10</f>
        <v>0</v>
      </c>
      <c r="E9" s="25">
        <f>'Financial Statements'!E9/'Financial Statements'!E$10</f>
        <v>0</v>
      </c>
      <c r="F9" s="25">
        <f>'Financial Statements'!F9/'Financial Statements'!F$10</f>
        <v>0</v>
      </c>
      <c r="G9" s="25">
        <f>'Financial Statements'!G9/'Financial Statements'!G$10</f>
        <v>0</v>
      </c>
      <c r="H9" s="25">
        <f>'Financial Statements'!H9/'Financial Statements'!H$10</f>
        <v>0</v>
      </c>
      <c r="I9" s="25">
        <f>'Financial Statements'!I9/'Financial Statements'!I$10</f>
        <v>0</v>
      </c>
      <c r="J9" s="25">
        <f>'Financial Statements'!J9/'Financial Statements'!J$10</f>
        <v>0</v>
      </c>
      <c r="K9" s="25">
        <f>'Financial Statements'!K9/'Financial Statements'!K$10</f>
        <v>0</v>
      </c>
      <c r="L9" s="25">
        <f>'Financial Statements'!L9/'Financial Statements'!L$10</f>
        <v>0</v>
      </c>
      <c r="M9" s="25">
        <f>'Financial Statements'!M9/'Financial Statements'!M$10</f>
        <v>0</v>
      </c>
    </row>
    <row r="10" spans="1:21" ht="12.75" customHeight="1" x14ac:dyDescent="0.2">
      <c r="A10" s="5" t="s">
        <v>58</v>
      </c>
      <c r="B10" s="26">
        <f>'Financial Statements'!B10/'Financial Statements'!B$10</f>
        <v>1</v>
      </c>
      <c r="C10" s="26">
        <f>'Financial Statements'!C10/'Financial Statements'!C$10</f>
        <v>1</v>
      </c>
      <c r="D10" s="26">
        <f>'Financial Statements'!D10/'Financial Statements'!D$10</f>
        <v>1</v>
      </c>
      <c r="E10" s="26">
        <f>'Financial Statements'!E10/'Financial Statements'!E$10</f>
        <v>1</v>
      </c>
      <c r="F10" s="26">
        <f>'Financial Statements'!F10/'Financial Statements'!F$10</f>
        <v>1</v>
      </c>
      <c r="G10" s="26">
        <f>'Financial Statements'!G10/'Financial Statements'!G$10</f>
        <v>1</v>
      </c>
      <c r="H10" s="26">
        <f>'Financial Statements'!H10/'Financial Statements'!H$10</f>
        <v>1</v>
      </c>
      <c r="I10" s="26">
        <f>'Financial Statements'!I10/'Financial Statements'!I$10</f>
        <v>1</v>
      </c>
      <c r="J10" s="26">
        <f>'Financial Statements'!J10/'Financial Statements'!J$10</f>
        <v>1</v>
      </c>
      <c r="K10" s="26">
        <f>'Financial Statements'!K10/'Financial Statements'!K$10</f>
        <v>1</v>
      </c>
      <c r="L10" s="26">
        <f>'Financial Statements'!L10/'Financial Statements'!L$10</f>
        <v>1</v>
      </c>
      <c r="M10" s="26">
        <f>'Financial Statements'!M10/'Financial Statements'!M$10</f>
        <v>1</v>
      </c>
    </row>
    <row r="11" spans="1:21" ht="12.75" customHeight="1" x14ac:dyDescent="0.2">
      <c r="A11" s="1" t="s">
        <v>124</v>
      </c>
      <c r="B11" s="25">
        <f>'Financial Statements'!B11/'Financial Statements'!B$10</f>
        <v>0.74892838652698257</v>
      </c>
      <c r="C11" s="25">
        <f>'Financial Statements'!C11/'Financial Statements'!C$10</f>
        <v>0.66045424776674611</v>
      </c>
      <c r="D11" s="25">
        <f>'Financial Statements'!D11/'Financial Statements'!D$10</f>
        <v>0.95760870273323828</v>
      </c>
      <c r="E11" s="25">
        <f>'Financial Statements'!E11/'Financial Statements'!E$10</f>
        <v>0.7597722318774236</v>
      </c>
      <c r="F11" s="25">
        <f>'Financial Statements'!F11/'Financial Statements'!F$10</f>
        <v>0.83627610587222323</v>
      </c>
      <c r="G11" s="25">
        <f>'Financial Statements'!G11/'Financial Statements'!G$10</f>
        <v>0.86713021295359827</v>
      </c>
      <c r="H11" s="25">
        <f>'Financial Statements'!H11/'Financial Statements'!H$10</f>
        <v>0.88090248460511478</v>
      </c>
      <c r="I11" s="25">
        <f>'Financial Statements'!I11/'Financial Statements'!I$10</f>
        <v>0.81033829837397764</v>
      </c>
      <c r="J11" s="25">
        <f>'Financial Statements'!J11/'Financial Statements'!J$10</f>
        <v>0.61971567758994373</v>
      </c>
      <c r="K11" s="25">
        <f>'Financial Statements'!K11/'Financial Statements'!K$10</f>
        <v>0.76721071610179137</v>
      </c>
      <c r="L11" s="25">
        <f>'Financial Statements'!L11/'Financial Statements'!L$10</f>
        <v>0.56571212034111662</v>
      </c>
      <c r="M11" s="25">
        <f>'Financial Statements'!M11/'Financial Statements'!M$10</f>
        <v>0.58078820575002432</v>
      </c>
    </row>
    <row r="12" spans="1:21" ht="12.75" customHeight="1" x14ac:dyDescent="0.2">
      <c r="A12" s="1" t="s">
        <v>160</v>
      </c>
      <c r="B12" s="25">
        <f>'Financial Statements'!B12/'Financial Statements'!B$10</f>
        <v>0</v>
      </c>
      <c r="C12" s="25">
        <f>'Financial Statements'!C12/'Financial Statements'!C$10</f>
        <v>0</v>
      </c>
      <c r="D12" s="25">
        <f>'Financial Statements'!D12/'Financial Statements'!D$10</f>
        <v>0</v>
      </c>
      <c r="E12" s="25">
        <f>'Financial Statements'!E12/'Financial Statements'!E$10</f>
        <v>0</v>
      </c>
      <c r="F12" s="25">
        <f>'Financial Statements'!F12/'Financial Statements'!F$10</f>
        <v>0</v>
      </c>
      <c r="G12" s="25">
        <f>'Financial Statements'!G12/'Financial Statements'!G$10</f>
        <v>0</v>
      </c>
      <c r="H12" s="25">
        <f>'Financial Statements'!H12/'Financial Statements'!H$10</f>
        <v>0</v>
      </c>
      <c r="I12" s="25">
        <f>'Financial Statements'!I12/'Financial Statements'!I$10</f>
        <v>0</v>
      </c>
      <c r="J12" s="25">
        <f>'Financial Statements'!J12/'Financial Statements'!J$10</f>
        <v>0</v>
      </c>
      <c r="K12" s="25">
        <f>'Financial Statements'!K12/'Financial Statements'!K$10</f>
        <v>0</v>
      </c>
      <c r="L12" s="25">
        <f>'Financial Statements'!L12/'Financial Statements'!L$10</f>
        <v>0</v>
      </c>
      <c r="M12" s="25">
        <f>'Financial Statements'!M12/'Financial Statements'!M$10</f>
        <v>0</v>
      </c>
    </row>
    <row r="13" spans="1:21" ht="12.75" customHeight="1" x14ac:dyDescent="0.2">
      <c r="A13" s="1" t="s">
        <v>161</v>
      </c>
      <c r="B13" s="25">
        <f>'Financial Statements'!B13/'Financial Statements'!B$10</f>
        <v>0</v>
      </c>
      <c r="C13" s="25">
        <f>'Financial Statements'!C13/'Financial Statements'!C$10</f>
        <v>0</v>
      </c>
      <c r="D13" s="25">
        <f>'Financial Statements'!D13/'Financial Statements'!D$10</f>
        <v>0</v>
      </c>
      <c r="E13" s="25">
        <f>'Financial Statements'!E13/'Financial Statements'!E$10</f>
        <v>0</v>
      </c>
      <c r="F13" s="25">
        <f>'Financial Statements'!F13/'Financial Statements'!F$10</f>
        <v>0</v>
      </c>
      <c r="G13" s="25">
        <f>'Financial Statements'!G13/'Financial Statements'!G$10</f>
        <v>0</v>
      </c>
      <c r="H13" s="25">
        <f>'Financial Statements'!H13/'Financial Statements'!H$10</f>
        <v>0</v>
      </c>
      <c r="I13" s="25">
        <f>'Financial Statements'!I13/'Financial Statements'!I$10</f>
        <v>0</v>
      </c>
      <c r="J13" s="25">
        <f>'Financial Statements'!J13/'Financial Statements'!J$10</f>
        <v>0</v>
      </c>
      <c r="K13" s="25">
        <f>'Financial Statements'!K13/'Financial Statements'!K$10</f>
        <v>0</v>
      </c>
      <c r="L13" s="25">
        <f>'Financial Statements'!L13/'Financial Statements'!L$10</f>
        <v>0</v>
      </c>
      <c r="M13" s="25">
        <f>'Financial Statements'!M13/'Financial Statements'!M$10</f>
        <v>0</v>
      </c>
    </row>
    <row r="14" spans="1:21" ht="12.75" customHeight="1" x14ac:dyDescent="0.2">
      <c r="A14" s="1" t="s">
        <v>162</v>
      </c>
      <c r="B14" s="25">
        <f>'Financial Statements'!B14/'Financial Statements'!B$10</f>
        <v>0</v>
      </c>
      <c r="C14" s="25">
        <f>'Financial Statements'!C14/'Financial Statements'!C$10</f>
        <v>0</v>
      </c>
      <c r="D14" s="25">
        <f>'Financial Statements'!D14/'Financial Statements'!D$10</f>
        <v>0</v>
      </c>
      <c r="E14" s="25">
        <f>'Financial Statements'!E14/'Financial Statements'!E$10</f>
        <v>0</v>
      </c>
      <c r="F14" s="25">
        <f>'Financial Statements'!F14/'Financial Statements'!F$10</f>
        <v>0</v>
      </c>
      <c r="G14" s="25">
        <f>'Financial Statements'!G14/'Financial Statements'!G$10</f>
        <v>0</v>
      </c>
      <c r="H14" s="25">
        <f>'Financial Statements'!H14/'Financial Statements'!H$10</f>
        <v>0</v>
      </c>
      <c r="I14" s="25">
        <f>'Financial Statements'!I14/'Financial Statements'!I$10</f>
        <v>0</v>
      </c>
      <c r="J14" s="25">
        <f>'Financial Statements'!J14/'Financial Statements'!J$10</f>
        <v>0</v>
      </c>
      <c r="K14" s="25">
        <f>'Financial Statements'!K14/'Financial Statements'!K$10</f>
        <v>0</v>
      </c>
      <c r="L14" s="25">
        <f>'Financial Statements'!L14/'Financial Statements'!L$10</f>
        <v>0</v>
      </c>
      <c r="M14" s="25">
        <f>'Financial Statements'!M14/'Financial Statements'!M$10</f>
        <v>0</v>
      </c>
    </row>
    <row r="15" spans="1:21" ht="12.75" customHeight="1" x14ac:dyDescent="0.2">
      <c r="A15" s="5" t="s">
        <v>53</v>
      </c>
      <c r="B15" s="26">
        <f>'Financial Statements'!B15/'Financial Statements'!B$10</f>
        <v>0.25107161347301743</v>
      </c>
      <c r="C15" s="26">
        <f>'Financial Statements'!C15/'Financial Statements'!C$10</f>
        <v>0.33954575223325384</v>
      </c>
      <c r="D15" s="26">
        <f>'Financial Statements'!D15/'Financial Statements'!D$10</f>
        <v>4.2391297266761781E-2</v>
      </c>
      <c r="E15" s="26">
        <f>'Financial Statements'!E15/'Financial Statements'!E$10</f>
        <v>0.2402277681225764</v>
      </c>
      <c r="F15" s="26">
        <f>'Financial Statements'!F15/'Financial Statements'!F$10</f>
        <v>0.1637238941277766</v>
      </c>
      <c r="G15" s="26">
        <f>'Financial Statements'!G15/'Financial Statements'!G$10</f>
        <v>0.13286978704640173</v>
      </c>
      <c r="H15" s="26">
        <f>'Financial Statements'!H15/'Financial Statements'!H$10</f>
        <v>0.1190975153948852</v>
      </c>
      <c r="I15" s="26">
        <f>'Financial Statements'!I15/'Financial Statements'!I$10</f>
        <v>0.18966170162602222</v>
      </c>
      <c r="J15" s="26">
        <f>'Financial Statements'!J15/'Financial Statements'!J$10</f>
        <v>0.38028432241005627</v>
      </c>
      <c r="K15" s="26">
        <f>'Financial Statements'!K15/'Financial Statements'!K$10</f>
        <v>0.23278928389820855</v>
      </c>
      <c r="L15" s="26">
        <f>'Financial Statements'!L15/'Financial Statements'!L$10</f>
        <v>0.43428787965888332</v>
      </c>
      <c r="M15" s="26">
        <f>'Financial Statements'!M15/'Financial Statements'!M$10</f>
        <v>0.41921179424997562</v>
      </c>
    </row>
    <row r="16" spans="1:21" ht="12.75" customHeight="1" x14ac:dyDescent="0.2">
      <c r="A16" s="1" t="s">
        <v>125</v>
      </c>
      <c r="B16" s="25">
        <f>'Financial Statements'!B16/'Financial Statements'!B$10</f>
        <v>0.10175950176635401</v>
      </c>
      <c r="C16" s="25">
        <f>'Financial Statements'!C16/'Financial Statements'!C$10</f>
        <v>9.3133890446126841E-2</v>
      </c>
      <c r="D16" s="25">
        <f>'Financial Statements'!D16/'Financial Statements'!D$10</f>
        <v>0.16382491417041956</v>
      </c>
      <c r="E16" s="25">
        <f>'Financial Statements'!E16/'Financial Statements'!E$10</f>
        <v>0.1193107871813229</v>
      </c>
      <c r="F16" s="25">
        <f>'Financial Statements'!F16/'Financial Statements'!F$10</f>
        <v>0.13006653011927813</v>
      </c>
      <c r="G16" s="25">
        <f>'Financial Statements'!G16/'Financial Statements'!G$10</f>
        <v>0.13187023762049527</v>
      </c>
      <c r="H16" s="25">
        <f>'Financial Statements'!H16/'Financial Statements'!H$10</f>
        <v>0.13635639187034418</v>
      </c>
      <c r="I16" s="25">
        <f>'Financial Statements'!I16/'Financial Statements'!I$10</f>
        <v>0.11176884004188707</v>
      </c>
      <c r="J16" s="25">
        <f>'Financial Statements'!J16/'Financial Statements'!J$10</f>
        <v>7.3805144400402131E-2</v>
      </c>
      <c r="K16" s="25">
        <f>'Financial Statements'!K16/'Financial Statements'!K$10</f>
        <v>9.7778883901303404E-2</v>
      </c>
      <c r="L16" s="25">
        <f>'Financial Statements'!L16/'Financial Statements'!L$10</f>
        <v>7.0262102332653273E-2</v>
      </c>
      <c r="M16" s="25">
        <f>'Financial Statements'!M16/'Financial Statements'!M$10</f>
        <v>7.3619365445313958E-2</v>
      </c>
    </row>
    <row r="17" spans="1:13" ht="12.75" customHeight="1" x14ac:dyDescent="0.2">
      <c r="A17" s="1" t="s">
        <v>209</v>
      </c>
      <c r="B17" s="25">
        <f>'Financial Statements'!B17/'Financial Statements'!B$10</f>
        <v>0</v>
      </c>
      <c r="C17" s="25">
        <f>'Financial Statements'!C17/'Financial Statements'!C$10</f>
        <v>0</v>
      </c>
      <c r="D17" s="25">
        <f>'Financial Statements'!D17/'Financial Statements'!D$10</f>
        <v>0</v>
      </c>
      <c r="E17" s="25">
        <f>'Financial Statements'!E17/'Financial Statements'!E$10</f>
        <v>0</v>
      </c>
      <c r="F17" s="25">
        <f>'Financial Statements'!F17/'Financial Statements'!F$10</f>
        <v>0</v>
      </c>
      <c r="G17" s="25">
        <f>'Financial Statements'!G17/'Financial Statements'!G$10</f>
        <v>0</v>
      </c>
      <c r="H17" s="25">
        <f>'Financial Statements'!H17/'Financial Statements'!H$10</f>
        <v>0</v>
      </c>
      <c r="I17" s="25">
        <f>'Financial Statements'!I17/'Financial Statements'!I$10</f>
        <v>0</v>
      </c>
      <c r="J17" s="25">
        <f>'Financial Statements'!J17/'Financial Statements'!J$10</f>
        <v>0</v>
      </c>
      <c r="K17" s="25">
        <f>'Financial Statements'!K17/'Financial Statements'!K$10</f>
        <v>0</v>
      </c>
      <c r="L17" s="25">
        <f>'Financial Statements'!L17/'Financial Statements'!L$10</f>
        <v>0</v>
      </c>
      <c r="M17" s="25">
        <f>'Financial Statements'!M17/'Financial Statements'!M$10</f>
        <v>0</v>
      </c>
    </row>
    <row r="18" spans="1:13" ht="12.75" customHeight="1" x14ac:dyDescent="0.2">
      <c r="A18" s="1" t="s">
        <v>210</v>
      </c>
      <c r="B18" s="25">
        <f>'Financial Statements'!B18/'Financial Statements'!B$10</f>
        <v>0</v>
      </c>
      <c r="C18" s="25">
        <f>'Financial Statements'!C18/'Financial Statements'!C$10</f>
        <v>0</v>
      </c>
      <c r="D18" s="25">
        <f>'Financial Statements'!D18/'Financial Statements'!D$10</f>
        <v>0</v>
      </c>
      <c r="E18" s="25">
        <f>'Financial Statements'!E18/'Financial Statements'!E$10</f>
        <v>0</v>
      </c>
      <c r="F18" s="25">
        <f>'Financial Statements'!F18/'Financial Statements'!F$10</f>
        <v>0</v>
      </c>
      <c r="G18" s="25">
        <f>'Financial Statements'!G18/'Financial Statements'!G$10</f>
        <v>0</v>
      </c>
      <c r="H18" s="25">
        <f>'Financial Statements'!H18/'Financial Statements'!H$10</f>
        <v>0</v>
      </c>
      <c r="I18" s="25">
        <f>'Financial Statements'!I18/'Financial Statements'!I$10</f>
        <v>0</v>
      </c>
      <c r="J18" s="25">
        <f>'Financial Statements'!J18/'Financial Statements'!J$10</f>
        <v>0</v>
      </c>
      <c r="K18" s="25">
        <f>'Financial Statements'!K18/'Financial Statements'!K$10</f>
        <v>0</v>
      </c>
      <c r="L18" s="25">
        <f>'Financial Statements'!L18/'Financial Statements'!L$10</f>
        <v>0</v>
      </c>
      <c r="M18" s="25">
        <f>'Financial Statements'!M18/'Financial Statements'!M$10</f>
        <v>0</v>
      </c>
    </row>
    <row r="19" spans="1:13" ht="12.75" customHeight="1" x14ac:dyDescent="0.2">
      <c r="A19" s="1" t="s">
        <v>203</v>
      </c>
      <c r="B19" s="25">
        <f>'Financial Statements'!B19/'Financial Statements'!B$10</f>
        <v>0</v>
      </c>
      <c r="C19" s="25">
        <f>'Financial Statements'!C19/'Financial Statements'!C$10</f>
        <v>0</v>
      </c>
      <c r="D19" s="25">
        <f>'Financial Statements'!D19/'Financial Statements'!D$10</f>
        <v>0</v>
      </c>
      <c r="E19" s="25">
        <f>'Financial Statements'!E19/'Financial Statements'!E$10</f>
        <v>0</v>
      </c>
      <c r="F19" s="25">
        <f>'Financial Statements'!F19/'Financial Statements'!F$10</f>
        <v>0</v>
      </c>
      <c r="G19" s="25">
        <f>'Financial Statements'!G19/'Financial Statements'!G$10</f>
        <v>0</v>
      </c>
      <c r="H19" s="25">
        <f>'Financial Statements'!H19/'Financial Statements'!H$10</f>
        <v>0</v>
      </c>
      <c r="I19" s="25">
        <f>'Financial Statements'!I19/'Financial Statements'!I$10</f>
        <v>0</v>
      </c>
      <c r="J19" s="25">
        <f>'Financial Statements'!J19/'Financial Statements'!J$10</f>
        <v>0</v>
      </c>
      <c r="K19" s="25">
        <f>'Financial Statements'!K19/'Financial Statements'!K$10</f>
        <v>0</v>
      </c>
      <c r="L19" s="25">
        <f>'Financial Statements'!L19/'Financial Statements'!L$10</f>
        <v>0</v>
      </c>
      <c r="M19" s="25">
        <f>'Financial Statements'!M19/'Financial Statements'!M$10</f>
        <v>0</v>
      </c>
    </row>
    <row r="20" spans="1:13" ht="12.75" customHeight="1" x14ac:dyDescent="0.2">
      <c r="A20" s="1" t="s">
        <v>211</v>
      </c>
      <c r="B20" s="25">
        <f>'Financial Statements'!B20/'Financial Statements'!B$10</f>
        <v>0</v>
      </c>
      <c r="C20" s="25">
        <f>'Financial Statements'!C20/'Financial Statements'!C$10</f>
        <v>0</v>
      </c>
      <c r="D20" s="25">
        <f>'Financial Statements'!D20/'Financial Statements'!D$10</f>
        <v>0</v>
      </c>
      <c r="E20" s="25">
        <f>'Financial Statements'!E20/'Financial Statements'!E$10</f>
        <v>0</v>
      </c>
      <c r="F20" s="25">
        <f>'Financial Statements'!F20/'Financial Statements'!F$10</f>
        <v>0</v>
      </c>
      <c r="G20" s="25">
        <f>'Financial Statements'!G20/'Financial Statements'!G$10</f>
        <v>0</v>
      </c>
      <c r="H20" s="25">
        <f>'Financial Statements'!H20/'Financial Statements'!H$10</f>
        <v>0</v>
      </c>
      <c r="I20" s="25">
        <f>'Financial Statements'!I20/'Financial Statements'!I$10</f>
        <v>0</v>
      </c>
      <c r="J20" s="25">
        <f>'Financial Statements'!J20/'Financial Statements'!J$10</f>
        <v>0</v>
      </c>
      <c r="K20" s="25">
        <f>'Financial Statements'!K20/'Financial Statements'!K$10</f>
        <v>0</v>
      </c>
      <c r="L20" s="25">
        <f>'Financial Statements'!L20/'Financial Statements'!L$10</f>
        <v>0</v>
      </c>
      <c r="M20" s="25">
        <f>'Financial Statements'!M20/'Financial Statements'!M$10</f>
        <v>0</v>
      </c>
    </row>
    <row r="21" spans="1:13" ht="12.75" customHeight="1" x14ac:dyDescent="0.2">
      <c r="A21" s="1" t="s">
        <v>59</v>
      </c>
      <c r="B21" s="25">
        <f>'Financial Statements'!B21/'Financial Statements'!B$10</f>
        <v>0</v>
      </c>
      <c r="C21" s="25">
        <f>'Financial Statements'!C21/'Financial Statements'!C$10</f>
        <v>0</v>
      </c>
      <c r="D21" s="25">
        <f>'Financial Statements'!D21/'Financial Statements'!D$10</f>
        <v>0</v>
      </c>
      <c r="E21" s="25">
        <f>'Financial Statements'!E21/'Financial Statements'!E$10</f>
        <v>0</v>
      </c>
      <c r="F21" s="25">
        <f>'Financial Statements'!F21/'Financial Statements'!F$10</f>
        <v>0</v>
      </c>
      <c r="G21" s="25">
        <f>'Financial Statements'!G21/'Financial Statements'!G$10</f>
        <v>0</v>
      </c>
      <c r="H21" s="25">
        <f>'Financial Statements'!H21/'Financial Statements'!H$10</f>
        <v>0</v>
      </c>
      <c r="I21" s="25">
        <f>'Financial Statements'!I21/'Financial Statements'!I$10</f>
        <v>0</v>
      </c>
      <c r="J21" s="25">
        <f>'Financial Statements'!J21/'Financial Statements'!J$10</f>
        <v>0</v>
      </c>
      <c r="K21" s="25">
        <f>'Financial Statements'!K21/'Financial Statements'!K$10</f>
        <v>0</v>
      </c>
      <c r="L21" s="25">
        <f>'Financial Statements'!L21/'Financial Statements'!L$10</f>
        <v>0</v>
      </c>
      <c r="M21" s="25">
        <f>'Financial Statements'!M21/'Financial Statements'!M$10</f>
        <v>0</v>
      </c>
    </row>
    <row r="22" spans="1:13" ht="12.75" customHeight="1" x14ac:dyDescent="0.2">
      <c r="A22" s="1" t="s">
        <v>126</v>
      </c>
      <c r="B22" s="25">
        <f>'Financial Statements'!B22/'Financial Statements'!B$10</f>
        <v>0</v>
      </c>
      <c r="C22" s="25">
        <f>'Financial Statements'!C22/'Financial Statements'!C$10</f>
        <v>0</v>
      </c>
      <c r="D22" s="25">
        <f>'Financial Statements'!D22/'Financial Statements'!D$10</f>
        <v>0</v>
      </c>
      <c r="E22" s="25">
        <f>'Financial Statements'!E22/'Financial Statements'!E$10</f>
        <v>0</v>
      </c>
      <c r="F22" s="25">
        <f>'Financial Statements'!F22/'Financial Statements'!F$10</f>
        <v>0</v>
      </c>
      <c r="G22" s="25">
        <f>'Financial Statements'!G22/'Financial Statements'!G$10</f>
        <v>0</v>
      </c>
      <c r="H22" s="25">
        <f>'Financial Statements'!H22/'Financial Statements'!H$10</f>
        <v>0</v>
      </c>
      <c r="I22" s="25">
        <f>'Financial Statements'!I22/'Financial Statements'!I$10</f>
        <v>0</v>
      </c>
      <c r="J22" s="25">
        <f>'Financial Statements'!J22/'Financial Statements'!J$10</f>
        <v>0</v>
      </c>
      <c r="K22" s="25">
        <f>'Financial Statements'!K22/'Financial Statements'!K$10</f>
        <v>0</v>
      </c>
      <c r="L22" s="25">
        <f>'Financial Statements'!L22/'Financial Statements'!L$10</f>
        <v>0</v>
      </c>
      <c r="M22" s="25">
        <f>'Financial Statements'!M22/'Financial Statements'!M$10</f>
        <v>0</v>
      </c>
    </row>
    <row r="23" spans="1:13" ht="12.75" customHeight="1" x14ac:dyDescent="0.2">
      <c r="A23" s="1" t="s">
        <v>141</v>
      </c>
      <c r="B23" s="25">
        <f>'Financial Statements'!B23/'Financial Statements'!B$10</f>
        <v>0</v>
      </c>
      <c r="C23" s="25">
        <f>'Financial Statements'!C23/'Financial Statements'!C$10</f>
        <v>0</v>
      </c>
      <c r="D23" s="25">
        <f>'Financial Statements'!D23/'Financial Statements'!D$10</f>
        <v>0</v>
      </c>
      <c r="E23" s="25">
        <f>'Financial Statements'!E23/'Financial Statements'!E$10</f>
        <v>0</v>
      </c>
      <c r="F23" s="25">
        <f>'Financial Statements'!F23/'Financial Statements'!F$10</f>
        <v>0</v>
      </c>
      <c r="G23" s="25">
        <f>'Financial Statements'!G23/'Financial Statements'!G$10</f>
        <v>0</v>
      </c>
      <c r="H23" s="25">
        <f>'Financial Statements'!H23/'Financial Statements'!H$10</f>
        <v>0</v>
      </c>
      <c r="I23" s="25">
        <f>'Financial Statements'!I23/'Financial Statements'!I$10</f>
        <v>0</v>
      </c>
      <c r="J23" s="25">
        <f>'Financial Statements'!J23/'Financial Statements'!J$10</f>
        <v>0</v>
      </c>
      <c r="K23" s="25">
        <f>'Financial Statements'!K23/'Financial Statements'!K$10</f>
        <v>0</v>
      </c>
      <c r="L23" s="25">
        <f>'Financial Statements'!L23/'Financial Statements'!L$10</f>
        <v>0</v>
      </c>
      <c r="M23" s="25">
        <f>'Financial Statements'!M23/'Financial Statements'!M$10</f>
        <v>0</v>
      </c>
    </row>
    <row r="24" spans="1:13" ht="12.75" customHeight="1" x14ac:dyDescent="0.2">
      <c r="A24" s="1" t="s">
        <v>197</v>
      </c>
      <c r="B24" s="25">
        <f>'Financial Statements'!B24/'Financial Statements'!B$10</f>
        <v>0</v>
      </c>
      <c r="C24" s="25">
        <f>'Financial Statements'!C24/'Financial Statements'!C$10</f>
        <v>0</v>
      </c>
      <c r="D24" s="25">
        <f>'Financial Statements'!D24/'Financial Statements'!D$10</f>
        <v>0</v>
      </c>
      <c r="E24" s="25">
        <f>'Financial Statements'!E24/'Financial Statements'!E$10</f>
        <v>0</v>
      </c>
      <c r="F24" s="25">
        <f>'Financial Statements'!F24/'Financial Statements'!F$10</f>
        <v>0</v>
      </c>
      <c r="G24" s="25">
        <f>'Financial Statements'!G24/'Financial Statements'!G$10</f>
        <v>0</v>
      </c>
      <c r="H24" s="25">
        <f>'Financial Statements'!H24/'Financial Statements'!H$10</f>
        <v>0</v>
      </c>
      <c r="I24" s="25">
        <f>'Financial Statements'!I24/'Financial Statements'!I$10</f>
        <v>0</v>
      </c>
      <c r="J24" s="25">
        <f>'Financial Statements'!J24/'Financial Statements'!J$10</f>
        <v>0</v>
      </c>
      <c r="K24" s="25">
        <f>'Financial Statements'!K24/'Financial Statements'!K$10</f>
        <v>0</v>
      </c>
      <c r="L24" s="25">
        <f>'Financial Statements'!L24/'Financial Statements'!L$10</f>
        <v>0</v>
      </c>
      <c r="M24" s="25">
        <f>'Financial Statements'!M24/'Financial Statements'!M$10</f>
        <v>0</v>
      </c>
    </row>
    <row r="25" spans="1:13" ht="12.75" customHeight="1" x14ac:dyDescent="0.2">
      <c r="A25" s="1" t="s">
        <v>61</v>
      </c>
      <c r="B25" s="27">
        <f>'Financial Statements'!B25/'Financial Statements'!B$10</f>
        <v>0</v>
      </c>
      <c r="C25" s="27">
        <f>'Financial Statements'!C25/'Financial Statements'!C$10</f>
        <v>0</v>
      </c>
      <c r="D25" s="27">
        <f>'Financial Statements'!D25/'Financial Statements'!D$10</f>
        <v>0</v>
      </c>
      <c r="E25" s="27">
        <f>'Financial Statements'!E25/'Financial Statements'!E$10</f>
        <v>0</v>
      </c>
      <c r="F25" s="27">
        <f>'Financial Statements'!F25/'Financial Statements'!F$10</f>
        <v>0</v>
      </c>
      <c r="G25" s="27">
        <f>'Financial Statements'!G25/'Financial Statements'!G$10</f>
        <v>0</v>
      </c>
      <c r="H25" s="27">
        <f>'Financial Statements'!H25/'Financial Statements'!H$10</f>
        <v>0</v>
      </c>
      <c r="I25" s="27">
        <f>'Financial Statements'!I25/'Financial Statements'!I$10</f>
        <v>0</v>
      </c>
      <c r="J25" s="27">
        <f>'Financial Statements'!J25/'Financial Statements'!J$10</f>
        <v>0</v>
      </c>
      <c r="K25" s="27">
        <f>'Financial Statements'!K25/'Financial Statements'!K$10</f>
        <v>0</v>
      </c>
      <c r="L25" s="27">
        <f>'Financial Statements'!L25/'Financial Statements'!L$10</f>
        <v>0</v>
      </c>
      <c r="M25" s="27">
        <f>'Financial Statements'!M25/'Financial Statements'!M$10</f>
        <v>0</v>
      </c>
    </row>
    <row r="26" spans="1:13" ht="12.75" customHeight="1" x14ac:dyDescent="0.2">
      <c r="A26" s="5" t="s">
        <v>62</v>
      </c>
      <c r="B26" s="28">
        <f>'Financial Statements'!B26/'Financial Statements'!B$10</f>
        <v>0.10175950176635401</v>
      </c>
      <c r="C26" s="28">
        <f>'Financial Statements'!C26/'Financial Statements'!C$10</f>
        <v>9.3133890446126841E-2</v>
      </c>
      <c r="D26" s="28">
        <f>'Financial Statements'!D26/'Financial Statements'!D$10</f>
        <v>0.16382491417041956</v>
      </c>
      <c r="E26" s="28">
        <f>'Financial Statements'!E26/'Financial Statements'!E$10</f>
        <v>0.1193107871813229</v>
      </c>
      <c r="F26" s="28">
        <f>'Financial Statements'!F26/'Financial Statements'!F$10</f>
        <v>0.13006653011927813</v>
      </c>
      <c r="G26" s="28">
        <f>'Financial Statements'!G26/'Financial Statements'!G$10</f>
        <v>0.13187023762049527</v>
      </c>
      <c r="H26" s="28">
        <f>'Financial Statements'!H26/'Financial Statements'!H$10</f>
        <v>0.13635639187034418</v>
      </c>
      <c r="I26" s="28">
        <f>'Financial Statements'!I26/'Financial Statements'!I$10</f>
        <v>0.11176884004188707</v>
      </c>
      <c r="J26" s="28">
        <f>'Financial Statements'!J26/'Financial Statements'!J$10</f>
        <v>7.3805144400402131E-2</v>
      </c>
      <c r="K26" s="28">
        <f>'Financial Statements'!K26/'Financial Statements'!K$10</f>
        <v>9.7778883901303404E-2</v>
      </c>
      <c r="L26" s="28">
        <f>'Financial Statements'!L26/'Financial Statements'!L$10</f>
        <v>7.0262102332653273E-2</v>
      </c>
      <c r="M26" s="28">
        <f>'Financial Statements'!M26/'Financial Statements'!M$10</f>
        <v>7.3619365445313958E-2</v>
      </c>
    </row>
    <row r="27" spans="1:13" ht="12.75" customHeight="1" thickBot="1" x14ac:dyDescent="0.25">
      <c r="A27" s="5" t="s">
        <v>63</v>
      </c>
      <c r="B27" s="29">
        <f>'Financial Statements'!B27/'Financial Statements'!B$10</f>
        <v>0.14931211170666342</v>
      </c>
      <c r="C27" s="29">
        <f>'Financial Statements'!C27/'Financial Statements'!C$10</f>
        <v>0.24641186178712704</v>
      </c>
      <c r="D27" s="29">
        <f>'Financial Statements'!D27/'Financial Statements'!D$10</f>
        <v>-0.12143361690365775</v>
      </c>
      <c r="E27" s="29">
        <f>'Financial Statements'!E27/'Financial Statements'!E$10</f>
        <v>0.12091698094125349</v>
      </c>
      <c r="F27" s="29">
        <f>'Financial Statements'!F27/'Financial Statements'!F$10</f>
        <v>3.3657364008498454E-2</v>
      </c>
      <c r="G27" s="29">
        <f>'Financial Statements'!G27/'Financial Statements'!G$10</f>
        <v>9.9954942590645677E-4</v>
      </c>
      <c r="H27" s="29">
        <f>'Financial Statements'!H27/'Financial Statements'!H$10</f>
        <v>-1.7258876475458991E-2</v>
      </c>
      <c r="I27" s="29">
        <f>'Financial Statements'!I27/'Financial Statements'!I$10</f>
        <v>7.7892861584135123E-2</v>
      </c>
      <c r="J27" s="29">
        <f>'Financial Statements'!J27/'Financial Statements'!J$10</f>
        <v>0.30647917800965413</v>
      </c>
      <c r="K27" s="29">
        <f>'Financial Statements'!K27/'Financial Statements'!K$10</f>
        <v>0.13501039999690514</v>
      </c>
      <c r="L27" s="29">
        <f>'Financial Statements'!L27/'Financial Statements'!L$10</f>
        <v>0.36402577732623004</v>
      </c>
      <c r="M27" s="29">
        <f>'Financial Statements'!M27/'Financial Statements'!M$10</f>
        <v>0.34559242880466162</v>
      </c>
    </row>
    <row r="28" spans="1:13" ht="12.75" customHeight="1" thickTop="1" x14ac:dyDescent="0.2">
      <c r="A28" s="1" t="s">
        <v>52</v>
      </c>
      <c r="B28" s="25">
        <f>'Financial Statements'!B28/'Financial Statements'!B$10</f>
        <v>-1.4675204044341578E-3</v>
      </c>
      <c r="C28" s="25">
        <f>'Financial Statements'!C28/'Financial Statements'!C$10</f>
        <v>-6.0566368899483925E-4</v>
      </c>
      <c r="D28" s="25">
        <f>'Financial Statements'!D28/'Financial Statements'!D$10</f>
        <v>-2.9594802482613055E-4</v>
      </c>
      <c r="E28" s="25">
        <f>'Financial Statements'!E28/'Financial Statements'!E$10</f>
        <v>-1.7632201589958828E-4</v>
      </c>
      <c r="F28" s="25">
        <f>'Financial Statements'!F28/'Financial Statements'!F$10</f>
        <v>-4.7311613090917639E-4</v>
      </c>
      <c r="G28" s="25">
        <f>'Financial Statements'!G28/'Financial Statements'!G$10</f>
        <v>-3.6844975137040374E-4</v>
      </c>
      <c r="H28" s="25">
        <f>'Financial Statements'!H28/'Financial Statements'!H$10</f>
        <v>-1.5789625845171227E-4</v>
      </c>
      <c r="I28" s="25">
        <f>'Financial Statements'!I28/'Financial Statements'!I$10</f>
        <v>-2.2676642889015559E-4</v>
      </c>
      <c r="J28" s="25">
        <f>'Financial Statements'!J28/'Financial Statements'!J$10</f>
        <v>-1.8530190384197909E-4</v>
      </c>
      <c r="K28" s="25">
        <f>'Financial Statements'!K28/'Financial Statements'!K$10</f>
        <v>-2.3598257081733787E-4</v>
      </c>
      <c r="L28" s="25">
        <f>'Financial Statements'!L28/'Financial Statements'!L$10</f>
        <v>-1.435984312106028E-4</v>
      </c>
      <c r="M28" s="25">
        <f>'Financial Statements'!M28/'Financial Statements'!M$10</f>
        <v>-1.5498014331747219E-4</v>
      </c>
    </row>
    <row r="29" spans="1:13" ht="12.75" customHeight="1" x14ac:dyDescent="0.2">
      <c r="A29" s="1" t="s">
        <v>64</v>
      </c>
      <c r="B29" s="25">
        <f>'Financial Statements'!B29/'Financial Statements'!B$10</f>
        <v>5.5141460592033143E-3</v>
      </c>
      <c r="C29" s="25">
        <f>'Financial Statements'!C29/'Financial Statements'!C$10</f>
        <v>5.891074843475755E-3</v>
      </c>
      <c r="D29" s="25">
        <f>'Financial Statements'!D29/'Financial Statements'!D$10</f>
        <v>1.0021284060779163E-2</v>
      </c>
      <c r="E29" s="25">
        <f>'Financial Statements'!E29/'Financial Statements'!E$10</f>
        <v>7.9730819491500623E-3</v>
      </c>
      <c r="F29" s="25">
        <f>'Financial Statements'!F29/'Financial Statements'!F$10</f>
        <v>1.3561682882893472E-2</v>
      </c>
      <c r="G29" s="25">
        <f>'Financial Statements'!G29/'Financial Statements'!G$10</f>
        <v>1.1140795895854497E-2</v>
      </c>
      <c r="H29" s="25">
        <f>'Financial Statements'!H29/'Financial Statements'!H$10</f>
        <v>8.7710259624444124E-3</v>
      </c>
      <c r="I29" s="25">
        <f>'Financial Statements'!I29/'Financial Statements'!I$10</f>
        <v>6.2560524972723316E-3</v>
      </c>
      <c r="J29" s="25">
        <f>'Financial Statements'!J29/'Financial Statements'!J$10</f>
        <v>9.1513077451428181E-3</v>
      </c>
      <c r="K29" s="25">
        <f>'Financial Statements'!K29/'Financial Statements'!K$10</f>
        <v>1.8743635670420464E-2</v>
      </c>
      <c r="L29" s="25">
        <f>'Financial Statements'!L29/'Financial Statements'!L$10</f>
        <v>1.4047305359013676E-2</v>
      </c>
      <c r="M29" s="25">
        <f>'Financial Statements'!M29/'Financial Statements'!M$10</f>
        <v>1.5538361382840588E-2</v>
      </c>
    </row>
    <row r="30" spans="1:13" ht="12.75" customHeight="1" x14ac:dyDescent="0.2">
      <c r="A30" s="5" t="s">
        <v>65</v>
      </c>
      <c r="B30" s="26">
        <f>'Financial Statements'!B30/'Financial Statements'!B$10</f>
        <v>4.0466256547691563E-3</v>
      </c>
      <c r="C30" s="26">
        <f>'Financial Statements'!C30/'Financial Statements'!C$10</f>
        <v>5.2854111544809153E-3</v>
      </c>
      <c r="D30" s="26">
        <f>'Financial Statements'!D30/'Financial Statements'!D$10</f>
        <v>9.7253360359530316E-3</v>
      </c>
      <c r="E30" s="26">
        <f>'Financial Statements'!E30/'Financial Statements'!E$10</f>
        <v>7.7967599332504729E-3</v>
      </c>
      <c r="F30" s="26">
        <f>'Financial Statements'!F30/'Financial Statements'!F$10</f>
        <v>1.3088566751984294E-2</v>
      </c>
      <c r="G30" s="26">
        <f>'Financial Statements'!G30/'Financial Statements'!G$10</f>
        <v>1.0772346144484093E-2</v>
      </c>
      <c r="H30" s="26">
        <f>'Financial Statements'!H30/'Financial Statements'!H$10</f>
        <v>8.6131297039926998E-3</v>
      </c>
      <c r="I30" s="26">
        <f>'Financial Statements'!I30/'Financial Statements'!I$10</f>
        <v>6.0292860683821758E-3</v>
      </c>
      <c r="J30" s="26">
        <f>'Financial Statements'!J30/'Financial Statements'!J$10</f>
        <v>8.9660058413008389E-3</v>
      </c>
      <c r="K30" s="26">
        <f>'Financial Statements'!K30/'Financial Statements'!K$10</f>
        <v>1.8507653099603127E-2</v>
      </c>
      <c r="L30" s="26">
        <f>'Financial Statements'!L30/'Financial Statements'!L$10</f>
        <v>1.3903706927803072E-2</v>
      </c>
      <c r="M30" s="26">
        <f>'Financial Statements'!M30/'Financial Statements'!M$10</f>
        <v>1.5383381239523115E-2</v>
      </c>
    </row>
    <row r="31" spans="1:13" ht="12.75" customHeight="1" x14ac:dyDescent="0.2">
      <c r="A31" s="1" t="s">
        <v>163</v>
      </c>
      <c r="B31" s="25">
        <f>'Financial Statements'!B31/'Financial Statements'!B$10</f>
        <v>1.6857767897023592E-3</v>
      </c>
      <c r="C31" s="25">
        <f>'Financial Statements'!C31/'Financial Statements'!C$10</f>
        <v>2.6280355224897176E-3</v>
      </c>
      <c r="D31" s="25">
        <f>'Financial Statements'!D31/'Financial Statements'!D$10</f>
        <v>1.2936092909066712E-3</v>
      </c>
      <c r="E31" s="25">
        <f>'Financial Statements'!E31/'Financial Statements'!E$10</f>
        <v>2.3400925657315165E-3</v>
      </c>
      <c r="F31" s="25">
        <f>'Financial Statements'!F31/'Financial Statements'!F$10</f>
        <v>3.5086997534506618E-3</v>
      </c>
      <c r="G31" s="25">
        <f>'Financial Statements'!G31/'Financial Statements'!G$10</f>
        <v>3.9508467315621607E-4</v>
      </c>
      <c r="H31" s="25">
        <f>'Financial Statements'!H31/'Financial Statements'!H$10</f>
        <v>4.6108672655852128E-4</v>
      </c>
      <c r="I31" s="25">
        <f>'Financial Statements'!I31/'Financial Statements'!I$10</f>
        <v>1.0933180430113456E-3</v>
      </c>
      <c r="J31" s="25">
        <f>'Financial Statements'!J31/'Financial Statements'!J$10</f>
        <v>2.3711015483038835E-4</v>
      </c>
      <c r="K31" s="25">
        <f>'Financial Statements'!K31/'Financial Statements'!K$10</f>
        <v>6.1037386258764985E-4</v>
      </c>
      <c r="L31" s="25">
        <f>'Financial Statements'!L31/'Financial Statements'!L$10</f>
        <v>1.4596827460149676E-3</v>
      </c>
      <c r="M31" s="25">
        <f>'Financial Statements'!M31/'Financial Statements'!M$10</f>
        <v>1.4764647344226562E-3</v>
      </c>
    </row>
    <row r="32" spans="1:13" ht="12.75" customHeight="1" x14ac:dyDescent="0.2">
      <c r="A32" s="1" t="s">
        <v>164</v>
      </c>
      <c r="B32" s="25">
        <f>'Financial Statements'!B32/'Financial Statements'!B$10</f>
        <v>0</v>
      </c>
      <c r="C32" s="25">
        <f>'Financial Statements'!C32/'Financial Statements'!C$10</f>
        <v>0</v>
      </c>
      <c r="D32" s="25">
        <f>'Financial Statements'!D32/'Financial Statements'!D$10</f>
        <v>0</v>
      </c>
      <c r="E32" s="25">
        <f>'Financial Statements'!E32/'Financial Statements'!E$10</f>
        <v>0</v>
      </c>
      <c r="F32" s="25">
        <f>'Financial Statements'!F32/'Financial Statements'!F$10</f>
        <v>0</v>
      </c>
      <c r="G32" s="25">
        <f>'Financial Statements'!G32/'Financial Statements'!G$10</f>
        <v>0</v>
      </c>
      <c r="H32" s="25">
        <f>'Financial Statements'!H32/'Financial Statements'!H$10</f>
        <v>0</v>
      </c>
      <c r="I32" s="25">
        <f>'Financial Statements'!I32/'Financial Statements'!I$10</f>
        <v>0</v>
      </c>
      <c r="J32" s="25">
        <f>'Financial Statements'!J32/'Financial Statements'!J$10</f>
        <v>0</v>
      </c>
      <c r="K32" s="25">
        <f>'Financial Statements'!K32/'Financial Statements'!K$10</f>
        <v>0</v>
      </c>
      <c r="L32" s="25">
        <f>'Financial Statements'!L32/'Financial Statements'!L$10</f>
        <v>0</v>
      </c>
      <c r="M32" s="25">
        <f>'Financial Statements'!M32/'Financial Statements'!M$10</f>
        <v>0</v>
      </c>
    </row>
    <row r="33" spans="1:13" ht="12.75" customHeight="1" x14ac:dyDescent="0.2">
      <c r="A33" s="1" t="s">
        <v>127</v>
      </c>
      <c r="B33" s="25">
        <f>'Financial Statements'!B33/'Financial Statements'!B$10</f>
        <v>1.695293783246031E-3</v>
      </c>
      <c r="C33" s="25">
        <f>'Financial Statements'!C33/'Financial Statements'!C$10</f>
        <v>1.2941084012259974E-4</v>
      </c>
      <c r="D33" s="25">
        <f>'Financial Statements'!D33/'Financial Statements'!D$10</f>
        <v>7.2479346457418395E-3</v>
      </c>
      <c r="E33" s="25">
        <f>'Financial Statements'!E33/'Financial Statements'!E$10</f>
        <v>1.0845467393069013E-3</v>
      </c>
      <c r="F33" s="25">
        <f>'Financial Statements'!F33/'Financial Statements'!F$10</f>
        <v>1.7690429242690942E-3</v>
      </c>
      <c r="G33" s="25">
        <f>'Financial Statements'!G33/'Financial Statements'!G$10</f>
        <v>2.631678244225956E-3</v>
      </c>
      <c r="H33" s="25">
        <f>'Financial Statements'!H33/'Financial Statements'!H$10</f>
        <v>4.0215361600964275E-3</v>
      </c>
      <c r="I33" s="25">
        <f>'Financial Statements'!I33/'Financial Statements'!I$10</f>
        <v>5.466590215056728E-3</v>
      </c>
      <c r="J33" s="25">
        <f>'Financial Statements'!J33/'Financial Statements'!J$10</f>
        <v>1.6686706606696231E-3</v>
      </c>
      <c r="K33" s="25">
        <f>'Financial Statements'!K33/'Financial Statements'!K$10</f>
        <v>1.1340488462429552E-2</v>
      </c>
      <c r="L33" s="25">
        <f>'Financial Statements'!L33/'Financial Statements'!L$10</f>
        <v>2.0976633578803744E-4</v>
      </c>
      <c r="M33" s="25">
        <f>'Financial Statements'!M33/'Financial Statements'!M$10</f>
        <v>1.7496380038842343E-3</v>
      </c>
    </row>
    <row r="34" spans="1:13" ht="12.75" customHeight="1" x14ac:dyDescent="0.2">
      <c r="A34" s="5" t="s">
        <v>66</v>
      </c>
      <c r="B34" s="26">
        <f>'Financial Statements'!B34/'Financial Statements'!B$10</f>
        <v>0.15673980793438097</v>
      </c>
      <c r="C34" s="26">
        <f>'Financial Statements'!C34/'Financial Statements'!C$10</f>
        <v>0.25445471930422026</v>
      </c>
      <c r="D34" s="26">
        <f>'Financial Statements'!D34/'Financial Statements'!D$10</f>
        <v>-0.10316673693105621</v>
      </c>
      <c r="E34" s="26">
        <f>'Financial Statements'!E34/'Financial Statements'!E$10</f>
        <v>0.13213838017954238</v>
      </c>
      <c r="F34" s="26">
        <f>'Financial Statements'!F34/'Financial Statements'!F$10</f>
        <v>5.2023673438202502E-2</v>
      </c>
      <c r="G34" s="26">
        <f>'Financial Statements'!G34/'Financial Statements'!G$10</f>
        <v>1.4798658487772721E-2</v>
      </c>
      <c r="H34" s="26">
        <f>'Financial Statements'!H34/'Financial Statements'!H$10</f>
        <v>-4.1631238848113435E-3</v>
      </c>
      <c r="I34" s="26">
        <f>'Financial Statements'!I34/'Financial Statements'!I$10</f>
        <v>9.0482055910585363E-2</v>
      </c>
      <c r="J34" s="26">
        <f>'Financial Statements'!J34/'Financial Statements'!J$10</f>
        <v>0.31735096466645496</v>
      </c>
      <c r="K34" s="26">
        <f>'Financial Statements'!K34/'Financial Statements'!K$10</f>
        <v>0.16546891542152548</v>
      </c>
      <c r="L34" s="26">
        <f>'Financial Statements'!L34/'Financial Statements'!L$10</f>
        <v>0.37959893333583611</v>
      </c>
      <c r="M34" s="26">
        <f>'Financial Statements'!M34/'Financial Statements'!M$10</f>
        <v>0.36420191278249164</v>
      </c>
    </row>
    <row r="35" spans="1:13" ht="12.75" customHeight="1" x14ac:dyDescent="0.2">
      <c r="A35" s="1" t="s">
        <v>165</v>
      </c>
      <c r="B35" s="25">
        <f>'Financial Statements'!B35/'Financial Statements'!B$10</f>
        <v>0</v>
      </c>
      <c r="C35" s="25">
        <f>'Financial Statements'!C35/'Financial Statements'!C$10</f>
        <v>0</v>
      </c>
      <c r="D35" s="25">
        <f>'Financial Statements'!D35/'Financial Statements'!D$10</f>
        <v>0</v>
      </c>
      <c r="E35" s="25">
        <f>'Financial Statements'!E35/'Financial Statements'!E$10</f>
        <v>0</v>
      </c>
      <c r="F35" s="25">
        <f>'Financial Statements'!F35/'Financial Statements'!F$10</f>
        <v>0</v>
      </c>
      <c r="G35" s="25">
        <f>'Financial Statements'!G35/'Financial Statements'!G$10</f>
        <v>0</v>
      </c>
      <c r="H35" s="25">
        <f>'Financial Statements'!H35/'Financial Statements'!H$10</f>
        <v>0</v>
      </c>
      <c r="I35" s="25">
        <f>'Financial Statements'!I35/'Financial Statements'!I$10</f>
        <v>0</v>
      </c>
      <c r="J35" s="25">
        <f>'Financial Statements'!J35/'Financial Statements'!J$10</f>
        <v>0</v>
      </c>
      <c r="K35" s="25">
        <f>'Financial Statements'!K35/'Financial Statements'!K$10</f>
        <v>0</v>
      </c>
      <c r="L35" s="25">
        <f>'Financial Statements'!L35/'Financial Statements'!L$10</f>
        <v>0</v>
      </c>
      <c r="M35" s="25">
        <f>'Financial Statements'!M35/'Financial Statements'!M$10</f>
        <v>0</v>
      </c>
    </row>
    <row r="36" spans="1:13" ht="12.75" customHeight="1" x14ac:dyDescent="0.2">
      <c r="A36" s="1" t="s">
        <v>128</v>
      </c>
      <c r="B36" s="25">
        <f>'Financial Statements'!B36/'Financial Statements'!B$10</f>
        <v>0</v>
      </c>
      <c r="C36" s="25">
        <f>'Financial Statements'!C36/'Financial Statements'!C$10</f>
        <v>0</v>
      </c>
      <c r="D36" s="25">
        <f>'Financial Statements'!D36/'Financial Statements'!D$10</f>
        <v>0</v>
      </c>
      <c r="E36" s="25">
        <f>'Financial Statements'!E36/'Financial Statements'!E$10</f>
        <v>0</v>
      </c>
      <c r="F36" s="25">
        <f>'Financial Statements'!F36/'Financial Statements'!F$10</f>
        <v>0</v>
      </c>
      <c r="G36" s="25">
        <f>'Financial Statements'!G36/'Financial Statements'!G$10</f>
        <v>0</v>
      </c>
      <c r="H36" s="25">
        <f>'Financial Statements'!H36/'Financial Statements'!H$10</f>
        <v>0</v>
      </c>
      <c r="I36" s="25">
        <f>'Financial Statements'!I36/'Financial Statements'!I$10</f>
        <v>0</v>
      </c>
      <c r="J36" s="25">
        <f>'Financial Statements'!J36/'Financial Statements'!J$10</f>
        <v>0</v>
      </c>
      <c r="K36" s="25">
        <f>'Financial Statements'!K36/'Financial Statements'!K$10</f>
        <v>0</v>
      </c>
      <c r="L36" s="25">
        <f>'Financial Statements'!L36/'Financial Statements'!L$10</f>
        <v>0</v>
      </c>
      <c r="M36" s="25">
        <f>'Financial Statements'!M36/'Financial Statements'!M$10</f>
        <v>-1.4097734323212629E-4</v>
      </c>
    </row>
    <row r="37" spans="1:13" ht="12.75" customHeight="1" x14ac:dyDescent="0.2">
      <c r="A37" s="1" t="s">
        <v>67</v>
      </c>
      <c r="B37" s="25">
        <f>'Financial Statements'!B37/'Financial Statements'!B$10</f>
        <v>0</v>
      </c>
      <c r="C37" s="25">
        <f>'Financial Statements'!C37/'Financial Statements'!C$10</f>
        <v>0</v>
      </c>
      <c r="D37" s="25">
        <f>'Financial Statements'!D37/'Financial Statements'!D$10</f>
        <v>0</v>
      </c>
      <c r="E37" s="25">
        <f>'Financial Statements'!E37/'Financial Statements'!E$10</f>
        <v>0</v>
      </c>
      <c r="F37" s="25">
        <f>'Financial Statements'!F37/'Financial Statements'!F$10</f>
        <v>0</v>
      </c>
      <c r="G37" s="25">
        <f>'Financial Statements'!G37/'Financial Statements'!G$10</f>
        <v>0</v>
      </c>
      <c r="H37" s="25">
        <f>'Financial Statements'!H37/'Financial Statements'!H$10</f>
        <v>0</v>
      </c>
      <c r="I37" s="25">
        <f>'Financial Statements'!I37/'Financial Statements'!I$10</f>
        <v>0</v>
      </c>
      <c r="J37" s="25">
        <f>'Financial Statements'!J37/'Financial Statements'!J$10</f>
        <v>0</v>
      </c>
      <c r="K37" s="25">
        <f>'Financial Statements'!K37/'Financial Statements'!K$10</f>
        <v>0</v>
      </c>
      <c r="L37" s="25">
        <f>'Financial Statements'!L37/'Financial Statements'!L$10</f>
        <v>0</v>
      </c>
      <c r="M37" s="25">
        <f>'Financial Statements'!M37/'Financial Statements'!M$10</f>
        <v>0</v>
      </c>
    </row>
    <row r="38" spans="1:13" ht="12.75" customHeight="1" x14ac:dyDescent="0.2">
      <c r="A38" s="1" t="s">
        <v>68</v>
      </c>
      <c r="B38" s="25">
        <f>'Financial Statements'!B38/'Financial Statements'!B$10</f>
        <v>4.7584967718357898E-5</v>
      </c>
      <c r="C38" s="25">
        <f>'Financial Statements'!C38/'Financial Statements'!C$10</f>
        <v>1.1002541063055039E-5</v>
      </c>
      <c r="D38" s="25">
        <f>'Financial Statements'!D38/'Financial Statements'!D$10</f>
        <v>2.0846653321085926E-4</v>
      </c>
      <c r="E38" s="25">
        <f>'Financial Statements'!E38/'Financial Statements'!E$10</f>
        <v>-2.328781342070034E-5</v>
      </c>
      <c r="F38" s="25">
        <f>'Financial Statements'!F38/'Financial Statements'!F$10</f>
        <v>1.7631657052515889E-5</v>
      </c>
      <c r="G38" s="25">
        <f>'Financial Statements'!G38/'Financial Statements'!G$10</f>
        <v>1.0284039245077535E-4</v>
      </c>
      <c r="H38" s="25">
        <f>'Financial Statements'!H38/'Financial Statements'!H$10</f>
        <v>-1.0014922308369167E-3</v>
      </c>
      <c r="I38" s="25">
        <f>'Financial Statements'!I38/'Financial Statements'!I$10</f>
        <v>5.9083064599172044E-5</v>
      </c>
      <c r="J38" s="25">
        <f>'Financial Statements'!J38/'Financial Statements'!J$10</f>
        <v>-1.1442313101734559E-5</v>
      </c>
      <c r="K38" s="25">
        <f>'Financial Statements'!K38/'Financial Statements'!K$10</f>
        <v>8.2099582925521913E-5</v>
      </c>
      <c r="L38" s="25">
        <f>'Financial Statements'!L38/'Financial Statements'!L$10</f>
        <v>1.7832484921578127E-5</v>
      </c>
      <c r="M38" s="25">
        <f>'Financial Statements'!M38/'Financial Statements'!M$10</f>
        <v>1.8037505194682827E-5</v>
      </c>
    </row>
    <row r="39" spans="1:13" ht="12.75" customHeight="1" x14ac:dyDescent="0.2">
      <c r="A39" s="1" t="s">
        <v>69</v>
      </c>
      <c r="B39" s="25">
        <f>'Financial Statements'!B39/'Financial Statements'!B$10</f>
        <v>-3.6037682218703046E-4</v>
      </c>
      <c r="C39" s="25">
        <f>'Financial Statements'!C39/'Financial Statements'!C$10</f>
        <v>8.1890341340738206E-4</v>
      </c>
      <c r="D39" s="25">
        <f>'Financial Statements'!D39/'Financial Statements'!D$10</f>
        <v>-3.4099168646633407E-3</v>
      </c>
      <c r="E39" s="25">
        <f>'Financial Statements'!E39/'Financial Statements'!E$10</f>
        <v>-3.1471816422832166E-4</v>
      </c>
      <c r="F39" s="25">
        <f>'Financial Statements'!F39/'Financial Statements'!F$10</f>
        <v>-2.424352844720935E-5</v>
      </c>
      <c r="G39" s="25">
        <f>'Financial Statements'!G39/'Financial Statements'!G$10</f>
        <v>-6.0668432956572506E-5</v>
      </c>
      <c r="H39" s="25">
        <f>'Financial Statements'!H39/'Financial Statements'!H$10</f>
        <v>-2.2105476183239721E-3</v>
      </c>
      <c r="I39" s="25">
        <f>'Financial Statements'!I39/'Financial Statements'!I$10</f>
        <v>-2.1551251182364662E-4</v>
      </c>
      <c r="J39" s="25">
        <f>'Financial Statements'!J39/'Financial Statements'!J$10</f>
        <v>4.1637306009089644E-5</v>
      </c>
      <c r="K39" s="25">
        <f>'Financial Statements'!K39/'Financial Statements'!K$10</f>
        <v>-1.1175859455830208E-5</v>
      </c>
      <c r="L39" s="25">
        <f>'Financial Statements'!L39/'Financial Statements'!L$10</f>
        <v>6.0771231509062305E-5</v>
      </c>
      <c r="M39" s="25">
        <f>'Financial Statements'!M39/'Financial Statements'!M$10</f>
        <v>-4.6375375197908216E-4</v>
      </c>
    </row>
    <row r="40" spans="1:13" ht="12.75" customHeight="1" x14ac:dyDescent="0.2">
      <c r="A40" s="1" t="s">
        <v>166</v>
      </c>
      <c r="B40" s="25">
        <f>'Financial Statements'!B40/'Financial Statements'!B$10</f>
        <v>0</v>
      </c>
      <c r="C40" s="25">
        <f>'Financial Statements'!C40/'Financial Statements'!C$10</f>
        <v>0</v>
      </c>
      <c r="D40" s="25">
        <f>'Financial Statements'!D40/'Financial Statements'!D$10</f>
        <v>0</v>
      </c>
      <c r="E40" s="25">
        <f>'Financial Statements'!E40/'Financial Statements'!E$10</f>
        <v>0</v>
      </c>
      <c r="F40" s="25">
        <f>'Financial Statements'!F40/'Financial Statements'!F$10</f>
        <v>0</v>
      </c>
      <c r="G40" s="25">
        <f>'Financial Statements'!G40/'Financial Statements'!G$10</f>
        <v>0</v>
      </c>
      <c r="H40" s="25">
        <f>'Financial Statements'!H40/'Financial Statements'!H$10</f>
        <v>0</v>
      </c>
      <c r="I40" s="25">
        <f>'Financial Statements'!I40/'Financial Statements'!I$10</f>
        <v>0</v>
      </c>
      <c r="J40" s="25">
        <f>'Financial Statements'!J40/'Financial Statements'!J$10</f>
        <v>0</v>
      </c>
      <c r="K40" s="25">
        <f>'Financial Statements'!K40/'Financial Statements'!K$10</f>
        <v>0</v>
      </c>
      <c r="L40" s="25">
        <f>'Financial Statements'!L40/'Financial Statements'!L$10</f>
        <v>0</v>
      </c>
      <c r="M40" s="25">
        <f>'Financial Statements'!M40/'Financial Statements'!M$10</f>
        <v>0</v>
      </c>
    </row>
    <row r="41" spans="1:13" ht="12.75" customHeight="1" x14ac:dyDescent="0.2">
      <c r="A41" s="1" t="s">
        <v>278</v>
      </c>
      <c r="B41" s="25">
        <f>'Financial Statements'!B41/'Financial Statements'!B$10</f>
        <v>0</v>
      </c>
      <c r="C41" s="25">
        <f>'Financial Statements'!C41/'Financial Statements'!C$10</f>
        <v>0</v>
      </c>
      <c r="D41" s="25">
        <f>'Financial Statements'!D41/'Financial Statements'!D$10</f>
        <v>0</v>
      </c>
      <c r="E41" s="25">
        <f>'Financial Statements'!E41/'Financial Statements'!E$10</f>
        <v>0</v>
      </c>
      <c r="F41" s="25">
        <f>'Financial Statements'!F41/'Financial Statements'!F$10</f>
        <v>0</v>
      </c>
      <c r="G41" s="25">
        <f>'Financial Statements'!G41/'Financial Statements'!G$10</f>
        <v>0</v>
      </c>
      <c r="H41" s="25">
        <f>'Financial Statements'!H41/'Financial Statements'!H$10</f>
        <v>0</v>
      </c>
      <c r="I41" s="25">
        <f>'Financial Statements'!I41/'Financial Statements'!I$10</f>
        <v>0</v>
      </c>
      <c r="J41" s="25">
        <f>'Financial Statements'!J41/'Financial Statements'!J$10</f>
        <v>0</v>
      </c>
      <c r="K41" s="25">
        <f>'Financial Statements'!K41/'Financial Statements'!K$10</f>
        <v>0</v>
      </c>
      <c r="L41" s="25">
        <f>'Financial Statements'!L41/'Financial Statements'!L$10</f>
        <v>0</v>
      </c>
      <c r="M41" s="25">
        <f>'Financial Statements'!M41/'Financial Statements'!M$10</f>
        <v>0</v>
      </c>
    </row>
    <row r="42" spans="1:13" ht="12.75" customHeight="1" x14ac:dyDescent="0.2">
      <c r="A42" s="1" t="s">
        <v>167</v>
      </c>
      <c r="B42" s="25">
        <f>'Financial Statements'!B42/'Financial Statements'!B$10</f>
        <v>0</v>
      </c>
      <c r="C42" s="25">
        <f>'Financial Statements'!C42/'Financial Statements'!C$10</f>
        <v>0</v>
      </c>
      <c r="D42" s="25">
        <f>'Financial Statements'!D42/'Financial Statements'!D$10</f>
        <v>0</v>
      </c>
      <c r="E42" s="25">
        <f>'Financial Statements'!E42/'Financial Statements'!E$10</f>
        <v>0</v>
      </c>
      <c r="F42" s="25">
        <f>'Financial Statements'!F42/'Financial Statements'!F$10</f>
        <v>0</v>
      </c>
      <c r="G42" s="25">
        <f>'Financial Statements'!G42/'Financial Statements'!G$10</f>
        <v>0</v>
      </c>
      <c r="H42" s="25">
        <f>'Financial Statements'!H42/'Financial Statements'!H$10</f>
        <v>0</v>
      </c>
      <c r="I42" s="25">
        <f>'Financial Statements'!I42/'Financial Statements'!I$10</f>
        <v>3.0903256264633609E-3</v>
      </c>
      <c r="J42" s="25">
        <f>'Financial Statements'!J42/'Financial Statements'!J$10</f>
        <v>0</v>
      </c>
      <c r="K42" s="25">
        <f>'Financial Statements'!K42/'Financial Statements'!K$10</f>
        <v>0</v>
      </c>
      <c r="L42" s="25">
        <f>'Financial Statements'!L42/'Financial Statements'!L$10</f>
        <v>0</v>
      </c>
      <c r="M42" s="25">
        <f>'Financial Statements'!M42/'Financial Statements'!M$10</f>
        <v>0</v>
      </c>
    </row>
    <row r="43" spans="1:13" ht="12.75" customHeight="1" x14ac:dyDescent="0.2">
      <c r="A43" s="1" t="s">
        <v>168</v>
      </c>
      <c r="B43" s="25">
        <f>'Financial Statements'!B43/'Financial Statements'!B$10</f>
        <v>0</v>
      </c>
      <c r="C43" s="25">
        <f>'Financial Statements'!C43/'Financial Statements'!C$10</f>
        <v>0</v>
      </c>
      <c r="D43" s="25">
        <f>'Financial Statements'!D43/'Financial Statements'!D$10</f>
        <v>0</v>
      </c>
      <c r="E43" s="25">
        <f>'Financial Statements'!E43/'Financial Statements'!E$10</f>
        <v>-5.3728312392044349E-2</v>
      </c>
      <c r="F43" s="25">
        <f>'Financial Statements'!F43/'Financial Statements'!F$10</f>
        <v>0</v>
      </c>
      <c r="G43" s="25">
        <f>'Financial Statements'!G43/'Financial Statements'!G$10</f>
        <v>0</v>
      </c>
      <c r="H43" s="25">
        <f>'Financial Statements'!H43/'Financial Statements'!H$10</f>
        <v>0</v>
      </c>
      <c r="I43" s="25">
        <f>'Financial Statements'!I43/'Financial Statements'!I$10</f>
        <v>0</v>
      </c>
      <c r="J43" s="25">
        <f>'Financial Statements'!J43/'Financial Statements'!J$10</f>
        <v>0</v>
      </c>
      <c r="K43" s="25">
        <f>'Financial Statements'!K43/'Financial Statements'!K$10</f>
        <v>-8.4455110226212288E-3</v>
      </c>
      <c r="L43" s="25">
        <f>'Financial Statements'!L43/'Financial Statements'!L$10</f>
        <v>0</v>
      </c>
      <c r="M43" s="25">
        <f>'Financial Statements'!M43/'Financial Statements'!M$10</f>
        <v>0</v>
      </c>
    </row>
    <row r="44" spans="1:13" ht="12.75" customHeight="1" x14ac:dyDescent="0.2">
      <c r="A44" s="1" t="s">
        <v>129</v>
      </c>
      <c r="B44" s="27">
        <f>'Financial Statements'!B44/'Financial Statements'!B$10</f>
        <v>0</v>
      </c>
      <c r="C44" s="27">
        <f>'Financial Statements'!C44/'Financial Statements'!C$10</f>
        <v>0</v>
      </c>
      <c r="D44" s="27">
        <f>'Financial Statements'!D44/'Financial Statements'!D$10</f>
        <v>0</v>
      </c>
      <c r="E44" s="27">
        <f>'Financial Statements'!E44/'Financial Statements'!E$10</f>
        <v>0</v>
      </c>
      <c r="F44" s="27">
        <f>'Financial Statements'!F44/'Financial Statements'!F$10</f>
        <v>0</v>
      </c>
      <c r="G44" s="27">
        <f>'Financial Statements'!G44/'Financial Statements'!G$10</f>
        <v>0</v>
      </c>
      <c r="H44" s="27">
        <f>'Financial Statements'!H44/'Financial Statements'!H$10</f>
        <v>0</v>
      </c>
      <c r="I44" s="27">
        <f>'Financial Statements'!I44/'Financial Statements'!I$10</f>
        <v>0</v>
      </c>
      <c r="J44" s="27">
        <f>'Financial Statements'!J44/'Financial Statements'!J$10</f>
        <v>0</v>
      </c>
      <c r="K44" s="27">
        <f>'Financial Statements'!K44/'Financial Statements'!K$10</f>
        <v>-2.3641241156563903E-3</v>
      </c>
      <c r="L44" s="27">
        <f>'Financial Statements'!L44/'Financial Statements'!L$10</f>
        <v>-3.5195693924167356E-3</v>
      </c>
      <c r="M44" s="27">
        <f>'Financial Statements'!M44/'Financial Statements'!M$10</f>
        <v>-3.9160373120035088E-3</v>
      </c>
    </row>
    <row r="45" spans="1:13" ht="12.75" customHeight="1" x14ac:dyDescent="0.2">
      <c r="A45" s="5" t="s">
        <v>70</v>
      </c>
      <c r="B45" s="26">
        <f>'Financial Statements'!B45/'Financial Statements'!B$10</f>
        <v>0.1564270160799123</v>
      </c>
      <c r="C45" s="26">
        <f>'Financial Statements'!C45/'Financial Statements'!C$10</f>
        <v>0.25528462525869072</v>
      </c>
      <c r="D45" s="26">
        <f>'Financial Statements'!D45/'Financial Statements'!D$10</f>
        <v>-0.1063681872625087</v>
      </c>
      <c r="E45" s="26">
        <f>'Financial Statements'!E45/'Financial Statements'!E$10</f>
        <v>7.8072061809849019E-2</v>
      </c>
      <c r="F45" s="26">
        <f>'Financial Statements'!F45/'Financial Statements'!F$10</f>
        <v>5.2017061566807819E-2</v>
      </c>
      <c r="G45" s="26">
        <f>'Financial Statements'!G45/'Financial Statements'!G$10</f>
        <v>1.4840830447266926E-2</v>
      </c>
      <c r="H45" s="26">
        <f>'Financial Statements'!H45/'Financial Statements'!H$10</f>
        <v>-7.3751637339722316E-3</v>
      </c>
      <c r="I45" s="26">
        <f>'Financial Statements'!I45/'Financial Statements'!I$10</f>
        <v>9.3415952089824256E-2</v>
      </c>
      <c r="J45" s="26">
        <f>'Financial Statements'!J45/'Financial Statements'!J$10</f>
        <v>0.31738115965936231</v>
      </c>
      <c r="K45" s="26">
        <f>'Financial Statements'!K45/'Financial Statements'!K$10</f>
        <v>0.15473020400671753</v>
      </c>
      <c r="L45" s="26">
        <f>'Financial Statements'!L45/'Financial Statements'!L$10</f>
        <v>0.37615796765985005</v>
      </c>
      <c r="M45" s="26">
        <f>'Financial Statements'!M45/'Financial Statements'!M$10</f>
        <v>0.35969918188047156</v>
      </c>
    </row>
    <row r="46" spans="1:13" ht="12.75" customHeight="1" x14ac:dyDescent="0.2">
      <c r="A46" s="1" t="s">
        <v>71</v>
      </c>
      <c r="B46" s="25">
        <f>'Financial Statements'!B46/'Financial Statements'!B$10</f>
        <v>5.3465200795874447E-2</v>
      </c>
      <c r="C46" s="25">
        <f>'Financial Statements'!C46/'Financial Statements'!C$10</f>
        <v>8.8650092997668503E-2</v>
      </c>
      <c r="D46" s="25">
        <f>'Financial Statements'!D46/'Financial Statements'!D$10</f>
        <v>-3.7102389640702345E-2</v>
      </c>
      <c r="E46" s="25">
        <f>'Financial Statements'!E46/'Financial Statements'!E$10</f>
        <v>-5.8944782598281224E-3</v>
      </c>
      <c r="F46" s="25">
        <f>'Financial Statements'!F46/'Financial Statements'!F$10</f>
        <v>1.1565632374073235E-2</v>
      </c>
      <c r="G46" s="25">
        <f>'Financial Statements'!G46/'Financial Statements'!G$10</f>
        <v>1.2806958225344757E-3</v>
      </c>
      <c r="H46" s="25">
        <f>'Financial Statements'!H46/'Financial Statements'!H$10</f>
        <v>-8.9022355293268199E-3</v>
      </c>
      <c r="I46" s="25">
        <f>'Financial Statements'!I46/'Financial Statements'!I$10</f>
        <v>1.8891950579548591E-2</v>
      </c>
      <c r="J46" s="25">
        <f>'Financial Statements'!J46/'Financial Statements'!J$10</f>
        <v>7.6859924156534656E-2</v>
      </c>
      <c r="K46" s="25">
        <f>'Financial Statements'!K46/'Financial Statements'!K$10</f>
        <v>3.5972942384575934E-2</v>
      </c>
      <c r="L46" s="25">
        <f>'Financial Statements'!L46/'Financial Statements'!L$10</f>
        <v>9.0314496989008383E-2</v>
      </c>
      <c r="M46" s="25">
        <f>'Financial Statements'!M46/'Financial Statements'!M$10</f>
        <v>8.6213341440717239E-2</v>
      </c>
    </row>
    <row r="47" spans="1:13" ht="12.75" customHeight="1" x14ac:dyDescent="0.2">
      <c r="A47" s="5" t="s">
        <v>72</v>
      </c>
      <c r="B47" s="26">
        <f>'Financial Statements'!B47/'Financial Statements'!B$10</f>
        <v>0.10296181528403785</v>
      </c>
      <c r="C47" s="26">
        <f>'Financial Statements'!C47/'Financial Statements'!C$10</f>
        <v>0.16663453226102221</v>
      </c>
      <c r="D47" s="26">
        <f>'Financial Statements'!D47/'Financial Statements'!D$10</f>
        <v>-6.926579762180636E-2</v>
      </c>
      <c r="E47" s="26">
        <f>'Financial Statements'!E47/'Financial Statements'!E$10</f>
        <v>8.3966540069677131E-2</v>
      </c>
      <c r="F47" s="26">
        <f>'Financial Statements'!F47/'Financial Statements'!F$10</f>
        <v>4.0451429192734575E-2</v>
      </c>
      <c r="G47" s="26">
        <f>'Financial Statements'!G47/'Financial Statements'!G$10</f>
        <v>1.356013462473245E-2</v>
      </c>
      <c r="H47" s="26">
        <f>'Financial Statements'!H47/'Financial Statements'!H$10</f>
        <v>1.5270717953545883E-3</v>
      </c>
      <c r="I47" s="26">
        <f>'Financial Statements'!I47/'Financial Statements'!I$10</f>
        <v>7.4524001510275661E-2</v>
      </c>
      <c r="J47" s="26">
        <f>'Financial Statements'!J47/'Financial Statements'!J$10</f>
        <v>0.24052123550282767</v>
      </c>
      <c r="K47" s="26">
        <f>'Financial Statements'!K47/'Financial Statements'!K$10</f>
        <v>0.11875726162214159</v>
      </c>
      <c r="L47" s="26">
        <f>'Financial Statements'!L47/'Financial Statements'!L$10</f>
        <v>0.28584347067084165</v>
      </c>
      <c r="M47" s="26">
        <f>'Financial Statements'!M47/'Financial Statements'!M$10</f>
        <v>0.27348584043975438</v>
      </c>
    </row>
    <row r="48" spans="1:13" ht="12.75" customHeight="1" x14ac:dyDescent="0.2">
      <c r="A48" s="1" t="s">
        <v>73</v>
      </c>
      <c r="B48" s="25">
        <f>'Financial Statements'!B48/'Financial Statements'!B$10</f>
        <v>0</v>
      </c>
      <c r="C48" s="25">
        <f>'Financial Statements'!C48/'Financial Statements'!C$10</f>
        <v>0</v>
      </c>
      <c r="D48" s="25">
        <f>'Financial Statements'!D48/'Financial Statements'!D$10</f>
        <v>0</v>
      </c>
      <c r="E48" s="25">
        <f>'Financial Statements'!E48/'Financial Statements'!E$10</f>
        <v>0</v>
      </c>
      <c r="F48" s="25">
        <f>'Financial Statements'!F48/'Financial Statements'!F$10</f>
        <v>0</v>
      </c>
      <c r="G48" s="25">
        <f>'Financial Statements'!G48/'Financial Statements'!G$10</f>
        <v>0</v>
      </c>
      <c r="H48" s="25">
        <f>'Financial Statements'!H48/'Financial Statements'!H$10</f>
        <v>0</v>
      </c>
      <c r="I48" s="25">
        <f>'Financial Statements'!I48/'Financial Statements'!I$10</f>
        <v>0</v>
      </c>
      <c r="J48" s="25">
        <f>'Financial Statements'!J48/'Financial Statements'!J$10</f>
        <v>0</v>
      </c>
      <c r="K48" s="25">
        <f>'Financial Statements'!K48/'Financial Statements'!K$10</f>
        <v>0</v>
      </c>
      <c r="L48" s="25">
        <f>'Financial Statements'!L48/'Financial Statements'!L$10</f>
        <v>0</v>
      </c>
      <c r="M48" s="25">
        <f>'Financial Statements'!M48/'Financial Statements'!M$10</f>
        <v>0</v>
      </c>
    </row>
    <row r="49" spans="1:13" ht="12.75" customHeight="1" x14ac:dyDescent="0.2">
      <c r="A49" s="1" t="s">
        <v>74</v>
      </c>
      <c r="B49" s="25">
        <f>'Financial Statements'!B49/'Financial Statements'!B$10</f>
        <v>0</v>
      </c>
      <c r="C49" s="25">
        <f>'Financial Statements'!C49/'Financial Statements'!C$10</f>
        <v>0</v>
      </c>
      <c r="D49" s="25">
        <f>'Financial Statements'!D49/'Financial Statements'!D$10</f>
        <v>0</v>
      </c>
      <c r="E49" s="25">
        <f>'Financial Statements'!E49/'Financial Statements'!E$10</f>
        <v>0</v>
      </c>
      <c r="F49" s="25">
        <f>'Financial Statements'!F49/'Financial Statements'!F$10</f>
        <v>0</v>
      </c>
      <c r="G49" s="25">
        <f>'Financial Statements'!G49/'Financial Statements'!G$10</f>
        <v>0</v>
      </c>
      <c r="H49" s="25">
        <f>'Financial Statements'!H49/'Financial Statements'!H$10</f>
        <v>0</v>
      </c>
      <c r="I49" s="25">
        <f>'Financial Statements'!I49/'Financial Statements'!I$10</f>
        <v>0</v>
      </c>
      <c r="J49" s="25">
        <f>'Financial Statements'!J49/'Financial Statements'!J$10</f>
        <v>0</v>
      </c>
      <c r="K49" s="25">
        <f>'Financial Statements'!K49/'Financial Statements'!K$10</f>
        <v>0</v>
      </c>
      <c r="L49" s="25">
        <f>'Financial Statements'!L49/'Financial Statements'!L$10</f>
        <v>0</v>
      </c>
      <c r="M49" s="25">
        <f>'Financial Statements'!M49/'Financial Statements'!M$10</f>
        <v>0</v>
      </c>
    </row>
    <row r="50" spans="1:13" ht="12.75" customHeight="1" x14ac:dyDescent="0.2">
      <c r="A50" s="5" t="s">
        <v>21</v>
      </c>
      <c r="B50" s="30">
        <f>'Financial Statements'!B50/'Financial Statements'!B$10</f>
        <v>0.10296181528403785</v>
      </c>
      <c r="C50" s="30">
        <f>'Financial Statements'!C50/'Financial Statements'!C$10</f>
        <v>0.16663453226102221</v>
      </c>
      <c r="D50" s="30">
        <f>'Financial Statements'!D50/'Financial Statements'!D$10</f>
        <v>-6.926579762180636E-2</v>
      </c>
      <c r="E50" s="30">
        <f>'Financial Statements'!E50/'Financial Statements'!E$10</f>
        <v>8.3966540069677131E-2</v>
      </c>
      <c r="F50" s="30">
        <f>'Financial Statements'!F50/'Financial Statements'!F$10</f>
        <v>4.0451429192734575E-2</v>
      </c>
      <c r="G50" s="30">
        <f>'Financial Statements'!G50/'Financial Statements'!G$10</f>
        <v>1.356013462473245E-2</v>
      </c>
      <c r="H50" s="30">
        <f>'Financial Statements'!H50/'Financial Statements'!H$10</f>
        <v>1.5270717953545883E-3</v>
      </c>
      <c r="I50" s="30">
        <f>'Financial Statements'!I50/'Financial Statements'!I$10</f>
        <v>7.4524001510275661E-2</v>
      </c>
      <c r="J50" s="30">
        <f>'Financial Statements'!J50/'Financial Statements'!J$10</f>
        <v>0.24052123550282767</v>
      </c>
      <c r="K50" s="30">
        <f>'Financial Statements'!K50/'Financial Statements'!K$10</f>
        <v>0.11875726162214159</v>
      </c>
      <c r="L50" s="30">
        <f>'Financial Statements'!L50/'Financial Statements'!L$10</f>
        <v>0.28584347067084165</v>
      </c>
      <c r="M50" s="30">
        <f>'Financial Statements'!M50/'Financial Statements'!M$10</f>
        <v>0.27348584043975438</v>
      </c>
    </row>
    <row r="51" spans="1:13" ht="12.75" customHeight="1" x14ac:dyDescent="0.2">
      <c r="A51" s="1" t="s">
        <v>169</v>
      </c>
      <c r="B51" s="25">
        <f>'Financial Statements'!B51/'Financial Statements'!B$10</f>
        <v>-6.5159682462338081E-4</v>
      </c>
      <c r="C51" s="25">
        <f>'Financial Statements'!C51/'Financial Statements'!C$10</f>
        <v>-1.0510046367851621E-3</v>
      </c>
      <c r="D51" s="25">
        <f>'Financial Statements'!D51/'Financial Statements'!D$10</f>
        <v>1.3866747075186621E-4</v>
      </c>
      <c r="E51" s="25">
        <f>'Financial Statements'!E51/'Financial Statements'!E$10</f>
        <v>-1.7565664980185398E-4</v>
      </c>
      <c r="F51" s="25">
        <f>'Financial Statements'!F51/'Financial Statements'!F$10</f>
        <v>-6.1196543019773899E-4</v>
      </c>
      <c r="G51" s="25">
        <f>'Financial Statements'!G51/'Financial Statements'!G$10</f>
        <v>4.6611113125171555E-5</v>
      </c>
      <c r="H51" s="25">
        <f>'Financial Statements'!H51/'Financial Statements'!H$10</f>
        <v>0</v>
      </c>
      <c r="I51" s="25">
        <f>'Financial Statements'!I51/'Financial Statements'!I$10</f>
        <v>1.1760343334501863E-4</v>
      </c>
      <c r="J51" s="25">
        <f>'Financial Statements'!J51/'Financial Statements'!J$10</f>
        <v>4.106519035400292E-4</v>
      </c>
      <c r="K51" s="25">
        <f>'Financial Statements'!K51/'Financial Statements'!K$10</f>
        <v>6.9032424177166603E-4</v>
      </c>
      <c r="L51" s="25">
        <f>'Financial Statements'!L51/'Financial Statements'!L$10</f>
        <v>4.2610253444191947E-4</v>
      </c>
      <c r="M51" s="25">
        <f>'Financial Statements'!M51/'Financial Statements'!M$10</f>
        <v>1.8749511978683467E-4</v>
      </c>
    </row>
    <row r="52" spans="1:13" ht="12.75" customHeight="1" thickBot="1" x14ac:dyDescent="0.25">
      <c r="A52" s="5" t="s">
        <v>22</v>
      </c>
      <c r="B52" s="29">
        <f>'Financial Statements'!B52/'Financial Statements'!B$10</f>
        <v>0.10231021845941446</v>
      </c>
      <c r="C52" s="29">
        <f>'Financial Statements'!C52/'Financial Statements'!C$10</f>
        <v>0.165583527624237</v>
      </c>
      <c r="D52" s="29">
        <f>'Financial Statements'!D52/'Financial Statements'!D$10</f>
        <v>-6.9127130151054483E-2</v>
      </c>
      <c r="E52" s="29">
        <f>'Financial Statements'!E52/'Financial Statements'!E$10</f>
        <v>8.3790883419875284E-2</v>
      </c>
      <c r="F52" s="29">
        <f>'Financial Statements'!F52/'Financial Statements'!F$10</f>
        <v>3.9839463762536838E-2</v>
      </c>
      <c r="G52" s="29">
        <f>'Financial Statements'!G52/'Financial Statements'!G$10</f>
        <v>1.3606745737857619E-2</v>
      </c>
      <c r="H52" s="29">
        <f>'Financial Statements'!H52/'Financial Statements'!H$10</f>
        <v>1.5270717953545883E-3</v>
      </c>
      <c r="I52" s="29">
        <f>'Financial Statements'!I52/'Financial Statements'!I$10</f>
        <v>7.4641604943620682E-2</v>
      </c>
      <c r="J52" s="29">
        <f>'Financial Statements'!J52/'Financial Statements'!J$10</f>
        <v>0.2409318874063677</v>
      </c>
      <c r="K52" s="29">
        <f>'Financial Statements'!K52/'Financial Statements'!K$10</f>
        <v>0.11944758586391326</v>
      </c>
      <c r="L52" s="29">
        <f>'Financial Statements'!L52/'Financial Statements'!L$10</f>
        <v>0.28626957320528357</v>
      </c>
      <c r="M52" s="29">
        <f>'Financial Statements'!M52/'Financial Statements'!M$10</f>
        <v>0.27367333555954121</v>
      </c>
    </row>
    <row r="53" spans="1:13" ht="12.75" customHeight="1" thickTop="1" x14ac:dyDescent="0.2">
      <c r="A53" s="1" t="s">
        <v>75</v>
      </c>
      <c r="B53" s="25">
        <f>'Financial Statements'!B53/'Financial Statements'!B$10</f>
        <v>0</v>
      </c>
      <c r="C53" s="25">
        <f>'Financial Statements'!C53/'Financial Statements'!C$10</f>
        <v>0</v>
      </c>
      <c r="D53" s="25">
        <f>'Financial Statements'!D53/'Financial Statements'!D$10</f>
        <v>0</v>
      </c>
      <c r="E53" s="25">
        <f>'Financial Statements'!E53/'Financial Statements'!E$10</f>
        <v>0</v>
      </c>
      <c r="F53" s="25">
        <f>'Financial Statements'!F53/'Financial Statements'!F$10</f>
        <v>0</v>
      </c>
      <c r="G53" s="25">
        <f>'Financial Statements'!G53/'Financial Statements'!G$10</f>
        <v>0</v>
      </c>
      <c r="H53" s="25">
        <f>'Financial Statements'!H53/'Financial Statements'!H$10</f>
        <v>0</v>
      </c>
      <c r="I53" s="25">
        <f>'Financial Statements'!I53/'Financial Statements'!I$10</f>
        <v>0</v>
      </c>
      <c r="J53" s="25">
        <f>'Financial Statements'!J53/'Financial Statements'!J$10</f>
        <v>0</v>
      </c>
      <c r="K53" s="25">
        <f>'Financial Statements'!K53/'Financial Statements'!K$10</f>
        <v>0</v>
      </c>
      <c r="L53" s="25">
        <f>'Financial Statements'!L53/'Financial Statements'!L$10</f>
        <v>0</v>
      </c>
      <c r="M53" s="25">
        <f>'Financial Statements'!M53/'Financial Statements'!M$10</f>
        <v>0</v>
      </c>
    </row>
    <row r="54" spans="1:13" ht="12.75" customHeight="1" x14ac:dyDescent="0.2">
      <c r="A54" s="5" t="s">
        <v>76</v>
      </c>
      <c r="B54" s="28">
        <f>'Financial Statements'!B54/'Financial Statements'!B$10</f>
        <v>0.10231021845941446</v>
      </c>
      <c r="C54" s="28">
        <f>'Financial Statements'!C54/'Financial Statements'!C$10</f>
        <v>0.165583527624237</v>
      </c>
      <c r="D54" s="28">
        <f>'Financial Statements'!D54/'Financial Statements'!D$10</f>
        <v>-6.9127130151054483E-2</v>
      </c>
      <c r="E54" s="28">
        <f>'Financial Statements'!E54/'Financial Statements'!E$10</f>
        <v>8.3790883419875284E-2</v>
      </c>
      <c r="F54" s="28">
        <f>'Financial Statements'!F54/'Financial Statements'!F$10</f>
        <v>3.9839463762536838E-2</v>
      </c>
      <c r="G54" s="28">
        <f>'Financial Statements'!G54/'Financial Statements'!G$10</f>
        <v>1.3606745737857619E-2</v>
      </c>
      <c r="H54" s="28">
        <f>'Financial Statements'!H54/'Financial Statements'!H$10</f>
        <v>1.5270717953545883E-3</v>
      </c>
      <c r="I54" s="28">
        <f>'Financial Statements'!I54/'Financial Statements'!I$10</f>
        <v>7.4641604943620682E-2</v>
      </c>
      <c r="J54" s="28">
        <f>'Financial Statements'!J54/'Financial Statements'!J$10</f>
        <v>0.2409318874063677</v>
      </c>
      <c r="K54" s="28">
        <f>'Financial Statements'!K54/'Financial Statements'!K$10</f>
        <v>0.11944758586391326</v>
      </c>
      <c r="L54" s="28">
        <f>'Financial Statements'!L54/'Financial Statements'!L$10</f>
        <v>0.28626957320528357</v>
      </c>
      <c r="M54" s="28">
        <f>'Financial Statements'!M54/'Financial Statements'!M$10</f>
        <v>0.27367333555954121</v>
      </c>
    </row>
    <row r="55" spans="1:13" ht="12.75" customHeight="1" x14ac:dyDescent="0.2">
      <c r="A55" s="5" t="s">
        <v>77</v>
      </c>
      <c r="B55" s="28">
        <f>'Financial Statements'!B55/'Financial Statements'!B$10</f>
        <v>0.10231021845941446</v>
      </c>
      <c r="C55" s="28">
        <f>'Financial Statements'!C55/'Financial Statements'!C$10</f>
        <v>0.165583527624237</v>
      </c>
      <c r="D55" s="28">
        <f>'Financial Statements'!D55/'Financial Statements'!D$10</f>
        <v>-6.9127130151054483E-2</v>
      </c>
      <c r="E55" s="28">
        <f>'Financial Statements'!E55/'Financial Statements'!E$10</f>
        <v>8.3790883419875284E-2</v>
      </c>
      <c r="F55" s="28">
        <f>'Financial Statements'!F55/'Financial Statements'!F$10</f>
        <v>3.9839463762536838E-2</v>
      </c>
      <c r="G55" s="28">
        <f>'Financial Statements'!G55/'Financial Statements'!G$10</f>
        <v>1.3606745737857619E-2</v>
      </c>
      <c r="H55" s="28">
        <f>'Financial Statements'!H55/'Financial Statements'!H$10</f>
        <v>1.5270717953545883E-3</v>
      </c>
      <c r="I55" s="28">
        <f>'Financial Statements'!I55/'Financial Statements'!I$10</f>
        <v>7.4641604943620682E-2</v>
      </c>
      <c r="J55" s="28">
        <f>'Financial Statements'!J55/'Financial Statements'!J$10</f>
        <v>0.2409318874063677</v>
      </c>
      <c r="K55" s="28">
        <f>'Financial Statements'!K55/'Financial Statements'!K$10</f>
        <v>0.11944758586391326</v>
      </c>
      <c r="L55" s="28">
        <f>'Financial Statements'!L55/'Financial Statements'!L$10</f>
        <v>0.28626957320528357</v>
      </c>
      <c r="M55" s="28">
        <f>'Financial Statements'!M55/'Financial Statements'!M$10</f>
        <v>0.27367333555954121</v>
      </c>
    </row>
    <row r="56" spans="1:13" ht="12.75" customHeight="1" x14ac:dyDescent="0.2">
      <c r="A56" s="1" t="s">
        <v>85</v>
      </c>
      <c r="B56" s="25">
        <f>'Financial Statements'!B281/'Financial Statements'!B$311</f>
        <v>9.3328724507431727E-3</v>
      </c>
      <c r="C56" s="25">
        <f>'Financial Statements'!C281/'Financial Statements'!C$311</f>
        <v>2.6126024834384962E-2</v>
      </c>
      <c r="D56" s="25">
        <f>'Financial Statements'!D281/'Financial Statements'!D$311</f>
        <v>1.7001357088512758E-2</v>
      </c>
      <c r="E56" s="25">
        <f>'Financial Statements'!E281/'Financial Statements'!E$311</f>
        <v>4.2097549908861512E-2</v>
      </c>
      <c r="F56" s="25">
        <f>'Financial Statements'!F281/'Financial Statements'!F$311</f>
        <v>5.9887847040244649E-2</v>
      </c>
      <c r="G56" s="25">
        <f>'Financial Statements'!G281/'Financial Statements'!G$311</f>
        <v>6.4747152136332822E-2</v>
      </c>
      <c r="H56" s="25">
        <f>'Financial Statements'!H281/'Financial Statements'!H$311</f>
        <v>4.6658975865093141E-2</v>
      </c>
      <c r="I56" s="25">
        <f>'Financial Statements'!I281/'Financial Statements'!I$311</f>
        <v>4.1390161325236131E-2</v>
      </c>
      <c r="J56" s="25">
        <f>'Financial Statements'!J281/'Financial Statements'!J$311</f>
        <v>0.14981849810056153</v>
      </c>
      <c r="K56" s="25">
        <f>'Financial Statements'!K281/'Financial Statements'!K$311</f>
        <v>0.10888055947538426</v>
      </c>
      <c r="L56" s="25">
        <f>'Financial Statements'!L281/'Financial Statements'!L$311</f>
        <v>0.16189746610521427</v>
      </c>
      <c r="M56" s="25">
        <f>'Financial Statements'!M281/'Financial Statements'!M$311</f>
        <v>0.11750714998167977</v>
      </c>
    </row>
    <row r="57" spans="1:13" ht="12.75" customHeight="1" x14ac:dyDescent="0.2">
      <c r="A57" s="1" t="s">
        <v>86</v>
      </c>
      <c r="B57" s="25">
        <f>'Financial Statements'!B282/'Financial Statements'!B$311</f>
        <v>0.26916512410986665</v>
      </c>
      <c r="C57" s="25">
        <f>'Financial Statements'!C282/'Financial Statements'!C$311</f>
        <v>0.32425827400574758</v>
      </c>
      <c r="D57" s="25">
        <f>'Financial Statements'!D282/'Financial Statements'!D$311</f>
        <v>0.13402652614379715</v>
      </c>
      <c r="E57" s="25">
        <f>'Financial Statements'!E282/'Financial Statements'!E$311</f>
        <v>0.24563148063317999</v>
      </c>
      <c r="F57" s="25">
        <f>'Financial Statements'!F282/'Financial Statements'!F$311</f>
        <v>0.21636751715417918</v>
      </c>
      <c r="G57" s="25">
        <f>'Financial Statements'!G282/'Financial Statements'!G$311</f>
        <v>0.12775649833346317</v>
      </c>
      <c r="H57" s="25">
        <f>'Financial Statements'!H282/'Financial Statements'!H$311</f>
        <v>9.1246642053932153E-2</v>
      </c>
      <c r="I57" s="25">
        <f>'Financial Statements'!I282/'Financial Statements'!I$311</f>
        <v>8.0861568810687859E-2</v>
      </c>
      <c r="J57" s="25">
        <f>'Financial Statements'!J282/'Financial Statements'!J$311</f>
        <v>0.18167585474731709</v>
      </c>
      <c r="K57" s="25">
        <f>'Financial Statements'!K282/'Financial Statements'!K$311</f>
        <v>0.26295736696142052</v>
      </c>
      <c r="L57" s="25">
        <f>'Financial Statements'!L282/'Financial Statements'!L$311</f>
        <v>0.28940624433682083</v>
      </c>
      <c r="M57" s="25">
        <f>'Financial Statements'!M282/'Financial Statements'!M$311</f>
        <v>0.24475901253918497</v>
      </c>
    </row>
    <row r="58" spans="1:13" ht="12.75" customHeight="1" x14ac:dyDescent="0.2">
      <c r="A58" s="1" t="s">
        <v>170</v>
      </c>
      <c r="B58" s="25">
        <f>'Financial Statements'!B283/'Financial Statements'!B$311</f>
        <v>0</v>
      </c>
      <c r="C58" s="25">
        <f>'Financial Statements'!C283/'Financial Statements'!C$311</f>
        <v>0</v>
      </c>
      <c r="D58" s="25">
        <f>'Financial Statements'!D283/'Financial Statements'!D$311</f>
        <v>0</v>
      </c>
      <c r="E58" s="25">
        <f>'Financial Statements'!E283/'Financial Statements'!E$311</f>
        <v>0</v>
      </c>
      <c r="F58" s="25">
        <f>'Financial Statements'!F283/'Financial Statements'!F$311</f>
        <v>0</v>
      </c>
      <c r="G58" s="25">
        <f>'Financial Statements'!G283/'Financial Statements'!G$311</f>
        <v>0</v>
      </c>
      <c r="H58" s="25">
        <f>'Financial Statements'!H283/'Financial Statements'!H$311</f>
        <v>0</v>
      </c>
      <c r="I58" s="25">
        <f>'Financial Statements'!I283/'Financial Statements'!I$311</f>
        <v>0</v>
      </c>
      <c r="J58" s="25">
        <f>'Financial Statements'!J283/'Financial Statements'!J$311</f>
        <v>0</v>
      </c>
      <c r="K58" s="25">
        <f>'Financial Statements'!K283/'Financial Statements'!K$311</f>
        <v>0</v>
      </c>
      <c r="L58" s="25">
        <f>'Financial Statements'!L283/'Financial Statements'!L$311</f>
        <v>0</v>
      </c>
      <c r="M58" s="25">
        <f>'Financial Statements'!M283/'Financial Statements'!M$311</f>
        <v>0</v>
      </c>
    </row>
    <row r="59" spans="1:13" ht="12.75" customHeight="1" x14ac:dyDescent="0.2">
      <c r="A59" s="5" t="s">
        <v>87</v>
      </c>
      <c r="B59" s="26">
        <f>'Financial Statements'!B284/'Financial Statements'!B$311</f>
        <v>0.27849799656060981</v>
      </c>
      <c r="C59" s="26">
        <f>'Financial Statements'!C284/'Financial Statements'!C$311</f>
        <v>0.35038429884013256</v>
      </c>
      <c r="D59" s="26">
        <f>'Financial Statements'!D284/'Financial Statements'!D$311</f>
        <v>0.15102788323230995</v>
      </c>
      <c r="E59" s="26">
        <f>'Financial Statements'!E284/'Financial Statements'!E$311</f>
        <v>0.28772903054204152</v>
      </c>
      <c r="F59" s="26">
        <f>'Financial Statements'!F284/'Financial Statements'!F$311</f>
        <v>0.27625536419442381</v>
      </c>
      <c r="G59" s="26">
        <f>'Financial Statements'!G284/'Financial Statements'!G$311</f>
        <v>0.19250365046979601</v>
      </c>
      <c r="H59" s="26">
        <f>'Financial Statements'!H284/'Financial Statements'!H$311</f>
        <v>0.13790561791902528</v>
      </c>
      <c r="I59" s="26">
        <f>'Financial Statements'!I284/'Financial Statements'!I$311</f>
        <v>0.122251730135924</v>
      </c>
      <c r="J59" s="26">
        <f>'Financial Statements'!J284/'Financial Statements'!J$311</f>
        <v>0.33149435284787859</v>
      </c>
      <c r="K59" s="26">
        <f>'Financial Statements'!K284/'Financial Statements'!K$311</f>
        <v>0.37183792643680474</v>
      </c>
      <c r="L59" s="26">
        <f>'Financial Statements'!L284/'Financial Statements'!L$311</f>
        <v>0.4513037104420351</v>
      </c>
      <c r="M59" s="26">
        <f>'Financial Statements'!M284/'Financial Statements'!M$311</f>
        <v>0.36226616252086474</v>
      </c>
    </row>
    <row r="60" spans="1:13" ht="12.75" customHeight="1" x14ac:dyDescent="0.2">
      <c r="A60" s="1" t="s">
        <v>55</v>
      </c>
      <c r="B60" s="25">
        <f>'Financial Statements'!B285/'Financial Statements'!B$311</f>
        <v>0.10662001845684017</v>
      </c>
      <c r="C60" s="25">
        <f>'Financial Statements'!C285/'Financial Statements'!C$311</f>
        <v>5.5777974661911457E-2</v>
      </c>
      <c r="D60" s="25">
        <f>'Financial Statements'!D285/'Financial Statements'!D$311</f>
        <v>5.9298573024332731E-2</v>
      </c>
      <c r="E60" s="25">
        <f>'Financial Statements'!E285/'Financial Statements'!E$311</f>
        <v>7.017359339456751E-2</v>
      </c>
      <c r="F60" s="25">
        <f>'Financial Statements'!F285/'Financial Statements'!F$311</f>
        <v>4.9347129323570972E-2</v>
      </c>
      <c r="G60" s="25">
        <f>'Financial Statements'!G285/'Financial Statements'!G$311</f>
        <v>7.0420504286919469E-2</v>
      </c>
      <c r="H60" s="25">
        <f>'Financial Statements'!H285/'Financial Statements'!H$311</f>
        <v>6.4324497589438118E-2</v>
      </c>
      <c r="I60" s="25">
        <f>'Financial Statements'!I285/'Financial Statements'!I$311</f>
        <v>0.11846606173497659</v>
      </c>
      <c r="J60" s="25">
        <f>'Financial Statements'!J285/'Financial Statements'!J$311</f>
        <v>5.6781059336667473E-2</v>
      </c>
      <c r="K60" s="25">
        <f>'Financial Statements'!K285/'Financial Statements'!K$311</f>
        <v>6.3416547622371519E-2</v>
      </c>
      <c r="L60" s="25">
        <f>'Financial Statements'!L285/'Financial Statements'!L$311</f>
        <v>7.9127762618333083E-2</v>
      </c>
      <c r="M60" s="25">
        <f>'Financial Statements'!M285/'Financial Statements'!M$311</f>
        <v>7.4863934067499902E-2</v>
      </c>
    </row>
    <row r="61" spans="1:13" ht="12.75" customHeight="1" x14ac:dyDescent="0.2">
      <c r="A61" s="1" t="s">
        <v>171</v>
      </c>
      <c r="B61" s="25">
        <f>'Financial Statements'!B286/'Financial Statements'!B$311</f>
        <v>3.1917196197072534E-3</v>
      </c>
      <c r="C61" s="25">
        <f>'Financial Statements'!C286/'Financial Statements'!C$311</f>
        <v>1.5530260441730039E-2</v>
      </c>
      <c r="D61" s="25">
        <f>'Financial Statements'!D286/'Financial Statements'!D$311</f>
        <v>5.4147057286171439E-2</v>
      </c>
      <c r="E61" s="25">
        <f>'Financial Statements'!E286/'Financial Statements'!E$311</f>
        <v>4.4400133165630401E-3</v>
      </c>
      <c r="F61" s="25">
        <f>'Financial Statements'!F286/'Financial Statements'!F$311</f>
        <v>1.2714070491698364E-2</v>
      </c>
      <c r="G61" s="25">
        <f>'Financial Statements'!G286/'Financial Statements'!G$311</f>
        <v>1.1103892121780666E-2</v>
      </c>
      <c r="H61" s="25">
        <f>'Financial Statements'!H286/'Financial Statements'!H$311</f>
        <v>3.8703226719732114E-2</v>
      </c>
      <c r="I61" s="25">
        <f>'Financial Statements'!I286/'Financial Statements'!I$311</f>
        <v>3.5233196192755251E-2</v>
      </c>
      <c r="J61" s="25">
        <f>'Financial Statements'!J286/'Financial Statements'!J$311</f>
        <v>3.9003338407029839E-2</v>
      </c>
      <c r="K61" s="25">
        <f>'Financial Statements'!K286/'Financial Statements'!K$311</f>
        <v>1.0935749951596536E-2</v>
      </c>
      <c r="L61" s="25">
        <f>'Financial Statements'!L286/'Financial Statements'!L$311</f>
        <v>9.1687174331740798E-3</v>
      </c>
      <c r="M61" s="25">
        <f>'Financial Statements'!M286/'Financial Statements'!M$311</f>
        <v>8.5850669706469089E-3</v>
      </c>
    </row>
    <row r="62" spans="1:13" ht="12.75" customHeight="1" x14ac:dyDescent="0.2">
      <c r="A62" s="1" t="s">
        <v>88</v>
      </c>
      <c r="B62" s="25">
        <f>'Financial Statements'!B287/'Financial Statements'!B$311</f>
        <v>0</v>
      </c>
      <c r="C62" s="25">
        <f>'Financial Statements'!C287/'Financial Statements'!C$311</f>
        <v>0</v>
      </c>
      <c r="D62" s="25">
        <f>'Financial Statements'!D287/'Financial Statements'!D$311</f>
        <v>0</v>
      </c>
      <c r="E62" s="25">
        <f>'Financial Statements'!E287/'Financial Statements'!E$311</f>
        <v>0</v>
      </c>
      <c r="F62" s="25">
        <f>'Financial Statements'!F287/'Financial Statements'!F$311</f>
        <v>0</v>
      </c>
      <c r="G62" s="25">
        <f>'Financial Statements'!G287/'Financial Statements'!G$311</f>
        <v>0</v>
      </c>
      <c r="H62" s="25">
        <f>'Financial Statements'!H287/'Financial Statements'!H$311</f>
        <v>0</v>
      </c>
      <c r="I62" s="25">
        <f>'Financial Statements'!I287/'Financial Statements'!I$311</f>
        <v>0</v>
      </c>
      <c r="J62" s="25">
        <f>'Financial Statements'!J287/'Financial Statements'!J$311</f>
        <v>0</v>
      </c>
      <c r="K62" s="25">
        <f>'Financial Statements'!K287/'Financial Statements'!K$311</f>
        <v>0</v>
      </c>
      <c r="L62" s="25">
        <f>'Financial Statements'!L287/'Financial Statements'!L$311</f>
        <v>0</v>
      </c>
      <c r="M62" s="25">
        <f>'Financial Statements'!M287/'Financial Statements'!M$311</f>
        <v>0</v>
      </c>
    </row>
    <row r="63" spans="1:13" ht="12.75" customHeight="1" x14ac:dyDescent="0.2">
      <c r="A63" s="5" t="s">
        <v>89</v>
      </c>
      <c r="B63" s="26">
        <f>'Financial Statements'!B288/'Financial Statements'!B$311</f>
        <v>0.10981173807654743</v>
      </c>
      <c r="C63" s="26">
        <f>'Financial Statements'!C288/'Financial Statements'!C$311</f>
        <v>7.130823510364151E-2</v>
      </c>
      <c r="D63" s="26">
        <f>'Financial Statements'!D288/'Financial Statements'!D$311</f>
        <v>0.11344563031050417</v>
      </c>
      <c r="E63" s="26">
        <f>'Financial Statements'!E288/'Financial Statements'!E$311</f>
        <v>7.4613606711130542E-2</v>
      </c>
      <c r="F63" s="26">
        <f>'Financial Statements'!F288/'Financial Statements'!F$311</f>
        <v>6.2061199815269343E-2</v>
      </c>
      <c r="G63" s="26">
        <f>'Financial Statements'!G288/'Financial Statements'!G$311</f>
        <v>8.1524396408700142E-2</v>
      </c>
      <c r="H63" s="26">
        <f>'Financial Statements'!H288/'Financial Statements'!H$311</f>
        <v>0.10302772430917022</v>
      </c>
      <c r="I63" s="26">
        <f>'Financial Statements'!I288/'Financial Statements'!I$311</f>
        <v>0.15369925792773184</v>
      </c>
      <c r="J63" s="26">
        <f>'Financial Statements'!J288/'Financial Statements'!J$311</f>
        <v>9.5784397743697305E-2</v>
      </c>
      <c r="K63" s="26">
        <f>'Financial Statements'!K288/'Financial Statements'!K$311</f>
        <v>7.4352297573968051E-2</v>
      </c>
      <c r="L63" s="26">
        <f>'Financial Statements'!L288/'Financial Statements'!L$311</f>
        <v>8.829648005150717E-2</v>
      </c>
      <c r="M63" s="26">
        <f>'Financial Statements'!M288/'Financial Statements'!M$311</f>
        <v>8.3449001038146814E-2</v>
      </c>
    </row>
    <row r="64" spans="1:13" ht="12.75" customHeight="1" x14ac:dyDescent="0.2">
      <c r="A64" s="1" t="s">
        <v>90</v>
      </c>
      <c r="B64" s="25">
        <f>'Financial Statements'!B289/'Financial Statements'!B$311</f>
        <v>0.1574969337308984</v>
      </c>
      <c r="C64" s="25">
        <f>'Financial Statements'!C289/'Financial Statements'!C$311</f>
        <v>0.13923715893196853</v>
      </c>
      <c r="D64" s="25">
        <f>'Financial Statements'!D289/'Financial Statements'!D$311</f>
        <v>0.15554441318989365</v>
      </c>
      <c r="E64" s="25">
        <f>'Financial Statements'!E289/'Financial Statements'!E$311</f>
        <v>0.14658997763478024</v>
      </c>
      <c r="F64" s="25">
        <f>'Financial Statements'!F289/'Financial Statements'!F$311</f>
        <v>0.14895812252762744</v>
      </c>
      <c r="G64" s="25">
        <f>'Financial Statements'!G289/'Financial Statements'!G$311</f>
        <v>0.15514786681627654</v>
      </c>
      <c r="H64" s="25">
        <f>'Financial Statements'!H289/'Financial Statements'!H$311</f>
        <v>0.17765995701178189</v>
      </c>
      <c r="I64" s="25">
        <f>'Financial Statements'!I289/'Financial Statements'!I$311</f>
        <v>0.18446096607399423</v>
      </c>
      <c r="J64" s="25">
        <f>'Financial Statements'!J289/'Financial Statements'!J$311</f>
        <v>0.14551770890625598</v>
      </c>
      <c r="K64" s="25">
        <f>'Financial Statements'!K289/'Financial Statements'!K$311</f>
        <v>0.11982180201861896</v>
      </c>
      <c r="L64" s="25">
        <f>'Financial Statements'!L289/'Financial Statements'!L$311</f>
        <v>9.5853004860567873E-2</v>
      </c>
      <c r="M64" s="25">
        <f>'Financial Statements'!M289/'Financial Statements'!M$311</f>
        <v>0.10832731140333023</v>
      </c>
    </row>
    <row r="65" spans="1:13" ht="12.75" customHeight="1" x14ac:dyDescent="0.2">
      <c r="A65" s="1" t="s">
        <v>91</v>
      </c>
      <c r="B65" s="25">
        <f>'Financial Statements'!B290/'Financial Statements'!B$311</f>
        <v>2.0955082253543574E-3</v>
      </c>
      <c r="C65" s="25">
        <f>'Financial Statements'!C290/'Financial Statements'!C$311</f>
        <v>2.3934914302932721E-3</v>
      </c>
      <c r="D65" s="25">
        <f>'Financial Statements'!D290/'Financial Statements'!D$311</f>
        <v>2.2147065029900471E-3</v>
      </c>
      <c r="E65" s="25">
        <f>'Financial Statements'!E290/'Financial Statements'!E$311</f>
        <v>1.755839252047248E-3</v>
      </c>
      <c r="F65" s="25">
        <f>'Financial Statements'!F290/'Financial Statements'!F$311</f>
        <v>3.7430444927603916E-3</v>
      </c>
      <c r="G65" s="25">
        <f>'Financial Statements'!G290/'Financial Statements'!G$311</f>
        <v>3.6189787966128947E-3</v>
      </c>
      <c r="H65" s="25">
        <f>'Financial Statements'!H290/'Financial Statements'!H$311</f>
        <v>4.3988890100181101E-3</v>
      </c>
      <c r="I65" s="25">
        <f>'Financial Statements'!I290/'Financial Statements'!I$311</f>
        <v>3.0024749752887762E-3</v>
      </c>
      <c r="J65" s="25">
        <f>'Financial Statements'!J290/'Financial Statements'!J$311</f>
        <v>2.7525869456773381E-3</v>
      </c>
      <c r="K65" s="25">
        <f>'Financial Statements'!K290/'Financial Statements'!K$311</f>
        <v>2.3975162500612197E-3</v>
      </c>
      <c r="L65" s="25">
        <f>'Financial Statements'!L290/'Financial Statements'!L$311</f>
        <v>2.2625160514151018E-3</v>
      </c>
      <c r="M65" s="25">
        <f>'Financial Statements'!M290/'Financial Statements'!M$311</f>
        <v>3.9671584293449504E-3</v>
      </c>
    </row>
    <row r="66" spans="1:13" ht="12.75" customHeight="1" x14ac:dyDescent="0.2">
      <c r="A66" s="1" t="s">
        <v>172</v>
      </c>
      <c r="B66" s="25">
        <f>'Financial Statements'!B291/'Financial Statements'!B$311</f>
        <v>0</v>
      </c>
      <c r="C66" s="25">
        <f>'Financial Statements'!C291/'Financial Statements'!C$311</f>
        <v>0</v>
      </c>
      <c r="D66" s="25">
        <f>'Financial Statements'!D291/'Financial Statements'!D$311</f>
        <v>0</v>
      </c>
      <c r="E66" s="25">
        <f>'Financial Statements'!E291/'Financial Statements'!E$311</f>
        <v>0</v>
      </c>
      <c r="F66" s="25">
        <f>'Financial Statements'!F291/'Financial Statements'!F$311</f>
        <v>0</v>
      </c>
      <c r="G66" s="25">
        <f>'Financial Statements'!G291/'Financial Statements'!G$311</f>
        <v>0</v>
      </c>
      <c r="H66" s="25">
        <f>'Financial Statements'!H291/'Financial Statements'!H$311</f>
        <v>0</v>
      </c>
      <c r="I66" s="25">
        <f>'Financial Statements'!I291/'Financial Statements'!I$311</f>
        <v>0</v>
      </c>
      <c r="J66" s="25">
        <f>'Financial Statements'!J291/'Financial Statements'!J$311</f>
        <v>0</v>
      </c>
      <c r="K66" s="25">
        <f>'Financial Statements'!K291/'Financial Statements'!K$311</f>
        <v>0</v>
      </c>
      <c r="L66" s="25">
        <f>'Financial Statements'!L291/'Financial Statements'!L$311</f>
        <v>0</v>
      </c>
      <c r="M66" s="25">
        <f>'Financial Statements'!M291/'Financial Statements'!M$311</f>
        <v>0</v>
      </c>
    </row>
    <row r="67" spans="1:13" ht="12.75" customHeight="1" x14ac:dyDescent="0.2">
      <c r="A67" s="1" t="s">
        <v>173</v>
      </c>
      <c r="B67" s="25">
        <f>'Financial Statements'!B292/'Financial Statements'!B$311</f>
        <v>0</v>
      </c>
      <c r="C67" s="25">
        <f>'Financial Statements'!C292/'Financial Statements'!C$311</f>
        <v>0</v>
      </c>
      <c r="D67" s="25">
        <f>'Financial Statements'!D292/'Financial Statements'!D$311</f>
        <v>0</v>
      </c>
      <c r="E67" s="25">
        <f>'Financial Statements'!E292/'Financial Statements'!E$311</f>
        <v>0</v>
      </c>
      <c r="F67" s="25">
        <f>'Financial Statements'!F292/'Financial Statements'!F$311</f>
        <v>0</v>
      </c>
      <c r="G67" s="25">
        <f>'Financial Statements'!G292/'Financial Statements'!G$311</f>
        <v>0</v>
      </c>
      <c r="H67" s="25">
        <f>'Financial Statements'!H292/'Financial Statements'!H$311</f>
        <v>0</v>
      </c>
      <c r="I67" s="25">
        <f>'Financial Statements'!I292/'Financial Statements'!I$311</f>
        <v>0</v>
      </c>
      <c r="J67" s="25">
        <f>'Financial Statements'!J292/'Financial Statements'!J$311</f>
        <v>0</v>
      </c>
      <c r="K67" s="25">
        <f>'Financial Statements'!K292/'Financial Statements'!K$311</f>
        <v>0</v>
      </c>
      <c r="L67" s="25">
        <f>'Financial Statements'!L292/'Financial Statements'!L$311</f>
        <v>0</v>
      </c>
      <c r="M67" s="25">
        <f>'Financial Statements'!M292/'Financial Statements'!M$311</f>
        <v>0</v>
      </c>
    </row>
    <row r="68" spans="1:13" ht="12.75" customHeight="1" x14ac:dyDescent="0.2">
      <c r="A68" s="1" t="s">
        <v>174</v>
      </c>
      <c r="B68" s="25">
        <f>'Financial Statements'!B293/'Financial Statements'!B$311</f>
        <v>0</v>
      </c>
      <c r="C68" s="25">
        <f>'Financial Statements'!C293/'Financial Statements'!C$311</f>
        <v>0</v>
      </c>
      <c r="D68" s="25">
        <f>'Financial Statements'!D293/'Financial Statements'!D$311</f>
        <v>0</v>
      </c>
      <c r="E68" s="25">
        <f>'Financial Statements'!E293/'Financial Statements'!E$311</f>
        <v>0</v>
      </c>
      <c r="F68" s="25">
        <f>'Financial Statements'!F293/'Financial Statements'!F$311</f>
        <v>0</v>
      </c>
      <c r="G68" s="25">
        <f>'Financial Statements'!G293/'Financial Statements'!G$311</f>
        <v>0</v>
      </c>
      <c r="H68" s="25">
        <f>'Financial Statements'!H293/'Financial Statements'!H$311</f>
        <v>0</v>
      </c>
      <c r="I68" s="25">
        <f>'Financial Statements'!I293/'Financial Statements'!I$311</f>
        <v>0</v>
      </c>
      <c r="J68" s="25">
        <f>'Financial Statements'!J293/'Financial Statements'!J$311</f>
        <v>0</v>
      </c>
      <c r="K68" s="25">
        <f>'Financial Statements'!K293/'Financial Statements'!K$311</f>
        <v>0</v>
      </c>
      <c r="L68" s="25">
        <f>'Financial Statements'!L293/'Financial Statements'!L$311</f>
        <v>0</v>
      </c>
      <c r="M68" s="25">
        <f>'Financial Statements'!M293/'Financial Statements'!M$311</f>
        <v>0</v>
      </c>
    </row>
    <row r="69" spans="1:13" ht="12.75" customHeight="1" x14ac:dyDescent="0.2">
      <c r="A69" s="1" t="s">
        <v>130</v>
      </c>
      <c r="B69" s="25">
        <f>'Financial Statements'!B294/'Financial Statements'!B$311</f>
        <v>0</v>
      </c>
      <c r="C69" s="25">
        <f>'Financial Statements'!C294/'Financial Statements'!C$311</f>
        <v>0</v>
      </c>
      <c r="D69" s="25">
        <f>'Financial Statements'!D294/'Financial Statements'!D$311</f>
        <v>0</v>
      </c>
      <c r="E69" s="25">
        <f>'Financial Statements'!E294/'Financial Statements'!E$311</f>
        <v>0</v>
      </c>
      <c r="F69" s="25">
        <f>'Financial Statements'!F294/'Financial Statements'!F$311</f>
        <v>0</v>
      </c>
      <c r="G69" s="25">
        <f>'Financial Statements'!G294/'Financial Statements'!G$311</f>
        <v>0</v>
      </c>
      <c r="H69" s="25">
        <f>'Financial Statements'!H294/'Financial Statements'!H$311</f>
        <v>0</v>
      </c>
      <c r="I69" s="25">
        <f>'Financial Statements'!I294/'Financial Statements'!I$311</f>
        <v>0</v>
      </c>
      <c r="J69" s="25">
        <f>'Financial Statements'!J294/'Financial Statements'!J$311</f>
        <v>0</v>
      </c>
      <c r="K69" s="25">
        <f>'Financial Statements'!K294/'Financial Statements'!K$311</f>
        <v>0</v>
      </c>
      <c r="L69" s="25">
        <f>'Financial Statements'!L294/'Financial Statements'!L$311</f>
        <v>0</v>
      </c>
      <c r="M69" s="25">
        <f>'Financial Statements'!M294/'Financial Statements'!M$311</f>
        <v>0</v>
      </c>
    </row>
    <row r="70" spans="1:13" ht="12.75" customHeight="1" x14ac:dyDescent="0.2">
      <c r="A70" s="1" t="s">
        <v>175</v>
      </c>
      <c r="B70" s="25">
        <f>'Financial Statements'!B295/'Financial Statements'!B$311</f>
        <v>0</v>
      </c>
      <c r="C70" s="25">
        <f>'Financial Statements'!C295/'Financial Statements'!C$311</f>
        <v>0</v>
      </c>
      <c r="D70" s="25">
        <f>'Financial Statements'!D295/'Financial Statements'!D$311</f>
        <v>0</v>
      </c>
      <c r="E70" s="25">
        <f>'Financial Statements'!E295/'Financial Statements'!E$311</f>
        <v>0</v>
      </c>
      <c r="F70" s="25">
        <f>'Financial Statements'!F295/'Financial Statements'!F$311</f>
        <v>0</v>
      </c>
      <c r="G70" s="25">
        <f>'Financial Statements'!G295/'Financial Statements'!G$311</f>
        <v>0</v>
      </c>
      <c r="H70" s="25">
        <f>'Financial Statements'!H295/'Financial Statements'!H$311</f>
        <v>0</v>
      </c>
      <c r="I70" s="25">
        <f>'Financial Statements'!I295/'Financial Statements'!I$311</f>
        <v>0</v>
      </c>
      <c r="J70" s="25">
        <f>'Financial Statements'!J295/'Financial Statements'!J$311</f>
        <v>0</v>
      </c>
      <c r="K70" s="25">
        <f>'Financial Statements'!K295/'Financial Statements'!K$311</f>
        <v>0</v>
      </c>
      <c r="L70" s="25">
        <f>'Financial Statements'!L295/'Financial Statements'!L$311</f>
        <v>3.2418914621222262E-4</v>
      </c>
      <c r="M70" s="25">
        <f>'Financial Statements'!M295/'Financial Statements'!M$311</f>
        <v>0</v>
      </c>
    </row>
    <row r="71" spans="1:13" ht="12.75" customHeight="1" x14ac:dyDescent="0.2">
      <c r="A71" s="1" t="s">
        <v>131</v>
      </c>
      <c r="B71" s="25">
        <f>'Financial Statements'!B296/'Financial Statements'!B$311</f>
        <v>1.6475475769743919E-4</v>
      </c>
      <c r="C71" s="25">
        <f>'Financial Statements'!C296/'Financial Statements'!C$311</f>
        <v>0</v>
      </c>
      <c r="D71" s="25">
        <f>'Financial Statements'!D296/'Financial Statements'!D$311</f>
        <v>0</v>
      </c>
      <c r="E71" s="25">
        <f>'Financial Statements'!E296/'Financial Statements'!E$311</f>
        <v>0</v>
      </c>
      <c r="F71" s="25">
        <f>'Financial Statements'!F296/'Financial Statements'!F$311</f>
        <v>0</v>
      </c>
      <c r="G71" s="25">
        <f>'Financial Statements'!G296/'Financial Statements'!G$311</f>
        <v>0</v>
      </c>
      <c r="H71" s="25">
        <f>'Financial Statements'!H296/'Financial Statements'!H$311</f>
        <v>0</v>
      </c>
      <c r="I71" s="25">
        <f>'Financial Statements'!I296/'Financial Statements'!I$311</f>
        <v>0</v>
      </c>
      <c r="J71" s="25">
        <f>'Financial Statements'!J296/'Financial Statements'!J$311</f>
        <v>0</v>
      </c>
      <c r="K71" s="25">
        <f>'Financial Statements'!K296/'Financial Statements'!K$311</f>
        <v>0</v>
      </c>
      <c r="L71" s="25">
        <f>'Financial Statements'!L296/'Financial Statements'!L$311</f>
        <v>0</v>
      </c>
      <c r="M71" s="25">
        <f>'Financial Statements'!M296/'Financial Statements'!M$311</f>
        <v>0</v>
      </c>
    </row>
    <row r="72" spans="1:13" ht="12.75" customHeight="1" x14ac:dyDescent="0.2">
      <c r="A72" s="5" t="s">
        <v>45</v>
      </c>
      <c r="B72" s="26">
        <f>'Financial Statements'!B297/'Financial Statements'!B$311</f>
        <v>0.5480669313511074</v>
      </c>
      <c r="C72" s="26">
        <f>'Financial Statements'!C297/'Financial Statements'!C$311</f>
        <v>0.5633231843060359</v>
      </c>
      <c r="D72" s="26">
        <f>'Financial Statements'!D297/'Financial Statements'!D$311</f>
        <v>0.42223263323569782</v>
      </c>
      <c r="E72" s="26">
        <f>'Financial Statements'!E297/'Financial Statements'!E$311</f>
        <v>0.51068845413999953</v>
      </c>
      <c r="F72" s="26">
        <f>'Financial Statements'!F297/'Financial Statements'!F$311</f>
        <v>0.49101773103008101</v>
      </c>
      <c r="G72" s="26">
        <f>'Financial Statements'!G297/'Financial Statements'!G$311</f>
        <v>0.43279489249138553</v>
      </c>
      <c r="H72" s="26">
        <f>'Financial Statements'!H297/'Financial Statements'!H$311</f>
        <v>0.42299218824999557</v>
      </c>
      <c r="I72" s="26">
        <f>'Financial Statements'!I297/'Financial Statements'!I$311</f>
        <v>0.46341442911293884</v>
      </c>
      <c r="J72" s="26">
        <f>'Financial Statements'!J297/'Financial Statements'!J$311</f>
        <v>0.57554904644350924</v>
      </c>
      <c r="K72" s="26">
        <f>'Financial Statements'!K297/'Financial Statements'!K$311</f>
        <v>0.56840954227945295</v>
      </c>
      <c r="L72" s="26">
        <f>'Financial Statements'!L297/'Financial Statements'!L$311</f>
        <v>0.63803990055173743</v>
      </c>
      <c r="M72" s="26">
        <f>'Financial Statements'!M297/'Financial Statements'!M$311</f>
        <v>0.55800963339168663</v>
      </c>
    </row>
    <row r="73" spans="1:13" ht="12.75" customHeight="1" x14ac:dyDescent="0.2">
      <c r="A73" s="1" t="s">
        <v>92</v>
      </c>
      <c r="B73" s="25">
        <f>'Financial Statements'!B298/'Financial Statements'!B$311</f>
        <v>0.81218926768125443</v>
      </c>
      <c r="C73" s="25">
        <f>'Financial Statements'!C298/'Financial Statements'!C$311</f>
        <v>0.73994504234258129</v>
      </c>
      <c r="D73" s="25">
        <f>'Financial Statements'!D298/'Financial Statements'!D$311</f>
        <v>0.89747786745446201</v>
      </c>
      <c r="E73" s="25">
        <f>'Financial Statements'!E298/'Financial Statements'!E$311</f>
        <v>0.81628358368529808</v>
      </c>
      <c r="F73" s="25">
        <f>'Financial Statements'!F298/'Financial Statements'!F$311</f>
        <v>0.87516323929020534</v>
      </c>
      <c r="G73" s="25">
        <f>'Financial Statements'!G298/'Financial Statements'!G$311</f>
        <v>0.94959865550006883</v>
      </c>
      <c r="H73" s="25">
        <f>'Financial Statements'!H298/'Financial Statements'!H$311</f>
        <v>0.98880386340745907</v>
      </c>
      <c r="I73" s="25">
        <f>'Financial Statements'!I298/'Financial Statements'!I$311</f>
        <v>0.94962833338820829</v>
      </c>
      <c r="J73" s="25">
        <f>'Financial Statements'!J298/'Financial Statements'!J$311</f>
        <v>0.7591399444877911</v>
      </c>
      <c r="K73" s="25">
        <f>'Financial Statements'!K298/'Financial Statements'!K$311</f>
        <v>0.76080358446530305</v>
      </c>
      <c r="L73" s="25">
        <f>'Financial Statements'!L298/'Financial Statements'!L$311</f>
        <v>0.61784745539076302</v>
      </c>
      <c r="M73" s="25">
        <f>'Financial Statements'!M298/'Financial Statements'!M$311</f>
        <v>0</v>
      </c>
    </row>
    <row r="74" spans="1:13" ht="12.75" customHeight="1" x14ac:dyDescent="0.2">
      <c r="A74" s="1" t="s">
        <v>93</v>
      </c>
      <c r="B74" s="25">
        <f>'Financial Statements'!B299/'Financial Statements'!B$311</f>
        <v>-0.42583397673835111</v>
      </c>
      <c r="C74" s="25">
        <f>'Financial Statements'!C299/'Financial Statements'!C$311</f>
        <v>-0.38710608806717239</v>
      </c>
      <c r="D74" s="25">
        <f>'Financial Statements'!D299/'Financial Statements'!D$311</f>
        <v>-0.45397127463715786</v>
      </c>
      <c r="E74" s="25">
        <f>'Financial Statements'!E299/'Financial Statements'!E$311</f>
        <v>-0.44652817557001762</v>
      </c>
      <c r="F74" s="25">
        <f>'Financial Statements'!F299/'Financial Statements'!F$311</f>
        <v>-0.48054014691968544</v>
      </c>
      <c r="G74" s="25">
        <f>'Financial Statements'!G299/'Financial Statements'!G$311</f>
        <v>-0.48503680303374347</v>
      </c>
      <c r="H74" s="25">
        <f>'Financial Statements'!H299/'Financial Statements'!H$311</f>
        <v>-0.50745134537502423</v>
      </c>
      <c r="I74" s="25">
        <f>'Financial Statements'!I299/'Financial Statements'!I$311</f>
        <v>-0.47481136457093537</v>
      </c>
      <c r="J74" s="25">
        <f>'Financial Statements'!J299/'Financial Statements'!J$311</f>
        <v>-0.37820851613563394</v>
      </c>
      <c r="K74" s="25">
        <f>'Financial Statements'!K299/'Financial Statements'!K$311</f>
        <v>-0.36843389276904892</v>
      </c>
      <c r="L74" s="25">
        <f>'Financial Statements'!L299/'Financial Statements'!L$311</f>
        <v>-0.28500764600101341</v>
      </c>
      <c r="M74" s="25">
        <f>'Financial Statements'!M299/'Financial Statements'!M$311</f>
        <v>0</v>
      </c>
    </row>
    <row r="75" spans="1:13" ht="12.75" customHeight="1" x14ac:dyDescent="0.2">
      <c r="A75" s="5" t="s">
        <v>94</v>
      </c>
      <c r="B75" s="26">
        <f>'Financial Statements'!B300/'Financial Statements'!B$311</f>
        <v>0.38635529094290333</v>
      </c>
      <c r="C75" s="26">
        <f>'Financial Statements'!C300/'Financial Statements'!C$311</f>
        <v>0.3528389542754089</v>
      </c>
      <c r="D75" s="26">
        <f>'Financial Statements'!D300/'Financial Statements'!D$311</f>
        <v>0.44350659281730415</v>
      </c>
      <c r="E75" s="26">
        <f>'Financial Statements'!E300/'Financial Statements'!E$311</f>
        <v>0.36975540811528046</v>
      </c>
      <c r="F75" s="26">
        <f>'Financial Statements'!F300/'Financial Statements'!F$311</f>
        <v>0.39462309237051985</v>
      </c>
      <c r="G75" s="26">
        <f>'Financial Statements'!G300/'Financial Statements'!G$311</f>
        <v>0.46456185246632531</v>
      </c>
      <c r="H75" s="26">
        <f>'Financial Statements'!H300/'Financial Statements'!H$311</f>
        <v>0.48135251803243484</v>
      </c>
      <c r="I75" s="26">
        <f>'Financial Statements'!I300/'Financial Statements'!I$311</f>
        <v>0.47481696881727287</v>
      </c>
      <c r="J75" s="26">
        <f>'Financial Statements'!J300/'Financial Statements'!J$311</f>
        <v>0.38093142835215715</v>
      </c>
      <c r="K75" s="26">
        <f>'Financial Statements'!K300/'Financial Statements'!K$311</f>
        <v>0.39236969169625419</v>
      </c>
      <c r="L75" s="26">
        <f>'Financial Statements'!L300/'Financial Statements'!L$311</f>
        <v>0.33283980938974955</v>
      </c>
      <c r="M75" s="26">
        <f>'Financial Statements'!M300/'Financial Statements'!M$311</f>
        <v>0.38760470524773033</v>
      </c>
    </row>
    <row r="76" spans="1:13" ht="12.75" customHeight="1" x14ac:dyDescent="0.2">
      <c r="A76" s="1" t="s">
        <v>176</v>
      </c>
      <c r="B76" s="25">
        <f>'Financial Statements'!B301/'Financial Statements'!B$311</f>
        <v>2.0290679080345403E-2</v>
      </c>
      <c r="C76" s="25">
        <f>'Financial Statements'!C301/'Financial Statements'!C$311</f>
        <v>4.8548928955309795E-2</v>
      </c>
      <c r="D76" s="25">
        <f>'Financial Statements'!D301/'Financial Statements'!D$311</f>
        <v>6.3625381620646321E-2</v>
      </c>
      <c r="E76" s="25">
        <f>'Financial Statements'!E301/'Financial Statements'!E$311</f>
        <v>6.3024198420266214E-2</v>
      </c>
      <c r="F76" s="25">
        <f>'Financial Statements'!F301/'Financial Statements'!F$311</f>
        <v>6.132694732581611E-2</v>
      </c>
      <c r="G76" s="25">
        <f>'Financial Statements'!G301/'Financial Statements'!G$311</f>
        <v>5.2814549504679731E-2</v>
      </c>
      <c r="H76" s="25">
        <f>'Financial Statements'!H301/'Financial Statements'!H$311</f>
        <v>4.8046086233519421E-2</v>
      </c>
      <c r="I76" s="25">
        <f>'Financial Statements'!I301/'Financial Statements'!I$311</f>
        <v>1.3507634734838587E-2</v>
      </c>
      <c r="J76" s="25">
        <f>'Financial Statements'!J301/'Financial Statements'!J$311</f>
        <v>7.3925889922103836E-3</v>
      </c>
      <c r="K76" s="25">
        <f>'Financial Statements'!K301/'Financial Statements'!K$311</f>
        <v>5.1241302824427933E-3</v>
      </c>
      <c r="L76" s="25">
        <f>'Financial Statements'!L301/'Financial Statements'!L$311</f>
        <v>3.5968785772246101E-3</v>
      </c>
      <c r="M76" s="25">
        <f>'Financial Statements'!M301/'Financial Statements'!M$311</f>
        <v>3.1739175792859179E-3</v>
      </c>
    </row>
    <row r="77" spans="1:13" ht="12.75" customHeight="1" x14ac:dyDescent="0.2">
      <c r="A77" s="1" t="s">
        <v>56</v>
      </c>
      <c r="B77" s="25">
        <f>'Financial Statements'!B302/'Financial Statements'!B$311</f>
        <v>3.143908435120546E-2</v>
      </c>
      <c r="C77" s="25">
        <f>'Financial Statements'!C302/'Financial Statements'!C$311</f>
        <v>2.6260945433612317E-2</v>
      </c>
      <c r="D77" s="25">
        <f>'Financial Statements'!D302/'Financial Statements'!D$311</f>
        <v>3.4386996730210416E-2</v>
      </c>
      <c r="E77" s="25">
        <f>'Financial Statements'!E302/'Financial Statements'!E$311</f>
        <v>3.08793016975141E-2</v>
      </c>
      <c r="F77" s="25">
        <f>'Financial Statements'!F302/'Financial Statements'!F$311</f>
        <v>3.0723580315460467E-2</v>
      </c>
      <c r="G77" s="25">
        <f>'Financial Statements'!G302/'Financial Statements'!G$311</f>
        <v>2.9439940863218016E-2</v>
      </c>
      <c r="H77" s="25">
        <f>'Financial Statements'!H302/'Financial Statements'!H$311</f>
        <v>2.890152248583195E-2</v>
      </c>
      <c r="I77" s="25">
        <f>'Financial Statements'!I302/'Financial Statements'!I$311</f>
        <v>3.0827558040727458E-2</v>
      </c>
      <c r="J77" s="25">
        <f>'Financial Statements'!J302/'Financial Statements'!J$311</f>
        <v>2.2514933295813559E-2</v>
      </c>
      <c r="K77" s="25">
        <f>'Financial Statements'!K302/'Financial Statements'!K$311</f>
        <v>2.0952406235739289E-2</v>
      </c>
      <c r="L77" s="25">
        <f>'Financial Statements'!L302/'Financial Statements'!L$311</f>
        <v>1.5164271503222927E-2</v>
      </c>
      <c r="M77" s="25">
        <f>'Financial Statements'!M302/'Financial Statements'!M$311</f>
        <v>2.768995796523226E-2</v>
      </c>
    </row>
    <row r="78" spans="1:13" ht="12.75" customHeight="1" x14ac:dyDescent="0.2">
      <c r="A78" s="1" t="s">
        <v>95</v>
      </c>
      <c r="B78" s="25">
        <f>'Financial Statements'!B303/'Financial Statements'!B$311</f>
        <v>8.1408233215205239E-3</v>
      </c>
      <c r="C78" s="25">
        <f>'Financial Statements'!C303/'Financial Statements'!C$311</f>
        <v>4.4595755397948307E-3</v>
      </c>
      <c r="D78" s="25">
        <f>'Financial Statements'!D303/'Financial Statements'!D$311</f>
        <v>2.8215244692157731E-2</v>
      </c>
      <c r="E78" s="25">
        <f>'Financial Statements'!E303/'Financial Statements'!E$311</f>
        <v>2.2866763962181659E-2</v>
      </c>
      <c r="F78" s="25">
        <f>'Financial Statements'!F303/'Financial Statements'!F$311</f>
        <v>2.0550421265474218E-2</v>
      </c>
      <c r="G78" s="25">
        <f>'Financial Statements'!G303/'Financial Statements'!G$311</f>
        <v>1.8907858993249323E-2</v>
      </c>
      <c r="H78" s="25">
        <f>'Financial Statements'!H303/'Financial Statements'!H$311</f>
        <v>1.6548511439389381E-2</v>
      </c>
      <c r="I78" s="25">
        <f>'Financial Statements'!I303/'Financial Statements'!I$311</f>
        <v>1.2701323793037985E-2</v>
      </c>
      <c r="J78" s="25">
        <f>'Financial Statements'!J303/'Financial Statements'!J$311</f>
        <v>8.1334339545413841E-3</v>
      </c>
      <c r="K78" s="25">
        <f>'Financial Statements'!K303/'Financial Statements'!K$311</f>
        <v>7.3216246536806544E-3</v>
      </c>
      <c r="L78" s="25">
        <f>'Financial Statements'!L303/'Financial Statements'!L$311</f>
        <v>4.913734889138658E-3</v>
      </c>
      <c r="M78" s="25">
        <f>'Financial Statements'!M303/'Financial Statements'!M$311</f>
        <v>1.7522226010666452E-2</v>
      </c>
    </row>
    <row r="79" spans="1:13" ht="12.75" customHeight="1" x14ac:dyDescent="0.2">
      <c r="A79" s="1" t="s">
        <v>177</v>
      </c>
      <c r="B79" s="25">
        <f>'Financial Statements'!B304/'Financial Statements'!B$311</f>
        <v>0</v>
      </c>
      <c r="C79" s="25">
        <f>'Financial Statements'!C304/'Financial Statements'!C$311</f>
        <v>0</v>
      </c>
      <c r="D79" s="25">
        <f>'Financial Statements'!D304/'Financial Statements'!D$311</f>
        <v>0</v>
      </c>
      <c r="E79" s="25">
        <f>'Financial Statements'!E304/'Financial Statements'!E$311</f>
        <v>0</v>
      </c>
      <c r="F79" s="25">
        <f>'Financial Statements'!F304/'Financial Statements'!F$311</f>
        <v>0</v>
      </c>
      <c r="G79" s="25">
        <f>'Financial Statements'!G304/'Financial Statements'!G$311</f>
        <v>0</v>
      </c>
      <c r="H79" s="25">
        <f>'Financial Statements'!H304/'Financial Statements'!H$311</f>
        <v>0</v>
      </c>
      <c r="I79" s="25">
        <f>'Financial Statements'!I304/'Financial Statements'!I$311</f>
        <v>0</v>
      </c>
      <c r="J79" s="25">
        <f>'Financial Statements'!J304/'Financial Statements'!J$311</f>
        <v>0</v>
      </c>
      <c r="K79" s="25">
        <f>'Financial Statements'!K304/'Financial Statements'!K$311</f>
        <v>0</v>
      </c>
      <c r="L79" s="25">
        <f>'Financial Statements'!L304/'Financial Statements'!L$311</f>
        <v>0</v>
      </c>
      <c r="M79" s="25">
        <f>'Financial Statements'!M304/'Financial Statements'!M$311</f>
        <v>0</v>
      </c>
    </row>
    <row r="80" spans="1:13" ht="12.75" customHeight="1" x14ac:dyDescent="0.2">
      <c r="A80" s="1" t="s">
        <v>178</v>
      </c>
      <c r="B80" s="25">
        <f>'Financial Statements'!B305/'Financial Statements'!B$311</f>
        <v>0</v>
      </c>
      <c r="C80" s="25">
        <f>'Financial Statements'!C305/'Financial Statements'!C$311</f>
        <v>0</v>
      </c>
      <c r="D80" s="25">
        <f>'Financial Statements'!D305/'Financial Statements'!D$311</f>
        <v>0</v>
      </c>
      <c r="E80" s="25">
        <f>'Financial Statements'!E305/'Financial Statements'!E$311</f>
        <v>0</v>
      </c>
      <c r="F80" s="25">
        <f>'Financial Statements'!F305/'Financial Statements'!F$311</f>
        <v>0</v>
      </c>
      <c r="G80" s="25">
        <f>'Financial Statements'!G305/'Financial Statements'!G$311</f>
        <v>0</v>
      </c>
      <c r="H80" s="25">
        <f>'Financial Statements'!H305/'Financial Statements'!H$311</f>
        <v>0</v>
      </c>
      <c r="I80" s="25">
        <f>'Financial Statements'!I305/'Financial Statements'!I$311</f>
        <v>0</v>
      </c>
      <c r="J80" s="25">
        <f>'Financial Statements'!J305/'Financial Statements'!J$311</f>
        <v>0</v>
      </c>
      <c r="K80" s="25">
        <f>'Financial Statements'!K305/'Financial Statements'!K$311</f>
        <v>0</v>
      </c>
      <c r="L80" s="25">
        <f>'Financial Statements'!L305/'Financial Statements'!L$311</f>
        <v>0</v>
      </c>
      <c r="M80" s="25">
        <f>'Financial Statements'!M305/'Financial Statements'!M$311</f>
        <v>0</v>
      </c>
    </row>
    <row r="81" spans="1:13" ht="12.75" customHeight="1" x14ac:dyDescent="0.2">
      <c r="A81" s="1" t="s">
        <v>179</v>
      </c>
      <c r="B81" s="25">
        <f>'Financial Statements'!B306/'Financial Statements'!B$311</f>
        <v>0</v>
      </c>
      <c r="C81" s="25">
        <f>'Financial Statements'!C306/'Financial Statements'!C$311</f>
        <v>0</v>
      </c>
      <c r="D81" s="25">
        <f>'Financial Statements'!D306/'Financial Statements'!D$311</f>
        <v>0</v>
      </c>
      <c r="E81" s="25">
        <f>'Financial Statements'!E306/'Financial Statements'!E$311</f>
        <v>0</v>
      </c>
      <c r="F81" s="25">
        <f>'Financial Statements'!F306/'Financial Statements'!F$311</f>
        <v>0</v>
      </c>
      <c r="G81" s="25">
        <f>'Financial Statements'!G306/'Financial Statements'!G$311</f>
        <v>0</v>
      </c>
      <c r="H81" s="25">
        <f>'Financial Statements'!H306/'Financial Statements'!H$311</f>
        <v>0</v>
      </c>
      <c r="I81" s="25">
        <f>'Financial Statements'!I306/'Financial Statements'!I$311</f>
        <v>0</v>
      </c>
      <c r="J81" s="25">
        <f>'Financial Statements'!J306/'Financial Statements'!J$311</f>
        <v>0</v>
      </c>
      <c r="K81" s="25">
        <f>'Financial Statements'!K306/'Financial Statements'!K$311</f>
        <v>0</v>
      </c>
      <c r="L81" s="25">
        <f>'Financial Statements'!L306/'Financial Statements'!L$311</f>
        <v>0</v>
      </c>
      <c r="M81" s="25">
        <f>'Financial Statements'!M306/'Financial Statements'!M$311</f>
        <v>0</v>
      </c>
    </row>
    <row r="82" spans="1:13" ht="12.75" customHeight="1" x14ac:dyDescent="0.2">
      <c r="A82" s="1" t="s">
        <v>132</v>
      </c>
      <c r="B82" s="25">
        <f>'Financial Statements'!B307/'Financial Statements'!B$311</f>
        <v>0</v>
      </c>
      <c r="C82" s="25">
        <f>'Financial Statements'!C307/'Financial Statements'!C$311</f>
        <v>0</v>
      </c>
      <c r="D82" s="25">
        <f>'Financial Statements'!D307/'Financial Statements'!D$311</f>
        <v>0</v>
      </c>
      <c r="E82" s="25">
        <f>'Financial Statements'!E307/'Financial Statements'!E$311</f>
        <v>0</v>
      </c>
      <c r="F82" s="25">
        <f>'Financial Statements'!F307/'Financial Statements'!F$311</f>
        <v>0</v>
      </c>
      <c r="G82" s="25">
        <f>'Financial Statements'!G307/'Financial Statements'!G$311</f>
        <v>0</v>
      </c>
      <c r="H82" s="25">
        <f>'Financial Statements'!H307/'Financial Statements'!H$311</f>
        <v>0</v>
      </c>
      <c r="I82" s="25">
        <f>'Financial Statements'!I307/'Financial Statements'!I$311</f>
        <v>0</v>
      </c>
      <c r="J82" s="25">
        <f>'Financial Statements'!J307/'Financial Statements'!J$311</f>
        <v>0</v>
      </c>
      <c r="K82" s="25">
        <f>'Financial Statements'!K307/'Financial Statements'!K$311</f>
        <v>0</v>
      </c>
      <c r="L82" s="25">
        <f>'Financial Statements'!L307/'Financial Statements'!L$311</f>
        <v>0</v>
      </c>
      <c r="M82" s="25">
        <f>'Financial Statements'!M307/'Financial Statements'!M$311</f>
        <v>0</v>
      </c>
    </row>
    <row r="83" spans="1:13" ht="12.75" customHeight="1" x14ac:dyDescent="0.2">
      <c r="A83" s="1" t="s">
        <v>133</v>
      </c>
      <c r="B83" s="25">
        <f>'Financial Statements'!B308/'Financial Statements'!B$311</f>
        <v>0</v>
      </c>
      <c r="C83" s="25">
        <f>'Financial Statements'!C308/'Financial Statements'!C$311</f>
        <v>0</v>
      </c>
      <c r="D83" s="25">
        <f>'Financial Statements'!D308/'Financial Statements'!D$311</f>
        <v>0</v>
      </c>
      <c r="E83" s="25">
        <f>'Financial Statements'!E308/'Financial Statements'!E$311</f>
        <v>0</v>
      </c>
      <c r="F83" s="25">
        <f>'Financial Statements'!F308/'Financial Statements'!F$311</f>
        <v>0</v>
      </c>
      <c r="G83" s="25">
        <f>'Financial Statements'!G308/'Financial Statements'!G$311</f>
        <v>0</v>
      </c>
      <c r="H83" s="25">
        <f>'Financial Statements'!H308/'Financial Statements'!H$311</f>
        <v>0</v>
      </c>
      <c r="I83" s="25">
        <f>'Financial Statements'!I308/'Financial Statements'!I$311</f>
        <v>0</v>
      </c>
      <c r="J83" s="25">
        <f>'Financial Statements'!J308/'Financial Statements'!J$311</f>
        <v>0</v>
      </c>
      <c r="K83" s="25">
        <f>'Financial Statements'!K308/'Financial Statements'!K$311</f>
        <v>0</v>
      </c>
      <c r="L83" s="25">
        <f>'Financial Statements'!L308/'Financial Statements'!L$311</f>
        <v>0</v>
      </c>
      <c r="M83" s="25">
        <f>'Financial Statements'!M308/'Financial Statements'!M$311</f>
        <v>0</v>
      </c>
    </row>
    <row r="84" spans="1:13" ht="12.75" customHeight="1" x14ac:dyDescent="0.2">
      <c r="A84" s="1" t="s">
        <v>180</v>
      </c>
      <c r="B84" s="25">
        <f>'Financial Statements'!B309/'Financial Statements'!B$311</f>
        <v>0</v>
      </c>
      <c r="C84" s="25">
        <f>'Financial Statements'!C309/'Financial Statements'!C$311</f>
        <v>0</v>
      </c>
      <c r="D84" s="25">
        <f>'Financial Statements'!D309/'Financial Statements'!D$311</f>
        <v>0</v>
      </c>
      <c r="E84" s="25">
        <f>'Financial Statements'!E309/'Financial Statements'!E$311</f>
        <v>0</v>
      </c>
      <c r="F84" s="25">
        <f>'Financial Statements'!F309/'Financial Statements'!F$311</f>
        <v>0</v>
      </c>
      <c r="G84" s="25">
        <f>'Financial Statements'!G309/'Financial Statements'!G$311</f>
        <v>0</v>
      </c>
      <c r="H84" s="25">
        <f>'Financial Statements'!H309/'Financial Statements'!H$311</f>
        <v>0</v>
      </c>
      <c r="I84" s="25">
        <f>'Financial Statements'!I309/'Financial Statements'!I$311</f>
        <v>0</v>
      </c>
      <c r="J84" s="25">
        <f>'Financial Statements'!J309/'Financial Statements'!J$311</f>
        <v>0</v>
      </c>
      <c r="K84" s="25">
        <f>'Financial Statements'!K309/'Financial Statements'!K$311</f>
        <v>0</v>
      </c>
      <c r="L84" s="25">
        <f>'Financial Statements'!L309/'Financial Statements'!L$311</f>
        <v>0</v>
      </c>
      <c r="M84" s="25">
        <f>'Financial Statements'!M309/'Financial Statements'!M$311</f>
        <v>0</v>
      </c>
    </row>
    <row r="85" spans="1:13" ht="12.75" customHeight="1" x14ac:dyDescent="0.2">
      <c r="A85" s="1" t="s">
        <v>134</v>
      </c>
      <c r="B85" s="25">
        <f>'Financial Statements'!B310/'Financial Statements'!B$311</f>
        <v>5.707190952917828E-3</v>
      </c>
      <c r="C85" s="25">
        <f>'Financial Statements'!C310/'Financial Statements'!C$311</f>
        <v>4.5684114898382295E-3</v>
      </c>
      <c r="D85" s="25">
        <f>'Financial Statements'!D310/'Financial Statements'!D$311</f>
        <v>8.0331509039835661E-3</v>
      </c>
      <c r="E85" s="25">
        <f>'Financial Statements'!E310/'Financial Statements'!E$311</f>
        <v>2.7858736647581334E-3</v>
      </c>
      <c r="F85" s="25">
        <f>'Financial Statements'!F310/'Financial Statements'!F$311</f>
        <v>1.7582276926483076E-3</v>
      </c>
      <c r="G85" s="25">
        <f>'Financial Statements'!G310/'Financial Statements'!G$311</f>
        <v>1.4809056811420293E-3</v>
      </c>
      <c r="H85" s="25">
        <f>'Financial Statements'!H310/'Financial Statements'!H$311</f>
        <v>2.159173558828937E-3</v>
      </c>
      <c r="I85" s="25">
        <f>'Financial Statements'!I310/'Financial Statements'!I$311</f>
        <v>4.7320855011842473E-3</v>
      </c>
      <c r="J85" s="25">
        <f>'Financial Statements'!J310/'Financial Statements'!J$311</f>
        <v>5.4785689617682046E-3</v>
      </c>
      <c r="K85" s="25">
        <f>'Financial Statements'!K310/'Financial Statements'!K$311</f>
        <v>5.8226048524300826E-3</v>
      </c>
      <c r="L85" s="25">
        <f>'Financial Statements'!L310/'Financial Statements'!L$311</f>
        <v>5.4454050889267041E-3</v>
      </c>
      <c r="M85" s="25">
        <f>'Financial Statements'!M310/'Financial Statements'!M$311</f>
        <v>5.9995598053983632E-3</v>
      </c>
    </row>
    <row r="86" spans="1:13" ht="12.75" customHeight="1" thickBot="1" x14ac:dyDescent="0.25">
      <c r="A86" s="58" t="s">
        <v>267</v>
      </c>
      <c r="B86" s="29">
        <f>'Financial Statements'!B311/'Financial Statements'!B$311</f>
        <v>1</v>
      </c>
      <c r="C86" s="29">
        <f>'Financial Statements'!C311/'Financial Statements'!C$311</f>
        <v>1</v>
      </c>
      <c r="D86" s="29">
        <f>'Financial Statements'!D311/'Financial Statements'!D$311</f>
        <v>1</v>
      </c>
      <c r="E86" s="29">
        <f>'Financial Statements'!E311/'Financial Statements'!E$311</f>
        <v>1</v>
      </c>
      <c r="F86" s="29">
        <f>'Financial Statements'!F311/'Financial Statements'!F$311</f>
        <v>1</v>
      </c>
      <c r="G86" s="29">
        <f>'Financial Statements'!G311/'Financial Statements'!G$311</f>
        <v>1</v>
      </c>
      <c r="H86" s="29">
        <f>'Financial Statements'!H311/'Financial Statements'!H$311</f>
        <v>1</v>
      </c>
      <c r="I86" s="29">
        <f>'Financial Statements'!I311/'Financial Statements'!I$311</f>
        <v>1</v>
      </c>
      <c r="J86" s="29">
        <f>'Financial Statements'!J311/'Financial Statements'!J$311</f>
        <v>1</v>
      </c>
      <c r="K86" s="29">
        <f>'Financial Statements'!K311/'Financial Statements'!K$311</f>
        <v>1</v>
      </c>
      <c r="L86" s="29">
        <f>'Financial Statements'!L311/'Financial Statements'!L$311</f>
        <v>1</v>
      </c>
      <c r="M86" s="29">
        <f>'Financial Statements'!M311/'Financial Statements'!M$311</f>
        <v>1</v>
      </c>
    </row>
    <row r="87" spans="1:13" ht="12.75" customHeight="1" thickTop="1" x14ac:dyDescent="0.2">
      <c r="A87" s="1" t="s">
        <v>50</v>
      </c>
      <c r="B87" s="25">
        <f>'Financial Statements'!B312/'Financial Statements'!B$346</f>
        <v>4.8143924587547772E-2</v>
      </c>
      <c r="C87" s="25">
        <f>'Financial Statements'!C312/'Financial Statements'!C$346</f>
        <v>3.2616605127882239E-2</v>
      </c>
      <c r="D87" s="25">
        <f>'Financial Statements'!D312/'Financial Statements'!D$346</f>
        <v>2.9647834562972972E-2</v>
      </c>
      <c r="E87" s="25">
        <f>'Financial Statements'!E312/'Financial Statements'!E$346</f>
        <v>3.2891563018548446E-2</v>
      </c>
      <c r="F87" s="25">
        <f>'Financial Statements'!F312/'Financial Statements'!F$346</f>
        <v>3.3910530166620829E-2</v>
      </c>
      <c r="G87" s="25">
        <f>'Financial Statements'!G312/'Financial Statements'!G$346</f>
        <v>4.6328232343908239E-2</v>
      </c>
      <c r="H87" s="25">
        <f>'Financial Statements'!H312/'Financial Statements'!H$346</f>
        <v>4.2942659053966319E-2</v>
      </c>
      <c r="I87" s="25">
        <f>'Financial Statements'!I312/'Financial Statements'!I$346</f>
        <v>5.7477850967678212E-2</v>
      </c>
      <c r="J87" s="25">
        <f>'Financial Statements'!J312/'Financial Statements'!J$346</f>
        <v>4.2255791048976095E-2</v>
      </c>
      <c r="K87" s="25">
        <f>'Financial Statements'!K312/'Financial Statements'!K$346</f>
        <v>3.4723248904571256E-2</v>
      </c>
      <c r="L87" s="25">
        <f>'Financial Statements'!L312/'Financial Statements'!L$346</f>
        <v>3.2753802009259488E-2</v>
      </c>
      <c r="M87" s="25">
        <f>'Financial Statements'!M312/'Financial Statements'!M$346</f>
        <v>3.9272419390953876E-2</v>
      </c>
    </row>
    <row r="88" spans="1:13" ht="12.75" customHeight="1" x14ac:dyDescent="0.2">
      <c r="A88" s="1" t="s">
        <v>96</v>
      </c>
      <c r="B88" s="25">
        <f>'Financial Statements'!B313/'Financial Statements'!B$346</f>
        <v>2.8118145313696288E-2</v>
      </c>
      <c r="C88" s="25">
        <f>'Financial Statements'!C313/'Financial Statements'!C$346</f>
        <v>2.776575985032808E-2</v>
      </c>
      <c r="D88" s="25">
        <f>'Financial Statements'!D313/'Financial Statements'!D$346</f>
        <v>2.8287842151827423E-2</v>
      </c>
      <c r="E88" s="25">
        <f>'Financial Statements'!E313/'Financial Statements'!E$346</f>
        <v>2.7748344773814007E-2</v>
      </c>
      <c r="F88" s="25">
        <f>'Financial Statements'!F313/'Financial Statements'!F$346</f>
        <v>2.940555817891545E-2</v>
      </c>
      <c r="G88" s="25">
        <f>'Financial Statements'!G313/'Financial Statements'!G$346</f>
        <v>3.0063959877151953E-2</v>
      </c>
      <c r="H88" s="25">
        <f>'Financial Statements'!H313/'Financial Statements'!H$346</f>
        <v>2.9619077526859498E-2</v>
      </c>
      <c r="I88" s="25">
        <f>'Financial Statements'!I313/'Financial Statements'!I$346</f>
        <v>2.8218781370644534E-2</v>
      </c>
      <c r="J88" s="25">
        <f>'Financial Statements'!J313/'Financial Statements'!J$346</f>
        <v>2.7998106956933267E-2</v>
      </c>
      <c r="K88" s="25">
        <f>'Financial Statements'!K313/'Financial Statements'!K$346</f>
        <v>3.2393932334017314E-2</v>
      </c>
      <c r="L88" s="25">
        <f>'Financial Statements'!L313/'Financial Statements'!L$346</f>
        <v>3.0206323698323843E-2</v>
      </c>
      <c r="M88" s="25">
        <f>'Financial Statements'!M313/'Financial Statements'!M$346</f>
        <v>1.9423904856898589E-2</v>
      </c>
    </row>
    <row r="89" spans="1:13" ht="12.75" customHeight="1" x14ac:dyDescent="0.2">
      <c r="A89" s="1" t="s">
        <v>181</v>
      </c>
      <c r="B89" s="25">
        <f>'Financial Statements'!B314/'Financial Statements'!B$346</f>
        <v>0</v>
      </c>
      <c r="C89" s="25">
        <f>'Financial Statements'!C314/'Financial Statements'!C$346</f>
        <v>0</v>
      </c>
      <c r="D89" s="25">
        <f>'Financial Statements'!D314/'Financial Statements'!D$346</f>
        <v>0</v>
      </c>
      <c r="E89" s="25">
        <f>'Financial Statements'!E314/'Financial Statements'!E$346</f>
        <v>0</v>
      </c>
      <c r="F89" s="25">
        <f>'Financial Statements'!F314/'Financial Statements'!F$346</f>
        <v>0</v>
      </c>
      <c r="G89" s="25">
        <f>'Financial Statements'!G314/'Financial Statements'!G$346</f>
        <v>0</v>
      </c>
      <c r="H89" s="25">
        <f>'Financial Statements'!H314/'Financial Statements'!H$346</f>
        <v>0</v>
      </c>
      <c r="I89" s="25">
        <f>'Financial Statements'!I314/'Financial Statements'!I$346</f>
        <v>0</v>
      </c>
      <c r="J89" s="25">
        <f>'Financial Statements'!J314/'Financial Statements'!J$346</f>
        <v>0</v>
      </c>
      <c r="K89" s="25">
        <f>'Financial Statements'!K314/'Financial Statements'!K$346</f>
        <v>0</v>
      </c>
      <c r="L89" s="25">
        <f>'Financial Statements'!L314/'Financial Statements'!L$346</f>
        <v>0</v>
      </c>
      <c r="M89" s="25">
        <f>'Financial Statements'!M314/'Financial Statements'!M$346</f>
        <v>0</v>
      </c>
    </row>
    <row r="90" spans="1:13" ht="12.75" customHeight="1" x14ac:dyDescent="0.2">
      <c r="A90" s="1" t="s">
        <v>182</v>
      </c>
      <c r="B90" s="25">
        <f>'Financial Statements'!B315/'Financial Statements'!B$346</f>
        <v>1.083827866813546E-2</v>
      </c>
      <c r="C90" s="25">
        <f>'Financial Statements'!C315/'Financial Statements'!C$346</f>
        <v>1.4679361195936191E-2</v>
      </c>
      <c r="D90" s="25">
        <f>'Financial Statements'!D315/'Financial Statements'!D$346</f>
        <v>4.6714045382123979E-3</v>
      </c>
      <c r="E90" s="25">
        <f>'Financial Statements'!E315/'Financial Statements'!E$346</f>
        <v>3.0735879184351825E-3</v>
      </c>
      <c r="F90" s="25">
        <f>'Financial Statements'!F315/'Financial Statements'!F$346</f>
        <v>1.2972658824261984E-3</v>
      </c>
      <c r="G90" s="25">
        <f>'Financial Statements'!G315/'Financial Statements'!G$346</f>
        <v>0</v>
      </c>
      <c r="H90" s="25">
        <f>'Financial Statements'!H315/'Financial Statements'!H$346</f>
        <v>0</v>
      </c>
      <c r="I90" s="25">
        <f>'Financial Statements'!I315/'Financial Statements'!I$346</f>
        <v>0</v>
      </c>
      <c r="J90" s="25">
        <f>'Financial Statements'!J315/'Financial Statements'!J$346</f>
        <v>0</v>
      </c>
      <c r="K90" s="25">
        <f>'Financial Statements'!K315/'Financial Statements'!K$346</f>
        <v>0</v>
      </c>
      <c r="L90" s="25">
        <f>'Financial Statements'!L315/'Financial Statements'!L$346</f>
        <v>0</v>
      </c>
      <c r="M90" s="25">
        <f>'Financial Statements'!M315/'Financial Statements'!M$346</f>
        <v>0</v>
      </c>
    </row>
    <row r="91" spans="1:13" ht="12.75" customHeight="1" x14ac:dyDescent="0.2">
      <c r="A91" s="1" t="s">
        <v>471</v>
      </c>
      <c r="B91" s="25">
        <f>'Financial Statements'!B316/'Financial Statements'!B$346</f>
        <v>0</v>
      </c>
      <c r="C91" s="25">
        <f>'Financial Statements'!C316/'Financial Statements'!C$346</f>
        <v>0</v>
      </c>
      <c r="D91" s="25">
        <f>'Financial Statements'!D316/'Financial Statements'!D$346</f>
        <v>0</v>
      </c>
      <c r="E91" s="25">
        <f>'Financial Statements'!E316/'Financial Statements'!E$346</f>
        <v>0</v>
      </c>
      <c r="F91" s="25">
        <f>'Financial Statements'!F316/'Financial Statements'!F$346</f>
        <v>1.6950940863702329E-4</v>
      </c>
      <c r="G91" s="25">
        <f>'Financial Statements'!G316/'Financial Statements'!G$346</f>
        <v>8.2953922038230064E-4</v>
      </c>
      <c r="H91" s="25">
        <f>'Financial Statements'!H316/'Financial Statements'!H$346</f>
        <v>7.3708034826639682E-4</v>
      </c>
      <c r="I91" s="25">
        <f>'Financial Statements'!I316/'Financial Statements'!I$346</f>
        <v>0</v>
      </c>
      <c r="J91" s="25">
        <f>'Financial Statements'!J316/'Financial Statements'!J$346</f>
        <v>0</v>
      </c>
      <c r="K91" s="25">
        <f>'Financial Statements'!K316/'Financial Statements'!K$346</f>
        <v>0</v>
      </c>
      <c r="L91" s="25">
        <f>'Financial Statements'!L316/'Financial Statements'!L$346</f>
        <v>0</v>
      </c>
      <c r="M91" s="25">
        <f>'Financial Statements'!M316/'Financial Statements'!M$346</f>
        <v>0</v>
      </c>
    </row>
    <row r="92" spans="1:13" ht="12.75" customHeight="1" x14ac:dyDescent="0.2">
      <c r="A92" s="1" t="s">
        <v>183</v>
      </c>
      <c r="B92" s="25">
        <f>'Financial Statements'!B317/'Financial Statements'!B$346</f>
        <v>0</v>
      </c>
      <c r="C92" s="25">
        <f>'Financial Statements'!C317/'Financial Statements'!C$346</f>
        <v>0</v>
      </c>
      <c r="D92" s="25">
        <f>'Financial Statements'!D317/'Financial Statements'!D$346</f>
        <v>0</v>
      </c>
      <c r="E92" s="25">
        <f>'Financial Statements'!E317/'Financial Statements'!E$346</f>
        <v>0</v>
      </c>
      <c r="F92" s="25">
        <f>'Financial Statements'!F317/'Financial Statements'!F$346</f>
        <v>0</v>
      </c>
      <c r="G92" s="25">
        <f>'Financial Statements'!G317/'Financial Statements'!G$346</f>
        <v>0</v>
      </c>
      <c r="H92" s="25">
        <f>'Financial Statements'!H317/'Financial Statements'!H$346</f>
        <v>0</v>
      </c>
      <c r="I92" s="25">
        <f>'Financial Statements'!I317/'Financial Statements'!I$346</f>
        <v>0</v>
      </c>
      <c r="J92" s="25">
        <f>'Financial Statements'!J317/'Financial Statements'!J$346</f>
        <v>0</v>
      </c>
      <c r="K92" s="25">
        <f>'Financial Statements'!K317/'Financial Statements'!K$346</f>
        <v>0</v>
      </c>
      <c r="L92" s="25">
        <f>'Financial Statements'!L317/'Financial Statements'!L$346</f>
        <v>0</v>
      </c>
      <c r="M92" s="25">
        <f>'Financial Statements'!M317/'Financial Statements'!M$346</f>
        <v>0</v>
      </c>
    </row>
    <row r="93" spans="1:13" ht="12.75" customHeight="1" x14ac:dyDescent="0.2">
      <c r="A93" s="1" t="s">
        <v>184</v>
      </c>
      <c r="B93" s="25">
        <f>'Financial Statements'!B318/'Financial Statements'!B$346</f>
        <v>0</v>
      </c>
      <c r="C93" s="25">
        <f>'Financial Statements'!C318/'Financial Statements'!C$346</f>
        <v>0</v>
      </c>
      <c r="D93" s="25">
        <f>'Financial Statements'!D318/'Financial Statements'!D$346</f>
        <v>0</v>
      </c>
      <c r="E93" s="25">
        <f>'Financial Statements'!E318/'Financial Statements'!E$346</f>
        <v>0</v>
      </c>
      <c r="F93" s="25">
        <f>'Financial Statements'!F318/'Financial Statements'!F$346</f>
        <v>0</v>
      </c>
      <c r="G93" s="25">
        <f>'Financial Statements'!G318/'Financial Statements'!G$346</f>
        <v>0</v>
      </c>
      <c r="H93" s="25">
        <f>'Financial Statements'!H318/'Financial Statements'!H$346</f>
        <v>0</v>
      </c>
      <c r="I93" s="25">
        <f>'Financial Statements'!I318/'Financial Statements'!I$346</f>
        <v>0</v>
      </c>
      <c r="J93" s="25">
        <f>'Financial Statements'!J318/'Financial Statements'!J$346</f>
        <v>0</v>
      </c>
      <c r="K93" s="25">
        <f>'Financial Statements'!K318/'Financial Statements'!K$346</f>
        <v>0</v>
      </c>
      <c r="L93" s="25">
        <f>'Financial Statements'!L318/'Financial Statements'!L$346</f>
        <v>0</v>
      </c>
      <c r="M93" s="25">
        <f>'Financial Statements'!M318/'Financial Statements'!M$346</f>
        <v>0</v>
      </c>
    </row>
    <row r="94" spans="1:13" ht="12.75" customHeight="1" x14ac:dyDescent="0.2">
      <c r="A94" s="1" t="s">
        <v>185</v>
      </c>
      <c r="B94" s="25">
        <f>'Financial Statements'!B319/'Financial Statements'!B$346</f>
        <v>5.6942690111376369E-3</v>
      </c>
      <c r="C94" s="25">
        <f>'Financial Statements'!C319/'Financial Statements'!C$346</f>
        <v>0</v>
      </c>
      <c r="D94" s="25">
        <f>'Financial Statements'!D319/'Financial Statements'!D$346</f>
        <v>0</v>
      </c>
      <c r="E94" s="25">
        <f>'Financial Statements'!E319/'Financial Statements'!E$346</f>
        <v>1.5164540391691232E-2</v>
      </c>
      <c r="F94" s="25">
        <f>'Financial Statements'!F319/'Financial Statements'!F$346</f>
        <v>0</v>
      </c>
      <c r="G94" s="25">
        <f>'Financial Statements'!G319/'Financial Statements'!G$346</f>
        <v>0</v>
      </c>
      <c r="H94" s="25">
        <f>'Financial Statements'!H319/'Financial Statements'!H$346</f>
        <v>0</v>
      </c>
      <c r="I94" s="25">
        <f>'Financial Statements'!I319/'Financial Statements'!I$346</f>
        <v>1.7994534458759402E-2</v>
      </c>
      <c r="J94" s="25">
        <f>'Financial Statements'!J319/'Financial Statements'!J$346</f>
        <v>4.2404164694746808E-3</v>
      </c>
      <c r="K94" s="25">
        <f>'Financial Statements'!K319/'Financial Statements'!K$346</f>
        <v>1.984107186094955E-2</v>
      </c>
      <c r="L94" s="25">
        <f>'Financial Statements'!L319/'Financial Statements'!L$346</f>
        <v>0</v>
      </c>
      <c r="M94" s="25">
        <f>'Financial Statements'!M319/'Financial Statements'!M$346</f>
        <v>0</v>
      </c>
    </row>
    <row r="95" spans="1:13" ht="12.75" customHeight="1" x14ac:dyDescent="0.2">
      <c r="A95" s="1" t="s">
        <v>135</v>
      </c>
      <c r="B95" s="25">
        <f>'Financial Statements'!B320/'Financial Statements'!B$346</f>
        <v>0</v>
      </c>
      <c r="C95" s="25">
        <f>'Financial Statements'!C320/'Financial Statements'!C$346</f>
        <v>0</v>
      </c>
      <c r="D95" s="25">
        <f>'Financial Statements'!D320/'Financial Statements'!D$346</f>
        <v>0</v>
      </c>
      <c r="E95" s="25">
        <f>'Financial Statements'!E320/'Financial Statements'!E$346</f>
        <v>0</v>
      </c>
      <c r="F95" s="25">
        <f>'Financial Statements'!F320/'Financial Statements'!F$346</f>
        <v>0</v>
      </c>
      <c r="G95" s="25">
        <f>'Financial Statements'!G320/'Financial Statements'!G$346</f>
        <v>0</v>
      </c>
      <c r="H95" s="25">
        <f>'Financial Statements'!H320/'Financial Statements'!H$346</f>
        <v>0</v>
      </c>
      <c r="I95" s="25">
        <f>'Financial Statements'!I320/'Financial Statements'!I$346</f>
        <v>0</v>
      </c>
      <c r="J95" s="25">
        <f>'Financial Statements'!J320/'Financial Statements'!J$346</f>
        <v>0</v>
      </c>
      <c r="K95" s="25">
        <f>'Financial Statements'!K320/'Financial Statements'!K$346</f>
        <v>0</v>
      </c>
      <c r="L95" s="25">
        <f>'Financial Statements'!L320/'Financial Statements'!L$346</f>
        <v>0</v>
      </c>
      <c r="M95" s="25">
        <f>'Financial Statements'!M320/'Financial Statements'!M$346</f>
        <v>0</v>
      </c>
    </row>
    <row r="96" spans="1:13" ht="12.75" customHeight="1" x14ac:dyDescent="0.2">
      <c r="A96" s="1" t="s">
        <v>186</v>
      </c>
      <c r="B96" s="25">
        <f>'Financial Statements'!B321/'Financial Statements'!B$346</f>
        <v>0</v>
      </c>
      <c r="C96" s="25">
        <f>'Financial Statements'!C321/'Financial Statements'!C$346</f>
        <v>0</v>
      </c>
      <c r="D96" s="25">
        <f>'Financial Statements'!D321/'Financial Statements'!D$346</f>
        <v>0</v>
      </c>
      <c r="E96" s="25">
        <f>'Financial Statements'!E321/'Financial Statements'!E$346</f>
        <v>0</v>
      </c>
      <c r="F96" s="25">
        <f>'Financial Statements'!F321/'Financial Statements'!F$346</f>
        <v>0</v>
      </c>
      <c r="G96" s="25">
        <f>'Financial Statements'!G321/'Financial Statements'!G$346</f>
        <v>0</v>
      </c>
      <c r="H96" s="25">
        <f>'Financial Statements'!H321/'Financial Statements'!H$346</f>
        <v>0</v>
      </c>
      <c r="I96" s="25">
        <f>'Financial Statements'!I321/'Financial Statements'!I$346</f>
        <v>0</v>
      </c>
      <c r="J96" s="25">
        <f>'Financial Statements'!J321/'Financial Statements'!J$346</f>
        <v>0</v>
      </c>
      <c r="K96" s="25">
        <f>'Financial Statements'!K321/'Financial Statements'!K$346</f>
        <v>0</v>
      </c>
      <c r="L96" s="25">
        <f>'Financial Statements'!L321/'Financial Statements'!L$346</f>
        <v>0</v>
      </c>
      <c r="M96" s="25">
        <f>'Financial Statements'!M321/'Financial Statements'!M$346</f>
        <v>0</v>
      </c>
    </row>
    <row r="97" spans="1:13" ht="12.75" customHeight="1" x14ac:dyDescent="0.2">
      <c r="A97" s="1" t="s">
        <v>136</v>
      </c>
      <c r="B97" s="25">
        <f>'Financial Statements'!B322/'Financial Statements'!B$346</f>
        <v>1.6553007420425068E-2</v>
      </c>
      <c r="C97" s="25">
        <f>'Financial Statements'!C322/'Financial Statements'!C$346</f>
        <v>0</v>
      </c>
      <c r="D97" s="25">
        <f>'Financial Statements'!D322/'Financial Statements'!D$346</f>
        <v>0</v>
      </c>
      <c r="E97" s="25">
        <f>'Financial Statements'!E322/'Financial Statements'!E$346</f>
        <v>1.4857703136259212E-2</v>
      </c>
      <c r="F97" s="25">
        <f>'Financial Statements'!F322/'Financial Statements'!F$346</f>
        <v>0</v>
      </c>
      <c r="G97" s="25">
        <f>'Financial Statements'!G322/'Financial Statements'!G$346</f>
        <v>0</v>
      </c>
      <c r="H97" s="25">
        <f>'Financial Statements'!H322/'Financial Statements'!H$346</f>
        <v>0</v>
      </c>
      <c r="I97" s="25">
        <f>'Financial Statements'!I322/'Financial Statements'!I$346</f>
        <v>2.5678656718195376E-2</v>
      </c>
      <c r="J97" s="25">
        <f>'Financial Statements'!J322/'Financial Statements'!J$346</f>
        <v>1.8996942991263862E-2</v>
      </c>
      <c r="K97" s="25">
        <f>'Financial Statements'!K322/'Financial Statements'!K$346</f>
        <v>1.7283355021441703E-2</v>
      </c>
      <c r="L97" s="25">
        <f>'Financial Statements'!L322/'Financial Statements'!L$346</f>
        <v>3.701040549902597E-2</v>
      </c>
      <c r="M97" s="25">
        <f>'Financial Statements'!M322/'Financial Statements'!M$346</f>
        <v>1.0904040121320686E-2</v>
      </c>
    </row>
    <row r="98" spans="1:13" ht="12.75" customHeight="1" x14ac:dyDescent="0.2">
      <c r="A98" s="5" t="s">
        <v>97</v>
      </c>
      <c r="B98" s="26">
        <f>'Financial Statements'!B323/'Financial Statements'!B$346</f>
        <v>0.10934762500094224</v>
      </c>
      <c r="C98" s="26">
        <f>'Financial Statements'!C323/'Financial Statements'!C$346</f>
        <v>7.5061726174146498E-2</v>
      </c>
      <c r="D98" s="26">
        <f>'Financial Statements'!D323/'Financial Statements'!D$346</f>
        <v>6.26070812530128E-2</v>
      </c>
      <c r="E98" s="26">
        <f>'Financial Statements'!E323/'Financial Statements'!E$346</f>
        <v>9.3735739238748075E-2</v>
      </c>
      <c r="F98" s="26">
        <f>'Financial Statements'!F323/'Financial Statements'!F$346</f>
        <v>6.4782863636599505E-2</v>
      </c>
      <c r="G98" s="26">
        <f>'Financial Statements'!G323/'Financial Statements'!G$346</f>
        <v>7.7221731441442495E-2</v>
      </c>
      <c r="H98" s="26">
        <f>'Financial Statements'!H323/'Financial Statements'!H$346</f>
        <v>7.3298816929092223E-2</v>
      </c>
      <c r="I98" s="26">
        <f>'Financial Statements'!I323/'Financial Statements'!I$346</f>
        <v>0.12936982351527754</v>
      </c>
      <c r="J98" s="26">
        <f>'Financial Statements'!J323/'Financial Statements'!J$346</f>
        <v>9.3491257466647895E-2</v>
      </c>
      <c r="K98" s="26">
        <f>'Financial Statements'!K323/'Financial Statements'!K$346</f>
        <v>0.10424160812097982</v>
      </c>
      <c r="L98" s="26">
        <f>'Financial Statements'!L323/'Financial Statements'!L$346</f>
        <v>9.99705312066093E-2</v>
      </c>
      <c r="M98" s="26">
        <f>'Financial Statements'!M323/'Financial Statements'!M$346</f>
        <v>6.9600364369173148E-2</v>
      </c>
    </row>
    <row r="99" spans="1:13" ht="12.75" customHeight="1" x14ac:dyDescent="0.2">
      <c r="A99" s="1" t="s">
        <v>187</v>
      </c>
      <c r="B99" s="25">
        <f>'Financial Statements'!B324/'Financial Statements'!B$346</f>
        <v>4.3929217910242041E-2</v>
      </c>
      <c r="C99" s="25">
        <f>'Financial Statements'!C324/'Financial Statements'!C$346</f>
        <v>8.3201036190202055E-3</v>
      </c>
      <c r="D99" s="25">
        <f>'Financial Statements'!D324/'Financial Statements'!D$346</f>
        <v>5.9171769461443006E-3</v>
      </c>
      <c r="E99" s="25">
        <f>'Financial Statements'!E324/'Financial Statements'!E$346</f>
        <v>1.0552420059333459E-3</v>
      </c>
      <c r="F99" s="25">
        <f>'Financial Statements'!F324/'Financial Statements'!F$346</f>
        <v>0</v>
      </c>
      <c r="G99" s="25">
        <f>'Financial Statements'!G324/'Financial Statements'!G$346</f>
        <v>0</v>
      </c>
      <c r="H99" s="25">
        <f>'Financial Statements'!H324/'Financial Statements'!H$346</f>
        <v>0</v>
      </c>
      <c r="I99" s="25">
        <f>'Financial Statements'!I324/'Financial Statements'!I$346</f>
        <v>0</v>
      </c>
      <c r="J99" s="25">
        <f>'Financial Statements'!J324/'Financial Statements'!J$346</f>
        <v>0</v>
      </c>
      <c r="K99" s="25">
        <f>'Financial Statements'!K324/'Financial Statements'!K$346</f>
        <v>0</v>
      </c>
      <c r="L99" s="25">
        <f>'Financial Statements'!L324/'Financial Statements'!L$346</f>
        <v>0</v>
      </c>
      <c r="M99" s="25">
        <f>'Financial Statements'!M324/'Financial Statements'!M$346</f>
        <v>0</v>
      </c>
    </row>
    <row r="100" spans="1:13" ht="12.75" customHeight="1" x14ac:dyDescent="0.2">
      <c r="A100" s="1" t="s">
        <v>472</v>
      </c>
      <c r="B100" s="25">
        <f>'Financial Statements'!B325/'Financial Statements'!B$346</f>
        <v>0</v>
      </c>
      <c r="C100" s="25">
        <f>'Financial Statements'!C325/'Financial Statements'!C$346</f>
        <v>0</v>
      </c>
      <c r="D100" s="25">
        <f>'Financial Statements'!D325/'Financial Statements'!D$346</f>
        <v>0</v>
      </c>
      <c r="E100" s="25">
        <f>'Financial Statements'!E325/'Financial Statements'!E$346</f>
        <v>1.1647646523481744E-3</v>
      </c>
      <c r="F100" s="25">
        <f>'Financial Statements'!F325/'Financial Statements'!F$346</f>
        <v>7.4203608474778557E-4</v>
      </c>
      <c r="G100" s="25">
        <f>'Financial Statements'!G325/'Financial Statements'!G$346</f>
        <v>1.9781319870654864E-3</v>
      </c>
      <c r="H100" s="25">
        <f>'Financial Statements'!H325/'Financial Statements'!H$346</f>
        <v>1.1975521773158234E-3</v>
      </c>
      <c r="I100" s="25">
        <f>'Financial Statements'!I325/'Financial Statements'!I$346</f>
        <v>0</v>
      </c>
      <c r="J100" s="25">
        <f>'Financial Statements'!J325/'Financial Statements'!J$346</f>
        <v>0</v>
      </c>
      <c r="K100" s="25">
        <f>'Financial Statements'!K325/'Financial Statements'!K$346</f>
        <v>0</v>
      </c>
      <c r="L100" s="25">
        <f>'Financial Statements'!L325/'Financial Statements'!L$346</f>
        <v>0</v>
      </c>
      <c r="M100" s="25">
        <f>'Financial Statements'!M325/'Financial Statements'!M$346</f>
        <v>0</v>
      </c>
    </row>
    <row r="101" spans="1:13" ht="12.75" customHeight="1" x14ac:dyDescent="0.2">
      <c r="A101" s="1" t="s">
        <v>189</v>
      </c>
      <c r="B101" s="25">
        <f>'Financial Statements'!B326/'Financial Statements'!B$346</f>
        <v>0</v>
      </c>
      <c r="C101" s="25">
        <f>'Financial Statements'!C326/'Financial Statements'!C$346</f>
        <v>0</v>
      </c>
      <c r="D101" s="25">
        <f>'Financial Statements'!D326/'Financial Statements'!D$346</f>
        <v>0</v>
      </c>
      <c r="E101" s="25">
        <f>'Financial Statements'!E326/'Financial Statements'!E$346</f>
        <v>0</v>
      </c>
      <c r="F101" s="25">
        <f>'Financial Statements'!F326/'Financial Statements'!F$346</f>
        <v>0</v>
      </c>
      <c r="G101" s="25">
        <f>'Financial Statements'!G326/'Financial Statements'!G$346</f>
        <v>0</v>
      </c>
      <c r="H101" s="25">
        <f>'Financial Statements'!H326/'Financial Statements'!H$346</f>
        <v>0</v>
      </c>
      <c r="I101" s="25">
        <f>'Financial Statements'!I326/'Financial Statements'!I$346</f>
        <v>0</v>
      </c>
      <c r="J101" s="25">
        <f>'Financial Statements'!J326/'Financial Statements'!J$346</f>
        <v>0</v>
      </c>
      <c r="K101" s="25">
        <f>'Financial Statements'!K326/'Financial Statements'!K$346</f>
        <v>0</v>
      </c>
      <c r="L101" s="25">
        <f>'Financial Statements'!L326/'Financial Statements'!L$346</f>
        <v>0</v>
      </c>
      <c r="M101" s="25">
        <f>'Financial Statements'!M326/'Financial Statements'!M$346</f>
        <v>0</v>
      </c>
    </row>
    <row r="102" spans="1:13" ht="12.75" customHeight="1" x14ac:dyDescent="0.2">
      <c r="A102" s="1" t="s">
        <v>190</v>
      </c>
      <c r="B102" s="25">
        <f>'Financial Statements'!B327/'Financial Statements'!B$346</f>
        <v>0</v>
      </c>
      <c r="C102" s="25">
        <f>'Financial Statements'!C327/'Financial Statements'!C$346</f>
        <v>0</v>
      </c>
      <c r="D102" s="25">
        <f>'Financial Statements'!D327/'Financial Statements'!D$346</f>
        <v>0</v>
      </c>
      <c r="E102" s="25">
        <f>'Financial Statements'!E327/'Financial Statements'!E$346</f>
        <v>0</v>
      </c>
      <c r="F102" s="25">
        <f>'Financial Statements'!F327/'Financial Statements'!F$346</f>
        <v>0</v>
      </c>
      <c r="G102" s="25">
        <f>'Financial Statements'!G327/'Financial Statements'!G$346</f>
        <v>0</v>
      </c>
      <c r="H102" s="25">
        <f>'Financial Statements'!H327/'Financial Statements'!H$346</f>
        <v>0</v>
      </c>
      <c r="I102" s="25">
        <f>'Financial Statements'!I327/'Financial Statements'!I$346</f>
        <v>0</v>
      </c>
      <c r="J102" s="25">
        <f>'Financial Statements'!J327/'Financial Statements'!J$346</f>
        <v>0</v>
      </c>
      <c r="K102" s="25">
        <f>'Financial Statements'!K327/'Financial Statements'!K$346</f>
        <v>0</v>
      </c>
      <c r="L102" s="25">
        <f>'Financial Statements'!L327/'Financial Statements'!L$346</f>
        <v>0</v>
      </c>
      <c r="M102" s="25">
        <f>'Financial Statements'!M327/'Financial Statements'!M$346</f>
        <v>0</v>
      </c>
    </row>
    <row r="103" spans="1:13" ht="12.75" customHeight="1" x14ac:dyDescent="0.2">
      <c r="A103" s="1" t="s">
        <v>191</v>
      </c>
      <c r="B103" s="25">
        <f>'Financial Statements'!B328/'Financial Statements'!B$346</f>
        <v>0</v>
      </c>
      <c r="C103" s="25">
        <f>'Financial Statements'!C328/'Financial Statements'!C$346</f>
        <v>0</v>
      </c>
      <c r="D103" s="25">
        <f>'Financial Statements'!D328/'Financial Statements'!D$346</f>
        <v>0</v>
      </c>
      <c r="E103" s="25">
        <f>'Financial Statements'!E328/'Financial Statements'!E$346</f>
        <v>0</v>
      </c>
      <c r="F103" s="25">
        <f>'Financial Statements'!F328/'Financial Statements'!F$346</f>
        <v>0</v>
      </c>
      <c r="G103" s="25">
        <f>'Financial Statements'!G328/'Financial Statements'!G$346</f>
        <v>0</v>
      </c>
      <c r="H103" s="25">
        <f>'Financial Statements'!H328/'Financial Statements'!H$346</f>
        <v>0</v>
      </c>
      <c r="I103" s="25">
        <f>'Financial Statements'!I328/'Financial Statements'!I$346</f>
        <v>0</v>
      </c>
      <c r="J103" s="25">
        <f>'Financial Statements'!J328/'Financial Statements'!J$346</f>
        <v>0</v>
      </c>
      <c r="K103" s="25">
        <f>'Financial Statements'!K328/'Financial Statements'!K$346</f>
        <v>0</v>
      </c>
      <c r="L103" s="25">
        <f>'Financial Statements'!L328/'Financial Statements'!L$346</f>
        <v>0</v>
      </c>
      <c r="M103" s="25">
        <f>'Financial Statements'!M328/'Financial Statements'!M$346</f>
        <v>0</v>
      </c>
    </row>
    <row r="104" spans="1:13" ht="12.75" customHeight="1" x14ac:dyDescent="0.2">
      <c r="A104" s="1" t="s">
        <v>192</v>
      </c>
      <c r="B104" s="25">
        <f>'Financial Statements'!B329/'Financial Statements'!B$346</f>
        <v>0</v>
      </c>
      <c r="C104" s="25">
        <f>'Financial Statements'!C329/'Financial Statements'!C$346</f>
        <v>0</v>
      </c>
      <c r="D104" s="25">
        <f>'Financial Statements'!D329/'Financial Statements'!D$346</f>
        <v>0</v>
      </c>
      <c r="E104" s="25">
        <f>'Financial Statements'!E329/'Financial Statements'!E$346</f>
        <v>0</v>
      </c>
      <c r="F104" s="25">
        <f>'Financial Statements'!F329/'Financial Statements'!F$346</f>
        <v>0</v>
      </c>
      <c r="G104" s="25">
        <f>'Financial Statements'!G329/'Financial Statements'!G$346</f>
        <v>0</v>
      </c>
      <c r="H104" s="25">
        <f>'Financial Statements'!H329/'Financial Statements'!H$346</f>
        <v>0</v>
      </c>
      <c r="I104" s="25">
        <f>'Financial Statements'!I329/'Financial Statements'!I$346</f>
        <v>0</v>
      </c>
      <c r="J104" s="25">
        <f>'Financial Statements'!J329/'Financial Statements'!J$346</f>
        <v>0</v>
      </c>
      <c r="K104" s="25">
        <f>'Financial Statements'!K329/'Financial Statements'!K$346</f>
        <v>0</v>
      </c>
      <c r="L104" s="25">
        <f>'Financial Statements'!L329/'Financial Statements'!L$346</f>
        <v>0</v>
      </c>
      <c r="M104" s="25">
        <f>'Financial Statements'!M329/'Financial Statements'!M$346</f>
        <v>0</v>
      </c>
    </row>
    <row r="105" spans="1:13" ht="12.75" customHeight="1" x14ac:dyDescent="0.2">
      <c r="A105" s="1" t="s">
        <v>137</v>
      </c>
      <c r="B105" s="25">
        <f>'Financial Statements'!B330/'Financial Statements'!B$346</f>
        <v>8.1844348750286705E-2</v>
      </c>
      <c r="C105" s="25">
        <f>'Financial Statements'!C330/'Financial Statements'!C$346</f>
        <v>8.5793310636690309E-2</v>
      </c>
      <c r="D105" s="25">
        <f>'Financial Statements'!D330/'Financial Statements'!D$346</f>
        <v>0.10674924063057184</v>
      </c>
      <c r="E105" s="25">
        <f>'Financial Statements'!E330/'Financial Statements'!E$346</f>
        <v>6.6109086294283886E-2</v>
      </c>
      <c r="F105" s="25">
        <f>'Financial Statements'!F330/'Financial Statements'!F$346</f>
        <v>7.1433513393837814E-2</v>
      </c>
      <c r="G105" s="25">
        <f>'Financial Statements'!G330/'Financial Statements'!G$346</f>
        <v>7.6877816579845437E-2</v>
      </c>
      <c r="H105" s="25">
        <f>'Financial Statements'!H330/'Financial Statements'!H$346</f>
        <v>9.3077139607573869E-2</v>
      </c>
      <c r="I105" s="25">
        <f>'Financial Statements'!I330/'Financial Statements'!I$346</f>
        <v>8.9805245434465691E-2</v>
      </c>
      <c r="J105" s="25">
        <f>'Financial Statements'!J330/'Financial Statements'!J$346</f>
        <v>7.7876721965694978E-2</v>
      </c>
      <c r="K105" s="25">
        <f>'Financial Statements'!K330/'Financial Statements'!K$346</f>
        <v>6.5392049748233344E-2</v>
      </c>
      <c r="L105" s="25">
        <f>'Financial Statements'!L330/'Financial Statements'!L$346</f>
        <v>5.0136175650866442E-2</v>
      </c>
      <c r="M105" s="25">
        <f>'Financial Statements'!M330/'Financial Statements'!M$346</f>
        <v>5.4032615112160572E-2</v>
      </c>
    </row>
    <row r="106" spans="1:13" ht="12.75" customHeight="1" x14ac:dyDescent="0.2">
      <c r="A106" s="1" t="s">
        <v>138</v>
      </c>
      <c r="B106" s="25">
        <f>'Financial Statements'!B331/'Financial Statements'!B$346</f>
        <v>6.186379627266589E-3</v>
      </c>
      <c r="C106" s="25">
        <f>'Financial Statements'!C331/'Financial Statements'!C$346</f>
        <v>5.6855540514407265E-3</v>
      </c>
      <c r="D106" s="25">
        <f>'Financial Statements'!D331/'Financial Statements'!D$346</f>
        <v>7.2858810524502127E-3</v>
      </c>
      <c r="E106" s="25">
        <f>'Financial Statements'!E331/'Financial Statements'!E$346</f>
        <v>7.2302331180836669E-3</v>
      </c>
      <c r="F106" s="25">
        <f>'Financial Statements'!F331/'Financial Statements'!F$346</f>
        <v>7.0138842043176459E-3</v>
      </c>
      <c r="G106" s="25">
        <f>'Financial Statements'!G331/'Financial Statements'!G$346</f>
        <v>7.19403593620255E-3</v>
      </c>
      <c r="H106" s="25">
        <f>'Financial Statements'!H331/'Financial Statements'!H$346</f>
        <v>8.4739833416587074E-3</v>
      </c>
      <c r="I106" s="25">
        <f>'Financial Statements'!I331/'Financial Statements'!I$346</f>
        <v>7.1972533588700151E-3</v>
      </c>
      <c r="J106" s="25">
        <f>'Financial Statements'!J331/'Financial Statements'!J$346</f>
        <v>5.1158209795218786E-3</v>
      </c>
      <c r="K106" s="25">
        <f>'Financial Statements'!K331/'Financial Statements'!K$346</f>
        <v>7.8310625281209252E-3</v>
      </c>
      <c r="L106" s="25">
        <f>'Financial Statements'!L331/'Financial Statements'!L$346</f>
        <v>1.8019081124767758E-2</v>
      </c>
      <c r="M106" s="25">
        <f>'Financial Statements'!M331/'Financial Statements'!M$346</f>
        <v>1.8316421039775273E-2</v>
      </c>
    </row>
    <row r="107" spans="1:13" ht="12.75" customHeight="1" thickBot="1" x14ac:dyDescent="0.25">
      <c r="A107" s="5" t="s">
        <v>510</v>
      </c>
      <c r="B107" s="29">
        <f>'Financial Statements'!B332/'Financial Statements'!B$346</f>
        <v>0.24130757128873756</v>
      </c>
      <c r="C107" s="29">
        <f>'Financial Statements'!C332/'Financial Statements'!C$346</f>
        <v>0.17486069448129773</v>
      </c>
      <c r="D107" s="29">
        <f>'Financial Statements'!D332/'Financial Statements'!D$346</f>
        <v>0.18255937988217916</v>
      </c>
      <c r="E107" s="29">
        <f>'Financial Statements'!E332/'Financial Statements'!E$346</f>
        <v>0.16929506530939714</v>
      </c>
      <c r="F107" s="29">
        <f>'Financial Statements'!F332/'Financial Statements'!F$346</f>
        <v>0.14397229731950276</v>
      </c>
      <c r="G107" s="29">
        <f>'Financial Statements'!G332/'Financial Statements'!G$346</f>
        <v>0.16327171594455597</v>
      </c>
      <c r="H107" s="29">
        <f>'Financial Statements'!H332/'Financial Statements'!H$346</f>
        <v>0.17604749205564063</v>
      </c>
      <c r="I107" s="29">
        <f>'Financial Statements'!I332/'Financial Statements'!I$346</f>
        <v>0.22637232230861323</v>
      </c>
      <c r="J107" s="29">
        <f>'Financial Statements'!J332/'Financial Statements'!J$346</f>
        <v>0.17648380041186476</v>
      </c>
      <c r="K107" s="29">
        <f>'Financial Statements'!K332/'Financial Statements'!K$346</f>
        <v>0.1774647203973341</v>
      </c>
      <c r="L107" s="29">
        <f>'Financial Statements'!L332/'Financial Statements'!L$346</f>
        <v>0.16812578798224351</v>
      </c>
      <c r="M107" s="29">
        <f>'Financial Statements'!M332/'Financial Statements'!M$346</f>
        <v>0.14194940052110899</v>
      </c>
    </row>
    <row r="108" spans="1:13" ht="12.75" customHeight="1" thickTop="1" x14ac:dyDescent="0.2">
      <c r="A108" s="1" t="s">
        <v>193</v>
      </c>
      <c r="B108" s="25">
        <f>'Financial Statements'!B333/'Financial Statements'!B$346</f>
        <v>0</v>
      </c>
      <c r="C108" s="25">
        <f>'Financial Statements'!C333/'Financial Statements'!C$346</f>
        <v>0</v>
      </c>
      <c r="D108" s="25">
        <f>'Financial Statements'!D333/'Financial Statements'!D$346</f>
        <v>0</v>
      </c>
      <c r="E108" s="25">
        <f>'Financial Statements'!E333/'Financial Statements'!E$346</f>
        <v>0</v>
      </c>
      <c r="F108" s="25">
        <f>'Financial Statements'!F333/'Financial Statements'!F$346</f>
        <v>0</v>
      </c>
      <c r="G108" s="25">
        <f>'Financial Statements'!G333/'Financial Statements'!G$346</f>
        <v>0</v>
      </c>
      <c r="H108" s="25">
        <f>'Financial Statements'!H333/'Financial Statements'!H$346</f>
        <v>0</v>
      </c>
      <c r="I108" s="25">
        <f>'Financial Statements'!I333/'Financial Statements'!I$346</f>
        <v>0</v>
      </c>
      <c r="J108" s="25">
        <f>'Financial Statements'!J333/'Financial Statements'!J$346</f>
        <v>0</v>
      </c>
      <c r="K108" s="25">
        <f>'Financial Statements'!K333/'Financial Statements'!K$346</f>
        <v>0</v>
      </c>
      <c r="L108" s="25">
        <f>'Financial Statements'!L333/'Financial Statements'!L$346</f>
        <v>0</v>
      </c>
      <c r="M108" s="25">
        <f>'Financial Statements'!M333/'Financial Statements'!M$346</f>
        <v>0</v>
      </c>
    </row>
    <row r="109" spans="1:13" ht="12.75" customHeight="1" x14ac:dyDescent="0.2">
      <c r="A109" s="1" t="s">
        <v>194</v>
      </c>
      <c r="B109" s="25">
        <f>'Financial Statements'!B334/'Financial Statements'!B$346</f>
        <v>0</v>
      </c>
      <c r="C109" s="25">
        <f>'Financial Statements'!C334/'Financial Statements'!C$346</f>
        <v>0</v>
      </c>
      <c r="D109" s="25">
        <f>'Financial Statements'!D334/'Financial Statements'!D$346</f>
        <v>0</v>
      </c>
      <c r="E109" s="25">
        <f>'Financial Statements'!E334/'Financial Statements'!E$346</f>
        <v>0</v>
      </c>
      <c r="F109" s="25">
        <f>'Financial Statements'!F334/'Financial Statements'!F$346</f>
        <v>0</v>
      </c>
      <c r="G109" s="25">
        <f>'Financial Statements'!G334/'Financial Statements'!G$346</f>
        <v>0</v>
      </c>
      <c r="H109" s="25">
        <f>'Financial Statements'!H334/'Financial Statements'!H$346</f>
        <v>0</v>
      </c>
      <c r="I109" s="25">
        <f>'Financial Statements'!I334/'Financial Statements'!I$346</f>
        <v>0</v>
      </c>
      <c r="J109" s="25">
        <f>'Financial Statements'!J334/'Financial Statements'!J$346</f>
        <v>0</v>
      </c>
      <c r="K109" s="25">
        <f>'Financial Statements'!K334/'Financial Statements'!K$346</f>
        <v>0</v>
      </c>
      <c r="L109" s="25">
        <f>'Financial Statements'!L334/'Financial Statements'!L$346</f>
        <v>0</v>
      </c>
      <c r="M109" s="25">
        <f>'Financial Statements'!M334/'Financial Statements'!M$346</f>
        <v>0</v>
      </c>
    </row>
    <row r="110" spans="1:13" ht="12.75" customHeight="1" x14ac:dyDescent="0.2">
      <c r="A110" s="1" t="s">
        <v>195</v>
      </c>
      <c r="B110" s="25">
        <f>'Financial Statements'!B335/'Financial Statements'!B$346</f>
        <v>0</v>
      </c>
      <c r="C110" s="25">
        <f>'Financial Statements'!C335/'Financial Statements'!C$346</f>
        <v>0</v>
      </c>
      <c r="D110" s="25">
        <f>'Financial Statements'!D335/'Financial Statements'!D$346</f>
        <v>0</v>
      </c>
      <c r="E110" s="25">
        <f>'Financial Statements'!E335/'Financial Statements'!E$346</f>
        <v>0</v>
      </c>
      <c r="F110" s="25">
        <f>'Financial Statements'!F335/'Financial Statements'!F$346</f>
        <v>0</v>
      </c>
      <c r="G110" s="25">
        <f>'Financial Statements'!G335/'Financial Statements'!G$346</f>
        <v>0</v>
      </c>
      <c r="H110" s="25">
        <f>'Financial Statements'!H335/'Financial Statements'!H$346</f>
        <v>0</v>
      </c>
      <c r="I110" s="25">
        <f>'Financial Statements'!I335/'Financial Statements'!I$346</f>
        <v>0</v>
      </c>
      <c r="J110" s="25">
        <f>'Financial Statements'!J335/'Financial Statements'!J$346</f>
        <v>0</v>
      </c>
      <c r="K110" s="25">
        <f>'Financial Statements'!K335/'Financial Statements'!K$346</f>
        <v>0</v>
      </c>
      <c r="L110" s="25">
        <f>'Financial Statements'!L335/'Financial Statements'!L$346</f>
        <v>0</v>
      </c>
      <c r="M110" s="25">
        <f>'Financial Statements'!M335/'Financial Statements'!M$346</f>
        <v>0</v>
      </c>
    </row>
    <row r="111" spans="1:13" ht="12.75" customHeight="1" x14ac:dyDescent="0.2">
      <c r="A111" s="1" t="s">
        <v>196</v>
      </c>
      <c r="B111" s="25">
        <f>'Financial Statements'!B336/'Financial Statements'!B$346</f>
        <v>0</v>
      </c>
      <c r="C111" s="25">
        <f>'Financial Statements'!C336/'Financial Statements'!C$346</f>
        <v>0</v>
      </c>
      <c r="D111" s="25">
        <f>'Financial Statements'!D336/'Financial Statements'!D$346</f>
        <v>0</v>
      </c>
      <c r="E111" s="25">
        <f>'Financial Statements'!E336/'Financial Statements'!E$346</f>
        <v>0</v>
      </c>
      <c r="F111" s="25">
        <f>'Financial Statements'!F336/'Financial Statements'!F$346</f>
        <v>0</v>
      </c>
      <c r="G111" s="25">
        <f>'Financial Statements'!G336/'Financial Statements'!G$346</f>
        <v>0</v>
      </c>
      <c r="H111" s="25">
        <f>'Financial Statements'!H336/'Financial Statements'!H$346</f>
        <v>0</v>
      </c>
      <c r="I111" s="25">
        <f>'Financial Statements'!I336/'Financial Statements'!I$346</f>
        <v>0</v>
      </c>
      <c r="J111" s="25">
        <f>'Financial Statements'!J336/'Financial Statements'!J$346</f>
        <v>0</v>
      </c>
      <c r="K111" s="25">
        <f>'Financial Statements'!K336/'Financial Statements'!K$346</f>
        <v>0</v>
      </c>
      <c r="L111" s="25">
        <f>'Financial Statements'!L336/'Financial Statements'!L$346</f>
        <v>0</v>
      </c>
      <c r="M111" s="25">
        <f>'Financial Statements'!M336/'Financial Statements'!M$346</f>
        <v>0</v>
      </c>
    </row>
    <row r="112" spans="1:13" ht="12.75" customHeight="1" x14ac:dyDescent="0.2">
      <c r="A112" s="5" t="s">
        <v>511</v>
      </c>
      <c r="B112" s="30">
        <f>'Financial Statements'!B337/'Financial Statements'!B$346</f>
        <v>0</v>
      </c>
      <c r="C112" s="30">
        <f>'Financial Statements'!C337/'Financial Statements'!C$346</f>
        <v>0</v>
      </c>
      <c r="D112" s="30">
        <f>'Financial Statements'!D337/'Financial Statements'!D$346</f>
        <v>0</v>
      </c>
      <c r="E112" s="30">
        <f>'Financial Statements'!E337/'Financial Statements'!E$346</f>
        <v>0</v>
      </c>
      <c r="F112" s="30">
        <f>'Financial Statements'!F337/'Financial Statements'!F$346</f>
        <v>0</v>
      </c>
      <c r="G112" s="30">
        <f>'Financial Statements'!G337/'Financial Statements'!G$346</f>
        <v>0</v>
      </c>
      <c r="H112" s="30">
        <f>'Financial Statements'!H337/'Financial Statements'!H$346</f>
        <v>0</v>
      </c>
      <c r="I112" s="30">
        <f>'Financial Statements'!I337/'Financial Statements'!I$346</f>
        <v>0</v>
      </c>
      <c r="J112" s="30">
        <f>'Financial Statements'!J337/'Financial Statements'!J$346</f>
        <v>0</v>
      </c>
      <c r="K112" s="30">
        <f>'Financial Statements'!K337/'Financial Statements'!K$346</f>
        <v>0</v>
      </c>
      <c r="L112" s="30">
        <f>'Financial Statements'!L337/'Financial Statements'!L$346</f>
        <v>0</v>
      </c>
      <c r="M112" s="30">
        <f>'Financial Statements'!M337/'Financial Statements'!M$346</f>
        <v>0</v>
      </c>
    </row>
    <row r="113" spans="1:13" ht="12.75" customHeight="1" x14ac:dyDescent="0.2">
      <c r="A113" s="1" t="s">
        <v>47</v>
      </c>
      <c r="B113" s="25">
        <f>'Financial Statements'!B338/'Financial Statements'!B$346</f>
        <v>8.0869818974363948E-4</v>
      </c>
      <c r="C113" s="25">
        <f>'Financial Statements'!C338/'Financial Statements'!C$346</f>
        <v>6.7550246679828918E-4</v>
      </c>
      <c r="D113" s="25">
        <f>'Financial Statements'!D338/'Financial Statements'!D$346</f>
        <v>7.2694256282584155E-4</v>
      </c>
      <c r="E113" s="25">
        <f>'Financial Statements'!E338/'Financial Statements'!E$346</f>
        <v>6.5278974172647687E-4</v>
      </c>
      <c r="F113" s="25">
        <f>'Financial Statements'!F338/'Financial Statements'!F$346</f>
        <v>6.4949778513471675E-4</v>
      </c>
      <c r="G113" s="25">
        <f>'Financial Statements'!G338/'Financial Statements'!G$346</f>
        <v>6.2236159291419364E-4</v>
      </c>
      <c r="H113" s="25">
        <f>'Financial Statements'!H338/'Financial Statements'!H$346</f>
        <v>6.1097940568218987E-4</v>
      </c>
      <c r="I113" s="25">
        <f>'Financial Statements'!I338/'Financial Statements'!I$346</f>
        <v>5.2609862492810798E-4</v>
      </c>
      <c r="J113" s="25">
        <f>'Financial Statements'!J338/'Financial Statements'!J$346</f>
        <v>3.8423657922001509E-4</v>
      </c>
      <c r="K113" s="25">
        <f>'Financial Statements'!K338/'Financial Statements'!K$346</f>
        <v>3.4374469335547459E-4</v>
      </c>
      <c r="L113" s="25">
        <f>'Financial Statements'!L338/'Financial Statements'!L$346</f>
        <v>2.4346604880537919E-4</v>
      </c>
      <c r="M113" s="25">
        <f>'Financial Statements'!M338/'Financial Statements'!M$346</f>
        <v>2.3886282213084721E-4</v>
      </c>
    </row>
    <row r="114" spans="1:13" ht="12.75" customHeight="1" x14ac:dyDescent="0.2">
      <c r="A114" s="1" t="s">
        <v>139</v>
      </c>
      <c r="B114" s="25">
        <f>'Financial Statements'!B339/'Financial Statements'!B$346</f>
        <v>4.6630980570783707E-2</v>
      </c>
      <c r="C114" s="25">
        <f>'Financial Statements'!C339/'Financial Statements'!C$346</f>
        <v>4.1739036576974448E-2</v>
      </c>
      <c r="D114" s="25">
        <f>'Financial Statements'!D339/'Financial Statements'!D$346</f>
        <v>4.8332484749693636E-2</v>
      </c>
      <c r="E114" s="25">
        <f>'Financial Statements'!E339/'Financial Statements'!E$346</f>
        <v>4.6349810117284854E-2</v>
      </c>
      <c r="F114" s="25">
        <f>'Financial Statements'!F339/'Financial Statements'!F$346</f>
        <v>4.9172430851404249E-2</v>
      </c>
      <c r="G114" s="25">
        <f>'Financial Statements'!G339/'Financial Statements'!G$346</f>
        <v>5.0030910902018243E-2</v>
      </c>
      <c r="H114" s="25">
        <f>'Financial Statements'!H339/'Financial Statements'!H$346</f>
        <v>5.2103282366857739E-2</v>
      </c>
      <c r="I114" s="25">
        <f>'Financial Statements'!I339/'Financial Statements'!I$346</f>
        <v>4.7628388029610037E-2</v>
      </c>
      <c r="J114" s="25">
        <f>'Financial Statements'!J339/'Financial Statements'!J$346</f>
        <v>3.6894897737301896E-2</v>
      </c>
      <c r="K114" s="25">
        <f>'Financial Statements'!K339/'Financial Statements'!K$346</f>
        <v>3.4956226333223629E-2</v>
      </c>
      <c r="L114" s="25">
        <f>'Financial Statements'!L339/'Financial Statements'!L$346</f>
        <v>2.620907152552714E-2</v>
      </c>
      <c r="M114" s="25">
        <f>'Financial Statements'!M339/'Financial Statements'!M$346</f>
        <v>2.6562436388063347E-2</v>
      </c>
    </row>
    <row r="115" spans="1:13" ht="12.75" customHeight="1" x14ac:dyDescent="0.2">
      <c r="A115" s="1" t="s">
        <v>98</v>
      </c>
      <c r="B115" s="25">
        <f>'Financial Statements'!B340/'Financial Statements'!B$346</f>
        <v>0.73220998586124209</v>
      </c>
      <c r="C115" s="25">
        <f>'Financial Statements'!C340/'Financial Statements'!C$346</f>
        <v>0.80092465584003814</v>
      </c>
      <c r="D115" s="25">
        <f>'Financial Statements'!D340/'Financial Statements'!D$346</f>
        <v>0.78990488764817146</v>
      </c>
      <c r="E115" s="25">
        <f>'Financial Statements'!E340/'Financial Statements'!E$346</f>
        <v>0.80396402441833492</v>
      </c>
      <c r="F115" s="25">
        <f>'Financial Statements'!F340/'Financial Statements'!F$346</f>
        <v>0.82551687396975471</v>
      </c>
      <c r="G115" s="25">
        <f>'Financial Statements'!G340/'Financial Statements'!G$346</f>
        <v>0.80811456757056888</v>
      </c>
      <c r="H115" s="25">
        <f>'Financial Statements'!H340/'Financial Statements'!H$346</f>
        <v>0.79401044929359066</v>
      </c>
      <c r="I115" s="25">
        <f>'Financial Statements'!I340/'Financial Statements'!I$346</f>
        <v>0.74666354696953885</v>
      </c>
      <c r="J115" s="25">
        <f>'Financial Statements'!J340/'Financial Statements'!J$346</f>
        <v>0.80383315639349717</v>
      </c>
      <c r="K115" s="25">
        <f>'Financial Statements'!K340/'Financial Statements'!K$346</f>
        <v>0.80393004086030462</v>
      </c>
      <c r="L115" s="25">
        <f>'Financial Statements'!L340/'Financial Statements'!L$346</f>
        <v>0.83184600756203597</v>
      </c>
      <c r="M115" s="25">
        <f>'Financial Statements'!M340/'Financial Statements'!M$346</f>
        <v>0.88018151030004488</v>
      </c>
    </row>
    <row r="116" spans="1:13" ht="12.75" customHeight="1" x14ac:dyDescent="0.2">
      <c r="A116" s="1" t="s">
        <v>54</v>
      </c>
      <c r="B116" s="25">
        <f>'Financial Statements'!B341/'Financial Statements'!B$346</f>
        <v>-2.2055600961823199E-2</v>
      </c>
      <c r="C116" s="25">
        <f>'Financial Statements'!C341/'Financial Statements'!C$346</f>
        <v>-2.0033010573277624E-2</v>
      </c>
      <c r="D116" s="25">
        <f>'Financial Statements'!D341/'Financial Statements'!D$346</f>
        <v>-2.3147942007213283E-2</v>
      </c>
      <c r="E116" s="25">
        <f>'Financial Statements'!E341/'Financial Statements'!E$346</f>
        <v>-2.1701130082480986E-2</v>
      </c>
      <c r="F116" s="25">
        <f>'Financial Statements'!F341/'Financial Statements'!F$346</f>
        <v>-2.2370052876557366E-2</v>
      </c>
      <c r="G116" s="25">
        <f>'Financial Statements'!G341/'Financial Statements'!G$346</f>
        <v>-2.2105024140337153E-2</v>
      </c>
      <c r="H116" s="25">
        <f>'Financial Statements'!H341/'Financial Statements'!H$346</f>
        <v>-2.231823972846806E-2</v>
      </c>
      <c r="I116" s="25">
        <f>'Financial Statements'!I341/'Financial Statements'!I$346</f>
        <v>-1.992799944517961E-2</v>
      </c>
      <c r="J116" s="25">
        <f>'Financial Statements'!J341/'Financial Statements'!J$346</f>
        <v>-1.5353090904439697E-2</v>
      </c>
      <c r="K116" s="25">
        <f>'Financial Statements'!K341/'Financial Statements'!K$346</f>
        <v>-1.4462451499271545E-2</v>
      </c>
      <c r="L116" s="25">
        <f>'Financial Statements'!L341/'Financial Statements'!L$346</f>
        <v>-2.7845578335606438E-2</v>
      </c>
      <c r="M116" s="25">
        <f>'Financial Statements'!M341/'Financial Statements'!M$346</f>
        <v>-5.1359323474331316E-2</v>
      </c>
    </row>
    <row r="117" spans="1:13" ht="12.75" customHeight="1" x14ac:dyDescent="0.2">
      <c r="A117" s="1" t="s">
        <v>140</v>
      </c>
      <c r="B117" s="25">
        <f>'Financial Statements'!B342/'Financial Statements'!B$346</f>
        <v>2.36902265970174E-5</v>
      </c>
      <c r="C117" s="25">
        <f>'Financial Statements'!C342/'Financial Statements'!C$346</f>
        <v>-4.3174591752753505E-5</v>
      </c>
      <c r="D117" s="25">
        <f>'Financial Statements'!D342/'Financial Statements'!D$346</f>
        <v>-1.2389966450293972E-4</v>
      </c>
      <c r="E117" s="25">
        <f>'Financial Statements'!E342/'Financial Statements'!E$346</f>
        <v>-6.0237455528155579E-4</v>
      </c>
      <c r="F117" s="25">
        <f>'Financial Statements'!F342/'Financial Statements'!F$346</f>
        <v>3.0701959217420031E-4</v>
      </c>
      <c r="G117" s="25">
        <f>'Financial Statements'!G342/'Financial Statements'!G$346</f>
        <v>6.5468130279921837E-5</v>
      </c>
      <c r="H117" s="25">
        <f>'Financial Statements'!H342/'Financial Statements'!H$346</f>
        <v>-4.5396339330314509E-4</v>
      </c>
      <c r="I117" s="25">
        <f>'Financial Statements'!I342/'Financial Statements'!I$346</f>
        <v>-1.1180471443212523E-3</v>
      </c>
      <c r="J117" s="25">
        <f>'Financial Statements'!J342/'Financial Statements'!J$346</f>
        <v>-1.476573592049219E-3</v>
      </c>
      <c r="K117" s="25">
        <f>'Financial Statements'!K342/'Financial Statements'!K$346</f>
        <v>-8.1153041453962233E-4</v>
      </c>
      <c r="L117" s="25">
        <f>'Financial Statements'!L342/'Financial Statements'!L$346</f>
        <v>-3.2645847023570813E-4</v>
      </c>
      <c r="M117" s="25">
        <f>'Financial Statements'!M342/'Financial Statements'!M$346</f>
        <v>4.2174714000732814E-4</v>
      </c>
    </row>
    <row r="118" spans="1:13" ht="12.75" customHeight="1" x14ac:dyDescent="0.2">
      <c r="A118" s="5" t="s">
        <v>99</v>
      </c>
      <c r="B118" s="26">
        <f>'Financial Statements'!B343/'Financial Statements'!B$346</f>
        <v>0.75761775388654318</v>
      </c>
      <c r="C118" s="26">
        <f>'Financial Statements'!C343/'Financial Statements'!C$346</f>
        <v>0.82326300971878041</v>
      </c>
      <c r="D118" s="26">
        <f>'Financial Statements'!D343/'Financial Statements'!D$346</f>
        <v>0.81569247328897465</v>
      </c>
      <c r="E118" s="26">
        <f>'Financial Statements'!E343/'Financial Statements'!E$346</f>
        <v>0.82866311963958361</v>
      </c>
      <c r="F118" s="26">
        <f>'Financial Statements'!F343/'Financial Statements'!F$346</f>
        <v>0.85327576932191052</v>
      </c>
      <c r="G118" s="26">
        <f>'Financial Statements'!G343/'Financial Statements'!G$346</f>
        <v>0.83672828405544408</v>
      </c>
      <c r="H118" s="26">
        <f>'Financial Statements'!H343/'Financial Statements'!H$346</f>
        <v>0.82395250794435937</v>
      </c>
      <c r="I118" s="26">
        <f>'Financial Statements'!I343/'Financial Statements'!I$346</f>
        <v>0.77377198703457606</v>
      </c>
      <c r="J118" s="26">
        <f>'Financial Statements'!J343/'Financial Statements'!J$346</f>
        <v>0.8242826262135301</v>
      </c>
      <c r="K118" s="26">
        <f>'Financial Statements'!K343/'Financial Statements'!K$346</f>
        <v>0.8239560299730726</v>
      </c>
      <c r="L118" s="26">
        <f>'Financial Statements'!L343/'Financial Statements'!L$346</f>
        <v>0.83012650833052626</v>
      </c>
      <c r="M118" s="26">
        <f>'Financial Statements'!M343/'Financial Statements'!M$346</f>
        <v>0.85604523317591497</v>
      </c>
    </row>
    <row r="119" spans="1:13" ht="12.75" customHeight="1" x14ac:dyDescent="0.2">
      <c r="A119" s="1" t="s">
        <v>188</v>
      </c>
      <c r="B119" s="25">
        <f>'Financial Statements'!B344/'Financial Statements'!B$346</f>
        <v>1.0746748247192439E-3</v>
      </c>
      <c r="C119" s="25">
        <f>'Financial Statements'!C344/'Financial Statements'!C$346</f>
        <v>1.8762957999217459E-3</v>
      </c>
      <c r="D119" s="25">
        <f>'Financial Statements'!D344/'Financial Statements'!D$346</f>
        <v>1.748146828846165E-3</v>
      </c>
      <c r="E119" s="25">
        <f>'Financial Statements'!E344/'Financial Statements'!E$346</f>
        <v>2.0418150510192997E-3</v>
      </c>
      <c r="F119" s="25">
        <f>'Financial Statements'!F344/'Financial Statements'!F$346</f>
        <v>2.7519333585867755E-3</v>
      </c>
      <c r="G119" s="25">
        <f>'Financial Statements'!G344/'Financial Statements'!G$346</f>
        <v>0</v>
      </c>
      <c r="H119" s="25">
        <f>'Financial Statements'!H344/'Financial Statements'!H$346</f>
        <v>0</v>
      </c>
      <c r="I119" s="25">
        <f>'Financial Statements'!I344/'Financial Statements'!I$346</f>
        <v>-1.4430934318933455E-4</v>
      </c>
      <c r="J119" s="25">
        <f>'Financial Statements'!J344/'Financial Statements'!J$346</f>
        <v>-7.6642662539491691E-4</v>
      </c>
      <c r="K119" s="25">
        <f>'Financial Statements'!K344/'Financial Statements'!K$346</f>
        <v>-1.4207503704066486E-3</v>
      </c>
      <c r="L119" s="25">
        <f>'Financial Statements'!L344/'Financial Statements'!L$346</f>
        <v>1.7477036872300923E-3</v>
      </c>
      <c r="M119" s="25">
        <f>'Financial Statements'!M344/'Financial Statements'!M$346</f>
        <v>2.0053663029760208E-3</v>
      </c>
    </row>
    <row r="120" spans="1:13" ht="12.75" customHeight="1" x14ac:dyDescent="0.2">
      <c r="A120" s="3" t="s">
        <v>46</v>
      </c>
      <c r="B120" s="26">
        <f>'Financial Statements'!B345/'Financial Statements'!B$346</f>
        <v>0.75869242871126241</v>
      </c>
      <c r="C120" s="26">
        <f>'Financial Statements'!C345/'Financial Statements'!C$346</f>
        <v>0.82513930551870218</v>
      </c>
      <c r="D120" s="26">
        <f>'Financial Statements'!D345/'Financial Statements'!D$346</f>
        <v>0.81744062011782082</v>
      </c>
      <c r="E120" s="26">
        <f>'Financial Statements'!E345/'Financial Statements'!E$346</f>
        <v>0.83070493469060291</v>
      </c>
      <c r="F120" s="26">
        <f>'Financial Statements'!F345/'Financial Statements'!F$346</f>
        <v>0.85602770268049722</v>
      </c>
      <c r="G120" s="26">
        <f>'Financial Statements'!G345/'Financial Statements'!G$346</f>
        <v>0.83672828405544408</v>
      </c>
      <c r="H120" s="26">
        <f>'Financial Statements'!H345/'Financial Statements'!H$346</f>
        <v>0.82395250794435937</v>
      </c>
      <c r="I120" s="26">
        <f>'Financial Statements'!I345/'Financial Statements'!I$346</f>
        <v>0.77362767769138674</v>
      </c>
      <c r="J120" s="26">
        <f>'Financial Statements'!J345/'Financial Statements'!J$346</f>
        <v>0.82351619958813527</v>
      </c>
      <c r="K120" s="26">
        <f>'Financial Statements'!K345/'Financial Statements'!K$346</f>
        <v>0.82253527960266593</v>
      </c>
      <c r="L120" s="26">
        <f>'Financial Statements'!L345/'Financial Statements'!L$346</f>
        <v>0.83187421201775635</v>
      </c>
      <c r="M120" s="26">
        <f>'Financial Statements'!M345/'Financial Statements'!M$346</f>
        <v>0.85805059947889106</v>
      </c>
    </row>
    <row r="121" spans="1:13" ht="12.75" customHeight="1" thickBot="1" x14ac:dyDescent="0.25">
      <c r="A121" s="16" t="s">
        <v>100</v>
      </c>
      <c r="B121" s="29">
        <f>'Financial Statements'!B346/'Financial Statements'!B$346</f>
        <v>1</v>
      </c>
      <c r="C121" s="29">
        <f>'Financial Statements'!C346/'Financial Statements'!C$346</f>
        <v>1</v>
      </c>
      <c r="D121" s="29">
        <f>'Financial Statements'!D346/'Financial Statements'!D$346</f>
        <v>1</v>
      </c>
      <c r="E121" s="29">
        <f>'Financial Statements'!E346/'Financial Statements'!E$346</f>
        <v>1</v>
      </c>
      <c r="F121" s="29">
        <f>'Financial Statements'!F346/'Financial Statements'!F$346</f>
        <v>1</v>
      </c>
      <c r="G121" s="29">
        <f>'Financial Statements'!G346/'Financial Statements'!G$346</f>
        <v>1</v>
      </c>
      <c r="H121" s="29">
        <f>'Financial Statements'!H346/'Financial Statements'!H$346</f>
        <v>1</v>
      </c>
      <c r="I121" s="29">
        <f>'Financial Statements'!I346/'Financial Statements'!I$346</f>
        <v>1</v>
      </c>
      <c r="J121" s="29">
        <f>'Financial Statements'!J346/'Financial Statements'!J$346</f>
        <v>1</v>
      </c>
      <c r="K121" s="29">
        <f>'Financial Statements'!K346/'Financial Statements'!K$346</f>
        <v>1</v>
      </c>
      <c r="L121" s="29">
        <f>'Financial Statements'!L346/'Financial Statements'!L$346</f>
        <v>1</v>
      </c>
      <c r="M121" s="29">
        <f>'Financial Statements'!M346/'Financial Statements'!M$346</f>
        <v>1</v>
      </c>
    </row>
    <row r="122" spans="1:13" ht="12.75" customHeight="1" thickTop="1" x14ac:dyDescent="0.2"/>
  </sheetData>
  <phoneticPr fontId="3" type="noConversion"/>
  <printOptions horizontalCentered="1"/>
  <pageMargins left="0" right="0" top="0" bottom="0" header="0.5" footer="0.5"/>
  <pageSetup scale="5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L10"/>
  <sheetViews>
    <sheetView showGridLines="0" zoomScaleNormal="100" zoomScaleSheetLayoutView="85" workbookViewId="0">
      <selection activeCell="N11" sqref="N11"/>
    </sheetView>
  </sheetViews>
  <sheetFormatPr defaultRowHeight="12.75" x14ac:dyDescent="0.2"/>
  <cols>
    <col min="1" max="1" width="15.7109375" bestFit="1" customWidth="1"/>
    <col min="2" max="2" width="42.5703125" bestFit="1" customWidth="1"/>
    <col min="3" max="4" width="10.140625" bestFit="1" customWidth="1"/>
    <col min="5" max="5" width="11.28515625" bestFit="1" customWidth="1"/>
    <col min="6" max="6" width="9.5703125" bestFit="1" customWidth="1"/>
    <col min="7" max="7" width="9.28515625" bestFit="1" customWidth="1"/>
    <col min="8" max="8" width="14" bestFit="1" customWidth="1"/>
    <col min="9" max="9" width="13.7109375" bestFit="1" customWidth="1"/>
    <col min="10" max="10" width="11" bestFit="1" customWidth="1"/>
    <col min="11" max="11" width="11.28515625" bestFit="1" customWidth="1"/>
    <col min="12" max="12" width="8.7109375" bestFit="1" customWidth="1"/>
    <col min="13" max="13" width="10.28515625" bestFit="1" customWidth="1"/>
    <col min="14" max="14" width="10.85546875" bestFit="1" customWidth="1"/>
    <col min="15" max="15" width="11.7109375" bestFit="1" customWidth="1"/>
    <col min="16" max="16" width="11.28515625" bestFit="1" customWidth="1"/>
    <col min="17" max="17" width="18.42578125" bestFit="1" customWidth="1"/>
    <col min="18" max="18" width="20" bestFit="1" customWidth="1"/>
    <col min="19" max="20" width="20.7109375" bestFit="1" customWidth="1"/>
    <col min="21" max="21" width="11.7109375" bestFit="1" customWidth="1"/>
    <col min="22" max="22" width="13.42578125" bestFit="1" customWidth="1"/>
    <col min="23" max="24" width="14.140625" bestFit="1" customWidth="1"/>
    <col min="25" max="25" width="15.85546875" bestFit="1" customWidth="1"/>
    <col min="26" max="26" width="17.5703125" bestFit="1" customWidth="1"/>
    <col min="27" max="28" width="18.28515625" bestFit="1" customWidth="1"/>
    <col min="29" max="29" width="22.7109375" bestFit="1" customWidth="1"/>
    <col min="30" max="30" width="24.28515625" bestFit="1" customWidth="1"/>
    <col min="31" max="32" width="25" bestFit="1" customWidth="1"/>
    <col min="33" max="33" width="16" bestFit="1" customWidth="1"/>
    <col min="34" max="34" width="17.7109375" bestFit="1" customWidth="1"/>
    <col min="35" max="36" width="18.42578125" bestFit="1" customWidth="1"/>
    <col min="37" max="37" width="7.42578125" bestFit="1" customWidth="1"/>
    <col min="38" max="38" width="9" bestFit="1" customWidth="1"/>
    <col min="39" max="40" width="9.7109375" bestFit="1" customWidth="1"/>
    <col min="41" max="41" width="11.140625" bestFit="1" customWidth="1"/>
    <col min="42" max="42" width="20" bestFit="1" customWidth="1"/>
    <col min="43" max="44" width="18.7109375" bestFit="1" customWidth="1"/>
    <col min="45" max="45" width="17" bestFit="1" customWidth="1"/>
    <col min="46" max="48" width="18.7109375" bestFit="1" customWidth="1"/>
    <col min="49" max="49" width="17" bestFit="1" customWidth="1"/>
    <col min="50" max="50" width="18.7109375" bestFit="1" customWidth="1"/>
    <col min="51" max="52" width="24.140625" bestFit="1" customWidth="1"/>
    <col min="53" max="53" width="22.5703125" bestFit="1" customWidth="1"/>
    <col min="54" max="54" width="24.140625" bestFit="1" customWidth="1"/>
    <col min="55" max="56" width="25.7109375" bestFit="1" customWidth="1"/>
    <col min="57" max="57" width="18.42578125" bestFit="1" customWidth="1"/>
    <col min="58" max="58" width="20" bestFit="1" customWidth="1"/>
    <col min="59" max="60" width="19" bestFit="1" customWidth="1"/>
    <col min="61" max="61" width="11.7109375" bestFit="1" customWidth="1"/>
    <col min="62" max="62" width="13.42578125" bestFit="1" customWidth="1"/>
    <col min="63" max="64" width="15.85546875" bestFit="1" customWidth="1"/>
    <col min="65" max="65" width="8.7109375" bestFit="1" customWidth="1"/>
    <col min="66" max="66" width="10.28515625" bestFit="1" customWidth="1"/>
    <col min="67" max="67" width="22.42578125" bestFit="1" customWidth="1"/>
    <col min="68" max="68" width="20.7109375" bestFit="1" customWidth="1"/>
    <col min="69" max="69" width="23.28515625" bestFit="1" customWidth="1"/>
    <col min="70" max="70" width="15.140625" bestFit="1" customWidth="1"/>
    <col min="71" max="71" width="23" bestFit="1" customWidth="1"/>
    <col min="72" max="72" width="25.140625" bestFit="1" customWidth="1"/>
    <col min="73" max="73" width="23.7109375" bestFit="1" customWidth="1"/>
    <col min="74" max="74" width="14.85546875" bestFit="1" customWidth="1"/>
    <col min="75" max="75" width="15" bestFit="1" customWidth="1"/>
    <col min="76" max="76" width="15.5703125" bestFit="1" customWidth="1"/>
    <col min="77" max="77" width="13.140625" bestFit="1" customWidth="1"/>
    <col min="78" max="78" width="11.42578125" bestFit="1" customWidth="1"/>
    <col min="79" max="79" width="20" bestFit="1" customWidth="1"/>
    <col min="80" max="80" width="18.28515625" bestFit="1" customWidth="1"/>
    <col min="81" max="81" width="22.5703125" bestFit="1" customWidth="1"/>
    <col min="82" max="82" width="21.7109375" bestFit="1" customWidth="1"/>
    <col min="83" max="83" width="16.42578125" bestFit="1" customWidth="1"/>
    <col min="84" max="84" width="17" bestFit="1" customWidth="1"/>
    <col min="85" max="85" width="8.7109375" bestFit="1" customWidth="1"/>
    <col min="86" max="86" width="14.140625" bestFit="1" customWidth="1"/>
  </cols>
  <sheetData>
    <row r="1" spans="1:168" s="3" customFormat="1" x14ac:dyDescent="0.2">
      <c r="A1" s="40" t="s">
        <v>214</v>
      </c>
      <c r="B1" s="40" t="s">
        <v>257</v>
      </c>
      <c r="C1" s="32" t="s">
        <v>258</v>
      </c>
      <c r="D1" s="32" t="s">
        <v>266</v>
      </c>
      <c r="E1" s="33" t="s">
        <v>256</v>
      </c>
      <c r="F1" s="32" t="s">
        <v>259</v>
      </c>
      <c r="G1" s="32" t="s">
        <v>260</v>
      </c>
      <c r="H1" s="32" t="s">
        <v>514</v>
      </c>
      <c r="I1" s="32" t="s">
        <v>515</v>
      </c>
      <c r="J1" s="32" t="s">
        <v>261</v>
      </c>
      <c r="K1" s="32" t="s">
        <v>262</v>
      </c>
      <c r="L1" s="32" t="s">
        <v>263</v>
      </c>
      <c r="M1" s="32" t="s">
        <v>51</v>
      </c>
      <c r="N1" s="32" t="s">
        <v>264</v>
      </c>
      <c r="O1" s="32" t="s">
        <v>265</v>
      </c>
      <c r="P1" s="32" t="s">
        <v>275</v>
      </c>
      <c r="Q1" s="34" t="s">
        <v>516</v>
      </c>
      <c r="R1" s="34" t="s">
        <v>517</v>
      </c>
      <c r="S1" s="34" t="s">
        <v>518</v>
      </c>
      <c r="T1" s="34" t="s">
        <v>519</v>
      </c>
      <c r="U1" s="34" t="s">
        <v>520</v>
      </c>
      <c r="V1" s="34" t="s">
        <v>521</v>
      </c>
      <c r="W1" s="34" t="s">
        <v>522</v>
      </c>
      <c r="X1" s="34" t="s">
        <v>523</v>
      </c>
      <c r="Y1" s="32" t="s">
        <v>524</v>
      </c>
      <c r="Z1" s="32" t="s">
        <v>525</v>
      </c>
      <c r="AA1" s="32" t="s">
        <v>526</v>
      </c>
      <c r="AB1" s="32" t="s">
        <v>527</v>
      </c>
      <c r="AC1" s="32" t="s">
        <v>528</v>
      </c>
      <c r="AD1" s="32" t="s">
        <v>529</v>
      </c>
      <c r="AE1" s="32" t="s">
        <v>530</v>
      </c>
      <c r="AF1" s="32" t="s">
        <v>531</v>
      </c>
      <c r="AG1" s="32" t="s">
        <v>532</v>
      </c>
      <c r="AH1" s="32" t="s">
        <v>533</v>
      </c>
      <c r="AI1" s="32" t="s">
        <v>534</v>
      </c>
      <c r="AJ1" s="32" t="s">
        <v>535</v>
      </c>
      <c r="AK1" s="32" t="s">
        <v>536</v>
      </c>
      <c r="AL1" s="32" t="s">
        <v>537</v>
      </c>
      <c r="AM1" s="32" t="s">
        <v>538</v>
      </c>
      <c r="AN1" s="32" t="s">
        <v>539</v>
      </c>
      <c r="AO1" s="35" t="s">
        <v>540</v>
      </c>
      <c r="AP1" s="31" t="s">
        <v>541</v>
      </c>
      <c r="AQ1" s="34" t="s">
        <v>542</v>
      </c>
      <c r="AR1" s="34" t="s">
        <v>543</v>
      </c>
      <c r="AS1" s="34" t="s">
        <v>544</v>
      </c>
      <c r="AT1" s="34" t="s">
        <v>545</v>
      </c>
      <c r="AU1" s="32" t="s">
        <v>542</v>
      </c>
      <c r="AV1" s="32" t="s">
        <v>543</v>
      </c>
      <c r="AW1" s="32" t="s">
        <v>544</v>
      </c>
      <c r="AX1" s="32" t="s">
        <v>545</v>
      </c>
      <c r="AY1" s="32" t="s">
        <v>546</v>
      </c>
      <c r="AZ1" s="32" t="s">
        <v>547</v>
      </c>
      <c r="BA1" s="32" t="s">
        <v>548</v>
      </c>
      <c r="BB1" s="32" t="s">
        <v>549</v>
      </c>
      <c r="BC1" s="32" t="s">
        <v>550</v>
      </c>
      <c r="BD1" s="32" t="s">
        <v>551</v>
      </c>
      <c r="BE1" s="32" t="s">
        <v>516</v>
      </c>
      <c r="BF1" s="32" t="s">
        <v>517</v>
      </c>
      <c r="BG1" s="32" t="s">
        <v>552</v>
      </c>
      <c r="BH1" s="32" t="s">
        <v>553</v>
      </c>
      <c r="BI1" s="32" t="s">
        <v>520</v>
      </c>
      <c r="BJ1" s="32" t="s">
        <v>521</v>
      </c>
      <c r="BK1" s="32" t="s">
        <v>554</v>
      </c>
      <c r="BL1" s="32" t="s">
        <v>555</v>
      </c>
      <c r="BM1" s="32" t="s">
        <v>556</v>
      </c>
      <c r="BN1" s="32" t="s">
        <v>557</v>
      </c>
      <c r="BO1" s="32" t="s">
        <v>558</v>
      </c>
      <c r="BP1" s="32" t="s">
        <v>559</v>
      </c>
      <c r="BQ1" s="32" t="s">
        <v>560</v>
      </c>
      <c r="BR1" s="32" t="s">
        <v>561</v>
      </c>
      <c r="BS1" s="32" t="s">
        <v>562</v>
      </c>
      <c r="BT1" s="32" t="s">
        <v>563</v>
      </c>
      <c r="BU1" s="32" t="s">
        <v>564</v>
      </c>
      <c r="BV1" s="32" t="s">
        <v>565</v>
      </c>
      <c r="BW1" s="32" t="s">
        <v>566</v>
      </c>
      <c r="BX1" s="32" t="s">
        <v>567</v>
      </c>
      <c r="BY1" s="32" t="s">
        <v>238</v>
      </c>
      <c r="BZ1" s="32" t="s">
        <v>239</v>
      </c>
      <c r="CA1" s="32" t="s">
        <v>568</v>
      </c>
      <c r="CB1" s="32" t="s">
        <v>569</v>
      </c>
      <c r="CC1" s="32" t="s">
        <v>570</v>
      </c>
      <c r="CD1" s="32" t="s">
        <v>571</v>
      </c>
      <c r="CE1" s="32" t="s">
        <v>572</v>
      </c>
      <c r="CF1" s="32" t="s">
        <v>573</v>
      </c>
      <c r="CG1" s="32" t="s">
        <v>574</v>
      </c>
      <c r="CH1" s="32" t="s">
        <v>575</v>
      </c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</row>
    <row r="2" spans="1:168" s="14" customFormat="1" x14ac:dyDescent="0.2">
      <c r="A2" s="36" t="str">
        <f>_xll.ciqfunctions.udf.CIQ($A$10,"IQ_QUICK_COMP",1)</f>
        <v>NasdaqGM:VITL</v>
      </c>
      <c r="B2" s="36" t="str">
        <f>_xll.ciqfunctions.udf.CIQ($A2, "IQ_COMPANY_NAME")</f>
        <v>Vital Farms, Inc.</v>
      </c>
      <c r="C2" s="13">
        <f>_xll.ciqfunctions.udf.CIQ($A2,"IQ_PERIODDATE",IQ_FY,DateToday)</f>
        <v>46019</v>
      </c>
      <c r="D2" s="13">
        <f>_xll.ciqfunctions.udf.CIQ($A2,"IQ_PERIODDATE",IQ_LTM,DateToday)</f>
        <v>46019</v>
      </c>
      <c r="E2" s="11">
        <f>_xll.ciqfunctions.udf.CIQ($A2, "IQ_LASTSALEPRICE",DateToday,Ccy,Conv)</f>
        <v>13.14</v>
      </c>
      <c r="F2" s="11">
        <f>_xll.ciqfunctions.udf.CIQ($A2, "IQ_YEARHIGH",DateToday,Ccy,Conv)</f>
        <v>53.125</v>
      </c>
      <c r="G2" s="11">
        <f>_xll.ciqfunctions.udf.CIQ($A2, "IQ_YEARLOW",DateToday,Ccy,Conv)</f>
        <v>12.8</v>
      </c>
      <c r="H2" s="37">
        <f t="shared" ref="H2:H10" si="0">IF(ISERROR(E2/F2), "NA", E2/F2)</f>
        <v>0.24734117647058826</v>
      </c>
      <c r="I2" s="37">
        <f t="shared" ref="I2:I10" si="1">IF(ISERROR(E2/G2), "NA", E2/G2)</f>
        <v>1.0265625</v>
      </c>
      <c r="J2" s="4">
        <f>_xll.ciqfunctions.udf.CIQ($A2, "IQ_SHARESOUTSTANDING",DateToday)</f>
        <v>44.797130000000003</v>
      </c>
      <c r="K2" s="22">
        <f t="shared" ref="K2:K10" si="2">IF(ISERROR(J2*E2), "NA", J2*E2)</f>
        <v>588.63428820000001</v>
      </c>
      <c r="L2" s="4">
        <f>_xll.ciqfunctions.udf.CIQ($A2, "IQ_CASH_ST_INVEST",IQ_FQ,DateToday,,"F",Ccy,Conv)</f>
        <v>113.351</v>
      </c>
      <c r="M2" s="4">
        <f>_xll.ciqfunctions.udf.CIQ($A2, "IQ_TOTAL_DEBT",IQ_FQ,DateToday,,"F",Ccy,Conv)</f>
        <v>53.491</v>
      </c>
      <c r="N2" s="4">
        <f>_xll.ciqfunctions.udf.CIQ($A2, "IQ_PREF_EQUITY",IQ_FQ,DateToday,,"F",Ccy,Conv)</f>
        <v>0</v>
      </c>
      <c r="O2" s="4">
        <f>_xll.ciqfunctions.udf.CIQ($A2, "IQ_MINORITY_INTEREST_TOTAL",IQ_FQ,DateToday,,"F",Ccy,Conv)</f>
        <v>0</v>
      </c>
      <c r="P2" s="22">
        <f>IF(ISERROR(K2-L2+M2+N2+O2), "NA", K2-L2+M2+N2+O2)</f>
        <v>528.7742882</v>
      </c>
      <c r="Q2" s="4">
        <f>_xll.ciqfunctions.udf.CIQ($A2, "IQ_TOTAL_REV", IQ_FY,DateToday,,,Ccy,Conv)</f>
        <v>759.44399999999996</v>
      </c>
      <c r="R2" s="4">
        <f>_xll.ciqfunctions.udf.CIQ($A2, "IQ_TOTAL_REV", IQ_LTM,DateToday,,,Ccy,Conv)</f>
        <v>759.44399999999996</v>
      </c>
      <c r="S2" s="4">
        <f>_xll.ciqfunctions.udf.CIQ($A2, "IQ_REVENUE_EST", IQ_CY+ 1,DateToday,,,Ccy,Conv)</f>
        <v>898.27745000000004</v>
      </c>
      <c r="T2" s="4">
        <f>_xll.ciqfunctions.udf.CIQ($A2, "IQ_REVENUE_EST", IQ_CY+ 2,DateToday,,,Ccy,Conv)</f>
        <v>1059.7326399999999</v>
      </c>
      <c r="U2" s="4">
        <f>_xll.ciqfunctions.udf.CIQ($A2, "IQ_EBITDA", IQ_FY,DateToday,,,Ccy,Conv)</f>
        <v>102.88500000000001</v>
      </c>
      <c r="V2" s="4">
        <f>_xll.ciqfunctions.udf.CIQ($A2, "IQ_EBITDA", IQ_LTM,DateToday,,,Ccy,Conv)</f>
        <v>102.88500000000001</v>
      </c>
      <c r="W2" s="4">
        <f>_xll.ciqfunctions.udf.CIQ($A2, "IQ_EBITDA_EST", IQ_CY+ 1,DateToday,,,Ccy,Conv)</f>
        <v>101.75360000000001</v>
      </c>
      <c r="X2" s="4">
        <f>_xll.ciqfunctions.udf.CIQ($A2, "IQ_EBITDA_EST", IQ_CY+ 2,DateToday,,,Ccy,Conv)</f>
        <v>124.51949999999999</v>
      </c>
      <c r="Y2" s="11">
        <f>_xll.ciqfunctions.udf.CIQ($A2, "IQ_DILUT_EPS_EXCL", IQ_FY,DateToday,,,Ccy,Conv)</f>
        <v>1.44</v>
      </c>
      <c r="Z2" s="11">
        <f>_xll.ciqfunctions.udf.CIQ($A2, "IQ_DILUT_EPS_EXCL", IQ_LTM,DateToday,,,Ccy,Conv)</f>
        <v>1.44</v>
      </c>
      <c r="AA2" s="11">
        <f>_xll.ciqfunctions.udf.CIQ($A2, "IQ_EPS_EST", IQ_CY+ 1,DateToday,,,Ccy,Conv)</f>
        <v>1.1655599999999999</v>
      </c>
      <c r="AB2" s="11">
        <f>_xll.ciqfunctions.udf.CIQ($A2, "IQ_EPS_EST", IQ_CY+ 2,DateToday,,,Ccy,Conv)</f>
        <v>1.4422200000000001</v>
      </c>
      <c r="AC2" s="20">
        <f>_xll.ciqfunctions.udf.CIQ($A2, "IQ_TEV_TOTAL_REV",IQ_LTM,$C2)</f>
        <v>1.8709899999999999</v>
      </c>
      <c r="AD2" s="20">
        <f>_xll.ciqfunctions.udf.CIQ($A2, "IQ_TEV_TOTAL_REV",IQ_LTM,DateToday)</f>
        <v>0.69625999999999999</v>
      </c>
      <c r="AE2" s="38">
        <f t="shared" ref="AE2:AE10" si="3">IF(ISERROR($P2/S2), "NA", $P2/S2)</f>
        <v>0.58865363724760089</v>
      </c>
      <c r="AF2" s="38">
        <f t="shared" ref="AF2:AF10" si="4">IF(ISERROR($P2/T2), "NA", $P2/T2)</f>
        <v>0.49896952140683337</v>
      </c>
      <c r="AG2" s="20">
        <f>_xll.ciqfunctions.udf.CIQ($A2, "IQ_TEV_EBITDA",IQ_LTM,$C2)</f>
        <v>3.69164</v>
      </c>
      <c r="AH2" s="20">
        <f>_xll.ciqfunctions.udf.CIQ($A2, "IQ_TEV_EBITDA",IQ_LTM,DateToday)</f>
        <v>1.3542099999999999</v>
      </c>
      <c r="AI2" s="20">
        <f>_xll.ciqfunctions.udf.CIQ($A2, "IQ_TEV_EBITDA_FWD",IQ_CY+1,DateToday)</f>
        <v>5.1966099999999997</v>
      </c>
      <c r="AJ2" s="20">
        <f>_xll.ciqfunctions.udf.CIQ($A2, "IQ_TEV_EBITDA_FWD",IQ_CY+2,DateToday)</f>
        <v>4.2465200000000003</v>
      </c>
      <c r="AK2" s="20">
        <f>_xll.ciqfunctions.udf.CIQ($A2, "IQ_PE_EXCL",IQ_LTM,$C2)</f>
        <v>24.00789</v>
      </c>
      <c r="AL2" s="20">
        <f>_xll.ciqfunctions.udf.CIQ($A2, "IQ_PE_EXCL",IQ_LTM,DateToday)</f>
        <v>9.1250099999999996</v>
      </c>
      <c r="AM2" s="20">
        <f>_xll.ciqfunctions.udf.CIQ($A2, "IQ_PE_EXCL_FWD",IQ_CY+1,DateToday)</f>
        <v>11.27355</v>
      </c>
      <c r="AN2" s="20">
        <f>_xll.ciqfunctions.udf.CIQ($A2, "IQ_PE_EXCL_FWD",IQ_CY+2,DateToday)</f>
        <v>9.1109500000000008</v>
      </c>
      <c r="AO2" s="20">
        <f>_xll.ciqfunctions.udf.CIQ($A2, "IQ_PBV",IQ_LTM,DateToday,)</f>
        <v>1.67578</v>
      </c>
      <c r="AP2" s="20">
        <f>_xll.ciqfunctions.udf.CIQ($A2, "IQ_PTBV",IQ_LTM,DateToday,)</f>
        <v>1.6943900000000001</v>
      </c>
      <c r="AQ2" s="4">
        <f>_xll.ciqfunctions.udf.CIQ($A2, "IQ_GROSS_MARGIN", IQ_FY- 2,DateToday)</f>
        <v>34.401499999999999</v>
      </c>
      <c r="AR2" s="4">
        <f>_xll.ciqfunctions.udf.CIQ($A2, "IQ_GROSS_MARGIN", IQ_FY- 1,DateToday,)</f>
        <v>37.9223</v>
      </c>
      <c r="AS2" s="4">
        <f>_xll.ciqfunctions.udf.CIQ($A2, "IQ_GROSS_MARGIN", IQ_FY,DateToday,)</f>
        <v>37.617199999999997</v>
      </c>
      <c r="AT2" s="4">
        <f>_xll.ciqfunctions.udf.CIQ($A2, "IQ_GROSS_MARGIN", IQ_LTM,DateToday,)</f>
        <v>37.617199999999997</v>
      </c>
      <c r="AU2" s="4">
        <f>_xll.ciqfunctions.udf.CIQ($A2, "IQ_EBITDA_MARGIN", IQ_FY- 2,DateToday,)</f>
        <v>8.7270000000000003</v>
      </c>
      <c r="AV2" s="4">
        <f>_xll.ciqfunctions.udf.CIQ($A2, "IQ_EBITDA_MARGIN", IQ_FY- 1,DateToday,)</f>
        <v>12.6412</v>
      </c>
      <c r="AW2" s="4">
        <f>_xll.ciqfunctions.udf.CIQ($A2, "IQ_EBITDA_MARGIN", IQ_FY,DateToday,)</f>
        <v>13.5474</v>
      </c>
      <c r="AX2" s="4">
        <f>_xll.ciqfunctions.udf.CIQ($A2, "IQ_EBITDA_MARGIN", IQ_LTM,DateToday,)</f>
        <v>13.5474</v>
      </c>
      <c r="AY2" s="4">
        <f>_xll.ciqfunctions.udf.CIQ($A2, "IQ_NI_MARGIN", IQ_FY- 2,DateToday,)</f>
        <v>5.4180999999999999</v>
      </c>
      <c r="AZ2" s="4">
        <f>_xll.ciqfunctions.udf.CIQ($A2, "IQ_NI_MARGIN", IQ_FY- 1,DateToday,)</f>
        <v>8.8054000000000006</v>
      </c>
      <c r="BA2" s="4">
        <f>_xll.ciqfunctions.udf.CIQ($A2, "IQ_NI_MARGIN", IQ_FY,DateToday,)</f>
        <v>8.7277000000000005</v>
      </c>
      <c r="BB2" s="4">
        <f>_xll.ciqfunctions.udf.CIQ($A2, "IQ_NI_MARGIN", IQ_LTM,DateToday,)</f>
        <v>8.7277000000000005</v>
      </c>
      <c r="BC2" s="4">
        <f>_xll.ciqfunctions.udf.CIQ($A2, "IQ_TOTAL_REV_5YR_ANN_CAGR",IQ_LTM,DateToday,)</f>
        <v>28.796099999999999</v>
      </c>
      <c r="BD2" s="4">
        <f>_xll.ciqfunctions.udf.CIQ($A2, "IQ_TOTAL_REV_3YR_ANN_CAGR",IQ_LTM,DateToday,)</f>
        <v>28.009499999999999</v>
      </c>
      <c r="BE2" s="4">
        <f>_xll.ciqfunctions.udf.CIQ($A2, "IQ_TOTAL_REV_1YR_ANN_GROWTH", IQ_FY,DateToday,)</f>
        <v>25.257300000000001</v>
      </c>
      <c r="BF2" s="4">
        <f>_xll.ciqfunctions.udf.CIQ($A2, "IQ_TOTAL_REV_1YR_ANN_GROWTH",IQ_LTM,DateToday,)</f>
        <v>25.257300000000001</v>
      </c>
      <c r="BG2" s="4">
        <f>_xll.ciqfunctions.udf.CIQ($A2, "IQ_EBITDA_5YR_ANN_CAGR",IQ_LTM,DateToday,)</f>
        <v>47.416899999999998</v>
      </c>
      <c r="BH2" s="4">
        <f>_xll.ciqfunctions.udf.CIQ($A2, "IQ_EBITDA_3YR_ANN_CAGR",IQ_LTM,DateToday,)</f>
        <v>119.414</v>
      </c>
      <c r="BI2" s="4">
        <f>_xll.ciqfunctions.udf.CIQ($A2, "IQ_EBITDA_1YR_ANN_GROWTH", IQ_FY,DateToday,)</f>
        <v>34.235700000000001</v>
      </c>
      <c r="BJ2" s="4">
        <f>_xll.ciqfunctions.udf.CIQ($A2, "IQ_EBITDA_1YR_ANN_GROWTH",IQ_LTM,DateToday,)</f>
        <v>34.235700000000001</v>
      </c>
      <c r="BK2" s="4">
        <f>_xll.ciqfunctions.udf.CIQ($A2, "IQ_EPS_5YR_ANN_CAGR",IQ_LTM,DateToday,)</f>
        <v>39.765500000000003</v>
      </c>
      <c r="BL2" s="4">
        <f>_xll.ciqfunctions.udf.CIQ($A2, "IQ_EPS_3YR_ANN_CAGR",IQ_LTM,DateToday,)</f>
        <v>263.42399999999998</v>
      </c>
      <c r="BM2" s="4">
        <f>_xll.ciqfunctions.udf.CIQ($A2, "IQ_EPS_1YR_ANN_GROWTH", IQ_FY,DateToday,)</f>
        <v>22.033899999999999</v>
      </c>
      <c r="BN2" s="4">
        <f>_xll.ciqfunctions.udf.CIQ($A2, "IQ_EPS_1YR_ANN_GROWTH", IQ_LTM,DateToday,)</f>
        <v>22.033899999999999</v>
      </c>
      <c r="BO2" s="20">
        <f>_xll.ciqfunctions.udf.CIQ($A2, "IQ_TOTAL_DEBT_EBITDA",IQ_LTM,DateToday,)</f>
        <v>0.13699</v>
      </c>
      <c r="BP2" s="20" t="str">
        <f>_xll.ciqfunctions.udf.CIQ($A2, "IQ_NET_DEBT_EBITDA",IQ_LTM,DateToday,)</f>
        <v>NM</v>
      </c>
      <c r="BQ2" s="38">
        <f t="shared" ref="BQ2:BQ10" si="5">IF(ISERROR((M2+N2)/V2), "NA", (M2+N2)/V2)</f>
        <v>0.5199105797735335</v>
      </c>
      <c r="BR2" s="20">
        <f>_xll.ciqfunctions.udf.CIQ($A2, "IQ_EBITDA_INT",IQ_LTM,DateToday,)</f>
        <v>446.75972999999999</v>
      </c>
      <c r="BS2" s="20">
        <f>_xll.ciqfunctions.udf.CIQ($A2, "IQ_EBITDA_CAPEX_INT",IQ_LTM,DateToday,)</f>
        <v>352.99542000000002</v>
      </c>
      <c r="BT2" s="4">
        <f>_xll.ciqfunctions.udf.CIQ($A2, "IQ_TOTAL_DEBT_EQUITY",IQ_FQ,DateToday,)</f>
        <v>15.228300000000001</v>
      </c>
      <c r="BU2" s="4">
        <f>_xll.ciqfunctions.udf.CIQ($A2, "IQ_TOTAL_DEBT_CAPITAL",IQ_FQ,DateToday,)</f>
        <v>13.2157</v>
      </c>
      <c r="BV2" s="4">
        <f>_xll.ciqfunctions.udf.CIQ($A2, "IQ_RETURN_EQUITY",IQ_LTM,DateToday)</f>
        <v>21.361899999999999</v>
      </c>
      <c r="BW2" s="4">
        <f>_xll.ciqfunctions.udf.CIQ($A2, "IQ_RETURN_ASSETS",IQ_LTM,DateToday)</f>
        <v>12.580500000000001</v>
      </c>
      <c r="BX2" s="4">
        <f>_xll.ciqfunctions.udf.CIQ($A2, "IQ_RETURN_INVESTED_CAPITAL",IQ_LTM,DateToday)</f>
        <v>19.1355</v>
      </c>
      <c r="BY2" s="20">
        <f>_xll.ciqfunctions.udf.CIQ($A2, "IQ_CURRENT_RATIO",IQ_FQ,DateToday,)</f>
        <v>2.1595200000000001</v>
      </c>
      <c r="BZ2" s="20">
        <f>_xll.ciqfunctions.udf.CIQ($A2, "IQ_QUICK_RATIO",IQ_FQ,DateToday,)</f>
        <v>1.52769</v>
      </c>
      <c r="CA2" s="4">
        <f>_xll.ciqfunctions.udf.CIQ($A2, "IQ_DAYS_SALES_OUT",IQ_LTM,DateToday,)</f>
        <v>29.282710000000002</v>
      </c>
      <c r="CB2" s="4">
        <f>_xll.ciqfunctions.udf.CIQ($A2, "IQ_DAYS_INVENTORY_OUT",IQ_LTM,DateToday,)</f>
        <v>34.636060000000001</v>
      </c>
      <c r="CC2" s="4">
        <f>_xll.ciqfunctions.udf.CIQ($A2, "IQ_DAYS_PAYABLE_OUT",IQ_LTM,DateToday,)</f>
        <v>33.019170000000003</v>
      </c>
      <c r="CD2" s="4">
        <f>_xll.ciqfunctions.udf.CIQ($A2, "IQ_CASH_CONVERSION",IQ_LTM,DateToday,)</f>
        <v>30.8996</v>
      </c>
      <c r="CE2" s="20">
        <f>_xll.ciqfunctions.udf.CIQ($A2, "IQ_ASSET_TURNS",IQ_LTM,DateToday,)</f>
        <v>1.7298</v>
      </c>
      <c r="CF2" s="20">
        <f>_xll.ciqfunctions.udf.CIQ($A2, "IQ_FIXED_ASSET_TURNS",IQ_LTM,DateToday,)</f>
        <v>4.4009299999999998</v>
      </c>
      <c r="CG2" s="20">
        <f>_xll.ciqfunctions.udf.CIQ($A2, "IQ_AR_TURNS",IQ_LTM,DateToday,)</f>
        <v>12.430440000000001</v>
      </c>
      <c r="CH2" s="20">
        <f>_xll.ciqfunctions.udf.CIQ($A2, "IQ_INVENTORY_TURNS",IQ_LTM,DateToday,)</f>
        <v>10.50924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</row>
    <row r="3" spans="1:168" s="1" customFormat="1" x14ac:dyDescent="0.2">
      <c r="A3" s="36" t="str">
        <f>_xll.ciqfunctions.udf.CIQ($A$10,"IQ_QUICK_COMP",2)</f>
        <v>NYSE:POST</v>
      </c>
      <c r="B3" s="36" t="str">
        <f>_xll.ciqfunctions.udf.CIQ($A3, "IQ_COMPANY_NAME")</f>
        <v>Post Holdings, Inc.</v>
      </c>
      <c r="C3" s="13">
        <f>_xll.ciqfunctions.udf.CIQ($A3,"IQ_PERIODDATE",IQ_FY,DateToday)</f>
        <v>45930</v>
      </c>
      <c r="D3" s="13">
        <f>_xll.ciqfunctions.udf.CIQ($A3,"IQ_PERIODDATE",IQ_LTM,DateToday)</f>
        <v>46022</v>
      </c>
      <c r="E3" s="11">
        <f>_xll.ciqfunctions.udf.CIQ($A3, "IQ_LASTSALEPRICE",DateToday,Ccy,Conv)</f>
        <v>95.7</v>
      </c>
      <c r="F3" s="11">
        <f>_xll.ciqfunctions.udf.CIQ($A3, "IQ_YEARHIGH",DateToday,Ccy,Conv)</f>
        <v>119.85</v>
      </c>
      <c r="G3" s="11">
        <f>_xll.ciqfunctions.udf.CIQ($A3, "IQ_YEARLOW",DateToday,Ccy,Conv)</f>
        <v>94.13</v>
      </c>
      <c r="H3" s="37">
        <f t="shared" si="0"/>
        <v>0.79849812265331666</v>
      </c>
      <c r="I3" s="37">
        <f t="shared" si="1"/>
        <v>1.0166790608732605</v>
      </c>
      <c r="J3" s="4">
        <f>_xll.ciqfunctions.udf.CIQ($A3, "IQ_SHARESOUTSTANDING",DateToday)</f>
        <v>47.824219999999997</v>
      </c>
      <c r="K3" s="22">
        <f t="shared" si="2"/>
        <v>4576.7778539999999</v>
      </c>
      <c r="L3" s="4">
        <f>_xll.ciqfunctions.udf.CIQ($A3, "IQ_CASH_ST_INVEST",IQ_FQ,DateToday,,"F",Ccy,Conv)</f>
        <v>279.3</v>
      </c>
      <c r="M3" s="4">
        <f>_xll.ciqfunctions.udf.CIQ($A3, "IQ_TOTAL_DEBT",IQ_FQ,DateToday,,"F",Ccy,Conv)</f>
        <v>7462.3</v>
      </c>
      <c r="N3" s="4">
        <f>_xll.ciqfunctions.udf.CIQ($A3, "IQ_PREF_EQUITY",IQ_FQ,DateToday,,"F",Ccy,Conv)</f>
        <v>0</v>
      </c>
      <c r="O3" s="4">
        <f>_xll.ciqfunctions.udf.CIQ($A3, "IQ_MINORITY_INTEREST_TOTAL",IQ_FQ,DateToday,,"F",Ccy,Conv)</f>
        <v>10.9</v>
      </c>
      <c r="P3" s="22">
        <f t="shared" ref="P3:P10" si="6">IF(ISERROR(K3-L3+M3+N3+O3), "NA",K3-L3+M3+N3+O3)</f>
        <v>11770.677854</v>
      </c>
      <c r="Q3" s="4">
        <f>_xll.ciqfunctions.udf.CIQ($A3, "IQ_TOTAL_REV", IQ_FY,DateToday,,,Ccy,Conv)</f>
        <v>8158.1</v>
      </c>
      <c r="R3" s="4">
        <f>_xll.ciqfunctions.udf.CIQ($A3, "IQ_TOTAL_REV", IQ_LTM,DateToday,,,Ccy,Conv)</f>
        <v>8358</v>
      </c>
      <c r="S3" s="4">
        <f>_xll.ciqfunctions.udf.CIQ($A3, "IQ_REVENUE_EST", IQ_CY+ 1,DateToday,,,Ccy,Conv)</f>
        <v>8325.2167000000009</v>
      </c>
      <c r="T3" s="4">
        <f>_xll.ciqfunctions.udf.CIQ($A3, "IQ_REVENUE_EST", IQ_CY+ 2,DateToday,,,Ccy,Conv)</f>
        <v>8392.7857000000004</v>
      </c>
      <c r="U3" s="4">
        <f>_xll.ciqfunctions.udf.CIQ($A3, "IQ_EBITDA", IQ_FY,DateToday,,,Ccy,Conv)</f>
        <v>1375.9</v>
      </c>
      <c r="V3" s="4">
        <f>_xll.ciqfunctions.udf.CIQ($A3, "IQ_EBITDA", IQ_LTM,DateToday,,,Ccy,Conv)</f>
        <v>1422.7</v>
      </c>
      <c r="W3" s="4">
        <f>_xll.ciqfunctions.udf.CIQ($A3, "IQ_EBITDA_EST", IQ_CY+ 1,DateToday,,,Ccy,Conv)</f>
        <v>1549.8082999999999</v>
      </c>
      <c r="X3" s="4">
        <f>_xll.ciqfunctions.udf.CIQ($A3, "IQ_EBITDA_EST", IQ_CY+ 2,DateToday,,,Ccy,Conv)</f>
        <v>1586.4749999999999</v>
      </c>
      <c r="Y3" s="11">
        <f>_xll.ciqfunctions.udf.CIQ($A3, "IQ_DILUT_EPS_EXCL", IQ_FY,DateToday,,,Ccy,Conv)</f>
        <v>5.5103299999999997</v>
      </c>
      <c r="Z3" s="11">
        <f>_xll.ciqfunctions.udf.CIQ($A3, "IQ_DILUT_EPS_EXCL", IQ_LTM,DateToday,,,Ccy,Conv)</f>
        <v>5.3982000000000001</v>
      </c>
      <c r="AA3" s="11">
        <f>_xll.ciqfunctions.udf.CIQ($A3, "IQ_EPS_EST", IQ_CY+ 1,DateToday,,,Ccy,Conv)</f>
        <v>7.4398</v>
      </c>
      <c r="AB3" s="11">
        <f>_xll.ciqfunctions.udf.CIQ($A3, "IQ_EPS_EST", IQ_CY+ 2,DateToday,,,Ccy,Conv)</f>
        <v>8.6042000000000005</v>
      </c>
      <c r="AC3" s="20">
        <f>_xll.ciqfunctions.udf.CIQ($A3, "IQ_TEV_TOTAL_REV",IQ_LTM,#REF!)</f>
        <v>1.40831</v>
      </c>
      <c r="AD3" s="20">
        <f>_xll.ciqfunctions.udf.CIQ($A3, "IQ_TEV_TOTAL_REV",IQ_LTM,DateToday)</f>
        <v>1.40831</v>
      </c>
      <c r="AE3" s="38">
        <f t="shared" si="3"/>
        <v>1.4138584349401979</v>
      </c>
      <c r="AF3" s="38">
        <f t="shared" si="4"/>
        <v>1.4024756826568321</v>
      </c>
      <c r="AG3" s="20">
        <f>_xll.ciqfunctions.udf.CIQ($A3, "IQ_TEV_EBITDA",IQ_LTM,#REF!)</f>
        <v>7.7658399999999999</v>
      </c>
      <c r="AH3" s="20">
        <f>_xll.ciqfunctions.udf.CIQ($A3, "IQ_TEV_EBITDA",IQ_LTM,DateToday)</f>
        <v>7.7658399999999999</v>
      </c>
      <c r="AI3" s="20">
        <f>_xll.ciqfunctions.udf.CIQ($A3, "IQ_TEV_EBITDA_FWD",IQ_CY+1,DateToday)</f>
        <v>7.5949200000000001</v>
      </c>
      <c r="AJ3" s="20">
        <f>_xll.ciqfunctions.udf.CIQ($A3, "IQ_TEV_EBITDA_FWD",IQ_CY+2,DateToday)</f>
        <v>7.4193899999999999</v>
      </c>
      <c r="AK3" s="20">
        <f>_xll.ciqfunctions.udf.CIQ($A3, "IQ_PE_EXCL",IQ_LTM,#REF!)</f>
        <v>17.72813</v>
      </c>
      <c r="AL3" s="20">
        <f>_xll.ciqfunctions.udf.CIQ($A3, "IQ_PE_EXCL",IQ_LTM,DateToday)</f>
        <v>17.72813</v>
      </c>
      <c r="AM3" s="20">
        <f>_xll.ciqfunctions.udf.CIQ($A3, "IQ_PE_EXCL_FWD",IQ_CY+1,DateToday)</f>
        <v>12.863250000000001</v>
      </c>
      <c r="AN3" s="20">
        <f>_xll.ciqfunctions.udf.CIQ($A3, "IQ_PE_EXCL_FWD",IQ_CY+2,DateToday)</f>
        <v>11.122479999999999</v>
      </c>
      <c r="AO3" s="20">
        <f>_xll.ciqfunctions.udf.CIQ($A3, "IQ_PBV",IQ_LTM,DateToday,)</f>
        <v>1.32751</v>
      </c>
      <c r="AP3" s="20" t="str">
        <f>_xll.ciqfunctions.udf.CIQ($A3, "IQ_PTBV",IQ_LTM,DateToday,)</f>
        <v>NM</v>
      </c>
      <c r="AQ3" s="4">
        <f>_xll.ciqfunctions.udf.CIQ($A3, "IQ_GROSS_MARGIN", IQ_FY- 2,DateToday,)</f>
        <v>26.916</v>
      </c>
      <c r="AR3" s="4">
        <f>_xll.ciqfunctions.udf.CIQ($A3, "IQ_GROSS_MARGIN", IQ_FY- 1,DateToday,)</f>
        <v>29.092300000000002</v>
      </c>
      <c r="AS3" s="4">
        <f>_xll.ciqfunctions.udf.CIQ($A3, "IQ_GROSS_MARGIN", IQ_FY,DateToday,)</f>
        <v>28.675699999999999</v>
      </c>
      <c r="AT3" s="4">
        <f>_xll.ciqfunctions.udf.CIQ($A3, "IQ_GROSS_MARGIN", IQ_LTM,DateToday,)</f>
        <v>28.506799999999998</v>
      </c>
      <c r="AU3" s="4">
        <f>_xll.ciqfunctions.udf.CIQ($A3, "IQ_EBITDA_MARGIN", IQ_FY- 2,DateToday,)</f>
        <v>15.269600000000001</v>
      </c>
      <c r="AV3" s="4">
        <f>_xll.ciqfunctions.udf.CIQ($A3, "IQ_EBITDA_MARGIN", IQ_FY- 1,DateToday,)</f>
        <v>16.330200000000001</v>
      </c>
      <c r="AW3" s="4">
        <f>_xll.ciqfunctions.udf.CIQ($A3, "IQ_EBITDA_MARGIN", IQ_FY,DateToday,)</f>
        <v>16.865400000000001</v>
      </c>
      <c r="AX3" s="4">
        <f>_xll.ciqfunctions.udf.CIQ($A3, "IQ_EBITDA_MARGIN", IQ_LTM,DateToday,)</f>
        <v>17.021999999999998</v>
      </c>
      <c r="AY3" s="4">
        <f>_xll.ciqfunctions.udf.CIQ($A3, "IQ_NI_MARGIN", IQ_FY- 2,DateToday,)</f>
        <v>4.3098000000000001</v>
      </c>
      <c r="AZ3" s="4">
        <f>_xll.ciqfunctions.udf.CIQ($A3, "IQ_NI_MARGIN", IQ_FY- 1,DateToday,)</f>
        <v>4.6284000000000001</v>
      </c>
      <c r="BA3" s="4">
        <f>_xll.ciqfunctions.udf.CIQ($A3, "IQ_NI_MARGIN", IQ_FY,DateToday,)</f>
        <v>4.1148999999999996</v>
      </c>
      <c r="BB3" s="4">
        <f>_xll.ciqfunctions.udf.CIQ($A3, "IQ_NI_MARGIN", IQ_LTM,DateToday,)</f>
        <v>3.819</v>
      </c>
      <c r="BC3" s="4">
        <f>_xll.ciqfunctions.udf.CIQ($A3, "IQ_TOTAL_REV_5YR_ANN_CAGR",IQ_LTM,DateToday,)</f>
        <v>9.0579999999999998</v>
      </c>
      <c r="BD3" s="4">
        <f>_xll.ciqfunctions.udf.CIQ($A3, "IQ_TOTAL_REV_3YR_ANN_CAGR",IQ_LTM,DateToday,)</f>
        <v>11.190099999999999</v>
      </c>
      <c r="BE3" s="4">
        <f>_xll.ciqfunctions.udf.CIQ($A3, "IQ_TOTAL_REV_1YR_ANN_GROWTH", IQ_FY,DateToday,)</f>
        <v>2.9712000000000001</v>
      </c>
      <c r="BF3" s="4">
        <f>_xll.ciqfunctions.udf.CIQ($A3, "IQ_TOTAL_REV_1YR_ANN_GROWTH",IQ_LTM,DateToday,)</f>
        <v>5.3772000000000002</v>
      </c>
      <c r="BG3" s="4">
        <f>_xll.ciqfunctions.udf.CIQ($A3, "IQ_EBITDA_5YR_ANN_CAGR",IQ_LTM,DateToday,)</f>
        <v>7.4348999999999998</v>
      </c>
      <c r="BH3" s="4">
        <f>_xll.ciqfunctions.udf.CIQ($A3, "IQ_EBITDA_3YR_ANN_CAGR",IQ_LTM,DateToday,)</f>
        <v>16.568200000000001</v>
      </c>
      <c r="BI3" s="4">
        <f>_xll.ciqfunctions.udf.CIQ($A3, "IQ_EBITDA_1YR_ANN_GROWTH", IQ_FY,DateToday,)</f>
        <v>6.3456000000000001</v>
      </c>
      <c r="BJ3" s="4">
        <f>_xll.ciqfunctions.udf.CIQ($A3, "IQ_EBITDA_1YR_ANN_GROWTH",IQ_LTM,DateToday,)</f>
        <v>8.9522999999999993</v>
      </c>
      <c r="BK3" s="4" t="str">
        <f>_xll.ciqfunctions.udf.CIQ($A3, "IQ_EPS_5YR_ANN_CAGR",IQ_LTM,DateToday,)</f>
        <v>NM</v>
      </c>
      <c r="BL3" s="4">
        <f>_xll.ciqfunctions.udf.CIQ($A3, "IQ_EPS_3YR_ANN_CAGR",IQ_LTM,DateToday,)</f>
        <v>-26.869700000000002</v>
      </c>
      <c r="BM3" s="4">
        <f>_xll.ciqfunctions.udf.CIQ($A3, "IQ_EPS_1YR_ANN_GROWTH", IQ_FY,DateToday,)</f>
        <v>-2.3725999999999998</v>
      </c>
      <c r="BN3" s="4">
        <f>_xll.ciqfunctions.udf.CIQ($A3, "IQ_EPS_1YR_ANN_GROWTH", IQ_LTM,DateToday,)</f>
        <v>-11.0463</v>
      </c>
      <c r="BO3" s="20">
        <f>_xll.ciqfunctions.udf.CIQ($A3, "IQ_TOTAL_DEBT_EBITDA",IQ_LTM,DateToday,)</f>
        <v>4.9256099999999998</v>
      </c>
      <c r="BP3" s="20">
        <f>_xll.ciqfunctions.udf.CIQ($A3, "IQ_NET_DEBT_EBITDA",IQ_LTM,DateToday,)</f>
        <v>4.74125</v>
      </c>
      <c r="BQ3" s="39">
        <f t="shared" si="5"/>
        <v>5.2451676389962749</v>
      </c>
      <c r="BR3" s="20">
        <f>_xll.ciqfunctions.udf.CIQ($A3, "IQ_EBITDA_INT",IQ_LTM,DateToday,)</f>
        <v>4.0529700000000002</v>
      </c>
      <c r="BS3" s="20">
        <f>_xll.ciqfunctions.udf.CIQ($A3, "IQ_EBITDA_CAPEX_INT",IQ_LTM,DateToday,)</f>
        <v>2.7485300000000001</v>
      </c>
      <c r="BT3" s="4">
        <f>_xll.ciqfunctions.udf.CIQ($A3, "IQ_TOTAL_DEBT_EQUITY",IQ_FQ,DateToday,)</f>
        <v>215.1696</v>
      </c>
      <c r="BU3" s="4">
        <f>_xll.ciqfunctions.udf.CIQ($A3, "IQ_TOTAL_DEBT_CAPITAL",IQ_FQ,DateToday,)</f>
        <v>68.271000000000001</v>
      </c>
      <c r="BV3" s="4">
        <f>_xll.ciqfunctions.udf.CIQ($A3, "IQ_RETURN_EQUITY",IQ_LTM,DateToday)</f>
        <v>8.6720000000000006</v>
      </c>
      <c r="BW3" s="4">
        <f>_xll.ciqfunctions.udf.CIQ($A3, "IQ_RETURN_ASSETS",IQ_LTM,DateToday)</f>
        <v>4.1959999999999997</v>
      </c>
      <c r="BX3" s="4">
        <f>_xll.ciqfunctions.udf.CIQ($A3, "IQ_RETURN_INVESTED_CAPITAL",IQ_LTM,DateToday)</f>
        <v>2.9319000000000002</v>
      </c>
      <c r="BY3" s="20">
        <f>_xll.ciqfunctions.udf.CIQ($A3, "IQ_CURRENT_RATIO",IQ_FQ,DateToday,)</f>
        <v>1.89699</v>
      </c>
      <c r="BZ3" s="20">
        <f>_xll.ciqfunctions.udf.CIQ($A3, "IQ_QUICK_RATIO",IQ_FQ,DateToday,)</f>
        <v>0.92325000000000002</v>
      </c>
      <c r="CA3" s="4">
        <f>_xll.ciqfunctions.udf.CIQ($A3, "IQ_DAYS_SALES_OUT",IQ_LTM,DateToday,)</f>
        <v>28.001339999999999</v>
      </c>
      <c r="CB3" s="4">
        <f>_xll.ciqfunctions.udf.CIQ($A3, "IQ_DAYS_INVENTORY_OUT",IQ_LTM,DateToday,)</f>
        <v>50.336060000000003</v>
      </c>
      <c r="CC3" s="4">
        <f>_xll.ciqfunctions.udf.CIQ($A3, "IQ_DAYS_PAYABLE_OUT",IQ_LTM,DateToday,)</f>
        <v>33.93515</v>
      </c>
      <c r="CD3" s="4">
        <f>_xll.ciqfunctions.udf.CIQ($A3, "IQ_CASH_CONVERSION",IQ_LTM,DateToday,)</f>
        <v>44.402250000000002</v>
      </c>
      <c r="CE3" s="20">
        <f>_xll.ciqfunctions.udf.CIQ($A3, "IQ_ASSET_TURNS",IQ_LTM,DateToday,)</f>
        <v>0.64781</v>
      </c>
      <c r="CF3" s="20">
        <f>_xll.ciqfunctions.udf.CIQ($A3, "IQ_FIXED_ASSET_TURNS",IQ_LTM,DateToday,)</f>
        <v>3.35494</v>
      </c>
      <c r="CG3" s="20">
        <f>_xll.ciqfunctions.udf.CIQ($A3, "IQ_AR_TURNS",IQ_LTM,DateToday,)</f>
        <v>13.034929999999999</v>
      </c>
      <c r="CH3" s="20">
        <f>_xll.ciqfunctions.udf.CIQ($A3, "IQ_INVENTORY_TURNS",IQ_LTM,DateToday,)</f>
        <v>7.2512600000000003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</row>
    <row r="4" spans="1:168" s="1" customFormat="1" x14ac:dyDescent="0.2">
      <c r="A4" s="36" t="str">
        <f>_xll.ciqfunctions.udf.CIQ($A$10,"IQ_QUICK_COMP",3)</f>
        <v>NasdaqGS:KHC</v>
      </c>
      <c r="B4" s="36" t="str">
        <f>_xll.ciqfunctions.udf.CIQ($A4, "IQ_COMPANY_NAME")</f>
        <v>The Kraft Heinz Company</v>
      </c>
      <c r="C4" s="13">
        <f>_xll.ciqfunctions.udf.CIQ($A4,"IQ_PERIODDATE",IQ_FY,DateToday)</f>
        <v>46018</v>
      </c>
      <c r="D4" s="13">
        <f>_xll.ciqfunctions.udf.CIQ($A4,"IQ_PERIODDATE",IQ_LTM,DateToday)</f>
        <v>46018</v>
      </c>
      <c r="E4" s="11">
        <f>_xll.ciqfunctions.udf.CIQ($A4, "IQ_LASTSALEPRICE",DateToday,Ccy,Conv)</f>
        <v>22.04</v>
      </c>
      <c r="F4" s="11">
        <f>_xll.ciqfunctions.udf.CIQ($A4, "IQ_YEARHIGH",DateToday,Ccy,Conv)</f>
        <v>31.15</v>
      </c>
      <c r="G4" s="11">
        <f>_xll.ciqfunctions.udf.CIQ($A4, "IQ_YEARLOW",DateToday,Ccy,Conv)</f>
        <v>21.035</v>
      </c>
      <c r="H4" s="37">
        <f t="shared" si="0"/>
        <v>0.70754414125200638</v>
      </c>
      <c r="I4" s="37">
        <f t="shared" si="1"/>
        <v>1.0477775136676966</v>
      </c>
      <c r="J4" s="4">
        <f>_xll.ciqfunctions.udf.CIQ($A4, "IQ_SHARESOUTSTANDING",DateToday)</f>
        <v>1183.7447500000001</v>
      </c>
      <c r="K4" s="22">
        <f t="shared" si="2"/>
        <v>26089.73429</v>
      </c>
      <c r="L4" s="4">
        <f>_xll.ciqfunctions.udf.CIQ($A4, "IQ_CASH_ST_INVEST",IQ_FQ,DateToday,,"F",Ccy,Conv)</f>
        <v>3675</v>
      </c>
      <c r="M4" s="4">
        <f>_xll.ciqfunctions.udf.CIQ($A4, "IQ_TOTAL_DEBT",IQ_FQ,DateToday,,"F",Ccy,Conv)</f>
        <v>21772</v>
      </c>
      <c r="N4" s="4">
        <f>_xll.ciqfunctions.udf.CIQ($A4, "IQ_PREF_EQUITY",IQ_FQ,DateToday,,"F",Ccy,Conv)</f>
        <v>0</v>
      </c>
      <c r="O4" s="4">
        <f>_xll.ciqfunctions.udf.CIQ($A4, "IQ_MINORITY_INTEREST_TOTAL",IQ_FQ,DateToday,,"F",Ccy,Conv)</f>
        <v>125</v>
      </c>
      <c r="P4" s="22">
        <f t="shared" si="6"/>
        <v>44311.73429</v>
      </c>
      <c r="Q4" s="4">
        <f>_xll.ciqfunctions.udf.CIQ($A4, "IQ_TOTAL_REV", IQ_FY,DateToday,,,Ccy,Conv)</f>
        <v>24942</v>
      </c>
      <c r="R4" s="4">
        <f>_xll.ciqfunctions.udf.CIQ($A4, "IQ_TOTAL_REV", IQ_LTM,DateToday,,,Ccy,Conv)</f>
        <v>24942</v>
      </c>
      <c r="S4" s="4">
        <f>_xll.ciqfunctions.udf.CIQ($A4, "IQ_REVENUE_EST", IQ_CY+ 1,DateToday,,,Ccy,Conv)</f>
        <v>24461.681489999999</v>
      </c>
      <c r="T4" s="4">
        <f>_xll.ciqfunctions.udf.CIQ($A4, "IQ_REVENUE_EST", IQ_CY+ 2,DateToday,,,Ccy,Conv)</f>
        <v>24617.705279999998</v>
      </c>
      <c r="U4" s="4">
        <f>_xll.ciqfunctions.udf.CIQ($A4, "IQ_EBITDA", IQ_FY,DateToday,,,Ccy,Conv)</f>
        <v>5727</v>
      </c>
      <c r="V4" s="4">
        <f>_xll.ciqfunctions.udf.CIQ($A4, "IQ_EBITDA", IQ_LTM,DateToday,,,Ccy,Conv)</f>
        <v>5727</v>
      </c>
      <c r="W4" s="4">
        <f>_xll.ciqfunctions.udf.CIQ($A4, "IQ_EBITDA_EST", IQ_CY+ 1,DateToday,,,Ccy,Conv)</f>
        <v>5022.4657200000001</v>
      </c>
      <c r="X4" s="4">
        <f>_xll.ciqfunctions.udf.CIQ($A4, "IQ_EBITDA_EST", IQ_CY+ 2,DateToday,,,Ccy,Conv)</f>
        <v>5156.0611200000003</v>
      </c>
      <c r="Y4" s="11">
        <f>_xll.ciqfunctions.udf.CIQ($A4, "IQ_DILUT_EPS_EXCL", IQ_FY,DateToday,,,Ccy,Conv)</f>
        <v>-4.93</v>
      </c>
      <c r="Z4" s="11">
        <f>_xll.ciqfunctions.udf.CIQ($A4, "IQ_DILUT_EPS_EXCL", IQ_LTM,DateToday,,,Ccy,Conv)</f>
        <v>-4.93</v>
      </c>
      <c r="AA4" s="11">
        <f>_xll.ciqfunctions.udf.CIQ($A4, "IQ_EPS_EST", IQ_CY+ 1,DateToday,,,Ccy,Conv)</f>
        <v>2.0350999999999999</v>
      </c>
      <c r="AB4" s="11">
        <f>_xll.ciqfunctions.udf.CIQ($A4, "IQ_EPS_EST", IQ_CY+ 2,DateToday,,,Ccy,Conv)</f>
        <v>2.1415099999999998</v>
      </c>
      <c r="AC4" s="20">
        <f>_xll.ciqfunctions.udf.CIQ($A4, "IQ_TEV_TOTAL_REV",IQ_LTM,#REF!)</f>
        <v>1.7765899999999999</v>
      </c>
      <c r="AD4" s="20">
        <f>_xll.ciqfunctions.udf.CIQ($A4, "IQ_TEV_TOTAL_REV",IQ_LTM,DateToday)</f>
        <v>1.7765899999999999</v>
      </c>
      <c r="AE4" s="38">
        <f t="shared" si="3"/>
        <v>1.8114754011540357</v>
      </c>
      <c r="AF4" s="38">
        <f t="shared" si="4"/>
        <v>1.7999945074490713</v>
      </c>
      <c r="AG4" s="20">
        <f>_xll.ciqfunctions.udf.CIQ($A4, "IQ_TEV_EBITDA",IQ_LTM,#REF!)</f>
        <v>7.08195</v>
      </c>
      <c r="AH4" s="20">
        <f>_xll.ciqfunctions.udf.CIQ($A4, "IQ_TEV_EBITDA",IQ_LTM,DateToday)</f>
        <v>7.08195</v>
      </c>
      <c r="AI4" s="20">
        <f>_xll.ciqfunctions.udf.CIQ($A4, "IQ_TEV_EBITDA_FWD",IQ_CY+1,DateToday)</f>
        <v>8.8227100000000007</v>
      </c>
      <c r="AJ4" s="20">
        <f>_xll.ciqfunctions.udf.CIQ($A4, "IQ_TEV_EBITDA_FWD",IQ_CY+2,DateToday)</f>
        <v>8.5941100000000006</v>
      </c>
      <c r="AK4" s="20" t="str">
        <f>_xll.ciqfunctions.udf.CIQ($A4, "IQ_PE_EXCL",IQ_LTM,#REF!)</f>
        <v>NM</v>
      </c>
      <c r="AL4" s="20" t="str">
        <f>_xll.ciqfunctions.udf.CIQ($A4, "IQ_PE_EXCL",IQ_LTM,DateToday)</f>
        <v>NM</v>
      </c>
      <c r="AM4" s="20">
        <f>_xll.ciqfunctions.udf.CIQ($A4, "IQ_PE_EXCL_FWD",IQ_CY+1,DateToday)</f>
        <v>10.829929999999999</v>
      </c>
      <c r="AN4" s="20">
        <f>_xll.ciqfunctions.udf.CIQ($A4, "IQ_PE_EXCL_FWD",IQ_CY+2,DateToday)</f>
        <v>10.2918</v>
      </c>
      <c r="AO4" s="20">
        <f>_xll.ciqfunctions.udf.CIQ($A4, "IQ_PBV",IQ_LTM,DateToday,)</f>
        <v>0.62633000000000005</v>
      </c>
      <c r="AP4" s="20" t="str">
        <f>_xll.ciqfunctions.udf.CIQ($A4, "IQ_PTBV",IQ_LTM,DateToday,)</f>
        <v>NM</v>
      </c>
      <c r="AQ4" s="4">
        <f>_xll.ciqfunctions.udf.CIQ($A4, "IQ_GROSS_MARGIN", IQ_FY- 2,DateToday,)</f>
        <v>33.719900000000003</v>
      </c>
      <c r="AR4" s="4">
        <f>_xll.ciqfunctions.udf.CIQ($A4, "IQ_GROSS_MARGIN", IQ_FY- 1,DateToday,)</f>
        <v>34.728700000000003</v>
      </c>
      <c r="AS4" s="4">
        <f>_xll.ciqfunctions.udf.CIQ($A4, "IQ_GROSS_MARGIN", IQ_FY,DateToday,)</f>
        <v>33.3172</v>
      </c>
      <c r="AT4" s="4">
        <f>_xll.ciqfunctions.udf.CIQ($A4, "IQ_GROSS_MARGIN", IQ_LTM,DateToday,)</f>
        <v>33.3172</v>
      </c>
      <c r="AU4" s="4">
        <f>_xll.ciqfunctions.udf.CIQ($A4, "IQ_EBITDA_MARGIN", IQ_FY- 2,DateToday,)</f>
        <v>23.2807</v>
      </c>
      <c r="AV4" s="4">
        <f>_xll.ciqfunctions.udf.CIQ($A4, "IQ_EBITDA_MARGIN", IQ_FY- 1,DateToday,)</f>
        <v>25.0212</v>
      </c>
      <c r="AW4" s="4">
        <f>_xll.ciqfunctions.udf.CIQ($A4, "IQ_EBITDA_MARGIN", IQ_FY,DateToday,)</f>
        <v>22.961200000000002</v>
      </c>
      <c r="AX4" s="4">
        <f>_xll.ciqfunctions.udf.CIQ($A4, "IQ_EBITDA_MARGIN", IQ_LTM,DateToday,)</f>
        <v>22.961200000000002</v>
      </c>
      <c r="AY4" s="4">
        <f>_xll.ciqfunctions.udf.CIQ($A4, "IQ_NI_MARGIN", IQ_FY- 2,DateToday,)</f>
        <v>10.716900000000001</v>
      </c>
      <c r="AZ4" s="4">
        <f>_xll.ciqfunctions.udf.CIQ($A4, "IQ_NI_MARGIN", IQ_FY- 1,DateToday,)</f>
        <v>10.6167</v>
      </c>
      <c r="BA4" s="4">
        <f>_xll.ciqfunctions.udf.CIQ($A4, "IQ_NI_MARGIN", IQ_FY,DateToday,)</f>
        <v>-23.438300000000002</v>
      </c>
      <c r="BB4" s="4">
        <f>_xll.ciqfunctions.udf.CIQ($A4, "IQ_NI_MARGIN", IQ_LTM,DateToday,)</f>
        <v>-23.438300000000002</v>
      </c>
      <c r="BC4" s="4">
        <f>_xll.ciqfunctions.udf.CIQ($A4, "IQ_TOTAL_REV_5YR_ANN_CAGR",IQ_LTM,DateToday,)</f>
        <v>-0.96799999999999997</v>
      </c>
      <c r="BD4" s="4">
        <f>_xll.ciqfunctions.udf.CIQ($A4, "IQ_TOTAL_REV_3YR_ANN_CAGR",IQ_LTM,DateToday,)</f>
        <v>-1.9810000000000001</v>
      </c>
      <c r="BE4" s="4">
        <f>_xll.ciqfunctions.udf.CIQ($A4, "IQ_TOTAL_REV_1YR_ANN_GROWTH", IQ_FY,DateToday,)</f>
        <v>-3.4977</v>
      </c>
      <c r="BF4" s="4">
        <f>_xll.ciqfunctions.udf.CIQ($A4, "IQ_TOTAL_REV_1YR_ANN_GROWTH",IQ_LTM,DateToday,)</f>
        <v>-3.4977</v>
      </c>
      <c r="BG4" s="4">
        <f>_xll.ciqfunctions.udf.CIQ($A4, "IQ_EBITDA_5YR_ANN_CAGR",IQ_LTM,DateToday,)</f>
        <v>-3.4952000000000001</v>
      </c>
      <c r="BH4" s="4">
        <f>_xll.ciqfunctions.udf.CIQ($A4, "IQ_EBITDA_3YR_ANN_CAGR",IQ_LTM,DateToday,)</f>
        <v>-1.5347999999999999</v>
      </c>
      <c r="BI4" s="4">
        <f>_xll.ciqfunctions.udf.CIQ($A4, "IQ_EBITDA_1YR_ANN_GROWTH", IQ_FY,DateToday,)</f>
        <v>-11.4428</v>
      </c>
      <c r="BJ4" s="4">
        <f>_xll.ciqfunctions.udf.CIQ($A4, "IQ_EBITDA_1YR_ANN_GROWTH",IQ_LTM,DateToday,)</f>
        <v>-11.4428</v>
      </c>
      <c r="BK4" s="4" t="str">
        <f>_xll.ciqfunctions.udf.CIQ($A4, "IQ_EPS_5YR_ANN_CAGR",IQ_LTM,DateToday,)</f>
        <v>NM</v>
      </c>
      <c r="BL4" s="4" t="str">
        <f>_xll.ciqfunctions.udf.CIQ($A4, "IQ_EPS_3YR_ANN_CAGR",IQ_LTM,DateToday,)</f>
        <v>NM</v>
      </c>
      <c r="BM4" s="4" t="str">
        <f>_xll.ciqfunctions.udf.CIQ($A4, "IQ_EPS_1YR_ANN_GROWTH", IQ_FY,DateToday,)</f>
        <v>NM</v>
      </c>
      <c r="BN4" s="4" t="str">
        <f>_xll.ciqfunctions.udf.CIQ($A4, "IQ_EPS_1YR_ANN_GROWTH", IQ_LTM,DateToday,)</f>
        <v>NM</v>
      </c>
      <c r="BO4" s="20">
        <f>_xll.ciqfunctions.udf.CIQ($A4, "IQ_TOTAL_DEBT_EBITDA",IQ_LTM,DateToday,)</f>
        <v>3.4796200000000002</v>
      </c>
      <c r="BP4" s="20">
        <f>_xll.ciqfunctions.udf.CIQ($A4, "IQ_NET_DEBT_EBITDA",IQ_LTM,DateToday,)</f>
        <v>2.89228</v>
      </c>
      <c r="BQ4" s="39">
        <f t="shared" si="5"/>
        <v>3.8016413480006985</v>
      </c>
      <c r="BR4" s="20">
        <f>_xll.ciqfunctions.udf.CIQ($A4, "IQ_EBITDA_INT",IQ_LTM,DateToday,)</f>
        <v>6.6071799999999996</v>
      </c>
      <c r="BS4" s="20">
        <f>_xll.ciqfunctions.udf.CIQ($A4, "IQ_EBITDA_CAPEX_INT",IQ_LTM,DateToday,)</f>
        <v>5.7613500000000002</v>
      </c>
      <c r="BT4" s="4">
        <f>_xll.ciqfunctions.udf.CIQ($A4, "IQ_TOTAL_DEBT_EQUITY",IQ_FQ,DateToday,)</f>
        <v>52.099800000000002</v>
      </c>
      <c r="BU4" s="4">
        <f>_xll.ciqfunctions.udf.CIQ($A4, "IQ_TOTAL_DEBT_CAPITAL",IQ_FQ,DateToday,)</f>
        <v>34.253700000000002</v>
      </c>
      <c r="BV4" s="4">
        <f>_xll.ciqfunctions.udf.CIQ($A4, "IQ_RETURN_EQUITY",IQ_LTM,DateToday)</f>
        <v>-12.836600000000001</v>
      </c>
      <c r="BW4" s="4">
        <f>_xll.ciqfunctions.udf.CIQ($A4, "IQ_RETURN_ASSETS",IQ_LTM,DateToday)</f>
        <v>3.4977</v>
      </c>
      <c r="BX4" s="4">
        <f>_xll.ciqfunctions.udf.CIQ($A4, "IQ_RETURN_INVESTED_CAPITAL",IQ_LTM,DateToday)</f>
        <v>-11.6157</v>
      </c>
      <c r="BY4" s="20">
        <f>_xll.ciqfunctions.udf.CIQ($A4, "IQ_CURRENT_RATIO",IQ_FQ,DateToday,)</f>
        <v>1.15368</v>
      </c>
      <c r="BZ4" s="20">
        <f>_xll.ciqfunctions.udf.CIQ($A4, "IQ_QUICK_RATIO",IQ_FQ,DateToday,)</f>
        <v>0.67544000000000004</v>
      </c>
      <c r="CA4" s="4">
        <f>_xll.ciqfunctions.udf.CIQ($A4, "IQ_DAYS_SALES_OUT",IQ_LTM,DateToday,)</f>
        <v>32.11354</v>
      </c>
      <c r="CB4" s="4">
        <f>_xll.ciqfunctions.udf.CIQ($A4, "IQ_DAYS_INVENTORY_OUT",IQ_LTM,DateToday,)</f>
        <v>71.598439999999997</v>
      </c>
      <c r="CC4" s="4">
        <f>_xll.ciqfunctions.udf.CIQ($A4, "IQ_DAYS_PAYABLE_OUT",IQ_LTM,DateToday,)</f>
        <v>94.152600000000007</v>
      </c>
      <c r="CD4" s="4">
        <f>_xll.ciqfunctions.udf.CIQ($A4, "IQ_CASH_CONVERSION",IQ_LTM,DateToday,)</f>
        <v>9.5593699999999995</v>
      </c>
      <c r="CE4" s="20">
        <f>_xll.ciqfunctions.udf.CIQ($A4, "IQ_ASSET_TURNS",IQ_LTM,DateToday,)</f>
        <v>0.29331000000000002</v>
      </c>
      <c r="CF4" s="20">
        <f>_xll.ciqfunctions.udf.CIQ($A4, "IQ_FIXED_ASSET_TURNS",IQ_LTM,DateToday,)</f>
        <v>3.21231</v>
      </c>
      <c r="CG4" s="20">
        <f>_xll.ciqfunctions.udf.CIQ($A4, "IQ_AR_TURNS",IQ_LTM,DateToday,)</f>
        <v>11.3347</v>
      </c>
      <c r="CH4" s="20">
        <f>_xll.ciqfunctions.udf.CIQ($A4, "IQ_INVENTORY_TURNS",IQ_LTM,DateToday,)</f>
        <v>5.0839100000000004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</row>
    <row r="5" spans="1:168" s="1" customFormat="1" x14ac:dyDescent="0.2">
      <c r="A5" s="36" t="str">
        <f>_xll.ciqfunctions.udf.CIQ($A$10,"IQ_QUICK_COMP",4)</f>
        <v>NYSE:HRL</v>
      </c>
      <c r="B5" s="36" t="str">
        <f>_xll.ciqfunctions.udf.CIQ($A5, "IQ_COMPANY_NAME")</f>
        <v>Hormel Foods Corporation</v>
      </c>
      <c r="C5" s="13">
        <f>_xll.ciqfunctions.udf.CIQ($A5,"IQ_PERIODDATE",IQ_FY,DateToday)</f>
        <v>45956</v>
      </c>
      <c r="D5" s="13">
        <f>_xll.ciqfunctions.udf.CIQ($A5,"IQ_PERIODDATE",IQ_LTM,DateToday)</f>
        <v>46047</v>
      </c>
      <c r="E5" s="11">
        <f>_xll.ciqfunctions.udf.CIQ($A5, "IQ_LASTSALEPRICE",DateToday,Ccy,Conv)</f>
        <v>23.07</v>
      </c>
      <c r="F5" s="11">
        <f>_xll.ciqfunctions.udf.CIQ($A5, "IQ_YEARHIGH",DateToday,Ccy,Conv)</f>
        <v>32.07</v>
      </c>
      <c r="G5" s="11">
        <f>_xll.ciqfunctions.udf.CIQ($A5, "IQ_YEARLOW",DateToday,Ccy,Conv)</f>
        <v>21.03</v>
      </c>
      <c r="H5" s="37">
        <f t="shared" si="0"/>
        <v>0.71936389148737134</v>
      </c>
      <c r="I5" s="37">
        <f t="shared" si="1"/>
        <v>1.0970042796005706</v>
      </c>
      <c r="J5" s="4">
        <f>_xll.ciqfunctions.udf.CIQ($A5, "IQ_SHARESOUTSTANDING",DateToday)</f>
        <v>550.28421000000003</v>
      </c>
      <c r="K5" s="22">
        <f t="shared" si="2"/>
        <v>12695.056724700002</v>
      </c>
      <c r="L5" s="4">
        <f>_xll.ciqfunctions.udf.CIQ($A5, "IQ_CASH_ST_INVEST",IQ_FQ,DateToday,,"F",Ccy,Conv)</f>
        <v>901.20799999999997</v>
      </c>
      <c r="M5" s="4">
        <f>_xll.ciqfunctions.udf.CIQ($A5, "IQ_TOTAL_DEBT",IQ_FQ,DateToday,,"F",Ccy,Conv)</f>
        <v>2857.4920000000002</v>
      </c>
      <c r="N5" s="4">
        <f>_xll.ciqfunctions.udf.CIQ($A5, "IQ_PREF_EQUITY",IQ_FQ,DateToday,,"F",Ccy,Conv)</f>
        <v>0</v>
      </c>
      <c r="O5" s="4">
        <f>_xll.ciqfunctions.udf.CIQ($A5, "IQ_MINORITY_INTEREST_TOTAL",IQ_FQ,DateToday,,"F",Ccy,Conv)</f>
        <v>14.707000000000001</v>
      </c>
      <c r="P5" s="22">
        <f t="shared" si="6"/>
        <v>14666.047724700002</v>
      </c>
      <c r="Q5" s="4">
        <f>_xll.ciqfunctions.udf.CIQ($A5, "IQ_TOTAL_REV", IQ_FY,DateToday,,,Ccy,Conv)</f>
        <v>12106.16</v>
      </c>
      <c r="R5" s="4">
        <f>_xll.ciqfunctions.udf.CIQ($A5, "IQ_TOTAL_REV", IQ_LTM,DateToday,,,Ccy,Conv)</f>
        <v>12144.664000000001</v>
      </c>
      <c r="S5" s="4">
        <f>_xll.ciqfunctions.udf.CIQ($A5, "IQ_REVENUE_EST", IQ_CY+ 1,DateToday,,,Ccy,Conv)</f>
        <v>12312.906999999999</v>
      </c>
      <c r="T5" s="4">
        <f>_xll.ciqfunctions.udf.CIQ($A5, "IQ_REVENUE_EST", IQ_CY+ 2,DateToday,,,Ccy,Conv)</f>
        <v>12606.0607</v>
      </c>
      <c r="U5" s="4">
        <f>_xll.ciqfunctions.udf.CIQ($A5, "IQ_EBITDA", IQ_FY,DateToday,,,Ccy,Conv)</f>
        <v>1224.557</v>
      </c>
      <c r="V5" s="4">
        <f>_xll.ciqfunctions.udf.CIQ($A5, "IQ_EBITDA", IQ_LTM,DateToday,,,Ccy,Conv)</f>
        <v>1211.6130000000001</v>
      </c>
      <c r="W5" s="4">
        <f>_xll.ciqfunctions.udf.CIQ($A5, "IQ_EBITDA_EST", IQ_CY+ 1,DateToday,,,Ccy,Conv)</f>
        <v>1398.1135999999999</v>
      </c>
      <c r="X5" s="4">
        <f>_xll.ciqfunctions.udf.CIQ($A5, "IQ_EBITDA_EST", IQ_CY+ 2,DateToday,,,Ccy,Conv)</f>
        <v>1432.9512999999999</v>
      </c>
      <c r="Y5" s="11">
        <f>_xll.ciqfunctions.udf.CIQ($A5, "IQ_DILUT_EPS_EXCL", IQ_FY,DateToday,,,Ccy,Conv)</f>
        <v>0.86919000000000002</v>
      </c>
      <c r="Z5" s="11">
        <f>_xll.ciqfunctions.udf.CIQ($A5, "IQ_DILUT_EPS_EXCL", IQ_LTM,DateToday,,,Ccy,Conv)</f>
        <v>0.88917999999999997</v>
      </c>
      <c r="AA5" s="11">
        <f>_xll.ciqfunctions.udf.CIQ($A5, "IQ_EPS_EST", IQ_CY+ 1,DateToday,,,Ccy,Conv)</f>
        <v>1.5163</v>
      </c>
      <c r="AB5" s="11">
        <f>_xll.ciqfunctions.udf.CIQ($A5, "IQ_EPS_EST", IQ_CY+ 2,DateToday,,,Ccy,Conv)</f>
        <v>1.6061000000000001</v>
      </c>
      <c r="AC5" s="20">
        <f>_xll.ciqfunctions.udf.CIQ($A5, "IQ_TEV_TOTAL_REV",IQ_LTM,#REF!)</f>
        <v>1.2076100000000001</v>
      </c>
      <c r="AD5" s="20">
        <f>_xll.ciqfunctions.udf.CIQ($A5, "IQ_TEV_TOTAL_REV",IQ_LTM,DateToday)</f>
        <v>1.2076100000000001</v>
      </c>
      <c r="AE5" s="38">
        <f t="shared" si="3"/>
        <v>1.1911117110443539</v>
      </c>
      <c r="AF5" s="38">
        <f t="shared" si="4"/>
        <v>1.1634124310300997</v>
      </c>
      <c r="AG5" s="20">
        <f>_xll.ciqfunctions.udf.CIQ($A5, "IQ_TEV_EBITDA",IQ_LTM,#REF!)</f>
        <v>9.7197700000000005</v>
      </c>
      <c r="AH5" s="20">
        <f>_xll.ciqfunctions.udf.CIQ($A5, "IQ_TEV_EBITDA",IQ_LTM,DateToday)</f>
        <v>9.7197700000000005</v>
      </c>
      <c r="AI5" s="20">
        <f>_xll.ciqfunctions.udf.CIQ($A5, "IQ_TEV_EBITDA_FWD",IQ_CY+1,DateToday)</f>
        <v>10.489879999999999</v>
      </c>
      <c r="AJ5" s="20">
        <f>_xll.ciqfunctions.udf.CIQ($A5, "IQ_TEV_EBITDA_FWD",IQ_CY+2,DateToday)</f>
        <v>10.23485</v>
      </c>
      <c r="AK5" s="20">
        <f>_xll.ciqfunctions.udf.CIQ($A5, "IQ_PE_EXCL",IQ_LTM,#REF!)</f>
        <v>25.945170000000001</v>
      </c>
      <c r="AL5" s="20">
        <f>_xll.ciqfunctions.udf.CIQ($A5, "IQ_PE_EXCL",IQ_LTM,DateToday)</f>
        <v>25.945170000000001</v>
      </c>
      <c r="AM5" s="20">
        <f>_xll.ciqfunctions.udf.CIQ($A5, "IQ_PE_EXCL_FWD",IQ_CY+1,DateToday)</f>
        <v>15.21467</v>
      </c>
      <c r="AN5" s="20">
        <f>_xll.ciqfunctions.udf.CIQ($A5, "IQ_PE_EXCL_FWD",IQ_CY+2,DateToday)</f>
        <v>14.363989999999999</v>
      </c>
      <c r="AO5" s="20">
        <f>_xll.ciqfunctions.udf.CIQ($A5, "IQ_PBV",IQ_LTM,DateToday,)</f>
        <v>1.59897</v>
      </c>
      <c r="AP5" s="20">
        <f>_xll.ciqfunctions.udf.CIQ($A5, "IQ_PTBV",IQ_LTM,DateToday,)</f>
        <v>8.6830200000000008</v>
      </c>
      <c r="AQ5" s="4">
        <f>_xll.ciqfunctions.udf.CIQ($A5, "IQ_GROSS_MARGIN", IQ_FY- 2,DateToday,)</f>
        <v>16.5139</v>
      </c>
      <c r="AR5" s="4">
        <f>_xll.ciqfunctions.udf.CIQ($A5, "IQ_GROSS_MARGIN", IQ_FY- 1,DateToday,)</f>
        <v>17.009699999999999</v>
      </c>
      <c r="AS5" s="4">
        <f>_xll.ciqfunctions.udf.CIQ($A5, "IQ_GROSS_MARGIN", IQ_FY,DateToday,)</f>
        <v>15.7043</v>
      </c>
      <c r="AT5" s="4">
        <f>_xll.ciqfunctions.udf.CIQ($A5, "IQ_GROSS_MARGIN", IQ_LTM,DateToday,)</f>
        <v>15.6096</v>
      </c>
      <c r="AU5" s="4">
        <f>_xll.ciqfunctions.udf.CIQ($A5, "IQ_EBITDA_MARGIN", IQ_FY- 2,DateToday,)</f>
        <v>10.8256</v>
      </c>
      <c r="AV5" s="4">
        <f>_xll.ciqfunctions.udf.CIQ($A5, "IQ_EBITDA_MARGIN", IQ_FY- 1,DateToday,)</f>
        <v>11.3452</v>
      </c>
      <c r="AW5" s="4">
        <f>_xll.ciqfunctions.udf.CIQ($A5, "IQ_EBITDA_MARGIN", IQ_FY,DateToday,)</f>
        <v>10.1151</v>
      </c>
      <c r="AX5" s="4">
        <f>_xll.ciqfunctions.udf.CIQ($A5, "IQ_EBITDA_MARGIN", IQ_LTM,DateToday,)</f>
        <v>9.9764999999999997</v>
      </c>
      <c r="AY5" s="4">
        <f>_xll.ciqfunctions.udf.CIQ($A5, "IQ_NI_MARGIN", IQ_FY- 2,DateToday,)</f>
        <v>6.5529999999999999</v>
      </c>
      <c r="AZ5" s="4">
        <f>_xll.ciqfunctions.udf.CIQ($A5, "IQ_NI_MARGIN", IQ_FY- 1,DateToday,)</f>
        <v>6.7531999999999996</v>
      </c>
      <c r="BA5" s="4">
        <f>_xll.ciqfunctions.udf.CIQ($A5, "IQ_NI_MARGIN", IQ_FY,DateToday,)</f>
        <v>3.95</v>
      </c>
      <c r="BB5" s="4">
        <f>_xll.ciqfunctions.udf.CIQ($A5, "IQ_NI_MARGIN", IQ_LTM,DateToday,)</f>
        <v>4.0298999999999996</v>
      </c>
      <c r="BC5" s="4">
        <f>_xll.ciqfunctions.udf.CIQ($A5, "IQ_TOTAL_REV_5YR_ANN_CAGR",IQ_LTM,DateToday,)</f>
        <v>4.6298000000000004</v>
      </c>
      <c r="BD5" s="4">
        <f>_xll.ciqfunctions.udf.CIQ($A5, "IQ_TOTAL_REV_3YR_ANN_CAGR",IQ_LTM,DateToday,)</f>
        <v>-0.65229999999999999</v>
      </c>
      <c r="BE5" s="4">
        <f>_xll.ciqfunctions.udf.CIQ($A5, "IQ_TOTAL_REV_1YR_ANN_GROWTH", IQ_FY,DateToday,)</f>
        <v>1.5548999999999999</v>
      </c>
      <c r="BF5" s="4">
        <f>_xll.ciqfunctions.udf.CIQ($A5, "IQ_TOTAL_REV_1YR_ANN_GROWTH",IQ_LTM,DateToday,)</f>
        <v>1.9472</v>
      </c>
      <c r="BG5" s="4">
        <f>_xll.ciqfunctions.udf.CIQ($A5, "IQ_EBITDA_5YR_ANN_CAGR",IQ_LTM,DateToday,)</f>
        <v>-1.8919999999999999</v>
      </c>
      <c r="BH5" s="4">
        <f>_xll.ciqfunctions.udf.CIQ($A5, "IQ_EBITDA_3YR_ANN_CAGR",IQ_LTM,DateToday,)</f>
        <v>-6.4446000000000003</v>
      </c>
      <c r="BI5" s="4">
        <f>_xll.ciqfunctions.udf.CIQ($A5, "IQ_EBITDA_1YR_ANN_GROWTH", IQ_FY,DateToday,)</f>
        <v>-9.4558</v>
      </c>
      <c r="BJ5" s="4">
        <f>_xll.ciqfunctions.udf.CIQ($A5, "IQ_EBITDA_1YR_ANN_GROWTH",IQ_LTM,DateToday,)</f>
        <v>-7.7586000000000004</v>
      </c>
      <c r="BK5" s="4">
        <f>_xll.ciqfunctions.udf.CIQ($A5, "IQ_EPS_5YR_ANN_CAGR",IQ_LTM,DateToday,)</f>
        <v>-11.307499999999999</v>
      </c>
      <c r="BL5" s="4">
        <f>_xll.ciqfunctions.udf.CIQ($A5, "IQ_EPS_3YR_ANN_CAGR",IQ_LTM,DateToday,)</f>
        <v>-20.653500000000001</v>
      </c>
      <c r="BM5" s="4">
        <f>_xll.ciqfunctions.udf.CIQ($A5, "IQ_EPS_1YR_ANN_GROWTH", IQ_FY,DateToday,)</f>
        <v>-40.819299999999998</v>
      </c>
      <c r="BN5" s="4">
        <f>_xll.ciqfunctions.udf.CIQ($A5, "IQ_EPS_1YR_ANN_GROWTH", IQ_LTM,DateToday,)</f>
        <v>-35.523000000000003</v>
      </c>
      <c r="BO5" s="20">
        <f>_xll.ciqfunctions.udf.CIQ($A5, "IQ_TOTAL_DEBT_EBITDA",IQ_LTM,DateToday,)</f>
        <v>1.76932</v>
      </c>
      <c r="BP5" s="20">
        <f>_xll.ciqfunctions.udf.CIQ($A5, "IQ_NET_DEBT_EBITDA",IQ_LTM,DateToday,)</f>
        <v>1.2113100000000001</v>
      </c>
      <c r="BQ5" s="39">
        <f t="shared" si="5"/>
        <v>2.3584197264307991</v>
      </c>
      <c r="BR5" s="20">
        <f>_xll.ciqfunctions.udf.CIQ($A5, "IQ_EBITDA_INT",IQ_LTM,DateToday,)</f>
        <v>20.62499</v>
      </c>
      <c r="BS5" s="20">
        <f>_xll.ciqfunctions.udf.CIQ($A5, "IQ_EBITDA_CAPEX_INT",IQ_LTM,DateToday,)</f>
        <v>16.695070000000001</v>
      </c>
      <c r="BT5" s="4">
        <f>_xll.ciqfunctions.udf.CIQ($A5, "IQ_TOTAL_DEBT_EQUITY",IQ_FQ,DateToday,)</f>
        <v>35.928800000000003</v>
      </c>
      <c r="BU5" s="4">
        <f>_xll.ciqfunctions.udf.CIQ($A5, "IQ_TOTAL_DEBT_CAPITAL",IQ_FQ,DateToday,)</f>
        <v>26.431999999999999</v>
      </c>
      <c r="BV5" s="4">
        <f>_xll.ciqfunctions.udf.CIQ($A5, "IQ_RETURN_EQUITY",IQ_LTM,DateToday)</f>
        <v>6.1157000000000004</v>
      </c>
      <c r="BW5" s="4">
        <f>_xll.ciqfunctions.udf.CIQ($A5, "IQ_RETURN_ASSETS",IQ_LTM,DateToday)</f>
        <v>4.4278000000000004</v>
      </c>
      <c r="BX5" s="4">
        <f>_xll.ciqfunctions.udf.CIQ($A5, "IQ_RETURN_INVESTED_CAPITAL",IQ_LTM,DateToday)</f>
        <v>-1.3663000000000001</v>
      </c>
      <c r="BY5" s="20">
        <f>_xll.ciqfunctions.udf.CIQ($A5, "IQ_CURRENT_RATIO",IQ_FQ,DateToday,)</f>
        <v>2.6617899999999999</v>
      </c>
      <c r="BZ5" s="20">
        <f>_xll.ciqfunctions.udf.CIQ($A5, "IQ_QUICK_RATIO",IQ_FQ,DateToday,)</f>
        <v>1.3011600000000001</v>
      </c>
      <c r="CA5" s="4">
        <f>_xll.ciqfunctions.udf.CIQ($A5, "IQ_DAYS_SALES_OUT",IQ_LTM,DateToday,)</f>
        <v>21.940100000000001</v>
      </c>
      <c r="CB5" s="4">
        <f>_xll.ciqfunctions.udf.CIQ($A5, "IQ_DAYS_INVENTORY_OUT",IQ_LTM,DateToday,)</f>
        <v>56.185580000000002</v>
      </c>
      <c r="CC5" s="4">
        <f>_xll.ciqfunctions.udf.CIQ($A5, "IQ_DAYS_PAYABLE_OUT",IQ_LTM,DateToday,)</f>
        <v>24.19472</v>
      </c>
      <c r="CD5" s="4">
        <f>_xll.ciqfunctions.udf.CIQ($A5, "IQ_CASH_CONVERSION",IQ_LTM,DateToday,)</f>
        <v>53.930970000000002</v>
      </c>
      <c r="CE5" s="20">
        <f>_xll.ciqfunctions.udf.CIQ($A5, "IQ_ASSET_TURNS",IQ_LTM,DateToday,)</f>
        <v>0.90903</v>
      </c>
      <c r="CF5" s="20">
        <f>_xll.ciqfunctions.udf.CIQ($A5, "IQ_FIXED_ASSET_TURNS",IQ_LTM,DateToday,)</f>
        <v>5.4999599999999997</v>
      </c>
      <c r="CG5" s="20">
        <f>_xll.ciqfunctions.udf.CIQ($A5, "IQ_AR_TURNS",IQ_LTM,DateToday,)</f>
        <v>16.590440000000001</v>
      </c>
      <c r="CH5" s="20">
        <f>_xll.ciqfunctions.udf.CIQ($A5, "IQ_INVENTORY_TURNS",IQ_LTM,DateToday,)</f>
        <v>6.4784899999999999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</row>
    <row r="6" spans="1:168" s="1" customFormat="1" x14ac:dyDescent="0.2">
      <c r="A6" s="36" t="str">
        <f>_xll.ciqfunctions.udf.CIQ($A$10,"IQ_QUICK_COMP",5)</f>
        <v>NYSE:GIS</v>
      </c>
      <c r="B6" s="36" t="str">
        <f>_xll.ciqfunctions.udf.CIQ($A6, "IQ_COMPANY_NAME")</f>
        <v>General Mills, Inc.</v>
      </c>
      <c r="C6" s="13">
        <f>_xll.ciqfunctions.udf.CIQ($A6,"IQ_PERIODDATE",IQ_FY,DateToday)</f>
        <v>45802</v>
      </c>
      <c r="D6" s="13">
        <f>_xll.ciqfunctions.udf.CIQ($A6,"IQ_PERIODDATE",IQ_LTM,DateToday)</f>
        <v>46075</v>
      </c>
      <c r="E6" s="11">
        <f>_xll.ciqfunctions.udf.CIQ($A6, "IQ_LASTSALEPRICE",DateToday,Ccy,Conv)</f>
        <v>36.450000000000003</v>
      </c>
      <c r="F6" s="11">
        <f>_xll.ciqfunctions.udf.CIQ($A6, "IQ_YEARHIGH",DateToday,Ccy,Conv)</f>
        <v>62.61</v>
      </c>
      <c r="G6" s="11">
        <f>_xll.ciqfunctions.udf.CIQ($A6, "IQ_YEARLOW",DateToday,Ccy,Conv)</f>
        <v>35.634999999999998</v>
      </c>
      <c r="H6" s="37">
        <f t="shared" si="0"/>
        <v>0.58217537134643038</v>
      </c>
      <c r="I6" s="37">
        <f t="shared" si="1"/>
        <v>1.0228707731163185</v>
      </c>
      <c r="J6" s="4">
        <f>_xll.ciqfunctions.udf.CIQ($A6, "IQ_SHARESOUTSTANDING",DateToday)</f>
        <v>533.68122000000005</v>
      </c>
      <c r="K6" s="22">
        <f t="shared" si="2"/>
        <v>19452.680469000003</v>
      </c>
      <c r="L6" s="4">
        <f>_xll.ciqfunctions.udf.CIQ($A6, "IQ_CASH_ST_INVEST",IQ_FQ,DateToday,,"F",Ccy,Conv)</f>
        <v>785.5</v>
      </c>
      <c r="M6" s="4">
        <f>_xll.ciqfunctions.udf.CIQ($A6, "IQ_TOTAL_DEBT",IQ_FQ,DateToday,,"F",Ccy,Conv)</f>
        <v>13967.7</v>
      </c>
      <c r="N6" s="4">
        <f>_xll.ciqfunctions.udf.CIQ($A6, "IQ_PREF_EQUITY",IQ_FQ,DateToday,,"F",Ccy,Conv)</f>
        <v>0</v>
      </c>
      <c r="O6" s="4">
        <f>_xll.ciqfunctions.udf.CIQ($A6, "IQ_MINORITY_INTEREST_TOTAL",IQ_FQ,DateToday,,"F",Ccy,Conv)</f>
        <v>13.7</v>
      </c>
      <c r="P6" s="22">
        <f t="shared" si="6"/>
        <v>32648.580469000004</v>
      </c>
      <c r="Q6" s="4">
        <f>_xll.ciqfunctions.udf.CIQ($A6, "IQ_TOTAL_REV", IQ_FY,DateToday,,,Ccy,Conv)</f>
        <v>19486.599999999999</v>
      </c>
      <c r="R6" s="4">
        <f>_xll.ciqfunctions.udf.CIQ($A6, "IQ_TOTAL_REV", IQ_LTM,DateToday,,,Ccy,Conv)</f>
        <v>18371.2</v>
      </c>
      <c r="S6" s="4">
        <f>_xll.ciqfunctions.udf.CIQ($A6, "IQ_REVENUE_EST", IQ_CY+ 1,DateToday,,,Ccy,Conv)</f>
        <v>18249.455399999999</v>
      </c>
      <c r="T6" s="4">
        <f>_xll.ciqfunctions.udf.CIQ($A6, "IQ_REVENUE_EST", IQ_CY+ 2,DateToday,,,Ccy,Conv)</f>
        <v>17803.3645</v>
      </c>
      <c r="U6" s="4">
        <f>_xll.ciqfunctions.udf.CIQ($A6, "IQ_EBITDA", IQ_FY,DateToday,,,Ccy,Conv)</f>
        <v>3904.2</v>
      </c>
      <c r="V6" s="4">
        <f>_xll.ciqfunctions.udf.CIQ($A6, "IQ_EBITDA", IQ_LTM,DateToday,,,Ccy,Conv)</f>
        <v>3318.1</v>
      </c>
      <c r="W6" s="4">
        <f>_xll.ciqfunctions.udf.CIQ($A6, "IQ_EBITDA_EST", IQ_CY+ 1,DateToday,,,Ccy,Conv)</f>
        <v>3254.5137</v>
      </c>
      <c r="X6" s="4">
        <f>_xll.ciqfunctions.udf.CIQ($A6, "IQ_EBITDA_EST", IQ_CY+ 2,DateToday,,,Ccy,Conv)</f>
        <v>3241.8479000000002</v>
      </c>
      <c r="Y6" s="11">
        <f>_xll.ciqfunctions.udf.CIQ($A6, "IQ_DILUT_EPS_EXCL", IQ_FY,DateToday,,,Ccy,Conv)</f>
        <v>4.0999999999999996</v>
      </c>
      <c r="Z6" s="11">
        <f>_xll.ciqfunctions.udf.CIQ($A6, "IQ_DILUT_EPS_EXCL", IQ_LTM,DateToday,,,Ccy,Conv)</f>
        <v>4.0712400000000004</v>
      </c>
      <c r="AA6" s="11">
        <f>_xll.ciqfunctions.udf.CIQ($A6, "IQ_EPS_EST", IQ_CY+ 1,DateToday,,,Ccy,Conv)</f>
        <v>3.3529</v>
      </c>
      <c r="AB6" s="11">
        <f>_xll.ciqfunctions.udf.CIQ($A6, "IQ_EPS_EST", IQ_CY+ 2,DateToday,,,Ccy,Conv)</f>
        <v>3.4026000000000001</v>
      </c>
      <c r="AC6" s="20">
        <f>_xll.ciqfunctions.udf.CIQ($A6, "IQ_TEV_TOTAL_REV",IQ_LTM,#REF!)</f>
        <v>1.7771600000000001</v>
      </c>
      <c r="AD6" s="20">
        <f>_xll.ciqfunctions.udf.CIQ($A6, "IQ_TEV_TOTAL_REV",IQ_LTM,DateToday)</f>
        <v>1.7771600000000001</v>
      </c>
      <c r="AE6" s="38">
        <f t="shared" si="3"/>
        <v>1.7890166995887453</v>
      </c>
      <c r="AF6" s="38">
        <f t="shared" si="4"/>
        <v>1.8338432867001069</v>
      </c>
      <c r="AG6" s="20">
        <f>_xll.ciqfunctions.udf.CIQ($A6, "IQ_TEV_EBITDA",IQ_LTM,#REF!)</f>
        <v>9.4936299999999996</v>
      </c>
      <c r="AH6" s="20">
        <f>_xll.ciqfunctions.udf.CIQ($A6, "IQ_TEV_EBITDA",IQ_LTM,DateToday)</f>
        <v>9.4936299999999996</v>
      </c>
      <c r="AI6" s="20">
        <f>_xll.ciqfunctions.udf.CIQ($A6, "IQ_TEV_EBITDA_FWD",IQ_CY+1,DateToday)</f>
        <v>10.031779999999999</v>
      </c>
      <c r="AJ6" s="20">
        <f>_xll.ciqfunctions.udf.CIQ($A6, "IQ_TEV_EBITDA_FWD",IQ_CY+2,DateToday)</f>
        <v>10.07098</v>
      </c>
      <c r="AK6" s="20">
        <f>_xll.ciqfunctions.udf.CIQ($A6, "IQ_PE_EXCL",IQ_LTM,#REF!)</f>
        <v>8.9530499999999993</v>
      </c>
      <c r="AL6" s="20">
        <f>_xll.ciqfunctions.udf.CIQ($A6, "IQ_PE_EXCL",IQ_LTM,DateToday)</f>
        <v>8.9530499999999993</v>
      </c>
      <c r="AM6" s="20">
        <f>_xll.ciqfunctions.udf.CIQ($A6, "IQ_PE_EXCL_FWD",IQ_CY+1,DateToday)</f>
        <v>10.87119</v>
      </c>
      <c r="AN6" s="20">
        <f>_xll.ciqfunctions.udf.CIQ($A6, "IQ_PE_EXCL_FWD",IQ_CY+2,DateToday)</f>
        <v>10.712400000000001</v>
      </c>
      <c r="AO6" s="20">
        <f>_xll.ciqfunctions.udf.CIQ($A6, "IQ_PBV",IQ_LTM,DateToday,)</f>
        <v>2.0820699999999999</v>
      </c>
      <c r="AP6" s="20" t="str">
        <f>_xll.ciqfunctions.udf.CIQ($A6, "IQ_PTBV",IQ_LTM,DateToday,)</f>
        <v>NM</v>
      </c>
      <c r="AQ6" s="4">
        <f>_xll.ciqfunctions.udf.CIQ($A6, "IQ_GROSS_MARGIN", IQ_FY- 2,DateToday,)</f>
        <v>32.611400000000003</v>
      </c>
      <c r="AR6" s="4">
        <f>_xll.ciqfunctions.udf.CIQ($A6, "IQ_GROSS_MARGIN", IQ_FY- 1,DateToday,)</f>
        <v>35.008400000000002</v>
      </c>
      <c r="AS6" s="4">
        <f>_xll.ciqfunctions.udf.CIQ($A6, "IQ_GROSS_MARGIN", IQ_FY,DateToday,)</f>
        <v>34.601700000000001</v>
      </c>
      <c r="AT6" s="4">
        <f>_xll.ciqfunctions.udf.CIQ($A6, "IQ_GROSS_MARGIN", IQ_LTM,DateToday,)</f>
        <v>33.1404</v>
      </c>
      <c r="AU6" s="4">
        <f>_xll.ciqfunctions.udf.CIQ($A6, "IQ_EBITDA_MARGIN", IQ_FY- 2,DateToday,)</f>
        <v>18.3535</v>
      </c>
      <c r="AV6" s="4">
        <f>_xll.ciqfunctions.udf.CIQ($A6, "IQ_EBITDA_MARGIN", IQ_FY- 1,DateToday,)</f>
        <v>21.832799999999999</v>
      </c>
      <c r="AW6" s="4">
        <f>_xll.ciqfunctions.udf.CIQ($A6, "IQ_EBITDA_MARGIN", IQ_FY,DateToday,)</f>
        <v>20.035299999999999</v>
      </c>
      <c r="AX6" s="4">
        <f>_xll.ciqfunctions.udf.CIQ($A6, "IQ_EBITDA_MARGIN", IQ_LTM,DateToday,)</f>
        <v>18.061399999999999</v>
      </c>
      <c r="AY6" s="4">
        <f>_xll.ciqfunctions.udf.CIQ($A6, "IQ_NI_MARGIN", IQ_FY- 2,DateToday,)</f>
        <v>12.9087</v>
      </c>
      <c r="AZ6" s="4">
        <f>_xll.ciqfunctions.udf.CIQ($A6, "IQ_NI_MARGIN", IQ_FY- 1,DateToday,)</f>
        <v>12.572699999999999</v>
      </c>
      <c r="BA6" s="4">
        <f>_xll.ciqfunctions.udf.CIQ($A6, "IQ_NI_MARGIN", IQ_FY,DateToday,)</f>
        <v>11.7783</v>
      </c>
      <c r="BB6" s="4">
        <f>_xll.ciqfunctions.udf.CIQ($A6, "IQ_NI_MARGIN", IQ_LTM,DateToday,)</f>
        <v>12.053100000000001</v>
      </c>
      <c r="BC6" s="4">
        <f>_xll.ciqfunctions.udf.CIQ($A6, "IQ_TOTAL_REV_5YR_ANN_CAGR",IQ_LTM,DateToday,)</f>
        <v>-0.27550000000000002</v>
      </c>
      <c r="BD6" s="4">
        <f>_xll.ciqfunctions.udf.CIQ($A6, "IQ_TOTAL_REV_3YR_ANN_CAGR",IQ_LTM,DateToday,)</f>
        <v>-2.7195999999999998</v>
      </c>
      <c r="BE6" s="4">
        <f>_xll.ciqfunctions.udf.CIQ($A6, "IQ_TOTAL_REV_1YR_ANN_GROWTH", IQ_FY,DateToday,)</f>
        <v>-1.8664000000000001</v>
      </c>
      <c r="BF6" s="4">
        <f>_xll.ciqfunctions.udf.CIQ($A6, "IQ_TOTAL_REV_1YR_ANN_GROWTH",IQ_LTM,DateToday,)</f>
        <v>-6.4808000000000003</v>
      </c>
      <c r="BG6" s="4">
        <f>_xll.ciqfunctions.udf.CIQ($A6, "IQ_EBITDA_5YR_ANN_CAGR",IQ_LTM,DateToday,)</f>
        <v>-4.4580000000000002</v>
      </c>
      <c r="BH6" s="4">
        <f>_xll.ciqfunctions.udf.CIQ($A6, "IQ_EBITDA_3YR_ANN_CAGR",IQ_LTM,DateToday,)</f>
        <v>-4.6109</v>
      </c>
      <c r="BI6" s="4">
        <f>_xll.ciqfunctions.udf.CIQ($A6, "IQ_EBITDA_1YR_ANN_GROWTH", IQ_FY,DateToday,)</f>
        <v>-9.9460999999999995</v>
      </c>
      <c r="BJ6" s="4">
        <f>_xll.ciqfunctions.udf.CIQ($A6, "IQ_EBITDA_1YR_ANN_GROWTH",IQ_LTM,DateToday,)</f>
        <v>-21.359000000000002</v>
      </c>
      <c r="BK6" s="4">
        <f>_xll.ciqfunctions.udf.CIQ($A6, "IQ_EPS_5YR_ANN_CAGR",IQ_LTM,DateToday,)</f>
        <v>-0.23319999999999999</v>
      </c>
      <c r="BL6" s="4">
        <f>_xll.ciqfunctions.udf.CIQ($A6, "IQ_EPS_3YR_ANN_CAGR",IQ_LTM,DateToday,)</f>
        <v>-4.2229000000000001</v>
      </c>
      <c r="BM6" s="4">
        <f>_xll.ciqfunctions.udf.CIQ($A6, "IQ_EPS_1YR_ANN_GROWTH", IQ_FY,DateToday,)</f>
        <v>-4.8723999999999998</v>
      </c>
      <c r="BN6" s="4">
        <f>_xll.ciqfunctions.udf.CIQ($A6, "IQ_EPS_1YR_ANN_GROWTH", IQ_LTM,DateToday,)</f>
        <v>-10.4223</v>
      </c>
      <c r="BO6" s="20">
        <f>_xll.ciqfunctions.udf.CIQ($A6, "IQ_TOTAL_DEBT_EBITDA",IQ_LTM,DateToday,)</f>
        <v>3.9863300000000002</v>
      </c>
      <c r="BP6" s="20">
        <f>_xll.ciqfunctions.udf.CIQ($A6, "IQ_NET_DEBT_EBITDA",IQ_LTM,DateToday,)</f>
        <v>3.7621500000000001</v>
      </c>
      <c r="BQ6" s="39">
        <f t="shared" si="5"/>
        <v>4.2095476326813541</v>
      </c>
      <c r="BR6" s="20">
        <f>_xll.ciqfunctions.udf.CIQ($A6, "IQ_EBITDA_INT",IQ_LTM,DateToday,)</f>
        <v>6.3545499999999997</v>
      </c>
      <c r="BS6" s="20">
        <f>_xll.ciqfunctions.udf.CIQ($A6, "IQ_EBITDA_CAPEX_INT",IQ_LTM,DateToday,)</f>
        <v>5.3104800000000001</v>
      </c>
      <c r="BT6" s="4">
        <f>_xll.ciqfunctions.udf.CIQ($A6, "IQ_TOTAL_DEBT_EQUITY",IQ_FQ,DateToday,)</f>
        <v>149.27539999999999</v>
      </c>
      <c r="BU6" s="4">
        <f>_xll.ciqfunctions.udf.CIQ($A6, "IQ_TOTAL_DEBT_CAPITAL",IQ_FQ,DateToday,)</f>
        <v>59.883699999999997</v>
      </c>
      <c r="BV6" s="4">
        <f>_xll.ciqfunctions.udf.CIQ($A6, "IQ_RETURN_EQUITY",IQ_LTM,DateToday)</f>
        <v>23.5913</v>
      </c>
      <c r="BW6" s="4">
        <f>_xll.ciqfunctions.udf.CIQ($A6, "IQ_RETURN_ASSETS",IQ_LTM,DateToday)</f>
        <v>5.3109999999999999</v>
      </c>
      <c r="BX6" s="4">
        <f>_xll.ciqfunctions.udf.CIQ($A6, "IQ_RETURN_INVESTED_CAPITAL",IQ_LTM,DateToday)</f>
        <v>3.8140999999999998</v>
      </c>
      <c r="BY6" s="20">
        <f>_xll.ciqfunctions.udf.CIQ($A6, "IQ_CURRENT_RATIO",IQ_FQ,DateToday,)</f>
        <v>0.56286000000000003</v>
      </c>
      <c r="BZ6" s="20">
        <f>_xll.ciqfunctions.udf.CIQ($A6, "IQ_QUICK_RATIO",IQ_FQ,DateToday,)</f>
        <v>0.30425999999999997</v>
      </c>
      <c r="CA6" s="4">
        <f>_xll.ciqfunctions.udf.CIQ($A6, "IQ_DAYS_SALES_OUT",IQ_LTM,DateToday,)</f>
        <v>36.140830000000001</v>
      </c>
      <c r="CB6" s="4">
        <f>_xll.ciqfunctions.udf.CIQ($A6, "IQ_DAYS_INVENTORY_OUT",IQ_LTM,DateToday,)</f>
        <v>52.857900000000001</v>
      </c>
      <c r="CC6" s="4">
        <f>_xll.ciqfunctions.udf.CIQ($A6, "IQ_DAYS_PAYABLE_OUT",IQ_LTM,DateToday,)</f>
        <v>109.05840000000001</v>
      </c>
      <c r="CD6" s="4">
        <f>_xll.ciqfunctions.udf.CIQ($A6, "IQ_CASH_CONVERSION",IQ_LTM,DateToday,)</f>
        <v>-20.05968</v>
      </c>
      <c r="CE6" s="20">
        <f>_xll.ciqfunctions.udf.CIQ($A6, "IQ_ASSET_TURNS",IQ_LTM,DateToday,)</f>
        <v>0.56432000000000004</v>
      </c>
      <c r="CF6" s="20">
        <f>_xll.ciqfunctions.udf.CIQ($A6, "IQ_FIXED_ASSET_TURNS",IQ_LTM,DateToday,)</f>
        <v>5.2847</v>
      </c>
      <c r="CG6" s="20">
        <f>_xll.ciqfunctions.udf.CIQ($A6, "IQ_AR_TURNS",IQ_LTM,DateToday,)</f>
        <v>10.07165</v>
      </c>
      <c r="CH6" s="20">
        <f>_xll.ciqfunctions.udf.CIQ($A6, "IQ_INVENTORY_TURNS",IQ_LTM,DateToday,)</f>
        <v>6.8863799999999999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</row>
    <row r="7" spans="1:168" s="1" customFormat="1" x14ac:dyDescent="0.2">
      <c r="A7" s="36" t="str">
        <f>_xll.ciqfunctions.udf.CIQ($A$10,"IQ_QUICK_COMP",6)</f>
        <v>NYSE:MKC</v>
      </c>
      <c r="B7" s="36" t="str">
        <f>_xll.ciqfunctions.udf.CIQ($A7, "IQ_COMPANY_NAME")</f>
        <v>McCormick &amp; Company, Incorporated</v>
      </c>
      <c r="C7" s="13">
        <f>_xll.ciqfunctions.udf.CIQ($A7,"IQ_PERIODDATE",IQ_FY,DateToday)</f>
        <v>45991</v>
      </c>
      <c r="D7" s="13">
        <f>_xll.ciqfunctions.udf.CIQ($A7,"IQ_PERIODDATE",IQ_LTM,DateToday)</f>
        <v>45991</v>
      </c>
      <c r="E7" s="11">
        <f>_xll.ciqfunctions.udf.CIQ($A7, "IQ_LASTSALEPRICE",DateToday,Ccy,Conv)</f>
        <v>53.07</v>
      </c>
      <c r="F7" s="11">
        <f>_xll.ciqfunctions.udf.CIQ($A7, "IQ_YEARHIGH",DateToday,Ccy,Conv)</f>
        <v>83.15</v>
      </c>
      <c r="G7" s="11">
        <f>_xll.ciqfunctions.udf.CIQ($A7, "IQ_YEARLOW",DateToday,Ccy,Conv)</f>
        <v>51.29</v>
      </c>
      <c r="H7" s="37">
        <f t="shared" si="0"/>
        <v>0.63824413710162353</v>
      </c>
      <c r="I7" s="37">
        <f t="shared" si="1"/>
        <v>1.0347046207837785</v>
      </c>
      <c r="J7" s="4">
        <f>_xll.ciqfunctions.udf.CIQ($A7, "IQ_SHARESOUTSTANDING",DateToday)</f>
        <v>268.43824000000001</v>
      </c>
      <c r="K7" s="22">
        <f t="shared" si="2"/>
        <v>14246.0173968</v>
      </c>
      <c r="L7" s="4">
        <f>_xll.ciqfunctions.udf.CIQ($A7, "IQ_CASH_ST_INVEST",IQ_FQ,DateToday,,"F",Ccy,Conv)</f>
        <v>95.9</v>
      </c>
      <c r="M7" s="4">
        <f>_xll.ciqfunctions.udf.CIQ($A7, "IQ_TOTAL_DEBT",IQ_FQ,DateToday,,"F",Ccy,Conv)</f>
        <v>4222.8999999999996</v>
      </c>
      <c r="N7" s="4">
        <f>_xll.ciqfunctions.udf.CIQ($A7, "IQ_PREF_EQUITY",IQ_FQ,DateToday,,"F",Ccy,Conv)</f>
        <v>0</v>
      </c>
      <c r="O7" s="4">
        <f>_xll.ciqfunctions.udf.CIQ($A7, "IQ_MINORITY_INTEREST_TOTAL",IQ_FQ,DateToday,,"F",Ccy,Conv)</f>
        <v>31.6</v>
      </c>
      <c r="P7" s="22">
        <f t="shared" si="6"/>
        <v>18404.6173968</v>
      </c>
      <c r="Q7" s="4">
        <f>_xll.ciqfunctions.udf.CIQ($A7, "IQ_TOTAL_REV", IQ_FY,DateToday,,,Ccy,Conv)</f>
        <v>6840.3</v>
      </c>
      <c r="R7" s="4">
        <f>_xll.ciqfunctions.udf.CIQ($A7, "IQ_TOTAL_REV", IQ_LTM,DateToday,,,Ccy,Conv)</f>
        <v>6840.3</v>
      </c>
      <c r="S7" s="4">
        <f>_xll.ciqfunctions.udf.CIQ($A7, "IQ_REVENUE_EST", IQ_CY+ 1,DateToday,,,Ccy,Conv)</f>
        <v>7841.7796099999996</v>
      </c>
      <c r="T7" s="4">
        <f>_xll.ciqfunctions.udf.CIQ($A7, "IQ_REVENUE_EST", IQ_CY+ 2,DateToday,,,Ccy,Conv)</f>
        <v>8153.4589100000003</v>
      </c>
      <c r="U7" s="4">
        <f>_xll.ciqfunctions.udf.CIQ($A7, "IQ_EBITDA", IQ_FY,DateToday,,,Ccy,Conv)</f>
        <v>1305.8</v>
      </c>
      <c r="V7" s="4">
        <f>_xll.ciqfunctions.udf.CIQ($A7, "IQ_EBITDA", IQ_LTM,DateToday,,,Ccy,Conv)</f>
        <v>1305.8</v>
      </c>
      <c r="W7" s="4">
        <f>_xll.ciqfunctions.udf.CIQ($A7, "IQ_EBITDA_EST", IQ_CY+ 1,DateToday,,,Ccy,Conv)</f>
        <v>1533.2535800000001</v>
      </c>
      <c r="X7" s="4">
        <f>_xll.ciqfunctions.udf.CIQ($A7, "IQ_EBITDA_EST", IQ_CY+ 2,DateToday,,,Ccy,Conv)</f>
        <v>1637.26224</v>
      </c>
      <c r="Y7" s="11">
        <f>_xll.ciqfunctions.udf.CIQ($A7, "IQ_DILUT_EPS_EXCL", IQ_FY,DateToday,,,Ccy,Conv)</f>
        <v>2.93</v>
      </c>
      <c r="Z7" s="11">
        <f>_xll.ciqfunctions.udf.CIQ($A7, "IQ_DILUT_EPS_EXCL", IQ_LTM,DateToday,,,Ccy,Conv)</f>
        <v>2.93</v>
      </c>
      <c r="AA7" s="11">
        <f>_xll.ciqfunctions.udf.CIQ($A7, "IQ_EPS_EST", IQ_CY+ 1,DateToday,,,Ccy,Conv)</f>
        <v>3.09057</v>
      </c>
      <c r="AB7" s="11">
        <f>_xll.ciqfunctions.udf.CIQ($A7, "IQ_EPS_EST", IQ_CY+ 2,DateToday,,,Ccy,Conv)</f>
        <v>3.3493300000000001</v>
      </c>
      <c r="AC7" s="20">
        <f>_xll.ciqfunctions.udf.CIQ($A7, "IQ_TEV_TOTAL_REV",IQ_LTM,#REF!)</f>
        <v>2.6903999999999999</v>
      </c>
      <c r="AD7" s="20">
        <f>_xll.ciqfunctions.udf.CIQ($A7, "IQ_TEV_TOTAL_REV",IQ_LTM,DateToday)</f>
        <v>2.6903999999999999</v>
      </c>
      <c r="AE7" s="38">
        <f t="shared" si="3"/>
        <v>2.3469949822780087</v>
      </c>
      <c r="AF7" s="38">
        <f t="shared" si="4"/>
        <v>2.2572772610931082</v>
      </c>
      <c r="AG7" s="20">
        <f>_xll.ciqfunctions.udf.CIQ($A7, "IQ_TEV_EBITDA",IQ_LTM,#REF!)</f>
        <v>12.648199999999999</v>
      </c>
      <c r="AH7" s="20">
        <f>_xll.ciqfunctions.udf.CIQ($A7, "IQ_TEV_EBITDA",IQ_LTM,DateToday)</f>
        <v>12.648199999999999</v>
      </c>
      <c r="AI7" s="20">
        <f>_xll.ciqfunctions.udf.CIQ($A7, "IQ_TEV_EBITDA_FWD",IQ_CY+1,DateToday)</f>
        <v>12.00267</v>
      </c>
      <c r="AJ7" s="20">
        <f>_xll.ciqfunctions.udf.CIQ($A7, "IQ_TEV_EBITDA_FWD",IQ_CY+2,DateToday)</f>
        <v>11.24019</v>
      </c>
      <c r="AK7" s="20">
        <f>_xll.ciqfunctions.udf.CIQ($A7, "IQ_PE_EXCL",IQ_LTM,#REF!)</f>
        <v>18.112629999999999</v>
      </c>
      <c r="AL7" s="20">
        <f>_xll.ciqfunctions.udf.CIQ($A7, "IQ_PE_EXCL",IQ_LTM,DateToday)</f>
        <v>18.112629999999999</v>
      </c>
      <c r="AM7" s="20">
        <f>_xll.ciqfunctions.udf.CIQ($A7, "IQ_PE_EXCL_FWD",IQ_CY+1,DateToday)</f>
        <v>17.171589999999998</v>
      </c>
      <c r="AN7" s="20">
        <f>_xll.ciqfunctions.udf.CIQ($A7, "IQ_PE_EXCL_FWD",IQ_CY+2,DateToday)</f>
        <v>15.84496</v>
      </c>
      <c r="AO7" s="20">
        <f>_xll.ciqfunctions.udf.CIQ($A7, "IQ_PBV",IQ_LTM,DateToday,)</f>
        <v>2.48305</v>
      </c>
      <c r="AP7" s="20" t="str">
        <f>_xll.ciqfunctions.udf.CIQ($A7, "IQ_PTBV",IQ_LTM,DateToday,)</f>
        <v>NM</v>
      </c>
      <c r="AQ7" s="4">
        <f>_xll.ciqfunctions.udf.CIQ($A7, "IQ_GROSS_MARGIN", IQ_FY- 2,DateToday,)</f>
        <v>37.562600000000003</v>
      </c>
      <c r="AR7" s="4">
        <f>_xll.ciqfunctions.udf.CIQ($A7, "IQ_GROSS_MARGIN", IQ_FY- 1,DateToday,)</f>
        <v>38.535299999999999</v>
      </c>
      <c r="AS7" s="4">
        <f>_xll.ciqfunctions.udf.CIQ($A7, "IQ_GROSS_MARGIN", IQ_FY,DateToday,)</f>
        <v>37.926600000000001</v>
      </c>
      <c r="AT7" s="4">
        <f>_xll.ciqfunctions.udf.CIQ($A7, "IQ_GROSS_MARGIN", IQ_LTM,DateToday,)</f>
        <v>37.926600000000001</v>
      </c>
      <c r="AU7" s="4">
        <f>_xll.ciqfunctions.udf.CIQ($A7, "IQ_EBITDA_MARGIN", IQ_FY- 2,DateToday,)</f>
        <v>18.214700000000001</v>
      </c>
      <c r="AV7" s="4">
        <f>_xll.ciqfunctions.udf.CIQ($A7, "IQ_EBITDA_MARGIN", IQ_FY- 1,DateToday,)</f>
        <v>18.8155</v>
      </c>
      <c r="AW7" s="4">
        <f>_xll.ciqfunctions.udf.CIQ($A7, "IQ_EBITDA_MARGIN", IQ_FY,DateToday,)</f>
        <v>19.0898</v>
      </c>
      <c r="AX7" s="4">
        <f>_xll.ciqfunctions.udf.CIQ($A7, "IQ_EBITDA_MARGIN", IQ_LTM,DateToday,)</f>
        <v>19.0898</v>
      </c>
      <c r="AY7" s="4">
        <f>_xll.ciqfunctions.udf.CIQ($A7, "IQ_NI_MARGIN", IQ_FY- 2,DateToday,)</f>
        <v>10.2158</v>
      </c>
      <c r="AZ7" s="4">
        <f>_xll.ciqfunctions.udf.CIQ($A7, "IQ_NI_MARGIN", IQ_FY- 1,DateToday,)</f>
        <v>11.7271</v>
      </c>
      <c r="BA7" s="4">
        <f>_xll.ciqfunctions.udf.CIQ($A7, "IQ_NI_MARGIN", IQ_FY,DateToday,)</f>
        <v>11.5404</v>
      </c>
      <c r="BB7" s="4">
        <f>_xll.ciqfunctions.udf.CIQ($A7, "IQ_NI_MARGIN", IQ_LTM,DateToday,)</f>
        <v>11.5404</v>
      </c>
      <c r="BC7" s="4">
        <f>_xll.ciqfunctions.udf.CIQ($A7, "IQ_TOTAL_REV_5YR_ANN_CAGR",IQ_LTM,DateToday,)</f>
        <v>4.0776000000000003</v>
      </c>
      <c r="BD7" s="4">
        <f>_xll.ciqfunctions.udf.CIQ($A7, "IQ_TOTAL_REV_3YR_ANN_CAGR",IQ_LTM,DateToday,)</f>
        <v>2.5074999999999998</v>
      </c>
      <c r="BE7" s="4">
        <f>_xll.ciqfunctions.udf.CIQ($A7, "IQ_TOTAL_REV_1YR_ANN_GROWTH", IQ_FY,DateToday,)</f>
        <v>1.7341</v>
      </c>
      <c r="BF7" s="4">
        <f>_xll.ciqfunctions.udf.CIQ($A7, "IQ_TOTAL_REV_1YR_ANN_GROWTH",IQ_LTM,DateToday,)</f>
        <v>1.7341</v>
      </c>
      <c r="BG7" s="4">
        <f>_xll.ciqfunctions.udf.CIQ($A7, "IQ_EBITDA_5YR_ANN_CAGR",IQ_LTM,DateToday,)</f>
        <v>2.0225</v>
      </c>
      <c r="BH7" s="4">
        <f>_xll.ciqfunctions.udf.CIQ($A7, "IQ_EBITDA_3YR_ANN_CAGR",IQ_LTM,DateToday,)</f>
        <v>5.8033000000000001</v>
      </c>
      <c r="BI7" s="4">
        <f>_xll.ciqfunctions.udf.CIQ($A7, "IQ_EBITDA_1YR_ANN_GROWTH", IQ_FY,DateToday,)</f>
        <v>3.2170999999999998</v>
      </c>
      <c r="BJ7" s="4">
        <f>_xll.ciqfunctions.udf.CIQ($A7, "IQ_EBITDA_1YR_ANN_GROWTH",IQ_LTM,DateToday,)</f>
        <v>3.2170999999999998</v>
      </c>
      <c r="BK7" s="4">
        <f>_xll.ciqfunctions.udf.CIQ($A7, "IQ_EPS_5YR_ANN_CAGR",IQ_LTM,DateToday,)</f>
        <v>1.0566</v>
      </c>
      <c r="BL7" s="4">
        <f>_xll.ciqfunctions.udf.CIQ($A7, "IQ_EPS_3YR_ANN_CAGR",IQ_LTM,DateToday,)</f>
        <v>5.1532</v>
      </c>
      <c r="BM7" s="4">
        <f>_xll.ciqfunctions.udf.CIQ($A7, "IQ_EPS_1YR_ANN_GROWTH", IQ_FY,DateToday,)</f>
        <v>0.34239999999999998</v>
      </c>
      <c r="BN7" s="4">
        <f>_xll.ciqfunctions.udf.CIQ($A7, "IQ_EPS_1YR_ANN_GROWTH", IQ_LTM,DateToday,)</f>
        <v>0.34239999999999998</v>
      </c>
      <c r="BO7" s="20">
        <f>_xll.ciqfunctions.udf.CIQ($A7, "IQ_TOTAL_DEBT_EBITDA",IQ_LTM,DateToday,)</f>
        <v>3.0538799999999999</v>
      </c>
      <c r="BP7" s="20">
        <f>_xll.ciqfunctions.udf.CIQ($A7, "IQ_NET_DEBT_EBITDA",IQ_LTM,DateToday,)</f>
        <v>2.9845199999999998</v>
      </c>
      <c r="BQ7" s="39">
        <f t="shared" si="5"/>
        <v>3.2339561954357481</v>
      </c>
      <c r="BR7" s="20">
        <f>_xll.ciqfunctions.udf.CIQ($A7, "IQ_EBITDA_INT",IQ_LTM,DateToday,)</f>
        <v>7.0479099999999999</v>
      </c>
      <c r="BS7" s="20">
        <f>_xll.ciqfunctions.udf.CIQ($A7, "IQ_EBITDA_CAPEX_INT",IQ_LTM,DateToday,)</f>
        <v>5.9174300000000004</v>
      </c>
      <c r="BT7" s="4">
        <f>_xll.ciqfunctions.udf.CIQ($A7, "IQ_TOTAL_DEBT_EQUITY",IQ_FQ,DateToday,)</f>
        <v>73.211200000000005</v>
      </c>
      <c r="BU7" s="4">
        <f>_xll.ciqfunctions.udf.CIQ($A7, "IQ_TOTAL_DEBT_CAPITAL",IQ_FQ,DateToday,)</f>
        <v>42.267000000000003</v>
      </c>
      <c r="BV7" s="4">
        <f>_xll.ciqfunctions.udf.CIQ($A7, "IQ_RETURN_EQUITY",IQ_LTM,DateToday)</f>
        <v>14.242699999999999</v>
      </c>
      <c r="BW7" s="4">
        <f>_xll.ciqfunctions.udf.CIQ($A7, "IQ_RETURN_ASSETS",IQ_LTM,DateToday)</f>
        <v>5.2282000000000002</v>
      </c>
      <c r="BX7" s="4">
        <f>_xll.ciqfunctions.udf.CIQ($A7, "IQ_RETURN_INVESTED_CAPITAL",IQ_LTM,DateToday)</f>
        <v>3.0836999999999999</v>
      </c>
      <c r="BY7" s="20">
        <f>_xll.ciqfunctions.udf.CIQ($A7, "IQ_CURRENT_RATIO",IQ_FQ,DateToday,)</f>
        <v>0.69821999999999995</v>
      </c>
      <c r="BZ7" s="20">
        <f>_xll.ciqfunctions.udf.CIQ($A7, "IQ_QUICK_RATIO",IQ_FQ,DateToday,)</f>
        <v>0.23669000000000001</v>
      </c>
      <c r="CA7" s="4">
        <f>_xll.ciqfunctions.udf.CIQ($A7, "IQ_DAYS_SALES_OUT",IQ_LTM,DateToday,)</f>
        <v>32.450690000000002</v>
      </c>
      <c r="CB7" s="4">
        <f>_xll.ciqfunctions.udf.CIQ($A7, "IQ_DAYS_INVENTORY_OUT",IQ_LTM,DateToday,)</f>
        <v>107.96554</v>
      </c>
      <c r="CC7" s="4">
        <f>_xll.ciqfunctions.udf.CIQ($A7, "IQ_DAYS_PAYABLE_OUT",IQ_LTM,DateToday,)</f>
        <v>106.54095</v>
      </c>
      <c r="CD7" s="4">
        <f>_xll.ciqfunctions.udf.CIQ($A7, "IQ_CASH_CONVERSION",IQ_LTM,DateToday,)</f>
        <v>33.87529</v>
      </c>
      <c r="CE7" s="20">
        <f>_xll.ciqfunctions.udf.CIQ($A7, "IQ_ASSET_TURNS",IQ_LTM,DateToday,)</f>
        <v>0.52076</v>
      </c>
      <c r="CF7" s="20">
        <f>_xll.ciqfunctions.udf.CIQ($A7, "IQ_FIXED_ASSET_TURNS",IQ_LTM,DateToday,)</f>
        <v>4.1587399999999999</v>
      </c>
      <c r="CG7" s="20">
        <f>_xll.ciqfunctions.udf.CIQ($A7, "IQ_AR_TURNS",IQ_LTM,DateToday,)</f>
        <v>11.247719999999999</v>
      </c>
      <c r="CH7" s="20">
        <f>_xll.ciqfunctions.udf.CIQ($A7, "IQ_INVENTORY_TURNS",IQ_LTM,DateToday,)</f>
        <v>3.3807100000000001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</row>
    <row r="8" spans="1:168" s="1" customFormat="1" x14ac:dyDescent="0.2">
      <c r="A8" s="36" t="str">
        <f>_xll.ciqfunctions.udf.CIQ($A$10,"IQ_QUICK_COMP",7)</f>
        <v>SZSE:300761</v>
      </c>
      <c r="B8" s="36" t="str">
        <f>_xll.ciqfunctions.udf.CIQ($A8, "IQ_COMPANY_NAME")</f>
        <v>Jiangsu Lihua Foods Group Co., Ltd</v>
      </c>
      <c r="C8" s="13">
        <f>_xll.ciqfunctions.udf.CIQ($A8,"IQ_PERIODDATE",IQ_FY,DateToday)</f>
        <v>45657</v>
      </c>
      <c r="D8" s="13">
        <f>_xll.ciqfunctions.udf.CIQ($A8,"IQ_PERIODDATE",IQ_LTM,DateToday)</f>
        <v>45930</v>
      </c>
      <c r="E8" s="11">
        <f>_xll.ciqfunctions.udf.CIQ($A8, "IQ_LASTSALEPRICE",DateToday,Ccy,Conv)</f>
        <v>2.9615200000000002</v>
      </c>
      <c r="F8" s="11">
        <f>_xll.ciqfunctions.udf.CIQ($A8, "IQ_YEARHIGH",DateToday,Ccy,Conv)</f>
        <v>3.6747700000000001</v>
      </c>
      <c r="G8" s="11">
        <f>_xll.ciqfunctions.udf.CIQ($A8, "IQ_YEARLOW",DateToday,Ccy,Conv)</f>
        <v>2.5954899999999999</v>
      </c>
      <c r="H8" s="37">
        <f t="shared" si="0"/>
        <v>0.80590621998111445</v>
      </c>
      <c r="I8" s="37">
        <f t="shared" si="1"/>
        <v>1.1410253940489081</v>
      </c>
      <c r="J8" s="4">
        <f>_xll.ciqfunctions.udf.CIQ($A8, "IQ_SHARESOUTSTANDING",DateToday)</f>
        <v>837.26963999999998</v>
      </c>
      <c r="K8" s="22">
        <f t="shared" si="2"/>
        <v>2479.5907842527999</v>
      </c>
      <c r="L8" s="4">
        <f>_xll.ciqfunctions.udf.CIQ($A8, "IQ_CASH_ST_INVEST",IQ_FQ,DateToday,,"F",Ccy,Conv)</f>
        <v>205.15978000000001</v>
      </c>
      <c r="M8" s="4">
        <f>_xll.ciqfunctions.udf.CIQ($A8, "IQ_TOTAL_DEBT",IQ_FQ,DateToday,,"F",Ccy,Conv)</f>
        <v>491.46001999999999</v>
      </c>
      <c r="N8" s="4">
        <f>_xll.ciqfunctions.udf.CIQ($A8, "IQ_PREF_EQUITY",IQ_FQ,DateToday,,"F",Ccy,Conv)</f>
        <v>0</v>
      </c>
      <c r="O8" s="4">
        <f>_xll.ciqfunctions.udf.CIQ($A8, "IQ_MINORITY_INTEREST_TOTAL",IQ_FQ,DateToday,,"F",Ccy,Conv)</f>
        <v>15.221270000000001</v>
      </c>
      <c r="P8" s="22">
        <f t="shared" si="6"/>
        <v>2781.1122942528</v>
      </c>
      <c r="Q8" s="4">
        <f>_xll.ciqfunctions.udf.CIQ($A8, "IQ_TOTAL_REV", IQ_FY,DateToday,,,Ccy,Conv)</f>
        <v>2428.3645099999999</v>
      </c>
      <c r="R8" s="4">
        <f>_xll.ciqfunctions.udf.CIQ($A8, "IQ_TOTAL_REV", IQ_LTM,DateToday,,,Ccy,Conv)</f>
        <v>2603.41102</v>
      </c>
      <c r="S8" s="4">
        <f>_xll.ciqfunctions.udf.CIQ($A8, "IQ_REVENUE_EST", IQ_CY+ 1,DateToday,,,Ccy,Conv)</f>
        <v>2563.6709900000001</v>
      </c>
      <c r="T8" s="4">
        <f>_xll.ciqfunctions.udf.CIQ($A8, "IQ_REVENUE_EST", IQ_CY+ 2,DateToday,,,Ccy,Conv)</f>
        <v>2933.7858900000001</v>
      </c>
      <c r="U8" s="4">
        <f>_xll.ciqfunctions.udf.CIQ($A8, "IQ_EBITDA", IQ_FY,DateToday,,,Ccy,Conv)</f>
        <v>327.67595</v>
      </c>
      <c r="V8" s="4">
        <f>_xll.ciqfunctions.udf.CIQ($A8, "IQ_EBITDA", IQ_LTM,DateToday,,,Ccy,Conv)</f>
        <v>241.48262</v>
      </c>
      <c r="W8" s="4">
        <f>_xll.ciqfunctions.udf.CIQ($A8, "IQ_EBITDA_EST", IQ_CY+ 1,DateToday,,,Ccy,Conv)</f>
        <v>285.64164</v>
      </c>
      <c r="X8" s="4">
        <f>_xll.ciqfunctions.udf.CIQ($A8, "IQ_EBITDA_EST", IQ_CY+ 2,DateToday,,,Ccy,Conv)</f>
        <v>357.32100000000003</v>
      </c>
      <c r="Y8" s="11">
        <f>_xll.ciqfunctions.udf.CIQ($A8, "IQ_DILUT_EPS_EXCL", IQ_FY,DateToday,,,Ccy,Conv)</f>
        <v>0.25176999999999999</v>
      </c>
      <c r="Z8" s="11">
        <f>_xll.ciqfunctions.udf.CIQ($A8, "IQ_DILUT_EPS_EXCL", IQ_LTM,DateToday,,,Ccy,Conv)</f>
        <v>0.10945000000000001</v>
      </c>
      <c r="AA8" s="11">
        <f>_xll.ciqfunctions.udf.CIQ($A8, "IQ_EPS_EST", IQ_CY+ 1,DateToday,,,Ccy,Conv)</f>
        <v>0.10038999999999999</v>
      </c>
      <c r="AB8" s="11">
        <f>_xll.ciqfunctions.udf.CIQ($A8, "IQ_EPS_EST", IQ_CY+ 2,DateToday,,,Ccy,Conv)</f>
        <v>0.26910000000000001</v>
      </c>
      <c r="AC8" s="20">
        <f>_xll.ciqfunctions.udf.CIQ($A8, "IQ_TEV_TOTAL_REV",IQ_LTM,#REF!)</f>
        <v>1.04054</v>
      </c>
      <c r="AD8" s="20">
        <f>_xll.ciqfunctions.udf.CIQ($A8, "IQ_TEV_TOTAL_REV",IQ_LTM,DateToday)</f>
        <v>1.04054</v>
      </c>
      <c r="AE8" s="38">
        <f t="shared" si="3"/>
        <v>1.08481638443504</v>
      </c>
      <c r="AF8" s="38">
        <f t="shared" si="4"/>
        <v>0.947960212001974</v>
      </c>
      <c r="AG8" s="20">
        <f>_xll.ciqfunctions.udf.CIQ($A8, "IQ_TEV_EBITDA",IQ_LTM,#REF!)</f>
        <v>10.9603</v>
      </c>
      <c r="AH8" s="20">
        <f>_xll.ciqfunctions.udf.CIQ($A8, "IQ_TEV_EBITDA",IQ_LTM,DateToday)</f>
        <v>10.9603</v>
      </c>
      <c r="AI8" s="20">
        <f>_xll.ciqfunctions.udf.CIQ($A8, "IQ_TEV_EBITDA_FWD",IQ_CY+1,DateToday)</f>
        <v>9.6529299999999996</v>
      </c>
      <c r="AJ8" s="20">
        <f>_xll.ciqfunctions.udf.CIQ($A8, "IQ_TEV_EBITDA_FWD",IQ_CY+2,DateToday)</f>
        <v>7.8085199999999997</v>
      </c>
      <c r="AK8" s="20">
        <f>_xll.ciqfunctions.udf.CIQ($A8, "IQ_PE_EXCL",IQ_LTM,#REF!)</f>
        <v>26.270499999999998</v>
      </c>
      <c r="AL8" s="20">
        <f>_xll.ciqfunctions.udf.CIQ($A8, "IQ_PE_EXCL",IQ_LTM,DateToday)</f>
        <v>26.270499999999998</v>
      </c>
      <c r="AM8" s="20">
        <f>_xll.ciqfunctions.udf.CIQ($A8, "IQ_PE_EXCL_FWD",IQ_CY+1,DateToday)</f>
        <v>29.152899999999999</v>
      </c>
      <c r="AN8" s="20">
        <f>_xll.ciqfunctions.udf.CIQ($A8, "IQ_PE_EXCL_FWD",IQ_CY+2,DateToday)</f>
        <v>11.005380000000001</v>
      </c>
      <c r="AO8" s="20">
        <f>_xll.ciqfunctions.udf.CIQ($A8, "IQ_PBV",IQ_LTM,DateToday,)</f>
        <v>1.90059</v>
      </c>
      <c r="AP8" s="20">
        <f>_xll.ciqfunctions.udf.CIQ($A8, "IQ_PTBV",IQ_LTM,DateToday,)</f>
        <v>1.98105</v>
      </c>
      <c r="AQ8" s="4">
        <f>_xll.ciqfunctions.udf.CIQ($A8, "IQ_GROSS_MARGIN", IQ_FY- 2,DateToday,)</f>
        <v>13.043100000000001</v>
      </c>
      <c r="AR8" s="4">
        <f>_xll.ciqfunctions.udf.CIQ($A8, "IQ_GROSS_MARGIN", IQ_FY- 1,DateToday,)</f>
        <v>4.0143000000000004</v>
      </c>
      <c r="AS8" s="4">
        <f>_xll.ciqfunctions.udf.CIQ($A8, "IQ_GROSS_MARGIN", IQ_FY,DateToday,)</f>
        <v>15.6516</v>
      </c>
      <c r="AT8" s="4">
        <f>_xll.ciqfunctions.udf.CIQ($A8, "IQ_GROSS_MARGIN", IQ_LTM,DateToday,)</f>
        <v>11.185</v>
      </c>
      <c r="AU8" s="4">
        <f>_xll.ciqfunctions.udf.CIQ($A8, "IQ_EBITDA_MARGIN", IQ_FY- 2,DateToday,)</f>
        <v>11.0313</v>
      </c>
      <c r="AV8" s="4">
        <f>_xll.ciqfunctions.udf.CIQ($A8, "IQ_EBITDA_MARGIN", IQ_FY- 1,DateToday,)</f>
        <v>2.1070000000000002</v>
      </c>
      <c r="AW8" s="4">
        <f>_xll.ciqfunctions.udf.CIQ($A8, "IQ_EBITDA_MARGIN", IQ_FY,DateToday,)</f>
        <v>13.493600000000001</v>
      </c>
      <c r="AX8" s="4">
        <f>_xll.ciqfunctions.udf.CIQ($A8, "IQ_EBITDA_MARGIN", IQ_LTM,DateToday,)</f>
        <v>9.2756000000000007</v>
      </c>
      <c r="AY8" s="4">
        <f>_xll.ciqfunctions.udf.CIQ($A8, "IQ_NI_MARGIN", IQ_FY- 2,DateToday,)</f>
        <v>6.1654999999999998</v>
      </c>
      <c r="AZ8" s="4">
        <f>_xll.ciqfunctions.udf.CIQ($A8, "IQ_NI_MARGIN", IQ_FY- 1,DateToday,)</f>
        <v>-2.8488000000000002</v>
      </c>
      <c r="BA8" s="4">
        <f>_xll.ciqfunctions.udf.CIQ($A8, "IQ_NI_MARGIN", IQ_FY,DateToday,)</f>
        <v>8.5808999999999997</v>
      </c>
      <c r="BB8" s="4">
        <f>_xll.ciqfunctions.udf.CIQ($A8, "IQ_NI_MARGIN", IQ_LTM,DateToday,)</f>
        <v>3.4923000000000002</v>
      </c>
      <c r="BC8" s="4">
        <f>_xll.ciqfunctions.udf.CIQ($A8, "IQ_TOTAL_REV_5YR_ANN_CAGR",IQ_LTM,DateToday,)</f>
        <v>16.804500000000001</v>
      </c>
      <c r="BD8" s="4">
        <f>_xll.ciqfunctions.udf.CIQ($A8, "IQ_TOTAL_REV_3YR_ANN_CAGR",IQ_LTM,DateToday,)</f>
        <v>11.758699999999999</v>
      </c>
      <c r="BE8" s="4">
        <f>_xll.ciqfunctions.udf.CIQ($A8, "IQ_TOTAL_REV_1YR_ANN_GROWTH", IQ_FY,DateToday,)</f>
        <v>15.4406</v>
      </c>
      <c r="BF8" s="4">
        <f>_xll.ciqfunctions.udf.CIQ($A8, "IQ_TOTAL_REV_1YR_ANN_GROWTH",IQ_LTM,DateToday,)</f>
        <v>9.8177000000000003</v>
      </c>
      <c r="BG8" s="4">
        <f>_xll.ciqfunctions.udf.CIQ($A8, "IQ_EBITDA_5YR_ANN_CAGR",IQ_LTM,DateToday,)</f>
        <v>10.611800000000001</v>
      </c>
      <c r="BH8" s="4">
        <f>_xll.ciqfunctions.udf.CIQ($A8, "IQ_EBITDA_3YR_ANN_CAGR",IQ_LTM,DateToday,)</f>
        <v>24.387699999999999</v>
      </c>
      <c r="BI8" s="4">
        <f>_xll.ciqfunctions.udf.CIQ($A8, "IQ_EBITDA_1YR_ANN_GROWTH", IQ_FY,DateToday,)</f>
        <v>639.29089999999997</v>
      </c>
      <c r="BJ8" s="4">
        <f>_xll.ciqfunctions.udf.CIQ($A8, "IQ_EBITDA_1YR_ANN_GROWTH",IQ_LTM,DateToday,)</f>
        <v>-4.8440000000000003</v>
      </c>
      <c r="BK8" s="4">
        <f>_xll.ciqfunctions.udf.CIQ($A8, "IQ_EPS_5YR_ANN_CAGR",IQ_LTM,DateToday,)</f>
        <v>-7.0233999999999996</v>
      </c>
      <c r="BL8" s="4">
        <f>_xll.ciqfunctions.udf.CIQ($A8, "IQ_EPS_3YR_ANN_CAGR",IQ_LTM,DateToday,)</f>
        <v>-23.723199999999999</v>
      </c>
      <c r="BM8" s="4" t="str">
        <f>_xll.ciqfunctions.udf.CIQ($A8, "IQ_EPS_1YR_ANN_GROWTH", IQ_FY,DateToday,)</f>
        <v>NM</v>
      </c>
      <c r="BN8" s="4">
        <f>_xll.ciqfunctions.udf.CIQ($A8, "IQ_EPS_1YR_ANN_GROWTH", IQ_LTM,DateToday,)</f>
        <v>-36.016599999999997</v>
      </c>
      <c r="BO8" s="20">
        <f>_xll.ciqfunctions.udf.CIQ($A8, "IQ_TOTAL_DEBT_EBITDA",IQ_LTM,DateToday,)</f>
        <v>1.9884299999999999</v>
      </c>
      <c r="BP8" s="20">
        <f>_xll.ciqfunctions.udf.CIQ($A8, "IQ_NET_DEBT_EBITDA",IQ_LTM,DateToday,)</f>
        <v>1.1583600000000001</v>
      </c>
      <c r="BQ8" s="39">
        <f t="shared" si="5"/>
        <v>2.0351776040859586</v>
      </c>
      <c r="BR8" s="20">
        <f>_xll.ciqfunctions.udf.CIQ($A8, "IQ_EBITDA_INT",IQ_LTM,DateToday,)</f>
        <v>20.327449999999999</v>
      </c>
      <c r="BS8" s="20">
        <f>_xll.ciqfunctions.udf.CIQ($A8, "IQ_EBITDA_CAPEX_INT",IQ_LTM,DateToday,)</f>
        <v>2.1164800000000001</v>
      </c>
      <c r="BT8" s="4">
        <f>_xll.ciqfunctions.udf.CIQ($A8, "IQ_TOTAL_DEBT_EQUITY",IQ_FQ,DateToday,)</f>
        <v>38.338700000000003</v>
      </c>
      <c r="BU8" s="4">
        <f>_xll.ciqfunctions.udf.CIQ($A8, "IQ_TOTAL_DEBT_CAPITAL",IQ_FQ,DateToday,)</f>
        <v>27.7136</v>
      </c>
      <c r="BV8" s="4">
        <f>_xll.ciqfunctions.udf.CIQ($A8, "IQ_RETURN_EQUITY",IQ_LTM,DateToday)</f>
        <v>7.0608000000000004</v>
      </c>
      <c r="BW8" s="4">
        <f>_xll.ciqfunctions.udf.CIQ($A8, "IQ_RETURN_ASSETS",IQ_LTM,DateToday)</f>
        <v>3.4161000000000001</v>
      </c>
      <c r="BX8" s="4">
        <f>_xll.ciqfunctions.udf.CIQ($A8, "IQ_RETURN_INVESTED_CAPITAL",IQ_LTM,DateToday)</f>
        <v>0.76880000000000004</v>
      </c>
      <c r="BY8" s="20">
        <f>_xll.ciqfunctions.udf.CIQ($A8, "IQ_CURRENT_RATIO",IQ_FQ,DateToday,)</f>
        <v>0.81589999999999996</v>
      </c>
      <c r="BZ8" s="20">
        <f>_xll.ciqfunctions.udf.CIQ($A8, "IQ_QUICK_RATIO",IQ_FQ,DateToday,)</f>
        <v>0.29557</v>
      </c>
      <c r="CA8" s="4">
        <f>_xll.ciqfunctions.udf.CIQ($A8, "IQ_DAYS_SALES_OUT",IQ_LTM,DateToday,)</f>
        <v>0.46683999999999998</v>
      </c>
      <c r="CB8" s="4">
        <f>_xll.ciqfunctions.udf.CIQ($A8, "IQ_DAYS_INVENTORY_OUT",IQ_LTM,DateToday,)</f>
        <v>66.882239999999996</v>
      </c>
      <c r="CC8" s="4">
        <f>_xll.ciqfunctions.udf.CIQ($A8, "IQ_DAYS_PAYABLE_OUT",IQ_LTM,DateToday,)</f>
        <v>18.879259999999999</v>
      </c>
      <c r="CD8" s="4">
        <f>_xll.ciqfunctions.udf.CIQ($A8, "IQ_CASH_CONVERSION",IQ_LTM,DateToday,)</f>
        <v>48.469810000000003</v>
      </c>
      <c r="CE8" s="20">
        <f>_xll.ciqfunctions.udf.CIQ($A8, "IQ_ASSET_TURNS",IQ_LTM,DateToday,)</f>
        <v>1.2027399999999999</v>
      </c>
      <c r="CF8" s="20">
        <f>_xll.ciqfunctions.udf.CIQ($A8, "IQ_FIXED_ASSET_TURNS",IQ_LTM,DateToday,)</f>
        <v>2.0885500000000001</v>
      </c>
      <c r="CG8" s="20">
        <f>_xll.ciqfunctions.udf.CIQ($A8, "IQ_AR_TURNS",IQ_LTM,DateToday,)</f>
        <v>781.36369999999999</v>
      </c>
      <c r="CH8" s="20">
        <f>_xll.ciqfunctions.udf.CIQ($A8, "IQ_INVENTORY_TURNS",IQ_LTM,DateToday,)</f>
        <v>5.4573499999999999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</row>
    <row r="9" spans="1:168" s="1" customFormat="1" x14ac:dyDescent="0.2">
      <c r="A9" s="36" t="str">
        <f>_xll.ciqfunctions.udf.CIQ($A$10,"IQ_QUICK_COMP",8)</f>
        <v>NasdaqGS:MDLZ</v>
      </c>
      <c r="B9" s="36" t="str">
        <f>_xll.ciqfunctions.udf.CIQ($A9, "IQ_COMPANY_NAME")</f>
        <v>Mondelez International, Inc.</v>
      </c>
      <c r="C9" s="13">
        <f>_xll.ciqfunctions.udf.CIQ($A9,"IQ_PERIODDATE",IQ_FY,DateToday)</f>
        <v>46022</v>
      </c>
      <c r="D9" s="13">
        <f>_xll.ciqfunctions.udf.CIQ($A9,"IQ_PERIODDATE",IQ_LTM,DateToday)</f>
        <v>46022</v>
      </c>
      <c r="E9" s="11">
        <f>_xll.ciqfunctions.udf.CIQ($A9, "IQ_LASTSALEPRICE",DateToday,Ccy,Conv)</f>
        <v>58.27</v>
      </c>
      <c r="F9" s="11">
        <f>_xll.ciqfunctions.udf.CIQ($A9, "IQ_YEARHIGH",DateToday,Ccy,Conv)</f>
        <v>71.150000000000006</v>
      </c>
      <c r="G9" s="11">
        <f>_xll.ciqfunctions.udf.CIQ($A9, "IQ_YEARLOW",DateToday,Ccy,Conv)</f>
        <v>51.200800000000001</v>
      </c>
      <c r="H9" s="37">
        <f t="shared" si="0"/>
        <v>0.81897399859451858</v>
      </c>
      <c r="I9" s="37">
        <f t="shared" si="1"/>
        <v>1.1380681551850753</v>
      </c>
      <c r="J9" s="4">
        <f>_xll.ciqfunctions.udf.CIQ($A9, "IQ_SHARESOUTSTANDING",DateToday)</f>
        <v>1281.8456699999999</v>
      </c>
      <c r="K9" s="22">
        <f t="shared" si="2"/>
        <v>74693.147190899996</v>
      </c>
      <c r="L9" s="4">
        <f>_xll.ciqfunctions.udf.CIQ($A9, "IQ_CASH_ST_INVEST",IQ_FQ,DateToday,,"F",Ccy,Conv)</f>
        <v>2125</v>
      </c>
      <c r="M9" s="4">
        <f>_xll.ciqfunctions.udf.CIQ($A9, "IQ_TOTAL_DEBT",IQ_FQ,DateToday,,"F",Ccy,Conv)</f>
        <v>21968</v>
      </c>
      <c r="N9" s="4">
        <f>_xll.ciqfunctions.udf.CIQ($A9, "IQ_PREF_EQUITY",IQ_FQ,DateToday,,"F",Ccy,Conv)</f>
        <v>0</v>
      </c>
      <c r="O9" s="4">
        <f>_xll.ciqfunctions.udf.CIQ($A9, "IQ_MINORITY_INTEREST_TOTAL",IQ_FQ,DateToday,,"F",Ccy,Conv)</f>
        <v>53</v>
      </c>
      <c r="P9" s="22">
        <f t="shared" si="6"/>
        <v>94589.147190899996</v>
      </c>
      <c r="Q9" s="4">
        <f>_xll.ciqfunctions.udf.CIQ($A9, "IQ_TOTAL_REV", IQ_FY,DateToday,,,Ccy,Conv)</f>
        <v>38537</v>
      </c>
      <c r="R9" s="4">
        <f>_xll.ciqfunctions.udf.CIQ($A9, "IQ_TOTAL_REV", IQ_LTM,DateToday,,,Ccy,Conv)</f>
        <v>38537</v>
      </c>
      <c r="S9" s="4">
        <f>_xll.ciqfunctions.udf.CIQ($A9, "IQ_REVENUE_EST", IQ_CY+ 1,DateToday,,,Ccy,Conv)</f>
        <v>39687.778010000002</v>
      </c>
      <c r="T9" s="4">
        <f>_xll.ciqfunctions.udf.CIQ($A9, "IQ_REVENUE_EST", IQ_CY+ 2,DateToday,,,Ccy,Conv)</f>
        <v>40930.286699999997</v>
      </c>
      <c r="U9" s="4">
        <f>_xll.ciqfunctions.udf.CIQ($A9, "IQ_EBITDA", IQ_FY,DateToday,,,Ccy,Conv)</f>
        <v>4990</v>
      </c>
      <c r="V9" s="4">
        <f>_xll.ciqfunctions.udf.CIQ($A9, "IQ_EBITDA", IQ_LTM,DateToday,,,Ccy,Conv)</f>
        <v>4990</v>
      </c>
      <c r="W9" s="4">
        <f>_xll.ciqfunctions.udf.CIQ($A9, "IQ_EBITDA_EST", IQ_CY+ 1,DateToday,,,Ccy,Conv)</f>
        <v>6745.5524599999999</v>
      </c>
      <c r="X9" s="4">
        <f>_xll.ciqfunctions.udf.CIQ($A9, "IQ_EBITDA_EST", IQ_CY+ 2,DateToday,,,Ccy,Conv)</f>
        <v>7276.7232000000004</v>
      </c>
      <c r="Y9" s="11">
        <f>_xll.ciqfunctions.udf.CIQ($A9, "IQ_DILUT_EPS_EXCL", IQ_FY,DateToday,,,Ccy,Conv)</f>
        <v>1.89</v>
      </c>
      <c r="Z9" s="11">
        <f>_xll.ciqfunctions.udf.CIQ($A9, "IQ_DILUT_EPS_EXCL", IQ_LTM,DateToday,,,Ccy,Conv)</f>
        <v>1.89</v>
      </c>
      <c r="AA9" s="11">
        <f>_xll.ciqfunctions.udf.CIQ($A9, "IQ_EPS_EST", IQ_CY+ 1,DateToday,,,Ccy,Conv)</f>
        <v>3.03376</v>
      </c>
      <c r="AB9" s="11">
        <f>_xll.ciqfunctions.udf.CIQ($A9, "IQ_EPS_EST", IQ_CY+ 2,DateToday,,,Ccy,Conv)</f>
        <v>3.3797700000000002</v>
      </c>
      <c r="AC9" s="20">
        <f>_xll.ciqfunctions.udf.CIQ($A9, "IQ_TEV_TOTAL_REV",IQ_LTM,#REF!)</f>
        <v>2.4544999999999999</v>
      </c>
      <c r="AD9" s="20">
        <f>_xll.ciqfunctions.udf.CIQ($A9, "IQ_TEV_TOTAL_REV",IQ_LTM,DateToday)</f>
        <v>2.4544999999999999</v>
      </c>
      <c r="AE9" s="38">
        <f t="shared" si="3"/>
        <v>2.3833318954532219</v>
      </c>
      <c r="AF9" s="38">
        <f t="shared" si="4"/>
        <v>2.3109817892113615</v>
      </c>
      <c r="AG9" s="20">
        <f>_xll.ciqfunctions.udf.CIQ($A9, "IQ_TEV_EBITDA",IQ_LTM,#REF!)</f>
        <v>16.191230000000001</v>
      </c>
      <c r="AH9" s="20">
        <f>_xll.ciqfunctions.udf.CIQ($A9, "IQ_TEV_EBITDA",IQ_LTM,DateToday)</f>
        <v>16.191230000000001</v>
      </c>
      <c r="AI9" s="20">
        <f>_xll.ciqfunctions.udf.CIQ($A9, "IQ_TEV_EBITDA_FWD",IQ_CY+1,DateToday)</f>
        <v>14.022449999999999</v>
      </c>
      <c r="AJ9" s="20">
        <f>_xll.ciqfunctions.udf.CIQ($A9, "IQ_TEV_EBITDA_FWD",IQ_CY+2,DateToday)</f>
        <v>12.99887</v>
      </c>
      <c r="AK9" s="20">
        <f>_xll.ciqfunctions.udf.CIQ($A9, "IQ_PE_EXCL",IQ_LTM,#REF!)</f>
        <v>30.830690000000001</v>
      </c>
      <c r="AL9" s="20">
        <f>_xll.ciqfunctions.udf.CIQ($A9, "IQ_PE_EXCL",IQ_LTM,DateToday)</f>
        <v>30.830690000000001</v>
      </c>
      <c r="AM9" s="20">
        <f>_xll.ciqfunctions.udf.CIQ($A9, "IQ_PE_EXCL_FWD",IQ_CY+1,DateToday)</f>
        <v>19.207190000000001</v>
      </c>
      <c r="AN9" s="20">
        <f>_xll.ciqfunctions.udf.CIQ($A9, "IQ_PE_EXCL_FWD",IQ_CY+2,DateToday)</f>
        <v>17.240819999999999</v>
      </c>
      <c r="AO9" s="20">
        <f>_xll.ciqfunctions.udf.CIQ($A9, "IQ_PBV",IQ_LTM,DateToday,)</f>
        <v>2.8902199999999998</v>
      </c>
      <c r="AP9" s="20" t="str">
        <f>_xll.ciqfunctions.udf.CIQ($A9, "IQ_PTBV",IQ_LTM,DateToday,)</f>
        <v>NM</v>
      </c>
      <c r="AQ9" s="4">
        <f>_xll.ciqfunctions.udf.CIQ($A9, "IQ_GROSS_MARGIN", IQ_FY- 2,DateToday,)</f>
        <v>38.216299999999997</v>
      </c>
      <c r="AR9" s="4">
        <f>_xll.ciqfunctions.udf.CIQ($A9, "IQ_GROSS_MARGIN", IQ_FY- 1,DateToday,)</f>
        <v>39.1235</v>
      </c>
      <c r="AS9" s="4">
        <f>_xll.ciqfunctions.udf.CIQ($A9, "IQ_GROSS_MARGIN", IQ_FY,DateToday,)</f>
        <v>28.375299999999999</v>
      </c>
      <c r="AT9" s="4">
        <f>_xll.ciqfunctions.udf.CIQ($A9, "IQ_GROSS_MARGIN", IQ_LTM,DateToday,)</f>
        <v>28.375299999999999</v>
      </c>
      <c r="AU9" s="4">
        <f>_xll.ciqfunctions.udf.CIQ($A9, "IQ_EBITDA_MARGIN", IQ_FY- 2,DateToday,)</f>
        <v>19.1525</v>
      </c>
      <c r="AV9" s="4">
        <f>_xll.ciqfunctions.udf.CIQ($A9, "IQ_EBITDA_MARGIN", IQ_FY- 1,DateToday,)</f>
        <v>21.239799999999999</v>
      </c>
      <c r="AW9" s="4">
        <f>_xll.ciqfunctions.udf.CIQ($A9, "IQ_EBITDA_MARGIN", IQ_FY,DateToday,)</f>
        <v>12.948499999999999</v>
      </c>
      <c r="AX9" s="4">
        <f>_xll.ciqfunctions.udf.CIQ($A9, "IQ_EBITDA_MARGIN", IQ_LTM,DateToday,)</f>
        <v>12.948499999999999</v>
      </c>
      <c r="AY9" s="4">
        <f>_xll.ciqfunctions.udf.CIQ($A9, "IQ_NI_MARGIN", IQ_FY- 2,DateToday,)</f>
        <v>13.768800000000001</v>
      </c>
      <c r="AZ9" s="4">
        <f>_xll.ciqfunctions.udf.CIQ($A9, "IQ_NI_MARGIN", IQ_FY- 1,DateToday,)</f>
        <v>12.6533</v>
      </c>
      <c r="BA9" s="4">
        <f>_xll.ciqfunctions.udf.CIQ($A9, "IQ_NI_MARGIN", IQ_FY,DateToday,)</f>
        <v>6.3601000000000001</v>
      </c>
      <c r="BB9" s="4">
        <f>_xll.ciqfunctions.udf.CIQ($A9, "IQ_NI_MARGIN", IQ_LTM,DateToday,)</f>
        <v>6.3601000000000001</v>
      </c>
      <c r="BC9" s="4">
        <f>_xll.ciqfunctions.udf.CIQ($A9, "IQ_TOTAL_REV_5YR_ANN_CAGR",IQ_LTM,DateToday,)</f>
        <v>7.7112999999999996</v>
      </c>
      <c r="BD9" s="4">
        <f>_xll.ciqfunctions.udf.CIQ($A9, "IQ_TOTAL_REV_3YR_ANN_CAGR",IQ_LTM,DateToday,)</f>
        <v>6.9565999999999999</v>
      </c>
      <c r="BE9" s="4">
        <f>_xll.ciqfunctions.udf.CIQ($A9, "IQ_TOTAL_REV_1YR_ANN_GROWTH", IQ_FY,DateToday,)</f>
        <v>5.7516999999999996</v>
      </c>
      <c r="BF9" s="4">
        <f>_xll.ciqfunctions.udf.CIQ($A9, "IQ_TOTAL_REV_1YR_ANN_GROWTH",IQ_LTM,DateToday,)</f>
        <v>5.7516999999999996</v>
      </c>
      <c r="BG9" s="4">
        <f>_xll.ciqfunctions.udf.CIQ($A9, "IQ_EBITDA_5YR_ANN_CAGR",IQ_LTM,DateToday,)</f>
        <v>-1.6251</v>
      </c>
      <c r="BH9" s="4">
        <f>_xll.ciqfunctions.udf.CIQ($A9, "IQ_EBITDA_3YR_ANN_CAGR",IQ_LTM,DateToday,)</f>
        <v>-5.0972999999999997</v>
      </c>
      <c r="BI9" s="4">
        <f>_xll.ciqfunctions.udf.CIQ($A9, "IQ_EBITDA_1YR_ANN_GROWTH", IQ_FY,DateToday,)</f>
        <v>-35.529800000000002</v>
      </c>
      <c r="BJ9" s="4">
        <f>_xll.ciqfunctions.udf.CIQ($A9, "IQ_EBITDA_1YR_ANN_GROWTH",IQ_LTM,DateToday,)</f>
        <v>-35.529800000000002</v>
      </c>
      <c r="BK9" s="4">
        <f>_xll.ciqfunctions.udf.CIQ($A9, "IQ_EPS_5YR_ANN_CAGR",IQ_LTM,DateToday,)</f>
        <v>-5.2121000000000004</v>
      </c>
      <c r="BL9" s="4">
        <f>_xll.ciqfunctions.udf.CIQ($A9, "IQ_EPS_3YR_ANN_CAGR",IQ_LTM,DateToday,)</f>
        <v>-1.2050000000000001</v>
      </c>
      <c r="BM9" s="4">
        <f>_xll.ciqfunctions.udf.CIQ($A9, "IQ_EPS_1YR_ANN_GROWTH", IQ_FY,DateToday,)</f>
        <v>-44.736899999999999</v>
      </c>
      <c r="BN9" s="4">
        <f>_xll.ciqfunctions.udf.CIQ($A9, "IQ_EPS_1YR_ANN_GROWTH", IQ_LTM,DateToday,)</f>
        <v>-44.736899999999999</v>
      </c>
      <c r="BO9" s="20">
        <f>_xll.ciqfunctions.udf.CIQ($A9, "IQ_TOTAL_DEBT_EBITDA",IQ_LTM,DateToday,)</f>
        <v>3.80267</v>
      </c>
      <c r="BP9" s="20">
        <f>_xll.ciqfunctions.udf.CIQ($A9, "IQ_NET_DEBT_EBITDA",IQ_LTM,DateToday,)</f>
        <v>3.4348299999999998</v>
      </c>
      <c r="BQ9" s="39">
        <f t="shared" si="5"/>
        <v>4.4024048096192381</v>
      </c>
      <c r="BR9" s="20">
        <f>_xll.ciqfunctions.udf.CIQ($A9, "IQ_EBITDA_INT",IQ_LTM,DateToday,)</f>
        <v>9.8921200000000002</v>
      </c>
      <c r="BS9" s="20">
        <f>_xll.ciqfunctions.udf.CIQ($A9, "IQ_EBITDA_CAPEX_INT",IQ_LTM,DateToday,)</f>
        <v>7.7020499999999998</v>
      </c>
      <c r="BT9" s="4">
        <f>_xll.ciqfunctions.udf.CIQ($A9, "IQ_TOTAL_DEBT_EQUITY",IQ_FQ,DateToday,)</f>
        <v>84.847999999999999</v>
      </c>
      <c r="BU9" s="4">
        <f>_xll.ciqfunctions.udf.CIQ($A9, "IQ_TOTAL_DEBT_CAPITAL",IQ_FQ,DateToday,)</f>
        <v>45.901499999999999</v>
      </c>
      <c r="BV9" s="4">
        <f>_xll.ciqfunctions.udf.CIQ($A9, "IQ_RETURN_EQUITY",IQ_LTM,DateToday)</f>
        <v>9.3322000000000003</v>
      </c>
      <c r="BW9" s="4">
        <f>_xll.ciqfunctions.udf.CIQ($A9, "IQ_RETURN_ASSETS",IQ_LTM,DateToday)</f>
        <v>3.2431999999999999</v>
      </c>
      <c r="BX9" s="4">
        <f>_xll.ciqfunctions.udf.CIQ($A9, "IQ_RETURN_INVESTED_CAPITAL",IQ_LTM,DateToday)</f>
        <v>-7.7100000000000002E-2</v>
      </c>
      <c r="BY9" s="20">
        <f>_xll.ciqfunctions.udf.CIQ($A9, "IQ_CURRENT_RATIO",IQ_FQ,DateToday,)</f>
        <v>0.59233999999999998</v>
      </c>
      <c r="BZ9" s="20">
        <f>_xll.ciqfunctions.udf.CIQ($A9, "IQ_QUICK_RATIO",IQ_FQ,DateToday,)</f>
        <v>0.31938</v>
      </c>
      <c r="CA9" s="4">
        <f>_xll.ciqfunctions.udf.CIQ($A9, "IQ_DAYS_SALES_OUT",IQ_LTM,DateToday,)</f>
        <v>36.829599999999999</v>
      </c>
      <c r="CB9" s="4">
        <f>_xll.ciqfunctions.udf.CIQ($A9, "IQ_DAYS_INVENTORY_OUT",IQ_LTM,DateToday,)</f>
        <v>54.521149999999999</v>
      </c>
      <c r="CC9" s="4">
        <f>_xll.ciqfunctions.udf.CIQ($A9, "IQ_DAYS_PAYABLE_OUT",IQ_LTM,DateToday,)</f>
        <v>126.68968</v>
      </c>
      <c r="CD9" s="4">
        <f>_xll.ciqfunctions.udf.CIQ($A9, "IQ_CASH_CONVERSION",IQ_LTM,DateToday,)</f>
        <v>-35.338940000000001</v>
      </c>
      <c r="CE9" s="20">
        <f>_xll.ciqfunctions.udf.CIQ($A9, "IQ_ASSET_TURNS",IQ_LTM,DateToday,)</f>
        <v>0.55059000000000002</v>
      </c>
      <c r="CF9" s="20">
        <f>_xll.ciqfunctions.udf.CIQ($A9, "IQ_FIXED_ASSET_TURNS",IQ_LTM,DateToday,)</f>
        <v>3.5606599999999999</v>
      </c>
      <c r="CG9" s="20">
        <f>_xll.ciqfunctions.udf.CIQ($A9, "IQ_AR_TURNS",IQ_LTM,DateToday,)</f>
        <v>9.9105100000000004</v>
      </c>
      <c r="CH9" s="20">
        <f>_xll.ciqfunctions.udf.CIQ($A9, "IQ_INVENTORY_TURNS",IQ_LTM,DateToday,)</f>
        <v>6.6946399999999997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</row>
    <row r="10" spans="1:168" s="14" customFormat="1" x14ac:dyDescent="0.2">
      <c r="A10" s="60" t="str">
        <f>InputTicker</f>
        <v>NASDAQ:CALM</v>
      </c>
      <c r="B10" s="61" t="str">
        <f>_xll.ciqfunctions.udf.CIQ($A10, "IQ_COMPANY_NAME")</f>
        <v>Cal-Maine Foods, Inc.</v>
      </c>
      <c r="C10" s="62">
        <f>_xll.ciqfunctions.udf.CIQ($A10,"IQ_PERIODDATE",IQ_FY,DateToday)</f>
        <v>45808</v>
      </c>
      <c r="D10" s="62">
        <f>_xll.ciqfunctions.udf.CIQ($A10,"IQ_PERIODDATE",IQ_LTM,DateToday)</f>
        <v>45990</v>
      </c>
      <c r="E10" s="63">
        <f>_xll.ciqfunctions.udf.CIQ($A10, "IQ_LASTSALEPRICE",DateToday,Ccy,Conv)</f>
        <v>77.12</v>
      </c>
      <c r="F10" s="63">
        <f>_xll.ciqfunctions.udf.CIQ($A10, "IQ_YEARHIGH",DateToday,Ccy,Conv)</f>
        <v>126.4</v>
      </c>
      <c r="G10" s="63">
        <f>_xll.ciqfunctions.udf.CIQ($A10, "IQ_YEARLOW",DateToday,Ccy,Conv)</f>
        <v>71.92</v>
      </c>
      <c r="H10" s="64">
        <f t="shared" si="0"/>
        <v>0.61012658227848104</v>
      </c>
      <c r="I10" s="64">
        <f t="shared" si="1"/>
        <v>1.0723025583982202</v>
      </c>
      <c r="J10" s="10">
        <f>_xll.ciqfunctions.udf.CIQ($A10, "IQ_SHARESOUTSTANDING",DateToday)</f>
        <v>47.654049999999998</v>
      </c>
      <c r="K10" s="65">
        <f t="shared" si="2"/>
        <v>3675.080336</v>
      </c>
      <c r="L10" s="10">
        <f>_xll.ciqfunctions.udf.CIQ($A10, "IQ_CASH_ST_INVEST",IQ_FQ,DateToday,,"F",Ccy,Conv)</f>
        <v>1138.9880000000001</v>
      </c>
      <c r="M10" s="10">
        <f>_xll.ciqfunctions.udf.CIQ($A10, "IQ_TOTAL_DEBT",IQ_FQ,DateToday,,"F",Ccy,Conv)</f>
        <v>0</v>
      </c>
      <c r="N10" s="10">
        <f>_xll.ciqfunctions.udf.CIQ($A10, "IQ_PREF_EQUITY",IQ_FQ,DateToday,,"F",Ccy,Conv)</f>
        <v>0</v>
      </c>
      <c r="O10" s="10">
        <f>_xll.ciqfunctions.udf.CIQ($A10, "IQ_MINORITY_INTEREST_TOTAL",IQ_FQ,DateToday,,"F",Ccy,Conv)</f>
        <v>6.3049999999999997</v>
      </c>
      <c r="P10" s="65">
        <f t="shared" si="6"/>
        <v>2542.3973359999995</v>
      </c>
      <c r="Q10" s="10">
        <f>_xll.ciqfunctions.udf.CIQ($A10, "IQ_TOTAL_REV", IQ_FY,DateToday,,,Ccy,Conv)</f>
        <v>4261.8850000000002</v>
      </c>
      <c r="R10" s="10">
        <f>_xll.ciqfunctions.udf.CIQ($A10, "IQ_TOTAL_REV", IQ_LTM,DateToday,,,Ccy,Conv)</f>
        <v>4213.4430000000002</v>
      </c>
      <c r="S10" s="10">
        <f>_xll.ciqfunctions.udf.CIQ($A10, "IQ_REVENUE_EST", IQ_CY+ 1,DateToday,,,Ccy,Conv)</f>
        <v>2684.8393000000001</v>
      </c>
      <c r="T10" s="10">
        <f>_xll.ciqfunctions.udf.CIQ($A10, "IQ_REVENUE_EST", IQ_CY+ 2,DateToday,,,Ccy,Conv)</f>
        <v>2819.0376999999999</v>
      </c>
      <c r="U10" s="10">
        <f>_xll.ciqfunctions.udf.CIQ($A10, "IQ_EBITDA", IQ_FY,DateToday,,,Ccy,Conv)</f>
        <v>1645.4570000000001</v>
      </c>
      <c r="V10" s="10">
        <f>_xll.ciqfunctions.udf.CIQ($A10, "IQ_EBITDA", IQ_LTM,DateToday,,,Ccy,Conv)</f>
        <v>1564.106</v>
      </c>
      <c r="W10" s="10">
        <f>_xll.ciqfunctions.udf.CIQ($A10, "IQ_EBITDA_EST", IQ_CY+ 1,DateToday,,,Ccy,Conv)</f>
        <v>265.10599999999999</v>
      </c>
      <c r="X10" s="10">
        <f>_xll.ciqfunctions.udf.CIQ($A10, "IQ_EBITDA_EST", IQ_CY+ 2,DateToday,,,Ccy,Conv)</f>
        <v>376.90320000000003</v>
      </c>
      <c r="Y10" s="63">
        <f>_xll.ciqfunctions.udf.CIQ($A10, "IQ_DILUT_EPS_EXCL", IQ_FY,DateToday,,,Ccy,Conv)</f>
        <v>24.95</v>
      </c>
      <c r="Z10" s="63">
        <f>_xll.ciqfunctions.udf.CIQ($A10, "IQ_DILUT_EPS_EXCL", IQ_LTM,DateToday,,,Ccy,Conv)</f>
        <v>23.74391</v>
      </c>
      <c r="AA10" s="63">
        <f>_xll.ciqfunctions.udf.CIQ($A10, "IQ_EPS_EST", IQ_CY+ 1,DateToday,,,Ccy,Conv)</f>
        <v>3.125</v>
      </c>
      <c r="AB10" s="63">
        <f>_xll.ciqfunctions.udf.CIQ($A10, "IQ_EPS_EST", IQ_CY+ 2,DateToday,,,Ccy,Conv)</f>
        <v>4.9024999999999999</v>
      </c>
      <c r="AC10" s="66">
        <f>_xll.ciqfunctions.udf.CIQ($A10, "IQ_TEV_TOTAL_REV",IQ_LTM,#REF!)</f>
        <v>0.60340000000000005</v>
      </c>
      <c r="AD10" s="66">
        <f>_xll.ciqfunctions.udf.CIQ($A10, "IQ_TEV_TOTAL_REV",IQ_LTM,DateToday)</f>
        <v>0.60340000000000005</v>
      </c>
      <c r="AE10" s="67">
        <f t="shared" si="3"/>
        <v>0.94694581385187537</v>
      </c>
      <c r="AF10" s="67">
        <f t="shared" si="4"/>
        <v>0.90186709315735636</v>
      </c>
      <c r="AG10" s="66">
        <f>_xll.ciqfunctions.udf.CIQ($A10, "IQ_TEV_EBITDA",IQ_LTM,#REF!)</f>
        <v>1.6190199999999999</v>
      </c>
      <c r="AH10" s="66">
        <f>_xll.ciqfunctions.udf.CIQ($A10, "IQ_TEV_EBITDA",IQ_LTM,DateToday)</f>
        <v>1.6190199999999999</v>
      </c>
      <c r="AI10" s="66">
        <f>_xll.ciqfunctions.udf.CIQ($A10, "IQ_TEV_EBITDA_FWD",IQ_CY+1,DateToday)</f>
        <v>9.5901200000000006</v>
      </c>
      <c r="AJ10" s="66">
        <f>_xll.ciqfunctions.udf.CIQ($A10, "IQ_TEV_EBITDA_FWD",IQ_CY+2,DateToday)</f>
        <v>6.7454900000000002</v>
      </c>
      <c r="AK10" s="66">
        <f>_xll.ciqfunctions.udf.CIQ($A10, "IQ_PE_EXCL",IQ_LTM,#REF!)</f>
        <v>3.2479900000000002</v>
      </c>
      <c r="AL10" s="66">
        <f>_xll.ciqfunctions.udf.CIQ($A10, "IQ_PE_EXCL",IQ_LTM,DateToday)</f>
        <v>3.2479900000000002</v>
      </c>
      <c r="AM10" s="66">
        <f>_xll.ciqfunctions.udf.CIQ($A10, "IQ_PE_EXCL_FWD",IQ_CY+1,DateToday)</f>
        <v>24.6784</v>
      </c>
      <c r="AN10" s="66">
        <f>_xll.ciqfunctions.udf.CIQ($A10, "IQ_PE_EXCL_FWD",IQ_CY+2,DateToday)</f>
        <v>15.73075</v>
      </c>
      <c r="AO10" s="66">
        <f>_xll.ciqfunctions.udf.CIQ($A10, "IQ_PBV",IQ_LTM,DateToday,)</f>
        <v>1.3654599999999999</v>
      </c>
      <c r="AP10" s="66">
        <f>_xll.ciqfunctions.udf.CIQ($A10, "IQ_PTBV",IQ_LTM,DateToday,)</f>
        <v>1.4416</v>
      </c>
      <c r="AQ10" s="10">
        <f>_xll.ciqfunctions.udf.CIQ($A10, "IQ_GROSS_MARGIN", IQ_FY- 2,DateToday,)</f>
        <v>38.028399999999998</v>
      </c>
      <c r="AR10" s="10">
        <f>_xll.ciqfunctions.udf.CIQ($A10, "IQ_GROSS_MARGIN", IQ_FY- 1,DateToday,)</f>
        <v>23.2789</v>
      </c>
      <c r="AS10" s="10">
        <f>_xll.ciqfunctions.udf.CIQ($A10, "IQ_GROSS_MARGIN", IQ_FY,DateToday,)</f>
        <v>43.428699999999999</v>
      </c>
      <c r="AT10" s="10">
        <f>_xll.ciqfunctions.udf.CIQ($A10, "IQ_GROSS_MARGIN", IQ_LTM,DateToday,)</f>
        <v>41.921100000000003</v>
      </c>
      <c r="AU10" s="10">
        <f>_xll.ciqfunctions.udf.CIQ($A10, "IQ_EBITDA_MARGIN", IQ_FY- 2,DateToday,)</f>
        <v>32.943800000000003</v>
      </c>
      <c r="AV10" s="10">
        <f>_xll.ciqfunctions.udf.CIQ($A10, "IQ_EBITDA_MARGIN", IQ_FY- 1,DateToday,)</f>
        <v>16.950099999999999</v>
      </c>
      <c r="AW10" s="10">
        <f>_xll.ciqfunctions.udf.CIQ($A10, "IQ_EBITDA_MARGIN", IQ_FY,DateToday,)</f>
        <v>38.608600000000003</v>
      </c>
      <c r="AX10" s="10">
        <f>_xll.ciqfunctions.udf.CIQ($A10, "IQ_EBITDA_MARGIN", IQ_LTM,DateToday,)</f>
        <v>37.1218</v>
      </c>
      <c r="AY10" s="10">
        <f>_xll.ciqfunctions.udf.CIQ($A10, "IQ_NI_MARGIN", IQ_FY- 2,DateToday,)</f>
        <v>24.0931</v>
      </c>
      <c r="AZ10" s="10">
        <f>_xll.ciqfunctions.udf.CIQ($A10, "IQ_NI_MARGIN", IQ_FY- 1,DateToday,)</f>
        <v>11.944699999999999</v>
      </c>
      <c r="BA10" s="10">
        <f>_xll.ciqfunctions.udf.CIQ($A10, "IQ_NI_MARGIN", IQ_FY,DateToday,)</f>
        <v>28.626899999999999</v>
      </c>
      <c r="BB10" s="10">
        <f>_xll.ciqfunctions.udf.CIQ($A10, "IQ_NI_MARGIN", IQ_LTM,DateToday,)</f>
        <v>27.3673</v>
      </c>
      <c r="BC10" s="10">
        <f>_xll.ciqfunctions.udf.CIQ($A10, "IQ_TOTAL_REV_5YR_ANN_CAGR",IQ_LTM,DateToday,)</f>
        <v>23.969100000000001</v>
      </c>
      <c r="BD10" s="10">
        <f>_xll.ciqfunctions.udf.CIQ($A10, "IQ_TOTAL_REV_3YR_ANN_CAGR",IQ_LTM,DateToday,)</f>
        <v>18.525200000000002</v>
      </c>
      <c r="BE10" s="10">
        <f>_xll.ciqfunctions.udf.CIQ($A10, "IQ_TOTAL_REV_1YR_ANN_GROWTH", IQ_FY,DateToday,)</f>
        <v>83.193100000000001</v>
      </c>
      <c r="BF10" s="10">
        <f>_xll.ciqfunctions.udf.CIQ($A10, "IQ_TOTAL_REV_1YR_ANN_GROWTH",IQ_LTM,DateToday,)</f>
        <v>36.604599999999998</v>
      </c>
      <c r="BG10" s="10">
        <f>_xll.ciqfunctions.udf.CIQ($A10, "IQ_EBITDA_5YR_ANN_CAGR",IQ_LTM,DateToday,)</f>
        <v>64.838899999999995</v>
      </c>
      <c r="BH10" s="10">
        <f>_xll.ciqfunctions.udf.CIQ($A10, "IQ_EBITDA_3YR_ANN_CAGR",IQ_LTM,DateToday,)</f>
        <v>32.310699999999997</v>
      </c>
      <c r="BI10" s="10">
        <f>_xll.ciqfunctions.udf.CIQ($A10, "IQ_EBITDA_1YR_ANN_GROWTH", IQ_FY,DateToday,)</f>
        <v>317.27379999999999</v>
      </c>
      <c r="BJ10" s="10">
        <f>_xll.ciqfunctions.udf.CIQ($A10, "IQ_EBITDA_1YR_ANN_GROWTH",IQ_LTM,DateToday,)</f>
        <v>86.861099999999993</v>
      </c>
      <c r="BK10" s="10">
        <f>_xll.ciqfunctions.udf.CIQ($A10, "IQ_EPS_5YR_ANN_CAGR",IQ_LTM,DateToday,)</f>
        <v>76.7547</v>
      </c>
      <c r="BL10" s="10">
        <f>_xll.ciqfunctions.udf.CIQ($A10, "IQ_EPS_3YR_ANN_CAGR",IQ_LTM,DateToday,)</f>
        <v>34.738999999999997</v>
      </c>
      <c r="BM10" s="10">
        <f>_xll.ciqfunctions.udf.CIQ($A10, "IQ_EPS_1YR_ANN_GROWTH", IQ_FY,DateToday,)</f>
        <v>338.48849999999999</v>
      </c>
      <c r="BN10" s="10">
        <f>_xll.ciqfunctions.udf.CIQ($A10, "IQ_EPS_1YR_ANN_GROWTH", IQ_LTM,DateToday,)</f>
        <v>84.641499999999994</v>
      </c>
      <c r="BO10" s="66">
        <f>_xll.ciqfunctions.udf.CIQ($A10, "IQ_TOTAL_DEBT_EBITDA",IQ_LTM,DateToday,)</f>
        <v>0</v>
      </c>
      <c r="BP10" s="66" t="str">
        <f>_xll.ciqfunctions.udf.CIQ($A10, "IQ_NET_DEBT_EBITDA",IQ_LTM,DateToday,)</f>
        <v>NM</v>
      </c>
      <c r="BQ10" s="68">
        <f t="shared" si="5"/>
        <v>0</v>
      </c>
      <c r="BR10" s="66">
        <f>_xll.ciqfunctions.udf.CIQ($A10, "IQ_EBITDA_INT",IQ_LTM,DateToday,)</f>
        <v>2395.2618699999998</v>
      </c>
      <c r="BS10" s="66">
        <f>_xll.ciqfunctions.udf.CIQ($A10, "IQ_EBITDA_CAPEX_INT",IQ_LTM,DateToday,)</f>
        <v>2107.66462</v>
      </c>
      <c r="BT10" s="10">
        <f>_xll.ciqfunctions.udf.CIQ($A10, "IQ_TOTAL_DEBT_EQUITY",IQ_FQ,DateToday,)</f>
        <v>0</v>
      </c>
      <c r="BU10" s="10">
        <f>_xll.ciqfunctions.udf.CIQ($A10, "IQ_TOTAL_DEBT_CAPITAL",IQ_FQ,DateToday,)</f>
        <v>0</v>
      </c>
      <c r="BV10" s="10">
        <f>_xll.ciqfunctions.udf.CIQ($A10, "IQ_RETURN_EQUITY",IQ_LTM,DateToday)</f>
        <v>48.526200000000003</v>
      </c>
      <c r="BW10" s="10">
        <f>_xll.ciqfunctions.udf.CIQ($A10, "IQ_RETURN_ASSETS",IQ_LTM,DateToday)</f>
        <v>32.305900000000001</v>
      </c>
      <c r="BX10" s="10">
        <f>_xll.ciqfunctions.udf.CIQ($A10, "IQ_RETURN_INVESTED_CAPITAL",IQ_LTM,DateToday)</f>
        <v>30.7438</v>
      </c>
      <c r="BY10" s="66">
        <f>_xll.ciqfunctions.udf.CIQ($A10, "IQ_CURRENT_RATIO",IQ_FQ,DateToday,)</f>
        <v>8.0173400000000008</v>
      </c>
      <c r="BZ10" s="66">
        <f>_xll.ciqfunctions.udf.CIQ($A10, "IQ_QUICK_RATIO",IQ_FQ,DateToday,)</f>
        <v>6.4039200000000003</v>
      </c>
      <c r="CA10" s="10">
        <f>_xll.ciqfunctions.udf.CIQ($A10, "IQ_DAYS_SALES_OUT",IQ_LTM,DateToday,)</f>
        <v>23.44051</v>
      </c>
      <c r="CB10" s="10">
        <f>_xll.ciqfunctions.udf.CIQ($A10, "IQ_DAYS_INVENTORY_OUT",IQ_LTM,DateToday,)</f>
        <v>47.595179999999999</v>
      </c>
      <c r="CC10" s="10">
        <f>_xll.ciqfunctions.udf.CIQ($A10, "IQ_DAYS_PAYABLE_OUT",IQ_LTM,DateToday,)</f>
        <v>17.57647</v>
      </c>
      <c r="CD10" s="10">
        <f>_xll.ciqfunctions.udf.CIQ($A10, "IQ_CASH_CONVERSION",IQ_LTM,DateToday,)</f>
        <v>53.459220000000002</v>
      </c>
      <c r="CE10" s="66">
        <f>_xll.ciqfunctions.udf.CIQ($A10, "IQ_ASSET_TURNS",IQ_LTM,DateToday,)</f>
        <v>1.4956799999999999</v>
      </c>
      <c r="CF10" s="66">
        <f>_xll.ciqfunctions.udf.CIQ($A10, "IQ_FIXED_ASSET_TURNS",IQ_LTM,DateToday,)</f>
        <v>3.84043</v>
      </c>
      <c r="CG10" s="66">
        <f>_xll.ciqfunctions.udf.CIQ($A10, "IQ_AR_TURNS",IQ_LTM,DateToday,)</f>
        <v>15.528589999999999</v>
      </c>
      <c r="CH10" s="66">
        <f>_xll.ciqfunctions.udf.CIQ($A10, "IQ_INVENTORY_TURNS",IQ_LTM,DateToday,)</f>
        <v>7.6478099999999998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</row>
  </sheetData>
  <phoneticPr fontId="0" type="noConversion"/>
  <printOptions horizontalCentered="1"/>
  <pageMargins left="0" right="0" top="0.25" bottom="0.25" header="0.5" footer="0.25"/>
  <pageSetup scale="56" fitToWidth="7" orientation="landscape" r:id="rId1"/>
  <headerFooter alignWithMargins="0">
    <oddFooter>&amp;C&amp;"Times New Roman,Regular"&amp;11&amp;P of &amp;N</oddFooter>
  </headerFooter>
  <colBreaks count="6" manualBreakCount="6">
    <brk id="16" max="1048575" man="1"/>
    <brk id="28" max="1048575" man="1"/>
    <brk id="42" max="1048575" man="1"/>
    <brk id="54" max="1048575" man="1"/>
    <brk id="66" max="1048575" man="1"/>
    <brk id="7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41F65D8D85C643B279395178BBB636" ma:contentTypeVersion="10" ma:contentTypeDescription="Create a new document." ma:contentTypeScope="" ma:versionID="5485f5b32512d653f7453980de4c8998">
  <xsd:schema xmlns:xsd="http://www.w3.org/2001/XMLSchema" xmlns:xs="http://www.w3.org/2001/XMLSchema" xmlns:p="http://schemas.microsoft.com/office/2006/metadata/properties" xmlns:ns3="d0640473-7254-4dee-a68e-1aa7dfe87080" targetNamespace="http://schemas.microsoft.com/office/2006/metadata/properties" ma:root="true" ma:fieldsID="840fc2309eebaf0bed357e94e47325f3" ns3:_="">
    <xsd:import namespace="d0640473-7254-4dee-a68e-1aa7dfe870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40473-7254-4dee-a68e-1aa7dfe87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D7BD9CC6-B147-4C24-8FF1-F5911A43A6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640473-7254-4dee-a68e-1aa7dfe870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B6BFC5-2350-491A-A2BD-DF7D1D851D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655590-134C-4BB6-A148-E23000AF82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BC413BBB-3D79-405A-85C3-05E4A0559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Input_Raw</vt:lpstr>
      <vt:lpstr>Input</vt:lpstr>
      <vt:lpstr>Financial Statements</vt:lpstr>
      <vt:lpstr>Common Size</vt:lpstr>
      <vt:lpstr>Detailed Comps</vt:lpstr>
      <vt:lpstr>Ccy</vt:lpstr>
      <vt:lpstr>Conv</vt:lpstr>
      <vt:lpstr>Date</vt:lpstr>
      <vt:lpstr>InputTicker</vt:lpstr>
      <vt:lpstr>'Common Size'!Print_Area</vt:lpstr>
      <vt:lpstr>'Detailed Comps'!Print_Area</vt:lpstr>
      <vt:lpstr>'Financial Statements'!Print_Area</vt:lpstr>
      <vt:lpstr>'Detailed Comps'!Print_Titles</vt:lpstr>
    </vt:vector>
  </TitlesOfParts>
  <Manager>Capital IQ, Inc.</Manager>
  <Company>Capital IQ,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 IQ, Inc.</dc:creator>
  <cp:lastModifiedBy>Patrik Šmid</cp:lastModifiedBy>
  <cp:lastPrinted>2012-06-05T17:05:55Z</cp:lastPrinted>
  <dcterms:created xsi:type="dcterms:W3CDTF">2002-03-18T23:28:38Z</dcterms:created>
  <dcterms:modified xsi:type="dcterms:W3CDTF">2026-03-29T01:37:32Z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{B4D9AC75-597D-4044-A6A8-5AE76CDFFFDC}</vt:lpwstr>
  </property>
  <property fmtid="{D5CDD505-2E9C-101B-9397-08002B2CF9AE}" pid="3" name="ContentTypeId">
    <vt:lpwstr>0x010100BA41F65D8D85C643B279395178BBB636</vt:lpwstr>
  </property>
</Properties>
</file>