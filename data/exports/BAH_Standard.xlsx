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03-Finance\ai-fund\data\exports\"/>
    </mc:Choice>
  </mc:AlternateContent>
  <xr:revisionPtr revIDLastSave="0" documentId="13_ncr:1_{6EFA3C98-BF26-4CC0-B8BB-1AEDA1298C8A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Input_Raw" sheetId="45" r:id="rId1"/>
    <sheet name="Input" sheetId="49" r:id="rId2"/>
    <sheet name="Financial Statements" sheetId="37" r:id="rId3"/>
    <sheet name="Common Size" sheetId="40" r:id="rId4"/>
    <sheet name="_CIQHiddenCacheSheet" sheetId="55" state="veryHidden" r:id="rId5"/>
    <sheet name="Detailed Comps" sheetId="38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2" hidden="1">'Financial Statements'!#REF!</definedName>
    <definedName name="Ccy">Input!$B$7</definedName>
    <definedName name="CIQWBGuid" hidden="1">"e23fa956-490c-4038-a2c8-d428fc3d7afd"</definedName>
    <definedName name="CIQWBInfo" hidden="1">"{ ""CIQVersion"":""9.52.4409.4666"" }"</definedName>
    <definedName name="Conv">Input!$B$8</definedName>
    <definedName name="Date">Input!$B$6</definedName>
    <definedName name="ExternalData_1" localSheetId="1" hidden="1">Input!#REF!</definedName>
    <definedName name="ExternalData_1" localSheetId="0" hidden="1">Input_Raw!$A$1:$B$6</definedName>
    <definedName name="InputTicker">Input!$B$2</definedName>
    <definedName name="IQ_ADDIN" hidden="1">"AUTO"</definedName>
    <definedName name="IQ_ANNUAL_DIVIDEND" hidden="1">"c229"</definedName>
    <definedName name="IQ_AVG_PRICE_TARGET" hidden="1">"c82"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CH">110000</definedName>
    <definedName name="IQ_CLASSB_OUTSTANDING_BS_DATE" hidden="1">"c1972"</definedName>
    <definedName name="IQ_CLASSB_OUTSTANDING_FILING_DATE" hidden="1">"c1974"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REVENUE_EST" hidden="1">"c165"</definedName>
    <definedName name="IQ_EV_OVER_REVENUE_EST_1" hidden="1">"c166"</definedName>
    <definedName name="IQ_EXPENSE_CODE_" hidden="1">"test"</definedName>
    <definedName name="IQ_FH">100000</definedName>
    <definedName name="IQ_FHLB_DUE_AFTER_FIVE" hidden="1">"c2086"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PERCENT_OWNER" hidden="1">"c239"</definedName>
    <definedName name="IQ_FLOAT" hidden="1">"c225"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>1000</definedName>
    <definedName name="IQ_FY_DATE" hidden="1">"IQ_FY_DATE"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TITUTIONAL_AMOUNT" hidden="1">"c236"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>2000</definedName>
    <definedName name="IQ_LTM_DATE" hidden="1">"IQ_LTM_DATE"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AV_ACT_OR_EST" hidden="1">"c2225"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TM">6000</definedName>
    <definedName name="IQ_NUM_OFFICES" hidden="1">"c2088"</definedName>
    <definedName name="IQ_NUMBER_SHAREHOLDERS_CLASSB" hidden="1">"c1969"</definedName>
    <definedName name="IQ_OG_OTHER_ADJ" hidden="1">"c1999"</definedName>
    <definedName name="IQ_OG_TOTAL_OIL_PRODUCTON" hidden="1">"c2059"</definedName>
    <definedName name="IQ_OPENED55" hidden="1">1</definedName>
    <definedName name="IQ_OPTIONS_EXCERCISED" hidden="1">"c2116"</definedName>
    <definedName name="IQ_OUTSTANDING_FILING_DATE_TOTAL" hidden="1">"c2107"</definedName>
    <definedName name="IQ_PERCENT_FLOAT" hidden="1">"c227"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MARY_EPS_TYPE_THOM" hidden="1">"c5297"</definedName>
    <definedName name="IQ_QTD" hidden="1">750000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SHAREOUTSTANDING" hidden="1">"c1347"</definedName>
    <definedName name="IQ_SHORT_INTEREST_VOLUME" hidden="1">"c228"</definedName>
    <definedName name="IQ_TARGET_PRICE_LASTCLOSE" hidden="1">"c1855"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B_BOOKMARK_COUNT" hidden="1">3</definedName>
    <definedName name="IQB_BOOKMARK_LOCATION_0" hidden="1">'Financial Statements'!$A$1</definedName>
    <definedName name="IQB_BOOKMARK_LOCATION_1" hidden="1">'Financial Statements'!#REF!</definedName>
    <definedName name="IQB_BOOKMARK_LOCATION_2" hidden="1">'Financial Statements'!#REF!</definedName>
    <definedName name="IQB_CURRENT_BOOKMARK" hidden="1">1</definedName>
    <definedName name="IQRA7" hidden="1">"$A$8:$A$11"</definedName>
    <definedName name="IQRB7" hidden="1">"$B$8:$B$11"</definedName>
    <definedName name="IQRBenchmarkAI6" hidden="1">[1]Benchmark!$AI$7</definedName>
    <definedName name="IQRBenchmarkAJ6" hidden="1">[1]Benchmark!$AJ$7</definedName>
    <definedName name="IQRBenchmarkAL6" hidden="1">[1]Benchmark!$AL$7</definedName>
    <definedName name="IQRBenchmarkAM6" hidden="1">[1]Benchmark!$AM$7</definedName>
    <definedName name="IQRBenchmarkAO6" hidden="1">[1]Benchmark!$AO$7</definedName>
    <definedName name="IQRBenchmarkAP6" hidden="1">[1]Benchmark!$AP$7</definedName>
    <definedName name="IQRBenchmarkAR6" hidden="1">[1]Benchmark!$AR$7</definedName>
    <definedName name="IQRBenchmarkAS6" hidden="1">[1]Benchmark!$AS$7</definedName>
    <definedName name="IQRBenchmarkAU6" hidden="1">[1]Benchmark!$AU$7</definedName>
    <definedName name="IQRBenchmarkAV6" hidden="1">[1]Benchmark!$AV$7</definedName>
    <definedName name="IQRBenchmarkAX6" hidden="1">[1]Benchmark!$AX$7</definedName>
    <definedName name="IQRBenchmarkAY6" hidden="1">[1]Benchmark!$AY$7</definedName>
    <definedName name="IQRBenchmarkBA6" hidden="1">[1]Benchmark!$BA$7</definedName>
    <definedName name="IQRBenchmarkBB6" hidden="1">[1]Benchmark!$BB$7</definedName>
    <definedName name="IQRBenchmarkBD6" hidden="1">[1]Benchmark!$BD$7</definedName>
    <definedName name="IQRBenchmarkBE6" hidden="1">[1]Benchmark!$BE$7</definedName>
    <definedName name="IQRBenchmarkBG6" hidden="1">[1]Benchmark!$BG$7</definedName>
    <definedName name="IQRBenchmarkBH6" hidden="1">[1]Benchmark!$BH$7</definedName>
    <definedName name="IQRBenchmarkBJ6" hidden="1">[1]Benchmark!$BJ$7</definedName>
    <definedName name="IQRBenchmarkBK6" hidden="1">[1]Benchmark!$BK$7</definedName>
    <definedName name="IQRBenchmarkBM6" hidden="1">[1]Benchmark!$BM$7</definedName>
    <definedName name="IQRBenchmarkBN6" hidden="1">[1]Benchmark!$BN$7</definedName>
    <definedName name="IQRC7" hidden="1">"$C$8:$C$11"</definedName>
    <definedName name="IQRCapitalStructureDetailsU34" hidden="1">'[2]Capital Structure Details'!$U$35:$U$59</definedName>
    <definedName name="IQRCapitalStructureDetailsU5" hidden="1">'[2]Capital Structure Details'!$U$6:$U$30</definedName>
    <definedName name="IQRCapitalStructureDetailsU63" hidden="1">'[2]Capital Structure Details'!$U$64:$U$88</definedName>
    <definedName name="IQRD7" hidden="1">"$D$8:$D$11"</definedName>
    <definedName name="IQRDataA8" hidden="1">[3]Data!$A$9:$A$261</definedName>
    <definedName name="IQRDataB8" hidden="1">[3]Data!$B$9:$B$261</definedName>
    <definedName name="IQRDataC8" hidden="1">[3]Data!$C$9:$C$261</definedName>
    <definedName name="IQRE7" hidden="1">"$E$8:$E$11"</definedName>
    <definedName name="IQRF7" hidden="1">"$F$8:$F$11"</definedName>
    <definedName name="IQRG7" hidden="1">"$G$8:$G$11"</definedName>
    <definedName name="IQRGrowthModelA9" hidden="1">'[4]Growth Model'!$A$10</definedName>
    <definedName name="IQRH7" hidden="1">"$H$8:$H$11"</definedName>
    <definedName name="IQRI7" hidden="1">"$I$8:$I$11"</definedName>
    <definedName name="IQRJ7" hidden="1">"$J$8:$J$11"</definedName>
    <definedName name="IQRMomentumModelA9" hidden="1">'[4]Momentum Model'!$A$10</definedName>
    <definedName name="IQRPortfolioAI6" hidden="1">[1]Portfolio!$AI$7</definedName>
    <definedName name="IQRPortfolioAJ6" hidden="1">[1]Portfolio!$AJ$7</definedName>
    <definedName name="IQRPortfolioAL6" hidden="1">[1]Portfolio!$AL$7</definedName>
    <definedName name="IQRPortfolioAM6" hidden="1">[1]Portfolio!$AM$7</definedName>
    <definedName name="IQRPortfolioAO6" hidden="1">[1]Portfolio!$AO$7</definedName>
    <definedName name="IQRPortfolioAP6" hidden="1">[1]Portfolio!$AP$7</definedName>
    <definedName name="IQRPortfolioAR6" hidden="1">[1]Portfolio!$AR$7</definedName>
    <definedName name="IQRPortfolioAS6" hidden="1">[1]Portfolio!$AS$7</definedName>
    <definedName name="IQRPortfolioAU6" hidden="1">[1]Portfolio!$AU$7</definedName>
    <definedName name="IQRPortfolioAV6" hidden="1">[1]Portfolio!$AV$7</definedName>
    <definedName name="IQRPortfolioAX6" hidden="1">[1]Portfolio!$AX$7</definedName>
    <definedName name="IQRPortfolioAY6" hidden="1">[1]Portfolio!$AY$7</definedName>
    <definedName name="IQRPortfolioBA6" hidden="1">[1]Portfolio!$BA$7</definedName>
    <definedName name="IQRPortfolioBB6" hidden="1">[1]Portfolio!$BB$7</definedName>
    <definedName name="IQRPortfolioBD6" hidden="1">[1]Portfolio!$BD$7</definedName>
    <definedName name="IQRPortfolioBE6" hidden="1">[1]Portfolio!$BE$7</definedName>
    <definedName name="IQRPortfolioBG6" hidden="1">[1]Portfolio!$BG$7</definedName>
    <definedName name="IQRPortfolioBH6" hidden="1">[1]Portfolio!$BH$7</definedName>
    <definedName name="IQRPortfolioBJ6" hidden="1">[1]Portfolio!$BJ$7</definedName>
    <definedName name="IQRPortfolioBK6" hidden="1">[1]Portfolio!$BK$7</definedName>
    <definedName name="IQRPortfolioBM6" hidden="1">[1]Portfolio!$BM$7</definedName>
    <definedName name="IQRPortfolioBN6" hidden="1">[1]Portfolio!$BN$7</definedName>
    <definedName name="IQRQualityModelA9" hidden="1">'[4]Quality Model'!$A$10</definedName>
    <definedName name="IQRValueModelA9" hidden="1">'[4]Value Model'!$A$10</definedName>
    <definedName name="Languages">OFFSET(#REF!,,,#REF!)</definedName>
    <definedName name="_xlnm.Print_Area" localSheetId="3">'Common Size'!$A$2:$M$55,'Common Size'!$A$56:$M$121</definedName>
    <definedName name="_xlnm.Print_Area" localSheetId="5">'Detailed Comps'!$A$1:$CH$10</definedName>
    <definedName name="_xlnm.Print_Area" localSheetId="2">'Financial Statements'!$A$1:$M$182,'Financial Statements'!$A$183:$M$280,'Financial Statements'!$A$281:$M$346,'Financial Statements'!$A$370:$M$471,'Financial Statements'!$A$473:$M$536</definedName>
    <definedName name="_xlnm.Print_Titles" localSheetId="3">'Common Size'!#REF!</definedName>
    <definedName name="_xlnm.Print_Titles" localSheetId="5">'Detailed Comps'!$A:$D</definedName>
    <definedName name="_xlnm.Print_Titles" localSheetId="2">'Financial Statements'!#REF!</definedName>
    <definedName name="SPWS_WBID">"0D145571-4AA7-4C6E-B8EB-4DF0FED2B8BC"</definedName>
    <definedName name="SPWS_WSID" localSheetId="3" hidden="1">"74B14380-D945-4DA9-AF4C-09AEA4A7FF0E"</definedName>
    <definedName name="SPWS_WSID" localSheetId="2" hidden="1">"57DB6723-E5BE-4B4A-A101-4BA9B54D516F"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financials_input_8f7c566d-870a-47f1-bc0e-bdda7aca83b5" name="financials_input" connection="Query - financials_inpu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36" i="37" l="1"/>
  <c r="L534" i="37"/>
  <c r="K534" i="37"/>
  <c r="L535" i="37"/>
  <c r="K535" i="37"/>
  <c r="L536" i="37"/>
  <c r="K531" i="37"/>
  <c r="L532" i="37"/>
  <c r="K532" i="37"/>
  <c r="K533" i="37"/>
  <c r="L533" i="37"/>
  <c r="L529" i="37"/>
  <c r="K529" i="37"/>
  <c r="L530" i="37"/>
  <c r="K530" i="37"/>
  <c r="L531" i="37"/>
  <c r="K526" i="37"/>
  <c r="L527" i="37"/>
  <c r="K527" i="37"/>
  <c r="K528" i="37"/>
  <c r="L528" i="37"/>
  <c r="L524" i="37"/>
  <c r="K524" i="37"/>
  <c r="L525" i="37"/>
  <c r="K525" i="37"/>
  <c r="L526" i="37"/>
  <c r="K521" i="37"/>
  <c r="L522" i="37"/>
  <c r="K522" i="37"/>
  <c r="K523" i="37"/>
  <c r="L523" i="37"/>
  <c r="L519" i="37"/>
  <c r="K519" i="37"/>
  <c r="L520" i="37"/>
  <c r="K520" i="37"/>
  <c r="L521" i="37"/>
  <c r="K515" i="37"/>
  <c r="L516" i="37"/>
  <c r="K516" i="37"/>
  <c r="K518" i="37"/>
  <c r="L518" i="37"/>
  <c r="K513" i="37"/>
  <c r="L513" i="37"/>
  <c r="L514" i="37"/>
  <c r="K514" i="37"/>
  <c r="L515" i="37"/>
  <c r="K510" i="37"/>
  <c r="L511" i="37"/>
  <c r="K511" i="37"/>
  <c r="L512" i="37"/>
  <c r="K512" i="37"/>
  <c r="K508" i="37"/>
  <c r="L508" i="37"/>
  <c r="L509" i="37"/>
  <c r="K509" i="37"/>
  <c r="L510" i="37"/>
  <c r="K505" i="37"/>
  <c r="L506" i="37"/>
  <c r="K506" i="37"/>
  <c r="L507" i="37"/>
  <c r="K507" i="37"/>
  <c r="K503" i="37"/>
  <c r="L503" i="37"/>
  <c r="L504" i="37"/>
  <c r="K504" i="37"/>
  <c r="L505" i="37"/>
  <c r="K500" i="37"/>
  <c r="L501" i="37"/>
  <c r="K501" i="37"/>
  <c r="L502" i="37"/>
  <c r="K502" i="37"/>
  <c r="K498" i="37"/>
  <c r="L498" i="37"/>
  <c r="L499" i="37"/>
  <c r="K499" i="37"/>
  <c r="L500" i="37"/>
  <c r="K495" i="37"/>
  <c r="L496" i="37"/>
  <c r="K496" i="37"/>
  <c r="L497" i="37"/>
  <c r="K497" i="37"/>
  <c r="K493" i="37"/>
  <c r="L493" i="37"/>
  <c r="L494" i="37"/>
  <c r="K494" i="37"/>
  <c r="L495" i="37"/>
  <c r="K490" i="37"/>
  <c r="L491" i="37"/>
  <c r="K491" i="37"/>
  <c r="L492" i="37"/>
  <c r="K492" i="37"/>
  <c r="K488" i="37"/>
  <c r="L488" i="37"/>
  <c r="L489" i="37"/>
  <c r="K489" i="37"/>
  <c r="L490" i="37"/>
  <c r="K485" i="37"/>
  <c r="L486" i="37"/>
  <c r="K486" i="37"/>
  <c r="L487" i="37"/>
  <c r="K487" i="37"/>
  <c r="K483" i="37"/>
  <c r="L483" i="37"/>
  <c r="L484" i="37"/>
  <c r="K484" i="37"/>
  <c r="L485" i="37"/>
  <c r="K480" i="37"/>
  <c r="L481" i="37"/>
  <c r="K481" i="37"/>
  <c r="L482" i="37"/>
  <c r="K482" i="37"/>
  <c r="L471" i="37"/>
  <c r="K471" i="37"/>
  <c r="L479" i="37"/>
  <c r="K479" i="37"/>
  <c r="L480" i="37"/>
  <c r="K468" i="37"/>
  <c r="L469" i="37"/>
  <c r="K469" i="37"/>
  <c r="L470" i="37"/>
  <c r="K470" i="37"/>
  <c r="K432" i="37"/>
  <c r="L432" i="37"/>
  <c r="L440" i="37"/>
  <c r="K440" i="37"/>
  <c r="L468" i="37"/>
  <c r="K429" i="37"/>
  <c r="L430" i="37"/>
  <c r="K430" i="37"/>
  <c r="L431" i="37"/>
  <c r="K431" i="37"/>
  <c r="K427" i="37"/>
  <c r="L427" i="37"/>
  <c r="L428" i="37"/>
  <c r="K428" i="37"/>
  <c r="L429" i="37"/>
  <c r="K371" i="37"/>
  <c r="L390" i="37"/>
  <c r="K390" i="37"/>
  <c r="L426" i="37"/>
  <c r="K426" i="37"/>
  <c r="L280" i="37"/>
  <c r="K280" i="37"/>
  <c r="L370" i="37"/>
  <c r="K370" i="37"/>
  <c r="L371" i="37"/>
  <c r="L277" i="37"/>
  <c r="L278" i="37"/>
  <c r="K278" i="37"/>
  <c r="L279" i="37"/>
  <c r="K279" i="37"/>
  <c r="L133" i="37"/>
  <c r="K133" i="37"/>
  <c r="L240" i="37"/>
  <c r="K240" i="37"/>
  <c r="K277" i="37"/>
  <c r="K130" i="37"/>
  <c r="L131" i="37"/>
  <c r="K131" i="37"/>
  <c r="K132" i="37"/>
  <c r="L132" i="37"/>
  <c r="K127" i="37"/>
  <c r="L127" i="37"/>
  <c r="L128" i="37"/>
  <c r="K128" i="37"/>
  <c r="L130" i="37"/>
  <c r="L122" i="37"/>
  <c r="L123" i="37"/>
  <c r="K123" i="37"/>
  <c r="L125" i="37"/>
  <c r="K125" i="37"/>
  <c r="L73" i="37"/>
  <c r="K73" i="37"/>
  <c r="L95" i="37"/>
  <c r="K95" i="37"/>
  <c r="K122" i="37"/>
  <c r="K66" i="37"/>
  <c r="L68" i="37"/>
  <c r="K68" i="37"/>
  <c r="K72" i="37"/>
  <c r="L72" i="37"/>
  <c r="L61" i="37"/>
  <c r="K61" i="37"/>
  <c r="L65" i="37"/>
  <c r="K65" i="37"/>
  <c r="L66" i="37"/>
  <c r="K517" i="37"/>
  <c r="K2" i="37"/>
  <c r="L2" i="37"/>
  <c r="L58" i="37"/>
  <c r="K58" i="37"/>
  <c r="L466" i="37"/>
  <c r="K466" i="37"/>
  <c r="K467" i="37"/>
  <c r="L467" i="37"/>
  <c r="L517" i="37"/>
  <c r="K463" i="37"/>
  <c r="L464" i="37"/>
  <c r="K464" i="37"/>
  <c r="L465" i="37"/>
  <c r="K465" i="37"/>
  <c r="L461" i="37"/>
  <c r="K461" i="37"/>
  <c r="K462" i="37"/>
  <c r="L462" i="37"/>
  <c r="L463" i="37"/>
  <c r="K458" i="37"/>
  <c r="L459" i="37"/>
  <c r="K459" i="37"/>
  <c r="L460" i="37"/>
  <c r="K460" i="37"/>
  <c r="L456" i="37"/>
  <c r="K456" i="37"/>
  <c r="K457" i="37"/>
  <c r="L457" i="37"/>
  <c r="L458" i="37"/>
  <c r="K453" i="37"/>
  <c r="L454" i="37"/>
  <c r="K454" i="37"/>
  <c r="L455" i="37"/>
  <c r="K455" i="37"/>
  <c r="L451" i="37"/>
  <c r="K451" i="37"/>
  <c r="K452" i="37"/>
  <c r="L452" i="37"/>
  <c r="L453" i="37"/>
  <c r="K448" i="37"/>
  <c r="L449" i="37"/>
  <c r="K449" i="37"/>
  <c r="L450" i="37"/>
  <c r="K450" i="37"/>
  <c r="L446" i="37"/>
  <c r="K446" i="37"/>
  <c r="K447" i="37"/>
  <c r="L447" i="37"/>
  <c r="L448" i="37"/>
  <c r="K443" i="37"/>
  <c r="L444" i="37"/>
  <c r="K444" i="37"/>
  <c r="L445" i="37"/>
  <c r="K445" i="37"/>
  <c r="L441" i="37"/>
  <c r="K441" i="37"/>
  <c r="K442" i="37"/>
  <c r="L442" i="37"/>
  <c r="L443" i="37"/>
  <c r="L437" i="37"/>
  <c r="L438" i="37"/>
  <c r="K438" i="37"/>
  <c r="L439" i="37"/>
  <c r="K439" i="37"/>
  <c r="L435" i="37"/>
  <c r="K435" i="37"/>
  <c r="L436" i="37"/>
  <c r="K436" i="37"/>
  <c r="K437" i="37"/>
  <c r="K425" i="37"/>
  <c r="L433" i="37"/>
  <c r="K433" i="37"/>
  <c r="L434" i="37"/>
  <c r="K434" i="37"/>
  <c r="L423" i="37"/>
  <c r="K423" i="37"/>
  <c r="L424" i="37"/>
  <c r="K424" i="37"/>
  <c r="L425" i="37"/>
  <c r="K420" i="37"/>
  <c r="L421" i="37"/>
  <c r="K421" i="37"/>
  <c r="K422" i="37"/>
  <c r="L422" i="37"/>
  <c r="L418" i="37"/>
  <c r="K418" i="37"/>
  <c r="L419" i="37"/>
  <c r="K419" i="37"/>
  <c r="L420" i="37"/>
  <c r="K415" i="37"/>
  <c r="L416" i="37"/>
  <c r="K416" i="37"/>
  <c r="K417" i="37"/>
  <c r="L417" i="37"/>
  <c r="L413" i="37"/>
  <c r="K413" i="37"/>
  <c r="L414" i="37"/>
  <c r="K414" i="37"/>
  <c r="L415" i="37"/>
  <c r="K410" i="37"/>
  <c r="L411" i="37"/>
  <c r="K411" i="37"/>
  <c r="K412" i="37"/>
  <c r="L412" i="37"/>
  <c r="L408" i="37"/>
  <c r="K408" i="37"/>
  <c r="L409" i="37"/>
  <c r="K409" i="37"/>
  <c r="L410" i="37"/>
  <c r="K405" i="37"/>
  <c r="L406" i="37"/>
  <c r="K406" i="37"/>
  <c r="K407" i="37"/>
  <c r="L407" i="37"/>
  <c r="L403" i="37"/>
  <c r="K403" i="37"/>
  <c r="L404" i="37"/>
  <c r="K404" i="37"/>
  <c r="L405" i="37"/>
  <c r="K400" i="37"/>
  <c r="L401" i="37"/>
  <c r="K401" i="37"/>
  <c r="K402" i="37"/>
  <c r="L402" i="37"/>
  <c r="L398" i="37"/>
  <c r="K398" i="37"/>
  <c r="L399" i="37"/>
  <c r="K399" i="37"/>
  <c r="L400" i="37"/>
  <c r="K395" i="37"/>
  <c r="L396" i="37"/>
  <c r="K396" i="37"/>
  <c r="K397" i="37"/>
  <c r="L397" i="37"/>
  <c r="L393" i="37"/>
  <c r="K393" i="37"/>
  <c r="L394" i="37"/>
  <c r="K394" i="37"/>
  <c r="L395" i="37"/>
  <c r="K389" i="37"/>
  <c r="L391" i="37"/>
  <c r="K391" i="37"/>
  <c r="K392" i="37"/>
  <c r="L392" i="37"/>
  <c r="K387" i="37"/>
  <c r="L387" i="37"/>
  <c r="L388" i="37"/>
  <c r="K388" i="37"/>
  <c r="L389" i="37"/>
  <c r="K384" i="37"/>
  <c r="L385" i="37"/>
  <c r="K385" i="37"/>
  <c r="L386" i="37"/>
  <c r="K386" i="37"/>
  <c r="K382" i="37"/>
  <c r="L382" i="37"/>
  <c r="L383" i="37"/>
  <c r="K383" i="37"/>
  <c r="L384" i="37"/>
  <c r="K379" i="37"/>
  <c r="L380" i="37"/>
  <c r="K380" i="37"/>
  <c r="L381" i="37"/>
  <c r="K381" i="37"/>
  <c r="K377" i="37"/>
  <c r="L377" i="37"/>
  <c r="L378" i="37"/>
  <c r="K378" i="37"/>
  <c r="L379" i="37"/>
  <c r="K374" i="37"/>
  <c r="L375" i="37"/>
  <c r="K375" i="37"/>
  <c r="L376" i="37"/>
  <c r="K376" i="37"/>
  <c r="K372" i="37"/>
  <c r="L372" i="37"/>
  <c r="L373" i="37"/>
  <c r="K373" i="37"/>
  <c r="L374" i="37"/>
  <c r="L367" i="37"/>
  <c r="L368" i="37"/>
  <c r="K368" i="37"/>
  <c r="L369" i="37"/>
  <c r="K369" i="37"/>
  <c r="L365" i="37"/>
  <c r="K365" i="37"/>
  <c r="L366" i="37"/>
  <c r="K366" i="37"/>
  <c r="K367" i="37"/>
  <c r="L362" i="37"/>
  <c r="L363" i="37"/>
  <c r="K363" i="37"/>
  <c r="L364" i="37"/>
  <c r="K364" i="37"/>
  <c r="L360" i="37"/>
  <c r="K360" i="37"/>
  <c r="L361" i="37"/>
  <c r="K361" i="37"/>
  <c r="K362" i="37"/>
  <c r="L357" i="37"/>
  <c r="L358" i="37"/>
  <c r="K358" i="37"/>
  <c r="L359" i="37"/>
  <c r="K359" i="37"/>
  <c r="L355" i="37"/>
  <c r="K355" i="37"/>
  <c r="L356" i="37"/>
  <c r="K356" i="37"/>
  <c r="K357" i="37"/>
  <c r="L352" i="37"/>
  <c r="L353" i="37"/>
  <c r="K353" i="37"/>
  <c r="L354" i="37"/>
  <c r="K354" i="37"/>
  <c r="L350" i="37"/>
  <c r="K350" i="37"/>
  <c r="L351" i="37"/>
  <c r="K351" i="37"/>
  <c r="K352" i="37"/>
  <c r="L347" i="37"/>
  <c r="L348" i="37"/>
  <c r="K348" i="37"/>
  <c r="L349" i="37"/>
  <c r="K349" i="37"/>
  <c r="L345" i="37"/>
  <c r="K345" i="37"/>
  <c r="L346" i="37"/>
  <c r="K346" i="37"/>
  <c r="K347" i="37"/>
  <c r="L342" i="37"/>
  <c r="L343" i="37"/>
  <c r="K343" i="37"/>
  <c r="L344" i="37"/>
  <c r="K344" i="37"/>
  <c r="L340" i="37"/>
  <c r="K340" i="37"/>
  <c r="L341" i="37"/>
  <c r="K341" i="37"/>
  <c r="K342" i="37"/>
  <c r="L337" i="37"/>
  <c r="L338" i="37"/>
  <c r="K338" i="37"/>
  <c r="L339" i="37"/>
  <c r="K339" i="37"/>
  <c r="L335" i="37"/>
  <c r="K335" i="37"/>
  <c r="L336" i="37"/>
  <c r="K336" i="37"/>
  <c r="K337" i="37"/>
  <c r="L332" i="37"/>
  <c r="L333" i="37"/>
  <c r="K333" i="37"/>
  <c r="L334" i="37"/>
  <c r="K334" i="37"/>
  <c r="L330" i="37"/>
  <c r="K330" i="37"/>
  <c r="L331" i="37"/>
  <c r="K331" i="37"/>
  <c r="K332" i="37"/>
  <c r="L327" i="37"/>
  <c r="L328" i="37"/>
  <c r="K328" i="37"/>
  <c r="L329" i="37"/>
  <c r="K329" i="37"/>
  <c r="L325" i="37"/>
  <c r="K325" i="37"/>
  <c r="L326" i="37"/>
  <c r="K326" i="37"/>
  <c r="K327" i="37"/>
  <c r="L322" i="37"/>
  <c r="L323" i="37"/>
  <c r="K323" i="37"/>
  <c r="L324" i="37"/>
  <c r="K324" i="37"/>
  <c r="L320" i="37"/>
  <c r="K320" i="37"/>
  <c r="L321" i="37"/>
  <c r="K321" i="37"/>
  <c r="K322" i="37"/>
  <c r="L317" i="37"/>
  <c r="L318" i="37"/>
  <c r="K318" i="37"/>
  <c r="L319" i="37"/>
  <c r="K319" i="37"/>
  <c r="L315" i="37"/>
  <c r="K315" i="37"/>
  <c r="L316" i="37"/>
  <c r="K316" i="37"/>
  <c r="K317" i="37"/>
  <c r="L312" i="37"/>
  <c r="L313" i="37"/>
  <c r="K313" i="37"/>
  <c r="L314" i="37"/>
  <c r="K314" i="37"/>
  <c r="L310" i="37"/>
  <c r="K310" i="37"/>
  <c r="L311" i="37"/>
  <c r="K311" i="37"/>
  <c r="K312" i="37"/>
  <c r="L307" i="37"/>
  <c r="L308" i="37"/>
  <c r="K308" i="37"/>
  <c r="L309" i="37"/>
  <c r="K309" i="37"/>
  <c r="L305" i="37"/>
  <c r="K305" i="37"/>
  <c r="L306" i="37"/>
  <c r="K306" i="37"/>
  <c r="K307" i="37"/>
  <c r="L302" i="37"/>
  <c r="L303" i="37"/>
  <c r="K303" i="37"/>
  <c r="L304" i="37"/>
  <c r="K304" i="37"/>
  <c r="L300" i="37"/>
  <c r="K300" i="37"/>
  <c r="L301" i="37"/>
  <c r="K301" i="37"/>
  <c r="K302" i="37"/>
  <c r="L297" i="37"/>
  <c r="L298" i="37"/>
  <c r="K298" i="37"/>
  <c r="L299" i="37"/>
  <c r="K299" i="37"/>
  <c r="L295" i="37"/>
  <c r="K295" i="37"/>
  <c r="L296" i="37"/>
  <c r="K296" i="37"/>
  <c r="K297" i="37"/>
  <c r="L292" i="37"/>
  <c r="L293" i="37"/>
  <c r="K293" i="37"/>
  <c r="L294" i="37"/>
  <c r="K294" i="37"/>
  <c r="L290" i="37"/>
  <c r="K290" i="37"/>
  <c r="L291" i="37"/>
  <c r="K291" i="37"/>
  <c r="K292" i="37"/>
  <c r="L287" i="37"/>
  <c r="L288" i="37"/>
  <c r="K288" i="37"/>
  <c r="L289" i="37"/>
  <c r="K289" i="37"/>
  <c r="L285" i="37"/>
  <c r="K285" i="37"/>
  <c r="L286" i="37"/>
  <c r="K286" i="37"/>
  <c r="K287" i="37"/>
  <c r="L282" i="37"/>
  <c r="L283" i="37"/>
  <c r="K283" i="37"/>
  <c r="L284" i="37"/>
  <c r="K284" i="37"/>
  <c r="L276" i="37"/>
  <c r="K276" i="37"/>
  <c r="L281" i="37"/>
  <c r="K281" i="37"/>
  <c r="K282" i="37"/>
  <c r="K273" i="37"/>
  <c r="L274" i="37"/>
  <c r="K274" i="37"/>
  <c r="L275" i="37"/>
  <c r="K275" i="37"/>
  <c r="L271" i="37"/>
  <c r="K271" i="37"/>
  <c r="K272" i="37"/>
  <c r="L272" i="37"/>
  <c r="L273" i="37"/>
  <c r="K268" i="37"/>
  <c r="L269" i="37"/>
  <c r="K269" i="37"/>
  <c r="L270" i="37"/>
  <c r="K270" i="37"/>
  <c r="L266" i="37"/>
  <c r="K266" i="37"/>
  <c r="K267" i="37"/>
  <c r="L267" i="37"/>
  <c r="L268" i="37"/>
  <c r="K263" i="37"/>
  <c r="L264" i="37"/>
  <c r="K264" i="37"/>
  <c r="L265" i="37"/>
  <c r="K265" i="37"/>
  <c r="L261" i="37"/>
  <c r="K261" i="37"/>
  <c r="K262" i="37"/>
  <c r="L262" i="37"/>
  <c r="L263" i="37"/>
  <c r="K258" i="37"/>
  <c r="L259" i="37"/>
  <c r="K259" i="37"/>
  <c r="L260" i="37"/>
  <c r="K260" i="37"/>
  <c r="L256" i="37"/>
  <c r="K256" i="37"/>
  <c r="K257" i="37"/>
  <c r="L257" i="37"/>
  <c r="L258" i="37"/>
  <c r="K253" i="37"/>
  <c r="L254" i="37"/>
  <c r="K254" i="37"/>
  <c r="L255" i="37"/>
  <c r="K255" i="37"/>
  <c r="L251" i="37"/>
  <c r="K251" i="37"/>
  <c r="K252" i="37"/>
  <c r="L252" i="37"/>
  <c r="L253" i="37"/>
  <c r="K248" i="37"/>
  <c r="L249" i="37"/>
  <c r="K249" i="37"/>
  <c r="L250" i="37"/>
  <c r="K250" i="37"/>
  <c r="L246" i="37"/>
  <c r="K246" i="37"/>
  <c r="K247" i="37"/>
  <c r="L247" i="37"/>
  <c r="L248" i="37"/>
  <c r="K243" i="37"/>
  <c r="L244" i="37"/>
  <c r="K244" i="37"/>
  <c r="L245" i="37"/>
  <c r="K245" i="37"/>
  <c r="L241" i="37"/>
  <c r="K241" i="37"/>
  <c r="K242" i="37"/>
  <c r="L242" i="37"/>
  <c r="L243" i="37"/>
  <c r="L237" i="37"/>
  <c r="L238" i="37"/>
  <c r="K238" i="37"/>
  <c r="L239" i="37"/>
  <c r="K239" i="37"/>
  <c r="L235" i="37"/>
  <c r="K235" i="37"/>
  <c r="L236" i="37"/>
  <c r="K236" i="37"/>
  <c r="K237" i="37"/>
  <c r="L232" i="37"/>
  <c r="L233" i="37"/>
  <c r="K233" i="37"/>
  <c r="L234" i="37"/>
  <c r="K234" i="37"/>
  <c r="L230" i="37"/>
  <c r="K230" i="37"/>
  <c r="L231" i="37"/>
  <c r="K231" i="37"/>
  <c r="K232" i="37"/>
  <c r="L227" i="37"/>
  <c r="L228" i="37"/>
  <c r="K228" i="37"/>
  <c r="L229" i="37"/>
  <c r="K229" i="37"/>
  <c r="L225" i="37"/>
  <c r="K225" i="37"/>
  <c r="L226" i="37"/>
  <c r="K226" i="37"/>
  <c r="K227" i="37"/>
  <c r="L222" i="37"/>
  <c r="L223" i="37"/>
  <c r="K223" i="37"/>
  <c r="L224" i="37"/>
  <c r="K224" i="37"/>
  <c r="L220" i="37"/>
  <c r="K220" i="37"/>
  <c r="L221" i="37"/>
  <c r="K221" i="37"/>
  <c r="K222" i="37"/>
  <c r="L217" i="37"/>
  <c r="L218" i="37"/>
  <c r="K218" i="37"/>
  <c r="L219" i="37"/>
  <c r="K219" i="37"/>
  <c r="L215" i="37"/>
  <c r="K215" i="37"/>
  <c r="L216" i="37"/>
  <c r="K216" i="37"/>
  <c r="K217" i="37"/>
  <c r="L212" i="37"/>
  <c r="L213" i="37"/>
  <c r="K213" i="37"/>
  <c r="L214" i="37"/>
  <c r="K214" i="37"/>
  <c r="L210" i="37"/>
  <c r="K210" i="37"/>
  <c r="L211" i="37"/>
  <c r="K211" i="37"/>
  <c r="K212" i="37"/>
  <c r="L207" i="37"/>
  <c r="L208" i="37"/>
  <c r="K208" i="37"/>
  <c r="L209" i="37"/>
  <c r="K209" i="37"/>
  <c r="L205" i="37"/>
  <c r="K205" i="37"/>
  <c r="L206" i="37"/>
  <c r="K206" i="37"/>
  <c r="K207" i="37"/>
  <c r="L202" i="37"/>
  <c r="L203" i="37"/>
  <c r="K203" i="37"/>
  <c r="L204" i="37"/>
  <c r="K204" i="37"/>
  <c r="L200" i="37"/>
  <c r="K200" i="37"/>
  <c r="L201" i="37"/>
  <c r="K201" i="37"/>
  <c r="K202" i="37"/>
  <c r="L197" i="37"/>
  <c r="L198" i="37"/>
  <c r="K198" i="37"/>
  <c r="L199" i="37"/>
  <c r="K199" i="37"/>
  <c r="L195" i="37"/>
  <c r="K195" i="37"/>
  <c r="L196" i="37"/>
  <c r="K196" i="37"/>
  <c r="K197" i="37"/>
  <c r="L192" i="37"/>
  <c r="L193" i="37"/>
  <c r="K193" i="37"/>
  <c r="L194" i="37"/>
  <c r="K194" i="37"/>
  <c r="L190" i="37"/>
  <c r="K190" i="37"/>
  <c r="L191" i="37"/>
  <c r="K191" i="37"/>
  <c r="K192" i="37"/>
  <c r="L187" i="37"/>
  <c r="L188" i="37"/>
  <c r="K188" i="37"/>
  <c r="L189" i="37"/>
  <c r="K189" i="37"/>
  <c r="L185" i="37"/>
  <c r="K185" i="37"/>
  <c r="L186" i="37"/>
  <c r="K186" i="37"/>
  <c r="K187" i="37"/>
  <c r="L182" i="37"/>
  <c r="L183" i="37"/>
  <c r="K183" i="37"/>
  <c r="L184" i="37"/>
  <c r="K184" i="37"/>
  <c r="L180" i="37"/>
  <c r="K180" i="37"/>
  <c r="L181" i="37"/>
  <c r="K181" i="37"/>
  <c r="K182" i="37"/>
  <c r="L177" i="37"/>
  <c r="L178" i="37"/>
  <c r="K178" i="37"/>
  <c r="L179" i="37"/>
  <c r="K179" i="37"/>
  <c r="L175" i="37"/>
  <c r="K175" i="37"/>
  <c r="L176" i="37"/>
  <c r="K176" i="37"/>
  <c r="K177" i="37"/>
  <c r="L172" i="37"/>
  <c r="L173" i="37"/>
  <c r="K173" i="37"/>
  <c r="L174" i="37"/>
  <c r="K174" i="37"/>
  <c r="L170" i="37"/>
  <c r="K170" i="37"/>
  <c r="L171" i="37"/>
  <c r="K171" i="37"/>
  <c r="K172" i="37"/>
  <c r="L167" i="37"/>
  <c r="L168" i="37"/>
  <c r="K168" i="37"/>
  <c r="L169" i="37"/>
  <c r="K169" i="37"/>
  <c r="L165" i="37"/>
  <c r="K165" i="37"/>
  <c r="L166" i="37"/>
  <c r="K166" i="37"/>
  <c r="K167" i="37"/>
  <c r="L162" i="37"/>
  <c r="L163" i="37"/>
  <c r="K163" i="37"/>
  <c r="L164" i="37"/>
  <c r="K164" i="37"/>
  <c r="L160" i="37"/>
  <c r="K160" i="37"/>
  <c r="L161" i="37"/>
  <c r="K161" i="37"/>
  <c r="K162" i="37"/>
  <c r="L157" i="37"/>
  <c r="L158" i="37"/>
  <c r="K158" i="37"/>
  <c r="L159" i="37"/>
  <c r="K159" i="37"/>
  <c r="L155" i="37"/>
  <c r="K155" i="37"/>
  <c r="L156" i="37"/>
  <c r="K156" i="37"/>
  <c r="K157" i="37"/>
  <c r="L152" i="37"/>
  <c r="L153" i="37"/>
  <c r="K153" i="37"/>
  <c r="L154" i="37"/>
  <c r="K154" i="37"/>
  <c r="L150" i="37"/>
  <c r="K150" i="37"/>
  <c r="L151" i="37"/>
  <c r="K151" i="37"/>
  <c r="K152" i="37"/>
  <c r="L147" i="37"/>
  <c r="L148" i="37"/>
  <c r="K148" i="37"/>
  <c r="L149" i="37"/>
  <c r="K149" i="37"/>
  <c r="L145" i="37"/>
  <c r="K145" i="37"/>
  <c r="L146" i="37"/>
  <c r="K146" i="37"/>
  <c r="K147" i="37"/>
  <c r="L142" i="37"/>
  <c r="L143" i="37"/>
  <c r="K143" i="37"/>
  <c r="L144" i="37"/>
  <c r="K144" i="37"/>
  <c r="L140" i="37"/>
  <c r="K140" i="37"/>
  <c r="L141" i="37"/>
  <c r="K141" i="37"/>
  <c r="K142" i="37"/>
  <c r="L137" i="37"/>
  <c r="L138" i="37"/>
  <c r="K138" i="37"/>
  <c r="L139" i="37"/>
  <c r="K139" i="37"/>
  <c r="L135" i="37"/>
  <c r="K135" i="37"/>
  <c r="L136" i="37"/>
  <c r="K136" i="37"/>
  <c r="K137" i="37"/>
  <c r="K126" i="37"/>
  <c r="L129" i="37"/>
  <c r="K129" i="37"/>
  <c r="L134" i="37"/>
  <c r="K134" i="37"/>
  <c r="L121" i="37"/>
  <c r="K121" i="37"/>
  <c r="L124" i="37"/>
  <c r="K124" i="37"/>
  <c r="L126" i="37"/>
  <c r="K118" i="37"/>
  <c r="L119" i="37"/>
  <c r="K119" i="37"/>
  <c r="L120" i="37"/>
  <c r="K120" i="37"/>
  <c r="L116" i="37"/>
  <c r="K116" i="37"/>
  <c r="K117" i="37"/>
  <c r="L117" i="37"/>
  <c r="L118" i="37"/>
  <c r="K113" i="37"/>
  <c r="L114" i="37"/>
  <c r="K114" i="37"/>
  <c r="L115" i="37"/>
  <c r="K115" i="37"/>
  <c r="L111" i="37"/>
  <c r="K111" i="37"/>
  <c r="K112" i="37"/>
  <c r="L112" i="37"/>
  <c r="L113" i="37"/>
  <c r="K108" i="37"/>
  <c r="L109" i="37"/>
  <c r="K109" i="37"/>
  <c r="L110" i="37"/>
  <c r="K110" i="37"/>
  <c r="L106" i="37"/>
  <c r="K106" i="37"/>
  <c r="K107" i="37"/>
  <c r="L107" i="37"/>
  <c r="L108" i="37"/>
  <c r="K103" i="37"/>
  <c r="L104" i="37"/>
  <c r="K104" i="37"/>
  <c r="L105" i="37"/>
  <c r="K105" i="37"/>
  <c r="L101" i="37"/>
  <c r="K101" i="37"/>
  <c r="K102" i="37"/>
  <c r="L102" i="37"/>
  <c r="L103" i="37"/>
  <c r="K98" i="37"/>
  <c r="L99" i="37"/>
  <c r="K99" i="37"/>
  <c r="L100" i="37"/>
  <c r="K100" i="37"/>
  <c r="L96" i="37"/>
  <c r="K96" i="37"/>
  <c r="K97" i="37"/>
  <c r="L97" i="37"/>
  <c r="L98" i="37"/>
  <c r="L92" i="37"/>
  <c r="L93" i="37"/>
  <c r="K93" i="37"/>
  <c r="L94" i="37"/>
  <c r="K94" i="37"/>
  <c r="L90" i="37"/>
  <c r="K90" i="37"/>
  <c r="L91" i="37"/>
  <c r="K91" i="37"/>
  <c r="K92" i="37"/>
  <c r="L87" i="37"/>
  <c r="L88" i="37"/>
  <c r="K88" i="37"/>
  <c r="L89" i="37"/>
  <c r="K89" i="37"/>
  <c r="L85" i="37"/>
  <c r="K85" i="37"/>
  <c r="L86" i="37"/>
  <c r="K86" i="37"/>
  <c r="K87" i="37"/>
  <c r="L82" i="37"/>
  <c r="L83" i="37"/>
  <c r="K83" i="37"/>
  <c r="L84" i="37"/>
  <c r="K84" i="37"/>
  <c r="L80" i="37"/>
  <c r="K80" i="37"/>
  <c r="L81" i="37"/>
  <c r="K81" i="37"/>
  <c r="K82" i="37"/>
  <c r="L77" i="37"/>
  <c r="L78" i="37"/>
  <c r="K78" i="37"/>
  <c r="L79" i="37"/>
  <c r="K79" i="37"/>
  <c r="L75" i="37"/>
  <c r="K75" i="37"/>
  <c r="L76" i="37"/>
  <c r="K76" i="37"/>
  <c r="K77" i="37"/>
  <c r="K70" i="37"/>
  <c r="L71" i="37"/>
  <c r="K71" i="37"/>
  <c r="L74" i="37"/>
  <c r="K74" i="37"/>
  <c r="K67" i="37"/>
  <c r="L67" i="37"/>
  <c r="L69" i="37"/>
  <c r="K69" i="37"/>
  <c r="L70" i="37"/>
  <c r="L62" i="37"/>
  <c r="L63" i="37"/>
  <c r="K63" i="37"/>
  <c r="L64" i="37"/>
  <c r="K64" i="37"/>
  <c r="L59" i="37"/>
  <c r="K59" i="37"/>
  <c r="L60" i="37"/>
  <c r="K60" i="37"/>
  <c r="K62" i="37"/>
  <c r="K55" i="37"/>
  <c r="L56" i="37"/>
  <c r="K56" i="37"/>
  <c r="K57" i="37"/>
  <c r="L57" i="37"/>
  <c r="L53" i="37"/>
  <c r="K53" i="37"/>
  <c r="L54" i="37"/>
  <c r="K54" i="37"/>
  <c r="L55" i="37"/>
  <c r="K50" i="37"/>
  <c r="L51" i="37"/>
  <c r="K51" i="37"/>
  <c r="K52" i="37"/>
  <c r="L52" i="37"/>
  <c r="L48" i="37"/>
  <c r="K48" i="37"/>
  <c r="L49" i="37"/>
  <c r="K49" i="37"/>
  <c r="L50" i="37"/>
  <c r="K45" i="37"/>
  <c r="L46" i="37"/>
  <c r="K46" i="37"/>
  <c r="K47" i="37"/>
  <c r="L47" i="37"/>
  <c r="L43" i="37"/>
  <c r="K43" i="37"/>
  <c r="L44" i="37"/>
  <c r="K44" i="37"/>
  <c r="L45" i="37"/>
  <c r="K40" i="37"/>
  <c r="L41" i="37"/>
  <c r="K41" i="37"/>
  <c r="K42" i="37"/>
  <c r="L42" i="37"/>
  <c r="L38" i="37"/>
  <c r="K38" i="37"/>
  <c r="L39" i="37"/>
  <c r="K39" i="37"/>
  <c r="L40" i="37"/>
  <c r="K35" i="37"/>
  <c r="L36" i="37"/>
  <c r="K36" i="37"/>
  <c r="K37" i="37"/>
  <c r="L37" i="37"/>
  <c r="L33" i="37"/>
  <c r="K33" i="37"/>
  <c r="L34" i="37"/>
  <c r="K34" i="37"/>
  <c r="L35" i="37"/>
  <c r="K30" i="37"/>
  <c r="L31" i="37"/>
  <c r="K31" i="37"/>
  <c r="K32" i="37"/>
  <c r="L32" i="37"/>
  <c r="L28" i="37"/>
  <c r="K28" i="37"/>
  <c r="L29" i="37"/>
  <c r="K29" i="37"/>
  <c r="L30" i="37"/>
  <c r="K25" i="37"/>
  <c r="L26" i="37"/>
  <c r="K26" i="37"/>
  <c r="K27" i="37"/>
  <c r="L27" i="37"/>
  <c r="L23" i="37"/>
  <c r="K23" i="37"/>
  <c r="L24" i="37"/>
  <c r="K24" i="37"/>
  <c r="L25" i="37"/>
  <c r="K20" i="37"/>
  <c r="L21" i="37"/>
  <c r="K21" i="37"/>
  <c r="K22" i="37"/>
  <c r="L22" i="37"/>
  <c r="L18" i="37"/>
  <c r="K18" i="37"/>
  <c r="L19" i="37"/>
  <c r="K19" i="37"/>
  <c r="L20" i="37"/>
  <c r="K15" i="37"/>
  <c r="L16" i="37"/>
  <c r="K16" i="37"/>
  <c r="K17" i="37"/>
  <c r="L17" i="37"/>
  <c r="L13" i="37"/>
  <c r="K13" i="37"/>
  <c r="L14" i="37"/>
  <c r="K14" i="37"/>
  <c r="L15" i="37"/>
  <c r="K10" i="37"/>
  <c r="L11" i="37"/>
  <c r="K11" i="37"/>
  <c r="K12" i="37"/>
  <c r="L12" i="37"/>
  <c r="L8" i="37"/>
  <c r="K8" i="37"/>
  <c r="L9" i="37"/>
  <c r="K9" i="37"/>
  <c r="L10" i="37"/>
  <c r="K5" i="37"/>
  <c r="L6" i="37"/>
  <c r="K6" i="37"/>
  <c r="K7" i="37"/>
  <c r="L7" i="37"/>
  <c r="L3" i="37"/>
  <c r="K3" i="37"/>
  <c r="L4" i="37"/>
  <c r="K4" i="37"/>
  <c r="L5" i="37"/>
  <c r="A1" i="49"/>
  <c r="B1" i="49"/>
  <c r="A2" i="49"/>
  <c r="B2" i="49"/>
  <c r="A10" i="38" s="1"/>
  <c r="E2" i="49"/>
  <c r="F2" i="49"/>
  <c r="G2" i="49"/>
  <c r="H2" i="49"/>
  <c r="I2" i="49"/>
  <c r="J2" i="49"/>
  <c r="K2" i="49"/>
  <c r="L2" i="49"/>
  <c r="A3" i="49"/>
  <c r="B3" i="49"/>
  <c r="A4" i="49"/>
  <c r="B4" i="49"/>
  <c r="A5" i="49"/>
  <c r="B5" i="49"/>
  <c r="B6" i="49"/>
  <c r="A7" i="49"/>
  <c r="B7" i="49"/>
  <c r="D3" i="37"/>
  <c r="C3" i="37"/>
  <c r="B3" i="37"/>
  <c r="I3" i="37"/>
  <c r="H3" i="37"/>
  <c r="G3" i="37"/>
  <c r="F3" i="37"/>
  <c r="E3" i="37"/>
  <c r="B4" i="37"/>
  <c r="M3" i="37"/>
  <c r="J3" i="37"/>
  <c r="G4" i="37"/>
  <c r="F4" i="37"/>
  <c r="E4" i="37"/>
  <c r="D4" i="37"/>
  <c r="C4" i="37"/>
  <c r="J4" i="37"/>
  <c r="I4" i="37"/>
  <c r="H4" i="37"/>
  <c r="E5" i="37"/>
  <c r="D5" i="37"/>
  <c r="C5" i="37"/>
  <c r="B5" i="37"/>
  <c r="M4" i="37"/>
  <c r="J5" i="37"/>
  <c r="I5" i="37"/>
  <c r="H5" i="37"/>
  <c r="G5" i="37"/>
  <c r="F5" i="37"/>
  <c r="C6" i="37"/>
  <c r="B6" i="37"/>
  <c r="M5" i="37"/>
  <c r="H6" i="37"/>
  <c r="G6" i="37"/>
  <c r="F6" i="37"/>
  <c r="E6" i="37"/>
  <c r="D6" i="37"/>
  <c r="M6" i="37"/>
  <c r="J6" i="37"/>
  <c r="I6" i="37"/>
  <c r="F7" i="37"/>
  <c r="E7" i="37"/>
  <c r="D7" i="37"/>
  <c r="C7" i="37"/>
  <c r="B7" i="37"/>
  <c r="J7" i="37"/>
  <c r="I7" i="37"/>
  <c r="H7" i="37"/>
  <c r="G7" i="37"/>
  <c r="D8" i="37"/>
  <c r="C8" i="37"/>
  <c r="B8" i="37"/>
  <c r="M7" i="37"/>
  <c r="I8" i="37"/>
  <c r="H8" i="37"/>
  <c r="G8" i="37"/>
  <c r="F8" i="37"/>
  <c r="E8" i="37"/>
  <c r="B9" i="37"/>
  <c r="M8" i="37"/>
  <c r="J8" i="37"/>
  <c r="G9" i="37"/>
  <c r="F9" i="37"/>
  <c r="E9" i="37"/>
  <c r="D9" i="37"/>
  <c r="C9" i="37"/>
  <c r="J9" i="37"/>
  <c r="I9" i="37"/>
  <c r="H9" i="37"/>
  <c r="E10" i="37"/>
  <c r="D10" i="37"/>
  <c r="C10" i="37"/>
  <c r="B10" i="37"/>
  <c r="M9" i="37"/>
  <c r="J10" i="37"/>
  <c r="I10" i="37"/>
  <c r="H10" i="37"/>
  <c r="G10" i="37"/>
  <c r="F10" i="37"/>
  <c r="C11" i="37"/>
  <c r="B11" i="37"/>
  <c r="M10" i="37"/>
  <c r="H11" i="37"/>
  <c r="G11" i="37"/>
  <c r="F11" i="37"/>
  <c r="E11" i="37"/>
  <c r="D11" i="37"/>
  <c r="M11" i="37"/>
  <c r="J11" i="37"/>
  <c r="I11" i="37"/>
  <c r="F12" i="37"/>
  <c r="E12" i="37"/>
  <c r="D12" i="37"/>
  <c r="C12" i="37"/>
  <c r="B12" i="37"/>
  <c r="J12" i="37"/>
  <c r="I12" i="37"/>
  <c r="H12" i="37"/>
  <c r="G12" i="37"/>
  <c r="D13" i="37"/>
  <c r="C13" i="37"/>
  <c r="B13" i="37"/>
  <c r="M12" i="37"/>
  <c r="I13" i="37"/>
  <c r="H13" i="37"/>
  <c r="G13" i="37"/>
  <c r="F13" i="37"/>
  <c r="E13" i="37"/>
  <c r="B14" i="37"/>
  <c r="M13" i="37"/>
  <c r="J13" i="37"/>
  <c r="G14" i="37"/>
  <c r="F14" i="37"/>
  <c r="E14" i="37"/>
  <c r="D14" i="37"/>
  <c r="C14" i="37"/>
  <c r="J14" i="37"/>
  <c r="I14" i="37"/>
  <c r="H14" i="37"/>
  <c r="E15" i="37"/>
  <c r="D15" i="37"/>
  <c r="C15" i="37"/>
  <c r="B15" i="37"/>
  <c r="M14" i="37"/>
  <c r="J15" i="37"/>
  <c r="I15" i="37"/>
  <c r="H15" i="37"/>
  <c r="G15" i="37"/>
  <c r="F15" i="37"/>
  <c r="C16" i="37"/>
  <c r="B16" i="37"/>
  <c r="M15" i="37"/>
  <c r="H16" i="37"/>
  <c r="G16" i="37"/>
  <c r="F16" i="37"/>
  <c r="E16" i="37"/>
  <c r="D16" i="37"/>
  <c r="M16" i="37"/>
  <c r="J16" i="37"/>
  <c r="I16" i="37"/>
  <c r="F17" i="37"/>
  <c r="E17" i="37"/>
  <c r="D17" i="37"/>
  <c r="C17" i="37"/>
  <c r="B17" i="37"/>
  <c r="J17" i="37"/>
  <c r="I17" i="37"/>
  <c r="H17" i="37"/>
  <c r="G17" i="37"/>
  <c r="D18" i="37"/>
  <c r="C18" i="37"/>
  <c r="B18" i="37"/>
  <c r="M17" i="37"/>
  <c r="I18" i="37"/>
  <c r="H18" i="37"/>
  <c r="G18" i="37"/>
  <c r="F18" i="37"/>
  <c r="E18" i="37"/>
  <c r="B19" i="37"/>
  <c r="M18" i="37"/>
  <c r="J18" i="37"/>
  <c r="G19" i="37"/>
  <c r="F19" i="37"/>
  <c r="E19" i="37"/>
  <c r="D19" i="37"/>
  <c r="C19" i="37"/>
  <c r="J19" i="37"/>
  <c r="I19" i="37"/>
  <c r="H19" i="37"/>
  <c r="E20" i="37"/>
  <c r="D20" i="37"/>
  <c r="C20" i="37"/>
  <c r="B20" i="37"/>
  <c r="M19" i="37"/>
  <c r="J20" i="37"/>
  <c r="I20" i="37"/>
  <c r="H20" i="37"/>
  <c r="G20" i="37"/>
  <c r="F20" i="37"/>
  <c r="C21" i="37"/>
  <c r="B21" i="37"/>
  <c r="M20" i="37"/>
  <c r="H21" i="37"/>
  <c r="G21" i="37"/>
  <c r="F21" i="37"/>
  <c r="E21" i="37"/>
  <c r="D21" i="37"/>
  <c r="M21" i="37"/>
  <c r="J21" i="37"/>
  <c r="I21" i="37"/>
  <c r="F22" i="37"/>
  <c r="E22" i="37"/>
  <c r="D22" i="37"/>
  <c r="C22" i="37"/>
  <c r="B22" i="37"/>
  <c r="J22" i="37"/>
  <c r="I22" i="37"/>
  <c r="H22" i="37"/>
  <c r="G22" i="37"/>
  <c r="D23" i="37"/>
  <c r="C23" i="37"/>
  <c r="B23" i="37"/>
  <c r="M22" i="37"/>
  <c r="I23" i="37"/>
  <c r="H23" i="37"/>
  <c r="G23" i="37"/>
  <c r="F23" i="37"/>
  <c r="E23" i="37"/>
  <c r="B24" i="37"/>
  <c r="M23" i="37"/>
  <c r="J23" i="37"/>
  <c r="G24" i="37"/>
  <c r="F24" i="37"/>
  <c r="E24" i="37"/>
  <c r="D24" i="37"/>
  <c r="C24" i="37"/>
  <c r="J24" i="37"/>
  <c r="I24" i="37"/>
  <c r="H24" i="37"/>
  <c r="E25" i="37"/>
  <c r="D25" i="37"/>
  <c r="C25" i="37"/>
  <c r="B25" i="37"/>
  <c r="M24" i="37"/>
  <c r="J25" i="37"/>
  <c r="I25" i="37"/>
  <c r="H25" i="37"/>
  <c r="G25" i="37"/>
  <c r="F25" i="37"/>
  <c r="C26" i="37"/>
  <c r="B26" i="37"/>
  <c r="M25" i="37"/>
  <c r="H26" i="37"/>
  <c r="G26" i="37"/>
  <c r="F26" i="37"/>
  <c r="E26" i="37"/>
  <c r="D26" i="37"/>
  <c r="M26" i="37"/>
  <c r="J26" i="37"/>
  <c r="I26" i="37"/>
  <c r="F27" i="37"/>
  <c r="E27" i="37"/>
  <c r="D27" i="37"/>
  <c r="C27" i="37"/>
  <c r="B27" i="37"/>
  <c r="J27" i="37"/>
  <c r="I27" i="37"/>
  <c r="H27" i="37"/>
  <c r="G27" i="37"/>
  <c r="D28" i="37"/>
  <c r="C28" i="37"/>
  <c r="B28" i="37"/>
  <c r="M27" i="37"/>
  <c r="I28" i="37"/>
  <c r="H28" i="37"/>
  <c r="G28" i="37"/>
  <c r="F28" i="37"/>
  <c r="E28" i="37"/>
  <c r="B29" i="37"/>
  <c r="M28" i="37"/>
  <c r="J28" i="37"/>
  <c r="G29" i="37"/>
  <c r="F29" i="37"/>
  <c r="E29" i="37"/>
  <c r="D29" i="37"/>
  <c r="C29" i="37"/>
  <c r="J29" i="37"/>
  <c r="I29" i="37"/>
  <c r="H29" i="37"/>
  <c r="E30" i="37"/>
  <c r="D30" i="37"/>
  <c r="C30" i="37"/>
  <c r="B30" i="37"/>
  <c r="M29" i="37"/>
  <c r="J30" i="37"/>
  <c r="I30" i="37"/>
  <c r="H30" i="37"/>
  <c r="G30" i="37"/>
  <c r="F30" i="37"/>
  <c r="C31" i="37"/>
  <c r="B31" i="37"/>
  <c r="M30" i="37"/>
  <c r="H31" i="37"/>
  <c r="G31" i="37"/>
  <c r="F31" i="37"/>
  <c r="E31" i="37"/>
  <c r="D31" i="37"/>
  <c r="M31" i="37"/>
  <c r="J31" i="37"/>
  <c r="I31" i="37"/>
  <c r="F32" i="37"/>
  <c r="E32" i="37"/>
  <c r="D32" i="37"/>
  <c r="C32" i="37"/>
  <c r="B32" i="37"/>
  <c r="J32" i="37"/>
  <c r="I32" i="37"/>
  <c r="H32" i="37"/>
  <c r="G32" i="37"/>
  <c r="D33" i="37"/>
  <c r="C33" i="37"/>
  <c r="B33" i="37"/>
  <c r="M32" i="37"/>
  <c r="I33" i="37"/>
  <c r="H33" i="37"/>
  <c r="G33" i="37"/>
  <c r="F33" i="37"/>
  <c r="E33" i="37"/>
  <c r="B34" i="37"/>
  <c r="M33" i="37"/>
  <c r="J33" i="37"/>
  <c r="G34" i="37"/>
  <c r="F34" i="37"/>
  <c r="E34" i="37"/>
  <c r="D34" i="37"/>
  <c r="C34" i="37"/>
  <c r="J34" i="37"/>
  <c r="I34" i="37"/>
  <c r="H34" i="37"/>
  <c r="E35" i="37"/>
  <c r="D35" i="37"/>
  <c r="C35" i="37"/>
  <c r="B35" i="37"/>
  <c r="M34" i="37"/>
  <c r="J35" i="37"/>
  <c r="I35" i="37"/>
  <c r="H35" i="37"/>
  <c r="G35" i="37"/>
  <c r="F35" i="37"/>
  <c r="C36" i="37"/>
  <c r="B36" i="37"/>
  <c r="M35" i="37"/>
  <c r="H36" i="37"/>
  <c r="G36" i="37"/>
  <c r="F36" i="37"/>
  <c r="E36" i="37"/>
  <c r="D36" i="37"/>
  <c r="M36" i="37"/>
  <c r="J36" i="37"/>
  <c r="I36" i="37"/>
  <c r="F37" i="37"/>
  <c r="E37" i="37"/>
  <c r="D37" i="37"/>
  <c r="C37" i="37"/>
  <c r="B37" i="37"/>
  <c r="J37" i="37"/>
  <c r="I37" i="37"/>
  <c r="H37" i="37"/>
  <c r="G37" i="37"/>
  <c r="D38" i="37"/>
  <c r="C38" i="37"/>
  <c r="B38" i="37"/>
  <c r="M37" i="37"/>
  <c r="I38" i="37"/>
  <c r="H38" i="37"/>
  <c r="G38" i="37"/>
  <c r="F38" i="37"/>
  <c r="E38" i="37"/>
  <c r="B39" i="37"/>
  <c r="M38" i="37"/>
  <c r="J38" i="37"/>
  <c r="G39" i="37"/>
  <c r="F39" i="37"/>
  <c r="E39" i="37"/>
  <c r="D39" i="37"/>
  <c r="C39" i="37"/>
  <c r="J39" i="37"/>
  <c r="I39" i="37"/>
  <c r="H39" i="37"/>
  <c r="E40" i="37"/>
  <c r="D40" i="37"/>
  <c r="C40" i="37"/>
  <c r="B40" i="37"/>
  <c r="M39" i="37"/>
  <c r="J40" i="37"/>
  <c r="I40" i="37"/>
  <c r="H40" i="37"/>
  <c r="G40" i="37"/>
  <c r="F40" i="37"/>
  <c r="C41" i="37"/>
  <c r="B41" i="37"/>
  <c r="M40" i="37"/>
  <c r="H41" i="37"/>
  <c r="G41" i="37"/>
  <c r="F41" i="37"/>
  <c r="E41" i="37"/>
  <c r="D41" i="37"/>
  <c r="M41" i="37"/>
  <c r="J41" i="37"/>
  <c r="I41" i="37"/>
  <c r="F42" i="37"/>
  <c r="E42" i="37"/>
  <c r="D42" i="37"/>
  <c r="C42" i="37"/>
  <c r="B42" i="37"/>
  <c r="J42" i="37"/>
  <c r="I42" i="37"/>
  <c r="H42" i="37"/>
  <c r="G42" i="37"/>
  <c r="D43" i="37"/>
  <c r="C43" i="37"/>
  <c r="B43" i="37"/>
  <c r="M42" i="37"/>
  <c r="I43" i="37"/>
  <c r="H43" i="37"/>
  <c r="G43" i="37"/>
  <c r="F43" i="37"/>
  <c r="E43" i="37"/>
  <c r="B44" i="37"/>
  <c r="M43" i="37"/>
  <c r="J43" i="37"/>
  <c r="G44" i="37"/>
  <c r="F44" i="37"/>
  <c r="E44" i="37"/>
  <c r="D44" i="37"/>
  <c r="C44" i="37"/>
  <c r="J44" i="37"/>
  <c r="I44" i="37"/>
  <c r="H44" i="37"/>
  <c r="E45" i="37"/>
  <c r="D45" i="37"/>
  <c r="C45" i="37"/>
  <c r="B45" i="37"/>
  <c r="M44" i="37"/>
  <c r="J45" i="37"/>
  <c r="I45" i="37"/>
  <c r="H45" i="37"/>
  <c r="G45" i="37"/>
  <c r="F45" i="37"/>
  <c r="C46" i="37"/>
  <c r="B46" i="37"/>
  <c r="M45" i="37"/>
  <c r="H46" i="37"/>
  <c r="G46" i="37"/>
  <c r="F46" i="37"/>
  <c r="E46" i="37"/>
  <c r="D46" i="37"/>
  <c r="M46" i="37"/>
  <c r="J46" i="37"/>
  <c r="I46" i="37"/>
  <c r="F47" i="37"/>
  <c r="E47" i="37"/>
  <c r="D47" i="37"/>
  <c r="C47" i="37"/>
  <c r="B47" i="37"/>
  <c r="J47" i="37"/>
  <c r="I47" i="37"/>
  <c r="H47" i="37"/>
  <c r="G47" i="37"/>
  <c r="D48" i="37"/>
  <c r="C48" i="37"/>
  <c r="B48" i="37"/>
  <c r="M47" i="37"/>
  <c r="I48" i="37"/>
  <c r="H48" i="37"/>
  <c r="G48" i="37"/>
  <c r="F48" i="37"/>
  <c r="E48" i="37"/>
  <c r="B49" i="37"/>
  <c r="M48" i="37"/>
  <c r="J48" i="37"/>
  <c r="G49" i="37"/>
  <c r="F49" i="37"/>
  <c r="E49" i="37"/>
  <c r="D49" i="37"/>
  <c r="C49" i="37"/>
  <c r="J49" i="37"/>
  <c r="I49" i="37"/>
  <c r="H49" i="37"/>
  <c r="E50" i="37"/>
  <c r="D50" i="37"/>
  <c r="C50" i="37"/>
  <c r="B50" i="37"/>
  <c r="M49" i="37"/>
  <c r="J50" i="37"/>
  <c r="I50" i="37"/>
  <c r="H50" i="37"/>
  <c r="G50" i="37"/>
  <c r="F50" i="37"/>
  <c r="C51" i="37"/>
  <c r="B51" i="37"/>
  <c r="M50" i="37"/>
  <c r="H51" i="37"/>
  <c r="G51" i="37"/>
  <c r="F51" i="37"/>
  <c r="E51" i="37"/>
  <c r="D51" i="37"/>
  <c r="M51" i="37"/>
  <c r="J51" i="37"/>
  <c r="I51" i="37"/>
  <c r="F52" i="37"/>
  <c r="E52" i="37"/>
  <c r="D52" i="37"/>
  <c r="C52" i="37"/>
  <c r="B52" i="37"/>
  <c r="J52" i="37"/>
  <c r="I52" i="37"/>
  <c r="H52" i="37"/>
  <c r="G52" i="37"/>
  <c r="D53" i="37"/>
  <c r="C53" i="37"/>
  <c r="B53" i="37"/>
  <c r="M52" i="37"/>
  <c r="I53" i="37"/>
  <c r="H53" i="37"/>
  <c r="G53" i="37"/>
  <c r="F53" i="37"/>
  <c r="E53" i="37"/>
  <c r="B54" i="37"/>
  <c r="M53" i="37"/>
  <c r="J53" i="37"/>
  <c r="G54" i="37"/>
  <c r="F54" i="37"/>
  <c r="E54" i="37"/>
  <c r="D54" i="37"/>
  <c r="C54" i="37"/>
  <c r="J54" i="37"/>
  <c r="I54" i="37"/>
  <c r="H54" i="37"/>
  <c r="E55" i="37"/>
  <c r="D55" i="37"/>
  <c r="C55" i="37"/>
  <c r="B55" i="37"/>
  <c r="M54" i="37"/>
  <c r="J55" i="37"/>
  <c r="I55" i="37"/>
  <c r="H55" i="37"/>
  <c r="G55" i="37"/>
  <c r="F55" i="37"/>
  <c r="C56" i="37"/>
  <c r="B56" i="37"/>
  <c r="M55" i="37"/>
  <c r="H56" i="37"/>
  <c r="G56" i="37"/>
  <c r="F56" i="37"/>
  <c r="E56" i="37"/>
  <c r="D56" i="37"/>
  <c r="M56" i="37"/>
  <c r="J56" i="37"/>
  <c r="I56" i="37"/>
  <c r="F57" i="37"/>
  <c r="E57" i="37"/>
  <c r="D57" i="37"/>
  <c r="C57" i="37"/>
  <c r="B57" i="37"/>
  <c r="J57" i="37"/>
  <c r="I57" i="37"/>
  <c r="H57" i="37"/>
  <c r="G57" i="37"/>
  <c r="M57" i="37"/>
  <c r="B59" i="37"/>
  <c r="G59" i="37"/>
  <c r="F59" i="37"/>
  <c r="E59" i="37"/>
  <c r="D59" i="37"/>
  <c r="C59" i="37"/>
  <c r="J59" i="37"/>
  <c r="I59" i="37"/>
  <c r="H59" i="37"/>
  <c r="E60" i="37"/>
  <c r="D60" i="37"/>
  <c r="C60" i="37"/>
  <c r="B60" i="37"/>
  <c r="M59" i="37"/>
  <c r="J60" i="37"/>
  <c r="I60" i="37"/>
  <c r="H60" i="37"/>
  <c r="G60" i="37"/>
  <c r="F60" i="37"/>
  <c r="M60" i="37"/>
  <c r="F62" i="37"/>
  <c r="E62" i="37"/>
  <c r="D62" i="37"/>
  <c r="C62" i="37"/>
  <c r="B62" i="37"/>
  <c r="J62" i="37"/>
  <c r="I62" i="37"/>
  <c r="H62" i="37"/>
  <c r="G62" i="37"/>
  <c r="D63" i="37"/>
  <c r="C63" i="37"/>
  <c r="B63" i="37"/>
  <c r="M62" i="37"/>
  <c r="I63" i="37"/>
  <c r="H63" i="37"/>
  <c r="G63" i="37"/>
  <c r="F63" i="37"/>
  <c r="E63" i="37"/>
  <c r="B64" i="37"/>
  <c r="M63" i="37"/>
  <c r="J63" i="37"/>
  <c r="G64" i="37"/>
  <c r="F64" i="37"/>
  <c r="E64" i="37"/>
  <c r="D64" i="37"/>
  <c r="C64" i="37"/>
  <c r="J64" i="37"/>
  <c r="I64" i="37"/>
  <c r="H64" i="37"/>
  <c r="M64" i="37"/>
  <c r="F67" i="37"/>
  <c r="E67" i="37"/>
  <c r="D67" i="37"/>
  <c r="C67" i="37"/>
  <c r="B67" i="37"/>
  <c r="J67" i="37"/>
  <c r="I67" i="37"/>
  <c r="H67" i="37"/>
  <c r="G67" i="37"/>
  <c r="M67" i="37"/>
  <c r="B69" i="37"/>
  <c r="G69" i="37"/>
  <c r="F69" i="37"/>
  <c r="E69" i="37"/>
  <c r="D69" i="37"/>
  <c r="C69" i="37"/>
  <c r="J69" i="37"/>
  <c r="I69" i="37"/>
  <c r="H69" i="37"/>
  <c r="E70" i="37"/>
  <c r="D70" i="37"/>
  <c r="C70" i="37"/>
  <c r="B70" i="37"/>
  <c r="M69" i="37"/>
  <c r="J70" i="37"/>
  <c r="I70" i="37"/>
  <c r="H70" i="37"/>
  <c r="G70" i="37"/>
  <c r="F70" i="37"/>
  <c r="C71" i="37"/>
  <c r="B71" i="37"/>
  <c r="M70" i="37"/>
  <c r="H71" i="37"/>
  <c r="G71" i="37"/>
  <c r="F71" i="37"/>
  <c r="E71" i="37"/>
  <c r="D71" i="37"/>
  <c r="M71" i="37"/>
  <c r="J71" i="37"/>
  <c r="I71" i="37"/>
  <c r="B74" i="37"/>
  <c r="G74" i="37"/>
  <c r="F74" i="37"/>
  <c r="E74" i="37"/>
  <c r="D74" i="37"/>
  <c r="C74" i="37"/>
  <c r="J74" i="37"/>
  <c r="I74" i="37"/>
  <c r="H74" i="37"/>
  <c r="E75" i="37"/>
  <c r="D75" i="37"/>
  <c r="C75" i="37"/>
  <c r="B75" i="37"/>
  <c r="M74" i="37"/>
  <c r="J75" i="37"/>
  <c r="I75" i="37"/>
  <c r="H75" i="37"/>
  <c r="G75" i="37"/>
  <c r="F75" i="37"/>
  <c r="C76" i="37"/>
  <c r="B76" i="37"/>
  <c r="M75" i="37"/>
  <c r="H76" i="37"/>
  <c r="G76" i="37"/>
  <c r="F76" i="37"/>
  <c r="E76" i="37"/>
  <c r="D76" i="37"/>
  <c r="M76" i="37"/>
  <c r="J76" i="37"/>
  <c r="I76" i="37"/>
  <c r="F77" i="37"/>
  <c r="E77" i="37"/>
  <c r="D77" i="37"/>
  <c r="C77" i="37"/>
  <c r="B77" i="37"/>
  <c r="J77" i="37"/>
  <c r="I77" i="37"/>
  <c r="H77" i="37"/>
  <c r="G77" i="37"/>
  <c r="D78" i="37"/>
  <c r="C78" i="37"/>
  <c r="B78" i="37"/>
  <c r="M77" i="37"/>
  <c r="I78" i="37"/>
  <c r="H78" i="37"/>
  <c r="G78" i="37"/>
  <c r="F78" i="37"/>
  <c r="E78" i="37"/>
  <c r="B79" i="37"/>
  <c r="M78" i="37"/>
  <c r="J78" i="37"/>
  <c r="G79" i="37"/>
  <c r="F79" i="37"/>
  <c r="E79" i="37"/>
  <c r="D79" i="37"/>
  <c r="C79" i="37"/>
  <c r="J79" i="37"/>
  <c r="I79" i="37"/>
  <c r="H79" i="37"/>
  <c r="E80" i="37"/>
  <c r="D80" i="37"/>
  <c r="C80" i="37"/>
  <c r="B80" i="37"/>
  <c r="M79" i="37"/>
  <c r="J80" i="37"/>
  <c r="I80" i="37"/>
  <c r="H80" i="37"/>
  <c r="G80" i="37"/>
  <c r="F80" i="37"/>
  <c r="C81" i="37"/>
  <c r="B81" i="37"/>
  <c r="M80" i="37"/>
  <c r="H81" i="37"/>
  <c r="G81" i="37"/>
  <c r="F81" i="37"/>
  <c r="E81" i="37"/>
  <c r="D81" i="37"/>
  <c r="M81" i="37"/>
  <c r="J81" i="37"/>
  <c r="I81" i="37"/>
  <c r="F82" i="37"/>
  <c r="E82" i="37"/>
  <c r="D82" i="37"/>
  <c r="C82" i="37"/>
  <c r="B82" i="37"/>
  <c r="J82" i="37"/>
  <c r="I82" i="37"/>
  <c r="H82" i="37"/>
  <c r="G82" i="37"/>
  <c r="D83" i="37"/>
  <c r="C83" i="37"/>
  <c r="B83" i="37"/>
  <c r="M82" i="37"/>
  <c r="I83" i="37"/>
  <c r="H83" i="37"/>
  <c r="G83" i="37"/>
  <c r="F83" i="37"/>
  <c r="E83" i="37"/>
  <c r="B84" i="37"/>
  <c r="M83" i="37"/>
  <c r="J83" i="37"/>
  <c r="G84" i="37"/>
  <c r="F84" i="37"/>
  <c r="E84" i="37"/>
  <c r="D84" i="37"/>
  <c r="C84" i="37"/>
  <c r="J84" i="37"/>
  <c r="I84" i="37"/>
  <c r="H84" i="37"/>
  <c r="E85" i="37"/>
  <c r="D85" i="37"/>
  <c r="C85" i="37"/>
  <c r="B85" i="37"/>
  <c r="M84" i="37"/>
  <c r="J85" i="37"/>
  <c r="I85" i="37"/>
  <c r="H85" i="37"/>
  <c r="G85" i="37"/>
  <c r="F85" i="37"/>
  <c r="C86" i="37"/>
  <c r="B86" i="37"/>
  <c r="M85" i="37"/>
  <c r="H86" i="37"/>
  <c r="G86" i="37"/>
  <c r="F86" i="37"/>
  <c r="E86" i="37"/>
  <c r="D86" i="37"/>
  <c r="M86" i="37"/>
  <c r="J86" i="37"/>
  <c r="I86" i="37"/>
  <c r="F87" i="37"/>
  <c r="E87" i="37"/>
  <c r="D87" i="37"/>
  <c r="C87" i="37"/>
  <c r="B87" i="37"/>
  <c r="J87" i="37"/>
  <c r="I87" i="37"/>
  <c r="H87" i="37"/>
  <c r="G87" i="37"/>
  <c r="D88" i="37"/>
  <c r="C88" i="37"/>
  <c r="B88" i="37"/>
  <c r="M87" i="37"/>
  <c r="I88" i="37"/>
  <c r="H88" i="37"/>
  <c r="G88" i="37"/>
  <c r="F88" i="37"/>
  <c r="E88" i="37"/>
  <c r="B89" i="37"/>
  <c r="M88" i="37"/>
  <c r="J88" i="37"/>
  <c r="G89" i="37"/>
  <c r="F89" i="37"/>
  <c r="E89" i="37"/>
  <c r="D89" i="37"/>
  <c r="C89" i="37"/>
  <c r="J89" i="37"/>
  <c r="I89" i="37"/>
  <c r="H89" i="37"/>
  <c r="E90" i="37"/>
  <c r="D90" i="37"/>
  <c r="C90" i="37"/>
  <c r="B90" i="37"/>
  <c r="M89" i="37"/>
  <c r="J90" i="37"/>
  <c r="I90" i="37"/>
  <c r="H90" i="37"/>
  <c r="G90" i="37"/>
  <c r="F90" i="37"/>
  <c r="C91" i="37"/>
  <c r="B91" i="37"/>
  <c r="M90" i="37"/>
  <c r="H91" i="37"/>
  <c r="G91" i="37"/>
  <c r="F91" i="37"/>
  <c r="E91" i="37"/>
  <c r="D91" i="37"/>
  <c r="M91" i="37"/>
  <c r="J91" i="37"/>
  <c r="I91" i="37"/>
  <c r="F92" i="37"/>
  <c r="E92" i="37"/>
  <c r="D92" i="37"/>
  <c r="C92" i="37"/>
  <c r="B92" i="37"/>
  <c r="J92" i="37"/>
  <c r="I92" i="37"/>
  <c r="H92" i="37"/>
  <c r="G92" i="37"/>
  <c r="D93" i="37"/>
  <c r="C93" i="37"/>
  <c r="B93" i="37"/>
  <c r="M92" i="37"/>
  <c r="I93" i="37"/>
  <c r="H93" i="37"/>
  <c r="G93" i="37"/>
  <c r="F93" i="37"/>
  <c r="E93" i="37"/>
  <c r="B94" i="37"/>
  <c r="M93" i="37"/>
  <c r="J93" i="37"/>
  <c r="G94" i="37"/>
  <c r="F94" i="37"/>
  <c r="E94" i="37"/>
  <c r="D94" i="37"/>
  <c r="C94" i="37"/>
  <c r="J94" i="37"/>
  <c r="I94" i="37"/>
  <c r="H94" i="37"/>
  <c r="M94" i="37"/>
  <c r="C96" i="37"/>
  <c r="B96" i="37"/>
  <c r="H96" i="37"/>
  <c r="G96" i="37"/>
  <c r="F96" i="37"/>
  <c r="E96" i="37"/>
  <c r="D96" i="37"/>
  <c r="M96" i="37"/>
  <c r="J96" i="37"/>
  <c r="I96" i="37"/>
  <c r="F97" i="37"/>
  <c r="E97" i="37"/>
  <c r="D97" i="37"/>
  <c r="C97" i="37"/>
  <c r="B97" i="37"/>
  <c r="J97" i="37"/>
  <c r="I97" i="37"/>
  <c r="H97" i="37"/>
  <c r="G97" i="37"/>
  <c r="D98" i="37"/>
  <c r="C98" i="37"/>
  <c r="B98" i="37"/>
  <c r="M97" i="37"/>
  <c r="I98" i="37"/>
  <c r="H98" i="37"/>
  <c r="G98" i="37"/>
  <c r="F98" i="37"/>
  <c r="E98" i="37"/>
  <c r="B99" i="37"/>
  <c r="M98" i="37"/>
  <c r="J98" i="37"/>
  <c r="G99" i="37"/>
  <c r="F99" i="37"/>
  <c r="E99" i="37"/>
  <c r="D99" i="37"/>
  <c r="C99" i="37"/>
  <c r="J99" i="37"/>
  <c r="I99" i="37"/>
  <c r="H99" i="37"/>
  <c r="E100" i="37"/>
  <c r="D100" i="37"/>
  <c r="C100" i="37"/>
  <c r="B100" i="37"/>
  <c r="M99" i="37"/>
  <c r="J100" i="37"/>
  <c r="I100" i="37"/>
  <c r="H100" i="37"/>
  <c r="G100" i="37"/>
  <c r="F100" i="37"/>
  <c r="C101" i="37"/>
  <c r="B101" i="37"/>
  <c r="M100" i="37"/>
  <c r="H101" i="37"/>
  <c r="G101" i="37"/>
  <c r="F101" i="37"/>
  <c r="E101" i="37"/>
  <c r="D101" i="37"/>
  <c r="M101" i="37"/>
  <c r="J101" i="37"/>
  <c r="I101" i="37"/>
  <c r="F102" i="37"/>
  <c r="E102" i="37"/>
  <c r="D102" i="37"/>
  <c r="C102" i="37"/>
  <c r="B102" i="37"/>
  <c r="J102" i="37"/>
  <c r="I102" i="37"/>
  <c r="H102" i="37"/>
  <c r="G102" i="37"/>
  <c r="D103" i="37"/>
  <c r="C103" i="37"/>
  <c r="B103" i="37"/>
  <c r="M102" i="37"/>
  <c r="I103" i="37"/>
  <c r="H103" i="37"/>
  <c r="G103" i="37"/>
  <c r="F103" i="37"/>
  <c r="E103" i="37"/>
  <c r="B104" i="37"/>
  <c r="M103" i="37"/>
  <c r="J103" i="37"/>
  <c r="G104" i="37"/>
  <c r="F104" i="37"/>
  <c r="E104" i="37"/>
  <c r="D104" i="37"/>
  <c r="C104" i="37"/>
  <c r="J104" i="37"/>
  <c r="I104" i="37"/>
  <c r="H104" i="37"/>
  <c r="E105" i="37"/>
  <c r="D105" i="37"/>
  <c r="C105" i="37"/>
  <c r="B105" i="37"/>
  <c r="M104" i="37"/>
  <c r="J105" i="37"/>
  <c r="I105" i="37"/>
  <c r="H105" i="37"/>
  <c r="G105" i="37"/>
  <c r="F105" i="37"/>
  <c r="C106" i="37"/>
  <c r="B106" i="37"/>
  <c r="M105" i="37"/>
  <c r="H106" i="37"/>
  <c r="G106" i="37"/>
  <c r="F106" i="37"/>
  <c r="E106" i="37"/>
  <c r="D106" i="37"/>
  <c r="M106" i="37"/>
  <c r="J106" i="37"/>
  <c r="I106" i="37"/>
  <c r="F107" i="37"/>
  <c r="E107" i="37"/>
  <c r="D107" i="37"/>
  <c r="C107" i="37"/>
  <c r="B107" i="37"/>
  <c r="J107" i="37"/>
  <c r="I107" i="37"/>
  <c r="H107" i="37"/>
  <c r="G107" i="37"/>
  <c r="D108" i="37"/>
  <c r="C108" i="37"/>
  <c r="B108" i="37"/>
  <c r="M107" i="37"/>
  <c r="I108" i="37"/>
  <c r="H108" i="37"/>
  <c r="G108" i="37"/>
  <c r="F108" i="37"/>
  <c r="E108" i="37"/>
  <c r="B109" i="37"/>
  <c r="M108" i="37"/>
  <c r="J108" i="37"/>
  <c r="G109" i="37"/>
  <c r="F109" i="37"/>
  <c r="E109" i="37"/>
  <c r="D109" i="37"/>
  <c r="C109" i="37"/>
  <c r="J109" i="37"/>
  <c r="I109" i="37"/>
  <c r="H109" i="37"/>
  <c r="E110" i="37"/>
  <c r="D110" i="37"/>
  <c r="C110" i="37"/>
  <c r="B110" i="37"/>
  <c r="M109" i="37"/>
  <c r="J110" i="37"/>
  <c r="I110" i="37"/>
  <c r="H110" i="37"/>
  <c r="G110" i="37"/>
  <c r="F110" i="37"/>
  <c r="C111" i="37"/>
  <c r="B111" i="37"/>
  <c r="M110" i="37"/>
  <c r="H111" i="37"/>
  <c r="G111" i="37"/>
  <c r="F111" i="37"/>
  <c r="E111" i="37"/>
  <c r="D111" i="37"/>
  <c r="M111" i="37"/>
  <c r="J111" i="37"/>
  <c r="I111" i="37"/>
  <c r="F112" i="37"/>
  <c r="E112" i="37"/>
  <c r="D112" i="37"/>
  <c r="C112" i="37"/>
  <c r="B112" i="37"/>
  <c r="J112" i="37"/>
  <c r="I112" i="37"/>
  <c r="H112" i="37"/>
  <c r="G112" i="37"/>
  <c r="D113" i="37"/>
  <c r="C113" i="37"/>
  <c r="B113" i="37"/>
  <c r="M112" i="37"/>
  <c r="I113" i="37"/>
  <c r="H113" i="37"/>
  <c r="G113" i="37"/>
  <c r="F113" i="37"/>
  <c r="E113" i="37"/>
  <c r="B114" i="37"/>
  <c r="M113" i="37"/>
  <c r="J113" i="37"/>
  <c r="G114" i="37"/>
  <c r="F114" i="37"/>
  <c r="E114" i="37"/>
  <c r="D114" i="37"/>
  <c r="C114" i="37"/>
  <c r="J114" i="37"/>
  <c r="I114" i="37"/>
  <c r="H114" i="37"/>
  <c r="E115" i="37"/>
  <c r="D115" i="37"/>
  <c r="C115" i="37"/>
  <c r="B115" i="37"/>
  <c r="M114" i="37"/>
  <c r="J115" i="37"/>
  <c r="I115" i="37"/>
  <c r="H115" i="37"/>
  <c r="G115" i="37"/>
  <c r="F115" i="37"/>
  <c r="C116" i="37"/>
  <c r="B116" i="37"/>
  <c r="M115" i="37"/>
  <c r="H116" i="37"/>
  <c r="G116" i="37"/>
  <c r="F116" i="37"/>
  <c r="E116" i="37"/>
  <c r="D116" i="37"/>
  <c r="M116" i="37"/>
  <c r="J116" i="37"/>
  <c r="I116" i="37"/>
  <c r="F117" i="37"/>
  <c r="E117" i="37"/>
  <c r="D117" i="37"/>
  <c r="C117" i="37"/>
  <c r="B117" i="37"/>
  <c r="J117" i="37"/>
  <c r="I117" i="37"/>
  <c r="H117" i="37"/>
  <c r="G117" i="37"/>
  <c r="D118" i="37"/>
  <c r="C118" i="37"/>
  <c r="B118" i="37"/>
  <c r="M117" i="37"/>
  <c r="I118" i="37"/>
  <c r="H118" i="37"/>
  <c r="G118" i="37"/>
  <c r="F118" i="37"/>
  <c r="E118" i="37"/>
  <c r="B119" i="37"/>
  <c r="M118" i="37"/>
  <c r="J118" i="37"/>
  <c r="G119" i="37"/>
  <c r="F119" i="37"/>
  <c r="E119" i="37"/>
  <c r="D119" i="37"/>
  <c r="C119" i="37"/>
  <c r="J119" i="37"/>
  <c r="I119" i="37"/>
  <c r="H119" i="37"/>
  <c r="E120" i="37"/>
  <c r="D120" i="37"/>
  <c r="C120" i="37"/>
  <c r="B120" i="37"/>
  <c r="M119" i="37"/>
  <c r="J120" i="37"/>
  <c r="I120" i="37"/>
  <c r="H120" i="37"/>
  <c r="G120" i="37"/>
  <c r="F120" i="37"/>
  <c r="C121" i="37"/>
  <c r="B121" i="37"/>
  <c r="M120" i="37"/>
  <c r="H121" i="37"/>
  <c r="G121" i="37"/>
  <c r="F121" i="37"/>
  <c r="E121" i="37"/>
  <c r="D121" i="37"/>
  <c r="M121" i="37"/>
  <c r="J121" i="37"/>
  <c r="I121" i="37"/>
  <c r="B124" i="37"/>
  <c r="G124" i="37"/>
  <c r="F124" i="37"/>
  <c r="E124" i="37"/>
  <c r="D124" i="37"/>
  <c r="C124" i="37"/>
  <c r="J124" i="37"/>
  <c r="I124" i="37"/>
  <c r="H124" i="37"/>
  <c r="M124" i="37"/>
  <c r="C126" i="37"/>
  <c r="B126" i="37"/>
  <c r="H126" i="37"/>
  <c r="G126" i="37"/>
  <c r="F126" i="37"/>
  <c r="E126" i="37"/>
  <c r="D126" i="37"/>
  <c r="M126" i="37"/>
  <c r="J126" i="37"/>
  <c r="I126" i="37"/>
  <c r="B129" i="37"/>
  <c r="G129" i="37"/>
  <c r="F129" i="37"/>
  <c r="E129" i="37"/>
  <c r="D129" i="37"/>
  <c r="C129" i="37"/>
  <c r="J129" i="37"/>
  <c r="I129" i="37"/>
  <c r="H129" i="37"/>
  <c r="M129" i="37"/>
  <c r="B134" i="37"/>
  <c r="G134" i="37"/>
  <c r="F134" i="37"/>
  <c r="E134" i="37"/>
  <c r="D134" i="37"/>
  <c r="C134" i="37"/>
  <c r="J134" i="37"/>
  <c r="I134" i="37"/>
  <c r="H134" i="37"/>
  <c r="E135" i="37"/>
  <c r="D135" i="37"/>
  <c r="C135" i="37"/>
  <c r="B135" i="37"/>
  <c r="M134" i="37"/>
  <c r="J135" i="37"/>
  <c r="I135" i="37"/>
  <c r="H135" i="37"/>
  <c r="G135" i="37"/>
  <c r="F135" i="37"/>
  <c r="C136" i="37"/>
  <c r="B136" i="37"/>
  <c r="M135" i="37"/>
  <c r="H136" i="37"/>
  <c r="G136" i="37"/>
  <c r="F136" i="37"/>
  <c r="E136" i="37"/>
  <c r="D136" i="37"/>
  <c r="M136" i="37"/>
  <c r="J136" i="37"/>
  <c r="I136" i="37"/>
  <c r="F137" i="37"/>
  <c r="E137" i="37"/>
  <c r="D137" i="37"/>
  <c r="C137" i="37"/>
  <c r="B137" i="37"/>
  <c r="J137" i="37"/>
  <c r="I137" i="37"/>
  <c r="H137" i="37"/>
  <c r="G137" i="37"/>
  <c r="D138" i="37"/>
  <c r="C138" i="37"/>
  <c r="B138" i="37"/>
  <c r="M137" i="37"/>
  <c r="I138" i="37"/>
  <c r="H138" i="37"/>
  <c r="G138" i="37"/>
  <c r="F138" i="37"/>
  <c r="E138" i="37"/>
  <c r="B139" i="37"/>
  <c r="M138" i="37"/>
  <c r="J138" i="37"/>
  <c r="G139" i="37"/>
  <c r="F139" i="37"/>
  <c r="E139" i="37"/>
  <c r="D139" i="37"/>
  <c r="C139" i="37"/>
  <c r="J139" i="37"/>
  <c r="I139" i="37"/>
  <c r="H139" i="37"/>
  <c r="E140" i="37"/>
  <c r="D140" i="37"/>
  <c r="C140" i="37"/>
  <c r="B140" i="37"/>
  <c r="M139" i="37"/>
  <c r="J140" i="37"/>
  <c r="I140" i="37"/>
  <c r="H140" i="37"/>
  <c r="G140" i="37"/>
  <c r="F140" i="37"/>
  <c r="C141" i="37"/>
  <c r="B141" i="37"/>
  <c r="M140" i="37"/>
  <c r="H141" i="37"/>
  <c r="G141" i="37"/>
  <c r="F141" i="37"/>
  <c r="E141" i="37"/>
  <c r="D141" i="37"/>
  <c r="M141" i="37"/>
  <c r="J141" i="37"/>
  <c r="I141" i="37"/>
  <c r="F142" i="37"/>
  <c r="E142" i="37"/>
  <c r="D142" i="37"/>
  <c r="C142" i="37"/>
  <c r="B142" i="37"/>
  <c r="J142" i="37"/>
  <c r="I142" i="37"/>
  <c r="H142" i="37"/>
  <c r="G142" i="37"/>
  <c r="D143" i="37"/>
  <c r="C143" i="37"/>
  <c r="B143" i="37"/>
  <c r="M142" i="37"/>
  <c r="I143" i="37"/>
  <c r="H143" i="37"/>
  <c r="G143" i="37"/>
  <c r="F143" i="37"/>
  <c r="E143" i="37"/>
  <c r="B144" i="37"/>
  <c r="M143" i="37"/>
  <c r="J143" i="37"/>
  <c r="G144" i="37"/>
  <c r="F144" i="37"/>
  <c r="E144" i="37"/>
  <c r="D144" i="37"/>
  <c r="C144" i="37"/>
  <c r="J144" i="37"/>
  <c r="I144" i="37"/>
  <c r="H144" i="37"/>
  <c r="E145" i="37"/>
  <c r="D145" i="37"/>
  <c r="C145" i="37"/>
  <c r="B145" i="37"/>
  <c r="M144" i="37"/>
  <c r="J145" i="37"/>
  <c r="I145" i="37"/>
  <c r="H145" i="37"/>
  <c r="G145" i="37"/>
  <c r="F145" i="37"/>
  <c r="C146" i="37"/>
  <c r="B146" i="37"/>
  <c r="M145" i="37"/>
  <c r="H146" i="37"/>
  <c r="G146" i="37"/>
  <c r="F146" i="37"/>
  <c r="E146" i="37"/>
  <c r="D146" i="37"/>
  <c r="M146" i="37"/>
  <c r="J146" i="37"/>
  <c r="I146" i="37"/>
  <c r="F147" i="37"/>
  <c r="E147" i="37"/>
  <c r="D147" i="37"/>
  <c r="C147" i="37"/>
  <c r="B147" i="37"/>
  <c r="J147" i="37"/>
  <c r="I147" i="37"/>
  <c r="H147" i="37"/>
  <c r="G147" i="37"/>
  <c r="D148" i="37"/>
  <c r="C148" i="37"/>
  <c r="B148" i="37"/>
  <c r="M147" i="37"/>
  <c r="I148" i="37"/>
  <c r="H148" i="37"/>
  <c r="G148" i="37"/>
  <c r="F148" i="37"/>
  <c r="E148" i="37"/>
  <c r="B149" i="37"/>
  <c r="M148" i="37"/>
  <c r="J148" i="37"/>
  <c r="G149" i="37"/>
  <c r="F149" i="37"/>
  <c r="E149" i="37"/>
  <c r="D149" i="37"/>
  <c r="C149" i="37"/>
  <c r="J149" i="37"/>
  <c r="I149" i="37"/>
  <c r="H149" i="37"/>
  <c r="E150" i="37"/>
  <c r="D150" i="37"/>
  <c r="C150" i="37"/>
  <c r="B150" i="37"/>
  <c r="M149" i="37"/>
  <c r="J150" i="37"/>
  <c r="I150" i="37"/>
  <c r="H150" i="37"/>
  <c r="G150" i="37"/>
  <c r="F150" i="37"/>
  <c r="C151" i="37"/>
  <c r="B151" i="37"/>
  <c r="M150" i="37"/>
  <c r="H151" i="37"/>
  <c r="G151" i="37"/>
  <c r="F151" i="37"/>
  <c r="E151" i="37"/>
  <c r="D151" i="37"/>
  <c r="M151" i="37"/>
  <c r="J151" i="37"/>
  <c r="I151" i="37"/>
  <c r="F152" i="37"/>
  <c r="E152" i="37"/>
  <c r="D152" i="37"/>
  <c r="C152" i="37"/>
  <c r="B152" i="37"/>
  <c r="J152" i="37"/>
  <c r="I152" i="37"/>
  <c r="H152" i="37"/>
  <c r="G152" i="37"/>
  <c r="D153" i="37"/>
  <c r="C153" i="37"/>
  <c r="B153" i="37"/>
  <c r="M152" i="37"/>
  <c r="I153" i="37"/>
  <c r="H153" i="37"/>
  <c r="G153" i="37"/>
  <c r="F153" i="37"/>
  <c r="E153" i="37"/>
  <c r="B154" i="37"/>
  <c r="M153" i="37"/>
  <c r="J153" i="37"/>
  <c r="G154" i="37"/>
  <c r="F154" i="37"/>
  <c r="E154" i="37"/>
  <c r="D154" i="37"/>
  <c r="C154" i="37"/>
  <c r="J154" i="37"/>
  <c r="I154" i="37"/>
  <c r="H154" i="37"/>
  <c r="E155" i="37"/>
  <c r="D155" i="37"/>
  <c r="C155" i="37"/>
  <c r="B155" i="37"/>
  <c r="M154" i="37"/>
  <c r="J155" i="37"/>
  <c r="I155" i="37"/>
  <c r="H155" i="37"/>
  <c r="G155" i="37"/>
  <c r="F155" i="37"/>
  <c r="C156" i="37"/>
  <c r="B156" i="37"/>
  <c r="M155" i="37"/>
  <c r="H156" i="37"/>
  <c r="G156" i="37"/>
  <c r="F156" i="37"/>
  <c r="E156" i="37"/>
  <c r="D156" i="37"/>
  <c r="M156" i="37"/>
  <c r="J156" i="37"/>
  <c r="I156" i="37"/>
  <c r="F157" i="37"/>
  <c r="E157" i="37"/>
  <c r="D157" i="37"/>
  <c r="C157" i="37"/>
  <c r="B157" i="37"/>
  <c r="J157" i="37"/>
  <c r="I157" i="37"/>
  <c r="H157" i="37"/>
  <c r="G157" i="37"/>
  <c r="D158" i="37"/>
  <c r="C158" i="37"/>
  <c r="B158" i="37"/>
  <c r="M157" i="37"/>
  <c r="I158" i="37"/>
  <c r="H158" i="37"/>
  <c r="G158" i="37"/>
  <c r="F158" i="37"/>
  <c r="E158" i="37"/>
  <c r="B159" i="37"/>
  <c r="M158" i="37"/>
  <c r="J158" i="37"/>
  <c r="G159" i="37"/>
  <c r="F159" i="37"/>
  <c r="E159" i="37"/>
  <c r="D159" i="37"/>
  <c r="C159" i="37"/>
  <c r="J159" i="37"/>
  <c r="I159" i="37"/>
  <c r="H159" i="37"/>
  <c r="E160" i="37"/>
  <c r="D160" i="37"/>
  <c r="C160" i="37"/>
  <c r="B160" i="37"/>
  <c r="M159" i="37"/>
  <c r="J160" i="37"/>
  <c r="I160" i="37"/>
  <c r="H160" i="37"/>
  <c r="G160" i="37"/>
  <c r="F160" i="37"/>
  <c r="C161" i="37"/>
  <c r="B161" i="37"/>
  <c r="M160" i="37"/>
  <c r="H161" i="37"/>
  <c r="G161" i="37"/>
  <c r="F161" i="37"/>
  <c r="E161" i="37"/>
  <c r="D161" i="37"/>
  <c r="M161" i="37"/>
  <c r="J161" i="37"/>
  <c r="I161" i="37"/>
  <c r="F162" i="37"/>
  <c r="E162" i="37"/>
  <c r="D162" i="37"/>
  <c r="C162" i="37"/>
  <c r="B162" i="37"/>
  <c r="J162" i="37"/>
  <c r="I162" i="37"/>
  <c r="H162" i="37"/>
  <c r="G162" i="37"/>
  <c r="D163" i="37"/>
  <c r="C163" i="37"/>
  <c r="B163" i="37"/>
  <c r="M162" i="37"/>
  <c r="I163" i="37"/>
  <c r="H163" i="37"/>
  <c r="G163" i="37"/>
  <c r="F163" i="37"/>
  <c r="E163" i="37"/>
  <c r="B164" i="37"/>
  <c r="M163" i="37"/>
  <c r="J163" i="37"/>
  <c r="G164" i="37"/>
  <c r="F164" i="37"/>
  <c r="E164" i="37"/>
  <c r="D164" i="37"/>
  <c r="C164" i="37"/>
  <c r="J164" i="37"/>
  <c r="I164" i="37"/>
  <c r="H164" i="37"/>
  <c r="E165" i="37"/>
  <c r="D165" i="37"/>
  <c r="C165" i="37"/>
  <c r="B165" i="37"/>
  <c r="M164" i="37"/>
  <c r="J165" i="37"/>
  <c r="I165" i="37"/>
  <c r="H165" i="37"/>
  <c r="G165" i="37"/>
  <c r="F165" i="37"/>
  <c r="C166" i="37"/>
  <c r="B166" i="37"/>
  <c r="M165" i="37"/>
  <c r="H166" i="37"/>
  <c r="G166" i="37"/>
  <c r="F166" i="37"/>
  <c r="E166" i="37"/>
  <c r="D166" i="37"/>
  <c r="M166" i="37"/>
  <c r="J166" i="37"/>
  <c r="I166" i="37"/>
  <c r="F167" i="37"/>
  <c r="E167" i="37"/>
  <c r="D167" i="37"/>
  <c r="C167" i="37"/>
  <c r="B167" i="37"/>
  <c r="J167" i="37"/>
  <c r="I167" i="37"/>
  <c r="H167" i="37"/>
  <c r="G167" i="37"/>
  <c r="D168" i="37"/>
  <c r="C168" i="37"/>
  <c r="B168" i="37"/>
  <c r="M167" i="37"/>
  <c r="I168" i="37"/>
  <c r="H168" i="37"/>
  <c r="G168" i="37"/>
  <c r="F168" i="37"/>
  <c r="E168" i="37"/>
  <c r="B169" i="37"/>
  <c r="M168" i="37"/>
  <c r="J168" i="37"/>
  <c r="G169" i="37"/>
  <c r="F169" i="37"/>
  <c r="E169" i="37"/>
  <c r="D169" i="37"/>
  <c r="C169" i="37"/>
  <c r="J169" i="37"/>
  <c r="I169" i="37"/>
  <c r="H169" i="37"/>
  <c r="E170" i="37"/>
  <c r="D170" i="37"/>
  <c r="C170" i="37"/>
  <c r="B170" i="37"/>
  <c r="M169" i="37"/>
  <c r="J170" i="37"/>
  <c r="I170" i="37"/>
  <c r="H170" i="37"/>
  <c r="G170" i="37"/>
  <c r="F170" i="37"/>
  <c r="C171" i="37"/>
  <c r="B171" i="37"/>
  <c r="M170" i="37"/>
  <c r="H171" i="37"/>
  <c r="G171" i="37"/>
  <c r="F171" i="37"/>
  <c r="E171" i="37"/>
  <c r="D171" i="37"/>
  <c r="M171" i="37"/>
  <c r="J171" i="37"/>
  <c r="I171" i="37"/>
  <c r="F172" i="37"/>
  <c r="E172" i="37"/>
  <c r="D172" i="37"/>
  <c r="C172" i="37"/>
  <c r="B172" i="37"/>
  <c r="J172" i="37"/>
  <c r="I172" i="37"/>
  <c r="H172" i="37"/>
  <c r="G172" i="37"/>
  <c r="D173" i="37"/>
  <c r="C173" i="37"/>
  <c r="B173" i="37"/>
  <c r="M172" i="37"/>
  <c r="I173" i="37"/>
  <c r="H173" i="37"/>
  <c r="G173" i="37"/>
  <c r="F173" i="37"/>
  <c r="E173" i="37"/>
  <c r="B174" i="37"/>
  <c r="M173" i="37"/>
  <c r="J173" i="37"/>
  <c r="G174" i="37"/>
  <c r="F174" i="37"/>
  <c r="E174" i="37"/>
  <c r="D174" i="37"/>
  <c r="C174" i="37"/>
  <c r="J174" i="37"/>
  <c r="I174" i="37"/>
  <c r="H174" i="37"/>
  <c r="E175" i="37"/>
  <c r="D175" i="37"/>
  <c r="C175" i="37"/>
  <c r="B175" i="37"/>
  <c r="M174" i="37"/>
  <c r="J175" i="37"/>
  <c r="I175" i="37"/>
  <c r="H175" i="37"/>
  <c r="G175" i="37"/>
  <c r="F175" i="37"/>
  <c r="C176" i="37"/>
  <c r="B176" i="37"/>
  <c r="M175" i="37"/>
  <c r="H176" i="37"/>
  <c r="G176" i="37"/>
  <c r="F176" i="37"/>
  <c r="E176" i="37"/>
  <c r="D176" i="37"/>
  <c r="M176" i="37"/>
  <c r="J176" i="37"/>
  <c r="I176" i="37"/>
  <c r="F177" i="37"/>
  <c r="E177" i="37"/>
  <c r="D177" i="37"/>
  <c r="C177" i="37"/>
  <c r="B177" i="37"/>
  <c r="J177" i="37"/>
  <c r="I177" i="37"/>
  <c r="H177" i="37"/>
  <c r="G177" i="37"/>
  <c r="D178" i="37"/>
  <c r="C178" i="37"/>
  <c r="B178" i="37"/>
  <c r="M177" i="37"/>
  <c r="I178" i="37"/>
  <c r="H178" i="37"/>
  <c r="G178" i="37"/>
  <c r="F178" i="37"/>
  <c r="E178" i="37"/>
  <c r="B179" i="37"/>
  <c r="M178" i="37"/>
  <c r="J178" i="37"/>
  <c r="G179" i="37"/>
  <c r="F179" i="37"/>
  <c r="E179" i="37"/>
  <c r="D179" i="37"/>
  <c r="C179" i="37"/>
  <c r="J179" i="37"/>
  <c r="I179" i="37"/>
  <c r="H179" i="37"/>
  <c r="E180" i="37"/>
  <c r="D180" i="37"/>
  <c r="C180" i="37"/>
  <c r="B180" i="37"/>
  <c r="M179" i="37"/>
  <c r="J180" i="37"/>
  <c r="I180" i="37"/>
  <c r="H180" i="37"/>
  <c r="G180" i="37"/>
  <c r="F180" i="37"/>
  <c r="C181" i="37"/>
  <c r="B181" i="37"/>
  <c r="M180" i="37"/>
  <c r="H181" i="37"/>
  <c r="G181" i="37"/>
  <c r="F181" i="37"/>
  <c r="E181" i="37"/>
  <c r="D181" i="37"/>
  <c r="M181" i="37"/>
  <c r="J181" i="37"/>
  <c r="I181" i="37"/>
  <c r="F182" i="37"/>
  <c r="E182" i="37"/>
  <c r="D182" i="37"/>
  <c r="C182" i="37"/>
  <c r="B182" i="37"/>
  <c r="J182" i="37"/>
  <c r="I182" i="37"/>
  <c r="H182" i="37"/>
  <c r="G182" i="37"/>
  <c r="D183" i="37"/>
  <c r="C183" i="37"/>
  <c r="B183" i="37"/>
  <c r="M182" i="37"/>
  <c r="I183" i="37"/>
  <c r="H183" i="37"/>
  <c r="G183" i="37"/>
  <c r="F183" i="37"/>
  <c r="E183" i="37"/>
  <c r="B184" i="37"/>
  <c r="M183" i="37"/>
  <c r="J183" i="37"/>
  <c r="G184" i="37"/>
  <c r="F184" i="37"/>
  <c r="E184" i="37"/>
  <c r="D184" i="37"/>
  <c r="C184" i="37"/>
  <c r="J184" i="37"/>
  <c r="I184" i="37"/>
  <c r="H184" i="37"/>
  <c r="E185" i="37"/>
  <c r="D185" i="37"/>
  <c r="C185" i="37"/>
  <c r="B185" i="37"/>
  <c r="M184" i="37"/>
  <c r="J185" i="37"/>
  <c r="I185" i="37"/>
  <c r="H185" i="37"/>
  <c r="G185" i="37"/>
  <c r="F185" i="37"/>
  <c r="C186" i="37"/>
  <c r="B186" i="37"/>
  <c r="M185" i="37"/>
  <c r="H186" i="37"/>
  <c r="G186" i="37"/>
  <c r="F186" i="37"/>
  <c r="E186" i="37"/>
  <c r="D186" i="37"/>
  <c r="M186" i="37"/>
  <c r="J186" i="37"/>
  <c r="I186" i="37"/>
  <c r="F187" i="37"/>
  <c r="E187" i="37"/>
  <c r="D187" i="37"/>
  <c r="C187" i="37"/>
  <c r="B187" i="37"/>
  <c r="J187" i="37"/>
  <c r="I187" i="37"/>
  <c r="H187" i="37"/>
  <c r="G187" i="37"/>
  <c r="D188" i="37"/>
  <c r="C188" i="37"/>
  <c r="B188" i="37"/>
  <c r="M187" i="37"/>
  <c r="I188" i="37"/>
  <c r="H188" i="37"/>
  <c r="G188" i="37"/>
  <c r="F188" i="37"/>
  <c r="E188" i="37"/>
  <c r="B189" i="37"/>
  <c r="M188" i="37"/>
  <c r="J188" i="37"/>
  <c r="G189" i="37"/>
  <c r="F189" i="37"/>
  <c r="E189" i="37"/>
  <c r="D189" i="37"/>
  <c r="C189" i="37"/>
  <c r="J189" i="37"/>
  <c r="I189" i="37"/>
  <c r="H189" i="37"/>
  <c r="E190" i="37"/>
  <c r="D190" i="37"/>
  <c r="C190" i="37"/>
  <c r="B190" i="37"/>
  <c r="M189" i="37"/>
  <c r="J190" i="37"/>
  <c r="I190" i="37"/>
  <c r="H190" i="37"/>
  <c r="G190" i="37"/>
  <c r="F190" i="37"/>
  <c r="C191" i="37"/>
  <c r="B191" i="37"/>
  <c r="M190" i="37"/>
  <c r="H191" i="37"/>
  <c r="G191" i="37"/>
  <c r="F191" i="37"/>
  <c r="E191" i="37"/>
  <c r="D191" i="37"/>
  <c r="M191" i="37"/>
  <c r="J191" i="37"/>
  <c r="I191" i="37"/>
  <c r="F192" i="37"/>
  <c r="E192" i="37"/>
  <c r="D192" i="37"/>
  <c r="C192" i="37"/>
  <c r="B192" i="37"/>
  <c r="J192" i="37"/>
  <c r="I192" i="37"/>
  <c r="H192" i="37"/>
  <c r="G192" i="37"/>
  <c r="D193" i="37"/>
  <c r="C193" i="37"/>
  <c r="B193" i="37"/>
  <c r="M192" i="37"/>
  <c r="I193" i="37"/>
  <c r="H193" i="37"/>
  <c r="G193" i="37"/>
  <c r="F193" i="37"/>
  <c r="E193" i="37"/>
  <c r="B194" i="37"/>
  <c r="M193" i="37"/>
  <c r="J193" i="37"/>
  <c r="G194" i="37"/>
  <c r="F194" i="37"/>
  <c r="E194" i="37"/>
  <c r="D194" i="37"/>
  <c r="C194" i="37"/>
  <c r="J194" i="37"/>
  <c r="I194" i="37"/>
  <c r="H194" i="37"/>
  <c r="E195" i="37"/>
  <c r="D195" i="37"/>
  <c r="C195" i="37"/>
  <c r="B195" i="37"/>
  <c r="M194" i="37"/>
  <c r="J195" i="37"/>
  <c r="I195" i="37"/>
  <c r="H195" i="37"/>
  <c r="G195" i="37"/>
  <c r="F195" i="37"/>
  <c r="C196" i="37"/>
  <c r="B196" i="37"/>
  <c r="M195" i="37"/>
  <c r="H196" i="37"/>
  <c r="G196" i="37"/>
  <c r="F196" i="37"/>
  <c r="E196" i="37"/>
  <c r="D196" i="37"/>
  <c r="M196" i="37"/>
  <c r="J196" i="37"/>
  <c r="I196" i="37"/>
  <c r="F197" i="37"/>
  <c r="E197" i="37"/>
  <c r="D197" i="37"/>
  <c r="C197" i="37"/>
  <c r="B197" i="37"/>
  <c r="J197" i="37"/>
  <c r="I197" i="37"/>
  <c r="H197" i="37"/>
  <c r="G197" i="37"/>
  <c r="D198" i="37"/>
  <c r="C198" i="37"/>
  <c r="B198" i="37"/>
  <c r="M197" i="37"/>
  <c r="I198" i="37"/>
  <c r="H198" i="37"/>
  <c r="G198" i="37"/>
  <c r="F198" i="37"/>
  <c r="E198" i="37"/>
  <c r="B199" i="37"/>
  <c r="M198" i="37"/>
  <c r="J198" i="37"/>
  <c r="G199" i="37"/>
  <c r="F199" i="37"/>
  <c r="E199" i="37"/>
  <c r="D199" i="37"/>
  <c r="C199" i="37"/>
  <c r="J199" i="37"/>
  <c r="I199" i="37"/>
  <c r="H199" i="37"/>
  <c r="E200" i="37"/>
  <c r="D200" i="37"/>
  <c r="C200" i="37"/>
  <c r="B200" i="37"/>
  <c r="M199" i="37"/>
  <c r="J200" i="37"/>
  <c r="I200" i="37"/>
  <c r="H200" i="37"/>
  <c r="G200" i="37"/>
  <c r="F200" i="37"/>
  <c r="C201" i="37"/>
  <c r="B201" i="37"/>
  <c r="M200" i="37"/>
  <c r="H201" i="37"/>
  <c r="G201" i="37"/>
  <c r="F201" i="37"/>
  <c r="E201" i="37"/>
  <c r="D201" i="37"/>
  <c r="M201" i="37"/>
  <c r="J201" i="37"/>
  <c r="I201" i="37"/>
  <c r="F202" i="37"/>
  <c r="E202" i="37"/>
  <c r="D202" i="37"/>
  <c r="C202" i="37"/>
  <c r="B202" i="37"/>
  <c r="J202" i="37"/>
  <c r="I202" i="37"/>
  <c r="H202" i="37"/>
  <c r="G202" i="37"/>
  <c r="D203" i="37"/>
  <c r="C203" i="37"/>
  <c r="B203" i="37"/>
  <c r="M202" i="37"/>
  <c r="I203" i="37"/>
  <c r="H203" i="37"/>
  <c r="G203" i="37"/>
  <c r="F203" i="37"/>
  <c r="E203" i="37"/>
  <c r="B204" i="37"/>
  <c r="M203" i="37"/>
  <c r="J203" i="37"/>
  <c r="G204" i="37"/>
  <c r="F204" i="37"/>
  <c r="E204" i="37"/>
  <c r="D204" i="37"/>
  <c r="C204" i="37"/>
  <c r="J204" i="37"/>
  <c r="I204" i="37"/>
  <c r="H204" i="37"/>
  <c r="E205" i="37"/>
  <c r="D205" i="37"/>
  <c r="C205" i="37"/>
  <c r="B205" i="37"/>
  <c r="M204" i="37"/>
  <c r="J205" i="37"/>
  <c r="I205" i="37"/>
  <c r="H205" i="37"/>
  <c r="G205" i="37"/>
  <c r="F205" i="37"/>
  <c r="C206" i="37"/>
  <c r="B206" i="37"/>
  <c r="M205" i="37"/>
  <c r="H206" i="37"/>
  <c r="G206" i="37"/>
  <c r="F206" i="37"/>
  <c r="E206" i="37"/>
  <c r="D206" i="37"/>
  <c r="M206" i="37"/>
  <c r="J206" i="37"/>
  <c r="I206" i="37"/>
  <c r="F207" i="37"/>
  <c r="E207" i="37"/>
  <c r="D207" i="37"/>
  <c r="C207" i="37"/>
  <c r="B207" i="37"/>
  <c r="J207" i="37"/>
  <c r="I207" i="37"/>
  <c r="H207" i="37"/>
  <c r="G207" i="37"/>
  <c r="D208" i="37"/>
  <c r="C208" i="37"/>
  <c r="B208" i="37"/>
  <c r="M207" i="37"/>
  <c r="I208" i="37"/>
  <c r="H208" i="37"/>
  <c r="G208" i="37"/>
  <c r="F208" i="37"/>
  <c r="E208" i="37"/>
  <c r="B209" i="37"/>
  <c r="M208" i="37"/>
  <c r="J208" i="37"/>
  <c r="G209" i="37"/>
  <c r="F209" i="37"/>
  <c r="E209" i="37"/>
  <c r="D209" i="37"/>
  <c r="C209" i="37"/>
  <c r="J209" i="37"/>
  <c r="I209" i="37"/>
  <c r="H209" i="37"/>
  <c r="E210" i="37"/>
  <c r="D210" i="37"/>
  <c r="C210" i="37"/>
  <c r="B210" i="37"/>
  <c r="M209" i="37"/>
  <c r="J210" i="37"/>
  <c r="I210" i="37"/>
  <c r="H210" i="37"/>
  <c r="G210" i="37"/>
  <c r="F210" i="37"/>
  <c r="C211" i="37"/>
  <c r="B211" i="37"/>
  <c r="M210" i="37"/>
  <c r="H211" i="37"/>
  <c r="G211" i="37"/>
  <c r="F211" i="37"/>
  <c r="E211" i="37"/>
  <c r="D211" i="37"/>
  <c r="M211" i="37"/>
  <c r="J211" i="37"/>
  <c r="I211" i="37"/>
  <c r="F212" i="37"/>
  <c r="E212" i="37"/>
  <c r="D212" i="37"/>
  <c r="C212" i="37"/>
  <c r="B212" i="37"/>
  <c r="J212" i="37"/>
  <c r="I212" i="37"/>
  <c r="H212" i="37"/>
  <c r="G212" i="37"/>
  <c r="D213" i="37"/>
  <c r="C213" i="37"/>
  <c r="B213" i="37"/>
  <c r="M212" i="37"/>
  <c r="I213" i="37"/>
  <c r="H213" i="37"/>
  <c r="G213" i="37"/>
  <c r="F213" i="37"/>
  <c r="E213" i="37"/>
  <c r="B214" i="37"/>
  <c r="M213" i="37"/>
  <c r="J213" i="37"/>
  <c r="G214" i="37"/>
  <c r="F214" i="37"/>
  <c r="E214" i="37"/>
  <c r="D214" i="37"/>
  <c r="C214" i="37"/>
  <c r="J214" i="37"/>
  <c r="I214" i="37"/>
  <c r="H214" i="37"/>
  <c r="E215" i="37"/>
  <c r="D215" i="37"/>
  <c r="C215" i="37"/>
  <c r="B215" i="37"/>
  <c r="M214" i="37"/>
  <c r="J215" i="37"/>
  <c r="I215" i="37"/>
  <c r="H215" i="37"/>
  <c r="G215" i="37"/>
  <c r="F215" i="37"/>
  <c r="C216" i="37"/>
  <c r="B216" i="37"/>
  <c r="M215" i="37"/>
  <c r="H216" i="37"/>
  <c r="G216" i="37"/>
  <c r="F216" i="37"/>
  <c r="E216" i="37"/>
  <c r="D216" i="37"/>
  <c r="M216" i="37"/>
  <c r="J216" i="37"/>
  <c r="I216" i="37"/>
  <c r="F217" i="37"/>
  <c r="E217" i="37"/>
  <c r="D217" i="37"/>
  <c r="C217" i="37"/>
  <c r="B217" i="37"/>
  <c r="J217" i="37"/>
  <c r="I217" i="37"/>
  <c r="H217" i="37"/>
  <c r="G217" i="37"/>
  <c r="D218" i="37"/>
  <c r="C218" i="37"/>
  <c r="B218" i="37"/>
  <c r="M217" i="37"/>
  <c r="I218" i="37"/>
  <c r="H218" i="37"/>
  <c r="G218" i="37"/>
  <c r="F218" i="37"/>
  <c r="E218" i="37"/>
  <c r="B219" i="37"/>
  <c r="M218" i="37"/>
  <c r="J218" i="37"/>
  <c r="G219" i="37"/>
  <c r="F219" i="37"/>
  <c r="E219" i="37"/>
  <c r="D219" i="37"/>
  <c r="C219" i="37"/>
  <c r="J219" i="37"/>
  <c r="I219" i="37"/>
  <c r="H219" i="37"/>
  <c r="E220" i="37"/>
  <c r="D220" i="37"/>
  <c r="C220" i="37"/>
  <c r="B220" i="37"/>
  <c r="M219" i="37"/>
  <c r="J220" i="37"/>
  <c r="I220" i="37"/>
  <c r="H220" i="37"/>
  <c r="G220" i="37"/>
  <c r="F220" i="37"/>
  <c r="C221" i="37"/>
  <c r="B221" i="37"/>
  <c r="M220" i="37"/>
  <c r="H221" i="37"/>
  <c r="G221" i="37"/>
  <c r="F221" i="37"/>
  <c r="E221" i="37"/>
  <c r="D221" i="37"/>
  <c r="M221" i="37"/>
  <c r="J221" i="37"/>
  <c r="I221" i="37"/>
  <c r="F222" i="37"/>
  <c r="E222" i="37"/>
  <c r="D222" i="37"/>
  <c r="C222" i="37"/>
  <c r="B222" i="37"/>
  <c r="J222" i="37"/>
  <c r="I222" i="37"/>
  <c r="H222" i="37"/>
  <c r="G222" i="37"/>
  <c r="D223" i="37"/>
  <c r="C223" i="37"/>
  <c r="B223" i="37"/>
  <c r="M222" i="37"/>
  <c r="I223" i="37"/>
  <c r="H223" i="37"/>
  <c r="G223" i="37"/>
  <c r="F223" i="37"/>
  <c r="E223" i="37"/>
  <c r="B224" i="37"/>
  <c r="M223" i="37"/>
  <c r="J223" i="37"/>
  <c r="G224" i="37"/>
  <c r="F224" i="37"/>
  <c r="E224" i="37"/>
  <c r="D224" i="37"/>
  <c r="C224" i="37"/>
  <c r="J224" i="37"/>
  <c r="I224" i="37"/>
  <c r="H224" i="37"/>
  <c r="E225" i="37"/>
  <c r="D225" i="37"/>
  <c r="C225" i="37"/>
  <c r="B225" i="37"/>
  <c r="M224" i="37"/>
  <c r="J225" i="37"/>
  <c r="I225" i="37"/>
  <c r="H225" i="37"/>
  <c r="G225" i="37"/>
  <c r="F225" i="37"/>
  <c r="C226" i="37"/>
  <c r="B226" i="37"/>
  <c r="M225" i="37"/>
  <c r="H226" i="37"/>
  <c r="G226" i="37"/>
  <c r="F226" i="37"/>
  <c r="E226" i="37"/>
  <c r="D226" i="37"/>
  <c r="M226" i="37"/>
  <c r="J226" i="37"/>
  <c r="I226" i="37"/>
  <c r="F227" i="37"/>
  <c r="E227" i="37"/>
  <c r="D227" i="37"/>
  <c r="C227" i="37"/>
  <c r="B227" i="37"/>
  <c r="J227" i="37"/>
  <c r="I227" i="37"/>
  <c r="H227" i="37"/>
  <c r="G227" i="37"/>
  <c r="D228" i="37"/>
  <c r="C228" i="37"/>
  <c r="B228" i="37"/>
  <c r="M227" i="37"/>
  <c r="I228" i="37"/>
  <c r="H228" i="37"/>
  <c r="G228" i="37"/>
  <c r="F228" i="37"/>
  <c r="E228" i="37"/>
  <c r="B229" i="37"/>
  <c r="M228" i="37"/>
  <c r="J228" i="37"/>
  <c r="G229" i="37"/>
  <c r="F229" i="37"/>
  <c r="E229" i="37"/>
  <c r="D229" i="37"/>
  <c r="C229" i="37"/>
  <c r="J229" i="37"/>
  <c r="I229" i="37"/>
  <c r="H229" i="37"/>
  <c r="E230" i="37"/>
  <c r="D230" i="37"/>
  <c r="C230" i="37"/>
  <c r="B230" i="37"/>
  <c r="M229" i="37"/>
  <c r="J230" i="37"/>
  <c r="I230" i="37"/>
  <c r="H230" i="37"/>
  <c r="G230" i="37"/>
  <c r="F230" i="37"/>
  <c r="C231" i="37"/>
  <c r="B231" i="37"/>
  <c r="M230" i="37"/>
  <c r="H231" i="37"/>
  <c r="G231" i="37"/>
  <c r="F231" i="37"/>
  <c r="E231" i="37"/>
  <c r="D231" i="37"/>
  <c r="M231" i="37"/>
  <c r="J231" i="37"/>
  <c r="I231" i="37"/>
  <c r="F232" i="37"/>
  <c r="E232" i="37"/>
  <c r="D232" i="37"/>
  <c r="C232" i="37"/>
  <c r="B232" i="37"/>
  <c r="J232" i="37"/>
  <c r="I232" i="37"/>
  <c r="H232" i="37"/>
  <c r="G232" i="37"/>
  <c r="D233" i="37"/>
  <c r="C233" i="37"/>
  <c r="B233" i="37"/>
  <c r="M232" i="37"/>
  <c r="I233" i="37"/>
  <c r="H233" i="37"/>
  <c r="G233" i="37"/>
  <c r="F233" i="37"/>
  <c r="E233" i="37"/>
  <c r="B234" i="37"/>
  <c r="M233" i="37"/>
  <c r="J233" i="37"/>
  <c r="G234" i="37"/>
  <c r="F234" i="37"/>
  <c r="E234" i="37"/>
  <c r="D234" i="37"/>
  <c r="C234" i="37"/>
  <c r="J234" i="37"/>
  <c r="I234" i="37"/>
  <c r="H234" i="37"/>
  <c r="E235" i="37"/>
  <c r="D235" i="37"/>
  <c r="C235" i="37"/>
  <c r="B235" i="37"/>
  <c r="M234" i="37"/>
  <c r="J235" i="37"/>
  <c r="I235" i="37"/>
  <c r="H235" i="37"/>
  <c r="G235" i="37"/>
  <c r="F235" i="37"/>
  <c r="C236" i="37"/>
  <c r="B236" i="37"/>
  <c r="M235" i="37"/>
  <c r="H236" i="37"/>
  <c r="G236" i="37"/>
  <c r="F236" i="37"/>
  <c r="E236" i="37"/>
  <c r="D236" i="37"/>
  <c r="M236" i="37"/>
  <c r="J236" i="37"/>
  <c r="I236" i="37"/>
  <c r="F237" i="37"/>
  <c r="E237" i="37"/>
  <c r="D237" i="37"/>
  <c r="C237" i="37"/>
  <c r="B237" i="37"/>
  <c r="J237" i="37"/>
  <c r="I237" i="37"/>
  <c r="H237" i="37"/>
  <c r="G237" i="37"/>
  <c r="D238" i="37"/>
  <c r="C238" i="37"/>
  <c r="B238" i="37"/>
  <c r="M237" i="37"/>
  <c r="I238" i="37"/>
  <c r="H238" i="37"/>
  <c r="G238" i="37"/>
  <c r="F238" i="37"/>
  <c r="E238" i="37"/>
  <c r="B239" i="37"/>
  <c r="M238" i="37"/>
  <c r="J238" i="37"/>
  <c r="G239" i="37"/>
  <c r="F239" i="37"/>
  <c r="E239" i="37"/>
  <c r="D239" i="37"/>
  <c r="C239" i="37"/>
  <c r="J239" i="37"/>
  <c r="I239" i="37"/>
  <c r="H239" i="37"/>
  <c r="M239" i="37"/>
  <c r="C241" i="37"/>
  <c r="B241" i="37"/>
  <c r="H241" i="37"/>
  <c r="G241" i="37"/>
  <c r="F241" i="37"/>
  <c r="E241" i="37"/>
  <c r="D241" i="37"/>
  <c r="M241" i="37"/>
  <c r="J241" i="37"/>
  <c r="I241" i="37"/>
  <c r="F242" i="37"/>
  <c r="E242" i="37"/>
  <c r="D242" i="37"/>
  <c r="C242" i="37"/>
  <c r="B242" i="37"/>
  <c r="J242" i="37"/>
  <c r="I242" i="37"/>
  <c r="H242" i="37"/>
  <c r="G242" i="37"/>
  <c r="D243" i="37"/>
  <c r="C243" i="37"/>
  <c r="B243" i="37"/>
  <c r="M242" i="37"/>
  <c r="I243" i="37"/>
  <c r="H243" i="37"/>
  <c r="G243" i="37"/>
  <c r="F243" i="37"/>
  <c r="E243" i="37"/>
  <c r="B244" i="37"/>
  <c r="M243" i="37"/>
  <c r="J243" i="37"/>
  <c r="G244" i="37"/>
  <c r="F244" i="37"/>
  <c r="E244" i="37"/>
  <c r="D244" i="37"/>
  <c r="C244" i="37"/>
  <c r="J244" i="37"/>
  <c r="I244" i="37"/>
  <c r="H244" i="37"/>
  <c r="E245" i="37"/>
  <c r="D245" i="37"/>
  <c r="C245" i="37"/>
  <c r="B245" i="37"/>
  <c r="M244" i="37"/>
  <c r="J245" i="37"/>
  <c r="I245" i="37"/>
  <c r="H245" i="37"/>
  <c r="G245" i="37"/>
  <c r="F245" i="37"/>
  <c r="C246" i="37"/>
  <c r="B246" i="37"/>
  <c r="M245" i="37"/>
  <c r="H246" i="37"/>
  <c r="G246" i="37"/>
  <c r="F246" i="37"/>
  <c r="E246" i="37"/>
  <c r="D246" i="37"/>
  <c r="M246" i="37"/>
  <c r="J246" i="37"/>
  <c r="I246" i="37"/>
  <c r="F247" i="37"/>
  <c r="E247" i="37"/>
  <c r="D247" i="37"/>
  <c r="C247" i="37"/>
  <c r="B247" i="37"/>
  <c r="J247" i="37"/>
  <c r="I247" i="37"/>
  <c r="H247" i="37"/>
  <c r="G247" i="37"/>
  <c r="D248" i="37"/>
  <c r="C248" i="37"/>
  <c r="B248" i="37"/>
  <c r="M247" i="37"/>
  <c r="I248" i="37"/>
  <c r="H248" i="37"/>
  <c r="G248" i="37"/>
  <c r="F248" i="37"/>
  <c r="E248" i="37"/>
  <c r="B249" i="37"/>
  <c r="M248" i="37"/>
  <c r="J248" i="37"/>
  <c r="G249" i="37"/>
  <c r="F249" i="37"/>
  <c r="E249" i="37"/>
  <c r="D249" i="37"/>
  <c r="C249" i="37"/>
  <c r="J249" i="37"/>
  <c r="I249" i="37"/>
  <c r="H249" i="37"/>
  <c r="E250" i="37"/>
  <c r="D250" i="37"/>
  <c r="C250" i="37"/>
  <c r="B250" i="37"/>
  <c r="M249" i="37"/>
  <c r="J250" i="37"/>
  <c r="I250" i="37"/>
  <c r="H250" i="37"/>
  <c r="G250" i="37"/>
  <c r="F250" i="37"/>
  <c r="C251" i="37"/>
  <c r="B251" i="37"/>
  <c r="M250" i="37"/>
  <c r="H251" i="37"/>
  <c r="G251" i="37"/>
  <c r="F251" i="37"/>
  <c r="E251" i="37"/>
  <c r="D251" i="37"/>
  <c r="M251" i="37"/>
  <c r="J251" i="37"/>
  <c r="I251" i="37"/>
  <c r="F252" i="37"/>
  <c r="E252" i="37"/>
  <c r="D252" i="37"/>
  <c r="C252" i="37"/>
  <c r="B252" i="37"/>
  <c r="J252" i="37"/>
  <c r="I252" i="37"/>
  <c r="H252" i="37"/>
  <c r="G252" i="37"/>
  <c r="D253" i="37"/>
  <c r="C253" i="37"/>
  <c r="B253" i="37"/>
  <c r="M252" i="37"/>
  <c r="I253" i="37"/>
  <c r="H253" i="37"/>
  <c r="G253" i="37"/>
  <c r="F253" i="37"/>
  <c r="E253" i="37"/>
  <c r="B254" i="37"/>
  <c r="M253" i="37"/>
  <c r="J253" i="37"/>
  <c r="G254" i="37"/>
  <c r="F254" i="37"/>
  <c r="E254" i="37"/>
  <c r="D254" i="37"/>
  <c r="C254" i="37"/>
  <c r="J254" i="37"/>
  <c r="I254" i="37"/>
  <c r="H254" i="37"/>
  <c r="E255" i="37"/>
  <c r="D255" i="37"/>
  <c r="C255" i="37"/>
  <c r="B255" i="37"/>
  <c r="M254" i="37"/>
  <c r="J255" i="37"/>
  <c r="I255" i="37"/>
  <c r="H255" i="37"/>
  <c r="G255" i="37"/>
  <c r="F255" i="37"/>
  <c r="C256" i="37"/>
  <c r="B256" i="37"/>
  <c r="M255" i="37"/>
  <c r="H256" i="37"/>
  <c r="G256" i="37"/>
  <c r="F256" i="37"/>
  <c r="E256" i="37"/>
  <c r="D256" i="37"/>
  <c r="M256" i="37"/>
  <c r="J256" i="37"/>
  <c r="I256" i="37"/>
  <c r="F257" i="37"/>
  <c r="E257" i="37"/>
  <c r="D257" i="37"/>
  <c r="C257" i="37"/>
  <c r="B257" i="37"/>
  <c r="J257" i="37"/>
  <c r="I257" i="37"/>
  <c r="H257" i="37"/>
  <c r="G257" i="37"/>
  <c r="D258" i="37"/>
  <c r="C258" i="37"/>
  <c r="B258" i="37"/>
  <c r="M257" i="37"/>
  <c r="I258" i="37"/>
  <c r="H258" i="37"/>
  <c r="G258" i="37"/>
  <c r="F258" i="37"/>
  <c r="E258" i="37"/>
  <c r="B259" i="37"/>
  <c r="M258" i="37"/>
  <c r="J258" i="37"/>
  <c r="G259" i="37"/>
  <c r="F259" i="37"/>
  <c r="E259" i="37"/>
  <c r="D259" i="37"/>
  <c r="C259" i="37"/>
  <c r="J259" i="37"/>
  <c r="I259" i="37"/>
  <c r="H259" i="37"/>
  <c r="E260" i="37"/>
  <c r="D260" i="37"/>
  <c r="C260" i="37"/>
  <c r="B260" i="37"/>
  <c r="M259" i="37"/>
  <c r="J260" i="37"/>
  <c r="I260" i="37"/>
  <c r="H260" i="37"/>
  <c r="G260" i="37"/>
  <c r="F260" i="37"/>
  <c r="C261" i="37"/>
  <c r="B261" i="37"/>
  <c r="M260" i="37"/>
  <c r="H261" i="37"/>
  <c r="G261" i="37"/>
  <c r="F261" i="37"/>
  <c r="E261" i="37"/>
  <c r="D261" i="37"/>
  <c r="M261" i="37"/>
  <c r="J261" i="37"/>
  <c r="I261" i="37"/>
  <c r="F262" i="37"/>
  <c r="E262" i="37"/>
  <c r="D262" i="37"/>
  <c r="C262" i="37"/>
  <c r="B262" i="37"/>
  <c r="J262" i="37"/>
  <c r="I262" i="37"/>
  <c r="H262" i="37"/>
  <c r="G262" i="37"/>
  <c r="D263" i="37"/>
  <c r="C263" i="37"/>
  <c r="B263" i="37"/>
  <c r="M262" i="37"/>
  <c r="I263" i="37"/>
  <c r="H263" i="37"/>
  <c r="G263" i="37"/>
  <c r="F263" i="37"/>
  <c r="E263" i="37"/>
  <c r="B264" i="37"/>
  <c r="M263" i="37"/>
  <c r="J263" i="37"/>
  <c r="G264" i="37"/>
  <c r="F264" i="37"/>
  <c r="E264" i="37"/>
  <c r="D264" i="37"/>
  <c r="C264" i="37"/>
  <c r="J264" i="37"/>
  <c r="I264" i="37"/>
  <c r="H264" i="37"/>
  <c r="E265" i="37"/>
  <c r="D265" i="37"/>
  <c r="C265" i="37"/>
  <c r="B265" i="37"/>
  <c r="M264" i="37"/>
  <c r="J265" i="37"/>
  <c r="I265" i="37"/>
  <c r="H265" i="37"/>
  <c r="G265" i="37"/>
  <c r="F265" i="37"/>
  <c r="C266" i="37"/>
  <c r="B266" i="37"/>
  <c r="M265" i="37"/>
  <c r="H266" i="37"/>
  <c r="G266" i="37"/>
  <c r="F266" i="37"/>
  <c r="E266" i="37"/>
  <c r="D266" i="37"/>
  <c r="M266" i="37"/>
  <c r="J266" i="37"/>
  <c r="I266" i="37"/>
  <c r="F267" i="37"/>
  <c r="E267" i="37"/>
  <c r="D267" i="37"/>
  <c r="C267" i="37"/>
  <c r="B267" i="37"/>
  <c r="J267" i="37"/>
  <c r="I267" i="37"/>
  <c r="H267" i="37"/>
  <c r="G267" i="37"/>
  <c r="D268" i="37"/>
  <c r="C268" i="37"/>
  <c r="B268" i="37"/>
  <c r="M267" i="37"/>
  <c r="I268" i="37"/>
  <c r="H268" i="37"/>
  <c r="G268" i="37"/>
  <c r="F268" i="37"/>
  <c r="E268" i="37"/>
  <c r="B269" i="37"/>
  <c r="M268" i="37"/>
  <c r="J268" i="37"/>
  <c r="G269" i="37"/>
  <c r="F269" i="37"/>
  <c r="E269" i="37"/>
  <c r="D269" i="37"/>
  <c r="C269" i="37"/>
  <c r="J269" i="37"/>
  <c r="I269" i="37"/>
  <c r="H269" i="37"/>
  <c r="E270" i="37"/>
  <c r="D270" i="37"/>
  <c r="C270" i="37"/>
  <c r="B270" i="37"/>
  <c r="M269" i="37"/>
  <c r="J270" i="37"/>
  <c r="I270" i="37"/>
  <c r="H270" i="37"/>
  <c r="G270" i="37"/>
  <c r="F270" i="37"/>
  <c r="C271" i="37"/>
  <c r="B271" i="37"/>
  <c r="M270" i="37"/>
  <c r="H271" i="37"/>
  <c r="G271" i="37"/>
  <c r="F271" i="37"/>
  <c r="E271" i="37"/>
  <c r="D271" i="37"/>
  <c r="M271" i="37"/>
  <c r="J271" i="37"/>
  <c r="I271" i="37"/>
  <c r="F272" i="37"/>
  <c r="E272" i="37"/>
  <c r="D272" i="37"/>
  <c r="C272" i="37"/>
  <c r="B272" i="37"/>
  <c r="J272" i="37"/>
  <c r="I272" i="37"/>
  <c r="H272" i="37"/>
  <c r="G272" i="37"/>
  <c r="D273" i="37"/>
  <c r="C273" i="37"/>
  <c r="B273" i="37"/>
  <c r="M272" i="37"/>
  <c r="I273" i="37"/>
  <c r="H273" i="37"/>
  <c r="G273" i="37"/>
  <c r="F273" i="37"/>
  <c r="E273" i="37"/>
  <c r="B274" i="37"/>
  <c r="M273" i="37"/>
  <c r="J273" i="37"/>
  <c r="G274" i="37"/>
  <c r="F274" i="37"/>
  <c r="E274" i="37"/>
  <c r="D274" i="37"/>
  <c r="C274" i="37"/>
  <c r="J274" i="37"/>
  <c r="I274" i="37"/>
  <c r="H274" i="37"/>
  <c r="E275" i="37"/>
  <c r="D275" i="37"/>
  <c r="C275" i="37"/>
  <c r="B275" i="37"/>
  <c r="M274" i="37"/>
  <c r="J275" i="37"/>
  <c r="I275" i="37"/>
  <c r="H275" i="37"/>
  <c r="G275" i="37"/>
  <c r="F275" i="37"/>
  <c r="C276" i="37"/>
  <c r="B276" i="37"/>
  <c r="M275" i="37"/>
  <c r="H276" i="37"/>
  <c r="G276" i="37"/>
  <c r="F276" i="37"/>
  <c r="E276" i="37"/>
  <c r="D276" i="37"/>
  <c r="M276" i="37"/>
  <c r="J276" i="37"/>
  <c r="I276" i="37"/>
  <c r="C281" i="37"/>
  <c r="B281" i="37"/>
  <c r="H281" i="37"/>
  <c r="G281" i="37"/>
  <c r="F281" i="37"/>
  <c r="E281" i="37"/>
  <c r="D281" i="37"/>
  <c r="M281" i="37"/>
  <c r="J281" i="37"/>
  <c r="I281" i="37"/>
  <c r="F282" i="37"/>
  <c r="E282" i="37"/>
  <c r="D282" i="37"/>
  <c r="C282" i="37"/>
  <c r="B282" i="37"/>
  <c r="J282" i="37"/>
  <c r="I282" i="37"/>
  <c r="H282" i="37"/>
  <c r="G282" i="37"/>
  <c r="D283" i="37"/>
  <c r="C283" i="37"/>
  <c r="B283" i="37"/>
  <c r="M282" i="37"/>
  <c r="I283" i="37"/>
  <c r="H283" i="37"/>
  <c r="G283" i="37"/>
  <c r="F283" i="37"/>
  <c r="E283" i="37"/>
  <c r="B284" i="37"/>
  <c r="M283" i="37"/>
  <c r="J283" i="37"/>
  <c r="G284" i="37"/>
  <c r="F284" i="37"/>
  <c r="E284" i="37"/>
  <c r="D284" i="37"/>
  <c r="C284" i="37"/>
  <c r="J284" i="37"/>
  <c r="I284" i="37"/>
  <c r="H284" i="37"/>
  <c r="E285" i="37"/>
  <c r="D285" i="37"/>
  <c r="C285" i="37"/>
  <c r="B285" i="37"/>
  <c r="M284" i="37"/>
  <c r="J285" i="37"/>
  <c r="I285" i="37"/>
  <c r="H285" i="37"/>
  <c r="G285" i="37"/>
  <c r="F285" i="37"/>
  <c r="C286" i="37"/>
  <c r="B286" i="37"/>
  <c r="M285" i="37"/>
  <c r="H286" i="37"/>
  <c r="G286" i="37"/>
  <c r="F286" i="37"/>
  <c r="E286" i="37"/>
  <c r="D286" i="37"/>
  <c r="M286" i="37"/>
  <c r="J286" i="37"/>
  <c r="I286" i="37"/>
  <c r="F287" i="37"/>
  <c r="E287" i="37"/>
  <c r="D287" i="37"/>
  <c r="C287" i="37"/>
  <c r="B287" i="37"/>
  <c r="J287" i="37"/>
  <c r="I287" i="37"/>
  <c r="H287" i="37"/>
  <c r="G287" i="37"/>
  <c r="D288" i="37"/>
  <c r="C288" i="37"/>
  <c r="B288" i="37"/>
  <c r="M287" i="37"/>
  <c r="I288" i="37"/>
  <c r="H288" i="37"/>
  <c r="G288" i="37"/>
  <c r="F288" i="37"/>
  <c r="E288" i="37"/>
  <c r="B289" i="37"/>
  <c r="M288" i="37"/>
  <c r="J288" i="37"/>
  <c r="G289" i="37"/>
  <c r="F289" i="37"/>
  <c r="E289" i="37"/>
  <c r="D289" i="37"/>
  <c r="C289" i="37"/>
  <c r="J289" i="37"/>
  <c r="I289" i="37"/>
  <c r="H289" i="37"/>
  <c r="E290" i="37"/>
  <c r="D290" i="37"/>
  <c r="C290" i="37"/>
  <c r="B290" i="37"/>
  <c r="M289" i="37"/>
  <c r="J290" i="37"/>
  <c r="I290" i="37"/>
  <c r="H290" i="37"/>
  <c r="G290" i="37"/>
  <c r="F290" i="37"/>
  <c r="C291" i="37"/>
  <c r="B291" i="37"/>
  <c r="M290" i="37"/>
  <c r="H291" i="37"/>
  <c r="G291" i="37"/>
  <c r="F291" i="37"/>
  <c r="E291" i="37"/>
  <c r="D291" i="37"/>
  <c r="M291" i="37"/>
  <c r="J291" i="37"/>
  <c r="I291" i="37"/>
  <c r="F292" i="37"/>
  <c r="E292" i="37"/>
  <c r="D292" i="37"/>
  <c r="C292" i="37"/>
  <c r="B292" i="37"/>
  <c r="J292" i="37"/>
  <c r="I292" i="37"/>
  <c r="H292" i="37"/>
  <c r="G292" i="37"/>
  <c r="D293" i="37"/>
  <c r="C293" i="37"/>
  <c r="B293" i="37"/>
  <c r="M292" i="37"/>
  <c r="I293" i="37"/>
  <c r="H293" i="37"/>
  <c r="G293" i="37"/>
  <c r="F293" i="37"/>
  <c r="E293" i="37"/>
  <c r="B294" i="37"/>
  <c r="M293" i="37"/>
  <c r="J293" i="37"/>
  <c r="G294" i="37"/>
  <c r="F294" i="37"/>
  <c r="E294" i="37"/>
  <c r="D294" i="37"/>
  <c r="C294" i="37"/>
  <c r="J294" i="37"/>
  <c r="I294" i="37"/>
  <c r="H294" i="37"/>
  <c r="E295" i="37"/>
  <c r="D295" i="37"/>
  <c r="C295" i="37"/>
  <c r="B295" i="37"/>
  <c r="M294" i="37"/>
  <c r="J295" i="37"/>
  <c r="I295" i="37"/>
  <c r="H295" i="37"/>
  <c r="G295" i="37"/>
  <c r="F295" i="37"/>
  <c r="C296" i="37"/>
  <c r="B296" i="37"/>
  <c r="M295" i="37"/>
  <c r="H296" i="37"/>
  <c r="G296" i="37"/>
  <c r="F296" i="37"/>
  <c r="E296" i="37"/>
  <c r="D296" i="37"/>
  <c r="M296" i="37"/>
  <c r="J296" i="37"/>
  <c r="I296" i="37"/>
  <c r="F297" i="37"/>
  <c r="E297" i="37"/>
  <c r="D297" i="37"/>
  <c r="C297" i="37"/>
  <c r="B297" i="37"/>
  <c r="J297" i="37"/>
  <c r="I297" i="37"/>
  <c r="H297" i="37"/>
  <c r="G297" i="37"/>
  <c r="D298" i="37"/>
  <c r="C298" i="37"/>
  <c r="B298" i="37"/>
  <c r="M297" i="37"/>
  <c r="I298" i="37"/>
  <c r="H298" i="37"/>
  <c r="G298" i="37"/>
  <c r="F298" i="37"/>
  <c r="E298" i="37"/>
  <c r="B299" i="37"/>
  <c r="M298" i="37"/>
  <c r="J298" i="37"/>
  <c r="G299" i="37"/>
  <c r="F299" i="37"/>
  <c r="E299" i="37"/>
  <c r="D299" i="37"/>
  <c r="C299" i="37"/>
  <c r="J299" i="37"/>
  <c r="I299" i="37"/>
  <c r="H299" i="37"/>
  <c r="E300" i="37"/>
  <c r="D300" i="37"/>
  <c r="C300" i="37"/>
  <c r="B300" i="37"/>
  <c r="M299" i="37"/>
  <c r="J300" i="37"/>
  <c r="I300" i="37"/>
  <c r="H300" i="37"/>
  <c r="G300" i="37"/>
  <c r="F300" i="37"/>
  <c r="C301" i="37"/>
  <c r="B301" i="37"/>
  <c r="M300" i="37"/>
  <c r="H301" i="37"/>
  <c r="G301" i="37"/>
  <c r="F301" i="37"/>
  <c r="E301" i="37"/>
  <c r="D301" i="37"/>
  <c r="M301" i="37"/>
  <c r="J301" i="37"/>
  <c r="I301" i="37"/>
  <c r="F302" i="37"/>
  <c r="E302" i="37"/>
  <c r="D302" i="37"/>
  <c r="C302" i="37"/>
  <c r="B302" i="37"/>
  <c r="J302" i="37"/>
  <c r="I302" i="37"/>
  <c r="H302" i="37"/>
  <c r="G302" i="37"/>
  <c r="D303" i="37"/>
  <c r="C303" i="37"/>
  <c r="B303" i="37"/>
  <c r="M302" i="37"/>
  <c r="I303" i="37"/>
  <c r="H303" i="37"/>
  <c r="G303" i="37"/>
  <c r="F303" i="37"/>
  <c r="E303" i="37"/>
  <c r="B304" i="37"/>
  <c r="M303" i="37"/>
  <c r="J303" i="37"/>
  <c r="G304" i="37"/>
  <c r="F304" i="37"/>
  <c r="E304" i="37"/>
  <c r="D304" i="37"/>
  <c r="C304" i="37"/>
  <c r="J304" i="37"/>
  <c r="I304" i="37"/>
  <c r="H304" i="37"/>
  <c r="E305" i="37"/>
  <c r="D305" i="37"/>
  <c r="C305" i="37"/>
  <c r="B305" i="37"/>
  <c r="M304" i="37"/>
  <c r="J305" i="37"/>
  <c r="I305" i="37"/>
  <c r="H305" i="37"/>
  <c r="G305" i="37"/>
  <c r="F305" i="37"/>
  <c r="C306" i="37"/>
  <c r="B306" i="37"/>
  <c r="M305" i="37"/>
  <c r="H306" i="37"/>
  <c r="G306" i="37"/>
  <c r="F306" i="37"/>
  <c r="E306" i="37"/>
  <c r="D306" i="37"/>
  <c r="M306" i="37"/>
  <c r="J306" i="37"/>
  <c r="I306" i="37"/>
  <c r="F307" i="37"/>
  <c r="E307" i="37"/>
  <c r="D307" i="37"/>
  <c r="C307" i="37"/>
  <c r="B307" i="37"/>
  <c r="J307" i="37"/>
  <c r="I307" i="37"/>
  <c r="H307" i="37"/>
  <c r="G307" i="37"/>
  <c r="D308" i="37"/>
  <c r="C308" i="37"/>
  <c r="B308" i="37"/>
  <c r="M307" i="37"/>
  <c r="I308" i="37"/>
  <c r="H308" i="37"/>
  <c r="G308" i="37"/>
  <c r="F308" i="37"/>
  <c r="E308" i="37"/>
  <c r="B309" i="37"/>
  <c r="M308" i="37"/>
  <c r="J308" i="37"/>
  <c r="G309" i="37"/>
  <c r="F309" i="37"/>
  <c r="E309" i="37"/>
  <c r="D309" i="37"/>
  <c r="C309" i="37"/>
  <c r="J309" i="37"/>
  <c r="I309" i="37"/>
  <c r="H309" i="37"/>
  <c r="E310" i="37"/>
  <c r="D310" i="37"/>
  <c r="C310" i="37"/>
  <c r="B310" i="37"/>
  <c r="M309" i="37"/>
  <c r="J310" i="37"/>
  <c r="I310" i="37"/>
  <c r="H310" i="37"/>
  <c r="G310" i="37"/>
  <c r="F310" i="37"/>
  <c r="C311" i="37"/>
  <c r="B311" i="37"/>
  <c r="M310" i="37"/>
  <c r="H311" i="37"/>
  <c r="G311" i="37"/>
  <c r="F311" i="37"/>
  <c r="E311" i="37"/>
  <c r="D311" i="37"/>
  <c r="M311" i="37"/>
  <c r="J311" i="37"/>
  <c r="I311" i="37"/>
  <c r="F312" i="37"/>
  <c r="E312" i="37"/>
  <c r="D312" i="37"/>
  <c r="C312" i="37"/>
  <c r="B312" i="37"/>
  <c r="J312" i="37"/>
  <c r="I312" i="37"/>
  <c r="H312" i="37"/>
  <c r="G312" i="37"/>
  <c r="D313" i="37"/>
  <c r="C313" i="37"/>
  <c r="B313" i="37"/>
  <c r="M312" i="37"/>
  <c r="I313" i="37"/>
  <c r="H313" i="37"/>
  <c r="G313" i="37"/>
  <c r="F313" i="37"/>
  <c r="E313" i="37"/>
  <c r="B314" i="37"/>
  <c r="M313" i="37"/>
  <c r="J313" i="37"/>
  <c r="G314" i="37"/>
  <c r="F314" i="37"/>
  <c r="E314" i="37"/>
  <c r="D314" i="37"/>
  <c r="C314" i="37"/>
  <c r="J314" i="37"/>
  <c r="I314" i="37"/>
  <c r="H314" i="37"/>
  <c r="E315" i="37"/>
  <c r="D315" i="37"/>
  <c r="C315" i="37"/>
  <c r="B315" i="37"/>
  <c r="M314" i="37"/>
  <c r="J315" i="37"/>
  <c r="I315" i="37"/>
  <c r="H315" i="37"/>
  <c r="G315" i="37"/>
  <c r="F315" i="37"/>
  <c r="C316" i="37"/>
  <c r="B316" i="37"/>
  <c r="M315" i="37"/>
  <c r="H316" i="37"/>
  <c r="G316" i="37"/>
  <c r="F316" i="37"/>
  <c r="E316" i="37"/>
  <c r="D316" i="37"/>
  <c r="M316" i="37"/>
  <c r="J316" i="37"/>
  <c r="I316" i="37"/>
  <c r="F317" i="37"/>
  <c r="E317" i="37"/>
  <c r="D317" i="37"/>
  <c r="C317" i="37"/>
  <c r="B317" i="37"/>
  <c r="J317" i="37"/>
  <c r="I317" i="37"/>
  <c r="H317" i="37"/>
  <c r="G317" i="37"/>
  <c r="D318" i="37"/>
  <c r="C318" i="37"/>
  <c r="B318" i="37"/>
  <c r="M317" i="37"/>
  <c r="I318" i="37"/>
  <c r="H318" i="37"/>
  <c r="G318" i="37"/>
  <c r="F318" i="37"/>
  <c r="E318" i="37"/>
  <c r="B319" i="37"/>
  <c r="M318" i="37"/>
  <c r="J318" i="37"/>
  <c r="G319" i="37"/>
  <c r="F319" i="37"/>
  <c r="E319" i="37"/>
  <c r="D319" i="37"/>
  <c r="C319" i="37"/>
  <c r="J319" i="37"/>
  <c r="I319" i="37"/>
  <c r="H319" i="37"/>
  <c r="E320" i="37"/>
  <c r="D320" i="37"/>
  <c r="C320" i="37"/>
  <c r="B320" i="37"/>
  <c r="M319" i="37"/>
  <c r="J320" i="37"/>
  <c r="I320" i="37"/>
  <c r="H320" i="37"/>
  <c r="G320" i="37"/>
  <c r="F320" i="37"/>
  <c r="C321" i="37"/>
  <c r="B321" i="37"/>
  <c r="M320" i="37"/>
  <c r="H321" i="37"/>
  <c r="G321" i="37"/>
  <c r="F321" i="37"/>
  <c r="E321" i="37"/>
  <c r="D321" i="37"/>
  <c r="M321" i="37"/>
  <c r="J321" i="37"/>
  <c r="I321" i="37"/>
  <c r="F322" i="37"/>
  <c r="E322" i="37"/>
  <c r="D322" i="37"/>
  <c r="C322" i="37"/>
  <c r="B322" i="37"/>
  <c r="J322" i="37"/>
  <c r="I322" i="37"/>
  <c r="H322" i="37"/>
  <c r="G322" i="37"/>
  <c r="D323" i="37"/>
  <c r="C323" i="37"/>
  <c r="B323" i="37"/>
  <c r="M322" i="37"/>
  <c r="I323" i="37"/>
  <c r="H323" i="37"/>
  <c r="G323" i="37"/>
  <c r="F323" i="37"/>
  <c r="E323" i="37"/>
  <c r="B324" i="37"/>
  <c r="M323" i="37"/>
  <c r="J323" i="37"/>
  <c r="G324" i="37"/>
  <c r="F324" i="37"/>
  <c r="E324" i="37"/>
  <c r="D324" i="37"/>
  <c r="C324" i="37"/>
  <c r="J324" i="37"/>
  <c r="I324" i="37"/>
  <c r="H324" i="37"/>
  <c r="E325" i="37"/>
  <c r="D325" i="37"/>
  <c r="C325" i="37"/>
  <c r="B325" i="37"/>
  <c r="M324" i="37"/>
  <c r="J325" i="37"/>
  <c r="I325" i="37"/>
  <c r="H325" i="37"/>
  <c r="G325" i="37"/>
  <c r="F325" i="37"/>
  <c r="C326" i="37"/>
  <c r="B326" i="37"/>
  <c r="M325" i="37"/>
  <c r="H326" i="37"/>
  <c r="G326" i="37"/>
  <c r="F326" i="37"/>
  <c r="E326" i="37"/>
  <c r="D326" i="37"/>
  <c r="M326" i="37"/>
  <c r="J326" i="37"/>
  <c r="I326" i="37"/>
  <c r="F327" i="37"/>
  <c r="E327" i="37"/>
  <c r="D327" i="37"/>
  <c r="C327" i="37"/>
  <c r="B327" i="37"/>
  <c r="J327" i="37"/>
  <c r="I327" i="37"/>
  <c r="H327" i="37"/>
  <c r="G327" i="37"/>
  <c r="D328" i="37"/>
  <c r="C328" i="37"/>
  <c r="B328" i="37"/>
  <c r="M327" i="37"/>
  <c r="I328" i="37"/>
  <c r="H328" i="37"/>
  <c r="G328" i="37"/>
  <c r="F328" i="37"/>
  <c r="E328" i="37"/>
  <c r="B329" i="37"/>
  <c r="M328" i="37"/>
  <c r="J328" i="37"/>
  <c r="G329" i="37"/>
  <c r="F329" i="37"/>
  <c r="E329" i="37"/>
  <c r="D329" i="37"/>
  <c r="C329" i="37"/>
  <c r="J329" i="37"/>
  <c r="I329" i="37"/>
  <c r="H329" i="37"/>
  <c r="E330" i="37"/>
  <c r="D330" i="37"/>
  <c r="C330" i="37"/>
  <c r="B330" i="37"/>
  <c r="M329" i="37"/>
  <c r="J330" i="37"/>
  <c r="I330" i="37"/>
  <c r="H330" i="37"/>
  <c r="G330" i="37"/>
  <c r="F330" i="37"/>
  <c r="C331" i="37"/>
  <c r="B331" i="37"/>
  <c r="M330" i="37"/>
  <c r="H331" i="37"/>
  <c r="G331" i="37"/>
  <c r="F331" i="37"/>
  <c r="E331" i="37"/>
  <c r="D331" i="37"/>
  <c r="M331" i="37"/>
  <c r="J331" i="37"/>
  <c r="I331" i="37"/>
  <c r="F332" i="37"/>
  <c r="E332" i="37"/>
  <c r="D332" i="37"/>
  <c r="C332" i="37"/>
  <c r="B332" i="37"/>
  <c r="J332" i="37"/>
  <c r="I332" i="37"/>
  <c r="H332" i="37"/>
  <c r="G332" i="37"/>
  <c r="D333" i="37"/>
  <c r="C333" i="37"/>
  <c r="B333" i="37"/>
  <c r="M332" i="37"/>
  <c r="I333" i="37"/>
  <c r="H333" i="37"/>
  <c r="G333" i="37"/>
  <c r="F333" i="37"/>
  <c r="E333" i="37"/>
  <c r="B334" i="37"/>
  <c r="M333" i="37"/>
  <c r="J333" i="37"/>
  <c r="G334" i="37"/>
  <c r="F334" i="37"/>
  <c r="E334" i="37"/>
  <c r="D334" i="37"/>
  <c r="C334" i="37"/>
  <c r="J334" i="37"/>
  <c r="I334" i="37"/>
  <c r="H334" i="37"/>
  <c r="E335" i="37"/>
  <c r="D335" i="37"/>
  <c r="C335" i="37"/>
  <c r="B335" i="37"/>
  <c r="M334" i="37"/>
  <c r="J335" i="37"/>
  <c r="I335" i="37"/>
  <c r="H335" i="37"/>
  <c r="G335" i="37"/>
  <c r="F335" i="37"/>
  <c r="C336" i="37"/>
  <c r="B336" i="37"/>
  <c r="M335" i="37"/>
  <c r="H336" i="37"/>
  <c r="G336" i="37"/>
  <c r="F336" i="37"/>
  <c r="E336" i="37"/>
  <c r="D336" i="37"/>
  <c r="M336" i="37"/>
  <c r="J336" i="37"/>
  <c r="I336" i="37"/>
  <c r="F337" i="37"/>
  <c r="E337" i="37"/>
  <c r="D337" i="37"/>
  <c r="C337" i="37"/>
  <c r="B337" i="37"/>
  <c r="J337" i="37"/>
  <c r="I337" i="37"/>
  <c r="H337" i="37"/>
  <c r="G337" i="37"/>
  <c r="D338" i="37"/>
  <c r="C338" i="37"/>
  <c r="B338" i="37"/>
  <c r="M337" i="37"/>
  <c r="I338" i="37"/>
  <c r="H338" i="37"/>
  <c r="G338" i="37"/>
  <c r="F338" i="37"/>
  <c r="E338" i="37"/>
  <c r="B339" i="37"/>
  <c r="M338" i="37"/>
  <c r="J338" i="37"/>
  <c r="G339" i="37"/>
  <c r="F339" i="37"/>
  <c r="E339" i="37"/>
  <c r="D339" i="37"/>
  <c r="C339" i="37"/>
  <c r="J339" i="37"/>
  <c r="I339" i="37"/>
  <c r="H339" i="37"/>
  <c r="E340" i="37"/>
  <c r="D340" i="37"/>
  <c r="C340" i="37"/>
  <c r="B340" i="37"/>
  <c r="M339" i="37"/>
  <c r="J340" i="37"/>
  <c r="I340" i="37"/>
  <c r="H340" i="37"/>
  <c r="G340" i="37"/>
  <c r="F340" i="37"/>
  <c r="C341" i="37"/>
  <c r="B341" i="37"/>
  <c r="M340" i="37"/>
  <c r="H341" i="37"/>
  <c r="G341" i="37"/>
  <c r="F341" i="37"/>
  <c r="E341" i="37"/>
  <c r="D341" i="37"/>
  <c r="M341" i="37"/>
  <c r="J341" i="37"/>
  <c r="I341" i="37"/>
  <c r="F342" i="37"/>
  <c r="E342" i="37"/>
  <c r="D342" i="37"/>
  <c r="C342" i="37"/>
  <c r="B342" i="37"/>
  <c r="J342" i="37"/>
  <c r="I342" i="37"/>
  <c r="H342" i="37"/>
  <c r="G342" i="37"/>
  <c r="D343" i="37"/>
  <c r="C343" i="37"/>
  <c r="B343" i="37"/>
  <c r="M342" i="37"/>
  <c r="I343" i="37"/>
  <c r="H343" i="37"/>
  <c r="G343" i="37"/>
  <c r="F343" i="37"/>
  <c r="E343" i="37"/>
  <c r="B344" i="37"/>
  <c r="M343" i="37"/>
  <c r="J343" i="37"/>
  <c r="G344" i="37"/>
  <c r="F344" i="37"/>
  <c r="E344" i="37"/>
  <c r="D344" i="37"/>
  <c r="C344" i="37"/>
  <c r="J344" i="37"/>
  <c r="I344" i="37"/>
  <c r="H344" i="37"/>
  <c r="E345" i="37"/>
  <c r="D345" i="37"/>
  <c r="C345" i="37"/>
  <c r="B345" i="37"/>
  <c r="M344" i="37"/>
  <c r="J345" i="37"/>
  <c r="I345" i="37"/>
  <c r="H345" i="37"/>
  <c r="G345" i="37"/>
  <c r="F345" i="37"/>
  <c r="C346" i="37"/>
  <c r="B346" i="37"/>
  <c r="M345" i="37"/>
  <c r="H346" i="37"/>
  <c r="G346" i="37"/>
  <c r="F346" i="37"/>
  <c r="E346" i="37"/>
  <c r="D346" i="37"/>
  <c r="M346" i="37"/>
  <c r="J346" i="37"/>
  <c r="I346" i="37"/>
  <c r="F347" i="37"/>
  <c r="E347" i="37"/>
  <c r="D347" i="37"/>
  <c r="C347" i="37"/>
  <c r="B347" i="37"/>
  <c r="J347" i="37"/>
  <c r="I347" i="37"/>
  <c r="H347" i="37"/>
  <c r="G347" i="37"/>
  <c r="D348" i="37"/>
  <c r="C348" i="37"/>
  <c r="B348" i="37"/>
  <c r="M347" i="37"/>
  <c r="I348" i="37"/>
  <c r="H348" i="37"/>
  <c r="G348" i="37"/>
  <c r="F348" i="37"/>
  <c r="E348" i="37"/>
  <c r="B349" i="37"/>
  <c r="M348" i="37"/>
  <c r="J348" i="37"/>
  <c r="G349" i="37"/>
  <c r="F349" i="37"/>
  <c r="E349" i="37"/>
  <c r="D349" i="37"/>
  <c r="C349" i="37"/>
  <c r="J349" i="37"/>
  <c r="I349" i="37"/>
  <c r="H349" i="37"/>
  <c r="E350" i="37"/>
  <c r="D350" i="37"/>
  <c r="C350" i="37"/>
  <c r="B350" i="37"/>
  <c r="M349" i="37"/>
  <c r="J350" i="37"/>
  <c r="I350" i="37"/>
  <c r="H350" i="37"/>
  <c r="G350" i="37"/>
  <c r="F350" i="37"/>
  <c r="C351" i="37"/>
  <c r="B351" i="37"/>
  <c r="M350" i="37"/>
  <c r="H351" i="37"/>
  <c r="G351" i="37"/>
  <c r="F351" i="37"/>
  <c r="E351" i="37"/>
  <c r="D351" i="37"/>
  <c r="M351" i="37"/>
  <c r="J351" i="37"/>
  <c r="I351" i="37"/>
  <c r="F352" i="37"/>
  <c r="E352" i="37"/>
  <c r="D352" i="37"/>
  <c r="C352" i="37"/>
  <c r="B352" i="37"/>
  <c r="J352" i="37"/>
  <c r="I352" i="37"/>
  <c r="H352" i="37"/>
  <c r="G352" i="37"/>
  <c r="D353" i="37"/>
  <c r="C353" i="37"/>
  <c r="B353" i="37"/>
  <c r="M352" i="37"/>
  <c r="I353" i="37"/>
  <c r="H353" i="37"/>
  <c r="G353" i="37"/>
  <c r="F353" i="37"/>
  <c r="E353" i="37"/>
  <c r="B354" i="37"/>
  <c r="M353" i="37"/>
  <c r="J353" i="37"/>
  <c r="G354" i="37"/>
  <c r="F354" i="37"/>
  <c r="E354" i="37"/>
  <c r="D354" i="37"/>
  <c r="C354" i="37"/>
  <c r="J354" i="37"/>
  <c r="I354" i="37"/>
  <c r="H354" i="37"/>
  <c r="E355" i="37"/>
  <c r="D355" i="37"/>
  <c r="C355" i="37"/>
  <c r="B355" i="37"/>
  <c r="M354" i="37"/>
  <c r="J355" i="37"/>
  <c r="I355" i="37"/>
  <c r="H355" i="37"/>
  <c r="G355" i="37"/>
  <c r="F355" i="37"/>
  <c r="C356" i="37"/>
  <c r="B356" i="37"/>
  <c r="M355" i="37"/>
  <c r="H356" i="37"/>
  <c r="G356" i="37"/>
  <c r="F356" i="37"/>
  <c r="E356" i="37"/>
  <c r="D356" i="37"/>
  <c r="M356" i="37"/>
  <c r="J356" i="37"/>
  <c r="I356" i="37"/>
  <c r="F357" i="37"/>
  <c r="E357" i="37"/>
  <c r="D357" i="37"/>
  <c r="C357" i="37"/>
  <c r="B357" i="37"/>
  <c r="J357" i="37"/>
  <c r="I357" i="37"/>
  <c r="H357" i="37"/>
  <c r="G357" i="37"/>
  <c r="D358" i="37"/>
  <c r="C358" i="37"/>
  <c r="B358" i="37"/>
  <c r="M357" i="37"/>
  <c r="I358" i="37"/>
  <c r="H358" i="37"/>
  <c r="G358" i="37"/>
  <c r="F358" i="37"/>
  <c r="E358" i="37"/>
  <c r="B359" i="37"/>
  <c r="M358" i="37"/>
  <c r="J358" i="37"/>
  <c r="G359" i="37"/>
  <c r="F359" i="37"/>
  <c r="E359" i="37"/>
  <c r="D359" i="37"/>
  <c r="C359" i="37"/>
  <c r="J359" i="37"/>
  <c r="I359" i="37"/>
  <c r="H359" i="37"/>
  <c r="E360" i="37"/>
  <c r="D360" i="37"/>
  <c r="C360" i="37"/>
  <c r="B360" i="37"/>
  <c r="M359" i="37"/>
  <c r="J360" i="37"/>
  <c r="I360" i="37"/>
  <c r="H360" i="37"/>
  <c r="G360" i="37"/>
  <c r="F360" i="37"/>
  <c r="C361" i="37"/>
  <c r="B361" i="37"/>
  <c r="M360" i="37"/>
  <c r="H361" i="37"/>
  <c r="G361" i="37"/>
  <c r="F361" i="37"/>
  <c r="E361" i="37"/>
  <c r="D361" i="37"/>
  <c r="M361" i="37"/>
  <c r="J361" i="37"/>
  <c r="I361" i="37"/>
  <c r="F362" i="37"/>
  <c r="E362" i="37"/>
  <c r="D362" i="37"/>
  <c r="C362" i="37"/>
  <c r="B362" i="37"/>
  <c r="J362" i="37"/>
  <c r="I362" i="37"/>
  <c r="H362" i="37"/>
  <c r="G362" i="37"/>
  <c r="D363" i="37"/>
  <c r="C363" i="37"/>
  <c r="B363" i="37"/>
  <c r="M362" i="37"/>
  <c r="I363" i="37"/>
  <c r="H363" i="37"/>
  <c r="G363" i="37"/>
  <c r="F363" i="37"/>
  <c r="E363" i="37"/>
  <c r="B364" i="37"/>
  <c r="M363" i="37"/>
  <c r="J363" i="37"/>
  <c r="G364" i="37"/>
  <c r="F364" i="37"/>
  <c r="E364" i="37"/>
  <c r="D364" i="37"/>
  <c r="C364" i="37"/>
  <c r="J364" i="37"/>
  <c r="I364" i="37"/>
  <c r="H364" i="37"/>
  <c r="E365" i="37"/>
  <c r="D365" i="37"/>
  <c r="C365" i="37"/>
  <c r="B365" i="37"/>
  <c r="M364" i="37"/>
  <c r="J365" i="37"/>
  <c r="I365" i="37"/>
  <c r="H365" i="37"/>
  <c r="G365" i="37"/>
  <c r="F365" i="37"/>
  <c r="C366" i="37"/>
  <c r="B366" i="37"/>
  <c r="M365" i="37"/>
  <c r="H366" i="37"/>
  <c r="G366" i="37"/>
  <c r="F366" i="37"/>
  <c r="E366" i="37"/>
  <c r="D366" i="37"/>
  <c r="M366" i="37"/>
  <c r="J366" i="37"/>
  <c r="I366" i="37"/>
  <c r="F367" i="37"/>
  <c r="E367" i="37"/>
  <c r="D367" i="37"/>
  <c r="C367" i="37"/>
  <c r="B367" i="37"/>
  <c r="J367" i="37"/>
  <c r="I367" i="37"/>
  <c r="H367" i="37"/>
  <c r="G367" i="37"/>
  <c r="D368" i="37"/>
  <c r="C368" i="37"/>
  <c r="B368" i="37"/>
  <c r="M367" i="37"/>
  <c r="I368" i="37"/>
  <c r="H368" i="37"/>
  <c r="G368" i="37"/>
  <c r="F368" i="37"/>
  <c r="E368" i="37"/>
  <c r="B369" i="37"/>
  <c r="M368" i="37"/>
  <c r="J368" i="37"/>
  <c r="G369" i="37"/>
  <c r="F369" i="37"/>
  <c r="E369" i="37"/>
  <c r="D369" i="37"/>
  <c r="C369" i="37"/>
  <c r="J369" i="37"/>
  <c r="I369" i="37"/>
  <c r="H369" i="37"/>
  <c r="M369" i="37"/>
  <c r="F372" i="37"/>
  <c r="E372" i="37"/>
  <c r="D372" i="37"/>
  <c r="C372" i="37"/>
  <c r="B372" i="37"/>
  <c r="J372" i="37"/>
  <c r="I372" i="37"/>
  <c r="H372" i="37"/>
  <c r="G372" i="37"/>
  <c r="D373" i="37"/>
  <c r="C373" i="37"/>
  <c r="B373" i="37"/>
  <c r="M372" i="37"/>
  <c r="I373" i="37"/>
  <c r="H373" i="37"/>
  <c r="G373" i="37"/>
  <c r="F373" i="37"/>
  <c r="E373" i="37"/>
  <c r="B374" i="37"/>
  <c r="M373" i="37"/>
  <c r="J373" i="37"/>
  <c r="G374" i="37"/>
  <c r="F374" i="37"/>
  <c r="E374" i="37"/>
  <c r="D374" i="37"/>
  <c r="C374" i="37"/>
  <c r="J374" i="37"/>
  <c r="I374" i="37"/>
  <c r="H374" i="37"/>
  <c r="E375" i="37"/>
  <c r="D375" i="37"/>
  <c r="C375" i="37"/>
  <c r="B375" i="37"/>
  <c r="M374" i="37"/>
  <c r="J375" i="37"/>
  <c r="I375" i="37"/>
  <c r="H375" i="37"/>
  <c r="G375" i="37"/>
  <c r="F375" i="37"/>
  <c r="C376" i="37"/>
  <c r="B376" i="37"/>
  <c r="M375" i="37"/>
  <c r="H376" i="37"/>
  <c r="G376" i="37"/>
  <c r="F376" i="37"/>
  <c r="E376" i="37"/>
  <c r="D376" i="37"/>
  <c r="M376" i="37"/>
  <c r="J376" i="37"/>
  <c r="I376" i="37"/>
  <c r="F377" i="37"/>
  <c r="E377" i="37"/>
  <c r="D377" i="37"/>
  <c r="C377" i="37"/>
  <c r="B377" i="37"/>
  <c r="J377" i="37"/>
  <c r="I377" i="37"/>
  <c r="H377" i="37"/>
  <c r="G377" i="37"/>
  <c r="D378" i="37"/>
  <c r="C378" i="37"/>
  <c r="B378" i="37"/>
  <c r="M377" i="37"/>
  <c r="I378" i="37"/>
  <c r="H378" i="37"/>
  <c r="G378" i="37"/>
  <c r="F378" i="37"/>
  <c r="E378" i="37"/>
  <c r="B379" i="37"/>
  <c r="M378" i="37"/>
  <c r="J378" i="37"/>
  <c r="G379" i="37"/>
  <c r="F379" i="37"/>
  <c r="E379" i="37"/>
  <c r="D379" i="37"/>
  <c r="C379" i="37"/>
  <c r="J379" i="37"/>
  <c r="I379" i="37"/>
  <c r="H379" i="37"/>
  <c r="E380" i="37"/>
  <c r="D380" i="37"/>
  <c r="C380" i="37"/>
  <c r="B380" i="37"/>
  <c r="M379" i="37"/>
  <c r="J380" i="37"/>
  <c r="I380" i="37"/>
  <c r="H380" i="37"/>
  <c r="G380" i="37"/>
  <c r="F380" i="37"/>
  <c r="C381" i="37"/>
  <c r="B381" i="37"/>
  <c r="M380" i="37"/>
  <c r="H381" i="37"/>
  <c r="G381" i="37"/>
  <c r="F381" i="37"/>
  <c r="E381" i="37"/>
  <c r="D381" i="37"/>
  <c r="M381" i="37"/>
  <c r="J381" i="37"/>
  <c r="I381" i="37"/>
  <c r="F382" i="37"/>
  <c r="E382" i="37"/>
  <c r="D382" i="37"/>
  <c r="C382" i="37"/>
  <c r="B382" i="37"/>
  <c r="J382" i="37"/>
  <c r="I382" i="37"/>
  <c r="H382" i="37"/>
  <c r="G382" i="37"/>
  <c r="D383" i="37"/>
  <c r="C383" i="37"/>
  <c r="B383" i="37"/>
  <c r="M382" i="37"/>
  <c r="I383" i="37"/>
  <c r="H383" i="37"/>
  <c r="G383" i="37"/>
  <c r="F383" i="37"/>
  <c r="E383" i="37"/>
  <c r="B384" i="37"/>
  <c r="M383" i="37"/>
  <c r="J383" i="37"/>
  <c r="G384" i="37"/>
  <c r="F384" i="37"/>
  <c r="E384" i="37"/>
  <c r="D384" i="37"/>
  <c r="C384" i="37"/>
  <c r="J384" i="37"/>
  <c r="I384" i="37"/>
  <c r="H384" i="37"/>
  <c r="E385" i="37"/>
  <c r="D385" i="37"/>
  <c r="C385" i="37"/>
  <c r="B385" i="37"/>
  <c r="M384" i="37"/>
  <c r="J385" i="37"/>
  <c r="I385" i="37"/>
  <c r="H385" i="37"/>
  <c r="G385" i="37"/>
  <c r="F385" i="37"/>
  <c r="C386" i="37"/>
  <c r="B386" i="37"/>
  <c r="M385" i="37"/>
  <c r="H386" i="37"/>
  <c r="G386" i="37"/>
  <c r="F386" i="37"/>
  <c r="E386" i="37"/>
  <c r="D386" i="37"/>
  <c r="M386" i="37"/>
  <c r="J386" i="37"/>
  <c r="I386" i="37"/>
  <c r="F387" i="37"/>
  <c r="E387" i="37"/>
  <c r="D387" i="37"/>
  <c r="C387" i="37"/>
  <c r="B387" i="37"/>
  <c r="J387" i="37"/>
  <c r="I387" i="37"/>
  <c r="H387" i="37"/>
  <c r="G387" i="37"/>
  <c r="D388" i="37"/>
  <c r="C388" i="37"/>
  <c r="B388" i="37"/>
  <c r="M387" i="37"/>
  <c r="I388" i="37"/>
  <c r="H388" i="37"/>
  <c r="G388" i="37"/>
  <c r="F388" i="37"/>
  <c r="E388" i="37"/>
  <c r="B389" i="37"/>
  <c r="M388" i="37"/>
  <c r="J388" i="37"/>
  <c r="G389" i="37"/>
  <c r="F389" i="37"/>
  <c r="E389" i="37"/>
  <c r="D389" i="37"/>
  <c r="C389" i="37"/>
  <c r="J389" i="37"/>
  <c r="I389" i="37"/>
  <c r="H389" i="37"/>
  <c r="M389" i="37"/>
  <c r="C391" i="37"/>
  <c r="B391" i="37"/>
  <c r="H391" i="37"/>
  <c r="G391" i="37"/>
  <c r="F391" i="37"/>
  <c r="E391" i="37"/>
  <c r="D391" i="37"/>
  <c r="M391" i="37"/>
  <c r="J391" i="37"/>
  <c r="I391" i="37"/>
  <c r="F392" i="37"/>
  <c r="E392" i="37"/>
  <c r="D392" i="37"/>
  <c r="C392" i="37"/>
  <c r="B392" i="37"/>
  <c r="J392" i="37"/>
  <c r="I392" i="37"/>
  <c r="H392" i="37"/>
  <c r="G392" i="37"/>
  <c r="D393" i="37"/>
  <c r="C393" i="37"/>
  <c r="B393" i="37"/>
  <c r="M392" i="37"/>
  <c r="I393" i="37"/>
  <c r="H393" i="37"/>
  <c r="G393" i="37"/>
  <c r="F393" i="37"/>
  <c r="E393" i="37"/>
  <c r="B394" i="37"/>
  <c r="M393" i="37"/>
  <c r="J393" i="37"/>
  <c r="G394" i="37"/>
  <c r="F394" i="37"/>
  <c r="E394" i="37"/>
  <c r="D394" i="37"/>
  <c r="C394" i="37"/>
  <c r="J394" i="37"/>
  <c r="I394" i="37"/>
  <c r="H394" i="37"/>
  <c r="E395" i="37"/>
  <c r="D395" i="37"/>
  <c r="C395" i="37"/>
  <c r="B395" i="37"/>
  <c r="M394" i="37"/>
  <c r="J395" i="37"/>
  <c r="I395" i="37"/>
  <c r="H395" i="37"/>
  <c r="G395" i="37"/>
  <c r="F395" i="37"/>
  <c r="C396" i="37"/>
  <c r="B396" i="37"/>
  <c r="M395" i="37"/>
  <c r="H396" i="37"/>
  <c r="G396" i="37"/>
  <c r="F396" i="37"/>
  <c r="E396" i="37"/>
  <c r="D396" i="37"/>
  <c r="M396" i="37"/>
  <c r="J396" i="37"/>
  <c r="I396" i="37"/>
  <c r="F397" i="37"/>
  <c r="E397" i="37"/>
  <c r="D397" i="37"/>
  <c r="C397" i="37"/>
  <c r="B397" i="37"/>
  <c r="J397" i="37"/>
  <c r="I397" i="37"/>
  <c r="H397" i="37"/>
  <c r="G397" i="37"/>
  <c r="D398" i="37"/>
  <c r="C398" i="37"/>
  <c r="B398" i="37"/>
  <c r="M397" i="37"/>
  <c r="I398" i="37"/>
  <c r="H398" i="37"/>
  <c r="G398" i="37"/>
  <c r="F398" i="37"/>
  <c r="E398" i="37"/>
  <c r="B399" i="37"/>
  <c r="M398" i="37"/>
  <c r="J398" i="37"/>
  <c r="G399" i="37"/>
  <c r="F399" i="37"/>
  <c r="E399" i="37"/>
  <c r="D399" i="37"/>
  <c r="C399" i="37"/>
  <c r="J399" i="37"/>
  <c r="I399" i="37"/>
  <c r="H399" i="37"/>
  <c r="E400" i="37"/>
  <c r="D400" i="37"/>
  <c r="C400" i="37"/>
  <c r="B400" i="37"/>
  <c r="M399" i="37"/>
  <c r="J400" i="37"/>
  <c r="I400" i="37"/>
  <c r="H400" i="37"/>
  <c r="G400" i="37"/>
  <c r="F400" i="37"/>
  <c r="C401" i="37"/>
  <c r="B401" i="37"/>
  <c r="M400" i="37"/>
  <c r="H401" i="37"/>
  <c r="G401" i="37"/>
  <c r="F401" i="37"/>
  <c r="E401" i="37"/>
  <c r="D401" i="37"/>
  <c r="M401" i="37"/>
  <c r="J401" i="37"/>
  <c r="I401" i="37"/>
  <c r="F402" i="37"/>
  <c r="E402" i="37"/>
  <c r="D402" i="37"/>
  <c r="C402" i="37"/>
  <c r="B402" i="37"/>
  <c r="J402" i="37"/>
  <c r="I402" i="37"/>
  <c r="H402" i="37"/>
  <c r="G402" i="37"/>
  <c r="D403" i="37"/>
  <c r="C403" i="37"/>
  <c r="B403" i="37"/>
  <c r="M402" i="37"/>
  <c r="I403" i="37"/>
  <c r="H403" i="37"/>
  <c r="G403" i="37"/>
  <c r="F403" i="37"/>
  <c r="E403" i="37"/>
  <c r="B404" i="37"/>
  <c r="M403" i="37"/>
  <c r="J403" i="37"/>
  <c r="G404" i="37"/>
  <c r="F404" i="37"/>
  <c r="E404" i="37"/>
  <c r="D404" i="37"/>
  <c r="C404" i="37"/>
  <c r="J404" i="37"/>
  <c r="I404" i="37"/>
  <c r="H404" i="37"/>
  <c r="E405" i="37"/>
  <c r="D405" i="37"/>
  <c r="C405" i="37"/>
  <c r="B405" i="37"/>
  <c r="M404" i="37"/>
  <c r="J405" i="37"/>
  <c r="I405" i="37"/>
  <c r="H405" i="37"/>
  <c r="G405" i="37"/>
  <c r="F405" i="37"/>
  <c r="C406" i="37"/>
  <c r="B406" i="37"/>
  <c r="M405" i="37"/>
  <c r="H406" i="37"/>
  <c r="G406" i="37"/>
  <c r="F406" i="37"/>
  <c r="E406" i="37"/>
  <c r="D406" i="37"/>
  <c r="M406" i="37"/>
  <c r="J406" i="37"/>
  <c r="I406" i="37"/>
  <c r="F407" i="37"/>
  <c r="E407" i="37"/>
  <c r="D407" i="37"/>
  <c r="C407" i="37"/>
  <c r="B407" i="37"/>
  <c r="J407" i="37"/>
  <c r="I407" i="37"/>
  <c r="H407" i="37"/>
  <c r="G407" i="37"/>
  <c r="D408" i="37"/>
  <c r="C408" i="37"/>
  <c r="B408" i="37"/>
  <c r="M407" i="37"/>
  <c r="I408" i="37"/>
  <c r="H408" i="37"/>
  <c r="G408" i="37"/>
  <c r="F408" i="37"/>
  <c r="E408" i="37"/>
  <c r="B409" i="37"/>
  <c r="M408" i="37"/>
  <c r="J408" i="37"/>
  <c r="G409" i="37"/>
  <c r="F409" i="37"/>
  <c r="E409" i="37"/>
  <c r="D409" i="37"/>
  <c r="C409" i="37"/>
  <c r="J409" i="37"/>
  <c r="I409" i="37"/>
  <c r="H409" i="37"/>
  <c r="E410" i="37"/>
  <c r="D410" i="37"/>
  <c r="C410" i="37"/>
  <c r="B410" i="37"/>
  <c r="M409" i="37"/>
  <c r="J410" i="37"/>
  <c r="I410" i="37"/>
  <c r="H410" i="37"/>
  <c r="G410" i="37"/>
  <c r="F410" i="37"/>
  <c r="C411" i="37"/>
  <c r="B411" i="37"/>
  <c r="M410" i="37"/>
  <c r="H411" i="37"/>
  <c r="G411" i="37"/>
  <c r="F411" i="37"/>
  <c r="E411" i="37"/>
  <c r="D411" i="37"/>
  <c r="M411" i="37"/>
  <c r="J411" i="37"/>
  <c r="I411" i="37"/>
  <c r="F412" i="37"/>
  <c r="E412" i="37"/>
  <c r="D412" i="37"/>
  <c r="C412" i="37"/>
  <c r="B412" i="37"/>
  <c r="J412" i="37"/>
  <c r="I412" i="37"/>
  <c r="H412" i="37"/>
  <c r="G412" i="37"/>
  <c r="D413" i="37"/>
  <c r="C413" i="37"/>
  <c r="B413" i="37"/>
  <c r="M412" i="37"/>
  <c r="I413" i="37"/>
  <c r="H413" i="37"/>
  <c r="G413" i="37"/>
  <c r="F413" i="37"/>
  <c r="E413" i="37"/>
  <c r="B414" i="37"/>
  <c r="M413" i="37"/>
  <c r="J413" i="37"/>
  <c r="G414" i="37"/>
  <c r="F414" i="37"/>
  <c r="E414" i="37"/>
  <c r="D414" i="37"/>
  <c r="C414" i="37"/>
  <c r="J414" i="37"/>
  <c r="I414" i="37"/>
  <c r="H414" i="37"/>
  <c r="E415" i="37"/>
  <c r="D415" i="37"/>
  <c r="C415" i="37"/>
  <c r="B415" i="37"/>
  <c r="M414" i="37"/>
  <c r="J415" i="37"/>
  <c r="I415" i="37"/>
  <c r="H415" i="37"/>
  <c r="G415" i="37"/>
  <c r="F415" i="37"/>
  <c r="C416" i="37"/>
  <c r="B416" i="37"/>
  <c r="M415" i="37"/>
  <c r="H416" i="37"/>
  <c r="G416" i="37"/>
  <c r="F416" i="37"/>
  <c r="E416" i="37"/>
  <c r="D416" i="37"/>
  <c r="M416" i="37"/>
  <c r="J416" i="37"/>
  <c r="I416" i="37"/>
  <c r="F417" i="37"/>
  <c r="E417" i="37"/>
  <c r="D417" i="37"/>
  <c r="C417" i="37"/>
  <c r="B417" i="37"/>
  <c r="J417" i="37"/>
  <c r="I417" i="37"/>
  <c r="H417" i="37"/>
  <c r="G417" i="37"/>
  <c r="D418" i="37"/>
  <c r="C418" i="37"/>
  <c r="B418" i="37"/>
  <c r="M417" i="37"/>
  <c r="I418" i="37"/>
  <c r="H418" i="37"/>
  <c r="G418" i="37"/>
  <c r="F418" i="37"/>
  <c r="E418" i="37"/>
  <c r="B419" i="37"/>
  <c r="M418" i="37"/>
  <c r="J418" i="37"/>
  <c r="G419" i="37"/>
  <c r="F419" i="37"/>
  <c r="E419" i="37"/>
  <c r="D419" i="37"/>
  <c r="C419" i="37"/>
  <c r="J419" i="37"/>
  <c r="I419" i="37"/>
  <c r="H419" i="37"/>
  <c r="E420" i="37"/>
  <c r="D420" i="37"/>
  <c r="C420" i="37"/>
  <c r="B420" i="37"/>
  <c r="M419" i="37"/>
  <c r="J420" i="37"/>
  <c r="I420" i="37"/>
  <c r="H420" i="37"/>
  <c r="G420" i="37"/>
  <c r="F420" i="37"/>
  <c r="C421" i="37"/>
  <c r="B421" i="37"/>
  <c r="M420" i="37"/>
  <c r="H421" i="37"/>
  <c r="G421" i="37"/>
  <c r="F421" i="37"/>
  <c r="E421" i="37"/>
  <c r="D421" i="37"/>
  <c r="M421" i="37"/>
  <c r="J421" i="37"/>
  <c r="I421" i="37"/>
  <c r="F422" i="37"/>
  <c r="E422" i="37"/>
  <c r="D422" i="37"/>
  <c r="C422" i="37"/>
  <c r="B422" i="37"/>
  <c r="J422" i="37"/>
  <c r="I422" i="37"/>
  <c r="H422" i="37"/>
  <c r="G422" i="37"/>
  <c r="D423" i="37"/>
  <c r="C423" i="37"/>
  <c r="B423" i="37"/>
  <c r="M422" i="37"/>
  <c r="I423" i="37"/>
  <c r="H423" i="37"/>
  <c r="G423" i="37"/>
  <c r="F423" i="37"/>
  <c r="E423" i="37"/>
  <c r="B424" i="37"/>
  <c r="M423" i="37"/>
  <c r="J423" i="37"/>
  <c r="G424" i="37"/>
  <c r="F424" i="37"/>
  <c r="E424" i="37"/>
  <c r="D424" i="37"/>
  <c r="C424" i="37"/>
  <c r="J424" i="37"/>
  <c r="I424" i="37"/>
  <c r="H424" i="37"/>
  <c r="E425" i="37"/>
  <c r="D425" i="37"/>
  <c r="C425" i="37"/>
  <c r="B425" i="37"/>
  <c r="M424" i="37"/>
  <c r="J425" i="37"/>
  <c r="I425" i="37"/>
  <c r="H425" i="37"/>
  <c r="G425" i="37"/>
  <c r="F425" i="37"/>
  <c r="M425" i="37"/>
  <c r="D433" i="37"/>
  <c r="C433" i="37"/>
  <c r="B433" i="37"/>
  <c r="I433" i="37"/>
  <c r="H433" i="37"/>
  <c r="G433" i="37"/>
  <c r="F433" i="37"/>
  <c r="E433" i="37"/>
  <c r="B434" i="37"/>
  <c r="M433" i="37"/>
  <c r="J433" i="37"/>
  <c r="G434" i="37"/>
  <c r="F434" i="37"/>
  <c r="E434" i="37"/>
  <c r="D434" i="37"/>
  <c r="C434" i="37"/>
  <c r="J434" i="37"/>
  <c r="I434" i="37"/>
  <c r="H434" i="37"/>
  <c r="E435" i="37"/>
  <c r="D435" i="37"/>
  <c r="C435" i="37"/>
  <c r="B435" i="37"/>
  <c r="M434" i="37"/>
  <c r="J435" i="37"/>
  <c r="I435" i="37"/>
  <c r="H435" i="37"/>
  <c r="G435" i="37"/>
  <c r="F435" i="37"/>
  <c r="C436" i="37"/>
  <c r="B436" i="37"/>
  <c r="M435" i="37"/>
  <c r="H436" i="37"/>
  <c r="G436" i="37"/>
  <c r="F436" i="37"/>
  <c r="E436" i="37"/>
  <c r="D436" i="37"/>
  <c r="M436" i="37"/>
  <c r="J436" i="37"/>
  <c r="I436" i="37"/>
  <c r="F437" i="37"/>
  <c r="E437" i="37"/>
  <c r="D437" i="37"/>
  <c r="C437" i="37"/>
  <c r="B437" i="37"/>
  <c r="J437" i="37"/>
  <c r="I437" i="37"/>
  <c r="H437" i="37"/>
  <c r="G437" i="37"/>
  <c r="D438" i="37"/>
  <c r="C438" i="37"/>
  <c r="B438" i="37"/>
  <c r="M437" i="37"/>
  <c r="I438" i="37"/>
  <c r="H438" i="37"/>
  <c r="G438" i="37"/>
  <c r="F438" i="37"/>
  <c r="E438" i="37"/>
  <c r="B439" i="37"/>
  <c r="M438" i="37"/>
  <c r="J438" i="37"/>
  <c r="G439" i="37"/>
  <c r="F439" i="37"/>
  <c r="E439" i="37"/>
  <c r="D439" i="37"/>
  <c r="C439" i="37"/>
  <c r="J439" i="37"/>
  <c r="I439" i="37"/>
  <c r="H439" i="37"/>
  <c r="M439" i="37"/>
  <c r="C441" i="37"/>
  <c r="B441" i="37"/>
  <c r="H441" i="37"/>
  <c r="G441" i="37"/>
  <c r="F441" i="37"/>
  <c r="E441" i="37"/>
  <c r="D441" i="37"/>
  <c r="M441" i="37"/>
  <c r="J441" i="37"/>
  <c r="I441" i="37"/>
  <c r="F442" i="37"/>
  <c r="E442" i="37"/>
  <c r="D442" i="37"/>
  <c r="C442" i="37"/>
  <c r="B442" i="37"/>
  <c r="J442" i="37"/>
  <c r="I442" i="37"/>
  <c r="H442" i="37"/>
  <c r="G442" i="37"/>
  <c r="D443" i="37"/>
  <c r="C443" i="37"/>
  <c r="B443" i="37"/>
  <c r="M442" i="37"/>
  <c r="I443" i="37"/>
  <c r="H443" i="37"/>
  <c r="G443" i="37"/>
  <c r="F443" i="37"/>
  <c r="E443" i="37"/>
  <c r="B444" i="37"/>
  <c r="M443" i="37"/>
  <c r="J443" i="37"/>
  <c r="G444" i="37"/>
  <c r="F444" i="37"/>
  <c r="E444" i="37"/>
  <c r="D444" i="37"/>
  <c r="C444" i="37"/>
  <c r="J444" i="37"/>
  <c r="I444" i="37"/>
  <c r="H444" i="37"/>
  <c r="E445" i="37"/>
  <c r="D445" i="37"/>
  <c r="C445" i="37"/>
  <c r="B445" i="37"/>
  <c r="M444" i="37"/>
  <c r="J445" i="37"/>
  <c r="I445" i="37"/>
  <c r="H445" i="37"/>
  <c r="G445" i="37"/>
  <c r="F445" i="37"/>
  <c r="C446" i="37"/>
  <c r="B446" i="37"/>
  <c r="M445" i="37"/>
  <c r="H446" i="37"/>
  <c r="G446" i="37"/>
  <c r="F446" i="37"/>
  <c r="E446" i="37"/>
  <c r="D446" i="37"/>
  <c r="M446" i="37"/>
  <c r="J446" i="37"/>
  <c r="I446" i="37"/>
  <c r="F447" i="37"/>
  <c r="E447" i="37"/>
  <c r="D447" i="37"/>
  <c r="C447" i="37"/>
  <c r="B447" i="37"/>
  <c r="J447" i="37"/>
  <c r="I447" i="37"/>
  <c r="H447" i="37"/>
  <c r="G447" i="37"/>
  <c r="D448" i="37"/>
  <c r="C448" i="37"/>
  <c r="B448" i="37"/>
  <c r="M447" i="37"/>
  <c r="I448" i="37"/>
  <c r="H448" i="37"/>
  <c r="G448" i="37"/>
  <c r="F448" i="37"/>
  <c r="E448" i="37"/>
  <c r="B449" i="37"/>
  <c r="M448" i="37"/>
  <c r="J448" i="37"/>
  <c r="G449" i="37"/>
  <c r="F449" i="37"/>
  <c r="E449" i="37"/>
  <c r="D449" i="37"/>
  <c r="C449" i="37"/>
  <c r="J449" i="37"/>
  <c r="I449" i="37"/>
  <c r="H449" i="37"/>
  <c r="E450" i="37"/>
  <c r="D450" i="37"/>
  <c r="C450" i="37"/>
  <c r="B450" i="37"/>
  <c r="M449" i="37"/>
  <c r="J450" i="37"/>
  <c r="I450" i="37"/>
  <c r="H450" i="37"/>
  <c r="G450" i="37"/>
  <c r="F450" i="37"/>
  <c r="C451" i="37"/>
  <c r="B451" i="37"/>
  <c r="M450" i="37"/>
  <c r="H451" i="37"/>
  <c r="G451" i="37"/>
  <c r="F451" i="37"/>
  <c r="E451" i="37"/>
  <c r="D451" i="37"/>
  <c r="M451" i="37"/>
  <c r="J451" i="37"/>
  <c r="I451" i="37"/>
  <c r="F452" i="37"/>
  <c r="E452" i="37"/>
  <c r="D452" i="37"/>
  <c r="C452" i="37"/>
  <c r="B452" i="37"/>
  <c r="J452" i="37"/>
  <c r="I452" i="37"/>
  <c r="H452" i="37"/>
  <c r="G452" i="37"/>
  <c r="D453" i="37"/>
  <c r="C453" i="37"/>
  <c r="B453" i="37"/>
  <c r="M452" i="37"/>
  <c r="I453" i="37"/>
  <c r="H453" i="37"/>
  <c r="G453" i="37"/>
  <c r="F453" i="37"/>
  <c r="E453" i="37"/>
  <c r="B454" i="37"/>
  <c r="M453" i="37"/>
  <c r="J453" i="37"/>
  <c r="G454" i="37"/>
  <c r="F454" i="37"/>
  <c r="E454" i="37"/>
  <c r="D454" i="37"/>
  <c r="C454" i="37"/>
  <c r="J454" i="37"/>
  <c r="I454" i="37"/>
  <c r="H454" i="37"/>
  <c r="E455" i="37"/>
  <c r="D455" i="37"/>
  <c r="C455" i="37"/>
  <c r="B455" i="37"/>
  <c r="M454" i="37"/>
  <c r="J455" i="37"/>
  <c r="I455" i="37"/>
  <c r="H455" i="37"/>
  <c r="G455" i="37"/>
  <c r="F455" i="37"/>
  <c r="C456" i="37"/>
  <c r="B456" i="37"/>
  <c r="M455" i="37"/>
  <c r="H456" i="37"/>
  <c r="G456" i="37"/>
  <c r="F456" i="37"/>
  <c r="E456" i="37"/>
  <c r="D456" i="37"/>
  <c r="M456" i="37"/>
  <c r="J456" i="37"/>
  <c r="I456" i="37"/>
  <c r="F457" i="37"/>
  <c r="E457" i="37"/>
  <c r="D457" i="37"/>
  <c r="C457" i="37"/>
  <c r="B457" i="37"/>
  <c r="J457" i="37"/>
  <c r="I457" i="37"/>
  <c r="H457" i="37"/>
  <c r="G457" i="37"/>
  <c r="D458" i="37"/>
  <c r="C458" i="37"/>
  <c r="B458" i="37"/>
  <c r="M457" i="37"/>
  <c r="I458" i="37"/>
  <c r="H458" i="37"/>
  <c r="G458" i="37"/>
  <c r="F458" i="37"/>
  <c r="E458" i="37"/>
  <c r="B459" i="37"/>
  <c r="M458" i="37"/>
  <c r="J458" i="37"/>
  <c r="G459" i="37"/>
  <c r="F459" i="37"/>
  <c r="E459" i="37"/>
  <c r="D459" i="37"/>
  <c r="C459" i="37"/>
  <c r="J459" i="37"/>
  <c r="I459" i="37"/>
  <c r="H459" i="37"/>
  <c r="E460" i="37"/>
  <c r="D460" i="37"/>
  <c r="C460" i="37"/>
  <c r="B460" i="37"/>
  <c r="M459" i="37"/>
  <c r="J460" i="37"/>
  <c r="I460" i="37"/>
  <c r="H460" i="37"/>
  <c r="G460" i="37"/>
  <c r="F460" i="37"/>
  <c r="C461" i="37"/>
  <c r="B461" i="37"/>
  <c r="M460" i="37"/>
  <c r="H461" i="37"/>
  <c r="G461" i="37"/>
  <c r="F461" i="37"/>
  <c r="E461" i="37"/>
  <c r="D461" i="37"/>
  <c r="M461" i="37"/>
  <c r="J461" i="37"/>
  <c r="I461" i="37"/>
  <c r="F462" i="37"/>
  <c r="E462" i="37"/>
  <c r="D462" i="37"/>
  <c r="C462" i="37"/>
  <c r="B462" i="37"/>
  <c r="J462" i="37"/>
  <c r="I462" i="37"/>
  <c r="H462" i="37"/>
  <c r="G462" i="37"/>
  <c r="D463" i="37"/>
  <c r="C463" i="37"/>
  <c r="B463" i="37"/>
  <c r="M462" i="37"/>
  <c r="I463" i="37"/>
  <c r="H463" i="37"/>
  <c r="G463" i="37"/>
  <c r="F463" i="37"/>
  <c r="E463" i="37"/>
  <c r="B464" i="37"/>
  <c r="M463" i="37"/>
  <c r="J463" i="37"/>
  <c r="G464" i="37"/>
  <c r="F464" i="37"/>
  <c r="E464" i="37"/>
  <c r="D464" i="37"/>
  <c r="C464" i="37"/>
  <c r="J464" i="37"/>
  <c r="I464" i="37"/>
  <c r="H464" i="37"/>
  <c r="E465" i="37"/>
  <c r="D465" i="37"/>
  <c r="C465" i="37"/>
  <c r="B465" i="37"/>
  <c r="M464" i="37"/>
  <c r="J465" i="37"/>
  <c r="I465" i="37"/>
  <c r="H465" i="37"/>
  <c r="G465" i="37"/>
  <c r="F465" i="37"/>
  <c r="C466" i="37"/>
  <c r="B466" i="37"/>
  <c r="M465" i="37"/>
  <c r="H466" i="37"/>
  <c r="G466" i="37"/>
  <c r="F466" i="37"/>
  <c r="E466" i="37"/>
  <c r="D466" i="37"/>
  <c r="M466" i="37"/>
  <c r="J466" i="37"/>
  <c r="I466" i="37"/>
  <c r="F467" i="37"/>
  <c r="E467" i="37"/>
  <c r="D467" i="37"/>
  <c r="C467" i="37"/>
  <c r="B467" i="37"/>
  <c r="J467" i="37"/>
  <c r="I467" i="37"/>
  <c r="H467" i="37"/>
  <c r="G467" i="37"/>
  <c r="M467" i="37"/>
  <c r="C517" i="37"/>
  <c r="B517" i="37"/>
  <c r="H517" i="37"/>
  <c r="G517" i="37"/>
  <c r="F517" i="37"/>
  <c r="E517" i="37"/>
  <c r="D517" i="37"/>
  <c r="M517" i="37"/>
  <c r="J517" i="37"/>
  <c r="I517" i="37"/>
  <c r="L10" i="38"/>
  <c r="G10" i="38"/>
  <c r="F10" i="38"/>
  <c r="E10" i="38"/>
  <c r="R10" i="38"/>
  <c r="Q10" i="38"/>
  <c r="O10" i="38"/>
  <c r="N10" i="38"/>
  <c r="M10" i="38"/>
  <c r="W10" i="38"/>
  <c r="V10" i="38"/>
  <c r="U10" i="38"/>
  <c r="T10" i="38"/>
  <c r="S10" i="38"/>
  <c r="AB10" i="38"/>
  <c r="AA10" i="38"/>
  <c r="Z10" i="38"/>
  <c r="Y10" i="38"/>
  <c r="X10" i="38"/>
  <c r="C472" i="37"/>
  <c r="D472" i="37"/>
  <c r="E472" i="37"/>
  <c r="F472" i="37"/>
  <c r="G472" i="37"/>
  <c r="H472" i="37"/>
  <c r="I472" i="37"/>
  <c r="A6" i="38"/>
  <c r="A5" i="38"/>
  <c r="A4" i="38"/>
  <c r="A3" i="38"/>
  <c r="A2" i="38"/>
  <c r="D10" i="38"/>
  <c r="C10" i="38"/>
  <c r="B10" i="38"/>
  <c r="A9" i="38"/>
  <c r="A8" i="38"/>
  <c r="A7" i="38"/>
  <c r="J10" i="38"/>
  <c r="AI10" i="38"/>
  <c r="AH10" i="38"/>
  <c r="AG10" i="38"/>
  <c r="AD10" i="38"/>
  <c r="AC10" i="38"/>
  <c r="AN10" i="38"/>
  <c r="AM10" i="38"/>
  <c r="AL10" i="38"/>
  <c r="AK10" i="38"/>
  <c r="AJ10" i="38"/>
  <c r="AS10" i="38"/>
  <c r="AR10" i="38"/>
  <c r="AQ10" i="38"/>
  <c r="AP10" i="38"/>
  <c r="AO10" i="38"/>
  <c r="AX10" i="38"/>
  <c r="AW10" i="38"/>
  <c r="AV10" i="38"/>
  <c r="AU10" i="38"/>
  <c r="AT10" i="38"/>
  <c r="BC10" i="38"/>
  <c r="BB10" i="38"/>
  <c r="BA10" i="38"/>
  <c r="AZ10" i="38"/>
  <c r="AY10" i="38"/>
  <c r="BH10" i="38"/>
  <c r="BG10" i="38"/>
  <c r="BF10" i="38"/>
  <c r="BE10" i="38"/>
  <c r="BD10" i="38"/>
  <c r="BM10" i="38"/>
  <c r="BL10" i="38"/>
  <c r="BK10" i="38"/>
  <c r="BJ10" i="38"/>
  <c r="BI10" i="38"/>
  <c r="BS10" i="38"/>
  <c r="BR10" i="38"/>
  <c r="BP10" i="38"/>
  <c r="BO10" i="38"/>
  <c r="BN10" i="38"/>
  <c r="BX10" i="38"/>
  <c r="BW10" i="38"/>
  <c r="BV10" i="38"/>
  <c r="BU10" i="38"/>
  <c r="BT10" i="38"/>
  <c r="CC10" i="38"/>
  <c r="CB10" i="38"/>
  <c r="CA10" i="38"/>
  <c r="BZ10" i="38"/>
  <c r="BY10" i="38"/>
  <c r="CH10" i="38"/>
  <c r="CG10" i="38"/>
  <c r="CF10" i="38"/>
  <c r="CE10" i="38"/>
  <c r="CD10" i="38"/>
  <c r="J472" i="37"/>
  <c r="F2" i="37"/>
  <c r="E2" i="37"/>
  <c r="D2" i="37"/>
  <c r="C2" i="37"/>
  <c r="B2" i="37"/>
  <c r="J2" i="37"/>
  <c r="I2" i="37"/>
  <c r="H2" i="37"/>
  <c r="G2" i="37"/>
  <c r="M2" i="37"/>
  <c r="D58" i="37"/>
  <c r="C58" i="37"/>
  <c r="B58" i="37"/>
  <c r="I58" i="37"/>
  <c r="H58" i="37"/>
  <c r="G58" i="37"/>
  <c r="F58" i="37"/>
  <c r="E58" i="37"/>
  <c r="M58" i="37"/>
  <c r="J58" i="37"/>
  <c r="C61" i="37"/>
  <c r="B61" i="37"/>
  <c r="H61" i="37"/>
  <c r="G61" i="37"/>
  <c r="F61" i="37"/>
  <c r="E61" i="37"/>
  <c r="D61" i="37"/>
  <c r="M61" i="37"/>
  <c r="J61" i="37"/>
  <c r="I61" i="37"/>
  <c r="E65" i="37"/>
  <c r="D65" i="37"/>
  <c r="C65" i="37"/>
  <c r="B65" i="37"/>
  <c r="J65" i="37"/>
  <c r="I65" i="37"/>
  <c r="H65" i="37"/>
  <c r="G65" i="37"/>
  <c r="F65" i="37"/>
  <c r="C66" i="37"/>
  <c r="B66" i="37"/>
  <c r="M65" i="37"/>
  <c r="H66" i="37"/>
  <c r="G66" i="37"/>
  <c r="F66" i="37"/>
  <c r="E66" i="37"/>
  <c r="D66" i="37"/>
  <c r="M66" i="37"/>
  <c r="J66" i="37"/>
  <c r="I66" i="37"/>
  <c r="D68" i="37"/>
  <c r="C68" i="37"/>
  <c r="B68" i="37"/>
  <c r="I68" i="37"/>
  <c r="H68" i="37"/>
  <c r="G68" i="37"/>
  <c r="F68" i="37"/>
  <c r="E68" i="37"/>
  <c r="M68" i="37"/>
  <c r="J68" i="37"/>
  <c r="F72" i="37"/>
  <c r="E72" i="37"/>
  <c r="D72" i="37"/>
  <c r="C72" i="37"/>
  <c r="B72" i="37"/>
  <c r="J72" i="37"/>
  <c r="I72" i="37"/>
  <c r="H72" i="37"/>
  <c r="G72" i="37"/>
  <c r="D73" i="37"/>
  <c r="C73" i="37"/>
  <c r="B73" i="37"/>
  <c r="M72" i="37"/>
  <c r="I73" i="37"/>
  <c r="H73" i="37"/>
  <c r="G73" i="37"/>
  <c r="F73" i="37"/>
  <c r="E73" i="37"/>
  <c r="M73" i="37"/>
  <c r="J73" i="37"/>
  <c r="E95" i="37"/>
  <c r="D95" i="37"/>
  <c r="C95" i="37"/>
  <c r="B95" i="37"/>
  <c r="J95" i="37"/>
  <c r="I95" i="37"/>
  <c r="H95" i="37"/>
  <c r="G95" i="37"/>
  <c r="F95" i="37"/>
  <c r="M95" i="37"/>
  <c r="F122" i="37"/>
  <c r="E122" i="37"/>
  <c r="D122" i="37"/>
  <c r="C122" i="37"/>
  <c r="B122" i="37"/>
  <c r="J122" i="37"/>
  <c r="I122" i="37"/>
  <c r="H122" i="37"/>
  <c r="G122" i="37"/>
  <c r="D123" i="37"/>
  <c r="C123" i="37"/>
  <c r="B123" i="37"/>
  <c r="M122" i="37"/>
  <c r="I123" i="37"/>
  <c r="H123" i="37"/>
  <c r="G123" i="37"/>
  <c r="F123" i="37"/>
  <c r="E123" i="37"/>
  <c r="M123" i="37"/>
  <c r="J123" i="37"/>
  <c r="E125" i="37"/>
  <c r="D125" i="37"/>
  <c r="C125" i="37"/>
  <c r="B125" i="37"/>
  <c r="J125" i="37"/>
  <c r="I125" i="37"/>
  <c r="H125" i="37"/>
  <c r="G125" i="37"/>
  <c r="F125" i="37"/>
  <c r="M125" i="37"/>
  <c r="F127" i="37"/>
  <c r="E127" i="37"/>
  <c r="D127" i="37"/>
  <c r="C127" i="37"/>
  <c r="B127" i="37"/>
  <c r="J127" i="37"/>
  <c r="I127" i="37"/>
  <c r="H127" i="37"/>
  <c r="G127" i="37"/>
  <c r="D128" i="37"/>
  <c r="C128" i="37"/>
  <c r="B128" i="37"/>
  <c r="M127" i="37"/>
  <c r="I128" i="37"/>
  <c r="H128" i="37"/>
  <c r="G128" i="37"/>
  <c r="F128" i="37"/>
  <c r="E128" i="37"/>
  <c r="M128" i="37"/>
  <c r="J128" i="37"/>
  <c r="E130" i="37"/>
  <c r="D130" i="37"/>
  <c r="C130" i="37"/>
  <c r="B130" i="37"/>
  <c r="J130" i="37"/>
  <c r="I130" i="37"/>
  <c r="H130" i="37"/>
  <c r="G130" i="37"/>
  <c r="F130" i="37"/>
  <c r="C131" i="37"/>
  <c r="B131" i="37"/>
  <c r="M130" i="37"/>
  <c r="H131" i="37"/>
  <c r="G131" i="37"/>
  <c r="F131" i="37"/>
  <c r="E131" i="37"/>
  <c r="D131" i="37"/>
  <c r="M131" i="37"/>
  <c r="J131" i="37"/>
  <c r="I131" i="37"/>
  <c r="F132" i="37"/>
  <c r="E132" i="37"/>
  <c r="D132" i="37"/>
  <c r="C132" i="37"/>
  <c r="B132" i="37"/>
  <c r="J132" i="37"/>
  <c r="I132" i="37"/>
  <c r="H132" i="37"/>
  <c r="G132" i="37"/>
  <c r="D133" i="37"/>
  <c r="C133" i="37"/>
  <c r="B133" i="37"/>
  <c r="M132" i="37"/>
  <c r="I133" i="37"/>
  <c r="H133" i="37"/>
  <c r="G133" i="37"/>
  <c r="F133" i="37"/>
  <c r="E133" i="37"/>
  <c r="M133" i="37"/>
  <c r="J133" i="37"/>
  <c r="E240" i="37"/>
  <c r="D240" i="37"/>
  <c r="C240" i="37"/>
  <c r="B240" i="37"/>
  <c r="J240" i="37"/>
  <c r="I240" i="37"/>
  <c r="H240" i="37"/>
  <c r="G240" i="37"/>
  <c r="F240" i="37"/>
  <c r="M240" i="37"/>
  <c r="F277" i="37"/>
  <c r="E277" i="37"/>
  <c r="D277" i="37"/>
  <c r="C277" i="37"/>
  <c r="B277" i="37"/>
  <c r="J277" i="37"/>
  <c r="I277" i="37"/>
  <c r="H277" i="37"/>
  <c r="G277" i="37"/>
  <c r="D278" i="37"/>
  <c r="C278" i="37"/>
  <c r="B278" i="37"/>
  <c r="M277" i="37"/>
  <c r="I278" i="37"/>
  <c r="H278" i="37"/>
  <c r="G278" i="37"/>
  <c r="F278" i="37"/>
  <c r="E278" i="37"/>
  <c r="B279" i="37"/>
  <c r="M278" i="37"/>
  <c r="J278" i="37"/>
  <c r="G279" i="37"/>
  <c r="F279" i="37"/>
  <c r="E279" i="37"/>
  <c r="D279" i="37"/>
  <c r="C279" i="37"/>
  <c r="J279" i="37"/>
  <c r="I279" i="37"/>
  <c r="H279" i="37"/>
  <c r="E280" i="37"/>
  <c r="D280" i="37"/>
  <c r="C280" i="37"/>
  <c r="B280" i="37"/>
  <c r="M279" i="37"/>
  <c r="J280" i="37"/>
  <c r="I280" i="37"/>
  <c r="H280" i="37"/>
  <c r="G280" i="37"/>
  <c r="F280" i="37"/>
  <c r="M280" i="37"/>
  <c r="E370" i="37"/>
  <c r="D370" i="37"/>
  <c r="C370" i="37"/>
  <c r="B370" i="37"/>
  <c r="J370" i="37"/>
  <c r="I370" i="37"/>
  <c r="H370" i="37"/>
  <c r="G370" i="37"/>
  <c r="F370" i="37"/>
  <c r="C371" i="37"/>
  <c r="B371" i="37"/>
  <c r="M370" i="37"/>
  <c r="H371" i="37"/>
  <c r="G371" i="37"/>
  <c r="F371" i="37"/>
  <c r="E371" i="37"/>
  <c r="D371" i="37"/>
  <c r="M371" i="37"/>
  <c r="J371" i="37"/>
  <c r="I371" i="37"/>
  <c r="E390" i="37"/>
  <c r="D390" i="37"/>
  <c r="C390" i="37"/>
  <c r="B390" i="37"/>
  <c r="J390" i="37"/>
  <c r="I390" i="37"/>
  <c r="H390" i="37"/>
  <c r="G390" i="37"/>
  <c r="F390" i="37"/>
  <c r="M390" i="37"/>
  <c r="C426" i="37"/>
  <c r="B426" i="37"/>
  <c r="H426" i="37"/>
  <c r="G426" i="37"/>
  <c r="F426" i="37"/>
  <c r="E426" i="37"/>
  <c r="D426" i="37"/>
  <c r="M426" i="37"/>
  <c r="J426" i="37"/>
  <c r="I426" i="37"/>
  <c r="F427" i="37"/>
  <c r="E427" i="37"/>
  <c r="D427" i="37"/>
  <c r="C427" i="37"/>
  <c r="B427" i="37"/>
  <c r="J427" i="37"/>
  <c r="I427" i="37"/>
  <c r="H427" i="37"/>
  <c r="G427" i="37"/>
  <c r="D428" i="37"/>
  <c r="C428" i="37"/>
  <c r="B428" i="37"/>
  <c r="M427" i="37"/>
  <c r="I428" i="37"/>
  <c r="H428" i="37"/>
  <c r="G428" i="37"/>
  <c r="F428" i="37"/>
  <c r="E428" i="37"/>
  <c r="B429" i="37"/>
  <c r="M428" i="37"/>
  <c r="J428" i="37"/>
  <c r="G429" i="37"/>
  <c r="F429" i="37"/>
  <c r="E429" i="37"/>
  <c r="D429" i="37"/>
  <c r="C429" i="37"/>
  <c r="J429" i="37"/>
  <c r="I429" i="37"/>
  <c r="H429" i="37"/>
  <c r="E430" i="37"/>
  <c r="D430" i="37"/>
  <c r="C430" i="37"/>
  <c r="B430" i="37"/>
  <c r="M429" i="37"/>
  <c r="J430" i="37"/>
  <c r="I430" i="37"/>
  <c r="H430" i="37"/>
  <c r="G430" i="37"/>
  <c r="F430" i="37"/>
  <c r="C431" i="37"/>
  <c r="B431" i="37"/>
  <c r="M430" i="37"/>
  <c r="H431" i="37"/>
  <c r="G431" i="37"/>
  <c r="F431" i="37"/>
  <c r="E431" i="37"/>
  <c r="D431" i="37"/>
  <c r="M431" i="37"/>
  <c r="J431" i="37"/>
  <c r="I431" i="37"/>
  <c r="F432" i="37"/>
  <c r="E432" i="37"/>
  <c r="D432" i="37"/>
  <c r="C432" i="37"/>
  <c r="B432" i="37"/>
  <c r="J432" i="37"/>
  <c r="I432" i="37"/>
  <c r="H432" i="37"/>
  <c r="G432" i="37"/>
  <c r="M432" i="37"/>
  <c r="E440" i="37"/>
  <c r="D440" i="37"/>
  <c r="C440" i="37"/>
  <c r="B440" i="37"/>
  <c r="J440" i="37"/>
  <c r="I440" i="37"/>
  <c r="H440" i="37"/>
  <c r="G440" i="37"/>
  <c r="F440" i="37"/>
  <c r="M440" i="37"/>
  <c r="D468" i="37"/>
  <c r="C468" i="37"/>
  <c r="B468" i="37"/>
  <c r="I468" i="37"/>
  <c r="H468" i="37"/>
  <c r="G468" i="37"/>
  <c r="F468" i="37"/>
  <c r="E468" i="37"/>
  <c r="B469" i="37"/>
  <c r="M468" i="37"/>
  <c r="J468" i="37"/>
  <c r="G469" i="37"/>
  <c r="F469" i="37"/>
  <c r="E469" i="37"/>
  <c r="D469" i="37"/>
  <c r="C469" i="37"/>
  <c r="J469" i="37"/>
  <c r="I469" i="37"/>
  <c r="H469" i="37"/>
  <c r="E470" i="37"/>
  <c r="D470" i="37"/>
  <c r="C470" i="37"/>
  <c r="B470" i="37"/>
  <c r="M469" i="37"/>
  <c r="J470" i="37"/>
  <c r="I470" i="37"/>
  <c r="H470" i="37"/>
  <c r="G470" i="37"/>
  <c r="F470" i="37"/>
  <c r="C471" i="37"/>
  <c r="B471" i="37"/>
  <c r="M470" i="37"/>
  <c r="H471" i="37"/>
  <c r="G471" i="37"/>
  <c r="F471" i="37"/>
  <c r="E471" i="37"/>
  <c r="D471" i="37"/>
  <c r="M471" i="37"/>
  <c r="J471" i="37"/>
  <c r="I471" i="37"/>
  <c r="B472" i="37"/>
  <c r="D479" i="37"/>
  <c r="C479" i="37"/>
  <c r="B479" i="37"/>
  <c r="M472" i="37"/>
  <c r="I479" i="37"/>
  <c r="H479" i="37"/>
  <c r="G479" i="37"/>
  <c r="F479" i="37"/>
  <c r="E479" i="37"/>
  <c r="B480" i="37"/>
  <c r="M479" i="37"/>
  <c r="J479" i="37"/>
  <c r="G480" i="37"/>
  <c r="F480" i="37"/>
  <c r="E480" i="37"/>
  <c r="D480" i="37"/>
  <c r="C480" i="37"/>
  <c r="J480" i="37"/>
  <c r="I480" i="37"/>
  <c r="H480" i="37"/>
  <c r="E481" i="37"/>
  <c r="D481" i="37"/>
  <c r="C481" i="37"/>
  <c r="B481" i="37"/>
  <c r="M480" i="37"/>
  <c r="J481" i="37"/>
  <c r="I481" i="37"/>
  <c r="H481" i="37"/>
  <c r="G481" i="37"/>
  <c r="F481" i="37"/>
  <c r="C482" i="37"/>
  <c r="B482" i="37"/>
  <c r="M481" i="37"/>
  <c r="H482" i="37"/>
  <c r="G482" i="37"/>
  <c r="F482" i="37"/>
  <c r="E482" i="37"/>
  <c r="D482" i="37"/>
  <c r="M482" i="37"/>
  <c r="J482" i="37"/>
  <c r="I482" i="37"/>
  <c r="F483" i="37"/>
  <c r="E483" i="37"/>
  <c r="D483" i="37"/>
  <c r="C483" i="37"/>
  <c r="B483" i="37"/>
  <c r="J483" i="37"/>
  <c r="I483" i="37"/>
  <c r="H483" i="37"/>
  <c r="G483" i="37"/>
  <c r="D484" i="37"/>
  <c r="C484" i="37"/>
  <c r="B484" i="37"/>
  <c r="M483" i="37"/>
  <c r="I484" i="37"/>
  <c r="H484" i="37"/>
  <c r="G484" i="37"/>
  <c r="F484" i="37"/>
  <c r="E484" i="37"/>
  <c r="B485" i="37"/>
  <c r="M484" i="37"/>
  <c r="J484" i="37"/>
  <c r="G485" i="37"/>
  <c r="F485" i="37"/>
  <c r="E485" i="37"/>
  <c r="D485" i="37"/>
  <c r="C485" i="37"/>
  <c r="J485" i="37"/>
  <c r="I485" i="37"/>
  <c r="H485" i="37"/>
  <c r="E486" i="37"/>
  <c r="D486" i="37"/>
  <c r="C486" i="37"/>
  <c r="B486" i="37"/>
  <c r="M485" i="37"/>
  <c r="J486" i="37"/>
  <c r="I486" i="37"/>
  <c r="H486" i="37"/>
  <c r="G486" i="37"/>
  <c r="F486" i="37"/>
  <c r="C487" i="37"/>
  <c r="B487" i="37"/>
  <c r="M486" i="37"/>
  <c r="H487" i="37"/>
  <c r="G487" i="37"/>
  <c r="F487" i="37"/>
  <c r="E487" i="37"/>
  <c r="D487" i="37"/>
  <c r="M487" i="37"/>
  <c r="J487" i="37"/>
  <c r="I487" i="37"/>
  <c r="F488" i="37"/>
  <c r="E488" i="37"/>
  <c r="D488" i="37"/>
  <c r="C488" i="37"/>
  <c r="B488" i="37"/>
  <c r="J488" i="37"/>
  <c r="I488" i="37"/>
  <c r="H488" i="37"/>
  <c r="G488" i="37"/>
  <c r="D489" i="37"/>
  <c r="C489" i="37"/>
  <c r="B489" i="37"/>
  <c r="M488" i="37"/>
  <c r="I489" i="37"/>
  <c r="H489" i="37"/>
  <c r="G489" i="37"/>
  <c r="F489" i="37"/>
  <c r="E489" i="37"/>
  <c r="B490" i="37"/>
  <c r="M489" i="37"/>
  <c r="J489" i="37"/>
  <c r="G490" i="37"/>
  <c r="F490" i="37"/>
  <c r="E490" i="37"/>
  <c r="D490" i="37"/>
  <c r="C490" i="37"/>
  <c r="J490" i="37"/>
  <c r="I490" i="37"/>
  <c r="H490" i="37"/>
  <c r="E491" i="37"/>
  <c r="D491" i="37"/>
  <c r="C491" i="37"/>
  <c r="B491" i="37"/>
  <c r="M490" i="37"/>
  <c r="J491" i="37"/>
  <c r="I491" i="37"/>
  <c r="H491" i="37"/>
  <c r="G491" i="37"/>
  <c r="F491" i="37"/>
  <c r="C492" i="37"/>
  <c r="B492" i="37"/>
  <c r="M491" i="37"/>
  <c r="H492" i="37"/>
  <c r="G492" i="37"/>
  <c r="F492" i="37"/>
  <c r="E492" i="37"/>
  <c r="D492" i="37"/>
  <c r="M492" i="37"/>
  <c r="J492" i="37"/>
  <c r="I492" i="37"/>
  <c r="F493" i="37"/>
  <c r="E493" i="37"/>
  <c r="D493" i="37"/>
  <c r="C493" i="37"/>
  <c r="B493" i="37"/>
  <c r="J493" i="37"/>
  <c r="I493" i="37"/>
  <c r="H493" i="37"/>
  <c r="G493" i="37"/>
  <c r="D494" i="37"/>
  <c r="C494" i="37"/>
  <c r="B494" i="37"/>
  <c r="M493" i="37"/>
  <c r="I494" i="37"/>
  <c r="H494" i="37"/>
  <c r="G494" i="37"/>
  <c r="F494" i="37"/>
  <c r="E494" i="37"/>
  <c r="B495" i="37"/>
  <c r="M494" i="37"/>
  <c r="J494" i="37"/>
  <c r="G495" i="37"/>
  <c r="F495" i="37"/>
  <c r="E495" i="37"/>
  <c r="D495" i="37"/>
  <c r="C495" i="37"/>
  <c r="J495" i="37"/>
  <c r="I495" i="37"/>
  <c r="H495" i="37"/>
  <c r="E496" i="37"/>
  <c r="D496" i="37"/>
  <c r="C496" i="37"/>
  <c r="B496" i="37"/>
  <c r="M495" i="37"/>
  <c r="J496" i="37"/>
  <c r="I496" i="37"/>
  <c r="H496" i="37"/>
  <c r="G496" i="37"/>
  <c r="F496" i="37"/>
  <c r="C497" i="37"/>
  <c r="B497" i="37"/>
  <c r="M496" i="37"/>
  <c r="H497" i="37"/>
  <c r="G497" i="37"/>
  <c r="F497" i="37"/>
  <c r="E497" i="37"/>
  <c r="D497" i="37"/>
  <c r="M497" i="37"/>
  <c r="J497" i="37"/>
  <c r="I497" i="37"/>
  <c r="F498" i="37"/>
  <c r="E498" i="37"/>
  <c r="D498" i="37"/>
  <c r="C498" i="37"/>
  <c r="B498" i="37"/>
  <c r="J498" i="37"/>
  <c r="I498" i="37"/>
  <c r="H498" i="37"/>
  <c r="G498" i="37"/>
  <c r="D499" i="37"/>
  <c r="C499" i="37"/>
  <c r="B499" i="37"/>
  <c r="M498" i="37"/>
  <c r="I499" i="37"/>
  <c r="H499" i="37"/>
  <c r="G499" i="37"/>
  <c r="F499" i="37"/>
  <c r="E499" i="37"/>
  <c r="B500" i="37"/>
  <c r="M499" i="37"/>
  <c r="J499" i="37"/>
  <c r="G500" i="37"/>
  <c r="F500" i="37"/>
  <c r="E500" i="37"/>
  <c r="D500" i="37"/>
  <c r="C500" i="37"/>
  <c r="J500" i="37"/>
  <c r="I500" i="37"/>
  <c r="H500" i="37"/>
  <c r="E501" i="37"/>
  <c r="D501" i="37"/>
  <c r="C501" i="37"/>
  <c r="B501" i="37"/>
  <c r="M500" i="37"/>
  <c r="J501" i="37"/>
  <c r="I501" i="37"/>
  <c r="H501" i="37"/>
  <c r="G501" i="37"/>
  <c r="F501" i="37"/>
  <c r="C502" i="37"/>
  <c r="B502" i="37"/>
  <c r="M501" i="37"/>
  <c r="H502" i="37"/>
  <c r="G502" i="37"/>
  <c r="F502" i="37"/>
  <c r="E502" i="37"/>
  <c r="D502" i="37"/>
  <c r="M502" i="37"/>
  <c r="J502" i="37"/>
  <c r="I502" i="37"/>
  <c r="F503" i="37"/>
  <c r="E503" i="37"/>
  <c r="D503" i="37"/>
  <c r="C503" i="37"/>
  <c r="B503" i="37"/>
  <c r="J503" i="37"/>
  <c r="I503" i="37"/>
  <c r="H503" i="37"/>
  <c r="G503" i="37"/>
  <c r="D504" i="37"/>
  <c r="C504" i="37"/>
  <c r="B504" i="37"/>
  <c r="M503" i="37"/>
  <c r="I504" i="37"/>
  <c r="H504" i="37"/>
  <c r="G504" i="37"/>
  <c r="F504" i="37"/>
  <c r="E504" i="37"/>
  <c r="B505" i="37"/>
  <c r="M504" i="37"/>
  <c r="J504" i="37"/>
  <c r="G505" i="37"/>
  <c r="F505" i="37"/>
  <c r="E505" i="37"/>
  <c r="D505" i="37"/>
  <c r="C505" i="37"/>
  <c r="J505" i="37"/>
  <c r="I505" i="37"/>
  <c r="H505" i="37"/>
  <c r="E506" i="37"/>
  <c r="D506" i="37"/>
  <c r="C506" i="37"/>
  <c r="B506" i="37"/>
  <c r="M505" i="37"/>
  <c r="J506" i="37"/>
  <c r="I506" i="37"/>
  <c r="H506" i="37"/>
  <c r="G506" i="37"/>
  <c r="F506" i="37"/>
  <c r="C507" i="37"/>
  <c r="B507" i="37"/>
  <c r="M506" i="37"/>
  <c r="H507" i="37"/>
  <c r="G507" i="37"/>
  <c r="F507" i="37"/>
  <c r="E507" i="37"/>
  <c r="D507" i="37"/>
  <c r="M507" i="37"/>
  <c r="J507" i="37"/>
  <c r="I507" i="37"/>
  <c r="F508" i="37"/>
  <c r="E508" i="37"/>
  <c r="D508" i="37"/>
  <c r="C508" i="37"/>
  <c r="B508" i="37"/>
  <c r="J508" i="37"/>
  <c r="I508" i="37"/>
  <c r="H508" i="37"/>
  <c r="G508" i="37"/>
  <c r="D509" i="37"/>
  <c r="C509" i="37"/>
  <c r="B509" i="37"/>
  <c r="M508" i="37"/>
  <c r="I509" i="37"/>
  <c r="H509" i="37"/>
  <c r="G509" i="37"/>
  <c r="F509" i="37"/>
  <c r="E509" i="37"/>
  <c r="B510" i="37"/>
  <c r="M509" i="37"/>
  <c r="J509" i="37"/>
  <c r="G510" i="37"/>
  <c r="F510" i="37"/>
  <c r="E510" i="37"/>
  <c r="D510" i="37"/>
  <c r="C510" i="37"/>
  <c r="J510" i="37"/>
  <c r="I510" i="37"/>
  <c r="H510" i="37"/>
  <c r="E511" i="37"/>
  <c r="D511" i="37"/>
  <c r="C511" i="37"/>
  <c r="B511" i="37"/>
  <c r="M510" i="37"/>
  <c r="J511" i="37"/>
  <c r="I511" i="37"/>
  <c r="H511" i="37"/>
  <c r="G511" i="37"/>
  <c r="F511" i="37"/>
  <c r="C512" i="37"/>
  <c r="B512" i="37"/>
  <c r="M511" i="37"/>
  <c r="H512" i="37"/>
  <c r="G512" i="37"/>
  <c r="F512" i="37"/>
  <c r="E512" i="37"/>
  <c r="D512" i="37"/>
  <c r="M512" i="37"/>
  <c r="J512" i="37"/>
  <c r="I512" i="37"/>
  <c r="F513" i="37"/>
  <c r="E513" i="37"/>
  <c r="D513" i="37"/>
  <c r="C513" i="37"/>
  <c r="B513" i="37"/>
  <c r="J513" i="37"/>
  <c r="I513" i="37"/>
  <c r="H513" i="37"/>
  <c r="G513" i="37"/>
  <c r="D514" i="37"/>
  <c r="C514" i="37"/>
  <c r="B514" i="37"/>
  <c r="M513" i="37"/>
  <c r="I514" i="37"/>
  <c r="H514" i="37"/>
  <c r="G514" i="37"/>
  <c r="F514" i="37"/>
  <c r="E514" i="37"/>
  <c r="B515" i="37"/>
  <c r="M514" i="37"/>
  <c r="J514" i="37"/>
  <c r="G515" i="37"/>
  <c r="F515" i="37"/>
  <c r="E515" i="37"/>
  <c r="D515" i="37"/>
  <c r="C515" i="37"/>
  <c r="J515" i="37"/>
  <c r="I515" i="37"/>
  <c r="H515" i="37"/>
  <c r="E516" i="37"/>
  <c r="D516" i="37"/>
  <c r="C516" i="37"/>
  <c r="B516" i="37"/>
  <c r="M515" i="37"/>
  <c r="J516" i="37"/>
  <c r="I516" i="37"/>
  <c r="H516" i="37"/>
  <c r="G516" i="37"/>
  <c r="F516" i="37"/>
  <c r="M516" i="37"/>
  <c r="F518" i="37"/>
  <c r="E518" i="37"/>
  <c r="D518" i="37"/>
  <c r="C518" i="37"/>
  <c r="B518" i="37"/>
  <c r="J518" i="37"/>
  <c r="I518" i="37"/>
  <c r="H518" i="37"/>
  <c r="G518" i="37"/>
  <c r="D519" i="37"/>
  <c r="C519" i="37"/>
  <c r="B519" i="37"/>
  <c r="M518" i="37"/>
  <c r="I519" i="37"/>
  <c r="H519" i="37"/>
  <c r="G519" i="37"/>
  <c r="F519" i="37"/>
  <c r="E519" i="37"/>
  <c r="B520" i="37"/>
  <c r="M519" i="37"/>
  <c r="J519" i="37"/>
  <c r="G520" i="37"/>
  <c r="F520" i="37"/>
  <c r="E520" i="37"/>
  <c r="D520" i="37"/>
  <c r="C520" i="37"/>
  <c r="J520" i="37"/>
  <c r="I520" i="37"/>
  <c r="H520" i="37"/>
  <c r="E521" i="37"/>
  <c r="D521" i="37"/>
  <c r="C521" i="37"/>
  <c r="B521" i="37"/>
  <c r="M520" i="37"/>
  <c r="J521" i="37"/>
  <c r="I521" i="37"/>
  <c r="H521" i="37"/>
  <c r="G521" i="37"/>
  <c r="F521" i="37"/>
  <c r="C522" i="37"/>
  <c r="B522" i="37"/>
  <c r="M521" i="37"/>
  <c r="H522" i="37"/>
  <c r="G522" i="37"/>
  <c r="F522" i="37"/>
  <c r="E522" i="37"/>
  <c r="D522" i="37"/>
  <c r="M522" i="37"/>
  <c r="J522" i="37"/>
  <c r="I522" i="37"/>
  <c r="F523" i="37"/>
  <c r="E523" i="37"/>
  <c r="D523" i="37"/>
  <c r="C523" i="37"/>
  <c r="B523" i="37"/>
  <c r="J523" i="37"/>
  <c r="I523" i="37"/>
  <c r="H523" i="37"/>
  <c r="G523" i="37"/>
  <c r="D524" i="37"/>
  <c r="C524" i="37"/>
  <c r="B524" i="37"/>
  <c r="M523" i="37"/>
  <c r="I524" i="37"/>
  <c r="H524" i="37"/>
  <c r="G524" i="37"/>
  <c r="F524" i="37"/>
  <c r="E524" i="37"/>
  <c r="B525" i="37"/>
  <c r="M524" i="37"/>
  <c r="J524" i="37"/>
  <c r="G525" i="37"/>
  <c r="F525" i="37"/>
  <c r="E525" i="37"/>
  <c r="D525" i="37"/>
  <c r="C525" i="37"/>
  <c r="J525" i="37"/>
  <c r="I525" i="37"/>
  <c r="H525" i="37"/>
  <c r="E526" i="37"/>
  <c r="D526" i="37"/>
  <c r="C526" i="37"/>
  <c r="B526" i="37"/>
  <c r="M525" i="37"/>
  <c r="J526" i="37"/>
  <c r="I526" i="37"/>
  <c r="H526" i="37"/>
  <c r="G526" i="37"/>
  <c r="F526" i="37"/>
  <c r="C527" i="37"/>
  <c r="B527" i="37"/>
  <c r="M526" i="37"/>
  <c r="H527" i="37"/>
  <c r="G527" i="37"/>
  <c r="F527" i="37"/>
  <c r="E527" i="37"/>
  <c r="D527" i="37"/>
  <c r="M527" i="37"/>
  <c r="J527" i="37"/>
  <c r="I527" i="37"/>
  <c r="F528" i="37"/>
  <c r="E528" i="37"/>
  <c r="D528" i="37"/>
  <c r="C528" i="37"/>
  <c r="B528" i="37"/>
  <c r="J528" i="37"/>
  <c r="I528" i="37"/>
  <c r="H528" i="37"/>
  <c r="G528" i="37"/>
  <c r="D529" i="37"/>
  <c r="C529" i="37"/>
  <c r="B529" i="37"/>
  <c r="M528" i="37"/>
  <c r="I529" i="37"/>
  <c r="H529" i="37"/>
  <c r="G529" i="37"/>
  <c r="F529" i="37"/>
  <c r="E529" i="37"/>
  <c r="B530" i="37"/>
  <c r="M529" i="37"/>
  <c r="J529" i="37"/>
  <c r="G530" i="37"/>
  <c r="F530" i="37"/>
  <c r="E530" i="37"/>
  <c r="D530" i="37"/>
  <c r="C530" i="37"/>
  <c r="J530" i="37"/>
  <c r="I530" i="37"/>
  <c r="H530" i="37"/>
  <c r="E531" i="37"/>
  <c r="D531" i="37"/>
  <c r="C531" i="37"/>
  <c r="B531" i="37"/>
  <c r="M530" i="37"/>
  <c r="J531" i="37"/>
  <c r="I531" i="37"/>
  <c r="H531" i="37"/>
  <c r="G531" i="37"/>
  <c r="F531" i="37"/>
  <c r="C532" i="37"/>
  <c r="B532" i="37"/>
  <c r="M531" i="37"/>
  <c r="H532" i="37"/>
  <c r="G532" i="37"/>
  <c r="F532" i="37"/>
  <c r="E532" i="37"/>
  <c r="D532" i="37"/>
  <c r="M532" i="37"/>
  <c r="J532" i="37"/>
  <c r="I532" i="37"/>
  <c r="F533" i="37"/>
  <c r="E533" i="37"/>
  <c r="D533" i="37"/>
  <c r="C533" i="37"/>
  <c r="B533" i="37"/>
  <c r="J533" i="37"/>
  <c r="I533" i="37"/>
  <c r="H533" i="37"/>
  <c r="G533" i="37"/>
  <c r="D534" i="37"/>
  <c r="C534" i="37"/>
  <c r="B534" i="37"/>
  <c r="M533" i="37"/>
  <c r="I534" i="37"/>
  <c r="H534" i="37"/>
  <c r="G534" i="37"/>
  <c r="F534" i="37"/>
  <c r="E534" i="37"/>
  <c r="B535" i="37"/>
  <c r="M534" i="37"/>
  <c r="J534" i="37"/>
  <c r="G535" i="37"/>
  <c r="F535" i="37"/>
  <c r="E535" i="37"/>
  <c r="D535" i="37"/>
  <c r="C535" i="37"/>
  <c r="J535" i="37"/>
  <c r="I535" i="37"/>
  <c r="H535" i="37"/>
  <c r="E536" i="37"/>
  <c r="D536" i="37"/>
  <c r="C536" i="37"/>
  <c r="B536" i="37"/>
  <c r="M535" i="37"/>
  <c r="J536" i="37"/>
  <c r="I536" i="37"/>
  <c r="H536" i="37"/>
  <c r="G536" i="37"/>
  <c r="F536" i="37"/>
  <c r="M536" i="37"/>
  <c r="E6" i="38"/>
  <c r="F6" i="38"/>
  <c r="G6" i="38"/>
  <c r="L6" i="38"/>
  <c r="M6" i="38"/>
  <c r="N6" i="38"/>
  <c r="O6" i="38"/>
  <c r="Q6" i="38"/>
  <c r="R6" i="38"/>
  <c r="S6" i="38"/>
  <c r="T6" i="38"/>
  <c r="U6" i="38"/>
  <c r="V6" i="38"/>
  <c r="W6" i="38"/>
  <c r="X6" i="38"/>
  <c r="Y6" i="38"/>
  <c r="Z6" i="38"/>
  <c r="AA6" i="38"/>
  <c r="AB6" i="38"/>
  <c r="CH6" i="38"/>
  <c r="CG6" i="38"/>
  <c r="CF6" i="38"/>
  <c r="CE6" i="38"/>
  <c r="CD6" i="38"/>
  <c r="CC6" i="38"/>
  <c r="CB6" i="38"/>
  <c r="CA6" i="38"/>
  <c r="BZ6" i="38"/>
  <c r="BY6" i="38"/>
  <c r="BX6" i="38"/>
  <c r="BW6" i="38"/>
  <c r="BV6" i="38"/>
  <c r="BU6" i="38"/>
  <c r="BT6" i="38"/>
  <c r="BS6" i="38"/>
  <c r="BR6" i="38"/>
  <c r="BP6" i="38"/>
  <c r="BO6" i="38"/>
  <c r="BN6" i="38"/>
  <c r="BM6" i="38"/>
  <c r="BL6" i="38"/>
  <c r="BK6" i="38"/>
  <c r="BJ6" i="38"/>
  <c r="BI6" i="38"/>
  <c r="BH6" i="38"/>
  <c r="BG6" i="38"/>
  <c r="BF6" i="38"/>
  <c r="BE6" i="38"/>
  <c r="BD6" i="38"/>
  <c r="BC6" i="38"/>
  <c r="BB6" i="38"/>
  <c r="BA6" i="38"/>
  <c r="AZ6" i="38"/>
  <c r="AY6" i="38"/>
  <c r="AX6" i="38"/>
  <c r="AW6" i="38"/>
  <c r="AV6" i="38"/>
  <c r="AU6" i="38"/>
  <c r="AT6" i="38"/>
  <c r="AS6" i="38"/>
  <c r="AR6" i="38"/>
  <c r="AQ6" i="38"/>
  <c r="AP6" i="38"/>
  <c r="AO6" i="38"/>
  <c r="AN6" i="38"/>
  <c r="AM6" i="38"/>
  <c r="AL6" i="38"/>
  <c r="AK6" i="38"/>
  <c r="AJ6" i="38"/>
  <c r="AI6" i="38"/>
  <c r="AH6" i="38"/>
  <c r="AG6" i="38"/>
  <c r="AD6" i="38"/>
  <c r="AC6" i="38"/>
  <c r="J6" i="38"/>
  <c r="D6" i="38"/>
  <c r="C6" i="38"/>
  <c r="B6" i="38"/>
  <c r="E5" i="38"/>
  <c r="F5" i="38"/>
  <c r="G5" i="38"/>
  <c r="L5" i="38"/>
  <c r="M5" i="38"/>
  <c r="N5" i="38"/>
  <c r="O5" i="38"/>
  <c r="Q5" i="38"/>
  <c r="R5" i="38"/>
  <c r="S5" i="38"/>
  <c r="T5" i="38"/>
  <c r="U5" i="38"/>
  <c r="V5" i="38"/>
  <c r="W5" i="38"/>
  <c r="X5" i="38"/>
  <c r="Y5" i="38"/>
  <c r="Z5" i="38"/>
  <c r="AA5" i="38"/>
  <c r="AB5" i="38"/>
  <c r="CH5" i="38"/>
  <c r="CG5" i="38"/>
  <c r="CF5" i="38"/>
  <c r="CE5" i="38"/>
  <c r="CD5" i="38"/>
  <c r="CC5" i="38"/>
  <c r="CB5" i="38"/>
  <c r="CA5" i="38"/>
  <c r="BZ5" i="38"/>
  <c r="BY5" i="38"/>
  <c r="BX5" i="38"/>
  <c r="BW5" i="38"/>
  <c r="BV5" i="38"/>
  <c r="BU5" i="38"/>
  <c r="BT5" i="38"/>
  <c r="BS5" i="38"/>
  <c r="BR5" i="38"/>
  <c r="BP5" i="38"/>
  <c r="BO5" i="38"/>
  <c r="BN5" i="38"/>
  <c r="BM5" i="38"/>
  <c r="BL5" i="38"/>
  <c r="BK5" i="38"/>
  <c r="BJ5" i="38"/>
  <c r="BI5" i="38"/>
  <c r="BH5" i="38"/>
  <c r="BG5" i="38"/>
  <c r="BF5" i="38"/>
  <c r="BE5" i="38"/>
  <c r="BD5" i="38"/>
  <c r="BC5" i="38"/>
  <c r="BB5" i="38"/>
  <c r="BA5" i="38"/>
  <c r="AZ5" i="38"/>
  <c r="AY5" i="38"/>
  <c r="AX5" i="38"/>
  <c r="AW5" i="38"/>
  <c r="AV5" i="38"/>
  <c r="AU5" i="38"/>
  <c r="AT5" i="38"/>
  <c r="AS5" i="38"/>
  <c r="AR5" i="38"/>
  <c r="AQ5" i="38"/>
  <c r="AP5" i="38"/>
  <c r="AO5" i="38"/>
  <c r="AN5" i="38"/>
  <c r="AM5" i="38"/>
  <c r="AL5" i="38"/>
  <c r="AK5" i="38"/>
  <c r="AJ5" i="38"/>
  <c r="AI5" i="38"/>
  <c r="AH5" i="38"/>
  <c r="AG5" i="38"/>
  <c r="AD5" i="38"/>
  <c r="AC5" i="38"/>
  <c r="J5" i="38"/>
  <c r="D5" i="38"/>
  <c r="C5" i="38"/>
  <c r="B5" i="38"/>
  <c r="E4" i="38"/>
  <c r="F4" i="38"/>
  <c r="G4" i="38"/>
  <c r="L4" i="38"/>
  <c r="M4" i="38"/>
  <c r="N4" i="38"/>
  <c r="O4" i="38"/>
  <c r="Q4" i="38"/>
  <c r="R4" i="38"/>
  <c r="S4" i="38"/>
  <c r="T4" i="38"/>
  <c r="U4" i="38"/>
  <c r="V4" i="38"/>
  <c r="W4" i="38"/>
  <c r="X4" i="38"/>
  <c r="Y4" i="38"/>
  <c r="Z4" i="38"/>
  <c r="AA4" i="38"/>
  <c r="AB4" i="38"/>
  <c r="CH4" i="38"/>
  <c r="CG4" i="38"/>
  <c r="CF4" i="38"/>
  <c r="CE4" i="38"/>
  <c r="CD4" i="38"/>
  <c r="CC4" i="38"/>
  <c r="CB4" i="38"/>
  <c r="CA4" i="38"/>
  <c r="BZ4" i="38"/>
  <c r="BY4" i="38"/>
  <c r="BX4" i="38"/>
  <c r="BW4" i="38"/>
  <c r="BV4" i="38"/>
  <c r="BU4" i="38"/>
  <c r="BT4" i="38"/>
  <c r="BS4" i="38"/>
  <c r="BR4" i="38"/>
  <c r="BP4" i="38"/>
  <c r="BO4" i="38"/>
  <c r="BN4" i="38"/>
  <c r="BM4" i="38"/>
  <c r="BL4" i="38"/>
  <c r="BK4" i="38"/>
  <c r="BJ4" i="38"/>
  <c r="BI4" i="38"/>
  <c r="BH4" i="38"/>
  <c r="BG4" i="38"/>
  <c r="BF4" i="38"/>
  <c r="BE4" i="38"/>
  <c r="BD4" i="38"/>
  <c r="BC4" i="38"/>
  <c r="BB4" i="38"/>
  <c r="BA4" i="38"/>
  <c r="AZ4" i="38"/>
  <c r="AY4" i="38"/>
  <c r="AX4" i="38"/>
  <c r="AW4" i="38"/>
  <c r="AV4" i="38"/>
  <c r="AU4" i="38"/>
  <c r="AT4" i="38"/>
  <c r="AS4" i="38"/>
  <c r="AR4" i="38"/>
  <c r="AQ4" i="38"/>
  <c r="AP4" i="38"/>
  <c r="AO4" i="38"/>
  <c r="AN4" i="38"/>
  <c r="AM4" i="38"/>
  <c r="AL4" i="38"/>
  <c r="AK4" i="38"/>
  <c r="AJ4" i="38"/>
  <c r="AI4" i="38"/>
  <c r="AH4" i="38"/>
  <c r="AG4" i="38"/>
  <c r="AD4" i="38"/>
  <c r="AC4" i="38"/>
  <c r="J4" i="38"/>
  <c r="D4" i="38"/>
  <c r="C4" i="38"/>
  <c r="B4" i="38"/>
  <c r="E3" i="38"/>
  <c r="F3" i="38"/>
  <c r="G3" i="38"/>
  <c r="L3" i="38"/>
  <c r="M3" i="38"/>
  <c r="N3" i="38"/>
  <c r="O3" i="38"/>
  <c r="Q3" i="38"/>
  <c r="R3" i="38"/>
  <c r="S3" i="38"/>
  <c r="T3" i="38"/>
  <c r="U3" i="38"/>
  <c r="V3" i="38"/>
  <c r="W3" i="38"/>
  <c r="X3" i="38"/>
  <c r="Y3" i="38"/>
  <c r="Z3" i="38"/>
  <c r="AA3" i="38"/>
  <c r="AB3" i="38"/>
  <c r="CH3" i="38"/>
  <c r="CG3" i="38"/>
  <c r="CF3" i="38"/>
  <c r="CE3" i="38"/>
  <c r="CD3" i="38"/>
  <c r="CC3" i="38"/>
  <c r="CB3" i="38"/>
  <c r="CA3" i="38"/>
  <c r="BZ3" i="38"/>
  <c r="BY3" i="38"/>
  <c r="BX3" i="38"/>
  <c r="BW3" i="38"/>
  <c r="BV3" i="38"/>
  <c r="BU3" i="38"/>
  <c r="BT3" i="38"/>
  <c r="BS3" i="38"/>
  <c r="BR3" i="38"/>
  <c r="BP3" i="38"/>
  <c r="BO3" i="38"/>
  <c r="BN3" i="38"/>
  <c r="BM3" i="38"/>
  <c r="BL3" i="38"/>
  <c r="BK3" i="38"/>
  <c r="BJ3" i="38"/>
  <c r="BI3" i="38"/>
  <c r="BH3" i="38"/>
  <c r="BG3" i="38"/>
  <c r="BF3" i="38"/>
  <c r="BE3" i="38"/>
  <c r="BD3" i="38"/>
  <c r="BC3" i="38"/>
  <c r="BB3" i="38"/>
  <c r="BA3" i="38"/>
  <c r="AZ3" i="38"/>
  <c r="AY3" i="38"/>
  <c r="AX3" i="38"/>
  <c r="AW3" i="38"/>
  <c r="AV3" i="38"/>
  <c r="AU3" i="38"/>
  <c r="AT3" i="38"/>
  <c r="AS3" i="38"/>
  <c r="AR3" i="38"/>
  <c r="AQ3" i="38"/>
  <c r="AP3" i="38"/>
  <c r="AO3" i="38"/>
  <c r="AN3" i="38"/>
  <c r="AM3" i="38"/>
  <c r="AL3" i="38"/>
  <c r="AK3" i="38"/>
  <c r="AJ3" i="38"/>
  <c r="AI3" i="38"/>
  <c r="AH3" i="38"/>
  <c r="AG3" i="38"/>
  <c r="AD3" i="38"/>
  <c r="AC3" i="38"/>
  <c r="J3" i="38"/>
  <c r="D3" i="38"/>
  <c r="C3" i="38"/>
  <c r="B3" i="38"/>
  <c r="E2" i="38"/>
  <c r="F2" i="38"/>
  <c r="G2" i="38"/>
  <c r="L2" i="38"/>
  <c r="M2" i="38"/>
  <c r="N2" i="38"/>
  <c r="O2" i="38"/>
  <c r="Q2" i="38"/>
  <c r="R2" i="38"/>
  <c r="S2" i="38"/>
  <c r="T2" i="38"/>
  <c r="U2" i="38"/>
  <c r="V2" i="38"/>
  <c r="W2" i="38"/>
  <c r="X2" i="38"/>
  <c r="Y2" i="38"/>
  <c r="Z2" i="38"/>
  <c r="AA2" i="38"/>
  <c r="AB2" i="38"/>
  <c r="CH2" i="38"/>
  <c r="CG2" i="38"/>
  <c r="CF2" i="38"/>
  <c r="CE2" i="38"/>
  <c r="CD2" i="38"/>
  <c r="CC2" i="38"/>
  <c r="CB2" i="38"/>
  <c r="CA2" i="38"/>
  <c r="BZ2" i="38"/>
  <c r="BY2" i="38"/>
  <c r="BX2" i="38"/>
  <c r="BW2" i="38"/>
  <c r="BV2" i="38"/>
  <c r="BU2" i="38"/>
  <c r="BT2" i="38"/>
  <c r="BS2" i="38"/>
  <c r="BR2" i="38"/>
  <c r="BP2" i="38"/>
  <c r="BO2" i="38"/>
  <c r="BN2" i="38"/>
  <c r="BM2" i="38"/>
  <c r="BL2" i="38"/>
  <c r="BK2" i="38"/>
  <c r="BJ2" i="38"/>
  <c r="BI2" i="38"/>
  <c r="BH2" i="38"/>
  <c r="BG2" i="38"/>
  <c r="BF2" i="38"/>
  <c r="BE2" i="38"/>
  <c r="BD2" i="38"/>
  <c r="BC2" i="38"/>
  <c r="BB2" i="38"/>
  <c r="BA2" i="38"/>
  <c r="AZ2" i="38"/>
  <c r="AY2" i="38"/>
  <c r="AX2" i="38"/>
  <c r="AW2" i="38"/>
  <c r="AV2" i="38"/>
  <c r="AU2" i="38"/>
  <c r="AT2" i="38"/>
  <c r="AS2" i="38"/>
  <c r="AR2" i="38"/>
  <c r="AQ2" i="38"/>
  <c r="AP2" i="38"/>
  <c r="AO2" i="38"/>
  <c r="AN2" i="38"/>
  <c r="AM2" i="38"/>
  <c r="AL2" i="38"/>
  <c r="AJ2" i="38"/>
  <c r="AI2" i="38"/>
  <c r="AH2" i="38"/>
  <c r="AD2" i="38"/>
  <c r="J2" i="38"/>
  <c r="D2" i="38"/>
  <c r="C2" i="38"/>
  <c r="B2" i="38"/>
  <c r="E9" i="38"/>
  <c r="F9" i="38"/>
  <c r="G9" i="38"/>
  <c r="L9" i="38"/>
  <c r="M9" i="38"/>
  <c r="N9" i="38"/>
  <c r="O9" i="38"/>
  <c r="Q9" i="38"/>
  <c r="R9" i="38"/>
  <c r="S9" i="38"/>
  <c r="T9" i="38"/>
  <c r="U9" i="38"/>
  <c r="V9" i="38"/>
  <c r="W9" i="38"/>
  <c r="X9" i="38"/>
  <c r="Y9" i="38"/>
  <c r="Z9" i="38"/>
  <c r="AA9" i="38"/>
  <c r="AB9" i="38"/>
  <c r="CH9" i="38"/>
  <c r="CG9" i="38"/>
  <c r="CF9" i="38"/>
  <c r="CE9" i="38"/>
  <c r="CD9" i="38"/>
  <c r="CC9" i="38"/>
  <c r="CB9" i="38"/>
  <c r="CA9" i="38"/>
  <c r="BZ9" i="38"/>
  <c r="BY9" i="38"/>
  <c r="BX9" i="38"/>
  <c r="BW9" i="38"/>
  <c r="BV9" i="38"/>
  <c r="BU9" i="38"/>
  <c r="BT9" i="38"/>
  <c r="BS9" i="38"/>
  <c r="BR9" i="38"/>
  <c r="BP9" i="38"/>
  <c r="BO9" i="38"/>
  <c r="BN9" i="38"/>
  <c r="BM9" i="38"/>
  <c r="BL9" i="38"/>
  <c r="BK9" i="38"/>
  <c r="BJ9" i="38"/>
  <c r="BI9" i="38"/>
  <c r="BH9" i="38"/>
  <c r="BG9" i="38"/>
  <c r="BF9" i="38"/>
  <c r="BE9" i="38"/>
  <c r="BD9" i="38"/>
  <c r="BC9" i="38"/>
  <c r="BB9" i="38"/>
  <c r="BA9" i="38"/>
  <c r="AZ9" i="38"/>
  <c r="AY9" i="38"/>
  <c r="AX9" i="38"/>
  <c r="AW9" i="38"/>
  <c r="AV9" i="38"/>
  <c r="AU9" i="38"/>
  <c r="AT9" i="38"/>
  <c r="AS9" i="38"/>
  <c r="AR9" i="38"/>
  <c r="AQ9" i="38"/>
  <c r="AP9" i="38"/>
  <c r="AO9" i="38"/>
  <c r="AN9" i="38"/>
  <c r="AM9" i="38"/>
  <c r="AL9" i="38"/>
  <c r="AK9" i="38"/>
  <c r="AJ9" i="38"/>
  <c r="AI9" i="38"/>
  <c r="AH9" i="38"/>
  <c r="AG9" i="38"/>
  <c r="AD9" i="38"/>
  <c r="AC9" i="38"/>
  <c r="J9" i="38"/>
  <c r="D9" i="38"/>
  <c r="C9" i="38"/>
  <c r="B9" i="38"/>
  <c r="E8" i="38"/>
  <c r="F8" i="38"/>
  <c r="G8" i="38"/>
  <c r="L8" i="38"/>
  <c r="M8" i="38"/>
  <c r="N8" i="38"/>
  <c r="O8" i="38"/>
  <c r="Q8" i="38"/>
  <c r="R8" i="38"/>
  <c r="S8" i="38"/>
  <c r="T8" i="38"/>
  <c r="U8" i="38"/>
  <c r="V8" i="38"/>
  <c r="W8" i="38"/>
  <c r="X8" i="38"/>
  <c r="Y8" i="38"/>
  <c r="Z8" i="38"/>
  <c r="AA8" i="38"/>
  <c r="AB8" i="38"/>
  <c r="CH8" i="38"/>
  <c r="CG8" i="38"/>
  <c r="CF8" i="38"/>
  <c r="CE8" i="38"/>
  <c r="CD8" i="38"/>
  <c r="CC8" i="38"/>
  <c r="CB8" i="38"/>
  <c r="CA8" i="38"/>
  <c r="BZ8" i="38"/>
  <c r="BY8" i="38"/>
  <c r="BX8" i="38"/>
  <c r="BW8" i="38"/>
  <c r="BV8" i="38"/>
  <c r="BU8" i="38"/>
  <c r="BT8" i="38"/>
  <c r="BS8" i="38"/>
  <c r="BR8" i="38"/>
  <c r="BP8" i="38"/>
  <c r="BO8" i="38"/>
  <c r="BN8" i="38"/>
  <c r="BM8" i="38"/>
  <c r="BL8" i="38"/>
  <c r="BK8" i="38"/>
  <c r="BJ8" i="38"/>
  <c r="BI8" i="38"/>
  <c r="BH8" i="38"/>
  <c r="BG8" i="38"/>
  <c r="BF8" i="38"/>
  <c r="BE8" i="38"/>
  <c r="BD8" i="38"/>
  <c r="BC8" i="38"/>
  <c r="BB8" i="38"/>
  <c r="BA8" i="38"/>
  <c r="AZ8" i="38"/>
  <c r="AY8" i="38"/>
  <c r="AX8" i="38"/>
  <c r="AW8" i="38"/>
  <c r="AV8" i="38"/>
  <c r="AU8" i="38"/>
  <c r="AT8" i="38"/>
  <c r="AS8" i="38"/>
  <c r="AR8" i="38"/>
  <c r="AQ8" i="38"/>
  <c r="AP8" i="38"/>
  <c r="AO8" i="38"/>
  <c r="AN8" i="38"/>
  <c r="AM8" i="38"/>
  <c r="AL8" i="38"/>
  <c r="AK8" i="38"/>
  <c r="AJ8" i="38"/>
  <c r="AI8" i="38"/>
  <c r="AH8" i="38"/>
  <c r="AG8" i="38"/>
  <c r="AD8" i="38"/>
  <c r="AC8" i="38"/>
  <c r="J8" i="38"/>
  <c r="D8" i="38"/>
  <c r="C8" i="38"/>
  <c r="B8" i="38"/>
  <c r="E7" i="38"/>
  <c r="F7" i="38"/>
  <c r="G7" i="38"/>
  <c r="L7" i="38"/>
  <c r="M7" i="38"/>
  <c r="N7" i="38"/>
  <c r="O7" i="38"/>
  <c r="Q7" i="38"/>
  <c r="R7" i="38"/>
  <c r="S7" i="38"/>
  <c r="T7" i="38"/>
  <c r="U7" i="38"/>
  <c r="V7" i="38"/>
  <c r="W7" i="38"/>
  <c r="X7" i="38"/>
  <c r="Y7" i="38"/>
  <c r="Z7" i="38"/>
  <c r="AA7" i="38"/>
  <c r="AB7" i="38"/>
  <c r="CH7" i="38"/>
  <c r="CG7" i="38"/>
  <c r="CF7" i="38"/>
  <c r="CE7" i="38"/>
  <c r="CD7" i="38"/>
  <c r="CC7" i="38"/>
  <c r="CB7" i="38"/>
  <c r="CA7" i="38"/>
  <c r="BZ7" i="38"/>
  <c r="BY7" i="38"/>
  <c r="BX7" i="38"/>
  <c r="BW7" i="38"/>
  <c r="BV7" i="38"/>
  <c r="BU7" i="38"/>
  <c r="BT7" i="38"/>
  <c r="BS7" i="38"/>
  <c r="BR7" i="38"/>
  <c r="BP7" i="38"/>
  <c r="BO7" i="38"/>
  <c r="BN7" i="38"/>
  <c r="BM7" i="38"/>
  <c r="BL7" i="38"/>
  <c r="BK7" i="38"/>
  <c r="BJ7" i="38"/>
  <c r="BI7" i="38"/>
  <c r="BH7" i="38"/>
  <c r="BG7" i="38"/>
  <c r="BF7" i="38"/>
  <c r="BE7" i="38"/>
  <c r="BD7" i="38"/>
  <c r="BC7" i="38"/>
  <c r="BB7" i="38"/>
  <c r="BA7" i="38"/>
  <c r="AZ7" i="38"/>
  <c r="AY7" i="38"/>
  <c r="AX7" i="38"/>
  <c r="AW7" i="38"/>
  <c r="AV7" i="38"/>
  <c r="AU7" i="38"/>
  <c r="AT7" i="38"/>
  <c r="AS7" i="38"/>
  <c r="AR7" i="38"/>
  <c r="AQ7" i="38"/>
  <c r="AP7" i="38"/>
  <c r="AO7" i="38"/>
  <c r="AN7" i="38"/>
  <c r="AM7" i="38"/>
  <c r="AL7" i="38"/>
  <c r="AK7" i="38"/>
  <c r="AJ7" i="38"/>
  <c r="AI7" i="38"/>
  <c r="AH7" i="38"/>
  <c r="AG7" i="38"/>
  <c r="AD7" i="38"/>
  <c r="AC7" i="38"/>
  <c r="J7" i="38"/>
  <c r="D7" i="38"/>
  <c r="C7" i="38"/>
  <c r="B7" i="38"/>
  <c r="F478" i="37"/>
  <c r="F477" i="37"/>
  <c r="F476" i="37"/>
  <c r="F475" i="37"/>
  <c r="F474" i="37"/>
  <c r="F473" i="37"/>
  <c r="E478" i="37"/>
  <c r="E477" i="37"/>
  <c r="E476" i="37"/>
  <c r="E475" i="37"/>
  <c r="E474" i="37"/>
  <c r="E473" i="37"/>
  <c r="D478" i="37"/>
  <c r="D477" i="37"/>
  <c r="D476" i="37"/>
  <c r="D475" i="37"/>
  <c r="D474" i="37"/>
  <c r="D473" i="37"/>
  <c r="C478" i="37"/>
  <c r="C477" i="37"/>
  <c r="C476" i="37"/>
  <c r="C475" i="37"/>
  <c r="C474" i="37"/>
  <c r="C473" i="37"/>
  <c r="B478" i="37"/>
  <c r="B477" i="37"/>
  <c r="B476" i="37"/>
  <c r="B475" i="37"/>
  <c r="B474" i="37"/>
  <c r="B473" i="37"/>
  <c r="J478" i="37"/>
  <c r="J477" i="37"/>
  <c r="J476" i="37"/>
  <c r="J475" i="37"/>
  <c r="J474" i="37"/>
  <c r="J473" i="37"/>
  <c r="I478" i="37"/>
  <c r="I477" i="37"/>
  <c r="I476" i="37"/>
  <c r="I475" i="37"/>
  <c r="I474" i="37"/>
  <c r="I473" i="37"/>
  <c r="H478" i="37"/>
  <c r="H477" i="37"/>
  <c r="H476" i="37"/>
  <c r="H475" i="37"/>
  <c r="H474" i="37"/>
  <c r="H473" i="37"/>
  <c r="G478" i="37"/>
  <c r="G477" i="37"/>
  <c r="G476" i="37"/>
  <c r="G475" i="37"/>
  <c r="G474" i="37"/>
  <c r="G473" i="37"/>
  <c r="M478" i="37"/>
  <c r="M477" i="37"/>
  <c r="M476" i="37"/>
  <c r="M475" i="37"/>
  <c r="M474" i="37"/>
  <c r="M473" i="37"/>
  <c r="AK2" i="38"/>
  <c r="AG2" i="38"/>
  <c r="AC2" i="38"/>
  <c r="K7" i="38" l="1"/>
  <c r="P7" i="38" s="1"/>
  <c r="BQ7" i="38"/>
  <c r="I7" i="38"/>
  <c r="H7" i="38"/>
  <c r="K8" i="38"/>
  <c r="P8" i="38" s="1"/>
  <c r="BQ8" i="38"/>
  <c r="H8" i="38"/>
  <c r="I8" i="38"/>
  <c r="K9" i="38"/>
  <c r="P9" i="38" s="1"/>
  <c r="BQ9" i="38"/>
  <c r="H9" i="38"/>
  <c r="I9" i="38"/>
  <c r="K2" i="38"/>
  <c r="P2" i="38" s="1"/>
  <c r="BQ2" i="38"/>
  <c r="H2" i="38"/>
  <c r="I2" i="38"/>
  <c r="K3" i="38"/>
  <c r="P3" i="38" s="1"/>
  <c r="BQ3" i="38"/>
  <c r="H3" i="38"/>
  <c r="I3" i="38"/>
  <c r="K4" i="38"/>
  <c r="P4" i="38" s="1"/>
  <c r="BQ4" i="38"/>
  <c r="H4" i="38"/>
  <c r="I4" i="38"/>
  <c r="K5" i="38"/>
  <c r="P5" i="38" s="1"/>
  <c r="BQ5" i="38"/>
  <c r="H5" i="38"/>
  <c r="I5" i="38"/>
  <c r="K6" i="38"/>
  <c r="P6" i="38" s="1"/>
  <c r="BQ6" i="38"/>
  <c r="H6" i="38"/>
  <c r="I6" i="38"/>
  <c r="M2" i="40"/>
  <c r="G1" i="37"/>
  <c r="G2" i="40"/>
  <c r="G1" i="40" s="1"/>
  <c r="H1" i="37"/>
  <c r="H2" i="40"/>
  <c r="H1" i="40" s="1"/>
  <c r="I1" i="37"/>
  <c r="I2" i="40"/>
  <c r="I1" i="40" s="1"/>
  <c r="J2" i="40"/>
  <c r="J1" i="40" s="1"/>
  <c r="J1" i="37"/>
  <c r="B2" i="40"/>
  <c r="B1" i="40" s="1"/>
  <c r="B1" i="37"/>
  <c r="C1" i="37"/>
  <c r="C2" i="40"/>
  <c r="C1" i="40" s="1"/>
  <c r="D2" i="40"/>
  <c r="D1" i="40" s="1"/>
  <c r="D1" i="37"/>
  <c r="E2" i="40"/>
  <c r="E1" i="40" s="1"/>
  <c r="E1" i="37"/>
  <c r="F1" i="37"/>
  <c r="F2" i="40"/>
  <c r="F1" i="40" s="1"/>
  <c r="K10" i="38"/>
  <c r="P10" i="38" s="1"/>
  <c r="BQ10" i="38"/>
  <c r="H10" i="38"/>
  <c r="I10" i="38"/>
  <c r="I121" i="40"/>
  <c r="J121" i="40"/>
  <c r="M121" i="40"/>
  <c r="D121" i="40"/>
  <c r="E121" i="40"/>
  <c r="F121" i="40"/>
  <c r="G121" i="40"/>
  <c r="H121" i="40"/>
  <c r="M120" i="40"/>
  <c r="B121" i="40"/>
  <c r="C121" i="40"/>
  <c r="F120" i="40"/>
  <c r="G120" i="40"/>
  <c r="H120" i="40"/>
  <c r="I120" i="40"/>
  <c r="J120" i="40"/>
  <c r="M119" i="40"/>
  <c r="B120" i="40"/>
  <c r="C120" i="40"/>
  <c r="D120" i="40"/>
  <c r="E120" i="40"/>
  <c r="H119" i="40"/>
  <c r="I119" i="40"/>
  <c r="J119" i="40"/>
  <c r="C119" i="40"/>
  <c r="D119" i="40"/>
  <c r="E119" i="40"/>
  <c r="F119" i="40"/>
  <c r="G119" i="40"/>
  <c r="J118" i="40"/>
  <c r="M118" i="40"/>
  <c r="B119" i="40"/>
  <c r="E118" i="40"/>
  <c r="F118" i="40"/>
  <c r="G118" i="40"/>
  <c r="H118" i="40"/>
  <c r="I118" i="40"/>
  <c r="M117" i="40"/>
  <c r="B118" i="40"/>
  <c r="C118" i="40"/>
  <c r="D118" i="40"/>
  <c r="G117" i="40"/>
  <c r="H117" i="40"/>
  <c r="I117" i="40"/>
  <c r="J117" i="40"/>
  <c r="B117" i="40"/>
  <c r="C117" i="40"/>
  <c r="D117" i="40"/>
  <c r="E117" i="40"/>
  <c r="F117" i="40"/>
  <c r="I116" i="40"/>
  <c r="J116" i="40"/>
  <c r="M116" i="40"/>
  <c r="D116" i="40"/>
  <c r="E116" i="40"/>
  <c r="F116" i="40"/>
  <c r="G116" i="40"/>
  <c r="H116" i="40"/>
  <c r="M115" i="40"/>
  <c r="B116" i="40"/>
  <c r="C116" i="40"/>
  <c r="F115" i="40"/>
  <c r="G115" i="40"/>
  <c r="H115" i="40"/>
  <c r="I115" i="40"/>
  <c r="J115" i="40"/>
  <c r="M114" i="40"/>
  <c r="B115" i="40"/>
  <c r="C115" i="40"/>
  <c r="D115" i="40"/>
  <c r="E115" i="40"/>
  <c r="H114" i="40"/>
  <c r="I114" i="40"/>
  <c r="J114" i="40"/>
  <c r="C114" i="40"/>
  <c r="D114" i="40"/>
  <c r="E114" i="40"/>
  <c r="F114" i="40"/>
  <c r="G114" i="40"/>
  <c r="J113" i="40"/>
  <c r="M113" i="40"/>
  <c r="B114" i="40"/>
  <c r="E113" i="40"/>
  <c r="F113" i="40"/>
  <c r="G113" i="40"/>
  <c r="H113" i="40"/>
  <c r="I113" i="40"/>
  <c r="M112" i="40"/>
  <c r="B113" i="40"/>
  <c r="C113" i="40"/>
  <c r="D113" i="40"/>
  <c r="G112" i="40"/>
  <c r="H112" i="40"/>
  <c r="I112" i="40"/>
  <c r="J112" i="40"/>
  <c r="B112" i="40"/>
  <c r="C112" i="40"/>
  <c r="D112" i="40"/>
  <c r="E112" i="40"/>
  <c r="F112" i="40"/>
  <c r="I111" i="40"/>
  <c r="J111" i="40"/>
  <c r="M111" i="40"/>
  <c r="D111" i="40"/>
  <c r="E111" i="40"/>
  <c r="F111" i="40"/>
  <c r="G111" i="40"/>
  <c r="H111" i="40"/>
  <c r="M110" i="40"/>
  <c r="B111" i="40"/>
  <c r="C111" i="40"/>
  <c r="F110" i="40"/>
  <c r="G110" i="40"/>
  <c r="H110" i="40"/>
  <c r="I110" i="40"/>
  <c r="J110" i="40"/>
  <c r="M109" i="40"/>
  <c r="B110" i="40"/>
  <c r="C110" i="40"/>
  <c r="D110" i="40"/>
  <c r="E110" i="40"/>
  <c r="H109" i="40"/>
  <c r="I109" i="40"/>
  <c r="J109" i="40"/>
  <c r="C109" i="40"/>
  <c r="D109" i="40"/>
  <c r="E109" i="40"/>
  <c r="F109" i="40"/>
  <c r="G109" i="40"/>
  <c r="J108" i="40"/>
  <c r="M108" i="40"/>
  <c r="B109" i="40"/>
  <c r="E108" i="40"/>
  <c r="F108" i="40"/>
  <c r="G108" i="40"/>
  <c r="H108" i="40"/>
  <c r="I108" i="40"/>
  <c r="M107" i="40"/>
  <c r="B108" i="40"/>
  <c r="C108" i="40"/>
  <c r="D108" i="40"/>
  <c r="G107" i="40"/>
  <c r="H107" i="40"/>
  <c r="I107" i="40"/>
  <c r="J107" i="40"/>
  <c r="B107" i="40"/>
  <c r="C107" i="40"/>
  <c r="D107" i="40"/>
  <c r="E107" i="40"/>
  <c r="F107" i="40"/>
  <c r="I106" i="40"/>
  <c r="J106" i="40"/>
  <c r="M106" i="40"/>
  <c r="D106" i="40"/>
  <c r="E106" i="40"/>
  <c r="F106" i="40"/>
  <c r="G106" i="40"/>
  <c r="H106" i="40"/>
  <c r="M105" i="40"/>
  <c r="B106" i="40"/>
  <c r="C106" i="40"/>
  <c r="F105" i="40"/>
  <c r="G105" i="40"/>
  <c r="H105" i="40"/>
  <c r="I105" i="40"/>
  <c r="J105" i="40"/>
  <c r="M104" i="40"/>
  <c r="B105" i="40"/>
  <c r="C105" i="40"/>
  <c r="D105" i="40"/>
  <c r="E105" i="40"/>
  <c r="H104" i="40"/>
  <c r="I104" i="40"/>
  <c r="J104" i="40"/>
  <c r="C104" i="40"/>
  <c r="D104" i="40"/>
  <c r="E104" i="40"/>
  <c r="F104" i="40"/>
  <c r="G104" i="40"/>
  <c r="J103" i="40"/>
  <c r="M103" i="40"/>
  <c r="B104" i="40"/>
  <c r="E103" i="40"/>
  <c r="F103" i="40"/>
  <c r="G103" i="40"/>
  <c r="H103" i="40"/>
  <c r="I103" i="40"/>
  <c r="M102" i="40"/>
  <c r="B103" i="40"/>
  <c r="C103" i="40"/>
  <c r="D103" i="40"/>
  <c r="G102" i="40"/>
  <c r="H102" i="40"/>
  <c r="I102" i="40"/>
  <c r="J102" i="40"/>
  <c r="B102" i="40"/>
  <c r="C102" i="40"/>
  <c r="D102" i="40"/>
  <c r="E102" i="40"/>
  <c r="F102" i="40"/>
  <c r="I101" i="40"/>
  <c r="J101" i="40"/>
  <c r="M101" i="40"/>
  <c r="D101" i="40"/>
  <c r="E101" i="40"/>
  <c r="F101" i="40"/>
  <c r="G101" i="40"/>
  <c r="H101" i="40"/>
  <c r="M100" i="40"/>
  <c r="B101" i="40"/>
  <c r="C101" i="40"/>
  <c r="F100" i="40"/>
  <c r="G100" i="40"/>
  <c r="H100" i="40"/>
  <c r="I100" i="40"/>
  <c r="J100" i="40"/>
  <c r="M99" i="40"/>
  <c r="B100" i="40"/>
  <c r="C100" i="40"/>
  <c r="D100" i="40"/>
  <c r="E100" i="40"/>
  <c r="H99" i="40"/>
  <c r="I99" i="40"/>
  <c r="J99" i="40"/>
  <c r="C99" i="40"/>
  <c r="D99" i="40"/>
  <c r="E99" i="40"/>
  <c r="F99" i="40"/>
  <c r="G99" i="40"/>
  <c r="J98" i="40"/>
  <c r="M98" i="40"/>
  <c r="B99" i="40"/>
  <c r="E98" i="40"/>
  <c r="F98" i="40"/>
  <c r="G98" i="40"/>
  <c r="H98" i="40"/>
  <c r="I98" i="40"/>
  <c r="M97" i="40"/>
  <c r="B98" i="40"/>
  <c r="C98" i="40"/>
  <c r="D98" i="40"/>
  <c r="G97" i="40"/>
  <c r="H97" i="40"/>
  <c r="I97" i="40"/>
  <c r="J97" i="40"/>
  <c r="B97" i="40"/>
  <c r="C97" i="40"/>
  <c r="D97" i="40"/>
  <c r="E97" i="40"/>
  <c r="F97" i="40"/>
  <c r="I96" i="40"/>
  <c r="J96" i="40"/>
  <c r="M96" i="40"/>
  <c r="D96" i="40"/>
  <c r="E96" i="40"/>
  <c r="F96" i="40"/>
  <c r="G96" i="40"/>
  <c r="H96" i="40"/>
  <c r="M95" i="40"/>
  <c r="B96" i="40"/>
  <c r="C96" i="40"/>
  <c r="F95" i="40"/>
  <c r="G95" i="40"/>
  <c r="H95" i="40"/>
  <c r="I95" i="40"/>
  <c r="J95" i="40"/>
  <c r="M94" i="40"/>
  <c r="B95" i="40"/>
  <c r="C95" i="40"/>
  <c r="D95" i="40"/>
  <c r="E95" i="40"/>
  <c r="H94" i="40"/>
  <c r="I94" i="40"/>
  <c r="J94" i="40"/>
  <c r="C94" i="40"/>
  <c r="D94" i="40"/>
  <c r="E94" i="40"/>
  <c r="F94" i="40"/>
  <c r="G94" i="40"/>
  <c r="J93" i="40"/>
  <c r="M93" i="40"/>
  <c r="B94" i="40"/>
  <c r="E93" i="40"/>
  <c r="F93" i="40"/>
  <c r="G93" i="40"/>
  <c r="H93" i="40"/>
  <c r="I93" i="40"/>
  <c r="M92" i="40"/>
  <c r="B93" i="40"/>
  <c r="C93" i="40"/>
  <c r="D93" i="40"/>
  <c r="G92" i="40"/>
  <c r="H92" i="40"/>
  <c r="I92" i="40"/>
  <c r="J92" i="40"/>
  <c r="B92" i="40"/>
  <c r="C92" i="40"/>
  <c r="D92" i="40"/>
  <c r="E92" i="40"/>
  <c r="F92" i="40"/>
  <c r="I91" i="40"/>
  <c r="J91" i="40"/>
  <c r="M91" i="40"/>
  <c r="D91" i="40"/>
  <c r="E91" i="40"/>
  <c r="F91" i="40"/>
  <c r="G91" i="40"/>
  <c r="H91" i="40"/>
  <c r="M90" i="40"/>
  <c r="B91" i="40"/>
  <c r="C91" i="40"/>
  <c r="F90" i="40"/>
  <c r="G90" i="40"/>
  <c r="H90" i="40"/>
  <c r="I90" i="40"/>
  <c r="J90" i="40"/>
  <c r="M89" i="40"/>
  <c r="B90" i="40"/>
  <c r="C90" i="40"/>
  <c r="D90" i="40"/>
  <c r="E90" i="40"/>
  <c r="H89" i="40"/>
  <c r="I89" i="40"/>
  <c r="J89" i="40"/>
  <c r="C89" i="40"/>
  <c r="D89" i="40"/>
  <c r="E89" i="40"/>
  <c r="F89" i="40"/>
  <c r="G89" i="40"/>
  <c r="J88" i="40"/>
  <c r="M88" i="40"/>
  <c r="B89" i="40"/>
  <c r="E88" i="40"/>
  <c r="F88" i="40"/>
  <c r="G88" i="40"/>
  <c r="H88" i="40"/>
  <c r="I88" i="40"/>
  <c r="M87" i="40"/>
  <c r="B88" i="40"/>
  <c r="C88" i="40"/>
  <c r="D88" i="40"/>
  <c r="G87" i="40"/>
  <c r="H87" i="40"/>
  <c r="I87" i="40"/>
  <c r="J87" i="40"/>
  <c r="B87" i="40"/>
  <c r="C87" i="40"/>
  <c r="D87" i="40"/>
  <c r="E87" i="40"/>
  <c r="F87" i="40"/>
  <c r="I86" i="40"/>
  <c r="J86" i="40"/>
  <c r="M86" i="40"/>
  <c r="D86" i="40"/>
  <c r="E86" i="40"/>
  <c r="F86" i="40"/>
  <c r="G86" i="40"/>
  <c r="H86" i="40"/>
  <c r="M85" i="40"/>
  <c r="B86" i="40"/>
  <c r="C86" i="40"/>
  <c r="F85" i="40"/>
  <c r="G85" i="40"/>
  <c r="H85" i="40"/>
  <c r="I85" i="40"/>
  <c r="J85" i="40"/>
  <c r="M84" i="40"/>
  <c r="B85" i="40"/>
  <c r="C85" i="40"/>
  <c r="D85" i="40"/>
  <c r="E85" i="40"/>
  <c r="H84" i="40"/>
  <c r="I84" i="40"/>
  <c r="J84" i="40"/>
  <c r="C84" i="40"/>
  <c r="D84" i="40"/>
  <c r="E84" i="40"/>
  <c r="F84" i="40"/>
  <c r="G84" i="40"/>
  <c r="J83" i="40"/>
  <c r="M83" i="40"/>
  <c r="B84" i="40"/>
  <c r="E83" i="40"/>
  <c r="F83" i="40"/>
  <c r="G83" i="40"/>
  <c r="H83" i="40"/>
  <c r="I83" i="40"/>
  <c r="M82" i="40"/>
  <c r="B83" i="40"/>
  <c r="C83" i="40"/>
  <c r="D83" i="40"/>
  <c r="G82" i="40"/>
  <c r="H82" i="40"/>
  <c r="I82" i="40"/>
  <c r="J82" i="40"/>
  <c r="B82" i="40"/>
  <c r="C82" i="40"/>
  <c r="D82" i="40"/>
  <c r="E82" i="40"/>
  <c r="F82" i="40"/>
  <c r="I81" i="40"/>
  <c r="J81" i="40"/>
  <c r="M81" i="40"/>
  <c r="D81" i="40"/>
  <c r="E81" i="40"/>
  <c r="F81" i="40"/>
  <c r="G81" i="40"/>
  <c r="H81" i="40"/>
  <c r="M80" i="40"/>
  <c r="B81" i="40"/>
  <c r="C81" i="40"/>
  <c r="F80" i="40"/>
  <c r="G80" i="40"/>
  <c r="H80" i="40"/>
  <c r="I80" i="40"/>
  <c r="J80" i="40"/>
  <c r="M79" i="40"/>
  <c r="B80" i="40"/>
  <c r="C80" i="40"/>
  <c r="D80" i="40"/>
  <c r="E80" i="40"/>
  <c r="H79" i="40"/>
  <c r="I79" i="40"/>
  <c r="J79" i="40"/>
  <c r="C79" i="40"/>
  <c r="D79" i="40"/>
  <c r="E79" i="40"/>
  <c r="F79" i="40"/>
  <c r="G79" i="40"/>
  <c r="J78" i="40"/>
  <c r="M78" i="40"/>
  <c r="B79" i="40"/>
  <c r="E78" i="40"/>
  <c r="F78" i="40"/>
  <c r="G78" i="40"/>
  <c r="H78" i="40"/>
  <c r="I78" i="40"/>
  <c r="M77" i="40"/>
  <c r="B78" i="40"/>
  <c r="C78" i="40"/>
  <c r="D78" i="40"/>
  <c r="G77" i="40"/>
  <c r="H77" i="40"/>
  <c r="I77" i="40"/>
  <c r="J77" i="40"/>
  <c r="B77" i="40"/>
  <c r="C77" i="40"/>
  <c r="D77" i="40"/>
  <c r="E77" i="40"/>
  <c r="F77" i="40"/>
  <c r="I76" i="40"/>
  <c r="J76" i="40"/>
  <c r="M76" i="40"/>
  <c r="D76" i="40"/>
  <c r="E76" i="40"/>
  <c r="F76" i="40"/>
  <c r="G76" i="40"/>
  <c r="H76" i="40"/>
  <c r="M75" i="40"/>
  <c r="B76" i="40"/>
  <c r="C76" i="40"/>
  <c r="F75" i="40"/>
  <c r="G75" i="40"/>
  <c r="H75" i="40"/>
  <c r="I75" i="40"/>
  <c r="J75" i="40"/>
  <c r="M74" i="40"/>
  <c r="B75" i="40"/>
  <c r="C75" i="40"/>
  <c r="D75" i="40"/>
  <c r="E75" i="40"/>
  <c r="H74" i="40"/>
  <c r="I74" i="40"/>
  <c r="J74" i="40"/>
  <c r="C74" i="40"/>
  <c r="D74" i="40"/>
  <c r="E74" i="40"/>
  <c r="F74" i="40"/>
  <c r="G74" i="40"/>
  <c r="J73" i="40"/>
  <c r="M73" i="40"/>
  <c r="B74" i="40"/>
  <c r="E73" i="40"/>
  <c r="F73" i="40"/>
  <c r="G73" i="40"/>
  <c r="H73" i="40"/>
  <c r="I73" i="40"/>
  <c r="M72" i="40"/>
  <c r="B73" i="40"/>
  <c r="C73" i="40"/>
  <c r="D73" i="40"/>
  <c r="G72" i="40"/>
  <c r="H72" i="40"/>
  <c r="I72" i="40"/>
  <c r="J72" i="40"/>
  <c r="B72" i="40"/>
  <c r="C72" i="40"/>
  <c r="D72" i="40"/>
  <c r="E72" i="40"/>
  <c r="F72" i="40"/>
  <c r="I71" i="40"/>
  <c r="J71" i="40"/>
  <c r="M71" i="40"/>
  <c r="D71" i="40"/>
  <c r="E71" i="40"/>
  <c r="F71" i="40"/>
  <c r="G71" i="40"/>
  <c r="H71" i="40"/>
  <c r="M70" i="40"/>
  <c r="B71" i="40"/>
  <c r="C71" i="40"/>
  <c r="F70" i="40"/>
  <c r="G70" i="40"/>
  <c r="H70" i="40"/>
  <c r="I70" i="40"/>
  <c r="J70" i="40"/>
  <c r="M69" i="40"/>
  <c r="B70" i="40"/>
  <c r="C70" i="40"/>
  <c r="D70" i="40"/>
  <c r="E70" i="40"/>
  <c r="H69" i="40"/>
  <c r="I69" i="40"/>
  <c r="J69" i="40"/>
  <c r="C69" i="40"/>
  <c r="D69" i="40"/>
  <c r="E69" i="40"/>
  <c r="F69" i="40"/>
  <c r="G69" i="40"/>
  <c r="J68" i="40"/>
  <c r="M68" i="40"/>
  <c r="B69" i="40"/>
  <c r="E68" i="40"/>
  <c r="F68" i="40"/>
  <c r="G68" i="40"/>
  <c r="H68" i="40"/>
  <c r="I68" i="40"/>
  <c r="M67" i="40"/>
  <c r="B68" i="40"/>
  <c r="C68" i="40"/>
  <c r="D68" i="40"/>
  <c r="G67" i="40"/>
  <c r="H67" i="40"/>
  <c r="I67" i="40"/>
  <c r="J67" i="40"/>
  <c r="B67" i="40"/>
  <c r="C67" i="40"/>
  <c r="D67" i="40"/>
  <c r="E67" i="40"/>
  <c r="F67" i="40"/>
  <c r="I66" i="40"/>
  <c r="J66" i="40"/>
  <c r="M66" i="40"/>
  <c r="D66" i="40"/>
  <c r="E66" i="40"/>
  <c r="F66" i="40"/>
  <c r="G66" i="40"/>
  <c r="H66" i="40"/>
  <c r="M65" i="40"/>
  <c r="B66" i="40"/>
  <c r="C66" i="40"/>
  <c r="F65" i="40"/>
  <c r="G65" i="40"/>
  <c r="H65" i="40"/>
  <c r="I65" i="40"/>
  <c r="J65" i="40"/>
  <c r="M64" i="40"/>
  <c r="B65" i="40"/>
  <c r="C65" i="40"/>
  <c r="D65" i="40"/>
  <c r="E65" i="40"/>
  <c r="H64" i="40"/>
  <c r="I64" i="40"/>
  <c r="J64" i="40"/>
  <c r="C64" i="40"/>
  <c r="D64" i="40"/>
  <c r="E64" i="40"/>
  <c r="F64" i="40"/>
  <c r="G64" i="40"/>
  <c r="J63" i="40"/>
  <c r="M63" i="40"/>
  <c r="B64" i="40"/>
  <c r="E63" i="40"/>
  <c r="F63" i="40"/>
  <c r="G63" i="40"/>
  <c r="H63" i="40"/>
  <c r="I63" i="40"/>
  <c r="M62" i="40"/>
  <c r="B63" i="40"/>
  <c r="C63" i="40"/>
  <c r="D63" i="40"/>
  <c r="G62" i="40"/>
  <c r="H62" i="40"/>
  <c r="I62" i="40"/>
  <c r="J62" i="40"/>
  <c r="B62" i="40"/>
  <c r="C62" i="40"/>
  <c r="D62" i="40"/>
  <c r="E62" i="40"/>
  <c r="F62" i="40"/>
  <c r="I61" i="40"/>
  <c r="J61" i="40"/>
  <c r="M61" i="40"/>
  <c r="D61" i="40"/>
  <c r="E61" i="40"/>
  <c r="F61" i="40"/>
  <c r="G61" i="40"/>
  <c r="H61" i="40"/>
  <c r="M60" i="40"/>
  <c r="B61" i="40"/>
  <c r="C61" i="40"/>
  <c r="F60" i="40"/>
  <c r="G60" i="40"/>
  <c r="H60" i="40"/>
  <c r="I60" i="40"/>
  <c r="J60" i="40"/>
  <c r="M59" i="40"/>
  <c r="B60" i="40"/>
  <c r="C60" i="40"/>
  <c r="D60" i="40"/>
  <c r="E60" i="40"/>
  <c r="H59" i="40"/>
  <c r="I59" i="40"/>
  <c r="J59" i="40"/>
  <c r="C59" i="40"/>
  <c r="D59" i="40"/>
  <c r="E59" i="40"/>
  <c r="F59" i="40"/>
  <c r="G59" i="40"/>
  <c r="J58" i="40"/>
  <c r="M58" i="40"/>
  <c r="B59" i="40"/>
  <c r="E58" i="40"/>
  <c r="F58" i="40"/>
  <c r="G58" i="40"/>
  <c r="H58" i="40"/>
  <c r="I58" i="40"/>
  <c r="M57" i="40"/>
  <c r="B58" i="40"/>
  <c r="C58" i="40"/>
  <c r="D58" i="40"/>
  <c r="G57" i="40"/>
  <c r="H57" i="40"/>
  <c r="I57" i="40"/>
  <c r="J57" i="40"/>
  <c r="B57" i="40"/>
  <c r="C57" i="40"/>
  <c r="D57" i="40"/>
  <c r="E57" i="40"/>
  <c r="F57" i="40"/>
  <c r="I56" i="40"/>
  <c r="J56" i="40"/>
  <c r="M56" i="40"/>
  <c r="D56" i="40"/>
  <c r="E56" i="40"/>
  <c r="F56" i="40"/>
  <c r="G56" i="40"/>
  <c r="H56" i="40"/>
  <c r="B56" i="40"/>
  <c r="C56" i="40"/>
  <c r="M55" i="40"/>
  <c r="F55" i="40"/>
  <c r="G55" i="40"/>
  <c r="H55" i="40"/>
  <c r="I55" i="40"/>
  <c r="J55" i="40"/>
  <c r="M54" i="40"/>
  <c r="B55" i="40"/>
  <c r="C55" i="40"/>
  <c r="D55" i="40"/>
  <c r="E55" i="40"/>
  <c r="H54" i="40"/>
  <c r="I54" i="40"/>
  <c r="J54" i="40"/>
  <c r="C54" i="40"/>
  <c r="D54" i="40"/>
  <c r="E54" i="40"/>
  <c r="F54" i="40"/>
  <c r="G54" i="40"/>
  <c r="J53" i="40"/>
  <c r="M53" i="40"/>
  <c r="B54" i="40"/>
  <c r="E53" i="40"/>
  <c r="F53" i="40"/>
  <c r="G53" i="40"/>
  <c r="H53" i="40"/>
  <c r="I53" i="40"/>
  <c r="M52" i="40"/>
  <c r="B53" i="40"/>
  <c r="C53" i="40"/>
  <c r="D53" i="40"/>
  <c r="G52" i="40"/>
  <c r="H52" i="40"/>
  <c r="I52" i="40"/>
  <c r="J52" i="40"/>
  <c r="B52" i="40"/>
  <c r="C52" i="40"/>
  <c r="D52" i="40"/>
  <c r="E52" i="40"/>
  <c r="F52" i="40"/>
  <c r="I51" i="40"/>
  <c r="J51" i="40"/>
  <c r="M51" i="40"/>
  <c r="D51" i="40"/>
  <c r="E51" i="40"/>
  <c r="F51" i="40"/>
  <c r="G51" i="40"/>
  <c r="H51" i="40"/>
  <c r="M50" i="40"/>
  <c r="B51" i="40"/>
  <c r="C51" i="40"/>
  <c r="F50" i="40"/>
  <c r="G50" i="40"/>
  <c r="H50" i="40"/>
  <c r="I50" i="40"/>
  <c r="J50" i="40"/>
  <c r="M49" i="40"/>
  <c r="B50" i="40"/>
  <c r="C50" i="40"/>
  <c r="D50" i="40"/>
  <c r="E50" i="40"/>
  <c r="H49" i="40"/>
  <c r="I49" i="40"/>
  <c r="J49" i="40"/>
  <c r="C49" i="40"/>
  <c r="D49" i="40"/>
  <c r="E49" i="40"/>
  <c r="F49" i="40"/>
  <c r="G49" i="40"/>
  <c r="J48" i="40"/>
  <c r="M48" i="40"/>
  <c r="B49" i="40"/>
  <c r="E48" i="40"/>
  <c r="F48" i="40"/>
  <c r="G48" i="40"/>
  <c r="H48" i="40"/>
  <c r="I48" i="40"/>
  <c r="M47" i="40"/>
  <c r="B48" i="40"/>
  <c r="C48" i="40"/>
  <c r="D48" i="40"/>
  <c r="G47" i="40"/>
  <c r="H47" i="40"/>
  <c r="I47" i="40"/>
  <c r="J47" i="40"/>
  <c r="B47" i="40"/>
  <c r="C47" i="40"/>
  <c r="D47" i="40"/>
  <c r="E47" i="40"/>
  <c r="F47" i="40"/>
  <c r="I46" i="40"/>
  <c r="J46" i="40"/>
  <c r="M46" i="40"/>
  <c r="D46" i="40"/>
  <c r="E46" i="40"/>
  <c r="F46" i="40"/>
  <c r="G46" i="40"/>
  <c r="H46" i="40"/>
  <c r="M45" i="40"/>
  <c r="B46" i="40"/>
  <c r="C46" i="40"/>
  <c r="F45" i="40"/>
  <c r="G45" i="40"/>
  <c r="H45" i="40"/>
  <c r="I45" i="40"/>
  <c r="J45" i="40"/>
  <c r="M44" i="40"/>
  <c r="B45" i="40"/>
  <c r="C45" i="40"/>
  <c r="D45" i="40"/>
  <c r="E45" i="40"/>
  <c r="H44" i="40"/>
  <c r="I44" i="40"/>
  <c r="J44" i="40"/>
  <c r="C44" i="40"/>
  <c r="D44" i="40"/>
  <c r="E44" i="40"/>
  <c r="F44" i="40"/>
  <c r="G44" i="40"/>
  <c r="J43" i="40"/>
  <c r="M43" i="40"/>
  <c r="B44" i="40"/>
  <c r="E43" i="40"/>
  <c r="F43" i="40"/>
  <c r="G43" i="40"/>
  <c r="H43" i="40"/>
  <c r="I43" i="40"/>
  <c r="M42" i="40"/>
  <c r="B43" i="40"/>
  <c r="C43" i="40"/>
  <c r="D43" i="40"/>
  <c r="G42" i="40"/>
  <c r="H42" i="40"/>
  <c r="I42" i="40"/>
  <c r="J42" i="40"/>
  <c r="B42" i="40"/>
  <c r="C42" i="40"/>
  <c r="D42" i="40"/>
  <c r="E42" i="40"/>
  <c r="F42" i="40"/>
  <c r="I41" i="40"/>
  <c r="J41" i="40"/>
  <c r="M41" i="40"/>
  <c r="D41" i="40"/>
  <c r="E41" i="40"/>
  <c r="F41" i="40"/>
  <c r="G41" i="40"/>
  <c r="H41" i="40"/>
  <c r="M40" i="40"/>
  <c r="B41" i="40"/>
  <c r="C41" i="40"/>
  <c r="F40" i="40"/>
  <c r="G40" i="40"/>
  <c r="H40" i="40"/>
  <c r="I40" i="40"/>
  <c r="J40" i="40"/>
  <c r="M39" i="40"/>
  <c r="B40" i="40"/>
  <c r="C40" i="40"/>
  <c r="D40" i="40"/>
  <c r="E40" i="40"/>
  <c r="H39" i="40"/>
  <c r="I39" i="40"/>
  <c r="J39" i="40"/>
  <c r="C39" i="40"/>
  <c r="D39" i="40"/>
  <c r="E39" i="40"/>
  <c r="F39" i="40"/>
  <c r="G39" i="40"/>
  <c r="J38" i="40"/>
  <c r="M38" i="40"/>
  <c r="B39" i="40"/>
  <c r="E38" i="40"/>
  <c r="F38" i="40"/>
  <c r="G38" i="40"/>
  <c r="H38" i="40"/>
  <c r="I38" i="40"/>
  <c r="M37" i="40"/>
  <c r="B38" i="40"/>
  <c r="C38" i="40"/>
  <c r="D38" i="40"/>
  <c r="G37" i="40"/>
  <c r="H37" i="40"/>
  <c r="I37" i="40"/>
  <c r="J37" i="40"/>
  <c r="B37" i="40"/>
  <c r="C37" i="40"/>
  <c r="D37" i="40"/>
  <c r="E37" i="40"/>
  <c r="F37" i="40"/>
  <c r="I36" i="40"/>
  <c r="J36" i="40"/>
  <c r="M36" i="40"/>
  <c r="D36" i="40"/>
  <c r="E36" i="40"/>
  <c r="F36" i="40"/>
  <c r="G36" i="40"/>
  <c r="H36" i="40"/>
  <c r="M35" i="40"/>
  <c r="B36" i="40"/>
  <c r="C36" i="40"/>
  <c r="F35" i="40"/>
  <c r="G35" i="40"/>
  <c r="H35" i="40"/>
  <c r="I35" i="40"/>
  <c r="J35" i="40"/>
  <c r="M34" i="40"/>
  <c r="B35" i="40"/>
  <c r="C35" i="40"/>
  <c r="D35" i="40"/>
  <c r="E35" i="40"/>
  <c r="H34" i="40"/>
  <c r="I34" i="40"/>
  <c r="J34" i="40"/>
  <c r="C34" i="40"/>
  <c r="D34" i="40"/>
  <c r="E34" i="40"/>
  <c r="F34" i="40"/>
  <c r="G34" i="40"/>
  <c r="J33" i="40"/>
  <c r="M33" i="40"/>
  <c r="B34" i="40"/>
  <c r="E33" i="40"/>
  <c r="F33" i="40"/>
  <c r="G33" i="40"/>
  <c r="H33" i="40"/>
  <c r="I33" i="40"/>
  <c r="M32" i="40"/>
  <c r="B33" i="40"/>
  <c r="C33" i="40"/>
  <c r="D33" i="40"/>
  <c r="G32" i="40"/>
  <c r="H32" i="40"/>
  <c r="I32" i="40"/>
  <c r="J32" i="40"/>
  <c r="B32" i="40"/>
  <c r="C32" i="40"/>
  <c r="D32" i="40"/>
  <c r="E32" i="40"/>
  <c r="F32" i="40"/>
  <c r="I31" i="40"/>
  <c r="J31" i="40"/>
  <c r="M31" i="40"/>
  <c r="D31" i="40"/>
  <c r="E31" i="40"/>
  <c r="F31" i="40"/>
  <c r="G31" i="40"/>
  <c r="H31" i="40"/>
  <c r="M30" i="40"/>
  <c r="B31" i="40"/>
  <c r="C31" i="40"/>
  <c r="F30" i="40"/>
  <c r="G30" i="40"/>
  <c r="H30" i="40"/>
  <c r="I30" i="40"/>
  <c r="J30" i="40"/>
  <c r="M29" i="40"/>
  <c r="B30" i="40"/>
  <c r="C30" i="40"/>
  <c r="D30" i="40"/>
  <c r="E30" i="40"/>
  <c r="H29" i="40"/>
  <c r="I29" i="40"/>
  <c r="J29" i="40"/>
  <c r="C29" i="40"/>
  <c r="D29" i="40"/>
  <c r="E29" i="40"/>
  <c r="F29" i="40"/>
  <c r="G29" i="40"/>
  <c r="J28" i="40"/>
  <c r="M28" i="40"/>
  <c r="B29" i="40"/>
  <c r="E28" i="40"/>
  <c r="F28" i="40"/>
  <c r="G28" i="40"/>
  <c r="H28" i="40"/>
  <c r="I28" i="40"/>
  <c r="M27" i="40"/>
  <c r="B28" i="40"/>
  <c r="C28" i="40"/>
  <c r="D28" i="40"/>
  <c r="G27" i="40"/>
  <c r="H27" i="40"/>
  <c r="I27" i="40"/>
  <c r="J27" i="40"/>
  <c r="B27" i="40"/>
  <c r="C27" i="40"/>
  <c r="D27" i="40"/>
  <c r="E27" i="40"/>
  <c r="F27" i="40"/>
  <c r="I26" i="40"/>
  <c r="J26" i="40"/>
  <c r="M26" i="40"/>
  <c r="D26" i="40"/>
  <c r="E26" i="40"/>
  <c r="F26" i="40"/>
  <c r="G26" i="40"/>
  <c r="H26" i="40"/>
  <c r="M25" i="40"/>
  <c r="B26" i="40"/>
  <c r="C26" i="40"/>
  <c r="F25" i="40"/>
  <c r="G25" i="40"/>
  <c r="H25" i="40"/>
  <c r="I25" i="40"/>
  <c r="J25" i="40"/>
  <c r="M24" i="40"/>
  <c r="B25" i="40"/>
  <c r="C25" i="40"/>
  <c r="D25" i="40"/>
  <c r="E25" i="40"/>
  <c r="H24" i="40"/>
  <c r="I24" i="40"/>
  <c r="J24" i="40"/>
  <c r="C24" i="40"/>
  <c r="D24" i="40"/>
  <c r="E24" i="40"/>
  <c r="F24" i="40"/>
  <c r="G24" i="40"/>
  <c r="J23" i="40"/>
  <c r="M23" i="40"/>
  <c r="B24" i="40"/>
  <c r="E23" i="40"/>
  <c r="F23" i="40"/>
  <c r="G23" i="40"/>
  <c r="H23" i="40"/>
  <c r="I23" i="40"/>
  <c r="M22" i="40"/>
  <c r="B23" i="40"/>
  <c r="C23" i="40"/>
  <c r="D23" i="40"/>
  <c r="G22" i="40"/>
  <c r="H22" i="40"/>
  <c r="I22" i="40"/>
  <c r="J22" i="40"/>
  <c r="B22" i="40"/>
  <c r="C22" i="40"/>
  <c r="D22" i="40"/>
  <c r="E22" i="40"/>
  <c r="F22" i="40"/>
  <c r="I21" i="40"/>
  <c r="J21" i="40"/>
  <c r="M21" i="40"/>
  <c r="D21" i="40"/>
  <c r="E21" i="40"/>
  <c r="F21" i="40"/>
  <c r="G21" i="40"/>
  <c r="H21" i="40"/>
  <c r="M20" i="40"/>
  <c r="B21" i="40"/>
  <c r="C21" i="40"/>
  <c r="F20" i="40"/>
  <c r="G20" i="40"/>
  <c r="H20" i="40"/>
  <c r="I20" i="40"/>
  <c r="J20" i="40"/>
  <c r="M19" i="40"/>
  <c r="B20" i="40"/>
  <c r="C20" i="40"/>
  <c r="D20" i="40"/>
  <c r="E20" i="40"/>
  <c r="H19" i="40"/>
  <c r="I19" i="40"/>
  <c r="J19" i="40"/>
  <c r="C19" i="40"/>
  <c r="D19" i="40"/>
  <c r="E19" i="40"/>
  <c r="F19" i="40"/>
  <c r="G19" i="40"/>
  <c r="J18" i="40"/>
  <c r="M18" i="40"/>
  <c r="B19" i="40"/>
  <c r="E18" i="40"/>
  <c r="F18" i="40"/>
  <c r="G18" i="40"/>
  <c r="H18" i="40"/>
  <c r="I18" i="40"/>
  <c r="M17" i="40"/>
  <c r="B18" i="40"/>
  <c r="C18" i="40"/>
  <c r="D18" i="40"/>
  <c r="G17" i="40"/>
  <c r="H17" i="40"/>
  <c r="I17" i="40"/>
  <c r="J17" i="40"/>
  <c r="B17" i="40"/>
  <c r="C17" i="40"/>
  <c r="D17" i="40"/>
  <c r="E17" i="40"/>
  <c r="F17" i="40"/>
  <c r="I16" i="40"/>
  <c r="J16" i="40"/>
  <c r="M16" i="40"/>
  <c r="D16" i="40"/>
  <c r="E16" i="40"/>
  <c r="F16" i="40"/>
  <c r="G16" i="40"/>
  <c r="H16" i="40"/>
  <c r="M15" i="40"/>
  <c r="B16" i="40"/>
  <c r="C16" i="40"/>
  <c r="F15" i="40"/>
  <c r="G15" i="40"/>
  <c r="H15" i="40"/>
  <c r="I15" i="40"/>
  <c r="J15" i="40"/>
  <c r="M14" i="40"/>
  <c r="B15" i="40"/>
  <c r="C15" i="40"/>
  <c r="D15" i="40"/>
  <c r="E15" i="40"/>
  <c r="H14" i="40"/>
  <c r="I14" i="40"/>
  <c r="J14" i="40"/>
  <c r="C14" i="40"/>
  <c r="D14" i="40"/>
  <c r="E14" i="40"/>
  <c r="F14" i="40"/>
  <c r="G14" i="40"/>
  <c r="J13" i="40"/>
  <c r="M13" i="40"/>
  <c r="B14" i="40"/>
  <c r="E13" i="40"/>
  <c r="F13" i="40"/>
  <c r="G13" i="40"/>
  <c r="H13" i="40"/>
  <c r="I13" i="40"/>
  <c r="M12" i="40"/>
  <c r="B13" i="40"/>
  <c r="C13" i="40"/>
  <c r="D13" i="40"/>
  <c r="G12" i="40"/>
  <c r="H12" i="40"/>
  <c r="I12" i="40"/>
  <c r="J12" i="40"/>
  <c r="B12" i="40"/>
  <c r="C12" i="40"/>
  <c r="D12" i="40"/>
  <c r="E12" i="40"/>
  <c r="F12" i="40"/>
  <c r="I11" i="40"/>
  <c r="J11" i="40"/>
  <c r="M11" i="40"/>
  <c r="D11" i="40"/>
  <c r="E11" i="40"/>
  <c r="F11" i="40"/>
  <c r="G11" i="40"/>
  <c r="H11" i="40"/>
  <c r="M10" i="40"/>
  <c r="B11" i="40"/>
  <c r="C11" i="40"/>
  <c r="F10" i="40"/>
  <c r="G10" i="40"/>
  <c r="H10" i="40"/>
  <c r="I10" i="40"/>
  <c r="J10" i="40"/>
  <c r="M9" i="40"/>
  <c r="B10" i="40"/>
  <c r="C10" i="40"/>
  <c r="D10" i="40"/>
  <c r="E10" i="40"/>
  <c r="H9" i="40"/>
  <c r="I9" i="40"/>
  <c r="J9" i="40"/>
  <c r="C9" i="40"/>
  <c r="D9" i="40"/>
  <c r="E9" i="40"/>
  <c r="F9" i="40"/>
  <c r="G9" i="40"/>
  <c r="J8" i="40"/>
  <c r="M8" i="40"/>
  <c r="B9" i="40"/>
  <c r="E8" i="40"/>
  <c r="F8" i="40"/>
  <c r="G8" i="40"/>
  <c r="H8" i="40"/>
  <c r="I8" i="40"/>
  <c r="M7" i="40"/>
  <c r="B8" i="40"/>
  <c r="C8" i="40"/>
  <c r="D8" i="40"/>
  <c r="G7" i="40"/>
  <c r="H7" i="40"/>
  <c r="I7" i="40"/>
  <c r="J7" i="40"/>
  <c r="B7" i="40"/>
  <c r="C7" i="40"/>
  <c r="D7" i="40"/>
  <c r="E7" i="40"/>
  <c r="F7" i="40"/>
  <c r="I6" i="40"/>
  <c r="J6" i="40"/>
  <c r="M6" i="40"/>
  <c r="D6" i="40"/>
  <c r="E6" i="40"/>
  <c r="F6" i="40"/>
  <c r="G6" i="40"/>
  <c r="H6" i="40"/>
  <c r="M5" i="40"/>
  <c r="B6" i="40"/>
  <c r="C6" i="40"/>
  <c r="F5" i="40"/>
  <c r="G5" i="40"/>
  <c r="H5" i="40"/>
  <c r="I5" i="40"/>
  <c r="J5" i="40"/>
  <c r="M4" i="40"/>
  <c r="B5" i="40"/>
  <c r="C5" i="40"/>
  <c r="D5" i="40"/>
  <c r="E5" i="40"/>
  <c r="H4" i="40"/>
  <c r="I4" i="40"/>
  <c r="J4" i="40"/>
  <c r="C4" i="40"/>
  <c r="D4" i="40"/>
  <c r="E4" i="40"/>
  <c r="F4" i="40"/>
  <c r="G4" i="40"/>
  <c r="J3" i="40"/>
  <c r="M3" i="40"/>
  <c r="B4" i="40"/>
  <c r="E3" i="40"/>
  <c r="F3" i="40"/>
  <c r="G3" i="40"/>
  <c r="H3" i="40"/>
  <c r="I3" i="40"/>
  <c r="B3" i="40"/>
  <c r="C3" i="40"/>
  <c r="D3" i="40"/>
  <c r="M2" i="49"/>
  <c r="K472" i="37"/>
  <c r="K478" i="37"/>
  <c r="K477" i="37"/>
  <c r="K476" i="37"/>
  <c r="K475" i="37"/>
  <c r="K474" i="37"/>
  <c r="K473" i="37"/>
  <c r="K3" i="40" l="1"/>
  <c r="K4" i="40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K48" i="40"/>
  <c r="K49" i="40"/>
  <c r="K50" i="40"/>
  <c r="K51" i="40"/>
  <c r="K52" i="40"/>
  <c r="K53" i="40"/>
  <c r="K54" i="40"/>
  <c r="K55" i="40"/>
  <c r="K56" i="40"/>
  <c r="K57" i="40"/>
  <c r="K58" i="40"/>
  <c r="K59" i="40"/>
  <c r="K60" i="40"/>
  <c r="K61" i="40"/>
  <c r="K62" i="40"/>
  <c r="K63" i="40"/>
  <c r="K64" i="40"/>
  <c r="K65" i="40"/>
  <c r="K66" i="40"/>
  <c r="K67" i="40"/>
  <c r="K68" i="40"/>
  <c r="K69" i="40"/>
  <c r="K70" i="40"/>
  <c r="K71" i="40"/>
  <c r="K72" i="40"/>
  <c r="K73" i="40"/>
  <c r="K74" i="40"/>
  <c r="K75" i="40"/>
  <c r="K76" i="40"/>
  <c r="K77" i="40"/>
  <c r="K78" i="40"/>
  <c r="K79" i="40"/>
  <c r="K80" i="40"/>
  <c r="K81" i="40"/>
  <c r="K82" i="40"/>
  <c r="K83" i="40"/>
  <c r="K84" i="40"/>
  <c r="K85" i="40"/>
  <c r="K86" i="40"/>
  <c r="K87" i="40"/>
  <c r="K88" i="40"/>
  <c r="K89" i="40"/>
  <c r="K90" i="40"/>
  <c r="K91" i="40"/>
  <c r="K92" i="40"/>
  <c r="K93" i="40"/>
  <c r="K94" i="40"/>
  <c r="K95" i="40"/>
  <c r="K96" i="40"/>
  <c r="K97" i="40"/>
  <c r="K98" i="40"/>
  <c r="K99" i="40"/>
  <c r="K100" i="40"/>
  <c r="K101" i="40"/>
  <c r="K102" i="40"/>
  <c r="K103" i="40"/>
  <c r="K104" i="40"/>
  <c r="K105" i="40"/>
  <c r="K106" i="40"/>
  <c r="K107" i="40"/>
  <c r="K108" i="40"/>
  <c r="K109" i="40"/>
  <c r="K110" i="40"/>
  <c r="K111" i="40"/>
  <c r="K112" i="40"/>
  <c r="K113" i="40"/>
  <c r="K114" i="40"/>
  <c r="K115" i="40"/>
  <c r="K116" i="40"/>
  <c r="K117" i="40"/>
  <c r="K118" i="40"/>
  <c r="K119" i="40"/>
  <c r="K120" i="40"/>
  <c r="K121" i="40"/>
  <c r="K2" i="40"/>
  <c r="K1" i="40" s="1"/>
  <c r="K1" i="37"/>
  <c r="AE6" i="38"/>
  <c r="AF6" i="38"/>
  <c r="AE3" i="38"/>
  <c r="AF3" i="38"/>
  <c r="N2" i="49"/>
  <c r="AF2" i="38"/>
  <c r="AE2" i="38"/>
  <c r="AE9" i="38"/>
  <c r="AF9" i="38"/>
  <c r="AF8" i="38"/>
  <c r="AE8" i="38"/>
  <c r="AF5" i="38"/>
  <c r="AE5" i="38"/>
  <c r="AF4" i="38"/>
  <c r="AE4" i="38"/>
  <c r="AE10" i="38"/>
  <c r="AF10" i="38"/>
  <c r="AE7" i="38"/>
  <c r="AF7" i="38"/>
  <c r="L472" i="37"/>
  <c r="L478" i="37"/>
  <c r="L477" i="37"/>
  <c r="L476" i="37"/>
  <c r="L475" i="37"/>
  <c r="L474" i="37"/>
  <c r="L473" i="37"/>
  <c r="L3" i="40" l="1"/>
  <c r="L4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65" i="40"/>
  <c r="L66" i="40"/>
  <c r="L67" i="40"/>
  <c r="L68" i="40"/>
  <c r="L69" i="40"/>
  <c r="L70" i="40"/>
  <c r="L71" i="40"/>
  <c r="L72" i="40"/>
  <c r="L73" i="40"/>
  <c r="L74" i="40"/>
  <c r="L75" i="40"/>
  <c r="L76" i="40"/>
  <c r="L77" i="40"/>
  <c r="L78" i="40"/>
  <c r="L79" i="40"/>
  <c r="L80" i="40"/>
  <c r="L81" i="40"/>
  <c r="L82" i="40"/>
  <c r="L83" i="40"/>
  <c r="L84" i="40"/>
  <c r="L85" i="40"/>
  <c r="L86" i="40"/>
  <c r="L87" i="40"/>
  <c r="L88" i="40"/>
  <c r="L89" i="40"/>
  <c r="L90" i="40"/>
  <c r="L91" i="40"/>
  <c r="L92" i="40"/>
  <c r="L93" i="40"/>
  <c r="L94" i="40"/>
  <c r="L95" i="40"/>
  <c r="L96" i="40"/>
  <c r="L97" i="40"/>
  <c r="L98" i="40"/>
  <c r="L99" i="40"/>
  <c r="L100" i="40"/>
  <c r="L101" i="40"/>
  <c r="L102" i="40"/>
  <c r="L103" i="40"/>
  <c r="L104" i="40"/>
  <c r="L105" i="40"/>
  <c r="L106" i="40"/>
  <c r="L107" i="40"/>
  <c r="L108" i="40"/>
  <c r="L109" i="40"/>
  <c r="L110" i="40"/>
  <c r="L111" i="40"/>
  <c r="L112" i="40"/>
  <c r="L113" i="40"/>
  <c r="L114" i="40"/>
  <c r="L115" i="40"/>
  <c r="L116" i="40"/>
  <c r="L117" i="40"/>
  <c r="L118" i="40"/>
  <c r="L119" i="40"/>
  <c r="L120" i="40"/>
  <c r="L121" i="40"/>
  <c r="L2" i="40"/>
  <c r="L1" i="40" s="1"/>
  <c r="L1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E153E-9484-4A22-B747-386987480F72}" keepAlive="1" name="ModelConnection_ExternalData_1" description="Data Model" type="5" refreshedVersion="8" minRefreshableVersion="5" saveData="1">
    <dbPr connection="Data Model Connection" command="financials_inpu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8B8124-7EAF-4906-8304-C133ACEA22AD}" name="Query - financials_input" description="Connection to the 'financials_input' query in the workbook." type="100" refreshedVersion="8" minRefreshableVersion="5">
    <extLst>
      <ext xmlns:x15="http://schemas.microsoft.com/office/spreadsheetml/2010/11/main" uri="{DE250136-89BD-433C-8126-D09CA5730AF9}">
        <x15:connection id="5e3fbd90-746a-4d2a-ae1a-4d0477c2c3f2"/>
      </ext>
    </extLst>
  </connection>
  <connection id="3" xr16:uid="{A75A9DA2-D6B5-48B0-B50F-519F1A8FA3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<sst xmlns="http://schemas.openxmlformats.org/spreadsheetml/2006/main" count="2143" uniqueCount="1969">
  <si>
    <t>Provision for Doubtful Accounts - Patient Service Revenue</t>
  </si>
  <si>
    <t>General Partner - Common Equity</t>
  </si>
  <si>
    <t>General Partner - Preferred Equity</t>
  </si>
  <si>
    <t>General Partner - Minority Interest</t>
  </si>
  <si>
    <t>General Partner Interest (Supple)</t>
  </si>
  <si>
    <t>Depreciation And Amortization Notes for Partial CF</t>
  </si>
  <si>
    <t>Amortization Of Goodwill Notes for Partial CF</t>
  </si>
  <si>
    <t>Contingent Rental Expense</t>
  </si>
  <si>
    <t>Short-Term Borrowing Derivatives</t>
  </si>
  <si>
    <t>Curr. Port. of LT Debt Derivatives</t>
  </si>
  <si>
    <t>Long-Term Debt Derivatives</t>
  </si>
  <si>
    <t>Current Derivative Assets</t>
  </si>
  <si>
    <t>Long-Term Derivative Assets</t>
  </si>
  <si>
    <t>Gross Intangible Assets</t>
  </si>
  <si>
    <t>Accumulated Amortization of Intangible Assets</t>
  </si>
  <si>
    <t>Gross Goodwill</t>
  </si>
  <si>
    <t>Accumulated Amortization of Goodwill</t>
  </si>
  <si>
    <t>Aircraft Rental Expense</t>
  </si>
  <si>
    <t>Current Derivative Liabilities</t>
  </si>
  <si>
    <t>Non-Current Derivative Liabilities</t>
  </si>
  <si>
    <t>Derivative Trading Asset Securities</t>
  </si>
  <si>
    <t>Net Income to Company</t>
  </si>
  <si>
    <t>Net Income to Parent</t>
  </si>
  <si>
    <t>Earnings to Parent before Extraordinary Items</t>
  </si>
  <si>
    <t>Redeemable Minority Interest</t>
  </si>
  <si>
    <t>Finance Division Redeemable Minority Interest</t>
  </si>
  <si>
    <t>Total Redeemable Minority Interest</t>
  </si>
  <si>
    <t>Finance Division Minority Interest</t>
  </si>
  <si>
    <t>Capitalized/Purchased Software</t>
  </si>
  <si>
    <t>Minimum Rental Expense</t>
  </si>
  <si>
    <t>Other Rental Expense</t>
  </si>
  <si>
    <t>Depreciation of Rental Assets</t>
  </si>
  <si>
    <t>Sale Proceeds from Rental Assets</t>
  </si>
  <si>
    <t>Cash Flow per Share</t>
  </si>
  <si>
    <t>Net Cash from Discontinued Ops. - Investing</t>
  </si>
  <si>
    <t>Net Cash from Discontinued Ops. - Financing</t>
  </si>
  <si>
    <t>Net Rental Expense, Total</t>
  </si>
  <si>
    <t>Net Rental Expense</t>
  </si>
  <si>
    <t>Net Rental Expense (Supple)</t>
  </si>
  <si>
    <t>Fees and Other Income</t>
  </si>
  <si>
    <t>Amortization of Negative Goodwill</t>
  </si>
  <si>
    <t>Amortization of Negative Goodwill - After Tax</t>
  </si>
  <si>
    <t>Book Value/Share (Reported)</t>
  </si>
  <si>
    <t>Accounts Receivables - Unbilled</t>
  </si>
  <si>
    <t>Net Income</t>
  </si>
  <si>
    <t>Total Current Assets</t>
  </si>
  <si>
    <t>Total Equity</t>
  </si>
  <si>
    <t>Common Stock</t>
  </si>
  <si>
    <t>Cash Interest Paid</t>
  </si>
  <si>
    <t>Cash Taxes Paid</t>
  </si>
  <si>
    <t>Accounts Payable</t>
  </si>
  <si>
    <t>Total Debt</t>
  </si>
  <si>
    <t>Interest Expense</t>
  </si>
  <si>
    <t>Gross Profit</t>
  </si>
  <si>
    <t>Treasury Stock</t>
  </si>
  <si>
    <t>Accounts Receivable</t>
  </si>
  <si>
    <t>Goodwill</t>
  </si>
  <si>
    <t>Revenues</t>
  </si>
  <si>
    <t>Total Revenues</t>
  </si>
  <si>
    <t>R &amp; D Exp.</t>
  </si>
  <si>
    <t>Depreciation &amp; Amort., Total</t>
  </si>
  <si>
    <t>Other Operating Expense/(Income)</t>
  </si>
  <si>
    <t>Other Operating Exp., Total</t>
  </si>
  <si>
    <t>Operating Income</t>
  </si>
  <si>
    <t>Interest and Invest. Income</t>
  </si>
  <si>
    <t>Net Interest Exp.</t>
  </si>
  <si>
    <t>EBT Excl Unusual Items</t>
  </si>
  <si>
    <t>Impairment of Goodwill</t>
  </si>
  <si>
    <t>Gain (Loss) On Sale Of Invest.</t>
  </si>
  <si>
    <t>Gain (Loss) On Sale Of Assets</t>
  </si>
  <si>
    <t>EBT Incl Unusual Items</t>
  </si>
  <si>
    <t>Income Tax Expense</t>
  </si>
  <si>
    <t>Earnings from Cont. Ops.</t>
  </si>
  <si>
    <t>Earnings of Discontinued Ops.</t>
  </si>
  <si>
    <t>Extraord. Item &amp; Account. Change</t>
  </si>
  <si>
    <t>Pref. Dividends and Other Adj.</t>
  </si>
  <si>
    <t>NI to Common Incl Extra Items</t>
  </si>
  <si>
    <t>NI to Common Excl Extra Items</t>
  </si>
  <si>
    <t>Basic EPS</t>
  </si>
  <si>
    <t>Basic EPS Excl. Extra Items</t>
  </si>
  <si>
    <t>Weighted Avg. Basic Shares Out.</t>
  </si>
  <si>
    <t>Diluted EPS</t>
  </si>
  <si>
    <t>Diluted EPS Excl Extra Items</t>
  </si>
  <si>
    <t>Weighted Avg. Diluted Shares Out.</t>
  </si>
  <si>
    <t>EBITDA</t>
  </si>
  <si>
    <t>Cash And Equivalents</t>
  </si>
  <si>
    <t>Short Term Investments</t>
  </si>
  <si>
    <t>Total Cash &amp; ST Investments</t>
  </si>
  <si>
    <t>Notes Receivable</t>
  </si>
  <si>
    <t>Total Receivables</t>
  </si>
  <si>
    <t>Inventory</t>
  </si>
  <si>
    <t>Prepaid Exp.</t>
  </si>
  <si>
    <t>Gross Property, Plant &amp; Equipment</t>
  </si>
  <si>
    <t>Accumulated Depreciation</t>
  </si>
  <si>
    <t>Net Property, Plant &amp; Equipment</t>
  </si>
  <si>
    <t>Other Intangibles</t>
  </si>
  <si>
    <t>Accrued Exp.</t>
  </si>
  <si>
    <t>Total Current Liabilities</t>
  </si>
  <si>
    <t>Retained Earnings</t>
  </si>
  <si>
    <t>Total Common Equity</t>
  </si>
  <si>
    <t>Total Liabilities And Equity</t>
  </si>
  <si>
    <t>Book Value/Share</t>
  </si>
  <si>
    <t>Net Debt</t>
  </si>
  <si>
    <t>Cash from Ops.</t>
  </si>
  <si>
    <t>Capital Expenditure</t>
  </si>
  <si>
    <t>Sale of Property, Plant, and Equipment</t>
  </si>
  <si>
    <t>Cash Acquisitions</t>
  </si>
  <si>
    <t>Divestitures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</si>
  <si>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</si>
  <si>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</si>
  <si>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</si>
  <si>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</si>
  <si>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</si>
  <si>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</si>
  <si>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</si>
  <si>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</si>
  <si>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</t>
  </si>
  <si>
    <t>Issuance of Pref. Stock</t>
  </si>
  <si>
    <t>Repurchase of Preferred</t>
  </si>
  <si>
    <t>Total Dividends Paid</t>
  </si>
  <si>
    <t>Cash from Financing</t>
  </si>
  <si>
    <t>Net Change in Cash</t>
  </si>
  <si>
    <t>Net Debt Issued</t>
  </si>
  <si>
    <t>Other Revenues</t>
  </si>
  <si>
    <t>Cost Of Goods Sold</t>
  </si>
  <si>
    <t>Selling General &amp; Admin Exp.</t>
  </si>
  <si>
    <t>Depreciation &amp; Amort.</t>
  </si>
  <si>
    <t>Other Non-Operating Inc. (Exp.)</t>
  </si>
  <si>
    <t>Merger &amp; Related Restruct. Charges</t>
  </si>
  <si>
    <t>Other Unusual Items</t>
  </si>
  <si>
    <t>Deferred Tax Assets, Curr.</t>
  </si>
  <si>
    <t>Other Current Assets</t>
  </si>
  <si>
    <t>Loans Receivable Long-Term</t>
  </si>
  <si>
    <t>Deferred Tax Assets, LT</t>
  </si>
  <si>
    <t>Other Long-Term Assets</t>
  </si>
  <si>
    <t>Unearned Revenue, Current</t>
  </si>
  <si>
    <t>Other Current Liabilities</t>
  </si>
  <si>
    <t>Def. Tax Liability, Non-Curr.</t>
  </si>
  <si>
    <t>Other Non-Current Liabilities</t>
  </si>
  <si>
    <t>Additional Paid In Capital</t>
  </si>
  <si>
    <t>Comprehensive Inc. and Other</t>
  </si>
  <si>
    <t>Amort. of Goodwill and Intangibles</t>
  </si>
  <si>
    <t>(Gain) Loss On Sale Of Invest.</t>
  </si>
  <si>
    <t>Tax Benefit from Stock Options</t>
  </si>
  <si>
    <t>Change in Acc. Receivable</t>
  </si>
  <si>
    <t>Change In Inventories</t>
  </si>
  <si>
    <t>Change in Acc. Payable</t>
  </si>
  <si>
    <t>Change in Unearned Rev.</t>
  </si>
  <si>
    <t>Change in Def. Taxes</t>
  </si>
  <si>
    <t>Net (Inc.) Dec. in Loans Originated/Sold</t>
  </si>
  <si>
    <t>Other Investing Activities</t>
  </si>
  <si>
    <t>Common Dividends Paid</t>
  </si>
  <si>
    <t>Pref. Dividends Paid</t>
  </si>
  <si>
    <t>Common and/or Pref. Dividends Paid</t>
  </si>
  <si>
    <t>Special Dividend Paid</t>
  </si>
  <si>
    <t>Other Financing Activities</t>
  </si>
  <si>
    <t>Foreign Exchange Rate Adj.</t>
  </si>
  <si>
    <t>Finance Div. Revenues</t>
  </si>
  <si>
    <t>Insurance Div. Revenues</t>
  </si>
  <si>
    <t>Interest And Invest. Income (Rev)</t>
  </si>
  <si>
    <t>Finance Div. Operating Exp.</t>
  </si>
  <si>
    <t>Insurance Div. Operating Exp.</t>
  </si>
  <si>
    <t>Interest Expense - Finance Division</t>
  </si>
  <si>
    <t>Income / (Loss) from Affiliates</t>
  </si>
  <si>
    <t>Currency Exchange Gains (Loss)</t>
  </si>
  <si>
    <t>Restructuring Charges</t>
  </si>
  <si>
    <t>Asset Writedown</t>
  </si>
  <si>
    <t>Insurance Settlements</t>
  </si>
  <si>
    <t>Legal Settlements</t>
  </si>
  <si>
    <t>Minority Int. in Earnings</t>
  </si>
  <si>
    <t>Trading Asset Securities</t>
  </si>
  <si>
    <t>Other Receivables</t>
  </si>
  <si>
    <t>Finance Div. Loans and Leases, ST</t>
  </si>
  <si>
    <t>Finance Div. Other Curr. Assets</t>
  </si>
  <si>
    <t>Loans Held For Sale</t>
  </si>
  <si>
    <t>Restricted Cash</t>
  </si>
  <si>
    <t>Long-term Investments</t>
  </si>
  <si>
    <t>Finance Div. Loans and Leases, LT</t>
  </si>
  <si>
    <t>Finance Div. Other LT Assets</t>
  </si>
  <si>
    <t>Accounts Receivable Long-Term</t>
  </si>
  <si>
    <t>Deferred Charges, LT</t>
  </si>
  <si>
    <t>Short-term Borrowings</t>
  </si>
  <si>
    <t>Current Portion of Long Term Debt</t>
  </si>
  <si>
    <t>Finance Div. Debt Current</t>
  </si>
  <si>
    <t>Finance Div. Other Curr. Liab.</t>
  </si>
  <si>
    <t>Curr. Income Taxes Payable</t>
  </si>
  <si>
    <t>Def. Tax Liability, Curr.</t>
  </si>
  <si>
    <t>Long-Term Debt</t>
  </si>
  <si>
    <t>Minority Interest</t>
  </si>
  <si>
    <t>Finance Div. Debt Non-Curr.</t>
  </si>
  <si>
    <t>Finance Div. Other Non-Curr. Liab.</t>
  </si>
  <si>
    <t>Unearned Revenue, Non-Current</t>
  </si>
  <si>
    <t>Pension &amp; Other Post-Retire. Benefits</t>
  </si>
  <si>
    <t>Pref. Stock, Redeemable</t>
  </si>
  <si>
    <t>Pref. Stock, Non-Redeem.</t>
  </si>
  <si>
    <t>Pref. Stock, Convertible</t>
  </si>
  <si>
    <t>Pref. Stock, Other</t>
  </si>
  <si>
    <t>Impair. of Oil, Gas &amp; Mineral Prop.</t>
  </si>
  <si>
    <t>(Gain) Loss From Sale Of Asset</t>
  </si>
  <si>
    <t>Asset Writedown &amp; Restructuring Costs</t>
  </si>
  <si>
    <t>Net (Increase) Decrease in Loans Orig./Sold</t>
  </si>
  <si>
    <t>Provision for Credit Losses</t>
  </si>
  <si>
    <t>(Income) Loss on Equity Invest.</t>
  </si>
  <si>
    <t>Stock-Based Compensation</t>
  </si>
  <si>
    <t>Provision &amp; Write-off of Bad debts</t>
  </si>
  <si>
    <t>Net Cash From Discontinued Ops.</t>
  </si>
  <si>
    <t>Other Operating Activities</t>
  </si>
  <si>
    <t>Change in Trad. Asset Securities</t>
  </si>
  <si>
    <t>Change in Inc. Taxes</t>
  </si>
  <si>
    <t>Exploration/Drilling Costs</t>
  </si>
  <si>
    <t>Provision for Bad Debts</t>
  </si>
  <si>
    <t>Pre-Opening Costs</t>
  </si>
  <si>
    <t>Misc. Cash Flow Adj.</t>
  </si>
  <si>
    <t>Net Income per SFAS 123 (after Options)</t>
  </si>
  <si>
    <t>Ticker</t>
  </si>
  <si>
    <t>As-Reported Total Revenue</t>
  </si>
  <si>
    <t>Filing Date</t>
  </si>
  <si>
    <t>Tangible Book Value/Share</t>
  </si>
  <si>
    <t>Total Capitalization</t>
  </si>
  <si>
    <t>LIFO Reserve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</si>
  <si>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</si>
  <si>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</si>
  <si>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</si>
  <si>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</si>
  <si>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</si>
  <si>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</si>
  <si>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</si>
  <si>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Return on Assets (%)</t>
  </si>
  <si>
    <t>Return on Capital (%)</t>
  </si>
  <si>
    <t>Return on Equity (%)</t>
  </si>
  <si>
    <t>Gross Margin (%)</t>
  </si>
  <si>
    <t>EBITDA Margin (%)</t>
  </si>
  <si>
    <t>EBIT Margin (%)</t>
  </si>
  <si>
    <t>Net Income Margin (%)</t>
  </si>
  <si>
    <t>Total Asset Turnover</t>
  </si>
  <si>
    <t>Fixed Asset Turnover</t>
  </si>
  <si>
    <t>Accounts Receivable Turnover</t>
  </si>
  <si>
    <t>Inventory Turnover</t>
  </si>
  <si>
    <t>Current Ratio</t>
  </si>
  <si>
    <t>Quick Ratio</t>
  </si>
  <si>
    <t>Avg. Cash Conversion Cycle</t>
  </si>
  <si>
    <t>EBIT / Interest Expense</t>
  </si>
  <si>
    <t>Total Debt / EBITDA</t>
  </si>
  <si>
    <t>Net Debt / EBITDA</t>
  </si>
  <si>
    <t>Altman Z Score</t>
  </si>
  <si>
    <t>EBITDA / Interest Expense</t>
  </si>
  <si>
    <t>(EBITDA-CAPEX) / Interest Expense</t>
  </si>
  <si>
    <t>Avg. Days Sales Outstanding</t>
  </si>
  <si>
    <t>Avg. Days Inventory Outstanding</t>
  </si>
  <si>
    <t>Avg. Days Payable Outstanding</t>
  </si>
  <si>
    <t>Cash from Operations to Currrent Liabilities</t>
  </si>
  <si>
    <t>Total Debt / Equity (%)</t>
  </si>
  <si>
    <t>Total Debt / Capital (%)</t>
  </si>
  <si>
    <t>LT Debt / Equity (%)</t>
  </si>
  <si>
    <t>LT Debt / Capital (%)</t>
  </si>
  <si>
    <t>Total Liabilities / Total Assets (%)</t>
  </si>
  <si>
    <t>Stock Price</t>
  </si>
  <si>
    <t>Name</t>
  </si>
  <si>
    <t>FYE</t>
  </si>
  <si>
    <t>52W High</t>
  </si>
  <si>
    <t>52W Low</t>
  </si>
  <si>
    <t>Shares Out</t>
  </si>
  <si>
    <t>Market Cap</t>
  </si>
  <si>
    <t>Cash</t>
  </si>
  <si>
    <t>Pref. Stock</t>
  </si>
  <si>
    <t>Minority Int.</t>
  </si>
  <si>
    <t>LTM</t>
  </si>
  <si>
    <t>Total Assets</t>
  </si>
  <si>
    <t>TEV / Total Revenue</t>
  </si>
  <si>
    <t>TEV / EBITDA</t>
  </si>
  <si>
    <t>TEV / EBIT</t>
  </si>
  <si>
    <t>P/E</t>
  </si>
  <si>
    <t>P/BV</t>
  </si>
  <si>
    <t>P/Tangible BV</t>
  </si>
  <si>
    <t>Value</t>
  </si>
  <si>
    <t>TEV</t>
  </si>
  <si>
    <t>Gain/(Loss) on Sale Of Assets (Rev)</t>
  </si>
  <si>
    <t>Gain/(Loss) on Sale Of Invest.(Rev)</t>
  </si>
  <si>
    <t>In Process R &amp; D Exp.</t>
  </si>
  <si>
    <t>Sale/(Purchase) of Real Estate Properties</t>
  </si>
  <si>
    <t>Sale/(Purchase) of Intangible Assets</t>
  </si>
  <si>
    <t>Invest. in Marketable &amp; Equity Sec.</t>
  </si>
  <si>
    <t>Effective Tax Rate (%)</t>
  </si>
  <si>
    <t>Payout Ratio (%)</t>
  </si>
  <si>
    <t>Tangible Book Value</t>
  </si>
  <si>
    <t>Total Shares Out. on Balance Sheet Date</t>
  </si>
  <si>
    <t>EBITDA (Incl. Equity Inc. from Affiliates)</t>
  </si>
  <si>
    <t>EBITDA (Excl. SBC and Incl. Equity Inc. from Affiliates)</t>
  </si>
  <si>
    <t>EBITDA (Excl. SBC)</t>
  </si>
  <si>
    <t>EBIT (Incl. Equity Inc. from Affiliates)</t>
  </si>
  <si>
    <t>EBIT (Excl. SBC and Incl. Equity Inc. from Affiliates)</t>
  </si>
  <si>
    <t>EBIT (Excl. SBC)</t>
  </si>
  <si>
    <t>EBITA (Incl. Equity Inc. from Affiliates)</t>
  </si>
  <si>
    <t>EBITA (Excl. SBC and Incl. Equity Inc. from Affiliates)</t>
  </si>
  <si>
    <t>EBITA (Excl. SBC)</t>
  </si>
  <si>
    <t>EBITDAR (Incl. Equity Inc. from Affiliates)</t>
  </si>
  <si>
    <t>EBITDAR (Excl. SBC and Incl. Equity Inc. from Affiliates)</t>
  </si>
  <si>
    <t>EBITDAR (Excl. SBC)</t>
  </si>
  <si>
    <t>Restr. Stock Comp. Exp., Before Tax</t>
  </si>
  <si>
    <t>Restr. Stock Comp. Exp. Tax Effect</t>
  </si>
  <si>
    <t>Restr. Stock Comp. Exp., After Tax</t>
  </si>
  <si>
    <t>Stock Options Comp. Exp., Before Tax</t>
  </si>
  <si>
    <t>Stock Options Comp. Exp. Tax Effect</t>
  </si>
  <si>
    <t>Stock Options Comp. Exp., After Tax</t>
  </si>
  <si>
    <t>Stock Based Comp. Exp., Before Tax</t>
  </si>
  <si>
    <t>Stock Based Comp. Exp. Tax Effect</t>
  </si>
  <si>
    <t>Stock Based Comp. Exp., After Tax</t>
  </si>
  <si>
    <t>EBIT</t>
  </si>
  <si>
    <t>EBITA</t>
  </si>
  <si>
    <t>EBITDAR</t>
  </si>
  <si>
    <t>Interest Capitalized</t>
  </si>
  <si>
    <t>Normalized Basic EPS</t>
  </si>
  <si>
    <t>Normalized Diluted EPS</t>
  </si>
  <si>
    <t>Distributable Cash per Share</t>
  </si>
  <si>
    <t>Revenues per Share</t>
  </si>
  <si>
    <t>Special Dividend per Share</t>
  </si>
  <si>
    <t>Dividends per Share</t>
  </si>
  <si>
    <t>Period Length in Months</t>
  </si>
  <si>
    <t>Same Store Sales Growth</t>
  </si>
  <si>
    <t>Current Domestic Taxes</t>
  </si>
  <si>
    <t>Current Foreign Taxes</t>
  </si>
  <si>
    <t>Deferred Domestic Taxes</t>
  </si>
  <si>
    <t>Deferred Foreign Taxes</t>
  </si>
  <si>
    <t>Normalized Net Income</t>
  </si>
  <si>
    <t>Interest On Long Term Debt</t>
  </si>
  <si>
    <t>Non-Cash Pension Expense</t>
  </si>
  <si>
    <t>D&amp;A For EBITDA</t>
  </si>
  <si>
    <t>Distributable Cash</t>
  </si>
  <si>
    <t>Interest Expense (Incl. Cap. Interest)</t>
  </si>
  <si>
    <t>Common Stock Dividend Declared</t>
  </si>
  <si>
    <t>Marketing Expense</t>
  </si>
  <si>
    <t>Selling And Marketing Expense</t>
  </si>
  <si>
    <t>General and Administrative Expense</t>
  </si>
  <si>
    <t>Maintenance &amp; Repair Expenses</t>
  </si>
  <si>
    <t>Imputed Oper. Lease Interest Exp</t>
  </si>
  <si>
    <t>Imputed Oper. Lease Depreciation</t>
  </si>
  <si>
    <t>Stock-Based Comp., COGS</t>
  </si>
  <si>
    <t>Stock-Based Comp., R&amp;D Exp</t>
  </si>
  <si>
    <t>Stock-Based Comp., S&amp;M Exp</t>
  </si>
  <si>
    <t>Stock-Based Comp., G&amp;A Exp</t>
  </si>
  <si>
    <t>Stock-Based Comp., SG&amp;A Exp</t>
  </si>
  <si>
    <t>Stock-Based Comp., Unallocated</t>
  </si>
  <si>
    <t>Stock-Based Comp., After-Tax</t>
  </si>
  <si>
    <t>Stock-Based Comp., Total</t>
  </si>
  <si>
    <t>Annualized Distributions per Unit</t>
  </si>
  <si>
    <t>Restatement Type</t>
  </si>
  <si>
    <t>Calculation Type</t>
  </si>
  <si>
    <t>Filing Currency</t>
  </si>
  <si>
    <t>Diluted Net Income</t>
  </si>
  <si>
    <t>Depreciation (From Notes)</t>
  </si>
  <si>
    <t>Change in Net Working Capital</t>
  </si>
  <si>
    <t>Maintenance CAPEX</t>
  </si>
  <si>
    <t>Cash per Share</t>
  </si>
  <si>
    <t>Working Capital</t>
  </si>
  <si>
    <t>Net Working Capital</t>
  </si>
  <si>
    <t>Equity Method Investments</t>
  </si>
  <si>
    <t>Inventory Method</t>
  </si>
  <si>
    <t>Full Time Employees</t>
  </si>
  <si>
    <t>Part Time Employees</t>
  </si>
  <si>
    <t>Total Employees</t>
  </si>
  <si>
    <t>Finance Division Long-term Debt, Total</t>
  </si>
  <si>
    <t>Finance Division Short-term Debt, Total</t>
  </si>
  <si>
    <t>Cost of Borrowing</t>
  </si>
  <si>
    <t>Total Debt (Excl.Fin.Div.Debt)</t>
  </si>
  <si>
    <t>Order Backlog</t>
  </si>
  <si>
    <t>Distributable Cash Payout Ratio (Income Trusts)</t>
  </si>
  <si>
    <t>Advertising Expense</t>
  </si>
  <si>
    <t>Accumulated Allowance for Doubtful Accounts</t>
  </si>
  <si>
    <t>Minority Interest, Total</t>
  </si>
  <si>
    <t>R&amp;D Expense (Foot Note)</t>
  </si>
  <si>
    <t>Change In Other Net Operating Assets</t>
  </si>
  <si>
    <t>Avg Employees</t>
  </si>
  <si>
    <t>Temporary/Seasonal Employees</t>
  </si>
  <si>
    <t>Excise Taxes Excluded from Sales</t>
  </si>
  <si>
    <t>Excise Taxes Included in Sales</t>
  </si>
  <si>
    <t>Finance Division Debt, Total</t>
  </si>
  <si>
    <t>Financial Accounting Standard</t>
  </si>
  <si>
    <t>Total Debt Current</t>
  </si>
  <si>
    <t>Restricted Cash (Non-Current)</t>
  </si>
  <si>
    <t>Finance Division Cash and Equivalents</t>
  </si>
  <si>
    <t>Finance Division Short-Term Investments</t>
  </si>
  <si>
    <t>Cash Interest Paid - Operating Activities</t>
  </si>
  <si>
    <t>Cash Interest Paid - Investing Activities</t>
  </si>
  <si>
    <t>Cash Interest Paid - Financing Activities</t>
  </si>
  <si>
    <t>Cash Taxes Paid - Operating Activities</t>
  </si>
  <si>
    <t>Cash Taxes Paid - Investing Activities</t>
  </si>
  <si>
    <t>Cash Taxes Paid - Financing Activities</t>
  </si>
  <si>
    <t>USD</t>
  </si>
  <si>
    <t>Deferred Income Taxes, Total</t>
  </si>
  <si>
    <t>Distributable Cash Shares (Basic)</t>
  </si>
  <si>
    <t>Distributable Cash Shares (Diluted)</t>
  </si>
  <si>
    <t>Distributable Cash per Share (Diluted)</t>
  </si>
  <si>
    <t>Salaries and Other Employee Benefits</t>
  </si>
  <si>
    <t>Stock-Based Comp., Exploration/Drilling Exp.</t>
  </si>
  <si>
    <t>Employees Under Union Contracts</t>
  </si>
  <si>
    <t>Contingent Liabilities</t>
  </si>
  <si>
    <t>Liquidation Value of Preferred Stock - Convertible</t>
  </si>
  <si>
    <t>Liquidation Value of Preferred Stock - Non-Redeemable</t>
  </si>
  <si>
    <t>Liquidation Value of Preferred Stock - Redeemable</t>
  </si>
  <si>
    <t>Level 1 Assets - Quoted Prices</t>
  </si>
  <si>
    <t>Netting and Other Adj. to Assets</t>
  </si>
  <si>
    <t>Fair Value of Assets</t>
  </si>
  <si>
    <t>Level 1 Liabilities - Quoted Prices</t>
  </si>
  <si>
    <t>Netting and Other Adj. to Liabilities</t>
  </si>
  <si>
    <t>Fair Value of Liabilities</t>
  </si>
  <si>
    <t>Fair Value Change Included in Earnings</t>
  </si>
  <si>
    <t>Exploration/Drilling Exp.</t>
  </si>
  <si>
    <t>Debt Issuance Costs</t>
  </si>
  <si>
    <t>Period Date</t>
  </si>
  <si>
    <t>Cash Interest Paid Net of Interest Received</t>
  </si>
  <si>
    <t>Unusual Items, Total (Supple)</t>
  </si>
  <si>
    <t>Restructuring Charges (Supple)</t>
  </si>
  <si>
    <t>Merger &amp; Related Restruct. Charges (Supple)</t>
  </si>
  <si>
    <t>Impairment of Goodwill (Supple)</t>
  </si>
  <si>
    <t>Asset Writedown, Total (Supple)</t>
  </si>
  <si>
    <t>In Process R &amp; D Exp. (Supple)</t>
  </si>
  <si>
    <t>Insurance Settlements (Supple)</t>
  </si>
  <si>
    <t>Legal Settlements (Supple)</t>
  </si>
  <si>
    <t>Other Unusual Items (Supple)</t>
  </si>
  <si>
    <t>Total Shares Out. on Filing Date</t>
  </si>
  <si>
    <t>Level 2 Assets - Observable Prices</t>
  </si>
  <si>
    <t>Level 3 Assets - Unobservable Prices</t>
  </si>
  <si>
    <t>Level 2 Liabilities - Observable Prices</t>
  </si>
  <si>
    <t>Level 3 Liabilities - Unobservable Prices</t>
  </si>
  <si>
    <t>Other Amortization</t>
  </si>
  <si>
    <t>Return on Common Equity (%)</t>
  </si>
  <si>
    <t>Total Debt / (EBITDA-CAPEX)</t>
  </si>
  <si>
    <t>Net Debt / (EBITDA-CAPEX)</t>
  </si>
  <si>
    <t>Total Revenues/ Employee</t>
  </si>
  <si>
    <t>Shares per Depository Receipt</t>
  </si>
  <si>
    <t>EBITDA - CAPEX</t>
  </si>
  <si>
    <t>Tangible Book Value Per Share (Reported)</t>
  </si>
  <si>
    <t>Total Current Taxes</t>
  </si>
  <si>
    <t>Total Deferred Taxes</t>
  </si>
  <si>
    <t>Capex as % of Revenues</t>
  </si>
  <si>
    <t>Total Intangibles</t>
  </si>
  <si>
    <t>Standardized Distributable Cash</t>
  </si>
  <si>
    <t>Construction in Progress</t>
  </si>
  <si>
    <t>Leasehold Improvements</t>
  </si>
  <si>
    <t>Amortization of Debt Issuance Costs</t>
  </si>
  <si>
    <t>Amortization of Software Assets</t>
  </si>
  <si>
    <t>Deferred Tax Valuation Allowance</t>
  </si>
  <si>
    <t>Interest Income</t>
  </si>
  <si>
    <t>Warranty Liabilities</t>
  </si>
  <si>
    <t>Investment Income</t>
  </si>
  <si>
    <t>Depreciation on Right of Use Assets</t>
  </si>
  <si>
    <t>Operating Lease Payments</t>
  </si>
  <si>
    <t>Change in Operating Lease Liabilities</t>
  </si>
  <si>
    <t>Change in Operating Lease Liabilities Non-Cash</t>
  </si>
  <si>
    <t>Right-of-Use Asset-Gross</t>
  </si>
  <si>
    <t>Right-of-Use Asset-Accumulated Depreciation</t>
  </si>
  <si>
    <t>Right-of-Use Asset-Net</t>
  </si>
  <si>
    <t>Right-of-Use Asset-Capital Lease-Gross</t>
  </si>
  <si>
    <t>Right-of-Use Asset-Capital Lease-Accumulated Depreciation</t>
  </si>
  <si>
    <t>Right-of-Use Asset-Capital Lease-Net</t>
  </si>
  <si>
    <t>Right-of-Use Asset-Operating Lease-Gross</t>
  </si>
  <si>
    <t>Right-of-Use Asset-Operating Lease-Accumulated Depreciation</t>
  </si>
  <si>
    <t>Right-of-Use Asset-Operating Lease-Net</t>
  </si>
  <si>
    <t>Non-Recurring Income Taxes</t>
  </si>
  <si>
    <t>Interest Expenses On Lease Liability/Debt</t>
  </si>
  <si>
    <t>EBITDA, Lease Adjusted</t>
  </si>
  <si>
    <t>Lease Adjustment for EBITDA</t>
  </si>
  <si>
    <t>EBITDA (Incl. Equity Inc. from Affiliates, Excl. Op. Lease Adj.)</t>
  </si>
  <si>
    <t>As Reported EBITDA</t>
  </si>
  <si>
    <t>Gain on Bargain Acquisition</t>
  </si>
  <si>
    <t>Gain on Bargain Acquisition  - Supple</t>
  </si>
  <si>
    <t>Depreciation &amp; Amortization - CF, Excl. Operating Leases</t>
  </si>
  <si>
    <t>Depreciation &amp; Amort., Total, Excl. Operating Leases</t>
  </si>
  <si>
    <t>Long-Term Debt Repaid, Excl. Leases</t>
  </si>
  <si>
    <t>Total Debt Repaid, Excl. Leases</t>
  </si>
  <si>
    <t>Gain on Bargain Acquisition - (CF)</t>
  </si>
  <si>
    <t>Current Portion of Leases</t>
  </si>
  <si>
    <t>Long-Term Leases</t>
  </si>
  <si>
    <t>Gross PP&amp;E, Excl. Operating Leases</t>
  </si>
  <si>
    <t>Accumulated Depreciation, Excl. Operating Leases</t>
  </si>
  <si>
    <t>Net PP&amp;E, Excl. Operating Leases</t>
  </si>
  <si>
    <t>Finance Leases, Current</t>
  </si>
  <si>
    <t>Finance Leases, Long Term</t>
  </si>
  <si>
    <t>Total Finance Leases</t>
  </si>
  <si>
    <t>Current Portion of Operating Lease Liabilities</t>
  </si>
  <si>
    <t>Long-Term Portion of Operating Lease Liabilities</t>
  </si>
  <si>
    <t>Total Operating Leases</t>
  </si>
  <si>
    <t>Total Leases</t>
  </si>
  <si>
    <t>Current Financing Obligations, Excl. Operating Leases</t>
  </si>
  <si>
    <t>Non-Current Financing Obligations Excl. Operating Leases</t>
  </si>
  <si>
    <t>Total Debt, Excl. Operating Leases</t>
  </si>
  <si>
    <t>Total Debt, Excl. Leases</t>
  </si>
  <si>
    <t>Long Term Marketable Securities</t>
  </si>
  <si>
    <t>Advances for Supplies</t>
  </si>
  <si>
    <t>Goodwill and Intangibles (Net)</t>
  </si>
  <si>
    <t>Goodwill (Net)</t>
  </si>
  <si>
    <t>Intangibles (Net)</t>
  </si>
  <si>
    <t>Intercompany Non-Current Assets</t>
  </si>
  <si>
    <t>Intercompany Current Liabilities</t>
  </si>
  <si>
    <t>Intercompany Non-Current Liabilities</t>
  </si>
  <si>
    <t>EBITDA, Excl. Operating Leases/Interest Expense</t>
  </si>
  <si>
    <t>(EBITDA, Excl. Operating Leases-CAPEX)/Interest Exp.</t>
  </si>
  <si>
    <t>Total Debt / EBITDA, Excl. Operating Leases</t>
  </si>
  <si>
    <t>Net Debt/EBITDA, Excl. Operating Leases</t>
  </si>
  <si>
    <t>Total Debt/(EBITDA, Excl. Operating Leases - CAPEX)</t>
  </si>
  <si>
    <t>Net Debt/(EBITDA, Excl. Operating Leases - CAPEX)</t>
  </si>
  <si>
    <t>Natural Resources, at Cost</t>
  </si>
  <si>
    <t>Number Of ADR Holders</t>
  </si>
  <si>
    <t>Debt Equiv. of Unfunded Proj. Benefit Obligation</t>
  </si>
  <si>
    <t>Debt Equivalent Oper. Leases</t>
  </si>
  <si>
    <t>Total Restricted Cash</t>
  </si>
  <si>
    <t>Intercompany Current Assets</t>
  </si>
  <si>
    <t>Cash Dividend and Interest Received</t>
  </si>
  <si>
    <t>Levered Free Cash Flow</t>
  </si>
  <si>
    <t>Unlevered Free Cash Flow</t>
  </si>
  <si>
    <t>Total Liabilities</t>
  </si>
  <si>
    <t>Total Pref. Equity</t>
  </si>
  <si>
    <t>Total Non-Current Debt</t>
  </si>
  <si>
    <t>ticker</t>
  </si>
  <si>
    <t>% of 52W High</t>
  </si>
  <si>
    <t>% of 52W Low</t>
  </si>
  <si>
    <t>Total Revenue - FY</t>
  </si>
  <si>
    <t>Total Revenue - LTM</t>
  </si>
  <si>
    <t>Total Revenue - CY+1</t>
  </si>
  <si>
    <t>Total Revenue - CY+2</t>
  </si>
  <si>
    <t>EBITDA - FY</t>
  </si>
  <si>
    <t>EBITDA - LTM</t>
  </si>
  <si>
    <t>EBITDA - CY+1</t>
  </si>
  <si>
    <t>EBITDA - CY+2</t>
  </si>
  <si>
    <t>Diluted EPS - FY</t>
  </si>
  <si>
    <t>Diluted EPS - LTM</t>
  </si>
  <si>
    <t>Diluted EPS - CY+1</t>
  </si>
  <si>
    <t>Diluted EPS - CY+2</t>
  </si>
  <si>
    <t>TEV/Total Revenue - FY</t>
  </si>
  <si>
    <t>TEV/Total Revenue - LTM</t>
  </si>
  <si>
    <t>TEV/Total Revenue - CY+1</t>
  </si>
  <si>
    <t>TEV/Total Revenue - CY+2</t>
  </si>
  <si>
    <t>TEV/EBITDA - FY</t>
  </si>
  <si>
    <t>TEV/EBITDA - LTM</t>
  </si>
  <si>
    <t>TEV/EBITDA - CY+1</t>
  </si>
  <si>
    <t>TEV/EBITDA - CY+2</t>
  </si>
  <si>
    <t>PE - FY</t>
  </si>
  <si>
    <t>PE - LTM</t>
  </si>
  <si>
    <t>PE - CY+1</t>
  </si>
  <si>
    <t>PE - CY+2</t>
  </si>
  <si>
    <t>Price / - BV</t>
  </si>
  <si>
    <t>Price / - Tangible BV</t>
  </si>
  <si>
    <t>Gross Margin - FY-2</t>
  </si>
  <si>
    <t>Gross Margin - FY-1</t>
  </si>
  <si>
    <t>Gross Margin - FY</t>
  </si>
  <si>
    <t>Gross Margin - LTM</t>
  </si>
  <si>
    <t>Net Income Margin - FY-2</t>
  </si>
  <si>
    <t>Net Income Margin - FY-1</t>
  </si>
  <si>
    <t>Net Income Margin - FY</t>
  </si>
  <si>
    <t>Net Income Margin - LTM</t>
  </si>
  <si>
    <t>Total Revenue - 5-Yr CAGR</t>
  </si>
  <si>
    <t>Total Revenue - 3-Yr CAGR</t>
  </si>
  <si>
    <t>EBITDA - 5-Yr CAGR</t>
  </si>
  <si>
    <t>EBITDA - 3-Yr CAGR</t>
  </si>
  <si>
    <t>EPS - 5-Yr CAGR</t>
  </si>
  <si>
    <t>EPS - 3-Yr CAGR</t>
  </si>
  <si>
    <t>EPS - FY</t>
  </si>
  <si>
    <t>EPS - LTM</t>
  </si>
  <si>
    <t>Total Debt/LTM EBITDA</t>
  </si>
  <si>
    <t>Net Debt/LTM EBITDA</t>
  </si>
  <si>
    <t>(Debt+Pref)/LTM EBITDA</t>
  </si>
  <si>
    <t>EBITDA/Interest</t>
  </si>
  <si>
    <t>(EBITDA-Capex)/Interest</t>
  </si>
  <si>
    <t>Total Debt/Total Equity (%)</t>
  </si>
  <si>
    <t>Total Debt/Total Cap. (%)</t>
  </si>
  <si>
    <t>Total Debt/ROE</t>
  </si>
  <si>
    <t>Total Debt/ROA</t>
  </si>
  <si>
    <t>Total Debt/ROIC</t>
  </si>
  <si>
    <t>Avg. Days Sales Out.</t>
  </si>
  <si>
    <t>Avg. Days Inv. Out.</t>
  </si>
  <si>
    <t>Avg. Days Payable Out.</t>
  </si>
  <si>
    <t>Avg. Cash Conv. Cycle</t>
  </si>
  <si>
    <t>Avg. Total Assets</t>
  </si>
  <si>
    <t>Avg. Fixed Assets</t>
  </si>
  <si>
    <t>Avg. A/R</t>
  </si>
  <si>
    <t>Avg. Inventory</t>
  </si>
  <si>
    <t>H</t>
  </si>
  <si>
    <t>date_year</t>
  </si>
  <si>
    <t>2026</t>
  </si>
  <si>
    <t>date_month</t>
  </si>
  <si>
    <t>date_day</t>
  </si>
  <si>
    <t>currency</t>
  </si>
  <si>
    <t>date</t>
  </si>
  <si>
    <t>conversion</t>
  </si>
  <si>
    <t>Total Revenue (%, yoy)</t>
  </si>
  <si>
    <t>Gross Profit (%, yoy)</t>
  </si>
  <si>
    <t>EBITDA (%, yoy)</t>
  </si>
  <si>
    <t>EBIT (%, yoy)</t>
  </si>
  <si>
    <t>Net Income (%, yoy)</t>
  </si>
  <si>
    <t>Diluted EPS before Extra (%, yoy)</t>
  </si>
  <si>
    <t>Total Revenue (%, CAGR-3Y)</t>
  </si>
  <si>
    <t>Gross Profit (%, CAGR-3Y)</t>
  </si>
  <si>
    <t>EBITDA (%, CAGR-3Y)</t>
  </si>
  <si>
    <t>EBIT (%, CAGR-3Y)</t>
  </si>
  <si>
    <t>Net Income (%, CAGR-3Y)</t>
  </si>
  <si>
    <t>Diluted EPS before Extra (%, CAGR-3Y)</t>
  </si>
  <si>
    <t>Total Revenue (%, CAGR-5Y)</t>
  </si>
  <si>
    <t>Gross Profit (%, CAGR-5Y)</t>
  </si>
  <si>
    <t>EBITDA (%, CAGR-5Y)</t>
  </si>
  <si>
    <t>EBIT (%, CAGR-5Y)</t>
  </si>
  <si>
    <t>Net Income (%, CAGR-5Y)</t>
  </si>
  <si>
    <t>Diluted EPS before Extra (%, CAGR-5Y)</t>
  </si>
  <si>
    <t>RatiosDate</t>
  </si>
  <si>
    <t>(User access restricted)</t>
  </si>
  <si>
    <t>Period</t>
  </si>
  <si>
    <t>NYSE:BAH</t>
  </si>
  <si>
    <t>6</t>
  </si>
  <si>
    <t>14</t>
  </si>
  <si>
    <t>BAABTAVMT0NBTAFI/////wFQLhwAAC5DSVEuTllTRTpCQUguSVFfTklfTk9STS45OTkuMTQvMDYvMjAyNi4uLlVTRC5IAQAAAOlxAgACAAAAAzY5MAEIAAAABQAAAAExAQAAAAstMTg4NzcwNTAwMQMAAAADMTYwAgAAAAQ0Mzc4BAAAAAEwBwAAAAk2LzE0LzIwMjYIAAAACTMvMzEvMjAyNQkAAAABMNKjttn+yd4IXfRK3f7J3gg0Q0lRLk5ZU0U6QkFILklRX0VCSVRfRVhDTF9TQkMuOTk5LjE0LzA2LzIwMjYuLi5VU0QuSAEAAADpcQIAAgAAAAQxMzA4AQgAAAAFAAAAATEBAAAACy0xODg3NzA1MDAxAwAAAAMxNjACAAAABTI0MTM0BAAAAAEwBwAAAAk2LzE0LzIwMjYIAAAACTMvMzEvMjAyNQkAAAABMLENBdr+yd4Iw4xP3f7J3ghLQ0lRLk5ZU0U6QkFILklRX0RJU1RSSUJVVEFCTEVfQ0FTSF9QRVJfU0hBUkVfRElMVVRFRC45OTkuMTQvMDYvMjAyNi4uLlVTRC5IAQAAAOlxAgADAAAAAABMgwTa/sneCMOMT93+yd4INkNJUS5OWVNFOkJBSC5JUV9BU1NFVF9XUklURURPV04uOTk5LjE0LzA2LzIwMjYuLi5VU0QuSAEAAADpcQIAAwAAAAAAxSEE2v7J3gjDjE/d/sneCDJDSVEuTllTRTpCQUguSVFfR0FJTl9JTlZFU1QuOTk5LjE0LzA2LzIwMjYuLi5VU0QuSAEAAADpcQIAAwAAAAAAxSEE2v7J3gjDjE/d/sneCC9DSVEuTllTRTpCQUguSVFfRUJUX0VYQ0wuOTk5LjE0LzA2LzIwMjYuLi5VU0QuSAEAAADp</t>
  </si>
  <si>
    <t>cQIAAgAAAAQxMTA0AQgAAAAFAAAAATEBAAAACy0xODg3NzA1MDAxAwAAAAMxNjACAAAAATQEAAAAATAHAAAACTYvMTQvMjAyNggAAAAJMy8zMS8yMDI1CQAAAAEwxSEE2v7J3gjDjE/d/sneCDdDSVEuTllTRTpCQUguSVFfVE9UQUxfT1RIRVJfT1BFUi45OTkuMTQvMDYvMjAyNi4uLlVTRC5IAQAAAOlxAgACAAAABDE1NjcBCAAAAAUAAAABMQEAAAALLTE4ODc3MDUwMDEDAAAAAzE2MAIAAAADMzgwBAAAAAEwBwAAAAk2LzE0LzIwMjYIAAAACTMvMzEvMjAyNQkAAAABMMUhBNr+yd4Iw4xP3f7J3gg0Q0lRLk5ZU0U6QkFILklRX0NVUlJFTkNZX0dBSU4uOTk5LjE0LzA2LzIwMjYuLi5VU0QuSAEAAADpcQIAAwAAAAAAxSEE2v7J3gjDjE/d/sneCDZDSVEuTllTRTpCQUguSVFfR0FJTl9JTlZFU1RfUkVWLjk5OS4xNC8wNi8yMDI2Li4uVVNELkgBAAAA6XECAAMAAAAAAJuCA9r+yd4IA/tR3f7J3ggwQ0lRLk5ZU0U6QkFILklRX1RPVEFMX1JFVi45OTkuMTQvMDYvMjAyNi4uLlVTRC5IAQAAAOlxAgACAAAABTExOTgwAQgAAAAFAAAAATEBAAAACy0xODg3NzA1MDAxAwAAAAMxNjACAAAAAjI4BAAAAAEwBwAAAAk2LzE0LzIwMjYIAAAACTMvMzEvMjAyNQkAAAABMJuCA9r+yd4IA/tR3f7J3gg0Q0lRLk5ZU0U6QkFILklRX05JX0FWQUlMX0lOQ0wuOTk5LjE0LzA2LzIwMjYuLi5VU0QuSAEAAADpcQIAAgAAAAM5</t>
  </si>
  <si>
    <t>MzABCAAAAAUAAAABMQEAAAALLTE4ODc3MDUwMDEDAAAAAzE2MAIAAAACMTYEAAAAATAHAAAACTYvMTQvMjAyNggAAAAJMy8zMS8yMDI1CQAAAAEwTIME2v7J3gjDjE/d/sneCDZDSVEuTllTRTpCQUguSVFfRVhUUkFfQUNDX0lURU1TLjk5OS4xNC8wNi8yMDI2Li4uVVNELkgBAAAA6XECAAMAAAAAAEyDBNr+yd4Iw4xP3f7J3ggxQ0lRLk5ZU0U6QkFILklRX0lOU19TRVRUTEUuOTk5LjE0LzA2LzIwMjYuLi5VU0QuSAEAAADpcQIAAgAAAAMxMTUBCAAAAAUAAAABMQEAAAALLTE4ODc3MDUwMDEDAAAAAzE2MAIAAAACNzMEAAAAATAHAAAACTYvMTQvMjAyNggAAAAJMy8zMS8yMDI1CQAAAAEwxSEE2v7J3gjDjE/d/sneCDFDSVEuTllTRTpCQUguSVFfSU5DX0VRVUlUWS45OTkuMTQvMDYvMjAyNi4uLlVTRC5IAQAAAOlxAgADAAAAAADFIQTa/sneCMOMT93+yd4IPkNJUS5OWVNFOkJBSC5JUV9FWENJU0VfVEFYRVNfRVhDTF9TQUxFUy45OTkuMTQvMDYvMjAyNi4uLlVTRC5IAQAAAOlxAgADAAAAAADSo7bZ/sneCBaaTt3+yd4IMENJUS5OWVNFOkJBSC5JUV9ESVZfU0hBUkUuOTk5LjE0LzA2LzIwMjYuLi5VU0QuSAEAAADpcQIAAgAAAAQyLjA4AQgAAAAFAAAAATEBAAAACy0xODg3NzA1MDAxAwAAAAMxNjACAAAABDMwNTgEAAAAATAHAAAACTYvMTQvMjAyNggAAAAJMy8zMS8yMDI1CQAAAAEwTIME2v7J3gjD</t>
  </si>
  <si>
    <t>jE/d/sneCDVDSVEuTllTRTpCQUguSVFfUFJPVl9CQURfREVCVFMuOTk5LjE0LzA2LzIwMjYuLi5VU0QuSAEAAADpcQIAAwAAAAAAxSEE2v7J3gjDjE/d/sneCDBDSVEuTllTRTpCQUguSVFfU0dBX1NVUFBMLjk5OS4xNC8wNi8yMDI2Li4uVVNELkgBAAAA6XECAAIAAAAEMTQwMgEIAAAABQAAAAExAQAAAAstMTg4NzcwNTAwMQMAAAADMTYwAgAAAAMxMDIEAAAAATAHAAAACTYvMTQvMjAyNggAAAAJMy8zMS8yMDI1CQAAAAEwxSEE2v7J3gjDjE/d/sneCC9DSVEuTllTRTpCQUguSVFfREFfU1VQUEwuOTk5LjE0LzA2LzIwMjYuLi5VU0QuSAEAAADpcQIAAgAAAAMxNjUBCAAAAAUAAAABMQEAAAALLTE4ODc3MDUwMDEDAAAAAzE2MAIAAAACNDEEAAAAATAHAAAACTYvMTQvMjAyNggAAAAJMy8zMS8yMDI1CQAAAAEwxSEE2v7J3gjDjE/d/sneCDJDSVEuTllTRTpCQUguSVFfRklOX0RJVl9FWFAuOTk5LjE0LzA2LzIwMjYuLi5VU0QuSAEAAADpcQIAAwAAAAAAxSEE2v7J3ggD+1Hd/sneCDBDSVEuTllTRTpCQUguSVFfUkRfRVhQX0ZOLjk5OS4xNC8wNi8yMDI2Li4uVVNELkgBAAAA6XECAAMAAAAAANKjttn+yd4IXfRK3f7J3gg8Q0lRLk5ZU0U6QkFILklRX1RPVEFMX1JFVl9BU19SRVBPUlRFRC45OTkuMTQvMDYvMjAyNi4uLlVTRC5IAQAAAOlxAgADAAAAAADSo7bZ/sneCBaaTt3+yd4INUNJUS5OWVNFOkJB</t>
  </si>
  <si>
    <t>SC5JUV9ESUxVVF9FUFNfRVhDTC45OTkuMTQvMDYvMjAyNi4uLlVTRC5IAQAAAOlxAgACAAAACDcuMjQ5OTk5AQgAAAAFAAAAATEBAAAACy0xODg3NzA1MDAxAwAAAAMxNjACAAAAAzE0MgQAAAABMAcAAAAJNi8xNC8yMDI2CAAAAAkzLzMxLzIwMjUJAAAAATBMgwTa/sneCMOMT93+yd4IKUNJUS5OWVNFOkJBSC5JUV9OSS45OTkuMTQvMDYvMjAyNi4uLlVTRC5IAQAAAOlxAgACAAAAAzkzNQEIAAAABQAAAAExAQAAAAstMTg4NzcwNTAwMQMAAAADMTYwAgAAAAIxNQQAAAABMAcAAAAJNi8xNC8yMDI2CAAAAAkzLzMxLzIwMjUJAAAAATBMgwTa/sneCMOMT93+yd4IMUNJUS5OWVNFOkJBSC5JUV9JTVBBSVJfT0lMLjk5OS4xNC8wNi8yMDI2Li4uVVNELkgBAAAA6XECAAMAAAAAAMUhBNr+yd4Iw4xP3f7J3gg7Q0lRLk5ZU0U6QkFILklRX0VCSVRfRVFfSU5DX0VYQ0xfU0JDLjk5OS4xNC8wNi8yMDI2Li4uVVNELkgBAAAA6XECAAIAAAAEMTMwOAEIAAAABQAAAAExAQAAAAstMTg4NzcwNTAwMQMAAAADMTYwAgAAAAUyNDEzMAQAAAABMAcAAAAJNi8xNC8yMDI2CAAAAAkzLzMxLzIwMjUJAAAAATCxDQXa/sneCMOMT93+yd4IMkNJUS5OWVNFOkJBSC5JUV9JTlRfSU5WX0lOQy45OTkuMTQvMDYvMjAyNi4uLlVTRC5IAQAAAOlxAgADAAAAAACbggPa/sneCAP7Ud3+yd4IPUNJUS5OWVNFOkJBSC5JUV9ERUZFUlJF</t>
  </si>
  <si>
    <t>RF9GT1JFSUdOX1RBWEVTLjk5OS4xNC8wNi8yMDI2Li4uVVNELkgBAAAA6XECAAMAAAAAANKjttn+yd4IXfRK3f7J3ggpQ0lRLk5ZU0U6QkFILklRX1BFUklPRERBVEUuOTk3LjE0LzA2LzIwMjYBAAAA6XECAAUAAAAKMzEvMDMvMjAyMwCbggPa/sneCP00HNz+yd4IKUNJUS5OWVNFOkJBSC5JUV9QRVJJT0REQVRFLjk5OC4xNC8wNi8yMDI2AQAAAOlxAgAFAAAACjMxLzAzLzIwMjQAm4ID2v7J3gg8tUHc/sneCC9DSVEuTllTRTpCQUguSVFfRklMSU5HX0NVUlJFTkNZLjEwMDAuMTQvMDYvMjAyNgEAAADpcQIAAwAAAANVU0QA0qO22f7J3ggq+EDd/sneCC9DSVEuTllTRTpCQUguSVFfUEVSSU9ETEVOR1RIX0NGLjEwMDAuMTQvMDYvMjAyNgEAAADpcQIAAQAAAAIxMgDDnH/Z/sneCCr4QN3+yd4ILkNJUS5OWVNFOkJBSC5JUV9SRVNUQVRFTUVOVF9JUy4xMDAwLjE0LzA2LzIwMjYBAAAA6XECAAMAAAABTwDSo7bZ/sneCCr4QN3+yd4ILENJUS5OWVNFOkJBSC5JUV9DQUxDX1RZUEVfSVMuMTAwMC4xNC8wNi8yMDI2AQAAAOlxAgADAAAAA1JFUADSo7bZ/sneCCr4QN3+yd4IQUNJUS5OWVNFOkJBSC5JUV9ESVNUUklCVVRBQkxFX0NBU0hfU0hBUkVTX0RJTFVURUQuMTAwMC4xNC8wNi8yMDI2AQAAAOlxAgADAAAAAABMgwTa/sneCCr4QN3+yd4IMENJUS5OWVNFOkJBSC5JUV9EUl9SQVRJT19QUklNQVJZLjEw</t>
  </si>
  <si>
    <t>MDAuMTQvMDYvMjAyNgEAAADpcQIAAwAAAAAATIME2v7J3ggq+EDd/sneCCxDSVEuTllTRTpCQUguSVFfUEFZT1VUX1JBVElPLjEwMDAuMTQvMDYvMjAyNgEAAADpcQIAAgAAAAczMi40MzI0AQgAAAAFAAAAATEBAAAACy0xODg3NzA0OTc3AwAAAAMxNjACAAAABDQzNzcEAAAAATAHAAAACTYvMTQvMjAyNggAAAAJMy8zMS8yMDI2CQAAAAEw0qO22f7J3ggq+EDd/sneCC9DSVEuTllTRTpCQUguSVFfUEVSSU9ETEVOR1RIX0lTLjEwMDAuMTQvMDYvMjAyNgEAAADpcQIAAQAAAAIxMgBMgwTa/sneCCr4QN3+yd4IP0NJUS5OWVNFOkJBSC5JUV9ESVNUUklCVVRBQkxFX0NBU0hfU0hBUkVTX0JBU0lDLjEwMDAuMTQvMDYvMjAyNgEAAADpcQIAAwAAAAAATIME2v7J3ggq+EDd/sneCCxDSVEuTllTRTpCQUguSVFfQkFTSUNfV0VJR0hULjEwMDAuMTQvMDYvMjAyNgEAAADpcQIAAgAAAAoxMjIuMDcxNjY5AEyDBNr+yd4IKvhA3f7J3ggnQ0lRLk5ZU0U6QkFILklRX0dBQVBfSVMuMTAwMC4xNC8wNi8yMDI2AQAAAOlxAgADAAAAB1VTIEdBQVAA0qO22f7J3ggq+EDd/sneCC9DSVEuTllTRTpCQUguSVFfRUZGRUNUX1RBWF9SQVRFLjEwMDAuMTQvMDYvMjAyNgEAAADpcQIAAgAAAAYxLjI3NjEBCAAAAAUAAAABMQEAAAALLTE4ODc3MDQ5NzcDAAAAAzE2MAIAAAAENDM3NgQAAAABMAcAAAAJNi8xNC8yMDI2CAAAAAkz</t>
  </si>
  <si>
    <t>LzMxLzIwMjYJAAAAATDSo7bZ/sneCCr4QN3+yd4IKkNJUS5OWVNFOkJBSC5JUV9TQU1FX1NUT1JFLjEwMDAuMTQvMDYvMjAyNgEAAADpcQIAAwAAAAAA0qO22f7J3ggq+EDd/sneCC1DSVEuTllTRTpCQUguSVFfRklMSU5HREFURV9JUy4xMDAwLjE0LzA2LzIwMjYBAAAA6XECAAUAAAAKMjIvMDUvMjAyNgBMgwTa/sneCCr4QN3+yd4ILENJUS5OWVNFOkJBSC5JUV9ESUxVVF9XRUlHSFQuMTAwMC4xNC8wNi8yMDI2AQAAAOlxAgACAAAACjEyMi4zNzUxNTEATIME2v7J3ggq+EDd/sneCDlDSVEuTllTRTpCQUguSVFfRElTVFJJQlVUQUJMRV9DQVNIX1BBWU9VVC4xMDAwLjE0LzA2LzIwMjYBAAAA6XECAAMAAAAAANKjttn+yd4IKvhA3f7J3ggqQ0lRLk5ZU0U6QkFILklRX1BFUklPRERBVEUuMTAwMC4xNC8wNi8yMDI2AQAAAOlxAgAFAAAACjMxLzAzLzIwMjYAm4ID2v7J3ggq+EDd/sneCDZDSVEuTllTRTpCQUguSVFfTUlTQ19BREpVU1RfQ0YuMTAwMC4xNC8wNi8yMDI2Li4uVVNELkgBAAAA6XECAAMAAAAAAMOcf9n+yd4IYEFI3f7J3gg5Q0lRLk5ZU0U6QkFILklRX1RPVEFMX0RFQlRfUkVQQUlELjEwMDAuMTQvMDYvMjAyNi4uLlVTRC5IAQAAAOlxAgACAAAAAy02OQEIAAAABQAAAAExAQAAAAstMTg4NzcwNDk3NwMAAAADMTYwAgAAAAQyMTY2BAAAAAEwBwAAAAk2LzE0LzIwMjYIAAAACTMvMzEvMjAy</t>
  </si>
  <si>
    <t>NgkAAAABMMOcf9n+yd4IYEFI3f7J3ggyQ0lRLk5ZU0U6QkFILklRX0NBU0hfRklOQU4uMTAwMC4xNC8wNi8yMDI2Li4uVVNELkgBAAAA6XECAAIAAAAELTg5OAEIAAAABQAAAAExAQAAAAstMTg4NzcwNDk3NwMAAAADMTYwAgAAAAQyMDA0BAAAAAEwBwAAAAk2LzE0LzIwMjYIAAAACTMvMzEvMjAyNgkAAAABMMOcf9n+yd4IYEFI3f7J3ggqQ0lRLk5ZU0U6QkFILklRX0ZYLjEwMDAuMTQvMDYvMjAyNi4uLlVTRC5IAQAAAOlxAgADAAAAAADDnH/Z/sneCGBBSN3+yd4INkNJUS5OWVNFOkJBSC5JUV9TUEVDSUFMX0RJVl9DRi4xMDAwLjE0LzA2LzIwMjYuLi5VU0QuSAEAAADpcQIAAwAAAAAAw5x/2f7J3ghgQUjd/sneCDZDSVEuTllTRTpCQUguSVFfTFRfREVCVF9JU1NVRUQuMTAwMC4xNC8wNi8yMDI2Li4uVVNELkgBAAAA6XECAAMAAAAAAMOcf9n+yd4IYEFI3f7J3ghEQ0lRLk5ZU0U6QkFILklRX0NIQU5HRV9PVEhFUl9ORVRfT1BFUl9BU1NFVFMuMTAwMC4xNC8wNi8yMDI2Li4uVVNELkgBAAAA6XECAAIAAAAELTIyMgEIAAAABQAAAAExAQAAAAstMTg4NzcwNDk3NwMAAAADMTYwAgAAAAQyMDQ1BAAAAAEwBwAAAAk2LzE0LzIwMjYIAAAACTMvMzEvMjAyNgkAAAABMCTmftn+yd4IYEFI3f7J3gg1Q0lRLk5ZU0U6QkFILklRX0lOQ19FUVVJVFlfQ0YuMTAwMC4xNC8wNi8yMDI2Li4uVVNELkgBAAAA6XEC</t>
  </si>
  <si>
    <t>AAMAAAAAAHwfftn+yd4IYEFI3f7J3gg/Q0lRLk5ZU0U6QkFILklRX09USEVSX0ZJTkFOQ0VfQUNUX1NVUFBMLjEwMDAuMTQvMDYvMjAyNi4uLlVTRC5IAQAAAOlxAgADAAAAAADDnH/Z/sneCGBBSN3+yd4IOUNJUS5OWVNFOkJBSC5JUV9UT1RBTF9ERUJUX0lTU1VFRC4xMDAwLjE0LzA2LzIwMjYuLi5VU0QuSAEAAADpcQIAAwAAAAAAw5x/2f7J3ghgQUjd/sneCDJDSVEuTllTRTpCQUguSVFfTkVUX0NIQU5HRS4xMDAwLjE0LzA2LzIwMjYuLi5VU0QuSAEAAADpcQIAAgAAAAQtMTU3AQgAAAAFAAAAATEBAAAACy0xODg3NzA0OTc3AwAAAAMxNjACAAAABDIwOTMEAAAAATAHAAAACTYvMTQvMjAyNggAAAAJMy8zMS8yMDI2CQAAAAEww5x/2f7J3ghgQUjd/sneCDVDSVEuTllTRTpCQUguSVFfQ09NTU9OX0lTU1VFRC4xMDAwLjE0LzA2LzIwMjYuLi5VU0QuSAEAAADpcQIAAgAAAAI0NQEIAAAABQAAAAExAQAAAAstMTg4NzcwNDk3NwMAAAADMTYwAgAAAAQyMTY5BAAAAAEwBwAAAAk2LzE0LzIwMjYIAAAACTMvMzEvMjAyNgkAAAABMMOcf9n+yd4IYEFI3f7J3ggxQ0lRLk5ZU0U6QkFILklRX0RJVkVTVF9DRi4xMDAwLjE0LzA2LzIwMjYuLi5VU0QuSAEAAADpcQIAAgAAAAIyMgEIAAAABQAAAAExAQAAAAstMTg4NzcwNDk3NwMAAAADMTYwAgAAAAQyMDc3BAAAAAEwBwAAAAk2LzE0LzIwMjYIAAAACTMvMzEv</t>
  </si>
  <si>
    <t>MjAyNgkAAAABMCTmftn+yd4IYEFI3f7J3gg2Q0lRLk5ZU0U6QkFILklRX09USEVSX09QRVJfQUNULjEwMDAuMTQvMDYvMjAyNi4uLlVTRC5IAQAAAOlxAgACAAAAAjg2AQgAAAAFAAAAATEBAAAACy0xODg3NzA0OTc3AwAAAAMxNjACAAAABDIwNDcEAAAAATAHAAAACTYvMTQvMjAyNggAAAAJMy8zMS8yMDI2CQAAAAEwJOZ+2f7J3ghgQUjd/sneCC1DSVEuTllTRTpCQUguSVFfREFfQ0YuMTAwMC4xNC8wNi8yMDI2Li4uVVNELkgBAAAA6XECAAIAAAADMTYzAQgAAAAFAAAAATEBAAAACy0xODg3NzA0OTc3AwAAAAMxNjACAAAABDIxNjAEAAAAATAHAAAACTYvMTQvMjAyNggAAAAJMy8zMS8yMDI2CQAAAAEwPOR82f7J3ghgQUjd/sneCDNDSVEuTllTRTpCQUguSVFfREFfU1VQUExfQ0YuMTAwMC4xNC8wNi8yMDI2Li4uVVNELkgBAAAA6XECAAIAAAACNjgBCAAAAAUAAAABMQEAAAALLTE4ODc3MDQ5NzcDAAAAAzE2MAIAAAAEMjE3MQQAAAABMAcAAAAJNi8xNC8yMDI2CAAAAAkzLzMxLzIwMjYJAAAAATA85HzZ/sneCGSvSt3+yd4IOUNJUS5OWVNFOkJBSC5JUV9TVE9DS19CQVNFRF9PVEhFUi4xMDAwLjE0LzA2LzIwMjYuLi5VU0QuSAEAAADpcQIAAwAAAAAAPOR82f7J3ghd9Erd/sneCD9DSVEuTllTRTpCQUguSVFfR0FJTl9CQVJHQUlOX0FDUV9TVVBQTEUuMTAwMC4xNC8wNi8yMDI2Li4uVVNELkgBAAAA</t>
  </si>
  <si>
    <t>6XECAAMAAAAAANKjttn+yd4IXfRK3f7J3gg1Q0lRLk5ZU0U6QkFILklRX0FJUkNSQUZUX1JFTlQuMTAwMC4xNC8wNi8yMDI2Li4uVVNELkgBAAAA6XECAAMAAAAAANKjttn+yd4IXfRK3f7J3gg5Q0lRLk5ZU0U6QkFILklRX1RPVEFMX0RJVl9QQUlEX0NGLjEwMDAuMTQvMDYvMjAyNi4uLlVTRC5IAQAAAOlxAgACAAAABC0yNzYBCAAAAAUAAAABMQEAAAALLTE4ODc3MDQ5NzcDAAAAAzE2MAIAAAAEMjAyMgQAAAABMAcAAAAJNi8xNC8yMDI2CAAAAAkzLzMxLzIwMjYJAAAAATDDnH/Z/sneCGBBSN3+yd4INkNJUS5OWVNFOkJBSC5JUV9TVF9ERUJUX0lTU1VFRC4xMDAwLjE0LzA2LzIwMjYuLi5VU0QuSAEAAADpcQIAAwAAAAAAw5x/2f7J3ghgQUjd/sneCDZDSVEuTllTRTpCQUguSVFfQ0hBTkdFX0RFRl9UQVguMTAwMC4xNC8wNi8yMDI2Li4uVVNELkgBAAAA6XECAAMAAAAAACTmftn+yd4IYEFI3f7J3ggxQ0lRLk5ZU0U6QkFILklRX0NIQU5HRV9BUC4xMDAwLjE0LzA2LzIwMjYuLi5VU0QuSAEAAADpcQIAAgAAAAMtODYBCAAAAAUAAAABMQEAAAALLTE4ODc3MDQ5NzcDAAAAAzE2MAIAAAAEMjAxNwQAAAABMAcAAAAJNi8xNC8yMDI2CAAAAAkzLzMxLzIwMjYJAAAAATAk5n7Z/sneCGBBSN3+yd4IMkNJUS5OWVNFOkJBSC5JUV9DT01NT05fUkVQLjEwMDAuMTQvMDYvMjAyNi4uLlVTRC5IAQAAAOlxAgAC</t>
  </si>
  <si>
    <t>AAAABC01OTgBCAAAAAUAAAABMQEAAAALLTE4ODc3MDQ5NzcDAAAAAzE2MAIAAAAEMjE2NAQAAAABMAcAAAAJNi8xNC8yMDI2CAAAAAkzLzMxLzIwMjYJAAAAATDDnH/Z/sneCGBBSN3+yd4ILUNJUS5OWVNFOkJBSC5JUV9DQVBFWC4xMDAwLjE0LzA2LzIwMjYuLi5VU0QuSAEAAADpcQIAAgAAAAMtOTABCAAAAAUAAAABMQEAAAALLTE4ODc3MDQ5NzcDAAAAAzE2MAIAAAAEMjAyMQQAAAABMAcAAAAJNi8xNC8yMDI2CAAAAAkzLzMxLzIwMjYJAAAAATAk5n7Z/sneCGBBSN3+yd4IOUNJUS5OWVNFOkJBSC5JUV9TVE9DS19CQVNFRF9UT1RBTC4xMDAwLjE0LzA2LzIwMjYuLi5VU0QuSAEAAADpcQIAAgAAAAI2OQEIAAAABQAAAAExAQAAAAstMTg4NzcwNDk3NwMAAAADMTYwAgAAAAUyNDAzNAQAAAABMAcAAAAJNi8xNC8yMDI2CAAAAAkzLzMxLzIwMjYJAAAAATA85HzZ/sneCF30St3+yd4INkNJUS5OWVNFOkJBSC5JUV9ORVRfUkVOVEFMX0VYUC4xMDAwLjE0LzA2LzIwMjYuLi5VU0QuSAEAAADpcQIAAgAAAAI3NQEIAAAABQAAAAExAQAAAAstMTg4NzcwNDk3NwMAAAADMTYwAgAAAAUyNDI2MQQAAAABMAcAAAAJNi8xNC8yMDI2CAAAAAkzLzMxLzIwMjYJAAAAATDSo7bZ/sneCF30St3+yd4IOkNJUS5OWVNFOkJBSC5JUV9JTlZFU1RfU0VDVVJJVFlfQ0YuMTAwMC4xNC8wNi8yMDI2Li4uVVNELkgBAAAA6XEC</t>
  </si>
  <si>
    <t>AAIAAAAELTIzMgEIAAAABQAAAAExAQAAAAstMTg4NzcwNDk3NwMAAAADMTYwAgAAAAQyMDI3BAAAAAEwBwAAAAk2LzE0LzIwMjYIAAAACTMvMzEvMjAyNgkAAAABMCTmftn+yd4IYEFI3f7J3gg6Q0lRLk5ZU0U6QkFILklRX0FTU0VUX1dSSVRFRE9XTl9DRi4xMDAwLjE0LzA2LzIwMjYuLi5VU0QuSAEAAADpcQIAAwAAAAAAPOR82f7J3ghgQUjd/sneCDhDSVEuTllTRTpCQUguSVFfR0FJTl9CQVJHQUlOX0FDUS4xMDAwLjE0LzA2LzIwMjYuLi5VU0QuSAEAAADpcQIAAwAAAAAA0qO22f7J3ghd9Erd/sneCEJDSVEuTllTRTpCQUguSVFfREVQUkVDSUFUSU9OX1JFTlRBTF9BU1NFVFMuMTAwMC4xNC8wNi8yMDI2Li4uVVNELkgBAAAA6XECAAMAAAAAANKjttn+yd4IXfRK3f7J3gg7Q0lRLk5ZU0U6QkFILklRX05PTkNBU0hfUEVOU0lPTl9FWFAuMTAwMC4xNC8wNi8yMDI2Li4uVVNELkgBAAAA6XECAAMAAAAAANKjttn+yd4IXfRK3f7J3gg7Q0lRLk5ZU0U6QkFILklRX0NVUlJfRE9NRVNUSUNfVEFYRVMuMTAwMC4xNC8wNi8yMDI2Li4uVVNELkgBAAAA6XECAAIAAAADLTI3AQgAAAAFAAAAATEBAAAACy0xODg3NzA0OTc3AwAAAAMxNjACAAAABDMwMjcEAAAAATAHAAAACTYvMTQvMjAyNggAAAAJMy8zMS8yMDI2CQAAAAEw0qO22f7J3ggWmk7d/sneCDhDSVEuTllTRTpCQUguSVFfRUJJVERBUl9FWENMX1NC</t>
  </si>
  <si>
    <t>Qy4xMDAwLjE0LzA2LzIwMjYuLi5VU0QuSAEAAADpcQIAAgAAAAQxNDAyAQgAAAAFAAAAATEBAAAACy0xODg3NzA0OTc3AwAAAAMxNjACAAAABTI0MTM3BAAAAAEwBwAAAAk2LzE0LzIwMjYIAAAACTMvMzEvMjAyNgkAAAABMNKjttn+yd4IFppO3f7J3ggvQ0lRLk5ZU0U6QkFILklRX0VCSVREQVIuMTAwMC4xNC8wNi8yMDI2Li4uVVNELkgBAAAA6XECAAIAAAAEMTMzMwEIAAAABQAAAAExAQAAAAstMTg4NzcwNDk3NwMAAAADMTYwAgAAAAUyMTY3NAQAAAABMAcAAAAJNi8xNC8yMDI2CAAAAAkzLzMxLzIwMjYJAAAAATDSo7bZ/sneCMOMT93+yd4INUNJUS5OWVNFOkJBSC5JUV9DT01NT05fRElWX0NGLjEwMDAuMTQvMDYvMjAyNi4uLlVTRC5IAQAAAOlxAgACAAAABC0yNzYBCAAAAAUAAAABMQEAAAALLTE4ODc3MDQ5NzcDAAAAAzE2MAIAAAAEMjA3NAQAAAABMAcAAAAJNi8xNC8yMDI2CAAAAAkzLzMxLzIwMjYJAAAAATDDnH/Z/sneCGBBSN3+yd4ILUNJUS5OWVNFOkJBSC5JUV9OSV9DRi4xMDAwLjE0LzA2LzIwMjYuLi5VU0QuSAEAAADpcQIAAgAAAAM4NTEBCAAAAAUAAAABMQEAAAALLTE4ODc3MDQ5NzcDAAAAAzE2MAIAAAAEMjE1MAQAAAABMAcAAAAJNi8xNC8yMDI2CAAAAAkzLzMxLzIwMjYJAAAAATA85HzZ/sneCGSvSt3+yd4IN0NJUS5OWVNFOkJBSC5JUV9TVE9DS19CQVNFRF9TR0EuMTAwMC4x</t>
  </si>
  <si>
    <t>NC8wNi8yMDI2Li4uVVNELkgBAAAA6XECAAMAAAAAADzkfNn+yd4IXfRK3f7J3ggzQ0lRLk5ZU0U6QkFILklRX0NBU0hfSU5WRVNULjEwMDAuMTQvMDYvMjAyNi4uLlVTRC5IAQAAAOlxAgACAAAABC0zMDABCAAAAAUAAAABMQEAAAALLTE4ODc3MDQ5NzcDAAAAAzE2MAIAAAAEMjAwNQQAAAABMAcAAAAJNi8xNC8yMDI2CAAAAAkzLzMxLzIwMjYJAAAAATAk5n7Z/sneCGBBSN3+yd4IN0NJUS5OWVNFOkJBSC5JUV9DQVNIX0FDUVVJUkVfQ0YuMTAwMC4xNC8wNi8yMDI2Li4uVVNELkgBAAAA6XECAAMAAAAAACTmftn+yd4IYEFI3f7J3gg5Q0lRLk5ZU0U6QkFILklRX0dXX0lOVEFOX0FNT1JUX0NGLjEwMDAuMTQvMDYvMjAyNi4uLlVTRC5IAQAAAOlxAgACAAAAAjk1AQgAAAAFAAAAATEBAAAACy0xODg3NzA0OTc3AwAAAAMxNjACAAAABDIxODIEAAAAATAHAAAACTYvMTQvMjAyNggAAAAJMy8zMS8yMDI2CQAAAAEwPOR82f7J3ghkr0rd/sneCDpDSVEuTllTRTpCQUguSVFfU1RPQ0tfT1BUSU9OU19DT01QLjEwMDAuMTQvMDYvMjAyNi4uLlVTRC5IAQAAAOlxAgADAAAAAAA85HzZ/sneCF30St3+yd4IPENJUS5OWVNFOkJBSC5JUV9PVEhFUl9VTlVTVUFMX1NVUFBMRS4xMDAwLjE0LzA2LzIwMjYuLi5VU0QuSAEAAADpcQIAAwAAAAAA0qO22f7J3ghd9Erd/sneCCtDSVEuTllTRTpCQUguSVFfRElDLjEwMDAu</t>
  </si>
  <si>
    <t>MTQvMDYvMjAyNi4uLlVTRC5IAQAAAOlxAgADAAAAAADSo7bZ/sneCF30St3+yd4INUNJUS5OWVNFOkJBSC5JUV9TQUxFX0lOVEFOX0NGLjEwMDAuMTQvMDYvMjAyNi4uLlVTRC5IAQAAAOlxAgADAAAAAAAk5n7Z/sneCGBBSN3+yd4IP0NJUS5OWVNFOkJBSC5JUV9FWFBMT1JFX0RSSUxMX0VYUF9UT1RBTC4xMDAwLjE0LzA2LzIwMjYuLi5VU0QuSAEAAADpcQIAAwAAAAAA0qO22f7J3ghd9Erd/sneCDZDSVEuTllTRTpCQUguSVFfU1RPQ0tfQkFTRURfQVQuMTAwMC4xNC8wNi8yMDI2Li4uVVNELkgBAAAA6XECAAMAAAAAADzkfNn+yd4IXfRK3f7J3gg1Q0lRLk5ZU0U6QkFILklRX01FUkdFUl9TVVBQTEUuMTAwMC4xNC8wNi8yMDI2Li4uVVNELkgBAAAA6XECAAMAAAAAANKjttn+yd4IXfRK3f7J3gg3Q0lRLk5ZU0U6QkFILklRX1NBTEVTX01BUktFVElORy4xMDAwLjE0LzA2LzIwMjYuLi5VU0QuSAEAAADpcQIAAwAAAAAA0qO22f7J3ghd9Erd/sneCDxDSVEuTllTRTpCQUguSVFfREVGRVJSRURfVEFYRVNfVE9UQUwuMTAwMC4xNC8wNi8yMDI2Li4uVVNELkgBAAAA6XECAAIAAAACMzUBCAAAAAUAAAABMQEAAAALLTE4ODc3MDQ5NzcDAAAAAzE2MAIAAAAFMzUzODUEAAAAATAHAAAACTYvMTQvMjAyNggAAAAJMy8zMS8yMDI2CQAAAAEw0qO22f7J3gi/H03d/sneCDpDSVEuTllTRTpCQUguSVFfQVNfUkVQ</t>
  </si>
  <si>
    <t>T1JURURfRUJJVERBLjEwMDAuMTQvMDYvMjAyNi4uLlVTRC5IAQAAAOlxAgACAAAABDEyMjkA0qO22f7J3ggWmk7d/sneCDlDSVEuTllTRTpCQUguSVFfRkVFU19PVEhFUl9JTkNPTUUuMTAwMC4xNC8wNi8yMDI2Li4uVVNELkgBAAAA6XECAAMAAAAAANKjttn+yd4IFppO3f7J3ggsQ0lRLk5ZU0U6QkFILklRX0VCSVQuMTAwMC4xNC8wNi8yMDI2Li4uVVNELkgBAAAA6XECAAIAAAAEMTA5NQEIAAAABQAAAAExAQAAAAstMTg4NzcwNDk3NwMAAAADMTYwAgAAAAM0MDAEAAAAATAHAAAACTYvMTQvMjAyNggAAAAJMy8zMS8yMDI2CQAAAAEwsQ0F2v7J3gjDjE/d/sneCDVDSVEuTllTRTpCQUguSVFfTklfQVZBSUxfRVhDTC4xMDAwLjE0LzA2LzIwMjYuLi5VU0QuSAEAAADpcQIAAgAAAAM4NDUBCAAAAAUAAAABMQEAAAALLTE4ODc3MDQ5NzcDAAAAAzE2MAIAAAADMzc5BAAAAAEwBwAAAAk2LzE0LzIwMjYIAAAACTMvMzEvMjAyNgkAAAABMEyDBNr+yd4Iw4xP3f7J3ggyQ0lRLk5ZU0U6QkFILklRX0lOU19TRVRUTEUuMTAwMC4xNC8wNi8yMDI2Li4uVVNELkgBAAAA6XECAAMAAAAAAMUhBNr+yd4Iw4xP3f7J3ggzQ0lRLk5ZU0U6QkFILklRX0dBSU5fQVNTRVRTLjEwMDAuMTQvMDYvMjAyNi4uLlVTRC5IAQAAAOlxAgACAAAAATYBCAAAAAUAAAABMQEAAAALLTE4ODc3MDQ5NzcDAAAAAzE2MAIAAAACNTYEAAAA</t>
  </si>
  <si>
    <t>ATAHAAAACTYvMTQvMjAyNggAAAAJMy8zMS8yMDI2CQAAAAEwxSEE2v7J3gjDjE/d/sneCD5DSVEuTllTRTpCQUguSVFfT1RIRVJfSU5WRVNUX0FDVF9TVVBQTC4xMDAwLjE0LzA2LzIwMjYuLi5VU0QuSAEAAADpcQIAAwAAAAAAJOZ+2f7J3ghgQUjd/sneCEFDSVEuTllTRTpCQUguSVFfU1RPQ0tfQkFTRURfRVhQTE9SRV9EUklMTC4xMDAwLjE0LzA2LzIwMjYuLi5VU0QuSAEAAADpcQIAAwAAAAAAPOR82f7J3ghd9Erd/sneCDlDSVEuTllTRTpCQUguSVFfSU5TX1NFVFRMRV9TVVBQTEUuMTAwMC4xNC8wNi8yMDI2Li4uVVNELkgBAAAA6XECAAMAAAAAANKjttn+yd4IXfRK3f7J3ggwQ0lRLk5ZU0U6QkFILklRX1BSRUZfUkVQLjEwMDAuMTQvMDYvMjAyNi4uLlVTRC5IAQAAAOlxAgADAAAAAADDnH/Z/sneCGBBSN3+yd4ILUNJUS5OWVNFOkJBSC5JUV9ET19DRi4xMDAwLjE0LzA2LzIwMjYuLi5VU0QuSAEAAADpcQIAAwAAAAAAJOZ+2f7J3ghgQUjd/sneCDhDSVEuTllTRTpCQUguSVFfSU5UX0VYUF9JTkNMX0NBUC4xMDAwLjE0LzA2LzIwMjYuLi5VU0QuSAEAAADpcQIAAgAAAAMxODQBCAAAAAUAAAABMQEAAAALLTE4ODc3MDQ5NzcDAAAAAzE2MAIAAAAFMjE4NjEEAAAAATAHAAAACTYvMTQvMjAyNggAAAAJMy8zMS8yMDI2CQAAAAEw0qO22f7J3ghd9Erd/sneCDxDSVEuTllTRTpCQUguSVFfQ0FQSVRB</t>
  </si>
  <si>
    <t>TElaRURfSU5URVJFU1QuMTAwMC4xNC8wNi8yMDI2Li4uVVNELkgBAAAA6XECAAMAAAAAANKjttn+yd4IXfRK3f7J3gg3Q0lRLk5ZU0U6QkFILklRX0lOVEVSRVNUX0lOQ09NRS4xMDAwLjE0LzA2LzIwMjYuLi5VU0QuSAEAAADpcQIAAwAAAAAA0qO22f7J3ggWmk7d/sneCDZDSVEuTllTRTpCQUguSVFfRUJJVEFfRVhDTF9TQkMuMTAwMC4xNC8wNi8yMDI2Li4uVVNELkgBAAAA6XECAAIAAAAEMTI1OQEIAAAABQAAAAExAQAAAAstMTg4NzcwNDk3NwMAAAADMTYwAgAAAAUyNDEzNgQAAAABMAcAAAAJNi8xNC8yMDI2CAAAAAkzLzMxLzIwMjYJAAAAATDSo7bZ/sneCMOMT93+yd4INUNJUS5OWVNFOkJBSC5JUV9FQklUREFfRVFfSU5DLjEwMDAuMTQvMDYvMjAyNi4uLlVTRC5IAQAAAOlxAgACAAAABDEzMzMBCAAAAAUAAAABMQEAAAALLTE4ODc3MDQ5NzcDAAAAAzE2MAIAAAAFMjE2NzcEAAAAATAHAAAACTYvMTQvMjAyNggAAAAJMy8zMS8yMDI2CQAAAAEwTIME2v7J3gjDjE/d/sneCDBDSVEuTllTRTpCQUguSVFfRVBTX05PUk0uMTAwMC4xNC8wNi8yMDI2Li4uVVNELkgBAAAA6XECAAIAAAAINC42OTQ5ODcBCAAAAAUAAAABMQEAAAALLTE4ODc3MDQ5NzcDAAAAAzE2MAIAAAAENDM3OQQAAAABMAcAAAAJNi8xNC8yMDI2CAAAAAkzLzMxLzIwMjYJAAAAATBMgwTa/sneCMOMT93+yd4INkNJUS5OWVNFOkJB</t>
  </si>
  <si>
    <t>SC5JUV9ESUxVVF9FUFNfSU5DTC4xMDAwLjE0LzA2LzIwMjYuLi5VU0QuSAEAAADpcQIAAgAAAAM2LjkBCAAAAAUAAAABMQEAAAALLTE4ODc3MDQ5NzcDAAAAAzE2MAIAAAABOAQAAAABMAcAAAAJNi8xNC8yMDI2CAAAAAkzLzMxLzIwMjYJAAAAATBMgwTa/sneCMOMT93+yd4IL0NJUS5OWVNFOkJBSC5JUV9JTkNfVEFYLjEwMDAuMTQvMDYvMjAyNi4uLlVTRC5IAQAAAOlxAgACAAAAAjExAQgAAAAFAAAAATEBAAAACy0xODg3NzA0OTc3AwAAAAMxNjACAAAAAjc1BAAAAAEwBwAAAAk2LzE0LzIwMjYIAAAACTMvMzEvMjAyNgkAAAABMEyDBNr+yd4Iw4xP3f7J3ghAQ0lRLk5ZU0U6QkFILklRX09USEVSX05PTl9PUEVSX0VYUF9TVVBQTC4xMDAwLjE0LzA2LzIwMjYuLi5VU0QuSAEAAADpcQIAAgAAAAE2AQgAAAAFAAAAATEBAAAACy0xODg3NzA0OTc3AwAAAAMxNjACAAAAAjg1BAAAAAEwBwAAAAk2LzE0LzIwMjYIAAAACTMvMzEvMjAyNgkAAAABMMUhBNr+yd4Iw4xP3f7J3ggxQ0lRLk5ZU0U6QkFILklRX0NBU0hfT1BFUi4xMDAwLjE0LzA2LzIwMjYuLi5VU0QuSAEAAADpcQIAAgAAAAQxMDQxAQgAAAAFAAAAATEBAAAACy0xODg3NzA0OTc3AwAAAAMxNjACAAAABDIwMDYEAAAAATAHAAAACTYvMTQvMjAyNggAAAAJMy8zMS8yMDI2CQAAAAEwJOZ+2f7J3ghgQUjd/sneCDxDSVEuTllTRTpCQUguSVFfVE9U</t>
  </si>
  <si>
    <t>QUxfVU5VU1VBTF9TVVBQTEUuMTAwMC4xNC8wNi8yMDI2Li4uVVNELkgBAAAA6XECAAMAAAAAANKjttn+yd4IXfRK3f7J3gg/Q0lRLk5ZU0U6QkFILklRX1NBTEFSSUVTX09USEVSX0JFTkVGSVRTLjEwMDAuMTQvMDYvMjAyNi4uLlVTRC5IAQAAAOlxAgADAAAAAADSo7bZ/sneCF30St3+yd4IOkNJUS5OWVNFOkJBSC5JUV9DT01NT05fUFJFRl9ESVZfQ0YuMTAwMC4xNC8wNi8yMDI2Li4uVVNELkgBAAAA6XECAAMAAAAAAMOcf9n+yd4IYEFI3f7J3gg2Q0lRLk5ZU0U6QkFILklRX0NSRURJVF9MT1NTX0NGLjEwMDAuMTQvMDYvMjAyNi4uLlVTRC5IAQAAAOlxAgADAAAAAAB8H37Z/sneCGBBSN3+yd4IOENJUS5OWVNFOkJBSC5JUV9TVE9DS19CQVNFRF9DT01QLjEwMDAuMTQvMDYvMjAyNi4uLlVTRC5IAQAAAOlxAgACAAAAAjU3ADzkfNn+yd4IZK9K3f7J3gg/Q0lRLk5ZU0U6QkFILklRX1NUT0NLX0JBU0VEX0NPTVBfUFJFVEFYLjEwMDAuMTQvMDYvMjAyNi4uLlVTRC5IAQAAAOlxAgACAAAAAjY5ADzkfNn+yd4IZK9K3f7J3gg+Q0lRLk5ZU0U6QkFILklRX1NUT0NLX09QVElPTlNfQ09NUF9UQVguMTAwMC4xNC8wNi8yMDI2Li4uVVNELkgBAAAA6XECAAMAAAAAADzkfNn+yd4IXfRK3f7J3gg2Q0lRLk5ZU0U6QkFILklRX1NUT0NLX0JBU0VEX0dBLjEwMDAuMTQvMDYvMjAyNi4uLlVTRC5IAQAAAOlxAgAC</t>
  </si>
  <si>
    <t>AAAAAjQyAQgAAAAFAAAAATEBAAAACy0xODg3NzA0OTc3AwAAAAMxNjACAAAABTIyNjc1BAAAAAEwBwAAAAk2LzE0LzIwMjYIAAAACTMvMzEvMjAyNgkAAAABMDzkfNn+yd4IXfRK3f7J3gg2Q0lRLk5ZU0U6QkFILklRX01JTklNVU1fUkVOVEFMLjEwMDAuMTQvMDYvMjAyNi4uLlVTRC5IAQAAAOlxAgADAAAAAADSo7bZ/sneCF30St3+yd4ILkNJUS5OWVNFOkJBSC5JUV9HQV9FWFAuMTAwMC4xNC8wNi8yMDI2Li4uVVNELkgBAAAA6XECAAIAAAAEMTE3NgEIAAAABQAAAAExAQAAAAstMTg4NzcwNDk3NwMAAAADMTYwAgAAAAUyMTU2MgQAAAABMAcAAAAJNi8xNC8yMDI2CAAAAAkzLzMxLzIwMjYJAAAAATDSo7bZ/sneCF30St3+yd4IM0NJUS5OWVNFOkJBSC5JUV9BRFZFUlRJU0lORy4xMDAwLjE0LzA2LzIwMjYuLi5VU0QuSAEAAADpcQIAAwAAAAAA0qO22f7J3ghd9Erd/sneCEdDSVEuTllTRTpCQUguSVFfRElTVFJJQlVUQUJMRV9DQVNIX1NUQU5EQVJESVpFRC4xMDAwLjE0LzA2LzIwMjYuLi5VU0QuSAEAAADpcQIAAwAAAAAA0qO22f7J3ghd9Erd/sneCD9DSVEuTllTRTpCQUguSVFfREVGRVJSRURfRE9NRVNUSUNfVEFYRVMuMTAwMC4xNC8wNi8yMDI2Li4uVVNELkgBAAAA6XECAAIAAAACMzUBCAAAAAUAAAABMQEAAAALLTE4ODc3MDQ5NzcDAAAAAzE2MAIAAAAEMzA1NAQAAAABMAcAAAAJNi8xNC8y</t>
  </si>
  <si>
    <t>MDI2CAAAAAkzLzMxLzIwMjYJAAAAATDSo7bZ/sneCBaaTt3+yd4INkNJUS5OWVNFOkJBSC5JUV9DSEFOR0VfSU5DX1RBWC4xMDAwLjE0LzA2LzIwMjYuLi5VU0QuSAEAAADpcQIAAgAAAAMtMTEBCAAAAAUAAAABMQEAAAALLTE4ODc3MDQ5NzcDAAAAAzE2MAIAAAAEMjEwMQQAAAABMAcAAAAJNi8xNC8yMDI2CAAAAAkzLzMxLzIwMjYJAAAAATAk5n7Z/sneCGBBSN3+yd4INkNJUS5OWVNFOkJBSC5JUV9TVE9DS19CQVNFRF9DRi4xMDAwLjE0LzA2LzIwMjYuLi5VU0QuSAEAAADpcQIAAgAAAAI2OQEIAAAABQAAAAExAQAAAAstMTg4NzcwNDk3NwMAAAADMTYwAgAAAAQyMTI3BAAAAAEwBwAAAAk2LzE0LzIwMjYIAAAACTMvMzEvMjAyNgkAAAABMHwfftn+yd4IYEFI3f7J3ghAQ0lRLk5ZU0U6QkFILklRX0lNUFVUX09QRVJfTEVBU0VfSU5UX0VYUC4xMDAwLjE0LzA2LzIwMjYuLi5VU0QuSAEAAADpcQIAAgAAAAcyNi40NzE0AQgAAAAFAAAAATEBAAAACy0xODg3NzA0OTc3AwAAAAMxNjACAAAABTIxNjcyBAAAAAEwBwAAAAk2LzE0LzIwMjYIAAAACTMvMzEvMjAyNgkAAAABMNKjttn+yd4IXfRK3f7J3gg9Q0lRLk5ZU0U6QkFILklRX0NIQU5HRV9UUkFESU5HX0FTU0VUUy4xMDAwLjE0LzA2LzIwMjYuLi5VU0QuSAEAAADpcQIAAwAAAAAAJOZ+2f7J3ghgQUjd/sneCDhDSVEuTllTRTpCQUguSVFfUkVTVFJf</t>
  </si>
  <si>
    <t>U1RPQ0tfQ09NUC4xMDAwLjE0LzA2LzIwMjYuLi5VU0QuSAEAAADpcQIAAwAAAAAAPOR82f7J3ghd9Erd/sneCDtDSVEuTllTRTpCQUguSVFfTEVHQUxfU0VUVExFX1NVUFBMRS4xMDAwLjE0LzA2LzIwMjYuLi5VU0QuSAEAAADpcQIAAwAAAAAA0qO22f7J3ghd9Erd/sneCDNDSVEuTllTRTpCQUguSVFfSU5UX0VYUF9MVEQuMTAwMC4xNC8wNi8yMDI2Li4uVVNELkgBAAAA6XECAAIAAAADMjEzAQgAAAAFAAAAATEBAAAACy0xODg3NzA0OTc3AwAAAAMxNjACAAAABDMxMDEEAAAAATAHAAAACTYvMTQvMjAyNggAAAAJMy8zMS8yMDI2CQAAAAEw0qO22f7J3ghd9Erd/sneCDlDSVEuTllTRTpCQUguSVFfSU5WRVNUTUVOVF9JTkNPTUUuMTAwMC4xNC8wNi8yMDI2Li4uVVNELkgBAAAA6XECAAMAAAAAANKjttn+yd4IFppO3f7J3ghBQ0lRLk5ZU0U6QkFILklRX0VBUk5JTkdfUEFSRU5UX0VYQ0xfRVhUUkEuMTAwMC4xNC8wNi8yMDI2Li4uVVNELkgBAAAA6XECAAIAAAADODUxAQgAAAAFAAAAATEBAAAACy0xODg3NzA0OTc3AwAAAAMxNjACAAAABTQxNTk2BAAAAAEwBwAAAAk2LzE0LzIwMjYIAAAACTMvMzEvMjAyNgkAAAABMNKjttn+yd4IFppO3f7J3gg0Q0lRLk5ZU0U6QkFILklRX0VCSVRBX0VRX0lOQy4xMDAwLjE0LzA2LzIwMjYuLi5VU0QuSAEAAADpcQIAAgAAAAQxMTkwAQgAAAAFAAAAATEBAAAACy0x</t>
  </si>
  <si>
    <t>ODg3NzA0OTc3AwAAAAMxNjACAAAABTIxNjc2BAAAAAEwBwAAAAk2LzE0LzIwMjYIAAAACTMvMzEvMjAyNgkAAAABMNKjttn+yd4Iw4xP3f7J3gg2Q0lRLk5ZU0U6QkFILklRX0RJTFVUX0VQU19FWENMLjEwMDAuMTQvMDYvMjAyNi4uLlVTRC5IAQAAAOlxAgACAAAAAzYuOQEIAAAABQAAAAExAQAAAAstMTg4NzcwNDk3NwMAAAADMTYwAgAAAAMxNDIEAAAAATAHAAAACTYvMTQvMjAyNggAAAAJMy8zMS8yMDI2CQAAAAEwTIME2v7J3gjDjE/d/sneCDNDSVEuTllTRTpCQUguSVFfUFJFRl9JU1NVRUQuMTAwMC4xNC8wNi8yMDI2Li4uVVNELkgBAAAA6XECAAMAAAAAAMOcf9n+yd4IYEFI3f7J3gg3Q0lRLk5ZU0U6QkFILklRX0lOVkVTVF9MT0FOU19DRi4xMDAwLjE0LzA2LzIwMjYuLi5VU0QuSAEAAADpcQIAAwAAAAAAJOZ+2f7J3ghgQUjd/sneCDlDSVEuTllTRTpCQUguSVFfUFJPVl9CQURfREVCVFNfQ0YuMTAwMC4xNC8wNi8yMDI2Li4uVVNELkgBAAAA6XECAAMAAAAAACTmftn+yd4IYEFI3f7J3gg2Q0lRLk5ZU0U6QkFILklRX0dBSU5fSU5WRVNUX0NGLjEwMDAuMTQvMDYvMjAyNi4uLlVTRC5IAQAAAOlxAgACAAAAAy0xNgEIAAAABQAAAAExAQAAAAstMTg4NzcwNDk3NwMAAAADMTYwAgAAAAQyMDkwBAAAAAEwBwAAAAk2LzE0LzIwMjYIAAAACTMvMzEvMjAyNgkAAAABMDzkfNn+yd4IYEFI3f7J3gg8</t>
  </si>
  <si>
    <t>Q0lRLk5ZU0U6QkFILklRX01JTk9SSVRZX0lOVEVSRVNUX0NGLjEwMDAuMTQvMDYvMjAyNi4uLlVTRC5IAQAAAOlxAgADAAAAAAA85HzZ/sneCGSvSt3+yd4IP0NJUS5OWVNFOkJBSC5JUV9SRVNUUl9TVE9DS19DT01QX1BSRVRBWC4xMDAwLjE0LzA2LzIwMjYuLi5VU0QuSAEAAADpcQIAAwAAAAAAPOR82f7J3ghd9Erd/sneCDZDSVEuTllTRTpCQUguSVFfU1RPQ0tfQkFTRURfUkQuMTAwMC4xNC8wNi8yMDI2Li4uVVNELkgBAAAA6XECAAMAAAAAANKjttn+yd4IXfRK3f7J3gg6Q0lRLk5ZU0U6QkFILklRX1JFU1RSVUNUVVJFX1NVUFBMRS4xMDAwLjE0LzA2LzIwMjYuLi5VU0QuSAEAAADpcQIAAwAAAAAA0qO22f7J3ghd9Erd/sneCD1DSVEuTllTRTpCQUguSVFfTkVUX1JFTlRBTF9FWFBfU1VQUExFLjEwMDAuMTQvMDYvMjAyNi4uLlVTRC5IAQAAAOlxAgADAAAAAADSo7bZ/sneCF30St3+yd4INkNJUS5OWVNFOkJBSC5JUV9MVF9ERUJUX1JFUEFJRC4xMDAwLjE0LzA2LzIwMjYuLi5VU0QuSAEAAADpcQIAAgAAAAMtNjkBCAAAAAUAAAABMQEAAAALLTE4ODc3MDQ5NzcDAAAAAzE2MAIAAAAEMjAzNgQAAAABMAcAAAAJNi8xNC8yMDI2CAAAAAkzLzMxLzIwMjYJAAAAATDDnH/Z/sneCGBBSN3+yd4IM0NJUS5OWVNFOkJBSC5JUV9TQUxFX1BQRV9DRi4xMDAwLjE0LzA2LzIwMjYuLi5VU0QuSAEAAADpcQIA</t>
  </si>
  <si>
    <t>AwAAAAAAJOZ+2f7J3ghgQUjd/sneCDhDSVEuTllTRTpCQUguSVFfQ0hBTkdFX0lOVkVOVE9SWS4xMDAwLjE0LzA2LzIwMjYuLi5VU0QuSAEAAADpcQIAAwAAAAAAJOZ+2f7J3ghgQUjd/sneCDFDSVEuTllTRTpCQUguSVFfTUFSS0VUSU5HLjEwMDAuMTQvMDYvMjAyNi4uLlVTRC5IAQAAAOlxAgADAAAAAADSo7bZ/sneCF30St3+yd4IMUNJUS5OWVNFOkJBSC5JUV9EQV9FQklUREEuMTAwMC4xNC8wNi8yMDI2Li4uVVNELkgBAAAA6XECAAIAAAADMTYzAQgAAAAFAAAAATEBAAAACy0xODg3NzA0OTc3AwAAAAMxNjACAAAABDIyMDYEAAAAATAHAAAACTYvMTQvMjAyNggAAAAJMy8zMS8yMDI2CQAAAAEw0qO22f7J3ghd9Erd/sneCDpDSVEuTllTRTpCQUguSVFfQ1VSUl9GT1JFSUdOX1RBWEVTLjEwMDAuMTQvMDYvMjAyNi4uLlVTRC5IAQAAAOlxAgACAAAAATMBCAAAAAUAAAABMQEAAAALLTE4ODc3MDQ5NzcDAAAAAzE2MAIAAAAEMzAzMAQAAAABMAcAAAAJNi8xNC8yMDI2CAAAAAkzLzMxLzIwMjYJAAAAATDSo7bZ/sneCL8fTd3+yd4INENJUS5OWVNFOkJBSC5JUV9FQklUREFfQ0FQRVguMTAwMC4xNC8wNi8yMDI2Li4uVVNELkgBAAAA6XECAAIAAAAEMTE2OAEIAAAABQAAAAExAQAAAAstMTg4NzcwNDk3NwMAAAADMTYwAgAAAAUzNTM3OQQAAAABMAcAAAAJNi8xNC8yMDI2CAAAAAkzLzMxLzIwMjYJAAAA</t>
  </si>
  <si>
    <t>ATDSo7bZ/sneCBaaTt3+yd4ISUNJUS5OWVNFOkJBSC5JUV9FQklUREFfRVFfSU5DX0VYQ0xfT1BFUl9MRUFTRV9BREouMTAwMC4xNC8wNi8yMDI2Li4uVVNELkgBAAAA6XECAAIAAAAEMTI1OAEIAAAABQAAAAExAQAAAAstMTg4NzcwNDk3NwMAAAADMTYwAgAAAAU0ODk4NwQAAAABMAcAAAAJNi8xNC8yMDI2CAAAAAkzLzMxLzIwMjYJAAAAATCxDQXa/sneCMOMT93+yd4IMUNJUS5OWVNFOkJBSC5JUV9ESVZfU0hBUkUuMTAwMC4xNC8wNi8yMDI2Li4uVVNELkgBAAAA6XECAAIAAAAEMi4yNAEIAAAABQAAAAExAQAAAAstMTg4NzcwNDk3NwMAAAADMTYwAgAAAAQzMDU4BAAAAAEwBwAAAAk2LzE0LzIwMjYIAAAACTMvMzEvMjAyNgkAAAABMEyDBNr+yd4Iw4xP3f7J3ghMQ0lRLk5ZU0U6QkFILklRX0RJU1RSSUJVVEFCTEVfQ0FTSF9QRVJfU0hBUkVfRElMVVRFRC4xMDAwLjE0LzA2LzIwMjYuLi5VU0QuSAEAAADpcQIAAwAAAAAATIME2v7J3gjDjE/d/sneCDxDSVEuTllTRTpCQUguSVFfTUlOT1JJVFlfSU5URVJFU1RfSVMuMTAwMC4xNC8wNi8yMDI2Li4uVVNELkgBAAAA6XECAAMAAAAAAEyDBNr+yd4Iw4xP3f7J3ggzQ0lRLk5ZU0U6QkFILklRX0dBSU5fSU5WRVNULjEwMDAuMTQvMDYvMjAyNi4uLlVTRC5IAQAAAOlxAgADAAAAAADFIQTa/sneCMOMT93+yd4IMENJUS5OWVNFOkJBSC5JUV9MT0FOU19D</t>
  </si>
  <si>
    <t>Ri4xMDAwLjE0LzA2LzIwMjYuLi5VU0QuSAEAAADpcQIAAwAAAAAAfB9+2f7J3ghgQUjd/sneCDxDSVEuTllTRTpCQUguSVFfTkVHQVRJVkVfR1dfQU1PUlRfQVQuMTAwMC4xNC8wNi8yMDI2Li4uVVNELkgBAAAA6XECAAMAAAAAANKjttn+yd4IXfRK3f7J3gg9Q0lRLk5ZU0U6QkFILklRX0lNUFVUX09QRVJfTEVBU0VfREVQUi4xMDAwLjE0LzA2LzIwMjYuLi5VU0QuSAEAAADpcQIAAgAAAAc0OC41Mjg2AQgAAAAFAAAAATEBAAAACy0xODg3NzA0OTc3AwAAAAMxNjACAAAABTIxNjczBAAAAAEwBwAAAAk2LzE0LzIwMjYIAAAACTMvMzEvMjAyNgkAAAABMNKjttn+yd4IXfRK3f7J3gg5Q0lRLk5ZU0U6QkFILklRX05FVF9SRU5UQUxfRVhQX0ZOLjEwMDAuMTQvMDYvMjAyNi4uLlVTRC5IAQAAAOlxAgACAAAAAjc1AQgAAAAFAAAAATEBAAAACy0xODg3NzA0OTc3AwAAAAMxNjACAAAABDMxNzAEAAAAATAHAAAACTYvMTQvMjAyNggAAAAJMy8zMS8yMDI2CQAAAAEw0qO22f7J3ghd9Erd/sneCDJDSVEuTllTRTpCQUguSVFfQ09NTU9OX0RJVi4xMDAwLjE0LzA2LzIwMjYuLi5VU0QuSAEAAADpcQIAAgAAAAMyNzcA0qO22f7J3ghd9Erd/sneCDBDSVEuTllTRTpCQUguSVFfRElMVVRfTkkuMTAwMC4xNC8wNi8yMDI2Li4uVVNELkgBAAAA6XECAAIAAAAKODQ0LjM4ODU0MgEIAAAABQAAAAExAQAAAAstMTg4Nzcw</t>
  </si>
  <si>
    <t>NDk3NwMAAAADMTYwAgAAAAQzNTIyBAAAAAEwBwAAAAk2LzE0LzIwMjYIAAAACTMvMzEvMjAyNgkAAAABMNKjttn+yd4IXfRK3f7J3ggvQ0lRLk5ZU0U6QkFILklRX05JX1NGQVMuMTAwMC4xNC8wNi8yMDI2Li4uVVNELkgBAAAA6XECAAMAAAAAANKjttn+yd4IFppO3f7J3gg9Q0lRLk5ZU0U6QkFILklRX0VCSVRBX0VRX0lOQ19FWENMX1NCQy4xMDAwLjE0LzA2LzIwMjYuLi5VU0QuSAEAAADpcQIAAgAAAAQxMjU5AQgAAAAFAAAAATEBAAAACy0xODg3NzA0OTc3AwAAAAMxNjACAAAABTI0MTMyBAAAAAEwBwAAAAk2LzE0LzIwMjYIAAAACTMvMzEvMjAyNgkAAAABMNKjttn+yd4Iw4xP3f7J3gg1Q0lRLk5ZU0U6QkFILklRX0VCSVRfRVhDTF9TQkMuMTAwMC4xNC8wNi8yMDI2Li4uVVNELkgBAAAA6XECAAIAAAAEMTE2NAEIAAAABQAAAAExAQAAAAstMTg4NzcwNDk3NwMAAAADMTYwAgAAAAUyNDEzNAQAAAABMAcAAAAJNi8xNC8yMDI2CAAAAAkzLzMxLzIwMjYJAAAAATCxDQXa/sneCMOMT93+yd4IOUNJUS5OWVNFOkJBSC5JUV9TUEVDSUFMX0RJVl9TSEFSRS4xMDAwLjE0LzA2LzIwMjYuLi5VU0QuSAEAAADpcQIAAwAAAAAATIME2v7J3gjDjE/d/sneCCtDSVEuTllTRTpCQUguSVFfRUJULjEwMDAuMTQvMDYvMjAyNi4uLlVTRC5IAQAAAOlxAgACAAAAAzg2MgEIAAAABQAAAAExAQAAAAstMTg4NzcwNDk3</t>
  </si>
  <si>
    <t>NwMAAAADMTYwAgAAAAMxMzkEAAAAATAHAAAACTYvMTQvMjAyNggAAAAJMy8zMS8yMDI2CQAAAAEwTIME2v7J3gjDjE/d/sneCDVDSVEuTllTRTpCQUguSVFfQ1VSUkVOQ1lfR0FJTi4xMDAwLjE0LzA2LzIwMjYuLi5VU0QuSAEAAADpcQIAAwAAAAAAxSEE2v7J3gjDjE/d/sneCDtDSVEuTllTRTpCQUguSVFfSU5URVJFU1RfSU5WRVNUX0lOQy4xMDAwLjE0LzA2LzIwMjYuLi5VU0QuSAEAAADpcQIAAwAAAAAAxSEE2v7J3gjDjE/d/sneCDFDSVEuTllTRTpCQUguSVFfU0dBX1NVUFBMLjEwMDAuMTQvMDYvMjAyNi4uLlVTRC5IAQAAAOlxAgACAAAABDEyNTABCAAAAAUAAAABMQEAAAALLTE4ODc3MDQ5NzcDAAAAAzE2MAIAAAADMTAyBAAAAAEwBwAAAAk2LzE0LzIwMjYIAAAACTMvMzEvMjAyNgkAAAABMMUhBNr+yd4Iw4xP3f7J3ggrQ0lRLk5ZU0U6QkFILklRX1JFVi4xMDAwLjE0LzA2LzIwMjYuLi5VU0QuSAEAAADpcQIAAgAAAAUxMTIxNwEIAAAABQAAAAExAQAAAAstMTg4NzcwNDk3NwMAAAADMTYwAgAAAAMxMTIEAAAAATAHAAAACTYvMTQvMjAyNggAAAAJMy8zMS8yMDI2CQAAAAEwm4ID2v7J3ggD+1Hd/sneCDtDSVEuTllTRTpCQUguSVFfU0FMRV9SRUFMX0VTVEFURV9DRi4xMDAwLjE0LzA2LzIwMjYuLi5VU0QuSAEAAADpcQIAAwAAAAAAJOZ+2f7J3ghgQUjd/sneCDlDSVEuTllTRTpCQUguSVFf</t>
  </si>
  <si>
    <t>Q0hBTkdFX1VORUFSTl9SRVYuMTAwMC4xNC8wNi8yMDI2Li4uVVNELkgBAAAA6XECAAMAAAAAACTmftn+yd4IYEFI3f7J3ghBQ0lRLk5ZU0U6QkFILklRX1NUT0NLX09QVElPTlNfQ09NUF9QUkVUQVguMTAwMC4xNC8wNi8yMDI2Li4uVVNELkgBAAAA6XECAAMAAAAAADzkfNn+yd4IZK9K3f7J3ggzQ0lRLk5ZU0U6QkFILklRX0lQUkRfU1VQUExFLjEwMDAuMTQvMDYvMjAyNi4uLlVTRC5IAQAAAOlxAgADAAAAAADSo7bZ/sneCF30St3+yd4IM0NJUS5OWVNFOkJBSC5JUV9QUkVGX0RJVl9DRi4xMDAwLjE0LzA2LzIwMjYuLi5VU0QuSAEAAADpcQIAAwAAAAAAw5x/2f7J3ghgQUjd/sneCDZDSVEuTllTRTpCQUguSVFfU1RPQ0tfQkFTRURfU00uMTAwMC4xNC8wNi8yMDI2Li4uVVNELkgBAAAA6XECAAMAAAAAANKjttn+yd4IXfRK3f7J3gg5Q0lRLk5ZU0U6QkFILklRX0NPTlRJTkdFTlRfUkVOVEFMLjEwMDAuMTQvMDYvMjAyNi4uLlVTRC5IAQAAAOlxAgACAAAAAjEzANKjttn+yd4IXfRK3f7J3gg6Q0lRLk5ZU0U6QkFILklRX0RJU1RSSUJVVEFCTEVfQ0FTSC4xMDAwLjE0LzA2LzIwMjYuLi5VU0QuSAEAAADpcQIAAwAAAAAA0qO22f7J3ghd9Erd/sneCDJDSVEuTllTRTpCQUguSVFfQ1VSUl9UQVhFUy4xMDAwLjE0LzA2LzIwMjYuLi5VU0QuSAEAAADpcQIAAgAAAAMtMjQBCAAAAAUAAAABMQEAAAALLTE4</t>
  </si>
  <si>
    <t>ODc3MDQ5NzcDAAAAAzE2MAIAAAAFMzUzODMEAAAAATAHAAAACTYvMTQvMjAyNggAAAAJMy8zMS8yMDI2CQAAAAEw0qO22f7J3ggWmk7d/sneCD9DSVEuTllTRTpCQUguSVFfRVhDSVNFX1RBWEVTX0lOQ0xfU0FMRVMuMTAwMC4xNC8wNi8yMDI2Li4uVVNELkgBAAAA6XECAAMAAAAAANKjttn+yd4IFppO3f7J3ggyQ0lRLk5ZU0U6QkFILklRX09JTF9JTVBBSVIuMTAwMC4xNC8wNi8yMDI2Li4uVVNELkgBAAAA6XECAAMAAAAAADzkfNn+yd4IZK9K3f7J3gg8Q0lRLk5ZU0U6QkFILklRX1JFU1RSX1NUT0NLX0NPTVBfVEFYLjEwMDAuMTQvMDYvMjAyNi4uLlVTRC5IAQAAAOlxAgADAAAAAAA85HzZ/sneCF30St3+yd4INENJUS5OWVNFOkJBSC5JUV9NQUlOVF9SRVBBSVIuMTAwMC4xNC8wNi8yMDI2Li4uVVNELkgBAAAA6XECAAMAAAAAANKjttn+yd4IXfRK3f7J3gg2Q0lRLk5ZU0U6QkFILklRX1NUX0RFQlRfUkVQQUlELjEwMDAuMTQvMDYvMjAyNi4uLlVTRC5IAQAAAOlxAgADAAAAAADDnH/Z/sneCGBBSN3+yd4IMUNJUS5OWVNFOkJBSC5JUV9DSEFOR0VfQVIuMTAwMC4xNC8wNi8yMDI2Li4uVVNELkgBAAAA6XECAAIAAAADMjA3AQgAAAAFAAAAATEBAAAACy0xODg3NzA0OTc3AwAAAAMxNjACAAAABDIwMTgEAAAAATAHAAAACTYvMTQvMjAyNggAAAAJMy8zMS8yMDI2CQAAAAEwJOZ+2f7J3ghgQUjd/sne</t>
  </si>
  <si>
    <t>CDtDSVEuTllTRTpCQUguSVFfVEFYX0JFTkVGSVRfT1BUSU9OUy4xMDAwLjE0LzA2LzIwMjYuLi5VU0QuSAEAAADpcQIAAwAAAAAAJOZ+2f7J3ghgQUjd/sneCDZDSVEuTllTRTpCQUguSVFfR0FJTl9BU1NFVFNfQ0YuMTAwMC4xNC8wNi8yMDI2Li4uVVNELkgBAAAA6XECAAMAAAAAADzkfNn+yd4IYEFI3f7J3ggzQ0lRLk5ZU0U6QkFILklRX09USEVSX0FNT1JULjEwMDAuMTQvMDYvMjAyNi4uLlVTRC5IAQAAAOlxAgADAAAAAAA85HzZ/sneCGBBSN3+yd4IOENJUS5OWVNFOkJBSC5JUV9TVE9DS19CQVNFRF9DT0dTLjEwMDAuMTQvMDYvMjAyNi4uLlVTRC5IAQAAAOlxAgACAAAAAjI3AQgAAAAFAAAAATEBAAAACy0xODg3NzA0OTc3AwAAAAMxNjACAAAABTIyNjc0BAAAAAEwBwAAAAk2LzE0LzIwMjYIAAAACTMvMzEvMjAyNgkAAAABMNKjttn+yd4IXfRK3f7J3gg8Q0lRLk5ZU0U6QkFILklRX0lNUEFJUk1FTlRfR1dfU1VQUExFLjEwMDAuMTQvMDYvMjAyNi4uLlVTRC5IAQAAAOlxAgADAAAAAADSo7bZ/sneCF30St3+yd4IPkNJUS5OWVNFOkJBSC5JUV9BTk5VX0RJU1RSSUJVVElPTl9VTklULjEwMDAuMTQvMDYvMjAyNi4uLlVTRC5IAQAAAOlxAgADAAAAAADSo7bZ/sneCF30St3+yd4IQUNJUS5OWVNFOkJBSC5JUV9OT05SRUNVUlJJTkdfSU5DT01FX1RBWEVTLjEwMDAuMTQvMDYvMjAyNi4uLlVTRC5I</t>
  </si>
  <si>
    <t>AQAAAOlxAgADAAAAAADSo7bZ/sneCF30St3+yd4IPkNJUS5OWVNFOkJBSC5JUV9ERUZFUlJFRF9GT1JFSUdOX1RBWEVTLjEwMDAuMTQvMDYvMjAyNi4uLlVTRC5IAQAAAOlxAgADAAAAAADSo7bZ/sneCF30St3+yd4INUNJUS5OWVNFOkJBSC5JUV9OSV9BVkFJTF9JTkNMLjEwMDAuMTQvMDYvMjAyNi4uLlVTRC5IAQAAAOlxAgACAAAAAzg0NQEIAAAABQAAAAExAQAAAAstMTg4NzcwNDk3NwMAAAADMTYwAgAAAAIxNgQAAAABMAcAAAAJNi8xNC8yMDI2CAAAAAkzLzMxLzIwMjYJAAAAATBMgwTa/sneCMOMT93+yd4IN0NJUS5OWVNFOkJBSC5JUV9FWFRSQV9BQ0NfSVRFTVMuMTAwMC4xNC8wNi8yMDI2Li4uVVNELkgBAAAA6XECAAMAAAAAAEyDBNr+yd4Iw4xP3f7J3gg1Q0lRLk5ZU0U6QkFILklRX0lNUEFJUk1FTlRfR1cuMTAwMC4xNC8wNi8yMDI2Li4uVVNELkgBAAAA6XECAAMAAAAAAMUhBNr+yd4Iw4xP3f7J3ggzQ0lRLk5ZU0U6QkFILklRX0lOVF9JTlZfSU5DLjEwMDAuMTQvMDYvMjAyNi4uLlVTRC5IAQAAAOlxAgADAAAAAACbggPa/sneCAP7Ud3+yd4IN0NJUS5OWVNFOkJBSC5JUV9GSU5fRElWX0lOVF9FWFAuMTAwMC4xNC8wNi8yMDI2Li4uVVNELkgBAAAA6XECAAMAAAAAAMUhBNr+yd4IA/tR3f7J3ggyQ0lRLk5ZU0U6QkFILklRX09USEVSX09QRVIuMTAwMC4xNC8wNi8yMDI2Li4uVVNELkgB</t>
  </si>
  <si>
    <t>AAAA6XECAAMAAAAAAMUhBNr+yd4Iw4xP3f7J3gg5Q0lRLk5ZU0U6QkFILklRX05FR0FUSVZFX0dXX0FNT1JULjEwMDAuMTQvMDYvMjAyNi4uLlVTRC5IAQAAAOlxAgADAAAAAADSo7bZ/sneCF30St3+yd4IM0NJUS5OWVNFOkJBSC5JUV9SRVNUUlVDVFVSRS4xMDAwLjE0LzA2LzIwMjYuLi5VU0QuSAEAAADpcQIAAgAAAAMtNjEBCAAAAAUAAAABMQEAAAALLTE4ODc3MDQ5NzcDAAAAAzE2MAIAAAACOTgEAAAAATAHAAAACTYvMTQvMjAyNggAAAAJMy8zMS8yMDI2CQAAAAEwxSEE2v7J3gjDjE/d/sneCDdDSVEuTllTRTpCQUguSVFfR0FJTl9BU1NFVFNfUkVWLjEwMDAuMTQvMDYvMjAyNi4uLlVTRC5IAQAAAOlxAgADAAAAAACbggPa/sneCAP7Ud3+yd4INkNJUS5OWVNFOkJBSC5JUV9FQklUREFSX0VRX0lOQy4xMDAwLjE0LzA2LzIwMjYuLi5VU0QuSAEAAADpcQIAAgAAAAQxNDA4AQgAAAAFAAAAATEBAAAACy0xODg3NzA0OTc3AwAAAAMxNjACAAAABTI0MTI5BAAAAAEwBwAAAAk2LzE0LzIwMjYIAAAACTMvMzEvMjAyNgkAAAABMNKjttn+yd4IFppO3f7J3ggzQ0lRLk5ZU0U6QkFILklRX0VCSVRfRVFfSU5DLjEwMDAuMTQvMDYvMjAyNi4uLlVTRC5IAQAAAOlxAgACAAAABDEwOTUBCAAAAAUAAAABMQEAAAALLTE4ODc3MDQ5NzcDAAAAAzE2MAIAAAAFMjE2NzUEAAAAATAHAAAACTYvMTQvMjAyNggAAAAJ</t>
  </si>
  <si>
    <t>My8zMS8yMDI2CQAAAAEwsQ0F2v7J3gjDjE/d/sneCDdDSVEuTllTRTpCQUguSVFfVE9UQUxfUkVWX1NIQVJFLjEwMDAuMTQvMDYvMjAyNi4uLlVTRC5IAQAAAOlxAgACAAAACTkxLjg4ODY0MgEIAAAABQAAAAExAQAAAAstMTg4NzcwNDk3NwMAAAADMTYwAgAAAAQ0MzgyBAAAAAEwBwAAAAk2LzE0LzIwMjYIAAAACTMvMzEvMjAyNgkAAAABMEyDBNr+yd4Iw4xP3f7J3gg/Q0lRLk5ZU0U6QkFILklRX0xFQVNFX0FESlVTVE1FTlRfRUJJVERBLjEwMDAuMTQvMDYvMjAyNi4uLlVTRC5IAQAAAOlxAgACAAAAAjc1AEyDBNr+yd4Iw4xP3f7J3ggyQ0lRLk5ZU0U6QkFILklRX0lOQ19FUVVJVFkuMTAwMC4xNC8wNi8yMDI2Li4uVVNELkgBAAAA6XECAAMAAAAAAMUhBNr+yd4Iw4xP3f7J3gg1Q0lRLk5ZU0U6QkFILklRX0VYUExPUkVfRFJJTEwuMTAwMC4xNC8wNi8yMDI2Li4uVVNELkgBAAAA6XECAAMAAAAAAMUhBNr+yd4IA/tR3f7J3gg8Q0lRLk5ZU0U6QkFILklRX1NUT0NLX0JBU0VEX0NPTVBfVEFYLjEwMDAuMTQvMDYvMjAyNi4uLlVTRC5IAQAAAOlxAgACAAAAAy0xMgA85HzZ/sneCGSvSt3+yd4ISUNJUS5OWVNFOkJBSC5JUV9JTlRFUkVTVF9FWFBfTEVBU0VfTElBQklMSVRZX0RFQlQuMTAwMC4xNC8wNi8yMDI2Li4uVVNELkgBAAAA6XECAAMAAAAAANKjttn+yd4IXfRK3f7J3gg7Q0lRLk5ZU0U6QkFI</t>
  </si>
  <si>
    <t>LklRX09USEVSX1VOVVNVQUxfU1VQUEwuMTAwMC4xNC8wNi8yMDI2Li4uVVNELkgBAAAA6XECAAMAAAAAAEyDBNr+yd4Iw4xP3f7J3gg2Q0lRLk5ZU0U6QkFILklRX0JBU0lDX0VQU19JTkNMLjEwMDAuMTQvMDYvMjAyNi4uLlVTRC5IAQAAAOlxAgACAAAACDYuOTIyMTYzAQgAAAAFAAAAATEBAAAACy0xODg3NzA0OTc3AwAAAAMxNjACAAAAATkEAAAAATAHAAAACTYvMTQvMjAyNggAAAAJMy8zMS8yMDI2CQAAAAEwTIME2v7J3gjDjE/d/sneCD1DSVEuTllTRTpCQUguSVFfRUJJVERBX0xFQVNFX0FESlVTVEVELjEwMDAuMTQvMDYvMjAyNi4uLlVTRC5IAQAAAOlxAgACAAAABDEzMzMBCAAAAAUAAAABMQEAAAALLTE4ODc3MDQ5NzcDAAAAAzE2MAIAAAAFNDg5OTMEAAAAATAHAAAACTYvMTQvMjAyNggAAAAJMy8zMS8yMDI2CQAAAAEwTIME2v7J3gjDjE/d/sneCDZDSVEuTllTRTpCQUguSVFfUFJFRl9ESVZfT1RIRVIuMTAwMC4xNC8wNi8yMDI2Li4uVVNELkgBAAAA6XECAAIAAAABNgEIAAAABQAAAAExAQAAAAstMTg4NzcwNDk3NwMAAAADMTYwAgAAAAI5NwQAAAABMAcAAAAJNi8xNC8yMDI2CAAAAAkzLzMxLzIwMjYJAAAAATBMgwTa/sneCMOMT93+yd4IKkNJUS5OWVNFOkJBSC5JUV9HUC4xMDAwLjE0LzA2LzIwMjYuLi5VU0QuSAEAAADpcQIAAgAAAAQyNTA4AQgAAAAFAAAAATEBAAAACy0xODg3NzA0</t>
  </si>
  <si>
    <t>OTc3AwAAAAMxNjACAAAAAjEwBAAAAAEwBwAAAAk2LzE0LzIwMjYIAAAACTMvMzEvMjAyNgkAAAABMMUhBNr+yd4IA/tR3f7J3ggzQ0lRLk5ZU0U6QkFILklRX0ZJTl9ESVZfUkVWLjEwMDAuMTQvMDYvMjAyNi4uLlVTRC5IAQAAAOlxAgADAAAAAACbggPa/sneCAP7Ud3+yd4ILUNJUS5OWVNFOkJBSC5JUV9FQklUQS4xMDAwLjE0LzA2LzIwMjYuLi5VU0QuSAEAAADpcQIAAgAAAAQxMTkwAQgAAAAFAAAAATEBAAAACy0xODg3NzA0OTc3AwAAAAMxNjACAAAABjEwMDY4OQQAAAABMAcAAAAJNi8xNC8yMDI2CAAAAAkzLzMxLzIwMjYJAAAAATDSo7bZ/sneCMOMT93+yd4IM0NJUS5OWVNFOkJBSC5JUV9TVE9DS19CQVNFRC4xMDAwLjE0LzA2LzIwMjYuLi5VU0QuSAEAAADpcQIAAwAAAAAAxSEE2v7J3gjDjE/d/sneCDNDSVEuTllTRTpCQUguSVFfSU5TX0RJVl9SRVYuMTAwMC4xNC8wNi8yMDI2Li4uVVNELkgBAAAA6XECAAMAAAAAAJuCA9r+yd4IA/tR3f7J3gg0Q0lRLk5ZU0U6QkFILklRX0lOVEVSRVNUX0VYUC4xMDAwLjE0LzA2LzIwMjYuLi5VU0QuSAEAAADpcQIAAgAAAAQtMTg0AQgAAAAFAAAAATEBAAAACy0xODg3NzA0OTc3AwAAAAMxNjACAAAAAjgyBAAAAAEwBwAAAAk2LzE0LzIwMjYIAAAACTMvMzEvMjAyNgkAAAABMMUhBNr+yd4Iw4xP3f7J3ggqQ0lRLk5ZU0U6QkFILklRX0RPLjEwMDAuMTQv</t>
  </si>
  <si>
    <t>MDYvMjAyNi4uLlVTRC5IAQAAAOlxAgADAAAAAABMgwTa/sneCMOMT93+yd4ILkNJUS5OWVNFOkJBSC5JUV9SRF9FWFAuMTAwMC4xNC8wNi8yMDI2Li4uVVNELkgBAAAA6XECAAMAAAAAAMUhBNr+yd4Iw4xP3f7J3ggzQ0lRLk5ZU0U6QkFILklRX0lOU19ESVZfRVhQLjEwMDAuMTQvMDYvMjAyNi4uLlVTRC5IAQAAAOlxAgADAAAAAADFIQTa/sneCAP7Ud3+yd4ILENJUS5OWVNFOkJBSC5JUV9JUFJELjEwMDAuMTQvMDYvMjAyNi4uLlVTRC5IAQAAAOlxAgADAAAAAADFIQTa/sneCMOMT93+yd4IOENJUS5OWVNFOkJBSC5JUV9ORVRfSU5URVJFU1RfRVhQLjEwMDAuMTQvMDYvMjAyNi4uLlVTRC5IAQAAAOlxAgACAAAABC0xODQBCAAAAAUAAAABMQEAAAALLTE4ODc3MDQ5NzcDAAAAAzE2MAIAAAADMzY4BAAAAAEwBwAAAAk2LzE0LzIwMjYIAAAACTMvMzEvMjAyNgkAAAABMMUhBNr+yd4Iw4xP3f7J3ggyQ0lRLk5ZU0U6QkFILklRX05JX0NPTVBBTlkuMTAwMC4xNC8wNi8yMDI2Li4uVVNELkgBAAAA6XECAAIAAAADODUxAQgAAAAFAAAAATEBAAAACy0xODg3NzA0OTc3AwAAAAMxNjACAAAABTQxNTcxBAAAAAEwBwAAAAk2LzE0LzIwMjYIAAAACTMvMzEvMjAyNgkAAAABMEyDBNr+yd4Iw4xP3f7J3gg3Q0lRLk5ZU0U6QkFILklRX0dBSU5fSU5WRVNUX1JFVi4xMDAwLjE0LzA2LzIwMjYuLi5VU0QuSAEAAADp</t>
  </si>
  <si>
    <t>cQIAAwAAAAAAm4ID2v7J3ggD+1Hd/sneCDRDSVEuTllTRTpCQUguSVFfTEVHQUxfU0VUVExFLjEwMDAuMTQvMDYvMjAyNi4uLlVTRC5IAQAAAOlxAgADAAAAAADFIQTa/sneCMOMT93+yd4ILENJUS5OWVNFOkJBSC5JUV9DT0dTLjEwMDAuMTQvMDYvMjAyNi4uLlVTRC5IAQAAAOlxAgACAAAABDg3MDkBCAAAAAUAAAABMQEAAAALLTE4ODc3MDQ5NzcDAAAAAzE2MAIAAAACMzQEAAAAATAHAAAACTYvMTQvMjAyNggAAAAJMy8zMS8yMDI2CQAAAAEwm4ID2v7J3ggD+1Hd/sneCEpDSVEuTllTRTpCQUguSVFfUFJPVl9CQURfREVCVFNfUEFUSUVOVF9TRVJWSUNFX1JFVi4xMDAwLjE0LzA2LzIwMjYuLi5VU0QuSAEAAADpcQIAAwAAAAAA0qO22f7J3ggWmk7d/sneCCpDSVEuTllTRTpCQUguSVFfTkkuMTAwMC4xNC8wNi8yMDI2Li4uVVNELkgBAAAA6XECAAIAAAADODUxAQgAAAAFAAAAATEBAAAACy0xODg3NzA0OTc3AwAAAAMxNjACAAAAAjE1BAAAAAEwBwAAAAk2LzE0LzIwMjYIAAAACTMvMzEvMjAyNgkAAAABMEyDBNr+yd4Iw4xP3f7J3gg0Q0lRLk5ZU0U6QkFILklRX09USEVSX1JFTlRBTC4xMDAwLjE0LzA2LzIwMjYuLi5VU0QuSAEAAADpcQIAAwAAAAAA0qO22f7J3ghd9Erd/sneCC9DSVEuTllTRTpCQUguSVFfTklfTk9STS4xMDAwLjE0LzA2LzIwMjYuLi5VU0QuSAEAAADpcQIAAgAAAAc1NzMuMTI1</t>
  </si>
  <si>
    <t>AQgAAAAFAAAAATEBAAAACy0xODg3NzA0OTc3AwAAAAMxNjACAAAABDQzNzgEAAAAATAHAAAACTYvMTQvMjAyNggAAAAJMy8zMS8yMDI2CQAAAAEw0qO22f7J3ghd9Erd/sneCDBDSVEuTllTRTpCQUguSVFfREFfU1VQUEwuMTAwMC4xNC8wNi8yMDI2Li4uVVNELkgBAAAA6XECAAIAAAADMTYzAQgAAAAFAAAAATEBAAAACy0xODg3NzA0OTc3AwAAAAMxNjACAAAAAjQxBAAAAAEwBwAAAAk2LzE0LzIwMjYIAAAACTMvMzEvMjAyNgkAAAABMMUhBNr+yd4Iw4xP3f7J3gg3Q0lRLk5ZU0U6QkFILklRX0VCSVREQV9FWENMX1NCQy4xMDAwLjE0LzA2LzIwMjYuLi5VU0QuSAEAAADpcQIAAgAAAAQxMzI3AQgAAAAFAAAAATEBAAAACy0xODg3NzA0OTc3AwAAAAMxNjACAAAABTI0MTM1BAAAAAEwBwAAAAk2LzE0LzIwMjYIAAAACTMvMzEvMjAyNgkAAAABMEyDBNr+yd4Iw4xP3f7J3ggyQ0lRLk5ZU0U6QkFILklRX0VBUk5JTkdfQ08uMTAwMC4xNC8wNi8yMDI2Li4uVVNELkgBAAAA6XECAAIAAAADODUxAQgAAAAFAAAAATEBAAAACy0xODg3NzA0OTc3AwAAAAMxNjACAAAAATcEAAAAATAHAAAACTYvMTQvMjAyNggAAAAJMy8zMS8yMDI2CQAAAAEwTIME2v7J3gjDjE/d/sneCDZDSVEuTllTRTpCQUguSVFfR1dfSU5UQU5fQU1PUlQuMTAwMC4xNC8wNi8yMDI2Li4uVVNELkgBAAAA6XECAAMAAAAAAMUhBNr+yd4Iw4xP</t>
  </si>
  <si>
    <t>3f7J3gg+Q0lRLk5ZU0U6QkFILklRX0FTU0VUX1dSSVRFRE9XTl9TVVBQTEUuMTAwMC4xNC8wNi8yMDI2Li4uVVNELkgBAAAA6XECAAMAAAAAANKjttn+yd4IXfRK3f7J3gguQ0lRLk5ZU0U6QkFILklRX0VCSVREQS4xMDAwLjE0LzA2LzIwMjYuLi5VU0QuSAEAAADpcQIAAgAAAAQxMjU4AQgAAAAFAAAAATEBAAAACy0xODg3NzA0OTc3AwAAAAMxNjACAAAABDQwNTEEAAAAATAHAAAACTYvMTQvMjAyNggAAAAJMy8zMS8yMDI2CQAAAAEwTIME2v7J3gjDjE/d/sneCEBDSVEuTllTRTpCQUguSVFfRElTVFJJQlVUQUJMRV9DQVNIX1NIQVJFLjEwMDAuMTQvMDYvMjAyNi4uLlVTRC5IAQAAAOlxAgADAAAAAABMgwTa/sneCMOMT93+yd4ILkNJUS5OWVNFOkJBSC5JUV9NRVJHRVIuMTAwMC4xNC8wNi8yMDI2Li4uVVNELkgBAAAA6XECAAMAAAAAAMUhBNr+yd4Iw4xP3f7J3gg1Q0lRLk5ZU0U6QkFILklRX1BSRV9PUEVOX0NPU1QuMTAwMC4xNC8wNi8yMDI2Li4uVVNELkgBAAAA6XECAAMAAAAAAMUhBNr+yd4Iw4xP3f7J3gg3Q0lRLk5ZU0U6QkFILklRX09USEVSX1JFVl9TVVBQTC4xMDAwLjE0LzA2LzIwMjYuLi5VU0QuSAEAAADpcQIAAwAAAAAAm4ID2v7J3ggD+1Hd/sneCDhDSVEuTllTRTpCQUguSVFfVE9UQUxfT1RIRVJfT1BFUi4xMDAwLjE0LzA2LzIwMjYuLi5VU0QuSAEAAADpcQIAAgAAAAQxNDEzAQgA</t>
  </si>
  <si>
    <t>AAAFAAAAATEBAAAACy0xODg3NzA0OTc3AwAAAAMxNjACAAAAAzM4MAQAAAABMAcAAAAJNi8xNC8yMDI2CAAAAAkzLzMxLzIwMjYJAAAAATDFIQTa/sneCMOMT93+yd4IN0NJUS5OWVNFOkJBSC5JUV9BU1NFVF9XUklURURPV04uMTAwMC4xNC8wNi8yMDI2Li4uVVNELkgBAAAA6XECAAMAAAAAAMUhBNr+yd4Iw4xP3f7J3ggwQ0lRLk5ZU0U6QkFILklRX0VCVF9FWENMLjEwMDAuMTQvMDYvMjAyNi4uLlVTRC5IAQAAAOlxAgACAAAAAzkxNwEIAAAABQAAAAExAQAAAAstMTg4NzcwNDk3NwMAAAADMTYwAgAAAAE0BAAAAAEwBwAAAAk2LzE0LzIwMjYIAAAACTMvMzEvMjAyNgkAAAABMMUhBNr+yd4Iw4xP3f7J3ggxQ0lRLk5ZU0U6QkFILklRX1RPVEFMX1JFVi4xMDAwLjE0LzA2LzIwMjYuLi5VU0QuSAEAAADpcQIAAgAAAAUxMTIxNwEIAAAABQAAAAExAQAAAAstMTg4NzcwNDk3NwMAAAADMTYwAgAAAAIyOAQAAAABMAcAAAAJNi8xNC8yMDI2CAAAAAkzLzMxLzIwMjYJAAAAATCbggPa/sneCAP7Ud3+yd4IMENJUS5OWVNFOkJBSC5JUV9PUEVSX0lOQy4xMDAwLjE0LzA2LzIwMjYuLi5VU0QuSAEAAADpcQIAAgAAAAQxMDk1AQgAAAAFAAAAATEBAAAACy0xODg3NzA0OTc3AwAAAAMxNjACAAAAAjIxBAAAAAEwBwAAAAk2LzE0LzIwMjYIAAAACTMvMzEvMjAyNgkAAAABMMUhBNr+yd4Iw4xP3f7J3gg2Q0lRLk5Z</t>
  </si>
  <si>
    <t>U0U6QkFILklRX0JBU0lDX0VQU19FWENMLjEwMDAuMTQvMDYvMjAyNi4uLlVTRC5IAQAAAOlxAgACAAAACDYuOTIyMTYzAQgAAAAFAAAAATEBAAAACy0xODg3NzA0OTc3AwAAAAMxNjACAAAABDMwNjQEAAAAATAHAAAACTYvMTQvMjAyNggAAAAJMy8zMS8yMDI2CQAAAAEwTIME2v7J3gjDjE/d/sneCDNDSVEuTllTRTpCQUguSVFfRklOX0RJVl9FWFAuMTAwMC4xNC8wNi8yMDI2Li4uVVNELkgBAAAA6XECAAMAAAAAAMUhBNr+yd4IA/tR3f7J3ggyQ0lRLk5ZU0U6QkFILklRX0lNUEFJUl9PSUwuMTAwMC4xNC8wNi8yMDI2Li4uVVNELkgBAAAA6XECAAMAAAAAAMUhBNr+yd4Iw4xP3f7J3gg/Q0lRLk5ZU0U6QkFILklRX0VYQ0lTRV9UQVhFU19FWENMX1NBTEVTLjEwMDAuMTQvMDYvMjAyNi4uLlVTRC5IAQAAAOlxAgADAAAAAADSo7bZ/sneCBaaTt3+yd4INkNJUS5OWVNFOkJBSC5JUV9QUk9WX0JBRF9ERUJUUy4xMDAwLjE0LzA2LzIwMjYuLi5VU0QuSAEAAADpcQIAAwAAAAAAxSEE2v7J3gjDjE/d/sneCDFDSVEuTllTRTpCQUguSVFfUkRfRVhQX0ZOLjEwMDAuMTQvMDYvMjAyNi4uLlVTRC5IAQAAAOlxAgADAAAAAADSo7bZ/sneCF30St3+yd4IPUNJUS5OWVNFOkJBSC5JUV9UT1RBTF9SRVZfQVNfUkVQT1JURUQuMTAwMC4xNC8wNi8yMDI2Li4uVVNELkgBAAAA6XECAAMAAAAAANKjttn+yd4IFppO3f7J</t>
  </si>
  <si>
    <t>3gg/Q0lRLk5ZU0U6QkFILklRX0VCSVREQVJfRVFfSU5DX0VYQ0xfU0JDLjEwMDAuMTQvMDYvMjAyNi4uLlVTRC5IAQAAAOlxAgACAAAABDE0MDIBCAAAAAUAAAABMQEAAAALLTE4ODc3MDQ5NzcDAAAAAzE2MAIAAAAFMjQxMzMEAAAAATAHAAAACTYvMTQvMjAyNggAAAAJMy8zMS8yMDI2CQAAAAEw0qO22f7J3gjDjE/d/sneCDZDSVEuTllTRTpCQUguSVFfRElMVVRfRVBTX05PUk0uMTAwMC4xNC8wNi8yMDI2Li4uVVNELkgBAAAA6XECAAIAAAAINC42ODMzNDQBCAAAAAUAAAABMQEAAAALLTE4ODc3MDQ5NzcDAAAAAzE2MAIAAAAENDM4MAQAAAABMAcAAAAJNi8xNC8yMDI2CAAAAAkzLzMxLzIwMjYJAAAAATBMgwTa/sneCMOMT93+yd4IPENJUS5OWVNFOkJBSC5JUV9FQklUX0VRX0lOQ19FWENMX1NCQy4xMDAwLjE0LzA2LzIwMjYuLi5VU0QuSAEAAADpcQIAAgAAAAQxMTY0AQgAAAAFAAAAATEBAAAACy0xODg3NzA0OTc3AwAAAAMxNjACAAAABTI0MTMwBAAAAAEwBwAAAAk2LzE0LzIwMjYIAAAACTMvMzEvMjAyNgkAAAABMLENBdr+yd4Iw4xP3f7J3gg+Q0lRLk5ZU0U6QkFILklRX0VCSVREQV9FUV9JTkNfRVhDTF9TQkMuMTAwMC4xNC8wNi8yMDI2Li4uVVNELkgBAAAA6XECAAIAAAAEMTMyNwEIAAAABQAAAAExAQAAAAstMTg4NzcwNDk3NwMAAAADMTYwAgAAAAUyNDEzMQQAAAABMAcAAAAJNi8xNC8y</t>
  </si>
  <si>
    <t>MDI2CAAAAAkzLzMxLzIwMjYJAAAAATBMgwTa/sneCMOMT93+yd4IKUNJUS5OWVNFOkJBSC5JUV9QRVJJT0REQVRFLjk5OS4xNC8wNi8yMDI2AQAAAOlxAgAFAAAACjMxLzAzLzIwMjUAm4ID2v7J3ggq+EDd/sneCC9DSVEuTllTRTpCQUguSVFfRVBTX05PUk0uOTk1LjE0LzA2LzIwMjYuLi5VU0QuSAEAAADpcQIAAgAAAAgzLjAwNjIxOQEIAAAABQAAAAExAQAAAAstMjA0MzIxNTM5MgMAAAADMTYwAgAAAAQ0Mzc5BAAAAAEwBwAAAAk2LzE0LzIwMjYIAAAACTMvMzEvMjAyMQkAAAABMEyDBNr+yd4I2KnB2/7J3gg7Q0lRLk5ZU0U6QkFILklRX01JTk9SSVRZX0lOVEVSRVNUX0lTLjk5NS4xNC8wNi8yMDI2Li4uVVNELkgBAAAA6XECAAMAAAAAAEyDBNr+yd4IJ/K92/7J3ggpQ0lRLk5ZU0U6QkFILklRX0RPLjk5NS4xNC8wNi8yMDI2Li4uVVNELkgBAAAA6XECAAMAAAAAAEyDBNr+yd4I38282/7J3gg0Q0lRLk5ZU0U6QkFILklRX05JX0FWQUlMX0VYQ0wuOTk1LjE0LzA2LzIwMjYuLi5VU0QuSAEAAADpcQIAAgAAAAc2MDUuNDM3AQgAAAAFAAAAATEBAAAACy0yMDQzMjE1MzkyAwAAAAMxNjACAAAAAzM3OQQAAAABMAcAAAAJNi8xNC8yMDI2CAAAAAkzLzMxLzIwMjEJAAAAATBMgwTa/sneCNipwdv+yd4IOkNJUS5OWVNFOkJBSC5JUV9PVEhFUl9VTlVTVUFMX1NVUFBMLjk5NS4xNC8wNi8yMDI2Li4uVVNE</t>
  </si>
  <si>
    <t>LkgBAAAA6XECAAMAAAAAAEyDBNr+yd4I38282/7J3gg4Q0lRLk5ZU0U6QkFILklRX0ZFRVNfT1RIRVJfSU5DT01FLjk5NS4xNC8wNi8yMDI2Li4uVVNELkgBAAAA6XECAAMAAAAAANKjttn+yd4IuYjG2/7J3gg1Q0lRLk5ZU0U6QkFILklRX0JBU0lDX0VQU19JTkNMLjk5NS4xNC8wNi8yMDI2Li4uVVNELkgBAAAA6XECAAIAAAAINC4zOTYwNjEBCAAAAAUAAAABMQEAAAALLTIwNDMyMTUzOTIDAAAAAzE2MAIAAAABOQQAAAABMAcAAAAJNi8xNC8yMDI2CAAAAAkzLzMxLzIwMjEJAAAAATBMgwTa/sneCNipwdv+yd4INUNJUS5OWVNFOkJBSC5JUV9QUkVGX0RJVl9PVEhFUi45OTUuMTQvMDYvMjAyNi4uLlVTRC5IAQAAAOlxAgACAAAABTMuNTIxAQgAAAAFAAAAATEBAAAACy0yMDQzMjE1MzkyAwAAAAMxNjACAAAAAjk3BAAAAAEwBwAAAAk2LzE0LzIwMjYIAAAACTMvMzEvMjAyMQkAAAABMEyDBNr+yd4IJ/K92/7J3gguQ0lRLk5ZU0U6QkFILklRX0lOQ19UQVguOTk1LjE0LzA2LzIwMjYuLi5VU0QuSAEAAADpcQIAAgAAAAY1My40ODEBCAAAAAUAAAABMQEAAAALLTIwNDMyMTUzOTIDAAAAAzE2MAIAAAACNzUEAAAAATAHAAAACTYvMTQvMjAyNggAAAAJMy8zMS8yMDIxCQAAAAEwTIME2v7J3gjfzbzb/sneCDxDSVEuTllTRTpCQUguSVFfRUJJVERBX0xFQVNFX0FESlVTVEVELjk5NS4xNC8wNi8yMDI2Li4u</t>
  </si>
  <si>
    <t>VVNELkgBAAAA6XECAAIAAAAHOTE5Ljc3NAEIAAAABQAAAAExAQAAAAstMjA0MzIxNTM5MgMAAAADMTYwAgAAAAU0ODk5MwQAAAABMAcAAAAJNi8xNC8yMDI2CAAAAAkzLzMxLzIwMjEJAAAAATBMgwTa/sneCA8vxNv+yd4INUNJUS5OWVNFOkJBSC5JUV9ESUxVVF9FUFNfSU5DTC45OTUuMTQvMDYvMjAyNi4uLlVTRC5IAQAAAOlxAgACAAAACDQuMzY1MTExAQgAAAAFAAAAATEBAAAACy0yMDQzMjE1MzkyAwAAAAMxNjACAAAAATgEAAAAATAHAAAACTYvMTQvMjAyNggAAAAJMy8zMS8yMDIxCQAAAAEwTIME2v7J3gjYqcHb/sneCCxDSVEuTllTRTpCQUguSVFfRUJJVEEuOTk1LjE0LzA2LzIwMjYuLi5VU0QuSAEAAADpcQIAAgAAAAc3NjkuNDM0AQgAAAAFAAAAATEBAAAACy0yMDQzMjE1MzkyAwAAAAMxNjACAAAABjEwMDY4OQQAAAABMAcAAAAJNi8xNC8yMDI2CAAAAAkzLzMxLzIwMjEJAAAAATDSo7bZ/sneCLmIxtv+yd4IOENJUS5OWVNFOkJBSC5JUV9TVE9DS19CQVNFRF9UT1RBTC45OTUuMTQvMDYvMjAyNi4uLlVTRC5IAQAAAOlxAgACAAAABjU5Ljg0NAEIAAAABQAAAAExAQAAAAstMjA0MzIxNTM5MgMAAAADMTYwAgAAAAUyNDAzNAQAAAABMAcAAAAJNi8xNC8yMDI2CAAAAAkzLzMxLzIwMjEJAAAAATA85HzZ/sneCHT82Nv+yd4IOENJUS5OWVNFOkJBSC5JUV9DT05USU5HRU5UX1JFTlRBTC45OTUu</t>
  </si>
  <si>
    <t>MTQvMDYvMjAyNi4uLlVTRC5IAQAAAOlxAgACAAAABjEyLjg0MwDSo7bZ/sneCMhJ0Nv+yd4IOUNJUS5OWVNFOkJBSC5JUV9ESVNUUklCVVRBQkxFX0NBU0guOTk1LjE0LzA2LzIwMjYuLi5VU0QuSAEAAADpcQIAAwAAAAAA0qO22f7J3ghF1M3b/sneCElDSVEuTllTRTpCQUguSVFfUFJPVl9CQURfREVCVFNfUEFUSUVOVF9TRVJWSUNFX1JFVi45OTUuMTQvMDYvMjAyNi4uLlVTRC5IAQAAAOlxAgADAAAAAADSo7bZ/sneCJf7yNv+yd4IMUNJUS5OWVNFOkJBSC5JUV9OSV9DT01QQU5ZLjk5NS4xNC8wNi8yMDI2Li4uVVNELkgBAAAA6XECAAIAAAAHNjA4Ljk1OAEIAAAABQAAAAExAQAAAAstMjA0MzIxNTM5MgMAAAADMTYwAgAAAAU0MTU3MQQAAAABMAcAAAAJNi8xNC8yMDI2CAAAAAkzLzMxLzIwMjEJAAAAATBMgwTa/sneCCfyvdv+yd4IK0NJUS5OWVNFOkJBSC5JUV9FQklULjk5NS4xNC8wNi8yMDI2Li4uVVNELkgBAAAA6XECAAIAAAAHNzUwLjEzNAEIAAAABQAAAAExAQAAAAstMjA0MzIxNTM5MgMAAAADMTYwAgAAAAM0MDAEAAAAATAHAAAACTYvMTQvMjAyNggAAAAJMy8zMS8yMDIxCQAAAAEwsQ0F2v7J3ggPL8Tb/sneCD5DSVEuTllTRTpCQUguSVFfRVhDSVNFX1RBWEVTX0lOQ0xfU0FMRVMuOTk1LjE0LzA2LzIwMjYuLi5VU0QuSAEAAADpcQIAAwAAAAAA0qO22f7J3giX+8jb/sneCCpDSVEuTllT</t>
  </si>
  <si>
    <t>RTpCQUguSVFfRUJULjk5NS4xNC8wNi8yMDI2Li4uVVNELkgBAAAA6XECAAIAAAAHNjYyLjQzOQEIAAAABQAAAAExAQAAAAstMjA0MzIxNTM5MgMAAAADMTYwAgAAAAMxMzkEAAAAATAHAAAACTYvMTQvMjAyNggAAAAJMy8zMS8yMDIxCQAAAAEwTIME2v7J3gjfzbzb/sneCDFDSVEuTllTRTpCQUguSVFfRUFSTklOR19DTy45OTUuMTQvMDYvMjAyNi4uLlVTRC5IAQAAAOlxAgACAAAABzYwOC45NTgBCAAAAAUAAAABMQEAAAALLTIwNDMyMTUzOTIDAAAAAzE2MAIAAAABNwQAAAABMAcAAAAJNi8xNC8yMDI2CAAAAAkzLzMxLzIwMjEJAAAAATBMgwTa/sneCN/NvNv+yd4IOUNJUS5OWVNFOkJBSC5JUV9BU19SRVBPUlRFRF9FQklUREEuOTk1LjE0LzA2LzIwMjYuLi5VU0QuSAEAAADpcQIAAgAAAAc4MzkuNjc0ANKjttn+yd4Il/vI2/7J3ghIQ0lRLk5ZU0U6QkFILklRX0VCSVREQV9FUV9JTkNfRVhDTF9PUEVSX0xFQVNFX0FESi45OTUuMTQvMDYvMjAyNi4uLlVTRC5IAQAAAOlxAgACAAAABzgzNC40NDkBCAAAAAUAAAABMQEAAAALLTIwNDMyMTUzOTIDAAAAAzE2MAIAAAAFNDg5ODcEAAAAATAHAAAACTYvMTQvMjAyNggAAAAJMy8zMS8yMDIxCQAAAAEwsQ0F2v7J3ggPL8Tb/sneCDtDSVEuTllTRTpCQUguSVFfSU1QQUlSTUVOVF9HV19TVVBQTEUuOTk1LjE0LzA2LzIwMjYuLi5VU0QuSAEAAADpcQIAAwAA</t>
  </si>
  <si>
    <t>AAAA0qO22f7J3giI69Lb/sneCEBDSVEuTllTRTpCQUguSVFfTk9OUkVDVVJSSU5HX0lOQ09NRV9UQVhFUy45OTUuMTQvMDYvMjAyNi4uLlVTRC5IAQAAAOlxAgACAAAABy03Ni43NjcBCAAAAAUAAAABMQEAAAALLTIwNDMyMTUzOTIDAAAAAzE2MAIAAAAFNDg4MzkEAAAAATAHAAAACTYvMTQvMjAyNggAAAAJMy8zMS8yMDIxCQAAAAEw0qO22f7J3giUNs3b/sneCEtDSVEuTllTRTpCQUguSVFfRElTVFJJQlVUQUJMRV9DQVNIX1BFUl9TSEFSRV9ESUxVVEVELjk5NS4xNC8wNi8yMDI2Li4uVVNELkgBAAAA6XECAAMAAAAAAEyDBNr+yd4I2KnB2/7J3gg7Q0lRLk5ZU0U6QkFILklRX0RFRkVSUkVEX1RBWEVTX1RPVEFMLjk5NS4xNC8wNi8yMDI2Li4uVVNELkgBAAAA6XECAAIAAAAHMjMxLjk5OAEIAAAABQAAAAExAQAAAAstMjA0MzIxNTM5MgMAAAADMTYwAgAAAAUzNTM4NQQAAAABMAcAAAAJNi8xNC8yMDI2CAAAAAkzLzMxLzIwMjEJAAAAATDSo7bZ/sneCD9qy9v+yd4IPkNJUS5OWVNFOkJBSC5JUV9FQklUREFSX0VRX0lOQ19FWENMX1NCQy45OTUuMTQvMDYvMjAyNi4uLlVTRC5IAQAAAOlxAgACAAAABzk3OS42MTgBCAAAAAUAAAABMQEAAAALLTIwNDMyMTUzOTIDAAAAAzE2MAIAAAAFMjQxMzMEAAAAATAHAAAACTYvMTQvMjAyNggAAAAJMy8zMS8yMDIxCQAAAAEw0qO22f7J3gi5iMbb/sneCClDSVEu</t>
  </si>
  <si>
    <t>TllTRTpCQUguSVFfUEVSSU9EREFURS45OTQuMTQvMDYvMjAyNgEAAADpcQIABQAAAAozMS8wMy8yMDIwAJuCA9r+yd4I/TQc3P7J3gguQ0lRLk5ZU0U6QkFILklRX0ZJTElOR19DVVJSRU5DWS45OTYuMTQvMDYvMjAyNgEAAADpcQIAAwAAAANVU0QA0qO22f7J3gj2DiHc/sneCC5DSVEuTllTRTpCQUguSVFfUEVSSU9ETEVOR1RIX0NGLjk5Ni4xNC8wNi8yMDI2AQAAAOlxAgABAAAAAjEyAMOcf9n+yd4IKace3P7J3ggtQ0lRLk5ZU0U6QkFILklRX1JFU1RBVEVNRU5UX0lTLjk5Ni4xNC8wNi8yMDI2AQAAAOlxAgADAAAAAlJDANKjttn+yd4IKace3P7J3gg4Q0lRLk5ZU0U6QkFILklRX0RJU1RSSUJVVEFCTEVfQ0FTSF9QQVlPVVQuOTk2LjE0LzA2LzIwMjYBAAAA6XECAAMAAAAAANKjttn+yd4IKace3P7J3ggrQ0lRLk5ZU0U6QkFILklRX0NBTENfVFlQRV9JUy45OTYuMTQvMDYvMjAyNgEAAADpcQIAAwAAAANSRVAA0qO22f7J3ggppx7c/sneCEBDSVEuTllTRTpCQUguSVFfRElTVFJJQlVUQUJMRV9DQVNIX1NIQVJFU19ESUxVVEVELjk5Ni4xNC8wNi8yMDI2AQAAAOlxAgADAAAAAABMgwTa/sneCP00HNz+yd4IL0NJUS5OWVNFOkJBSC5JUV9EUl9SQVRJT19QUklNQVJZLjk5Ni4xNC8wNi8yMDI2AQAAAOlxAgADAAAAAABMgwTa/sneCP00HNz+yd4IKUNJUS5OWVNFOkJBSC5JUV9TQU1FX1NUT1JFLjk5</t>
  </si>
  <si>
    <t>Ni4xNC8wNi8yMDI2AQAAAOlxAgADAAAAAADSo7bZ/sneCP00HNz+yd4IK0NJUS5OWVNFOkJBSC5JUV9QQVlPVVRfUkFUSU8uOTk2LjE0LzA2LzIwMjYBAAAA6XECAAIAAAAHNDQuNzkwOAEIAAAABQAAAAExAQAAAAstMTk5MjQwMjA1OQMAAAADMTYwAgAAAAQ0Mzc3BAAAAAEwBwAAAAk2LzE0LzIwMjYIAAAACTMvMzEvMjAyMgkAAAABMNKjttn+yd4IKace3P7J3gg+Q0lRLk5ZU0U6QkFILklRX0RJU1RSSUJVVEFCTEVfQ0FTSF9TSEFSRVNfQkFTSUMuOTk2LjE0LzA2LzIwMjYBAAAA6XECAAMAAAAAAEyDBNr+yd4I/TQc3P7J3ggsQ0lRLk5ZU0U6QkFILklRX0ZJTElOR0RBVEVfSVMuOTk2LjE0LzA2LzIwMjYBAAAA6XECAAUAAAAKMjQvMDUvMjAyNABMgwTa/sneCP00HNz+yd4IKUNJUS5OWVNFOkJBSC5JUV9QRVJJT0REQVRFLjk5Ni4xNC8wNi8yMDI2AQAAAOlxAgAFAAAACjMxLzAzLzIwMjIAm4ID2v7J3gj9NBzc/sneCCZDSVEuTllTRTpCQUguSVFfR0FBUF9JUy45OTYuMTQvMDYvMjAyNgEAAADpcQIAAwAAAAdVUyBHQUFQANKjttn+yd4IKace3P7J3ggrQ0lRLk5ZU0U6QkFILklRX0JBU0lDX1dFSUdIVC45OTYuMTQvMDYvMjAyNgEAAADpcQIAAgAAAAoxMzQuMTM0MDM0AEyDBNr+yd4I/TQc3P7J3ggrQ0lRLk5ZU0U6QkFILklRX0RJTFVUX1dFSUdIVC45OTYuMTQvMDYvMjAyNgEAAADpcQIAAgAA</t>
  </si>
  <si>
    <t>AAoxMzQuODUwODA4AEyDBNr+yd4I/TQc3P7J3gguQ0lRLk5ZU0U6QkFILklRX0VGRkVDVF9UQVhfUkFURS45OTYuMTQvMDYvMjAyNgEAAADpcQIAAgAAAAcyMi43NTc2AQgAAAAFAAAAATEBAAAACy0xOTkyNDAyMDU5AwAAAAMxNjACAAAABDQzNzYEAAAAATAHAAAACTYvMTQvMjAyNggAAAAJMy8zMS8yMDIyCQAAAAEw0qO22f7J3ggppx7c/sneCC5DSVEuTllTRTpCQUguSVFfUEVSSU9ETEVOR1RIX0lTLjk5Ni4xNC8wNi8yMDI2AQAAAOlxAgABAAAAAjEyAEyDBNr+yd4I/TQc3P7J3gg4Q0lRLk5ZU0U6QkFILklRX1RPVEFMX0RJVl9QQUlEX0NGLjk5Ni4xNC8wNi8yMDI2Li4uVVNELkgBAAAA6XECAAIAAAAILTIwOS4wNTcBCAAAAAUAAAABMQEAAAALLTE5OTI0MDIwNTkDAAAAAzE2MAIAAAAEMjAyMgQAAAABMAcAAAAJNi8xNC8yMDI2CAAAAAkzLzMxLzIwMjIJAAAAATDDnH/Z/sneCO335dv+yd4INUNJUS5OWVNFOkJBSC5JUV9TVF9ERUJUX0lTU1VFRC45OTYuMTQvMDYvMjAyNi4uLlVTRC5IAQAAAOlxAgADAAAAAAAk5n7Z/sneCI+x4tv+yd4IOUNJUS5OWVNFOkJBSC5JUV9DT01NT05fUFJFRl9ESVZfQ0YuOTk2LjE0LzA2LzIwMjYuLi5VU0QuSAEAAADpcQIAAwAAAAAAw5x/2f7J3gjt9+Xb/sneCDJDSVEuTllTRTpCQUguSVFfQ0FTSF9JTlZFU1QuOTk2LjE0LzA2LzIwMjYuLi5VU0QuSAEAAADp</t>
  </si>
  <si>
    <t>cQIAAgAAAAgtODY3LjcyNQEIAAAABQAAAAExAQAAAAstMTk5MjQwMjA1OQMAAAADMTYwAgAAAAQyMDA1BAAAAAEwBwAAAAk2LzE0LzIwMjYIAAAACTMvMzEvMjAyMgkAAAABMCTmftn+yd4Ij7Hi2/7J3gg5Q0lRLk5ZU0U6QkFILklRX0lOVkVTVF9TRUNVUklUWV9DRi45OTYuMTQvMDYvMjAyNi4uLlVTRC5IAQAAAOlxAgACAAAAAi03AQgAAAAFAAAAATEBAAAACy0xOTkyNDAyMDU5AwAAAAMxNjACAAAABDIwMjcEAAAAATAHAAAACTYvMTQvMjAyNggAAAAJMy8zMS8yMDIyCQAAAAEwJOZ+2f7J3giPseLb/sneCDdDSVEuTllTRTpCQUguSVFfQ0hBTkdFX0lOVkVOVE9SWS45OTYuMTQvMDYvMjAyNi4uLlVTRC5IAQAAAOlxAgADAAAAAAAk5n7Z/sneCARB4Nv+yd4INUNJUS5OWVNFOkJBSC5JUV9HQUlOX0FTU0VUU19DRi45OTYuMTQvMDYvMjAyNi4uLlVTRC5IAQAAAOlxAgACAAAABi0zLjM4OAEIAAAABQAAAAExAQAAAAstMTk5MjQwMjA1OQMAAAADMTYwAgAAAAQyMDI2BAAAAAEwBwAAAAk2LzE0LzIwMjYIAAAACTMvMzEvMjAyMgkAAAABMDzkfNn+yd4IrHjc2/7J3gg0Q0lRLk5ZU0U6QkFILklRX0NPTU1PTl9ESVZfQ0YuOTk2LjE0LzA2LzIwMjYuLi5VU0QuSAEAAADpcQIAAgAAAAgtMjA5LjA1NwEIAAAABQAAAAExAQAAAAstMTk5MjQwMjA1OQMAAAADMTYwAgAAAAQyMDc0BAAAAAEwBwAAAAk2LzE0</t>
  </si>
  <si>
    <t>LzIwMjYIAAAACTMvMzEvMjAyMgkAAAABMMOcf9n+yd4I7ffl2/7J3ggpQ0lRLk5ZU0U6QkFILklRX0ZYLjk5Ni4xNC8wNi8yMDI2Li4uVVNELkgBAAAA6XECAAMAAAAAAMOcf9n+yd4IBYvn2/7J3gg1Q0lRLk5ZU0U6QkFILklRX0xUX0RFQlRfUkVQQUlELjk5Ni4xNC8wNi8yMDI2Li4uVVNELkgBAAAA6XECAAIAAAAILTExMi4yNTcBCAAAAAUAAAABMQEAAAALLTE5OTI0MDIwNTkDAAAAAzE2MAIAAAAEMjAzNgQAAAABMAcAAAAJNi8xNC8yMDI2CAAAAAkzLzMxLzIwMjIJAAAAATDDnH/Z/sneCEAZ5dv+yd4INUNJUS5OWVNFOkJBSC5JUV9MVF9ERUJUX0lTU1VFRC45OTYuMTQvMDYvMjAyNi4uLlVTRC5IAQAAAOlxAgACAAAABzU0Ny4wMjcBCAAAAAUAAAABMQEAAAALLTE5OTI0MDIwNTkDAAAAAzE2MAIAAAAEMjAzNAQAAAABMAcAAAAJNi8xNC8yMDI2CAAAAAkzLzMxLzIwMjIJAAAAATDDnH/Z/sneCI+x4tv+yd4IQ0NJUS5OWVNFOkJBSC5JUV9DSEFOR0VfT1RIRVJfTkVUX09QRVJfQVNTRVRTLjk5Ni4xNC8wNi8yMDI2Li4uVVNELkgBAAAA6XECAAIAAAAHLTM0LjQ1NwEIAAAABQAAAAExAQAAAAstMTk5MjQwMjA1OQMAAAADMTYwAgAAAAQyMDQ1BAAAAAEwBwAAAAk2LzE0LzIwMjYIAAAACTMvMzEvMjAyMgkAAAABMCTmftn+yd4IBEHg2/7J3gg0Q0lRLk5ZU0U6QkFILklRX0lOQ19FUVVJVFlfQ0Yu</t>
  </si>
  <si>
    <t>OTk2LjE0LzA2LzIwMjYuLi5VU0QuSAEAAADpcQIAAgAAAActMTIuNzU5AQgAAAAFAAAAATEBAAAACy0xOTkyNDAyMDU5AwAAAAMxNjACAAAABDIwODYEAAAAATAHAAAACTYvMTQvMjAyNggAAAAJMy8zMS8yMDIyCQAAAAEwfB9+2f7J3ghg2d3b/sneCDdDSVEuTllTRTpCQUguSVFfU1RPQ0tfQkFTRURfQ09NUC45OTYuMTQvMDYvMjAyNi4uLlVTRC5IAQAAAOlxAgADAAAAAAA85HzZ/sneCN9y29v+yd4INkNJUS5OWVNFOkJBSC5JUV9TVE9DS19CQVNFRF9TR0EuOTk2LjE0LzA2LzIwMjYuLi5VU0QuSAEAAADpcQIAAwAAAAAAPOR82f7J3ghN1djb/sneCDVDSVEuTllTRTpCQUguSVFfU1RPQ0tfQkFTRURfUkQuOTk2LjE0LzA2LzIwMjYuLi5VU0QuSAEAAADpcQIAAwAAAAAA0qO22f7J3gjO6tfb/sneCDRDSVEuTllTRTpCQUguSVFfTUVSR0VSX1NVUFBMRS45OTYuMTQvMDYvMjAyNi4uLlVTRC5IAQAAAOlxAgACAAAABy05Ny40ODUBCAAAAAUAAAABMQEAAAALLTE5OTI0MDIwNTkDAAAAAzE2MAIAAAAFMjQ0NTUEAAAAATAHAAAACTYvMTQvMjAyNggAAAAJMy8zMS8yMDIyCQAAAAEw0qO22f7J3giI69Lb/sneCDVDSVEuTllTRTpCQUguSVFfTkVUX1JFTlRBTF9FWFAuOTk2LjE0LzA2LzIwMjYuLi5VU0QuSAEAAADpcQIAAgAAAAY4Mi4wNTcBCAAAAAUAAAABMQEAAAALLTE5OTI0MDIwNTkDAAAAAzE2MAIA</t>
  </si>
  <si>
    <t>AAAFMjQyNjEEAAAAATAHAAAACTYvMTQvMjAyNggAAAAJMy8zMS8yMDIyCQAAAAEw0qO22f7J3gjISdDb/sneCDJDSVEuTllTRTpCQUguSVFfUFJFRl9JU1NVRUQuOTk2LjE0LzA2LzIwMjYuLi5VU0QuSAEAAADpcQIAAwAAAAAAw5x/2f7J3gjt9+Xb/sneCDRDSVEuTllTRTpCQUguSVFfU0FMRV9JTlRBTl9DRi45OTYuMTQvMDYvMjAyNi4uLlVTRC5IAQAAAOlxAgADAAAAAAAk5n7Z/sneCI+x4tv+yd4IMENJUS5OWVNFOkJBSC5JUV9DSEFOR0VfQVIuOTk2LjE0LzA2LzIwMjYuLi5VU0QuSAEAAADpcQIAAgAAAAgtMTU0LjY1MgEIAAAABQAAAAExAQAAAAstMTk5MjQwMjA1OQMAAAADMTYwAgAAAAQyMDE4BAAAAAEwBwAAAAk2LzE0LzIwMjYIAAAACTMvMzEvMjAyMgkAAAABMCTmftn+yd4IBEHg2/7J3gg+Q0lRLk5ZU0U6QkFILklRX09USEVSX0ZJTkFOQ0VfQUNUX1NVUFBMLjk5Ni4xNC8wNi8yMDI2Li4uVVNELkgBAAAA6XECAAMAAAAAAMOcf9n+yd4I7ffl2/7J3gg1Q0lRLk5ZU0U6QkFILklRX09USEVSX09QRVJfQUNULjk5Ni4xNC8wNi8yMDI2Li4uVVNELkgBAAAA6XECAAIAAAAHLTcxLjk2NAEIAAAABQAAAAExAQAAAAstMTk5MjQwMjA1OQMAAAADMTYwAgAAAAQyMDQ3BAAAAAEwBwAAAAk2LzE0LzIwMjYIAAAACTMvMzEvMjAyMgkAAAABMCTmftn+yd4IYNnd2/7J3ggzQ0lRLk5ZU0U6QkFILklR</t>
  </si>
  <si>
    <t>X09USEVSX1JFTlRBTC45OTYuMTQvMDYvMjAyNi4uLlVTRC5IAQAAAOlxAgADAAAAAADSo7bZ/sneCGWw0tv+yd4IMkNJUS5OWVNFOkJBSC5JUV9QUkVGX0RJVl9DRi45OTYuMTQvMDYvMjAyNi4uLlVTRC5IAQAAAOlxAgADAAAAAADDnH/Z/sneCO335dv+yd4IOENJUS5OWVNFOkJBSC5JUV9DSEFOR0VfVU5FQVJOX1JFVi45OTYuMTQvMDYvMjAyNi4uLlVTRC5IAQAAAOlxAgADAAAAAAAk5n7Z/sneCARB4Nv+yd4IOUNJUS5OWVNFOkJBSC5JUV9TVE9DS19PUFRJT05TX0NPTVAuOTk2LjE0LzA2LzIwMjYuLi5VU0QuSAEAAADpcQIAAwAAAAAAPOR82f7J3gh0/Njb/sneCDxDSVEuTllTRTpCQUguSVFfSU1QVVRfT1BFUl9MRUFTRV9ERVBSLjk5Ni4xNC8wNi8yMDI2Li4uVVNELkgBAAAA6XECAAIAAAAJNjEuMjExODk2AQgAAAAFAAAAATEBAAAACy0xOTkyNDAyMDU5AwAAAAMxNjACAAAABTIxNjczBAAAAAEwBwAAAAk2LzE0LzIwMjYIAAAACTMvMzEvMjAyMgkAAAABMNKjttn+yd4IiOvS2/7J3ggqQ0lRLk5ZU0U6QkFILklRX0RJQy45OTYuMTQvMDYvMjAyNi4uLlVTRC5IAQAAAOlxAgADAAAAAADSo7bZ/sneCMhJ0Nv+yd4IMUNJUS5OWVNFOkJBSC5JUV9DT01NT05fRElWLjk5Ni4xNC8wNi8yMDI2Li4uVVNELkgBAAAA6XECAAIAAAAHMjA5LjE5MwDSo7bZ/sneCEXUzdv+yd4IL0NJUS5OWVNFOkJBSC5J</t>
  </si>
  <si>
    <t>UV9ESUxVVF9OSS45OTYuMTQvMDYvMjAyNi4uLlVTRC5IAQAAAOlxAgACAAAABzQ2My42MzUBCAAAAAUAAAABMQEAAAALLTE5OTI0MDIwNTkDAAAAAzE2MAIAAAAEMzUyMgQAAAABMAcAAAAJNi8xNC8yMDI2CAAAAAkzLzMxLzIwMjIJAAAAATDSo7bZ/sneCEXUzdv+yd4ILkNJUS5OWVNFOkJBSC5JUV9OSV9TRkFTLjk5Ni4xNC8wNi8yMDI2Li4uVVNELkgBAAAA6XECAAMAAAAAANKjttn+yd4Il/vI2/7J3gg1Q0lRLk5ZU0U6QkFILklRX1NUX0RFQlRfUkVQQUlELjk5Ni4xNC8wNi8yMDI2Li4uVVNELkgBAAAA6XECAAMAAAAAAMOcf9n+yd4Ij7Hi2/7J3gg1Q0lRLk5ZU0U6QkFILklRX1NQRUNJQUxfRElWX0NGLjk5Ni4xNC8wNi8yMDI2Li4uVVNELkgBAAAA6XECAAMAAAAAAMOcf9n+yd4I7ffl2/7J3ggwQ0lRLk5ZU0U6QkFILklRX0RJVkVTVF9DRi45OTYuMTQvMDYvMjAyNi4uLlVTRC5IAQAAAOlxAgADAAAAAAAk5n7Z/sneCARB4Nv+yd4ILENJUS5OWVNFOkJBSC5JUV9DQVBFWC45OTYuMTQvMDYvMjAyNi4uLlVTRC5IAQAAAOlxAgACAAAABy03OS45NjQBCAAAAAUAAAABMQEAAAALLTE5OTI0MDIwNTkDAAAAAzE2MAIAAAAEMjAyMQQAAAABMAcAAAAJNi8xNC8yMDI2CAAAAAkzLzMxLzIwMjIJAAAAATAk5n7Z/sneCARB4Nv+yd4INUNJUS5OWVNFOkJBSC5JUV9DSEFOR0VfREVGX1RBWC45OTYuMTQv</t>
  </si>
  <si>
    <t>MDYvMjAyNi4uLlVTRC5IAQAAAOlxAgADAAAAAAAk5n7Z/sneCARB4Nv+yd4IOkNJUS5OWVNFOkJBSC5JUV9UQVhfQkVORUZJVF9PUFRJT05TLjk5Ni4xNC8wNi8yMDI2Li4uVVNELkgBAAAA6XECAAMAAAAAACTmftn+yd4IYNnd2/7J3ggyQ0lRLk5ZU0U6QkFILklRX09USEVSX0FNT1JULjk5Ni4xNC8wNi8yMDI2Li4uVVNELkgBAAAA6XECAAIAAAAFNC42MTkBCAAAAAUAAAABMQEAAAALLTE5OTI0MDIwNTkDAAAAAzE2MAIAAAAEMjAxNAQAAAABMAcAAAAJNi8xNC8yMDI2CAAAAAkzLzMxLzIwMjIJAAAAATA85HzZ/sneCKx43Nv+yd4IMUNJUS5OWVNFOkJBSC5JUV9ORVRfQ0hBTkdFLjk5Ni4xNC8wNi8yMDI2Li4uVVNELkgBAAAA6XECAAIAAAAILTI5NS4wNDUBCAAAAAUAAAABMQEAAAALLTE5OTI0MDIwNTkDAAAAAzE2MAIAAAAEMjA5MwQAAAABMAcAAAAJNi8xNC8yMDI2CAAAAAkzLzMxLzIwMjIJAAAAATDDnH/Z/sneCAWL59v+yd4IOENJUS5OWVNFOkJBSC5JUV9UT1RBTF9ERUJUX0lTU1VFRC45OTYuMTQvMDYvMjAyNi4uLlVTRC5IAQAAAOlxAgACAAAABzU0Ny4wMjcBCAAAAAUAAAABMQEAAAALLTE5OTI0MDIwNTkDAAAAAzE2MAIAAAAEMjE2MQQAAAABMAcAAAAJNi8xNC8yMDI2CAAAAAkzLzMxLzIwMjIJAAAAATDDnH/Z/sneCI+x4tv+yd4IOENJUS5OWVNFOkJBSC5JUV9TVE9DS19CQVNFRF9U</t>
  </si>
  <si>
    <t>T1RBTC45OTYuMTQvMDYvMjAyNi4uLlVTRC5IAQAAAOlxAgACAAAABjY5Ljc4NAEIAAAABQAAAAExAQAAAAstMTk5MjQwMjA1OQMAAAADMTYwAgAAAAUyNDAzNAQAAAABMAcAAAAJNi8xNC8yMDI2CAAAAAkzLzMxLzIwMjIJAAAAATA85HzZ/sneCHT82Nv+yd4IN0NJUS5OWVNFOkJBSC5JUV9TVE9DS19CQVNFRF9DT0dTLjk5Ni4xNC8wNi8yMDI2Li4uVVNELkgBAAAA6XECAAIAAAAGMzYuODM2AQgAAAAFAAAAATEBAAAACy0xOTkyNDAyMDU5AwAAAAMxNjACAAAABTIyNjc0BAAAAAEwBwAAAAk2LzE0LzIwMjYIAAAACTMvMzEvMjAyMgkAAAABMNKjttn+yd4I28PX2/7J3gg0Q0lRLk5ZU0U6QkFILklRX0NPTU1PTl9JU1NVRUQuOTk2LjE0LzA2LzIwMjYuLi5VU0QuSAEAAADpcQIAAgAAAAQyOS4zAQgAAAAFAAAAATEBAAAACy0xOTkyNDAyMDU5AwAAAAMxNjACAAAABDIxNjkEAAAAATAHAAAACTYvMTQvMjAyNggAAAAJMy8zMS8yMDIyCQAAAAEww5x/2f7J3ghAGeXb/sneCDBDSVEuTllTRTpCQUguSVFfQ0hBTkdFX0FQLjk5Ni4xNC8wNi8yMDI2Li4uVVNELkgBAAAA6XECAAIAAAAHMTk0LjgyNwEIAAAABQAAAAExAQAAAAstMTk5MjQwMjA1OQMAAAADMTYwAgAAAAQyMDE3BAAAAAEwBwAAAAk2LzE0LzIwMjYIAAAACTMvMzEvMjAyMgkAAAABMCTmftn+yd4IBEHg2/7J3gg5Q0lRLk5ZU0U6QkFILklRX0FT</t>
  </si>
  <si>
    <t>U0VUX1dSSVRFRE9XTl9DRi45OTYuMTQvMDYvMjAyNi4uLlVTRC5IAQAAAOlxAgADAAAAAAA85HzZ/sneCGDZ3dv+yd4IL0NJUS5OWVNFOkJBSC5JUV9QUkVGX1JFUC45OTYuMTQvMDYvMjAyNi4uLlVTRC5IAQAAAOlxAgADAAAAAADDnH/Z/sneCO335dv+yd4IMENJUS5OWVNFOkJBSC5JUV9DQVNIX09QRVIuOTk2LjE0LzA2LzIwMjYuLi5VU0QuSAEAAADpcQIAAgAAAAc3MzYuNTI2AQgAAAAFAAAAATEBAAAACy0xOTkyNDAyMDU5AwAAAAMxNjACAAAABDIwMDYEAAAAATAHAAAACTYvMTQvMjAyNggAAAAJMy8zMS8yMDIyCQAAAAEwJOZ+2f7J3ggEQeDb/sneCCxDSVEuTllTRTpCQUguSVFfRE9fQ0YuOTk2LjE0LzA2LzIwMjYuLi5VU0QuSAEAAADpcQIAAwAAAAAAJOZ+2f7J3ghg2d3b/sneCDVDSVEuTllTRTpCQUguSVFfQ1JFRElUX0xPU1NfQ0YuOTk2LjE0LzA2LzIwMjYuLi5VU0QuSAEAAADpcQIAAwAAAAAAfB9+2f7J3ghg2d3b/sneCDhDSVEuTllTRTpCQUguSVFfU1RPQ0tfQkFTRURfT1RIRVIuOTk2LjE0LzA2LzIwMjYuLi5VU0QuSAEAAADpcQIAAwAAAAAAPOR82f7J3gh0/Njb/sneCDdDSVEuTllTRTpCQUguSVFfR0FJTl9CQVJHQUlOX0FDUS45OTYuMTQvMDYvMjAyNi4uLlVTRC5IAQAAAOlxAgADAAAAAADSo7bZ/sneCMDs1dv+yd4IQUNJUS5OWVNFOkJBSC5JUV9ERVBSRUNJQVRJT05fUkVO</t>
  </si>
  <si>
    <t>VEFMX0FTU0VUUy45OTYuMTQvMDYvMjAyNi4uLlVTRC5IAQAAAOlxAgADAAAAAADSo7bZ/sneCIjr0tv+yd4IMkNJUS5OWVNFOkJBSC5JUV9BRFZFUlRJU0lORy45OTYuMTQvMDYvMjAyNi4uLlVTRC5IAQAAAOlxAgADAAAAAADSo7bZ/sneCMhJ0Nv+yd4IOkNJUS5OWVNFOkJBSC5JUV9OT05DQVNIX1BFTlNJT05fRVhQLjk5Ni4xNC8wNi8yMDI2Li4uVVNELkgBAAAA6XECAAMAAAAAANKjttn+yd4IRdTN2/7J3gg6Q0lRLk5ZU0U6QkFILklRX0NVUlJfRE9NRVNUSUNfVEFYRVMuOTk2LjE0LzA2LzIwMjYuLi5VU0QuSAEAAADpcQIAAgAAAAcyNTkuMTc3AQgAAAAFAAAAATEBAAAACy0xOTkyNDAyMDU5AwAAAAMxNjACAAAABDMwMjcEAAAAATAHAAAACTYvMTQvMjAyNggAAAAJMy8zMS8yMDIyCQAAAAEw0qO22f7J3giX+8jb/sneCDdDSVEuTllTRTpCQUguSVFfRUJJVERBUl9FWENMX1NCQy45OTYuMTQvMDYvMjAyNi4uLlVTRC5IAQAAAOlxAgACAAAABzk3OC43MDYBCAAAAAUAAAABMQEAAAALLTE5OTI0MDIwNTkDAAAAAzE2MAIAAAAFMjQxMzcEAAAAATAHAAAACTYvMTQvMjAyNggAAAAJMy8zMS8yMDIyCQAAAAEw0qO22f7J3gi5iMbb/sneCD5DSVEuTllTRTpCQUguSVFfTEVBU0VfQURKVVNUTUVOVF9FQklUREEuOTk2LjE0LzA2LzIwMjYuLi5VU0QuSAEAAADpcQIAAgAAAAY4Mi4wNTcATIME2v7J3ggP</t>
  </si>
  <si>
    <t>L8Tb/sneCD1DSVEuTllTRTpCQUguSVFfRUJJVERBX0VRX0lOQ19FWENMX1NCQy45OTYuMTQvMDYvMjAyNi4uLlVTRC5IAQAAAOlxAgACAAAABzg5Ni42NDkBCAAAAAUAAAABMQEAAAALLTE5OTI0MDIwNTkDAAAAAzE2MAIAAAAFMjQxMzEEAAAAATAHAAAACTYvMTQvMjAyNggAAAAJMy8zMS8yMDIyCQAAAAEwTIME2v7J3ggPL8Tb/sneCDVDSVEuTllTRTpCQUguSVFfRElMVVRfRVBTX05PUk0uOTk2LjE0LzA2LzIwMjYuLi5VU0QuSAEAAADpcQIAAgAAAAgyLjgwMDc5OAEIAAAABQAAAAExAQAAAAstMTk5MjQwMjA1OQMAAAADMTYwAgAAAAQ0MzgwBAAAAAEwBwAAAAk2LzE0LzIwMjYIAAAACTMvMzEvMjAyMgkAAAABMEyDBNr+yd4I2KnB2/7J3ggxQ0lRLk5ZU0U6QkFILklRX05JX0NPTVBBTlkuOTk2LjE0LzA2LzIwMjYuLi5VU0QuSAEAAADpcQIAAgAAAAc0NjYuNTc3AQgAAAAFAAAAATEBAAAACy0xOTkyNDAyMDU5AwAAAAMxNjACAAAABTQxNTcxBAAAAAEwBwAAAAk2LzE0LzIwMjYIAAAACTMvMzEvMjAyMgkAAAABMEyDBNr+yd4IJ/K92/7J3gg4Q0lRLk5ZU0U6QkFILklRX05FR0FUSVZFX0dXX0FNT1JULjk5Ni4xNC8wNi8yMDI2Li4uVVNELkgBAAAA6XECAAMAAAAAANKjttn+yd4IwOzV2/7J3gg4Q0lRLk5ZU0U6QkFILklRX0dXX0lOVEFOX0FNT1JUX0NGLjk5Ni4xNC8wNi8yMDI2Li4uVVNELkgB</t>
  </si>
  <si>
    <t>AAAA6XECAAIAAAAENzYuMgEIAAAABQAAAAExAQAAAAstMTk5MjQwMjA1OQMAAAADMTYwAgAAAAQyMTgyBAAAAAEwBwAAAAk2LzE0LzIwMjYIAAAACTMvMzEvMjAyMgkAAAABMDzkfNn+yd4IrHjc2/7J3ggsQ0lRLk5ZU0U6QkFILklRX05JX0NGLjk5Ni4xNC8wNi8yMDI2Li4uVVNELkgBAAAA6XECAAIAAAAGNDY2Ljc0AQgAAAAFAAAAATEBAAAACy0xOTkyNDAyMDU5AwAAAAMxNjACAAAABDIxNTAEAAAAATAHAAAACTYvMTQvMjAyNggAAAAJMy8zMS8yMDIyCQAAAAEwPOR82f7J3gjfctvb/sneCD9DSVEuTllTRTpCQUguSVFfSU1QVVRfT1BFUl9MRUFTRV9JTlRfRVhQLjk5Ni4xNC8wNi8yMDI2Li4uVVNELkgBAAAA6XECAAIAAAAJMjAuODQ1MTA0AQgAAAAFAAAAATEBAAAACy0xOTkyNDAyMDU5AwAAAAMxNjACAAAABTIxNjcyBAAAAAEwBwAAAAk2LzE0LzIwMjYIAAAACTMvMzEvMjAyMgkAAAABMNKjttn+yd4IiOvS2/7J3ggwQ0lRLk5ZU0U6QkFILklRX1JEX0VYUF9GTi45OTYuMTQvMDYvMjAyNi4uLlVTRC5IAQAAAOlxAgADAAAAAADSo7bZ/sneCMhJ0Nv+yd4ILkNJUS5OWVNFOkJBSC5JUV9OSV9OT1JNLjk5Ni4xNC8wNi8yMDI2Li4uVVNELkgBAAAA6XECAAIAAAAKMzc3LjY4OTg3NQEIAAAABQAAAAExAQAAAAstMTk5MjQwMjA1OQMAAAADMTYwAgAAAAQ0Mzc4BAAAAAEwBwAAAAk2LzE0LzIwMjYI</t>
  </si>
  <si>
    <t>AAAACTMvMzEvMjAyMgkAAAABMNKjttn+yd4IlDbN2/7J3ghAQ0lRLk5ZU0U6QkFILklRX0VBUk5JTkdfUEFSRU5UX0VYQ0xfRVhUUkEuOTk2LjE0LzA2LzIwMjYuLi5VU0QuSAEAAADpcQIAAgAAAAY0NjYuNzQBCAAAAAUAAAABMQEAAAALLTE5OTI0MDIwNTkDAAAAAzE2MAIAAAAFNDE1OTYEAAAAATAHAAAACTYvMTQvMjAyNggAAAAJMy8zMS8yMDIyCQAAAAEw0qO22f7J3giX+8jb/sneCDxDSVEuTllTRTpCQUguSVFfVE9UQUxfUkVWX0FTX1JFUE9SVEVELjk5Ni4xNC8wNi8yMDI2Li4uVVNELkgBAAAA6XECAAMAAAAAANKjttn+yd4Il/vI2/7J3gg7Q0lRLk5ZU0U6QkFILklRX0VCSVRfRVFfSU5DX0VYQ0xfU0JDLjk5Ni4xNC8wNi8yMDI2Li4uVVNELkgBAAAA6XECAAIAAAAHNzUwLjkwMgEIAAAABQAAAAExAQAAAAstMTk5MjQwMjA1OQMAAAADMTYwAgAAAAUyNDEzMAQAAAABMAcAAAAJNi8xNC8yMDI2CAAAAAkzLzMxLzIwMjIJAAAAATCxDQXa/sneCA8vxNv+yd4IP0NJUS5OWVNFOkJBSC5JUV9ESVNUUklCVVRBQkxFX0NBU0hfU0hBUkUuOTk2LjE0LzA2LzIwMjYuLi5VU0QuSAEAAADpcQIAAwAAAAAATIME2v7J3ggPL8Tb/sneCDVDSVEuTllTRTpCQUguSVFfQkFTSUNfRVBTX0VYQ0wuOTk2LjE0LzA2LzIwMjYuLi5VU0QuSAEAAADpcQIAAgAAAAgzLjQ1NjQzOAEIAAAABQAAAAExAQAAAAstMTk5</t>
  </si>
  <si>
    <t>MjQwMjA1OQMAAAADMTYwAgAAAAQzMDY0BAAAAAEwBwAAAAk2LzE0LzIwMjYIAAAACTMvMzEvMjAyMgkAAAABMEyDBNr+yd4I2KnB2/7J3gg6Q0lRLk5ZU0U6QkFILklRX09USEVSX1VOVVNVQUxfU1VQUEwuOTk2LjE0LzA2LzIwMjYuLi5VU0QuSAEAAADpcQIAAwAAAAAATIME2v7J3gjfzbzb/sneCDVDSVEuTllTRTpCQUguSVFfTUlTQ19BREpVU1RfQ0YuOTk2LjE0LzA2LzIwMjYuLi5VU0QuSAEAAADpcQIAAwAAAAAAw5x/2f7J3ggFi+fb/sneCDZDSVEuTllTRTpCQUguSVFfQ0FTSF9BQ1FVSVJFX0NGLjk5Ni4xNC8wNi8yMDI2Li4uVVNELkgBAAAA6XECAAIAAAAILTc4MC4zMzQBCAAAAAUAAAABMQEAAAALLTE5OTI0MDIwNTkDAAAAAzE2MAIAAAAEMjA1NwQAAAABMAcAAAAJNi8xNC8yMDI2CAAAAAkzLzMxLzIwMjIJAAAAATAk5n7Z/sneCARB4Nv+yd4IO0NJUS5OWVNFOkJBSC5JUV9NSU5PUklUWV9JTlRFUkVTVF9DRi45OTYuMTQvMDYvMjAyNi4uLlVTRC5IAQAAAOlxAgADAAAAAAA85HzZ/sneCKx43Nv+yd4ILENJUS5OWVNFOkJBSC5JUV9EQV9DRi45OTYuMTQvMDYvMjAyNi4uLlVTRC5IAQAAAOlxAgACAAAABzE0NS43NDcBCAAAAAUAAAABMQEAAAALLTE5OTI0MDIwNTkDAAAAAzE2MAIAAAAEMjE2MAQAAAABMAcAAAAJNi8xNC8yMDI2CAAAAAkzLzMxLzIwMjIJAAAAATA85HzZ/sneCKx43Nv+</t>
  </si>
  <si>
    <t>yd4IO0NJUS5OWVNFOkJBSC5JUV9TVE9DS19CQVNFRF9DT01QX1RBWC45OTYuMTQvMDYvMjAyNi4uLlVTRC5IAQAAAOlxAgADAAAAAAA85HzZ/sneCN9y29v+yd4IPUNJUS5OWVNFOkJBSC5JUV9BU1NFVF9XUklURURPV05fU1VQUExFLjk5Ni4xNC8wNi8yMDI2Li4uVVNELkgBAAAA6XECAAMAAAAAANKjttn+yd4IeFfV2/7J3gg+Q0lRLk5ZU0U6QkFILklRX1JFU1RSX1NUT0NLX0NPTVBfUFJFVEFYLjk5Ni4xNC8wNi8yMDI2Li4uVVNELkgBAAAA6XECAAIAAAAGNjcuOTkxADzkfNn+yd4IdPzY2/7J3gg7Q0lRLk5ZU0U6QkFILklRX09USEVSX1VOVVNVQUxfU1VQUExFLjk5Ni4xNC8wNi8yMDI2Li4uVVNELkgBAAAA6XECAAMAAAAAANKjttn+yd4IwOzV2/7J3gg+Q0lRLk5ZU0U6QkFILklRX0VYUExPUkVfRFJJTExfRVhQX1RPVEFMLjk5Ni4xNC8wNi8yMDI2Li4uVVNELkgBAAAA6XECAAMAAAAAANKjttn+yd4IiOvS2/7J3ggwQ0lRLk5ZU0U6QkFILklRX0RBX0VCSVREQS45OTYuMTQvMDYvMjAyNi4uLlVTRC5IAQAAAOlxAgACAAAABzE0NS43NDcBCAAAAAUAAAABMQEAAAALLTE5OTI0MDIwNTkDAAAAAzE2MAIAAAAEMjIwNgQAAAABMAcAAAAJNi8xNC8yMDI2CAAAAAkzLzMxLzIwMjIJAAAAATDSo7bZ/sneCEXUzdv+yd4ISENJUS5OWVNFOkJBSC5JUV9JTlRFUkVTVF9FWFBfTEVBU0VfTElBQklMSVRZ</t>
  </si>
  <si>
    <t>X0RFQlQuOTk2LjE0LzA2LzIwMjYuLi5VU0QuSAEAAADpcQIAAwAAAAAA0qO22f7J3ghF1M3b/sneCD5DSVEuTllTRTpCQUguSVFfRVhDSVNFX1RBWEVTX0VYQ0xfU0FMRVMuOTk2LjE0LzA2LzIwMjYuLi5VU0QuSAEAAADpcQIAAwAAAAAA0qO22f7J3giX+8jb/sneCDhDSVEuTllTRTpCQUguSVFfVE9UQUxfREVCVF9SRVBBSUQuOTk2LjE0LzA2LzIwMjYuLi5VU0QuSAEAAADpcQIAAgAAAAgtMTEyLjI1NwEIAAAABQAAAAExAQAAAAstMTk5MjQwMjA1OQMAAAADMTYwAgAAAAQyMTY2BAAAAAEwBwAAAAk2LzE0LzIwMjYIAAAACTMvMzEvMjAyMgkAAAABMMOcf9n+yd4IQBnl2/7J3gg9Q0lRLk5ZU0U6QkFILklRX09USEVSX0lOVkVTVF9BQ1RfU1VQUEwuOTk2LjE0LzA2LzIwMjYuLi5VU0QuSAEAAADpcQIAAgAAAAYtMC40MjcBCAAAAAUAAAABMQEAAAALLTE5OTI0MDIwNTkDAAAAAzE2MAIAAAAEMjA1MQQAAAABMAcAAAAJNi8xNC8yMDI2CAAAAAkzLzMxLzIwMjIJAAAAATAk5n7Z/sneCI+x4tv+yd4INUNJUS5OWVNFOkJBSC5JUV9TVE9DS19CQVNFRF9BVC45OTYuMTQvMDYvMjAyNi4uLlVTRC5IAQAAAOlxAgADAAAAAAA85HzZ/sneCHT82Nv+yd4IO0NJUS5OWVNFOkJBSC5JUV9ORUdBVElWRV9HV19BTU9SVF9BVC45OTYuMTQvMDYvMjAyNi4uLlVTRC5IAQAAAOlxAgADAAAAAADSo7bZ/sneCM+c19v+</t>
  </si>
  <si>
    <t>yd4IOENJUS5OWVNFOkJBSC5JUV9ORVRfUkVOVEFMX0VYUF9GTi45OTYuMTQvMDYvMjAyNi4uLlVTRC5IAQAAAOlxAgACAAAABjgyLjA1NwEIAAAABQAAAAExAQAAAAstMTk5MjQwMjA1OQMAAAADMTYwAgAAAAQzMTcwBAAAAAEwBwAAAAk2LzE0LzIwMjYIAAAACTMvMzEvMjAyMgkAAAABMNKjttn+yd4IyEnQ2/7J3gg2Q0lRLk5ZU0U6QkFILklRX1NBTEVTX01BUktFVElORy45OTYuMTQvMDYvMjAyNi4uLlVTRC5IAQAAAOlxAgADAAAAAADSo7bZ/sneCMhJ0Nv+yd4IO0NJUS5OWVNFOkJBSC5JUV9ERUZFUlJFRF9UQVhFU19UT1RBTC45OTYuMTQvMDYvMjAyNi4uLlVTRC5IAQAAAOlxAgACAAAACC0xMzAuMTk3AQgAAAAFAAAAATEBAAAACy0xOTkyNDAyMDU5AwAAAAMxNjACAAAABTM1Mzg1BAAAAAEwBwAAAAk2LzE0LzIwMjYIAAAACTMvMzEvMjAyMgkAAAABMNKjttn+yd4IP2rL2/7J3gg5Q0lRLk5ZU0U6QkFILklRX0FTX1JFUE9SVEVEX0VCSVREQS45OTYuMTQvMDYvMjAyNi4uLlVTRC5IAQAAAOlxAgACAAAABzkzNS4wODgA0qO22f7J3giX+8jb/sneCDRDSVEuTllTRTpCQUguSVFfRUJJVF9FWENMX1NCQy45OTYuMTQvMDYvMjAyNi4uLlVTRC5IAQAAAOlxAgACAAAABzc1MC45MDIBCAAAAAUAAAABMQEAAAALLTE5OTI0MDIwNTkDAAAAAzE2MAIAAAAFMjQxMzQEAAAAATAHAAAACTYvMTQvMjAyNggA</t>
  </si>
  <si>
    <t>AAAJMy8zMS8yMDIyCQAAAAEwsQ0F2v7J3gi5iMbb/sneCCtDSVEuTllTRTpCQUguSVFfRUJJVC45OTYuMTQvMDYvMjAyNi4uLlVTRC5IAQAAAOlxAgACAAAABzY4MS4xMTgBCAAAAAUAAAABMQEAAAALLTE5OTI0MDIwNTkDAAAAAzE2MAIAAAADNDAwBAAAAAEwBwAAAAk2LzE0LzIwMjYIAAAACTMvMzEvMjAyMgkAAAABMLENBdr+yd4IDy/E2/7J3gg0Q0lRLk5ZU0U6QkFILklRX05JX0FWQUlMX0VYQ0wuOTk2LjE0LzA2LzIwMjYuLi5VU0QuSAEAAADpcQIAAgAAAAc0NjMuNjI2AQgAAAAFAAAAATEBAAAACy0xOTkyNDAyMDU5AwAAAAMxNjACAAAAAzM3OQQAAAABMAcAAAAJNi8xNC8yMDI2CAAAAAkzLzMxLzIwMjIJAAAAATBMgwTa/sneCNipwdv+yd4IOkNJUS5OWVNFOkJBSC5JUV9TQUxFX1JFQUxfRVNUQVRFX0NGLjk5Ni4xNC8wNi8yMDI2Li4uVVNELkgBAAAA6XECAAMAAAAAACTmftn+yd4Ij7Hi2/7J3ghAQ0lRLk5ZU0U6QkFILklRX1NUT0NLX0JBU0VEX0VYUExPUkVfRFJJTEwuOTk2LjE0LzA2LzIwMjYuLi5VU0QuSAEAAADpcQIAAwAAAAAAPOR82f7J3gh0/Njb/sneCDRDSVEuTllTRTpCQUguSVFfQUlSQ1JBRlRfUkVOVC45OTYuMTQvMDYvMjAyNi4uLlVTRC5IAQAAAOlxAgADAAAAAADSo7bZ/sneCGWw0tv+yd4IPkNJUS5OWVNFOkJBSC5JUV9TQUxBUklFU19PVEhFUl9CRU5FRklUUy45OTYu</t>
  </si>
  <si>
    <t>MTQvMDYvMjAyNi4uLlVTRC5IAQAAAOlxAgADAAAAAADSo7bZ/sneCIjr0tv+yd4IN0NJUS5OWVNFOkJBSC5JUV9JTlRfRVhQX0lOQ0xfQ0FQLjk5Ni4xNC8wNi8yMDI2Li4uVVNELkgBAAAA6XECAAIAAAAGOTIuMzUyAQgAAAAFAAAAATEBAAAACy0xOTkyNDAyMDU5AwAAAAMxNjACAAAABTIxODYxBAAAAAEwBwAAAAk2LzE0LzIwMjYIAAAACTMvMzEvMjAyMgkAAAABMNKjttn+yd4IRdTN2/7J3gg+Q0lRLk5ZU0U6QkFILklRX0VYQ0lTRV9UQVhFU19JTkNMX1NBTEVTLjk5Ni4xNC8wNi8yMDI2Li4uVVNELkgBAAAA6XECAAMAAAAAANKjttn+yd4Il/vI2/7J3gg2Q0lRLk5ZU0U6QkFILklRX0lOVEVSRVNUX0lOQ09NRS45OTYuMTQvMDYvMjAyNi4uLlVTRC5IAQAAAOlxAgADAAAAAADSo7bZ/sneCJf7yNv+yd4INUNJUS5OWVNFOkJBSC5JUV9FQklUQV9FWENMX1NCQy45OTYuMTQvMDYvMjAyNi4uLlVTRC5IAQAAAOlxAgACAAAABzgyNy4xMDIBCAAAAAUAAAABMQEAAAALLTE5OTI0MDIwNTkDAAAAAzE2MAIAAAAFMjQxMzYEAAAAATAHAAAACTYvMTQvMjAyNggAAAAJMy8zMS8yMDIyCQAAAAEw0qO22f7J3gi5iMbb/sneCDRDSVEuTllTRTpCQUguSVFfRUJJVERBX0VRX0lOQy45OTYuMTQvMDYvMjAyNi4uLlVTRC5IAQAAAOlxAgACAAAABzkwOC45MjIBCAAAAAUAAAABMQEAAAALLTE5OTI0MDIwNTkDAAAA</t>
  </si>
  <si>
    <t>AzE2MAIAAAAFMjE2NzcEAAAAATAHAAAACTYvMTQvMjAyNggAAAAJMy8zMS8yMDIyCQAAAAEwTIME2v7J3ggPL8Tb/sneCC9DSVEuTllTRTpCQUguSVFfRVBTX05PUk0uOTk2LjE0LzA2LzIwMjYuLi5VU0QuSAEAAADpcQIAAgAAAAgyLjgxNTc2NAEIAAAABQAAAAExAQAAAAstMTk5MjQwMjA1OQMAAAADMTYwAgAAAAQ0Mzc5BAAAAAEwBwAAAAk2LzE0LzIwMjYIAAAACTMvMzEvMjAyMgkAAAABMEyDBNr+yd4I2KnB2/7J3gg2Q0lRLk5ZU0U6QkFILklRX0VYVFJBX0FDQ19JVEVNUy45OTYuMTQvMDYvMjAyNi4uLlVTRC5IAQAAAOlxAgADAAAAAABMgwTa/sneCCfyvdv+yd4ILkNJUS5OWVNFOkJBSC5JUV9JTkNfVEFYLjk5Ni4xNC8wNi8yMDI2Li4uVVNELkgBAAAA6XECAAIAAAAHMTM3LjQ2NgEIAAAABQAAAAExAQAAAAstMTk5MjQwMjA1OQMAAAADMTYwAgAAAAI3NQQAAAABMAcAAAAJNi8xNC8yMDI2CAAAAAkzLzMxLzIwMjIJAAAAATBMgwTa/sneCN/NvNv+yd4INkNJUS5OWVNFOkJBSC5JUV9JTlZFU1RfTE9BTlNfQ0YuOTk2LjE0LzA2LzIwMjYuLi5VU0QuSAEAAADpcQIAAwAAAAAAJOZ+2f7J3giPseLb/sneCDVDSVEuTllTRTpCQUguSVFfQ0hBTkdFX0lOQ19UQVguOTk2LjE0LzA2LzIwMjYuLi5VU0QuSAEAAADpcQIAAgAAAAcxMzIuMDI5AQgAAAAFAAAAATEBAAAACy0xOTkyNDAyMDU5AwAAAAMx</t>
  </si>
  <si>
    <t>NjACAAAABDIxMDEEAAAAATAHAAAACTYvMTQvMjAyNggAAAAJMy8zMS8yMDIyCQAAAAEwJOZ+2f7J3ggEQeDb/sneCDxDSVEuTllTRTpCQUguSVFfQ0hBTkdFX1RSQURJTkdfQVNTRVRTLjk5Ni4xNC8wNi8yMDI2Li4uVVNELkgBAAAA6XECAAMAAAAAACTmftn+yd4IYNnd2/7J3ggyQ0lRLk5ZU0U6QkFILklRX0RBX1NVUFBMX0NGLjk5Ni4xNC8wNi8yMDI2Li4uVVNELkgBAAAA6XECAAIAAAAGNjkuNTQ3AQgAAAAFAAAAATEBAAAACy0xOTkyNDAyMDU5AwAAAAMxNjACAAAABDIxNzEEAAAAATAHAAAACTYvMTQvMjAyNggAAAAJMy8zMS8yMDIyCQAAAAEwPOR82f7J3giseNzb/sneCD5DSVEuTllTRTpCQUguSVFfU1RPQ0tfQkFTRURfQ09NUF9QUkVUQVguOTk2LjE0LzA2LzIwMjYuLi5VU0QuSAEAAADpcQIAAgAAAAY2OS43ODQAPOR82f7J3gh0/Njb/sneCD1DSVEuTllTRTpCQUguSVFfU1RPQ0tfT1BUSU9OU19DT01QX1RBWC45OTYuMTQvMDYvMjAyNi4uLlVTRC5IAQAAAOlxAgADAAAAAAA85HzZ/sneCHT82Nv+yd4IO0NJUS5OWVNFOkJBSC5JUV9UT1RBTF9VTlVTVUFMX1NVUFBMRS45OTYuMTQvMDYvMjAyNi4uLlVTRC5IAQAAAOlxAgACAAAACC0xMDEuNjQ5AQgAAAAFAAAAATEBAAAACy0xOTkyNDAyMDU5AwAAAAMxNjACAAAABTMzMzkwBAAAAAEwBwAAAAk2LzE0LzIwMjYIAAAACTMvMzEvMjAyMgkA</t>
  </si>
  <si>
    <t>AAABMNKjttn+yd4IwOzV2/7J3gg1Q0lRLk5ZU0U6QkFILklRX1NUT0NLX0JBU0VEX0dBLjk5Ni4xNC8wNi8yMDI2Li4uVVNELkgBAAAA6XECAAIAAAAGMzIuOTQ4AQgAAAAFAAAAATEBAAAACy0xOTkyNDAyMDU5AwAAAAMxNjACAAAABTIyNjc1BAAAAAEwBwAAAAk2LzE0LzIwMjYIAAAACTMvMzEvMjAyMgkAAAABMNKjttn+yd4IFIfY2/7J3gg7Q0lRLk5ZU0U6QkFILklRX0lNUEFJUk1FTlRfR1dfU1VQUExFLjk5Ni4xNC8wNi8yMDI2Li4uVVNELkgBAAAA6XECAAMAAAAAANKjttn+yd4IsCPV2/7J3gg1Q0lRLk5ZU0U6QkFILklRX01JTklNVU1fUkVOVEFMLjk5Ni4xNC8wNi8yMDI2Li4uVVNELkgBAAAA6XECAAMAAAAAANKjttn+yd4IyEnQ2/7J3ggtQ0lRLk5ZU0U6QkFILklRX0dBX0VYUC45OTYuMTQvMDYvMjAyNi4uLlVTRC5IAQAAAOlxAgACAAAABzEwNzYuOTMBCAAAAAUAAAABMQEAAAALLTE5OTI0MDIwNTkDAAAAAzE2MAIAAAAFMjE1NjIEAAAAATAHAAAACTYvMTQvMjAyNggAAAAJMy8zMS8yMDIyCQAAAAEw0qO22f7J3gjISdDb/sneCD1DSVEuTllTRTpCQUguSVFfQU5OVV9ESVNUUklCVVRJT05fVU5JVC45OTYuMTQvMDYvMjAyNi4uLlVTRC5IAQAAAOlxAgADAAAAAADSo7bZ/sneCEXUzdv+yd4IRkNJUS5OWVNFOkJBSC5JUV9ESVNUUklCVVRBQkxFX0NBU0hfU1RBTkRBUkRJWkVELjk5Ni4x</t>
  </si>
  <si>
    <t>NC8wNi8yMDI2Li4uVVNELkgBAAAA6XECAAMAAAAAANKjttn+yd4IRdTN2/7J3gg+Q0lRLk5ZU0U6QkFILklRX0RFRkVSUkVEX0RPTUVTVElDX1RBWEVTLjk5Ni4xNC8wNi8yMDI2Li4uVVNELkgBAAAA6XECAAIAAAAGLTEzNC44AQgAAAAFAAAAATEBAAAACy0xOTkyNDAyMDU5AwAAAAMxNjACAAAABDMwNTQEAAAAATAHAAAACTYvMTQvMjAyNggAAAAJMy8zMS8yMDIyCQAAAAEw0qO22f7J3gg/asvb/sneCDJDSVEuTllTRTpCQUguSVFfRUJJVF9FUV9JTkMuOTk2LjE0LzA2LzIwMjYuLi5VU0QuSAEAAADpcQIAAgAAAAc2ODEuMTE4AQgAAAAFAAAAATEBAAAACy0xOTkyNDAyMDU5AwAAAAMxNjACAAAABTIxNjc1BAAAAAEwBwAAAAk2LzE0LzIwMjYIAAAACTMvMzEvMjAyMgkAAAABMLENBdr+yd4IDy/E2/7J3gg2Q0lRLk5ZU0U6QkFILklRX1RPVEFMX1JFVl9TSEFSRS45OTYuMTQvMDYvMjAyNi4uLlVTRC5IAQAAAOlxAgACAAAACTYyLjM1MzMwMgEIAAAABQAAAAExAQAAAAstMTk5MjQwMjA1OQMAAAADMTYwAgAAAAQ0MzgyBAAAAAEwBwAAAAk2LzE0LzIwMjYIAAAACTMvMzEvMjAyMgkAAAABMEyDBNr+yd4I2KnB2/7J3gg1Q0lRLk5ZU0U6QkFILklRX1BSRUZfRElWX09USEVSLjk5Ni4xNC8wNi8yMDI2Li4uVVNELkgBAAAA6XECAAIAAAAFMy4xMTQBCAAAAAUAAAABMQEAAAALLTE5OTI0MDIwNTkDAAAA</t>
  </si>
  <si>
    <t>AzE2MAIAAAACOTcEAAAAATAHAAAACTYvMTQvMjAyNggAAAAJMy8zMS8yMDIyCQAAAAEwTIME2v7J3ggn8r3b/sneCDVDSVEuTllTRTpCQUguSVFfU1RPQ0tfQkFTRURfQ0YuOTk2LjE0LzA2LzIwMjYuLi5VU0QuSAEAAADpcQIAAgAAAAY2OS43ODQBCAAAAAUAAAABMQEAAAALLTE5OTI0MDIwNTkDAAAAAzE2MAIAAAAEMjEyNwQAAAABMAcAAAAJNi8xNC8yMDI2CAAAAAkzLzMxLzIwMjIJAAAAATB8H37Z/sneCGDZ3dv+yd4IN0NJUS5OWVNFOkJBSC5JUV9SRVNUUl9TVE9DS19DT01QLjk5Ni4xNC8wNi8yMDI2Li4uVVNELkgBAAAA6XECAAMAAAAAADzkfNn+yd4IdPzY2/7J3gg6Q0lRLk5ZU0U6QkFILklRX0xFR0FMX1NFVFRMRV9TVVBQTEUuOTk2LjE0LzA2LzIwMjYuLi5VU0QuSAEAAADpcQIAAwAAAAAA0qO22f7J3gjA7NXb/sneCDFDSVEuTllTRTpCQUguSVFfQ0FTSF9GSU5BTi45OTYuMTQvMDYvMjAyNi4uLlVTRC5IAQAAAOlxAgACAAAACC0xNjMuODQ2AQgAAAAFAAAAATEBAAAACy0xOTkyNDAyMDU5AwAAAAMxNjACAAAABDIwMDQEAAAAATAHAAAACTYvMTQvMjAyNggAAAAJMy8zMS8yMDIyCQAAAAEww5x/2f7J3gjt9+Xb/sneCDFDSVEuTllTRTpCQUguSVFfQ09NTU9OX1JFUC45OTYuMTQvMDYvMjAyNi4uLlVTRC5IAQAAAOlxAgACAAAACC00MTguODU5AQgAAAAFAAAAATEBAAAACy0xOTkyNDAy</t>
  </si>
  <si>
    <t>MDU5AwAAAAMxNjACAAAABDIxNjQEAAAAATAHAAAACTYvMTQvMjAyNggAAAAJMy8zMS8yMDIyCQAAAAEww5x/2f7J3gjC4OXb/sneCDhDSVEuTllTRTpCQUguSVFfUFJPVl9CQURfREVCVFNfQ0YuOTk2LjE0LzA2LzIwMjYuLi5VU0QuSAEAAADpcQIAAwAAAAAAJOZ+2f7J3ghg2d3b/sneCDVDSVEuTllTRTpCQUguSVFfR0FJTl9JTlZFU1RfQ0YuOTk2LjE0LzA2LzIwMjYuLi5VU0QuSAEAAADpcQIAAwAAAAAAPOR82f7J3ghg2d3b/sneCDJDSVEuTllTRTpCQUguSVFfSU5UX0VYUF9MVEQuOTk2LjE0LzA2LzIwMjYuLi5VU0QuSAEAAADpcQIAAgAAAAY3NC44MTcBCAAAAAUAAAABMQEAAAALLTE5OTI0MDIwNTkDAAAAAzE2MAIAAAAEMzEwMQQAAAABMAcAAAAJNi8xNC8yMDI2CAAAAAkzLzMxLzIwMjIJAAAAATDSo7bZ/sneCEXUzdv+yd4IOENJUS5OWVNFOkJBSC5JUV9JTlZFU1RNRU5UX0lOQ09NRS45OTYuMTQvMDYvMjAyNi4uLlVTRC5IAQAAAOlxAgADAAAAAADSo7bZ/sneCJf7yNv+yd4IMkNJUS5OWVNFOkJBSC5JUV9TQUxFX1BQRV9DRi45OTYuMTQvMDYvMjAyNi4uLlVTRC5IAQAAAOlxAgADAAAAAAAk5n7Z/sneCARB4Nv+yd4IOUNJUS5OWVNFOkJBSC5JUV9SRVNUUlVDVFVSRV9TVVBQTEUuOTk2LjE0LzA2LzIwMjYuLi5VU0QuSAEAAADpcQIAAgAAAAYtNC4xNjQBCAAAAAUAAAABMQEAAAALLTE5</t>
  </si>
  <si>
    <t>OTI0MDIwNTkDAAAAAzE2MAIAAAAFMjQ0NzEEAAAAATAHAAAACTYvMTQvMjAyNggAAAAJMy8zMS8yMDIyCQAAAAEw0qO22f7J3giI69Lb/sneCDxDSVEuTllTRTpCQUguSVFfTkVUX1JFTlRBTF9FWFBfU1VQUExFLjk5Ni4xNC8wNi8yMDI2Li4uVVNELkgBAAAA6XECAAMAAAAAANKjttn+yd4IyEnQ2/7J3ggvQ0lRLk5ZU0U6QkFILklRX0xPQU5TX0NGLjk5Ni4xNC8wNi8yMDI2Li4uVVNELkgBAAAA6XECAAMAAAAAAHwfftn+yd4IYNnd2/7J3gg+Q0lRLk5ZU0U6QkFILklRX0dBSU5fQkFSR0FJTl9BQ1FfU1VQUExFLjk5Ni4xNC8wNi8yMDI2Li4uVVNELkgBAAAA6XECAAMAAAAAANKjttn+yd4IwOzV2/7J3ggwQ0lRLk5ZU0U6QkFILklRX01BUktFVElORy45OTYuMTQvMDYvMjAyNi4uLlVTRC5IAQAAAOlxAgADAAAAAADSo7bZ/sneCMhJ0Nv+yd4IPUNJUS5OWVNFOkJBSC5JUV9ERUZFUlJFRF9GT1JFSUdOX1RBWEVTLjk5Ni4xNC8wNi8yMDI2Li4uVVNELkgBAAAA6XECAAIAAAAFNC42MDMBCAAAAAUAAAABMQEAAAALLTE5OTI0MDIwNTkDAAAAAzE2MAIAAAAEMzA1NQQAAAABMAcAAAAJNi8xNC8yMDI2CAAAAAkzLzMxLzIwMjIJAAAAATDSo7bZ/sneCD9qy9v+yd4IOUNJUS5OWVNFOkJBSC5JUV9DVVJSX0ZPUkVJR05fVEFYRVMuOTk2LjE0LzA2LzIwMjYuLi5VU0QuSAEAAADpcQIAAgAAAAU4LjQ4NgEI</t>
  </si>
  <si>
    <t>AAAABQAAAAExAQAAAAstMTk5MjQwMjA1OQMAAAADMTYwAgAAAAQzMDMwBAAAAAEwBwAAAAk2LzE0LzIwMjYIAAAACTMvMzEvMjAyMgkAAAABMNKjttn+yd4IP2rL2/7J3gg+Q0lRLk5ZU0U6QkFILklRX0VCSVREQVJfRVFfSU5DX0VYQ0xfU0JDLjk5Ni4xNC8wNi8yMDI2Li4uVVNELkgBAAAA6XECAAIAAAAHOTc4LjcwNgEIAAAABQAAAAExAQAAAAstMTk5MjQwMjA1OQMAAAADMTYwAgAAAAUyNDEzMwQAAAABMAcAAAAJNi8xNC8yMDI2CAAAAAkzLzMxLzIwMjIJAAAAATDSo7bZ/sneCLmIxtv+yd4IMUNJUS5OWVNFOkJBSC5JUV9PSUxfSU1QQUlSLjk5Ni4xNC8wNi8yMDI2Li4uVVNELkgBAAAA6XECAAMAAAAAADzkfNn+yd4IrHjc2/7J3gg1Q0lRLk5ZU0U6QkFILklRX0VCSVREQVJfRVFfSU5DLjk5Ni4xNC8wNi8yMDI2Li4uVVNELkgBAAAA6XECAAIAAAAHOTkwLjk3OQEIAAAABQAAAAExAQAAAAstMTk5MjQwMjA1OQMAAAADMTYwAgAAAAUyNDEyOQQAAAABMAcAAAAJNi8xNC8yMDI2CAAAAAkzLzMxLzIwMjIJAAAAATDSo7bZ/sneCLmIxtv+yd4IM0NJUS5OWVNFOkJBSC5JUV9NQUlOVF9SRVBBSVIuOTk2LjE0LzA2LzIwMjYuLi5VU0QuSAEAAADpcQIAAwAAAAAA0qO22f7J3giI69Lb/sneCDFDSVEuTllTRTpCQUguSVFfQ1VSUl9UQVhFUy45OTYuMTQvMDYvMjAyNi4uLlVTRC5IAQAAAOlxAgACAAAA</t>
  </si>
  <si>
    <t>BzI2Ny42NjMBCAAAAAUAAAABMQEAAAALLTE5OTI0MDIwNTkDAAAAAzE2MAIAAAAFMzUzODMEAAAAATAHAAAACTYvMTQvMjAyNggAAAAJMy8zMS8yMDIyCQAAAAEw0qO22f7J3gg/asvb/sneCDhDSVEuTllTRTpCQUguSVFfRkVFU19PVEhFUl9JTkNPTUUuOTk2LjE0LzA2LzIwMjYuLi5VU0QuSAEAAADpcQIAAwAAAAAA0qO22f7J3giX+8jb/sneCDNDSVEuTllTRTpCQUguSVFfRUJJVEFfRVFfSU5DLjk5Ni4xNC8wNi8yMDI2Li4uVVNELkgBAAAA6XECAAIAAAAHNzU3LjMxOAEIAAAABQAAAAExAQAAAAstMTk5MjQwMjA1OQMAAAADMTYwAgAAAAUyMTY3NgQAAAABMAcAAAAJNi8xNC8yMDI2CAAAAAkzLzMxLzIwMjIJAAAAATDSo7bZ/sneCLmIxtv+yd4ILkNJUS5OWVNFOkJBSC5JUV9FQklUREFSLjk5Ni4xNC8wNi8yMDI2Li4uVVNELkgBAAAA6XECAAIAAAAHOTA4LjkyMgEIAAAABQAAAAExAQAAAAstMTk5MjQwMjA1OQMAAAADMTYwAgAAAAUyMTY3NAQAAAABMAcAAAAJNi8xNC8yMDI2CAAAAAkzLzMxLzIwMjIJAAAAATDSo7bZ/sneCLmIxtv+yd4INUNJUS5OWVNFOkJBSC5JUV9ESUxVVF9FUFNfSU5DTC45OTYuMTQvMDYvMjAyNi4uLlVTRC5IAQAAAOlxAgACAAAACDMuNDM4MTMyAQgAAAAFAAAAATEBAAAACy0xOTkyNDAyMDU5AwAAAAMxNjACAAAAATgEAAAAATAHAAAACTYvMTQvMjAyNggAAAAJMy8z</t>
  </si>
  <si>
    <t>MS8yMDIyCQAAAAEwTIME2v7J3gjYqcHb/sneCEBDSVEuTllTRTpCQUguSVFfU1RPQ0tfT1BUSU9OU19DT01QX1BSRVRBWC45OTYuMTQvMDYvMjAyNi4uLlVTRC5IAQAAAOlxAgACAAAABTEuNzkzADzkfNn+yd4IdPzY2/7J3gg7Q0lRLk5ZU0U6QkFILklRX01JTk9SSVRZX0lOVEVSRVNUX0lTLjk5Ni4xNC8wNi8yMDI2Li4uVVNELkgBAAAA6XECAAIAAAAFMC4xNjMBCAAAAAUAAAABMQEAAAALLTE5OTI0MDIwNTkDAAAAAzE2MAIAAAACODMEAAAAATAHAAAACTYvMTQvMjAyNggAAAAJMy8zMS8yMDIyCQAAAAEwTIME2v7J3ggn8r3b/sneCDhDSVEuTllTRTpCQUguSVFfSU5TX1NFVFRMRV9TVVBQTEUuOTk2LjE0LzA2LzIwMjYuLi5VU0QuSAEAAADpcQIAAwAAAAAA0qO22f7J3gjA7NXb/sneCDtDSVEuTllTRTpCQUguSVFfQ0FQSVRBTElaRURfSU5URVJFU1QuOTk2LjE0LzA2LzIwMjYuLi5VU0QuSAEAAADpcQIAAwAAAAAA0qO22f7J3ghF1M3b/sneCDtDSVEuTllTRTpCQUguSVFfUkVTVFJfU1RPQ0tfQ09NUF9UQVguOTk2LjE0LzA2LzIwMjYuLi5VU0QuSAEAAADpcQIAAwAAAAAAPOR82f7J3gh0/Njb/sneCDVDSVEuTllTRTpCQUguSVFfQkFTSUNfRVBTX0lOQ0wuOTk2LjE0LzA2LzIwMjYuLi5VU0QuSAEAAADpcQIAAgAAAAgzLjQ1NjQzOAEIAAAABQAAAAExAQAAAAstMTk5MjQwMjA1OQMAAAADMTYw</t>
  </si>
  <si>
    <t>AgAAAAE5BAAAAAEwBwAAAAk2LzE0LzIwMjYIAAAACTMvMzEvMjAyMgkAAAABMEyDBNr+yd4I2KnB2/7J3ggzQ0lRLk5ZU0U6QkFILklRX0VCSVREQV9DQVBFWC45OTYuMTQvMDYvMjAyNi4uLlVTRC5IAQAAAOlxAgACAAAABzc0Ni45MDEBCAAAAAUAAAABMQEAAAALLTE5OTI0MDIwNTkDAAAAAzE2MAIAAAAFMzUzNzkEAAAAATAHAAAACTYvMTQvMjAyNggAAAAJMy8zMS8yMDIyCQAAAAEw0qO22f7J3gi5iMbb/sneCDxDSVEuTllTRTpCQUguSVFfRUJJVERBX0xFQVNFX0FESlVTVEVELjk5Ni4xNC8wNi8yMDI2Li4uVVNELkgBAAAA6XECAAIAAAAHOTA4LjkyMgEIAAAABQAAAAExAQAAAAstMTk5MjQwMjA1OQMAAAADMTYwAgAAAAU0ODk5MwQAAAABMAcAAAAJNi8xNC8yMDI2CAAAAAkzLzMxLzIwMjIJAAAAATBMgwTa/sneCA8vxNv+yd4ILUNJUS5OWVNFOkJBSC5JUV9FQklUREEuOTk2LjE0LzA2LzIwMjYuLi5VU0QuSAEAAADpcQIAAgAAAAc4MjYuODY1AQgAAAAFAAAAATEBAAAACy0xOTkyNDAyMDU5AwAAAAMxNjACAAAABDQwNTEEAAAAATAHAAAACTYvMTQvMjAyNggAAAAJMy8zMS8yMDIyCQAAAAEwTIME2v7J3ggPL8Tb/sneCClDSVEuTllTRTpCQUguSVFfRE8uOTk2LjE0LzA2LzIwMjYuLi5VU0QuSAEAAADpcQIAAwAAAAAATIME2v7J3gjfzbzb/sneCCxDSVEuTllTRTpCQUguSVFfRUJJVEEuOTk2</t>
  </si>
  <si>
    <t>LjE0LzA2LzIwMjYuLi5VU0QuSAEAAADpcQIAAgAAAAc3NTcuMzE4AQgAAAAFAAAAATEBAAAACy0xOTkyNDAyMDU5AwAAAAMxNjACAAAABjEwMDY4OQQAAAABMAcAAAAJNi8xNC8yMDI2CAAAAAkzLzMxLzIwMjIJAAAAATDSo7bZ/sneCLmIxtv+yd4IMkNJUS5OWVNFOkJBSC5JUV9JUFJEX1NVUFBMRS45OTYuMTQvMDYvMjAyNi4uLlVTRC5IAQAAAOlxAgADAAAAAADSo7bZ/sneCMSG1dv+yd4IOENJUS5OWVNFOkJBSC5JUV9DT05USU5HRU5UX1JFTlRBTC45OTYuMTQvMDYvMjAyNi4uLlVTRC5IAQAAAOlxAgACAAAABjExLjY0MQDSo7bZ/sneCMhJ0Nv+yd4IOENJUS5OWVNFOkJBSC5JUV9TUEVDSUFMX0RJVl9TSEFSRS45OTYuMTQvMDYvMjAyNi4uLlVTRC5IAQAAAOlxAgADAAAAAABMgwTa/sneCA8vxNv+yd4IS0NJUS5OWVNFOkJBSC5JUV9ESVNUUklCVVRBQkxFX0NBU0hfUEVSX1NIQVJFX0RJTFVURUQuOTk2LjE0LzA2LzIwMjYuLi5VU0QuSAEAAADpcQIAAwAAAAAATIME2v7J3gjYqcHb/sneCDlDSVEuTllTRTpCQUguSVFfRElTVFJJQlVUQUJMRV9DQVNILjk5Ni4xNC8wNi8yMDI2Li4uVVNELkgBAAAA6XECAAMAAAAAANKjttn+yd4IRdTN2/7J3ghJQ0lRLk5ZU0U6QkFILklRX1BST1ZfQkFEX0RFQlRTX1BBVElFTlRfU0VSVklDRV9SRVYuOTk2LjE0LzA2LzIwMjYuLi5VU0QuSAEAAADpcQIAAwAA</t>
  </si>
  <si>
    <t>AAAA0qO22f7J3giX+8jb/sneCDZDSVEuTllTRTpCQUguSVFfRUJJVERBX0VYQ0xfU0JDLjk5Ni4xNC8wNi8yMDI2Li4uVVNELkgBAAAA6XECAAIAAAAHODk2LjY0OQEIAAAABQAAAAExAQAAAAstMTk5MjQwMjA1OQMAAAADMTYwAgAAAAUyNDEzNQQAAAABMAcAAAAJNi8xNC8yMDI2CAAAAAkzLzMxLzIwMjIJAAAAATBMgwTa/sneCA8vxNv+yd4IMENJUS5OWVNFOkJBSC5JUV9ESVZfU0hBUkUuOTk2LjE0LzA2LzIwMjYuLi5VU0QuSAEAAADpcQIAAgAAAAQxLjU0AQgAAAAFAAAAATEBAAAACy0xOTkyNDAyMDU5AwAAAAMxNjACAAAABDMwNTgEAAAAATAHAAAACTYvMTQvMjAyNggAAAAJMy8zMS8yMDIyCQAAAAEwTIME2v7J3gjYqcHb/sneCClDSVEuTllTRTpCQUguSVFfTkkuOTk2LjE0LzA2LzIwMjYuLi5VU0QuSAEAAADpcQIAAgAAAAY0NjYuNzQBCAAAAAUAAAABMQEAAAALLTE5OTI0MDIwNTkDAAAAAzE2MAIAAAACMTUEAAAAATAHAAAACTYvMTQvMjAyNggAAAAJMy8zMS8yMDIyCQAAAAEwTIME2v7J3ggn8r3b/sneCCpDSVEuTllTRTpCQUguSVFfRUJULjk5Ni4xNC8wNi8yMDI2Li4uVVNELkgBAAAA6XECAAIAAAAHNjA0LjA0MwEIAAAABQAAAAExAQAAAAstMTk5MjQwMjA1OQMAAAADMTYwAgAAAAMxMzkEAAAAATAHAAAACTYvMTQvMjAyNggAAAAJMy8zMS8yMDIyCQAAAAEwTIME2v7J3gjfzbzb/sne</t>
  </si>
  <si>
    <t>CDVDSVEuTllTRTpCQUguSVFfU1RPQ0tfQkFTRURfU00uOTk2LjE0LzA2LzIwMjYuLi5VU0QuSAEAAADpcQIAAwAAAAAA0qO22f7J3ggTYNjb/sneCDFDSVEuTllTRTpCQUguSVFfRUFSTklOR19DTy45OTYuMTQvMDYvMjAyNi4uLlVTRC5IAQAAAOlxAgACAAAABzQ2Ni41NzcBCAAAAAUAAAABMQEAAAALLTE5OTI0MDIwNTkDAAAAAzE2MAIAAAABNwQAAAABMAcAAAAJNi8xNC8yMDI2CAAAAAkzLzMxLzIwMjIJAAAAATBMgwTa/sneCN/NvNv+yd4ISENJUS5OWVNFOkJBSC5JUV9FQklUREFfRVFfSU5DX0VYQ0xfT1BFUl9MRUFTRV9BREouOTk2LjE0LzA2LzIwMjYuLi5VU0QuSAEAAADpcQIAAgAAAAc4MjYuODY1AQgAAAAFAAAAATEBAAAACy0xOTkyNDAyMDU5AwAAAAMxNjACAAAABTQ4OTg3BAAAAAEwBwAAAAk2LzE0LzIwMjYIAAAACTMvMzEvMjAyMgkAAAABMLENBdr+yd4IDy/E2/7J3ghAQ0lRLk5ZU0U6QkFILklRX05PTlJFQ1VSUklOR19JTkNPTUVfVEFYRVMuOTk2LjE0LzA2LzIwMjYuLi5VU0QuSAEAAADpcQIAAwAAAAAA0qO22f7J3giUNs3b/sneCDxDSVEuTllTRTpCQUguSVFfRUJJVEFfRVFfSU5DX0VYQ0xfU0JDLjk5Ni4xNC8wNi8yMDI2Li4uVVNELkgBAAAA6XECAAIAAAAHODI3LjEwMgEIAAAABQAAAAExAQAAAAstMTk5MjQwMjA1OQMAAAADMTYwAgAAAAUyNDEzMgQAAAABMAcAAAAJNi8x</t>
  </si>
  <si>
    <t>NC8yMDI2CAAAAAkzLzMxLzIwMjIJAAAAATDSo7bZ/sneCLmIxtv+yd4INENJUS5OWVNFOkJBSC5JUV9OSV9BVkFJTF9JTkNMLjk5Ni4xNC8wNi8yMDI2Li4uVVNELkgBAAAA6XECAAIAAAAHNDYzLjYyNgEIAAAABQAAAAExAQAAAAstMTk5MjQwMjA1OQMAAAADMTYwAgAAAAIxNgQAAAABMAcAAAAJNi8xNC8yMDI2CAAAAAkzLzMxLzIwMjIJAAAAATBMgwTa/sneCNipwdv+yd4INUNJUS5OWVNFOkJBSC5JUV9ESUxVVF9FUFNfRVhDTC45OTYuMTQvMDYvMjAyNi4uLlVTRC5IAQAAAOlxAgACAAAACDMuNDM4MTMyAQgAAAAFAAAAATEBAAAACy0xOTkyNDAyMDU5AwAAAAMxNjACAAAAAzE0MgQAAAABMAcAAAAJNi8xNC8yMDI2CAAAAAkzLzMxLzIwMjIJAAAAATBMgwTa/sneCNipwdv+yd4IKUNJUS5OWVNFOkJBSC5JUV9QRVJJT0REQVRFLjk5NS4xNC8wNi8yMDI2AQAAAOlxAgAFAAAACjMxLzAzLzIwMjEAm4ID2v7J3gj9NBzc/sneCC5DSVEuTllTRTpCQUguSVFfRklMSU5HX0NVUlJFTkNZLjk5Ny4xNC8wNi8yMDI2AQAAAOlxAgADAAAAA1VTRADSo7bZ/sneCPYOIdz+yd4ILkNJUS5OWVNFOkJBSC5JUV9QRVJJT0RMRU5HVEhfQ0YuOTk3LjE0LzA2LzIwMjYBAAAA6XECAAEAAAACMTIAw5x/2f7J3ggppx7c/sneCD5DSVEuTllTRTpCQUguSVFfRElTVFJJQlVUQUJMRV9DQVNIX1NIQVJFU19CQVNJQy45OTcu</t>
  </si>
  <si>
    <t>MTQvMDYvMjAyNgEAAADpcQIAAwAAAAAATIME2v7J3gj9NBzc/sneCC5DSVEuTllTRTpCQUguSVFfRUZGRUNUX1RBWF9SQVRFLjk5Ny4xNC8wNi8yMDI2AQAAAOlxAgACAAAABzI2LjM1ODYBCAAAAAUAAAABMQEAAAALLTE5NDE1NDY4NzEDAAAAAzE2MAIAAAAENDM3NgQAAAABMAcAAAAJNi8xNC8yMDI2CAAAAAkzLzMxLzIwMjMJAAAAATDSo7bZ/sneCCmnHtz+yd4IQENJUS5OWVNFOkJBSC5JUV9ESVNUUklCVVRBQkxFX0NBU0hfU0hBUkVTX0RJTFVURUQuOTk3LjE0LzA2LzIwMjYBAAAA6XECAAMAAAAAAEyDBNr+yd4I/TQc3P7J3gg4Q0lRLk5ZU0U6QkFILklRX0RJU1RSSUJVVEFCTEVfQ0FTSF9QQVlPVVQuOTk3LjE0LzA2LzIwMjYBAAAA6XECAAMAAAAAANKjttn+yd4IKace3P7J3ggrQ0lRLk5ZU0U6QkFILklRX0NBTENfVFlQRV9JUy45OTcuMTQvMDYvMjAyNgEAAADpcQIAAwAAAANSRVAA0qO22f7J3ggppx7c/sneCClDSVEuTllTRTpCQUguSVFfU0FNRV9TVE9SRS45OTcuMTQvMDYvMjAyNgEAAADpcQIAAwAAAAAA0qO22f7J3gj9NBzc/sneCC1DSVEuTllTRTpCQUguSVFfUkVTVEFURU1FTlRfSVMuOTk3LjE0LzA2LzIwMjYBAAAA6XECAAMAAAACUlMA0qO22f7J3ggppx7c/sneCCtDSVEuTllTRTpCQUguSVFfUEFZT1VUX1JBVElPLjk5Ny4xNC8wNi8yMDI2AQAAAOlxAgACAAAABzg2Ljc2NDcB</t>
  </si>
  <si>
    <t>CAAAAAUAAAABMQEAAAALLTE5NDE1NDY4NzEDAAAAAzE2MAIAAAAENDM3NwQAAAABMAcAAAAJNi8xNC8yMDI2CAAAAAkzLzMxLzIwMjMJAAAAATDSo7bZ/sneCCmnHtz+yd4ILENJUS5OWVNFOkJBSC5JUV9GSUxJTkdEQVRFX0lTLjk5Ny4xNC8wNi8yMDI2AQAAAOlxAgAFAAAACjIzLzA1LzIwMjUATIME2v7J3gj9NBzc/sneCCZDSVEuTllTRTpCQUguSVFfR0FBUF9JUy45OTcuMTQvMDYvMjAyNgEAAADpcQIAAwAAAAdVUyBHQUFQANKjttn+yd4IKace3P7J3ggvQ0lRLk5ZU0U6QkFILklRX0RSX1JBVElPX1BSSU1BUlkuOTk3LjE0LzA2LzIwMjYBAAAA6XECAAMAAAAAAEyDBNr+yd4I/TQc3P7J3ggrQ0lRLk5ZU0U6QkFILklRX0RJTFVUX1dFSUdIVC45OTcuMTQvMDYvMjAyNgEAAADpcQIAAgAAAAoxMzIuNzE2NDM2AEyDBNr+yd4I/TQc3P7J3ggrQ0lRLk5ZU0U6QkFILklRX0JBU0lDX1dFSUdIVC45OTcuMTQvMDYvMjAyNgEAAADpcQIAAgAAAAoxMzIuMTYxNjQ2AEyDBNr+yd4I/TQc3P7J3gguQ0lRLk5ZU0U6QkFILklRX1BFUklPRExFTkdUSF9JUy45OTcuMTQvMDYvMjAyNgEAAADpcQIAAQAAAAIxMgBMgwTa/sneCP00HNz+yd4IL0NJUS5OWVNFOkJBSC5JUV9QUkVGX1JFUC45OTcuMTQvMDYvMjAyNi4uLlVTRC5IAQAAAOlxAgADAAAAAADDnH/Z/sneCO335dv+yd4IOUNJUS5OWVNFOkJBSC5JUV9J</t>
  </si>
  <si>
    <t>TlZFU1RfU0VDVVJJVFlfQ0YuOTk3LjE0LzA2LzIwMjYuLi5VU0QuSAEAAADpcQIAAgAAAAItNQEIAAAABQAAAAExAQAAAAstMTk0MTU0Njg3MQMAAAADMTYwAgAAAAQyMDI3BAAAAAEwBwAAAAk2LzE0LzIwMjYIAAAACTMvMzEvMjAyMwkAAAABMCTmftn+yd4Ij7Hi2/7J3ggwQ0lRLk5ZU0U6QkFILklRX0RJVkVTVF9DRi45OTcuMTQvMDYvMjAyNi4uLlVTRC5IAQAAAOlxAgACAAAAAjUzAQgAAAAFAAAAATEBAAAACy0xOTQxNTQ2ODcxAwAAAAMxNjACAAAABDIwNzcEAAAAATAHAAAACTYvMTQvMjAyNggAAAAJMy8zMS8yMDIzCQAAAAEwJOZ+2f7J3ggEQeDb/sneCDVDSVEuTllTRTpCQUguSVFfT1RIRVJfT1BFUl9BQ1QuOTk3LjE0LzA2LzIwMjYuLi5VU0QuSAEAAADpcQIAAgAAAAQtMjk5AQgAAAAFAAAAATEBAAAACy0xOTQxNTQ2ODcxAwAAAAMxNjACAAAABDIwNDcEAAAAATAHAAAACTYvMTQvMjAyNggAAAAJMy8zMS8yMDIzCQAAAAEwJOZ+2f7J3ghg2d3b/sneCCxDSVEuTllTRTpCQUguSVFfREFfQ0YuOTk3LjE0LzA2LzIwMjYuLi5VU0QuSAEAAADpcQIAAgAAAAMxNjUBCAAAAAUAAAABMQEAAAALLTE5NDE1NDY4NzEDAAAAAzE2MAIAAAAEMjE2MAQAAAABMAcAAAAJNi8xNC8yMDI2CAAAAAkzLzMxLzIwMjMJAAAAATA85HzZ/sneCKx43Nv+yd4IPkNJUS5OWVNFOkJBSC5JUV9SRVNUUl9TVE9DS19D</t>
  </si>
  <si>
    <t>T01QX1BSRVRBWC45OTcuMTQvMDYvMjAyNi4uLlVTRC5IAQAAAOlxAgADAAAAAAA85HzZ/sneCHT82Nv+yd4IMUNJUS5OWVNFOkJBSC5JUV9DQVNIX0ZJTkFOLjk5Ny4xNC8wNi8yMDI2Li4uVVNELkgBAAAA6XECAAIAAAAELTQyNgEIAAAABQAAAAExAQAAAAstMTk0MTU0Njg3MQMAAAADMTYwAgAAAAQyMDA0BAAAAAEwBwAAAAk2LzE0LzIwMjYIAAAACTMvMzEvMjAyMwkAAAABMMOcf9n+yd4IBYvn2/7J3gg1Q0lRLk5ZU0U6QkFILklRX01JU0NfQURKVVNUX0NGLjk5Ny4xNC8wNi8yMDI2Li4uVVNELkgBAAAA6XECAAMAAAAAAMOcf9n+yd4IBYvn2/7J3gg4Q0lRLk5ZU0U6QkFILklRX1RPVEFMX0RFQlRfUkVQQUlELjk5Ny4xNC8wNi8yMDI2Li4uVVNELkgBAAAA6XECAAIAAAAELTQxNwEIAAAABQAAAAExAQAAAAstMTk0MTU0Njg3MQMAAAADMTYwAgAAAAQyMTY2BAAAAAEwBwAAAAk2LzE0LzIwMjYIAAAACTMvMzEvMjAyMwkAAAABMMOcf9n+yd4IQBnl2/7J3gg2Q0lRLk5ZU0U6QkFILklRX0NBU0hfQUNRVUlSRV9DRi45OTcuMTQvMDYvMjAyNi4uLlVTRC5IAQAAAOlxAgACAAAABC00NDABCAAAAAUAAAABMQEAAAALLTE5NDE1NDY4NzEDAAAAAzE2MAIAAAAEMjA1NwQAAAABMAcAAAAJNi8xNC8yMDI2CAAAAAkzLzMxLzIwMjMJAAAAATAk5n7Z/sneCARB4Nv+yd4IOUNJUS5OWVNFOkJBSC5JUV9DT01N</t>
  </si>
  <si>
    <t>T05fUFJFRl9ESVZfQ0YuOTk3LjE0LzA2LzIwMjYuLi5VU0QuSAEAAADpcQIAAwAAAAAAw5x/2f7J3gjt9+Xb/sneCDJDSVEuTllTRTpCQUguSVFfQ0FTSF9JTlZFU1QuOTk3LjE0LzA2LzIwMjYuLi5VU0QuSAEAAADpcQIAAgAAAAQtNDY4AQgAAAAFAAAAATEBAAAACy0xOTQxNTQ2ODcxAwAAAAMxNjACAAAABDIwMDUEAAAAATAHAAAACTYvMTQvMjAyNggAAAAJMy8zMS8yMDIzCQAAAAEwJOZ+2f7J3giPseLb/sneCDVDSVEuTllTRTpCQUguSVFfQ0hBTkdFX0lOQ19UQVguOTk3LjE0LzA2LzIwMjYuLi5VU0QuSAEAAADpcQIAAgAAAAE0AQgAAAAFAAAAATEBAAAACy0xOTQxNTQ2ODcxAwAAAAMxNjACAAAABDIxMDEEAAAAATAHAAAACTYvMTQvMjAyNggAAAAJMy8zMS8yMDIzCQAAAAEwJOZ+2f7J3ggEQeDb/sneCDdDSVEuTllTRTpCQUguSVFfQ0hBTkdFX0lOVkVOVE9SWS45OTcuMTQvMDYvMjAyNi4uLlVTRC5IAQAAAOlxAgADAAAAAAAk5n7Z/sneCARB4Nv+yd4IMUNJUS5OWVNFOkJBSC5JUV9ORVRfQ0hBTkdFLjk5Ny4xNC8wNi8yMDI2Li4uVVNELkgBAAAA6XECAAIAAAAELTI5MQEIAAAABQAAAAExAQAAAAstMTk0MTU0Njg3MQMAAAADMTYwAgAAAAQyMDkzBAAAAAEwBwAAAAk2LzE0LzIwMjYIAAAACTMvMzEvMjAyMwkAAAABMMOcf9n+yd4IBYvn2/7J3gg0Q0lRLk5ZU0U6QkFILklRX0NPTU1PTl9J</t>
  </si>
  <si>
    <t>U1NVRUQuOTk3LjE0LzA2LzIwMjYuLi5VU0QuSAEAAADpcQIAAgAAAAIzNgEIAAAABQAAAAExAQAAAAstMTk0MTU0Njg3MQMAAAADMTYwAgAAAAQyMTY5BAAAAAEwBwAAAAk2LzE0LzIwMjYIAAAACTMvMzEvMjAyMwkAAAABMMOcf9n+yd4IQBnl2/7J3gg1Q0lRLk5ZU0U6QkFILklRX1NUX0RFQlRfUkVQQUlELjk5Ny4xNC8wNi8yMDI2Li4uVVNELkgBAAAA6XECAAMAAAAAAMOcf9n+yd4Ij7Hi2/7J3ggsQ0lRLk5ZU0U6QkFILklRX0NBUEVYLjk5Ny4xNC8wNi8yMDI2Li4uVVNELkgBAAAA6XECAAIAAAADLTc2AQgAAAAFAAAAATEBAAAACy0xOTQxNTQ2ODcxAwAAAAMxNjACAAAABDIwMjEEAAAAATAHAAAACTYvMTQvMjAyNggAAAAJMy8zMS8yMDIzCQAAAAEwJOZ+2f7J3ggEQeDb/sneCDpDSVEuTllTRTpCQUguSVFfVEFYX0JFTkVGSVRfT1BUSU9OUy45OTcuMTQvMDYvMjAyNi4uLlVTRC5IAQAAAOlxAgADAAAAAAAk5n7Z/sneCGDZ3dv+yd4IMkNJUS5OWVNFOkJBSC5JUV9EQV9TVVBQTF9DRi45OTcuMTQvMDYvMjAyNi4uLlVTRC5IAQAAAOlxAgACAAAAAjcxAQgAAAAFAAAAATEBAAAACy0xOTQxNTQ2ODcxAwAAAAMxNjACAAAABDIxNzEEAAAAATAHAAAACTYvMTQvMjAyNggAAAAJMy8zMS8yMDIzCQAAAAEwPOR82f7J3giseNzb/sneCClDSVEuTllTRTpCQUguSVFfRlguOTk3LjE0LzA2LzIwMjYuLi5V</t>
  </si>
  <si>
    <t>U0QuSAEAAADpcQIAAwAAAAAAw5x/2f7J3ggFi+fb/sneCDVDSVEuTllTRTpCQUguSVFfTFRfREVCVF9SRVBBSUQuOTk3LjE0LzA2LzIwMjYuLi5VU0QuSAEAAADpcQIAAgAAAAQtNDE3AQgAAAAFAAAAATEBAAAACy0xOTQxNTQ2ODcxAwAAAAMxNjACAAAABDIwMzYEAAAAATAHAAAACTYvMTQvMjAyNggAAAAJMy8zMS8yMDIzCQAAAAEww5x/2f7J3ghAGeXb/sneCDJDSVEuTllTRTpCQUguSVFfU0FMRV9QUEVfQ0YuOTk3LjE0LzA2LzIwMjYuLi5VU0QuSAEAAADpcQIAAwAAAAAAJOZ+2f7J3ggEQeDb/sneCDJDSVEuTllTRTpCQUguSVFfUFJFRl9ESVZfQ0YuOTk3LjE0LzA2LzIwMjYuLi5VU0QuSAEAAADpcQIAAwAAAAAAw5x/2f7J3gjt9+Xb/sneCDJDSVEuTllTRTpCQUguSVFfUFJFRl9JU1NVRUQuOTk3LjE0LzA2LzIwMjYuLi5VU0QuSAEAAADpcQIAAwAAAAAAw5x/2f7J3gjt9+Xb/sneCDRDSVEuTllTRTpCQUguSVFfU0FMRV9JTlRBTl9DRi45OTcuMTQvMDYvMjAyNi4uLlVTRC5IAQAAAOlxAgADAAAAAAAk5n7Z/sneCI+x4tv+yd4IL0NJUS5OWVNFOkJBSC5JUV9MT0FOU19DRi45OTcuMTQvMDYvMjAyNi4uLlVTRC5IAQAAAOlxAgADAAAAAAB8H37Z/sneCGDZ3dv+yd4INkNJUS5OWVNFOkJBSC5JUV9TVE9DS19CQVNFRF9TR0EuOTk3LjE0LzA2LzIwMjYuLi5VU0QuSAEAAADpcQIAAwAAAAAAPOR8</t>
  </si>
  <si>
    <t>2f7J3ghN1djb/sneCD5DSVEuTllTRTpCQUguSVFfR0FJTl9CQVJHQUlOX0FDUV9TVVBQTEUuOTk3LjE0LzA2LzIwMjYuLi5VU0QuSAEAAADpcQIAAwAAAAAA0qO22f7J3gjA7NXb/sneCDBDSVEuTllTRTpCQUguSVFfTUFSS0VUSU5HLjk5Ny4xNC8wNi8yMDI2Li4uVVNELkgBAAAA6XECAAMAAAAAANKjttn+yd4IyEnQ2/7J3gg9Q0lRLk5ZU0U6QkFILklRX0RFRkVSUkVEX0ZPUkVJR05fVEFYRVMuOTk3LjE0LzA2LzIwMjYuLi5VU0QuSAEAAADpcQIAAgAAAAItNAEIAAAABQAAAAExAQAAAAstMTk0MTU0Njg3MQMAAAADMTYwAgAAAAQzMDU1BAAAAAEwBwAAAAk2LzE0LzIwMjYIAAAACTMvMzEvMjAyMwkAAAABMNKjttn+yd4IP2rL2/7J3gg8Q0lRLk5ZU0U6QkFILklRX1RPVEFMX1JFVl9BU19SRVBPUlRFRC45OTcuMTQvMDYvMjAyNi4uLlVTRC5IAQAAAOlxAgADAAAAAADSo7bZ/sneCJf7yNv+yd4IM0NJUS5OWVNFOkJBSC5JUV9FQklUREFfQ0FQRVguOTk3LjE0LzA2LzIwMjYuLi5VU0QuSAEAAADpcQIAAgAAAAM5MDABCAAAAAUAAAABMQEAAAALLTE5NDE1NDY4NzEDAAAAAzE2MAIAAAAFMzUzNzkEAAAAATAHAAAACTYvMTQvMjAyNggAAAAJMy8zMS8yMDIzCQAAAAEw0qO22f7J3gi5iMbb/sneCEhDSVEuTllTRTpCQUguSVFfRUJJVERBX0VRX0lOQ19FWENMX09QRVJfTEVBU0VfQURKLjk5Ny4xNC8w</t>
  </si>
  <si>
    <t>Ni8yMDI2Li4uVVNELkgBAAAA6XECAAIAAAADOTc2AQgAAAAFAAAAATEBAAAACy0xOTQxNTQ2ODcxAwAAAAMxNjACAAAABTQ4OTg3BAAAAAEwBwAAAAk2LzE0LzIwMjYIAAAACTMvMzEvMjAyMwkAAAABMLENBdr+yd4IDy/E2/7J3ggwQ0lRLk5ZU0U6QkFILklRX0RJVl9TSEFSRS45OTcuMTQvMDYvMjAyNi4uLlVTRC5IAQAAAOlxAgACAAAABDEuNzYBCAAAAAUAAAABMQEAAAALLTE5NDE1NDY4NzEDAAAAAzE2MAIAAAAEMzA1OAQAAAABMAcAAAAJNi8xNC8yMDI2CAAAAAkzLzMxLzIwMjMJAAAAATBMgwTa/sneCNipwdv+yd4INENJUS5OWVNFOkJBSC5JUV9OSV9BVkFJTF9JTkNMLjk5Ny4xNC8wNi8yMDI2Li4uVVNELkgBAAAA6XECAAIAAAADMjcwAQgAAAAFAAAAATEBAAAACy0xOTQxNTQ2ODcxAwAAAAMxNjACAAAAAjE2BAAAAAEwBwAAAAk2LzE0LzIwMjYIAAAACTMvMzEvMjAyMwkAAAABMEyDBNr+yd4I2KnB2/7J3gg0Q0lRLk5ZU0U6QkFILklRX0lOQ19FUVVJVFlfQ0YuOTk3LjE0LzA2LzIwMjYuLi5VU0QuSAEAAADpcQIAAwAAAAAAfB9+2f7J3ghg2d3b/sneCDtDSVEuTllTRTpCQUguSVFfU1RPQ0tfQkFTRURfQ09NUF9UQVguOTk3LjE0LzA2LzIwMjYuLi5VU0QuSAEAAADpcQIAAwAAAAAAPOR82f7J3gjfctvb/sneCDNDSVEuTllTRTpCQUguSVFfT1RIRVJfUkVOVEFMLjk5Ny4xNC8wNi8yMDI2</t>
  </si>
  <si>
    <t>Li4uVVNELkgBAAAA6XECAAMAAAAAANKjttn+yd4IZbDS2/7J3gg4Q0lRLk5ZU0U6QkFILklRX0NIQU5HRV9VTkVBUk5fUkVWLjk5Ny4xNC8wNi8yMDI2Li4uVVNELkgBAAAA6XECAAMAAAAAACTmftn+yd4IBEHg2/7J3ggwQ0lRLk5ZU0U6QkFILklRX0NIQU5HRV9BUi45OTcuMTQvMDYvMjAyNi4uLlVTRC5IAQAAAOlxAgACAAAABC0xMzABCAAAAAUAAAABMQEAAAALLTE5NDE1NDY4NzEDAAAAAzE2MAIAAAAEMjAxOAQAAAABMAcAAAAJNi8xNC8yMDI2CAAAAAkzLzMxLzIwMjMJAAAAATAk5n7Z/sneCARB4Nv+yd4IQENJUS5OWVNFOkJBSC5JUV9TVE9DS19PUFRJT05TX0NPTVBfUFJFVEFYLjk5Ny4xNC8wNi8yMDI2Li4uVVNELkgBAAAA6XECAAMAAAAAADzkfNn+yd4IdPzY2/7J3gg1Q0lRLk5ZU0U6QkFILklRX1NQRUNJQUxfRElWX0NGLjk5Ny4xNC8wNi8yMDI2Li4uVVNELkgBAAAA6XECAAMAAAAAAMOcf9n+yd4I7ffl2/7J3gg1Q0lRLk5ZU0U6QkFILklRX0NIQU5HRV9ERUZfVEFYLjk5Ny4xNC8wNi8yMDI2Li4uVVNELkgBAAAA6XECAAMAAAAAACTmftn+yd4IBEHg2/7J3ggyQ0lRLk5ZU0U6QkFILklRX09USEVSX0FNT1JULjk5Ny4xNC8wNi8yMDI2Li4uVVNELkgBAAAA6XECAAMAAAAAADzkfNn+yd4IrHjc2/7J3gg0Q0lRLk5ZU0U6QkFILklRX0NPTU1PTl9ESVZfQ0YuOTk3LjE0LzA2LzIwMjYu</t>
  </si>
  <si>
    <t>Li5VU0QuSAEAAADpcQIAAgAAAAQtMjM2AQgAAAAFAAAAATEBAAAACy0xOTQxNTQ2ODcxAwAAAAMxNjACAAAABDIwNzQEAAAAATAHAAAACTYvMTQvMjAyNggAAAAJMy8zMS8yMDIzCQAAAAEww5x/2f7J3gjt9+Xb/sneCDhDSVEuTllTRTpCQUguSVFfVE9UQUxfREVCVF9JU1NVRUQuOTk3LjE0LzA2LzIwMjYuLi5VU0QuSAEAAADpcQIAAgAAAAM0MTUBCAAAAAUAAAABMQEAAAALLTE5NDE1NDY4NzEDAAAAAzE2MAIAAAAEMjE2MQQAAAABMAcAAAAJNi8xNC8yMDI2CAAAAAkzLzMxLzIwMjMJAAAAATDDnH/Z/sneCI+x4tv+yd4INUNJUS5OWVNFOkJBSC5JUV9HQUlOX0FTU0VUU19DRi45OTcuMTQvMDYvMjAyNi4uLlVTRC5IAQAAAOlxAgACAAAAAy0zMgEIAAAABQAAAAExAQAAAAstMTk0MTU0Njg3MQMAAAADMTYwAgAAAAQyMDI2BAAAAAEwBwAAAAk2LzE0LzIwMjYIAAAACTMvMzEvMjAyMwkAAAABMDzkfNn+yd4IrHjc2/7J3gg7Q0lRLk5ZU0U6QkFILklRX1JFU1RSX1NUT0NLX0NPTVBfVEFYLjk5Ny4xNC8wNi8yMDI2Li4uVVNELkgBAAAA6XECAAMAAAAAADzkfNn+yd4IdPzY2/7J3gg4Q0lRLk5ZU0U6QkFILklRX0lOU19TRVRUTEVfU1VQUExFLjk5Ny4xNC8wNi8yMDI2Li4uVVNELkgBAAAA6XECAAMAAAAAANKjttn+yd4IwOzV2/7J3ggzQ0lRLk5ZU0U6QkFILklRX01BSU5UX1JFUEFJUi45OTcuMTQv</t>
  </si>
  <si>
    <t>MDYvMjAyNi4uLlVTRC5IAQAAAOlxAgADAAAAAADSo7bZ/sneCIjr0tv+yd4IOENJUS5OWVNFOkJBSC5JUV9TVE9DS19CQVNFRF9UT1RBTC45OTcuMTQvMDYvMjAyNi4uLlVTRC5IAQAAAOlxAgACAAAAAjgwAQgAAAAFAAAAATEBAAAACy0xOTQxNTQ2ODcxAwAAAAMxNjACAAAABTI0MDM0BAAAAAEwBwAAAAk2LzE0LzIwMjYIAAAACTMvMzEvMjAyMwkAAAABMDzkfNn+yd4IdPzY2/7J3gg3Q0lRLk5ZU0U6QkFILklRX1NUT0NLX0JBU0VEX0NPR1MuOTk3LjE0LzA2LzIwMjYuLi5VU0QuSAEAAADpcQIAAgAAAAI0MwEIAAAABQAAAAExAQAAAAstMTk0MTU0Njg3MQMAAAADMTYwAgAAAAUyMjY3NAQAAAABMAcAAAAJNi8xNC8yMDI2CAAAAAkzLzMxLzIwMjMJAAAAATDSo7bZ/sneCNvD19v+yd4INUNJUS5OWVNFOkJBSC5JUV9ORVRfUkVOVEFMX0VYUC45OTcuMTQvMDYvMjAyNi4uLlVTRC5IAQAAAOlxAgACAAAAAjgwAQgAAAAFAAAAATEBAAAACy0xOTQxNTQ2ODcxAwAAAAMxNjACAAAABTI0MjYxBAAAAAEwBwAAAAk2LzE0LzIwMjYIAAAACTMvMzEvMjAyMwkAAAABMNKjttn+yd4IyEnQ2/7J3gg7Q0lRLk5ZU0U6QkFILklRX0NBUElUQUxJWkVEX0lOVEVSRVNULjk5Ny4xNC8wNi8yMDI2Li4uVVNELkgBAAAA6XECAAMAAAAAANKjttn+yd4IRdTN2/7J3gg2Q0lRLk5ZU0U6QkFILklRX0lOVEVSRVNUX0lOQ09N</t>
  </si>
  <si>
    <t>RS45OTcuMTQvMDYvMjAyNi4uLlVTRC5IAQAAAOlxAgADAAAAAADSo7bZ/sneCJf7yNv+yd4ISUNJUS5OWVNFOkJBSC5JUV9QUk9WX0JBRF9ERUJUU19QQVRJRU5UX1NFUlZJQ0VfUkVWLjk5Ny4xNC8wNi8yMDI2Li4uVVNELkgBAAAA6XECAAMAAAAAANKjttn+yd4Il/vI2/7J3ggsQ0lRLk5ZU0U6QkFILklRX0VCSVRBLjk5Ny4xNC8wNi8yMDI2Li4uVVNELkgBAAAA6XECAAIAAAADOTA1AQgAAAAFAAAAATEBAAAACy0xOTQxNTQ2ODcxAwAAAAMxNjACAAAABjEwMDY4OQQAAAABMAcAAAAJNi8xNC8yMDI2CAAAAAkzLzMxLzIwMjMJAAAAATDSo7bZ/sneCLmIxtv+yd4IMENJUS5OWVNFOkJBSC5JUV9DSEFOR0VfQVAuOTk3LjE0LzA2LzIwMjYuLi5VU0QuSAEAAADpcQIAAgAAAAM0MTABCAAAAAUAAAABMQEAAAALLTE5NDE1NDY4NzEDAAAAAzE2MAIAAAAEMjAxNwQAAAABMAcAAAAJNi8xNC8yMDI2CAAAAAkzLzMxLzIwMjMJAAAAATAk5n7Z/sneCARB4Nv+yd4IOUNJUS5OWVNFOkJBSC5JUV9BU1NFVF9XUklURURPV05fQ0YuOTk3LjE0LzA2LzIwMjYuLi5VU0QuSAEAAADpcQIAAwAAAAAAPOR82f7J3ghg2d3b/sneCD5DSVEuTllTRTpCQUguSVFfU0FMQVJJRVNfT1RIRVJfQkVORUZJVFMuOTk3LjE0LzA2LzIwMjYuLi5VU0QuSAEAAADpcQIAAwAAAAAA0qO22f7J3giI69Lb/sneCDBDSVEuTllTRTpCQUgu</t>
  </si>
  <si>
    <t>SVFfQ0FTSF9PUEVSLjk5Ny4xNC8wNi8yMDI2Li4uVVNELkgBAAAA6XECAAIAAAADNjAzAQgAAAAFAAAAATEBAAAACy0xOTQxNTQ2ODcxAwAAAAMxNjACAAAABDIwMDYEAAAAATAHAAAACTYvMTQvMjAyNggAAAAJMy8zMS8yMDIzCQAAAAEwJOZ+2f7J3ggEQeDb/sneCCxDSVEuTllTRTpCQUguSVFfRE9fQ0YuOTk3LjE0LzA2LzIwMjYuLi5VU0QuSAEAAADpcQIAAwAAAAAAJOZ+2f7J3ghg2d3b/sneCDVDSVEuTllTRTpCQUguSVFfQ1JFRElUX0xPU1NfQ0YuOTk3LjE0LzA2LzIwMjYuLi5VU0QuSAEAAADpcQIAAwAAAAAAfB9+2f7J3ghg2d3b/sneCDdDSVEuTllTRTpCQUguSVFfR0FJTl9CQVJHQUlOX0FDUS45OTcuMTQvMDYvMjAyNi4uLlVTRC5IAQAAAOlxAgADAAAAAADSo7bZ/sneCMrU1dv+yd4IMkNJUS5OWVNFOkJBSC5JUV9BRFZFUlRJU0lORy45OTcuMTQvMDYvMjAyNi4uLlVTRC5IAQAAAOlxAgADAAAAAADSo7bZ/sneCMhJ0Nv+yd4IRkNJUS5OWVNFOkJBSC5JUV9ESVNUUklCVVRBQkxFX0NBU0hfU1RBTkRBUkRJWkVELjk5Ny4xNC8wNi8yMDI2Li4uVVNELkgBAAAA6XECAAMAAAAAANKjttn+yd4IRdTN2/7J3gg6Q0lRLk5ZU0U6QkFILklRX05PTkNBU0hfUEVOU0lPTl9FWFAuOTk3LjE0LzA2LzIwMjYuLi5VU0QuSAEAAADpcQIAAwAAAAAA0qO22f7J3ghF1M3b/sneCDpDSVEuTllTRTpCQUgu</t>
  </si>
  <si>
    <t>SVFfQ1VSUl9ET01FU1RJQ19UQVhFUy45OTcuMTQvMDYvMjAyNi4uLlVTRC5IAQAAAOlxAgACAAAAAzQ0MgEIAAAABQAAAAExAQAAAAstMTk0MTU0Njg3MQMAAAADMTYwAgAAAAQzMDI3BAAAAAEwBwAAAAk2LzE0LzIwMjYIAAAACTMvMzEvMjAyMwkAAAABMNKjttn+yd4Il/vI2/7J3gg3Q0lRLk5ZU0U6QkFILklRX0VCSVREQVJfRVhDTF9TQkMuOTk3LjE0LzA2LzIwMjYuLi5VU0QuSAEAAADpcQIAAgAAAAQxMTM2AQgAAAAFAAAAATEBAAAACy0xOTQxNTQ2ODcxAwAAAAMxNjACAAAABTI0MTM3BAAAAAEwBwAAAAk2LzE0LzIwMjYIAAAACTMvMzEvMjAyMwkAAAABMNKjttn+yd4IuYjG2/7J3gg+Q0lRLk5ZU0U6QkFILklRX0xFQVNFX0FESlVTVE1FTlRfRUJJVERBLjk5Ny4xNC8wNi8yMDI2Li4uVVNELkgBAAAA6XECAAIAAAACODAATIME2v7J3ggPL8Tb/sneCDVDSVEuTllTRTpCQUguSVFfRElMVVRfRVBTX05PUk0uOTk3LjE0LzA2LzIwMjYuLi5VU0QuSAEAAADpcQIAAgAAAAgzLjI0MjgxNgEIAAAABQAAAAExAQAAAAstMTk0MTU0Njg3MQMAAAADMTYwAgAAAAQ0MzgwBAAAAAEwBwAAAAk2LzE0LzIwMjYIAAAACTMvMzEvMjAyMwkAAAABMEyDBNr+yd4I2KnB2/7J3gg4Q0lRLk5ZU0U6QkFILklRX05FR0FUSVZFX0dXX0FNT1JULjk5Ny4xNC8wNi8yMDI2Li4uVVNELkgBAAAA6XECAAMAAAAAANKjttn+</t>
  </si>
  <si>
    <t>yd4IwOzV2/7J3gg4Q0lRLk5ZU0U6QkFILklRX1RPVEFMX0RJVl9QQUlEX0NGLjk5Ny4xNC8wNi8yMDI2Li4uVVNELkgBAAAA6XECAAIAAAAELTIzNgEIAAAABQAAAAExAQAAAAstMTk0MTU0Njg3MQMAAAADMTYwAgAAAAQyMDIyBAAAAAEwBwAAAAk2LzE0LzIwMjYIAAAACTMvMzEvMjAyMwkAAAABMMOcf9n+yd4I7ffl2/7J3gg8Q0lRLk5ZU0U6QkFILklRX0NIQU5HRV9UUkFESU5HX0FTU0VUUy45OTcuMTQvMDYvMjAyNi4uLlVTRC5IAQAAAOlxAgADAAAAAAAk5n7Z/sneCGDZ3dv+yd4INUNJUS5OWVNFOkJBSC5JUV9TVE9DS19CQVNFRF9DRi45OTcuMTQvMDYvMjAyNi4uLlVTRC5IAQAAAOlxAgACAAAAAjgwAQgAAAAFAAAAATEBAAAACy0xOTQxNTQ2ODcxAwAAAAMxNjACAAAABDIxMjcEAAAAATAHAAAACTYvMTQvMjAyNggAAAAJMy8zMS8yMDIzCQAAAAEwfB9+2f7J3ghg2d3b/sneCDhDSVEuTllTRTpCQUguSVFfR1dfSU5UQU5fQU1PUlRfQ0YuOTk3LjE0LzA2LzIwMjYuLi5VU0QuSAEAAADpcQIAAgAAAAI5NAEIAAAABQAAAAExAQAAAAstMTk0MTU0Njg3MQMAAAADMTYwAgAAAAQyMTgyBAAAAAEwBwAAAAk2LzE0LzIwMjYIAAAACTMvMzEvMjAyMwkAAAABMDzkfNn+yd4IrHjc2/7J3ggsQ0lRLk5ZU0U6QkFILklRX05JX0NGLjk5Ny4xNC8wNi8yMDI2Li4uVVNELkgBAAAA6XECAAIAAAADMjcyAQgA</t>
  </si>
  <si>
    <t>AAAFAAAAATEBAAAACy0xOTQxNTQ2ODcxAwAAAAMxNjACAAAABDIxNTAEAAAAATAHAAAACTYvMTQvMjAyNggAAAAJMy8zMS8yMDIzCQAAAAEwPOR82f7J3gjfctvb/sneCDdDSVEuTllTRTpCQUguSVFfUkVTVFJfU1RPQ0tfQ09NUC45OTcuMTQvMDYvMjAyNi4uLlVTRC5IAQAAAOlxAgADAAAAAAA85HzZ/sneCHT82Nv+yd4IP0NJUS5OWVNFOkJBSC5JUV9JTVBVVF9PUEVSX0xFQVNFX0lOVF9FWFAuOTk3LjE0LzA2LzIwMjYuLi5VU0QuSAEAAADpcQIAAgAAAAYyMi44MzIBCAAAAAUAAAABMQEAAAALLTE5NDE1NDY4NzEDAAAAAzE2MAIAAAAFMjE2NzIEAAAAATAHAAAACTYvMTQvMjAyNggAAAAJMy8zMS8yMDIzCQAAAAEw0qO22f7J3giI69Lb/sneCDBDSVEuTllTRTpCQUguSVFfUkRfRVhQX0ZOLjk5Ny4xNC8wNi8yMDI2Li4uVVNELkgBAAAA6XECAAMAAAAAANKjttn+yd4IyEnQ2/7J3gguQ0lRLk5ZU0U6QkFILklRX05JX05PUk0uOTk3LjE0LzA2LzIwMjYuLi5VU0QuSAEAAADpcQIAAgAAAAc0MzAuMzc1AQgAAAAFAAAAATEBAAAACy0xOTQxNTQ2ODcxAwAAAAMxNjACAAAABDQzNzgEAAAAATAHAAAACTYvMTQvMjAyNggAAAAJMy8zMS8yMDIzCQAAAAEw0qO22f7J3giUNs3b/sneCEBDSVEuTllTRTpCQUguSVFfRUFSTklOR19QQVJFTlRfRVhDTF9FWFRSQS45OTcuMTQvMDYvMjAyNi4uLlVTRC5IAQAA</t>
  </si>
  <si>
    <t>AOlxAgACAAAAAzI3MgEIAAAABQAAAAExAQAAAAstMTk0MTU0Njg3MQMAAAADMTYwAgAAAAU0MTU5NgQAAAABMAcAAAAJNi8xNC8yMDI2CAAAAAkzLzMxLzIwMjMJAAAAATDSo7bZ/sneCJf7yNv+yd4IM0NJUS5OWVNFOkJBSC5JUV9FQklUQV9FUV9JTkMuOTk3LjE0LzA2LzIwMjYuLi5VU0QuSAEAAADpcQIAAgAAAAM5MDUBCAAAAAUAAAABMQEAAAALLTE5NDE1NDY4NzEDAAAAAzE2MAIAAAAFMjE2NzYEAAAAATAHAAAACTYvMTQvMjAyNggAAAAJMy8zMS8yMDIzCQAAAAEw0qO22f7J3gi5iMbb/sneCDtDSVEuTllTRTpCQUguSVFfRUJJVF9FUV9JTkNfRVhDTF9TQkMuOTk3LjE0LzA2LzIwMjYuLi5VU0QuSAEAAADpcQIAAgAAAAM4OTEBCAAAAAUAAAABMQEAAAALLTE5NDE1NDY4NzEDAAAAAzE2MAIAAAAFMjQxMzAEAAAAATAHAAAACTYvMTQvMjAyNggAAAAJMy8zMS8yMDIzCQAAAAEwsQ0F2v7J3ggPL8Tb/sneCD9DSVEuTllTRTpCQUguSVFfRElTVFJJQlVUQUJMRV9DQVNIX1NIQVJFLjk5Ny4xNC8wNi8yMDI2Li4uVVNELkgBAAAA6XECAAMAAAAAAEyDBNr+yd4IDy/E2/7J3gg1Q0lRLk5ZU0U6QkFILklRX0JBU0lDX0VQU19FWENMLjk5Ny4xNC8wNi8yMDI2Li4uVVNELkgBAAAA6XECAAIAAAAIMi4wNDI5NTIBCAAAAAUAAAABMQEAAAALLTE5NDE1NDY4NzEDAAAAAzE2MAIAAAAEMzA2NAQAAAABMAcA</t>
  </si>
  <si>
    <t>AAAJNi8xNC8yMDI2CAAAAAkzLzMxLzIwMjMJAAAAATBMgwTa/sneCNipwdv+yd4INUNJUS5OWVNFOkJBSC5JUV9MVF9ERUJUX0lTU1VFRC45OTcuMTQvMDYvMjAyNi4uLlVTRC5IAQAAAOlxAgACAAAAAzQxNQEIAAAABQAAAAExAQAAAAstMTk0MTU0Njg3MQMAAAADMTYwAgAAAAQyMDM0BAAAAAEwBwAAAAk2LzE0LzIwMjYIAAAACTMvMzEvMjAyMwkAAAABMMOcf9n+yd4Ij7Hi2/7J3gg7Q0lRLk5ZU0U6QkFILklRX01JTk9SSVRZX0lOVEVSRVNUX0NGLjk5Ny4xNC8wNi8yMDI2Li4uVVNELkgBAAAA6XECAAMAAAAAADzkfNn+yd4IrHjc2/7J3gg1Q0lRLk5ZU0U6QkFILklRX1NUT0NLX0JBU0VEX1JELjk5Ny4xNC8wNi8yMDI2Li4uVVNELkgBAAAA6XECAAMAAAAAANKjttn+yd4I6jjY2/7J3gg9Q0lRLk5ZU0U6QkFILklRX0FTU0VUX1dSSVRFRE9XTl9TVVBQTEUuOTk3LjE0LzA2LzIwMjYuLi5VU0QuSAEAAADpcQIAAwAAAAAA0qO22f7J3gh4V9Xb/sneCDxDSVEuTllTRTpCQUguSVFfTkVUX1JFTlRBTF9FWFBfU1VQUExFLjk5Ny4xNC8wNi8yMDI2Li4uVVNELkgBAAAA6XECAAMAAAAAANKjttn+yd4IyEnQ2/7J3gg1Q0lRLk5ZU0U6QkFILklRX0dBSU5fSU5WRVNUX0NGLjk5Ny4xNC8wNi8yMDI2Li4uVVNELkgBAAAA6XECAAIAAAABMgEIAAAABQAAAAExAQAAAAstMTk0MTU0Njg3MQMAAAADMTYwAgAA</t>
  </si>
  <si>
    <t>AAQyMDkwBAAAAAEwBwAAAAk2LzE0LzIwMjYIAAAACTMvMzEvMjAyMwkAAAABMDzkfNn+yd4IYNnd2/7J3gg+Q0lRLk5ZU0U6QkFILklRX0VYUExPUkVfRFJJTExfRVhQX1RPVEFMLjk5Ny4xNC8wNi8yMDI2Li4uVVNELkgBAAAA6XECAAMAAAAAANKjttn+yd4IiOvS2/7J3gg9Q0lRLk5ZU0U6QkFILklRX09USEVSX0lOVkVTVF9BQ1RfU1VQUEwuOTk3LjE0LzA2LzIwMjYuLi5VU0QuSAEAAADpcQIAAwAAAAAAJOZ+2f7J3giPseLb/sneCDVDSVEuTllTRTpCQUguSVFfU1RPQ0tfQkFTRURfQVQuOTk3LjE0LzA2LzIwMjYuLi5VU0QuSAEAAADpcQIAAwAAAAAAPOR82f7J3gh0/Njb/sneCDRDSVEuTllTRTpCQUguSVFfTUVSR0VSX1NVUFBMRS45OTcuMTQvMDYvMjAyNi4uLlVTRC5IAQAAAOlxAgACAAAAAy00NAEIAAAABQAAAAExAQAAAAstMTk0MTU0Njg3MQMAAAADMTYwAgAAAAUyNDQ1NQQAAAABMAcAAAAJNi8xNC8yMDI2CAAAAAkzLzMxLzIwMjMJAAAAATDSo7bZ/sneCIjr0tv+yd4IO0NJUS5OWVNFOkJBSC5JUV9ORUdBVElWRV9HV19BTU9SVF9BVC45OTcuMTQvMDYvMjAyNi4uLlVTRC5IAQAAAOlxAgADAAAAAADSo7bZ/sneCM+c19v+yd4IOENJUS5OWVNFOkJBSC5JUV9ORVRfUkVOVEFMX0VYUF9GTi45OTcuMTQvMDYvMjAyNi4uLlVTRC5IAQAAAOlxAgACAAAAAjgwAQgAAAAFAAAAATEBAAAACy0x</t>
  </si>
  <si>
    <t>OTQxNTQ2ODcxAwAAAAMxNjACAAAABDMxNzAEAAAAATAHAAAACTYvMTQvMjAyNggAAAAJMy8zMS8yMDIzCQAAAAEw0qO22f7J3gjISdDb/sneCDFDSVEuTllTRTpCQUguSVFfQ09NTU9OX0RJVi45OTcuMTQvMDYvMjAyNi4uLlVTRC5IAQAAAOlxAgACAAAAAzIzNgDSo7bZ/sneCEXUzdv+yd4IO0NJUS5OWVNFOkJBSC5JUV9ERUZFUlJFRF9UQVhFU19UT1RBTC45OTcuMTQvMDYvMjAyNi4uLlVTRC5IAQAAAOlxAgACAAAABC0zNTQBCAAAAAUAAAABMQEAAAALLTE5NDE1NDY4NzEDAAAAAzE2MAIAAAAFMzUzODUEAAAAATAHAAAACTYvMTQvMjAyNggAAAAJMy8zMS8yMDIzCQAAAAEw0qO22f7J3gg/asvb/sneCDlDSVEuTllTRTpCQUguSVFfQVNfUkVQT1JURURfRUJJVERBLjk5Ny4xNC8wNi8yMDI2Li4uVVNELkgBAAAA6XECAAIAAAAEMTAxNADSo7bZ/sneCJf7yNv+yd4INENJUS5OWVNFOkJBSC5JUV9FQklUX0VYQ0xfU0JDLjk5Ny4xNC8wNi8yMDI2Li4uVVNELkgBAAAA6XECAAIAAAADODkxAQgAAAAFAAAAATEBAAAACy0xOTQxNTQ2ODcxAwAAAAMxNjACAAAABTI0MTM0BAAAAAEwBwAAAAk2LzE0LzIwMjYIAAAACTMvMzEvMjAyMwkAAAABMLENBdr+yd4IuYjG2/7J3gg4Q0lRLk5ZU0U6QkFILklRX1NQRUNJQUxfRElWX1NIQVJFLjk5Ny4xNC8wNi8yMDI2Li4uVVNELkgBAAAA6XECAAMAAAAAAEyDBNr+</t>
  </si>
  <si>
    <t>yd4IDy/E2/7J3gg6Q0lRLk5ZU0U6QkFILklRX1NBTEVfUkVBTF9FU1RBVEVfQ0YuOTk3LjE0LzA2LzIwMjYuLi5VU0QuSAEAAADpcQIAAwAAAAAAJOZ+2f7J3giPseLb/sneCEBDSVEuTllTRTpCQUguSVFfU1RPQ0tfQkFTRURfRVhQTE9SRV9EUklMTC45OTcuMTQvMDYvMjAyNi4uLlVTRC5IAQAAAOlxAgADAAAAAAA85HzZ/sneCHT82Nv+yd4IMkNJUS5OWVNFOkJBSC5JUV9JUFJEX1NVUFBMRS45OTcuMTQvMDYvMjAyNi4uLlVTRC5IAQAAAOlxAgADAAAAAADSo7bZ/sneCLut1dv+yd4INENJUS5OWVNFOkJBSC5JUV9BSVJDUkFGVF9SRU5ULjk5Ny4xNC8wNi8yMDI2Li4uVVNELkgBAAAA6XECAAMAAAAAANKjttn+yd4IZbDS2/7J3gg3Q0lRLk5ZU0U6QkFILklRX1NUT0NLX0JBU0VEX0NPTVAuOTk3LjE0LzA2LzIwMjYuLi5VU0QuSAEAAADpcQIAAwAAAAAAPOR82f7J3gjfctvb/sneCDdDSVEuTllTRTpCQUguSVFfSU5UX0VYUF9JTkNMX0NBUC45OTcuMTQvMDYvMjAyNi4uLlVTRC5IAQAAAOlxAgACAAAAAzExMAEIAAAABQAAAAExAQAAAAstMTk0MTU0Njg3MQMAAAADMTYwAgAAAAUyMTg2MQQAAAABMAcAAAAJNi8xNC8yMDI2CAAAAAkzLzMxLzIwMjMJAAAAATDSo7bZ/sneCEXUzdv+yd4IPkNJUS5OWVNFOkJBSC5JUV9FWENJU0VfVEFYRVNfSU5DTF9TQUxFUy45OTcuMTQvMDYvMjAyNi4uLlVTRC5I</t>
  </si>
  <si>
    <t>AQAAAOlxAgADAAAAAADSo7bZ/sneCJf7yNv+yd4INkNJUS5OWVNFOkJBSC5JUV9JTlZFU1RfTE9BTlNfQ0YuOTk3LjE0LzA2LzIwMjYuLi5VU0QuSAEAAADpcQIAAwAAAAAAJOZ+2f7J3giPseLb/sneCD5DSVEuTllTRTpCQUguSVFfU1RPQ0tfQkFTRURfQ09NUF9QUkVUQVguOTk3LjE0LzA2LzIwMjYuLi5VU0QuSAEAAADpcQIAAgAAAAI4MAA85HzZ/sneCHT82Nv+yd4IPUNJUS5OWVNFOkJBSC5JUV9TVE9DS19PUFRJT05TX0NPTVBfVEFYLjk5Ny4xNC8wNi8yMDI2Li4uVVNELkgBAAAA6XECAAMAAAAAADzkfNn+yd4IdPzY2/7J3gg7Q0lRLk5ZU0U6QkFILklRX1RPVEFMX1VOVVNVQUxfU1VQUExFLjk5Ny4xNC8wNi8yMDI2Li4uVVNELkgBAAAA6XECAAIAAAADLTQ0AQgAAAAFAAAAATEBAAAACy0xOTQxNTQ2ODcxAwAAAAMxNjACAAAABTMzMzkwBAAAAAEwBwAAAAk2LzE0LzIwMjYIAAAACTMvMzEvMjAyMwkAAAABMNKjttn+yd4IwOzV2/7J3gg2Q0lRLk5ZU0U6QkFILklRX1RPVEFMX1JFVl9TSEFSRS45OTcuMTQvMDYvMjAyNi4uLlVTRC5IAQAAAOlxAgACAAAACTcwLjA1ODE0NgEIAAAABQAAAAExAQAAAAstMTk0MTU0Njg3MQMAAAADMTYwAgAAAAQ0MzgyBAAAAAEwBwAAAAk2LzE0LzIwMjYIAAAACTMvMzEvMjAyMwkAAAABMEyDBNr+yd4I2KnB2/7J3gg1Q0lRLk5ZU0U6QkFILklRX0JBU0lDX0VQ</t>
  </si>
  <si>
    <t>U19JTkNMLjk5Ny4xNC8wNi8yMDI2Li4uVVNELkgBAAAA6XECAAIAAAAIMi4wNDI5NTIBCAAAAAUAAAABMQEAAAALLTE5NDE1NDY4NzEDAAAAAzE2MAIAAAABOQQAAAABMAcAAAAJNi8xNC8yMDI2CAAAAAkzLzMxLzIwMjMJAAAAATBMgwTa/sneCNipwdv+yd4INUNJUS5OWVNFOkJBSC5JUV9QUkVGX0RJVl9PVEhFUi45OTcuMTQvMDYvMjAyNi4uLlVTRC5IAQAAAOlxAgACAAAAATIBCAAAAAUAAAABMQEAAAALLTE5NDE1NDY4NzEDAAAAAzE2MAIAAAACOTcEAAAAATAHAAAACTYvMTQvMjAyNggAAAAJMy8zMS8yMDIzCQAAAAEwTIME2v7J3ggn8r3b/sneCDFDSVEuTllTRTpCQUguSVFfT0lMX0lNUEFJUi45OTcuMTQvMDYvMjAyNi4uLlVTRC5IAQAAAOlxAgADAAAAAAA85HzZ/sneCKx43Nv+yd4INUNJUS5OWVNFOkJBSC5JUV9TVE9DS19CQVNFRF9HQS45OTcuMTQvMDYvMjAyNi4uLlVTRC5IAQAAAOlxAgACAAAAAjM3AQgAAAAFAAAAATEBAAAACy0xOTQxNTQ2ODcxAwAAAAMxNjACAAAABTIyNjc1BAAAAAEwBwAAAAk2LzE0LzIwMjYIAAAACTMvMzEvMjAyMwkAAAABMNKjttn+yd4IFIfY2/7J3gg7Q0lRLk5ZU0U6QkFILklRX0lNUEFJUk1FTlRfR1dfU1VQUExFLjk5Ny4xNC8wNi8yMDI2Li4uVVNELkgBAAAA6XECAAMAAAAAANKjttn+yd4IsCPV2/7J3gg1Q0lRLk5ZU0U6QkFILklRX01JTklNVU1fUkVO</t>
  </si>
  <si>
    <t>VEFMLjk5Ny4xNC8wNi8yMDI2Li4uVVNELkgBAAAA6XECAAMAAAAAANKjttn+yd4IyEnQ2/7J3ggtQ0lRLk5ZU0U6QkFILklRX0dBX0VYUC45OTcuMTQvMDYvMjAyNi4uLlVTRC5IAQAAAOlxAgACAAAABDExMDMBCAAAAAUAAAABMQEAAAALLTE5NDE1NDY4NzEDAAAAAzE2MAIAAAAFMjE1NjIEAAAAATAHAAAACTYvMTQvMjAyNggAAAAJMy8zMS8yMDIzCQAAAAEw0qO22f7J3gjISdDb/sneCD1DSVEuTllTRTpCQUguSVFfQU5OVV9ESVNUUklCVVRJT05fVU5JVC45OTcuMTQvMDYvMjAyNi4uLlVTRC5IAQAAAOlxAgADAAAAAADSo7bZ/sneCEXUzdv+yd4IQENJUS5OWVNFOkJBSC5JUV9OT05SRUNVUlJJTkdfSU5DT01FX1RBWEVTLjk5Ny4xNC8wNi8yMDI2Li4uVVNELkgBAAAA6XECAAMAAAAAANKjttn+yd4IlDbN2/7J3gg+Q0lRLk5ZU0U6QkFILklRX0RFRkVSUkVEX0RPTUVTVElDX1RBWEVTLjk5Ny4xNC8wNi8yMDI2Li4uVVNELkgBAAAA6XECAAIAAAAELTM1MAEIAAAABQAAAAExAQAAAAstMTk0MTU0Njg3MQMAAAADMTYwAgAAAAQzMDU0BAAAAAEwBwAAAAk2LzE0LzIwMjYIAAAACTMvMzEvMjAyMwkAAAABMNKjttn+yd4IP2rL2/7J3ggyQ0lRLk5ZU0U6QkFILklRX0VCSVRfRVFfSU5DLjk5Ny4xNC8wNi8yMDI2Li4uVVNELkgBAAAA6XECAAIAAAADODExAQgAAAAFAAAAATEBAAAACy0xOTQxNTQ2ODcx</t>
  </si>
  <si>
    <t>AwAAAAMxNjACAAAABTIxNjc1BAAAAAEwBwAAAAk2LzE0LzIwMjYIAAAACTMvMzEvMjAyMwkAAAABMLENBdr+yd4IDy/E2/7J3gg1Q0lRLk5ZU0U6QkFILklRX1NUX0RFQlRfSVNTVUVELjk5Ny4xNC8wNi8yMDI2Li4uVVNELkgBAAAA6XECAAMAAAAAAMOcf9n+yd4Ij7Hi2/7J3gg6Q0lRLk5ZU0U6QkFILklRX0xFR0FMX1NFVFRMRV9TVVBQTEUuOTk3LjE0LzA2LzIwMjYuLi5VU0QuSAEAAADpcQIAAwAAAAAA0qO22f7J3gjA7NXb/sneCDFDSVEuTllTRTpCQUguSVFfQ09NTU9OX1JFUC45OTcuMTQvMDYvMjAyNi4uLlVTRC5IAQAAAOlxAgACAAAABC0yMjQBCAAAAAUAAAABMQEAAAALLTE5NDE1NDY4NzEDAAAAAzE2MAIAAAAEMjE2NAQAAAABMAcAAAAJNi8xNC8yMDI2CAAAAAkzLzMxLzIwMjMJAAAAATDDnH/Z/sneCMLg5dv+yd4IQ0NJUS5OWVNFOkJBSC5JUV9DSEFOR0VfT1RIRVJfTkVUX09QRVJfQVNTRVRTLjk5Ny4xNC8wNi8yMDI2Li4uVVNELkgBAAAA6XECAAIAAAADMTMxAQgAAAAFAAAAATEBAAAACy0xOTQxNTQ2ODcxAwAAAAMxNjACAAAABDIwNDUEAAAAATAHAAAACTYvMTQvMjAyNggAAAAJMy8zMS8yMDIzCQAAAAEwJOZ+2f7J3ggEQeDb/sneCDhDSVEuTllTRTpCQUguSVFfUFJPVl9CQURfREVCVFNfQ0YuOTk3LjE0LzA2LzIwMjYuLi5VU0QuSAEAAADpcQIAAwAAAAAAJOZ+2f7J3ghg2d3b</t>
  </si>
  <si>
    <t>/sneCEFDSVEuTllTRTpCQUguSVFfREVQUkVDSUFUSU9OX1JFTlRBTF9BU1NFVFMuOTk3LjE0LzA2LzIwMjYuLi5VU0QuSAEAAADpcQIAAwAAAAAA0qO22f7J3giI69Lb/sneCDJDSVEuTllTRTpCQUguSVFfSU5UX0VYUF9MVEQuOTk3LjE0LzA2LzIwMjYuLi5VU0QuSAEAAADpcQIAAgAAAAMxMjABCAAAAAUAAAABMQEAAAALLTE5NDE1NDY4NzEDAAAAAzE2MAIAAAAEMzEwMQQAAAABMAcAAAAJNi8xNC8yMDI2CAAAAAkzLzMxLzIwMjMJAAAAATDSo7bZ/sneCEXUzdv+yd4IOENJUS5OWVNFOkJBSC5JUV9JTlZFU1RNRU5UX0lOQ09NRS45OTcuMTQvMDYvMjAyNi4uLlVTRC5IAQAAAOlxAgADAAAAAADSo7bZ/sneCJf7yNv+yd4IPkNJUS5OWVNFOkJBSC5JUV9PVEhFUl9GSU5BTkNFX0FDVF9TVVBQTC45OTcuMTQvMDYvMjAyNi4uLlVTRC5IAQAAAOlxAgADAAAAAADDnH/Z/sneCO335dv+yd4IOENJUS5OWVNFOkJBSC5JUV9TVE9DS19CQVNFRF9PVEhFUi45OTcuMTQvMDYvMjAyNi4uLlVTRC5IAQAAAOlxAgADAAAAAAA85HzZ/sneCHT82Nv+yd4IOUNJUS5OWVNFOkJBSC5JUV9SRVNUUlVDVFVSRV9TVVBQTEUuOTk3LjE0LzA2LzIwMjYuLi5VU0QuSAEAAADpcQIAAwAAAAAA0qO22f7J3giI69Lb/sneCDxDSVEuTllTRTpCQUguSVFfSU1QVVRfT1BFUl9MRUFTRV9ERVBSLjk5Ny4xNC8wNi8yMDI2Li4uVVNE</t>
  </si>
  <si>
    <t>LkgBAAAA6XECAAIAAAAGNTcuMTY4AQgAAAAFAAAAATEBAAAACy0xOTQxNTQ2ODcxAwAAAAMxNjACAAAABTIxNjczBAAAAAEwBwAAAAk2LzE0LzIwMjYIAAAACTMvMzEvMjAyMwkAAAABMNKjttn+yd4IiOvS2/7J3gg1Q0lRLk5ZU0U6QkFILklRX0RJTFVUX0VQU19FWENMLjk5Ny4xNC8wNi8yMDI2Li4uVVNELkgBAAAA6XECAAIAAAAIMi4wMjk5OTkBCAAAAAUAAAABMQEAAAALLTE5NDE1NDY4NzEDAAAAAzE2MAIAAAADMTQyBAAAAAEwBwAAAAk2LzE0LzIwMjYIAAAACTMvMzEvMjAyMwkAAAABMEyDBNr+yd4I2KnB2/7J3gg7Q0lRLk5ZU0U6QkFILklRX01JTk9SSVRZX0lOVEVSRVNUX0lTLjk5Ny4xNC8wNi8yMDI2Li4uVVNELkgBAAAA6XECAAIAAAABMQEIAAAABQAAAAExAQAAAAstMTk0MTU0Njg3MQMAAAADMTYwAgAAAAI4MwQAAAABMAcAAAAJNi8xNC8yMDI2CAAAAAkzLzMxLzIwMjMJAAAAATBMgwTa/sneCCfyvdv+yd4INkNJUS5OWVNFOkJBSC5JUV9TQUxFU19NQVJLRVRJTkcuOTk3LjE0LzA2LzIwMjYuLi5VU0QuSAEAAADpcQIAAwAAAAAA0qO22f7J3gjISdDb/sneCEhDSVEuTllTRTpCQUguSVFfSU5URVJFU1RfRVhQX0xFQVNFX0xJQUJJTElUWV9ERUJULjk5Ny4xNC8wNi8yMDI2Li4uVVNELkgBAAAA6XECAAMAAAAAANKjttn+yd4IRdTN2/7J3gg6Q0lRLk5ZU0U6QkFILklRX09USEVSX1VO</t>
  </si>
  <si>
    <t>VVNVQUxfU1VQUEwuOTk3LjE0LzA2LzIwMjYuLi5VU0QuSAEAAADpcQIAAwAAAAAATIME2v7J3gjfzbzb/sneCC5DSVEuTllTRTpCQUguSVFfSU5DX1RBWC45OTcuMTQvMDYvMjAyNi4uLlVTRC5IAQAAAOlxAgACAAAAAjk3AQgAAAAFAAAAATEBAAAACy0xOTQxNTQ2ODcxAwAAAAMxNjACAAAAAjc1BAAAAAEwBwAAAAk2LzE0LzIwMjYIAAAACTMvMzEvMjAyMwkAAAABMEyDBNr+yd4I38282/7J3gg7Q0lRLk5ZU0U6QkFILklRX09USEVSX1VOVVNVQUxfU1VQUExFLjk5Ny4xNC8wNi8yMDI2Li4uVVNELkgBAAAA6XECAAMAAAAAANKjttn+yd4IwOzV2/7J3gg1Q0lRLk5ZU0U6QkFILklRX0VCSVREQVJfRVFfSU5DLjk5Ny4xNC8wNi8yMDI2Li4uVVNELkgBAAAA6XECAAIAAAAEMTEzNgEIAAAABQAAAAExAQAAAAstMTk0MTU0Njg3MQMAAAADMTYwAgAAAAUyNDEyOQQAAAABMAcAAAAJNi8xNC8yMDI2CAAAAAkzLzMxLzIwMjMJAAAAATDSo7bZ/sneCLmIxtv+yd4IOUNJUS5OWVNFOkJBSC5JUV9TVE9DS19PUFRJT05TX0NPTVAuOTk3LjE0LzA2LzIwMjYuLi5VU0QuSAEAAADpcQIAAwAAAAAAPOR82f7J3gh0/Njb/sneCC5DSVEuTllTRTpCQUguSVFfTklfU0ZBUy45OTcuMTQvMDYvMjAyNi4uLlVTRC5IAQAAAOlxAgADAAAAAADSo7bZ/sneCJf7yNv+yd4IMUNJUS5OWVNFOkJBSC5JUV9DVVJSX1RBWEVTLjk5</t>
  </si>
  <si>
    <t>Ny4xNC8wNi8yMDI2Li4uVVNELkgBAAAA6XECAAIAAAADNDUxAQgAAAAFAAAAATEBAAAACy0xOTQxNTQ2ODcxAwAAAAMxNjACAAAABTM1MzgzBAAAAAEwBwAAAAk2LzE0LzIwMjYIAAAACTMvMzEvMjAyMwkAAAABMNKjttn+yd4IP2rL2/7J3gg4Q0lRLk5ZU0U6QkFILklRX0ZFRVNfT1RIRVJfSU5DT01FLjk5Ny4xNC8wNi8yMDI2Li4uVVNELkgBAAAA6XECAAMAAAAAANKjttn+yd4Il/vI2/7J3gguQ0lRLk5ZU0U6QkFILklRX0VCSVREQVIuOTk3LjE0LzA2LzIwMjYuLi5VU0QuSAEAAADpcQIAAgAAAAQxMDU2AQgAAAAFAAAAATEBAAAACy0xOTQxNTQ2ODcxAwAAAAMxNjACAAAABTIxNjc0BAAAAAEwBwAAAAk2LzE0LzIwMjYIAAAACTMvMzEvMjAyMwkAAAABMNKjttn+yd4IuYjG2/7J3ggxQ0lRLk5ZU0U6QkFILklRX05JX0NPTVBBTlkuOTk3LjE0LzA2LzIwMjYuLi5VU0QuSAEAAADpcQIAAgAAAAMyNzEBCAAAAAUAAAABMQEAAAALLTE5NDE1NDY4NzEDAAAAAzE2MAIAAAAFNDE1NzEEAAAAATAHAAAACTYvMTQvMjAyNggAAAAJMy8zMS8yMDIzCQAAAAEwTIME2v7J3ggn8r3b/sneCDRDSVEuTllTRTpCQUguSVFfRUJJVERBX0VRX0lOQy45OTcuMTQvMDYvMjAyNi4uLlVTRC5IAQAAAOlxAgACAAAABDEwNTYBCAAAAAUAAAABMQEAAAALLTE5NDE1NDY4NzEDAAAAAzE2MAIAAAAFMjE2NzcEAAAAATAHAAAA</t>
  </si>
  <si>
    <t>CTYvMTQvMjAyNggAAAAJMy8zMS8yMDIzCQAAAAEwTIME2v7J3ggPL8Tb/sneCC9DSVEuTllTRTpCQUguSVFfRVBTX05PUk0uOTk3LjE0LzA2LzIwMjYuLi5VU0QuSAEAAADpcQIAAgAAAAgzLjI1NjQyOAEIAAAABQAAAAExAQAAAAstMTk0MTU0Njg3MQMAAAADMTYwAgAAAAQ0Mzc5BAAAAAEwBwAAAAk2LzE0LzIwMjYIAAAACTMvMzEvMjAyMwkAAAABMEyDBNr+yd4I2KnB2/7J3gg1Q0lRLk5ZU0U6QkFILklRX0RJTFVUX0VQU19JTkNMLjk5Ny4xNC8wNi8yMDI2Li4uVVNELkgBAAAA6XECAAIAAAAIMi4wMjk5OTkBCAAAAAUAAAABMQEAAAALLTE5NDE1NDY4NzEDAAAAAzE2MAIAAAABOAQAAAABMAcAAAAJNi8xNC8yMDI2CAAAAAkzLzMxLzIwMjMJAAAAATBMgwTa/sneCNipwdv+yd4IKUNJUS5OWVNFOkJBSC5JUV9ETy45OTcuMTQvMDYvMjAyNi4uLlVTRC5IAQAAAOlxAgADAAAAAABMgwTa/sneCN/NvNv+yd4IOUNJUS5OWVNFOkJBSC5JUV9DVVJSX0ZPUkVJR05fVEFYRVMuOTk3LjE0LzA2LzIwMjYuLi5VU0QuSAEAAADpcQIAAgAAAAE5AQgAAAAFAAAAATEBAAAACy0xOTQxNTQ2ODcxAwAAAAMxNjACAAAABDMwMzAEAAAAATAHAAAACTYvMTQvMjAyNggAAAAJMy8zMS8yMDIzCQAAAAEw0qO22f7J3gg/asvb/sneCEtDSVEuTllTRTpCQUguSVFfRElTVFJJQlVUQUJMRV9DQVNIX1BFUl9TSEFSRV9ESUxV</t>
  </si>
  <si>
    <t>VEVELjk5Ny4xNC8wNi8yMDI2Li4uVVNELkgBAAAA6XECAAMAAAAAAEyDBNr+yd4I2KnB2/7J3ggqQ0lRLk5ZU0U6QkFILklRX0RJQy45OTcuMTQvMDYvMjAyNi4uLlVTRC5IAQAAAOlxAgADAAAAAADSo7bZ/sneCMhJ0Nv+yd4IL0NJUS5OWVNFOkJBSC5JUV9ESUxVVF9OSS45OTcuMTQvMDYvMjAyNi4uLlVTRC5IAQAAAOlxAgACAAAACjI2OS40MTQzNjUBCAAAAAUAAAABMQEAAAALLTE5NDE1NDY4NzEDAAAAAzE2MAIAAAAEMzUyMgQAAAABMAcAAAAJNi8xNC8yMDI2CAAAAAkzLzMxLzIwMjMJAAAAATDSo7bZ/sneCJQ2zdv+yd4IK0NJUS5OWVNFOkJBSC5JUV9FQklULjk5Ny4xNC8wNi8yMDI2Li4uVVNELkgBAAAA6XECAAIAAAADODExAQgAAAAFAAAAATEBAAAACy0xOTQxNTQ2ODcxAwAAAAMxNjACAAAAAzQwMAQAAAABMAcAAAAJNi8xNC8yMDI2CAAAAAkzLzMxLzIwMjMJAAAAATCxDQXa/sneCA8vxNv+yd4IPENJUS5OWVNFOkJBSC5JUV9FQklUREFfTEVBU0VfQURKVVNURUQuOTk3LjE0LzA2LzIwMjYuLi5VU0QuSAEAAADpcQIAAgAAAAQxMDU2AQgAAAAFAAAAATEBAAAACy0xOTQxNTQ2ODcxAwAAAAMxNjACAAAABTQ4OTkzBAAAAAEwBwAAAAk2LzE0LzIwMjYIAAAACTMvMzEvMjAyMwkAAAABMEyDBNr+yd4IDy/E2/7J3ggtQ0lRLk5ZU0U6QkFILklRX0VCSVREQS45OTcuMTQvMDYvMjAyNi4uLlVT</t>
  </si>
  <si>
    <t>RC5IAQAAAOlxAgACAAAAAzk3NgEIAAAABQAAAAExAQAAAAstMTk0MTU0Njg3MQMAAAADMTYwAgAAAAQ0MDUxBAAAAAEwBwAAAAk2LzE0LzIwMjYIAAAACTMvMzEvMjAyMwkAAAABMEyDBNr+yd4IDy/E2/7J3gg4Q0lRLk5ZU0U6QkFILklRX0NPTlRJTkdFTlRfUkVOVEFMLjk5Ny4xNC8wNi8yMDI2Li4uVVNELkgBAAAA6XECAAIAAAACMTEA0qO22f7J3gjISdDb/sneCDlDSVEuTllTRTpCQUguSVFfRElTVFJJQlVUQUJMRV9DQVNILjk5Ny4xNC8wNi8yMDI2Li4uVVNELkgBAAAA6XECAAMAAAAAANKjttn+yd4IRdTN2/7J3gg1Q0lRLk5ZU0U6QkFILklRX0VCSVRBX0VYQ0xfU0JDLjk5Ny4xNC8wNi8yMDI2Li4uVVNELkgBAAAA6XECAAIAAAADOTg1AQgAAAAFAAAAATEBAAAACy0xOTQxNTQ2ODcxAwAAAAMxNjACAAAABTI0MTM2BAAAAAEwBwAAAAk2LzE0LzIwMjYIAAAACTMvMzEvMjAyMwkAAAABMNKjttn+yd4IuYjG2/7J3gg0Q0lRLk5ZU0U6QkFILklRX05JX0FWQUlMX0VYQ0wuOTk3LjE0LzA2LzIwMjYuLi5VU0QuSAEAAADpcQIAAgAAAAMyNzABCAAAAAUAAAABMQEAAAALLTE5NDE1NDY4NzEDAAAAAzE2MAIAAAADMzc5BAAAAAEwBwAAAAk2LzE0LzIwMjYIAAAACTMvMzEvMjAyMwkAAAABMEyDBNr+yd4I2KnB2/7J3ggpQ0lRLk5ZU0U6QkFILklRX05JLjk5Ny4xNC8wNi8yMDI2Li4uVVNELkgBAAAA</t>
  </si>
  <si>
    <t>6XECAAIAAAADMjcyAQgAAAAFAAAAATEBAAAACy0xOTQxNTQ2ODcxAwAAAAMxNjACAAAAAjE1BAAAAAEwBwAAAAk2LzE0LzIwMjYIAAAACTMvMzEvMjAyMwkAAAABMEyDBNr+yd4IJ/K92/7J3gg2Q0lRLk5ZU0U6QkFILklRX0VCSVREQV9FWENMX1NCQy45OTcuMTQvMDYvMjAyNi4uLlVTRC5IAQAAAOlxAgACAAAABDEwNTYBCAAAAAUAAAABMQEAAAALLTE5NDE1NDY4NzEDAAAAAzE2MAIAAAAFMjQxMzUEAAAAATAHAAAACTYvMTQvMjAyNggAAAAJMy8zMS8yMDIzCQAAAAEwTIME2v7J3ggPL8Tb/sneCDBDSVEuTllTRTpCQUguSVFfREFfRUJJVERBLjk5Ny4xNC8wNi8yMDI2Li4uVVNELkgBAAAA6XECAAIAAAADMTY1AQgAAAAFAAAAATEBAAAACy0xOTQxNTQ2ODcxAwAAAAMxNjACAAAABDIyMDYEAAAAATAHAAAACTYvMTQvMjAyNggAAAAJMy8zMS8yMDIzCQAAAAEw0qO22f7J3ghF1M3b/sneCCpDSVEuTllTRTpCQUguSVFfRUJULjk5Ny4xNC8wNi8yMDI2Li4uVVNELkgBAAAA6XECAAIAAAADMzY4AQgAAAAFAAAAATEBAAAACy0xOTQxNTQ2ODcxAwAAAAMxNjACAAAAAzEzOQQAAAABMAcAAAAJNi8xNC8yMDI2CAAAAAkzLzMxLzIwMjMJAAAAATBMgwTa/sneCN/NvNv+yd4INUNJUS5OWVNFOkJBSC5JUV9TVE9DS19CQVNFRF9TTS45OTcuMTQvMDYvMjAyNi4uLlVTRC5IAQAAAOlxAgADAAAAAADSo7bZ/sne</t>
  </si>
  <si>
    <t>CBNg2Nv+yd4IPkNJUS5OWVNFOkJBSC5JUV9FQklUREFSX0VRX0lOQ19FWENMX1NCQy45OTcuMTQvMDYvMjAyNi4uLlVTRC5IAQAAAOlxAgACAAAABDExMzYBCAAAAAUAAAABMQEAAAALLTE5NDE1NDY4NzEDAAAAAzE2MAIAAAAFMjQxMzMEAAAAATAHAAAACTYvMTQvMjAyNggAAAAJMy8zMS8yMDIzCQAAAAEw0qO22f7J3gi5iMbb/sneCDFDSVEuTllTRTpCQUguSVFfRUFSTklOR19DTy45OTcuMTQvMDYvMjAyNi4uLlVTRC5IAQAAAOlxAgACAAAAAzI3MQEIAAAABQAAAAExAQAAAAstMTk0MTU0Njg3MQMAAAADMTYwAgAAAAE3BAAAAAEwBwAAAAk2LzE0LzIwMjYIAAAACTMvMzEvMjAyMwkAAAABMEyDBNr+yd4I38282/7J3gg+Q0lRLk5ZU0U6QkFILklRX0VYQ0lTRV9UQVhFU19FWENMX1NBTEVTLjk5Ny4xNC8wNi8yMDI2Li4uVVNELkgBAAAA6XECAAMAAAAAANKjttn+yd4Il/vI2/7J3gg9Q0lRLk5ZU0U6QkFILklRX0VCSVREQV9FUV9JTkNfRVhDTF9TQkMuOTk3LjE0LzA2LzIwMjYuLi5VU0QuSAEAAADpcQIAAgAAAAQxMDU2AQgAAAAFAAAAATEBAAAACy0xOTQxNTQ2ODcxAwAAAAMxNjACAAAABTI0MTMxBAAAAAEwBwAAAAk2LzE0LzIwMjYIAAAACTMvMzEvMjAyMwkAAAABMEyDBNr+yd4IDy/E2/7J3gg8Q0lRLk5ZU0U6QkFILklRX0VCSVRBX0VRX0lOQ19FWENMX1NCQy45OTcuMTQvMDYvMjAyNi4u</t>
  </si>
  <si>
    <t>LlVTRC5IAQAAAOlxAgACAAAAAzk4NQEIAAAABQAAAAExAQAAAAstMTk0MTU0Njg3MQMAAAADMTYwAgAAAAUyNDEzMgQAAAABMAcAAAAJNi8xNC8yMDI2CAAAAAkzLzMxLzIwMjMJAAAAATDSo7bZ/sneCLmIxtv+yd4INkNJUS5OWVNFOkJBSC5JUV9FWFRSQV9BQ0NfSVRFTVMuOTk3LjE0LzA2LzIwMjYuLi5VU0QuSAEAAADpcQIAAwAAAAAATIME2v7J3ggn8r3b/sneCC5DSVEuTllTRTpCQUguSVFfRklMSU5HX0NVUlJFTkNZLjk5OC4xNC8wNi8yMDI2AQAAAOlxAgADAAAAA1VTRADSo7bZ/sneCPYOIdz+yd4ILkNJUS5OWVNFOkJBSC5JUV9QRVJJT0RMRU5HVEhfQ0YuOTk4LjE0LzA2LzIwMjYBAAAA6XECAAEAAAACMTIAw5x/2f7J3ggppx7c/sneCD5DSVEuTllTRTpCQUguSVFfRElTVFJJQlVUQUJMRV9DQVNIX1NIQVJFU19CQVNJQy45OTguMTQvMDYvMjAyNgEAAADpcQIAAwAAAAAATIME2v7J3gj9NBzc/sneCC5DSVEuTllTRTpCQUguSVFfRUZGRUNUX1RBWF9SQVRFLjk5OC4xNC8wNi8yMDI2AQAAAOlxAgACAAAABzI5LjAzOTgBCAAAAAUAAAABMQEAAAALLTE4ODc3MDQ5OTMDAAAAAzE2MAIAAAAENDM3NgQAAAABMAcAAAAJNi8xNC8yMDI2CAAAAAkzLzMxLzIwMjQJAAAAATDSo7bZ/sneCCmnHtz+yd4ILENJUS5OWVNFOkJBSC5JUV9GSUxJTkdEQVRFX0lTLjk5OC4xNC8wNi8yMDI2AQAAAOlxAgAF</t>
  </si>
  <si>
    <t>AAAACjIyLzA1LzIwMjYATIME2v7J3gj9NBzc/sneCEBDSVEuTllTRTpCQUguSVFfRElTVFJJQlVUQUJMRV9DQVNIX1NIQVJFU19ESUxVVEVELjk5OC4xNC8wNi8yMDI2AQAAAOlxAgADAAAAAABMgwTa/sneCCmnHtz+yd4IK0NJUS5OWVNFOkJBSC5JUV9QQVlPVVRfUkFUSU8uOTk4LjE0LzA2LzIwMjYBAAAA6XECAAIAAAAHNDEuOTE0MQEIAAAABQAAAAExAQAAAAstMTg4NzcwNDk5MwMAAAADMTYwAgAAAAQ0Mzc3BAAAAAEwBwAAAAk2LzE0LzIwMjYIAAAACTMvMzEvMjAyNAkAAAABMNKjttn+yd4IKace3P7J3gg4Q0lRLk5ZU0U6QkFILklRX0RJU1RSSUJVVEFCTEVfQ0FTSF9QQVlPVVQuOTk4LjE0LzA2LzIwMjYBAAAA6XECAAMAAAAAANKjttn+yd4IKace3P7J3ggrQ0lRLk5ZU0U6QkFILklRX0NBTENfVFlQRV9JUy45OTguMTQvMDYvMjAyNgEAAADpcQIAAwAAAANSRVAA0qO22f7J3ggppx7c/sneCCtDSVEuTllTRTpCQUguSVFfQkFTSUNfV0VJR0hULjk5OC4xNC8wNi8yMDI2AQAAAOlxAgACAAAACjEzMC4zNjY1MDEATIME2v7J3gj9NBzc/sneCCZDSVEuTllTRTpCQUguSVFfR0FBUF9JUy45OTguMTQvMDYvMjAyNgEAAADpcQIAAwAAAAdVUyBHQUFQANKjttn+yd4IKace3P7J3ggtQ0lRLk5ZU0U6QkFILklRX1JFU1RBVEVNRU5UX0lTLjk5OC4xNC8wNi8yMDI2AQAAAOlxAgADAAAAAlJTANKjttn+</t>
  </si>
  <si>
    <t>yd4IKace3P7J3ggpQ0lRLk5ZU0U6QkFILklRX1NBTUVfU1RPUkUuOTk4LjE0LzA2LzIwMjYBAAAA6XECAAMAAAAAANKjttn+yd4I/TQc3P7J3ggvQ0lRLk5ZU0U6QkFILklRX0RSX1JBVElPX1BSSU1BUlkuOTk4LjE0LzA2LzIwMjYBAAAA6XECAAMAAAAAAEyDBNr+yd4I/TQc3P7J3ggrQ0lRLk5ZU0U6QkFILklRX0RJTFVUX1dFSUdIVC45OTguMTQvMDYvMjAyNgEAAADpcQIAAgAAAAoxMzAuODE1OTAzAEyDBNr+yd4I/TQc3P7J3gguQ0lRLk5ZU0U6QkFILklRX1BFUklPRExFTkdUSF9JUy45OTguMTQvMDYvMjAyNgEAAADpcQIAAQAAAAIxMgBMgwTa/sneCP00HNz+yd4IL0NJUS5OWVNFOkJBSC5JUV9QUkVGX1JFUC45OTguMTQvMDYvMjAyNi4uLlVTRC5IAQAAAOlxAgADAAAAAADDnH/Z/sneCO335dv+yd4IMkNJUS5OWVNFOkJBSC5JUV9QUkVGX0lTU1VFRC45OTguMTQvMDYvMjAyNi4uLlVTRC5IAQAAAOlxAgADAAAAAADDnH/Z/sneCO335dv+yd4IOENJUS5OWVNFOkJBSC5JUV9UT1RBTF9ERUJUX1JFUEFJRC45OTguMTQvMDYvMjAyNi4uLlVTRC5IAQAAAOlxAgACAAAABC01NDEBCAAAAAUAAAABMQEAAAALLTE4ODc3MDQ5OTMDAAAAAzE2MAIAAAAEMjE2NgQAAAABMAcAAAAJNi8xNC8yMDI2CAAAAAkzLzMxLzIwMjQJAAAAATDDnH/Z/sneCEAZ5dv+yd4INkNJUS5OWVNFOkJBSC5JUV9DQVNIX0FD</t>
  </si>
  <si>
    <t>UVVJUkVfQ0YuOTk4LjE0LzA2LzIwMjYuLi5VU0QuSAEAAADpcQIAAwAAAAAAJOZ+2f7J3ggEQeDb/sneCCxDSVEuTllTRTpCQUguSVFfRE9fQ0YuOTk4LjE0LzA2LzIwMjYuLi5VU0QuSAEAAADpcQIAAwAAAAAAJOZ+2f7J3ghg2d3b/sneCDFDSVEuTllTRTpCQUguSVFfT0lMX0lNUEFJUi45OTguMTQvMDYvMjAyNi4uLlVTRC5IAQAAAOlxAgADAAAAAAA85HzZ/sneCKx43Nv+yd4IMUNJUS5OWVNFOkJBSC5JUV9ORVRfQ0hBTkdFLjk5OC4xNC8wNi8yMDI2Li4uVVNELkgBAAAA6XECAAIAAAADMTQ5AQgAAAAFAAAAATEBAAAACy0xODg3NzA0OTkzAwAAAAMxNjACAAAABDIwOTMEAAAAATAHAAAACTYvMTQvMjAyNggAAAAJMy8zMS8yMDI0CQAAAAEww5x/2f7J3ggFi+fb/sneCDRDSVEuTllTRTpCQUguSVFfQ09NTU9OX0lTU1VFRC45OTguMTQvMDYvMjAyNi4uLlVTRC5IAQAAAOlxAgACAAAAAjQ0AQgAAAAFAAAAATEBAAAACy0xODg3NzA0OTkzAwAAAAMxNjACAAAABDIxNjkEAAAAATAHAAAACTYvMTQvMjAyNggAAAAJMy8zMS8yMDI0CQAAAAEww5x/2f7J3ghAGeXb/sneCDhDSVEuTllTRTpCQUguSVFfVE9UQUxfRElWX1BBSURfQ0YuOTk4LjE0LzA2LzIwMjYuLi5VU0QuSAEAAADpcQIAAgAAAAQtMjU0AQgAAAAFAAAAATEBAAAACy0xODg3NzA0OTkzAwAAAAMxNjACAAAABDIwMjIEAAAAATAHAAAACTYv</t>
  </si>
  <si>
    <t>MTQvMjAyNggAAAAJMy8zMS8yMDI0CQAAAAEww5x/2f7J3gjt9+Xb/sneCDRDSVEuTllTRTpCQUguSVFfQ09NTU9OX0RJVl9DRi45OTguMTQvMDYvMjAyNi4uLlVTRC5IAQAAAOlxAgACAAAABC0yNTQBCAAAAAUAAAABMQEAAAALLTE4ODc3MDQ5OTMDAAAAAzE2MAIAAAAEMjA3NAQAAAABMAcAAAAJNi8xNC8yMDI2CAAAAAkzLzMxLzIwMjQJAAAAATDDnH/Z/sneCO335dv+yd4INkNJUS5OWVNFOkJBSC5JUV9JTlZFU1RfTE9BTlNfQ0YuOTk4LjE0LzA2LzIwMjYuLi5VU0QuSAEAAADpcQIAAwAAAAAAJOZ+2f7J3giPseLb/sneCDBDSVEuTllTRTpCQUguSVFfQ0hBTkdFX0FQLjk5OC4xNC8wNi8yMDI2Li4uVVNELkgBAAAA6XECAAIAAAAELTI4MgEIAAAABQAAAAExAQAAAAstMTg4NzcwNDk5MwMAAAADMTYwAgAAAAQyMDE3BAAAAAEwBwAAAAk2LzE0LzIwMjYIAAAACTMvMzEvMjAyNAkAAAABMCTmftn+yd4IBEHg2/7J3gg1Q0lRLk5ZU0U6QkFILklRX0dBSU5fSU5WRVNUX0NGLjk5OC4xNC8wNi8yMDI2Li4uVVNELkgBAAAA6XECAAIAAAACMTUBCAAAAAUAAAABMQEAAAALLTE4ODc3MDQ5OTMDAAAAAzE2MAIAAAAEMjA5MAQAAAABMAcAAAAJNi8xNC8yMDI2CAAAAAkzLzMxLzIwMjQJAAAAATA85HzZ/sneCGDZ3dv+yd4IPUNJUS5OWVNFOkJBSC5JUV9TVE9DS19PUFRJT05TX0NPTVBfVEFYLjk5OC4xNC8w</t>
  </si>
  <si>
    <t>Ni8yMDI2Li4uVVNELkgBAAAA6XECAAMAAAAAADzkfNn+yd4IdPzY2/7J3gg7Q0lRLk5ZU0U6QkFILklRX1JFU1RSX1NUT0NLX0NPTVBfVEFYLjk5OC4xNC8wNi8yMDI2Li4uVVNELkgBAAAA6XECAAMAAAAAADzkfNn+yd4IdPzY2/7J3gg7Q0lRLk5ZU0U6QkFILklRX1RPVEFMX1VOVVNVQUxfU1VQUExFLjk5OC4xNC8wNi8yMDI2Li4uVVNELkgBAAAA6XECAAMAAAAAANKjttn+yd4IwOzV2/7J3gg/Q0lRLk5ZU0U6QkFILklRX0lNUFVUX09QRVJfTEVBU0VfSU5UX0VYUC45OTguMTQvMDYvMjAyNi4uLlVTRC5IAQAAAOlxAgACAAAACTI3LjM4MTc0NAEIAAAABQAAAAExAQAAAAstMTg4NzcwNDk5MwMAAAADMTYwAgAAAAUyMTY3MgQAAAABMAcAAAAJNi8xNC8yMDI2CAAAAAkzLzMxLzIwMjQJAAAAATDSo7bZ/sneCIjr0tv+yd4IKUNJUS5OWVNFOkJBSC5JUV9GWC45OTguMTQvMDYvMjAyNi4uLlVTRC5IAQAAAOlxAgADAAAAAADDnH/Z/sneCAWL59v+yd4INUNJUS5OWVNFOkJBSC5JUV9MVF9ERUJUX1JFUEFJRC45OTguMTQvMDYvMjAyNi4uLlVTRC5IAQAAAOlxAgACAAAABC01NDEBCAAAAAUAAAABMQEAAAALLTE4ODc3MDQ5OTMDAAAAAzE2MAIAAAAEMjAzNgQAAAABMAcAAAAJNi8xNC8yMDI2CAAAAAkzLzMxLzIwMjQJAAAAATDDnH/Z/sneCEAZ5dv+yd4IMkNJUS5OWVNFOkJBSC5JUV9TQUxFX1BQRV9D</t>
  </si>
  <si>
    <t>Ri45OTguMTQvMDYvMjAyNi4uLlVTRC5IAQAAAOlxAgADAAAAAAAk5n7Z/sneCARB4Nv+yd4IOENJUS5OWVNFOkJBSC5JUV9QUk9WX0JBRF9ERUJUU19DRi45OTguMTQvMDYvMjAyNi4uLlVTRC5IAQAAAOlxAgADAAAAAAAk5n7Z/sneCGDZ3dv+yd4IMkNJUS5OWVNFOkJBSC5JUV9QUkVGX0RJVl9DRi45OTguMTQvMDYvMjAyNi4uLlVTRC5IAQAAAOlxAgADAAAAAADDnH/Z/sneCO335dv+yd4IPkNJUS5OWVNFOkJBSC5JUV9PVEhFUl9GSU5BTkNFX0FDVF9TVVBQTC45OTguMTQvMDYvMjAyNi4uLlVTRC5IAQAAAOlxAgADAAAAAADDnH/Z/sneCO335dv+yd4IOENJUS5OWVNFOkJBSC5JUV9TVE9DS19CQVNFRF9PVEhFUi45OTguMTQvMDYvMjAyNi4uLlVTRC5IAQAAAOlxAgADAAAAAAA85HzZ/sneCHT82Nv+yd4IOENJUS5OWVNFOkJBSC5JUV9ORUdBVElWRV9HV19BTU9SVC45OTguMTQvMDYvMjAyNi4uLlVTRC5IAQAAAOlxAgADAAAAAADSo7bZ/sneCEd119v+yd4IOUNJUS5OWVNFOkJBSC5JUV9SRVNUUlVDVFVSRV9TVVBQTEUuOTk4LjE0LzA2LzIwMjYuLi5VU0QuSAEAAADpcQIAAwAAAAAA0qO22f7J3giI69Lb/sneCDVDSVEuTllTRTpCQUguSVFfT1RIRVJfT1BFUl9BQ1QuOTk4LjE0LzA2LzIwMjYuLi5VU0QuSAEAAADpcQIAAgAAAAMtNDcBCAAAAAUAAAABMQEAAAALLTE4ODc3MDQ5OTMDAAAAAzE2</t>
  </si>
  <si>
    <t>MAIAAAAEMjA0NwQAAAABMAcAAAAJNi8xNC8yMDI2CAAAAAkzLzMxLzIwMjQJAAAAATAk5n7Z/sneCGDZ3dv+yd4INkNJUS5OWVNFOkJBSC5JUV9TVE9DS19CQVNFRF9TR0EuOTk4LjE0LzA2LzIwMjYuLi5VU0QuSAEAAADpcQIAAwAAAAAAPOR82f7J3ghN1djb/sneCDBDSVEuTllTRTpCQUguSVFfUkRfRVhQX0ZOLjk5OC4xNC8wNi8yMDI2Li4uVVNELkgBAAAA6XECAAMAAAAAANKjttn+yd4IyEnQ2/7J3ggwQ0lRLk5ZU0U6QkFILklRX01BUktFVElORy45OTguMTQvMDYvMjAyNi4uLlVTRC5IAQAAAOlxAgADAAAAAADSo7bZ/sneCMhJ0Nv+yd4IPUNJUS5OWVNFOkJBSC5JUV9ERUZFUlJFRF9GT1JFSUdOX1RBWEVTLjk5OC4xNC8wNi8yMDI2Li4uVVNELkgBAAAA6XECAAIAAAACLTEBCAAAAAUAAAABMQEAAAALLTE4ODc3MDQ5OTMDAAAAAzE2MAIAAAAEMzA1NQQAAAABMAcAAAAJNi8xNC8yMDI2CAAAAAkzLzMxLzIwMjQJAAAAATDSo7bZ/sneCD9qy9v+yd4IPENJUS5OWVNFOkJBSC5JUV9UT1RBTF9SRVZfQVNfUkVQT1JURUQuOTk4LjE0LzA2LzIwMjYuLi5VU0QuSAEAAADpcQIAAwAAAAAA0qO22f7J3giX+8jb/sneCDRDSVEuTllTRTpCQUguSVFfSU5DX0VRVUlUWV9DRi45OTguMTQvMDYvMjAyNi4uLlVTRC5IAQAAAOlxAgADAAAAAAB8H37Z/sneCGDZ3dv+yd4IMkNJUS5OWVNFOkJBSC5JUV9DQVNI</t>
  </si>
  <si>
    <t>X0lOVkVTVC45OTguMTQvMDYvMjAyNi4uLlVTRC5IAQAAAOlxAgACAAAAAy05MQEIAAAABQAAAAExAQAAAAstMTg4NzcwNDk5MwMAAAADMTYwAgAAAAQyMDA1BAAAAAEwBwAAAAk2LzE0LzIwMjYIAAAACTMvMzEvMjAyNAkAAAABMCTmftn+yd4Ij7Hi2/7J3gg4Q0lRLk5ZU0U6QkFILklRX0NIQU5HRV9VTkVBUk5fUkVWLjk5OC4xNC8wNi8yMDI2Li4uVVNELkgBAAAA6XECAAMAAAAAACTmftn+yd4IBEHg2/7J3gg5Q0lRLk5ZU0U6QkFILklRX1NUT0NLX09QVElPTlNfQ09NUC45OTguMTQvMDYvMjAyNi4uLlVTRC5IAQAAAOlxAgADAAAAAAA85HzZ/sneCHT82Nv+yd4ILENJUS5OWVNFOkJBSC5JUV9DQVBFWC45OTguMTQvMDYvMjAyNi4uLlVTRC5IAQAAAOlxAgACAAAAAy02NwEIAAAABQAAAAExAQAAAAstMTg4NzcwNDk5MwMAAAADMTYwAgAAAAQyMDIxBAAAAAEwBwAAAAk2LzE0LzIwMjYIAAAACTMvMzEvMjAyNAkAAAABMCTmftn+yd4IBEHg2/7J3ggwQ0lRLk5ZU0U6QkFILklRX0NIQU5HRV9BUi45OTguMTQvMDYvMjAyNi4uLlVTRC5IAQAAAOlxAgACAAAABC0yNzABCAAAAAUAAAABMQEAAAALLTE4ODc3MDQ5OTMDAAAAAzE2MAIAAAAEMjAxOAQAAAABMAcAAAAJNi8xNC8yMDI2CAAAAAkzLzMxLzIwMjQJAAAAATAk5n7Z/sneCGDZ3dv+yd4IOkNJUS5OWVNFOkJBSC5JUV9UQVhfQkVORUZJVF9PUFRJ</t>
  </si>
  <si>
    <t>T05TLjk5OC4xNC8wNi8yMDI2Li4uVVNELkgBAAAA6XECAAMAAAAAACTmftn+yd4IYNnd2/7J3gg1Q0lRLk5ZU0U6QkFILklRX1NQRUNJQUxfRElWX0NGLjk5OC4xNC8wNi8yMDI2Li4uVVNELkgBAAAA6XECAAMAAAAAAMOcf9n+yd4I7ffl2/7J3gg1Q0lRLk5ZU0U6QkFILklRX0NIQU5HRV9ERUZfVEFYLjk5OC4xNC8wNi8yMDI2Li4uVVNELkgBAAAA6XECAAMAAAAAACTmftn+yd4IBEHg2/7J3gg0Q0lRLk5ZU0U6QkFILklRX01FUkdFUl9TVVBQTEUuOTk4LjE0LzA2LzIwMjYuLi5VU0QuSAEAAADpcQIAAwAAAAAA0qO22f7J3giI69Lb/sneCDhDSVEuTllTRTpCQUguSVFfQ09OVElOR0VOVF9SRU5UQUwuOTk4LjE0LzA2LzIwMjYuLi5VU0QuSAEAAADpcQIAAgAAAAIxMwDSo7bZ/sneCMhJ0Nv+yd4INkNJUS5OWVNFOkJBSC5JUV9TQUxFU19NQVJLRVRJTkcuOTk4LjE0LzA2LzIwMjYuLi5VU0QuSAEAAADpcQIAAwAAAAAA0qO22f7J3gjISdDb/sneCDVDSVEuTllTRTpCQUguSVFfTUlTQ19BREpVU1RfQ0YuOTk4LjE0LzA2LzIwMjYuLi5VU0QuSAEAAADpcQIAAwAAAAAAw5x/2f7J3ggFi+fb/sneCDhDSVEuTllTRTpCQUguSVFfVE9UQUxfREVCVF9JU1NVRUQuOTk4LjE0LzA2LzIwMjYuLi5VU0QuSAEAAADpcQIAAgAAAAQxMTM2AQgAAAAFAAAAATEBAAAACy0xODg3NzA0OTkzAwAAAAMxNjACAAAABDIx</t>
  </si>
  <si>
    <t>NjEEAAAAATAHAAAACTYvMTQvMjAyNggAAAAJMy8zMS8yMDI0CQAAAAEww5x/2f7J3giPseLb/sneCD1DSVEuTllTRTpCQUguSVFfT1RIRVJfSU5WRVNUX0FDVF9TVVBQTC45OTguMTQvMDYvMjAyNi4uLlVTRC5IAQAAAOlxAgADAAAAAAAk5n7Z/sneCI+x4tv+yd4INUNJUS5OWVNFOkJBSC5JUV9HQUlOX0FTU0VUU19DRi45OTguMTQvMDYvMjAyNi4uLlVTRC5IAQAAAOlxAgADAAAAAAA85HzZ/sneCKx43Nv+yd4IOENJUS5OWVNFOkJBSC5JUV9JTlNfU0VUVExFX1NVUFBMRS45OTguMTQvMDYvMjAyNi4uLlVTRC5IAQAAAOlxAgADAAAAAADSo7bZ/sneCMDs1dv+yd4IN0NJUS5OWVNFOkJBSC5JUV9TVE9DS19CQVNFRF9DT0dTLjk5OC4xNC8wNi8yMDI2Li4uVVNELkgBAAAA6XECAAIAAAACNDQBCAAAAAUAAAABMQEAAAALLTE4ODc3MDQ5OTMDAAAAAzE2MAIAAAAFMjI2NzQEAAAAATAHAAAACTYvMTQvMjAyNggAAAAJMy8zMS8yMDI0CQAAAAEw0qO22f7J3gjbw9fb/sneCDVDSVEuTllTRTpCQUguSVFfTkVUX1JFTlRBTF9FWFAuOTk4LjE0LzA2LzIwMjYuLi5VU0QuSAEAAADpcQIAAgAAAAI3OAEIAAAABQAAAAExAQAAAAstMTg4NzcwNDk5MwMAAAADMTYwAgAAAAUyNDI2MQQAAAABMAcAAAAJNi8xNC8yMDI2CAAAAAkzLzMxLzIwMjQJAAAAATDSo7bZ/sneCMhJ0Nv+yd4IO0NJUS5OWVNFOkJBSC5JUV9D</t>
  </si>
  <si>
    <t>QVBJVEFMSVpFRF9JTlRFUkVTVC45OTguMTQvMDYvMjAyNi4uLlVTRC5IAQAAAOlxAgADAAAAAADSo7bZ/sneCEXUzdv+yd4INkNJUS5OWVNFOkJBSC5JUV9JTlRFUkVTVF9JTkNPTUUuOTk4LjE0LzA2LzIwMjYuLi5VU0QuSAEAAADpcQIAAwAAAAAA0qO22f7J3giX+8jb/sneCDVDSVEuTllTRTpCQUguSVFfRUJJVEFfRVhDTF9TQkMuOTk4LjE0LzA2LzIwMjYuLi5VU0QuSAEAAADpcQIAAgAAAAQxMjEzAQgAAAAFAAAAATEBAAAACy0xODg3NzA0OTkzAwAAAAMxNjACAAAABTI0MTM2BAAAAAEwBwAAAAk2LzE0LzIwMjYIAAAACTMvMzEvMjAyNAkAAAABMNKjttn+yd4IuYjG2/7J3ggsQ0lRLk5ZU0U6QkFILklRX0VCSVRBLjk5OC4xNC8wNi8yMDI2Li4uVVNELkgBAAAA6XECAAIAAAAEMTExOAEIAAAABQAAAAExAQAAAAstMTg4NzcwNDk5MwMAAAADMTYwAgAAAAYxMDA2ODkEAAAAATAHAAAACTYvMTQvMjAyNggAAAAJMy8zMS8yMDI0CQAAAAEw0qO22f7J3gi5iMbb/sneCDVDSVEuTllTRTpCQUguSVFfRElMVVRfRVBTX0lOQ0wuOTk4LjE0LzA2LzIwMjYuLi5VU0QuSAEAAADpcQIAAgAAAAQ0LjU5AQgAAAAFAAAAATEBAAAACy0xODg3NzA0OTkzAwAAAAMxNjACAAAAATgEAAAAATAHAAAACTYvMTQvMjAyNggAAAAJMy8zMS8yMDI0CQAAAAEwTIME2v7J3gjYqcHb/sneCC5DSVEuTllTRTpCQUguSVFfSU5D</t>
  </si>
  <si>
    <t>X1RBWC45OTguMTQvMDYvMjAyNi4uLlVTRC5IAQAAAOlxAgACAAAAAzI0OAEIAAAABQAAAAExAQAAAAstMTg4NzcwNDk5MwMAAAADMTYwAgAAAAI3NQQAAAABMAcAAAAJNi8xNC8yMDI2CAAAAAkzLzMxLzIwMjQJAAAAATBMgwTa/sneCN/NvNv+yd4IOUNJUS5OWVNFOkJBSC5JUV9BU1NFVF9XUklURURPV05fQ0YuOTk4LjE0LzA2LzIwMjYuLi5VU0QuSAEAAADpcQIAAwAAAAAAPOR82f7J3ghg2d3b/sneCD5DSVEuTllTRTpCQUguSVFfU0FMQVJJRVNfT1RIRVJfQkVORUZJVFMuOTk4LjE0LzA2LzIwMjYuLi5VU0QuSAEAAADpcQIAAwAAAAAA0qO22f7J3giI69Lb/sneCDRDSVEuTllTRTpCQUguSVFfU0FMRV9JTlRBTl9DRi45OTguMTQvMDYvMjAyNi4uLlVTRC5IAQAAAOlxAgADAAAAAAAk5n7Z/sneCI+x4tv+yd4IMENJUS5OWVNFOkJBSC5JUV9DQVNIX09QRVIuOTk4LjE0LzA2LzIwMjYuLi5VU0QuSAEAAADpcQIAAgAAAAMyNTkBCAAAAAUAAAABMQEAAAALLTE4ODc3MDQ5OTMDAAAAAzE2MAIAAAAEMjAwNgQAAAABMAcAAAAJNi8xNC8yMDI2CAAAAAkzLzMxLzIwMjQJAAAAATAk5n7Z/sneCARB4Nv+yd4INUNJUS5OWVNFOkJBSC5JUV9DUkVESVRfTE9TU19DRi45OTguMTQvMDYvMjAyNi4uLlVTRC5IAQAAAOlxAgADAAAAAAB8H37Z/sneCGDZ3dv+yd4INUNJUS5OWVNFOkJBSC5JUV9TVE9DS19CQVNF</t>
  </si>
  <si>
    <t>RF9HQS45OTguMTQvMDYvMjAyNi4uLlVTRC5IAQAAAOlxAgACAAAAAjUxAQgAAAAFAAAAATEBAAAACy0xODg3NzA0OTkzAwAAAAMxNjACAAAABTIyNjc1BAAAAAEwBwAAAAk2LzE0LzIwMjYIAAAACTMvMzEvMjAyNAkAAAABMPsLuNn+yd4IR67Y2/7J3gg3Q0lRLk5ZU0U6QkFILklRX0dBSU5fQkFSR0FJTl9BQ1EuOTk4LjE0LzA2LzIwMjYuLi5VU0QuSAEAAADpcQIAAwAAAAAA0qO22f7J3gjK1NXb/sneCDVDSVEuTllTRTpCQUguSVFfTUlOSU1VTV9SRU5UQUwuOTk4LjE0LzA2LzIwMjYuLi5VU0QuSAEAAADpcQIAAwAAAAAA0qO22f7J3gjISdDb/sneCDJDSVEuTllTRTpCQUguSVFfQURWRVJUSVNJTkcuOTk4LjE0LzA2LzIwMjYuLi5VU0QuSAEAAADpcQIAAwAAAAAA0qO22f7J3gjISdDb/sneCEZDSVEuTllTRTpCQUguSVFfRElTVFJJQlVUQUJMRV9DQVNIX1NUQU5EQVJESVpFRC45OTguMTQvMDYvMjAyNi4uLlVTRC5IAQAAAOlxAgADAAAAAADSo7bZ/sneCEXUzdv+yd4IPkNJUS5OWVNFOkJBSC5JUV9ERUZFUlJFRF9ET01FU1RJQ19UQVhFUy45OTguMTQvMDYvMjAyNi4uLlVTRC5IAQAAAOlxAgACAAAABC0xMDABCAAAAAUAAAABMQEAAAALLTE4ODc3MDQ5OTMDAAAAAzE2MAIAAAAEMzA1NAQAAAABMAcAAAAJNi8xNC8yMDI2CAAAAAkzLzMxLzIwMjQJAAAAATDSo7bZ/sneCD9qy9v+yd4IOkNJUS5O</t>
  </si>
  <si>
    <t>WVNFOkJBSC5JUV9DVVJSX0RPTUVTVElDX1RBWEVTLjk5OC4xNC8wNi8yMDI2Li4uVVNELkgBAAAA6XECAAIAAAADMzQ2AQgAAAAFAAAAATEBAAAACy0xODg3NzA0OTkzAwAAAAMxNjACAAAABDMwMjcEAAAAATAHAAAACTYvMTQvMjAyNggAAAAJMy8zMS8yMDI0CQAAAAEw0qO22f7J3giX+8jb/sneCDdDSVEuTllTRTpCQUguSVFfRUJJVERBUl9FWENMX1NCQy45OTguMTQvMDYvMjAyNi4uLlVTRC5IAQAAAOlxAgACAAAABDEzNjIBCAAAAAUAAAABMQEAAAALLTE4ODc3MDQ5OTMDAAAAAzE2MAIAAAAFMjQxMzcEAAAAATAHAAAACTYvMTQvMjAyNggAAAAJMy8zMS8yMDI0CQAAAAEw0qO22f7J3gi5iMbb/sneCD5DSVEuTllTRTpCQUguSVFfTEVBU0VfQURKVVNUTUVOVF9FQklUREEuOTk4LjE0LzA2LzIwMjYuLi5VU0QuSAEAAADpcQIAAgAAAAI3OABMgwTa/sneCA8vxNv+yd4INUNJUS5OWVNFOkJBSC5JUV9QUkVGX0RJVl9PVEhFUi45OTguMTQvMDYvMjAyNi4uLlVTRC5IAQAAAOlxAgACAAAAATUBCAAAAAUAAAABMQEAAAALLTE4ODc3MDQ5OTMDAAAAAzE2MAIAAAACOTcEAAAAATAHAAAACTYvMTQvMjAyNggAAAAJMy8zMS8yMDI0CQAAAAEwTIME2v7J3ghCP7/b/sneCDFDSVEuTllTRTpCQUguSVFfTklfQ09NUEFOWS45OTguMTQvMDYvMjAyNi4uLlVTRC5IAQAAAOlxAgACAAAAAzYwNgEIAAAABQAAAAEx</t>
  </si>
  <si>
    <t>AQAAAAstMTg4NzcwNDk5MwMAAAADMTYwAgAAAAU0MTU3MQQAAAABMAcAAAAJNi8xNC8yMDI2CAAAAAkzLzMxLzIwMjQJAAAAATBMgwTa/sneCCfyvdv+yd4INUNJUS5OWVNFOkJBSC5JUV9DSEFOR0VfSU5DX1RBWC45OTguMTQvMDYvMjAyNi4uLlVTRC5IAQAAAOlxAgACAAAAAy0xMQEIAAAABQAAAAExAQAAAAstMTg4NzcwNDk5MwMAAAADMTYwAgAAAAQyMTAxBAAAAAEwBwAAAAk2LzE0LzIwMjYIAAAACTMvMzEvMjAyNAkAAAABMCTmftn+yd4IBEHg2/7J3gg8Q0lRLk5ZU0U6QkFILklRX0NIQU5HRV9UUkFESU5HX0FTU0VUUy45OTguMTQvMDYvMjAyNi4uLlVTRC5IAQAAAOlxAgADAAAAAAAk5n7Z/sneCGDZ3dv+yd4INUNJUS5OWVNFOkJBSC5JUV9TVE9DS19CQVNFRF9DRi45OTguMTQvMDYvMjAyNi4uLlVTRC5IAQAAAOlxAgACAAAAAjk1AQgAAAAFAAAAATEBAAAACy0xODg3NzA0OTkzAwAAAAMxNjACAAAABDIxMjcEAAAAATAHAAAACTYvMTQvMjAyNggAAAAJMy8zMS8yMDI0CQAAAAEwfB9+2f7J3ghg2d3b/sneCCxDSVEuTllTRTpCQUguSVFfREFfQ0YuOTk4LjE0LzA2LzIwMjYuLi5VU0QuSAEAAADpcQIAAgAAAAMxNjQBCAAAAAUAAAABMQEAAAALLTE4ODc3MDQ5OTMDAAAAAzE2MAIAAAAEMjE2MAQAAAABMAcAAAAJNi8xNC8yMDI2CAAAAAkzLzMxLzIwMjQJAAAAATA85HzZ/sneCKx43Nv+yd4I</t>
  </si>
  <si>
    <t>OENJUS5OWVNFOkJBSC5JUV9HV19JTlRBTl9BTU9SVF9DRi45OTguMTQvMDYvMjAyNi4uLlVTRC5IAQAAAOlxAgACAAAAAjkzAQgAAAAFAAAAATEBAAAACy0xODg3NzA0OTkzAwAAAAMxNjACAAAABDIxODIEAAAAATAHAAAACTYvMTQvMjAyNggAAAAJMy8zMS8yMDI0CQAAAAEwPOR82f7J3giseNzb/sneCDdDSVEuTllTRTpCQUguSVFfUkVTVFJfU1RPQ0tfQ09NUC45OTguMTQvMDYvMjAyNi4uLlVTRC5IAQAAAOlxAgADAAAAAAA85HzZ/sneCHT82Nv+yd4ILkNJUS5OWVNFOkJBSC5JUV9OSV9OT1JNLjk5OC4xNC8wNi8yMDI2Li4uVVNELkgBAAAA6XECAAIAAAAHNTUwLjYyNQEIAAAABQAAAAExAQAAAAstMTg4NzcwNDk5MwMAAAADMTYwAgAAAAQ0Mzc4BAAAAAEwBwAAAAk2LzE0LzIwMjYIAAAACTMvMzEvMjAyNAkAAAABMNKjttn+yd4IlDbN2/7J3ghAQ0lRLk5ZU0U6QkFILklRX0VBUk5JTkdfUEFSRU5UX0VYQ0xfRVhUUkEuOTk4LjE0LzA2LzIwMjYuLi5VU0QuSAEAAADpcQIAAgAAAAM2MDYBCAAAAAUAAAABMQEAAAALLTE4ODc3MDQ5OTMDAAAAAzE2MAIAAAAFNDE1OTYEAAAAATAHAAAACTYvMTQvMjAyNggAAAAJMy8zMS8yMDI0CQAAAAEw0qO22f7J3giX+8jb/sneCDVDSVEuTllTRTpCQUguSVFfTFRfREVCVF9JU1NVRUQuOTk4LjE0LzA2LzIwMjYuLi5VU0QuSAEAAADpcQIAAgAAAAQxMTM2AQgA</t>
  </si>
  <si>
    <t>AAAFAAAAATEBAAAACy0xODg3NzA0OTkzAwAAAAMxNjACAAAABDIwMzQEAAAAATAHAAAACTYvMTQvMjAyNggAAAAJMy8zMS8yMDI0CQAAAAEww5x/2f7J3giPseLb/sneCDtDSVEuTllTRTpCQUguSVFfTUlOT1JJVFlfSU5URVJFU1RfQ0YuOTk4LjE0LzA2LzIwMjYuLi5VU0QuSAEAAADpcQIAAwAAAAAAPOR82f7J3giseNzb/sneCD5DSVEuTllTRTpCQUguSVFfUkVTVFJfU1RPQ0tfQ09NUF9QUkVUQVguOTk4LjE0LzA2LzIwMjYuLi5VU0QuSAEAAADpcQIAAwAAAAAAPOR82f7J3gh0/Njb/sneCDVDSVEuTllTRTpCQUguSVFfU1RPQ0tfQkFTRURfUkQuOTk4LjE0LzA2LzIwMjYuLi5VU0QuSAEAAADpcQIAAwAAAAAA0qO22f7J3gjxEdjb/sneCD1DSVEuTllTRTpCQUguSVFfQVNTRVRfV1JJVEVET1dOX1NVUFBMRS45OTguMTQvMDYvMjAyNi4uLlVTRC5IAQAAAOlxAgADAAAAAADSo7bZ/sneCHhX1dv+yd4IPENJUS5OWVNFOkJBSC5JUV9ORVRfUkVOVEFMX0VYUF9TVVBQTEUuOTk4LjE0LzA2LzIwMjYuLi5VU0QuSAEAAADpcQIAAwAAAAAA0qO22f7J3gjISdDb/sneCDdDSVEuTllTRTpCQUguSVFfQ0hBTkdFX0lOVkVOVE9SWS45OTguMTQvMDYvMjAyNi4uLlVTRC5IAQAAAOlxAgADAAAAAAAk5n7Z/sneCARB4Nv+yd4IPkNJUS5OWVNFOkJBSC5JUV9FWFBMT1JFX0RSSUxMX0VYUF9UT1RBTC45OTguMTQv</t>
  </si>
  <si>
    <t>MDYvMjAyNi4uLlVTRC5IAQAAAOlxAgADAAAAAADSo7bZ/sneCIjr0tv+yd4IMENJUS5OWVNFOkJBSC5JUV9EQV9FQklUREEuOTk4LjE0LzA2LzIwMjYuLi5VU0QuSAEAAADpcQIAAgAAAAMxNjQBCAAAAAUAAAABMQEAAAALLTE4ODc3MDQ5OTMDAAAAAzE2MAIAAAAEMjIwNgQAAAABMAcAAAAJNi8xNC8yMDI2CAAAAAkzLzMxLzIwMjQJAAAAATDSo7bZ/sneCEXUzdv+yd4IOUNJUS5OWVNFOkJBSC5JUV9DVVJSX0ZPUkVJR05fVEFYRVMuOTk4LjE0LzA2LzIwMjYuLi5VU0QuSAEAAADpcQIAAgAAAAEzAQgAAAAFAAAAATEBAAAACy0xODg3NzA0OTkzAwAAAAMxNjACAAAABDMwMzAEAAAAATAHAAAACTYvMTQvMjAyNggAAAAJMy8zMS8yMDI0CQAAAAEw0qO22f7J3gg/asvb/sneCDNDSVEuTllTRTpCQUguSVFfRUJJVERBX0NBUEVYLjk5OC4xNC8wNi8yMDI2Li4uVVNELkgBAAAA6XECAAIAAAAEMTEyMgEIAAAABQAAAAExAQAAAAstMTg4NzcwNDk5MwMAAAADMTYwAgAAAAUzNTM3OQQAAAABMAcAAAAJNi8xNC8yMDI2CAAAAAkzLzMxLzIwMjQJAAAAATDSo7bZ/sneCLmIxtv+yd4INUNJUS5OWVNFOkJBSC5JUV9FQklUREFSX0VRX0lOQy45OTguMTQvMDYvMjAyNi4uLlVTRC5IAQAAAOlxAgACAAAABDEzNDUBCAAAAAUAAAABMQEAAAALLTE4ODc3MDQ5OTMDAAAAAzE2MAIAAAAFMjQxMjkEAAAAATAHAAAACTYv</t>
  </si>
  <si>
    <t>MTQvMjAyNggAAAAJMy8zMS8yMDI0CQAAAAEw0qO22f7J3gi5iMbb/sneCDZDSVEuTllTRTpCQUguSVFfRUJJVERBX0VYQ0xfU0JDLjk5OC4xNC8wNi8yMDI2Li4uVVNELkgBAAAA6XECAAIAAAAEMTI4NAEIAAAABQAAAAExAQAAAAstMTg4NzcwNDk5MwMAAAADMTYwAgAAAAUyNDEzNQQAAAABMAcAAAAJNi8xNC8yMDI2CAAAAAkzLzMxLzIwMjQJAAAAATBMgwTa/sneCA8vxNv+yd4IS0NJUS5OWVNFOkJBSC5JUV9ESVNUUklCVVRBQkxFX0NBU0hfUEVSX1NIQVJFX0RJTFVURUQuOTk4LjE0LzA2LzIwMjYuLi5VU0QuSAEAAADpcQIAAwAAAAAATIME2v7J3gjYqcHb/sneCDVDSVEuTllTRTpCQUguSVFfU1RPQ0tfQkFTRURfQVQuOTk4LjE0LzA2LzIwMjYuLi5VU0QuSAEAAADpcQIAAwAAAAAAPOR82f7J3gh0/Njb/sneCD5DSVEuTllTRTpCQUguSVFfR0FJTl9CQVJHQUlOX0FDUV9TVVBQTEUuOTk4LjE0LzA2LzIwMjYuLi5VU0QuSAEAAADpcQIAAwAAAAAA0qO22f7J3gjA7NXb/sneCDFDSVEuTllTRTpCQUguSVFfQ0FTSF9GSU5BTi45OTguMTQvMDYvMjAyNi4uLlVTRC5IAQAAAOlxAgACAAAAAy0xOQEIAAAABQAAAAExAQAAAAstMTg4NzcwNDk5MwMAAAADMTYwAgAAAAQyMDA0BAAAAAEwBwAAAAk2LzE0LzIwMjYIAAAACTMvMzEvMjAyNAkAAAABMMOcf9n+yd4IBYvn2/7J3ggvQ0lRLk5ZU0U6QkFILklR</t>
  </si>
  <si>
    <t>X0xPQU5TX0NGLjk5OC4xNC8wNi8yMDI2Li4uVVNELkgBAAAA6XECAAMAAAAAAHwfftn+yd4IYNnd2/7J3gg7Q0lRLk5ZU0U6QkFILklRX05FR0FUSVZFX0dXX0FNT1JUX0FULjk5OC4xNC8wNi8yMDI2Li4uVVNELkgBAAAA6XECAAMAAAAAANKjttn+yd4Iz5zX2/7J3gg4Q0lRLk5ZU0U6QkFILklRX05FVF9SRU5UQUxfRVhQX0ZOLjk5OC4xNC8wNi8yMDI2Li4uVVNELkgBAAAA6XECAAIAAAACNzgBCAAAAAUAAAABMQEAAAALLTE4ODc3MDQ5OTMDAAAAAzE2MAIAAAAEMzE3MAQAAAABMAcAAAAJNi8xNC8yMDI2CAAAAAkzLzMxLzIwMjQJAAAAATDSo7bZ/sneCMhJ0Nv+yd4IMUNJUS5OWVNFOkJBSC5JUV9DT01NT05fRElWLjk5OC4xNC8wNi8yMDI2Li4uVVNELkgBAAAA6XECAAIAAAADMjUzANKjttn+yd4IRdTN2/7J3ggvQ0lRLk5ZU0U6QkFILklRX0RJTFVUX05JLjk5OC4xNC8wNi8yMDI2Li4uVVNELkgBAAAA6XECAAIAAAAKNjAwLjQ0NDk5NQEIAAAABQAAAAExAQAAAAstMTg4NzcwNDk5MwMAAAADMTYwAgAAAAQzNTIyBAAAAAEwBwAAAAk2LzE0LzIwMjYIAAAACTMvMzEvMjAyNAkAAAABMNKjttn+yd4IRdTN2/7J3gg7Q0lRLk5ZU0U6QkFILklRX0RFRkVSUkVEX1RBWEVTX1RPVEFMLjk5OC4xNC8wNi8yMDI2Li4uVVNELkgBAAAA6XECAAIAAAAELTEwMQEIAAAABQAAAAExAQAAAAstMTg4NzcwNDk5</t>
  </si>
  <si>
    <t>MwMAAAADMTYwAgAAAAUzNTM4NQQAAAABMAcAAAAJNi8xNC8yMDI2CAAAAAkzLzMxLzIwMjQJAAAAATDSo7bZ/sneCD9qy9v+yd4IOUNJUS5OWVNFOkJBSC5JUV9BU19SRVBPUlRFRF9FQklUREEuOTk4LjE0LzA2LzIwMjYuLi5VU0QuSAEAAADpcQIAAgAAAAQxMTc1ANKjttn+yd4Il/vI2/7J3gg0Q0lRLk5ZU0U6QkFILklRX0VCSVRfRVhDTF9TQkMuOTk4LjE0LzA2LzIwMjYuLi5VU0QuSAEAAADpcQIAAgAAAAQxMTIwAQgAAAAFAAAAATEBAAAACy0xODg3NzA0OTkzAwAAAAMxNjACAAAABTI0MTM0BAAAAAEwBwAAAAk2LzE0LzIwMjYIAAAACTMvMzEvMjAyNAkAAAABMLENBdr+yd4IuYjG2/7J3gg4Q0lRLk5ZU0U6QkFILklRX1NQRUNJQUxfRElWX1NIQVJFLjk5OC4xNC8wNi8yMDI2Li4uVVNELkgBAAAA6XECAAMAAAAAAEyDBNr+yd4IDy/E2/7J3gg0Q0lRLk5ZU0U6QkFILklRX05JX0FWQUlMX0VYQ0wuOTk4LjE0LzA2LzIwMjYuLi5VU0QuSAEAAADpcQIAAgAAAAM2MDEBCAAAAAUAAAABMQEAAAALLTE4ODc3MDQ5OTMDAAAAAzE2MAIAAAADMzc5BAAAAAEwBwAAAAk2LzE0LzIwMjYIAAAACTMvMzEvMjAyNAkAAAABMEyDBNr+yd4I2KnB2/7J3gg5Q0lRLk5ZU0U6QkFILklRX0NPTU1PTl9QUkVGX0RJVl9DRi45OTguMTQvMDYvMjAyNi4uLlVTRC5IAQAAAOlxAgADAAAAAADDnH/Z/sneCO335dv+yd4I</t>
  </si>
  <si>
    <t>OkNJUS5OWVNFOkJBSC5JUV9TQUxFX1JFQUxfRVNUQVRFX0NGLjk5OC4xNC8wNi8yMDI2Li4uVVNELkgBAAAA6XECAAMAAAAAACTmftn+yd4Ij7Hi2/7J3ghDQ0lRLk5ZU0U6QkFILklRX0NIQU5HRV9PVEhFUl9ORVRfT1BFUl9BU1NFVFMuOTk4LjE0LzA2LzIwMjYuLi5VU0QuSAEAAADpcQIAAgAAAAMtMTEBCAAAAAUAAAABMQEAAAALLTE4ODc3MDQ5OTMDAAAAAzE2MAIAAAAEMjA0NQQAAAABMAcAAAAJNi8xNC8yMDI2CAAAAAkzLzMxLzIwMjQJAAAAATAk5n7Z/sneCARB4Nv+yd4IQENJUS5OWVNFOkJBSC5JUV9TVE9DS19CQVNFRF9FWFBMT1JFX0RSSUxMLjk5OC4xNC8wNi8yMDI2Li4uVVNELkgBAAAA6XECAAMAAAAAADzkfNn+yd4IdPzY2/7J3ggyQ0lRLk5ZU0U6QkFILklRX0lQUkRfU1VQUExFLjk5OC4xNC8wNi8yMDI2Li4uVVNELkgBAAAA6XECAAMAAAAAANKjttn+yd4Iu63V2/7J3gg0Q0lRLk5ZU0U6QkFILklRX0FJUkNSQUZUX1JFTlQuOTk4LjE0LzA2LzIwMjYuLi5VU0QuSAEAAADpcQIAAwAAAAAA0qO22f7J3ghlsNLb/sneCDJDSVEuTllTRTpCQUguSVFfREFfU1VQUExfQ0YuOTk4LjE0LzA2LzIwMjYuLi5VU0QuSAEAAADpcQIAAgAAAAI3MQEIAAAABQAAAAExAQAAAAstMTg4NzcwNDk5MwMAAAADMTYwAgAAAAQyMTcxBAAAAAEwBwAAAAk2LzE0LzIwMjYIAAAACTMvMzEvMjAyNAkAAAAB</t>
  </si>
  <si>
    <t>MDzkfNn+yd4IrHjc2/7J3gg3Q0lRLk5ZU0U6QkFILklRX1NUT0NLX0JBU0VEX0NPTVAuOTk4LjE0LzA2LzIwMjYuLi5VU0QuSAEAAADpcQIAAgAAAAI2NAA85HzZ/sneCN9y29v+yd4IN0NJUS5OWVNFOkJBSC5JUV9JTlRfRVhQX0lOQ0xfQ0FQLjk5OC4xNC8wNi8yMDI2Li4uVVNELkgBAAAA6XECAAIAAAADMTQ3AQgAAAAFAAAAATEBAAAACy0xODg3NzA0OTkzAwAAAAMxNjACAAAABTIxODYxBAAAAAEwBwAAAAk2LzE0LzIwMjYIAAAACTMvMzEvMjAyNAkAAAABMNKjttn+yd4IRdTN2/7J3gg+Q0lRLk5ZU0U6QkFILklRX0VYQ0lTRV9UQVhFU19JTkNMX1NBTEVTLjk5OC4xNC8wNi8yMDI2Li4uVVNELkgBAAAA6XECAAMAAAAAANKjttn+yd4Il/vI2/7J3gg+Q0lRLk5ZU0U6QkFILklRX0VCSVREQVJfRVFfSU5DX0VYQ0xfU0JDLjk5OC4xNC8wNi8yMDI2Li4uVVNELkgBAAAA6XECAAIAAAAEMTM2MgEIAAAABQAAAAExAQAAAAstMTg4NzcwNDk5MwMAAAADMTYwAgAAAAUyNDEzMwQAAAABMAcAAAAJNi8xNC8yMDI2CAAAAAkzLzMxLzIwMjQJAAAAATDSo7bZ/sneCLmIxtv+yd4IPENJUS5OWVNFOkJBSC5JUV9FQklUREFfTEVBU0VfQURKVVNURUQuOTk4LjE0LzA2LzIwMjYuLi5VU0QuSAEAAADpcQIAAgAAAAQxMjY3AQgAAAAFAAAAATEBAAAACy0xODg3NzA0OTkzAwAAAAMxNjACAAAABTQ4OTkzBAAAAAEw</t>
  </si>
  <si>
    <t>BwAAAAk2LzE0LzIwMjYIAAAACTMvMzEvMjAyNAkAAAABMEyDBNr+yd4IDy/E2/7J3gg0Q0lRLk5ZU0U6QkFILklRX0VCSVREQV9FUV9JTkMuOTk4LjE0LzA2LzIwMjYuLi5VU0QuSAEAAADpcQIAAgAAAAQxMjY3AQgAAAAFAAAAATEBAAAACy0xODg3NzA0OTkzAwAAAAMxNjACAAAABTIxNjc3BAAAAAEwBwAAAAk2LzE0LzIwMjYIAAAACTMvMzEvMjAyNAkAAAABMEyDBNr+yd4IDy/E2/7J3ggvQ0lRLk5ZU0U6QkFILklRX0VQU19OT1JNLjk5OC4xNC8wNi8yMDI2Li4uVVNELkgBAAAA6XECAAIAAAAINC4yMjM2NjkBCAAAAAUAAAABMQEAAAALLTE4ODc3MDQ5OTMDAAAAAzE2MAIAAAAENDM3OQQAAAABMAcAAAAJNi8xNC8yMDI2CAAAAAkzLzMxLzIwMjQJAAAAATBMgwTa/sneCNipwdv+yd4INkNJUS5OWVNFOkJBSC5JUV9FWFRSQV9BQ0NfSVRFTVMuOTk4LjE0LzA2LzIwMjYuLi5VU0QuSAEAAADpcQIAAwAAAAAATIME2v7J3ggn8r3b/sneCD5DSVEuTllTRTpCQUguSVFfU1RPQ0tfQkFTRURfQ09NUF9QUkVUQVguOTk4LjE0LzA2LzIwMjYuLi5VU0QuSAEAAADpcQIAAgAAAAI5NQA85HzZ/sneCHT82Nv+yd4IM0NJUS5OWVNFOkJBSC5JUV9NQUlOVF9SRVBBSVIuOTk4LjE0LzA2LzIwMjYuLi5VU0QuSAEAAADpcQIAAwAAAAAA0qO22f7J3giI69Lb/sneCDVDSVEuTllTRTpCQUguSVFfU1RfREVCVF9SRVBB</t>
  </si>
  <si>
    <t>SUQuOTk4LjE0LzA2LzIwMjYuLi5VU0QuSAEAAADpcQIAAwAAAAAAw5x/2f7J3giPseLb/sneCDJDSVEuTllTRTpCQUguSVFfT1RIRVJfQU1PUlQuOTk4LjE0LzA2LzIwMjYuLi5VU0QuSAEAAADpcQIAAwAAAAAAPOR82f7J3giseNzb/sneCDtDSVEuTllTRTpCQUguSVFfSU1QQUlSTUVOVF9HV19TVVBQTEUuOTk4LjE0LzA2LzIwMjYuLi5VU0QuSAEAAADpcQIAAwAAAAAA0qO22f7J3giwI9Xb/sneCC1DSVEuTllTRTpCQUguSVFfR0FfRVhQLjk5OC4xNC8wNi8yMDI2Li4uVVNELkgBAAAA6XECAAIAAAAEMTE3NgEIAAAABQAAAAExAQAAAAstMTg4NzcwNDk5MwMAAAADMTYwAgAAAAUyMTU2MgQAAAABMAcAAAAJNi8xNC8yMDI2CAAAAAkzLzMxLzIwMjQJAAAAATDSo7bZ/sneCMhJ0Nv+yd4IPUNJUS5OWVNFOkJBSC5JUV9BTk5VX0RJU1RSSUJVVElPTl9VTklULjk5OC4xNC8wNi8yMDI2Li4uVVNELkgBAAAA6XECAAMAAAAAANKjttn+yd4IRdTN2/7J3ghAQ0lRLk5ZU0U6QkFILklRX05PTlJFQ1VSUklOR19JTkNPTUVfVEFYRVMuOTk4LjE0LzA2LzIwMjYuLi5VU0QuSAEAAADpcQIAAwAAAAAA0qO22f7J3giUNs3b/sneCElDSVEuTllTRTpCQUguSVFfUFJPVl9CQURfREVCVFNfUEFUSUVOVF9TRVJWSUNFX1JFVi45OTguMTQvMDYvMjAyNi4uLlVTRC5IAQAAAOlxAgADAAAAAADSo7bZ/sneCJf7yNv+yd4I</t>
  </si>
  <si>
    <t>NUNJUS5OWVNFOkJBSC5JUV9TVF9ERUJUX0lTU1VFRC45OTguMTQvMDYvMjAyNi4uLlVTRC5IAQAAAOlxAgADAAAAAADDnH/Z/sneCI+x4tv+yd4IMENJUS5OWVNFOkJBSC5JUV9ESVZFU1RfQ0YuOTk4LjE0LzA2LzIwMjYuLi5VU0QuSAEAAADpcQIAAwAAAAAAJOZ+2f7J3giPseLb/sneCDhDSVEuTllTRTpCQUguSVFfU1RPQ0tfQkFTRURfVE9UQUwuOTk4LjE0LzA2LzIwMjYuLi5VU0QuSAEAAADpcQIAAgAAAAI5NQEIAAAABQAAAAExAQAAAAstMTg4NzcwNDk5MwMAAAADMTYwAgAAAAUyNDAzNAQAAAABMAcAAAAJNi8xNC8yMDI2CAAAAAkzLzMxLzIwMjQJAAAAATA85HzZ/sneCHT82Nv+yd4IOkNJUS5OWVNFOkJBSC5JUV9MRUdBTF9TRVRUTEVfU1VQUExFLjk5OC4xNC8wNi8yMDI2Li4uVVNELkgBAAAA6XECAAMAAAAAANKjttn+yd4IwOzV2/7J3ggxQ0lRLk5ZU0U6QkFILklRX0NPTU1PTl9SRVAuOTk4LjE0LzA2LzIwMjYuLi5VU0QuSAEAAADpcQIAAgAAAAQtNDA0AQgAAAAFAAAAATEBAAAACy0xODg3NzA0OTkzAwAAAAMxNjACAAAABDIxNjQEAAAAATAHAAAACTYvMTQvMjAyNggAAAAJMy8zMS8yMDI0CQAAAAEww5x/2f7J3gjC4OXb/sneCDlDSVEuTllTRTpCQUguSVFfSU5WRVNUX1NFQ1VSSVRZX0NGLjk5OC4xNC8wNi8yMDI2Li4uVVNELkgBAAAA6XECAAIAAAADLTI0AQgAAAAFAAAAATEBAAAA</t>
  </si>
  <si>
    <t>Cy0xODg3NzA0OTkzAwAAAAMxNjACAAAABDIwMjcEAAAAATAHAAAACTYvMTQvMjAyNggAAAAJMy8zMS8yMDI0CQAAAAEwJOZ+2f7J3giPseLb/sneCEFDSVEuTllTRTpCQUguSVFfREVQUkVDSUFUSU9OX1JFTlRBTF9BU1NFVFMuOTk4LjE0LzA2LzIwMjYuLi5VU0QuSAEAAADpcQIAAwAAAAAA0qO22f7J3giI69Lb/sneCDpDSVEuTllTRTpCQUguSVFfTk9OQ0FTSF9QRU5TSU9OX0VYUC45OTguMTQvMDYvMjAyNi4uLlVTRC5IAQAAAOlxAgADAAAAAADSo7bZ/sneCEXUzdv+yd4IMkNJUS5OWVNFOkJBSC5JUV9JTlRfRVhQX0xURC45OTguMTQvMDYvMjAyNi4uLlVTRC5IAQAAAOlxAgACAAAAAzE4NwEIAAAABQAAAAExAQAAAAstMTg4NzcwNDk5MwMAAAADMTYwAgAAAAQzMTAxBAAAAAEwBwAAAAk2LzE0LzIwMjYIAAAACTMvMzEvMjAyNAkAAAABMNKjttn+yd4IRdTN2/7J3gg2Q0lRLk5ZU0U6QkFILklRX1RPVEFMX1JFVl9TSEFSRS45OTguMTQvMDYvMjAyNi4uLlVTRC5IAQAAAOlxAgACAAAACTgxLjc4NDgxMwEIAAAABQAAAAExAQAAAAstMTg4NzcwNDk5MwMAAAADMTYwAgAAAAQ0MzgyBAAAAAEwBwAAAAk2LzE0LzIwMjYIAAAACTMvMzEvMjAyNAkAAAABMEyDBNr+yd4I2KnB2/7J3gg8Q0lRLk5ZU0U6QkFILklRX0lNUFVUX09QRVJfTEVBU0VfREVQUi45OTguMTQvMDYvMjAyNi4uLlVTRC5IAQAAAOlx</t>
  </si>
  <si>
    <t>AgACAAAACTUwLjYxODI1NgEIAAAABQAAAAExAQAAAAstMTg4NzcwNDk5MwMAAAADMTYwAgAAAAUyMTY3MwQAAAABMAcAAAAJNi8xNC8yMDI2CAAAAAkzLzMxLzIwMjQJAAAAATDSo7bZ/sneCIjr0tv+yd4INUNJUS5OWVNFOkJBSC5JUV9ESUxVVF9FUFNfRVhDTC45OTguMTQvMDYvMjAyNi4uLlVTRC5IAQAAAOlxAgACAAAABDQuNTkBCAAAAAUAAAABMQEAAAALLTE4ODc3MDQ5OTMDAAAAAzE2MAIAAAADMTQyBAAAAAEwBwAAAAk2LzE0LzIwMjYIAAAACTMvMzEvMjAyNAkAAAABMEyDBNr+yd4I2KnB2/7J3gg7Q0lRLk5ZU0U6QkFILklRX01JTk9SSVRZX0lOVEVSRVNUX0lTLjk5OC4xNC8wNi8yMDI2Li4uVVNELkgBAAAA6XECAAMAAAAAAEyDBNr+yd4IJ/K92/7J3ggsQ0lRLk5ZU0U6QkFILklRX05JX0NGLjk5OC4xNC8wNi8yMDI2Li4uVVNELkgBAAAA6XECAAIAAAADNjA2AQgAAAAFAAAAATEBAAAACy0xODg3NzA0OTkzAwAAAAMxNjACAAAABDIxNTAEAAAAATAHAAAACTYvMTQvMjAyNggAAAAJMy8zMS8yMDI0CQAAAAEwPOR82f7J3gjfctvb/sneCEhDSVEuTllTRTpCQUguSVFfSU5URVJFU1RfRVhQX0xFQVNFX0xJQUJJTElUWV9ERUJULjk5OC4xNC8wNi8yMDI2Li4uVVNELkgBAAAA6XECAAMAAAAAANKjttn+yd4IRdTN2/7J3ggzQ0lRLk5ZU0U6QkFILklRX0VCSVRBX0VRX0lOQy45OTguMTQvMDYv</t>
  </si>
  <si>
    <t>MjAyNi4uLlVTRC5IAQAAAOlxAgACAAAABDExMTgBCAAAAAUAAAABMQEAAAALLTE4ODc3MDQ5OTMDAAAAAzE2MAIAAAAFMjE2NzYEAAAAATAHAAAACTYvMTQvMjAyNggAAAAJMy8zMS8yMDI0CQAAAAEw0qO22f7J3gi5iMbb/sneCDpDSVEuTllTRTpCQUguSVFfT1RIRVJfVU5VU1VBTF9TVVBQTC45OTguMTQvMDYvMjAyNi4uLlVTRC5IAQAAAOlxAgADAAAAAABMgwTa/sneCN/NvNv+yd4IO0NJUS5OWVNFOkJBSC5JUV9TVE9DS19CQVNFRF9DT01QX1RBWC45OTguMTQvMDYvMjAyNi4uLlVTRC5IAQAAAOlxAgACAAAAAy0zMQA85HzZ/sneCN9y29v+yd4INUNJUS5OWVNFOkJBSC5JUV9CQVNJQ19FUFNfSU5DTC45OTguMTQvMDYvMjAyNi4uLlVTRC5IAQAAAOlxAgACAAAABzQuNjEwMDgBCAAAAAUAAAABMQEAAAALLTE4ODc3MDQ5OTMDAAAAAzE2MAIAAAABOQQAAAABMAcAAAAJNi8xNC8yMDI2CAAAAAkzLzMxLzIwMjQJAAAAATBMgwTa/sneCNipwdv+yd4IO0NJUS5OWVNFOkJBSC5JUV9PVEhFUl9VTlVTVUFMX1NVUFBMRS45OTguMTQvMDYvMjAyNi4uLlVTRC5IAQAAAOlxAgADAAAAAADSo7bZ/sneCMDs1dv+yd4IMkNJUS5OWVNFOkJBSC5JUV9FQklUX0VRX0lOQy45OTguMTQvMDYvMjAyNi4uLlVTRC5IAQAAAOlxAgACAAAABDEwMjUBCAAAAAUAAAABMQEAAAALLTE4ODc3MDQ5OTMDAAAAAzE2MAIAAAAF</t>
  </si>
  <si>
    <t>MjE2NzUEAAAAATAHAAAACTYvMTQvMjAyNggAAAAJMy8zMS8yMDI0CQAAAAEwsQ0F2v7J3ggPL8Tb/sneCClDSVEuTllTRTpCQUguSVFfRE8uOTk4LjE0LzA2LzIwMjYuLi5VU0QuSAEAAADpcQIAAwAAAAAATIME2v7J3gjfzbzb/sneCC5DSVEuTllTRTpCQUguSVFfTklfU0ZBUy45OTguMTQvMDYvMjAyNi4uLlVTRC5IAQAAAOlxAgADAAAAAADSo7bZ/sneCJf7yNv+yd4IMUNJUS5OWVNFOkJBSC5JUV9DVVJSX1RBWEVTLjk5OC4xNC8wNi8yMDI2Li4uVVNELkgBAAAA6XECAAIAAAADMzQ5AQgAAAAFAAAAATEBAAAACy0xODg3NzA0OTkzAwAAAAMxNjACAAAABTM1MzgzBAAAAAEwBwAAAAk2LzE0LzIwMjYIAAAACTMvMzEvMjAyNAkAAAABMNKjttn+yd4IP2rL2/7J3gg4Q0lRLk5ZU0U6QkFILklRX0ZFRVNfT1RIRVJfSU5DT01FLjk5OC4xNC8wNi8yMDI2Li4uVVNELkgBAAAA6XECAAMAAAAAANKjttn+yd4Il/vI2/7J3ghAQ0lRLk5ZU0U6QkFILklRX1NUT0NLX09QVElPTlNfQ09NUF9QUkVUQVguOTk4LjE0LzA2LzIwMjYuLi5VU0QuSAEAAADpcQIAAwAAAAAAPOR82f7J3gh0/Njb/sneCC5DSVEuTllTRTpCQUguSVFfRUJJVERBUi45OTguMTQvMDYvMjAyNi4uLlVTRC5IAQAAAOlxAgACAAAABDEyNjcBCAAAAAUAAAABMQEAAAALLTE4ODc3MDQ5OTMDAAAAAzE2MAIAAAAFMjE2NzQEAAAAATAHAAAACTYv</t>
  </si>
  <si>
    <t>MTQvMjAyNggAAAAJMy8zMS8yMDI0CQAAAAEw0qO22f7J3gi5iMbb/sneCDNDSVEuTllTRTpCQUguSVFfTEVHQUxfU0VUVExFLjk5OC4xNC8wNi8yMDI2Li4uVVNELkgBAAAA6XECAAIAAAADLTI3AQgAAAAFAAAAATEBAAAACy0xODg3NzA0OTkzAwAAAAMxNjACAAAAAjc3BAAAAAEwBwAAAAk2LzE0LzIwMjYIAAAACTMvMzEvMjAyNAkAAAABMMUhBNr+yd4I38282/7J3ggzQ0lRLk5ZU0U6QkFILklRX09USEVSX1JFTlRBTC45OTguMTQvMDYvMjAyNi4uLlVTRC5IAQAAAOlxAgADAAAAAADSo7bZ/sneCGWw0tv+yd4IKkNJUS5OWVNFOkJBSC5JUV9ESUMuOTk4LjE0LzA2LzIwMjYuLi5VU0QuSAEAAADpcQIAAwAAAAAA0qO22f7J3gjISdDb/sneCCtDSVEuTllTRTpCQUguSVFfRUJJVC45OTguMTQvMDYvMjAyNi4uLlVTRC5IAQAAAOlxAgACAAAABDEwMjUBCAAAAAUAAAABMQEAAAALLTE4ODc3MDQ5OTMDAAAAAzE2MAIAAAADNDAwBAAAAAEwBwAAAAk2LzE0LzIwMjYIAAAACTMvMzEvMjAyNAkAAAABMLENBdr+yd4IDy/E2/7J3ggtQ0lRLk5ZU0U6QkFILklRX0VCSVREQS45OTguMTQvMDYvMjAyNi4uLlVTRC5IAQAAAOlxAgACAAAABDExODkBCAAAAAUAAAABMQEAAAALLTE4ODc3MDQ5OTMDAAAAAzE2MAIAAAAENDA1MQQAAAABMAcAAAAJNi8xNC8yMDI2CAAAAAkzLzMxLzIwMjQJAAAAATBMgwTa/sneCA8v</t>
  </si>
  <si>
    <t>xNv+yd4IOUNJUS5OWVNFOkJBSC5JUV9ESVNUUklCVVRBQkxFX0NBU0guOTk4LjE0LzA2LzIwMjYuLi5VU0QuSAEAAADpcQIAAwAAAAAA0qO22f7J3ghF1M3b/sneCD5DSVEuTllTRTpCQUguSVFfRVhDSVNFX1RBWEVTX0VYQ0xfU0FMRVMuOTk4LjE0LzA2LzIwMjYuLi5VU0QuSAEAAADpcQIAAwAAAAAA0qO22f7J3giX+8jb/sneCDBDSVEuTllTRTpCQUguSVFfRElWX1NIQVJFLjk5OC4xNC8wNi8yMDI2Li4uVVNELkgBAAAA6XECAAIAAAAEMS45MgEIAAAABQAAAAExAQAAAAstMTg4NzcwNDk5MwMAAAADMTYwAgAAAAQzMDU4BAAAAAEwBwAAAAk2LzE0LzIwMjYIAAAACTMvMzEvMjAyNAkAAAABMEyDBNr+yd4I2KnB2/7J3ggxQ0lRLk5ZU0U6QkFILklRX0VBUk5JTkdfQ08uOTk4LjE0LzA2LzIwMjYuLi5VU0QuSAEAAADpcQIAAgAAAAM2MDYBCAAAAAUAAAABMQEAAAALLTE4ODc3MDQ5OTMDAAAAAzE2MAIAAAABNwQAAAABMAcAAAAJNi8xNC8yMDI2CAAAAAkzLzMxLzIwMjQJAAAAATBMgwTa/sneCN/NvNv+yd4INUNJUS5OWVNFOkJBSC5JUV9CQVNJQ19FUFNfRVhDTC45OTguMTQvMDYvMjAyNi4uLlVTRC5IAQAAAOlxAgACAAAABzQuNjEwMDgBCAAAAAUAAAABMQEAAAALLTE4ODc3MDQ5OTMDAAAAAzE2MAIAAAAEMzA2NAQAAAABMAcAAAAJNi8xNC8yMDI2CAAAAAkzLzMxLzIwMjQJAAAAATBMgwTa/sne</t>
  </si>
  <si>
    <t>CNipwdv+yd4IKUNJUS5OWVNFOkJBSC5JUV9OSS45OTguMTQvMDYvMjAyNi4uLlVTRC5IAQAAAOlxAgACAAAAAzYwNgEIAAAABQAAAAExAQAAAAstMTg4NzcwNDk5MwMAAAADMTYwAgAAAAIxNQQAAAABMAcAAAAJNi8xNC8yMDI2CAAAAAkzLzMxLzIwMjQJAAAAATBMgwTa/sneCCfyvdv+yd4IKkNJUS5OWVNFOkJBSC5JUV9FQlQuOTk4LjE0LzA2LzIwMjYuLi5VU0QuSAEAAADpcQIAAgAAAAM4NTQBCAAAAAUAAAABMQEAAAALLTE4ODc3MDQ5OTMDAAAAAzE2MAIAAAADMTM5BAAAAAEwBwAAAAk2LzE0LzIwMjYIAAAACTMvMzEvMjAyNAkAAAABMEyDBNr+yd4I38282/7J3gg1Q0lRLk5ZU0U6QkFILklRX1NUT0NLX0JBU0VEX1NNLjk5OC4xNC8wNi8yMDI2Li4uVVNELkgBAAAA6XECAAMAAAAAANKjttn+yd4IE2DY2/7J3gg7Q0lRLk5ZU0U6QkFILklRX0VCSVRfRVFfSU5DX0VYQ0xfU0JDLjk5OC4xNC8wNi8yMDI2Li4uVVNELkgBAAAA6XECAAIAAAAEMTEyMAEIAAAABQAAAAExAQAAAAstMTg4NzcwNDk5MwMAAAADMTYwAgAAAAUyNDEzMAQAAAABMAcAAAAJNi8xNC8yMDI2CAAAAAkzLzMxLzIwMjQJAAAAATCxDQXa/sneCLmIxtv+yd4ISENJUS5OWVNFOkJBSC5JUV9FQklUREFfRVFfSU5DX0VYQ0xfT1BFUl9MRUFTRV9BREouOTk4LjE0LzA2LzIwMjYuLi5VU0QuSAEAAADpcQIAAgAAAAQxMTg5AQgAAAAF</t>
  </si>
  <si>
    <t>AAAAATEBAAAACy0xODg3NzA0OTkzAwAAAAMxNjACAAAABTQ4OTg3BAAAAAEwBwAAAAk2LzE0LzIwMjYIAAAACTMvMzEvMjAyNAkAAAABMLENBdr+yd4IDy/E2/7J3gg/Q0lRLk5ZU0U6QkFILklRX0RJU1RSSUJVVEFCTEVfQ0FTSF9TSEFSRS45OTguMTQvMDYvMjAyNi4uLlVTRC5IAQAAAOlxAgADAAAAAABMgwTa/sneCA8vxNv+yd4INUNJUS5OWVNFOkJBSC5JUV9ESUxVVF9FUFNfTk9STS45OTguMTQvMDYvMjAyNi4uLlVTRC5IAQAAAOlxAgACAAAACDQuMjA5MTU5AQgAAAAFAAAAATEBAAAACy0xODg3NzA0OTkzAwAAAAMxNjACAAAABDQzODAEAAAAATAHAAAACTYvMTQvMjAyNggAAAAJMy8zMS8yMDI0CQAAAAEwTIME2v7J3gjYqcHb/sneCDhDSVEuTllTRTpCQUguSVFfSU5WRVNUTUVOVF9JTkNPTUUuOTk4LjE0LzA2LzIwMjYuLi5VU0QuSAEAAADpcQIAAwAAAAAA0qO22f7J3giX+8jb/sneCD1DSVEuTllTRTpCQUguSVFfRUJJVERBX0VRX0lOQ19FWENMX1NCQy45OTguMTQvMDYvMjAyNi4uLlVTRC5IAQAAAOlxAgACAAAABDEyODQBCAAAAAUAAAABMQEAAAALLTE4ODc3MDQ5OTMDAAAAAzE2MAIAAAAFMjQxMzEEAAAAATAHAAAACTYvMTQvMjAyNggAAAAJMy8zMS8yMDI0CQAAAAEwTIME2v7J3ggPL8Tb/sneCDRDSVEuTllTRTpCQUguSVFfTklfQVZBSUxfSU5DTC45OTguMTQvMDYvMjAyNi4uLlVT</t>
  </si>
  <si>
    <t>RC5IAQAAAOlxAgACAAAAAzYwMQEIAAAABQAAAAExAQAAAAstMTg4NzcwNDk5MwMAAAADMTYwAgAAAAIxNgQAAAABMAcAAAAJNi8xNC8yMDI2CAAAAAkzLzMxLzIwMjQJAAAAATBMgwTa/sneCNipwdv+yd4IPENJUS5OWVNFOkJBSC5JUV9FQklUQV9FUV9JTkNfRVhDTF9TQkMuOTk4LjE0LzA2LzIwMjYuLi5VU0QuSAEAAADpcQIAAgAAAAQxMjEzAQgAAAAFAAAAATEBAAAACy0xODg3NzA0OTkzAwAAAAMxNjACAAAABTI0MTMyBAAAAAEwBwAAAAk2LzE0LzIwMjYIAAAACTMvMzEvMjAyNAkAAAABMNKjttn+yd4IuYjG2/7J3gguQ0lRLk5ZU0U6QkFILklRX0ZJTElOR19DVVJSRU5DWS45OTkuMTQvMDYvMjAyNgEAAADpcQIAAwAAAANVU0QA0qO22f7J3ggq+EDd/sneCC5DSVEuTllTRTpCQUguSVFfUEVSSU9ETEVOR1RIX0NGLjk5OS4xNC8wNi8yMDI2AQAAAOlxAgABAAAAAjEyAMOcf9n+yd4IKvhA3f7J3ggtQ0lRLk5ZU0U6QkFILklRX1JFU1RBVEVNRU5UX0lTLjk5OS4xNC8wNi8yMDI2AQAAAOlxAgADAAAAAk5DANKjttn+yd4IKvhA3f7J3ghAQ0lRLk5ZU0U6QkFILklRX0RJU1RSSUJVVEFCTEVfQ0FTSF9TSEFSRVNfRElMVVRFRC45OTkuMTQvMDYvMjAyNgEAAADpcQIAAwAAAAAATIME2v7J3ggq+EDd/sneCC5DSVEuTllTRTpCQUguSVFfRUZGRUNUX1RBWF9SQVRFLjk5OS4xNC8wNi8yMDI2AQAAAOlx</t>
  </si>
  <si>
    <t>AgACAAAABzIzLjI5NzcBCAAAAAUAAAABMQEAAAALLTE4ODc3MDUwMDEDAAAAAzE2MAIAAAAENDM3NgQAAAABMAcAAAAJNi8xNC8yMDI2CAAAAAkzLzMxLzIwMjUJAAAAATDSo7bZ/sneCCr4QN3+yd4ILENJUS5OWVNFOkJBSC5JUV9GSUxJTkdEQVRFX0lTLjk5OS4xNC8wNi8yMDI2AQAAAOlxAgAFAAAACjIyLzA1LzIwMjYATIME2v7J3ggq+EDd/sneCClDSVEuTllTRTpCQUguSVFfU0FNRV9TVE9SRS45OTkuMTQvMDYvMjAyNgEAAADpcQIAAwAAAAAA0qO22f7J3ggq+EDd/sneCCtDSVEuTllTRTpCQUguSVFfQ0FMQ19UWVBFX0lTLjk5OS4xNC8wNi8yMDI2AQAAAOlxAgADAAAAA1JFUADSo7bZ/sneCCr4QN3+yd4IJkNJUS5OWVNFOkJBSC5JUV9HQUFQX0lTLjk5OS4xNC8wNi8yMDI2AQAAAOlxAgADAAAAB1VTIEdBQVAA0qO22f7J3ggq+EDd/sneCD5DSVEuTllTRTpCQUguSVFfRElTVFJJQlVUQUJMRV9DQVNIX1NIQVJFU19CQVNJQy45OTkuMTQvMDYvMjAyNgEAAADpcQIAAwAAAAAATIME2v7J3ggq+EDd/sneCCtDSVEuTllTRTpCQUguSVFfRElMVVRfV0VJR0hULjk5OS4xNC8wNi8yMDI2AQAAAOlxAgACAAAACjEyOC4yOTA0MTcATIME2v7J3ggq+EDd/sneCC9DSVEuTllTRTpCQUguSVFfRFJfUkFUSU9fUFJJTUFSWS45OTkuMTQvMDYvMjAyNgEAAADpcQIAAwAAAAAATIME2v7J3ggq+EDd/sneCCtD</t>
  </si>
  <si>
    <t>SVEuTllTRTpCQUguSVFfQkFTSUNfV0VJR0hULjk5OS4xNC8wNi8yMDI2AQAAAOlxAgACAAAACjEyNy43NjMxNjYATIME2v7J3ggq+EDd/sneCCtDSVEuTllTRTpCQUguSVFfUEFZT1VUX1JBVElPLjk5OS4xNC8wNi8yMDI2AQAAAOlxAgACAAAABzI4LjY2MzEBCAAAAAUAAAABMQEAAAALLTE4ODc3MDUwMDEDAAAAAzE2MAIAAAAENDM3NwQAAAABMAcAAAAJNi8xNC8yMDI2CAAAAAkzLzMxLzIwMjUJAAAAATDSo7bZ/sneCCr4QN3+yd4ILkNJUS5OWVNFOkJBSC5JUV9QRVJJT0RMRU5HVEhfSVMuOTk5LjE0LzA2LzIwMjYBAAAA6XECAAEAAAACMTIATIME2v7J3ggq+EDd/sneCDhDSVEuTllTRTpCQUguSVFfRElTVFJJQlVUQUJMRV9DQVNIX1BBWU9VVC45OTkuMTQvMDYvMjAyNgEAAADpcQIAAwAAAAAA0qO22f7J3ggq+EDd/sneCDVDSVEuTllTRTpCQUguSVFfTUlTQ19BREpVU1RfQ0YuOTk5LjE0LzA2LzIwMjYuLi5VU0QuSAEAAADpcQIAAwAAAAAAw5x/2f7J3ghgQUjd/sneCDhDSVEuTllTRTpCQUguSVFfVE9UQUxfREVCVF9SRVBBSUQuOTk5LjE0LzA2LzIwMjYuLi5VU0QuSAEAAADpcQIAAgAAAAQtMjYyAQgAAAAFAAAAATEBAAAACy0xODg3NzA1MDAxAwAAAAMxNjACAAAABDIxNjYEAAAAATAHAAAACTYvMTQvMjAyNggAAAAJMy8zMS8yMDI1CQAAAAEww5x/2f7J3ghgQUjd/sneCDhDSVEuTllTRTpC</t>
  </si>
  <si>
    <t>QUguSVFfVE9UQUxfREVCVF9JU1NVRUQuOTk5LjE0LzA2LzIwMjYuLi5VU0QuSAEAAADpcQIAAgAAAAM4NDQBCAAAAAUAAAABMQEAAAALLTE4ODc3MDUwMDEDAAAAAzE2MAIAAAAEMjE2MQQAAAABMAcAAAAJNi8xNC8yMDI2CAAAAAkzLzMxLzIwMjUJAAAAATDDnH/Z/sneCGBBSN3+yd4IMENJUS5OWVNFOkJBSC5JUV9DQVNIX09QRVIuOTk5LjE0LzA2LzIwMjYuLi5VU0QuSAEAAADpcQIAAgAAAAQxMDA5AQgAAAAFAAAAATEBAAAACy0xODg3NzA1MDAxAwAAAAMxNjACAAAABDIwMDYEAAAAATAHAAAACTYvMTQvMjAyNggAAAAJMy8zMS8yMDI1CQAAAAEwJOZ+2f7J3ghgQUjd/sneCDVDSVEuTllTRTpCQUguSVFfU1RPQ0tfQkFTRURfQ0YuOTk5LjE0LzA2LzIwMjYuLi5VU0QuSAEAAADpcQIAAgAAAAI5NAEIAAAABQAAAAExAQAAAAstMTg4NzcwNTAwMQMAAAADMTYwAgAAAAQyMTI3BAAAAAEwBwAAAAk2LzE0LzIwMjYIAAAACTMvMzEvMjAyNQkAAAABMHwfftn+yd4IYEFI3f7J3ggsQ0lRLk5ZU0U6QkFILklRX05JX0NGLjk5OS4xNC8wNi8yMDI2Li4uVVNELkgBAAAA6XECAAIAAAADOTM1AQgAAAAFAAAAATEBAAAACy0xODg3NzA1MDAxAwAAAAMxNjACAAAABDIxNTAEAAAAATAHAAAACTYvMTQvMjAyNggAAAAJMy8zMS8yMDI1CQAAAAEwPOR82f7J3ghkr0rd/sneCEBDSVEuTllTRTpCQUguSVFfU1RPQ0tf</t>
  </si>
  <si>
    <t>QkFTRURfRVhQTE9SRV9EUklMTC45OTkuMTQvMDYvMjAyNi4uLlVTRC5IAQAAAOlxAgADAAAAAAA85HzZ/sneCF30St3+yd4INUNJUS5OWVNFOkJBSC5JUV9TUEVDSUFMX0RJVl9DRi45OTkuMTQvMDYvMjAyNi4uLlVTRC5IAQAAAOlxAgADAAAAAADDnH/Z/sneCGBBSN3+yd4INUNJUS5OWVNFOkJBSC5JUV9MVF9ERUJUX0lTU1VFRC45OTkuMTQvMDYvMjAyNi4uLlVTRC5IAQAAAOlxAgACAAAAAzg0NAEIAAAABQAAAAExAQAAAAstMTg4NzcwNTAwMQMAAAADMTYwAgAAAAQyMDM0BAAAAAEwBwAAAAk2LzE0LzIwMjYIAAAACTMvMzEvMjAyNQkAAAABMMOcf9n+yd4IYEFI3f7J3ghDQ0lRLk5ZU0U6QkFILklRX0NIQU5HRV9PVEhFUl9ORVRfT1BFUl9BU1NFVFMuOTk5LjE0LzA2LzIwMjYuLi5VU0QuSAEAAADpcQIAAgAAAAMxNzUBCAAAAAUAAAABMQEAAAALLTE4ODc3MDUwMDEDAAAAAzE2MAIAAAAEMjA0NQQAAAABMAcAAAAJNi8xNC8yMDI2CAAAAAkzLzMxLzIwMjUJAAAAATAk5n7Z/sneCGBBSN3+yd4IMkNJUS5OWVNFOkJBSC5JUV9QUkVGX0lTU1VFRC45OTkuMTQvMDYvMjAyNi4uLlVTRC5IAQAAAOlxAgADAAAAAADDnH/Z/sneCGBBSN3+yd4INENJUS5OWVNFOkJBSC5JUV9TQUxFX0lOVEFOX0NGLjk5OS4xNC8wNi8yMDI2Li4uVVNELkgBAAAA6XECAAMAAAAAACTmftn+yd4IYEFI3f7J3gg2Q0lRLk5Z</t>
  </si>
  <si>
    <t>U0U6QkFILklRX0NBU0hfQUNRVUlSRV9DRi45OTkuMTQvMDYvMjAyNi4uLlVTRC5IAQAAAOlxAgACAAAAAy05NwEIAAAABQAAAAExAQAAAAstMTg4NzcwNTAwMQMAAAADMTYwAgAAAAQyMDU3BAAAAAEwBwAAAAk2LzE0LzIwMjYIAAAACTMvMzEvMjAyNQkAAAABMCTmftn+yd4IYEFI3f7J3ggsQ0lRLk5ZU0U6QkFILklRX0RPX0NGLjk5OS4xNC8wNi8yMDI2Li4uVVNELkgBAAAA6XECAAMAAAAAACTmftn+yd4IYEFI3f7J3gg+Q0lRLk5ZU0U6QkFILklRX09USEVSX0ZJTkFOQ0VfQUNUX1NVUFBMLjk5OS4xNC8wNi8yMDI2Li4uVVNELkgBAAAA6XECAAMAAAAAAMOcf9n+yd4IYEFI3f7J3gg5Q0lRLk5ZU0U6QkFILklRX0NPTU1PTl9QUkVGX0RJVl9DRi45OTkuMTQvMDYvMjAyNi4uLlVTRC5IAQAAAOlxAgADAAAAAADDnH/Z/sneCGBBSN3+yd4IMkNJUS5OWVNFOkJBSC5JUV9DQVNIX0lOVkVTVC45OTkuMTQvMDYvMjAyNi4uLlVTRC5IAQAAAOlxAgACAAAABC0yMTgBCAAAAAUAAAABMQEAAAALLTE4ODc3MDUwMDEDAAAAAzE2MAIAAAAEMjAwNQQAAAABMAcAAAAJNi8xNC8yMDI2CAAAAAkzLzMxLzIwMjUJAAAAATAk5n7Z/sneCGBBSN3+yd4INUNJUS5OWVNFOkJBSC5JUV9DSEFOR0VfSU5DX1RBWC45OTkuMTQvMDYvMjAyNi4uLlVTRC5IAQAAAOlxAgACAAAAAy0zMQEIAAAABQAAAAExAQAAAAstMTg4Nzcw</t>
  </si>
  <si>
    <t>NTAwMQMAAAADMTYwAgAAAAQyMTAxBAAAAAEwBwAAAAk2LzE0LzIwMjYIAAAACTMvMzEvMjAyNQkAAAABMCTmftn+yd4IYEFI3f7J3ggvQ0lRLk5ZU0U6QkFILklRX0xPQU5TX0NGLjk5OS4xNC8wNi8yMDI2Li4uVVNELkgBAAAA6XECAAMAAAAAAHwfftn+yd4IYEFI3f7J3gg+Q0lRLk5ZU0U6QkFILklRX1NUT0NLX0JBU0VEX0NPTVBfUFJFVEFYLjk5OS4xNC8wNi8yMDI2Li4uVVNELkgBAAAA6XECAAIAAAACOTQAPOR82f7J3ghkr0rd/sneCDhDSVEuTllTRTpCQUguSVFfVE9UQUxfRElWX1BBSURfQ0YuOTk5LjE0LzA2LzIwMjYuLi5VU0QuSAEAAADpcQIAAgAAAAQtMjY4AQgAAAAFAAAAATEBAAAACy0xODg3NzA1MDAxAwAAAAMxNjACAAAABDIwMjIEAAAAATAHAAAACTYvMTQvMjAyNggAAAAJMy8zMS8yMDI1CQAAAAEww5x/2f7J3ghgQUjd/sneCDVDSVEuTllTRTpCQUguSVFfU1RfREVCVF9JU1NVRUQuOTk5LjE0LzA2LzIwMjYuLi5VU0QuSAEAAADpcQIAAwAAAAAAw5x/2f7J3ghgQUjd/sneCDZDSVEuTllTRTpCQUguSVFfSU5WRVNUX0xPQU5TX0NGLjk5OS4xNC8wNi8yMDI2Li4uVVNELkgBAAAA6XECAAMAAAAAACTmftn+yd4IYEFI3f7J3ggpQ0lRLk5ZU0U6QkFILklRX0ZYLjk5OS4xNC8wNi8yMDI2Li4uVVNELkgBAAAA6XECAAMAAAAAAMOcf9n+yd4IYEFI3f7J3gg1Q0lRLk5ZU0U6QkFILklR</t>
  </si>
  <si>
    <t>X0xUX0RFQlRfUkVQQUlELjk5OS4xNC8wNi8yMDI2Li4uVVNELkgBAAAA6XECAAIAAAAELTI2MgEIAAAABQAAAAExAQAAAAstMTg4NzcwNTAwMQMAAAADMTYwAgAAAAQyMDM2BAAAAAEwBwAAAAk2LzE0LzIwMjYIAAAACTMvMzEvMjAyNQkAAAABMMOcf9n+yd4IYEFI3f7J3ggxQ0lRLk5ZU0U6QkFILklRX0NPTU1PTl9SRVAuOTk5LjE0LzA2LzIwMjYuLi5VU0QuSAEAAADpcQIAAgAAAAQtODEyAQgAAAAFAAAAATEBAAAACy0xODg3NzA1MDAxAwAAAAMxNjACAAAABDIxNjQEAAAAATAHAAAACTYvMTQvMjAyNggAAAAJMy8zMS8yMDI1CQAAAAEww5x/2f7J3ghgQUjd/sneCDlDSVEuTllTRTpCQUguSVFfSU5WRVNUX1NFQ1VSSVRZX0NGLjk5OS4xNC8wNi8yMDI2Li4uVVNELkgBAAAA6XECAAIAAAADLTIzAQgAAAAFAAAAATEBAAAACy0xODg3NzA1MDAxAwAAAAMxNjACAAAABDIwMjcEAAAAATAHAAAACTYvMTQvMjAyNggAAAAJMy8zMS8yMDI1CQAAAAEwJOZ+2f7J3ghgQUjd/sneCEFDSVEuTllTRTpCQUguSVFfREVQUkVDSUFUSU9OX1JFTlRBTF9BU1NFVFMuOTk5LjE0LzA2LzIwMjYuLi5VU0QuSAEAAADpcQIAAwAAAAAA0qO22f7J3ghd9Erd/sneCDpDSVEuTllTRTpCQUguSVFfTk9OQ0FTSF9QRU5TSU9OX0VYUC45OTkuMTQvMDYvMjAyNi4uLlVTRC5IAQAAAOlxAgADAAAAAADSo7bZ/sneCF30St3+yd4I</t>
  </si>
  <si>
    <t>OkNJUS5OWVNFOkJBSC5JUV9DVVJSX0RPTUVTVElDX1RBWEVTLjk5OS4xNC8wNi8yMDI2Li4uVVNELkgBAAAA6XECAAIAAAADMzcwAQgAAAAFAAAAATEBAAAACy0xODg3NzA1MDAxAwAAAAMxNjACAAAABDMwMjcEAAAAATAHAAAACTYvMTQvMjAyNggAAAAJMy8zMS8yMDI1CQAAAAEw0qO22f7J3ggWmk7d/sneCDhDSVEuTllTRTpCQUguSVFfSU5WRVNUTUVOVF9JTkNPTUUuOTk5LjE0LzA2LzIwMjYuLi5VU0QuSAEAAADpcQIAAwAAAAAA0qO22f7J3ggWmk7d/sneCC5DSVEuTllTRTpCQUguSVFfRUJJVERBUi45OTkuMTQvMDYvMjAyNi4uLlVTRC5IAQAAAOlxAgACAAAABDE0NTgBCAAAAAUAAAABMQEAAAALLTE4ODc3MDUwMDEDAAAAAzE2MAIAAAAFMjE2NzQEAAAAATAHAAAACTYvMTQvMjAyNggAAAAJMy8zMS8yMDI1CQAAAAEw0qO22f7J3gjDjE/d/sneCD1DSVEuTllTRTpCQUguSVFfRUJJVERBX0VRX0lOQ19FWENMX1NCQy45OTkuMTQvMDYvMjAyNi4uLlVTRC5IAQAAAOlxAgACAAAABDE0NzMBCAAAAAUAAAABMQEAAAALLTE4ODc3MDUwMDEDAAAAAzE2MAIAAAAFMjQxMzEEAAAAATAHAAAACTYvMTQvMjAyNggAAAAJMy8zMS8yMDI1CQAAAAEwTIME2v7J3gjDjE/d/sneCDVDSVEuTllTRTpCQUguSVFfRElMVVRfRVBTX05PUk0uOTk5LjE0LzA2LzIwMjYuLi5VU0QuSAEAAADpcQIAAgAAAAg1LjM3ODQy</t>
  </si>
  <si>
    <t>MQEIAAAABQAAAAExAQAAAAstMTg4NzcwNTAwMQMAAAADMTYwAgAAAAQ0MzgwBAAAAAEwBwAAAAk2LzE0LzIwMjYIAAAACTMvMzEvMjAyNQkAAAABMEyDBNr+yd4Iw4xP3f7J3ggxQ0lRLk5ZU0U6QkFILklRX05JX0NPTVBBTlkuOTk5LjE0LzA2LzIwMjYuLi5VU0QuSAEAAADpcQIAAgAAAAM5MzUBCAAAAAUAAAABMQEAAAALLTE4ODc3MDUwMDEDAAAAAzE2MAIAAAAFNDE1NzEEAAAAATAHAAAACTYvMTQvMjAyNggAAAAJMy8zMS8yMDI1CQAAAAEwTIME2v7J3gjDjE/d/sneCDFDSVEuTllTRTpCQUguSVFfRUFSTklOR19DTy45OTkuMTQvMDYvMjAyNi4uLlVTRC5IAQAAAOlxAgACAAAAAzkzNQEIAAAABQAAAAExAQAAAAstMTg4NzcwNTAwMQMAAAADMTYwAgAAAAE3BAAAAAEwBwAAAAk2LzE0LzIwMjYIAAAACTMvMzEvMjAyNQkAAAABMEyDBNr+yd4Iw4xP3f7J3gg4Q0lRLk5ZU0U6QkFILklRX1NUT0NLX0JBU0VEX09USEVSLjk5OS4xNC8wNi8yMDI2Li4uVVNELkgBAAAA6XECAAMAAAAAADzkfNn+yd4IXfRK3f7J3gg4Q0lRLk5ZU0U6QkFILklRX05FR0FUSVZFX0dXX0FNT1JULjk5OS4xNC8wNi8yMDI2Li4uVVNELkgBAAAA6XECAAMAAAAAANKjttn+yd4IXfRK3f7J3gg5Q0lRLk5ZU0U6QkFILklRX1JFU1RSVUNUVVJFX1NVUFBMRS45OTkuMTQvMDYvMjAyNi4uLlVTRC5IAQAAAOlxAgADAAAAAADSo7bZ</t>
  </si>
  <si>
    <t>/sneCF30St3+yd4INENJUS5OWVNFOkJBSC5JUV9DT01NT05fRElWX0NGLjk5OS4xNC8wNi8yMDI2Li4uVVNELkgBAAAA6XECAAIAAAAELTI2OAEIAAAABQAAAAExAQAAAAstMTg4NzcwNTAwMQMAAAADMTYwAgAAAAQyMDc0BAAAAAEwBwAAAAk2LzE0LzIwMjYIAAAACTMvMzEvMjAyNQkAAAABMMOcf9n+yd4IYEFI3f7J3gg0Q0lRLk5ZU0U6QkFILklRX0NPTU1PTl9JU1NVRUQuOTk5LjE0LzA2LzIwMjYuLi5VU0QuSAEAAADpcQIAAgAAAAIzOAEIAAAABQAAAAExAQAAAAstMTg4NzcwNTAwMQMAAAADMTYwAgAAAAQyMTY5BAAAAAEwBwAAAAk2LzE0LzIwMjYIAAAACTMvMzEvMjAyNQkAAAABMMOcf9n+yd4IYEFI3f7J3gg4Q0lRLk5ZU0U6QkFILklRX0dXX0lOVEFOX0FNT1JUX0NGLjk5OS4xNC8wNi8yMDI2Li4uVVNELkgBAAAA6XECAAIAAAACOTUBCAAAAAUAAAABMQEAAAALLTE4ODc3MDUwMDEDAAAAAzE2MAIAAAAEMjE4MgQAAAABMAcAAAAJNi8xNC8yMDI2CAAAAAkzLzMxLzIwMjUJAAAAATA85HzZ/sneCGSvSt3+yd4IO0NJUS5OWVNFOkJBSC5JUV9TVE9DS19CQVNFRF9DT01QX1RBWC45OTkuMTQvMDYvMjAyNi4uLlVTRC5IAQAAAOlxAgACAAAAAy0yMgA85HzZ/sneCGSvSt3+yd4IMUNJUS5OWVNFOkJBSC5JUV9ORVRfQ0hBTkdFLjk5OS4xNC8wNi8yMDI2Li4uVVNELkgBAAAA6XECAAIAAAADMzMx</t>
  </si>
  <si>
    <t>AQgAAAAFAAAAATEBAAAACy0xODg3NzA1MDAxAwAAAAMxNjACAAAABDIwOTMEAAAAATAHAAAACTYvMTQvMjAyNggAAAAJMy8zMS8yMDI1CQAAAAEww5x/2f7J3ghgQUjd/sneCDBDSVEuTllTRTpCQUguSVFfQ0hBTkdFX0FSLjk5OS4xNC8wNi8yMDI2Li4uVVNELkgBAAAA6XECAAIAAAAELTIwNgEIAAAABQAAAAExAQAAAAstMTg4NzcwNTAwMQMAAAADMTYwAgAAAAQyMDE4BAAAAAEwBwAAAAk2LzE0LzIwMjYIAAAACTMvMzEvMjAyNQkAAAABMCTmftn+yd4IYEFI3f7J3gg6Q0lRLk5ZU0U6QkFILklRX1RBWF9CRU5FRklUX09QVElPTlMuOTk5LjE0LzA2LzIwMjYuLi5VU0QuSAEAAADpcQIAAwAAAAAAJOZ+2f7J3ghgQUjd/sneCEBDSVEuTllTRTpCQUguSVFfU1RPQ0tfT1BUSU9OU19DT01QX1BSRVRBWC45OTkuMTQvMDYvMjAyNi4uLlVTRC5IAQAAAOlxAgADAAAAAAA85HzZ/sneCF30St3+yd4INUNJUS5OWVNFOkJBSC5JUV9TVE9DS19CQVNFRF9TTS45OTkuMTQvMDYvMjAyNi4uLlVTRC5IAQAAAOlxAgADAAAAAADSo7bZ/sneCF30St3+yd4INUNJUS5OWVNFOkJBSC5JUV9DSEFOR0VfREVGX1RBWC45OTkuMTQvMDYvMjAyNi4uLlVTRC5IAQAAAOlxAgADAAAAAAAk5n7Z/sneCGBBSN3+yd4INENJUS5OWVNFOkJBSC5JUV9NRVJHRVJfU1VQUExFLjk5OS4xNC8wNi8yMDI2Li4uVVNELkgBAAAA6XECAAMA</t>
  </si>
  <si>
    <t>AAAAANKjttn+yd4IXfRK3f7J3gg4Q0lRLk5ZU0U6QkFILklRX0NPTlRJTkdFTlRfUkVOVEFMLjk5OS4xNC8wNi8yMDI2Li4uVVNELkgBAAAA6XECAAIAAAACMTQA0qO22f7J3ghd9Erd/sneCDZDSVEuTllTRTpCQUguSVFfU0FMRVNfTUFSS0VUSU5HLjk5OS4xNC8wNi8yMDI2Li4uVVNELkgBAAAA6XECAAMAAAAAANKjttn+yd4IXfRK3f7J3gg7Q0lRLk5ZU0U6QkFILklRX0RFRkVSUkVEX1RBWEVTX1RPVEFMLjk5OS4xNC8wNi8yMDI2Li4uVVNELkgBAAAA6XECAAIAAAADLTkxAQgAAAAFAAAAATEBAAAACy0xODg3NzA1MDAxAwAAAAMxNjACAAAABTM1Mzg1BAAAAAEwBwAAAAk2LzE0LzIwMjYIAAAACTMvMzEvMjAyNQkAAAABMNKjttn+yd4Ivx9N3f7J3ggxQ0lRLk5ZU0U6QkFILklRX0NVUlJfVEFYRVMuOTk5LjE0LzA2LzIwMjYuLi5VU0QuSAEAAADpcQIAAgAAAAMzNzUBCAAAAAUAAAABMQEAAAALLTE4ODc3MDUwMDEDAAAAAzE2MAIAAAAFMzUzODMEAAAAATAHAAAACTYvMTQvMjAyNggAAAAJMy8zMS8yMDI1CQAAAAEw0qO22f7J3ggWmk7d/sneCDhDSVEuTllTRTpCQUguSVFfRkVFU19PVEhFUl9JTkNPTUUuOTk5LjE0LzA2LzIwMjYuLi5VU0QuSAEAAADpcQIAAwAAAAAA0qO22f7J3ggWmk7d/sneCCtDSVEuTllTRTpCQUguSVFfRUJJVC45OTkuMTQvMDYvMjAyNi4uLlVTRC5IAQAAAOlxAgACAAAA</t>
  </si>
  <si>
    <t>BDEyMTQBCAAAAAUAAAABMQEAAAALLTE4ODc3MDUwMDEDAAAAAzE2MAIAAAADNDAwBAAAAAEwBwAAAAk2LzE0LzIwMjYIAAAACTMvMzEvMjAyNQkAAAABMLENBdr+yd4Iw4xP3f7J3gg9Q0lRLk5ZU0U6QkFILklRX09USEVSX0lOVkVTVF9BQ1RfU1VQUEwuOTk5LjE0LzA2LzIwMjYuLi5VU0QuSAEAAADpcQIAAwAAAAAAJOZ+2f7J3ghgQUjd/sneCDhDSVEuTllTRTpCQUguSVFfSU5TX1NFVFRMRV9TVVBQTEUuOTk5LjE0LzA2LzIwMjYuLi5VU0QuSAEAAADpcQIAAwAAAAAA0qO22f7J3ghd9Erd/sneCC9DSVEuTllTRTpCQUguSVFfUFJFRl9SRVAuOTk5LjE0LzA2LzIwMjYuLi5VU0QuSAEAAADpcQIAAwAAAAAAw5x/2f7J3ghgQUjd/sneCDBDSVEuTllTRTpCQUguSVFfQ0hBTkdFX0FQLjk5OS4xNC8wNi8yMDI2Li4uVVNELkgBAAAA6XECAAIAAAADLTY2AQgAAAAFAAAAATEBAAAACy0xODg3NzA1MDAxAwAAAAMxNjACAAAABDIwMTcEAAAAATAHAAAACTYvMTQvMjAyNggAAAAJMy8zMS8yMDI1CQAAAAEwJOZ+2f7J3ghgQUjd/sneCDRDSVEuTllTRTpCQUguSVFfQUlSQ1JBRlRfUkVOVC45OTkuMTQvMDYvMjAyNi4uLlVTRC5IAQAAAOlxAgADAAAAAADSo7bZ/sneCF30St3+yd4IO0NJUS5OWVNFOkJBSC5JUV9DQVBJVEFMSVpFRF9JTlRFUkVTVC45OTkuMTQvMDYvMjAyNi4uLlVTRC5IAQAAAOlxAgADAAAA</t>
  </si>
  <si>
    <t>AADSo7bZ/sneCF30St3+yd4INkNJUS5OWVNFOkJBSC5JUV9JTlRFUkVTVF9JTkNPTUUuOTk5LjE0LzA2LzIwMjYuLi5VU0QuSAEAAADpcQIAAwAAAAAA0qO22f7J3ggWmk7d/sneCDVDSVEuTllTRTpCQUguSVFfRUJJVEFfRVhDTF9TQkMuOTk5LjE0LzA2LzIwMjYuLi5VU0QuSAEAAADpcQIAAgAAAAQxNDAzAQgAAAAFAAAAATEBAAAACy0xODg3NzA1MDAxAwAAAAMxNjACAAAABTI0MTM2BAAAAAEwBwAAAAk2LzE0LzIwMjYIAAAACTMvMzEvMjAyNQkAAAABMNKjttn+yd4Iw4xP3f7J3gg0Q0lRLk5ZU0U6QkFILklRX0VCSVREQV9FUV9JTkMuOTk5LjE0LzA2LzIwMjYuLi5VU0QuSAEAAADpcQIAAgAAAAQxNDU4AQgAAAAFAAAAATEBAAAACy0xODg3NzA1MDAxAwAAAAMxNjACAAAABTIxNjc3BAAAAAEwBwAAAAk2LzE0LzIwMjYIAAAACTMvMzEvMjAyNQkAAAABMEyDBNr+yd4Iw4xP3f7J3gg1Q0lRLk5ZU0U6QkFILklRX0RJTFVUX0VQU19JTkNMLjk5OS4xNC8wNi8yMDI2Li4uVVNELkgBAAAA6XECAAIAAAAINy4yNDk5OTkBCAAAAAUAAAABMQEAAAALLTE4ODc3MDUwMDEDAAAAAzE2MAIAAAABOAQAAAABMAcAAAAJNi8xNC8yMDI2CAAAAAkzLzMxLzIwMjUJAAAAATBMgwTa/sneCMOMT93+yd4IOUNJUS5OWVNFOkJBSC5JUV9BU1NFVF9XUklURURPV05fQ0YuOTk5LjE0LzA2LzIwMjYuLi5VU0QuSAEAAADp</t>
  </si>
  <si>
    <t>cQIAAwAAAAAAPOR82f7J3ghgQUjd/sneCD5DSVEuTllTRTpCQUguSVFfU0FMQVJJRVNfT1RIRVJfQkVORUZJVFMuOTk5LjE0LzA2LzIwMjYuLi5VU0QuSAEAAADpcQIAAwAAAAAA0qO22f7J3ghd9Erd/sneCDVDSVEuTllTRTpCQUguSVFfQ1JFRElUX0xPU1NfQ0YuOTk5LjE0LzA2LzIwMjYuLi5VU0QuSAEAAADpcQIAAwAAAAAAfB9+2f7J3ghgQUjd/sneCD1DSVEuTllTRTpCQUguSVFfU1RPQ0tfT1BUSU9OU19DT01QX1RBWC45OTkuMTQvMDYvMjAyNi4uLlVTRC5IAQAAAOlxAgADAAAAAAA85HzZ/sneCF30St3+yd4INUNJUS5OWVNFOkJBSC5JUV9TVE9DS19CQVNFRF9HQS45OTkuMTQvMDYvMjAyNi4uLlVTRC5IAQAAAOlxAgACAAAAAjU5AQgAAAAFAAAAATEBAAAACy0xODg3NzA1MDAxAwAAAAMxNjACAAAABTIyNjc1BAAAAAEwBwAAAAk2LzE0LzIwMjYIAAAACTMvMzEvMjAyNQkAAAABMPsLuNn+yd4IXfRK3f7J3gg3Q0lRLk5ZU0U6QkFILklRX0dBSU5fQkFSR0FJTl9BQ1EuOTk5LjE0LzA2LzIwMjYuLi5VU0QuSAEAAADpcQIAAwAAAAAA0qO22f7J3ghd9Erd/sneCDVDSVEuTllTRTpCQUguSVFfTUlOSU1VTV9SRU5UQUwuOTk5LjE0LzA2LzIwMjYuLi5VU0QuSAEAAADpcQIAAwAAAAAA0qO22f7J3ghd9Erd/sneCDJDSVEuTllTRTpCQUguSVFfQURWRVJUSVNJTkcuOTk5LjE0LzA2LzIwMjYuLi5V</t>
  </si>
  <si>
    <t>U0QuSAEAAADpcQIAAwAAAAAA0qO22f7J3ghd9Erd/sneCEZDSVEuTllTRTpCQUguSVFfRElTVFJJQlVUQUJMRV9DQVNIX1NUQU5EQVJESVpFRC45OTkuMTQvMDYvMjAyNi4uLlVTRC5IAQAAAOlxAgADAAAAAADSo7bZ/sneCF30St3+yd4IPkNJUS5OWVNFOkJBSC5JUV9ERUZFUlJFRF9ET01FU1RJQ19UQVhFUy45OTkuMTQvMDYvMjAyNi4uLlVTRC5IAQAAAOlxAgACAAAAAy05MQEIAAAABQAAAAExAQAAAAstMTg4NzcwNTAwMQMAAAADMTYwAgAAAAQzMDU0BAAAAAEwBwAAAAk2LzE0LzIwMjYIAAAACTMvMzEvMjAyNQkAAAABMNKjttn+yd4IXfRK3f7J3gg3Q0lRLk5ZU0U6QkFILklRX0VCSVREQVJfRVhDTF9TQkMuOTk5LjE0LzA2LzIwMjYuLi5VU0QuSAEAAADpcQIAAgAAAAQxNTUyAQgAAAAFAAAAATEBAAAACy0xODg3NzA1MDAxAwAAAAMxNjACAAAABTI0MTM3BAAAAAEwBwAAAAk2LzE0LzIwMjYIAAAACTMvMzEvMjAyNQkAAAABMNKjttn+yd4Iw4xP3f7J3gg+Q0lRLk5ZU0U6QkFILklRX0xFQVNFX0FESlVTVE1FTlRfRUJJVERBLjk5OS4xNC8wNi8yMDI2Li4uVVNELkgBAAAA6XECAAIAAAACNzkATIME2v7J3gjDjE/d/sneCD9DSVEuTllTRTpCQUguSVFfSU1QVVRfT1BFUl9MRUFTRV9JTlRfRVhQLjk5OS4xNC8wNi8yMDI2Li4uVVNELkgBAAAA6XECAAIAAAAJMjcuMDMwMDA4AQgAAAAFAAAAATEB</t>
  </si>
  <si>
    <t>AAAACy0xODg3NzA1MDAxAwAAAAMxNjACAAAABTIxNjcyBAAAAAEwBwAAAAk2LzE0LzIwMjYIAAAACTMvMzEvMjAyNQkAAAABMNKjttn+yd4IXfRK3f7J3gg8Q0lRLk5ZU0U6QkFILklRX0NIQU5HRV9UUkFESU5HX0FTU0VUUy45OTkuMTQvMDYvMjAyNi4uLlVTRC5IAQAAAOlxAgADAAAAAAAk5n7Z/sneCGBBSN3+yd4ILENJUS5OWVNFOkJBSC5JUV9EQV9DRi45OTkuMTQvMDYvMjAyNi4uLlVTRC5IAQAAAOlxAgACAAAAAzE2NQEIAAAABQAAAAExAQAAAAstMTg4NzcwNTAwMQMAAAADMTYwAgAAAAQyMTYwBAAAAAEwBwAAAAk2LzE0LzIwMjYIAAAACTMvMzEvMjAyNQkAAAABMDzkfNn+yd4IZK9K3f7J3gg3Q0lRLk5ZU0U6QkFILklRX1JFU1RSX1NUT0NLX0NPTVAuOTk5LjE0LzA2LzIwMjYuLi5VU0QuSAEAAADpcQIAAwAAAAAAPOR82f7J3ghd9Erd/sneCDpDSVEuTllTRTpCQUguSVFfTEVHQUxfU0VUVExFX1NVUFBMRS45OTkuMTQvMDYvMjAyNi4uLlVTRC5IAQAAAOlxAgADAAAAAADSo7bZ/sneCF30St3+yd4IOENJUS5OWVNFOkJBSC5JUV9QUk9WX0JBRF9ERUJUU19DRi45OTkuMTQvMDYvMjAyNi4uLlVTRC5IAQAAAOlxAgADAAAAAAAk5n7Z/sneCGBBSN3+yd4INUNJUS5OWVNFOkJBSC5JUV9HQUlOX0lOVkVTVF9DRi45OTkuMTQvMDYvMjAyNi4uLlVTRC5IAQAAAOlxAgACAAAAAy0xNgEIAAAABQAA</t>
  </si>
  <si>
    <t>AAExAQAAAAstMTg4NzcwNTAwMQMAAAADMTYwAgAAAAQyMDkwBAAAAAEwBwAAAAk2LzE0LzIwMjYIAAAACTMvMzEvMjAyNQkAAAABMDzkfNn+yd4IYEFI3f7J3gg7Q0lRLk5ZU0U6QkFILklRX01JTk9SSVRZX0lOVEVSRVNUX0NGLjk5OS4xNC8wNi8yMDI2Li4uVVNELkgBAAAA6XECAAMAAAAAADzkfNn+yd4IZK9K3f7J3gg+Q0lRLk5ZU0U6QkFILklRX1JFU1RSX1NUT0NLX0NPTVBfUFJFVEFYLjk5OS4xNC8wNi8yMDI2Li4uVVNELkgBAAAA6XECAAMAAAAAADzkfNn+yd4IXfRK3f7J3gg1Q0lRLk5ZU0U6QkFILklRX1NUT0NLX0JBU0VEX1JELjk5OS4xNC8wNi8yMDI2Li4uVVNELkgBAAAA6XECAAMAAAAAANKjttn+yd4IXfRK3f7J3gg8Q0lRLk5ZU0U6QkFILklRX05FVF9SRU5UQUxfRVhQX1NVUFBMRS45OTkuMTQvMDYvMjAyNi4uLlVTRC5IAQAAAOlxAgADAAAAAADSo7bZ/sneCF30St3+yd4IMkNJUS5OWVNFOkJBSC5JUV9TQUxFX1BQRV9DRi45OTkuMTQvMDYvMjAyNi4uLlVTRC5IAQAAAOlxAgADAAAAAAAk5n7Z/sneCGBBSN3+yd4IN0NJUS5OWVNFOkJBSC5JUV9DSEFOR0VfSU5WRU5UT1JZLjk5OS4xNC8wNi8yMDI2Li4uVVNELkgBAAAA6XECAAMAAAAAACTmftn+yd4IYEFI3f7J3gg+Q0lRLk5ZU0U6QkFILklRX0VYUExPUkVfRFJJTExfRVhQX1RPVEFMLjk5OS4xNC8wNi8yMDI2Li4uVVNELkgB</t>
  </si>
  <si>
    <t>AAAA6XECAAMAAAAAANKjttn+yd4IXfRK3f7J3ggwQ0lRLk5ZU0U6QkFILklRX01BUktFVElORy45OTkuMTQvMDYvMjAyNi4uLlVTRC5IAQAAAOlxAgADAAAAAADSo7bZ/sneCF30St3+yd4IMENJUS5OWVNFOkJBSC5JUV9EQV9FQklUREEuOTk5LjE0LzA2LzIwMjYuLi5VU0QuSAEAAADpcQIAAgAAAAMxNjUBCAAAAAUAAAABMQEAAAALLTE4ODc3MDUwMDEDAAAAAzE2MAIAAAAEMjIwNgQAAAABMAcAAAAJNi8xNC8yMDI2CAAAAAkzLzMxLzIwMjUJAAAAATDSo7bZ/sneCF30St3+yd4IOUNJUS5OWVNFOkJBSC5JUV9DVVJSX0ZPUkVJR05fVEFYRVMuOTk5LjE0LzA2LzIwMjYuLi5VU0QuSAEAAADpcQIAAgAAAAE1AQgAAAAFAAAAATEBAAAACy0xODg3NzA1MDAxAwAAAAMxNjACAAAABDMwMzAEAAAAATAHAAAACTYvMTQvMjAyNggAAAAJMy8zMS8yMDI1CQAAAAEw0qO22f7J3gi/H03d/sneCDNDSVEuTllTRTpCQUguSVFfRUJJVERBX0NBUEVYLjk5OS4xNC8wNi8yMDI2Li4uVVNELkgBAAAA6XECAAIAAAAEMTI4MQEIAAAABQAAAAExAQAAAAstMTg4NzcwNTAwMQMAAAADMTYwAgAAAAUzNTM3OQQAAAABMAcAAAAJNi8xNC8yMDI2CAAAAAkzLzMxLzIwMjUJAAAAATDSo7bZ/sneCBaaTt3+yd4ISENJUS5OWVNFOkJBSC5JUV9FQklUREFfRVFfSU5DX0VYQ0xfT1BFUl9MRUFTRV9BREouOTk5LjE0LzA2LzIwMjYu</t>
  </si>
  <si>
    <t>Li5VU0QuSAEAAADpcQIAAgAAAAQxMzc5AQgAAAAFAAAAATEBAAAACy0xODg3NzA1MDAxAwAAAAMxNjACAAAABTQ4OTg3BAAAAAEwBwAAAAk2LzE0LzIwMjYIAAAACTMvMzEvMjAyNQkAAAABMLENBdr+yd4Iw4xP3f7J3gg2Q0lRLk5ZU0U6QkFILklRX0VCSVREQV9FWENMX1NCQy45OTkuMTQvMDYvMjAyNi4uLlVTRC5IAQAAAOlxAgACAAAABDE0NzMBCAAAAAUAAAABMQEAAAALLTE4ODc3MDUwMDEDAAAAAzE2MAIAAAAFMjQxMzUEAAAAATAHAAAACTYvMTQvMjAyNggAAAAJMy8zMS8yMDI1CQAAAAEwTIME2v7J3gjDjE/d/sneCDVDSVEuTllTRTpCQUguSVFfU1RPQ0tfQkFTRURfQVQuOTk5LjE0LzA2LzIwMjYuLi5VU0QuSAEAAADpcQIAAwAAAAAAPOR82f7J3ghd9Erd/sneCD5DSVEuTllTRTpCQUguSVFfR0FJTl9CQVJHQUlOX0FDUV9TVVBQTEUuOTk5LjE0LzA2LzIwMjYuLi5VU0QuSAEAAADpcQIAAwAAAAAA0qO22f7J3ghd9Erd/sneCDFDSVEuTllTRTpCQUguSVFfQ0FTSF9GSU5BTi45OTkuMTQvMDYvMjAyNi4uLlVTRC5IAQAAAOlxAgACAAAABC00NjABCAAAAAUAAAABMQEAAAALLTE4ODc3MDUwMDEDAAAAAzE2MAIAAAAEMjAwNAQAAAABMAcAAAAJNi8xNC8yMDI2CAAAAAkzLzMxLzIwMjUJAAAAATDDnH/Z/sneCGBBSN3+yd4IO0NJUS5OWVNFOkJBSC5JUV9ORUdBVElWRV9HV19BTU9SVF9BVC45</t>
  </si>
  <si>
    <t>OTkuMTQvMDYvMjAyNi4uLlVTRC5IAQAAAOlxAgADAAAAAADSo7bZ/sneCF30St3+yd4IPENJUS5OWVNFOkJBSC5JUV9JTVBVVF9PUEVSX0xFQVNFX0RFUFIuOTk5LjE0LzA2LzIwMjYuLi5VU0QuSAEAAADpcQIAAgAAAAk1MS45Njk5OTIBCAAAAAUAAAABMQEAAAALLTE4ODc3MDUwMDEDAAAAAzE2MAIAAAAFMjE2NzMEAAAAATAHAAAACTYvMTQvMjAyNggAAAAJMy8zMS8yMDI1CQAAAAEw0qO22f7J3ghd9Erd/sneCDhDSVEuTllTRTpCQUguSVFfTkVUX1JFTlRBTF9FWFBfRk4uOTk5LjE0LzA2LzIwMjYuLi5VU0QuSAEAAADpcQIAAgAAAAI3OQEIAAAABQAAAAExAQAAAAstMTg4NzcwNTAwMQMAAAADMTYwAgAAAAQzMTcwBAAAAAEwBwAAAAk2LzE0LzIwMjYIAAAACTMvMzEvMjAyNQkAAAABMNKjttn+yd4IXfRK3f7J3ggxQ0lRLk5ZU0U6QkFILklRX0NPTU1PTl9ESVYuOTk5LjE0LzA2LzIwMjYuLi5VU0QuSAEAAADpcQIAAgAAAAMyNjkA0qO22f7J3ghd9Erd/sneCC9DSVEuTllTRTpCQUguSVFfRElMVVRfTkkuOTk5LjE0LzA2LzIwMjYuLi5VU0QuSAEAAADpcQIAAgAAAAo5MzAuMTA1NTIzAQgAAAAFAAAAATEBAAAACy0xODg3NzA1MDAxAwAAAAMxNjACAAAABDM1MjIEAAAAATAHAAAACTYvMTQvMjAyNggAAAAJMy8zMS8yMDI1CQAAAAEw0qO22f7J3ghd9Erd/sneCC5DSVEuTllTRTpCQUguSVFfTklf</t>
  </si>
  <si>
    <t>U0ZBUy45OTkuMTQvMDYvMjAyNi4uLlVTRC5IAQAAAOlxAgADAAAAAADSo7bZ/sneCBaaTt3+yd4IOUNJUS5OWVNFOkJBSC5JUV9BU19SRVBPUlRFRF9FQklUREEuOTk5LjE0LzA2LzIwMjYuLi5VU0QuSAEAAADpcQIAAgAAAAQxMzE1ANKjttn+yd4IFppO3f7J3gg6Q0lRLk5ZU0U6QkFILklRX1NBTEVfUkVBTF9FU1RBVEVfQ0YuOTk5LjE0LzA2LzIwMjYuLi5VU0QuSAEAAADpcQIAAwAAAAAAJOZ+2f7J3ghgQUjd/sneCDhDSVEuTllTRTpCQUguSVFfQ0hBTkdFX1VORUFSTl9SRVYuOTk5LjE0LzA2LzIwMjYuLi5VU0QuSAEAAADpcQIAAwAAAAAAJOZ+2f7J3ghgQUjd/sneCDVDSVEuTllTRTpCQUguSVFfT1RIRVJfT1BFUl9BQ1QuOTk5LjE0LzA2LzIwMjYuLi5VU0QuSAEAAADpcQIAAgAAAAMtNDEBCAAAAAUAAAABMQEAAAALLTE4ODc3MDUwMDEDAAAAAzE2MAIAAAAEMjA0NwQAAAABMAcAAAAJNi8xNC8yMDI2CAAAAAkzLzMxLzIwMjUJAAAAATAk5n7Z/sneCGBBSN3+yd4IMkNJUS5OWVNFOkJBSC5JUV9JUFJEX1NVUFBMRS45OTkuMTQvMDYvMjAyNi4uLlVTRC5IAQAAAOlxAgADAAAAAADSo7bZ/sneCF30St3+yd4IMkNJUS5OWVNFOkJBSC5JUV9QUkVGX0RJVl9DRi45OTkuMTQvMDYvMjAyNi4uLlVTRC5IAQAAAOlxAgADAAAAAADDnH/Z/sneCGBBSN3+yd4IMkNJUS5OWVNFOkJBSC5JUV9EQV9TVVBQ</t>
  </si>
  <si>
    <t>TF9DRi45OTkuMTQvMDYvMjAyNi4uLlVTRC5IAQAAAOlxAgACAAAAAjcwAQgAAAAFAAAAATEBAAAACy0xODg3NzA1MDAxAwAAAAMxNjACAAAABDIxNzEEAAAAATAHAAAACTYvMTQvMjAyNggAAAAJMy8zMS8yMDI1CQAAAAEwPOR82f7J3ghkr0rd/sneCDdDSVEuTllTRTpCQUguSVFfU1RPQ0tfQkFTRURfQ09NUC45OTkuMTQvMDYvMjAyNi4uLlVTRC5IAQAAAOlxAgACAAAAAjcyADzkfNn+yd4IZK9K3f7J3gg7Q0lRLk5ZU0U6QkFILklRX1RPVEFMX1VOVVNVQUxfU1VQUExFLjk5OS4xNC8wNi8yMDI2Li4uVVNELkgBAAAA6XECAAMAAAAAANKjttn+yd4IXfRK3f7J3gg5Q0lRLk5ZU0U6QkFILklRX0RJU1RSSUJVVEFCTEVfQ0FTSC45OTkuMTQvMDYvMjAyNi4uLlVTRC5IAQAAAOlxAgADAAAAAADSo7bZ/sneCF30St3+yd4IN0NJUS5OWVNFOkJBSC5JUV9JTlRfRVhQX0lOQ0xfQ0FQLjk5OS4xNC8wNi8yMDI2Li4uVVNELkgBAAAA6XECAAIAAAADMTY4AQgAAAAFAAAAATEBAAAACy0xODg3NzA1MDAxAwAAAAMxNjACAAAABTIxODYxBAAAAAEwBwAAAAk2LzE0LzIwMjYIAAAACTMvMzEvMjAyNQkAAAABMNKjttn+yd4IXfRK3f7J3gg+Q0lRLk5ZU0U6QkFILklRX0VYQ0lTRV9UQVhFU19JTkNMX1NBTEVTLjk5OS4xNC8wNi8yMDI2Li4uVVNELkgBAAAA6XECAAMAAAAAANKjttn+yd4IFppO3f7J3gg+Q0lRLk5Z</t>
  </si>
  <si>
    <t>U0U6QkFILklRX0VCSVREQVJfRVFfSU5DX0VYQ0xfU0JDLjk5OS4xNC8wNi8yMDI2Li4uVVNELkgBAAAA6XECAAIAAAAEMTU1MgEIAAAABQAAAAExAQAAAAstMTg4NzcwNTAwMQMAAAADMTYwAgAAAAUyNDEzMwQAAAABMAcAAAAJNi8xNC8yMDI2CAAAAAkzLzMxLzIwMjUJAAAAATDSo7bZ/sneCMOMT93+yd4IPENJUS5OWVNFOkJBSC5JUV9FQklUREFfTEVBU0VfQURKVVNURUQuOTk5LjE0LzA2LzIwMjYuLi5VU0QuSAEAAADpcQIAAgAAAAQxNDU4AQgAAAAFAAAAATEBAAAACy0xODg3NzA1MDAxAwAAAAMxNjACAAAABTQ4OTkzBAAAAAEwBwAAAAk2LzE0LzIwMjYIAAAACTMvMzEvMjAyNQkAAAABMEyDBNr+yd4Iw4xP3f7J3ggvQ0lRLk5ZU0U6QkFILklRX0VQU19OT1JNLjk5OS4xNC8wNi8yMDI2Li4uVVNELkgBAAAA6XECAAIAAAAINS40MDA2MTcBCAAAAAUAAAABMQEAAAALLTE4ODc3MDUwMDEDAAAAAzE2MAIAAAAENDM3OQQAAAABMAcAAAAJNi8xNC8yMDI2CAAAAAkzLzMxLzIwMjUJAAAAATBMgwTa/sneCMOMT93+yd4INENJUS5OWVNFOkJBSC5JUV9JTkNfRVFVSVRZX0NGLjk5OS4xNC8wNi8yMDI2Li4uVVNELkgBAAAA6XECAAMAAAAAAHwfftn+yd4IYEFI3f7J3ggxQ0lRLk5ZU0U6QkFILklRX09JTF9JTVBBSVIuOTk5LjE0LzA2LzIwMjYuLi5VU0QuSAEAAADpcQIAAwAAAAAAPOR82f7J3ghkr0rd</t>
  </si>
  <si>
    <t>/sneCDtDSVEuTllTRTpCQUguSVFfUkVTVFJfU1RPQ0tfQ09NUF9UQVguOTk5LjE0LzA2LzIwMjYuLi5VU0QuSAEAAADpcQIAAwAAAAAAPOR82f7J3ghd9Erd/sneCDNDSVEuTllTRTpCQUguSVFfTUFJTlRfUkVQQUlSLjk5OS4xNC8wNi8yMDI2Li4uVVNELkgBAAAA6XECAAMAAAAAANKjttn+yd4IXfRK3f7J3gg1Q0lRLk5ZU0U6QkFILklRX1NUX0RFQlRfUkVQQUlELjk5OS4xNC8wNi8yMDI2Li4uVVNELkgBAAAA6XECAAMAAAAAAMOcf9n+yd4IYEFI3f7J3gg1Q0lRLk5ZU0U6QkFILklRX0dBSU5fQVNTRVRTX0NGLjk5OS4xNC8wNi8yMDI2Li4uVVNELkgBAAAA6XECAAMAAAAAADzkfNn+yd4IYEFI3f7J3ggyQ0lRLk5ZU0U6QkFILklRX09USEVSX0FNT1JULjk5OS4xNC8wNi8yMDI2Li4uVVNELkgBAAAA6XECAAMAAAAAADzkfNn+yd4IYEFI3f7J3gg3Q0lRLk5ZU0U6QkFILklRX1NUT0NLX0JBU0VEX0NPR1MuOTk5LjE0LzA2LzIwMjYuLi5VU0QuSAEAAADpcQIAAgAAAAIzNQEIAAAABQAAAAExAQAAAAstMTg4NzcwNTAwMQMAAAADMTYwAgAAAAUyMjY3NAQAAAABMAcAAAAJNi8xNC8yMDI2CAAAAAkzLzMxLzIwMjUJAAAAATDSo7bZ/sneCF30St3+yd4IO0NJUS5OWVNFOkJBSC5JUV9JTVBBSVJNRU5UX0dXX1NVUFBMRS45OTkuMTQvMDYvMjAyNi4uLlVTRC5IAQAAAOlxAgADAAAAAADSo7bZ/sneCF30</t>
  </si>
  <si>
    <t>St3+yd4ILUNJUS5OWVNFOkJBSC5JUV9HQV9FWFAuOTk5LjE0LzA2LzIwMjYuLi5VU0QuSAEAAADpcQIAAgAAAAQxMjgyAQgAAAAFAAAAATEBAAAACy0xODg3NzA1MDAxAwAAAAMxNjACAAAABTIxNTYyBAAAAAEwBwAAAAk2LzE0LzIwMjYIAAAACTMvMzEvMjAyNQkAAAABMNKjttn+yd4IXfRK3f7J3gg9Q0lRLk5ZU0U6QkFILklRX0FOTlVfRElTVFJJQlVUSU9OX1VOSVQuOTk5LjE0LzA2LzIwMjYuLi5VU0QuSAEAAADpcQIAAwAAAAAA0qO22f7J3ghd9Erd/sneCEBDSVEuTllTRTpCQUguSVFfTk9OUkVDVVJSSU5HX0lOQ09NRV9UQVhFUy45OTkuMTQvMDYvMjAyNi4uLlVTRC5IAQAAAOlxAgADAAAAAADSo7bZ/sneCF30St3+yd4ISUNJUS5OWVNFOkJBSC5JUV9QUk9WX0JBRF9ERUJUU19QQVRJRU5UX1NFUlZJQ0VfUkVWLjk5OS4xNC8wNi8yMDI2Li4uVVNELkgBAAAA6XECAAMAAAAAANKjttn+yd4IFppO3f7J3ggwQ0lRLk5ZU0U6QkFILklRX0RJVkVTVF9DRi45OTkuMTQvMDYvMjAyNi4uLlVTRC5IAQAAAOlxAgADAAAAAAAk5n7Z/sneCGBBSN3+yd4ILENJUS5OWVNFOkJBSC5JUV9DQVBFWC45OTkuMTQvMDYvMjAyNi4uLlVTRC5IAQAAAOlxAgACAAAAAy05OAEIAAAABQAAAAExAQAAAAstMTg4NzcwNTAwMQMAAAADMTYwAgAAAAQyMDIxBAAAAAEwBwAAAAk2LzE0LzIwMjYIAAAACTMvMzEvMjAyNQkA</t>
  </si>
  <si>
    <t>AAABMCTmftn+yd4IYEFI3f7J3gg4Q0lRLk5ZU0U6QkFILklRX1NUT0NLX0JBU0VEX1RPVEFMLjk5OS4xNC8wNi8yMDI2Li4uVVNELkgBAAAA6XECAAIAAAACOTQBCAAAAAUAAAABMQEAAAALLTE4ODc3MDUwMDEDAAAAAzE2MAIAAAAFMjQwMzQEAAAAATAHAAAACTYvMTQvMjAyNggAAAAJMy8zMS8yMDI1CQAAAAEwPOR82f7J3ghd9Erd/sneCDVDSVEuTllTRTpCQUguSVFfTkVUX1JFTlRBTF9FWFAuOTk5LjE0LzA2LzIwMjYuLi5VU0QuSAEAAADpcQIAAgAAAAI3OQEIAAAABQAAAAExAQAAAAstMTg4NzcwNTAwMQMAAAADMTYwAgAAAAUyNDI2MQQAAAABMAcAAAAJNi8xNC8yMDI2CAAAAAkzLzMxLzIwMjUJAAAAATDSo7bZ/sneCF30St3+yd4IPENJUS5OWVNFOkJBSC5JUV9FQklUQV9FUV9JTkNfRVhDTF9TQkMuOTk5LjE0LzA2LzIwMjYuLi5VU0QuSAEAAADpcQIAAgAAAAQxNDAzAQgAAAAFAAAAATEBAAAACy0xODg3NzA1MDAxAwAAAAMxNjACAAAABTI0MTMyBAAAAAEwBwAAAAk2LzE0LzIwMjYIAAAACTMvMzEvMjAyNQkAAAABMNKjttn+yd4Iw4xP3f7J3gg1Q0lRLk5ZU0U6QkFILklRX0JBU0lDX0VQU19FWENMLjk5OS4xNC8wNi8yMDI2Li4uVVNELkgBAAAA6XECAAIAAAAINy4yNzkwOTMBCAAAAAUAAAABMQEAAAALLTE4ODc3MDUwMDEDAAAAAzE2MAIAAAAEMzA2NAQAAAABMAcAAAAJNi8xNC8yMDI2</t>
  </si>
  <si>
    <t>CAAAAAkzLzMxLzIwMjUJAAAAATBMgwTa/sneCMOMT93+yd4IMkNJUS5OWVNFOkJBSC5JUV9SRVNUUlVDVFVSRS45OTkuMTQvMDYvMjAyNi4uLlVTRC5IAQAAAOlxAgADAAAAAADFIQTa/sneCMOMT93+yd4IP0NJUS5OWVNFOkJBSC5JUV9PVEhFUl9OT05fT1BFUl9FWFBfU1VQUEwuOTk5LjE0LzA2LzIwMjYuLi5VU0QuSAEAAADpcQIAAgAAAAI1OAEIAAAABQAAAAExAQAAAAstMTg4NzcwNTAwMQMAAAADMTYwAgAAAAI4NQQAAAABMAcAAAAJNi8xNC8yMDI2CAAAAAkzLzMxLzIwMjUJAAAAATDFIQTa/sneCMOMT93+yd4INkNJUS5OWVNFOkJBSC5JUV9GSU5fRElWX0lOVF9FWFAuOTk5LjE0LzA2LzIwMjYuLi5VU0QuSAEAAADpcQIAAwAAAAAAxSEE2v7J3ggD+1Hd/sneCDVDSVEuTllTRTpCQUguSVFfRUJJVERBUl9FUV9JTkMuOTk5LjE0LzA2LzIwMjYuLi5VU0QuSAEAAADpcQIAAgAAAAQxNTM3AQgAAAAFAAAAATEBAAAACy0xODg3NzA1MDAxAwAAAAMxNjACAAAABTI0MTI5BAAAAAEwBwAAAAk2LzE0LzIwMjYIAAAACTMvMzEvMjAyNQkAAAABMNKjttn+yd4IFppO3f7J3gg2Q0lRLk5ZU0U6QkFILklRX1RPVEFMX1JFVl9TSEFSRS45OTkuMTQvMDYvMjAyNi4uLlVTRC5IAQAAAOlxAgACAAAACTkzLjc2NzI0NAEIAAAABQAAAAExAQAAAAstMTg4NzcwNTAwMQMAAAADMTYwAgAAAAQ0MzgyBAAAAAEwBwAA</t>
  </si>
  <si>
    <t>AAk2LzE0LzIwMjYIAAAACTMvMzEvMjAyNQkAAAABMEyDBNr+yd4Iw4xP3f7J3ggxQ0lRLk5ZU0U6QkFILklRX09USEVSX09QRVIuOTk5LjE0LzA2LzIwMjYuLi5VU0QuSAEAAADpcQIAAwAAAAAAxSEE2v7J3gjDjE/d/sneCDtDSVEuTllTRTpCQUguSVFfTUlOT1JJVFlfSU5URVJFU1RfSVMuOTk5LjE0LzA2LzIwMjYuLi5VU0QuSAEAAADpcQIAAwAAAAAATIME2v7J3gjDjE/d/sneCDZDSVEuTllTRTpCQUguSVFfR0FJTl9BU1NFVFNfUkVWLjk5OS4xNC8wNi8yMDI2Li4uVVNELkgBAAAA6XECAAMAAAAAAJuCA9r+yd4IA/tR3f7J3ghIQ0lRLk5ZU0U6QkFILklRX0lOVEVSRVNUX0VYUF9MRUFTRV9MSUFCSUxJVFlfREVCVC45OTkuMTQvMDYvMjAyNi4uLlVTRC5IAQAAAOlxAgADAAAAAADSo7bZ/sneCF30St3+yd4IM0NJUS5OWVNFOkJBSC5JUV9FQklUQV9FUV9JTkMuOTk5LjE0LzA2LzIwMjYuLi5VU0QuSAEAAADpcQIAAgAAAAQxMzA5AQgAAAAFAAAAATEBAAAACy0xODg3NzA1MDAxAwAAAAMxNjACAAAABTIxNjc2BAAAAAEwBwAAAAk2LzE0LzIwMjYIAAAACTMvMzEvMjAyNQkAAAABMNKjttn+yd4Iw4xP3f7J3gg6Q0lRLk5ZU0U6QkFILklRX09USEVSX1VOVVNVQUxfU1VQUEwuOTk5LjE0LzA2LzIwMjYuLi5VU0QuSAEAAADpcQIAAwAAAAAATIME2v7J3gjDjE/d/sneCDVDSVEuTllTRTpCQUguSVFf</t>
  </si>
  <si>
    <t>R1dfSU5UQU5fQU1PUlQuOTk5LjE0LzA2LzIwMjYuLi5VU0QuSAEAAADpcQIAAwAAAAAAxSEE2v7J3gjDjE/d/sneCDVDSVEuTllTRTpCQUguSVFfQkFTSUNfRVBTX0lOQ0wuOTk5LjE0LzA2LzIwMjYuLi5VU0QuSAEAAADpcQIAAgAAAAg3LjI3OTA5MwEIAAAABQAAAAExAQAAAAstMTg4NzcwNTAwMQMAAAADMTYwAgAAAAE5BAAAAAEwBwAAAAk2LzE0LzIwMjYIAAAACTMvMzEvMjAyNQkAAAABMEyDBNr+yd4Iw4xP3f7J3gguQ0lRLk5ZU0U6QkFILklRX0lOQ19UQVguOTk5LjE0LzA2LzIwMjYuLi5VU0QuSAEAAADpcQIAAgAAAAMyODQBCAAAAAUAAAABMQEAAAALLTE4ODc3MDUwMDEDAAAAAzE2MAIAAAACNzUEAAAAATAHAAAACTYvMTQvMjAyNggAAAAJMy8zMS8yMDI1CQAAAAEwTIME2v7J3gjDjE/d/sneCDJDSVEuTllTRTpCQUguSVFfSU5UX0VYUF9MVEQuOTk5LjE0LzA2LzIwMjYuLi5VU0QuSAEAAADpcQIAAgAAAAMxOTUBCAAAAAUAAAABMQEAAAALLTE4ODc3MDUwMDEDAAAAAzE2MAIAAAAEMzEwMQQAAAABMAcAAAAJNi8xNC8yMDI2CAAAAAkzLzMxLzIwMjUJAAAAATDSo7bZ/sneCF30St3+yd4INUNJUS5OWVNFOkJBSC5JUV9QUkVGX0RJVl9PVEhFUi45OTkuMTQvMDYvMjAyNi4uLlVTRC5IAQAAAOlxAgACAAAAATUBCAAAAAUAAAABMQEAAAALLTE4ODc3MDUwMDEDAAAAAzE2MAIAAAACOTcEAAAA</t>
  </si>
  <si>
    <t>ATAHAAAACTYvMTQvMjAyNggAAAAJMy8zMS8yMDI1CQAAAAEwTIME2v7J3gjDjE/d/sneCDpDSVEuTllTRTpCQUguSVFfSU5URVJFU1RfSU5WRVNUX0lOQy45OTkuMTQvMDYvMjAyNi4uLlVTRC5IAQAAAOlxAgADAAAAAADFIQTa/sneCMOMT93+yd4IKUNJUS5OWVNFOkJBSC5JUV9HUC45OTkuMTQvMDYvMjAyNi4uLlVTRC5IAQAAAOlxAgACAAAABDI3ODEBCAAAAAUAAAABMQEAAAALLTE4ODc3MDUwMDEDAAAAAzE2MAIAAAACMTAEAAAAATAHAAAACTYvMTQvMjAyNggAAAAJMy8zMS8yMDI1CQAAAAEwxSEE2v7J3gjDjE/d/sneCDJDSVEuTllTRTpCQUguSVFfRklOX0RJVl9SRVYuOTk5LjE0LzA2LzIwMjYuLi5VU0QuSAEAAADpcQIAAwAAAAAAm4ID2v7J3ggD+1Hd/sneCC1DSVEuTllTRTpCQUguSVFfRUJJVERBLjk5OS4xNC8wNi8yMDI2Li4uVVNELkgBAAAA6XECAAIAAAAEMTM3OQEIAAAABQAAAAExAQAAAAstMTg4NzcwNTAwMQMAAAADMTYwAgAAAAQ0MDUxBAAAAAEwBwAAAAk2LzE0LzIwMjYIAAAACTMvMzEvMjAyNQkAAAABMEyDBNr+yd4Iw4xP3f7J3gg5Q0lRLk5ZU0U6QkFILklRX1NUT0NLX09QVElPTlNfQ09NUC45OTkuMTQvMDYvMjAyNi4uLlVTRC5IAQAAAOlxAgADAAAAAAA85HzZ/sneCF30St3+yd4IO0NJUS5OWVNFOkJBSC5JUV9PVEhFUl9VTlVTVUFMX1NVUFBMRS45OTkuMTQvMDYvMjAy</t>
  </si>
  <si>
    <t>Ni4uLlVTRC5IAQAAAOlxAgADAAAAAADSo7bZ/sneCF30St3+yd4ILENJUS5OWVNFOkJBSC5JUV9FQklUQS45OTkuMTQvMDYvMjAyNi4uLlVTRC5IAQAAAOlxAgACAAAABDEzMDkBCAAAAAUAAAABMQEAAAALLTE4ODc3MDUwMDEDAAAAAzE2MAIAAAAGMTAwNjg5BAAAAAEwBwAAAAk2LzE0LzIwMjYIAAAACTMvMzEvMjAyNQkAAAABMNKjttn+yd4Iw4xP3f7J3ggyQ0lRLk5ZU0U6QkFILklRX0VCSVRfRVFfSU5DLjk5OS4xNC8wNi8yMDI2Li4uVVNELkgBAAAA6XECAAIAAAAEMTIxNAEIAAAABQAAAAExAQAAAAstMTg4NzcwNTAwMQMAAAADMTYwAgAAAAUyMTY3NQQAAAABMAcAAAAJNi8xNC8yMDI2CAAAAAkzLzMxLzIwMjUJAAAAATCxDQXa/sneCMOMT93+yd4IKUNJUS5OWVNFOkJBSC5JUV9ETy45OTkuMTQvMDYvMjAyNi4uLlVTRC5IAQAAAOlxAgADAAAAAABMgwTa/sneCMOMT93+yd4ILUNJUS5OWVNFOkJBSC5JUV9SRF9FWFAuOTk5LjE0LzA2LzIwMjYuLi5VU0QuSAEAAADpcQIAAwAAAAAAxSEE2v7J3gjDjE/d/sneCCtDSVEuTllTRTpCQUguSVFfQ09HUy45OTkuMTQvMDYvMjAyNi4uLlVTRC5IAQAAAOlxAgACAAAABDkxOTkBCAAAAAUAAAABMQEAAAALLTE4ODc3MDUwMDEDAAAAAzE2MAIAAAACMzQEAAAAATAHAAAACTYvMTQvMjAyNggAAAAJMy8zMS8yMDI1CQAAAAEwm4ID2v7J3ggD+1Hd/sneCD9D</t>
  </si>
  <si>
    <t>SVEuTllTRTpCQUguSVFfRElTVFJJQlVUQUJMRV9DQVNIX1NIQVJFLjk5OS4xNC8wNi8yMDI2Li4uVVNELkgBAAAA6XECAAMAAAAAAEyDBNr+yd4Iw4xP3f7J3gg0Q0lRLk5ZU0U6QkFILklRX0lNUEFJUk1FTlRfR1cuOTk5LjE0LzA2LzIwMjYuLi5VU0QuSAEAAADpcQIAAwAAAAAAxSEE2v7J3gjDjE/d/sneCC9DSVEuTllTRTpCQUguSVFfT1BFUl9JTkMuOTk5LjE0LzA2LzIwMjYuLi5VU0QuSAEAAADpcQIAAgAAAAQxMjE0AQgAAAAFAAAAATEBAAAACy0xODg3NzA1MDAxAwAAAAMxNjACAAAAAjIxBAAAAAEwBwAAAAk2LzE0LzIwMjYIAAAACTMvMzEvMjAyNQkAAAABMMUhBNr+yd4Iw4xP3f7J3ggqQ0lRLk5ZU0U6QkFILklRX0VCVC45OTkuMTQvMDYvMjAyNi4uLlVTRC5IAQAAAOlxAgACAAAABDEyMTkBCAAAAAUAAAABMQEAAAALLTE4ODc3MDUwMDEDAAAAAzE2MAIAAAADMTM5BAAAAAEwBwAAAAk2LzE0LzIwMjYIAAAACTMvMzEvMjAyNQkAAAABMEyDBNr+yd4Iw4xP3f7J3ggyQ0lRLk5ZU0U6QkFILklRX0lOU19ESVZfUkVWLjk5OS4xNC8wNi8yMDI2Li4uVVNELkgBAAAA6XECAAMAAAAAAJuCA9r+yd4IA/tR3f7J3ggyQ0lRLk5ZU0U6QkFILklRX0lOU19ESVZfRVhQLjk5OS4xNC8wNi8yMDI2Li4uVVNELkgBAAAA6XECAAMAAAAAAMUhBNr+yd4IA/tR3f7J3ggyQ0lRLk5ZU0U6QkFILklRX1NUT0NL</t>
  </si>
  <si>
    <t>X0JBU0VELjk5OS4xNC8wNi8yMDI2Li4uVVNELkgBAAAA6XECAAMAAAAAAMUhBNr+yd4Iw4xP3f7J3ggqQ0lRLk5ZU0U6QkFILklRX1JFVi45OTkuMTQvMDYvMjAyNi4uLlVTRC5IAQAAAOlxAgACAAAABTExOTgwAQgAAAAFAAAAATEBAAAACy0xODg3NzA1MDAxAwAAAAMxNjACAAAAAzExMgQAAAABMAcAAAAJNi8xNC8yMDI2CAAAAAkzLzMxLzIwMjUJAAAAATCbggPa/sneCAP7Ud3+yd4IQENJUS5OWVNFOkJBSC5JUV9FQVJOSU5HX1BBUkVOVF9FWENMX0VYVFJBLjk5OS4xNC8wNi8yMDI2Li4uVVNELkgBAAAA6XECAAIAAAADOTM1AQgAAAAFAAAAATEBAAAACy0xODg3NzA1MDAxAwAAAAMxNjACAAAABTQxNTk2BAAAAAEwBwAAAAk2LzE0LzIwMjYIAAAACTMvMzEvMjAyNQkAAAABMNKjttn+yd4IFppO3f7J3gg4Q0lRLk5ZU0U6QkFILklRX1NQRUNJQUxfRElWX1NIQVJFLjk5OS4xNC8wNi8yMDI2Li4uVVNELkgBAAAA6XECAAMAAAAAAEyDBNr+yd4Iw4xP3f7J3ggzQ0lRLk5ZU0U6QkFILklRX0xFR0FMX1NFVFRMRS45OTkuMTQvMDYvMjAyNi4uLlVTRC5IAQAAAOlxAgADAAAAAADFIQTa/sneCMOMT93+yd4IK0NJUS5OWVNFOkJBSC5JUV9JUFJELjk5OS4xNC8wNi8yMDI2Li4uVVNELkgBAAAA6XECAAMAAAAAAMUhBNr+yd4Iw4xP3f7J3ggyQ0lRLk5ZU0U6QkFILklRX0dBSU5fQVNTRVRTLjk5OS4xNC8w</t>
  </si>
  <si>
    <t>Ni8yMDI2Li4uVVNELkgBAAAA6XECAAMAAAAAAMUhBNr+yd4Iw4xP3f7J3gg3Q0lRLk5ZU0U6QkFILklRX05FVF9JTlRFUkVTVF9FWFAuOTk5LjE0LzA2LzIwMjYuLi5VU0QuSAEAAADpcQIAAgAAAAQtMTY4AQgAAAAFAAAAATEBAAAACy0xODg3NzA1MDAxAwAAAAMxNjACAAAAAzM2OAQAAAABMAcAAAAJNi8xNC8yMDI2CAAAAAkzLzMxLzIwMjUJAAAAATDFIQTa/sneCMOMT93+yd4IM0NJUS5OWVNFOkJBSC5JUV9JTlRFUkVTVF9FWFAuOTk5LjE0LzA2LzIwMjYuLi5VU0QuSAEAAADpcQIAAgAAAAQtMTY4AQgAAAAFAAAAATEBAAAACy0xODg3NzA1MDAxAwAAAAMxNjACAAAAAjgyBAAAAAEwBwAAAAk2LzE0LzIwMjYIAAAACTMvMzEvMjAyNQkAAAABMMUhBNr+yd4Iw4xP3f7J3ggzQ0lRLk5ZU0U6QkFILklRX09USEVSX1JFTlRBTC45OTkuMTQvMDYvMjAyNi4uLlVTRC5IAQAAAOlxAgADAAAAAADSo7bZ/sneCF30St3+yd4INkNJUS5OWVNFOkJBSC5JUV9PVEhFUl9SRVZfU1VQUEwuOTk5LjE0LzA2LzIwMjYuLi5VU0QuSAEAAADpcQIAAwAAAAAAm4ID2v7J3ggD+1Hd/sneCDRDSVEuTllTRTpCQUguSVFfTklfQVZBSUxfRVhDTC45OTkuMTQvMDYvMjAyNi4uLlVTRC5IAQAAAOlxAgACAAAAAzkzMAEIAAAABQAAAAExAQAAAAstMTg4NzcwNTAwMQMAAAADMTYwAgAAAAMzNzkEAAAAATAHAAAACTYvMTQvMjAy</t>
  </si>
  <si>
    <t>NggAAAAJMy8zMS8yMDI1CQAAAAEwTIME2v7J3gjDjE/d/sneCC1DSVEuTllTRTpCQUguSVFfTUVSR0VSLjk5OS4xNC8wNi8yMDI2Li4uVVNELkgBAAAA6XECAAMAAAAAAMUhBNr+yd4Iw4xP3f7J3gg0Q0lRLk5ZU0U6QkFILklRX0VYUExPUkVfRFJJTEwuOTk5LjE0LzA2LzIwMjYuLi5VU0QuSAEAAADpcQIAAwAAAAAAxSEE2v7J3ggD+1Hd/sneCDRDSVEuTllTRTpCQUguSVFfUFJFX09QRU5fQ09TVC45OTkuMTQvMDYvMjAyNi4uLlVTRC5IAQAAAOlxAgADAAAAAADFIQTa/sneCMOMT93+yd4IKkNJUS5OWVNFOkJBSC5JUV9ESUMuOTk5LjE0LzA2LzIwMjYuLi5VU0QuSAEAAADpcQIAAwAAAAAA0qO22f7J3ghd9Erd/sneCD1DSVEuTllTRTpCQUguSVFfQVNTRVRfV1JJVEVET1dOX1NVUFBMRS45OTkuMTQvMDYvMjAyNi4uLlVTRC5IAQAAAOlxAgADAAAAAADSo7bZ/sneCF30St3+yd4INkNJUS5OWVNFOkJBSC5JUV9TVE9DS19CQVNFRF9TR0EuOTk5LjE0LzA2LzIwMjYuLi5VU0QuSAEAAADpcQIAAwAAAAAAPOR82f7J3ghd9Erd/sneCCdDSVEuTllTRTpCQUguSVFfQVJfVFVSTlMuOTkyLjE0LzA2LzIwMjYBAAAA6XECAAIAAAAINS44MDMzOTMBCAAAAAUAAAABMQEAAAAKMjAzODA5MTA3NwMAAAADMTYwAgAAAAQ0MDAxBAAAAAEwBwAAAAk2LzE0LzIwMjYIAAAACTMvMzEvMjAxOAkAAAABMIYrFNn+yd4I</t>
  </si>
  <si>
    <t>e4Aj3P7J3ggsQ0lRLk5ZU0U6QkFILklRX0NVUlJFTlRfUkFUSU8uOTk2LjE0LzA2LzIwMjYBAAAA6XECAAIAAAAHMS41OTQzNgEIAAAABQAAAAExAQAAAAstMTk5MjQwMjA1OQMAAAADMTYwAgAAAAQ0MDMwBAAAAAEwBwAAAAk2LzE0LzIwMjYIAAAACTMvMzEvMjAyMgkAAAABMIYrFNn+yd4Ie4Aj3P7J3ggtQ0lRLk5ZU0U6QkFILklRX1JFU1RBVEVNRU5UX0JTLjk5OC4xNC8wNi8yMDI2AQAAAOlxAgADAAAAAlJTAIYrFNn+yd4I9g4h3P7J3ggmQ0lRLk5ZU0U6QkFILklRX0dBQVBfQlMuOTkyLjE0LzA2LzIwMjYBAAAA6XECAAMAAAAHVVMgR0FBUACGKxTZ/sneCPYOIdz+yd4ILENJUS5OWVNFOkJBSC5JUV9SRVRVUk5fQVNTRVRTLjk5Ni4xNC8wNi8yMDI2AQAAAOlxAgACAAAABjcuMzg3MgEIAAAABQAAAAExAQAAAAstMTk5MjQwMjA1OQMAAAADMTYwAgAAAAQ0MTc4BAAAAAEwBwAAAAk2LzE0LzIwMjYIAAAACTMvMzEvMjAyMgkAAAABMIYrFNn+yd4I9g4h3P7J3ggsQ0lRLk5ZU0U6QkFILklRX1JFVFVSTl9FUVVJVFkuOTkwLjE0LzA2LzIwMjYBAAAA6XECAAIAAAAHOTguODU3NAEIAAAABQAAAAExAQAAAAoxODkxMzQ3ODY5AwAAAAMxNjACAAAABDQxMjgEAAAAATAHAAAACTYvMTQvMjAyNggAAAAJMy8zMS8yMDE2CQAAAAEwhisU2f7J3gh7gCPc/sneCCtDSVEuTllTRTpCQUguSVFfR1JPU1NfTUFS</t>
  </si>
  <si>
    <t>R0lOLjk5NC4xNC8wNi8yMDI2AQAAAOlxAgACAAAABjIzLjkzMgEIAAAABQAAAAExAQAAAAstMjA5NTEyNjA5MAMAAAADMTYwAgAAAAQ0MDc0BAAAAAEwBwAAAAk2LzE0LzIwMjYIAAAACTMvMzEvMjAyMAkAAAABMIYrFNn+yd4Ie4Aj3P7J3ggtQ0lRLk5ZU0U6QkFILklRX0NPU1RfQk9SUk9XSU5HLjk5OC4xNC8wNi8yMDI2AQAAAOlxAgACAAAABjQuMzg4MQEIAAAABQAAAAExAQAAAAstMTg4NzcwNDk5MwMAAAADMTYwAgAAAAUyMTY4MQQAAAABMAcAAAAJNi8xNC8yMDI2CAAAAAkzLzMxLzIwMjQJAAAAATCGKxTZ/sneCPYOIdz+yd4IMUNJUS5OWVNFOkJBSC5JUV9BVkdfVEVNUF9FTVBMT1lFRVMuOTk2LjE0LzA2LzIwMjYBAAAA6XECAAMAAAAAAIYrFNn+yd4I9g4h3P7J3ggoQ0lRLk5ZU0U6QkFILklRX1BBUlRfVElNRS45OTguMTQvMDYvMjAyNgEAAADpcQIAAwAAAAAAhisU2f7J3gj2DiHc/sneCD5DSVEuTllTRTpCQUguSVFfRU1QTE9ZRUVTX1VOREVSX1VOSU9OX0NPTlRSQUNUUy45OTIuMTQvMDYvMjAyNgEAAADpcQIAAwAAAAAAhisU2f7J3gj2DiHc/sneCDxDSVEuTllTRTpCQUguSVFfVE9UQUxfT1VUU1RBTkRJTkdfRklMSU5HX0RBVEUuOTk0LjE0LzA2LzIwMjYBAAAA6XECAAIAAAAIMTM3LjkzODEBBAAAAAUAAAABNQEAAAALLTIwOTUxMjYwOTACAAAABTI0MTUzBgAAAAEwSkdH2f7J3ggp</t>
  </si>
  <si>
    <t>px7c/sneCDBDSVEuTllTRTpCQUguSVFfRUJJVF81WVJfQU5OX0NBR1IuOTk3LjE0LzA2LzIwMjYBAAAA6XECAAIAAAAGOS42MTYyAQgAAAAFAAAAATEBAAAACy0xOTQxNTQ2ODcxAwAAAAMxNjACAAAABDQyMzYEAAAAATAHAAAACTYvMTQvMjAyNggAAAAJMy8zMS8yMDIzCQAAAAEwHaYM2f7J3ggMwSrc/sneCC9DSVEuTllTRTpCQUguSVFfRVBTXzVZUl9BTk5fQ0FHUi45OTEuMTQvMDYvMjAyNgEAAADpcQIAAgAAAAYwLjIzNzQBCAAAAAUAAAABMQEAAAAKMTk2NTc3MjQyMgMAAAADMTYwAgAAAAQ0MjM5BAAAAAEwBwAAAAk2LzE0LzIwMjYIAAAACTMvMzEvMjAxNwkAAAABMB2mDNn+yd4IwzQt3P7J3gg1Q0lRLk5ZU0U6QkFILklRX1RPVEFMX1JFVl8zWVJfQU5OX0NBR1IuOTk1LjE0LzA2LzIwMjYBAAAA6XECAAIAAAAGOC40MTMzAQgAAAAFAAAAATEBAAAACy0yMDQzMjE1MzkyAwAAAAMxNjACAAAABDQyMjAEAAAAATAHAAAACTYvMTQvMjAyNggAAAAJMy8zMS8yMDIxCQAAAAEwHaYM2f7J3ggMwSrc/sneCC9DSVEuTllTRTpCQUguSVFfR1BfM1lSX0FOTl9DQUdSLjIwMDAuMTQvMDYvMjAyNgEAAADpcQIAAgAAAAY1LjM0OTcBCAAAAAUAAAABMQEAAAALLTE4ODc3MDQzNDEDAAAAAzE2MAIAAAAENDIyMQQAAAABMAcAAAAJNi8xNC8yMDI2CAAAAAkzLzMxLzIwMjYJAAAAATAdpgzZ/sneCAzBKtz+yd4I</t>
  </si>
  <si>
    <t>MENJUS5OWVNFOkJBSC5JUV9FQklUXzNZUl9BTk5fQ0FHUi45OTUuMTQvMDYvMjAyNgEAAADpcQIAAgAAAAYxMy41NDQBCAAAAAUAAAABMQEAAAALLTIwNDMyMTUzOTIDAAAAAzE2MAIAAAAENDIyMwQAAAABMAcAAAAJNi8xNC8yMDI2CAAAAAkzLzMxLzIwMjEJAAAAATAdpgzZ/sneCAzBKtz+yd4IL0NJUS5OWVNFOkJBSC5JUV9FUFNfM1lSX0FOTl9DQUdSLjk5OS4xNC8wNi8yMDI2AQAAAOlxAgACAAAABzI4LjIzNDYBCAAAAAUAAAABMQEAAAALLTE4ODc3MDUwMDEDAAAAAzE2MAIAAAAENDIyNgQAAAABMAcAAAAJNi8xNC8yMDI2CAAAAAkzLzMxLzIwMjUJAAAAATAdpgzZ/sneCC3TPt3+yd4ILkNJUS5OWVNFOkJBSC5JUV9HUF81WVJfQU5OX0NBR1IuOTkzLjE0LzA2LzIwMjYBAAAA6XECAAIAAAAGNC42MjM5AQgAAAAFAAAAATEBAAAACjIwOTkwODcxMzMDAAAAAzE2MAIAAAAENDIzNAQAAAABMAcAAAAJNi8xNC8yMDI2CAAAAAkzLzMxLzIwMTkJAAAAATAdpgzZ/sneCAzBKtz+yd4IRUNJUS5OWVNFOkJBSC5JUV9ORVRfREVCVF9FQklUREFfRVhDTF9PUEVSX0xFQVNFU19DQVBFWC45OTMuMTQvMDYvMjAyNgEAAADpcQIAAgAAAAgyLjc0MDEwNQEIAAAABQAAAAExAQAAAAoyMDk5MDg3MTMzAwAAAAMxNjACAAAABTQ5MTgyBAAAAAEwBwAAAAk2LzE0LzIwMjYIAAAACTMvMzEvMjAxOQkAAAABMB2mDNn+</t>
  </si>
  <si>
    <t>yd4Ildco3P7J3gg3Q0lRLk5ZU0U6QkFILklRX1RPVEFMX1JFVl8xWVJfQU5OX0dST1dUSC45OTMuMTQvMDYvMjAyNgEAAADpcQIAAgAAAAY4LjY5NzYBCAAAAAUAAAABMQEAAAAKMjA5OTA4NzEzMwMAAAADMTYwAgAAAAQ0MTk0BAAAAAEwBwAAAAk2LzE0LzIwMjYIAAAACTMvMzEvMjAxOQkAAAABMB2mDNn+yd4Ildco3P7J3gg0Q0lRLk5ZU0U6QkFILklRX0VCSVREQV8xWVJfQU5OX0dST1dUSC45OTcuMTQvMDYvMjAyNgEAAADpcQIAAgAAAAcxOC4wMzYxAQgAAAAFAAAAATEBAAAACy0xOTQxNTQ2ODcxAwAAAAMxNjACAAAABDQxOTYEAAAAATAHAAAACTYvMTQvMjAyNggAAAAJMy8zMS8yMDIzCQAAAAEwHaYM2f7J3ggMwSrc/sneCDBDSVEuTllTRTpCQUguSVFfTklfMVlSX0FOTl9HUk9XVEguOTkxLjE0LzA2LzIwMjYBAAAA6XECAAIAAAAILTExLjMxMjQBCAAAAAUAAAABMQEAAAAKMTk2NTc3MjQyMgMAAAADMTYwAgAAAAQ0MTk5BAAAAAEwBwAAAAk2LzE0LzIwMjYIAAAACTMvMzEvMjAxNwkAAAABMB2mDNn+yd4IDMEq3P7J3ggvQ0lRLk5ZU0U6QkFILklRX0VCSVREQV9DQVBFWF9JTlQuOTkxLjE0LzA2LzIwMjYBAAAA6XECAAIAAAAIOC4xNDgwMTQBCAAAAAUAAAABMQEAAAAKMTk2NTc3MjQyMgMAAAADMTYwAgAAAAQ0MTkxBAAAAAEwBwAAAAk2LzE0LzIwMjYIAAAACTMvMzEvMjAxNwkAAAABMJKo</t>
  </si>
  <si>
    <t>Fdn+yd4IOOUl3P7J3ghAQ0lRLk5ZU0U6QkFILklRX0VCSVREQV9FWENMX09QRVJfTEVBU0VTX0NBUEVYX0lOVC45OTcuMTQvMDYvMjAyNgEAAADpcQIAAgAAAAg4LjE4MTgxOAEIAAAABQAAAAExAQAAAAstMTk0MTU0Njg3MQMAAAADMTYwAgAAAAU0OTE3NAQAAAABMAcAAAAJNi8xNC8yMDI2CAAAAAkzLzMxLzIwMjMJAAAAATAdpgzZ/sneCDjlJdz+yd4IQUNJUS5OWVNFOkJBSC5JUV9UT1RBTF9ERUJUX0VCSVREQV9FWENMX09QRVJfTEVBU0VTLjk5MS4xNC8wNi8yMDI2AQAAAOlxAgACAAAACDMuMTA0NjI5AQgAAAAFAAAAATEBAAAACjE5NjU3NzI0MjIDAAAAAzE2MAIAAAAFNDg5OTQEAAAAATAHAAAACTYvMTQvMjAyNggAAAAJMy8zMS8yMDE3CQAAAAEwHaYM2f7J3gikWCjc/sneCD9DSVEuTllTRTpCQUguSVFfTkVUX0RFQlRfRUJJVERBX0VYQ0xfT1BFUl9MRUFTRVMuOTk1LjE0LzA2LzIwMjYBAAAA6XECAAIAAAAHMi4wNjM1MgEIAAAABQAAAAExAQAAAAstMjA0MzIxNTM5MgMAAAADMTYwAgAAAAU0OTE3NQQAAAABMAcAAAAJNi8xNC8yMDI2CAAAAAkzLzMxLzIwMjEJAAAAATAdpgzZ/sneCJXXKNz+yd4IN0NJUS5OWVNFOkJBSC5JUV9UT1RBTF9ERUJUX0VCSVREQV9DQVBFWC4yMDAwLjE0LzA2LzIwMjYBAAAA6XECAAIAAAAHMy4zMTYxNwEIAAAABQAAAAExAQAAAAstMTg4NzcwNDM0MQMAAAAD</t>
  </si>
  <si>
    <t>MTYwAgAAAAUyMzMxMwQAAAABMAcAAAAJNi8xNC8yMDI2CAAAAAkzLzMxLzIwMjYJAAAAATAdpgzZ/sneCJXXKNz+yd4ILUNJUS5OWVNFOkJBSC5JUV9EQVlTX1NBTEVTX09VVC45OTcuMTQvMDYvMjAyNgEAAADpcQIAAgAAAAk2Ni45NzI3NTUBCAAAAAUAAAABMQEAAAALLTE5NDE1NDY4NzEDAAAAAzE2MAIAAAAENDA0MgQAAAABMAcAAAAJNi8xNC8yMDI2CAAAAAkzLzMxLzIwMjMJAAAAATCSqBXZ/sneCHuAI9z+yd4IMENJUS5OWVNFOkJBSC5JUV9UT1RBTF9ERUJUX0VRVUlUWS45OTUuMTQvMDYvMjAyNgEAAADpcQIAAgAAAAgyNTMuMjU5NwEIAAAABQAAAAExAQAAAAstMjA0MzIxNTM5MgMAAAADMTYwAgAAAAQ0MDM0BAAAAAEwBwAAAAk2LzE0LzIwMjYIAAAACTMvMzEvMjAyMQkAAAABMJKoFdn+yd4IOOUl3P7J3ggyQ0lRLk5ZU0U6QkFILklRX1RPVEFMX0RFQlRfQ0FQSVRBTC4yMDAwLjE0LzA2LzIwMjYBAAAA6XECAAIAAAAHNzguODU5NwEIAAAABQAAAAExAQAAAAstMTg4NzcwNDM0MQMAAAADMTYwAgAAAAQ0MTg2BAAAAAEwBwAAAAk2LzE0LzIwMjYIAAAACTMvMzEvMjAyNgkAAAABMJKoFdn+yd4IOOUl3P7J3gg2Q0lRLk5ZU0U6QkFILklRX1RPVEFMX0xJQUJfVE9UQUxfQVNTRVRTLjk5My4xNC8wNi8yMDI2AQAAAOlxAgACAAAABzgyLjM3NDgBCAAAAAUAAAABMQEAAAAKMjA5OTA4NzEzMwMA</t>
  </si>
  <si>
    <t>AAADMTYwAgAAAAQ0MTg4BAAAAAEwBwAAAAk2LzE0LzIwMjYIAAAACTMvMzEvMjAxOQkAAAABMJKoFdn+yd4IOOUl3P7J3ggnQ0lRLk5ZU0U6QkFILklRX0VCSVRfSU5ULjk5OS4xNC8wNi8yMDI2AQAAAOlxAgACAAAABzcuMjI2MTkBCAAAAAUAAAABMQEAAAALLTE4ODc3MDUwMDEDAAAAAzE2MAIAAAAENDE4OQQAAAABMAcAAAAJNi8xNC8yMDI2CAAAAAkzLzMxLzIwMjUJAAAAATCSqBXZ/sneCNcPQN3+yd4IKENJUS5OWVNFOkJBSC5JUV9OSV9NQVJHSU4uOTk1LjE0LzA2LzIwMjYBAAAA6XECAAIAAAAGNy43NDg2AQgAAAAFAAAAATEBAAAACy0yMDQzMjE1MzkyAwAAAAMxNjACAAAABDQwOTQEAAAAATAHAAAACTYvMTQvMjAyNggAAAAJMy8zMS8yMDIxCQAAAAEwhisU2f7J3gh7gCPc/sneCCpDSVEuTllTRTpCQUguSVFfQVNTRVRfVFVSTlMuOTk5LjE0LzA2LzIwMjYBAAAA6XECAAIAAAAIMS43MjY3MjIBCAAAAAUAAAABMQEAAAALLTE4ODc3MDUwMDEDAAAAAzE2MAIAAAAENDE3NwQAAAABMAcAAAAJNi8xNC8yMDI2CAAAAAkzLzMxLzIwMjUJAAAAATCGKxTZ/sneCNcPQN3+yd4IJ0NJUS5OWVNFOkJBSC5JUV9BUl9UVVJOUy45OTMuMTQvMDYvMjAyNgEAAADpcQIAAgAAAAg1LjQ0MTQzNgEIAAAABQAAAAExAQAAAAoyMDk5MDg3MTMzAwAAAAMxNjACAAAABDQwMDEEAAAAATAHAAAACTYvMTQvMjAyNggA</t>
  </si>
  <si>
    <t>AAAJMy8zMS8yMDE5CQAAAAEwhisU2f7J3gh7gCPc/sneCC5DSVEuTllTRTpCQUguSVFfSU5WRU5UT1JZX1RVUk5TLjk5OS4xNC8wNi8yMDI2AQAAAOlxAgADAAAAAACGKxTZ/sneCNcPQN3+yd4IL0NJUS5OWVNFOkJBSC5JUV9DRk9fQ1VSUkVOVF9MSUFCLjk5MS4xNC8wNi8yMDI2AQAAAOlxAgACAAAACDAuMzQ3MDgyAQgAAAAFAAAAATEBAAAACjE5NjU3NzI0MjIDAAAAAzE2MAIAAAAENDE4NQQAAAABMAcAAAAJNi8xNC8yMDI2CAAAAAkzLzMxLzIwMTcJAAAAATCGKxTZ/sneCHuAI9z+yd4ILUNJUS5OWVNFOkJBSC5JUV9SRVNUQVRFTUVOVF9CUy45OTkuMTQvMDYvMjAyNgEAAADpcQIAAwAAAAJOQwCGKxTZ/sneCCr4QN3+yd4IJkNJUS5OWVNFOkJBSC5JUV9HQUFQX0JTLjk5My4xNC8wNi8yMDI2AQAAAOlxAgADAAAAB1VTIEdBQVAAhisU2f7J3gj2DiHc/sneCCxDSVEuTllTRTpCQUguSVFfUkVUVVJOX0FTU0VUUy45OTcuMTQvMDYvMjAyNgEAAADpcQIAAgAAAAY4LjA2MDgBCAAAAAUAAAABMQEAAAALLTE5NDE1NDY4NzEDAAAAAzE2MAIAAAAENDE3OAQAAAABMAcAAAAJNi8xNC8yMDI2CAAAAAkzLzMxLzIwMjMJAAAAATCGKxTZ/sneCPYOIdz+yd4ILENJUS5OWVNFOkJBSC5JUV9SRVRVUk5fRVFVSVRZLjk5MS4xNC8wNi8yMDI2AQAAAOlxAgACAAAABzUzLjExNjkBCAAAAAUAAAABMQEAAAAKMTk2</t>
  </si>
  <si>
    <t>NTc3MjQyMgMAAAADMTYwAgAAAAQ0MTI4BAAAAAEwBwAAAAk2LzE0LzIwMjYIAAAACTMvMzEvMjAxNwkAAAABMIYrFNn+yd4Ie4Aj3P7J3ggzQ0lRLk5ZU0U6QkFILklRX1JFVFVSTl9DT01NT05fRVFVSVRZLjk5Ny4xNC8wNi8yMDI2AQAAAOlxAgACAAAABzI2LjQ5NTYBCAAAAAUAAAABMQEAAAALLTE5NDE1NDY4NzEDAAAAAzE2MAIAAAAFMzMzMjAEAAAAATAHAAAACTYvMTQvMjAyNggAAAAJMy8zMS8yMDIzCQAAAAEwhisU2f7J3gh7gCPc/sneCChDSVEuTllTRTpCQUguSVFfUEFSVF9USU1FLjk5OS4xNC8wNi8yMDI2AQAAAOlxAgADAAAAAACGKxTZ/sneCCr4QN3+yd4IPkNJUS5OWVNFOkJBSC5JUV9FTVBMT1lFRVNfVU5ERVJfVU5JT05fQ09OVFJBQ1RTLjk5My4xNC8wNi8yMDI2AQAAAOlxAgADAAAAAACGKxTZ/sneCPYOIdz+yd4ILENJUS5OWVNFOkJBSC5JUV9BVkdfRU1QTE9ZRUVTLjk5OS4xNC8wNi8yMDI2AQAAAOlxAgADAAAAAACGKxTZ/sneCCr4QN3+yd4IPENJUS5OWVNFOkJBSC5JUV9UT1RBTF9PVVRTVEFORElOR19GSUxJTkdfREFURS45OTUuMTQvMDYvMjAyNgEAAADpcQIAAgAAAAoxMzUuNDA3NTYyAQQAAAAFAAAAATUBAAAACy0yMDQzMjE1MzkyAgAAAAUyNDE1MwYAAAABMEpHR9n+yd4IKace3P7J3ggzQ0lRLk5ZU0U6QkFILklRX0VCSVREQV81WVJfQU5OX0NBR1IuMTAwMC4xNC8w</t>
  </si>
  <si>
    <t>Ni8yMDI2AQAAAOlxAgACAAAABjguNTU2NgEIAAAABQAAAAExAQAAAAstMTg4NzcwNDk3NwMAAAADMTYwAgAAAAQ0MjM1BAAAAAEwBwAAAAk2LzE0LzIwMjYIAAAACTMvMzEvMjAyNgkAAAABMB2mDNn+yd4ILdM+3f7J3ggvQ0lRLk5ZU0U6QkFILklRX0VQU181WVJfQU5OX0NBR1IuOTkyLjE0LzA2LzIwMjYBAAAA6XECAAIAAAAGNi45NTQyAQgAAAAFAAAAATEBAAAACjIwMzgwOTEwNzcDAAAAAzE2MAIAAAAENDIzOQQAAAABMAcAAAAJNi8xNC8yMDI2CAAAAAkzLzMxLzIwMTgJAAAAATAdpgzZ/sneCMM0Ldz+yd4IMUNJUS5OWVNFOkJBSC5JUV9FUFNfMVlSX0FOTl9HUk9XVEguOTk4LjE0LzA2LzIwMjYBAAAA6XECAAIAAAAIMTI2LjEwODQBCAAAAAUAAAABMQEAAAALLTE4ODc3MDQ5OTMDAAAAAzE2MAIAAAAENDIwMAQAAAABMAcAAAAJNi8xNC8yMDI2CAAAAAkzLzMxLzIwMjQJAAAAATAdpgzZ/sneCAzBKtz+yd4IMkNJUS5OWVNFOkJBSC5JUV9FQklUREFfM1lSX0FOTl9DQUdSLjk5MC4xNC8wNi8yMDI2AQAAAOlxAgACAAAABy0wLjkxMzIBCAAAAAUAAAABMQEAAAAKMTg5MTM0Nzg2OQMAAAADMTYwAgAAAAQ0MjIyBAAAAAEwBwAAAAk2LzE0LzIwMjYIAAAACTMvMzEvMjAxNgkAAAABMB2mDNn+yd4IDMEq3P7J3ggwQ0lRLk5ZU0U6QkFILklRX0VCSVRfM1lSX0FOTl9DQUdSLjk5Ni4xNC8wNi8yMDI2</t>
  </si>
  <si>
    <t>AQAAAOlxAgACAAAABjQuNTk5NwEIAAAABQAAAAExAQAAAAstMTk5MjQwMjA1OQMAAAADMTYwAgAAAAQ0MjIzBAAAAAEwBwAAAAk2LzE0LzIwMjYIAAAACTMvMzEvMjAyMgkAAAABMB2mDNn+yd4IDMEq3P7J3ggwQ0lRLk5ZU0U6QkFILklRX0VQU18zWVJfQU5OX0NBR1IuMTAwMC4xNC8wNi8yMDI2AQAAAOlxAgACAAAABjUwLjM1NQEIAAAABQAAAAExAQAAAAstMTg4NzcwNDk3NwMAAAADMTYwAgAAAAQ0MjI2BAAAAAEwBwAAAAk2LzE0LzIwMjYIAAAACTMvMzEvMjAyNgkAAAABMB2mDNn+yd4ILdM+3f7J3gguQ0lRLk5ZU0U6QkFILklRX0dQXzVZUl9BTk5fQ0FHUi45OTQuMTQvMDYvMjAyNgEAAADpcQIAAgAAAAY2Ljk4NjIBCAAAAAUAAAABMQEAAAALLTIwOTUxMjYwOTADAAAAAzE2MAIAAAAENDIzNAQAAAABMAcAAAAJNi8xNC8yMDI2CAAAAAkzLzMxLzIwMjAJAAAAATAdpgzZ/sneCAzBKtz+yd4INENJUS5OWVNFOkJBSC5JUV9ORVRfREVCVF9FQklUREFfQ0FQRVguOTk2LjE0LzA2LzIwMjYBAAAA6XECAAIAAAAIMi45MDQ3NjUBCAAAAAUAAAABMQEAAAALLTE5OTI0MDIwNTkDAAAAAzE2MAIAAAAFMjMzMTQEAAAAATAHAAAACTYvMTQvMjAyNggAAAAJMy8zMS8yMDIyCQAAAAEwHaYM2f7J3giV1yjc/sneCDdDSVEuTllTRTpCQUguSVFfVE9UQUxfUkVWXzFZUl9BTk5fR1JPV1RILjk5NC4xNC8wNi8y</t>
  </si>
  <si>
    <t>MDI2AQAAAOlxAgACAAAABzExLjMzMzUBCAAAAAUAAAABMQEAAAALLTIwOTUxMjYwOTADAAAAAzE2MAIAAAAENDE5NAQAAAABMAcAAAAJNi8xNC8yMDI2CAAAAAkzLzMxLzIwMjAJAAAAATAdpgzZ/sneCJXXKNz+yd4INENJUS5OWVNFOkJBSC5JUV9FQklUREFfMVlSX0FOTl9HUk9XVEguOTk4LjE0LzA2LzIwMjYBAAAA6XECAAIAAAAHMjEuODIzNwEIAAAABQAAAAExAQAAAAstMTg4NzcwNDk5MwMAAAADMTYwAgAAAAQ0MTk2BAAAAAEwBwAAAAk2LzE0LzIwMjYIAAAACTMvMzEvMjAyNAkAAAABMB2mDNn+yd4IDMEq3P7J3ggwQ0lRLk5ZU0U6QkFILklRX05JXzFZUl9BTk5fR1JPV1RILjk5Mi4xNC8wNi8yMDI2AQAAAOlxAgACAAAABzE1LjY2ODMBCAAAAAUAAAABMQEAAAAKMjAzODA5MTA3NwMAAAADMTYwAgAAAAQ0MTk5BAAAAAEwBwAAAAk2LzE0LzIwMjYIAAAACTMvMzEvMjAxOAkAAAABMB2mDNn+yd4IDMEq3P7J3gg6Q0lRLk5ZU0U6QkFILklRX0VCSVREQV9FWENMX09QRVJfTEVBU0VTX0lOVC45OTQuMTQvMDYvMjAyNgEAAADpcQIAAgAAAAg3LjY4Nzk1MwEIAAAABQAAAAExAQAAAAstMjA5NTEyNjA5MAMAAAADMTYwAgAAAAU0OTE3MwQAAAABMAcAAAAJNi8xNC8yMDI2CAAAAAkzLzMxLzIwMjAJAAAAATCSqBXZ/sneCDjlJdz+yd4IQENJUS5OWVNFOkJBSC5JUV9FQklUREFfRVhDTF9PUEVSX0xF</t>
  </si>
  <si>
    <t>QVNFU19DQVBFWF9JTlQuOTk4LjE0LzA2LzIwMjYBAAAA6XECAAIAAAAINy42MzI2NTMBCAAAAAUAAAABMQEAAAALLTE4ODc3MDQ5OTMDAAAAAzE2MAIAAAAFNDkxNzQEAAAAATAHAAAACTYvMTQvMjAyNggAAAAJMy8zMS8yMDI0CQAAAAEwHaYM2f7J3gg45SXc/sneCEFDSVEuTllTRTpCQUguSVFfVE9UQUxfREVCVF9FQklUREFfRVhDTF9PUEVSX0xFQVNFUy45OTIuMTQvMDYvMjAyNgEAAADpcQIAAgAAAAgzLjI4OTI5MQEIAAAABQAAAAExAQAAAAoyMDM4MDkxMDc3AwAAAAMxNjACAAAABTQ4OTk0BAAAAAEwBwAAAAk2LzE0LzIwMjYIAAAACTMvMzEvMjAxOAkAAAABMB2mDNn+yd4IOOUl3P7J3gg/Q0lRLk5ZU0U6QkFILklRX05FVF9ERUJUX0VCSVREQV9FWENMX09QRVJfTEVBU0VTLjk5Ni4xNC8wNi8yMDI2AQAAAOlxAgACAAAACDIuOTEyMTE4AQgAAAAFAAAAATEBAAAACy0xOTkyNDAyMDU5AwAAAAMxNjACAAAABTQ5MTc1BAAAAAEwBwAAAAk2LzE0LzIwMjYIAAAACTMvMzEvMjAyMgkAAAABMB2mDNn+yd4Ildco3P7J3ghHQ0lRLk5ZU0U6QkFILklRX1RPVEFMX0RFQlRfRUJJVERBX0VYQ0xfT1BFUl9MRUFTRVNfQ0FQRVguOTkwLjE0LzA2LzIwMjYBAAAA6XECAAIAAAAIMy44MTY0MjMBCAAAAAUAAAABMQEAAAAKMTg5MTM0Nzg2OQMAAAADMTYwAgAAAAU0OTE4MwQAAAABMAcAAAAJNi8xNC8yMDI2</t>
  </si>
  <si>
    <t>CAAAAAkzLzMxLzIwMTYJAAAAATAdpgzZ/sneCJXXKNz+yd4IL0NJUS5OWVNFOkJBSC5JUV9EQVlTX1BBWUFCTEVfT1VULjk5Mi4xNC8wNi8yMDI2AQAAAOlxAgACAAAACTIzLjQ5NDY4NQEIAAAABQAAAAExAQAAAAoyMDM4MDkxMDc3AwAAAAMxNjACAAAABDQxODMEAAAAATAHAAAACTYvMTQvMjAyNggAAAAJMy8zMS8yMDE4CQAAAAEwkqgV2f7J3gg45SXc/sneCDBDSVEuTllTRTpCQUguSVFfVE9UQUxfREVCVF9FUVVJVFkuOTk2LjE0LzA2LzIwMjYBAAAA6XECAAIAAAAIMjk2LjUyOTcBCAAAAAUAAAABMQEAAAALLTE5OTI0MDIwNTkDAAAAAzE2MAIAAAAENDAzNAQAAAABMAcAAAAJNi8xNC8yMDI2CAAAAAkzLzMxLzIwMjIJAAAAATCSqBXZ/sneCDjlJdz+yd4ILUNJUS5OWVNFOkJBSC5JUV9MVF9ERUJUX0VRVUlUWS45OTAuMTQvMDYvMjAyNgEAAADpcQIAAgAAAAgzNjMuNDAwNgEIAAAABQAAAAExAQAAAAoxODkxMzQ3ODY5AwAAAAMxNjACAAAABDQwODUEAAAAATAHAAAACTYvMTQvMjAyNggAAAAJMy8zMS8yMDE2CQAAAAEwkqgV2f7J3gg45SXc/sneCDZDSVEuTllTRTpCQUguSVFfVE9UQUxfTElBQl9UT1RBTF9BU1NFVFMuOTk0LjE0LzA2LzIwMjYBAAAA6XECAAIAAAAHODIuMTM2NwEIAAAABQAAAAExAQAAAAstMjA5NTEyNjA5MAMAAAADMTYwAgAAAAQ0MTg4BAAAAAEwBwAAAAk2LzE0LzIwMjYI</t>
  </si>
  <si>
    <t>AAAACTMvMzEvMjAyMAkAAAABMJKoFdn+yd4IOOUl3P7J3ggoQ0lRLk5ZU0U6QkFILklRX0VCSVRfSU5ULjEwMDAuMTQvMDYvMjAyNgEAAADpcQIAAgAAAAg1Ljk1MTA4NgEIAAAABQAAAAExAQAAAAstMTg4NzcwNDk3NwMAAAADMTYwAgAAAAQ0MTg5BAAAAAEwBwAAAAk2LzE0LzIwMjYIAAAACTMvMzEvMjAyNgkAAAABMJKoFdn+yd4I1w9A3f7J3ggqQ0lRLk5ZU0U6QkFILklRX0FTU0VUX1RVUk5TLjk5MC4xNC8wNi8yMDI2AQAAAOlxAgACAAAACDEuODQwNTE2AQgAAAAFAAAAATEBAAAACjE4OTEzNDc4NjkDAAAAAzE2MAIAAAAENDE3NwQAAAABMAcAAAAJNi8xNC8yMDI2CAAAAAkzLzMxLzIwMTYJAAAAATCGKxTZ/sneCHuAI9z+yd4IJ0NJUS5OWVNFOkJBSC5JUV9BUl9UVVJOUy45OTQuMTQvMDYvMjAyNgEAAADpcQIAAgAAAAc1LjM1MDc0AQgAAAAFAAAAATEBAAAACy0yMDk1MTI2MDkwAwAAAAMxNjACAAAABDQwMDEEAAAAATAHAAAACTYvMTQvMjAyNggAAAAJMy8zMS8yMDIwCQAAAAEwhisU2f7J3gh7gCPc/sneCC9DSVEuTllTRTpCQUguSVFfSU5WRU5UT1JZX1RVUk5TLjEwMDAuMTQvMDYvMjAyNgEAAADpcQIAAwAAAAAAhisU2f7J3gjXD0Dd/sneCC9DSVEuTllTRTpCQUguSVFfQ0ZPX0NVUlJFTlRfTElBQi45OTIuMTQvMDYvMjAyNgEAAADpcQIAAgAAAAcwLjM1ODgyAQgAAAAFAAAAATEBAAAA</t>
  </si>
  <si>
    <t>CjIwMzgwOTEwNzcDAAAAAzE2MAIAAAAENDE4NQQAAAABMAcAAAAJNi8xNC8yMDI2CAAAAAkzLzMxLzIwMTgJAAAAATCGKxTZ/sneCHuAI9z+yd4ILUNJUS5OWVNFOkJBSC5JUV9EQVlTX1NBTEVTX09VVC45OTguMTQvMDYvMjAyNgEAAADpcQIAAgAAAAk2NS41OTY3MTYBCAAAAAUAAAABMQEAAAALLTE4ODc3MDQ5OTMDAAAAAzE2MAIAAAAENDA0MgQAAAABMAcAAAAJNi8xNC8yMDI2CAAAAAkzLzMxLzIwMjQJAAAAATCSqBXZ/sneCHuAI9z+yd4IJkNJUS5OWVNFOkJBSC5JUV9HQUFQX0JTLjk5NC4xNC8wNi8yMDI2AQAAAOlxAgADAAAAB1VTIEdBQVAAhisU2f7J3gj2DiHc/sneCCxDSVEuTllTRTpCQUguSVFfUkVUVVJOX0VRVUlUWS45OTIuMTQvMDYvMjAyNgEAAADpcQIAAgAAAAc1My4xMTA5AQgAAAAFAAAAATEBAAAACjIwMzgwOTEwNzcDAAAAAzE2MAIAAAAENDEyOAQAAAABMAcAAAAJNi8xNC8yMDI2CAAAAAkzLzMxLzIwMTgJAAAAATCGKxTZ/sneCHuAI9z+yd4IM0NJUS5OWVNFOkJBSC5JUV9SRVRVUk5fQ09NTU9OX0VRVUlUWS45OTguMTQvMDYvMjAyNgEAAADpcQIAAgAAAAc1OC45NTA0AQgAAAAFAAAAATEBAAAACy0xODg3NzA0OTkzAwAAAAMxNjACAAAABTMzMzIwBAAAAAEwBwAAAAk2LzE0LzIwMjYIAAAACTMvMzEvMjAyNAkAAAABMIYrFNn+yd4Ie4Aj3P7J3ggqQ0lRLk5ZU0U6QkFILklR</t>
  </si>
  <si>
    <t>X0VCSVRfTUFSR0lOLjk5MC4xNC8wNi8yMDI2AQAAAOlxAgACAAAABjguMjI0MgEIAAAABQAAAAExAQAAAAoxODkxMzQ3ODY5AwAAAAMxNjACAAAABDQwNTMEAAAAATAHAAAACTYvMTQvMjAyNggAAAAJMy8zMS8yMDE2CQAAAAEwhisU2f7J3gh7gCPc/sneCChDSVEuTllTRTpCQUguSVFfTklfTUFSR0lOLjk5Ni4xNC8wNi8yMDI2AQAAAOlxAgACAAAABjUuNTgwNQEIAAAABQAAAAExAQAAAAstMTk5MjQwMjA1OQMAAAADMTYwAgAAAAQ0MDk0BAAAAAEwBwAAAAk2LzE0LzIwMjYIAAAACTMvMzEvMjAyMgkAAAABMIYrFNn+yd4Ie4Aj3P7J3gguQ0lRLk5ZU0U6QkFILklRX1JFU1RBVEVNRU5UX0JTLjEwMDAuMTQvMDYvMjAyNgEAAADpcQIAAwAAAAFPAIYrFNn+yd4IKvhA3f7J3ggtQ0lRLk5ZU0U6QkFILklRX0NPU1RfQk9SUk9XSU5HLjk5MC4xNC8wNi8yMDI2AQAAAOlxAgACAAAABjQuMjI4MwEIAAAABQAAAAExAQAAAAoxODkxMzQ3ODY5AwAAAAMxNjACAAAABTIxNjgxBAAAAAEwBwAAAAk2LzE0LzIwMjYIAAAACTMvMzEvMjAxNgkAAAABMIYrFNn+yd4I9g4h3P7J3ggoQ0lRLk5ZU0U6QkFILklRX1BBUlRfVElNRS45OTAuMTQvMDYvMjAyNgEAAADpcQIAAwAAAAAAhisU2f7J3gj2DiHc/sneCD5DSVEuTllTRTpCQUguSVFfRU1QTE9ZRUVTX1VOREVSX1VOSU9OX0NPTlRSQUNUUy45OTQuMTQvMDYvMjAy</t>
  </si>
  <si>
    <t>NgEAAADpcQIAAwAAAAAAhisU2f7J3gj2DiHc/sneCC1DSVEuTllTRTpCQUguSVFfQVZHX0VNUExPWUVFUy4xMDAwLjE0LzA2LzIwMjYBAAAA6XECAAMAAAAAAIYrFNn+yd4IKvhA3f7J3ggpQ0lRLk5ZU0U6QkFILklRX0lOVl9NRVRIT0QuOTk0LjE0LzA2LzIwMjYBAAAA6XECAAMAAAACTkEASkdH2f7J3gj2DiHc/sneCDxDSVEuTllTRTpCQUguSVFfVE9UQUxfT1VUU1RBTkRJTkdfRklMSU5HX0RBVEUuOTk2LjE0LzA2LzIwMjYBAAAA6XECAAIAAAAKMTMyLjE4NTczNQEEAAAABQAAAAE1AQAAAAstMTk5MjQwMjA1OQIAAAAFMjQxNTMGAAAAATBKR0fZ/sneCCmnHtz+yd4IMENJUS5OWVNFOkJBSC5JUV9FQklUXzNZUl9BTk5fQ0FHUi45OTcuMTQvMDYvMjAyNgEAAADpcQIAAgAAAAU2Ljg3NQEIAAAABQAAAAExAQAAAAstMTk0MTU0Njg3MQMAAAADMTYwAgAAAAQ0MjIzBAAAAAEwBwAAAAk2LzE0LzIwMjYIAAAACTMvMzEvMjAyMwkAAAABMB2mDNn+yd4IDMEq3P7J3ggvQ0lRLk5ZU0U6QkFILklRX0VQU18zWVJfQU5OX0NBR1IuOTkxLjE0LzA2LzIwMjYBAAAA6XECAAIAAAAFMy43NTkBCAAAAAUAAAABMQEAAAAKMTk2NTc3MjQyMgMAAAADMTYwAgAAAAQ0MjI2BAAAAAEwBwAAAAk2LzE0LzIwMjYIAAAACTMvMzEvMjAxNwkAAAABMB2mDNn+yd4IDMEq3P7J3gguQ0lRLk5ZU0U6QkFILklRX0dQXzVZUl9B</t>
  </si>
  <si>
    <t>Tk5fQ0FHUi45OTUuMTQvMDYvMjAyNgEAAADpcQIAAgAAAAY3LjM5NzkBCAAAAAUAAAABMQEAAAALLTIwNDMyMTUzOTIDAAAAAzE2MAIAAAAENDIzNAQAAAABMAcAAAAJNi8xNC8yMDI2CAAAAAkzLzMxLzIwMjEJAAAAATAdpgzZ/sneCAzBKtz+yd4IL0NJUS5OWVNFOkJBSC5JUV9FUFNfNVlSX0FOTl9DQUdSLjk5My4xNC8wNi8yMDI2AQAAAOlxAgACAAAABzEzLjU3NzgBCAAAAAUAAAABMQEAAAAKMjA5OTA4NzEzMwMAAAADMTYwAgAAAAQ0MjM5BAAAAAEwBwAAAAk2LzE0LzIwMjYIAAAACTMvMzEvMjAxOQkAAAABMB2mDNn+yd4IwzQt3P7J3gg3Q0lRLk5ZU0U6QkFILklRX1RPVEFMX1JFVl8xWVJfQU5OX0dST1dUSC45OTUuMTQvMDYvMjAyNgEAAADpcQIAAgAAAAY1LjI5MzQBCAAAAAUAAAABMQEAAAALLTIwNDMyMTUzOTIDAAAAAzE2MAIAAAAENDE5NAQAAAABMAcAAAAJNi8xNC8yMDI2CAAAAAkzLzMxLzIwMjEJAAAAATAdpgzZ/sneCJXXKNz+yd4IMUNJUS5OWVNFOkJBSC5JUV9HUF8xWVJfQU5OX0dST1dUSC4yMDAwLjE0LzA2LzIwMjYBAAAA6XECAAIAAAAHLTkuODE2NwEIAAAABQAAAAExAQAAAAstMTg4NzcwNDM0MQMAAAADMTYwAgAAAAQ0MTk1BAAAAAEwBwAAAAk2LzE0LzIwMjYIAAAACTMvMzEvMjAyNgkAAAABMB2mDNn+yd4IDMEq3P7J3ggwQ0lRLk5ZU0U6QkFILklRX05JXzFZUl9BTk5f</t>
  </si>
  <si>
    <t>R1JPV1RILjk5My4xNC8wNi8yMDI2AQAAAOlxAgACAAAABzM4LjcyNzIBCAAAAAUAAAABMQEAAAAKMjA5OTA4NzEzMwMAAAADMTYwAgAAAAQ0MTk5BAAAAAEwBwAAAAk2LzE0LzIwMjYIAAAACTMvMzEvMjAxOQkAAAABMB2mDNn+yd4IDMEq3P7J3ggxQ0lRLk5ZU0U6QkFILklRX0VQU18xWVJfQU5OX0dST1dUSC45OTkuMTQvMDYvMjAyNgEAAADpcQIAAgAAAAY1Ny45NTIBCAAAAAUAAAABMQEAAAALLTE4ODc3MDUwMDEDAAAAAzE2MAIAAAAENDIwMAQAAAABMAcAAAAJNi8xNC8yMDI2CAAAAAkzLzMxLzIwMjUJAAAAATAdpgzZ/sneCC3TPt3+yd4IMkNJUS5OWVNFOkJBSC5JUV9FQklUREFfM1lSX0FOTl9DQUdSLjk5MS4xNC8wNi8yMDI2AQAAAOlxAgACAAAABjEuNzU2OQEIAAAABQAAAAExAQAAAAoxOTY1NzcyNDIyAwAAAAMxNjACAAAABDQyMjIEAAAAATAHAAAACTYvMTQvMjAyNggAAAAJMy8zMS8yMDE3CQAAAAEwHaYM2f7J3ggMwSrc/sneCEFDSVEuTllTRTpCQUguSVFfVE9UQUxfREVCVF9FQklUREFfRVhDTF9PUEVSX0xFQVNFUy45OTMuMTQvMDYvMjAyNgEAAADpcQIAAgAAAAgyLjc3OTc5NgEIAAAABQAAAAExAQAAAAoyMDk5MDg3MTMzAwAAAAMxNjACAAAABTQ4OTk0BAAAAAEwBwAAAAk2LzE0LzIwMjYIAAAACTMvMzEvMjAxOQkAAAABMB2mDNn+yd4IOOUl3P7J3gguQ0lRLk5ZU0U6QkFILklR</t>
  </si>
  <si>
    <t>X05FVF9ERUJUX0VCSVREQS45OTkuMTQvMDYvMjAyNgEAAADpcQIAAgAAAAgyLjI4NjY5NAEIAAAABQAAAAExAQAAAAstMTg4NzcwNTAwMQMAAAADMTYwAgAAAAQ0MTkzBAAAAAEwBwAAAAk2LzE0LzIwMjYIAAAACTMvMzEvMjAyNQkAAAABMB2mDNn+yd4ILdM+3f7J3ghHQ0lRLk5ZU0U6QkFILklRX1RPVEFMX0RFQlRfRUJJVERBX0VYQ0xfT1BFUl9MRUFTRVNfQ0FQRVguOTkxLjE0LzA2LzIwMjYBAAAA6XECAAIAAAAHMy40MzQ0MQEIAAAABQAAAAExAQAAAAoxOTY1NzcyNDIyAwAAAAMxNjACAAAABTQ5MTgzBAAAAAEwBwAAAAk2LzE0LzIwMjYIAAAACTMvMzEvMjAxNwkAAAABMB2mDNn+yd4Ildco3P7J3gg0Q0lRLk5ZU0U6QkFILklRX05FVF9ERUJUX0VCSVREQV9DQVBFWC45OTcuMTQvMDYvMjAyNgEAAADpcQIAAgAAAAgyLjcwMDgwNQEIAAAABQAAAAExAQAAAAstMTk0MTU0Njg3MQMAAAADMTYwAgAAAAUyMzMxNAQAAAABMAcAAAAJNi8xNC8yMDI2CAAAAAkzLzMxLzIwMjMJAAAAATAdpgzZ/sneCJXXKNz+yd4ILUNJUS5OWVNFOkJBSC5JUV9MVF9ERUJUX0VRVUlUWS45OTEuMTQvMDYvMjAyNgEAAADpcQIAAgAAAAgyNTYuMzEwNQEIAAAABQAAAAExAQAAAAoxOTY1NzcyNDIyAwAAAAMxNjACAAAABDQwODUEAAAAATAHAAAACTYvMTQvMjAyNggAAAAJMy8zMS8yMDE3CQAAAAEwkqgV2f7J3gg45SXc</t>
  </si>
  <si>
    <t>/sneCC5DSVEuTllTRTpCQUguSVFfTFRfREVCVF9DQVBJVEFMLjk5Ny4xNC8wNi8yMDI2AQAAAOlxAgACAAAABzczLjI1NDgBCAAAAAUAAAABMQEAAAALLTE5NDE1NDY4NzEDAAAAAzE2MAIAAAAENDE4NwQAAAABMAcAAAAJNi8xNC8yMDI2CAAAAAkzLzMxLzIwMjMJAAAAATCSqBXZ/sneCDjlJdz+yd4IKENJUS5OWVNFOkJBSC5JUV9FQklUX0lOVC4yMDAwLjE0LzA2LzIwMjYBAAAA6XECAAIAAAAINS45NTEwODYBCAAAAAUAAAABMQEAAAALLTE4ODc3MDQzNDEDAAAAAzE2MAIAAAAENDE4OQQAAAABMAcAAAAJNi8xNC8yMDI2CAAAAAkzLzMxLzIwMjYJAAAAATCSqBXZ/sneCDjlJdz+yd4IOkNJUS5OWVNFOkJBSC5JUV9FQklUREFfRVhDTF9PUEVSX0xFQVNFU19JTlQuOTk1LjE0LzA2LzIwMjYBAAAA6XECAAIAAAAJMTAuMjY3NjE0AQgAAAAFAAAAATEBAAAACy0yMDQzMjE1MzkyAwAAAAMxNjACAAAABTQ5MTczBAAAAAEwBwAAAAk2LzE0LzIwMjYIAAAACTMvMzEvMjAyMQkAAAABMJKoFdn+yd4IOOUl3P7J3ghAQ0lRLk5ZU0U6QkFILklRX0VCSVREQV9FWENMX09QRVJfTEVBU0VTX0NBUEVYX0lOVC45OTkuMTQvMDYvMjAyNgEAAADpcQIAAgAAAAU3LjYyNQEIAAAABQAAAAExAQAAAAstMTg4NzcwNTAwMQMAAAADMTYwAgAAAAU0OTE3NAQAAAABMAcAAAAJNi8xNC8yMDI2CAAAAAkzLzMxLzIwMjUJAAAA</t>
  </si>
  <si>
    <t>ATAdpgzZ/sneCC3TPt3+yd4IJ0NJUS5OWVNFOkJBSC5JUV9BUl9UVVJOUy45OTUuMTQvMDYvMjAyNgEAAADpcQIAAgAAAAg1LjQ3NDAwOAEIAAAABQAAAAExAQAAAAstMjA0MzIxNTM5MgMAAAADMTYwAgAAAAQ0MDAxBAAAAAEwBwAAAAk2LzE0LzIwMjYIAAAACTMvMzEvMjAyMQkAAAABMIYrFNn+yd4Ie4Aj3P7J3ggqQ0lRLk5ZU0U6QkFILklRX1FVSUNLX1JBVElPLjk5NS4xNC8wNi8yMDI2AQAAAOlxAgACAAAACDEuOTk3MDQxAQgAAAAFAAAAATEBAAAACy0yMDQzMjE1MzkyAwAAAAMxNjACAAAABDQxMjEEAAAAATAHAAAACTYvMTQvMjAyNggAAAAJMy8zMS8yMDIxCQAAAAEwhisU2f7J3gh7gCPc/sneCC1DSVEuTllTRTpCQUguSVFfREFZU19TQUxFU19PVVQuOTk5LjE0LzA2LzIwMjYBAAAA6XECAAIAAAAJNjUuNzc5MjA1AQgAAAAFAAAAATEBAAAACy0xODg3NzA1MDAxAwAAAAMxNjACAAAABDQwNDIEAAAAATAHAAAACTYvMTQvMjAyNggAAAAJMy8zMS8yMDI1CQAAAAEwkqgV2f7J3gjXD0Dd/sneCC9DSVEuTllTRTpCQUguSVFfREFZU19QQVlBQkxFX09VVC45OTMuMTQvMDYvMjAyNgEAAADpcQIAAgAAAAkyNy4wODQwOTUBCAAAAAUAAAABMQEAAAAKMjA5OTA4NzEzMwMAAAADMTYwAgAAAAQ0MTgzBAAAAAEwBwAAAAk2LzE0LzIwMjYIAAAACTMvMzEvMjAxOQkAAAABMJKoFdn+yd4IOOUl3P7J3ggw</t>
  </si>
  <si>
    <t>Q0lRLk5ZU0U6QkFILklRX1RPVEFMX0RFQlRfRVFVSVRZLjk5Ny4xNC8wNi8yMDI2AQAAAOlxAgACAAAABzMwOC43NTkBCAAAAAUAAAABMQEAAAALLTE5NDE1NDY4NzEDAAAAAzE2MAIAAAAENDAzNAQAAAABMAcAAAAJNi8xNC8yMDI2CAAAAAkzLzMxLzIwMjMJAAAAATCSqBXZ/sneCDjlJdz+yd4ILENJUS5OWVNFOkJBSC5JUV9SRVRVUk5fRVFVSVRZLjk5My4xNC8wNi8yMDI2AQAAAOlxAgACAAAABzY3LjYyMTUBCAAAAAUAAAABMQEAAAAKMjA5OTA4NzEzMwMAAAADMTYwAgAAAAQ0MTI4BAAAAAEwBwAAAAk2LzE0LzIwMjYIAAAACTMvMzEvMjAxOQkAAAABMIYrFNn+yd4Ie4Aj3P7J3ggzQ0lRLk5ZU0U6QkFILklRX1JFVFVSTl9DT01NT05fRVFVSVRZLjk5OS4xNC8wNi8yMDI2AQAAAOlxAgACAAAABzkwLjczMTcBCAAAAAUAAAABMQEAAAALLTE4ODc3MDUwMDEDAAAAAzE2MAIAAAAFMzMzMjAEAAAAATAHAAAACTYvMTQvMjAyNggAAAAJMy8zMS8yMDI1CQAAAAEwhisU2f7J3gjXD0Dd/sneCCxDSVEuTllTRTpCQUguSVFfRUJJVERBX01BUkdJTi45OTMuMTQvMDYvMjAyNgEAAADpcQIAAgAAAAY5LjkwMDQBCAAAAAUAAAABMQEAAAAKMjA5OTA4NzEzMwMAAAADMTYwAgAAAAQ0MDQ3BAAAAAEwBwAAAAk2LzE0LzIwMjYIAAAACTMvMzEvMjAxOQkAAAABMIYrFNn+yd4Ie4Aj3P7J3ggoQ0lRLk5ZU0U6QkFI</t>
  </si>
  <si>
    <t>LklRX05JX01BUkdJTi45OTcuMTQvMDYvMjAyNgEAAADpcQIAAgAAAAYyLjkzNzYBCAAAAAUAAAABMQEAAAALLTE5NDE1NDY4NzEDAAAAAzE2MAIAAAAENDA5NAQAAAABMAcAAAAJNi8xNC8yMDI2CAAAAAkzLzMxLzIwMjMJAAAAATCGKxTZ/sneCHuAI9z+yd4IKkNJUS5OWVNFOkJBSC5JUV9BU1NFVF9UVVJOUy45OTEuMTQvMDYvMjAyNgEAAADpcQIAAgAAAAgxLjgyMDIyMgEIAAAABQAAAAExAQAAAAoxOTY1NzcyNDIyAwAAAAMxNjACAAAABDQxNzcEAAAAATAHAAAACTYvMTQvMjAyNggAAAAJMy8zMS8yMDE3CQAAAAEwhisU2f7J3gh7gCPc/sneCC1DSVEuTllTRTpCQUguSVFfUkVTVEFURU1FTlRfQlMuOTkxLjE0LzA2LzIwMjYBAAAA6XECAAMAAAACTkMAhisU2f7J3gj2DiHc/sneCCZDSVEuTllTRTpCQUguSVFfR0FBUF9CUy45OTUuMTQvMDYvMjAyNgEAAADpcQIAAwAAAAdVUyBHQUFQAIYrFNn+yd4I9g4h3P7J3ggqQ0lRLk5ZU0U6QkFILklRX1BFUklPRERBVEUuMTk5OS4xNC8wNi8yMDI2AQAAAOlxAgAFAAAACjMxLzEyLzIwMjUAhisU2f7J3gj2DiHc/sneCC1DSVEuTllTRTpCQUguSVFfQ09TVF9CT1JST1dJTkcuOTkxLjE0LzA2LzIwMjYBAAAA6XECAAIAAAAGMy42NDI1AQgAAAAFAAAAATEBAAAACjE5NjU3NzI0MjIDAAAAAzE2MAIAAAAFMjE2ODEEAAAAATAHAAAACTYvMTQvMjAyNggAAAAJ</t>
  </si>
  <si>
    <t>My8zMS8yMDE3CQAAAAEwhisU2f7J3gj2DiHc/sneCD5DSVEuTllTRTpCQUguSVFfRU1QTE9ZRUVTX1VOREVSX1VOSU9OX0NPTlRSQUNUUy45OTUuMTQvMDYvMjAyNgEAAADpcQIAAwAAAAAAhisU2f7J3gj2DiHc/sneCC1DSVEuTllTRTpCQUguSVFfQVZHX0VNUExPWUVFUy4yMDAwLjE0LzA2LzIwMjYBAAAA6XECAAMAAAAAAIYrFNn+yd4I9g4h3P7J3ggwQ0lRLk5ZU0U6QkFILklRX05VTUJFUl9BRFJIT0xERVJTLjk5NS4xNC8wNi8yMDI2AQAAAOlxAgADAAAAAACGKxTZ/sneCPYOIdz+yd4IKENJUS5OWVNFOkJBSC5JUV9QQVJUX1RJTUUuOTkxLjE0LzA2LzIwMjYBAAAA6XECAAMAAAAAAIYrFNn+yd4I9g4h3P7J3ggpQ0lRLk5ZU0U6QkFILklRX0lOVl9NRVRIT0QuOTk1LjE0LzA2LzIwMjYBAAAA6XECAAMAAAACTkEASkdH2f7J3gj2DiHc/sneCDxDSVEuTllTRTpCQUguSVFfVE9UQUxfT1VUU1RBTkRJTkdfRklMSU5HX0RBVEUuOTk3LjE0LzA2LzIwMjYBAAAA6XECAAIAAAAKMTMwLjgyNDU0NAEEAAAABQAAAAE1AQAAAAstMTk0MTU0Njg3MQIAAAAFMjQxNTMGAAAAATBKR0fZ/sneCCmnHtz+yd4IMENJUS5OWVNFOkJBSC5JUV9FQklUXzVZUl9BTk5fQ0FHUi45OTAuMTQvMDYvMjAyNgEAAADpcQIAAgAAAAY2LjgzNDYBCAAAAAUAAAABMQEAAAAKMTg5MTM0Nzg2OQMAAAADMTYwAgAAAAQ0MjM2BAAA</t>
  </si>
  <si>
    <t>AAEwBwAAAAk2LzE0LzIwMjYIAAAACTMvMzEvMjAxNgkAAAABMB2mDNn+yd4IDMEq3P7J3gguQ0lRLk5ZU0U6QkFILklRX05JXzVZUl9BTk5fQ0FHUi45OTYuMTQvMDYvMjAyNgEAAADpcQIAAgAAAAcxMi4zNDI4AQgAAAAFAAAAATEBAAAACy0xOTkyNDAyMDU5AwAAAAMxNjACAAAABDQyMzgEAAAAATAHAAAACTYvMTQvMjAyNggAAAAJMy8zMS8yMDIyCQAAAAEwHaYM2f7J3gjDNC3c/sneCDJDSVEuTllTRTpCQUguSVFfRVBTXzFZUl9BTk5fR1JPV1RILjEwMDAuMTQvMDYvMjAyNgEAAADpcQIAAgAAAActNC44Mjc2AQgAAAAFAAAAATEBAAAACy0xODg3NzA0OTc3AwAAAAMxNjACAAAABDQyMDAEAAAAATAHAAAACTYvMTQvMjAyNggAAAAJMy8zMS8yMDI2CQAAAAEwHaYM2f7J3ggt0z7d/sneCC5DSVEuTllTRTpCQUguSVFfR1BfM1lSX0FOTl9DQUdSLjk5NC4xNC8wNi8yMDI2AQAAAOlxAgACAAAABjguOTg5OAEIAAAABQAAAAExAQAAAAstMjA5NTEyNjA5MAMAAAADMTYwAgAAAAQ0MjIxBAAAAAEwBwAAAAk2LzE0LzIwMjYIAAAACTMvMzEvMjAyMAkAAAABMB2mDNn+yd4IDMEq3P7J3ggwQ0lRLk5ZU0U6QkFILklRX0VCSVRfM1lSX0FOTl9DQUdSLjk5OC4xNC8wNi8yMDI2AQAAAOlxAgACAAAABzEwLjk2NzMBCAAAAAUAAAABMQEAAAALLTE4ODc3MDQ5OTMDAAAAAzE2MAIAAAAENDIyMwQAAAABMAcAAAAJ</t>
  </si>
  <si>
    <t>Ni8xNC8yMDI2CAAAAAkzLzMxLzIwMjQJAAAAATAdpgzZ/sneCAzBKtz+yd4IL0NJUS5OWVNFOkJBSC5JUV9FUFNfM1lSX0FOTl9DQUdSLjk5Mi4xNC8wNi8yMDI2AQAAAOlxAgACAAAABzEwLjAyNzgBCAAAAAUAAAABMQEAAAAKMjAzODA5MTA3NwMAAAADMTYwAgAAAAQ0MjI2BAAAAAEwBwAAAAk2LzE0LzIwMjYIAAAACTMvMzEvMjAxOAkAAAABMB2mDNn+yd4IDMEq3P7J3gguQ0lRLk5ZU0U6QkFILklRX0dQXzVZUl9BTk5fQ0FHUi45OTYuMTQvMDYvMjAyNgEAAADpcQIAAgAAAAY3LjU5OTQBCAAAAAUAAAABMQEAAAALLTE5OTI0MDIwNTkDAAAAAzE2MAIAAAAENDIzNAQAAAABMAcAAAAJNi8xNC8yMDI2CAAAAAkzLzMxLzIwMjIJAAAAATAdpgzZ/sneCAzBKtz+yd4INENJUS5OWVNFOkJBSC5JUV9ORVRfREVCVF9FQklUREFfQ0FQRVguOTk4LjE0LzA2LzIwMjYBAAAA6XECAAIAAAAIMi41NjkxNjYBCAAAAAUAAAABMQEAAAALLTE4ODc3MDQ5OTMDAAAAAzE2MAIAAAAFMjMzMTQEAAAAATAHAAAACTYvMTQvMjAyNggAAAAJMy8zMS8yMDI0CQAAAAEwHaYM2f7J3giV1yjc/sneCDdDSVEuTllTRTpCQUguSVFfVE9UQUxfUkVWXzFZUl9BTk5fR1JPV1RILjk5Ni4xNC8wNi8yMDI2AQAAAOlxAgACAAAABjYuNDIyNwEIAAAABQAAAAExAQAAAAstMTk5MjQwMjA1OQMAAAADMTYwAgAAAAQ0MTk0BAAAAAEwBwAA</t>
  </si>
  <si>
    <t>AAk2LzE0LzIwMjYIAAAACTMvMzEvMjAyMgkAAAABMB2mDNn+yd4Ildco3P7J3gg0Q0lRLk5ZU0U6QkFILklRX0VCSVREQV8xWVJfQU5OX0dST1dUSC45OTAuMTQvMDYvMjAyNgEAAADpcQIAAgAAAActMi45NDU5AQgAAAAFAAAAATEBAAAACjE4OTEzNDc4NjkDAAAAAzE2MAIAAAAENDE5NgQAAAABMAcAAAAJNi8xNC8yMDI2CAAAAAkzLzMxLzIwMTYJAAAAATAdpgzZ/sneCAzBKtz+yd4IMENJUS5OWVNFOkJBSC5JUV9OSV8xWVJfQU5OX0dST1dUSC45OTQuMTQvMDYvMjAyNgEAAADpcQIAAgAAAAcxNS4zMDkzAQgAAAAFAAAAATEBAAAACy0yMDk1MTI2MDkwAwAAAAMxNjACAAAABDQxOTkEAAAAATAHAAAACTYvMTQvMjAyNggAAAAJMy8zMS8yMDIwCQAAAAEwHaYM2f7J3ggMwSrc/sneCDpDSVEuTllTRTpCQUguSVFfRUJJVERBX0VYQ0xfT1BFUl9MRUFTRVNfSU5ULjk5Ni4xNC8wNi8yMDI2AQAAAOlxAgACAAAACDguOTUzNDA2AQgAAAAFAAAAATEBAAAACy0xOTkyNDAyMDU5AwAAAAMxNjACAAAABTQ5MTczBAAAAAEwBwAAAAk2LzE0LzIwMjYIAAAACTMvMzEvMjAyMgkAAAABMJKoFdn+yd4IOOUl3P7J3ghAQ0lRLk5ZU0U6QkFILklRX0VCSVREQV9FWENMX09QRVJfTEVBU0VTX0NBUEVYX0lOVC45OTAuMTQvMDYvMjAyNgEAAADpcQIAAgAAAAY2LjIwNjEBCAAAAAUAAAABMQEAAAAKMTg5MTM0Nzg2OQMA</t>
  </si>
  <si>
    <t>AAADMTYwAgAAAAU0OTE3NAQAAAABMAcAAAAJNi8xNC8yMDI2CAAAAAkzLzMxLzIwMTYJAAAAATCSqBXZ/sneCDjlJdz+yd4IQUNJUS5OWVNFOkJBSC5JUV9UT1RBTF9ERUJUX0VCSVREQV9FWENMX09QRVJfTEVBU0VTLjk5NC4xNC8wNi8yMDI2AQAAAOlxAgACAAAACDMuNDM2Njc2AQgAAAAFAAAAATEBAAAACy0yMDk1MTI2MDkwAwAAAAMxNjACAAAABTQ4OTk0BAAAAAEwBwAAAAk2LzE0LzIwMjYIAAAACTMvMzEvMjAyMAkAAAABMB2mDNn+yd4IOOUl3P7J3ggvQ0lRLk5ZU0U6QkFILklRX05FVF9ERUJUX0VCSVREQS4xMDAwLjE0LzA2LzIwMjYBAAAA6XECAAIAAAAIMi41NDYxMzYBCAAAAAUAAAABMQEAAAALLTE4ODc3MDQ5NzcDAAAAAzE2MAIAAAAENDE5MwQAAAABMAcAAAAJNi8xNC8yMDI2CAAAAAkzLzMxLzIwMjYJAAAAATAdpgzZ/sneCC3TPt3+yd4IR0NJUS5OWVNFOkJBSC5JUV9UT1RBTF9ERUJUX0VCSVREQV9FWENMX09QRVJfTEVBU0VTX0NBUEVYLjk5Mi4xNC8wNi8yMDI2AQAAAOlxAgACAAAACDMuODA2NTc1AQgAAAAFAAAAATEBAAAACjIwMzgwOTEwNzcDAAAAAzE2MAIAAAAFNDkxODMEAAAAATAHAAAACTYvMTQvMjAyNggAAAAJMy8zMS8yMDE4CQAAAAEwHaYM2f7J3giV1yjc/sneCC9DSVEuTllTRTpCQUguSVFfREFZU19QQVlBQkxFX09VVC45OTQuMTQvMDYvMjAyNgEAAADpcQIAAgAA</t>
  </si>
  <si>
    <t>AAkyNy40MTYzMjgBCAAAAAUAAAABMQEAAAALLTIwOTUxMjYwOTADAAAAAzE2MAIAAAAENDE4MwQAAAABMAcAAAAJNi8xNC8yMDI2CAAAAAkzLzMxLzIwMjAJAAAAATCSqBXZ/sneCDjlJdz+yd4IL0NJUS5OWVNFOkJBSC5JUV9DQVNIX0NPTlZFUlNJT04uMTAwMC4xNC8wNi8yMDI2AQAAAOlxAgADAAAAAACSqBXZ/sneCNcPQN3+yd4ILUNJUS5OWVNFOkJBSC5JUV9MVF9ERUJUX0VRVUlUWS45OTIuMTQvMDYvMjAyNgEAAADpcQIAAgAAAAgzMTIuMDkwMQEIAAAABQAAAAExAQAAAAoyMDM4MDkxMDc3AwAAAAMxNjACAAAABDQwODUEAAAAATAHAAAACTYvMTQvMjAyNggAAAAJMy8zMS8yMDE4CQAAAAEwkqgV2f7J3gg45SXc/sneCC5DSVEuTllTRTpCQUguSVFfTFRfREVCVF9DQVBJVEFMLjk5OC4xNC8wNi8yMDI2AQAAAOlxAgACAAAABzc1LjQwNTYBCAAAAAUAAAABMQEAAAALLTE4ODc3MDQ5OTMDAAAAAzE2MAIAAAAENDE4NwQAAAABMAcAAAAJNi8xNC8yMDI2CAAAAAkzLzMxLzIwMjQJAAAAATCSqBXZ/sneCDjlJdz+yd4IKUNJUS5OWVNFOkJBSC5JUV9FQklUREFfSU5ULjk5MC4xNC8wNi8yMDI2AQAAAOlxAgACAAAACDcuMTQ3MDczAQgAAAAFAAAAATEBAAAACjE4OTEzNDc4NjkDAAAAAzE2MAIAAAAENDE5MAQAAAABMAcAAAAJNi8xNC8yMDI2CAAAAAkzLzMxLzIwMTYJAAAAATCSqBXZ/sneCDjlJdz+</t>
  </si>
  <si>
    <t>yd4IKkNJUS5OWVNFOkJBSC5JUV9BU1NFVF9UVVJOUy45OTIuMTQvMDYvMjAyNgEAAADpcQIAAgAAAAcxLjc2NzI5AQgAAAAFAAAAATEBAAAACjIwMzgwOTEwNzcDAAAAAzE2MAIAAAAENDE3NwQAAAABMAcAAAAJNi8xNC8yMDI2CAAAAAkzLzMxLzIwMTgJAAAAATCGKxTZ/sneCHuAI9z+yd4IMENJUS5OWVNFOkJBSC5JUV9GSVhFRF9BU1NFVF9UVVJOUy45OTguMTQvMDYvMjAyNgEAAADpcQIAAgAAAAkyOC42MjM0MzMBCAAAAAUAAAABMQEAAAALLTE4ODc3MDQ5OTMDAAAAAzE2MAIAAAAENDA2NgQAAAABMAcAAAAJNi8xNC8yMDI2CAAAAAkzLzMxLzIwMjQJAAAAATCGKxTZ/sneCHuAI9z+yd4ILENJUS5OWVNFOkJBSC5JUV9DVVJSRU5UX1JBVElPLjk5MC4xNC8wNi8yMDI2AQAAAOlxAgACAAAABzEuMjY1ODMBCAAAAAUAAAABMQEAAAAKMTg5MTM0Nzg2OQMAAAADMTYwAgAAAAQ0MDMwBAAAAAEwBwAAAAk2LzE0LzIwMjYIAAAACTMvMzEvMjAxNgkAAAABMIYrFNn+yd4Ie4Aj3P7J3ggqQ0lRLk5ZU0U6QkFILklRX1FVSUNLX1JBVElPLjk5Ni4xNC8wNi8yMDI2AQAAAOlxAgACAAAACDEuNTQyNDQ1AQgAAAAFAAAAATEBAAAACy0xOTkyNDAyMDU5AwAAAAMxNjACAAAABDQxMjEEAAAAATAHAAAACTYvMTQvMjAyNggAAAAJMy8zMS8yMDIyCQAAAAEwhisU2f7J3gh7gCPc/sneCC5DSVEuTllTRTpCQUguSVFf</t>
  </si>
  <si>
    <t>REFZU19TQUxFU19PVVQuMTAwMC4xNC8wNi8yMDI2AQAAAOlxAgACAAAACDcwLjUxMzYyAQgAAAAFAAAAATEBAAAACy0xODg3NzA0OTc3AwAAAAMxNjACAAAABDQwNDIEAAAAATAHAAAACTYvMTQvMjAyNggAAAAJMy8zMS8yMDI2CQAAAAEwkqgV2f7J3gjXD0Dd/sneCCxDSVEuTllTRTpCQUguSVFfUkVUVVJOX0FTU0VUUy45OTAuMTQvMDYvMjAyNgEAAADpcQIAAgAAAAY5LjQ2MDUBCAAAAAUAAAABMQEAAAAKMTg5MTM0Nzg2OQMAAAADMTYwAgAAAAQ0MTc4BAAAAAEwBwAAAAk2LzE0LzIwMjYIAAAACTMvMzEvMjAxNgkAAAABMIYrFNn+yd4I9g4h3P7J3ggtQ0lRLk5ZU0U6QkFILklRX1JFVFVSTl9DQVBJVEFMLjk5Ni4xNC8wNi8yMDI2AQAAAOlxAgACAAAABzEwLjczMDEBCAAAAAUAAAABMQEAAAALLTE5OTI0MDIwNTkDAAAAAzE2MAIAAAAENDM2MwQAAAABMAcAAAAJNi8xNC8yMDI2CAAAAAkzLzMxLzIwMjIJAAAAATCGKxTZ/sneCHuAI9z+yd4INENJUS5OWVNFOkJBSC5JUV9SRVRVUk5fQ09NTU9OX0VRVUlUWS4xMDAwLjE0LzA2LzIwMjYBAAAA6XECAAIAAAAHODAuMTcwNwEIAAAABQAAAAExAQAAAAstMTg4NzcwNDk3NwMAAAADMTYwAgAAAAUzMzMyMAQAAAABMAcAAAAJNi8xNC8yMDI2CAAAAAkzLzMxLzIwMjYJAAAAATCGKxTZ/sneCNcPQN3+yd4ILENJUS5OWVNFOkJBSC5JUV9FQklUREFfTUFS</t>
  </si>
  <si>
    <t>R0lOLjk5NC4xNC8wNi8yMDI2AQAAAOlxAgACAAAABjkuOTg3MQEIAAAABQAAAAExAQAAAAstMjA5NTEyNjA5MAMAAAADMTYwAgAAAAQ0MDQ3BAAAAAEwBwAAAAk2LzE0LzIwMjYIAAAACTMvMzEvMjAyMAkAAAABMIYrFNn+yd4Ie4Aj3P7J3ggoQ0lRLk5ZU0U6QkFILklRX05JX01BUkdJTi45OTguMTQvMDYvMjAyNgEAAADpcQIAAgAAAAY1LjY4MzcBCAAAAAUAAAABMQEAAAALLTE4ODc3MDQ5OTMDAAAAAzE2MAIAAAAENDA5NAQAAAABMAcAAAAJNi8xNC8yMDI2CAAAAAkzLzMxLzIwMjQJAAAAATCGKxTZ/sneCHuAI9z+yd4ILUNJUS5OWVNFOkJBSC5JUV9SRVNUQVRFTUVOVF9CUy45OTIuMTQvMDYvMjAyNgEAAADpcQIAAwAAAAJSUwCGKxTZ/sneCPYOIdz+yd4IJkNJUS5OWVNFOkJBSC5JUV9HQUFQX0JTLjk5Ni4xNC8wNi8yMDI2AQAAAOlxAgADAAAAB1VTIEdBQVAAhisU2f7J3gj2DiHc/sneCC1DSVEuTllTRTpCQUguSVFfQ09TVF9CT1JST1dJTkcuOTkyLjE0LzA2LzIwMjYBAAAA6XECAAIAAAAGNC41MTc5AQgAAAAFAAAAATEBAAAACjIwMzgwOTEwNzcDAAAAAzE2MAIAAAAFMjE2ODEEAAAAATAHAAAACTYvMTQvMjAyNggAAAAJMy8zMS8yMDE4CQAAAAEwhisU2f7J3gj2DiHc/sneCChDSVEuTllTRTpCQUguSVFfUEFSVF9USU1FLjk5Mi4xNC8wNi8yMDI2AQAAAOlxAgADAAAAAACGKxTZ/sneCPYO</t>
  </si>
  <si>
    <t>Idz+yd4ILkNJUS5OWVNFOkJBSC5JUV9UT1RBTF9FTVBMT1lFRVMuOTk4LjE0LzA2LzIwMjYBAAAA6XECAAIAAAAFMzQyMDAAhisU2f7J3gj2DiHc/sneCDFDSVEuTllTRTpCQUguSVFfQVZHX1RFTVBfRU1QTE9ZRUVTLjk5MC4xNC8wNi8yMDI2AQAAAOlxAgADAAAAAACGKxTZ/sneCPYOIdz+yd4IMENJUS5OWVNFOkJBSC5JUV9OVU1CRVJfQURSSE9MREVSUy45OTYuMTQvMDYvMjAyNgEAAADpcQIAAwAAAAAAhisU2f7J3gj2DiHc/sneCClDSVEuTllTRTpCQUguSVFfSU5WX01FVEhPRC45OTYuMTQvMDYvMjAyNgEAAADpcQIAAwAAAAJOQQBKR0fZ/sneCPYOIdz+yd4IMENJUS5OWVNFOkJBSC5JUV9FQklUXzVZUl9BTk5fQ0FHUi45OTEuMTQvMDYvMjAyNgEAAADpcQIAAgAAAAY0LjQ4NTYBCAAAAAUAAAABMQEAAAAKMTk2NTc3MjQyMgMAAAADMTYwAgAAAAQ0MjM2BAAAAAEwBwAAAAk2LzE0LzIwMjYIAAAACTMvMzEvMjAxNwkAAAABMB2mDNn+yd4IDMEq3P7J3gguQ0lRLk5ZU0U6QkFILklRX05JXzVZUl9BTk5fQ0FHUi45OTcuMTQvMDYvMjAyNgEAAADpcQIAAgAAAActMi4wNTA4AQgAAAAFAAAAATEBAAAACy0xOTQxNTQ2ODcxAwAAAAMxNjACAAAABDQyMzgEAAAAATAHAAAACTYvMTQvMjAyNggAAAAJMy8zMS8yMDIzCQAAAAEwHaYM2f7J3gjDNC3c/sneCDJDSVEuTllTRTpCQUguSVFfRUJJVF8xWVJf</t>
  </si>
  <si>
    <t>QU5OX0dST1dUSC45OTcuMTQvMDYvMjAyNgEAAADpcQIAAgAAAAcxOS4wNjg5AQgAAAAFAAAAATEBAAAACy0xOTQxNTQ2ODcxAwAAAAMxNjACAAAABDQxOTcEAAAAATAHAAAACTYvMTQvMjAyNggAAAAJMy8zMS8yMDIzCQAAAAEwHaYM2f7J3ggMwSrc/sneCC5DSVEuTllTRTpCQUguSVFfR1BfM1lSX0FOTl9DQUdSLjk5NS4xNC8wNi8yMDI2AQAAAOlxAgACAAAABjkuMjA3MQEIAAAABQAAAAExAQAAAAstMjA0MzIxNTM5MgMAAAADMTYwAgAAAAQ0MjIxBAAAAAEwBwAAAAk2LzE0LzIwMjYIAAAACTMvMzEvMjAyMQkAAAABMB2mDNn+yd4IDMEq3P7J3ggwQ0lRLk5ZU0U6QkFILklRX0VCSVRfM1lSX0FOTl9DQUdSLjk5OS4xNC8wNi8yMDI2AQAAAOlxAgACAAAABzIxLjI0NTQBCAAAAAUAAAABMQEAAAALLTE4ODc3MDUwMDEDAAAAAzE2MAIAAAAENDIyMwQAAAABMAcAAAAJNi8xNC8yMDI2CAAAAAkzLzMxLzIwMjUJAAAAATAdpgzZ/sneCC3TPt3+yd4IL0NJUS5OWVNFOkJBSC5JUV9FUFNfM1lSX0FOTl9DQUdSLjk5My4xNC8wNi8yMDI2AQAAAOlxAgACAAAABzE0LjQ2MTIBCAAAAAUAAAABMQEAAAAKMjA5OTA4NzEzMwMAAAADMTYwAgAAAAQ0MjI2BAAAAAEwBwAAAAk2LzE0LzIwMjYIAAAACTMvMzEvMjAxOQkAAAABMB2mDNn+yd4IDMEq3P7J3gg1Q0lRLk5ZU0U6QkFILklRX1RPVEFMX1JFVl81WVJfQU5O</t>
  </si>
  <si>
    <t>X0NBR1IuOTk5LjE0LzA2LzIwMjYBAAAA6XECAAIAAAAGOS45MjU2AQgAAAAFAAAAATEBAAAACy0xODg3NzA1MDAxAwAAAAMxNjACAAAABDQyMzMEAAAAATAHAAAACTYvMTQvMjAyNggAAAAJMy8zMS8yMDI1CQAAAAEwHaYM2f7J3ggt0z7d/sneCDZDSVEuTllTRTpCQUguSVFfVE9UQUxfREVCVF9FQklUREFfQ0FQRVguOTk1LjE0LzA2LzIwMjYBAAAA6XECAAIAAAAIMy4yNTg0MzcBCAAAAAUAAAABMQEAAAALLTIwNDMyMTUzOTIDAAAAAzE2MAIAAAAFMjMzMTMEAAAAATAHAAAACTYvMTQvMjAyNggAAAAJMy8zMS8yMDIxCQAAAAEwHaYM2f7J3giV1yjc/sneCDRDSVEuTllTRTpCQUguSVFfTkVUX0RFQlRfRUJJVERBX0NBUEVYLjk5OS4xNC8wNi8yMDI2AQAAAOlxAgACAAAABzIuNDUxNDcBCAAAAAUAAAABMQEAAAALLTE4ODc3MDUwMDEDAAAAAzE2MAIAAAAFMjMzMTQEAAAAATAHAAAACTYvMTQvMjAyNggAAAAJMy8zMS8yMDI1CQAAAAEwHaYM2f7J3ggt0z7d/sneCDdDSVEuTllTRTpCQUguSVFfVE9UQUxfUkVWXzFZUl9BTk5fR1JPV1RILjk5Ny4xNC8wNi8yMDI2AQAAAOlxAgACAAAABzEwLjcwNDUBCAAAAAUAAAABMQEAAAALLTE5NDE1NDY4NzEDAAAAAzE2MAIAAAAENDE5NAQAAAABMAcAAAAJNi8xNC8yMDI2CAAAAAkzLzMxLzIwMjMJAAAAATAdpgzZ/sneCJXXKNz+yd4INENJUS5OWVNFOkJBSC5J</t>
  </si>
  <si>
    <t>UV9FQklUREFfMVlSX0FOTl9HUk9XVEguOTkxLjE0LzA2LzIwMjYBAAAA6XECAAIAAAAHMTAuOTQ2OAEIAAAABQAAAAExAQAAAAoxOTY1NzcyNDIyAwAAAAMxNjACAAAABDQxOTYEAAAAATAHAAAACTYvMTQvMjAyNggAAAAJMy8zMS8yMDE3CQAAAAEwHaYM2f7J3ggMwSrc/sneCC5DSVEuTllTRTpCQUguSVFfTFRfREVCVF9DQVBJVEFMLjk5OS4xNC8wNi8yMDI2AQAAAOlxAgACAAAABzc4LjQxODIBCAAAAAUAAAABMQEAAAALLTE4ODc3MDUwMDEDAAAAAzE2MAIAAAAENDE4NwQAAAABMAcAAAAJNi8xNC8yMDI2CAAAAAkzLzMxLzIwMjUJAAAAATCSqBXZ/sneCNcPQN3+yd4IJ0NJUS5OWVNFOkJBSC5JUV9FQklUX0lOVC45OTMuMTQvMDYvMjAyNgEAAADpcQIAAgAAAAg2LjY0ODUyNAEIAAAABQAAAAExAQAAAAoyMDk5MDg3MTMzAwAAAAMxNjACAAAABDQxODkEAAAAATAHAAAACTYvMTQvMjAyNggAAAAJMy8zMS8yMDE5CQAAAAEwkqgV2f7J3gg45SXc/sneCDpDSVEuTllTRTpCQUguSVFfRUJJVERBX0VYQ0xfT1BFUl9MRUFTRVNfSU5ULjk5Ny4xNC8wNi8yMDI2AQAAAOlxAgACAAAACDguODcyNzI3AQgAAAAFAAAAATEBAAAACy0xOTQxNTQ2ODcxAwAAAAMxNjACAAAABTQ5MTczBAAAAAEwBwAAAAk2LzE0LzIwMjYIAAAACTMvMzEvMjAyMwkAAAABMJKoFdn+yd4IOOUl3P7J3ghAQ0lRLk5ZU0U6QkFILklR</t>
  </si>
  <si>
    <t>X0VCSVREQV9FWENMX09QRVJfTEVBU0VTX0NBUEVYX0lOVC45OTEuMTQvMDYvMjAyNgEAAADpcQIAAgAAAAg4LjE0ODAxNAEIAAAABQAAAAExAQAAAAoxOTY1NzcyNDIyAwAAAAMxNjACAAAABTQ5MTc0BAAAAAEwBwAAAAk2LzE0LzIwMjYIAAAACTMvMzEvMjAxNwkAAAABMJKoFdn+yd4IOOUl3P7J3ghBQ0lRLk5ZU0U6QkFILklRX1RPVEFMX0RFQlRfRUJJVERBX0VYQ0xfT1BFUl9MRUFTRVMuOTk1LjE0LzA2LzIwMjYBAAAA6XECAAIAAAAIMy4yNTEwNzcBCAAAAAUAAAABMQEAAAALLTIwNDMyMTUzOTIDAAAAAzE2MAIAAAAFNDg5OTQEAAAAATAHAAAACTYvMTQvMjAyNggAAAAJMy8zMS8yMDIxCQAAAAEwHaYM2f7J3gg45SXc/sneCCxDSVEuTllTRTpCQUguSVFfQ1VSUkVOVF9SQVRJTy45OTEuMTQvMDYvMjAyNgEAAADpcQIAAgAAAAgxLjE3NTMwMwEIAAAABQAAAAExAQAAAAoxOTY1NzcyNDIyAwAAAAMxNjACAAAABDQwMzAEAAAAATAHAAAACTYvMTQvMjAyNggAAAAJMy8zMS8yMDE3CQAAAAEwhisU2f7J3gh7gCPc/sneCCpDSVEuTllTRTpCQUguSVFfUVVJQ0tfUkFUSU8uOTk3LjE0LzA2LzIwMjYBAAAA6XECAAIAAAAIMS4xNjczNzMBCAAAAAUAAAABMQEAAAALLTE5NDE1NDY4NzEDAAAAAzE2MAIAAAAENDEyMQQAAAABMAcAAAAJNi8xNC8yMDI2CAAAAAkzLzMxLzIwMjMJAAAAATCGKxTZ/sneCHuA</t>
  </si>
  <si>
    <t>I9z+yd4ILUNJUS5OWVNFOkJBSC5JUV9EQVlTX1NBTEVTX09VVC45OTEuMTQvMDYvMjAyNgEAAADpcQIAAgAAAAg1OS4xODY5NAEIAAAABQAAAAExAQAAAAoxOTY1NzcyNDIyAwAAAAMxNjACAAAABDQwNDIEAAAAATAHAAAACTYvMTQvMjAyNggAAAAJMy8zMS8yMDE3CQAAAAEwkqgV2f7J3gh7gCPc/sneCC9DSVEuTllTRTpCQUguSVFfREFZU19QQVlBQkxFX09VVC45OTUuMTQvMDYvMjAyNgEAAADpcQIAAgAAAAkyNC41NDM2OTUBCAAAAAUAAAABMQEAAAALLTIwNDMyMTUzOTIDAAAAAzE2MAIAAAAENDE4MwQAAAABMAcAAAAJNi8xNC8yMDI2CAAAAAkzLzMxLzIwMjEJAAAAATCSqBXZ/sneCDjlJdz+yd4ILUNJUS5OWVNFOkJBSC5JUV9MVF9ERUJUX0VRVUlUWS45OTMuMTQvMDYvMjAyNgEAAADpcQIAAgAAAAcyNTIuNjMxAQgAAAAFAAAAATEBAAAACjIwOTkwODcxMzMDAAAAAzE2MAIAAAAENDA4NQQAAAABMAcAAAAJNi8xNC8yMDI2CAAAAAkzLzMxLzIwMTkJAAAAATCSqBXZ/sneCDjlJdz+yd4INENJUS5OWVNFOkJBSC5JUV9SRVRVUk5fQ09NTU9OX0VRVUlUWS4yMDAwLjE0LzA2LzIwMjYBAAAA6XECAAIAAAAHODAuMTcwNwEIAAAABQAAAAExAQAAAAstMTg4NzcwNDM0MQMAAAADMTYwAgAAAAUzMzMyMAQAAAABMAcAAAAJNi8xNC8yMDI2CAAAAAkzLzMxLzIwMjYJAAAAATCGKxTZ/sneCHuAI9z+yd4I</t>
  </si>
  <si>
    <t>LENJUS5OWVNFOkJBSC5JUV9FQklUREFfTUFSR0lOLjk5NS4xNC8wNi8yMDI2AQAAAOlxAgACAAAABzEwLjYxNzgBCAAAAAUAAAABMQEAAAALLTIwNDMyMTUzOTIDAAAAAzE2MAIAAAAENDA0NwQAAAABMAcAAAAJNi8xNC8yMDI2CAAAAAkzLzMxLzIwMjEJAAAAATCGKxTZ/sneCHuAI9z+yd4IK0NJUS5OWVNFOkJBSC5JUV9FQklUX01BUkdJTi4yMDAwLjE0LzA2LzIwMjYBAAAA6XECAAIAAAAGOS43NjE5AQgAAAAFAAAAATEBAAAACy0xODg3NzA0MzQxAwAAAAMxNjACAAAABDQwNTMEAAAAATAHAAAACTYvMTQvMjAyNggAAAAJMy8zMS8yMDI2CQAAAAEwhisU2f7J3gh7gCPc/sneCCpDSVEuTllTRTpCQUguSVFfQVNTRVRfVFVSTlMuOTkzLjE0LzA2LzIwMjYBAAAA6XECAAIAAAAIMS44MDI1MzMBCAAAAAUAAAABMQEAAAAKMjA5OTA4NzEzMwMAAAADMTYwAgAAAAQ0MTc3BAAAAAEwBwAAAAk2LzE0LzIwMjYIAAAACTMvMzEvMjAxOQkAAAABMIYrFNn+yd4Ie4Aj3P7J3ggwQ0lRLk5ZU0U6QkFILklRX0ZJWEVEX0FTU0VUX1RVUk5TLjk5OS4xNC8wNi8yMDI2AQAAAOlxAgACAAAACTMzLjQxNzAxNQEIAAAABQAAAAExAQAAAAstMTg4NzcwNTAwMQMAAAADMTYwAgAAAAQ0MDY2BAAAAAEwBwAAAAk2LzE0LzIwMjYIAAAACTMvMzEvMjAyNQkAAAABMIYrFNn+yd4I1w9A3f7J3ggtQ0lRLk5ZU0U6QkFILklRX1JF</t>
  </si>
  <si>
    <t>U1RBVEVNRU5UX0JTLjk5My4xNC8wNi8yMDI2AQAAAOlxAgADAAAAAk5DAIYrFNn+yd4I9g4h3P7J3ggrQ0lRLk5ZU0U6QkFILklRX0NBTENfVFlQRV9CUy45OTkuMTQvMDYvMjAyNgEAAADpcQIAAwAAAANSRVAAhisU2f7J3ggq+EDd/sneCCxDSVEuTllTRTpCQUguSVFfUkVUVVJOX0FTU0VUUy45OTEuMTQvMDYvMjAyNgEAAADpcQIAAgAAAAY5LjgyOTkBCAAAAAUAAAABMQEAAAAKMTk2NTc3MjQyMgMAAAADMTYwAgAAAAQ0MTc4BAAAAAEwBwAAAAk2LzE0LzIwMjYIAAAACTMvMzEvMjAxNwkAAAABMIYrFNn+yd4I9g4h3P7J3ggtQ0lRLk5ZU0U6QkFILklRX1JFVFVSTl9DQVBJVEFMLjk5Ny4xNC8wNi8yMDI2AQAAAOlxAgACAAAABzEyLjM1NDUBCAAAAAUAAAABMQEAAAALLTE5NDE1NDY4NzEDAAAAAzE2MAIAAAAENDM2MwQAAAABMAcAAAAJNi8xNC8yMDI2CAAAAAkzLzMxLzIwMjMJAAAAATCGKxTZ/sneCHuAI9z+yd4ILUNJUS5OWVNFOkJBSC5JUV9DT1NUX0JPUlJPV0lORy45OTMuMTQvMDYvMjAyNgEAAADpcQIAAgAAAAY0Ljc4MjMBCAAAAAUAAAABMQEAAAAKMjA5OTA4NzEzMwMAAAADMTYwAgAAAAUyMTY4MQQAAAABMAcAAAAJNi8xNC8yMDI2CAAAAAkzLzMxLzIwMTkJAAAAATCGKxTZ/sneCPYOIdz+yd4IMUNJUS5OWVNFOkJBSC5JUV9BVkdfVEVNUF9FTVBMT1lFRVMuOTkxLjE0LzA2LzIwMjYB</t>
  </si>
  <si>
    <t>AAAA6XECAAMAAAAAAIYrFNn+yd4I9g4h3P7J3ggwQ0lRLk5ZU0U6QkFILklRX05VTUJFUl9BRFJIT0xERVJTLjk5Ny4xNC8wNi8yMDI2AQAAAOlxAgADAAAAAACGKxTZ/sneCPYOIdz+yd4IKENJUS5OWVNFOkJBSC5JUV9QQVJUX1RJTUUuOTkzLjE0LzA2LzIwMjYBAAAA6XECAAMAAAAAAIYrFNn+yd4I9g4h3P7J3gguQ0lRLk5ZU0U6QkFILklRX1RPVEFMX0VNUExPWUVFUy45OTkuMTQvMDYvMjAyNgEAAADpcQIAAgAAAAUzNTgwMACGKxTZ/sneCCr4QN3+yd4INkNJUS5OWVNFOkJBSC5JUV9UT1RBTF9SRVZfNVlSX0FOTl9DQUdSLjEwMDAuMTQvMDYvMjAyNgEAAADpcQIAAgAAAAY3LjM3NDgBCAAAAAUAAAABMQEAAAALLTE4ODc3MDQ5NzcDAAAAAzE2MAIAAAAENDIzMwQAAAABMAcAAAAJNi8xNC8yMDI2CAAAAAkzLzMxLzIwMjYJAAAAATAdpgzZ/sneCC3TPt3+yd4IMENJUS5OWVNFOkJBSC5JUV9FQklUXzVZUl9BTk5fQ0FHUi45OTIuMTQvMDYvMjAyNgEAAADpcQIAAgAAAAYyLjgwNTYBCAAAAAUAAAABMQEAAAAKMjAzODA5MTA3NwMAAAADMTYwAgAAAAQ0MjM2BAAAAAEwBwAAAAk2LzE0LzIwMjYIAAAACTMvMzEvMjAxOAkAAAABMB2mDNn+yd4IDMEq3P7J3gguQ0lRLk5ZU0U6QkFILklRX05JXzVZUl9BTk5fQ0FHUi45OTguMTQvMDYvMjAyNgEAAADpcQIAAgAAAAY3LjY4MzYBCAAAAAUAAAABMQEA</t>
  </si>
  <si>
    <t>AAALLTE4ODc3MDQ5OTMDAAAAAzE2MAIAAAAENDIzOAQAAAABMAcAAAAJNi8xNC8yMDI2CAAAAAkzLzMxLzIwMjQJAAAAATAdpgzZ/sneCMM0Ldz+yd4IKUNJUS5OWVNFOkJBSC5JUV9JTlZfTUVUSE9ELjk5Ny4xNC8wNi8yMDI2AQAAAOlxAgADAAAAAk5BAEpHR9n+yd4IKace3P7J3ggyQ0lRLk5ZU0U6QkFILklRX0VCSVRfMVlSX0FOTl9HUk9XVEguOTk4LjE0LzA2LzIwMjYBAAAA6XECAAIAAAAHMjYuMzg3MQEIAAAABQAAAAExAQAAAAstMTg4NzcwNDk5MwMAAAADMTYwAgAAAAQ0MTk3BAAAAAEwBwAAAAk2LzE0LzIwMjYIAAAACTMvMzEvMjAyNAkAAAABMB2mDNn+yd4IDMEq3P7J3gg1Q0lRLk5ZU0U6QkFILklRX1RPVEFMX1JFVl8zWVJfQU5OX0NBR1IuOTkwLjE0LzA2LzIwMjYBAAAA6XECAAIAAAAHLTIuMDgyNwEIAAAABQAAAAExAQAAAAoxODkxMzQ3ODY5AwAAAAMxNjACAAAABDQyMjAEAAAAATAHAAAACTYvMTQvMjAyNggAAAAJMy8zMS8yMDE2CQAAAAEwHaYM2f7J3ggMwSrc/sneCC5DSVEuTllTRTpCQUguSVFfR1BfM1lSX0FOTl9DQUdSLjk5Ni4xNC8wNi8yMDI2AQAAAOlxAgACAAAABjcuNTY0OQEIAAAABQAAAAExAQAAAAstMTk5MjQwMjA1OQMAAAADMTYwAgAAAAQ0MjIxBAAAAAEwBwAAAAk2LzE0LzIwMjYIAAAACTMvMzEvMjAyMgkAAAABMB2mDNn+yd4IDMEq3P7J3ggwQ0lRLk5ZU0U6</t>
  </si>
  <si>
    <t>QkFILklRX0VCSVRfM1lSX0FOTl9DQUdSLjk5MC4xNC8wNi8yMDI2AQAAAOlxAgACAAAABy0wLjEyMzQBCAAAAAUAAAABMQEAAAAKMTg5MTM0Nzg2OQMAAAADMTYwAgAAAAQ0MjIzBAAAAAEwBwAAAAk2LzE0LzIwMjYIAAAACTMvMzEvMjAxNgkAAAABMB2mDNn+yd4IDMEq3P7J3ggvQ0lRLk5ZU0U6QkFILklRX0VQU18zWVJfQU5OX0NBR1IuOTk0LjE0LzA2LzIwMjYBAAAA6XECAAIAAAAHMjUuNTcxOQEIAAAABQAAAAExAQAAAAstMjA5NTEyNjA5MAMAAAADMTYwAgAAAAQ0MjI2BAAAAAEwBwAAAAk2LzE0LzIwMjYIAAAACTMvMzEvMjAyMAkAAAABMB2mDNn+yd4IDMEq3P7J3gg2Q0lRLk5ZU0U6QkFILklRX1RPVEFMX0RFQlRfRUJJVERBX0NBUEVYLjk5Ni4xNC8wNi8yMDI2AQAAAOlxAgACAAAACDMuNzQ0MjY1AQgAAAAFAAAAATEBAAAACy0xOTkyNDAyMDU5AwAAAAMxNjACAAAABTIzMzEzBAAAAAEwBwAAAAk2LzE0LzIwMjYIAAAACTMvMzEvMjAyMgkAAAABMB2mDNn+yd4Ildco3P7J3gg1Q0lRLk5ZU0U6QkFILklRX05FVF9ERUJUX0VCSVREQV9DQVBFWC4xMDAwLjE0LzA2LzIwMjYBAAAA6XECAAIAAAAHMi43MzA0OQEIAAAABQAAAAExAQAAAAstMTg4NzcwNDk3NwMAAAADMTYwAgAAAAUyMzMxNAQAAAABMAcAAAAJNi8xNC8yMDI2CAAAAAkzLzMxLzIwMjYJAAAAATAdpgzZ/sneCC3TPt3+yd4IJ0NJ</t>
  </si>
  <si>
    <t>US5OWVNFOkJBSC5JUV9aX1NDT1JFLjEwMDAuMTQvMDYvMjAyNgEAAADpcQIAAgAAAAg0LjIyNjQ5NAEIAAAABQAAAAExAQAAAAstMTg4NzcwNDk3NwMAAAADMTYwAgAAAAYxMDAxMjMEAAAAATAHAAAACTYvMTQvMjAyNggAAAAJMy8zMS8yMDI2CQAAAAEwHaYM2f7J3ggt0z7d/sneCDRDSVEuTllTRTpCQUguSVFfRUJJVERBXzFZUl9BTk5fR1JPV1RILjk5Mi4xNC8wNi8yMDI2AQAAAOlxAgACAAAABjIuNzkxNgEIAAAABQAAAAExAQAAAAoyMDM4MDkxMDc3AwAAAAMxNjACAAAABDQxOTYEAAAAATAHAAAACTYvMTQvMjAyNggAAAAJMy8zMS8yMDE4CQAAAAEwHaYM2f7J3ggMwSrc/sneCCdDSVEuTllTRTpCQUguSVFfRUJJVF9JTlQuOTk0LjE0LzA2LzIwMjYBAAAA6XECAAIAAAAINi44NTE3MjIBCAAAAAUAAAABMQEAAAALLTIwOTUxMjYwOTADAAAAAzE2MAIAAAAENDE4OQQAAAABMAcAAAAJNi8xNC8yMDI2CAAAAAkzLzMxLzIwMjAJAAAAATCSqBXZ/sneCDjlJdz+yd4IOkNJUS5OWVNFOkJBSC5JUV9FQklUREFfRVhDTF9PUEVSX0xFQVNFU19JTlQuOTk4LjE0LzA2LzIwMjYBAAAA6XECAAIAAAAIOC4wODg0MzUBCAAAAAUAAAABMQEAAAALLTE4ODc3MDQ5OTMDAAAAAzE2MAIAAAAFNDkxNzMEAAAAATAHAAAACTYvMTQvMjAyNggAAAAJMy8zMS8yMDI0CQAAAAEwkqgV2f7J3gg45SXc/sneCEBDSVEuTllT</t>
  </si>
  <si>
    <t>RTpCQUguSVFfRUJJVERBX0VYQ0xfT1BFUl9MRUFTRVNfQ0FQRVhfSU5ULjk5Mi4xNC8wNi8yMDI2AQAAAOlxAgACAAAACDYuMDYyNTg3AQgAAAAFAAAAATEBAAAACjIwMzgwOTEwNzcDAAAAAzE2MAIAAAAFNDkxNzQEAAAAATAHAAAACTYvMTQvMjAyNggAAAAJMy8zMS8yMDE4CQAAAAEwkqgV2f7J3gg45SXc/sneCDBDSVEuTllTRTpCQUguSVFfVE9UQUxfREVCVF9FQklUREEuOTk4LjE0LzA2LzIwMjYBAAAA6XECAAIAAAAHMi44NzA1NgEIAAAABQAAAAExAQAAAAstMTg4NzcwNDk5MwMAAAADMTYwAgAAAAQ0MTkyBAAAAAEwBwAAAAk2LzE0LzIwMjYIAAAACTMvMzEvMjAyNAkAAAABMB2mDNn+yd4IOOUl3P7J3gg/Q0lRLk5ZU0U6QkFILklRX05FVF9ERUJUX0VCSVREQV9FWENMX09QRVJfTEVBU0VTLjk5MC4xNC8wNi8yMDI2AQAAAOlxAgACAAAACDIuOTQzNDM2AQgAAAAFAAAAATEBAAAACjE4OTEzNDc4NjkDAAAAAzE2MAIAAAAFNDkxNzUEAAAAATAHAAAACTYvMTQvMjAyNggAAAAJMy8zMS8yMDE2CQAAAAEwHaYM2f7J3gikWCjc/sneCC1DSVEuTllTRTpCQUguSVFfREFZU19TQUxFU19PVVQuOTkyLjE0LzA2LzIwMjYBAAAA6XECAAIAAAAINjIuODkzODgBCAAAAAUAAAABMQEAAAAKMjAzODA5MTA3NwMAAAADMTYwAgAAAAQ0MDQyBAAAAAEwBwAAAAk2LzE0LzIwMjYIAAAACTMvMzEvMjAxOAkAAAAB</t>
  </si>
  <si>
    <t>MJKoFdn+yd4Ie4Aj3P7J3ggvQ0lRLk5ZU0U6QkFILklRX0RBWVNfUEFZQUJMRV9PVVQuOTk2LjE0LzA2LzIwMjYBAAAA6XECAAIAAAAJMjYuMDkyMDI1AQgAAAAFAAAAATEBAAAACy0xOTkyNDAyMDU5AwAAAAMxNjACAAAABDQxODMEAAAAATAHAAAACTYvMTQvMjAyNggAAAAJMy8zMS8yMDIyCQAAAAEwkqgV2f7J3gg45SXc/sneCDBDSVEuTllTRTpCQUguSVFfVE9UQUxfREVCVF9FUVVJVFkuOTkwLjE0LzA2LzIwMjYBAAAA6XECAAIAAAAINDEwLjYwMjIBCAAAAAUAAAABMQEAAAAKMTg5MTM0Nzg2OQMAAAADMTYwAgAAAAQ0MDM0BAAAAAEwBwAAAAk2LzE0LzIwMjYIAAAACTMvMzEvMjAxNgkAAAABMJKoFdn+yd4IOOUl3P7J3ggxQ0lRLk5ZU0U6QkFILklRX1RPVEFMX0RFQlRfQ0FQSVRBTC45OTYuMTQvMDYvMjAyNgEAAADpcQIAAgAAAAc3NC43ODEyAQgAAAAFAAAAATEBAAAACy0xOTkyNDAyMDU5AwAAAAMxNjACAAAABDQxODYEAAAAATAHAAAACTYvMTQvMjAyNggAAAAJMy8zMS8yMDIyCQAAAAEwkqgV2f7J3gg45SXc/sneCC9DSVEuTllTRTpCQUguSVFfTFRfREVCVF9DQVBJVEFMLjEwMDAuMTQvMDYvMjAyNgEAAADpcQIAAgAAAAc3Ny42NzM2AQgAAAAFAAAAATEBAAAACy0xODg3NzA0OTc3AwAAAAMxNjACAAAABDQxODcEAAAAATAHAAAACTYvMTQvMjAyNggAAAAJMy8zMS8yMDI2CQAAAAEwkqgV</t>
  </si>
  <si>
    <t>2f7J3gjXD0Dd/sneCChDSVEuTllTRTpCQUguSVFfTklfTUFSR0lOLjk5MC4xNC8wNi8yMDI2AQAAAOlxAgACAAAABjUuNDQwNAEIAAAABQAAAAExAQAAAAoxODkxMzQ3ODY5AwAAAAMxNjACAAAABDQwOTQEAAAAATAHAAAACTYvMTQvMjAyNggAAAAJMy8zMS8yMDE2CQAAAAEwhisU2f7J3gh7gCPc/sneCCpDSVEuTllTRTpCQUguSVFfQVNTRVRfVFVSTlMuOTk0LjE0LzA2LzIwMjYBAAAA6XECAAIAAAAIMS43MzA1ODMBCAAAAAUAAAABMQEAAAALLTIwOTUxMjYwOTADAAAAAzE2MAIAAAAENDE3NwQAAAABMAcAAAAJNi8xNC8yMDI2CAAAAAkzLzMxLzIwMjAJAAAAATCGKxTZ/sneCHuAI9z+yd4IMUNJUS5OWVNFOkJBSC5JUV9GSVhFRF9BU1NFVF9UVVJOUy4xMDAwLjE0LzA2LzIwMjYBAAAA6XECAAIAAAAJMzMuMzM0MzIzAQgAAAAFAAAAATEBAAAACy0xODg3NzA0OTc3AwAAAAMxNjACAAAABDQwNjYEAAAAATAHAAAACTYvMTQvMjAyNggAAAAJMy8zMS8yMDI2CQAAAAEwhisU2f7J3gjXD0Dd/sneCC5DSVEuTllTRTpCQUguSVFfSU5WRU5UT1JZX1RVUk5TLjk5NC4xNC8wNi8yMDI2AQAAAOlxAgADAAAAAACGKxTZ/sneCHuAI9z+yd4IKkNJUS5OWVNFOkJBSC5JUV9RVUlDS19SQVRJTy45OTguMTQvMDYvMjAyNgEAAADpcQIAAgAAAAgxLjU2NTAxMQEIAAAABQAAAAExAQAAAAstMTg4NzcwNDk5MwMAAAAD</t>
  </si>
  <si>
    <t>MTYwAgAAAAQ0MTIxBAAAAAEwBwAAAAk2LzE0LzIwMjYIAAAACTMvMzEvMjAyNAkAAAABMIYrFNn+yd4Ie4Aj3P7J3ggsQ0lRLk5ZU0U6QkFILklRX0NBTENfVFlQRV9CUy4xMDAwLjE0LzA2LzIwMjYBAAAA6XECAAMAAAADUkVQAIYrFNn+yd4IKvhA3f7J3ggsQ0lRLk5ZU0U6QkFILklRX1JFVFVSTl9BU1NFVFMuOTkyLjE0LzA2LzIwMjYBAAAA6XECAAIAAAAGOS4xNzczAQgAAAAFAAAAATEBAAAACjIwMzgwOTEwNzcDAAAAAzE2MAIAAAAENDE3OAQAAAABMAcAAAAJNi8xNC8yMDI2CAAAAAkzLzMxLzIwMTgJAAAAATCGKxTZ/sneCPYOIdz+yd4ILUNJUS5OWVNFOkJBSC5JUV9SRVRVUk5fQ0FQSVRBTC45OTguMTQvMDYvMjAyNgEAAADpcQIAAgAAAAcxNC42NjE0AQgAAAAFAAAAATEBAAAACy0xODg3NzA0OTkzAwAAAAMxNjACAAAABDQzNjMEAAAAATAHAAAACTYvMTQvMjAyNggAAAAJMy8zMS8yMDI0CQAAAAEwhisU2f7J3gh7gCPc/sneCDNDSVEuTllTRTpCQUguSVFfUkVUVVJOX0NPTU1PTl9FUVVJVFkuOTkyLjE0LzA2LzIwMjYBAAAA6XECAAIAAAAHNTIuNzgyMQEIAAAABQAAAAExAQAAAAoyMDM4MDkxMDc3AwAAAAMxNjACAAAABTMzMzIwBAAAAAEwBwAAAAk2LzE0LzIwMjYIAAAACTMvMzEvMjAxOAkAAAABMIYrFNn+yd4Ie4Aj3P7J3ggsQ0lRLk5ZU0U6QkFILklRX0VCSVREQV9NQVJHSU4uOTk2</t>
  </si>
  <si>
    <t>LjE0LzA2LzIwMjYBAAAA6XECAAIAAAAGOS44ODYzAQgAAAAFAAAAATEBAAAACy0xOTkyNDAyMDU5AwAAAAMxNjACAAAABDQwNDcEAAAAATAHAAAACTYvMTQvMjAyNggAAAAJMy8zMS8yMDIyCQAAAAEwhisU2f7J3gh7gCPc/sneCC1DSVEuTllTRTpCQUguSVFfUkVTVEFURU1FTlRfQlMuOTk0LjE0LzA2LzIwMjYBAAAA6XECAAMAAAACTkMAhisU2f7J3gj2DiHc/sneCChDSVEuTllTRTpCQUguSVFfUEFSVF9USU1FLjk5NC4xNC8wNi8yMDI2AQAAAOlxAgADAAAAAACGKxTZ/sneCPYOIdz+yd4IL0NJUS5OWVNFOkJBSC5JUV9UT1RBTF9FTVBMT1lFRVMuMTAwMC4xNC8wNi8yMDI2AQAAAOlxAgACAAAABTMxNTAwAIYrFNn+yd4IKvhA3f7J3ggsQ0lRLk5ZU0U6QkFILklRX0FWR19FTVBMT1lFRVMuOTk0LjE0LzA2LzIwMjYBAAAA6XECAAMAAAAAAIYrFNn+yd4I9g4h3P7J3ggwQ0lRLk5ZU0U6QkFILklRX05VTUJFUl9BRFJIT0xERVJTLjk5OC4xNC8wNi8yMDI2AQAAAOlxAgADAAAAAACGKxTZ/sneCPYOIdz+yd4IKUNJUS5OWVNFOkJBSC5JUV9JTlZfTUVUSE9ELjk5OC4xNC8wNi8yMDI2AQAAAOlxAgADAAAAAk5BAEpHR9n+yd4IKace3P7J3ggyQ0lRLk5ZU0U6QkFILklRX0VCSVREQV81WVJfQU5OX0NBR1IuOTk1LjE0LzA2LzIwMjYBAAAA6XECAAIAAAAGMTAuNTE3AQgAAAAFAAAAATEBAAAACy0yMDQz</t>
  </si>
  <si>
    <t>MjE1MzkyAwAAAAMxNjACAAAABDQyMzUEAAAAATAHAAAACTYvMTQvMjAyNggAAAAJMy8zMS8yMDIxCQAAAAEwHaYM2f7J3ggMwSrc/sneCC5DSVEuTllTRTpCQUguSVFfTklfNVlSX0FOTl9DQUdSLjk5OS4xNC8wNi8yMDI2AQAAAOlxAgACAAAABzE0LjE0MTcBCAAAAAUAAAABMQEAAAALLTE4ODc3MDUwMDEDAAAAAzE2MAIAAAAENDIzOAQAAAABMAcAAAAJNi8xNC8yMDI2CAAAAAkzLzMxLzIwMjUJAAAAATAdpgzZ/sneCC3TPt3+yd4IMkNJUS5OWVNFOkJBSC5JUV9FQklUXzFZUl9BTk5fR1JPV1RILjk5OS4xNC8wNi8yMDI2AQAAAOlxAgACAAAABjE4LjQzOQEIAAAABQAAAAExAQAAAAstMTg4NzcwNTAwMQMAAAADMTYwAgAAAAQ0MTk3BAAAAAEwBwAAAAk2LzE0LzIwMjYIAAAACTMvMzEvMjAyNQkAAAABMB2mDNn+yd4ILdM+3f7J3ggxQ0lRLk5ZU0U6QkFILklRX0VQU18xWVJfQU5OX0dST1dUSC45OTMuMTQvMDYvMjAyNgEAAADpcQIAAgAAAAc0My40MjY1AQgAAAAFAAAAATEBAAAACjIwOTkwODcxMzMDAAAAAzE2MAIAAAAENDIwMAQAAAABMAcAAAAJNi8xNC8yMDI2CAAAAAkzLzMxLzIwMTkJAAAAATAdpgzZ/sneCAzBKtz+yd4ILkNJUS5OWVNFOkJBSC5JUV9HUF8zWVJfQU5OX0NBR1IuOTk3LjE0LzA2LzIwMjYBAAAA6XECAAIAAAAGNi4yOTA3AQgAAAAFAAAAATEBAAAACy0xOTQxNTQ2ODcxAwAA</t>
  </si>
  <si>
    <t>AAMxNjACAAAABDQyMjEEAAAAATAHAAAACTYvMTQvMjAyNggAAAAJMy8zMS8yMDIzCQAAAAEwHaYM2f7J3ggMwSrc/sneCDBDSVEuTllTRTpCQUguSVFfRUJJVF8zWVJfQU5OX0NBR1IuOTkxLjE0LzA2LzIwMjYBAAAA6XECAAIAAAAGMi45MDg0AQgAAAAFAAAAATEBAAAACjE5NjU3NzI0MjIDAAAAAzE2MAIAAAAENDIyMwQAAAABMAcAAAAJNi8xNC8yMDI2CAAAAAkzLzMxLzIwMTcJAAAAATAdpgzZ/sneCAzBKtz+yd4IL0NJUS5OWVNFOkJBSC5JUV9FUFNfM1lSX0FOTl9DQUdSLjk5NS4xNC8wNi8yMDI2AQAAAOlxAgACAAAABjI5LjA4NgEIAAAABQAAAAExAQAAAAstMjA0MzIxNTM5MgMAAAADMTYwAgAAAAQ0MjI2BAAAAAEwBwAAAAk2LzE0LzIwMjYIAAAACTMvMzEvMjAyMQkAAAABMB2mDNn+yd4IDMEq3P7J3gg2Q0lRLk5ZU0U6QkFILklRX1RPVEFMX0RFQlRfRUJJVERBX0NBUEVYLjk5Ny4xNC8wNi8yMDI2AQAAAOlxAgACAAAACDMuMTI1NDA0AQgAAAAFAAAAATEBAAAACy0xOTQxNTQ2ODcxAwAAAAMxNjACAAAABTIzMzEzBAAAAAEwBwAAAAk2LzE0LzIwMjYIAAAACTMvMzEvMjAyMwkAAAABMB2mDNn+yd4Ildco3P7J3gg0Q0lRLk5ZU0U6QkFILklRX05FVF9ERUJUX0VCSVREQV9DQVBFWC45OTEuMTQvMDYvMjAyNgEAAADpcQIAAgAAAAgzLjAwNjA5MQEIAAAABQAAAAExAQAAAAoxOTY1NzcyNDIy</t>
  </si>
  <si>
    <t>AwAAAAMxNjACAAAABTIzMzE0BAAAAAEwBwAAAAk2LzE0LzIwMjYIAAAACTMvMzEvMjAxNwkAAAABMB2mDNn+yd4Ildco3P7J3ggnQ0lRLk5ZU0U6QkFILklRX1pfU0NPUkUuMjAwMC4xNC8wNi8yMDI2AQAAAOlxAgACAAAACDQuMjI2NDk0AQgAAAAFAAAAATEBAAAACy0xODg3NzA0MzQxAwAAAAMxNjACAAAABjEwMDEyMwQAAAABMAcAAAAJNi8xNC8yMDI2CAAAAAkzLzMxLzIwMjYJAAAAATAdpgzZ/sneCJXXKNz+yd4INENJUS5OWVNFOkJBSC5JUV9FQklUREFfMVlSX0FOTl9HUk9XVEguOTkzLjE0LzA2LzIwMjYBAAAA6XECAAIAAAAHMTQuOTkxNQEIAAAABQAAAAExAQAAAAoyMDk5MDg3MTMzAwAAAAMxNjACAAAABDQxOTYEAAAAATAHAAAACTYvMTQvMjAyNggAAAAJMy8zMS8yMDE5CQAAAAEwHaYM2f7J3ggMwSrc/sneCC9DSVEuTllTRTpCQUguSVFfTFRfREVCVF9DQVBJVEFMLjIwMDAuMTQvMDYvMjAyNgEAAADpcQIAAgAAAAc3Ny42NzM2AQgAAAAFAAAAATEBAAAACy0xODg3NzA0MzQxAwAAAAMxNjACAAAABDQxODcEAAAAATAHAAAACTYvMTQvMjAyNggAAAAJMy8zMS8yMDI2CQAAAAEwkqgV2f7J3gg45SXc/sneCCdDSVEuTllTRTpCQUguSVFfRUJJVF9JTlQuOTk1LjE0LzA2LzIwMjYBAAAA6XECAAIAAAAIOS4yMzAxNDYBCAAAAAUAAAABMQEAAAALLTIwNDMyMTUzOTIDAAAAAzE2MAIAAAAENDE4</t>
  </si>
  <si>
    <t>OQQAAAABMAcAAAAJNi8xNC8yMDI2CAAAAAkzLzMxLzIwMjEJAAAAATCSqBXZ/sneCDjlJdz+yd4IQENJUS5OWVNFOkJBSC5JUV9FQklUREFfRVhDTF9PUEVSX0xFQVNFU19DQVBFWF9JTlQuOTkzLjE0LzA2LzIwMjYBAAAA6XECAAIAAAAINi4zNTY4OTMBCAAAAAUAAAABMQEAAAAKMjA5OTA4NzEzMwMAAAADMTYwAgAAAAU0OTE3NAQAAAABMAcAAAAJNi8xNC8yMDI2CAAAAAkzLzMxLzIwMTkJAAAAATCSqBXZ/sneCDjlJdz+yd4IMENJUS5OWVNFOkJBSC5JUV9UT1RBTF9ERUJUX0VCSVREQS45OTkuMTQvMDYvMjAyNgEAAADpcQIAAgAAAAgyLjg5MzY4OQEIAAAABQAAAAExAQAAAAstMTg4NzcwNTAwMQMAAAADMTYwAgAAAAQ0MTkyBAAAAAEwBwAAAAk2LzE0LzIwMjYIAAAACTMvMzEvMjAyNQkAAAABMB2mDNn+yd4I1w9A3f7J3gg/Q0lRLk5ZU0U6QkFILklRX05FVF9ERUJUX0VCSVREQV9FWENMX09QRVJfTEVBU0VTLjk5MS4xNC8wNi8yMDI2AQAAAOlxAgACAAAACDIuNzE3NDM4AQgAAAAFAAAAATEBAAAACjE5NjU3NzI0MjIDAAAAAzE2MAIAAAAFNDkxNzUEAAAAATAHAAAACTYvMTQvMjAyNggAAAAJMy8zMS8yMDE3CQAAAAEwHaYM2f7J3gikWCjc/sneCCpDSVEuTllTRTpCQUguSVFfUVVJQ0tfUkFUSU8uOTk5LjE0LzA2LzIwMjYBAAAA6XECAAIAAAAIMS43MDk2NDIBCAAAAAUAAAABMQEAAAALLTE4</t>
  </si>
  <si>
    <t>ODc3MDUwMDEDAAAAAzE2MAIAAAAENDEyMQQAAAABMAcAAAAJNi8xNC8yMDI2CAAAAAkzLzMxLzIwMjUJAAAAATCGKxTZ/sneCNcPQN3+yd4ILUNJUS5OWVNFOkJBSC5JUV9EQVlTX1NBTEVTX09VVC45OTMuMTQvMDYvMjAyNgEAAADpcQIAAgAAAAk2Ny4wNzc4NzUBCAAAAAUAAAABMQEAAAAKMjA5OTA4NzEzMwMAAAADMTYwAgAAAAQ0MDQyBAAAAAEwBwAAAAk2LzE0LzIwMjYIAAAACTMvMzEvMjAxOQkAAAABMJKoFdn+yd4Ie4Aj3P7J3ggxQ0lRLk5ZU0U6QkFILklRX0RBWVNfSU5WRU5UT1JZX09VVC45OTkuMTQvMDYvMjAyNgEAAADpcQIAAwAAAAAAkqgV2f7J3gjXD0Dd/sneCDBDSVEuTllTRTpCQUguSVFfVE9UQUxfREVCVF9FUVVJVFkuOTkxLjE0LzA2LzIwMjYBAAAA6XECAAIAAAAIMzAzLjkzMTUBCAAAAAUAAAABMQEAAAAKMTk2NTc3MjQyMgMAAAADMTYwAgAAAAQ0MDM0BAAAAAEwBwAAAAk2LzE0LzIwMjYIAAAACTMvMzEvMjAxNwkAAAABMJKoFdn+yd4IOOUl3P7J3ggxQ0lRLk5ZU0U6QkFILklRX1RPVEFMX0RFQlRfQ0FQSVRBTC45OTcuMTQvMDYvMjAyNgEAAADpcQIAAgAAAAc3NS41MzU3AQgAAAAFAAAAATEBAAAACy0xOTQxNTQ2ODcxAwAAAAMxNjACAAAABDQxODYEAAAAATAHAAAACTYvMTQvMjAyNggAAAAJMy8zMS8yMDIzCQAAAAEwkqgV2f7J3gg45SXc/sneCDNDSVEuTllTRTpCQUgu</t>
  </si>
  <si>
    <t>SVFfUkVUVVJOX0NPTU1PTl9FUVVJVFkuOTkzLjE0LzA2LzIwMjYBAAAA6XECAAIAAAAHNjcuMzIwMgEIAAAABQAAAAExAQAAAAoyMDk5MDg3MTMzAwAAAAMxNjACAAAABTMzMzIwBAAAAAEwBwAAAAk2LzE0LzIwMjYIAAAACTMvMzEvMjAxOQkAAAABMIYrFNn+yd4Ie4Aj3P7J3ggsQ0lRLk5ZU0U6QkFILklRX0VCSVREQV9NQVJHSU4uOTk3LjE0LzA2LzIwMjYBAAAA6XECAAIAAAAGMTAuNTQxAQgAAAAFAAAAATEBAAAACy0xOTQxNTQ2ODcxAwAAAAMxNjACAAAABDQwNDcEAAAAATAHAAAACTYvMTQvMjAyNggAAAAJMy8zMS8yMDIzCQAAAAEwhisU2f7J3gh7gCPc/sneCChDSVEuTllTRTpCQUguSVFfTklfTUFSR0lOLjk5MS4xNC8wNi8yMDI2AQAAAOlxAgACAAAABjQuNDg5NgEIAAAABQAAAAExAQAAAAoxOTY1NzcyNDIyAwAAAAMxNjACAAAABDQwOTQEAAAAATAHAAAACTYvMTQvMjAyNggAAAAJMy8zMS8yMDE3CQAAAAEwhisU2f7J3gh7gCPc/sneCCxDSVEuTllTRTpCQUguSVFfQ0FQRVhfUENUX1JFVi45OTcuMTQvMDYvMjAyNgEAAADpcQIAAgAAAAYwLjgyMDgBCAAAAAUAAAABMQEAAAALLTE5NDE1NDY4NzEDAAAAAzE2MAIAAAAFMzUzODAEAAAAATAHAAAACTYvMTQvMjAyNggAAAAJMy8zMS8yMDIzCQAAAAEwhisU2f7J3gh7gCPc/sneCC5DSVEuTllTRTpCQUguSVFfSU5WRU5UT1JZX1RVUk5TLjk5</t>
  </si>
  <si>
    <t>NS4xNC8wNi8yMDI2AQAAAOlxAgADAAAAAACGKxTZ/sneCHuAI9z+yd4ILUNJUS5OWVNFOkJBSC5JUV9SRVNUQVRFTUVOVF9CUy45OTUuMTQvMDYvMjAyNgEAAADpcQIAAwAAAAJOQwCGKxTZ/sneCPYOIdz+yd4ILENJUS5OWVNFOkJBSC5JUV9DQUxDX1RZUEVfQlMuMjAwMC4xNC8wNi8yMDI2AQAAAOlxAgADAAAAA1JFUACGKxTZ/sneCPYOIdz+yd4ILUNJUS5OWVNFOkJBSC5JUV9SRVRVUk5fQ0FQSVRBTC45OTkuMTQvMDYvMjAyNgEAAADpcQIAAgAAAAcxNS4zMTg5AQgAAAAFAAAAATEBAAAACy0xODg3NzA1MDAxAwAAAAMxNjACAAAABDQzNjMEAAAAATAHAAAACTYvMTQvMjAyNggAAAAJMy8zMS8yMDI1CQAAAAEwhisU2f7J3gjXD0Dd/sneCC9DSVEuTllTRTpCQUguSVFfVE9UQUxfRU1QTE9ZRUVTLjIwMDAuMTQvMDYvMjAyNgEAAADpcQIAAgAAAAUzMTUwMACGKxTZ/sneCPYOIdz+yd4ILENJUS5OWVNFOkJBSC5JUV9BVkdfRU1QTE9ZRUVTLjk5NS4xNC8wNi8yMDI2AQAAAOlxAgADAAAAAACGKxTZ/sneCPYOIdz+yd4IMENJUS5OWVNFOkJBSC5JUV9OVU1CRVJfQURSSE9MREVSUy45OTkuMTQvMDYvMjAyNgEAAADpcQIAAwAAAAAAhisU2f7J3ggq+EDd/sneCChDSVEuTllTRTpCQUguSVFfRlVMTF9USU1FLjk5Ny4xNC8wNi8yMDI2AQAAAOlxAgACAAAABTMxOTAwAIYrFNn+yd4I9g4h3P7J3ggwQ0lR</t>
  </si>
  <si>
    <t>Lk5ZU0U6QkFILklRX05VTUJFUl9BRFJIT0xERVJTLjk5NC4xNC8wNi8yMDI2AQAAAOlxAgADAAAAAACGKxTZ/sneCPYOIdz+yd4IK0NJUS5OWVNFOkJBSC5JUV9DQUxDX1RZUEVfQ0YuOTkzLjE0LzA2LzIwMjYBAAAA6XECAAMAAAADUkVQAHwfftn+yd4IKace3P7J3ggmQ0lRLk5ZU0U6QkFILklRX0dBQVBfQ0YuOTk5LjE0LzA2LzIwMjYBAAAA6XECAAMAAAAHVVMgR0FBUAB8H37Z/sneCCr4QN3+yd4ILENJUS5OWVNFOkJBSC5JUV9BVkdfRU1QTE9ZRUVTLjk5Ni4xNC8wNi8yMDI2AQAAAOlxAgADAAAAAACGKxTZ/sneCPYOIdz+yd4IK0NJUS5OWVNFOkJBSC5JUV9DQUxDX1RZUEVfQ0YuOTk0LjE0LzA2LzIwMjYBAAAA6XECAAMAAAADUkVQAHwfftn+yd4IKace3P7J3ggnQ0lRLk5ZU0U6QkFILklRX0dBQVBfQ0YuMTAwMC4xNC8wNi8yMDI2AQAAAOlxAgADAAAAB1VTIEdBQVAAfB9+2f7J3ggq+EDd/sneCCxDSVEuTllTRTpCQUguSVFfQVZHX0VNUExPWUVFUy45OTguMTQvMDYvMjAyNgEAAADpcQIAAwAAAAAAhisU2f7J3gj2DiHc/sneCCdDSVEuTllTRTpCQUguSVFfR0FBUF9DRi4yMDAwLjE0LzA2LzIwMjYBAAAA6XECAAMAAAAHVVMgR0FBUAB8H37Z/sneCCmnHtz+yd4IK0NJUS5OWVNFOkJBSC5JUV9DQUxDX1RZUEVfQ0YuOTk1LjE0LzA2LzIwMjYBAAAA6XECAAMAAAADUkVQAHwfftn+yd4IKace</t>
  </si>
  <si>
    <t>3P7J3gg/Q0lRLk5ZU0U6QkFILklRX0VNUExPWUVFU19VTkRFUl9VTklPTl9DT05UUkFDVFMuMjAwMC4xNC8wNi8yMDI2AQAAAOlxAgADAAAAAACGKxTZ/sneCPYOIdz+yd4ILUNJUS5OWVNFOkJBSC5JUV9SRVNUQVRFTUVOVF9DRi45OTguMTQvMDYvMjAyNgEAAADpcQIAAwAAAAJSUwB8H37Z/sneCCmnHtz+yd4ILENJUS5OWVNFOkJBSC5JUV9BVkdfRU1QTE9ZRUVTLjk5MC4xNC8wNi8yMDI2AQAAAOlxAgADAAAAAACGKxTZ/sneCPYOIdz+yd4ILUNJUS5OWVNFOkJBSC5JUV9SRVNUQVRFTUVOVF9DRi45OTkuMTQvMDYvMjAyNgEAAADpcQIAAwAAAAJOQwB8H37Z/sneCCr4QN3+yd4IPkNJUS5OWVNFOkJBSC5JUV9FTVBMT1lFRVNfVU5ERVJfVU5JT05fQ09OVFJBQ1RTLjk5MC4xNC8wNi8yMDI2AQAAAOlxAgADAAAAAACGKxTZ/sneCPYOIdz+yd4IOENJUS5OWVNFOkJBSC5JUV9UT1RBTF9PVVRTVEFORElOR19CU19EQVRFLjk5Ny4xNC8wNi8yMDI2AQAAAOlxAgACAAAACjEzMS42Mzc1ODgBBAAAAAUAAAABNQEAAAALLTE5NDE1NDY4NzECAAAABTI0MTUyBgAAAAEwSkdH2f7J3ggppx7c/sneCC5DSVEuTllTRTpCQUguSVFfUkVTVEFURU1FTlRfQ0YuMTAwMC4xNC8wNi8yMDI2AQAAAOlxAgADAAAAAU8AfB9+2f7J3ggq+EDd/sneCCZDSVEuTllTRTpCQUguSVFfR0FBUF9DRi45OTQuMTQvMDYvMjAyNgEA</t>
  </si>
  <si>
    <t>AADpcQIAAwAAAAdVUyBHQUFQAHwfftn+yd4IKace3P7J3gguQ0lRLk5ZU0U6QkFILklRX1RPVEFMX0VNUExPWUVFUy45OTQuMTQvMDYvMjAyNgEAAADpcQIAAgAAAAUyNzIwMACGKxTZ/sneCPYOIdz+yd4IOENJUS5OWVNFOkJBSC5JUV9UT1RBTF9PVVRTVEFORElOR19CU19EQVRFLjk5OC4xNC8wNi8yMDI2AQAAAOlxAgACAAAACjEyOS42NDMxMjMBBAAAAAUAAAABNQEAAAALLTE4ODc3MDQ5OTMCAAAABTI0MTUyBgAAAAEwSkdH2f7J3ggppx7c/sneCC5DSVEuTllTRTpCQUguSVFfUkVTVEFURU1FTlRfQ0YuMjAwMC4xNC8wNi8yMDI2AQAAAOlxAgADAAAAAU8AfB9+2f7J3ggppx7c/sneCCZDSVEuTllTRTpCQUguSVFfR0FBUF9DRi45OTUuMTQvMDYvMjAyNgEAAADpcQIAAwAAAAdVUyBHQUFQAHwfftn+yd4IKace3P7J3gguQ0lRLk5ZU0U6QkFILklRX1RPVEFMX0VNUExPWUVFUy45OTUuMTQvMDYvMjAyNgEAAADpcQIAAgAAAAUyNzcwMACGKxTZ/sneCPYOIdz+yd4IOUNJUS5OWVNFOkJBSC5JUV9UT1RBTF9PVVRTVEFORElOR19CU19EQVRFLjEwMDAuMTQvMDYvMjAyNgEAAADpcQIAAgAAAAkxMjAuMzQxMzIBBAAAAAUAAAABNQEAAAALLTE4ODc3MDQ5NzcCAAAABTI0MTUyBgAAAAEwSkdH2f7J3ggq+EDd/sneCCtDSVEuTllTRTpCQUguSVFfQ0FMQ19UWVBFX0NGLjk5MC4xNC8wNi8yMDI2AQAAAOlx</t>
  </si>
  <si>
    <t>AgADAAAAA1JFUAB8H37Z/sneCCmnHtz+yd4IJkNJUS5OWVNFOkJBSC5JUV9HQUFQX0NGLjk5Ni4xNC8wNi8yMDI2AQAAAOlxAgADAAAAB1VTIEdBQVAAfB9+2f7J3ggppx7c/sneCC5DSVEuTllTRTpCQUguSVFfVE9UQUxfRU1QTE9ZRUVTLjk5Ni4xNC8wNi8yMDI2AQAAAOlxAgACAAAABTI5MzAwAIYrFNn+yd4I9g4h3P7J3gg5Q0lRLk5ZU0U6QkFILklRX1RPVEFMX09VVFNUQU5ESU5HX0JTX0RBVEUuMjAwMC4xNC8wNi8yMDI2AQAAAOlxAgACAAAACTEyMC4zNDEzMgEEAAAABQAAAAE1AQAAAAstMTg4NzcwNDM0MQIAAAAFMjQxNTIGAAAAATBKR0fZ/sneCCmnHtz+yd4ILUNJUS5OWVNFOkJBSC5JUV9SRVNUQVRFTUVOVF9DRi45OTMuMTQvMDYvMjAyNgEAAADpcQIAAwAAAAJOQwB8H37Z/sneCCmnHtz+yd4IJkNJUS5OWVNFOkJBSC5JUV9HQUFQX0NGLjk5Ny4xNC8wNi8yMDI2AQAAAOlxAgADAAAAB1VTIEdBQVAAfB9+2f7J3ggppx7c/sneCChDSVEuTllTRTpCQUguSVFfRlVMTF9USU1FLjk5OC4xNC8wNi8yMDI2AQAAAOlxAgACAAAABTM0MjAwAIYrFNn+yd4I9g4h3P7J3gg4Q0lRLk5ZU0U6QkFILklRX1RPVEFMX09VVFNUQU5ESU5HX0JTX0RBVEUuOTkyLjE0LzA2LzIwMjYBAAAA6XECAAIAAAAKMTQzLjQ0NjUzOQEEAAAABQAAAAE1AQAAAAoyMDM4MDkxMDc3AgAAAAUyNDE1MgYAAAABMEpHR9n+</t>
  </si>
  <si>
    <t>yd4IKace3P7J3ggtQ0lRLk5ZU0U6QkFILklRX1JFU1RBVEVNRU5UX0NGLjk5NC4xNC8wNi8yMDI2AQAAAOlxAgADAAAAAk5DAHwfftn+yd4IKace3P7J3ggmQ0lRLk5ZU0U6QkFILklRX0dBQVBfQ0YuOTk4LjE0LzA2LzIwMjYBAAAA6XECAAMAAAAHVVMgR0FBUAB8H37Z/sneCCmnHtz+yd4IKUNJUS5OWVNFOkJBSC5JUV9GVUxMX1RJTUUuMTAwMC4xNC8wNi8yMDI2AQAAAOlxAgACAAAABTMxNTAwAIYrFNn+yd4IKvhA3f7J3gg4Q0lRLk5ZU0U6QkFILklRX1RPVEFMX09VVFNUQU5ESU5HX0JTX0RBVEUuOTk0LjE0LzA2LzIwMjYBAAAA6XECAAIAAAAKMTM4LjcxOTkyMQEEAAAABQAAAAE1AQAAAAstMjA5NTEyNjA5MAIAAAAFMjQxNTIGAAAAATBKR0fZ/sneCCmnHtz+yd4ILENJUS5OWVNFOkJBSC5JUV9DQUxDX1RZUEVfQ0YuMjAwMC4xNC8wNi8yMDI2AQAAAOlxAgADAAAAA1JFUAB8H37Z/sneCCmnHtz+yd4ILUNJUS5OWVNFOkJBSC5JUV9SRVNUQVRFTUVOVF9DRi45OTUuMTQvMDYvMjAyNgEAAADpcQIAAwAAAAJOQwB8H37Z/sneCCmnHtz+yd4IKUNJUS5OWVNFOkJBSC5JUV9GVUxMX1RJTUUuMjAwMC4xNC8wNi8yMDI2AQAAAOlxAgACAAAABTMxNTAwAIYrFNn+yd4I9g4h3P7J3gg4Q0lRLk5ZU0U6QkFILklRX1RPVEFMX09VVFNUQU5ESU5HX0JTX0RBVEUuOTk2LjE0LzA2LzIwMjYBAAAA6XECAAIA</t>
  </si>
  <si>
    <t>AAAKMTMyLjU4NDM0OAEEAAAABQAAAAE1AQAAAAstMTk5MjQwMjA1OQIAAAAFMjQxNTIGAAAAATBKR0fZ/sneCCmnHtz+yd4ILUNJUS5OWVNFOkJBSC5JUV9SRVNUQVRFTUVOVF9DRi45OTYuMTQvMDYvMjAyNgEAAADpcQIAAwAAAAJOQwB8H37Z/sneCCmnHtz+yd4IJkNJUS5OWVNFOkJBSC5JUV9HQUFQX0NGLjk5MC4xNC8wNi8yMDI2AQAAAOlxAgADAAAAB1VTIEdBQVAAfB9+2f7J3ggppx7c/sneCChDSVEuTllTRTpCQUguSVFfRlVMTF9USU1FLjk5Mi4xNC8wNi8yMDI2AQAAAOlxAgACAAAABTI0NjAwAIYrFNn+yd4I9g4h3P7J3ggpQ0lRLk5ZU0U6QkFILklRX0lOVl9NRVRIT0QuOTkwLjE0LzA2LzIwMjYBAAAA6XECAAMAAAACTkEASkdH2f7J3ggppx7c/sneCDxDSVEuTllTRTpCQUguSVFfVE9UQUxfT1VUU1RBTkRJTkdfRklMSU5HX0RBVEUuOTk5LjE0LzA2LzIwMjYBAAAA6XECAAIAAAAKMTI0LjE4NzYzNAEEAAAABQAAAAE1AQAAAAstMTg4NzcwNTAwMQIAAAAFMjQxNTMGAAAAATBKR0fZ/sneCCr4QN3+yd4ILUNJUS5OWVNFOkJBSC5JUV9SRVNUQVRFTUVOVF9DRi45OTcuMTQvMDYvMjAyNgEAAADpcQIAAwAAAAJSUwB8H37Z/sneCCmnHtz+yd4IJkNJUS5OWVNFOkJBSC5JUV9HQUFQX0NGLjk5MS4xNC8wNi8yMDI2AQAAAOlxAgADAAAAB1VTIEdBQVAAfB9+2f7J3ggppx7c/sneCChDSVEuTllT</t>
  </si>
  <si>
    <t>RTpCQUguSVFfRlVMTF9USU1FLjk5Ni4xNC8wNi8yMDI2AQAAAOlxAgACAAAABTI5MzAwAIYrFNn+yd4I9g4h3P7J3ggpQ0lRLk5ZU0U6QkFILklRX0lOVl9NRVRIT0QuOTkyLjE0LzA2LzIwMjYBAAAA6XECAAMAAAACTkEASkdH2f7J3ggppx7c/sneCD1DSVEuTllTRTpCQUguSVFfVE9UQUxfT1VUU1RBTkRJTkdfRklMSU5HX0RBVEUuMTAwMC4xNC8wNi8yMDI2AQAAAOlxAgACAAAACTExOS43NDYxMwEEAAAABQAAAAE1AQAAAAstMTg4NzcwNDk3NwIAAAAFMjQxNTMGAAAAATBKR0fZ/sneCCr4QN3+yd4IJkNJUS5OWVNFOkJBSC5JUV9HQUFQX0NGLjk5Mi4xNC8wNi8yMDI2AQAAAOlxAgADAAAAB1VTIEdBQVAAfB9+2f7J3ggppx7c/sneCClDSVEuTllTRTpCQUguSVFfSU5WX01FVEhPRC45OTMuMTQvMDYvMjAyNgEAAADpcQIAAwAAAAJOQQBKR0fZ/sneCCmnHtz+yd4IPENJUS5OWVNFOkJBSC5JUV9UT1RBTF9PVVRTVEFORElOR19GSUxJTkdfREFURS45OTguMTQvMDYvMjAyNgEAAADpcQIAAgAAAAoxMjkuMzIwNDg4AQQAAAAFAAAAATUBAAAACy0xODg3NzA0OTkzAgAAAAUyNDE1MwYAAAABMEpHR9n+yd4IKace3P7J3ggtQ0lRLk5ZU0U6QkFILklRX1JFU1RBVEVNRU5UX0NGLjk5MC4xNC8wNi8yMDI2AQAAAOlxAgADAAAAAk5DAHwfftn+yd4IKace3P7J3ggrQ0lRLk5ZU0U6QkFILklRX0NBTENfVFlQ</t>
  </si>
  <si>
    <t>RV9DRi45OTYuMTQvMDYvMjAyNgEAAADpcQIAAwAAAANSRVAAfB9+2f7J3ggppx7c/sneCDxDSVEuTllTRTpCQUguSVFfVE9UQUxfT1VUU1RBTkRJTkdfRklMSU5HX0RBVEUuOTkwLjE0LzA2LzIwMjYBAAAA6XECAAIAAAAKMTQ4LjAwMTQ2MgEEAAAABQAAAAE1AQAAAAoxODkxMzQ3ODY5AgAAAAUyNDE1MwYAAAABMEpHR9n+yd4IKace3P7J3ggrQ0lRLk5ZU0U6QkFILklRX0NBTENfVFlQRV9DRi45OTcuMTQvMDYvMjAyNgEAAADpcQIAAwAAAANSRVAAfB9+2f7J3ggppx7c/sneCC1DSVEuTllTRTpCQUguSVFfUkVTVEFURU1FTlRfQ0YuOTkxLjE0LzA2LzIwMjYBAAAA6XECAAMAAAACUlMAfB9+2f7J3ggppx7c/sneCDxDSVEuTllTRTpCQUguSVFfVE9UQUxfT1VUU1RBTkRJTkdfRklMSU5HX0RBVEUuOTkxLjE0LzA2LzIwMjYBAAAA6XECAAIAAAAKMTQ3LjkyMDgzNQEEAAAABQAAAAE1AQAAAAoxOTY1NzcyNDIyAgAAAAUyNDE1MwYAAAABMEpHR9n+yd4IKace3P7J3ggtQ0lRLk5ZU0U6QkFILklRX1JFU1RBVEVNRU5UX0NGLjk5Mi4xNC8wNi8yMDI2AQAAAOlxAgADAAAAAlJTAHwfftn+yd4IKace3P7J3ggrQ0lRLk5ZU0U6QkFILklRX0NBTENfVFlQRV9DRi45OTguMTQvMDYvMjAyNgEAAADpcQIAAwAAAANSRVAAfB9+2f7J3ggppx7c/sneCDxDSVEuTllTRTpCQUguSVFfVE9UQUxfT1VUU1RBTkRJTkdf</t>
  </si>
  <si>
    <t>RklMSU5HX0RBVEUuOTkyLjE0LzA2LzIwMjYBAAAA6XECAAIAAAAKMTQzLjM2Nzc3NQEEAAAABQAAAAE1AQAAAAoyMDM4MDkxMDc3AgAAAAUyNDE1MwYAAAABMEpHR9n+yd4IKace3P7J3ggrQ0lRLk5ZU0U6QkFILklRX0NBTENfVFlQRV9DRi45OTkuMTQvMDYvMjAyNgEAAADpcQIAAwAAAANSRVAAfB9+2f7J3ggq+EDd/sneCCxDSVEuTllTRTpCQUguSVFfQ0FMQ19UWVBFX0NGLjEwMDAuMTQvMDYvMjAyNgEAAADpcQIAAwAAAANSRVAAfB9+2f7J3ggq+EDd/sneCDBDSVEuTllTRTpCQUguSVFfTlVNQkVSX0FEUkhPTERFUlMuOTkyLjE0LzA2LzIwMjYBAAAA6XECAAMAAAAAAIYrFNn+yd4I9g4h3P7J3ggrQ0lRLk5ZU0U6QkFILklRX0NBTENfVFlQRV9DRi45OTEuMTQvMDYvMjAyNgEAAADpcQIAAwAAAANSRVAAfB9+2f7J3ggppx7c/sneCDBDSVEuTllTRTpCQUguSVFfTlVNQkVSX0FEUkhPTERFUlMuOTkzLjE0LzA2LzIwMjYBAAAA6XECAAMAAAAAAIYrFNn+yd4I9g4h3P7J3ggvQ0lRLk5ZU0U6QkFILklRX1BFUklPRExFTkdUSF9DRi4yMDAwLjE0LzA2LzIwMjYBAAAA6XECAAEAAAACMTIAw5x/2f7J3ggppx7c/sneCCtDSVEuTllTRTpCQUguSVFfQ0FMQ19UWVBFX0NGLjk5Mi4xNC8wNi8yMDI2AQAAAOlxAgADAAAAA1JFUAB8H37Z/sneCCmnHtz+yd4IJkNJUS5OWVNFOkJBSC5JUV9HQUFQX0NGLjk5</t>
  </si>
  <si>
    <t>My4xNC8wNi8yMDI2AQAAAOlxAgADAAAAB1VTIEdBQVAAfB9+2f7J3ggppx7c/sneCC5DSVEuTllTRTpCQUguSVFfRklMSU5HX0NVUlJFTkNZLjk5My4xNC8wNi8yMDI2AQAAAOlxAgADAAAAA1VTRADSo7bZ/sneCPYOIdz+yd4ILkNJUS5OWVNFOkJBSC5JUV9QRVJJT0RMRU5HVEhfQ0YuOTkzLjE0LzA2LzIwMjYBAAAA6XECAAEAAAACMTIAw5x/2f7J3ggppx7c/sneCCZDSVEuTllTRTpCQUguSVFfR0FBUF9JUy45OTMuMTQvMDYvMjAyNgEAAADpcQIAAwAAAAdVUyBHQUFQANKjttn+yd4IKace3P7J3gg+Q0lRLk5ZU0U6QkFILklRX0RJU1RSSUJVVEFCTEVfQ0FTSF9TSEFSRVNfQkFTSUMuOTkzLjE0LzA2LzIwMjYBAAAA6XECAAMAAAAAAEyDBNr+yd4I/TQc3P7J3ggrQ0lRLk5ZU0U6QkFILklRX0RJTFVUX1dFSUdIVC45OTMuMTQvMDYvMjAyNgEAAADpcQIAAgAAAAoxNDMuMTU2MTc2AEyDBNr+yd4I/TQc3P7J3ghAQ0lRLk5ZU0U6QkFILklRX0RJU1RSSUJVVEFCTEVfQ0FTSF9TSEFSRVNfRElMVVRFRC45OTMuMTQvMDYvMjAyNgEAAADpcQIAAwAAAAAATIME2v7J3ggppx7c/sneCC9DSVEuTllTRTpCQUguSVFfRFJfUkFUSU9fUFJJTUFSWS45OTMuMTQvMDYvMjAyNgEAAADpcQIAAwAAAAAATIME2v7J3gj9NBzc/sneCCtDSVEuTllTRTpCQUguSVFfUEFZT1VUX1JBVElPLjk5My4xNC8wNi8yMDI2AQAA</t>
  </si>
  <si>
    <t>AOlxAgACAAAABzI3LjI5NDEBCAAAAAUAAAABMQEAAAAKMjA5OTA4NzEzMwMAAAADMTYwAgAAAAQ0Mzc3BAAAAAEwBwAAAAk2LzE0LzIwMjYIAAAACTMvMzEvMjAxOQkAAAABMNKjttn+yd4IKace3P7J3gg4Q0lRLk5ZU0U6QkFILklRX0RJU1RSSUJVVEFCTEVfQ0FTSF9QQVlPVVQuOTkzLjE0LzA2LzIwMjYBAAAA6XECAAMAAAAAANKjttn+yd4IKace3P7J3ggrQ0lRLk5ZU0U6QkFILklRX0NBTENfVFlQRV9JUy45OTMuMTQvMDYvMjAyNgEAAADpcQIAAwAAAANSRVAA0qO22f7J3ggppx7c/sneCClDSVEuTllTRTpCQUguSVFfU0FNRV9TVE9SRS45OTMuMTQvMDYvMjAyNgEAAADpcQIAAwAAAAAA0qO22f7J3gj9NBzc/sneCClDSVEuTllTRTpCQUguSVFfUEVSSU9EREFURS45OTMuMTQvMDYvMjAyNgEAAADpcQIABQAAAAozMS8wMy8yMDE5AJuCA9r+yd4I/TQc3P7J3ggsQ0lRLk5ZU0U6QkFILklRX0ZJTElOR0RBVEVfSVMuOTkzLjE0LzA2LzIwMjYBAAAA6XECAAUAAAAKMjEvMDUvMjAyMQBMgwTa/sneCP00HNz+yd4ILUNJUS5OWVNFOkJBSC5JUV9SRVNUQVRFTUVOVF9JUy45OTMuMTQvMDYvMjAyNgEAAADpcQIAAwAAAAJOQwDSo7bZ/sneCCmnHtz+yd4IK0NJUS5OWVNFOkJBSC5JUV9CQVNJQ19XRUlHSFQuOTkzLjE0LzA2LzIwMjYBAAAA6XECAAIAAAAKMTQxLjkxMDc5OQBMgwTa/sneCP00HNz+yd4I</t>
  </si>
  <si>
    <t>LkNJUS5OWVNFOkJBSC5JUV9FRkZFQ1RfVEFYX1JBVEUuOTkzLjE0LzA2LzIwMjYBAAAA6XECAAIAAAAHMTguNzk1NwEIAAAABQAAAAExAQAAAAoyMDk5MDg3MTMzAwAAAAMxNjACAAAABDQzNzYEAAAAATAHAAAACTYvMTQvMjAyNggAAAAJMy8zMS8yMDE5CQAAAAEw0qO22f7J3ggppx7c/sneCC5DSVEuTllTRTpCQUguSVFfUEVSSU9ETEVOR1RIX0lTLjk5My4xNC8wNi8yMDI2AQAAAOlxAgABAAAAAjEyAEyDBNr+yd4I/TQc3P7J3ggpQ0lRLk5ZU0U6QkFILklRX0ZYLjk5My4xNC8wNi8yMDI2Li4uVVNELkgBAAAA6XECAAMAAAAAAMOcf9n+yd4IBYvn2/7J3gg1Q0lRLk5ZU0U6QkFILklRX0xUX0RFQlRfUkVQQUlELjk5My4xNC8wNi8yMDI2Li4uVVNELkgBAAAA6XECAAIAAAAILTE3MC41MTIBCAAAAAUAAAABMQEAAAAKMjA5OTA4NzEzMwMAAAADMTYwAgAAAAQyMDM2BAAAAAEwBwAAAAk2LzE0LzIwMjYIAAAACTMvMzEvMjAxOQkAAAABMMOcf9n+yd4IQBnl2/7J3ggyQ0lRLk5ZU0U6QkFILklRX1NBTEVfUFBFX0NGLjk5My4xNC8wNi8yMDI2Li4uVVNELkgBAAAA6XECAAIAAAAFNS40NjkBCAAAAAUAAAABMQEAAAAKMjA5OTA4NzEzMwMAAAADMTYwAgAAAAQyMDQyBAAAAAEwBwAAAAk2LzE0LzIwMjYIAAAACTMvMzEvMjAxOQkAAAABMCTmftn+yd4IBEHg2/7J3gg4Q0lRLk5ZU0U6QkFILklRX1BST1Zf</t>
  </si>
  <si>
    <t>QkFEX0RFQlRTX0NGLjk5My4xNC8wNi8yMDI2Li4uVVNELkgBAAAA6XECAAMAAAAAACTmftn+yd4IYNnd2/7J3gg0Q0lRLk5ZU0U6QkFILklRX0lOQ19FUVVJVFlfQ0YuOTkzLjE0LzA2LzIwMjYuLi5VU0QuSAEAAADpcQIAAwAAAAAAfB9+2f7J3ghg2d3b/sneCDdDSVEuTllTRTpCQUguSVFfU1RPQ0tfQkFTRURfQ09NUC45OTMuMTQvMDYvMjAyNi4uLlVTRC5IAQAAAOlxAgADAAAAAAA85HzZ/sneCN9y29v+yd4IMUNJUS5OWVNFOkJBSC5JUV9DQVNIX0ZJTkFOLjk5My4xNC8wNi8yMDI2Li4uVVNELkgBAAAA6XECAAIAAAAILTQxMy4zNjYBCAAAAAUAAAABMQEAAAAKMjA5OTA4NzEzMwMAAAADMTYwAgAAAAQyMDA0BAAAAAEwBwAAAAk2LzE0LzIwMjYIAAAACTMvMzEvMjAxOQkAAAABMMOcf9n+yd4I7ffl2/7J3gg1Q0lRLk5ZU0U6QkFILklRX1NUX0RFQlRfUkVQQUlELjk5My4xNC8wNi8yMDI2Li4uVVNELkgBAAAA6XECAAMAAAAAAMOcf9n+yd4Ij7Hi2/7J3gg1Q0lRLk5ZU0U6QkFILklRX1NUX0RFQlRfSVNTVUVELjk5My4xNC8wNi8yMDI2Li4uVVNELkgBAAAA6XECAAMAAAAAACTmftn+yd4Ij7Hi2/7J3ggxQ0lRLk5ZU0U6QkFILklRX0NPTU1PTl9SRVAuOTkzLjE0LzA2LzIwMjYuLi5VU0QuSAEAAADpcQIAAgAAAAgtMjUyLjgyNAEIAAAABQAAAAExAQAAAAoyMDk5MDg3MTMzAwAAAAMxNjACAAAA</t>
  </si>
  <si>
    <t>BDIxNjQEAAAAATAHAAAACTYvMTQvMjAyNggAAAAJMy8zMS8yMDE5CQAAAAEww5x/2f7J3ghAGeXb/sneCDpDSVEuTllTRTpCQUguSVFfU0FMRV9SRUFMX0VTVEFURV9DRi45OTMuMTQvMDYvMjAyNi4uLlVTRC5IAQAAAOlxAgADAAAAAAAk5n7Z/sneCI+x4tv+yd4IPENJUS5OWVNFOkJBSC5JUV9DSEFOR0VfVFJBRElOR19BU1NFVFMuOTkzLjE0LzA2LzIwMjYuLi5VU0QuSAEAAADpcQIAAwAAAAAAJOZ+2f7J3ghg2d3b/sneCDVDSVEuTllTRTpCQUguSVFfU1BFQ0lBTF9ESVZfQ0YuOTkzLjE0LzA2LzIwMjYuLi5VU0QuSAEAAADpcQIAAwAAAAAAw5x/2f7J3gjt9+Xb/sneCDVDSVEuTllTRTpCQUguSVFfTFRfREVCVF9JU1NVRUQuOTkzLjE0LzA2LzIwMjYuLi5VU0QuSAEAAADpcQIAAgAAAAcxMDIuMDcxAQgAAAAFAAAAATEBAAAACjIwOTkwODcxMzMDAAAAAzE2MAIAAAAEMjAzNAQAAAABMAcAAAAJNi8xNC8yMDI2CAAAAAkzLzMxLzIwMTkJAAAAATDDnH/Z/sneCI+x4tv+yd4IQ0NJUS5OWVNFOkJBSC5JUV9DSEFOR0VfT1RIRVJfTkVUX09QRVJfQVNTRVRTLjk5My4xNC8wNi8yMDI2Li4uVVNELkgBAAAA6XECAAIAAAAFMjEuNTEBCAAAAAUAAAABMQEAAAAKMjA5OTA4NzEzMwMAAAADMTYwAgAAAAQyMDQ1BAAAAAEwBwAAAAk2LzE0LzIwMjYIAAAACTMvMzEvMjAxOQkAAAABMCTmftn+yd4IBEHg2/7J</t>
  </si>
  <si>
    <t>3gg4Q0lRLk5ZU0U6QkFILklRX0NIQU5HRV9VTkVBUk5fUkVWLjk5My4xNC8wNi8yMDI2Li4uVVNELkgBAAAA6XECAAMAAAAAACTmftn+yd4IBEHg2/7J3gg5Q0lRLk5ZU0U6QkFILklRX0FTU0VUX1dSSVRFRE9XTl9DRi45OTMuMTQvMDYvMjAyNi4uLlVTRC5IAQAAAOlxAgADAAAAAAA85HzZ/sneCGDZ3dv+yd4IOUNJUS5OWVNFOkJBSC5JUV9TVE9DS19PUFRJT05TX0NPTVAuOTkzLjE0LzA2LzIwMjYuLi5VU0QuSAEAAADpcQIAAwAAAAAAPOR82f7J3gh0/Njb/sneCDlDSVEuTllTRTpCQUguSVFfQ09NTU9OX1BSRUZfRElWX0NGLjk5My4xNC8wNi8yMDI2Li4uVVNELkgBAAAA6XECAAMAAAAAAMOcf9n+yd4I7ffl2/7J3ggyQ0lRLk5ZU0U6QkFILklRX0NBU0hfSU5WRVNULjk5My4xNC8wNi8yMDI2Li4uVVNELkgBAAAA6XECAAIAAAAHLTg5LjIxMgEIAAAABQAAAAExAQAAAAoyMDk5MDg3MTMzAwAAAAMxNjACAAAABDIwMDUEAAAAATAHAAAACTYvMTQvMjAyNggAAAAJMy8zMS8yMDE5CQAAAAEwJOZ+2f7J3giPseLb/sneCDFDSVEuTllTRTpCQUguSVFfTkVUX0NIQU5HRS45OTMuMTQvMDYvMjAyNi4uLlVTRC5IAQAAAOlxAgACAAAABi0yLjk2OAEIAAAABQAAAAExAQAAAAoyMDk5MDg3MTMzAwAAAAMxNjACAAAABDIwOTMEAAAAATAHAAAACTYvMTQvMjAyNggAAAAJMy8zMS8yMDE5CQAAAAEww5x/2f7J</t>
  </si>
  <si>
    <t>3ggFi+fb/sneCDRDSVEuTllTRTpCQUguSVFfQ09NTU9OX0lTU1VFRC45OTMuMTQvMDYvMjAyNi4uLlVTRC5IAQAAAOlxAgACAAAABjIzLjM4MgEIAAAABQAAAAExAQAAAAoyMDk5MDg3MTMzAwAAAAMxNjACAAAABDIxNjkEAAAAATAHAAAACTYvMTQvMjAyNggAAAAJMy8zMS8yMDE5CQAAAAEww5x/2f7J3ghAGeXb/sneCDBDSVEuTllTRTpCQUguSVFfRElWRVNUX0NGLjk5My4xNC8wNi8yMDI2Li4uVVNELkgBAAAA6XECAAMAAAAAACTmftn+yd4IBEHg2/7J3ggxQ0lRLk5ZU0U6QkFILklRX09JTF9JTVBBSVIuOTkzLjE0LzA2LzIwMjYuLi5VU0QuSAEAAADpcQIAAwAAAAAAPOR82f7J3giseNzb/sneCD5DSVEuTllTRTpCQUguSVFfU1RPQ0tfQkFTRURfQ09NUF9QUkVUQVguOTkzLjE0LzA2LzIwMjYuLi5VU0QuSAEAAADpcQIAAgAAAAYzMS4yNzUAPOR82f7J3gh0/Njb/sneCDtDSVEuTllTRTpCQUguSVFfVE9UQUxfVU5VU1VBTF9TVVBQTEUuOTkzLjE0LzA2LzIwMjYuLi5VU0QuSAEAAADpcQIAAwAAAAAA0qO22f7J3gjA7NXb/sneCDdDSVEuTllTRTpCQUguSVFfSU5UX0VYUF9JTkNMX0NBUC45OTMuMTQvMDYvMjAyNi4uLlVTRC5IAQAAAOlxAgACAAAABjg5LjUxNwEIAAAABQAAAAExAQAAAAoyMDk5MDg3MTMzAwAAAAMxNjACAAAABTIxODYxBAAAAAEwBwAAAAk2LzE0LzIwMjYIAAAACTMvMzEvMjAx</t>
  </si>
  <si>
    <t>OQkAAAABMNKjttn+yd4IRdTN2/7J3gg+Q0lRLk5ZU0U6QkFILklRX0VYQ0lTRV9UQVhFU19JTkNMX1NBTEVTLjk5My4xNC8wNi8yMDI2Li4uVVNELkgBAAAA6XECAAMAAAAAANKjttn+yd4Il/vI2/7J3gg+Q0lRLk5ZU0U6QkFILklRX0VCSVREQVJfRVFfSU5DX0VYQ0xfU0JDLjk5My4xNC8wNi8yMDI2Li4uVVNELkgBAAAA6XECAAIAAAAHNzc3LjcwNgEIAAAABQAAAAExAQAAAAoyMDk5MDg3MTMzAwAAAAMxNjACAAAABTI0MTMzBAAAAAEwBwAAAAk2LzE0LzIwMjYIAAAACTMvMzEvMjAxOQkAAAABMNKjttn+yd4IuYjG2/7J3gg8Q0lRLk5ZU0U6QkFILklRX0VCSVREQV9MRUFTRV9BREpVU1RFRC45OTMuMTQvMDYvMjAyNi4uLlVTRC5IAQAAAOlxAgACAAAABzY2My43MzEBCAAAAAUAAAABMQEAAAAKMjA5OTA4NzEzMwMAAAADMTYwAgAAAAU0ODk5MwQAAAABMAcAAAAJNi8xNC8yMDI2CAAAAAkzLzMxLzIwMTkJAAAAATBMgwTa/sneCA8vxNv+yd4INENJUS5OWVNFOkJBSC5JUV9FQklUREFfRVFfSU5DLjk5My4xNC8wNi8yMDI2Li4uVVNELkgBAAAA6XECAAIAAAAHNjYzLjczMQEIAAAABQAAAAExAQAAAAoyMDk5MDg3MTMzAwAAAAMxNjACAAAABTIxNjc3BAAAAAEwBwAAAAk2LzE0LzIwMjYIAAAACTMvMzEvMjAxOQkAAAABMEyDBNr+yd4IDy/E2/7J3ggvQ0lRLk5ZU0U6QkFILklRX0VQU19OT1JNLjk5</t>
  </si>
  <si>
    <t>My4xNC8wNi8yMDI2Li4uVVNELkgBAAAA6XECAAIAAAAIMi4yNjk5MjUBCAAAAAUAAAABMQEAAAAKMjA5OTA4NzEzMwMAAAADMTYwAgAAAAQ0Mzc5BAAAAAEwBwAAAAk2LzE0LzIwMjYIAAAACTMvMzEvMjAxOQkAAAABMEyDBNr+yd4I2KnB2/7J3gg2Q0lRLk5ZU0U6QkFILklRX0VYVFJBX0FDQ19JVEVNUy45OTMuMTQvMDYvMjAyNi4uLlVTRC5IAQAAAOlxAgADAAAAAABMgwTa/sneCN/NvNv+yd4IMkNJUS5OWVNFOkJBSC5JUV9PVEhFUl9BTU9SVC45OTMuMTQvMDYvMjAyNi4uLlVTRC5IAQAAAOlxAgACAAAABTUuMDUyAQgAAAAFAAAAATEBAAAACjIwOTkwODcxMzMDAAAAAzE2MAIAAAAEMjAxNAQAAAABMAcAAAAJNi8xNC8yMDI2CAAAAAkzLzMxLzIwMTkJAAAAATA85HzZ/sneCKx43Nv+yd4IM0NJUS5OWVNFOkJBSC5JUV9NQUlOVF9SRVBBSVIuOTkzLjE0LzA2LzIwMjYuLi5VU0QuSAEAAADpcQIAAwAAAAAA0qO22f7J3giI69Lb/sneCD5DSVEuTllTRTpCQUguSVFfT1RIRVJfRklOQU5DRV9BQ1RfU1VQUEwuOTkzLjE0LzA2LzIwMjYuLi5VU0QuSAEAAADpcQIAAgAAAAYtMS4yNDkBCAAAAAUAAAABMQEAAAAKMjA5OTA4NzEzMwMAAAADMTYwAgAAAAQyMDUwBAAAAAEwBwAAAAk2LzE0LzIwMjYIAAAACTMvMzEvMjAxOQkAAAABMMOcf9n+yd4I7ffl2/7J3gg4Q0lRLk5ZU0U6QkFILklRX1NUT0NLX0JB</t>
  </si>
  <si>
    <t>U0VEX1RPVEFMLjk5My4xNC8wNi8yMDI2Li4uVVNELkgBAAAA6XECAAIAAAAGMzEuMjc1AQgAAAAFAAAAATEBAAAACjIwOTkwODcxMzMDAAAAAzE2MAIAAAAFMjQwMzQEAAAAATAHAAAACTYvMTQvMjAyNggAAAAJMy8zMS8yMDE5CQAAAAEwPOR82f7J3gh0/Njb/sneCDlDSVEuTllTRTpCQUguSVFfSU5WRVNUX1NFQ1VSSVRZX0NGLjk5My4xNC8wNi8yMDI2Li4uVVNELkgBAAAA6XECAAMAAAAAACTmftn+yd4Ij7Hi2/7J3gg4Q0lRLk5ZU0U6QkFILklRX05FR0FUSVZFX0dXX0FNT1JULjk5My4xNC8wNi8yMDI2Li4uVVNELkgBAAAA6XECAAMAAAAAANKjttn+yd4IwOzV2/7J3gg5Q0lRLk5ZU0U6QkFILklRX1JFU1RSVUNUVVJFX1NVUFBMRS45OTMuMTQvMDYvMjAyNi4uLlVTRC5IAQAAAOlxAgADAAAAAADSo7bZ/sneCIjr0tv+yd4INENJUS5OWVNFOkJBSC5JUV9DT01NT05fRElWX0NGLjk5My4xNC8wNi8yMDI2Li4uVVNELkgBAAAA6XECAAIAAAAILTExNC4yMzQBCAAAAAUAAAABMQEAAAAKMjA5OTA4NzEzMwMAAAADMTYwAgAAAAQyMDc0BAAAAAEwBwAAAAk2LzE0LzIwMjYIAAAACTMvMzEvMjAxOQkAAAABMMOcf9n+yd4I7ffl2/7J3ggsQ0lRLk5ZU0U6QkFILklRX0NBUEVYLjk5My4xNC8wNi8yMDI2Li4uVVNELkgBAAAA6XECAAIAAAAHLTk0LjY4MQEIAAAABQAAAAExAQAAAAoyMDk5MDg3MTMzAwAA</t>
  </si>
  <si>
    <t>AAMxNjACAAAABDIwMjEEAAAAATAHAAAACTYvMTQvMjAyNggAAAAJMy8zMS8yMDE5CQAAAAEwJOZ+2f7J3ggEQeDb/sneCDVDSVEuTllTRTpCQUguSVFfT1RIRVJfT1BFUl9BQ1QuOTkzLjE0LzA2LzIwMjYuLi5VU0QuSAEAAADpcQIAAgAAAAYyNy4zMDgBCAAAAAUAAAABMQEAAAAKMjA5OTA4NzEzMwMAAAADMTYwAgAAAAQyMDQ3BAAAAAEwBwAAAAk2LzE0LzIwMjYIAAAACTMvMzEvMjAxOQkAAAABMCTmftn+yd4IYNnd2/7J3ggsQ0lRLk5ZU0U6QkFILklRX05JX0NGLjk5My4xNC8wNi8yMDI2Li4uVVNELkgBAAAA6XECAAIAAAAHNDE4LjUyOQEIAAAABQAAAAExAQAAAAoyMDk5MDg3MTMzAwAAAAMxNjACAAAABDIxNTAEAAAAATAHAAAACTYvMTQvMjAyNggAAAAJMy8zMS8yMDE5CQAAAAEwPOR82f7J3gjfctvb/sneCDZDSVEuTllTRTpCQUguSVFfU1RPQ0tfQkFTRURfU0dBLjk5My4xNC8wNi8yMDI2Li4uVVNELkgBAAAA6XECAAMAAAAAADzkfNn+yd4IR67Y2/7J3ggwQ0lRLk5ZU0U6QkFILklRX1JEX0VYUF9GTi45OTMuMTQvMDYvMjAyNi4uLlVTRC5IAQAAAOlxAgADAAAAAADSo7bZ/sneCMhJ0Nv+yd4IMENJUS5OWVNFOkJBSC5JUV9NQVJLRVRJTkcuOTkzLjE0LzA2LzIwMjYuLi5VU0QuSAEAAADpcQIAAwAAAAAA0qO22f7J3gjISdDb/sneCD1DSVEuTllTRTpCQUguSVFfREVGRVJSRURfRk9SRUlH</t>
  </si>
  <si>
    <t>Tl9UQVhFUy45OTMuMTQvMDYvMjAyNi4uLlVTRC5IAQAAAOlxAgADAAAAAADSo7bZ/sneCD9qy9v+yd4IPENJUS5OWVNFOkJBSC5JUV9UT1RBTF9SRVZfQVNfUkVQT1JURUQuOTkzLjE0LzA2LzIwMjYuLi5VU0QuSAEAAADpcQIAAwAAAAAA0qO22f7J3giX+8jb/sneCDtDSVEuTllTRTpCQUguSVFfRUJJVF9FUV9JTkNfRVhDTF9TQkMuOTkzLjE0LzA2LzIwMjYuLi5VU0QuSAEAAADpcQIAAgAAAAc2MjYuNDMxAQgAAAAFAAAAATEBAAAACjIwOTkwODcxMzMDAAAAAzE2MAIAAAAFMjQxMzAEAAAAATAHAAAACTYvMTQvMjAyNggAAAAJMy8zMS8yMDE5CQAAAAEwsQ0F2v7J3gi5iMbb/sneCDtDSVEuTllTRTpCQUguSVFfU1RPQ0tfQkFTRURfQ09NUF9UQVguOTkzLjE0LzA2LzIwMjYuLi5VU0QuSAEAAADpcQIAAwAAAAAAPOR82f7J3gjfctvb/sneCDNDSVEuTllTRTpCQUguSVFfT1RIRVJfUkVOVEFMLjk5My4xNC8wNi8yMDI2Li4uVVNELkgBAAAA6XECAAMAAAAAANKjttn+yd4IyEnQ2/7J3gg1Q0lRLk5ZU0U6QkFILklRX01JU0NfQURKVVNUX0NGLjk5My4xNC8wNi8yMDI2Li4uVVNELkgBAAAA6XECAAMAAAAAAMOcf9n+yd4IBYvn2/7J3gg4Q0lRLk5ZU0U6QkFILklRX1RPVEFMX0RJVl9QQUlEX0NGLjk5My4xNC8wNi8yMDI2Li4uVVNELkgBAAAA6XECAAIAAAAILTExNC4yMzQBCAAAAAUAAAABMQEAAAAK</t>
  </si>
  <si>
    <t>MjA5OTA4NzEzMwMAAAADMTYwAgAAAAQyMDIyBAAAAAEwBwAAAAk2LzE0LzIwMjYIAAAACTMvMzEvMjAxOQkAAAABMMOcf9n+yd4I7ffl2/7J3ggwQ0lRLk5ZU0U6QkFILklRX0NIQU5HRV9BUi45OTMuMTQvMDYvMjAyNi4uLlVTRC5IAQAAAOlxAgACAAAACC0xOTYuNDUzAQgAAAAFAAAAATEBAAAACjIwOTkwODcxMzMDAAAAAzE2MAIAAAAEMjAxOAQAAAABMAcAAAAJNi8xNC8yMDI2CAAAAAkzLzMxLzIwMTkJAAAAATAk5n7Z/sneCGDZ3dv+yd4IOkNJUS5OWVNFOkJBSC5JUV9UQVhfQkVORUZJVF9PUFRJT05TLjk5My4xNC8wNi8yMDI2Li4uVVNELkgBAAAA6XECAAMAAAAAACTmftn+yd4IYNnd2/7J3ghAQ0lRLk5ZU0U6QkFILklRX1NUT0NLX09QVElPTlNfQ09NUF9QUkVUQVguOTkzLjE0LzA2LzIwMjYuLi5VU0QuSAEAAADpcQIAAgAAAAUyLjM3NAA85HzZ/sneCHT82Nv+yd4IO0NJUS5OWVNFOkJBSC5JUV9PVEhFUl9VTlVTVUFMX1NVUFBMRS45OTMuMTQvMDYvMjAyNi4uLlVTRC5IAQAAAOlxAgADAAAAAADSo7bZ/sneCMDs1dv+yd4IPENJUS5OWVNFOkJBSC5JUV9JTVBVVF9PUEVSX0xFQVNFX0RFUFIuOTkzLjE0LzA2LzIwMjYuLi5VU0QuSAEAAADpcQIAAgAAAAk1MS4wNjAzMDMBCAAAAAUAAAABMQEAAAAKMjA5OTA4NzEzMwMAAAADMTYwAgAAAAUyMTY3MwQAAAABMAcAAAAJNi8xNC8yMDI2CAAA</t>
  </si>
  <si>
    <t>AAkzLzMxLzIwMTkJAAAAATDSo7bZ/sneCIjr0tv+yd4IKkNJUS5OWVNFOkJBSC5JUV9ESUMuOTkzLjE0LzA2LzIwMjYuLi5VU0QuSAEAAADpcQIAAwAAAAAA0qO22f7J3gjISdDb/sneCEhDSVEuTllTRTpCQUguSVFfSU5URVJFU1RfRVhQX0xFQVNFX0xJQUJJTElUWV9ERUJULjk5My4xNC8wNi8yMDI2Li4uVVNELkgBAAAA6XECAAMAAAAAANKjttn+yd4IRdTN2/7J3gg+Q0lRLk5ZU0U6QkFILklRX0VYQ0lTRV9UQVhFU19FWENMX1NBTEVTLjk5My4xNC8wNi8yMDI2Li4uVVNELkgBAAAA6XECAAMAAAAAANKjttn+yd4Il/vI2/7J3gguQ0lRLk5ZU0U6QkFILklRX05JX1NGQVMuOTkzLjE0LzA2LzIwMjYuLi5VU0QuSAEAAADpcQIAAwAAAAAA0qO22f7J3giX+8jb/sneCDxDSVEuTllTRTpCQUguSVFfRUJJVEFfRVFfSU5DX0VYQ0xfU0JDLjk5My4xNC8wNi8yMDI2Li4uVVNELkgBAAAA6XECAAIAAAAHNjQ3LjMzMQEIAAAABQAAAAExAQAAAAoyMDk5MDg3MTMzAwAAAAMxNjACAAAABTI0MTMyBAAAAAEwBwAAAAk2LzE0LzIwMjYIAAAACTMvMzEvMjAxOQkAAAABMNKjttn+yd4IuYjG2/7J3ggtQ0lRLk5ZU0U6QkFILklRX0VCSVREQS45OTMuMTQvMDYvMjAyNi4uLlVTRC5IAQAAAOlxAgACAAAABzY2My43MzEBCAAAAAUAAAABMQEAAAAKMjA5OTA4NzEzMwMAAAADMTYwAgAAAAQ0MDUxBAAAAAEwBwAAAAk2</t>
  </si>
  <si>
    <t>LzE0LzIwMjYIAAAACTMvMzEvMjAxOQkAAAABMEyDBNr+yd4IDy/E2/7J3gg4Q0lRLk5ZU0U6QkFILklRX1RPVEFMX0RFQlRfSVNTVUVELjk5My4xNC8wNi8yMDI2Li4uVVNELkgBAAAA6XECAAIAAAAHMTAyLjA3MQEIAAAABQAAAAExAQAAAAoyMDk5MDg3MTMzAwAAAAMxNjACAAAABDIxNjEEAAAAATAHAAAACTYvMTQvMjAyNggAAAAJMy8zMS8yMDE5CQAAAAEww5x/2f7J3giPseLb/sneCD1DSVEuTllTRTpCQUguSVFfT1RIRVJfSU5WRVNUX0FDVF9TVVBQTC45OTMuMTQvMDYvMjAyNi4uLlVTRC5IAQAAAOlxAgADAAAAAAAk5n7Z/sneCI+x4tv+yd4INUNJUS5OWVNFOkJBSC5JUV9HQUlOX0FTU0VUU19DRi45OTMuMTQvMDYvMjAyNi4uLlVTRC5IAQAAAOlxAgACAAAABi01LjQ2NAEIAAAABQAAAAExAQAAAAoyMDk5MDg3MTMzAwAAAAMxNjACAAAABDIwMjYEAAAAATAHAAAACTYvMTQvMjAyNggAAAAJMy8zMS8yMDE5CQAAAAEwPOR82f7J3giseNzb/sneCDVDSVEuTllTRTpCQUguSVFfU1RPQ0tfQkFTRURfU00uOTkzLjE0LzA2LzIwMjYuLi5VU0QuSAEAAADpcQIAAwAAAAAA0qO22f7J3gjqONjb/sneCDhDSVEuTllTRTpCQUguSVFfQ09OVElOR0VOVF9SRU5UQUwuOTkzLjE0LzA2LzIwMjYuLi5VU0QuSAEAAADpcQIAAwAAAAAA0qO22f7J3gjISdDb/sneCDVDSVEuTllTRTpCQUguSVFfQ0hBTkdFX0RF</t>
  </si>
  <si>
    <t>Rl9UQVguOTkzLjE0LzA2LzIwMjYuLi5VU0QuSAEAAADpcQIAAwAAAAAAJOZ+2f7J3ggEQeDb/sneCDtDSVEuTllTRTpCQUguSVFfUkVTVFJfU1RPQ0tfQ09NUF9UQVguOTkzLjE0LzA2LzIwMjYuLi5VU0QuSAEAAADpcQIAAwAAAAAAPOR82f7J3gh0/Njb/sneCDRDSVEuTllTRTpCQUguSVFfTUVSR0VSX1NVUFBMRS45OTMuMTQvMDYvMjAyNi4uLlVTRC5IAQAAAOlxAgADAAAAAADSo7bZ/sneCIjr0tv+yd4INkNJUS5OWVNFOkJBSC5JUV9TQUxFU19NQVJLRVRJTkcuOTkzLjE0LzA2LzIwMjYuLi5VU0QuSAEAAADpcQIAAwAAAAAA0qO22f7J3gjISdDb/sneCDlDSVEuTllTRTpCQUguSVFfRElTVFJJQlVUQUJMRV9DQVNILjk5My4xNC8wNi8yMDI2Li4uVVNELkgBAAAA6XECAAMAAAAAANKjttn+yd4IRdTN2/7J3ggxQ0lRLk5ZU0U6QkFILklRX0NVUlJfVEFYRVMuOTkzLjE0LzA2LzIwMjYuLi5VU0QuSAEAAADpcQIAAgAAAAY3My44NjgBCAAAAAUAAAABMQEAAAAKMjA5OTA4NzEzMwMAAAADMTYwAgAAAAUzNTM4MwQAAAABMAcAAAAJNi8xNC8yMDI2CAAAAAkzLzMxLzIwMTkJAAAAATDSo7bZ/sneCD9qy9v+yd4IOENJUS5OWVNFOkJBSC5JUV9GRUVTX09USEVSX0lOQ09NRS45OTMuMTQvMDYvMjAyNi4uLlVTRC5IAQAAAOlxAgADAAAAAADSo7bZ/sneCJf7yNv+yd4IK0NJUS5OWVNFOkJBSC5JUV9FQklU</t>
  </si>
  <si>
    <t>Ljk5My4xNC8wNi8yMDI2Li4uVVNELkgBAAAA6XECAAIAAAAHNTk1LjE1NgEIAAAABQAAAAExAQAAAAoyMDk5MDg3MTMzAwAAAAMxNjACAAAAAzQwMAQAAAABMAcAAAAJNi8xNC8yMDI2CAAAAAkzLzMxLzIwMTkJAAAAATCxDQXa/sneCA8vxNv+yd4IMENJUS5OWVNFOkJBSC5JUV9DSEFOR0VfQVAuOTkzLjE0LzA2LzIwMjYuLi5VU0QuSAEAAADpcQIAAgAAAAcxMDcuNjQ0AQgAAAAFAAAAATEBAAAACjIwOTkwODcxMzMDAAAAAzE2MAIAAAAEMjAxNwQAAAABMAcAAAAJNi8xNC8yMDI2CAAAAAkzLzMxLzIwMTkJAAAAATAk5n7Z/sneCARB4Nv+yd4ILENJUS5OWVNFOkJBSC5JUV9ET19DRi45OTMuMTQvMDYvMjAyNi4uLlVTRC5IAQAAAOlxAgADAAAAAAAk5n7Z/sneCGDZ3dv+yd4IOENJUS5OWVNFOkJBSC5JUV9JTlNfU0VUVExFX1NVUFBMRS45OTMuMTQvMDYvMjAyNi4uLlVTRC5IAQAAAOlxAgADAAAAAADSo7bZ/sneCMDs1dv+yd4IL0NJUS5OWVNFOkJBSC5JUV9QUkVGX1JFUC45OTMuMTQvMDYvMjAyNi4uLlVTRC5IAQAAAOlxAgADAAAAAADDnH/Z/sneCO335dv+yd4IN0NJUS5OWVNFOkJBSC5JUV9TVE9DS19CQVNFRF9DT0dTLjk5My4xNC8wNi8yMDI2Li4uVVNELkgBAAAA6XECAAIAAAAEOC45OQEIAAAABQAAAAExAQAAAAoyMDk5MDg3MTMzAwAAAAMxNjACAAAABTIyNjc0BAAAAAEwBwAAAAk2LzE0</t>
  </si>
  <si>
    <t>LzIwMjYIAAAACTMvMzEvMjAxOQkAAAABMNKjttn+yd4Iz5zX2/7J3gg+Q0lRLk5ZU0U6QkFILklRX1NBTEFSSUVTX09USEVSX0JFTkVGSVRTLjk5My4xNC8wNi8yMDI2Li4uVVNELkgBAAAA6XECAAMAAAAAANKjttn+yd4IiOvS2/7J3gg1Q0lRLk5ZU0U6QkFILklRX05FVF9SRU5UQUxfRVhQLjk5My4xNC8wNi8yMDI2Li4uVVNELkgBAAAA6XECAAMAAAAAANKjttn+yd4IyEnQ2/7J3gg0Q0lRLk5ZU0U6QkFILklRX1NBTEVfSU5UQU5fQ0YuOTkzLjE0LzA2LzIwMjYuLi5VU0QuSAEAAADpcQIAAwAAAAAAJOZ+2f7J3giPseLb/sneCDZDSVEuTllTRTpCQUguSVFfQ0FTSF9BQ1FVSVJFX0NGLjk5My4xNC8wNi8yMDI2Li4uVVNELkgBAAAA6XECAAMAAAAAACTmftn+yd4IBEHg2/7J3ggwQ0lRLk5ZU0U6QkFILklRX0NBU0hfT1BFUi45OTMuMTQvMDYvMjAyNi4uLlVTRC5IAQAAAOlxAgACAAAABjQ5OS42MQEIAAAABQAAAAExAQAAAAoyMDk5MDg3MTMzAwAAAAMxNjACAAAABDIwMDYEAAAAATAHAAAACTYvMTQvMjAyNggAAAAJMy8zMS8yMDE5CQAAAAEwJOZ+2f7J3ggEQeDb/sneCDhDSVEuTllTRTpCQUguSVFfVE9UQUxfREVCVF9SRVBBSUQuOTkzLjE0LzA2LzIwMjYuLi5VU0QuSAEAAADpcQIAAgAAAAgtMTcwLjUxMgEIAAAABQAAAAExAQAAAAoyMDk5MDg3MTMzAwAAAAMxNjACAAAABDIxNjYEAAAAATAH</t>
  </si>
  <si>
    <t>AAAACTYvMTQvMjAyNggAAAAJMy8zMS8yMDE5CQAAAAEww5x/2f7J3ghAGeXb/sneCDVDSVEuTllTRTpCQUguSVFfQ0hBTkdFX0lOQ19UQVguOTkzLjE0LzA2LzIwMjYuLi5VU0QuSAEAAADpcQIAAgAAAAYyMS42MzQBCAAAAAUAAAABMQEAAAAKMjA5OTA4NzEzMwMAAAADMTYwAgAAAAQyMTAxBAAAAAEwBwAAAAk2LzE0LzIwMjYIAAAACTMvMzEvMjAxOQkAAAABMCTmftn+yd4IBEHg2/7J3gg1Q0lRLk5ZU0U6QkFILklRX0NSRURJVF9MT1NTX0NGLjk5My4xNC8wNi8yMDI2Li4uVVNELkgBAAAA6XECAAMAAAAAAHwfftn+yd4IYNnd2/7J3gg9Q0lRLk5ZU0U6QkFILklRX1NUT0NLX09QVElPTlNfQ09NUF9UQVguOTkzLjE0LzA2LzIwMjYuLi5VU0QuSAEAAADpcQIAAwAAAAAAPOR82f7J3gh0/Njb/sneCDVDSVEuTllTRTpCQUguSVFfU1RPQ0tfQkFTRURfR0EuOTkzLjE0LzA2LzIwMjYuLi5VU0QuSAEAAADpcQIAAgAAAAYyMi4yODUBCAAAAAUAAAABMQEAAAAKMjA5OTA4NzEzMwMAAAADMTYwAgAAAAUyMjY3NQQAAAABMAcAAAAJNi8xNC8yMDI2CAAAAAkzLzMxLzIwMTkJAAAAATDSo7bZ/sneCBSH2Nv+yd4IN0NJUS5OWVNFOkJBSC5JUV9HQUlOX0JBUkdBSU5fQUNRLjk5My4xNC8wNi8yMDI2Li4uVVNELkgBAAAA6XECAAMAAAAAANKjttn+yd4Iu63V2/7J3gg1Q0lRLk5ZU0U6QkFILklRX01JTklNVU1f</t>
  </si>
  <si>
    <t>UkVOVEFMLjk5My4xNC8wNi8yMDI2Li4uVVNELkgBAAAA6XECAAMAAAAAANKjttn+yd4IyEnQ2/7J3ggyQ0lRLk5ZU0U6QkFILklRX0FEVkVSVElTSU5HLjk5My4xNC8wNi8yMDI2Li4uVVNELkgBAAAA6XECAAMAAAAAANKjttn+yd4IyEnQ2/7J3ghGQ0lRLk5ZU0U6QkFILklRX0RJU1RSSUJVVEFCTEVfQ0FTSF9TVEFOREFSRElaRUQuOTkzLjE0LzA2LzIwMjYuLi5VU0QuSAEAAADpcQIAAwAAAAAA0qO22f7J3ghF1M3b/sneCD5DSVEuTllTRTpCQUguSVFfREVGRVJSRURfRE9NRVNUSUNfVEFYRVMuOTkzLjE0LzA2LzIwMjYuLi5VU0QuSAEAAADpcQIAAgAAAAYyMy4wMDYBCAAAAAUAAAABMQEAAAAKMjA5OTA4NzEzMwMAAAADMTYwAgAAAAQzMDU0BAAAAAEwBwAAAAk2LzE0LzIwMjYIAAAACTMvMzEvMjAxOQkAAAABMNKjttn+yd4IP2rL2/7J3gg6Q0lRLk5ZU0U6QkFILklRX0NVUlJfRE9NRVNUSUNfVEFYRVMuOTkzLjE0LzA2LzIwMjYuLi5VU0QuSAEAAADpcQIAAgAAAAY2MC4yNTEBCAAAAAUAAAABMQEAAAAKMjA5OTA4NzEzMwMAAAADMTYwAgAAAAQzMDI3BAAAAAEwBwAAAAk2LzE0LzIwMjYIAAAACTMvMzEvMjAxOQkAAAABMNKjttn+yd4Il/vI2/7J3gg3Q0lRLk5ZU0U6QkFILklRX0VCSVREQVJfRVhDTF9TQkMuOTkzLjE0LzA2LzIwMjYuLi5VU0QuSAEAAADpcQIAAgAAAAc3NzcuNzA2AQgAAAAF</t>
  </si>
  <si>
    <t>AAAAATEBAAAACjIwOTkwODcxMzMDAAAAAzE2MAIAAAAFMjQxMzcEAAAAATAHAAAACTYvMTQvMjAyNggAAAAJMy8zMS8yMDE5CQAAAAEw0qO22f7J3gi5iMbb/sneCD5DSVEuTllTRTpCQUguSVFfTEVBU0VfQURKVVNUTUVOVF9FQklUREEuOTkzLjE0LzA2LzIwMjYuLi5VU0QuSAEAAADpcQIAAwAAAAAATIME2v7J3ggPL8Tb/sneCDJDSVEuTllTRTpCQUguSVFfUFJFRl9JU1NVRUQuOTkzLjE0LzA2LzIwMjYuLi5VU0QuSAEAAADpcQIAAwAAAAAAw5x/2f7J3gjt9+Xb/sneCDVDSVEuTllTRTpCQUguSVFfU1RPQ0tfQkFTRURfQ0YuOTkzLjE0LzA2LzIwMjYuLi5VU0QuSAEAAADpcQIAAgAAAAYzMS4yNzUBCAAAAAUAAAABMQEAAAAKMjA5OTA4NzEzMwMAAAADMTYwAgAAAAQyMTI3BAAAAAEwBwAAAAk2LzE0LzIwMjYIAAAACTMvMzEvMjAxOQkAAAABMHwfftn+yd4IYNnd2/7J3gg4Q0lRLk5ZU0U6QkFILklRX0dXX0lOVEFOX0FNT1JUX0NGLjk5My4xNC8wNi8yMDI2Li4uVVNELkgBAAAA6XECAAIAAAAEMjAuOQEIAAAABQAAAAExAQAAAAoyMDk5MDg3MTMzAwAAAAMxNjACAAAABDIxODIEAAAAATAHAAAACTYvMTQvMjAyNggAAAAJMy8zMS8yMDE5CQAAAAEwPOR82f7J3giseNzb/sneCDdDSVEuTllTRTpCQUguSVFfUkVTVFJfU1RPQ0tfQ09NUC45OTMuMTQvMDYvMjAyNi4uLlVTRC5IAQAAAOlxAgADAAAA</t>
  </si>
  <si>
    <t>AAA85HzZ/sneCHT82Nv+yd4IP0NJUS5OWVNFOkJBSC5JUV9JTVBVVF9PUEVSX0xFQVNFX0lOVF9FWFAuOTkzLjE0LzA2LzIwMjYuLi5VU0QuSAEAAADpcQIAAgAAAAkzMS42Mzk2OTcBCAAAAAUAAAABMQEAAAAKMjA5OTA4NzEzMwMAAAADMTYwAgAAAAUyMTY3MgQAAAABMAcAAAAJNi8xNC8yMDI2CAAAAAkzLzMxLzIwMTkJAAAAATDSo7bZ/sneCIjr0tv+yd4IO0NJUS5OWVNFOkJBSC5JUV9NSU5PUklUWV9JTlRFUkVTVF9DRi45OTMuMTQvMDYvMjAyNi4uLlVTRC5IAQAAAOlxAgADAAAAAAA85HzZ/sneCKx43Nv+yd4ILENJUS5OWVNFOkJBSC5JUV9EQV9DRi45OTMuMTQvMDYvMjAyNi4uLlVTRC5IAQAAAOlxAgACAAAABjY4LjU3NQEIAAAABQAAAAExAQAAAAoyMDk5MDg3MTMzAwAAAAMxNjACAAAABDIxNjAEAAAAATAHAAAACTYvMTQvMjAyNggAAAAJMy8zMS8yMDE5CQAAAAEwPOR82f7J3giseNzb/sneCD1DSVEuTllTRTpCQUguSVFfQVNTRVRfV1JJVEVET1dOX1NVUFBMRS45OTMuMTQvMDYvMjAyNi4uLlVTRC5IAQAAAOlxAgADAAAAAADSo7bZ/sneCE9D1dv+yd4ILkNJUS5OWVNFOkJBSC5JUV9OSV9OT1JNLjk5My4xNC8wNi8yMDI2Li4uVVNELkgBAAAA6XECAAIAAAAKMzIyLjEyNjg3NQEIAAAABQAAAAExAQAAAAoyMDk5MDg3MTMzAwAAAAMxNjACAAAABDQzNzgEAAAAATAHAAAACTYvMTQvMjAy</t>
  </si>
  <si>
    <t>NggAAAAJMy8zMS8yMDE5CQAAAAEw0qO22f7J3giUNs3b/sneCEBDSVEuTllTRTpCQUguSVFfRUFSTklOR19QQVJFTlRfRVhDTF9FWFRSQS45OTMuMTQvMDYvMjAyNi4uLlVTRC5IAQAAAOlxAgACAAAABzQxOC41MjkBCAAAAAUAAAABMQEAAAAKMjA5OTA4NzEzMwMAAAADMTYwAgAAAAU0MTU5NgQAAAABMAcAAAAJNi8xNC8yMDI2CAAAAAkzLzMxLzIwMTkJAAAAATDSo7bZ/sneCJf7yNv+yd4INUNJUS5OWVNFOkJBSC5JUV9HQUlOX0lOVkVTVF9DRi45OTMuMTQvMDYvMjAyNi4uLlVTRC5IAQAAAOlxAgADAAAAAAA85HzZ/sneCGDZ3dv+yd4IPkNJUS5OWVNFOkJBSC5JUV9SRVNUUl9TVE9DS19DT01QX1BSRVRBWC45OTMuMTQvMDYvMjAyNi4uLlVTRC5IAQAAAOlxAgACAAAABjI4LjkwMQA85HzZ/sneCHT82Nv+yd4INUNJUS5OWVNFOkJBSC5JUV9TVE9DS19CQVNFRF9SRC45OTMuMTQvMDYvMjAyNi4uLlVTRC5IAQAAAOlxAgADAAAAAADSo7bZ/sneCPER2Nv+yd4IPENJUS5OWVNFOkJBSC5JUV9ORVRfUkVOVEFMX0VYUF9TVVBQTEUuOTkzLjE0LzA2LzIwMjYuLi5VU0QuSAEAAADpcQIAAgAAAAQ4Mi43AQgAAAAFAAAAATEBAAAACjIwOTkwODcxMzMDAAAAAzE2MAIAAAAFMjQyNjMEAAAAATAHAAAACTYvMTQvMjAyNggAAAAJMy8zMS8yMDE5CQAAAAEw0qO22f7J3gjISdDb/sneCEtDSVEuTllTRTpCQUgu</t>
  </si>
  <si>
    <t>SVFfRElTVFJJQlVUQUJMRV9DQVNIX1BFUl9TSEFSRV9ESUxVVEVELjk5My4xNC8wNi8yMDI2Li4uVVNELkgBAAAA6XECAAMAAAAAAEyDBNr+yd4I2KnB2/7J3gg3Q0lRLk5ZU0U6QkFILklRX0NIQU5HRV9JTlZFTlRPUlkuOTkzLjE0LzA2LzIwMjYuLi5VU0QuSAEAAADpcQIAAwAAAAAAJOZ+2f7J3ggEQeDb/sneCC9DSVEuTllTRTpCQUguSVFfTE9BTlNfQ0YuOTkzLjE0LzA2LzIwMjYuLi5VU0QuSAEAAADpcQIAAwAAAAAAfB9+2f7J3ghg2d3b/sneCD5DSVEuTllTRTpCQUguSVFfR0FJTl9CQVJHQUlOX0FDUV9TVVBQTEUuOTkzLjE0LzA2LzIwMjYuLi5VU0QuSAEAAADpcQIAAwAAAAAA0qO22f7J3gjA7NXb/sneCD5DSVEuTllTRTpCQUguSVFfRVhQTE9SRV9EUklMTF9FWFBfVE9UQUwuOTkzLjE0LzA2LzIwMjYuLi5VU0QuSAEAAADpcQIAAwAAAAAA0qO22f7J3giI69Lb/sneCDBDSVEuTllTRTpCQUguSVFfREFfRUJJVERBLjk5My4xNC8wNi8yMDI2Li4uVVNELkgBAAAA6XECAAIAAAAGNjguNTc1AQgAAAAFAAAAATEBAAAACjIwOTkwODcxMzMDAAAAAzE2MAIAAAAEMjIwNgQAAAABMAcAAAAJNi8xNC8yMDI2CAAAAAkzLzMxLzIwMTkJAAAAATDSo7bZ/sneCEXUzdv+yd4IOUNJUS5OWVNFOkJBSC5JUV9DVVJSX0ZPUkVJR05fVEFYRVMuOTkzLjE0LzA2LzIwMjYuLi5VU0QuSAEAAADpcQIAAgAAAAYx</t>
  </si>
  <si>
    <t>My42MTcBCAAAAAUAAAABMQEAAAAKMjA5OTA4NzEzMwMAAAADMTYwAgAAAAQzMDMwBAAAAAEwBwAAAAk2LzE0LzIwMjYIAAAACTMvMzEvMjAxOQkAAAABMNKjttn+yd4IP2rL2/7J3ggzQ0lRLk5ZU0U6QkFILklRX0VCSVREQV9DQVBFWC45OTMuMTQvMDYvMjAyNi4uLlVTRC5IAQAAAOlxAgACAAAABjU2OS4wNQEIAAAABQAAAAExAQAAAAoyMDk5MDg3MTMzAwAAAAMxNjACAAAABTM1Mzc5BAAAAAEwBwAAAAk2LzE0LzIwMjYIAAAACTMvMzEvMjAxOQkAAAABMNKjttn+yd4IuYjG2/7J3gg1Q0lRLk5ZU0U6QkFILklRX0VCSVREQVJfRVFfSU5DLjk5My4xNC8wNi8yMDI2Li4uVVNELkgBAAAA6XECAAIAAAAHNzQ2LjQzMQEIAAAABQAAAAExAQAAAAoyMDk5MDg3MTMzAwAAAAMxNjACAAAABTI0MTI5BAAAAAEwBwAAAAk2LzE0LzIwMjYIAAAACTMvMzEvMjAxOQkAAAABMNKjttn+yd4IuYjG2/7J3gg2Q0lRLk5ZU0U6QkFILklRX0VCSVREQV9FWENMX1NCQy45OTMuMTQvMDYvMjAyNi4uLlVTRC5IAQAAAOlxAgACAAAABzY5NS4wMDYBCAAAAAUAAAABMQEAAAAKMjA5OTA4NzEzMwMAAAADMTYwAgAAAAUyNDEzNQQAAAABMAcAAAAJNi8xNC8yMDI2CAAAAAkzLzMxLzIwMTkJAAAAATBMgwTa/sneCA8vxNv+yd4INkNJUS5OWVNFOkJBSC5JUV9JTlZFU1RfTE9BTlNfQ0YuOTkzLjE0LzA2LzIwMjYuLi5VU0QuSAEA</t>
  </si>
  <si>
    <t>AADpcQIAAwAAAAAAJOZ+2f7J3giPseLb/sneCDVDSVEuTllTRTpCQUguSVFfU1RPQ0tfQkFTRURfQVQuOTkzLjE0LzA2LzIwMjYuLi5VU0QuSAEAAADpcQIAAwAAAAAAPOR82f7J3gh0/Njb/sneCDtDSVEuTllTRTpCQUguSVFfTkVHQVRJVkVfR1dfQU1PUlRfQVQuOTkzLjE0LzA2LzIwMjYuLi5VU0QuSAEAAADpcQIAAwAAAAAA0qO22f7J3ghHddfb/sneCDJDSVEuTllTRTpCQUguSVFfUFJFRl9ESVZfQ0YuOTkzLjE0LzA2LzIwMjYuLi5VU0QuSAEAAADpcQIAAwAAAAAAw5x/2f7J3gjt9+Xb/sneCDhDSVEuTllTRTpCQUguSVFfTkVUX1JFTlRBTF9FWFBfRk4uOTkzLjE0LzA2LzIwMjYuLi5VU0QuSAEAAADpcQIAAgAAAAQ4Mi43AQgAAAAFAAAAATEBAAAACjIwOTkwODcxMzMDAAAAAzE2MAIAAAAEMzE3MAQAAAABMAcAAAAJNi8xNC8yMDI2CAAAAAkzLzMxLzIwMTkJAAAAATDSo7bZ/sneCMhJ0Nv+yd4IMUNJUS5OWVNFOkJBSC5JUV9DT01NT05fRElWLjk5My4xNC8wNi8yMDI2Li4uVVNELkgBAAAA6XECAAIAAAAHMTE0LjIzNADSo7bZ/sneCEXUzdv+yd4IL0NJUS5OWVNFOkJBSC5JUV9ESUxVVF9OSS45OTMuMTQvMDYvMjAyNi4uLlVTRC5IAQAAAOlxAgACAAAABzQxNi42NzUBCAAAAAUAAAABMQEAAAAKMjA5OTA4NzEzMwMAAAADMTYwAgAAAAQzNTIyBAAAAAEwBwAAAAk2LzE0LzIwMjYIAAAACTMv</t>
  </si>
  <si>
    <t>MzEvMjAxOQkAAAABMNKjttn+yd4IRdTN2/7J3gg7Q0lRLk5ZU0U6QkFILklRX0RFRkVSUkVEX1RBWEVTX1RPVEFMLjk5My4xNC8wNi8yMDI2Li4uVVNELkgBAAAA6XECAAIAAAAGMjMuMDA2AQgAAAAFAAAAATEBAAAACjIwOTkwODcxMzMDAAAAAzE2MAIAAAAFMzUzODUEAAAAATAHAAAACTYvMTQvMjAyNggAAAAJMy8zMS8yMDE5CQAAAAEw0qO22f7J3gg/asvb/sneCDlDSVEuTllTRTpCQUguSVFfQVNfUkVQT1JURURfRUJJVERBLjk5My4xNC8wNi8yMDI2Li4uVVNELkgBAAAA6XECAAIAAAAHNjc0LjYyOQDSo7bZ/sneCJf7yNv+yd4IMkNJUS5OWVNFOkJBSC5JUV9EQV9TVVBQTF9DRi45OTMuMTQvMDYvMjAyNi4uLlVTRC5IAQAAAOlxAgACAAAABjQ3LjY3NQEIAAAABQAAAAExAQAAAAoyMDk5MDg3MTMzAwAAAAMxNjACAAAABDIxNzEEAAAAATAHAAAACTYvMTQvMjAyNggAAAAJMy8zMS8yMDE5CQAAAAEwPOR82f7J3gjfctvb/sneCEBDSVEuTllTRTpCQUguSVFfU1RPQ0tfQkFTRURfRVhQTE9SRV9EUklMTC45OTMuMTQvMDYvMjAyNi4uLlVTRC5IAQAAAOlxAgADAAAAAAA85HzZ/sneCE3V2Nv+yd4IMkNJUS5OWVNFOkJBSC5JUV9JUFJEX1NVUFBMRS45OTMuMTQvMDYvMjAyNi4uLlVTRC5IAQAAAOlxAgADAAAAAADSo7bZ/sneCMSG1dv+yd4INENJUS5OWVNFOkJBSC5JUV9BSVJDUkFGVF9SRU5ULjk5</t>
  </si>
  <si>
    <t>My4xNC8wNi8yMDI2Li4uVVNELkgBAAAA6XECAAMAAAAAANKjttn+yd4IZbDS2/7J3ggqQ0lRLk5ZU0U6QkFILklRX0VCVC45OTMuMTQvMDYvMjAyNi4uLlVTRC5IAQAAAOlxAgACAAAABzUxNS40MDMBCAAAAAUAAAABMQEAAAAKMjA5OTA4NzEzMwMAAAADMTYwAgAAAAMxMzkEAAAAATAHAAAACTYvMTQvMjAyNggAAAAJMy8zMS8yMDE5CQAAAAEwTIME2v7J3gjfzbzb/sneCDhDSVEuTllTRTpCQUguSVFfSU5WRVNUTUVOVF9JTkNPTUUuOTkzLjE0LzA2LzIwMjYuLi5VU0QuSAEAAADpcQIAAwAAAAAA0qO22f7J3giX+8jb/sneCDVDSVEuTllTRTpCQUguSVFfRElMVVRfRVBTX05PUk0uOTkzLjE0LzA2LzIwMjYuLi5VU0QuSAEAAADpcQIAAgAAAAgyLjI1MDE3NwEIAAAABQAAAAExAQAAAAoyMDk5MDg3MTMzAwAAAAMxNjACAAAABDQzODAEAAAAATAHAAAACTYvMTQvMjAyNggAAAAJMy8zMS8yMDE5CQAAAAEwTIME2v7J3gjYqcHb/sneCDFDSVEuTllTRTpCQUguSVFfRUFSTklOR19DTy45OTMuMTQvMDYvMjAyNi4uLlVTRC5IAQAAAOlxAgACAAAABzQxOC41MjkBCAAAAAUAAAABMQEAAAAKMjA5OTA4NzEzMwMAAAADMTYwAgAAAAE3BAAAAAEwBwAAAAk2LzE0LzIwMjYIAAAACTMvMzEvMjAxOQkAAAABMEyDBNr+yd4I38282/7J3ghIQ0lRLk5ZU0U6QkFILklRX0VCSVREQV9FUV9JTkNfRVhDTF9PUEVSX0xF</t>
  </si>
  <si>
    <t>QVNFX0FESi45OTMuMTQvMDYvMjAyNi4uLlVTRC5IAQAAAOlxAgACAAAABzY2My43MzEBCAAAAAUAAAABMQEAAAAKMjA5OTA4NzEzMwMAAAADMTYwAgAAAAU0ODk4NwQAAAABMAcAAAAJNi8xNC8yMDI2CAAAAAkzLzMxLzIwMTkJAAAAATBMgwTa/sneCA8vxNv+yd4IPUNJUS5OWVNFOkJBSC5JUV9FQklUREFfRVFfSU5DX0VYQ0xfU0JDLjk5My4xNC8wNi8yMDI2Li4uVVNELkgBAAAA6XECAAIAAAAHNjk1LjAwNgEIAAAABQAAAAExAQAAAAoyMDk5MDg3MTMzAwAAAAMxNjACAAAABTI0MTMxBAAAAAEwBwAAAAk2LzE0LzIwMjYIAAAACTMvMzEvMjAxOQkAAAABMEyDBNr+yd4IDy/E2/7J3gg1Q0lRLk5ZU0U6QkFILklRX0JBU0lDX0VQU19FWENMLjk5My4xNC8wNi8yMDI2Li4uVVNELkgBAAAA6XECAAIAAAAIMi45MzYwOTcBCAAAAAUAAAABMQEAAAAKMjA5OTA4NzEzMwMAAAADMTYwAgAAAAQzMDY0BAAAAAEwBwAAAAk2LzE0LzIwMjYIAAAACTMvMzEvMjAxOQkAAAABMEyDBNr+yd4I2KnB2/7J3gg9Q0lRLk5ZU0U6QkFILklRX0FOTlVfRElTVFJJQlVUSU9OX1VOSVQuOTkzLjE0LzA2LzIwMjYuLi5VU0QuSAEAAADpcQIAAwAAAAAA0qO22f7J3ghF1M3b/sneCDZDSVEuTllTRTpCQUguSVFfSU5URVJFU1RfSU5DT01FLjk5My4xNC8wNi8yMDI2Li4uVVNELkgBAAAA6XECAAMAAAAAANKjttn+yd4Il/vI2/7J</t>
  </si>
  <si>
    <t>3gg0Q0lRLk5ZU0U6QkFILklRX05JX0FWQUlMX0lOQ0wuOTkzLjE0LzA2LzIwMjYuLi5VU0QuSAEAAADpcQIAAgAAAAc0MTYuNjY0AQgAAAAFAAAAATEBAAAACjIwOTkwODcxMzMDAAAAAzE2MAIAAAACMTYEAAAAATAHAAAACTYvMTQvMjAyNggAAAAJMy8zMS8yMDE5CQAAAAEwTIME2v7J3ghCP7/b/sneCDNDSVEuTllTRTpCQUguSVFfRUJJVEFfRVFfSU5DLjk5My4xNC8wNi8yMDI2Li4uVVNELkgBAAAA6XECAAIAAAAHNjE2LjA1NgEIAAAABQAAAAExAQAAAAoyMDk5MDg3MTMzAwAAAAMxNjACAAAABTIxNjc2BAAAAAEwBwAAAAk2LzE0LzIwMjYIAAAACTMvMzEvMjAxOQkAAAABMNKjttn+yd4IuYjG2/7J3gg2Q0lRLk5ZU0U6QkFILklRX1RPVEFMX1JFVl9TSEFSRS45OTMuMTQvMDYvMjAyNi4uLlVTRC5IAQAAAOlxAgACAAAACTQ3LjI0MTIwMwEIAAAABQAAAAExAQAAAAoyMDk5MDg3MTMzAwAAAAMxNjACAAAABDQzODIEAAAAATAHAAAACTYvMTQvMjAyNggAAAAJMy8zMS8yMDE5CQAAAAEwTIME2v7J3gjYqcHb/sneCDtDSVEuTllTRTpCQUguSVFfTUlOT1JJVFlfSU5URVJFU1RfSVMuOTkzLjE0LzA2LzIwMjYuLi5VU0QuSAEAAADpcQIAAwAAAAAATIME2v7J3ggn8r3b/sneCDVDSVEuTllTRTpCQUguSVFfRElMVVRfRVBTX0VYQ0wuOTkzLjE0LzA2LzIwMjYuLi5VU0QuSAEAAADpcQIAAgAAAAgyLjkx</t>
  </si>
  <si>
    <t>MDYzMgEIAAAABQAAAAExAQAAAAoyMDk5MDg3MTMzAwAAAAMxNjACAAAAAzE0MgQAAAABMAcAAAAJNi8xNC8yMDI2CAAAAAkzLzMxLzIwMTkJAAAAATBMgwTa/sneCNipwdv+yd4IOkNJUS5OWVNFOkJBSC5JUV9PVEhFUl9VTlVTVUFMX1NVUFBMLjk5My4xNC8wNi8yMDI2Li4uVVNELkgBAAAA6XECAAMAAAAAAMUhBNr+yd4I38282/7J3gg1Q0lRLk5ZU0U6QkFILklRX0JBU0lDX0VQU19JTkNMLjk5My4xNC8wNi8yMDI2Li4uVVNELkgBAAAA6XECAAIAAAAIMi45MzYwOTcBCAAAAAUAAAABMQEAAAAKMjA5OTA4NzEzMwMAAAADMTYwAgAAAAE5BAAAAAEwBwAAAAk2LzE0LzIwMjYIAAAACTMvMzEvMjAxOQkAAAABMEyDBNr+yd4I2KnB2/7J3gguQ0lRLk5ZU0U6QkFILklRX0lOQ19UQVguOTkzLjE0LzA2LzIwMjYuLi5VU0QuSAEAAADpcQIAAgAAAAY5Ni44NzQBCAAAAAUAAAABMQEAAAAKMjA5OTA4NzEzMwMAAAADMTYwAgAAAAI3NQQAAAABMAcAAAAJNi8xNC8yMDI2CAAAAAkzLzMxLzIwMTkJAAAAATBMgwTa/sneCN/NvNv+yd4IOkNJUS5OWVNFOkJBSC5JUV9MRUdBTF9TRVRUTEVfU1VQUExFLjk5My4xNC8wNi8yMDI2Li4uVVNELkgBAAAA6XECAAMAAAAAANKjttn+yd4IwOzV2/7J3ghBQ0lRLk5ZU0U6QkFILklRX0RFUFJFQ0lBVElPTl9SRU5UQUxfQVNTRVRTLjk5My4xNC8wNi8yMDI2Li4uVVNELkgB</t>
  </si>
  <si>
    <t>AAAA6XECAAMAAAAAANKjttn+yd4IiOvS2/7J3ggyQ0lRLk5ZU0U6QkFILklRX0lOVF9FWFBfTFRELjk5My4xNC8wNi8yMDI2Li4uVVNELkgBAAAA6XECAAIAAAAFODYuMjEBCAAAAAUAAAABMQEAAAAKMjA5OTA4NzEzMwMAAAADMTYwAgAAAAQzMTAxBAAAAAEwBwAAAAk2LzE0LzIwMjYIAAAACTMvMzEvMjAxOQkAAAABMNKjttn+yd4IRdTN2/7J3gg1Q0lRLk5ZU0U6QkFILklRX1BSRUZfRElWX09USEVSLjk5My4xNC8wNi8yMDI2Li4uVVNELkgBAAAA6XECAAIAAAAFMS44NjUBCAAAAAUAAAABMQEAAAAKMjA5OTA4NzEzMwMAAAADMTYwAgAAAAI5NwQAAAABMAcAAAAJNi8xNC8yMDI2CAAAAAkzLzMxLzIwMTkJAAAAATBMgwTa/sneCCfyvdv+yd4IMkNJUS5OWVNFOkJBSC5JUV9FQklUX0VRX0lOQy45OTMuMTQvMDYvMjAyNi4uLlVTRC5IAQAAAOlxAgACAAAABzU5NS4xNTYBCAAAAAUAAAABMQEAAAAKMjA5OTA4NzEzMwMAAAADMTYwAgAAAAUyMTY3NQQAAAABMAcAAAAJNi8xNC8yMDI2CAAAAAkzLzMxLzIwMTkJAAAAATCxDQXa/sneCA8vxNv+yd4INUNJUS5OWVNFOkJBSC5JUV9ESUxVVF9FUFNfSU5DTC45OTMuMTQvMDYvMjAyNi4uLlVTRC5IAQAAAOlxAgACAAAACDIuOTEwNjMyAQgAAAAFAAAAATEBAAAACjIwOTkwODcxMzMDAAAAAzE2MAIAAAABOAQAAAABMAcAAAAJNi8xNC8yMDI2CAAAAAkzLzMx</t>
  </si>
  <si>
    <t>LzIwMTkJAAAAATBMgwTa/sneCNipwdv+yd4IKUNJUS5OWVNFOkJBSC5JUV9ETy45OTMuMTQvMDYvMjAyNi4uLlVTRC5IAQAAAOlxAgADAAAAAABMgwTa/sneCN/NvNv+yd4IM0NJUS5OWVNFOkJBSC5JUV9MRUdBTF9TRVRUTEUuOTkzLjE0LzA2LzIwMjYuLi5VU0QuSAEAAADpcQIAAwAAAAAAxSEE2v7J3gjfzbzb/sneCDtDSVEuTllTRTpCQUguSVFfQ0FQSVRBTElaRURfSU5URVJFU1QuOTkzLjE0LzA2LzIwMjYuLi5VU0QuSAEAAADpcQIAAwAAAAAA0qO22f7J3ghF1M3b/sneCElDSVEuTllTRTpCQUguSVFfUFJPVl9CQURfREVCVFNfUEFUSUVOVF9TRVJWSUNFX1JFVi45OTMuMTQvMDYvMjAyNi4uLlVTRC5IAQAAAOlxAgADAAAAAADSo7bZ/sneCJf7yNv+yd4ILkNJUS5OWVNFOkJBSC5JUV9FQklUREFSLjk5My4xNC8wNi8yMDI2Li4uVVNELkgBAAAA6XECAAIAAAAHNzQ2LjQzMQEIAAAABQAAAAExAQAAAAoyMDk5MDg3MTMzAwAAAAMxNjACAAAABTIxNjc0BAAAAAEwBwAAAAk2LzE0LzIwMjYIAAAACTMvMzEvMjAxOQkAAAABMNKjttn+yd4IuYjG2/7J3gg4Q0lRLk5ZU0U6QkFILklRX1NQRUNJQUxfRElWX1NIQVJFLjk5My4xNC8wNi8yMDI2Li4uVVNELkgBAAAA6XECAAMAAAAAAEyDBNr+yd4IDy/E2/7J3gg4Q0lRLk5ZU0U6QkFILklRX1NUT0NLX0JBU0VEX09USEVSLjk5My4xNC8wNi8yMDI2Li4u</t>
  </si>
  <si>
    <t>VVNELkgBAAAA6XECAAMAAAAAADzkfNn+yd4IdPzY2/7J3gg1Q0lRLk5ZU0U6QkFILklRX0VCSVRBX0VYQ0xfU0JDLjk5My4xNC8wNi8yMDI2Li4uVVNELkgBAAAA6XECAAIAAAAHNjQ3LjMzMQEIAAAABQAAAAExAQAAAAoyMDk5MDg3MTMzAwAAAAMxNjACAAAABTI0MTM2BAAAAAEwBwAAAAk2LzE0LzIwMjYIAAAACTMvMzEvMjAxOQkAAAABMNKjttn+yd4IuYjG2/7J3ggsQ0lRLk5ZU0U6QkFILklRX0VCSVRBLjk5My4xNC8wNi8yMDI2Li4uVVNELkgBAAAA6XECAAIAAAAHNjE2LjA1NgEIAAAABQAAAAExAQAAAAoyMDk5MDg3MTMzAwAAAAMxNjACAAAABjEwMDY4OQQAAAABMAcAAAAJNi8xNC8yMDI2CAAAAAkzLzMxLzIwMTkJAAAAATCxDQXa/sneCLmIxtv+yd4IO0NJUS5OWVNFOkJBSC5JUV9JTVBBSVJNRU5UX0dXX1NVUFBMRS45OTMuMTQvMDYvMjAyNi4uLlVTRC5IAQAAAOlxAgADAAAAAADSo7bZ/sneCIjr0tv+yd4IQENJUS5OWVNFOkJBSC5JUV9OT05SRUNVUlJJTkdfSU5DT01FX1RBWEVTLjk5My4xNC8wNi8yMDI2Li4uVVNELkgBAAAA6XECAAIAAAAHLTI3LjkwOAEIAAAABQAAAAExAQAAAAoyMDk5MDg3MTMzAwAAAAMxNjACAAAABTQ4ODM5BAAAAAEwBwAAAAk2LzE0LzIwMjYIAAAACTMvMzEvMjAxOQkAAAABMNKjttn+yd4IlDbN2/7J3ggxQ0lRLk5ZU0U6QkFILklRX05JX0NPTVBBTlkuOTkz</t>
  </si>
  <si>
    <t>LjE0LzA2LzIwMjYuLi5VU0QuSAEAAADpcQIAAgAAAAc0MTguNTI5AQgAAAAFAAAAATEBAAAACjIwOTkwODcxMzMDAAAAAzE2MAIAAAAFNDE1NzEEAAAAATAHAAAACTYvMTQvMjAyNggAAAAJMy8zMS8yMDE5CQAAAAEwTIME2v7J3ggn8r3b/sneCDRDSVEuTllTRTpCQUguSVFfRUJJVF9FWENMX1NCQy45OTMuMTQvMDYvMjAyNi4uLlVTRC5IAQAAAOlxAgACAAAABzYyNi40MzEBCAAAAAUAAAABMQEAAAAKMjA5OTA4NzEzMwMAAAADMTYwAgAAAAUyNDEzNAQAAAABMAcAAAAJNi8xNC8yMDI2CAAAAAkzLzMxLzIwMTkJAAAAATCxDQXa/sneCLmIxtv+yd4INENJUS5OWVNFOkJBSC5JUV9OSV9BVkFJTF9FWENMLjk5My4xNC8wNi8yMDI2Li4uVVNELkgBAAAA6XECAAIAAAAHNDE2LjY2NAEIAAAABQAAAAExAQAAAAoyMDk5MDg3MTMzAwAAAAMxNjACAAAAAzM3OQQAAAABMAcAAAAJNi8xNC8yMDI2CAAAAAkzLzMxLzIwMTkJAAAAATBMgwTa/sneCNipwdv+yd4IOkNJUS5OWVNFOkJBSC5JUV9OT05DQVNIX1BFTlNJT05fRVhQLjk5My4xNC8wNi8yMDI2Li4uVVNELkgBAAAA6XECAAIAAAADMC45AQgAAAAFAAAAATEBAAAACjIwOTkwODcxMzMDAAAAAzE2MAIAAAAFMjE2NzgEAAAAATAHAAAACTYvMTQvMjAyNggAAAAJMy8zMS8yMDE5CQAAAAEw0qO22f7J3ghF1M3b/sneCClDSVEuTllTRTpCQUguSVFfTkkuOTkz</t>
  </si>
  <si>
    <t>LjE0LzA2LzIwMjYuLi5VU0QuSAEAAADpcQIAAgAAAAc0MTguNTI5AQgAAAAFAAAAATEBAAAACjIwOTkwODcxMzMDAAAAAzE2MAIAAAACMTUEAAAAATAHAAAACTYvMTQvMjAyNggAAAAJMy8zMS8yMDE5CQAAAAEwTIME2v7J3ggn8r3b/sneCC1DSVEuTllTRTpCQUguSVFfR0FfRVhQLjk5My4xNC8wNi8yMDI2Li4uVVNELkgBAAAA6XECAAIAAAAHOTI3LjkzOAEIAAAABQAAAAExAQAAAAoyMDk5MDg3MTMzAwAAAAMxNjACAAAABTIxNTYyBAAAAAEwBwAAAAk2LzE0LzIwMjYIAAAACTMvMzEvMjAxOQkAAAABMNKjttn+yd4IyEnQ2/7J3gg/Q0lRLk5ZU0U6QkFILklRX0RJU1RSSUJVVEFCTEVfQ0FTSF9TSEFSRS45OTMuMTQvMDYvMjAyNi4uLlVTRC5IAQAAAOlxAgADAAAAAABMgwTa/sneCNipwdv+yd4IMENJUS5OWVNFOkJBSC5JUV9ESVZfU0hBUkUuOTkzLjE0LzA2LzIwMjYuLi5VU0QuSAEAAADpcQIAAgAAAAMwLjgBCAAAAAUAAAABMQEAAAAKMjA5OTA4NzEzMwMAAAADMTYwAgAAAAQzMDU4BAAAAAEwBwAAAAk2LzE0LzIwMjYIAAAACTMvMzEvMjAxOQkAAAABMEyDBNr+yd4I2KnB2/7J3gguQ0lRLk5ZU0U6QkFILklRX0ZJTElOR19DVVJSRU5DWS45OTQuMTQvMDYvMjAyNgEAAADpcQIAAwAAAANVU0QA0qO22f7J3gj2DiHc/sneCC5DSVEuTllTRTpCQUguSVFfUEVSSU9ETEVOR1RIX0NGLjk5NC4xNC8w</t>
  </si>
  <si>
    <t>Ni8yMDI2AQAAAOlxAgABAAAAAjEyAMOcf9n+yd4IKace3P7J3ggmQ0lRLk5ZU0U6QkFILklRX0dBQVBfSVMuOTk0LjE0LzA2LzIwMjYBAAAA6XECAAMAAAAHVVMgR0FBUADSo7bZ/sneCCmnHtz+yd4ILUNJUS5OWVNFOkJBSC5JUV9SRVNUQVRFTUVOVF9JUy45OTQuMTQvMDYvMjAyNgEAAADpcQIAAwAAAAJOQwDSo7bZ/sneCCmnHtz+yd4IOENJUS5OWVNFOkJBSC5JUV9ESVNUUklCVVRBQkxFX0NBU0hfUEFZT1VULjk5NC4xNC8wNi8yMDI2AQAAAOlxAgADAAAAAADSo7bZ/sneCCmnHtz+yd4IPkNJUS5OWVNFOkJBSC5JUV9ESVNUUklCVVRBQkxFX0NBU0hfU0hBUkVTX0JBU0lDLjk5NC4xNC8wNi8yMDI2AQAAAOlxAgADAAAAAABMgwTa/sneCP00HNz+yd4IK0NJUS5OWVNFOkJBSC5JUV9ESUxVVF9XRUlHSFQuOTk0LjE0LzA2LzIwMjYBAAAA6XECAAIAAAAKMTQxLjIzODEzNQBMgwTa/sneCP00HNz+yd4IQENJUS5OWVNFOkJBSC5JUV9ESVNUUklCVVRBQkxFX0NBU0hfU0hBUkVTX0RJTFVURUQuOTk0LjE0LzA2LzIwMjYBAAAA6XECAAMAAAAAAEyDBNr+yd4IKace3P7J3gguQ0lRLk5ZU0U6QkFILklRX0VGRkVDVF9UQVhfUkFURS45OTQuMTQvMDYvMjAyNgEAAADpcQIAAgAAAAcxNi43MTEzAQgAAAAFAAAAATEBAAAACy0yMDk1MTI2MDkwAwAAAAMxNjACAAAABDQzNzYEAAAAATAHAAAACTYvMTQvMjAy</t>
  </si>
  <si>
    <t>NggAAAAJMy8zMS8yMDIwCQAAAAEw0qO22f7J3ggppx7c/sneCCxDSVEuTllTRTpCQUguSVFfRklMSU5HREFURV9JUy45OTQuMTQvMDYvMjAyNgEAAADpcQIABQAAAAoyMC8wNS8yMDIyAEyDBNr+yd4I/TQc3P7J3ggpQ0lRLk5ZU0U6QkFILklRX1NBTUVfU1RPUkUuOTk0LjE0LzA2LzIwMjYBAAAA6XECAAMAAAAAANKjttn+yd4I/TQc3P7J3ggrQ0lRLk5ZU0U6QkFILklRX1BBWU9VVF9SQVRJTy45OTQuMTQvMDYvMjAyNgEAAADpcQIAAgAAAAczMC4zNzczAQgAAAAFAAAAATEBAAAACy0yMDk1MTI2MDkwAwAAAAMxNjACAAAABDQzNzcEAAAAATAHAAAACTYvMTQvMjAyNggAAAAJMy8zMS8yMDIwCQAAAAEw0qO22f7J3ggppx7c/sneCC5DSVEuTllTRTpCQUguSVFfUEVSSU9ETEVOR1RIX0lTLjk5NC4xNC8wNi8yMDI2AQAAAOlxAgABAAAAAjEyAEyDBNr+yd4I/TQc3P7J3ggrQ0lRLk5ZU0U6QkFILklRX0NBTENfVFlQRV9JUy45OTQuMTQvMDYvMjAyNgEAAADpcQIAAwAAAANSRVAA0qO22f7J3ggppx7c/sneCCtDSVEuTllTRTpCQUguSVFfQkFTSUNfV0VJR0hULjk5NC4xNC8wNi8yMDI2AQAAAOlxAgACAAAACjE0MC4wNTk0OTQATIME2v7J3gj9NBzc/sneCC9DSVEuTllTRTpCQUguSVFfRFJfUkFUSU9fUFJJTUFSWS45OTQuMTQvMDYvMjAyNgEAAADpcQIAAwAAAAAATIME2v7J3gj9NBzc/sneCClDSVEu</t>
  </si>
  <si>
    <t>TllTRTpCQUguSVFfRlguOTk0LjE0LzA2LzIwMjYuLi5VU0QuSAEAAADpcQIAAwAAAAAAw5x/2f7J3ggFi+fb/sneCDVDSVEuTllTRTpCQUguSVFfTFRfREVCVF9SRVBBSUQuOTk0LjE0LzA2LzIwMjYuLi5VU0QuSAEAAADpcQIAAgAAAActNzYuOTIyAQgAAAAFAAAAATEBAAAACy0yMDk1MTI2MDkwAwAAAAMxNjACAAAABDIwMzYEAAAAATAHAAAACTYvMTQvMjAyNggAAAAJMy8zMS8yMDIwCQAAAAEww5x/2f7J3ghAGeXb/sneCDVDSVEuTllTRTpCQUguSVFfTUlTQ19BREpVU1RfQ0YuOTk0LjE0LzA2LzIwMjYuLi5VU0QuSAEAAADpcQIAAwAAAAAAw5x/2f7J3ggFi+fb/sneCDFDSVEuTllTRTpCQUguSVFfQ0FTSF9GSU5BTi45OTQuMTQvMDYvMjAyNi4uLlVTRC5IAQAAAOlxAgACAAAABjM0LjU2MgEIAAAABQAAAAExAQAAAAstMjA5NTEyNjA5MAMAAAADMTYwAgAAAAQyMDA0BAAAAAEwBwAAAAk2LzE0LzIwMjYIAAAACTMvMzEvMjAyMAkAAAABMMOcf9n+yd4I7ffl2/7J3gg1Q0lRLk5ZU0U6QkFILklRX1NUX0RFQlRfUkVQQUlELjk5NC4xNC8wNi8yMDI2Li4uVVNELkgBAAAA6XECAAMAAAAAAMOcf9n+yd4Ij7Hi2/7J3ggsQ0lRLk5ZU0U6QkFILklRX0NBUEVYLjk5NC4xNC8wNi8yMDI2Li4uVVNELkgBAAAA6XECAAIAAAAILTEyOC4wNzkBCAAAAAUAAAABMQEAAAALLTIwOTUxMjYwOTADAAAAAzE2MAIA</t>
  </si>
  <si>
    <t>AAAEMjAyMQQAAAABMAcAAAAJNi8xNC8yMDI2CAAAAAkzLzMxLzIwMjAJAAAAATAk5n7Z/sneCARB4Nv+yd4INUNJUS5OWVNFOkJBSC5JUV9DSEFOR0VfREVGX1RBWC45OTQuMTQvMDYvMjAyNi4uLlVTRC5IAQAAAOlxAgADAAAAAAAk5n7Z/sneCARB4Nv+yd4INUNJUS5OWVNFOkJBSC5JUV9DUkVESVRfTE9TU19DRi45OTQuMTQvMDYvMjAyNi4uLlVTRC5IAQAAAOlxAgADAAAAAAB8H37Z/sneCGDZ3dv+yd4INUNJUS5OWVNFOkJBSC5JUV9TUEVDSUFMX0RJVl9DRi45OTQuMTQvMDYvMjAyNi4uLlVTRC5IAQAAAOlxAgADAAAAAADDnH/Z/sneCO335dv+yd4IMkNJUS5OWVNFOkJBSC5JUV9QUkVGX0lTU1VFRC45OTQuMTQvMDYvMjAyNi4uLlVTRC5IAQAAAOlxAgADAAAAAADDnH/Z/sneCO335dv+yd4INENJUS5OWVNFOkJBSC5JUV9TQUxFX0lOVEFOX0NGLjk5NC4xNC8wNi8yMDI2Li4uVVNELkgBAAAA6XECAAMAAAAAACTmftn+yd4Ij7Hi2/7J3gg2Q0lRLk5ZU0U6QkFILklRX0NBU0hfQUNRVUlSRV9DRi45OTQuMTQvMDYvMjAyNi4uLlVTRC5IAQAAAOlxAgADAAAAAAAk5n7Z/sneCARB4Nv+yd4ILENJUS5OWVNFOkJBSC5JUV9ET19DRi45OTQuMTQvMDYvMjAyNi4uLlVTRC5IAQAAAOlxAgADAAAAAAAk5n7Z/sneCGDZ3dv+yd4IMUNJUS5OWVNFOkJBSC5JUV9PSUxfSU1QQUlSLjk5NC4xNC8wNi8yMDI2</t>
  </si>
  <si>
    <t>Li4uVVNELkgBAAAA6XECAAMAAAAAADzkfNn+yd4IrHjc2/7J3gg4Q0lRLk5ZU0U6QkFILklRX1NUT0NLX0JBU0VEX1RPVEFMLjk5NC4xNC8wNi8yMDI2Li4uVVNELkgBAAAA6XECAAIAAAAFNDMuMjkBCAAAAAUAAAABMQEAAAALLTIwOTUxMjYwOTADAAAAAzE2MAIAAAAFMjQwMzQEAAAAATAHAAAACTYvMTQvMjAyNggAAAAJMy8zMS8yMDIwCQAAAAEwPOR82f7J3gh0/Njb/sneCDpDSVEuTllTRTpCQUguSVFfTEVHQUxfU0VUVExFX1NVUFBMRS45OTQuMTQvMDYvMjAyNi4uLlVTRC5IAQAAAOlxAgADAAAAAADSo7bZ/sneCMDs1dv+yd4IN0NJUS5OWVNFOkJBSC5JUV9HQUlOX0JBUkdBSU5fQUNRLjk5NC4xNC8wNi8yMDI2Li4uVVNELkgBAAAA6XECAAMAAAAAANKjttn+yd4Iu63V2/7J3ggzQ0lRLk5ZU0U6QkFILklRX09USEVSX1JFTlRBTC45OTQuMTQvMDYvMjAyNi4uLlVTRC5IAQAAAOlxAgADAAAAAADSo7bZ/sneCMhJ0Nv+yd4IPkNJUS5OWVNFOkJBSC5JUV9PVEhFUl9GSU5BTkNFX0FDVF9TVVBQTC45OTQuMTQvMDYvMjAyNi4uLlVTRC5IAQAAAOlxAgACAAAABy04MS40OTMBCAAAAAUAAAABMQEAAAALLTIwOTUxMjYwOTADAAAAAzE2MAIAAAAEMjA1MAQAAAABMAcAAAAJNi8xNC8yMDI2CAAAAAkzLzMxLzIwMjAJAAAAATDDnH/Z/sneCO335dv+yd4IOUNJUS5OWVNFOkJBSC5JUV9DT01NT05fUFJF</t>
  </si>
  <si>
    <t>Rl9ESVZfQ0YuOTk0LjE0LzA2LzIwMjYuLi5VU0QuSAEAAADpcQIAAwAAAAAAw5x/2f7J3gjt9+Xb/sneCDJDSVEuTllTRTpCQUguSVFfQ0FTSF9JTlZFU1QuOTk0LjE0LzA2LzIwMjYuLi5VU0QuSAEAAADpcQIAAgAAAAgtMTI4LjA3OQEIAAAABQAAAAExAQAAAAstMjA5NTEyNjA5MAMAAAADMTYwAgAAAAQyMDA1BAAAAAEwBwAAAAk2LzE0LzIwMjYIAAAACTMvMzEvMjAyMAkAAAABMCTmftn+yd4Ij7Hi2/7J3gg1Q0lRLk5ZU0U6QkFILklRX0NIQU5HRV9JTkNfVEFYLjk5NC4xNC8wNi8yMDI2Li4uVVNELkgBAAAA6XECAAIAAAAILTEyMi45NzcBCAAAAAUAAAABMQEAAAALLTIwOTUxMjYwOTADAAAAAzE2MAIAAAAEMjEwMQQAAAABMAcAAAAJNi8xNC8yMDI2CAAAAAkzLzMxLzIwMjAJAAAAATAk5n7Z/sneCARB4Nv+yd4IMUNJUS5OWVNFOkJBSC5JUV9ORVRfQ0hBTkdFLjk5NC4xNC8wNi8yMDI2Li4uVVNELkgBAAAA6XECAAIAAAAHNDU3LjkxMQEIAAAABQAAAAExAQAAAAstMjA5NTEyNjA5MAMAAAADMTYwAgAAAAQyMDkzBAAAAAEwBwAAAAk2LzE0LzIwMjYIAAAACTMvMzEvMjAyMAkAAAABMMOcf9n+yd4IBYvn2/7J3ggyQ0lRLk5ZU0U6QkFILklRX0RBX1NVUFBMX0NGLjk5NC4xNC8wNi8yMDI2Li4uVVNELkgBAAAA6XECAAIAAAAGNTguNzgxAQgAAAAFAAAAATEBAAAACy0yMDk1MTI2MDkwAwAAAAMx</t>
  </si>
  <si>
    <t>NjACAAAABDIxNzEEAAAAATAHAAAACTYvMTQvMjAyNggAAAAJMy8zMS8yMDIwCQAAAAEwPOR82f7J3gjfctvb/sneCDdDSVEuTllTRTpCQUguSVFfU1RPQ0tfQkFTRURfQ09NUC45OTQuMTQvMDYvMjAyNi4uLlVTRC5IAQAAAOlxAgADAAAAAAA85HzZ/sneCN9y29v+yd4IMkNJUS5OWVNFOkJBSC5JUV9JUFJEX1NVUFBMRS45OTQuMTQvMDYvMjAyNi4uLlVTRC5IAQAAAOlxAgADAAAAAADSo7bZ/sneCMSG1dv+yd4IMENJUS5OWVNFOkJBSC5JUV9ESVZFU1RfQ0YuOTk0LjE0LzA2LzIwMjYuLi5VU0QuSAEAAADpcQIAAwAAAAAAJOZ+2f7J3ggEQeDb/sneCDtDSVEuTllTRTpCQUguSVFfVE9UQUxfVU5VU1VBTF9TVVBQTEUuOTk0LjE0LzA2LzIwMjYuLi5VU0QuSAEAAADpcQIAAgAAAAYtMi43MjIBCAAAAAUAAAABMQEAAAALLTIwOTUxMjYwOTADAAAAAzE2MAIAAAAFMzMzOTAEAAAAATAHAAAACTYvMTQvMjAyNggAAAAJMy8zMS8yMDIwCQAAAAEw0qO22f7J3gjA7NXb/sneCDlDSVEuTllTRTpCQUguSVFfRElTVFJJQlVUQUJMRV9DQVNILjk5NC4xNC8wNi8yMDI2Li4uVVNELkgBAAAA6XECAAMAAAAAANKjttn+yd4IRdTN2/7J3gg3Q0lRLk5ZU0U6QkFILklRX0lOVF9FWFBfSU5DTF9DQVAuOTk0LjE0LzA2LzIwMjYuLi5VU0QuSAEAAADpcQIAAgAAAAU5Ni45NgEIAAAABQAAAAExAQAAAAstMjA5NTEyNjA5</t>
  </si>
  <si>
    <t>MAMAAAADMTYwAgAAAAUyMTg2MQQAAAABMAcAAAAJNi8xNC8yMDI2CAAAAAkzLzMxLzIwMjAJAAAAATDSo7bZ/sneCEXUzdv+yd4IPkNJUS5OWVNFOkJBSC5JUV9FWENJU0VfVEFYRVNfSU5DTF9TQUxFUy45OTQuMTQvMDYvMjAyNi4uLlVTRC5IAQAAAOlxAgADAAAAAADSo7bZ/sneCJf7yNv+yd4IPkNJUS5OWVNFOkJBSC5JUV9FQklUREFSX0VRX0lOQ19FWENMX1NCQy45OTQuMTQvMDYvMjAyNi4uLlVTRC5IAQAAAOlxAgACAAAABzg4MS4wOTUBCAAAAAUAAAABMQEAAAALLTIwOTUxMjYwOTADAAAAAzE2MAIAAAAFMjQxMzMEAAAAATAHAAAACTYvMTQvMjAyNggAAAAJMy8zMS8yMDIwCQAAAAEw0qO22f7J3gi5iMbb/sneCDFDSVEuTllTRTpCQUguSVFfQ09NTU9OX1JFUC45OTQuMTQvMDYvMjAyNi4uLlVTRC5IAQAAAOlxAgACAAAACC0xODIuMjI0AQgAAAAFAAAAATEBAAAACy0yMDk1MTI2MDkwAwAAAAMxNjACAAAABDIxNjQEAAAAATAHAAAACTYvMTQvMjAyNggAAAAJMy8zMS8yMDIwCQAAAAEww5x/2f7J3ghAGeXb/sneCDVDSVEuTllTRTpCQUguSVFfR0FJTl9BU1NFVFNfQ0YuOTk0LjE0LzA2LzIwMjYuLi5VU0QuSAEAAADpcQIAAgAAAAUxLjc3MgEIAAAABQAAAAExAQAAAAstMjA5NTEyNjA5MAMAAAADMTYwAgAAAAQyMDI2BAAAAAEwBwAAAAk2LzE0LzIwMjYIAAAACTMvMzEvMjAyMAkAAAABMDzk</t>
  </si>
  <si>
    <t>fNn+yd4IrHjc2/7J3gg0Q0lRLk5ZU0U6QkFILklRX0NPTU1PTl9ESVZfQ0YuOTk0LjE0LzA2LzIwMjYuLi5VU0QuSAEAAADpcQIAAgAAAAgtMTQ2LjYwMgEIAAAABQAAAAExAQAAAAstMjA5NTEyNjA5MAMAAAADMTYwAgAAAAQyMDc0BAAAAAEwBwAAAAk2LzE0LzIwMjYIAAAACTMvMzEvMjAyMAkAAAABMMOcf9n+yd4I7ffl2/7J3gg0Q0lRLk5ZU0U6QkFILklRX0NPTU1PTl9JU1NVRUQuOTk0LjE0LzA2LzIwMjYuLi5VU0QuSAEAAADpcQIAAgAAAAYyMy45MTIBCAAAAAUAAAABMQEAAAALLTIwOTUxMjYwOTADAAAAAzE2MAIAAAAEMjE2OQQAAAABMAcAAAAJNi8xNC8yMDI2CAAAAAkzLzMxLzIwMjAJAAAAATDDnH/Z/sneCEAZ5dv+yd4IOUNJUS5OWVNFOkJBSC5JUV9JTlZFU1RfU0VDVVJJVFlfQ0YuOTk0LjE0LzA2LzIwMjYuLi5VU0QuSAEAAADpcQIAAwAAAAAAJOZ+2f7J3giPseLb/sneCDhDSVEuTllTRTpCQUguSVFfU1RPQ0tfQkFTRURfT1RIRVIuOTk0LjE0LzA2LzIwMjYuLi5VU0QuSAEAAADpcQIAAwAAAAAAPOR82f7J3gh0/Njb/sneCEFDSVEuTllTRTpCQUguSVFfREVQUkVDSUFUSU9OX1JFTlRBTF9BU1NFVFMuOTk0LjE0LzA2LzIwMjYuLi5VU0QuSAEAAADpcQIAAwAAAAAA0qO22f7J3giI69Lb/sneCDhDSVEuTllTRTpCQUguSVFfTkVHQVRJVkVfR1dfQU1PUlQuOTk0LjE0LzA2LzIwMjYu</t>
  </si>
  <si>
    <t>Li5VU0QuSAEAAADpcQIAAwAAAAAA0qO22f7J3gjA7NXb/sneCDlDSVEuTllTRTpCQUguSVFfUkVTVFJVQ1RVUkVfU1VQUExFLjk5NC4xNC8wNi8yMDI2Li4uVVNELkgBAAAA6XECAAMAAAAAANKjttn+yd4IiOvS2/7J3gg4Q0lRLk5ZU0U6QkFILklRX0dXX0lOVEFOX0FNT1JUX0NGLjk5NC4xNC8wNi8yMDI2Li4uVVNELkgBAAAA6XECAAIAAAAEMjIuMwEIAAAABQAAAAExAQAAAAstMjA5NTEyNjA5MAMAAAADMTYwAgAAAAQyMTgyBAAAAAEwBwAAAAk2LzE0LzIwMjYIAAAACTMvMzEvMjAyMAkAAAABMDzkfNn+yd4IrHjc2/7J3ggsQ0lRLk5ZU0U6QkFILklRX05JX0NGLjk5NC4xNC8wNi8yMDI2Li4uVVNELkgBAAAA6XECAAIAAAAHNDgyLjYwMwEIAAAABQAAAAExAQAAAAstMjA5NTEyNjA5MAMAAAADMTYwAgAAAAQyMTUwBAAAAAEwBwAAAAk2LzE0LzIwMjYIAAAACTMvMzEvMjAyMAkAAAABMDzkfNn+yd4I33Lb2/7J3gg2Q0lRLk5ZU0U6QkFILklRX1NUT0NLX0JBU0VEX1NHQS45OTQuMTQvMDYvMjAyNi4uLlVTRC5IAQAAAOlxAgADAAAAAAA85HzZ/sneCEeu2Nv+yd4IMENJUS5OWVNFOkJBSC5JUV9SRF9FWFBfRk4uOTk0LjE0LzA2LzIwMjYuLi5VU0QuSAEAAADpcQIAAwAAAAAA0qO22f7J3gjISdDb/sneCD1DSVEuTllTRTpCQUguSVFfREVGRVJSRURfRk9SRUlHTl9UQVhFUy45OTQuMTQvMDYvMjAy</t>
  </si>
  <si>
    <t>Ni4uLlVTRC5IAQAAAOlxAgADAAAAAADSo7bZ/sneCD9qy9v+yd4IPENJUS5OWVNFOkJBSC5JUV9UT1RBTF9SRVZfQVNfUkVQT1JURUQuOTk0LjE0LzA2LzIwMjYuLi5VU0QuSAEAAADpcQIAAwAAAAAA0qO22f7J3giX+8jb/sneCDtDSVEuTllTRTpCQUguSVFfRUJJVF9FUV9JTkNfRVhDTF9TQkMuOTk0LjE0LzA2LzIwMjYuLi5VU0QuSAEAAADpcQIAAgAAAAc3MDcuNjMzAQgAAAAFAAAAATEBAAAACy0yMDk1MTI2MDkwAwAAAAMxNjACAAAABTI0MTMwBAAAAAEwBwAAAAk2LzE0LzIwMjYIAAAACTMvMzEvMjAyMAkAAAABMLENBdr+yd4IuYjG2/7J3gg/Q0lRLk5ZU0U6QkFILklRX0RJU1RSSUJVVEFCTEVfQ0FTSF9TSEFSRS45OTQuMTQvMDYvMjAyNi4uLlVTRC5IAQAAAOlxAgADAAAAAABMgwTa/sneCA8vxNv+yd4IMENJUS5OWVNFOkJBSC5JUV9ESVZfU0hBUkUuOTk0LjE0LzA2LzIwMjYuLi5VU0QuSAEAAADpcQIAAgAAAAQxLjA0AQgAAAAFAAAAATEBAAAACy0yMDk1MTI2MDkwAwAAAAMxNjACAAAABDMwNTgEAAAAATAHAAAACTYvMTQvMjAyNggAAAAJMy8zMS8yMDIwCQAAAAEwTIME2v7J3gjYqcHb/sneCDRDSVEuTllTRTpCQUguSVFfTklfQVZBSUxfSU5DTC45OTQuMTQvMDYvMjAyNi4uLlVTRC5IAQAAAOlxAgACAAAABzQ4MS4wODUBCAAAAAUAAAABMQEAAAALLTIwOTUxMjYwOTADAAAAAzE2MAIA</t>
  </si>
  <si>
    <t>AAACMTYEAAAAATAHAAAACTYvMTQvMjAyNggAAAAJMy8zMS8yMDIwCQAAAAEwTIME2v7J3ghCP7/b/sneCDtDSVEuTllTRTpCQUguSVFfU1RPQ0tfQkFTRURfQ09NUF9UQVguOTk0LjE0LzA2LzIwMjYuLi5VU0QuSAEAAADpcQIAAwAAAAAAPOR82f7J3gjfctvb/sneCDlDSVEuTllTRTpCQUguSVFfU1RPQ0tfT1BUSU9OU19DT01QLjk5NC4xNC8wNi8yMDI2Li4uVVNELkgBAAAA6XECAAMAAAAAADzkfNn+yd4IdPzY2/7J3gg9Q0lRLk5ZU0U6QkFILklRX0FTU0VUX1dSSVRFRE9XTl9TVVBQTEUuOTk0LjE0LzA2LzIwMjYuLi5VU0QuSAEAAADpcQIAAwAAAAAA0qO22f7J3gh4V9Xb/sneCDhDSVEuTllTRTpCQUguSVFfVE9UQUxfRElWX1BBSURfQ0YuOTk0LjE0LzA2LzIwMjYuLi5VU0QuSAEAAADpcQIAAgAAAAgtMTQ2LjYwMgEIAAAABQAAAAExAQAAAAstMjA5NTEyNjA5MAMAAAADMTYwAgAAAAQyMDIyBAAAAAEwBwAAAAk2LzE0LzIwMjYIAAAACTMvMzEvMjAyMAkAAAABMMOcf9n+yd4I7ffl2/7J3ggwQ0lRLk5ZU0U6QkFILklRX0NIQU5HRV9BUi45OTQuMTQvMDYvMjAyNi4uLlVTRC5IAQAAAOlxAgACAAAACC0xMjkuMTA3AQgAAAAFAAAAATEBAAAACy0yMDk1MTI2MDkwAwAAAAMxNjACAAAABDIwMTgEAAAAATAHAAAACTYvMTQvMjAyNggAAAAJMy8zMS8yMDIwCQAAAAEwJOZ+2f7J3ghg2d3b/sneCDpD</t>
  </si>
  <si>
    <t>SVEuTllTRTpCQUguSVFfVEFYX0JFTkVGSVRfT1BUSU9OUy45OTQuMTQvMDYvMjAyNi4uLlVTRC5IAQAAAOlxAgADAAAAAAAk5n7Z/sneCGDZ3dv+yd4IQENJUS5OWVNFOkJBSC5JUV9TVE9DS19PUFRJT05TX0NPTVBfUFJFVEFYLjk5NC4xNC8wNi8yMDI2Li4uVVNELkgBAAAA6XECAAIAAAAFMi43NDEAPOR82f7J3gh0/Njb/sneCDtDSVEuTllTRTpCQUguSVFfT1RIRVJfVU5VU1VBTF9TVVBQTEUuOTk0LjE0LzA2LzIwMjYuLi5VU0QuSAEAAADpcQIAAgAAAAYtMi43MjIBCAAAAAUAAAABMQEAAAALLTIwOTUxMjYwOTADAAAAAzE2MAIAAAAFMzMzOTMEAAAAATAHAAAACTYvMTQvMjAyNggAAAAJMy8zMS8yMDIwCQAAAAEw0qO22f7J3gjA7NXb/sneCCpDSVEuTllTRTpCQUguSVFfRElDLjk5NC4xNC8wNi8yMDI2Li4uVVNELkgBAAAA6XECAAMAAAAAANKjttn+yd4IRdTN2/7J3ghIQ0lRLk5ZU0U6QkFILklRX0lOVEVSRVNUX0VYUF9MRUFTRV9MSUFCSUxJVFlfREVCVC45OTQuMTQvMDYvMjAyNi4uLlVTRC5IAQAAAOlxAgADAAAAAADSo7bZ/sneCEXUzdv+yd4IPkNJUS5OWVNFOkJBSC5JUV9FWENJU0VfVEFYRVNfRVhDTF9TQUxFUy45OTQuMTQvMDYvMjAyNi4uLlVTRC5IAQAAAOlxAgADAAAAAADSo7bZ/sneCJf7yNv+yd4INUNJUS5OWVNFOkJBSC5JUV9FQklUREFSX0VRX0lOQy45OTQuMTQvMDYvMjAy</t>
  </si>
  <si>
    <t>Ni4uLlVTRC5IAQAAAOlxAgACAAAABzkzMC4xODYBCAAAAAUAAAABMQEAAAALLTIwOTUxMjYwOTADAAAAAzE2MAIAAAAFMjQxMjkEAAAAATAHAAAACTYvMTQvMjAyNggAAAAJMy8zMS8yMDIwCQAAAAEw0qO22f7J3gi5iMbb/sneCDxDSVEuTllTRTpCQUguSVFfRUJJVEFfRVFfSU5DX0VYQ0xfU0JDLjk5NC4xNC8wNi8yMDI2Li4uVVNELkgBAAAA6XECAAIAAAAHNzI5LjkzMwEIAAAABQAAAAExAQAAAAstMjA5NTEyNjA5MAMAAAADMTYwAgAAAAUyNDEzMgQAAAABMAcAAAAJNi8xNC8yMDI2CAAAAAkzLzMxLzIwMjAJAAAAATDSo7bZ/sneCLmIxtv+yd4ILUNJUS5OWVNFOkJBSC5JUV9FQklUREEuOTk0LjE0LzA2LzIwMjYuLi5VU0QuSAEAAADpcQIAAgAAAAc3NDUuNDI0AQgAAAAFAAAAATEBAAAACy0yMDk1MTI2MDkwAwAAAAMxNjACAAAABDQwNTEEAAAAATAHAAAACTYvMTQvMjAyNggAAAAJMy8zMS8yMDIwCQAAAAEwTIME2v7J3ggPL8Tb/sneCClDSVEuTllTRTpCQUguSVFfRE8uOTk0LjE0LzA2LzIwMjYuLi5VU0QuSAEAAADpcQIAAwAAAAAATIME2v7J3gjfzbzb/sneCDhDSVEuTllTRTpCQUguSVFfVE9UQUxfREVCVF9SRVBBSUQuOTk0LjE0LzA2LzIwMjYuLi5VU0QuSAEAAADpcQIAAgAAAActNzYuOTIyAQgAAAAFAAAAATEBAAAACy0yMDk1MTI2MDkwAwAAAAMxNjACAAAABDIxNjYEAAAAATAHAAAA</t>
  </si>
  <si>
    <t>CTYvMTQvMjAyNggAAAAJMy8zMS8yMDIwCQAAAAEww5x/2f7J3ghAGeXb/sneCDhDSVEuTllTRTpCQUguSVFfVE9UQUxfREVCVF9JU1NVRUQuOTk0LjE0LzA2LzIwMjYuLi5VU0QuSAEAAADpcQIAAgAAAAc0OTcuODkxAQgAAAAFAAAAATEBAAAACy0yMDk1MTI2MDkwAwAAAAMxNjACAAAABDIxNjEEAAAAATAHAAAACTYvMTQvMjAyNggAAAAJMy8zMS8yMDIwCQAAAAEww5x/2f7J3giPseLb/sneCD1DSVEuTllTRTpCQUguSVFfT1RIRVJfSU5WRVNUX0FDVF9TVVBQTC45OTQuMTQvMDYvMjAyNi4uLlVTRC5IAQAAAOlxAgADAAAAAAAk5n7Z/sneCI+x4tv+yd4INUNJUS5OWVNFOkJBSC5JUV9TVE9DS19CQVNFRF9TTS45OTQuMTQvMDYvMjAyNi4uLlVTRC5IAQAAAOlxAgADAAAAAADSo7bZ/sneCOo42Nv+yd4IOENJUS5OWVNFOkJBSC5JUV9DT05USU5HRU5UX1JFTlRBTC45OTQuMTQvMDYvMjAyNi4uLlVTRC5IAQAAAOlxAgACAAAABjExLjY1NwDSo7bZ/sneCMhJ0Nv+yd4IOUNJUS5OWVNFOkJBSC5JUV9BU1NFVF9XUklURURPV05fQ0YuOTk0LjE0LzA2LzIwMjYuLi5VU0QuSAEAAADpcQIAAwAAAAAAPOR82f7J3ghg2d3b/sneCDRDSVEuTllTRTpCQUguSVFfTUVSR0VSX1NVUFBMRS45OTQuMTQvMDYvMjAyNi4uLlVTRC5IAQAAAOlxAgADAAAAAADSo7bZ/sneCIjr0tv+yd4INkNJUS5OWVNFOkJBSC5JUV9T</t>
  </si>
  <si>
    <t>QUxFU19NQVJLRVRJTkcuOTk0LjE0LzA2LzIwMjYuLi5VU0QuSAEAAADpcQIAAwAAAAAA0qO22f7J3gjISdDb/sneCDtDSVEuTllTRTpCQUguSVFfREVGRVJSRURfVEFYRVNfVE9UQUwuOTk0LjE0LzA2LzIwMjYuLi5VU0QuSAEAAADpcQIAAgAAAAY2NS40MzQBCAAAAAUAAAABMQEAAAALLTIwOTUxMjYwOTADAAAAAzE2MAIAAAAFMzUzODUEAAAAATAHAAAACTYvMTQvMjAyNggAAAAJMy8zMS8yMDIwCQAAAAEw0qO22f7J3gg/asvb/sneCDFDSVEuTllTRTpCQUguSVFfQ1VSUl9UQVhFUy45OTQuMTQvMDYvMjAyNi4uLlVTRC5IAQAAAOlxAgACAAAABjMxLjM5NwEIAAAABQAAAAExAQAAAAstMjA5NTEyNjA5MAMAAAADMTYwAgAAAAUzNTM4MwQAAAABMAcAAAAJNi8xNC8yMDI2CAAAAAkzLzMxLzIwMjAJAAAAATDSo7bZ/sneCD9qy9v+yd4IMENJUS5OWVNFOkJBSC5JUV9DSEFOR0VfQVAuOTk0LjE0LzA2LzIwMjYuLi5VU0QuSAEAAADpcQIAAgAAAAU0OC4yNgEIAAAABQAAAAExAQAAAAstMjA5NTEyNjA5MAMAAAADMTYwAgAAAAQyMDE3BAAAAAEwBwAAAAk2LzE0LzIwMjYIAAAACTMvMzEvMjAyMAkAAAABMCTmftn+yd4IBEHg2/7J3ghAQ0lRLk5ZU0U6QkFILklRX1NUT0NLX0JBU0VEX0VYUExPUkVfRFJJTEwuOTk0LjE0LzA2LzIwMjYuLi5VU0QuSAEAAADpcQIAAwAAAAAAPOR82f7J3gh0/Njb/sneCDhD</t>
  </si>
  <si>
    <t>SVEuTllTRTpCQUguSVFfSU5TX1NFVFRMRV9TVVBQTEUuOTk0LjE0LzA2LzIwMjYuLi5VU0QuSAEAAADpcQIAAwAAAAAA0qO22f7J3gjA7NXb/sneCDRDSVEuTllTRTpCQUguSVFfQUlSQ1JBRlRfUkVOVC45OTQuMTQvMDYvMjAyNi4uLlVTRC5IAQAAAOlxAgADAAAAAADSo7bZ/sneCIjr0tv+yd4IL0NJUS5OWVNFOkJBSC5JUV9QUkVGX1JFUC45OTQuMTQvMDYvMjAyNi4uLlVTRC5IAQAAAOlxAgADAAAAAADDnH/Z/sneCO335dv+yd4IPkNJUS5OWVNFOkJBSC5JUV9TQUxBUklFU19PVEhFUl9CRU5FRklUUy45OTQuMTQvMDYvMjAyNi4uLlVTRC5IAQAAAOlxAgADAAAAAADSo7bZ/sneCIjr0tv+yd4IO0NJUS5OWVNFOkJBSC5JUV9DQVBJVEFMSVpFRF9JTlRFUkVTVC45OTQuMTQvMDYvMjAyNi4uLlVTRC5IAQAAAOlxAgADAAAAAADSo7bZ/sneCEXUzdv+yd4INkNJUS5OWVNFOkJBSC5JUV9JTlRFUkVTVF9JTkNPTUUuOTk0LjE0LzA2LzIwMjYuLi5VU0QuSAEAAADpcQIAAwAAAAAA0qO22f7J3giX+8jb/sneCDVDSVEuTllTRTpCQUguSVFfRUJJVEFfRVhDTF9TQkMuOTk0LjE0LzA2LzIwMjYuLi5VU0QuSAEAAADpcQIAAgAAAAc3MjkuOTMzAQgAAAAFAAAAATEBAAAACy0yMDk1MTI2MDkwAwAAAAMxNjACAAAABTI0MTM2BAAAAAEwBwAAAAk2LzE0LzIwMjYIAAAACTMvMzEvMjAyMAkAAAABMNKjttn+yd4I</t>
  </si>
  <si>
    <t>uYjG2/7J3gg0Q0lRLk5ZU0U6QkFILklRX0VCSVREQV9FUV9JTkMuOTk0LjE0LzA2LzIwMjYuLi5VU0QuSAEAAADpcQIAAgAAAAc4MzcuODA1AQgAAAAFAAAAATEBAAAACy0yMDk1MTI2MDkwAwAAAAMxNjACAAAABTIxNjc3BAAAAAEwBwAAAAk2LzE0LzIwMjYIAAAACTMvMzEvMjAyMAkAAAABMEyDBNr+yd4IDy/E2/7J3gg1Q0lRLk5ZU0U6QkFILklRX0RJTFVUX0VQU19JTkNMLjk5NC4xNC8wNi8yMDI2Li4uVVNELkgBAAAA6XECAAIAAAAIMy40MDYyNDcBCAAAAAUAAAABMQEAAAALLTIwOTUxMjYwOTADAAAAAzE2MAIAAAABOAQAAAABMAcAAAAJNi8xNC8yMDI2CAAAAAkzLzMxLzIwMjAJAAAAATBMgwTa/sneCNipwdv+yd4INUNJUS5OWVNFOkJBSC5JUV9MVF9ERUJUX0lTU1VFRC45OTQuMTQvMDYvMjAyNi4uLlVTRC5IAQAAAOlxAgACAAAABzQ5Ny44OTEBCAAAAAUAAAABMQEAAAALLTIwOTUxMjYwOTADAAAAAzE2MAIAAAAEMjAzNAQAAAABMAcAAAAJNi8xNC8yMDI2CAAAAAkzLzMxLzIwMjAJAAAAATDDnH/Z/sneCI+x4tv+yd4IMENJUS5OWVNFOkJBSC5JUV9DQVNIX09QRVIuOTk0LjE0LzA2LzIwMjYuLi5VU0QuSAEAAADpcQIAAgAAAAc1NTEuNDI4AQgAAAAFAAAAATEBAAAACy0yMDk1MTI2MDkwAwAAAAMxNjACAAAABDIwMDYEAAAAATAHAAAACTYvMTQvMjAyNggAAAAJMy8zMS8yMDIwCQAAAAEw</t>
  </si>
  <si>
    <t>JOZ+2f7J3ggEQeDb/sneCD5DSVEuTllTRTpCQUguSVFfU1RPQ0tfQkFTRURfQ09NUF9QUkVUQVguOTk0LjE0LzA2LzIwMjYuLi5VU0QuSAEAAADpcQIAAgAAAAU0My4yOQA85HzZ/sneCN9y29v+yd4IPENJUS5OWVNFOkJBSC5JUV9DSEFOR0VfVFJBRElOR19BU1NFVFMuOTk0LjE0LzA2LzIwMjYuLi5VU0QuSAEAAADpcQIAAwAAAAAAJOZ+2f7J3ghg2d3b/sneCD1DSVEuTllTRTpCQUguSVFfU1RPQ0tfT1BUSU9OU19DT01QX1RBWC45OTQuMTQvMDYvMjAyNi4uLlVTRC5IAQAAAOlxAgADAAAAAAA85HzZ/sneCHT82Nv+yd4INUNJUS5OWVNFOkJBSC5JUV9TVE9DS19CQVNFRF9HQS45OTQuMTQvMDYvMjAyNi4uLlVTRC5IAQAAAOlxAgACAAAABjI3LjAxOAEIAAAABQAAAAExAQAAAAstMjA5NTEyNjA5MAMAAAADMTYwAgAAAAUyMjY3NQQAAAABMAcAAAAJNi8xNC8yMDI2CAAAAAkzLzMxLzIwMjAJAAAAATDSo7bZ/sneCBSH2Nv+yd4INUNJUS5OWVNFOkJBSC5JUV9NSU5JTVVNX1JFTlRBTC45OTQuMTQvMDYvMjAyNi4uLlVTRC5IAQAAAOlxAgADAAAAAADSo7bZ/sneCMhJ0Nv+yd4IMkNJUS5OWVNFOkJBSC5JUV9BRFZFUlRJU0lORy45OTQuMTQvMDYvMjAyNi4uLlVTRC5IAQAAAOlxAgADAAAAAADSo7bZ/sneCMhJ0Nv+yd4IRkNJUS5OWVNFOkJBSC5JUV9ESVNUUklCVVRBQkxFX0NBU0hfU1RBTkRBUkRJ</t>
  </si>
  <si>
    <t>WkVELjk5NC4xNC8wNi8yMDI2Li4uVVNELkgBAAAA6XECAAMAAAAAANKjttn+yd4IRdTN2/7J3gg+Q0lRLk5ZU0U6QkFILklRX0RFRkVSUkVEX0RPTUVTVElDX1RBWEVTLjk5NC4xNC8wNi8yMDI2Li4uVVNELkgBAAAA6XECAAIAAAAGNjUuNDM0AQgAAAAFAAAAATEBAAAACy0yMDk1MTI2MDkwAwAAAAMxNjACAAAABDMwNTQEAAAAATAHAAAACTYvMTQvMjAyNggAAAAJMy8zMS8yMDIwCQAAAAEw0qO22f7J3gg/asvb/sneCDdDSVEuTllTRTpCQUguSVFfRUJJVERBUl9FWENMX1NCQy45OTQuMTQvMDYvMjAyNi4uLlVTRC5IAQAAAOlxAgACAAAABzg4MS4wOTUBCAAAAAUAAAABMQEAAAALLTIwOTUxMjYwOTADAAAAAzE2MAIAAAAFMjQxMzcEAAAAATAHAAAACTYvMTQvMjAyNggAAAAJMy8zMS8yMDIwCQAAAAEw0qO22f7J3gi5iMbb/sneCD5DSVEuTllTRTpCQUguSVFfTEVBU0VfQURKVVNUTUVOVF9FQklUREEuOTk0LjE0LzA2LzIwMjYuLi5VU0QuSAEAAADpcQIAAgAAAAY5Mi4zODEATIME2v7J3ggPL8Tb/sneCDVDSVEuTllTRTpCQUguSVFfUFJFRl9ESVZfT1RIRVIuOTk0LjE0LzA2LzIwMjYuLi5VU0QuSAEAAADpcQIAAgAAAAUxLjUxOAEIAAAABQAAAAExAQAAAAstMjA5NTEyNjA5MAMAAAADMTYwAgAAAAI5NwQAAAABMAcAAAAJNi8xNC8yMDI2CAAAAAkzLzMxLzIwMjAJAAAAATBMgwTa/sneCCfyvdv+</t>
  </si>
  <si>
    <t>yd4INUNJUS5OWVNFOkJBSC5JUV9TVE9DS19CQVNFRF9DRi45OTQuMTQvMDYvMjAyNi4uLlVTRC5IAQAAAOlxAgACAAAABTQzLjI5AQgAAAAFAAAAATEBAAAACy0yMDk1MTI2MDkwAwAAAAMxNjACAAAABDIxMjcEAAAAATAHAAAACTYvMTQvMjAyNggAAAAJMy8zMS8yMDIwCQAAAAEwfB9+2f7J3ghg2d3b/sneCDdDSVEuTllTRTpCQUguSVFfUkVTVFJfU1RPQ0tfQ09NUC45OTQuMTQvMDYvMjAyNi4uLlVTRC5IAQAAAOlxAgADAAAAAAA85HzZ/sneCHT82Nv+yd4IP0NJUS5OWVNFOkJBSC5JUV9JTVBVVF9PUEVSX0xFQVNFX0lOVF9FWFAuOTk0LjE0LzA2LzIwMjYuLi5VU0QuSAEAAADpcQIAAgAAAAkzMi41MjEwNjgBCAAAAAUAAAABMQEAAAALLTIwOTUxMjYwOTADAAAAAzE2MAIAAAAFMjE2NzIEAAAAATAHAAAACTYvMTQvMjAyNggAAAAJMy8zMS8yMDIwCQAAAAEw0qO22f7J3giI69Lb/sneCDhDSVEuTllTRTpCQUguSVFfUFJPVl9CQURfREVCVFNfQ0YuOTk0LjE0LzA2LzIwMjYuLi5VU0QuSAEAAADpcQIAAwAAAAAAJOZ+2f7J3ghg2d3b/sneCDtDSVEuTllTRTpCQUguSVFfTUlOT1JJVFlfSU5URVJFU1RfQ0YuOTk0LjE0LzA2LzIwMjYuLi5VU0QuSAEAAADpcQIAAwAAAAAAPOR82f7J3giseNzb/sneCCxDSVEuTllTRTpCQUguSVFfREFfQ0YuOTk0LjE0LzA2LzIwMjYuLi5VU0QuSAEAAADpcQIAAgAA</t>
  </si>
  <si>
    <t>AAY4MS4wODEBCAAAAAUAAAABMQEAAAALLTIwOTUxMjYwOTADAAAAAzE2MAIAAAAEMjE2MAQAAAABMAcAAAAJNi8xNC8yMDI2CAAAAAkzLzMxLzIwMjAJAAAAATA85HzZ/sneCKx43Nv+yd4IMkNJUS5OWVNFOkJBSC5JUV9JTlRfRVhQX0xURC45OTQuMTQvMDYvMjAyNi4uLlVTRC5IAQAAAOlxAgACAAAABjkwLjE5NQEIAAAABQAAAAExAQAAAAstMjA5NTEyNjA5MAMAAAADMTYwAgAAAAQzMTAxBAAAAAEwBwAAAAk2LzE0LzIwMjYIAAAACTMvMzEvMjAyMAkAAAABMNKjttn+yd4IRdTN2/7J3gguQ0lRLk5ZU0U6QkFILklRX05JX05PUk0uOTk0LjE0LzA2LzIwMjYuLi5VU0QuSAEAAADpcQIAAgAAAAozNjMuMDUzMTI1AQgAAAAFAAAAATEBAAAACy0yMDk1MTI2MDkwAwAAAAMxNjACAAAABDQzNzgEAAAAATAHAAAACTYvMTQvMjAyNggAAAAJMy8zMS8yMDIwCQAAAAEw0qO22f7J3giUNs3b/sneCEBDSVEuTllTRTpCQUguSVFfRUFSTklOR19QQVJFTlRfRVhDTF9FWFRSQS45OTQuMTQvMDYvMjAyNi4uLlVTRC5IAQAAAOlxAgACAAAABzQ4Mi42MDMBCAAAAAUAAAABMQEAAAALLTIwOTUxMjYwOTADAAAAAzE2MAIAAAAFNDE1OTYEAAAAATAHAAAACTYvMTQvMjAyNggAAAAJMy8zMS8yMDIwCQAAAAEw0qO22f7J3giX+8jb/sneCDNDSVEuTllTRTpCQUguSVFfRUJJVEFfRVFfSU5DLjk5NC4xNC8wNi8yMDI2Li4u</t>
  </si>
  <si>
    <t>VVNELkgBAAAA6XECAAIAAAAHNjg2LjY0MwEIAAAABQAAAAExAQAAAAstMjA5NTEyNjA5MAMAAAADMTYwAgAAAAUyMTY3NgQAAAABMAcAAAAJNi8xNC8yMDI2CAAAAAkzLzMxLzIwMjAJAAAAATDSo7bZ/sneCLmIxtv+yd4INUNJUS5OWVNFOkJBSC5JUV9ESUxVVF9FUFNfRVhDTC45OTQuMTQvMDYvMjAyNi4uLlVTRC5IAQAAAOlxAgACAAAACDMuNDA2MjQ3AQgAAAAFAAAAATEBAAAACy0yMDk1MTI2MDkwAwAAAAMxNjACAAAAAzE0MgQAAAABMAcAAAAJNi8xNC8yMDI2CAAAAAkzLzMxLzIwMjAJAAAAATBMgwTa/sneCNipwdv+yd4INUNJUS5OWVNFOkJBSC5JUV9CQVNJQ19FUFNfRVhDTC45OTQuMTQvMDYvMjAyNi4uLlVTRC5IAQAAAOlxAgACAAAACDMuNDM0ODYxAQgAAAAFAAAAATEBAAAACy0yMDk1MTI2MDkwAwAAAAMxNjACAAAABDMwNjQEAAAAATAHAAAACTYvMTQvMjAyNggAAAAJMy8zMS8yMDIwCQAAAAEwTIME2v7J3gjYqcHb/sneCDpDSVEuTllTRTpCQUguSVFfT1RIRVJfVU5VU1VBTF9TVVBQTC45OTQuMTQvMDYvMjAyNi4uLlVTRC5IAQAAAOlxAgACAAAABi0xLjQ1MQEIAAAABQAAAAExAQAAAAstMjA5NTEyNjA5MAMAAAADMTYwAgAAAAI4NwQAAAABMAcAAAAJNi8xNC8yMDI2CAAAAAkzLzMxLzIwMjAJAAAAATBMgwTa/sneCN/NvNv+yd4INUNJUS5OWVNFOkJBSC5JUV9TVF9ERUJUX0lTU1VF</t>
  </si>
  <si>
    <t>RC45OTQuMTQvMDYvMjAyNi4uLlVTRC5IAQAAAOlxAgADAAAAAAAk5n7Z/sneCI+x4tv+yd4IMkNJUS5OWVNFOkJBSC5JUV9TQUxFX1BQRV9DRi45OTQuMTQvMDYvMjAyNi4uLlVTRC5IAQAAAOlxAgADAAAAAAAk5n7Z/sneCARB4Nv+yd4IQ0NJUS5OWVNFOkJBSC5JUV9DSEFOR0VfT1RIRVJfTkVUX09QRVJfQVNTRVRTLjk5NC4xNC8wNi8yMDI2Li4uVVNELkgBAAAA6XECAAIAAAAGMTkuODM3AQgAAAAFAAAAATEBAAAACy0yMDk1MTI2MDkwAwAAAAMxNjACAAAABDIwNDUEAAAAATAHAAAACTYvMTQvMjAyNggAAAAJMy8zMS8yMDIwCQAAAAEwJOZ+2f7J3ggEQeDb/sneCDVDSVEuTllTRTpCQUguSVFfR0FJTl9JTlZFU1RfQ0YuOTk0LjE0LzA2LzIwMjYuLi5VU0QuSAEAAADpcQIAAwAAAAAAPOR82f7J3ghg2d3b/sneCD5DSVEuTllTRTpCQUguSVFfUkVTVFJfU1RPQ0tfQ09NUF9QUkVUQVguOTk0LjE0LzA2LzIwMjYuLi5VU0QuSAEAAADpcQIAAgAAAAY0MC41NDkAPOR82f7J3gh0/Njb/sneCDVDSVEuTllTRTpCQUguSVFfU1RPQ0tfQkFTRURfUkQuOTk0LjE0LzA2LzIwMjYuLi5VU0QuSAEAAADpcQIAAwAAAAAA0qO22f7J3gjxEdjb/sneCDxDSVEuTllTRTpCQUguSVFfTkVUX1JFTlRBTF9FWFBfU1VQUExFLjk5NC4xNC8wNi8yMDI2Li4uVVNELkgBAAAA6XECAAMAAAAAANKjttn+yd4IyEnQ2/7J3gg6</t>
  </si>
  <si>
    <t>Q0lRLk5ZU0U6QkFILklRX1NBTEVfUkVBTF9FU1RBVEVfQ0YuOTk0LjE0LzA2LzIwMjYuLi5VU0QuSAEAAADpcQIAAwAAAAAAJOZ+2f7J3giPseLb/sneCDdDSVEuTllTRTpCQUguSVFfQ0hBTkdFX0lOVkVOVE9SWS45OTQuMTQvMDYvMjAyNi4uLlVTRC5IAQAAAOlxAgADAAAAAAAk5n7Z/sneCARB4Nv+yd4IL0NJUS5OWVNFOkJBSC5JUV9MT0FOU19DRi45OTQuMTQvMDYvMjAyNi4uLlVTRC5IAQAAAOlxAgADAAAAAAB8H37Z/sneCGDZ3dv+yd4IPkNJUS5OWVNFOkJBSC5JUV9HQUlOX0JBUkdBSU5fQUNRX1NVUFBMRS45OTQuMTQvMDYvMjAyNi4uLlVTRC5IAQAAAOlxAgADAAAAAADSo7bZ/sneCMDs1dv+yd4IPkNJUS5OWVNFOkJBSC5JUV9FWFBMT1JFX0RSSUxMX0VYUF9UT1RBTC45OTQuMTQvMDYvMjAyNi4uLlVTRC5IAQAAAOlxAgADAAAAAADSo7bZ/sneCIjr0tv+yd4IMENJUS5OWVNFOkJBSC5JUV9NQVJLRVRJTkcuOTk0LjE0LzA2LzIwMjYuLi5VU0QuSAEAAADpcQIAAwAAAAAA0qO22f7J3gjISdDb/sneCDBDSVEuTllTRTpCQUguSVFfREFfRUJJVERBLjk5NC4xNC8wNi8yMDI2Li4uVVNELkgBAAAA6XECAAIAAAAGODEuMDgxAQgAAAAFAAAAATEBAAAACy0yMDk1MTI2MDkwAwAAAAMxNjACAAAABDIyMDYEAAAAATAHAAAACTYvMTQvMjAyNggAAAAJMy8zMS8yMDIwCQAAAAEw0qO22f7J3ghF1M3b</t>
  </si>
  <si>
    <t>/sneCDlDSVEuTllTRTpCQUguSVFfQ1VSUl9GT1JFSUdOX1RBWEVTLjk5NC4xNC8wNi8yMDI2Li4uVVNELkgBAAAA6XECAAIAAAAGMTUuNjI1AQgAAAAFAAAAATEBAAAACy0yMDk1MTI2MDkwAwAAAAMxNjACAAAABDMwMzAEAAAAATAHAAAACTYvMTQvMjAyNggAAAAJMy8zMS8yMDIwCQAAAAEw0qO22f7J3gg/asvb/sneCDZDSVEuTllTRTpCQUguSVFfSU5WRVNUX0xPQU5TX0NGLjk5NC4xNC8wNi8yMDI2Li4uVVNELkgBAAAA6XECAAMAAAAAACTmftn+yd4Ij7Hi2/7J3gg1Q0lRLk5ZU0U6QkFILklRX09USEVSX09QRVJfQUNULjk5NC4xNC8wNi8yMDI2Li4uVVNELkgBAAAA6XECAAIAAAAHMTIxLjk4MQEIAAAABQAAAAExAQAAAAstMjA5NTEyNjA5MAMAAAADMTYwAgAAAAQyMDQ3BAAAAAEwBwAAAAk2LzE0LzIwMjYIAAAACTMvMzEvMjAyMAkAAAABMCTmftn+yd4IYNnd2/7J3gg1Q0lRLk5ZU0U6QkFILklRX1NUT0NLX0JBU0VEX0FULjk5NC4xNC8wNi8yMDI2Li4uVVNELkgBAAAA6XECAAMAAAAAADzkfNn+yd4IdPzY2/7J3gg7Q0lRLk5ZU0U6QkFILklRX05FR0FUSVZFX0dXX0FNT1JUX0FULjk5NC4xNC8wNi8yMDI2Li4uVVNELkgBAAAA6XECAAMAAAAAANKjttn+yd4IR3XX2/7J3ggyQ0lRLk5ZU0U6QkFILklRX1BSRUZfRElWX0NGLjk5NC4xNC8wNi8yMDI2Li4uVVNELkgBAAAA6XECAAMAAAAAAMOc</t>
  </si>
  <si>
    <t>f9n+yd4I7ffl2/7J3gg4Q0lRLk5ZU0U6QkFILklRX0NIQU5HRV9VTkVBUk5fUkVWLjk5NC4xNC8wNi8yMDI2Li4uVVNELkgBAAAA6XECAAMAAAAAACTmftn+yd4IBEHg2/7J3gg0Q0lRLk5ZU0U6QkFILklRX0lOQ19FUVVJVFlfQ0YuOTk0LjE0LzA2LzIwMjYuLi5VU0QuSAEAAADpcQIAAwAAAAAAfB9+2f7J3ghg2d3b/sneCDxDSVEuTllTRTpCQUguSVFfSU1QVVRfT1BFUl9MRUFTRV9ERVBSLjk5NC4xNC8wNi8yMDI2Li4uVVNELkgBAAAA6XECAAIAAAAJNTkuODU5OTMyAQgAAAAFAAAAATEBAAAACy0yMDk1MTI2MDkwAwAAAAMxNjACAAAABTIxNjczBAAAAAEwBwAAAAk2LzE0LzIwMjYIAAAACTMvMzEvMjAyMAkAAAABMNKjttn+yd4IiOvS2/7J3gg4Q0lRLk5ZU0U6QkFILklRX05FVF9SRU5UQUxfRVhQX0ZOLjk5NC4xNC8wNi8yMDI2Li4uVVNELkgBAAAA6XECAAIAAAAGOTIuMzgxAQgAAAAFAAAAATEBAAAACy0yMDk1MTI2MDkwAwAAAAMxNjACAAAABDMxNzAEAAAAATAHAAAACTYvMTQvMjAyNggAAAAJMy8zMS8yMDIwCQAAAAEw0qO22f7J3gjISdDb/sneCDFDSVEuTllTRTpCQUguSVFfQ09NTU9OX0RJVi45OTQuMTQvMDYvMjAyNi4uLlVTRC5IAQAAAOlxAgACAAAABzE0Ni42MDIA0qO22f7J3ghF1M3b/sneCC9DSVEuTllTRTpCQUguSVFfRElMVVRfTkkuOTk0LjE0LzA2LzIwMjYuLi5VU0QuSAEA</t>
  </si>
  <si>
    <t>AADpcQIAAgAAAAc0ODEuMDkyAQgAAAAFAAAAATEBAAAACy0yMDk1MTI2MDkwAwAAAAMxNjACAAAABDM1MjIEAAAAATAHAAAACTYvMTQvMjAyNggAAAAJMy8zMS8yMDIwCQAAAAEw0qO22f7J3ghF1M3b/sneCDJDSVEuTllTRTpCQUguSVFfT1RIRVJfQU1PUlQuOTk0LjE0LzA2LzIwMjYuLi5VU0QuSAEAAADpcQIAAgAAAAU0LjY4OAEIAAAABQAAAAExAQAAAAstMjA5NTEyNjA5MAMAAAADMTYwAgAAAAQyMDE0BAAAAAEwBwAAAAk2LzE0LzIwMjYIAAAACTMvMzEvMjAyMAkAAAABMDzkfNn+yd4IrHjc2/7J3ggtQ0lRLk5ZU0U6QkFILklRX0dBX0VYUC45OTQuMTQvMDYvMjAyNi4uLlVTRC5IAQAAAOlxAgACAAAABzk0My41ODQBCAAAAAUAAAABMQEAAAALLTIwOTUxMjYwOTADAAAAAzE2MAIAAAAFMjE1NjIEAAAAATAHAAAACTYvMTQvMjAyNggAAAAJMy8zMS8yMDIwCQAAAAEw0qO22f7J3gjISdDb/sneCDFDSVEuTllTRTpCQUguSVFfRUFSTklOR19DTy45OTQuMTQvMDYvMjAyNi4uLlVTRC5IAQAAAOlxAgACAAAABzQ4Mi42MDMBCAAAAAUAAAABMQEAAAALLTIwOTUxMjYwOTADAAAAAzE2MAIAAAABNwQAAAABMAcAAAAJNi8xNC8yMDI2CAAAAAkzLzMxLzIwMjAJAAAAATBMgwTa/sneCN/NvNv+yd4IOENJUS5OWVNFOkJBSC5JUV9JTlZFU1RNRU5UX0lOQ09NRS45OTQuMTQvMDYvMjAyNi4uLlVTRC5IAQAA</t>
  </si>
  <si>
    <t>AOlxAgADAAAAAADSo7bZ/sneCJf7yNv+yd4INUNJUS5OWVNFOkJBSC5JUV9ESUxVVF9FUFNfTk9STS45OTQuMTQvMDYvMjAyNi4uLlVTRC5IAQAAAOlxAgACAAAACDIuNTcwNTAzAQgAAAAFAAAAATEBAAAACy0yMDk1MTI2MDkwAwAAAAMxNjACAAAABDQzODAEAAAAATAHAAAACTYvMTQvMjAyNggAAAAJMy8zMS8yMDIwCQAAAAEwTIME2v7J3gjYqcHb/sneCDNDSVEuTllTRTpCQUguSVFfTUFJTlRfUkVQQUlSLjk5NC4xNC8wNi8yMDI2Li4uVVNELkgBAAAA6XECAAMAAAAAANKjttn+yd4IiOvS2/7J3gg9Q0lRLk5ZU0U6QkFILklRX0VCSVREQV9FUV9JTkNfRVhDTF9TQkMuOTk0LjE0LzA2LzIwMjYuLi5VU0QuSAEAAADpcQIAAgAAAAc3ODguNzE0AQgAAAAFAAAAATEBAAAACy0yMDk1MTI2MDkwAwAAAAMxNjACAAAABTI0MTMxBAAAAAEwBwAAAAk2LzE0LzIwMjYIAAAACTMvMzEvMjAyMAkAAAABMEyDBNr+yd4IDy/E2/7J3gg2Q0lRLk5ZU0U6QkFILklRX0VYVFJBX0FDQ19JVEVNUy45OTQuMTQvMDYvMjAyNi4uLlVTRC5IAQAAAOlxAgADAAAAAABMgwTa/sneCN/NvNv+yd4IPUNJUS5OWVNFOkJBSC5JUV9BTk5VX0RJU1RSSUJVVElPTl9VTklULjk5NC4xNC8wNi8yMDI2Li4uVVNELkgBAAAA6XECAAMAAAAAANKjttn+yd4IRdTN2/7J3gguQ0lRLk5ZU0U6QkFILklRX05JX1NGQVMuOTk0LjE0LzA2LzIw</t>
  </si>
  <si>
    <t>MjYuLi5VU0QuSAEAAADpcQIAAwAAAAAA0qO22f7J3giX+8jb/sneCDZDSVEuTllTRTpCQUguSVFfVE9UQUxfUkVWX1NIQVJFLjk5NC4xNC8wNi8yMDI2Li4uVVNELkgBAAAA6XECAAIAAAAJNTMuMjkwNTAzAQgAAAAFAAAAATEBAAAACy0yMDk1MTI2MDkwAwAAAAMxNjACAAAABDQzODIEAAAAATAHAAAACTYvMTQvMjAyNggAAAAJMy8zMS8yMDIwCQAAAAEwTIME2v7J3gjYqcHb/sneCDtDSVEuTllTRTpCQUguSVFfTUlOT1JJVFlfSU5URVJFU1RfSVMuOTk0LjE0LzA2LzIwMjYuLi5VU0QuSAEAAADpcQIAAwAAAAAATIME2v7J3ggn8r3b/sneCCpDSVEuTllTRTpCQUguSVFfRUJULjk5NC4xNC8wNi8yMDI2Li4uVVNELkgBAAAA6XECAAIAAAAHNTc5LjQzNAEIAAAABQAAAAExAQAAAAstMjA5NTEyNjA5MAMAAAADMTYwAgAAAAMxMzkEAAAAATAHAAAACTYvMTQvMjAyNggAAAAJMy8zMS8yMDIwCQAAAAEwTIME2v7J3gjfzbzb/sneCDhDSVEuTllTRTpCQUguSVFfRkVFU19PVEhFUl9JTkNPTUUuOTk0LjE0LzA2LzIwMjYuLi5VU0QuSAEAAADpcQIAAwAAAAAA0qO22f7J3giX+8jb/sneCDVDSVEuTllTRTpCQUguSVFfQkFTSUNfRVBTX0lOQ0wuOTk0LjE0LzA2LzIwMjYuLi5VU0QuSAEAAADpcQIAAgAAAAgzLjQzNDg2MQEIAAAABQAAAAExAQAAAAstMjA5NTEyNjA5MAMAAAADMTYwAgAAAAE5BAAAAAEwBwAA</t>
  </si>
  <si>
    <t>AAk2LzE0LzIwMjYIAAAACTMvMzEvMjAyMAkAAAABMEyDBNr+yd4I2KnB2/7J3gguQ0lRLk5ZU0U6QkFILklRX0lOQ19UQVguOTk0LjE0LzA2LzIwMjYuLi5VU0QuSAEAAADpcQIAAgAAAAY5Ni44MzEBCAAAAAUAAAABMQEAAAALLTIwOTUxMjYwOTADAAAAAzE2MAIAAAACNzUEAAAAATAHAAAACTYvMTQvMjAyNggAAAAJMy8zMS8yMDIwCQAAAAEwTIME2v7J3gjfzbzb/sneCDtDSVEuTllTRTpCQUguSVFfUkVTVFJfU1RPQ0tfQ09NUF9UQVguOTk0LjE0LzA2LzIwMjYuLi5VU0QuSAEAAADpcQIAAwAAAAAAPOR82f7J3gh0/Njb/sneCDxDSVEuTllTRTpCQUguSVFfRUJJVERBX0xFQVNFX0FESlVTVEVELjk5NC4xNC8wNi8yMDI2Li4uVVNELkgBAAAA6XECAAIAAAAHODM3LjgwNQEIAAAABQAAAAExAQAAAAstMjA5NTEyNjA5MAMAAAADMTYwAgAAAAU0ODk5MwQAAAABMAcAAAAJNi8xNC8yMDI2CAAAAAkzLzMxLzIwMjAJAAAAATBMgwTa/sneCA8vxNv+yd4IOENJUS5OWVNFOkJBSC5JUV9TUEVDSUFMX0RJVl9TSEFSRS45OTQuMTQvMDYvMjAyNi4uLlVTRC5IAQAAAOlxAgADAAAAAABMgwTa/sneCA8vxNv+yd4IM0NJUS5OWVNFOkJBSC5JUV9FQklUREFfQ0FQRVguOTk0LjE0LzA2LzIwMjYuLi5VU0QuSAEAAADpcQIAAgAAAAc2MTcuMzQ1AQgAAAAFAAAAATEBAAAACy0yMDk1MTI2MDkwAwAAAAMxNjACAAAA</t>
  </si>
  <si>
    <t>BTM1Mzc5BAAAAAEwBwAAAAk2LzE0LzIwMjYIAAAACTMvMzEvMjAyMAkAAAABMNKjttn+yd4IuYjG2/7J3ggsQ0lRLk5ZU0U6QkFILklRX0VCSVRBLjk5NC4xNC8wNi8yMDI2Li4uVVNELkgBAAAA6XECAAIAAAAHNjg2LjY0MwEIAAAABQAAAAExAQAAAAstMjA5NTEyNjA5MAMAAAADMTYwAgAAAAYxMDA2ODkEAAAAATAHAAAACTYvMTQvMjAyNggAAAAJMy8zMS8yMDIwCQAAAAEwsQ0F2v7J3gi5iMbb/sneCDJDSVEuTllTRTpCQUguSVFfRUJJVF9FUV9JTkMuOTk0LjE0LzA2LzIwMjYuLi5VU0QuSAEAAADpcQIAAgAAAAc2NjQuMzQzAQgAAAAFAAAAATEBAAAACy0yMDk1MTI2MDkwAwAAAAMxNjACAAAABTIxNjc1BAAAAAEwBwAAAAk2LzE0LzIwMjYIAAAACTMvMzEvMjAyMAkAAAABMLENBdr+yd4IDy/E2/7J3ggvQ0lRLk5ZU0U6QkFILklRX0VQU19OT1JNLjk5NC4xNC8wNi8yMDI2Li4uVVNELkgBAAAA6XECAAIAAAAIMi41OTIxMzUBCAAAAAUAAAABMQEAAAALLTIwOTUxMjYwOTADAAAAAzE2MAIAAAAENDM3OQQAAAABMAcAAAAJNi8xNC8yMDI2CAAAAAkzLzMxLzIwMjAJAAAAATBMgwTa/sneCNipwdv+yd4IOkNJUS5OWVNFOkJBSC5JUV9DVVJSX0RPTUVTVElDX1RBWEVTLjk5NC4xNC8wNi8yMDI2Li4uVVNELkgBAAAA6XECAAIAAAAGMTUuNzcyAQgAAAAFAAAAATEBAAAACy0yMDk1MTI2MDkwAwAAAAMx</t>
  </si>
  <si>
    <t>NjACAAAABDMwMjcEAAAAATAHAAAACTYvMTQvMjAyNggAAAAJMy8zMS8yMDIwCQAAAAEw0qO22f7J3giX+8jb/sneCElDSVEuTllTRTpCQUguSVFfUFJPVl9CQURfREVCVFNfUEFUSUVOVF9TRVJWSUNFX1JFVi45OTQuMTQvMDYvMjAyNi4uLlVTRC5IAQAAAOlxAgADAAAAAADSo7bZ/sneCJf7yNv+yd4ILkNJUS5OWVNFOkJBSC5JUV9FQklUREFSLjk5NC4xNC8wNi8yMDI2Li4uVVNELkgBAAAA6XECAAIAAAAHODM3LjgwNQEIAAAABQAAAAExAQAAAAstMjA5NTEyNjA5MAMAAAADMTYwAgAAAAUyMTY3NAQAAAABMAcAAAAJNi8xNC8yMDI2CAAAAAkzLzMxLzIwMjAJAAAAATDSo7bZ/sneCLmIxtv+yd4IMUNJUS5OWVNFOkJBSC5JUV9OSV9DT01QQU5ZLjk5NC4xNC8wNi8yMDI2Li4uVVNELkgBAAAA6XECAAIAAAAHNDgyLjYwMwEIAAAABQAAAAExAQAAAAstMjA5NTEyNjA5MAMAAAADMTYwAgAAAAU0MTU3MQQAAAABMAcAAAAJNi8xNC8yMDI2CAAAAAkzLzMxLzIwMjAJAAAAATBMgwTa/sneCCfyvdv+yd4IK0NJUS5OWVNFOkJBSC5JUV9FQklULjk5NC4xNC8wNi8yMDI2Li4uVVNELkgBAAAA6XECAAIAAAAHNjY0LjM0MwEIAAAABQAAAAExAQAAAAstMjA5NTEyNjA5MAMAAAADMTYwAgAAAAM0MDAEAAAAATAHAAAACTYvMTQvMjAyNggAAAAJMy8zMS8yMDIwCQAAAAEwsQ0F2v7J3ggPL8Tb/sneCDRDSVEuTllT</t>
  </si>
  <si>
    <t>RTpCQUguSVFfTklfQVZBSUxfRVhDTC45OTQuMTQvMDYvMjAyNi4uLlVTRC5IAQAAAOlxAgACAAAABzQ4MS4wODUBCAAAAAUAAAABMQEAAAALLTIwOTUxMjYwOTADAAAAAzE2MAIAAAADMzc5BAAAAAEwBwAAAAk2LzE0LzIwMjYIAAAACTMvMzEvMjAyMAkAAAABMEyDBNr+yd4I2KnB2/7J3ghIQ0lRLk5ZU0U6QkFILklRX0VCSVREQV9FUV9JTkNfRVhDTF9PUEVSX0xFQVNFX0FESi45OTQuMTQvMDYvMjAyNi4uLlVTRC5IAQAAAOlxAgACAAAABzc0NS40MjQBCAAAAAUAAAABMQEAAAALLTIwOTUxMjYwOTADAAAAAzE2MAIAAAAFNDg5ODcEAAAAATAHAAAACTYvMTQvMjAyNggAAAAJMy8zMS8yMDIwCQAAAAEwsQ0F2v7J3ggPL8Tb/sneCDtDSVEuTllTRTpCQUguSVFfSU1QQUlSTUVOVF9HV19TVVBQTEUuOTk0LjE0LzA2LzIwMjYuLi5VU0QuSAEAAADpcQIAAwAAAAAA0qO22f7J3giI69Lb/sneCDVDSVEuTllTRTpCQUguSVFfTkVUX1JFTlRBTF9FWFAuOTk0LjE0LzA2LzIwMjYuLi5VU0QuSAEAAADpcQIAAgAAAAY5Mi4zODEBCAAAAAUAAAABMQEAAAALLTIwOTUxMjYwOTADAAAAAzE2MAIAAAAFMjQyNjEEAAAAATAHAAAACTYvMTQvMjAyNggAAAAJMy8zMS8yMDIwCQAAAAEw0qO22f7J3gjISdDb/sneCEBDSVEuTllTRTpCQUguSVFfTk9OUkVDVVJSSU5HX0lOQ09NRV9UQVhFUy45OTQuMTQvMDYvMjAyNi4u</t>
  </si>
  <si>
    <t>LlVTRC5IAQAAAOlxAgADAAAAAADSo7bZ/sneCJQ2zdv+yd4IOUNJUS5OWVNFOkJBSC5JUV9BU19SRVBPUlRFRF9FQklUREEuOTk0LjE0LzA2LzIwMjYuLi5VU0QuSAEAAADpcQIAAgAAAAc3NTQuMDc0ANKjttn+yd4Il/vI2/7J3ghLQ0lRLk5ZU0U6QkFILklRX0RJU1RSSUJVVEFCTEVfQ0FTSF9QRVJfU0hBUkVfRElMVVRFRC45OTQuMTQvMDYvMjAyNi4uLlVTRC5IAQAAAOlxAgADAAAAAABMgwTa/sneCNipwdv+yd4IKUNJUS5OWVNFOkJBSC5JUV9OSS45OTQuMTQvMDYvMjAyNi4uLlVTRC5IAQAAAOlxAgACAAAABzQ4Mi42MDMBCAAAAAUAAAABMQEAAAALLTIwOTUxMjYwOTADAAAAAzE2MAIAAAACMTUEAAAAATAHAAAACTYvMTQvMjAyNggAAAAJMy8zMS8yMDIwCQAAAAEwTIME2v7J3ggn8r3b/sneCDRDSVEuTllTRTpCQUguSVFfRUJJVF9FWENMX1NCQy45OTQuMTQvMDYvMjAyNi4uLlVTRC5IAQAAAOlxAgACAAAABzcwNy42MzMBCAAAAAUAAAABMQEAAAALLTIwOTUxMjYwOTADAAAAAzE2MAIAAAAFMjQxMzQEAAAAATAHAAAACTYvMTQvMjAyNggAAAAJMy8zMS8yMDIwCQAAAAEwsQ0F2v7J3gi5iMbb/sneCDZDSVEuTllTRTpCQUguSVFfRUJJVERBX0VYQ0xfU0JDLjk5NC4xNC8wNi8yMDI2Li4uVVNELkgBAAAA6XECAAIAAAAHNzg4LjcxNAEIAAAABQAAAAExAQAAAAstMjA5NTEyNjA5MAMAAAADMTYw</t>
  </si>
  <si>
    <t>AgAAAAUyNDEzNQQAAAABMAcAAAAJNi8xNC8yMDI2CAAAAAkzLzMxLzIwMjAJAAAAATBMgwTa/sneCA8vxNv+yd4IN0NJUS5OWVNFOkJBSC5JUV9TVE9DS19CQVNFRF9DT0dTLjk5NC4xNC8wNi8yMDI2Li4uVVNELkgBAAAA6XECAAIAAAAGMTYuMjcyAQgAAAAFAAAAATEBAAAACy0yMDk1MTI2MDkwAwAAAAMxNjACAAAABTIyNjc0BAAAAAEwBwAAAAk2LzE0LzIwMjYIAAAACTMvMzEvMjAyMAkAAAABMNKjttn+yd4IzurX2/7J3gg6Q0lRLk5ZU0U6QkFILklRX05PTkNBU0hfUEVOU0lPTl9FWFAuOTk0LjE0LzA2LzIwMjYuLi5VU0QuSAEAAADpcQIAAwAAAAAA0qO22f7J3ghF1M3b/sneCClDSVEuTllTRTpCQUguSVFfUEVSSU9EREFURS45OTIuMTQvMDYvMjAyNgEAAADpcQIABQAAAAozMS8wMy8yMDE4AJuCA9r+yd4I/TQc3P7J3gguQ0lRLk5ZU0U6QkFILklRX0ZJTElOR19DVVJSRU5DWS45OTUuMTQvMDYvMjAyNgEAAADpcQIAAwAAAANVU0QA0qO22f7J3gj2DiHc/sneCC5DSVEuTllTRTpCQUguSVFfUEVSSU9ETEVOR1RIX0NGLjk5NS4xNC8wNi8yMDI2AQAAAOlxAgABAAAAAjEyAMOcf9n+yd4IKace3P7J3ggrQ0lRLk5ZU0U6QkFILklRX0JBU0lDX1dFSUdIVC45OTUuMTQvMDYvMjAyNgEAAADpcQIAAgAAAAoxMzcuNzIyNTg5AEyDBNr+yd4I/TQc3P7J3ggtQ0lRLk5ZU0U6QkFILklRX1JFU1RBVEVN</t>
  </si>
  <si>
    <t>RU5UX0lTLjk5NS4xNC8wNi8yMDI2AQAAAOlxAgADAAAAAk5DANKjttn+yd4IKace3P7J3gg4Q0lRLk5ZU0U6QkFILklRX0RJU1RSSUJVVEFCTEVfQ0FTSF9QQVlPVVQuOTk1LjE0LzA2LzIwMjYBAAAA6XECAAMAAAAAANKjttn+yd4IKace3P7J3ggrQ0lRLk5ZU0U6QkFILklRX0NBTENfVFlQRV9JUy45OTUuMTQvMDYvMjAyNgEAAADpcQIAAwAAAANSRVAA0qO22f7J3ggppx7c/sneCCtDSVEuTllTRTpCQUguSVFfRElMVVRfV0VJR0hULjk5NS4xNC8wNi8yMDI2AQAAAOlxAgACAAAACTEzOC43MDMyMgBMgwTa/sneCP00HNz+yd4IKUNJUS5OWVNFOkJBSC5JUV9TQU1FX1NUT1JFLjk5NS4xNC8wNi8yMDI2AQAAAOlxAgADAAAAAADSo7bZ/sneCP00HNz+yd4IK0NJUS5OWVNFOkJBSC5JUV9QQVlPVVRfUkFUSU8uOTk1LjE0LzA2LzIwMjYBAAAA6XECAAIAAAAHMjkuNzMzNwEIAAAABQAAAAExAQAAAAstMjA0MzIxNTM5MgMAAAADMTYwAgAAAAQ0Mzc3BAAAAAEwBwAAAAk2LzE0LzIwMjYIAAAACTMvMzEvMjAyMQkAAAABMNKjttn+yd4IKace3P7J3gguQ0lRLk5ZU0U6QkFILklRX1BFUklPRExFTkdUSF9JUy45OTUuMTQvMDYvMjAyNgEAAADpcQIAAQAAAAIxMgBMgwTa/sneCP00HNz+yd4IPkNJUS5OWVNFOkJBSC5JUV9ESVNUUklCVVRBQkxFX0NBU0hfU0hBUkVTX0JBU0lDLjk5NS4xNC8wNi8yMDI2AQAA</t>
  </si>
  <si>
    <t>AOlxAgADAAAAAABMgwTa/sneCP00HNz+yd4IQENJUS5OWVNFOkJBSC5JUV9ESVNUUklCVVRBQkxFX0NBU0hfU0hBUkVTX0RJTFVURUQuOTk1LjE0LzA2LzIwMjYBAAAA6XECAAMAAAAAAEyDBNr+yd4IKace3P7J3ggsQ0lRLk5ZU0U6QkFILklRX0ZJTElOR0RBVEVfSVMuOTk1LjE0LzA2LzIwMjYBAAAA6XECAAUAAAAKMjYvMDUvMjAyMwBMgwTa/sneCP00HNz+yd4IJkNJUS5OWVNFOkJBSC5JUV9HQUFQX0lTLjk5NS4xNC8wNi8yMDI2AQAAAOlxAgADAAAAB1VTIEdBQVAA0qO22f7J3ggppx7c/sneCC9DSVEuTllTRTpCQUguSVFfRFJfUkFUSU9fUFJJTUFSWS45OTUuMTQvMDYvMjAyNgEAAADpcQIAAwAAAAAATIME2v7J3gj9NBzc/sneCC5DSVEuTllTRTpCQUguSVFfRUZGRUNUX1RBWF9SQVRFLjk5NS4xNC8wNi8yMDI2AQAAAOlxAgACAAAABjguMDczMwEIAAAABQAAAAExAQAAAAstMjA0MzIxNTM5MgMAAAADMTYwAgAAAAQ0Mzc2BAAAAAEwBwAAAAk2LzE0LzIwMjYIAAAACTMvMzEvMjAyMQkAAAABMNKjttn+yd4IKace3P7J3gg4Q0lRLk5ZU0U6QkFILklRX1RPVEFMX0RJVl9QQUlEX0NGLjk5NS4xNC8wNi8yMDI2Li4uVVNELkgBAAAA6XECAAIAAAAILTE4MS4wNjYBCAAAAAUAAAABMQEAAAALLTIwNDMyMTUzOTIDAAAAAzE2MAIAAAAEMjAyMgQAAAABMAcAAAAJNi8xNC8yMDI2CAAAAAkzLzMxLzIw</t>
  </si>
  <si>
    <t>MjEJAAAAATDDnH/Z/sneCO335dv+yd4INUNJUS5OWVNFOkJBSC5JUV9TVF9ERUJUX0lTU1VFRC45OTUuMTQvMDYvMjAyNi4uLlVTRC5IAQAAAOlxAgADAAAAAAAk5n7Z/sneCI+x4tv+yd4INUNJUS5OWVNFOkJBSC5JUV9DSEFOR0VfREVGX1RBWC45OTUuMTQvMDYvMjAyNi4uLlVTRC5IAQAAAOlxAgADAAAAAAAk5n7Z/sneCARB4Nv+yd4IMENJUS5OWVNFOkJBSC5JUV9DSEFOR0VfQVAuOTk1LjE0LzA2LzIwMjYuLi5VU0QuSAEAAADpcQIAAgAAAActMzEuNTA2AQgAAAAFAAAAATEBAAAACy0yMDQzMjE1MzkyAwAAAAMxNjACAAAABDIwMTcEAAAAATAHAAAACTYvMTQvMjAyNggAAAAJMy8zMS8yMDIxCQAAAAEwJOZ+2f7J3ggEQeDb/sneCDVDSVEuTllTRTpCQUguSVFfR0FJTl9JTlZFU1RfQ0YuOTk1LjE0LzA2LzIwMjYuLi5VU0QuSAEAAADpcQIAAwAAAAAAPOR82f7J3ghg2d3b/sneCD1DSVEuTllTRTpCQUguSVFfU1RPQ0tfT1BUSU9OU19DT01QX1RBWC45OTUuMTQvMDYvMjAyNi4uLlVTRC5IAQAAAOlxAgADAAAAAAA85HzZ/sneCHT82Nv+yd4IOUNJUS5OWVNFOkJBSC5JUV9DT01NT05fUFJFRl9ESVZfQ0YuOTk1LjE0LzA2LzIwMjYuLi5VU0QuSAEAAADpcQIAAwAAAAAAw5x/2f7J3gjt9+Xb/sneCC9DSVEuTllTRTpCQUguSVFfUFJFRl9SRVAuOTk1LjE0LzA2LzIwMjYuLi5VU0QuSAEAAADpcQIA</t>
  </si>
  <si>
    <t>AwAAAAAAw5x/2f7J3gjt9+Xb/sneCDlDSVEuTllTRTpCQUguSVFfSU5WRVNUX1NFQ1VSSVRZX0NGLjk5NS4xNC8wNi8yMDI2Li4uVVNELkgBAAAA6XECAAIAAAAHLTc0LjE2OAEIAAAABQAAAAExAQAAAAstMjA0MzIxNTM5MgMAAAADMTYwAgAAAAQyMDI3BAAAAAEwBwAAAAk2LzE0LzIwMjYIAAAACTMvMzEvMjAyMQkAAAABMCTmftn+yd4Ij7Hi2/7J3ggxQ0lRLk5ZU0U6QkFILklRX0NBU0hfRklOQU4uOTk1LjE0LzA2LzIwMjYuLi5VU0QuSAEAAADpcQIAAgAAAAgtMzExLjM0NgEIAAAABQAAAAExAQAAAAstMjA0MzIxNTM5MgMAAAADMTYwAgAAAAQyMDA0BAAAAAEwBwAAAAk2LzE0LzIwMjYIAAAACTMvMzEvMjAyMQkAAAABMMOcf9n+yd4I7ffl2/7J3gg1Q0lRLk5ZU0U6QkFILklRX1NUX0RFQlRfUkVQQUlELjk5NS4xNC8wNi8yMDI2Li4uVVNELkgBAAAA6XECAAMAAAAAAMOcf9n+yd4Ij7Hi2/7J3ggsQ0lRLk5ZU0U6QkFILklRX0NBUEVYLjk5NS4xNC8wNi8yMDI2Li4uVVNELkgBAAAA6XECAAIAAAAGLTg3LjIxAQgAAAAFAAAAATEBAAAACy0yMDQzMjE1MzkyAwAAAAMxNjACAAAABDIwMjEEAAAAATAHAAAACTYvMTQvMjAyNggAAAAJMy8zMS8yMDIxCQAAAAEwJOZ+2f7J3ggEQeDb/sneCDpDSVEuTllTRTpCQUguSVFfVEFYX0JFTkVGSVRfT1BUSU9OUy45OTUuMTQvMDYvMjAyNi4uLlVTRC5IAQAA</t>
  </si>
  <si>
    <t>AOlxAgADAAAAAAAk5n7Z/sneCGDZ3dv+yd4INUNJUS5OWVNFOkJBSC5JUV9DUkVESVRfTE9TU19DRi45OTUuMTQvMDYvMjAyNi4uLlVTRC5IAQAAAOlxAgADAAAAAAB8H37Z/sneCGDZ3dv+yd4INENJUS5OWVNFOkJBSC5JUV9DT01NT05fRElWX0NGLjk5NS4xNC8wNi8yMDI2Li4uVVNELkgBAAAA6XECAAIAAAAILTE4MS4wNjYBCAAAAAUAAAABMQEAAAALLTIwNDMyMTUzOTIDAAAAAzE2MAIAAAAEMjA3NAQAAAABMAcAAAAJNi8xNC8yMDI2CAAAAAkzLzMxLzIwMjEJAAAAATDDnH/Z/sneCO335dv+yd4INkNJUS5OWVNFOkJBSC5JUV9JTlZFU1RfTE9BTlNfQ0YuOTk1LjE0LzA2LzIwMjYuLi5VU0QuSAEAAADpcQIAAwAAAAAAJOZ+2f7J3giPseLb/sneCDpDSVEuTllTRTpCQUguSVFfU0FMRV9SRUFMX0VTVEFURV9DRi45OTUuMTQvMDYvMjAyNi4uLlVTRC5IAQAAAOlxAgADAAAAAAAk5n7Z/sneCI+x4tv+yd4IPENJUS5OWVNFOkJBSC5JUV9DSEFOR0VfVFJBRElOR19BU1NFVFMuOTk1LjE0LzA2LzIwMjYuLi5VU0QuSAEAAADpcQIAAwAAAAAAJOZ+2f7J3ghg2d3b/sneCDJDSVEuTllTRTpCQUguSVFfT1RIRVJfQU1PUlQuOTk1LjE0LzA2LzIwMjYuLi5VU0QuSAEAAADpcQIAAgAAAAU0LjM5NQEIAAAABQAAAAExAQAAAAstMjA0MzIxNTM5MgMAAAADMTYwAgAAAAQyMDE0BAAAAAEwBwAAAAk2LzE0LzIw</t>
  </si>
  <si>
    <t>MjYIAAAACTMvMzEvMjAyMQkAAAABMDzkfNn+yd4IrHjc2/7J3ggyQ0lRLk5ZU0U6QkFILklRX1BSRUZfSVNTVUVELjk5NS4xNC8wNi8yMDI2Li4uVVNELkgBAAAA6XECAAMAAAAAAMOcf9n+yd4I7ffl2/7J3gg0Q0lRLk5ZU0U6QkFILklRX1NBTEVfSU5UQU5fQ0YuOTk1LjE0LzA2LzIwMjYuLi5VU0QuSAEAAADpcQIAAwAAAAAAJOZ+2f7J3giPseLb/sneCD5DSVEuTllTRTpCQUguSVFfT1RIRVJfRklOQU5DRV9BQ1RfU1VQUEwuOTk1LjE0LzA2LzIwMjYuLi5VU0QuSAEAAADpcQIAAgAAAActMTEuNjY5AQgAAAAFAAAAATEBAAAACy0yMDQzMjE1MzkyAwAAAAMxNjACAAAABDIwNTAEAAAAATAHAAAACTYvMTQvMjAyNggAAAAJMy8zMS8yMDIxCQAAAAEww5x/2f7J3gjt9+Xb/sneCDhDSVEuTllTRTpCQUguSVFfVE9UQUxfREVCVF9JU1NVRUQuOTk1LjE0LzA2LzIwMjYuLi5VU0QuSAEAAADpcQIAAgAAAAc2OTEuNDk2AQgAAAAFAAAAATEBAAAACy0yMDQzMjE1MzkyAwAAAAMxNjACAAAABDIxNjEEAAAAATAHAAAACTYvMTQvMjAyNggAAAAJMy8zMS8yMDIxCQAAAAEww5x/2f7J3giPseLb/sneCDJDSVEuTllTRTpCQUguSVFfQ0FTSF9JTlZFU1QuOTk1LjE0LzA2LzIwMjYuLi5VU0QuSAEAAADpcQIAAgAAAAgtMTU4LjI4NAEIAAAABQAAAAExAQAAAAstMjA0MzIxNTM5MgMAAAADMTYwAgAAAAQyMDA1BAAA</t>
  </si>
  <si>
    <t>AAEwBwAAAAk2LzE0LzIwMjYIAAAACTMvMzEvMjAyMQkAAAABMCTmftn+yd4Ij7Hi2/7J3ggxQ0lRLk5ZU0U6QkFILklRX05FVF9DSEFOR0UuOTk1LjE0LzA2LzIwMjYuLi5VU0QuSAEAAADpcQIAAgAAAAcyNDkuMDU0AQgAAAAFAAAAATEBAAAACy0yMDQzMjE1MzkyAwAAAAMxNjACAAAABDIwOTMEAAAAATAHAAAACTYvMTQvMjAyNggAAAAJMy8zMS8yMDIxCQAAAAEww5x/2f7J3ggFi+fb/sneCDJDSVEuTllTRTpCQUguSVFfUFJFRl9ESVZfQ0YuOTk1LjE0LzA2LzIwMjYuLi5VU0QuSAEAAADpcQIAAwAAAAAAw5x/2f7J3gjt9+Xb/sneCDhDSVEuTllTRTpCQUguSVFfQ0hBTkdFX1VORUFSTl9SRVYuOTk1LjE0LzA2LzIwMjYuLi5VU0QuSAEAAADpcQIAAwAAAAAAJOZ+2f7J3ggEQeDb/sneCDRDSVEuTllTRTpCQUguSVFfSU5DX0VRVUlUWV9DRi45OTUuMTQvMDYvMjAyNi4uLlVTRC5IAQAAAOlxAgADAAAAAAB8H37Z/sneCGDZ3dv+yd4IPENJUS5OWVNFOkJBSC5JUV9JTVBVVF9PUEVSX0xFQVNFX0RFUFIuOTk1LjE0LzA2LzIwMjYuLi5VU0QuSAEAAADpcQIAAgAAAAk2NC4yOTA2ODEBCAAAAAUAAAABMQEAAAALLTIwNDMyMTUzOTIDAAAAAzE2MAIAAAAFMjE2NzMEAAAAATAHAAAACTYvMTQvMjAyNggAAAAJMy8zMS8yMDIxCQAAAAEw0qO22f7J3giI69Lb/sneCDhDSVEuTllTRTpCQUguSVFfTkVUX1JF</t>
  </si>
  <si>
    <t>TlRBTF9FWFBfRk4uOTk1LjE0LzA2LzIwMjYuLi5VU0QuSAEAAADpcQIAAgAAAAY4NS4zMjUBCAAAAAUAAAABMQEAAAALLTIwNDMyMTUzOTIDAAAAAzE2MAIAAAAEMzE3MAQAAAABMAcAAAAJNi8xNC8yMDI2CAAAAAkzLzMxLzIwMjEJAAAAATDSo7bZ/sneCMhJ0Nv+yd4IMUNJUS5OWVNFOkJBSC5JUV9DT01NT05fRElWLjk5NS4xNC8wNi8yMDI2Li4uVVNELkgBAAAA6XECAAIAAAAHMTgxLjA2NgDSo7bZ/sneCEXUzdv+yd4IL0NJUS5OWVNFOkJBSC5JUV9ESUxVVF9OSS45OTUuMTQvMDYvMjAyNi4uLlVTRC5IAQAAAOlxAgACAAAABzYwNS40NTUBCAAAAAUAAAABMQEAAAALLTIwNDMyMTUzOTIDAAAAAzE2MAIAAAAEMzUyMgQAAAABMAcAAAAJNi8xNC8yMDI2CAAAAAkzLzMxLzIwMjEJAAAAATDSo7bZ/sneCEXUzdv+yd4ILkNJUS5OWVNFOkJBSC5JUV9OSV9TRkFTLjk5NS4xNC8wNi8yMDI2Li4uVVNELkgBAAAA6XECAAMAAAAAANKjttn+yd4Il/vI2/7J3gg8Q0lRLk5ZU0U6QkFILklRX0VCSVRBX0VRX0lOQ19FWENMX1NCQy45OTUuMTQvMDYvMjAyNi4uLlVTRC5IAQAAAOlxAgACAAAABzgyOS4yNzgBCAAAAAUAAAABMQEAAAALLTIwNDMyMTUzOTIDAAAAAzE2MAIAAAAFMjQxMzIEAAAAATAHAAAACTYvMTQvMjAyNggAAAAJMy8zMS8yMDIxCQAAAAEw0qO22f7J3gi5iMbb/sneCDRDSVEuTllTRTpCQUgu</t>
  </si>
  <si>
    <t>SVFfRUJJVF9FWENMX1NCQy45OTUuMTQvMDYvMjAyNi4uLlVTRC5IAQAAAOlxAgACAAAABzgwOS45NzgBCAAAAAUAAAABMQEAAAALLTIwNDMyMTUzOTIDAAAAAzE2MAIAAAAFMjQxMzQEAAAAATAHAAAACTYvMTQvMjAyNggAAAAJMy8zMS8yMDIxCQAAAAEwsQ0F2v7J3gi5iMbb/sneCDhDSVEuTllTRTpCQUguSVFfU1BFQ0lBTF9ESVZfU0hBUkUuOTk1LjE0LzA2LzIwMjYuLi5VU0QuSAEAAADpcQIAAwAAAAAATIME2v7J3ggPL8Tb/sneCDFDSVEuTllTRTpCQUguSVFfT0lMX0lNUEFJUi45OTUuMTQvMDYvMjAyNi4uLlVTRC5IAQAAAOlxAgADAAAAAAA85HzZ/sneCKx43Nv+yd4IMkNJUS5OWVNFOkJBSC5JUV9EQV9TVVBQTF9DRi45OTUuMTQvMDYvMjAyNi4uLlVTRC5IAQAAAOlxAgACAAAABjY1LjAxNQEIAAAABQAAAAExAQAAAAstMjA0MzIxNTM5MgMAAAADMTYwAgAAAAQyMTcxBAAAAAEwBwAAAAk2LzE0LzIwMjYIAAAACTMvMzEvMjAyMQkAAAABMDzkfNn+yd4I33Lb2/7J3ghAQ0lRLk5ZU0U6QkFILklRX1NUT0NLX09QVElPTlNfQ09NUF9QUkVUQVguOTk1LjE0LzA2LzIwMjYuLi5VU0QuSAEAAADpcQIAAgAAAAUyLjYyNQA85HzZ/sneCHT82Nv+yd4INUNJUS5OWVNFOkJBSC5JUV9TVE9DS19CQVNFRF9TTS45OTUuMTQvMDYvMjAyNi4uLlVTRC5IAQAAAOlxAgADAAAAAADSo7bZ/sneCBNg2Nv+yd4I</t>
  </si>
  <si>
    <t>MkNJUS5OWVNFOkJBSC5JUV9JUFJEX1NVUFBMRS45OTUuMTQvMDYvMjAyNi4uLlVTRC5IAQAAAOlxAgADAAAAAADSo7bZ/sneCMSG1dv+yd4IMENJUS5OWVNFOkJBSC5JUV9ESVZFU1RfQ0YuOTk1LjE0LzA2LzIwMjYuLi5VU0QuSAEAAADpcQIAAwAAAAAAJOZ+2f7J3ggEQeDb/sneCDBDSVEuTllTRTpCQUguSVFfQ0hBTkdFX0FSLjk5NS4xNC8wNi8yMDI2Li4uVVNELkgBAAAA6XECAAIAAAAGNDcuMDgxAQgAAAAFAAAAATEBAAAACy0yMDQzMjE1MzkyAwAAAAMxNjACAAAABDIwMTgEAAAAATAHAAAACTYvMTQvMjAyNggAAAAJMy8zMS8yMDIxCQAAAAEwJOZ+2f7J3ggEQeDb/sneCDtDSVEuTllTRTpCQUguSVFfUkVTVFJfU1RPQ0tfQ09NUF9UQVguOTk1LjE0LzA2LzIwMjYuLi5VU0QuSAEAAADpcQIAAwAAAAAAPOR82f7J3gh0/Njb/sneCDVDSVEuTllTRTpCQUguSVFfR0FJTl9BU1NFVFNfQ0YuOTk1LjE0LzA2LzIwMjYuLi5VU0QuSAEAAADpcQIAAgAAAAYtMy4zMjIBCAAAAAUAAAABMQEAAAALLTIwNDMyMTUzOTIDAAAAAzE2MAIAAAAEMjAyNgQAAAABMAcAAAAJNi8xNC8yMDI2CAAAAAkzLzMxLzIwMjEJAAAAATA85HzZ/sneCKx43Nv+yd4INENJUS5OWVNFOkJBSC5JUV9DT01NT05fSVNTVUVELjk5NS4xNC8wNi8yMDI2Li4uVVNELkgBAAAA6XECAAIAAAAGMzEuMTU1AQgAAAAFAAAAATEBAAAACy0y</t>
  </si>
  <si>
    <t>MDQzMjE1MzkyAwAAAAMxNjACAAAABDIxNjkEAAAAATAHAAAACTYvMTQvMjAyNggAAAAJMy8zMS8yMDIxCQAAAAEww5x/2f7J3ghAGeXb/sneCDlDSVEuTllTRTpCQUguSVFfQVNTRVRfV1JJVEVET1dOX0NGLjk5NS4xNC8wNi8yMDI2Li4uVVNELkgBAAAA6XECAAMAAAAAADzkfNn+yd4IYNnd2/7J3gg1Q0lRLk5ZU0U6QkFILklRX05FVF9SRU5UQUxfRVhQLjk5NS4xNC8wNi8yMDI2Li4uVVNELkgBAAAA6XECAAIAAAAGODUuMzI1AQgAAAAFAAAAATEBAAAACy0yMDQzMjE1MzkyAwAAAAMxNjACAAAABTI0MjYxBAAAAAEwBwAAAAk2LzE0LzIwMjYIAAAACTMvMzEvMjAyMQkAAAABMNKjttn+yd4IyEnQ2/7J3gg4Q0lRLk5ZU0U6QkFILklRX1NUT0NLX0JBU0VEX09USEVSLjk5NS4xNC8wNi8yMDI2Li4uVVNELkgBAAAA6XECAAMAAAAAADzkfNn+yd4IdPzY2/7J3gg3Q0lRLk5ZU0U6QkFILklRX0dBSU5fQkFSR0FJTl9BQ1EuOTk1LjE0LzA2LzIwMjYuLi5VU0QuSAEAAADpcQIAAwAAAAAA0qO22f7J3gjA7NXb/sneCEFDSVEuTllTRTpCQUguSVFfREVQUkVDSUFUSU9OX1JFTlRBTF9BU1NFVFMuOTk1LjE0LzA2LzIwMjYuLi5VU0QuSAEAAADpcQIAAwAAAAAA0qO22f7J3giI69Lb/sneCDpDSVEuTllTRTpCQUguSVFfTk9OQ0FTSF9QRU5TSU9OX0VYUC45OTUuMTQvMDYvMjAyNi4uLlVTRC5IAQAAAOlxAgAD</t>
  </si>
  <si>
    <t>AAAAAADSo7bZ/sneCEXUzdv+yd4IOkNJUS5OWVNFOkJBSC5JUV9DVVJSX0RPTUVTVElDX1RBWEVTLjk5NS4xNC8wNi8yMDI2Li4uVVNELkgBAAAA6XECAAIAAAAILTE4Ny43NjcBCAAAAAUAAAABMQEAAAALLTIwNDMyMTUzOTIDAAAAAzE2MAIAAAAEMzAyNwQAAAABMAcAAAAJNi8xNC8yMDI2CAAAAAkzLzMxLzIwMjEJAAAAATDSo7bZ/sneCJf7yNv+yd4IN0NJUS5OWVNFOkJBSC5JUV9FQklUREFSX0VYQ0xfU0JDLjk5NS4xNC8wNi8yMDI2Li4uVVNELkgBAAAA6XECAAIAAAAHOTc5LjYxOAEIAAAABQAAAAExAQAAAAstMjA0MzIxNTM5MgMAAAADMTYwAgAAAAUyNDEzNwQAAAABMAcAAAAJNi8xNC8yMDI2CAAAAAkzLzMxLzIwMjEJAAAAATDSo7bZ/sneCLmIxtv+yd4ILkNJUS5OWVNFOkJBSC5JUV9FQklUREFSLjk5NS4xNC8wNi8yMDI2Li4uVVNELkgBAAAA6XECAAIAAAAHOTE5Ljc3NAEIAAAABQAAAAExAQAAAAstMjA0MzIxNTM5MgMAAAADMTYwAgAAAAUyMTY3NAQAAAABMAcAAAAJNi8xNC8yMDI2CAAAAAkzLzMxLzIwMjEJAAAAATDSo7bZ/sneCLmIxtv+yd4INUNJUS5OWVNFOkJBSC5JUV9TUEVDSUFMX0RJVl9DRi45OTUuMTQvMDYvMjAyNi4uLlVTRC5IAQAAAOlxAgADAAAAAADDnH/Z/sneCO335dv+yd4IOENJUS5OWVNFOkJBSC5JUV9ORUdBVElWRV9HV19BTU9SVC45OTUuMTQvMDYvMjAyNi4u</t>
  </si>
  <si>
    <t>LlVTRC5IAQAAAOlxAgADAAAAAADSo7bZ/sneCMDs1dv+yd4IOENJUS5OWVNFOkJBSC5JUV9HV19JTlRBTl9BTU9SVF9DRi45OTUuMTQvMDYvMjAyNi4uLlVTRC5IAQAAAOlxAgACAAAABDE5LjMBCAAAAAUAAAABMQEAAAALLTIwNDMyMTUzOTIDAAAAAzE2MAIAAAAEMjE4MgQAAAABMAcAAAAJNi8xNC8yMDI2CAAAAAkzLzMxLzIwMjEJAAAAATA85HzZ/sneCKx43Nv+yd4ILENJUS5OWVNFOkJBSC5JUV9OSV9DRi45OTUuMTQvMDYvMjAyNi4uLlVTRC5IAQAAAOlxAgACAAAABzYwOC45NTgBCAAAAAUAAAABMQEAAAALLTIwNDMyMTUzOTIDAAAAAzE2MAIAAAAEMjE1MAQAAAABMAcAAAAJNi8xNC8yMDI2CAAAAAkzLzMxLzIwMjEJAAAAATA85HzZ/sneCN9y29v+yd4INkNJUS5OWVNFOkJBSC5JUV9TVE9DS19CQVNFRF9TR0EuOTk1LjE0LzA2LzIwMjYuLi5VU0QuSAEAAADpcQIAAwAAAAAAPOR82f7J3ghHrtjb/sneCDNDSVEuTllTRTpCQUguSVFfT1RIRVJfUkVOVEFMLjk5NS4xNC8wNi8yMDI2Li4uVVNELkgBAAAA6XECAAMAAAAAANKjttn+yd4IyEnQ2/7J3ggwQ0lRLk5ZU0U6QkFILklRX1JEX0VYUF9GTi45OTUuMTQvMDYvMjAyNi4uLlVTRC5IAQAAAOlxAgADAAAAAADSo7bZ/sneCMhJ0Nv+yd4ILkNJUS5OWVNFOkJBSC5JUV9OSV9OT1JNLjk5NS4xNC8wNi8yMDI2Li4uVVNELkgBAAAA6XECAAIAAAAK</t>
  </si>
  <si>
    <t>NDE0LjAyNDM3NQEIAAAABQAAAAExAQAAAAstMjA0MzIxNTM5MgMAAAADMTYwAgAAAAQ0Mzc4BAAAAAEwBwAAAAk2LzE0LzIwMjYIAAAACTMvMzEvMjAyMQkAAAABMNKjttn+yd4IlDbN2/7J3gg9Q0lRLk5ZU0U6QkFILklRX0RFRkVSUkVEX0ZPUkVJR05fVEFYRVMuOTk1LjE0LzA2LzIwMjYuLi5VU0QuSAEAAADpcQIAAwAAAAAA0qO22f7J3gg/asvb/sneCDxDSVEuTllTRTpCQUguSVFfVE9UQUxfUkVWX0FTX1JFUE9SVEVELjk5NS4xNC8wNi8yMDI2Li4uVVNELkgBAAAA6XECAAMAAAAAANKjttn+yd4Il/vI2/7J3gg7Q0lRLk5ZU0U6QkFILklRX0VCSVRfRVFfSU5DX0VYQ0xfU0JDLjk5NS4xNC8wNi8yMDI2Li4uVVNELkgBAAAA6XECAAIAAAAHODA5Ljk3OAEIAAAABQAAAAExAQAAAAstMjA0MzIxNTM5MgMAAAADMTYwAgAAAAUyNDEzMAQAAAABMAcAAAAJNi8xNC8yMDI2CAAAAAkzLzMxLzIwMjEJAAAAATCxDQXa/sneCLmIxtv+yd4IP0NJUS5OWVNFOkJBSC5JUV9ESVNUUklCVVRBQkxFX0NBU0hfU0hBUkUuOTk1LjE0LzA2LzIwMjYuLi5VU0QuSAEAAADpcQIAAwAAAAAATIME2v7J3ggPL8Tb/sneCDVDSVEuTllTRTpCQUguSVFfQkFTSUNfRVBTX0VYQ0wuOTk1LjE0LzA2LzIwMjYuLi5VU0QuSAEAAADpcQIAAgAAAAg0LjM5NjA2MQEIAAAABQAAAAExAQAAAAstMjA0MzIxNTM5MgMAAAADMTYwAgAA</t>
  </si>
  <si>
    <t>AAQzMDY0BAAAAAEwBwAAAAk2LzE0LzIwMjYIAAAACTMvMzEvMjAyMQkAAAABMEyDBNr+yd4I2KnB2/7J3gg1Q0lRLk5ZU0U6QkFILklRX01JU0NfQURKVVNUX0NGLjk5NS4xNC8wNi8yMDI2Li4uVVNELkgBAAAA6XECAAMAAAAAAMOcf9n+yd4IBYvn2/7J3gg2Q0lRLk5ZU0U6QkFILklRX0NBU0hfQUNRVUlSRV9DRi45OTUuMTQvMDYvMjAyNi4uLlVTRC5IAQAAAOlxAgADAAAAAAAk5n7Z/sneCARB4Nv+yd4ILENJUS5OWVNFOkJBSC5JUV9EQV9DRi45OTUuMTQvMDYvMjAyNi4uLlVTRC5IAQAAAOlxAgACAAAABjg0LjMxNQEIAAAABQAAAAExAQAAAAstMjA0MzIxNTM5MgMAAAADMTYwAgAAAAQyMTYwBAAAAAEwBwAAAAk2LzE0LzIwMjYIAAAACTMvMzEvMjAyMQkAAAABMDzkfNn+yd4IrHjc2/7J3gg7Q0lRLk5ZU0U6QkFILklRX1NUT0NLX0JBU0VEX0NPTVBfVEFYLjk5NS4xNC8wNi8yMDI2Li4uVVNELkgBAAAA6XECAAMAAAAAADzkfNn+yd4I33Lb2/7J3gg5Q0lRLk5ZU0U6QkFILklRX1NUT0NLX09QVElPTlNfQ09NUC45OTUuMTQvMDYvMjAyNi4uLlVTRC5IAQAAAOlxAgADAAAAAAA85HzZ/sneCHT82Nv+yd4IPUNJUS5OWVNFOkJBSC5JUV9BU1NFVF9XUklURURPV05fU1VQUExFLjk5NS4xNC8wNi8yMDI2Li4uVVNELkgBAAAA6XECAAMAAAAAANKjttn+yd4IeFfV2/7J3gg7Q0lRLk5ZU0U6QkFILklR</t>
  </si>
  <si>
    <t>X09USEVSX1VOVVNVQUxfU1VQUExFLjk5NS4xNC8wNi8yMDI2Li4uVVNELkgBAAAA6XECAAIAAAAGLTAuNTc3AQgAAAAFAAAAATEBAAAACy0yMDQzMjE1MzkyAwAAAAMxNjACAAAABTMzMzkzBAAAAAEwBwAAAAk2LzE0LzIwMjYIAAAACTMvMzEvMjAyMQkAAAABMNKjttn+yd4IwOzV2/7J3gg+Q0lRLk5ZU0U6QkFILklRX0VYUExPUkVfRFJJTExfRVhQX1RPVEFMLjk5NS4xNC8wNi8yMDI2Li4uVVNELkgBAAAA6XECAAMAAAAAANKjttn+yd4IiOvS2/7J3ggqQ0lRLk5ZU0U6QkFILklRX0RJQy45OTUuMTQvMDYvMjAyNi4uLlVTRC5IAQAAAOlxAgADAAAAAADSo7bZ/sneCEXUzdv+yd4ISENJUS5OWVNFOkJBSC5JUV9JTlRFUkVTVF9FWFBfTEVBU0VfTElBQklMSVRZX0RFQlQuOTk1LjE0LzA2LzIwMjYuLi5VU0QuSAEAAADpcQIAAwAAAAAA0qO22f7J3ghF1M3b/sneCD5DSVEuTllTRTpCQUguSVFfRVhDSVNFX1RBWEVTX0VYQ0xfU0FMRVMuOTk1LjE0LzA2LzIwMjYuLi5VU0QuSAEAAADpcQIAAwAAAAAA0qO22f7J3giX+8jb/sneCDVDSVEuTllTRTpCQUguSVFfRUJJVERBUl9FUV9JTkMuOTk1LjE0LzA2LzIwMjYuLi5VU0QuSAEAAADpcQIAAgAAAAgxMDA1LjA5OQEIAAAABQAAAAExAQAAAAstMjA0MzIxNTM5MgMAAAADMTYwAgAAAAUyNDEyOQQAAAABMAcAAAAJNi8xNC8yMDI2CAAAAAkzLzMxLzIwMjEJ</t>
  </si>
  <si>
    <t>AAAAATDSo7bZ/sneCLmIxtv+yd4INkNJUS5OWVNFOkJBSC5JUV9FQklUREFfRVhDTF9TQkMuOTk1LjE0LzA2LzIwMjYuLi5VU0QuSAEAAADpcQIAAgAAAAc4OTQuMjkzAQgAAAAFAAAAATEBAAAACy0yMDQzMjE1MzkyAwAAAAMxNjACAAAABTI0MTM1BAAAAAEwBwAAAAk2LzE0LzIwMjYIAAAACTMvMzEvMjAyMQkAAAABMEyDBNr+yd4IDy/E2/7J3ggtQ0lRLk5ZU0U6QkFILklRX0VCSVREQS45OTUuMTQvMDYvMjAyNi4uLlVTRC5IAQAAAOlxAgACAAAABzgzNC40NDkBCAAAAAUAAAABMQEAAAALLTIwNDMyMTUzOTIDAAAAAzE2MAIAAAAENDA1MQQAAAABMAcAAAAJNi8xNC8yMDI2CAAAAAkzLzMxLzIwMjEJAAAAATBMgwTa/sneCA8vxNv+yd4IOENJUS5OWVNFOkJBSC5JUV9UT1RBTF9ERUJUX1JFUEFJRC45OTUuMTQvMDYvMjAyNi4uLlVTRC5IAQAAAOlxAgACAAAACC01MjcuODY1AQgAAAAFAAAAATEBAAAACy0yMDQzMjE1MzkyAwAAAAMxNjACAAAABDIxNjYEAAAAATAHAAAACTYvMTQvMjAyNggAAAAJMy8zMS8yMDIxCQAAAAEww5x/2f7J3ghAGeXb/sneCD1DSVEuTllTRTpCQUguSVFfT1RIRVJfSU5WRVNUX0FDVF9TVVBQTC45OTUuMTQvMDYvMjAyNi4uLlVTRC5IAQAAAOlxAgADAAAAAAAk5n7Z/sneCI+x4tv+yd4INUNJUS5OWVNFOkJBSC5JUV9TVE9DS19CQVNFRF9BVC45OTUuMTQvMDYvMjAyNi4u</t>
  </si>
  <si>
    <t>LlVTRC5IAQAAAOlxAgADAAAAAAA85HzZ/sneCHT82Nv+yd4IKUNJUS5OWVNFOkJBSC5JUV9GWC45OTUuMTQvMDYvMjAyNi4uLlVTRC5IAQAAAOlxAgADAAAAAADDnH/Z/sneCAWL59v+yd4ILENJUS5OWVNFOkJBSC5JUV9ET19DRi45OTUuMTQvMDYvMjAyNi4uLlVTRC5IAQAAAOlxAgADAAAAAAAk5n7Z/sneCGDZ3dv+yd4INENJUS5OWVNFOkJBSC5JUV9NRVJHRVJfU1VQUExFLjk5NS4xNC8wNi8yMDI2Li4uVVNELkgBAAAA6XECAAIAAAAGLTAuNDExAQgAAAAFAAAAATEBAAAACy0yMDQzMjE1MzkyAwAAAAMxNjACAAAABTI0NDU1BAAAAAEwBwAAAAk2LzE0LzIwMjYIAAAACTMvMzEvMjAyMQkAAAABMNKjttn+yd4IiOvS2/7J3gg2Q0lRLk5ZU0U6QkFILklRX1NBTEVTX01BUktFVElORy45OTUuMTQvMDYvMjAyNi4uLlVTRC5IAQAAAOlxAgADAAAAAADSo7bZ/sneCMhJ0Nv+yd4IQENJUS5OWVNFOkJBSC5JUV9TVE9DS19CQVNFRF9FWFBMT1JFX0RSSUxMLjk5NS4xNC8wNi8yMDI2Li4uVVNELkgBAAAA6XECAAMAAAAAADzkfNn+yd4IdPzY2/7J3gg4Q0lRLk5ZU0U6QkFILklRX0lOU19TRVRUTEVfU1VQUExFLjk5NS4xNC8wNi8yMDI2Li4uVVNELkgBAAAA6XECAAMAAAAAANKjttn+yd4IwOzV2/7J3gg0Q0lRLk5ZU0U6QkFILklRX0FJUkNSQUZUX1JFTlQuOTk1LjE0LzA2LzIwMjYuLi5VU0QuSAEAAADp</t>
  </si>
  <si>
    <t>cQIAAwAAAAAA0qO22f7J3giI69Lb/sneCD5DSVEuTllTRTpCQUguSVFfU0FMQVJJRVNfT1RIRVJfQkVORUZJVFMuOTk1LjE0LzA2LzIwMjYuLi5VU0QuSAEAAADpcQIAAwAAAAAA0qO22f7J3giI69Lb/sneCDdDSVEuTllTRTpCQUguSVFfSU5UX0VYUF9JTkNMX0NBUC45OTUuMTQvMDYvMjAyNi4uLlVTRC5IAQAAAOlxAgACAAAABTgxLjI3AQgAAAAFAAAAATEBAAAACy0yMDQzMjE1MzkyAwAAAAMxNjACAAAABTIxODYxBAAAAAEwBwAAAAk2LzE0LzIwMjYIAAAACTMvMzEvMjAyMQkAAAABMNKjttn+yd4IRdTN2/7J3gg7Q0lRLk5ZU0U6QkFILklRX0NBUElUQUxJWkVEX0lOVEVSRVNULjk5NS4xNC8wNi8yMDI2Li4uVVNELkgBAAAA6XECAAMAAAAAANKjttn+yd4IRdTN2/7J3gg2Q0lRLk5ZU0U6QkFILklRX0lOVEVSRVNUX0lOQ09NRS45OTUuMTQvMDYvMjAyNi4uLlVTRC5IAQAAAOlxAgADAAAAAADSo7bZ/sneCJf7yNv+yd4INUNJUS5OWVNFOkJBSC5JUV9FQklUQV9FWENMX1NCQy45OTUuMTQvMDYvMjAyNi4uLlVTRC5IAQAAAOlxAgACAAAABzgyOS4yNzgBCAAAAAUAAAABMQEAAAALLTIwNDMyMTUzOTIDAAAAAzE2MAIAAAAFMjQxMzYEAAAAATAHAAAACTYvMTQvMjAyNggAAAAJMy8zMS8yMDIxCQAAAAEw0qO22f7J3gi5iMbb/sneCDRDSVEuTllTRTpCQUguSVFfRUJJVERBX0VRX0lOQy45OTUuMTQv</t>
  </si>
  <si>
    <t>MDYvMjAyNi4uLlVTRC5IAQAAAOlxAgACAAAABzkxOS43NzQBCAAAAAUAAAABMQEAAAALLTIwNDMyMTUzOTIDAAAAAzE2MAIAAAAFMjE2NzcEAAAAATAHAAAACTYvMTQvMjAyNggAAAAJMy8zMS8yMDIxCQAAAAEwTIME2v7J3ggPL8Tb/sneCDVDSVEuTllTRTpCQUguSVFfTFRfREVCVF9JU1NVRUQuOTk1LjE0LzA2LzIwMjYuLi5VU0QuSAEAAADpcQIAAgAAAAc2OTEuNDk2AQgAAAAFAAAAATEBAAAACy0yMDQzMjE1MzkyAwAAAAMxNjACAAAABDIwMzQEAAAAATAHAAAACTYvMTQvMjAyNggAAAAJMy8zMS8yMDIxCQAAAAEww5x/2f7J3giPseLb/sneCDBDSVEuTllTRTpCQUguSVFfQ0FTSF9PUEVSLjk5NS4xNC8wNi8yMDI2Li4uVVNELkgBAAAA6XECAAIAAAAHNzE4LjY4NAEIAAAABQAAAAExAQAAAAstMjA0MzIxNTM5MgMAAAADMTYwAgAAAAQyMDA2BAAAAAEwBwAAAAk2LzE0LzIwMjYIAAAACTMvMzEvMjAyMQkAAAABMCTmftn+yd4IBEHg2/7J3gg1Q0lRLk5ZU0U6QkFILklRX0NIQU5HRV9JTkNfVEFYLjk5NS4xNC8wNi8yMDI2Li4uVVNELkgBAAAA6XECAAIAAAAILTM2My4zOTYBCAAAAAUAAAABMQEAAAALLTIwNDMyMTUzOTIDAAAAAzE2MAIAAAAEMjEwMQQAAAABMAcAAAAJNi8xNC8yMDI2CAAAAAkzLzMxLzIwMjEJAAAAATAk5n7Z/sneCARB4Nv+yd4IN0NJUS5OWVNFOkJBSC5JUV9TVE9DS19CQVNF</t>
  </si>
  <si>
    <t>RF9DT01QLjk5NS4xNC8wNi8yMDI2Li4uVVNELkgBAAAA6XECAAMAAAAAADzkfNn+yd4I33Lb2/7J3gg+Q0lRLk5ZU0U6QkFILklRX1NUT0NLX0JBU0VEX0NPTVBfUFJFVEFYLjk5NS4xNC8wNi8yMDI2Li4uVVNELkgBAAAA6XECAAIAAAAGNTkuODQ0ADzkfNn+yd4I33Lb2/7J3gg7Q0lRLk5ZU0U6QkFILklRX1RPVEFMX1VOVVNVQUxfU1VQUExFLjk5NS4xNC8wNi8yMDI2Li4uVVNELkgBAAAA6XECAAIAAAAGLTAuOTg4AQgAAAAFAAAAATEBAAAACy0yMDQzMjE1MzkyAwAAAAMxNjACAAAABTMzMzkwBAAAAAEwBwAAAAk2LzE0LzIwMjYIAAAACTMvMzEvMjAyMQkAAAABMNKjttn+yd4IwOzV2/7J3gg1Q0lRLk5ZU0U6QkFILklRX1NUT0NLX0JBU0VEX0dBLjk5NS4xNC8wNi8yMDI2Li4uVVNELkgBAAAA6XECAAIAAAAGMzIuMTYyAQgAAAAFAAAAATEBAAAACy0yMDQzMjE1MzkyAwAAAAMxNjACAAAABTIyNjc1BAAAAAEwBwAAAAk2LzE0LzIwMjYIAAAACTMvMzEvMjAyMQkAAAABMNKjttn+yd4IFIfY2/7J3gg1Q0lRLk5ZU0U6QkFILklRX01JTklNVU1fUkVOVEFMLjk5NS4xNC8wNi8yMDI2Li4uVVNELkgBAAAA6XECAAMAAAAAANKjttn+yd4IyEnQ2/7J3ggtQ0lRLk5ZU0U6QkFILklRX0dBX0VYUC45OTUuMTQvMDYvMjAyNi4uLlVTRC5IAQAAAOlxAgACAAAABzk1MS41MDkBCAAAAAUAAAABMQEAAAALLTIw</t>
  </si>
  <si>
    <t>NDMyMTUzOTIDAAAAAzE2MAIAAAAFMjE1NjIEAAAAATAHAAAACTYvMTQvMjAyNggAAAAJMy8zMS8yMDIxCQAAAAEw0qO22f7J3gjISdDb/sneCDJDSVEuTllTRTpCQUguSVFfQURWRVJUSVNJTkcuOTk1LjE0LzA2LzIwMjYuLi5VU0QuSAEAAADpcQIAAwAAAAAA0qO22f7J3gjISdDb/sneCEZDSVEuTllTRTpCQUguSVFfRElTVFJJQlVUQUJMRV9DQVNIX1NUQU5EQVJESVpFRC45OTUuMTQvMDYvMjAyNi4uLlVTRC5IAQAAAOlxAgADAAAAAADSo7bZ/sneCEXUzdv+yd4IPkNJUS5OWVNFOkJBSC5JUV9ERUZFUlJFRF9ET01FU1RJQ19UQVhFUy45OTUuMTQvMDYvMjAyNi4uLlVTRC5IAQAAAOlxAgACAAAABzIzMS45OTgBCAAAAAUAAAABMQEAAAALLTIwNDMyMTUzOTIDAAAAAzE2MAIAAAAEMzA1NAQAAAABMAcAAAAJNi8xNC8yMDI2CAAAAAkzLzMxLzIwMjEJAAAAATDSo7bZ/sneCD9qy9v+yd4INUNJUS5OWVNFOkJBSC5JUV9TVE9DS19CQVNFRF9DRi45OTUuMTQvMDYvMjAyNi4uLlVTRC5IAQAAAOlxAgACAAAABjU5Ljg0NAEIAAAABQAAAAExAQAAAAstMjA0MzIxNTM5MgMAAAADMTYwAgAAAAQyMTI3BAAAAAEwBwAAAAk2LzE0LzIwMjYIAAAACTMvMzEvMjAyMQkAAAABMHwfftn+yd4IYNnd2/7J3gg3Q0lRLk5ZU0U6QkFILklRX1JFU1RSX1NUT0NLX0NPTVAuOTk1LjE0LzA2LzIwMjYuLi5VU0QuSAEAAADp</t>
  </si>
  <si>
    <t>cQIAAwAAAAAAPOR82f7J3gh0/Njb/sneCDpDSVEuTllTRTpCQUguSVFfTEVHQUxfU0VUVExFX1NVUFBMRS45OTUuMTQvMDYvMjAyNi4uLlVTRC5IAQAAAOlxAgADAAAAAADSo7bZ/sneCMDs1dv+yd4IP0NJUS5OWVNFOkJBSC5JUV9JTVBVVF9PUEVSX0xFQVNFX0lOVF9FWFAuOTk1LjE0LzA2LzIwMjYuLi5VU0QuSAEAAADpcQIAAgAAAAkyMS4wMzQzMTkBCAAAAAUAAAABMQEAAAALLTIwNDMyMTUzOTIDAAAAAzE2MAIAAAAFMjE2NzIEAAAAATAHAAAACTYvMTQvMjAyNggAAAAJMy8zMS8yMDIxCQAAAAEw0qO22f7J3giI69Lb/sneCDVDSVEuTllTRTpCQUguSVFfRElMVVRfRVBTX0VYQ0wuOTk1LjE0LzA2LzIwMjYuLi5VU0QuSAEAAADpcQIAAgAAAAg0LjM2NTExMQEIAAAABQAAAAExAQAAAAstMjA0MzIxNTM5MgMAAAADMTYwAgAAAAMxNDIEAAAAATAHAAAACTYvMTQvMjAyNggAAAAJMy8zMS8yMDIxCQAAAAEwTIME2v7J3gjYqcHb/sneCDFDSVEuTllTRTpCQUguSVFfQ09NTU9OX1JFUC45OTUuMTQvMDYvMjAyNi4uLlVTRC5IAQAAAOlxAgACAAAACC0zMTMuMzk3AQgAAAAFAAAAATEBAAAACy0yMDQzMjE1MzkyAwAAAAMxNjACAAAABDIxNjQEAAAAATAHAAAACTYvMTQvMjAyNggAAAAJMy8zMS8yMDIxCQAAAAEww5x/2f7J3gjt9+Xb/sneCDVDSVEuTllTRTpCQUguSVFfTFRfREVCVF9SRVBBSUQuOTk1</t>
  </si>
  <si>
    <t>LjE0LzA2LzIwMjYuLi5VU0QuSAEAAADpcQIAAgAAAAgtNTI3Ljg2NQEIAAAABQAAAAExAQAAAAstMjA0MzIxNTM5MgMAAAADMTYwAgAAAAQyMDM2BAAAAAEwBwAAAAk2LzE0LzIwMjYIAAAACTMvMzEvMjAyMQkAAAABMMOcf9n+yd4IQBnl2/7J3gg4Q0lRLk5ZU0U6QkFILklRX1BST1ZfQkFEX0RFQlRTX0NGLjk5NS4xNC8wNi8yMDI2Li4uVVNELkgBAAAA6XECAAMAAAAAACTmftn+yd4IYNnd2/7J3gg7Q0lRLk5ZU0U6QkFILklRX01JTk9SSVRZX0lOVEVSRVNUX0NGLjk5NS4xNC8wNi8yMDI2Li4uVVNELkgBAAAA6XECAAMAAAAAADzkfNn+yd4IrHjc2/7J3ggyQ0lRLk5ZU0U6QkFILklRX0lOVF9FWFBfTFRELjk5NS4xNC8wNi8yMDI2Li4uVVNELkgBAAAA6XECAAIAAAAGNjAuNzEyAQgAAAAFAAAAATEBAAAACy0yMDQzMjE1MzkyAwAAAAMxNjACAAAABDMxMDEEAAAAATAHAAAACTYvMTQvMjAyNggAAAAJMy8zMS8yMDIxCQAAAAEw0qO22f7J3ghF1M3b/sneCDhDSVEuTllTRTpCQUguSVFfSU5WRVNUTUVOVF9JTkNPTUUuOTk1LjE0LzA2LzIwMjYuLi5VU0QuSAEAAADpcQIAAwAAAAAA0qO22f7J3giX+8jb/sneCEBDSVEuTllTRTpCQUguSVFfRUFSTklOR19QQVJFTlRfRVhDTF9FWFRSQS45OTUuMTQvMDYvMjAyNi4uLlVTRC5IAQAAAOlxAgACAAAABzYwOC45NTgBCAAAAAUAAAABMQEAAAALLTIwNDMy</t>
  </si>
  <si>
    <t>MTUzOTIDAAAAAzE2MAIAAAAFNDE1OTYEAAAAATAHAAAACTYvMTQvMjAyNggAAAAJMy8zMS8yMDIxCQAAAAEw0qO22f7J3giX+8jb/sneCDNDSVEuTllTRTpCQUguSVFfRUJJVEFfRVFfSU5DLjk5NS4xNC8wNi8yMDI2Li4uVVNELkgBAAAA6XECAAIAAAAHNzY5LjQzNAEIAAAABQAAAAExAQAAAAstMjA0MzIxNTM5MgMAAAADMTYwAgAAAAUyMTY3NgQAAAABMAcAAAAJNi8xNC8yMDI2CAAAAAkzLzMxLzIwMjEJAAAAATDSo7bZ/sneCLmIxtv+yd4IMkNJUS5OWVNFOkJBSC5JUV9TQUxFX1BQRV9DRi45OTUuMTQvMDYvMjAyNi4uLlVTRC5IAQAAAOlxAgACAAAABTMuMDk0AQgAAAAFAAAAATEBAAAACy0yMDQzMjE1MzkyAwAAAAMxNjACAAAABDIwNDIEAAAAATAHAAAACTYvMTQvMjAyNggAAAAJMy8zMS8yMDIxCQAAAAEwJOZ+2f7J3ggEQeDb/sneCENDSVEuTllTRTpCQUguSVFfQ0hBTkdFX09USEVSX05FVF9PUEVSX0FTU0VUUy45OTUuMTQvMDYvMjAyNi4uLlVTRC5IAQAAAOlxAgACAAAABjEzLjg3NgEIAAAABQAAAAExAQAAAAstMjA0MzIxNTM5MgMAAAADMTYwAgAAAAQyMDQ1BAAAAAEwBwAAAAk2LzE0LzIwMjYIAAAACTMvMzEvMjAyMQkAAAABMCTmftn+yd4IBEHg2/7J3gg+Q0lRLk5ZU0U6QkFILklRX1JFU1RSX1NUT0NLX0NPTVBfUFJFVEFYLjk5NS4xNC8wNi8yMDI2Li4uVVNELkgBAAAA6XECAAIA</t>
  </si>
  <si>
    <t>AAAGNTcuMjE5ADzkfNn+yd4IdPzY2/7J3gg1Q0lRLk5ZU0U6QkFILklRX1NUT0NLX0JBU0VEX1JELjk5NS4xNC8wNi8yMDI2Li4uVVNELkgBAAAA6XECAAMAAAAAANKjttn+yd4I8RHY2/7J3gg5Q0lRLk5ZU0U6QkFILklRX1JFU1RSVUNUVVJFX1NVUFBMRS45OTUuMTQvMDYvMjAyNi4uLlVTRC5IAQAAAOlxAgADAAAAAADSo7bZ/sneCIjr0tv+yd4IPENJUS5OWVNFOkJBSC5JUV9ORVRfUkVOVEFMX0VYUF9TVVBQTEUuOTk1LjE0LzA2LzIwMjYuLi5VU0QuSAEAAADpcQIAAwAAAAAA0qO22f7J3gjISdDb/sneCDdDSVEuTllTRTpCQUguSVFfQ0hBTkdFX0lOVkVOVE9SWS45OTUuMTQvMDYvMjAyNi4uLlVTRC5IAQAAAOlxAgADAAAAAAAk5n7Z/sneCARB4Nv+yd4IL0NJUS5OWVNFOkJBSC5JUV9MT0FOU19DRi45OTUuMTQvMDYvMjAyNi4uLlVTRC5IAQAAAOlxAgADAAAAAAB8H37Z/sneCGDZ3dv+yd4IPkNJUS5OWVNFOkJBSC5JUV9HQUlOX0JBUkdBSU5fQUNRX1NVUFBMRS45OTUuMTQvMDYvMjAyNi4uLlVTRC5IAQAAAOlxAgADAAAAAADSo7bZ/sneCMDs1dv+yd4IMENJUS5OWVNFOkJBSC5JUV9NQVJLRVRJTkcuOTk1LjE0LzA2LzIwMjYuLi5VU0QuSAEAAADpcQIAAwAAAAAA0qO22f7J3gjISdDb/sneCDBDSVEuTllTRTpCQUguSVFfREFfRUJJVERBLjk5NS4xNC8wNi8yMDI2Li4uVVNELkgBAAAA6XEC</t>
  </si>
  <si>
    <t>AAIAAAAGODQuMzE1AQgAAAAFAAAAATEBAAAACy0yMDQzMjE1MzkyAwAAAAMxNjACAAAABDIyMDYEAAAAATAHAAAACTYvMTQvMjAyNggAAAAJMy8zMS8yMDIxCQAAAAEw0qO22f7J3ghF1M3b/sneCDlDSVEuTllTRTpCQUguSVFfQ1VSUl9GT1JFSUdOX1RBWEVTLjk5NS4xNC8wNi8yMDI2Li4uVVNELkgBAAAA6XECAAIAAAAEOS4yNQEIAAAABQAAAAExAQAAAAstMjA0MzIxNTM5MgMAAAADMTYwAgAAAAQzMDMwBAAAAAEwBwAAAAk2LzE0LzIwMjYIAAAACTMvMzEvMjAyMQkAAAABMNKjttn+yd4IP2rL2/7J3ggzQ0lRLk5ZU0U6QkFILklRX0VCSVREQV9DQVBFWC45OTUuMTQvMDYvMjAyNi4uLlVTRC5IAQAAAOlxAgACAAAABzc0Ny4yMzkBCAAAAAUAAAABMQEAAAALLTIwNDMyMTUzOTIDAAAAAzE2MAIAAAAFMzUzNzkEAAAAATAHAAAACTYvMTQvMjAyNggAAAAJMy8zMS8yMDIxCQAAAAEw0qO22f7J3gi5iMbb/sneCDVDSVEuTllTRTpCQUguSVFfT1RIRVJfT1BFUl9BQ1QuOTk1LjE0LzA2LzIwMjYuLi5VU0QuSAEAAADpcQIAAgAAAAcyOTguNDM5AQgAAAAFAAAAATEBAAAACy0yMDQzMjE1MzkyAwAAAAMxNjACAAAABDIwNDcEAAAAATAHAAAACTYvMTQvMjAyNggAAAAJMy8zMS8yMDIxCQAAAAEwJOZ+2f7J3ghg2d3b/sneCDtDSVEuTllTRTpCQUguSVFfTkVHQVRJVkVfR1dfQU1PUlRfQVQuOTk1LjE0LzA2</t>
  </si>
  <si>
    <t>LzIwMjYuLi5VU0QuSAEAAADpcQIAAwAAAAAA0qO22f7J3ghHddfb/sneCDdDSVEuTllTRTpCQUguSVFfU1RPQ0tfQkFTRURfQ09HUy45OTUuMTQvMDYvMjAyNi4uLlVTRC5IAQAAAOlxAgACAAAABjI3LjY4MgEIAAAABQAAAAExAQAAAAstMjA0MzIxNTM5MgMAAAADMTYwAgAAAAUyMjY3NAQAAAABMAcAAAAJNi8xNC8yMDI2CAAAAAkzLzMxLzIwMjEJAAAAATDSo7bZ/sneCM7q19v+yd4INUNJUS5OWVNFOkJBSC5JUV9ESUxVVF9FUFNfTk9STS45OTUuMTQvMDYvMjAyNi4uLlVTRC5IAQAAAOlxAgACAAAACDIuOTg0OTY1AQgAAAAFAAAAATEBAAAACy0yMDQzMjE1MzkyAwAAAAMxNjACAAAABDQzODAEAAAAATAHAAAACTYvMTQvMjAyNggAAAAJMy8zMS8yMDIxCQAAAAEwTIME2v7J3gjYqcHb/sneCDNDSVEuTllTRTpCQUguSVFfTUFJTlRfUkVQQUlSLjk5NS4xNC8wNi8yMDI2Li4uVVNELkgBAAAA6XECAAMAAAAAANKjttn+yd4IiOvS2/7J3ggxQ0lRLk5ZU0U6QkFILklRX0NVUlJfVEFYRVMuOTk1LjE0LzA2LzIwMjYuLi5VU0QuSAEAAADpcQIAAgAAAAgtMTc4LjUxNwEIAAAABQAAAAExAQAAAAstMjA0MzIxNTM5MgMAAAADMTYwAgAAAAUzNTM4MwQAAAABMAcAAAAJNi8xNC8yMDI2CAAAAAkzLzMxLzIwMjEJAAAAATDSo7bZ/sneCD9qy9v+yd4IMkNJUS5OWVNFOkJBSC5JUV9FQklUX0VRX0lOQy45OTUu</t>
  </si>
  <si>
    <t>MTQvMDYvMjAyNi4uLlVTRC5IAQAAAOlxAgACAAAABzc1MC4xMzQBCAAAAAUAAAABMQEAAAALLTIwNDMyMTUzOTIDAAAAAzE2MAIAAAAFMjE2NzUEAAAAATAHAAAACTYvMTQvMjAyNggAAAAJMy8zMS8yMDIxCQAAAAEwsQ0F2v7J3ggPL8Tb/sneCD1DSVEuTllTRTpCQUguSVFfRUJJVERBX0VRX0lOQ19FWENMX1NCQy45OTUuMTQvMDYvMjAyNi4uLlVTRC5IAQAAAOlxAgACAAAABzg5NC4yOTMBCAAAAAUAAAABMQEAAAALLTIwNDMyMTUzOTIDAAAAAzE2MAIAAAAFMjQxMzEEAAAAATAHAAAACTYvMTQvMjAyNggAAAAJMy8zMS8yMDIxCQAAAAEwTIME2v7J3ggPL8Tb/sneCDRDSVEuTllTRTpCQUguSVFfTklfQVZBSUxfSU5DTC45OTUuMTQvMDYvMjAyNi4uLlVTRC5IAQAAAOlxAgACAAAABzYwNS40MzcBCAAAAAUAAAABMQEAAAALLTIwNDMyMTUzOTIDAAAAAzE2MAIAAAACMTYEAAAAATAHAAAACTYvMTQvMjAyNggAAAAJMy8zMS8yMDIxCQAAAAEwTIME2v7J3ghCP7/b/sneCDZDSVEuTllTRTpCQUguSVFfRVhUUkFfQUNDX0lURU1TLjk5NS4xNC8wNi8yMDI2Li4uVVNELkgBAAAA6XECAAMAAAAAAEyDBNr+yd4I38282/7J3gg9Q0lRLk5ZU0U6QkFILklRX0FOTlVfRElTVFJJQlVUSU9OX1VOSVQuOTk1LjE0LzA2LzIwMjYuLi5VU0QuSAEAAADpcQIAAwAAAAAA0qO22f7J3ghF1M3b/sneCD5DSVEuTllTRTpC</t>
  </si>
  <si>
    <t>QUguSVFfTEVBU0VfQURKVVNUTUVOVF9FQklUREEuOTk1LjE0LzA2LzIwMjYuLi5VU0QuSAEAAADpcQIAAgAAAAY4NS4zMjUATIME2v7J3ggPL8Tb/sneCDBDSVEuTllTRTpCQUguSVFfRElWX1NIQVJFLjk5NS4xNC8wNi8yMDI2Li4uVVNELkgBAAAA6XECAAIAAAADMS4zAQgAAAAFAAAAATEBAAAACy0yMDQzMjE1MzkyAwAAAAMxNjACAAAABDMwNTgEAAAAATAHAAAACTYvMTQvMjAyNggAAAAJMy8zMS8yMDIxCQAAAAEwTIME2v7J3gjYqcHb/sneCClDSVEuTllTRTpCQUguSVFfTkkuOTk1LjE0LzA2LzIwMjYuLi5VU0QuSAEAAADpcQIAAgAAAAc2MDguOTU4AQgAAAAFAAAAATEBAAAACy0yMDQzMjE1MzkyAwAAAAMxNjACAAAAAjE1BAAAAAEwBwAAAAk2LzE0LzIwMjYIAAAACTMvMzEvMjAyMQkAAAABMEyDBNr+yd4IJ/K92/7J3gg2Q0lRLk5ZU0U6QkFILklRX1RPVEFMX1JFVl9TSEFSRS45OTUuMTQvMDYvMjAyNi4uLlVTRC5IAQAAAOlxAgACAAAACTU3LjA2MzUzNgEIAAAABQAAAAExAQAAAAstMjA0MzIxNTM5MgMAAAADMTYwAgAAAAQ0MzgyBAAAAAEwBwAAAAk2LzE0LzIwMjYIAAAACTMvMzEvMjAyMQkAAAABMEyDBNr+yd4I2KnB2/7J3gg6Q0lRLk5ZU0U6QkFILklRX0xJQUJJTElUSUVTX0xFVkVMXzMuOTkyLjE0LzA2LzIwMjYuLi5VU0QuSAEAAADpcQIAAgAAAAUzLjU3NgCGKxTZ/sneCA2TEtz+</t>
  </si>
  <si>
    <t>yd4IPENJUS5OWVNFOkJBSC5JUV9ERUJUX0VRVUlWX09QRVJfTEVBU0UuOTkwLjE0LzA2LzIwMjYuLi5VU0QuSAEAAADpcQIAAgAAAAM3MDgBCAAAAAUAAAABMQEAAAAKMTg5MTM0Nzg2OQMAAAADMTYwAgAAAAUyMTY3MQQAAAABMAcAAAAJNi8xNC8yMDI2CAAAAAkzLzMxLzIwMTYJAAAAATCGKxTZ/sneCPn1FNz+yd4IOUNJUS5OWVNFOkJBSC5JUV9GSU5fRElWX0NBU0hfRVFVSVYuOTk4LjE0LzA2LzIwMjYuLi5VU0QuSAEAAADpcQIAAwAAAAAAhisU2f7J3ggNkxLc/sneCDlDSVEuTllTRTpCQUguSVFfRklOX0RJVl9ERUJUX1RPVEFMLjk5Mi4xNC8wNi8yMDI2Li4uVVNELkgBAAAA6XECAAMAAAAAAIYrFNn+yd4IDZMS3P7J3ghEQ0lRLk5ZU0U6QkFILklRX0NVUlJFTlRfUE9SVF9ERUJUX0RFUklWQVRJVkVTLjk5Mi4xNC8wNi8yMDI2Li4uVVNELkgBAAAA6XECAAMAAAAAAIYrFNn+yd4I+fUU3P7J3gg+Q0lRLk5ZU0U6QkFILklRX0NPTlRJTkdFTlRfTElBQklMSVRJRVMuMTAwMC4xNC8wNi8yMDI2Li4uVVNELkgBAAAA6XECAAIAAAABMwEIAAAABQAAAAExAQAAAAstMTg4NzcwNDk3NwMAAAADMTYwAgAAAAUyNDY3MQQAAAABMAcAAAAJNi8xNC8yMDI2CAAAAAkzLzMxLzIwMjYJAAAAATCGKxTZ/sneCCr4QN3+yd4INENJUS5OWVNFOkJBSC5JUV9PUkRFUl9CQUNLTE9HLjk5NC4xNC8wNi8yMDI2Li4u</t>
  </si>
  <si>
    <t>VVNELkgBAAAA6XECAAIAAAAFMjA3MjkBCAAAAAUAAAABMQEAAAALLTIwOTUxMjYwOTADAAAAAzE2MAIAAAAEMzEyNQQAAAABMAcAAAAJNi8xNC8yMDI2CAAAAAkzLzMxLzIwMjAJAAAAATCGKxTZ/sneCPn1FNz+yd4IPENJUS5OWVNFOkJBSC5JUV9SRVNUUklDVEVEX0NBU0hfVE9UQUwuOTkwLjE0LzA2LzIwMjYuLi5VU0QuSAEAAADpcQIAAwAAAAAAhisU2f7J3gj59RTc/sneCC9DSVEuTllTRTpCQUguSVFfR1JPU1NfR1cuOTk0LjE0LzA2LzIwMjYuLi5VU0QuSAEAAADpcQIAAwAAAAAAhisU2f7J3ghHZxfc/sneCDlDSVEuTllTRTpCQUguSVFfR1JPU1NfSU5UQU5fQVNTRVRTLjk5MC4xNC8wNi8yMDI2Li4uVVNELkgBAAAA6XECAAIAAAAHMzk5Ljk1OQEIAAAABQAAAAExAQAAAAoxODkxMzQ3ODY5AwAAAAMxNjACAAAABTI0MjkzBAAAAAEwBwAAAAk2LzE0LzIwMjYIAAAACTMvMzEvMjAxNgkAAAABMIYrFNn+yd4IR2cX3P7J3ghAQ0lRLk5ZU0U6QkFILklRX0RFUklWQVRJVkVfQVNTRVRTX0NVUlJFTlQuOTk2LjE0LzA2LzIwMjYuLi5VU0QuSAEAAADpcQIAAwAAAAAAhisU2f7J3ghHZxfc/sneCEJDSVEuTllTRTpCQUguSVFfREVSSVZBVElWRV9MSUFCX05PTl9DVVJSRU5ULjk5Mi4xNC8wNi8yMDI2Li4uVVNELkgBAAAA6XECAAMAAAAAAIYrFNn+yd4IR2cX3P7J3gg6Q0lRLk5ZU0U6QkFILklRX0xU</t>
  </si>
  <si>
    <t>X0RFQlRfREVSSVZBVElWRVMuOTk4LjE0LzA2LzIwMjYuLi5VU0QuSAEAAADpcQIAAwAAAAAAhisU2f7J3ghHZxfc/sneCDZDSVEuTllTRTpCQUguSVFfSU5URVJDT01QQU5ZX0NMLjk5Ni4xNC8wNi8yMDI2Li4uVVNELkgBAAAA6XECAAMAAAAAAIYrFNn+yd4Ils4Z3P7J3gg2Q0lRLk5ZU0U6QkFILklRX0lOVEVSQ09NUEFOWV9DQS45OTIuMTQvMDYvMjAyNi4uLlVTRC5IAQAAAOlxAgADAAAAAACGKxTZ/sneCJbOGdz+yd4ILUNJUS5OWVNFOkJBSC5JUV9HV19ORVQuOTk4LjE0LzA2LzIwMjYuLi5VU0QuSAEAAADpcQIAAgAAAAQyMzQ0AQgAAAAFAAAAATEBAAAACy0xODg3NzA0OTkzAwAAAAMxNjACAAAABTQ4OTYwBAAAAAEwBwAAAAk2LzE0LzIwMjYIAAAACTMvMzEvMjAyNAkAAAABMIYrFNn+yd4Ils4Z3P7J3gg8Q0lRLk5ZU0U6QkFILklRX0FEVkFOQ0VTX0ZPUl9TVVBQTElFUy45OTQuMTQvMDYvMjAyNi4uLlVTRC5IAQAAAOlxAgADAAAAAACGKxTZ/sneCJbOGdz+yd4INkNJUS5OWVNFOkJBSC5JUV9BQ0NVTV9BTU9SVF9HVy4xMDAwLjE0LzA2LzIwMjYuLi5VU0QuSAEAAADpcQIAAwAAAAAAhisU2f7J3ggq+EDd/sneCClDSVEuTllTRTpCQUguSVFfQUQuOTkxLjE0LzA2LzIwMjYuLi5VU0QuSAEAAADpcQIAAgAAAAgtMjcyLjY1MwEIAAAABQAAAAExAQAAAAoxOTY1NzcyNDIyAwAAAAMxNjACAAAA</t>
  </si>
  <si>
    <t>BDEwNzUEAAAAATAHAAAACTYvMTQvMjAyNggAAAAJMy8zMS8yMDE3CQAAAAEw2V2B2f7J3givXvXb/sneCDhDSVEuTllTRTpCQUguSVFfREVGX1RBWF9BU1NFVFNfTFQuOTkzLjE0LzA2LzIwMjYuLi5VU0QuSAEAAADpcQIAAwAAAAAA2V2B2f7J3ghuzffb/sneCCxDSVEuTllTRTpCQUguSVFfQVJfTFQuOTk5LjE0LzA2LzIwMjYuLi5VU0QuSAEAAADpcQIAAgAAAAI1OAEIAAAABQAAAAExAQAAAAstMTg4NzcwNTAwMQMAAAADMTYwAgAAAAQxMDg4BAAAAAEwBwAAAAk2LzE0LzIwMjYIAAAACTMvMzEvMjAyNQkAAAABMNldgdn+yd4I+9ZF3f7J3gg4Q0lRLk5ZU0U6QkFILklRX0ZJTl9ESVZfQVNTRVRTX0xULjk5My4xNC8wNi8yMDI2Li4uVVNELkgBAAAA6XECAAMAAAAAANldgdn+yd4Ibs332/7J3ggqQ0lRLk5ZU0U6QkFILklRX0dXLjIwMDAuMTQvMDYvMjAyNi4uLlVTRC5IAQAAAOlxAgACAAAABDIzOTkBCAAAAAUAAAABMQEAAAALLTE4ODc3MDQzNDEDAAAAAzE2MAIAAAAEMTE3MQQAAAABMAcAAAAJNi8xNC8yMDI2CAAAAAkzLzMxLzIwMjYJAAAAATDZXYHZ/sneCG7N99v+yd4IMENJUS5OWVNFOkJBSC5JUV9MVF9JTlZFU1QuOTk1LjE0LzA2LzIwMjYuLi5VU0QuSAEAAADpcQIAAwAAAAAA2V2B2f7J3givXvXb/sneCDtDSVEuTllTRTpCQUguSVFfRklOX0RJVl9ERUJUX0NVUlJFTlQuOTk1LjE0LzA2</t>
  </si>
  <si>
    <t>LzIwMjYuLi5VU0QuSAEAAADpcQIAAwAAAAAA2V2B2f7J3ghvrvzb/sneCDlDSVEuTllTRTpCQUguSVFfQ1VSUkVOVF9QT1JUX0RFQlQuMjAwMC4xNC8wNi8yMDI2Li4uVVNELkgBAAAA6XECAAIAAAACMTkBCAAAAAUAAAABMQEAAAALLTE4ODc3MDQzNDEDAAAAAzE2MAIAAAAEMTI5NwQAAAABMAcAAAAJNi8xNC8yMDI2CAAAAAkzLzMxLzIwMjYJAAAAATDZXYHZ/sneCG+u/Nv+yd4ILkNJUS5OWVNFOkJBSC5JUV9TVF9ERUJULjk5NS4xNC8wNi8yMDI2Li4uVVNELkgBAAAA6XECAAMAAAAAANldgdn+yd4Ib6782/7J3ggpQ0lRLk5ZU0U6QkFILklRX0FQLjk5MS4xNC8wNi8yMDI2Li4uVVNELkgBAAAA6XECAAIAAAAGMjY4LjYzAQgAAAAFAAAAATEBAAAACjE5NjU3NzI0MjIDAAAAAzE2MAIAAAAEMTAxOAQAAAABMAcAAAAJNi8xNC8yMDI2CAAAAAkzLzMxLzIwMTcJAAAAATDZXYHZ/sneCMD/+tv+yd4INkNJUS5OWVNFOkJBSC5JUV9PVEhFUl9MVF9BU1NFVFMuOTk3LjE0LzA2LzIwMjYuLi5VU0QuSAEAAADpcQIAAgAAAAcyMTguODMxAQgAAAAFAAAAATEBAAAACy0xOTQxNTQ2ODcxAwAAAAMxNjACAAAABDEwNjAEAAAAATAHAAAACTYvMTQvMjAyNggAAAAJMy8zMS8yMDIzCQAAAAEw2V2B2f7J3ghuzffb/sneCDZDSVEuTllTRTpCQUguSVFfRklOX0RJVl9ERUJUX0xULjk5Ny4xNC8wNi8yMDI2Li4uVVNE</t>
  </si>
  <si>
    <t>LkgBAAAA6XECAAMAAAAAANldgdn+yd4IZRf/2/7J3gg3Q0lRLk5ZU0U6QkFILklRX0xPTkdfVEVSTV9MRUFTRVMuOTkxLjE0LzA2LzIwMjYuLi5VU0QuSAEAAADpcQIAAwAAAAAA2V2B2f7J3ghlF//b/sneCC9DSVEuTllTRTpCQUguSVFfVE9UQUxfQ0wuOTk3LjE0LzA2LzIwMjYuLi5VU0QuSAEAAADpcQIAAgAAAAgxODk3LjA1NAEIAAAABQAAAAExAQAAAAstMTk0MTU0Njg3MQMAAAADMTYwAgAAAAQxMDA5BAAAAAEwBwAAAAk2LzE0LzIwMjYIAAAACTMvMzEvMjAyMwkAAAABMNldgdn+yd4IZRf/2/7J3gg7Q0lRLk5ZU0U6QkFILklRX0RFRl9UQVhfTElBQl9DVVJSRU5ULjk5My4xNC8wNi8yMDI2Li4uVVNELkgBAAAA6XECAAMAAAAAANldgdn+yd4Ib6782/7J3gg6Q0lRLk5ZU0U6QkFILklRX0lOQ19UQVhfUEFZX0NVUlJFTlQuOTk5LjE0LzA2LzIwMjYuLi5VU0QuSAEAAADpcQIAAwAAAAAA2V2B2f7J3gj71kXd/sneCDNDSVEuTllTRTpCQUguSVFfUFJFRl9DT05WRVJULjk5OS4xNC8wNi8yMDI2Li4uVVNELkgBAAAA6XECAAMAAAAAAHxfRtn+yd4IYCVE3f7J3gg2Q0lRLk5ZU0U6QkFILklRX1BSRUZfTk9OX1JFREVFTS45OTMuMTQvMDYvMjAyNi4uLlVTRC5IAQAAAOlxAgADAAAAAADZXYHZ/sneCGUX/9v+yd4IMUNJUS5OWVNFOkJBSC5JUV9UT1RBTF9MSUFCLjk5OS4xNC8wNi8yMDI2Li4uVVNE</t>
  </si>
  <si>
    <t>LkgBAAAA6XECAAIAAAAENjMwOQEIAAAABQAAAAExAQAAAAstMTg4NzcwNTAwMQMAAAADMTYwAgAAAAQxMjc2BAAAAAEwBwAAAAk2LzE0LzIwMjYIAAAACTMvMzEvMjAyNQkAAAABMNldgdn+yd4IYCVE3f7J3gg2Q0lRLk5ZU0U6QkFILklRX0RFRl9UQVhfTElBQl9MVC45OTUuMTQvMDYvMjAyNi4uLlVTRC5IAQAAAOlxAgACAAAABzM2NC40NjEBCAAAAAUAAAABMQEAAAALLTIwNDMyMTUzOTIDAAAAAzE2MAIAAAAEMTAyNwQAAAABMAcAAAAJNi8xNC8yMDI2CAAAAAkzLzMxLzIwMjEJAAAAATDZXYHZ/sneCGUX/9v+yd4INUNJUS5OWVNFOkJBSC5JUV9VTkVBUk5fUkVWX0xULjIwMDAuMTQvMDYvMjAyNi4uLlVTRC5IAQAAAOlxAgADAAAAAADZXYHZ/sneCGUX/9v+yd4IOUNJUS5OWVNFOkJBSC5JUV9NSU5PUklUWV9JTlRFUkVTVC4yMDAwLjE0LzA2LzIwMjYuLi5VU0QuSAEAAADpcQIAAwAAAAAAfF9G2f7J3ghqhgHc/sneCDpDSVEuTllTRTpCQUguSVFfVE9UQUxfQ09NTU9OX0VRVUlUWS45OTUuMTQvMDYvMjAyNi4uLlVTRC5IAQAAAOlxAgACAAAACDEwNzEuMTc2AQgAAAAFAAAAATEBAAAACy0yMDQzMjE1MzkyAwAAAAMxNjACAAAABDEwMDYEAAAAATAHAAAACTYvMTQvMjAyNggAAAAJMy8zMS8yMDIxCQAAAAEwfF9G2f7J3ghqhgHc/sneCDBDSVEuTllTRTpCQUguSVFfVFJFQVNVUlkuMjAwMC4xNC8w</t>
  </si>
  <si>
    <t>Ni8yMDI2Li4uVVNELkgBAAAA6XECAAIAAAAFLTM2NzMBCAAAAAUAAAABMQEAAAALLTE4ODc3MDQzNDEDAAAAAzE2MAIAAAAEMTI0OAQAAAABMAcAAAAJNi8xNC8yMDI2CAAAAAkzLzMxLzIwMjYJAAAAATB8X0bZ/sneCGqGAdz+yd4IK0NJUS5OWVNFOkJBSC5JUV9BUElDLjk5Ny4xNC8wNi8yMDI2Li4uVVNELkgBAAAA6XECAAIAAAAGNzY5LjQ2AQgAAAAFAAAAATEBAAAACy0xOTQxNTQ2ODcxAwAAAAMxNjACAAAABDEwODQEAAAAATAHAAAACTYvMTQvMjAyNggAAAAJMy8zMS8yMDIzCQAAAAEwfF9G2f7J3ghqhgHc/sneCC1DSVEuTllTRTpCQUguSVFfQ09NTU9OLjk5MS4xNC8wNi8yMDI2Li4uVVNELkgBAAAA6XECAAIAAAAFMS41NTkBCAAAAAUAAAABMQEAAAAKMTk2NTc3MjQyMgMAAAADMTYwAgAAAAQxMTAzBAAAAAEwBwAAAAk2LzE0LzIwMjYIAAAACTMvMzEvMjAxNwkAAAABMHxfRtn+yd4IaoYB3P7J3ghEQ0lRLk5ZU0U6QkFILklRX1JVQV9PUEVSQVRJTkdfTEVBU0VfQUNDVU1fREVQLjk5MS4xNC8wNi8yMDI2Li4uVVNELkgBAAAA6XECAAMAAAAAAHxfRtn+yd4IS4wF3P7J3gg8Q0lRLk5ZU0U6QkFILklRX1JVQV9DQVBJVEFMX0xFQVNFX05FVC45OTcuMTQvMDYvMjAyNi4uLlVTRC5IAQAAAOlxAgADAAAAAAB8X0bZ/sneCAE+Bdz+yd4IQkNJUS5OWVNFOkJBSC5JUV9SVUFfQ0FQSVRBTF9MRUFT</t>
  </si>
  <si>
    <t>RV9BQ0NVTV9ERVAuOTkxLjE0LzA2LzIwMjYuLi5VU0QuSAEAAADpcQIAAwAAAAAAfF9G2f7J3giY7wTc/sneCDRDSVEuTllTRTpCQUguSVFfUlVBX0FDQ1VNX0RFUC45OTkuMTQvMDYvMjAyNi4uLlVTRC5IAQAAAOlxAgADAAAAAAB8X0bZ/sneCGAlRN3+yd4IMENJUS5OWVNFOkJBSC5JUV9SVUFfR1JPU1MuOTkzLjE0LzA2LzIwMjYuLi5VU0QuSAEAAADpcQIAAwAAAAAAfF9G2f7J3ghMOwTc/sneCEhDSVEuTllTRTpCQUguSVFfTFRfUE9SVElPTl9PUEVSX0xFQVNFX0xJQUJJTElUSUVTLjk5My4xNC8wNi8yMDI2Li4uVVNELkgBAAAA6XECAAMAAAAAAHxfRtn+yd4I5MsG3P7J3gg7Q0lRLk5ZU0U6QkFILklRX1RPVEFMX0ZJTkFOQ0VfTEVBU0VTLjk5OS4xNC8wNi8yMDI2Li4uVVNELkgBAAAA6XECAAMAAAAAAHxfRtn+yd4IYCVE3f7J3gg/Q0lRLk5ZU0U6QkFILklRX0ZJTkFOQ0VfTEVBU0VTX0xPTkdfVEVSTS45OTMuMTQvMDYvMjAyNi4uLlVTRC5IAQAAAOlxAgADAAAAAAB8X0bZ/sneCOTLBtz+yd4IO0NJUS5OWVNFOkJBSC5JUV9BRF9FWENMX09QRVJfTEVBU0VTLjIwMDAuMTQvMDYvMjAyNi4uLlVTRC5IAQAAAOlxAgACAAAABC0zMTgBCAAAAAUAAAABMQEAAAALLTE4ODc3MDQzNDEDAAAAAzE2MAIAAAAFNDg5NzUEAAAAATAHAAAACTYvMTQvMjAyNggAAAAJMy8zMS8yMDI2CQAAAAEwfF9G2f7J</t>
  </si>
  <si>
    <t>3gijYwbc/sneCDxDSVEuTllTRTpCQUguSVFfR1BQRV9FWENMX09QRVJfTEVBU0VTLjk5NS4xNC8wNi8yMDI2Li4uVVNELkgBAAAA6XECAAIAAAAHNDQwLjEzMwEIAAAABQAAAAExAQAAAAstMjA0MzIxNTM5MgMAAAADMTYwAgAAAAU0ODk3NAQAAAABMAcAAAAJNi8xNC8yMDI2CAAAAAkzLzMxLzIwMjEJAAAAATB8X0bZ/sneCN0oBtz+yd4IL0NJUS5OWVNFOkJBSC5JUV9CVl9TSEFSRS45OTUuMTQvMDYvMjAyNi4uLlVTRC5IAQAAAOlxAgACAAAACDcuODYyMDcxAQgAAAAFAAAAATEBAAAACy0yMDQzMjE1MzkyAwAAAAMxNjACAAAABDQwMjAEAAAAATAHAAAACTYvMTQvMjAyNggAAAAJMy8zMS8yMDIxCQAAAAEwSkdH2f7J3gjkywbc/sneCD1DSVEuTllTRTpCQUguSVFfVE9UQUxfREVCVF9FWENMX0xFQVNFUy45OTUuMTQvMDYvMjAyNi4uLlVTRC5IAQAAAOlxAgACAAAACDIzOTQuNzU4AQgAAAAFAAAAATEBAAAACy0yMDQzMjE1MzkyAwAAAAMxNjACAAAABTQ4OTkyBAAAAAEwBwAAAAk2LzE0LzIwMjYIAAAACTMvMzEvMjAyMQkAAAABMHxfRtn+yd4I5MsG3P7J3ghTQ0lRLk5ZU0U6QkFILklRX0ZJTkFOQ0lOR19PQkxJR19OT05fQ1VSUkVOVF9FWENMX09QRVJfTEVBU0VTLjk5MS4xNC8wNi8yMDI2Li4uVVNELkgBAAAA6XECAAIAAAAIMTQ3MC4xNzQBCAAAAAUAAAABMQEAAAAKMTk2NTc3MjQyMgMAAAAD</t>
  </si>
  <si>
    <t>MTYwAgAAAAU0ODk4MQQAAAABMAcAAAAJNi8xNC8yMDI2CAAAAAkzLzMxLzIwMTcJAAAAATB8X0bZ/sneCOTLBtz+yd4IM0NJUS5OWVNFOkJBSC5JUV9UT1RBTF9MRUFTRVMuOTk3LjE0LzA2LzIwMjYuLi5VU0QuSAEAAADpcQIAAgAAAAcyNDkuMzgyAQgAAAAFAAAAATEBAAAACy0xOTQxNTQ2ODcxAwAAAAMxNjACAAAABTQ4OTc5BAAAAAEwBwAAAAk2LzE0LzIwMjYIAAAACTMvMzEvMjAyMwkAAAABMHxfRtn+yd4I5MsG3P7J3gg9Q0lRLk5ZU0U6QkFILklRX1RPVEFMX0RFQlRfTk9OX0NVUlJFTlQuOTk3LjE0LzA2LzIwMjYuLi5VU0QuSAEAAADpcQIAAgAAAAgyOTcwLjQwOAEIAAAABQAAAAExAQAAAAstMTk0MTU0Njg3MQMAAAADMTYwAgAAAAUyNTIyNAQAAAABMAcAAAAJNi8xNC8yMDI2CAAAAAkzLzMxLzIwMjMJAAAAATBKR0fZ/sneCJHICNz+yd4IOUNJUS5OWVNFOkJBSC5JUV9UT1RBTF9ERUJUX0NVUlJFTlQuOTkxLjE0LzA2LzIwMjYuLi5VU0QuSAEAAADpcQIAAgAAAAYyNzMuMTUBCAAAAAUAAAABMQEAAAAKMTk2NTc3MjQyMgMAAAADMTYwAgAAAAUyNTIyMwQAAAABMAcAAAAJNi8xNC8yMDI2CAAAAAkzLzMxLzIwMTcJAAAAATBKR0fZ/sneCJHICNz+yd4IMUNJUS5OWVNFOkJBSC5JUV9DQVNIX1NIQVJFLjk5Ny4xNC8wNi8yMDI2Li4uVVNELkgBAAAA6XECAAIAAAAHMy4wNzU1OAEIAAAABQAA</t>
  </si>
  <si>
    <t>AAExAQAAAAstMTk0MTU0Njg3MQMAAAADMTYwAgAAAAQ0MzgxBAAAAAEwBwAAAAk2LzE0LzIwMjYIAAAACTMvMzEvMjAyMwkAAAABMEpHR9n+yd4IkcgI3P7J3ggqQ0lRLk5ZU0U6QkFILklRX1RCVi45OTMuMTQvMDYvMjAyNi4uLlVTRC5IAQAAAOlxAgACAAAACS0xMTkyLjg0NQEIAAAABQAAAAExAQAAAAoyMDk5MDg3MTMzAwAAAAMxNjACAAAABDEzMTAEAAAAATAHAAAACTYvMTQvMjAyNggAAAAJMy8zMS8yMDE5CQAAAAEwSkdH2f7J3giRyAjc/sneCDBDSVEuTllTRTpCQUguSVFfVEJWX1NIQVJFLjk5OS4xNC8wNi8yMDI2Li4uVVNELkgBAAAA6XECAAIAAAAKLTE1LjczNTIzMQEIAAAABQAAAAExAQAAAAstMTg4NzcwNTAwMQMAAAADMTYwAgAAAAQ0MTU2BAAAAAEwBwAAAAk2LzE0LzIwMjYIAAAACTMvMzEvMjAyNQkAAAABMEpHR9n+yd4IYCVE3f7J3ggyQ0lRLk5ZU0U6QkFILklRX0FSX1VOQklMTEVELjk5My4xNC8wNi8yMDI2Li4uVVNELkgBAAAA6XECAAIAAAAHODQ2LjM3MgEIAAAABQAAAAExAQAAAAoyMDk5MDg3MTMzAwAAAAMxNjACAAAABTQ1NDIwBAAAAAEwBwAAAAk2LzE0LzIwMjYIAAAACTMvMzEvMjAxOQkAAAABMEpHR9n+yd4I4T0L3P7J3gg3Q0lRLk5ZU0U6QkFILklRX0FMTE9XX0RPVUJUX0FDQ1QuOTk5LjE0LzA2LzIwMjYuLi5VU0QuSAEAAADpcQIAAgAAAAExAQgAAAAFAAAAATEB</t>
  </si>
  <si>
    <t>AAAACy0xODg3NzA1MDAxAwAAAAMxNjACAAAABDMwMTIEAAAAATAHAAAACTYvMTQvMjAyNggAAAAJMy8zMS8yMDI1CQAAAAEwSkdH2f7J3ghgJUTd/sneCDJDSVEuTllTRTpCQUguSVFfV09SS0lOR19DQVAuOTk1LjE0LzA2LzIwMjYuLi5VU0QuSAEAAADpcQIAAgAAAAgxMzQ1LjA2NwEIAAAABQAAAAExAQAAAAstMjA0MzIxNTM5MgMAAAADMTYwAgAAAAQ0MTY1BAAAAAEwBwAAAAk2LzE0LzIwMjYIAAAACTMvMzEvMjAyMQkAAAABMEpHR9n+yd4IBT8K3P7J3gg/Q0lRLk5ZU0U6QkFILklRX01JTk9SSVRZX0lOVEVSRVNUX1RPVEFMLjIwMDAuMTQvMDYvMjAyNi4uLlVTRC5IAQAAAOlxAgADAAAAAABKR0fZ/sneCAU/Ctz+yd4IMENJUS5OWVNFOkJBSC5JUV9TT0ZUV0FSRS4yMDAwLjE0LzA2LzIwMjYuLi5VU0QuSAEAAADpcQIAAwAAAAAASkdH2f7J3ghuqg3c/sneCDBDSVEuTllTRTpCQUguSVFfTUFDSElORVJZLjk5NS4xNC8wNi8yMDI2Li4uVVNELkgBAAAA6XECAAIAAAAHMjE1LjAwMQEIAAAABQAAAAExAQAAAAstMjA0MzIxNTM5MgMAAAADMTYwAgAAAAQzMTE0BAAAAAEwBwAAAAk2LzE0LzIwMjYIAAAACTMvMzEvMjAyMQkAAAABMEpHR9n+yd4I4T0L3P7J3ggsQ0lRLk5ZU0U6QkFILklRX0xBTkQuMjAwMC4xNC8wNi8yMDI2Li4uVVNELkgBAAAA6XECAAMAAAAAAEpHR9n+yd4I4T0L3P7J3ggzQ0lR</t>
  </si>
  <si>
    <t>Lk5ZU0U6QkFILklRX0ZJTklTSEVEX0lOVi45OTcuMTQvMDYvMjAyNi4uLlVTRC5IAQAAAOlxAgADAAAAAABKR0fZ/sneCOE9C9z+yd4ILkNJUS5OWVNFOkJBSC5JUV9XSVBfSU5WLjk5MS4xNC8wNi8yMDI2Li4uVVNELkgBAAAA6XECAAMAAAAAAEpHR9n+yd4I4T0L3P7J3ghCQ0lRLk5ZU0U6QkFILklRX0dFTkVSQUxfUEFSVE5FUl9QUkVGX0VRVUlUWS45OTEuMTQvMDYvMjAyNi4uLlVTRC5IAQAAAOlxAgADAAAAAABKR0fZ/sneCB0hENz+yd4IQkNJUS5OWVNFOkJBSC5JUV9ERUZfVEFYX1ZBTFVBVElPTl9BTExPV0FOQ0UuOTk3LjE0LzA2LzIwMjYuLi5VU0QuSAEAAADpcQIAAgAAAAYxMS43ODgBCAAAAAUAAAABMQEAAAALLTE5NDE1NDY4NzEDAAAAAzE2MAIAAAAFNDYwNDUEAAAAATAHAAAACTYvMTQvMjAyNggAAAAJMy8zMS8yMDIzCQAAAAEwSkdH2f7J3ggdIRDc/sneCEBDSVEuTllTRTpCQUguSVFfRklOX0RJVl9NSU5PUklUWV9JTlRFUkVTVC45OTEuMTQvMDYvMjAyNi4uLlVTRC5IAQAAAOlxAgADAAAAAABKR0fZ/sneCB0hENz+yd4IOkNJUS5OWVNFOkJBSC5JUV9NSU5PUklUWV9JTlRfUkVERUVNLjk5OS4xNC8wNi8yMDI2Li4uVVNELkgBAAAA6XECAAMAAAAAAEpHR9n+yd4IEtdD3f7J3gg8Q0lRLk5ZU0U6QkFILklRX0xFQVNFSE9MRF9JTVBST1ZFTUVOVC45OTMuMTQvMDYvMjAyNi4uLlVT</t>
  </si>
  <si>
    <t>RC5IAQAAAOlxAgACAAAABjIyNS4zMQEIAAAABQAAAAExAQAAAAoyMDk5MDg3MTMzAwAAAAMxNjACAAAABDMxMDAEAAAAATAHAAAACTYvMTQvMjAyNggAAAAJMy8zMS8yMDE5CQAAAAEwSkdH2f7J3ggdIRDc/sneCEdDSVEuTllTRTpCQUguSVFfQVNTRVRTX05FVFRJTkdfT1RIRVJfQURKVVNUTUVOVFMuOTkzLjE0LzA2LzIwMjYuLi5VU0QuSAEAAADpcQIAAwAAAAAASkdH2f7J3ggNkxLc/sneCDVDSVEuTllTRTpCQUguSVFfQVNTRVRTX0xFVkVMXzIuOTk5LjE0LzA2LzIwMjYuLi5VU0QuSAEAAADpcQIAAgAAAAExAEpHR9n+yd4IuIhD3f7J3gg1Q0lRLk5ZU0U6QkFILklRX0FTU0VUU19MRVZFTF8xLjk5My4xNC8wNi8yMDI2Li4uVVNELkgBAAAA6XECAAIAAAAFMy4xNjkASkdH2f7J3ggdIRDc/sneCEtDSVEuTllTRTpCQUguSVFfTElRVUlEQVRJT05fVkFMVUVfUFJFRkVSUkVEX0NPTlZFUlQuMjAwMC4xNC8wNi8yMDI2Li4uVVNELkgBAAAA6XECAAMAAAAAAEpHR9n+yd4IHSEQ3P7J3ghFQ0lRLk5ZU0U6QkFILklRX1RPVEFMX0dFTkVSQUxfUEFSVE5FUl9JTlRFUkVTVC45OTUuMTQvMDYvMjAyNi4uLlVTRC5IAQAAAOlxAgADAAAAAABKR0fZ/sneCB0hENz+yd4IR0NJUS5OWVNFOkJBSC5JUV9GQUlSX1ZBTFVFX0NIQU5HRV9JTkNMX0VBUk5JTkdTLjIwMDAuMTQvMDYvMjAyNi4uLlVTRC5IAQAAAOlx</t>
  </si>
  <si>
    <t>AgADAAAAAACGKxTZ/sneCA2TEtz+yd4IPUNJUS5OWVNFOkJBSC5JUV9MSUFCSUxJVElFU19GQUlSX1ZBTFVFLjk5NS4xNC8wNi8yMDI2Li4uVVNELkgBAAAA6XECAAIAAAAGNTMuNTI3AIYrFNn+yd4IDZMS3P7J3gg6Q0lRLk5ZU0U6QkFILklRX0xJQUJJTElUSUVTX0xFVkVMXzMuOTkxLjE0LzA2LzIwMjYuLi5VU0QuSAEAAADpcQIAAgAAAAUzLjU3NgCGKxTZ/sneCA2TEtz+yd4IOkNJUS5OWVNFOkJBSC5JUV9MSUFCSUxJVElFU19MRVZFTF8xLjk5Ny4xNC8wNi8yMDI2Li4uVVNELkgBAAAA6XECAAIAAAAFMjAuMDkAhisU2f7J3ggNkxLc/sneCDlDSVEuTllTRTpCQUguSVFfRklOX0RJVl9DQVNIX0VRVUlWLjk5Ny4xNC8wNi8yMDI2Li4uVVNELkgBAAAA6XECAAMAAAAAAIYrFNn+yd4IDZMS3P7J3gg5Q0lRLk5ZU0U6QkFILklRX0ZJTl9ESVZfREVCVF9UT1RBTC45OTEuMTQvMDYvMjAyNi4uLlVTRC5IAQAAAOlxAgADAAAAAACGKxTZ/sneCA2TEtz+yd4IPENJUS5OWVNFOkJBSC5JUV9GSU5fRElWX0xUX0RFQlRfVE9UQUwuOTk3LjE0LzA2LzIwMjYuLi5VU0QuSAEAAADpcQIAAwAAAAAAhisU2f7J3ggNkxLc/sneCD1DSVEuTllTRTpCQUguSVFfQ09OVElOR0VOVF9MSUFCSUxJVElFUy45OTkuMTQvMDYvMjAyNi4uLlVTRC5IAQAAAOlxAgACAAAAATQBCAAAAAUAAAABMQEAAAALLTE4ODc3MDUwMDED</t>
  </si>
  <si>
    <t>AAAAAzE2MAIAAAAFMjQ2NzEEAAAAATAHAAAACTYvMTQvMjAyNggAAAAJMy8zMS8yMDI1CQAAAAEwhisU2f7J3ggq+EDd/sneCDRDSVEuTllTRTpCQUguSVFfT1JERVJfQkFDS0xPRy45OTMuMTQvMDYvMjAyNi4uLlVTRC5IAQAAAOlxAgACAAAABTE5MzIxAQgAAAAFAAAAATEBAAAACjIwOTkwODcxMzMDAAAAAzE2MAIAAAAEMzEyNQQAAAABMAcAAAAJNi8xNC8yMDI2CAAAAAkzLzMxLzIwMTkJAAAAATCGKxTZ/sneCPn1FNz+yd4IPENJUS5OWVNFOkJBSC5JUV9SRVNUUklDVEVEX0NBU0hfVE9UQUwuOTk5LjE0LzA2LzIwMjYuLi5VU0QuSAEAAADpcQIAAwAAAAAAhisU2f7J3ggq+EDd/sneCDpDSVEuTllTRTpCQUguSVFfREVCVF9FUVVJVl9ORVRfUEJPLjIwMDAuMTQvMDYvMjAyNi4uLlVTRC5IAQAAAOlxAgADAAAAAACGKxTZ/sneCPn1FNz+yd4IPENJUS5OWVNFOkJBSC5JUV9ERVJJVkFUSVZFX0FTU0VUU19MVC4yMDAwLjE0LzA2LzIwMjYuLi5VU0QuSAEAAADpcQIAAwAAAAAAhisU2f7J3ghHZxfc/sneCEBDSVEuTllTRTpCQUguSVFfREVSSVZBVElWRV9BU1NFVFNfQ1VSUkVOVC45OTUuMTQvMDYvMjAyNi4uLlVTRC5IAQAAAOlxAgADAAAAAACGKxTZ/sneCEdnF9z+yd4IQ0NJUS5OWVNFOkJBSC5JUV9ERVJJVkFUSVZFX0xJQUJfTk9OX0NVUlJFTlQuMjAwMC4xNC8wNi8yMDI2Li4uVVNELkgBAAAA</t>
  </si>
  <si>
    <t>6XECAAMAAAAAAIYrFNn+yd4IR2cX3P7J3gg6Q0lRLk5ZU0U6QkFILklRX0xUX0RFQlRfREVSSVZBVElWRVMuOTk3LjE0LzA2LzIwMjYuLi5VU0QuSAEAAADpcQIAAgAAAAUxLjM2OQEIAAAABQAAAAExAQAAAAstMTk0MTU0Njg3MQMAAAADMTYwAgAAAAUzMDkxNQQAAAABMAcAAAAJNi8xNC8yMDI2CAAAAAkzLzMxLzIwMjMJAAAAATCGKxTZ/sneCEdnF9z+yd4IRENJUS5OWVNFOkJBSC5JUV9DVVJSRU5UX1BPUlRfREVCVF9ERVJJVkFUSVZFUy45OTEuMTQvMDYvMjAyNi4uLlVTRC5IAQAAAOlxAgADAAAAAACGKxTZ/sneCPn1FNz+yd4INkNJUS5OWVNFOkJBSC5JUV9JTlRFUkNPTVBBTllfQ0EuOTkxLjE0LzA2LzIwMjYuLi5VU0QuSAEAAADpcQIAAwAAAAAAhisU2f7J3giWzhnc/sneCC1DSVEuTllTRTpCQUguSVFfR1dfTkVULjk5Ny4xNC8wNi8yMDI2Li4uVVNELkgBAAAA6XECAAIAAAAIMjMzOC4zOTkBCAAAAAUAAAABMQEAAAALLTE5NDE1NDY4NzEDAAAAAzE2MAIAAAAFNDg5NjAEAAAAATAHAAAACTYvMTQvMjAyNggAAAAJMy8zMS8yMDIzCQAAAAEwhisU2f7J3giWzhnc/sneCDNDSVEuTllTRTpCQUguSVFfR1dfSU5UQU5fTkVULjk5MS4xNC8wNi8yMDI2Li4uVVNELkgBAAAA6XECAAMAAAAAAIYrFNn+yd4Ils4Z3P7J3gg1Q0lRLk5ZU0U6QkFILklRX0FDQ1VNX0FNT1JUX0dXLjk5OS4xNC8wNi8y</t>
  </si>
  <si>
    <t>MDI2Li4uVVNELkgBAAAA6XECAAMAAAAAAIYrFNn+yd4IKvhA3f7J3ggvQ0lRLk5ZU0U6QkFILklRX0dST1NTX0dXLjk5My4xNC8wNi8yMDI2Li4uVVNELkgBAAAA6XECAAMAAAAAAIYrFNn+yd4IR2cX3P7J3gg7Q0lRLk5ZU0U6QkFILklRX0lOVEVSQ09NUEFOWV9OT05fQ0wuMjAwMC4xNC8wNi8yMDI2Li4uVVNELkgBAAAA6XECAAMAAAAAAIYrFNn+yd4Ils4Z3P7J3gg2Q0lRLk5ZU0U6QkFILklRX0lOVEVSQ09NUEFOWV9DTC45OTUuMTQvMDYvMjAyNi4uLlVTRC5IAQAAAOlxAgADAAAAAACGKxTZ/sneCJbOGdz+yd4IOkNJUS5OWVNFOkJBSC5JUV9NSU5PUklUWV9JTlRfUkVERUVNLjk5OC4xNC8wNi8yMDI2Li4uVVNELkgBAAAA6XECAAMAAAAAAEpHR9n+yd4IHSEQ3P7J3gg8Q0lRLk5ZU0U6QkFILklRX0xFQVNFSE9MRF9JTVBST1ZFTUVOVC45OTIuMTQvMDYvMjAyNi4uLlVTRC5IAQAAAOlxAgACAAAABzIwMi4xMzMBCAAAAAUAAAABMQEAAAAKMjAzODA5MTA3NwMAAAADMTYwAgAAAAQzMTAwBAAAAAEwBwAAAAk2LzE0LzIwMjYIAAAACTMvMzEvMjAxOAkAAAABMEpHR9n+yd4IHSEQ3P7J3gg9Q0lRLk5ZU0U6QkFILklRX05BVFVSQUxfUkVTT1VSQ0VTX0NPU1QuOTk4LjE0LzA2LzIwMjYuLi5VU0QuSAEAAADpcQIAAwAAAAAASkdH2f7J3ghuqg3c/sneCDBDSVEuTllTRTpCQUguSVFfTUFDSElORVJZ</t>
  </si>
  <si>
    <t>Ljk5NC4xNC8wNi8yMDI2Li4uVVNELkgBAAAA6XECAAIAAAAHMjM0Ljc2MQEIAAAABQAAAAExAQAAAAstMjA5NTEyNjA5MAMAAAADMTYwAgAAAAQzMTE0BAAAAAEwBwAAAAk2LzE0LzIwMjYIAAAACTMvMzEvMjAyMAkAAAABMEpHR9n+yd4I4T0L3P7J3ggsQ0lRLk5ZU0U6QkFILklRX0xBTkQuMTAwMC4xNC8wNi8yMDI2Li4uVVNELkgBAAAA6XECAAMAAAAAAEpHR9n+yd4IEtdD3f7J3ghLQ0lRLk5ZU0U6QkFILklRX0xJUVVJREFUSU9OX1ZBTFVFX1BSRUZFUlJFRF9DT05WRVJULjEwMDAuMTQvMDYvMjAyNi4uLlVTRC5IAQAAAOlxAgADAAAAAABKR0fZ/sneCLiIQ93+yd4IRUNJUS5OWVNFOkJBSC5JUV9UT1RBTF9HRU5FUkFMX1BBUlRORVJfSU5URVJFU1QuOTk0LjE0LzA2LzIwMjYuLi5VU0QuSAEAAADpcQIAAwAAAAAASkdH2f7J3ggdIRDc/sneCENDSVEuTllTRTpCQUguSVFfR0VORVJBTF9QQVJUTkVSX1BSRUZfRVFVSVRZLjEwMDAuMTQvMDYvMjAyNi4uLlVTRC5IAQAAAOlxAgADAAAAAABKR0fZ/sneCLiIQ93+yd4IQkNJUS5OWVNFOkJBSC5JUV9ERUZfVEFYX1ZBTFVBVElPTl9BTExPV0FOQ0UuOTk2LjE0LzA2LzIwMjYuLi5VU0QuSAEAAADpcQIAAgAAAAU4LjcxNQEIAAAABQAAAAExAQAAAAstMTk5MjQwMjA1OQMAAAADMTYwAgAAAAU0NjA0NQQAAAABMAcAAAAJNi8xNC8yMDI2CAAAAAkzLzMx</t>
  </si>
  <si>
    <t>LzIwMjIJAAAAATBKR0fZ/sneCB0hENz+yd4IQENJUS5OWVNFOkJBSC5JUV9GSU5fRElWX01JTk9SSVRZX0lOVEVSRVNULjk5MC4xNC8wNi8yMDI2Li4uVVNELkgBAAAA6XECAAMAAAAAAEpHR9n+yd4IHSEQ3P7J3gg6Q0lRLk5ZU0U6QkFILklRX0xJQUJJTElUSUVTX0xFVkVMXzMuOTkwLjE0LzA2LzIwMjYuLi5VU0QuSAEAAADpcQIAAwAAAAAAhisU2f7J3ggNkxLc/sneCDpDSVEuTllTRTpCQUguSVFfTElBQklMSVRJRVNfTEVWRUxfMS45OTYuMTQvMDYvMjAyNi4uLlVTRC5IAQAAAOlxAgACAAAABjE2LjUxMgCGKxTZ/sneCA2TEtz+yd4IOENJUS5OWVNFOkJBSC5JUV9BU1NFVFNfRkFJUl9WQUxVRS45OTAuMTQvMDYvMjAyNi4uLlVTRC5IAQAAAOlxAgACAAAABzE4Ny41MjkASkdH2f7J3ggNkxLc/sneCDVDSVEuTllTRTpCQUguSVFfQVNTRVRTX0xFVkVMXzIuOTk4LjE0LzA2LzIwMjYuLi5VU0QuSAEAAADpcQIAAgAAAAIxMABKR0fZ/sneCA2TEtz+yd4INUNJUS5OWVNFOkJBSC5JUV9BU1NFVFNfTEVWRUxfMS45OTIuMTQvMDYvMjAyNi4uLlVTRC5IAQAAAOlxAgADAAAAAABKR0fZ/sneCB0hENz+yd4IR0NJUS5OWVNFOkJBSC5JUV9GQUlSX1ZBTFVFX0NIQU5HRV9JTkNMX0VBUk5JTkdTLjEwMDAuMTQvMDYvMjAyNi4uLlVTRC5IAQAAAOlxAgADAAAAAACGKxTZ/sneCDFpQ93+yd4IPUNJUS5OWVNF</t>
  </si>
  <si>
    <t>OkJBSC5JUV9MSUFCSUxJVElFU19GQUlSX1ZBTFVFLjk5NC4xNC8wNi8yMDI2Li4uVVNELkgBAAAA6XECAAIAAAAGNjMuNzUzAIYrFNn+yd4IDZMS3P7J3gg6Q0lRLk5ZU0U6QkFILklRX0RFQlRfRVFVSVZfTkVUX1BCTy4xMDAwLjE0LzA2LzIwMjYuLi5VU0QuSAEAAADpcQIAAwAAAAAAhisU2f7J3ggq+EDd/sneCDhDSVEuTllTRTpCQUguSVFfRklOX0RJVl9TVF9JTlZFU1QuOTk0LjE0LzA2LzIwMjYuLi5VU0QuSAEAAADpcQIAAwAAAAAAhisU2f7J3ggNkxLc/sneCDlDSVEuTllTRTpCQUguSVFfRklOX0RJVl9ERUJUX1RPVEFMLjk5MC4xNC8wNi8yMDI2Li4uVVNELkgBAAAA6XECAAMAAAAAAIYrFNn+yd4IDZMS3P7J3gg8Q0lRLk5ZU0U6QkFILklRX0ZJTl9ESVZfTFRfREVCVF9UT1RBTC45OTYuMTQvMDYvMjAyNi4uLlVTRC5IAQAAAOlxAgADAAAAAACGKxTZ/sneCA2TEtz+yd4IOkNJUS5OWVNFOkJBSC5JUV9MVF9ERUJUX0RFUklWQVRJVkVTLjk5Ni4xNC8wNi8yMDI2Li4uVVNELkgBAAAA6XECAAIAAAAFMC4wMzkBCAAAAAUAAAABMQEAAAALLTE5OTI0MDIwNTkDAAAAAzE2MAIAAAAFMzA5MTUEAAAAATAHAAAACTYvMTQvMjAyNggAAAAJMy8zMS8yMDIyCQAAAAEwhisU2f7J3ghHZxfc/sneCERDSVEuTllTRTpCQUguSVFfQ1VSUkVOVF9QT1JUX0RFQlRfREVSSVZBVElWRVMuOTkwLjE0LzA2LzIw</t>
  </si>
  <si>
    <t>MjYuLi5VU0QuSAEAAADpcQIAAwAAAAAAhisU2f7J3gj59RTc/sneCDtDSVEuTllTRTpCQUguSVFfV0FSUkFOVFlfTElBQklMSVRJRVMuOTk2LjE0LzA2LzIwMjYuLi5VU0QuSAEAAADpcQIAAwAAAAAAhisU2f7J3gj59RTc/sneCDRDSVEuTllTRTpCQUguSVFfT1JERVJfQkFDS0xPRy45OTIuMTQvMDYvMjAyNi4uLlVTRC5IAQAAAOlxAgACAAAABTE2MDIwAQgAAAAFAAAAATEBAAAACjIwMzgwOTEwNzcDAAAAAzE2MAIAAAAEMzEyNQQAAAABMAcAAAAJNi8xNC8yMDI2CAAAAAkzLzMxLzIwMTgJAAAAATCGKxTZ/sneCPn1FNz+yd4IPENJUS5OWVNFOkJBSC5JUV9SRVNUUklDVEVEX0NBU0hfVE9UQUwuOTk4LjE0LzA2LzIwMjYuLi5VU0QuSAEAAADpcQIAAwAAAAAAhisU2f7J3gj59RTc/sneCDVDSVEuTllTRTpCQUguSVFfQUNDVU1fQU1PUlRfR1cuOTk4LjE0LzA2LzIwMjYuLi5VU0QuSAEAAADpcQIAAwAAAAAAhisU2f7J3ggEihnc/sneCC9DSVEuTllTRTpCQUguSVFfR1JPU1NfR1cuOTkyLjE0LzA2LzIwMjYuLi5VU0QuSAEAAADpcQIAAwAAAAAAhisU2f7J3ghHZxfc/sneCDlDSVEuTllTRTpCQUguSVFfR1JPU1NfSU5UQU5fQVNTRVRTLjk5OC4xNC8wNi8yMDI2Li4uVVNELkgBAAAA6XECAAIAAAADNzgyAQgAAAAFAAAAATEBAAAACy0xODg3NzA0OTkzAwAAAAMxNjACAAAABTI0MjkzBAAAAAEwBwAA</t>
  </si>
  <si>
    <t>AAk2LzE0LzIwMjYIAAAACTMvMzEvMjAyNAkAAAABMIYrFNn+yd4IR2cX3P7J3ghAQ0lRLk5ZU0U6QkFILklRX0RFUklWQVRJVkVfQVNTRVRTX0NVUlJFTlQuOTk0LjE0LzA2LzIwMjYuLi5VU0QuSAEAAADpcQIAAwAAAAAAhisU2f7J3ghHZxfc/sneCENDSVEuTllTRTpCQUguSVFfREVSSVZBVElWRV9MSUFCX05PTl9DVVJSRU5ULjEwMDAuMTQvMDYvMjAyNi4uLlVTRC5IAQAAAOlxAgADAAAAAACGKxTZ/sneCCr4QN3+yd4IO0NJUS5OWVNFOkJBSC5JUV9JTlRFUkNPTVBBTllfTk9OX0NMLjEwMDAuMTQvMDYvMjAyNi4uLlVTRC5IAQAAAOlxAgADAAAAAACGKxTZ/sneCCr4QN3+yd4INkNJUS5OWVNFOkJBSC5JUV9JTlRFUkNPTVBBTllfQ0wuOTk0LjE0LzA2LzIwMjYuLi5VU0QuSAEAAADpcQIAAwAAAAAAhisU2f7J3giWzhnc/sneCDdDSVEuTllTRTpCQUguSVFfSU5URVJDT01QQU5ZX0NBLjEwMDAuMTQvMDYvMjAyNi4uLlVTRC5IAQAAAOlxAgADAAAAAACGKxTZ/sneCCr4QN3+yd4ILUNJUS5OWVNFOkJBSC5JUV9HV19ORVQuOTk2LjE0LzA2LzIwMjYuLi5VU0QuSAEAAADpcQIAAgAAAAgyMDIxLjkzMQEIAAAABQAAAAExAQAAAAstMTk5MjQwMjA1OQMAAAADMTYwAgAAAAU0ODk2MAQAAAABMAcAAAAJNi8xNC8yMDI2CAAAAAkzLzMxLzIwMjIJAAAAATCGKxTZ/sneCJbOGdz+yd4IM0NJUS5OWVNFOkJB</t>
  </si>
  <si>
    <t>SC5JUV9HV19JTlRBTl9ORVQuOTkwLjE0LzA2LzIwMjYuLi5VU0QuSAEAAADpcQIAAwAAAAAAhisU2f7J3giWzhnc/sneCDdDSVEuTllTRTpCQUguSVFfQUxMT1dfRE9VQlRfQUNDVC45OTcuMTQvMDYvMjAyNi4uLlVTRC5IAQAAAOlxAgACAAAABTAuMzE4AQgAAAAFAAAAATEBAAAACy0xOTQxNTQ2ODcxAwAAAAMxNjACAAAABDMwMTIEAAAAATAHAAAACTYvMTQvMjAyNggAAAAJMy8zMS8yMDIzCQAAAAEwSkdH2f7J3gjhPQvc/sneCCtDSVEuTllTRTpCQUguSVFfTEFORC45OTkuMTQvMDYvMjAyNi4uLlVTRC5IAQAAAOlxAgADAAAAAABKR0fZ/sneCBLXQ93+yd4IMENJUS5OWVNFOkJBSC5JUV9PVEhFUl9JTlYuOTkzLjE0LzA2LzIwMjYuLi5VU0QuSAEAAADpcQIAAwAAAAAASkdH2f7J3gjhPQvc/sneCC9DSVEuTllTRTpCQUguSVFfUkFXX0lOVi4yMDAwLjE0LzA2LzIwMjYuLi5VU0QuSAEAAADpcQIAAwAAAAAASkdH2f7J3gjhPQvc/sneCCxDSVEuTllTRTpCQUguSVFfTElGT1IuOTk1LjE0LzA2LzIwMjYuLi5VU0QuSAEAAADpcQIAAwAAAAAASkdH2f7J3gjhPQvc/sneCDJDSVEuTllTRTpCQUguSVFfQVJfVU5CSUxMRUQuOTkxLjE0LzA2LzIwMjYuLi5VU0QuSAEAAADpcQIAAgAAAAc2NTEuMDk0AQgAAAAFAAAAATEBAAAACjE5NjU3NzI0MjIDAAAAAzE2MAIAAAAFNDU0MjAEAAAAATAHAAAACTYvMTQv</t>
  </si>
  <si>
    <t>MjAyNggAAAAJMy8zMS8yMDE3CQAAAAEwSkdH2f7J3gjhPQvc/sneCD9DSVEuTllTRTpCQUguSVFfTUlOT1JJVFlfSU5UX1JFREVFTV9UT1QuMjAwMC4xNC8wNi8yMDI2Li4uVVNELkgBAAAA6XECAAMAAAAAAEpHR9n+yd4IHSEQ3P7J3ghCQ0lRLk5ZU0U6QkFILklRX0ZJTl9ESVZfTUlOT1JJVFlfSU5UX1JFREVFTS45OTUuMTQvMDYvMjAyNi4uLlVTRC5IAQAAAOlxAgADAAAAAABKR0fZ/sneCB0hENz+yd4IPENJUS5OWVNFOkJBSC5JUV9MRUFTRUhPTERfSU1QUk9WRU1FTlQuOTkxLjE0LzA2LzIwMjYuLi5VU0QuSAEAAADpcQIAAgAAAAcxNzcuMDA5AQgAAAAFAAAAATEBAAAACjE5NjU3NzI0MjIDAAAAAzE2MAIAAAAEMzEwMAQAAAABMAcAAAAJNi8xNC8yMDI2CAAAAAkzLzMxLzIwMTcJAAAAATBKR0fZ/sneCB0hENz+yd4IPUNJUS5OWVNFOkJBSC5JUV9OQVRVUkFMX1JFU09VUkNFU19DT1NULjk5Ny4xNC8wNi8yMDI2Li4uVVNELkgBAAAA6XECAAMAAAAAAEpHR9n+yd4IbqoN3P7J3ggwQ0lRLk5ZU0U6QkFILklRX01BQ0hJTkVSWS45OTMuMTQvMDYvMjAyNi4uLlVTRC5IAQAAAOlxAgACAAAABzI3MC4zMjYBCAAAAAUAAAABMQEAAAAKMjA5OTA4NzEzMwMAAAADMTYwAgAAAAQzMTE0BAAAAAEwBwAAAAk2LzE0LzIwMjYIAAAACTMvMzEvMjAxOQkAAAABMEpHR9n+yd4I4T0L3P7J3gg1Q0lRLk5ZU0U6</t>
  </si>
  <si>
    <t>QkFILklRX0FTU0VUU19MRVZFTF8xLjk5MS4xNC8wNi8yMDI2Li4uVVNELkgBAAAA6XECAAIAAAAGNTkuODI1AEpHR9n+yd4IHSEQ3P7J3ghNQ0lRLk5ZU0U6QkFILklRX0xJUVVJREFUSU9OX1ZBTFVFX1BSRUZFUlJFRF9OT05fUkVERUVNLjk5Ny4xNC8wNi8yMDI2Li4uVVNELkgBAAAA6XECAAMAAAAAAEpHR9n+yd4IHSEQ3P7J3ghFQ0lRLk5ZU0U6QkFILklRX1RPVEFMX0dFTkVSQUxfUEFSVE5FUl9JTlRFUkVTVC45OTMuMTQvMDYvMjAyNi4uLlVTRC5IAQAAAOlxAgADAAAAAABKR0fZ/sneCB0hENz+yd4IQkNJUS5OWVNFOkJBSC5JUV9HRU5FUkFMX1BBUlRORVJfUFJFRl9FUVVJVFkuOTk5LjE0LzA2LzIwMjYuLi5VU0QuSAEAAADpcQIAAwAAAAAASkdH2f7J3gi4iEPd/sneCEJDSVEuTllTRTpCQUguSVFfREVGX1RBWF9WQUxVQVRJT05fQUxMT1dBTkNFLjk5NS4xNC8wNi8yMDI2Li4uVVNELkgBAAAA6XECAAIAAAAFNi4xNjUBCAAAAAUAAAABMQEAAAALLTIwNDMyMTUzOTIDAAAAAzE2MAIAAAAFNDYwNDUEAAAAATAHAAAACTYvMTQvMjAyNggAAAAJMy8zMS8yMDIxCQAAAAEwSkdH2f7J3ggdIRDc/sneCD1DSVEuTllTRTpCQUguSVFfTElBQklMSVRJRVNfRkFJUl9WQUxVRS45OTMuMTQvMDYvMjAyNi4uLlVTRC5IAQAAAOlxAgACAAAABTkuNjY5AIYrFNn+yd4IDZMS3P7J3gg6Q0lRLk5ZU0U6QkFI</t>
  </si>
  <si>
    <t>LklRX0xJQUJJTElUSUVTX0xFVkVMXzMuOTk5LjE0LzA2LzIwMjYuLi5VU0QuSAEAAADpcQIAAwAAAAAAhisU2f7J3gi4iEPd/sneCDpDSVEuTllTRTpCQUguSVFfTElBQklMSVRJRVNfTEVWRUxfMS45OTUuMTQvMDYvMjAyNi4uLlVTRC5IAQAAAOlxAgACAAAABjE0LjE0MgCGKxTZ/sneCA2TEtz+yd4ISENJUS5OWVNFOkJBSC5JUV9BU1NFVFNfTkVUVElOR19PVEhFUl9BREpVU1RNRU5UUy4yMDAwLjE0LzA2LzIwMjYuLi5VU0QuSAEAAADpcQIAAwAAAAAASkdH2f7J3ggNkxLc/sneCDVDSVEuTllTRTpCQUguSVFfQVNTRVRTX0xFVkVMXzIuOTk3LjE0LzA2LzIwMjYuLi5VU0QuSAEAAADpcQIAAgAAAAYxNC43NzUASkdH2f7J3ggNkxLc/sneCDxDSVEuTllTRTpCQUguSVFfRklOX0RJVl9MVF9ERUJUX1RPVEFMLjk5NS4xNC8wNi8yMDI2Li4uVVNELkgBAAAA6XECAAMAAAAAAIYrFNn+yd4IDZMS3P7J3ghGQ0lRLk5ZU0U6QkFILklRX0ZBSVJfVkFMVUVfQ0hBTkdFX0lOQ0xfRUFSTklOR1MuOTk5LjE0LzA2LzIwMjYuLi5VU0QuSAEAAADpcQIAAwAAAAAAhisU2f7J3ggq+EDd/sneCDxDSVEuTllTRTpCQUguSVFfUkVTVFJJQ1RFRF9DQVNIX1RPVEFMLjk5Ny4xNC8wNi8yMDI2Li4uVVNELkgBAAAA6XECAAMAAAAAAIYrFNn+yd4I+fUU3P7J3ghCQ0lRLk5ZU0U6QkFILklRX1JFU1RSSUNURURfQ0FTSF9O</t>
  </si>
  <si>
    <t>T05fQ1VSUkVOVC45OTEuMTQvMDYvMjAyNi4uLlVTRC5IAQAAAOlxAgADAAAAAACGKxTZ/sneCPn1FNz+yd4IOUNJUS5OWVNFOkJBSC5JUV9ERUJUX0VRVUlWX05FVF9QQk8uOTk5LjE0LzA2LzIwMjYuLi5VU0QuSAEAAADpcQIAAwAAAAAAhisU2f7J3ggq+EDd/sneCDhDSVEuTllTRTpCQUguSVFfRklOX0RJVl9TVF9JTlZFU1QuOTkzLjE0LzA2LzIwMjYuLi5VU0QuSAEAAADpcQIAAwAAAAAAhisU2f7J3ggNkxLc/sneCD1DSVEuTllTRTpCQUguSVFfRklOX0RJVl9TVF9ERUJUX1RPVEFMLjIwMDAuMTQvMDYvMjAyNi4uLlVTRC5IAQAAAOlxAgADAAAAAACGKxTZ/sneCA2TEtz+yd4IQkNJUS5OWVNFOkJBSC5JUV9ERVJJVkFUSVZFX0xJQUJfTk9OX0NVUlJFTlQuOTk5LjE0LzA2LzIwMjYuLi5VU0QuSAEAAADpcQIAAwAAAAAAhisU2f7J3ggq+EDd/sneCD5DSVEuTllTRTpCQUguSVFfREVSSVZBVElWRV9MSUFCX0NVUlJFTlQuOTkzLjE0LzA2LzIwMjYuLi5VU0QuSAEAAADpcQIAAwAAAAAAhisU2f7J3ghHZxfc/sneCDtDSVEuTllTRTpCQUguSVFfU1RfREVCVF9ERVJJVkFUSVZFUy4yMDAwLjE0LzA2LzIwMjYuLi5VU0QuSAEAAADpcQIAAwAAAAAAhisU2f7J3gj59RTc/sneCDtDSVEuTllTRTpCQUguSVFfV0FSUkFOVFlfTElBQklMSVRJRVMuOTk1LjE0LzA2LzIwMjYuLi5VU0QuSAEAAADpcQIAAwAA</t>
  </si>
  <si>
    <t>AAAAhisU2f7J3gj59RTc/sneCDRDSVEuTllTRTpCQUguSVFfT1JERVJfQkFDS0xPRy45OTEuMTQvMDYvMjAyNi4uLlVTRC5IAQAAAOlxAgACAAAABTEzNTkyAQgAAAAFAAAAATEBAAAACjE5NjU3NzI0MjIDAAAAAzE2MAIAAAAEMzEyNQQAAAABMAcAAAAJNi8xNC8yMDI2CAAAAAkzLzMxLzIwMTcJAAAAATCGKxTZ/sneCPn1FNz+yd4IPUNJUS5OWVNFOkJBSC5JUV9BRFZBTkNFU19GT1JfU1VQUExJRVMuMjAwMC4xNC8wNi8yMDI2Li4uVVNELkgBAAAA6XECAAMAAAAAAIYrFNn+yd4Ils4Z3P7J3gg5Q0lRLk5ZU0U6QkFILklRX0xUX01BUktfU0VDVVJJVElFUy45OTUuMTQvMDYvMjAyNi4uLlVTRC5IAQAAAOlxAgADAAAAAACGKxTZ/sneCASKGdz+yd4IL0NJUS5OWVNFOkJBSC5JUV9HUk9TU19HVy45OTEuMTQvMDYvMjAyNi4uLlVTRC5IAQAAAOlxAgADAAAAAACGKxTZ/sneCEdnF9z+yd4IOUNJUS5OWVNFOkJBSC5JUV9HUk9TU19JTlRBTl9BU1NFVFMuOTk3LjE0LzA2LzIwMjYuLi5VU0QuSAEAAADpcQIAAgAAAAc3ODkuOTk0AQgAAAAFAAAAATEBAAAACy0xOTQxNTQ2ODcxAwAAAAMxNjACAAAABTI0MjkzBAAAAAEwBwAAAAk2LzE0LzIwMjYIAAAACTMvMzEvMjAyMwkAAAABMIYrFNn+yd4IR2cX3P7J3ghAQ0lRLk5ZU0U6QkFILklRX0RFUklWQVRJVkVfQVNTRVRTX0NVUlJFTlQuOTkzLjE0LzA2LzIw</t>
  </si>
  <si>
    <t>MjYuLi5VU0QuSAEAAADpcQIAAwAAAAAAhisU2f7J3ghHZxfc/sneCDZDSVEuTllTRTpCQUguSVFfSU5URVJDT01QQU5ZX0NMLjk5My4xNC8wNi8yMDI2Li4uVVNELkgBAAAA6XECAAMAAAAAAIYrFNn+yd4Ils4Z3P7J3gg2Q0lRLk5ZU0U6QkFILklRX0lOVEVSQ09NUEFOWV9DQS45OTkuMTQvMDYvMjAyNi4uLlVTRC5IAQAAAOlxAgADAAAAAACGKxTZ/sneCCr4QN3+yd4ILUNJUS5OWVNFOkJBSC5JUV9HV19ORVQuOTk1LjE0LzA2LzIwMjYuLi5VU0QuSAEAAADpcQIAAgAAAAcxNTgxLjE2AQgAAAAFAAAAATEBAAAACy0yMDQzMjE1MzkyAwAAAAMxNjACAAAABTQ4OTYwBAAAAAEwBwAAAAk2LzE0LzIwMjYIAAAACTMvMzEvMjAyMQkAAAABMIYrFNn+yd4Ils4Z3P7J3gg4Q0lRLk5ZU0U6QkFILklRX0ZJTl9ESVZfU1RfSU5WRVNULjk5Mi4xNC8wNi8yMDI2Li4uVVNELkgBAAAA6XECAAMAAAAAAIYrFNn+yd4IDZMS3P7J3gg5Q0lRLk5ZU0U6QkFILklRX0ZJTl9ESVZfREVCVF9UT1RBTC45OTguMTQvMDYvMjAyNi4uLlVTRC5IAQAAAOlxAgADAAAAAACGKxTZ/sneCA2TEtz+yd4IPENJUS5OWVNFOkJBSC5JUV9GSU5fRElWX0xUX0RFQlRfVE9UQUwuOTk0LjE0LzA2LzIwMjYuLi5VU0QuSAEAAADpcQIAAwAAAAAAhisU2f7J3ggNkxLc/sneCDtDSVEuTllTRTpCQUguSVFfV0FSUkFOVFlfTElBQklMSVRJRVMu</t>
  </si>
  <si>
    <t>OTk0LjE0LzA2LzIwMjYuLi5VU0QuSAEAAADpcQIAAwAAAAAAhisU2f7J3gj59RTc/sneCDVDSVEuTllTRTpCQUguSVFfT1JERVJfQkFDS0xPRy4xMDAwLjE0LzA2LzIwMjYuLi5VU0QuSAEAAADpcQIAAgAAAAUzODE4NwEIAAAABQAAAAExAQAAAAstMTg4NzcwNDk3NwMAAAADMTYwAgAAAAQzMTI1BAAAAAEwBwAAAAk2LzE0LzIwMjYIAAAACTMvMzEvMjAyNgkAAAABMIYrFNn+yd4IKvhA3f7J3gg8Q0lRLk5ZU0U6QkFILklRX1JFU1RSSUNURURfQ0FTSF9UT1RBTC45OTYuMTQvMDYvMjAyNi4uLlVTRC5IAQAAAOlxAgADAAAAAACGKxTZ/sneCPn1FNz+yd4IQkNJUS5OWVNFOkJBSC5JUV9SRVNUUklDVEVEX0NBU0hfTk9OX0NVUlJFTlQuOTkwLjE0LzA2LzIwMjYuLi5VU0QuSAEAAADpcQIAAwAAAAAAhisU2f7J3gj59RTc/sneCDlDSVEuTllTRTpCQUguSVFfREVCVF9FUVVJVl9ORVRfUEJPLjk5OC4xNC8wNi8yMDI2Li4uVVNELkgBAAAA6XECAAMAAAAAAIYrFNn+yd4I+fUU3P7J3gg5Q0lRLk5ZU0U6QkFILklRX0dST1NTX0lOVEFOX0FTU0VUUy45OTYuMTQvMDYvMjAyNi4uLlVTRC5IAQAAAOlxAgACAAAABzY3My40OTQBCAAAAAUAAAABMQEAAAALLTE5OTI0MDIwNTkDAAAAAzE2MAIAAAAFMjQyOTMEAAAAATAHAAAACTYvMTQvMjAyNggAAAAJMy8zMS8yMDIyCQAAAAEwhisU2f7J3ghHZxfc/sneCDtD</t>
  </si>
  <si>
    <t>SVEuTllTRTpCQUguSVFfREVSSVZBVElWRV9BU1NFVFNfTFQuOTkwLjE0LzA2LzIwMjYuLi5VU0QuSAEAAADpcQIAAwAAAAAAhisU2f7J3ghHZxfc/sneCEJDSVEuTllTRTpCQUguSVFfREVSSVZBVElWRV9MSUFCX05PTl9DVVJSRU5ULjk5OC4xNC8wNi8yMDI2Li4uVVNELkgBAAAA6XECAAMAAAAAAIYrFNn+yd4IR2cX3P7J3gg+Q0lRLk5ZU0U6QkFILklRX0RFUklWQVRJVkVfTElBQl9DVVJSRU5ULjk5Mi4xNC8wNi8yMDI2Li4uVVNELkgBAAAA6XECAAMAAAAAAIYrFNn+yd4IR2cX3P7J3gg7Q0lRLk5ZU0U6QkFILklRX1NUX0RFQlRfREVSSVZBVElWRVMuMTAwMC4xNC8wNi8yMDI2Li4uVVNELkgBAAAA6XECAAMAAAAAAIYrFNn+yd4IKvhA3f7J3gg2Q0lRLk5ZU0U6QkFILklRX0lOVEVSQ09NUEFOWV9DQS45OTguMTQvMDYvMjAyNi4uLlVTRC5IAQAAAOlxAgADAAAAAACGKxTZ/sneCJbOGdz+yd4IMENJUS5OWVNFOkJBSC5JUV9JTlRBTl9ORVQuOTkyLjE0LzA2LzIwMjYuLi5VU0QuSAEAAADpcQIAAwAAAAAAhisU2f7J3giWzhnc/sneCD1DSVEuTllTRTpCQUguSVFfQURWQU5DRVNfRk9SX1NVUFBMSUVTLjEwMDAuMTQvMDYvMjAyNi4uLlVTRC5IAQAAAOlxAgADAAAAAACGKxTZ/sneCCr4QN3+yd4IOUNJUS5OWVNFOkJBSC5JUV9MVF9NQVJLX1NFQ1VSSVRJRVMuOTk0LjE0LzA2LzIwMjYuLi5VU0Qu</t>
  </si>
  <si>
    <t>SAEAAADpcQIAAwAAAAAAhisU2f7J3ggEihnc/sneCC9DSVEuTllTRTpCQUguSVFfR1JPU1NfR1cuOTkwLjE0LzA2LzIwMjYuLi5VU0QuSAEAAADpcQIAAwAAAAAAhisU2f7J3ghHZxfc/sneCDZDSVEuTllTRTpCQUguSVFfSU5URVJDT01QQU5ZX0NMLjk5Mi4xNC8wNi8yMDI2Li4uVVNELkgBAAAA6XECAAMAAAAAAIYrFNn+yd4Ils4Z3P7J3ggxQ0lRLk5ZU0U6QkFILklRX1RPVEFMX0xJQUIuOTk1LjE0LzA2LzIwMjYuLi5VU0QuSAEAAADpcQIAAgAAAAg0NDI4LjQyNQEIAAAABQAAAAExAQAAAAstMjA0MzIxNTM5MgMAAAADMTYwAgAAAAQxMjc2BAAAAAEwBwAAAAk2LzE0LzIwMjYIAAAACTMvMzEvMjAyMQkAAAABMNldgdn+yd4IZRf/2/7J3ggvQ0lRLk5ZU0U6QkFILklRX1RSRUFTVVJZLjk5Ny4xNC8wNi8yMDI2Li4uVVNELkgBAAAA6XECAAIAAAAJLTE4NTkuOTA1AQgAAAAFAAAAATEBAAAACy0xOTQxNTQ2ODcxAwAAAAMxNjACAAAABDEyNDgEAAAAATAHAAAACTYvMTQvMjAyNggAAAAJMy8zMS8yMDIzCQAAAAEwfF9G2f7J3ghqhgHc/sneCClDSVEuTllTRTpCQUguSVFfUkUuOTkxLjE0LzA2LzIwMjYuLi5VU0QuSAEAAADpcQIAAgAAAAc0NzguMTAyAQgAAAAFAAAAATEBAAAACjE5NjU3NzI0MjIDAAAAAzE2MAIAAAAEMTIyMgQAAAABMAcAAAAJNi8xNC8yMDI2CAAAAAkzLzMxLzIwMTcJAAAAATB8</t>
  </si>
  <si>
    <t>X0bZ/sneCGqGAdz+yd4ILUNJUS5OWVNFOkJBSC5JUV9DT01NT04uOTk3LjE0LzA2LzIwMjYuLi5VU0QuSAEAAADpcQIAAgAAAAUxLjY1OQEIAAAABQAAAAExAQAAAAstMTk0MTU0Njg3MQMAAAADMTYwAgAAAAQxMTAzBAAAAAEwBwAAAAk2LzE0LzIwMjYIAAAACTMvMzEvMjAyMwkAAAABMHxfRtn+yd4IaoYB3P7J3ggxQ0lRLk5ZU0U6QkFILklRX1BSRUZfT1RIRVIuOTkzLjE0LzA2LzIwMjYuLi5VU0QuSAEAAADpcQIAAwAAAAAAfF9G2f7J3ghqhgHc/sneCDZDSVEuTllTRTpCQUguSVFfUFJFRl9OT05fUkVERUVNLjk5OS4xNC8wNi8yMDI2Li4uVVNELkgBAAAA6XECAAMAAAAAANldgdn+yd4IYCVE3f7J3gg+Q0lRLk5ZU0U6QkFILklRX1JVQV9DQVBJVEFMX0xFQVNFX0dST1NTLjk5OS4xNC8wNi8yMDI2Li4uVVNELkgBAAAA6XECAAMAAAAAAHxfRtn+yd4IYCVE3f7J3gguQ0lRLk5ZU0U6QkFILklRX1JVQV9ORVQuOTkzLjE0LzA2LzIwMjYuLi5VU0QuSAEAAADpcQIAAwAAAAAAfF9G2f7J3ggKnwTc/sneCDBDSVEuTllTRTpCQUguSVFfUlVBX0dST1NTLjk5OS4xNC8wNi8yMDI2Li4uVVNELkgBAAAA6XECAAMAAAAAAHxfRtn+yd4IYCVE3f7J3ggzQ0lRLk5ZU0U6QkFILklRX1RPVEFMX0VRVUlUWS45OTUuMTQvMDYvMjAyNi4uLlVTRC5IAQAAAOlxAgACAAAACDEwNzEuMTc2AQgAAAAFAAAAATEBAAAA</t>
  </si>
  <si>
    <t>Cy0yMDQzMjE1MzkyAwAAAAMxNjACAAAABDEyNzUEAAAAATAHAAAACTYvMTQvMjAyNggAAAAJMy8zMS8yMDIxCQAAAAEwfF9G2f7J3ghqhgHc/sneCDtDSVEuTllTRTpCQUguSVFfVE9UQUxfQ09NTU9OX0VRVUlUWS4yMDAwLjE0LzA2LzIwMjYuLi5VU0QuSAEAAADpcQIAAgAAAAQxMTA1AQgAAAAFAAAAATEBAAAACy0xODg3NzA0MzQxAwAAAAMxNjACAAAABDEwMDYEAAAAATAHAAAACTYvMTQvMjAyNggAAAAJMy8zMS8yMDI2CQAAAAEwfF9G2f7J3ghqhgHc/sneCD5DSVEuTllTRTpCQUguSVFfRklOQU5DRV9MRUFTRVNfQ1VSUkVOVC4yMDAwLjE0LzA2LzIwMjYuLi5VU0QuSAEAAADpcQIAAwAAAAAAfF9G2f7J3gjkywbc/sneCDxDSVEuTllTRTpCQUguSVFfTlBQRV9FWENMX09QRVJfTEVBU0VTLjk5NS4xNC8wNi8yMDI2Li4uVVNELkgBAAAA6XECAAIAAAAHMjA0LjY0MgEIAAAABQAAAAExAQAAAAstMjA0MzIxNTM5MgMAAAADMTYwAgAAAAU0ODk3NgQAAAABMAcAAAAJNi8xNC8yMDI2CAAAAAkzLzMxLzIwMjEJAAAAATB8X0bZ/sneCKNjBtz+yd4IPUNJUS5OWVNFOkJBSC5JUV9HUFBFX0VYQ0xfT1BFUl9MRUFTRVMuMjAwMC4xNC8wNi8yMDI2Li4uVVNELkgBAAAA6XECAAIAAAADNDg5AQgAAAAFAAAAATEBAAAACy0xODg3NzA0MzQxAwAAAAMxNjACAAAABTQ4OTc0BAAAAAEwBwAAAAk2LzE0LzIwMjYI</t>
  </si>
  <si>
    <t>AAAACTMvMzEvMjAyNgkAAAABMHxfRtn+yd4I3SgG3P7J3ghEQ0lRLk5ZU0U6QkFILklRX1JVQV9PUEVSQVRJTkdfTEVBU0VfQUNDVU1fREVQLjk5Ny4xNC8wNi8yMDI2Li4uVVNELkgBAAAA6XECAAMAAAAAAHxfRtn+yd4IktoF3P7J3ghAQ0lRLk5ZU0U6QkFILklRX1JVQV9PUEVSQVRJTkdfTEVBU0VfR1JPU1MuOTkxLjE0LzA2LzIwMjYuLi5VU0QuSAEAAADpcQIAAwAAAAAAfF9G2f7J3ggBPgXc/sneCD1DSVEuTllTRTpCQUguSVFfVE9UQUxfREVCVF9FWENMX0xFQVNFUy45OTEuMTQvMDYvMjAyNi4uLlVTRC5IAQAAAOlxAgACAAAACDE3NDMuMzI0AQgAAAAFAAAAATEBAAAACjE5NjU3NzI0MjIDAAAAAzE2MAIAAAAFNDg5OTIEAAAAATAHAAAACTYvMTQvMjAyNggAAAAJMy8zMS8yMDE3CQAAAAEwfF9G2f7J3gjkywbc/sneCFNDSVEuTllTRTpCQUguSVFfRklOQU5DSU5HX09CTElHX05PTl9DVVJSRU5UX0VYQ0xfT1BFUl9MRUFTRVMuOTk3LjE0LzA2LzIwMjYuLi5VU0QuSAEAAADpcQIAAgAAAAgyNzcyLjI2NAEIAAAABQAAAAExAQAAAAstMTk0MTU0Njg3MQMAAAADMTYwAgAAAAU0ODk4MQQAAAABMAcAAAAJNi8xNC8yMDI2CAAAAAkzLzMxLzIwMjMJAAAAATB8X0bZ/sneCOTLBtz+yd4IT0NJUS5OWVNFOkJBSC5JUV9GSU5BTkNJTkdfT0JMSUdfQ1VSUkVOVF9FWENMX09QRVJfTEVBU0VTLjk5MS4x</t>
  </si>
  <si>
    <t>NC8wNi8yMDI2Li4uVVNELkgBAAAA6XECAAIAAAAGMjczLjE1AQgAAAAFAAAAATEBAAAACjE5NjU3NzI0MjIDAAAAAzE2MAIAAAAFNDg5ODAEAAAAATAHAAAACTYvMTQvMjAyNggAAAAJMy8zMS8yMDE3CQAAAAEwfF9G2f7J3gjkywbc/sneCEhDSVEuTllTRTpCQUguSVFfTFRfUE9SVElPTl9PUEVSX0xFQVNFX0xJQUJJTElUSUVTLjk5OS4xNC8wNi8yMDI2Li4uVVNELkgBAAAA6XECAAIAAAADMTgwAQgAAAAFAAAAATEBAAAACy0xODg3NzA1MDAxAwAAAAMxNjACAAAABTQ4MzgzBAAAAAEwBwAAAAk2LzE0LzIwMjYIAAAACTMvMzEvMjAyNQkAAAABMHxfRtn+yd4IYCVE3f7J3ghNQ0lRLk5ZU0U6QkFILklRX0NVUlJFTlRfUE9SVElPTl9PUEVSX0xFQVNFX0xJQUJJTElUSUVTLjk5My4xNC8wNi8yMDI2Li4uVVNELkgBAAAA6XECAAMAAAAAAHxfRtn+yd4I5MsG3P7J3ggxQ0lRLk5ZU0U6QkFILklRX0NBU0hfU0hBUkUuOTkzLjE0LzA2LzIwMjYuLi5VU0QuSAEAAADpcQIAAgAAAAgyLjAyODA5NgEIAAAABQAAAAExAQAAAAoyMDk5MDg3MTMzAwAAAAMxNjACAAAABDQzODEEAAAAATAHAAAACTYvMTQvMjAyNggAAAAJMy8zMS8yMDE5CQAAAAEwSkdH2f7J3giRyAjc/sneCCpDSVEuTllTRTpCQUguSVFfVEJWLjk5OS4xNC8wNi8yMDI2Li4uVVNELkgBAAAA6XECAAIAAAAFLTE5NjUBCAAAAAUAAAABMQEAAAAL</t>
  </si>
  <si>
    <t>LTE4ODc3MDUwMDEDAAAAAzE2MAIAAAAEMTMxMAQAAAABMAcAAAAJNi8xNC8yMDI2CAAAAAkzLzMxLzIwMjUJAAAAATBKR0fZ/sneCGAlRN3+yd4IOUNJUS5OWVNFOkJBSC5JUV9UQlZfU0hBUkVfUkVQT1JURUQuOTkzLjE0LzA2LzIwMjYuLi5VU0QuSAEAAADpcQIAAwAAAAAASkdH2f7J3gjkywbc/sneCDBDSVEuTllTRTpCQUguSVFfQlZfU0hBUkUuMjAwMC4xNC8wNi8yMDI2Li4uVVNELkgBAAAA6XECAAIAAAAIOS4xODIyMTYBCAAAAAUAAAABMQEAAAALLTE4ODc3MDQzNDEDAAAAAzE2MAIAAAAENDAyMAQAAAABMAcAAAAJNi8xNC8yMDI2CAAAAAkzLzMxLzIwMjYJAAAAATBKR0fZ/sneCOTLBtz+yd4IN0NJUS5OWVNFOkJBSC5JUV9BTExPV19ET1VCVF9BQ0NULjk5NS4xNC8wNi8yMDI2Li4uVVNELkgBAAAA6XECAAIAAAAFMS40NTcBCAAAAAUAAAABMQEAAAALLTIwNDMyMTUzOTIDAAAAAzE2MAIAAAAEMzAxMgQAAAABMAcAAAAJNi8xNC8yMDI2CAAAAAkzLzMxLzIwMjEJAAAAATBKR0fZ/sneCOE9C9z+yd4IM0NJUS5OWVNFOkJBSC5JUV9XT1JLSU5HX0NBUC4yMDAwLjE0LzA2LzIwMjYuLi5VU0QuSAEAAADpcQIAAgAAAAQxMjk4AQgAAAAFAAAAATEBAAAACy0xODg3NzA0MzQxAwAAAAMxNjACAAAABDQxNjUEAAAAATAHAAAACTYvMTQvMjAyNggAAAAJMy8zMS8yMDI2CQAAAAEwSkdH2f7J3ggFPwrc</t>
  </si>
  <si>
    <t>/sneCDBDSVEuTllTRTpCQUguSVFfVE9UQUxfQ0FQLjk5NS4xNC8wNi8yMDI2Li4uVVNELkgBAAAA6XECAAIAAAAIMzc4NC4wMzQBCAAAAAUAAAABMQEAAAALLTIwNDMyMTUzOTIDAAAAAzE2MAIAAAAENDE3NQQAAAABMAcAAAAJNi8xNC8yMDI2CAAAAAkzLzMxLzIwMjEJAAAAATBKR0fZ/sneCAU/Ctz+yd4IL0NJUS5OWVNFOkJBSC5JUV9ORVRfREVCVC45OTEuMTQvMDYvMjAyNi4uLlVTRC5IAQAAAOlxAgACAAAACDE1MjUuOTA3AQgAAAAFAAAAATEBAAAACjE5NjU3NzI0MjIDAAAAAzE2MAIAAAAENDM2NAQAAAABMAcAAAAJNi8xNC8yMDI2CAAAAAkzLzMxLzIwMTcJAAAAATBKR0fZ/sneCAU/Ctz+yd4IOUNJUS5OWVNFOkJBSC5JUV9UT1RBTF9ERUJUX0NVUlJFTlQuOTk3LjE0LzA2LzIwMjYuLi5VU0QuSAEAAADpcQIAAgAAAAY5Mi40ODgBCAAAAAUAAAABMQEAAAALLTE5NDE1NDY4NzEDAAAAAzE2MAIAAAAFMjUyMjMEAAAAATAHAAAACTYvMTQvMjAyNggAAAAJMy8zMS8yMDIzCQAAAAEwSkdH2f7J3giRyAjc/sneCCtDSVEuTllTRTpCQUguSVFfTEFORC45OTcuMTQvMDYvMjAyNi4uLlVTRC5IAQAAAOlxAgADAAAAAABKR0fZ/sneCOE9C9z+yd4IMENJUS5OWVNFOkJBSC5JUV9PVEhFUl9JTlYuOTkxLjE0LzA2LzIwMjYuLi5VU0QuSAEAAADpcQIAAwAAAAAASkdH2f7J3gjhPQvc/sneCC5DSVEuTllT</t>
  </si>
  <si>
    <t>RTpCQUguSVFfV0lQX0lOVi45OTcuMTQvMDYvMjAyNi4uLlVTRC5IAQAAAOlxAgADAAAAAABKR0fZ/sneCOE9C9z+yd4ILENJUS5OWVNFOkJBSC5JUV9MSUZPUi45OTMuMTQvMDYvMjAyNi4uLlVTRC5IAQAAAOlxAgADAAAAAABKR0fZ/sneCOE9C9z+yd4IMkNJUS5OWVNFOkJBSC5JUV9BUl9VTkJJTExFRC45OTkuMTQvMDYvMjAyNi4uLlVTRC5IAQAAAOlxAgACAAAABDE0OTEBCAAAAAUAAAABMQEAAAALLTE4ODc3MDUwMDEDAAAAAzE2MAIAAAAFNDU0MjAEAAAAATAHAAAACTYvMTQvMjAyNggAAAAJMy8zMS8yMDI1CQAAAAEwSkdH2f7J3ghgJUTd/sneCD5DSVEuTllTRTpCQUguSVFfTUlOT1JJVFlfSU5UX1JFREVFTV9UT1QuOTk5LjE0LzA2LzIwMjYuLi5VU0QuSAEAAADpcQIAAwAAAAAASkdH2f7J3ggS10Pd/sneCEJDSVEuTllTRTpCQUguSVFfRklOX0RJVl9NSU5PUklUWV9JTlRfUkVERUVNLjk5My4xNC8wNi8yMDI2Li4uVVNELkgBAAAA6XECAAMAAAAAAEpHR9n+yd4IHSEQ3P7J3gg8Q0lRLk5ZU0U6QkFILklRX0xFQVNFSE9MRF9JTVBST1ZFTUVOVC45OTkuMTQvMDYvMjAyNi4uLlVTRC5IAQAAAOlxAgACAAAAAzIzNgEIAAAABQAAAAExAQAAAAstMTg4NzcwNTAwMQMAAAADMTYwAgAAAAQzMTAwBAAAAAEwBwAAAAk2LzE0LzIwMjYIAAAACTMvMzEvMjAyNQkAAAABMEpHR9n+yd4IEtdD3f7J3gg9</t>
  </si>
  <si>
    <t>Q0lRLk5ZU0U6QkFILklRX05BVFVSQUxfUkVTT1VSQ0VTX0NPU1QuOTk1LjE0LzA2LzIwMjYuLi5VU0QuSAEAAADpcQIAAwAAAAAASkdH2f7J3ghuqg3c/sneCDFDSVEuTllTRTpCQUguSVFfTUFDSElORVJZLjIwMDAuMTQvMDYvMjAyNi4uLlVTRC5IAQAAAOlxAgACAAAAAzIyNgEIAAAABQAAAAExAQAAAAstMTg4NzcwNDM0MQMAAAADMTYwAgAAAAQzMTE0BAAAAAEwBwAAAAk2LzE0LzIwMjYIAAAACTMvMzEvMjAyNgkAAAABMEpHR9n+yd4I4T0L3P7J3ghKQ0lRLk5ZU0U6QkFILklRX0xJUVVJREFUSU9OX1ZBTFVFX1BSRUZFUlJFRF9SRURFRU0uMjAwMC4xNC8wNi8yMDI2Li4uVVNELkgBAAAA6XECAAMAAAAAAEpHR9n+yd4IHSEQ3P7J3ghNQ0lRLk5ZU0U6QkFILklRX0xJUVVJREFUSU9OX1ZBTFVFX1BSRUZFUlJFRF9OT05fUkVERUVNLjk5NS4xNC8wNi8yMDI2Li4uVVNELkgBAAAA6XECAAMAAAAAAEpHR9n+yd4IHSEQ3P7J3ghGQ0lRLk5ZU0U6QkFILklRX1RPVEFMX0dFTkVSQUxfUEFSVE5FUl9JTlRFUkVTVC4yMDAwLjE0LzA2LzIwMjYuLi5VU0QuSAEAAADpcQIAAwAAAAAASkdH2f7J3ggdIRDc/sneCEJDSVEuTllTRTpCQUguSVFfR0VORVJBTF9QQVJUTkVSX1BSRUZfRVFVSVRZLjk5Ny4xNC8wNi8yMDI2Li4uVVNELkgBAAAA6XECAAMAAAAAAEpHR9n+yd4IHSEQ3P7J3ghEQ0lRLk5ZU0U6QkFI</t>
  </si>
  <si>
    <t>LklRX0dFTkVSQUxfUEFSVE5FUl9DT01NT05fRVFVSVRZLjk5MS4xNC8wNi8yMDI2Li4uVVNELkgBAAAA6XECAAMAAAAAAEpHR9n+yd4IHSEQ3P7J3gg9Q0lRLk5ZU0U6QkFILklRX0xJQUJJTElUSUVTX0ZBSVJfVkFMVUUuOTkxLjE0LzA2LzIwMjYuLi5VU0QuSAEAAADpcQIAAgAAAAUzLjU3NgCGKxTZ/sneCA2TEtz+yd4IOkNJUS5OWVNFOkJBSC5JUV9MSUFCSUxJVElFU19MRVZFTF8zLjk5Ny4xNC8wNi8yMDI2Li4uVVNELkgBAAAA6XECAAMAAAAAAIYrFNn+yd4IDZMS3P7J3gg6Q0lRLk5ZU0U6QkFILklRX0xJQUJJTElUSUVTX0xFVkVMXzIuOTkxLjE0LzA2LzIwMjYuLi5VU0QuSAEAAADpcQIAAwAAAAAAhisU2f7J3ggNkxLc/sneCEdDSVEuTllTRTpCQUguSVFfQVNTRVRTX05FVFRJTkdfT1RIRVJfQURKVVNUTUVOVFMuOTk5LjE0LzA2LzIwMjYuLi5VU0QuSAEAAADpcQIAAwAAAAAASkdH2f7J3gi4iEPd/sneCDVDSVEuTllTRTpCQUguSVFfQVNTRVRTX0xFVkVMXzMuOTkzLjE0LzA2LzIwMjYuLi5VU0QuSAEAAADpcQIAAwAAAAAASkdH2f7J3ggNkxLc/sneCDxDSVEuTllTRTpCQUguSVFfRklOX0RJVl9MVF9ERUJUX1RPVEFMLjk5My4xNC8wNi8yMDI2Li4uVVNELkgBAAAA6XECAAMAAAAAAIYrFNn+yd4IDZMS3P7J3gg8Q0lRLk5ZU0U6QkFILklRX1JFU1RSSUNURURfQ0FTSF9UT1RBTC45OTUu</t>
  </si>
  <si>
    <t>MTQvMDYvMjAyNi4uLlVTRC5IAQAAAOlxAgADAAAAAACGKxTZ/sneCPn1FNz+yd4IPENJUS5OWVNFOkJBSC5JUV9ERUJUX0VRVUlWX09QRVJfTEVBU0UuOTk1LjE0LzA2LzIwMjYuLi5VU0QuSAEAAADpcQIAAgAAAAU2ODIuNgEIAAAABQAAAAExAQAAAAstMjA0MzIxNTM5MgMAAAADMTYwAgAAAAUyMTY3MQQAAAABMAcAAAAJNi8xNC8yMDI2CAAAAAkzLzMxLzIwMjEJAAAAATCGKxTZ/sneCPn1FNz+yd4IOENJUS5OWVNFOkJBSC5JUV9GSU5fRElWX1NUX0lOVkVTVC45OTEuMTQvMDYvMjAyNi4uLlVTRC5IAQAAAOlxAgADAAAAAACGKxTZ/sneCA2TEtz+yd4IOUNJUS5OWVNFOkJBSC5JUV9GSU5fRElWX0RFQlRfVE9UQUwuOTk3LjE0LzA2LzIwMjYuLi5VU0QuSAEAAADpcQIAAwAAAAAAhisU2f7J3ggNkxLc/sneCEJDSVEuTllTRTpCQUguSVFfREVSSVZBVElWRV9MSUFCX05PTl9DVVJSRU5ULjk5Ny4xNC8wNi8yMDI2Li4uVVNELkgBAAAA6XECAAMAAAAAAIYrFNn+yd4IR2cX3P7J3gg+Q0lRLk5ZU0U6QkFILklRX0RFUklWQVRJVkVfTElBQl9DVVJSRU5ULjk5MS4xNC8wNi8yMDI2Li4uVVNELkgBAAAA6XECAAMAAAAAAIYrFNn+yd4IR2cX3P7J3ghEQ0lRLk5ZU0U6QkFILklRX0NVUlJFTlRfUE9SVF9ERUJUX0RFUklWQVRJVkVTLjk5Ny4xNC8wNi8yMDI2Li4uVVNELkgBAAAA6XECAAMAAAAAAIYrFNn+</t>
  </si>
  <si>
    <t>yd4I+fUU3P7J3gg7Q0lRLk5ZU0U6QkFILklRX1dBUlJBTlRZX0xJQUJJTElUSUVTLjk5My4xNC8wNi8yMDI2Li4uVVNELkgBAAAA6XECAAMAAAAAAIYrFNn+yd4I+fUU3P7J3gg0Q0lRLk5ZU0U6QkFILklRX09SREVSX0JBQ0tMT0cuOTk5LjE0LzA2LzIwMjYuLi5VU0QuSAEAAADpcQIAAgAAAAUzNzAyNwEIAAAABQAAAAExAQAAAAstMTg4NzcwNTAwMQMAAAADMTYwAgAAAAQzMTI1BAAAAAEwBwAAAAk2LzE0LzIwMjYIAAAACTMvMzEvMjAyNQkAAAABMIYrFNn+yd4IKvhA3f7J3gg8Q0lRLk5ZU0U6QkFILklRX0FEVkFOQ0VTX0ZPUl9TVVBQTElFUy45OTkuMTQvMDYvMjAyNi4uLlVTRC5IAQAAAOlxAgADAAAAAACGKxTZ/sneCCr4QN3+yd4IOUNJUS5OWVNFOkJBSC5JUV9MVF9NQVJLX1NFQ1VSSVRJRVMuOTkzLjE0LzA2LzIwMjYuLi5VU0QuSAEAAADpcQIAAwAAAAAAhisU2f7J3ggEihnc/sneCC9DSVEuTllTRTpCQUguSVFfR1JPU1NfR1cuOTk5LjE0LzA2LzIwMjYuLi5VU0QuSAEAAADpcQIAAwAAAAAAhisU2f7J3ggq+EDd/sneCDlDSVEuTllTRTpCQUguSVFfR1JPU1NfSU5UQU5fQVNTRVRTLjk5NS4xNC8wNi8yMDI2Li4uVVNELkgBAAAA6XECAAIAAAAFMjcyLjYBCAAAAAUAAAABMQEAAAALLTIwNDMyMTUzOTIDAAAAAzE2MAIAAAAFMjQyOTMEAAAAATAHAAAACTYvMTQvMjAyNggAAAAJMy8zMS8y</t>
  </si>
  <si>
    <t>MDIxCQAAAAEwhisU2f7J3ghHZxfc/sneCEFDSVEuTllTRTpCQUguSVFfREVSSVZBVElWRV9BU1NFVFNfQ1VSUkVOVC4yMDAwLjE0LzA2LzIwMjYuLi5VU0QuSAEAAADpcQIAAwAAAAAAhisU2f7J3ghHZxfc/sneCDdDSVEuTllTRTpCQUguSVFfSU5URVJDT01QQU5ZX0NMLjIwMDAuMTQvMDYvMjAyNi4uLlVTRC5IAQAAAOlxAgADAAAAAACGKxTZ/sneCJbOGdz+yd4INkNJUS5OWVNFOkJBSC5JUV9JTlRFUkNPTVBBTllfQ0EuOTk3LjE0LzA2LzIwMjYuLi5VU0QuSAEAAADpcQIAAwAAAAAAhisU2f7J3giWzhnc/sneCDBDSVEuTllTRTpCQUguSVFfSU5UQU5fTkVULjk5MS4xNC8wNi8yMDI2Li4uVVNELkgBAAAA6XECAAMAAAAAAIYrFNn+yd4Ils4Z3P7J3ggsQ0lRLk5ZU0U6QkFILklRX0xJRk9SLjk5Mi4xNC8wNi8yMDI2Li4uVVNELkgBAAAA6XECAAMAAAAAAEpHR9n+yd4I4T0L3P7J3ggyQ0lRLk5ZU0U6QkFILklRX0FSX1VOQklMTEVELjk5OC4xNC8wNi8yMDI2Li4uVVNELkgBAAAA6XECAAIAAAAEMTM0NwEIAAAABQAAAAExAQAAAAstMTg4NzcwNDk5MwMAAAADMTYwAgAAAAU0NTQyMAQAAAABMAcAAAAJNi8xNC8yMDI2CAAAAAkzLzMxLzIwMjQJAAAAATBKR0fZ/sneCOE9C9z+yd4INENJUS5OWVNFOkJBSC5JUV9FUVVJVFlfTUVUSE9ELjk5Mi4xNC8wNi8yMDI2Li4uVVNELkgBAAAA6XECAAMAAAAA</t>
  </si>
  <si>
    <t>AEpHR9n+yd4I4T0L3P7J3gg9Q0lRLk5ZU0U6QkFILklRX05BVFVSQUxfUkVTT1VSQ0VTX0NPU1QuOTk0LjE0LzA2LzIwMjYuLi5VU0QuSAEAAADpcQIAAwAAAAAASkdH2f7J3ghuqg3c/sneCDFDSVEuTllTRTpCQUguSVFfTUFDSElORVJZLjEwMDAuMTQvMDYvMjAyNi4uLlVTRC5IAQAAAOlxAgACAAAAAzIyNgEIAAAABQAAAAExAQAAAAstMTg4NzcwNDk3NwMAAAADMTYwAgAAAAQzMTE0BAAAAAEwBwAAAAk2LzE0LzIwMjYIAAAACTMvMzEvMjAyNgkAAAABMEpHR9n+yd4IEtdD3f7J3ggwQ0lRLk5ZU0U6QkFILklRX0JVSUxESU5HUy45OTQuMTQvMDYvMjAyNi4uLlVTRC5IAQAAAOlxAgADAAAAAABKR0fZ/sneCOE9C9z+yd4IMENJUS5OWVNFOkJBSC5JUV9PVEhFUl9JTlYuOTkwLjE0LzA2LzIwMjYuLi5VU0QuSAEAAADpcQIAAwAAAAAASkdH2f7J3gjhPQvc/sneCC5DSVEuTllTRTpCQUguSVFfV0lQX0lOVi45OTYuMTQvMDYvMjAyNi4uLlVTRC5IAQAAAOlxAgADAAAAAABKR0fZ/sneCOE9C9z+yd4IQkNJUS5OWVNFOkJBSC5JUV9HRU5FUkFMX1BBUlRORVJfUFJFRl9FUVVJVFkuOTk2LjE0LzA2LzIwMjYuLi5VU0QuSAEAAADpcQIAAwAAAAAASkdH2f7J3ggdIRDc/sneCERDSVEuTllTRTpCQUguSVFfR0VORVJBTF9QQVJUTkVSX0NPTU1PTl9FUVVJVFkuOTkwLjE0LzA2LzIwMjYuLi5VU0QuSAEAAADp</t>
  </si>
  <si>
    <t>cQIAAwAAAAAASkdH2f7J3ggdIRDc/sneCEBDSVEuTllTRTpCQUguSVFfRklOX0RJVl9NSU5PUklUWV9JTlRFUkVTVC45OTYuMTQvMDYvMjAyNi4uLlVTRC5IAQAAAOlxAgADAAAAAABKR0fZ/sneCB0hENz+yd4IQkNJUS5OWVNFOkJBSC5JUV9GSU5fRElWX01JTk9SSVRZX0lOVF9SRURFRU0uOTkyLjE0LzA2LzIwMjYuLi5VU0QuSAEAAADpcQIAAwAAAAAASkdH2f7J3ggdIRDc/sneCDxDSVEuTllTRTpCQUguSVFfTEVBU0VIT0xEX0lNUFJPVkVNRU5ULjk5OC4xNC8wNi8yMDI2Li4uVVNELkgBAAAA6XECAAIAAAADMjcwAQgAAAAFAAAAATEBAAAACy0xODg3NzA0OTkzAwAAAAMxNjACAAAABDMxMDAEAAAAATAHAAAACTYvMTQvMjAyNggAAAAJMy8zMS8yMDI0CQAAAAEwSkdH2f7J3ggdIRDc/sneCEdDSVEuTllTRTpCQUguSVFfQVNTRVRTX05FVFRJTkdfT1RIRVJfQURKVVNUTUVOVFMuOTk4LjE0LzA2LzIwMjYuLi5VU0QuSAEAAADpcQIAAwAAAAAASkdH2f7J3ggNkxLc/sneCDVDSVEuTllTRTpCQUguSVFfQVNTRVRTX0xFVkVMXzMuOTkyLjE0LzA2LzIwMjYuLi5VU0QuSAEAAADpcQIAAwAAAAAASkdH2f7J3ggNkxLc/sneCDVDSVEuTllTRTpCQUguSVFfQVNTRVRTX0xFVkVMXzEuOTk4LjE0LzA2LzIwMjYuLi5VU0QuSAEAAADpcQIAAgAAAAMyMjIASkdH2f7J3ggdIRDc/sneCE1DSVEuTllTRTpCQUgu</t>
  </si>
  <si>
    <t>SVFfTElRVUlEQVRJT05fVkFMVUVfUFJFRkVSUkVEX05PTl9SRURFRU0uOTk0LjE0LzA2LzIwMjYuLi5VU0QuSAEAAADpcQIAAwAAAAAASkdH2f7J3ggdIRDc/sneCEZDSVEuTllTRTpCQUguSVFfVE9UQUxfR0VORVJBTF9QQVJUTkVSX0lOVEVSRVNULjEwMDAuMTQvMDYvMjAyNi4uLlVTRC5IAQAAAOlxAgADAAAAAABKR0fZ/sneCLiIQ93+yd4IPkNJUS5OWVNFOkJBSC5JUV9MSUFCSUxJVElFU19GQUlSX1ZBTFVFLjEwMDAuMTQvMDYvMjAyNi4uLlVTRC5IAQAAAOlxAgACAAAABDM5NzgAhisU2f7J3ggxaUPd/sneCDpDSVEuTllTRTpCQUguSVFfTElBQklMSVRJRVNfTEVWRUxfMy45OTYuMTQvMDYvMjAyNi4uLlVTRC5IAQAAAOlxAgADAAAAAACGKxTZ/sneCA2TEtz+yd4IOkNJUS5OWVNFOkJBSC5JUV9MSUFCSUxJVElFU19MRVZFTF8yLjk5MC4xNC8wNi8yMDI2Li4uVVNELkgBAAAA6XECAAMAAAAAAIYrFNn+yd4IDZMS3P7J3gg4Q0lRLk5ZU0U6QkFILklRX0ZJTl9ESVZfU1RfSU5WRVNULjk5MC4xNC8wNi8yMDI2Li4uVVNELkgBAAAA6XECAAMAAAAAAIYrFNn+yd4IDZMS3P7J3gg5Q0lRLk5ZU0U6QkFILklRX0ZJTl9ESVZfREVCVF9UT1RBTC45OTYuMTQvMDYvMjAyNi4uLlVTRC5IAQAAAOlxAgADAAAAAACGKxTZ/sneCA2TEtz+yd4IPENJUS5OWVNFOkJBSC5JUV9GSU5fRElWX1NUX0RFQlRfVE9U</t>
  </si>
  <si>
    <t>QUwuOTkwLjE0LzA2LzIwMjYuLi5VU0QuSAEAAADpcQIAAwAAAAAAhisU2f7J3ggNkxLc/sneCDtDSVEuTllTRTpCQUguSVFfV0FSUkFOVFlfTElBQklMSVRJRVMuOTkyLjE0LzA2LzIwMjYuLi5VU0QuSAEAAADpcQIAAwAAAAAAhisU2f7J3gj59RTc/sneCDRDSVEuTllTRTpCQUguSVFfT1JERVJfQkFDS0xPRy45OTguMTQvMDYvMjAyNi4uLlVTRC5IAQAAAOlxAgADAAAAAACGKxTZ/sneCPn1FNz+yd4IOkNJUS5OWVNFOkJBSC5JUV9UT1RBTF9ERUJUX0VYQ0xfRklOLjk5Mi4xNC8wNi8yMDI2Li4uVVNELkgBAAAA6XECAAIAAAAIMTg5OC41NzkBCAAAAAUAAAABMQEAAAAKMjAzODA5MTA3NwMAAAADMTYwAgAAAAUyMTg2MAQAAAABMAcAAAAJNi8xNC8yMDI2CAAAAAkzLzMxLzIwMTgJAAAAATCGKxTZ/sneCPn1FNz+yd4IPENJUS5OWVNFOkJBSC5JUV9ERUJUX0VRVUlWX09QRVJfTEVBU0UuOTk0LjE0LzA2LzIwMjYuLi5VU0QuSAEAAADpcQIAAgAAAAc3MzkuMDQ4AQgAAAAFAAAAATEBAAAACy0yMDk1MTI2MDkwAwAAAAMxNjACAAAABTIxNjcxBAAAAAEwBwAAAAk2LzE0LzIwMjYIAAAACTMvMzEvMjAyMAkAAAABMIYrFNn+yd4I+fUU3P7J3gg5Q0lRLk5ZU0U6QkFILklRX0dST1NTX0lOVEFOX0FTU0VUUy45OTQuMTQvMDYvMjAyNi4uLlVTRC5IAQAAAOlxAgACAAAABjI3OC41NQEIAAAABQAAAAExAQAA</t>
  </si>
  <si>
    <t>AAstMjA5NTEyNjA5MAMAAAADMTYwAgAAAAUyNDI5MwQAAAABMAcAAAAJNi8xNC8yMDI2CAAAAAkzLzMxLzIwMjAJAAAAATCGKxTZ/sneCEdnF9z+yd4IQUNJUS5OWVNFOkJBSC5JUV9ERVJJVkFUSVZFX0FTU0VUU19DVVJSRU5ULjEwMDAuMTQvMDYvMjAyNi4uLlVTRC5IAQAAAOlxAgADAAAAAACGKxTZ/sneCCr4QN3+yd4IQENJUS5OWVNFOkJBSC5JUV9ERVJJVkFUSVZFX1RSQURJTkdfQVNTRVRTLjk5NC4xNC8wNi8yMDI2Li4uVVNELkgBAAAA6XECAAMAAAAAAIYrFNn+yd4IR2cX3P7J3gg+Q0lRLk5ZU0U6QkFILklRX0RFUklWQVRJVkVfTElBQl9DVVJSRU5ULjk5MC4xNC8wNi8yMDI2Li4uVVNELkgBAAAA6XECAAMAAAAAAIYrFNn+yd4IR2cX3P7J3ghEQ0lRLk5ZU0U6QkFILklRX0NVUlJFTlRfUE9SVF9ERUJUX0RFUklWQVRJVkVTLjk5Ni4xNC8wNi8yMDI2Li4uVVNELkgBAAAA6XECAAIAAAAFNC4zMjQBCAAAAAUAAAABMQEAAAALLTE5OTI0MDIwNTkDAAAAAzE2MAIAAAAFMzA5MTcEAAAAATAHAAAACTYvMTQvMjAyNggAAAAJMy8zMS8yMDIyCQAAAAEwhisU2f7J3gj59RTc/sneCDZDSVEuTllTRTpCQUguSVFfSU5URVJDT01QQU5ZX0NBLjk5Ni4xNC8wNi8yMDI2Li4uVVNELkgBAAAA6XECAAMAAAAAAIYrFNn+yd4Ils4Z3P7J3ggwQ0lRLk5ZU0U6QkFILklRX0lOVEFOX05FVC45OTAuMTQvMDYv</t>
  </si>
  <si>
    <t>MjAyNi4uLlVTRC5IAQAAAOlxAgADAAAAAACGKxTZ/sneCJbOGdz+yd4IM0NJUS5OWVNFOkJBSC5JUV9HV19JTlRBTl9ORVQuOTk2LjE0LzA2LzIwMjYuLi5VU0QuSAEAAADpcQIAAwAAAAAAhisU2f7J3giWzhnc/sneCDlDSVEuTllTRTpCQUguSVFfTFRfTUFSS19TRUNVUklUSUVTLjk5Mi4xNC8wNi8yMDI2Li4uVVNELkgBAAAA6XECAAMAAAAAAIYrFNn+yd4IBIoZ3P7J3ggvQ0lRLk5ZU0U6QkFILklRX0dST1NTX0dXLjk5OC4xNC8wNi8yMDI2Li4uVVNELkgBAAAA6XECAAMAAAAAAIYrFNn+yd4IR2cX3P7J3gg3Q0lRLk5ZU0U6QkFILklRX0lOVEVSQ09NUEFOWV9DTC4xMDAwLjE0LzA2LzIwMjYuLi5VU0QuSAEAAADpcQIAAwAAAAAAhisU2f7J3ggq+EDd/sneCFNDSVEuTllTRTpCQUguSVFfRklOQU5DSU5HX09CTElHX05PTl9DVVJSRU5UX0VYQ0xfT1BFUl9MRUFTRVMuOTk1LjE0LzA2LzIwMjYuLi5VU0QuSAEAAADpcQIAAgAAAAcyMjk5LjczAQgAAAAFAAAAATEBAAAACy0yMDQzMjE1MzkyAwAAAAMxNjACAAAABTQ4OTgxBAAAAAEwBwAAAAk2LzE0LzIwMjYIAAAACTMvMzEvMjAyMQkAAAABMHxfRtn+yd4I5MsG3P7J3ggqQ0lRLk5ZU0U6QkFILklRX1RCVi45OTcuMTQvMDYvMjAyNi4uLlVTRC5IAQAAAOlxAgACAAAACS0yMDMyLjAxMgEIAAAABQAAAAExAQAAAAstMTk0MTU0Njg3MQMAAAADMTYw</t>
  </si>
  <si>
    <t>AgAAAAQxMzEwBAAAAAEwBwAAAAk2LzE0LzIwMjYIAAAACTMvMzEvMjAyMwkAAAABMEpHR9n+yd4IkcgI3P7J3gg5Q0lRLk5ZU0U6QkFILklRX1RCVl9TSEFSRV9SRVBPUlRFRC45OTEuMTQvMDYvMjAyNi4uLlVTRC5IAQAAAOlxAgADAAAAAABKR0fZ/sneCOTLBtz+yd4IOENJUS5OWVNFOkJBSC5JUV9CVl9TSEFSRV9SRVBPUlRFRC45OTcuMTQvMDYvMjAyNi4uLlVTRC5IAQAAAOlxAgADAAAAAABKR0fZ/sneCOTLBtz+yd4IPUNJUS5OWVNFOkJBSC5JUV9UT1RBTF9ERUJUX0VYQ0xfTEVBU0VTLjk5OS4xNC8wNi8yMDI2Li4uVVNELkgBAAAA6XECAAIAAAAEMzk5OAEIAAAABQAAAAExAQAAAAstMTg4NzcwNTAwMQMAAAADMTYwAgAAAAU0ODk5MgQAAAABMAcAAAAJNi8xNC8yMDI2CAAAAAkzLzMxLzIwMjUJAAAAATB8X0bZ/sneCGAlRN3+yd4IMkNJUS5OWVNFOkJBSC5JUV9XT1JLSU5HX0NBUC45OTkuMTQvMDYvMjAyNi4uLlVTRC5IAQAAAOlxAgACAAAABDE0NjcBCAAAAAUAAAABMQEAAAALLTE4ODc3MDUwMDEDAAAAAzE2MAIAAAAENDE2NQQAAAABMAcAAAAJNi8xNC8yMDI2CAAAAAkzLzMxLzIwMjUJAAAAATBKR0fZ/sneCGAlRN3+yd4IMENJUS5OWVNFOkJBSC5JUV9UT1RBTF9DQVAuOTkzLjE0LzA2LzIwMjYuLi5VU0QuSAEAAADpcQIAAgAAAAgyNTIwLjQwMwEIAAAABQAAAAExAQAAAAoyMDk5MDg3</t>
  </si>
  <si>
    <t>MTMzAwAAAAMxNjACAAAABDQxNzUEAAAAATAHAAAACTYvMTQvMjAyNggAAAAJMy8zMS8yMDE5CQAAAAEwSkdH2f7J3ggFPwrc/sneCC9DSVEuTllTRTpCQUguSVFfTkVUX0RFQlQuOTk5LjE0LzA2LzIwMjYuLi5VU0QuSAEAAADpcQIAAgAAAAQzMzM0AQgAAAAFAAAAATEBAAAACy0xODg3NzA1MDAxAwAAAAMxNjACAAAABDQzNjQEAAAAATAHAAAACTYvMTQvMjAyNggAAAAJMy8zMS8yMDI1CQAAAAEwSkdH2f7J3ghgJUTd/sneCDlDSVEuTllTRTpCQUguSVFfVE9UQUxfREVCVF9DVVJSRU5ULjk5NS4xNC8wNi8yMDI2Li4uVVNELkgBAAAA6XECAAIAAAAHMTQ5Ljk4NAEIAAAABQAAAAExAQAAAAstMjA0MzIxNTM5MgMAAAADMTYwAgAAAAUyNTIyMwQAAAABMAcAAAAJNi8xNC8yMDI2CAAAAAkzLzMxLzIwMjEJAAAAATBKR0fZ/sneCJHICNz+yd4IMkNJUS5OWVNFOkJBSC5JUV9DQVNIX1NIQVJFLjIwMDAuMTQvMDYvMjAyNi4uLlVTRC5IAQAAAOlxAgACAAAACDYuMDQ5NDU5AQgAAAAFAAAAATEBAAAACy0xODg3NzA0MzQxAwAAAAMxNjACAAAABDQzODEEAAAAATAHAAAACTYvMTQvMjAyNggAAAAJMy8zMS8yMDI2CQAAAAEwSkdH2f7J3giRyAjc/sneCDRDSVEuTllTRTpCQUguSVFfRklOSVNIRURfSU5WLjIwMDAuMTQvMDYvMjAyNi4uLlVTRC5IAQAAAOlxAgADAAAAAABKR0fZ/sneCOE9C9z+yd4ILkNJUS5O</t>
  </si>
  <si>
    <t>WVNFOkJBSC5JUV9XSVBfSU5WLjk5NS4xNC8wNi8yMDI2Li4uVVNELkgBAAAA6XECAAMAAAAAAEpHR9n+yd4I4T0L3P7J3ggtQ0lRLk5ZU0U6QkFILklRX0xJRk9SLjIwMDAuMTQvMDYvMjAyNi4uLlVTRC5IAQAAAOlxAgADAAAAAABKR0fZ/sneCOE9C9z+yd4IMkNJUS5OWVNFOkJBSC5JUV9BUl9VTkJJTExFRC45OTcuMTQvMDYvMjAyNi4uLlVTRC5IAQAAAOlxAgACAAAACDEyMjMuNDgyAQgAAAAFAAAAATEBAAAACy0xOTQxNTQ2ODcxAwAAAAMxNjACAAAABTQ1NDIwBAAAAAEwBwAAAAk2LzE0LzIwMjYIAAAACTMvMzEvMjAyMwkAAAABMEpHR9n+yd4I4T0L3P7J3gg0Q0lRLk5ZU0U6QkFILklRX0VRVUlUWV9NRVRIT0QuOTkxLjE0LzA2LzIwMjYuLi5VU0QuSAEAAADpcQIAAwAAAAAASkdH2f7J3gjhPQvc/sneCEJDSVEuTllTRTpCQUguSVFfRklOX0RJVl9NSU5PUklUWV9JTlRfUkVERUVNLjk5MS4xNC8wNi8yMDI2Li4uVVNELkgBAAAA6XECAAMAAAAAAEpHR9n+yd4IHSEQ3P7J3gg8Q0lRLk5ZU0U6QkFILklRX0xFQVNFSE9MRF9JTVBST1ZFTUVOVC45OTcuMTQvMDYvMjAyNi4uLlVTRC5IAQAAAOlxAgACAAAABzI1OC4yNTgBCAAAAAUAAAABMQEAAAALLTE5NDE1NDY4NzEDAAAAAzE2MAIAAAAEMzEwMAQAAAABMAcAAAAJNi8xNC8yMDI2CAAAAAkzLzMxLzIwMjMJAAAAATBKR0fZ/sneCB0hENz+yd4I</t>
  </si>
  <si>
    <t>KkNJUS5OWVNFOkJBSC5JUV9DSVAuOTkxLjE0LzA2LzIwMjYuLi5VU0QuSAEAAADpcQIAAwAAAAAASkdH2f7J3ggdIRDc/sneCDBDSVEuTllTRTpCQUguSVFfTUFDSElORVJZLjk5OS4xNC8wNi8yMDI2Li4uVVNELkgBAAAA6XECAAIAAAADMjIyAQgAAAAFAAAAATEBAAAACy0xODg3NzA1MDAxAwAAAAMxNjACAAAABDMxMTQEAAAAATAHAAAACTYvMTQvMjAyNggAAAAJMy8zMS8yMDI1CQAAAAEwSkdH2f7J3ggS10Pd/sneCDBDSVEuTllTRTpCQUguSVFfQlVJTERJTkdTLjk5My4xNC8wNi8yMDI2Li4uVVNELkgBAAAA6XECAAMAAAAAAEpHR9n+yd4I4T0L3P7J3ghNQ0lRLk5ZU0U6QkFILklRX0xJUVVJREFUSU9OX1ZBTFVFX1BSRUZFUlJFRF9OT05fUkVERUVNLjk5My4xNC8wNi8yMDI2Li4uVVNELkgBAAAA6XECAAMAAAAAAEpHR9n+yd4IHSEQ3P7J3ghFQ0lRLk5ZU0U6QkFILklRX1RPVEFMX0dFTkVSQUxfUEFSVE5FUl9JTlRFUkVTVC45OTkuMTQvMDYvMjAyNi4uLlVTRC5IAQAAAOlxAgADAAAAAABKR0fZ/sneCLiIQ93+yd4ISENJUS5OWVNFOkJBSC5JUV9HRU5FUkFMX1BBUlRORVJfTUlOT1JJVFlfSU5URVJFU1QuOTkzLjE0LzA2LzIwMjYuLi5VU0QuSAEAAADpcQIAAwAAAAAASkdH2f7J3ggdIRDc/sneCENDSVEuTllTRTpCQUguSVFfREVGX1RBWF9WQUxVQVRJT05fQUxMT1dBTkNFLjIwMDAuMTQv</t>
  </si>
  <si>
    <t>MDYvMjAyNi4uLlVTRC5IAQAAAOlxAgACAAAAAjEwAQgAAAAFAAAAATEBAAAACy0xODg3NzA0MzQxAwAAAAMxNjACAAAABTQ2MDQ1BAAAAAEwBwAAAAk2LzE0LzIwMjYIAAAACTMvMzEvMjAyNgkAAAABMEpHR9n+yd4IHSEQ3P7J3ghAQ0lRLk5ZU0U6QkFILklRX0ZJTl9ESVZfTUlOT1JJVFlfSU5URVJFU1QuOTk1LjE0LzA2LzIwMjYuLi5VU0QuSAEAAADpcQIAAwAAAAAASkdH2f7J3ggdIRDc/sneCDpDSVEuTllTRTpCQUguSVFfTElBQklMSVRJRVNfTEVWRUxfMy45OTUuMTQvMDYvMjAyNi4uLlVTRC5IAQAAAOlxAgACAAAABTEuMjIzAIYrFNn+yd4IDZMS3P7J3gg7Q0lRLk5ZU0U6QkFILklRX0xJQUJJTElUSUVTX0xFVkVMXzEuMjAwMC4xNC8wNi8yMDI2Li4uVVNELkgBAAAA6XECAAIAAAACNDAAhisU2f7J3ggNkxLc/sneCDhDSVEuTllTRTpCQUguSVFfQVNTRVRTX0ZBSVJfVkFMVUUuOTk1LjE0LzA2LzIwMjYuLi5VU0QuSAEAAADpcQIAAgAAAAYxNC4xNDIAhisU2f7J3ggNkxLc/sneCDVDSVEuTllTRTpCQUguSVFfQVNTRVRTX0xFVkVMXzMuOTkxLjE0LzA2LzIwMjYuLi5VU0QuSAEAAADpcQIAAwAAAAAASkdH2f7J3ggNkxLc/sneCDVDSVEuTllTRTpCQUguSVFfQVNTRVRTX0xFVkVMXzEuOTk3LjE0LzA2LzIwMjYuLi5VU0QuSAEAAADpcQIAAgAAAAYyNTcuODkASkdH2f7J3ggdIRDc/sneCD1D</t>
  </si>
  <si>
    <t>SVEuTllTRTpCQUguSVFfTElBQklMSVRJRVNfRkFJUl9WQUxVRS45OTkuMTQvMDYvMjAyNi4uLlVTRC5IAQAAAOlxAgACAAAABDM5OTIAhisU2f7J3ggxaUPd/sneCDxDSVEuTllTRTpCQUguSVFfREVCVF9FUVVJVl9PUEVSX0xFQVNFLjk5My4xNC8wNi8yMDI2Li4uVVNELkgBAAAA6XECAAIAAAAFNjYxLjYBCAAAAAUAAAABMQEAAAAKMjA5OTA4NzEzMwMAAAADMTYwAgAAAAUyMTY3MQQAAAABMAcAAAAJNi8xNC8yMDI2CAAAAAkzLzMxLzIwMTkJAAAAATCGKxTZ/sneCPn1FNz+yd4IOENJUS5OWVNFOkJBSC5JUV9GSU5fRElWX1NUX0lOVkVTVC45OTkuMTQvMDYvMjAyNi4uLlVTRC5IAQAAAOlxAgADAAAAAACGKxTZ/sneCCr4QN3+yd4IOUNJUS5OWVNFOkJBSC5JUV9GSU5fRElWX0RFQlRfVE9UQUwuOTk1LjE0LzA2LzIwMjYuLi5VU0QuSAEAAADpcQIAAwAAAAAAhisU2f7J3ggNkxLc/sneCD1DSVEuTllTRTpCQUguSVFfRklOX0RJVl9MVF9ERUJUX1RPVEFMLjIwMDAuMTQvMDYvMjAyNi4uLlVTRC5IAQAAAOlxAgADAAAAAACGKxTZ/sneCA2TEtz+yd4IO0NJUS5OWVNFOkJBSC5JUV9MVF9ERUJUX0RFUklWQVRJVkVTLjIwMDAuMTQvMDYvMjAyNi4uLlVTRC5IAQAAAOlxAgADAAAAAACGKxTZ/sneCEdnF9z+yd4IRENJUS5OWVNFOkJBSC5JUV9DVVJSRU5UX1BPUlRfREVCVF9ERVJJVkFUSVZFUy45OTUu</t>
  </si>
  <si>
    <t>MTQvMDYvMjAyNi4uLlVTRC5IAQAAAOlxAgACAAAABjE3LjE2MwEIAAAABQAAAAExAQAAAAstMjA0MzIxNTM5MgMAAAADMTYwAgAAAAUzMDkxNwQAAAABMAcAAAAJNi8xNC8yMDI2CAAAAAkzLzMxLzIwMjEJAAAAATCGKxTZ/sneCPn1FNz+yd4IPENJUS5OWVNFOkJBSC5JUV9XQVJSQU5UWV9MSUFCSUxJVElFUy4yMDAwLjE0LzA2LzIwMjYuLi5VU0QuSAEAAADpcQIAAwAAAAAAhisU2f7J3gj59RTc/sneCDRDSVEuTllTRTpCQUguSVFfT1JERVJfQkFDS0xPRy45OTcuMTQvMDYvMjAyNi4uLlVTRC5IAQAAAOlxAgADAAAAAACGKxTZ/sneCPn1FNz+yd4IOkNJUS5OWVNFOkJBSC5JUV9UT1RBTF9ERUJUX0VYQ0xfRklOLjk5MS4xNC8wNi8yMDI2Li4uVVNELkgBAAAA6XECAAIAAAAIMTc0My4zMjQBCAAAAAUAAAABMQEAAAAKMTk2NTc3MjQyMgMAAAADMTYwAgAAAAUyMTg2MAQAAAABMAcAAAAJNi8xNC8yMDI2CAAAAAkzLzMxLzIwMTcJAAAAATCGKxTZ/sneCPn1FNz+yd4IOUNJUS5OWVNFOkJBSC5JUV9MVF9NQVJLX1NFQ1VSSVRJRVMuOTkxLjE0LzA2LzIwMjYuLi5VU0QuSAEAAADpcQIAAwAAAAAAhisU2f7J3ggEihnc/sneCC9DSVEuTllTRTpCQUguSVFfR1JPU1NfR1cuOTk3LjE0LzA2LzIwMjYuLi5VU0QuSAEAAADpcQIAAwAAAAAAhisU2f7J3ghHZxfc/sneCD9DSVEuTllTRTpCQUguSVFfQUNDVU1f</t>
  </si>
  <si>
    <t>QU1PUlRfSU5UQU5fQVNTRVRTLjk5MS4xNC8wNi8yMDI2Li4uVVNELkgBAAAA6XECAAIAAAAILTE5My4yMzUBCAAAAAUAAAABMQEAAAAKMTk2NTc3MjQyMgMAAAADMTYwAgAAAAUyNDMzMQQAAAABMAcAAAAJNi8xNC8yMDI2CAAAAAkzLzMxLzIwMTcJAAAAATCGKxTZ/sneCEdnF9z+yd4IQENJUS5OWVNFOkJBSC5JUV9ERVJJVkFUSVZFX0FTU0VUU19DVVJSRU5ULjk5OS4xNC8wNi8yMDI2Li4uVVNELkgBAAAA6XECAAMAAAAAAIYrFNn+yd4IKvhA3f7J3ghAQ0lRLk5ZU0U6QkFILklRX0RFUklWQVRJVkVfVFJBRElOR19BU1NFVFMuOTkzLjE0LzA2LzIwMjYuLi5VU0QuSAEAAADpcQIAAgAAAAQxLjc5AQgAAAAFAAAAATEBAAAACjIwOTkwODcxMzMDAAAAAzE2MAIAAAAFNDA0MTUEAAAAATAHAAAACTYvMTQvMjAyNggAAAAJMy8zMS8yMDE5CQAAAAEwhisU2f7J3ghHZxfc/sneCDZDSVEuTllTRTpCQUguSVFfSU5URVJDT01QQU5ZX0NMLjk5OS4xNC8wNi8yMDI2Li4uVVNELkgBAAAA6XECAAMAAAAAAIYrFNn+yd4IKvhA3f7J3gg6Q0lRLk5ZU0U6QkFILklRX0lOVEVSQ09NUEFOWV9OT05fQ0EuOTkzLjE0LzA2LzIwMjYuLi5VU0QuSAEAAADpcQIAAwAAAAAAhisU2f7J3giWzhnc/sneCC5DSVEuTllTRTpCQUguSVFfR1dfTkVULjIwMDAuMTQvMDYvMjAyNi4uLlVTRC5IAQAAAOlxAgACAAAABDIzOTkBCAAA</t>
  </si>
  <si>
    <t>AAUAAAABMQEAAAALLTE4ODc3MDQzNDEDAAAAAzE2MAIAAAAFNDg5NjAEAAAAATAHAAAACTYvMTQvMjAyNggAAAAJMy8zMS8yMDI2CQAAAAEwhisU2f7J3giWzhnc/sneCDNDSVEuTllTRTpCQUguSVFfR1dfSU5UQU5fTkVULjk5NS4xNC8wNi8yMDI2Li4uVVNELkgBAAAA6XECAAMAAAAAAIYrFNn+yd4Ils4Z3P7J3gg5Q0lRLk5ZU0U6QkFILklRX1RPVEFMX1JFVl9FTVBMT1lFRS45OTEuMTQvMDYvMjAyNi4uLlVTRC5IAQAAAOlxAgACAAAABzI0OS4zMzQBCAAAAAUAAAABMQEAAAAKMTk2NTc3MjQyMgMAAAADMTYwAgAAAAQ0MTIzBAAAAAEwBwAAAAk2LzE0LzIwMjYIAAAACTMvMzEvMjAxNwkAAAABMB2mDNn+yd4Ils4Z3P7J3gg8Q0lRLk5ZU0U6QkFILklRX1dBUlJBTlRZX0xJQUJJTElUSUVTLjEwMDAuMTQvMDYvMjAyNi4uLlVTRC5IAQAAAOlxAgADAAAAAACGKxTZ/sneCCr4QN3+yd4INENJUS5OWVNFOkJBSC5JUV9PUkRFUl9CQUNLTE9HLjk5Ni4xNC8wNi8yMDI2Li4uVVNELkgBAAAA6XECAAIAAAAFMjkyNDcBCAAAAAUAAAABMQEAAAALLTE5OTI0MDIwNTkDAAAAAzE2MAIAAAAEMzEyNQQAAAABMAcAAAAJNi8xNC8yMDI2CAAAAAkzLzMxLzIwMjIJAAAAATCGKxTZ/sneCPn1FNz+yd4IOkNJUS5OWVNFOkJBSC5JUV9UT1RBTF9ERUJUX0VYQ0xfRklOLjk5MC4xNC8wNi8yMDI2Li4uVVNELkgBAAAA</t>
  </si>
  <si>
    <t>6XECAAIAAAAIMTY3Ny4yNjEBCAAAAAUAAAABMQEAAAAKMTg5MTM0Nzg2OQMAAAADMTYwAgAAAAUyMTg2MAQAAAABMAcAAAAJNi8xNC8yMDI2CAAAAAkzLzMxLzIwMTYJAAAAATCGKxTZ/sneCPn1FNz+yd4IQkNJUS5OWVNFOkJBSC5JUV9SRVNUUklDVEVEX0NBU0hfTk9OX0NVUlJFTlQuOTk2LjE0LzA2LzIwMjYuLi5VU0QuSAEAAADpcQIAAwAAAAAAhisU2f7J3gj59RTc/sneCDxDSVEuTllTRTpCQUguSVFfREVCVF9FUVVJVl9PUEVSX0xFQVNFLjk5Mi4xNC8wNi8yMDI2Li4uVVNELkgBAAAA6XECAAIAAAAFNjQ5LjYBCAAAAAUAAAABMQEAAAAKMjAzODA5MTA3NwMAAAADMTYwAgAAAAUyMTY3MQQAAAABMAcAAAAJNi8xNC8yMDI2CAAAAAkzLzMxLzIwMTgJAAAAATCGKxTZ/sneCPn1FNz+yd4IP0NJUS5OWVNFOkJBSC5JUV9BQ0NVTV9BTU9SVF9JTlRBTl9BU1NFVFMuOTkwLjE0LzA2LzIwMjYuLi5VU0QuSAEAAADpcQIAAgAAAAgtMTc5LjMwMQEIAAAABQAAAAExAQAAAAoxODkxMzQ3ODY5AwAAAAMxNjACAAAABTI0MzMxBAAAAAEwBwAAAAk2LzE0LzIwMjYIAAAACTMvMzEvMjAxNgkAAAABMIYrFNn+yd4IR2cX3P7J3ghAQ0lRLk5ZU0U6QkFILklRX0RFUklWQVRJVkVfQVNTRVRTX0NVUlJFTlQuOTk4LjE0LzA2LzIwMjYuLi5VU0QuSAEAAADpcQIAAwAAAAAAhisU2f7J3ghHZxfc/sneCEBDSVEuTllT</t>
  </si>
  <si>
    <t>RTpCQUguSVFfREVSSVZBVElWRV9UUkFESU5HX0FTU0VUUy45OTIuMTQvMDYvMjAyNi4uLlVTRC5IAQAAAOlxAgACAAAAAzAuNwEIAAAABQAAAAExAQAAAAoyMDM4MDkxMDc3AwAAAAMxNjACAAAABTQwNDE1BAAAAAEwBwAAAAk2LzE0LzIwMjYIAAAACTMvMzEvMjAxOAkAAAABMIYrFNn+yd4IR2cX3P7J3gg+Q0lRLk5ZU0U6QkFILklRX0RFUklWQVRJVkVfTElBQl9DVVJSRU5ULjk5OC4xNC8wNi8yMDI2Li4uVVNELkgBAAAA6XECAAMAAAAAAIYrFNn+yd4IR2cX3P7J3ghEQ0lRLk5ZU0U6QkFILklRX0NVUlJFTlRfUE9SVF9ERUJUX0RFUklWQVRJVkVTLjk5NC4xNC8wNi8yMDI2Li4uVVNELkgBAAAA6XECAAIAAAAGMTguODMxAQgAAAAFAAAAATEBAAAACy0yMDk1MTI2MDkwAwAAAAMxNjACAAAABTMwOTE3BAAAAAEwBwAAAAk2LzE0LzIwMjYIAAAACTMvMzEvMjAyMAkAAAABMIYrFNn+yd4I+fUU3P7J3gg6Q0lRLk5ZU0U6QkFILklRX0lOVEVSQ09NUEFOWV9OT05fQ0EuOTkyLjE0LzA2LzIwMjYuLi5VU0QuSAEAAADpcQIAAwAAAAAAhisU2f7J3giWzhnc/sneCC5DSVEuTllTRTpCQUguSVFfR1dfTkVULjEwMDAuMTQvMDYvMjAyNi4uLlVTRC5IAQAAAOlxAgACAAAABDIzOTkBCAAAAAUAAAABMQEAAAALLTE4ODc3MDQ5NzcDAAAAAzE2MAIAAAAFNDg5NjAEAAAAATAHAAAACTYvMTQvMjAyNggAAAAJMy8z</t>
  </si>
  <si>
    <t>MS8yMDI2CQAAAAEwhisU2f7J3ggq+EDd/sneCDNDSVEuTllTRTpCQUguSVFfR1dfSU5UQU5fTkVULjk5NC4xNC8wNi8yMDI2Li4uVVNELkgBAAAA6XECAAMAAAAAAIYrFNn+yd4Ils4Z3P7J3gg6Q0lRLk5ZU0U6QkFILklRX0xUX01BUktfU0VDVVJJVElFUy4xMDAwLjE0LzA2LzIwMjYuLi5VU0QuSAEAAADpcQIAAwAAAAAAhisU2f7J3ggq+EDd/sneCC9DSVEuTllTRTpCQUguSVFfR1JPU1NfR1cuOTk2LjE0LzA2LzIwMjYuLi5VU0QuSAEAAADpcQIAAwAAAAAAhisU2f7J3ghHZxfc/sneCDZDSVEuTllTRTpCQUguSVFfSU5URVJDT01QQU5ZX0NMLjk5OC4xNC8wNi8yMDI2Li4uVVNELkgBAAAA6XECAAMAAAAAAIYrFNn+yd4Ils4Z3P7J3gg5Q0lRLk5ZU0U6QkFILklRX1RPVEFMX1JFVl9FTVBMT1lFRS45OTAuMTQvMDYvMjAyNi4uLlVTRC5IAQAAAOlxAgACAAAABzIzOS4xOTEBCAAAAAUAAAABMQEAAAAKMTg5MTM0Nzg2OQMAAAADMTYwAgAAAAQ0MTIzBAAAAAEwBwAAAAk2LzE0LzIwMjYIAAAACTMvMzEvMjAxNgkAAAABMB2mDNn+yd4Ils4Z3P7J3ghCQ0lRLk5ZU0U6QkFILklRX1JFU1RSSUNURURfQ0FTSF9OT05fQ1VSUkVOVC45OTUuMTQvMDYvMjAyNi4uLlVTRC5IAQAAAOlxAgADAAAAAACGKxTZ/sneCPn1FNz+yd4IPENJUS5OWVNFOkJBSC5JUV9ERUJUX0VRVUlWX09QRVJfTEVBU0UuOTkxLjE0</t>
  </si>
  <si>
    <t>LzA2LzIwMjYuLi5VU0QuSAEAAADpcQIAAgAAAAU2NTIuOAEIAAAABQAAAAExAQAAAAoxOTY1NzcyNDIyAwAAAAMxNjACAAAABTIxNjcxBAAAAAEwBwAAAAk2LzE0LzIwMjYIAAAACTMvMzEvMjAxNwkAAAABMIYrFNn+yd4I+fUU3P7J3gg4Q0lRLk5ZU0U6QkFILklRX0ZJTl9ESVZfU1RfSU5WRVNULjk5Ny4xNC8wNi8yMDI2Li4uVVNELkgBAAAA6XECAAMAAAAAAIYrFNn+yd4IDZMS3P7J3gg5Q0lRLk5ZU0U6QkFILklRX0ZJTl9ESVZfQ0FTSF9FUVVJVi45OTEuMTQvMDYvMjAyNi4uLlVTRC5IAQAAAOlxAgADAAAAAACGKxTZ/sneCA2TEtz+yd4IPkNJUS5OWVNFOkJBSC5JUV9ERVJJVkFUSVZFX0xJQUJfQ1VSUkVOVC45OTcuMTQvMDYvMjAyNi4uLlVTRC5IAQAAAOlxAgADAAAAAACGKxTZ/sneCEdnF9z+yd4IRENJUS5OWVNFOkJBSC5JUV9DVVJSRU5UX1BPUlRfREVCVF9ERVJJVkFUSVZFUy45OTMuMTQvMDYvMjAyNi4uLlVTRC5IAQAAAOlxAgACAAAABTAuOTI5AQgAAAAFAAAAATEBAAAACjIwOTkwODcxMzMDAAAAAzE2MAIAAAAFMzA5MTcEAAAAATAHAAAACTYvMTQvMjAyNggAAAAJMy8zMS8yMDE5CQAAAAEwhisU2f7J3gj59RTc/sneCDtDSVEuTllTRTpCQUguSVFfV0FSUkFOVFlfTElBQklMSVRJRVMuOTk5LjE0LzA2LzIwMjYuLi5VU0QuSAEAAADpcQIAAwAAAAAAhisU2f7J3ggq+EDd/sneCD1D</t>
  </si>
  <si>
    <t>SVEuTllTRTpCQUguSVFfQ09OVElOR0VOVF9MSUFCSUxJVElFUy45OTMuMTQvMDYvMjAyNi4uLlVTRC5IAQAAAOlxAgACAAAAAzkuNQEIAAAABQAAAAExAQAAAAoyMDk5MDg3MTMzAwAAAAMxNjACAAAABTI0NjcxBAAAAAEwBwAAAAk2LzE0LzIwMjYIAAAACTMvMzEvMjAxOQkAAAABMIYrFNn+yd4I+fUU3P7J3gg9Q0lRLk5ZU0U6QkFILklRX1JFU1RSSUNURURfQ0FTSF9UT1RBTC4yMDAwLjE0LzA2LzIwMjYuLi5VU0QuSAEAAADpcQIAAwAAAAAAhisU2f7J3gj59RTc/sneCDlDSVEuTllTRTpCQUguSVFfTFRfTUFSS19TRUNVUklUSUVTLjk5OS4xNC8wNi8yMDI2Li4uVVNELkgBAAAA6XECAAMAAAAAAIYrFNn+yd4IKvhA3f7J3ggvQ0lRLk5ZU0U6QkFILklRX0dST1NTX0dXLjk5NS4xNC8wNi8yMDI2Li4uVVNELkgBAAAA6XECAAMAAAAAAIYrFNn+yd4IR2cX3P7J3gg6Q0lRLk5ZU0U6QkFILklRX0dST1NTX0lOVEFOX0FTU0VUUy4yMDAwLjE0LzA2LzIwMjYuLi5VU0QuSAEAAADpcQIAAgAAAAM4MDkBCAAAAAUAAAABMQEAAAALLTE4ODc3MDQzNDEDAAAAAzE2MAIAAAAFMjQyOTMEAAAAATAHAAAACTYvMTQvMjAyNggAAAAJMy8zMS8yMDI2CQAAAAEwhisU2f7J3ghHZxfc/sneCDtDSVEuTllTRTpCQUguSVFfREVSSVZBVElWRV9BU1NFVFNfTFQuOTk1LjE0LzA2LzIwMjYuLi5VU0QuSAEAAADpcQIAAwAA</t>
  </si>
  <si>
    <t>AAAAhisU2f7J3ghHZxfc/sneCEBDSVEuTllTRTpCQUguSVFfREVSSVZBVElWRV9UUkFESU5HX0FTU0VUUy45OTEuMTQvMDYvMjAyNi4uLlVTRC5IAQAAAOlxAgADAAAAAACGKxTZ/sneCEdnF9z+yd4INkNJUS5OWVNFOkJBSC5JUV9JTlRFUkNPTVBBTllfQ0wuOTk3LjE0LzA2LzIwMjYuLi5VU0QuSAEAAADpcQIAAwAAAAAAhisU2f7J3giWzhnc/sneCDpDSVEuTllTRTpCQUguSVFfSU5URVJDT01QQU5ZX05PTl9DQS45OTEuMTQvMDYvMjAyNi4uLlVTRC5IAQAAAOlxAgADAAAAAACGKxTZ/sneCJbOGdz+yd4IMENJUS5OWVNFOkJBSC5JUV9JTlRBTl9ORVQuOTk3LjE0LzA2LzIwMjYuLi5VU0QuSAEAAADpcQIAAgAAAAc2ODUuNjE1AQgAAAAFAAAAATEBAAAACy0xOTQxNTQ2ODcxAwAAAAMxNjACAAAABTQ4OTYyBAAAAAEwBwAAAAk2LzE0LzIwMjYIAAAACTMvMzEvMjAyMwkAAAABMIYrFNn+yd4Ils4Z3P7J3ggzQ0lRLk5ZU0U6QkFILklRX0dXX0lOVEFOX05FVC45OTMuMTQvMDYvMjAyNi4uLlVTRC5IAQAAAOlxAgADAAAAAACGKxTZ/sneCJbOGdz+yd4IOkNJUS5OWVNFOkJBSC5JUV9JTlRFUkNPTVBBTllfTk9OX0NMLjk5NC4xNC8wNi8yMDI2Li4uVVNELkgBAAAA6XECAAMAAAAAAIYrFNn+yd4Ils4Z3P7J3gg6Q0lRLk5ZU0U6QkFILklRX0lOVEVSQ09NUEFOWV9OT05fQ0EuOTkwLjE0LzA2LzIwMjYu</t>
  </si>
  <si>
    <t>Li5VU0QuSAEAAADpcQIAAwAAAAAAhisU2f7J3giWzhnc/sneCDBDSVEuTllTRTpCQUguSVFfSU5UQU5fTkVULjk5Ni4xNC8wNi8yMDI2Li4uVVNELkgBAAAA6XECAAIAAAAHNjQ2LjY4MgEIAAAABQAAAAExAQAAAAstMTk5MjQwMjA1OQMAAAADMTYwAgAAAAU0ODk2MgQAAAABMAcAAAAJNi8xNC8yMDI2CAAAAAkzLzMxLzIwMjIJAAAAATCGKxTZ/sneCJbOGdz+yd4IQENJUS5OWVNFOkJBSC5JUV9SVUFfT1BFUkFUSU5HX0xFQVNFX0dST1NTLjk5NS4xNC8wNi8yMDI2Li4uVVNELkgBAAAA6XECAAIAAAAHMjM5LjM3NAEIAAAABQAAAAExAQAAAAstMjA0MzIxNTM5MgMAAAADMTYwAgAAAAU0ODM3NwQAAAABMAcAAAAJNi8xNC8yMDI2CAAAAAkzLzMxLzIwMjEJAAAAATB8X0bZ/sneCEuMBdz+yd4IQ0NJUS5OWVNFOkJBSC5JUV9SVUFfQ0FQSVRBTF9MRUFTRV9BQ0NVTV9ERVAuMjAwMC4xNC8wNi8yMDI2Li4uVVNELkgBAAAA6XECAAMAAAAAAHxfRtn+yd4ImO8E3P7J3gguQ0lRLk5ZU0U6QkFILklRX1JVQV9ORVQuOTk3LjE0LzA2LzIwMjYuLi5VU0QuSAEAAADpcQIAAwAAAAAAfF9G2f7J3gi7swTc/sneCE1DSVEuTllTRTpCQUguSVFfQ1VSUkVOVF9QT1JUSU9OX09QRVJfTEVBU0VfTElBQklMSVRJRVMuOTk3LjE0LzA2LzIwMjYuLi5VU0QuSAEAAADpcQIAAgAAAAY1MS4yMzgBCAAAAAUAAAABMQEAAAAL</t>
  </si>
  <si>
    <t>LTE5NDE1NDY4NzEDAAAAAzE2MAIAAAAFNDgzODUEAAAAATAHAAAACTYvMTQvMjAyNggAAAAJMy8zMS8yMDIzCQAAAAEwfF9G2f7J3gjkywbc/sneCDtDSVEuTllTRTpCQUguSVFfVE9UQUxfRklOQU5DRV9MRUFTRVMuOTkxLjE0LzA2LzIwMjYuLi5VU0QuSAEAAADpcQIAAwAAAAAAfF9G2f7J3gjkywbc/sneCDxDSVEuTllTRTpCQUguSVFfTlBQRV9FWENMX09QRVJfTEVBU0VTLjk5OS4xNC8wNi8yMDI2Li4uVVNELkgBAAAA6XECAAIAAAADMTc3AQgAAAAFAAAAATEBAAAACy0xODg3NzA1MDAxAwAAAAMxNjACAAAABTQ4OTc2BAAAAAEwBwAAAAk2LzE0LzIwMjYIAAAACTMvMzEvMjAyNQkAAAABMHxfRtn+yd4IYCVE3f7J3gg6Q0lRLk5ZU0U6QkFILklRX0FEX0VYQ0xfT1BFUl9MRUFTRVMuOTkzLjE0LzA2LzIwMjYuLi5VU0QuSAEAAADpcQIAAgAAAAgtMzIzLjE4MwEIAAAABQAAAAExAQAAAAoyMDk5MDg3MTMzAwAAAAMxNjACAAAABTQ4OTc1BAAAAAEwBwAAAAk2LzE0LzIwMjYIAAAACTMvMzEvMjAxOQkAAAABMHxfRtn+yd4Io2MG3P7J3ghFQ0lRLk5ZU0U6QkFILklRX1JVQV9PUEVSQVRJTkdfTEVBU0VfQUNDVU1fREVQLjIwMDAuMTQvMDYvMjAyNi4uLlVTRC5IAQAAAOlxAgADAAAAAAB8X0bZ/sneCJLaBdz+yd4IVENJUS5OWVNFOkJBSC5JUV9GSU5BTkNJTkdfT0JMSUdfTk9OX0NVUlJFTlRfRVhD</t>
  </si>
  <si>
    <t>TF9PUEVSX0xFQVNFUy4yMDAwLjE0LzA2LzIwMjYuLi5VU0QuSAEAAADpcQIAAgAAAAQzOTIxAQgAAAAFAAAAATEBAAAACy0xODg3NzA0MzQxAwAAAAMxNjACAAAABTQ4OTgxBAAAAAEwBwAAAAk2LzE0LzIwMjYIAAAACTMvMzEvMjAyNgkAAAABMHxfRtn+yd4I5MsG3P7J3ghPQ0lRLk5ZU0U6QkFILklRX0ZJTkFOQ0lOR19PQkxJR19DVVJSRU5UX0VYQ0xfT1BFUl9MRUFTRVMuOTk1LjE0LzA2LzIwMjYuLi5VU0QuSAEAAADpcQIAAgAAAAY5NS4wMjgBCAAAAAUAAAABMQEAAAALLTIwNDMyMTUzOTIDAAAAAzE2MAIAAAAFNDg5ODAEAAAAATAHAAAACTYvMTQvMjAyNggAAAAJMy8zMS8yMDIxCQAAAAEwfF9G2f7J3gjkywbc/sneCDhDSVEuTllTRTpCQUguSVFfVE9UQUxfT1BFUl9MRUFTRVMuOTkxLjE0LzA2LzIwMjYuLi5VU0QuSAEAAADpcQIAAwAAAAAAfF9G2f7J3gjkywbc/sneCDpDSVEuTllTRTpCQUguSVFfVE9UQUxfREVCVF9DVVJSRU5ULjIwMDAuMTQvMDYvMjAyNi4uLlVTRC5IAQAAAOlxAgACAAAAAjYyAQgAAAAFAAAAATEBAAAACy0xODg3NzA0MzQxAwAAAAMxNjACAAAABTI1MjIzBAAAAAEwBwAAAAk2LzE0LzIwMjYIAAAACTMvMzEvMjAyNgkAAAABMEpHR9n+yd4IkcgI3P7J3ggxQ0lRLk5ZU0U6QkFILklRX1RPVEFMX0RFQlQuOTk1LjE0LzA2LzIwMjYuLi5VU0QuSAEAAADpcQIAAgAAAAgy</t>
  </si>
  <si>
    <t>NzEyLjg1OAEIAAAABQAAAAExAQAAAAstMjA0MzIxNTM5MgMAAAADMTYwAgAAAAQ0MTczBAAAAAEwBwAAAAk2LzE0LzIwMjYIAAAACTMvMzEvMjAyMQkAAAABMEpHR9n+yd4IkcgI3P7J3ggvQ0lRLk5ZU0U6QkFILklRX0dXX0lOVEFOLjk5MS4xNC8wNi8yMDI2Li4uVVNELkgBAAAA6XECAAIAAAAHMTg1MS4xNwEIAAAABQAAAAExAQAAAAoxOTY1NzcyNDIyAwAAAAMxNjACAAAABTM1MzgxBAAAAAEwBwAAAAk2LzE0LzIwMjYIAAAACTMvMzEvMjAxNwkAAAABMEpHR9n+yd4IkcgI3P7J3gg5Q0lRLk5ZU0U6QkFILklRX1RCVl9TSEFSRV9SRVBPUlRFRC45OTcuMTQvMDYvMjAyNi4uLlVTRC5IAQAAAOlxAgADAAAAAABKR0fZ/sneCJHICNz+yd4IOENJUS5OWVNFOkJBSC5JUV9CVl9TSEFSRV9SRVBPUlRFRC45OTMuMTQvMDYvMjAyNi4uLlVTRC5IAQAAAOlxAgADAAAAAABKR0fZ/sneCOTLBtz+yd4INENJUS5OWVNFOkJBSC5JUV9FUVVJVFlfTUVUSE9ELjk5Ny4xNC8wNi8yMDI2Li4uVVNELkgBAAAA6XECAAMAAAAAAEpHR9n+yd4I4T0L3P7J3gg2Q0lRLk5ZU0U6QkFILklRX05FVF9XT1JLSU5HX0NBUC45OTMuMTQvMDYvMjAyNi4uLlVTRC5IAQAAAOlxAgACAAAABzM3My4xNzQBCAAAAAUAAAABMQEAAAAKMjA5OTA4NzEzMwMAAAADMTYwAgAAAAQxMzExBAAAAAEwBwAAAAk2LzE0LzIwMjYIAAAACTMvMzEv</t>
  </si>
  <si>
    <t>MjAxOQkAAAABMEpHR9n+yd4IBT8K3P7J3ggwQ0lRLk5ZU0U6QkFILklRX1RPVEFMX0NBUC45OTkuMTQvMDYvMjAyNi4uLlVTRC5IAQAAAOlxAgACAAAABDUyMjIBCAAAAAUAAAABMQEAAAALLTE4ODc3MDUwMDEDAAAAAzE2MAIAAAAENDE3NQQAAAABMAcAAAAJNi8xNC8yMDI2CAAAAAkzLzMxLzIwMjUJAAAAATBKR0fZ/sneCGAlRN3+yd4IL0NJUS5OWVNFOkJBSC5JUV9ORVRfREVCVC45OTUuMTQvMDYvMjAyNi4uLlVTRC5IAQAAAOlxAgACAAAACDE3MjEuOTAzAQgAAAAFAAAAATEBAAAACy0yMDQzMjE1MzkyAwAAAAMxNjACAAAABDQzNjQEAAAAATAHAAAACTYvMTQvMjAyNggAAAAJMy8zMS8yMDIxCQAAAAEwSkdH2f7J3ggFPwrc/sneCC9DSVEuTllTRTpCQUguSVFfU09GVFdBUkUuOTkzLjE0LzA2LzIwMjYuLi5VU0QuSAEAAADpcQIAAwAAAAAASkdH2f7J3gjhPQvc/sneCDBDSVEuTllTRTpCQUguSVFfQlVJTERJTkdTLjk5OS4xNC8wNi8yMDI2Li4uVVNELkgBAAAA6XECAAMAAAAAAEpHR9n+yd4IEtdD3f7J3ggwQ0lRLk5ZU0U6QkFILklRX09USEVSX0lOVi45OTUuMTQvMDYvMjAyNi4uLlVTRC5IAQAAAOlxAgADAAAAAABKR0fZ/sneCOE9C9z+yd4IL0NJUS5OWVNFOkJBSC5JUV9XSVBfSU5WLjIwMDAuMTQvMDYvMjAyNi4uLlVTRC5IAQAAAOlxAgADAAAAAABKR0fZ/sneCOE9C9z+yd4ILENJUS5O</t>
  </si>
  <si>
    <t>WVNFOkJBSC5JUV9MSUZPUi45OTcuMTQvMDYvMjAyNi4uLlVTRC5IAQAAAOlxAgADAAAAAABKR0fZ/sneCOE9C9z+yd4IRENJUS5OWVNFOkJBSC5JUV9HRU5FUkFMX1BBUlRORVJfQ09NTU9OX0VRVUlUWS45OTUuMTQvMDYvMjAyNi4uLlVTRC5IAQAAAOlxAgADAAAAAABKR0fZ/sneCB0hENz+yd4IQUNJUS5OWVNFOkJBSC5JUV9GSU5fRElWX01JTk9SSVRZX0lOVEVSRVNULjIwMDAuMTQvMDYvMjAyNi4uLlVTRC5IAQAAAOlxAgADAAAAAABKR0fZ/sneCB0hENz+yd4IQkNJUS5OWVNFOkJBSC5JUV9GSU5fRElWX01JTk9SSVRZX0lOVF9SRURFRU0uOTk3LjE0LzA2LzIwMjYuLi5VU0QuSAEAAADpcQIAAwAAAAAASkdH2f7J3ggdIRDc/sneCDpDSVEuTllTRTpCQUguSVFfTUlOT1JJVFlfSU5UX1JFREVFTS45OTEuMTQvMDYvMjAyNi4uLlVTRC5IAQAAAOlxAgADAAAAAABKR0fZ/sneCB0hENz+yd4IPUNJUS5OWVNFOkJBSC5JUV9OQVRVUkFMX1JFU09VUkNFU19DT1NULjk5OS4xNC8wNi8yMDI2Li4uVVNELkgBAAAA6XECAAMAAAAAAEpHR9n+yd4IEtdD3f7J3gg1Q0lRLk5ZU0U6QkFILklRX0FTU0VUU19MRVZFTF8zLjk5Ny4xNC8wNi8yMDI2Li4uVVNELkgBAAAA6XECAAMAAAAAAEpHR9n+yd4IDZMS3P7J3gg1Q0lRLk5ZU0U6QkFILklRX0FTU0VUU19MRVZFTF8yLjk5MS4xNC8wNi8yMDI2Li4uVVNELkgB</t>
  </si>
  <si>
    <t>AAAA6XECAAIAAAAHMTU3LjU5MgBKR0fZ/sneCA2TEtz+yd4ITUNJUS5OWVNFOkJBSC5JUV9MSVFVSURBVElPTl9WQUxVRV9QUkVGRVJSRURfTk9OX1JFREVFTS45OTkuMTQvMDYvMjAyNi4uLlVTRC5IAQAAAOlxAgADAAAAAABKR0fZ/sneCLiIQ93+yd4ISkNJUS5OWVNFOkJBSC5JUV9MSVFVSURBVElPTl9WQUxVRV9QUkVGRVJSRURfQ09OVkVSVC45OTMuMTQvMDYvMjAyNi4uLlVTRC5IAQAAAOlxAgADAAAAAABKR0fZ/sneCB0hENz+yd4IQ0NJUS5OWVNFOkJBSC5JUV9HRU5FUkFMX1BBUlRORVJfUFJFRl9FUVVJVFkuMjAwMC4xNC8wNi8yMDI2Li4uVVNELkgBAAAA6XECAAMAAAAAAEpHR9n+yd4IHSEQ3P7J3ghGQ0lRLk5ZU0U6QkFILklRX0ZBSVJfVkFMVUVfQ0hBTkdFX0lOQ0xfRUFSTklOR1MuOTkzLjE0LzA2LzIwMjYuLi5VU0QuSAEAAADpcQIAAwAAAAAAhisU2f7J3ggNkxLc/sneCDtDSVEuTllTRTpCQUguSVFfTElBQklMSVRJRVNfTEVWRUxfMy4yMDAwLjE0LzA2LzIwMjYuLi5VU0QuSAEAAADpcQIAAwAAAAAAhisU2f7J3ggNkxLc/sneCDpDSVEuTllTRTpCQUguSVFfTElBQklMSVRJRVNfTEVWRUxfMi45OTUuMTQvMDYvMjAyNi4uLlVTRC5IAQAAAOlxAgACAAAABjM4LjE2MgCGKxTZ/sneCA2TEtz+yd4IOENJUS5OWVNFOkJBSC5JUV9BU1NFVFNfRkFJUl9WQUxVRS45OTEuMTQvMDYvMjAy</t>
  </si>
  <si>
    <t>Ni4uLlVTRC5IAQAAAOlxAgACAAAABzIxNy40MTcAhisU2f7J3ggNkxLc/sneCDpDSVEuTllTRTpCQUguSVFfRklOX0RJVl9ERUJUX1RPVEFMLjIwMDAuMTQvMDYvMjAyNi4uLlVTRC5IAQAAAOlxAgADAAAAAACGKxTZ/sneCA2TEtz+yd4IPENJUS5OWVNFOkJBSC5JUV9GSU5fRElWX1NUX0RFQlRfVE9UQUwuOTk1LjE0LzA2LzIwMjYuLi5VU0QuSAEAAADpcQIAAwAAAAAAhisU2f7J3ggNkxLc/sneCD1DSVEuTllTRTpCQUguSVFfQ09OVElOR0VOVF9MSUFCSUxJVElFUy45OTEuMTQvMDYvMjAyNi4uLlVTRC5IAQAAAOlxAgACAAAAAzguNgEIAAAABQAAAAExAQAAAAoxOTY1NzcyNDIyAwAAAAMxNjACAAAABTI0NjcxBAAAAAEwBwAAAAk2LzE0LzIwMjYIAAAACTMvMzEvMjAxNwkAAAABMIYrFNn+yd4I+fUU3P7J3gg6Q0lRLk5ZU0U6QkFILklRX1RPVEFMX0RFQlRfRVhDTF9GSU4uOTk3LjE0LzA2LzIwMjYuLi5VU0QuSAEAAADpcQIAAgAAAAgzMDYyLjg5NgEIAAAABQAAAAExAQAAAAstMTk0MTU0Njg3MQMAAAADMTYwAgAAAAUyMTg2MAQAAAABMAcAAAAJNi8xNC8yMDI2CAAAAAkzLzMxLzIwMjMJAAAAATCGKxTZ/sneCPn1FNz+yd4IQkNJUS5OWVNFOkJBSC5JUV9SRVNUUklDVEVEX0NBU0hfTk9OX0NVUlJFTlQuOTkzLjE0LzA2LzIwMjYuLi5VU0QuSAEAAADpcQIAAwAAAAAAhisU2f7J3gj59RTc/sne</t>
  </si>
  <si>
    <t>CDxDSVEuTllTRTpCQUguSVFfREVCVF9FUVVJVl9PUEVSX0xFQVNFLjk5OS4xNC8wNi8yMDI2Li4uVVNELkgBAAAA6XECAAIAAAADNjMyAQgAAAAFAAAAATEBAAAACy0xODg3NzA1MDAxAwAAAAMxNjACAAAABTIxNjcxBAAAAAEwBwAAAAk2LzE0LzIwMjYIAAAACTMvMzEvMjAyNQkAAAABMIYrFNn+yd4IKvhA3f7J3gg4Q0lRLk5ZU0U6QkFILklRX0ZJTl9ESVZfU1RfSU5WRVNULjk5NS4xNC8wNi8yMDI2Li4uVVNELkgBAAAA6XECAAMAAAAAAIYrFNn+yd4IDZMS3P7J3gg7Q0lRLk5ZU0U6QkFILklRX0RFUklWQVRJVkVfQVNTRVRTX0xULjk5My4xNC8wNi8yMDI2Li4uVVNELkgBAAAA6XECAAMAAAAAAIYrFNn+yd4IR2cX3P7J3ghAQ0lRLk5ZU0U6QkFILklRX0RFUklWQVRJVkVfVFJBRElOR19BU1NFVFMuOTk5LjE0LzA2LzIwMjYuLi5VU0QuSAEAAADpcQIAAwAAAAAAhisU2f7J3ggq+EDd/sneCD5DSVEuTllTRTpCQUguSVFfREVSSVZBVElWRV9MSUFCX0NVUlJFTlQuOTk1LjE0LzA2LzIwMjYuLi5VU0QuSAEAAADpcQIAAwAAAAAAhisU2f7J3ghHZxfc/sneCEVDSVEuTllTRTpCQUguSVFfQ1VSUkVOVF9QT1JUX0RFQlRfREVSSVZBVElWRVMuMjAwMC4xNC8wNi8yMDI2Li4uVVNELkgBAAAA6XECAAMAAAAAAIYrFNn+yd4I+fUU3P7J3gg7Q0lRLk5ZU0U6QkFILklRX1dBUlJBTlRZX0xJQUJJTElUSUVT</t>
  </si>
  <si>
    <t>Ljk5Ny4xNC8wNi8yMDI2Li4uVVNELkgBAAAA6XECAAMAAAAAAIYrFNn+yd4I+fUU3P7J3ggwQ0lRLk5ZU0U6QkFILklRX0lOVEFOX05FVC45OTUuMTQvMDYvMjAyNi4uLlVTRC5IAQAAAOlxAgACAAAABzMwNy4xMjgBCAAAAAUAAAABMQEAAAALLTIwNDMyMTUzOTIDAAAAAzE2MAIAAAAFNDg5NjIEAAAAATAHAAAACTYvMTQvMjAyNggAAAAJMy8zMS8yMDIxCQAAAAEwhisU2f7J3giWzhnc/sneCDRDSVEuTllTRTpCQUguSVFfR1dfSU5UQU5fTkVULjIwMDAuMTQvMDYvMjAyNi4uLlVTRC5IAQAAAOlxAgADAAAAAACGKxTZ/sneCJbOGdz+yd4IOUNJUS5OWVNFOkJBSC5JUV9MVF9NQVJLX1NFQ1VSSVRJRVMuOTk3LjE0LzA2LzIwMjYuLi5VU0QuSAEAAADpcQIAAwAAAAAAhisU2f7J3ggEihnc/sneCDVDSVEuTllTRTpCQUguSVFfQUNDVU1fQU1PUlRfR1cuOTkxLjE0LzA2LzIwMjYuLi5VU0QuSAEAAADpcQIAAwAAAAAAhisU2f7J3ghHZxfc/sneCDlDSVEuTllTRTpCQUguSVFfR1JPU1NfSU5UQU5fQVNTRVRTLjk5OS4xNC8wNi8yMDI2Li4uVVNELkgBAAAA6XECAAIAAAADODA5AQgAAAAFAAAAATEBAAAACy0xODg3NzA1MDAxAwAAAAMxNjACAAAABTI0MjkzBAAAAAEwBwAAAAk2LzE0LzIwMjYIAAAACTMvMzEvMjAyNQkAAAABMIYrFNn+yd4IKvhA3f7J3gg6Q0lRLk5ZU0U6QkFILklRX0lOVEVSQ09NUEFO</t>
  </si>
  <si>
    <t>WV9OT05fQ0wuOTkzLjE0LzA2LzIwMjYuLi5VU0QuSAEAAADpcQIAAwAAAAAAhisU2f7J3giWzhnc/sneCDdDSVEuTllTRTpCQUguSVFfSU5URVJDT01QQU5ZX0NBLjIwMDAuMTQvMDYvMjAyNi4uLlVTRC5IAQAAAOlxAgADAAAAAACGKxTZ/sneCJbOGdz+yd4IPENJUS5OWVNFOkJBSC5JUV9GSU5fRElWX1NUX0RFQlRfVE9UQUwuOTk0LjE0LzA2LzIwMjYuLi5VU0QuSAEAAADpcQIAAwAAAAAAhisU2f7J3ggNkxLc/sneCDpDSVEuTllTRTpCQUguSVFfVE9UQUxfREVCVF9FWENMX0ZJTi45OTYuMTQvMDYvMjAyNi4uLlVTRC5IAQAAAOlxAgACAAAACDMxMDMuODM5AQgAAAAFAAAAATEBAAAACy0xOTkyNDAyMDU5AwAAAAMxNjACAAAABTIxODYwBAAAAAEwBwAAAAk2LzE0LzIwMjYIAAAACTMvMzEvMjAyMgkAAAABMIYrFNn+yd4I+fUU3P7J3ghCQ0lRLk5ZU0U6QkFILklRX1JFU1RSSUNURURfQ0FTSF9OT05fQ1VSUkVOVC45OTIuMTQvMDYvMjAyNi4uLlVTRC5IAQAAAOlxAgADAAAAAACGKxTZ/sneCPn1FNz+yd4IPENJUS5OWVNFOkJBSC5JUV9ERUJUX0VRVUlWX09QRVJfTEVBU0UuOTk4LjE0LzA2LzIwMjYuLi5VU0QuSAEAAADpcQIAAgAAAAM2MjQBCAAAAAUAAAABMQEAAAALLTE4ODc3MDQ5OTMDAAAAAzE2MAIAAAAFMjE2NzEEAAAAATAHAAAACTYvMTQvMjAyNggAAAAJMy8zMS8yMDI0CQAAAAEwhisU</t>
  </si>
  <si>
    <t>2f7J3gj59RTc/sneCDlDSVEuTllTRTpCQUguSVFfREVCVF9FUVVJVl9ORVRfUEJPLjk5Mi4xNC8wNi8yMDI2Li4uVVNELkgBAAAA6XECAAIAAAADNC43AQgAAAAFAAAAATEBAAAACjIwMzgwOTEwNzcDAAAAAzE2MAIAAAAFMjE2NzkEAAAAATAHAAAACTYvMTQvMjAyNggAAAAJMy8zMS8yMDE4CQAAAAEwhisU2f7J3ggNkxLc/sneCDpDSVEuTllTRTpCQUguSVFfRklOX0RJVl9ERUJUX1RPVEFMLjEwMDAuMTQvMDYvMjAyNi4uLlVTRC5IAQAAAOlxAgADAAAAAACGKxTZ/sneCCr4QN3+yd4IQENJUS5OWVNFOkJBSC5JUV9ERVJJVkFUSVZFX1RSQURJTkdfQVNTRVRTLjk5OC4xNC8wNi8yMDI2Li4uVVNELkgBAAAA6XECAAMAAAAAAIYrFNn+yd4IR2cX3P7J3gg+Q0lRLk5ZU0U6QkFILklRX0RFUklWQVRJVkVfTElBQl9DVVJSRU5ULjk5NC4xNC8wNi8yMDI2Li4uVVNELkgBAAAA6XECAAMAAAAAAIYrFNn+yd4IR2cX3P7J3ghFQ0lRLk5ZU0U6QkFILklRX0NVUlJFTlRfUE9SVF9ERUJUX0RFUklWQVRJVkVTLjEwMDAuMTQvMDYvMjAyNi4uLlVTRC5IAQAAAOlxAgADAAAAAACGKxTZ/sneCCr4QN3+yd4IOkNJUS5OWVNFOkJBSC5JUV9TVF9ERUJUX0RFUklWQVRJVkVTLjk5NC4xNC8wNi8yMDI2Li4uVVNELkgBAAAA6XECAAMAAAAAAIYrFNn+yd4I+fUU3P7J3gg9Q0lRLk5ZU0U6QkFILklRX0NPTlRJTkdFTlRf</t>
  </si>
  <si>
    <t>TElBQklMSVRJRVMuOTkwLjE0LzA2LzIwMjYuLi5VU0QuSAEAAADpcQIAAgAAAAM2LjYBCAAAAAUAAAABMQEAAAAKMTg5MTM0Nzg2OQMAAAADMTYwAgAAAAUyNDY3MQQAAAABMAcAAAAJNi8xNC8yMDI2CAAAAAkzLzMxLzIwMTYJAAAAATCGKxTZ/sneCPn1FNz+yd4INENJUS5OWVNFOkJBSC5JUV9HV19JTlRBTl9ORVQuMTAwMC4xNC8wNi8yMDI2Li4uVVNELkgBAAAA6XECAAMAAAAAAIYrFNn+yd4IKvhA3f7J3gg5Q0lRLk5ZU0U6QkFILklRX0xUX01BUktfU0VDVVJJVElFUy45OTYuMTQvMDYvMjAyNi4uLlVTRC5IAQAAAOlxAgADAAAAAACGKxTZ/sneCJbOGdz+yd4INUNJUS5OWVNFOkJBSC5JUV9BQ0NVTV9BTU9SVF9HVy45OTAuMTQvMDYvMjAyNi4uLlVTRC5IAQAAAOlxAgADAAAAAACGKxTZ/sneCEdnF9z+yd4IP0NJUS5OWVNFOkJBSC5JUV9BQ0NVTV9BTU9SVF9JTlRBTl9BU1NFVFMuOTk2LjE0LzA2LzIwMjYuLi5VU0QuSAEAAADpcQIAAgAAAAgtMTAxLjU4NAEIAAAABQAAAAExAQAAAAstMTk5MjQwMjA1OQMAAAADMTYwAgAAAAUyNDMzMQQAAAABMAcAAAAJNi8xNC8yMDI2CAAAAAkzLzMxLzIwMjIJAAAAATCGKxTZ/sneCEdnF9z+yd4IO0NJUS5OWVNFOkJBSC5JUV9ERVJJVkFUSVZFX0FTU0VUU19MVC45OTIuMTQvMDYvMjAyNi4uLlVTRC5IAQAAAOlxAgADAAAAAACGKxTZ/sneCEdnF9z+yd4I</t>
  </si>
  <si>
    <t>OkNJUS5OWVNFOkJBSC5JUV9JTlRFUkNPTVBBTllfTk9OX0NMLjk5Mi4xNC8wNi8yMDI2Li4uVVNELkgBAAAA6XECAAMAAAAAAIYrFNn+yd4Ils4Z3P7J3gg6Q0lRLk5ZU0U6QkFILklRX0lOVEVSQ09NUEFOWV9OT05fQ0EuOTk4LjE0LzA2LzIwMjYuLi5VU0QuSAEAAADpcQIAAwAAAAAAhisU2f7J3giWzhnc/sneCDBDSVEuTllTRTpCQUguSVFfSU5UQU5fTkVULjk5NC4xNC8wNi8yMDI2Li4uVVNELkgBAAAA6XECAAIAAAAHMzAwLjk4NwEIAAAABQAAAAExAQAAAAstMjA5NTEyNjA5MAMAAAADMTYwAgAAAAU0ODk2MgQAAAABMAcAAAAJNi8xNC8yMDI2CAAAAAkzLzMxLzIwMjAJAAAAATCGKxTZ/sneCJbOGdz+yd4IOUNJUS5OWVNFOkJBSC5JUV9UT1RBTF9SRVZfRU1QTE9ZRUUuOTk2LjE0LzA2LzIwMjYuLi5VU0QuSAEAAADpcQIAAgAAAAYyODUuNDUBCAAAAAUAAAABMQEAAAALLTE5OTI0MDIwNTkDAAAAAzE2MAIAAAAENDEyMwQAAAABMAcAAAAJNi8xNC8yMDI2CAAAAAkzLzMxLzIwMjIJAAAAATAdpgzZ/sneCJbOGdz+yd4IMENJUS5OWVNFOkJBSC5JUV9FQklUXzNZUl9BTk5fQ0FHUi45OTIuMTQvMDYvMjAyNgEAAADpcQIAAgAAAAUzLjc1MwEIAAAABQAAAAExAQAAAAoyMDM4MDkxMDc3AwAAAAMxNjACAAAABDQyMjMEAAAAATAHAAAACTYvMTQvMjAyNggAAAAJMy8zMS8yMDE4CQAAAAEwHaYM2f7J</t>
  </si>
  <si>
    <t>3ggMwSrc/sneCC5DSVEuTllTRTpCQUguSVFfTklfM1lSX0FOTl9DQUdSLjk5OC4xNC8wNi8yMDI2AQAAAOlxAgACAAAABy0wLjE2MjIBCAAAAAUAAAABMQEAAAALLTE4ODc3MDQ5OTMDAAAAAzE2MAIAAAAENDIyNQQAAAABMAcAAAAJNi8xNC8yMDI2CAAAAAkzLzMxLzIwMjQJAAAAATAdpgzZ/sneCAzBKtz+yd4ILkNJUS5OWVNFOkJBSC5JUV9HUF81WVJfQU5OX0NBR1IuOTkwLjE0LzA2LzIwMjYBAAAA6XECAAIAAAAGMC40ODc4AQgAAAAFAAAAATEBAAAACjE4OTEzNDc4NjkDAAAAAzE2MAIAAAAENDIzNAQAAAABMAcAAAAJNi8xNC8yMDI2CAAAAAkzLzMxLzIwMTYJAAAAATAdpgzZ/sneCAzBKtz+yd4IMkNJUS5OWVNFOkJBSC5JUV9FQklUREFfNVlSX0FOTl9DQUdSLjk5Ni4xNC8wNi8yMDI2AQAAAOlxAgACAAAABjguMDQ3MQEIAAAABQAAAAExAQAAAAstMTk5MjQwMjA1OQMAAAADMTYwAgAAAAQ0MjM1BAAAAAEwBwAAAAk2LzE0LzIwMjYIAAAACTMvMzEvMjAyMgkAAAABMB2mDNn+yd4IDMEq3P7J3ggvQ0lRLk5ZU0U6QkFILklRX05JXzVZUl9BTk5fQ0FHUi4xMDAwLjE0LzA2LzIwMjYBAAAA6XECAAIAAAAGNi45MjIzAQgAAAAFAAAAATEBAAAACy0xODg3NzA0OTc3AwAAAAMxNjACAAAABDQyMzgEAAAAATAHAAAACTYvMTQvMjAyNggAAAAJMy8zMS8yMDI2CQAAAAEwHaYM2f7J3ggt0z7d/sneCDdD</t>
  </si>
  <si>
    <t>SVEuTllTRTpCQUguSVFfVE9UQUxfUkVWXzFZUl9BTk5fR1JPV1RILjk5MC4xNC8wNi8yMDI2AQAAAOlxAgACAAAABjIuNDgyOQEIAAAABQAAAAExAQAAAAoxODkxMzQ3ODY5AwAAAAMxNjACAAAABDQxOTQEAAAAATAHAAAACTYvMTQvMjAyNggAAAAJMy8zMS8yMDE2CQAAAAEwHaYM2f7J3giV1yjc/sneCDBDSVEuTllTRTpCQUguSVFfR1BfMVlSX0FOTl9HUk9XVEguOTk2LjE0LzA2LzIwMjYBAAAA6XECAAIAAAAGNi4wOTkzAQgAAAAFAAAAATEBAAAACy0xOTkyNDAyMDU5AwAAAAMxNjACAAAABDQxOTUEAAAAATAHAAAACTYvMTQvMjAyNggAAAAJMy8zMS8yMDIyCQAAAAEwHaYM2f7J3ggMwSrc/sneCDNDSVEuTllTRTpCQUguSVFfRUJJVF8xWVJfQU5OX0dST1dUSC4xMDAwLjE0LzA2LzIwMjYBAAAA6XECAAIAAAAHLTkuODAyNAEIAAAABQAAAAExAQAAAAstMTg4NzcwNDk3NwMAAAADMTYwAgAAAAQ0MTk3BAAAAAEwBwAAAAk2LzE0LzIwMjYIAAAACTMvMzEvMjAyNgkAAAABMB2mDNn+yd4ILdM+3f7J3ggxQ0lRLk5ZU0U6QkFILklRX0VQU18xWVJfQU5OX0dST1dUSC45OTQuMTQvMDYvMjAyNgEAAADpcQIAAgAAAAcxNy4wMjc3AQgAAAAFAAAAATEBAAAACy0yMDk1MTI2MDkwAwAAAAMxNjACAAAABDQyMDAEAAAAATAHAAAACTYvMTQvMjAyNggAAAAJMy8zMS8yMDIwCQAAAAEwHaYM2f7J3ggMwSrc/sne</t>
  </si>
  <si>
    <t>CC5DSVEuTllTRTpCQUguSVFfR1BfM1lSX0FOTl9DQUdSLjk5OC4xNC8wNi8yMDI2AQAAAOlxAgACAAAABjkuNDQ5MQEIAAAABQAAAAExAQAAAAstMTg4NzcwNDk5MwMAAAADMTYwAgAAAAQ0MjIxBAAAAAEwBwAAAAk2LzE0LzIwMjYIAAAACTMvMzEvMjAyNAkAAAABMB2mDNn+yd4IDMEq3P7J3ggxQ0lRLk5ZU0U6QkFILklRX1RPVEFMX0RFQlRfRUJJVERBLjEwMDAuMTQvMDYvMjAyNgEAAADpcQIAAgAAAAgzLjA5MjI3MwEIAAAABQAAAAExAQAAAAstMTg4NzcwNDk3NwMAAAADMTYwAgAAAAQ0MTkyBAAAAAEwBwAAAAk2LzE0LzIwMjYIAAAACTMvMzEvMjAyNgkAAAABMB2mDNn+yd4I1w9A3f7J3gguQ0lRLk5ZU0U6QkFILklRX05FVF9ERUJUX0VCSVREQS45OTQuMTQvMDYvMjAyNgEAAADpcQIAAgAAAAgyLjE3MjE5OQEIAAAABQAAAAExAQAAAAstMjA5NTEyNjA5MAMAAAADMTYwAgAAAAQ0MTkzBAAAAAEwBwAAAAk2LzE0LzIwMjYIAAAACTMvMzEvMjAyMAkAAAABMB2mDNn+yd4IpFgo3P7J3gg2Q0lRLk5ZU0U6QkFILklRX1RPVEFMX0RFQlRfRUJJVERBX0NBUEVYLjk5OC4xNC8wNi8yMDI2AQAAAOlxAgACAAAACDMuMDMwODMzAQgAAAAFAAAAATEBAAAACy0xODg3NzA0OTkzAwAAAAMxNjACAAAABTIzMzEzBAAAAAEwBwAAAAk2LzE0LzIwMjYIAAAACTMvMzEvMjAyNAkAAAABMB2mDNn+yd4Ildco3P7J</t>
  </si>
  <si>
    <t>3gg0Q0lRLk5ZU0U6QkFILklRX05FVF9ERUJUX0VCSVREQV9DQVBFWC45OTIuMTQvMDYvMjAyNgEAAADpcQIAAgAAAAgzLjIyOTgzMgEIAAAABQAAAAExAQAAAAoyMDM4MDkxMDc3AwAAAAMxNjACAAAABTIzMzE0BAAAAAEwBwAAAAk2LzE0LzIwMjYIAAAACTMvMzEvMjAxOAkAAAABMB2mDNn+yd4Ildco3P7J3ggxQ0lRLk5ZU0U6QkFILklRX1RPVEFMX0RFQlRfQ0FQSVRBTC45OTguMTQvMDYvMjAyNgEAAADpcQIAAgAAAAc3Ny42NDczAQgAAAAFAAAAATEBAAAACy0xODg3NzA0OTkzAwAAAAMxNjACAAAABDQxODYEAAAAATAHAAAACTYvMTQvMjAyNggAAAAJMy8zMS8yMDI0CQAAAAEwkqgV2f7J3gg45SXc/sneCC5DSVEuTllTRTpCQUguSVFfTFRfREVCVF9DQVBJVEFMLjk5Mi4xNC8wNi8yMDI2AQAAAOlxAgACAAAABzcxLjMyOTkBCAAAAAUAAAABMQEAAAAKMjAzODA5MTA3NwMAAAADMTYwAgAAAAQ0MTg3BAAAAAEwBwAAAAk2LzE0LzIwMjYIAAAACTMvMzEvMjAxOAkAAAABMJKoFdn+yd4IOOUl3P7J3ggnQ0lRLk5ZU0U6QkFILklRX0VCSVRfSU5ULjk5Ni4xNC8wNi8yMDI2AQAAAOlxAgACAAAACDcuMzc1MjM4AQgAAAAFAAAAATEBAAAACy0xOTkyNDAyMDU5AwAAAAMxNjACAAAABDQxODkEAAAAATAHAAAACTYvMTQvMjAyNggAAAAJMy8zMS8yMDIyCQAAAAEwkqgV2f7J3gg45SXc/sneCDpDSVEuTllT</t>
  </si>
  <si>
    <t>RTpCQUguSVFfRUJJVERBX0VYQ0xfT1BFUl9MRUFTRVNfSU5ULjk5MC4xNC8wNi8yMDI2AQAAAOlxAgACAAAACDcuMTQ3MDczAQgAAAAFAAAAATEBAAAACjE4OTEzNDc4NjkDAAAAAzE2MAIAAAAFNDkxNzMEAAAAATAHAAAACTYvMTQvMjAyNggAAAAJMy8zMS8yMDE2CQAAAAEwkqgV2f7J3gg45SXc/sneCEBDSVEuTllTRTpCQUguSVFfRUJJVERBX0VYQ0xfT1BFUl9MRUFTRVNfQ0FQRVhfSU5ULjk5NC4xNC8wNi8yMDI2AQAAAOlxAgACAAAACDYuMzY3MDA3AQgAAAAFAAAAATEBAAAACy0yMDk1MTI2MDkwAwAAAAMxNjACAAAABTQ5MTc0BAAAAAEwBwAAAAk2LzE0LzIwMjYIAAAACTMvMzEvMjAyMAkAAAABMJKoFdn+yd4IOOUl3P7J3gguQ0lRLk5ZU0U6QkFILklRX0lOVkVOVE9SWV9UVVJOUy45OTYuMTQvMDYvMjAyNgEAAADpcQIAAwAAAAAAhisU2f7J3gh7gCPc/sneCCpDSVEuTllTRTpCQUguSVFfUVVJQ0tfUkFUSU8uOTkwLjE0LzA2LzIwMjYBAAAA6XECAAIAAAAIMS4xNDg4NDgBCAAAAAUAAAABMQEAAAAKMTg5MTM0Nzg2OQMAAAADMTYwAgAAAAQ0MTIxBAAAAAEwBwAAAAk2LzE0LzIwMjYIAAAACTMvMzEvMjAxNgkAAAABMIYrFNn+yd4Ie4Aj3P7J3ggtQ0lRLk5ZU0U6QkFILklRX0RBWVNfU0FMRVNfT1VULjk5NC4xNC8wNi8yMDI2AQAAAOlxAgACAAAACDY4LjQwMTc0AQgAAAAFAAAAATEBAAAA</t>
  </si>
  <si>
    <t>Cy0yMDk1MTI2MDkwAwAAAAMxNjACAAAABDQwNDIEAAAAATAHAAAACTYvMTQvMjAyNggAAAAJMy8zMS8yMDIwCQAAAAEwkqgV2f7J3gh7gCPc/sneCDJDSVEuTllTRTpCQUguSVFfREFZU19JTlZFTlRPUllfT1VULjEwMDAuMTQvMDYvMjAyNgEAAADpcQIAAwAAAAAAkqgV2f7J3gjXD0Dd/sneCDBDSVEuTllTRTpCQUguSVFfVE9UQUxfREVCVF9FUVVJVFkuOTkyLjE0LzA2LzIwMjYBAAAA6XECAAIAAAAIMzM3LjUzMDUBCAAAAAUAAAABMQEAAAAKMjAzODA5MTA3NwMAAAADMTYwAgAAAAQ0MDM0BAAAAAEwBwAAAAk2LzE0LzIwMjYIAAAACTMvMzEvMjAxOAkAAAABMJKoFdn+yd4IOOUl3P7J3ggzQ0lRLk5ZU0U6QkFILklRX1JFVFVSTl9DT01NT05fRVFVSVRZLjk5NC4xNC8wNi8yMDI2AQAAAOlxAgACAAAABzYyLjgxNjIBCAAAAAUAAAABMQEAAAALLTIwOTUxMjYwOTADAAAAAzE2MAIAAAAFMzMzMjAEAAAAATAHAAAACTYvMTQvMjAyNggAAAAJMy8zMS8yMDIwCQAAAAEwhisU2f7J3gh7gCPc/sneCCxDSVEuTllTRTpCQUguSVFfR1JPU1NfTUFSR0lOLjEwMDAuMTQvMDYvMjAyNgEAAADpcQIAAgAAAAcyMi4zNTg5AQgAAAAFAAAAATEBAAAACy0xODg3NzA0OTc3AwAAAAMxNjACAAAABDQwNzQEAAAAATAHAAAACTYvMTQvMjAyNggAAAAJMy8zMS8yMDI2CQAAAAEwhisU2f7J3gjXD0Dd/sneCChDSVEuTllT</t>
  </si>
  <si>
    <t>RTpCQUguSVFfTklfTUFSR0lOLjk5Mi4xNC8wNi8yMDI2AQAAAOlxAgACAAAABjQuODkxNQEIAAAABQAAAAExAQAAAAoyMDM4MDkxMDc3AwAAAAMxNjACAAAABDQwOTQEAAAAATAHAAAACTYvMTQvMjAyNggAAAAJMy8zMS8yMDE4CQAAAAEwhisU2f7J3gh7gCPc/sneCCxDSVEuTllTRTpCQUguSVFfQ0FQRVhfUENUX1JFVi45OTguMTQvMDYvMjAyNgEAAADpcQIAAgAAAAYwLjYyODMBCAAAAAUAAAABMQEAAAALLTE4ODc3MDQ5OTMDAAAAAzE2MAIAAAAFMzUzODAEAAAAATAHAAAACTYvMTQvMjAyNggAAAAJMy8zMS8yMDI0CQAAAAEwhisU2f7J3gh7gCPc/sneCCdDSVEuTllTRTpCQUguSVFfQVJfVFVSTlMuOTkwLjE0LzA2LzIwMjYBAAAA6XECAAIAAAAINi4xNzk0MDIBCAAAAAUAAAABMQEAAAAKMTg5MTM0Nzg2OQMAAAADMTYwAgAAAAQ0MDAxBAAAAAEwBwAAAAk2LzE0LzIwMjYIAAAACTMvMzEvMjAxNgkAAAABMIYrFNn+yd4Ie4Aj3P7J3ggmQ0lRLk5ZU0U6QkFILklRX0dBQVBfQlMuOTkwLjE0LzA2LzIwMjYBAAAA6XECAAMAAAAHVVMgR0FBUACGKxTZ/sneCPYOIdz+yd4ILkNJUS5OWVNFOkJBSC5JUV9SRVRVUk5fQ0FQSVRBTC4xMDAwLjE0LzA2LzIwMjYBAAAA6XECAAIAAAAHMTMuMDk5MwEIAAAABQAAAAExAQAAAAstMTg4NzcwNDk3NwMAAAADMTYwAgAAAAQ0MzYzBAAAAAEwBwAAAAk2LzE0LzIw</t>
  </si>
  <si>
    <t>MjYIAAAACTMvMzEvMjAyNgkAAAABMIYrFNn+yd4IKvhA3f7J3ggwQ0lRLk5ZU0U6QkFILklRX05VTUJFUl9BRFJIT0xERVJTLjk5MC4xNC8wNi8yMDI2AQAAAOlxAgADAAAAAACGKxTZ/sneCPYOIdz+yd4IMENJUS5OWVNFOkJBSC5JUV9FQklUXzNZUl9BTk5fQ0FHUi45OTMuMTQvMDYvMjAyNgEAAADpcQIAAgAAAAcxMC4yMTEyAQgAAAAFAAAAATEBAAAACjIwOTkwODcxMzMDAAAAAzE2MAIAAAAENDIyMwQAAAABMAcAAAAJNi8xNC8yMDI2CAAAAAkzLzMxLzIwMTkJAAAAATAdpgzZ/sneCAzBKtz+yd4ILkNJUS5OWVNFOkJBSC5JUV9OSV8zWVJfQU5OX0NBR1IuOTk5LjE0LzA2LzIwMjYBAAAA6XECAAIAAAAHMjYuMDYwNAEIAAAABQAAAAExAQAAAAstMTg4NzcwNTAwMQMAAAADMTYwAgAAAAQ0MjI1BAAAAAEwBwAAAAk2LzE0LzIwMjYIAAAACTMvMzEvMjAyNQkAAAABMB2mDNn+yd4ILdM+3f7J3gguQ0lRLk5ZU0U6QkFILklRX0dQXzVZUl9BTk5fQ0FHUi45OTEuMTQvMDYvMjAyNgEAAADpcQIAAgAAAActMC4wMzM2AQgAAAAFAAAAATEBAAAACjE5NjU3NzI0MjIDAAAAAzE2MAIAAAAENDIzNAQAAAABMAcAAAAJNi8xNC8yMDI2CAAAAAkzLzMxLzIwMTcJAAAAATAdpgzZ/sneCAzBKtz+yd4IMkNJUS5OWVNFOkJBSC5JUV9FQklUREFfNVlSX0FOTl9DQUdSLjk5Ny4xNC8wNi8yMDI2AQAAAOlxAgACAAAA</t>
  </si>
  <si>
    <t>BzExLjA3NzEBCAAAAAUAAAABMQEAAAALLTE5NDE1NDY4NzEDAAAAAzE2MAIAAAAENDIzNQQAAAABMAcAAAAJNi8xNC8yMDI2CAAAAAkzLzMxLzIwMjMJAAAAATAdpgzZ/sneCAzBKtz+yd4ILkNJUS5OWVNFOkJBSC5JUV9OSV81WVJfQU5OX0NBR1IuOTkxLjE0LzA2LzIwMjYBAAAA6XECAAIAAAAGMS42ODE5AQgAAAAFAAAAATEBAAAACjE5NjU3NzI0MjIDAAAAAzE2MAIAAAAENDIzOAQAAAABMAcAAAAJNi8xNC8yMDI2CAAAAAkzLzMxLzIwMTcJAAAAATAdpgzZ/sneCMM0Ldz+yd4IRUNJUS5OWVNFOkJBSC5JUV9ORVRfREVCVF9FQklUREFfRVhDTF9PUEVSX0xFQVNFU19DQVBFWC45OTkuMTQvMDYvMjAyNgEAAADpcQIAAgAAAAgyLjYwMjY1NAEIAAAABQAAAAExAQAAAAstMTg4NzcwNTAwMQMAAAADMTYwAgAAAAU0OTE4MgQAAAABMAcAAAAJNi8xNC8yMDI2CAAAAAkzLzMxLzIwMjUJAAAAATAdpgzZ/sneCC3TPt3+yd4IN0NJUS5OWVNFOkJBSC5JUV9UT1RBTF9SRVZfMVlSX0FOTl9HUk9XVEguOTkxLjE0LzA2LzIwMjYBAAAA6XECAAIAAAAGNy40Njg5AQgAAAAFAAAAATEBAAAACjE5NjU3NzI0MjIDAAAAAzE2MAIAAAAENDE5NAQAAAABMAcAAAAJNi8xNC8yMDI2CAAAAAkzLzMxLzIwMTcJAAAAATAdpgzZ/sneCJXXKNz+yd4IMENJUS5OWVNFOkJBSC5JUV9HUF8xWVJfQU5OX0dST1dUSC45OTcuMTQv</t>
  </si>
  <si>
    <t>MDYvMjAyNgEAAADpcQIAAgAAAAY3Ljc5MzUBCAAAAAUAAAABMQEAAAALLTE5NDE1NDY4NzEDAAAAAzE2MAIAAAAENDE5NQQAAAABMAcAAAAJNi8xNC8yMDI2CAAAAAkzLzMxLzIwMjMJAAAAATAdpgzZ/sneCAzBKtz+yd4IM0NJUS5OWVNFOkJBSC5JUV9FQklUXzFZUl9BTk5fR1JPV1RILjIwMDAuMTQvMDYvMjAyNgEAAADpcQIAAgAAAActOS44MDI0AQgAAAAFAAAAATEBAAAACy0xODg3NzA0MzQxAwAAAAMxNjACAAAABDQxOTcEAAAAATAHAAAACTYvMTQvMjAyNggAAAAJMy8zMS8yMDI2CQAAAAEwHaYM2f7J3ggMwSrc/sneCDFDSVEuTllTRTpCQUguSVFfRVBTXzFZUl9BTk5fR1JPV1RILjk5NS4xNC8wNi8yMDI2AQAAAOlxAgACAAAABzI4LjE1MDEBCAAAAAUAAAABMQEAAAALLTIwNDMyMTUzOTIDAAAAAzE2MAIAAAAENDIwMAQAAAABMAcAAAAJNi8xNC8yMDI2CAAAAAkzLzMxLzIwMjEJAAAAATAdpgzZ/sneCAzBKtz+yd4IOkNJUS5OWVNFOkJBSC5JUV9FQklUREFfRVhDTF9PUEVSX0xFQVNFU19JTlQuOTkxLjE0LzA2LzIwMjYBAAAA6XECAAIAAAAIOS4wMTM1MTUBCAAAAAUAAAABMQEAAAAKMTk2NTc3MjQyMgMAAAADMTYwAgAAAAU0OTE3MwQAAAABMAcAAAAJNi8xNC8yMDI2CAAAAAkzLzMxLzIwMTcJAAAAATCSqBXZ/sneCDjlJdz+yd4IL0NJUS5OWVNFOkJBSC5JUV9FQklUREFfQ0FQRVhfSU5U</t>
  </si>
  <si>
    <t>Ljk5Ny4xNC8wNi8yMDI2AQAAAOlxAgACAAAABzguOTA5MDkBCAAAAAUAAAABMQEAAAALLTE5NDE1NDY4NzEDAAAAAzE2MAIAAAAENDE5MQQAAAABMAcAAAAJNi8xNC8yMDI2CAAAAAkzLzMxLzIwMjMJAAAAATCSqBXZ/sneCDjlJdz+yd4ILkNJUS5OWVNFOkJBSC5JUV9ORVRfREVCVF9FQklUREEuOTk1LjE0LzA2LzIwMjYBAAAA6XECAAIAAAAIMS44NzIwOTMBCAAAAAUAAAABMQEAAAALLTIwNDMyMTUzOTIDAAAAAzE2MAIAAAAENDE5MwQAAAABMAcAAAAJNi8xNC8yMDI2CAAAAAkzLzMxLzIwMjEJAAAAATAdpgzZ/sneCKRYKNz+yd4INkNJUS5OWVNFOkJBSC5JUV9UT1RBTF9ERUJUX0VCSVREQV9DQVBFWC45OTkuMTQvMDYvMjAyNgEAAADpcQIAAgAAAAgzLjEwMjIwNQEIAAAABQAAAAExAQAAAAstMTg4NzcwNTAwMQMAAAADMTYwAgAAAAUyMzMxMwQAAAABMAcAAAAJNi8xNC8yMDI2CAAAAAkzLzMxLzIwMjUJAAAAATAdpgzZ/sneCC3TPt3+yd4INENJUS5OWVNFOkJBSC5JUV9ORVRfREVCVF9FQklUREFfQ0FQRVguOTkzLjE0LzA2LzIwMjYBAAAA6XECAAIAAAAIMi43NDAxMDUBCAAAAAUAAAABMQEAAAAKMjA5OTA4NzEzMwMAAAADMTYwAgAAAAUyMzMxNAQAAAABMAcAAAAJNi8xNC8yMDI2CAAAAAkzLzMxLzIwMTkJAAAAATAdpgzZ/sneCJXXKNz+yd4ILUNJUS5OWVNFOkJBSC5JUV9EQVlTX1NBTEVT</t>
  </si>
  <si>
    <t>X09VVC45OTUuMTQvMDYvMjAyNgEAAADpcQIAAgAAAAk2Ni42Nzg1NjUBCAAAAAUAAAABMQEAAAALLTIwNDMyMTUzOTIDAAAAAzE2MAIAAAAENDA0MgQAAAABMAcAAAAJNi8xNC8yMDI2CAAAAAkzLzMxLzIwMjEJAAAAATCSqBXZ/sneCHuAI9z+yd4ILkNJUS5OWVNFOkJBSC5JUV9DQVNIX0NPTlZFUlNJT04uOTk1LjE0LzA2LzIwMjYBAAAA6XECAAMAAAAAAJKoFdn+yd4IOOUl3P7J3ggxQ0lRLk5ZU0U6QkFILklRX1RPVEFMX0RFQlRfQ0FQSVRBTC45OTkuMTQvMDYvMjAyNgEAAADpcQIAAgAAAAc4MC43OTI3AQgAAAAFAAAAATEBAAAACy0xODg3NzA1MDAxAwAAAAMxNjACAAAABDQxODYEAAAAATAHAAAACTYvMTQvMjAyNggAAAAJMy8zMS8yMDI1CQAAAAEwkqgV2f7J3gjXD0Dd/sneCC5DSVEuTllTRTpCQUguSVFfTFRfREVCVF9DQVBJVEFMLjk5My4xNC8wNi8yMDI2AQAAAOlxAgACAAAABzY3LjY5NDgBCAAAAAUAAAABMQEAAAAKMjA5OTA4NzEzMwMAAAADMTYwAgAAAAQ0MTg3BAAAAAEwBwAAAAk2LzE0LzIwMjYIAAAACTMvMzEvMjAxOQkAAAABMJKoFdn+yd4IOOUl3P7J3ggnQ0lRLk5ZU0U6QkFILklRX0VCSVRfSU5ULjk5Ny4xNC8wNi8yMDI2AQAAAOlxAgACAAAACDcuMzcyNzI3AQgAAAAFAAAAATEBAAAACy0xOTQxNTQ2ODcxAwAAAAMxNjACAAAABDQxODkEAAAAATAHAAAACTYvMTQvMjAyNggA</t>
  </si>
  <si>
    <t>AAAJMy8zMS8yMDIzCQAAAAEwkqgV2f7J3gg45SXc/sneCChDSVEuTllTRTpCQUguSVFfTklfTUFSR0lOLjk5My4xNC8wNi8yMDI2AQAAAOlxAgACAAAABjYuMjQyOQEIAAAABQAAAAExAQAAAAoyMDk5MDg3MTMzAwAAAAMxNjACAAAABDQwOTQEAAAAATAHAAAACTYvMTQvMjAyNggAAAAJMy8zMS8yMDE5CQAAAAEwhisU2f7J3gh7gCPc/sneCCxDSVEuTllTRTpCQUguSVFfQ0FQRVhfUENUX1JFVi45OTkuMTQvMDYvMjAyNgEAAADpcQIAAgAAAAUwLjgxOAEIAAAABQAAAAExAQAAAAstMTg4NzcwNTAwMQMAAAADMTYwAgAAAAUzNTM4MAQAAAABMAcAAAAJNi8xNC8yMDI2CAAAAAkzLzMxLzIwMjUJAAAAATCGKxTZ/sneCNcPQN3+yd4IMENJUS5OWVNFOkJBSC5JUV9GSVhFRF9BU1NFVF9UVVJOUy45OTMuMTQvMDYvMjAyNgEAAADpcQIAAgAAAAk0MS4yNzg4NTUBCAAAAAUAAAABMQEAAAAKMjA5OTA4NzEzMwMAAAADMTYwAgAAAAQ0MDY2BAAAAAEwBwAAAAk2LzE0LzIwMjYIAAAACTMvMzEvMjAxOQkAAAABMIYrFNn+yd4Ie4Aj3P7J3gguQ0lRLk5ZU0U6QkFILklRX0lOVkVOVE9SWV9UVVJOUy45OTcuMTQvMDYvMjAyNgEAAADpcQIAAwAAAAAAhisU2f7J3gh7gCPc/sneCCpDSVEuTllTRTpCQUguSVFfUVVJQ0tfUkFUSU8uOTkxLjE0LzA2LzIwMjYBAAAA6XECAAIAAAAIMS4wOTc4OTgBCAAAAAUAAAABMQEA</t>
  </si>
  <si>
    <t>AAAKMTk2NTc3MjQyMgMAAAADMTYwAgAAAAQ0MTIxBAAAAAEwBwAAAAk2LzE0LzIwMjYIAAAACTMvMzEvMjAxNwkAAAABMIYrFNn+yd4Ie4Aj3P7J3ggmQ0lRLk5ZU0U6QkFILklRX0dBQVBfQlMuOTkxLjE0LzA2LzIwMjYBAAAA6XECAAMAAAAHVVMgR0FBUACGKxTZ/sneCPYOIdz+yd4ILUNJUS5OWVNFOkJBSC5JUV9SRVRVUk5fQ0FQSVRBTC45OTEuMTQvMDYvMjAyNgEAAADpcQIAAgAAAAcxNC4yNTIxAQgAAAAFAAAAATEBAAAACjE5NjU3NzI0MjIDAAAAAzE2MAIAAAAENDM2MwQAAAABMAcAAAAJNi8xNC8yMDI2CAAAAAkzLzMxLzIwMTcJAAAAATCGKxTZ/sneCHuAI9z+yd4IM0NJUS5OWVNFOkJBSC5JUV9SRVRVUk5fQ09NTU9OX0VRVUlUWS45OTUuMTQvMDYvMjAyNgEAAADpcQIAAgAAAAc2Mi44MTk5AQgAAAAFAAAAATEBAAAACy0yMDQzMjE1MzkyAwAAAAMxNjACAAAABTMzMzIwBAAAAAEwBwAAAAk2LzE0LzIwMjYIAAAACTMvMzEvMjAyMQkAAAABMIYrFNn+yd4Ie4Aj3P7J3gguQ0lRLk5ZU0U6QkFILklRX1RPVEFMX0VNUExPWUVFUy45OTMuMTQvMDYvMjAyNgEAAADpcQIAAgAAAAUyNjEwMACGKxTZ/sneCPYOIdz+yd4ILENJUS5OWVNFOkJBSC5JUV9BVkdfRU1QTE9ZRUVTLjk5Ny4xNC8wNi8yMDI2AQAAAOlxAgADAAAAAACGKxTZ/sneCPYOIdz+yd4IMENJUS5OWVNFOkJBSC5JUV9OVU1CRVJf</t>
  </si>
  <si>
    <t>QURSSE9MREVSUy45OTEuMTQvMDYvMjAyNgEAAADpcQIAAwAAAAAAhisU2f7J3gj2DiHc/sneCChDSVEuTllTRTpCQUguSVFfRlVMTF9USU1FLjk5OS4xNC8wNi8yMDI2AQAAAOlxAgACAAAABTM1ODAwAIYrFNn+yd4IKvhA3f7J3ggpQ0lRLk5ZU0U6QkFILklRX0lOVl9NRVRIT0QuOTkxLjE0LzA2LzIwMjYBAAAA6XECAAMAAAACTkEASkdH2f7J3ggppx7c/sneCDxDSVEuTllTRTpCQUguSVFfVE9UQUxfT1VUU1RBTkRJTkdfRklMSU5HX0RBVEUuOTkzLjE0LzA2LzIwMjYBAAAA6XECAAIAAAAKMTQwLjAzMDcyNQEEAAAABQAAAAE1AQAAAAoyMDk5MDg3MTMzAgAAAAUyNDE1MwYAAAABMEpHR9n+yd4IKace3P7J3gg4Q0lRLk5ZU0U6QkFILklRX1RPVEFMX09VVFNUQU5ESU5HX0JTX0RBVEUuOTk5LjE0LzA2LzIwMjYBAAAA6XECAAIAAAAKMTI0Ljg3OTAwNAEEAAAABQAAAAE1AQAAAAstMTg4NzcwNTAwMQIAAAAFMjQxNTIGAAAAATBKR0fZ/sneCCr4QN3+yd4IMENJUS5OWVNFOkJBSC5JUV9FQklUXzNZUl9BTk5fQ0FHUi45OTQuMTQvMDYvMjAyNgEAAADpcQIAAgAAAAY5Ljc5MTUBCAAAAAUAAAABMQEAAAALLTIwOTUxMjYwOTADAAAAAzE2MAIAAAAENDIyMwQAAAABMAcAAAAJNi8xNC8yMDI2CAAAAAkzLzMxLzIwMjAJAAAAATAdpgzZ/sneCAzBKtz+yd4IL0NJUS5OWVNFOkJBSC5JUV9OSV8zWVJfQU5O</t>
  </si>
  <si>
    <t>X0NBR1IuMTAwMC4xNC8wNi8yMDI2AQAAAOlxAgACAAAABzQ2LjI1ODIBCAAAAAUAAAABMQEAAAALLTE4ODc3MDQ5NzcDAAAAAzE2MAIAAAAENDIyNQQAAAABMAcAAAAJNi8xNC8yMDI2CAAAAAkzLzMxLzIwMjYJAAAAATAdpgzZ/sneCC3TPt3+yd4INUNJUS5OWVNFOkJBSC5JUV9UT1RBTF9SRVZfNVlSX0FOTl9DQUdSLjk5NC4xNC8wNi8yMDI2AQAAAOlxAgACAAAABjcuMTg5NAEIAAAABQAAAAExAQAAAAstMjA5NTEyNjA5MAMAAAADMTYwAgAAAAQ0MjMzBAAAAAEwBwAAAAk2LzE0LzIwMjYIAAAACTMvMzEvMjAyMAkAAAABMB2mDNn+yd4IDMEq3P7J3ggyQ0lRLk5ZU0U6QkFILklRX0VCSVREQV81WVJfQU5OX0NBR1IuOTk4LjE0LzA2LzIwMjYBAAAA6XECAAIAAAAHMTIuMzY2OAEIAAAABQAAAAExAQAAAAstMTg4NzcwNDk5MwMAAAADMTYwAgAAAAQ0MjM1BAAAAAEwBwAAAAk2LzE0LzIwMjYIAAAACTMvMzEvMjAyNAkAAAABMB2mDNn+yd4IDMEq3P7J3gguQ0lRLk5ZU0U6QkFILklRX05JXzVZUl9BTk5fQ0FHUi45OTIuMTQvMDYvMjAyNgEAAADpcQIAAgAAAAY2LjYxMDcBCAAAAAUAAAABMQEAAAAKMjAzODA5MTA3NwMAAAADMTYwAgAAAAQ0MjM4BAAAAAEwBwAAAAk2LzE0LzIwMjYIAAAACTMvMzEvMjAxOAkAAAABMB2mDNn+yd4IwzQt3P7J3gg3Q0lRLk5ZU0U6QkFILklRX1RPVEFMX1JFVl8xWVJf</t>
  </si>
  <si>
    <t>QU5OX0dST1dUSC45OTIuMTQvMDYvMjAyNgEAAADpcQIAAgAAAAY2LjE2NDIBCAAAAAUAAAABMQEAAAAKMjAzODA5MTA3NwMAAAADMTYwAgAAAAQ0MTk0BAAAAAEwBwAAAAk2LzE0LzIwMjYIAAAACTMvMzEvMjAxOAkAAAABMB2mDNn+yd4Ildco3P7J3ggwQ0lRLk5ZU0U6QkFILklRX0dQXzFZUl9BTk5fR1JPV1RILjk5OC4xNC8wNi8yMDI2AQAAAOlxAgACAAAABzE0LjYzODYBCAAAAAUAAAABMQEAAAALLTE4ODc3MDQ5OTMDAAAAAzE2MAIAAAAENDE5NQQAAAABMAcAAAAJNi8xNC8yMDI2CAAAAAkzLzMxLzIwMjQJAAAAATAdpgzZ/sneCAzBKtz+yd4IMkNJUS5OWVNFOkJBSC5JUV9FQklUXzFZUl9BTk5fR1JPV1RILjk5Mi4xNC8wNi8yMDI2AQAAAOlxAgACAAAABjIuMDg0NQEIAAAABQAAAAExAQAAAAoyMDM4MDkxMDc3AwAAAAMxNjACAAAABDQxOTcEAAAAATAHAAAACTYvMTQvMjAyNggAAAAJMy8zMS8yMDE4CQAAAAEwHaYM2f7J3ggMwSrc/sneCDFDSVEuTllTRTpCQUguSVFfRVBTXzFZUl9BTk5fR1JPV1RILjk5Ni4xNC8wNi8yMDI2AQAAAOlxAgACAAAACC0yMS4yMzYxAQgAAAAFAAAAATEBAAAACy0xOTkyNDAyMDU5AwAAAAMxNjACAAAABDQyMDAEAAAAATAHAAAACTYvMTQvMjAyNggAAAAJMy8zMS8yMDIyCQAAAAEwHaYM2f7J3ggMwSrc/sneCC5DSVEuTllTRTpCQUguSVFfR1BfM1lSX0FOTl9D</t>
  </si>
  <si>
    <t>QUdSLjk5MC4xNC8wNi8yMDI2AQAAAOlxAgACAAAABy0xLjAzNDYBCAAAAAUAAAABMQEAAAAKMTg5MTM0Nzg2OQMAAAADMTYwAgAAAAQ0MjIxBAAAAAEwBwAAAAk2LzE0LzIwMjYIAAAACTMvMzEvMjAxNgkAAAABMB2mDNn+yd4IDMEq3P7J3ghBQ0lRLk5ZU0U6QkFILklRX1RPVEFMX0RFQlRfRUJJVERBX0VYQ0xfT1BFUl9MRUFTRVMuOTkwLjE0LzA2LzIwMjYBAAAA6XECAAIAAAAIMy4zMTM5NTkBCAAAAAUAAAABMQEAAAAKMTg5MTM0Nzg2OQMAAAADMTYwAgAAAAU0ODk5NAQAAAABMAcAAAAJNi8xNC8yMDI2CAAAAAkzLzMxLzIwMTYJAAAAATAdpgzZ/sneCDjlJdz+yd4ILkNJUS5OWVNFOkJBSC5JUV9ORVRfREVCVF9FQklUREEuOTk2LjE0LzA2LzIwMjYBAAAA6XECAAIAAAAIMi42NDkyMTQBCAAAAAUAAAABMQEAAAALLTE5OTI0MDIwNTkDAAAAAzE2MAIAAAAENDE5MwQAAAABMAcAAAAJNi8xNC8yMDI2CAAAAAkzLzMxLzIwMjIJAAAAATAdpgzZ/sneCKRYKNz+yd4INkNJUS5OWVNFOkJBSC5JUV9UT1RBTF9ERUJUX0VCSVREQV9DQVBFWC45OTAuMTQvMDYvMjAyNgEAAADpcQIAAgAAAAgzLjgxNjQyMwEIAAAABQAAAAExAQAAAAoxODkxMzQ3ODY5AwAAAAMxNjACAAAABTIzMzEzBAAAAAEwBwAAAAk2LzE0LzIwMjYIAAAACTMvMzEvMjAxNgkAAAABMB2mDNn+yd4Ildco3P7J3gg0Q0lRLk5ZU0U6QkFI</t>
  </si>
  <si>
    <t>LklRX05FVF9ERUJUX0VCSVREQV9DQVBFWC45OTQuMTQvMDYvMjAyNgEAAADpcQIAAgAAAAYyLjU2NDIBCAAAAAUAAAABMQEAAAALLTIwOTUxMjYwOTADAAAAAzE2MAIAAAAFMjMzMTQEAAAAATAHAAAACTYvMTQvMjAyNggAAAAJMy8zMS8yMDIwCQAAAAEwHaYM2f7J3giV1yjc/sneCEZDSVEuTllTRTpCQUguSVFfTkVUX0RFQlRfRUJJVERBX0VYQ0xfT1BFUl9MRUFTRVNfQ0FQRVguMTAwMC4xNC8wNi8yMDI2AQAAAOlxAgACAAAACDIuOTA1ODIxAQgAAAAFAAAAATEBAAAACy0xODg3NzA0OTc3AwAAAAMxNjACAAAABTQ5MTgyBAAAAAEwBwAAAAk2LzE0LzIwMjYIAAAACTMvMzEvMjAyNgkAAAABMB2mDNn+yd4ILdM+3f7J3ggyQ0lRLk5ZU0U6QkFILklRX1RPVEFMX0RFQlRfQ0FQSVRBTC4xMDAwLjE0LzA2LzIwMjYBAAAA6XECAAIAAAAHNzguODU5NwEIAAAABQAAAAExAQAAAAstMTg4NzcwNDk3NwMAAAADMTYwAgAAAAQ0MTg2BAAAAAEwBwAAAAk2LzE0LzIwMjYIAAAACTMvMzEvMjAyNgkAAAABMJKoFdn+yd4I1w9A3f7J3gguQ0lRLk5ZU0U6QkFILklRX0xUX0RFQlRfQ0FQSVRBTC45OTQuMTQvMDYvMjAyNgEAAADpcQIAAgAAAAY2Ny43NTgBCAAAAAUAAAABMQEAAAALLTIwOTUxMjYwOTADAAAAAzE2MAIAAAAENDE4NwQAAAABMAcAAAAJNi8xNC8yMDI2CAAAAAkzLzMxLzIwMjAJAAAAATCSqBXZ/sne</t>
  </si>
  <si>
    <t>CDjlJdz+yd4IN0NJUS5OWVNFOkJBSC5JUV9UT1RBTF9MSUFCX1RPVEFMX0FTU0VUUy4xMDAwLjE0LzA2LzIwMjYBAAAA6XECAAIAAAAHODQuNDc1OQEIAAAABQAAAAExAQAAAAstMTg4NzcwNDk3NwMAAAADMTYwAgAAAAQ0MTg4BAAAAAEwBwAAAAk2LzE0LzIwMjYIAAAACTMvMzEvMjAyNgkAAAABMJKoFdn+yd4I1w9A3f7J3gg6Q0lRLk5ZU0U6QkFILklRX0VCSVREQV9FWENMX09QRVJfTEVBU0VTX0lOVC45OTIuMTQvMDYvMjAyNgEAAADpcQIAAgAAAAg3LjAxNjAwOAEIAAAABQAAAAExAQAAAAoyMDM4MDkxMDc3AwAAAAMxNjACAAAABTQ5MTczBAAAAAEwBwAAAAk2LzE0LzIwMjYIAAAACTMvMzEvMjAxOAkAAAABMJKoFdn+yd4IOOUl3P7J3ggvQ0lRLk5ZU0U6QkFILklRX0VCSVREQV9DQVBFWF9JTlQuOTk4LjE0LzA2LzIwMjYBAAAA6XECAAIAAAAIOC4xNjMyNjUBCAAAAAUAAAABMQEAAAALLTE4ODc3MDQ5OTMDAAAAAzE2MAIAAAAENDE5MQQAAAABMAcAAAAJNi8xNC8yMDI2CAAAAAkzLzMxLzIwMjQJAAAAATCSqBXZ/sneCDjlJdz+yd4ILkNJUS5OWVNFOkJBSC5JUV9JTlZFTlRPUllfVFVSTlMuOTk4LjE0LzA2LzIwMjYBAAAA6XECAAMAAAAAAIYrFNn+yd4Ie4Aj3P7J3ggqQ0lRLk5ZU0U6QkFILklRX1FVSUNLX1JBVElPLjk5Mi4xNC8wNi8yMDI2AQAAAOlxAgACAAAACDEuMzgxNjE3AQgAAAAF</t>
  </si>
  <si>
    <t>AAAAATEBAAAACjIwMzgwOTEwNzcDAAAAAzE2MAIAAAAENDEyMQQAAAABMAcAAAAJNi8xNC8yMDI2CAAAAAkzLzMxLzIwMTgJAAAAATCGKxTZ/sneCHuAI9z+yd4IL0NJUS5OWVNFOkJBSC5JUV9DRk9fQ1VSUkVOVF9MSUFCLjk5OC4xNC8wNi8yMDI2AQAAAOlxAgACAAAACDAuMTUzMDczAQgAAAAFAAAAATEBAAAACy0xODg3NzA0OTkzAwAAAAMxNjACAAAABDQxODUEAAAAATAHAAAACTYvMTQvMjAyNggAAAAJMy8zMS8yMDI0CQAAAAEwhisU2f7J3gh7gCPc/sneCC9DSVEuTllTRTpCQUguSVFfREFZU19QQVlBQkxFX09VVC45OTAuMTQvMDYvMjAyNgEAAADpcQIAAgAAAAkyMC42ODUyMjIBCAAAAAUAAAABMQEAAAAKMTg5MTM0Nzg2OQMAAAADMTYwAgAAAAQ0MTgzBAAAAAEwBwAAAAk2LzE0LzIwMjYIAAAACTMvMzEvMjAxNgkAAAABMJKoFdn+yd4IOOUl3P7J3gguQ0lRLk5ZU0U6QkFILklRX0NBU0hfQ09OVkVSU0lPTi45OTYuMTQvMDYvMjAyNgEAAADpcQIAAwAAAAAAkqgV2f7J3gg45SXc/sneCDNDSVEuTllTRTpCQUguSVFfUkVUVVJOX0NPTU1PTl9FUVVJVFkuOTk2LjE0LzA2LzIwMjYBAAAA6XECAAIAAAAHNDMuNzk1MQEIAAAABQAAAAExAQAAAAstMTk5MjQwMjA1OQMAAAADMTYwAgAAAAUzMzMyMAQAAAABMAcAAAAJNi8xNC8yMDI2CAAAAAkzLzMxLzIwMjIJAAAAATCGKxTZ/sneCHuAI9z+yd4I</t>
  </si>
  <si>
    <t>LENJUS5OWVNFOkJBSC5JUV9FQklUREFfTUFSR0lOLjk5MC4xNC8wNi8yMDI2AQAAAOlxAgACAAAABjkuMzYyNgEIAAAABQAAAAExAQAAAAoxODkxMzQ3ODY5AwAAAAMxNjACAAAABDQwNDcEAAAAATAHAAAACTYvMTQvMjAyNggAAAAJMy8zMS8yMDE2CQAAAAEwhisU2f7J3gh7gCPc/sneCCpDSVEuTllTRTpCQUguSVFfRUJJVF9NQVJHSU4uOTk2LjE0LzA2LzIwMjYBAAAA6XECAAIAAAAGOC4xNDM3AQgAAAAFAAAAATEBAAAACy0xOTkyNDAyMDU5AwAAAAMxNjACAAAABDQwNTMEAAAAATAHAAAACTYvMTQvMjAyNggAAAAJMy8zMS8yMDIyCQAAAAEwhisU2f7J3gh7gCPc/sneCC1DSVEuTllTRTpCQUguSVFfQ0FQRVhfUENUX1JFVi4xMDAwLjE0LzA2LzIwMjYBAAAA6XECAAIAAAAGMC44MDIzAQgAAAAFAAAAATEBAAAACy0xODg3NzA0OTc3AwAAAAMxNjACAAAABTM1MzgwBAAAAAEwBwAAAAk2LzE0LzIwMjYIAAAACTMvMzEvMjAyNgkAAAABMIYrFNn+yd4I1w9A3f7J3ggwQ0lRLk5ZU0U6QkFILklRX0ZJWEVEX0FTU0VUX1RVUk5TLjk5NC4xNC8wNi8yMDI2AQAAAOlxAgACAAAACTI0LjA1MTYxMwEIAAAABQAAAAExAQAAAAstMjA5NTEyNjA5MAMAAAADMTYwAgAAAAQ0MDY2BAAAAAEwBwAAAAk2LzE0LzIwMjYIAAAACTMvMzEvMjAyMAkAAAABMIYrFNn+yd4Ie4Aj3P7J3ggrQ0lRLk5ZU0U6QkFILklRX0NB</t>
  </si>
  <si>
    <t>TENfVFlQRV9CUy45OTQuMTQvMDYvMjAyNgEAAADpcQIAAwAAAANSVVAAhisU2f7J3gj2DiHc/sneCC1DSVEuTllTRTpCQUguSVFfUkVUVVJOX0NBUElUQUwuOTkyLjE0LzA2LzIwMjYBAAAA6XECAAIAAAAHMTMuNDA2MwEIAAAABQAAAAExAQAAAAoyMDM4MDkxMDc3AwAAAAMxNjACAAAABDQzNjMEAAAAATAHAAAACTYvMTQvMjAyNggAAAAJMy8zMS8yMDE4CQAAAAEwhisU2f7J3gj2DiHc/sneCDJDSVEuTllTRTpCQUguSVFfRUJJVERBXzNZUl9BTk5fQ0FHUi45OTcuMTQvMDYvMjAyNgEAAADpcQIAAgAAAAY5LjM5OTUBCAAAAAUAAAABMQEAAAALLTE5NDE1NDY4NzEDAAAAAzE2MAIAAAAENDIyMgQAAAABMAcAAAAJNi8xNC8yMDI2CAAAAAkzLzMxLzIwMjMJAAAAATAdpgzZ/sneCAzBKtz+yd4IL0NJUS5OWVNFOkJBSC5JUV9OSV8zWVJfQU5OX0NBR1IuMjAwMC4xNC8wNi8yMDI2AQAAAOlxAgACAAAABzQ2LjI1ODIBCAAAAAUAAAABMQEAAAALLTE4ODc3MDQzNDEDAAAAAzE2MAIAAAAENDIyNQQAAAABMAcAAAAJNi8xNC8yMDI2CAAAAAkzLzMxLzIwMjYJAAAAATAdpgzZ/sneCAzBKtz+yd4INUNJUS5OWVNFOkJBSC5JUV9UT1RBTF9SRVZfNVlSX0FOTl9DQUdSLjk5NS4xNC8wNi8yMDI2AQAAAOlxAgACAAAABTcuNzcxAQgAAAAFAAAAATEBAAAACy0yMDQzMjE1MzkyAwAAAAMxNjACAAAABDQyMzMEAAAA</t>
  </si>
  <si>
    <t>ATAHAAAACTYvMTQvMjAyNggAAAAJMy8zMS8yMDIxCQAAAAEwHaYM2f7J3ggMwSrc/sneCDJDSVEuTllTRTpCQUguSVFfRUJJVERBXzVZUl9BTk5fQ0FHUi45OTkuMTQvMDYvMjAyNgEAAADpcQIAAgAAAAcxMy4wOTIxAQgAAAAFAAAAATEBAAAACy0xODg3NzA1MDAxAwAAAAMxNjACAAAABDQyMzUEAAAAATAHAAAACTYvMTQvMjAyNggAAAAJMy8zMS8yMDI1CQAAAAEwHaYM2f7J3ggt0z7d/sneCC5DSVEuTllTRTpCQUguSVFfTklfNVlSX0FOTl9DQUdSLjk5My4xNC8wNi8yMDI2AQAAAOlxAgACAAAABzEyLjUwNjQBCAAAAAUAAAABMQEAAAAKMjA5OTA4NzEzMwMAAAADMTYwAgAAAAQ0MjM4BAAAAAEwBwAAAAk2LzE0LzIwMjYIAAAACTMvMzEvMjAxOQkAAAABMB2mDNn+yd4IwzQt3P7J3ggmQ0lRLk5ZU0U6QkFILklRX1pfU0NPUkUuOTk1LjE0LzA2LzIwMjYBAAAA6XECAAIAAAAINC4xNDc4OTIBCAAAAAUAAAABMQEAAAALLTIwNDMyMTUzOTIDAAAAAzE2MAIAAAAGMTAwMTIzBAAAAAEwBwAAAAk2LzE0LzIwMjYIAAAACTMvMzEvMjAyMQkAAAABMB2mDNn+yd4Ildco3P7J3ggwQ0lRLk5ZU0U6QkFILklRX0dQXzFZUl9BTk5fR1JPV1RILjk5OS4xNC8wNi8yMDI2AQAAAOlxAgACAAAABzEzLjA5NDcBCAAAAAUAAAABMQEAAAALLTE4ODc3MDUwMDEDAAAAAzE2MAIAAAAENDE5NQQAAAABMAcAAAAJNi8xNC8y</t>
  </si>
  <si>
    <t>MDI2CAAAAAkzLzMxLzIwMjUJAAAAATAdpgzZ/sneCC3TPt3+yd4IMkNJUS5OWVNFOkJBSC5JUV9FQklUXzFZUl9BTk5fR1JPV1RILjk5My4xNC8wNi8yMDI2AQAAAOlxAgACAAAABzE2LjE0MDYBCAAAAAUAAAABMQEAAAAKMjA5OTA4NzEzMwMAAAADMTYwAgAAAAQ0MTk3BAAAAAEwBwAAAAk2LzE0LzIwMjYIAAAACTMvMzEvMjAxOQkAAAABMB2mDNn+yd4IDMEq3P7J3ggxQ0lRLk5ZU0U6QkFILklRX0VQU18xWVJfQU5OX0dST1dUSC45OTcuMTQvMDYvMjAyNgEAAADpcQIAAgAAAAgtNDAuOTU2NAEIAAAABQAAAAExAQAAAAstMTk0MTU0Njg3MQMAAAADMTYwAgAAAAQ0MjAwBAAAAAEwBwAAAAk2LzE0LzIwMjYIAAAACTMvMzEvMjAyMwkAAAABMB2mDNn+yd4IDMEq3P7J3gguQ0lRLk5ZU0U6QkFILklRX0dQXzNZUl9BTk5fQ0FHUi45OTEuMTQvMDYvMjAyNgEAAADpcQIAAgAAAAYyLjY1MzEBCAAAAAUAAAABMQEAAAAKMTk2NTc3MjQyMgMAAAADMTYwAgAAAAQ0MjIxBAAAAAEwBwAAAAk2LzE0LzIwMjYIAAAACTMvMzEvMjAxNwkAAAABMB2mDNn+yd4IDMEq3P7J3ggwQ0lRLk5ZU0U6QkFILklRX1RPVEFMX0RFQlRfRUJJVERBLjk5My4xNC8wNi8yMDI2AQAAAOlxAgACAAAACDIuNzc5Nzk2AQgAAAAFAAAAATEBAAAACjIwOTkwODcxMzMDAAAAAzE2MAIAAAAENDE5MgQAAAABMAcAAAAJNi8xNC8yMDI2CAAA</t>
  </si>
  <si>
    <t>AAkzLzMxLzIwMTkJAAAAATAdpgzZ/sneCDjlJdz+yd4ILkNJUS5OWVNFOkJBSC5JUV9ORVRfREVCVF9FQklUREEuOTk3LjE0LzA2LzIwMjYBAAAA6XECAAIAAAAIMi41MDY0MjgBCAAAAAUAAAABMQEAAAALLTE5NDE1NDY4NzEDAAAAAzE2MAIAAAAENDE5MwQAAAABMAcAAAAJNi8xNC8yMDI2CAAAAAkzLzMxLzIwMjMJAAAAATAdpgzZ/sneCKRYKNz+yd4INkNJUS5OWVNFOkJBSC5JUV9UT1RBTF9ERUJUX0VCSVREQV9DQVBFWC45OTEuMTQvMDYvMjAyNgEAAADpcQIAAgAAAAczLjQzNDQxAQgAAAAFAAAAATEBAAAACjE5NjU3NzI0MjIDAAAAAzE2MAIAAAAFMjMzMTMEAAAAATAHAAAACTYvMTQvMjAyNggAAAAJMy8zMS8yMDE3CQAAAAEwHaYM2f7J3giV1yjc/sneCDRDSVEuTllTRTpCQUguSVFfTkVUX0RFQlRfRUJJVERBX0NBUEVYLjk5NS4xNC8wNi8yMDI2AQAAAOlxAgACAAAACDIuMDY4MTkyAQgAAAAFAAAAATEBAAAACy0yMDQzMjE1MzkyAwAAAAMxNjACAAAABTIzMzE0BAAAAAEwBwAAAAk2LzE0LzIwMjYIAAAACTMvMzEvMjAyMQkAAAABMB2mDNn+yd4Ildco3P7J3ghGQ0lRLk5ZU0U6QkFILklRX05FVF9ERUJUX0VCSVREQV9FWENMX09QRVJfTEVBU0VTX0NBUEVYLjIwMDAuMTQvMDYvMjAyNgEAAADpcQIAAgAAAAgyLjkwNTgyMQEIAAAABQAAAAExAQAAAAstMTg4NzcwNDM0MQMAAAADMTYwAgAA</t>
  </si>
  <si>
    <t>AAU0OTE4MgQAAAABMAcAAAAJNi8xNC8yMDI2CAAAAAkzLzMxLzIwMjYJAAAAATAdpgzZ/sneCJXXKNz+yd4IMUNJUS5OWVNFOkJBSC5JUV9UT1RBTF9ERUJUX0NBUElUQUwuOTkxLjE0LzA2LzIwMjYBAAAA6XECAAIAAAAHNzUuMjQzMwEIAAAABQAAAAExAQAAAAoxOTY1NzcyNDIyAwAAAAMxNjACAAAABDQxODYEAAAAATAHAAAACTYvMTQvMjAyNggAAAAJMy8zMS8yMDE3CQAAAAEwkqgV2f7J3gg45SXc/sneCC5DSVEuTllTRTpCQUguSVFfTFRfREVCVF9DQVBJVEFMLjk5NS4xNC8wNi8yMDI2AQAAAOlxAgACAAAABzY3LjcyODYBCAAAAAUAAAABMQEAAAALLTIwNDMyMTUzOTIDAAAAAzE2MAIAAAAENDE4NwQAAAABMAcAAAAJNi8xNC8yMDI2CAAAAAkzLzMxLzIwMjEJAAAAATCSqBXZ/sneCDjlJdz+yd4IN0NJUS5OWVNFOkJBSC5JUV9UT1RBTF9MSUFCX1RPVEFMX0FTU0VUUy4yMDAwLjE0LzA2LzIwMjYBAAAA6XECAAIAAAAHODQuNDc1OQEIAAAABQAAAAExAQAAAAstMTg4NzcwNDM0MQMAAAADMTYwAgAAAAQ0MTg4BAAAAAEwBwAAAAk2LzE0LzIwMjYIAAAACTMvMzEvMjAyNgkAAAABMJKoFdn+yd4IOOUl3P7J3gg6Q0lRLk5ZU0U6QkFILklRX0VCSVREQV9FWENMX09QRVJfTEVBU0VTX0lOVC45OTMuMTQvMDYvMjAyNgEAAADpcQIAAgAAAAc3LjQxNDU4AQgAAAAFAAAAATEBAAAACjIwOTkwODcxMzMD</t>
  </si>
  <si>
    <t>AAAAAzE2MAIAAAAFNDkxNzMEAAAAATAHAAAACTYvMTQvMjAyNggAAAAJMy8zMS8yMDE5CQAAAAEwkqgV2f7J3gg45SXc/sneCC9DSVEuTllTRTpCQUguSVFfRUJJVERBX0NBUEVYX0lOVC45OTkuMTQvMDYvMjAyNgEAAADpcQIAAgAAAAg4LjA5NTIzOAEIAAAABQAAAAExAQAAAAstMTg4NzcwNTAwMQMAAAADMTYwAgAAAAQ0MTkxBAAAAAEwBwAAAAk2LzE0LzIwMjYIAAAACTMvMzEvMjAyNQkAAAABMJKoFdn+yd4I1w9A3f7J3ggwQ0lRLk5ZU0U6QkFILklRX0ZJWEVEX0FTU0VUX1RVUk5TLjk5NS4xNC8wNi8yMDI2AQAAAOlxAgACAAAACTE3LjYxNjY5MQEIAAAABQAAAAExAQAAAAstMjA0MzIxNTM5MgMAAAADMTYwAgAAAAQ0MDY2BAAAAAEwBwAAAAk2LzE0LzIwMjYIAAAACTMvMzEvMjAyMQkAAAABMIYrFNn+yd4Ie4Aj3P7J3ggqQ0lRLk5ZU0U6QkFILklRX1FVSUNLX1JBVElPLjk5My4xNC8wNi8yMDI2AQAAAOlxAgACAAAACDEuMzcwNDk3AQgAAAAFAAAAATEBAAAACjIwOTkwODcxMzMDAAAAAzE2MAIAAAAENDEyMQQAAAABMAcAAAAJNi8xNC8yMDI2CAAAAAkzLzMxLzIwMTkJAAAAATCGKxTZ/sneCHuAI9z+yd4IL0NJUS5OWVNFOkJBSC5JUV9DRk9fQ1VSUkVOVF9MSUFCLjk5OS4xNC8wNi8yMDI2AQAAAOlxAgACAAAACDAuNTQ2NTg3AQgAAAAFAAAAATEBAAAACy0xODg3NzA1MDAxAwAAAAMxNjAC</t>
  </si>
  <si>
    <t>AAAABDQxODUEAAAAATAHAAAACTYvMTQvMjAyNggAAAAJMy8zMS8yMDI1CQAAAAEwkqgV2f7J3gjXD0Dd/sneCC9DSVEuTllTRTpCQUguSVFfREFZU19QQVlBQkxFX09VVC45OTEuMTQvMDYvMjAyNgEAAADpcQIAAgAAAAkyMS4yMjk0OTUBCAAAAAUAAAABMQEAAAAKMTk2NTc3MjQyMgMAAAADMTYwAgAAAAQ0MTgzBAAAAAEwBwAAAAk2LzE0LzIwMjYIAAAACTMvMzEvMjAxNwkAAAABMJKoFdn+yd4IOOUl3P7J3gguQ0lRLk5ZU0U6QkFILklRX0NBU0hfQ09OVkVSU0lPTi45OTcuMTQvMDYvMjAyNgEAAADpcQIAAwAAAAAAkqgV2f7J3gg45SXc/sneCC1DSVEuTllTRTpCQUguSVFfUkVUVVJOX0NBUElUQUwuOTkzLjE0LzA2LzIwMjYBAAAA6XECAAIAAAAHMTQuOTM0MgEIAAAABQAAAAExAQAAAAoyMDk5MDg3MTMzAwAAAAMxNjACAAAABDQzNjMEAAAAATAHAAAACTYvMTQvMjAyNggAAAAJMy8zMS8yMDE5CQAAAAEwhisU2f7J3gj2DiHc/sneCCxDSVEuTllTRTpCQUguSVFfUkVUVVJOX0VRVUlUWS45OTkuMTQvMDYvMjAyNgEAAADpcQIAAgAAAAc5MS4yMTk1AQgAAAAFAAAAATEBAAAACy0xODg3NzA1MDAxAwAAAAMxNjACAAAABDQxMjgEAAAAATAHAAAACTYvMTQvMjAyNggAAAAJMy8zMS8yMDI1CQAAAAEwhisU2f7J3gjXD0Dd/sneCCxDSVEuTllTRTpCQUguSVFfRUJJVERBX01BUkdJTi45OTEuMTQvMDYv</t>
  </si>
  <si>
    <t>MjAyNgEAAADpcQIAAgAAAAY5LjY2NTYBCAAAAAUAAAABMQEAAAAKMTk2NTc3MjQyMgMAAAADMTYwAgAAAAQ0MDQ3BAAAAAEwBwAAAAk2LzE0LzIwMjYIAAAACTMvMzEvMjAxNwkAAAABMIYrFNn+yd4Ie4Aj3P7J3ggqQ0lRLk5ZU0U6QkFILklRX0VCSVRfTUFSR0lOLjk5Ny4xNC8wNi8yMDI2AQAAAOlxAgACAAAABTguNzU5AQgAAAAFAAAAATEBAAAACy0xOTQxNTQ2ODcxAwAAAAMxNjACAAAABDQwNTMEAAAAATAHAAAACTYvMTQvMjAyNggAAAAJMy8zMS8yMDIzCQAAAAEwhisU2f7J3gh7gCPc/sneCC1DSVEuTllTRTpCQUguSVFfQ0FQRVhfUENUX1JFVi4yMDAwLjE0LzA2LzIwMjYBAAAA6XECAAIAAAAGMC44MDIzAQgAAAAFAAAAATEBAAAACy0xODg3NzA0MzQxAwAAAAMxNjACAAAABTM1MzgwBAAAAAEwBwAAAAk2LzE0LzIwMjYIAAAACTMvMzEvMjAyNgkAAAABMIYrFNn+yd4Ie4Aj3P7J3ggrQ0lRLk5ZU0U6QkFILklRX0NBTENfVFlQRV9CUy45OTUuMTQvMDYvMjAyNgEAAADpcQIAAwAAAANSVVAAhisU2f7J3gj2DiHc/sneCDJDSVEuTllTRTpCQUguSVFfRUJJVERBXzNZUl9BTk5fQ0FHUi45OTguMTQvMDYvMjAyNgEAAADpcQIAAgAAAAYxMi41MjgBCAAAAAUAAAABMQEAAAALLTE4ODc3MDQ5OTMDAAAAAzE2MAIAAAAENDIyMgQAAAABMAcAAAAJNi8xNC8yMDI2CAAAAAkzLzMxLzIwMjQJAAAAATAd</t>
  </si>
  <si>
    <t>pgzZ/sneCAzBKtz+yd4IL0NJUS5OWVNFOkJBSC5JUV9FUFNfM1lSX0FOTl9DQUdSLjk5MC4xNC8wNi8yMDI2AQAAAOlxAgACAAAABzEwLjIwODQBCAAAAAUAAAABMQEAAAAKMTg5MTM0Nzg2OQMAAAADMTYwAgAAAAQ0MjI2BAAAAAEwBwAAAAk2LzE0LzIwMjYIAAAACTMvMzEvMjAxNgkAAAABMB2mDNn+yd4IDMEq3P7J3gg1Q0lRLk5ZU0U6QkFILklRX1RPVEFMX1JFVl81WVJfQU5OX0NBR1IuOTk2LjE0LzA2LzIwMjYBAAAA6XECAAIAAAAGNy41NjAzAQgAAAAFAAAAATEBAAAACy0xOTkyNDAyMDU5AwAAAAMxNjACAAAABDQyMzMEAAAAATAHAAAACTYvMTQvMjAyNggAAAAJMy8zMS8yMDIyCQAAAAEwHaYM2f7J3ggMwSrc/sneCDJDSVEuTllTRTpCQUguSVFfRUJJVERBXzVZUl9BTk5fQ0FHUi45OTAuMTQvMDYvMjAyNgEAAADpcQIAAgAAAAY0LjgxNjIBCAAAAAUAAAABMQEAAAAKMTg5MTM0Nzg2OQMAAAADMTYwAgAAAAQ0MjM1BAAAAAEwBwAAAAk2LzE0LzIwMjYIAAAACTMvMzEvMjAxNgkAAAABMB2mDNn+yd4IDMEq3P7J3gguQ0lRLk5ZU0U6QkFILklRX05JXzVZUl9BTk5fQ0FHUi45OTQuMTQvMDYvMjAyNgEAAADpcQIAAgAAAAcxNS43MTk4AQgAAAAFAAAAATEBAAAACy0yMDk1MTI2MDkwAwAAAAMxNjACAAAABDQyMzgEAAAAATAHAAAACTYvMTQvMjAyNggAAAAJMy8zMS8yMDIwCQAAAAEwHaYM2f7J</t>
  </si>
  <si>
    <t>3gjDNC3c/sneCCZDSVEuTllTRTpCQUguSVFfWl9TQ09SRS45OTYuMTQvMDYvMjAyNgEAAADpcQIAAgAAAAgzLjc3MTY3NwEIAAAABQAAAAExAQAAAAstMTk5MjQwMjA1OQMAAAADMTYwAgAAAAYxMDAxMjMEAAAAATAHAAAACTYvMTQvMjAyNggAAAAJMy8zMS8yMDIyCQAAAAEwHaYM2f7J3giV1yjc/sneCDFDSVEuTllTRTpCQUguSVFfR1BfMVlSX0FOTl9HUk9XVEguMTAwMC4xNC8wNi8yMDI2AQAAAOlxAgACAAAABy05LjgxNjcBCAAAAAUAAAABMQEAAAALLTE4ODc3MDQ5NzcDAAAAAzE2MAIAAAAENDE5NQQAAAABMAcAAAAJNi8xNC8yMDI2CAAAAAkzLzMxLzIwMjYJAAAAATAdpgzZ/sneCC3TPt3+yd4IMkNJUS5OWVNFOkJBSC5JUV9FQklUXzFZUl9BTk5fR1JPV1RILjk5NC4xNC8wNi8yMDI2AQAAAOlxAgACAAAABjExLjYyNQEIAAAABQAAAAExAQAAAAstMjA5NTEyNjA5MAMAAAADMTYwAgAAAAQ0MTk3BAAAAAEwBwAAAAk2LzE0LzIwMjYIAAAACTMvMzEvMjAyMAkAAAABMB2mDNn+yd4IDMEq3P7J3ggxQ0lRLk5ZU0U6QkFILklRX05JXzFZUl9BTk5fR1JPV1RILjEwMDAuMTQvMDYvMjAyNgEAAADpcQIAAgAAAAYtOC45ODQBCAAAAAUAAAABMQEAAAALLTE4ODc3MDQ5NzcDAAAAAzE2MAIAAAAENDE5OQQAAAABMAcAAAAJNi8xNC8yMDI2CAAAAAkzLzMxLzIwMjYJAAAAATAdpgzZ/sneCC3TPt3+yd4I</t>
  </si>
  <si>
    <t>LkNJUS5OWVNFOkJBSC5JUV9HUF8zWVJfQU5OX0NBR1IuOTkyLjE0LzA2LzIwMjYBAAAA6XECAAIAAAAGNC4xNTY5AQgAAAAFAAAAATEBAAAACjIwMzgwOTEwNzcDAAAAAzE2MAIAAAAENDIyMQQAAAABMAcAAAAJNi8xNC8yMDI2CAAAAAkzLzMxLzIwMTgJAAAAATAdpgzZ/sneCAzBKtz+yd4IMENJUS5OWVNFOkJBSC5JUV9UT1RBTF9ERUJUX0VCSVREQS45OTQuMTQvMDYvMjAyNgEAAADpcQIAAgAAAAgzLjA1NzcyOQEIAAAABQAAAAExAQAAAAstMjA5NTEyNjA5MAMAAAADMTYwAgAAAAQ0MTkyBAAAAAEwBwAAAAk2LzE0LzIwMjYIAAAACTMvMzEvMjAyMAkAAAABMB2mDNn+yd4IOOUl3P7J3gguQ0lRLk5ZU0U6QkFILklRX05FVF9ERUJUX0VCSVREQS45OTguMTQvMDYvMjAyNgEAAADpcQIAAgAAAAgyLjQzMzMwNwEIAAAABQAAAAExAQAAAAstMTg4NzcwNDk5MwMAAAADMTYwAgAAAAQ0MTkzBAAAAAEwBwAAAAk2LzE0LzIwMjYIAAAACTMvMzEvMjAyNAkAAAABMB2mDNn+yd4IpFgo3P7J3gg2Q0lRLk5ZU0U6QkFILklRX1RPVEFMX0RFQlRfRUJJVERBX0NBUEVYLjk5Mi4xNC8wNi8yMDI2AQAAAOlxAgACAAAACDMuODA2NTc1AQgAAAAFAAAAATEBAAAACjIwMzgwOTEwNzcDAAAAAzE2MAIAAAAFMjMzMTMEAAAAATAHAAAACTYvMTQvMjAyNggAAAAJMy8zMS8yMDE4CQAAAAEwHaYM2f7J3giV1yjc/sneCEdD</t>
  </si>
  <si>
    <t>SVEuTllTRTpCQUguSVFfVE9UQUxfREVCVF9FQklUREFfRVhDTF9PUEVSX0xFQVNFU19DQVBFWC45OTguMTQvMDYvMjAyNgEAAADpcQIAAgAAAAgzLjI0MTUzMgEIAAAABQAAAAExAQAAAAstMTg4NzcwNDk5MwMAAAADMTYwAgAAAAU0OTE4MwQAAAABMAcAAAAJNi8xNC8yMDI2CAAAAAkzLzMxLzIwMjQJAAAAATAdpgzZ/sneCJXXKNz+yd4IMUNJUS5OWVNFOkJBSC5JUV9UT1RBTF9ERUJUX0NBUElUQUwuOTkyLjE0LzA2LzIwMjYBAAAA6XECAAIAAAAHNzcuMTQ0NAEIAAAABQAAAAExAQAAAAoyMDM4MDkxMDc3AwAAAAMxNjACAAAABDQxODYEAAAAATAHAAAACTYvMTQvMjAyNggAAAAJMy8zMS8yMDE4CQAAAAEwkqgV2f7J3gg45SXc/sneCC5DSVEuTllTRTpCQUguSVFfTFRfREVCVF9DQVBJVEFMLjk5Ni4xNC8wNi8yMDI2AQAAAOlxAgACAAAABzcxLjc2ODYBCAAAAAUAAAABMQEAAAALLTE5OTI0MDIwNTkDAAAAAzE2MAIAAAAENDE4NwQAAAABMAcAAAAJNi8xNC8yMDI2CAAAAAkzLzMxLzIwMjIJAAAAATCSqBXZ/sneCDjlJdz+yd4IJ0NJUS5OWVNFOkJBSC5JUV9FQklUX0lOVC45OTAuMTQvMDYvMjAyNgEAAADpcQIAAgAAAAg2LjI3ODEwNAEIAAAABQAAAAExAQAAAAoxODkxMzQ3ODY5AwAAAAMxNjACAAAABDQxODkEAAAAATAHAAAACTYvMTQvMjAyNggAAAAJMy8zMS8yMDE2CQAAAAEwkqgV2f7J3gg4</t>
  </si>
  <si>
    <t>5SXc/sneCClDSVEuTllTRTpCQUguSVFfRUJJVERBX0lOVC45OTYuMTQvMDYvMjAyNgEAAADpcQIAAgAAAAc5Ljg0MTkzAQgAAAAFAAAAATEBAAAACy0xOTkyNDAyMDU5AwAAAAMxNjACAAAABDQxOTAEAAAAATAHAAAACTYvMTQvMjAyNggAAAAJMy8zMS8yMDIyCQAAAAEwkqgV2f7J3gg45SXc/sneCDBDSVEuTllTRTpCQUguSVFfRUJJVERBX0NBUEVYX0lOVC4xMDAwLjE0LzA2LzIwMjYBAAAA6XECAAIAAAAINi43NTU0MzQBCAAAAAUAAAABMQEAAAALLTE4ODc3MDQ5NzcDAAAAAzE2MAIAAAAENDE5MQQAAAABMAcAAAAJNi8xNC8yMDI2CAAAAAkzLzMxLzIwMjYJAAAAATCSqBXZ/sneCNcPQN3+yd4ILkNJUS5OWVNFOkJBSC5JUV9JTlZFTlRPUllfVFVSTlMuOTkwLjE0LzA2LzIwMjYBAAAA6XECAAMAAAAAAIYrFNn+yd4Ie4Aj3P7J3ggqQ0lRLk5ZU0U6QkFILklRX1FVSUNLX1JBVElPLjk5NC4xNC8wNi8yMDI2AQAAAOlxAgACAAAACDEuNjU4MDYxAQgAAAAFAAAAATEBAAAACy0yMDk1MTI2MDkwAwAAAAMxNjACAAAABDQxMjEEAAAAATAHAAAACTYvMTQvMjAyNggAAAAJMy8zMS8yMDIwCQAAAAEwhisU2f7J3gh7gCPc/sneCDBDSVEuTllTRTpCQUguSVFfQ0ZPX0NVUlJFTlRfTElBQi4xMDAwLjE0LzA2LzIwMjYBAAAA6XECAAIAAAAIMC42MjU5NzcBCAAAAAUAAAABMQEAAAALLTE4ODc3MDQ5NzcDAAAA</t>
  </si>
  <si>
    <t>AzE2MAIAAAAENDE4NQQAAAABMAcAAAAJNi8xNC8yMDI2CAAAAAkzLzMxLzIwMjYJAAAAATCSqBXZ/sneCNcPQN3+yd4IMUNJUS5OWVNFOkJBSC5JUV9EQVlTX0lOVkVOVE9SWV9PVVQuOTk0LjE0LzA2LzIwMjYBAAAA6XECAAMAAAAAAJKoFdn+yd4IOOUl3P7J3gguQ0lRLk5ZU0U6QkFILklRX0NBU0hfQ09OVkVSU0lPTi45OTguMTQvMDYvMjAyNgEAAADpcQIAAwAAAAAAkqgV2f7J3gg45SXc/sneCC1DSVEuTllTRTpCQUguSVFfUkVUVVJOX0VRVUlUWS4xMDAwLjE0LzA2LzIwMjYBAAAA6XECAAIAAAAFODAuNzQBCAAAAAUAAAABMQEAAAALLTE4ODc3MDQ5NzcDAAAAAzE2MAIAAAAENDEyOAQAAAABMAcAAAAJNi8xNC8yMDI2CAAAAAkzLzMxLzIwMjYJAAAAATCGKxTZ/sneCNcPQN3+yd4ILENJUS5OWVNFOkJBSC5JUV9FQklUREFfTUFSR0lOLjk5Mi4xNC8wNi8yMDI2AQAAAOlxAgACAAAABjkuMzU4NQEIAAAABQAAAAExAQAAAAoyMDM4MDkxMDc3AwAAAAMxNjACAAAABDQwNDcEAAAAATAHAAAACTYvMTQvMjAyNggAAAAJMy8zMS8yMDE4CQAAAAEwhisU2f7J3gh7gCPc/sneCCpDSVEuTllTRTpCQUguSVFfRUJJVF9NQVJHSU4uOTk4LjE0LzA2LzIwMjYBAAAA6XECAAIAAAAGOS42MTM1AQgAAAAFAAAAATEBAAAACy0xODg3NzA0OTkzAwAAAAMxNjACAAAABDQwNTMEAAAAATAHAAAACTYvMTQvMjAyNggA</t>
  </si>
  <si>
    <t>AAAJMy8zMS8yMDI0CQAAAAEwhisU2f7J3gh7gCPc/sneCCxDSVEuTllTRTpCQUguSVFfQ0FQRVhfUENUX1JFVi45OTIuMTQvMDYvMjAyNgEAAADpcQIAAgAAAAYxLjI3MTcBCAAAAAUAAAABMQEAAAAKMjAzODA5MTA3NwMAAAADMTYwAgAAAAUzNTM4MAQAAAABMAcAAAAJNi8xNC8yMDI2CAAAAAkzLzMxLzIwMTgJAAAAATCGKxTZ/sneCHuAI9z+yd4IMENJUS5OWVNFOkJBSC5JUV9GSVhFRF9BU1NFVF9UVVJOUy45OTYuMTQvMDYvMjAyNgEAAADpcQIAAgAAAAkxOS4xNTAzODMBCAAAAAUAAAABMQEAAAALLTE5OTI0MDIwNTkDAAAAAzE2MAIAAAAENDA2NgQAAAABMAcAAAAJNi8xNC8yMDI2CAAAAAkzLzMxLzIwMjIJAAAAATCGKxTZ/sneCHuAI9z+yd4ILUNJUS5OWVNFOkJBSC5JUV9SRVNUQVRFTUVOVF9CUy45OTAuMTQvMDYvMjAyNgEAAADpcQIAAwAAAAJOQwCGKxTZ/sneCPYOIdz+yd4IK0NJUS5OWVNFOkJBSC5JUV9DQUxDX1RZUEVfQlMuOTk2LjE0LzA2LzIwMjYBAAAA6XECAAMAAAADUlVQAIYrFNn+yd4I9g4h3P7J3ggpQ0lRLk5ZU0U6QkFILklRX1BFUklPRERBVEUuOTg5LjE0LzA2LzIwMjYBAAAA6XECAAUAAAAKMzEvMDMvMjAxNQCGKxTZ/sneCPYOIdz+yd4ILUNJUS5OWVNFOkJBSC5JUV9SRVRVUk5fQ0FQSVRBTC45OTQuMTQvMDYvMjAyNgEAAADpcQIAAgAAAAcxMy45ODM3AQgAAAAFAAAA</t>
  </si>
  <si>
    <t>ATEBAAAACy0yMDk1MTI2MDkwAwAAAAMxNjACAAAABDQzNjMEAAAAATAHAAAACTYvMTQvMjAyNggAAAAJMy8zMS8yMDIwCQAAAAEwhisU2f7J3gj2DiHc/sneCC5DSVEuTllTRTpCQUguSVFfTklfM1lSX0FOTl9DQUdSLjk5My4xNC8wNi8yMDI2AQAAAOlxAgACAAAABzEyLjQ4MTIBCAAAAAUAAAABMQEAAAAKMjA5OTA4NzEzMwMAAAADMTYwAgAAAAQ0MjI1BAAAAAEwBwAAAAk2LzE0LzIwMjYIAAAACTMvMzEvMjAxOQkAAAABMB2mDNn+yd4IDMEq3P7J3gg1Q0lRLk5ZU0U6QkFILklRX1RPVEFMX1JFVl81WVJfQU5OX0NBR1IuOTk3LjE0LzA2LzIwMjYBAAAA6XECAAIAAAAFOC40NjUBCAAAAAUAAAABMQEAAAALLTE5NDE1NDY4NzEDAAAAAzE2MAIAAAAENDIzMwQAAAABMAcAAAAJNi8xNC8yMDI2CAAAAAkzLzMxLzIwMjMJAAAAATAdpgzZ/sneCAzBKtz+yd4IMkNJUS5OWVNFOkJBSC5JUV9FQklUREFfNVlSX0FOTl9DQUdSLjk5MS4xNC8wNi8yMDI2AQAAAOlxAgACAAAABjMuMjYwNQEIAAAABQAAAAExAQAAAAoxOTY1NzcyNDIyAwAAAAMxNjACAAAABDQyMzUEAAAAATAHAAAACTYvMTQvMjAyNggAAAAJMy8zMS8yMDE3CQAAAAEwHaYM2f7J3ggMwSrc/sneCC5DSVEuTllTRTpCQUguSVFfTklfNVlSX0FOTl9DQUdSLjk5NS4xNC8wNi8yMDI2AQAAAOlxAgACAAAABzE1LjY2OTkBCAAAAAUAAAABMQEAAAAL</t>
  </si>
  <si>
    <t>LTIwNDMyMTUzOTIDAAAAAzE2MAIAAAAENDIzOAQAAAABMAcAAAAJNi8xNC8yMDI2CAAAAAkzLzMxLzIwMjEJAAAAATAdpgzZ/sneCAzBKtz+yd4IL0NJUS5OWVNFOkJBSC5JUV9FUFNfNVlSX0FOTl9DQUdSLjk5OS4xNC8wNi8yMDI2AQAAAOlxAgACAAAABzE2LjMwODcBCAAAAAUAAAABMQEAAAALLTE4ODc3MDUwMDEDAAAAAzE2MAIAAAAENDIzOQQAAAABMAcAAAAJNi8xNC8yMDI2CAAAAAkzLzMxLzIwMjUJAAAAATAdpgzZ/sneCC3TPt3+yd4IMENJUS5OWVNFOkJBSC5JUV9HUF8xWVJfQU5OX0dST1dUSC45OTEuMTQvMDYvMjAyNgEAAADpcQIAAgAAAAY1LjEwOTUBCAAAAAUAAAABMQEAAAAKMTk2NTc3MjQyMgMAAAADMTYwAgAAAAQ0MTk1BAAAAAEwBwAAAAk2LzE0LzIwMjYIAAAACTMvMzEvMjAxNwkAAAABMB2mDNn+yd4IDMEq3P7J3ggyQ0lRLk5ZU0U6QkFILklRX0VCSVRfMVlSX0FOTl9HUk9XVEguOTk1LjE0LzA2LzIwMjYBAAAA6XECAAIAAAAHMTIuOTEzNgEIAAAABQAAAAExAQAAAAstMjA0MzIxNTM5MgMAAAADMTYwAgAAAAQ0MTk3BAAAAAEwBwAAAAk2LzE0LzIwMjYIAAAACTMvMzEvMjAyMQkAAAABMB2mDNn+yd4IDMEq3P7J3ggxQ0lRLk5ZU0U6QkFILklRX05JXzFZUl9BTk5fR1JPV1RILjIwMDAuMTQvMDYvMjAyNgEAAADpcQIAAgAAAAYtOC45ODQBCAAAAAUAAAABMQEAAAALLTE4ODc3</t>
  </si>
  <si>
    <t>MDQzNDEDAAAAAzE2MAIAAAAENDE5OQQAAAABMAcAAAAJNi8xNC8yMDI2CAAAAAkzLzMxLzIwMjYJAAAAATAdpgzZ/sneCAzBKtz+yd4ILkNJUS5OWVNFOkJBSC5JUV9HUF8zWVJfQU5OX0NBR1IuOTkzLjE0LzA2LzIwMjYBAAAA6XECAAIAAAAGNi43OTczAQgAAAAFAAAAATEBAAAACjIwOTkwODcxMzMDAAAAAzE2MAIAAAAENDIyMQQAAAABMAcAAAAJNi8xNC8yMDI2CAAAAAkzLzMxLzIwMTkJAAAAATAdpgzZ/sneCAzBKtz+yd4IMkNJUS5OWVNFOkJBSC5JUV9FQklUREFfM1lSX0FOTl9DQUdSLjk5OS4xNC8wNi8yMDI2AQAAAOlxAgACAAAABzE4LjU4ODcBCAAAAAUAAAABMQEAAAALLTE4ODc3MDUwMDEDAAAAAzE2MAIAAAAENDIyMgQAAAABMAcAAAAJNi8xNC8yMDI2CAAAAAkzLzMxLzIwMjUJAAAAATAdpgzZ/sneCC3TPt3+yd4IQkNJUS5OWVNFOkJBSC5JUV9UT1RBTF9ERUJUX0VCSVREQV9FWENMX09QRVJfTEVBU0VTLjIwMDAuMTQvMDYvMjAyNgEAAADpcQIAAgAAAAgzLjI3NjYyOQEIAAAABQAAAAExAQAAAAstMTg4NzcwNDM0MQMAAAADMTYwAgAAAAU0ODk5NAQAAAABMAcAAAAJNi8xNC8yMDI2CAAAAAkzLzMxLzIwMjYJAAAAATAdpgzZ/sneCKRYKNz+yd4INkNJUS5OWVNFOkJBSC5JUV9UT1RBTF9ERUJUX0VCSVREQV9DQVBFWC45OTMuMTQvMDYvMjAyNgEAAADpcQIAAgAAAAczLjI0MjMxAQgA</t>
  </si>
  <si>
    <t>AAAFAAAAATEBAAAACjIwOTkwODcxMzMDAAAAAzE2MAIAAAAFMjMzMTMEAAAAATAHAAAACTYvMTQvMjAyNggAAAAJMy8zMS8yMDE5CQAAAAEwHaYM2f7J3giV1yjc/sneCEdDSVEuTllTRTpCQUguSVFfVE9UQUxfREVCVF9FQklUREFfRVhDTF9PUEVSX0xFQVNFU19DQVBFWC45OTkuMTQvMDYvMjAyNgEAAADpcQIAAgAAAAczLjI5MzUyAQgAAAAFAAAAATEBAAAACy0xODg3NzA1MDAxAwAAAAMxNjACAAAABTQ5MTgzBAAAAAEwBwAAAAk2LzE0LzIwMjYIAAAACTMvMzEvMjAyNQkAAAABMB2mDNn+yd4ILdM+3f7J3ggmQ0lRLk5ZU0U6QkFILklRX1pfU0NPUkUuOTk3LjE0LzA2LzIwMjYBAAAA6XECAAIAAAAIMy42ODYzODgBCAAAAAUAAAABMQEAAAALLTE5NDE1NDY4NzEDAAAAAzE2MAIAAAAGMTAwMTIzBAAAAAEwBwAAAAk2LzE0LzIwMjYIAAAACTMvMzEvMjAyMwkAAAABMB2mDNn+yd4Ildco3P7J3ggxQ0lRLk5ZU0U6QkFILklRX1RPVEFMX0RFQlRfQ0FQSVRBTC45OTMuMTQvMDYvMjAyNgEAAADpcQIAAgAAAAY3My4yMDQBCAAAAAUAAAABMQEAAAAKMjA5OTA4NzEzMwMAAAADMTYwAgAAAAQ0MTg2BAAAAAEwBwAAAAk2LzE0LzIwMjYIAAAACTMvMzEvMjAxOQkAAAABMJKoFdn+yd4IOOUl3P7J3ggtQ0lRLk5ZU0U6QkFILklRX0xUX0RFQlRfRVFVSVRZLjk5OS4xNC8wNi8yMDI2AQAAAOlxAgACAAAACDQw</t>
  </si>
  <si>
    <t>OC4yNzUxAQgAAAAFAAAAATEBAAAACy0xODg3NzA1MDAxAwAAAAMxNjACAAAABDQwODUEAAAAATAHAAAACTYvMTQvMjAyNggAAAAJMy8zMS8yMDI1CQAAAAEwkqgV2f7J3gjXD0Dd/sneCCdDSVEuTllTRTpCQUguSVFfRUJJVF9JTlQuOTkxLjE0LzA2LzIwMjYBAAAA6XECAAIAAAAIOC4wNTc3MjIBCAAAAAUAAAABMQEAAAAKMTk2NTc3MjQyMgMAAAADMTYwAgAAAAQ0MTg5BAAAAAEwBwAAAAk2LzE0LzIwMjYIAAAACTMvMzEvMjAxNwkAAAABMJKoFdn+yd4IOOUl3P7J3ggpQ0lRLk5ZU0U6QkFILklRX0VCSVREQV9JTlQuOTk3LjE0LzA2LzIwMjYBAAAA6XECAAIAAAADOS42AQgAAAAFAAAAATEBAAAACy0xOTQxNTQ2ODcxAwAAAAMxNjACAAAABDQxOTAEAAAAATAHAAAACTYvMTQvMjAyNggAAAAJMy8zMS8yMDIzCQAAAAEwkqgV2f7J3gg45SXc/sneCDBDSVEuTllTRTpCQUguSVFfVE9UQUxfREVCVF9FQklUREEuOTk1LjE0LzA2LzIwMjYBAAAA6XECAAIAAAAIMi45NDk0ODMBCAAAAAUAAAABMQEAAAALLTIwNDMyMTUzOTIDAAAAAzE2MAIAAAAENDE5MgQAAAABMAcAAAAJNi8xNC8yMDI2CAAAAAkzLzMxLzIwMjEJAAAAATAdpgzZ/sneCDjlJdz+yd4ILkNJUS5OWVNFOkJBSC5JUV9JTlZFTlRPUllfVFVSTlMuOTkxLjE0LzA2LzIwMjYBAAAA6XECAAMAAAAAAIYrFNn+yd4Ie4Aj3P7J3ggsQ0lRLk5ZU0U6</t>
  </si>
  <si>
    <t>QkFILklRX0NVUlJFTlRfUkFUSU8uOTk3LjE0LzA2LzIwMjYBAAAA6XECAAIAAAAIMS4yMDYxMTEBCAAAAAUAAAABMQEAAAALLTE5NDE1NDY4NzEDAAAAAzE2MAIAAAAENDAzMAQAAAABMAcAAAAJNi8xNC8yMDI2CAAAAAkzLzMxLzIwMjMJAAAAATCGKxTZ/sneCHuAI9z+yd4IMENJUS5OWVNFOkJBSC5JUV9DRk9fQ1VSUkVOVF9MSUFCLjIwMDAuMTQvMDYvMjAyNgEAAADpcQIAAgAAAAgwLjYyNTk3NwEIAAAABQAAAAExAQAAAAstMTg4NzcwNDM0MQMAAAADMTYwAgAAAAQ0MTg1BAAAAAEwBwAAAAk2LzE0LzIwMjYIAAAACTMvMzEvMjAyNgkAAAABMJKoFdn+yd4Ie4Aj3P7J3ggxQ0lRLk5ZU0U6QkFILklRX0RBWVNfSU5WRU5UT1JZX09VVC45OTUuMTQvMDYvMjAyNgEAAADpcQIAAwAAAAAAkqgV2f7J3gg45SXc/sneCC5DSVEuTllTRTpCQUguSVFfQ0FTSF9DT05WRVJTSU9OLjk5OS4xNC8wNi8yMDI2AQAAAOlxAgADAAAAAACSqBXZ/sneCNcPQN3+yd4ILUNJUS5OWVNFOkJBSC5JUV9SRVRVUk5fQ0FQSVRBTC45OTUuMTQvMDYvMjAyNgEAAADpcQIAAgAAAAcxMy4wMTkyAQgAAAAFAAAAATEBAAAACy0yMDQzMjE1MzkyAwAAAAMxNjACAAAABDQzNjMEAAAAATAHAAAACTYvMTQvMjAyNggAAAAJMy8zMS8yMDIxCQAAAAEwhisU2f7J3gj2DiHc/sneCCtDSVEuTllTRTpCQUguSVFfR1JPU1NfTUFSR0lOLjk5</t>
  </si>
  <si>
    <t>NS4xNC8wNi8yMDI2AQAAAOlxAgACAAAABzIzLjg2NDgBCAAAAAUAAAABMQEAAAALLTIwNDMyMTUzOTIDAAAAAzE2MAIAAAAENDA3NAQAAAABMAcAAAAJNi8xNC8yMDI2CAAAAAkzLzMxLzIwMjEJAAAAATCGKxTZ/sneCHuAI9z+yd4IKkNJUS5OWVNFOkJBSC5JUV9FQklUX01BUkdJTi45OTkuMTQvMDYvMjAyNgEAAADpcQIAAgAAAAcxMC4xMzM1AQgAAAAFAAAAATEBAAAACy0xODg3NzA1MDAxAwAAAAMxNjACAAAABDQwNTMEAAAAATAHAAAACTYvMTQvMjAyNggAAAAJMy8zMS8yMDI1CQAAAAEwhisU2f7J3gjXD0Dd/sneCCxDSVEuTllTRTpCQUguSVFfQ0FQRVhfUENUX1JFVi45OTMuMTQvMDYvMjAyNgEAAADpcQIAAgAAAAYxLjQxMjIBCAAAAAUAAAABMQEAAAAKMjA5OTA4NzEzMwMAAAADMTYwAgAAAAUzNTM4MAQAAAABMAcAAAAJNi8xNC8yMDI2CAAAAAkzLzMxLzIwMTkJAAAAATCGKxTZ/sneCHuAI9z+yd4IMENJUS5OWVNFOkJBSC5JUV9GSVhFRF9BU1NFVF9UVVJOUy45OTcuMTQvMDYvMjAyNgEAAADpcQIAAgAAAAkyMi43OTI5NTUBCAAAAAUAAAABMQEAAAALLTE5NDE1NDY4NzEDAAAAAzE2MAIAAAAENDA2NgQAAAABMAcAAAAJNi8xNC8yMDI2CAAAAAkzLzMxLzIwMjMJAAAAATCGKxTZ/sneCHuAI9z+yd4IK0NJUS5OWVNFOkJBSC5JUV9DQUxDX1RZUEVfQlMuOTk3LjE0LzA2LzIwMjYBAAAA6XEC</t>
  </si>
  <si>
    <t>AAMAAAADUlVQAIYrFNn+yd4I9g4h3P7J3ggtQ0lRLk5ZU0U6QkFILklRX0NPU1RfQk9SUk9XSU5HLjk5OS4xNC8wNi8yMDI2AQAAAOlxAgACAAAABjQuMjc2OQEIAAAABQAAAAExAQAAAAstMTg4NzcwNTAwMQMAAAADMTYwAgAAAAUyMTY4MQQAAAABMAcAAAAJNi8xNC8yMDI2CAAAAAkzLzMxLzIwMjUJAAAAATCGKxTZ/sneCCr4QN3+yd4IKENJUS5OWVNFOkJBSC5JUV9GVUxMX1RJTUUuOTkzLjE0LzA2LzIwMjYBAAAA6XECAAIAAAAFMjYxMDAAhisU2f7J3gj2DiHc/sneCC5DSVEuTllTRTpCQUguSVFfVE9UQUxfRU1QTE9ZRUVTLjk5Ny4xNC8wNi8yMDI2AQAAAOlxAgACAAAABTMxOTAwAIYrFNn+yd4I9g4h3P7J3ggsQ0lRLk5ZU0U6QkFILklRX0FWR19FTVBMT1lFRVMuOTkxLjE0LzA2LzIwMjYBAAAA6XECAAMAAAAAAIYrFNn+yd4I9g4h3P7J3ggxQ0lRLk5ZU0U6QkFILklRX0FWR19URU1QX0VNUExPWUVFUy45OTcuMTQvMDYvMjAyNgEAAADpcQIAAwAAAAAAhisU2f7J3gj2DiHc/sneCDhDSVEuTllTRTpCQUguSVFfVE9UQUxfT1VUU1RBTkRJTkdfQlNfREFURS45OTMuMTQvMDYvMjAyNgEAAADpcQIAAgAAAAoxNDAuMDI3ODUzAQQAAAAFAAAAATUBAAAACjIwOTkwODcxMzMCAAAABTI0MTUyBgAAAAEwSkdH2f7J3ggppx7c/sneCDVDSVEuTllTRTpCQUguSVFfVE9UQUxfUkVWXzVZUl9BTk5fQ0FH</t>
  </si>
  <si>
    <t>Ui45OTguMTQvMDYvMjAyNgEAAADpcQIAAgAAAAY5LjcyMzcBCAAAAAUAAAABMQEAAAALLTE4ODc3MDQ5OTMDAAAAAzE2MAIAAAAENDIzMwQAAAABMAcAAAAJNi8xNC8yMDI2CAAAAAkzLzMxLzIwMjQJAAAAATAdpgzZ/sneCAzBKtz+yd4IMkNJUS5OWVNFOkJBSC5JUV9FQklUREFfNVlSX0FOTl9DQUdSLjk5Mi4xNC8wNi8yMDI2AQAAAOlxAgACAAAABjIuMDk5NgEIAAAABQAAAAExAQAAAAoyMDM4MDkxMDc3AwAAAAMxNjACAAAABDQyMzUEAAAAATAHAAAACTYvMTQvMjAyNggAAAAJMy8zMS8yMDE4CQAAAAEwHaYM2f7J3ggMwSrc/sneCDBDSVEuTllTRTpCQUguSVFfRUJJVF81WVJfQU5OX0NBR1IuOTk4LjE0LzA2LzIwMjYBAAAA6XECAAIAAAAHMTEuNDg1NgEIAAAABQAAAAExAQAAAAstMTg4NzcwNDk5MwMAAAADMTYwAgAAAAQ0MjM2BAAAAAEwBwAAAAk2LzE0LzIwMjYIAAAACTMvMzEvMjAyNAkAAAABMB2mDNn+yd4IDMEq3P7J3ggwQ0lRLk5ZU0U6QkFILklRX0VQU181WVJfQU5OX0NBR1IuMTAwMC4xNC8wNi8yMDI2AQAAAOlxAgACAAAABjkuNTg5OQEIAAAABQAAAAExAQAAAAstMTg4NzcwNDk3NwMAAAADMTYwAgAAAAQ0MjM5BAAAAAEwBwAAAAk2LzE0LzIwMjYIAAAACTMvMzEvMjAyNgkAAAABMB2mDNn+yd4ILdM+3f7J3ggyQ0lRLk5ZU0U6QkFILklRX0VCSVRfMVlSX0FOTl9HUk9XVEguOTk2</t>
  </si>
  <si>
    <t>LjE0LzA2LzIwMjYBAAAA6XECAAIAAAAHLTkuMjAwNQEIAAAABQAAAAExAQAAAAstMTk5MjQwMjA1OQMAAAADMTYwAgAAAAQ0MTk3BAAAAAEwBwAAAAk2LzE0LzIwMjYIAAAACTMvMzEvMjAyMgkAAAABMB2mDNn+yd4IDMEq3P7J3ggxQ0lRLk5ZU0U6QkFILklRX0VQU18xWVJfQU5OX0dST1dUSC45OTAuMTQvMDYvMjAyNgEAAADpcQIAAgAAAAcyNy4zOTc5AQgAAAAFAAAAATEBAAAACjE4OTEzNDc4NjkDAAAAAzE2MAIAAAAENDIwMAQAAAABMAcAAAAJNi8xNC8yMDI2CAAAAAkzLzMxLzIwMTYJAAAAATAdpgzZ/sneCAzBKtz+yd4INUNJUS5OWVNFOkJBSC5JUV9UT1RBTF9SRVZfM1lSX0FOTl9DQUdSLjk5Ni4xNC8wNi8yMDI2AQAAAOlxAgACAAAABjcuNjUxNgEIAAAABQAAAAExAQAAAAstMTk5MjQwMjA1OQMAAAADMTYwAgAAAAQ0MjIwBAAAAAEwBwAAAAk2LzE0LzIwMjYIAAAACTMvMzEvMjAyMgkAAAABMB2mDNn+yd4IDMEq3P7J3ggzQ0lRLk5ZU0U6QkFILklRX0VCSVREQV8zWVJfQU5OX0NBR1IuMTAwMC4xNC8wNi8yMDI2AQAAAOlxAgACAAAABjguODI4NwEIAAAABQAAAAExAQAAAAstMTg4NzcwNDk3NwMAAAADMTYwAgAAAAQ0MjIyBAAAAAEwBwAAAAk2LzE0LzIwMjYIAAAACTMvMzEvMjAyNgkAAAABMB2mDNn+yd4ILdM+3f7J3gguQ0lRLk5ZU0U6QkFILklRX05JXzNZUl9BTk5fQ0FHUi45OTQu</t>
  </si>
  <si>
    <t>MTQvMDYvMjAyNgEAAADpcQIAAgAAAAcyMi43NjY2AQgAAAAFAAAAATEBAAAACy0yMDk1MTI2MDkwAwAAAAMxNjACAAAABDQyMjUEAAAAATAHAAAACTYvMTQvMjAyNggAAAAJMy8zMS8yMDIwCQAAAAEwHaYM2f7J3ggMwSrc/sneCDZDSVEuTllTRTpCQUguSVFfVE9UQUxfREVCVF9FQklUREFfQ0FQRVguOTk0LjE0LzA2LzIwMjYBAAAA6XECAAIAAAAIMy42MDk1MzUBCAAAAAUAAAABMQEAAAALLTIwOTUxMjYwOTADAAAAAzE2MAIAAAAFMjMzMTMEAAAAATAHAAAACTYvMTQvMjAyNggAAAAJMy8zMS8yMDIwCQAAAAEwHaYM2f7J3giV1yjc/sneCEhDSVEuTllTRTpCQUguSVFfVE9UQUxfREVCVF9FQklUREFfRVhDTF9PUEVSX0xFQVNFU19DQVBFWC4xMDAwLjE0LzA2LzIwMjYBAAAA6XECAAIAAAAIMy41MjkxMDkBCAAAAAUAAAABMQEAAAALLTE4ODc3MDQ5NzcDAAAAAzE2MAIAAAAFNDkxODMEAAAAATAHAAAACTYvMTQvMjAyNggAAAAJMy8zMS8yMDI2CQAAAAEwHaYM2f7J3ggt0z7d/sneCEVDSVEuTllTRTpCQUguSVFfTkVUX0RFQlRfRUJJVERBX0VYQ0xfT1BFUl9MRUFTRVNfQ0FQRVguOTk0LjE0LzA2LzIwMjYBAAAA6XECAAIAAAAIMi45NDc5MTQBCAAAAAUAAAABMQEAAAALLTIwOTUxMjYwOTADAAAAAzE2MAIAAAAFNDkxODIEAAAAATAHAAAACTYvMTQvMjAyNggAAAAJMy8zMS8yMDIwCQAAAAEwHaYM</t>
  </si>
  <si>
    <t>2f7J3giV1yjc/sneCCZDSVEuTllTRTpCQUguSVFfWl9TQ09SRS45OTguMTQvMDYvMjAyNgEAAADpcQIAAgAAAAg0LjU0NTk5NQEIAAAABQAAAAExAQAAAAstMTg4NzcwNDk5MwMAAAADMTYwAgAAAAYxMDAxMjMEAAAAATAHAAAACTYvMTQvMjAyNggAAAAJMy8zMS8yMDI0CQAAAAEwHaYM2f7J3giV1yjc/sneCDBDSVEuTllTRTpCQUguSVFfR1BfMVlSX0FOTl9HUk9XVEguOTkyLjE0LzA2LzIwMjYBAAAA6XECAAIAAAAFNC4zNzIBCAAAAAUAAAABMQEAAAAKMjAzODA5MTA3NwMAAAADMTYwAgAAAAQ0MTk1BAAAAAEwBwAAAAk2LzE0LzIwMjYIAAAACTMvMzEvMjAxOAkAAAABMB2mDNn+yd4IDMEq3P7J3ggnQ0lRLk5ZU0U6QkFILklRX0VCSVRfSU5ULjk5Mi4xNC8wNi8yMDI2AQAAAOlxAgACAAAACDYuMjI4ODgzAQgAAAAFAAAAATEBAAAACjIwMzgwOTEwNzcDAAAAAzE2MAIAAAAENDE4OQQAAAABMAcAAAAJNi8xNC8yMDI2CAAAAAkzLzMxLzIwMTgJAAAAATCSqBXZ/sneCDjlJdz+yd4IKUNJUS5OWVNFOkJBSC5JUV9FQklUREFfSU5ULjk5OC4xNC8wNi8yMDI2AQAAAOlxAgACAAAACDguNjE5MDQ3AQgAAAAFAAAAATEBAAAACy0xODg3NzA0OTkzAwAAAAMxNjACAAAABDQxOTAEAAAAATAHAAAACTYvMTQvMjAyNggAAAAJMy8zMS8yMDI0CQAAAAEwkqgV2f7J3gg45SXc/sneCC9DSVEuTllTRTpCQUguSVFf</t>
  </si>
  <si>
    <t>RUJJVERBX0NBUEVYX0lOVC45OTIuMTQvMDYvMjAyNgEAAADpcQIAAgAAAAg2LjA2MjU4NwEIAAAABQAAAAExAQAAAAoyMDM4MDkxMDc3AwAAAAMxNjACAAAABDQxOTEEAAAAATAHAAAACTYvMTQvMjAyNggAAAAJMy8zMS8yMDE4CQAAAAEwkqgV2f7J3gg45SXc/sneCDBDSVEuTllTRTpCQUguSVFfVE9UQUxfREVCVF9FQklUREEuOTk2LjE0LzA2LzIwMjYBAAAA6XECAAIAAAAIMy40MTQ4NTcBCAAAAAUAAAABMQEAAAALLTE5OTI0MDIwNTkDAAAAAzE2MAIAAAAENDE5MgQAAAABMAcAAAAJNi8xNC8yMDI2CAAAAAkzLzMxLzIwMjIJAAAAATAdpgzZ/sneCDjlJdz+yd4ILkNJUS5OWVNFOkJBSC5JUV9ORVRfREVCVF9FQklUREEuOTkwLjE0LzA2LzIwMjYBAAAA6XECAAIAAAAIMi45NDM0MzYBCAAAAAUAAAABMQEAAAAKMTg5MTM0Nzg2OQMAAAADMTYwAgAAAAQ0MTkzBAAAAAEwBwAAAAk2LzE0LzIwMjYIAAAACTMvMzEvMjAxNgkAAAABMB2mDNn+yd4IpFgo3P7J3ggtQ0lRLk5ZU0U6QkFILklRX0RBWVNfU0FMRVNfT1VULjk5MC4xNC8wNi8yMDI2AQAAAOlxAgACAAAACTU5LjIyODY4MgEIAAAABQAAAAExAQAAAAoxODkxMzQ3ODY5AwAAAAMxNjACAAAABDQwNDIEAAAAATAHAAAACTYvMTQvMjAyNggAAAAJMy8zMS8yMDE2CQAAAAEwkqgV2f7J3gh7gCPc/sneCDFDSVEuTllTRTpCQUguSVFfREFZU19JTlZF</t>
  </si>
  <si>
    <t>TlRPUllfT1VULjk5Ni4xNC8wNi8yMDI2AQAAAOlxAgADAAAAAACSqBXZ/sneCDjlJdz+yd4ILkNJUS5OWVNFOkJBSC5JUV9DQVNIX0NPTlZFUlNJT04uOTkwLjE0LzA2LzIwMjYBAAAA6XECAAMAAAAAAJKoFdn+yd4IOOUl3P7J3ggxQ0lRLk5ZU0U6QkFILklRX1RPVEFMX0RFQlRfQ0FQSVRBTC45OTQuMTQvMDYvMjAyNgEAAADpcQIAAgAAAAc3NC45NDY3AQgAAAAFAAAAATEBAAAACy0yMDk1MTI2MDkwAwAAAAMxNjACAAAABDQxODYEAAAAATAHAAAACTYvMTQvMjAyNggAAAAJMy8zMS8yMDIwCQAAAAEwkqgV2f7J3gg45SXc/sneCC5DSVEuTllTRTpCQUguSVFfTFRfREVCVF9FUVVJVFkuMTAwMC4xNC8wNi8yMDI2AQAAAOlxAgACAAAACDM2Ny40MjA4AQgAAAAFAAAAATEBAAAACy0xODg3NzA0OTc3AwAAAAMxNjACAAAABDQwODUEAAAAATAHAAAACTYvMTQvMjAyNggAAAAJMy8zMS8yMDI2CQAAAAEwkqgV2f7J3gjXD0Dd/sneCCtDSVEuTllTRTpCQUguSVFfRUJJVF9NQVJHSU4uMTAwMC4xNC8wNi8yMDI2AQAAAOlxAgACAAAABjkuNzYxOQEIAAAABQAAAAExAQAAAAstMTg4NzcwNDk3NwMAAAADMTYwAgAAAAQ0MDUzBAAAAAEwBwAAAAk2LzE0LzIwMjYIAAAACTMvMzEvMjAyNgkAAAABMIYrFNn+yd4I1w9A3f7J3ggsQ0lRLk5ZU0U6QkFILklRX0NBUEVYX1BDVF9SRVYuOTk0LjE0LzA2LzIwMjYBAAAA</t>
  </si>
  <si>
    <t>6XECAAIAAAAGMS43MTU5AQgAAAAFAAAAATEBAAAACy0yMDk1MTI2MDkwAwAAAAMxNjACAAAABTM1MzgwBAAAAAEwBwAAAAk2LzE0LzIwMjYIAAAACTMvMzEvMjAyMAkAAAABMIYrFNn+yd4Ie4Aj3P7J3ggrQ0lRLk5ZU0U6QkFILklRX0FTU0VUX1RVUk5TLjEwMDAuMTQvMDYvMjAyNgEAAADpcQIAAgAAAAgxLjU1NDY3NwEIAAAABQAAAAExAQAAAAstMTg4NzcwNDk3NwMAAAADMTYwAgAAAAQ0MTc3BAAAAAEwBwAAAAk2LzE0LzIwMjYIAAAACTMvMzEvMjAyNgkAAAABMIYrFNn+yd4I1w9A3f7J3gguQ0lRLk5ZU0U6QkFILklRX0lOVkVOVE9SWV9UVVJOUy45OTIuMTQvMDYvMjAyNgEAAADpcQIAAwAAAAAAhisU2f7J3gh7gCPc/sneCCxDSVEuTllTRTpCQUguSVFfQ1VSUkVOVF9SQVRJTy45OTguMTQvMDYvMjAyNgEAAADpcQIAAgAAAAgxLjYxODc5NAEIAAAABQAAAAExAQAAAAstMTg4NzcwNDk5MwMAAAADMTYwAgAAAAQ0MDMwBAAAAAEwBwAAAAk2LzE0LzIwMjYIAAAACTMvMzEvMjAyNAkAAAABMIYrFNn+yd4Ie4Aj3P7J3ggrQ0lRLk5ZU0U6QkFILklRX0NBTENfVFlQRV9CUy45OTguMTQvMDYvMjAyNgEAAADpcQIAAwAAAANSVVAAhisU2f7J3gj2DiHc/sneCCxDSVEuTllTRTpCQUguSVFfUkVUVVJOX0FTU0VUUy45OTguMTQvMDYvMjAyNgEAAADpcQIAAgAAAAY5Ljc2OTYBCAAAAAUAAAABMQEAAAAL</t>
  </si>
  <si>
    <t>LTE4ODc3MDQ5OTMDAAAAAzE2MAIAAAAENDE3OAQAAAABMAcAAAAJNi8xNC8yMDI2CAAAAAkzLzMxLzIwMjQJAAAAATCGKxTZ/sneCPYOIdz+yd4IM0NJUS5OWVNFOkJBSC5JUV9SRVRVUk5fQ09NTU9OX0VRVUlUWS45OTAuMTQvMDYvMjAyNgEAAADpcQIAAgAAAAc5Ny42NjM0AQgAAAAFAAAAATEBAAAACjE4OTEzNDc4NjkDAAAAAzE2MAIAAAAFMzMzMjAEAAAAATAHAAAACTYvMTQvMjAyNggAAAAJMy8zMS8yMDE2CQAAAAEwhisU2f7J3gh7gCPc/sneCCtDSVEuTllTRTpCQUguSVFfR1JPU1NfTUFSR0lOLjk5Ni4xNC8wNi8yMDI2AQAAAOlxAgACAAAABzIzLjc5MjIBCAAAAAUAAAABMQEAAAALLTE5OTI0MDIwNTkDAAAAAzE2MAIAAAAENDA3NAQAAAABMAcAAAAJNi8xNC8yMDI2CAAAAAkzLzMxLzIwMjIJAAAAATCGKxTZ/sneCHuAI9z+yd4ILkNJUS5OWVNFOkJBSC5JUV9DT1NUX0JPUlJPV0lORy4xMDAwLjE0LzA2LzIwMjYBAAAA6XECAAIAAAAGNC40MTE5AQgAAAAFAAAAATEBAAAACy0xODg3NzA0OTc3AwAAAAMxNjACAAAABTIxNjgxBAAAAAEwBwAAAAk2LzE0LzIwMjYIAAAACTMvMzEvMjAyNgkAAAABMIYrFNn+yd4IKvhA3f7J3ggsQ0lRLk5ZU0U6QkFILklRX0FWR19FTVBMT1lFRVMuOTkyLjE0LzA2LzIwMjYBAAAA6XECAAMAAAAAAIYrFNn+yd4I9g4h3P7J3ggxQ0lRLk5ZU0U6QkFILklRX0FW</t>
  </si>
  <si>
    <t>R19URU1QX0VNUExPWUVFUy45OTguMTQvMDYvMjAyNgEAAADpcQIAAwAAAAAAhisU2f7J3gj2DiHc/sneCChDSVEuTllTRTpCQUguSVFfRlVMTF9USU1FLjk5NC4xNC8wNi8yMDI2AQAAAOlxAgACAAAABTI3MjAwAIYrFNn+yd4I9g4h3P7J3ggpQ0lRLk5ZU0U6QkFILklRX1BBUlRfVElNRS4xMDAwLjE0LzA2LzIwMjYBAAAA6XECAAMAAAAAAIYrFNn+yd4IKvhA3f7J3ggyQ0lRLk5ZU0U6QkFILklRX0VCSVREQV81WVJfQU5OX0NBR1IuOTkzLjE0LzA2LzIwMjYBAAAA6XECAAIAAAAGNC40ODcyAQgAAAAFAAAAATEBAAAACjIwOTkwODcxMzMDAAAAAzE2MAIAAAAENDIzNQQAAAABMAcAAAAJNi8xNC8yMDI2CAAAAAkzLzMxLzIwMTkJAAAAATAdpgzZ/sneCAzBKtz+yd4IMENJUS5OWVNFOkJBSC5JUV9FQklUXzVZUl9BTk5fQ0FHUi45OTkuMTQvMDYvMjAyNgEAAADpcQIAAgAAAAcxMi44MTQ2AQgAAAAFAAAAATEBAAAACy0xODg3NzA1MDAxAwAAAAMxNjACAAAABDQyMzYEAAAAATAHAAAACTYvMTQvMjAyNggAAAAJMy8zMS8yMDI1CQAAAAEwHaYM2f7J3ggt0z7d/sneCDBDSVEuTllTRTpCQUguSVFfR1BfMVlSX0FOTl9HUk9XVEguOTkzLjE0LzA2LzIwMjYBAAAA6XECAAIAAAAHMTEuMDMzNgEIAAAABQAAAAExAQAAAAoyMDk5MDg3MTMzAwAAAAMxNjACAAAABDQxOTUEAAAAATAHAAAACTYvMTQvMjAyNggA</t>
  </si>
  <si>
    <t>AAAJMy8zMS8yMDE5CQAAAAEwHaYM2f7J3ggMwSrc/sneCDRDSVEuTllTRTpCQUguSVFfRUJJVERBXzFZUl9BTk5fR1JPV1RILjk5OS4xNC8wNi8yMDI2AQAAAOlxAgACAAAABzE1Ljk3OTgBCAAAAAUAAAABMQEAAAALLTE4ODc3MDUwMDEDAAAAAzE2MAIAAAAENDE5NgQAAAABMAcAAAAJNi8xNC8yMDI2CAAAAAkzLzMxLzIwMjUJAAAAATAdpgzZ/sneCC3TPt3+yd4IMUNJUS5OWVNFOkJBSC5JUV9FUFNfMVlSX0FOTl9HUk9XVEguOTkxLjE0LzA2LzIwMjYBAAAA6XECAAIAAAAHLTExLjM2OQEIAAAABQAAAAExAQAAAAoxOTY1NzcyNDIyAwAAAAMxNjACAAAABDQyMDAEAAAAATAHAAAACTYvMTQvMjAyNggAAAAJMy8zMS8yMDE3CQAAAAEwHaYM2f7J3ggMwSrc/sneCDVDSVEuTllTRTpCQUguSVFfVE9UQUxfUkVWXzNZUl9BTk5fQ0FHUi45OTcuMTQvMDYvMjAyNgEAAADpcQIAAgAAAAY3LjQ0ODUBCAAAAAUAAAABMQEAAAALLTE5NDE1NDY4NzEDAAAAAzE2MAIAAAAENDIyMAQAAAABMAcAAAAJNi8xNC8yMDI2CAAAAAkzLzMxLzIwMjMJAAAAATAdpgzZ/sneCAzBKtz+yd4ILkNJUS5OWVNFOkJBSC5JUV9OSV8zWVJfQU5OX0NBR1IuOTk1LjE0LzA2LzIwMjYBAAAA6XECAAIAAAAHMjYuMzc4OQEIAAAABQAAAAExAQAAAAstMjA0MzIxNTM5MgMAAAADMTYwAgAAAAQ0MjI1BAAAAAEwBwAAAAk2LzE0LzIwMjYI</t>
  </si>
  <si>
    <t>AAAACTMvMzEvMjAyMQkAAAABMB2mDNn+yd4IDMEq3P7J3gguQ0lRLk5ZU0U6QkFILklRX05FVF9ERUJUX0VCSVREQS45OTEuMTQvMDYvMjAyNgEAAADpcQIAAgAAAAgyLjcxNzQzOAEIAAAABQAAAAExAQAAAAoxOTY1NzcyNDIyAwAAAAMxNjACAAAABDQxOTMEAAAAATAHAAAACTYvMTQvMjAyNggAAAAJMy8zMS8yMDE3CQAAAAEwHaYM2f7J3gikWCjc/sneCD9DSVEuTllTRTpCQUguSVFfTkVUX0RFQlRfRUJJVERBX0VYQ0xfT1BFUl9MRUFTRVMuOTk3LjE0LzA2LzIwMjYBAAAA6XECAAIAAAAIMi43MTE4NzMBCAAAAAUAAAABMQEAAAALLTE5NDE1NDY4NzEDAAAAAzE2MAIAAAAFNDkxNzUEAAAAATAHAAAACTYvMTQvMjAyNggAAAAJMy8zMS8yMDIzCQAAAAEwHaYM2f7J3giV1yjc/sneCEhDSVEuTllTRTpCQUguSVFfVE9UQUxfREVCVF9FQklUREFfRVhDTF9PUEVSX0xFQVNFU19DQVBFWC4yMDAwLjE0LzA2LzIwMjYBAAAA6XECAAIAAAAIMy41MjkxMDkBCAAAAAUAAAABMQEAAAALLTE4ODc3MDQzNDEDAAAAAzE2MAIAAAAFNDkxODMEAAAAATAHAAAACTYvMTQvMjAyNggAAAAJMy8zMS8yMDI2CQAAAAEwHaYM2f7J3giV1yjc/sneCEVDSVEuTllTRTpCQUguSVFfTkVUX0RFQlRfRUJJVERBX0VYQ0xfT1BFUl9MRUFTRVNfQ0FQRVguOTk1LjE0LzA2LzIwMjYBAAAA6XECAAIAAAAIMi4zMDQzNTMBCAAAAAUA</t>
  </si>
  <si>
    <t>AAABMQEAAAALLTIwNDMyMTUzOTIDAAAAAzE2MAIAAAAFNDkxODIEAAAAATAHAAAACTYvMTQvMjAyNggAAAAJMy8zMS8yMDIxCQAAAAEwHaYM2f7J3giV1yjc/sneCCZDSVEuTllTRTpCQUguSVFfWl9TQ09SRS45OTkuMTQvMDYvMjAyNgEAAADpcQIAAgAAAAg0Ljc4OTU1NAEIAAAABQAAAAExAQAAAAstMTg4NzcwNTAwMQMAAAADMTYwAgAAAAYxMDAxMjMEAAAAATAHAAAACTYvMTQvMjAyNggAAAAJMy8zMS8yMDI1CQAAAAEwHaYM2f7J3ggt0z7d/sneCC5DSVEuTllTRTpCQUguSVFfTFRfREVCVF9FUVVJVFkuMjAwMC4xNC8wNi8yMDI2AQAAAOlxAgACAAAACDM2Ny40MjA4AQgAAAAFAAAAATEBAAAACy0xODg3NzA0MzQxAwAAAAMxNjACAAAABDQwODUEAAAAATAHAAAACTYvMTQvMjAyNggAAAAJMy8zMS8yMDI2CQAAAAEwkqgV2f7J3gg45SXc/sneCDZDSVEuTllTRTpCQUguSVFfVE9UQUxfTElBQl9UT1RBTF9BU1NFVFMuOTk1LjE0LzA2LzIwMjYBAAAA6XECAAIAAAAHODAuNTIyNgEIAAAABQAAAAExAQAAAAstMjA0MzIxNTM5MgMAAAADMTYwAgAAAAQ0MTg4BAAAAAEwBwAAAAk2LzE0LzIwMjYIAAAACTMvMzEvMjAyMQkAAAABMJKoFdn+yd4IOOUl3P7J3ggpQ0lRLk5ZU0U6QkFILklRX0VCSVREQV9JTlQuOTk5LjE0LzA2LzIwMjYBAAAA6XECAAIAAAAIOC42Nzg1NzEBCAAAAAUAAAABMQEAAAALLTE4</t>
  </si>
  <si>
    <t>ODc3MDUwMDEDAAAAAzE2MAIAAAAENDE5MAQAAAABMAcAAAAJNi8xNC8yMDI2CAAAAAkzLzMxLzIwMjUJAAAAATCSqBXZ/sneCNcPQN3+yd4IL0NJUS5OWVNFOkJBSC5JUV9FQklUREFfQ0FQRVhfSU5ULjk5My4xNC8wNi8yMDI2AQAAAOlxAgACAAAACDYuMzU2ODkzAQgAAAAFAAAAATEBAAAACjIwOTkwODcxMzMDAAAAAzE2MAIAAAAENDE5MQQAAAABMAcAAAAJNi8xNC8yMDI2CAAAAAkzLzMxLzIwMTkJAAAAATCSqBXZ/sneCDjlJdz+yd4IMENJUS5OWVNFOkJBSC5JUV9UT1RBTF9ERUJUX0VCSVREQS45OTcuMTQvMDYvMjAyNgEAAADpcQIAAgAAAAgyLjkwMDQ2OQEIAAAABQAAAAExAQAAAAstMTk0MTU0Njg3MQMAAAADMTYwAgAAAAQ0MTkyBAAAAAEwBwAAAAk2LzE0LzIwMjYIAAAACTMvMzEvMjAyMwkAAAABMB2mDNn+yd4IOOUl3P7J3ggsQ0lRLk5ZU0U6QkFILklRX0NVUlJFTlRfUkFUSU8uOTk5LjE0LzA2LzIwMjYBAAAA6XECAAIAAAAIMS43OTQ2OTEBCAAAAAUAAAABMQEAAAALLTE4ODc3MDUwMDEDAAAAAzE2MAIAAAAENDAzMAQAAAABMAcAAAAJNi8xNC8yMDI2CAAAAAkzLzMxLzIwMjUJAAAAATCGKxTZ/sneCNcPQN3+yd4IL0NJUS5OWVNFOkJBSC5JUV9DRk9fQ1VSUkVOVF9MSUFCLjk5My4xNC8wNi8yMDI2AQAAAOlxAgACAAAACDAuNDIzNjcxAQgAAAAFAAAAATEBAAAACjIwOTkwODcxMzMD</t>
  </si>
  <si>
    <t>AAAAAzE2MAIAAAAENDE4NQQAAAABMAcAAAAJNi8xNC8yMDI2CAAAAAkzLzMxLzIwMTkJAAAAATCGKxTZ/sneCHuAI9z+yd4IMUNJUS5OWVNFOkJBSC5JUV9EQVlTX0lOVkVOVE9SWV9PVVQuOTk3LjE0LzA2LzIwMjYBAAAA6XECAAMAAAAAAJKoFdn+yd4IOOUl3P7J3gguQ0lRLk5ZU0U6QkFILklRX0NBU0hfQ09OVkVSU0lPTi45OTEuMTQvMDYvMjAyNgEAAADpcQIAAwAAAAAAkqgV2f7J3gg45SXc/sneCDFDSVEuTllTRTpCQUguSVFfVE9UQUxfREVCVF9DQVBJVEFMLjk5NS4xNC8wNi8yMDI2AQAAAOlxAgACAAAABzcxLjY5MjIBCAAAAAUAAAABMQEAAAALLTIwNDMyMTUzOTIDAAAAAzE2MAIAAAAENDE4NgQAAAABMAcAAAAJNi8xNC8yMDI2CAAAAAkzLzMxLzIwMjEJAAAAATCSqBXZ/sneCDjlJdz+yd4IM0NJUS5OWVNFOkJBSC5JUV9SRVRVUk5fQ09NTU9OX0VRVUlUWS45OTEuMTQvMDYvMjAyNgEAAADpcQIAAgAAAAc1Mi42NDI0AQgAAAAFAAAAATEBAAAACjE5NjU3NzI0MjIDAAAAAzE2MAIAAAAFMzMzMjAEAAAAATAHAAAACTYvMTQvMjAyNggAAAAJMy8zMS8yMDE3CQAAAAEwhisU2f7J3gh7gCPc/sneCCtDSVEuTllTRTpCQUguSVFfR1JPU1NfTUFSR0lOLjk5Ny4xNC8wNi8yMDI2AQAAAOlxAgACAAAABzIzLjE2NjYBCAAAAAUAAAABMQEAAAALLTE5NDE1NDY4NzEDAAAAAzE2MAIAAAAENDA3NAQA</t>
  </si>
  <si>
    <t>AAABMAcAAAAJNi8xNC8yMDI2CAAAAAkzLzMxLzIwMjMJAAAAATCGKxTZ/sneCHuAI9z+yd4IKkNJUS5OWVNFOkJBSC5JUV9FQklUX01BUkdJTi45OTEuMTQvMDYvMjAyNgEAAADpcQIAAgAAAAY4LjY0MDYBCAAAAAUAAAABMQEAAAAKMTk2NTc3MjQyMgMAAAADMTYwAgAAAAQ0MDUzBAAAAAEwBwAAAAk2LzE0LzIwMjYIAAAACTMvMzEvMjAxNwkAAAABMIYrFNn+yd4Ie4Aj3P7J3ggsQ0lRLk5ZU0U6QkFILklRX0NBUEVYX1BDVF9SRVYuOTk1LjE0LzA2LzIwMjYBAAAA6XECAAIAAAAGMS4xMDk2AQgAAAAFAAAAATEBAAAACy0yMDQzMjE1MzkyAwAAAAMxNjACAAAABTM1MzgwBAAAAAEwBwAAAAk2LzE0LzIwMjYIAAAACTMvMzEvMjAyMQkAAAABMIYrFNn+yd4Ie4Aj3P7J3gguQ0lRLk5ZU0U6QkFILklRX0lOVkVOVE9SWV9UVVJOUy45OTMuMTQvMDYvMjAyNgEAAADpcQIAAwAAAAAAhisU2f7J3gh7gCPc/sneCC5DSVEuTllTRTpCQUguSVFfUkVTVEFURU1FTlRfQlMuMjAwMC4xNC8wNi8yMDI2AQAAAOlxAgADAAAAAU8AhisU2f7J3gj2DiHc/sneCCxDSVEuTllTRTpCQUguSVFfUkVUVVJOX0FTU0VUUy45OTkuMTQvMDYvMjAyNgEAAADpcQIAAgAAAAcxMC45MzYxAQgAAAAFAAAAATEBAAAACy0xODg3NzA1MDAxAwAAAAMxNjACAAAABDQxNzgEAAAAATAHAAAACTYvMTQvMjAyNggAAAAJMy8zMS8yMDI1CQAA</t>
  </si>
  <si>
    <t>AAEwhisU2f7J3ggq+EDd/sneCC5DSVEuTllTRTpCQUguSVFfQ09TVF9CT1JST1dJTkcuMjAwMC4xNC8wNi8yMDI2AQAAAOlxAgACAAAABjQuNDExOQEIAAAABQAAAAExAQAAAAstMTg4NzcwNDM0MQMAAAADMTYwAgAAAAUyMTY4MQQAAAABMAcAAAAJNi8xNC8yMDI2CAAAAAkzLzMxLzIwMjYJAAAAATCGKxTZ/sneCPYOIdz+yd4IKENJUS5OWVNFOkJBSC5JUV9GVUxMX1RJTUUuOTk1LjE0LzA2LzIwMjYBAAAA6XECAAIAAAAFMjc3MDAAhisU2f7J3gj2DiHc/sneCClDSVEuTllTRTpCQUguSVFfUEFSVF9USU1FLjIwMDAuMTQvMDYvMjAyNgEAAADpcQIAAwAAAAAAhisU2f7J3gj2DiHc/sneCCxDSVEuTllTRTpCQUguSVFfQVZHX0VNUExPWUVFUy45OTMuMTQvMDYvMjAyNgEAAADpcQIAAwAAAAAAhisU2f7J3gj2DiHc/sneCDFDSVEuTllTRTpCQUguSVFfQVZHX1RFTVBfRU1QTE9ZRUVTLjk5OS4xNC8wNi8yMDI2AQAAAOlxAgADAAAAAACGKxTZ/sneCCr4QN3+yd4IOENJUS5OWVNFOkJBSC5JUV9UT1RBTF9PVVRTVEFORElOR19CU19EQVRFLjk5NS4xNC8wNi8yMDI2AQAAAOlxAgACAAAACjEzNi4yNDYwMjkBBAAAAAUAAAABNQEAAAALLTIwNDMyMTUzOTICAAAABTI0MTUyBgAAAAEwSkdH2f7J3ggppx7c/sneCDVDSVEuTllTRTpCQUguSVFfVE9UQUxfUkVWXzVZUl9BTk5fQ0FHUi45OTAuMTQvMDYvMjAy</t>
  </si>
  <si>
    <t>NgEAAADpcQIAAgAAAActMC42NzI3AQgAAAAFAAAAATEBAAAACjE4OTEzNDc4NjkDAAAAAzE2MAIAAAAENDIzMwQAAAABMAcAAAAJNi8xNC8yMDI2CAAAAAkzLzMxLzIwMTYJAAAAATAdpgzZ/sneCAzBKtz+yd4IMkNJUS5OWVNFOkJBSC5JUV9FQklUREFfNVlSX0FOTl9DQUdSLjk5NC4xNC8wNi8yMDI2AQAAAOlxAgACAAAABTcuNDA3AQgAAAAFAAAAATEBAAAACy0yMDk1MTI2MDkwAwAAAAMxNjACAAAABDQyMzUEAAAAATAHAAAACTYvMTQvMjAyNggAAAAJMy8zMS8yMDIwCQAAAAEwHaYM2f7J3ggMwSrc/sneCDFDSVEuTllTRTpCQUguSVFfRUJJVF81WVJfQU5OX0NBR1IuMTAwMC4xNC8wNi8yMDI2AQAAAOlxAgACAAAABjcuODU4NwEIAAAABQAAAAExAQAAAAstMTg4NzcwNDk3NwMAAAADMTYwAgAAAAQ0MjM2BAAAAAEwBwAAAAk2LzE0LzIwMjYIAAAACTMvMzEvMjAyNgkAAAABMB2mDNn+yd4ILdM+3f7J3ggvQ0lRLk5ZU0U6QkFILklRX0VQU181WVJfQU5OX0NBR1IuOTk0LjE0LzA2LzIwMjYBAAAA6XECAAIAAAAHMTcuNDU4NwEIAAAABQAAAAExAQAAAAstMjA5NTEyNjA5MAMAAAADMTYwAgAAAAQ0MjM5BAAAAAEwBwAAAAk2LzE0LzIwMjYIAAAACTMvMzEvMjAyMAkAAAABMB2mDNn+yd4IwzQt3P7J3gg1Q0lRLk5ZU0U6QkFILklRX0VCSVREQV8xWVJfQU5OX0dST1dUSC4xMDAwLjE0LzA2LzIwMjYB</t>
  </si>
  <si>
    <t>AAAA6XECAAIAAAAHLTguNzc0NQEIAAAABQAAAAExAQAAAAstMTg4NzcwNDk3NwMAAAADMTYwAgAAAAQ0MTk2BAAAAAEwBwAAAAk2LzE0LzIwMjYIAAAACTMvMzEvMjAyNgkAAAABMB2mDNn+yd4ILdM+3f7J3ggxQ0lRLk5ZU0U6QkFILklRX0VQU18xWVJfQU5OX0dST1dUSC45OTIuMTQvMDYvMjAyNgEAAADpcQIAAgAAAAcxNy45NjY3AQgAAAAFAAAAATEBAAAACjIwMzgwOTEwNzcDAAAAAzE2MAIAAAAENDIwMAQAAAABMAcAAAAJNi8xNC8yMDI2CAAAAAkzLzMxLzIwMTgJAAAAATAdpgzZ/sneCAzBKtz+yd4INUNJUS5OWVNFOkJBSC5JUV9UT1RBTF9SRVZfM1lSX0FOTl9DQUdSLjk5OC4xNC8wNi8yMDI2AQAAAOlxAgACAAAABzEwLjcwMjcBCAAAAAUAAAABMQEAAAALLTE4ODc3MDQ5OTMDAAAAAzE2MAIAAAAENDIyMAQAAAABMAcAAAAJNi8xNC8yMDI2CAAAAAkzLzMxLzIwMjQJAAAAATAdpgzZ/sneCAzBKtz+yd4IMkNJUS5OWVNFOkJBSC5JUV9FQklUREFfM1lSX0FOTl9DQUdSLjk5Mi4xNC8wNi8yMDI2AQAAAOlxAgACAAAABjMuNDQxNwEIAAAABQAAAAExAQAAAAoyMDM4MDkxMDc3AwAAAAMxNjACAAAABDQyMjIEAAAAATAHAAAACTYvMTQvMjAyNggAAAAJMy8zMS8yMDE4CQAAAAEwHaYM2f7J3ggMwSrc/sneCC5DSVEuTllTRTpCQUguSVFfTklfM1lSX0FOTl9DQUdSLjk5Ni4xNC8wNi8yMDI2AQAA</t>
  </si>
  <si>
    <t>AOlxAgACAAAABTMuNzAxAQgAAAAFAAAAATEBAAAACy0xOTkyNDAyMDU5AwAAAAMxNjACAAAABDQyMjUEAAAAATAHAAAACTYvMTQvMjAyNggAAAAJMy8zMS8yMDIyCQAAAAEwHaYM2f7J3ggMwSrc/sneCD9DSVEuTllTRTpCQUguSVFfTkVUX0RFQlRfRUJJVERBX0VYQ0xfT1BFUl9MRUFTRVMuOTk4LjE0LzA2LzIwMjYBAAAA6XECAAIAAAAIMi41OTI5MzUBCAAAAAUAAAABMQEAAAALLTE4ODc3MDQ5OTMDAAAAAzE2MAIAAAAFNDkxNzUEAAAAATAHAAAACTYvMTQvMjAyNggAAAAJMy8zMS8yMDI0CQAAAAEwHaYM2f7J3giV1yjc/sneCDRDSVEuTllTRTpCQUguSVFfTkVUX0RFQlRfRUJJVERBX0NBUEVYLjk5MC4xNC8wNi8yMDI2AQAAAOlxAgACAAAACDMuMzg5NzIyAQgAAAAFAAAAATEBAAAACjE4OTEzNDc4NjkDAAAAAzE2MAIAAAAFMjMzMTQEAAAAATAHAAAACTYvMTQvMjAyNggAAAAJMy8zMS8yMDE2CQAAAAEwHaYM2f7J3giV1yjc/sneCEVDSVEuTllTRTpCQUguSVFfTkVUX0RFQlRfRUJJVERBX0VYQ0xfT1BFUl9MRUFTRVNfQ0FQRVguOTk2LjE0LzA2LzIwMjYBAAAA6XECAAIAAAAIMy4yMjM4OTMBCAAAAAUAAAABMQEAAAALLTE5OTI0MDIwNTkDAAAAAzE2MAIAAAAFNDkxODIEAAAAATAHAAAACTYvMTQvMjAyNggAAAAJMy8zMS8yMDIyCQAAAAEwHaYM2f7J3giV1yjc/sneCCZDSVEuTllTRTpCQUgu</t>
  </si>
  <si>
    <t>SVFfWl9TQ09SRS45OTAuMTQvMDYvMjAyNgEAAADpcQIAAgAAAAgzLjQ3ODQ5OQEIAAAABQAAAAExAQAAAAoxODkxMzQ3ODY5AwAAAAMxNjACAAAABjEwMDEyMwQAAAABMAcAAAAJNi8xNC8yMDI2CAAAAAkzLzMxLzIwMTYJAAAAATAdpgzZ/sneCJXXKNz+yd4IMENJUS5OWVNFOkJBSC5JUV9HUF8xWVJfQU5OX0dST1dUSC45OTQuMTQvMDYvMjAyNgEAAADpcQIAAgAAAAcxMS43MTY4AQgAAAAFAAAAATEBAAAACy0yMDk1MTI2MDkwAwAAAAMxNjACAAAABDQxOTUEAAAAATAHAAAACTYvMTQvMjAyNggAAAAJMy8zMS8yMDIwCQAAAAEwHaYM2f7J3giV1yjc/sneCDZDSVEuTllTRTpCQUguSVFfVE9UQUxfTElBQl9UT1RBTF9BU1NFVFMuOTk2LjE0LzA2LzIwMjYBAAAA6XECAAIAAAAHODIuNjI4NgEIAAAABQAAAAExAQAAAAstMTk5MjQwMjA1OQMAAAADMTYwAgAAAAQ0MTg4BAAAAAEwBwAAAAk2LzE0LzIwMjYIAAAACTMvMzEvMjAyMgkAAAABMJKoFdn+yd4IOOUl3P7J3ggqQ0lRLk5ZU0U6QkFILklRX0VCSVREQV9JTlQuMTAwMC4xNC8wNi8yMDI2AQAAAOlxAgACAAAACDcuMjQ0NTY1AQgAAAAFAAAAATEBAAAACy0xODg3NzA0OTc3AwAAAAMxNjACAAAABDQxOTAEAAAAATAHAAAACTYvMTQvMjAyNggAAAAJMy8zMS8yMDI2CQAAAAEwkqgV2f7J3gjXD0Dd/sneCC9DSVEuTllTRTpCQUguSVFfRUJJVERBX0NB</t>
  </si>
  <si>
    <t>UEVYX0lOVC45OTQuMTQvMDYvMjAyNgEAAADpcQIAAgAAAAg3LjMxOTc4MQEIAAAABQAAAAExAQAAAAstMjA5NTEyNjA5MAMAAAADMTYwAgAAAAQ0MTkxBAAAAAEwBwAAAAk2LzE0LzIwMjYIAAAACTMvMzEvMjAyMAkAAAABMJKoFdn+yd4IOOUl3P7J3ghBQ0lRLk5ZU0U6QkFILklRX0VCSVREQV9FWENMX09QRVJfTEVBU0VTX0NBUEVYX0lOVC4xMDAwLjE0LzA2LzIwMjYBAAAA6XECAAIAAAAINi4zNDc4MjYBCAAAAAUAAAABMQEAAAALLTE4ODc3MDQ5NzcDAAAAAzE2MAIAAAAFNDkxNzQEAAAAATAHAAAACTYvMTQvMjAyNggAAAAJMy8zMS8yMDI2CQAAAAEwHaYM2f7J3gjXD0Dd/sneCC5DSVEuTllTRTpCQUguSVFfTkVUX0RFQlRfRUJJVERBLjk5Mi4xNC8wNi8yMDI2AQAAAOlxAgACAAAACDIuNzkwOTIzAQgAAAAFAAAAATEBAAAACjIwMzgwOTEwNzcDAAAAAzE2MAIAAAAENDE5MwQAAAABMAcAAAAJNi8xNC8yMDI2CAAAAAkzLzMxLzIwMTgJAAAAATAdpgzZ/sneCKRYKNz+yd4IL0NJUS5OWVNFOkJBSC5JUV9DRk9fQ1VSUkVOVF9MSUFCLjk5NC4xNC8wNi8yMDI2AQAAAOlxAgACAAAACDAuNDE1MzMyAQgAAAAFAAAAATEBAAAACy0yMDk1MTI2MDkwAwAAAAMxNjACAAAABDQxODUEAAAAATAHAAAACTYvMTQvMjAyNggAAAAJMy8zMS8yMDIwCQAAAAEwhisU2f7J3gh7gCPc/sneCDFDSVEuTllTRTpCQUgu</t>
  </si>
  <si>
    <t>SVFfREFZU19JTlZFTlRPUllfT1VULjk5OC4xNC8wNi8yMDI2AQAAAOlxAgADAAAAAACSqBXZ/sneCDjlJdz+yd4ILkNJUS5OWVNFOkJBSC5JUV9DQVNIX0NPTlZFUlNJT04uOTkyLjE0LzA2LzIwMjYBAAAA6XECAAMAAAAAAJKoFdn+yd4IOOUl3P7J3ggwQ0lRLk5ZU0U6QkFILklRX1RPVEFMX0RFQlRfRVFVSVRZLjk5OC4xNC8wNi8yMDI2AQAAAOlxAgACAAAACDM0Ny4zNzM0AQgAAAAFAAAAATEBAAAACy0xODg3NzA0OTkzAwAAAAMxNjACAAAABDQwMzQEAAAAATAHAAAACTYvMTQvMjAyNggAAAAJMy8zMS8yMDI0CQAAAAEwkqgV2f7J3gg45SXc/sneCC5DSVEuTllTRTpCQUguSVFfTFRfREVCVF9DQVBJVEFMLjk5MC4xNC8wNi8yMDI2AQAAAOlxAgACAAAABzcxLjE3MDkBCAAAAAUAAAABMQEAAAAKMTg5MTM0Nzg2OQMAAAADMTYwAgAAAAQ0MTg3BAAAAAEwBwAAAAk2LzE0LzIwMjYIAAAACTMvMzEvMjAxNgkAAAABMJKoFdn+yd4IOOUl3P7J3ggqQ0lRLk5ZU0U6QkFILklRX0VCSVRfTUFSR0lOLjk5Mi4xNC8wNi8yMDI2AQAAAOlxAgACAAAABjguMzA4NgEIAAAABQAAAAExAQAAAAoyMDM4MDkxMDc3AwAAAAMxNjACAAAABDQwNTMEAAAAATAHAAAACTYvMTQvMjAyNggAAAAJMy8zMS8yMDE4CQAAAAEwhisU2f7J3gh7gCPc/sneCCxDSVEuTllTRTpCQUguSVFfQ0FQRVhfUENUX1JFVi45OTYuMTQvMDYv</t>
  </si>
  <si>
    <t>MjAyNgEAAADpcQIAAgAAAAUwLjk1NgEIAAAABQAAAAExAQAAAAstMTk5MjQwMjA1OQMAAAADMTYwAgAAAAUzNTM4MAQAAAABMAcAAAAJNi8xNC8yMDI2CAAAAAkzLzMxLzIwMjIJAAAAATCGKxTZ/sneCHuAI9z+yd4IMENJUS5OWVNFOkJBSC5JUV9GSVhFRF9BU1NFVF9UVVJOUy45OTAuMTQvMDYvMjAyNgEAAADpcQIAAgAAAAk0Ny4wNjA0MzQBCAAAAAUAAAABMQEAAAAKMTg5MTM0Nzg2OQMAAAADMTYwAgAAAAQ0MDY2BAAAAAEwBwAAAAk2LzE0LzIwMjYIAAAACTMvMzEvMjAxNgkAAAABMIYrFNn+yd4Ie4Aj3P7J3ggnQ0lRLk5ZU0U6QkFILklRX0FSX1RVUk5TLjk5Ni4xNC8wNi8yMDI2AQAAAOlxAgACAAAACDUuNTExNzExAQgAAAAFAAAAATEBAAAACy0xOTkyNDAyMDU5AwAAAAMxNjACAAAABDQwMDEEAAAAATAHAAAACTYvMTQvMjAyNggAAAAJMy8zMS8yMDIyCQAAAAEwhisU2f7J3gh7gCPc/sneCC1DSVEuTllTRTpCQUguSVFfQ1VSUkVOVF9SQVRJTy4xMDAwLjE0LzA2LzIwMjYBAAAA6XECAAIAAAAIMS43ODA1MTcBCAAAAAUAAAABMQEAAAALLTE4ODc3MDQ5NzcDAAAAAzE2MAIAAAAENDAzMAQAAAABMAcAAAAJNi8xNC8yMDI2CAAAAAkzLzMxLzIwMjYJAAAAATCGKxTZ/sneCNcPQN3+yd4IK0NJUS5OWVNFOkJBSC5JUV9DQUxDX1RZUEVfQlMuOTkwLjE0LzA2LzIwMjYBAAAA6XECAAMAAAADUlVQ</t>
  </si>
  <si>
    <t>AIYrFNn+yd4I9g4h3P7J3ggtQ0lRLk5ZU0U6QkFILklRX1JFVFVSTl9BU1NFVFMuMTAwMC4xNC8wNi8yMDI2AQAAAOlxAgACAAAABjkuNDg1NAEIAAAABQAAAAExAQAAAAstMTg4NzcwNDk3NwMAAAADMTYwAgAAAAQ0MTc4BAAAAAEwBwAAAAk2LzE0LzIwMjYIAAAACTMvMzEvMjAyNgkAAAABMIYrFNn+yd4I1w9A3f7J3ggsQ0lRLk5ZU0U6QkFILklRX1JFVFVSTl9FUVVJVFkuOTk0LjE0LzA2LzIwMjYBAAAA6XECAAIAAAAHNjMuMDE0NAEIAAAABQAAAAExAQAAAAstMjA5NTEyNjA5MAMAAAADMTYwAgAAAAQ0MTI4BAAAAAEwBwAAAAk2LzE0LzIwMjYIAAAACTMvMzEvMjAyMAkAAAABMIYrFNn+yd4Ie4Aj3P7J3ggrQ0lRLk5ZU0U6QkFILklRX0dST1NTX01BUkdJTi45OTguMTQvMDYvMjAyNgEAAADpcQIAAgAAAAcyMy4wNjMyAQgAAAAFAAAAATEBAAAACy0xODg3NzA0OTkzAwAAAAMxNjACAAAABDQwNzQEAAAAATAHAAAACTYvMTQvMjAyNggAAAAJMy8zMS8yMDI0CQAAAAEwhisU2f7J3gh7gCPc/sneCD5DSVEuTllTRTpCQUguSVFfRU1QTE9ZRUVTX1VOREVSX1VOSU9OX0NPTlRSQUNUUy45OTYuMTQvMDYvMjAyNgEAAADpcQIAAwAAAAAAhisU2f7J3gj2DiHc/sneCDJDSVEuTllTRTpCQUguSVFfQVZHX1RFTVBfRU1QTE9ZRUVTLjEwMDAuMTQvMDYvMjAyNgEAAADpcQIAAwAAAAAAhisU2f7J3ggq+EDd</t>
  </si>
  <si>
    <t>/sneCDVDSVEuTllTRTpCQUguSVFfVE9UQUxfUkVWXzVZUl9BTk5fQ0FHUi45OTEuMTQvMDYvMjAyNgEAAADpcQIAAgAAAActMC4xNzAzAQgAAAAFAAAAATEBAAAACjE5NjU3NzI0MjIDAAAAAzE2MAIAAAAENDIzMwQAAAABMAcAAAAJNi8xNC8yMDI2CAAAAAkzLzMxLzIwMTcJAAAAATAdpgzZ/sneCAzBKtz+yd4ILkNJUS5OWVNFOkJBSC5JUV9HUF81WVJfQU5OX0NBR1IuOTk3LjE0LzA2LzIwMjYBAAAA6XECAAIAAAAGOC4yOTU4AQgAAAAFAAAAATEBAAAACy0xOTQxNTQ2ODcxAwAAAAMxNjACAAAABDQyMzQEAAAAATAHAAAACTYvMTQvMjAyNggAAAAJMy8zMS8yMDIzCQAAAAEwHaYM2f7J3ggMwSrc/sneCDFDSVEuTllTRTpCQUguSVFfRUJJVF81WVJfQU5OX0NBR1IuMjAwMC4xNC8wNi8yMDI2AQAAAOlxAgACAAAABjcuODU4NwEIAAAABQAAAAExAQAAAAstMTg4NzcwNDM0MQMAAAADMTYwAgAAAAQ0MjM2BAAAAAEwBwAAAAk2LzE0LzIwMjYIAAAACTMvMzEvMjAyNgkAAAABMB2mDNn+yd4IDMEq3P7J3ggvQ0lRLk5ZU0U6QkFILklRX0VQU181WVJfQU5OX0NBR1IuOTk1LjE0LzA2LzIwMjYBAAAA6XECAAIAAAAHMTcuNTk3MQEIAAAABQAAAAExAQAAAAstMjA0MzIxNTM5MgMAAAADMTYwAgAAAAQ0MjM5BAAAAAEwBwAAAAk2LzE0LzIwMjYIAAAACTMvMzEvMjAyMQkAAAABMB2mDNn+yd4IwzQt3P7J3ggu</t>
  </si>
  <si>
    <t>Q0lRLk5ZU0U6QkFILklRX1RPVEFMX0VNUExPWUVFUy45OTAuMTQvMDYvMjAyNgEAAADpcQIAAgAAAAUyMjYwMACGKxTZ/sneCPYOIdz+yd4IMENJUS5OWVNFOkJBSC5JUV9HUF8xWVJfQU5OX0dST1dUSC45OTUuMTQvMDYvMjAyNgEAAADpcQIAAgAAAAY0Ljk5NzcBCAAAAAUAAAABMQEAAAALLTIwNDMyMTUzOTIDAAAAAzE2MAIAAAAENDE5NQQAAAABMAcAAAAJNi8xNC8yMDI2CAAAAAkzLzMxLzIwMjEJAAAAATAdpgzZ/sneCJXXKNz+yd4IMENJUS5OWVNFOkJBSC5JUV9OSV8xWVJfQU5OX0dST1dUSC45OTUuMTQvMDYvMjAyNgEAAADpcQIAAgAAAAcyNi4xODE5AQgAAAAFAAAAATEBAAAACy0yMDQzMjE1MzkyAwAAAAMxNjACAAAABDQxOTkEAAAAATAHAAAACTYvMTQvMjAyNggAAAAJMy8zMS8yMDIxCQAAAAEwHaYM2f7J3ggMwSrc/sneCDVDSVEuTllTRTpCQUguSVFfVE9UQUxfUkVWXzNZUl9BTk5fQ0FHUi45OTkuMTQvMDYvMjAyNgEAAADpcQIAAgAAAAcxMi43MjQ4AQgAAAAFAAAAATEBAAAACy0xODg3NzA1MDAxAwAAAAMxNjACAAAABDQyMjAEAAAAATAHAAAACTYvMTQvMjAyNggAAAAJMy8zMS8yMDI1CQAAAAEwHaYM2f7J3ggt0z7d/sneCDJDSVEuTllTRTpCQUguSVFfRUJJVERBXzNZUl9BTk5fQ0FHUi45OTMuMTQvMDYvMjAyNgEAAADpcQIAAgAAAAY5LjQ1NzcBCAAAAAUAAAABMQEAAAAKMjA5</t>
  </si>
  <si>
    <t>OTA4NzEzMwMAAAADMTYwAgAAAAQ0MjIyBAAAAAEwBwAAAAk2LzE0LzIwMjYIAAAACTMvMzEvMjAxOQkAAAABMB2mDNn+yd4IDMEq3P7J3gguQ0lRLk5ZU0U6QkFILklRX05JXzNZUl9BTk5fQ0FHUi45OTcuMTQvMDYvMjAyNgEAAADpcQIAAgAAAAgtMTcuMzk3NgEIAAAABQAAAAExAQAAAAstMTk0MTU0Njg3MQMAAAADMTYwAgAAAAQ0MjI1BAAAAAEwBwAAAAk2LzE0LzIwMjYIAAAACTMvMzEvMjAyMwkAAAABMB2mDNn+yd4IDMEq3P7J3gguQ0lRLk5ZU0U6QkFILklRX05FVF9ERUJUX0VCSVREQS45OTMuMTQvMDYvMjAyNgEAAADpcQIAAgAAAAcyLjM0OTIzAQgAAAAFAAAAATEBAAAACjIwOTkwODcxMzMDAAAAAzE2MAIAAAAENDE5MwQAAAABMAcAAAAJNi8xNC8yMDI2CAAAAAkzLzMxLzIwMTkJAAAAATAdpgzZ/sneCKRYKNz+yd4IP0NJUS5OWVNFOkJBSC5JUV9ORVRfREVCVF9FQklUREFfRVhDTF9PUEVSX0xFQVNFUy45OTkuMTQvMDYvMjAyNgEAAADpcQIAAgAAAAgyLjQxNzY5MwEIAAAABQAAAAExAQAAAAstMTg4NzcwNTAwMQMAAAADMTYwAgAAAAU0OTE3NQQAAAABMAcAAAAJNi8xNC8yMDI2CAAAAAkzLzMxLzIwMjUJAAAAATAdpgzZ/sneCC3TPt3+yd4IR0NJUS5OWVNFOkJBSC5JUV9UT1RBTF9ERUJUX0VCSVREQV9FWENMX09QRVJfTEVBU0VTX0NBUEVYLjk5My4xNC8wNi8yMDI2AQAAAOlxAgAC</t>
  </si>
  <si>
    <t>AAAABzMuMjQyMzEBCAAAAAUAAAABMQEAAAAKMjA5OTA4NzEzMwMAAAADMTYwAgAAAAU0OTE4MwQAAAABMAcAAAAJNi8xNC8yMDI2CAAAAAkzLzMxLzIwMTkJAAAAATAdpgzZ/sneCJXXKNz+yd4IRUNJUS5OWVNFOkJBSC5JUV9ORVRfREVCVF9FQklUREFfRVhDTF9PUEVSX0xFQVNFU19DQVBFWC45OTcuMTQvMDYvMjAyNgEAAADpcQIAAgAAAAgyLjk0MDg3NgEIAAAABQAAAAExAQAAAAstMTk0MTU0Njg3MQMAAAADMTYwAgAAAAU0OTE4MgQAAAABMAcAAAAJNi8xNC8yMDI2CAAAAAkzLzMxLzIwMjMJAAAAATAdpgzZ/sneCJXXKNz+yd4IJkNJUS5OWVNFOkJBSC5JUV9aX1NDT1JFLjk5MS4xNC8wNi8yMDI2AQAAAOlxAgACAAAACDMuNTA3Mjk0AQgAAAAFAAAAATEBAAAACjE5NjU3NzI0MjIDAAAAAzE2MAIAAAAGMTAwMTIzBAAAAAEwBwAAAAk2LzE0LzIwMjYIAAAACTMvMzEvMjAxNwkAAAABMB2mDNn+yd4Ildco3P7J3gguQ0lRLk5ZU0U6QkFILklRX0xUX0RFQlRfQ0FQSVRBTC45OTEuMTQvMDYvMjAyNgEAAADpcQIAAgAAAAc2My40NTM5AQgAAAAFAAAAATEBAAAACjE5NjU3NzI0MjIDAAAAAzE2MAIAAAAENDE4NwQAAAABMAcAAAAJNi8xNC8yMDI2CAAAAAkzLzMxLzIwMTcJAAAAATCSqBXZ/sneCDjlJdz+yd4INkNJUS5OWVNFOkJBSC5JUV9UT1RBTF9MSUFCX1RPVEFMX0FTU0VUUy45OTcuMTQvMDYv</t>
  </si>
  <si>
    <t>MjAyNgEAAADpcQIAAgAAAAc4NC44NTY0AQgAAAAFAAAAATEBAAAACy0xOTQxNTQ2ODcxAwAAAAMxNjACAAAABDQxODgEAAAAATAHAAAACTYvMTQvMjAyNggAAAAJMy8zMS8yMDIzCQAAAAEwkqgV2f7J3gg45SXc/sneCClDSVEuTllTRTpCQUguSVFfRUJJVERBX0lOVC45OTEuMTQvMDYvMjAyNgEAAADpcQIAAgAAAAg5LjAxMzUxNQEIAAAABQAAAAExAQAAAAoxOTY1NzcyNDIyAwAAAAMxNjACAAAABDQxOTAEAAAAATAHAAAACTYvMTQvMjAyNggAAAAJMy8zMS8yMDE3CQAAAAEwkqgV2f7J3gg45SXc/sneCC9DSVEuTllTRTpCQUguSVFfRUJJVERBX0NBUEVYX0lOVC45OTUuMTQvMDYvMjAyNgEAAADpcQIAAgAAAAkxMC4yNDQ0MTkBCAAAAAUAAAABMQEAAAALLTIwNDMyMTUzOTIDAAAAAzE2MAIAAAAENDE5MQQAAAABMAcAAAAJNi8xNC8yMDI2CAAAAAkzLzMxLzIwMjEJAAAAATCSqBXZ/sneCDjlJdz+yd4IQUNJUS5OWVNFOkJBSC5JUV9FQklUREFfRVhDTF9PUEVSX0xFQVNFU19DQVBFWF9JTlQuMjAwMC4xNC8wNi8yMDI2AQAAAOlxAgACAAAACDYuMzQ3ODI2AQgAAAAFAAAAATEBAAAACy0xODg3NzA0MzQxAwAAAAMxNjACAAAABTQ5MTc0BAAAAAEwBwAAAAk2LzE0LzIwMjYIAAAACTMvMzEvMjAyNgkAAAABMB2mDNn+yd4IOOUl3P7J3ggnQ0lRLk5ZU0U6QkFILklRX0FSX1RVUk5TLjk5Ny4xNC8wNi8y</t>
  </si>
  <si>
    <t>MDI2AQAAAOlxAgACAAAACDUuNDQ5OTY2AQgAAAAFAAAAATEBAAAACy0xOTQxNTQ2ODcxAwAAAAMxNjACAAAABDQwMDEEAAAAATAHAAAACTYvMTQvMjAyNggAAAAJMy8zMS8yMDIzCQAAAAEwhisU2f7J3gh7gCPc/sneCC1DSVEuTllTRTpCQUguSVFfQ1VSUkVOVF9SQVRJTy4yMDAwLjE0LzA2LzIwMjYBAAAA6XECAAIAAAAIMS43ODA1MTcBCAAAAAUAAAABMQEAAAALLTE4ODc3MDQzNDEDAAAAAzE2MAIAAAAENDAzMAQAAAABMAcAAAAJNi8xNC8yMDI2CAAAAAkzLzMxLzIwMjYJAAAAATCGKxTZ/sneCHuAI9z+yd4IL0NJUS5OWVNFOkJBSC5JUV9DRk9fQ1VSUkVOVF9MSUFCLjk5NS4xNC8wNi8yMDI2AQAAAOlxAgACAAAACDAuNTU2NjQyAQgAAAAFAAAAATEBAAAACy0yMDQzMjE1MzkyAwAAAAMxNjACAAAABDQxODUEAAAAATAHAAAACTYvMTQvMjAyNggAAAAJMy8zMS8yMDIxCQAAAAEwhisU2f7J3gh7gCPc/sneCC5DSVEuTllTRTpCQUguSVFfQ0FTSF9DT05WRVJTSU9OLjk5My4xNC8wNi8yMDI2AQAAAOlxAgADAAAAAACSqBXZ/sneCDjlJdz+yd4IMENJUS5OWVNFOkJBSC5JUV9UT1RBTF9ERUJUX0VRVUlUWS45OTkuMTQvMDYvMjAyNgEAAADpcQIAAgAAAAc0MjAuNjM4AQgAAAAFAAAAATEBAAAACy0xODg3NzA1MDAxAwAAAAMxNjACAAAABDQwMzQEAAAAATAHAAAACTYvMTQvMjAyNggAAAAJMy8zMS8y</t>
  </si>
  <si>
    <t>MDI1CQAAAAEwkqgV2f7J3gjXD0Dd/sneCCxDSVEuTllTRTpCQUguSVFfUkVUVVJOX0VRVUlUWS45OTUuMTQvMDYvMjAyNgEAAADpcQIAAgAAAAc2My4xODUyAQgAAAAFAAAAATEBAAAACy0yMDQzMjE1MzkyAwAAAAMxNjACAAAABDQxMjgEAAAAATAHAAAACTYvMTQvMjAyNggAAAAJMy8zMS8yMDIxCQAAAAEwhisU2f7J3gh7gCPc/sneCCtDSVEuTllTRTpCQUguSVFfR1JPU1NfTUFSR0lOLjk5OS4xNC8wNi8yMDI2AQAAAOlxAgACAAAABzIzLjIxMzYBCAAAAAUAAAABMQEAAAALLTE4ODc3MDUwMDEDAAAAAzE2MAIAAAAENDA3NAQAAAABMAcAAAAJNi8xNC8yMDI2CAAAAAkzLzMxLzIwMjUJAAAAATCGKxTZ/sneCNcPQN3+yd4IKkNJUS5OWVNFOkJBSC5JUV9FQklUX01BUkdJTi45OTMuMTQvMDYvMjAyNgEAAADpcQIAAgAAAAY4Ljg3NzUBCAAAAAUAAAABMQEAAAAKMjA5OTA4NzEzMwMAAAADMTYwAgAAAAQ0MDUzBAAAAAEwBwAAAAk2LzE0LzIwMjYIAAAACTMvMzEvMjAxOQkAAAABMIYrFNn+yd4Ie4Aj3P7J3ggoQ0lRLk5ZU0U6QkFILklRX05JX01BUkdJTi45OTkuMTQvMDYvMjAyNgEAAADpcQIAAgAAAAY3LjgwNDYBCAAAAAUAAAABMQEAAAALLTE4ODc3MDUwMDEDAAAAAzE2MAIAAAAENDA5NAQAAAABMAcAAAAJNi8xNC8yMDI2CAAAAAkzLzMxLzIwMjUJAAAAATCGKxTZ/sneCNcPQN3+yd4IMENJUS5O</t>
  </si>
  <si>
    <t>WVNFOkJBSC5JUV9GSVhFRF9BU1NFVF9UVVJOUy45OTEuMTQvMDYvMjAyNgEAAADpcQIAAgAAAAk0NS42ODM1OTEBCAAAAAUAAAABMQEAAAAKMTk2NTc3MjQyMgMAAAADMTYwAgAAAAQ0MDY2BAAAAAEwBwAAAAk2LzE0LzIwMjYIAAAACTMvMzEvMjAxNwkAAAABMIYrFNn+yd4Ie4Aj3P7J3ggrQ0lRLk5ZU0U6QkFILklRX0NBTENfVFlQRV9CUy45OTEuMTQvMDYvMjAyNgEAAADpcQIAAwAAAANSVVAAhisU2f7J3gj2DiHc/sneCCZDSVEuTllTRTpCQUguSVFfR0FBUF9CUy45OTcuMTQvMDYvMjAyNgEAAADpcQIAAwAAAAdVUyBHQUFQAIYrFNn+yd4I9g4h3P7J3gguQ0lRLk5ZU0U6QkFILklRX1RPVEFMX0VNUExPWUVFUy45OTEuMTQvMDYvMjAyNgEAAADpcQIAAgAAAAUyMzMwMACGKxTZ/sneCPYOIdz+yd4IPkNJUS5OWVNFOkJBSC5JUV9FTVBMT1lFRVNfVU5ERVJfVU5JT05fQ09OVFJBQ1RTLjk5Ny4xNC8wNi8yMDI2AQAAAOlxAgADAAAAAACGKxTZ/sneCPYOIdz+yd4IMkNJUS5OWVNFOkJBSC5JUV9BVkdfVEVNUF9FTVBMT1lFRVMuMjAwMC4xNC8wNi8yMDI2AQAAAOlxAgADAAAAAACGKxTZ/sneCPYOIdz+yd4INUNJUS5OWVNFOkJBSC5JUV9UT1RBTF9SRVZfNVlSX0FOTl9DQUdSLjk5Mi4xNC8wNi8yMDI2AQAAAOlxAgACAAAABjEuMzgzNwEIAAAABQAAAAExAQAAAAoyMDM4MDkxMDc3AwAAAAMxNjAC</t>
  </si>
  <si>
    <t>AAAABDQyMzMEAAAAATAHAAAACTYvMTQvMjAyNggAAAAJMy8zMS8yMDE4CQAAAAEwHaYM2f7J3ggMwSrc/sneCC5DSVEuTllTRTpCQUguSVFfR1BfNVlSX0FOTl9DQUdSLjk5OC4xNC8wNi8yMDI2AQAAAOlxAgACAAAABjguOTkwMQEIAAAABQAAAAExAQAAAAstMTg4NzcwNDk5MwMAAAADMTYwAgAAAAQ0MjM0BAAAAAEwBwAAAAk2LzE0LzIwMjYIAAAACTMvMzEvMjAyNAkAAAABMB2mDNn+yd4IDMEq3P7J3gguQ0lRLk5ZU0U6QkFILklRX05JXzVZUl9BTk5fQ0FHUi45OTAuMTQvMDYvMjAyNgEAAADpcQIAAgAAAAcyOC4yNzA1AQgAAAAFAAAAATEBAAAACjE4OTEzNDc4NjkDAAAAAzE2MAIAAAAENDIzOAQAAAABMAcAAAAJNi8xNC8yMDI2CAAAAAkzLzMxLzIwMTYJAAAAATAdpgzZ/sneCAzBKtz+yd4IL0NJUS5OWVNFOkJBSC5JUV9FUFNfNVlSX0FOTl9DQUdSLjk5Ni4xNC8wNi8yMDI2AQAAAOlxAgACAAAABzE0Ljg1MzcBCAAAAAUAAAABMQEAAAALLTE5OTI0MDIwNTkDAAAAAzE2MAIAAAAENDIzOQQAAAABMAcAAAAJNi8xNC8yMDI2CAAAAAkzLzMxLzIwMjIJAAAAATAdpgzZ/sneCMM0Ldz+yd4IMkNJUS5OWVNFOkJBSC5JUV9FQklUXzFZUl9BTk5fR1JPV1RILjk5MC4xNC8wNi8yMDI2AQAAAOlxAgACAAAABy0zLjEwMzIBCAAAAAUAAAABMQEAAAAKMTg5MTM0Nzg2OQMAAAADMTYwAgAAAAQ0MTk3BAAA</t>
  </si>
  <si>
    <t>AAEwBwAAAAk2LzE0LzIwMjYIAAAACTMvMzEvMjAxNgkAAAABMB2mDNn+yd4IDMEq3P7J3ggwQ0lRLk5ZU0U6QkFILklRX05JXzFZUl9BTk5fR1JPV1RILjk5Ni4xNC8wNi8yMDI2AQAAAOlxAgACAAAACC0yMy4zNTQ0AQgAAAAFAAAAATEBAAAACy0xOTkyNDAyMDU5AwAAAAMxNjACAAAABDQxOTkEAAAAATAHAAAACTYvMTQvMjAyNggAAAAJMy8zMS8yMDIyCQAAAAEwHaYM2f7J3ggMwSrc/sneCDZDSVEuTllTRTpCQUguSVFfVE9UQUxfUkVWXzNZUl9BTk5fQ0FHUi4xMDAwLjE0LzA2LzIwMjYBAAAA6XECAAIAAAAGNi42MDMzAQgAAAAFAAAAATEBAAAACy0xODg3NzA0OTc3AwAAAAMxNjACAAAABDQyMjAEAAAAATAHAAAACTYvMTQvMjAyNggAAAAJMy8zMS8yMDI2CQAAAAEwHaYM2f7J3ggt0z7d/sneCDJDSVEuTllTRTpCQUguSVFfRUJJVERBXzNZUl9BTk5fQ0FHUi45OTQuMTQvMDYvMjAyNgEAAADpcQIAAgAAAAY5LjkwMzUBCAAAAAUAAAABMQEAAAALLTIwOTUxMjYwOTADAAAAAzE2MAIAAAAENDIyMgQAAAABMAcAAAAJNi8xNC8yMDI2CAAAAAkzLzMxLzIwMjAJAAAAATAdpgzZ/sneCAzBKtz+yd4IMUNJUS5OWVNFOkJBSC5JUV9FQklUXzNZUl9BTk5fQ0FHUi4xMDAwLjE0LzA2LzIwMjYBAAAA6XECAAIAAAAGMTAuNTI2AQgAAAAFAAAAATEBAAAACy0xODg3NzA0OTc3AwAAAAMxNjACAAAABDQyMjME</t>
  </si>
  <si>
    <t>AAAAATAHAAAACTYvMTQvMjAyNggAAAAJMy8zMS8yMDI2CQAAAAEwHaYM2f7J3ggt0z7d/sneCEBDSVEuTllTRTpCQUguSVFfTkVUX0RFQlRfRUJJVERBX0VYQ0xfT1BFUl9MRUFTRVMuMTAwMC4xNC8wNi8yMDI2AQAAAOlxAgACAAAACDIuNjk3OTMzAQgAAAAFAAAAATEBAAAACy0xODg3NzA0OTc3AwAAAAMxNjACAAAABTQ5MTc1BAAAAAEwBwAAAAk2LzE0LzIwMjYIAAAACTMvMzEvMjAyNgkAAAABMB2mDNn+yd4ILdM+3f7J3ghHQ0lRLk5ZU0U6QkFILklRX1RPVEFMX0RFQlRfRUJJVERBX0VYQ0xfT1BFUl9MRUFTRVNfQ0FQRVguOTk0LjE0LzA2LzIwMjYBAAAA6XECAAIAAAAINC4xNDk2NzQBCAAAAAUAAAABMQEAAAALLTIwOTUxMjYwOTADAAAAAzE2MAIAAAAFNDkxODMEAAAAATAHAAAACTYvMTQvMjAyNggAAAAJMy8zMS8yMDIwCQAAAAEwHaYM2f7J3giV1yjc/sneCEVDSVEuTllTRTpCQUguSVFfTkVUX0RFQlRfRUJJVERBX0VYQ0xfT1BFUl9MRUFTRVNfQ0FQRVguOTk4LjE0LzA2LzIwMjYBAAAA6XECAAIAAAAIMi43NDc3NzEBCAAAAAUAAAABMQEAAAALLTE4ODc3MDQ5OTMDAAAAAzE2MAIAAAAFNDkxODIEAAAAATAHAAAACTYvMTQvMjAyNggAAAAJMy8zMS8yMDI0CQAAAAEwHaYM2f7J3giV1yjc/sneCCZDSVEuTllTRTpCQUguSVFfWl9TQ09SRS45OTIuMTQvMDYvMjAyNgEAAADpcQIAAgAAAAgz</t>
  </si>
  <si>
    <t>LjY2NzIzNwEIAAAABQAAAAExAQAAAAoyMDM4MDkxMDc3AwAAAAMxNjACAAAABjEwMDEyMwQAAAABMAcAAAAJNi8xNC8yMDI2CAAAAAkzLzMxLzIwMTgJAAAAATAdpgzZ/sneCJXXKNz+yd4IN0NJUS5OWVNFOkJBSC5JUV9UT1RBTF9SRVZfMVlSX0FOTl9HUk9XVEguOTk4LjE0LzA2LzIwMjYBAAAA6XECAAIAAAAHMTUuMTUyOAEIAAAABQAAAAExAQAAAAstMTg4NzcwNDk5MwMAAAADMTYwAgAAAAQ0MTk0BAAAAAEwBwAAAAk2LzE0LzIwMjYIAAAACTMvMzEvMjAyNAkAAAABMB2mDNn+yd4Ildco3P7J3gg2Q0lRLk5ZU0U6QkFILklRX1RPVEFMX0xJQUJfVE9UQUxfQVNTRVRTLjk5OC4xNC8wNi8yMDI2AQAAAOlxAgACAAAABzg0LjA0OTMBCAAAAAUAAAABMQEAAAALLTE4ODc3MDQ5OTMDAAAAAzE2MAIAAAAENDE4OAQAAAABMAcAAAAJNi8xNC8yMDI2CAAAAAkzLzMxLzIwMjQJAAAAATCSqBXZ/sneCDjlJdz+yd4IKUNJUS5OWVNFOkJBSC5JUV9FQklUREFfSU5ULjk5Mi4xNC8wNi8yMDI2AQAAAOlxAgACAAAACDcuMDE2MDA4AQgAAAAFAAAAATEBAAAACjIwMzgwOTEwNzcDAAAAAzE2MAIAAAAENDE5MAQAAAABMAcAAAAJNi8xNC8yMDI2CAAAAAkzLzMxLzIwMTgJAAAAATCSqBXZ/sneCDjlJdz+yd4IL0NJUS5OWVNFOkJBSC5JUV9FQklUREFfQ0FQRVhfSU5ULjk5Ni4xNC8wNi8yMDI2AQAAAOlxAgACAAAA</t>
  </si>
  <si>
    <t>CDguOTc2MDY5AQgAAAAFAAAAATEBAAAACy0xOTkyNDAyMDU5AwAAAAMxNjACAAAABDQxOTEEAAAAATAHAAAACTYvMTQvMjAyNggAAAAJMy8zMS8yMDIyCQAAAAEwkqgV2f7J3gg45SXc/sneCDBDSVEuTllTRTpCQUguSVFfVE9UQUxfREVCVF9FQklUREEuOTkwLjE0LzA2LzIwMjYBAAAA6XECAAIAAAAIMy4zMTM5NTkBCAAAAAUAAAABMQEAAAAKMTg5MTM0Nzg2OQMAAAADMTYwAgAAAAQ0MTkyBAAAAAEwBwAAAAk2LzE0LzIwMjYIAAAACTMvMzEvMjAxNgkAAAABMB2mDNn+yd4IOOUl3P7J3ghBQ0lRLk5ZU0U6QkFILklRX1RPVEFMX0RFQlRfRUJJVERBX0VYQ0xfT1BFUl9MRUFTRVMuOTk2LjE0LzA2LzIwMjYBAAAA6XECAAIAAAAIMy43NTM3NDMBCAAAAAUAAAABMQEAAAALLTE5OTI0MDIwNTkDAAAAAzE2MAIAAAAFNDg5OTQEAAAAATAHAAAACTYvMTQvMjAyNggAAAAJMy8zMS8yMDIyCQAAAAEwHaYM2f7J3gikWCjc/sneCC9DSVEuTllTRTpCQUguSVFfQ0ZPX0NVUlJFTlRfTElBQi45OTYuMTQvMDYvMjAyNgEAAADpcQIAAgAAAAgwLjQ4MDE0OAEIAAAABQAAAAExAQAAAAstMTk5MjQwMjA1OQMAAAADMTYwAgAAAAQ0MTg1BAAAAAEwBwAAAAk2LzE0LzIwMjYIAAAACTMvMzEvMjAyMgkAAAABMIYrFNn+yd4Ie4Aj3P7J3ggxQ0lRLk5ZU0U6QkFILklRX0RBWVNfSU5WRU5UT1JZX09VVC45OTAuMTQvMDYv</t>
  </si>
  <si>
    <t>MjAyNgEAAADpcQIAAwAAAAAAkqgV2f7J3gg45SXc/sneCC5DSVEuTllTRTpCQUguSVFfQ0FTSF9DT05WRVJTSU9OLjk5NC4xNC8wNi8yMDI2AQAAAOlxAgADAAAAAACSqBXZ/sneCDjlJdz+yd4IMUNJUS5OWVNFOkJBSC5JUV9UT1RBTF9ERUJUX0VRVUlUWS4xMDAwLjE0LzA2LzIwMjYBAAAA6XECAAIAAAAIMzczLjAzMTYBCAAAAAUAAAABMQEAAAALLTE4ODc3MDQ5NzcDAAAAAzE2MAIAAAAENDAzNAQAAAABMAcAAAAJNi8xNC8yMDI2CAAAAAkzLzMxLzIwMjYJAAAAATCSqBXZ/sneCNcPQN3+yd4ILUNJUS5OWVNFOkJBSC5JUV9MVF9ERUJUX0VRVUlUWS45OTQuMTQvMDYvMjAyNgEAAADpcQIAAgAAAAgyNzAuNDU1NwEIAAAABQAAAAExAQAAAAstMjA5NTEyNjA5MAMAAAADMTYwAgAAAAQ0MDg1BAAAAAEwBwAAAAk2LzE0LzIwMjYIAAAACTMvMzEvMjAyMAkAAAABMJKoFdn+yd4IOOUl3P7J3ggqQ0lRLk5ZU0U6QkFILklRX0VCSVRfTUFSR0lOLjk5NC4xNC8wNi8yMDI2AQAAAOlxAgACAAAABjguOTAwOAEIAAAABQAAAAExAQAAAAstMjA5NTEyNjA5MAMAAAADMTYwAgAAAAQ0MDUzBAAAAAEwBwAAAAk2LzE0LzIwMjYIAAAACTMvMzEvMjAyMAkAAAABMIYrFNn+yd4Ie4Aj3P7J3ggpQ0lRLk5ZU0U6QkFILklRX05JX01BUkdJTi4xMDAwLjE0LzA2LzIwMjYBAAAA6XECAAIAAAAGNy41ODY2AQgAAAAFAAAA</t>
  </si>
  <si>
    <t>ATEBAAAACy0xODg3NzA0OTc3AwAAAAMxNjACAAAABDQwOTQEAAAAATAHAAAACTYvMTQvMjAyNggAAAAJMy8zMS8yMDI2CQAAAAEwhisU2f7J3gjXD0Dd/sneCDBDSVEuTllTRTpCQUguSVFfRklYRURfQVNTRVRfVFVSTlMuOTkyLjE0LzA2LzIwMjYBAAAA6XECAAIAAAAJNDMuNTIwOTk4AQgAAAAFAAAAATEBAAAACjIwMzgwOTEwNzcDAAAAAzE2MAIAAAAENDA2NgQAAAABMAcAAAAJNi8xNC8yMDI2CAAAAAkzLzMxLzIwMTgJAAAAATCGKxTZ/sneCHuAI9z+yd4IJ0NJUS5OWVNFOkJBSC5JUV9BUl9UVVJOUy45OTguMTQvMDYvMjAyNgEAAADpcQIAAgAAAAg1LjU3OTUyNgEIAAAABQAAAAExAQAAAAstMTg4NzcwNDk5MwMAAAADMTYwAgAAAAQ0MDAxBAAAAAEwBwAAAAk2LzE0LzIwMjYIAAAACTMvMzEvMjAyNAkAAAABMIYrFNn+yd4Ie4Aj3P7J3ggsQ0lRLk5ZU0U6QkFILklRX0NVUlJFTlRfUkFUSU8uOTkyLjE0LzA2LzIwMjYBAAAA6XECAAIAAAAIMS40NTAyNTIBCAAAAAUAAAABMQEAAAAKMjAzODA5MTA3NwMAAAADMTYwAgAAAAQ0MDMwBAAAAAEwBwAAAAk2LzE0LzIwMjYIAAAACTMvMzEvMjAxOAkAAAABMIYrFNn+yd4Ie4Aj3P7J3ggrQ0lRLk5ZU0U6QkFILklRX0NBTENfVFlQRV9CUy45OTIuMTQvMDYvMjAyNgEAAADpcQIAAwAAAANSVVAAhisU2f7J3gj2DiHc/sneCCZDSVEuTllTRTpCQUguSVFf</t>
  </si>
  <si>
    <t>R0FBUF9CUy45OTguMTQvMDYvMjAyNgEAAADpcQIAAwAAAAdVUyBHQUFQAIYrFNn+yd4I9g4h3P7J3ggtQ0lRLk5ZU0U6QkFILklRX1JFVFVSTl9DQVBJVEFMLjk5MC4xNC8wNi8yMDI2AQAAAOlxAgACAAAABzE0LjA4ODcBCAAAAAUAAAABMQEAAAAKMTg5MTM0Nzg2OQMAAAADMTYwAgAAAAQ0MzYzBAAAAAEwBwAAAAk2LzE0LzIwMjYIAAAACTMvMzEvMjAxNgkAAAABMIYrFNn+yd4I9g4h3P7J3ggsQ0lRLk5ZU0U6QkFILklRX1JFVFVSTl9FUVVJVFkuOTk2LjE0LzA2LzIwMjYBAAAA6XECAAIAAAAHNDQuMDYwNAEIAAAABQAAAAExAQAAAAstMTk5MjQwMjA1OQMAAAADMTYwAgAAAAQ0MTI4BAAAAAEwBwAAAAk2LzE0LzIwMjYIAAAACTMvMzEvMjAyMgkAAAABMIYrFNn+yd4Ie4Aj3P7J3ggrQ0lRLk5ZU0U6QkFILklRX0dST1NTX01BUkdJTi45OTAuMTQvMDYvMjAyNgEAAADpcQIAAgAAAAcyNC4yODIxAQgAAAAFAAAAATEBAAAACjE4OTEzNDc4NjkDAAAAAzE2MAIAAAAENDA3NAQAAAABMAcAAAAJNi8xNC8yMDI2CAAAAAkzLzMxLzIwMTYJAAAAATCGKxTZ/sneCHuAI9z+yd4ILUNJUS5OWVNFOkJBSC5JUV9DT1NUX0JPUlJPV0lORy45OTQuMTQvMDYvMjAyNgEAAADpcQIAAgAAAAY0LjQwMDQBCAAAAAUAAAABMQEAAAALLTIwOTUxMjYwOTADAAAAAzE2MAIAAAAFMjE2ODEEAAAAATAHAAAACTYvMTQvMjAy</t>
  </si>
  <si>
    <t>NggAAAAJMy8zMS8yMDIwCQAAAAEwhisU2f7J3gj2DiHc/sneCC5DSVEuTllTRTpCQUguSVFfVE9UQUxfRU1QTE9ZRUVTLjk5Mi4xNC8wNi8yMDI2AQAAAOlxAgACAAAABTI0NjAwAIYrFNn+yd4I9g4h3P7J3gg+Q0lRLk5ZU0U6QkFILklRX0VNUExPWUVFU19VTkRFUl9VTklPTl9DT05UUkFDVFMuOTk4LjE0LzA2LzIwMjYBAAAA6XECAAMAAAAAAIYrFNn+yd4I9g4h3P7J3ggxQ0lRLk5ZU0U6QkFILklRX0FWR19URU1QX0VNUExPWUVFUy45OTIuMTQvMDYvMjAyNgEAAADpcQIAAwAAAAAAhisU2f7J3gj2DiHc/sneCDFDSVEuTllTRTpCQUguSVFfRUJJVF8zWVJfQU5OX0NBR1IuMjAwMC4xNC8wNi8yMDI2AQAAAOlxAgACAAAABjEwLjUyNgEIAAAABQAAAAExAQAAAAstMTg4NzcwNDM0MQMAAAADMTYwAgAAAAQ0MjIzBAAAAAEwBwAAAAk2LzE0LzIwMjYIAAAACTMvMzEvMjAyNgkAAAABMB2mDNn+yd4IDMEq3P7J3gg1Q0lRLk5ZU0U6QkFILklRX1RPVEFMX1JFVl81WVJfQU5OX0NBR1IuOTkzLjE0LzA2LzIwMjYBAAAA6XECAAIAAAAGNC4xMTk1AQgAAAAFAAAAATEBAAAACjIwOTkwODcxMzMDAAAAAzE2MAIAAAAENDIzMwQAAAABMAcAAAAJNi8xNC8yMDI2CAAAAAkzLzMxLzIwMTkJAAAAATAdpgzZ/sneCAzBKtz+yd4ILkNJUS5OWVNFOkJBSC5JUV9HUF81WVJfQU5OX0NBR1IuOTk5LjE0LzA2LzIwMjYB</t>
  </si>
  <si>
    <t>AAAA6XECAAIAAAAGOS4yNTc2AQgAAAAFAAAAATEBAAAACy0xODg3NzA1MDAxAwAAAAMxNjACAAAABDQyMzQEAAAAATAHAAAACTYvMTQvMjAyNggAAAAJMy8zMS8yMDI1CQAAAAEwHaYM2f7J3ggt0z7d/sneCDBDSVEuTllTRTpCQUguSVFfRUJJVF81WVJfQU5OX0NBR1IuOTkzLjE0LzA2LzIwMjYBAAAA6XECAAIAAAAFNS4yNTkBCAAAAAUAAAABMQEAAAAKMjA5OTA4NzEzMwMAAAADMTYwAgAAAAQ0MjM2BAAAAAEwBwAAAAk2LzE0LzIwMjYIAAAACTMvMzEvMjAxOQkAAAABMB2mDNn+yd4IDMEq3P7J3ggvQ0lRLk5ZU0U6QkFILklRX0VQU181WVJfQU5OX0NBR1IuOTk3LjE0LzA2LzIwMjYBAAAA6XECAAIAAAAGMC4wMDY0AQgAAAAFAAAAATEBAAAACy0xOTQxNTQ2ODcxAwAAAAMxNjACAAAABDQyMzkEAAAAATAHAAAACTYvMTQvMjAyNggAAAAJMy8zMS8yMDIzCQAAAAEwHaYM2f7J3gjDNC3c/sneCDdDSVEuTllTRTpCQUguSVFfVE9UQUxfUkVWXzFZUl9BTk5fR1JPV1RILjk5OS4xNC8wNi8yMDI2AQAAAOlxAgACAAAABzEyLjM2MTYBCAAAAAUAAAABMQEAAAALLTE4ODc3MDUwMDEDAAAAAzE2MAIAAAAENDE5NAQAAAABMAcAAAAJNi8xNC8yMDI2CAAAAAkzLzMxLzIwMjUJAAAAATAdpgzZ/sneCC3TPt3+yd4IMkNJUS5OWVNFOkJBSC5JUV9FQklUXzFZUl9BTk5fR1JPV1RILjk5MS4xNC8wNi8yMDI2AQAA</t>
  </si>
  <si>
    <t>AOlxAgACAAAABTEyLjkxAQgAAAAFAAAAATEBAAAACjE5NjU3NzI0MjIDAAAAAzE2MAIAAAAENDE5NwQAAAABMAcAAAAJNi8xNC8yMDI2CAAAAAkzLzMxLzIwMTcJAAAAATAdpgzZ/sneCAzBKtz+yd4IMENJUS5OWVNFOkJBSC5JUV9OSV8xWVJfQU5OX0dST1dUSC45OTcuMTQvMDYvMjAyNgEAAADpcQIAAgAAAAgtNDEuNzIzNQEIAAAABQAAAAExAQAAAAstMTk0MTU0Njg3MQMAAAADMTYwAgAAAAQ0MTk5BAAAAAEwBwAAAAk2LzE0LzIwMjYIAAAACTMvMzEvMjAyMwkAAAABMB2mDNn+yd4IDMEq3P7J3gg1Q0lRLk5ZU0U6QkFILklRX1RPVEFMX1JFVl8zWVJfQU5OX0NBR1IuOTkxLjE0LzA2LzIwMjYBAAAA6XECAAIAAAAGMS45NzM0AQgAAAAFAAAAATEBAAAACjE5NjU3NzI0MjIDAAAAAzE2MAIAAAAENDIyMAQAAAABMAcAAAAJNi8xNC8yMDI2CAAAAAkzLzMxLzIwMTcJAAAAATAdpgzZ/sneCAzBKtz+yd4IMkNJUS5OWVNFOkJBSC5JUV9FQklUREFfM1lSX0FOTl9DQUdSLjk5NS4xNC8wNi8yMDI2AQAAAOlxAgACAAAABzEzLjA3MjcBCAAAAAUAAAABMQEAAAALLTIwNDMyMTUzOTIDAAAAAzE2MAIAAAAENDIyMgQAAAABMAcAAAAJNi8xNC8yMDI2CAAAAAkzLzMxLzIwMjEJAAAAATAdpgzZ/sneCAzBKtz+yd4IQUNJUS5OWVNFOkJBSC5JUV9UT1RBTF9ERUJUX0VCSVREQV9FWENMX09QRVJfTEVBU0VTLjk5</t>
  </si>
  <si>
    <t>Ny4xNC8wNi8yMDI2AQAAAOlxAgACAAAACDMuMTM4MjEzAQgAAAAFAAAAATEBAAAACy0xOTQxNTQ2ODcxAwAAAAMxNjACAAAABTQ4OTk0BAAAAAEwBwAAAAk2LzE0LzIwMjYIAAAACTMvMzEvMjAyMwkAAAABMB2mDNn+yd4IpFgo3P7J3ghAQ0lRLk5ZU0U6QkFILklRX05FVF9ERUJUX0VCSVREQV9FWENMX09QRVJfTEVBU0VTLjIwMDAuMTQvMDYvMjAyNgEAAADpcQIAAgAAAAgyLjY5NzkzMwEIAAAABQAAAAExAQAAAAstMTg4NzcwNDM0MQMAAAADMTYwAgAAAAU0OTE3NQQAAAABMAcAAAAJNi8xNC8yMDI2CAAAAAkzLzMxLzIwMjYJAAAAATAdpgzZ/sneCJXXKNz+yd4IR0NJUS5OWVNFOkJBSC5JUV9UT1RBTF9ERUJUX0VCSVREQV9FWENMX09QRVJfTEVBU0VTX0NBUEVYLjk5NS4xNC8wNi8yMDI2AQAAAOlxAgACAAAACDMuNjMwNTA5AQgAAAAFAAAAATEBAAAACy0yMDQzMjE1MzkyAwAAAAMxNjACAAAABTQ5MTgzBAAAAAEwBwAAAAk2LzE0LzIwMjYIAAAACTMvMzEvMjAyMQkAAAABMB2mDNn+yd4Ildco3P7J3gg1Q0lRLk5ZU0U6QkFILklRX05FVF9ERUJUX0VCSVREQV9DQVBFWC4yMDAwLjE0LzA2LzIwMjYBAAAA6XECAAIAAAAHMi43MzA0OQEIAAAABQAAAAExAQAAAAstMTg4NzcwNDM0MQMAAAADMTYwAgAAAAUyMzMxNAQAAAABMAcAAAAJNi8xNC8yMDI2CAAAAAkzLzMxLzIwMjYJAAAAATAdpgzZ/sne</t>
  </si>
  <si>
    <t>CJXXKNz+yd4IJkNJUS5OWVNFOkJBSC5JUV9aX1NDT1JFLjk5My4xNC8wNi8yMDI2AQAAAOlxAgACAAAACDQuMDg1NDY0AQgAAAAFAAAAATEBAAAACjIwOTkwODcxMzMDAAAAAzE2MAIAAAAGMTAwMTIzBAAAAAEwBwAAAAk2LzE0LzIwMjYIAAAACTMvMzEvMjAxOQkAAAABMB2mDNn+yd4Ildco3P7J3ggtQ0lRLk5ZU0U6QkFILklRX0xUX0RFQlRfRVFVSVRZLjk5NS4xNC8wNi8yMDI2AQAAAOlxAgACAAAACDIzOS4yNTc5AQgAAAAFAAAAATEBAAAACy0yMDQzMjE1MzkyAwAAAAMxNjACAAAABDQwODUEAAAAATAHAAAACTYvMTQvMjAyNggAAAAJMy8zMS8yMDIxCQAAAAEwkqgV2f7J3gg45SXc/sneCDZDSVEuTllTRTpCQUguSVFfVE9UQUxfTElBQl9UT1RBTF9BU1NFVFMuOTk5LjE0LzA2LzIwMjYBAAAA6XECAAIAAAAHODYuMjgyOAEIAAAABQAAAAExAQAAAAstMTg4NzcwNTAwMQMAAAADMTYwAgAAAAQ0MTg4BAAAAAEwBwAAAAk2LzE0LzIwMjYIAAAACTMvMzEvMjAyNQkAAAABMJKoFdn+yd4I1w9A3f7J3ggpQ0lRLk5ZU0U6QkFILklRX0VCSVREQV9JTlQuOTkzLjE0LzA2LzIwMjYBAAAA6XECAAIAAAAHNy40MTQ1OAEIAAAABQAAAAExAQAAAAoyMDk5MDg3MTMzAwAAAAMxNjACAAAABDQxOTAEAAAAATAHAAAACTYvMTQvMjAyNggAAAAJMy8zMS8yMDE5CQAAAAEwkqgV2f7J3gg45SXc/sneCDpDSVEuTllT</t>
  </si>
  <si>
    <t>RTpCQUguSVFfRUJJVERBX0VYQ0xfT1BFUl9MRUFTRVNfSU5ULjk5OS4xNC8wNi8yMDI2AQAAAOlxAgACAAAACDguMjA4MzMzAQgAAAAFAAAAATEBAAAACy0xODg3NzA1MDAxAwAAAAMxNjACAAAABTQ5MTczBAAAAAEwBwAAAAk2LzE0LzIwMjYIAAAACTMvMzEvMjAyNQkAAAABMJKoFdn+yd4I1w9A3f7J3ggwQ0lRLk5ZU0U6QkFILklRX1RPVEFMX0RFQlRfRUJJVERBLjk5MS4xNC8wNi8yMDI2AQAAAOlxAgACAAAACDMuMTA0NjI5AQgAAAAFAAAAATEBAAAACjE5NjU3NzI0MjIDAAAAAzE2MAIAAAAENDE5MgQAAAABMAcAAAAJNi8xNC8yMDI2CAAAAAkzLzMxLzIwMTcJAAAAATAdpgzZ/sneCDjlJdz+yd4ILENJUS5OWVNFOkJBSC5JUV9DVVJSRU5UX1JBVElPLjk5My4xNC8wNi8yMDI2AQAAAOlxAgACAAAACDEuNDQxMDQ3AQgAAAAFAAAAATEBAAAACjIwOTkwODcxMzMDAAAAAzE2MAIAAAAENDAzMAQAAAABMAcAAAAJNi8xNC8yMDI2CAAAAAkzLzMxLzIwMTkJAAAAATCGKxTZ/sneCHuAI9z+yd4IL0NJUS5OWVNFOkJBSC5JUV9DRk9fQ1VSUkVOVF9MSUFCLjk5Ny4xNC8wNi8yMDI2AQAAAOlxAgACAAAACDAuMzE3ODYxAQgAAAAFAAAAATEBAAAACy0xOTQxNTQ2ODcxAwAAAAMxNjACAAAABDQxODUEAAAAATAHAAAACTYvMTQvMjAyNggAAAAJMy8zMS8yMDIzCQAAAAEwhisU2f7J3gh7gCPc/sneCDFDSVEu</t>
  </si>
  <si>
    <t>TllTRTpCQUguSVFfREFZU19JTlZFTlRPUllfT1VULjk5MS4xNC8wNi8yMDI2AQAAAOlxAgADAAAAAACSqBXZ/sneCDjlJdz+yd4IL0NJUS5OWVNFOkJBSC5JUV9EQVlTX1BBWUFCTEVfT1VULjk5Ny4xNC8wNi8yMDI2AQAAAOlxAgACAAAACDI5LjE3NjY0AQgAAAAFAAAAATEBAAAACy0xOTQxNTQ2ODcxAwAAAAMxNjACAAAABDQxODMEAAAAATAHAAAACTYvMTQvMjAyNggAAAAJMy8zMS8yMDIzCQAAAAEwkqgV2f7J3gg45SXc/sneCDFDSVEuTllTRTpCQUguSVFfVE9UQUxfREVCVF9FUVVJVFkuMjAwMC4xNC8wNi8yMDI2AQAAAOlxAgACAAAACDM3My4wMzE2AQgAAAAFAAAAATEBAAAACy0xODg3NzA0MzQxAwAAAAMxNjACAAAABDQwMzQEAAAAATAHAAAACTYvMTQvMjAyNggAAAAJMy8zMS8yMDI2CQAAAAEwkqgV2f7J3gg45SXc/sneCCxDSVEuTllTRTpCQUguSVFfUkVUVVJOX0VRVUlUWS45OTcuMTQvMDYvMjAyNgEAAADpcQIAAgAAAAcyNi41ODUyAQgAAAAFAAAAATEBAAAACy0xOTQxNTQ2ODcxAwAAAAMxNjACAAAABDQxMjgEAAAAATAHAAAACTYvMTQvMjAyNggAAAAJMy8zMS8yMDIzCQAAAAEwhisU2f7J3gh7gCPc/sneCCtDSVEuTllTRTpCQUguSVFfR1JPU1NfTUFSR0lOLjk5MS4xNC8wNi8yMDI2AQAAAOlxAgACAAAABjIzLjc0OQEIAAAABQAAAAExAQAAAAoxOTY1NzcyNDIyAwAAAAMxNjACAAAA</t>
  </si>
  <si>
    <t>BDQwNzQEAAAAATAHAAAACTYvMTQvMjAyNggAAAAJMy8zMS8yMDE3CQAAAAEwhisU2f7J3gh7gCPc/sneCCpDSVEuTllTRTpCQUguSVFfRUJJVF9NQVJHSU4uOTk1LjE0LzA2LzIwMjYBAAAA6XECAAIAAAAGOS41NDQ5AQgAAAAFAAAAATEBAAAACy0yMDQzMjE1MzkyAwAAAAMxNjACAAAABDQwNTMEAAAAATAHAAAACTYvMTQvMjAyNggAAAAJMy8zMS8yMDIxCQAAAAEwhisU2f7J3gh7gCPc/sneCCpDSVEuTllTRTpCQUguSVFfQVNTRVRfVFVSTlMuOTk1LjE0LzA2LzIwMjYBAAAA6XECAAIAAAAIMS41MjY5NjEBCAAAAAUAAAABMQEAAAALLTIwNDMyMTUzOTIDAAAAAzE2MAIAAAAENDE3NwQAAAABMAcAAAAJNi8xNC8yMDI2CAAAAAkzLzMxLzIwMjEJAAAAATCGKxTZ/sneCHuAI9z+yd4IJ0NJUS5OWVNFOkJBSC5JUV9BUl9UVVJOUy45OTkuMTQvMDYvMjAyNgEAAADpcQIAAgAAAAg1LjU0ODg2NQEIAAAABQAAAAExAQAAAAstMTg4NzcwNTAwMQMAAAADMTYwAgAAAAQ0MDAxBAAAAAEwBwAAAAk2LzE0LzIwMjYIAAAACTMvMzEvMjAyNQkAAAABMIYrFNn+yd4I1w9A3f7J3ggrQ0lRLk5ZU0U6QkFILklRX0NBTENfVFlQRV9CUy45OTMuMTQvMDYvMjAyNgEAAADpcQIAAwAAAANSVVAAhisU2f7J3gj2DiHc/sneCCZDSVEuTllTRTpCQUguSVFfR0FBUF9CUy45OTkuMTQvMDYvMjAyNgEAAADpcQIAAwAAAAdVUyBH</t>
  </si>
  <si>
    <t>QUFQAIYrFNn+yd4I1w9A3f7J3ggsQ0lRLk5ZU0U6QkFILklRX1JFVFVSTl9BU1NFVFMuOTkzLjE0LzA2LzIwMjYBAAAA6XECAAIAAAAHMTAuMDAxMwEIAAAABQAAAAExAQAAAAoyMDk5MDg3MTMzAwAAAAMxNjACAAAABDQxNzgEAAAAATAHAAAACTYvMTQvMjAyNggAAAAJMy8zMS8yMDE5CQAAAAEwhisU2f7J3gj2DiHc/sneCC1DSVEuTllTRTpCQUguSVFfQ09TVF9CT1JST1dJTkcuOTk1LjE0LzA2LzIwMjYBAAAA6XECAAIAAAAGMy4wODE1AQgAAAAFAAAAATEBAAAACy0yMDQzMjE1MzkyAwAAAAMxNjACAAAABTIxNjgxBAAAAAEwBwAAAAk2LzE0LzIwMjYIAAAACTMvMzEvMjAyMQkAAAABMIYrFNn+yd4I9g4h3P7J3gg+Q0lRLk5ZU0U6QkFILklRX0VNUExPWUVFU19VTkRFUl9VTklPTl9DT05UUkFDVFMuOTk5LjE0LzA2LzIwMjYBAAAA6XECAAMAAAAAAIYrFNn+yd4IKvhA3f7J3ggxQ0lRLk5ZU0U6QkFILklRX0FWR19URU1QX0VNUExPWUVFUy45OTMuMTQvMDYvMjAyNgEAAADpcQIAAwAAAAAAhisU2f7J3gj2DiHc/sneCChDSVEuTllTRTpCQUguSVFfUEFSVF9USU1FLjk5NS4xNC8wNi8yMDI2AQAAAOlxAgADAAAAAACGKxTZ/sneCPYOIdz+yd4IKUNJUS5OWVNFOkJBSC5JUV9JTlZfTUVUSE9ELjk5OS4xNC8wNi8yMDI2AQAAAOlxAgADAAAAAk5BAEpHR9n+yd4IKvhA3f7J3gg9Q0lRLk5ZU0U6QkFI</t>
  </si>
  <si>
    <t>LklRX1RPVEFMX09VVFNUQU5ESU5HX0ZJTElOR19EQVRFLjIwMDAuMTQvMDYvMjAyNgEAAADpcQIAAgAAAAkxMTkuNzQ2MTMBBAAAAAUAAAABNQEAAAALLTE4ODc3MDQzNDECAAAABTI0MTUzBgAAAAEwSkdH2f7J3ggppx7c/sneCC9DSVEuTllTRTpCQUguSVFfRVBTXzNZUl9BTk5fQ0FHUi45OTYuMTQvMDYvMjAyNgEAAADpcQIAAgAAAAY1LjcwODkBCAAAAAUAAAABMQEAAAALLTE5OTI0MDIwNTkDAAAAAzE2MAIAAAAENDIyNgQAAAABMAcAAAAJNi8xNC8yMDI2CAAAAAkzLzMxLzIwMjIJAAAAATAdpgzZ/sneCAzBKtz+yd4IL0NJUS5OWVNFOkJBSC5JUV9HUF81WVJfQU5OX0NBR1IuMTAwMC4xNC8wNi8yMDI2AQAAAOlxAgACAAAABjUuOTg0MgEIAAAABQAAAAExAQAAAAstMTg4NzcwNDk3NwMAAAADMTYwAgAAAAQ0MjM0BAAAAAEwBwAAAAk2LzE0LzIwMjYIAAAACTMvMzEvMjAyNgkAAAABMB2mDNn+yd4ILdM+3f7J3ggwQ0lRLk5ZU0U6QkFILklRX0VCSVRfNVlSX0FOTl9DQUdSLjk5NC4xNC8wNi8yMDI2AQAAAOlxAgACAAAABjcuNjgzNgEIAAAABQAAAAExAQAAAAstMjA5NTEyNjA5MAMAAAADMTYwAgAAAAQ0MjM2BAAAAAEwBwAAAAk2LzE0LzIwMjYIAAAACTMvMzEvMjAyMAkAAAABMB2mDNn+yd4IDMEq3P7J3ggvQ0lRLk5ZU0U6QkFILklRX0VQU181WVJfQU5OX0NBR1IuOTk4LjE0LzA2LzIwMjYB</t>
  </si>
  <si>
    <t>AAAA6XECAAIAAAAGOS41MzgxAQgAAAAFAAAAATEBAAAACy0xODg3NzA0OTkzAwAAAAMxNjACAAAABDQyMzkEAAAAATAHAAAACTYvMTQvMjAyNggAAAAJMy8zMS8yMDI0CQAAAAEwHaYM2f7J3gjDNC3c/sneCDRDSVEuTllTRTpCQUguSVFfRUJJVERBXzFZUl9BTk5fR1JPV1RILjk5NC4xNC8wNi8yMDI2AQAAAOlxAgACAAAABzEyLjMwODEBCAAAAAUAAAABMQEAAAALLTIwOTUxMjYwOTADAAAAAzE2MAIAAAAENDE5NgQAAAABMAcAAAAJNi8xNC8yMDI2CAAAAAkzLzMxLzIwMjAJAAAAATAdpgzZ/sneCAzBKtz+yd4IMENJUS5OWVNFOkJBSC5JUV9OSV8xWVJfQU5OX0dST1dUSC45OTguMTQvMDYvMjAyNgEAAADpcQIAAgAAAAgxMjIuNzk0MQEIAAAABQAAAAExAQAAAAstMTg4NzcwNDk5MwMAAAADMTYwAgAAAAQ0MTk5BAAAAAEwBwAAAAk2LzE0LzIwMjYIAAAACTMvMzEvMjAyNAkAAAABMB2mDNn+yd4IDMEq3P7J3gg1Q0lRLk5ZU0U6QkFILklRX1RPVEFMX1JFVl8zWVJfQU5OX0NBR1IuOTkyLjE0LzA2LzIwMjYBAAAA6XECAAIAAAAGNS4zNTA3AQgAAAAFAAAAATEBAAAACjIwMzgwOTEwNzcDAAAAAzE2MAIAAAAENDIyMAQAAAABMAcAAAAJNi8xNC8yMDI2CAAAAAkzLzMxLzIwMTgJAAAAATAdpgzZ/sneCAzBKtz+yd4IMkNJUS5OWVNFOkJBSC5JUV9FQklUREFfM1lSX0FOTl9DQUdSLjk5Ni4xNC8wNi8y</t>
  </si>
  <si>
    <t>MDI2AQAAAOlxAgACAAAABjcuNjAwNQEIAAAABQAAAAExAQAAAAstMTk5MjQwMjA1OQMAAAADMTYwAgAAAAQ0MjIyBAAAAAEwBwAAAAk2LzE0LzIwMjYIAAAACTMvMzEvMjAyMgkAAAABMB2mDNn+yd4IDMEq3P7J3gguQ0lRLk5ZU0U6QkFILklRX05JXzNZUl9BTk5fQ0FHUi45OTAuMTQvMDYvMjAyNgEAAADpcQIAAgAAAAYxMC4zMTcBCAAAAAUAAAABMQEAAAAKMTg5MTM0Nzg2OQMAAAADMTYwAgAAAAQ0MjI1BAAAAAEwBwAAAAk2LzE0LzIwMjYIAAAACTMvMzEvMjAxNgkAAAABMB2mDNn+yd4IDMEq3P7J3gg/Q0lRLk5ZU0U6QkFILklRX05FVF9ERUJUX0VCSVREQV9FWENMX09QRVJfTEVBU0VTLjk5Mi4xNC8wNi8yMDI2AQAAAOlxAgACAAAACDIuNzkwOTIzAQgAAAAFAAAAATEBAAAACjIwMzgwOTEwNzcDAAAAAzE2MAIAAAAFNDkxNzUEAAAAATAHAAAACTYvMTQvMjAyNggAAAAJMy8zMS8yMDE4CQAAAAEwHaYM2f7J3giV1yjc/sneCEdDSVEuTllTRTpCQUguSVFfVE9UQUxfREVCVF9FQklUREFfRVhDTF9PUEVSX0xFQVNFU19DQVBFWC45OTYuMTQvMDYvMjAyNgEAAADpcQIAAgAAAAg0LjE1NTYyMwEIAAAABQAAAAExAQAAAAstMTk5MjQwMjA1OQMAAAADMTYwAgAAAAU0OTE4MwQAAAABMAcAAAAJNi8xNC8yMDI2CAAAAAkzLzMxLzIwMjIJAAAAATAdpgzZ/sneCJXXKNz+yd4IRUNJUS5OWVNFOkJBSC5J</t>
  </si>
  <si>
    <t>UV9ORVRfREVCVF9FQklUREFfRVhDTF9PUEVSX0xFQVNFU19DQVBFWC45OTAuMTQvMDYvMjAyNgEAAADpcQIAAgAAAAgzLjM4OTcyMgEIAAAABQAAAAExAQAAAAoxODkxMzQ3ODY5AwAAAAMxNjACAAAABTQ5MTgyBAAAAAEwBwAAAAk2LzE0LzIwMjYIAAAACTMvMzEvMjAxNgkAAAABMB2mDNn+yd4Ildco3P7J3ggmQ0lRLk5ZU0U6QkFILklRX1pfU0NPUkUuOTk0LjE0LzA2LzIwMjYBAAAA6XECAAIAAAAINC4xMzM3NjEBCAAAAAUAAAABMQEAAAALLTIwOTUxMjYwOTADAAAAAzE2MAIAAAAGMTAwMTIzBAAAAAEwBwAAAAk2LzE0LzIwMjYIAAAACTMvMzEvMjAyMAkAAAABMB2mDNn+yd4Ildco3P7J3gg4Q0lRLk5ZU0U6QkFILklRX1RPVEFMX1JFVl8xWVJfQU5OX0dST1dUSC4xMDAwLjE0LzA2LzIwMjYBAAAA6XECAAIAAAAGLTYuMzY5AQgAAAAFAAAAATEBAAAACy0xODg3NzA0OTc3AwAAAAMxNjACAAAABDQxOTQEAAAAATAHAAAACTYvMTQvMjAyNggAAAAJMy8zMS8yMDI2CQAAAAEwHaYM2f7J3ggt0z7d/sneCDZDSVEuTllTRTpCQUguSVFfVE9UQUxfTElBQl9UT1RBTF9BU1NFVFMuOTkwLjE0LzA2LzIwMjYBAAAA6XECAAIAAAAHODYuNDI5NwEIAAAABQAAAAExAQAAAAoxODkxMzQ3ODY5AwAAAAMxNjACAAAABDQxODgEAAAAATAHAAAACTYvMTQvMjAyNggAAAAJMy8zMS8yMDE2CQAAAAEwkqgV2f7J3gg4</t>
  </si>
  <si>
    <t>5SXc/sneCClDSVEuTllTRTpCQUguSVFfRUJJVERBX0lOVC45OTQuMTQvMDYvMjAyNgEAAADpcQIAAgAAAAg4LjY0MDcyOAEIAAAABQAAAAExAQAAAAstMjA5NTEyNjA5MAMAAAADMTYwAgAAAAQ0MTkwBAAAAAEwBwAAAAk2LzE0LzIwMjYIAAAACTMvMzEvMjAyMAkAAAABMJKoFdn+yd4IOOUl3P7J3gg7Q0lRLk5ZU0U6QkFILklRX0VCSVREQV9FWENMX09QRVJfTEVBU0VTX0lOVC4xMDAwLjE0LzA2LzIwMjYBAAAA6XECAAIAAAAINi44MzY5NTYBCAAAAAUAAAABMQEAAAALLTE4ODc3MDQ5NzcDAAAAAzE2MAIAAAAFNDkxNzMEAAAAATAHAAAACTYvMTQvMjAyNggAAAAJMy8zMS8yMDI2CQAAAAEwkqgV2f7J3gjXD0Dd/sneCDBDSVEuTllTRTpCQUguSVFfVE9UQUxfREVCVF9FQklUREEuOTkyLjE0LzA2LzIwMjYBAAAA6XECAAIAAAAIMy4yODkyOTEBCAAAAAUAAAABMQEAAAAKMjAzODA5MTA3NwMAAAADMTYwAgAAAAQ0MTkyBAAAAAEwBwAAAAk2LzE0LzIwMjYIAAAACTMvMzEvMjAxOAkAAAABMB2mDNn+yd4IOOUl3P7J3ghBQ0lRLk5ZU0U6QkFILklRX1RPVEFMX0RFQlRfRUJJVERBX0VYQ0xfT1BFUl9MRUFTRVMuOTk4LjE0LzA2LzIwMjYBAAAA6XECAAIAAAAIMy4wNTg4NzMBCAAAAAUAAAABMQEAAAALLTE4ODc3MDQ5OTMDAAAAAzE2MAIAAAAFNDg5OTQEAAAAATAHAAAACTYvMTQvMjAyNggAAAAJMy8z</t>
  </si>
  <si>
    <t>MS8yMDI0CQAAAAEwHaYM2f7J3gikWCjc/sneCCtDSVEuTllTRTpCQUguSVFfUVVJQ0tfUkFUSU8uMTAwMC4xNC8wNi8yMDI2AQAAAOlxAgACAAAACDEuNjc4MjkyAQgAAAAFAAAAATEBAAAACy0xODg3NzA0OTc3AwAAAAMxNjACAAAABDQxMjEEAAAAATAHAAAACTYvMTQvMjAyNggAAAAJMy8zMS8yMDI2CQAAAAEwhisU2f7J3gjXD0Dd/sneCDFDSVEuTllTRTpCQUguSVFfREFZU19JTlZFTlRPUllfT1VULjk5Mi4xNC8wNi8yMDI2AQAAAOlxAgADAAAAAACSqBXZ/sneCDjlJdz+yd4IL0NJUS5OWVNFOkJBSC5JUV9EQVlTX1BBWUFCTEVfT1VULjk5OC4xNC8wNi8yMDI2AQAAAOlxAgACAAAACDI3LjkwMzg0AQgAAAAFAAAAATEBAAAACy0xODg3NzA0OTkzAwAAAAMxNjACAAAABDQxODMEAAAAATAHAAAACTYvMTQvMjAyNggAAAAJMy8zMS8yMDI0CQAAAAEwkqgV2f7J3gg45SXc/sneCDFDSVEuTllTRTpCQUguSVFfVE9UQUxfREVCVF9DQVBJVEFMLjk5MC4xNC8wNi8yMDI2AQAAAOlxAgACAAAABzgwLjQxNTIBCAAAAAUAAAABMQEAAAAKMTg5MTM0Nzg2OQMAAAADMTYwAgAAAAQ0MTg2BAAAAAEwBwAAAAk2LzE0LzIwMjYIAAAACTMvMzEvMjAxNgkAAAABMJKoFdn+yd4IOOUl3P7J3ggtQ0lRLk5ZU0U6QkFILklRX0xUX0RFQlRfRVFVSVRZLjk5Ni4xNC8wNi8yMDI2AQAAAOlxAgACAAAACDI4NC41ODQxAQgA</t>
  </si>
  <si>
    <t>AAAFAAAAATEBAAAACy0xOTkyNDAyMDU5AwAAAAMxNjACAAAABDQwODUEAAAAATAHAAAACTYvMTQvMjAyNggAAAAJMy8zMS8yMDIyCQAAAAEwkqgV2f7J3gg45SXc/sneCCxDSVEuTllTRTpCQUguSVFfRUJJVERBX01BUkdJTi45OTguMTQvMDYvMjAyNgEAAADpcQIAAgAAAAcxMS4xNTE3AQgAAAAFAAAAATEBAAAACy0xODg3NzA0OTkzAwAAAAMxNjACAAAABDQwNDcEAAAAATAHAAAACTYvMTQvMjAyNggAAAAJMy8zMS8yMDI0CQAAAAEwhisU2f7J3gh7gCPc/sneCCxDSVEuTllTRTpCQUguSVFfQ0FQRVhfUENUX1JFVi45OTAuMTQvMDYvMjAyNgEAAADpcQIAAgAAAAYxLjIzMjYBCAAAAAUAAAABMQEAAAAKMTg5MTM0Nzg2OQMAAAADMTYwAgAAAAUzNTM4MAQAAAABMAcAAAAJNi8xNC8yMDI2CAAAAAkzLzMxLzIwMTYJAAAAATCGKxTZ/sneCHuAI9z+yd4IKkNJUS5OWVNFOkJBSC5JUV9BU1NFVF9UVVJOUy45OTYuMTQvMDYvMjAyNgEAAADpcQIAAgAAAAgxLjQ1MTM3OQEIAAAABQAAAAExAQAAAAstMTk5MjQwMjA1OQMAAAADMTYwAgAAAAQ0MTc3BAAAAAEwBwAAAAk2LzE0LzIwMjYIAAAACTMvMzEvMjAyMgkAAAABMIYrFNn+yd4Ie4Aj3P7J3ggoQ0lRLk5ZU0U6QkFILklRX0FSX1RVUk5TLjEwMDAuMTQvMDYvMjAyNgEAAADpcQIAAgAAAAc1LjE3NjI4AQgAAAAFAAAAATEBAAAACy0xODg3NzA0OTc3AwAA</t>
  </si>
  <si>
    <t>AAMxNjACAAAABDQwMDEEAAAAATAHAAAACTYvMTQvMjAyNggAAAAJMy8zMS8yMDI2CQAAAAEwhisU2f7J3gjXD0Dd/sneCCxDSVEuTllTRTpCQUguSVFfQ1VSUkVOVF9SQVRJTy45OTQuMTQvMDYvMjAyNgEAAADpcQIAAgAAAAgxLjc1MzU3OAEIAAAABQAAAAExAQAAAAstMjA5NTEyNjA5MAMAAAADMTYwAgAAAAQ0MDMwBAAAAAEwBwAAAAk2LzE0LzIwMjYIAAAACTMvMzEvMjAyMAkAAAABMIYrFNn+yd4Ie4Aj3P7J3ggtQ0lRLk5ZU0U6QkFILklRX1JFU1RBVEVNRU5UX0JTLjk5Ni4xNC8wNi8yMDI2AQAAAOlxAgADAAAAAk5DAIYrFNn+yd4I9g4h3P7J3ggnQ0lRLk5ZU0U6QkFILklRX0dBQVBfQlMuMTAwMC4xNC8wNi8yMDI2AQAAAOlxAgADAAAAB1VTIEdBQVAAhisU2f7J3gjXD0Dd/sneCCxDSVEuTllTRTpCQUguSVFfUkVUVVJOX0FTU0VUUy45OTQuMTQvMDYvMjAyNgEAAADpcQIAAgAAAAY5LjYyNzIBCAAAAAUAAAABMQEAAAALLTIwOTUxMjYwOTADAAAAAzE2MAIAAAAENDE3OAQAAAABMAcAAAAJNi8xNC8yMDI2CAAAAAkzLzMxLzIwMjAJAAAAATCGKxTZ/sneCPYOIdz+yd4ILENJUS5OWVNFOkJBSC5JUV9SRVRVUk5fRVFVSVRZLjk5OC4xNC8wNi8yMDI2AQAAAOlxAgACAAAABzU5LjQ0MDgBCAAAAAUAAAABMQEAAAALLTE4ODc3MDQ5OTMDAAAAAzE2MAIAAAAENDEyOAQAAAABMAcAAAAJNi8xNC8y</t>
  </si>
  <si>
    <t>MDI2CAAAAAkzLzMxLzIwMjQJAAAAATCGKxTZ/sneCHuAI9z+yd4IK0NJUS5OWVNFOkJBSC5JUV9HUk9TU19NQVJHSU4uOTkyLjE0LzA2LzIwMjYBAAAA6XECAAIAAAAHMjMuMzQ4MQEIAAAABQAAAAExAQAAAAoyMDM4MDkxMDc3AwAAAAMxNjACAAAABDQwNzQEAAAAATAHAAAACTYvMTQvMjAyNggAAAAJMy8zMS8yMDE4CQAAAAEwhisU2f7J3gh7gCPc/sneCC1DSVEuTllTRTpCQUguSVFfQ09TVF9CT1JST1dJTkcuOTk2LjE0LzA2LzIwMjYBAAAA6XECAAIAAAAGMy4xNzU0AQgAAAAFAAAAATEBAAAACy0xOTkyNDAyMDU5AwAAAAMxNjACAAAABTIxNjgxBAAAAAEwBwAAAAk2LzE0LzIwMjYIAAAACTMvMzEvMjAyMgkAAAABMIYrFNn+yd4I9g4h3P7J3ggxQ0lRLk5ZU0U6QkFILklRX0FWR19URU1QX0VNUExPWUVFUy45OTQuMTQvMDYvMjAyNgEAAADpcQIAAwAAAAAAhisU2f7J3gj2DiHc/sneCDFDSVEuTllTRTpCQUguSVFfTlVNQkVSX0FEUkhPTERFUlMuMTAwMC4xNC8wNi8yMDI2AQAAAOlxAgADAAAAAACGKxTZ/sneCCr4QN3+yd4IKENJUS5OWVNFOkJBSC5JUV9GVUxMX1RJTUUuOTkwLjE0LzA2LzIwMjYBAAAA6XECAAIAAAAFMjI2MDAAhisU2f7J3gj2DiHc/sneCChDSVEuTllTRTpCQUguSVFfUEFSVF9USU1FLjk5Ni4xNC8wNi8yMDI2AQAAAOlxAgADAAAAAACGKxTZ/sneCPYOIdz+yd4IP0NJUS5O</t>
  </si>
  <si>
    <t>WVNFOkJBSC5JUV9FTVBMT1lFRVNfVU5ERVJfVU5JT05fQ09OVFJBQ1RTLjEwMDAuMTQvMDYvMjAyNgEAAADpcQIAAwAAAAAAhisU2f7J3ggq+EDd/sneCCpDSVEuTllTRTpCQUguSVFfSU5WX01FVEhPRC4xMDAwLjE0LzA2LzIwMjYBAAAA6XECAAMAAAACTkEASkdH2f7J3ggq+EDd/sneCDhDSVEuTllTRTpCQUguSVFfVE9UQUxfT1VUU1RBTkRJTkdfQlNfREFURS45OTAuMTQvMDYvMjAyNgEAAADpcQIAAgAAAAoxNDcuOTkyNDYyAQQAAAAFAAAAATUBAAAACjE4OTEzNDc4NjkCAAAABTI0MTUyBgAAAAEwSkdH2f7J3ggppx7c/sneCC9DSVEuTllTRTpCQUguSVFfR1BfNVlSX0FOTl9DQUdSLjIwMDAuMTQvMDYvMjAyNgEAAADpcQIAAgAAAAY1Ljk4NDIBCAAAAAUAAAABMQEAAAALLTE4ODc3MDQzNDEDAAAAAzE2MAIAAAAENDIzNAQAAAABMAcAAAAJNi8xNC8yMDI2CAAAAAkzLzMxLzIwMjYJAAAAATAdpgzZ/sneCAzBKtz+yd4IMENJUS5OWVNFOkJBSC5JUV9FQklUXzVZUl9BTk5fQ0FHUi45OTUuMTQvMDYvMjAyNgEAAADpcQIAAgAAAAcxMS4wMjkxAQgAAAAFAAAAATEBAAAACy0yMDQzMjE1MzkyAwAAAAMxNjACAAAABDQyMzYEAAAAATAHAAAACTYvMTQvMjAyNggAAAAJMy8zMS8yMDIxCQAAAAEwHaYM2f7J3ggMwSrc/sneCC9DSVEuTllTRTpCQUguSVFfTklfNVlSX0FOTl9DQUdSLjIwMDAuMTQvMDYv</t>
  </si>
  <si>
    <t>MjAyNgEAAADpcQIAAgAAAAY2LjkyMjMBCAAAAAUAAAABMQEAAAALLTE4ODc3MDQzNDEDAAAAAzE2MAIAAAAENDIzOAQAAAABMAcAAAAJNi8xNC8yMDI2CAAAAAkzLzMxLzIwMjYJAAAAATAdpgzZ/sneCMM0Ldz+yd4IMENJUS5OWVNFOkJBSC5JUV9OSV8xWVJfQU5OX0dST1dUSC45OTkuMTQvMDYvMjAyNgEAAADpcQIAAgAAAAc1NC4yOTA0AQgAAAAFAAAAATEBAAAACy0xODg3NzA1MDAxAwAAAAMxNjACAAAABDQxOTkEAAAAATAHAAAACTYvMTQvMjAyNggAAAAJMy8zMS8yMDI1CQAAAAEwHaYM2f7J3ggt0z7d/sneCDVDSVEuTllTRTpCQUguSVFfVE9UQUxfUkVWXzNZUl9BTk5fQ0FHUi45OTMuMTQvMDYvMjAyNgEAAADpcQIAAgAAAAY3LjQzODYBCAAAAAUAAAABMQEAAAAKMjA5OTA4NzEzMwMAAAADMTYwAgAAAAQ0MjIwBAAAAAEwBwAAAAk2LzE0LzIwMjYIAAAACTMvMzEvMjAxOQkAAAABMB2mDNn+yd4IDMEq3P7J3gguQ0lRLk5ZU0U6QkFILklRX0dQXzNZUl9BTk5fQ0FHUi45OTkuMTQvMDYvMjAyNgEAAADpcQIAAgAAAAcxMS44MDM1AQgAAAAFAAAAATEBAAAACy0xODg3NzA1MDAxAwAAAAMxNjACAAAABDQyMjEEAAAAATAHAAAACTYvMTQvMjAyNggAAAAJMy8zMS8yMDI1CQAAAAEwHaYM2f7J3ggt0z7d/sneCC5DSVEuTllTRTpCQUguSVFfTklfM1lSX0FOTl9DQUdSLjk5MS4xNC8wNi8yMDI2AQAA</t>
  </si>
  <si>
    <t>AOlxAgACAAAABjMuOTUyOQEIAAAABQAAAAExAQAAAAoxOTY1NzcyNDIyAwAAAAMxNjACAAAABDQyMjUEAAAAATAHAAAACTYvMTQvMjAyNggAAAAJMy8zMS8yMDE3CQAAAAEwHaYM2f7J3ggMwSrc/sneCC9DSVEuTllTRTpCQUguSVFfRVBTXzNZUl9BTk5fQ0FHUi45OTcuMTQvMDYvMjAyNgEAAADpcQIAAgAAAAgtMTUuODQ2MwEIAAAABQAAAAExAQAAAAstMTk0MTU0Njg3MQMAAAADMTYwAgAAAAQ0MjI2BAAAAAEwBwAAAAk2LzE0LzIwMjYIAAAACTMvMzEvMjAyMwkAAAABMB2mDNn+yd4IDMEq3P7J3gg/Q0lRLk5ZU0U6QkFILklRX05FVF9ERUJUX0VCSVREQV9FWENMX09QRVJfTEVBU0VTLjk5My4xNC8wNi8yMDI2AQAAAOlxAgACAAAABzIuMzQ5MjMBCAAAAAUAAAABMQEAAAAKMjA5OTA4NzEzMwMAAAADMTYwAgAAAAU0OTE3NQQAAAABMAcAAAAJNi8xNC8yMDI2CAAAAAkzLzMxLzIwMTkJAAAAATAdpgzZ/sneCJXXKNz+yd4IR0NJUS5OWVNFOkJBSC5JUV9UT1RBTF9ERUJUX0VCSVREQV9FWENMX09QRVJfTEVBU0VTX0NBUEVYLjk5Ny4xNC8wNi8yMDI2AQAAAOlxAgACAAAACDMuNDAzMjE3AQgAAAAFAAAAATEBAAAACy0xOTQxNTQ2ODcxAwAAAAMxNjACAAAABTQ5MTgzBAAAAAEwBwAAAAk2LzE0LzIwMjYIAAAACTMvMzEvMjAyMwkAAAABMB2mDNn+yd4Ildco3P7J3ghFQ0lRLk5ZU0U6QkFILklRX05F</t>
  </si>
  <si>
    <t>VF9ERUJUX0VCSVREQV9FWENMX09QRVJfTEVBU0VTX0NBUEVYLjk5MS4xNC8wNi8yMDI2AQAAAOlxAgACAAAACDMuMDA2MDkxAQgAAAAFAAAAATEBAAAACjE5NjU3NzI0MjIDAAAAAzE2MAIAAAAFNDkxODIEAAAAATAHAAAACTYvMTQvMjAyNggAAAAJMy8zMS8yMDE3CQAAAAEwHaYM2f7J3giV1yjc/sneCDRDSVEuTllTRTpCQUguSVFfRUJJVERBXzFZUl9BTk5fR1JPV1RILjk5NS4xNC8wNi8yMDI2AQAAAOlxAgACAAAABzExLjk0MjgBCAAAAAUAAAABMQEAAAALLTIwNDMyMTUzOTIDAAAAAzE2MAIAAAAENDE5NgQAAAABMAcAAAAJNi8xNC8yMDI2CAAAAAkzLzMxLzIwMjEJAAAAATAdpgzZ/sneCAzBKtz+yd4INkNJUS5OWVNFOkJBSC5JUV9UT1RBTF9MSUFCX1RPVEFMX0FTU0VUUy45OTEuMTQvMDYvMjAyNgEAAADpcQIAAgAAAAc4Mi45OTUxAQgAAAAFAAAAATEBAAAACjE5NjU3NzI0MjIDAAAAAzE2MAIAAAAENDE4OAQAAAABMAcAAAAJNi8xNC8yMDI2CAAAAAkzLzMxLzIwMTcJAAAAATCSqBXZ/sneCDjlJdz+yd4IKUNJUS5OWVNFOkJBSC5JUV9FQklUREFfSU5ULjk5NS4xNC8wNi8yMDI2AQAAAOlxAgACAAAACTExLjMxNzUwOQEIAAAABQAAAAExAQAAAAstMjA0MzIxNTM5MgMAAAADMTYwAgAAAAQ0MTkwBAAAAAEwBwAAAAk2LzE0LzIwMjYIAAAACTMvMzEvMjAyMQkAAAABMJKoFdn+yd4IOOUl3P7J</t>
  </si>
  <si>
    <t>3gg7Q0lRLk5ZU0U6QkFILklRX0VCSVREQV9FWENMX09QRVJfTEVBU0VTX0lOVC4yMDAwLjE0LzA2LzIwMjYBAAAA6XECAAIAAAAINi44MzY5NTYBCAAAAAUAAAABMQEAAAALLTE4ODc3MDQzNDEDAAAAAzE2MAIAAAAFNDkxNzMEAAAAATAHAAAACTYvMTQvMjAyNggAAAAJMy8zMS8yMDI2CQAAAAEwkqgV2f7J3gg45SXc/sneCEBDSVEuTllTRTpCQUguSVFfRUJJVERBX0VYQ0xfT1BFUl9MRUFTRVNfQ0FQRVhfSU5ULjk5NS4xNC8wNi8yMDI2AQAAAOlxAgACAAAACDkuMTk0NTI0AQgAAAAFAAAAATEBAAAACy0yMDQzMjE1MzkyAwAAAAMxNjACAAAABTQ5MTc0BAAAAAEwBwAAAAk2LzE0LzIwMjYIAAAACTMvMzEvMjAyMQkAAAABMJKoFdn+yd4IOOUl3P7J3ghBQ0lRLk5ZU0U6QkFILklRX1RPVEFMX0RFQlRfRUJJVERBX0VYQ0xfT1BFUl9MRUFTRVMuOTk5LjE0LzA2LzIwMjYBAAAA6XECAAIAAAAIMy4wNTk0NjMBCAAAAAUAAAABMQEAAAALLTE4ODc3MDUwMDEDAAAAAzE2MAIAAAAFNDg5OTQEAAAAATAHAAAACTYvMTQvMjAyNggAAAAJMy8zMS8yMDI1CQAAAAEwHaYM2f7J3ggt0z7d/sneCCtDSVEuTllTRTpCQUguSVFfUVVJQ0tfUkFUSU8uMjAwMC4xNC8wNi8yMDI2AQAAAOlxAgACAAAACDEuNjc4MjkyAQgAAAAFAAAAATEBAAAACy0xODg3NzA0MzQxAwAAAAMxNjACAAAABDQxMjEEAAAAATAHAAAACTYv</t>
  </si>
  <si>
    <t>MTQvMjAyNggAAAAJMy8zMS8yMDI2CQAAAAEwhisU2f7J3gh7gCPc/sneCDFDSVEuTllTRTpCQUguSVFfREFZU19JTlZFTlRPUllfT1VULjk5My4xNC8wNi8yMDI2AQAAAOlxAgADAAAAAACSqBXZ/sneCDjlJdz+yd4IL0NJUS5OWVNFOkJBSC5JUV9EQVlTX1BBWUFCTEVfT1VULjk5OS4xNC8wNi8yMDI2AQAAAOlxAgACAAAABzI2LjcwMzQBCAAAAAUAAAABMQEAAAALLTE4ODc3MDUwMDEDAAAAAzE2MAIAAAAENDE4MwQAAAABMAcAAAAJNi8xNC8yMDI2CAAAAAkzLzMxLzIwMjUJAAAAATCSqBXZ/sneCNcPQN3+yd4IMENJUS5OWVNFOkJBSC5JUV9UT1RBTF9ERUJUX0VRVUlUWS45OTMuMTQvMDYvMjAyNgEAAADpcQIAAgAAAAgyNzMuMTkwNgEIAAAABQAAAAExAQAAAAoyMDk5MDg3MTMzAwAAAAMxNjACAAAABDQwMzQEAAAAATAHAAAACTYvMTQvMjAyNggAAAAJMy8zMS8yMDE5CQAAAAEwkqgV2f7J3gg45SXc/sneCC1DSVEuTllTRTpCQUguSVFfTFRfREVCVF9FUVVJVFkuOTk3LjE0LzA2LzIwMjYBAAAA6XECAAIAAAAIMjk5LjQzNTYBCAAAAAUAAAABMQEAAAALLTE5NDE1NDY4NzEDAAAAAzE2MAIAAAAENDA4NQQAAAABMAcAAAAJNi8xNC8yMDI2CAAAAAkzLzMxLzIwMjMJAAAAATCSqBXZ/sneCDjlJdz+yd4ILENJUS5OWVNFOkJBSC5JUV9FQklUREFfTUFSR0lOLjk5OS4xNC8wNi8yMDI2AQAAAOlxAgAC</t>
  </si>
  <si>
    <t>AAAABzExLjUxMDgBCAAAAAUAAAABMQEAAAALLTE4ODc3MDUwMDEDAAAAAzE2MAIAAAAENDA0NwQAAAABMAcAAAAJNi8xNC8yMDI2CAAAAAkzLzMxLzIwMjUJAAAAATCGKxTZ/sneCNcPQN3+yd4ILENJUS5OWVNFOkJBSC5JUV9DQVBFWF9QQ1RfUkVWLjk5MS4xNC8wNi8yMDI2AQAAAOlxAgACAAAABjAuOTI4MQEIAAAABQAAAAExAQAAAAoxOTY1NzcyNDIyAwAAAAMxNjACAAAABTM1MzgwBAAAAAEwBwAAAAk2LzE0LzIwMjYIAAAACTMvMzEvMjAxNwkAAAABMIYrFNn+yd4Ie4Aj3P7J3ggqQ0lRLk5ZU0U6QkFILklRX0FTU0VUX1RVUk5TLjk5Ny4xNC8wNi8yMDI2AQAAAOlxAgACAAAABzEuNDcyNDYBCAAAAAUAAAABMQEAAAALLTE5NDE1NDY4NzEDAAAAAzE2MAIAAAAENDE3NwQAAAABMAcAAAAJNi8xNC8yMDI2CAAAAAkzLzMxLzIwMjMJAAAAATCGKxTZ/sneCHuAI9z+yd4IJ0NJUS5OWVNFOkJBSC5JUV9BUl9UVVJOUy45OTEuMTQvMDYvMjAyNgEAAADpcQIAAgAAAAg2LjE2Njg2MwEIAAAABQAAAAExAQAAAAoxOTY1NzcyNDIyAwAAAAMxNjACAAAABDQwMDEEAAAAATAHAAAACTYvMTQvMjAyNggAAAAJMy8zMS8yMDE3CQAAAAEwhisU2f7J3gh7gCPc/sneCCxDSVEuTllTRTpCQUguSVFfQ1VSUkVOVF9SQVRJTy45OTUuMTQvMDYvMjAyNgEAAADpcQIAAgAAAAgyLjA0MTc5NQEIAAAABQAAAAExAQAAAAst</t>
  </si>
  <si>
    <t>MjA0MzIxNTM5MgMAAAADMTYwAgAAAAQ0MDMwBAAAAAEwBwAAAAk2LzE0LzIwMjYIAAAACTMvMzEvMjAyMQkAAAABMIYrFNn+yd4Ie4Aj3P7J3ggtQ0lRLk5ZU0U6QkFILklRX1JFU1RBVEVNRU5UX0JTLjk5Ny4xNC8wNi8yMDI2AQAAAOlxAgADAAAAAk5DAIYrFNn+yd4I9g4h3P7J3ggnQ0lRLk5ZU0U6QkFILklRX0dBQVBfQlMuMjAwMC4xNC8wNi8yMDI2AQAAAOlxAgADAAAAB1VTIEdBQVAAhisU2f7J3gj2DiHc/sneCCxDSVEuTllTRTpCQUguSVFfUkVUVVJOX0FTU0VUUy45OTUuMTQvMDYvMjAyNgEAAADpcQIAAgAAAAY5LjEwOTIBCAAAAAUAAAABMQEAAAALLTIwNDMyMTUzOTIDAAAAAzE2MAIAAAAENDE3OAQAAAABMAcAAAAJNi8xNC8yMDI2CAAAAAkzLzMxLzIwMjEJAAAAATCGKxTZ/sneCPYOIdz+yd4ILkNJUS5OWVNFOkJBSC5JUV9SRVRVUk5fQ0FQSVRBTC4yMDAwLjE0LzA2LzIwMjYBAAAA6XECAAIAAAAHMTMuMDk5MwEIAAAABQAAAAExAQAAAAstMTg4NzcwNDM0MQMAAAADMTYwAgAAAAQ0MzYzBAAAAAEwBwAAAAk2LzE0LzIwMjYIAAAACTMvMzEvMjAyNgkAAAABMIYrFNn+yd4Ie4Aj3P7J3ggrQ0lRLk5ZU0U6QkFILklRX0dST1NTX01BUkdJTi45OTMuMTQvMDYvMjAyNgEAAADpcQIAAgAAAAcyMy44NDk5AQgAAAAFAAAAATEBAAAACjIwOTkwODcxMzMDAAAAAzE2MAIAAAAENDA3NAQAAAAB</t>
  </si>
  <si>
    <t>MAcAAAAJNi8xNC8yMDI2CAAAAAkzLzMxLzIwMTkJAAAAATCGKxTZ/sneCHuAI9z+yd4ILUNJUS5OWVNFOkJBSC5JUV9DT1NUX0JPUlJPV0lORy45OTcuMTQvMDYvMjAyNgEAAADpcQIAAgAAAAYzLjU2NzUBCAAAAAUAAAABMQEAAAALLTE5NDE1NDY4NzEDAAAAAzE2MAIAAAAFMjE2ODEEAAAAATAHAAAACTYvMTQvMjAyNggAAAAJMy8zMS8yMDIzCQAAAAEwhisU2f7J3gj2DiHc/sneCDFDSVEuTllTRTpCQUguSVFfQVZHX1RFTVBfRU1QTE9ZRUVTLjk5NS4xNC8wNi8yMDI2AQAAAOlxAgADAAAAAACGKxTZ/sneCPYOIdz+yd4IMUNJUS5OWVNFOkJBSC5JUV9OVU1CRVJfQURSSE9MREVSUy4yMDAwLjE0LzA2LzIwMjYBAAAA6XECAAMAAAAAAIYrFNn+yd4I9g4h3P7J3ggoQ0lRLk5ZU0U6QkFILklRX0ZVTExfVElNRS45OTEuMTQvMDYvMjAyNgEAAADpcQIAAgAAAAUyMzMwMACGKxTZ/sneCPYOIdz+yd4IKENJUS5OWVNFOkJBSC5JUV9QQVJUX1RJTUUuOTk3LjE0LzA2LzIwMjYBAAAA6XECAAMAAAAAAIYrFNn+yd4I9g4h3P7J3gg+Q0lRLk5ZU0U6QkFILklRX0VNUExPWUVFU19VTkRFUl9VTklPTl9DT05UUkFDVFMuOTkxLjE0LzA2LzIwMjYBAAAA6XECAAMAAAAAAIYrFNn+yd4I9g4h3P7J3ggqQ0lRLk5ZU0U6QkFILklRX0lOVl9NRVRIT0QuMjAwMC4xNC8wNi8yMDI2AQAAAOlxAgADAAAAAk5BAEpHR9n+</t>
  </si>
  <si>
    <t>yd4I9g4h3P7J3gg4Q0lRLk5ZU0U6QkFILklRX1RPVEFMX09VVFNUQU5ESU5HX0JTX0RBVEUuOTkxLjE0LzA2LzIwMjYBAAAA6XECAAIAAAAKMTQ4Ljg4NzcwOAEEAAAABQAAAAE1AQAAAAoxOTY1NzcyNDIyAgAAAAUyNDE1MgYAAAABMEpHR9n+yd4IKace3P7J3ggvQ0lRLk5ZU0U6QkFILklRX0VQU18zWVJfQU5OX0NBR1IuOTk4LjE0LzA2LzIwMjYBAAAA6XECAAIAAAAGMS42ODg2AQgAAAAFAAAAATEBAAAACy0xODg3NzA0OTkzAwAAAAMxNjACAAAABDQyMjYEAAAAATAHAAAACTYvMTQvMjAyNggAAAAJMy8zMS8yMDI0CQAAAAEwHaYM2f7J3ggMwSrc/sneCC5DSVEuTllTRTpCQUguSVFfR1BfNVlSX0FOTl9DQUdSLjk5Mi4xNC8wNi8yMDI2AQAAAOlxAgACAAAABjEuMjM2MQEIAAAABQAAAAExAQAAAAoyMDM4MDkxMDc3AwAAAAMxNjACAAAABDQyMzQEAAAAATAHAAAACTYvMTQvMjAyNggAAAAJMy8zMS8yMDE4CQAAAAEwHaYM2f7J3ggMwSrc/sneCDBDSVEuTllTRTpCQUguSVFfRUJJVF81WVJfQU5OX0NBR1IuOTk2LjE0LzA2LzIwMjYBAAAA6XECAAIAAAAGNi4yOTM2AQgAAAAFAAAAATEBAAAACy0xOTkyNDAyMDU5AwAAAAMxNjACAAAABDQyMzYEAAAAATAHAAAACTYvMTQvMjAyNggAAAAJMy8zMS8yMDIyCQAAAAEwHaYM2f7J3ggMwSrc/sneCC9DSVEuTllTRTpCQUguSVFfRVBTXzVZUl9BTk5fQ0FH</t>
  </si>
  <si>
    <t>Ui45OTAuMTQvMDYvMjAyNgEAAADpcQIAAgAAAAcyNC4wNzc3AQgAAAAFAAAAATEBAAAACjE4OTEzNDc4NjkDAAAAAzE2MAIAAAAENDIzOQQAAAABMAcAAAAJNi8xNC8yMDI2CAAAAAkzLzMxLzIwMTYJAAAAATAdpgzZ/sneCMM0Ldz+yd4INENJUS5OWVNFOkJBSC5JUV9FQklUREFfMVlSX0FOTl9HUk9XVEguOTk2LjE0LzA2LzIwMjYBAAAA6XECAAIAAAAHLTAuOTA4OQEIAAAABQAAAAExAQAAAAstMTk5MjQwMjA1OQMAAAADMTYwAgAAAAQ0MTk2BAAAAAEwBwAAAAk2LzE0LzIwMjYIAAAACTMvMzEvMjAyMgkAAAABMB2mDNn+yd4IDMEq3P7J3ggwQ0lRLk5ZU0U6QkFILklRX05JXzFZUl9BTk5fR1JPV1RILjk5MC4xNC8wNi8yMDI2AQAAAOlxAgACAAAABzI2LjQ1NDUBCAAAAAUAAAABMQEAAAAKMTg5MTM0Nzg2OQMAAAADMTYwAgAAAAQ0MTk5BAAAAAEwBwAAAAk2LzE0LzIwMjYIAAAACTMvMzEvMjAxNgkAAAABMB2mDNn+yd4IDMEq3P7J3gg1Q0lRLk5ZU0U6QkFILklRX1RPVEFMX1JFVl8zWVJfQU5OX0NBR1IuOTk0LjE0LzA2LzIwMjYBAAAA6XECAAIAAAAGOC43MTEzAQgAAAAFAAAAATEBAAAACy0yMDk1MTI2MDkwAwAAAAMxNjACAAAABDQyMjAEAAAAATAHAAAACTYvMTQvMjAyNggAAAAJMy8zMS8yMDIwCQAAAAEwHaYM2f7J3ggMwSrc/sneCC9DSVEuTllTRTpCQUguSVFfR1BfM1lSX0FOTl9DQUdS</t>
  </si>
  <si>
    <t>LjEwMDAuMTQvMDYvMjAyNgEAAADpcQIAAgAAAAY1LjM0OTcBCAAAAAUAAAABMQEAAAALLTE4ODc3MDQ5NzcDAAAAAzE2MAIAAAAENDIyMQQAAAABMAcAAAAJNi8xNC8yMDI2CAAAAAkzLzMxLzIwMjYJAAAAATAdpgzZ/sneCC3TPt3+yd4ILkNJUS5OWVNFOkJBSC5JUV9OSV8zWVJfQU5OX0NBR1IuOTkyLjE0LzA2LzIwMjYBAAAA6XECAAIAAAAGOS4wNjEzAQgAAAAFAAAAATEBAAAACjIwMzgwOTEwNzcDAAAAAzE2MAIAAAAENDIyNQQAAAABMAcAAAAJNi8xNC8yMDI2CAAAAAkzLzMxLzIwMTgJAAAAATAdpgzZ/sneCAzBKtz+yd4IP0NJUS5OWVNFOkJBSC5JUV9ORVRfREVCVF9FQklUREFfRVhDTF9PUEVSX0xFQVNFUy45OTQuMTQvMDYvMjAyNgEAAADpcQIAAgAAAAgyLjQ0MTQwMgEIAAAABQAAAAExAQAAAAstMjA5NTEyNjA5MAMAAAADMTYwAgAAAAU0OTE3NQQAAAABMAcAAAAJNi8xNC8yMDI2CAAAAAkzLzMxLzIwMjAJAAAAATAdpgzZ/sneCJXXKNz+yd4IN0NJUS5OWVNFOkJBSC5JUV9UT1RBTF9ERUJUX0VCSVREQV9DQVBFWC4xMDAwLjE0LzA2LzIwMjYBAAAA6XECAAIAAAAHMy4zMTYxNwEIAAAABQAAAAExAQAAAAstMTg4NzcwNDk3NwMAAAADMTYwAgAAAAUyMzMxMwQAAAABMAcAAAAJNi8xNC8yMDI2CAAAAAkzLzMxLzIwMjYJAAAAATAdpgzZ/sneCC3TPt3+yd4IRUNJUS5OWVNFOkJBSC5JUV9O</t>
  </si>
  <si>
    <t>RVRfREVCVF9FQklUREFfRVhDTF9PUEVSX0xFQVNFU19DQVBFWC45OTIuMTQvMDYvMjAyNgEAAADpcQIAAgAAAAgzLjIyOTgzMgEIAAAABQAAAAExAQAAAAoyMDM4MDkxMDc3AwAAAAMxNjACAAAABTQ5MTgyBAAAAAEwBwAAAAk2LzE0LzIwMjYIAAAACTMvMzEvMjAxOAkAAAABMB2mDNn+yd4Ildco3P7J3ggwQ0lRLk5ZU0U6QkFILklRX0dQXzFZUl9BTk5fR1JPV1RILjk5MC4xNC8wNi8yMDI2AQAAAOlxAgACAAAABjMuMDAwMgEIAAAABQAAAAExAQAAAAoxODkxMzQ3ODY5AwAAAAMxNjACAAAABDQxOTUEAAAAATAHAAAACTYvMTQvMjAyNggAAAAJMy8zMS8yMDE2CQAAAAEwHaYM2f7J3giV1yjc/sneCDZDSVEuTllTRTpCQUguSVFfVE9UQUxfTElBQl9UT1RBTF9BU1NFVFMuOTkyLjE0LzA2LzIwMjYBAAAA6XECAAIAAAAHODQuNDAzOQEIAAAABQAAAAExAQAAAAoyMDM4MDkxMDc3AwAAAAMxNjACAAAABDQxODgEAAAAATAHAAAACTYvMTQvMjAyNggAAAAJMy8zMS8yMDE4CQAAAAEwkqgV2f7J3gg45SXc/sneCCdDSVEuTllTRTpCQUguSVFfRUJJVF9JTlQuOTk4LjE0LzA2LzIwMjYBAAAA6XECAAIAAAAINi45NzI3ODkBCAAAAAUAAAABMQEAAAALLTE4ODc3MDQ5OTMDAAAAAzE2MAIAAAAENDE4OQQAAAABMAcAAAAJNi8xNC8yMDI2CAAAAAkzLzMxLzIwMjQJAAAAATCSqBXZ/sneCDjlJdz+yd4IL0NJUS5O</t>
  </si>
  <si>
    <t>WVNFOkJBSC5JUV9FQklUREFfQ0FQRVhfSU5ULjk5MC4xNC8wNi8yMDI2AQAAAOlxAgACAAAABjYuMjA2MQEIAAAABQAAAAExAQAAAAoxODkxMzQ3ODY5AwAAAAMxNjACAAAABDQxOTEEAAAAATAHAAAACTYvMTQvMjAyNggAAAAJMy8zMS8yMDE2CQAAAAEwkqgV2f7J3gg45SXc/sneCEBDSVEuTllTRTpCQUguSVFfRUJJVERBX0VYQ0xfT1BFUl9MRUFTRVNfQ0FQRVhfSU5ULjk5Ni4xNC8wNi8yMDI2AQAAAOlxAgACAAAACDguMDg3NTQ1AQgAAAAFAAAAATEBAAAACy0xOTkyNDAyMDU5AwAAAAMxNjACAAAABTQ5MTc0BAAAAAEwBwAAAAk2LzE0LzIwMjYIAAAACTMvMzEvMjAyMgkAAAABMB2mDNn+yd4IOOUl3P7J3ghCQ0lRLk5ZU0U6QkFILklRX1RPVEFMX0RFQlRfRUJJVERBX0VYQ0xfT1BFUl9MRUFTRVMuMTAwMC4xNC8wNi8yMDI2AQAAAOlxAgACAAAACDMuMjc2NjI5AQgAAAAFAAAAATEBAAAACy0xODg3NzA0OTc3AwAAAAMxNjACAAAABTQ4OTk0BAAAAAEwBwAAAAk2LzE0LzIwMjYIAAAACTMvMzEvMjAyNgkAAAABMB2mDNn+yd4I1w9A3f7J3ggvQ0lRLk5ZU0U6QkFILklRX0NGT19DVVJSRU5UX0xJQUIuOTkwLjE0LzA2LzIwMjYBAAAA6XECAAIAAAAIMC4yNjUxNjcBCAAAAAUAAAABMQEAAAAKMTg5MTM0Nzg2OQMAAAADMTYwAgAAAAQ0MTg1BAAAAAEwBwAAAAk2LzE0LzIwMjYIAAAACTMvMzEvMjAx</t>
  </si>
  <si>
    <t>NgkAAAABMIYrFNn+yd4Ie4Aj3P7J3ggtQ0lRLk5ZU0U6QkFILklRX0RBWVNfU0FMRVNfT1VULjk5Ni4xNC8wNi8yMDI2AQAAAOlxAgACAAAACTY2LjIyMjMxNQEIAAAABQAAAAExAQAAAAstMTk5MjQwMjA1OQMAAAADMTYwAgAAAAQ0MDQyBAAAAAEwBwAAAAk2LzE0LzIwMjYIAAAACTMvMzEvMjAyMgkAAAABMJKoFdn+yd4Ie4Aj3P7J3ggwQ0lRLk5ZU0U6QkFILklRX0RBWVNfUEFZQUJMRV9PVVQuMTAwMC4xNC8wNi8yMDI2AQAAAOlxAgACAAAACTI2Ljk2OTQ4NQEIAAAABQAAAAExAQAAAAstMTg4NzcwNDk3NwMAAAADMTYwAgAAAAQ0MTgzBAAAAAEwBwAAAAk2LzE0LzIwMjYIAAAACTMvMzEvMjAyNgkAAAABMJKoFdn+yd4I1w9A3f7J3ggwQ0lRLk5ZU0U6QkFILklRX1RPVEFMX0RFQlRfRVFVSVRZLjk5NC4xNC8wNi8yMDI2AQAAAOlxAgACAAAABzI5OS4xNDkBCAAAAAUAAAABMQEAAAALLTIwOTUxMjYwOTADAAAAAzE2MAIAAAAENDAzNAQAAAABMAcAAAAJNi8xNC8yMDI2CAAAAAkzLzMxLzIwMjAJAAAAATCSqBXZ/sneCDjlJdz+yd4ILUNJUS5OWVNFOkJBSC5JUV9MVF9ERUJUX0VRVUlUWS45OTguMTQvMDYvMjAyNgEAAADpcQIAAgAAAAgzMzcuMzQ0NwEIAAAABQAAAAExAQAAAAstMTg4NzcwNDk5MwMAAAADMTYwAgAAAAQ0MDg1BAAAAAEwBwAAAAk2LzE0LzIwMjYIAAAACTMvMzEvMjAyNAkAAAAB</t>
  </si>
  <si>
    <t>MJKoFdn+yd4IOOUl3P7J3ggtQ0lRLk5ZU0U6QkFILklRX0VCSVREQV9NQVJHSU4uMTAwMC4xNC8wNi8yMDI2AQAAAOlxAgACAAAABzExLjIxNTEBCAAAAAUAAAABMQEAAAALLTE4ODc3MDQ5NzcDAAAAAzE2MAIAAAAENDA0NwQAAAABMAcAAAAJNi8xNC8yMDI2CAAAAAkzLzMxLzIwMjYJAAAAATCGKxTZ/sneCNcPQN3+yd4IKENJUS5OWVNFOkJBSC5JUV9OSV9NQVJHSU4uOTk0LjE0LzA2LzIwMjYBAAAA6XECAAIAAAAGNi40NjU4AQgAAAAFAAAAATEBAAAACy0yMDk1MTI2MDkwAwAAAAMxNjACAAAABDQwOTQEAAAAATAHAAAACTYvMTQvMjAyNggAAAAJMy8zMS8yMDIwCQAAAAEwhisU2f7J3gh7gCPc/sneCCpDSVEuTllTRTpCQUguSVFfQVNTRVRfVFVSTlMuOTk4LjE0LzA2LzIwMjYBAAAA6XECAAIAAAAIMS42MjU5NjcBCAAAAAUAAAABMQEAAAALLTE4ODc3MDQ5OTMDAAAAAzE2MAIAAAAENDE3NwQAAAABMAcAAAAJNi8xNC8yMDI2CAAAAAkzLzMxLzIwMjQJAAAAATCGKxTZ/sneCHuAI9z+yd4ILkNJUS5OWVNFOkJBSC5JUV9QRU5TSU9OLjk5Ny4xNC8wNi8yMDI2Li4uVVNELkgBAAAA6XECAAIAAAAFMjAuMDkBCAAAAAUAAAABMQEAAAALLTE5NDE1NDY4NzEDAAAAAzE2MAIAAAAEMTIxMwQAAAABMAcAAAAJNi8xNC8yMDI2CAAAAAkzLzMxLzIwMjMJAAAAATDZXYHZ/sneCGUX/9v+yd4IQENJUS5OWVNF</t>
  </si>
  <si>
    <t>OkJBSC5JUV9SVUFfT1BFUkFUSU5HX0xFQVNFX0dST1NTLjk5NC4xNC8wNi8yMDI2Li4uVVNELkgBAAAA6XECAAIAAAAHMjQwLjEyMgEIAAAABQAAAAExAQAAAAstMjA5NTEyNjA5MAMAAAADMTYwAgAAAAU0ODM3NwQAAAABMAcAAAAJNi8xNC8yMDI2CAAAAAkzLzMxLzIwMjAJAAAAATB8X0bZ/sneCEuMBdz+yd4IQkNJUS5OWVNFOkJBSC5JUV9SVUFfQ0FQSVRBTF9MRUFTRV9BQ0NVTV9ERVAuOTkwLjE0LzA2LzIwMjYuLi5VU0QuSAEAAADpcQIAAwAAAAAAfF9G2f7J3giY7wTc/sneCDRDSVEuTllTRTpCQUguSVFfUlVBX0FDQ1VNX0RFUC45OTIuMTQvMDYvMjAyNi4uLlVTRC5IAQAAAOlxAgADAAAAAAB8X0bZ/sneCJRQBNz+yd4IM0NJUS5OWVNFOkJBSC5JUV9UT1RBTF9FUVVJVFkuOTk4LjE0LzA2LzIwMjYuLi5VU0QuSAEAAADpcQIAAgAAAAQxMDQ3AQgAAAAFAAAAATEBAAAACy0xODg3NzA0OTkzAwAAAAMxNjACAAAABDEyNzUEAAAAATAHAAAACTYvMTQvMjAyNggAAAAJMy8zMS8yMDI0CQAAAAEwfF9G2f7J3ghqhgHc/sneCDNDSVEuTllTRTpCQUguSVFfT1RIRVJfRVFVSVRZLjk5OS4xNC8wNi8yMDI2Li4uVVNELkgBAAAA6XECAAIAAAADLTI5AQgAAAAFAAAAATEBAAAACy0xODg3NzA1MDAxAwAAAAMxNjACAAAABDEwMjgEAAAAATAHAAAACTYvMTQvMjAyNggAAAAJMy8zMS8yMDI1CQAAAAEwfF9G</t>
  </si>
  <si>
    <t>2f7J3ghgJUTd/sneCEJDSVEuTllTRTpCQUguSVFfVE9UQUxfREVCVF9FWENMX09QRVJfTEVBU0VTLjk5Ni4xNC8wNi8yMDI2Li4uVVNELkgBAAAA6XECAAIAAAAIMjgwNC40MzUBCAAAAAUAAAABMQEAAAALLTE5OTI0MDIwNTkDAAAAAzE2MAIAAAAFNDg5ODIEAAAAATAHAAAACTYvMTQvMjAyNggAAAAJMy8zMS8yMDIyCQAAAAEwfF9G2f7J3gjkywbc/sneCDNDSVEuTllTRTpCQUguSVFfVE9UQUxfTEVBU0VTLjk5Ni4xNC8wNi8yMDI2Li4uVVNELkgBAAAA6XECAAIAAAAHMjk5LjQwNAEIAAAABQAAAAExAQAAAAstMTk5MjQwMjA1OQMAAAADMTYwAgAAAAU0ODk3OQQAAAABMAcAAAAJNi8xNC8yMDI2CAAAAAkzLzMxLzIwMjIJAAAAATB8X0bZ/sneCOTLBtz+yd4ITUNJUS5OWVNFOkJBSC5JUV9DVVJSRU5UX1BPUlRJT05fT1BFUl9MRUFTRV9MSUFCSUxJVElFUy45OTEuMTQvMDYvMjAyNi4uLlVTRC5IAQAAAOlxAgADAAAAAAB8X0bZ/sneCOTLBtz+yd4IPUNJUS5OWVNFOkJBSC5JUV9GSU5BTkNFX0xFQVNFU19DVVJSRU5ULjk5NC4xNC8wNi8yMDI2Li4uVVNELkgBAAAA6XECAAMAAAAAAHxfRtn+yd4I5MsG3P7J3gg8Q0lRLk5ZU0U6QkFILklRX0dQUEVfRVhDTF9PUEVSX0xFQVNFUy45OTIuMTQvMDYvMjAyNi4uLlVTRC5IAQAAAOlxAgACAAAABzQ0NS44MjMBCAAAAAUAAAABMQEAAAAKMjAzODA5MTA3</t>
  </si>
  <si>
    <t>NwMAAAADMTYwAgAAAAU0ODk3NAQAAAABMAcAAAAJNi8xNC8yMDI2CAAAAAkzLzMxLzIwMTgJAAAAATB8X0bZ/sneCN0oBtz+yd4INkNJUS5OWVNFOkJBSC5JUV9ORVRfV09SS0lOR19DQVAuOTkyLjE0LzA2LzIwMjYuLi5VU0QuSAEAAADpcQIAAgAAAAczMTguNjQ3AQgAAAAFAAAAATEBAAAACjIwMzgwOTEwNzcDAAAAAzE2MAIAAAAEMTMxMQQAAAABMAcAAAAJNi8xNC8yMDI2CAAAAAkzLzMxLzIwMTgJAAAAATBKR0fZ/sneCAU/Ctz+yd4IL0NJUS5OWVNFOkJBSC5JUV9ORVRfREVCVC45OTcuMTQvMDYvMjAyNi4uLlVTRC5IAQAAAOlxAgACAAAACDI2NDYuNzg5AQgAAAAFAAAAATEBAAAACy0xOTQxNTQ2ODcxAwAAAAMxNjACAAAABDQzNjQEAAAAATAHAAAACTYvMTQvMjAyNggAAAAJMy8zMS8yMDIzCQAAAAEwSkdH2f7J3ggFPwrc/sneCDFDSVEuTllTRTpCQUguSVFfQ0FTSF9TSEFSRS45OTkuMTQvMDYvMjAyNi4uLlVTRC5IAQAAAOlxAgACAAAACDcuMDg2ODU5AQgAAAAFAAAAATEBAAAACy0xODg3NzA1MDAxAwAAAAMxNjACAAAABDQzODEEAAAAATAHAAAACTYvMTQvMjAyNggAAAAJMy8zMS8yMDI1CQAAAAEwSkdH2f7J3ghgJUTd/sneCDFDSVEuTllTRTpCQUguSVFfVEJWX1NIQVJFLjIwMDAuMTQvMDYvMjAyNi4uLlVTRC5IAQAAAOlxAgACAAAACi0xNC45ODIzODUBCAAAAAUAAAABMQEAAAALLTE4</t>
  </si>
  <si>
    <t>ODc3MDQzNDEDAAAAAzE2MAIAAAAENDE1NgQAAAABMAcAAAAJNi8xNC8yMDI2CAAAAAkzLzMxLzIwMjYJAAAAATBKR0fZ/sneCJHICNz+yd4IOkNJUS5OWVNFOkJBSC5JUV9MSUFCSUxJVElFU19MRVZFTF8xLjk5NC4xNC8wNi8yMDI2Li4uVVNELkgBAAAA6XECAAIAAAAFNS44NzkAhisU2f7J3ggNkxLc/sneCEpDSVEuTllTRTpCQUguSVFfTElRVUlEQVRJT05fVkFMVUVfUFJFRkVSUkVEX0NPTlZFUlQuOTk0LjE0LzA2LzIwMjYuLi5VU0QuSAEAAADpcQIAAwAAAAAASkdH2f7J3ggdIRDc/sneCEJDSVEuTllTRTpCQUguSVFfRklOX0RJVl9NSU5PUklUWV9JTlRfUkVERUVNLjk5OC4xNC8wNi8yMDI2Li4uVVNELkgBAAAA6XECAAMAAAAAAEpHR9n+yd4IHSEQ3P7J3ggwQ0lRLk5ZU0U6QkFILklRX0JVSUxESU5HUy45OTcuMTQvMDYvMjAyNi4uLlVTRC5IAQAAAOlxAgADAAAAAABKR0fZ/sneCOE9C9z+yd4ILENJUS5OWVNFOkJBSC5JUV9MSUZPUi45OTguMTQvMDYvMjAyNi4uLlVTRC5IAQAAAOlxAgADAAAAAABKR0fZ/sneCOE9C9z+yd4IQ0NJUS5OWVNFOkJBSC5JUV9EQV9TVVBQTF9DRl9FWENMX09QRVJfTEVBU0VTLjk5MC4xNC8wNi8yMDI2Li4uVVNELkgBAAAA6XECAAIAAAAGNDkuNDM2AQgAAAAFAAAAATEBAAAACjE4OTEzNDc4NjkDAAAAAzE2MAIAAAAFNDg5ODMEAAAAATAHAAAACTYvMTQvMjAy</t>
  </si>
  <si>
    <t>NggAAAAJMy8zMS8yMDE2CQAAAAEww5x/2f7J3gg1vejb/sneCDFDSVEuTllTRTpCQUguSVFfREVQUkVfU1VQUC45OTguMTQvMDYvMjAyNi4uLlVTRC5IAQAAAOlxAgACAAAAAjcxAQgAAAAFAAAAATEBAAAACy0xODg3NzA0OTkzAwAAAAMxNjACAAAABDIxNDMEAAAAATAHAAAACTYvMTQvMjAyNggAAAAJMy8zMS8yMDI0CQAAAAEww5x/2f7J3gg1vejb/sneCEBDSVEuTllTRTpCQUguSVFfR1dfSU5UQU5fQU1PUlRfUEFSVElBTF9DRi45OTIuMTQvMDYvMjAyNi4uLlVTRC5IAQAAAOlxAgADAAAAAADDnH/Z/sneCAWL59v+yd4IPkNJUS5OWVNFOkJBSC5JUV9ERVJJVkFUSVZFX0xJQUJfQ1VSUkVOVC45OTYuMTQvMDYvMjAyNi4uLlVTRC5IAQAAAOlxAgADAAAAAACGKxTZ/sneCEdnF9z+yd4IOUNJUS5OWVNFOkJBSC5JUV9DQVNIX0lOVEVSRVNUX09QRVIuOTkyLjE0LzA2LzIwMjYuLi5VU0QuSAEAAADpcQIAAwAAAAAAPOR82f7J3gi5+unb/sneCDVDSVEuTllTRTpCQUguSVFfQ0FTSF9JTlRFUkVTVC4xMDAwLjE0LzA2LzIwMjYuLi5VU0QuSAEAAADpcQIAAwAAAAAAPOR82f7J3ghgQUjd/sneCEJDSVEuTllTRTpCQUguSVFfU0FMRV9QUk9DRUVEU19SRU5UQUxfQVNTRVRTLjk5NC4xNC8wNi8yMDI2Li4uVVNELkgBAAAA6XECAAMAAAAAANkggdn+yd4Iufrp2/7J3gg0Q0lRLk5ZU0U6QkFILklRX0FNT1JU</t>
  </si>
  <si>
    <t>X0RJQ19DRi4xMDAwLjE0LzA2LzIwMjYuLi5VU0QuSAEAAADpcQIAAwAAAAAA2SCB2f7J3ghgQUjd/sneCD1DSVEuTllTRTpCQUguSVFfREFfQ0ZfRVhDTF9PUEVSX0xFQVNFUy45OTYuMTQvMDYvMjAyNi4uLlVTRC5IAQAAAOlxAgACAAAABzE0NS43NDcBCAAAAAUAAAABMQEAAAALLTE5OTI0MDIwNTkDAAAAAzE2MAIAAAAFNDg5ODUEAAAAATAHAAAACTYvMTQvMjAyNggAAAAJMy8zMS8yMDIyCQAAAAEww5x/2f7J3gg1vejb/sneCDJDSVEuTllTRTpCQUguSVFfTEVWRVJFRF9GQ0YuOTk0LjE0LzA2LzIwMjYuLi5VU0QuSAEAAADpcQIAAgAAAAoyMjQuNDQyMzc1AQgAAAAFAAAAATEBAAAACy0yMDk1MTI2MDkwAwAAAAMxNjACAAAABDQ0MjIEAAAAATAHAAAACTYvMTQvMjAyNggAAAAJMy8zMS8yMDIwCQAAAAEwPOR82f7J3gj4tuzb/sneCDtDSVEuTllTRTpCQUguSVFfQ0hBTkdFX0RFRl9UQVhfVE9UQUwuOTkwLjE0LzA2LzIwMjYuLi5VU0QuSAEAAADpcQIAAgAAAAUzLjU0OQEIAAAABQAAAAExAQAAAAoxODkxMzQ3ODY5AwAAAAMxNjACAAAABTMwOTI0BAAAAAEwBwAAAAk2LzE0LzIwMjYIAAAACTMvMzEvMjAxNgkAAAABMDzkfNn+yd4I+Lbs2/7J3gg4Q0lRLk5ZU0U6QkFILklRX0NBU0hfVEFYRVNfSU5WRVNULjk5Ni4xNC8wNi8yMDI2Li4uVVNELkgBAAAA6XECAAMAAAAAADzkfNn+yd4I+Lbs2/7J</t>
  </si>
  <si>
    <t>3gg2Q0lRLk5ZU0U6QkFILklRX0NBU0hfVEFYRVNfT1BFUi45OTAuMTQvMDYvMjAyNi4uLlVTRC5IAQAAAOlxAgADAAAAAAA85HzZ/sneCPi27Nv+yd4IO0NJUS5OWVNFOkJBSC5JUV9DQVNIX0lOVEVSRVNUX0lOVkVTVC45OTguMTQvMDYvMjAyNi4uLlVTRC5IAQAAAOlxAgADAAAAAAA85HzZ/sneCKAW7Nv+yd4ISkNJUS5OWVNFOkJBSC5JUV9PUEVSQVRJTkdfTEVBU0VfTElBQklMSVRJRVNfTk9OQ0FTSC45OTYuMTQvMDYvMjAyNi4uLlVTRC5IAQAAAOlxAgADAAAAAAB8H37Z/sneCLXz8Nv+yd4IP0NJUS5OWVNFOkJBSC5JUV9PUEVSQVRJTkdfTEVBU0VfUEFZTUVOVFMuOTkyLjE0LzA2LzIwMjYuLi5VU0QuSAEAAADpcQIAAwAAAAAAfB9+2f7J3ghgfvDb/sneCDNDSVEuTllTRTpCQUguSVFfRE9fSU5WRVNUX0NGLjk5OC4xNC8wNi8yMDI2Li4uVVNELkgBAAAA6XECAAMAAAAAAHwfftn+yd4I4OHv2/7J3ggyQ0lRLk5ZU0U6QkFILklRX01BSU5UX0NBUEVYLjk5Mi4xNC8wNi8yMDI2Li4uVVNELkgBAAAA6XECAAMAAAAAADzkfNn+yd4Izbju2/7J3gg1Q0lRLk5ZU0U6QkFILklRX1VOTEVWRVJFRF9GQ0YuMTAwMC4xNC8wNi8yMDI2Li4uVVNELkgBAAAA6XECAAIAAAAHOTAwLjM3NQEIAAAABQAAAAExAQAAAAstMTg4NzcwNDk3NwMAAAADMTYwAgAAAAQ0NDIzBAAAAAEwBwAAAAk2LzE0LzIwMjYIAAAA</t>
  </si>
  <si>
    <t>CTMvMzEvMjAyNgkAAAABMDzkfNn+yd4I+9ZF3f7J3gg1Q0lRLk5ZU0U6QkFILklRX0NBU0hfU1RfSU5WRVNULjk5Mi4xNC8wNi8yMDI2Li4uVVNELkgBAAAA6XECAAIAAAAHMjg3LjY1OAEIAAAABQAAAAExAQAAAAoyMDM4MDkxMDc3AwAAAAMxNjACAAAABDEwMDIEAAAAATAHAAAACTYvMTQvMjAyNggAAAAJMy8zMS8yMDE4CQAAAAEwfB9+2f7J3giN+fLb/sneCDBDSVEuTllTRTpCQUguSVFfU1RfSU5WRVNULjk5OC4xNC8wNi8yMDI2Li4uVVNELkgBAAAA6XECAAMAAAAAAHwfftn+yd4IcoTy2/7J3ghEQ0lRLk5ZU0U6QkFILklRX1RPVEFMX0RFQlRfUkVQQUlEX0VYQ0xfTEVBU0VTLjk5MC4xNC8wNi8yMDI2Li4uVVNELkgBAAAA6XECAAIAAAAILTI5NS4wNjMBCAAAAAUAAAABMQEAAAAKMTg5MTM0Nzg2OQMAAAADMTYwAgAAAAU0ODk4NgQAAAABMAcAAAAJNi8xNC8yMDI2CAAAAAkzLzMxLzIwMTYJAAAAATB8H37Z/sneCMKZ8dv+yd4INUNJUS5OWVNFOkJBSC5JUV9MT0FOU19GT1JfU0FMRS45OTQuMTQvMDYvMjAyNi4uLlVTRC5IAQAAAOlxAgADAAAAAADZXYHZ/sneCDvg9Nv+yd4IPUNJUS5OWVNFOkJBSC5JUV9GSU5fRElWX0xPQU5TX0NVUlJFTlQuMTAwMC4xNC8wNi8yMDI2Li4uVVNELkgBAAAA6XECAAMAAAAAAHwfftn+yd4I+9ZF3f7J3ggwQ0lRLk5ZU0U6QkFILklRX0lOVkVOVE9SWS45OTYu</t>
  </si>
  <si>
    <t>MTQvMDYvMjAyNi4uLlVTRC5IAQAAAOlxAgADAAAAAAB8H37Z/sneCI358tv+yd4IM0NJUS5OWVNFOkJBSC5JUV9UT1RBTF9SRUNFSVYuOTkwLjE0LzA2LzIwMjYuLi5VU0QuSAEAAADpcQIAAgAAAAc4OTIuMjg5AQgAAAAFAAAAATEBAAAACjE4OTEzNDc4NjkDAAAAAzE2MAIAAAAEMTAwMQQAAAABMAcAAAAJNi8xNC8yMDI2CAAAAAkzLzMxLzIwMTYJAAAAATB8H37Z/sneCI358tv+yd4IM0NJUS5OWVNFOkJBSC5JUV9PVEhFUl9SRUNFSVYuOTk2LjE0LzA2LzIwMjYuLi5VU0QuSAEAAADpcQIAAgAAAAY0Ny4xNDIBCAAAAAUAAAABMQEAAAALLTE5OTI0MDIwNTkDAAAAAzE2MAIAAAAEMTIwNgQAAAABMAcAAAAJNi8xNC8yMDI2CAAAAAkzLzMxLzIwMjIJAAAAATB8H37Z/sneCI358tv+yd4IKkNJUS5OWVNFOkJBSC5JUV9HVy4xMDAwLjE0LzA2LzIwMjYuLi5VU0QuSAEAAADpcQIAAgAAAAQyMzk5AQgAAAAFAAAAATEBAAAACy0xODg3NzA0OTc3AwAAAAMxNjACAAAABDExNzEEAAAAATAHAAAACTYvMTQvMjAyNggAAAAJMy8zMS8yMDI2CQAAAAEw2V2B2f7J3gj71kXd/sneCCxDSVEuTllTRTpCQUguSVFfTlBQRS4xMDAwLjE0LzA2LzIwMjYuLi5VU0QuSAEAAADpcQIAAgAAAAMzMTgBCAAAAAUAAAABMQEAAAALLTE4ODc3MDQ5NzcDAAAAAzE2MAIAAAAEMTAwNAQAAAABMAcAAAAJNi8xNC8yMDI2CAAAAAkz</t>
  </si>
  <si>
    <t>LzMxLzIwMjYJAAAAATDZXYHZ/sneCPvWRd3+yd4IK0NJUS5OWVNFOkJBSC5JUV9HUFBFLjk5OC4xNC8wNi8yMDI2Li4uVVNELkgBAAAA6XECAAIAAAADNjczAQgAAAAFAAAAATEBAAAACy0xODg3NzA0OTkzAwAAAAMxNjACAAAABDExNjkEAAAAATAHAAAACTYvMTQvMjAyNggAAAAJMy8zMS8yMDI0CQAAAAEw2V2B2f7J3givXvXb/sneCC9DSVEuTllTRTpCQUguSVFfVE9UQUxfQ0EuOTkyLjE0LzA2LzIwMjYuLi5VU0QuSAEAAADpcQIAAgAAAAgxNDkxLjk3MgEIAAAABQAAAAExAQAAAAoyMDM4MDkxMDc3AwAAAAMxNjACAAAABDEwMDgEAAAAATAHAAAACTYvMTQvMjAyNggAAAAJMy8zMS8yMDE4CQAAAAEw2V2B2f7J3givXvXb/sneCDZDSVEuTllTRTpCQUguSVFfUkVTVFJJQ1RFRF9DQVNILjk5OC4xNC8wNi8yMDI2Li4uVVNELkgBAAAA6XECAAMAAAAAANldgdn+yd4Ir1712/7J3gguQ0lRLk5ZU0U6QkFILklRX1NUX0RFQlQuOTkwLjE0LzA2LzIwMjYuLi5VU0QuSAEAAADpcQIAAwAAAAAA2V2B2f7J3ghvrvzb/sneCDNDSVEuTllTRTpCQUguSVFfVE9UQUxfQVNTRVRTLjk5Mi4xNC8wNi8yMDI2Li4uVVNELkgBAAAA6XECAAIAAAAIMzYwNi42MTkBCAAAAAUAAAABMQEAAAAKMjAzODA5MTA3NwMAAAADMTYwAgAAAAQxMDA3BAAAAAEwBwAAAAk2LzE0LzIwMjYIAAAACTMvMzEvMjAxOAkAAAABMNldgdn+</t>
  </si>
  <si>
    <t>yd4IwP/62/7J3gg1Q0lRLk5ZU0U6QkFILklRX0RFRl9DSEFSR0VTX0xULjk5MS4xNC8wNi8yMDI2Li4uVVNELkgBAAAA6XECAAMAAAAAANldgdn+yd4Ibs332/7J3gg2Q0lRLk5ZU0U6QkFILklRX0xPQU5TX1JFQ0VJVl9MVC45OTAuMTQvMDYvMjAyNi4uLlVTRC5IAQAAAOlxAgADAAAAAADZXYHZ/sneCG7N99v+yd4IOENJUS5OWVNFOkJBSC5JUV9GSU5fRElWX0xPQU5TX0xULjIwMDAuMTQvMDYvMjAyNi4uLlVTRC5IAQAAAOlxAgADAAAAAADZXYHZ/sneCG7N99v+yd4IN0NJUS5OWVNFOkJBSC5JUV9MT05HX1RFUk1fTEVBU0VTLjk5OC4xNC8wNi8yMDI2Li4uVVNELkgBAAAA6XECAAIAAAADMTgyAQgAAAAFAAAAATEBAAAACy0xODg3NzA0OTkzAwAAAAMxNjACAAAABDExODMEAAAAATAHAAAACTYvMTQvMjAyNggAAAAJMy8zMS8yMDI0CQAAAAEw2V2B2f7J3ghlF//b/sneCDVDSVEuTllTRTpCQUguSVFfT1RIRVJfQ0xfU1VQUEwuOTk2LjE0LzA2LzIwMjYuLi5VU0QuSAEAAADpcQIAAgAAAAcyOTYuOTk2AQgAAAAFAAAAATEBAAAACy0xOTkyNDAyMDU5AwAAAAMxNjACAAAABDEwNTcEAAAAATAHAAAACTYvMTQvMjAyNggAAAAJMy8zMS8yMDIyCQAAAAEw2V2B2f7J3ghlF//b/sneCDlDSVEuTllTRTpCQUguSVFfVU5FQVJOX1JFVl9DVVJSRU5ULjk5Ny4xNC8wNi8yMDI2Li4uVVNELkgBAAAA6XECAAIA</t>
  </si>
  <si>
    <t>AAAGMTguOTk1AQgAAAAFAAAAATEBAAAACy0xOTQxNTQ2ODcxAwAAAAMxNjACAAAABDEwNzQEAAAAATAHAAAACTYvMTQvMjAyNggAAAAJMy8zMS8yMDIzCQAAAAEw2V2B2f7J3ghvrvzb/sneCDxDSVEuTllTRTpCQUguSVFfRklOX0RJVl9ERUJUX0NVUlJFTlQuMTAwMC4xNC8wNi8yMDI2Li4uVVNELkgBAAAA6XECAAMAAAAAANldgdn+yd4I+9ZF3f7J3gg5Q0lRLk5ZU0U6QkFILklRX0NVUlJFTlRfUE9SVF9ERUJULjEwMDAuMTQvMDYvMjAyNi4uLlVTRC5IAQAAAOlxAgACAAAAAjE5AQgAAAAFAAAAATEBAAAACy0xODg3NzA0OTc3AwAAAAMxNjACAAAABDEyOTcEAAAAATAHAAAACTYvMTQvMjAyNggAAAAJMy8zMS8yMDI2CQAAAAEw2V2B2f7J3gj71kXd/sneCDJDSVEuTllTRTpCQUguSVFfUFJFRl9FUVVJVFkuOTkxLjE0LzA2LzIwMjYuLi5VU0QuSAEAAADpcQIAAwAAAAAAfF9G2f7J3ghqhgHc/sneCDNDSVEuTllTRTpCQUguSVFfUFJFRl9DT05WRVJULjk5My4xNC8wNi8yMDI2Li4uVVNELkgBAAAA6XECAAMAAAAAAH+ogtn+yd4IaoYB3P7J3ggxQ0lRLk5ZU0U6QkFILklRX1RPVEFMX0xJQUIuOTk4LjE0LzA2LzIwMjYuLi5VU0QuSAEAAADpcQIAAgAAAAQ1NTE3AQgAAAAFAAAAATEBAAAACy0xODg3NzA0OTkzAwAAAAMxNjACAAAABDEyNzYEAAAAATAHAAAACTYvMTQvMjAyNggAAAAJMy8zMS8yMDI0</t>
  </si>
  <si>
    <t>CQAAAAEw2V2B2f7J3ghlF//b/sneCC5DSVEuTllTRTpCQUguSVFfUEVOU0lPTi45OTYuMTQvMDYvMjAyNi4uLlVTRC5IAQAAAOlxAgACAAAABjE2LjUxMgEIAAAABQAAAAExAQAAAAstMTk5MjQwMjA1OQMAAAADMTYwAgAAAAQxMjEzBAAAAAEwBwAAAAk2LzE0LzIwMjYIAAAACTMvMzEvMjAyMgkAAAABMNldgdn+yd4IZRf/2/7J3gg2Q0lRLk5ZU0U6QkFILklRX0ZJTl9ESVZfTElBQl9MVC45OTcuMTQvMDYvMjAyNi4uLlVTRC5IAQAAAOlxAgADAAAAAADZXYHZ/sneCGUX/9v+yd4IP0NJUS5OWVNFOkJBSC5JUV9SVUFfQ0FQSVRBTF9MRUFTRV9HUk9TUy4yMDAwLjE0LzA2LzIwMjYuLi5VU0QuSAEAAADpcQIAAwAAAAAAfF9G2f7J3giY7wTc/sneCDRDSVEuTllTRTpCQUguSVFfUlVBX0FDQ1VNX0RFUC45OTEuMTQvMDYvMjAyNi4uLlVTRC5IAQAAAOlxAgADAAAAAAB8X0bZ/sneCDN3BNz+yd4IM0NJUS5OWVNFOkJBSC5JUV9UT1RBTF9FUVVJVFkuOTk3LjE0LzA2LzIwMjYuLi5VU0QuSAEAAADpcQIAAgAAAAc5OTIuMDAyAQgAAAAFAAAAATEBAAAACy0xOTQxNTQ2ODcxAwAAAAMxNjACAAAABDEyNzUEAAAAATAHAAAACTYvMTQvMjAyNggAAAAJMy8zMS8yMDIzCQAAAAEwfF9G2f7J3ghqhgHc/sneCDNDSVEuTllTRTpCQUguSVFfT1RIRVJfRVFVSVRZLjk5OC4xNC8wNi8yMDI2Li4uVVNELkgBAAAA6XEC</t>
  </si>
  <si>
    <t>AAIAAAACMTABCAAAAAUAAAABMQEAAAALLTE4ODc3MDQ5OTMDAAAAAzE2MAIAAAAEMTAyOAQAAAABMAcAAAAJNi8xNC8yMDI2CAAAAAkzLzMxLzIwMjQJAAAAATB8X0bZ/sneCGqGAdz+yd4IKUNJUS5OWVNFOkJBSC5JUV9SRS45OTIuMTQvMDYvMjAyNi4uLlVTRC5IAQAAAOlxAgACAAAABzY5MC41MTYBCAAAAAUAAAABMQEAAAAKMjAzODA5MTA3NwMAAAADMTYwAgAAAAQxMjIyBAAAAAEwBwAAAAk2LzE0LzIwMjYIAAAACTMvMzEvMjAxOAkAAAABMHxfRtn+yd4IaoYB3P7J3ggzQ0lRLk5ZU0U6QkFILklRX1RPVEFMX0xFQVNFUy45OTUuMTQvMDYvMjAyNi4uLlVTRC5IAQAAAOlxAgACAAAABTMxOC4xAQgAAAAFAAAAATEBAAAACy0yMDQzMjE1MzkyAwAAAAMxNjACAAAABTQ4OTc5BAAAAAEwBwAAAAk2LzE0LzIwMjYIAAAACTMvMzEvMjAyMQkAAAABMHxfRtn+yd4I5MsG3P7J3ghNQ0lRLk5ZU0U6QkFILklRX0NVUlJFTlRfUE9SVElPTl9PUEVSX0xFQVNFX0xJQUJJTElUSUVTLjk5MC4xNC8wNi8yMDI2Li4uVVNELkgBAAAA6XECAAMAAAAAAHxfRtn+yd4I5MsG3P7J3gg9Q0lRLk5ZU0U6QkFILklRX0ZJTkFOQ0VfTEVBU0VTX0NVUlJFTlQuOTkzLjE0LzA2LzIwMjYuLi5VU0QuSAEAAADpcQIAAwAAAAAAfF9G2f7J3gjkywbc/sneCD1DSVEuTllTRTpCQUguSVFfR1BQRV9FWENMX09QRVJfTEVBU0VTLjEw</t>
  </si>
  <si>
    <t>MDAuMTQvMDYvMjAyNi4uLlVTRC5IAQAAAOlxAgACAAAAAzQ4OQEIAAAABQAAAAExAQAAAAstMTg4NzcwNDk3NwMAAAADMTYwAgAAAAU0ODk3NAQAAAABMAcAAAAJNi8xNC8yMDI2CAAAAAkzLzMxLzIwMjYJAAAAATB8X0bZ/sneCGAlRN3+yd4IQENJUS5OWVNFOkJBSC5JUV9SVUFfT1BFUkFUSU5HX0xFQVNFX0dST1NTLjk5My4xNC8wNi8yMDI2Li4uVVNELkgBAAAA6XECAAMAAAAAAHxfRtn+yd4IS4wF3P7J3ggvQ0lRLk5ZU0U6QkFILklRX05FVF9ERUJULjk5Ni4xNC8wNi8yMDI2Li4uVVNELkgBAAAA6XECAAIAAAAIMjQwNy45MjkBCAAAAAUAAAABMQEAAAALLTE5OTI0MDIwNTkDAAAAAzE2MAIAAAAENDM2NAQAAAABMAcAAAAJNi8xNC8yMDI2CAAAAAkzLzMxLzIwMjIJAAAAATBKR0fZ/sneCAU/Ctz+yd4IMUNJUS5OWVNFOkJBSC5JUV9DQVNIX1NIQVJFLjk5OC4xNC8wNi8yMDI2Li4uVVNELkgBAAAA6XECAAIAAAAINC4yNzMyNjkBCAAAAAUAAAABMQEAAAALLTE4ODc3MDQ5OTMDAAAAAzE2MAIAAAAENDM4MQQAAAABMAcAAAAJNi8xNC8yMDI2CAAAAAkzLzMxLzIwMjQJAAAAATBKR0fZ/sneCJHICNz+yd4IOUNJUS5OWVNFOkJBSC5JUV9UQlZfU0hBUkVfUkVQT1JURUQuOTk4LjE0LzA2LzIwMjYuLi5VU0QuSAEAAADpcQIAAwAAAAAASkdH2f7J3giRyAjc/sneCEJDSVEuTllTRTpCQUguSVFfVE9U</t>
  </si>
  <si>
    <t>QUxfREVCVF9FWENMX09QRVJfTEVBU0VTLjk5NS4xNC8wNi8yMDI2Li4uVVNELkgBAAAA6XECAAIAAAAIMjM5NC43NTgBCAAAAAUAAAABMQEAAAALLTIwNDMyMTUzOTIDAAAAAzE2MAIAAAAFNDg5ODIEAAAAATAHAAAACTYvMTQvMjAyNggAAAAJMy8zMS8yMDIxCQAAAAEwfF9G2f7J3gjkywbc/sneCEpDSVEuTllTRTpCQUguSVFfTElRVUlEQVRJT05fVkFMVUVfUFJFRkVSUkVEX0NPTlZFUlQuOTkyLjE0LzA2LzIwMjYuLi5VU0QuSAEAAADpcQIAAwAAAAAASkdH2f7J3ggdIRDc/sneCEJDSVEuTllTRTpCQUguSVFfRklOX0RJVl9NSU5PUklUWV9JTlRfUkVERUVNLjk5Ni4xNC8wNi8yMDI2Li4uVVNELkgBAAAA6XECAAMAAAAAAEpHR9n+yd4IHSEQ3P7J3ggvQ0lRLk5ZU0U6QkFILklRX1NPRlRXQVJFLjk5MC4xNC8wNi8yMDI2Li4uVVNELkgBAAAA6XECAAMAAAAAAEpHR9n+yd4I4T0L3P7J3gguQ0lRLk5ZU0U6QkFILklRX1JBV19JTlYuOTk0LjE0LzA2LzIwMjYuLi5VU0QuSAEAAADpcQIAAwAAAAAASkdH2f7J3gjhPQvc/sneCDdDSVEuTllTRTpCQUguSVFfTkVUX1dPUktJTkdfQ0FQLjIwMDAuMTQvMDYvMjAyNi4uLlVTRC5IAQAAAOlxAgACAAAAAzYzMgEIAAAABQAAAAExAQAAAAstMTg4NzcwNDM0MQMAAAADMTYwAgAAAAQxMzExBAAAAAEwBwAAAAk2LzE0LzIwMjYIAAAACTMvMzEvMjAyNgkAAAAB</t>
  </si>
  <si>
    <t>MEpHR9n+yd4I4T0L3P7J3ghEQ0lRLk5ZU0U6QkFILklRX0RFUFJFQ0lBVElPTl9SRU5UQUxfQVNTRVRTX0NGLjk5NS4xNC8wNi8yMDI2Li4uVVNELkgBAAAA6XECAAMAAAAAAMOcf9n+yd4INb3o2/7J3ghAQ0lRLk5ZU0U6QkFILklRX0dXX0lOVEFOX0FNT1JUX1BBUlRJQUxfQ0YuOTkxLjE0LzA2LzIwMjYuLi5VU0QuSAEAAADpcQIAAwAAAAAAw5x/2f7J3ggFi+fb/sneCEBDSVEuTllTRTpCQUguSVFfREVSSVZBVElWRV9UUkFESU5HX0FTU0VUUy45OTAuMTQvMDYvMjAyNi4uLlVTRC5IAQAAAOlxAgADAAAAAACGKxTZ/sneCEdnF9z+yd4IO0NJUS5OWVNFOkJBSC5JUV9MSUFCSUxJVElFU19MRVZFTF8xLjEwMDAuMTQvMDYvMjAyNi4uLlVTRC5IAQAAAOlxAgACAAAAAjQwAIYrFNn+yd4IuIhD3f7J3gg4Q0lRLk5ZU0U6QkFILklRX0NBU0hfSU5URVJFU1RfTkVULjk5Ny4xNC8wNi8yMDI2Li4uVVNELkgBAAAA6XECAAIAAAADMTE2AQgAAAAFAAAAATEBAAAACy0xOTQxNTQ2ODcxAwAAAAMxNjACAAAABTI0Mzg5BAAAAAEwBwAAAAk2LzE0LzIwMjYIAAAACTMvMzEvMjAyMwkAAAABMDzkfNn+yd4Iufrp2/7J3ghCQ0lRLk5ZU0U6QkFILklRX1NBTEVfUFJPQ0VFRFNfUkVOVEFMX0FTU0VUUy45OTMuMTQvMDYvMjAyNi4uLlVTRC5IAQAAAOlxAgADAAAAAADZIIHZ/sneCLn66dv+yd4IM0NJUS5OWVNFOkJB</t>
  </si>
  <si>
    <t>SC5JUV9BTU9SVF9ESUNfQ0YuOTk5LjE0LzA2LzIwMjYuLi5VU0QuSAEAAADpcQIAAwAAAAAA2SCB2f7J3ghgQUjd/sneCD1DSVEuTllTRTpCQUguSVFfREFfQ0ZfRVhDTF9PUEVSX0xFQVNFUy45OTUuMTQvMDYvMjAyNi4uLlVTRC5IAQAAAOlxAgACAAAABjg0LjMxNQEIAAAABQAAAAExAQAAAAstMjA0MzIxNTM5MgMAAAADMTYwAgAAAAU0ODk4NQQAAAABMAcAAAAJNi8xNC8yMDI2CAAAAAkzLzMxLzIwMjEJAAAAATDDnH/Z/sneCDW96Nv+yd4IL0NJUS5OWVNFOkJBSC5JUV9ERVBfUlVBLjIwMDAuMTQvMDYvMjAyNi4uLlVTRC5IAQAAAOlxAgADAAAAAADDnH/Z/sneCDW96Nv+yd4IO0NJUS5OWVNFOkJBSC5JUV9DSEFOR0VfREVGX1RBWF9UT1RBTC45OTkuMTQvMDYvMjAyNi4uLlVTRC5IAQAAAOlxAgACAAAAAy05MQEIAAAABQAAAAExAQAAAAstMTg4NzcwNTAwMQMAAAADMTYwAgAAAAUzMDkyNAQAAAABMAcAAAAJNi8xNC8yMDI2CAAAAAkzLzMxLzIwMjUJAAAAATA85HzZ/sneCPvWRd3+yd4IOENJUS5OWVNFOkJBSC5JUV9DQVNIX1RBWEVTX0lOVkVTVC45OTUuMTQvMDYvMjAyNi4uLlVTRC5IAQAAAOlxAgADAAAAAAA85HzZ/sneCPi27Nv+yd4IMkNJUS5OWVNFOkJBSC5JUV9DQVNIX1RBWEVTLjIwMDAuMTQvMDYvMjAyNi4uLlVTRC5IAQAAAOlxAgACAAAAAzEwMwEIAAAABQAAAAExAQAAAAstMTg4</t>
  </si>
  <si>
    <t>NzcwNDM0MQMAAAADMTYwAgAAAAQzMDUzBAAAAAEwBwAAAAk2LzE0LzIwMjYIAAAACTMvMzEvMjAyNgkAAAABMDzkfNn+yd4I+Lbs2/7J3gg7Q0lRLk5ZU0U6QkFILklRX0NBU0hfSU5URVJFU1RfSU5WRVNULjk5Ny4xNC8wNi8yMDI2Li4uVVNELkgBAAAA6XECAAMAAAAAADzkfNn+yd4IGE7s2/7J3gg5Q0lRLk5ZU0U6QkFILklRX0NBU0hfSU5URVJFU1RfT1BFUi45OTEuMTQvMDYvMjAyNi4uLlVTRC5IAQAAAOlxAgADAAAAAAA85HzZ/sneCLn66dv+yd4IQENJUS5OWVNFOkJBSC5JUV9PUEVSQVRJTkdfTEVBU0VfUEFZTUVOVFMuMjAwMC4xNC8wNi8yMDI2Li4uVVNELkgBAAAA6XECAAMAAAAAAHwfftn+yd4IYH7w2/7J3ggzQ0lRLk5ZU0U6QkFILklRX0RPX0lOVkVTVF9DRi45OTcuMTQvMDYvMjAyNi4uLlVTRC5IAQAAAOlxAgADAAAAAAB8H37Z/sneCODh79v+yd4IMkNJUS5OWVNFOkJBSC5JUV9NQUlOVF9DQVBFWC45OTEuMTQvMDYvMjAyNi4uLlVTRC5IAQAAAOlxAgADAAAAAAA85HzZ/sneCM247tv+yd4INENJUS5OWVNFOkJBSC5JUV9VTkxFVkVSRURfRkNGLjk5OS4xNC8wNi8yMDI2Li4uVVNELkgBAAAA6XECAAIAAAAGODExLjc1AQgAAAAFAAAAATEBAAAACy0xODg3NzA1MDAxAwAAAAMxNjACAAAABDQ0MjMEAAAAATAHAAAACTYvMTQvMjAyNggAAAAJMy8zMS8yMDI1CQAAAAEwPOR82f7J3gj7</t>
  </si>
  <si>
    <t>1kXd/sneCDJDSVEuTllTRTpCQUguSVFfTEVWRVJFRF9GQ0YuOTkzLjE0LzA2LzIwMjYuLi5VU0QuSAEAAADpcQIAAgAAAAoyNzEuNzE4Mzc1AQgAAAAFAAAAATEBAAAACjIwOTkwODcxMzMDAAAAAzE2MAIAAAAENDQyMgQAAAABMAcAAAAJNi8xNC8yMDI2CAAAAAkzLzMxLzIwMTkJAAAAATA85HzZ/sneCPi27Nv+yd4IMENJUS5OWVNFOkJBSC5JUV9TVF9JTlZFU1QuOTk3LjE0LzA2LzIwMjYuLi5VU0QuSAEAAADpcQIAAwAAAAAAfB9+2f7J3ghyhPLb/sneCDFDSVEuTllTRTpCQUguSVFfQ0FTSF9FUVVJVi45OTEuMTQvMDYvMjAyNi4uLlVTRC5IAQAAAOlxAgACAAAABzIxNy40MTcBCAAAAAUAAAABMQEAAAAKMTk2NTc3MjQyMgMAAAADMTYwAgAAAAQxMDk2BAAAAAEwBwAAAAk2LzE0LzIwMjYIAAAACTMvMzEvMjAxNwkAAAABMHwfftn+yd4IKA/y2/7J3ghJQ0lRLk5ZU0U6QkFILklRX0xPTkdfVEVSTV9ERUJUX1JFUEFJRF9FWENMX0xFQVNFUy4yMDAwLjE0LzA2LzIwMjYuLi5VU0QuSAEAAADpcQIAAgAAAAMtNjkBCAAAAAUAAAABMQEAAAALLTE4ODc3MDQzNDEDAAAAAzE2MAIAAAAFNDg5ODQEAAAAATAHAAAACTYvMTQvMjAyNggAAAAJMy8zMS8yMDI2CQAAAAEwfB9+2f7J3gjCmfHb/sneCEpDSVEuTllTRTpCQUguSVFfT1BFUkFUSU5HX0xFQVNFX0xJQUJJTElUSUVTX05PTkNBU0guOTk1LjE0LzA2</t>
  </si>
  <si>
    <t>LzIwMjYuLi5VU0QuSAEAAADpcQIAAwAAAAAAfB9+2f7J3gi18/Db/sneCDxDSVEuTllTRTpCQUguSVFfRklOX0RJVl9MT0FOU19DVVJSRU5ULjk5OS4xNC8wNi8yMDI2Li4uVVNELkgBAAAA6XECAAMAAAAAAHwfftn+yd4I+9ZF3f7J3ggyQ0lRLk5ZU0U6QkFILklRX1BSRVBBSURfRVhQLjk5My4xNC8wNi8yMDI2Li4uVVNELkgBAAAA6XECAAIAAAAGODMuMTk2AQgAAAAFAAAAATEBAAAACjIwOTkwODcxMzMDAAAAAzE2MAIAAAAEMTIxMgQAAAABMAcAAAAJNi8xNC8yMDI2CAAAAAkzLzMxLzIwMTkJAAAAATB8H37Z/sneCI358tv+yd4INkNJUS5OWVNFOkJBSC5JUV9TVF9OT1RFX1JFQ0VJVi4yMDAwLjE0LzA2LzIwMjYuLi5VU0QuSAEAAADpcQIAAwAAAAAAfB9+2f7J3giN+fLb/sneCDNDSVEuTllTRTpCQUguSVFfT1RIRVJfUkVDRUlWLjk5NS4xNC8wNi8yMDI2Li4uVVNELkgBAAAA6XECAAIAAAAHMTc1LjU0MQEIAAAABQAAAAExAQAAAAstMjA0MzIxNTM5MgMAAAADMTYwAgAAAAQxMjA2BAAAAAEwBwAAAAk2LzE0LzIwMjYIAAAACTMvMzEvMjAyMQkAAAABMHwfftn+yd4Ijfny2/7J3gg1Q0lRLk5ZU0U6QkFILklRX0NBU0hfU1RfSU5WRVNULjk5MS4xNC8wNi8yMDI2Li4uVVNELkgBAAAA6XECAAIAAAAHMjE3LjQxNwEIAAAABQAAAAExAQAAAAoxOTY1NzcyNDIyAwAAAAMxNjACAAAABDEwMDIEAAAA</t>
  </si>
  <si>
    <t>ATAHAAAACTYvMTQvMjAyNggAAAAJMy8zMS8yMDE3CQAAAAEwfB9+2f7J3giN+fLb/sneCCtDSVEuTllTRTpCQUguSVFfTlBQRS45OTkuMTQvMDYvMjAyNi4uLlVTRC5IAQAAAOlxAgACAAAAAzM1NQEIAAAABQAAAAExAQAAAAstMTg4NzcwNTAwMQMAAAADMTYwAgAAAAQxMDA0BAAAAAEwBwAAAAk2LzE0LzIwMjYIAAAACTMvMzEvMjAyNQkAAAABMNldgdn+yd4I+9ZF3f7J3ggpQ0lRLk5ZU0U6QkFILklRX0FELjk5NS4xNC8wNi8yMDI2Li4uVVNELkgBAAAA6XECAAIAAAAILTIzNS40OTEBCAAAAAUAAAABMQEAAAALLTIwNDMyMTUzOTIDAAAAAzE2MAIAAAAEMTA3NQQAAAABMAcAAAAJNi8xNC8yMDI2CAAAAAkzLzMxLzIwMjEJAAAAATDZXYHZ/sneCK9e9dv+yd4IL0NJUS5OWVNFOkJBSC5JUV9UT1RBTF9DQS45OTEuMTQvMDYvMjAyNi4uLlVTRC5IAQAAAOlxAgACAAAABzEyOTQuNDgBCAAAAAUAAAABMQEAAAAKMTk2NTc3MjQyMgMAAAADMTYwAgAAAAQxMDA4BAAAAAEwBwAAAAk2LzE0LzIwMjYIAAAACTMvMzEvMjAxNwkAAAABMNldgdn+yd4Ir1712/7J3gg2Q0lRLk5ZU0U6QkFILklRX1JFU1RSSUNURURfQ0FTSC45OTcuMTQvMDYvMjAyNi4uLlVTRC5IAQAAAOlxAgADAAAAAADZXYHZ/sneCK9e9dv+yd4INUNJUS5OWVNFOkJBSC5JUV9MT0FOU19GT1JfU0FMRS45OTMuMTQvMDYvMjAyNi4uLlVTRC5I</t>
  </si>
  <si>
    <t>AQAAAOlxAgADAAAAAADZXYHZ/sneCDvg9Nv+yd4INENJUS5OWVNFOkJBSC5JUV9UT1RBTF9BU1NFVFMuMjAwMC4xNC8wNi8yMDI2Li4uVVNELkgBAAAA6XECAAIAAAAENzExOAEIAAAABQAAAAExAQAAAAstMTg4NzcwNDM0MQMAAAADMTYwAgAAAAQxMDA3BAAAAAEwBwAAAAk2LzE0LzIwMjYIAAAACTMvMzEvMjAyNgkAAAABMNldgdn+yd4IwP/62/7J3gg2Q0lRLk5ZU0U6QkFILklRX0RFRl9DSEFSR0VTX0xULjEwMDAuMTQvMDYvMjAyNi4uLlVTRC5IAQAAAOlxAgADAAAAAADZXYHZ/sneCPvWRd3+yd4INkNJUS5OWVNFOkJBSC5JUV9MT0FOU19SRUNFSVZfTFQuOTk5LjE0LzA2LzIwMjYuLi5VU0QuSAEAAADpcQIAAwAAAAAA2V2B2f7J3gj71kXd/sneCDhDSVEuTllTRTpCQUguSVFfRklOX0RJVl9BU1NFVFNfTFQuOTk4LjE0LzA2LzIwMjYuLi5VU0QuSAEAAADpcQIAAwAAAAAA2V2B2f7J3ghuzffb/sneCDJDSVEuTllTRTpCQUguSVFfT1RIRVJfSU5UQU4uOTk3LjE0LzA2LzIwMjYuLi5VU0QuSAEAAADpcQIAAgAAAAc2ODUuNjE1AQgAAAAFAAAAATEBAAAACy0xOTQxNTQ2ODcxAwAAAAMxNjACAAAABDEwNDAEAAAAATAHAAAACTYvMTQvMjAyNggAAAAJMy8zMS8yMDIzCQAAAAEw2V2B2f7J3ghuzffb/sneCC9DSVEuTllTRTpCQUguSVFfVE9UQUxfQ0wuOTkyLjE0LzA2LzIwMjYuLi5VU0QuSAEAAADp</t>
  </si>
  <si>
    <t>cQIAAgAAAAgxMDI4Ljc2NwEIAAAABQAAAAExAQAAAAoyMDM4MDkxMDc3AwAAAAMxNjACAAAABDEwMDkEAAAAATAHAAAACTYvMTQvMjAyNggAAAAJMy8zMS8yMDE4CQAAAAEw2V2B2f7J3ghlF//b/sneCDlDSVEuTllTRTpCQUguSVFfVU5FQVJOX1JFVl9DVVJSRU5ULjk5Ni4xNC8wNi8yMDI2Li4uVVNELkgBAAAA6XECAAIAAAAGMjYuNzQ3AQgAAAAFAAAAATEBAAAACy0xOTkyNDAyMDU5AwAAAAMxNjACAAAABDEwNzQEAAAAATAHAAAACTYvMTQvMjAyNggAAAAJMy8zMS8yMDIyCQAAAAEw2V2B2f7J3ghvrvzb/sneCDtDSVEuTllTRTpCQUguSVFfRklOX0RJVl9MSUFCX0NVUlJFTlQuOTk3LjE0LzA2LzIwMjYuLi5VU0QuSAEAAADpcQIAAwAAAAAA2V2B2f7J3ghvrvzb/sneCDhDSVEuTllTRTpCQUguSVFfQ1VSUkVOVF9QT1JUX0RFQlQuOTk5LjE0LzA2LzIwMjYuLi5VU0QuSAEAAADpcQIAAgAAAAI4MwEIAAAABQAAAAExAQAAAAstMTg4NzcwNTAwMQMAAAADMTYwAgAAAAQxMjk3BAAAAAEwBwAAAAk2LzE0LzIwMjYIAAAACTMvMzEvMjAyNQkAAAABMNldgdn+yd4I+9ZF3f7J3ggqQ0lRLk5ZU0U6QkFILklRX0FFLjIwMDAuMTQvMDYvMjAyNi4uLlVTRC5IAQAAAOlxAgACAAAAAzcwOAEIAAAABQAAAAExAQAAAAstMTg4NzcwNDM0MQMAAAADMTYwAgAAAAQxMDE2BAAAAAEwBwAAAAk2LzE0LzIwMjYIAAAA</t>
  </si>
  <si>
    <t>CTMvMzEvMjAyNgkAAAABMNldgdn+yd4Ib6782/7J3ggzQ0lRLk5ZU0U6QkFILklRX1BSRUZfQ09OVkVSVC45OTIuMTQvMDYvMjAyNi4uLlVTRC5IAQAAAOlxAgADAAAAAAB/qILZ/sneCGqGAdz+yd4IMUNJUS5OWVNFOkJBSC5JUV9UT1RBTF9MSUFCLjk5Ny4xNC8wNi8yMDI2Li4uVVNELkgBAAAA6XECAAIAAAAHNTU1OC42NQEIAAAABQAAAAExAQAAAAstMTk0MTU0Njg3MQMAAAADMTYwAgAAAAQxMjc2BAAAAAEwBwAAAAk2LzE0LzIwMjYIAAAACTMvMzEvMjAyMwkAAAABMNldgdn+yd4IZRf/2/7J3gg2Q0lRLk5ZU0U6QkFILklRX0RFRl9UQVhfTElBQl9MVC45OTMuMTQvMDYvMjAyNi4uLlVTRC5IAQAAAOlxAgACAAAABjMzLjIzOAEIAAAABQAAAAExAQAAAAoyMDk5MDg3MTMzAwAAAAMxNjACAAAABDEwMjcEAAAAATAHAAAACTYvMTQvMjAyNggAAAAJMy8zMS8yMDE5CQAAAAEw2V2B2f7J3ghlF//b/sneCDZDSVEuTllTRTpCQUguSVFfRklOX0RJVl9MSUFCX0xULjk5Ni4xNC8wNi8yMDI2Li4uVVNELkgBAAAA6XECAAMAAAAAANldgdn+yd4IZRf/2/7J3gg3Q0lRLk5ZU0U6QkFILklRX0xPTkdfVEVSTV9MRUFTRVMuOTk3LjE0LzA2LzIwMjYuLi5VU0QuSAEAAADpcQIAAgAAAAcxOTguMTQ0AQgAAAAFAAAAATEBAAAACy0xOTQxNTQ2ODcxAwAAAAMxNjACAAAABDExODMEAAAAATAHAAAACTYvMTQvMjAy</t>
  </si>
  <si>
    <t>NggAAAAJMy8zMS8yMDIzCQAAAAEw2V2B2f7J3ghlF//b/sneCDRDSVEuTllTRTpCQUguSVFfUlVBX0FDQ1VNX0RFUC45OTAuMTQvMDYvMjAyNi4uLlVTRC5IAQAAAOlxAgADAAAAAAB8X0bZ/sneCDN3BNz+yd4IM0NJUS5OWVNFOkJBSC5JUV9UT1RBTF9FUVVJVFkuOTk2LjE0LzA2LzIwMjYuLi5VU0QuSAEAAADpcQIAAgAAAAgxMDQ2LjcyMQEIAAAABQAAAAExAQAAAAstMTk5MjQwMjA1OQMAAAADMTYwAgAAAAQxMjc1BAAAAAEwBwAAAAk2LzE0LzIwMjYIAAAACTMvMzEvMjAyMgkAAAABMHxfRtn+yd4IaoYB3P7J3ggzQ0lRLk5ZU0U6QkFILklRX09USEVSX0VRVUlUWS45OTcuMTQvMDYvMjAyNi4uLlVTRC5IAQAAAOlxAgACAAAABjI5LjMzMwEIAAAABQAAAAExAQAAAAstMTk0MTU0Njg3MQMAAAADMTYwAgAAAAQxMDI4BAAAAAEwBwAAAAk2LzE0LzIwMjYIAAAACTMvMzEvMjAyMwkAAAABMHxfRtn+yd4IaoYB3P7J3ggpQ0lRLk5ZU0U6QkFILklRX1JFLjk5MC4xNC8wNi8yMDI2Li4uVVNELkgBAAAA6XECAAIAAAAHMzE4LjUzNwEIAAAABQAAAAExAQAAAAoxODkxMzQ3ODY5AwAAAAMxNjACAAAABDEyMjIEAAAAATAHAAAACTYvMTQvMjAyNggAAAAJMy8zMS8yMDE2CQAAAAEwfF9G2f7J3ghqhgHc/sneCDJDSVEuTllTRTpCQUguSVFfUFJFRl9FUVVJVFkuOTkwLjE0LzA2LzIwMjYuLi5VU0QuSAEAAADp</t>
  </si>
  <si>
    <t>cQIAAwAAAAAAfF9G2f7J3ghqhgHc/sneCE1DSVEuTllTRTpCQUguSVFfQ1VSUkVOVF9QT1JUSU9OX09QRVJfTEVBU0VfTElBQklMSVRJRVMuOTk5LjE0LzA2LzIwMjYuLi5VU0QuSAEAAADpcQIAAgAAAAI0MQEIAAAABQAAAAExAQAAAAstMTg4NzcwNTAwMQMAAAADMTYwAgAAAAU0ODM4NQQAAAABMAcAAAAJNi8xNC8yMDI2CAAAAAkzLzMxLzIwMjUJAAAAATB8X0bZ/sneCGAlRN3+yd4IPUNJUS5OWVNFOkJBSC5JUV9GSU5BTkNFX0xFQVNFU19DVVJSRU5ULjk5Mi4xNC8wNi8yMDI2Li4uVVNELkgBAAAA6XECAAMAAAAAAHxfRtn+yd4I5MsG3P7J3gg8Q0lRLk5ZU0U6QkFILklRX0dQUEVfRVhDTF9PUEVSX0xFQVNFUy45OTkuMTQvMDYvMjAyNi4uLlVTRC5IAQAAAOlxAgACAAAAAzQ1OAEIAAAABQAAAAExAQAAAAstMTg4NzcwNTAwMQMAAAADMTYwAgAAAAU0ODk3NAQAAAABMAcAAAAJNi8xNC8yMDI2CAAAAAkzLzMxLzIwMjUJAAAAATB8X0bZ/sneCGAlRN3+yd4IRENJUS5OWVNFOkJBSC5JUV9SVUFfT1BFUkFUSU5HX0xFQVNFX0FDQ1VNX0RFUC45OTAuMTQvMDYvMjAyNi4uLlVTRC5IAQAAAOlxAgADAAAAAAB8X0bZ/sneCEuMBdz+yd4IP0NJUS5OWVNFOkJBSC5JUV9SVUFfQ0FQSVRBTF9MRUFTRV9HUk9TUy4xMDAwLjE0LzA2LzIwMjYuLi5VU0QuSAEAAADpcQIAAwAAAAAAfF9G2f7J3ghgJUTd/sne</t>
  </si>
  <si>
    <t>CDFDSVEuTllTRTpCQUguSVFfVE9UQUxfREVCVC45OTQuMTQvMDYvMjAyNi4uLlVTRC5IAQAAAOlxAgACAAAACDI1NjEuNzgxAQgAAAAFAAAAATEBAAAACy0yMDk1MTI2MDkwAwAAAAMxNjACAAAABDQxNzMEAAAAATAHAAAACTYvMTQvMjAyNggAAAAJMy8zMS8yMDIwCQAAAAEwSkdH2f7J3giRyAjc/sneCDlDSVEuTllTRTpCQUguSVFfVEJWX1NIQVJFX1JFUE9SVEVELjk5Ni4xNC8wNi8yMDI2Li4uVVNELkgBAAAA6XECAAMAAAAAAEpHR9n+yd4IkcgI3P7J3ggvQ0lRLk5ZU0U6QkFILklRX0JWX1NIQVJFLjk5NC4xNC8wNi8yMDI2Li4uVVNELkgBAAAA6XECAAIAAAAINi4xNzMyNzMBCAAAAAUAAAABMQEAAAALLTIwOTUxMjYwOTADAAAAAzE2MAIAAAAENDAyMAQAAAABMAcAAAAJNi8xNC8yMDI2CAAAAAkzLzMxLzIwMjAJAAAAATBKR0fZ/sneCOTLBtz+yd4IQkNJUS5OWVNFOkJBSC5JUV9UT1RBTF9ERUJUX0VYQ0xfT1BFUl9MRUFTRVMuOTk0LjE0LzA2LzIwMjYuLi5VU0QuSAEAAADpcQIAAgAAAAgyMjQyLjQ5NAEIAAAABQAAAAExAQAAAAstMjA5NTEyNjA5MAMAAAADMTYwAgAAAAU0ODk4MgQAAAABMAcAAAAJNi8xNC8yMDI2CAAAAAkzLzMxLzIwMjAJAAAAATB8X0bZ/sneCOTLBtz+yd4IM0NJUS5OWVNFOkJBSC5JUV9UT1RBTF9MRUFTRVMuOTk0LjE0LzA2LzIwMjYuLi5VU0QuSAEAAADpcQIAAgAA</t>
  </si>
  <si>
    <t>AAczMTkuMjg3AQgAAAAFAAAAATEBAAAACy0yMDk1MTI2MDkwAwAAAAMxNjACAAAABTQ4OTc5BAAAAAEwBwAAAAk2LzE0LzIwMjYIAAAACTMvMzEvMjAyMAkAAAABMHxfRtn+yd4I5MsG3P7J3gg+Q0lRLk5ZU0U6QkFILklRX01JTk9SSVRZX0lOVF9SRURFRU1fVE9ULjk5My4xNC8wNi8yMDI2Li4uVVNELkgBAAAA6XECAAMAAAAAAEpHR9n+yd4IHSEQ3P7J3ggwQ0lRLk5ZU0U6QkFILklRX01BQ0hJTkVSWS45OTguMTQvMDYvMjAyNi4uLlVTRC5IAQAAAOlxAgACAAAAAzIyOQEIAAAABQAAAAExAQAAAAstMTg4NzcwNDk5MwMAAAADMTYwAgAAAAQzMTE0BAAAAAEwBwAAAAk2LzE0LzIwMjYIAAAACTMvMzEvMjAyNAkAAAABMEpHR9n+yd4I4T0L3P7J3gguQ0lRLk5ZU0U6QkFILklRX1JBV19JTlYuOTkzLjE0LzA2LzIwMjYuLi5VU0QuSAEAAADpcQIAAwAAAAAASkdH2f7J3gjhPQvc/sneCDZDSVEuTllTRTpCQUguSVFfTkVUX1dPUktJTkdfQ0FQLjk5OS4xNC8wNi8yMDI2Li4uVVNELkgBAAAA6XECAAIAAAADNzA2AQgAAAAFAAAAATEBAAAACy0xODg3NzA1MDAxAwAAAAMxNjACAAAABDEzMTEEAAAAATAHAAAACTYvMTQvMjAyNggAAAAJMy8zMS8yMDI1CQAAAAEwSkdH2f7J3ghgJUTd/sneCD5DSVEuTllTRTpCQUguSVFfTUlOT1JJVFlfSU5URVJFU1RfVE9UQUwuOTkyLjE0LzA2LzIwMjYuLi5VU0QuSAEA</t>
  </si>
  <si>
    <t>AADpcQIAAwAAAAAASkdH2f7J3ggFPwrc/sneCDhDSVEuTllTRTpCQUguSVFfQ0FTSF9UQVhFU19JTlZFU1QuOTk0LjE0LzA2LzIwMjYuLi5VU0QuSAEAAADpcQIAAwAAAAAAPOR82f7J3gj4tuzb/sneCDtDSVEuTllTRTpCQUguSVFfREVSSVZBVElWRV9BU1NFVFNfTFQuOTk0LjE0LzA2LzIwMjYuLi5VU0QuSAEAAADpcQIAAwAAAAAAhisU2f7J3ghHZxfc/sneCDpDSVEuTllTRTpCQUguSVFfTElBQklMSVRJRVNfTEVWRUxfMS45OTkuMTQvMDYvMjAyNi4uLlVTRC5IAQAAAOlxAgACAAAAAjM1AIYrFNn+yd4IMWlD3f7J3ghNQ0lRLk5ZU0U6QkFILklRX0xJUVVJREFUSU9OX1ZBTFVFX1BSRUZFUlJFRF9OT05fUkVERUVNLjk5Ni4xNC8wNi8yMDI2Li4uVVNELkgBAAAA6XECAAMAAAAAAEpHR9n+yd4IHSEQ3P7J3ggzQ0lRLk5ZU0U6QkFILklRX0RPX0lOVkVTVF9DRi45OTYuMTQvMDYvMjAyNi4uLlVTRC5IAQAAAOlxAgADAAAAAAB8H37Z/sneCODh79v+yd4IMkNJUS5OWVNFOkJBSC5JUV9NQUlOVF9DQVBFWC45OTAuMTQvMDYvMjAyNi4uLlVTRC5IAQAAAOlxAgADAAAAAAA85HzZ/sneCM247tv+yd4IL0NJUS5OWVNFOkJBSC5JUV9DRl9TSEFSRS45OTYuMTQvMDYvMjAyNi4uLlVTRC5IAQAAAOlxAgACAAAABzQuODk0ODIBCAAAAAUAAAABMQEAAAALLTE5OTI0MDIwNTkDAAAAAzE2MAIAAAAFNDM5MjME</t>
  </si>
  <si>
    <t>AAAAATAHAAAACTYvMTQvMjAyNggAAAAJMy8zMS8yMDIyCQAAAAEwPOR82f7J3gjNuO7b/sneCDJDSVEuTllTRTpCQUguSVFfTEVWRVJFRF9GQ0YuOTkyLjE0LzA2LzIwMjYuLi5VU0QuSAEAAADpcQIAAgAAAAoyMTQuNjM1Mzc1AQgAAAAFAAAAATEBAAAACjIwMzgwOTEwNzcDAAAAAzE2MAIAAAAENDQyMgQAAAABMAcAAAAJNi8xNC8yMDI2CAAAAAkzLzMxLzIwMTgJAAAAATA85HzZ/sneCPi27Nv+yd4IO0NJUS5OWVNFOkJBSC5JUV9DSEFOR0VfREVGX1RBWF9UT1RBTC45OTguMTQvMDYvMjAyNi4uLlVTRC5IAQAAAOlxAgACAAAABC0xMDEBCAAAAAUAAAABMQEAAAALLTE4ODc3MDQ5OTMDAAAAAzE2MAIAAAAFMzA5MjQEAAAAATAHAAAACTYvMTQvMjAyNggAAAAJMy8zMS8yMDI0CQAAAAEwPOR82f7J3gj4tuzb/sneCDFDSVEuTllTRTpCQUguSVFfQ0FTSF9FUVVJVi45OTAuMTQvMDYvMjAyNi4uLlVTRC5IAQAAAOlxAgACAAAABzE4Ny41MjkBCAAAAAUAAAABMQEAAAAKMTg5MTM0Nzg2OQMAAAADMTYwAgAAAAQxMDk2BAAAAAEwBwAAAAk2LzE0LzIwMjYIAAAACTMvMzEvMjAxNgkAAAABMHwfftn+yd4IKA/y2/7J3ghEQ0lRLk5ZU0U6QkFILklRX1RPVEFMX0RFQlRfUkVQQUlEX0VYQ0xfTEVBU0VTLjk5OC4xNC8wNi8yMDI2Li4uVVNELkgBAAAA6XECAAIAAAAELTU0MQEIAAAABQAAAAExAQAAAAstMTg4</t>
  </si>
  <si>
    <t>NzcwNDk5MwMAAAADMTYwAgAAAAU0ODk4NgQAAAABMAcAAAAJNi8xNC8yMDI2CAAAAAkzLzMxLzIwMjQJAAAAATB8H37Z/sneCMKZ8dv+yd4ISkNJUS5OWVNFOkJBSC5JUV9PUEVSQVRJTkdfTEVBU0VfTElBQklMSVRJRVNfTk9OQ0FTSC45OTQuMTQvMDYvMjAyNi4uLlVTRC5IAQAAAOlxAgADAAAAAAB8H37Z/sneCNUa8dv+yd4IQENJUS5OWVNFOkJBSC5JUV9PUEVSQVRJTkdfTEVBU0VfUEFZTUVOVFMuMTAwMC4xNC8wNi8yMDI2Li4uVVNELkgBAAAA6XECAAMAAAAAAHwfftn+yd4I+9ZF3f7J3ggyQ0lRLk5ZU0U6QkFILklRX1BSRVBBSURfRVhQLjk5Mi4xNC8wNi8yMDI2Li4uVVNELkgBAAAA6XECAAIAAAAGNzAuNjA5AQgAAAAFAAAAATEBAAAACjIwMzgwOTEwNzcDAAAAAzE2MAIAAAAEMTIxMgQAAAABMAcAAAAJNi8xNC8yMDI2CAAAAAkzLzMxLzIwMTgJAAAAATB8H37Z/sneCI358tv+yd4INkNJUS5OWVNFOkJBSC5JUV9TVF9OT1RFX1JFQ0VJVi4xMDAwLjE0LzA2LzIwMjYuLi5VU0QuSAEAAADpcQIAAwAAAAAAfB9+2f7J3gj71kXd/sneCDNDSVEuTllTRTpCQUguSVFfT1RIRVJfUkVDRUlWLjk5NC4xNC8wNi8yMDI2Li4uVVNELkgBAAAA6XECAAMAAAAAAHwfftn+yd4Ijfny2/7J3gg2Q0lRLk5ZU0U6QkFILklRX0NBU0hfU1RfSU5WRVNULjEwMDAuMTQvMDYvMjAyNi4uLlVTRC5IAQAAAOlxAgAC</t>
  </si>
  <si>
    <t>AAAAAzcyOAEIAAAABQAAAAExAQAAAAstMTg4NzcwNDk3NwMAAAADMTYwAgAAAAQxMDAyBAAAAAEwBwAAAAk2LzE0LzIwMjYIAAAACTMvMzEvMjAyNgkAAAABMHwfftn+yd4I+9ZF3f7J3ggwQ0lRLk5ZU0U6QkFILklRX1NUX0lOVkVTVC45OTYuMTQvMDYvMjAyNi4uLlVTRC5IAQAAAOlxAgADAAAAAAB8H37Z/sneCHKE8tv+yd4IKUNJUS5OWVNFOkJBSC5JUV9BRC45OTQuMTQvMDYvMjAyNi4uLlVTRC5IAQAAAOlxAgACAAAACC0yNzIuMzY5AQgAAAAFAAAAATEBAAAACy0yMDk1MTI2MDkwAwAAAAMxNjACAAAABDEwNzUEAAAAATAHAAAACTYvMTQvMjAyNggAAAAJMy8zMS8yMDIwCQAAAAEw2V2B2f7J3givXvXb/sneCC9DSVEuTllTRTpCQUguSVFfVE9UQUxfQ0EuOTkwLjE0LzA2LzIwMjYuLi5VU0QuSAEAAADpcQIAAgAAAAgxMTg5Ljc3MQEIAAAABQAAAAExAQAAAAoxODkxMzQ3ODY5AwAAAAMxNjACAAAABDEwMDgEAAAAATAHAAAACTYvMTQvMjAyNggAAAAJMy8zMS8yMDE2CQAAAAEw2V2B2f7J3givXvXb/sneCDZDSVEuTllTRTpCQUguSVFfUkVTVFJJQ1RFRF9DQVNILjk5Ni4xNC8wNi8yMDI2Li4uVVNELkgBAAAA6XECAAMAAAAAANldgdn+yd4Ir1712/7J3gg9Q0lRLk5ZU0U6QkFILklRX0RFRl9UQVhfQVNTRVRTX0NVUlJFTlQuOTkwLjE0LzA2LzIwMjYuLi5VU0QuSAEAAADpcQIAAwAAAAAA2V2B</t>
  </si>
  <si>
    <t>2f7J3gg74PTb/sneCDxDSVEuTllTRTpCQUguSVFfRklOX0RJVl9MT0FOU19DVVJSRU5ULjk5OC4xNC8wNi8yMDI2Li4uVVNELkgBAAAA6XECAAMAAAAAAHwfftn+yd4IVcz02/7J3gg1Q0lRLk5ZU0U6QkFILklRX0RFRl9DSEFSR0VTX0xULjk5OS4xNC8wNi8yMDI2Li4uVVNELkgBAAAA6XECAAMAAAAAANldgdn+yd4I+9ZF3f7J3gg2Q0lRLk5ZU0U6QkFILklRX0xPQU5TX1JFQ0VJVl9MVC45OTguMTQvMDYvMjAyNi4uLlVTRC5IAQAAAOlxAgADAAAAAADZXYHZ/sneCG7N99v+yd4IOENJUS5OWVNFOkJBSC5JUV9GSU5fRElWX0FTU0VUU19MVC45OTcuMTQvMDYvMjAyNi4uLlVTRC5IAQAAAOlxAgADAAAAAADZXYHZ/sneCG7N99v+yd4IMkNJUS5OWVNFOkJBSC5JUV9PVEhFUl9JTlRBTi45OTYuMTQvMDYvMjAyNi4uLlVTRC5IAQAAAOlxAgACAAAABzY0Ni42ODIBCAAAAAUAAAABMQEAAAALLTE5OTI0MDIwNTkDAAAAAzE2MAIAAAAEMTA0MAQAAAABMAcAAAAJNi8xNC8yMDI2CAAAAAkzLzMxLzIwMjIJAAAAATDZXYHZ/sneCG7N99v+yd4IMENJUS5OWVNFOkJBSC5JUV9MVF9JTlZFU1QuOTk0LjE0LzA2LzIwMjYuLi5VU0QuSAEAAADpcQIAAwAAAAAA2V2B2f7J3givXvXb/sneCDlDSVEuTllTRTpCQUguSVFfVU5FQVJOX1JFVl9DVVJSRU5ULjk5NS4xNC8wNi8yMDI2Li4uVVNELkgBAAAA6XECAAIAAAAG</t>
  </si>
  <si>
    <t>MTUuOTA2AQgAAAAFAAAAATEBAAAACy0yMDQzMjE1MzkyAwAAAAMxNjACAAAABDEwNzQEAAAAATAHAAAACTYvMTQvMjAyNggAAAAJMy8zMS8yMDIxCQAAAAEw2V2B2f7J3ghvrvzb/sneCDtDSVEuTllTRTpCQUguSVFfRklOX0RJVl9MSUFCX0NVUlJFTlQuOTk2LjE0LzA2LzIwMjYuLi5VU0QuSAEAAADpcQIAAwAAAAAA2V2B2f7J3ghvrvzb/sneCDpDSVEuTllTRTpCQUguSVFfQ1VSUkVOVF9QT1JUX0xFQVNFUy45OTYuMTQvMDYvMjAyNi4uLlVTRC5IAQAAAOlxAgACAAAABjUyLjMzNAEIAAAABQAAAAExAQAAAAstMTk5MjQwMjA1OQMAAAADMTYwAgAAAAQxMDkwBAAAAAEwBwAAAAk2LzE0LzIwMjYIAAAACTMvMzEvMjAyMgkAAAABMNldgdn+yd4Ib6782/7J3ggqQ0lRLk5ZU0U6QkFILklRX0FFLjEwMDAuMTQvMDYvMjAyNi4uLlVTRC5IAQAAAOlxAgACAAAAAzcwOAEIAAAABQAAAAExAQAAAAstMTg4NzcwNDk3NwMAAAADMTYwAgAAAAQxMDE2BAAAAAEwBwAAAAk2LzE0LzIwMjYIAAAACTMvMzEvMjAyNgkAAAABMNldgdn+yd4I+9ZF3f7J3gg0Q0lRLk5ZU0U6QkFILklRX1RPVEFMX0FTU0VUUy4xMDAwLjE0LzA2LzIwMjYuLi5VU0QuSAEAAADpcQIAAgAAAAQ3MTE4AQgAAAAFAAAAATEBAAAACy0xODg3NzA0OTc3AwAAAAMxNjACAAAABDEwMDcEAAAAATAHAAAACTYvMTQvMjAyNggAAAAJMy8zMS8yMDI2</t>
  </si>
  <si>
    <t>CQAAAAEw2V2B2f7J3gj71kXd/sneCDFDSVEuTllTRTpCQUguSVFfVE9UQUxfTElBQi45OTYuMTQvMDYvMjAyNi4uLlVTRC5IAQAAAOlxAgACAAAACDQ5NzguODU0AQgAAAAFAAAAATEBAAAACy0xOTkyNDAyMDU5AwAAAAMxNjACAAAABDEyNzYEAAAAATAHAAAACTYvMTQvMjAyNggAAAAJMy8zMS8yMDIyCQAAAAEw2V2B2f7J3ghlF//b/sneCDZDSVEuTllTRTpCQUguSVFfREVGX1RBWF9MSUFCX0xULjk5Mi4xNC8wNi8yMDI2Li4uVVNELkgBAAAA6XECAAIAAAAFNy4yNzQBCAAAAAUAAAABMQEAAAAKMjAzODA5MTA3NwMAAAADMTYwAgAAAAQxMDI3BAAAAAEwBwAAAAk2LzE0LzIwMjYIAAAACTMvMzEvMjAxOAkAAAABMNldgdn+yd4IZRf/2/7J3gg2Q0lRLk5ZU0U6QkFILklRX0ZJTl9ESVZfTElBQl9MVC45OTUuMTQvMDYvMjAyNi4uLlVTRC5IAQAAAOlxAgADAAAAAADZXYHZ/sneCGUX/9v+yd4IN0NJUS5OWVNFOkJBSC5JUV9MT05HX1RFUk1fTEVBU0VTLjk5Ni4xNC8wNi8yMDI2Li4uVVNELkgBAAAA6XECAAIAAAAGMjQ3LjA3AQgAAAAFAAAAATEBAAAACy0xOTkyNDAyMDU5AwAAAAMxNjACAAAABDExODMEAAAAATAHAAAACTYvMTQvMjAyNggAAAAJMy8zMS8yMDIyCQAAAAEw2V2B2f7J3ghlF//b/sneCC9DSVEuTllTRTpCQUguSVFfVE9UQUxfQ0wuOTkxLjE0LzA2LzIwMjYuLi5VU0QuSAEAAADpcQIA</t>
  </si>
  <si>
    <t>AgAAAAgxMTAxLjQwMQEIAAAABQAAAAExAQAAAAoxOTY1NzcyNDIyAwAAAAMxNjACAAAABDEwMDkEAAAAATAHAAAACTYvMTQvMjAyNggAAAAJMy8zMS8yMDE3CQAAAAEw2V2B2f7J3ghlF//b/sneCDNDSVEuTllTRTpCQUguSVFfVE9UQUxfRVFVSVRZLjk5NC4xNC8wNi8yMDI2Li4uVVNELkgBAAAA6XECAAIAAAAHODU2LjM1NgEIAAAABQAAAAExAQAAAAstMjA5NTEyNjA5MAMAAAADMTYwAgAAAAQxMjc1BAAAAAEwBwAAAAk2LzE0LzIwMjYIAAAACTMvMzEvMjAyMAkAAAABMHxfRtn+yd4IaoYB3P7J3ggzQ0lRLk5ZU0U6QkFILklRX09USEVSX0VRVUlUWS45OTYuMTQvMDYvMjAyNi4uLlVTRC5IAQAAAOlxAgACAAAABTguNTg1AQgAAAAFAAAAATEBAAAACy0xOTkyNDAyMDU5AwAAAAMxNjACAAAABDEwMjgEAAAAATAHAAAACTYvMTQvMjAyNggAAAAJMy8zMS8yMDIyCQAAAAEwfF9G2f7J3ghqhgHc/sneCCxDSVEuTllTRTpCQUguSVFfQVBJQy4yMDAwLjE0LzA2LzIwMjYuLi5VU0QuSAEAAADpcQIAAgAAAAQxMTU1AQgAAAAFAAAAATEBAAAACy0xODg3NzA0MzQxAwAAAAMxNjACAAAABDEwODQEAAAAATAHAAAACTYvMTQvMjAyNggAAAAJMy8zMS8yMDI2CQAAAAEwfF9G2f7J3ghqhgHc/sneCDJDSVEuTllTRTpCQUguSVFfUFJFRl9FUVVJVFkuOTk4LjE0LzA2LzIwMjYuLi5VU0QuSAEAAADpcQIAAwAAAAAA</t>
  </si>
  <si>
    <t>fF9G2f7J3ghqhgHc/sneCDNDSVEuTllTRTpCQUguSVFfUFJFRl9DT05WRVJULjk5MS4xNC8wNi8yMDI2Li4uVVNELkgBAAAA6XECAAMAAAAAAH+ogtn+yd4IaoYB3P7J3gg9Q0lRLk5ZU0U6QkFILklRX0ZJTkFOQ0VfTEVBU0VTX0NVUlJFTlQuOTk5LjE0LzA2LzIwMjYuLi5VU0QuSAEAAADpcQIAAwAAAAAAfF9G2f7J3ghgJUTd/sneCDxDSVEuTllTRTpCQUguSVFfR1BQRV9FWENMX09QRVJfTEVBU0VTLjk5OC4xNC8wNi8yMDI2Li4uVVNELkgBAAAA6XECAAIAAAADNDk5AQgAAAAFAAAAATEBAAAACy0xODg3NzA0OTkzAwAAAAMxNjACAAAABTQ4OTc0BAAAAAEwBwAAAAk2LzE0LzIwMjYIAAAACTMvMzEvMjAyNAkAAAABMHxfRtn+yd4Io2MG3P7J3ghBQ0lRLk5ZU0U6QkFILklRX1JVQV9PUEVSQVRJTkdfTEVBU0VfR1JPU1MuMjAwMC4xNC8wNi8yMDI2Li4uVVNELkgBAAAA6XECAAIAAAADMTQ3AQgAAAAFAAAAATEBAAAACy0xODg3NzA0MzQxAwAAAAMxNjACAAAABTQ4Mzc3BAAAAAEwBwAAAAk2LzE0LzIwMjYIAAAACTMvMzEvMjAyNgkAAAABMHxfRtn+yd4IS4wF3P7J3ghCQ0lRLk5ZU0U6QkFILklRX1JVQV9DQVBJVEFMX0xFQVNFX0FDQ1VNX0RFUC45OTYuMTQvMDYvMjAyNi4uLlVTRC5IAQAAAOlxAgADAAAAAAB8X0bZ/sneCJjvBNz+yd4IMUNJUS5OWVNFOkJBSC5JUV9SVUFfR1JPU1MuMjAwMC4x</t>
  </si>
  <si>
    <t>NC8wNi8yMDI2Li4uVVNELkgBAAAA6XECAAMAAAAAAHxfRtn+yd4IM3cE3P7J3gg5Q0lRLk5ZU0U6QkFILklRX1RCVl9TSEFSRV9SRVBPUlRFRC45OTUuMTQvMDYvMjAyNi4uLlVTRC5IAQAAAOlxAgADAAAAAABKR0fZ/sneCJHICNz+yd4IL0NJUS5OWVNFOkJBSC5JUV9CVl9TSEFSRS45OTMuMTQvMDYvMjAyNi4uLlVTRC5IAQAAAOlxAgACAAAACDQuODIzMDgzAQgAAAAFAAAAATEBAAAACjIwOTkwODcxMzMDAAAAAzE2MAIAAAAENDAyMAQAAAABMAcAAAAJNi8xNC8yMDI2CAAAAAkzLzMxLzIwMTkJAAAAATBKR0fZ/sneCOTLBtz+yd4IPUNJUS5OWVNFOkJBSC5JUV9UT1RBTF9ERUJUX0VYQ0xfTEVBU0VTLjk5NC4xNC8wNi8yMDI2Li4uVVNELkgBAAAA6XECAAIAAAAIMjI0Mi40OTQBCAAAAAUAAAABMQEAAAALLTIwOTUxMjYwOTADAAAAAzE2MAIAAAAFNDg5OTIEAAAAATAHAAAACTYvMTQvMjAyNggAAAAJMy8zMS8yMDIwCQAAAAEwfF9G2f7J3gjkywbc/sneCE9DSVEuTllTRTpCQUguSVFfRklOQU5DSU5HX09CTElHX0NVUlJFTlRfRVhDTF9PUEVSX0xFQVNFUy45OTAuMTQvMDYvMjAyNi4uLlVTRC5IAQAAAOlxAgACAAAABzE5Mi44MTMBCAAAAAUAAAABMQEAAAAKMTg5MTM0Nzg2OQMAAAADMTYwAgAAAAU0ODk4MAQAAAABMAcAAAAJNi8xNC8yMDI2CAAAAAkzLzMxLzIwMTYJAAAAATB8X0bZ/sneCOTL</t>
  </si>
  <si>
    <t>Btz+yd4ITUNJUS5OWVNFOkJBSC5JUV9DVVJSRU5UX1BPUlRJT05fT1BFUl9MRUFTRV9MSUFCSUxJVElFUy45OTguMTQvMDYvMjAyNi4uLlVTRC5IAQAAAOlxAgACAAAAAjQzAQgAAAAFAAAAATEBAAAACy0xODg3NzA0OTkzAwAAAAMxNjACAAAABTQ4Mzg1BAAAAAEwBwAAAAk2LzE0LzIwMjYIAAAACTMvMzEvMjAyNAkAAAABMHxfRtn+yd4I5MsG3P7J3ggvQ0lRLk5ZU0U6QkFILklRX1NPRlRXQVJFLjk5NS4xNC8wNi8yMDI2Li4uVVNELkgBAAAA6XECAAMAAAAAAEpHR9n+yd4I4T0L3P7J3gguQ0lRLk5ZU0U6QkFILklRX1dJUF9JTlYuOTkwLjE0LzA2LzIwMjYuLi5VU0QuSAEAAADpcQIAAwAAAAAASkdH2f7J3gjhPQvc/sneCDdDSVEuTllTRTpCQUguSVFfQUxMT1dfRE9VQlRfQUNDVC45OTguMTQvMDYvMjAyNi4uLlVTRC5IAQAAAOlxAgADAAAAAABKR0fZ/sneCOE9C9z+yd4IPkNJUS5OWVNFOkJBSC5JUV9NSU5PUklUWV9JTlRFUkVTVF9UT1RBTC45OTEuMTQvMDYvMjAyNi4uLlVTRC5IAQAAAOlxAgADAAAAAABKR0fZ/sneCAU/Ctz+yd4IMUNJUS5OWVNFOkJBSC5JUV9UT1RBTF9ERUJULjk5My4xNC8wNi8yMDI2Li4uVVNELkgBAAAA6XECAAIAAAAIMTg0NS4wMzcBCAAAAAUAAAABMQEAAAAKMjA5OTA4NzEzMwMAAAADMTYwAgAAAAQ0MTczBAAAAAEwBwAAAAk2LzE0LzIwMjYIAAAACTMvMzEvMjAx</t>
  </si>
  <si>
    <t>OQkAAAABMEpHR9n+yd4IkcgI3P7J3gg6Q0lRLk5ZU0U6QkFILklRX0dST1NTX0lOVEFOX0FTU0VUUy4xMDAwLjE0LzA2LzIwMjYuLi5VU0QuSAEAAADpcQIAAgAAAAM4MDkBCAAAAAUAAAABMQEAAAALLTE4ODc3MDQ5NzcDAAAAAzE2MAIAAAAFMjQyOTMEAAAAATAHAAAACTYvMTQvMjAyNggAAAAJMy8zMS8yMDI2CQAAAAEwhisU2f7J3ggq+EDd/sneCDpDSVEuTllTRTpCQUguSVFfTElBQklMSVRJRVNfTEVWRUxfMi45OTYuMTQvMDYvMjAyNi4uLlVTRC5IAQAAAOlxAgACAAAACDI3NjYuNTA5AIYrFNn+yd4IDZMS3P7J3ghJQ0lRLk5ZU0U6QkFILklRX0xJUVVJREFUSU9OX1ZBTFVFX1BSRUZFUlJFRF9SRURFRU0uOTkwLjE0LzA2LzIwMjYuLi5VU0QuSAEAAADpcQIAAwAAAAAASkdH2f7J3ggdIRDc/sneCD9DSVEuTllTRTpCQUguSVFfTUlOT1JJVFlfSU5UX1JFREVFTV9UT1QuMTAwMC4xNC8wNi8yMDI2Li4uVVNELkgBAAAA6XECAAMAAAAAAEpHR9n+yd4IEtdD3f7J3ggzQ0lRLk5ZU0U6QkFILklRX0FNT1JUX0RJQ19DRi45OTcuMTQvMDYvMjAyNi4uLlVTRC5IAQAAAOlxAgADAAAAAADZIIHZ/sneCLn66dv+yd4IO0NJUS5OWVNFOkJBSC5JUV9ORUdBVElWRV9HV19BTU9SVF9DRi45OTEuMTQvMDYvMjAyNi4uLlVTRC5IAQAAAOlxAgADAAAAAADDnH/Z/sneCDW96Nv+yd4ILkNJUS5OWVNFOkJBSC5J</t>
  </si>
  <si>
    <t>UV9ERVBfUlVBLjk5OS4xNC8wNi8yMDI2Li4uVVNELkgBAAAA6XECAAMAAAAAAMOcf9n+yd4IYEFI3f7J3ghEQ0lRLk5ZU0U6QkFILklRX0RFUFJFQ0lBVElPTl9SRU5UQUxfQVNTRVRTX0NGLjk5My4xNC8wNi8yMDI2Li4uVVNELkgBAAAA6XECAAMAAAAAAMOcf9n+yd4INb3o2/7J3ghAQ0lRLk5ZU0U6QkFILklRX0dXX0lOVEFOX0FNT1JUX1BBUlRJQUxfQ0YuOTk5LjE0LzA2LzIwMjYuLi5VU0QuSAEAAADpcQIAAwAAAAAAw5x/2f7J3ghgQUjd/sneCDFDSVEuTllTRTpCQUguSVFfQ0FTSF9UQVhFUy45OTkuMTQvMDYvMjAyNi4uLlVTRC5IAQAAAOlxAgACAAAAAzM3OQEIAAAABQAAAAExAQAAAAstMTg4NzcwNTAwMQMAAAADMTYwAgAAAAQzMDUzBAAAAAEwBwAAAAk2LzE0LzIwMjYIAAAACTMvMzEvMjAyNQkAAAABMDzkfNn+yd4I+9ZF3f7J3gg6Q0lRLk5ZU0U6QkFILklRX0NBU0hfSU5URVJFU1RfRklOQU4uOTkzLjE0LzA2LzIwMjYuLi5VU0QuSAEAAADpcQIAAwAAAAAAPOR82f7J3ggYTuzb/sneCD5DSVEuTllTRTpCQUguSVFfQ0FTSF9JTlRFUkVTVF9SRUNFSVZFRC4yMDAwLjE0LzA2LzIwMjYuLi5VU0QuSAEAAADpcQIAAwAAAAAAPOR82f7J3gi5+unb/sneCDhDSVEuTllTRTpCQUguSVFfQ0FTSF9JTlRFUkVTVF9ORVQuOTk1LjE0LzA2LzIwMjYuLi5VU0QuSAEAAADpcQIAAwAAAAAAPOR82f7J</t>
  </si>
  <si>
    <t>3gi5+unb/sneCENDSVEuTllTRTpCQUguSVFfU0FMRV9QUk9DRUVEU19SRU5UQUxfQVNTRVRTLjIwMDAuMTQvMDYvMjAyNi4uLlVTRC5IAQAAAOlxAgADAAAAAADZIIHZ/sneCLn66dv+yd4IN0NJUS5OWVNFOkJBSC5JUV9ORVRfREVCVF9JU1NVRUQuMjAwMC4xNC8wNi8yMDI2Li4uVVNELkgBAAAA6XECAAIAAAADLTY5AQgAAAAFAAAAATEBAAAACy0xODg3NzA0MzQxAwAAAAMxNjACAAAABDIwMDMEAAAAATAHAAAACTYvMTQvMjAyNggAAAAJMy8zMS8yMDI2CQAAAAEwPOR82f7J3gjNuO7b/sneCC9DSVEuTllTRTpCQUguSVFfQ0ZfU0hBUkUuOTk1LjE0LzA2LzIwMjYuLi5VU0QuSAEAAADpcQIAAgAAAAg0LjU4NTExNQEIAAAABQAAAAExAQAAAAstMjA0MzIxNTM5MgMAAAADMTYwAgAAAAU0MzkyMwQAAAABMAcAAAAJNi8xNC8yMDI2CAAAAAkzLzMxLzIwMjEJAAAAATA85HzZ/sneCM247tv+yd4IMkNJUS5OWVNFOkJBSC5JUV9MRVZFUkVEX0ZDRi45OTEuMTQvMDYvMjAyNi4uLlVTRC5IAQAAAOlxAgACAAAACTMyMy41NzEyNQEIAAAABQAAAAExAQAAAAoxOTY1NzcyNDIyAwAAAAMxNjACAAAABDQ0MjIEAAAAATAHAAAACTYvMTQvMjAyNggAAAAJMy8zMS8yMDE3CQAAAAEwPOR82f7J3gj4tuzb/sneCDtDSVEuTllTRTpCQUguSVFfQ0hBTkdFX0RFRl9UQVhfVE9UQUwuOTk3LjE0LzA2LzIwMjYuLi5VU0Qu</t>
  </si>
  <si>
    <t>SAEAAADpcQIAAgAAAAQtMzU0AQgAAAAFAAAAATEBAAAACy0xOTQxNTQ2ODcxAwAAAAMxNjACAAAABTMwOTI0BAAAAAEwBwAAAAk2LzE0LzIwMjYIAAAACTMvMzEvMjAyMwkAAAABMDzkfNn+yd4I+Lbs2/7J3gg3Q0lRLk5ZU0U6QkFILklRX0NBU0hfVEFYRVNfRklOQU4uOTkxLjE0LzA2LzIwMjYuLi5VU0QuSAEAAADpcQIAAwAAAAAAPOR82f7J3gj4tuzb/sneCERDSVEuTllTRTpCQUguSVFfVE9UQUxfREVCVF9SRVBBSURfRVhDTF9MRUFTRVMuOTk3LjE0LzA2LzIwMjYuLi5VU0QuSAEAAADpcQIAAgAAAAQtNDE3AQgAAAAFAAAAATEBAAAACy0xOTQxNTQ2ODcxAwAAAAMxNjACAAAABTQ4OTg2BAAAAAEwBwAAAAk2LzE0LzIwMjYIAAAACTMvMzEvMjAyMwkAAAABMHwfftn+yd4Iwpnx2/7J3ghKQ0lRLk5ZU0U6QkFILklRX09QRVJBVElOR19MRUFTRV9MSUFCSUxJVElFU19OT05DQVNILjk5My4xNC8wNi8yMDI2Li4uVVNELkgBAAAA6XECAAMAAAAAAHwfftn+yd4I1Rrx2/7J3gg/Q0lRLk5ZU0U6QkFILklRX09QRVJBVElOR19MRUFTRV9QQVlNRU5UUy45OTkuMTQvMDYvMjAyNi4uLlVTRC5IAQAAAOlxAgADAAAAAAB8H37Z/sneCPvWRd3+yd4INENJUS5OWVNFOkJBSC5JUV9ET19GSU5BTkNFX0NGLjk5My4xNC8wNi8yMDI2Li4uVVNELkgBAAAA6XECAAMAAAAAAHwfftn+yd4IQQnw2/7J3ggzQ0lRLk5Z</t>
  </si>
  <si>
    <t>U0U6QkFILklRX1RPVEFMX1JFQ0VJVi45OTcuMTQvMDYvMjAyNi4uLlVTRC5IAQAAAOlxAgACAAAACDE3OTguNDYzAQgAAAAFAAAAATEBAAAACy0xOTQxNTQ2ODcxAwAAAAMxNjACAAAABDEwMDEEAAAAATAHAAAACTYvMTQvMjAyNggAAAAJMy8zMS8yMDIzCQAAAAEwfB9+2f7J3giN+fLb/sneCDNDSVEuTllTRTpCQUguSVFfT1RIRVJfUkVDRUlWLjk5My4xNC8wNi8yMDI2Li4uVVNELkgBAAAA6XECAAMAAAAAAHwfftn+yd4Ijfny2/7J3gg1Q0lRLk5ZU0U6QkFILklRX0NBU0hfU1RfSU5WRVNULjk5OS4xNC8wNi8yMDI2Li4uVVNELkgBAAAA6XECAAIAAAADODg1AQgAAAAFAAAAATEBAAAACy0xODg3NzA1MDAxAwAAAAMxNjACAAAABDEwMDIEAAAAATAHAAAACTYvMTQvMjAyNggAAAAJMy8zMS8yMDI1CQAAAAEwfB9+2f7J3gj71kXd/sneCDBDSVEuTllTRTpCQUguSVFfU1RfSU5WRVNULjk5NS4xNC8wNi8yMDI2Li4uVVNELkgBAAAA6XECAAMAAAAAAHwfftn+yd4IcoTy2/7J3ggvQ0lRLk5ZU0U6QkFILklRX1RPVEFMX0NBLjk5OS4xNC8wNi8yMDI2Li4uVVNELkgBAAAA6XECAAIAAAAEMzMxMwEIAAAABQAAAAExAQAAAAstMTg4NzcwNTAwMQMAAAADMTYwAgAAAAQxMDA4BAAAAAEwBwAAAAk2LzE0LzIwMjYIAAAACTMvMzEvMjAyNQkAAAABMNldgdn+yd4I+9ZF3f7J3gg2Q0lRLk5ZU0U6QkFILklRX1JF</t>
  </si>
  <si>
    <t>U1RSSUNURURfQ0FTSC45OTUuMTQvMDYvMjAyNi4uLlVTRC5IAQAAAOlxAgADAAAAAADZXYHZ/sneCK9e9dv+yd4INkNJUS5OWVNFOkJBSC5JUV9MT0FOU19GT1JfU0FMRS4yMDAwLjE0LzA2LzIwMjYuLi5VU0QuSAEAAADpcQIAAwAAAAAA2V2B2f7J3givXvXb/sneCDxDSVEuTllTRTpCQUguSVFfRklOX0RJVl9MT0FOU19DVVJSRU5ULjk5Ny4xNC8wNi8yMDI2Li4uVVNELkgBAAAA6XECAAMAAAAAAHwfftn+yd4IVcz02/7J3ggyQ0lRLk5ZU0U6QkFILklRX1BSRVBBSURfRVhQLjk5MS4xNC8wNi8yMDI2Li4uVVNELkgBAAAA6XECAAIAAAAGODUuMjUzAQgAAAAFAAAAATEBAAAACjE5NjU3NzI0MjIDAAAAAzE2MAIAAAAEMTIxMgQAAAABMAcAAAAJNi8xNC8yMDI2CAAAAAkzLzMxLzIwMTcJAAAAATB8H37Z/sneCI358tv+yd4INkNJUS5OWVNFOkJBSC5JUV9MT0FOU19SRUNFSVZfTFQuOTk3LjE0LzA2LzIwMjYuLi5VU0QuSAEAAADpcQIAAwAAAAAA2V2B2f7J3ghuzffb/sneCDhDSVEuTllTRTpCQUguSVFfRklOX0RJVl9BU1NFVFNfTFQuOTk2LjE0LzA2LzIwMjYuLi5VU0QuSAEAAADpcQIAAwAAAAAA2V2B2f7J3ghuzffb/sneCDJDSVEuTllTRTpCQUguSVFfT1RIRVJfSU5UQU4uOTk1LjE0LzA2LzIwMjYuLi5VU0QuSAEAAADpcQIAAgAAAAczMDcuMTI4AQgAAAAFAAAAATEBAAAACy0yMDQzMjE1Mzky</t>
  </si>
  <si>
    <t>AwAAAAMxNjACAAAABDEwNDAEAAAAATAHAAAACTYvMTQvMjAyNggAAAAJMy8zMS8yMDIxCQAAAAEw2V2B2f7J3ghuzffb/sneCDBDSVEuTllTRTpCQUguSVFfTFRfSU5WRVNULjk5My4xNC8wNi8yMDI2Li4uVVNELkgBAAAA6XECAAIAAAAFMC42MTQBCAAAAAUAAAABMQEAAAAKMjA5OTA4NzEzMwMAAAADMTYwAgAAAAQxMDU0BAAAAAEwBwAAAAk2LzE0LzIwMjYIAAAACTMvMzEvMjAxOQkAAAABMNldgdn+yd4Ir1712/7J3ggpQ0lRLk5ZU0U6QkFILklRX0FELjk5My4xNC8wNi8yMDI2Li4uVVNELkgBAAAA6XECAAIAAAAILTMyMy4xODMBCAAAAAUAAAABMQEAAAAKMjA5OTA4NzEzMwMAAAADMTYwAgAAAAQxMDc1BAAAAAEwBwAAAAk2LzE0LzIwMjYIAAAACTMvMzEvMjAxOQkAAAABMNldgdn+yd4Ir1712/7J3gg7Q0lRLk5ZU0U6QkFILklRX0ZJTl9ESVZfTElBQl9DVVJSRU5ULjk5NS4xNC8wNi8yMDI2Li4uVVNELkgBAAAA6XECAAMAAAAAANldgdn+yd4Ib6782/7J3gg6Q0lRLk5ZU0U6QkFILklRX0NVUlJFTlRfUE9SVF9MRUFTRVMuOTk1LjE0LzA2LzIwMjYuLi5VU0QuSAEAAADpcQIAAgAAAAY1NC45NTYBCAAAAAUAAAABMQEAAAALLTIwNDMyMTUzOTIDAAAAAzE2MAIAAAAEMTA5MAQAAAABMAcAAAAJNi8xNC8yMDI2CAAAAAkzLzMxLzIwMjEJAAAAATDZXYHZ/sneCG+u/Nv+yd4IKUNJUS5OWVNFOkJB</t>
  </si>
  <si>
    <t>SC5JUV9BRS45OTkuMTQvMDYvMjAyNi4uLlVTRC5IAQAAAOlxAgACAAAAAzc1MQEIAAAABQAAAAExAQAAAAstMTg4NzcwNTAwMQMAAAADMTYwAgAAAAQxMDE2BAAAAAEwBwAAAAk2LzE0LzIwMjYIAAAACTMvMzEvMjAyNQkAAAABMNldgdn+yd4I+9ZF3f7J3ggzQ0lRLk5ZU0U6QkFILklRX1RPVEFMX0FTU0VUUy45OTguMTQvMDYvMjAyNi4uLlVTRC5IAQAAAOlxAgACAAAABDY1NjQBCAAAAAUAAAABMQEAAAALLTE4ODc3MDQ5OTMDAAAAAzE2MAIAAAAEMTAwNwQAAAABMAcAAAAJNi8xNC8yMDI2CAAAAAkzLzMxLzIwMjQJAAAAATDZXYHZ/sneCMD/+tv+yd4INUNJUS5OWVNFOkJBSC5JUV9ERUZfQ0hBUkdFU19MVC45OTguMTQvMDYvMjAyNi4uLlVTRC5IAQAAAOlxAgADAAAAAADZXYHZ/sneCG7N99v+yd4INkNJUS5OWVNFOkJBSC5JUV9ERUZfVEFYX0xJQUJfTFQuOTkwLjE0LzA2LzIwMjYuLi5VU0QuSAEAAADpcQIAAwAAAAAA2V2B2f7J3ghlF//b/sneCDRDSVEuTllTRTpCQUguSVFfVU5FQVJOX1JFVl9MVC45OTIuMTQvMDYvMjAyNi4uLlVTRC5IAQAAAOlxAgADAAAAAADZXYHZ/sneCGUX/9v+yd4IN0NJUS5OWVNFOkJBSC5JUV9MT05HX1RFUk1fTEVBU0VTLjk5NS4xNC8wNi8yMDI2Li4uVVNELkgBAAAA6XECAAIAAAAHMjYzLjE0NAEIAAAABQAAAAExAQAAAAstMjA0MzIxNTM5MgMAAAADMTYwAgAA</t>
  </si>
  <si>
    <t>AAQxMTgzBAAAAAEwBwAAAAk2LzE0LzIwMjYIAAAACTMvMzEvMjAyMQkAAAABMNldgdn+yd4IZRf/2/7J3ggvQ0lRLk5ZU0U6QkFILklRX1RPVEFMX0NMLjk5Ni4xNC8wNi8yMDI2Li4uVVNELkgBAAAA6XECAAIAAAAIMTUzMy45NTQBCAAAAAUAAAABMQEAAAALLTE5OTI0MDIwNTkDAAAAAzE2MAIAAAAEMTAwOQQAAAABMAcAAAAJNi8xNC8yMDI2CAAAAAkzLzMxLzIwMjIJAAAAATDZXYHZ/sneCGUX/9v+yd4IOUNJUS5OWVNFOkJBSC5JUV9VTkVBUk5fUkVWX0NVUlJFTlQuOTk0LjE0LzA2LzIwMjYuLi5VU0QuSAEAAADpcQIAAwAAAAAA2V2B2f7J3ghvrvzb/sneCDNDSVEuTllTRTpCQUguSVFfT1RIRVJfRVFVSVRZLjk5NS4xNC8wNi8yMDI2Li4uVVNELkgBAAAA6XECAAIAAAAHLTI5Ljc3MQEIAAAABQAAAAExAQAAAAstMjA0MzIxNTM5MgMAAAADMTYwAgAAAAQxMDI4BAAAAAEwBwAAAAk2LzE0LzIwMjYIAAAACTMvMzEvMjAyMQkAAAABMHxfRtn+yd4IaoYB3P7J3ggpQ0lRLk5ZU0U6QkFILklRX1JFLjk5OC4xNC8wNi8yMDI2Li4uVVNELkgBAAAA6XECAAIAAAAEMjQwNAEIAAAABQAAAAExAQAAAAstMTg4NzcwNDk5MwMAAAADMTYwAgAAAAQxMjIyBAAAAAEwBwAAAAk2LzE0LzIwMjYIAAAACTMvMzEvMjAyNAkAAAABMHxfRtn+yd4IaoYB3P7J3ggyQ0lRLk5ZU0U6QkFILklRX1BSRUZfRVFVSVRZLjk5</t>
  </si>
  <si>
    <t>Ny4xNC8wNi8yMDI2Li4uVVNELkgBAAAA6XECAAMAAAAAAHxfRtn+yd4IaoYB3P7J3ggzQ0lRLk5ZU0U6QkFILklRX1BSRUZfQ09OVkVSVC45OTAuMTQvMDYvMjAyNi4uLlVTRC5IAQAAAOlxAgADAAAAAADZXYHZ/sneCGqGAdz+yd4IMkNJUS5OWVNFOkJBSC5JUV9QUkVGX1JFREVFTS45OTIuMTQvMDYvMjAyNi4uLlVTRC5IAQAAAOlxAgADAAAAAADZXYHZ/sneCGUX/9v+yd4IPENJUS5OWVNFOkJBSC5JUV9HUFBFX0VYQ0xfT1BFUl9MRUFTRVMuOTk3LjE0LzA2LzIwMjYuLi5VU0QuSAEAAADpcQIAAgAAAAc0ODkuMTEyAQgAAAAFAAAAATEBAAAACy0xOTQxNTQ2ODcxAwAAAAMxNjACAAAABTQ4OTc0BAAAAAEwBwAAAAk2LzE0LzIwMjYIAAAACTMvMzEvMjAyMwkAAAABMHxfRtn+yd4Io2MG3P7J3ghBQ0lRLk5ZU0U6QkFILklRX1JVQV9PUEVSQVRJTkdfTEVBU0VfR1JPU1MuMTAwMC4xNC8wNi8yMDI2Li4uVVNELkgBAAAA6XECAAIAAAADMTQ3AQgAAAAFAAAAATEBAAAACy0xODg3NzA0OTc3AwAAAAMxNjACAAAABTQ4Mzc3BAAAAAEwBwAAAAk2LzE0LzIwMjYIAAAACTMvMzEvMjAyNgkAAAABMHxfRtn+yd4IYCVE3f7J3ghCQ0lRLk5ZU0U6QkFILklRX1JVQV9DQVBJVEFMX0xFQVNFX0FDQ1VNX0RFUC45OTUuMTQvMDYvMjAyNi4uLlVTRC5IAQAAAOlxAgADAAAAAAB8X0bZ/sneCJjvBNz+yd4IMUNJUS5O</t>
  </si>
  <si>
    <t>WVNFOkJBSC5JUV9SVUFfR1JPU1MuMTAwMC4xNC8wNi8yMDI2Li4uVVNELkgBAAAA6XECAAMAAAAAAHxfRtn+yd4IYCVE3f7J3gg4Q0lRLk5ZU0U6QkFILklRX1RPVEFMX0xJQUJfRVFVSVRZLjk5MS4xNC8wNi8yMDI2Li4uVVNELkgBAAAA6XECAAIAAAAIMzM3My4xMDUBCAAAAAUAAAABMQEAAAAKMTk2NTc3MjQyMgMAAAADMTYwAgAAAAQxMDEzBAAAAAEwBwAAAAk2LzE0LzIwMjYIAAAACTMvMzEvMjAxNwkAAAABMHxfRtn+yd4IaoYB3P7J3ggvQ0lRLk5ZU0U6QkFILklRX0JWX1NIQVJFLjk5Mi4xNC8wNi8yMDI2Li4uVVNELkgBAAAA6XECAAIAAAAIMy45MjEyNTgBCAAAAAUAAAABMQEAAAAKMjAzODA5MTA3NwMAAAADMTYwAgAAAAQ0MDIwBAAAAAEwBwAAAAk2LzE0LzIwMjYIAAAACTMvMzEvMjAxOAkAAAABMEpHR9n+yd4I5MsG3P7J3gg9Q0lRLk5ZU0U6QkFILklRX1RPVEFMX0RFQlRfRVhDTF9MRUFTRVMuOTkzLjE0LzA2LzIwMjYuLi5VU0QuSAEAAADpcQIAAgAAAAgxODQ1LjAzNwEIAAAABQAAAAExAQAAAAoyMDk5MDg3MTMzAwAAAAMxNjACAAAABTQ4OTkyBAAAAAEwBwAAAAk2LzE0LzIwMjYIAAAACTMvMzEvMjAxOQkAAAABMHxfRtn+yd4I5MsG3P7J3gg0Q0lRLk5ZU0U6QkFILklRX1RPVEFMX0xFQVNFUy4yMDAwLjE0LzA2LzIwMjYuLi5VU0QuSAEAAADpcQIAAgAAAAMxODIBCAAAAAUAAAAB</t>
  </si>
  <si>
    <t>MQEAAAALLTE4ODc3MDQzNDEDAAAAAzE2MAIAAAAFNDg5NzkEAAAAATAHAAAACTYvMTQvMjAyNggAAAAJMy8zMS8yMDI2CQAAAAEwfF9G2f7J3gjkywbc/sneCE1DSVEuTllTRTpCQUguSVFfQ1VSUkVOVF9QT1JUSU9OX09QRVJfTEVBU0VfTElBQklMSVRJRVMuOTk2LjE0LzA2LzIwMjYuLi5VU0QuSAEAAADpcQIAAgAAAAY1Mi4zMzQBCAAAAAUAAAABMQEAAAALLTE5OTI0MDIwNTkDAAAAAzE2MAIAAAAFNDgzODUEAAAAATAHAAAACTYvMTQvMjAyNggAAAAJMy8zMS8yMDIyCQAAAAEwfF9G2f7J3gjkywbc/sneCD9DSVEuTllTRTpCQUguSVFfRklOQU5DRV9MRUFTRVNfTE9OR19URVJNLjk5Mi4xNC8wNi8yMDI2Li4uVVNELkgBAAAA6XECAAMAAAAAAHxfRtn+yd4I5MsG3P7J3ggvQ0lRLk5ZU0U6QkFILklRX1JBV19JTlYuMTAwMC4xNC8wNi8yMDI2Li4uVVNELkgBAAAA6XECAAMAAAAAAEpHR9n+yd4IYCVE3f7J3gg3Q0lRLk5ZU0U6QkFILklRX0FMTE9XX0RPVUJUX0FDQ1QuOTk2LjE0LzA2LzIwMjYuLi5VU0QuSAEAAADpcQIAAwAAAAAASkdH2f7J3gjhPQvc/sneCDBDSVEuTllTRTpCQUguSVFfTkVUX0RFQlQuMjAwMC4xNC8wNi8yMDI2Li4uVVNELkgBAAAA6XECAAIAAAAEMzM5NAEIAAAABQAAAAExAQAAAAstMTg4NzcwNDM0MQMAAAADMTYwAgAAAAQ0MzY0BAAAAAEwBwAAAAk2LzE0LzIwMjYIAAAA</t>
  </si>
  <si>
    <t>CTMvMzEvMjAyNgkAAAABMEpHR9n+yd4IBT8K3P7J3ggxQ0lRLk5ZU0U6QkFILklRX1RPVEFMX0RFQlQuOTkyLjE0LzA2LzIwMjYuLi5VU0QuSAEAAADpcQIAAgAAAAgxODk4LjU3OQEIAAAABQAAAAExAQAAAAoyMDM4MDkxMDc3AwAAAAMxNjACAAAABDQxNzMEAAAAATAHAAAACTYvMTQvMjAyNggAAAAJMy8zMS8yMDE4CQAAAAEwSkdH2f7J3giRyAjc/sneCDlDSVEuTllTRTpCQUguSVFfVEJWX1NIQVJFX1JFUE9SVEVELjk5NC4xNC8wNi8yMDI2Li4uVVNELkgBAAAA6XECAAMAAAAAAEpHR9n+yd4IkcgI3P7J3gg6Q0lRLk5ZU0U6QkFILklRX0xJQUJJTElUSUVTX0xFVkVMXzIuOTk0LjE0LzA2LzIwMjYuLi5VU0QuSAEAAADpcQIAAgAAAAU1Ni42NQCGKxTZ/sneCA2TEtz+yd4ITkNJUS5OWVNFOkJBSC5JUV9MSVFVSURBVElPTl9WQUxVRV9QUkVGRVJSRURfTk9OX1JFREVFTS4yMDAwLjE0LzA2LzIwMjYuLi5VU0QuSAEAAADpcQIAAwAAAAAASkdH2f7J3ggdIRDc/sneCEBDSVEuTllTRTpCQUguSVFfRklOX0RJVl9NSU5PUklUWV9JTlRFUkVTVC45OTQuMTQvMDYvMjAyNi4uLlVTRC5IAQAAAOlxAgADAAAAAABKR0fZ/sneCB0hENz+yd4IL0NJUS5OWVNFOkJBSC5JUV9TT0ZUV0FSRS45OTQuMTQvMDYvMjAyNi4uLlVTRC5IAQAAAOlxAgADAAAAAABKR0fZ/sneCOE9C9z+yd4IO0NJUS5OWVNFOkJBSC5J</t>
  </si>
  <si>
    <t>UV9ORUdBVElWRV9HV19BTU9SVF9DRi45OTAuMTQvMDYvMjAyNi4uLlVTRC5IAQAAAOlxAgADAAAAAADDnH/Z/sneCDW96Nv+yd4IQ0NJUS5OWVNFOkJBSC5JUV9EQV9TVVBQTF9DRl9FWENMX09QRVJfTEVBU0VTLjk5Ni4xNC8wNi8yMDI2Li4uVVNELkgBAAAA6XECAAIAAAAGNjkuNTQ3AQgAAAAFAAAAATEBAAAACy0xOTkyNDAyMDU5AwAAAAMxNjACAAAABTQ4OTgzBAAAAAEwBwAAAAk2LzE0LzIwMjYIAAAACTMvMzEvMjAyMgkAAAABMMOcf9n+yd4INb3o2/7J3ghEQ0lRLk5ZU0U6QkFILklRX0RFUFJFQ0lBVElPTl9SRU5UQUxfQVNTRVRTX0NGLjk5Mi4xNC8wNi8yMDI2Li4uVVNELkgBAAAA6XECAAMAAAAAAMOcf9n+yd4INb3o2/7J3ghAQ0lRLk5ZU0U6QkFILklRX0dXX0lOVEFOX0FNT1JUX1BBUlRJQUxfQ0YuOTk4LjE0LzA2LzIwMjYuLi5VU0QuSAEAAADpcQIAAwAAAAAAw5x/2f7J3gg1vejb/sneCDVDSVEuTllTRTpCQUguSVFfQUNDVU1fQU1PUlRfR1cuOTkyLjE0LzA2LzIwMjYuLi5VU0QuSAEAAADpcQIAAwAAAAAAhisU2f7J3ghHZxfc/sneCDpDSVEuTllTRTpCQUguSVFfQ0FTSF9JTlRFUkVTVF9GSU5BTi45OTIuMTQvMDYvMjAyNi4uLlVTRC5IAQAAAOlxAgADAAAAAAA85HzZ/sneCBhO7Nv+yd4IOUNJUS5OWVNFOkJBSC5JUV9DQVNIX0lOVEVSRVNUX09QRVIuOTk4LjE0LzA2LzIwMjYu</t>
  </si>
  <si>
    <t>Li5VU0QuSAEAAADpcQIAAwAAAAAAPOR82f7J3gi5+unb/sneCDhDSVEuTllTRTpCQUguSVFfQ0FTSF9JTlRFUkVTVF9ORVQuOTk0LjE0LzA2LzIwMjYuLi5VU0QuSAEAAADpcQIAAwAAAAAAPOR82f7J3gi5+unb/sneCENDSVEuTllTRTpCQUguSVFfU0FMRV9QUk9DRUVEU19SRU5UQUxfQVNTRVRTLjEwMDAuMTQvMDYvMjAyNi4uLlVTRC5IAQAAAOlxAgADAAAAAADZIIHZ/sneCGBBSN3+yd4IM0NJUS5OWVNFOkJBSC5JUV9BTU9SVF9ESUNfQ0YuOTk2LjE0LzA2LzIwMjYuLi5VU0QuSAEAAADpcQIAAgAAAAU0LjYxOQEIAAAABQAAAAExAQAAAAstMTk5MjQwMjA1OQMAAAADMTYwAgAAAAU0NTg2OQQAAAABMAcAAAAJNi8xNC8yMDI2CAAAAAkzLzMxLzIwMjIJAAAAATDZIIHZ/sneCLn66dv+yd4IL0NJUS5OWVNFOkJBSC5JUV9DRl9TSEFSRS45OTQuMTQvMDYvMjAyNi4uLlVTRC5IAQAAAOlxAgACAAAACDMuMDIyNjM2AQgAAAAFAAAAATEBAAAACy0yMDk1MTI2MDkwAwAAAAMxNjACAAAABTQzOTIzBAAAAAEwBwAAAAk2LzE0LzIwMjYIAAAACTMvMzEvMjAyMAkAAAABMDzkfNn+yd4Izbju2/7J3ggzQ0lRLk5ZU0U6QkFILklRX0xFVkVSRURfRkNGLjEwMDAuMTQvMDYvMjAyNi4uLlVTRC5IAQAAAOlxAgACAAAABzc4NS4zNzUBCAAAAAUAAAABMQEAAAALLTE4ODc3MDQ5NzcDAAAAAzE2MAIAAAAENDQyMgQA</t>
  </si>
  <si>
    <t>AAABMAcAAAAJNi8xNC8yMDI2CAAAAAkzLzMxLzIwMjYJAAAAATA85HzZ/sneCPvWRd3+yd4IO0NJUS5OWVNFOkJBSC5JUV9DSEFOR0VfREVGX1RBWF9UT1RBTC45OTYuMTQvMDYvMjAyNi4uLlVTRC5IAQAAAOlxAgACAAAACC0xMzAuMTk3AQgAAAAFAAAAATEBAAAACy0xOTkyNDAyMDU5AwAAAAMxNjACAAAABTMwOTI0BAAAAAEwBwAAAAk2LzE0LzIwMjYIAAAACTMvMzEvMjAyMgkAAAABMDzkfNn+yd4I+Lbs2/7J3gg3Q0lRLk5ZU0U6QkFILklRX0NBU0hfVEFYRVNfRklOQU4uOTkwLjE0LzA2LzIwMjYuLi5VU0QuSAEAAADpcQIAAwAAAAAAPOR82f7J3gj4tuzb/sneCDFDSVEuTllTRTpCQUguSVFfQ0FTSF9UQVhFUy45OTguMTQvMDYvMjAyNi4uLlVTRC5IAQAAAOlxAgACAAAAAzMzNgEIAAAABQAAAAExAQAAAAstMTg4NzcwNDk5MwMAAAADMTYwAgAAAAQzMDUzBAAAAAEwBwAAAAk2LzE0LzIwMjYIAAAACTMvMzEvMjAyNAkAAAABMDzkfNn+yd4I+Lbs2/7J3ghEQ0lRLk5ZU0U6QkFILklRX1RPVEFMX0RFQlRfUkVQQUlEX0VYQ0xfTEVBU0VTLjk5Ni4xNC8wNi8yMDI2Li4uVVNELkgBAAAA6XECAAIAAAAILTExMi4yNTcBCAAAAAUAAAABMQEAAAALLTE5OTI0MDIwNTkDAAAAAzE2MAIAAAAFNDg5ODYEAAAAATAHAAAACTYvMTQvMjAyNggAAAAJMy8zMS8yMDIyCQAAAAEwfB9+2f7J3gjVwPHb/sneCEhD</t>
  </si>
  <si>
    <t>SVEuTllTRTpCQUguSVFfTE9OR19URVJNX0RFQlRfUkVQQUlEX0VYQ0xfTEVBU0VTLjk5MC4xNC8wNi8yMDI2Li4uVVNELkgBAAAA6XECAAIAAAAILTI5NS4wNjMBCAAAAAUAAAABMQEAAAAKMTg5MTM0Nzg2OQMAAAADMTYwAgAAAAU0ODk4NAQAAAABMAcAAAAJNi8xNC8yMDI2CAAAAAkzLzMxLzIwMTYJAAAAATB8H37Z/sneCNUa8dv+yd4IP0NJUS5OWVNFOkJBSC5JUV9PUEVSQVRJTkdfTEVBU0VfUEFZTUVOVFMuOTk4LjE0LzA2LzIwMjYuLi5VU0QuSAEAAADpcQIAAwAAAAAAfB9+2f7J3ghgfvDb/sneCDRDSVEuTllTRTpCQUguSVFfRE9fRklOQU5DRV9DRi45OTIuMTQvMDYvMjAyNi4uLlVTRC5IAQAAAOlxAgADAAAAAAB8H37Z/sneCEEJ8Nv+yd4IN0NJUS5OWVNFOkJBSC5JUV9ORVRfREVCVF9JU1NVRUQuMTAwMC4xNC8wNi8yMDI2Li4uVVNELkgBAAAA6XECAAIAAAADLTY5AQgAAAAFAAAAATEBAAAACy0xODg3NzA0OTc3AwAAAAMxNjACAAAABDIwMDMEAAAAATAHAAAACTYvMTQvMjAyNggAAAAJMy8zMS8yMDI2CQAAAAEwPOR82f7J3gj71kXd/sneCDNDSVEuTllTRTpCQUguSVFfT1RIRVJfUkVDRUlWLjk5Mi4xNC8wNi8yMDI2Li4uVVNELkgBAAAA6XECAAMAAAAAAHwfftn+yd4Ijfny2/7J3gg1Q0lRLk5ZU0U6QkFILklRX0NBU0hfU1RfSU5WRVNULjk5OC4xNC8wNi8yMDI2Li4uVVNELkgBAAAA</t>
  </si>
  <si>
    <t>6XECAAIAAAADNTU0AQgAAAAFAAAAATEBAAAACy0xODg3NzA0OTkzAwAAAAMxNjACAAAABDEwMDIEAAAAATAHAAAACTYvMTQvMjAyNggAAAAJMy8zMS8yMDI0CQAAAAEwfB9+2f7J3giN+fLb/sneCDVDSVEuTllTRTpCQUguSVFfVFJBRElOR19BU1NFVFMuOTkyLjE0LzA2LzIwMjYuLi5VU0QuSAEAAADpcQIAAgAAAAMwLjcBCAAAAAUAAAABMQEAAAAKMjAzODA5MTA3NwMAAAADMTYwAgAAAAQxMjQ0BAAAAAEwBwAAAAk2LzE0LzIwMjYIAAAACTMvMzEvMjAxOAkAAAABMHwfftn+yd4IcoTy2/7J3gg2Q0lRLk5ZU0U6QkFILklRX1JFU1RSSUNURURfQ0FTSC45OTQuMTQvMDYvMjAyNi4uLlVTRC5IAQAAAOlxAgADAAAAAADZXYHZ/sneCK9e9dv+yd4INkNJUS5OWVNFOkJBSC5JUV9MT0FOU19GT1JfU0FMRS4xMDAwLjE0LzA2LzIwMjYuLi5VU0QuSAEAAADpcQIAAwAAAAAA2V2B2f7J3gj71kXd/sneCD1DSVEuTllTRTpCQUguSVFfRklOX0RJVl9BU1NFVFNfQ1VSUkVOVC45OTQuMTQvMDYvMjAyNi4uLlVTRC5IAQAAAOlxAgADAAAAAAB8H37Z/sneCFXM9Nv+yd4IMkNJUS5OWVNFOkJBSC5JUV9QUkVQQUlEX0VYUC45OTAuMTQvMDYvMjAyNi4uLlVTRC5IAQAAAOlxAgACAAAABzEwOS45NTMBCAAAAAUAAAABMQEAAAAKMTg5MTM0Nzg2OQMAAAADMTYwAgAAAAQxMjEyBAAAAAEwBwAAAAk2LzE0LzIwMjYIAAAA</t>
  </si>
  <si>
    <t>CTMvMzEvMjAxNgkAAAABMHwfftn+yd4Ijfny2/7J3ggzQ0lRLk5ZU0U6QkFILklRX1RPVEFMX1JFQ0VJVi45OTYuMTQvMDYvMjAyNi4uLlVTRC5IAQAAAOlxAgACAAAACDE2NzAuMTMxAQgAAAAFAAAAATEBAAAACy0xOTkyNDAyMDU5AwAAAAMxNjACAAAABDEwMDEEAAAAATAHAAAACTYvMTQvMjAyNggAAAAJMy8zMS8yMDIyCQAAAAEwfB9+2f7J3giN+fLb/sneCDhDSVEuTllTRTpCQUguSVFfRklOX0RJVl9BU1NFVFNfTFQuOTk1LjE0LzA2LzIwMjYuLi5VU0QuSAEAAADpcQIAAwAAAAAA2V2B2f7J3ghuzffb/sneCDJDSVEuTllTRTpCQUguSVFfT1RIRVJfSU5UQU4uOTk0LjE0LzA2LzIwMjYuLi5VU0QuSAEAAADpcQIAAgAAAAczMDAuOTg3AQgAAAAFAAAAATEBAAAACy0yMDk1MTI2MDkwAwAAAAMxNjACAAAABDEwNDAEAAAAATAHAAAACTYvMTQvMjAyNggAAAAJMy8zMS8yMDIwCQAAAAEw2V2B2f7J3ghuzffb/sneCDBDSVEuTllTRTpCQUguSVFfTFRfSU5WRVNULjk5Mi4xNC8wNi8yMDI2Li4uVVNELkgBAAAA6XECAAIAAAAFNy4yMjUBCAAAAAUAAAABMQEAAAAKMjAzODA5MTA3NwMAAAADMTYwAgAAAAQxMDU0BAAAAAEwBwAAAAk2LzE0LzIwMjYIAAAACTMvMzEvMjAxOAkAAAABMNldgdn+yd4Ir1712/7J3ggqQ0lRLk5ZU0U6QkFILklRX0FELjEwMDAuMTQvMDYvMjAyNi4uLlVTRC5IAQAAAOlxAgAC</t>
  </si>
  <si>
    <t>AAAABC0zMTgBCAAAAAUAAAABMQEAAAALLTE4ODc3MDQ5NzcDAAAAAzE2MAIAAAAEMTA3NQQAAAABMAcAAAAJNi8xNC8yMDI2CAAAAAkzLzMxLzIwMjYJAAAAATDZXYHZ/sneCPvWRd3+yd4IL0NJUS5OWVNFOkJBSC5JUV9UT1RBTF9DQS45OTguMTQvMDYvMjAyNi4uLlVTRC5IAQAAAOlxAgACAAAABDI3MzkBCAAAAAUAAAABMQEAAAALLTE4ODc3MDQ5OTMDAAAAAzE2MAIAAAAEMTAwOAQAAAABMAcAAAAJNi8xNC8yMDI2CAAAAAkzLzMxLzIwMjQJAAAAATDZXYHZ/sneCK9e9dv+yd4IOkNJUS5OWVNFOkJBSC5JUV9DVVJSRU5UX1BPUlRfTEVBU0VTLjk5NC4xNC8wNi8yMDI2Li4uVVNELkgBAAAA6XECAAIAAAAGNDkuMDIxAQgAAAAFAAAAATEBAAAACy0yMDk1MTI2MDkwAwAAAAMxNjACAAAABDEwOTAEAAAAATAHAAAACTYvMTQvMjAyNggAAAAJMy8zMS8yMDIwCQAAAAEw2V2B2f7J3ghvrvzb/sneCC5DSVEuTllTRTpCQUguSVFfU1RfREVCVC45OTQuMTQvMDYvMjAyNi4uLlVTRC5IAQAAAOlxAgADAAAAAADZXYHZ/sneCG+u/Nv+yd4IM0NJUS5OWVNFOkJBSC5JUV9UT1RBTF9BU1NFVFMuOTk3LjE0LzA2LzIwMjYuLi5VU0QuSAEAAADpcQIAAgAAAAg2NTUwLjY1MgEIAAAABQAAAAExAQAAAAstMTk0MTU0Njg3MQMAAAADMTYwAgAAAAQxMDA3BAAAAAEwBwAAAAk2LzE0LzIwMjYIAAAACTMvMzEvMjAyMwkA</t>
  </si>
  <si>
    <t>AAABMNldgdn+yd4IwP/62/7J3gg1Q0lRLk5ZU0U6QkFILklRX0RFRl9DSEFSR0VTX0xULjk5Ny4xNC8wNi8yMDI2Li4uVVNELkgBAAAA6XECAAMAAAAAANldgdn+yd4Ibs332/7J3gg2Q0lRLk5ZU0U6QkFILklRX0xPQU5TX1JFQ0VJVl9MVC45OTYuMTQvMDYvMjAyNi4uLlVTRC5IAQAAAOlxAgADAAAAAADZXYHZ/sneCG7N99v+yd4INENJUS5OWVNFOkJBSC5JUV9VTkVBUk5fUkVWX0xULjk5MS4xNC8wNi8yMDI2Li4uVVNELkgBAAAA6XECAAMAAAAAANldgdn+yd4IZRf/2/7J3gg3Q0lRLk5ZU0U6QkFILklRX0xPTkdfVEVSTV9MRUFTRVMuOTk0LjE0LzA2LzIwMjYuLi5VU0QuSAEAAADpcQIAAgAAAAcyNzAuMjY2AQgAAAAFAAAAATEBAAAACy0yMDk1MTI2MDkwAwAAAAMxNjACAAAABDExODMEAAAAATAHAAAACTYvMTQvMjAyNggAAAAJMy8zMS8yMDIwCQAAAAEw2V2B2f7J3ghlF//b/sneCC9DSVEuTllTRTpCQUguSVFfVE9UQUxfQ0wuOTk1LjE0LzA2LzIwMjYuLi5VU0QuSAEAAADpcQIAAgAAAAgxMjkxLjEwNQEIAAAABQAAAAExAQAAAAstMjA0MzIxNTM5MgMAAAADMTYwAgAAAAQxMDA5BAAAAAEwBwAAAAk2LzE0LzIwMjYIAAAACTMvMzEvMjAyMQkAAAABMNldgdn+yd4IZRf/2/7J3gg7Q0lRLk5ZU0U6QkFILklRX0RFRl9UQVhfTElBQl9DVVJSRU5ULjk5MS4xNC8wNi8yMDI2Li4uVVNELkgBAAAA</t>
  </si>
  <si>
    <t>6XECAAMAAAAAANldgdn+yd4Ib6782/7J3gg7Q0lRLk5ZU0U6QkFILklRX0ZJTl9ESVZfTElBQl9DVVJSRU5ULjk5NC4xNC8wNi8yMDI2Li4uVVNELkgBAAAA6XECAAMAAAAAANldgdn+yd4Ib6782/7J3ggpQ0lRLk5ZU0U6QkFILklRX1JFLjk5Ny4xNC8wNi8yMDI2Li4uVVNELkgBAAAA6XECAAIAAAAIMjA1MS40NTUBCAAAAAUAAAABMQEAAAALLTE5NDE1NDY4NzEDAAAAAzE2MAIAAAAEMTIyMgQAAAABMAcAAAAJNi8xNC8yMDI2CAAAAAkzLzMxLzIwMjMJAAAAATB8X0bZ/sneCGqGAdz+yd4ILUNJUS5OWVNFOkJBSC5JUV9DT01NT04uOTkwLjE0LzA2LzIwMjYuLi5VU0QuSAEAAADpcQIAAgAAAAUxLjUzNAEIAAAABQAAAAExAQAAAAoxODkxMzQ3ODY5AwAAAAMxNjACAAAABDExMDMEAAAAATAHAAAACTYvMTQvMjAyNggAAAAJMy8zMS8yMDE2CQAAAAEwfF9G2f7J3ghqhgHc/sneCDdDSVEuTllTRTpCQUguSVFfUFJFRl9OT05fUkVERUVNLjIwMDAuMTQvMDYvMjAyNi4uLlVTRC5IAQAAAOlxAgADAAAAAADZXYHZ/sneCGqGAdz+yd4IMkNJUS5OWVNFOkJBSC5JUV9QUkVGX1JFREVFTS45OTEuMTQvMDYvMjAyNi4uLlVTRC5IAQAAAOlxAgADAAAAAADZXYHZ/sneCGUX/9v+yd4IL0NJUS5OWVNFOkJBSC5JUV9QRU5TSU9OLjIwMDAuMTQvMDYvMjAyNi4uLlVTRC5IAQAAAOlxAgACAAAAAjQwAQgAAAAFAAAA</t>
  </si>
  <si>
    <t>ATEBAAAACy0xODg3NzA0MzQxAwAAAAMxNjACAAAABDEyMTMEAAAAATAHAAAACTYvMTQvMjAyNggAAAAJMy8zMS8yMDI2CQAAAAEw2V2B2f7J3ghlF//b/sneCERDSVEuTllTRTpCQUguSVFfUlVBX09QRVJBVElOR19MRUFTRV9BQ0NVTV9ERVAuOTk1LjE0LzA2LzIwMjYuLi5VU0QuSAEAAADpcQIAAwAAAAAAfF9G2f7J3ghLjAXc/sneCEJDSVEuTllTRTpCQUguSVFfUlVBX0NBUElUQUxfTEVBU0VfQUNDVU1fREVQLjk5NC4xNC8wNi8yMDI2Li4uVVNELkgBAAAA6XECAAMAAAAAAHxfRtn+yd4ImO8E3P7J3gg0Q0lRLk5ZU0U6QkFILklRX1JVQV9BQ0NVTV9ERVAuOTk3LjE0LzA2LzIwMjYuLi5VU0QuSAEAAADpcQIAAwAAAAAAfF9G2f7J3ggzdwTc/sneCDhDSVEuTllTRTpCQUguSVFfVE9UQUxfTElBQl9FUVVJVFkuOTkwLjE0LzA2LzIwMjYuLi5VU0QuSAEAAADpcQIAAgAAAAgzMDEwLjE3MQEIAAAABQAAAAExAQAAAAoxODkxMzQ3ODY5AwAAAAMxNjACAAAABDEwMTMEAAAAATAHAAAACTYvMTQvMjAyNggAAAAJMy8zMS8yMDE2CQAAAAEwfF9G2f7J3ghqhgHc/sneCDpDSVEuTllTRTpCQUguSVFfVE9UQUxfQ09NTU9OX0VRVUlUWS45OTIuMTQvMDYvMjAyNi4uLlVTRC5IAQAAAOlxAgACAAAABzU2Mi40OTEBCAAAAAUAAAABMQEAAAAKMjAzODA5MTA3NwMAAAADMTYwAgAAAAQxMDA2BAAAAAEwBwAAAAk2</t>
  </si>
  <si>
    <t>LzE0LzIwMjYIAAAACTMvMzEvMjAxOAkAAAABMHxfRtn+yd4IaoYB3P7J3gg9Q0lRLk5ZU0U6QkFILklRX1RPVEFMX0RFQlRfRVhDTF9MRUFTRVMuOTkyLjE0LzA2LzIwMjYuLi5VU0QuSAEAAADpcQIAAgAAAAgxODk4LjU3OQEIAAAABQAAAAExAQAAAAoyMDM4MDkxMDc3AwAAAAMxNjACAAAABTQ4OTkyBAAAAAEwBwAAAAk2LzE0LzIwMjYIAAAACTMvMzEvMjAxOAkAAAABMHxfRtn+yd4I5MsG3P7J3gg0Q0lRLk5ZU0U6QkFILklRX1RPVEFMX0xFQVNFUy4xMDAwLjE0LzA2LzIwMjYuLi5VU0QuSAEAAADpcQIAAgAAAAMxODIBCAAAAAUAAAABMQEAAAALLTE4ODc3MDQ5NzcDAAAAAzE2MAIAAAAFNDg5NzkEAAAAATAHAAAACTYvMTQvMjAyNggAAAAJMy8zMS8yMDI2CQAAAAEwfF9G2f7J3ghgJUTd/sneCE1DSVEuTllTRTpCQUguSVFfQ1VSUkVOVF9QT1JUSU9OX09QRVJfTEVBU0VfTElBQklMSVRJRVMuOTk1LjE0LzA2LzIwMjYuLi5VU0QuSAEAAADpcQIAAgAAAAY1NC45NTYBCAAAAAUAAAABMQEAAAALLTIwNDMyMTUzOTIDAAAAAzE2MAIAAAAFNDgzODUEAAAAATAHAAAACTYvMTQvMjAyNggAAAAJMy8zMS8yMDIxCQAAAAEwfF9G2f7J3gjkywbc/sneCD9DSVEuTllTRTpCQUguSVFfRklOQU5DRV9MRUFTRVNfTE9OR19URVJNLjk5MS4xNC8wNi8yMDI2Li4uVVNELkgBAAAA6XECAAMAAAAAAHxfRtn+yd4I</t>
  </si>
  <si>
    <t>5MsG3P7J3gg6Q0lRLk5ZU0U6QkFILklRX0FEX0VYQ0xfT1BFUl9MRUFTRVMuOTk0LjE0LzA2LzIwMjYuLi5VU0QuSAEAAADpcQIAAgAAAAgtMjcyLjM2OQEIAAAABQAAAAExAQAAAAstMjA5NTEyNjA5MAMAAAADMTYwAgAAAAU0ODk3NQQAAAABMAcAAAAJNi8xNC8yMDI2CAAAAAkzLzMxLzIwMjAJAAAAATB8X0bZ/sneCKNjBtz+yd4INENJUS5OWVNFOkJBSC5JUV9FUVVJVFlfTUVUSE9ELjk5MC4xNC8wNi8yMDI2Li4uVVNELkgBAAAA6XECAAMAAAAAAEpHR9n+yd4I4T0L3P7J3gg/Q0lRLk5ZU0U6QkFILklRX01JTk9SSVRZX0lOVEVSRVNUX1RPVEFMLjEwMDAuMTQvMDYvMjAyNi4uLlVTRC5IAQAAAOlxAgADAAAAAABKR0fZ/sneCGAlRN3+yd4IMUNJUS5OWVNFOkJBSC5JUV9UT1RBTF9ERUJULjk5MS4xNC8wNi8yMDI2Li4uVVNELkgBAAAA6XECAAIAAAAIMTc0My4zMjQBCAAAAAUAAAABMQEAAAAKMTk2NTc3MjQyMgMAAAADMTYwAgAAAAQ0MTczBAAAAAEwBwAAAAk2LzE0LzIwMjYIAAAACTMvMzEvMjAxNwkAAAABMEpHR9n+yd4IkcgI3P7J3ggqQ0lRLk5ZU0U6QkFILklRX1RCVi45OTEuMTQvMDYvMjAyNi4uLlVTRC5IAQAAAOlxAgACAAAACS0xMjc3LjU3OQEIAAAABQAAAAExAQAAAAoxOTY1NzcyNDIyAwAAAAMxNjACAAAABDEzMTAEAAAAATAHAAAACTYvMTQvMjAyNggAAAAJMy8zMS8yMDE3CQAA</t>
  </si>
  <si>
    <t>AAEwSkdH2f7J3giRyAjc/sneCDhDSVEuTllTRTpCQUguSVFfQlZfU0hBUkVfUkVQT1JURUQuOTkyLjE0LzA2LzIwMjYuLi5VU0QuSAEAAADpcQIAAwAAAAAASkdH2f7J3gjkywbc/sneCDpDSVEuTllTRTpCQUguSVFfTElBQklMSVRJRVNfTEVWRUxfMy45OTguMTQvMDYvMjAyNi4uLlVTRC5IAQAAAOlxAgADAAAAAACGKxTZ/sneCA2TEtz+yd4ITkNJUS5OWVNFOkJBSC5JUV9MSVFVSURBVElPTl9WQUxVRV9QUkVGRVJSRURfTk9OX1JFREVFTS4xMDAwLjE0LzA2LzIwMjYuLi5VU0QuSAEAAADpcQIAAwAAAAAASkdH2f7J3gi4iEPd/sneCEBDSVEuTllTRTpCQUguSVFfRklOX0RJVl9NSU5PUklUWV9JTlRFUkVTVC45OTMuMTQvMDYvMjAyNi4uLlVTRC5IAQAAAOlxAgADAAAAAABKR0fZ/sneCB0hENz+yd4IL0NJUS5OWVNFOkJBSC5JUV9TT0ZUV0FSRS45OTIuMTQvMDYvMjAyNi4uLlVTRC5IAQAAAOlxAgADAAAAAABKR0fZ/sneCOE9C9z+yd4ILkNJUS5OWVNFOkJBSC5JUV9XSVBfSU5WLjk5NC4xNC8wNi8yMDI2Li4uVVNELkgBAAAA6XECAAMAAAAAAEpHR9n+yd4I4T0L3P7J3ghEQ0lRLk5ZU0U6QkFILklRX0RFUFJFQ0lBVElPTl9SRU5UQUxfQVNTRVRTX0NGLjk5MS4xNC8wNi8yMDI2Li4uVVNELkgBAAAA6XECAAMAAAAAAMOcf9n+yd4INb3o2/7J3ghAQ0lRLk5ZU0U6QkFILklRX0dXX0lOVEFOX0FN</t>
  </si>
  <si>
    <t>T1JUX1BBUlRJQUxfQ0YuOTk3LjE0LzA2LzIwMjYuLi5VU0QuSAEAAADpcQIAAwAAAAAAw5x/2f7J3gg1vejb/sneCDpDSVEuTllTRTpCQUguSVFfREFfU1VQUExfUEFSVElBTF9DRi45OTEuMTQvMDYvMjAyNi4uLlVTRC5IAQAAAOlxAgADAAAAAADDnH/Z/sneCAWL59v+yd4IOUNJUS5OWVNFOkJBSC5JUV9MVF9NQVJLX1NFQ1VSSVRJRVMuOTk4LjE0LzA2LzIwMjYuLi5VU0QuSAEAAADpcQIAAwAAAAAAhisU2f7J3ggEihnc/sneCDhDSVEuTllTRTpCQUguSVFfQ0FTSF9JTlRFUkVTVF9ORVQuOTkzLjE0LzA2LzIwMjYuLi5VU0QuSAEAAADpcQIAAwAAAAAAPOR82f7J3gi5+unb/sneCEJDSVEuTllTRTpCQUguSVFfU0FMRV9QUk9DRUVEU19SRU5UQUxfQVNTRVRTLjk5OS4xNC8wNi8yMDI2Li4uVVNELkgBAAAA6XECAAMAAAAAANkggdn+yd4IYEFI3f7J3gg/Q0lRLk5ZU0U6QkFILklRX0FNT1JUX1NPRlRXQVJFX0FTU0VUU19DRi45OTMuMTQvMDYvMjAyNi4uLlVTRC5IAQAAAOlxAgADAAAAAADZIIHZ/sneCLn66dv+yd4IPkNJUS5OWVNFOkJBSC5JUV9EQV9DRl9FWENMX09QRVJfTEVBU0VTLjIwMDAuMTQvMDYvMjAyNi4uLlVTRC5IAQAAAOlxAgACAAAAAzE2MwEIAAAABQAAAAExAQAAAAstMTg4NzcwNDM0MQMAAAADMTYwAgAAAAU0ODk4NQQAAAABMAcAAAAJNi8xNC8yMDI2CAAAAAkzLzMxLzIwMjYJ</t>
  </si>
  <si>
    <t>AAAAATDDnH/Z/sneCDW96Nv+yd4IQ0NJUS5OWVNFOkJBSC5JUV9EQV9TVVBQTF9DRl9FWENMX09QRVJfTEVBU0VTLjk5NS4xNC8wNi8yMDI2Li4uVVNELkgBAAAA6XECAAIAAAAGNjUuMDE1AQgAAAAFAAAAATEBAAAACy0yMDQzMjE1MzkyAwAAAAMxNjACAAAABTQ4OTgzBAAAAAEwBwAAAAk2LzE0LzIwMjYIAAAACTMvMzEvMjAyMQkAAAABMMOcf9n+yd4INb3o2/7J3gg7Q0lRLk5ZU0U6QkFILklRX0NIQU5HRV9ERUZfVEFYX1RPVEFMLjk5NS4xNC8wNi8yMDI2Li4uVVNELkgBAAAA6XECAAIAAAAHMjMxLjk5OAEIAAAABQAAAAExAQAAAAstMjA0MzIxNTM5MgMAAAADMTYwAgAAAAUzMDkyNAQAAAABMAcAAAAJNi8xNC8yMDI2CAAAAAkzLzMxLzIwMjEJAAAAATA85HzZ/sneCPi27Nv+yd4IOUNJUS5OWVNFOkJBSC5JUV9DQVNIX1RBWEVTX0lOVkVTVC4yMDAwLjE0LzA2LzIwMjYuLi5VU0QuSAEAAADpcQIAAwAAAAAAPOR82f7J3gj4tuzb/sneCDZDSVEuTllTRTpCQUguSVFfQ0FTSF9UQVhFU19PUEVSLjk5NS4xNC8wNi8yMDI2Li4uVVNELkgBAAAA6XECAAMAAAAAADzkfNn+yd4I+Lbs2/7J3gg6Q0lRLk5ZU0U6QkFILklRX0NBU0hfSU5URVJFU1RfRklOQU4uOTkxLjE0LzA2LzIwMjYuLi5VU0QuSAEAAADpcQIAAwAAAAAAPOR82f7J3ggYTuzb/sneCDlDSVEuTllTRTpCQUguSVFfQ0FTSF9JTlRFUkVT</t>
  </si>
  <si>
    <t>VF9PUEVSLjk5Ny4xNC8wNi8yMDI2Li4uVVNELkgBAAAA6XECAAMAAAAAADzkfNn+yd4Iufrp2/7J3gg/Q0lRLk5ZU0U6QkFILklRX09QRVJBVElOR19MRUFTRV9QQVlNRU5UUy45OTcuMTQvMDYvMjAyNi4uLlVTRC5IAQAAAOlxAgADAAAAAAB8H37Z/sneCIml8Nv+yd4INENJUS5OWVNFOkJBSC5JUV9ET19GSU5BTkNFX0NGLjk5MS4xNC8wNi8yMDI2Li4uVVNELkgBAAAA6XECAAMAAAAAAHwfftn+yd4IQQnw2/7J3ggyQ0lRLk5ZU0U6QkFILklRX01BSU5UX0NBUEVYLjk5Ny4xNC8wNi8yMDI2Li4uVVNELkgBAAAA6XECAAMAAAAAAHwfftn+yd4Izbju2/7J3ggvQ0lRLk5ZU0U6QkFILklRX0NGX1NIQVJFLjk5My4xNC8wNi8yMDI2Li4uVVNELkgBAAAA6XECAAIAAAAIMi44NTM0MDUBCAAAAAUAAAABMQEAAAAKMjA5OTA4NzEzMwMAAAADMTYwAgAAAAU0MzkyMwQAAAABMAcAAAAJNi8xNC8yMDI2CAAAAAkzLzMxLzIwMTkJAAAAATA85HzZ/sneCM247tv+yd4IMkNJUS5OWVNFOkJBSC5JUV9MRVZFUkVEX0ZDRi45OTkuMTQvMDYvMjAyNi4uLlVTRC5IAQAAAOlxAgACAAAABjcwNi43NQEIAAAABQAAAAExAQAAAAstMTg4NzcwNTAwMQMAAAADMTYwAgAAAAQ0NDIyBAAAAAEwBwAAAAk2LzE0LzIwMjYIAAAACTMvMzEvMjAyNQkAAAABMDzkfNn+yd4I+9ZF3f7J3gg1Q0lRLk5ZU0U6QkFILklRX1RSQURJTkdf</t>
  </si>
  <si>
    <t>QVNTRVRTLjk5MS4xNC8wNi8yMDI2Li4uVVNELkgBAAAA6XECAAMAAAAAAHwfftn+yd4IcoTy2/7J3ghEQ0lRLk5ZU0U6QkFILklRX1RPVEFMX0RFQlRfUkVQQUlEX0VYQ0xfTEVBU0VTLjk5NS4xNC8wNi8yMDI2Li4uVVNELkgBAAAA6XECAAIAAAAILTUyNy44NjUBCAAAAAUAAAABMQEAAAALLTIwNDMyMTUzOTIDAAAAAzE2MAIAAAAFNDg5ODYEAAAAATAHAAAACTYvMTQvMjAyNggAAAAJMy8zMS8yMDIxCQAAAAEwfB9+2f7J3gjVwPHb/sneCEtDSVEuTllTRTpCQUguSVFfT1BFUkFUSU5HX0xFQVNFX0xJQUJJTElUSUVTX05PTkNBU0guMjAwMC4xNC8wNi8yMDI2Li4uVVNELkgBAAAA6XECAAMAAAAAAHwfftn+yd4I1Rrx2/7J3gg9Q0lRLk5ZU0U6QkFILklRX0ZJTl9ESVZfQVNTRVRTX0NVUlJFTlQuOTkzLjE0LzA2LzIwMjYuLi5VU0QuSAEAAADpcQIAAwAAAAAAfB9+2f7J3ghVzPTb/sneCDFDSVEuTllTRTpCQUguSVFfSU5WRU5UT1JZLjIwMDAuMTQvMDYvMjAyNi4uLlVTRC5IAQAAAOlxAgADAAAAAAB8H37Z/sneCI358tv+yd4IM0NJUS5OWVNFOkJBSC5JUV9UT1RBTF9SRUNFSVYuOTk1LjE0LzA2LzIwMjYuLi5VU0QuSAEAAADpcQIAAgAAAAgxNTg3LjQzNQEIAAAABQAAAAExAQAAAAstMjA0MzIxNTM5MgMAAAADMTYwAgAAAAQxMDAxBAAAAAEwBwAAAAk2LzE0LzIwMjYIAAAACTMvMzEvMjAyMQkA</t>
  </si>
  <si>
    <t>AAABMHwfftn+yd4Ijfny2/7J3gg0Q0lRLk5ZU0U6QkFILklRX09USEVSX1JFQ0VJVi4yMDAwLjE0LzA2LzIwMjYuLi5VU0QuSAEAAADpcQIAAwAAAAAAfB9+2f7J3giN+fLb/sneCDVDSVEuTllTRTpCQUguSVFfQ0FTSF9TVF9JTlZFU1QuOTk3LjE0LzA2LzIwMjYuLi5VU0QuSAEAAADpcQIAAgAAAAc0MTYuMTA3AQgAAAAFAAAAATEBAAAACy0xOTQxNTQ2ODcxAwAAAAMxNjACAAAABDEwMDIEAAAAATAHAAAACTYvMTQvMjAyNggAAAAJMy8zMS8yMDIzCQAAAAEwfB9+2f7J3giN+fLb/sneCDFDSVEuTllTRTpCQUguSVFfTFRfSU5WRVNULjIwMDAuMTQvMDYvMjAyNi4uLlVTRC5IAQAAAOlxAgACAAAAAzM0NAEIAAAABQAAAAExAQAAAAstMTg4NzcwNDM0MQMAAAADMTYwAgAAAAQxMDU0BAAAAAEwBwAAAAk2LzE0LzIwMjYIAAAACTMvMzEvMjAyNgkAAAABMNldgdn+yd4Ir1712/7J3ggpQ0lRLk5ZU0U6QkFILklRX0FELjk5OS4xNC8wNi8yMDI2Li4uVVNELkgBAAAA6XECAAIAAAAELTI4MQEIAAAABQAAAAExAQAAAAstMTg4NzcwNTAwMQMAAAADMTYwAgAAAAQxMDc1BAAAAAEwBwAAAAk2LzE0LzIwMjYIAAAACTMvMzEvMjAyNQkAAAABMNldgdn+yd4I+9ZF3f7J3ggvQ0lRLk5ZU0U6QkFILklRX1RPVEFMX0NBLjk5Ny4xNC8wNi8yMDI2Li4uVVNELkgBAAAA6XECAAIAAAAIMjI4OC4wNTgBCAAAAAUAAAAB</t>
  </si>
  <si>
    <t>MQEAAAALLTE5NDE1NDY4NzEDAAAAAzE2MAIAAAAEMTAwOAQAAAABMAcAAAAJNi8xNC8yMDI2CAAAAAkzLzMxLzIwMjMJAAAAATDZXYHZ/sneCK9e9dv+yd4INUNJUS5OWVNFOkJBSC5JUV9PVEhFUl9DQV9TVVBQTC45OTEuMTQvMDYvMjAyNi4uLlVTRC5IAQAAAOlxAgADAAAAAADZXYHZ/sneCK9e9dv+yd4INUNJUS5OWVNFOkJBSC5JUV9MT0FOU19GT1JfU0FMRS45OTkuMTQvMDYvMjAyNi4uLlVTRC5IAQAAAOlxAgADAAAAAADZXYHZ/sneCPvWRd3+yd4IKUNJUS5OWVNFOkJBSC5JUV9BUC45OTQuMTQvMDYvMjAyNi4uLlVTRC5IAQAAAOlxAgACAAAABzQzMi45NTMBCAAAAAUAAAABMQEAAAALLTIwOTUxMjYwOTADAAAAAzE2MAIAAAAEMTAxOAQAAAABMAcAAAAJNi8xNC8yMDI2CAAAAAkzLzMxLzIwMjAJAAAAATDZXYHZ/sneCMD/+tv+yd4INUNJUS5OWVNFOkJBSC5JUV9ERUZfQ0hBUkdFU19MVC45OTYuMTQvMDYvMjAyNi4uLlVTRC5IAQAAAOlxAgADAAAAAADZXYHZ/sneCG7N99v+yd4INkNJUS5OWVNFOkJBSC5JUV9MT0FOU19SRUNFSVZfTFQuOTk1LjE0LzA2LzIwMjYuLi5VU0QuSAEAAADpcQIAAwAAAAAA2V2B2f7J3ghuzffb/sneCDhDSVEuTllTRTpCQUguSVFfRklOX0RJVl9BU1NFVFNfTFQuOTk0LjE0LzA2LzIwMjYuLi5VU0QuSAEAAADpcQIAAwAAAAAA2V2B2f7J3ghuzffb/sneCDJDSVEu</t>
  </si>
  <si>
    <t>TllTRTpCQUguSVFfT1RIRVJfSU5UQU4uOTkzLjE0LzA2LzIwMjYuLi5VU0QuSAEAAADpcQIAAgAAAAcyODcuMDUxAQgAAAAFAAAAATEBAAAACjIwOTkwODcxMzMDAAAAAzE2MAIAAAAEMTA0MAQAAAABMAcAAAAJNi8xNC8yMDI2CAAAAAkzLzMxLzIwMTkJAAAAATDZXYHZ/sneCG7N99v+yd4IL0NJUS5OWVNFOkJBSC5JUV9UT1RBTF9DTC45OTQuMTQvMDYvMjAyNi4uLlVTRC5IAQAAAOlxAgACAAAACDEzMjcuNjc4AQgAAAAFAAAAATEBAAAACy0yMDk1MTI2MDkwAwAAAAMxNjACAAAABDEwMDkEAAAAATAHAAAACTYvMTQvMjAyNggAAAAJMy8zMS8yMDIwCQAAAAEw2V2B2f7J3ghlF//b/sneCDtDSVEuTllTRTpCQUguSVFfREVGX1RBWF9MSUFCX0NVUlJFTlQuOTkwLjE0LzA2LzIwMjYuLi5VU0QuSAEAAADpcQIAAwAAAAAA2V2B2f7J3ghvrvzb/sneCDtDSVEuTllTRTpCQUguSVFfRklOX0RJVl9MSUFCX0NVUlJFTlQuOTkzLjE0LzA2LzIwMjYuLi5VU0QuSAEAAADpcQIAAwAAAAAA2V2B2f7J3ghvrvzb/sneCDpDSVEuTllTRTpCQUguSVFfQ1VSUkVOVF9QT1JUX0xFQVNFUy45OTMuMTQvMDYvMjAyNi4uLlVTRC5IAQAAAOlxAgADAAAAAADZXYHZ/sneCG+u/Nv+yd4ILkNJUS5OWVNFOkJBSC5JUV9TVF9ERUJULjk5My4xNC8wNi8yMDI2Li4uVVNELkgBAAAA6XECAAMAAAAAANldgdn+yd4Ib6782/7J3ggz</t>
  </si>
  <si>
    <t>Q0lRLk5ZU0U6QkFILklRX1BSRUZfQ09OVkVSVC45OTguMTQvMDYvMjAyNi4uLlVTRC5IAQAAAOlxAgADAAAAAAB8X0bZ/sneCGqGAdz+yd4IMkNJUS5OWVNFOkJBSC5JUV9QUkVGX1JFREVFTS45OTAuMTQvMDYvMjAyNi4uLlVTRC5IAQAAAOlxAgADAAAAAADZXYHZ/sneCGUX/9v+yd4INkNJUS5OWVNFOkJBSC5JUV9ERUZfVEFYX0xJQUJfTFQuOTk0LjE0LzA2LzIwMjYuLi5VU0QuSAEAAADpcQIAAgAAAAY4OC4wODYBCAAAAAUAAAABMQEAAAALLTIwOTUxMjYwOTADAAAAAzE2MAIAAAAEMTAyNwQAAAABMAcAAAAJNi8xNC8yMDI2CAAAAAkzLzMxLzIwMjAJAAAAATDZXYHZ/sneCGUX/9v+yd4INENJUS5OWVNFOkJBSC5JUV9VTkVBUk5fUkVWX0xULjk5MC4xNC8wNi8yMDI2Li4uVVNELkgBAAAA6XECAAMAAAAAANldgdn+yd4IZRf/2/7J3gg2Q0lRLk5ZU0U6QkFILklRX0ZJTl9ESVZfREVCVF9MVC45OTEuMTQvMDYvMjAyNi4uLlVTRC5IAQAAAOlxAgADAAAAAADZXYHZ/sneCGUX/9v+yd4INENJUS5OWVNFOkJBSC5JUV9SVUFfQUNDVU1fREVQLjk5Ni4xNC8wNi8yMDI2Li4uVVNELkgBAAAA6XECAAMAAAAAAHxfRtn+yd4IM3cE3P7J3gg0Q0lRLk5ZU0U6QkFILklRX1RPVEFMX0VRVUlUWS4yMDAwLjE0LzA2LzIwMjYuLi5VU0QuSAEAAADpcQIAAgAAAAQxMTA1AQgAAAAFAAAAATEBAAAACy0xODg3NzA0</t>
  </si>
  <si>
    <t>MzQxAwAAAAMxNjACAAAABDEyNzUEAAAAATAHAAAACTYvMTQvMjAyNggAAAAJMy8zMS8yMDI2CQAAAAEwfF9G2f7J3gin7wPc/sneCDRDSVEuTllTRTpCQUguSVFfT1RIRVJfRVFVSVRZLjIwMDAuMTQvMDYvMjAyNi4uLlVTRC5IAQAAAOlxAgACAAAAAy0yMwEIAAAABQAAAAExAQAAAAstMTg4NzcwNDM0MQMAAAADMTYwAgAAAAQxMDI4BAAAAAEwBwAAAAk2LzE0LzIwMjYIAAAACTMvMzEvMjAyNgkAAAABMHxfRtn+yd4IaoYB3P7J3ggpQ0lRLk5ZU0U6QkFILklRX1JFLjk5Ni4xNC8wNi8yMDI2Li4uVVNELkgBAAAA6XECAAIAAAAIMjAxNS4wNzEBCAAAAAUAAAABMQEAAAALLTE5OTI0MDIwNTkDAAAAAzE2MAIAAAAEMTIyMgQAAAABMAcAAAAJNi8xNC8yMDI2CAAAAAkzLzMxLzIwMjIJAAAAATB8X0bZ/sneCGqGAdz+yd4IM0NJUS5OWVNFOkJBSC5JUV9QUkVGX0VRVUlUWS4yMDAwLjE0LzA2LzIwMjYuLi5VU0QuSAEAAADpcQIAAwAAAAAAfF9G2f7J3ghqhgHc/sneCEhDSVEuTllTRTpCQUguSVFfTFRfUE9SVElPTl9PUEVSX0xFQVNFX0xJQUJJTElUSUVTLjk5Mi4xNC8wNi8yMDI2Li4uVVNELkgBAAAA6XECAAMAAAAAAHxfRtn+yd4I5MsG3P7J3gg/Q0lRLk5ZU0U6QkFILklRX0ZJTkFOQ0VfTEVBU0VTX0xPTkdfVEVSTS45OTAuMTQvMDYvMjAyNi4uLlVTRC5IAQAAAOlxAgADAAAAAAB8X0bZ/sneCOTL</t>
  </si>
  <si>
    <t>Btz+yd4IOkNJUS5OWVNFOkJBSC5JUV9BRF9FWENMX09QRVJfTEVBU0VTLjk5Mi4xNC8wNi8yMDI2Li4uVVNELkgBAAAA6XECAAIAAAAILTI5My40NTkBCAAAAAUAAAABMQEAAAAKMjAzODA5MTA3NwMAAAADMTYwAgAAAAU0ODk3NQQAAAABMAcAAAAJNi8xNC8yMDI2CAAAAAkzLzMxLzIwMTgJAAAAATB8X0bZ/sneCKNjBtz+yd4IRUNJUS5OWVNFOkJBSC5JUV9SVUFfT1BFUkFUSU5HX0xFQVNFX0FDQ1VNX0RFUC4xMDAwLjE0LzA2LzIwMjYuLi5VU0QuSAEAAADpcQIAAwAAAAAAfF9G2f7J3ghgJUTd/sneCEJDSVEuTllTRTpCQUguSVFfUlVBX0NBUElUQUxfTEVBU0VfQUNDVU1fREVQLjk5My4xNC8wNi8yMDI2Li4uVVNELkgBAAAA6XECAAMAAAAAAHxfRtn+yd4ImO8E3P7J3gg5Q0lRLk5ZU0U6QkFILklRX1RPVEFMX0RFQlRfQ1VSUkVOVC45OTAuMTQvMDYvMjAyNi4uLlVTRC5IAQAAAOlxAgACAAAABzE5Mi44MTMBCAAAAAUAAAABMQEAAAAKMTg5MTM0Nzg2OQMAAAADMTYwAgAAAAUyNTIyMwQAAAABMAcAAAAJNi8xNC8yMDI2CAAAAAkzLzMxLzIwMTYJAAAAATBKR0fZ/sneCJHICNz+yd4IKkNJUS5OWVNFOkJBSC5JUV9UQlYuOTkyLjE0LzA2LzIwMjYuLi5VU0QuSAEAAADpcQIAAgAAAAktMTI5Ny4xNTkBCAAAAAUAAAABMQEAAAAKMjAzODA5MTA3NwMAAAADMTYwAgAAAAQxMzEwBAAAAAEwBwAAAAk2</t>
  </si>
  <si>
    <t>LzE0LzIwMjYIAAAACTMvMzEvMjAxOAkAAAABMEpHR9n+yd4IkcgI3P7J3gg4Q0lRLk5ZU0U6QkFILklRX0JWX1NIQVJFX1JFUE9SVEVELjk5MS4xNC8wNi8yMDI2Li4uVVNELkgBAAAA6XECAAMAAAAAAEpHR9n+yd4I5MsG3P7J3gg+Q0lRLk5ZU0U6QkFILklRX1RPVEFMX0RFQlRfRVhDTF9MRUFTRVMuMTAwMC4xNC8wNi8yMDI2Li4uVVNELkgBAAAA6XECAAIAAAAEMzk0MAEIAAAABQAAAAExAQAAAAstMTg4NzcwNDk3NwMAAAADMTYwAgAAAAU0ODk5MgQAAAABMAcAAAAJNi8xNC8yMDI2CAAAAAkzLzMxLzIwMjYJAAAAATB8X0bZ/sneCGAlRN3+yd4IM0NJUS5OWVNFOkJBSC5JUV9UT1RBTF9MRUFTRVMuOTk5LjE0LzA2LzIwMjYuLi5VU0QuSAEAAADpcQIAAgAAAAMyMjEBCAAAAAUAAAABMQEAAAALLTE4ODc3MDUwMDEDAAAAAzE2MAIAAAAFNDg5NzkEAAAAATAHAAAACTYvMTQvMjAyNggAAAAJMy8zMS8yMDI1CQAAAAEwfF9G2f7J3ghgJUTd/sneCEBDSVEuTllTRTpCQUguSVFfRklOX0RJVl9NSU5PUklUWV9JTlRFUkVTVC45OTIuMTQvMDYvMjAyNi4uLlVTRC5IAQAAAOlxAgADAAAAAABKR0fZ/sneCB0hENz+yd4IL0NJUS5OWVNFOkJBSC5JUV9TT0ZUV0FSRS45OTEuMTQvMDYvMjAyNi4uLlVTRC5IAQAAAOlxAgADAAAAAABKR0fZ/sneCOE9C9z+yd4ILkNJUS5OWVNFOkJBSC5JUV9XSVBfSU5WLjk5</t>
  </si>
  <si>
    <t>My4xNC8wNi8yMDI2Li4uVVNELkgBAAAA6XECAAMAAAAAAEpHR9n+yd4I4T0L3P7J3gg4Q0lRLk5ZU0U6QkFILklRX0FMTE9XX0RPVUJUX0FDQ1QuMjAwMC4xNC8wNi8yMDI2Li4uVVNELkgBAAAA6XECAAIAAAABMQEIAAAABQAAAAExAQAAAAstMTg4NzcwNDM0MQMAAAADMTYwAgAAAAQzMDEyBAAAAAEwBwAAAAk2LzE0LzIwMjYIAAAACTMvMzEvMjAyNgkAAAABMEpHR9n+yd4I4T0L3P7J3gg+Q0lRLk5ZU0U6QkFILklRX01JTk9SSVRZX0lOVEVSRVNUX1RPVEFMLjk5OS4xNC8wNi8yMDI2Li4uVVNELkgBAAAA6XECAAMAAAAAAEpHR9n+yd4IYCVE3f7J3ghEQ0lRLk5ZU0U6QkFILklRX0dFTkVSQUxfUEFSVE5FUl9DT01NT05fRVFVSVRZLjk5My4xNC8wNi8yMDI2Li4uVVNELkgBAAAA6XECAAMAAAAAAEpHR9n+yd4IHSEQ3P7J3ggzQ0lRLk5ZU0U6QkFILklRX0dXX0lOVEFOX05FVC45OTIuMTQvMDYvMjAyNi4uLlVTRC5IAQAAAOlxAgADAAAAAACGKxTZ/sneCJbOGdz+yd4ITENJUS5OWVNFOkJBSC5JUV9MSUFCSUxJVElFU19ORVRUSU5HX09USEVSX0FESlVTVE1FTlRTLjk5Mi4xNC8wNi8yMDI2Li4uVVNELkgBAAAA6XECAAMAAAAAAIYrFNn+yd4IDZMS3P7J3ghNQ0lRLk5ZU0U6QkFILklRX0xJUVVJREFUSU9OX1ZBTFVFX1BSRUZFUlJFRF9OT05fUkVERUVNLjk5OC4xNC8wNi8yMDI2Li4uVVNELkgB</t>
  </si>
  <si>
    <t>AAAA6XECAAMAAAAAAEpHR9n+yd4IHSEQ3P7J3gg1Q0lRLk5ZU0U6QkFILklRX0FTU0VUU19MRVZFTF8zLjk5NS4xNC8wNi8yMDI2Li4uVVNELkgBAAAA6XECAAMAAAAAAEpHR9n+yd4IDZMS3P7J3gg2Q0lRLk5ZU0U6QkFILklRX0FTU0VUU19MRVZFTF8xLjIwMDAuMTQvMDYvMjAyNi4uLlVTRC5IAQAAAOlxAgACAAAAAzM0NwBKR0fZ/sneCA2TEtz+yd4ISUNJUS5OWVNFOkJBSC5JUV9MSVFVSURBVElPTl9WQUxVRV9QUkVGRVJSRURfUkVERUVNLjk5NS4xNC8wNi8yMDI2Li4uVVNELkgBAAAA6XECAAMAAAAAAEpHR9n+yd4IHSEQ3P7J3ghKQ0lRLk5ZU0U6QkFILklRX0xJUVVJREFUSU9OX1ZBTFVFX1BSRUZFUlJFRF9DT05WRVJULjk5MS4xNC8wNi8yMDI2Li4uVVNELkgBAAAA6XECAAMAAAAAAEpHR9n+yd4IHSEQ3P7J3ghIQ0lRLk5ZU0U6QkFILklRX0dFTkVSQUxfUEFSVE5FUl9NSU5PUklUWV9JTlRFUkVTVC45OTcuMTQvMDYvMjAyNi4uLlVTRC5IAQAAAOlxAgADAAAAAABKR0fZ/sneCB0hENz+yd4IRkNJUS5OWVNFOkJBSC5JUV9GQUlSX1ZBTFVFX0NIQU5HRV9JTkNMX0VBUk5JTkdTLjk5MS4xNC8wNi8yMDI2Li4uVVNELkgBAAAA6XECAAMAAAAAAIYrFNn+yd4IDZMS3P7J3ghMQ0lRLk5ZU0U6QkFILklRX0xJQUJJTElUSUVTX05FVFRJTkdfT1RIRVJfQURKVVNUTUVOVFMuOTk3LjE0LzA2LzIw</t>
  </si>
  <si>
    <t>MjYuLi5VU0QuSAEAAADpcQIAAwAAAAAAhisU2f7J3ggNkxLc/sneCDpDSVEuTllTRTpCQUguSVFfTElBQklMSVRJRVNfTEVWRUxfMi45OTMuMTQvMDYvMjAyNi4uLlVTRC5IAQAAAOlxAgACAAAABTUuMjc2AIYrFNn+yd4IDZMS3P7J3gg4Q0lRLk5ZU0U6QkFILklRX0FTU0VUU19GQUlSX1ZBTFVFLjk5OS4xNC8wNi8yMDI2Li4uVVNELkgBAAAA6XECAAIAAAADODM4AIYrFNn+yd4IuIhD3f7J3gg5Q0lRLk5ZU0U6QkFILklRX0ZJTl9ESVZfREVCVF9UT1RBTC45OTkuMTQvMDYvMjAyNi4uLlVTRC5IAQAAAOlxAgADAAAAAACGKxTZ/sneCCr4QN3+yd4IPENJUS5OWVNFOkJBSC5JUV9GSU5fRElWX1NUX0RFQlRfVE9UQUwuOTkzLjE0LzA2LzIwMjYuLi5VU0QuSAEAAADpcQIAAwAAAAAAhisU2f7J3ggNkxLc/sneCDVDSVEuTllTRTpCQUguSVFfT1JERVJfQkFDS0xPRy4yMDAwLjE0LzA2LzIwMjYuLi5VU0QuSAEAAADpcQIAAgAAAAUzODE4NwEIAAAABQAAAAExAQAAAAstMTg4NzcwNDM0MQMAAAADMTYwAgAAAAQzMTI1BAAAAAEwBwAAAAk2LzE0LzIwMjYIAAAACTMvMzEvMjAyNgkAAAABMIYrFNn+yd4I+fUU3P7J3gg6Q0lRLk5ZU0U6QkFILklRX1RPVEFMX0RFQlRfRVhDTF9GSU4uOTk1LjE0LzA2LzIwMjYuLi5VU0QuSAEAAADpcQIAAgAAAAgyNzEyLjg1OAEIAAAABQAAAAExAQAAAAstMjA0MzIxNTM5</t>
  </si>
  <si>
    <t>MgMAAAADMTYwAgAAAAUyMTg2MAQAAAABMAcAAAAJNi8xNC8yMDI2CAAAAAkzLzMxLzIwMjEJAAAAATCGKxTZ/sneCPn1FNz+yd4IQ0NJUS5OWVNFOkJBSC5JUV9SRVNUUklDVEVEX0NBU0hfTk9OX0NVUlJFTlQuMjAwMC4xNC8wNi8yMDI2Li4uVVNELkgBAAAA6XECAAMAAAAAAIYrFNn+yd4I+fUU3P7J3gg8Q0lRLk5ZU0U6QkFILklRX0RFQlRfRVFVSVZfT1BFUl9MRUFTRS45OTcuMTQvMDYvMjAyNi4uLlVTRC5IAQAAAOlxAgACAAAAAzY0MAEIAAAABQAAAAExAQAAAAstMTk0MTU0Njg3MQMAAAADMTYwAgAAAAUyMTY3MQQAAAABMAcAAAAJNi8xNC8yMDI2CAAAAAkzLzMxLzIwMjMJAAAAATCGKxTZ/sneCPn1FNz+yd4IOUNJUS5OWVNFOkJBSC5JUV9ERUJUX0VRVUlWX05FVF9QQk8uOTkxLjE0LzA2LzIwMjYuLi5VU0QuSAEAAADpcQIAAgAAAAM1LjQBCAAAAAUAAAABMQEAAAAKMTk2NTc3MjQyMgMAAAADMTYwAgAAAAUyMTY3OQQAAAABMAcAAAAJNi8xNC8yMDI2CAAAAAkzLzMxLzIwMTcJAAAAATCGKxTZ/sneCA2TEtz+yd4IO0NJUS5OWVNFOkJBSC5JUV9ERVJJVkFUSVZFX0FTU0VUU19MVC45OTEuMTQvMDYvMjAyNi4uLlVTRC5IAQAAAOlxAgADAAAAAACGKxTZ/sneCEdnF9z+yd4IQENJUS5OWVNFOkJBSC5JUV9ERVJJVkFUSVZFX1RSQURJTkdfQVNTRVRTLjk5Ny4xNC8wNi8yMDI2Li4uVVNELkgB</t>
  </si>
  <si>
    <t>AAAA6XECAAIAAAAGMTEuMjQ1AQgAAAAFAAAAATEBAAAACy0xOTQxNTQ2ODcxAwAAAAMxNjACAAAABTQwNDE1BAAAAAEwBwAAAAk2LzE0LzIwMjYIAAAACTMvMzEvMjAyMwkAAAABMIYrFNn+yd4IR2cX3P7J3ghCQ0lRLk5ZU0U6QkFILklRX0RFUklWQVRJVkVfTElBQl9OT05fQ1VSUkVOVC45OTEuMTQvMDYvMjAyNi4uLlVTRC5IAQAAAOlxAgADAAAAAACGKxTZ/sneCEdnF9z+yd4IRENJUS5OWVNFOkJBSC5JUV9DVVJSRU5UX1BPUlRfREVCVF9ERVJJVkFUSVZFUy45OTkuMTQvMDYvMjAyNi4uLlVTRC5IAQAAAOlxAgADAAAAAACGKxTZ/sneCCr4QN3+yd4IOkNJUS5OWVNFOkJBSC5JUV9TVF9ERUJUX0RFUklWQVRJVkVTLjk5My4xNC8wNi8yMDI2Li4uVVNELkgBAAAA6XECAAMAAAAAAIYrFNn+yd4I+fUU3P7J3ggwQ0lRLk5ZU0U6QkFILklRX0lOVEFOX05FVC45OTMuMTQvMDYvMjAyNi4uLlVTRC5IAQAAAOlxAgACAAAABzI4Ny4wNTEBCAAAAAUAAAABMQEAAAAKMjA5OTA4NzEzMwMAAAADMTYwAgAAAAU0ODk2MgQAAAABMAcAAAAJNi8xNC8yMDI2CAAAAAkzLzMxLzIwMTkJAAAAATCGKxTZ/sneCJbOGdz+yd4IM0NJUS5OWVNFOkJBSC5JUV9HV19JTlRBTl9ORVQuOTk5LjE0LzA2LzIwMjYuLi5VU0QuSAEAAADpcQIAAwAAAAAAhisU2f7J3ggq+EDd/sneCDxDSVEuTllTRTpCQUguSVFfQURWQU5DRVNf</t>
  </si>
  <si>
    <t>Rk9SX1NVUFBMSUVTLjk5My4xNC8wNi8yMDI2Li4uVVNELkgBAAAA6XECAAMAAAAAAIYrFNn+yd4Ils4Z3P7J3ggwQ0lRLk5ZU0U6QkFILklRX0dST1NTX0dXLjIwMDAuMTQvMDYvMjAyNi4uLlVTRC5IAQAAAOlxAgADAAAAAACGKxTZ/sneCEdnF9z+yd4IP0NJUS5OWVNFOkJBSC5JUV9BQ0NVTV9BTU9SVF9JTlRBTl9BU1NFVFMuOTk1LjE0LzA2LzIwMjYuLi5VU0QuSAEAAADpcQIAAgAAAActNTAuNTAzAQgAAAAFAAAAATEBAAAACy0yMDQzMjE1MzkyAwAAAAMxNjACAAAABTI0MzMxBAAAAAEwBwAAAAk2LzE0LzIwMjYIAAAACTMvMzEvMjAyMQkAAAABMIYrFNn+yd4IR2cX3P7J3gg6Q0lRLk5ZU0U6QkFILklRX0lOVEVSQ09NUEFOWV9OT05fQ0wuOTkxLjE0LzA2LzIwMjYuLi5VU0QuSAEAAADpcQIAAwAAAAAAhisU2f7J3giWzhnc/sneCDpDSVEuTllTRTpCQUguSVFfSU5URVJDT01QQU5ZX05PTl9DQS45OTcuMTQvMDYvMjAyNi4uLlVTRC5IAQAAAOlxAgADAAAAAACGKxTZ/sneCJbOGdz+yd4IOUNJUS5OWVNFOkJBSC5JUV9UT1RBTF9SRVZfRU1QTE9ZRUUuOTk1LjE0LzA2LzIwMjYuLi5VU0QuSAEAAADpcQIAAgAAAAcyODMuNzE2AQgAAAAFAAAAATEBAAAACy0yMDQzMjE1MzkyAwAAAAMxNjACAAAABDQxMjMEAAAAATAHAAAACTYvMTQvMjAyNggAAAAJMy8zMS8yMDIxCQAAAAEwHaYM2f7J3giWzhnc</t>
  </si>
  <si>
    <t>/sneCDdDSVEuTllTRTpCQUguSVFfTkVUX1dPUktJTkdfQ0FQLjEwMDAuMTQvMDYvMjAyNi4uLlVTRC5IAQAAAOlxAgACAAAAAzYzMgEIAAAABQAAAAExAQAAAAstMTg4NzcwNDk3NwMAAAADMTYwAgAAAAQxMzExBAAAAAEwBwAAAAk2LzE0LzIwMjYIAAAACTMvMzEvMjAyNgkAAAABMEpHR9n+yd4IYCVE3f7J3ggwQ0lRLk5ZU0U6QkFILklRX1RPVEFMX0NBUC45OTYuMTQvMDYvMjAyNi4uLlVTRC5IAQAAAOlxAgACAAAABzQxNTAuNTYBCAAAAAUAAAABMQEAAAALLTE5OTI0MDIwNTkDAAAAAzE2MAIAAAAENDE3NQQAAAABMAcAAAAJNi8xNC8yMDI2CAAAAAkzLzMxLzIwMjIJAAAAATBKR0fZ/sneCAU/Ctz+yd4IPkNJUS5OWVNFOkJBSC5JUV9NSU5PUklUWV9JTlRFUkVTVF9UT1RBTC45OTAuMTQvMDYvMjAyNi4uLlVTRC5IAQAAAOlxAgADAAAAAABKR0fZ/sneCAU/Ctz+yd4IK0NJUS5OWVNFOkJBSC5JUV9MQU5ELjk5MC4xNC8wNi8yMDI2Li4uVVNELkgBAAAA6XECAAMAAAAAAEpHR9n+yd4I4T0L3P7J3gguQ0lRLk5ZU0U6QkFILklRX1dJUF9JTlYuOTk4LjE0LzA2LzIwMjYuLi5VU0QuSAEAAADpcQIAAwAAAAAASkdH2f7J3gjhPQvc/sneCC5DSVEuTllTRTpCQUguSVFfUkFXX0lOVi45OTIuMTQvMDYvMjAyNi4uLlVTRC5IAQAAAOlxAgADAAAAAABKR0fZ/sneCOE9C9z+yd4INENJUS5OWVNFOkJBSC5J</t>
  </si>
  <si>
    <t>UV9FUVVJVFlfTUVUSE9ELjk5NC4xNC8wNi8yMDI2Li4uVVNELkgBAAAA6XECAAMAAAAAAEpHR9n+yd4I4T0L3P7J3gg+Q0lRLk5ZU0U6QkFILklRX01JTk9SSVRZX0lOVF9SRURFRU1fVE9ULjk5Mi4xNC8wNi8yMDI2Li4uVVNELkgBAAAA6XECAAMAAAAAAEpHR9n+yd4IHSEQ3P7J3gg9Q0lRLk5ZU0U6QkFILklRX0xFQVNFSE9MRF9JTVBST1ZFTUVOVC4xMDAwLjE0LzA2LzIwMjYuLi5VU0QuSAEAAADpcQIAAgAAAAMyNjMBCAAAAAUAAAABMQEAAAALLTE4ODc3MDQ5NzcDAAAAAzE2MAIAAAAEMzEwMAQAAAABMAcAAAAJNi8xNC8yMDI2CAAAAAkzLzMxLzIwMjYJAAAAATBKR0fZ/sneCBLXQ93+yd4IKkNJUS5OWVNFOkJBSC5JUV9DSVAuOTk0LjE0LzA2LzIwMjYuLi5VU0QuSAEAAADpcQIAAwAAAAAASkdH2f7J3ggdIRDc/sneCDBDSVEuTllTRTpCQUguSVFfU09GVFdBUkUuMTAwMC4xNC8wNi8yMDI2Li4uVVNELkgBAAAA6XECAAMAAAAAAEpHR9n+yd4IEtdD3f7J3ggwQ0lRLk5ZU0U6QkFILklRX0JVSUxESU5HUy45OTYuMTQvMDYvMjAyNi4uLlVTRC5IAQAAAOlxAgADAAAAAABKR0fZ/sneCOE9C9z+yd4ISUNJUS5OWVNFOkJBSC5JUV9MSVFVSURBVElPTl9WQUxVRV9QUkVGRVJSRURfUkVERUVNLjk5NC4xNC8wNi8yMDI2Li4uVVNELkgBAAAA6XECAAMAAAAAAEpHR9n+yd4IHSEQ3P7J3ghKQ0lRLk5Z</t>
  </si>
  <si>
    <t>U0U6QkFILklRX0xJUVVJREFUSU9OX1ZBTFVFX1BSRUZFUlJFRF9DT05WRVJULjk5MC4xNC8wNi8yMDI2Li4uVVNELkgBAAAA6XECAAMAAAAAAEpHR9n+yd4IHSEQ3P7J3ghIQ0lRLk5ZU0U6QkFILklRX0dFTkVSQUxfUEFSVE5FUl9NSU5PUklUWV9JTlRFUkVTVC45OTYuMTQvMDYvMjAyNi4uLlVTRC5IAQAAAOlxAgADAAAAAABKR0fZ/sneCB0hENz+yd4IQkNJUS5OWVNFOkJBSC5JUV9HRU5FUkFMX1BBUlRORVJfUFJFRl9FUVVJVFkuOTkwLjE0LzA2LzIwMjYuLi5VU0QuSAEAAADpcQIAAwAAAAAASkdH2f7J3ggdIRDc/sneCEBDSVEuTllTRTpCQUguSVFfRklOX0RJVl9NSU5PUklUWV9JTlRFUkVTVC45OTguMTQvMDYvMjAyNi4uLlVTRC5IAQAAAOlxAgADAAAAAABKR0fZ/sneCB0hENz+yd4ITENJUS5OWVNFOkJBSC5JUV9MSUFCSUxJVElFU19ORVRUSU5HX09USEVSX0FESlVTVE1FTlRTLjk5Ni4xNC8wNi8yMDI2Li4uVVNELkgBAAAA6XECAAMAAAAAAIYrFNn+yd4IDZMS3P7J3gg6Q0lRLk5ZU0U6QkFILklRX0xJQUJJTElUSUVTX0xFVkVMXzIuOTkyLjE0LzA2LzIwMjYuLi5VU0QuSAEAAADpcQIAAwAAAAAAhisU2f7J3ggNkxLc/sneCDhDSVEuTllTRTpCQUguSVFfQVNTRVRTX0ZBSVJfVkFMVUUuOTk4LjE0LzA2LzIwMjYuLi5VU0QuSAEAAADpcQIAAgAAAAMyMzIAhisU2f7J3ggNkxLc/sneCEdD</t>
  </si>
  <si>
    <t>SVEuTllTRTpCQUguSVFfQVNTRVRTX05FVFRJTkdfT1RIRVJfQURKVVNUTUVOVFMuOTkyLjE0LzA2LzIwMjYuLi5VU0QuSAEAAADpcQIAAwAAAAAASkdH2f7J3ggNkxLc/sneCDZDSVEuTllTRTpCQUguSVFfQVNTRVRTX0xFVkVMXzEuMTAwMC4xNC8wNi8yMDI2Li4uVVNELkgBAAAA6XECAAIAAAADMzQ3AEpHR9n+yd4IuIhD3f7J3ghGQ0lRLk5ZU0U6QkFILklRX0ZBSVJfVkFMVUVfQ0hBTkdFX0lOQ0xfRUFSTklOR1MuOTkwLjE0LzA2LzIwMjYuLi5VU0QuSAEAAADpcQIAAwAAAAAAhisU2f7J3ggNkxLc/sneCENDSVEuTllTRTpCQUguSVFfUkVTVFJJQ1RFRF9DQVNIX05PTl9DVVJSRU5ULjEwMDAuMTQvMDYvMjAyNi4uLlVTRC5IAQAAAOlxAgADAAAAAACGKxTZ/sneCCr4QN3+yd4IPENJUS5OWVNFOkJBSC5JUV9ERUJUX0VRVUlWX09QRVJfTEVBU0UuOTk2LjE0LzA2LzIwMjYuLi5VU0QuSAEAAADpcQIAAgAAAAc2NTYuNDU2AQgAAAAFAAAAATEBAAAACy0xOTkyNDAyMDU5AwAAAAMxNjACAAAABTIxNjcxBAAAAAEwBwAAAAk2LzE0LzIwMjYIAAAACTMvMzEvMjAyMgkAAAABMIYrFNn+yd4I+fUU3P7J3gg5Q0lRLk5ZU0U6QkFILklRX0RFQlRfRVFVSVZfTkVUX1BCTy45OTAuMTQvMDYvMjAyNi4uLlVTRC5IAQAAAOlxAgACAAAAAzQuNQEIAAAABQAAAAExAQAAAAoxODkxMzQ3ODY5AwAAAAMxNjACAAAA</t>
  </si>
  <si>
    <t>BTIxNjc5BAAAAAEwBwAAAAk2LzE0LzIwMjYIAAAACTMvMzEvMjAxNgkAAAABMIYrFNn+yd4I+fUU3P7J3gg5Q0lRLk5ZU0U6QkFILklRX0ZJTl9ESVZfQ0FTSF9FUVVJVi45OTYuMTQvMDYvMjAyNi4uLlVTRC5IAQAAAOlxAgADAAAAAACGKxTZ/sneCA2TEtz+yd4IPENJUS5OWVNFOkJBSC5JUV9GSU5fRElWX1NUX0RFQlRfVE9UQUwuOTkyLjE0LzA2LzIwMjYuLi5VU0QuSAEAAADpcQIAAwAAAAAAhisU2f7J3ggNkxLc/sneCEJDSVEuTllTRTpCQUguSVFfREVSSVZBVElWRV9MSUFCX05PTl9DVVJSRU5ULjk5MC4xNC8wNi8yMDI2Li4uVVNELkgBAAAA6XECAAMAAAAAAIYrFNn+yd4IR2cX3P7J3ghEQ0lRLk5ZU0U6QkFILklRX0NVUlJFTlRfUE9SVF9ERUJUX0RFUklWQVRJVkVTLjk5OC4xNC8wNi8yMDI2Li4uVVNELkgBAAAA6XECAAMAAAAAAIYrFNn+yd4IR2cX3P7J3gg6Q0lRLk5ZU0U6QkFILklRX1NUX0RFQlRfREVSSVZBVElWRVMuOTkyLjE0LzA2LzIwMjYuLi5VU0QuSAEAAADpcQIAAwAAAAAAhisU2f7J3gj59RTc/sneCD1DSVEuTllTRTpCQUguSVFfQ09OVElOR0VOVF9MSUFCSUxJVElFUy45OTguMTQvMDYvMjAyNi4uLlVTRC5IAQAAAOlxAgACAAAAATQBCAAAAAUAAAABMQEAAAALLTE4ODc3MDQ5OTMDAAAAAzE2MAIAAAAFMjQ2NzEEAAAAATAHAAAACTYvMTQvMjAyNggAAAAJMy8zMS8yMDI0</t>
  </si>
  <si>
    <t>CQAAAAEwhisU2f7J3gj59RTc/sneCDpDSVEuTllTRTpCQUguSVFfVE9UQUxfREVCVF9FWENMX0ZJTi45OTQuMTQvMDYvMjAyNi4uLlVTRC5IAQAAAOlxAgACAAAACDI1NjEuNzgxAQgAAAAFAAAAATEBAAAACy0yMDk1MTI2MDkwAwAAAAMxNjACAAAABTIxODYwBAAAAAEwBwAAAAk2LzE0LzIwMjYIAAAACTMvMzEvMjAyMAkAAAABMIYrFNn+yd4I+fUU3P7J3gg8Q0lRLk5ZU0U6QkFILklRX0FEVkFOQ0VTX0ZPUl9TVVBQTElFUy45OTIuMTQvMDYvMjAyNi4uLlVTRC5IAQAAAOlxAgADAAAAAACGKxTZ/sneCJbOGdz+yd4IMENJUS5OWVNFOkJBSC5JUV9HUk9TU19HVy4xMDAwLjE0LzA2LzIwMjYuLi5VU0QuSAEAAADpcQIAAwAAAAAAhisU2f7J3ggq+EDd/sneCD9DSVEuTllTRTpCQUguSVFfQUNDVU1fQU1PUlRfSU5UQU5fQVNTRVRTLjk5NC4xNC8wNi8yMDI2Li4uVVNELkgBAAAA6XECAAIAAAAHLTQ2LjI4NQEIAAAABQAAAAExAQAAAAstMjA5NTEyNjA5MAMAAAADMTYwAgAAAAUyNDMzMQQAAAABMAcAAAAJNi8xNC8yMDI2CAAAAAkzLzMxLzIwMjAJAAAAATCGKxTZ/sneCEdnF9z+yd4IPENJUS5OWVNFOkJBSC5JUV9ERVJJVkFUSVZFX0FTU0VUU19MVC4xMDAwLjE0LzA2LzIwMjYuLi5VU0QuSAEAAADpcQIAAwAAAAAAhisU2f7J3ggq+EDd/sneCEBDSVEuTllTRTpCQUguSVFfREVSSVZBVElWRV9UUkFE</t>
  </si>
  <si>
    <t>SU5HX0FTU0VUUy45OTYuMTQvMDYvMjAyNi4uLlVTRC5IAQAAAOlxAgADAAAAAACGKxTZ/sneCEdnF9z+yd4IOkNJUS5OWVNFOkJBSC5JUV9JTlRFUkNPTVBBTllfTk9OX0NMLjk5MC4xNC8wNi8yMDI2Li4uVVNELkgBAAAA6XECAAMAAAAAAIYrFNn+yd4Ils4Z3P7J3gg6Q0lRLk5ZU0U6QkFILklRX0lOVEVSQ09NUEFOWV9OT05fQ0EuOTk2LjE0LzA2LzIwMjYuLi5VU0QuSAEAAADpcQIAAwAAAAAAhisU2f7J3giWzhnc/sneCDZDSVEuTllTRTpCQUguSVFfSU5URVJDT01QQU5ZX0NBLjk5MC4xNC8wNi8yMDI2Li4uVVNELkgBAAAA6XECAAMAAAAAAIYrFNn+yd4Ils4Z3P7J3ggzQ0lRLk5ZU0U6QkFILklRX0dXX0lOVEFOX05FVC45OTguMTQvMDYvMjAyNi4uLlVTRC5IAQAAAOlxAgADAAAAAACGKxTZ/sneCJbOGdz+yd4IOUNJUS5OWVNFOkJBSC5JUV9UT1RBTF9SRVZfRU1QTE9ZRUUuOTk0LjE0LzA2LzIwMjYuLi5VU0QuSAEAAADpcQIAAgAAAAcyNzQuNDA1AQgAAAAFAAAAATEBAAAACy0yMDk1MTI2MDkwAwAAAAMxNjACAAAABDQxMjMEAAAAATAHAAAACTYvMTQvMjAyNggAAAAJMy8zMS8yMDIwCQAAAAEwHaYM2f7J3giWzhnc/sneCC5DSVEuTllTRTpCQUguSVFfUkFXX0lOVi45OTEuMTQvMDYvMjAyNi4uLlVTRC5IAQAAAOlxAgADAAAAAABKR0fZ/sneCOE9C9z+yd4IKkNJUS5OWVNFOkJBSC5JUV9D</t>
  </si>
  <si>
    <t>SVAuOTkzLjE0LzA2LzIwMjYuLi5VU0QuSAEAAADpcQIAAwAAAAAASkdH2f7J3ggdIRDc/sneCC9DSVEuTllTRTpCQUguSVFfU09GVFdBUkUuOTk5LjE0LzA2LzIwMjYuLi5VU0QuSAEAAADpcQIAAwAAAAAASkdH2f7J3ggS10Pd/sneCDBDSVEuTllTRTpCQUguSVFfQlVJTERJTkdTLjk5NS4xNC8wNi8yMDI2Li4uVVNELkgBAAAA6XECAAMAAAAAAEpHR9n+yd4I4T0L3P7J3ggxQ0lRLk5ZU0U6QkFILklRX09USEVSX0lOVi4yMDAwLjE0LzA2LzIwMjYuLi5VU0QuSAEAAADpcQIAAwAAAAAASkdH2f7J3gjhPQvc/sneCDNDSVEuTllTRTpCQUguSVFfRklOSVNIRURfSU5WLjk5NS4xNC8wNi8yMDI2Li4uVVNELkgBAAAA6XECAAMAAAAAAEpHR9n+yd4I4T0L3P7J3ghIQ0lRLk5ZU0U6QkFILklRX0dFTkVSQUxfUEFSVE5FUl9NSU5PUklUWV9JTlRFUkVTVC45OTUuMTQvMDYvMjAyNi4uLlVTRC5IAQAAAOlxAgADAAAAAABKR0fZ/sneCB0hENz+yd4IRUNJUS5OWVNFOkJBSC5JUV9HRU5FUkFMX1BBUlRORVJfQ09NTU9OX0VRVUlUWS4yMDAwLjE0LzA2LzIwMjYuLi5VU0QuSAEAAADpcQIAAwAAAAAASkdH2f7J3ggdIRDc/sneCEBDSVEuTllTRTpCQUguSVFfRklOX0RJVl9NSU5PUklUWV9JTlRFUkVTVC45OTcuMTQvMDYvMjAyNi4uLlVTRC5IAQAAAOlxAgADAAAAAABKR0fZ/sneCB0hENz+yd4IPkNJUS5OWVNF</t>
  </si>
  <si>
    <t>OkJBSC5JUV9NSU5PUklUWV9JTlRfUkVERUVNX1RPVC45OTEuMTQvMDYvMjAyNi4uLlVTRC5IAQAAAOlxAgADAAAAAABKR0fZ/sneCB0hENz+yd4IOkNJUS5OWVNFOkJBSC5JUV9NSU5PUklUWV9JTlRfUkVERUVNLjk5Ny4xNC8wNi8yMDI2Li4uVVNELkgBAAAA6XECAAMAAAAAAEpHR9n+yd4IHSEQ3P7J3gg4Q0lRLk5ZU0U6QkFILklRX0FTU0VUU19GQUlSX1ZBTFVFLjk5Ny4xNC8wNi8yMDI2Li4uVVNELkgBAAAA6XECAAIAAAAHMjcyLjY2NQCGKxTZ/sneCA2TEtz+yd4IR0NJUS5OWVNFOkJBSC5JUV9BU1NFVFNfTkVUVElOR19PVEhFUl9BREpVU1RNRU5UUy45OTEuMTQvMDYvMjAyNi4uLlVTRC5IAQAAAOlxAgADAAAAAABKR0fZ/sneCA2TEtz+yd4INUNJUS5OWVNFOkJBSC5JUV9BU1NFVFNfTEVWRUxfMS45OTkuMTQvMDYvMjAyNi4uLlVTRC5IAQAAAOlxAgACAAAAAzgzNwBKR0fZ/sneCLiIQ93+yd4ISUNJUS5OWVNFOkJBSC5JUV9MSVFVSURBVElPTl9WQUxVRV9QUkVGRVJSRURfUkVERUVNLjk5My4xNC8wNi8yMDI2Li4uVVNELkgBAAAA6XECAAMAAAAAAEpHR9n+yd4IHSEQ3P7J3ghKQ0lRLk5ZU0U6QkFILklRX0xJUVVJREFUSU9OX1ZBTFVFX1BSRUZFUlJFRF9DT05WRVJULjk5OS4xNC8wNi8yMDI2Li4uVVNELkgBAAAA6XECAAMAAAAAAEpHR9n+yd4IuIhD3f7J3gg+Q0lRLk5ZU0U6QkFILklR</t>
  </si>
  <si>
    <t>X0xJQUJJTElUSUVTX0ZBSVJfVkFMVUUuMjAwMC4xNC8wNi8yMDI2Li4uVVNELkgBAAAA6XECAAIAAAAEMzk3OACGKxTZ/sneCA2TEtz+yd4ITENJUS5OWVNFOkJBSC5JUV9MSUFCSUxJVElFU19ORVRUSU5HX09USEVSX0FESlVTVE1FTlRTLjk5NS4xNC8wNi8yMDI2Li4uVVNELkgBAAAA6XECAAMAAAAAAIYrFNn+yd4IDZMS3P7J3gg7Q0lRLk5ZU0U6QkFILklRX0xJQUJJTElUSUVTX0xFVkVMXzIuMjAwMC4xNC8wNi8yMDI2Li4uVVNELkgBAAAA6XECAAIAAAAEMzkzOACGKxTZ/sneCA2TEtz+yd4IOUNJUS5OWVNFOkJBSC5JUV9GSU5fRElWX1NUX0lOVkVTVC4yMDAwLjE0LzA2LzIwMjYuLi5VU0QuSAEAAADpcQIAAwAAAAAAhisU2f7J3gj59RTc/sneCDlDSVEuTllTRTpCQUguSVFfRklOX0RJVl9DQVNIX0VRVUlWLjk5NS4xNC8wNi8yMDI2Li4uVVNELkgBAAAA6XECAAMAAAAAAIYrFNn+yd4IDZMS3P7J3gg8Q0lRLk5ZU0U6QkFILklRX0ZJTl9ESVZfU1RfREVCVF9UT1RBTC45OTEuMTQvMDYvMjAyNi4uLlVTRC5IAQAAAOlxAgADAAAAAACGKxTZ/sneCA2TEtz+yd4IOkNJUS5OWVNFOkJBSC5JUV9TVF9ERUJUX0RFUklWQVRJVkVTLjk5MS4xNC8wNi8yMDI2Li4uVVNELkgBAAAA6XECAAMAAAAAAIYrFNn+yd4I+fUU3P7J3gg9Q0lRLk5ZU0U6QkFILklRX0NPTlRJTkdFTlRfTElBQklMSVRJRVMuOTk3</t>
  </si>
  <si>
    <t>LjE0LzA2LzIwMjYuLi5VU0QuSAEAAADpcQIAAgAAAAM2LjEBCAAAAAUAAAABMQEAAAALLTE5NDE1NDY4NzEDAAAAAzE2MAIAAAAFMjQ2NzEEAAAAATAHAAAACTYvMTQvMjAyNggAAAAJMy8zMS8yMDIzCQAAAAEwhisU2f7J3gj59RTc/sneCDpDSVEuTllTRTpCQUguSVFfVE9UQUxfREVCVF9FWENMX0ZJTi45OTMuMTQvMDYvMjAyNi4uLlVTRC5IAQAAAOlxAgACAAAACDE4NDUuMDM3AQgAAAAFAAAAATEBAAAACjIwOTkwODcxMzMDAAAAAzE2MAIAAAAFMjE4NjAEAAAAATAHAAAACTYvMTQvMjAyNggAAAAJMy8zMS8yMDE5CQAAAAEwhisU2f7J3gj59RTc/sneCEJDSVEuTllTRTpCQUguSVFfUkVTVFJJQ1RFRF9DQVNIX05PTl9DVVJSRU5ULjk5OS4xNC8wNi8yMDI2Li4uVVNELkgBAAAA6XECAAMAAAAAAIYrFNn+yd4IKvhA3f7J3gg/Q0lRLk5ZU0U6QkFILklRX0FDQ1VNX0FNT1JUX0lOVEFOX0FTU0VUUy45OTMuMTQvMDYvMjAyNi4uLlVTRC5IAQAAAOlxAgACAAAABy02MC43NjIBCAAAAAUAAAABMQEAAAAKMjA5OTA4NzEzMwMAAAADMTYwAgAAAAUyNDMzMQQAAAABMAcAAAAJNi8xNC8yMDI2CAAAAAkzLzMxLzIwMTkJAAAAATCGKxTZ/sneCEdnF9z+yd4IO0NJUS5OWVNFOkJBSC5JUV9ERVJJVkFUSVZFX0FTU0VUU19MVC45OTkuMTQvMDYvMjAyNi4uLlVTRC5IAQAAAOlxAgADAAAAAACGKxTZ/sneCCr4</t>
  </si>
  <si>
    <t>QN3+yd4IQENJUS5OWVNFOkJBSC5JUV9ERVJJVkFUSVZFX1RSQURJTkdfQVNTRVRTLjk5NS4xNC8wNi8yMDI2Li4uVVNELkgBAAAA6XECAAMAAAAAAIYrFNn+yd4IR2cX3P7J3gg/Q0lRLk5ZU0U6QkFILklRX0RFUklWQVRJVkVfTElBQl9DVVJSRU5ULjIwMDAuMTQvMDYvMjAyNi4uLlVTRC5IAQAAAOlxAgADAAAAAACGKxTZ/sneCEdnF9z+yd4IOkNJUS5OWVNFOkJBSC5JUV9MVF9ERUJUX0RFUklWQVRJVkVTLjk5NS4xNC8wNi8yMDI2Li4uVVNELkgBAAAA6XECAAIAAAAGMjAuOTk5AQgAAAAFAAAAATEBAAAACy0yMDQzMjE1MzkyAwAAAAMxNjACAAAABTMwOTE1BAAAAAEwBwAAAAk2LzE0LzIwMjYIAAAACTMvMzEvMjAyMQkAAAABMIYrFNn+yd4IR2cX3P7J3gg6Q0lRLk5ZU0U6QkFILklRX0lOVEVSQ09NUEFOWV9OT05fQ0EuOTk1LjE0LzA2LzIwMjYuLi5VU0QuSAEAAADpcQIAAwAAAAAAhisU2f7J3giWzhnc/sneCDFDSVEuTllTRTpCQUguSVFfSU5UQU5fTkVULjIwMDAuMTQvMDYvMjAyNi4uLlVTRC5IAQAAAOlxAgACAAAAAzUwOQEIAAAABQAAAAExAQAAAAstMTg4NzcwNDM0MQMAAAADMTYwAgAAAAU0ODk2MgQAAAABMAcAAAAJNi8xNC8yMDI2CAAAAAkzLzMxLzIwMjYJAAAAATCGKxTZ/sneCJbOGdz+yd4IM0NJUS5OWVNFOkJBSC5JUV9HV19JTlRBTl9ORVQuOTk3LjE0LzA2LzIwMjYuLi5VU0Qu</t>
  </si>
  <si>
    <t>SAEAAADpcQIAAwAAAAAAhisU2f7J3giWzhnc/sneCDxDSVEuTllTRTpCQUguSVFfQURWQU5DRVNfRk9SX1NVUFBMSUVTLjk5MS4xNC8wNi8yMDI2Li4uVVNELkgBAAAA6XECAAMAAAAAAIYrFNn+yd4Ils4Z3P7J3gg1Q0lRLk5ZU0U6QkFILklRX0FDQ1VNX0FNT1JUX0dXLjk5Ny4xNC8wNi8yMDI2Li4uVVNELkgBAAAA6XECAAMAAAAAAIYrFNn+yd4IR2cX3P7J3gg6Q0lRLk5ZU0U6QkFILklRX0lOVEVSQ09NUEFOWV9OT05fQ0wuOTk5LjE0LzA2LzIwMjYuLi5VU0QuSAEAAADpcQIAAwAAAAAAhisU2f7J3ggq+EDd/sneCDlDSVEuTllTRTpCQUguSVFfVE9UQUxfUkVWX0VNUExPWUVFLjk5My4xNC8wNi8yMDI2Li4uVVNELkgBAAAA6XECAAIAAAAHMjU2Ljg1OQEIAAAABQAAAAExAQAAAAoyMDk5MDg3MTMzAwAAAAMxNjACAAAABDQxMjMEAAAAATAHAAAACTYvMTQvMjAyNggAAAAJMy8zMS8yMDE5CQAAAAEwHaYM2f7J3giWzhnc/sneCDJDSVEuTllTRTpCQUguSVFfVE9UQUxfREVCVC4xMDAwLjE0LzA2LzIwMjYuLi5VU0QuSAEAAADpcQIAAgAAAAQ0MTIyAQgAAAAFAAAAATEBAAAACy0xODg3NzA0OTc3AwAAAAMxNjACAAAABDQxNzMEAAAAATAHAAAACTYvMTQvMjAyNggAAAAJMy8zMS8yMDI2CQAAAAEwSkdH2f7J3ghgJUTd/sneCC9DSVEuTllTRTpCQUguSVFfR1dfSU5UQU4uOTk2LjE0LzA2LzIwMjYu</t>
  </si>
  <si>
    <t>Li5VU0QuSAEAAADpcQIAAgAAAAgyNjY4LjYxMwEIAAAABQAAAAExAQAAAAstMTk5MjQwMjA1OQMAAAADMTYwAgAAAAUzNTM4MQQAAAABMAcAAAAJNi8xNC8yMDI2CAAAAAkzLzMxLzIwMjIJAAAAATBKR0fZ/sneCJHICNz+yd4IKkNJUS5OWVNFOkJBSC5JUV9UQlYuOTkwLjE0LzA2LzIwMjYuLi5VU0QuSAEAAADpcQIAAgAAAAktMTE4MC45ODMBCAAAAAUAAAABMQEAAAAKMTg5MTM0Nzg2OQMAAAADMTYwAgAAAAQxMzEwBAAAAAEwBwAAAAk2LzE0LzIwMjYIAAAACTMvMzEvMjAxNgkAAAABMEpHR9n+yd4IkcgI3P7J3ggyQ0lRLk5ZU0U6QkFILklRX0FSX1VOQklMTEVELjk5MC4xNC8wNi8yMDI2Li4uVVNELkgBAAAA6XECAAIAAAAHNTg0LjI3NQEIAAAABQAAAAExAQAAAAoxODkxMzQ3ODY5AwAAAAMxNjACAAAABTQ1NDIwBAAAAAEwBwAAAAk2LzE0LzIwMjYIAAAACTMvMzEvMjAxNgkAAAABMEpHR9n+yd4I4T0L3P7J3gg2Q0lRLk5ZU0U6QkFILklRX05FVF9XT1JLSU5HX0NBUC45OTguMTQvMDYvMjAyNi4uLlVTRC5IAQAAAOlxAgACAAAAAzU5OAEIAAAABQAAAAExAQAAAAstMTg4NzcwNDk5MwMAAAADMTYwAgAAAAQxMzExBAAAAAEwBwAAAAk2LzE0LzIwMjYIAAAACTMvMzEvMjAyNAkAAAABMEpHR9n+yd4I4T0L3P7J3ggyQ0lRLk5ZU0U6QkFILklRX1dPUktJTkdfQ0FQLjk5Mi4xNC8wNi8yMDI2Li4u</t>
  </si>
  <si>
    <t>VVNELkgBAAAA6XECAAIAAAAHNDYzLjIwNQEIAAAABQAAAAExAQAAAAoyMDM4MDkxMDc3AwAAAAMxNjACAAAABDQxNjUEAAAAATAHAAAACTYvMTQvMjAyNggAAAAJMy8zMS8yMDE4CQAAAAEwSkdH2f7J3ggFPwrc/sneCDBDSVEuTllTRTpCQUguSVFfTkVUX0RFQlQuMTAwMC4xNC8wNi8yMDI2Li4uVVNELkgBAAAA6XECAAIAAAAEMzM5NAEIAAAABQAAAAExAQAAAAstMTg4NzcwNDk3NwMAAAADMTYwAgAAAAQ0MzY0BAAAAAEwBwAAAAk2LzE0LzIwMjYIAAAACTMvMzEvMjAyNgkAAAABMEpHR9n+yd4IYCVE3f7J3gg9Q0lRLk5ZU0U6QkFILklRX1RPVEFMX0RFQlRfTk9OX0NVUlJFTlQuOTk0LjE0LzA2LzIwMjYuLi5VU0QuSAEAAADpcQIAAgAAAAgyMzE2LjA2NAEIAAAABQAAAAExAQAAAAstMjA5NTEyNjA5MAMAAAADMTYwAgAAAAUyNTIyNAQAAAABMAcAAAAJNi8xNC8yMDI2CAAAAAkzLzMxLzIwMjAJAAAAATBKR0fZ/sneCJHICNz+yd4IMENJUS5OWVNFOkJBSC5JUV9NQUNISU5FUlkuOTkyLjE0LzA2LzIwMjYuLi5VU0QuSAEAAADpcQIAAgAAAAYyNDMuNjkBCAAAAAUAAAABMQEAAAAKMjAzODA5MTA3NwMAAAADMTYwAgAAAAQzMTE0BAAAAAEwBwAAAAk2LzE0LzIwMjYIAAAACTMvMzEvMjAxOAkAAAABMEpHR9n+yd4I4T0L3P7J3ggxQ0lRLk5ZU0U6QkFILklRX09USEVSX0lOVi4xMDAwLjE0LzA2LzIw</t>
  </si>
  <si>
    <t>MjYuLi5VU0QuSAEAAADpcQIAAwAAAAAASkdH2f7J3ghgJUTd/sneCDNDSVEuTllTRTpCQUguSVFfRklOSVNIRURfSU5WLjk5NC4xNC8wNi8yMDI2Li4uVVNELkgBAAAA6XECAAMAAAAAAEpHR9n+yd4I4T0L3P7J3gguQ0lRLk5ZU0U6QkFILklRX1JBV19JTlYuOTkwLjE0LzA2LzIwMjYuLi5VU0QuSAEAAADpcQIAAwAAAAAASkdH2f7J3gjhPQvc/sneCEJDSVEuTllTRTpCQUguSVFfREVGX1RBWF9WQUxVQVRJT05fQUxMT1dBTkNFLjk5NC4xNC8wNi8yMDI2Li4uVVNELkgBAAAA6XECAAIAAAAFNC4yOTYBCAAAAAUAAAABMQEAAAALLTIwOTUxMjYwOTADAAAAAzE2MAIAAAAFNDYwNDUEAAAAATAHAAAACTYvMTQvMjAyNggAAAAJMy8zMS8yMDIwCQAAAAEwSkdH2f7J3ggdIRDc/sneCD5DSVEuTllTRTpCQUguSVFfTUlOT1JJVFlfSU5UX1JFREVFTV9UT1QuOTkwLjE0LzA2LzIwMjYuLi5VU0QuSAEAAADpcQIAAwAAAAAASkdH2f7J3ggdIRDc/sneCDpDSVEuTllTRTpCQUguSVFfTUlOT1JJVFlfSU5UX1JFREVFTS45OTYuMTQvMDYvMjAyNi4uLlVTRC5IAQAAAOlxAgADAAAAAABKR0fZ/sneCB0hENz+yd4IKkNJUS5OWVNFOkJBSC5JUV9DSVAuOTkyLjE0LzA2LzIwMjYuLi5VU0QuSAEAAADpcQIAAwAAAAAASkdH2f7J3ggdIRDc/sneCC9DSVEuTllTRTpCQUguSVFfU09GVFdBUkUuOTk4LjE0LzA2LzIwMjYu</t>
  </si>
  <si>
    <t>Li5VU0QuSAEAAADpcQIAAwAAAAAASkdH2f7J3ghuqg3c/sneCDVDSVEuTllTRTpCQUguSVFfQVNTRVRTX0xFVkVMXzIuOTk2LjE0LzA2LzIwMjYuLi5VU0QuSAEAAADpcQIAAgAAAAU0LjA4OABKR0fZ/sneCA2TEtz+yd4ISUNJUS5OWVNFOkJBSC5JUV9MSVFVSURBVElPTl9WQUxVRV9QUkVGRVJSRURfUkVERUVNLjk5Mi4xNC8wNi8yMDI2Li4uVVNELkgBAAAA6XECAAMAAAAAAEpHR9n+yd4IHSEQ3P7J3ghKQ0lRLk5ZU0U6QkFILklRX0xJUVVJREFUSU9OX1ZBTFVFX1BSRUZFUlJFRF9DT05WRVJULjk5OC4xNC8wNi8yMDI2Li4uVVNELkgBAAAA6XECAAMAAAAAAEpHR9n+yd4IHSEQ3P7J3ghIQ0lRLk5ZU0U6QkFILklRX0dFTkVSQUxfUEFSVE5FUl9NSU5PUklUWV9JTlRFUkVTVC45OTQuMTQvMDYvMjAyNi4uLlVTRC5IAQAAAOlxAgADAAAAAABKR0fZ/sneCB0hENz+yd4IRUNJUS5OWVNFOkJBSC5JUV9HRU5FUkFMX1BBUlRORVJfQ09NTU9OX0VRVUlUWS4xMDAwLjE0LzA2LzIwMjYuLi5VU0QuSAEAAADpcQIAAwAAAAAASkdH2f7J3gi4iEPd/sneCEZDSVEuTllTRTpCQUguSVFfRkFJUl9WQUxVRV9DSEFOR0VfSU5DTF9FQVJOSU5HUy45OTguMTQvMDYvMjAyNi4uLlVTRC5IAQAAAOlxAgADAAAAAACGKxTZ/sneCA2TEtz+yd4ITENJUS5OWVNFOkJBSC5JUV9MSUFCSUxJVElFU19ORVRUSU5HX09USEVS</t>
  </si>
  <si>
    <t>X0FESlVTVE1FTlRTLjk5NC4xNC8wNi8yMDI2Li4uVVNELkgBAAAA6XECAAMAAAAAAIYrFNn+yd4IDZMS3P7J3gg7Q0lRLk5ZU0U6QkFILklRX0xJQUJJTElUSUVTX0xFVkVMXzIuMTAwMC4xNC8wNi8yMDI2Li4uVVNELkgBAAAA6XECAAIAAAAEMzkzOACGKxTZ/sneCDFpQ93+yd4IOENJUS5OWVNFOkJBSC5JUV9BU1NFVFNfRkFJUl9WQUxVRS45OTYuMTQvMDYvMjAyNi4uLlVTRC5IAQAAAOlxAgACAAAABDI0LjkAhisU2f7J3ggNkxLc/sneCEdDSVEuTllTRTpCQUguSVFfQVNTRVRTX05FVFRJTkdfT1RIRVJfQURKVVNUTUVOVFMuOTkwLjE0LzA2LzIwMjYuLi5VU0QuSAEAAADpcQIAAwAAAAAASkdH2f7J3ggNkxLc/sneCD1DSVEuTllTRTpCQUguSVFfRklOX0RJVl9TVF9ERUJUX1RPVEFMLjEwMDAuMTQvMDYvMjAyNi4uLlVTRC5IAQAAAOlxAgADAAAAAACGKxTZ/sneCCr4QN3+yd4INENJUS5OWVNFOkJBSC5JUV9PUkRFUl9CQUNLTE9HLjk5MC4xNC8wNi8yMDI2Li4uVVNELkgBAAAA6XECAAIAAAAFMTE4MTQBCAAAAAUAAAABMQEAAAAKMTg5MTM0Nzg2OQMAAAADMTYwAgAAAAQzMTI1BAAAAAEwBwAAAAk2LzE0LzIwMjYIAAAACTMvMzEvMjAxNgkAAAABMIYrFNn+yd4I+fUU3P7J3ghCQ0lRLk5ZU0U6QkFILklRX1JFU1RSSUNURURfQ0FTSF9OT05fQ1VSUkVOVC45OTguMTQvMDYvMjAyNi4uLlVTRC5I</t>
  </si>
  <si>
    <t>AQAAAOlxAgADAAAAAACGKxTZ/sneCPn1FNz+yd4IOUNJUS5OWVNFOkJBSC5JUV9GSU5fRElWX1NUX0lOVkVTVC4xMDAwLjE0LzA2LzIwMjYuLi5VU0QuSAEAAADpcQIAAwAAAAAAhisU2f7J3ggq+EDd/sneCDlDSVEuTllTRTpCQUguSVFfRklOX0RJVl9DQVNIX0VRVUlWLjk5NC4xNC8wNi8yMDI2Li4uVVNELkgBAAAA6XECAAMAAAAAAIYrFNn+yd4IDZMS3P7J3ghAQ0lRLk5ZU0U6QkFILklRX0RFUklWQVRJVkVfQVNTRVRTX0NVUlJFTlQuOTkyLjE0LzA2LzIwMjYuLi5VU0QuSAEAAADpcQIAAwAAAAAAhisU2f7J3ghHZxfc/sneCD9DSVEuTllTRTpCQUguSVFfREVSSVZBVElWRV9MSUFCX0NVUlJFTlQuMTAwMC4xNC8wNi8yMDI2Li4uVVNELkgBAAAA6XECAAMAAAAAAIYrFNn+yd4IKvhA3f7J3gg6Q0lRLk5ZU0U6QkFILklRX0xUX0RFQlRfREVSSVZBVElWRVMuOTk0LjE0LzA2LzIwMjYuLi5VU0QuSAEAAADpcQIAAgAAAAYzNy44MTkBCAAAAAUAAAABMQEAAAALLTIwOTUxMjYwOTADAAAAAzE2MAIAAAAFMzA5MTUEAAAAATAHAAAACTYvMTQvMjAyNggAAAAJMy8zMS8yMDIwCQAAAAEwhisU2f7J3ghHZxfc/sneCDpDSVEuTllTRTpCQUguSVFfU1RfREVCVF9ERVJJVkFUSVZFUy45OTAuMTQvMDYvMjAyNi4uLlVTRC5IAQAAAOlxAgADAAAAAACGKxTZ/sneCPn1FNz+yd4IPUNJUS5OWVNFOkJBSC5JUV9D</t>
  </si>
  <si>
    <t>T05USU5HRU5UX0xJQUJJTElUSUVTLjk5Ni4xNC8wNi8yMDI2Li4uVVNELkgBAAAA6XECAAIAAAADOC40AQgAAAAFAAAAATEBAAAACy0xOTkyNDAyMDU5AwAAAAMxNjACAAAABTI0NjcxBAAAAAEwBwAAAAk2LzE0LzIwMjYIAAAACTMvMzEvMjAyMgkAAAABMIYrFNn+yd4I+fUU3P7J3ggtQ0lRLk5ZU0U6QkFILklRX0dXX05FVC45OTQuMTQvMDYvMjAyNi4uLlVTRC5IAQAAAOlxAgACAAAABzE1ODEuMTYBCAAAAAUAAAABMQEAAAALLTIwOTUxMjYwOTADAAAAAzE2MAIAAAAFNDg5NjAEAAAAATAHAAAACTYvMTQvMjAyNggAAAAJMy8zMS8yMDIwCQAAAAEwhisU2f7J3giWzhnc/sneCDxDSVEuTllTRTpCQUguSVFfQURWQU5DRVNfRk9SX1NVUFBMSUVTLjk5MC4xNC8wNi8yMDI2Li4uVVNELkgBAAAA6XECAAMAAAAAAIYrFNn+yd4Ils4Z3P7J3gg1Q0lRLk5ZU0U6QkFILklRX0FDQ1VNX0FNT1JUX0dXLjk5Ni4xNC8wNi8yMDI2Li4uVVNELkgBAAAA6XECAAMAAAAAAIYrFNn+yd4IR2cX3P7J3gg/Q0lRLk5ZU0U6QkFILklRX0FDQ1VNX0FNT1JUX0lOVEFOX0FTU0VUUy45OTIuMTQvMDYvMjAyNi4uLlVTRC5IAQAAAOlxAgACAAAABy00NS4wMzYBCAAAAAUAAAABMQEAAAAKMjAzODA5MTA3NwMAAAADMTYwAgAAAAUyNDMzMQQAAAABMAcAAAAJNi8xNC8yMDI2CAAAAAkzLzMxLzIwMTgJAAAAATCGKxTZ/sneCEdn</t>
  </si>
  <si>
    <t>F9z+yd4IO0NJUS5OWVNFOkJBSC5JUV9ERVJJVkFUSVZFX0FTU0VUU19MVC45OTguMTQvMDYvMjAyNi4uLlVTRC5IAQAAAOlxAgADAAAAAACGKxTZ/sneCEdnF9z+yd4IOkNJUS5OWVNFOkJBSC5JUV9JTlRFUkNPTVBBTllfTk9OX0NMLjk5OC4xNC8wNi8yMDI2Li4uVVNELkgBAAAA6XECAAMAAAAAAIYrFNn+yd4Ils4Z3P7J3gg6Q0lRLk5ZU0U6QkFILklRX0lOVEVSQ09NUEFOWV9OT05fQ0EuOTk0LjE0LzA2LzIwMjYuLi5VU0QuSAEAAADpcQIAAwAAAAAAhisU2f7J3giWzhnc/sneCDFDSVEuTllTRTpCQUguSVFfSU5UQU5fTkVULjEwMDAuMTQvMDYvMjAyNi4uLlVTRC5IAQAAAOlxAgACAAAAAzUwOQEIAAAABQAAAAExAQAAAAstMTg4NzcwNDk3NwMAAAADMTYwAgAAAAU0ODk2MgQAAAABMAcAAAAJNi8xNC8yMDI2CAAAAAkzLzMxLzIwMjYJAAAAATCGKxTZ/sneCCr4QN3+yd4IOUNJUS5OWVNFOkJBSC5JUV9UT1RBTF9SRVZfRU1QTE9ZRUUuOTkyLjE0LzA2LzIwMjYuLi5VU0QuSAEAAADpcQIAAgAAAAcyNTAuNzE1AQgAAAAFAAAAATEBAAAACjIwMzgwOTEwNzcDAAAAAzE2MAIAAAAENDEyMwQAAAABMAcAAAAJNi8xNC8yMDI2CAAAAAkzLzMxLzIwMTgJAAAAATAdpgzZ/sneCJbOGdz+yd4IN0NJUS5OWVNFOkJBSC5JUV9MT0FOU19SRUNFSVZfTFQuMjAwMC4xNC8wNi8yMDI2Li4uVVNELkgBAAAA6XEC</t>
  </si>
  <si>
    <t>AAMAAAAAANldgdn+yd4Ibs332/7J3ggsQ0lRLk5ZU0U6QkFILklRX0FSX0xULjk5NS4xNC8wNi8yMDI2Li4uVVNELkgBAAAA6XECAAIAAAAGNjMuODY5AQgAAAAFAAAAATEBAAAACy0yMDQzMjE1MzkyAwAAAAMxNjACAAAABDEwODgEAAAAATAHAAAACTYvMTQvMjAyNggAAAAJMy8zMS8yMDIxCQAAAAEw2V2B2f7J3ghuzffb/sneCDdDSVEuTllTRTpCQUguSVFfRklOX0RJVl9MT0FOU19MVC45OTEuMTQvMDYvMjAyNi4uLlVTRC5IAQAAAOlxAgADAAAAAADZXYHZ/sneCG7N99v+yd4IO0NJUS5OWVNFOkJBSC5JUV9GSU5fRElWX0RFQlRfQ1VSUkVOVC45OTEuMTQvMDYvMjAyNi4uLlVTRC5IAQAAAOlxAgADAAAAAADZXYHZ/sneCG+u/Nv+yd4IOENJUS5OWVNFOkJBSC5JUV9DVVJSRU5UX1BPUlRfREVCVC45OTcuMTQvMDYvMjAyNi4uLlVTRC5IAQAAAOlxAgACAAAABTQxLjI1AQgAAAAFAAAAATEBAAAACy0xOTQxNTQ2ODcxAwAAAAMxNjACAAAABDEyOTcEAAAAATAHAAAACTYvMTQvMjAyNggAAAAJMy8zMS8yMDIzCQAAAAEw2V2B2f7J3ghvrvzb/sneCClDSVEuTllTRTpCQUguSVFfQUUuOTkzLjE0LzA2LzIwMjYuLi5VU0QuSAEAAADpcQIAAgAAAAczNzcuNTUzAQgAAAAFAAAAATEBAAAACjIwOTkwODcxMzMDAAAAAzE2MAIAAAAEMTAxNgQAAAABMAcAAAAJNi8xNC8yMDI2CAAAAAkzLzMxLzIwMTkJAAAA</t>
  </si>
  <si>
    <t>ATDZXYHZ/sneCG+u/Nv+yd4IM0NJUS5OWVNFOkJBSC5JUV9UT1RBTF9BU1NFVFMuOTk5LjE0LzA2LzIwMjYuLi5VU0QuSAEAAADpcQIAAgAAAAQ3MzEyAQgAAAAFAAAAATEBAAAACy0xODg3NzA1MDAxAwAAAAMxNjACAAAABDEwMDcEAAAAATAHAAAACTYvMTQvMjAyNggAAAAJMy8zMS8yMDI1CQAAAAEw2V2B2f7J3gj71kXd/sneCDZDSVEuTllTRTpCQUguSVFfT1RIRVJfTFRfQVNTRVRTLjk5My4xNC8wNi8yMDI2Li4uVVNELkgBAAAA6XECAAIAAAAGMjkuODMyAQgAAAAFAAAAATEBAAAACjIwOTkwODcxMzMDAAAAAzE2MAIAAAAEMTA2MAQAAAABMAcAAAAJNi8xNC8yMDI2CAAAAAkzLzMxLzIwMTkJAAAAATDZXYHZ/sneCG7N99v+yd4INkNJUS5OWVNFOkJBSC5JUV9GSU5fRElWX0RFQlRfTFQuOTkzLjE0LzA2LzIwMjYuLi5VU0QuSAEAAADpcQIAAwAAAAAA2V2B2f7J3ghlF//b/sneCC5DSVEuTllTRTpCQUguSVFfTFRfREVCVC45OTkuMTQvMDYvMjAyNi4uLlVTRC5IAQAAAOlxAgACAAAABDM5MTUBCAAAAAUAAAABMQEAAAALLTE4ODc3MDUwMDEDAAAAAzE2MAIAAAAEMTA0OQQAAAABMAcAAAAJNi8xNC8yMDI2CAAAAAkzLzMxLzIwMjUJAAAAATDZXYHZ/sneCPvWRd3+yd4INUNJUS5OWVNFOkJBSC5JUV9PVEhFUl9DTF9TVVBQTC45OTUuMTQvMDYvMjAyNi4uLlVTRC5IAQAAAOlxAgACAAAABzI2NS4x</t>
  </si>
  <si>
    <t>MzUBCAAAAAUAAAABMQEAAAALLTIwNDMyMTUzOTIDAAAAAzE2MAIAAAAEMTA1NwQAAAABMAcAAAAJNi8xNC8yMDI2CAAAAAkzLzMxLzIwMjEJAAAAATDZXYHZ/sneCGUX/9v+yd4IOkNJUS5OWVNFOkJBSC5JUV9VTkVBUk5fUkVWX0NVUlJFTlQuMjAwMC4xNC8wNi8yMDI2Li4uVVNELkgBAAAA6XECAAIAAAACMjgBCAAAAAUAAAABMQEAAAALLTE4ODc3MDQzNDEDAAAAAzE2MAIAAAAEMTA3NAQAAAABMAcAAAAJNi8xNC8yMDI2CAAAAAkzLzMxLzIwMjYJAAAAATDZXYHZ/sneCG+u/Nv+yd4IOkNJUS5OWVNFOkJBSC5JUV9JTkNfVEFYX1BBWV9DVVJSRU5ULjk5NS4xNC8wNi8yMDI2Li4uVVNELkgBAAAA6XECAAIAAAAGMzAuNjk0AQgAAAAFAAAAATEBAAAACy0yMDQzMjE1MzkyAwAAAAMxNjACAAAABDEwOTQEAAAAATAHAAAACTYvMTQvMjAyNggAAAAJMy8zMS8yMDIxCQAAAAEw2V2B2f7J3ghvrvzb/sneCDNDSVEuTllTRTpCQUguSVFfUFJFRl9DT05WRVJULjk5NS4xNC8wNi8yMDI2Li4uVVNELkgBAAAA6XECAAMAAAAAAH+ogtn+yd4IaoYB3P7J3ggzQ0lRLk5ZU0U6QkFILklRX1BSRUZfUkVERUVNLjIwMDAuMTQvMDYvMjAyNi4uLlVTRC5IAQAAAOlxAgADAAAAAADZXYHZ/sneCGUX/9v+yd4INENJUS5OWVNFOkJBSC5JUV9PVEhFUl9MSUFCX0xULjk5Ny4xNC8wNi8yMDI2Li4uVVNELkgBAAAA6XECAAIA</t>
  </si>
  <si>
    <t>AAAHNjcxLjA5OAEIAAAABQAAAAExAQAAAAstMTk0MTU0Njg3MQMAAAADMTYwAgAAAAQxMDYyBAAAAAEwBwAAAAk2LzE0LzIwMjYIAAAACTMvMzEvMjAyMwkAAAABMNldgdn+yd4IZRf/2/7J3gg2Q0lRLk5ZU0U6QkFILklRX0RFRl9UQVhfTElBQl9MVC45OTEuMTQvMDYvMjAyNi4uLlVTRC5IAQAAAOlxAgADAAAAAADZXYHZ/sneCGUX/9v+yd4INENJUS5OWVNFOkJBSC5JUV9VTkVBUk5fUkVWX0xULjk5Ny4xNC8wNi8yMDI2Li4uVVNELkgBAAAA6XECAAMAAAAAANldgdn+yd4IZRf/2/7J3gg4Q0lRLk5ZU0U6QkFILklRX01JTk9SSVRZX0lOVEVSRVNULjk5Ny4xNC8wNi8yMDI2Li4uVVNELkgBAAAA6XECAAMAAAAAAHxfRtn+yd4IaoYB3P7J3gg6Q0lRLk5ZU0U6QkFILklRX1RPVEFMX0NPTU1PTl9FUVVJVFkuOTkxLjE0LzA2LzIwMjYuLi5VU0QuSAEAAADpcQIAAgAAAAc1NzMuNTkxAQgAAAAFAAAAATEBAAAACjE5NjU3NzI0MjIDAAAAAzE2MAIAAAAEMTAwNgQAAAABMAcAAAAJNi8xNC8yMDI2CAAAAAkzLzMxLzIwMTcJAAAAATB8X0bZ/sneCGqGAdz+yd4IKUNJUS5OWVNFOkJBSC5JUV9SRS45OTkuMTQvMDYvMjAyNi4uLlVTRC5IAQAAAOlxAgACAAAABDMwNzABCAAAAAUAAAABMQEAAAALLTE4ODc3MDUwMDEDAAAAAzE2MAIAAAAEMTIyMgQAAAABMAcAAAAJNi8xNC8yMDI2CAAAAAkzLzMxLzIwMjUJ</t>
  </si>
  <si>
    <t>AAAAATB8X0bZ/sneCGAlRN3+yd4IK0NJUS5OWVNFOkJBSC5JUV9BUElDLjk5My4xNC8wNi8yMDI2Li4uVVNELkgBAAAA6XECAAIAAAAHNDAxLjU5NgEIAAAABQAAAAExAQAAAAoyMDk5MDg3MTMzAwAAAAMxNjACAAAABDEwODQEAAAAATAHAAAACTYvMTQvMjAyNggAAAAJMy8zMS8yMDE5CQAAAAEwfF9G2f7J3ghqhgHc/sneCDJDSVEuTllTRTpCQUguSVFfUFJFRl9FUVVJVFkuOTk5LjE0LzA2LzIwMjYuLi5VU0QuSAEAAADpcQIAAwAAAAAAfF9G2f7J3ghgJUTd/sneCEBDSVEuTllTRTpCQUguSVFfUlVBX09QRVJBVElOR19MRUFTRV9HUk9TUy45OTkuMTQvMDYvMjAyNi4uLlVTRC5IAQAAAOlxAgACAAAAAzE3OAEIAAAABQAAAAExAQAAAAstMTg4NzcwNTAwMQMAAAADMTYwAgAAAAU0ODM3NwQAAAABMAcAAAAJNi8xNC8yMDI2CAAAAAkzLzMxLzIwMjUJAAAAATB8X0bZ/sneCGAlRN3+yd4IPENJUS5OWVNFOkJBSC5JUV9SVUFfQ0FQSVRBTF9MRUFTRV9ORVQuOTkzLjE0LzA2LzIwMjYuLi5VU0QuSAEAAADpcQIAAwAAAAAAfF9G2f7J3ggBPgXc/sneCC9DSVEuTllTRTpCQUguSVFfUlVBX05FVC4yMDAwLjE0LzA2LzIwMjYuLi5VU0QuSAEAAADpcQIAAwAAAAAAfF9G2f7J3gju2wTc/sneCDRDSVEuTllTRTpCQUguSVFfUlVBX0FDQ1VNX0RFUC45OTUuMTQvMDYvMjAyNi4uLlVTRC5IAQAAAOlxAgADAAAA</t>
  </si>
  <si>
    <t>AAB8X0bZ/sneCDN3BNz+yd4IOUNJUS5OWVNFOkJBSC5JUV9UT1RBTF9MSUFCX0VRVUlUWS4yMDAwLjE0LzA2LzIwMjYuLi5VU0QuSAEAAADpcQIAAgAAAAQ3MTE4AQgAAAAFAAAAATEBAAAACy0xODg3NzA0MzQxAwAAAAMxNjACAAAABDEwMTMEAAAAATAHAAAACTYvMTQvMjAyNggAAAAJMy8zMS8yMDI2CQAAAAEwfF9G2f7J3gin7wPc/sneCE5DSVEuTllTRTpCQUguSVFfQ1VSUkVOVF9QT1JUSU9OX09QRVJfTEVBU0VfTElBQklMSVRJRVMuMjAwMC4xNC8wNi8yMDI2Li4uVVNELkgBAAAA6XECAAIAAAACNDMBCAAAAAUAAAABMQEAAAALLTE4ODc3MDQzNDEDAAAAAzE2MAIAAAAFNDgzODUEAAAAATAHAAAACTYvMTQvMjAyNggAAAAJMy8zMS8yMDI2CQAAAAEwfF9G2f7J3gjkywbc/sneCDtDSVEuTllTRTpCQUguSVFfVE9UQUxfRklOQU5DRV9MRUFTRVMuOTk1LjE0LzA2LzIwMjYuLi5VU0QuSAEAAADpcQIAAwAAAAAAfF9G2f7J3gjkywbc/sneCD1DSVEuTllTRTpCQUguSVFfRklOQU5DRV9MRUFTRVNfQ1VSUkVOVC45OTEuMTQvMDYvMjAyNi4uLlVTRC5IAQAAAOlxAgADAAAAAAB8X0bZ/sneCOTLBtz+yd4IOkNJUS5OWVNFOkJBSC5JUV9BRF9FWENMX09QRVJfTEVBU0VTLjk5Ny4xNC8wNi8yMDI2Li4uVVNELkgBAAAA6XECAAIAAAAILTI5My45MjYBCAAAAAUAAAABMQEAAAALLTE5NDE1NDY4NzEDAAAA</t>
  </si>
  <si>
    <t>AzE2MAIAAAAFNDg5NzUEAAAAATAHAAAACTYvMTQvMjAyNggAAAAJMy8zMS8yMDIzCQAAAAEwfF9G2f7J3gijYwbc/sneCDxDSVEuTllTRTpCQUguSVFfR1BQRV9FWENMX09QRVJfTEVBU0VTLjk5MS4xNC8wNi8yMDI2Li4uVVNELkgBAAAA6XECAAIAAAAGNDAzLjcyAQgAAAAFAAAAATEBAAAACjE5NjU3NzI0MjIDAAAAAzE2MAIAAAAFNDg5NzQEAAAAATAHAAAACTYvMTQvMjAyNggAAAAJMy8zMS8yMDE3CQAAAAEwfF9G2f7J3giS2gXc/sneCC9DSVEuTllTRTpCQUguSVFfQlZfU0hBUkUuOTkxLjE0LzA2LzIwMjYuLi5VU0QuSAEAAADpcQIAAgAAAAgzLjg1MjUwNwEIAAAABQAAAAExAQAAAAoxOTY1NzcyNDIyAwAAAAMxNjACAAAABDQwMjAEAAAAATAHAAAACTYvMTQvMjAyNggAAAAJMy8zMS8yMDE3CQAAAAEwSkdH2f7J3gjkywbc/sneCEJDSVEuTllTRTpCQUguSVFfVE9UQUxfREVCVF9FWENMX09QRVJfTEVBU0VTLjk5My4xNC8wNi8yMDI2Li4uVVNELkgBAAAA6XECAAIAAAAIMTg0NS4wMzcBCAAAAAUAAAABMQEAAAAKMjA5OTA4NzEzMwMAAAADMTYwAgAAAAU0ODk4MgQAAAABMAcAAAAJNi8xNC8yMDI2CAAAAAkzLzMxLzIwMTkJAAAAATB8X0bZ/sneCOTLBtz+yd4IT0NJUS5OWVNFOkJBSC5JUV9GSU5BTkNJTkdfT0JMSUdfQ1VSUkVOVF9FWENMX09QRVJfTEVBU0VTLjk5OS4xNC8wNi8yMDI2Li4u</t>
  </si>
  <si>
    <t>VVNELkgBAAAA6XECAAIAAAACODMBCAAAAAUAAAABMQEAAAALLTE4ODc3MDUwMDEDAAAAAzE2MAIAAAAFNDg5ODAEAAAAATAHAAAACTYvMTQvMjAyNggAAAAJMy8zMS8yMDI1CQAAAAEwfF9G2f7J3ghgJUTd/sneCDNDSVEuTllTRTpCQUguSVFfVE9UQUxfTEVBU0VTLjk5My4xNC8wNi8yMDI2Li4uVVNELkgBAAAA6XECAAMAAAAAAHxfRtn+yd4I5MsG3P7J3gg9Q0lRLk5ZU0U6QkFILklRX1RPVEFMX0RFQlRfTk9OX0NVUlJFTlQuOTkzLjE0LzA2LzIwMjYuLi5VU0QuSAEAAADpcQIAAgAAAAgxNzA2LjE4NAEIAAAABQAAAAExAQAAAAoyMDk5MDg3MTMzAwAAAAMxNjACAAAABTI1MjI0BAAAAAEwBwAAAAk2LzE0LzIwMjYIAAAACTMvMzEvMjAxOQkAAAABMEpHR9n+yd4IkcgI3P7J3ggxQ0lRLk5ZU0U6QkFILklRX1RPVEFMX0RFQlQuOTk5LjE0LzA2LzIwMjYuLi5VU0QuSAEAAADpcQIAAgAAAAQ0MjE5AQgAAAAFAAAAATEBAAAACy0xODg3NzA1MDAxAwAAAAMxNjACAAAABDQxNzMEAAAAATAHAAAACTYvMTQvMjAyNggAAAAJMy8zMS8yMDI1CQAAAAEwSkdH2f7J3ghgJUTd/sneCC9DSVEuTllTRTpCQUguSVFfR1dfSU5UQU4uOTk1LjE0LzA2LzIwMjYuLi5VU0QuSAEAAADpcQIAAgAAAAgxODg4LjI4OAEIAAAABQAAAAExAQAAAAstMjA0MzIxNTM5MgMAAAADMTYwAgAAAAUzNTM4MQQAAAABMAcAAAAJNi8x</t>
  </si>
  <si>
    <t>NC8yMDI2CAAAAAkzLzMxLzIwMjEJAAAAATBKR0fZ/sneCJHICNz+yd4IOkNJUS5OWVNFOkJBSC5JUV9UQlZfU0hBUkVfUkVQT1JURUQuMjAwMC4xNC8wNi8yMDI2Li4uVVNELkgBAAAA6XECAAMAAAAAAEpHR9n+yd4IkcgI3P7J3ggwQ0lRLk5ZU0U6QkFILklRX1RCVl9TSEFSRS45OTUuMTQvMDYvMjAyNi4uLlVTRC5IAQAAAOlxAgACAAAACS01Ljk5NzMyNwEIAAAABQAAAAExAQAAAAstMjA0MzIxNTM5MgMAAAADMTYwAgAAAAQ0MTU2BAAAAAEwBwAAAAk2LzE0LzIwMjYIAAAACTMvMzEvMjAyMQkAAAABMEpHR9n+yd4I5MsG3P7J3gg1Q0lRLk5ZU0U6QkFILklRX0VRVUlUWV9NRVRIT0QuMjAwMC4xNC8wNi8yMDI2Li4uVVNELkgBAAAA6XECAAIAAAADMTg0AQgAAAAFAAAAATEBAAAACy0xODg3NzA0MzQxAwAAAAMxNjACAAAABDMwNjMEAAAAATAHAAAACTYvMTQvMjAyNggAAAAJMy8zMS8yMDI2CQAAAAEwSkdH2f7J3gjhPQvc/sneCDZDSVEuTllTRTpCQUguSVFfTkVUX1dPUktJTkdfQ0FQLjk5Ny4xNC8wNi8yMDI2Li4uVVNELkgBAAAA6XECAAIAAAAGNjcuMzg1AQgAAAAFAAAAATEBAAAACy0xOTQxNTQ2ODcxAwAAAAMxNjACAAAABDEzMTEEAAAAATAHAAAACTYvMTQvMjAyNggAAAAJMy8zMS8yMDIzCQAAAAEwSkdH2f7J3gjhPQvc/sneCDJDSVEuTllTRTpCQUguSVFfV09SS0lOR19DQVAuOTkxLjE0</t>
  </si>
  <si>
    <t>LzA2LzIwMjYuLi5VU0QuSAEAAADpcQIAAgAAAAcxOTMuMDc5AQgAAAAFAAAAATEBAAAACjE5NjU3NzI0MjIDAAAAAzE2MAIAAAAENDE2NQQAAAABMAcAAAAJNi8xNC8yMDI2CAAAAAkzLzMxLzIwMTcJAAAAATBKR0fZ/sneCAU/Ctz+yd4IPkNJUS5OWVNFOkJBSC5JUV9NSU5PUklUWV9JTlRFUkVTVF9UT1RBTC45OTcuMTQvMDYvMjAyNi4uLlVTRC5IAQAAAOlxAgADAAAAAABKR0fZ/sneCAU/Ctz+yd4IL0NJUS5OWVNFOkJBSC5JUV9TT0ZUV0FSRS45OTcuMTQvMDYvMjAyNi4uLlVTRC5IAQAAAOlxAgADAAAAAABKR0fZ/sneCG6qDdz+yd4IMENJUS5OWVNFOkJBSC5JUV9NQUNISU5FUlkuOTkxLjE0LzA2LzIwMjYuLi5VU0QuSAEAAADpcQIAAgAAAAcyMjYuNzExAQgAAAAFAAAAATEBAAAACjE5NjU3NzI0MjIDAAAAAzE2MAIAAAAEMzExNAQAAAABMAcAAAAJNi8xNC8yMDI2CAAAAAkzLzMxLzIwMTcJAAAAATBKR0fZ/sneCOE9C9z+yd4IMENJUS5OWVNFOkJBSC5JUV9PVEhFUl9JTlYuOTk5LjE0LzA2LzIwMjYuLi5VU0QuSAEAAADpcQIAAwAAAAAASkdH2f7J3ggS10Pd/sneCDNDSVEuTllTRTpCQUguSVFfRklOSVNIRURfSU5WLjk5My4xNC8wNi8yMDI2Li4uVVNELkgBAAAA6XECAAMAAAAAAEpHR9n+yd4I4T0L3P7J3gguQ0lRLk5ZU0U6QkFILklRX1JBV19JTlYuOTk5LjE0LzA2LzIwMjYuLi5VU0Qu</t>
  </si>
  <si>
    <t>SAEAAADpcQIAAwAAAAAASkdH2f7J3ghgJUTd/sneCERDSVEuTllTRTpCQUguSVFfR0VORVJBTF9QQVJUTkVSX0NPTU1PTl9FUVVJVFkuOTk5LjE0LzA2LzIwMjYuLi5VU0QuSAEAAADpcQIAAwAAAAAASkdH2f7J3gi4iEPd/sneCEJDSVEuTllTRTpCQUguSVFfREVGX1RBWF9WQUxVQVRJT05fQUxMT1dBTkNFLjk5My4xNC8wNi8yMDI2Li4uVVNELkgBAAAA6XECAAIAAAAFMi44NTMBCAAAAAUAAAABMQEAAAAKMjA5OTA4NzEzMwMAAAADMTYwAgAAAAU0NjA0NQQAAAABMAcAAAAJNi8xNC8yMDI2CAAAAAkzLzMxLzIwMTkJAAAAATBKR0fZ/sneCB0hENz+yd4IQ0NJUS5OWVNFOkJBSC5JUV9GSU5fRElWX01JTk9SSVRZX0lOVF9SRURFRU0uMjAwMC4xNC8wNi8yMDI2Li4uVVNELkgBAAAA6XECAAMAAAAAAEpHR9n+yd4IHSEQ3P7J3gg6Q0lRLk5ZU0U6QkFILklRX01JTk9SSVRZX0lOVF9SRURFRU0uOTk1LjE0LzA2LzIwMjYuLi5VU0QuSAEAAADpcQIAAwAAAAAASkdH2f7J3ggdIRDc/sneCCtDSVEuTllTRTpCQUguSVFfQ0lQLjIwMDAuMTQvMDYvMjAyNi4uLlVTRC5IAQAAAOlxAgADAAAAAABKR0fZ/sneCB0hENz+yd4INkNJUS5OWVNFOkJBSC5JUV9BU1NFVFNfTEVWRUxfMy4yMDAwLjE0LzA2LzIwMjYuLi5VU0QuSAEAAADpcQIAAwAAAAAASkdH2f7J3ggNkxLc/sneCDVDSVEuTllTRTpCQUguSVFfQVNT</t>
  </si>
  <si>
    <t>RVRTX0xFVkVMXzIuOTk1LjE0LzA2LzIwMjYuLi5VU0QuSAEAAADpcQIAAwAAAAAASkdH2f7J3ggNkxLc/sneCElDSVEuTllTRTpCQUguSVFfTElRVUlEQVRJT05fVkFMVUVfUFJFRkVSUkVEX1JFREVFTS45OTEuMTQvMDYvMjAyNi4uLlVTRC5IAQAAAOlxAgADAAAAAABKR0fZ/sneCB0hENz+yd4ISkNJUS5OWVNFOkJBSC5JUV9MSVFVSURBVElPTl9WQUxVRV9QUkVGRVJSRURfQ09OVkVSVC45OTcuMTQvMDYvMjAyNi4uLlVTRC5IAQAAAOlxAgADAAAAAABKR0fZ/sneCB0hENz+yd4IRUNJUS5OWVNFOkJBSC5JUV9UT1RBTF9HRU5FUkFMX1BBUlRORVJfSU5URVJFU1QuOTkxLjE0LzA2LzIwMjYuLi5VU0QuSAEAAADpcQIAAwAAAAAASkdH2f7J3ggdIRDc/sneCEZDSVEuTllTRTpCQUguSVFfRkFJUl9WQUxVRV9DSEFOR0VfSU5DTF9FQVJOSU5HUy45OTcuMTQvMDYvMjAyNi4uLlVTRC5IAQAAAOlxAgADAAAAAACGKxTZ/sneCA2TEtz+yd4ITENJUS5OWVNFOkJBSC5JUV9MSUFCSUxJVElFU19ORVRUSU5HX09USEVSX0FESlVTVE1FTlRTLjk5My4xNC8wNi8yMDI2Li4uVVNELkgBAAAA6XECAAMAAAAAAIYrFNn+yd4IDZMS3P7J3gg6Q0lRLk5ZU0U6QkFILklRX0xJQUJJTElUSUVTX0xFVkVMXzIuOTk5LjE0LzA2LzIwMjYuLi5VU0QuSAEAAADpcQIAAgAAAAQzOTU3AIYrFNn+yd4IMWlD3f7J3gg6Q0lRLk5Z</t>
  </si>
  <si>
    <t>U0U6QkFILklRX0xJQUJJTElUSUVTX0xFVkVMXzEuOTkzLjE0LzA2LzIwMjYuLi5VU0QuSAEAAADpcQIAAgAAAAUzLjE2OQCGKxTZ/sneCA2TEtz+yd4IOUNJUS5OWVNFOkJBSC5JUV9GSU5fRElWX0NBU0hfRVFVSVYuOTkzLjE0LzA2LzIwMjYuLi5VU0QuSAEAAADpcQIAAwAAAAAAhisU2f7J3ggNkxLc/sneCDxDSVEuTllTRTpCQUguSVFfRklOX0RJVl9TVF9ERUJUX1RPVEFMLjk5OS4xNC8wNi8yMDI2Li4uVVNELkgBAAAA6XECAAMAAAAAAIYrFNn+yd4IKvhA3f7J3gg9Q0lRLk5ZU0U6QkFILklRX0NPTlRJTkdFTlRfTElBQklMSVRJRVMuOTk1LjE0LzA2LzIwMjYuLi5VU0QuSAEAAADpcQIAAgAAAAM5LjgBCAAAAAUAAAABMQEAAAALLTIwNDMyMTUzOTIDAAAAAzE2MAIAAAAFMjQ2NzEEAAAAATAHAAAACTYvMTQvMjAyNggAAAAJMy8zMS8yMDIxCQAAAAEwhisU2f7J3gj59RTc/sneCDtDSVEuTllTRTpCQUguSVFfVE9UQUxfREVCVF9FWENMX0ZJTi4yMDAwLjE0LzA2LzIwMjYuLi5VU0QuSAEAAADpcQIAAgAAAAQ0MTIyAQgAAAAFAAAAATEBAAAACy0xODg3NzA0MzQxAwAAAAMxNjACAAAABTIxODYwBAAAAAEwBwAAAAk2LzE0LzIwMjYIAAAACTMvMzEvMjAyNgkAAAABMIYrFNn+yd4I+fUU3P7J3ghCQ0lRLk5ZU0U6QkFILklRX1JFU1RSSUNURURfQ0FTSF9OT05fQ1VSUkVOVC45OTcuMTQvMDYvMjAy</t>
  </si>
  <si>
    <t>Ni4uLlVTRC5IAQAAAOlxAgADAAAAAACGKxTZ/sneCPn1FNz+yd4IOUNJUS5OWVNFOkJBSC5JUV9ERUJUX0VRVUlWX05FVF9QQk8uOTk3LjE0LzA2LzIwMjYuLi5VU0QuSAEAAADpcQIAAwAAAAAAhisU2f7J3gj59RTc/sneCDtDSVEuTllTRTpCQUguSVFfREVSSVZBVElWRV9BU1NFVFNfTFQuOTk3LjE0LzA2LzIwMjYuLi5VU0QuSAEAAADpcQIAAwAAAAAAhisU2f7J3ghHZxfc/sneCEBDSVEuTllTRTpCQUguSVFfREVSSVZBVElWRV9BU1NFVFNfQ1VSUkVOVC45OTEuMTQvMDYvMjAyNi4uLlVTRC5IAQAAAOlxAgADAAAAAACGKxTZ/sneCEdnF9z+yd4IPkNJUS5OWVNFOkJBSC5JUV9ERVJJVkFUSVZFX0xJQUJfQ1VSUkVOVC45OTkuMTQvMDYvMjAyNi4uLlVTRC5IAQAAAOlxAgADAAAAAACGKxTZ/sneCCr4QN3+yd4IOkNJUS5OWVNFOkJBSC5JUV9MVF9ERUJUX0RFUklWQVRJVkVTLjk5My4xNC8wNi8yMDI2Li4uVVNELkgBAAAA6XECAAIAAAAFNC4zNDcBCAAAAAUAAAABMQEAAAAKMjA5OTA4NzEzMwMAAAADMTYwAgAAAAUzMDkxNQQAAAABMAcAAAAJNi8xNC8yMDI2CAAAAAkzLzMxLzIwMTkJAAAAATCGKxTZ/sneCEdnF9z+yd4IOkNJUS5OWVNFOkJBSC5JUV9TVF9ERUJUX0RFUklWQVRJVkVTLjk5OS4xNC8wNi8yMDI2Li4uVVNELkgBAAAA6XECAAMAAAAAAIYrFNn+yd4IKvhA3f7J3ggwQ0lRLk5ZU0U6</t>
  </si>
  <si>
    <t>QkFILklRX0lOVEFOX05FVC45OTkuMTQvMDYvMjAyNi4uLlVTRC5IAQAAAOlxAgACAAAAAzU2MwEIAAAABQAAAAExAQAAAAstMTg4NzcwNTAwMQMAAAADMTYwAgAAAAU0ODk2MgQAAAABMAcAAAAJNi8xNC8yMDI2CAAAAAkzLzMxLzIwMjUJAAAAATCGKxTZ/sneCCr4QN3+yd4ILUNJUS5OWVNFOkJBSC5JUV9HV19ORVQuOTkzLjE0LzA2LzIwMjYuLi5VU0QuSAEAAADpcQIAAgAAAAcxNTgxLjE2AQgAAAAFAAAAATEBAAAACjIwOTkwODcxMzMDAAAAAzE2MAIAAAAFNDg5NjAEAAAAATAHAAAACTYvMTQvMjAyNggAAAAJMy8zMS8yMDE5CQAAAAEwhisU2f7J3giWzhnc/sneCDpDSVEuTllTRTpCQUguSVFfTFRfTUFSS19TRUNVUklUSUVTLjIwMDAuMTQvMDYvMjAyNi4uLlVTRC5IAQAAAOlxAgADAAAAAACGKxTZ/sneCJbOGdz+yd4INUNJUS5OWVNFOkJBSC5JUV9BQ0NVTV9BTU9SVF9HVy45OTUuMTQvMDYvMjAyNi4uLlVTRC5IAQAAAOlxAgADAAAAAACGKxTZ/sneCEdnF9z+yd4IQENJUS5OWVNFOkJBSC5JUV9BQ0NVTV9BTU9SVF9JTlRBTl9BU1NFVFMuMjAwMC4xNC8wNi8yMDI2Li4uVVNELkgBAAAA6XECAAIAAAAELTM2NQEIAAAABQAAAAExAQAAAAstMTg4NzcwNDM0MQMAAAADMTYwAgAAAAUyNDMzMQQAAAABMAcAAAAJNi8xNC8yMDI2CAAAAAkzLzMxLzIwMjYJAAAAATCGKxTZ/sneCEdnF9z+yd4IOkNJ</t>
  </si>
  <si>
    <t>US5OWVNFOkJBSC5JUV9JTlRFUkNPTVBBTllfTk9OX0NMLjk5Ny4xNC8wNi8yMDI2Li4uVVNELkgBAAAA6XECAAMAAAAAAIYrFNn+yd4Ils4Z3P7J3gg2Q0lRLk5ZU0U6QkFILklRX0lOVEVSQ09NUEFOWV9DTC45OTEuMTQvMDYvMjAyNi4uLlVTRC5IAQAAAOlxAgADAAAAAACGKxTZ/sneCJbOGdz+yd4IOkNJUS5OWVNFOkJBSC5JUV9UT1RBTF9SRVZfRU1QTE9ZRUUuMjAwMC4xNC8wNi8yMDI2Li4uVVNELkgBAAAA6XECAAIAAAAHMzU2LjA5NQEIAAAABQAAAAExAQAAAAstMTg4NzcwNDM0MQMAAAADMTYwAgAAAAQ0MTIzBAAAAAEwBwAAAAk2LzE0LzIwMjYIAAAACTMvMzEvMjAyNgkAAAABMB2mDNn+yd4Ils4Z3P7J3ggvQ0lRLk5ZU0U6QkFILklRX1RSRUFTVVJZLjk5Ni4xNC8wNi8yMDI2Li4uVVNELkgBAAAA6XECAAIAAAAJLTE2MzUuNDU0AQgAAAAFAAAAATEBAAAACy0xOTkyNDAyMDU5AwAAAAMxNjACAAAABDEyNDgEAAAAATAHAAAACTYvMTQvMjAyNggAAAAJMy8zMS8yMDIyCQAAAAEwfF9G2f7J3ghqhgHc/sneCD5DSVEuTllTRTpCQUguSVFfUlVBX0NBUElUQUxfTEVBU0VfR1JPU1MuOTk4LjE0LzA2LzIwMjYuLi5VU0QuSAEAAADpcQIAAwAAAAAAfF9G2f7J3gju2wTc/sneCDRDSVEuTllTRTpCQUguSVFfUlVBX0FDQ1VNX0RFUC45OTQuMTQvMDYvMjAyNi4uLlVTRC5IAQAAAOlxAgADAAAAAAB8</t>
  </si>
  <si>
    <t>X0bZ/sneCDN3BNz+yd4IOUNJUS5OWVNFOkJBSC5JUV9UT1RBTF9MSUFCX0VRVUlUWS4xMDAwLjE0LzA2LzIwMjYuLi5VU0QuSAEAAADpcQIAAgAAAAQ3MTE4AQgAAAAFAAAAATEBAAAACy0xODg3NzA0OTc3AwAAAAMxNjACAAAABDEwMTMEAAAAATAHAAAACTYvMTQvMjAyNggAAAAJMy8zMS8yMDI2CQAAAAEwfF9G2f7J3ghgJUTd/sneCDhDSVEuTllTRTpCQUguSVFfTUlOT1JJVFlfSU5URVJFU1QuOTk2LjE0LzA2LzIwMjYuLi5VU0QuSAEAAADpcQIAAgAAAAUwLjY1MQEIAAAABQAAAAExAQAAAAstMTk5MjQwMjA1OQMAAAADMTYwAgAAAAQxMDUyBAAAAAEwBwAAAAk2LzE0LzIwMjYIAAAACTMvMzEvMjAyMgkAAAABMHxfRtn+yd4IaoYB3P7J3gg6Q0lRLk5ZU0U6QkFILklRX1RPVEFMX0NPTU1PTl9FUVVJVFkuOTkwLjE0LzA2LzIwMjYuLi5VU0QuSAEAAADpcQIAAgAAAAc0MDguNDg4AQgAAAAFAAAAATEBAAAACjE4OTEzNDc4NjkDAAAAAzE2MAIAAAAEMTAwNgQAAAABMAcAAAAJNi8xNC8yMDI2CAAAAAkzLzMxLzIwMTYJAAAAATB8X0bZ/sneCGqGAdz+yd4IPkNJUS5OWVNFOkJBSC5JUV9GSU5BTkNFX0xFQVNFU19DVVJSRU5ULjEwMDAuMTQvMDYvMjAyNi4uLlVTRC5IAQAAAOlxAgADAAAAAAB8X0bZ/sneCGAlRN3+yd4IOkNJUS5OWVNFOkJBSC5JUV9BRF9FWENMX09QRVJfTEVBU0VTLjk5Ni4xNC8w</t>
  </si>
  <si>
    <t>Ni8yMDI2Li4uVVNELkgBAAAA6XECAAIAAAAILTI1NC42NTkBCAAAAAUAAAABMQEAAAALLTE5OTI0MDIwNTkDAAAAAzE2MAIAAAAFNDg5NzUEAAAAATAHAAAACTYvMTQvMjAyNggAAAAJMy8zMS8yMDIyCQAAAAEwfF9G2f7J3gijYwbc/sneCDxDSVEuTllTRTpCQUguSVFfR1BQRV9FWENMX09QRVJfTEVBU0VTLjk5MC4xNC8wNi8yMDI2Li4uVVNELkgBAAAA6XECAAIAAAAGMzcwLjE3AQgAAAAFAAAAATEBAAAACjE4OTEzNDc4NjkDAAAAAzE2MAIAAAAFNDg5NzQEAAAAATAHAAAACTYvMTQvMjAyNggAAAAJMy8zMS8yMDE2CQAAAAEwfF9G2f7J3gjdKAbc/sneCEBDSVEuTllTRTpCQUguSVFfUlVBX09QRVJBVElOR19MRUFTRV9HUk9TUy45OTguMTQvMDYvMjAyNi4uLlVTRC5IAQAAAOlxAgACAAAAAzE3NAEIAAAABQAAAAExAQAAAAstMTg4NzcwNDk5MwMAAAADMTYwAgAAAAU0ODM3NwQAAAABMAcAAAAJNi8xNC8yMDI2CAAAAAkzLzMxLzIwMjQJAAAAATB8X0bZ/sneCEuMBdz+yd4IPENJUS5OWVNFOkJBSC5JUV9SVUFfQ0FQSVRBTF9MRUFTRV9ORVQuOTkyLjE0LzA2LzIwMjYuLi5VU0QuSAEAAADpcQIAAwAAAAAAfF9G2f7J3ggBPgXc/sneCD1DSVEuTllTRTpCQUguSVFfVE9UQUxfREVCVF9FWENMX0xFQVNFUy45OTAuMTQvMDYvMjAyNi4uLlVTRC5IAQAAAOlxAgACAAAACDE2NzcuMjYxAQgAAAAFAAAA</t>
  </si>
  <si>
    <t>ATEBAAAACjE4OTEzNDc4NjkDAAAAAzE2MAIAAAAFNDg5OTIEAAAAATAHAAAACTYvMTQvMjAyNggAAAAJMy8zMS8yMDE2CQAAAAEwfF9G2f7J3gjkywbc/sneCE9DSVEuTllTRTpCQUguSVFfRklOQU5DSU5HX09CTElHX0NVUlJFTlRfRVhDTF9PUEVSX0xFQVNFUy45OTguMTQvMDYvMjAyNi4uLlVTRC5IAQAAAOlxAgACAAAAAjYyAQgAAAAFAAAAATEBAAAACy0xODg3NzA0OTkzAwAAAAMxNjACAAAABTQ4OTgwBAAAAAEwBwAAAAk2LzE0LzIwMjYIAAAACTMvMzEvMjAyNAkAAAABMHxfRtn+yd4I5MsG3P7J3ggzQ0lRLk5ZU0U6QkFILklRX1RPVEFMX0xFQVNFUy45OTIuMTQvMDYvMjAyNi4uLlVTRC5IAQAAAOlxAgADAAAAAAB8X0bZ/sneCOTLBtz+yd4ITkNJUS5OWVNFOkJBSC5JUV9DVVJSRU5UX1BPUlRJT05fT1BFUl9MRUFTRV9MSUFCSUxJVElFUy4xMDAwLjE0LzA2LzIwMjYuLi5VU0QuSAEAAADpcQIAAgAAAAI0MwEIAAAABQAAAAExAQAAAAstMTg4NzcwNDk3NwMAAAADMTYwAgAAAAU0ODM4NQQAAAABMAcAAAAJNi8xNC8yMDI2CAAAAAkzLzMxLzIwMjYJAAAAATB8X0bZ/sneCGAlRN3+yd4IO0NJUS5OWVNFOkJBSC5JUV9UT1RBTF9GSU5BTkNFX0xFQVNFUy45OTQuMTQvMDYvMjAyNi4uLlVTRC5IAQAAAOlxAgADAAAAAAB8X0bZ/sneCOTLBtz+yd4IMUNJUS5OWVNFOkJBSC5JUV9DQVNIX1NIQVJF</t>
  </si>
  <si>
    <t>Ljk5Mi4xNC8wNi8yMDI2Li4uVVNELkgBAAAA6XECAAIAAAAIMi4wMDA0NTIBCAAAAAUAAAABMQEAAAAKMjAzODA5MTA3NwMAAAADMTYwAgAAAAQ0MzgxBAAAAAEwBwAAAAk2LzE0LzIwMjYIAAAACTMvMzEvMjAxOAkAAAABMEpHR9n+yd4IkcgI3P7J3gg6Q0lRLk5ZU0U6QkFILklRX1RCVl9TSEFSRV9SRVBPUlRFRC4xMDAwLjE0LzA2LzIwMjYuLi5VU0QuSAEAAADpcQIAAwAAAAAASkdH2f7J3ghgJUTd/sneCDBDSVEuTllTRTpCQUguSVFfVEJWX1NIQVJFLjk5NC4xNC8wNi8yMDI2Li4uVVNELkgBAAAA6XECAAIAAAAJLTcuMzk0NjkxAQgAAAAFAAAAATEBAAAACy0yMDk1MTI2MDkwAwAAAAMxNjACAAAABDQxNTYEAAAAATAHAAAACTYvMTQvMjAyNggAAAAJMy8zMS8yMDIwCQAAAAEwSkdH2f7J3gjkywbc/sneCC9DSVEuTllTRTpCQUguSVFfQlZfU0hBUkUuOTkwLjE0LzA2LzIwMjYuLi5VU0QuSAEAAADpcQIAAgAAAAgyLjc2MDE5NAEIAAAABQAAAAExAQAAAAoxODkxMzQ3ODY5AwAAAAMxNjACAAAABDQwMjAEAAAAATAHAAAACTYvMTQvMjAyNggAAAAJMy8zMS8yMDE2CQAAAAEwSkdH2f7J3gjkywbc/sneCDdDSVEuTllTRTpCQUguSVFfQUxMT1dfRE9VQlRfQUNDVC45OTQuMTQvMDYvMjAyNi4uLlVTRC5IAQAAAOlxAgACAAAABTMuOTg1AQgAAAAFAAAAATEBAAAACy0yMDk1MTI2MDkwAwAAAAMxNjAC</t>
  </si>
  <si>
    <t>AAAABDMwMTIEAAAAATAHAAAACTYvMTQvMjAyNggAAAAJMy8zMS8yMDIwCQAAAAEwSkdH2f7J3gjhPQvc/sneCDJDSVEuTllTRTpCQUguSVFfV09SS0lOR19DQVAuOTkwLjE0LzA2LzIwMjYuLi5VU0QuSAEAAADpcQIAAgAAAAcyNDkuODU4AQgAAAAFAAAAATEBAAAACjE4OTEzNDc4NjkDAAAAAzE2MAIAAAAENDE2NQQAAAABMAcAAAAJNi8xNC8yMDI2CAAAAAkzLzMxLzIwMTYJAAAAATBKR0fZ/sneCAU/Ctz+yd4IPkNJUS5OWVNFOkJBSC5JUV9NSU5PUklUWV9JTlRFUkVTVF9UT1RBTC45OTYuMTQvMDYvMjAyNi4uLlVTRC5IAQAAAOlxAgACAAAABTAuNjUxAQgAAAAFAAAAATEBAAAACy0xOTkyNDAyMDU5AwAAAAMxNjACAAAABDEzMTIEAAAAATAHAAAACTYvMTQvMjAyNggAAAAJMy8zMS8yMDIyCQAAAAEwSkdH2f7J3ggFPwrc/sneCD1DSVEuTllTRTpCQUguSVFfVE9UQUxfREVCVF9OT05fQ1VSUkVOVC45OTIuMTQvMDYvMjAyNi4uLlVTRC5IAQAAAOlxAgACAAAACDE3NTUuNDc5AQgAAAAFAAAAATEBAAAACjIwMzgwOTEwNzcDAAAAAzE2MAIAAAAFMjUyMjQEAAAAATAHAAAACTYvMTQvMjAyNggAAAAJMy8zMS8yMDE4CQAAAAEwSkdH2f7J3giRyAjc/sneCDFDSVEuTllTRTpCQUguSVFfVE9UQUxfREVCVC45OTguMTQvMDYvMjAyNi4uLlVTRC5IAQAAAOlxAgACAAAABDM2MzcBCAAAAAUAAAABMQEAAAAL</t>
  </si>
  <si>
    <t>LTE4ODc3MDQ5OTMDAAAAAzE2MAIAAAAENDE3MwQAAAABMAcAAAAJNi8xNC8yMDI2CAAAAAkzLzMxLzIwMjQJAAAAATBKR0fZ/sneCJHICNz+yd4IK0NJUS5OWVNFOkJBSC5JUV9MQU5ELjk5Ni4xNC8wNi8yMDI2Li4uVVNELkgBAAAA6XECAAMAAAAAAEpHR9n+yd4I4T0L3P7J3ggzQ0lRLk5ZU0U6QkFILklRX0ZJTklTSEVEX0lOVi45OTIuMTQvMDYvMjAyNi4uLlVTRC5IAQAAAOlxAgADAAAAAABKR0fZ/sneCOE9C9z+yd4ILkNJUS5OWVNFOkJBSC5JUV9SQVdfSU5WLjk5OC4xNC8wNi8yMDI2Li4uVVNELkgBAAAA6XECAAMAAAAAAEpHR9n+yd4I4T0L3P7J3gg1Q0lRLk5ZU0U6QkFILklRX0VRVUlUWV9NRVRIT0QuMTAwMC4xNC8wNi8yMDI2Li4uVVNELkgBAAAA6XECAAIAAAADMTg0AQgAAAAFAAAAATEBAAAACy0xODg3NzA0OTc3AwAAAAMxNjACAAAABDMwNjMEAAAAATAHAAAACTYvMTQvMjAyNggAAAAJMy8zMS8yMDI2CQAAAAEwSkdH2f7J3ghgJUTd/sneCD5DSVEuTllTRTpCQUguSVFfTUlOT1JJVFlfSU5UX1JFREVFTV9UT1QuOTk4LjE0LzA2LzIwMjYuLi5VU0QuSAEAAADpcQIAAwAAAAAASkdH2f7J3ggdIRDc/sneCDpDSVEuTllTRTpCQUguSVFfTUlOT1JJVFlfSU5UX1JFREVFTS45OTQuMTQvMDYvMjAyNi4uLlVTRC5IAQAAAOlxAgADAAAAAABKR0fZ/sneCB0hENz+yd4IK0NJUS5OWVNFOkJB</t>
  </si>
  <si>
    <t>SC5JUV9DSVAuMTAwMC4xNC8wNi8yMDI2Li4uVVNELkgBAAAA6XECAAMAAAAAAEpHR9n+yd4IEtdD3f7J3ggvQ0lRLk5ZU0U6QkFILklRX1NPRlRXQVJFLjk5Ni4xNC8wNi8yMDI2Li4uVVNELkgBAAAA6XECAAMAAAAAAEpHR9n+yd4IbqoN3P7J3ggwQ0lRLk5ZU0U6QkFILklRX01BQ0hJTkVSWS45OTAuMTQvMDYvMjAyNi4uLlVTRC5IAQAAAOlxAgACAAAABzIxNC4zNjcBCAAAAAUAAAABMQEAAAAKMTg5MTM0Nzg2OQMAAAADMTYwAgAAAAQzMTE0BAAAAAEwBwAAAAk2LzE0LzIwMjYIAAAACTMvMzEvMjAxNgkAAAABMEpHR9n+yd4I4T0L3P7J3ghKQ0lRLk5ZU0U6QkFILklRX0xJUVVJREFUSU9OX1ZBTFVFX1BSRUZFUlJFRF9SRURFRU0uMTAwMC4xNC8wNi8yMDI2Li4uVVNELkgBAAAA6XECAAMAAAAAAEpHR9n+yd4IuIhD3f7J3ghKQ0lRLk5ZU0U6QkFILklRX0xJUVVJREFUSU9OX1ZBTFVFX1BSRUZFUlJFRF9DT05WRVJULjk5Ni4xNC8wNi8yMDI2Li4uVVNELkgBAAAA6XECAAMAAAAAAEpHR9n+yd4IHSEQ3P7J3ghFQ0lRLk5ZU0U6QkFILklRX1RPVEFMX0dFTkVSQUxfUEFSVE5FUl9JTlRFUkVTVC45OTAuMTQvMDYvMjAyNi4uLlVTRC5IAQAAAOlxAgADAAAAAABKR0fZ/sneCB0hENz+yd4IRENJUS5OWVNFOkJBSC5JUV9HRU5FUkFMX1BBUlRORVJfQ09NTU9OX0VRVUlUWS45OTguMTQvMDYvMjAyNi4u</t>
  </si>
  <si>
    <t>LlVTRC5IAQAAAOlxAgADAAAAAABKR0fZ/sneCB0hENz+yd4IQkNJUS5OWVNFOkJBSC5JUV9ERUZfVEFYX1ZBTFVBVElPTl9BTExPV0FOQ0UuOTkyLjE0LzA2LzIwMjYuLi5VU0QuSAEAAADpcQIAAgAAAAUxLjM3MwEIAAAABQAAAAExAQAAAAoyMDM4MDkxMDc3AwAAAAMxNjACAAAABTQ2MDQ1BAAAAAEwBwAAAAk2LzE0LzIwMjYIAAAACTMvMzEvMjAxOAkAAAABMEpHR9n+yd4IHSEQ3P7J3gg9Q0lRLk5ZU0U6QkFILklRX0xJQUJJTElUSUVTX0ZBSVJfVkFMVUUuOTkwLjE0LzA2LzIwMjYuLi5VU0QuSAEAAADpcQIAAwAAAAAAhisU2f7J3ggNkxLc/sneCDpDSVEuTllTRTpCQUguSVFfTElBQklMSVRJRVNfTEVWRUxfMi45OTguMTQvMDYvMjAyNi4uLlVTRC5IAQAAAOlxAgACAAAABDMzNzcAhisU2f7J3ggNkxLc/sneCDpDSVEuTllTRTpCQUguSVFfTElBQklMSVRJRVNfTEVWRUxfMS45OTIuMTQvMDYvMjAyNi4uLlVTRC5IAQAAAOlxAgADAAAAAACGKxTZ/sneCA2TEtz+yd4INkNJUS5OWVNFOkJBSC5JUV9BU1NFVFNfTEVWRUxfMy4xMDAwLjE0LzA2LzIwMjYuLi5VU0QuSAEAAADpcQIAAwAAAAAASkdH2f7J3gi4iEPd/sneCDVDSVEuTllTRTpCQUguSVFfQVNTRVRTX0xFVkVMXzIuOTk0LjE0LzA2LzIwMjYuLi5VU0QuSAEAAADpcQIAAwAAAAAASkdH2f7J3ggNkxLc/sneCDxDSVEuTllTRTpCQUguSVFf</t>
  </si>
  <si>
    <t>RklOX0RJVl9MVF9ERUJUX1RPVEFMLjk5Mi4xNC8wNi8yMDI2Li4uVVNELkgBAAAA6XECAAMAAAAAAIYrFNn+yd4IDZMS3P7J3ghGQ0lRLk5ZU0U6QkFILklRX0ZBSVJfVkFMVUVfQ0hBTkdFX0lOQ0xfRUFSTklOR1MuOTk2LjE0LzA2LzIwMjYuLi5VU0QuSAEAAADpcQIAAwAAAAAAhisU2f7J3ggNkxLc/sneCDxDSVEuTllTRTpCQUguSVFfUkVTVFJJQ1RFRF9DQVNIX1RPVEFMLjk5NC4xNC8wNi8yMDI2Li4uVVNELkgBAAAA6XECAAMAAAAAAIYrFNn+yd4I+fUU3P7J3gg5Q0lRLk5ZU0U6QkFILklRX0RFQlRfRVFVSVZfTkVUX1BCTy45OTYuMTQvMDYvMjAyNi4uLlVTRC5IAQAAAOlxAgADAAAAAACGKxTZ/sneCPn1FNz+yd4IOUNJUS5OWVNFOkJBSC5JUV9GSU5fRElWX0NBU0hfRVFVSVYuOTkyLjE0LzA2LzIwMjYuLi5VU0QuSAEAAADpcQIAAwAAAAAAhisU2f7J3ggNkxLc/sneCDxDSVEuTllTRTpCQUguSVFfRklOX0RJVl9TVF9ERUJUX1RPVEFMLjk5OC4xNC8wNi8yMDI2Li4uVVNELkgBAAAA6XECAAMAAAAAAIYrFNn+yd4IDZMS3P7J3ghCQ0lRLk5ZU0U6QkFILklRX0RFUklWQVRJVkVfTElBQl9OT05fQ1VSUkVOVC45OTYuMTQvMDYvMjAyNi4uLlVTRC5IAQAAAOlxAgADAAAAAACGKxTZ/sneCEdnF9z+yd4IOkNJUS5OWVNFOkJBSC5JUV9MVF9ERUJUX0RFUklWQVRJVkVTLjk5Mi4xNC8wNi8yMDI2</t>
  </si>
  <si>
    <t>Li4uVVNELkgBAAAA6XECAAMAAAAAAIYrFNn+yd4IR2cX3P7J3gg6Q0lRLk5ZU0U6QkFILklRX1NUX0RFQlRfREVSSVZBVElWRVMuOTk4LjE0LzA2LzIwMjYuLi5VU0QuSAEAAADpcQIAAwAAAAAAhisU2f7J3gj59RTc/sneCD1DSVEuTllTRTpCQUguSVFfQ09OVElOR0VOVF9MSUFCSUxJVElFUy45OTQuMTQvMDYvMjAyNi4uLlVTRC5IAQAAAOlxAgACAAAAAzkuNwEIAAAABQAAAAExAQAAAAstMjA5NTEyNjA5MAMAAAADMTYwAgAAAAUyNDY3MQQAAAABMAcAAAAJNi8xNC8yMDI2CAAAAAkzLzMxLzIwMjAJAAAAATCGKxTZ/sneCPn1FNz+yd4IO0NJUS5OWVNFOkJBSC5JUV9UT1RBTF9ERUJUX0VYQ0xfRklOLjEwMDAuMTQvMDYvMjAyNi4uLlVTRC5IAQAAAOlxAgACAAAABDQxMjIBCAAAAAUAAAABMQEAAAALLTE4ODc3MDQ5NzcDAAAAAzE2MAIAAAAFMjE4NjAEAAAAATAHAAAACTYvMTQvMjAyNggAAAAJMy8zMS8yMDI2CQAAAAEwhisU2f7J3ggq+EDd/sneCDxDSVEuTllTRTpCQUguSVFfQURWQU5DRVNfRk9SX1NVUFBMSUVTLjk5OC4xNC8wNi8yMDI2Li4uVVNELkgBAAAA6XECAAMAAAAAAIYrFNn+yd4Ils4Z3P7J3gg1Q0lRLk5ZU0U6QkFILklRX0FDQ1VNX0FNT1JUX0dXLjk5NC4xNC8wNi8yMDI2Li4uVVNELkgBAAAA6XECAAMAAAAAAIYrFNn+yd4IR2cX3P7J3ghAQ0lRLk5ZU0U6QkFILklRX0FDQ1VN</t>
  </si>
  <si>
    <t>X0FNT1JUX0lOVEFOX0FTU0VUUy4xMDAwLjE0LzA2LzIwMjYuLi5VU0QuSAEAAADpcQIAAgAAAAQtMzY1AQgAAAAFAAAAATEBAAAACy0xODg3NzA0OTc3AwAAAAMxNjACAAAABTI0MzMxBAAAAAEwBwAAAAk2LzE0LzIwMjYIAAAACTMvMzEvMjAyNgkAAAABMIYrFNn+yd4IKvhA3f7J3gg7Q0lRLk5ZU0U6QkFILklRX0RFUklWQVRJVkVfQVNTRVRTX0xULjk5Ni4xNC8wNi8yMDI2Li4uVVNELkgBAAAA6XECAAMAAAAAAIYrFNn+yd4IR2cX3P7J3ghAQ0lRLk5ZU0U6QkFILklRX0RFUklWQVRJVkVfQVNTRVRTX0NVUlJFTlQuOTkwLjE0LzA2LzIwMjYuLi5VU0QuSAEAAADpcQIAAwAAAAAAhisU2f7J3ghHZxfc/sneCDpDSVEuTllTRTpCQUguSVFfSU5URVJDT01QQU5ZX05PTl9DTC45OTYuMTQvMDYvMjAyNi4uLlVTRC5IAQAAAOlxAgADAAAAAACGKxTZ/sneCJbOGdz+yd4INkNJUS5OWVNFOkJBSC5JUV9JTlRFUkNPTVBBTllfQ0wuOTkwLjE0LzA2LzIwMjYuLi5VU0QuSAEAAADpcQIAAwAAAAAAhisU2f7J3giWzhnc/sneCDBDSVEuTllTRTpCQUguSVFfSU5UQU5fTkVULjk5OC4xNC8wNi8yMDI2Li4uVVNELkgBAAAA6XECAAIAAAADNjAxAQgAAAAFAAAAATEBAAAACy0xODg3NzA0OTkzAwAAAAMxNjACAAAABTQ4OTYyBAAAAAEwBwAAAAk2LzE0LzIwMjYIAAAACTMvMzEvMjAyNAkAAAABMIYrFNn+yd4Ils4Z</t>
  </si>
  <si>
    <t>3P7J3ggtQ0lRLk5ZU0U6QkFILklRX0dXX05FVC45OTIuMTQvMDYvMjAyNi4uLlVTRC5IAQAAAOlxAgADAAAAAACGKxTZ/sneCJbOGdz+yd4IOkNJUS5OWVNFOkJBSC5JUV9UT1RBTF9SRVZfRU1QTE9ZRUUuMTAwMC4xNC8wNi8yMDI2Li4uVVNELkgBAAAA6XECAAIAAAAHMzU2LjA5NQEIAAAABQAAAAExAQAAAAstMTg4NzcwNDk3NwMAAAADMTYwAgAAAAQ0MTIzBAAAAAEwBwAAAAk2LzE0LzIwMjYIAAAACTMvMzEvMjAyNgkAAAABMB2mDNn+yd4IKvhA3f7J3ghPQ0lRLk5ZU0U6QkFILklRX0ZJTkFOQ0lOR19PQkxJR19DVVJSRU5UX0VYQ0xfT1BFUl9MRUFTRVMuOTk3LjE0LzA2LzIwMjYuLi5VU0QuSAEAAADpcQIAAgAAAAU0MS4yNQEIAAAABQAAAAExAQAAAAstMTk0MTU0Njg3MQMAAAADMTYwAgAAAAU0ODk4MAQAAAABMAcAAAAJNi8xNC8yMDI2CAAAAAkzLzMxLzIwMjMJAAAAATB8X0bZ/sneCOTLBtz+yd4IM0NJUS5OWVNFOkJBSC5JUV9UT1RBTF9MRUFTRVMuOTkxLjE0LzA2LzIwMjYuLi5VU0QuSAEAAADpcQIAAwAAAAAAfF9G2f7J3gjkywbc/sneCEhDSVEuTllTRTpCQUguSVFfTFRfUE9SVElPTl9PUEVSX0xFQVNFX0xJQUJJTElUSUVTLjk5Ny4xNC8wNi8yMDI2Li4uVVNELkgBAAAA6XECAAIAAAAHMTk4LjE0NAEIAAAABQAAAAExAQAAAAstMTk0MTU0Njg3MQMAAAADMTYwAgAAAAU0ODM4MwQA</t>
  </si>
  <si>
    <t>AAABMAcAAAAJNi8xNC8yMDI2CAAAAAkzLzMxLzIwMjMJAAAAATB8X0bZ/sneCOTLBtz+yd4IOUNJUS5OWVNFOkJBSC5JUV9UQlZfU0hBUkVfUkVQT1JURUQuOTk5LjE0LzA2LzIwMjYuLi5VU0QuSAEAAADpcQIAAwAAAAAASkdH2f7J3ghgJUTd/sneCDBDSVEuTllTRTpCQUguSVFfVEJWX1NIQVJFLjk5My4xNC8wNi8yMDI2Li4uVVNELkgBAAAA6XECAAIAAAAJLTguNTE4NjI2AQgAAAAFAAAAATEBAAAACjIwOTkwODcxMzMDAAAAAzE2MAIAAAAENDE1NgQAAAABMAcAAAAJNi8xNC8yMDI2CAAAAAkzLzMxLzIwMTkJAAAAATBKR0fZ/sneCOTLBtz+yd4IL0NJUS5OWVNFOkJBSC5JUV9CVl9TSEFSRS45OTkuMTQvMDYvMjAyNi4uLlVTRC5IAQAAAOlxAgACAAAACDguMDMxNzc0AQgAAAAFAAAAATEBAAAACy0xODg3NzA1MDAxAwAAAAMxNjACAAAABDQwMjAEAAAAATAHAAAACTYvMTQvMjAyNggAAAAJMy8zMS8yMDI1CQAAAAEwSkdH2f7J3ghgJUTd/sneCENDSVEuTllTRTpCQUguSVFfVE9UQUxfREVCVF9FWENMX09QRVJfTEVBU0VTLjIwMDAuMTQvMDYvMjAyNi4uLlVTRC5IAQAAAOlxAgACAAAABDM5NDABCAAAAAUAAAABMQEAAAALLTE4ODc3MDQzNDEDAAAAAzE2MAIAAAAFNDg5ODIEAAAAATAHAAAACTYvMTQvMjAyNggAAAAJMy8zMS8yMDI2CQAAAAEwfF9G2f7J3gjkywbc/sneCDFDSVEuTllTRTpCQUgu</t>
  </si>
  <si>
    <t>SVFfVE9UQUxfQ0FQLjIwMDAuMTQvMDYvMjAyNi4uLlVTRC5IAQAAAOlxAgACAAAABDUyMjcBCAAAAAUAAAABMQEAAAALLTE4ODc3MDQzNDEDAAAAAzE2MAIAAAAENDE3NQQAAAABMAcAAAAJNi8xNC8yMDI2CAAAAAkzLzMxLzIwMjYJAAAAATBKR0fZ/sneCAU/Ctz+yd4IPkNJUS5OWVNFOkJBSC5JUV9NSU5PUklUWV9JTlRFUkVTVF9UT1RBTC45OTUuMTQvMDYvMjAyNi4uLlVTRC5IAQAAAOlxAgADAAAAAABKR0fZ/sneCAU/Ctz+yd4IPkNJUS5OWVNFOkJBSC5JUV9UT1RBTF9ERUJUX05PTl9DVVJSRU5ULjIwMDAuMTQvMDYvMjAyNi4uLlVTRC5IAQAAAOlxAgACAAAABDQwNjABCAAAAAUAAAABMQEAAAALLTE4ODc3MDQzNDEDAAAAAzE2MAIAAAAFMjUyMjQEAAAAATAHAAAACTYvMTQvMjAyNggAAAAJMy8zMS8yMDI2CQAAAAEwSkdH2f7J3giRyAjc/sneCDFDSVEuTllTRTpCQUguSVFfVE9UQUxfREVCVC45OTcuMTQvMDYvMjAyNi4uLlVTRC5IAQAAAOlxAgACAAAACDMwNjIuODk2AQgAAAAFAAAAATEBAAAACy0xOTQxNTQ2ODcxAwAAAAMxNjACAAAABDQxNzMEAAAAATAHAAAACTYvMTQvMjAyNggAAAAJMy8zMS8yMDIzCQAAAAEwSkdH2f7J3giRyAjc/sneCDFDSVEuTllTRTpCQUguSVFfQ0FTSF9TSEFSRS45OTEuMTQvMDYvMjAyNi4uLlVTRC5IAQAAAOlxAgACAAAACDEuNDYwMjc1AQgAAAAFAAAAATEB</t>
  </si>
  <si>
    <t>AAAACjE5NjU3NzI0MjIDAAAAAzE2MAIAAAAENDM4MQQAAAABMAcAAAAJNi8xNC8yMDI2CAAAAAkzLzMxLzIwMTcJAAAAATBKR0fZ/sneCJHICNz+yd4IM0NJUS5OWVNFOkJBSC5JUV9GSU5JU0hFRF9JTlYuOTkxLjE0LzA2LzIwMjYuLi5VU0QuSAEAAADpcQIAAwAAAAAASkdH2f7J3gjhPQvc/sneCC5DSVEuTllTRTpCQUguSVFfUkFXX0lOVi45OTcuMTQvMDYvMjAyNi4uLlVTRC5IAQAAAOlxAgADAAAAAABKR0fZ/sneCOE9C9z+yd4ILENJUS5OWVNFOkJBSC5JUV9MSUZPUi45OTEuMTQvMDYvMjAyNi4uLlVTRC5IAQAAAOlxAgADAAAAAABKR0fZ/sneCOE9C9z+yd4INENJUS5OWVNFOkJBSC5JUV9FUVVJVFlfTUVUSE9ELjk5OS4xNC8wNi8yMDI2Li4uVVNELkgBAAAA6XECAAIAAAABNQEIAAAABQAAAAExAQAAAAstMTg4NzcwNTAwMQMAAAADMTYwAgAAAAQzMDYzBAAAAAEwBwAAAAk2LzE0LzIwMjYIAAAACTMvMzEvMjAyNQkAAAABMEpHR9n+yd4IYCVE3f7J3gg3Q0lRLk5ZU0U6QkFILklRX0FMTE9XX0RPVUJUX0FDQ1QuOTkzLjE0LzA2LzIwMjYuLi5VU0QuSAEAAADpcQIAAgAAAAYxMC42NzkBCAAAAAUAAAABMQEAAAAKMjA5OTA4NzEzMwMAAAADMTYwAgAAAAQzMDEyBAAAAAEwBwAAAAk2LzE0LzIwMjYIAAAACTMvMzEvMjAxOQkAAAABMEpHR9n+yd4I4T0L3P7J3gg6Q0lRLk5ZU0U6QkFILklRX01J</t>
  </si>
  <si>
    <t>Tk9SSVRZX0lOVF9SRURFRU0uOTkzLjE0LzA2LzIwMjYuLi5VU0QuSAEAAADpcQIAAwAAAAAASkdH2f7J3ggdIRDc/sneCCpDSVEuTllTRTpCQUguSVFfQ0lQLjk5OS4xNC8wNi8yMDI2Li4uVVNELkgBAAAA6XECAAMAAAAAAEpHR9n+yd4IEtdD3f7J3gg9Q0lRLk5ZU0U6QkFILklRX05BVFVSQUxfUkVTT1VSQ0VTX0NPU1QuOTkzLjE0LzA2LzIwMjYuLi5VU0QuSAEAAADpcQIAAwAAAAAASkdH2f7J3ghuqg3c/sneCDFDSVEuTllTRTpCQUguSVFfQlVJTERJTkdTLjIwMDAuMTQvMDYvMjAyNi4uLlVTRC5IAQAAAOlxAgADAAAAAABKR0fZ/sneCOE9C9z+yd4IK0NJUS5OWVNFOkJBSC5JUV9MQU5ELjk5NS4xNC8wNi8yMDI2Li4uVVNELkgBAAAA6XECAAMAAAAAAEpHR9n+yd4I4T0L3P7J3ghKQ0lRLk5ZU0U6QkFILklRX0xJUVVJREFUSU9OX1ZBTFVFX1BSRUZFUlJFRF9DT05WRVJULjk5NS4xNC8wNi8yMDI2Li4uVVNELkgBAAAA6XECAAMAAAAAAEpHR9n+yd4IHSEQ3P7J3ghJQ0lRLk5ZU0U6QkFILklRX0dFTkVSQUxfUEFSVE5FUl9NSU5PUklUWV9JTlRFUkVTVC4yMDAwLjE0LzA2LzIwMjYuLi5VU0QuSAEAAADpcQIAAwAAAAAASkdH2f7J3ggdIRDc/sneCEJDSVEuTllTRTpCQUguSVFfR0VORVJBTF9QQVJUTkVSX1BSRUZfRVFVSVRZLjk5NS4xNC8wNi8yMDI2Li4uVVNELkgBAAAA6XECAAMAAAAAAEpH</t>
  </si>
  <si>
    <t>R9n+yd4IHSEQ3P7J3ghCQ0lRLk5ZU0U6QkFILklRX0RFRl9UQVhfVkFMVUFUSU9OX0FMTE9XQU5DRS45OTEuMTQvMDYvMjAyNi4uLlVTRC5IAQAAAOlxAgADAAAAAABKR0fZ/sneCB0hENz+yd4IPkNJUS5OWVNFOkJBSC5JUV9NSU5PUklUWV9JTlRfUkVERUVNX1RPVC45OTcuMTQvMDYvMjAyNi4uLlVTRC5IAQAAAOlxAgADAAAAAABKR0fZ/sneCB0hENz+yd4IOkNJUS5OWVNFOkJBSC5JUV9MSUFCSUxJVElFU19MRVZFTF8yLjk5Ny4xNC8wNi8yMDI2Li4uVVNELkgBAAAA6XECAAIAAAAGMjY5Mi43AIYrFNn+yd4IDZMS3P7J3gg6Q0lRLk5ZU0U6QkFILklRX0xJQUJJTElUSUVTX0xFVkVMXzEuOTkxLjE0LzA2LzIwMjYuLi5VU0QuSAEAAADpcQIAAwAAAAAAhisU2f7J3ggNkxLc/sneCEdDSVEuTllTRTpCQUguSVFfQVNTRVRTX05FVFRJTkdfT1RIRVJfQURKVVNUTUVOVFMuOTk3LjE0LzA2LzIwMjYuLi5VU0QuSAEAAADpcQIAAwAAAAAASkdH2f7J3ggNkxLc/sneCDVDSVEuTllTRTpCQUguSVFfQVNTRVRTX0xFVkVMXzIuOTkzLjE0LzA2LzIwMjYuLi5VU0QuSAEAAADpcQIAAgAAAAUyLjQwNABKR0fZ/sneCA2TEtz+yd4ISUNJUS5OWVNFOkJBSC5JUV9MSVFVSURBVElPTl9WQUxVRV9QUkVGRVJSRURfUkVERUVNLjk5OS4xNC8wNi8yMDI2Li4uVVNELkgBAAAA6XECAAMAAAAAAEpHR9n+yd4IuIhD3f7J</t>
  </si>
  <si>
    <t>3ghGQ0lRLk5ZU0U6QkFILklRX0ZBSVJfVkFMVUVfQ0hBTkdFX0lOQ0xfRUFSTklOR1MuOTk1LjE0LzA2LzIwMjYuLi5VU0QuSAEAAADpcQIAAwAAAAAAhisU2f7J3ggNkxLc/sneCE1DSVEuTllTRTpCQUguSVFfTElBQklMSVRJRVNfTkVUVElOR19PVEhFUl9BREpVU1RNRU5UUy4yMDAwLjE0LzA2LzIwMjYuLi5VU0QuSAEAAADpcQIAAwAAAAAAhisU2f7J3ggNkxLc/sneCD1DSVEuTllTRTpCQUguSVFfREVCVF9FUVVJVl9PUEVSX0xFQVNFLjIwMDAuMTQvMDYvMjAyNi4uLlVTRC5IAQAAAOlxAgACAAAAAzYwMAEIAAAABQAAAAExAQAAAAstMTg4NzcwNDM0MQMAAAADMTYwAgAAAAUyMTY3MQQAAAABMAcAAAAJNi8xNC8yMDI2CAAAAAkzLzMxLzIwMjYJAAAAATCGKxTZ/sneCPn1FNz+yd4IOUNJUS5OWVNFOkJBSC5JUV9ERUJUX0VRVUlWX05FVF9QQk8uOTk1LjE0LzA2LzIwMjYuLi5VU0QuSAEAAADpcQIAAwAAAAAAhisU2f7J3gj59RTc/sneCDpDSVEuTllTRTpCQUguSVFfRklOX0RJVl9DQVNIX0VRVUlWLjIwMDAuMTQvMDYvMjAyNi4uLlVTRC5IAQAAAOlxAgADAAAAAACGKxTZ/sneCA2TEtz+yd4IPENJUS5OWVNFOkJBSC5JUV9GSU5fRElWX1NUX0RFQlRfVE9UQUwuOTk3LjE0LzA2LzIwMjYuLi5VU0QuSAEAAADpcQIAAwAAAAAAhisU2f7J3ggNkxLc/sneCDxDSVEuTllTRTpCQUguSVFfRklOX0RJ</t>
  </si>
  <si>
    <t>Vl9MVF9ERUJUX1RPVEFMLjk5MS4xNC8wNi8yMDI2Li4uVVNELkgBAAAA6XECAAMAAAAAAIYrFNn+yd4IDZMS3P7J3gg6Q0lRLk5ZU0U6QkFILklRX0xUX0RFQlRfREVSSVZBVElWRVMuOTkxLjE0LzA2LzIwMjYuLi5VU0QuSAEAAADpcQIAAwAAAAAAhisU2f7J3ghHZxfc/sneCDpDSVEuTllTRTpCQUguSVFfU1RfREVCVF9ERVJJVkFUSVZFUy45OTcuMTQvMDYvMjAyNi4uLlVTRC5IAQAAAOlxAgADAAAAAACGKxTZ/sneCPn1FNz+yd4IO0NJUS5OWVNFOkJBSC5JUV9XQVJSQU5UWV9MSUFCSUxJVElFUy45OTEuMTQvMDYvMjAyNi4uLlVTRC5IAQAAAOlxAgADAAAAAACGKxTZ/sneCPn1FNz+yd4IOkNJUS5OWVNFOkJBSC5JUV9UT1RBTF9ERUJUX0VYQ0xfRklOLjk5OS4xNC8wNi8yMDI2Li4uVVNELkgBAAAA6XECAAIAAAAENDIxOQEIAAAABQAAAAExAQAAAAstMTg4NzcwNTAwMQMAAAADMTYwAgAAAAUyMTg2MAQAAAABMAcAAAAJNi8xNC8yMDI2CAAAAAkzLzMxLzIwMjUJAAAAATCGKxTZ/sneCCr4QN3+yd4IPENJUS5OWVNFOkJBSC5JUV9SRVNUUklDVEVEX0NBU0hfVE9UQUwuOTkzLjE0LzA2LzIwMjYuLi5VU0QuSAEAAADpcQIAAwAAAAAAhisU2f7J3gj59RTc/sneCDVDSVEuTllTRTpCQUguSVFfQUNDVU1fQU1PUlRfR1cuOTkzLjE0LzA2LzIwMjYuLi5VU0QuSAEAAADpcQIAAwAAAAAAhisU2f7J3ghH</t>
  </si>
  <si>
    <t>Zxfc/sneCD9DSVEuTllTRTpCQUguSVFfQUNDVU1fQU1PUlRfSU5UQU5fQVNTRVRTLjk5OS4xNC8wNi8yMDI2Li4uVVNELkgBAAAA6XECAAIAAAAELTMwNQEIAAAABQAAAAExAQAAAAstMTg4NzcwNTAwMQMAAAADMTYwAgAAAAUyNDMzMQQAAAABMAcAAAAJNi8xNC8yMDI2CAAAAAkzLzMxLzIwMjUJAAAAATCGKxTZ/sneCCr4QN3+yd4IOUNJUS5OWVNFOkJBSC5JUV9HUk9TU19JTlRBTl9BU1NFVFMuOTkzLjE0LzA2LzIwMjYuLi5VU0QuSAEAAADpcQIAAgAAAAczMDYuMDE0AQgAAAAFAAAAATEBAAAACjIwOTkwODcxMzMDAAAAAzE2MAIAAAAFMjQyOTMEAAAAATAHAAAACTYvMTQvMjAyNggAAAAJMy8zMS8yMDE5CQAAAAEwhisU2f7J3ghHZxfc/sneCEFDSVEuTllTRTpCQUguSVFfREVSSVZBVElWRV9UUkFESU5HX0FTU0VUUy4yMDAwLjE0LzA2LzIwMjYuLi5VU0QuSAEAAADpcQIAAwAAAAAAhisU2f7J3ghHZxfc/sneCEJDSVEuTllTRTpCQUguSVFfREVSSVZBVElWRV9MSUFCX05PTl9DVVJSRU5ULjk5NS4xNC8wNi8yMDI2Li4uVVNELkgBAAAA6XECAAMAAAAAAIYrFNn+yd4IR2cX3P7J3gg6Q0lRLk5ZU0U6QkFILklRX0lOVEVSQ09NUEFOWV9OT05fQ0wuOTk1LjE0LzA2LzIwMjYuLi5VU0QuSAEAAADpcQIAAwAAAAAAhisU2f7J3giWzhnc/sneCDtDSVEuTllTRTpCQUguSVFfSU5URVJDT01QQU5ZX05P</t>
  </si>
  <si>
    <t>Tl9DQS4yMDAwLjE0LzA2LzIwMjYuLi5VU0QuSAEAAADpcQIAAwAAAAAAhisU2f7J3giWzhnc/sneCDZDSVEuTllTRTpCQUguSVFfSU5URVJDT01QQU5ZX0NBLjk5NS4xNC8wNi8yMDI2Li4uVVNELkgBAAAA6XECAAMAAAAAAIYrFNn+yd4Ils4Z3P7J3ggtQ0lRLk5ZU0U6QkFILklRX0dXX05FVC45OTEuMTQvMDYvMjAyNi4uLlVTRC5IAQAAAOlxAgADAAAAAACGKxTZ/sneCJbOGdz+yd4IPENJUS5OWVNFOkJBSC5JUV9BRFZBTkNFU19GT1JfU1VQUExJRVMuOTk3LjE0LzA2LzIwMjYuLi5VU0QuSAEAAADpcQIAAwAAAAAAhisU2f7J3giWzhnc/sneCDlDSVEuTllTRTpCQUguSVFfVE9UQUxfUkVWX0VNUExPWUVFLjk5OS4xNC8wNi8yMDI2Li4uVVNELkgBAAAA6XECAAIAAAAHMzM0LjYzNgEIAAAABQAAAAExAQAAAAstMTg4NzcwNTAwMQMAAAADMTYwAgAAAAQ0MTIzBAAAAAEwBwAAAAk2LzE0LzIwMjYIAAAACTMvMzEvMjAyNQkAAAABMB2mDNn+yd4IKvhA3f7J3gg6Q0lRLk5ZU0U6QkFILklRX0lOQ19UQVhfUEFZX0NVUlJFTlQuOTkyLjE0LzA2LzIwMjYuLi5VU0QuSAEAAADpcQIAAwAAAAAA2V2B2f7J3ghvrvzb/sneCDtDSVEuTllTRTpCQUguSVFfRklOX0RJVl9ERUJUX0NVUlJFTlQuOTk4LjE0LzA2LzIwMjYuLi5VU0QuSAEAAADpcQIAAwAAAAAA2V2B2f7J3ghvrvzb/sneCDhDSVEuTllTRTpCQUgu</t>
  </si>
  <si>
    <t>SVFfQ1VSUkVOVF9QT1JUX0RFQlQuOTk0LjE0LzA2LzIwMjYuLi5VU0QuSAEAAADpcQIAAgAAAAcxOTYuNjk2AQgAAAAFAAAAATEBAAAACy0yMDk1MTI2MDkwAwAAAAMxNjACAAAABDEyOTcEAAAAATAHAAAACTYvMTQvMjAyNggAAAAJMy8zMS8yMDIwCQAAAAEw2V2B2f7J3ghvrvzb/sneCDRDSVEuTllTRTpCQUguSVFfVU5FQVJOX1JFVl9MVC45OTQuMTQvMDYvMjAyNi4uLlVTRC5IAQAAAOlxAgADAAAAAADZXYHZ/sneCGUX/9v+yd4IN0NJUS5OWVNFOkJBSC5JUV9GSU5fRElWX0RFQlRfTFQuMTAwMC4xNC8wNi8yMDI2Li4uVVNELkgBAAAA6XECAAMAAAAAANldgdn+yd4I+9ZF3f7J3gguQ0lRLk5ZU0U6QkFILklRX0xUX0RFQlQuOTk2LjE0LzA2LzIwMjYuLi5VU0QuSAEAAADpcQIAAgAAAAgyNzMxLjczMgEIAAAABQAAAAExAQAAAAstMTk5MjQwMjA1OQMAAAADMTYwAgAAAAQxMDQ5BAAAAAEwBwAAAAk2LzE0LzIwMjYIAAAACTMvMzEvMjAyMgkAAAABMNldgdn+yd4IZRf/2/7J3ggvQ0lRLk5ZU0U6QkFILklRX1RPVEFMX0NMLjk5MC4xNC8wNi8yMDI2Li4uVVNELkgBAAAA6XECAAIAAAAHOTM5LjkxMwEIAAAABQAAAAExAQAAAAoxODkxMzQ3ODY5AwAAAAMxNjACAAAABDEwMDkEAAAAATAHAAAACTYvMTQvMjAyNggAAAAJMy8zMS8yMDE2CQAAAAEw2V2B2f7J3ghlF//b/sneCDtDSVEuTllTRTpCQUgu</t>
  </si>
  <si>
    <t>SVFfREVGX1RBWF9MSUFCX0NVUlJFTlQuOTk2LjE0LzA2LzIwMjYuLi5VU0QuSAEAAADpcQIAAwAAAAAA2V2B2f7J3ghvrvzb/sneCDJDSVEuTllTRTpCQUguSVFfUFJFRl9FUVVJVFkuOTk2LjE0LzA2LzIwMjYuLi5VU0QuSAEAAADpcQIAAwAAAAAAfF9G2f7J3ghqhgHc/sneCDFDSVEuTllTRTpCQUguSVFfUFJFRl9PVEhFUi45OTAuMTQvMDYvMjAyNi4uLlVTRC5IAQAAAOlxAgADAAAAAAB8X0bZ/sneCGqGAdz+yd4IMkNJUS5OWVNFOkJBSC5JUV9QUkVGX1JFREVFTS45OTguMTQvMDYvMjAyNi4uLlVTRC5IAQAAAOlxAgADAAAAAADZXYHZ/sneCGUX/9v+yd4IMUNJUS5OWVNFOkJBSC5JUV9UT1RBTF9MSUFCLjk5Mi4xNC8wNi8yMDI2Li4uVVNELkgBAAAA6XECAAIAAAAIMzA0NC4xMjgBCAAAAAUAAAABMQEAAAAKMjAzODA5MTA3NwMAAAADMTYwAgAAAAQxMjc2BAAAAAEwBwAAAAk2LzE0LzIwMjYIAAAACTMvMzEvMjAxOAkAAAABMNldgdn+yd4IZRf/2/7J3gg2Q0lRLk5ZU0U6QkFILklRX0RFRl9UQVhfTElBQl9MVC45OTguMTQvMDYvMjAyNi4uLlVTRC5IAQAAAOlxAgADAAAAAADZXYHZ/sneCGUX/9v+yd4IOENJUS5OWVNFOkJBSC5JUV9UT1RBTF9MSUFCX0VRVUlUWS45OTguMTQvMDYvMjAyNi4uLlVTRC5IAQAAAOlxAgACAAAABDY1NjQBCAAAAAUAAAABMQEAAAALLTE4ODc3MDQ5OTMDAAAAAzE2</t>
  </si>
  <si>
    <t>MAIAAAAEMTAxMwQAAAABMAcAAAAJNi8xNC8yMDI2CAAAAAkzLzMxLzIwMjQJAAAAATB8X0bZ/sneCJYkBNz+yd4IM0NJUS5OWVNFOkJBSC5JUV9UT1RBTF9FUVVJVFkuOTkyLjE0LzA2LzIwMjYuLi5VU0QuSAEAAADpcQIAAgAAAAc1NjIuNDkxAQgAAAAFAAAAATEBAAAACjIwMzgwOTEwNzcDAAAAAzE2MAIAAAAEMTI3NQQAAAABMAcAAAAJNi8xNC8yMDI2CAAAAAkzLzMxLzIwMTgJAAAAATB8X0bZ/sneCGqGAdz+yd4INENJUS5OWVNFOkJBSC5JUV9PVEhFUl9FUVVJVFkuMTAwMC4xNC8wNi8yMDI2Li4uVVNELkgBAAAA6XECAAIAAAADLTIzAQgAAAAFAAAAATEBAAAACy0xODg3NzA0OTc3AwAAAAMxNjACAAAABDEwMjgEAAAAATAHAAAACTYvMTQvMjAyNggAAAAJMy8zMS8yMDI2CQAAAAEwfF9G2f7J3ghgJUTd/sneCC9DSVEuTllTRTpCQUguSVFfVFJFQVNVUlkuOTk0LjE0LzA2LzIwMjYuLi5VU0QuSAEAAADpcQIAAgAAAAgtODk4LjA5NQEIAAAABQAAAAExAQAAAAstMjA5NTEyNjA5MAMAAAADMTYwAgAAAAQxMjQ4BAAAAAEwBwAAAAk2LzE0LzIwMjYIAAAACTMvMzEvMjAyMAkAAAABMHxfRtn+yd4IaoYB3P7J3ggsQ0lRLk5ZU0U6QkFILklRX0FQSUMuMTAwMC4xNC8wNi8yMDI2Li4uVVNELkgBAAAA6XECAAIAAAAEMTE1NQEIAAAABQAAAAExAQAAAAstMTg4NzcwNDk3NwMAAAADMTYwAgAAAAQxMDg0</t>
  </si>
  <si>
    <t>BAAAAAEwBwAAAAk2LzE0LzIwMjYIAAAACTMvMzEvMjAyNgkAAAABMHxfRtn+yd4IYCVE3f7J3gg/Q0lRLk5ZU0U6QkFILklRX1JVQV9PUEVSQVRJTkdfTEVBU0VfTkVULjEwMDAuMTQvMDYvMjAyNi4uLlVTRC5IAQAAAOlxAgADAAAAAAB8X0bZ/sneCGAlRN3+yd4IRENJUS5OWVNFOkJBSC5JUV9SVUFfT1BFUkFUSU5HX0xFQVNFX0FDQ1VNX0RFUC45OTQuMTQvMDYvMjAyNi4uLlVTRC5IAQAAAOlxAgADAAAAAAB8X0bZ/sneCEuMBdz+yd4IPENJUS5OWVNFOkJBSC5JUV9SVUFfQ0FQSVRBTF9MRUFTRV9ORVQuOTkwLjE0LzA2LzIwMjYuLi5VU0QuSAEAAADpcQIAAwAAAAAAfF9G2f7J3ggBPgXc/sneCD5DSVEuTllTRTpCQUguSVFfUlVBX0NBUElUQUxfTEVBU0VfR1JPU1MuOTk2LjE0LzA2LzIwMjYuLi5VU0QuSAEAAADpcQIAAwAAAAAAfF9G2f7J3gju2wTc/sneCC5DSVEuTllTRTpCQUguSVFfUlVBX05FVC45OTAuMTQvMDYvMjAyNi4uLlVTRC5IAQAAAOlxAgADAAAAAAB8X0bZ/sneCDN3BNz+yd4IM0NJUS5OWVNFOkJBSC5JUV9UT1RBTF9MRUFTRVMuOTkwLjE0LzA2LzIwMjYuLi5VU0QuSAEAAADpcQIAAwAAAAAAfF9G2f7J3gjkywbc/sneCEhDSVEuTllTRTpCQUguSVFfTFRfUE9SVElPTl9PUEVSX0xFQVNFX0xJQUJJTElUSUVTLjk5Ni4xNC8wNi8yMDI2Li4uVVNELkgBAAAA6XECAAIAAAAGMjQ3</t>
  </si>
  <si>
    <t>LjA3AQgAAAAFAAAAATEBAAAACy0xOTkyNDAyMDU5AwAAAAMxNjACAAAABTQ4MzgzBAAAAAEwBwAAAAk2LzE0LzIwMjYIAAAACTMvMzEvMjAyMgkAAAABMHxfRtn+yd4I5MsG3P7J3gg7Q0lRLk5ZU0U6QkFILklRX1RPVEFMX0ZJTkFOQ0VfTEVBU0VTLjk5Mi4xNC8wNi8yMDI2Li4uVVNELkgBAAAA6XECAAMAAAAAAHxfRtn+yd4I5MsG3P7J3gg9Q0lRLk5ZU0U6QkFILklRX0ZJTkFOQ0VfTEVBU0VTX0NVUlJFTlQuOTk4LjE0LzA2LzIwMjYuLi5VU0QuSAEAAADpcQIAAwAAAAAAfF9G2f7J3gjkywbc/sneCDxDSVEuTllTRTpCQUguSVFfTlBQRV9FWENMX09QRVJfTEVBU0VTLjk5Mi4xNC8wNi8yMDI2Li4uVVNELkgBAAAA6XECAAIAAAAHMTUyLjM2NAEIAAAABQAAAAExAQAAAAoyMDM4MDkxMDc3AwAAAAMxNjACAAAABTQ4OTc2BAAAAAEwBwAAAAk2LzE0LzIwMjYIAAAACTMvMzEvMjAxOAkAAAABMHxfRtn+yd4Io2MG3P7J3ggwQ0lRLk5ZU0U6QkFILklRX1RCVl9TSEFSRS45OTIuMTQvMDYvMjAyNi4uLlVTRC5IAQAAAOlxAgACAAAACS05LjA0MjgwNAEIAAAABQAAAAExAQAAAAoyMDM4MDkxMDc3AwAAAAMxNjACAAAABDQxNTYEAAAAATAHAAAACTYvMTQvMjAyNggAAAAJMy8zMS8yMDE4CQAAAAEwSkdH2f7J3gjkywbc/sneCC9DSVEuTllTRTpCQUguSVFfQlZfU0hBUkUuOTk4LjE0LzA2LzIwMjYuLi5V</t>
  </si>
  <si>
    <t>U0QuSAEAAADpcQIAAgAAAAg4LjA3NjAxNgEIAAAABQAAAAExAQAAAAstMTg4NzcwNDk5MwMAAAADMTYwAgAAAAQ0MDIwBAAAAAEwBwAAAAk2LzE0LzIwMjYIAAAACTMvMzEvMjAyNAkAAAABMEpHR9n+yd4I5MsG3P7J3ghDQ0lRLk5ZU0U6QkFILklRX1RPVEFMX0RFQlRfRVhDTF9PUEVSX0xFQVNFUy4xMDAwLjE0LzA2LzIwMjYuLi5VU0QuSAEAAADpcQIAAgAAAAQzOTQwAQgAAAAFAAAAATEBAAAACy0xODg3NzA0OTc3AwAAAAMxNjACAAAABTQ4OTgyBAAAAAEwBwAAAAk2LzE0LzIwMjYIAAAACTMvMzEvMjAyNgkAAAABMHxfRtn+yd4IYCVE3f7J3ghTQ0lRLk5ZU0U6QkFILklRX0ZJTkFOQ0lOR19PQkxJR19OT05fQ1VSUkVOVF9FWENMX09QRVJfTEVBU0VTLjk5NC4xNC8wNi8yMDI2Li4uVVNELkgBAAAA6XECAAIAAAAIMjA0NS43OTgBCAAAAAUAAAABMQEAAAALLTIwOTUxMjYwOTADAAAAAzE2MAIAAAAFNDg5ODEEAAAAATAHAAAACTYvMTQvMjAyNggAAAAJMy8zMS8yMDIwCQAAAAEwfF9G2f7J3gjkywbc/sneCD5DSVEuTllTRTpCQUguSVFfTUlOT1JJVFlfSU5URVJFU1RfVE9UQUwuOTk0LjE0LzA2LzIwMjYuLi5VU0QuSAEAAADpcQIAAwAAAAAASkdH2f7J3ggFPwrc/sneCD5DSVEuTllTRTpCQUguSVFfVE9UQUxfREVCVF9OT05fQ1VSUkVOVC4xMDAwLjE0LzA2LzIwMjYuLi5VU0QuSAEAAADpcQIA</t>
  </si>
  <si>
    <t>AgAAAAQ0MDYwAQgAAAAFAAAAATEBAAAACy0xODg3NzA0OTc3AwAAAAMxNjACAAAABTI1MjI0BAAAAAEwBwAAAAk2LzE0LzIwMjYIAAAACTMvMzEvMjAyNgkAAAABMEpHR9n+yd4IYCVE3f7J3ggxQ0lRLk5ZU0U6QkFILklRX1RPVEFMX0RFQlQuOTk2LjE0LzA2LzIwMjYuLi5VU0QuSAEAAADpcQIAAgAAAAgzMTAzLjgzOQEIAAAABQAAAAExAQAAAAstMTk5MjQwMjA1OQMAAAADMTYwAgAAAAQ0MTczBAAAAAEwBwAAAAk2LzE0LzIwMjYIAAAACTMvMzEvMjAyMgkAAAABMEpHR9n+yd4IkcgI3P7J3ggxQ0lRLk5ZU0U6QkFILklRX0NBU0hfU0hBUkUuOTkwLjE0LzA2LzIwMjYuLi5VU0QuSAEAAADpcQIAAgAAAAgxLjI2NzE1MgEIAAAABQAAAAExAQAAAAoxODkxMzQ3ODY5AwAAAAMxNjACAAAABDQzODEEAAAAATAHAAAACTYvMTQvMjAyNggAAAAJMy8zMS8yMDE2CQAAAAEwSkdH2f7J3giRyAjc/sneCCpDSVEuTllTRTpCQUguSVFfVEJWLjk5Ni4xNC8wNi8yMDI2Li4uVVNELkgBAAAA6XECAAIAAAAJLTE2MjIuNTQzAQgAAAAFAAAAATEBAAAACy0xOTkyNDAyMDU5AwAAAAMxNjACAAAABDEzMTAEAAAAATAHAAAACTYvMTQvMjAyNggAAAAJMy8zMS8yMDIyCQAAAAEwSkdH2f7J3giRyAjc/sneCC5DSVEuTllTRTpCQUguSVFfUkFXX0lOVi45OTYuMTQvMDYvMjAyNi4uLlVTRC5IAQAAAOlxAgADAAAAAABKR0fZ</t>
  </si>
  <si>
    <t>/sneCOE9C9z+yd4ILENJUS5OWVNFOkJBSC5JUV9MSUZPUi45OTAuMTQvMDYvMjAyNi4uLlVTRC5IAQAAAOlxAgADAAAAAABKR0fZ/sneCOE9C9z+yd4INENJUS5OWVNFOkJBSC5JUV9FUVVJVFlfTUVUSE9ELjk5OC4xNC8wNi8yMDI2Li4uVVNELkgBAAAA6XECAAIAAAACNDIBCAAAAAUAAAABMQEAAAALLTE4ODc3MDQ5OTMDAAAAAzE2MAIAAAAEMzA2MwQAAAABMAcAAAAJNi8xNC8yMDI2CAAAAAkzLzMxLzIwMjQJAAAAATBKR0fZ/sneCOE9C9z+yd4IN0NJUS5OWVNFOkJBSC5JUV9BTExPV19ET1VCVF9BQ0NULjk5Mi4xNC8wNi8yMDI2Li4uVVNELkgBAAAA6XECAAIAAAAFMC4wNzcBCAAAAAUAAAABMQEAAAAKMjAzODA5MTA3NwMAAAADMTYwAgAAAAQzMDEyBAAAAAEwBwAAAAk2LzE0LzIwMjYIAAAACTMvMzEvMjAxOAkAAAABMEpHR9n+yd4I4T0L3P7J3ggyQ0lRLk5ZU0U6QkFILklRX1dPUktJTkdfQ0FQLjk5OC4xNC8wNi8yMDI2Li4uVVNELkgBAAAA6XECAAIAAAAEMTA0NwEIAAAABQAAAAExAQAAAAstMTg4NzcwNDk5MwMAAAADMTYwAgAAAAQ0MTY1BAAAAAEwBwAAAAk2LzE0LzIwMjYIAAAACTMvMzEvMjAyNAkAAAABMEpHR9n+yd4IBT8K3P7J3ggqQ0lRLk5ZU0U6QkFILklRX0NJUC45OTguMTQvMDYvMjAyNi4uLlVTRC5IAQAAAOlxAgADAAAAAABKR0fZ/sneCB0hENz+yd4IPUNJUS5OWVNFOkJB</t>
  </si>
  <si>
    <t>SC5JUV9OQVRVUkFMX1JFU09VUkNFU19DT1NULjk5Mi4xNC8wNi8yMDI2Li4uVVNELkgBAAAA6XECAAMAAAAAAEpHR9n+yd4IbqoN3P7J3ggxQ0lRLk5ZU0U6QkFILklRX0JVSUxESU5HUy4xMDAwLjE0LzA2LzIwMjYuLi5VU0QuSAEAAADpcQIAAwAAAAAASkdH2f7J3ggS10Pd/sneCCtDSVEuTllTRTpCQUguSVFfTEFORC45OTQuMTQvMDYvMjAyNi4uLlVTRC5IAQAAAOlxAgADAAAAAABKR0fZ/sneCOE9C9z+yd4INENJUS5OWVNFOkJBSC5JUV9GSU5JU0hFRF9JTlYuMTAwMC4xNC8wNi8yMDI2Li4uVVNELkgBAAAA6XECAAMAAAAAAEpHR9n+yd4IYCVE3f7J3ghJQ0lRLk5ZU0U6QkFILklRX0dFTkVSQUxfUEFSVE5FUl9NSU5PUklUWV9JTlRFUkVTVC4xMDAwLjE0LzA2LzIwMjYuLi5VU0QuSAEAAADpcQIAAwAAAAAASkdH2f7J3ggS10Pd/sneCEJDSVEuTllTRTpCQUguSVFfR0VORVJBTF9QQVJUTkVSX1BSRUZfRVFVSVRZLjk5NC4xNC8wNi8yMDI2Li4uVVNELkgBAAAA6XECAAMAAAAAAEpHR9n+yd4IHSEQ3P7J3ghCQ0lRLk5ZU0U6QkFILklRX0RFRl9UQVhfVkFMVUFUSU9OX0FMTE9XQU5DRS45OTAuMTQvMDYvMjAyNi4uLlVTRC5IAQAAAOlxAgADAAAAAABKR0fZ/sneCB0hENz+yd4IPkNJUS5OWVNFOkJBSC5JUV9NSU5PUklUWV9JTlRfUkVERUVNX1RPVC45OTYuMTQvMDYvMjAyNi4uLlVTRC5IAQAA</t>
  </si>
  <si>
    <t>AOlxAgADAAAAAABKR0fZ/sneCB0hENz+yd4IQkNJUS5OWVNFOkJBSC5JUV9GSU5fRElWX01JTk9SSVRZX0lOVF9SRURFRU0uOTkwLjE0LzA2LzIwMjYuLi5VU0QuSAEAAADpcQIAAwAAAAAASkdH2f7J3ggdIRDc/sneCDpDSVEuTllTRTpCQUguSVFfTElBQklMSVRJRVNfTEVWRUxfMS45OTAuMTQvMDYvMjAyNi4uLlVTRC5IAQAAAOlxAgADAAAAAACGKxTZ/sneCA2TEtz+yd4IR0NJUS5OWVNFOkJBSC5JUV9BU1NFVFNfTkVUVElOR19PVEhFUl9BREpVU1RNRU5UUy45OTYuMTQvMDYvMjAyNi4uLlVTRC5IAQAAAOlxAgADAAAAAABKR0fZ/sneCA2TEtz+yd4INUNJUS5OWVNFOkJBSC5JUV9BU1NFVFNfTEVWRUxfMi45OTIuMTQvMDYvMjAyNi4uLlVTRC5IAQAAAOlxAgACAAAABTcuOTI1AEpHR9n+yd4IDZMS3P7J3ghJQ0lRLk5ZU0U6QkFILklRX0xJUVVJREFUSU9OX1ZBTFVFX1BSRUZFUlJFRF9SRURFRU0uOTk4LjE0LzA2LzIwMjYuLi5VU0QuSAEAAADpcQIAAwAAAAAASkdH2f7J3ggdIRDc/sneCE1DSVEuTllTRTpCQUguSVFfTElRVUlEQVRJT05fVkFMVUVfUFJFRkVSUkVEX05PTl9SRURFRU0uOTkyLjE0LzA2LzIwMjYuLi5VU0QuSAEAAADpcQIAAwAAAAAASkdH2f7J3ggdIRDc/sneCEZDSVEuTllTRTpCQUguSVFfRkFJUl9WQUxVRV9DSEFOR0VfSU5DTF9FQVJOSU5HUy45OTQuMTQvMDYvMjAyNi4u</t>
  </si>
  <si>
    <t>LlVTRC5IAQAAAOlxAgADAAAAAACGKxTZ/sneCA2TEtz+yd4ITUNJUS5OWVNFOkJBSC5JUV9MSUFCSUxJVElFU19ORVRUSU5HX09USEVSX0FESlVTVE1FTlRTLjEwMDAuMTQvMDYvMjAyNi4uLlVTRC5IAQAAAOlxAgADAAAAAACGKxTZ/sneCCr4QN3+yd4IOkNJUS5OWVNFOkJBSC5JUV9MSUFCSUxJVElFU19MRVZFTF8zLjk5NC4xNC8wNi8yMDI2Li4uVVNELkgBAAAA6XECAAIAAAAFMS4yMjQAhisU2f7J3ggNkxLc/sneCDlDSVEuTllTRTpCQUguSVFfREVCVF9FUVVJVl9ORVRfUEJPLjk5NC4xNC8wNi8yMDI2Li4uVVNELkgBAAAA6XECAAIAAAADNC44AQgAAAAFAAAAATEBAAAACy0yMDk1MTI2MDkwAwAAAAMxNjACAAAABTIxNjc5BAAAAAEwBwAAAAk2LzE0LzIwMjYIAAAACTMvMzEvMjAyMAkAAAABMIYrFNn+yd4I+fUU3P7J3gg6Q0lRLk5ZU0U6QkFILklRX0ZJTl9ESVZfQ0FTSF9FUVVJVi4xMDAwLjE0LzA2LzIwMjYuLi5VU0QuSAEAAADpcQIAAwAAAAAAhisU2f7J3ggq+EDd/sneCDxDSVEuTllTRTpCQUguSVFfRklOX0RJVl9TVF9ERUJUX1RPVEFMLjk5Ni4xNC8wNi8yMDI2Li4uVVNELkgBAAAA6XECAAMAAAAAAIYrFNn+yd4IDZMS3P7J3gg8Q0lRLk5ZU0U6QkFILklRX0ZJTl9ESVZfTFRfREVCVF9UT1RBTC45OTAuMTQvMDYvMjAyNi4uLlVTRC5IAQAAAOlxAgADAAAAAACGKxTZ/sneCA2TEtz+</t>
  </si>
  <si>
    <t>yd4IOkNJUS5OWVNFOkJBSC5JUV9TVF9ERUJUX0RFUklWQVRJVkVTLjk5Ni4xNC8wNi8yMDI2Li4uVVNELkgBAAAA6XECAAMAAAAAAIYrFNn+yd4I+fUU3P7J3gg7Q0lRLk5ZU0U6QkFILklRX1dBUlJBTlRZX0xJQUJJTElUSUVTLjk5MC4xNC8wNi8yMDI2Li4uVVNELkgBAAAA6XECAAMAAAAAAIYrFNn+yd4I+fUU3P7J3gg6Q0lRLk5ZU0U6QkFILklRX1RPVEFMX0RFQlRfRVhDTF9GSU4uOTk4LjE0LzA2LzIwMjYuLi5VU0QuSAEAAADpcQIAAgAAAAQzNjM3AQgAAAAFAAAAATEBAAAACy0xODg3NzA0OTkzAwAAAAMxNjACAAAABTIxODYwBAAAAAEwBwAAAAk2LzE0LzIwMjYIAAAACTMvMzEvMjAyNAkAAAABMIYrFNn+yd4I+fUU3P7J3gg8Q0lRLk5ZU0U6QkFILklRX1JFU1RSSUNURURfQ0FTSF9UT1RBTC45OTIuMTQvMDYvMjAyNi4uLlVTRC5IAQAAAOlxAgADAAAAAACGKxTZ/sneCPn1FNz+yd4IP0NJUS5OWVNFOkJBSC5JUV9BQ0NVTV9BTU9SVF9JTlRBTl9BU1NFVFMuOTk4LjE0LzA2LzIwMjYuLi5VU0QuSAEAAADpcQIAAgAAAAQtMjM4AQgAAAAFAAAAATEBAAAACy0xODg3NzA0OTkzAwAAAAMxNjACAAAABTI0MzMxBAAAAAEwBwAAAAk2LzE0LzIwMjYIAAAACTMvMzEvMjAyNAkAAAABMIYrFNn+yd4IR2cX3P7J3gg5Q0lRLk5ZU0U6QkFILklRX0dST1NTX0lOVEFOX0FTU0VUUy45OTIuMTQvMDYvMjAy</t>
  </si>
  <si>
    <t>Ni4uLlVTRC5IAQAAAOlxAgACAAAABzMwNi4wMDgBCAAAAAUAAAABMQEAAAAKMjAzODA5MTA3NwMAAAADMTYwAgAAAAUyNDI5MwQAAAABMAcAAAAJNi8xNC8yMDI2CAAAAAkzLzMxLzIwMTgJAAAAATCGKxTZ/sneCEdnF9z+yd4IQUNJUS5OWVNFOkJBSC5JUV9ERVJJVkFUSVZFX1RSQURJTkdfQVNTRVRTLjEwMDAuMTQvMDYvMjAyNi4uLlVTRC5IAQAAAOlxAgADAAAAAACGKxTZ/sneCCr4QN3+yd4IQkNJUS5OWVNFOkJBSC5JUV9ERVJJVkFUSVZFX0xJQUJfTk9OX0NVUlJFTlQuOTk0LjE0LzA2LzIwMjYuLi5VU0QuSAEAAADpcQIAAwAAAAAAhisU2f7J3ghHZxfc/sneCDtDSVEuTllTRTpCQUguSVFfTFRfREVCVF9ERVJJVkFUSVZFUy4xMDAwLjE0LzA2LzIwMjYuLi5VU0QuSAEAAADpcQIAAwAAAAAAhisU2f7J3ggq+EDd/sneCDtDSVEuTllTRTpCQUguSVFfSU5URVJDT01QQU5ZX05PTl9DQS4xMDAwLjE0LzA2LzIwMjYuLi5VU0QuSAEAAADpcQIAAwAAAAAAhisU2f7J3ggq+EDd/sneCDZDSVEuTllTRTpCQUguSVFfSU5URVJDT01QQU5ZX0NBLjk5NC4xNC8wNi8yMDI2Li4uVVNELkgBAAAA6XECAAMAAAAAAIYrFNn+yd4Ils4Z3P7J3ggtQ0lRLk5ZU0U6QkFILklRX0dXX05FVC45OTAuMTQvMDYvMjAyNi4uLlVTRC5IAQAAAOlxAgADAAAAAACGKxTZ/sneCJbOGdz+yd4IPENJUS5OWVNFOkJBSC5JUV9B</t>
  </si>
  <si>
    <t>RFZBTkNFU19GT1JfU1VQUExJRVMuOTk2LjE0LzA2LzIwMjYuLi5VU0QuSAEAAADpcQIAAwAAAAAAhisU2f7J3giWzhnc/sneCDlDSVEuTllTRTpCQUguSVFfTFRfTUFSS19TRUNVUklUSUVTLjk5MC4xNC8wNi8yMDI2Li4uVVNELkgBAAAA6XECAAMAAAAAAIYrFNn+yd4IBIoZ3P7J3gg5Q0lRLk5ZU0U6QkFILklRX1RPVEFMX1JFVl9FTVBMT1lFRS45OTguMTQvMDYvMjAyNi4uLlVTRC5IAQAAAOlxAgACAAAABzMxMS43NTQBCAAAAAUAAAABMQEAAAALLTE4ODc3MDQ5OTMDAAAAAzE2MAIAAAAENDEyMwQAAAABMAcAAAAJNi8xNC8yMDI2CAAAAAkzLzMxLzIwMjQJAAAAATAdpgzZ/sneCJbOGdz+yd4IOkNJUS5OWVNFOkJBSC5JUV9JTkNfVEFYX1BBWV9DVVJSRU5ULjk5MS4xNC8wNi8yMDI2Li4uVVNELkgBAAAA6XECAAMAAAAAANldgdn+yd4Ib6782/7J3gg0Q0lRLk5ZU0U6QkFILklRX1VORUFSTl9SRVZfTFQuOTkzLjE0LzA2LzIwMjYuLi5VU0QuSAEAAADpcQIAAwAAAAAA2V2B2f7J3ghlF//b/sneCDZDSVEuTllTRTpCQUguSVFfRklOX0RJVl9ERUJUX0xULjk5OS4xNC8wNi8yMDI2Li4uVVNELkgBAAAA6XECAAMAAAAAANldgdn+yd4I+9ZF3f7J3gg3Q0lRLk5ZU0U6QkFILklRX0xPTkdfVEVSTV9MRUFTRVMuOTkzLjE0LzA2LzIwMjYuLi5VU0QuSAEAAADpcQIAAwAAAAAA2V2B2f7J3ghlF//b/sne</t>
  </si>
  <si>
    <t>CDZDSVEuTllTRTpCQUguSVFfT1RIRVJfQ0xfU1VQUEwuMjAwMC4xNC8wNi8yMDI2Li4uVVNELkgBAAAA6XECAAIAAAADMjYxAQgAAAAFAAAAATEBAAAACy0xODg3NzA0MzQxAwAAAAMxNjACAAAABDEwNTcEAAAAATAHAAAACTYvMTQvMjAyNggAAAAJMy8zMS8yMDI2CQAAAAEw2V2B2f7J3ghlF//b/sneCDtDSVEuTllTRTpCQUguSVFfREVGX1RBWF9MSUFCX0NVUlJFTlQuOTk1LjE0LzA2LzIwMjYuLi5VU0QuSAEAAADpcQIAAwAAAAAA2V2B2f7J3ghvrvzb/sneCDJDSVEuTllTRTpCQUguSVFfUFJFRl9FUVVJVFkuOTk1LjE0LzA2LzIwMjYuLi5VU0QuSAEAAADpcQIAAwAAAAAAfF9G2f7J3ghqhgHc/sneCDRDSVEuTllTRTpCQUguSVFfUFJFRl9DT05WRVJULjIwMDAuMTQvMDYvMjAyNi4uLlVTRC5IAQAAAOlxAgADAAAAAAB8X0bZ/sneCGqGAdz+yd4INkNJUS5OWVNFOkJBSC5JUV9QUkVGX05PTl9SRURFRU0uOTk1LjE0LzA2LzIwMjYuLi5VU0QuSAEAAADpcQIAAwAAAAAA2V2B2f7J3ghlF//b/sneCDFDSVEuTllTRTpCQUguSVFfVE9UQUxfTElBQi45OTEuMTQvMDYvMjAyNi4uLlVTRC5IAQAAAOlxAgACAAAACDI3OTkuNTE0AQgAAAAFAAAAATEBAAAACjE5NjU3NzI0MjIDAAAAAzE2MAIAAAAEMTI3NgQAAAABMAcAAAAJNi8xNC8yMDI2CAAAAAkzLzMxLzIwMTcJAAAAATDZXYHZ/sneCGUX/9v+yd4I</t>
  </si>
  <si>
    <t>NkNJUS5OWVNFOkJBSC5JUV9ERUZfVEFYX0xJQUJfTFQuOTk3LjE0LzA2LzIwMjYuLi5VU0QuSAEAAADpcQIAAwAAAAAA2V2B2f7J3ghlF//b/sneCDhDSVEuTllTRTpCQUguSVFfVE9UQUxfTElBQl9FUVVJVFkuOTk3LjE0LzA2LzIwMjYuLi5VU0QuSAEAAADpcQIAAgAAAAg2NTUwLjY1MgEIAAAABQAAAAExAQAAAAstMTk0MTU0Njg3MQMAAAADMTYwAgAAAAQxMDEzBAAAAAEwBwAAAAk2LzE0LzIwMjYIAAAACTMvMzEvMjAyMwkAAAABMHxfRtn+yd4IliQE3P7J3ggzQ0lRLk5ZU0U6QkFILklRX1RPVEFMX0VRVUlUWS45OTEuMTQvMDYvMjAyNi4uLlVTRC5IAQAAAOlxAgACAAAABzU3My41OTEBCAAAAAUAAAABMQEAAAAKMTk2NTc3MjQyMgMAAAADMTYwAgAAAAQxMjc1BAAAAAEwBwAAAAk2LzE0LzIwMjYIAAAACTMvMzEvMjAxNwkAAAABMHxfRtn+yd4IaoYB3P7J3gg6Q0lRLk5ZU0U6QkFILklRX1RPVEFMX0NPTU1PTl9FUVVJVFkuOTk3LjE0LzA2LzIwMjYuLi5VU0QuSAEAAADpcQIAAgAAAAc5OTIuMDAyAQgAAAAFAAAAATEBAAAACy0xOTQxNTQ2ODcxAwAAAAMxNjACAAAABDEwMDYEAAAAATAHAAAACTYvMTQvMjAyNggAAAAJMy8zMS8yMDIzCQAAAAEwfF9G2f7J3ghqhgHc/sneCC9DSVEuTllTRTpCQUguSVFfVFJFQVNVUlkuOTkzLjE0LzA2LzIwMjYuLi5VU0QuSAEAAADpcQIAAgAAAActNzExLjQ1</t>
  </si>
  <si>
    <t>AQgAAAAFAAAAATEBAAAACjIwOTkwODcxMzMDAAAAAzE2MAIAAAAEMTI0OAQAAAABMAcAAAAJNi8xNC8yMDI2CAAAAAkzLzMxLzIwMTkJAAAAATB8X0bZ/sneCGqGAdz+yd4IK0NJUS5OWVNFOkJBSC5JUV9BUElDLjk5OS4xNC8wNi8yMDI2Li4uVVNELkgBAAAA6XECAAIAAAAEMTA0MgEIAAAABQAAAAExAQAAAAstMTg4NzcwNTAwMQMAAAADMTYwAgAAAAQxMDg0BAAAAAEwBwAAAAk2LzE0LzIwMjYIAAAACTMvMzEvMjAyNQkAAAABMHxfRtn+yd4IYCVE3f7J3gg+Q0lRLk5ZU0U6QkFILklRX1JVQV9PUEVSQVRJTkdfTEVBU0VfTkVULjk5OS4xNC8wNi8yMDI2Li4uVVNELkgBAAAA6XECAAMAAAAAAHxfRtn+yd4IYCVE3f7J3ghEQ0lRLk5ZU0U6QkFILklRX1JVQV9PUEVSQVRJTkdfTEVBU0VfQUNDVU1fREVQLjk5My4xNC8wNi8yMDI2Li4uVVNELkgBAAAA6XECAAMAAAAAAHxfRtn+yd4IS4wF3P7J3gg8Q0lRLk5ZU0U6QkFILklRX1JVQV9DQVBJVEFMX0xFQVNFX05FVC45OTkuMTQvMDYvMjAyNi4uLlVTRC5IAQAAAOlxAgADAAAAAAB8X0bZ/sneCGAlRN3+yd4IPkNJUS5OWVNFOkJBSC5JUV9SVUFfQ0FQSVRBTF9MRUFTRV9HUk9TUy45OTUuMTQvMDYvMjAyNi4uLlVTRC5IAQAAAOlxAgADAAAAAAB8X0bZ/sneCJjvBNz+yd4INUNJUS5OWVNFOkJBSC5JUV9SVUFfQUNDVU1fREVQLjIwMDAuMTQvMDYvMjAy</t>
  </si>
  <si>
    <t>Ni4uLlVTRC5IAQAAAOlxAgADAAAAAAB8X0bZ/sneCDN3BNz+yd4IOUNJUS5OWVNFOkJBSC5JUV9UT1RBTF9PUEVSX0xFQVNFUy4yMDAwLjE0LzA2LzIwMjYuLi5VU0QuSAEAAADpcQIAAgAAAAMxODIBCAAAAAUAAAABMQEAAAALLTE4ODc3MDQzNDEDAAAAAzE2MAIAAAAFNDg5NzgEAAAAATAHAAAACTYvMTQvMjAyNggAAAAJMy8zMS8yMDI2CQAAAAEwfF9G2f7J3gjkywbc/sneCEhDSVEuTllTRTpCQUguSVFfTFRfUE9SVElPTl9PUEVSX0xFQVNFX0xJQUJJTElUSUVTLjk5NS4xNC8wNi8yMDI2Li4uVVNELkgBAAAA6XECAAIAAAAHMjYzLjE0NAEIAAAABQAAAAExAQAAAAstMjA0MzIxNTM5MgMAAAADMTYwAgAAAAU0ODM4MwQAAAABMAcAAAAJNi8xNC8yMDI2CAAAAAkzLzMxLzIwMjEJAAAAATB8X0bZ/sneCOTLBtz+yd4IPENJUS5OWVNFOkJBSC5JUV9UT1RBTF9GSU5BTkNFX0xFQVNFUy4yMDAwLjE0LzA2LzIwMjYuLi5VU0QuSAEAAADpcQIAAwAAAAAAfF9G2f7J3gjkywbc/sneCD1DSVEuTllTRTpCQUguSVFfRklOQU5DRV9MRUFTRVNfQ1VSUkVOVC45OTcuMTQvMDYvMjAyNi4uLlVTRC5IAQAAAOlxAgADAAAAAAB8X0bZ/sneCOTLBtz+yd4IPENJUS5OWVNFOkJBSC5JUV9OUFBFX0VYQ0xfT1BFUl9MRUFTRVMuOTkxLjE0LzA2LzIwMjYuLi5VU0QuSAEAAADpcQIAAgAAAAcxMzEuMDY3AQgAAAAFAAAA</t>
  </si>
  <si>
    <t>ATEBAAAACjE5NjU3NzI0MjIDAAAAAzE2MAIAAAAFNDg5NzYEAAAAATAHAAAACTYvMTQvMjAyNggAAAAJMy8zMS8yMDE3CQAAAAEwfF9G2f7J3gijYwbc/sneCDBDSVEuTllTRTpCQUguSVFfVEJWX1NIQVJFLjk5MS4xNC8wNi8yMDI2Li4uVVNELkgBAAAA6XECAAIAAAAJLTguNTgwODIyAQgAAAAFAAAAATEBAAAACjE5NjU3NzI0MjIDAAAAAzE2MAIAAAAENDE1NgQAAAABMAcAAAAJNi8xNC8yMDI2CAAAAAkzLzMxLzIwMTcJAAAAATBKR0fZ/sneCOTLBtz+yd4IL0NJUS5OWVNFOkJBSC5JUV9CVl9TSEFSRS45OTcuMTQvMDYvMjAyNi4uLlVTRC5IAQAAAOlxAgACAAAACDcuNTM1ODU2AQgAAAAFAAAAATEBAAAACy0xOTQxNTQ2ODcxAwAAAAMxNjACAAAABDQwMjAEAAAAATAHAAAACTYvMTQvMjAyNggAAAAJMy8zMS8yMDIzCQAAAAEwSkdH2f7J3gjkywbc/sneCEJDSVEuTllTRTpCQUguSVFfVE9UQUxfREVCVF9FWENMX09QRVJfTEVBU0VTLjk5OS4xNC8wNi8yMDI2Li4uVVNELkgBAAAA6XECAAIAAAAEMzk5OAEIAAAABQAAAAExAQAAAAstMTg4NzcwNTAwMQMAAAADMTYwAgAAAAU0ODk4MgQAAAABMAcAAAAJNi8xNC8yMDI2CAAAAAkzLzMxLzIwMjUJAAAAATB8X0bZ/sneCGAlRN3+yd4IU0NJUS5OWVNFOkJBSC5JUV9GSU5BTkNJTkdfT0JMSUdfTk9OX0NVUlJFTlRfRVhDTF9PUEVSX0xFQVNFUy45OTMu</t>
  </si>
  <si>
    <t>MTQvMDYvMjAyNi4uLlVTRC5IAQAAAOlxAgACAAAACDE3MDYuMTg0AQgAAAAFAAAAATEBAAAACjIwOTkwODcxMzMDAAAAAzE2MAIAAAAFNDg5ODEEAAAAATAHAAAACTYvMTQvMjAyNggAAAAJMy8zMS8yMDE5CQAAAAEwfF9G2f7J3gjkywbc/sneCD5DSVEuTllTRTpCQUguSVFfTUlOT1JJVFlfSU5URVJFU1RfVE9UQUwuOTkzLjE0LzA2LzIwMjYuLi5VU0QuSAEAAADpcQIAAwAAAAAASkdH2f7J3ggFPwrc/sneCD1DSVEuTllTRTpCQUguSVFfVE9UQUxfREVCVF9OT05fQ1VSUkVOVC45OTkuMTQvMDYvMjAyNi4uLlVTRC5IAQAAAOlxAgACAAAABDQwOTUBCAAAAAUAAAABMQEAAAALLTE4ODc3MDUwMDEDAAAAAzE2MAIAAAAFMjUyMjQEAAAAATAHAAAACTYvMTQvMjAyNggAAAAJMy8zMS8yMDI1CQAAAAEwSkdH2f7J3ghgJUTd/sneCDlDSVEuTllTRTpCQUguSVFfVE9UQUxfREVCVF9DVVJSRU5ULjk5My4xNC8wNi8yMDI2Li4uVVNELkgBAAAA6XECAAIAAAAHMTM4Ljg1MwEIAAAABQAAAAExAQAAAAoyMDk5MDg3MTMzAwAAAAMxNjACAAAABTI1MjIzBAAAAAEwBwAAAAk2LzE0LzIwMjYIAAAACTMvMzEvMjAxOQkAAAABMEpHR9n+yd4IkcgI3P7J3ggwQ0lRLk5ZU0U6QkFILklRX0dXX0lOVEFOLjIwMDAuMTQvMDYvMjAyNi4uLlVTRC5IAQAAAOlxAgACAAAABDI5MDgBCAAAAAUAAAABMQEAAAALLTE4ODc3MDQz</t>
  </si>
  <si>
    <t>NDEDAAAAAzE2MAIAAAAFMzUzODEEAAAAATAHAAAACTYvMTQvMjAyNggAAAAJMy8zMS8yMDI2CQAAAAEwSkdH2f7J3giRyAjc/sneCCpDSVEuTllTRTpCQUguSVFfVEJWLjk5NS4xNC8wNi8yMDI2Li4uVVNELkgBAAAA6XECAAIAAAAILTgxNy4xMTIBCAAAAAUAAAABMQEAAAALLTIwNDMyMTUzOTIDAAAAAzE2MAIAAAAEMTMxMAQAAAABMAcAAAAJNi8xNC8yMDI2CAAAAAkzLzMxLzIwMjEJAAAAATBKR0fZ/sneCJHICNz+yd4ILkNJUS5OWVNFOkJBSC5JUV9SQVdfSU5WLjk5NS4xNC8wNi8yMDI2Li4uVVNELkgBAAAA6XECAAMAAAAAAEpHR9n+yd4I4T0L3P7J3ggyQ0lRLk5ZU0U6QkFILklRX0FSX1VOQklMTEVELjk5NS4xNC8wNi8yMDI2Li4uVVNELkgBAAAA6XECAAIAAAAIMTAzNy45NjgBCAAAAAUAAAABMQEAAAALLTIwNDMyMTUzOTIDAAAAAzE2MAIAAAAFNDU0MjAEAAAAATAHAAAACTYvMTQvMjAyNggAAAAJMy8zMS8yMDIxCQAAAAEwSkdH2f7J3gjhPQvc/sneCDdDSVEuTllTRTpCQUguSVFfQUxMT1dfRE9VQlRfQUNDVC45OTEuMTQvMDYvMjAyNi4uLlVTRC5IAQAAAOlxAgADAAAAAABKR0fZ/sneCOE9C9z+yd4IMkNJUS5OWVNFOkJBSC5JUV9XT1JLSU5HX0NBUC45OTcuMTQvMDYvMjAyNi4uLlVTRC5IAQAAAOlxAgACAAAABzM5MS4wMDQBCAAAAAUAAAABMQEAAAALLTE5NDE1NDY4NzEDAAAAAzE2</t>
  </si>
  <si>
    <t>MAIAAAAENDE2NQQAAAABMAcAAAAJNi8xNC8yMDI2CAAAAAkzLzMxLzIwMjMJAAAAATBKR0fZ/sneCAU/Ctz+yd4IKkNJUS5OWVNFOkJBSC5JUV9DSVAuOTk3LjE0LzA2LzIwMjYuLi5VU0QuSAEAAADpcQIAAwAAAAAASkdH2f7J3ggdIRDc/sneCD1DSVEuTllTRTpCQUguSVFfTkFUVVJBTF9SRVNPVVJDRVNfQ09TVC45OTEuMTQvMDYvMjAyNi4uLlVTRC5IAQAAAOlxAgADAAAAAABKR0fZ/sneCG6qDdz+yd4IMENJUS5OWVNFOkJBSC5JUV9NQUNISU5FUlkuOTk3LjE0LzA2LzIwMjYuLi5VU0QuSAEAAADpcQIAAgAAAAcyMzAuODU0AQgAAAAFAAAAATEBAAAACy0xOTQxNTQ2ODcxAwAAAAMxNjACAAAABDMxMTQEAAAAATAHAAAACTYvMTQvMjAyNggAAAAJMy8zMS8yMDIzCQAAAAEwSkdH2f7J3gjhPQvc/sneCCtDSVEuTllTRTpCQUguSVFfTEFORC45OTMuMTQvMDYvMjAyNi4uLlVTRC5IAQAAAOlxAgADAAAAAABKR0fZ/sneCOE9C9z+yd4IM0NJUS5OWVNFOkJBSC5JUV9GSU5JU0hFRF9JTlYuOTk5LjE0LzA2LzIwMjYuLi5VU0QuSAEAAADpcQIAAwAAAAAASkdH2f7J3ghgJUTd/sneCEhDSVEuTllTRTpCQUguSVFfR0VORVJBTF9QQVJUTkVSX01JTk9SSVRZX0lOVEVSRVNULjk5OS4xNC8wNi8yMDI2Li4uVVNELkgBAAAA6XECAAMAAAAAAEpHR9n+yd4IuIhD3f7J3ghCQ0lRLk5ZU0U6QkFILklRX0dFTkVS</t>
  </si>
  <si>
    <t>QUxfUEFSVE5FUl9QUkVGX0VRVUlUWS45OTMuMTQvMDYvMjAyNi4uLlVTRC5IAQAAAOlxAgADAAAAAABKR0fZ/sneCB0hENz+yd4IQkNJUS5OWVNFOkJBSC5JUV9ERUZfVEFYX1ZBTFVBVElPTl9BTExPV0FOQ0UuOTk5LjE0LzA2LzIwMjYuLi5VU0QuSAEAAADpcQIAAgAAAAE5AQgAAAAFAAAAATEBAAAACy0xODg3NzA1MDAxAwAAAAMxNjACAAAABTQ2MDQ1BAAAAAEwBwAAAAk2LzE0LzIwMjYIAAAACTMvMzEvMjAyNQkAAAABMEpHR9n+yd4IEtdD3f7J3gg+Q0lRLk5ZU0U6QkFILklRX01JTk9SSVRZX0lOVF9SRURFRU1fVE9ULjk5NS4xNC8wNi8yMDI2Li4uVVNELkgBAAAA6XECAAMAAAAAAEpHR9n+yd4IHSEQ3P7J3gg7Q0lRLk5ZU0U6QkFILklRX01JTk9SSVRZX0lOVF9SRURFRU0uMjAwMC4xNC8wNi8yMDI2Li4uVVNELkgBAAAA6XECAAMAAAAAAEpHR9n+yd4IHSEQ3P7J3gg5Q0lRLk5ZU0U6QkFILklRX0FTU0VUU19GQUlSX1ZBTFVFLjIwMDAuMTQvMDYvMjAyNi4uLlVTRC5IAQAAAOlxAgACAAAAAzM0NwCGKxTZ/sneCA2TEtz+yd4IR0NJUS5OWVNFOkJBSC5JUV9BU1NFVFNfTkVUVElOR19PVEhFUl9BREpVU1RNRU5UUy45OTUuMTQvMDYvMjAyNi4uLlVTRC5IAQAAAOlxAgADAAAAAABKR0fZ/sneCA2TEtz+yd4INkNJUS5OWVNFOkJBSC5JUV9BU1NFVFNfTEVWRUxfMi4yMDAwLjE0LzA2LzIwMjYu</t>
  </si>
  <si>
    <t>Li5VU0QuSAEAAADpcQIAAwAAAAAASkdH2f7J3ggNkxLc/sneCElDSVEuTllTRTpCQUguSVFfTElRVUlEQVRJT05fVkFMVUVfUFJFRkVSUkVEX1JFREVFTS45OTcuMTQvMDYvMjAyNi4uLlVTRC5IAQAAAOlxAgADAAAAAABKR0fZ/sneCB0hENz+yd4ITUNJUS5OWVNFOkJBSC5JUV9MSVFVSURBVElPTl9WQUxVRV9QUkVGRVJSRURfTk9OX1JFREVFTS45OTEuMTQvMDYvMjAyNi4uLlVTRC5IAQAAAOlxAgADAAAAAABKR0fZ/sneCB0hENz+yd4ITENJUS5OWVNFOkJBSC5JUV9MSUFCSUxJVElFU19ORVRUSU5HX09USEVSX0FESlVTVE1FTlRTLjk5OS4xNC8wNi8yMDI2Li4uVVNELkgBAAAA6XECAAMAAAAAAIYrFNn+yd4IKvhA3f7J3gg6Q0lRLk5ZU0U6QkFILklRX0xJQUJJTElUSUVTX0xFVkVMXzMuOTkzLjE0LzA2LzIwMjYuLi5VU0QuSAEAAADpcQIAAgAAAAUxLjIyNACGKxTZ/sneCA2TEtz+yd4IOUNJUS5OWVNFOkJBSC5JUV9ERUJUX0VRVUlWX05FVF9QQk8uOTkzLjE0LzA2LzIwMjYuLi5VU0QuSAEAAADpcQIAAgAAAAM0LjYBCAAAAAUAAAABMQEAAAAKMjA5OTA4NzEzMwMAAAADMTYwAgAAAAUyMTY3OQQAAAABMAcAAAAJNi8xNC8yMDI2CAAAAAkzLzMxLzIwMTkJAAAAATCGKxTZ/sneCPn1FNz+yd4IOUNJUS5OWVNFOkJBSC5JUV9GSU5fRElWX0NBU0hfRVFVSVYuOTk5LjE0LzA2LzIwMjYuLi5VU0Qu</t>
  </si>
  <si>
    <t>SAEAAADpcQIAAwAAAAAAhisU2f7J3ggq+EDd/sneCDlDSVEuTllTRTpCQUguSVFfRklOX0RJVl9ERUJUX1RPVEFMLjk5My4xNC8wNi8yMDI2Li4uVVNELkgBAAAA6XECAAMAAAAAAIYrFNn+yd4IDZMS3P7J3gg6Q0lRLk5ZU0U6QkFILklRX1NUX0RFQlRfREVSSVZBVElWRVMuOTk1LjE0LzA2LzIwMjYuLi5VU0QuSAEAAADpcQIAAwAAAAAAhisU2f7J3gj59RTc/sneCD5DSVEuTllTRTpCQUguSVFfQ09OVElOR0VOVF9MSUFCSUxJVElFUy4yMDAwLjE0LzA2LzIwMjYuLi5VU0QuSAEAAADpcQIAAgAAAAEzAQgAAAAFAAAAATEBAAAACy0xODg3NzA0MzQxAwAAAAMxNjACAAAABTI0NjcxBAAAAAEwBwAAAAk2LzE0LzIwMjYIAAAACTMvMzEvMjAyNgkAAAABMIYrFNn+yd4I+fUU3P7J3gg0Q0lRLk5ZU0U6QkFILklRX09SREVSX0JBQ0tMT0cuOTk1LjE0LzA2LzIwMjYuLi5VU0QuSAEAAADpcQIAAgAAAAUyNDAzMgEIAAAABQAAAAExAQAAAAstMjA0MzIxNTM5MgMAAAADMTYwAgAAAAQzMTI1BAAAAAEwBwAAAAk2LzE0LzIwMjYIAAAACTMvMzEvMjAyMQkAAAABMIYrFNn+yd4I+fUU3P7J3gg8Q0lRLk5ZU0U6QkFILklRX1JFU1RSSUNURURfQ0FTSF9UT1RBTC45OTEuMTQvMDYvMjAyNi4uLlVTRC5IAQAAAOlxAgADAAAAAACGKxTZ/sneCPn1FNz+yd4IP0NJUS5OWVNFOkJBSC5JUV9BQ0NVTV9BTU9SVF9JTlRB</t>
  </si>
  <si>
    <t>Tl9BU1NFVFMuOTk3LjE0LzA2LzIwMjYuLi5VU0QuSAEAAADpcQIAAgAAAAgtMTY5LjMxNgEIAAAABQAAAAExAQAAAAstMTk0MTU0Njg3MQMAAAADMTYwAgAAAAUyNDMzMQQAAAABMAcAAAAJNi8xNC8yMDI2CAAAAAkzLzMxLzIwMjMJAAAAATCGKxTZ/sneCEdnF9z+yd4IOUNJUS5OWVNFOkJBSC5JUV9HUk9TU19JTlRBTl9BU1NFVFMuOTkxLjE0LzA2LzIwMjYuLi5VU0QuSAEAAADpcQIAAgAAAAc0NjUuMTE1AQgAAAAFAAAAATEBAAAACjE5NjU3NzI0MjIDAAAAAzE2MAIAAAAFMjQyOTMEAAAAATAHAAAACTYvMTQvMjAyNggAAAAJMy8zMS8yMDE3CQAAAAEwhisU2f7J3ghHZxfc/sneCEBDSVEuTllTRTpCQUguSVFfREVSSVZBVElWRV9BU1NFVFNfQ1VSUkVOVC45OTcuMTQvMDYvMjAyNi4uLlVTRC5IAQAAAOlxAgADAAAAAACGKxTZ/sneCEdnF9z+yd4IQkNJUS5OWVNFOkJBSC5JUV9ERVJJVkFUSVZFX0xJQUJfTk9OX0NVUlJFTlQuOTkzLjE0LzA2LzIwMjYuLi5VU0QuSAEAAADpcQIAAwAAAAAAhisU2f7J3ghHZxfc/sneCDpDSVEuTllTRTpCQUguSVFfTFRfREVCVF9ERVJJVkFUSVZFUy45OTkuMTQvMDYvMjAyNi4uLlVTRC5IAQAAAOlxAgADAAAAAACGKxTZ/sneCCr4QN3+yd4IOkNJUS5OWVNFOkJBSC5JUV9JTlRFUkNPTVBBTllfTk9OX0NBLjk5OS4xNC8wNi8yMDI2Li4uVVNELkgBAAAA6XECAAMA</t>
  </si>
  <si>
    <t>AAAAAIYrFNn+yd4IKvhA3f7J3gg2Q0lRLk5ZU0U6QkFILklRX0lOVEVSQ09NUEFOWV9DQS45OTMuMTQvMDYvMjAyNi4uLlVTRC5IAQAAAOlxAgADAAAAAACGKxTZ/sneCJbOGdz+yd4ILUNJUS5OWVNFOkJBSC5JUV9HV19ORVQuOTk5LjE0LzA2LzIwMjYuLi5VU0QuSAEAAADpcQIAAgAAAAQyNDA1AQgAAAAFAAAAATEBAAAACy0xODg3NzA1MDAxAwAAAAMxNjACAAAABTQ4OTYwBAAAAAEwBwAAAAk2LzE0LzIwMjYIAAAACTMvMzEvMjAyNQkAAAABMIYrFNn+yd4IKvhA3f7J3gg8Q0lRLk5ZU0U6QkFILklRX0FEVkFOQ0VTX0ZPUl9TVVBQTElFUy45OTUuMTQvMDYvMjAyNi4uLlVTRC5IAQAAAOlxAgADAAAAAACGKxTZ/sneCJbOGdz+yd4INkNJUS5OWVNFOkJBSC5JUV9BQ0NVTV9BTU9SVF9HVy4yMDAwLjE0LzA2LzIwMjYuLi5VU0QuSAEAAADpcQIAAwAAAAAAhisU2f7J3ggEihnc/sneCDlDSVEuTllTRTpCQUguSVFfVE9UQUxfUkVWX0VNUExPWUVFLjk5Ny4xNC8wNi8yMDI2Li4uVVNELkgBAAAA6XECAAIAAAAGMjkwLjI1AQgAAAAFAAAAATEBAAAACy0xOTQxNTQ2ODcxAwAAAAMxNjACAAAABDQxMjMEAAAAATAHAAAACTYvMTQvMjAyNggAAAAJMy8zMS8yMDIzCQAAAAEwHaYM2f7J3giWzhnc/sneCDBDSVEuTllTRTpCQUguSVFfTFRfSU5WRVNULjk5Ni4xNC8wNi8yMDI2Li4uVVNELkgBAAAA6XECAAIA</t>
  </si>
  <si>
    <t>AAAFNC4wODgBCAAAAAUAAAABMQEAAAALLTE5OTI0MDIwNTkDAAAAAzE2MAIAAAAEMTA1NAQAAAABMAcAAAAJNi8xNC8yMDI2CAAAAAkzLzMxLzIwMjIJAAAAATDZXYHZ/sneCK9e9dv+yd4IKUNJUS5OWVNFOkJBSC5JUV9BRC45OTIuMTQvMDYvMjAyNi4uLlVTRC5IAQAAAOlxAgACAAAACC0yOTMuNDU5AQgAAAAFAAAAATEBAAAACjIwMzgwOTEwNzcDAAAAAzE2MAIAAAAEMTA3NQQAAAABMAcAAAAJNi8xNC8yMDI2CAAAAAkzLzMxLzIwMTgJAAAAATDZXYHZ/sneCK9e9dv+yd4INkNJUS5OWVNFOkJBSC5JUV9PVEhFUl9MVF9BU1NFVFMuOTk4LjE0LzA2LzIwMjYuLi5VU0QuSAEAAADpcQIAAgAAAAMxOTEBCAAAAAUAAAABMQEAAAALLTE4ODc3MDQ5OTMDAAAAAzE2MAIAAAAEMTA2MAQAAAABMAcAAAAJNi8xNC8yMDI2CAAAAAkzLzMxLzIwMjQJAAAAATDZXYHZ/sneCG7N99v+yd4IOENJUS5OWVNFOkJBSC5JUV9ERUZfVEFYX0FTU0VUU19MVC45OTQuMTQvMDYvMjAyNi4uLlVTRC5IAQAAAOlxAgADAAAAAADZXYHZ/sneCG7N99v+yd4ILUNJUS5OWVNFOkJBSC5JUV9BUl9MVC4xMDAwLjE0LzA2LzIwMjYuLi5VU0QuSAEAAADpcQIAAgAAAAI1OAEIAAAABQAAAAExAQAAAAstMTg4NzcwNDk3NwMAAAADMTYwAgAAAAQxMDg4BAAAAAEwBwAAAAk2LzE0LzIwMjYIAAAACTMvMzEvMjAyNgkAAAABMNldgdn+yd4I</t>
  </si>
  <si>
    <t>+9ZF3f7J3gg3Q0lRLk5ZU0U6QkFILklRX0ZJTl9ESVZfTE9BTlNfTFQuOTk2LjE0LzA2LzIwMjYuLi5VU0QuSAEAAADpcQIAAwAAAAAA2V2B2f7J3ghuzffb/sneCDJDSVEuTllTRTpCQUguSVFfT1RIRVJfSU5UQU4uOTkwLjE0LzA2LzIwMjYuLi5VU0QuSAEAAADpcQIAAgAAAAcyMjcuNTU4AQgAAAAFAAAAATEBAAAACjE4OTEzNDc4NjkDAAAAAzE2MAIAAAAEMTA0MAQAAAABMAcAAAAJNi8xNC8yMDI2CAAAAAkzLzMxLzIwMTYJAAAAATDZXYHZ/sneCK9e9dv+yd4IO0NJUS5OWVNFOkJBSC5JUV9JTkNfVEFYX1BBWV9DVVJSRU5ULjEwMDAuMTQvMDYvMjAyNi4uLlVTRC5IAQAAAOlxAgACAAAAAjEwAQgAAAAFAAAAATEBAAAACy0xODg3NzA0OTc3AwAAAAMxNjACAAAABDEwOTQEAAAAATAHAAAACTYvMTQvMjAyNggAAAAJMy8zMS8yMDI2CQAAAAEw2V2B2f7J3gj71kXd/sneCDtDSVEuTllTRTpCQUguSVFfRklOX0RJVl9ERUJUX0NVUlJFTlQuOTk2LjE0LzA2LzIwMjYuLi5VU0QuSAEAAADpcQIAAwAAAAAA2V2B2f7J3ghvrvzb/sneCDpDSVEuTllTRTpCQUguSVFfQ1VSUkVOVF9QT1JUX0xFQVNFUy45OTAuMTQvMDYvMjAyNi4uLlVTRC5IAQAAAOlxAgADAAAAAADZXYHZ/sneCG+u/Nv+yd4IKUNJUS5OWVNFOkJBSC5JUV9BRS45OTguMTQvMDYvMjAyNi4uLlVTRC5IAQAAAOlxAgACAAAAAzU0MAEIAAAA</t>
  </si>
  <si>
    <t>BQAAAAExAQAAAAstMTg4NzcwNDk5MwMAAAADMTYwAgAAAAQxMDE2BAAAAAEwBwAAAAk2LzE0LzIwMjYIAAAACTMvMzEvMjAyNAkAAAABMNldgdn+yd4Ib6782/7J3ggpQ0lRLk5ZU0U6QkFILklRX0FQLjk5Mi4xNC8wNi8yMDI2Li4uVVNELkgBAAAA6XECAAIAAAAHMzM5Ljk5MwEIAAAABQAAAAExAQAAAAoyMDM4MDkxMDc3AwAAAAMxNjACAAAABDEwMTgEAAAAATAHAAAACTYvMTQvMjAyNggAAAAJMy8zMS8yMDE4CQAAAAEw2V2B2f7J3gjA//rb/sneCC5DSVEuTllTRTpCQUguSVFfUEVOU0lPTi45OTAuMTQvMDYvMjAyNi4uLlVTRC5IAQAAAOlxAgACAAAABzExOC41NTQBCAAAAAUAAAABMQEAAAAKMTg5MTM0Nzg2OQMAAAADMTYwAgAAAAQxMjEzBAAAAAEwBwAAAAk2LzE0LzIwMjYIAAAACTMvMzEvMjAxNgkAAAABMNldgdn+yd4IZRf/2/7J3gg2Q0lRLk5ZU0U6QkFILklRX0ZJTl9ESVZfREVCVF9MVC45OTguMTQvMDYvMjAyNi4uLlVTRC5IAQAAAOlxAgADAAAAAADZXYHZ/sneCGUX/9v+yd4IN0NJUS5OWVNFOkJBSC5JUV9MT05HX1RFUk1fTEVBU0VTLjk5Mi4xNC8wNi8yMDI2Li4uVVNELkgBAAAA6XECAAMAAAAAANldgdn+yd4IZRf/2/7J3gg2Q0lRLk5ZU0U6QkFILklRX09USEVSX0NMX1NVUFBMLjEwMDAuMTQvMDYvMjAyNi4uLlVTRC5IAQAAAOlxAgACAAAAAzI2MQEIAAAABQAAAAExAQAAAAst</t>
  </si>
  <si>
    <t>MTg4NzcwNDk3NwMAAAADMTYwAgAAAAQxMDU3BAAAAAEwBwAAAAk2LzE0LzIwMjYIAAAACTMvMzEvMjAyNgkAAAABMNldgdn+yd4I+9ZF3f7J3gg7Q0lRLk5ZU0U6QkFILklRX0RFRl9UQVhfTElBQl9DVVJSRU5ULjk5NC4xNC8wNi8yMDI2Li4uVVNELkgBAAAA6XECAAMAAAAAANldgdn+yd4Ib6782/7J3ggtQ0lRLk5ZU0U6QkFILklRX0NPTU1PTi45OTIuMTQvMDYvMjAyNi4uLlVTRC5IAQAAAOlxAgACAAAABDEuNTgBCAAAAAUAAAABMQEAAAAKMjAzODA5MTA3NwMAAAADMTYwAgAAAAQxMTAzBAAAAAEwBwAAAAk2LzE0LzIwMjYIAAAACTMvMzEvMjAxOAkAAAABMHxfRtn+yd4IaoYB3P7J3gg0Q0lRLk5ZU0U6QkFILklRX1BSRUZfQ09OVkVSVC4xMDAwLjE0LzA2LzIwMjYuLi5VU0QuSAEAAADpcQIAAwAAAAAAfF9G2f7J3ghgJUTd/sneCDZDSVEuTllTRTpCQUguSVFfUFJFRl9OT05fUkVERUVNLjk5NC4xNC8wNi8yMDI2Li4uVVNELkgBAAAA6XECAAMAAAAAANldgdn+yd4IZRf/2/7J3ggxQ0lRLk5ZU0U6QkFILklRX1RPVEFMX0xJQUIuOTkwLjE0LzA2LzIwMjYuLi5VU0QuSAEAAADpcQIAAgAAAAgyNjAxLjY4MwEIAAAABQAAAAExAQAAAAoxODkxMzQ3ODY5AwAAAAMxNjACAAAABDEyNzYEAAAAATAHAAAACTYvMTQvMjAyNggAAAAJMy8zMS8yMDE2CQAAAAEw2V2B2f7J3ghlF//b/sneCDZDSVEuTllT</t>
  </si>
  <si>
    <t>RTpCQUguSVFfREVGX1RBWF9MSUFCX0xULjk5Ni4xNC8wNi8yMDI2Li4uVVNELkgBAAAA6XECAAIAAAAHMjM5LjYwMgEIAAAABQAAAAExAQAAAAstMTk5MjQwMjA1OQMAAAADMTYwAgAAAAQxMDI3BAAAAAEwBwAAAAk2LzE0LzIwMjYIAAAACTMvMzEvMjAyMgkAAAABMNldgdn+yd4IZRf/2/7J3ggwQ0lRLk5ZU0U6QkFILklRX1JVQV9HUk9TUy45OTQuMTQvMDYvMjAyNi4uLlVTRC5IAQAAAOlxAgADAAAAAAB8X0bZ/sneCJYkBNz+yd4IM0NJUS5OWVNFOkJBSC5JUV9UT1RBTF9FUVVJVFkuOTkwLjE0LzA2LzIwMjYuLi5VU0QuSAEAAADpcQIAAgAAAAc0MDguNDg4AQgAAAAFAAAAATEBAAAACjE4OTEzNDc4NjkDAAAAAzE2MAIAAAAEMTI3NQQAAAABMAcAAAAJNi8xNC8yMDI2CAAAAAkzLzMxLzIwMTYJAAAAATB8X0bZ/sneCGqGAdz+yd4IOkNJUS5OWVNFOkJBSC5JUV9UT1RBTF9DT01NT05fRVFVSVRZLjk5Ni4xNC8wNi8yMDI2Li4uVVNELkgBAAAA6XECAAIAAAAHMTA0Ni4wNwEIAAAABQAAAAExAQAAAAstMTk5MjQwMjA1OQMAAAADMTYwAgAAAAQxMDA2BAAAAAEwBwAAAAk2LzE0LzIwMjYIAAAACTMvMzEvMjAyMgkAAAABMHxfRtn+yd4IaoYB3P7J3ggvQ0lRLk5ZU0U6QkFILklRX1RSRUFTVVJZLjk5Mi4xNC8wNi8yMDI2Li4uVVNELkgBAAAA6XECAAIAAAAILTQ2MS40NTcBCAAAAAUAAAABMQEAAAAK</t>
  </si>
  <si>
    <t>MjAzODA5MTA3NwMAAAADMTYwAgAAAAQxMjQ4BAAAAAEwBwAAAAk2LzE0LzIwMjYIAAAACTMvMzEvMjAxOAkAAAABMHxfRtn+yd4IaoYB3P7J3ggrQ0lRLk5ZU0U6QkFILklRX0FQSUMuOTk4LjE0LzA2LzIwMjYuLi5VU0QuSAEAAADpcQIAAgAAAAM5MDkBCAAAAAUAAAABMQEAAAALLTE4ODc3MDQ5OTMDAAAAAzE2MAIAAAAEMTA4NAQAAAABMAcAAAAJNi8xNC8yMDI2CAAAAAkzLzMxLzIwMjQJAAAAATB8X0bZ/sneCGqGAdz+yd4IPENJUS5OWVNFOkJBSC5JUV9HUFBFX0VYQ0xfT1BFUl9MRUFTRVMuOTk2LjE0LzA2LzIwMjYuLi5VU0QuSAEAAADpcQIAAgAAAAc0NTYuODg4AQgAAAAFAAAAATEBAAAACy0xOTkyNDAyMDU5AwAAAAMxNjACAAAABTQ4OTc0BAAAAAEwBwAAAAk2LzE0LzIwMjYIAAAACTMvMzEvMjAyMgkAAAABMHxfRtn+yd4I3SgG3P7J3ghEQ0lRLk5ZU0U6QkFILklRX1JVQV9PUEVSQVRJTkdfTEVBU0VfQUNDVU1fREVQLjk5Mi4xNC8wNi8yMDI2Li4uVVNELkgBAAAA6XECAAMAAAAAAHxfRtn+yd4IS4wF3P7J3gg8Q0lRLk5ZU0U6QkFILklRX1JVQV9DQVBJVEFMX0xFQVNFX05FVC45OTguMTQvMDYvMjAyNi4uLlVTRC5IAQAAAOlxAgADAAAAAAB8X0bZ/sneCAE+Bdz+yd4IPkNJUS5OWVNFOkJBSC5JUV9SVUFfQ0FQSVRBTF9MRUFTRV9HUk9TUy45OTQuMTQvMDYvMjAyNi4uLlVTRC5IAQAA</t>
  </si>
  <si>
    <t>AOlxAgADAAAAAAB8X0bZ/sneCJjvBNz+yd4INUNJUS5OWVNFOkJBSC5JUV9SVUFfQUNDVU1fREVQLjEwMDAuMTQvMDYvMjAyNi4uLlVTRC5IAQAAAOlxAgADAAAAAAB8X0bZ/sneCGAlRN3+yd4IM0NJUS5OWVNFOkJBSC5JUV9UT1RBTF9MRUFTRVMuOTk4LjE0LzA2LzIwMjYuLi5VU0QuSAEAAADpcQIAAgAAAAMyMjUBCAAAAAUAAAABMQEAAAALLTE4ODc3MDQ5OTMDAAAAAzE2MAIAAAAFNDg5NzkEAAAAATAHAAAACTYvMTQvMjAyNggAAAAJMy8zMS8yMDI0CQAAAAEwfF9G2f7J3gjkywbc/sneCEhDSVEuTllTRTpCQUguSVFfTFRfUE9SVElPTl9PUEVSX0xFQVNFX0xJQUJJTElUSUVTLjk5NC4xNC8wNi8yMDI2Li4uVVNELkgBAAAA6XECAAIAAAAHMjcwLjI2NgEIAAAABQAAAAExAQAAAAstMjA5NTEyNjA5MAMAAAADMTYwAgAAAAU0ODM4MwQAAAABMAcAAAAJNi8xNC8yMDI2CAAAAAkzLzMxLzIwMjAJAAAAATB8X0bZ/sneCOTLBtz+yd4IPENJUS5OWVNFOkJBSC5JUV9UT1RBTF9GSU5BTkNFX0xFQVNFUy4xMDAwLjE0LzA2LzIwMjYuLi5VU0QuSAEAAADpcQIAAwAAAAAAfF9G2f7J3ghgJUTd/sneCD1DSVEuTllTRTpCQUguSVFfRklOQU5DRV9MRUFTRVNfQ1VSUkVOVC45OTYuMTQvMDYvMjAyNi4uLlVTRC5IAQAAAOlxAgADAAAAAAB8X0bZ/sneCOTLBtz+yd4IPENJUS5OWVNFOkJBSC5JUV9OUFBFX0VY</t>
  </si>
  <si>
    <t>Q0xfT1BFUl9MRUFTRVMuOTkwLjE0LzA2LzIwMjYuLi5VU0QuSAEAAADpcQIAAgAAAAcxMjMuMjY5AQgAAAAFAAAAATEBAAAACjE4OTEzNDc4NjkDAAAAAzE2MAIAAAAFNDg5NzYEAAAAATAHAAAACTYvMTQvMjAyNggAAAAJMy8zMS8yMDE2CQAAAAEwfF9G2f7J3gijYwbc/sneCDFDSVEuTllTRTpCQUguSVFfVEJWX1NIQVJFLjEwMDAuMTQvMDYvMjAyNi4uLlVTRC5IAQAAAOlxAgACAAAACi0xNC45ODIzODUBCAAAAAUAAAABMQEAAAALLTE4ODc3MDQ5NzcDAAAAAzE2MAIAAAAENDE1NgQAAAABMAcAAAAJNi8xNC8yMDI2CAAAAAkzLzMxLzIwMjYJAAAAATBKR0fZ/sneCGAlRN3+yd4IL0NJUS5OWVNFOkJBSC5JUV9CVl9TSEFSRS45OTYuMTQvMDYvMjAyNi4uLlVTRC5IAQAAAOlxAgACAAAACDcuODg5ODQ1AQgAAAAFAAAAATEBAAAACy0xOTkyNDAyMDU5AwAAAAMxNjACAAAABDQwMjAEAAAAATAHAAAACTYvMTQvMjAyNggAAAAJMy8zMS8yMDIyCQAAAAEwSkdH2f7J3gjkywbc/sneCEJDSVEuTllTRTpCQUguSVFfVE9UQUxfREVCVF9FWENMX09QRVJfTEVBU0VTLjk5OC4xNC8wNi8yMDI2Li4uVVNELkgBAAAA6XECAAIAAAAEMzQxMgEIAAAABQAAAAExAQAAAAstMTg4NzcwNDk5MwMAAAADMTYwAgAAAAU0ODk4MgQAAAABMAcAAAAJNi8xNC8yMDI2CAAAAAkzLzMxLzIwMjQJAAAAATB8X0bZ/sneCOTLBtz+</t>
  </si>
  <si>
    <t>yd4IU0NJUS5OWVNFOkJBSC5JUV9GSU5BTkNJTkdfT0JMSUdfTk9OX0NVUlJFTlRfRVhDTF9PUEVSX0xFQVNFUy45OTIuMTQvMDYvMjAyNi4uLlVTRC5IAQAAAOlxAgACAAAACDE3NTUuNDc5AQgAAAAFAAAAATEBAAAACjIwMzgwOTEwNzcDAAAAAzE2MAIAAAAFNDg5ODEEAAAAATAHAAAACTYvMTQvMjAyNggAAAAJMy8zMS8yMDE4CQAAAAEwfF9G2f7J3gjkywbc/sneCDBDSVEuTllTRTpCQUguSVFfVE9UQUxfQ0FQLjk5MC4xNC8wNi8yMDI2Li4uVVNELkgBAAAA6XECAAIAAAAIMjA4NS43NDkBCAAAAAUAAAABMQEAAAAKMTg5MTM0Nzg2OQMAAAADMTYwAgAAAAQ0MTc1BAAAAAEwBwAAAAk2LzE0LzIwMjYIAAAACTMvMzEvMjAxNgkAAAABMEpHR9n+yd4IBT8K3P7J3gg9Q0lRLk5ZU0U6QkFILklRX1RPVEFMX0RFQlRfTk9OX0NVUlJFTlQuOTk4LjE0LzA2LzIwMjYuLi5VU0QuSAEAAADpcQIAAgAAAAQzNTMyAQgAAAAFAAAAATEBAAAACy0xODg3NzA0OTkzAwAAAAMxNjACAAAABTI1MjI0BAAAAAEwBwAAAAk2LzE0LzIwMjYIAAAACTMvMzEvMjAyNAkAAAABMEpHR9n+yd4IkcgI3P7J3gg5Q0lRLk5ZU0U6QkFILklRX1RPVEFMX0RFQlRfQ1VSUkVOVC45OTIuMTQvMDYvMjAyNi4uLlVTRC5IAQAAAOlxAgACAAAABTE0My4xAQgAAAAFAAAAATEBAAAACjIwMzgwOTEwNzcDAAAAAzE2MAIAAAAFMjUyMjMEAAAA</t>
  </si>
  <si>
    <t>ATAHAAAACTYvMTQvMjAyNggAAAAJMy8zMS8yMDE4CQAAAAEwSkdH2f7J3giRyAjc/sneCDBDSVEuTllTRTpCQUguSVFfR1dfSU5UQU4uMTAwMC4xNC8wNi8yMDI2Li4uVVNELkgBAAAA6XECAAIAAAAEMjkwOAEIAAAABQAAAAExAQAAAAstMTg4NzcwNDk3NwMAAAADMTYwAgAAAAUzNTM4MQQAAAABMAcAAAAJNi8xNC8yMDI2CAAAAAkzLzMxLzIwMjYJAAAAATBKR0fZ/sneCGAlRN3+yd4IKkNJUS5OWVNFOkJBSC5JUV9UQlYuOTk0LjE0LzA2LzIwMjYuLi5VU0QuSAEAAADpcQIAAgAAAAktMTAyNS43OTEBCAAAAAUAAAABMQEAAAALLTIwOTUxMjYwOTADAAAAAzE2MAIAAAAEMTMxMAQAAAABMAcAAAAJNi8xNC8yMDI2CAAAAAkzLzMxLzIwMjAJAAAAATBKR0fZ/sneCJHICNz+yd4ILkNJUS5OWVNFOkJBSC5JUV9XSVBfSU5WLjk5Mi4xNC8wNi8yMDI2Li4uVVNELkgBAAAA6XECAAMAAAAAAEpHR9n+yd4I4T0L3P7J3ggyQ0lRLk5ZU0U6QkFILklRX0FSX1VOQklMTEVELjk5NC4xNC8wNi8yMDI2Li4uVVNELkgBAAAA6XECAAIAAAAHOTg4LjYzNAEIAAAABQAAAAExAQAAAAstMjA5NTEyNjA5MAMAAAADMTYwAgAAAAU0NTQyMAQAAAABMAcAAAAJNi8xNC8yMDI2CAAAAAkzLzMxLzIwMjAJAAAAATBKR0fZ/sneCOE9C9z+yd4IN0NJUS5OWVNFOkJBSC5JUV9BTExPV19ET1VCVF9BQ0NULjk5MC4xNC8wNi8yMDI2</t>
  </si>
  <si>
    <t>Li4uVVNELkgBAAAA6XECAAIAAAAFMC42NTYBCAAAAAUAAAABMQEAAAAKMTg5MTM0Nzg2OQMAAAADMTYwAgAAAAQzMDEyBAAAAAEwBwAAAAk2LzE0LzIwMjYIAAAACTMvMzEvMjAxNgkAAAABMEpHR9n+yd4I4T0L3P7J3ggyQ0lRLk5ZU0U6QkFILklRX1dPUktJTkdfQ0FQLjk5Ni4xNC8wNi8yMDI2Li4uVVNELkgBAAAA6XECAAIAAAAHOTExLjcyMgEIAAAABQAAAAExAQAAAAstMTk5MjQwMjA1OQMAAAADMTYwAgAAAAQ0MTY1BAAAAAEwBwAAAAk2LzE0LzIwMjYIAAAACTMvMzEvMjAyMgkAAAABMEpHR9n+yd4IBT8K3P7J3gg8Q0lRLk5ZU0U6QkFILklRX0xFQVNFSE9MRF9JTVBST1ZFTUVOVC45OTQuMTQvMDYvMjAyNi4uLlVTRC5IAQAAAOlxAgACAAAABzI0NS42ODUBCAAAAAUAAAABMQEAAAALLTIwOTUxMjYwOTADAAAAAzE2MAIAAAAEMzEwMAQAAAABMAcAAAAJNi8xNC8yMDI2CAAAAAkzLzMxLzIwMjAJAAAAATBKR0fZ/sneCB0hENz+yd4IPUNJUS5OWVNFOkJBSC5JUV9OQVRVUkFMX1JFU09VUkNFU19DT1NULjk5MC4xNC8wNi8yMDI2Li4uVVNELkgBAAAA6XECAAMAAAAAAEpHR9n+yd4IbqoN3P7J3ggwQ0lRLk5ZU0U6QkFILklRX01BQ0hJTkVSWS45OTYuMTQvMDYvMjAyNi4uLlVTRC5IAQAAAOlxAgACAAAABzIyMS41NDYBCAAAAAUAAAABMQEAAAALLTE5OTI0MDIwNTkDAAAAAzE2MAIAAAAEMzEx</t>
  </si>
  <si>
    <t>NAQAAAABMAcAAAAJNi8xNC8yMDI2CAAAAAkzLzMxLzIwMjIJAAAAATBKR0fZ/sneCOE9C9z+yd4IK0NJUS5OWVNFOkJBSC5JUV9MQU5ELjk5Mi4xNC8wNi8yMDI2Li4uVVNELkgBAAAA6XECAAMAAAAAAEpHR9n+yd4I4T0L3P7J3ggzQ0lRLk5ZU0U6QkFILklRX0ZJTklTSEVEX0lOVi45OTguMTQvMDYvMjAyNi4uLlVTRC5IAQAAAOlxAgADAAAAAABKR0fZ/sneCOE9C9z+yd4IRUNJUS5OWVNFOkJBSC5JUV9UT1RBTF9HRU5FUkFMX1BBUlRORVJfSU5URVJFU1QuOTk2LjE0LzA2LzIwMjYuLi5VU0QuSAEAAADpcQIAAwAAAAAASkdH2f7J3ggdIRDc/sneCEJDSVEuTllTRTpCQUguSVFfR0VORVJBTF9QQVJUTkVSX1BSRUZfRVFVSVRZLjk5Mi4xNC8wNi8yMDI2Li4uVVNELkgBAAAA6XECAAMAAAAAAEpHR9n+yd4IHSEQ3P7J3ghCQ0lRLk5ZU0U6QkFILklRX0RFRl9UQVhfVkFMVUFUSU9OX0FMTE9XQU5DRS45OTguMTQvMDYvMjAyNi4uLlVTRC5IAQAAAOlxAgACAAAAATgBCAAAAAUAAAABMQEAAAALLTE4ODc3MDQ5OTMDAAAAAzE2MAIAAAAFNDYwNDUEAAAAATAHAAAACTYvMTQvMjAyNggAAAAJMy8zMS8yMDI0CQAAAAEwSkdH2f7J3ggdIRDc/sneCD5DSVEuTllTRTpCQUguSVFfTUlOT1JJVFlfSU5UX1JFREVFTV9UT1QuOTk0LjE0LzA2LzIwMjYuLi5VU0QuSAEAAADpcQIAAwAAAAAASkdH2f7J3ggdIRDc</t>
  </si>
  <si>
    <t>/sneCDtDSVEuTllTRTpCQUguSVFfTUlOT1JJVFlfSU5UX1JFREVFTS4xMDAwLjE0LzA2LzIwMjYuLi5VU0QuSAEAAADpcQIAAwAAAAAASkdH2f7J3ggS10Pd/sneCDpDSVEuTllTRTpCQUguSVFfTElBQklMSVRJRVNfTEVWRUxfMS45OTguMTQvMDYvMjAyNi4uLlVTRC5IAQAAAOlxAgACAAAAAjI5AIYrFNn+yd4IDZMS3P7J3ghHQ0lRLk5ZU0U6QkFILklRX0FTU0VUU19ORVRUSU5HX09USEVSX0FESlVTVE1FTlRTLjk5NC4xNC8wNi8yMDI2Li4uVVNELkgBAAAA6XECAAMAAAAAAEpHR9n+yd4IDZMS3P7J3gg2Q0lRLk5ZU0U6QkFILklRX0FTU0VUU19MRVZFTF8yLjEwMDAuMTQvMDYvMjAyNi4uLlVTRC5IAQAAAOlxAgADAAAAAABKR0fZ/sneCLiIQ93+yd4ISUNJUS5OWVNFOkJBSC5JUV9MSVFVSURBVElPTl9WQUxVRV9QUkVGRVJSRURfUkVERUVNLjk5Ni4xNC8wNi8yMDI2Li4uVVNELkgBAAAA6XECAAMAAAAAAEpHR9n+yd4IHSEQ3P7J3ghNQ0lRLk5ZU0U6QkFILklRX0xJUVVJREFUSU9OX1ZBTFVFX1BSRUZFUlJFRF9OT05fUkVERUVNLjk5MC4xNC8wNi8yMDI2Li4uVVNELkgBAAAA6XECAAMAAAAAAEpHR9n+yd4IHSEQ3P7J3ghMQ0lRLk5ZU0U6QkFILklRX0xJQUJJTElUSUVTX05FVFRJTkdfT1RIRVJfQURKVVNUTUVOVFMuOTk4LjE0LzA2LzIwMjYuLi5VU0QuSAEAAADpcQIAAwAAAAAAhisU2f7J</t>
  </si>
  <si>
    <t>3ggNkxLc/sneCDdDSVEuTllTRTpCQUguSVFfRklOX0RJVl9MSUFCX0xULjIwMDAuMTQvMDYvMjAyNi4uLlVTRC5IAQAAAOlxAgADAAAAAADZXYHZ/sneCGUX/9v+yd4INkNJUS5OWVNFOkJBSC5JUV9GSU5fRElWX0RFQlRfTFQuOTkwLjE0LzA2LzIwMjYuLi5VU0QuSAEAAADpcQIAAwAAAAAA2V2B2f7J3ghlF//b/sneCC9DSVEuTllTRTpCQUguSVFfVE9UQUxfQ0wuOTkzLjE0LzA2LzIwMjYuLi5VU0QuSAEAAADpcQIAAgAAAAgxMTc5LjIzOQEIAAAABQAAAAExAQAAAAoyMDk5MDg3MTMzAwAAAAMxNjACAAAABDEwMDkEAAAAATAHAAAACTYvMTQvMjAyNggAAAAJMy8zMS8yMDE5CQAAAAEw2V2B2f7J3ghlF//b/sneCDpDSVEuTllTRTpCQUguSVFfVU5FQVJOX1JFVl9DVVJSRU5ULjEwMDAuMTQvMDYvMjAyNi4uLlVTRC5IAQAAAOlxAgACAAAAAjI4AQgAAAAFAAAAATEBAAAACy0xODg3NzA0OTc3AwAAAAMxNjACAAAABDEwNzQEAAAAATAHAAAACTYvMTQvMjAyNggAAAAJMy8zMS8yMDI2CQAAAAEw2V2B2f7J3gj71kXd/sneCDpDSVEuTllTRTpCQUguSVFfSU5DX1RBWF9QQVlfQ1VSUkVOVC45OTAuMTQvMDYvMjAyNi4uLlVTRC5IAQAAAOlxAgADAAAAAADZXYHZ/sneCG+u/Nv+yd4IKUNJUS5OWVNFOkJBSC5JUV9SRS45OTUuMTQvMDYvMjAyNi4uLlVTRC5IAQAAAOlxAgACAAAACDE3NTcuNTI0AQgAAAAF</t>
  </si>
  <si>
    <t>AAAAATEBAAAACy0yMDQzMjE1MzkyAwAAAAMxNjACAAAABDEyMjIEAAAAATAHAAAACTYvMTQvMjAyNggAAAAJMy8zMS8yMDIxCQAAAAEwfF9G2f7J3ghqhgHc/sneCDNDSVEuTllTRTpCQUguSVFfUFJFRl9FUVVJVFkuMTAwMC4xNC8wNi8yMDI2Li4uVVNELkgBAAAA6XECAAMAAAAAAHxfRtn+yd4IYCVE3f7J3ggzQ0lRLk5ZU0U6QkFILklRX1BSRUZfQ09OVkVSVC45OTcuMTQvMDYvMjAyNi4uLlVTRC5IAQAAAOlxAgADAAAAAAB/qILZ/sneCGqGAdz+yd4IMkNJUS5OWVNFOkJBSC5JUV9UT1RBTF9MSUFCLjIwMDAuMTQvMDYvMjAyNi4uLlVTRC5IAQAAAOlxAgACAAAABDYwMTMBCAAAAAUAAAABMQEAAAALLTE4ODc3MDQzNDEDAAAAAzE2MAIAAAAEMTI3NgQAAAABMAcAAAAJNi8xNC8yMDI2CAAAAAkzLzMxLzIwMjYJAAAAATDZXYHZ/sneCGUX/9v+yd4INENJUS5OWVNFOkJBSC5JUV9PVEhFUl9MSUFCX0xULjk5MS4xNC8wNi8yMDI2Li4uVVNELkgBAAAA6XECAAIAAAAHMTA0LjQ0NwEIAAAABQAAAAExAQAAAAoxOTY1NzcyNDIyAwAAAAMxNjACAAAABDEwNjIEAAAAATAHAAAACTYvMTQvMjAyNggAAAAJMy8zMS8yMDE3CQAAAAEw2V2B2f7J3ghlF//b/sneCERDSVEuTllTRTpCQUguSVFfUlVBX09QRVJBVElOR19MRUFTRV9BQ0NVTV9ERVAuOTk5LjE0LzA2LzIwMjYuLi5VU0QuSAEAAADpcQIAAwAAAAAA</t>
  </si>
  <si>
    <t>fF9G2f7J3ghgJUTd/sneCEJDSVEuTllTRTpCQUguSVFfUlVBX0NBUElUQUxfTEVBU0VfQUNDVU1fREVQLjk5Mi4xNC8wNi8yMDI2Li4uVVNELkgBAAAA6XECAAMAAAAAAHxfRtn+yd4ImO8E3P7J3gg0Q0lRLk5ZU0U6QkFILklRX1JVQV9BQ0NVTV9ERVAuOTkzLjE0LzA2LzIwMjYuLi5VU0QuSAEAAADpcQIAAwAAAAAAfF9G2f7J3ggzdwTc/sneCDRDSVEuTllTRTpCQUguSVFfVE9UQUxfRVFVSVRZLjEwMDAuMTQvMDYvMjAyNi4uLlVTRC5IAQAAAOlxAgACAAAABDExMDUBCAAAAAUAAAABMQEAAAALLTE4ODc3MDQ5NzcDAAAAAzE2MAIAAAAEMTI3NQQAAAABMAcAAAAJNi8xNC8yMDI2CAAAAAkzLzMxLzIwMjYJAAAAATB8X0bZ/sneCGAlRN3+yd4IOkNJUS5OWVNFOkJBSC5JUV9UT1RBTF9DT01NT05fRVFVSVRZLjk5NC4xNC8wNi8yMDI2Li4uVVNELkgBAAAA6XECAAIAAAAHODU2LjM1NgEIAAAABQAAAAExAQAAAAstMjA5NTEyNjA5MAMAAAADMTYwAgAAAAQxMDA2BAAAAAEwBwAAAAk2LzE0LzIwMjYIAAAACTMvMzEvMjAyMAkAAAABMHxfRtn+yd4IaoYB3P7J3gg9Q0lRLk5ZU0U6QkFILklRX1RPVEFMX0RFQlRfRVhDTF9MRUFTRVMuOTk4LjE0LzA2LzIwMjYuLi5VU0QuSAEAAADpcQIAAgAAAAQzNDEyAQgAAAAFAAAAATEBAAAACy0xODg3NzA0OTkzAwAAAAMxNjACAAAABTQ4OTkyBAAAAAEwBwAAAAk2</t>
  </si>
  <si>
    <t>LzE0LzIwMjYIAAAACTMvMzEvMjAyNAkAAAABMHxfRtn+yd4I5MsG3P7J3ghPQ0lRLk5ZU0U6QkFILklRX0ZJTkFOQ0lOR19PQkxJR19DVVJSRU5UX0VYQ0xfT1BFUl9MRUFTRVMuOTk2LjE0LzA2LzIwMjYuLi5VU0QuSAEAAADpcQIAAgAAAAY3Mi43MDMBCAAAAAUAAAABMQEAAAALLTE5OTI0MDIwNTkDAAAAAzE2MAIAAAAFNDg5ODAEAAAAATAHAAAACTYvMTQvMjAyNggAAAAJMy8zMS8yMDIyCQAAAAEwfF9G2f7J3gjkywbc/sneCEhDSVEuTllTRTpCQUguSVFfTFRfUE9SVElPTl9PUEVSX0xFQVNFX0xJQUJJTElUSUVTLjk5MS4xNC8wNi8yMDI2Li4uVVNELkgBAAAA6XECAAMAAAAAAHxfRtn+yd4I5MsG3P7J3gg/Q0lRLk5ZU0U6QkFILklRX0ZJTkFOQ0VfTEVBU0VTX0xPTkdfVEVSTS45OTguMTQvMDYvMjAyNi4uLlVTRC5IAQAAAOlxAgADAAAAAAB8X0bZ/sneCOTLBtz+yd4IOkNJUS5OWVNFOkJBSC5JUV9BRF9FWENMX09QRVJfTEVBU0VTLjk5MS4xNC8wNi8yMDI2Li4uVVNELkgBAAAA6XECAAIAAAAILTI3Mi42NTMBCAAAAAUAAAABMQEAAAAKMTk2NTc3MjQyMgMAAAADMTYwAgAAAAU0ODk3NQQAAAABMAcAAAAJNi8xNC8yMDI2CAAAAAkzLzMxLzIwMTcJAAAAATB8X0bZ/sneCKNjBtz+yd4IOENJUS5OWVNFOkJBSC5JUV9BTExPV19ET1VCVF9BQ0NULjEwMDAuMTQvMDYvMjAyNi4uLlVTRC5IAQAA</t>
  </si>
  <si>
    <t>AOlxAgACAAAAATEBCAAAAAUAAAABMQEAAAALLTE4ODc3MDQ5NzcDAAAAAzE2MAIAAAAEMzAxMgQAAAABMAcAAAAJNi8xNC8yMDI2CAAAAAkzLzMxLzIwMjYJAAAAATBKR0fZ/sneCGAlRN3+yd4IPkNJUS5OWVNFOkJBSC5JUV9NSU5PUklUWV9JTlRFUkVTVF9UT1RBTC45OTguMTQvMDYvMjAyNi4uLlVTRC5IAQAAAOlxAgADAAAAAABKR0fZ/sneCAU/Ctz+yd4IMkNJUS5OWVNFOkJBSC5JUV9UT1RBTF9ERUJULjIwMDAuMTQvMDYvMjAyNi4uLlVTRC5IAQAAAOlxAgACAAAABDQxMjIBCAAAAAUAAAABMQEAAAALLTE4ODc3MDQzNDEDAAAAAzE2MAIAAAAENDE3MwQAAAABMAcAAAAJNi8xNC8yMDI2CAAAAAkzLzMxLzIwMjYJAAAAATBKR0fZ/sneCJHICNz+yd4IK0NJUS5OWVNFOkJBSC5JUV9UQlYuMjAwMC4xNC8wNi8yMDI2Li4uVVNELkgBAAAA6XECAAIAAAAFLTE4MDMBCAAAAAUAAAABMQEAAAALLTE4ODc3MDQzNDEDAAAAAzE2MAIAAAAEMTMxMAQAAAABMAcAAAAJNi8xNC8yMDI2CAAAAAkzLzMxLzIwMjYJAAAAATBKR0fZ/sneCJHICNz+yd4IOENJUS5OWVNFOkJBSC5JUV9CVl9TSEFSRV9SRVBPUlRFRC45OTAuMTQvMDYvMjAyNi4uLlVTRC5IAQAAAOlxAgADAAAAAABKR0fZ/sneCOTLBtz+yd4ITENJUS5OWVNFOkJBSC5JUV9MSUFCSUxJVElFU19ORVRUSU5HX09USEVSX0FESlVTVE1FTlRTLjk5MS4x</t>
  </si>
  <si>
    <t>NC8wNi8yMDI2Li4uVVNELkgBAAAA6XECAAMAAAAAAIYrFNn+yd4IDZMS3P7J3gg1Q0lRLk5ZU0U6QkFILklRX0FTU0VUU19MRVZFTF8xLjk5MC4xNC8wNi8yMDI2Li4uVVNELkgBAAAA6XECAAIAAAAGNDIuMTAyAEpHR9n+yd4IHSEQ3P7J3ghBQ0lRLk5ZU0U6QkFILklRX0ZJTl9ESVZfTUlOT1JJVFlfSU5URVJFU1QuMTAwMC4xNC8wNi8yMDI2Li4uVVNELkgBAAAA6XECAAMAAAAAAEpHR9n+yd4IEtdD3f7J3gg9Q0lRLk5ZU0U6QkFILklRX05BVFVSQUxfUkVTT1VSQ0VTX0NPU1QuOTk2LjE0LzA2LzIwMjYuLi5VU0QuSAEAAADpcQIAAwAAAAAASkdH2f7J3ghuqg3c/sneCDNDSVEuTllTRTpCQUguSVFfRklOSVNIRURfSU5WLjk5MC4xNC8wNi8yMDI2Li4uVVNELkgBAAAA6XECAAMAAAAAAEpHR9n+yd4I4T0L3P7J3ghDQ0lRLk5ZU0U6QkFILklRX0RBX1NVUFBMX0NGX0VYQ0xfT1BFUl9MRUFTRVMuOTkzLjE0LzA2LzIwMjYuLi5VU0QuSAEAAADpcQIAAgAAAAY0Ny42NzUBCAAAAAUAAAABMQEAAAAKMjA5OTA4NzEzMwMAAAADMTYwAgAAAAU0ODk4MwQAAAABMAcAAAAJNi8xNC8yMDI2CAAAAAkzLzMxLzIwMTkJAAAAATDDnH/Z/sneCDW96Nv+yd4IRENJUS5OWVNFOkJBSC5JUV9ERVBSRUNJQVRJT05fUkVOVEFMX0FTU0VUU19DRi45OTkuMTQvMDYvMjAyNi4uLlVTRC5IAQAAAOlxAgADAAAAAADDnH/Z</t>
  </si>
  <si>
    <t>/sneCGBBSN3+yd4IQENJUS5OWVNFOkJBSC5JUV9HV19JTlRBTl9BTU9SVF9QQVJUSUFMX0NGLjk5NS4xNC8wNi8yMDI2Li4uVVNELkgBAAAA6XECAAMAAAAAAMOcf9n+yd4INb3o2/7J3gg5Q0lRLk5ZU0U6QkFILklRX0NBU0hfSU5URVJFU1RfT1BFUi45OTUuMTQvMDYvMjAyNi4uLlVTRC5IAQAAAOlxAgADAAAAAAA85HzZ/sneCB/C69v+yd4IOUNJUS5OWVNFOkJBSC5JUV9DQVNIX0lOVEVSRVNUX05FVC4yMDAwLjE0LzA2LzIwMjYuLi5VU0QuSAEAAADpcQIAAgAAAAMxOTEBCAAAAAUAAAABMQEAAAALLTE4ODc3MDQzNDEDAAAAAzE2MAIAAAAFMjQzODkEAAAAATAHAAAACTYvMTQvMjAyNggAAAAJMy8zMS8yMDI2CQAAAAEwPOR82f7J3gi5+unb/sneCEJDSVEuTllTRTpCQUguSVFfU0FMRV9QUk9DRUVEU19SRU5UQUxfQVNTRVRTLjk5Ny4xNC8wNi8yMDI2Li4uVVNELkgBAAAA6XECAAMAAAAAANkggdn+yd4Iufrp2/7J3gg/Q0lRLk5ZU0U6QkFILklRX0FNT1JUX1NPRlRXQVJFX0FTU0VUU19DRi45OTEuMTQvMDYvMjAyNi4uLlVTRC5IAQAAAOlxAgADAAAAAADZIIHZ/sneCLn66dv+yd4IO0NJUS5OWVNFOkJBSC5JUV9ORUdBVElWRV9HV19BTU9SVF9DRi45OTcuMTQvMDYvMjAyNi4uLlVTRC5IAQAAAOlxAgADAAAAAADDnH/Z/sneCDW96Nv+yd4IMkNJUS5OWVNFOkJBSC5JUV9MRVZFUkVEX0ZDRi45</t>
  </si>
  <si>
    <t>OTcuMTQvMDYvMjAyNi4uLlVTRC5IAQAAAOlxAgACAAAABzg4MC41ODkBCAAAAAUAAAABMQEAAAALLTE5NDE1NDY4NzEDAAAAAzE2MAIAAAAENDQyMgQAAAABMAcAAAAJNi8xNC8yMDI2CAAAAAkzLzMxLzIwMjMJAAAAATA85HzZ/sneCPi27Nv+yd4IQUNJUS5OWVNFOkJBSC5JUV9DSEFOR0VfTkVUX1dPUktJTkdfQ0FQSVRBTC45OTEuMTQvMDYvMjAyNi4uLlVTRC5IAQAAAOlxAgACAAAABS02LjMzAQgAAAAFAAAAATEBAAAACjE5NjU3NzI0MjIDAAAAAzE2MAIAAAAENDQyMQQAAAABMAcAAAAJNi8xNC8yMDI2CAAAAAkzLzMxLzIwMTcJAAAAATA85HzZ/sneCPi27Nv+yd4IOENJUS5OWVNFOkJBSC5JUV9DQVNIX1RBWEVTX0lOVkVTVC45OTkuMTQvMDYvMjAyNi4uLlVTRC5IAQAAAOlxAgADAAAAAAA85HzZ/sneCPvWRd3+yd4INkNJUS5OWVNFOkJBSC5JUV9DQVNIX1RBWEVTX09QRVIuOTkzLjE0LzA2LzIwMjYuLi5VU0QuSAEAAADpcQIAAwAAAAAAPOR82f7J3gj4tuzb/sneCDpDSVEuTllTRTpCQUguSVFfQ0FTSF9JTlRFUkVTVF9GSU5BTi45OTkuMTQvMDYvMjAyNi4uLlVTRC5IAQAAAOlxAgADAAAAAAA85HzZ/sneCGBBSN3+yd4ISkNJUS5OWVNFOkJBSC5JUV9PUEVSQVRJTkdfTEVBU0VfTElBQklMSVRJRVNfTk9OQ0FTSC45OTkuMTQvMDYvMjAyNi4uLlVTRC5IAQAAAOlxAgADAAAAAAB8H37Z/sne</t>
  </si>
  <si>
    <t>CPvWRd3+yd4IQkNJUS5OWVNFOkJBSC5JUV9PUEVSQVRJTkdfTEVBU0VfTElBQklMSVRJRVMuOTkzLjE0LzA2LzIwMjYuLi5VU0QuSAEAAADpcQIAAwAAAAAAfB9+2f7J3giJpfDb/sneCDRDSVEuTllTRTpCQUguSVFfRE9fSU5WRVNUX0NGLjIwMDAuMTQvMDYvMjAyNi4uLlVTRC5IAQAAAOlxAgADAAAAAAB8H37Z/sneCEEJ8Nv+yd4IMkNJUS5OWVNFOkJBSC5JUV9NQUlOVF9DQVBFWC45OTUuMTQvMDYvMjAyNi4uLlVTRC5IAQAAAOlxAgADAAAAAAA85HzZ/sneCM247tv+yd4IMENJUS5OWVNFOkJBSC5JUV9DRl9TSEFSRS4yMDAwLjE0LzA2LzIwMjYuLi5VU0QuSAEAAADpcQIAAgAAAAg3Ljc5MDUwNQEIAAAABQAAAAExAQAAAAstMTg4NzcwNDM0MQMAAAADMTYwAgAAAAU0MzkyMwQAAAABMAcAAAAJNi8xNC8yMDI2CAAAAAkzLzMxLzIwMjYJAAAAATA85HzZ/sneCM247tv+yd4IKUNJUS5OWVNFOkJBSC5JUV9BUi45OTMuMTQvMDYvMjAyNi4uLlVTRC5IAQAAAOlxAgACAAAACDEzMzAuMzY0AQgAAAAFAAAAATEBAAAACjIwOTkwODcxMzMDAAAAAzE2MAIAAAAEMTAyMQQAAAABMAcAAAAJNi8xNC8yMDI2CAAAAAkzLzMxLzIwMTkJAAAAATB8H37Z/sneCI358tv+yd4IMUNJUS5OWVNFOkJBSC5JUV9TVF9JTlZFU1QuMjAwMC4xNC8wNi8yMDI2Li4uVVNELkgBAAAA6XECAAMAAAAAAHwfftn+yd4IgKvy2/7J</t>
  </si>
  <si>
    <t>3ggxQ0lRLk5ZU0U6QkFILklRX0NBU0hfRVFVSVYuOTk1LjE0LzA2LzIwMjYuLi5VU0QuSAEAAADpcQIAAgAAAAc5OTAuOTU1AQgAAAAFAAAAATEBAAAACy0yMDQzMjE1MzkyAwAAAAMxNjACAAAABDEwOTYEAAAAATAHAAAACTYvMTQvMjAyNggAAAAJMy8zMS8yMDIxCQAAAAEwfB9+2f7J3ggSNvLb/sneCDpDSVEuTllTRTpCQUguSVFfR0FJTl9CQVJHQUlOX0FDUV9DRi45OTEuMTQvMDYvMjAyNi4uLlVTRC5IAQAAAOlxAgADAAAAAAB8H37Z/sneCNXA8dv+yd4IPUNJUS5OWVNFOkJBSC5JUV9ERUZfVEFYX0FTU0VUU19DVVJSRU5ULjk5NS4xNC8wNi8yMDI2Li4uVVNELkgBAAAA6XECAAMAAAAAANldgdn+yd4Ir1712/7J3gg9Q0lRLk5ZU0U6QkFILklRX0ZJTl9ESVZfQVNTRVRTX0NVUlJFTlQuOTkxLjE0LzA2LzIwMjYuLi5VU0QuSAEAAADpcQIAAwAAAAAAfB9+2f7J3gg74PTb/sneCDJDSVEuTllTRTpCQUguSVFfUFJFUEFJRF9FWFAuOTk3LjE0LzA2LzIwMjYuLi5VU0QuSAEAAADpcQIAAgAAAAY3My40ODgBCAAAAAUAAAABMQEAAAALLTE5NDE1NDY4NzEDAAAAAzE2MAIAAAAEMTIxMgQAAAABMAcAAAAJNi8xNC8yMDI2CAAAAAkzLzMxLzIwMjMJAAAAATB8H37Z/sneCI358tv+yd4IM0NJUS5OWVNFOkJBSC5JUV9UT1RBTF9SRUNFSVYuOTkzLjE0LzA2LzIwMjYuLi5VU0QuSAEAAADpcQIAAgAAAAgx</t>
  </si>
  <si>
    <t>MzMwLjM2NAEIAAAABQAAAAExAQAAAAoyMDk5MDg3MTMzAwAAAAMxNjACAAAABDEwMDEEAAAAATAHAAAACTYvMTQvMjAyNggAAAAJMy8zMS8yMDE5CQAAAAEwfB9+2f7J3giN+fLb/sneCDNDSVEuTllTRTpCQUguSVFfT1RIRVJfUkVDRUlWLjk5OS4xNC8wNi8yMDI2Li4uVVNELkgBAAAA6XECAAMAAAAAAHwfftn+yd4I+9ZF3f7J3ggzQ0lRLk5ZU0U6QkFILklRX09USEVSX0lOVEFOLjIwMDAuMTQvMDYvMjAyNi4uLlVTRC5IAQAAAOlxAgACAAAAAzUwOQEIAAAABQAAAAExAQAAAAstMTg4NzcwNDM0MQMAAAADMTYwAgAAAAQxMDQwBAAAAAEwBwAAAAk2LzE0LzIwMjYIAAAACTMvMzEvMjAyNgkAAAABMNldgdn+yd4Ibs332/7J3ggwQ0lRLk5ZU0U6QkFILklRX0xUX0lOVkVTVC45OTkuMTQvMDYvMjAyNi4uLlVTRC5IAQAAAOlxAgACAAAAAjkwAQgAAAAFAAAAATEBAAAACy0xODg3NzA1MDAxAwAAAAMxNjACAAAABDEwNTQEAAAAATAHAAAACTYvMTQvMjAyNggAAAAJMy8zMS8yMDI1CQAAAAEw2V2B2f7J3gj71kXd/sneCClDSVEuTllTRTpCQUguSVFfQUQuOTk3LjE0LzA2LzIwMjYuLi5VU0QuSAEAAADpcQIAAgAAAAgtMjkzLjkyNgEIAAAABQAAAAExAQAAAAstMTk0MTU0Njg3MQMAAAADMTYwAgAAAAQxMDc1BAAAAAEwBwAAAAk2LzE0LzIwMjYIAAAACTMvMzEvMjAyMwkAAAABMNldgdn+yd4Ir1712/7J</t>
  </si>
  <si>
    <t>3ggvQ0lRLk5ZU0U6QkFILklRX1RPVEFMX0NBLjk5NS4xNC8wNi8yMDI2Li4uVVNELkgBAAAA6XECAAIAAAAIMjYzNi4xNzIBCAAAAAUAAAABMQEAAAALLTIwNDMyMTUzOTIDAAAAAzE2MAIAAAAEMTAwOAQAAAABMAcAAAAJNi8xNC8yMDI2CAAAAAkzLzMxLzIwMjEJAAAAATDZXYHZ/sneCK9e9dv+yd4IN0NJUS5OWVNFOkJBSC5JUV9SRVNUUklDVEVEX0NBU0guMjAwMC4xNC8wNi8yMDI2Li4uVVNELkgBAAAA6XECAAMAAAAAANldgdn+yd4Ir1712/7J3gguQ0lRLk5ZU0U6QkFILklRX1NUX0RFQlQuOTkxLjE0LzA2LzIwMjYuLi5VU0QuSAEAAADpcQIAAwAAAAAA2V2B2f7J3ghvrvzb/sneCClDSVEuTllTRTpCQUguSVFfQVAuOTkwLjE0LzA2LzIwMjYuLi5VU0QuSAEAAADpcQIAAgAAAAYyNDYuNjcBCAAAAAUAAAABMQEAAAAKMTg5MTM0Nzg2OQMAAAADMTYwAgAAAAQxMDE4BAAAAAEwBwAAAAk2LzE0LzIwMjYIAAAACTMvMzEvMjAxNgkAAAABMNldgdn+yd4IwP/62/7J3gg2Q0lRLk5ZU0U6QkFILklRX09USEVSX0xUX0FTU0VUUy45OTEuMTQvMDYvMjAyNi4uLlVTRC5IAQAAAOlxAgACAAAABTI1LjY1AQgAAAAFAAAAATEBAAAACjE5NjU3NzI0MjIDAAAAAzE2MAIAAAAEMTA2MAQAAAABMAcAAAAJNi8xNC8yMDI2CAAAAAkzLzMxLzIwMTcJAAAAATDZXYHZ/sneCG7N99v+yd4IOENJUS5OWVNFOkJBSC5J</t>
  </si>
  <si>
    <t>UV9ERUZfVEFYX0FTU0VUU19MVC45OTEuMTQvMDYvMjAyNi4uLlVTRC5IAQAAAOlxAgACAAAABjEwLjgyNQEIAAAABQAAAAExAQAAAAoxOTY1NzcyNDIyAwAAAAMxNjACAAAABDEwMjYEAAAAATAHAAAACTYvMTQvMjAyNggAAAAJMy8zMS8yMDE3CQAAAAEw2V2B2f7J3ghuzffb/sneCCxDSVEuTllTRTpCQUguSVFfQVJfTFQuOTkwLjE0LzA2LzIwMjYuLi5VU0QuSAEAAADpcQIAAgAAAAY1MS4xNDUBCAAAAAUAAAABMQEAAAAKMTg5MTM0Nzg2OQMAAAADMTYwAgAAAAQxMDg4BAAAAAEwBwAAAAk2LzE0LzIwMjYIAAAACTMvMzEvMjAxNgkAAAABMNldgdn+yd4Ibs332/7J3gg4Q0lRLk5ZU0U6QkFILklRX0xPTkdfVEVSTV9MRUFTRVMuMjAwMC4xNC8wNi8yMDI2Li4uVVNELkgBAAAA6XECAAIAAAADMTM5AQgAAAAFAAAAATEBAAAACy0xODg3NzA0MzQxAwAAAAMxNjACAAAABDExODMEAAAAATAHAAAACTYvMTQvMjAyNggAAAAJMy8zMS8yMDI2CQAAAAEw2V2B2f7J3ghlF//b/sneCC5DSVEuTllTRTpCQUguSVFfTFRfREVCVC45OTAuMTQvMDYvMjAyNi4uLlVTRC5IAQAAAOlxAgACAAAACDE0ODQuNDQ4AQgAAAAFAAAAATEBAAAACjE4OTEzNDc4NjkDAAAAAzE2MAIAAAAEMTA0OQQAAAABMAcAAAAJNi8xNC8yMDI2CAAAAAkzLzMxLzIwMTYJAAAAATDZXYHZ/sneCGUX/9v+yd4IOUNJUS5OWVNFOkJBSC5JUV9V</t>
  </si>
  <si>
    <t>TkVBUk5fUkVWX0NVUlJFTlQuOTk5LjE0LzA2LzIwMjYuLi5VU0QuSAEAAADpcQIAAgAAAAIxOAEIAAAABQAAAAExAQAAAAstMTg4NzcwNTAwMQMAAAADMTYwAgAAAAQxMDc0BAAAAAEwBwAAAAk2LzE0LzIwMjYIAAAACTMvMzEvMjAyNQkAAAABMNldgdn+yd4I+9ZF3f7J3gg8Q0lRLk5ZU0U6QkFILklRX0ZJTl9ESVZfTElBQl9DVVJSRU5ULjIwMDAuMTQvMDYvMjAyNi4uLlVTRC5IAQAAAOlxAgADAAAAAADZXYHZ/sneCG+u/Nv+yd4IO0NJUS5OWVNFOkJBSC5JUV9DVVJSRU5UX1BPUlRfTEVBU0VTLjIwMDAuMTQvMDYvMjAyNi4uLlVTRC5IAQAAAOlxAgACAAAAAjQzAQgAAAAFAAAAATEBAAAACy0xODg3NzA0MzQxAwAAAAMxNjACAAAABDEwOTAEAAAAATAHAAAACTYvMTQvMjAyNggAAAAJMy8zMS8yMDI2CQAAAAEw2V2B2f7J3ghvrvzb/sneCC1DSVEuTllTRTpCQUguSVFfQ09NTU9OLjk5Ni4xNC8wNi8yMDI2Li4uVVNELkgBAAAA6XECAAIAAAAFMS42NDYBCAAAAAUAAAABMQEAAAALLTE5OTI0MDIwNTkDAAAAAzE2MAIAAAAEMTEwMwQAAAABMAcAAAAJNi8xNC8yMDI2CAAAAAkzLzMxLzIwMjIJAAAAATB8X0bZ/sneCGqGAdz+yd4IM0NJUS5OWVNFOkJBSC5JUV9QUkVGX0NPTlZFUlQuOTk2LjE0LzA2LzIwMjYuLi5VU0QuSAEAAADpcQIAAwAAAAAAf6iC2f7J3ghqhgHc/sneCDJDSVEuTllTRTpCQUgu</t>
  </si>
  <si>
    <t>SVFfVE9UQUxfTElBQi4xMDAwLjE0LzA2LzIwMjYuLi5VU0QuSAEAAADpcQIAAgAAAAQ2MDEzAQgAAAAFAAAAATEBAAAACy0xODg3NzA0OTc3AwAAAAMxNjACAAAABDEyNzYEAAAAATAHAAAACTYvMTQvMjAyNggAAAAJMy8zMS8yMDI2CQAAAAEw2V2B2f7J3ghgJUTd/sneCDRDSVEuTllTRTpCQUguSVFfT1RIRVJfTElBQl9MVC45OTAuMTQvMDYvMjAyNi4uLlVTRC5IAQAAAOlxAgACAAAABjU4Ljc2OAEIAAAABQAAAAExAQAAAAoxODkxMzQ3ODY5AwAAAAMxNjACAAAABDEwNjIEAAAAATAHAAAACTYvMTQvMjAyNggAAAAJMy8zMS8yMDE2CQAAAAEw2V2B2f7J3ghlF//b/sneCDdDSVEuTllTRTpCQUguSVFfRklOX0RJVl9MSUFCX0xULjEwMDAuMTQvMDYvMjAyNi4uLlVTRC5IAQAAAOlxAgADAAAAAADZXYHZ/sneCGAlRN3+yd4IQ0NJUS5OWVNFOkJBSC5JUV9SVUFfQ0FQSVRBTF9MRUFTRV9BQ0NVTV9ERVAuMTAwMC4xNC8wNi8yMDI2Li4uVVNELkgBAAAA6XECAAMAAAAAAHxfRtn+yd4IYCVE3f7J3gg0Q0lRLk5ZU0U6QkFILklRX1JVQV9BQ0NVTV9ERVAuOTk4LjE0LzA2LzIwMjYuLi5VU0QuSAEAAADpcQIAAwAAAAAAfF9G2f7J3ggKnwTc/sneCDNDSVEuTllTRTpCQUguSVFfVE9UQUxfRVFVSVRZLjk5OS4xNC8wNi8yMDI2Li4uVVNELkgBAAAA6XECAAIAAAAEMTAwMwEIAAAABQAAAAExAQAAAAstMTg4</t>
  </si>
  <si>
    <t>NzcwNTAwMQMAAAADMTYwAgAAAAQxMjc1BAAAAAEwBwAAAAk2LzE0LzIwMjYIAAAACTMvMzEvMjAyNQkAAAABMHxfRtn+yd4IYCVE3f7J3gg6Q0lRLk5ZU0U6QkFILklRX1RPVEFMX0NPTU1PTl9FUVVJVFkuOTkzLjE0LzA2LzIwMjYuLi5VU0QuSAEAAADpcQIAAgAAAAc2NzUuMzY2AQgAAAAFAAAAATEBAAAACjIwOTkwODcxMzMDAAAAAzE2MAIAAAAEMTAwNgQAAAABMAcAAAAJNi8xNC8yMDI2CAAAAAkzLzMxLzIwMTkJAAAAATB8X0bZ/sneCGqGAdz+yd4IKUNJUS5OWVNFOkJBSC5JUV9SRS45OTQuMTQvMDYvMjAyNi4uLlVTRC5IAQAAAOlxAgACAAAACDEzMzAuODEyAQgAAAAFAAAAATEBAAAACy0yMDk1MTI2MDkwAwAAAAMxNjACAAAABDEyMjIEAAAAATAHAAAACTYvMTQvMjAyNggAAAAJMy8zMS8yMDIwCQAAAAEwfF9G2f7J3ghqhgHc/sneCE9DSVEuTllTRTpCQUguSVFfRklOQU5DSU5HX09CTElHX0NVUlJFTlRfRVhDTF9PUEVSX0xFQVNFUy45OTQuMTQvMDYvMjAyNi4uLlVTRC5IAQAAAOlxAgACAAAABzE5Ni42OTYBCAAAAAUAAAABMQEAAAALLTIwOTUxMjYwOTADAAAAAzE2MAIAAAAFNDg5ODAEAAAAATAHAAAACTYvMTQvMjAyNggAAAAJMy8zMS8yMDIwCQAAAAEwfF9G2f7J3gjkywbc/sneCEhDSVEuTllTRTpCQUguSVFfTFRfUE9SVElPTl9PUEVSX0xFQVNFX0xJQUJJTElUSUVTLjk5MC4xNC8w</t>
  </si>
  <si>
    <t>Ni8yMDI2Li4uVVNELkgBAAAA6XECAAMAAAAAAHxfRtn+yd4I5MsG3P7J3gg/Q0lRLk5ZU0U6QkFILklRX0ZJTkFOQ0VfTEVBU0VTX0xPTkdfVEVSTS45OTcuMTQvMDYvMjAyNi4uLlVTRC5IAQAAAOlxAgADAAAAAAB8X0bZ/sneCOTLBtz+yd4IOkNJUS5OWVNFOkJBSC5JUV9BRF9FWENMX09QRVJfTEVBU0VTLjk5MC4xNC8wNi8yMDI2Li4uVVNELkgBAAAA6XECAAIAAAAILTI0Ni45MDEBCAAAAAUAAAABMQEAAAAKMTg5MTM0Nzg2OQMAAAADMTYwAgAAAAU0ODk3NQQAAAABMAcAAAAJNi8xNC8yMDI2CAAAAAkzLzMxLzIwMTYJAAAAATB8X0bZ/sneCKNjBtz+yd4IRENJUS5OWVNFOkJBSC5JUV9SVUFfT1BFUkFUSU5HX0xFQVNFX0FDQ1VNX0RFUC45OTguMTQvMDYvMjAyNi4uLlVTRC5IAQAAAOlxAgADAAAAAAB8X0bZ/sneCJLaBdz+yd4IMENJUS5OWVNFOkJBSC5JUV9UT1RBTF9DQVAuOTk0LjE0LzA2LzIwMjYuLi5VU0QuSAEAAADpcQIAAgAAAAgzNDE4LjEzNwEIAAAABQAAAAExAQAAAAstMjA5NTEyNjA5MAMAAAADMTYwAgAAAAQ0MTc1BAAAAAEwBwAAAAk2LzE0LzIwMjYIAAAACTMvMzEvMjAyMAkAAAABMEpHR9n+yd4IBT8K3P7J3gg5Q0lRLk5ZU0U6QkFILklRX1RPVEFMX0RFQlRfQ1VSUkVOVC45OTguMTQvMDYvMjAyNi4uLlVTRC5IAQAAAOlxAgACAAAAAzEwNQEIAAAABQAAAAExAQAAAAstMTg4</t>
  </si>
  <si>
    <t>NzcwNDk5MwMAAAADMTYwAgAAAAUyNTIyMwQAAAABMAcAAAAJNi8xNC8yMDI2CAAAAAkzLzMxLzIwMjQJAAAAATBKR0fZ/sneCJHICNz+yd4IK0NJUS5OWVNFOkJBSC5JUV9UQlYuMTAwMC4xNC8wNi8yMDI2Li4uVVNELkgBAAAA6XECAAIAAAAFLTE4MDMBCAAAAAUAAAABMQEAAAALLTE4ODc3MDQ5NzcDAAAAAzE2MAIAAAAEMTMxMAQAAAABMAcAAAAJNi8xNC8yMDI2CAAAAAkzLzMxLzIwMjYJAAAAATBKR0fZ/sneCGAlRN3+yd4IMENJUS5OWVNFOkJBSC5JUV9CVl9TSEFSRS4xMDAwLjE0LzA2LzIwMjYuLi5VU0QuSAEAAADpcQIAAgAAAAg5LjE4MjIxNgEIAAAABQAAAAExAQAAAAstMTg4NzcwNDk3NwMAAAADMTYwAgAAAAQ0MDIwBAAAAAEwBwAAAAk2LzE0LzIwMjYIAAAACTMvMzEvMjAyNgkAAAABMEpHR9n+yd4IYCVE3f7J3gg9Q0lRLk5ZU0U6QkFILklRX1RPVEFMX0RFQlRfRVhDTF9MRUFTRVMuOTk3LjE0LzA2LzIwMjYuLi5VU0QuSAEAAADpcQIAAgAAAAgyODEzLjUxNAEIAAAABQAAAAExAQAAAAstMTk0MTU0Njg3MQMAAAADMTYwAgAAAAU0ODk5MgQAAAABMAcAAAAJNi8xNC8yMDI2CAAAAAkzLzMxLzIwMjMJAAAAATB8X0bZ/sneCOTLBtz+yd4INUNJUS5OWVNFOkJBSC5JUV9BU1NFVFNfTEVWRUxfMS45OTYuMTQvMDYvMjAyNi4uLlVTRC5IAQAAAOlxAgACAAAABjIwLjgxMgBKR0fZ/sneCB0h</t>
  </si>
  <si>
    <t>ENz+yd4IQENJUS5OWVNFOkJBSC5JUV9GSU5fRElWX01JTk9SSVRZX0lOVEVSRVNULjk5OS4xNC8wNi8yMDI2Li4uVVNELkgBAAAA6XECAAMAAAAAAEpHR9n+yd4IEtdD3f7J3ggqQ0lRLk5ZU0U6QkFILklRX0NJUC45OTAuMTQvMDYvMjAyNi4uLlVTRC5IAQAAAOlxAgADAAAAAABKR0fZ/sneCB0hENz+yd4IL0NJUS5OWVNFOkJBSC5JUV9XSVBfSU5WLjEwMDAuMTQvMDYvMjAyNi4uLlVTRC5IAQAAAOlxAgADAAAAAABKR0fZ/sneCBLXQ93+yd4INENJUS5OWVNFOkJBSC5JUV9FUVVJVFlfTUVUSE9ELjk5Ni4xNC8wNi8yMDI2Li4uVVNELkgBAAAA6XECAAMAAAAAAEpHR9n+yd4I4T0L3P7J3ghDQ0lRLk5ZU0U6QkFILklRX0RBX1NVUFBMX0NGX0VYQ0xfT1BFUl9MRUFTRVMuOTkyLjE0LzA2LzIwMjYuLi5VU0QuSAEAAADpcQIAAgAAAAY0NC4wNTYBCAAAAAUAAAABMQEAAAAKMjAzODA5MTA3NwMAAAADMTYwAgAAAAU0ODk4MwQAAAABMAcAAAAJNi8xNC8yMDI2CAAAAAkzLzMxLzIwMTgJAAAAATDDnH/Z/sneCDW96Nv+yd4IRENJUS5OWVNFOkJBSC5JUV9ERVBSRUNJQVRJT05fUkVOVEFMX0FTU0VUU19DRi45OTguMTQvMDYvMjAyNi4uLlVTRC5IAQAAAOlxAgADAAAAAADDnH/Z/sneCDW96Nv+yd4IMUNJUS5OWVNFOkJBSC5JUV9ERVBSRV9TVVBQLjk5Mi4xNC8wNi8yMDI2Li4uVVNELkgBAAAA6XECAAIA</t>
  </si>
  <si>
    <t>AAAENDQuMwEIAAAABQAAAAExAQAAAAoyMDM4MDkxMDc3AwAAAAMxNjACAAAABDIxNDMEAAAAATAHAAAACTYvMTQvMjAyNggAAAAJMy8zMS8yMDE4CQAAAAEww5x/2f7J3gg1vejb/sneCExDSVEuTllTRTpCQUguSVFfTElBQklMSVRJRVNfTkVUVElOR19PVEhFUl9BREpVU1RNRU5UUy45OTAuMTQvMDYvMjAyNi4uLlVTRC5IAQAAAOlxAgADAAAAAACGKxTZ/sneCA2TEtz+yd4IOUNJUS5OWVNFOkJBSC5JUV9DQVNIX0lOVEVSRVNUX09QRVIuOTk0LjE0LzA2LzIwMjYuLi5VU0QuSAEAAADpcQIAAwAAAAAAPOR82f7J3ggfwuvb/sneCDlDSVEuTllTRTpCQUguSVFfQ0FTSF9JTlRFUkVTVF9ORVQuMTAwMC4xNC8wNi8yMDI2Li4uVVNELkgBAAAA6XECAAIAAAADMTkxAQgAAAAFAAAAATEBAAAACy0xODg3NzA0OTc3AwAAAAMxNjACAAAABTI0Mzg5BAAAAAEwBwAAAAk2LzE0LzIwMjYIAAAACTMvMzEvMjAyNgkAAAABMDzkfNn+yd4IYEFI3f7J3gg0Q0lRLk5ZU0U6QkFILklRX0NBU0hfSU5URVJFU1QuOTk0LjE0LzA2LzIwMjYuLi5VU0QuSAEAAADpcQIAAgAAAAY4NC4xMjUBCAAAAAUAAAABMQEAAAALLTIwOTUxMjYwOTADAAAAAzE2MAIAAAAEMzAyOAQAAAABMAcAAAAJNi8xNC8yMDI2CAAAAAkzLzMxLzIwMjAJAAAAATA85HzZ/sneCLn66dv+yd4IP0NJUS5OWVNFOkJBSC5JUV9BTU9SVF9TT0ZUV0FSRV9B</t>
  </si>
  <si>
    <t>U1NFVFNfQ0YuOTkwLjE0LzA2LzIwMjYuLi5VU0QuSAEAAADpcQIAAwAAAAAA2SCB2f7J3gi5+unb/sneCDtDSVEuTllTRTpCQUguSVFfTkVHQVRJVkVfR1dfQU1PUlRfQ0YuOTk2LjE0LzA2LzIwMjYuLi5VU0QuSAEAAADpcQIAAwAAAAAAw5x/2f7J3gg1vejb/sneCDJDSVEuTllTRTpCQUguSVFfTEVWRVJFRF9GQ0YuOTk2LjE0LzA2LzIwMjYuLi5VU0QuSAEAAADpcQIAAgAAAAk2NzEuNDExNzUBCAAAAAUAAAABMQEAAAALLTE5OTI0MDIwNTkDAAAAAzE2MAIAAAAENDQyMgQAAAABMAcAAAAJNi8xNC8yMDI2CAAAAAkzLzMxLzIwMjIJAAAAATA85HzZ/sneCPi27Nv+yd4IQUNJUS5OWVNFOkJBSC5JUV9DSEFOR0VfTkVUX1dPUktJTkdfQ0FQSVRBTC45OTAuMTQvMDYvMjAyNi4uLlVTRC5IAQAAAOlxAgACAAAABzEwNS42MjEBCAAAAAUAAAABMQEAAAAKMTg5MTM0Nzg2OQMAAAADMTYwAgAAAAQ0NDIxBAAAAAEwBwAAAAk2LzE0LzIwMjYIAAAACTMvMzEvMjAxNgkAAAABMDzkfNn+yd4I+Lbs2/7J3gg3Q0lRLk5ZU0U6QkFILklRX0NBU0hfVEFYRVNfRklOQU4uOTk2LjE0LzA2LzIwMjYuLi5VU0QuSAEAAADpcQIAAwAAAAAAPOR82f7J3gj4tuzb/sneCDZDSVEuTllTRTpCQUguSVFfQ0FTSF9UQVhFU19PUEVSLjk5Mi4xNC8wNi8yMDI2Li4uVVNELkgBAAAA6XECAAMAAAAAADzkfNn+yd4I+Lbs2/7J3gg6</t>
  </si>
  <si>
    <t>Q0lRLk5ZU0U6QkFILklRX0NBU0hfSU5URVJFU1RfRklOQU4uOTk4LjE0LzA2LzIwMjYuLi5VU0QuSAEAAADpcQIAAwAAAAAAPOR82f7J3ggYTuzb/sneCEpDSVEuTllTRTpCQUguSVFfT1BFUkFUSU5HX0xFQVNFX0xJQUJJTElUSUVTX05PTkNBU0guOTk4LjE0LzA2LzIwMjYuLi5VU0QuSAEAAADpcQIAAwAAAAAAfB9+2f7J3gjVGvHb/sneCEJDSVEuTllTRTpCQUguSVFfT1BFUkFUSU5HX0xFQVNFX0xJQUJJTElUSUVTLjk5Mi4xNC8wNi8yMDI2Li4uVVNELkgBAAAA6XECAAMAAAAAAHwfftn+yd4IiaXw2/7J3gg0Q0lRLk5ZU0U6QkFILklRX0RPX0ZJTkFOQ0VfQ0YuOTk4LjE0LzA2LzIwMjYuLi5VU0QuSAEAAADpcQIAAwAAAAAAfB9+2f7J3ghBCfDb/sneCDJDSVEuTllTRTpCQUguSVFfTUFJTlRfQ0FQRVguOTk0LjE0LzA2LzIwMjYuLi5VU0QuSAEAAADpcQIAAwAAAAAAPOR82f7J3gjNuO7b/sneCDBDSVEuTllTRTpCQUguSVFfQ0ZfU0hBUkUuMTAwMC4xNC8wNi8yMDI2Li4uVVNELkgBAAAA6XECAAIAAAAINy43OTA1MDUBCAAAAAUAAAABMQEAAAALLTE4ODc3MDQ5NzcDAAAAAzE2MAIAAAAFNDM5MjMEAAAAATAHAAAACTYvMTQvMjAyNggAAAAJMy8zMS8yMDI2CQAAAAEwPOR82f7J3gj71kXd/sneCClDSVEuTllTRTpCQUguSVFfQVIuOTkyLjE0LzA2LzIwMjYuLi5VU0QuSAEAAADpcQIAAgAAAAgx</t>
  </si>
  <si>
    <t>MTMzLjcwNQEIAAAABQAAAAExAQAAAAoyMDM4MDkxMDc3AwAAAAMxNjACAAAABDEwMjEEAAAAATAHAAAACTYvMTQvMjAyNggAAAAJMy8zMS8yMDE4CQAAAAEwfB9+2f7J3giN+fLb/sneCDFDSVEuTllTRTpCQUguSVFfU1RfSU5WRVNULjEwMDAuMTQvMDYvMjAyNi4uLlVTRC5IAQAAAOlxAgADAAAAAAB8H37Z/sneCPvWRd3+yd4IMUNJUS5OWVNFOkJBSC5JUV9DQVNIX0VRVUlWLjk5NC4xNC8wNi8yMDI2Li4uVVNELkgBAAAA6XECAAIAAAAHNzQxLjkwMQEIAAAABQAAAAExAQAAAAstMjA5NTEyNjA5MAMAAAADMTYwAgAAAAQxMDk2BAAAAAEwBwAAAAk2LzE0LzIwMjYIAAAACTMvMzEvMjAyMAkAAAABMHwfftn+yd4IEjby2/7J3gg6Q0lRLk5ZU0U6QkFILklRX0dBSU5fQkFSR0FJTl9BQ1FfQ0YuOTkwLjE0LzA2LzIwMjYuLi5VU0QuSAEAAADpcQIAAwAAAAAAfB9+2f7J3gjVwPHb/sneCD1DSVEuTllTRTpCQUguSVFfREVGX1RBWF9BU1NFVFNfQ1VSUkVOVC45OTQuMTQvMDYvMjAyNi4uLlVTRC5IAQAAAOlxAgADAAAAAADZXYHZ/sneCK9e9dv+yd4IPUNJUS5OWVNFOkJBSC5JUV9GSU5fRElWX0FTU0VUU19DVVJSRU5ULjk5MC4xNC8wNi8yMDI2Li4uVVNELkgBAAAA6XECAAMAAAAAAHwfftn+yd4IO+D02/7J3ggyQ0lRLk5ZU0U6QkFILklRX1BSRVBBSURfRVhQLjk5Ni4xNC8wNi8yMDI2Li4uVVNELkgB</t>
  </si>
  <si>
    <t>AAAA6XECAAIAAAAGNzkuNjM1AQgAAAAFAAAAATEBAAAACy0xOTkyNDAyMDU5AwAAAAMxNjACAAAABDEyMTIEAAAAATAHAAAACTYvMTQvMjAyNggAAAAJMy8zMS8yMDIyCQAAAAEwfB9+2f7J3giN+fLb/sneCDBDSVEuTllTRTpCQUguSVFfSU5WRU5UT1JZLjk5MC4xNC8wNi8yMDI2Li4uVVNELkgBAAAA6XECAAMAAAAAAHwfftn+yd4Ijfny2/7J3ggzQ0lRLk5ZU0U6QkFILklRX09USEVSX1JFQ0VJVi45OTguMTQvMDYvMjAyNi4uLlVTRC5IAQAAAOlxAgACAAAAAjQ3AQgAAAAFAAAAATEBAAAACy0xODg3NzA0OTkzAwAAAAMxNjACAAAABDEyMDYEAAAAATAHAAAACTYvMTQvMjAyNggAAAAJMy8zMS8yMDI0CQAAAAEwfB9+2f7J3giN+fLb/sneCDNDSVEuTllTRTpCQUguSVFfT1RIRVJfSU5UQU4uMTAwMC4xNC8wNi8yMDI2Li4uVVNELkgBAAAA6XECAAIAAAADNTA5AQgAAAAFAAAAATEBAAAACy0xODg3NzA0OTc3AwAAAAMxNjACAAAABDEwNDAEAAAAATAHAAAACTYvMTQvMjAyNggAAAAJMy8zMS8yMDI2CQAAAAEw2V2B2f7J3gj71kXd/sneCDBDSVEuTllTRTpCQUguSVFfTFRfSU5WRVNULjk5OC4xNC8wNi8yMDI2Li4uVVNELkgBAAAA6XECAAIAAAACNDMBCAAAAAUAAAABMQEAAAALLTE4ODc3MDQ5OTMDAAAAAzE2MAIAAAAEMTA1NAQAAAABMAcAAAAJNi8xNC8yMDI2CAAAAAkzLzMxLzIwMjQJAAAAATDZ</t>
  </si>
  <si>
    <t>XYHZ/sneCK9e9dv+yd4IKUNJUS5OWVNFOkJBSC5JUV9BRC45OTYuMTQvMDYvMjAyNi4uLlVTRC5IAQAAAOlxAgACAAAACC0yNTQuNjU5AQgAAAAFAAAAATEBAAAACy0xOTkyNDAyMDU5AwAAAAMxNjACAAAABDEwNzUEAAAAATAHAAAACTYvMTQvMjAyNggAAAAJMy8zMS8yMDIyCQAAAAEw2V2B2f7J3givXvXb/sneCCtDSVEuTllTRTpCQUguSVFfR1BQRS45OTIuMTQvMDYvMjAyNi4uLlVTRC5IAQAAAOlxAgACAAAABzQ0NS44MjMBCAAAAAUAAAABMQEAAAAKMjAzODA5MTA3NwMAAAADMTYwAgAAAAQxMTY5BAAAAAEwBwAAAAk2LzE0LzIwMjYIAAAACTMvMzEvMjAxOAkAAAABMNldgdn+yd4Ir1712/7J3gg3Q0lRLk5ZU0U6QkFILklRX1JFU1RSSUNURURfQ0FTSC4xMDAwLjE0LzA2LzIwMjYuLi5VU0QuSAEAAADpcQIAAwAAAAAA2V2B2f7J3gj71kXd/sneCC9DSVEuTllTRTpCQUguSVFfU1RfREVCVC4xMDAwLjE0LzA2LzIwMjYuLi5VU0QuSAEAAADpcQIAAwAAAAAA2V2B2f7J3gj71kXd/sneCClDSVEuTllTRTpCQUguSVFfQVAuOTk5LjE0LzA2LzIwMjYuLi5VU0QuSAEAAADpcQIAAgAAAAM2OTMBCAAAAAUAAAABMQEAAAALLTE4ODc3MDUwMDEDAAAAAzE2MAIAAAAEMTAxOAQAAAABMAcAAAAJNi8xNC8yMDI2CAAAAAkzLzMxLzIwMjUJAAAAATDZXYHZ/sneCPvWRd3+yd4INkNJUS5OWVNFOkJBSC5JUV9P</t>
  </si>
  <si>
    <t>VEhFUl9MVF9BU1NFVFMuOTkwLjE0LzA2LzIwMjYuLi5VU0QuSAEAAADpcQIAAgAAAAYzNC40NjEBCAAAAAUAAAABMQEAAAAKMTg5MTM0Nzg2OQMAAAADMTYwAgAAAAQxMDYwBAAAAAEwBwAAAAk2LzE0LzIwMjYIAAAACTMvMzEvMjAxNgkAAAABMNldgdn+yd4Ibs332/7J3gg4Q0lRLk5ZU0U6QkFILklRX0RFRl9UQVhfQVNTRVRTX0xULjk5MC4xNC8wNi8yMDI2Li4uVVNELkgBAAAA6XECAAIAAAAGMjIuMDU0AQgAAAAFAAAAATEBAAAACjE4OTEzNDc4NjkDAAAAAzE2MAIAAAAEMTAyNgQAAAABMAcAAAAJNi8xNC8yMDI2CAAAAAkzLzMxLzIwMTYJAAAAATDZXYHZ/sneCG7N99v+yd4IOUNJUS5OWVNFOkJBSC5JUV9GSU5fRElWX0FTU0VUU19MVC4yMDAwLjE0LzA2LzIwMjYuLi5VU0QuSAEAAADpcQIAAwAAAAAA2V2B2f7J3ghuzffb/sneCDhDSVEuTllTRTpCQUguSVFfTE9OR19URVJNX0xFQVNFUy4xMDAwLjE0LzA2LzIwMjYuLi5VU0QuSAEAAADpcQIAAgAAAAMxMzkBCAAAAAUAAAABMQEAAAALLTE4ODc3MDQ5NzcDAAAAAzE2MAIAAAAEMTE4MwQAAAABMAcAAAAJNi8xNC8yMDI2CAAAAAkzLzMxLzIwMjYJAAAAATDZXYHZ/sneCPvWRd3+yd4IMENJUS5OWVNFOkJBSC5JUV9UT1RBTF9DTC4yMDAwLjE0LzA2LzIwMjYuLi5VU0QuSAEAAADpcQIAAgAAAAQxNjYzAQgAAAAFAAAAATEBAAAACy0xODg3NzA0</t>
  </si>
  <si>
    <t>MzQxAwAAAAMxNjACAAAABDEwMDkEAAAAATAHAAAACTYvMTQvMjAyNggAAAAJMy8zMS8yMDI2CQAAAAEw2V2B2f7J3ghlF//b/sneCDtDSVEuTllTRTpCQUguSVFfREVGX1RBWF9MSUFCX0NVUlJFTlQuOTkyLjE0LzA2LzIwMjYuLi5VU0QuSAEAAADpcQIAAwAAAAAA2V2B2f7J3ghvrvzb/sneCDxDSVEuTllTRTpCQUguSVFfRklOX0RJVl9MSUFCX0NVUlJFTlQuMTAwMC4xNC8wNi8yMDI2Li4uVVNELkgBAAAA6XECAAMAAAAAANldgdn+yd4I+9ZF3f7J3gg7Q0lRLk5ZU0U6QkFILklRX0NVUlJFTlRfUE9SVF9MRUFTRVMuMTAwMC4xNC8wNi8yMDI2Li4uVVNELkgBAAAA6XECAAIAAAACNDMBCAAAAAUAAAABMQEAAAALLTE4ODc3MDQ5NzcDAAAAAzE2MAIAAAAEMTA5MAQAAAABMAcAAAAJNi8xNC8yMDI2CAAAAAkzLzMxLzIwMjYJAAAAATDZXYHZ/sneCPvWRd3+yd4ILUNJUS5OWVNFOkJBSC5JUV9DT01NT04uOTk1LjE0LzA2LzIwMjYuLi5VU0QuSAEAAADpcQIAAgAAAAUxLjYyOQEIAAAABQAAAAExAQAAAAstMjA0MzIxNTM5MgMAAAADMTYwAgAAAAQxMTAzBAAAAAEwBwAAAAk2LzE0LzIwMjYIAAAACTMvMzEvMjAyMQkAAAABMHxfRtn+yd4IaoYB3P7J3ggzQ0lRLk5ZU0U6QkFILklRX1BSRUZfQ09OVkVSVC45OTQuMTQvMDYvMjAyNi4uLlVTRC5IAQAAAOlxAgADAAAAAAB/qILZ/sneCGqGAdz+yd4IMkNJ</t>
  </si>
  <si>
    <t>US5OWVNFOkJBSC5JUV9QUkVGX1JFREVFTS45OTcuMTQvMDYvMjAyNi4uLlVTRC5IAQAAAOlxAgADAAAAAADZXYHZ/sneCGUX/9v+yd4IN0NJUS5OWVNFOkJBSC5JUV9ERUZfVEFYX0xJQUJfTFQuMjAwMC4xNC8wNi8yMDI2Li4uVVNELkgBAAAA6XECAAMAAAAAANldgdn+yd4IZRf/2/7J3gg0Q0lRLk5ZU0U6QkFILklRX1VORUFSTl9SRVZfTFQuOTk2LjE0LzA2LzIwMjYuLi5VU0QuSAEAAADpcQIAAwAAAAAA2V2B2f7J3ghlF//b/sneCEJDSVEuTllTRTpCQUguSVFfUlVBX0NBUElUQUxfTEVBU0VfQUNDVU1fREVQLjk5OS4xNC8wNi8yMDI2Li4uVVNELkgBAAAA6XECAAMAAAAAAHxfRtn+yd4IYCVE3f7J3gguQ0lRLk5ZU0U6QkFILklRX1JVQV9ORVQuOTk1LjE0LzA2LzIwMjYuLi5VU0QuSAEAAADpcQIAAwAAAAAAfF9G2f7J3ggKnwTc/sneCDhDSVEuTllTRTpCQUguSVFfVE9UQUxfTElBQl9FUVVJVFkuOTk2LjE0LzA2LzIwMjYuLi5VU0QuSAEAAADpcQIAAgAAAAg2MDI1LjU3NQEIAAAABQAAAAExAQAAAAstMTk5MjQwMjA1OQMAAAADMTYwAgAAAAQxMDEzBAAAAAEwBwAAAAk2LzE0LzIwMjYIAAAACTMvMzEvMjAyMgkAAAABMHxfRtn+yd4Ip+8D3P7J3gg4Q0lRLk5ZU0U6QkFILklRX01JTk9SSVRZX0lOVEVSRVNULjk5MC4xNC8wNi8yMDI2Li4uVVNELkgBAAAA6XECAAMAAAAAAHxfRtn+yd4IaoYB</t>
  </si>
  <si>
    <t>3P7J3ggvQ0lRLk5ZU0U6QkFILklRX1RSRUFTVVJZLjk5MS4xNC8wNi8yMDI2Li4uVVNELkgBAAAA6XECAAIAAAAGLTE5MS45AQgAAAAFAAAAATEBAAAACjE5NjU3NzI0MjIDAAAAAzE2MAIAAAAEMTI0OAQAAAABMAcAAAAJNi8xNC8yMDI2CAAAAAkzLzMxLzIwMTcJAAAAATB8X0bZ/sneCGqGAdz+yd4IT0NJUS5OWVNFOkJBSC5JUV9GSU5BTkNJTkdfT0JMSUdfQ1VSUkVOVF9FWENMX09QRVJfTEVBU0VTLjk5My4xNC8wNi8yMDI2Li4uVVNELkgBAAAA6XECAAIAAAAHMTM4Ljg1MwEIAAAABQAAAAExAQAAAAoyMDk5MDg3MTMzAwAAAAMxNjACAAAABTQ4OTgwBAAAAAEwBwAAAAk2LzE0LzIwMjYIAAAACTMvMzEvMjAxOQkAAAABMHxfRtn+yd4I5MsG3P7J3gg4Q0lRLk5ZU0U6QkFILklRX1RPVEFMX09QRVJfTEVBU0VTLjk5MC4xNC8wNi8yMDI2Li4uVVNELkgBAAAA6XECAAMAAAAAAHxfRtn+yd4I5MsG3P7J3gg/Q0lRLk5ZU0U6QkFILklRX0ZJTkFOQ0VfTEVBU0VTX0xPTkdfVEVSTS45OTYuMTQvMDYvMjAyNi4uLlVTRC5IAQAAAOlxAgADAAAAAAB8X0bZ/sneCOTLBtz+yd4IOkNJUS5OWVNFOkJBSC5JUV9BRF9FWENMX09QRVJfTEVBU0VTLjk5OS4xNC8wNi8yMDI2Li4uVVNELkgBAAAA6XECAAIAAAAELTI4MQEIAAAABQAAAAExAQAAAAstMTg4NzcwNTAwMQMAAAADMTYwAgAAAAU0ODk3NQQAAAABMAcA</t>
  </si>
  <si>
    <t>AAAJNi8xNC8yMDI2CAAAAAkzLzMxLzIwMjUJAAAAATB8X0bZ/sneCGAlRN3+yd4IRENJUS5OWVNFOkJBSC5JUV9SVUFfT1BFUkFUSU5HX0xFQVNFX0FDQ1VNX0RFUC45OTYuMTQvMDYvMjAyNi4uLlVTRC5IAQAAAOlxAgADAAAAAAB8X0bZ/sneCJLaBdz+yd4IMENJUS5OWVNFOkJBSC5JUV9UT1RBTF9DQVAuOTkyLjE0LzA2LzIwMjYuLi5VU0QuSAEAAADpcQIAAgAAAAcyNDYxLjA3AQgAAAAFAAAAATEBAAAACjIwMzgwOTEwNzcDAAAAAzE2MAIAAAAENDE3NQQAAAABMAcAAAAJNi8xNC8yMDI2CAAAAAkzLzMxLzIwMTgJAAAAATBKR0fZ/sneCAU/Ctz+yd4IOUNJUS5OWVNFOkJBSC5JUV9UT1RBTF9ERUJUX0NVUlJFTlQuOTk2LjE0LzA2LzIwMjYuLi5VU0QuSAEAAADpcQIAAgAAAAcxMjUuMDM3AQgAAAAFAAAAATEBAAAACy0xOTkyNDAyMDU5AwAAAAMxNjACAAAABTI1MjIzBAAAAAEwBwAAAAk2LzE0LzIwMjYIAAAACTMvMzEvMjAyMgkAAAABMEpHR9n+yd4IkcgI3P7J3ggqQ0lRLk5ZU0U6QkFILklRX1RCVi45OTguMTQvMDYvMjAyNi4uLlVTRC5IAQAAAOlxAgACAAAABS0xODk4AQgAAAAFAAAAATEBAAAACy0xODg3NzA0OTkzAwAAAAMxNjACAAAABDEzMTAEAAAAATAHAAAACTYvMTQvMjAyNggAAAAJMy8zMS8yMDI0CQAAAAEwSkdH2f7J3giRyAjc/sneCDhDSVEuTllTRTpCQUguSVFfQlZfU0hBUkVf</t>
  </si>
  <si>
    <t>UkVQT1JURUQuOTk2LjE0LzA2LzIwMjYuLi5VU0QuSAEAAADpcQIAAwAAAAAASkdH2f7J3gjkywbc/sneCD1DSVEuTllTRTpCQUguSVFfVE9UQUxfREVCVF9FWENMX0xFQVNFUy45OTYuMTQvMDYvMjAyNi4uLlVTRC5IAQAAAOlxAgACAAAACDI4MDQuNDM1AQgAAAAFAAAAATEBAAAACy0xOTkyNDAyMDU5AwAAAAMxNjACAAAABTQ4OTkyBAAAAAEwBwAAAAk2LzE0LzIwMjYIAAAACTMvMzEvMjAyMgkAAAABMHxfRtn+yd4I5MsG3P7J3gg1Q0lRLk5ZU0U6QkFILklRX0FTU0VUU19MRVZFTF8xLjk5NS4xNC8wNi8yMDI2Li4uVVNELkgBAAAA6XECAAIAAAAGMTQuMTQyAEpHR9n+yd4IHSEQ3P7J3ghEQ0lRLk5ZU0U6QkFILklRX0dFTkVSQUxfUEFSVE5FUl9DT01NT05fRVFVSVRZLjk5Mi4xNC8wNi8yMDI2Li4uVVNELkgBAAAA6XECAAMAAAAAAEpHR9n+yd4IHSEQ3P7J3gg+Q0lRLk5ZU0U6QkFILklRX05BVFVSQUxfUkVTT1VSQ0VTX0NPU1QuMjAwMC4xNC8wNi8yMDI2Li4uVVNELkgBAAAA6XECAAMAAAAAAEpHR9n+yd4IHSEQ3P7J3gguQ0lRLk5ZU0U6QkFILklRX1dJUF9JTlYuOTk5LjE0LzA2LzIwMjYuLi5VU0QuSAEAAADpcQIAAwAAAAAASkdH2f7J3ggS10Pd/sneCDRDSVEuTllTRTpCQUguSVFfRVFVSVRZX01FVEhPRC45OTUuMTQvMDYvMjAyNi4uLlVTRC5IAQAAAOlxAgADAAAAAABKR0fZ/sneCOE9</t>
  </si>
  <si>
    <t>C9z+yd4IRENJUS5OWVNFOkJBSC5JUV9EQV9TVVBQTF9DRl9FWENMX09QRVJfTEVBU0VTLjIwMDAuMTQvMDYvMjAyNi4uLlVTRC5IAQAAAOlxAgACAAAAAjY4AQgAAAAFAAAAATEBAAAACy0xODg3NzA0MzQxAwAAAAMxNjACAAAABTQ4OTgzBAAAAAEwBwAAAAk2LzE0LzIwMjYIAAAACTMvMzEvMjAyNgkAAAABMMOcf9n+yd4INb3o2/7J3ghEQ0lRLk5ZU0U6QkFILklRX0RFUFJFQ0lBVElPTl9SRU5UQUxfQVNTRVRTX0NGLjk5Ny4xNC8wNi8yMDI2Li4uVVNELkgBAAAA6XECAAMAAAAAAMOcf9n+yd4INb3o2/7J3ggxQ0lRLk5ZU0U6QkFILklRX0RFUFJFX1NVUFAuOTkxLjE0LzA2LzIwMjYuLi5VU0QuSAEAAADpcQIAAgAAAAQ0Mi4zAQgAAAAFAAAAATEBAAAACjE5NjU3NzI0MjIDAAAAAzE2MAIAAAAEMjE0MwQAAAABMAcAAAAJNi8xNC8yMDI2CAAAAAkzLzMxLzIwMTcJAAAAATDDnH/Z/sneCDW96Nv+yd4IPUNJUS5OWVNFOkJBSC5JUV9GSU5fRElWX0xUX0RFQlRfVE9UQUwuMTAwMC4xNC8wNi8yMDI2Li4uVVNELkgBAAAA6XECAAMAAAAAAIYrFNn+yd4IKvhA3f7J3gg7Q0lRLk5ZU0U6QkFILklRX0xJQUJJTElUSUVTX0xFVkVMXzMuMTAwMC4xNC8wNi8yMDI2Li4uVVNELkgBAAAA6XECAAMAAAAAAIYrFNn+yd4IuIhD3f7J3gg7Q0lRLk5ZU0U6QkFILklRX0NBU0hfSU5URVJFU1RfSU5WRVNULjk5MS4x</t>
  </si>
  <si>
    <t>NC8wNi8yMDI2Li4uVVNELkgBAAAA6XECAAMAAAAAADzkfNn+yd4IH8Lr2/7J3gg4Q0lRLk5ZU0U6QkFILklRX0NBU0hfSU5URVJFU1RfTkVULjk5OS4xNC8wNi8yMDI2Li4uVVNELkgBAAAA6XECAAIAAAADMTg2AQgAAAAFAAAAATEBAAAACy0xODg3NzA1MDAxAwAAAAMxNjACAAAABTI0Mzg5BAAAAAEwBwAAAAk2LzE0LzIwMjYIAAAACTMvMzEvMjAyNQkAAAABMDzkfNn+yd4IYEFI3f7J3gg0Q0lRLk5ZU0U6QkFILklRX0NBU0hfSU5URVJFU1QuOTkzLjE0LzA2LzIwMjYuLi5VU0QuSAEAAADpcQIAAgAAAAY3Ni43MzEBCAAAAAUAAAABMQEAAAAKMjA5OTA4NzEzMwMAAAADMTYwAgAAAAQzMDI4BAAAAAEwBwAAAAk2LzE0LzIwMjYIAAAACTMvMzEvMjAxOQkAAAABMDzkfNn+yd4Iufrp2/7J3gg0Q0lRLk5ZU0U6QkFILklRX0FNT1JUX0RJQ19DRi4yMDAwLjE0LzA2LzIwMjYuLi5VU0QuSAEAAADpcQIAAwAAAAAA2SCB2f7J3gi5+unb/sneCDtDSVEuTllTRTpCQUguSVFfTkVHQVRJVkVfR1dfQU1PUlRfQ0YuOTk1LjE0LzA2LzIwMjYuLi5VU0QuSAEAAADpcQIAAwAAAAAAw5x/2f7J3gg1vejb/sneCDRDSVEuTllTRTpCQUguSVFfVU5MRVZFUkVEX0ZDRi45OTMuMTQvMDYvMjAyNi4uLlVTRC5IAQAAAOlxAgACAAAACDMyMi42MTQ1AQgAAAAFAAAAATEBAAAACjIwOTkwODcxMzMDAAAAAzE2MAIAAAAENDQy</t>
  </si>
  <si>
    <t>MwQAAAABMAcAAAAJNi8xNC8yMDI2CAAAAAkzLzMxLzIwMTkJAAAAATA85HzZ/sneCPi27Nv+yd4IPENJUS5OWVNFOkJBSC5JUV9DSEFOR0VfREVGX1RBWF9UT1RBTC4yMDAwLjE0LzA2LzIwMjYuLi5VU0QuSAEAAADpcQIAAgAAAAIzNQEIAAAABQAAAAExAQAAAAstMTg4NzcwNDM0MQMAAAADMTYwAgAAAAUzMDkyNAQAAAABMAcAAAAJNi8xNC8yMDI2CAAAAAkzLzMxLzIwMjYJAAAAATA85HzZ/sneCPi27Nv+yd4IN0NJUS5OWVNFOkJBSC5JUV9DQVNIX1RBWEVTX0ZJTkFOLjk5NS4xNC8wNi8yMDI2Li4uVVNELkgBAAAA6XECAAMAAAAAADzkfNn+yd4I+Lbs2/7J3gg2Q0lRLk5ZU0U6QkFILklRX0NBU0hfVEFYRVNfT1BFUi45OTEuMTQvMDYvMjAyNi4uLlVTRC5IAQAAAOlxAgADAAAAAAA85HzZ/sneCPi27Nv+yd4IOkNJUS5OWVNFOkJBSC5JUV9DQVNIX0lOVEVSRVNUX0ZJTkFOLjk5Ny4xNC8wNi8yMDI2Li4uVVNELkgBAAAA6XECAAMAAAAAADzkfNn+yd4IGE7s2/7J3ghIQ0lRLk5ZU0U6QkFILklRX0xPTkdfVEVSTV9ERUJUX1JFUEFJRF9FWENMX0xFQVNFUy45OTUuMTQvMDYvMjAyNi4uLlVTRC5IAQAAAOlxAgACAAAACC01MjcuODY1AQgAAAAFAAAAATEBAAAACy0yMDQzMjE1MzkyAwAAAAMxNjACAAAABTQ4OTg0BAAAAAEwBwAAAAk2LzE0LzIwMjYIAAAACTMvMzEvMjAyMQkAAAABMHwfftn+yd4I</t>
  </si>
  <si>
    <t>SVPx2/7J3ghCQ0lRLk5ZU0U6QkFILklRX09QRVJBVElOR19MRUFTRV9MSUFCSUxJVElFUy45OTEuMTQvMDYvMjAyNi4uLlVTRC5IAQAAAOlxAgADAAAAAAB8H37Z/sneCIml8Nv+yd4INENJUS5OWVNFOkJBSC5JUV9ET19GSU5BTkNFX0NGLjk5Ny4xNC8wNi8yMDI2Li4uVVNELkgBAAAA6XECAAMAAAAAAHwfftn+yd4IQQnw2/7J3ggyQ0lRLk5ZU0U6QkFILklRX01BSU5UX0NBUEVYLjk5My4xNC8wNi8yMDI2Li4uVVNELkgBAAAA6XECAAMAAAAAADzkfNn+yd4Izbju2/7J3ggvQ0lRLk5ZU0U6QkFILklRX0NGX1NIQVJFLjk5OS4xNC8wNi8yMDI2Li4uVVNELkgBAAAA6XECAAIAAAAHNy4xMzAzOAEIAAAABQAAAAExAQAAAAstMTg4NzcwNTAwMQMAAAADMTYwAgAAAAU0MzkyMwQAAAABMAcAAAAJNi8xNC8yMDI2CAAAAAkzLzMxLzIwMjUJAAAAATA85HzZ/sneCPvWRd3+yd4IKUNJUS5OWVNFOkJBSC5JUV9BUi45OTEuMTQvMDYvMjAyNi4uLlVTRC5IAQAAAOlxAgACAAAABjk5MS44MQEIAAAABQAAAAExAQAAAAoxOTY1NzcyNDIyAwAAAAMxNjACAAAABDEwMjEEAAAAATAHAAAACTYvMTQvMjAyNggAAAAJMy8zMS8yMDE3CQAAAAEwfB9+2f7J3giN+fLb/sneCDVDSVEuTllTRTpCQUguSVFfVFJBRElOR19BU1NFVFMuOTk3LjE0LzA2LzIwMjYuLi5VU0QuSAEAAADpcQIAAgAAAAYxMS4yNDUBCAAAAAUAAAAB</t>
  </si>
  <si>
    <t>MQEAAAALLTE5NDE1NDY4NzEDAAAAAzE2MAIAAAAEMTI0NAQAAAABMAcAAAAJNi8xNC8yMDI2CAAAAAkzLzMxLzIwMjMJAAAAATB8H37Z/sneCICr8tv+yd4IMUNJUS5OWVNFOkJBSC5JUV9DQVNIX0VRVUlWLjk5My4xNC8wNi8yMDI2Li4uVVNELkgBAAAA6XECAAIAAAAGMjgzLjk5AQgAAAAFAAAAATEBAAAACjIwOTkwODcxMzMDAAAAAzE2MAIAAAAEMTA5NgQAAAABMAcAAAAJNi8xNC8yMDI2CAAAAAkzLzMxLzIwMTkJAAAAATB8H37Z/sneCBI28tv+yd4IRUNJUS5OWVNFOkJBSC5JUV9UT1RBTF9ERUJUX1JFUEFJRF9FWENMX0xFQVNFUy4yMDAwLjE0LzA2LzIwMjYuLi5VU0QuSAEAAADpcQIAAgAAAAMtNjkBCAAAAAUAAAABMQEAAAALLTE4ODc3MDQzNDEDAAAAAzE2MAIAAAAFNDg5ODYEAAAAATAHAAAACTYvMTQvMjAyNggAAAAJMy8zMS8yMDI2CQAAAAEwfB9+2f7J3gjVwPHb/sneCD1DSVEuTllTRTpCQUguSVFfREVGX1RBWF9BU1NFVFNfQ1VSUkVOVC45OTMuMTQvMDYvMjAyNi4uLlVTRC5IAQAAAOlxAgADAAAAAADZXYHZ/sneCK9e9dv+yd4IPUNJUS5OWVNFOkJBSC5JUV9GSU5fRElWX0FTU0VUU19DVVJSRU5ULjk5OS4xNC8wNi8yMDI2Li4uVVNELkgBAAAA6XECAAMAAAAAANldgdn+yd4I+9ZF3f7J3ggyQ0lRLk5ZU0U6QkFILklRX1BSRVBBSURfRVhQLjk5NS4xNC8wNi8yMDI2Li4uVVNELkgB</t>
  </si>
  <si>
    <t>AAAA6XECAAIAAAAGNTcuNzgyAQgAAAAFAAAAATEBAAAACy0yMDQzMjE1MzkyAwAAAAMxNjACAAAABDEyMTIEAAAAATAHAAAACTYvMTQvMjAyNggAAAAJMy8zMS8yMDIxCQAAAAEwfB9+2f7J3giN+fLb/sneCDRDSVEuTllTRTpCQUguSVFfVE9UQUxfUkVDRUlWLjIwMDAuMTQvMDYvMjAyNi4uLlVTRC5IAQAAAOlxAgACAAAABDIwNjMBCAAAAAUAAAABMQEAAAALLTE4ODc3MDQzNDEDAAAAAzE2MAIAAAAEMTAwMQQAAAABMAcAAAAJNi8xNC8yMDI2CAAAAAkzLzMxLzIwMjYJAAAAATB8H37Z/sneCI358tv+yd4IM0NJUS5OWVNFOkJBSC5JUV9PVEhFUl9SRUNFSVYuOTk3LjE0LzA2LzIwMjYuLi5VU0QuSAEAAADpcQIAAgAAAAYyMy42MzMBCAAAAAUAAAABMQEAAAALLTE5NDE1NDY4NzEDAAAAAzE2MAIAAAAEMTIwNgQAAAABMAcAAAAJNi8xNC8yMDI2CAAAAAkzLzMxLzIwMjMJAAAAATB8H37Z/sneCI358tv+yd4IMkNJUS5OWVNFOkJBSC5JUV9PVEhFUl9JTlRBTi45OTkuMTQvMDYvMjAyNi4uLlVTRC5IAQAAAOlxAgACAAAAAzU2MwEIAAAABQAAAAExAQAAAAstMTg4NzcwNTAwMQMAAAADMTYwAgAAAAQxMDQwBAAAAAEwBwAAAAk2LzE0LzIwMjYIAAAACTMvMzEvMjAyNQkAAAABMNldgdn+yd4I+9ZF3f7J3ggwQ0lRLk5ZU0U6QkFILklRX0xUX0lOVkVTVC45OTcuMTQvMDYvMjAyNi4uLlVTRC5IAQAAAOlx</t>
  </si>
  <si>
    <t>AgACAAAABDMuNTMBCAAAAAUAAAABMQEAAAALLTE5NDE1NDY4NzEDAAAAAzE2MAIAAAAEMTA1NAQAAAABMAcAAAAJNi8xNC8yMDI2CAAAAAkzLzMxLzIwMjMJAAAAATDZXYHZ/sneCK9e9dv+yd4IK0NJUS5OWVNFOkJBSC5JUV9OUFBFLjk5My4xNC8wNi8yMDI2Li4uVVNELkgBAAAA6XECAAIAAAAHMTcyLjQ1MwEIAAAABQAAAAExAQAAAAoyMDk5MDg3MTMzAwAAAAMxNjACAAAABDEwMDQEAAAAATAHAAAACTYvMTQvMjAyNggAAAAJMy8zMS8yMDE5CQAAAAEw2V2B2f7J3givXvXb/sneCCtDSVEuTllTRTpCQUguSVFfR1BQRS45OTEuMTQvMDYvMjAyNi4uLlVTRC5IAQAAAOlxAgACAAAABjQwMy43MgEIAAAABQAAAAExAQAAAAoxOTY1NzcyNDIyAwAAAAMxNjACAAAABDExNjkEAAAAATAHAAAACTYvMTQvMjAyNggAAAAJMy8zMS8yMDE3CQAAAAEw2V2B2f7J3givXvXb/sneCDZDSVEuTllTRTpCQUguSVFfUkVTVFJJQ1RFRF9DQVNILjk5OS4xNC8wNi8yMDI2Li4uVVNELkgBAAAA6XECAAMAAAAAANldgdn+yd4I+9ZF3f7J3gguQ0lRLk5ZU0U6QkFILklRX1NUX0RFQlQuOTk5LjE0LzA2LzIwMjYuLi5VU0QuSAEAAADpcQIAAwAAAAAA2V2B2f7J3gj71kXd/sneCClDSVEuTllTRTpCQUguSVFfQVAuOTk4LjE0LzA2LzIwMjYuLi5VU0QuSAEAAADpcQIAAgAAAAM2NTMBCAAAAAUAAAABMQEAAAALLTE4ODc3MDQ5</t>
  </si>
  <si>
    <t>OTMDAAAAAzE2MAIAAAAEMTAxOAQAAAABMAcAAAAJNi8xNC8yMDI2CAAAAAkzLzMxLzIwMjQJAAAAATDZXYHZ/sneCMD/+tv+yd4INkNJUS5OWVNFOkJBSC5JUV9ERUZfQ0hBUkdFU19MVC4yMDAwLjE0LzA2LzIwMjYuLi5VU0QuSAEAAADpcQIAAwAAAAAA2V2B2f7J3ghuzffb/sneCDdDSVEuTllTRTpCQUguSVFfTE9BTlNfUkVDRUlWX0xULjEwMDAuMTQvMDYvMjAyNi4uLlVTRC5IAQAAAOlxAgADAAAAAADZXYHZ/sneCPvWRd3+yd4IOUNJUS5OWVNFOkJBSC5JUV9GSU5fRElWX0FTU0VUU19MVC4xMDAwLjE0LzA2LzIwMjYuLi5VU0QuSAEAAADpcQIAAwAAAAAA2V2B2f7J3gj71kXd/sneCDdDSVEuTllTRTpCQUguSVFfTE9OR19URVJNX0xFQVNFUy45OTkuMTQvMDYvMjAyNi4uLlVTRC5IAQAAAOlxAgACAAAAAzE4MAEIAAAABQAAAAExAQAAAAstMTg4NzcwNTAwMQMAAAADMTYwAgAAAAQxMTgzBAAAAAEwBwAAAAk2LzE0LzIwMjYIAAAACTMvMzEvMjAyNQkAAAABMNldgdn+yd4I+9ZF3f7J3ggwQ0lRLk5ZU0U6QkFILklRX1RPVEFMX0NMLjEwMDAuMTQvMDYvMjAyNi4uLlVTRC5IAQAAAOlxAgACAAAABDE2NjMBCAAAAAUAAAABMQEAAAALLTE4ODc3MDQ5NzcDAAAAAzE2MAIAAAAEMTAwOQQAAAABMAcAAAAJNi8xNC8yMDI2CAAAAAkzLzMxLzIwMjYJAAAAATDZXYHZ/sneCPvWRd3+yd4IPENJUS5OWVNF</t>
  </si>
  <si>
    <t>OkJBSC5JUV9ERUZfVEFYX0xJQUJfQ1VSUkVOVC4yMDAwLjE0LzA2LzIwMjYuLi5VU0QuSAEAAADpcQIAAwAAAAAA2V2B2f7J3ghvrvzb/sneCDtDSVEuTllTRTpCQUguSVFfRklOX0RJVl9MSUFCX0NVUlJFTlQuOTk5LjE0LzA2LzIwMjYuLi5VU0QuSAEAAADpcQIAAwAAAAAA2V2B2f7J3gj71kXd/sneCDpDSVEuTllTRTpCQUguSVFfQ1VSUkVOVF9QT1JUX0xFQVNFUy45OTkuMTQvMDYvMjAyNi4uLlVTRC5IAQAAAOlxAgACAAAAAjQxAQgAAAAFAAAAATEBAAAACy0xODg3NzA1MDAxAwAAAAMxNjACAAAABDEwOTAEAAAAATAHAAAACTYvMTQvMjAyNggAAAAJMy8zMS8yMDI1CQAAAAEw2V2B2f7J3gj71kXd/sneCC1DSVEuTllTRTpCQUguSVFfQ09NTU9OLjk5NC4xNC8wNi8yMDI2Li4uVVNELkgBAAAA6XECAAIAAAAFMS42MTMBCAAAAAUAAAABMQEAAAALLTIwOTUxMjYwOTADAAAAAzE2MAIAAAAEMTEwMwQAAAABMAcAAAAJNi8xNC8yMDI2CAAAAAkzLzMxLzIwMjAJAAAAATB8X0bZ/sneCGqGAdz+yd4IMUNJUS5OWVNFOkJBSC5JUV9QUkVGX09USEVSLjk5MS4xNC8wNi8yMDI2Li4uVVNELkgBAAAA6XECAAMAAAAAAHxfRtn+yd4IaoYB3P7J3ggyQ0lRLk5ZU0U6QkFILklRX1BSRUZfUkVERUVNLjk5Ni4xNC8wNi8yMDI2Li4uVVNELkgBAAAA6XECAAMAAAAAANldgdn+yd4IZRf/2/7J3gg3Q0lRLk5ZU0U6</t>
  </si>
  <si>
    <t>QkFILklRX0RFRl9UQVhfTElBQl9MVC4xMDAwLjE0LzA2LzIwMjYuLi5VU0QuSAEAAADpcQIAAwAAAAAA2V2B2f7J3ghgJUTd/sneCDRDSVEuTllTRTpCQUguSVFfVU5FQVJOX1JFVl9MVC45OTUuMTQvMDYvMjAyNi4uLlVTRC5IAQAAAOlxAgADAAAAAADZXYHZ/sneCGUX/9v+yd4IQkNJUS5OWVNFOkJBSC5JUV9SVUFfQ0FQSVRBTF9MRUFTRV9BQ0NVTV9ERVAuOTk4LjE0LzA2LzIwMjYuLi5VU0QuSAEAAADpcQIAAwAAAAAAfF9G2f7J3giY7wTc/sneCC5DSVEuTllTRTpCQUguSVFfUlVBX05FVC45OTQuMTQvMDYvMjAyNi4uLlVTRC5IAQAAAOlxAgADAAAAAAB8X0bZ/sneCAqfBNz+yd4IOENJUS5OWVNFOkJBSC5JUV9UT1RBTF9MSUFCX0VRVUlUWS45OTUuMTQvMDYvMjAyNi4uLlVTRC5IAQAAAOlxAgACAAAACDU0OTkuNjAxAQgAAAAFAAAAATEBAAAACy0yMDQzMjE1MzkyAwAAAAMxNjACAAAABDEwMTMEAAAAATAHAAAACTYvMTQvMjAyNggAAAAJMy8zMS8yMDIxCQAAAAEwfF9G2f7J3gin7wPc/sneCDtDSVEuTllTRTpCQUguSVFfVE9UQUxfQ09NTU9OX0VRVUlUWS4xMDAwLjE0LzA2LzIwMjYuLi5VU0QuSAEAAADpcQIAAgAAAAQxMTA1AQgAAAAFAAAAATEBAAAACy0xODg3NzA0OTc3AwAAAAMxNjACAAAABDEwMDYEAAAAATAHAAAACTYvMTQvMjAyNggAAAAJMy8zMS8yMDI2CQAAAAEwfF9G2f7J3ghg</t>
  </si>
  <si>
    <t>JUTd/sneCC9DSVEuTllTRTpCQUguSVFfVFJFQVNVUlkuOTkwLjE0LzA2LzIwMjYuLi5VU0QuSAEAAADpcQIAAgAAAAgtMTM1LjQ0NQEIAAAABQAAAAExAQAAAAoxODkxMzQ3ODY5AwAAAAMxNjACAAAABDEyNDgEAAAAATAHAAAACTYvMTQvMjAyNggAAAAJMy8zMS8yMDE2CQAAAAEwfF9G2f7J3ghqhgHc/sneCE9DSVEuTllTRTpCQUguSVFfRklOQU5DSU5HX09CTElHX0NVUlJFTlRfRVhDTF9PUEVSX0xFQVNFUy45OTIuMTQvMDYvMjAyNi4uLlVTRC5IAQAAAOlxAgACAAAABTE0My4xAQgAAAAFAAAAATEBAAAACjIwMzgwOTEwNzcDAAAAAzE2MAIAAAAFNDg5ODAEAAAAATAHAAAACTYvMTQvMjAyNggAAAAJMy8zMS8yMDE4CQAAAAEwfF9G2f7J3gjkywbc/sneCElDSVEuTllTRTpCQUguSVFfTFRfUE9SVElPTl9PUEVSX0xFQVNFX0xJQUJJTElUSUVTLjIwMDAuMTQvMDYvMjAyNi4uLlVTRC5IAQAAAOlxAgACAAAAAzEzOQEIAAAABQAAAAExAQAAAAstMTg4NzcwNDM0MQMAAAADMTYwAgAAAAU0ODM4MwQAAAABMAcAAAAJNi8xNC8yMDI2CAAAAAkzLzMxLzIwMjYJAAAAATB8X0bZ/sneCOTLBtz+yd4IP0NJUS5OWVNFOkJBSC5JUV9GSU5BTkNFX0xFQVNFU19MT05HX1RFUk0uOTk1LjE0LzA2LzIwMjYuLi5VU0QuSAEAAADpcQIAAwAAAAAAfF9G2f7J3gjkywbc/sneCDpDSVEuTllTRTpCQUguSVFfQURfRVhD</t>
  </si>
  <si>
    <t>TF9PUEVSX0xFQVNFUy45OTguMTQvMDYvMjAyNi4uLlVTRC5IAQAAAOlxAgACAAAABC0zMTEBCAAAAAUAAAABMQEAAAALLTE4ODc3MDQ5OTMDAAAAAzE2MAIAAAAFNDg5NzUEAAAAATAHAAAACTYvMTQvMjAyNggAAAAJMy8zMS8yMDI0CQAAAAEwfF9G2f7J3gijYwbc/sneCD5DSVEuTllTRTpCQUguSVFfUlVBX09QRVJBVElOR19MRUFTRV9ORVQuOTkzLjE0LzA2LzIwMjYuLi5VU0QuSAEAAADpcQIAAwAAAAAAfF9G2f7J3giS2gXc/sneCDBDSVEuTllTRTpCQUguSVFfVE9UQUxfQ0FQLjk5MS4xNC8wNi8yMDI2Li4uVVNELkgBAAAA6XECAAIAAAAIMjMxNi45MTUBCAAAAAUAAAABMQEAAAAKMTk2NTc3MjQyMgMAAAADMTYwAgAAAAQ0MTc1BAAAAAEwBwAAAAk2LzE0LzIwMjYIAAAACTMvMzEvMjAxNwkAAAABMEpHR9n+yd4IBT8K3P7J3gg5Q0lRLk5ZU0U6QkFILklRX1RPVEFMX0RFQlRfQ1VSUkVOVC45OTQuMTQvMDYvMjAyNi4uLlVTRC5IAQAAAOlxAgACAAAABzI0NS43MTcBCAAAAAUAAAABMQEAAAALLTIwOTUxMjYwOTADAAAAAzE2MAIAAAAFMjUyMjMEAAAAATAHAAAACTYvMTQvMjAyNggAAAAJMy8zMS8yMDIwCQAAAAEwSkdH2f7J3giRyAjc/sneCC9DSVEuTllTRTpCQUguSVFfR1dfSU5UQU4uOTk0LjE0LzA2LzIwMjYuLi5VU0QuSAEAAADpcQIAAgAAAAgxODgyLjE0NwEIAAAABQAAAAExAQAAAAst</t>
  </si>
  <si>
    <t>MjA5NTEyNjA5MAMAAAADMTYwAgAAAAUzNTM4MQQAAAABMAcAAAAJNi8xNC8yMDI2CAAAAAkzLzMxLzIwMjAJAAAAATBKR0fZ/sneCJHICNz+yd4IOENJUS5OWVNFOkJBSC5JUV9CVl9TSEFSRV9SRVBPUlRFRC45OTUuMTQvMDYvMjAyNi4uLlVTRC5IAQAAAOlxAgADAAAAAABKR0fZ/sneCOTLBtz+yd4INUNJUS5OWVNFOkJBSC5JUV9BU1NFVFNfTEVWRUxfMS45OTQuMTQvMDYvMjAyNi4uLlVTRC5IAQAAAOlxAgACAAAABTUuODc5AEpHR9n+yd4IDZMS3P7J3ghDQ0lRLk5ZU0U6QkFILklRX0RFRl9UQVhfVkFMVUFUSU9OX0FMTE9XQU5DRS4xMDAwLjE0LzA2LzIwMjYuLi5VU0QuSAEAAADpcQIAAgAAAAIxMAEIAAAABQAAAAExAQAAAAstMTg4NzcwNDk3NwMAAAADMTYwAgAAAAU0NjA0NQQAAAABMAcAAAAJNi8xNC8yMDI2CAAAAAkzLzMxLzIwMjYJAAAAATBKR0fZ/sneCBLXQ93+yd4IPkNJUS5OWVNFOkJBSC5JUV9OQVRVUkFMX1JFU09VUkNFU19DT1NULjEwMDAuMTQvMDYvMjAyNi4uLlVTRC5IAQAAAOlxAgADAAAAAABKR0fZ/sneCBLXQ93+yd4IM0NJUS5OWVNFOkJBSC5JUV9GSU5JU0hFRF9JTlYuOTk2LjE0LzA2LzIwMjYuLi5VU0QuSAEAAADpcQIAAwAAAAAASkdH2f7J3gjhPQvc/sneCDRDSVEuTllTRTpCQUguSVFfRVFVSVRZX01FVEhPRC45OTMuMTQvMDYvMjAyNi4uLlVTRC5IAQAAAOlxAgAD</t>
  </si>
  <si>
    <t>AAAAAABKR0fZ/sneCOE9C9z+yd4IRENJUS5OWVNFOkJBSC5JUV9ERVBSRUNJQVRJT05fUkVOVEFMX0FTU0VUU19DRi45OTYuMTQvMDYvMjAyNi4uLlVTRC5IAQAAAOlxAgADAAAAAADDnH/Z/sneCDW96Nv+yd4IMUNJUS5OWVNFOkJBSC5JUV9ERVBSRV9TVVBQLjk5MC4xNC8wNi8yMDI2Li4uVVNELkgBAAAA6XECAAIAAAAENTAuMQEIAAAABQAAAAExAQAAAAoxODkxMzQ3ODY5AwAAAAMxNjACAAAABDIxNDMEAAAAATAHAAAACTYvMTQvMjAyNggAAAAJMy8zMS8yMDE2CQAAAAEww5x/2f7J3gg1vejb/sneCDpDSVEuTllTRTpCQUguSVFfREFfU1VQUExfUEFSVElBTF9DRi45OTYuMTQvMDYvMjAyNi4uLlVTRC5IAQAAAOlxAgADAAAAAADDnH/Z/sneCAWL59v+yd4IPENJUS5OWVNFOkJBSC5JUV9GSU5fRElWX0xUX0RFQlRfVE9UQUwuOTk5LjE0LzA2LzIwMjYuLi5VU0QuSAEAAADpcQIAAwAAAAAAhisU2f7J3ggq+EDd/sneCD1DSVEuTllTRTpCQUguSVFfTElBQklMSVRJRVNfRkFJUl9WQUxVRS45OTIuMTQvMDYvMjAyNi4uLlVTRC5IAQAAAOlxAgACAAAABTMuNTc2AIYrFNn+yd4IDZMS3P7J3gg4Q0lRLk5ZU0U6QkFILklRX0NBU0hfSU5URVJFU1RfTkVULjk5OC4xNC8wNi8yMDI2Li4uVVNELkgBAAAA6XECAAIAAAADMTU2AQgAAAAFAAAAATEBAAAACy0xODg3NzA0OTkzAwAAAAMxNjACAAAABTI0Mzg5</t>
  </si>
  <si>
    <t>BAAAAAEwBwAAAAk2LzE0LzIwMjYIAAAACTMvMzEvMjAyNAkAAAABMDzkfNn+yd4Iufrp2/7J3gg0Q0lRLk5ZU0U6QkFILklRX0NBU0hfSU5URVJFU1QuOTkyLjE0LzA2LzIwMjYuLi5VU0QuSAEAAADpcQIAAgAAAAY2Mi40OTgBCAAAAAUAAAABMQEAAAAKMjAzODA5MTA3NwMAAAADMTYwAgAAAAQzMDI4BAAAAAEwBwAAAAk2LzE0LzIwMjYIAAAACTMvMzEvMjAxOAkAAAABMNkggdn+yd4Iufrp2/7J3gg/Q0lRLk5ZU0U6QkFILklRX0FNT1JUX1NPRlRXQVJFX0FTU0VUU19DRi45OTguMTQvMDYvMjAyNi4uLlVTRC5IAQAAAOlxAgADAAAAAADZIIHZ/sneCLn66dv+yd4IO0NJUS5OWVNFOkJBSC5JUV9ORUdBVElWRV9HV19BTU9SVF9DRi45OTQuMTQvMDYvMjAyNi4uLlVTRC5IAQAAAOlxAgADAAAAAADDnH/Z/sneCDW96Nv+yd4IRENJUS5OWVNFOkJBSC5JUV9EQV9TVVBQTF9DRl9FWENMX09QRVJfTEVBU0VTLjEwMDAuMTQvMDYvMjAyNi4uLlVTRC5IAQAAAOlxAgACAAAAAjY4AQgAAAAFAAAAATEBAAAACy0xODg3NzA0OTc3AwAAAAMxNjACAAAABTQ4OTgzBAAAAAEwBwAAAAk2LzE0LzIwMjYIAAAACTMvMzEvMjAyNgkAAAABMMOcf9n+yd4IYEFI3f7J3gg8Q0lRLk5ZU0U6QkFILklRX0NIQU5HRV9ERUZfVEFYX1RPVEFMLjEwMDAuMTQvMDYvMjAyNi4uLlVTRC5IAQAAAOlxAgACAAAAAjM1AQgAAAAFAAAA</t>
  </si>
  <si>
    <t>ATEBAAAACy0xODg3NzA0OTc3AwAAAAMxNjACAAAABTMwOTI0BAAAAAEwBwAAAAk2LzE0LzIwMjYIAAAACTMvMzEvMjAyNgkAAAABMDzkfNn+yd4I+9ZF3f7J3gg3Q0lRLk5ZU0U6QkFILklRX0NBU0hfVEFYRVNfRklOQU4uOTk0LjE0LzA2LzIwMjYuLi5VU0QuSAEAAADpcQIAAwAAAAAAPOR82f7J3gj4tuzb/sneCDdDSVEuTllTRTpCQUguSVFfQ0FTSF9UQVhFU19PUEVSLjEwMDAuMTQvMDYvMjAyNi4uLlVTRC5IAQAAAOlxAgADAAAAAAA85HzZ/sneCPvWRd3+yd4IOkNJUS5OWVNFOkJBSC5JUV9DQVNIX0lOVEVSRVNUX0ZJTkFOLjk5Ni4xNC8wNi8yMDI2Li4uVVNELkgBAAAA6XECAAMAAAAAADzkfNn+yd4IGE7s2/7J3gg7Q0lRLk5ZU0U6QkFILklRX0NBU0hfSU5URVJFU1RfSU5WRVNULjk5MC4xNC8wNi8yMDI2Li4uVVNELkgBAAAA6XECAAMAAAAAADzkfNn+yd4IH8Lr2/7J3ghCQ0lRLk5ZU0U6QkFILklRX09QRVJBVElOR19MRUFTRV9MSUFCSUxJVElFUy45OTAuMTQvMDYvMjAyNi4uLlVTRC5IAQAAAOlxAgADAAAAAAB8H37Z/sneCIml8Nv+yd4INENJUS5OWVNFOkJBSC5JUV9ET19GSU5BTkNFX0NGLjk5Ni4xNC8wNi8yMDI2Li4uVVNELkgBAAAA6XECAAMAAAAAAHwfftn+yd4IRTDw2/7J3ggzQ0lRLk5ZU0U6QkFILklRX0RPX0lOVkVTVF9DRi45OTAuMTQvMDYvMjAyNi4uLlVTRC5IAQAAAOlx</t>
  </si>
  <si>
    <t>AgADAAAAAAB8H37Z/sneCM247tv+yd4IL0NJUS5OWVNFOkJBSC5JUV9DRl9TSEFSRS45OTguMTQvMDYvMjAyNi4uLlVTRC5IAQAAAOlxAgACAAAABzEuNDcyNzcBCAAAAAUAAAABMQEAAAALLTE4ODc3MDQ5OTMDAAAAAzE2MAIAAAAFNDM5MjMEAAAAATAHAAAACTYvMTQvMjAyNggAAAAJMy8zMS8yMDI0CQAAAAEwPOR82f7J3gjNuO7b/sneCDRDSVEuTllTRTpCQUguSVFfVU5MRVZFUkVEX0ZDRi45OTIuMTQvMDYvMjAyNi4uLlVTRC5IAQAAAOlxAgACAAAACDI2MC4wNzk1AQgAAAAFAAAAATEBAAAACjIwMzgwOTEwNzcDAAAAAzE2MAIAAAAENDQyMwQAAAABMAcAAAAJNi8xNC8yMDI2CAAAAAkzLzMxLzIwMTgJAAAAATA85HzZ/sneCPi27Nv+yd4IMUNJUS5OWVNFOkJBSC5JUV9DQVNIX0VRVUlWLjk5Mi4xNC8wNi8yMDI2Li4uVVNELkgBAAAA6XECAAIAAAAHMjg2Ljk1OAEIAAAABQAAAAExAQAAAAoyMDM4MDkxMDc3AwAAAAMxNjACAAAABDEwOTYEAAAAATAHAAAACTYvMTQvMjAyNggAAAAJMy8zMS8yMDE4CQAAAAEwfB9+2f7J3ggSNvLb/sneCEVDSVEuTllTRTpCQUguSVFfVE9UQUxfREVCVF9SRVBBSURfRVhDTF9MRUFTRVMuMTAwMC4xNC8wNi8yMDI2Li4uVVNELkgBAAAA6XECAAIAAAADLTY5AQgAAAAFAAAAATEBAAAACy0xODg3NzA0OTc3AwAAAAMxNjACAAAABTQ4OTg2BAAAAAEwBwAAAAk2LzE0</t>
  </si>
  <si>
    <t>LzIwMjYIAAAACTMvMzEvMjAyNgkAAAABMHwfftn+yd4I+9ZF3f7J3ghIQ0lRLk5ZU0U6QkFILklRX0xPTkdfVEVSTV9ERUJUX1JFUEFJRF9FWENMX0xFQVNFUy45OTQuMTQvMDYvMjAyNi4uLlVTRC5IAQAAAOlxAgACAAAABy03Ni45MjIBCAAAAAUAAAABMQEAAAALLTIwOTUxMjYwOTADAAAAAzE2MAIAAAAFNDg5ODQEAAAAATAHAAAACTYvMTQvMjAyNggAAAAJMy8zMS8yMDIwCQAAAAEwfB9+2f7J3ghJU/Hb/sneCDJDSVEuTllTRTpCQUguSVFfUFJFUEFJRF9FWFAuOTk0LjE0LzA2LzIwMjYuLi5VU0QuSAEAAADpcQIAAgAAAAcxMjYuODE2AQgAAAAFAAAAATEBAAAACy0yMDk1MTI2MDkwAwAAAAMxNjACAAAABDEyMTIEAAAAATAHAAAACTYvMTQvMjAyNggAAAAJMy8zMS8yMDIwCQAAAAEwfB9+2f7J3giN+fLb/sneCDRDSVEuTllTRTpCQUguSVFfVE9UQUxfUkVDRUlWLjEwMDAuMTQvMDYvMjAyNi4uLlVTRC5IAQAAAOlxAgACAAAABDIwNjMBCAAAAAUAAAABMQEAAAALLTE4ODc3MDQ5NzcDAAAAAzE2MAIAAAAEMTAwMQQAAAABMAcAAAAJNi8xNC8yMDI2CAAAAAkzLzMxLzIwMjYJAAAAATB8H37Z/sneCPvWRd3+yd4INUNJUS5OWVNFOkJBSC5JUV9TVF9OT1RFX1JFQ0VJVi45OTQuMTQvMDYvMjAyNi4uLlVTRC5IAQAAAOlxAgADAAAAAAB8H37Z/sneCI358tv+yd4IKUNJUS5OWVNFOkJBSC5JUV9BUi45</t>
  </si>
  <si>
    <t>OTAuMTQvMDYvMjAyNi4uLlVTRC5IAQAAAOlxAgACAAAABzg5Mi4yODkBCAAAAAUAAAABMQEAAAAKMTg5MTM0Nzg2OQMAAAADMTYwAgAAAAQxMDIxBAAAAAEwBwAAAAk2LzE0LzIwMjYIAAAACTMvMzEvMjAxNgkAAAABMHwfftn+yd4Ijfny2/7J3gg1Q0lRLk5ZU0U6QkFILklRX1RSQURJTkdfQVNTRVRTLjk5Ni4xNC8wNi8yMDI2Li4uVVNELkgBAAAA6XECAAMAAAAAAHwfftn+yd4IgKvy2/7J3ggrQ0lRLk5ZU0U6QkFILklRX05QUEUuOTkyLjE0LzA2LzIwMjYuLi5VU0QuSAEAAADpcQIAAgAAAAcxNTIuMzY0AQgAAAAFAAAAATEBAAAACjIwMzgwOTEwNzcDAAAAAzE2MAIAAAAEMTAwNAQAAAABMAcAAAAJNi8xNC8yMDI2CAAAAAkzLzMxLzIwMTgJAAAAATDZXYHZ/sneCK9e9dv+yd4IK0NJUS5OWVNFOkJBSC5JUV9HUFBFLjk5MC4xNC8wNi8yMDI2Li4uVVNELkgBAAAA6XECAAIAAAAGMzcwLjE3AQgAAAAFAAAAATEBAAAACjE4OTEzNDc4NjkDAAAAAzE2MAIAAAAEMTE2OQQAAAABMAcAAAAJNi8xNC8yMDI2CAAAAAkzLzMxLzIwMTYJAAAAATDZXYHZ/sneCK9e9dv+yd4INUNJUS5OWVNFOkJBSC5JUV9PVEhFUl9DQV9TVVBQTC45OTYuMTQvMDYvMjAyNi4uLlVTRC5IAQAAAOlxAgADAAAAAADZXYHZ/sneCK9e9dv+yd4IPUNJUS5OWVNFOkJBSC5JUV9ERUZfVEFYX0FTU0VUU19DVVJSRU5ULjk5Mi4xNC8w</t>
  </si>
  <si>
    <t>Ni8yMDI2Li4uVVNELkgBAAAA6XECAAMAAAAAANldgdn+yd4Ir1712/7J3gg9Q0lRLk5ZU0U6QkFILklRX0ZJTl9ESVZfQVNTRVRTX0NVUlJFTlQuOTk4LjE0LzA2LzIwMjYuLi5VU0QuSAEAAADpcQIAAwAAAAAA2V2B2f7J3gg74PTb/sneCDZDSVEuTllTRTpCQUguSVFfT1RIRVJfTFRfQVNTRVRTLjk5Ni4xNC8wNi8yMDI2Li4uVVNELkgBAAAA6XECAAIAAAAHMzgxLjA3MQEIAAAABQAAAAExAQAAAAstMTk5MjQwMjA1OQMAAAADMTYwAgAAAAQxMDYwBAAAAAEwBwAAAAk2LzE0LzIwMjYIAAAACTMvMzEvMjAyMgkAAAABMNldgdn+yd4Ibs332/7J3gg4Q0lRLk5ZU0U6QkFILklRX0RFRl9UQVhfQVNTRVRTX0xULjk5Ny4xNC8wNi8yMDI2Li4uVVNELkgBAAAA6XECAAIAAAAGNTczLjc4AQgAAAAFAAAAATEBAAAACy0xOTQxNTQ2ODcxAwAAAAMxNjACAAAABDEwMjYEAAAAATAHAAAACTYvMTQvMjAyNggAAAAJMy8zMS8yMDIzCQAAAAEw2V2B2f7J3ghuzffb/sneCDhDSVEuTllTRTpCQUguSVFfRklOX0RJVl9BU1NFVFNfTFQuOTk5LjE0LzA2LzIwMjYuLi5VU0QuSAEAAADpcQIAAwAAAAAA2V2B2f7J3gj71kXd/sneCDJDSVEuTllTRTpCQUguSVFfT1RIRVJfSU5UQU4uOTk4LjE0LzA2LzIwMjYuLi5VU0QuSAEAAADpcQIAAgAAAAM2MDEBCAAAAAUAAAABMQEAAAALLTE4ODc3MDQ5OTMDAAAAAzE2MAIAAAAE</t>
  </si>
  <si>
    <t>MTA0MAQAAAABMAcAAAAJNi8xNC8yMDI2CAAAAAkzLzMxLzIwMjQJAAAAATDZXYHZ/sneCG7N99v+yd4IKUNJUS5OWVNFOkJBSC5JUV9HVy45OTQuMTQvMDYvMjAyNi4uLlVTRC5IAQAAAOlxAgACAAAABzE1ODEuMTYBCAAAAAUAAAABMQEAAAALLTIwOTUxMjYwOTADAAAAAzE2MAIAAAAEMTE3MQQAAAABMAcAAAAJNi8xNC8yMDI2CAAAAAkzLzMxLzIwMjAJAAAAATDZXYHZ/sneCK9e9dv+yd4IPENJUS5OWVNFOkJBSC5JUV9ERUZfVEFYX0xJQUJfQ1VSUkVOVC4xMDAwLjE0LzA2LzIwMjYuLi5VU0QuSAEAAADpcQIAAwAAAAAA2V2B2f7J3gj71kXd/sneCDtDSVEuTllTRTpCQUguSVFfRklOX0RJVl9MSUFCX0NVUlJFTlQuOTk4LjE0LzA2LzIwMjYuLi5VU0QuSAEAAADpcQIAAwAAAAAA2V2B2f7J3ghvrvzb/sneCDpDSVEuTllTRTpCQUguSVFfQ1VSUkVOVF9QT1JUX0xFQVNFUy45OTguMTQvMDYvMjAyNi4uLlVTRC5IAQAAAOlxAgACAAAAAjQzAQgAAAAFAAAAATEBAAAACy0xODg3NzA0OTkzAwAAAAMxNjACAAAABDEwOTAEAAAAATAHAAAACTYvMTQvMjAyNggAAAAJMy8zMS8yMDI0CQAAAAEw2V2B2f7J3ghvrvzb/sneCC5DSVEuTllTRTpCQUguSVFfU1RfREVCVC45OTguMTQvMDYvMjAyNi4uLlVTRC5IAQAAAOlxAgADAAAAAADZXYHZ/sneCG+u/Nv+yd4IKUNJUS5OWVNFOkJBSC5JUV9BUC45OTcuMTQv</t>
  </si>
  <si>
    <t>MDYvMjAyNi4uLlVTRC5IAQAAAOlxAgACAAAABzU5Ny44MDgBCAAAAAUAAAABMQEAAAALLTE5NDE1NDY4NzEDAAAAAzE2MAIAAAAEMTAxOAQAAAABMAcAAAAJNi8xNC8yMDI2CAAAAAkzLzMxLzIwMjMJAAAAATDZXYHZ/sneCMD/+tv+yd4IMkNJUS5OWVNFOkJBSC5JUV9QUkVGX1JFREVFTS45OTUuMTQvMDYvMjAyNi4uLlVTRC5IAQAAAOlxAgADAAAAAADZXYHZ/sneCGUX/9v+yd4INkNJUS5OWVNFOkJBSC5JUV9ERUZfVEFYX0xJQUJfTFQuOTk5LjE0LzA2LzIwMjYuLi5VU0QuSAEAAADpcQIAAwAAAAAA2V2B2f7J3ghgJUTd/sneCDVDSVEuTllTRTpCQUguSVFfVU5FQVJOX1JFVl9MVC4xMDAwLjE0LzA2LzIwMjYuLi5VU0QuSAEAAADpcQIAAwAAAAAA2V2B2f7J3ghgJUTd/sneCDZDSVEuTllTRTpCQUguSVFfRklOX0RJVl9ERUJUX0xULjk5Ni4xNC8wNi8yMDI2Li4uVVNELkgBAAAA6XECAAMAAAAAANldgdn+yd4IZRf/2/7J3ggvQ0lRLk5ZU0U6QkFILklRX1RPVEFMX0NMLjk5OS4xNC8wNi8yMDI2Li4uVVNELkgBAAAA6XECAAIAAAAEMTg0NgEIAAAABQAAAAExAQAAAAstMTg4NzcwNTAwMQMAAAADMTYwAgAAAAQxMDA5BAAAAAEwBwAAAAk2LzE0LzIwMjYIAAAACTMvMzEvMjAyNQkAAAABMNldgdn+yd4I+9ZF3f7J3gg4Q0lRLk5ZU0U6QkFILklRX1RPVEFMX0xJQUJfRVFVSVRZLjk5NC4xNC8wNi8y</t>
  </si>
  <si>
    <t>MDI2Li4uVVNELkgBAAAA6XECAAIAAAAINDc5My45NjYBCAAAAAUAAAABMQEAAAALLTIwOTUxMjYwOTADAAAAAzE2MAIAAAAEMTAxMwQAAAABMAcAAAAJNi8xNC8yMDI2CAAAAAkzLzMxLzIwMjAJAAAAATB8X0bZ/sneCKfvA9z+yd4IOkNJUS5OWVNFOkJBSC5JUV9UT1RBTF9DT01NT05fRVFVSVRZLjk5OS4xNC8wNi8yMDI2Li4uVVNELkgBAAAA6XECAAIAAAAEMTAwMwEIAAAABQAAAAExAQAAAAstMTg4NzcwNTAwMQMAAAADMTYwAgAAAAQxMDA2BAAAAAEwBwAAAAk2LzE0LzIwMjYIAAAACTMvMzEvMjAyNQkAAAABMHxfRtn+yd4IYCVE3f7J3ggqQ0lRLk5ZU0U6QkFILklRX1JFLjIwMDAuMTQvMDYvMjAyNi4uLlVTRC5IAQAAAOlxAgACAAAABDM2NDQBCAAAAAUAAAABMQEAAAALLTE4ODc3MDQzNDEDAAAAAzE2MAIAAAAEMTIyMgQAAAABMAcAAAAJNi8xNC8yMDI2CAAAAAkzLzMxLzIwMjYJAAAAATB8X0bZ/sneCGqGAdz+yd4ILUNJUS5OWVNFOkJBSC5JUV9DT01NT04uOTkzLjE0LzA2LzIwMjYuLi5VU0QuSAEAAADpcQIAAgAAAAUxLjU5OQEIAAAABQAAAAExAQAAAAoyMDk5MDg3MTMzAwAAAAMxNjACAAAABDExMDMEAAAAATAHAAAACTYvMTQvMjAyNggAAAAJMy8zMS8yMDE5CQAAAAEwfF9G2f7J3ghqhgHc/sneCDFDSVEuTllTRTpCQUguSVFfUFJFRl9PVEhFUi45OTYuMTQvMDYvMjAyNi4uLlVTRC5I</t>
  </si>
  <si>
    <t>AQAAAOlxAgADAAAAAAB8X0bZ/sneCGqGAdz+yd4IP0NJUS5OWVNFOkJBSC5JUV9GSU5BTkNFX0xFQVNFU19MT05HX1RFUk0uOTk0LjE0LzA2LzIwMjYuLi5VU0QuSAEAAADpcQIAAwAAAAAAfF9G2f7J3gjkywbc/sneCDpDSVEuTllTRTpCQUguSVFfQURfRVhDTF9PUEVSX0xFQVNFUy45OTUuMTQvMDYvMjAyNi4uLlVTRC5IAQAAAOlxAgACAAAACC0yMzUuNDkxAQgAAAAFAAAAATEBAAAACy0yMDQzMjE1MzkyAwAAAAMxNjACAAAABTQ4OTc1BAAAAAEwBwAAAAk2LzE0LzIwMjYIAAAACTMvMzEvMjAyMQkAAAABMHxfRtn+yd4Io2MG3P7J3gg+Q0lRLk5ZU0U6QkFILklRX1JVQV9PUEVSQVRJTkdfTEVBU0VfTkVULjk5Mi4xNC8wNi8yMDI2Li4uVVNELkgBAAAA6XECAAMAAAAAAHxfRtn+yd4IktoF3P7J3ghCQ0lRLk5ZU0U6QkFILklRX1JVQV9DQVBJVEFMX0xFQVNFX0FDQ1VNX0RFUC45OTcuMTQvMDYvMjAyNi4uLlVTRC5IAQAAAOlxAgADAAAAAAB8X0bZ/sneCAE+Bdz+yd4ILkNJUS5OWVNFOkJBSC5JUV9SVUFfTkVULjk5Mi4xNC8wNi8yMDI2Li4uVVNELkgBAAAA6XECAAMAAAAAAHxfRtn+yd4Iu7ME3P7J3ggvQ0lRLk5ZU0U6QkFILklRX0dXX0lOVEFOLjk5My4xNC8wNi8yMDI2Li4uVVNELkgBAAAA6XECAAIAAAAIMTg2OC4yMTEBCAAAAAUAAAABMQEAAAAKMjA5OTA4NzEzMwMAAAADMTYwAgAAAAUz</t>
  </si>
  <si>
    <t>NTM4MQQAAAABMAcAAAAJNi8xNC8yMDI2CAAAAAkzLzMxLzIwMTkJAAAAATBKR0fZ/sneCJHICNz+yd4IOENJUS5OWVNFOkJBSC5JUV9CVl9TSEFSRV9SRVBPUlRFRC45OTQuMTQvMDYvMjAyNi4uLlVTRC5IAQAAAOlxAgADAAAAAABKR0fZ/sneCOTLBtz+yd4IUENJUS5OWVNFOkJBSC5JUV9GSU5BTkNJTkdfT0JMSUdfQ1VSUkVOVF9FWENMX09QRVJfTEVBU0VTLjIwMDAuMTQvMDYvMjAyNi4uLlVTRC5IAQAAAOlxAgACAAAAAjE5AQgAAAAFAAAAATEBAAAACy0xODg3NzA0MzQxAwAAAAMxNjACAAAABTQ4OTgwBAAAAAEwBwAAAAk2LzE0LzIwMjYIAAAACTMvMzEvMjAyNgkAAAABMHxfRtn+yd4I5MsG3P7J3ghJQ0lRLk5ZU0U6QkFILklRX0xUX1BPUlRJT05fT1BFUl9MRUFTRV9MSUFCSUxJVElFUy4xMDAwLjE0LzA2LzIwMjYuLi5VU0QuSAEAAADpcQIAAgAAAAMxMzkBCAAAAAUAAAABMQEAAAALLTE4ODc3MDQ5NzcDAAAAAzE2MAIAAAAFNDgzODMEAAAAATAHAAAACTYvMTQvMjAyNggAAAAJMy8zMS8yMDI2CQAAAAEwfF9G2f7J3ghgJUTd/sneCCpDSVEuTllTRTpCQUguSVFfQ0lQLjk5Ni4xNC8wNi8yMDI2Li4uVVNELkgBAAAA6XECAAMAAAAAAEpHR9n+yd4IHSEQ3P7J3ggwQ0lRLk5ZU0U6QkFILklRX09USEVSX0lOVi45OTIuMTQvMDYvMjAyNi4uLlVTRC5IAQAAAOlxAgADAAAAAABKR0fZ/sneCOE9</t>
  </si>
  <si>
    <t>C9z+yd4IMkNJUS5OWVNFOkJBSC5JUV9BUl9VTkJJTExFRC45OTIuMTQvMDYvMjAyNi4uLlVTRC5IAQAAAOlxAgACAAAABzczOC42NDYBCAAAAAUAAAABMQEAAAAKMjAzODA5MTA3NwMAAAADMTYwAgAAAAU0NTQyMAQAAAABMAcAAAAJNi8xNC8yMDI2CAAAAAkzLzMxLzIwMTgJAAAAATBKR0fZ/sneCOE9C9z+yd4IMUNJUS5OWVNFOkJBSC5JUV9UT1RBTF9DQVAuMTAwMC4xNC8wNi8yMDI2Li4uVVNELkgBAAAA6XECAAIAAAAENTIyNwEIAAAABQAAAAExAQAAAAstMTg4NzcwNDk3NwMAAAADMTYwAgAAAAQ0MTc1BAAAAAEwBwAAAAk2LzE0LzIwMjYIAAAACTMvMzEvMjAyNgkAAAABMEpHR9n+yd4IYCVE3f7J3gg9Q0lRLk5ZU0U6QkFILklRX1RPVEFMX0RFQlRfTk9OX0NVUlJFTlQuOTkxLjE0LzA2LzIwMjYuLi5VU0QuSAEAAADpcQIAAgAAAAgxNDcwLjE3NAEIAAAABQAAAAExAQAAAAoxOTY1NzcyNDIyAwAAAAMxNjACAAAABTI1MjI0BAAAAAEwBwAAAAk2LzE0LzIwMjYIAAAACTMvMzEvMjAxNwkAAAABMEpHR9n+yd4IkcgI3P7J3gg6Q0lRLk5ZU0U6QkFILklRX0RBX1NVUFBMX1BBUlRJQUxfQ0YuOTk1LjE0LzA2LzIwMjYuLi5VU0QuSAEAAADpcQIAAwAAAAAAw5x/2f7J3ggFi+fb/sneCDxDSVEuTllTRTpCQUguSVFfRklOX0RJVl9MVF9ERUJUX1RPVEFMLjk5OC4xNC8wNi8yMDI2Li4uVVNELkgBAAAA</t>
  </si>
  <si>
    <t>6XECAAMAAAAAAIYrFNn+yd4IDZMS3P7J3gg9Q0lRLk5ZU0U6QkFILklRX0xJQUJJTElUSUVTX0ZBSVJfVkFMVUUuOTk4LjE0LzA2LzIwMjYuLi5VU0QuSAEAAADpcQIAAgAAAAQzNDA2AIYrFNn+yd4IDZMS3P7J3gg1Q0lRLk5ZU0U6QkFILklRX0FTU0VUU19MRVZFTF8yLjk5MC4xNC8wNi8yMDI2Li4uVVNELkgBAAAA6XECAAIAAAAHMTQ1LjQyNwBKR0fZ/sneCA2TEtz+yd4IRENJUS5OWVNFOkJBSC5JUV9HRU5FUkFMX1BBUlRORVJfQ09NTU9OX0VRVUlUWS45OTcuMTQvMDYvMjAyNi4uLlVTRC5IAQAAAOlxAgADAAAAAABKR0fZ/sneCB0hENz+yd4IP0NJUS5OWVNFOkJBSC5JUV9BTU9SVF9TT0ZUV0FSRV9BU1NFVFNfQ0YuOTk3LjE0LzA2LzIwMjYuLi5VU0QuSAEAAADpcQIAAwAAAAAA2SCB2f7J3gi5+unb/sneCDtDSVEuTllTRTpCQUguSVFfTkVHQVRJVkVfR1dfQU1PUlRfQ0YuOTkzLjE0LzA2LzIwMjYuLi5VU0QuSAEAAADpcQIAAwAAAAAAw5x/2f7J3gg1vejb/sneCENDSVEuTllTRTpCQUguSVFfREFfU1VQUExfQ0ZfRVhDTF9PUEVSX0xFQVNFUy45OTkuMTQvMDYvMjAyNi4uLlVTRC5IAQAAAOlxAgACAAAAAjcwAQgAAAAFAAAAATEBAAAACy0xODg3NzA1MDAxAwAAAAMxNjACAAAABTQ4OTgzBAAAAAEwBwAAAAk2LzE0LzIwMjYIAAAACTMvMzEvMjAyNQkAAAABMMOcf9n+yd4IYEFI3f7J3ggu</t>
  </si>
  <si>
    <t>Q0lRLk5ZU0U6QkFILklRX0RFUF9SVUEuOTkzLjE0LzA2LzIwMjYuLi5VU0QuSAEAAADpcQIAAwAAAAAAw5x/2f7J3gg1vejb/sneCEFDSVEuTllTRTpCQUguSVFfR1dfSU5UQU5fQU1PUlRfUEFSVElBTF9DRi4yMDAwLjE0LzA2LzIwMjYuLi5VU0QuSAEAAADpcQIAAwAAAAAAw5x/2f7J3gg1vejb/sneCDZDSVEuTllTRTpCQUguSVFfQ0FTSF9UQVhFU19PUEVSLjk5OS4xNC8wNi8yMDI2Li4uVVNELkgBAAAA6XECAAMAAAAAADzkfNn+yd4I+9ZF3f7J3gg6Q0lRLk5ZU0U6QkFILklRX0NBU0hfSU5URVJFU1RfRklOQU4uOTk1LjE0LzA2LzIwMjYuLi5VU0QuSAEAAADpcQIAAwAAAAAAPOR82f7J3ggYTuzb/sneCDpDSVEuTllTRTpCQUguSVFfQ0FTSF9JTlRFUkVTVF9PUEVSLjIwMDAuMTQvMDYvMjAyNi4uLlVTRC5IAQAAAOlxAgADAAAAAAA85HzZ/sneCB/C69v+yd4IPUNJUS5OWVNFOkJBSC5JUV9DQVNIX0lOVEVSRVNUX1JFQ0VJVkVELjk5NS4xNC8wNi8yMDI2Li4uVVNELkgBAAAA6XECAAMAAAAAADzkfNn+yd4Iufrp2/7J3gg0Q0lRLk5ZU0U6QkFILklRX0NBU0hfSU5URVJFU1QuOTkxLjE0LzA2LzIwMjYuLi5VU0QuSAEAAADpcQIAAgAAAAY0OS4wNjIBCAAAAAUAAAABMQEAAAAKMTk2NTc3MjQyMgMAAAADMTYwAgAAAAQzMDI4BAAAAAEwBwAAAAk2LzE0LzIwMjYIAAAACTMvMzEvMjAxNwkAAAAB</t>
  </si>
  <si>
    <t>MNkggdn+yd4Iufrp2/7J3ggzQ0lRLk5ZU0U6QkFILklRX01BSU5UX0NBUEVYLjIwMDAuMTQvMDYvMjAyNi4uLlVTRC5IAQAAAOlxAgADAAAAAAB8H37Z/sneCM247tv+yd4IL0NJUS5OWVNFOkJBSC5JUV9DRl9TSEFSRS45OTcuMTQvMDYvMjAyNi4uLlVTRC5IAQAAAOlxAgACAAAACDMuOTg3NTQxAQgAAAAFAAAAATEBAAAACy0xOTQxNTQ2ODcxAwAAAAMxNjACAAAABTQzOTIzBAAAAAEwBwAAAAk2LzE0LzIwMjYIAAAACTMvMzEvMjAyMwkAAAABMDzkfNn+yd4Izbju2/7J3gg0Q0lRLk5ZU0U6QkFILklRX1VOTEVWRVJFRF9GQ0YuOTkxLjE0LzA2LzIwMjYuLi5VU0QuSAEAAADpcQIAAgAAAAgzNDYuOTQxNQEIAAAABQAAAAExAQAAAAoxOTY1NzcyNDIyAwAAAAMxNjACAAAABDQ0MjMEAAAAATAHAAAACTYvMTQvMjAyNggAAAAJMy8zMS8yMDE3CQAAAAEwPOR82f7J3gj4tuzb/sneCEFDSVEuTllTRTpCQUguSVFfQ0hBTkdFX05FVF9XT1JLSU5HX0NBUElUQUwuOTk3LjE0LzA2LzIwMjYuLi5VU0QuSAEAAADpcQIAAgAAAAgtMjczLjQ2NAEIAAAABQAAAAExAQAAAAstMTk0MTU0Njg3MQMAAAADMTYwAgAAAAQ0NDIxBAAAAAEwBwAAAAk2LzE0LzIwMjYIAAAACTMvMzEvMjAyMwkAAAABMDzkfNn+yd4I+Lbs2/7J3gg3Q0lRLk5ZU0U6QkFILklRX0NBU0hfVEFYRVNfRklOQU4uOTkzLjE0LzA2LzIwMjYuLi5V</t>
  </si>
  <si>
    <t>U0QuSAEAAADpcQIAAwAAAAAAPOR82f7J3gj4tuzb/sneCERDSVEuTllTRTpCQUguSVFfVE9UQUxfREVCVF9SRVBBSURfRVhDTF9MRUFTRVMuOTk5LjE0LzA2LzIwMjYuLi5VU0QuSAEAAADpcQIAAgAAAAQtMjYyAQgAAAAFAAAAATEBAAAACy0xODg3NzA1MDAxAwAAAAMxNjACAAAABTQ4OTg2BAAAAAEwBwAAAAk2LzE0LzIwMjYIAAAACTMvMzEvMjAyNQkAAAABMHwfftn+yd4I+9ZF3f7J3ghIQ0lRLk5ZU0U6QkFILklRX0xPTkdfVEVSTV9ERUJUX1JFUEFJRF9FWENMX0xFQVNFUy45OTMuMTQvMDYvMjAyNi4uLlVTRC5IAQAAAOlxAgACAAAACC0xNzAuNTEyAQgAAAAFAAAAATEBAAAACjIwOTkwODcxMzMDAAAAAzE2MAIAAAAFNDg5ODQEAAAAATAHAAAACTYvMTQvMjAyNggAAAAJMy8zMS8yMDE5CQAAAAEwfB9+2f7J3ghJU/Hb/sneCEJDSVEuTllTRTpCQUguSVFfT1BFUkFUSU5HX0xFQVNFX0xJQUJJTElUSUVTLjk5OS4xNC8wNi8yMDI2Li4uVVNELkgBAAAA6XECAAMAAAAAAHwfftn+yd4I+9ZF3f7J3gg0Q0lRLk5ZU0U6QkFILklRX0RPX0ZJTkFOQ0VfQ0YuOTk1LjE0LzA2LzIwMjYuLi5VU0QuSAEAAADpcQIAAwAAAAAAfB9+2f7J3ghFMPDb/sneCDVDSVEuTllTRTpCQUguSVFfU1RfTk9URV9SRUNFSVYuOTkzLjE0LzA2LzIwMjYuLi5VU0QuSAEAAADpcQIAAwAAAAAAfB9+2f7J3giN+fLb/sneCDZD</t>
  </si>
  <si>
    <t>SVEuTllTRTpCQUguSVFfQ0FTSF9TVF9JTlZFU1QuMjAwMC4xNC8wNi8yMDI2Li4uVVNELkgBAAAA6XECAAIAAAADNzI4AQgAAAAFAAAAATEBAAAACy0xODg3NzA0MzQxAwAAAAMxNjACAAAABDEwMDIEAAAAATAHAAAACTYvMTQvMjAyNggAAAAJMy8zMS8yMDI2CQAAAAEwfB9+2f7J3giN+fLb/sneCDVDSVEuTllTRTpCQUguSVFfVFJBRElOR19BU1NFVFMuOTk1LjE0LzA2LzIwMjYuLi5VU0QuSAEAAADpcQIAAwAAAAAAfB9+2f7J3giAq/Lb/sneCDJDSVEuTllTRTpCQUguSVFfQ0FTSF9FUVVJVi4yMDAwLjE0LzA2LzIwMjYuLi5VU0QuSAEAAADpcQIAAgAAAAM3MjgBCAAAAAUAAAABMQEAAAALLTE4ODc3MDQzNDEDAAAAAzE2MAIAAAAEMTA5NgQAAAABMAcAAAAJNi8xNC8yMDI2CAAAAAkzLzMxLzIwMjYJAAAAATB8H37Z/sneCBI28tv+yd4INUNJUS5OWVNFOkJBSC5JUV9PVEhFUl9DQV9TVVBQTC45OTUuMTQvMDYvMjAyNi4uLlVTRC5IAQAAAOlxAgADAAAAAADZXYHZ/sneCK9e9dv+yd4IPUNJUS5OWVNFOkJBSC5JUV9ERUZfVEFYX0FTU0VUU19DVVJSRU5ULjk5MS4xNC8wNi8yMDI2Li4uVVNELkgBAAAA6XECAAMAAAAAANldgdn+yd4Ir1712/7J3gg9Q0lRLk5ZU0U6QkFILklRX0ZJTl9ESVZfQVNTRVRTX0NVUlJFTlQuOTk3LjE0LzA2LzIwMjYuLi5VU0QuSAEAAADpcQIAAwAAAAAA2V2B2f7J3gg7</t>
  </si>
  <si>
    <t>4PTb/sneCDxDSVEuTllTRTpCQUguSVFfRklOX0RJVl9MT0FOU19DVVJSRU5ULjk5MS4xNC8wNi8yMDI2Li4uVVNELkgBAAAA6XECAAMAAAAAAHwfftn+yd4Ijfny2/7J3ggzQ0lRLk5ZU0U6QkFILklRX1RPVEFMX1JFQ0VJVi45OTkuMTQvMDYvMjAyNi4uLlVTRC5IAQAAAOlxAgACAAAABDIyNzEBCAAAAAUAAAABMQEAAAALLTE4ODc3MDUwMDEDAAAAAzE2MAIAAAAEMTAwMQQAAAABMAcAAAAJNi8xNC8yMDI2CAAAAAkzLzMxLzIwMjUJAAAAATB8H37Z/sneCPvWRd3+yd4ILENJUS5OWVNFOkJBSC5JUV9BUl9MVC45OTYuMTQvMDYvMjAyNi4uLlVTRC5IAQAAAOlxAgACAAAABjY0LjMzOQEIAAAABQAAAAExAQAAAAstMTk5MjQwMjA1OQMAAAADMTYwAgAAAAQxMDg4BAAAAAEwBwAAAAk2LzE0LzIwMjYIAAAACTMvMzEvMjAyMgkAAAABMNldgdn+yd4Ibs332/7J3gg3Q0lRLk5ZU0U6QkFILklRX0ZJTl9ESVZfTE9BTlNfTFQuOTk1LjE0LzA2LzIwMjYuLi5VU0QuSAEAAADpcQIAAwAAAAAA2V2B2f7J3ghuzffb/sneCClDSVEuTllTRTpCQUguSVFfR1cuOTkzLjE0LzA2LzIwMjYuLi5VU0QuSAEAAADpcQIAAgAAAAcxNTgxLjE2AQgAAAAFAAAAATEBAAAACjIwOTkwODcxMzMDAAAAAzE2MAIAAAAEMTE3MQQAAAABMAcAAAAJNi8xNC8yMDI2CAAAAAkzLzMxLzIwMTkJAAAAATDZXYHZ/sneCK9e9dv+yd4IK0NJ</t>
  </si>
  <si>
    <t>US5OWVNFOkJBSC5JUV9OUFBFLjk5MS4xNC8wNi8yMDI2Li4uVVNELkgBAAAA6XECAAIAAAAHMTMxLjA2NwEIAAAABQAAAAExAQAAAAoxOTY1NzcyNDIyAwAAAAMxNjACAAAABDEwMDQEAAAAATAHAAAACTYvMTQvMjAyNggAAAAJMy8zMS8yMDE3CQAAAAEw2V2B2f7J3givXvXb/sneCDBDSVEuTllTRTpCQUguSVFfVE9UQUxfQ0EuMjAwMC4xNC8wNi8yMDI2Li4uVVNELkgBAAAA6XECAAIAAAAEMjk2MQEIAAAABQAAAAExAQAAAAstMTg4NzcwNDM0MQMAAAADMTYwAgAAAAQxMDA4BAAAAAEwBwAAAAk2LzE0LzIwMjYIAAAACTMvMzEvMjAyNgkAAAABMNldgdn+yd4Ir1712/7J3gg6Q0lRLk5ZU0U6QkFILklRX0NVUlJFTlRfUE9SVF9MRUFTRVMuOTk3LjE0LzA2LzIwMjYuLi5VU0QuSAEAAADpcQIAAgAAAAY1MS4yMzgBCAAAAAUAAAABMQEAAAALLTE5NDE1NDY4NzEDAAAAAzE2MAIAAAAEMTA5MAQAAAABMAcAAAAJNi8xNC8yMDI2CAAAAAkzLzMxLzIwMjMJAAAAATDZXYHZ/sneCG+u/Nv+yd4ILkNJUS5OWVNFOkJBSC5JUV9TVF9ERUJULjk5Ny4xNC8wNi8yMDI2Li4uVVNELkgBAAAA6XECAAMAAAAAANldgdn+yd4Ib6782/7J3ggpQ0lRLk5ZU0U6QkFILklRX0FQLjk5Ni4xNC8wNi8yMDI2Li4uVVNELkgBAAAA6XECAAIAAAAHNTM5LjUyNAEIAAAABQAAAAExAQAAAAstMTk5MjQwMjA1OQMAAAADMTYwAgAA</t>
  </si>
  <si>
    <t>AAQxMDE4BAAAAAEwBwAAAAk2LzE0LzIwMjYIAAAACTMvMzEvMjAyMgkAAAABMNldgdn+yd4IwP/62/7J3gg2Q0lRLk5ZU0U6QkFILklRX09USEVSX0xUX0FTU0VUUy45OTUuMTQvMDYvMjAyNi4uLlVTRC5IAQAAAOlxAgACAAAABzQ2Ny4yNTYBCAAAAAUAAAABMQEAAAALLTIwNDMyMTUzOTIDAAAAAzE2MAIAAAAEMTA2MAQAAAABMAcAAAAJNi8xNC8yMDI2CAAAAAkzLzMxLzIwMjEJAAAAATDZXYHZ/sneCG7N99v+yd4IOENJUS5OWVNFOkJBSC5JUV9ERUZfVEFYX0FTU0VUU19MVC45OTYuMTQvMDYvMjAyNi4uLlVTRC5IAQAAAOlxAgACAAAABjMyLjMyOAEIAAAABQAAAAExAQAAAAstMTk5MjQwMjA1OQMAAAADMTYwAgAAAAQxMDI2BAAAAAEwBwAAAAk2LzE0LzIwMjYIAAAACTMvMzEvMjAyMgkAAAABMNldgdn+yd4Ibs332/7J3gg0Q0lRLk5ZU0U6QkFILklRX1VORUFSTl9SRVZfTFQuOTk5LjE0LzA2LzIwMjYuLi5VU0QuSAEAAADpcQIAAwAAAAAA2V2B2f7J3ghgJUTd/sneCDZDSVEuTllTRTpCQUguSVFfRklOX0RJVl9ERUJUX0xULjk5NS4xNC8wNi8yMDI2Li4uVVNELkgBAAAA6XECAAMAAAAAANldgdn+yd4IZRf/2/7J3ggvQ0lRLk5ZU0U6QkFILklRX1RPVEFMX0NMLjk5OC4xNC8wNi8yMDI2Li4uVVNELkgBAAAA6XECAAIAAAAEMTY5MgEIAAAABQAAAAExAQAAAAstMTg4NzcwNDk5MwMAAAADMTYw</t>
  </si>
  <si>
    <t>AgAAAAQxMDA5BAAAAAEwBwAAAAk2LzE0LzIwMjYIAAAACTMvMzEvMjAyNAkAAAABMNldgdn+yd4IZRf/2/7J3gg7Q0lRLk5ZU0U6QkFILklRX0RFRl9UQVhfTElBQl9DVVJSRU5ULjk5OS4xNC8wNi8yMDI2Li4uVVNELkgBAAAA6XECAAMAAAAAANldgdn+yd4I+9ZF3f7J3gg6Q0lRLk5ZU0U6QkFILklRX0lOQ19UQVhfUEFZX0NVUlJFTlQuOTk0LjE0LzA2LzIwMjYuLi5VU0QuSAEAAADpcQIAAgAAAAU1LjE3OAEIAAAABQAAAAExAQAAAAstMjA5NTEyNjA5MAMAAAADMTYwAgAAAAQxMDk0BAAAAAEwBwAAAAk2LzE0LzIwMjYIAAAACTMvMzEvMjAyMAkAAAABMNldgdn+yd4Ib6782/7J3ggqQ0lRLk5ZU0U6QkFILklRX1JFLjEwMDAuMTQvMDYvMjAyNi4uLlVTRC5IAQAAAOlxAgACAAAABDM2NDQBCAAAAAUAAAABMQEAAAALLTE4ODc3MDQ5NzcDAAAAAzE2MAIAAAAEMTIyMgQAAAABMAcAAAAJNi8xNC8yMDI2CAAAAAkzLzMxLzIwMjYJAAAAATB8X0bZ/sneCGAlRN3+yd4IK0NJUS5OWVNFOkJBSC5JUV9BUElDLjk5MC4xNC8wNi8yMDI2Li4uVVNELkgBAAAA6XECAAIAAAAHMjQzLjQ3NQEIAAAABQAAAAExAQAAAAoxODkxMzQ3ODY5AwAAAAMxNjACAAAABDEwODQEAAAAATAHAAAACTYvMTQvMjAyNggAAAAJMy8zMS8yMDE2CQAAAAEwfF9G2f7J3ghqhgHc/sneCDFDSVEuTllTRTpCQUguSVFfUFJFRl9PVEhF</t>
  </si>
  <si>
    <t>Ui45OTUuMTQvMDYvMjAyNi4uLlVTRC5IAQAAAOlxAgADAAAAAAB8X0bZ/sneCGqGAdz+yd4IMkNJUS5OWVNFOkJBSC5JUV9QUkVGX1JFREVFTS45OTQuMTQvMDYvMjAyNi4uLlVTRC5IAQAAAOlxAgADAAAAAADZXYHZ/sneCGUX/9v+yd4INENJUS5OWVNFOkJBSC5JUV9PVEhFUl9MSUFCX0xULjk5Ni4xNC8wNi8yMDI2Li4uVVNELkgBAAAA6XECAAIAAAAHMjA5Ljk4NAEIAAAABQAAAAExAQAAAAstMTk5MjQwMjA1OQMAAAADMTYwAgAAAAQxMDYyBAAAAAEwBwAAAAk2LzE0LzIwMjYIAAAACTMvMzEvMjAyMgkAAAABMNldgdn+yd4IZRf/2/7J3gg+Q0lRLk5ZU0U6QkFILklRX1JVQV9PUEVSQVRJTkdfTEVBU0VfTkVULjk5MS4xNC8wNi8yMDI2Li4uVVNELkgBAAAA6XECAAMAAAAAAHxfRtn+yd4IktoF3P7J3gg8Q0lRLk5ZU0U6QkFILklRX1JVQV9DQVBJVEFMX0xFQVNFX05FVC45OTQuMTQvMDYvMjAyNi4uLlVTRC5IAQAAAOlxAgADAAAAAAB8X0bZ/sneCAE+Bdz+yd4ILkNJUS5OWVNFOkJBSC5JUV9SVUFfTkVULjk5MS4xNC8wNi8yMDI2Li4uVVNELkgBAAAA6XECAAMAAAAAAHxfRtn+yd4Iu7ME3P7J3gg4Q0lRLk5ZU0U6QkFILklRX1RPVEFMX0xJQUJfRVFVSVRZLjk5My4xNC8wNi8yMDI2Li4uVVNELkgBAAAA6XECAAIAAAAIMzgzMS44NDEBCAAAAAUAAAABMQEAAAAKMjA5OTA4NzEzMwMAAAADMTYw</t>
  </si>
  <si>
    <t>AgAAAAQxMDEzBAAAAAEwBwAAAAk2LzE0LzIwMjYIAAAACTMvMzEvMjAxOQkAAAABMHxfRtn+yd4Ip+8D3P7J3gg6Q0lRLk5ZU0U6QkFILklRX1RPVEFMX0NPTU1PTl9FUVVJVFkuOTk4LjE0LzA2LzIwMjYuLi5VU0QuSAEAAADpcQIAAgAAAAQxMDQ3AQgAAAAFAAAAATEBAAAACy0xODg3NzA0OTkzAwAAAAMxNjACAAAABDEwMDYEAAAAATAHAAAACTYvMTQvMjAyNggAAAAJMy8zMS8yMDI0CQAAAAEwfF9G2f7J3ghqhgHc/sneCFBDSVEuTllTRTpCQUguSVFfRklOQU5DSU5HX09CTElHX0NVUlJFTlRfRVhDTF9PUEVSX0xFQVNFUy4xMDAwLjE0LzA2LzIwMjYuLi5VU0QuSAEAAADpcQIAAgAAAAIxOQEIAAAABQAAAAExAQAAAAstMTg4NzcwNDk3NwMAAAADMTYwAgAAAAU0ODk4MAQAAAABMAcAAAAJNi8xNC8yMDI2CAAAAAkzLzMxLzIwMjYJAAAAATB8X0bZ/sneCGAlRN3+yd4ISENJUS5OWVNFOkJBSC5JUV9MVF9QT1JUSU9OX09QRVJfTEVBU0VfTElBQklMSVRJRVMuOTk4LjE0LzA2LzIwMjYuLi5VU0QuSAEAAADpcQIAAgAAAAMxODIBCAAAAAUAAAABMQEAAAALLTE4ODc3MDQ5OTMDAAAAAzE2MAIAAAAFNDgzODMEAAAAATAHAAAACTYvMTQvMjAyNggAAAAJMy8zMS8yMDI0CQAAAAEwfF9G2f7J3gjkywbc/sneCDtDSVEuTllTRTpCQUguSVFfVE9UQUxfRklOQU5DRV9MRUFTRVMuOTkwLjE0LzA2LzIwMjYu</t>
  </si>
  <si>
    <t>Li5VU0QuSAEAAADpcQIAAwAAAAAAfF9G2f7J3gjkywbc/sneCDtDSVEuTllTRTpCQUguSVFfQURfRVhDTF9PUEVSX0xFQVNFUy4xMDAwLjE0LzA2LzIwMjYuLi5VU0QuSAEAAADpcQIAAgAAAAQtMzE4AQgAAAAFAAAAATEBAAAACy0xODg3NzA0OTc3AwAAAAMxNjACAAAABTQ4OTc1BAAAAAEwBwAAAAk2LzE0LzIwMjYIAAAACTMvMzEvMjAyNgkAAAABMHxfRtn+yd4IYCVE3f7J3ggzQ0lRLk5ZU0U6QkFILklRX0FSX1VOQklMTEVELjEwMDAuMTQvMDYvMjAyNi4uLlVTRC5IAQAAAOlxAgACAAAABDE1MDkBCAAAAAUAAAABMQEAAAALLTE4ODc3MDQ5NzcDAAAAAzE2MAIAAAAFNDU0MjAEAAAAATAHAAAACTYvMTQvMjAyNggAAAAJMy8zMS8yMDI2CQAAAAEwSkdH2f7J3ghgJUTd/sneCDBDSVEuTllTRTpCQUguSVFfVE9UQUxfQ0FQLjk5OC4xNC8wNi8yMDI2Li4uVVNELkgBAAAA6XECAAIAAAAENDY4NAEIAAAABQAAAAExAQAAAAstMTg4NzcwNDk5MwMAAAADMTYwAgAAAAQ0MTc1BAAAAAEwBwAAAAk2LzE0LzIwMjYIAAAACTMvMzEvMjAyNAkAAAABMEpHR9n+yd4IBT8K3P7J3gg9Q0lRLk5ZU0U6QkFILklRX1RPVEFMX0RFQlRfTk9OX0NVUlJFTlQuOTkwLjE0LzA2LzIwMjYuLi5VU0QuSAEAAADpcQIAAgAAAAgxNDg0LjQ0OAEIAAAABQAAAAExAQAAAAoxODkxMzQ3ODY5AwAAAAMxNjACAAAABTI1MjI0BAAA</t>
  </si>
  <si>
    <t>AAEwBwAAAAk2LzE0LzIwMjYIAAAACTMvMzEvMjAxNgkAAAABMEpHR9n+yd4IkcgI3P7J3ggvQ0lRLk5ZU0U6QkFILklRX0dXX0lOVEFOLjk5Mi4xNC8wNi8yMDI2Li4uVVNELkgBAAAA6XECAAIAAAAHMTg1OS42NQEIAAAABQAAAAExAQAAAAoyMDM4MDkxMDc3AwAAAAMxNjACAAAABTM1MzgxBAAAAAEwBwAAAAk2LzE0LzIwMjYIAAAACTMvMzEvMjAxOAkAAAABMEpHR9n+yd4IkcgI3P7J3ggwQ0lRLk5ZU0U6QkFILklRX1RCVl9TSEFSRS45OTAuMTQvMDYvMjAyNi4uLlVTRC5IAQAAAOlxAgACAAAACS03Ljk4MDAyMQEIAAAABQAAAAExAQAAAAoxODkxMzQ3ODY5AwAAAAMxNjACAAAABDQxNTYEAAAAATAHAAAACTYvMTQvMjAyNggAAAAJMy8zMS8yMDE2CQAAAAEwSkdH2f7J3gjkywbc/sneCD1DSVEuTllTRTpCQUguSVFfTElBQklMSVRJRVNfRkFJUl9WQUxVRS45OTcuMTQvMDYvMjAyNi4uLlVTRC5IAQAAAOlxAgACAAAABzI3MTIuNzkAhisU2f7J3ggNkxLc/sneCDVDSVEuTllTRTpCQUguSVFfQVNTRVRTX0xFVkVMXzMuOTk0LjE0LzA2LzIwMjYuLi5VU0QuSAEAAADpcQIAAwAAAAAASkdH2f7J3ggNkxLc/sneCERDSVEuTllTRTpCQUguSVFfR0VORVJBTF9QQVJUTkVSX0NPTU1PTl9FUVVJVFkuOTk2LjE0LzA2LzIwMjYuLi5VU0QuSAEAAADpcQIAAwAAAAAASkdH2f7J3ggdIRDc/sneCCpDSVEuTllT</t>
  </si>
  <si>
    <t>RTpCQUguSVFfQ0lQLjk5NS4xNC8wNi8yMDI2Li4uVVNELkgBAAAA6XECAAMAAAAAAEpHR9n+yd4IHSEQ3P7J3ggwQ0lRLk5ZU0U6QkFILklRX09USEVSX0lOVi45OTguMTQvMDYvMjAyNi4uLlVTRC5IAQAAAOlxAgADAAAAAABKR0fZ/sneCOE9C9z+yd4IQ0NJUS5OWVNFOkJBSC5JUV9EQV9TVVBQTF9DRl9FWENMX09QRVJfTEVBU0VTLjk5OC4xNC8wNi8yMDI2Li4uVVNELkgBAAAA6XECAAIAAAACNzEBCAAAAAUAAAABMQEAAAALLTE4ODc3MDQ5OTMDAAAAAzE2MAIAAAAFNDg5ODMEAAAAATAHAAAACTYvMTQvMjAyNggAAAAJMy8zMS8yMDI0CQAAAAEww5x/2f7J3gg1vejb/sneCC5DSVEuTllTRTpCQUguSVFfREVQX1JVQS45OTIuMTQvMDYvMjAyNi4uLlVTRC5IAQAAAOlxAgADAAAAAADDnH/Z/sneCDW96Nv+yd4IQUNJUS5OWVNFOkJBSC5JUV9HV19JTlRBTl9BTU9SVF9QQVJUSUFMX0NGLjEwMDAuMTQvMDYvMjAyNi4uLlVTRC5IAQAAAOlxAgADAAAAAADDnH/Z/sneCGBBSN3+yd4IOkNJUS5OWVNFOkJBSC5JUV9EQV9TVVBQTF9QQVJUSUFMX0NGLjk5NC4xNC8wNi8yMDI2Li4uVVNELkgBAAAA6XECAAMAAAAAAMOcf9n+yd4IBYvn2/7J3gg5Q0lRLk5ZU0U6QkFILklRX0ZJTl9ESVZfREVCVF9UT1RBTC45OTQuMTQvMDYvMjAyNi4uLlVTRC5IAQAAAOlxAgADAAAAAACGKxTZ/sneCA2TEtz+yd4IOkNJ</t>
  </si>
  <si>
    <t>US5OWVNFOkJBSC5JUV9DQVNIX0lOVEVSRVNUX09QRVIuMTAwMC4xNC8wNi8yMDI2Li4uVVNELkgBAAAA6XECAAMAAAAAADzkfNn+yd4IYEFI3f7J3gg9Q0lRLk5ZU0U6QkFILklRX0NBU0hfSU5URVJFU1RfUkVDRUlWRUQuOTk0LjE0LzA2LzIwMjYuLi5VU0QuSAEAAADpcQIAAwAAAAAAPOR82f7J3gi5+unb/sneCDRDSVEuTllTRTpCQUguSVFfQ0FTSF9JTlRFUkVTVC45OTAuMTQvMDYvMjAyNi4uLlVTRC5IAQAAAOlxAgACAAAABjU3LjA2OAEIAAAABQAAAAExAQAAAAoxODkxMzQ3ODY5AwAAAAMxNjACAAAABDMwMjgEAAAAATAHAAAACTYvMTQvMjAyNggAAAAJMy8zMS8yMDE2CQAAAAEw2SCB2f7J3gi5+unb/sneCD9DSVEuTllTRTpCQUguSVFfQU1PUlRfU09GVFdBUkVfQVNTRVRTX0NGLjk5Ni4xNC8wNi8yMDI2Li4uVVNELkgBAAAA6XECAAMAAAAAANkggdn+yd4Iufrp2/7J3ggzQ0lRLk5ZU0U6QkFILklRX0FNT1JUX0RJQ19DRi45OTAuMTQvMDYvMjAyNi4uLlVTRC5IAQAAAOlxAgACAAAABTguMzU5AQgAAAAFAAAAATEBAAAACjE4OTEzNDc4NjkDAAAAAzE2MAIAAAAFNDU4NjkEAAAAATAHAAAACTYvMTQvMjAyNggAAAAJMy8zMS8yMDE2CQAAAAEww5x/2f7J3gg1vejb/sneCDRDSVEuTllTRTpCQUguSVFfVU5MRVZFUkVEX0ZDRi45OTAuMTQvMDYvMjAyNi4uLlVTRC5IAQAAAOlxAgACAAAABzE5</t>
  </si>
  <si>
    <t>Mi4xMzcBCAAAAAUAAAABMQEAAAAKMTg5MTM0Nzg2OQMAAAADMTYwAgAAAAQ0NDIzBAAAAAEwBwAAAAk2LzE0LzIwMjYIAAAACTMvMzEvMjAxNgkAAAABMDzkfNn+yd4I+Lbs2/7J3ghBQ0lRLk5ZU0U6QkFILklRX0NIQU5HRV9ORVRfV09SS0lOR19DQVBJVEFMLjk5Ni4xNC8wNi8yMDI2Li4uVVNELkgBAAAA6XECAAIAAAAILTE2My4yNDcBCAAAAAUAAAABMQEAAAALLTE5OTI0MDIwNTkDAAAAAzE2MAIAAAAENDQyMQQAAAABMAcAAAAJNi8xNC8yMDI2CAAAAAkzLzMxLzIwMjIJAAAAATA85HzZ/sneCPi27Nv+yd4IN0NJUS5OWVNFOkJBSC5JUV9DQVNIX1RBWEVTX0ZJTkFOLjk5Mi4xNC8wNi8yMDI2Li4uVVNELkgBAAAA6XECAAMAAAAAADzkfNn+yd4I+Lbs2/7J3gg2Q0lRLk5ZU0U6QkFILklRX0NBU0hfVEFYRVNfT1BFUi45OTguMTQvMDYvMjAyNi4uLlVTRC5IAQAAAOlxAgADAAAAAAA85HzZ/sneCPi27Nv+yd4IMUNJUS5OWVNFOkJBSC5JUV9DQVNIX1RBWEVTLjk5Mi4xNC8wNi8yMDI2Li4uVVNELkgBAAAA6XECAAIAAAAHMTI4LjQxNgEIAAAABQAAAAExAQAAAAoyMDM4MDkxMDc3AwAAAAMxNjACAAAABDMwNTMEAAAAATAHAAAACTYvMTQvMjAyNggAAAAJMy8zMS8yMDE4CQAAAAEwPOR82f7J3ggYTuzb/sneCEhDSVEuTllTRTpCQUguSVFfTE9OR19URVJNX0RFQlRfUkVQQUlEX0VYQ0xfTEVBU0VT</t>
  </si>
  <si>
    <t>Ljk5Mi4xNC8wNi8yMDI2Li4uVVNELkgBAAAA6XECAAIAAAAILTMxNy4xNDkBCAAAAAUAAAABMQEAAAAKMjAzODA5MTA3NwMAAAADMTYwAgAAAAU0ODk4NAQAAAABMAcAAAAJNi8xNC8yMDI2CAAAAAkzLzMxLzIwMTgJAAAAATB8H37Z/sneCElT8dv+yd4IQkNJUS5OWVNFOkJBSC5JUV9PUEVSQVRJTkdfTEVBU0VfTElBQklMSVRJRVMuOTk4LjE0LzA2LzIwMjYuLi5VU0QuSAEAAADpcQIAAwAAAAAAfB9+2f7J3giEzPDb/sneCDRDSVEuTllTRTpCQUguSVFfRE9fRklOQU5DRV9DRi45OTQuMTQvMDYvMjAyNi4uLlVTRC5IAQAAAOlxAgADAAAAAAB8H37Z/sneCEUw8Nv+yd4IM0NJUS5OWVNFOkJBSC5JUV9NQUlOVF9DQVBFWC4xMDAwLjE0LzA2LzIwMjYuLi5VU0QuSAEAAADpcQIAAwAAAAAAfB9+2f7J3gj71kXd/sneCDZDSVEuTllTRTpCQUguSVFfTkVUX0RFQlRfSVNTVUVELjk5NC4xNC8wNi8yMDI2Li4uVVNELkgBAAAA6XECAAIAAAAHNDIwLjk2OQEIAAAABQAAAAExAQAAAAstMjA5NTEyNjA5MAMAAAADMTYwAgAAAAQyMDAzBAAAAAEwBwAAAAk2LzE0LzIwMjYIAAAACTMvMzEvMjAyMAkAAAABMDzkfNn+yd4Izbju2/7J3gg1Q0lRLk5ZU0U6QkFILklRX1RSQURJTkdfQVNTRVRTLjk5NC4xNC8wNi8yMDI2Li4uVVNELkgBAAAA6XECAAMAAAAAAHwfftn+yd4IgKvy2/7J3ggyQ0lRLk5ZU0U6QkFILklR</t>
  </si>
  <si>
    <t>X0NBU0hfRVFVSVYuMTAwMC4xNC8wNi8yMDI2Li4uVVNELkgBAAAA6XECAAIAAAADNzI4AQgAAAAFAAAAATEBAAAACy0xODg3NzA0OTc3AwAAAAMxNjACAAAABDEwOTYEAAAAATAHAAAACTYvMTQvMjAyNggAAAAJMy8zMS8yMDI2CQAAAAEwfB9+2f7J3gj71kXd/sneCDpDSVEuTllTRTpCQUguSVFfR0FJTl9CQVJHQUlOX0FDUV9DRi45OTYuMTQvMDYvMjAyNi4uLlVTRC5IAQAAAOlxAgADAAAAAAB8H37Z/sneCOfn8dv+yd4IPUNJUS5OWVNFOkJBSC5JUV9GSU5fRElWX0FTU0VUU19DVVJSRU5ULjk5Ni4xNC8wNi8yMDI2Li4uVVNELkgBAAAA6XECAAMAAAAAAHwfftn+yd4IO+D02/7J3gg8Q0lRLk5ZU0U6QkFILklRX0ZJTl9ESVZfTE9BTlNfQ1VSUkVOVC45OTAuMTQvMDYvMjAyNi4uLlVTRC5IAQAAAOlxAgADAAAAAAB8H37Z/sneCI358tv+yd4IM0NJUS5OWVNFOkJBSC5JUV9UT1RBTF9SRUNFSVYuOTk4LjE0LzA2LzIwMjYuLi5VU0QuSAEAAADpcQIAAgAAAAQyMDk0AQgAAAAFAAAAATEBAAAACy0xODg3NzA0OTkzAwAAAAMxNjACAAAABDEwMDEEAAAAATAHAAAACTYvMTQvMjAyNggAAAAJMy8zMS8yMDI0CQAAAAEwfB9+2f7J3giN+fLb/sneCDVDSVEuTllTRTpCQUguSVFfU1RfTk9URV9SRUNFSVYuOTkyLjE0LzA2LzIwMjYuLi5VU0QuSAEAAADpcQIAAwAAAAAAfB9+2f7J3giN+fLb/sneCClDSVEu</t>
  </si>
  <si>
    <t>TllTRTpCQUguSVFfQVIuOTk4LjE0LzA2LzIwMjYuLi5VU0QuSAEAAADpcQIAAgAAAAQyMDQ3AQgAAAAFAAAAATEBAAAACy0xODg3NzA0OTkzAwAAAAMxNjACAAAABDEwMjEEAAAAATAHAAAACTYvMTQvMjAyNggAAAAJMy8zMS8yMDI0CQAAAAEwfB9+2f7J3giN+fLb/sneCClDSVEuTllTRTpCQUguSVFfR1cuOTkyLjE0LzA2LzIwMjYuLi5VU0QuSAEAAADpcQIAAgAAAAgxNTgxLjE0NgEIAAAABQAAAAExAQAAAAoyMDM4MDkxMDc3AwAAAAMxNjACAAAABDExNzEEAAAAATAHAAAACTYvMTQvMjAyNggAAAAJMy8zMS8yMDE4CQAAAAEw2V2B2f7J3givXvXb/sneCCtDSVEuTllTRTpCQUguSVFfTlBQRS45OTAuMTQvMDYvMjAyNi4uLlVTRC5IAQAAAOlxAgACAAAABzEyMy4yNjkBCAAAAAUAAAABMQEAAAAKMTg5MTM0Nzg2OQMAAAADMTYwAgAAAAQxMDA0BAAAAAEwBwAAAAk2LzE0LzIwMjYIAAAACTMvMzEvMjAxNgkAAAABMNldgdn+yd4Ir1712/7J3ggwQ0lRLk5ZU0U6QkFILklRX1RPVEFMX0NBLjEwMDAuMTQvMDYvMjAyNi4uLlVTRC5IAQAAAOlxAgACAAAABDI5NjEBCAAAAAUAAAABMQEAAAALLTE4ODc3MDQ5NzcDAAAAAzE2MAIAAAAEMTAwOAQAAAABMAcAAAAJNi8xNC8yMDI2CAAAAAkzLzMxLzIwMjYJAAAAATDZXYHZ/sneCPvWRd3+yd4INUNJUS5OWVNFOkJBSC5JUV9PVEhFUl9DQV9TVVBQTC45OTQu</t>
  </si>
  <si>
    <t>MTQvMDYvMjAyNi4uLlVTRC5IAQAAAOlxAgADAAAAAADZXYHZ/sneCK9e9dv+yd4IPkNJUS5OWVNFOkJBSC5JUV9ERUZfVEFYX0FTU0VUU19DVVJSRU5ULjEwMDAuMTQvMDYvMjAyNi4uLlVTRC5IAQAAAOlxAgADAAAAAADZXYHZ/sneCPvWRd3+yd4IKUNJUS5OWVNFOkJBSC5JUV9BUC45OTUuMTQvMDYvMjAyNi4uLlVTRC5IAQAAAOlxAgACAAAABzM3MS43NDQBCAAAAAUAAAABMQEAAAALLTIwNDMyMTUzOTIDAAAAAzE2MAIAAAAEMTAxOAQAAAABMAcAAAAJNi8xNC8yMDI2CAAAAAkzLzMxLzIwMjEJAAAAATDZXYHZ/sneCMD/+tv+yd4INkNJUS5OWVNFOkJBSC5JUV9PVEhFUl9MVF9BU1NFVFMuOTk0LjE0LzA2LzIwMjYuLi5VU0QuSAEAAADpcQIAAgAAAAY3Mi44MzIBCAAAAAUAAAABMQEAAAALLTIwOTUxMjYwOTADAAAAAzE2MAIAAAAEMTA2MAQAAAABMAcAAAAJNi8xNC8yMDI2CAAAAAkzLzMxLzIwMjAJAAAAATDZXYHZ/sneCG7N99v+yd4IOENJUS5OWVNFOkJBSC5JUV9ERUZfVEFYX0FTU0VUU19MVC45OTUuMTQvMDYvMjAyNi4uLlVTRC5IAQAAAOlxAgADAAAAAADZXYHZ/sneCG7N99v+yd4ILENJUS5OWVNFOkJBSC5JUV9BUl9MVC45OTQuMTQvMDYvMjAyNi4uLlVTRC5IAQAAAOlxAgACAAAABDYyLjYBCAAAAAUAAAABMQEAAAALLTIwOTUxMjYwOTADAAAAAzE2MAIAAAAEMTA4OAQAAAABMAcAAAAJ</t>
  </si>
  <si>
    <t>Ni8xNC8yMDI2CAAAAAkzLzMxLzIwMjAJAAAAATDZXYHZ/sneCG7N99v+yd4IN0NJUS5OWVNFOkJBSC5JUV9GSU5fRElWX0xPQU5TX0xULjk5NC4xNC8wNi8yMDI2Li4uVVNELkgBAAAA6XECAAMAAAAAANldgdn+yd4Ibs332/7J3gguQ0lRLk5ZU0U6QkFILklRX0xUX0RFQlQuOTk1LjE0LzA2LzIwMjYuLi5VU0QuSAEAAADpcQIAAgAAAAcyMjk5LjczAQgAAAAFAAAAATEBAAAACy0yMDQzMjE1MzkyAwAAAAMxNjACAAAABDEwNDkEAAAAATAHAAAACTYvMTQvMjAyNggAAAAJMy8zMS8yMDIxCQAAAAEw2V2B2f7J3ghlF//b/sneCDtDSVEuTllTRTpCQUguSVFfREVGX1RBWF9MSUFCX0NVUlJFTlQuOTk4LjE0LzA2LzIwMjYuLi5VU0QuSAEAAADpcQIAAwAAAAAA2V2B2f7J3ghvrvzb/sneCDpDSVEuTllTRTpCQUguSVFfSU5DX1RBWF9QQVlfQ1VSUkVOVC45OTMuMTQvMDYvMjAyNi4uLlVTRC5IAQAAAOlxAgADAAAAAADZXYHZ/sneCG+u/Nv+yd4IO0NJUS5OWVNFOkJBSC5JUV9GSU5fRElWX0RFQlRfQ1VSUkVOVC45OTQuMTQvMDYvMjAyNi4uLlVTRC5IAQAAAOlxAgADAAAAAADZXYHZ/sneCG+u/Nv+yd4ILkNJUS5OWVNFOkJBSC5JUV9TVF9ERUJULjk5Ni4xNC8wNi8yMDI2Li4uVVNELkgBAAAA6XECAAMAAAAAANldgdn+yd4Ib6782/7J3ggxQ0lRLk5ZU0U6QkFILklRX1BSRUZfT1RIRVIuOTk0LjE0LzA2</t>
  </si>
  <si>
    <t>LzIwMjYuLi5VU0QuSAEAAADpcQIAAwAAAAAAfF9G2f7J3ghqhgHc/sneCDJDSVEuTllTRTpCQUguSVFfUFJFRl9SRURFRU0uOTkzLjE0LzA2LzIwMjYuLi5VU0QuSAEAAADpcQIAAwAAAAAA2V2B2f7J3ghlF//b/sneCDRDSVEuTllTRTpCQUguSVFfT1RIRVJfTElBQl9MVC45OTUuMTQvMDYvMjAyNi4uLlVTRC5IAQAAAOlxAgACAAAABzE5NS44NDMBCAAAAAUAAAABMQEAAAALLTIwNDMyMTUzOTIDAAAAAzE2MAIAAAAEMTA2MgQAAAABMAcAAAAJNi8xNC8yMDI2CAAAAAkzLzMxLzIwMjEJAAAAATDZXYHZ/sneCGUX/9v+yd4INENJUS5OWVNFOkJBSC5JUV9VTkVBUk5fUkVWX0xULjk5OC4xNC8wNi8yMDI2Li4uVVNELkgBAAAA6XECAAMAAAAAANldgdn+yd4IZRf/2/7J3gg2Q0lRLk5ZU0U6QkFILklRX0ZJTl9ESVZfREVCVF9MVC45OTQuMTQvMDYvMjAyNi4uLlVTRC5IAQAAAOlxAgADAAAAAADZXYHZ/sneCGUX/9v+yd4IL0NJUS5OWVNFOkJBSC5JUV9SVUFfTkVULjEwMDAuMTQvMDYvMjAyNi4uLlVTRC5IAQAAAOlxAgADAAAAAAB8X0bZ/sneCGAlRN3+yd4IOENJUS5OWVNFOkJBSC5JUV9UT1RBTF9MSUFCX0VRVUlUWS45OTIuMTQvMDYvMjAyNi4uLlVTRC5IAQAAAOlxAgACAAAACDM2MDYuNjE5AQgAAAAFAAAAATEBAAAACjIwMzgwOTEwNzcDAAAAAzE2MAIAAAAEMTAxMwQAAAABMAcAAAAJNi8xNC8y</t>
  </si>
  <si>
    <t>MDI2CAAAAAkzLzMxLzIwMTgJAAAAATB8X0bZ/sneCKfvA9z+yd4IOENJUS5OWVNFOkJBSC5JUV9NSU5PUklUWV9JTlRFUkVTVC45OTUuMTQvMDYvMjAyNi4uLlVTRC5IAQAAAOlxAgADAAAAAAB8X0bZ/sneCGqGAdz+yd4IL0NJUS5OWVNFOkJBSC5JUV9UUkVBU1VSWS45OTUuMTQvMDYvMjAyNi4uLlVTRC5IAQAAAOlxAgACAAAACS0xMjE2LjE2MwEIAAAABQAAAAExAQAAAAstMjA0MzIxNTM5MgMAAAADMTYwAgAAAAQxMjQ4BAAAAAEwBwAAAAk2LzE0LzIwMjYIAAAACTMvMzEvMjAyMQkAAAABMHxfRtn+yd4IaoYB3P7J3gguQ0lRLk5ZU0U6QkFILklRX0NPTU1PTi4yMDAwLjE0LzA2LzIwMjYuLi5VU0QuSAEAAADpcQIAAgAAAAEyAQgAAAAFAAAAATEBAAAACy0xODg3NzA0MzQxAwAAAAMxNjACAAAABDExMDMEAAAAATAHAAAACTYvMTQvMjAyNggAAAAJMy8zMS8yMDI2CQAAAAEwfF9G2f7J3ghqhgHc/sneCDhDSVEuTllTRTpCQUguSVFfVE9UQUxfT1BFUl9MRUFTRVMuOTk1LjE0LzA2LzIwMjYuLi5VU0QuSAEAAADpcQIAAgAAAAUzMTguMQEIAAAABQAAAAExAQAAAAstMjA0MzIxNTM5MgMAAAADMTYwAgAAAAU0ODk3OAQAAAABMAcAAAAJNi8xNC8yMDI2CAAAAAkzLzMxLzIwMjEJAAAAATB8X0bZ/sneCOTLBtz+yd4IQENJUS5OWVNFOkJBSC5JUV9GSU5BTkNFX0xFQVNFU19MT05HX1RFUk0uMjAwMC4x</t>
  </si>
  <si>
    <t>NC8wNi8yMDI2Li4uVVNELkgBAAAA6XECAAMAAAAAAHxfRtn+yd4I5MsG3P7J3gg8Q0lRLk5ZU0U6QkFILklRX05QUEVfRVhDTF9PUEVSX0xFQVNFUy45OTcuMTQvMDYvMjAyNi4uLlVTRC5IAQAAAOlxAgACAAAABzE5NS4xODYBCAAAAAUAAAABMQEAAAALLTE5NDE1NDY4NzEDAAAAAzE2MAIAAAAFNDg5NzYEAAAAATAHAAAACTYvMTQvMjAyNggAAAAJMy8zMS8yMDIzCQAAAAEwfF9G2f7J3gijYwbc/sneCD5DSVEuTllTRTpCQUguSVFfUlVBX09QRVJBVElOR19MRUFTRV9ORVQuOTkwLjE0LzA2LzIwMjYuLi5VU0QuSAEAAADpcQIAAwAAAAAAfF9G2f7J3giS2gXc/sneCDxDSVEuTllTRTpCQUguSVFfUlVBX0NBUElUQUxfTEVBU0VfTkVULjk5MS4xNC8wNi8yMDI2Li4uVVNELkgBAAAA6XECAAMAAAAAAHxfRtn+yd4IAT4F3P7J3gg6Q0lRLk5ZU0U6QkFILklRX1RPVEFMX0RFQlRfQ1VSUkVOVC4xMDAwLjE0LzA2LzIwMjYuLi5VU0QuSAEAAADpcQIAAgAAAAI2MgEIAAAABQAAAAExAQAAAAstMTg4NzcwNDk3NwMAAAADMTYwAgAAAAUyNTIyMwQAAAABMAcAAAAJNi8xNC8yMDI2CAAAAAkzLzMxLzIwMjYJAAAAATBKR0fZ/sneCGAlRN3+yd4IL0NJUS5OWVNFOkJBSC5JUV9HV19JTlRBTi45OTAuMTQvMDYvMjAyNi4uLlVTRC5IAQAAAOlxAgACAAAACDE1ODkuNDcxAQgAAAAFAAAAATEBAAAACjE4OTEzNDc4</t>
  </si>
  <si>
    <t>NjkDAAAAAzE2MAIAAAAFMzUzODEEAAAAATAHAAAACTYvMTQvMjAyNggAAAAJMy8zMS8yMDE2CQAAAAEwSkdH2f7J3giRyAjc/sneCDlDSVEuTllTRTpCQUguSVFfQlZfU0hBUkVfUkVQT1JURUQuMjAwMC4xNC8wNi8yMDI2Li4uVVNELkgBAAAA6XECAAMAAAAAAEpHR9n+yd4I5MsG3P7J3gg+Q0lRLk5ZU0U6QkFILklRX1RPVEFMX0RFQlRfRVhDTF9MRUFTRVMuMjAwMC4xNC8wNi8yMDI2Li4uVVNELkgBAAAA6XECAAIAAAAEMzk0MAEIAAAABQAAAAExAQAAAAstMTg4NzcwNDM0MQMAAAADMTYwAgAAAAU0ODk5MgQAAAABMAcAAAAJNi8xNC8yMDI2CAAAAAkzLzMxLzIwMjYJAAAAATB8X0bZ/sneCOTLBtz+yd4IU0NJUS5OWVNFOkJBSC5JUV9GSU5BTkNJTkdfT0JMSUdfTk9OX0NVUlJFTlRfRVhDTF9PUEVSX0xFQVNFUy45OTAuMTQvMDYvMjAyNi4uLlVTRC5IAQAAAOlxAgACAAAACDE0ODQuNDQ4AQgAAAAFAAAAATEBAAAACjE4OTEzNDc4NjkDAAAAAzE2MAIAAAAFNDg5ODEEAAAAATAHAAAACTYvMTQvMjAyNggAAAAJMy8zMS8yMDE2CQAAAAEwfF9G2f7J3gjkywbc/sneCERDSVEuTllTRTpCQUguSVFfR0VORVJBTF9QQVJUTkVSX0NPTU1PTl9FUVVJVFkuOTk0LjE0LzA2LzIwMjYuLi5VU0QuSAEAAADpcQIAAwAAAAAASkdH2f7J3ggdIRDc/sneCDxDSVEuTllTRTpCQUguSVFfTEVBU0VIT0xEX0lNUFJP</t>
  </si>
  <si>
    <t>VkVNRU5ULjk5MC4xNC8wNi8yMDI2Li4uVVNELkgBAAAA6XECAAIAAAAHMTU1LjgwMwEIAAAABQAAAAExAQAAAAoxODkxMzQ3ODY5AwAAAAMxNjACAAAABDMxMDAEAAAAATAHAAAACTYvMTQvMjAyNggAAAAJMy8zMS8yMDE2CQAAAAEwSkdH2f7J3ggdIRDc/sneCDBDSVEuTllTRTpCQUguSVFfT1RIRVJfSU5WLjk5Ny4xNC8wNi8yMDI2Li4uVVNELkgBAAAA6XECAAMAAAAAAEpHR9n+yd4I4T0L3P7J3ggyQ0lRLk5ZU0U6QkFILklRX0FSX1VOQklMTEVELjk5Ni4xNC8wNi8yMDI2Li4uVVNELkgBAAAA6XECAAIAAAAIMTE1Ny42NjcBCAAAAAUAAAABMQEAAAALLTE5OTI0MDIwNTkDAAAAAzE2MAIAAAAFNDU0MjAEAAAAATAHAAAACTYvMTQvMjAyNggAAAAJMy8zMS8yMDIyCQAAAAEwSkdH2f7J3gjhPQvc/sneCDBDSVEuTllTRTpCQUguSVFfVE9UQUxfQ0FQLjk5Ny4xNC8wNi8yMDI2Li4uVVNELkgBAAAA6XECAAIAAAAINDA1NC44OTgBCAAAAAUAAAABMQEAAAALLTE5NDE1NDY4NzEDAAAAAzE2MAIAAAAENDE3NQQAAAABMAcAAAAJNi8xNC8yMDI2CAAAAAkzLzMxLzIwMjMJAAAAATBKR0fZ/sneCAU/Ctz+yd4INUNJUS5OWVNFOkJBSC5JUV9TVF9OT1RFX1JFQ0VJVi45OTEuMTQvMDYvMjAyNi4uLlVTRC5IAQAAAOlxAgADAAAAAAB8H37Z/sneCI358tv+yd4IKUNJUS5OWVNFOkJBSC5JUV9BUi45OTcuMTQv</t>
  </si>
  <si>
    <t>MDYvMjAyNi4uLlVTRC5IAQAAAOlxAgACAAAABzE3NzQuODMBCAAAAAUAAAABMQEAAAALLTE5NDE1NDY4NzEDAAAAAzE2MAIAAAAEMTAyMQQAAAABMAcAAAAJNi8xNC8yMDI2CAAAAAkzLzMxLzIwMjMJAAAAATB8H37Z/sneCI358tv+yd4IOUNJUS5OWVNFOkJBSC5JUV9GSU5fRElWX0NBU0hfRVFVSVYuOTkwLjE0LzA2LzIwMjYuLi5VU0QuSAEAAADpcQIAAwAAAAAAhisU2f7J3ggNkxLc/sneCD1DSVEuTllTRTpCQUguSVFfTElBQklMSVRJRVNfRkFJUl9WQUxVRS45OTYuMTQvMDYvMjAyNi4uLlVTRC5IAQAAAOlxAgACAAAACDI3ODMuMDIxAIYrFNn+yd4IDZMS3P7J3gg1Q0lRLk5ZU0U6QkFILklRX0FTU0VUU19MRVZFTF8zLjk5MC4xNC8wNi8yMDI2Li4uVVNELkgBAAAA6XECAAMAAAAAAEpHR9n+yd4IDZMS3P7J3gg1Q0lRLk5ZU0U6QkFILklRX09USEVSX0NBX1NVUFBMLjk5My4xNC8wNi8yMDI2Li4uVVNELkgBAAAA6XECAAMAAAAAANldgdn+yd4Ir1712/7J3gg9Q0lRLk5ZU0U6QkFILklRX0RFRl9UQVhfQVNTRVRTX0NVUlJFTlQuOTk5LjE0LzA2LzIwMjYuLi5VU0QuSAEAAADpcQIAAwAAAAAA2V2B2f7J3gj71kXd/sneCD1DSVEuTllTRTpCQUguSVFfRklOX0RJVl9BU1NFVFNfQ1VSUkVOVC45OTUuMTQvMDYvMjAyNi4uLlVTRC5IAQAAAOlxAgADAAAAAAB8H37Z/sneCDvg9Nv+yd4IM0NJUS5O</t>
  </si>
  <si>
    <t>WVNFOkJBSC5JUV9QUkVQQUlEX0VYUC4yMDAwLjE0LzA2LzIwMjYuLi5VU0QuSAEAAADpcQIAAgAAAAMxNzABCAAAAAUAAAABMQEAAAALLTE4ODc3MDQzNDEDAAAAAzE2MAIAAAAEMTIxMgQAAAABMAcAAAAJNi8xNC8yMDI2CAAAAAkzLzMxLzIwMjYJAAAAATB8H37Z/sneCI358tv+yd4IMENJUS5OWVNFOkJBSC5JUV9JTlZFTlRPUlkuOTk1LjE0LzA2LzIwMjYuLi5VU0QuSAEAAADpcQIAAwAAAAAAfB9+2f7J3giN+fLb/sneCCxDSVEuTllTRTpCQUguSVFfQVJfTFQuOTkzLjE0LzA2LzIwMjYuLi5VU0QuSAEAAADpcQIAAgAAAAY2MS4zOTEBCAAAAAUAAAABMQEAAAAKMjA5OTA4NzEzMwMAAAADMTYwAgAAAAQxMDg4BAAAAAEwBwAAAAk2LzE0LzIwMjYIAAAACTMvMzEvMjAxOQkAAAABMNldgdn+yd4Ibs332/7J3gg3Q0lRLk5ZU0U6QkFILklRX0ZJTl9ESVZfTE9BTlNfTFQuOTkzLjE0LzA2LzIwMjYuLi5VU0QuSAEAAADpcQIAAwAAAAAA2V2B2f7J3ghuzffb/sneCClDSVEuTllTRTpCQUguSVFfR1cuOTkxLjE0LzA2LzIwMjYuLi5VU0QuSAEAAADpcQIAAgAAAAcxNTcxLjE5AQgAAAAFAAAAATEBAAAACjE5NjU3NzI0MjIDAAAAAzE2MAIAAAAEMTE3MQQAAAABMAcAAAAJNi8xNC8yMDI2CAAAAAkzLzMxLzIwMTcJAAAAATDZXYHZ/sneCK9e9dv+yd4IKkNJUS5OWVNFOkJBSC5JUV9BRC4yMDAwLjE0LzA2</t>
  </si>
  <si>
    <t>LzIwMjYuLi5VU0QuSAEAAADpcQIAAgAAAAQtMzE4AQgAAAAFAAAAATEBAAAACy0xODg3NzA0MzQxAwAAAAMxNjACAAAABDEwNzUEAAAAATAHAAAACTYvMTQvMjAyNggAAAAJMy8zMS8yMDI2CQAAAAEw2V2B2f7J3givXvXb/sneCCtDSVEuTllTRTpCQUguSVFfR1BQRS45OTcuMTQvMDYvMjAyNi4uLlVTRC5IAQAAAOlxAgACAAAABjY3Ni45MQEIAAAABQAAAAExAQAAAAstMTk0MTU0Njg3MQMAAAADMTYwAgAAAAQxMTY5BAAAAAEwBwAAAAk2LzE0LzIwMjYIAAAACTMvMzEvMjAyMwkAAAABMNldgdn+yd4Ir1712/7J3gg7Q0lRLk5ZU0U6QkFILklRX0ZJTl9ESVZfREVCVF9DVVJSRU5ULjk5My4xNC8wNi8yMDI2Li4uVVNELkgBAAAA6XECAAMAAAAAANldgdn+yd4Ib6782/7J3gg4Q0lRLk5ZU0U6QkFILklRX0NVUlJFTlRfUE9SVF9ERUJULjk5My4xNC8wNi8yMDI2Li4uVVNELkgBAAAA6XECAAIAAAAHMTM4Ljg1MwEIAAAABQAAAAExAQAAAAoyMDk5MDg3MTMzAwAAAAMxNjACAAAABDEyOTcEAAAAATAHAAAACTYvMTQvMjAyNggAAAAJMy8zMS8yMDE5CQAAAAEw2V2B2f7J3ghvrvzb/sneCClDSVEuTllTRTpCQUguSVFfQUUuOTkyLjE0LzA2LzIwMjYuLi5VU0QuSAEAAADpcQIAAgAAAAczMzMuMDI3AQgAAAAFAAAAATEBAAAACjIwMzgwOTEwNzcDAAAAAzE2MAIAAAAEMTAxNgQAAAABMAcAAAAJNi8xNC8y</t>
  </si>
  <si>
    <t>MDI2CAAAAAkzLzMxLzIwMTgJAAAAATDZXYHZ/sneCMD/+tv+yd4IM0NJUS5OWVNFOkJBSC5JUV9UT1RBTF9BU1NFVFMuOTkxLjE0LzA2LzIwMjYuLi5VU0QuSAEAAADpcQIAAgAAAAgzMzczLjEwNQEIAAAABQAAAAExAQAAAAoxOTY1NzcyNDIyAwAAAAMxNjACAAAABDEwMDcEAAAAATAHAAAACTYvMTQvMjAyNggAAAAJMy8zMS8yMDE3CQAAAAEw2V2B2f7J3gjA//rb/sneCDVDSVEuTllTRTpCQUguSVFfREVGX0NIQVJHRVNfTFQuOTkwLjE0LzA2LzIwMjYuLi5VU0QuSAEAAADpcQIAAwAAAAAA2V2B2f7J3ghuzffb/sneCC5DSVEuTllTRTpCQUguSVFfUEVOU0lPTi45OTUuMTQvMDYvMjAyNi4uLlVTRC5IAQAAAOlxAgACAAAABjE0LjE0MgEIAAAABQAAAAExAQAAAAstMjA0MzIxNTM5MgMAAAADMTYwAgAAAAQxMjEzBAAAAAEwBwAAAAk2LzE0LzIwMjYIAAAACTMvMzEvMjAyMQkAAAABMNldgdn+yd4IZRf/2/7J3gg2Q0lRLk5ZU0U6QkFILklRX0ZJTl9ESVZfREVCVF9MVC45OTIuMTQvMDYvMjAyNi4uLlVTRC5IAQAAAOlxAgADAAAAAADZXYHZ/sneCGUX/9v+yd4ILkNJUS5OWVNFOkJBSC5JUV9MVF9ERUJULjk5NC4xNC8wNi8yMDI2Li4uVVNELkgBAAAA6XECAAIAAAAIMjA0NS43OTgBCAAAAAUAAAABMQEAAAALLTIwOTUxMjYwOTADAAAAAzE2MAIAAAAEMTA0OQQAAAABMAcAAAAJNi8xNC8yMDI2CAAA</t>
  </si>
  <si>
    <t>AAkzLzMxLzIwMjAJAAAAATDZXYHZ/sneCGUX/9v+yd4IO0NJUS5OWVNFOkJBSC5JUV9ERUZfVEFYX0xJQUJfQ1VSUkVOVC45OTcuMTQvMDYvMjAyNi4uLlVTRC5IAQAAAOlxAgADAAAAAADZXYHZ/sneCG+u/Nv+yd4IOkNJUS5OWVNFOkJBSC5JUV9JTkNfVEFYX1BBWV9DVVJSRU5ULjk5OC4xNC8wNi8yMDI2Li4uVVNELkgBAAAA6XECAAIAAAACMTEBCAAAAAUAAAABMQEAAAALLTE4ODc3MDQ5OTMDAAAAAzE2MAIAAAAEMTA5NAQAAAABMAcAAAAJNi8xNC8yMDI2CAAAAAkzLzMxLzIwMjQJAAAAATDZXYHZ/sneCG+u/Nv+yd4IMENJUS5OWVNFOkJBSC5JUV9UUkVBU1VSWS4xMDAwLjE0LzA2LzIwMjYuLi5VU0QuSAEAAADpcQIAAgAAAAUtMzY3MwEIAAAABQAAAAExAQAAAAstMTg4NzcwNDk3NwMAAAADMTYwAgAAAAQxMjQ4BAAAAAEwBwAAAAk2LzE0LzIwMjYIAAAACTMvMzEvMjAyNgkAAAABMHxfRtn+yd4IYCVE3f7J3gguQ0lRLk5ZU0U6QkFILklRX0NPTU1PTi4xMDAwLjE0LzA2LzIwMjYuLi5VU0QuSAEAAADpcQIAAgAAAAEyAQgAAAAFAAAAATEBAAAACy0xODg3NzA0OTc3AwAAAAMxNjACAAAABDExMDMEAAAAATAHAAAACTYvMTQvMjAyNggAAAAJMy8zMS8yMDI2CQAAAAEwfF9G2f7J3ghgJUTd/sneCDFDSVEuTllTRTpCQUguSVFfUFJFRl9PVEhFUi45OTIuMTQvMDYvMjAyNi4uLlVTRC5IAQAAAOlx</t>
  </si>
  <si>
    <t>AgADAAAAAAB8X0bZ/sneCGqGAdz+yd4INkNJUS5OWVNFOkJBSC5JUV9QUkVGX05PTl9SRURFRU0uOTkwLjE0LzA2LzIwMjYuLi5VU0QuSAEAAADpcQIAAwAAAAAA2V2B2f7J3ghlF//b/sneCDRDSVEuTllTRTpCQUguSVFfT1RIRVJfTElBQl9MVC45OTQuMTQvMDYvMjAyNi4uLlVTRC5IAQAAAOlxAgACAAAABjgxLjQwNwEIAAAABQAAAAExAQAAAAstMjA5NTEyNjA5MAMAAAADMTYwAgAAAAQxMDYyBAAAAAEwBwAAAAk2LzE0LzIwMjYIAAAACTMvMzEvMjAyMAkAAAABMNldgdn+yd4IZRf/2/7J3gg+Q0lRLk5ZU0U6QkFILklRX1JVQV9PUEVSQVRJTkdfTEVBU0VfTkVULjk5OC4xNC8wNi8yMDI2Li4uVVNELkgBAAAA6XECAAMAAAAAAHxfRtn+yd4IktoF3P7J3gg8Q0lRLk5ZU0U6QkFILklRX1JVQV9DQVBJVEFMX0xFQVNFX05FVC45OTYuMTQvMDYvMjAyNi4uLlVTRC5IAQAAAOlxAgADAAAAAAB8X0bZ/sneCAE+Bdz+yd4ILkNJUS5OWVNFOkJBSC5JUV9SVUFfTkVULjk5OS4xNC8wNi8yMDI2Li4uVVNELkgBAAAA6XECAAMAAAAAAHxfRtn+yd4IYCVE3f7J3gg4Q0lRLk5ZU0U6QkFILklRX1RPVEFMX0xJQUJfRVFVSVRZLjk5OS4xNC8wNi8yMDI2Li4uVVNELkgBAAAA6XECAAIAAAAENzMxMgEIAAAABQAAAAExAQAAAAstMTg4NzcwNTAwMQMAAAADMTYwAgAAAAQxMDEzBAAAAAEwBwAAAAk2LzE0LzIwMjYI</t>
  </si>
  <si>
    <t>AAAACTMvMzEvMjAyNQkAAAABMHxfRtn+yd4IYCVE3f7J3gg4Q0lRLk5ZU0U6QkFILklRX01JTk9SSVRZX0lOVEVSRVNULjk5NC4xNC8wNi8yMDI2Li4uVVNELkgBAAAA6XECAAMAAAAAAHxfRtn+yd4IaoYB3P7J3ghTQ0lRLk5ZU0U6QkFILklRX0ZJTkFOQ0lOR19PQkxJR19OT05fQ1VSUkVOVF9FWENMX09QRVJfTEVBU0VTLjk5OS4xNC8wNi8yMDI2Li4uVVNELkgBAAAA6XECAAIAAAAEMzkxNQEIAAAABQAAAAExAQAAAAstMTg4NzcwNTAwMQMAAAADMTYwAgAAAAU0ODk4MQQAAAABMAcAAAAJNi8xNC8yMDI2CAAAAAkzLzMxLzIwMjUJAAAAATB8X0bZ/sneCGAlRN3+yd4IOENJUS5OWVNFOkJBSC5JUV9UT1RBTF9PUEVSX0xFQVNFUy45OTQuMTQvMDYvMjAyNi4uLlVTRC5IAQAAAOlxAgACAAAABzMxOS4yODcBCAAAAAUAAAABMQEAAAALLTIwOTUxMjYwOTADAAAAAzE2MAIAAAAFNDg5NzgEAAAAATAHAAAACTYvMTQvMjAyNggAAAAJMy8zMS8yMDIwCQAAAAEwfF9G2f7J3gjkywbc/sneCEBDSVEuTllTRTpCQUguSVFfRklOQU5DRV9MRUFTRVNfTE9OR19URVJNLjEwMDAuMTQvMDYvMjAyNi4uLlVTRC5IAQAAAOlxAgADAAAAAAB8X0bZ/sneCGAlRN3+yd4IPENJUS5OWVNFOkJBSC5JUV9OUFBFX0VYQ0xfT1BFUl9MRUFTRVMuOTk2LjE0LzA2LzIwMjYuLi5VU0QuSAEAAADpcQIAAgAAAAcyMDIuMjI5AQgA</t>
  </si>
  <si>
    <t>AAAFAAAAATEBAAAACy0xOTkyNDAyMDU5AwAAAAMxNjACAAAABTQ4OTc2BAAAAAEwBwAAAAk2LzE0LzIwMjYIAAAACTMvMzEvMjAyMgkAAAABMHxfRtn+yd4Io2MG3P7J3ggyQ0lRLk5ZU0U6QkFILklRX1dPUktJTkdfQ0FQLjk5My4xNC8wNi8yMDI2Li4uVVNELkgBAAAA6XECAAIAAAAHNTIwLjEwMQEIAAAABQAAAAExAQAAAAoyMDk5MDg3MTMzAwAAAAMxNjACAAAABDQxNjUEAAAAATAHAAAACTYvMTQvMjAyNggAAAAJMy8zMS8yMDE5CQAAAAEwSkdH2f7J3ggFPwrc/sneCDlDSVEuTllTRTpCQUguSVFfVE9UQUxfREVCVF9DVVJSRU5ULjk5OS4xNC8wNi8yMDI2Li4uVVNELkgBAAAA6XECAAIAAAADMTI0AQgAAAAFAAAAATEBAAAACy0xODg3NzA1MDAxAwAAAAMxNjACAAAABTI1MjIzBAAAAAEwBwAAAAk2LzE0LzIwMjYIAAAACTMvMzEvMjAyNQkAAAABMEpHR9n+yd4IYCVE3f7J3ggvQ0lRLk5ZU0U6QkFILklRX0dXX0lOVEFOLjk5OS4xNC8wNi8yMDI2Li4uVVNELkgBAAAA6XECAAIAAAAEMjk2OAEIAAAABQAAAAExAQAAAAstMTg4NzcwNTAwMQMAAAADMTYwAgAAAAUzNTM4MQQAAAABMAcAAAAJNi8xNC8yMDI2CAAAAAkzLzMxLzIwMjUJAAAAATBKR0fZ/sneCGAlRN3+yd4IOUNJUS5OWVNFOkJBSC5JUV9CVl9TSEFSRV9SRVBPUlRFRC4xMDAwLjE0LzA2LzIwMjYuLi5VU0QuSAEAAADpcQIAAwAAAAAA</t>
  </si>
  <si>
    <t>SkdH2f7J3ghgJUTd/sneCEZDSVEuTllTRTpCQUguSVFfRkFJUl9WQUxVRV9DSEFOR0VfSU5DTF9FQVJOSU5HUy45OTIuMTQvMDYvMjAyNi4uLlVTRC5IAQAAAOlxAgADAAAAAACGKxTZ/sneCA2TEtz+yd4INUNJUS5OWVNFOkJBSC5JUV9BU1NFVFNfTEVWRUxfMy45OTkuMTQvMDYvMjAyNi4uLlVTRC5IAQAAAOlxAgADAAAAAABKR0fZ/sneCLiIQ93+yd4IQkNJUS5OWVNFOkJBSC5JUV9HRU5FUkFMX1BBUlRORVJfUFJFRl9FUVVJVFkuOTk4LjE0LzA2LzIwMjYuLi5VU0QuSAEAAADpcQIAAwAAAAAASkdH2f7J3ggdIRDc/sneCDxDSVEuTllTRTpCQUguSVFfTEVBU0VIT0xEX0lNUFJPVkVNRU5ULjk5Ni4xNC8wNi8yMDI2Li4uVVNELkgBAAAA6XECAAIAAAAHMjM1LjM0MgEIAAAABQAAAAExAQAAAAstMTk5MjQwMjA1OQMAAAADMTYwAgAAAAQzMTAwBAAAAAEwBwAAAAk2LzE0LzIwMjYIAAAACTMvMzEvMjAyMgkAAAABMEpHR9n+yd4IHSEQ3P7J3ggwQ0lRLk5ZU0U6QkFILklRX09USEVSX0lOVi45OTYuMTQvMDYvMjAyNi4uLlVTRC5IAQAAAOlxAgADAAAAAABKR0fZ/sneCOE9C9z+yd4IPUNJUS5OWVNFOkJBSC5JUV9EQV9DRl9FWENMX09QRVJfTEVBU0VTLjk5NC4xNC8wNi8yMDI2Li4uVVNELkgBAAAA6XECAAIAAAAGODEuMDgxAQgAAAAFAAAAATEBAAAACy0yMDk1MTI2MDkwAwAAAAMxNjACAAAABTQ4</t>
  </si>
  <si>
    <t>OTg1BAAAAAEwBwAAAAk2LzE0LzIwMjYIAAAACTMvMzEvMjAyMAkAAAABMMOcf9n+yd4INb3o2/7J3gguQ0lRLk5ZU0U6QkFILklRX0RFUF9SVUEuOTkwLjE0LzA2LzIwMjYuLi5VU0QuSAEAAADpcQIAAwAAAAAAw5x/2f7J3gg1vejb/sneCDFDSVEuTllTRTpCQUguSVFfREVQUkVfU1VQUC45OTYuMTQvMDYvMjAyNi4uLlVTRC5IAQAAAOlxAgACAAAABDY5LjUBCAAAAAUAAAABMQEAAAALLTE5OTI0MDIwNTkDAAAAAzE2MAIAAAAEMjE0MwQAAAABMAcAAAAJNi8xNC8yMDI2CAAAAAkzLzMxLzIwMjIJAAAAATDDnH/Z/sneCDW96Nv+yd4IOkNJUS5OWVNFOkJBSC5JUV9EQV9TVVBQTF9QQVJUSUFMX0NGLjk5Mi4xNC8wNi8yMDI2Li4uVVNELkgBAAAA6XECAAMAAAAAAMOcf9n+yd4IBYvn2/7J3gg4Q0lRLk5ZU0U6QkFILklRX0ZJTl9ESVZfU1RfSU5WRVNULjk5OC4xNC8wNi8yMDI2Li4uVVNELkgBAAAA6XECAAMAAAAAAIYrFNn+yd4IDZMS3P7J3gg7Q0lRLk5ZU0U6QkFILklRX0NBU0hfSU5URVJFU1RfSU5WRVNULjk5Ni4xNC8wNi8yMDI2Li4uVVNELkgBAAAA6XECAAMAAAAAADzkfNn+yd4IH8Lr2/7J3gg9Q0lRLk5ZU0U6QkFILklRX0NBU0hfSU5URVJFU1RfUkVDRUlWRUQuOTkyLjE0LzA2LzIwMjYuLi5VU0QuSAEAAADpcQIAAwAAAAAAPOR82f7J3gi5+unb/sneCDRDSVEuTllTRTpCQUguSVFfQ0FT</t>
  </si>
  <si>
    <t>SF9JTlRFUkVTVC45OTguMTQvMDYvMjAyNi4uLlVTRC5IAQAAAOlxAgADAAAAAAA85HzZ/sneCLn66dv+yd4IP0NJUS5OWVNFOkJBSC5JUV9BTU9SVF9TT0ZUV0FSRV9BU1NFVFNfQ0YuOTk0LjE0LzA2LzIwMjYuLi5VU0QuSAEAAADpcQIAAwAAAAAA2SCB2f7J3gi5+unb/sneCDxDSVEuTllTRTpCQUguSVFfTkVHQVRJVkVfR1dfQU1PUlRfQ0YuMTAwMC4xNC8wNi8yMDI2Li4uVVNELkgBAAAA6XECAAMAAAAAAMOcf9n+yd4IYEFI3f7J3gg0Q0lRLk5ZU0U6QkFILklRX1VOTEVWRVJFRF9GQ0YuOTk4LjE0LzA2LzIwMjYuLi5VU0QuSAEAAADpcQIAAgAAAAYzMDIuMDEBCAAAAAUAAAABMQEAAAALLTE4ODc3MDQ5OTMDAAAAAzE2MAIAAAAENDQyMwQAAAABMAcAAAAJNi8xNC8yMDI2CAAAAAkzLzMxLzIwMjQJAAAAATA85HzZ/sneCPi27Nv+yd4IQUNJUS5OWVNFOkJBSC5JUV9DSEFOR0VfTkVUX1dPUktJTkdfQ0FQSVRBTC45OTQuMTQvMDYvMjAyNi4uLlVTRC5IAQAAAOlxAgACAAAABzEzMS4xNTIBCAAAAAUAAAABMQEAAAALLTIwOTUxMjYwOTADAAAAAzE2MAIAAAAENDQyMQQAAAABMAcAAAAJNi8xNC8yMDI2CAAAAAkzLzMxLzIwMjAJAAAAATA85HzZ/sneCPi27Nv+yd4IOENJUS5OWVNFOkJBSC5JUV9DQVNIX1RBWEVTX0ZJTkFOLjEwMDAuMTQvMDYvMjAyNi4uLlVTRC5IAQAAAOlxAgADAAAAAAA85HzZ</t>
  </si>
  <si>
    <t>/sneCPvWRd3+yd4INkNJUS5OWVNFOkJBSC5JUV9DQVNIX1RBWEVTX09QRVIuOTk2LjE0LzA2LzIwMjYuLi5VU0QuSAEAAADpcQIAAwAAAAAAPOR82f7J3gj4tuzb/sneCDFDSVEuTllTRTpCQUguSVFfQ0FTSF9UQVhFUy45OTAuMTQvMDYvMjAyNi4uLlVTRC5IAQAAAOlxAgACAAAABzE0My4wODMBCAAAAAUAAAABMQEAAAAKMTg5MTM0Nzg2OQMAAAADMTYwAgAAAAQzMDUzBAAAAAEwBwAAAAk2LzE0LzIwMjYIAAAACTMvMzEvMjAxNgkAAAABMDzkfNn+yd4IGE7s2/7J3ghJQ0lRLk5ZU0U6QkFILklRX0xPTkdfVEVSTV9ERUJUX1JFUEFJRF9FWENMX0xFQVNFUy4xMDAwLjE0LzA2LzIwMjYuLi5VU0QuSAEAAADpcQIAAgAAAAMtNjkBCAAAAAUAAAABMQEAAAALLTE4ODc3MDQ5NzcDAAAAAzE2MAIAAAAFNDg5ODQEAAAAATAHAAAACTYvMTQvMjAyNggAAAAJMy8zMS8yMDI2CQAAAAEwfB9+2f7J3gj71kXd/sneCEJDSVEuTllTRTpCQUguSVFfT1BFUkFUSU5HX0xFQVNFX0xJQUJJTElUSUVTLjk5Ni4xNC8wNi8yMDI2Li4uVVNELkgBAAAA6XECAAMAAAAAAHwfftn+yd4IhMzw2/7J3gg/Q0lRLk5ZU0U6QkFILklRX09QRVJBVElOR19MRUFTRV9QQVlNRU5UUy45OTAuMTQvMDYvMjAyNi4uLlVTRC5IAQAAAOlxAgADAAAAAAB8H37Z/sneCEUw8Nv+yd4IMkNJUS5OWVNFOkJBSC5JUV9NQUlOVF9DQVBFWC45OTgu</t>
  </si>
  <si>
    <t>MTQvMDYvMjAyNi4uLlVTRC5IAQAAAOlxAgADAAAAAAB8H37Z/sneCM247tv+yd4INkNJUS5OWVNFOkJBSC5JUV9ORVRfREVCVF9JU1NVRUQuOTkyLjE0LzA2LzIwMjYuLi5VU0QuSAEAAADpcQIAAgAAAAcxNTAuNTI5AQgAAAAFAAAAATEBAAAACjIwMzgwOTEwNzcDAAAAAzE2MAIAAAAEMjAwMwQAAAABMAcAAAAJNi8xNC8yMDI2CAAAAAkzLzMxLzIwMTgJAAAAATA85HzZ/sneCM247tv+yd4IKUNJUS5OWVNFOkJBSC5JUV9BUi45OTYuMTQvMDYvMjAyNi4uLlVTRC5IAQAAAOlxAgACAAAACDE2MjIuOTg5AQgAAAAFAAAAATEBAAAACy0xOTkyNDAyMDU5AwAAAAMxNjACAAAABDEwMjEEAAAAATAHAAAACTYvMTQvMjAyNggAAAAJMy8zMS8yMDIyCQAAAAEwfB9+2f7J3giN+fLb/sneCDVDSVEuTllTRTpCQUguSVFfQ0FTSF9TVF9JTlZFU1QuOTkwLjE0LzA2LzIwMjYuLi5VU0QuSAEAAADpcQIAAgAAAAcxODcuNTI5AQgAAAAFAAAAATEBAAAACjE4OTEzNDc4NjkDAAAAAzE2MAIAAAAEMTAwMgQAAAABMAcAAAAJNi8xNC8yMDI2CAAAAAkzLzMxLzIwMTYJAAAAATB8H37Z/sneCICr8tv+yd4IMUNJUS5OWVNFOkJBSC5JUV9DQVNIX0VRVUlWLjk5OC4xNC8wNi8yMDI2Li4uVVNELkgBAAAA6XECAAIAAAADNTU0AQgAAAAFAAAAATEBAAAACy0xODg3NzA0OTkzAwAAAAMxNjACAAAABDEwOTYEAAAAATAHAAAACTYv</t>
  </si>
  <si>
    <t>MTQvMjAyNggAAAAJMy8zMS8yMDI0CQAAAAEwfB9+2f7J3ggqXfLb/sneCDpDSVEuTllTRTpCQUguSVFfR0FJTl9CQVJHQUlOX0FDUV9DRi45OTQuMTQvMDYvMjAyNi4uLlVTRC5IAQAAAOlxAgADAAAAAAB8H37Z/sneCOfn8dv+yd4IPUNJUS5OWVNFOkJBSC5JUV9ERUZfVEFYX0FTU0VUU19DVVJSRU5ULjk5OC4xNC8wNi8yMDI2Li4uVVNELkgBAAAA6XECAAMAAAAAANldgdn+yd4Ir1712/7J3gg1Q0lRLk5ZU0U6QkFILklRX0xPQU5TX0ZPUl9TQUxFLjk5Mi4xNC8wNi8yMDI2Li4uVVNELkgBAAAA6XECAAMAAAAAANldgdn+yd4IO+D02/7J3ggzQ0lRLk5ZU0U6QkFILklRX1BSRVBBSURfRVhQLjEwMDAuMTQvMDYvMjAyNi4uLlVTRC5IAQAAAOlxAgACAAAAAzE3MAEIAAAABQAAAAExAQAAAAstMTg4NzcwNDk3NwMAAAADMTYwAgAAAAQxMjEyBAAAAAEwBwAAAAk2LzE0LzIwMjYIAAAACTMvMzEvMjAyNgkAAAABMHwfftn+yd4I+9ZF3f7J3ggwQ0lRLk5ZU0U6QkFILklRX0lOVkVOVE9SWS45OTQuMTQvMDYvMjAyNi4uLlVTRC5IAQAAAOlxAgADAAAAAAB8H37Z/sneCI358tv+yd4INUNJUS5OWVNFOkJBSC5JUV9TVF9OT1RFX1JFQ0VJVi45OTAuMTQvMDYvMjAyNi4uLlVTRC5IAQAAAOlxAgADAAAAAAB8H37Z/sneCI358tv+yd4IN0NJUS5OWVNFOkJBSC5JUV9GSU5fRElWX0xPQU5TX0xULjk5Mi4xNC8w</t>
  </si>
  <si>
    <t>Ni8yMDI2Li4uVVNELkgBAAAA6XECAAMAAAAAANldgdn+yd4Ibs332/7J3ggpQ0lRLk5ZU0U6QkFILklRX0dXLjk5MC4xNC8wNi8yMDI2Li4uVVNELkgBAAAA6XECAAIAAAAIMTM2MS45MTMBCAAAAAUAAAABMQEAAAAKMTg5MTM0Nzg2OQMAAAADMTYwAgAAAAQxMTcxBAAAAAEwBwAAAAk2LzE0LzIwMjYIAAAACTMvMzEvMjAxNgkAAAABMNldgdn+yd4Ir1712/7J3ggrQ0lRLk5ZU0U6QkFILklRX05QUEUuOTk4LjE0LzA2LzIwMjYuLi5VU0QuSAEAAADpcQIAAgAAAAMzNjIBCAAAAAUAAAABMQEAAAALLTE4ODc3MDQ5OTMDAAAAAzE2MAIAAAAEMTAwNAQAAAABMAcAAAAJNi8xNC8yMDI2CAAAAAkzLzMxLzIwMjQJAAAAATDZXYHZ/sneCK9e9dv+yd4IK0NJUS5OWVNFOkJBSC5JUV9HUFBFLjk5Ni4xNC8wNi8yMDI2Li4uVVNELkgBAAAA6XECAAIAAAAHNjg0LjExOQEIAAAABQAAAAExAQAAAAstMTk5MjQwMjA1OQMAAAADMTYwAgAAAAQxMTY5BAAAAAEwBwAAAAk2LzE0LzIwMjYIAAAACTMvMzEvMjAyMgkAAAABMNldgdn+yd4Ir1712/7J3gg1Q0lRLk5ZU0U6QkFILklRX09USEVSX0NBX1NVUFBMLjk5Mi4xNC8wNi8yMDI2Li4uVVNELkgBAAAA6XECAAMAAAAAANldgdn+yd4Ir1712/7J3gg4Q0lRLk5ZU0U6QkFILklRX0NVUlJFTlRfUE9SVF9ERUJULjk5Mi4xNC8wNi8yMDI2Li4uVVNELkgBAAAA6XECAAIA</t>
  </si>
  <si>
    <t>AAAFMTQzLjEBCAAAAAUAAAABMQEAAAAKMjAzODA5MTA3NwMAAAADMTYwAgAAAAQxMjk3BAAAAAEwBwAAAAk2LzE0LzIwMjYIAAAACTMvMzEvMjAxOAkAAAABMNldgdn+yd4Ib6782/7J3ggpQ0lRLk5ZU0U6QkFILklRX0FFLjk5MS4xNC8wNi8yMDI2Li4uVVNELkgBAAAA6XECAAIAAAAHMzI0LjkwNwEIAAAABQAAAAExAQAAAAoxOTY1NzcyNDIyAwAAAAMxNjACAAAABDEwMTYEAAAAATAHAAAACTYvMTQvMjAyNggAAAAJMy8zMS8yMDE3CQAAAAEw2V2B2f7J3gjA//rb/sneCDNDSVEuTllTRTpCQUguSVFfVE9UQUxfQVNTRVRTLjk5MC4xNC8wNi8yMDI2Li4uVVNELkgBAAAA6XECAAIAAAAIMzAxMC4xNzEBCAAAAAUAAAABMQEAAAAKMTg5MTM0Nzg2OQMAAAADMTYwAgAAAAQxMDA3BAAAAAEwBwAAAAk2LzE0LzIwMjYIAAAACTMvMzEvMjAxNgkAAAABMNldgdn+yd4IwP/62/7J3gg5Q0lRLk5ZU0U6QkFILklRX0RFRl9UQVhfQVNTRVRTX0xULjIwMDAuMTQvMDYvMjAyNi4uLlVTRC5IAQAAAOlxAgACAAAAAzI5NAEIAAAABQAAAAExAQAAAAstMTg4NzcwNDM0MQMAAAADMTYwAgAAAAQxMDI2BAAAAAEwBwAAAAk2LzE0LzIwMjYIAAAACTMvMzEvMjAyNgkAAAABMNldgdn+yd4Ibs332/7J3ggsQ0lRLk5ZU0U6QkFILklRX0FSX0xULjk5Mi4xNC8wNi8yMDI2Li4uVVNELkgBAAAA6XECAAIAAAAGNTkuNjMzAQgA</t>
  </si>
  <si>
    <t>AAAFAAAAATEBAAAACjIwMzgwOTEwNzcDAAAAAzE2MAIAAAAEMTA4OAQAAAABMAcAAAAJNi8xNC8yMDI2CAAAAAkzLzMxLzIwMTgJAAAAATDZXYHZ/sneCG7N99v+yd4IN0NJUS5OWVNFOkJBSC5JUV9GSU5fRElWX0RFQlRfTFQuMjAwMC4xNC8wNi8yMDI2Li4uVVNELkgBAAAA6XECAAMAAAAAANldgdn+yd4IZRf/2/7J3gguQ0lRLk5ZU0U6QkFILklRX0xUX0RFQlQuOTkzLjE0LzA2LzIwMjYuLi5VU0QuSAEAAADpcQIAAgAAAAgxNzA2LjE4NAEIAAAABQAAAAExAQAAAAoyMDk5MDg3MTMzAwAAAAMxNjACAAAABDEwNDkEAAAAATAHAAAACTYvMTQvMjAyNggAAAAJMy8zMS8yMDE5CQAAAAEw2V2B2f7J3ghlF//b/sneCDVDSVEuTllTRTpCQUguSVFfT1RIRVJfQ0xfU1VQUEwuOTk0LjE0LzA2LzIwMjYuLi5VU0QuSAEAAADpcQIAAgAAAAcyNTQuNTk3AQgAAAAFAAAAATEBAAAACy0yMDk1MTI2MDkwAwAAAAMxNjACAAAABDEwNTcEAAAAATAHAAAACTYvMTQvMjAyNggAAAAJMy8zMS8yMDIwCQAAAAEw2V2B2f7J3ghvrvzb/sneCDpDSVEuTllTRTpCQUguSVFfSU5DX1RBWF9QQVlfQ1VSUkVOVC45OTcuMTQvMDYvMjAyNi4uLlVTRC5IAQAAAOlxAgACAAAABjE0LjUyMwEIAAAABQAAAAExAQAAAAstMTk0MTU0Njg3MQMAAAADMTYwAgAAAAQxMDk0BAAAAAEwBwAAAAk2LzE0LzIwMjYIAAAACTMvMzEvMjAyMwkA</t>
  </si>
  <si>
    <t>AAABMNldgdn+yd4Ib6782/7J3gg7Q0lRLk5ZU0U6QkFILklRX0ZJTl9ESVZfREVCVF9DVVJSRU5ULjk5Mi4xNC8wNi8yMDI2Li4uVVNELkgBAAAA6XECAAMAAAAAANldgdn+yd4Ib6782/7J3ggtQ0lRLk5ZU0U6QkFILklRX0NPTU1PTi45OTkuMTQvMDYvMjAyNi4uLlVTRC5IAQAAAOlxAgACAAAAATIBCAAAAAUAAAABMQEAAAALLTE4ODc3MDUwMDEDAAAAAzE2MAIAAAAEMTEwMwQAAAABMAcAAAAJNi8xNC8yMDI2CAAAAAkzLzMxLzIwMjUJAAAAATB8X0bZ/sneCGAlRN3+yd4IMkNJUS5OWVNFOkJBSC5JUV9QUkVGX09USEVSLjIwMDAuMTQvMDYvMjAyNi4uLlVTRC5IAQAAAOlxAgADAAAAAAB8X0bZ/sneCGqGAdz+yd4IM0NJUS5OWVNFOkJBSC5JUV9QUkVGX1JFREVFTS4xMDAwLjE0LzA2LzIwMjYuLi5VU0QuSAEAAADpcQIAAwAAAAAA2V2B2f7J3ghgJUTd/sneCDRDSVEuTllTRTpCQUguSVFfT1RIRVJfTElBQl9MVC45OTMuMTQvMDYvMjAyNi4uLlVTRC5IAQAAAOlxAgACAAAABzExMi44ODkBCAAAAAUAAAABMQEAAAAKMjA5OTA4NzEzMwMAAAADMTYwAgAAAAQxMDYyBAAAAAEwBwAAAAk2LzE0LzIwMjYIAAAACTMvMzEvMjAxOQkAAAABMNldgdn+yd4IZRf/2/7J3gguQ0lRLk5ZU0U6QkFILklRX1BFTlNJT04uOTk0LjE0LzA2LzIwMjYuLi5VU0QuSAEAAADpcQIAAgAAAAcxMjQuMzc1AQgAAAAFAAAA</t>
  </si>
  <si>
    <t>ATEBAAAACy0yMDk1MTI2MDkwAwAAAAMxNjACAAAABDEyMTMEAAAAATAHAAAACTYvMTQvMjAyNggAAAAJMy8zMS8yMDIwCQAAAAEw2V2B2f7J3ghlF//b/sneCDxDSVEuTllTRTpCQUguSVFfUlVBX0NBUElUQUxfTEVBU0VfTkVULjk5NS4xNC8wNi8yMDI2Li4uVVNELkgBAAAA6XECAAMAAAAAAHxfRtn+yd4IAT4F3P7J3gguQ0lRLk5ZU0U6QkFILklRX1JVQV9ORVQuOTk4LjE0LzA2LzIwMjYuLi5VU0QuSAEAAADpcQIAAwAAAAAAfF9G2f7J3gi7swTc/sneCDBDSVEuTllTRTpCQUguSVFfUlVBX0dST1NTLjk5Mi4xNC8wNi8yMDI2Li4uVVNELkgBAAAA6XECAAMAAAAAAHxfRtn+yd4ITDsE3P7J3gg4Q0lRLk5ZU0U6QkFILklRX01JTk9SSVRZX0lOVEVSRVNULjk5My4xNC8wNi8yMDI2Li4uVVNELkgBAAAA6XECAAMAAAAAAHxfRtn+yd4IaoYB3P7J3ggvQ0lRLk5ZU0U6QkFILklRX1RSRUFTVVJZLjk5OS4xNC8wNi8yMDI2Li4uVVNELkgBAAAA6XECAAIAAAAFLTMwODIBCAAAAAUAAAABMQEAAAALLTE4ODc3MDUwMDEDAAAAAzE2MAIAAAAEMTI0OAQAAAABMAcAAAAJNi8xNC8yMDI2CAAAAAkzLzMxLzIwMjUJAAAAATB8X0bZ/sneCGAlRN3+yd4IU0NJUS5OWVNFOkJBSC5JUV9GSU5BTkNJTkdfT0JMSUdfTk9OX0NVUlJFTlRfRVhDTF9PUEVSX0xFQVNFUy45OTguMTQvMDYvMjAyNi4uLlVTRC5IAQAAAOlx</t>
  </si>
  <si>
    <t>AgACAAAABDMzNTABCAAAAAUAAAABMQEAAAALLTE4ODc3MDQ5OTMDAAAAAzE2MAIAAAAFNDg5ODEEAAAAATAHAAAACTYvMTQvMjAyNggAAAAJMy8zMS8yMDI0CQAAAAEwfF9G2f7J3gjkywbc/sneCDhDSVEuTllTRTpCQUguSVFfVE9UQUxfT1BFUl9MRUFTRVMuOTkzLjE0LzA2LzIwMjYuLi5VU0QuSAEAAADpcQIAAwAAAAAAfF9G2f7J3gjkywbc/sneCD9DSVEuTllTRTpCQUguSVFfRklOQU5DRV9MRUFTRVNfTE9OR19URVJNLjk5OS4xNC8wNi8yMDI2Li4uVVNELkgBAAAA6XECAAMAAAAAAHxfRtn+yd4IYCVE3f7J3gg8Q0lRLk5ZU0U6QkFILklRX05QUEVfRVhDTF9PUEVSX0xFQVNFUy45OTQuMTQvMDYvMjAyNi4uLlVTRC5IAQAAAOlxAgACAAAABzIwOC4wNzcBCAAAAAUAAAABMQEAAAALLTIwOTUxMjYwOTADAAAAAzE2MAIAAAAFNDg5NzYEAAAAATAHAAAACTYvMTQvMjAyNggAAAAJMy8zMS8yMDIwCQAAAAEwfF9G2f7J3gijYwbc/sneCD5DSVEuTllTRTpCQUguSVFfUlVBX09QRVJBVElOR19MRUFTRV9ORVQuOTk3LjE0LzA2LzIwMjYuLi5VU0QuSAEAAADpcQIAAwAAAAAAfF9G2f7J3giS2gXc/sneCDJDSVEuTllTRTpCQUguSVFfV09SS0lOR19DQVAuOTk0LjE0LzA2LzIwMjYuLi5VU0QuSAEAAADpcQIAAgAAAAcxMDAwLjUxAQgAAAAFAAAAATEBAAAACy0yMDk1MTI2MDkwAwAAAAMxNjACAAAABDQx</t>
  </si>
  <si>
    <t>NjUEAAAAATAHAAAACTYvMTQvMjAyNggAAAAJMy8zMS8yMDIwCQAAAAEwSkdH2f7J3ggFPwrc/sneCD1DSVEuTllTRTpCQUguSVFfVE9UQUxfREVCVF9OT05fQ1VSUkVOVC45OTYuMTQvMDYvMjAyNi4uLlVTRC5IAQAAAOlxAgACAAAACDI5NzguODAyAQgAAAAFAAAAATEBAAAACy0xOTkyNDAyMDU5AwAAAAMxNjACAAAABTI1MjI0BAAAAAEwBwAAAAk2LzE0LzIwMjYIAAAACTMvMzEvMjAyMgkAAAABMEpHR9n+yd4IkcgI3P7J3ggvQ0lRLk5ZU0U6QkFILklRX0dXX0lOVEFOLjk5OC4xNC8wNi8yMDI2Li4uVVNELkgBAAAA6XECAAIAAAAEMjk0NQEIAAAABQAAAAExAQAAAAstMTg4NzcwNDk5MwMAAAADMTYwAgAAAAUzNTM4MQQAAAABMAcAAAAJNi8xNC8yMDI2CAAAAAkzLzMxLzIwMjQJAAAAATBKR0fZ/sneCJHICNz+yd4IOENJUS5OWVNFOkJBSC5JUV9CVl9TSEFSRV9SRVBPUlRFRC45OTkuMTQvMDYvMjAyNi4uLlVTRC5IAQAAAOlxAgADAAAAAABKR0fZ/sneCGAlRN3+yd4INUNJUS5OWVNFOkJBSC5JUV9BU1NFVFNfTEVWRUxfMy45OTguMTQvMDYvMjAyNi4uLlVTRC5IAQAAAOlxAgADAAAAAABKR0fZ/sneCA2TEtz+yd4ISENJUS5OWVNFOkJBSC5JUV9HRU5FUkFMX1BBUlRORVJfTUlOT1JJVFlfSU5URVJFU1QuOTkyLjE0LzA2LzIwMjYuLi5VU0QuSAEAAADpcQIAAwAAAAAASkdH2f7J3ggdIRDc/sne</t>
  </si>
  <si>
    <t>CDxDSVEuTllTRTpCQUguSVFfTEVBU0VIT0xEX0lNUFJPVkVNRU5ULjk5NS4xNC8wNi8yMDI2Li4uVVNELkgBAAAA6XECAAIAAAAHMjI1LjEzMgEIAAAABQAAAAExAQAAAAstMjA0MzIxNTM5MgMAAAADMTYwAgAAAAQzMTAwBAAAAAEwBwAAAAk2LzE0LzIwMjYIAAAACTMvMzEvMjAyMQkAAAABMEpHR9n+yd4IHSEQ3P7J3ggwQ0lRLk5ZU0U6QkFILklRX09USEVSX0lOVi45OTQuMTQvMDYvMjAyNi4uLlVTRC5IAQAAAOlxAgADAAAAAABKR0fZ/sneCOE9C9z+yd4IRUNJUS5OWVNFOkJBSC5JUV9ERVBSRUNJQVRJT05fUkVOVEFMX0FTU0VUU19DRi4yMDAwLjE0LzA2LzIwMjYuLi5VU0QuSAEAAADpcQIAAwAAAAAAw5x/2f7J3gg1vejb/sneCDFDSVEuTllTRTpCQUguSVFfREVQUkVfU1VQUC45OTUuMTQvMDYvMjAyNi4uLlVTRC5IAQAAAOlxAgACAAAAAjY1AQgAAAAFAAAAATEBAAAACy0yMDQzMjE1MzkyAwAAAAMxNjACAAAABDIxNDMEAAAAATAHAAAACTYvMTQvMjAyNggAAAAJMy8zMS8yMDIxCQAAAAEww5x/2f7J3gg1vejb/sneCDtDSVEuTllTRTpCQUguSVFfREFfU1VQUExfUEFSVElBTF9DRi4yMDAwLjE0LzA2LzIwMjYuLi5VU0QuSAEAAADpcQIAAwAAAAAAw5x/2f7J3ggFi+fb/sneCDhDSVEuTllTRTpCQUguSVFfRklOX0RJVl9TVF9JTlZFU1QuOTk2LjE0LzA2LzIwMjYuLi5VU0QuSAEAAADpcQIA</t>
  </si>
  <si>
    <t>AwAAAAAAhisU2f7J3ggNkxLc/sneCD1DSVEuTllTRTpCQUguSVFfQ0FTSF9JTlRFUkVTVF9SRUNFSVZFRC45OTEuMTQvMDYvMjAyNi4uLlVTRC5IAQAAAOlxAgADAAAAAAA85HzZ/sneCLn66dv+yd4INENJUS5OWVNFOkJBSC5JUV9DQVNIX0lOVEVSRVNULjk5Ny4xNC8wNi8yMDI2Li4uVVNELkgBAAAA6XECAAMAAAAAADzkfNn+yd4Iufrp2/7J3ghCQ0lRLk5ZU0U6QkFILklRX1NBTEVfUFJPQ0VFRFNfUkVOVEFMX0FTU0VUUy45OTEuMTQvMDYvMjAyNi4uLlVTRC5IAQAAAOlxAgADAAAAAADZIIHZ/sneCLn66dv+yd4IO0NJUS5OWVNFOkJBSC5JUV9ORUdBVElWRV9HV19BTU9SVF9DRi45OTkuMTQvMDYvMjAyNi4uLlVTRC5IAQAAAOlxAgADAAAAAADDnH/Z/sneCGBBSN3+yd4IPUNJUS5OWVNFOkJBSC5JUV9EQV9DRl9FWENMX09QRVJfTEVBU0VTLjk5My4xNC8wNi8yMDI2Li4uVVNELkgBAAAA6XECAAIAAAAGNjguNTc1AQgAAAAFAAAAATEBAAAACjIwOTkwODcxMzMDAAAAAzE2MAIAAAAFNDg5ODUEAAAAATAHAAAACTYvMTQvMjAyNggAAAAJMy8zMS8yMDE5CQAAAAEww5x/2f7J3gg1vejb/sneCEFDSVEuTllTRTpCQUguSVFfQ0hBTkdFX05FVF9XT1JLSU5HX0NBUElUQUwuOTkzLjE0LzA2LzIwMjYuLi5VU0QuSAEAAADpcQIAAgAAAAY1NC41MjcBCAAAAAUAAAABMQEAAAAKMjA5OTA4NzEzMwMAAAAD</t>
  </si>
  <si>
    <t>MTYwAgAAAAQ0NDIxBAAAAAEwBwAAAAk2LzE0LzIwMjYIAAAACTMvMzEvMjAxOQkAAAABMDzkfNn+yd4I+Lbs2/7J3gg3Q0lRLk5ZU0U6QkFILklRX0NBU0hfVEFYRVNfRklOQU4uOTk5LjE0LzA2LzIwMjYuLi5VU0QuSAEAAADpcQIAAwAAAAAAPOR82f7J3gj71kXd/sneCDhDSVEuTllTRTpCQUguSVFfQ0FTSF9UQVhFU19JTlZFU1QuOTkzLjE0LzA2LzIwMjYuLi5VU0QuSAEAAADpcQIAAwAAAAAAPOR82f7J3gj4tuzb/sneCDtDSVEuTllTRTpCQUguSVFfQ0FTSF9JTlRFUkVTVF9GSU5BTi4yMDAwLjE0LzA2LzIwMjYuLi5VU0QuSAEAAADpcQIAAwAAAAAAPOR82f7J3ggYTuzb/sneCDtDSVEuTllTRTpCQUguSVFfQ0FTSF9JTlRFUkVTVF9JTlZFU1QuOTk1LjE0LzA2LzIwMjYuLi5VU0QuSAEAAADpcQIAAwAAAAAAPOR82f7J3gigFuzb/sneCEJDSVEuTllTRTpCQUguSVFfT1BFUkFUSU5HX0xFQVNFX0xJQUJJTElUSUVTLjk5NS4xNC8wNi8yMDI2Li4uVVNELkgBAAAA6XECAAMAAAAAAHwfftn+yd4IhMzw2/7J3gg1Q0lRLk5ZU0U6QkFILklRX0RPX0ZJTkFOQ0VfQ0YuMjAwMC4xNC8wNi8yMDI2Li4uVVNELkgBAAAA6XECAAMAAAAAAHwfftn+yd4IRTDw2/7J3ggzQ0lRLk5ZU0U6QkFILklRX0RPX0lOVkVTVF9DRi45OTUuMTQvMDYvMjAyNi4uLlVTRC5IAQAAAOlxAgADAAAAAAB8H37Z/sneCM247tv+</t>
  </si>
  <si>
    <t>yd4INkNJUS5OWVNFOkJBSC5JUV9ORVRfREVCVF9JU1NVRUQuOTkxLjE0LzA2LzIwMjYuLi5VU0QuSAEAAADpcQIAAgAAAAY1MS4wNTgBCAAAAAUAAAABMQEAAAAKMTk2NTc3MjQyMgMAAAADMTYwAgAAAAQyMDAzBAAAAAEwBwAAAAk2LzE0LzIwMjYIAAAACTMvMzEvMjAxNwkAAAABMDzkfNn+yd4Izbju2/7J3gg0Q0lRLk5ZU0U6QkFILklRX1VOTEVWRVJFRF9GQ0YuOTk3LjE0LzA2LzIwMjYuLi5VU0QuSAEAAADpcQIAAgAAAAc5NDkuMzM5AQgAAAAFAAAAATEBAAAACy0xOTQxNTQ2ODcxAwAAAAMxNjACAAAABDQ0MjMEAAAAATAHAAAACTYvMTQvMjAyNggAAAAJMy8zMS8yMDIzCQAAAAEwPOR82f7J3gj4tuzb/sneCDFDSVEuTllTRTpCQUguSVFfQ0FTSF9FUVVJVi45OTcuMTQvMDYvMjAyNi4uLlVTRC5IAQAAAOlxAgACAAAABzQwNC44NjIBCAAAAAUAAAABMQEAAAALLTE5NDE1NDY4NzEDAAAAAzE2MAIAAAAEMTA5NgQAAAABMAcAAAAJNi8xNC8yMDI2CAAAAAkzLzMxLzIwMjMJAAAAATB8H37Z/sneCCpd8tv+yd4IOkNJUS5OWVNFOkJBSC5JUV9HQUlOX0JBUkdBSU5fQUNRX0NGLjk5My4xNC8wNi8yMDI2Li4uVVNELkgBAAAA6XECAAMAAAAAAHwfftn+yd4I5+fx2/7J3ghIQ0lRLk5ZU0U6QkFILklRX0xPTkdfVEVSTV9ERUJUX1JFUEFJRF9FWENMX0xFQVNFUy45OTkuMTQvMDYvMjAyNi4uLlVTRC5I</t>
  </si>
  <si>
    <t>AQAAAOlxAgACAAAABC0yNjIBCAAAAAUAAAABMQEAAAALLTE4ODc3MDUwMDEDAAAAAzE2MAIAAAAFNDg5ODQEAAAAATAHAAAACTYvMTQvMjAyNggAAAAJMy8zMS8yMDI1CQAAAAEwfB9+2f7J3gj71kXd/sneCDJDSVEuTllTRTpCQUguSVFfUFJFUEFJRF9FWFAuOTk5LjE0LzA2LzIwMjYuLi5VU0QuSAEAAADpcQIAAgAAAAMxNTcBCAAAAAUAAAABMQEAAAALLTE4ODc3MDUwMDEDAAAAAzE2MAIAAAAEMTIxMgQAAAABMAcAAAAJNi8xNC8yMDI2CAAAAAkzLzMxLzIwMjUJAAAAATB8H37Z/sneCPvWRd3+yd4IMENJUS5OWVNFOkJBSC5JUV9JTlZFTlRPUlkuOTkzLjE0LzA2LzIwMjYuLi5VU0QuSAEAAADpcQIAAwAAAAAAfB9+2f7J3giN+fLb/sneCDVDSVEuTllTRTpCQUguSVFfU1RfTk9URV9SRUNFSVYuOTk5LjE0LzA2LzIwMjYuLi5VU0QuSAEAAADpcQIAAwAAAAAAfB9+2f7J3gj71kXd/sneCClDSVEuTllTRTpCQUguSVFfQVIuOTk1LjE0LzA2LzIwMjYuLi5VU0QuSAEAAADpcQIAAgAAAAgxNDExLjg5NAEIAAAABQAAAAExAQAAAAstMjA0MzIxNTM5MgMAAAADMTYwAgAAAAQxMDIxBAAAAAEwBwAAAAk2LzE0LzIwMjYIAAAACTMvMzEvMjAyMQkAAAABMHwfftn+yd4Ijfny2/7J3gg2Q0lRLk5ZU0U6QkFILklRX1RSQURJTkdfQVNTRVRTLjIwMDAuMTQvMDYvMjAyNi4uLlVTRC5IAQAAAOlxAgADAAAAAAB8</t>
  </si>
  <si>
    <t>H37Z/sneCIvS8tv+yd4IK0NJUS5OWVNFOkJBSC5JUV9OUFBFLjk5Ny4xNC8wNi8yMDI2Li4uVVNELkgBAAAA6XECAAIAAAAHMzgyLjk4NAEIAAAABQAAAAExAQAAAAstMTk0MTU0Njg3MQMAAAADMTYwAgAAAAQxMDA0BAAAAAEwBwAAAAk2LzE0LzIwMjYIAAAACTMvMzEvMjAyMwkAAAABMNldgdn+yd4Ir1712/7J3ggrQ0lRLk5ZU0U6QkFILklRX0dQUEUuOTk1LjE0LzA2LzIwMjYuLi5VU0QuSAEAAADpcQIAAgAAAAc2NzkuNTA3AQgAAAAFAAAAATEBAAAACy0yMDQzMjE1MzkyAwAAAAMxNjACAAAABDExNjkEAAAAATAHAAAACTYvMTQvMjAyNggAAAAJMy8zMS8yMDIxCQAAAAEw2V2B2f7J3givXvXb/sneCDZDSVEuTllTRTpCQUguSVFfT1RIRVJfQ0FfU1VQUEwuMjAwMC4xNC8wNi8yMDI2Li4uVVNELkgBAAAA6XECAAMAAAAAANldgdn+yd4Ir1712/7J3gg9Q0lRLk5ZU0U6QkFILklRX0RFRl9UQVhfQVNTRVRTX0NVUlJFTlQuOTk3LjE0LzA2LzIwMjYuLi5VU0QuSAEAAADpcQIAAwAAAAAA2V2B2f7J3givXvXb/sneCDVDSVEuTllTRTpCQUguSVFfTE9BTlNfRk9SX1NBTEUuOTkxLjE0LzA2LzIwMjYuLi5VU0QuSAEAAADpcQIAAwAAAAAA2V2B2f7J3gg74PTb/sneCDdDSVEuTllTRTpCQUguSVFfT1RIRVJfTFRfQVNTRVRTLjIwMDAuMTQvMDYvMjAyNi4uLlVTRC5IAQAAAOlxAgACAAAAAzIzNQEIAAAA</t>
  </si>
  <si>
    <t>BQAAAAExAQAAAAstMTg4NzcwNDM0MQMAAAADMTYwAgAAAAQxMDYwBAAAAAEwBwAAAAk2LzE0LzIwMjYIAAAACTMvMzEvMjAyNgkAAAABMNldgdn+yd4IwP/62/7J3gg5Q0lRLk5ZU0U6QkFILklRX0RFRl9UQVhfQVNTRVRTX0xULjEwMDAuMTQvMDYvMjAyNi4uLlVTRC5IAQAAAOlxAgACAAAAAzI5NAEIAAAABQAAAAExAQAAAAstMTg4NzcwNDk3NwMAAAADMTYwAgAAAAQxMDI2BAAAAAEwBwAAAAk2LzE0LzIwMjYIAAAACTMvMzEvMjAyNgkAAAABMNldgdn+yd4I+9ZF3f7J3ggtQ0lRLk5ZU0U6QkFILklRX0FSX0xULjIwMDAuMTQvMDYvMjAyNi4uLlVTRC5IAQAAAOlxAgACAAAAAjU4AQgAAAAFAAAAATEBAAAACy0xODg3NzA0MzQxAwAAAAMxNjACAAAABDEwODgEAAAAATAHAAAACTYvMTQvMjAyNggAAAAJMy8zMS8yMDI2CQAAAAEw2V2B2f7J3ghuzffb/sneCDhDSVEuTllTRTpCQUguSVFfRklOX0RJVl9MT0FOU19MVC4xMDAwLjE0LzA2LzIwMjYuLi5VU0QuSAEAAADpcQIAAwAAAAAA2V2B2f7J3gj71kXd/sneCClDSVEuTllTRTpCQUguSVFfR1cuOTk5LjE0LzA2LzIwMjYuLi5VU0QuSAEAAADpcQIAAgAAAAQyNDA1AQgAAAAFAAAAATEBAAAACy0xODg3NzA1MDAxAwAAAAMxNjACAAAABDExNzEEAAAAATAHAAAACTYvMTQvMjAyNggAAAAJMy8zMS8yMDI1CQAAAAEw2V2B2f7J3gj71kXd/sneCDVDSVEu</t>
  </si>
  <si>
    <t>TllTRTpCQUguSVFfT1RIRVJfQ0xfU1VQUEwuOTkzLjE0LzA2LzIwMjYuLi5VU0QuSAEAAADpcQIAAgAAAAcyNDUuMTg1AQgAAAAFAAAAATEBAAAACjIwOTkwODcxMzMDAAAAAzE2MAIAAAAEMTA1NwQAAAABMAcAAAAJNi8xNC8yMDI2CAAAAAkzLzMxLzIwMTkJAAAAATDZXYHZ/sneCG+u/Nv+yd4IOkNJUS5OWVNFOkJBSC5JUV9JTkNfVEFYX1BBWV9DVVJSRU5ULjk5Ni4xNC8wNi8yMDI2Li4uVVNELkgBAAAA6XECAAIAAAAGMzQuMzI0AQgAAAAFAAAAATEBAAAACy0xOTkyNDAyMDU5AwAAAAMxNjACAAAABDEwOTQEAAAAATAHAAAACTYvMTQvMjAyNggAAAAJMy8zMS8yMDIyCQAAAAEw2V2B2f7J3ghvrvzb/sneCDtDSVEuTllTRTpCQUguSVFfRklOX0RJVl9ERUJUX0NVUlJFTlQuOTkwLjE0LzA2LzIwMjYuLi5VU0QuSAEAAADpcQIAAwAAAAAA2V2B2f7J3ghvrvzb/sneCDhDSVEuTllTRTpCQUguSVFfQ1VSUkVOVF9QT1JUX0RFQlQuOTkxLjE0LzA2LzIwMjYuLi5VU0QuSAEAAADpcQIAAgAAAAYyNzMuMTUBCAAAAAUAAAABMQEAAAAKMTk2NTc3MjQyMgMAAAADMTYwAgAAAAQxMjk3BAAAAAEwBwAAAAk2LzE0LzIwMjYIAAAACTMvMzEvMjAxNwkAAAABMNldgdn+yd4Ib6782/7J3ggpQ0lRLk5ZU0U6QkFILklRX0FFLjk5MC4xNC8wNi8yMDI2Li4uVVNELkgBAAAA6XECAAIAAAAHMjkwLjg4NQEIAAAABQAA</t>
  </si>
  <si>
    <t>AAExAQAAAAoxODkxMzQ3ODY5AwAAAAMxNjACAAAABDEwMTYEAAAAATAHAAAACTYvMTQvMjAyNggAAAAJMy8zMS8yMDE2CQAAAAEw2V2B2f7J3gjA//rb/sneCDJDSVEuTllTRTpCQUguSVFfUFJFRl9SRURFRU0uOTk5LjE0LzA2LzIwMjYuLi5VU0QuSAEAAADpcQIAAwAAAAAA2V2B2f7J3ghgJUTd/sneCDRDSVEuTllTRTpCQUguSVFfT1RIRVJfTElBQl9MVC45OTIuMTQvMDYvMjAyNi4uLlVTRC5IAQAAAOlxAgACAAAABzEyMS4wODIBCAAAAAUAAAABMQEAAAAKMjAzODA5MTA3NwMAAAADMTYwAgAAAAQxMDYyBAAAAAEwBwAAAAk2LzE0LzIwMjYIAAAACTMvMzEvMjAxOAkAAAABMNldgdn+yd4IZRf/2/7J3gguQ0lRLk5ZU0U6QkFILklRX1BFTlNJT04uOTkzLjE0LzA2LzIwMjYuLi5VU0QuSAEAAADpcQIAAgAAAAcxMjQuOTI1AQgAAAAFAAAAATEBAAAACjIwOTkwODcxMzMDAAAAAzE2MAIAAAAEMTIxMwQAAAABMAcAAAAJNi8xNC8yMDI2CAAAAAkzLzMxLzIwMTkJAAAAATDZXYHZ/sneCGUX/9v+yd4INkNJUS5OWVNFOkJBSC5JUV9GSU5fRElWX0xJQUJfTFQuOTk0LjE0LzA2LzIwMjYuLi5VU0QuSAEAAADpcQIAAwAAAAAA2V2B2f7J3ghlF//b/sneCC5DSVEuTllTRTpCQUguSVFfTFRfREVCVC45OTIuMTQvMDYvMjAyNi4uLlVTRC5IAQAAAOlxAgACAAAACDE3NTUuNDc5AQgAAAAFAAAAATEBAAAACjIw</t>
  </si>
  <si>
    <t>MzgwOTEwNzcDAAAAAzE2MAIAAAAEMTA0OQQAAAABMAcAAAAJNi8xNC8yMDI2CAAAAAkzLzMxLzIwMTgJAAAAATDZXYHZ/sneCGUX/9v+yd4IMENJUS5OWVNFOkJBSC5JUV9SVUFfR1JPU1MuOTkxLjE0LzA2LzIwMjYuLi5VU0QuSAEAAADpcQIAAwAAAAAAfF9G2f7J3giUUATc/sneCDhDSVEuTllTRTpCQUguSVFfTUlOT1JJVFlfSU5URVJFU1QuOTkyLjE0LzA2LzIwMjYuLi5VU0QuSAEAAADpcQIAAwAAAAAAfF9G2f7J3ghqhgHc/sneCC9DSVEuTllTRTpCQUguSVFfVFJFQVNVUlkuOTk4LjE0LzA2LzIwMjYuLi5VU0QuSAEAAADpcQIAAgAAAAUtMjI3OAEIAAAABQAAAAExAQAAAAstMTg4NzcwNDk5MwMAAAADMTYwAgAAAAQxMjQ4BAAAAAEwBwAAAAk2LzE0LzIwMjYIAAAACTMvMzEvMjAyNAkAAAABMHxfRtn+yd4IaoYB3P7J3ggtQ0lRLk5ZU0U6QkFILklRX0NPTU1PTi45OTguMTQvMDYvMjAyNi4uLlVTRC5IAQAAAOlxAgACAAAAATIBCAAAAAUAAAABMQEAAAALLTE4ODc3MDQ5OTMDAAAAAzE2MAIAAAAEMTEwMwQAAAABMAcAAAAJNi8xNC8yMDI2CAAAAAkzLzMxLzIwMjQJAAAAATB8X0bZ/sneCGqGAdz+yd4IMkNJUS5OWVNFOkJBSC5JUV9QUkVGX09USEVSLjEwMDAuMTQvMDYvMjAyNi4uLlVTRC5IAQAAAOlxAgADAAAAAAB8X0bZ/sneCGAlRN3+yd4IO0NJUS5OWVNFOkJBSC5JUV9UT1RBTF9GSU5B</t>
  </si>
  <si>
    <t>TkNFX0xFQVNFUy45OTYuMTQvMDYvMjAyNi4uLlVTRC5IAQAAAOlxAgADAAAAAAB8X0bZ/sneCOTLBtz+yd4IPENJUS5OWVNFOkJBSC5JUV9OUFBFX0VYQ0xfT1BFUl9MRUFTRVMuOTkzLjE0LzA2LzIwMjYuLi5VU0QuSAEAAADpcQIAAgAAAAcxNzIuNDUzAQgAAAAFAAAAATEBAAAACjIwOTkwODcxMzMDAAAAAzE2MAIAAAAFNDg5NzYEAAAAATAHAAAACTYvMTQvMjAyNggAAAAJMy8zMS8yMDE5CQAAAAEwfF9G2f7J3gijYwbc/sneCD5DSVEuTllTRTpCQUguSVFfUlVBX09QRVJBVElOR19MRUFTRV9ORVQuOTk2LjE0LzA2LzIwMjYuLi5VU0QuSAEAAADpcQIAAwAAAAAAfF9G2f7J3giS2gXc/sneCEBDSVEuTllTRTpCQUguSVFfUlVBX09QRVJBVElOR19MRUFTRV9HUk9TUy45OTIuMTQvMDYvMjAyNi4uLlVTRC5IAQAAAOlxAgADAAAAAAB8X0bZ/sneCAE+Bdz+yd4ILkNJUS5OWVNFOkJBSC5JUV9SVUFfTkVULjk5Ni4xNC8wNi8yMDI2Li4uVVNELkgBAAAA6XECAAMAAAAAAHxfRtn+yd4I+8cE3P7J3ggvQ0lRLk5ZU0U6QkFILklRX0dXX0lOVEFOLjk5Ny4xNC8wNi8yMDI2Li4uVVNELkgBAAAA6XECAAIAAAAIMzAyNC4wMTQBCAAAAAUAAAABMQEAAAALLTE5NDE1NDY4NzEDAAAAAzE2MAIAAAAFMzUzODEEAAAAATAHAAAACTYvMTQvMjAyNggAAAAJMy8zMS8yMDIzCQAAAAEwSkdH2f7J3giRyAjc/sneCDhD</t>
  </si>
  <si>
    <t>SVEuTllTRTpCQUguSVFfQlZfU0hBUkVfUkVQT1JURUQuOTk4LjE0LzA2LzIwMjYuLi5VU0QuSAEAAADpcQIAAwAAAAAASkdH2f7J3gjkywbc/sneCFNDSVEuTllTRTpCQUguSVFfRklOQU5DSU5HX09CTElHX05PTl9DVVJSRU5UX0VYQ0xfT1BFUl9MRUFTRVMuOTk2LjE0LzA2LzIwMjYuLi5VU0QuSAEAAADpcQIAAgAAAAgyNzMxLjczMgEIAAAABQAAAAExAQAAAAstMTk5MjQwMjA1OQMAAAADMTYwAgAAAAU0ODk4MQQAAAABMAcAAAAJNi8xNC8yMDI2CAAAAAkzLzMxLzIwMjIJAAAAATB8X0bZ/sneCOTLBtz+yd4IOENJUS5OWVNFOkJBSC5JUV9UT1RBTF9PUEVSX0xFQVNFUy45OTIuMTQvMDYvMjAyNi4uLlVTRC5IAQAAAOlxAgADAAAAAAB8X0bZ/sneCOTLBtz+yd4IOkNJUS5OWVNFOkJBSC5JUV9NSU5PUklUWV9JTlRfUkVERUVNLjk5Mi4xNC8wNi8yMDI2Li4uVVNELkgBAAAA6XECAAMAAAAAAEpHR9n+yd4IHSEQ3P7J3ggrQ0lRLk5ZU0U6QkFILklRX0xBTkQuOTkxLjE0LzA2LzIwMjYuLi5VU0QuSAEAAADpcQIAAwAAAAAASkdH2f7J3gjhPQvc/sneCDZDSVEuTllTRTpCQUguSVFfTkVUX1dPUktJTkdfQ0FQLjk5MS4xNC8wNi8yMDI2Li4uVVNELkgBAAAA6XECAAIAAAAHMjQ4LjgxMgEIAAAABQAAAAExAQAAAAoxOTY1NzcyNDIyAwAAAAMxNjACAAAABDEzMTEEAAAAATAHAAAACTYvMTQvMjAyNggA</t>
  </si>
  <si>
    <t>AAAJMy8zMS8yMDE3CQAAAAEwSkdH2f7J3ggFPwrc/sneCD1DSVEuTllTRTpCQUguSVFfVE9UQUxfREVCVF9OT05fQ1VSUkVOVC45OTUuMTQvMDYvMjAyNi4uLlVTRC5IAQAAAOlxAgACAAAACDI1NjIuODc0AQgAAAAFAAAAATEBAAAACy0yMDQzMjE1MzkyAwAAAAMxNjACAAAABTI1MjI0BAAAAAEwBwAAAAk2LzE0LzIwMjYIAAAACTMvMzEvMjAyMQkAAAABMEpHR9n+yd4IkcgI3P7J3gguQ0lRLk5ZU0U6QkFILklRX0RFUF9SVUEuOTk4LjE0LzA2LzIwMjYuLi5VU0QuSAEAAADpcQIAAwAAAAAAw5x/2f7J3gg1vejb/sneCD1DSVEuTllTRTpCQUguSVFfREVCVF9FUVVJVl9PUEVSX0xFQVNFLjEwMDAuMTQvMDYvMjAyNi4uLlVTRC5IAQAAAOlxAgACAAAAAzYwMAEIAAAABQAAAAExAQAAAAstMTg4NzcwNDk3NwMAAAADMTYwAgAAAAUyMTY3MQQAAAABMAcAAAAJNi8xNC8yMDI2CAAAAAkzLzMxLzIwMjYJAAAAATCGKxTZ/sneCCr4QN3+yd4INUNJUS5OWVNFOkJBSC5JUV9BU1NFVFNfTEVWRUxfMy45OTYuMTQvMDYvMjAyNi4uLlVTRC5IAQAAAOlxAgADAAAAAABKR0fZ/sneCA2TEtz+yd4ISENJUS5OWVNFOkJBSC5JUV9HRU5FUkFMX1BBUlRORVJfTUlOT1JJVFlfSU5URVJFU1QuOTkxLjE0LzA2LzIwMjYuLi5VU0QuSAEAAADpcQIAAwAAAAAASkdH2f7J3ggdIRDc/sneCD5DSVEuTllTRTpCQUguSVFfQ0FT</t>
  </si>
  <si>
    <t>SF9JTlRFUkVTVF9SRUNFSVZFRC4xMDAwLjE0LzA2LzIwMjYuLi5VU0QuSAEAAADpcQIAAwAAAAAAPOR82f7J3ghgQUjd/sneCDRDSVEuTllTRTpCQUguSVFfQ0FTSF9JTlRFUkVTVC45OTYuMTQvMDYvMjAyNi4uLlVTRC5IAQAAAOlxAgADAAAAAAA85HzZ/sneCLn66dv+yd4IQkNJUS5OWVNFOkJBSC5JUV9TQUxFX1BST0NFRURTX1JFTlRBTF9BU1NFVFMuOTkwLjE0LzA2LzIwMjYuLi5VU0QuSAEAAADpcQIAAwAAAAAA2SCB2f7J3gi5+unb/sneCDtDSVEuTllTRTpCQUguSVFfTkVHQVRJVkVfR1dfQU1PUlRfQ0YuOTk4LjE0LzA2LzIwMjYuLi5VU0QuSAEAAADpcQIAAwAAAAAAw5x/2f7J3gi5+unb/sneCD1DSVEuTllTRTpCQUguSVFfREFfQ0ZfRVhDTF9PUEVSX0xFQVNFUy45OTIuMTQvMDYvMjAyNi4uLlVTRC5IAQAAAOlxAgACAAAABjY0Ljc1NgEIAAAABQAAAAExAQAAAAoyMDM4MDkxMDc3AwAAAAMxNjACAAAABTQ4OTg1BAAAAAEwBwAAAAk2LzE0LzIwMjYIAAAACTMvMzEvMjAxOAkAAAABMMOcf9n+yd4INb3o2/7J3ggyQ0lRLk5ZU0U6QkFILklRX0xFVkVSRURfRkNGLjk5MC4xNC8wNi8yMDI2Li4uVVNELkgBAAAA6XECAAIAAAAKMTU2LjIzNjYyNQEIAAAABQAAAAExAQAAAAoxODkxMzQ3ODY5AwAAAAMxNjACAAAABDQ0MjIEAAAAATAHAAAACTYvMTQvMjAyNggAAAAJMy8zMS8yMDE2CQAAAAEw</t>
  </si>
  <si>
    <t>POR82f7J3gj4tuzb/sneCDdDSVEuTllTRTpCQUguSVFfQ0FTSF9UQVhFU19GSU5BTi45OTguMTQvMDYvMjAyNi4uLlVTRC5IAQAAAOlxAgADAAAAAAA85HzZ/sneCPi27Nv+yd4IOENJUS5OWVNFOkJBSC5JUV9DQVNIX1RBWEVTX0lOVkVTVC45OTIuMTQvMDYvMjAyNi4uLlVTRC5IAQAAAOlxAgADAAAAAAA85HzZ/sneCPi27Nv+yd4IO0NJUS5OWVNFOkJBSC5JUV9DQVNIX0lOVEVSRVNUX0ZJTkFOLjEwMDAuMTQvMDYvMjAyNi4uLlVTRC5IAQAAAOlxAgADAAAAAAA85HzZ/sneCGBBSN3+yd4IO0NJUS5OWVNFOkJBSC5JUV9DQVNIX0lOVEVSRVNUX0lOVkVTVC45OTQuMTQvMDYvMjAyNi4uLlVTRC5IAQAAAOlxAgADAAAAAAA85HzZ/sneCKAW7Nv+yd4ISkNJUS5OWVNFOkJBSC5JUV9PUEVSQVRJTkdfTEVBU0VfTElBQklMSVRJRVNfTk9OQ0FTSC45OTIuMTQvMDYvMjAyNi4uLlVTRC5IAQAAAOlxAgADAAAAAAB8H37Z/sneCITM8Nv+yd4INUNJUS5OWVNFOkJBSC5JUV9ET19GSU5BTkNFX0NGLjEwMDAuMTQvMDYvMjAyNi4uLlVTRC5IAQAAAOlxAgADAAAAAAB8H37Z/sneCPvWRd3+yd4IM0NJUS5OWVNFOkJBSC5JUV9ET19JTlZFU1RfQ0YuOTk0LjE0LzA2LzIwMjYuLi5VU0QuSAEAAADpcQIAAwAAAAAAfB9+2f7J3gjNuO7b/sneCDZDSVEuTllTRTpCQUguSVFfTkVUX0RFQlRfSVNTVUVELjk5MC4xNC8w</t>
  </si>
  <si>
    <t>Ni8yMDI2Li4uVVNELkgBAAAA6XECAAIAAAAHLTIyLjA2MwEIAAAABQAAAAExAQAAAAoxODkxMzQ3ODY5AwAAAAMxNjACAAAABDIwMDMEAAAAATAHAAAACTYvMTQvMjAyNggAAAAJMy8zMS8yMDE2CQAAAAEwPOR82f7J3gjNuO7b/sneCDRDSVEuTllTRTpCQUguSVFfVU5MRVZFUkVEX0ZDRi45OTYuMTQvMDYvMjAyNi4uLlVTRC5IAQAAAOlxAgACAAAACTcyNC41MTI3NQEIAAAABQAAAAExAQAAAAstMTk5MjQwMjA1OQMAAAADMTYwAgAAAAQ0NDIzBAAAAAEwBwAAAAk2LzE0LzIwMjYIAAAACTMvMzEvMjAyMgkAAAABMDzkfNn+yd4I+Lbs2/7J3ggwQ0lRLk5ZU0U6QkFILklRX1NUX0lOVkVTVC45OTQuMTQvMDYvMjAyNi4uLlVTRC5IAQAAAOlxAgADAAAAAAB8H37Z/sneCCpd8tv+yd4IOkNJUS5OWVNFOkJBSC5JUV9HQUlOX0JBUkdBSU5fQUNRX0NGLjk5Mi4xNC8wNi8yMDI2Li4uVVNELkgBAAAA6XECAAMAAAAAAHwfftn+yd4I5+fx2/7J3ghIQ0lRLk5ZU0U6QkFILklRX0xPTkdfVEVSTV9ERUJUX1JFUEFJRF9FWENMX0xFQVNFUy45OTguMTQvMDYvMjAyNi4uLlVTRC5IAQAAAOlxAgACAAAABC01NDEBCAAAAAUAAAABMQEAAAALLTE4ODc3MDQ5OTMDAAAAAzE2MAIAAAAFNDg5ODQEAAAAATAHAAAACTYvMTQvMjAyNggAAAAJMy8zMS8yMDI0CQAAAAEwfB9+2f7J3giPcPHb/sneCDxDSVEuTllTRTpCQUgu</t>
  </si>
  <si>
    <t>SVFfRklOX0RJVl9MT0FOU19DVVJSRU5ULjk5Ni4xNC8wNi8yMDI2Li4uVVNELkgBAAAA6XECAAMAAAAAAHwfftn+yd4Ijfny2/7J3ggwQ0lRLk5ZU0U6QkFILklRX0lOVkVOVE9SWS45OTIuMTQvMDYvMjAyNi4uLlVTRC5IAQAAAOlxAgADAAAAAAB8H37Z/sneCI358tv+yd4INUNJUS5OWVNFOkJBSC5JUV9TVF9OT1RFX1JFQ0VJVi45OTguMTQvMDYvMjAyNi4uLlVTRC5IAQAAAOlxAgADAAAAAAB8H37Z/sneCI358tv+yd4IKUNJUS5OWVNFOkJBSC5JUV9BUi45OTQuMTQvMDYvMjAyNi4uLlVTRC5IAQAAAOlxAgACAAAACDE0NTkuNDcxAQgAAAAFAAAAATEBAAAACy0yMDk1MTI2MDkwAwAAAAMxNjACAAAABDEwMjEEAAAAATAHAAAACTYvMTQvMjAyNggAAAAJMy8zMS8yMDIwCQAAAAEwfB9+2f7J3giN+fLb/sneCDZDSVEuTllTRTpCQUguSVFfVFJBRElOR19BU1NFVFMuMTAwMC4xNC8wNi8yMDI2Li4uVVNELkgBAAAA6XECAAMAAAAAAHwfftn+yd4I+9ZF3f7J3ggrQ0lRLk5ZU0U6QkFILklRX05QUEUuOTk2LjE0LzA2LzIwMjYuLi5VU0QuSAEAAADpcQIAAgAAAAY0MjkuNDYBCAAAAAUAAAABMQEAAAALLTE5OTI0MDIwNTkDAAAAAzE2MAIAAAAEMTAwNAQAAAABMAcAAAAJNi8xNC8yMDI2CAAAAAkzLzMxLzIwMjIJAAAAATDZXYHZ/sneCK9e9dv+yd4IK0NJUS5OWVNFOkJBSC5JUV9HUFBFLjk5NC4xNC8w</t>
  </si>
  <si>
    <t>Ni8yMDI2Li4uVVNELkgBAAAA6XECAAIAAAAHNzIwLjU2OAEIAAAABQAAAAExAQAAAAstMjA5NTEyNjA5MAMAAAADMTYwAgAAAAQxMTY5BAAAAAEwBwAAAAk2LzE0LzIwMjYIAAAACTMvMzEvMjAyMAkAAAABMNldgdn+yd4Ir1712/7J3gg2Q0lRLk5ZU0U6QkFILklRX09USEVSX0NBX1NVUFBMLjEwMDAuMTQvMDYvMjAyNi4uLlVTRC5IAQAAAOlxAgADAAAAAADZXYHZ/sneCPvWRd3+yd4IPUNJUS5OWVNFOkJBSC5JUV9ERUZfVEFYX0FTU0VUU19DVVJSRU5ULjk5Ni4xNC8wNi8yMDI2Li4uVVNELkgBAAAA6XECAAMAAAAAANldgdn+yd4Ir1712/7J3gg1Q0lRLk5ZU0U6QkFILklRX0xPQU5TX0ZPUl9TQUxFLjk5MC4xNC8wNi8yMDI2Li4uVVNELkgBAAAA6XECAAMAAAAAANldgdn+yd4IO+D02/7J3gg3Q0lRLk5ZU0U6QkFILklRX09USEVSX0xUX0FTU0VUUy4xMDAwLjE0LzA2LzIwMjYuLi5VU0QuSAEAAADpcQIAAgAAAAMyMzUBCAAAAAUAAAABMQEAAAALLTE4ODc3MDQ5NzcDAAAAAzE2MAIAAAAEMTA2MAQAAAABMAcAAAAJNi8xNC8yMDI2CAAAAAkzLzMxLzIwMjYJAAAAATDZXYHZ/sneCPvWRd3+yd4IOENJUS5OWVNFOkJBSC5JUV9ERUZfVEFYX0FTU0VUU19MVC45OTkuMTQvMDYvMjAyNi4uLlVTRC5IAQAAAOlxAgACAAAAAzMzMgEIAAAABQAAAAExAQAAAAstMTg4NzcwNTAwMQMAAAADMTYwAgAAAAQx</t>
  </si>
  <si>
    <t>MDI2BAAAAAEwBwAAAAk2LzE0LzIwMjYIAAAACTMvMzEvMjAyNQkAAAABMNldgdn+yd4I+9ZF3f7J3ggsQ0lRLk5ZU0U6QkFILklRX0FSX0xULjk5OC4xNC8wNi8yMDI2Li4uVVNELkgBAAAA6XECAAIAAAACNTcBCAAAAAUAAAABMQEAAAALLTE4ODc3MDQ5OTMDAAAAAzE2MAIAAAAEMTA4OAQAAAABMAcAAAAJNi8xNC8yMDI2CAAAAAkzLzMxLzIwMjQJAAAAATDZXYHZ/sneCG7N99v+yd4IN0NJUS5OWVNFOkJBSC5JUV9GSU5fRElWX0xPQU5TX0xULjk5OS4xNC8wNi8yMDI2Li4uVVNELkgBAAAA6XECAAMAAAAAANldgdn+yd4I+9ZF3f7J3ggpQ0lRLk5ZU0U6QkFILklRX0dXLjk5OC4xNC8wNi8yMDI2Li4uVVNELkgBAAAA6XECAAIAAAAEMjM0NAEIAAAABQAAAAExAQAAAAstMTg4NzcwNDk5MwMAAAADMTYwAgAAAAQxMTcxBAAAAAEwBwAAAAk2LzE0LzIwMjYIAAAACTMvMzEvMjAyNAkAAAABMNldgdn+yd4Ir1712/7J3gg1Q0lRLk5ZU0U6QkFILklRX09USEVSX0NMX1NVUFBMLjk5Mi4xNC8wNi8yMDI2Li4uVVNELkgBAAAA6XECAAIAAAAHMjEyLjY0NwEIAAAABQAAAAExAQAAAAoyMDM4MDkxMDc3AwAAAAMxNjACAAAABDEwNTcEAAAAATAHAAAACTYvMTQvMjAyNggAAAAJMy8zMS8yMDE4CQAAAAEw2V2B2f7J3ghvrvzb/sneCDlDSVEuTllTRTpCQUguSVFfVU5FQVJOX1JFVl9DVVJSRU5ULjk5My4xNC8w</t>
  </si>
  <si>
    <t>Ni8yMDI2Li4uVVNELkgBAAAA6XECAAMAAAAAANldgdn+yd4Ib6782/7J3gg7Q0lRLk5ZU0U6QkFILklRX0ZJTl9ESVZfREVCVF9DVVJSRU5ULjk5OS4xNC8wNi8yMDI2Li4uVVNELkgBAAAA6XECAAMAAAAAANldgdn+yd4I+9ZF3f7J3gg4Q0lRLk5ZU0U6QkFILklRX0NVUlJFTlRfUE9SVF9ERUJULjk5MC4xNC8wNi8yMDI2Li4uVVNELkgBAAAA6XECAAIAAAAHMTkyLjgxMwEIAAAABQAAAAExAQAAAAoxODkxMzQ3ODY5AwAAAAMxNjACAAAABDEyOTcEAAAAATAHAAAACTYvMTQvMjAyNggAAAAJMy8zMS8yMDE2CQAAAAEw2V2B2f7J3ghvrvzb/sneCCpDSVEuTllTRTpCQUguSVFfQVAuMjAwMC4xNC8wNi8yMDI2Li4uVVNELkgBAAAA6XECAAIAAAADNTk0AQgAAAAFAAAAATEBAAAACy0xODg3NzA0MzQxAwAAAAMxNjACAAAABDEwMTgEAAAAATAHAAAACTYvMTQvMjAyNggAAAAJMy8zMS8yMDI2CQAAAAEw2V2B2f7J3gjA//rb/sneCDZDSVEuTllTRTpCQUguSVFfUFJFRl9OT05fUkVERUVNLjk5Mi4xNC8wNi8yMDI2Li4uVVNELkgBAAAA6XECAAMAAAAAANldgdn+yd4IZRf/2/7J3gg1Q0lRLk5ZU0U6QkFILklRX09USEVSX0xJQUJfTFQuMjAwMC4xNC8wNi8yMDI2Li4uVVNELkgBAAAA6XECAAIAAAADMjUwAQgAAAAFAAAAATEBAAAACy0xODg3NzA0MzQxAwAAAAMxNjACAAAABDEwNjIEAAAAATAHAAAACTYv</t>
  </si>
  <si>
    <t>MTQvMjAyNggAAAAJMy8zMS8yMDI2CQAAAAEw2V2B2f7J3ghlF//b/sneCC5DSVEuTllTRTpCQUguSVFfUEVOU0lPTi45OTIuMTQvMDYvMjAyNi4uLlVTRC5IAQAAAOlxAgACAAAABzEzMS41MjYBCAAAAAUAAAABMQEAAAAKMjAzODA5MTA3NwMAAAADMTYwAgAAAAQxMjEzBAAAAAEwBwAAAAk2LzE0LzIwMjYIAAAACTMvMzEvMjAxOAkAAAABMNldgdn+yd4IZRf/2/7J3gg2Q0lRLk5ZU0U6QkFILklRX0ZJTl9ESVZfTElBQl9MVC45OTMuMTQvMDYvMjAyNi4uLlVTRC5IAQAAAOlxAgADAAAAAADZXYHZ/sneCGUX/9v+yd4ILkNJUS5OWVNFOkJBSC5JUV9MVF9ERUJULjk5MS4xNC8wNi8yMDI2Li4uVVNELkgBAAAA6XECAAIAAAAIMTQ3MC4xNzQBCAAAAAUAAAABMQEAAAAKMTk2NTc3MjQyMgMAAAADMTYwAgAAAAQxMDQ5BAAAAAEwBwAAAAk2LzE0LzIwMjYIAAAACTMvMzEvMjAxNwkAAAABMNldgdn+yd4IZRf/2/7J3ggwQ0lRLk5ZU0U6QkFILklRX1JVQV9HUk9TUy45OTAuMTQvMDYvMjAyNi4uLlVTRC5IAQAAAOlxAgADAAAAAAB8X0bZ/sneCJRQBNz+yd4IOENJUS5OWVNFOkJBSC5JUV9NSU5PUklUWV9JTlRFUkVTVC45OTEuMTQvMDYvMjAyNi4uLlVTRC5IAQAAAOlxAgADAAAAAAB8X0bZ/sneCGqGAdz+yd4IM0NJUS5OWVNFOkJBSC5JUV9PVEhFUl9FUVVJVFkuOTk0LjE0LzA2LzIwMjYuLi5VU0QuSAEA</t>
  </si>
  <si>
    <t>AADpcQIAAgAAAActNDYuMDAxAQgAAAAFAAAAATEBAAAACy0yMDk1MTI2MDkwAwAAAAMxNjACAAAABDEwMjgEAAAAATAHAAAACTYvMTQvMjAyNggAAAAJMy8zMS8yMDIwCQAAAAEwfF9G2f7J3ghqhgHc/sneCCtDSVEuTllTRTpCQUguSVFfQVBJQy45OTUuMTQvMDYvMjAyNi4uLlVTRC5IAQAAAOlxAgACAAAABzU1Ny45NTcBCAAAAAUAAAABMQEAAAALLTIwNDMyMTUzOTIDAAAAAzE2MAIAAAAEMTA4NAQAAAABMAcAAAAJNi8xNC8yMDI2CAAAAAkzLzMxLzIwMjEJAAAAATB8X0bZ/sneCGqGAdz+yd4IMUNJUS5OWVNFOkJBSC5JUV9QUkVGX09USEVSLjk5OS4xNC8wNi8yMDI2Li4uVVNELkgBAAAA6XECAAMAAAAAAHxfRtn+yd4IYCVE3f7J3gg7Q0lRLk5ZU0U6QkFILklRX1RPVEFMX0ZJTkFOQ0VfTEVBU0VTLjk5My4xNC8wNi8yMDI2Li4uVVNELkgBAAAA6XECAAMAAAAAAHxfRtn+yd4I5MsG3P7J3gg9Q0lRLk5ZU0U6QkFILklRX0ZJTkFOQ0VfTEVBU0VTX0NVUlJFTlQuOTkwLjE0LzA2LzIwMjYuLi5VU0QuSAEAAADpcQIAAwAAAAAAfF9G2f7J3gijYwbc/sneCD5DSVEuTllTRTpCQUguSVFfUlVBX09QRVJBVElOR19MRUFTRV9ORVQuOTk1LjE0LzA2LzIwMjYuLi5VU0QuSAEAAADpcQIAAwAAAAAAfF9G2f7J3giS2gXc/sneCEBDSVEuTllTRTpCQUguSVFfUlVBX09QRVJBVElOR19MRUFTRV9HUk9TUy45</t>
  </si>
  <si>
    <t>OTAuMTQvMDYvMjAyNi4uLlVTRC5IAQAAAOlxAgADAAAAAAB8X0bZ/sneCAE+Bdz+yd4IPkNJUS5OWVNFOkJBSC5JUV9SVUFfQ0FQSVRBTF9MRUFTRV9HUk9TUy45OTMuMTQvMDYvMjAyNi4uLlVTRC5IAQAAAOlxAgADAAAAAAB8X0bZ/sneCPvHBNz+yd4IMUNJUS5OWVNFOkJBSC5JUV9DQVNIX1NIQVJFLjk5Ni4xNC8wNi8yMDI2Li4uVVNELkgBAAAA6XECAAIAAAAINS4yNDg4MDkBCAAAAAUAAAABMQEAAAALLTE5OTI0MDIwNTkDAAAAAzE2MAIAAAAENDM4MQQAAAABMAcAAAAJNi8xNC8yMDI2CAAAAAkzLzMxLzIwMjIJAAAAATBKR0fZ/sneCJHICNz+yd4IMENJUS5OWVNFOkJBSC5JUV9UQlZfU0hBUkUuOTk4LjE0LzA2LzIwMjYuLi5VU0QuSAEAAADpcQIAAgAAAAktMTQuNjQwMTkBCAAAAAUAAAABMQEAAAALLTE4ODc3MDQ5OTMDAAAAAzE2MAIAAAAENDE1NgQAAAABMAcAAAAJNi8xNC8yMDI2CAAAAAkzLzMxLzIwMjQJAAAAATBKR0fZ/sneCOTLBtz+yd4IQkNJUS5OWVNFOkJBSC5JUV9UT1RBTF9ERUJUX0VYQ0xfT1BFUl9MRUFTRVMuOTkyLjE0LzA2LzIwMjYuLi5VU0QuSAEAAADpcQIAAgAAAAgxODk4LjU3OQEIAAAABQAAAAExAQAAAAoyMDM4MDkxMDc3AwAAAAMxNjACAAAABTQ4OTgyBAAAAAEwBwAAAAk2LzE0LzIwMjYIAAAACTMvMzEvMjAxOAkAAAABMHxfRtn+yd4I5MsG3P7J3gg5Q0lRLk5Z</t>
  </si>
  <si>
    <t>U0U6QkFILklRX1RPVEFMX09QRVJfTEVBU0VTLjEwMDAuMTQvMDYvMjAyNi4uLlVTRC5IAQAAAOlxAgACAAAAAzE4MgEIAAAABQAAAAExAQAAAAstMTg4NzcwNDk3NwMAAAADMTYwAgAAAAU0ODk3OAQAAAABMAcAAAAJNi8xNC8yMDI2CAAAAAkzLzMxLzIwMjYJAAAAATB8X0bZ/sneCGAlRN3+yd4IOkNJUS5OWVNFOkJBSC5JUV9NSU5PUklUWV9JTlRfUkVERUVNLjk5MC4xNC8wNi8yMDI2Li4uVVNELkgBAAAA6XECAAMAAAAAAEpHR9n+yd4IHSEQ3P7J3ggrQ0lRLk5ZU0U6QkFILklRX0xBTkQuOTk4LjE0LzA2LzIwMjYuLi5VU0QuSAEAAADpcQIAAwAAAAAASkdH2f7J3gjhPQvc/sneCDNDSVEuTllTRTpCQUguSVFfQVJfVU5CSUxMRUQuMjAwMC4xNC8wNi8yMDI2Li4uVVNELkgBAAAA6XECAAIAAAAEMTUwOQEIAAAABQAAAAExAQAAAAstMTg4NzcwNDM0MQMAAAADMTYwAgAAAAU0NTQyMAQAAAABMAcAAAAJNi8xNC8yMDI2CAAAAAkzLzMxLzIwMjYJAAAAATBKR0fZ/sneCOE9C9z+yd4INkNJUS5OWVNFOkJBSC5JUV9ORVRfV09SS0lOR19DQVAuOTkwLjE0LzA2LzIwMjYuLi5VU0QuSAEAAADpcQIAAgAAAAcyNTUuMTQyAQgAAAAFAAAAATEBAAAACjE4OTEzNDc4NjkDAAAAAzE2MAIAAAAEMTMxMQQAAAABMAcAAAAJNi8xNC8yMDI2CAAAAAkzLzMxLzIwMTYJAAAAATBKR0fZ/sneCAU/Ctz+yd4IL0NJUS5O</t>
  </si>
  <si>
    <t>WVNFOkJBSC5JUV9ORVRfREVCVC45OTQuMTQvMDYvMjAyNi4uLlVTRC5IAQAAAOlxAgACAAAABzE4MTkuODgBCAAAAAUAAAABMQEAAAALLTIwOTUxMjYwOTADAAAAAzE2MAIAAAAENDM2NAQAAAABMAcAAAAJNi8xNC8yMDI2CAAAAAkzLzMxLzIwMjAJAAAAATBKR0fZ/sneCJHICNz+yd4IOkNJUS5OWVNFOkJBSC5JUV9EQV9TVVBQTF9QQVJUSUFMX0NGLjk5OS4xNC8wNi8yMDI2Li4uVVNELkgBAAAA6XECAAMAAAAAAMOcf9n+yd4IYEFI3f7J3ghCQ0lRLk5ZU0U6QkFILklRX1JFU1RSSUNURURfQ0FTSF9OT05fQ1VSUkVOVC45OTQuMTQvMDYvMjAyNi4uLlVTRC5IAQAAAOlxAgADAAAAAACGKxTZ/sneCPn1FNz+yd4ISENJUS5OWVNFOkJBSC5JUV9BU1NFVFNfTkVUVElOR19PVEhFUl9BREpVU1RNRU5UUy4xMDAwLjE0LzA2LzIwMjYuLi5VU0QuSAEAAADpcQIAAwAAAAAASkdH2f7J3gi4iEPd/sneCEhDSVEuTllTRTpCQUguSVFfR0VORVJBTF9QQVJUTkVSX01JTk9SSVRZX0lOVEVSRVNULjk5MC4xNC8wNi8yMDI2Li4uVVNELkgBAAAA6XECAAMAAAAAAEpHR9n+yd4IHSEQ3P7J3ghAQ0lRLk5ZU0U6QkFILklRX0FNT1JUX1NPRlRXQVJFX0FTU0VUU19DRi4yMDAwLjE0LzA2LzIwMjYuLi5VU0QuSAEAAADpcQIAAwAAAAAA2SCB2f7J3gi5+unb/sneCDNDSVEuTllTRTpCQUguSVFfQU1PUlRfRElDX0NGLjk5</t>
  </si>
  <si>
    <t>NS4xNC8wNi8yMDI2Li4uVVNELkgBAAAA6XECAAIAAAAFNC4zOTUBCAAAAAUAAAABMQEAAAALLTIwNDMyMTUzOTIDAAAAAzE2MAIAAAAFNDU4NjkEAAAAATAHAAAACTYvMTQvMjAyNggAAAAJMy8zMS8yMDIxCQAAAAEw2SCB2f7J3gi5+unb/sneCD1DSVEuTllTRTpCQUguSVFfREFfQ0ZfRVhDTF9PUEVSX0xFQVNFUy45OTEuMTQvMDYvMjAyNi4uLlVTRC5IAQAAAOlxAgACAAAABjU5LjU0NAEIAAAABQAAAAExAQAAAAoxOTY1NzcyNDIyAwAAAAMxNjACAAAABTQ4OTg1BAAAAAEwBwAAAAk2LzE0LzIwMjYIAAAACTMvMzEvMjAxNwkAAAABMMOcf9n+yd4INb3o2/7J3gguQ0lRLk5ZU0U6QkFILklRX0RFUF9SVUEuOTk3LjE0LzA2LzIwMjYuLi5VU0QuSAEAAADpcQIAAwAAAAAAw5x/2f7J3gg1vejb/sneCDFDSVEuTllTRTpCQUguSVFfREVQUkVfU1VQUC45OTMuMTQvMDYvMjAyNi4uLlVTRC5IAQAAAOlxAgACAAAABDQ3LjgBCAAAAAUAAAABMQEAAAAKMjA5OTA4NzEzMwMAAAADMTYwAgAAAAQyMTQzBAAAAAEwBwAAAAk2LzE0LzIwMjYIAAAACTMvMzEvMjAxOQkAAAABMMOcf9n+yd4INb3o2/7J3gg4Q0lRLk5ZU0U6QkFILklRX0NBU0hfVEFYRVNfSU5WRVNULjk5MS4xNC8wNi8yMDI2Li4uVVNELkgBAAAA6XECAAMAAAAAADzkfNn+yd4I+Lbs2/7J3ggxQ0lRLk5ZU0U6QkFILklRX0NBU0hfVEFYRVMuOTk3</t>
  </si>
  <si>
    <t>LjE0LzA2LzIwMjYuLi5VU0QuSAEAAADpcQIAAgAAAAMyNTYBCAAAAAUAAAABMQEAAAALLTE5NDE1NDY4NzEDAAAAAzE2MAIAAAAEMzA1MwQAAAABMAcAAAAJNi8xNC8yMDI2CAAAAAkzLzMxLzIwMjMJAAAAATA85HzZ/sneCD2i7Nv+yd4IO0NJUS5OWVNFOkJBSC5JUV9DQVNIX0lOVEVSRVNUX0lOVkVTVC45OTMuMTQvMDYvMjAyNi4uLlVTRC5IAQAAAOlxAgADAAAAAAA85HzZ/sneCKAW7Nv+yd4IPUNJUS5OWVNFOkJBSC5JUV9DQVNIX0lOVEVSRVNUX1JFQ0VJVkVELjk5OS4xNC8wNi8yMDI2Li4uVVNELkgBAAAA6XECAAMAAAAAADzkfNn+yd4IYEFI3f7J3gg0Q0lRLk5ZU0U6QkFILklRX0NBU0hfSU5URVJFU1QuOTk1LjE0LzA2LzIwMjYuLi5VU0QuSAEAAADpcQIAAgAAAAY2MC45NTUBCAAAAAUAAAABMQEAAAALLTIwNDMyMTUzOTIDAAAAAzE2MAIAAAAEMzAyOAQAAAABMAcAAAAJNi8xNC8yMDI2CAAAAAkzLzMxLzIwMjEJAAAAATA85HzZ/sneCLn66dv+yd4IM0NJUS5OWVNFOkJBSC5JUV9ET19JTlZFU1RfQ0YuOTkzLjE0LzA2LzIwMjYuLi5VU0QuSAEAAADpcQIAAwAAAAAAfB9+2f7J3gjNuO7b/sneCDZDSVEuTllTRTpCQUguSVFfTkVUX0RFQlRfSVNTVUVELjk5OS4xNC8wNi8yMDI2Li4uVVNELkgBAAAA6XECAAIAAAADNTgyAQgAAAAFAAAAATEBAAAACy0xODg3NzA1MDAxAwAAAAMxNjACAAAA</t>
  </si>
  <si>
    <t>BDIwMDMEAAAAATAHAAAACTYvMTQvMjAyNggAAAAJMy8zMS8yMDI1CQAAAAEwPOR82f7J3gj71kXd/sneCDRDSVEuTllTRTpCQUguSVFfVU5MRVZFUkVEX0ZDRi45OTUuMTQvMDYvMjAyNi4uLlVTRC5IAQAAAOlxAgACAAAACTUyNi4wMTI3NQEIAAAABQAAAAExAQAAAAstMjA0MzIxNTM5MgMAAAADMTYwAgAAAAQ0NDIzBAAAAAEwBwAAAAk2LzE0LzIwMjYIAAAACTMvMzEvMjAyMQkAAAABMDzkfNn+yd4I+Lbs2/7J3ghCQ0lRLk5ZU0U6QkFILklRX0NIQU5HRV9ORVRfV09SS0lOR19DQVBJVEFMLjIwMDAuMTQvMDYvMjAyNi4uLlVTRC5IAQAAAOlxAgACAAAAAy03NAEIAAAABQAAAAExAQAAAAstMTg4NzcwNDM0MQMAAAADMTYwAgAAAAQ0NDIxBAAAAAEwBwAAAAk2LzE0LzIwMjYIAAAACTMvMzEvMjAyNgkAAAABMDzkfNn+yd4I+Lbs2/7J3gg3Q0lRLk5ZU0U6QkFILklRX0NBU0hfVEFYRVNfRklOQU4uOTk3LjE0LzA2LzIwMjYuLi5VU0QuSAEAAADpcQIAAwAAAAAAPOR82f7J3gj4tuzb/sneCDtDSVEuTllTRTpCQUguSVFfR0FJTl9CQVJHQUlOX0FDUV9DRi4yMDAwLjE0LzA2LzIwMjYuLi5VU0QuSAEAAADpcQIAAwAAAAAAfB9+2f7J3gjn5/Hb/sneCEhDSVEuTllTRTpCQUguSVFfTE9OR19URVJNX0RFQlRfUkVQQUlEX0VYQ0xfTEVBU0VTLjk5Ny4xNC8wNi8yMDI2Li4uVVNELkgBAAAA6XECAAIAAAAE</t>
  </si>
  <si>
    <t>LTQxNwEIAAAABQAAAAExAQAAAAstMTk0MTU0Njg3MQMAAAADMTYwAgAAAAU0ODk4NAQAAAABMAcAAAAJNi8xNC8yMDI2CAAAAAkzLzMxLzIwMjMJAAAAATB8H37Z/sneCI9w8dv+yd4ISkNJUS5OWVNFOkJBSC5JUV9PUEVSQVRJTkdfTEVBU0VfTElBQklMSVRJRVNfTk9OQ0FTSC45OTEuMTQvMDYvMjAyNi4uLlVTRC5IAQAAAOlxAgADAAAAAAB8H37Z/sneCLXz8Nv+yd4INENJUS5OWVNFOkJBSC5JUV9ET19GSU5BTkNFX0NGLjk5OS4xNC8wNi8yMDI2Li4uVVNELkgBAAAA6XECAAMAAAAAAHwfftn+yd4I+9ZF3f7J3gg1Q0lRLk5ZU0U6QkFILklRX1NUX05PVEVfUkVDRUlWLjk5Ny4xNC8wNi8yMDI2Li4uVVNELkgBAAAA6XECAAMAAAAAAHwfftn+yd4Ijfny2/7J3ggzQ0lRLk5ZU0U6QkFILklRX09USEVSX1JFQ0VJVi45OTEuMTQvMDYvMjAyNi4uLlVTRC5IAQAAAOlxAgADAAAAAAB8H37Z/sneCI358tv+yd4INUNJUS5OWVNFOkJBSC5JUV9UUkFESU5HX0FTU0VUUy45OTkuMTQvMDYvMjAyNi4uLlVTRC5IAQAAAOlxAgADAAAAAAB8H37Z/sneCPvWRd3+yd4IMENJUS5OWVNFOkJBSC5JUV9TVF9JTlZFU1QuOTkzLjE0LzA2LzIwMjYuLi5VU0QuSAEAAADpcQIAAwAAAAAAfB9+2f7J3ggqXfLb/sneCDVDSVEuTllTRTpCQUguSVFfT1RIRVJfQ0FfU1VQUEwuOTk5LjE0LzA2LzIwMjYuLi5VU0QuSAEAAADp</t>
  </si>
  <si>
    <t>cQIAAwAAAAAA2V2B2f7J3gj71kXd/sneCDZDSVEuTllTRTpCQUguSVFfUkVTVFJJQ1RFRF9DQVNILjk5My4xNC8wNi8yMDI2Li4uVVNELkgBAAAA6XECAAMAAAAAANldgdn+yd4Ir1712/7J3gg+Q0lRLk5ZU0U6QkFILklRX0ZJTl9ESVZfQVNTRVRTX0NVUlJFTlQuMjAwMC4xNC8wNi8yMDI2Li4uVVNELkgBAAAA6XECAAMAAAAAANldgdn+yd4IO+D02/7J3gg8Q0lRLk5ZU0U6QkFILklRX0ZJTl9ESVZfTE9BTlNfQ1VSUkVOVC45OTUuMTQvMDYvMjAyNi4uLlVTRC5IAQAAAOlxAgADAAAAAAB8H37Z/sneCI358tv+yd4IMENJUS5OWVNFOkJBSC5JUV9JTlZFTlRPUlkuOTkxLjE0LzA2LzIwMjYuLi5VU0QuSAEAAADpcQIAAwAAAAAAfB9+2f7J3giN+fLb/sneCCxDSVEuTllTRTpCQUguSVFfQVJfTFQuOTk3LjE0LzA2LzIwMjYuLi5VU0QuSAEAAADpcQIAAgAAAAY1OS40NTUBCAAAAAUAAAABMQEAAAALLTE5NDE1NDY4NzEDAAAAAzE2MAIAAAAEMTA4OAQAAAABMAcAAAAJNi8xNC8yMDI2CAAAAAkzLzMxLzIwMjMJAAAAATDZXYHZ/sneCG7N99v+yd4IN0NJUS5OWVNFOkJBSC5JUV9GSU5fRElWX0xPQU5TX0xULjk5OC4xNC8wNi8yMDI2Li4uVVNELkgBAAAA6XECAAMAAAAAANldgdn+yd4Ibs332/7J3ggpQ0lRLk5ZU0U6QkFILklRX0dXLjk5Ny4xNC8wNi8yMDI2Li4uVVNELkgBAAAA6XECAAIAAAAIMjMz</t>
  </si>
  <si>
    <t>OC4zOTkBCAAAAAUAAAABMQEAAAALLTE5NDE1NDY4NzEDAAAAAzE2MAIAAAAEMTE3MQQAAAABMAcAAAAJNi8xNC8yMDI2CAAAAAkzLzMxLzIwMjMJAAAAATDZXYHZ/sneCK9e9dv+yd4IK0NJUS5OWVNFOkJBSC5JUV9OUFBFLjk5NS4xNC8wNi8yMDI2Li4uVVNELkgBAAAA6XECAAIAAAAHNDQ0LjAxNgEIAAAABQAAAAExAQAAAAstMjA0MzIxNTM5MgMAAAADMTYwAgAAAAQxMDA0BAAAAAEwBwAAAAk2LzE0LzIwMjYIAAAACTMvMzEvMjAyMQkAAAABMNldgdn+yd4Ir1712/7J3ggrQ0lRLk5ZU0U6QkFILklRX0dQUEUuOTkzLjE0LzA2LzIwMjYuLi5VU0QuSAEAAADpcQIAAgAAAAc0OTUuNjM2AQgAAAAFAAAAATEBAAAACjIwOTkwODcxMzMDAAAAAzE2MAIAAAAEMTE2OQQAAAABMAcAAAAJNi8xNC8yMDI2CAAAAAkzLzMxLzIwMTkJAAAAATDZXYHZ/sneCK9e9dv+yd4IO0NJUS5OWVNFOkJBSC5JUV9GSU5fRElWX0RFQlRfQ1VSUkVOVC45OTcuMTQvMDYvMjAyNi4uLlVTRC5IAQAAAOlxAgADAAAAAADZXYHZ/sneCG+u/Nv+yd4IL0NJUS5OWVNFOkJBSC5JUV9TVF9ERUJULjIwMDAuMTQvMDYvMjAyNi4uLlVTRC5IAQAAAOlxAgADAAAAAADZXYHZ/sneCG+u/Nv+yd4IKkNJUS5OWVNFOkJBSC5JUV9BUC4xMDAwLjE0LzA2LzIwMjYuLi5VU0QuSAEAAADpcQIAAgAAAAM1OTQBCAAAAAUAAAABMQEAAAALLTE4ODc3</t>
  </si>
  <si>
    <t>MDQ5NzcDAAAAAzE2MAIAAAAEMTAxOAQAAAABMAcAAAAJNi8xNC8yMDI2CAAAAAkzLzMxLzIwMjYJAAAAATDZXYHZ/sneCPvWRd3+yd4INkNJUS5OWVNFOkJBSC5JUV9PVEhFUl9MVF9BU1NFVFMuOTk5LjE0LzA2LzIwMjYuLi5VU0QuSAEAAADpcQIAAgAAAAMxOTYBCAAAAAUAAAABMQEAAAALLTE4ODc3MDUwMDEDAAAAAzE2MAIAAAAEMTA2MAQAAAABMAcAAAAJNi8xNC8yMDI2CAAAAAkzLzMxLzIwMjUJAAAAATDZXYHZ/sneCPvWRd3+yd4IOENJUS5OWVNFOkJBSC5JUV9ERUZfVEFYX0FTU0VUU19MVC45OTguMTQvMDYvMjAyNi4uLlVTRC5IAQAAAOlxAgACAAAAAzIyNwEIAAAABQAAAAExAQAAAAstMTg4NzcwNDk5MwMAAAADMTYwAgAAAAQxMDI2BAAAAAEwBwAAAAk2LzE0LzIwMjYIAAAACTMvMzEvMjAyNAkAAAABMNldgdn+yd4Ibs332/7J3gguQ0lRLk5ZU0U6QkFILklRX1BFTlNJT04uOTkxLjE0LzA2LzIwMjYuLi5VU0QuSAEAAADpcQIAAgAAAAcxMjMuNDkyAQgAAAAFAAAAATEBAAAACjE5NjU3NzI0MjIDAAAAAzE2MAIAAAAEMTIxMwQAAAABMAcAAAAJNi8xNC8yMDI2CAAAAAkzLzMxLzIwMTcJAAAAATDZXYHZ/sneCGUX/9v+yd4INkNJUS5OWVNFOkJBSC5JUV9GSU5fRElWX0xJQUJfTFQuOTkyLjE0LzA2LzIwMjYuLi5VU0QuSAEAAADpcQIAAwAAAAAA2V2B2f7J3ghlF//b/sneCC9DSVEuTllT</t>
  </si>
  <si>
    <t>RTpCQUguSVFfTFRfREVCVC4xMDAwLjE0LzA2LzIwMjYuLi5VU0QuSAEAAADpcQIAAgAAAAQzOTIxAQgAAAAFAAAAATEBAAAACy0xODg3NzA0OTc3AwAAAAMxNjACAAAABDEwNDkEAAAAATAHAAAACTYvMTQvMjAyNggAAAAJMy8zMS8yMDI2CQAAAAEw2V2B2f7J3gj71kXd/sneCDVDSVEuTllTRTpCQUguSVFfT1RIRVJfQ0xfU1VQUEwuOTkxLjE0LzA2LzIwMjYuLi5VU0QuSAEAAADpcQIAAgAAAAcyMzQuNzE0AQgAAAAFAAAAATEBAAAACjE5NjU3NzI0MjIDAAAAAzE2MAIAAAAEMTA1NwQAAAABMAcAAAAJNi8xNC8yMDI2CAAAAAkzLzMxLzIwMTcJAAAAATDZXYHZ/sneCG+u/Nv+yd4IOUNJUS5OWVNFOkJBSC5JUV9VTkVBUk5fUkVWX0NVUlJFTlQuOTkyLjE0LzA2LzIwMjYuLi5VU0QuSAEAAADpcQIAAwAAAAAA2V2B2f7J3ghvrvzb/sneCDNDSVEuTllTRTpCQUguSVFfT1RIRVJfRVFVSVRZLjk5My4xNC8wNi8yMDI2Li4uVVNELkgBAAAA6XECAAIAAAAGLTExLjE5AQgAAAAFAAAAATEBAAAACjIwOTkwODcxMzMDAAAAAzE2MAIAAAAEMTAyOAQAAAABMAcAAAAJNi8xNC8yMDI2CAAAAAkzLzMxLzIwMTkJAAAAATB8X0bZ/sneCGqGAdz+yd4IK0NJUS5OWVNFOkJBSC5JUV9BUElDLjk5NC4xNC8wNi8yMDI2Li4uVVNELkgBAAAA6XECAAIAAAAHNDY4LjAyNwEIAAAABQAAAAExAQAAAAstMjA5NTEyNjA5MAMA</t>
  </si>
  <si>
    <t>AAADMTYwAgAAAAQxMDg0BAAAAAEwBwAAAAk2LzE0LzIwMjYIAAAACTMvMzEvMjAyMAkAAAABMHxfRtn+yd4IaoYB3P7J3ggxQ0lRLk5ZU0U6QkFILklRX1BSRUZfT1RIRVIuOTk4LjE0LzA2LzIwMjYuLi5VU0QuSAEAAADpcQIAAwAAAAAAfF9G2f7J3ghqhgHc/sneCDZDSVEuTllTRTpCQUguSVFfUFJFRl9OT05fUkVERUVNLjk5MS4xNC8wNi8yMDI2Li4uVVNELkgBAAAA6XECAAMAAAAAANldgdn+yd4IZRf/2/7J3gg1Q0lRLk5ZU0U6QkFILklRX09USEVSX0xJQUJfTFQuMTAwMC4xNC8wNi8yMDI2Li4uVVNELkgBAAAA6XECAAIAAAADMjUwAQgAAAAFAAAAATEBAAAACy0xODg3NzA0OTc3AwAAAAMxNjACAAAABDEwNjIEAAAAATAHAAAACTYvMTQvMjAyNggAAAAJMy8zMS8yMDI2CQAAAAEw2V2B2f7J3ghgJUTd/sneCD5DSVEuTllTRTpCQUguSVFfUlVBX09QRVJBVElOR19MRUFTRV9ORVQuOTk0LjE0LzA2LzIwMjYuLi5VU0QuSAEAAADpcQIAAwAAAAAAfF9G2f7J3giS2gXc/sneCD1DSVEuTllTRTpCQUguSVFfUlVBX0NBUElUQUxfTEVBU0VfTkVULjIwMDAuMTQvMDYvMjAyNi4uLlVTRC5IAQAAAOlxAgADAAAAAAB8X0bZ/sneCAE+Bdz+yd4IPkNJUS5OWVNFOkJBSC5JUV9SVUFfQ0FQSVRBTF9MRUFTRV9HUk9TUy45OTIuMTQvMDYvMjAyNi4uLlVTRC5IAQAAAOlxAgADAAAAAAB8X0bZ/sneCPvHBNz+</t>
  </si>
  <si>
    <t>yd4IMENJUS5OWVNFOkJBSC5JUV9SVUFfR1JPU1MuOTk4LjE0LzA2LzIwMjYuLi5VU0QuSAEAAADpcQIAAwAAAAAAfF9G2f7J3giUUATc/sneCDlDSVEuTllTRTpCQUguSVFfTUlOT1JJVFlfSU5URVJFU1QuMTAwMC4xNC8wNi8yMDI2Li4uVVNELkgBAAAA6XECAAMAAAAAAHxfRtn+yd4IYCVE3f7J3ghCQ0lRLk5ZU0U6QkFILklRX1RPVEFMX0RFQlRfRVhDTF9PUEVSX0xFQVNFUy45OTEuMTQvMDYvMjAyNi4uLlVTRC5IAQAAAOlxAgACAAAACDE3NDMuMzI0AQgAAAAFAAAAATEBAAAACjE5NjU3NzI0MjIDAAAAAzE2MAIAAAAFNDg5ODIEAAAAATAHAAAACTYvMTQvMjAyNggAAAAJMy8zMS8yMDE3CQAAAAEwfF9G2f7J3gjkywbc/sneCDhDSVEuTllTRTpCQUguSVFfVE9UQUxfT1BFUl9MRUFTRVMuOTk5LjE0LzA2LzIwMjYuLi5VU0QuSAEAAADpcQIAAgAAAAMyMjEBCAAAAAUAAAABMQEAAAALLTE4ODc3MDUwMDEDAAAAAzE2MAIAAAAFNDg5NzgEAAAAATAHAAAACTYvMTQvMjAyNggAAAAJMy8zMS8yMDI1CQAAAAEwfF9G2f7J3ghgJUTd/sneCDtDSVEuTllTRTpCQUguSVFfVE9UQUxfRklOQU5DRV9MRUFTRVMuOTk4LjE0LzA2LzIwMjYuLi5VU0QuSAEAAADpcQIAAwAAAAAAfF9G2f7J3gjkywbc/sneCD1DSVEuTllTRTpCQUguSVFfTlBQRV9FWENMX09QRVJfTEVBU0VTLjIwMDAuMTQvMDYvMjAyNi4uLlVT</t>
  </si>
  <si>
    <t>RC5IAQAAAOlxAgACAAAAAzE3MQEIAAAABQAAAAExAQAAAAstMTg4NzcwNDM0MQMAAAADMTYwAgAAAAU0ODk3NgQAAAABMAcAAAAJNi8xNC8yMDI2CAAAAAkzLzMxLzIwMjYJAAAAATB8X0bZ/sneCKNjBtz+yd4ILENJUS5OWVNFOkJBSC5JUV9MSUZPUi45OTYuMTQvMDYvMjAyNi4uLlVTRC5IAQAAAOlxAgADAAAAAABKR0fZ/sneCOE9C9z+yd4IM0NJUS5OWVNFOkJBSC5JUV9XT1JLSU5HX0NBUC4xMDAwLjE0LzA2LzIwMjYuLi5VU0QuSAEAAADpcQIAAgAAAAQxMjk4AQgAAAAFAAAAATEBAAAACy0xODg3NzA0OTc3AwAAAAMxNjACAAAABDQxNjUEAAAAATAHAAAACTYvMTQvMjAyNggAAAAJMy8zMS8yMDI2CQAAAAEwSkdH2f7J3ghgJUTd/sneCC9DSVEuTllTRTpCQUguSVFfTkVUX0RFQlQuOTkzLjE0LzA2LzIwMjYuLi5VU0QuSAEAAADpcQIAAgAAAAgxNTU5LjI1NwEIAAAABQAAAAExAQAAAAoyMDk5MDg3MTMzAwAAAAMxNjACAAAABDQzNjQEAAAAATAHAAAACTYvMTQvMjAyNggAAAAJMy8zMS8yMDE5CQAAAAEwSkdH2f7J3giRyAjc/sneCDFDSVEuTllTRTpCQUguSVFfQ0FTSF9TSEFSRS45OTUuMTQvMDYvMjAyNi4uLlVTRC5IAQAAAOlxAgACAAAACDcuMjczMjc2AQgAAAAFAAAAATEBAAAACy0yMDQzMjE1MzkyAwAAAAMxNjACAAAABDQzODEEAAAAATAHAAAACTYvMTQvMjAyNggAAAAJMy8zMS8yMDIx</t>
  </si>
  <si>
    <t>CQAAAAEwSkdH2f7J3giRyAjc/sneCDBDSVEuTllTRTpCQUguSVFfVEJWX1NIQVJFLjk5Ny4xNC8wNi8yMDI2Li4uVVNELkgBAAAA6XECAAIAAAAKLTE1LjQzNjQxMQEIAAAABQAAAAExAQAAAAstMTk0MTU0Njg3MQMAAAADMTYwAgAAAAQ0MTU2BAAAAAEwBwAAAAk2LzE0LzIwMjYIAAAACTMvMzEvMjAyMwkAAAABMEpHR9n+yd4I5MsG3P7J3gg4Q0lRLk5ZU0U6QkFILklRX0FTU0VUU19GQUlSX1ZBTFVFLjk5NC4xNC8wNi8yMDI2Li4uVVNELkgBAAAA6XECAAIAAAAFNS44NzkAhisU2f7J3ggNkxLc/sneCEhDSVEuTllTRTpCQUguSVFfR0VORVJBTF9QQVJUTkVSX01JTk9SSVRZX0lOVEVSRVNULjk5OC4xNC8wNi8yMDI2Li4uVVNELkgBAAAA6XECAAMAAAAAAEpHR9n+yd4IHSEQ3P7J3gg9Q0lRLk5ZU0U6QkFILklRX0xFQVNFSE9MRF9JTVBST1ZFTUVOVC4yMDAwLjE0LzA2LzIwMjYuLi5VU0QuSAEAAADpcQIAAgAAAAMyNjMBCAAAAAUAAAABMQEAAAALLTE4ODc3MDQzNDEDAAAAAzE2MAIAAAAEMzEwMAQAAAABMAcAAAAJNi8xNC8yMDI2CAAAAAkzLzMxLzIwMjYJAAAAATBKR0fZ/sneCB0hENz+yd4IMENJUS5OWVNFOkJBSC5JUV9CVUlMRElOR1MuOTkyLjE0LzA2LzIwMjYuLi5VU0QuSAEAAADpcQIAAwAAAAAASkdH2f7J3gjhPQvc/sneCD1DSVEuTllTRTpCQUguSVFfREFfQ0ZfRVhDTF9PUEVSX0xF</t>
  </si>
  <si>
    <t>QVNFUy45OTAuMTQvMDYvMjAyNi4uLlVTRC5IAQAAAOlxAgACAAAABjYxLjUzNgEIAAAABQAAAAExAQAAAAoxODkxMzQ3ODY5AwAAAAMxNjACAAAABTQ4OTg1BAAAAAEwBwAAAAk2LzE0LzIwMjYIAAAACTMvMzEvMjAxNgkAAAABMMOcf9n+yd4INb3o2/7J3gguQ0lRLk5ZU0U6QkFILklRX0RFUF9SVUEuOTk2LjE0LzA2LzIwMjYuLi5VU0QuSAEAAADpcQIAAwAAAAAAw5x/2f7J3gg1vejb/sneCERDSVEuTllTRTpCQUguSVFfREVQUkVDSUFUSU9OX1JFTlRBTF9BU1NFVFNfQ0YuOTkwLjE0LzA2LzIwMjYuLi5VU0QuSAEAAADpcQIAAwAAAAAAw5x/2f7J3gg1vejb/sneCDpDSVEuTllTRTpCQUguSVFfREFfU1VQUExfUEFSVElBTF9DRi45OTguMTQvMDYvMjAyNi4uLlVTRC5IAQAAAOlxAgADAAAAAADDnH/Z/sneCAWL59v+yd4IPUNJUS5OWVNFOkJBSC5JUV9SRVNUUklDVEVEX0NBU0hfVE9UQUwuMTAwMC4xNC8wNi8yMDI2Li4uVVNELkgBAAAA6XECAAMAAAAAAIYrFNn+yd4IKvhA3f7J3gg7Q0lRLk5ZU0U6QkFILklRX0NBU0hfSU5URVJFU1RfSU5WRVNULjk5Mi4xNC8wNi8yMDI2Li4uVVNELkgBAAAA6XECAAMAAAAAADzkfNn+yd4IoBbs2/7J3gg9Q0lRLk5ZU0U6QkFILklRX0NBU0hfSU5URVJFU1RfUkVDRUlWRUQuOTk4LjE0LzA2LzIwMjYuLi5VU0QuSAEAAADpcQIAAwAAAAAAPOR82f7J3gi5+unb</t>
  </si>
  <si>
    <t>/sneCDhDSVEuTllTRTpCQUguSVFfQ0FTSF9JTlRFUkVTVF9ORVQuOTkyLjE0LzA2LzIwMjYuLi5VU0QuSAEAAADpcQIAAwAAAAAAPOR82f7J3gi5+unb/sneCEBDSVEuTllTRTpCQUguSVFfQU1PUlRfU09GVFdBUkVfQVNTRVRTX0NGLjEwMDAuMTQvMDYvMjAyNi4uLlVTRC5IAQAAAOlxAgADAAAAAADZIIHZ/sneCGBBSN3+yd4IM0NJUS5OWVNFOkJBSC5JUV9BTU9SVF9ESUNfQ0YuOTk0LjE0LzA2LzIwMjYuLi5VU0QuSAEAAADpcQIAAgAAAAU0LjY4OAEIAAAABQAAAAExAQAAAAstMjA5NTEyNjA5MAMAAAADMTYwAgAAAAU0NTg2OQQAAAABMAcAAAAJNi8xNC8yMDI2CAAAAAkzLzMxLzIwMjAJAAAAATDDnH/Z/sneCLn66dv+yd4INENJUS5OWVNFOkJBSC5JUV9VTkxFVkVSRURfRkNGLjk5NC4xNC8wNi8yMDI2Li4uVVNELkgBAAAA6XECAAIAAAAKMjgwLjM1NDM3NQEIAAAABQAAAAExAQAAAAstMjA5NTEyNjA5MAMAAAADMTYwAgAAAAQ0NDIzBAAAAAEwBwAAAAk2LzE0LzIwMjYIAAAACTMvMzEvMjAyMAkAAAABMDzkfNn+yd4I+Lbs2/7J3ghCQ0lRLk5ZU0U6QkFILklRX0NIQU5HRV9ORVRfV09SS0lOR19DQVBJVEFMLjEwMDAuMTQvMDYvMjAyNi4uLlVTRC5IAQAAAOlxAgACAAAAAy03NAEIAAAABQAAAAExAQAAAAstMTg4NzcwNDk3NwMAAAADMTYwAgAAAAQ0NDIxBAAAAAEwBwAAAAk2LzE0LzIwMjYI</t>
  </si>
  <si>
    <t>AAAACTMvMzEvMjAyNgkAAAABMDzkfNn+yd4I+9ZF3f7J3gg7Q0lRLk5ZU0U6QkFILklRX0NIQU5HRV9ERUZfVEFYX1RPVEFMLjk5NC4xNC8wNi8yMDI2Li4uVVNELkgBAAAA6XECAAIAAAAGNjUuNDM0AQgAAAAFAAAAATEBAAAACy0yMDk1MTI2MDkwAwAAAAMxNjACAAAABTMwOTI0BAAAAAEwBwAAAAk2LzE0LzIwMjYIAAAACTMvMzEvMjAyMAkAAAABMDzkfNn+yd4I+Lbs2/7J3gg4Q0lRLk5ZU0U6QkFILklRX0NBU0hfVEFYRVNfSU5WRVNULjk5MC4xNC8wNi8yMDI2Li4uVVNELkgBAAAA6XECAAMAAAAAADzkfNn+yd4I+Lbs2/7J3ggxQ0lRLk5ZU0U6QkFILklRX0NBU0hfVEFYRVMuOTk2LjE0LzA2LzIwMjYuLi5VU0QuSAEAAADpcQIAAgAAAAcxMjcuMDY5AQgAAAAFAAAAATEBAAAACy0xOTkyNDAyMDU5AwAAAAMxNjACAAAABDMwNTMEAAAAATAHAAAACTYvMTQvMjAyNggAAAAJMy8zMS8yMDIyCQAAAAEwPOR82f7J3gj4tuzb/sneCEhDSVEuTllTRTpCQUguSVFfTE9OR19URVJNX0RFQlRfUkVQQUlEX0VYQ0xfTEVBU0VTLjk5Ni4xNC8wNi8yMDI2Li4uVVNELkgBAAAA6XECAAIAAAAILTExMi4yNTcBCAAAAAUAAAABMQEAAAALLTE5OTI0MDIwNTkDAAAAAzE2MAIAAAAFNDg5ODQEAAAAATAHAAAACTYvMTQvMjAyNggAAAAJMy8zMS8yMDIyCQAAAAEwfB9+2f7J3giPcPHb/sneCEpDSVEuTllTRTpCQUgu</t>
  </si>
  <si>
    <t>SVFfT1BFUkFUSU5HX0xFQVNFX0xJQUJJTElUSUVTX05PTkNBU0guOTkwLjE0LzA2LzIwMjYuLi5VU0QuSAEAAADpcQIAAwAAAAAAfB9+2f7J3gi18/Db/sneCD9DSVEuTllTRTpCQUguSVFfT1BFUkFUSU5HX0xFQVNFX1BBWU1FTlRTLjk5Ni4xNC8wNi8yMDI2Li4uVVNELkgBAAAA6XECAAMAAAAAAHwfftn+yd4IpFfw2/7J3ggzQ0lRLk5ZU0U6QkFILklRX0RPX0lOVkVTVF9DRi45OTIuMTQvMDYvMjAyNi4uLlVTRC5IAQAAAOlxAgADAAAAAAB8H37Z/sneCM247tv+yd4INkNJUS5OWVNFOkJBSC5JUV9ORVRfREVCVF9JU1NVRUQuOTk4LjE0LzA2LzIwMjYuLi5VU0QuSAEAAADpcQIAAgAAAAM1OTUBCAAAAAUAAAABMQEAAAALLTE4ODc3MDQ5OTMDAAAAAzE2MAIAAAAEMjAwMwQAAAABMAcAAAAJNi8xNC8yMDI2CAAAAAkzLzMxLzIwMjQJAAAAATA85HzZ/sneCM247tv+yd4INUNJUS5OWVNFOkJBSC5JUV9UUkFESU5HX0FTU0VUUy45OTguMTQvMDYvMjAyNi4uLlVTRC5IAQAAAOlxAgADAAAAAAB8H37Z/sneCIvS8tv+yd4IMENJUS5OWVNFOkJBSC5JUV9TVF9JTlZFU1QuOTkyLjE0LzA2LzIwMjYuLi5VU0QuSAEAAADpcQIAAwAAAAAAfB9+2f7J3ggqXfLb/sneCDtDSVEuTllTRTpCQUguSVFfR0FJTl9CQVJHQUlOX0FDUV9DRi4xMDAwLjE0LzA2LzIwMjYuLi5VU0QuSAEAAADpcQIAAwAAAAAAfB9+2f7J</t>
  </si>
  <si>
    <t>3gj71kXd/sneCD5DSVEuTllTRTpCQUguSVFfRklOX0RJVl9BU1NFVFNfQ1VSUkVOVC4xMDAwLjE0LzA2LzIwMjYuLi5VU0QuSAEAAADpcQIAAwAAAAAA2V2B2f7J3gj71kXd/sneCDxDSVEuTllTRTpCQUguSVFfRklOX0RJVl9MT0FOU19DVVJSRU5ULjk5NC4xNC8wNi8yMDI2Li4uVVNELkgBAAAA6XECAAMAAAAAAHwfftn+yd4Ijfny2/7J3ggxQ0lRLk5ZU0U6QkFILklRX0lOVkVOVE9SWS4xMDAwLjE0LzA2LzIwMjYuLi5VU0QuSAEAAADpcQIAAwAAAAAAfB9+2f7J3gj71kXd/sneCDVDSVEuTllTRTpCQUguSVFfU1RfTk9URV9SRUNFSVYuOTk2LjE0LzA2LzIwMjYuLi5VU0QuSAEAAADpcQIAAwAAAAAAfB9+2f7J3giN+fLb/sneCDNDSVEuTllTRTpCQUguSVFfT1RIRVJfUkVDRUlWLjk5MC4xNC8wNi8yMDI2Li4uVVNELkgBAAAA6XECAAMAAAAAAHwfftn+yd4Ijfny2/7J3ggpQ0lRLk5ZU0U6QkFILklRX0dXLjk5Ni4xNC8wNi8yMDI2Li4uVVNELkgBAAAA6XECAAIAAAAIMjAyMS45MzEBCAAAAAUAAAABMQEAAAALLTE5OTI0MDIwNTkDAAAAAzE2MAIAAAAEMTE3MQQAAAABMAcAAAAJNi8xNC8yMDI2CAAAAAkzLzMxLzIwMjIJAAAAATDZXYHZ/sneCK9e9dv+yd4IK0NJUS5OWVNFOkJBSC5JUV9OUFBFLjk5NC4xNC8wNi8yMDI2Li4uVVNELkgBAAAA6XECAAIAAAAHNDQ4LjE5OQEIAAAABQAAAAExAQAA</t>
  </si>
  <si>
    <t>AAstMjA5NTEyNjA5MAMAAAADMTYwAgAAAAQxMDA0BAAAAAEwBwAAAAk2LzE0LzIwMjYIAAAACTMvMzEvMjAyMAkAAAABMNldgdn+yd4Ir1712/7J3ggpQ0lRLk5ZU0U6QkFILklRX0FELjk5MC4xNC8wNi8yMDI2Li4uVVNELkgBAAAA6XECAAIAAAAILTI0Ni45MDEBCAAAAAUAAAABMQEAAAAKMTg5MTM0Nzg2OQMAAAADMTYwAgAAAAQxMDc1BAAAAAEwBwAAAAk2LzE0LzIwMjYIAAAACTMvMzEvMjAxNgkAAAABMNldgdn+yd4Ir1712/7J3gg1Q0lRLk5ZU0U6QkFILklRX09USEVSX0NBX1NVUFBMLjk5OC4xNC8wNi8yMDI2Li4uVVNELkgBAAAA6XECAAMAAAAAANldgdn+yd4Ir1712/7J3gg2Q0lRLk5ZU0U6QkFILklRX1JFU1RSSUNURURfQ0FTSC45OTIuMTQvMDYvMjAyNi4uLlVTRC5IAQAAAOlxAgADAAAAAADZXYHZ/sneCK9e9dv+yd4IKUNJUS5OWVNFOkJBSC5JUV9BRS45OTcuMTQvMDYvMjAyNi4uLlVTRC5IAQAAAOlxAgACAAAABzQ4Ny4zMzcBCAAAAAUAAAABMQEAAAALLTE5NDE1NDY4NzEDAAAAAzE2MAIAAAAEMTAxNgQAAAABMAcAAAAJNi8xNC8yMDI2CAAAAAkzLzMxLzIwMjMJAAAAATDZXYHZ/sneCMD/+tv+yd4IM0NJUS5OWVNFOkJBSC5JUV9UT1RBTF9BU1NFVFMuOTk2LjE0LzA2LzIwMjYuLi5VU0QuSAEAAADpcQIAAgAAAAg2MDI1LjU3NQEIAAAABQAAAAExAQAAAAstMTk5MjQwMjA1OQMA</t>
  </si>
  <si>
    <t>AAADMTYwAgAAAAQxMDA3BAAAAAEwBwAAAAk2LzE0LzIwMjYIAAAACTMvMzEvMjAyMgkAAAABMNldgdn+yd4IwP/62/7J3gg1Q0lRLk5ZU0U6QkFILklRX0RFRl9DSEFSR0VTX0xULjk5NS4xNC8wNi8yMDI2Li4uVVNELkgBAAAA6XECAAMAAAAAANldgdn+yd4Ibs332/7J3gg2Q0lRLk5ZU0U6QkFILklRX0xPQU5TX1JFQ0VJVl9MVC45OTQuMTQvMDYvMjAyNi4uLlVTRC5IAQAAAOlxAgADAAAAAADZXYHZ/sneCG7N99v+yd4IN0NJUS5OWVNFOkJBSC5JUV9GSU5fRElWX0xPQU5TX0xULjk5Ny4xNC8wNi8yMDI2Li4uVVNELkgBAAAA6XECAAMAAAAAANldgdn+yd4Ibs332/7J3gguQ0lRLk5ZU0U6QkFILklRX0xUX0RFQlQuOTk4LjE0LzA2LzIwMjYuLi5VU0QuSAEAAADpcQIAAgAAAAQzMzUwAQgAAAAFAAAAATEBAAAACy0xODg3NzA0OTkzAwAAAAMxNjACAAAABDEwNDkEAAAAATAHAAAACTYvMTQvMjAyNggAAAAJMy8zMS8yMDI0CQAAAAEw2V2B2f7J3ghlF//b/sneCDVDSVEuTllTRTpCQUguSVFfT1RIRVJfQ0xfU1VQUEwuOTkwLjE0LzA2LzIwMjYuLi5VU0QuSAEAAADpcQIAAgAAAAcyMDkuNTQ1AQgAAAAFAAAAATEBAAAACjE4OTEzNDc4NjkDAAAAAzE2MAIAAAAEMTA1NwQAAAABMAcAAAAJNi8xNC8yMDI2CAAAAAkzLzMxLzIwMTYJAAAAATDZXYHZ/sneCG+u/Nv+yd4IOUNJUS5OWVNFOkJBSC5JUV9V</t>
  </si>
  <si>
    <t>TkVBUk5fUkVWX0NVUlJFTlQuOTkxLjE0LzA2LzIwMjYuLi5VU0QuSAEAAADpcQIAAwAAAAAA2V2B2f7J3ghvrvzb/sneCDtDSVEuTllTRTpCQUguSVFfRklOX0RJVl9MSUFCX0NVUlJFTlQuOTkyLjE0LzA2LzIwMjYuLi5VU0QuSAEAAADpcQIAAwAAAAAA2V2B2f7J3ghvrvzb/sneCDhDSVEuTllTRTpCQUguSVFfQ1VSUkVOVF9QT1JUX0RFQlQuOTk4LjE0LzA2LzIwMjYuLi5VU0QuSAEAAADpcQIAAgAAAAI2MgEIAAAABQAAAAExAQAAAAstMTg4NzcwNDk5MwMAAAADMTYwAgAAAAQxMjk3BAAAAAEwBwAAAAk2LzE0LzIwMjYIAAAACTMvMzEvMjAyNAkAAAABMNldgdn+yd4Ib6782/7J3ggxQ0lRLk5ZU0U6QkFILklRX1BSRUZfT1RIRVIuOTk3LjE0LzA2LzIwMjYuLi5VU0QuSAEAAADpcQIAAwAAAAAAfF9G2f7J3ghqhgHc/sneCDdDSVEuTllTRTpCQUguSVFfUFJFRl9OT05fUkVERUVNLjEwMDAuMTQvMDYvMjAyNi4uLlVTRC5IAQAAAOlxAgADAAAAAADZXYHZ/sneCGAlRN3+yd4INENJUS5OWVNFOkJBSC5JUV9PVEhFUl9MSUFCX0xULjk5OS4xNC8wNi8yMDI2Li4uVVNELkgBAAAA6XECAAIAAAADMzMzAQgAAAAFAAAAATEBAAAACy0xODg3NzA1MDAxAwAAAAMxNjACAAAABDEwNjIEAAAAATAHAAAACTYvMTQvMjAyNggAAAAJMy8zMS8yMDI1CQAAAAEw2V2B2f7J3ghgJUTd/sneCC9DSVEuTllTRTpCQUgu</t>
  </si>
  <si>
    <t>SVFfUEVOU0lPTi4xMDAwLjE0LzA2LzIwMjYuLi5VU0QuSAEAAADpcQIAAgAAAAI0MAEIAAAABQAAAAExAQAAAAstMTg4NzcwNDk3NwMAAAADMTYwAgAAAAQxMjEzBAAAAAEwBwAAAAk2LzE0LzIwMjYIAAAACTMvMzEvMjAyNgkAAAABMNldgdn+yd4IYCVE3f7J3gg2Q0lRLk5ZU0U6QkFILklRX0ZJTl9ESVZfTElBQl9MVC45OTEuMTQvMDYvMjAyNi4uLlVTRC5IAQAAAOlxAgADAAAAAADZXYHZ/sneCGUX/9v+yd4IPkNJUS5OWVNFOkJBSC5JUV9SVUFfQ0FQSVRBTF9MRUFTRV9HUk9TUy45OTEuMTQvMDYvMjAyNi4uLlVTRC5IAQAAAOlxAgADAAAAAAB8X0bZ/sneCPvHBNz+yd4IMENJUS5OWVNFOkJBSC5JUV9SVUFfR1JPU1MuOTk3LjE0LzA2LzIwMjYuLi5VU0QuSAEAAADpcQIAAwAAAAAAfF9G2f7J3giUUATc/sneCDhDSVEuTllTRTpCQUguSVFfTUlOT1JJVFlfSU5URVJFU1QuOTk5LjE0LzA2LzIwMjYuLi5VU0QuSAEAAADpcQIAAwAAAAAAfF9G2f7J3ghgJUTd/sneCDNDSVEuTllTRTpCQUguSVFfT1RIRVJfRVFVSVRZLjk5Mi4xNC8wNi8yMDI2Li4uVVNELkgBAAAA6XECAAIAAAAHLTE1LjEwNgEIAAAABQAAAAExAQAAAAoyMDM4MDkxMDc3AwAAAAMxNjACAAAABDEwMjgEAAAAATAHAAAACTYvMTQvMjAyNggAAAAJMy8zMS8yMDE4CQAAAAEwfF9G2f7J3ghqhgHc/sneCCtDSVEuTllTRTpCQUguSVFf</t>
  </si>
  <si>
    <t>QVBJQy45OTIuMTQvMDYvMjAyNi4uLlVTRC5IAQAAAOlxAgACAAAABzM0Ni45NTgBCAAAAAUAAAABMQEAAAAKMjAzODA5MTA3NwMAAAADMTYwAgAAAAQxMDg0BAAAAAEwBwAAAAk2LzE0LzIwMjYIAAAACTMvMzEvMjAxOAkAAAABMHxfRtn+yd4IaoYB3P7J3gg4Q0lRLk5ZU0U6QkFILklRX1RPVEFMX09QRVJfTEVBU0VTLjk5OC4xNC8wNi8yMDI2Li4uVVNELkgBAAAA6XECAAIAAAADMjI1AQgAAAAFAAAAATEBAAAACy0xODg3NzA0OTkzAwAAAAMxNjACAAAABTQ4OTc4BAAAAAEwBwAAAAk2LzE0LzIwMjYIAAAACTMvMzEvMjAyNAkAAAABMHxfRtn+yd4I5MsG3P7J3gg7Q0lRLk5ZU0U6QkFILklRX1RPVEFMX0ZJTkFOQ0VfTEVBU0VTLjk5Ny4xNC8wNi8yMDI2Li4uVVNELkgBAAAA6XECAAMAAAAAAHxfRtn+yd4I5MsG3P7J3gg9Q0lRLk5ZU0U6QkFILklRX05QUEVfRVhDTF9PUEVSX0xFQVNFUy4xMDAwLjE0LzA2LzIwMjYuLi5VU0QuSAEAAADpcQIAAgAAAAMxNzEBCAAAAAUAAAABMQEAAAALLTE4ODc3MDQ5NzcDAAAAAzE2MAIAAAAFNDg5NzYEAAAAATAHAAAACTYvMTQvMjAyNggAAAAJMy8zMS8yMDI2CQAAAAEwfF9G2f7J3ghgJUTd/sneCD9DSVEuTllTRTpCQUguSVFfUlVBX09QRVJBVElOR19MRUFTRV9ORVQuMjAwMC4xNC8wNi8yMDI2Li4uVVNELkgBAAAA6XECAAMAAAAAAHxfRtn+yd4I3SgG3P7J</t>
  </si>
  <si>
    <t>3gg9Q0lRLk5ZU0U6QkFILklRX1JVQV9DQVBJVEFMX0xFQVNFX05FVC4xMDAwLjE0LzA2LzIwMjYuLi5VU0QuSAEAAADpcQIAAwAAAAAAfF9G2f7J3ghgJUTd/sneCC9DSVEuTllTRTpCQUguSVFfTkVUX0RFQlQuOTkyLjE0LzA2LzIwMjYuLi5VU0QuSAEAAADpcQIAAgAAAAgxNjEwLjkyMQEIAAAABQAAAAExAQAAAAoyMDM4MDkxMDc3AwAAAAMxNjACAAAABDQzNjQEAAAAATAHAAAACTYvMTQvMjAyNggAAAAJMy8zMS8yMDE4CQAAAAEwSkdH2f7J3ggFPwrc/sneCDFDSVEuTllTRTpCQUguSVFfQ0FTSF9TSEFSRS45OTQuMTQvMDYvMjAyNi4uLlVTRC5IAQAAAOlxAgACAAAACDUuMzQ4MTkzAQgAAAAFAAAAATEBAAAACy0yMDk1MTI2MDkwAwAAAAMxNjACAAAABDQzODEEAAAAATAHAAAACTYvMTQvMjAyNggAAAAJMy8zMS8yMDIwCQAAAAEwSkdH2f7J3giRyAjc/sneCDBDSVEuTllTRTpCQUguSVFfVEJWX1NIQVJFLjk5Ni4xNC8wNi8yMDI2Li4uVVNELkgBAAAA6XECAAIAAAAKLTEyLjIzNzgxNwEIAAAABQAAAAExAQAAAAstMTk5MjQwMjA1OQMAAAADMTYwAgAAAAQ0MTU2BAAAAAEwBwAAAAk2LzE0LzIwMjYIAAAACTMvMzEvMjAyMgkAAAABMEpHR9n+yd4I5MsG3P7J3ghCQ0lRLk5ZU0U6QkFILklRX1RPVEFMX0RFQlRfRVhDTF9PUEVSX0xFQVNFUy45OTAuMTQvMDYvMjAyNi4uLlVTRC5IAQAAAOlxAgAC</t>
  </si>
  <si>
    <t>AAAACDE2NzcuMjYxAQgAAAAFAAAAATEBAAAACjE4OTEzNDc4NjkDAAAAAzE2MAIAAAAFNDg5ODIEAAAAATAHAAAACTYvMTQvMjAyNggAAAAJMy8zMS8yMDE2CQAAAAEwfF9G2f7J3gjkywbc/sneCEVDSVEuTllTRTpCQUguSVFfVE9UQUxfR0VORVJBTF9QQVJUTkVSX0lOVEVSRVNULjk5Mi4xNC8wNi8yMDI2Li4uVVNELkgBAAAA6XECAAMAAAAAAEpHR9n+yd4IHSEQ3P7J3ghCQ0lRLk5ZU0U6QkFILklRX0ZJTl9ESVZfTUlOT1JJVFlfSU5UX1JFREVFTS45OTQuMTQvMDYvMjAyNi4uLlVTRC5IAQAAAOlxAgADAAAAAABKR0fZ/sneCB0hENz+yd4IMENJUS5OWVNFOkJBSC5JUV9CVUlMRElOR1MuOTkxLjE0LzA2LzIwMjYuLi5VU0QuSAEAAADpcQIAAwAAAAAASkdH2f7J3gjhPQvc/sneCCxDSVEuTllTRTpCQUguSVFfTElGT1IuOTk0LjE0LzA2LzIwMjYuLi5VU0QuSAEAAADpcQIAAwAAAAAASkdH2f7J3gjhPQvc/sneCDZDSVEuTllTRTpCQUguSVFfTkVUX1dPUktJTkdfQ0FQLjk5Ni4xNC8wNi8yMDI2Li4uVVNELkgBAAAA6XECAAIAAAAHMzQwLjg0OQEIAAAABQAAAAExAQAAAAstMTk5MjQwMjA1OQMAAAADMTYwAgAAAAQxMzExBAAAAAEwBwAAAAk2LzE0LzIwMjYIAAAACTMvMzEvMjAyMgkAAAABMEpHR9n+yd4IBT8K3P7J3ggyQ0lRLk5ZU0U6QkFILklRX0RFUFJFX1NVUFAuMjAwMC4xNC8wNi8yMDI2</t>
  </si>
  <si>
    <t>Li4uVVNELkgBAAAA6XECAAIAAAACNjgBCAAAAAUAAAABMQEAAAALLTE4ODc3MDQzNDEDAAAAAzE2MAIAAAAEMjE0MwQAAAABMAcAAAAJNi8xNC8yMDI2CAAAAAkzLzMxLzIwMjYJAAAAATDDnH/Z/sneCDW96Nv+yd4IOkNJUS5OWVNFOkJBSC5JUV9EQV9TVVBQTF9QQVJUSUFMX0NGLjk5Ny4xNC8wNi8yMDI2Li4uVVNELkgBAAAA6XECAAMAAAAAAMOcf9n+yd4IBYvn2/7J3gg9Q0lRLk5ZU0U6QkFILklRX0NPTlRJTkdFTlRfTElBQklMSVRJRVMuOTkyLjE0LzA2LzIwMjYuLi5VU0QuSAEAAADpcQIAAgAAAAM2LjMBCAAAAAUAAAABMQEAAAAKMjAzODA5MTA3NwMAAAADMTYwAgAAAAUyNDY3MQQAAAABMAcAAAAJNi8xNC8yMDI2CAAAAAkzLzMxLzIwMTgJAAAAATCGKxTZ/sneCPn1FNz+yd4IOENJUS5OWVNFOkJBSC5JUV9BU1NFVFNfRkFJUl9WQUxVRS45OTMuMTQvMDYvMjAyNi4uLlVTRC5IAQAAAOlxAgACAAAABTUuNTczAIYrFNn+yd4IDZMS3P7J3gg4Q0lRLk5ZU0U6QkFILklRX0NBU0hfSU5URVJFU1RfTkVULjk5MS4xNC8wNi8yMDI2Li4uVVNELkgBAAAA6XECAAMAAAAAADzkfNn+yd4Iufrp2/7J3gg/Q0lRLk5ZU0U6QkFILklRX0FNT1JUX1NPRlRXQVJFX0FTU0VUU19DRi45OTkuMTQvMDYvMjAyNi4uLlVTRC5IAQAAAOlxAgADAAAAAADZIIHZ/sneCGBBSN3+yd4IM0NJUS5OWVNFOkJBSC5JUV9B</t>
  </si>
  <si>
    <t>TU9SVF9ESUNfQ0YuOTkzLjE0LzA2LzIwMjYuLi5VU0QuSAEAAADpcQIAAgAAAAU1LjA1MgEIAAAABQAAAAExAQAAAAoyMDk5MDg3MTMzAwAAAAMxNjACAAAABTQ1ODY5BAAAAAEwBwAAAAk2LzE0LzIwMjYIAAAACTMvMzEvMjAxOQkAAAABMMOcf9n+yd4Iufrp2/7J3gg9Q0lRLk5ZU0U6QkFILklRX0RBX0NGX0VYQ0xfT1BFUl9MRUFTRVMuOTk5LjE0LzA2LzIwMjYuLi5VU0QuSAEAAADpcQIAAgAAAAMxNjUBCAAAAAUAAAABMQEAAAALLTE4ODc3MDUwMDEDAAAAAzE2MAIAAAAFNDg5ODUEAAAAATAHAAAACTYvMTQvMjAyNggAAAAJMy8zMS8yMDI1CQAAAAEww5x/2f7J3ghgQUjd/sneCC5DSVEuTllTRTpCQUguSVFfREVQX1JVQS45OTUuMTQvMDYvMjAyNi4uLlVTRC5IAQAAAOlxAgADAAAAAADDnH/Z/sneCDW96Nv+yd4IO0NJUS5OWVNFOkJBSC5JUV9DSEFOR0VfREVGX1RBWF9UT1RBTC45OTMuMTQvMDYvMjAyNi4uLlVTRC5IAQAAAOlxAgACAAAABjIzLjAwNgEIAAAABQAAAAExAQAAAAoyMDk5MDg3MTMzAwAAAAMxNjACAAAABTMwOTI0BAAAAAEwBwAAAAk2LzE0LzIwMjYIAAAACTMvMzEvMjAxOQkAAAABMDzkfNn+yd4I+Lbs2/7J3gg3Q0lRLk5ZU0U6QkFILklRX0NBU0hfVEFYRVNfT1BFUi4yMDAwLjE0LzA2LzIwMjYuLi5VU0QuSAEAAADpcQIAAwAAAAAAPOR82f7J3gj4tuzb/sneCDFDSVEuTllT</t>
  </si>
  <si>
    <t>RTpCQUguSVFfQ0FTSF9UQVhFUy45OTUuMTQvMDYvMjAyNi4uLlVTRC5IAQAAAOlxAgACAAAABzE3Ni43MTEBCAAAAAUAAAABMQEAAAALLTIwNDMyMTUzOTIDAAAAAzE2MAIAAAAEMzA1MwQAAAABMAcAAAAJNi8xNC8yMDI2CAAAAAkzLzMxLzIwMjEJAAAAATA85HzZ/sneCPi27Nv+yd4IPENJUS5OWVNFOkJBSC5JUV9DQVNIX0lOVEVSRVNUX0lOVkVTVC4yMDAwLjE0LzA2LzIwMjYuLi5VU0QuSAEAAADpcQIAAwAAAAAAPOR82f7J3gigFuzb/sneCD1DSVEuTllTRTpCQUguSVFfQ0FTSF9JTlRFUkVTVF9SRUNFSVZFRC45OTcuMTQvMDYvMjAyNi4uLlVTRC5IAQAAAOlxAgADAAAAAAA85HzZ/sneCLn66dv+yd4IP0NJUS5OWVNFOkJBSC5JUV9PUEVSQVRJTkdfTEVBU0VfUEFZTUVOVFMuOTk1LjE0LzA2LzIwMjYuLi5VU0QuSAEAAADpcQIAAwAAAAAAfB9+2f7J3gikV/Db/sneCDNDSVEuTllTRTpCQUguSVFfRE9fSU5WRVNUX0NGLjk5MS4xNC8wNi8yMDI2Li4uVVNELkgBAAAA6XECAAMAAAAAAHwfftn+yd4Izbju2/7J3gg2Q0lRLk5ZU0U6QkFILklRX05FVF9ERUJUX0lTU1VFRC45OTcuMTQvMDYvMjAyNi4uLlVTRC5IAQAAAOlxAgACAAAAAi0yAQgAAAAFAAAAATEBAAAACy0xOTQxNTQ2ODcxAwAAAAMxNjACAAAABDIwMDMEAAAAATAHAAAACTYvMTQvMjAyNggAAAAJMy8zMS8yMDIzCQAAAAEwPOR82f7J</t>
  </si>
  <si>
    <t>3gjNuO7b/sneCC9DSVEuTllTRTpCQUguSVFfQ0ZfU0hBUkUuOTkxLjE0LzA2LzIwMjYuLi5VU0QuSAEAAADpcQIAAgAAAAgyLjIxNTM1NwEIAAAABQAAAAExAQAAAAoxOTY1NzcyNDIyAwAAAAMxNjACAAAABTQzOTIzBAAAAAEwBwAAAAk2LzE0LzIwMjYIAAAACTMvMzEvMjAxNwkAAAABMDzkfNn+yd4I+Lbs2/7J3ghBQ0lRLk5ZU0U6QkFILklRX0NIQU5HRV9ORVRfV09SS0lOR19DQVBJVEFMLjk5OS4xNC8wNi8yMDI2Li4uVVNELkgBAAAA6XECAAIAAAADMTA4AQgAAAAFAAAAATEBAAAACy0xODg3NzA1MDAxAwAAAAMxNjACAAAABDQ0MjEEAAAAATAHAAAACTYvMTQvMjAyNggAAAAJMy8zMS8yMDI1CQAAAAEwPOR82f7J3gj71kXd/sneCDpDSVEuTllTRTpCQUguSVFfR0FJTl9CQVJHQUlOX0FDUV9DRi45OTkuMTQvMDYvMjAyNi4uLlVTRC5IAQAAAOlxAgADAAAAAAB8H37Z/sneCPvWRd3+yd4IRENJUS5OWVNFOkJBSC5JUV9UT1RBTF9ERUJUX1JFUEFJRF9FWENMX0xFQVNFUy45OTMuMTQvMDYvMjAyNi4uLlVTRC5IAQAAAOlxAgACAAAACC0xNzAuNTEyAQgAAAAFAAAAATEBAAAACjIwOTkwODcxMzMDAAAAAzE2MAIAAAAFNDg5ODYEAAAAATAHAAAACTYvMTQvMjAyNggAAAAJMy8zMS8yMDE5CQAAAAEwfB9+2f7J3gjCmfHb/sneCENDSVEuTllTRTpCQUguSVFfT1BFUkFUSU5HX0xFQVNFX0xJQUJJTElU</t>
  </si>
  <si>
    <t>SUVTLjIwMDAuMTQvMDYvMjAyNi4uLlVTRC5IAQAAAOlxAgADAAAAAAB8H37Z/sneCLXz8Nv+yd4IMENJUS5OWVNFOkJBSC5JUV9JTlZFTlRPUlkuOTk5LjE0LzA2LzIwMjYuLi5VU0QuSAEAAADpcQIAAwAAAAAAfB9+2f7J3gj71kXd/sneCDVDSVEuTllTRTpCQUguSVFfU1RfTk9URV9SRUNFSVYuOTk1LjE0LzA2LzIwMjYuLi5VU0QuSAEAAADpcQIAAwAAAAAAfB9+2f7J3giN+fLb/sneCCpDSVEuTllTRTpCQUguSVFfQVIuMjAwMC4xNC8wNi8yMDI2Li4uVVNELkgBAAAA6XECAAIAAAAEMjA2MwEIAAAABQAAAAExAQAAAAstMTg4NzcwNDM0MQMAAAADMTYwAgAAAAQxMDIxBAAAAAEwBwAAAAk2LzE0LzIwMjYIAAAACTMvMzEvMjAyNgkAAAABMHwfftn+yd4Ijfny2/7J3gg1Q0lRLk5ZU0U6QkFILklRX0NBU0hfU1RfSU5WRVNULjk5NS4xNC8wNi8yMDI2Li4uVVNELkgBAAAA6XECAAIAAAAHOTkwLjk1NQEIAAAABQAAAAExAQAAAAstMjA0MzIxNTM5MgMAAAADMTYwAgAAAAQxMDAyBAAAAAEwBwAAAAk2LzE0LzIwMjYIAAAACTMvMzEvMjAyMQkAAAABMHwfftn+yd4Ii9Ly2/7J3ggwQ0lRLk5ZU0U6QkFILklRX1NUX0lOVkVTVC45OTEuMTQvMDYvMjAyNi4uLlVTRC5IAQAAAOlxAgADAAAAAAB8H37Z/sneCCpd8tv+yd4ILENJUS5OWVNFOkJBSC5JUV9HUFBFLjIwMDAuMTQvMDYvMjAyNi4uLlVTRC5IAQAA</t>
  </si>
  <si>
    <t>AOlxAgACAAAAAzYzNgEIAAAABQAAAAExAQAAAAstMTg4NzcwNDM0MQMAAAADMTYwAgAAAAQxMTY5BAAAAAEwBwAAAAk2LzE0LzIwMjYIAAAACTMvMzEvMjAyNgkAAAABMNldgdn+yd4Ir1712/7J3gg1Q0lRLk5ZU0U6QkFILklRX09USEVSX0NBX1NVUFBMLjk5Ny4xNC8wNi8yMDI2Li4uVVNELkgBAAAA6XECAAMAAAAAANldgdn+yd4Ir1712/7J3gg2Q0lRLk5ZU0U6QkFILklRX1JFU1RSSUNURURfQ0FTSC45OTEuMTQvMDYvMjAyNi4uLlVTRC5IAQAAAOlxAgADAAAAAADZXYHZ/sneCK9e9dv+yd4INUNJUS5OWVNFOkJBSC5JUV9MT0FOU19GT1JfU0FMRS45OTcuMTQvMDYvMjAyNi4uLlVTRC5IAQAAAOlxAgADAAAAAADZXYHZ/sneCDvg9Nv+yd4IPENJUS5OWVNFOkJBSC5JUV9GSU5fRElWX0xPQU5TX0NVUlJFTlQuOTkzLjE0LzA2LzIwMjYuLi5VU0QuSAEAAADpcQIAAwAAAAAAfB9+2f7J3giN+fLb/sneCDVDSVEuTllTRTpCQUguSVFfREVGX0NIQVJHRVNfTFQuOTk0LjE0LzA2LzIwMjYuLi5VU0QuSAEAAADpcQIAAwAAAAAA2V2B2f7J3ghuzffb/sneCDZDSVEuTllTRTpCQUguSVFfTE9BTlNfUkVDRUlWX0xULjk5My4xNC8wNi8yMDI2Li4uVVNELkgBAAAA6XECAAMAAAAAANldgdn+yd4Ibs332/7J3gg4Q0lRLk5ZU0U6QkFILklRX0ZJTl9ESVZfQVNTRVRTX0xULjk5Mi4xNC8wNi8yMDI2Li4uVVNE</t>
  </si>
  <si>
    <t>LkgBAAAA6XECAAMAAAAAANldgdn+yd4Ibs332/7J3ggpQ0lRLk5ZU0U6QkFILklRX0dXLjk5NS4xNC8wNi8yMDI2Li4uVVNELkgBAAAA6XECAAIAAAAHMTU4MS4xNgEIAAAABQAAAAExAQAAAAstMjA0MzIxNTM5MgMAAAADMTYwAgAAAAQxMTcxBAAAAAEwBwAAAAk2LzE0LzIwMjYIAAAACTMvMzEvMjAyMQkAAAABMNldgdn+yd4Ir1712/7J3ggwQ0lRLk5ZU0U6QkFILklRX0xUX0lOVkVTVC45OTEuMTQvMDYvMjAyNi4uLlVTRC5IAQAAAOlxAgADAAAAAADZXYHZ/sneCK9e9dv+yd4IOUNJUS5OWVNFOkJBSC5JUV9VTkVBUk5fUkVWX0NVUlJFTlQuOTkwLjE0LzA2LzIwMjYuLi5VU0QuSAEAAADpcQIAAwAAAAAA2V2B2f7J3ghvrvzb/sneCDtDSVEuTllTRTpCQUguSVFfRklOX0RJVl9MSUFCX0NVUlJFTlQuOTkxLjE0LzA2LzIwMjYuLi5VU0QuSAEAAADpcQIAAwAAAAAA2V2B2f7J3ghvrvzb/sneCDhDSVEuTllTRTpCQUguSVFfQ1VSUkVOVF9QT1JUX0RFQlQuOTk2LjE0LzA2LzIwMjYuLi5VU0QuSAEAAADpcQIAAgAAAAY3Mi43MDMBCAAAAAUAAAABMQEAAAALLTE5OTI0MDIwNTkDAAAAAzE2MAIAAAAEMTI5NwQAAAABMAcAAAAJNi8xNC8yMDI2CAAAAAkzLzMxLzIwMjIJAAAAATDZXYHZ/sneCG+u/Nv+yd4IKUNJUS5OWVNFOkJBSC5JUV9BRS45OTYuMTQvMDYvMjAyNi4uLlVTRC5IAQAAAOlxAgACAAAA</t>
  </si>
  <si>
    <t>BzUxMS4zMjYBCAAAAAUAAAABMQEAAAALLTE5OTI0MDIwNTkDAAAAAzE2MAIAAAAEMTAxNgQAAAABMAcAAAAJNi8xNC8yMDI2CAAAAAkzLzMxLzIwMjIJAAAAATDZXYHZ/sneCMD/+tv+yd4IM0NJUS5OWVNFOkJBSC5JUV9UT1RBTF9BU1NFVFMuOTk1LjE0LzA2LzIwMjYuLi5VU0QuSAEAAADpcQIAAgAAAAg1NDk5LjYwMQEIAAAABQAAAAExAQAAAAstMjA0MzIxNTM5MgMAAAADMTYwAgAAAAQxMDA3BAAAAAEwBwAAAAk2LzE0LzIwMjYIAAAACTMvMzEvMjAyMQkAAAABMNldgdn+yd4IwP/62/7J3gg0Q0lRLk5ZU0U6QkFILklRX09USEVSX0xJQUJfTFQuOTk4LjE0LzA2LzIwMjYuLi5VU0QuSAEAAADpcQIAAgAAAAMyNjQBCAAAAAUAAAABMQEAAAALLTE4ODc3MDQ5OTMDAAAAAzE2MAIAAAAEMTA2MgQAAAABMAcAAAAJNi8xNC8yMDI2CAAAAAkzLzMxLzIwMjQJAAAAATDZXYHZ/sneCGUX/9v+yd4ILkNJUS5OWVNFOkJBSC5JUV9QRU5TSU9OLjk5OS4xNC8wNi8yMDI2Li4uVVNELkgBAAAA6XECAAIAAAACMzUBCAAAAAUAAAABMQEAAAALLTE4ODc3MDUwMDEDAAAAAzE2MAIAAAAEMTIxMwQAAAABMAcAAAAJNi8xNC8yMDI2CAAAAAkzLzMxLzIwMjUJAAAAATDZXYHZ/sneCGAlRN3+yd4INkNJUS5OWVNFOkJBSC5JUV9GSU5fRElWX0xJQUJfTFQuOTkwLjE0LzA2LzIwMjYuLi5VU0QuSAEAAADpcQIAAwAAAAAA</t>
  </si>
  <si>
    <t>2V2B2f7J3ghlF//b/sneCC5DSVEuTllTRTpCQUguSVFfTFRfREVCVC45OTcuMTQvMDYvMjAyNi4uLlVTRC5IAQAAAOlxAgACAAAACDI3NzIuMjY0AQgAAAAFAAAAATEBAAAACy0xOTQxNTQ2ODcxAwAAAAMxNjACAAAABDEwNDkEAAAAATAHAAAACTYvMTQvMjAyNggAAAAJMy8zMS8yMDIzCQAAAAEw2V2B2f7J3ghlF//b/sneCDVDSVEuTllTRTpCQUguSVFfT1RIRVJfQ0xfU1VQUEwuOTk5LjE0LzA2LzIwMjYuLi5VU0QuSAEAAADpcQIAAgAAAAMyNjABCAAAAAUAAAABMQEAAAALLTE4ODc3MDUwMDEDAAAAAzE2MAIAAAAEMTA1NwQAAAABMAcAAAAJNi8xNC8yMDI2CAAAAAkzLzMxLzIwMjUJAAAAATDZXYHZ/sneCPvWRd3+yd4IOENJUS5OWVNFOkJBSC5JUV9NSU5PUklUWV9JTlRFUkVTVC45OTguMTQvMDYvMjAyNi4uLlVTRC5IAQAAAOlxAgADAAAAAAB8X0bZ/sneCGqGAdz+yd4IM0NJUS5OWVNFOkJBSC5JUV9PVEhFUl9FUVVJVFkuOTkxLjE0LzA2LzIwMjYuLi5VU0QuSAEAAADpcQIAAgAAAActMTcuMDc3AQgAAAAFAAAAATEBAAAACjE5NjU3NzI0MjIDAAAAAzE2MAIAAAAEMTAyOAQAAAABMAcAAAAJNi8xNC8yMDI2CAAAAAkzLzMxLzIwMTcJAAAAATB8X0bZ/sneCGqGAdz+yd4IK0NJUS5OWVNFOkJBSC5JUV9BUElDLjk5MS4xNC8wNi8yMDI2Li4uVVNELkgBAAAA6XECAAIAAAAHMzAyLjkwNwEIAAAA</t>
  </si>
  <si>
    <t>BQAAAAExAQAAAAoxOTY1NzcyNDIyAwAAAAMxNjACAAAABDEwODQEAAAAATAHAAAACTYvMTQvMjAyNggAAAAJMy8zMS8yMDE3CQAAAAEwfF9G2f7J3ghqhgHc/sneCDJDSVEuTllTRTpCQUguSVFfUFJFRl9FUVVJVFkuOTk0LjE0LzA2LzIwMjYuLi5VU0QuSAEAAADpcQIAAwAAAAAAfF9G2f7J3ghqhgHc/sneCDZDSVEuTllTRTpCQUguSVFfUFJFRl9OT05fUkVERUVNLjk5OC4xNC8wNi8yMDI2Li4uVVNELkgBAAAA6XECAAMAAAAAANldgdn+yd4IaoYB3P7J3gg8Q0lRLk5ZU0U6QkFILklRX05QUEVfRVhDTF9PUEVSX0xFQVNFUy45OTguMTQvMDYvMjAyNi4uLlVTRC5IAQAAAOlxAgACAAAAAzE4OAEIAAAABQAAAAExAQAAAAstMTg4NzcwNDk5MwMAAAADMTYwAgAAAAU0ODk3NgQAAAABMAcAAAAJNi8xNC8yMDI2CAAAAAkzLzMxLzIwMjQJAAAAATB8X0bZ/sneCKNjBtz+yd4IPENJUS5OWVNFOkJBSC5JUV9HUFBFX0VYQ0xfT1BFUl9MRUFTRVMuOTk0LjE0LzA2LzIwMjYuLi5VU0QuSAEAAADpcQIAAgAAAAc0ODAuNDQ2AQgAAAAFAAAAATEBAAAACy0yMDk1MTI2MDkwAwAAAAMxNjACAAAABTQ4OTc0BAAAAAEwBwAAAAk2LzE0LzIwMjYIAAAACTMvMzEvMjAyMAkAAAABMHxfRtn+yd4I3SgG3P7J3ghAQ0lRLk5ZU0U6QkFILklRX1JVQV9PUEVSQVRJTkdfTEVBU0VfR1JPU1MuOTk3LjE0LzA2LzIwMjYuLi5V</t>
  </si>
  <si>
    <t>U0QuSAEAAADpcQIAAgAAAAcxODcuNzk4AQgAAAAFAAAAATEBAAAACy0xOTQxNTQ2ODcxAwAAAAMxNjACAAAABTQ4Mzc3BAAAAAEwBwAAAAk2LzE0LzIwMjYIAAAACTMvMzEvMjAyMwkAAAABMHxfRtn+yd4IS4wF3P7J3gg+Q0lRLk5ZU0U6QkFILklRX1JVQV9DQVBJVEFMX0xFQVNFX0dST1NTLjk5MC4xNC8wNi8yMDI2Li4uVVNELkgBAAAA6XECAAMAAAAAAHxfRtn+yd4I7tsE3P7J3ggwQ0lRLk5ZU0U6QkFILklRX1JVQV9HUk9TUy45OTYuMTQvMDYvMjAyNi4uLlVTRC5IAQAAAOlxAgADAAAAAAB8X0bZ/sneCJRQBNz+yd4IOUNJUS5OWVNFOkJBSC5JUV9UQlZfU0hBUkVfUkVQT1JURUQuOTkyLjE0LzA2LzIwMjYuLi5VU0QuSAEAAADpcQIAAwAAAAAASkdH2f7J3gjkywbc/sneCFRDSVEuTllTRTpCQUguSVFfRklOQU5DSU5HX09CTElHX05PTl9DVVJSRU5UX0VYQ0xfT1BFUl9MRUFTRVMuMTAwMC4xNC8wNi8yMDI2Li4uVVNELkgBAAAA6XECAAIAAAAEMzkyMQEIAAAABQAAAAExAQAAAAstMTg4NzcwNDk3NwMAAAADMTYwAgAAAAU0ODk4MQQAAAABMAcAAAAJNi8xNC8yMDI2CAAAAAkzLzMxLzIwMjYJAAAAATB8X0bZ/sneCGAlRN3+yd4IOENJUS5OWVNFOkJBSC5JUV9UT1RBTF9PUEVSX0xFQVNFUy45OTcuMTQvMDYvMjAyNi4uLlVTRC5IAQAAAOlxAgACAAAABzI0OS4zODIBCAAAAAUAAAABMQEAAAAL</t>
  </si>
  <si>
    <t>LTE5NDE1NDY4NzEDAAAAAzE2MAIAAAAFNDg5NzgEAAAAATAHAAAACTYvMTQvMjAyNggAAAAJMy8zMS8yMDIzCQAAAAEwfF9G2f7J3gjkywbc/sneCE1DSVEuTllTRTpCQUguSVFfQ1VSUkVOVF9QT1JUSU9OX09QRVJfTEVBU0VfTElBQklMSVRJRVMuOTk0LjE0LzA2LzIwMjYuLi5VU0QuSAEAAADpcQIAAgAAAAY0OS4wMjEBCAAAAAUAAAABMQEAAAALLTIwOTUxMjYwOTADAAAAAzE2MAIAAAAFNDgzODUEAAAAATAHAAAACTYvMTQvMjAyNggAAAAJMy8zMS8yMDIwCQAAAAEwfF9G2f7J3gjkywbc/sneCDBDSVEuTllTRTpCQUguSVFfQlVJTERJTkdTLjk5MC4xNC8wNi8yMDI2Li4uVVNELkgBAAAA6XECAAMAAAAAAEpHR9n+yd4I4T0L3P7J3ggtQ0lRLk5ZU0U6QkFILklRX0xJRk9SLjEwMDAuMTQvMDYvMjAyNi4uLlVTRC5IAQAAAOlxAgADAAAAAABKR0fZ/sneCGAlRN3+yd4INkNJUS5OWVNFOkJBSC5JUV9ORVRfV09SS0lOR19DQVAuOTk1LjE0LzA2LzIwMjYuLi5VU0QuSAEAAADpcQIAAgAAAAc1MDQuMDk2AQgAAAAFAAAAATEBAAAACy0yMDQzMjE1MzkyAwAAAAMxNjACAAAABDEzMTEEAAAAATAHAAAACTYvMTQvMjAyNggAAAAJMy8zMS8yMDIxCQAAAAEwSkdH2f7J3ggFPwrc/sneCC9DSVEuTllTRTpCQUguSVFfTkVUX0RFQlQuOTkwLjE0LzA2LzIwMjYuLi5VU0QuSAEAAADpcQIAAgAAAAgxNDg5Ljcz</t>
  </si>
  <si>
    <t>MgEIAAAABQAAAAExAQAAAAoxODkxMzQ3ODY5AwAAAAMxNjACAAAABDQzNjQEAAAAATAHAAAACTYvMTQvMjAyNggAAAAJMy8zMS8yMDE2CQAAAAEwSkdH2f7J3ggFPwrc/sneCDFDSVEuTllTRTpCQUguSVFfVE9UQUxfREVCVC45OTAuMTQvMDYvMjAyNi4uLlVTRC5IAQAAAOlxAgACAAAACDE2NzcuMjYxAQgAAAAFAAAAATEBAAAACjE4OTEzNDc4NjkDAAAAAzE2MAIAAAAENDE3MwQAAAABMAcAAAAJNi8xNC8yMDI2CAAAAAkzLzMxLzIwMTYJAAAAATBKR0fZ/sneCJHICNz+yd4IO0NJUS5OWVNFOkJBSC5JUV9XQVJSQU5UWV9MSUFCSUxJVElFUy45OTguMTQvMDYvMjAyNi4uLlVTRC5IAQAAAOlxAgADAAAAAACGKxTZ/sneCPn1FNz+yd4IOENJUS5OWVNFOkJBSC5JUV9BU1NFVFNfRkFJUl9WQUxVRS45OTIuMTQvMDYvMjAyNi4uLlVTRC5IAQAAAOlxAgACAAAABTcuOTI1AIYrFNn+yd4IDZMS3P7J3ghFQ0lRLk5ZU0U6QkFILklRX1RPVEFMX0dFTkVSQUxfUEFSVE5FUl9JTlRFUkVTVC45OTguMTQvMDYvMjAyNi4uLlVTRC5IAQAAAOlxAgADAAAAAABKR0fZ/sneCB0hENz+yd4IQ0NJUS5OWVNFOkJBSC5JUV9GSU5fRElWX01JTk9SSVRZX0lOVF9SRURFRU0uMTAwMC4xNC8wNi8yMDI2Li4uVVNELkgBAAAA6XECAAMAAAAAAEpHR9n+yd4IEtdD3f7J3ggzQ0lRLk5ZU0U6QkFILklRX0FNT1JUX0RJQ19DRi45</t>
  </si>
  <si>
    <t>OTIuMTQvMDYvMjAyNi4uLlVTRC5IAQAAAOlxAgACAAAABTUuOTc0AQgAAAAFAAAAATEBAAAACjIwMzgwOTEwNzcDAAAAAzE2MAIAAAAFNDU4NjkEAAAAATAHAAAACTYvMTQvMjAyNggAAAAJMy8zMS8yMDE4CQAAAAEww5x/2f7J3gi5+unb/sneCD1DSVEuTllTRTpCQUguSVFfREFfQ0ZfRVhDTF9PUEVSX0xFQVNFUy45OTguMTQvMDYvMjAyNi4uLlVTRC5IAQAAAOlxAgACAAAAAzE2NAEIAAAABQAAAAExAQAAAAstMTg4NzcwNDk5MwMAAAADMTYwAgAAAAU0ODk4NQQAAAABMAcAAAAJNi8xNC8yMDI2CAAAAAkzLzMxLzIwMjQJAAAAATDDnH/Z/sneCDW96Nv+yd4ILkNJUS5OWVNFOkJBSC5JUV9ERVBfUlVBLjk5NC4xNC8wNi8yMDI2Li4uVVNELkgBAAAA6XECAAMAAAAAAMOcf9n+yd4INb3o2/7J3ggyQ0lRLk5ZU0U6QkFILklRX0RFUFJFX1NVUFAuMTAwMC4xNC8wNi8yMDI2Li4uVVNELkgBAAAA6XECAAIAAAACNjgBCAAAAAUAAAABMQEAAAALLTE4ODc3MDQ5NzcDAAAAAzE2MAIAAAAEMjE0MwQAAAABMAcAAAAJNi8xNC8yMDI2CAAAAAkzLzMxLzIwMjYJAAAAATDDnH/Z/sneCGBBSN3+yd4IQENJUS5OWVNFOkJBSC5JUV9HV19JTlRBTl9BTU9SVF9QQVJUSUFMX0NGLjk5NC4xNC8wNi8yMDI2Li4uVVNELkgBAAAA6XECAAMAAAAAAMOcf9n+yd4IBYvn2/7J3ggxQ0lRLk5ZU0U6QkFILklRX0NBU0hfVEFY</t>
  </si>
  <si>
    <t>RVMuOTk0LjE0LzA2LzIwMjYuLi5VU0QuSAEAAADpcQIAAgAAAAcxMDkuNzU0AQgAAAAFAAAAATEBAAAACy0yMDk1MTI2MDkwAwAAAAMxNjACAAAABDMwNTMEAAAAATAHAAAACTYvMTQvMjAyNggAAAAJMy8zMS8yMDIwCQAAAAEwPOR82f7J3gj4tuzb/sneCDxDSVEuTllTRTpCQUguSVFfQ0FTSF9JTlRFUkVTVF9JTlZFU1QuMTAwMC4xNC8wNi8yMDI2Li4uVVNELkgBAAAA6XECAAMAAAAAADzkfNn+yd4I+9ZF3f7J3gg9Q0lRLk5ZU0U6QkFILklRX0NBU0hfSU5URVJFU1RfUkVDRUlWRUQuOTk2LjE0LzA2LzIwMjYuLi5VU0QuSAEAAADpcQIAAwAAAAAAPOR82f7J3gi5+unb/sneCDhDSVEuTllTRTpCQUguSVFfQ0FTSF9JTlRFUkVTVF9ORVQuOTkwLjE0LzA2LzIwMjYuLi5VU0QuSAEAAADpcQIAAwAAAAAAPOR82f7J3gi5+unb/sneCEJDSVEuTllTRTpCQUguSVFfU0FMRV9QUk9DRUVEU19SRU5UQUxfQVNTRVRTLjk5Ni4xNC8wNi8yMDI2Li4uVVNELkgBAAAA6XECAAMAAAAAANkggdn+yd4Iufrp2/7J3gg2Q0lRLk5ZU0U6QkFILklRX05FVF9ERUJUX0lTU1VFRC45OTYuMTQvMDYvMjAyNi4uLlVTRC5IAQAAAOlxAgACAAAABjQzNC43NwEIAAAABQAAAAExAQAAAAstMTk5MjQwMjA1OQMAAAADMTYwAgAAAAQyMDAzBAAAAAEwBwAAAAk2LzE0LzIwMjYIAAAACTMvMzEvMjAyMgkAAAABMDzkfNn+yd4Izbju</t>
  </si>
  <si>
    <t>2/7J3ggvQ0lRLk5ZU0U6QkFILklRX0NGX1NIQVJFLjk5MC4xNC8wNi8yMDI2Li4uVVNELkgBAAAA6XECAAIAAAAIMS4yNDY0NTcBCAAAAAUAAAABMQEAAAAKMTg5MTM0Nzg2OQMAAAADMTYwAgAAAAU0MzkyMwQAAAABMAcAAAAJNi8xNC8yMDI2CAAAAAkzLzMxLzIwMTYJAAAAATA85HzZ/sneCPi27Nv+yd4IQUNJUS5OWVNFOkJBSC5JUV9DSEFOR0VfTkVUX1dPUktJTkdfQ0FQSVRBTC45OTguMTQvMDYvMjAyNi4uLlVTRC5IAQAAAOlxAgACAAAABzUzMC42MTUBCAAAAAUAAAABMQEAAAALLTE4ODc3MDQ5OTMDAAAAAzE2MAIAAAAENDQyMQQAAAABMAcAAAAJNi8xNC8yMDI2CAAAAAkzLzMxLzIwMjQJAAAAATA85HzZ/sneCPi27Nv+yd4IO0NJUS5OWVNFOkJBSC5JUV9DSEFOR0VfREVGX1RBWF9UT1RBTC45OTIuMTQvMDYvMjAyNi4uLlVTRC5IAQAAAOlxAgACAAAABTguOTU2AQgAAAAFAAAAATEBAAAACjIwMzgwOTEwNzcDAAAAAzE2MAIAAAAFMzA5MjQEAAAAATAHAAAACTYvMTQvMjAyNggAAAAJMy8zMS8yMDE4CQAAAAEwPOR82f7J3gj4tuzb/sneCDhDSVEuTllTRTpCQUguSVFfQ0FTSF9UQVhFU19JTlZFU1QuOTk4LjE0LzA2LzIwMjYuLi5VU0QuSAEAAADpcQIAAwAAAAAAPOR82f7J3gj4tuzb/sneCDpDSVEuTllTRTpCQUguSVFfR0FJTl9CQVJHQUlOX0FDUV9DRi45OTguMTQvMDYvMjAyNi4uLlVT</t>
  </si>
  <si>
    <t>RC5IAQAAAOlxAgADAAAAAAB8H37Z/sneCCgP8tv+yd4IRENJUS5OWVNFOkJBSC5JUV9UT1RBTF9ERUJUX1JFUEFJRF9FWENMX0xFQVNFUy45OTIuMTQvMDYvMjAyNi4uLlVTRC5IAQAAAOlxAgACAAAACC0zMTcuMTQ5AQgAAAAFAAAAATEBAAAACjIwMzgwOTEwNzcDAAAAAzE2MAIAAAAFNDg5ODYEAAAAATAHAAAACTYvMTQvMjAyNggAAAAJMy8zMS8yMDE4CQAAAAEwfB9+2f7J3gjCmfHb/sneCENDSVEuTllTRTpCQUguSVFfT1BFUkFUSU5HX0xFQVNFX0xJQUJJTElUSUVTLjEwMDAuMTQvMDYvMjAyNi4uLlVTRC5IAQAAAOlxAgADAAAAAAB8H37Z/sneCPvWRd3+yd4IP0NJUS5OWVNFOkJBSC5JUV9PUEVSQVRJTkdfTEVBU0VfUEFZTUVOVFMuOTk0LjE0LzA2LzIwMjYuLi5VU0QuSAEAAADpcQIAAwAAAAAAfB9+2f7J3gikV/Db/sneCDRDSVEuTllTRTpCQUguSVFfRE9fSU5WRVNUX0NGLjEwMDAuMTQvMDYvMjAyNi4uLlVTRC5IAQAAAOlxAgADAAAAAAB8H37Z/sneCPvWRd3+yd4IKkNJUS5OWVNFOkJBSC5JUV9BUi4xMDAwLjE0LzA2LzIwMjYuLi5VU0QuSAEAAADpcQIAAgAAAAQyMDYzAQgAAAAFAAAAATEBAAAACy0xODg3NzA0OTc3AwAAAAMxNjACAAAABDEwMjEEAAAAATAHAAAACTYvMTQvMjAyNggAAAAJMy8zMS8yMDI2CQAAAAEwfB9+2f7J3gj71kXd/sneCDVDSVEuTllTRTpCQUguSVFfQ0FTSF9T</t>
  </si>
  <si>
    <t>VF9JTlZFU1QuOTk0LjE0LzA2LzIwMjYuLi5VU0QuSAEAAADpcQIAAgAAAAc3NDEuOTAxAQgAAAAFAAAAATEBAAAACy0yMDk1MTI2MDkwAwAAAAMxNjACAAAABDEwMDIEAAAAATAHAAAACTYvMTQvMjAyNggAAAAJMy8zMS8yMDIwCQAAAAEwfB9+2f7J3giL0vLb/sneCDBDSVEuTllTRTpCQUguSVFfU1RfSU5WRVNULjk5MC4xNC8wNi8yMDI2Li4uVVNELkgBAAAA6XECAAMAAAAAAHwfftn+yd4IKl3y2/7J3gg2Q0lRLk5ZU0U6QkFILklRX1JFU1RSSUNURURfQ0FTSC45OTAuMTQvMDYvMjAyNi4uLlVTRC5IAQAAAOlxAgADAAAAAADZXYHZ/sneCK9e9dv+yd4INUNJUS5OWVNFOkJBSC5JUV9MT0FOU19GT1JfU0FMRS45OTYuMTQvMDYvMjAyNi4uLlVTRC5IAQAAAOlxAgADAAAAAADZXYHZ/sneCDvg9Nv+yd4IPENJUS5OWVNFOkJBSC5JUV9GSU5fRElWX0xPQU5TX0NVUlJFTlQuOTkyLjE0LzA2LzIwMjYuLi5VU0QuSAEAAADpcQIAAwAAAAAAfB9+2f7J3giN+fLb/sneCDBDSVEuTllTRTpCQUguSVFfSU5WRU5UT1JZLjk5OC4xNC8wNi8yMDI2Li4uVVNELkgBAAAA6XECAAMAAAAAAHwfftn+yd4Ijfny2/7J3ggzQ0lRLk5ZU0U6QkFILklRX1RPVEFMX1JFQ0VJVi45OTIuMTQvMDYvMjAyNi4uLlVTRC5IAQAAAOlxAgACAAAACDExMzMuNzA1AQgAAAAFAAAAATEBAAAACjIwMzgwOTEwNzcDAAAAAzE2MAIAAAAE</t>
  </si>
  <si>
    <t>MTAwMQQAAAABMAcAAAAJNi8xNC8yMDI2CAAAAAkzLzMxLzIwMTgJAAAAATB8H37Z/sneCI358tv+yd4IOENJUS5OWVNFOkJBSC5JUV9GSU5fRElWX0FTU0VUU19MVC45OTEuMTQvMDYvMjAyNi4uLlVTRC5IAQAAAOlxAgADAAAAAADZXYHZ/sneCG7N99v+yd4IMkNJUS5OWVNFOkJBSC5JUV9PVEhFUl9JTlRBTi45OTIuMTQvMDYvMjAyNi4uLlVTRC5IAQAAAOlxAgACAAAABzI3OC41MDQBCAAAAAUAAAABMQEAAAAKMjAzODA5MTA3NwMAAAADMTYwAgAAAAQxMDQwBAAAAAEwBwAAAAk2LzE0LzIwMjYIAAAACTMvMzEvMjAxOAkAAAABMNldgdn+yd4Ir1712/7J3ggwQ0lRLk5ZU0U6QkFILklRX0xUX0lOVkVTVC45OTAuMTQvMDYvMjAyNi4uLlVTRC5IAQAAAOlxAgADAAAAAADZXYHZ/sneCK9e9dv+yd4ILENJUS5OWVNFOkJBSC5JUV9HUFBFLjEwMDAuMTQvMDYvMjAyNi4uLlVTRC5IAQAAAOlxAgACAAAAAzYzNgEIAAAABQAAAAExAQAAAAstMTg4NzcwNDk3NwMAAAADMTYwAgAAAAQxMTY5BAAAAAEwBwAAAAk2LzE0LzIwMjYIAAAACTMvMzEvMjAyNgkAAAABMNldgdn+yd4I+9ZF3f7J3ggvQ0lRLk5ZU0U6QkFILklRX1RPVEFMX0NBLjk5NC4xNC8wNi8yMDI2Li4uVVNELkgBAAAA6XECAAIAAAAIMjMyOC4xODgBCAAAAAUAAAABMQEAAAALLTIwOTUxMjYwOTADAAAAAzE2MAIAAAAEMTAwOAQAAAABMAcAAAAJ</t>
  </si>
  <si>
    <t>Ni8xNC8yMDI2CAAAAAkzLzMxLzIwMjAJAAAAATDZXYHZ/sneCK9e9dv+yd4IOENJUS5OWVNFOkJBSC5JUV9DVVJSRU5UX1BPUlRfREVCVC45OTUuMTQvMDYvMjAyNi4uLlVTRC5IAQAAAOlxAgACAAAABjk1LjAyOAEIAAAABQAAAAExAQAAAAstMjA0MzIxNTM5MgMAAAADMTYwAgAAAAQxMjk3BAAAAAEwBwAAAAk2LzE0LzIwMjYIAAAACTMvMzEvMjAyMQkAAAABMNldgdn+yd4Ib6782/7J3ggpQ0lRLk5ZU0U6QkFILklRX0FFLjk5NS4xNC8wNi8yMDI2Li4uVVNELkgBAAAA6XECAAIAAAAHNDU3LjY0MgEIAAAABQAAAAExAQAAAAstMjA0MzIxNTM5MgMAAAADMTYwAgAAAAQxMDE2BAAAAAEwBwAAAAk2LzE0LzIwMjYIAAAACTMvMzEvMjAyMQkAAAABMNldgdn+yd4IwP/62/7J3ggzQ0lRLk5ZU0U6QkFILklRX1RPVEFMX0FTU0VUUy45OTQuMTQvMDYvMjAyNi4uLlVTRC5IAQAAAOlxAgACAAAACDQ3OTMuOTY2AQgAAAAFAAAAATEBAAAACy0yMDk1MTI2MDkwAwAAAAMxNjACAAAABDEwMDcEAAAAATAHAAAACTYvMTQvMjAyNggAAAAJMy8zMS8yMDIwCQAAAAEw2V2B2f7J3gjA//rb/sneCDVDSVEuTllTRTpCQUguSVFfREVGX0NIQVJHRVNfTFQuOTkzLjE0LzA2LzIwMjYuLi5VU0QuSAEAAADpcQIAAwAAAAAA2V2B2f7J3ghuzffb/sneCDZDSVEuTllTRTpCQUguSVFfTE9BTlNfUkVDRUlWX0xULjk5Mi4xNC8w</t>
  </si>
  <si>
    <t>Ni8yMDI2Li4uVVNELkgBAAAA6XECAAMAAAAAANldgdn+yd4Ibs332/7J3gg2Q0lRLk5ZU0U6QkFILklRX0ZJTl9ESVZfTElBQl9MVC45OTkuMTQvMDYvMjAyNi4uLlVTRC5IAQAAAOlxAgADAAAAAADZXYHZ/sneCPvWRd3+yd4IN0NJUS5OWVNFOkJBSC5JUV9MT05HX1RFUk1fTEVBU0VTLjk5MC4xNC8wNi8yMDI2Li4uVVNELkgBAAAA6XECAAMAAAAAANldgdn+yd4IZRf/2/7J3gg1Q0lRLk5ZU0U6QkFILklRX09USEVSX0NMX1NVUFBMLjk5OC4xNC8wNi8yMDI2Li4uVVNELkgBAAAA6XECAAIAAAADMzY3AQgAAAAFAAAAATEBAAAACy0xODg3NzA0OTkzAwAAAAMxNjACAAAABDEwNTcEAAAAATAHAAAACTYvMTQvMjAyNggAAAAJMy8zMS8yMDI0CQAAAAEw2V2B2f7J3ghvrvzb/sneCDtDSVEuTllTRTpCQUguSVFfSU5DX1RBWF9QQVlfQ1VSUkVOVC4yMDAwLjE0LzA2LzIwMjYuLi5VU0QuSAEAAADpcQIAAgAAAAIxMAEIAAAABQAAAAExAQAAAAstMTg4NzcwNDM0MQMAAAADMTYwAgAAAAQxMDk0BAAAAAEwBwAAAAk2LzE0LzIwMjYIAAAACTMvMzEvMjAyNgkAAAABMNldgdn+yd4Ib6782/7J3gg7Q0lRLk5ZU0U6QkFILklRX0ZJTl9ESVZfTElBQl9DVVJSRU5ULjk5MC4xNC8wNi8yMDI2Li4uVVNELkgBAAAA6XECAAMAAAAAANldgdn+yd4Ib6782/7J3ggrQ0lRLk5ZU0U6QkFILklRX0FQSUMuOTk2LjE0LzA2</t>
  </si>
  <si>
    <t>LzIwMjYuLi5VU0QuSAEAAADpcQIAAgAAAAc2NTYuMjIyAQgAAAAFAAAAATEBAAAACy0xOTkyNDAyMDU5AwAAAAMxNjACAAAABDEwODQEAAAAATAHAAAACTYvMTQvMjAyNggAAAAJMy8zMS8yMDIyCQAAAAEwfF9G2f7J3ghqhgHc/sneCDJDSVEuTllTRTpCQUguSVFfUFJFRl9FUVVJVFkuOTkzLjE0LzA2LzIwMjYuLi5VU0QuSAEAAADpcQIAAwAAAAAAfF9G2f7J3ghqhgHc/sneCDZDSVEuTllTRTpCQUguSVFfUFJFRl9OT05fUkVERUVNLjk5Ny4xNC8wNi8yMDI2Li4uVVNELkgBAAAA6XECAAMAAAAAANldgdn+yd4IaoYB3P7J3ggxQ0lRLk5ZU0U6QkFILklRX1RPVEFMX0xJQUIuOTk0LjE0LzA2LzIwMjYuLi5VU0QuSAEAAADpcQIAAgAAAAczOTM3LjYxAQgAAAAFAAAAATEBAAAACy0yMDk1MTI2MDkwAwAAAAMxNjACAAAABDEyNzYEAAAAATAHAAAACTYvMTQvMjAyNggAAAAJMy8zMS8yMDIwCQAAAAEw2V2B2f7J3ghlF//b/sneCC5DSVEuTllTRTpCQUguSVFfUEVOU0lPTi45OTguMTQvMDYvMjAyNi4uLlVTRC5IAQAAAOlxAgACAAAAAjI5AQgAAAAFAAAAATEBAAAACy0xODg3NzA0OTkzAwAAAAMxNjACAAAABDEyMTMEAAAAATAHAAAACTYvMTQvMjAyNggAAAAJMy8zMS8yMDI0CQAAAAEw2V2B2f7J3ghlF//b/sneCEBDSVEuTllTRTpCQUguSVFfUlVBX09QRVJBVElOR19MRUFTRV9HUk9TUy45OTYuMTQv</t>
  </si>
  <si>
    <t>MDYvMjAyNi4uLlVTRC5IAQAAAOlxAgACAAAABzIyNy4yMzEBCAAAAAUAAAABMQEAAAALLTE5OTI0MDIwNTkDAAAAAzE2MAIAAAAFNDgzNzcEAAAAATAHAAAACTYvMTQvMjAyNggAAAAJMy8zMS8yMDIyCQAAAAEwfF9G2f7J3ghLjAXc/sneCD5DSVEuTllTRTpCQUguSVFfUlVBX0NBUElUQUxfTEVBU0VfR1JPU1MuOTk3LjE0LzA2LzIwMjYuLi5VU0QuSAEAAADpcQIAAwAAAAAAfF9G2f7J3gju2wTc/sneCDBDSVEuTllTRTpCQUguSVFfUlVBX0dST1NTLjk5NS4xNC8wNi8yMDI2Li4uVVNELkgBAAAA6XECAAMAAAAAAHxfRtn+yd4IlFAE3P7J3ggzQ0lRLk5ZU0U6QkFILklRX1RPVEFMX0VRVUlUWS45OTMuMTQvMDYvMjAyNi4uLlVTRC5IAQAAAOlxAgACAAAABzY3NS4zNjYBCAAAAAUAAAABMQEAAAAKMjA5OTA4NzEzMwMAAAADMTYwAgAAAAQxMjc1BAAAAAEwBwAAAAk2LzE0LzIwMjYIAAAACTMvMzEvMjAxOQkAAAABMHxfRtn+yd4IaoYB3P7J3ggzQ0lRLk5ZU0U6QkFILklRX09USEVSX0VRVUlUWS45OTAuMTQvMDYvMjAyNi4uLlVTRC5IAQAAAOlxAgACAAAABy0xOS42MTMBCAAAAAUAAAABMQEAAAAKMTg5MTM0Nzg2OQMAAAADMTYwAgAAAAQxMDI4BAAAAAEwBwAAAAk2LzE0LzIwMjYIAAAACTMvMzEvMjAxNgkAAAABMHxfRtn+yd4IaoYB3P7J3ghCQ0lRLk5ZU0U6QkFILklRX1RPVEFMX0RFQlRfRVhD</t>
  </si>
  <si>
    <t>TF9PUEVSX0xFQVNFUy45OTcuMTQvMDYvMjAyNi4uLlVTRC5IAQAAAOlxAgACAAAACDI4MTMuNTE0AQgAAAAFAAAAATEBAAAACy0xOTQxNTQ2ODcxAwAAAAMxNjACAAAABTQ4OTgyBAAAAAEwBwAAAAk2LzE0LzIwMjYIAAAACTMvMzEvMjAyMwkAAAABMHxfRtn+yd4I5MsG3P7J3gg4Q0lRLk5ZU0U6QkFILklRX1RPVEFMX09QRVJfTEVBU0VTLjk5Ni4xNC8wNi8yMDI2Li4uVVNELkgBAAAA6XECAAIAAAAHMjk5LjQwNAEIAAAABQAAAAExAQAAAAstMTk5MjQwMjA1OQMAAAADMTYwAgAAAAU0ODk3OAQAAAABMAcAAAAJNi8xNC8yMDI2CAAAAAkzLzMxLzIwMjIJAAAAATB8X0bZ/sneCOTLBtz+yd4ITUNJUS5OWVNFOkJBSC5JUV9DVVJSRU5UX1BPUlRJT05fT1BFUl9MRUFTRV9MSUFCSUxJVElFUy45OTIuMTQvMDYvMjAyNi4uLlVTRC5IAQAAAOlxAgADAAAAAAB8X0bZ/sneCOTLBtz+yd4IPUNJUS5OWVNFOkJBSC5JUV9GSU5BTkNFX0xFQVNFU19DVVJSRU5ULjk5NS4xNC8wNi8yMDI2Li4uVVNELkgBAAAA6XECAAMAAAAAAHxfRtn+yd4Io2MG3P7J3gg8Q0lRLk5ZU0U6QkFILklRX0dQUEVfRVhDTF9PUEVSX0xFQVNFUy45OTMuMTQvMDYvMjAyNi4uLlVTRC5IAQAAAOlxAgACAAAABzQ5NS42MzYBCAAAAAUAAAABMQEAAAAKMjA5OTA4NzEzMwMAAAADMTYwAgAAAAU0ODk3NAQAAAABMAcAAAAJNi8xNC8yMDI2</t>
  </si>
  <si>
    <t>CAAAAAkzLzMxLzIwMTkJAAAAATB8X0bZ/sneCN0oBtz+yd4INkNJUS5OWVNFOkJBSC5JUV9ORVRfV09SS0lOR19DQVAuOTk0LjE0LzA2LzIwMjYuLi5VU0QuSAEAAADpcQIAAgAAAAc1MDQuMzI2AQgAAAAFAAAAATEBAAAACy0yMDk1MTI2MDkwAwAAAAMxNjACAAAABDEzMTEEAAAAATAHAAAACTYvMTQvMjAyNggAAAAJMy8zMS8yMDIwCQAAAAEwSkdH2f7J3ggFPwrc/sneCC9DSVEuTllTRTpCQUguSVFfTkVUX0RFQlQuOTk4LjE0LzA2LzIwMjYuLi5VU0QuSAEAAADpcQIAAgAAAAQzMDgzAQgAAAAFAAAAATEBAAAACy0xODg3NzA0OTkzAwAAAAMxNjACAAAABDQzNjQEAAAAATAHAAAACTYvMTQvMjAyNggAAAAJMy8zMS8yMDI0CQAAAAEwSkdH2f7J3ggFPwrc/sneCDJDSVEuTllTRTpCQUguSVFfQ0FTSF9TSEFSRS4xMDAwLjE0LzA2LzIwMjYuLi5VU0QuSAEAAADpcQIAAgAAAAg2LjA0OTQ1OQEIAAAABQAAAAExAQAAAAstMTg4NzcwNDk3NwMAAAADMTYwAgAAAAQ0MzgxBAAAAAEwBwAAAAk2LzE0LzIwMjYIAAAACTMvMzEvMjAyNgkAAAABMEpHR9n+yd4IYCVE3f7J3gg5Q0lRLk5ZU0U6QkFILklRX1RCVl9TSEFSRV9SRVBPUlRFRC45OTAuMTQvMDYvMjAyNi4uLlVTRC5IAQAAAOlxAgADAAAAAABKR0fZ/sneCJHICNz+yd4IOUNJUS5OWVNFOkJBSC5JUV9BU1NFVFNfRkFJUl9WQUxVRS4xMDAwLjE0LzA2</t>
  </si>
  <si>
    <t>LzIwMjYuLi5VU0QuSAEAAADpcQIAAgAAAAMzNDcAhisU2f7J3gi4iEPd/sneCEVDSVEuTllTRTpCQUguSVFfVE9UQUxfR0VORVJBTF9QQVJUTkVSX0lOVEVSRVNULjk5Ny4xNC8wNi8yMDI2Li4uVVNELkgBAAAA6XECAAMAAAAAAEpHR9n+yd4IHSEQ3P7J3ghCQ0lRLk5ZU0U6QkFILklRX0ZJTl9ESVZfTUlOT1JJVFlfSU5UX1JFREVFTS45OTkuMTQvMDYvMjAyNi4uLlVTRC5IAQAAAOlxAgADAAAAAABKR0fZ/sneCBLXQ93+yd4IMENJUS5OWVNFOkJBSC5JUV9CVUlMRElOR1MuOTk4LjE0LzA2LzIwMjYuLi5VU0QuSAEAAADpcQIAAwAAAAAASkdH2f7J3gjhPQvc/sneCCxDSVEuTllTRTpCQUguSVFfTElGT1IuOTk5LjE0LzA2LzIwMjYuLi5VU0QuSAEAAADpcQIAAwAAAAAASkdH2f7J3ghgJUTd/sneCDFDSVEuTllTRTpCQUguSVFfQ0FTSF9UQVhFUy45OTMuMTQvMDYvMjAyNi4uLlVTRC5IAQAAAOlxAgACAAAABjUyLjUxMgEIAAAABQAAAAExAQAAAAoyMDk5MDg3MTMzAwAAAAMxNjACAAAABDMwNTMEAAAAATAHAAAACTYvMTQvMjAyNggAAAAJMy8zMS8yMDE5CQAAAAEwPOR82f7J3gj4tuzb/sneCDtDSVEuTllTRTpCQUguSVFfQ0FTSF9JTlRFUkVTVF9JTlZFU1QuOTk5LjE0LzA2LzIwMjYuLi5VU0QuSAEAAADpcQIAAwAAAAAAPOR82f7J3gj71kXd/sneCDlDSVEuTllTRTpCQUguSVFfQ0FTSF9JTlRF</t>
  </si>
  <si>
    <t>UkVTVF9PUEVSLjk5My4xNC8wNi8yMDI2Li4uVVNELkgBAAAA6XECAAMAAAAAADzkfNn+yd4Iufrp2/7J3gg6Q0lRLk5ZU0U6QkFILklRX0xUX0RFQlRfREVSSVZBVElWRVMuOTkwLjE0LzA2LzIwMjYuLi5VU0QuSAEAAADpcQIAAwAAAAAAhisU2f7J3gj59RTc/sneCDZDSVEuTllTRTpCQUguSVFfTkVUX0RFQlRfSVNTVUVELjk5NS4xNC8wNi8yMDI2Li4uVVNELkgBAAAA6XECAAIAAAAHMTYzLjYzMQEIAAAABQAAAAExAQAAAAstMjA0MzIxNTM5MgMAAAADMTYwAgAAAAQyMDAzBAAAAAEwBwAAAAk2LzE0LzIwMjYIAAAACTMvMzEvMjAyMQkAAAABMDzkfNn+yd4Izbju2/7J3gg1Q0lRLk5ZU0U6QkFILklRX1VOTEVWRVJFRF9GQ0YuMjAwMC4xNC8wNi8yMDI2Li4uVVNELkgBAAAA6XECAAIAAAAHOTAwLjM3NQEIAAAABQAAAAExAQAAAAstMTg4NzcwNDM0MQMAAAADMTYwAgAAAAQ0NDIzBAAAAAEwBwAAAAk2LzE0LzIwMjYIAAAACTMvMzEvMjAyNgkAAAABMDzkfNn+yd4I+Lbs2/7J3ggyQ0lRLk5ZU0U6QkFILklRX0xFVkVSRURfRkNGLjk5NS4xNC8wNi8yMDI2Li4uVVNELkgBAAAA6XECAAIAAAAHNDc5LjYxNAEIAAAABQAAAAExAQAAAAstMjA0MzIxNTM5MgMAAAADMTYwAgAAAAQ0NDIyBAAAAAEwBwAAAAk2LzE0LzIwMjYIAAAACTMvMzEvMjAyMQkAAAABMDzkfNn+yd4I+Lbs2/7J3gg7Q0lRLk5ZU0U6</t>
  </si>
  <si>
    <t>QkFILklRX0NIQU5HRV9ERUZfVEFYX1RPVEFMLjk5MS4xNC8wNi8yMDI2Li4uVVNELkgBAAAA6XECAAIAAAAGMjAuOTU4AQgAAAAFAAAAATEBAAAACjE5NjU3NzI0MjIDAAAAAzE2MAIAAAAFMzA5MjQEAAAAATAHAAAACTYvMTQvMjAyNggAAAAJMy8zMS8yMDE3CQAAAAEwPOR82f7J3gj4tuzb/sneCDhDSVEuTllTRTpCQUguSVFfQ0FTSF9UQVhFU19JTlZFU1QuOTk3LjE0LzA2LzIwMjYuLi5VU0QuSAEAAADpcQIAAwAAAAAAPOR82f7J3gj4tuzb/sneCDpDSVEuTllTRTpCQUguSVFfR0FJTl9CQVJHQUlOX0FDUV9DRi45OTcuMTQvMDYvMjAyNi4uLlVTRC5IAQAAAOlxAgADAAAAAAB8H37Z/sneCCgP8tv+yd4IRENJUS5OWVNFOkJBSC5JUV9UT1RBTF9ERUJUX1JFUEFJRF9FWENMX0xFQVNFUy45OTEuMTQvMDYvMjAyNi4uLlVTRC5IAQAAAOlxAgACAAAACC05NjguMzI1AQgAAAAFAAAAATEBAAAACjE5NjU3NzI0MjIDAAAAAzE2MAIAAAAFNDg5ODYEAAAAATAHAAAACTYvMTQvMjAyNggAAAAJMy8zMS8yMDE3CQAAAAEwfB9+2f7J3gjCmfHb/sneCEpDSVEuTllTRTpCQUguSVFfT1BFUkFUSU5HX0xFQVNFX0xJQUJJTElUSUVTX05PTkNBU0guOTk3LjE0LzA2LzIwMjYuLi5VU0QuSAEAAADpcQIAAwAAAAAAfB9+2f7J3gi18/Db/sneCD9DSVEuTllTRTpCQUguSVFfT1BFUkFUSU5HX0xFQVNFX1BBWU1FTlRT</t>
  </si>
  <si>
    <t>Ljk5My4xNC8wNi8yMDI2Li4uVVNELkgBAAAA6XECAAMAAAAAAHwfftn+yd4IpFfw2/7J3ggzQ0lRLk5ZU0U6QkFILklRX0RPX0lOVkVTVF9DRi45OTkuMTQvMDYvMjAyNi4uLlVTRC5IAQAAAOlxAgADAAAAAAB8H37Z/sneCPvWRd3+yd4IKUNJUS5OWVNFOkJBSC5JUV9BUi45OTkuMTQvMDYvMjAyNi4uLlVTRC5IAQAAAOlxAgACAAAABDIyNzEBCAAAAAUAAAABMQEAAAALLTE4ODc3MDUwMDEDAAAAAzE2MAIAAAAEMTAyMQQAAAABMAcAAAAJNi8xNC8yMDI2CAAAAAkzLzMxLzIwMjUJAAAAATB8H37Z/sneCPvWRd3+yd4INUNJUS5OWVNFOkJBSC5JUV9DQVNIX1NUX0lOVkVTVC45OTMuMTQvMDYvMjAyNi4uLlVTRC5IAQAAAOlxAgACAAAABjI4NS43OAEIAAAABQAAAAExAQAAAAoyMDk5MDg3MTMzAwAAAAMxNjACAAAABDEwMDIEAAAAATAHAAAACTYvMTQvMjAyNggAAAAJMy8zMS8yMDE5CQAAAAEwfB9+2f7J3giN+fLb/sneCDBDSVEuTllTRTpCQUguSVFfU1RfSU5WRVNULjk5OS4xNC8wNi8yMDI2Li4uVVNELkgBAAAA6XECAAMAAAAAAHwfftn+yd4I+9ZF3f7J3gg+Q0lRLk5ZU0U6QkFILklRX0RFRl9UQVhfQVNTRVRTX0NVUlJFTlQuMjAwMC4xNC8wNi8yMDI2Li4uVVNELkgBAAAA6XECAAMAAAAAANldgdn+yd4Ir1712/7J3gg1Q0lRLk5ZU0U6QkFILklRX0xPQU5TX0ZPUl9TQUxFLjk5NS4xNC8wNi8y</t>
  </si>
  <si>
    <t>MDI2Li4uVVNELkgBAAAA6XECAAMAAAAAANldgdn+yd4IO+D02/7J3gg9Q0lRLk5ZU0U6QkFILklRX0ZJTl9ESVZfTE9BTlNfQ1VSUkVOVC4yMDAwLjE0LzA2LzIwMjYuLi5VU0QuSAEAAADpcQIAAwAAAAAAfB9+2f7J3giN+fLb/sneCDBDSVEuTllTRTpCQUguSVFfSU5WRU5UT1JZLjk5Ny4xNC8wNi8yMDI2Li4uVVNELkgBAAAA6XECAAMAAAAAAHwfftn+yd4Ijfny2/7J3ggzQ0lRLk5ZU0U6QkFILklRX1RPVEFMX1JFQ0VJVi45OTEuMTQvMDYvMjAyNi4uLlVTRC5IAQAAAOlxAgACAAAABjk5MS44MQEIAAAABQAAAAExAQAAAAoxOTY1NzcyNDIyAwAAAAMxNjACAAAABDEwMDEEAAAAATAHAAAACTYvMTQvMjAyNggAAAAJMy8zMS8yMDE3CQAAAAEwfB9+2f7J3giN+fLb/sneCDhDSVEuTllTRTpCQUguSVFfRklOX0RJVl9BU1NFVFNfTFQuOTkwLjE0LzA2LzIwMjYuLi5VU0QuSAEAAADpcQIAAwAAAAAA2V2B2f7J3ghuzffb/sneCDJDSVEuTllTRTpCQUguSVFfT1RIRVJfSU5UQU4uOTkxLjE0LzA2LzIwMjYuLi5VU0QuSAEAAADpcQIAAgAAAAYyNzkuOTgBCAAAAAUAAAABMQEAAAAKMTk2NTc3MjQyMgMAAAADMTYwAgAAAAQxMDQwBAAAAAEwBwAAAAk2LzE0LzIwMjYIAAAACTMvMzEvMjAxNwkAAAABMNldgdn+yd4Ir1712/7J3ggsQ0lRLk5ZU0U6QkFILklRX05QUEUuMjAwMC4xNC8wNi8yMDI2Li4uVVNE</t>
  </si>
  <si>
    <t>LkgBAAAA6XECAAIAAAADMzE4AQgAAAAFAAAAATEBAAAACy0xODg3NzA0MzQxAwAAAAMxNjACAAAABDEwMDQEAAAAATAHAAAACTYvMTQvMjAyNggAAAAJMy8zMS8yMDI2CQAAAAEw2V2B2f7J3givXvXb/sneCCtDSVEuTllTRTpCQUguSVFfR1BQRS45OTkuMTQvMDYvMjAyNi4uLlVTRC5IAQAAAOlxAgACAAAAAzYzNgEIAAAABQAAAAExAQAAAAstMTg4NzcwNTAwMQMAAAADMTYwAgAAAAQxMTY5BAAAAAEwBwAAAAk2LzE0LzIwMjYIAAAACTMvMzEvMjAyNQkAAAABMNldgdn+yd4I+9ZF3f7J3ggvQ0lRLk5ZU0U6QkFILklRX1RPVEFMX0NBLjk5My4xNC8wNi8yMDI2Li4uVVNELkgBAAAA6XECAAIAAAAHMTY5OS4zNAEIAAAABQAAAAExAQAAAAoyMDk5MDg3MTMzAwAAAAMxNjACAAAABDEwMDgEAAAAATAHAAAACTYvMTQvMjAyNggAAAAJMy8zMS8yMDE5CQAAAAEw2V2B2f7J3givXvXb/sneCDpDSVEuTllTRTpCQUguSVFfQ1VSUkVOVF9QT1JUX0xFQVNFUy45OTEuMTQvMDYvMjAyNi4uLlVTRC5IAQAAAOlxAgADAAAAAADZXYHZ/sneCG+u/Nv+yd4IKUNJUS5OWVNFOkJBSC5JUV9BRS45OTQuMTQvMDYvMjAyNi4uLlVTRC5IAQAAAOlxAgACAAAABzM4OS4yMzMBCAAAAAUAAAABMQEAAAALLTIwOTUxMjYwOTADAAAAAzE2MAIAAAAEMTAxNgQAAAABMAcAAAAJNi8xNC8yMDI2CAAAAAkzLzMxLzIwMjAJAAAAATDZ</t>
  </si>
  <si>
    <t>XYHZ/sneCG+u/Nv+yd4IM0NJUS5OWVNFOkJBSC5JUV9UT1RBTF9BU1NFVFMuOTkzLjE0LzA2LzIwMjYuLi5VU0QuSAEAAADpcQIAAgAAAAgzODMxLjg0MQEIAAAABQAAAAExAQAAAAoyMDk5MDg3MTMzAwAAAAMxNjACAAAABDEwMDcEAAAAATAHAAAACTYvMTQvMjAyNggAAAAJMy8zMS8yMDE5CQAAAAEw2V2B2f7J3gjA//rb/sneCDVDSVEuTllTRTpCQUguSVFfREVGX0NIQVJHRVNfTFQuOTkyLjE0LzA2LzIwMjYuLi5VU0QuSAEAAADpcQIAAwAAAAAA2V2B2f7J3ghuzffb/sneCDZDSVEuTllTRTpCQUguSVFfTE9BTlNfUkVDRUlWX0xULjk5MS4xNC8wNi8yMDI2Li4uVVNELkgBAAAA6XECAAMAAAAAANldgdn+yd4Ibs332/7J3gg2Q0lRLk5ZU0U6QkFILklRX0ZJTl9ESVZfTElBQl9MVC45OTguMTQvMDYvMjAyNi4uLlVTRC5IAQAAAOlxAgADAAAAAADZXYHZ/sneCGUX/9v+yd4IL0NJUS5OWVNFOkJBSC5JUV9MVF9ERUJULjIwMDAuMTQvMDYvMjAyNi4uLlVTRC5IAQAAAOlxAgACAAAABDM5MjEBCAAAAAUAAAABMQEAAAALLTE4ODc3MDQzNDEDAAAAAzE2MAIAAAAEMTA0OQQAAAABMAcAAAAJNi8xNC8yMDI2CAAAAAkzLzMxLzIwMjYJAAAAATDZXYHZ/sneCGUX/9v+yd4INUNJUS5OWVNFOkJBSC5JUV9PVEhFUl9DTF9TVVBQTC45OTcuMTQvMDYvMjAyNi4uLlVTRC5IAQAAAOlxAgACAAAABzY4NS45MDMB</t>
  </si>
  <si>
    <t>CAAAAAUAAAABMQEAAAALLTE5NDE1NDY4NzEDAAAAAzE2MAIAAAAEMTA1NwQAAAABMAcAAAAJNi8xNC8yMDI2CAAAAAkzLzMxLzIwMjMJAAAAATDZXYHZ/sneCG+u/Nv+yd4IOUNJUS5OWVNFOkJBSC5JUV9VTkVBUk5fUkVWX0NVUlJFTlQuOTk4LjE0LzA2LzIwMjYuLi5VU0QuSAEAAADpcQIAAgAAAAIxNgEIAAAABQAAAAExAQAAAAstMTg4NzcwNDk5MwMAAAADMTYwAgAAAAQxMDc0BAAAAAEwBwAAAAk2LzE0LzIwMjYIAAAACTMvMzEvMjAyNAkAAAABMNldgdn+yd4Ib6782/7J3gg8Q0lRLk5ZU0U6QkFILklRX0ZJTl9ESVZfREVCVF9DVVJSRU5ULjIwMDAuMTQvMDYvMjAyNi4uLlVTRC5IAQAAAOlxAgADAAAAAADZXYHZ/sneCG+u/Nv+yd4IKUNJUS5OWVNFOkJBSC5JUV9SRS45OTMuMTQvMDYvMjAyNi4uLlVTRC5IAQAAAOlxAgACAAAABzk5NC44MTEBCAAAAAUAAAABMQEAAAAKMjA5OTA4NzEzMwMAAAADMTYwAgAAAAQxMjIyBAAAAAEwBwAAAAk2LzE0LzIwMjYIAAAACTMvMzEvMjAxOQkAAAABMHxfRtn+yd4IaoYB3P7J3ggyQ0lRLk5ZU0U6QkFILklRX1BSRUZfRVFVSVRZLjk5Mi4xNC8wNi8yMDI2Li4uVVNELkgBAAAA6XECAAMAAAAAAHxfRtn+yd4IaoYB3P7J3gg2Q0lRLk5ZU0U6QkFILklRX1BSRUZfTk9OX1JFREVFTS45OTYuMTQvMDYvMjAyNi4uLlVTRC5IAQAAAOlxAgADAAAAAADZXYHZ/sne</t>
  </si>
  <si>
    <t>CGqGAdz+yd4IMUNJUS5OWVNFOkJBSC5JUV9UT1RBTF9MSUFCLjk5My4xNC8wNi8yMDI2Li4uVVNELkgBAAAA6XECAAIAAAAIMzE1Ni40NzUBCAAAAAUAAAABMQEAAAAKMjA5OTA4NzEzMwMAAAADMTYwAgAAAAQxMjc2BAAAAAEwBwAAAAk2LzE0LzIwMjYIAAAACTMvMzEvMjAxOQkAAAABMNldgdn+yd4IZRf/2/7J3ggrQ0lRLk5ZU0U6QkFILklRX0NBTENfVFlQRV9JUy45OTEuMTQvMDYvMjAyNgEAAADpcQIAAwAAAANSRVAA0qO22f7J3ggppx7c/sneCD9DSVEuTllTRTpCQUguSVFfRElTVFJJQlVUQUJMRV9DQVNIX1NIQVJFU19CQVNJQy4yMDAwLjE0LzA2LzIwMjYBAAAA6XECAAMAAAAAAEyDBNr+yd4I/TQc3P7J3ggrQ0lRLk5ZU0U6QkFILklRX0NBTENfVFlQRV9JUy45OTIuMTQvMDYvMjAyNgEAAADpcQIAAwAAAANSRVAA0qO22f7J3ggppx7c/sneCEBDSVEuTllTRTpCQUguSVFfRElTVFJJQlVUQUJMRV9DQVNIX1NIQVJFU19ESUxVVEVELjk5MC4xNC8wNi8yMDI2AQAAAOlxAgADAAAAAABMgwTa/sneCP00HNz+yd4IL0NJUS5OWVNFOkJBSC5JUV9EUl9SQVRJT19QUklNQVJZLjk5MC4xNC8wNi8yMDI2AQAAAOlxAgADAAAAAABMgwTa/sneCP00HNz+yd4IQENJUS5OWVNFOkJBSC5JUV9ESVNUUklCVVRBQkxFX0NBU0hfU0hBUkVTX0RJTFVURUQuOTkxLjE0LzA2LzIwMjYBAAAA6XECAAMAAAAAAEyD</t>
  </si>
  <si>
    <t>BNr+yd4I/TQc3P7J3ggvQ0lRLk5ZU0U6QkFILklRX0RSX1JBVElPX1BSSU1BUlkuOTkxLjE0LzA2LzIwMjYBAAAA6XECAAMAAAAAAEyDBNr+yd4I/TQc3P7J3ggsQ0lRLk5ZU0U6QkFILklRX0JBU0lDX1dFSUdIVC4yMDAwLjE0LzA2LzIwMjYBAAAA6XECAAIAAAAKMTIyLjA3MTY2OQBMgwTa/sneCP00HNz+yd4ILkNJUS5OWVNFOkJBSC5JUV9GSUxJTkdfQ1VSUkVOQ1kuOTkwLjE0LzA2LzIwMjYBAAAA6XECAAMAAAADVVNEANKjttn+yd4I9g4h3P7J3ghAQ0lRLk5ZU0U6QkFILklRX0RJU1RSSUJVVEFCTEVfQ0FTSF9TSEFSRVNfRElMVVRFRC45OTIuMTQvMDYvMjAyNgEAAADpcQIAAwAAAAAATIME2v7J3gj9NBzc/sneCCdDSVEuTllTRTpCQUguSVFfR0FBUF9JUy4yMDAwLjE0LzA2LzIwMjYBAAAA6XECAAMAAAAHVVMgR0FBUADSo7bZ/sneCCmnHtz+yd4ILkNJUS5OWVNFOkJBSC5JUV9GSUxJTkdfQ1VSUkVOQ1kuOTkxLjE0LzA2LzIwMjYBAAAA6XECAAMAAAADVVNEANKjttn+yd4I9g4h3P7J3gguQ0lRLk5ZU0U6QkFILklRX0ZJTElOR19DVVJSRU5DWS45OTIuMTQvMDYvMjAyNgEAAADpcQIAAwAAAANVU0QA0qO22f7J3gj2DiHc/sneCDlDSVEuTllTRTpCQUguSVFfRElTVFJJQlVUQUJMRV9DQVNIX1BBWU9VVC4yMDAwLjE0LzA2LzIwMjYBAAAA6XECAAMAAAAAANKjttn+yd4IKace3P7J3ggqQ0lR</t>
  </si>
  <si>
    <t>Lk5ZU0U6QkFILklRX1BFUklPRERBVEUuMjAwMC4xNC8wNi8yMDI2AQAAAOlxAgAFAAAACjMxLzAzLzIwMjYAm4ID2v7J3gj9NBzc/sneCCpDSVEuTllTRTpCQUguSVFfU0FNRV9TVE9SRS4yMDAwLjE0LzA2LzIwMjYBAAAA6XECAAMAAAAAANKjttn+yd4I/TQc3P7J3gguQ0lRLk5ZU0U6QkFILklRX1BFUklPRExFTkdUSF9JUy45OTAuMTQvMDYvMjAyNgEAAADpcQIAAQAAAAIxMgBMgwTa/sneCP00HNz+yd4IQUNJUS5OWVNFOkJBSC5JUV9ESVNUUklCVVRBQkxFX0NBU0hfU0hBUkVTX0RJTFVURUQuMjAwMC4xNC8wNi8yMDI2AQAAAOlxAgADAAAAAABMgwTa/sneCCmnHtz+yd4ILkNJUS5OWVNFOkJBSC5JUV9QRVJJT0RMRU5HVEhfSVMuOTkxLjE0LzA2LzIwMjYBAAAA6XECAAEAAAACMTIATIME2v7J3gj9NBzc/sneCClDSVEuTllTRTpCQUguSVFfU0FNRV9TVE9SRS45OTAuMTQvMDYvMjAyNgEAAADpcQIAAwAAAAAA0qO22f7J3gj9NBzc/sneCC5DSVEuTllTRTpCQUguSVFfUEVSSU9ETEVOR1RIX0lTLjk5Mi4xNC8wNi8yMDI2AQAAAOlxAgABAAAAAjEyAEyDBNr+yd4I/TQc3P7J3ggsQ0lRLk5ZU0U6QkFILklRX0ZJTElOR0RBVEVfSVMuOTkyLjE0LzA2LzIwMjYBAAAA6XECAAUAAAAKMjYvMDUvMjAyMABMgwTa/sneCP00HNz+yd4IKUNJUS5OWVNFOkJBSC5JUV9QRVJJT0REQVRFLjk5MS4xNC8wNi8y</t>
  </si>
  <si>
    <t>MDI2AQAAAOlxAgAFAAAACjMxLzAzLzIwMTcAm4ID2v7J3gj9NBzc/sneCC5DSVEuTllTRTpCQUguSVFfUkVTVEFURU1FTlRfSVMuMjAwMC4xNC8wNi8yMDI2AQAAAOlxAgADAAAAAU8A0qO22f7J3ggppx7c/sneCC1DSVEuTllTRTpCQUguSVFfUkVTVEFURU1FTlRfSVMuOTkyLjE0LzA2LzIwMjYBAAAA6XECAAMAAAACUlMA0qO22f7J3ggppx7c/sneCD5DSVEuTllTRTpCQUguSVFfRElTVFJJQlVUQUJMRV9DQVNIX1NIQVJFU19CQVNJQy45OTAuMTQvMDYvMjAyNgEAAADpcQIAAwAAAAAATIME2v7J3gj9NBzc/sneCClDSVEuTllTRTpCQUguSVFfUEVSSU9EREFURS45OTAuMTQvMDYvMjAyNgEAAADpcQIABQAAAAozMS8wMy8yMDE2AJuCA9r+yd4I/TQc3P7J3gg+Q0lRLk5ZU0U6QkFILklRX0RJU1RSSUJVVEFCTEVfQ0FTSF9TSEFSRVNfQkFTSUMuOTkxLjE0LzA2LzIwMjYBAAAA6XECAAMAAAAAAEyDBNr+yd4I/TQc3P7J3gg+Q0lRLk5ZU0U6QkFILklRX0RJU1RSSUJVVEFCTEVfQ0FTSF9TSEFSRVNfQkFTSUMuOTkyLjE0LzA2LzIwMjYBAAAA6XECAAMAAAAAAEyDBNr+yd4I/TQc3P7J3ggvQ0lRLk5ZU0U6QkFILklRX0RSX1JBVElPX1BSSU1BUlkuOTkyLjE0LzA2LzIwMjYBAAAA6XECAAMAAAAAAEyDBNr+yd4I/TQc3P7J3ggrQ0lRLk5ZU0U6QkFILklRX1BBWU9VVF9SQVRJTy45OTEuMTQvMDYvMjAy</t>
  </si>
  <si>
    <t>NgEAAADpcQIAAgAAAAczNS42MjczAQgAAAAFAAAAATEBAAAACjE5NjU3NzI0MjIDAAAAAzE2MAIAAAAENDM3NwQAAAABMAcAAAAJNi8xNC8yMDI2CAAAAAkzLzMxLzIwMTcJAAAAATDSo7bZ/sneCCmnHtz+yd4IK0NJUS5OWVNFOkJBSC5JUV9QQVlPVVRfUkFUSU8uOTkyLjE0LzA2LzIwMjYBAAAA6XECAAIAAAAGMzQuMjc3AQgAAAAFAAAAATEBAAAACjIwMzgwOTEwNzcDAAAAAzE2MAIAAAAENDM3NwQAAAABMAcAAAAJNi8xNC8yMDI2CAAAAAkzLzMxLzIwMTgJAAAAATDSo7bZ/sneCCmnHtz+yd4ILENJUS5OWVNFOkJBSC5JUV9ESUxVVF9XRUlHSFQuMjAwMC4xNC8wNi8yMDI2AQAAAOlxAgACAAAACjEyMi4zNzUxNTEATIME2v7J3gj9NBzc/sneCCtDSVEuTllTRTpCQUguSVFfQkFTSUNfV0VJR0hULjk5MC4xNC8wNi8yMDI2AQAAAOlxAgACAAAACjE0Ni40OTQ0MDcATIME2v7J3gj9NBzc/sneCCtDSVEuTllTRTpCQUguSVFfRElMVVRfV0VJR0hULjk5MS4xNC8wNi8yMDI2AQAAAOlxAgACAAAACTE1MC4yNzQ2NABMgwTa/sneCP00HNz+yd4IK0NJUS5OWVNFOkJBSC5JUV9CQVNJQ19XRUlHSFQuOTkxLjE0LzA2LzIwMjYBAAAA6XECAAIAAAAKMTQ4LjIxODk2OABMgwTa/sneCP00HNz+yd4INkNJUS5OWVNFOkJBSC5JUV9TUEVDSUFMX0RJVl9DRi4yMDAwLjE0LzA2LzIwMjYuLi5VU0QuSAEAAADpcQIA</t>
  </si>
  <si>
    <t>AwAAAAAAw5x/2f7J3gjt9+Xb/sneCDNDSVEuTllTRTpCQUguSVFfUFJFRl9ESVZfQ0YuMjAwMC4xNC8wNi8yMDI2Li4uVVNELkgBAAAA6XECAAMAAAAAAMOcf9n+yd4I7ffl2/7J3ggyQ0lRLk5ZU0U6QkFILklRX1BSRUZfSVNTVUVELjk5MS4xNC8wNi8yMDI2Li4uVVNELkgBAAAA6XECAAMAAAAAAMOcf9n+yd4I7ffl2/7J3gg+Q0lRLk5ZU0U6QkFILklRX09USEVSX0lOVkVTVF9BQ1RfU1VQUEwuMjAwMC4xNC8wNi8yMDI2Li4uVVNELkgBAAAA6XECAAMAAAAAACTmftn+yd4Ij7Hi2/7J3gg0Q0lRLk5ZU0U6QkFILklRX1NBTEVfSU5UQU5fQ0YuOTkxLjE0LzA2LzIwMjYuLi5VU0QuSAEAAADpcQIAAwAAAAAAJOZ+2f7J3giPseLb/sneCDlDSVEuTllTRTpCQUguSVFfQ0hBTkdFX1VORUFSTl9SRVYuMjAwMC4xNC8wNi8yMDI2Li4uVVNELkgBAAAA6XECAAMAAAAAACTmftn+yd4IBEHg2/7J3ggwQ0lRLk5ZU0U6QkFILklRX0NIQU5HRV9BUi45OTEuMTQvMDYvMjAyNi4uLlVTRC5IAQAAAOlxAgACAAAABy05NS4yMTcBCAAAAAUAAAABMQEAAAAKMTk2NTc3MjQyMgMAAAADMTYwAgAAAAQyMDE4BAAAAAEwBwAAAAk2LzE0LzIwMjYIAAAACTMvMzEvMjAxNwkAAAABMCTmftn+yd4IYNnd2/7J3gg6Q0lRLk5ZU0U6QkFILklRX0FTU0VUX1dSSVRFRE9XTl9DRi4yMDAwLjE0LzA2LzIwMjYuLi5VU0QuSAEAAADp</t>
  </si>
  <si>
    <t>cQIAAwAAAAAAPOR82f7J3ghg2d3b/sneCDtDSVEuTllTRTpCQUguSVFfTUlOT1JJVFlfSU5URVJFU1RfQ0YuOTkxLjE0LzA2LzIwMjYuLi5VU0QuSAEAAADpcQIAAwAAAAAAPOR82f7J3giseNzb/sneCDFDSVEuTllTRTpCQUguSVFfT0lMX0lNUEFJUi45OTEuMTQvMDYvMjAyNi4uLlVTRC5IAQAAAOlxAgADAAAAAAA85HzZ/sneCKx43Nv+yd4IOkNJUS5OWVNFOkJBSC5JUV9TVE9DS19PUFRJT05TX0NPTVAuMjAwMC4xNC8wNi8yMDI2Li4uVVNELkgBAAAA6XECAAMAAAAAADzkfNn+yd4IdPzY2/7J3gg4Q0lRLk5ZU0U6QkFILklRX1JFU1RSX1NUT0NLX0NPTVAuMjAwMC4xNC8wNi8yMDI2Li4uVVNELkgBAAAA6XECAAMAAAAAADzkfNn+yd4IdPzY2/7J3gg4Q0lRLk5ZU0U6QkFILklRX1NUT0NLX0JBU0VEX1RPVEFMLjk5MS4xNC8wNi8yMDI2Li4uVVNELkgBAAAA6XECAAIAAAAGMjEuMjQ5AQgAAAAFAAAAATEBAAAACjE5NjU3NzI0MjIDAAAAAzE2MAIAAAAFMjQwMzQEAAAAATAHAAAACTYvMTQvMjAyNggAAAAJMy8zMS8yMDE3CQAAAAEwPOR82f7J3gh0/Njb/sneCD5DSVEuTllTRTpCQUguSVFfT1RIRVJfRklOQU5DRV9BQ1RfU1VQUEwuOTkwLjE0LzA2LzIwMjYuLi5VU0QuSAEAAADpcQIAAgAAAAUwLjEyMgEIAAAABQAAAAExAQAAAAoxODkxMzQ3ODY5AwAAAAMxNjACAAAABDIwNTAEAAAAATAHAAAA</t>
  </si>
  <si>
    <t>CTYvMTQvMjAyNggAAAAJMy8zMS8yMDE2CQAAAAEww5x/2f7J3gjt9+Xb/sneCDJDSVEuTllTRTpCQUguSVFfUFJFRl9ESVZfQ0YuOTkyLjE0LzA2LzIwMjYuLi5VU0QuSAEAAADpcQIAAwAAAAAAw5x/2f7J3gjt9+Xb/sneCDJDSVEuTllTRTpCQUguSVFfUFJFRl9JU1NVRUQuOTkyLjE0LzA2LzIwMjYuLi5VU0QuSAEAAADpcQIAAwAAAAAAw5x/2f7J3gjt9+Xb/sneCDhDSVEuTllTRTpCQUguSVFfVE9UQUxfREVCVF9JU1NVRUQuOTkwLjE0LzA2LzIwMjYuLi5VU0QuSAEAAADpcQIAAgAAAAMyNzMBCAAAAAUAAAABMQEAAAAKMTg5MTM0Nzg2OQMAAAADMTYwAgAAAAQyMTYxBAAAAAEwBwAAAAk2LzE0LzIwMjYIAAAACTMvMzEvMjAxNgkAAAABMMOcf9n+yd4Ij7Hi2/7J3ggyQ0lRLk5ZU0U6QkFILklRX0NBU0hfSU5WRVNULjk5MC4xNC8wNi8yMDI2Li4uVVNELkgBAAAA6XECAAIAAAAILTExNy43NTMBCAAAAAUAAAABMQEAAAAKMTg5MTM0Nzg2OQMAAAADMTYwAgAAAAQyMDA1BAAAAAEwBwAAAAk2LzE0LzIwMjYIAAAACTMvMzEvMjAxNgkAAAABMCTmftn+yd4Ij7Hi2/7J3gg2Q0lRLk5ZU0U6QkFILklRX01JU0NfQURKVVNUX0NGLjIwMDAuMTQvMDYvMjAyNi4uLlVTRC5IAQAAAOlxAgADAAAAAADDnH/Z/sneCAWL59v+yd4IPkNJUS5OWVNFOkJBSC5JUV9PVEhFUl9GSU5BTkNFX0FDVF9TVVBQTC45OTEu</t>
  </si>
  <si>
    <t>MTQvMDYvMjAyNi4uLlVTRC5IAQAAAOlxAgACAAAABjE1LjkyMQEIAAAABQAAAAExAQAAAAoxOTY1NzcyNDIyAwAAAAMxNjACAAAABDIwNTAEAAAAATAHAAAACTYvMTQvMjAyNggAAAAJMy8zMS8yMDE3CQAAAAEww5x/2f7J3gjt9+Xb/sneCDVDSVEuTllTRTpCQUguSVFfQ09NTU9OX0RJVl9DRi4yMDAwLjE0LzA2LzIwMjYuLi5VU0QuSAEAAADpcQIAAgAAAAQtMjc2AQgAAAAFAAAAATEBAAAACy0xODg3NzA0MzQxAwAAAAMxNjACAAAABDIwNzQEAAAAATAHAAAACTYvMTQvMjAyNggAAAAJMy8zMS8yMDI2CQAAAAEww5x/2f7J3gjt9+Xb/sneCDFDSVEuTllTRTpCQUguSVFfQ09NTU9OX1JFUC45OTEuMTQvMDYvMjAyNi4uLlVTRC5IAQAAAOlxAgACAAAABy00Ni41NDgBCAAAAAUAAAABMQEAAAAKMTk2NTc3MjQyMgMAAAADMTYwAgAAAAQyMTY0BAAAAAEwBwAAAAk2LzE0LzIwMjYIAAAACTMvMzEvMjAxNwkAAAABMMOcf9n+yd4IQBnl2/7J3gg3Q0lRLk5ZU0U6QkFILklRX0lOVkVTVF9MT0FOU19DRi4yMDAwLjE0LzA2LzIwMjYuLi5VU0QuSAEAAADpcQIAAwAAAAAAJOZ+2f7J3giPseLb/sneCDpDSVEuTllTRTpCQUguSVFfU0FMRV9SRUFMX0VTVEFURV9DRi45OTEuMTQvMDYvMjAyNi4uLlVTRC5IAQAAAOlxAgADAAAAAAAk5n7Z/sneCI+x4tv+yd4IMkNJUS5OWVNFOkJBSC5JUV9TQUxFX1BQRV9DRi45</t>
  </si>
  <si>
    <t>OTEuMTQvMDYvMjAyNi4uLlVTRC5IAQAAAOlxAgADAAAAAAAk5n7Z/sneCARB4Nv+yd4IMkNJUS5OWVNFOkJBSC5JUV9QUkVGX0RJVl9DRi45OTAuMTQvMDYvMjAyNi4uLlVTRC5IAQAAAOlxAgADAAAAAADDnH/Z/sneCO335dv+yd4IMUNJUS5OWVNFOkJBSC5JUV9DT01NT05fUkVQLjk5Mi4xNC8wNi8yMDI2Li4uVVNELkgBAAAA6XECAAIAAAAILTI3MC4zMTgBCAAAAAUAAAABMQEAAAAKMjAzODA5MTA3NwMAAAADMTYwAgAAAAQyMTY0BAAAAAEwBwAAAAk2LzE0LzIwMjYIAAAACTMvMzEvMjAxOAkAAAABMMOcf9n+yd4IQBnl2/7J3gg9Q0lRLk5ZU0U6QkFILklRX09USEVSX0lOVkVTVF9BQ1RfU1VQUEwuOTkwLjE0LzA2LzIwMjYuLi5VU0QuSAEAAADpcQIAAwAAAAAAJOZ+2f7J3giPseLb/sneCDpDSVEuTllTRTpCQUguSVFfU0FMRV9SRUFMX0VTVEFURV9DRi45OTIuMTQvMDYvMjAyNi4uLlVTRC5IAQAAAOlxAgADAAAAAAAk5n7Z/sneCI+x4tv+yd4IOENJUS5OWVNFOkJBSC5JUV9DSEFOR0VfVU5FQVJOX1JFVi45OTAuMTQvMDYvMjAyNi4uLlVTRC5IAQAAAOlxAgADAAAAAAAk5n7Z/sneCARB4Nv+yd4IPENJUS5OWVNFOkJBSC5JUV9DSEFOR0VfVFJBRElOR19BU1NFVFMuOTkyLjE0LzA2LzIwMjYuLi5VU0QuSAEAAADpcQIAAwAAAAAAJOZ+2f7J3ghg2d3b/sneCDhDSVEuTllTRTpCQUguSVFfUFJP</t>
  </si>
  <si>
    <t>Vl9CQURfREVCVFNfQ0YuOTkyLjE0LzA2LzIwMjYuLi5VU0QuSAEAAADpcQIAAwAAAAAAJOZ+2f7J3ghg2d3b/sneCDlDSVEuTllTRTpCQUguSVFfQVNTRVRfV1JJVEVET1dOX0NGLjk5MC4xNC8wNi8yMDI2Li4uVVNELkgBAAAA6XECAAMAAAAAADzkfNn+yd4IYNnd2/7J3gg7Q0lRLk5ZU0U6QkFILklRX01JTk9SSVRZX0lOVEVSRVNUX0NGLjk5MC4xNC8wNi8yMDI2Li4uVVNELkgBAAAA6XECAAMAAAAAADzkfNn+yd4IrHjc2/7J3gg4Q0lRLk5ZU0U6QkFILklRX0dXX0lOVEFOX0FNT1JUX0NGLjk5Mi4xNC8wNi8yMDI2Li4uVVNELkgBAAAA6XECAAIAAAAEMjAuNwEIAAAABQAAAAExAQAAAAoyMDM4MDkxMDc3AwAAAAMxNjACAAAABDIxODIEAAAAATAHAAAACTYvMTQvMjAyNggAAAAJMy8zMS8yMDE4CQAAAAEwPOR82f7J3giseNzb/sneCCpDSVEuTllTRTpCQUguSVFfRlguMjAwMC4xNC8wNi8yMDI2Li4uVVNELkgBAAAA6XECAAMAAAAAAMOcf9n+yd4IBYvn2/7J3gg1Q0lRLk5ZU0U6QkFILklRX1NQRUNJQUxfRElWX0NGLjk5MS4xNC8wNi8yMDI2Li4uVVNELkgBAAAA6XECAAMAAAAAAMOcf9n+yd4I7ffl2/7J3ggyQ0lRLk5ZU0U6QkFILklRX1BSRUZfRElWX0NGLjk5MS4xNC8wNi8yMDI2Li4uVVNELkgBAAAA6XECAAMAAAAAAMOcf9n+yd4I7ffl2/7J3gg2Q0lRLk5ZU0U6QkFILklRX0xUX0RFQlRf</t>
  </si>
  <si>
    <t>UkVQQUlELjIwMDAuMTQvMDYvMjAyNi4uLlVTRC5IAQAAAOlxAgACAAAAAy02OQEIAAAABQAAAAExAQAAAAstMTg4NzcwNDM0MQMAAAADMTYwAgAAAAQyMDM2BAAAAAEwBwAAAAk2LzE0LzIwMjYIAAAACTMvMzEvMjAyNgkAAAABMMOcf9n+yd4IQBnl2/7J3gg2Q0lRLk5ZU0U6QkFILklRX0xUX0RFQlRfSVNTVUVELjIwMDAuMTQvMDYvMjAyNi4uLlVTRC5IAQAAAOlxAgADAAAAAADDnH/Z/sneCI+x4tv+yd4IPUNJUS5OWVNFOkJBSC5JUV9PVEhFUl9JTlZFU1RfQUNUX1NVUFBMLjk5MS4xNC8wNi8yMDI2Li4uVVNELkgBAAAA6XECAAIAAAAEMC42NQEIAAAABQAAAAExAQAAAAoxOTY1NzcyNDIyAwAAAAMxNjACAAAABDIwNTEEAAAAATAHAAAACTYvMTQvMjAyNggAAAAJMy8zMS8yMDE3CQAAAAEwJOZ+2f7J3giPseLb/sneCERDSVEuTllTRTpCQUguSVFfQ0hBTkdFX09USEVSX05FVF9PUEVSX0FTU0VUUy4yMDAwLjE0LzA2LzIwMjYuLi5VU0QuSAEAAADpcQIAAgAAAAQtMjIyAQgAAAAFAAAAATEBAAAACy0xODg3NzA0MzQxAwAAAAMxNjACAAAABDIwNDUEAAAAATAHAAAACTYvMTQvMjAyNggAAAAJMy8zMS8yMDI2CQAAAAEwJOZ+2f7J3ggEQeDb/sneCDhDSVEuTllTRTpCQUguSVFfQ0hBTkdFX1VORUFSTl9SRVYuOTkxLjE0LzA2LzIwMjYuLi5VU0QuSAEAAADpcQIAAwAAAAAAJOZ+2f7J3ggEQeDb/sne</t>
  </si>
  <si>
    <t>CDVDSVEuTllTRTpCQUguSVFfSU5DX0VRVUlUWV9DRi4yMDAwLjE0LzA2LzIwMjYuLi5VU0QuSAEAAADpcQIAAwAAAAAAfB9+2f7J3ghg2d3b/sneCDlDSVEuTllTRTpCQUguSVFfQVNTRVRfV1JJVEVET1dOX0NGLjk5MS4xNC8wNi8yMDI2Li4uVVNELkgBAAAA6XECAAMAAAAAADzkfNn+yd4IYNnd2/7J3gg1Q0lRLk5ZU0U6QkFILklRX01JU0NfQURKVVNUX0NGLjk5MS4xNC8wNi8yMDI2Li4uVVNELkgBAAAA6XECAAMAAAAAAMOcf9n+yd4IBYvn2/7J3ggzQ0lRLk5ZU0U6QkFILklRX1BSRUZfSVNTVUVELjIwMDAuMTQvMDYvMjAyNi4uLlVTRC5IAQAAAOlxAgADAAAAAADDnH/Z/sneCO335dv+yd4IOENJUS5OWVNFOkJBSC5JUV9UT1RBTF9ERUJUX1JFUEFJRC45OTEuMTQvMDYvMjAyNi4uLlVTRC5IAQAAAOlxAgACAAAACC05NjguMzI1AQgAAAAFAAAAATEBAAAACjE5NjU3NzI0MjIDAAAAAzE2MAIAAAAEMjE2NgQAAAABMAcAAAAJNi8xNC8yMDI2CAAAAAkzLzMxLzIwMTcJAAAAATDDnH/Z/sneCEAZ5dv+yd4INUNJUS5OWVNFOkJBSC5JUV9TQUxFX0lOVEFOX0NGLjIwMDAuMTQvMDYvMjAyNi4uLlVTRC5IAQAAAOlxAgADAAAAAAAk5n7Z/sneCI+x4tv+yd4INkNJUS5OWVNFOkJBSC5JUV9DQVNIX0FDUVVJUkVfQ0YuOTkxLjE0LzA2LzIwMjYuLi5VU0QuSAEAAADpcQIAAgAAAAgtMjQ3LjYyNwEIAAAA</t>
  </si>
  <si>
    <t>BQAAAAExAQAAAAoxOTY1NzcyNDIyAwAAAAMxNjACAAAABDIwNTcEAAAAATAHAAAACTYvMTQvMjAyNggAAAAJMy8zMS8yMDE3CQAAAAEwJOZ+2f7J3ggEQeDb/sneCDFDSVEuTllTRTpCQUguSVFfQ0hBTkdFX0FSLjIwMDAuMTQvMDYvMjAyNi4uLlVTRC5IAQAAAOlxAgACAAAAAzIwNwEIAAAABQAAAAExAQAAAAstMTg4NzcwNDM0MQMAAAADMTYwAgAAAAQyMDE4BAAAAAEwBwAAAAk2LzE0LzIwMjYIAAAACTMvMzEvMjAyNgkAAAABMCTmftn+yd4IBEHg2/7J3ggsQ0lRLk5ZU0U6QkFILklRX0RPX0NGLjk5MS4xNC8wNi8yMDI2Li4uVVNELkgBAAAA6XECAAMAAAAAACTmftn+yd4IYNnd2/7J3gg1Q0lRLk5ZU0U6QkFILklRX1NUT0NLX0JBU0VEX0NGLjk5MS4xNC8wNi8yMDI2Li4uVVNELkgBAAAA6XECAAIAAAAGMjEuMjQ5AQgAAAAFAAAAATEBAAAACjE5NjU3NzI0MjIDAAAAAzE2MAIAAAAEMjEyNwQAAAABMAcAAAAJNi8xNC8yMDI2CAAAAAkzLzMxLzIwMTcJAAAAATB8H37Z/sneCGDZ3dv+yd4IPENJUS5OWVNFOkJBSC5JUV9NSU5PUklUWV9JTlRFUkVTVF9DRi4yMDAwLjE0LzA2LzIwMjYuLi5VU0QuSAEAAADpcQIAAwAAAAAAPOR82f7J3giseNzb/sneCDJDSVEuTllTRTpCQUguSVFfT0lMX0lNUEFJUi4yMDAwLjE0LzA2LzIwMjYuLi5VU0QuSAEAAADpcQIAAwAAAAAAPOR82f7J3giseNzb/sneCCxD</t>
  </si>
  <si>
    <t>SVEuTllTRTpCQUguSVFfTklfQ0YuOTkxLjE0LzA2LzIwMjYuLi5VU0QuSAEAAADpcQIAAgAAAAcyNjAuODI1AQgAAAAFAAAAATEBAAAACjE5NjU3NzI0MjIDAAAAAzE2MAIAAAAEMjE1MAQAAAABMAcAAAAJNi8xNC8yMDI2CAAAAAkzLzMxLzIwMTcJAAAAATA85HzZ/sneCN9y29v+yd4INUNJUS5OWVNFOkJBSC5JUV9NSVNDX0FESlVTVF9DRi45OTIuMTQvMDYvMjAyNi4uLlVTRC5IAQAAAOlxAgADAAAAAADDnH/Z/sneCAWL59v+yd4IOUNJUS5OWVNFOkJBSC5JUV9DT01NT05fUFJFRl9ESVZfQ0YuOTkwLjE0LzA2LzIwMjYuLi5VU0QuSAEAAADpcQIAAwAAAAAAw5x/2f7J3gjt9+Xb/sneCC9DSVEuTllTRTpCQUguSVFfUFJFRl9SRVAuOTkwLjE0LzA2LzIwMjYuLi5VU0QuSAEAAADpcQIAAwAAAAAAw5x/2f7J3gjt9+Xb/sneCDhDSVEuTllTRTpCQUguSVFfVE9UQUxfREVCVF9SRVBBSUQuOTkyLjE0LzA2LzIwMjYuLi5VU0QuSAEAAADpcQIAAgAAAAgtMzE3LjE0OQEIAAAABQAAAAExAQAAAAoyMDM4MDkxMDc3AwAAAAMxNjACAAAABDIxNjYEAAAAATAHAAAACTYvMTQvMjAyNggAAAAJMy8zMS8yMDE4CQAAAAEww5x/2f7J3ghAGeXb/sneCDFDSVEuTllTRTpCQUguSVFfQ0FTSF9GSU5BTi45OTAuMTQvMDYvMjAyNi4uLlVTRC5IAQAAAOlxAgACAAAACC0xNTEuMTY5AQgAAAAFAAAAATEBAAAACjE4OTEz</t>
  </si>
  <si>
    <t>NDc4NjkDAAAAAzE2MAIAAAAEMjAwNAQAAAABMAcAAAAJNi8xNC8yMDI2CAAAAAkzLzMxLzIwMTYJAAAAATDDnH/Z/sneCO335dv+yd4IOUNJUS5OWVNFOkJBSC5JUV9DT01NT05fUFJFRl9ESVZfQ0YuOTkyLjE0LzA2LzIwMjYuLi5VU0QuSAEAAADpcQIAAwAAAAAAw5x/2f7J3gjt9+Xb/sneCDVDSVEuTllTRTpCQUguSVFfU1RfREVCVF9SRVBBSUQuOTkwLjE0LzA2LzIwMjYuLi5VU0QuSAEAAADpcQIAAwAAAAAAw5x/2f7J3giPseLb/sneCDJDSVEuTllTRTpCQUguSVFfQ0FTSF9JTlZFU1QuOTkyLjE0LzA2LzIwMjYuLi5VU0QuSAEAAADpcQIAAgAAAActOTYuNDUzAQgAAAAFAAAAATEBAAAACjIwMzgwOTEwNzcDAAAAAzE2MAIAAAAEMjAwNQQAAAABMAcAAAAJNi8xNC8yMDI2CAAAAAkzLzMxLzIwMTgJAAAAATAk5n7Z/sneCI+x4tv+yd4ILENJUS5OWVNFOkJBSC5JUV9DQVBFWC45OTAuMTQvMDYvMjAyNi4uLlVTRC5IAQAAAOlxAgACAAAABy02Ni42MzUBCAAAAAUAAAABMQEAAAAKMTg5MTM0Nzg2OQMAAAADMTYwAgAAAAQyMDIxBAAAAAEwBwAAAAk2LzE0LzIwMjYIAAAACTMvMzEvMjAxNgkAAAABMCTmftn+yd4IBEHg2/7J3gg1Q0lRLk5ZU0U6QkFILklRX0NIQU5HRV9JTkNfVEFYLjk5Mi4xNC8wNi8yMDI2Li4uVVNELkgBAAAA6XECAAIAAAAGLTQuNjgxAQgAAAAFAAAAATEBAAAACjIwMzgwOTEw</t>
  </si>
  <si>
    <t>NzcDAAAAAzE2MAIAAAAEMjEwMQQAAAABMAcAAAAJNi8xNC8yMDI2CAAAAAkzLzMxLzIwMTgJAAAAATAk5n7Z/sneCARB4Nv+yd4IN0NJUS5OWVNFOkJBSC5JUV9DSEFOR0VfSU5WRU5UT1JZLjk5Mi4xNC8wNi8yMDI2Li4uVVNELkgBAAAA6XECAAMAAAAAACTmftn+yd4IBEHg2/7J3gg6Q0lRLk5ZU0U6QkFILklRX1RBWF9CRU5FRklUX09QVElPTlMuOTkwLjE0LzA2LzIwMjYuLi5VU0QuSAEAAADpcQIAAgAAAActMzEuOTI0AQgAAAAFAAAAATEBAAAACjE4OTEzNDc4NjkDAAAAAzE2MAIAAAAEMjEzNQQAAAABMAcAAAAJNi8xNC8yMDI2CAAAAAkzLzMxLzIwMTYJAAAAATB8H37Z/sneCGDZ3dv+yd4INUNJUS5OWVNFOkJBSC5JUV9DUkVESVRfTE9TU19DRi45OTAuMTQvMDYvMjAyNi4uLlVTRC5IAQAAAOlxAgADAAAAAAB8H37Z/sneCGDZ3dv+yd4INUNJUS5OWVNFOkJBSC5JUV9HQUlOX0FTU0VUU19DRi45OTIuMTQvMDYvMjAyNi4uLlVTRC5IAQAAAOlxAgACAAAABi0wLjI0NgEIAAAABQAAAAExAQAAAAoyMDM4MDkxMDc3AwAAAAMxNjACAAAABDIwMjYEAAAAATAHAAAACTYvMTQvMjAyNggAAAAJMy8zMS8yMDE4CQAAAAEwPOR82f7J3giseNzb/sneCDtDSVEuTllTRTpCQUguSVFfU1RPQ0tfQkFTRURfQ09NUF9UQVguOTkwLjE0LzA2LzIwMjYuLi5VU0QuSAEAAADpcQIAAwAAAAAAPOR82f7J3gjfctvb</t>
  </si>
  <si>
    <t>/sneCEBDSVEuTllTRTpCQUguSVFfU1RPQ0tfT1BUSU9OU19DT01QX1BSRVRBWC45OTIuMTQvMDYvMjAyNi4uLlVTRC5IAQAAAOlxAgACAAAABTIuMDM2ADzkfNn+yd4IdPzY2/7J3gg1Q0lRLk5ZU0U6QkFILklRX1NUT0NLX0JBU0VEX0dBLjk5MC4xNC8wNi8yMDI2Li4uVVNELkgBAAAA6XECAAIAAAAGMTcuOTkxAQgAAAAFAAAAATEBAAAACjE4OTEzNDc4NjkDAAAAAzE2MAIAAAAFMjI2NzUEAAAAATAHAAAACTYvMTQvMjAyNggAAAAJMy8zMS8yMDE2CQAAAAEw0qO22f7J3ggTYNjb/sneCDtDSVEuTllTRTpCQUguSVFfTkVHQVRJVkVfR1dfQU1PUlRfQVQuOTkyLjE0LzA2LzIwMjYuLi5VU0QuSAEAAADpcQIAAwAAAAAA0qO22f7J3gjPnNfb/sneCD1DSVEuTllTRTpCQUguSVFfQVNTRVRfV1JJVEVET1dOX1NVUFBMRS45OTAuMTQvMDYvMjAyNi4uLlVTRC5IAQAAAOlxAgADAAAAAADSo7bZ/sneCHhX1dv+yd4IPkNJUS5OWVNFOkJBSC5JUV9TQUxBUklFU19PVEhFUl9CRU5FRklUUy45OTIuMTQvMDYvMjAyNi4uLlVTRC5IAQAAAOlxAgADAAAAAADSo7bZ/sneCIjr0tv+yd4IM0NJUS5OWVNFOkJBSC5JUV9NQUlOVF9SRVBBSVIuOTkyLjE0LzA2LzIwMjYuLi5VU0QuSAEAAADpcQIAAwAAAAAA0qO22f7J3giI69Lb/sneCDhDSVEuTllTRTpCQUguSVFfQ09OVElOR0VOVF9SRU5UQUwuOTkwLjE0LzA2LzIw</t>
  </si>
  <si>
    <t>MjYuLi5VU0QuSAEAAADpcQIAAwAAAAAA0qO22f7J3gjISdDb/sneCDFDSVEuTllTRTpCQUguSVFfTkVUX0NIQU5HRS45OTEuMTQvMDYvMjAyNi4uLlVTRC5IAQAAAOlxAgACAAAABjI5Ljg4OAEIAAAABQAAAAExAQAAAAoxOTY1NzcyNDIyAwAAAAMxNjACAAAABDIwOTMEAAAAATAHAAAACTYvMTQvMjAyNggAAAAJMy8zMS8yMDE3CQAAAAEww5x/2f7J3ggFi+fb/sneCDFDSVEuTllTRTpCQUguSVFfQ0FTSF9GSU5BTi45OTEuMTQvMDYvMjAyNi4uLlVTRC5IAQAAAOlxAgACAAAABy01MS40OTMBCAAAAAUAAAABMQEAAAAKMTk2NTc3MjQyMgMAAAADMTYwAgAAAAQyMDA0BAAAAAEwBwAAAAk2LzE0LzIwMjYIAAAACTMvMzEvMjAxNwkAAAABMMOcf9n+yd4I7ffl2/7J3ggwQ0lRLk5ZU0U6QkFILklRX1BSRUZfUkVQLjIwMDAuMTQvMDYvMjAyNi4uLlVTRC5IAQAAAOlxAgADAAAAAADDnH/Z/sneCO335dv+yd4INUNJUS5OWVNFOkJBSC5JUV9DT01NT05fSVNTVUVELjIwMDAuMTQvMDYvMjAyNi4uLlVTRC5IAQAAAOlxAgACAAAAAjQ1AQgAAAAFAAAAATEBAAAACy0xODg3NzA0MzQxAwAAAAMxNjACAAAABDIxNjkEAAAAATAHAAAACTYvMTQvMjAyNggAAAAJMy8zMS8yMDI2CQAAAAEww5x/2f7J3ghAGeXb/sneCDVDSVEuTllTRTpCQUguSVFfU1RfREVCVF9SRVBBSUQuOTkxLjE0LzA2LzIwMjYuLi5VU0QuSAEA</t>
  </si>
  <si>
    <t>AADpcQIAAwAAAAAAw5x/2f7J3giPseLb/sneCDFDSVEuTllTRTpCQUguSVFfRElWRVNUX0NGLjIwMDAuMTQvMDYvMjAyNi4uLlVTRC5IAQAAAOlxAgACAAAAAjIyAQgAAAAFAAAAATEBAAAACy0xODg3NzA0MzQxAwAAAAMxNjACAAAABDIwNzcEAAAAATAHAAAACTYvMTQvMjAyNggAAAAJMy8zMS8yMDI2CQAAAAEwJOZ+2f7J3giPseLb/sneCCxDSVEuTllTRTpCQUguSVFfQ0FQRVguOTkxLjE0LzA2LzIwMjYuLi5VU0QuSAEAAADpcQIAAgAAAActNTMuOTE5AQgAAAAFAAAAATEBAAAACjE5NjU3NzI0MjIDAAAAAzE2MAIAAAAEMjAyMQQAAAABMAcAAAAJNi8xNC8yMDI2CAAAAAkzLzMxLzIwMTcJAAAAATAk5n7Z/sneCARB4Nv+yd4IMUNJUS5OWVNFOkJBSC5JUV9ORVRfQ0hBTkdFLjk5Mi4xNC8wNi8yMDI2Li4uVVNELkgBAAAA6XECAAIAAAAGNjkuNTQxAQgAAAAFAAAAATEBAAAACjIwMzgwOTEwNzcDAAAAAzE2MAIAAAAEMjA5MwQAAAABMAcAAAAJNi8xNC8yMDI2CAAAAAkzLzMxLzIwMTgJAAAAATDDnH/Z/sneCAWL59v+yd4INENJUS5OWVNFOkJBSC5JUV9DT01NT05fRElWX0NGLjk5MC4xNC8wNi8yMDI2Li4uVVNELkgBAAAA6XECAAIAAAAHLTgwLjAxNQEIAAAABQAAAAExAQAAAAoxODkxMzQ3ODY5AwAAAAMxNjACAAAABDIwNzQEAAAAATAHAAAACTYvMTQvMjAyNggAAAAJMy8zMS8yMDE2CQAAAAEw</t>
  </si>
  <si>
    <t>w5x/2f7J3gjt9+Xb/sneCDRDSVEuTllTRTpCQUguSVFfQ09NTU9OX0lTU1VFRC45OTIuMTQvMDYvMjAyNi4uLlVTRC5IAQAAAOlxAgACAAAABjIxLjAwMgEIAAAABQAAAAExAQAAAAoyMDM4MDkxMDc3AwAAAAMxNjACAAAABDIxNjkEAAAAATAHAAAACTYvMTQvMjAyNggAAAAJMy8zMS8yMDE4CQAAAAEww5x/2f7J3ghAGeXb/sneCDVDSVEuTllTRTpCQUguSVFfU1RfREVCVF9SRVBBSUQuOTkyLjE0LzA2LzIwMjYuLi5VU0QuSAEAAADpcQIAAwAAAAAAw5x/2f7J3giPseLb/sneCDZDSVEuTllTRTpCQUguSVFfSU5WRVNUX0xPQU5TX0NGLjk5MC4xNC8wNi8yMDI2Li4uVVNELkgBAAAA6XECAAMAAAAAACTmftn+yd4Ij7Hi2/7J3gg6Q0lRLk5ZU0U6QkFILklRX1NBTEVfUkVBTF9FU1RBVEVfQ0YuOTkwLjE0LzA2LzIwMjYuLi5VU0QuSAEAAADpcQIAAwAAAAAAJOZ+2f7J3ggEQeDb/sneCCxDSVEuTllTRTpCQUguSVFfQ0FQRVguOTkyLjE0LzA2LzIwMjYuLi5VU0QuSAEAAADpcQIAAgAAAActNzguNDM3AQgAAAAFAAAAATEBAAAACjIwMzgwOTEwNzcDAAAAAzE2MAIAAAAEMjAyMQQAAAABMAcAAAAJNi8xNC8yMDI2CAAAAAkzLzMxLzIwMTgJAAAAATAk5n7Z/sneCARB4Nv+yd4IPENJUS5OWVNFOkJBSC5JUV9DSEFOR0VfVFJBRElOR19BU1NFVFMuOTkwLjE0LzA2LzIwMjYuLi5VU0QuSAEAAADpcQIAAwAA</t>
  </si>
  <si>
    <t>AAAAJOZ+2f7J3ghg2d3b/sneCDlDSVEuTllTRTpCQUguSVFfVE9UQUxfRElWX1BBSURfQ0YuMjAwMC4xNC8wNi8yMDI2Li4uVVNELkgBAAAA6XECAAIAAAAELTI3NgEIAAAABQAAAAExAQAAAAstMTg4NzcwNDM0MQMAAAADMTYwAgAAAAQyMDIyBAAAAAEwBwAAAAk2LzE0LzIwMjYIAAAACTMvMzEvMjAyNgkAAAABMMOcf9n+yd4I7ffl2/7J3gg0Q0lRLk5ZU0U6QkFILklRX0NPTU1PTl9ESVZfQ0YuOTkxLjE0LzA2LzIwMjYuLi5VU0QuSAEAAADpcQIAAgAAAActOTIuOTI1AQgAAAAFAAAAATEBAAAACjE5NjU3NzI0MjIDAAAAAzE2MAIAAAAEMjA3NAQAAAABMAcAAAAJNi8xNC8yMDI2CAAAAAkzLzMxLzIwMTcJAAAAATDDnH/Z/sneCO335dv+yd4INkNJUS5OWVNFOkJBSC5JUV9TVF9ERUJUX0lTU1VFRC4yMDAwLjE0LzA2LzIwMjYuLi5VU0QuSAEAAADpcQIAAwAAAAAAw5x/2f7J3giPseLb/sneCDZDSVEuTllTRTpCQUguSVFfSU5WRVNUX0xPQU5TX0NGLjk5MS4xNC8wNi8yMDI2Li4uVVNELkgBAAAA6XECAAMAAAAAACTmftn+yd4Ij7Hi2/7J3ggpQ0lRLk5ZU0U6QkFILklRX0ZYLjk5MC4xNC8wNi8yMDI2Li4uVVNELkgBAAAA6XECAAMAAAAAAMOcf9n+yd4IBYvn2/7J3gg1Q0lRLk5ZU0U6QkFILklRX1NQRUNJQUxfRElWX0NGLjk5MC4xNC8wNi8yMDI2Li4uVVNELkgBAAAA6XECAAMAAAAAAMOcf9n+</t>
  </si>
  <si>
    <t>yd4I7ffl2/7J3gg0Q0lRLk5ZU0U6QkFILklRX0NPTU1PTl9ESVZfQ0YuOTkyLjE0LzA2LzIwMjYuLi5VU0QuSAEAAADpcQIAAgAAAAgtMTAzLjQxMQEIAAAABQAAAAExAQAAAAoyMDM4MDkxMDc3AwAAAAMxNjACAAAABDIwNzQEAAAAATAHAAAACTYvMTQvMjAyNggAAAAJMy8zMS8yMDE4CQAAAAEww5x/2f7J3gjt9+Xb/sneCDZDSVEuTllTRTpCQUguSVFfU1RfREVCVF9SRVBBSUQuMjAwMC4xNC8wNi8yMDI2Li4uVVNELkgBAAAA6XECAAMAAAAAAMOcf9n+yd4Ij7Hi2/7J3gg1Q0lRLk5ZU0U6QkFILklRX1NUX0RFQlRfSVNTVUVELjk5MC4xNC8wNi8yMDI2Li4uVVNELkgBAAAA6XECAAMAAAAAACTmftn+yd4Ij7Hi2/7J3ghDQ0lRLk5ZU0U6QkFILklRX0NIQU5HRV9PVEhFUl9ORVRfT1BFUl9BU1NFVFMuOTkwLjE0LzA2LzIwMjYuLi5VU0QuSAEAAADpcQIAAgAAAActMjQuNTA0AQgAAAAFAAAAATEBAAAACjE4OTEzNDc4NjkDAAAAAzE2MAIAAAAEMjA0NQQAAAABMAcAAAAJNi8xNC8yMDI2CAAAAAkzLzMxLzIwMTYJAAAAATAk5n7Z/sneCARB4Nv+yd4IN0NJUS5OWVNFOkJBSC5JUV9DSEFOR0VfSU5WRU5UT1JZLjk5MC4xNC8wNi8yMDI2Li4uVVNELkgBAAAA6XECAAMAAAAAACTmftn+yd4IBEHg2/7J3gg7Q0lRLk5ZU0U6QkFILklRX1RBWF9CRU5FRklUX09QVElPTlMuMjAwMC4xNC8wNi8yMDI2Li4u</t>
  </si>
  <si>
    <t>VVNELkgBAAAA6XECAAMAAAAAACTmftn+yd4IYNnd2/7J3gg2Q0lRLk5ZU0U6QkFILklRX0dBSU5fQVNTRVRTX0NGLjIwMDAuMTQvMDYvMjAyNi4uLlVTRC5IAQAAAOlxAgADAAAAAAA85HzZ/sneCKx43Nv+yd4IM0NJUS5OWVNFOkJBSC5JUV9PVEhFUl9BTU9SVC4yMDAwLjE0LzA2LzIwMjYuLi5VU0QuSAEAAADpcQIAAwAAAAAAPOR82f7J3giseNzb/sneCD1DSVEuTllTRTpCQUguSVFfU1RPQ0tfT1BUSU9OU19DT01QX1RBWC45OTIuMTQvMDYvMjAyNi4uLlVTRC5IAQAAAOlxAgADAAAAAAA85HzZ/sneCHT82Nv+yd4IN0NJUS5OWVNFOkJBSC5JUV9SRVNUUl9TVE9DS19DT01QLjk5MC4xNC8wNi8yMDI2Li4uVVNELkgBAAAA6XECAAMAAAAAADzkfNn+yd4IdPzY2/7J3gg1Q0lRLk5ZU0U6QkFILklRX1NUT0NLX0JBU0VEX0dBLjk5Mi4xNC8wNi8yMDI2Li4uVVNELkgBAAAA6XECAAIAAAAGMTUuNTQ3AQgAAAAFAAAAATEBAAAACjIwMzgwOTEwNzcDAAAAAzE2MAIAAAAFMjI2NzUEAAAAATAHAAAACTYvMTQvMjAyNggAAAAJMy8zMS8yMDE4CQAAAAEw0qO22f7J3ggTYNjb/sneCDhDSVEuTllTRTpCQUguSVFfU1RPQ0tfQkFTRURfQ09HUy4yMDAwLjE0LzA2LzIwMjYuLi5VU0QuSAEAAADpcQIAAgAAAAIyNwEIAAAABQAAAAExAQAAAAstMTg4NzcwNDM0MQMAAAADMTYwAgAAAAUyMjY3NAQAAAABMAcAAAAJ</t>
  </si>
  <si>
    <t>Ni8xNC8yMDI2CAAAAAkzLzMxLzIwMjYJAAAAATDSo7bZ/sneCM7q19v+yd4IOkNJUS5OWVNFOkJBSC5JUV9MRUdBTF9TRVRUTEVfU1VQUExFLjk5MC4xNC8wNi8yMDI2Li4uVVNELkgBAAAA6XECAAMAAAAAANKjttn+yd4IwOzV2/7J3gg7Q0lRLk5ZU0U6QkFILklRX0lNUEFJUk1FTlRfR1dfU1VQUExFLjk5MS4xNC8wNi8yMDI2Li4uVVNELkgBAAAA6XECAAMAAAAAANKjttn+yd4IiOvS2/7J3gg/Q0lRLk5ZU0U6QkFILklRX0lNUFVUX09QRVJfTEVBU0VfSU5UX0VYUC45OTAuMTQvMDYvMjAyNi4uLlVTRC5IAQAAAOlxAgACAAAACTI5LjkzNjM2NAEIAAAABQAAAAExAQAAAAoxODkxMzQ3ODY5AwAAAAMxNjACAAAABTIxNjcyBAAAAAEwBwAAAAk2LzE0LzIwMjYIAAAACTMvMzEvMjAxNgkAAAABMNKjttn+yd4IiOvS2/7J3gg1Q0lRLk5ZU0U6QkFILklRX01JTklNVU1fUkVOVEFMLjk5MS4xNC8wNi8yMDI2Li4uVVNELkgBAAAA6XECAAMAAAAAANKjttn+yd4IyEnQ2/7J3ggtQ0lRLk5ZU0U6QkFILklRX0dBX0VYUC45OTEuMTQvMDYvMjAyNi4uLlVTRC5IAQAAAOlxAgACAAAABzcyOC43NDEBCAAAAAUAAAABMQEAAAAKMTk2NTc3MjQyMgMAAAADMTYwAgAAAAUyMTU2MgQAAAABMAcAAAAJNi8xNC8yMDI2CAAAAAkzLzMxLzIwMTcJAAAAATDSo7bZ/sneCMhJ0Nv+yd4IPUNJUS5OWVNFOkJBSC5JUV9BTk5V</t>
  </si>
  <si>
    <t>X0RJU1RSSUJVVElPTl9VTklULjk5MS4xNC8wNi8yMDI2Li4uVVNELkgBAAAA6XECAAMAAAAAANKjttn+yd4IRdTN2/7J3ghGQ0lRLk5ZU0U6QkFILklRX0RJU1RSSUJVVEFCTEVfQ0FTSF9TVEFOREFSRElaRUQuOTkxLjE0LzA2LzIwMjYuLi5VU0QuSAEAAADpcQIAAwAAAAAA0qO22f7J3ghF1M3b/sneCDxDSVEuTllTRTpCQUguSVFfQ0FQSVRBTElaRURfSU5URVJFU1QuMjAwMC4xNC8wNi8yMDI2Li4uVVNELkgBAAAA6XECAAMAAAAAANKjttn+yd4IRdTN2/7J3ghBQ0lRLk5ZU0U6QkFILklRX05PTlJFQ1VSUklOR19JTkNPTUVfVEFYRVMuMjAwMC4xNC8wNi8yMDI2Li4uVVNELkgBAAAA6XECAAMAAAAAANKjttn+yd4IlDbN2/7J3gg+Q0lRLk5ZU0U6QkFILklRX0RFRkVSUkVEX0RPTUVTVElDX1RBWEVTLjk5MS4xNC8wNi8yMDI2Li4uVVNELkgBAAAA6XECAAIAAAAGMjAuOTU4AQgAAAAFAAAAATEBAAAACjE5NjU3NzI0MjIDAAAAAzE2MAIAAAAEMzA1NAQAAAABMAcAAAAJNi8xNC8yMDI2CAAAAAkzLzMxLzIwMTcJAAAAATDSo7bZ/sneCD9qy9v+yd4ISkNJUS5OWVNFOkJBSC5JUV9QUk9WX0JBRF9ERUJUU19QQVRJRU5UX1NFUlZJQ0VfUkVWLjIwMDAuMTQvMDYvMjAyNi4uLlVTRC5IAQAAAOlxAgADAAAAAADSo7bZ/sneCJf7yNv+yd4ILUNJUS5OWVNFOkJBSC5JUV9FQklUQS4yMDAwLjE0LzA2LzIw</t>
  </si>
  <si>
    <t>MjYuLi5VU0QuSAEAAADpcQIAAgAAAAQxMTkwAQgAAAAFAAAAATEBAAAACy0xODg3NzA0MzQxAwAAAAMxNjACAAAABjEwMDY4OQQAAAABMAcAAAAJNi8xNC8yMDI2CAAAAAkzLzMxLzIwMjYJAAAAATDSo7bZ/sneCLmIxtv+yd4IMkNJUS5OWVNFOkJBSC5JUV9FQklUX0VRX0lOQy45OTEuMTQvMDYvMjAyNi4uLlVTRC5IAQAAAOlxAgACAAAABjUwMS45OAEIAAAABQAAAAExAQAAAAoxOTY1NzcyNDIyAwAAAAMxNjACAAAABTIxNjc1BAAAAAEwBwAAAAk2LzE0LzIwMjYIAAAACTMvMzEvMjAxNwkAAAABMLENBdr+yd4IDy/E2/7J3gg2Q0lRLk5ZU0U6QkFILklRX1RPVEFMX1JFVl9TSEFSRS45OTEuMTQvMDYvMjAyNi4uLlVTRC5IAQAAAOlxAgACAAAACTM5LjE5NTMyNwEIAAAABQAAAAExAQAAAAoxOTY1NzcyNDIyAwAAAAMxNjACAAAABDQzODIEAAAAATAHAAAACTYvMTQvMjAyNggAAAAJMy8zMS8yMDE3CQAAAAEwTIME2v7J3gjYqcHb/sneCDZDSVEuTllTRTpCQUguSVFfRElMVVRfRVBTX0lOQ0wuMjAwMC4xNC8wNi8yMDI2Li4uVVNELkgBAAAA6XECAAIAAAADNi45AQgAAAAFAAAAATEBAAAACy0xODg3NzA0MzQxAwAAAAMxNjACAAAAATgEAAAAATAHAAAACTYvMTQvMjAyNggAAAAJMy8zMS8yMDI2CQAAAAEwTIME2v7J3gjYqcHb/sneCDZDSVEuTllTRTpCQUguSVFfQkFTSUNfRVBTX0lOQ0wuMjAwMC4x</t>
  </si>
  <si>
    <t>NC8wNi8yMDI2Li4uVVNELkgBAAAA6XECAAIAAAAINi45MjIxNjMBCAAAAAUAAAABMQEAAAALLTE4ODc3MDQzNDEDAAAAAzE2MAIAAAABOQQAAAABMAcAAAAJNi8xNC8yMDI2CAAAAAkzLzMxLzIwMjYJAAAAATBMgwTa/sneCNipwdv+yd4INUNJUS5OWVNFOkJBSC5JUV9QUkVGX0RJVl9PVEhFUi45OTEuMTQvMDYvMjAyNi4uLlVTRC5IAQAAAOlxAgACAAAABDIuMzMBCAAAAAUAAAABMQEAAAAKMTk2NTc3MjQyMgMAAAADMTYwAgAAAAI5NwQAAAABMAcAAAAJNi8xNC8yMDI2CAAAAAkzLzMxLzIwMTcJAAAAATBMgwTa/sneCCfyvdv+yd4IPkNJUS5OWVNFOkJBSC5JUV9PVEhFUl9GSU5BTkNFX0FDVF9TVVBQTC45OTIuMTQvMDYvMjAyNi4uLlVTRC5IAQAAAOlxAgACAAAABi0wLjk1MQEIAAAABQAAAAExAQAAAAoyMDM4MDkxMDc3AwAAAAMxNjACAAAABDIwNTAEAAAAATAHAAAACTYvMTQvMjAyNggAAAAJMy8zMS8yMDE4CQAAAAEww5x/2f7J3gjt9+Xb/sneCDFDSVEuTllTRTpCQUguSVFfQ09NTU9OX1JFUC45OTAuMTQvMDYvMjAyNi4uLlVTRC5IAQAAAOlxAgACAAAABy02My4xNTIBCAAAAAUAAAABMQEAAAAKMTg5MTM0Nzg2OQMAAAADMTYwAgAAAAQyMTY0BAAAAAEwBwAAAAk2LzE0LzIwMjYIAAAACTMvMzEvMjAxNgkAAAABMMOcf9n+yd4IQBnl2/7J3gg1Q0lRLk5ZU0U6QkFILklRX0xUX0RFQlRfUkVQ</t>
  </si>
  <si>
    <t>QUlELjk5MC4xNC8wNi8yMDI2Li4uVVNELkgBAAAA6XECAAIAAAAILTI5NS4wNjMBCAAAAAUAAAABMQEAAAAKMTg5MTM0Nzg2OQMAAAADMTYwAgAAAAQyMDM2BAAAAAEwBwAAAAk2LzE0LzIwMjYIAAAACTMvMzEvMjAxNgkAAAABMMOcf9n+yd4Ij7Hi2/7J3gg1Q0lRLk5ZU0U6QkFILklRX1NUX0RFQlRfSVNTVUVELjk5MS4xNC8wNi8yMDI2Li4uVVNELkgBAAAA6XECAAMAAAAAACTmftn+yd4Ij7Hi2/7J3ggtQ0lRLk5ZU0U6QkFILklRX0NBUEVYLjIwMDAuMTQvMDYvMjAyNi4uLlVTRC5IAQAAAOlxAgACAAAAAy05MAEIAAAABQAAAAExAQAAAAstMTg4NzcwNDM0MQMAAAADMTYwAgAAAAQyMDIxBAAAAAEwBwAAAAk2LzE0LzIwMjYIAAAACTMvMzEvMjAyNgkAAAABMCTmftn+yd4IBEHg2/7J3ghDQ0lRLk5ZU0U6QkFILklRX0NIQU5HRV9PVEhFUl9ORVRfT1BFUl9BU1NFVFMuOTkxLjE0LzA2LzIwMjYuLi5VU0QuSAEAAADpcQIAAgAAAAY0My41MzUBCAAAAAUAAAABMQEAAAAKMTk2NTc3MjQyMgMAAAADMTYwAgAAAAQyMDQ1BAAAAAEwBwAAAAk2LzE0LzIwMjYIAAAACTMvMzEvMjAxNwkAAAABMCTmftn+yd4IBEHg2/7J3gg3Q0lRLk5ZU0U6QkFILklRX0NIQU5HRV9JTlZFTlRPUlkuOTkxLjE0LzA2LzIwMjYuLi5VU0QuSAEAAADpcQIAAwAAAAAAJOZ+2f7J3ggEQeDb/sneCDhDSVEuTllTRTpCQUguSVFf</t>
  </si>
  <si>
    <t>UFJPVl9CQURfREVCVFNfQ0YuOTkwLjE0LzA2LzIwMjYuLi5VU0QuSAEAAADpcQIAAwAAAAAAJOZ+2f7J3ghg2d3b/sneCDVDSVEuTllTRTpCQUguSVFfR0FJTl9JTlZFU1RfQ0YuOTkwLjE0LzA2LzIwMjYuLi5VU0QuSAEAAADpcQIAAwAAAAAAPOR82f7J3giseNzb/sneCDdDSVEuTllTRTpCQUguSVFfUkVTVFJfU1RPQ0tfQ09NUC45OTEuMTQvMDYvMjAyNi4uLlVTRC5IAQAAAOlxAgADAAAAAAA85HzZ/sneCHT82Nv+yd4IOUNJUS5OWVNFOkJBSC5JUV9TVE9DS19CQVNFRF9UT1RBTC4yMDAwLjE0LzA2LzIwMjYuLi5VU0QuSAEAAADpcQIAAgAAAAI2OQEIAAAABQAAAAExAQAAAAstMTg4NzcwNDM0MQMAAAADMTYwAgAAAAUyNDAzNAQAAAABMAcAAAAJNi8xNC8yMDI2CAAAAAkzLzMxLzIwMjYJAAAAATA85HzZ/sneCHT82Nv+yd4INUNJUS5OWVNFOkJBSC5JUV9TVE9DS19CQVNFRF9SRC45OTAuMTQvMDYvMjAyNi4uLlVTRC5IAQAAAOlxAgADAAAAAADSo7bZ/sneCM7q19v+yd4IOkNJUS5OWVNFOkJBSC5JUV9MRUdBTF9TRVRUTEVfU1VQUExFLjk5MS4xNC8wNi8yMDI2Li4uVVNELkgBAAAA6XECAAMAAAAAANKjttn+yd4IwOzV2/7J3gg7Q0lRLk5ZU0U6QkFILklRX0lNUEFJUk1FTlRfR1dfU1VQUExFLjk5Mi4xNC8wNi8yMDI2Li4uVVNELkgBAAAA6XECAAMAAAAAANKjttn+yd4IiOvS2/7J3gg1Q0lR</t>
  </si>
  <si>
    <t>Lk5ZU0U6QkFILklRX01JTklNVU1fUkVOVEFMLjk5Mi4xNC8wNi8yMDI2Li4uVVNELkgBAAAA6XECAAMAAAAAANKjttn+yd4IyEnQ2/7J3gg2Q0lRLk5ZU0U6QkFILklRX05FVF9SRU5UQUxfRVhQLjIwMDAuMTQvMDYvMjAyNi4uLlVTRC5IAQAAAOlxAgACAAAAAjc1AQgAAAAFAAAAATEBAAAACy0xODg3NzA0MzQxAwAAAAMxNjACAAAABTI0MjYxBAAAAAEwBwAAAAk2LzE0LzIwMjYIAAAACTMvMzEvMjAyNgkAAAABMNKjttn+yd4IyEnQ2/7J3ggtQ0lRLk5ZU0U6QkFILklRX0dBX0VYUC45OTIuMTQvMDYvMjAyNi4uLlVTRC5IAQAAAOlxAgACAAAABzg1NS41NDEBCAAAAAUAAAABMQEAAAAKMjAzODA5MTA3NwMAAAADMTYwAgAAAAUyMTU2MgQAAAABMAcAAAAJNi8xNC8yMDI2CAAAAAkzLzMxLzIwMTgJAAAAATDSo7bZ/sneCMhJ0Nv+yd4IPUNJUS5OWVNFOkJBSC5JUV9BTk5VX0RJU1RSSUJVVElPTl9VTklULjk5Mi4xNC8wNi8yMDI2Li4uVVNELkgBAAAA6XECAAMAAAAAANKjttn+yd4IRdTN2/7J3ggyQ0lRLk5ZU0U6QkFILklRX0lOVF9FWFBfTFRELjk5MC4xNC8wNi8yMDI2Li4uVVNELkgBAAAA6XECAAIAAAAENjIuOAEIAAAABQAAAAExAQAAAAoxODkxMzQ3ODY5AwAAAAMxNjACAAAABDMxMDEEAAAAATAHAAAACTYvMTQvMjAyNggAAAAJMy8zMS8yMDE2CQAAAAEw0qO22f7J3ghF1M3b/sneCEBDSVEu</t>
  </si>
  <si>
    <t>TllTRTpCQUguSVFfTk9OUkVDVVJSSU5HX0lOQ09NRV9UQVhFUy45OTIuMTQvMDYvMjAyNi4uLlVTRC5IAQAAAOlxAgACAAAABi05LjEwNwEIAAAABQAAAAExAQAAAAoyMDM4MDkxMDc3AwAAAAMxNjACAAAABTQ4ODM5BAAAAAEwBwAAAAk2LzE0LzIwMjYIAAAACTMvMzEvMjAxOAkAAAABMNKjttn+yd4IlDbN2/7J3gg+Q0lRLk5ZU0U6QkFILklRX0RFRkVSUkVEX0RPTUVTVElDX1RBWEVTLjk5Mi4xNC8wNi8yMDI2Li4uVVNELkgBAAAA6XECAAIAAAAFOC45NTYBCAAAAAUAAAABMQEAAAAKMjAzODA5MTA3NwMAAAADMTYwAgAAAAQzMDU0BAAAAAEwBwAAAAk2LzE0LzIwMjYIAAAACTMvMzEvMjAxOAkAAAABMNKjttn+yd4IP2rL2/7J3gg4Q0lRLk5ZU0U6QkFILklRX0lOVkVTVE1FTlRfSU5DT01FLjk5MC4xNC8wNi8yMDI2Li4uVVNELkgBAAAA6XECAAMAAAAAANKjttn+yd4Il/vI2/7J3ghAQ0lRLk5ZU0U6QkFILklRX0VBUk5JTkdfUEFSRU5UX0VYQ0xfRVhUUkEuOTkwLjE0LzA2LzIwMjYuLi5VU0QuSAEAAADpcQIAAgAAAAcyOTQuMDk0AQgAAAAFAAAAATEBAAAACjE4OTEzNDc4NjkDAAAAAzE2MAIAAAAFNDE1OTYEAAAAATAHAAAACTYvMTQvMjAyNggAAAAJMy8zMS8yMDE2CQAAAAEw0qO22f7J3giX+8jb/sneCDVDSVEuTllTRTpCQUguSVFfU1RfREVCVF9JU1NVRUQuOTkyLjE0LzA2LzIwMjYuLi5V</t>
  </si>
  <si>
    <t>U0QuSAEAAADpcQIAAwAAAAAAJOZ+2f7J3giPseLb/sneCDpDSVEuTllTRTpCQUguSVFfSU5WRVNUX1NFQ1VSSVRZX0NGLjIwMDAuMTQvMDYvMjAyNi4uLlVTRC5IAQAAAOlxAgACAAAABC0yMzIBCAAAAAUAAAABMQEAAAALLTE4ODc3MDQzNDEDAAAAAzE2MAIAAAAEMjAyNwQAAAABMAcAAAAJNi8xNC8yMDI2CAAAAAkzLzMxLzIwMjYJAAAAATAk5n7Z/sneCI+x4tv+yd4IMkNJUS5OWVNFOkJBSC5JUV9TQUxFX1BQRV9DRi45OTAuMTQvMDYvMjAyNi4uLlVTRC5IAQAAAOlxAgADAAAAAAAk5n7Z/sneCARB4Nv+yd4IQ0NJUS5OWVNFOkJBSC5JUV9DSEFOR0VfT1RIRVJfTkVUX09QRVJfQVNTRVRTLjk5Mi4xNC8wNi8yMDI2Li4uVVNELkgBAAAA6XECAAIAAAAGNDIuMDQzAQgAAAAFAAAAATEBAAAACjIwMzgwOTEwNzcDAAAAAzE2MAIAAAAEMjA0NQQAAAABMAcAAAAJNi8xNC8yMDI2CAAAAAkzLzMxLzIwMTgJAAAAATAk5n7Z/sneCARB4Nv+yd4ILUNJUS5OWVNFOkJBSC5JUV9ET19DRi4yMDAwLjE0LzA2LzIwMjYuLi5VU0QuSAEAAADpcQIAAwAAAAAAJOZ+2f7J3ghg2d3b/sneCDhDSVEuTllTRTpCQUguSVFfUFJPVl9CQURfREVCVFNfQ0YuOTkxLjE0LzA2LzIwMjYuLi5VU0QuSAEAAADpcQIAAwAAAAAAJOZ+2f7J3ghg2d3b/sneCC9DSVEuTllTRTpCQUguSVFfTE9BTlNfQ0YuOTkwLjE0LzA2LzIwMjYu</t>
  </si>
  <si>
    <t>Li5VU0QuSAEAAADpcQIAAwAAAAAAPOR82f7J3ghg2d3b/sneCDVDSVEuTllTRTpCQUguSVFfR0FJTl9JTlZFU1RfQ0YuOTkxLjE0LzA2LzIwMjYuLi5VU0QuSAEAAADpcQIAAwAAAAAAPOR82f7J3giseNzb/sneCDJDSVEuTllTRTpCQUguSVFfTkVUX0NIQU5HRS4yMDAwLjE0LzA2LzIwMjYuLi5VU0QuSAEAAADpcQIAAgAAAAQtMTU3AQgAAAAFAAAAATEBAAAACy0xODg3NzA0MzQxAwAAAAMxNjACAAAABDIwOTMEAAAAATAHAAAACTYvMTQvMjAyNggAAAAJMy8zMS8yMDI2CQAAAAEww5x/2f7J3ggFi+fb/sneCDlDSVEuTllTRTpCQUguSVFfVE9UQUxfREVCVF9JU1NVRUQuMjAwMC4xNC8wNi8yMDI2Li4uVVNELkgBAAAA6XECAAMAAAAAAMOcf9n+yd4Ij7Hi2/7J3gg5Q0lRLk5ZU0U6QkFILklRX0lOVkVTVF9TRUNVUklUWV9DRi45OTIuMTQvMDYvMjAyNi4uLlVTRC5IAQAAAOlxAgADAAAAAAAk5n7Z/sneCI+x4tv+yd4INUNJUS5OWVNFOkJBSC5JUV9PVEhFUl9PUEVSX0FDVC45OTAuMTQvMDYvMjAyNi4uLlVTRC5IAQAAAOlxAgACAAAABTMuNTQ5AQgAAAAFAAAAATEBAAAACjE4OTEzNDc4NjkDAAAAAzE2MAIAAAAEMjA0NwQAAAABMAcAAAAJNi8xNC8yMDI2CAAAAAkzLzMxLzIwMTYJAAAAATAk5n7Z/sneCGDZ3dv+yd4INkNJUS5OWVNFOkJBSC5JUV9DUkVESVRfTE9TU19DRi4yMDAwLjE0LzA2LzIw</t>
  </si>
  <si>
    <t>MjYuLi5VU0QuSAEAAADpcQIAAwAAAAAAfB9+2f7J3ghg2d3b/sneCC9DSVEuTllTRTpCQUguSVFfTE9BTlNfQ0YuOTkxLjE0LzA2LzIwMjYuLi5VU0QuSAEAAADpcQIAAwAAAAAAPOR82f7J3ghg2d3b/sneCDhDSVEuTllTRTpCQUguSVFfU1RPQ0tfQkFTRURfT1RIRVIuOTkyLjE0LzA2LzIwMjYuLi5VU0QuSAEAAADpcQIAAwAAAAAAPOR82f7J3gh0/Njb/sneCDFDSVEuTllTRTpCQUguSVFfQ0hBTkdFX0FQLjIwMDAuMTQvMDYvMjAyNi4uLlVTRC5IAQAAAOlxAgACAAAAAy04NgEIAAAABQAAAAExAQAAAAstMTg4NzcwNDM0MQMAAAADMTYwAgAAAAQyMDE3BAAAAAEwBwAAAAk2LzE0LzIwMjYIAAAACTMvMzEvMjAyNgkAAAABMCTmftn+yd4IBEHg2/7J3gg1Q0lRLk5ZU0U6QkFILklRX09USEVSX09QRVJfQUNULjk5MS4xNC8wNi8yMDI2Li4uVVNELkgBAAAA6XECAAIAAAAGMjAuOTU4AQgAAAAFAAAAATEBAAAACjE5NjU3NzI0MjIDAAAAAzE2MAIAAAAEMjA0NwQAAAABMAcAAAAJNi8xNC8yMDI2CAAAAAkzLzMxLzIwMTcJAAAAATAk5n7Z/sneCGDZ3dv+yd4INENJUS5OWVNFOkJBSC5JUV9JTkNfRVFVSVRZX0NGLjk5MC4xNC8wNi8yMDI2Li4uVVNELkgBAAAA6XECAAMAAAAAAHwfftn+yd4IYNnd2/7J3ggvQ0lRLk5ZU0U6QkFILklRX0xPQU5TX0NGLjk5Mi4xNC8wNi8yMDI2Li4uVVNELkgBAAAA6XEC</t>
  </si>
  <si>
    <t>AAMAAAAAAHwfftn+yd4IYNnd2/7J3ggtQ0lRLk5ZU0U6QkFILklRX05JX0NGLjIwMDAuMTQvMDYvMjAyNi4uLlVTRC5IAQAAAOlxAgACAAAAAzg1MQEIAAAABQAAAAExAQAAAAstMTg4NzcwNDM0MQMAAAADMTYwAgAAAAQyMTUwBAAAAAEwBwAAAAk2LzE0LzIwMjYIAAAACTMvMzEvMjAyNgkAAAABMDzkfNn+yd4I33Lb2/7J3ggyQ0lRLk5ZU0U6QkFILklRX0NBU0hfSU5WRVNULjk5MS4xNC8wNi8yMDI2Li4uVVNELkgBAAAA6XECAAIAAAAILTMwMC44OTYBCAAAAAUAAAABMQEAAAAKMTk2NTc3MjQyMgMAAAADMTYwAgAAAAQyMDA1BAAAAAEwBwAAAAk2LzE0LzIwMjYIAAAACTMvMzEvMjAxNwkAAAABMCTmftn+yd4Ij7Hi2/7J3gg3Q0lRLk5ZU0U6QkFILklRX0NBU0hfQUNRVUlSRV9DRi4yMDAwLjE0LzA2LzIwMjYuLi5VU0QuSAEAAADpcQIAAwAAAAAAJOZ+2f7J3ggEQeDb/sneCDFDSVEuTllTRTpCQUguSVFfQ0FTSF9PUEVSLjIwMDAuMTQvMDYvMjAyNi4uLlVTRC5IAQAAAOlxAgACAAAABDEwNDEBCAAAAAUAAAABMQEAAAALLTE4ODc3MDQzNDEDAAAAAzE2MAIAAAAEMjAwNgQAAAABMAcAAAAJNi8xNC8yMDI2CAAAAAkzLzMxLzIwMjYJAAAAATAk5n7Z/sneCARB4Nv+yd4IOENJUS5OWVNFOkJBSC5JUV9DSEFOR0VfVU5FQVJOX1JFVi45OTIuMTQvMDYvMjAyNi4uLlVTRC5IAQAAAOlxAgADAAAAAAAk</t>
  </si>
  <si>
    <t>5n7Z/sneCARB4Nv+yd4INUNJUS5OWVNFOkJBSC5JUV9PVEhFUl9PUEVSX0FDVC45OTIuMTQvMDYvMjAyNi4uLlVTRC5IAQAAAOlxAgACAAAABTguOTU2AQgAAAAFAAAAATEBAAAACjIwMzgwOTEwNzcDAAAAAzE2MAIAAAAEMjA0NwQAAAABMAcAAAAJNi8xNC8yMDI2CAAAAAkzLzMxLzIwMTgJAAAAATAk5n7Z/sneCGDZ3dv+yd4INENJUS5OWVNFOkJBSC5JUV9JTkNfRVFVSVRZX0NGLjk5MS4xNC8wNi8yMDI2Li4uVVNELkgBAAAA6XECAAMAAAAAAHwfftn+yd4IYNnd2/7J3ggtQ0lRLk5ZU0U6QkFILklRX0RBX0NGLjIwMDAuMTQvMDYvMjAyNi4uLlVTRC5IAQAAAOlxAgACAAAAAzE2MwEIAAAABQAAAAExAQAAAAstMTg4NzcwNDM0MQMAAAADMTYwAgAAAAQyMTYwBAAAAAEwBwAAAAk2LzE0LzIwMjYIAAAACTMvMzEvMjAyNgkAAAABMDzkfNn+yd4IrHjc2/7J3gg5Q0lRLk5ZU0U6QkFILklRX0dXX0lOVEFOX0FNT1JUX0NGLjIwMDAuMTQvMDYvMjAyNi4uLlVTRC5IAQAAAOlxAgACAAAAAjk1AQgAAAAFAAAAATEBAAAACy0xODg3NzA0MzQxAwAAAAMxNjACAAAABDIxODIEAAAAATAHAAAACTYvMTQvMjAyNggAAAAJMy8zMS8yMDI2CQAAAAEwPOR82f7J3giseNzb/sneCDJDSVEuTllTRTpCQUguSVFfREFfU1VQUExfQ0YuOTkwLjE0LzA2LzIwMjYuLi5VU0QuSAEAAADpcQIAAgAAAAY0OS40MzYBCAAAAAUA</t>
  </si>
  <si>
    <t>AAABMQEAAAAKMTg5MTM0Nzg2OQMAAAADMTYwAgAAAAQyMTcxBAAAAAEwBwAAAAk2LzE0LzIwMjYIAAAACTMvMzEvMjAxNgkAAAABMDzkfNn+yd4I33Lb2/7J3gg8Q0lRLk5ZU0U6QkFILklRX1NUT0NLX0JBU0VEX0NPTVBfVEFYLjIwMDAuMTQvMDYvMjAyNi4uLlVTRC5IAQAAAOlxAgACAAAAAy0xMgA85HzZ/sneCN9y29v+yd4INkNJUS5OWVNFOkJBSC5JUV9TVE9DS19CQVNFRF9TR0EuOTkyLjE0LzA2LzIwMjYuLi5VU0QuSAEAAADpcQIAAwAAAAAAPOR82f7J3ghHrtjb/sneCD5DSVEuTllTRTpCQUguSVFfR0FJTl9CQVJHQUlOX0FDUV9TVVBQTEUuOTkyLjE0LzA2LzIwMjYuLi5VU0QuSAEAAADpcQIAAwAAAAAA0qO22f7J3gjA7NXb/sneCD5DSVEuTllTRTpCQUguSVFfQVNTRVRfV1JJVEVET1dOX1NVUFBMRS4yMDAwLjE0LzA2LzIwMjYuLi5VU0QuSAEAAADpcQIAAwAAAAAA0qO22f7J3gh4V9Xb/sneCDxDSVEuTllTRTpCQUguSVFfSU1QVVRfT1BFUl9MRUFTRV9ERVBSLjk5MC4xNC8wNi8yMDI2Li4uVVNELkgBAAAA6XECAAIAAAAJNTguNTYzNjM2AQgAAAAFAAAAATEBAAAACjE4OTEzNDc4NjkDAAAAAzE2MAIAAAAFMjE2NzMEAAAAATAHAAAACTYvMTQvMjAyNggAAAAJMy8zMS8yMDE2CQAAAAEw0qO22f7J3giI69Lb/sneCDNDSVEuTllTRTpCQUguSVFfT1RIRVJfUkVOVEFMLjk5MS4xNC8wNi8y</t>
  </si>
  <si>
    <t>MDI2Li4uVVNELkgBAAAA6XECAAMAAAAAANKjttn+yd4IZbDS2/7J3gg4Q0lRLk5ZU0U6QkFILklRX05FVF9SRU5UQUxfRVhQX0ZOLjk5MC4xNC8wNi8yMDI2Li4uVVNELkgBAAAA6XECAAIAAAAEODguNQEIAAAABQAAAAExAQAAAAoxODkxMzQ3ODY5AwAAAAMxNjACAAAABDMxNzAEAAAAATAHAAAACTYvMTQvMjAyNggAAAAJMy8zMS8yMDE2CQAAAAEw0qO22f7J3gjISdDb/sneCDBDSVEuTllTRTpCQUguSVFfTUFSS0VUSU5HLjk5Mi4xNC8wNi8yMDI2Li4uVVNELkgBAAAA6XECAAMAAAAAANKjttn+yd4IyEnQ2/7J3gg1Q0lRLk5ZU0U6QkFILklRX1NQRUNJQUxfRElWX0NGLjk5Mi4xNC8wNi8yMDI2Li4uVVNELkgBAAAA6XECAAMAAAAAAMOcf9n+yd4I7ffl2/7J3ggwQ0lRLk5ZU0U6QkFILklRX0RJVkVTVF9DRi45OTAuMTQvMDYvMjAyNi4uLlVTRC5IAQAAAOlxAgADAAAAAAAk5n7Z/sneCARB4Nv+yd4IMENJUS5OWVNFOkJBSC5JUV9DSEFOR0VfQVIuOTkwLjE0LzA2LzIwMjYuLi5VU0QuSAEAAADpcQIAAgAAAActMzEuMjI5AQgAAAAFAAAAATEBAAAACjE4OTEzNDc4NjkDAAAAAzE2MAIAAAAEMjAxOAQAAAABMAcAAAAJNi8xNC8yMDI2CAAAAAkzLzMxLzIwMTYJAAAAATAk5n7Z/sneCGDZ3dv+yd4IOkNJUS5OWVNFOkJBSC5JUV9UQVhfQkVORUZJVF9PUFRJT05TLjk5MS4xNC8wNi8yMDI2Li4uVVNE</t>
  </si>
  <si>
    <t>LkgBAAAA6XECAAIAAAAHLTE4LjE3NQEIAAAABQAAAAExAQAAAAoxOTY1NzcyNDIyAwAAAAMxNjACAAAABDIxMzUEAAAAATAHAAAACTYvMTQvMjAyNggAAAAJMy8zMS8yMDE3CQAAAAEwfB9+2f7J3ghg2d3b/sneCDRDSVEuTllTRTpCQUguSVFfSU5DX0VRVUlUWV9DRi45OTIuMTQvMDYvMjAyNi4uLlVTRC5IAQAAAOlxAgADAAAAAAB8H37Z/sneCGDZ3dv+yd4IMkNJUS5OWVNFOkJBSC5JUV9PVEhFUl9BTU9SVC45OTAuMTQvMDYvMjAyNi4uLlVTRC5IAQAAAOlxAgACAAAABTguMzU5AQgAAAAFAAAAATEBAAAACjE4OTEzNDc4NjkDAAAAAzE2MAIAAAAEMjAxNAQAAAABMAcAAAAJNi8xNC8yMDI2CAAAAAkzLzMxLzIwMTYJAAAAATA85HzZ/sneCKx43Nv+yd4IMUNJUS5OWVNFOkJBSC5JUV9PSUxfSU1QQUlSLjk5MC4xNC8wNi8yMDI2Li4uVVNELkgBAAAA6XECAAMAAAAAADzkfNn+yd4IrHjc2/7J3gg7Q0lRLk5ZU0U6QkFILklRX1NUT0NLX0JBU0VEX0NPTVBfVEFYLjk5Mi4xNC8wNi8yMDI2Li4uVVNELkgBAAAA6XECAAMAAAAAADzkfNn+yd4I33Lb2/7J3gg5Q0lRLk5ZU0U6QkFILklRX1NUT0NLX09QVElPTlNfQ09NUC45OTEuMTQvMDYvMjAyNi4uLlVTRC5IAQAAAOlxAgADAAAAAAA85HzZ/sneCHT82Nv+yd4IQENJUS5OWVNFOkJBSC5JUV9TVE9DS19PUFRJT05TX0NPTVBfUFJFVEFYLjk5MC4xNC8w</t>
  </si>
  <si>
    <t>Ni8yMDI2Li4uVVNELkgBAAAA6XECAAIAAAAFMy43MDIAPOR82f7J3gh0/Njb/sneCD9DSVEuTllTRTpCQUguSVFfUkVTVFJfU1RPQ0tfQ09NUF9QUkVUQVguMjAwMC4xNC8wNi8yMDI2Li4uVVNELkgBAAAA6XECAAMAAAAAADzkfNn+yd4IdPzY2/7J3gg1Q0lRLk5ZU0U6QkFILklRX1NUT0NLX0JBU0VEX1NNLjk5MC4xNC8wNi8yMDI2Li4uVVNELkgBAAAA6XECAAMAAAAAANKjttn+yd4I6jjY2/7J3gg8Q0lRLk5ZU0U6QkFILklRX09USEVSX1VOVVNVQUxfU1VQUExFLjIwMDAuMTQvMDYvMjAyNi4uLlVTRC5IAQAAAOlxAgADAAAAAADSo7bZ/sneCMDs1dv+yd4IMkNJUS5OWVNFOkJBSC5JUV9JUFJEX1NVUFBMRS45OTAuMTQvMDYvMjAyNi4uLlVTRC5IAQAAAOlxAgADAAAAAADSo7bZ/sneCHhX1dv+yd4IPENJUS5OWVNFOkJBSC5JUV9JTVBVVF9PUEVSX0xFQVNFX0RFUFIuOTkxLjE0LzA2LzIwMjYuLi5VU0QuSAEAAADpcQIAAgAAAAg1Ny44MjE3NgEIAAAABQAAAAExAQAAAAoxOTY1NzcyNDIyAwAAAAMxNjACAAAABTIxNjczBAAAAAEwBwAAAAk2LzE0LzIwMjYIAAAACTMvMzEvMjAxNwkAAAABMNKjttn+yd4IiOvS2/7J3ggzQ0lRLk5ZU0U6QkFILklRX09USEVSX1JFTlRBTC45OTIuMTQvMDYvMjAyNi4uLlVTRC5IAQAAAOlxAgADAAAAAADSo7bZ/sneCMhJ0Nv+yd4IKkNJUS5OWVNFOkJBSC5JUV9E</t>
  </si>
  <si>
    <t>SUMuOTkxLjE0LzA2LzIwMjYuLi5VU0QuSAEAAADpcQIAAwAAAAAA0qO22f7J3gjISdDb/sneCDFDSVEuTllTRTpCQUguSVFfQ09NTU9OX0RJVi45OTEuMTQvMDYvMjAyNi4uLlVTRC5IAQAAAOlxAgACAAAABjkyLjkyNQDSo7bZ/sneCEXUzdv+yd4IMUNJUS5OWVNFOkJBSC5JUV9EQV9FQklUREEuMjAwMC4xNC8wNi8yMDI2Li4uVVNELkgBAAAA6XECAAIAAAADMTYzAQgAAAAFAAAAATEBAAAACy0xODg3NzA0MzQxAwAAAAMxNjACAAAABDIyMDYEAAAAATAHAAAACTYvMTQvMjAyNggAAAAJMy8zMS8yMDI2CQAAAAEw0qO22f7J3ghF1M3b/sneCElDSVEuTllTRTpCQUguSVFfSU5URVJFU1RfRVhQX0xFQVNFX0xJQUJJTElUWV9ERUJULjIwMDAuMTQvMDYvMjAyNi4uLlVTRC5IAQAAAOlxAgADAAAAAADSo7bZ/sneCEXUzdv+yd4IL0NJUS5OWVNFOkJBSC5JUV9ESUxVVF9OSS45OTEuMTQvMDYvMjAyNi4uLlVTRC5IAQAAAOlxAgACAAAABzI1OC41MTQBCAAAAAUAAAABMQEAAAAKMTk2NTc3MjQyMgMAAAADMTYwAgAAAAQzNTIyBAAAAAEwBwAAAAk2LzE0LzIwMjYIAAAACTMvMzEvMjAxNwkAAAABMNKjttn+yd4IlDbN2/7J3gg/Q0lRLk5ZU0U6QkFILklRX0VYQ0lTRV9UQVhFU19FWENMX1NBTEVTLjIwMDAuMTQvMDYvMjAyNi4uLlVTRC5IAQAAAOlxAgADAAAAAADSo7bZ/sneCJf7yNv+yd4ILkNJUS5OWVNF</t>
  </si>
  <si>
    <t>OkJBSC5JUV9OSV9TRkFTLjk5MS4xNC8wNi8yMDI2Li4uVVNELkgBAAAA6XECAAMAAAAAANKjttn+yd4Il/vI2/7J3gg2Q0lRLk5ZU0U6QkFILklRX0VCSVREQVJfRVFfSU5DLjIwMDAuMTQvMDYvMjAyNi4uLlVTRC5IAQAAAOlxAgACAAAABDE0MDgBCAAAAAUAAAABMQEAAAALLTE4ODc3MDQzNDEDAAAAAzE2MAIAAAAFMjQxMjkEAAAAATAHAAAACTYvMTQvMjAyNggAAAAJMy8zMS8yMDI2CQAAAAEw0qO22f7J3gi5iMbb/sneCDxDSVEuTllTRTpCQUguSVFfRUJJVEFfRVFfSU5DX0VYQ0xfU0JDLjk5MS4xNC8wNi8yMDI2Li4uVVNELkgBAAAA6XECAAIAAAAHNTQxLjEyOQEIAAAABQAAAAExAQAAAAoxOTY1NzcyNDIyAwAAAAMxNjACAAAABTI0MTMyBAAAAAEwBwAAAAk2LzE0LzIwMjYIAAAACTMvMzEvMjAxNwkAAAABMNKjttn+yd4IuYjG2/7J3ggxQ0lRLk5ZU0U6QkFILklRX05FVF9DSEFOR0UuOTkwLjE0LzA2LzIwMjYuLi5VU0QuSAEAAADpcQIAAgAAAActMTkuNjg4AQgAAAAFAAAAATEBAAAACjE4OTEzNDc4NjkDAAAAAzE2MAIAAAAEMjA5MwQAAAABMAcAAAAJNi8xNC8yMDI2CAAAAAkzLzMxLzIwMTYJAAAAATDDnH/Z/sneCAWL59v+yd4IOUNJUS5OWVNFOkJBSC5JUV9UT1RBTF9ERUJUX1JFUEFJRC4yMDAwLjE0LzA2LzIwMjYuLi5VU0QuSAEAAADpcQIAAgAAAAMtNjkBCAAAAAUAAAABMQEAAAAL</t>
  </si>
  <si>
    <t>LTE4ODc3MDQzNDEDAAAAAzE2MAIAAAAEMjE2NgQAAAABMAcAAAAJNi8xNC8yMDI2CAAAAAkzLzMxLzIwMjYJAAAAATDDnH/Z/sneCEAZ5dv+yd4IOENJUS5OWVNFOkJBSC5JUV9UT1RBTF9ERUJUX0lTU1VFRC45OTEuMTQvMDYvMjAyNi4uLlVTRC5IAQAAAOlxAgACAAAACDEwMTkuMzgzAQgAAAAFAAAAATEBAAAACjE5NjU3NzI0MjIDAAAAAzE2MAIAAAAEMjE2MQQAAAABMAcAAAAJNi8xNC8yMDI2CAAAAAkzLzMxLzIwMTcJAAAAATDDnH/Z/sneCI+x4tv+yd4IOUNJUS5OWVNFOkJBSC5JUV9JTlZFU1RfU0VDVVJJVFlfQ0YuOTkwLjE0LzA2LzIwMjYuLi5VU0QuSAEAAADpcQIAAwAAAAAAJOZ+2f7J3giPseLb/sneCDBDSVEuTllTRTpCQUguSVFfRElWRVNUX0NGLjk5MS4xNC8wNi8yMDI2Li4uVVNELkgBAAAA6XECAAMAAAAAACTmftn+yd4IBEHg2/7J3gg1Q0lRLk5ZU0U6QkFILklRX0NIQU5HRV9ERUZfVEFYLjk5MC4xNC8wNi8yMDI2Li4uVVNELkgBAAAA6XECAAMAAAAAACTmftn+yd4IBEHg2/7J3ggwQ0lRLk5ZU0U6QkFILklRX0NIQU5HRV9BUi45OTIuMTQvMDYvMjAyNi4uLlVTRC5IAQAAAOlxAgACAAAACC0xMjYuMTk2AQgAAAAFAAAAATEBAAAACjIwMzgwOTEwNzcDAAAAAzE2MAIAAAAEMjAxOAQAAAABMAcAAAAJNi8xNC8yMDI2CAAAAAkzLzMxLzIwMTgJAAAAATAk5n7Z/sneCGDZ3dv+yd4I</t>
  </si>
  <si>
    <t>OkNJUS5OWVNFOkJBSC5JUV9UQVhfQkVORUZJVF9PUFRJT05TLjk5Mi4xNC8wNi8yMDI2Li4uVVNELkgBAAAA6XECAAMAAAAAAHwfftn+yd4IYNnd2/7J3gg1Q0lRLk5ZU0U6QkFILklRX0dBSU5fQVNTRVRTX0NGLjk5MC4xNC8wNi8yMDI2Li4uVVNELkgBAAAA6XECAAIAAAAFMC41NDcBCAAAAAUAAAABMQEAAAAKMTg5MTM0Nzg2OQMAAAADMTYwAgAAAAQyMDI2BAAAAAEwBwAAAAk2LzE0LzIwMjYIAAAACTMvMzEvMjAxNgkAAAABMDzkfNn+yd4IrHjc2/7J3ggyQ0lRLk5ZU0U6QkFILklRX09USEVSX0FNT1JULjk5MS4xNC8wNi8yMDI2Li4uVVNELkgBAAAA6XECAAIAAAAGMTUuNTY2AQgAAAAFAAAAATEBAAAACjE5NjU3NzI0MjIDAAAAAzE2MAIAAAAEMjAxNAQAAAABMAcAAAAJNi8xNC8yMDI2CAAAAAkzLzMxLzIwMTcJAAAAATA85HzZ/sneCKx43Nv+yd4IOUNJUS5OWVNFOkJBSC5JUV9TVE9DS19PUFRJT05TX0NPTVAuOTkyLjE0LzA2LzIwMjYuLi5VU0QuSAEAAADpcQIAAwAAAAAAPOR82f7J3gh0/Njb/sneCEBDSVEuTllTRTpCQUguSVFfU1RPQ0tfT1BUSU9OU19DT01QX1BSRVRBWC45OTEuMTQvMDYvMjAyNi4uLlVTRC5IAQAAAOlxAgACAAAABTIuNTIzADzkfNn+yd4IdPzY2/7J3gg7Q0lRLk5ZU0U6QkFILklRX1JFU1RSX1NUT0NLX0NPTVBfVEFYLjk5MC4xNC8wNi8yMDI2Li4uVVNELkgBAAAA</t>
  </si>
  <si>
    <t>6XECAAMAAAAAADzkfNn+yd4IdPzY2/7J3gg1Q0lRLk5ZU0U6QkFILklRX1NUT0NLX0JBU0VEX1NNLjk5MS4xNC8wNi8yMDI2Li4uVVNELkgBAAAA6XECAAMAAAAAANKjttn+yd4I6jjY2/7J3gg7Q0lRLk5ZU0U6QkFILklRX09USEVSX1VOVVNVQUxfU1VQUExFLjk5Mi4xNC8wNi8yMDI2Li4uVVNELkgBAAAA6XECAAMAAAAAANKjttn+yd4IwOzV2/7J3ggyQ0lRLk5ZU0U6QkFILklRX0lQUkRfU1VQUExFLjk5MS4xNC8wNi8yMDI2Li4uVVNELkgBAAAA6XECAAMAAAAAANKjttn+yd4IeFfV2/7J3gg8Q0lRLk5ZU0U6QkFILklRX0lNUFVUX09QRVJfTEVBU0VfREVQUi45OTIuMTQvMDYvMjAyNi4uLlVTRC5IAQAAAOlxAgACAAAACTUxLjg1MTcyMgEIAAAABQAAAAExAQAAAAoyMDM4MDkxMDc3AwAAAAMxNjACAAAABTIxNjczBAAAAAEwBwAAAAk2LzE0LzIwMjYIAAAACTMvMzEvMjAxOAkAAAABMNKjttn+yd4IiOvS2/7J3gg/Q0lRLk5ZU0U6QkFILklRX0VYUExPUkVfRFJJTExfRVhQX1RPVEFMLjIwMDAuMTQvMDYvMjAyNi4uLlVTRC5IAQAAAOlxAgADAAAAAADSo7bZ/sneCIjr0tv+yd4IOENJUS5OWVNFOkJBSC5JUV9DT05USU5HRU5UX1JFTlRBTC45OTEuMTQvMDYvMjAyNi4uLlVTRC5IAQAAAOlxAgADAAAAAADSo7bZ/sneCMhJ0Nv+yd4IKkNJUS5OWVNFOkJBSC5JUV9ESUMuOTkyLjE0LzA2LzIwMjYu</t>
  </si>
  <si>
    <t>Li5VU0QuSAEAAADpcQIAAwAAAAAA0qO22f7J3gjISdDb/sneCDlDSVEuTllTRTpCQUguSVFfRElTVFJJQlVUQUJMRV9DQVNILjk5MC4xNC8wNi8yMDI2Li4uVVNELkgBAAAA6XECAAMAAAAAANKjttn+yd4IRdTN2/7J3ghIQ0lRLk5ZU0U6QkFILklRX0lOVEVSRVNUX0VYUF9MRUFTRV9MSUFCSUxJVFlfREVCVC45OTIuMTQvMDYvMjAyNi4uLlVTRC5IAQAAAOlxAgADAAAAAADSo7bZ/sneCEXUzdv+yd4IL0NJUS5OWVNFOkJBSC5JUV9ESUxVVF9OSS45OTIuMTQvMDYvMjAyNi4uLlVTRC5IAQAAAOlxAgACAAAABzI5OS44MzcBCAAAAAUAAAABMQEAAAAKMjAzODA5MTA3NwMAAAADMTYwAgAAAAQzNTIyBAAAAAEwBwAAAAk2LzE0LzIwMjYIAAAACTMvMzEvMjAxOAkAAAABMNKjttn+yd4IlDbN2/7J3ggxQ0lRLk5ZU0U6QkFILklRX0NVUlJfVEFYRVMuOTkwLjE0LzA2LzIwMjYuLi5VU0QuSAEAAADpcQIAAgAAAAY4MS44MTkBCAAAAAUAAAABMQEAAAAKMTg5MTM0Nzg2OQMAAAADMTYwAgAAAAUzNTM4MwQAAAABMAcAAAAJNi8xNC8yMDI2CAAAAAkzLzMxLzIwMTYJAAAAATDSo7bZ/sneCD9qy9v+yd4IPkNJUS5OWVNFOkJBSC5JUV9FWENJU0VfVEFYRVNfSU5DTF9TQUxFUy45OTAuMTQvMDYvMjAyNi4uLlVTRC5IAQAAAOlxAgADAAAAAADSo7bZ/sneCJf7yNv+yd4ILkNJUS5OWVNFOkJBSC5JUV9OSV9TRkFT</t>
  </si>
  <si>
    <t>Ljk5Mi4xNC8wNi8yMDI2Li4uVVNELkgBAAAA6XECAAMAAAAAANKjttn+yd4Il/vI2/7J3gg+Q0lRLk5ZU0U6QkFILklRX0VCSVREQVJfRVFfSU5DX0VYQ0xfU0JDLjk5MC4xNC8wNi8yMDI2Li4uVVNELkgBAAAA6XECAAIAAAAHNjE5LjYxMgEIAAAABQAAAAExAQAAAAoxODkxMzQ3ODY5AwAAAAMxNjACAAAABTI0MTMzBAAAAAEwBwAAAAk2LzE0LzIwMjYIAAAACTMvMzEvMjAxNgkAAAABMNKjttn+yd4IuYjG2/7J3gg8Q0lRLk5ZU0U6QkFILklRX0VCSVRBX0VRX0lOQ19FWENMX1NCQy45OTIuMTQvMDYvMjAyNi4uLlVTRC5IAQAAAOlxAgACAAAABzU1Ni40NjIBCAAAAAUAAAABMQEAAAAKMjAzODA5MTA3NwMAAAADMTYwAgAAAAUyNDEzMgQAAAABMAcAAAAJNi8xNC8yMDI2CAAAAAkzLzMxLzIwMTgJAAAAATDSo7bZ/sneCLmIxtv+yd4IPENJUS5OWVNFOkJBSC5JUV9FQklUREFfTEVBU0VfQURKVVNURUQuOTkwLjE0LzA2LzIwMjYuLi5VU0QuSAEAAADpcQIAAgAAAAY1MDYuMTIBCAAAAAUAAAABMQEAAAAKMTg5MTM0Nzg2OQMAAAADMTYwAgAAAAU0ODk5MwQAAAABMAcAAAAJNi8xNC8yMDI2CAAAAAkzLzMxLzIwMTYJAAAAATBMgwTa/sneCA8vxNv+yd4ILUNJUS5OWVNFOkJBSC5JUV9FQklUREEuOTkyLjE0LzA2LzIwMjYuLi5VU0QuSAEAAADpcQIAAgAAAAU1NzcuMgEIAAAABQAAAAExAQAAAAoyMDM4</t>
  </si>
  <si>
    <t>MDkxMDc3AwAAAAMxNjACAAAABDQwNTEEAAAAATAHAAAACTYvMTQvMjAyNggAAAAJMy8zMS8yMDE4CQAAAAEwTIME2v7J3ggPL8Tb/sneCClDSVEuTllTRTpCQUguSVFfTkkuOTkwLjE0LzA2LzIwMjYuLi5VU0QuSAEAAADpcQIAAgAAAAcyOTQuMDk0AQgAAAAFAAAAATEBAAAACjE4OTEzNDc4NjkDAAAAAzE2MAIAAAACMTUEAAAAATAHAAAACTYvMTQvMjAyNggAAAAJMy8zMS8yMDE2CQAAAAEwTIME2v7J3ggn8r3b/sneCDZDSVEuTllTRTpCQUguSVFfRVhUUkFfQUNDX0lURU1TLjk5MC4xNC8wNi8yMDI2Li4uVVNELkgBAAAA6XECAAMAAAAAAEyDBNr+yd4I38282/7J3ggqQ0lRLk5ZU0U6QkFILklRX0VCVC45OTIuMTQvMDYvMjAyNi4uLlVTRC5IAQAAAOlxAgACAAAABzQzMC4wMzYBCAAAAAUAAAABMQEAAAAKMjAzODA5MTA3NwMAAAADMTYwAgAAAAMxMzkEAAAAATAHAAAACTYvMTQvMjAyNggAAAAJMy8zMS8yMDE4CQAAAAEwTIME2v7J3gjfzbzb/sneCDRDSVEuTllTRTpCQUguSVFfQ09NTU9OX0lTU1VFRC45OTAuMTQvMDYvMjAyNi4uLlVTRC5IAQAAAOlxAgACAAAABjEzLjkzOQEIAAAABQAAAAExAQAAAAoxODkxMzQ3ODY5AwAAAAMxNjACAAAABDIxNjkEAAAAATAHAAAACTYvMTQvMjAyNggAAAAJMy8zMS8yMDE2CQAAAAEww5x/2f7J3ghAGeXb/sneCDhDSVEuTllTRTpCQUguSVFfVE9UQUxfREVC</t>
  </si>
  <si>
    <t>VF9JU1NVRUQuOTkyLjE0LzA2LzIwMjYuLi5VU0QuSAEAAADpcQIAAgAAAAc0NjcuNjc4AQgAAAAFAAAAATEBAAAACjIwMzgwOTEwNzcDAAAAAzE2MAIAAAAEMjE2MQQAAAABMAcAAAAJNi8xNC8yMDI2CAAAAAkzLzMxLzIwMTgJAAAAATDDnH/Z/sneCI+x4tv+yd4IOUNJUS5OWVNFOkJBSC5JUV9JTlZFU1RfU0VDVVJJVFlfQ0YuOTkxLjE0LzA2LzIwMjYuLi5VU0QuSAEAAADpcQIAAwAAAAAAJOZ+2f7J3giPseLb/sneCDBDSVEuTllTRTpCQUguSVFfRElWRVNUX0NGLjk5Mi4xNC8wNi8yMDI2Li4uVVNELkgBAAAA6XECAAMAAAAAACTmftn+yd4IBEHg2/7J3gg1Q0lRLk5ZU0U6QkFILklRX0NIQU5HRV9ERUZfVEFYLjk5MS4xNC8wNi8yMDI2Li4uVVNELkgBAAAA6XECAAMAAAAAACTmftn+yd4IBEHg2/7J3gg1Q0lRLk5ZU0U6QkFILklRX0dBSU5fQVNTRVRTX0NGLjk5MS4xNC8wNi8yMDI2Li4uVVNELkgBAAAA6XECAAIAAAAFNC42NzMBCAAAAAUAAAABMQEAAAAKMTk2NTc3MjQyMgMAAAADMTYwAgAAAAQyMDI2BAAAAAEwBwAAAAk2LzE0LzIwMjYIAAAACTMvMzEvMjAxNwkAAAABMDzkfNn+yd4IrHjc2/7J3ggyQ0lRLk5ZU0U6QkFILklRX09USEVSX0FNT1JULjk5Mi4xNC8wNi8yMDI2Li4uVVNELkgBAAAA6XECAAIAAAAFNS45NzQBCAAAAAUAAAABMQEAAAAKMjAzODA5MTA3NwMAAAADMTYwAgAAAAQy</t>
  </si>
  <si>
    <t>MDE0BAAAAAEwBwAAAAk2LzE0LzIwMjYIAAAACTMvMzEvMjAxOAkAAAABMDzkfNn+yd4IrHjc2/7J3gg7Q0lRLk5ZU0U6QkFILklRX1JFU1RSX1NUT0NLX0NPTVBfVEFYLjk5MS4xNC8wNi8yMDI2Li4uVVNELkgBAAAA6XECAAMAAAAAADzkfNn+yd4IdPzY2/7J3gg2Q0lRLk5ZU0U6QkFILklRX1NUT0NLX0JBU0VEX0FULjIwMDAuMTQvMDYvMjAyNi4uLlVTRC5IAQAAAOlxAgADAAAAAAA85HzZ/sneCHT82Nv+yd4INUNJUS5OWVNFOkJBSC5JUV9TVE9DS19CQVNFRF9TTS45OTIuMTQvMDYvMjAyNi4uLlVTRC5IAQAAAOlxAgADAAAAAADSo7bZ/sneCOo42Nv+yd4IPENJUS5OWVNFOkJBSC5JUV9ORUdBVElWRV9HV19BTU9SVF9BVC4yMDAwLjE0LzA2LzIwMjYuLi5VU0QuSAEAAADpcQIAAwAAAAAA0qO22f7J3gjbw9fb/sneCDVDSVEuTllTRTpCQUguSVFfTUVSR0VSX1NVUFBMRS4yMDAwLjE0LzA2LzIwMjYuLi5VU0QuSAEAAADpcQIAAwAAAAAA0qO22f7J3giI69Lb/sneCDNDSVEuTllTRTpCQUguSVFfTUFJTlRfUkVQQUlSLjk5MC4xNC8wNi8yMDI2Li4uVVNELkgBAAAA6XECAAMAAAAAANKjttn+yd4IiOvS2/7J3gg4Q0lRLk5ZU0U6QkFILklRX0NPTlRJTkdFTlRfUkVOVEFMLjk5Mi4xNC8wNi8yMDI2Li4uVVNELkgBAAAA6XECAAMAAAAAANKjttn+yd4IyEnQ2/7J3gg5Q0lRLk5ZU0U6QkFILklRX05F</t>
  </si>
  <si>
    <t>VF9SRU5UQUxfRVhQX0ZOLjIwMDAuMTQvMDYvMjAyNi4uLlVTRC5IAQAAAOlxAgACAAAAAjc1AQgAAAAFAAAAATEBAAAACy0xODg3NzA0MzQxAwAAAAMxNjACAAAABDMxNzAEAAAAATAHAAAACTYvMTQvMjAyNggAAAAJMy8zMS8yMDI2CQAAAAEw0qO22f7J3gjISdDb/sneCDdDSVEuTllTRTpCQUguSVFfU0FMRVNfTUFSS0VUSU5HLjIwMDAuMTQvMDYvMjAyNi4uLlVTRC5IAQAAAOlxAgADAAAAAADSo7bZ/sneCMhJ0Nv+yd4IOUNJUS5OWVNFOkJBSC5JUV9ESVNUUklCVVRBQkxFX0NBU0guOTkxLjE0LzA2LzIwMjYuLi5VU0QuSAEAAADpcQIAAwAAAAAA0qO22f7J3ghF1M3b/sneCDxDSVEuTllTRTpCQUguSVFfREVGRVJSRURfVEFYRVNfVE9UQUwuMjAwMC4xNC8wNi8yMDI2Li4uVVNELkgBAAAA6XECAAIAAAACMzUBCAAAAAUAAAABMQEAAAALLTE4ODc3MDQzNDEDAAAAAzE2MAIAAAAFMzUzODUEAAAAATAHAAAACTYvMTQvMjAyNggAAAAJMy8zMS8yMDI2CQAAAAEw0qO22f7J3giUNs3b/sneCDFDSVEuTllTRTpCQUguSVFfQ1VSUl9UQVhFUy45OTEuMTQvMDYvMjAyNi4uLlVTRC5IAQAAAOlxAgACAAAABzE0My44NzQBCAAAAAUAAAABMQEAAAAKMTk2NTc3MjQyMgMAAAADMTYwAgAAAAUzNTM4MwQAAAABMAcAAAAJNi8xNC8yMDI2CAAAAAkzLzMxLzIwMTcJAAAAATDSo7bZ/sneCD9qy9v+yd4IOkNJUS5O</t>
  </si>
  <si>
    <t>WVNFOkJBSC5JUV9BU19SRVBPUlRFRF9FQklUREEuMjAwMC4xNC8wNi8yMDI2Li4uVVNELkgBAAAA6XECAAIAAAAEMTIyOQDSo7bZ/sneCJf7yNv+yd4IOENJUS5OWVNFOkJBSC5JUV9GRUVTX09USEVSX0lOQ09NRS45OTEuMTQvMDYvMjAyNi4uLlVTRC5IAQAAAOlxAgADAAAAAADSo7bZ/sneCJf7yNv+yd4IPkNJUS5OWVNFOkJBSC5JUV9FQklUREFSX0VRX0lOQ19FWENMX1NCQy45OTEuMTQvMDYvMjAyNi4uLlVTRC5IAQAAAOlxAgACAAAABzY2NC4zNzMBCAAAAAUAAAABMQEAAAAKMTk2NTc3MjQyMgMAAAADMTYwAgAAAAUyNDEzMwQAAAABMAcAAAAJNi8xNC8yMDI2CAAAAAkzLzMxLzIwMTcJAAAAATDSo7bZ/sneCLmIxtv+yd4INUNJUS5OWVNFOkJBSC5JUV9FQklUX0VYQ0xfU0JDLjIwMDAuMTQvMDYvMjAyNi4uLlVTRC5IAQAAAOlxAgACAAAABDExNjQBCAAAAAUAAAABMQEAAAALLTE4ODc3MDQzNDEDAAAAAzE2MAIAAAAFMjQxMzQEAAAAATAHAAAACTYvMTQvMjAyNggAAAAJMy8zMS8yMDI2CQAAAAEwsQ0F2v7J3gi5iMbb/sneCCxDSVEuTllTRTpCQUguSVFfRUJJVC4yMDAwLjE0LzA2LzIwMjYuLi5VU0QuSAEAAADpcQIAAgAAAAQxMDk1AQgAAAAFAAAAATEBAAAACy0xODg3NzA0MzQxAwAAAAMxNjACAAAAAzQwMAQAAAABMAcAAAAJNi8xNC8yMDI2CAAAAAkzLzMxLzIwMjYJAAAAATCxDQXa/sne</t>
  </si>
  <si>
    <t>CA8vxNv+yd4IPENJUS5OWVNFOkJBSC5JUV9FQklUREFfTEVBU0VfQURKVVNURUQuOTkxLjE0LzA2LzIwMjYuLi5VU0QuSAEAAADpcQIAAgAAAAc1NjEuNTI0AQgAAAAFAAAAATEBAAAACjE5NjU3NzI0MjIDAAAAAzE2MAIAAAAFNDg5OTMEAAAAATAHAAAACTYvMTQvMjAyNggAAAAJMy8zMS8yMDE3CQAAAAEwTIME2v7J3ggPL8Tb/sneCDRDSVEuTllTRTpCQUguSVFfQ09NTU9OX0lTU1VFRC45OTEuMTQvMDYvMjAyNi4uLlVTRC5IAQAAAOlxAgACAAAABjIxLjAwMQEIAAAABQAAAAExAQAAAAoxOTY1NzcyNDIyAwAAAAMxNjACAAAABDIxNjkEAAAAATAHAAAACTYvMTQvMjAyNggAAAAJMy8zMS8yMDE3CQAAAAEww5x/2f7J3ghAGeXb/sneCDVDSVEuTllTRTpCQUguSVFfQ0hBTkdFX0RFRl9UQVguOTkyLjE0LzA2LzIwMjYuLi5VU0QuSAEAAADpcQIAAwAAAAAAJOZ+2f7J3ggEQeDb/sneCDBDSVEuTllTRTpCQUguSVFfQ0hBTkdFX0FQLjk5MS4xNC8wNi8yMDI2Li4uVVNELkgBAAAA6XECAAIAAAAGMTQuODQ2AQgAAAAFAAAAATEBAAAACjE5NjU3NzI0MjIDAAAAAzE2MAIAAAAEMjAxNwQAAAABMAcAAAAJNi8xNC8yMDI2CAAAAAkzLzMxLzIwMTcJAAAAATAk5n7Z/sneCARB4Nv+yd4IO0NJUS5OWVNFOkJBSC5JUV9SRVNUUl9TVE9DS19DT01QX1RBWC45OTIuMTQvMDYvMjAyNi4uLlVTRC5IAQAAAOlxAgAD</t>
  </si>
  <si>
    <t>AAAAAAA85HzZ/sneCHT82Nv+yd4IOENJUS5OWVNFOkJBSC5JUV9TVE9DS19CQVNFRF9UT1RBTC45OTAuMTQvMDYvMjAyNi4uLlVTRC5IAQAAAOlxAgACAAAABjI0Ljk5MgEIAAAABQAAAAExAQAAAAoxODkxMzQ3ODY5AwAAAAMxNjACAAAABTI0MDM0BAAAAAEwBwAAAAk2LzE0LzIwMjYIAAAACTMvMzEvMjAxNgkAAAABMDzkfNn+yd4IdPzY2/7J3ghBQ0lRLk5ZU0U6QkFILklRX1NUT0NLX0JBU0VEX0VYUExPUkVfRFJJTEwuMjAwMC4xNC8wNi8yMDI2Li4uVVNELkgBAAAA6XECAAMAAAAAADzkfNn+yd4IdPzY2/7J3gg3Q0lRLk5ZU0U6QkFILklRX1NUT0NLX0JBU0VEX0NPR1MuOTkwLjE0LzA2LzIwMjYuLi5VU0QuSAEAAADpcQIAAgAAAAU3LjAwMQEIAAAABQAAAAExAQAAAAoxODkxMzQ3ODY5AwAAAAMxNjACAAAABTIyNjc0BAAAAAEwBwAAAAk2LzE0LzIwMjYIAAAACTMvMzEvMjAxNgkAAAABMNKjttn+yd4I28PX2/7J3gg4Q0lRLk5ZU0U6QkFILklRX0lOU19TRVRUTEVfU1VQUExFLjk5MS4xNC8wNi8yMDI2Li4uVVNELkgBAAAA6XECAAMAAAAAANKjttn+yd4IwOzV2/7J3gg7Q0lRLk5ZU0U6QkFILklRX0lNUEFJUk1FTlRfR1dfU1VQUExFLjk5MC4xNC8wNi8yMDI2Li4uVVNELkgBAAAA6XECAAMAAAAAANKjttn+yd4IiOvS2/7J3ggzQ0lRLk5ZU0U6QkFILklRX01BSU5UX1JFUEFJUi45OTEuMTQv</t>
  </si>
  <si>
    <t>MDYvMjAyNi4uLlVTRC5IAQAAAOlxAgADAAAAAADSo7bZ/sneCIjr0tv+yd4INUNJUS5OWVNFOkJBSC5JUV9BSVJDUkFGVF9SRU5ULjIwMDAuMTQvMDYvMjAyNi4uLlVTRC5IAQAAAOlxAgADAAAAAADSo7bZ/sneCIjr0tv+yd4INUNJUS5OWVNFOkJBSC5JUV9ORVRfUkVOVEFMX0VYUC45OTAuMTQvMDYvMjAyNi4uLlVTRC5IAQAAAOlxAgACAAAABDg4LjUBCAAAAAUAAAABMQEAAAAKMTg5MTM0Nzg2OQMAAAADMTYwAgAAAAUyNDI2MQQAAAABMAcAAAAJNi8xNC8yMDI2CAAAAAkzLzMxLzIwMTYJAAAAATDSo7bZ/sneCMhJ0Nv+yd4INkNJUS5OWVNFOkJBSC5JUV9TQUxFU19NQVJLRVRJTkcuOTkyLjE0LzA2LzIwMjYuLi5VU0QuSAEAAADpcQIAAwAAAAAA0qO22f7J3gjISdDb/sneCD1DSVEuTllTRTpCQUguSVFfQU5OVV9ESVNUUklCVVRJT05fVU5JVC45OTAuMTQvMDYvMjAyNi4uLlVTRC5IAQAAAOlxAgADAAAAAADSo7bZ/sneCEXUzdv+yd4IOUNJUS5OWVNFOkJBSC5JUV9ESVNUUklCVVRBQkxFX0NBU0guOTkyLjE0LzA2LzIwMjYuLi5VU0QuSAEAAADpcQIAAwAAAAAA0qO22f7J3ghF1M3b/sneCEBDSVEuTllTRTpCQUguSVFfTk9OUkVDVVJSSU5HX0lOQ09NRV9UQVhFUy45OTAuMTQvMDYvMjAyNi4uLlVTRC5IAQAAAOlxAgADAAAAAADSo7bZ/sneCD9qy9v+yd4IMUNJUS5OWVNFOkJBSC5JUV9DVVJS</t>
  </si>
  <si>
    <t>X1RBWEVTLjk5Mi4xNC8wNi8yMDI2Li4uVVNELkgBAAAA6XECAAIAAAAHMTE5LjM4OAEIAAAABQAAAAExAQAAAAoyMDM4MDkxMDc3AwAAAAMxNjACAAAABTM1MzgzBAAAAAEwBwAAAAk2LzE0LzIwMjYIAAAACTMvMzEvMjAxOAkAAAABMNKjttn+yd4IP2rL2/7J3ghJQ0lRLk5ZU0U6QkFILklRX1BST1ZfQkFEX0RFQlRTX1BBVElFTlRfU0VSVklDRV9SRVYuOTkwLjE0LzA2LzIwMjYuLi5VU0QuSAEAAADpcQIAAwAAAAAA0qO22f7J3giX+8jb/sneCDhDSVEuTllTRTpCQUguSVFfRkVFU19PVEhFUl9JTkNPTUUuOTkyLjE0LzA2LzIwMjYuLi5VU0QuSAEAAADpcQIAAwAAAAAA0qO22f7J3giX+8jb/sneCCxDSVEuTllTRTpCQUguSVFfRUJJVEEuOTkwLjE0LzA2LzIwMjYuLi5VU0QuSAEAAADpcQIAAgAAAAc0NTYuNjg0AQgAAAAFAAAAATEBAAAACjE4OTEzNDc4NjkDAAAAAzE2MAIAAAAGMTAwNjg5BAAAAAEwBwAAAAk2LzE0LzIwMjYIAAAACTMvMzEvMjAxNgkAAAABMLENBdr+yd4IuYjG2/7J3ggrQ0lRLk5ZU0U6QkFILklRX0VCSVQuOTkyLjE0LzA2LzIwMjYuLi5VU0QuSAEAAADpcQIAAgAAAAc1MTIuNDQ0AQgAAAAFAAAAATEBAAAACjIwMzgwOTEwNzcDAAAAAzE2MAIAAAADNDAwBAAAAAEwBwAAAAk2LzE0LzIwMjYIAAAACTMvMzEvMjAxOAkAAAABMLENBdr+yd4IDy/E2/7J3gg8Q0lRLk5ZU0U6QkFI</t>
  </si>
  <si>
    <t>LklRX0VCSVREQV9MRUFTRV9BREpVU1RFRC45OTIuMTQvMDYvMjAyNi4uLlVTRC5IAQAAAOlxAgACAAAABTU3Ny4yAQgAAAAFAAAAATEBAAAACjIwMzgwOTEwNzcDAAAAAzE2MAIAAAAFNDg5OTMEAAAAATAHAAAACTYvMTQvMjAyNggAAAAJMy8zMS8yMDE4CQAAAAEwTIME2v7J3ggPL8Tb/sneCDZDSVEuTllTRTpCQUguSVFfVE9UQUxfUkVWX1NIQVJFLjk5MC4xNC8wNi8yMDI2Li4uVVNELkgBAAAA6XECAAIAAAAJMzYuOTAwNjQ0AQgAAAAFAAAAATEBAAAACjE4OTEzNDc4NjkDAAAAAzE2MAIAAAAENDM4MgQAAAABMAcAAAAJNi8xNC8yMDI2CAAAAAkzLzMxLzIwMTYJAAAAATBMgwTa/sneCNipwdv+yd4INUNJUS5OWVNFOkJBSC5JUV9CQVNJQ19FUFNfSU5DTC45OTAuMTQvMDYvMjAyNi4uLlVTRC5IAQAAAOlxAgACAAAACDEuOTgzMjk3AQgAAAAFAAAAATEBAAAACjE4OTEzNDc4NjkDAAAAAzE2MAIAAAABOQQAAAABMAcAAAAJNi8xNC8yMDI2CAAAAAkzLzMxLzIwMTYJAAAAATBMgwTa/sneCNipwdv+yd4IKUNJUS5OWVNFOkJBSC5JUV9OSS45OTIuMTQvMDYvMjAyNi4uLlVTRC5IAQAAAOlxAgACAAAABzMwMS42OTIBCAAAAAUAAAABMQEAAAAKMjAzODA5MTA3NwMAAAADMTYwAgAAAAIxNQQAAAABMAcAAAAJNi8xNC8yMDI2CAAAAAkzLzMxLzIwMTgJAAAAATBMgwTa/sneCCfyvdv+yd4IL0NJUS5OWVNF</t>
  </si>
  <si>
    <t>OkJBSC5JUV9QUkVGX1JFUC45OTEuMTQvMDYvMjAyNi4uLlVTRC5IAQAAAOlxAgADAAAAAADDnH/Z/sneCO335dv+yd4IO0NJUS5OWVNFOkJBSC5JUV9TQUxFX1JFQUxfRVNUQVRFX0NGLjIwMDAuMTQvMDYvMjAyNi4uLlVTRC5IAQAAAOlxAgADAAAAAAAk5n7Z/sneCI+x4tv+yd4IMENJUS5OWVNFOkJBSC5JUV9DSEFOR0VfQVAuOTkyLjE0LzA2LzIwMjYuLi5VU0QuSAEAAADpcQIAAgAAAAY1My41MjcBCAAAAAUAAAABMQEAAAAKMjAzODA5MTA3NwMAAAADMTYwAgAAAAQyMDE3BAAAAAEwBwAAAAk2LzE0LzIwMjYIAAAACTMvMzEvMjAxOAkAAAABMCTmftn+yd4IBEHg2/7J3ggsQ0lRLk5ZU0U6QkFILklRX0RPX0NGLjk5Mi4xNC8wNi8yMDI2Li4uVVNELkgBAAAA6XECAAMAAAAAACTmftn+yd4IYNnd2/7J3gg5Q0lRLk5ZU0U6QkFILklRX0FTU0VUX1dSSVRFRE9XTl9DRi45OTIuMTQvMDYvMjAyNi4uLlVTRC5IAQAAAOlxAgADAAAAAAA85HzZ/sneCGDZ3dv+yd4IOENJUS5OWVNFOkJBSC5JUV9TVE9DS19CQVNFRF9UT1RBTC45OTIuMTQvMDYvMjAyNi4uLlVTRC5IAQAAAOlxAgACAAAABjIzLjMxOAEIAAAABQAAAAExAQAAAAoyMDM4MDkxMDc3AwAAAAMxNjACAAAABTI0MDM0BAAAAAEwBwAAAAk2LzE0LzIwMjYIAAAACTMvMzEvMjAxOAkAAAABMDzkfNn+yd4IdPzY2/7J3gg4Q0lRLk5ZU0U6QkFILklR</t>
  </si>
  <si>
    <t>X1NUT0NLX0JBU0VEX09USEVSLjk5MC4xNC8wNi8yMDI2Li4uVVNELkgBAAAA6XECAAMAAAAAADzkfNn+yd4IdPzY2/7J3gg3Q0lRLk5ZU0U6QkFILklRX1NUT0NLX0JBU0VEX0NPR1MuOTkxLjE0LzA2LzIwMjYuLi5VU0QuSAEAAADpcQIAAgAAAAU1Ljc1NgEIAAAABQAAAAExAQAAAAoxOTY1NzcyNDIyAwAAAAMxNjACAAAABTIyNjc0BAAAAAEwBwAAAAk2LzE0LzIwMjYIAAAACTMvMzEvMjAxNwkAAAABMNKjttn+yd4I28PX2/7J3gg4Q0lRLk5ZU0U6QkFILklRX0lOU19TRVRUTEVfU1VQUExFLjk5Mi4xNC8wNi8yMDI2Li4uVVNELkgBAAAA6XECAAMAAAAAANKjttn+yd4IwOzV2/7J3ghBQ0lRLk5ZU0U6QkFILklRX0RFUFJFQ0lBVElPTl9SRU5UQUxfQVNTRVRTLjk5MC4xNC8wNi8yMDI2Li4uVVNELkgBAAAA6XECAAMAAAAAANKjttn+yd4IiOvS2/7J3gg1Q0lRLk5ZU0U6QkFILklRX05FVF9SRU5UQUxfRVhQLjk5MS4xNC8wNi8yMDI2Li4uVVNELkgBAAAA6XECAAIAAAAEODEuNgEIAAAABQAAAAExAQAAAAoxOTY1NzcyNDIyAwAAAAMxNjACAAAABTI0MjYxBAAAAAEwBwAAAAk2LzE0LzIwMjYIAAAACTMvMzEvMjAxNwkAAAABMNKjttn+yd4IyEnQ2/7J3gg4Q0lRLk5ZU0U6QkFILklRX0lOVF9FWFBfSU5DTF9DQVAuMjAwMC4xNC8wNi8yMDI2Li4uVVNELkgBAAAA6XECAAIAAAADMTg0AQgAAAAFAAAA</t>
  </si>
  <si>
    <t>ATEBAAAACy0xODg3NzA0MzQxAwAAAAMxNjACAAAABTIxODYxBAAAAAEwBwAAAAk2LzE0LzIwMjYIAAAACTMvMzEvMjAyNgkAAAABMNKjttn+yd4IRdTN2/7J3gg7Q0lRLk5ZU0U6QkFILklRX0NBUElUQUxJWkVEX0lOVEVSRVNULjk5MS4xNC8wNi8yMDI2Li4uVVNELkgBAAAA6XECAAMAAAAAANKjttn+yd4IRdTN2/7J3ghAQ0lRLk5ZU0U6QkFILklRX05PTlJFQ1VSUklOR19JTkNPTUVfVEFYRVMuOTkxLjE0LzA2LzIwMjYuLi5VU0QuSAEAAADpcQIAAwAAAAAA0qO22f7J3gg/asvb/sneCD9DSVEuTllTRTpCQUguSVFfRVhDSVNFX1RBWEVTX0lOQ0xfU0FMRVMuMjAwMC4xNC8wNi8yMDI2Li4uVVNELkgBAAAA6XECAAMAAAAAANKjttn+yd4Il/vI2/7J3gg3Q0lRLk5ZU0U6QkFILklRX0lOVEVSRVNUX0lOQ09NRS4yMDAwLjE0LzA2LzIwMjYuLi5VU0QuSAEAAADpcQIAAwAAAAAA0qO22f7J3giX+8jb/sneCElDSVEuTllTRTpCQUguSVFfUFJPVl9CQURfREVCVFNfUEFUSUVOVF9TRVJWSUNFX1JFVi45OTEuMTQvMDYvMjAyNi4uLlVTRC5IAQAAAOlxAgADAAAAAADSo7bZ/sneCJf7yNv+yd4INkNJUS5OWVNFOkJBSC5JUV9FQklUQV9FWENMX1NCQy4yMDAwLjE0LzA2LzIwMjYuLi5VU0QuSAEAAADpcQIAAgAAAAQxMjU5AQgAAAAFAAAAATEBAAAACy0xODg3NzA0MzQxAwAAAAMxNjACAAAABTI0MTM2BAAA</t>
  </si>
  <si>
    <t>AAEwBwAAAAk2LzE0LzIwMjYIAAAACTMvMzEvMjAyNgkAAAABMNKjttn+yd4IuYjG2/7J3ggsQ0lRLk5ZU0U6QkFILklRX0VCSVRBLjk5MS4xNC8wNi8yMDI2Li4uVVNELkgBAAAA6XECAAIAAAAGNTE5Ljg4AQgAAAAFAAAAATEBAAAACjE5NjU3NzI0MjIDAAAAAzE2MAIAAAAGMTAwNjg5BAAAAAEwBwAAAAk2LzE0LzIwMjYIAAAACTMvMzEvMjAxNwkAAAABMLENBdr+yd4IuYjG2/7J3gg1Q0lRLk5ZU0U6QkFILklRX0VCSVREQV9FUV9JTkMuMjAwMC4xNC8wNi8yMDI2Li4uVVNELkgBAAAA6XECAAIAAAAEMTMzMwEIAAAABQAAAAExAQAAAAstMTg4NzcwNDM0MQMAAAADMTYwAgAAAAUyMTY3NwQAAAABMAcAAAAJNi8xNC8yMDI2CAAAAAkzLzMxLzIwMjYJAAAAATBMgwTa/sneCA8vxNv+yd4IMENJUS5OWVNFOkJBSC5JUV9FUFNfTk9STS4yMDAwLjE0LzA2LzIwMjYuLi5VU0QuSAEAAADpcQIAAgAAAAg0LjY5NDk4NwEIAAAABQAAAAExAQAAAAstMTg4NzcwNDM0MQMAAAADMTYwAgAAAAQ0Mzc5BAAAAAEwBwAAAAk2LzE0LzIwMjYIAAAACTMvMzEvMjAyNgkAAAABMEyDBNr+yd4I2KnB2/7J3gg1Q0lRLk5ZU0U6QkFILklRX0RJTFVUX0VQU19JTkNMLjk5MS4xNC8wNi8yMDI2Li4uVVNELkgBAAAA6XECAAIAAAAIMS43MjAyNzYBCAAAAAUAAAABMQEAAAAKMTk2NTc3MjQyMgMAAAADMTYwAgAAAAE4BAAAAAEw</t>
  </si>
  <si>
    <t>BwAAAAk2LzE0LzIwMjYIAAAACTMvMzEvMjAxNwkAAAABMEyDBNr+yd4I2KnB2/7J3gg1Q0lRLk5ZU0U6QkFILklRX0JBU0lDX0VQU19JTkNMLjk5MS4xNC8wNi8yMDI2Li4uVVNELkgBAAAA6XECAAIAAAAIMS43NDQwMDcBCAAAAAUAAAABMQEAAAAKMTk2NTc3MjQyMgMAAAADMTYwAgAAAAE5BAAAAAEwBwAAAAk2LzE0LzIwMjYIAAAACTMvMzEvMjAxNwkAAAABMEyDBNr+yd4I2KnB2/7J3gg1Q0lRLk5ZU0U6QkFILklRX01JU0NfQURKVVNUX0NGLjk5MC4xNC8wNi8yMDI2Li4uVVNELkgBAAAA6XECAAMAAAAAAMOcf9n+yd4IBYvn2/7J3ggvQ0lRLk5ZU0U6QkFILklRX1BSRUZfUkVQLjk5Mi4xNC8wNi8yMDI2Li4uVVNELkgBAAAA6XECAAMAAAAAAMOcf9n+yd4I7ffl2/7J3gg0Q0lRLk5ZU0U6QkFILklRX1NBTEVfSU5UQU5fQ0YuOTkwLjE0LzA2LzIwMjYuLi5VU0QuSAEAAADpcQIAAwAAAAAAJOZ+2f7J3giPseLb/sneCDZDSVEuTllTRTpCQUguSVFfQ0FTSF9BQ1FVSVJFX0NGLjk5MC4xNC8wNi8yMDI2Li4uVVNELkgBAAAA6XECAAIAAAAHLTUxLjExOAEIAAAABQAAAAExAQAAAAoxODkxMzQ3ODY5AwAAAAMxNjACAAAABDIwNTcEAAAAATAHAAAACTYvMTQvMjAyNggAAAAJMy8zMS8yMDE2CQAAAAEwJOZ+2f7J3ggEQeDb/sneCDBDSVEuTllTRTpCQUguSVFfQ0FTSF9PUEVSLjk5MS4xNC8wNi8yMDI2</t>
  </si>
  <si>
    <t>Li4uVVNELkgBAAAA6XECAAIAAAAHMzgyLjI3NwEIAAAABQAAAAExAQAAAAoxOTY1NzcyNDIyAwAAAAMxNjACAAAABDIwMDYEAAAAATAHAAAACTYvMTQvMjAyNggAAAAJMy8zMS8yMDE3CQAAAAEwJOZ+2f7J3ggEQeDb/sneCDhDSVEuTllTRTpCQUguSVFfU1RPQ0tfQkFTRURfT1RIRVIuOTkxLjE0LzA2LzIwMjYuLi5VU0QuSAEAAADpcQIAAwAAAAAAPOR82f7J3gh0/Njb/sneCDdDSVEuTllTRTpCQUguSVFfU1RPQ0tfQkFTRURfQ09HUy45OTIuMTQvMDYvMjAyNi4uLlVTRC5IAQAAAOlxAgACAAAABTcuNzcxAQgAAAAFAAAAATEBAAAACjIwMzgwOTEwNzcDAAAAAzE2MAIAAAAFMjI2NzQEAAAAATAHAAAACTYvMTQvMjAyNggAAAAJMy8zMS8yMDE4CQAAAAEw0qO22f7J3gjbw9fb/sneCDxDSVEuTllTRTpCQUguSVFfVE9UQUxfVU5VU1VBTF9TVVBQTEUuMjAwMC4xNC8wNi8yMDI2Li4uVVNELkgBAAAA6XECAAMAAAAAANKjttn+yd4IwOzV2/7J3gg3Q0lRLk5ZU0U6QkFILklRX0dBSU5fQkFSR0FJTl9BQ1EuOTkwLjE0LzA2LzIwMjYuLi5VU0QuSAEAAADpcQIAAwAAAAAA0qO22f7J3gjK1NXb/sneCD9DSVEuTllTRTpCQUguSVFfU0FMQVJJRVNfT1RIRVJfQkVORUZJVFMuMjAwMC4xNC8wNi8yMDI2Li4uVVNELkgBAAAA6XECAAMAAAAAANKjttn+yd4IiOvS2/7J3ghBQ0lRLk5ZU0U6QkFILklRX0RFUFJF</t>
  </si>
  <si>
    <t>Q0lBVElPTl9SRU5UQUxfQVNTRVRTLjk5MS4xNC8wNi8yMDI2Li4uVVNELkgBAAAA6XECAAMAAAAAANKjttn+yd4IiOvS2/7J3gg1Q0lRLk5ZU0U6QkFILklRX05FVF9SRU5UQUxfRVhQLjk5Mi4xNC8wNi8yMDI2Li4uVVNELkgBAAAA6XECAAMAAAAAANKjttn+yd4IyEnQ2/7J3gg6Q0lRLk5ZU0U6QkFILklRX05PTkNBU0hfUEVOU0lPTl9FWFAuOTkwLjE0LzA2LzIwMjYuLi5VU0QuSAEAAADpcQIAAgAAAAMwLjcBCAAAAAUAAAABMQEAAAAKMTg5MTM0Nzg2OQMAAAADMTYwAgAAAAUyMTY3OAQAAAABMAcAAAAJNi8xNC8yMDI2CAAAAAkzLzMxLzIwMTYJAAAAATDSo7bZ/sneCEXUzdv+yd4IO0NJUS5OWVNFOkJBSC5JUV9DQVBJVEFMSVpFRF9JTlRFUkVTVC45OTIuMTQvMDYvMjAyNi4uLlVTRC5IAQAAAOlxAgADAAAAAADSo7bZ/sneCEXUzdv+yd4IOkNJUS5OWVNFOkJBSC5JUV9DVVJSX0RPTUVTVElDX1RBWEVTLjk5MC4xNC8wNi8yMDI2Li4uVVNELkgBAAAA6XECAAIAAAAGNzcuODU2AQgAAAAFAAAAATEBAAAACjE4OTEzNDc4NjkDAAAAAzE2MAIAAAAEMzAyNwQAAAABMAcAAAAJNi8xNC8yMDI2CAAAAAkzLzMxLzIwMTYJAAAAATDSo7bZ/sneCJf7yNv+yd4INkNJUS5OWVNFOkJBSC5JUV9JTlRFUkVTVF9JTkNPTUUuOTkyLjE0LzA2LzIwMjYuLi5VU0QuSAEAAADpcQIAAwAAAAAA0qO22f7J3giX+8jb</t>
  </si>
  <si>
    <t>/sneCDpDSVEuTllTRTpCQUguSVFfQ09NTU9OX1BSRUZfRElWX0NGLjIwMDAuMTQvMDYvMjAyNi4uLlVTRC5IAQAAAOlxAgADAAAAAADDnH/Z/sneCO335dv+yd4INENJUS5OWVNFOkJBSC5JUV9TQUxFX0lOVEFOX0NGLjk5Mi4xNC8wNi8yMDI2Li4uVVNELkgBAAAA6XECAAMAAAAAACTmftn+yd4Ij7Hi2/7J3gg2Q0lRLk5ZU0U6QkFILklRX0NBU0hfQUNRVUlSRV9DRi45OTIuMTQvMDYvMjAyNi4uLlVTRC5IAQAAAOlxAgACAAAABy0xOS4xMTMBCAAAAAUAAAABMQEAAAAKMjAzODA5MTA3NwMAAAADMTYwAgAAAAQyMDU3BAAAAAEwBwAAAAk2LzE0LzIwMjYIAAAACTMvMzEvMjAxOAkAAAABMCTmftn+yd4IBEHg2/7J3ggwQ0lRLk5ZU0U6QkFILklRX0NBU0hfT1BFUi45OTIuMTQvMDYvMjAyNi4uLlVTRC5IAQAAAOlxAgACAAAABzM2OS4xNDMBCAAAAAUAAAABMQEAAAAKMjAzODA5MTA3NwMAAAADMTYwAgAAAAQyMDA2BAAAAAEwBwAAAAk2LzE0LzIwMjYIAAAACTMvMzEvMjAxOAkAAAABMCTmftn+yd4IBEHg2/7J3gg1Q0lRLk5ZU0U6QkFILklRX0NSRURJVF9MT1NTX0NGLjk5MS4xNC8wNi8yMDI2Li4uVVNELkgBAAAA6XECAAMAAAAAAHwfftn+yd4IYNnd2/7J3ggzQ0lRLk5ZU0U6QkFILklRX0RBX1NVUFBMX0NGLjIwMDAuMTQvMDYvMjAyNi4uLlVTRC5IAQAAAOlxAgACAAAAAjY4AQgAAAAFAAAAATEB</t>
  </si>
  <si>
    <t>AAAACy0xODg3NzA0MzQxAwAAAAMxNjACAAAABDIxNzEEAAAAATAHAAAACTYvMTQvMjAyNggAAAAJMy8zMS8yMDI2CQAAAAEwPOR82f7J3giseNzb/sneCDhDSVEuTllTRTpCQUguSVFfU1RPQ0tfQkFTRURfQ09NUC4yMDAwLjE0LzA2LzIwMjYuLi5VU0QuSAEAAADpcQIAAgAAAAI1NwA85HzZ/sneCN9y29v+yd4IP0NJUS5OWVNFOkJBSC5JUV9TVE9DS19CQVNFRF9DT01QX1BSRVRBWC4yMDAwLjE0LzA2LzIwMjYuLi5VU0QuSAEAAADpcQIAAgAAAAI2OQA85HzZ/sneCN9y29v+yd4IPkNJUS5OWVNFOkJBSC5JUV9TVE9DS19PUFRJT05TX0NPTVBfVEFYLjIwMDAuMTQvMDYvMjAyNi4uLlVTRC5IAQAAAOlxAgADAAAAAAA85HzZ/sneCHT82Nv+yd4INkNJUS5OWVNFOkJBSC5JUV9TVE9DS19CQVNFRF9HQS4yMDAwLjE0LzA2LzIwMjYuLi5VU0QuSAEAAADpcQIAAgAAAAI0MgEIAAAABQAAAAExAQAAAAstMTg4NzcwNDM0MQMAAAADMTYwAgAAAAUyMjY3NQQAAAABMAcAAAAJNi8xNC8yMDI2CAAAAAkzLzMxLzIwMjYJAAAAATA85HzZ/sneCBSH2Nv+yd4IOENJUS5OWVNFOkJBSC5JUV9ORUdBVElWRV9HV19BTU9SVC45OTAuMTQvMDYvMjAyNi4uLlVTRC5IAQAAAOlxAgADAAAAAADSo7bZ/sneCMDs1dv+yd4IN0NJUS5OWVNFOkJBSC5JUV9HQUlOX0JBUkdBSU5fQUNRLjk5MS4xNC8wNi8yMDI2Li4uVVNELkgB</t>
  </si>
  <si>
    <t>AAAA6XECAAMAAAAAANKjttn+yd4Iu63V2/7J3gg2Q0lRLk5ZU0U6QkFILklRX01JTklNVU1fUkVOVEFMLjIwMDAuMTQvMDYvMjAyNi4uLlVTRC5IAQAAAOlxAgADAAAAAADSo7bZ/sneCMhJ0Nv+yd4ILkNJUS5OWVNFOkJBSC5JUV9HQV9FWFAuMjAwMC4xNC8wNi8yMDI2Li4uVVNELkgBAAAA6XECAAIAAAAEMTE3NgEIAAAABQAAAAExAQAAAAstMTg4NzcwNDM0MQMAAAADMTYwAgAAAAUyMTU2MgQAAAABMAcAAAAJNi8xNC8yMDI2CAAAAAkzLzMxLzIwMjYJAAAAATDSo7bZ/sneCMhJ0Nv+yd4IMkNJUS5OWVNFOkJBSC5JUV9BRFZFUlRJU0lORy45OTEuMTQvMDYvMjAyNi4uLlVTRC5IAQAAAOlxAgADAAAAAADSo7bZ/sneCMhJ0Nv+yd4IKUNJUS5OWVNFOkJBSC5JUV9GWC45OTEuMTQvMDYvMjAyNi4uLlVTRC5IAQAAAOlxAgADAAAAAADDnH/Z/sneCAWL59v+yd4IOENJUS5OWVNFOkJBSC5JUV9UT1RBTF9ESVZfUEFJRF9DRi45OTAuMTQvMDYvMjAyNi4uLlVTRC5IAQAAAOlxAgACAAAABy04MC4wMTUBCAAAAAUAAAABMQEAAAAKMTg5MTM0Nzg2OQMAAAADMTYwAgAAAAQyMDIyBAAAAAEwBwAAAAk2LzE0LzIwMjYIAAAACTMvMzEvMjAxNgkAAAABMMOcf9n+yd4I7ffl2/7J3gg4Q0lRLk5ZU0U6QkFILklRX1RPVEFMX0RFQlRfUkVQQUlELjk5MC4xNC8wNi8yMDI2Li4uVVNELkgBAAAA6XECAAIAAAAILTI5</t>
  </si>
  <si>
    <t>NS4wNjMBCAAAAAUAAAABMQEAAAAKMTg5MTM0Nzg2OQMAAAADMTYwAgAAAAQyMTY2BAAAAAEwBwAAAAk2LzE0LzIwMjYIAAAACTMvMzEvMjAxNgkAAAABMMOcf9n+yd4IQBnl2/7J3gg1Q0lRLk5ZU0U6QkFILklRX0xUX0RFQlRfSVNTVUVELjk5Mi4xNC8wNi8yMDI2Li4uVVNELkgBAAAA6XECAAIAAAAHNDY3LjY3OAEIAAAABQAAAAExAQAAAAoyMDM4MDkxMDc3AwAAAAMxNjACAAAABDIwMzQEAAAAATAHAAAACTYvMTQvMjAyNggAAAAJMy8zMS8yMDE4CQAAAAEww5x/2f7J3giPseLb/sneCDZDSVEuTllTRTpCQUguSVFfQ0hBTkdFX0lOQ19UQVguMjAwMC4xNC8wNi8yMDI2Li4uVVNELkgBAAAA6XECAAIAAAADLTExAQgAAAAFAAAAATEBAAAACy0xODg3NzA0MzQxAwAAAAMxNjACAAAABDIxMDEEAAAAATAHAAAACTYvMTQvMjAyNggAAAAJMy8zMS8yMDI2CQAAAAEwJOZ+2f7J3ggEQeDb/sneCDZDSVEuTllTRTpCQUguSVFfU1RPQ0tfQkFTRURfQ0YuMjAwMC4xNC8wNi8yMDI2Li4uVVNELkgBAAAA6XECAAIAAAACNjkBCAAAAAUAAAABMQEAAAALLTE4ODc3MDQzNDEDAAAAAzE2MAIAAAAEMjEyNwQAAAABMAcAAAAJNi8xNC8yMDI2CAAAAAkzLzMxLzIwMjYJAAAAATB8H37Z/sneCGDZ3dv+yd4INUNJUS5OWVNFOkJBSC5JUV9DUkVESVRfTE9TU19DRi45OTIuMTQvMDYvMjAyNi4uLlVTRC5IAQAAAOlxAgAD</t>
  </si>
  <si>
    <t>AAAAAAB8H37Z/sneCGDZ3dv+yd4ILENJUS5OWVNFOkJBSC5JUV9EQV9DRi45OTAuMTQvMDYvMjAyNi4uLlVTRC5IAQAAAOlxAgACAAAABjYxLjUzNgEIAAAABQAAAAExAQAAAAoxODkxMzQ3ODY5AwAAAAMxNjACAAAABDIxNjAEAAAAATAHAAAACTYvMTQvMjAyNggAAAAJMy8zMS8yMDE2CQAAAAEwPOR82f7J3giseNzb/sneCDhDSVEuTllTRTpCQUguSVFfR1dfSU5UQU5fQU1PUlRfQ0YuOTkwLjE0LzA2LzIwMjYuLi5VU0QuSAEAAADpcQIAAgAAAAQxMi4xAQgAAAAFAAAAATEBAAAACjE4OTEzNDc4NjkDAAAAAzE2MAIAAAAEMjE4MgQAAAABMAcAAAAJNi8xNC8yMDI2CAAAAAkzLzMxLzIwMTYJAAAAATA85HzZ/sneCKx43Nv+yd4ILENJUS5OWVNFOkJBSC5JUV9OSV9DRi45OTAuMTQvMDYvMjAyNi4uLlVTRC5IAQAAAOlxAgACAAAABzI5NC4wOTQBCAAAAAUAAAABMQEAAAAKMTg5MTM0Nzg2OQMAAAADMTYwAgAAAAQyMTUwBAAAAAEwBwAAAAk2LzE0LzIwMjYIAAAACTMvMzEvMjAxNgkAAAABMDzkfNn+yd4I33Lb2/7J3gg7Q0lRLk5ZU0U6QkFILklRX1NUT0NLX0JBU0VEX0NPTVBfVEFYLjk5MS4xNC8wNi8yMDI2Li4uVVNELkgBAAAA6XECAAMAAAAAADzkfNn+yd4I33Lb2/7J3gg5Q0lRLk5ZU0U6QkFILklRX1NUT0NLX09QVElPTlNfQ09NUC45OTAuMTQvMDYvMjAyNi4uLlVTRC5IAQAAAOlxAgADAAAA</t>
  </si>
  <si>
    <t>AAA85HzZ/sneCHT82Nv+yd4INkNJUS5OWVNFOkJBSC5JUV9TVE9DS19CQVNFRF9TR0EuOTkwLjE0LzA2LzIwMjYuLi5VU0QuSAEAAADpcQIAAwAAAAAAPOR82f7J3ggUh9jb/sneCDhDSVEuTllTRTpCQUguSVFfTkVHQVRJVkVfR1dfQU1PUlQuOTkxLjE0LzA2LzIwMjYuLi5VU0QuSAEAAADpcQIAAwAAAAAA0qO22f7J3gjA7NXb/sneCDdDSVEuTllTRTpCQUguSVFfR0FJTl9CQVJHQUlOX0FDUS45OTIuMTQvMDYvMjAyNi4uLlVTRC5IAQAAAOlxAgADAAAAAADSo7bZ/sneCLut1dv+yd4IPENJUS5OWVNFOkJBSC5JUV9JTVBBSVJNRU5UX0dXX1NVUFBMRS4yMDAwLjE0LzA2LzIwMjYuLi5VU0QuSAEAAADpcQIAAwAAAAAA0qO22f7J3gh4V9Xb/sneCD9DSVEuTllTRTpCQUguSVFfSU1QVVRfT1BFUl9MRUFTRV9JTlRfRVhQLjk5MS4xNC8wNi8yMDI2Li4uVVNELkgBAAAA6XECAAIAAAAIMjMuNzc4MjQBCAAAAAUAAAABMQEAAAAKMTk2NTc3MjQyMgMAAAADMTYwAgAAAAUyMTY3MgQAAAABMAcAAAAJNi8xNC8yMDI2CAAAAAkzLzMxLzIwMTcJAAAAATDSo7bZ/sneCIjr0tv+yd4IM0NJUS5OWVNFOkJBSC5JUV9PVEhFUl9SRU5UQUwuOTkwLjE0LzA2LzIwMjYuLi5VU0QuSAEAAADpcQIAAwAAAAAA0qO22f7J3gjISdDb/sneCDBDSVEuTllTRTpCQUguSVFfUkRfRVhQX0ZOLjk5MC4xNC8wNi8yMDI2Li4uVVNE</t>
  </si>
  <si>
    <t>LkgBAAAA6XECAAMAAAAAANKjttn+yd4IyEnQ2/7J3ggyQ0lRLk5ZU0U6QkFILklRX0FEVkVSVElTSU5HLjk5Mi4xNC8wNi8yMDI2Li4uVVNELkgBAAAA6XECAAMAAAAAANKjttn+yd4IyEnQ2/7J3ghGQ0lRLk5ZU0U6QkFILklRX0RJU1RSSUJVVEFCTEVfQ0FTSF9TVEFOREFSRElaRUQuOTkyLjE0LzA2LzIwMjYuLi5VU0QuSAEAAADpcQIAAwAAAAAA0qO22f7J3ghF1M3b/sneCDpDSVEuTllTRTpCQUguSVFfTk9OQ0FTSF9QRU5TSU9OX0VYUC45OTIuMTQvMDYvMjAyNi4uLlVTRC5IAQAAAOlxAgACAAAAAzAuOQEIAAAABQAAAAExAQAAAAoyMDM4MDkxMDc3AwAAAAMxNjACAAAABTIxNjc4BAAAAAEwBwAAAAk2LzE0LzIwMjYIAAAACTMvMzEvMjAxOAkAAAABMNKjttn+yd4IRdTN2/7J3gguQ0lRLk5ZU0U6QkFILklRX05JX05PUk0uOTkwLjE0LzA2LzIwMjYuLi5VU0QuSAEAAADpcQIAAgAAAAkyMzcuMTYzNzUBCAAAAAUAAAABMQEAAAAKMTg5MTM0Nzg2OQMAAAADMTYwAgAAAAQ0Mzc4BAAAAAEwBwAAAAk2LzE0LzIwMjYIAAAACTMvMzEvMjAxNgkAAAABMNKjttn+yd4IlDbN2/7J3gg9Q0lRLk5ZU0U6QkFILklRX0RFRkVSUkVEX0ZPUkVJR05fVEFYRVMuOTkwLjE0LzA2LzIwMjYuLi5VU0QuSAEAAADpcQIAAwAAAAAA0qO22f7J3gg/asvb/sneCDpDSVEuTllTRTpCQUguSVFfQ1VSUl9ET01FU1RJQ19U</t>
  </si>
  <si>
    <t>QVhFUy45OTIuMTQvMDYvMjAyNi4uLlVTRC5IAQAAAOlxAgACAAAABzEwOS4zNzQBCAAAAAUAAAABMQEAAAAKMjAzODA5MTA3NwMAAAADMTYwAgAAAAQzMDI3BAAAAAEwBwAAAAk2LzE0LzIwMjYIAAAACTMvMzEvMjAxOAkAAAABMNKjttn+yd4Il/vI2/7J3gg8Q0lRLk5ZU0U6QkFILklRX1RPVEFMX1JFVl9BU19SRVBPUlRFRC45OTAuMTQvMDYvMjAyNi4uLlVTRC5IAQAAAOlxAgADAAAAAADSo7bZ/sneCJf7yNv+yd4IN0NJUS5OWVNFOkJBSC5JUV9FQklUREFSX0VYQ0xfU0JDLjk5Mi4xNC8wNi8yMDI2Li4uVVNELkgBAAAA6XECAAIAAAAHNjgxLjcxOAEIAAAABQAAAAExAQAAAAoyMDM4MDkxMDc3AwAAAAMxNjACAAAABTI0MTM3BAAAAAEwBwAAAAk2LzE0LzIwMjYIAAAACTMvMzEvMjAxOAkAAAABMNKjttn+yd4IuYjG2/7J3gg7Q0lRLk5ZU0U6QkFILklRX0VCSVRfRVFfSU5DX0VYQ0xfU0JDLjk5MC4xNC8wNi8yMDI2Li4uVVNELkgBAAAA6XECAAIAAAAHNDY5LjU3NgEIAAAABQAAAAExAQAAAAoxODkxMzQ3ODY5AwAAAAMxNjACAAAABTI0MTMwBAAAAAEwBwAAAAk2LzE0LzIwMjYIAAAACTMvMzEvMjAxNgkAAAABMLENBdr+yd4IDy/E2/7J3gg+Q0lRLk5ZU0U6QkFILklRX0xFQVNFX0FESlVTVE1FTlRfRUJJVERBLjk5Mi4xNC8wNi8yMDI2Li4uVVNELkgBAAAA6XECAAMAAAAAAEyDBNr+yd4IDy/E</t>
  </si>
  <si>
    <t>2/7J3gg/Q0lRLk5ZU0U6QkFILklRX0RJU1RSSUJVVEFCTEVfQ0FTSF9TSEFSRS45OTAuMTQvMDYvMjAyNi4uLlVTRC5IAQAAAOlxAgADAAAAAABMgwTa/sneCA8vxNv+yd4INUNJUS5OWVNFOkJBSC5JUV9ESUxVVF9FUFNfTk9STS45OTIuMTQvMDYvMjAyNi4uLlVTRC5IAQAAAOlxAgACAAAACDEuODE5MTAyAQgAAAAFAAAAATEBAAAACjIwMzgwOTEwNzcDAAAAAzE2MAIAAAAENDM4MAQAAAABMAcAAAAJNi8xNC8yMDI2CAAAAAkzLzMxLzIwMTgJAAAAATBMgwTa/sneCNipwdv+yd4INUNJUS5OWVNFOkJBSC5JUV9CQVNJQ19FUFNfRVhDTC45OTAuMTQvMDYvMjAyNi4uLlVTRC5IAQAAAOlxAgACAAAACDEuOTgzMjk3AQgAAAAFAAAAATEBAAAACjE4OTEzNDc4NjkDAAAAAzE2MAIAAAAEMzA2NAQAAAABMAcAAAAJNi8xNC8yMDI2CAAAAAkzLzMxLzIwMTYJAAAAATBMgwTa/sneCNipwdv+yd4INENJUS5OWVNFOkJBSC5JUV9OSV9BVkFJTF9JTkNMLjk5MC4xNC8wNi8yMDI2Li4uVVNELkgBAAAA6XECAAIAAAAHMjkwLjU0MgEIAAAABQAAAAExAQAAAAoxODkxMzQ3ODY5AwAAAAMxNjACAAAAAjE2BAAAAAEwBwAAAAk2LzE0LzIwMjYIAAAACTMvMzEvMjAxNgkAAAABMEyDBNr+yd4IJ/K92/7J3ggpQ0lRLk5ZU0U6QkFILklRX0ZYLjk5Mi4xNC8wNi8yMDI2Li4uVVNELkgBAAAA6XECAAMAAAAAAMOcf9n+yd4I</t>
  </si>
  <si>
    <t>BYvn2/7J3gg4Q0lRLk5ZU0U6QkFILklRX1RPVEFMX0RJVl9QQUlEX0NGLjk5MS4xNC8wNi8yMDI2Li4uVVNELkgBAAAA6XECAAIAAAAHLTkyLjkyNQEIAAAABQAAAAExAQAAAAoxOTY1NzcyNDIyAwAAAAMxNjACAAAABDIwMjIEAAAAATAHAAAACTYvMTQvMjAyNggAAAAJMy8zMS8yMDE3CQAAAAEww5x/2f7J3gjt9+Xb/sneCD1DSVEuTllTRTpCQUguSVFfQ0hBTkdFX1RSQURJTkdfQVNTRVRTLjIwMDAuMTQvMDYvMjAyNi4uLlVTRC5IAQAAAOlxAgADAAAAAAAk5n7Z/sneCGDZ3dv+yd4INUNJUS5OWVNFOkJBSC5JUV9TVE9DS19CQVNFRF9DRi45OTIuMTQvMDYvMjAyNi4uLlVTRC5IAQAAAOlxAgACAAAABjIzLjMxOAEIAAAABQAAAAExAQAAAAoyMDM4MDkxMDc3AwAAAAMxNjACAAAABDIxMjcEAAAAATAHAAAACTYvMTQvMjAyNggAAAAJMy8zMS8yMDE4CQAAAAEwfB9+2f7J3ghg2d3b/sneCCxDSVEuTllTRTpCQUguSVFfREFfQ0YuOTkxLjE0LzA2LzIwMjYuLi5VU0QuSAEAAADpcQIAAgAAAAY1OS41NDQBCAAAAAUAAAABMQEAAAAKMTk2NTc3MjQyMgMAAAADMTYwAgAAAAQyMTYwBAAAAAEwBwAAAAk2LzE0LzIwMjYIAAAACTMvMzEvMjAxNwkAAAABMDzkfNn+yd4IrHjc2/7J3gg4Q0lRLk5ZU0U6QkFILklRX0dXX0lOVEFOX0FNT1JUX0NGLjk5MS4xNC8wNi8yMDI2Li4uVVNELkgBAAAA6XECAAIAAAAE</t>
  </si>
  <si>
    <t>MTcuOQEIAAAABQAAAAExAQAAAAoxOTY1NzcyNDIyAwAAAAMxNjACAAAABDIxODIEAAAAATAHAAAACTYvMTQvMjAyNggAAAAJMy8zMS8yMDE3CQAAAAEwPOR82f7J3giseNzb/sneCCxDSVEuTllTRTpCQUguSVFfTklfQ0YuOTkyLjE0LzA2LzIwMjYuLi5VU0QuSAEAAADpcQIAAgAAAAczMDEuNjkyAQgAAAAFAAAAATEBAAAACjIwMzgwOTEwNzcDAAAAAzE2MAIAAAAEMjE1MAQAAAABMAcAAAAJNi8xNC8yMDI2CAAAAAkzLzMxLzIwMTgJAAAAATA85HzZ/sneCN9y29v+yd4IN0NJUS5OWVNFOkJBSC5JUV9SRVNUUl9TVE9DS19DT01QLjk5Mi4xNC8wNi8yMDI2Li4uVVNELkgBAAAA6XECAAMAAAAAADzkfNn+yd4IdPzY2/7J3gg4Q0lRLk5ZU0U6QkFILklRX05FR0FUSVZFX0dXX0FNT1JULjk5Mi4xNC8wNi8yMDI2Li4uVVNELkgBAAAA6XECAAMAAAAAANKjttn+yd4IwOzV2/7J3gg7Q0lRLk5ZU0U6QkFILklRX0xFR0FMX1NFVFRMRV9TVVBQTEUuMjAwMC4xNC8wNi8yMDI2Li4uVVNELkgBAAAA6XECAAMAAAAAANKjttn+yd4IwOzV2/7J3gg9Q0lRLk5ZU0U6QkFILklRX0FTU0VUX1dSSVRFRE9XTl9TVVBQTEUuOTkxLjE0LzA2LzIwMjYuLi5VU0QuSAEAAADpcQIAAwAAAAAA0qO22f7J3ghPQ9Xb/sneCD9DSVEuTllTRTpCQUguSVFfSU1QVVRfT1BFUl9MRUFTRV9JTlRfRVhQLjk5Mi4xNC8wNi8yMDI2Li4u</t>
  </si>
  <si>
    <t>VVNELkgBAAAA6XECAAIAAAAJMjkuMzQ4Mjc4AQgAAAAFAAAAATEBAAAACjIwMzgwOTEwNzcDAAAAAzE2MAIAAAAFMjE2NzIEAAAAATAHAAAACTYvMTQvMjAyNggAAAAJMy8zMS8yMDE4CQAAAAEw0qO22f7J3giI69Lb/sneCDBDSVEuTllTRTpCQUguSVFfUkRfRVhQX0ZOLjk5MS4xNC8wNi8yMDI2Li4uVVNELkgBAAAA6XECAAMAAAAAANKjttn+yd4IyEnQ2/7J3ggzQ0lRLk5ZU0U6QkFILklRX0lOVF9FWFBfTFRELjIwMDAuMTQvMDYvMjAyNi4uLlVTRC5IAQAAAOlxAgACAAAAAzIxMwEIAAAABQAAAAExAQAAAAstMTg4NzcwNDM0MQMAAAADMTYwAgAAAAQzMTAxBAAAAAEwBwAAAAk2LzE0LzIwMjYIAAAACTMvMzEvMjAyNgkAAAABMNKjttn+yd4IRdTN2/7J3gguQ0lRLk5ZU0U6QkFILklRX05JX05PUk0uOTkxLjE0LzA2LzIwMjYuLi5VU0QuSAEAAADpcQIAAgAAAAoyNjguNDEwNjI1AQgAAAAFAAAAATEBAAAACjE5NjU3NzI0MjIDAAAAAzE2MAIAAAAENDM3OAQAAAABMAcAAAAJNi8xNC8yMDI2CAAAAAkzLzMxLzIwMTcJAAAAATDSo7bZ/sneCJQ2zdv+yd4IOUNJUS5OWVNFOkJBSC5JUV9JTlZFU1RNRU5UX0lOQ09NRS4yMDAwLjE0LzA2LzIwMjYuLi5VU0QuSAEAAADpcQIAAwAAAAAA0qO22f7J3giX+8jb/sneCEBDSVEuTllTRTpCQUguSVFfRUFSTklOR19QQVJFTlRfRVhDTF9FWFRSQS45OTEuMTQv</t>
  </si>
  <si>
    <t>MDYvMjAyNi4uLlVTRC5IAQAAAOlxAgACAAAABzI2MC44MjUBCAAAAAUAAAABMQEAAAAKMTk2NTc3MjQyMgMAAAADMTYwAgAAAAU0MTU5NgQAAAABMAcAAAAJNi8xNC8yMDI2CAAAAAkzLzMxLzIwMTcJAAAAATDSo7bZ/sneCJf7yNv+yd4IPENJUS5OWVNFOkJBSC5JUV9UT1RBTF9SRVZfQVNfUkVQT1JURUQuOTkxLjE0LzA2LzIwMjYuLi5VU0QuSAEAAADpcQIAAwAAAAAA0qO22f7J3giX+8jb/sneCC9DSVEuTllTRTpCQUguSVFfRUJJVERBUi4yMDAwLjE0LzA2LzIwMjYuLi5VU0QuSAEAAADpcQIAAgAAAAQxMzMzAQgAAAAFAAAAATEBAAAACy0xODg3NzA0MzQxAwAAAAMxNjACAAAABTIxNjc0BAAAAAEwBwAAAAk2LzE0LzIwMjYIAAAACTMvMzEvMjAyNgkAAAABMNKjttn+yd4IuYjG2/7J3gg0Q0lRLk5ZU0U6QkFILklRX0VCSVRBX0VRX0lOQy4yMDAwLjE0LzA2LzIwMjYuLi5VU0QuSAEAAADpcQIAAgAAAAQxMTkwAQgAAAAFAAAAATEBAAAACy0xODg3NzA0MzQxAwAAAAMxNjACAAAABTIxNjc2BAAAAAEwBwAAAAk2LzE0LzIwMjYIAAAACTMvMzEvMjAyNgkAAAABMNKjttn+yd4IuYjG2/7J3gg7Q0lRLk5ZU0U6QkFILklRX0VCSVRfRVFfSU5DX0VYQ0xfU0JDLjk5MS4xNC8wNi8yMDI2Li4uVVNELkgBAAAA6XECAAIAAAAHNTIzLjIyOQEIAAAABQAAAAExAQAAAAoxOTY1NzcyNDIyAwAAAAMxNjACAAAA</t>
  </si>
  <si>
    <t>BTI0MTMwBAAAAAEwBwAAAAk2LzE0LzIwMjYIAAAACTMvMzEvMjAxNwkAAAABMLENBdr+yd4IDy/E2/7J3gg/Q0lRLk5ZU0U6QkFILklRX0RJU1RSSUJVVEFCTEVfQ0FTSF9TSEFSRS45OTEuMTQvMDYvMjAyNi4uLlVTRC5IAQAAAOlxAgADAAAAAABMgwTa/sneCA8vxNv+yd4IOENJUS5OWVNFOkJBSC5JUV9UT1RBTF9ESVZfUEFJRF9DRi45OTIuMTQvMDYvMjAyNi4uLlVTRC5IAQAAAOlxAgACAAAACC0xMDMuNDExAQgAAAAFAAAAATEBAAAACjIwMzgwOTEwNzcDAAAAAzE2MAIAAAAEMjAyMgQAAAABMAcAAAAJNi8xNC8yMDI2CAAAAAkzLzMxLzIwMTgJAAAAATDDnH/Z/sneCO335dv+yd4IPUNJUS5OWVNFOkJBSC5JUV9PVEhFUl9JTlZFU1RfQUNUX1NVUFBMLjk5Mi4xNC8wNi8yMDI2Li4uVVNELkgBAAAA6XECAAIAAAAFMS4wOTcBCAAAAAUAAAABMQEAAAAKMjAzODA5MTA3NwMAAAADMTYwAgAAAAQyMDUxBAAAAAEwBwAAAAk2LzE0LzIwMjYIAAAACTMvMzEvMjAxOAkAAAABMCTmftn+yd4Ij7Hi2/7J3gg5Q0lRLk5ZU0U6QkFILklRX1BST1ZfQkFEX0RFQlRTX0NGLjIwMDAuMTQvMDYvMjAyNi4uLlVTRC5IAQAAAOlxAgADAAAAAAAk5n7Z/sneCGDZ3dv+yd4INkNJUS5OWVNFOkJBSC5JUV9HQUlOX0lOVkVTVF9DRi4yMDAwLjE0LzA2LzIwMjYuLi5VU0QuSAEAAADpcQIAAgAAAAMtMTYBCAAAAAUAAAAB</t>
  </si>
  <si>
    <t>MQEAAAALLTE4ODc3MDQzNDEDAAAAAzE2MAIAAAAEMjA5MAQAAAABMAcAAAAJNi8xNC8yMDI2CAAAAAkzLzMxLzIwMjYJAAAAATA85HzZ/sneCGDZ3dv+yd4IO0NJUS5OWVNFOkJBSC5JUV9NSU5PUklUWV9JTlRFUkVTVF9DRi45OTIuMTQvMDYvMjAyNi4uLlVTRC5IAQAAAOlxAgADAAAAAAA85HzZ/sneCKx43Nv+yd4ILENJUS5OWVNFOkJBSC5JUV9EQV9DRi45OTIuMTQvMDYvMjAyNi4uLlVTRC5IAQAAAOlxAgACAAAABjY0Ljc1NgEIAAAABQAAAAExAQAAAAoyMDM4MDkxMDc3AwAAAAMxNjACAAAABDIxNjAEAAAAATAHAAAACTYvMTQvMjAyNggAAAAJMy8zMS8yMDE4CQAAAAEwPOR82f7J3giseNzb/sneCD5DSVEuTllTRTpCQUguSVFfUkVTVFJfU1RPQ0tfQ09NUF9QUkVUQVguOTkxLjE0LzA2LzIwMjYuLi5VU0QuSAEAAADpcQIAAgAAAAYxOC43MjYAPOR82f7J3gh0/Njb/sneCDZDSVEuTllTRTpCQUguSVFfU1RPQ0tfQkFTRURfUkQuMjAwMC4xNC8wNi8yMDI2Li4uVVNELkgBAAAA6XECAAMAAAAAANKjttn+yd4I8RHY2/7J3gg7Q0lRLk5ZU0U6QkFILklRX09USEVSX1VOVVNVQUxfU1VQUExFLjk5MC4xNC8wNi8yMDI2Li4uVVNELkgBAAAA6XECAAMAAAAAANKjttn+yd4IwOzV2/7J3gg9Q0lRLk5ZU0U6QkFILklRX0FTU0VUX1dSSVRFRE9XTl9TVVBQTEUuOTkyLjE0LzA2LzIwMjYuLi5VU0QuSAEA</t>
  </si>
  <si>
    <t>AADpcQIAAwAAAAAA0qO22f7J3ghPQ9Xb/sneCDpDSVEuTllTRTpCQUguSVFfUkVTVFJVQ1RVUkVfU1VQUExFLjIwMDAuMTQvMDYvMjAyNi4uLlVTRC5IAQAAAOlxAgADAAAAAADSo7bZ/sneCIjr0tv+yd4IPkNJUS5OWVNFOkJBSC5JUV9FWFBMT1JFX0RSSUxMX0VYUF9UT1RBTC45OTAuMTQvMDYvMjAyNi4uLlVTRC5IAQAAAOlxAgADAAAAAADSo7bZ/sneCIjr0tv+yd4IPUNJUS5OWVNFOkJBSC5JUV9ORVRfUkVOVEFMX0VYUF9TVVBQTEUuMjAwMC4xNC8wNi8yMDI2Li4uVVNELkgBAAAA6XECAAMAAAAAANKjttn+yd4IyEnQ2/7J3ggwQ0lRLk5ZU0U6QkFILklRX1JEX0VYUF9GTi45OTIuMTQvMDYvMjAyNi4uLlVTRC5IAQAAAOlxAgADAAAAAADSo7bZ/sneCMhJ0Nv+yd4IKkNJUS5OWVNFOkJBSC5JUV9ESUMuOTkwLjE0LzA2LzIwMjYuLi5VU0QuSAEAAADpcQIAAwAAAAAA0qO22f7J3ghF1M3b/sneCEhDSVEuTllTRTpCQUguSVFfSU5URVJFU1RfRVhQX0xFQVNFX0xJQUJJTElUWV9ERUJULjk5MC4xNC8wNi8yMDI2Li4uVVNELkgBAAAA6XECAAMAAAAAANKjttn+yd4IRdTN2/7J3gguQ0lRLk5ZU0U6QkFILklRX05JX05PUk0uOTkyLjE0LzA2LzIwMjYuLi5VU0QuSAEAAADpcQIAAgAAAAgyNjguNzcyNQEIAAAABQAAAAExAQAAAAoyMDM4MDkxMDc3AwAAAAMxNjACAAAABDQzNzgEAAAAATAHAAAACTYv</t>
  </si>
  <si>
    <t>MTQvMjAyNggAAAAJMy8zMS8yMDE4CQAAAAEw0qO22f7J3giUNs3b/sneCD5DSVEuTllTRTpCQUguSVFfRVhDSVNFX1RBWEVTX0VYQ0xfU0FMRVMuOTkwLjE0LzA2LzIwMjYuLi5VU0QuSAEAAADpcQIAAwAAAAAA0qO22f7J3giX+8jb/sneCEBDSVEuTllTRTpCQUguSVFfRUFSTklOR19QQVJFTlRfRVhDTF9FWFRSQS45OTIuMTQvMDYvMjAyNi4uLlVTRC5IAQAAAOlxAgACAAAABzMwMS42OTIBCAAAAAUAAAABMQEAAAAKMjAzODA5MTA3NwMAAAADMTYwAgAAAAU0MTU5NgQAAAABMAcAAAAJNi8xNC8yMDI2CAAAAAkzLzMxLzIwMTgJAAAAATDSo7bZ/sneCJf7yNv+yd4INUNJUS5OWVNFOkJBSC5JUV9FQklUREFSX0VRX0lOQy45OTAuMTQvMDYvMjAyNi4uLlVTRC5IAQAAAOlxAgACAAAABjU5NC42MgEIAAAABQAAAAExAQAAAAoxODkxMzQ3ODY5AwAAAAMxNjACAAAABTI0MTI5BAAAAAEwBwAAAAk2LzE0LzIwMjYIAAAACTMvMzEvMjAxNgkAAAABMNKjttn+yd4IuYjG2/7J3ggzQ0lRLk5ZU0U6QkFILklRX0VCSVRBX0VRX0lOQy45OTIuMTQvMDYvMjAyNi4uLlVTRC5IAQAAAOlxAgACAAAABzUzMy4xNDQBCAAAAAUAAAABMQEAAAAKMjAzODA5MTA3NwMAAAADMTYwAgAAAAUyMTY3NgQAAAABMAcAAAAJNi8xNC8yMDI2CAAAAAkzLzMxLzIwMTgJAAAAATDSo7bZ/sneCLmIxtv+yd4IO0NJUS5OWVNFOkJBSC5J</t>
  </si>
  <si>
    <t>UV9FQklUX0VRX0lOQ19FWENMX1NCQy45OTIuMTQvMDYvMjAyNi4uLlVTRC5IAQAAAOlxAgACAAAABzUzNS43NjIBCAAAAAUAAAABMQEAAAAKMjAzODA5MTA3NwMAAAADMTYwAgAAAAUyNDEzMAQAAAABMAcAAAAJNi8xNC8yMDI2CAAAAAkzLzMxLzIwMTgJAAAAATCxDQXa/sneCA8vxNv+yd4INkNJUS5OWVNFOkJBSC5JUV9FQklUREFfRVhDTF9TQkMuOTkwLjE0LzA2LzIwMjYuLi5VU0QuSAEAAADpcQIAAgAAAAc1MzEuMTEyAQgAAAAFAAAAATEBAAAACjE4OTEzNDc4NjkDAAAAAzE2MAIAAAAFMjQxMzUEAAAAATAHAAAACTYvMTQvMjAyNggAAAAJMy8zMS8yMDE2CQAAAAEwTIME2v7J3ggPL8Tb/sneCC1DSVEuTllTRTpCQUguSVFfRUJJVERBLjk5MC4xNC8wNi8yMDI2Li4uVVNELkgBAAAA6XECAAIAAAAGNTA2LjEyAQgAAAAFAAAAATEBAAAACjE4OTEzNDc4NjkDAAAAAzE2MAIAAAAENDA1MQQAAAABMAcAAAAJNi8xNC8yMDI2CAAAAAkzLzMxLzIwMTYJAAAAATBMgwTa/sneCA8vxNv+yd4IP0NJUS5OWVNFOkJBSC5JUV9ESVNUUklCVVRBQkxFX0NBU0hfU0hBUkUuOTkyLjE0LzA2LzIwMjYuLi5VU0QuSAEAAADpcQIAAwAAAAAATIME2v7J3gg9G8Tb/sneCDVDSVEuTllTRTpCQUguSVFfQkFTSUNfRVBTX0VYQ0wuOTkyLjE0LzA2LzIwMjYuLi5VU0QuSAEAAADpcQIAAgAAAAgyLjA1NDA4NwEIAAAABQAA</t>
  </si>
  <si>
    <t>AAExAQAAAAoyMDM4MDkxMDc3AwAAAAMxNjACAAAABDMwNjQEAAAAATAHAAAACTYvMTQvMjAyNggAAAAJMy8zMS8yMDE4CQAAAAEwTIME2v7J3gjYqcHb/sneCClDSVEuTllTRTpCQUguSVFfRE8uOTkwLjE0LzA2LzIwMjYuLi5VU0QuSAEAAADpcQIAAwAAAAAATIME2v7J3gjfzbzb/sneCDpDSVEuTllTRTpCQUguSVFfT1RIRVJfVU5VU1VBTF9TVVBQTC45OTIuMTQvMDYvMjAyNi4uLlVTRC5IAQAAAOlxAgADAAAAAADFIQTa/sneCN/NvNv+yd4IMkNJUS5OWVNFOkJBSC5JUV9DT01NT05fUkVQLjIwMDAuMTQvMDYvMjAyNi4uLlVTRC5IAQAAAOlxAgACAAAABC01OTgBCAAAAAUAAAABMQEAAAALLTE4ODc3MDQzNDEDAAAAAzE2MAIAAAAEMjE2NAQAAAABMAcAAAAJNi8xNC8yMDI2CAAAAAkzLzMxLzIwMjYJAAAAATDDnH/Z/sneCO335dv+yd4INUNJUS5OWVNFOkJBSC5JUV9MVF9ERUJUX1JFUEFJRC45OTEuMTQvMDYvMjAyNi4uLlVTRC5IAQAAAOlxAgACAAAACC05NjguMzI1AQgAAAAFAAAAATEBAAAACjE5NjU3NzI0MjIDAAAAAzE2MAIAAAAEMjAzNgQAAAABMAcAAAAJNi8xNC8yMDI2CAAAAAkzLzMxLzIwMTcJAAAAATDDnH/Z/sneCEAZ5dv+yd4INUNJUS5OWVNFOkJBSC5JUV9MVF9ERUJUX0lTU1VFRC45OTAuMTQvMDYvMjAyNi4uLlVTRC5IAQAAAOlxAgACAAAAAzI3MwEIAAAABQAAAAExAQAAAAox</t>
  </si>
  <si>
    <t>ODkxMzQ3ODY5AwAAAAMxNjACAAAABDIwMzQEAAAAATAHAAAACTYvMTQvMjAyNggAAAAJMy8zMS8yMDE2CQAAAAEww5x/2f7J3giPseLb/sneCDNDSVEuTllTRTpCQUguSVFfU0FMRV9QUEVfQ0YuMjAwMC4xNC8wNi8yMDI2Li4uVVNELkgBAAAA6XECAAMAAAAAACTmftn+yd4IBEHg2/7J3gg4Q0lRLk5ZU0U6QkFILklRX0NIQU5HRV9JTlZFTlRPUlkuMjAwMC4xNC8wNi8yMDI2Li4uVVNELkgBAAAA6XECAAMAAAAAACTmftn+yd4IBEHg2/7J3ggsQ0lRLk5ZU0U6QkFILklRX0RPX0NGLjk5MC4xNC8wNi8yMDI2Li4uVVNELkgBAAAA6XECAAMAAAAAACTmftn+yd4IYNnd2/7J3gg1Q0lRLk5ZU0U6QkFILklRX0dBSU5fSU5WRVNUX0NGLjk5Mi4xNC8wNi8yMDI2Li4uVVNELkgBAAAA6XECAAMAAAAAADzkfNn+yd4IYNnd2/7J3gg+Q0lRLk5ZU0U6QkFILklRX1JFU1RSX1NUT0NLX0NPTVBfUFJFVEFYLjk5Mi4xNC8wNi8yMDI2Li4uVVNELkgBAAAA6XECAAIAAAAGMjEuMjgyADzkfNn+yd4IdPzY2/7J3gg1Q0lRLk5ZU0U6QkFILklRX1NUT0NLX0JBU0VEX0FULjk5MC4xNC8wNi8yMDI2Li4uVVNELkgBAAAA6XECAAMAAAAAADzkfNn+yd4IdPzY2/7J3gg1Q0lRLk5ZU0U6QkFILklRX1NUT0NLX0JBU0VEX1JELjk5Mi4xNC8wNi8yMDI2Li4uVVNELkgBAAAA6XECAAMAAAAAANKjttn+yd4I8RHY2/7J3gg7Q0lR</t>
  </si>
  <si>
    <t>Lk5ZU0U6QkFILklRX09USEVSX1VOVVNVQUxfU1VQUExFLjk5MS4xNC8wNi8yMDI2Li4uVVNELkgBAAAA6XECAAMAAAAAANKjttn+yd4IwOzV2/7J3gg/Q0lRLk5ZU0U6QkFILklRX0dBSU5fQkFSR0FJTl9BQ1FfU1VQUExFLjIwMDAuMTQvMDYvMjAyNi4uLlVTRC5IAQAAAOlxAgADAAAAAADSo7bZ/sneCMDs1dv+yd4INENJUS5OWVNFOkJBSC5JUV9NRVJHRVJfU1VQUExFLjk5MC4xNC8wNi8yMDI2Li4uVVNELkgBAAAA6XECAAMAAAAAANKjttn+yd4IiOvS2/7J3gg+Q0lRLk5ZU0U6QkFILklRX0VYUExPUkVfRFJJTExfRVhQX1RPVEFMLjk5MS4xNC8wNi8yMDI2Li4uVVNELkgBAAAA6XECAAMAAAAAANKjttn+yd4IiOvS2/7J3gg8Q0lRLk5ZU0U6QkFILklRX05FVF9SRU5UQUxfRVhQX1NVUFBMRS45OTIuMTQvMDYvMjAyNi4uLlVTRC5IAQAAAOlxAgACAAAABDgxLjIBCAAAAAUAAAABMQEAAAAKMjAzODA5MTA3NwMAAAADMTYwAgAAAAUyNDI2MwQAAAABMAcAAAAJNi8xNC8yMDI2CAAAAAkzLzMxLzIwMTgJAAAAATDSo7bZ/sneCMhJ0Nv+yd4IMUNJUS5OWVNFOkJBSC5JUV9NQVJLRVRJTkcuMjAwMC4xNC8wNi8yMDI2Li4uVVNELkgBAAAA6XECAAMAAAAAANKjttn+yd4IyEnQ2/7J3ggwQ0lRLk5ZU0U6QkFILklRX0RBX0VCSVREQS45OTEuMTQvMDYvMjAyNi4uLlVTRC5IAQAAAOlxAgACAAAABjU5LjU0</t>
  </si>
  <si>
    <t>NAEIAAAABQAAAAExAQAAAAoxOTY1NzcyNDIyAwAAAAMxNjACAAAABDIyMDYEAAAAATAHAAAACTYvMTQvMjAyNggAAAAJMy8zMS8yMDE3CQAAAAEw0qO22f7J3ghF1M3b/sneCEhDSVEuTllTRTpCQUguSVFfSU5URVJFU1RfRVhQX0xFQVNFX0xJQUJJTElUWV9ERUJULjk5MS4xNC8wNi8yMDI2Li4uVVNELkgBAAAA6XECAAMAAAAAANKjttn+yd4IRdTN2/7J3gg+Q0lRLk5ZU0U6QkFILklRX0RFRkVSUkVEX0ZPUkVJR05fVEFYRVMuMjAwMC4xNC8wNi8yMDI2Li4uVVNELkgBAAAA6XECAAMAAAAAANKjttn+yd4IP2rL2/7J3gg6Q0lRLk5ZU0U6QkFILklRX0NVUlJfRk9SRUlHTl9UQVhFUy4yMDAwLjE0LzA2LzIwMjYuLi5VU0QuSAEAAADpcQIAAgAAAAEzAQgAAAAFAAAAATEBAAAACy0xODg3NzA0MzQxAwAAAAMxNjACAAAABDMwMzAEAAAAATAHAAAACTYvMTQvMjAyNggAAAAJMy8zMS8yMDI2CQAAAAEw0qO22f7J3gg/asvb/sneCD5DSVEuTllTRTpCQUguSVFfRVhDSVNFX1RBWEVTX0VYQ0xfU0FMRVMuOTkxLjE0LzA2LzIwMjYuLi5VU0QuSAEAAADpcQIAAwAAAAAA0qO22f7J3giX+8jb/sneCDRDSVEuTllTRTpCQUguSVFfRUJJVERBX0NBUEVYLjIwMDAuMTQvMDYvMjAyNi4uLlVTRC5IAQAAAOlxAgACAAAABDExNjgBCAAAAAUAAAABMQEAAAALLTE4ODc3MDQzNDEDAAAAAzE2MAIAAAAFMzUzNzkEAAAA</t>
  </si>
  <si>
    <t>ATAHAAAACTYvMTQvMjAyNggAAAAJMy8zMS8yMDI2CQAAAAEw0qO22f7J3gi5iMbb/sneCDJDSVEuTllTRTpCQUguSVFfQ0FTSF9GSU5BTi4yMDAwLjE0LzA2LzIwMjYuLi5VU0QuSAEAAADpcQIAAgAAAAQtODk4AQgAAAAFAAAAATEBAAAACy0xODg3NzA0MzQxAwAAAAMxNjACAAAABDIwMDQEAAAAATAHAAAACTYvMTQvMjAyNggAAAAJMy8zMS8yMDI2CQAAAAEww5x/2f7J3ggFi+fb/sneCDlDSVEuTllTRTpCQUguSVFfQ09NTU9OX1BSRUZfRElWX0NGLjk5MS4xNC8wNi8yMDI2Li4uVVNELkgBAAAA6XECAAMAAAAAAMOcf9n+yd4I7ffl2/7J3ggyQ0lRLk5ZU0U6QkFILklRX1BSRUZfSVNTVUVELjk5MC4xNC8wNi8yMDI2Li4uVVNELkgBAAAA6XECAAMAAAAAAMOcf9n+yd4I7ffl2/7J3gg1Q0lRLk5ZU0U6QkFILklRX0xUX0RFQlRfUkVQQUlELjk5Mi4xNC8wNi8yMDI2Li4uVVNELkgBAAAA6XECAAIAAAAILTMxNy4xNDkBCAAAAAUAAAABMQEAAAAKMjAzODA5MTA3NwMAAAADMTYwAgAAAAQyMDM2BAAAAAEwBwAAAAk2LzE0LzIwMjYIAAAACTMvMzEvMjAxOAkAAAABMMOcf9n+yd4IQBnl2/7J3gg1Q0lRLk5ZU0U6QkFILklRX0xUX0RFQlRfSVNTVUVELjk5MS4xNC8wNi8yMDI2Li4uVVNELkgBAAAA6XECAAIAAAAIMTAxOS4zODMBCAAAAAUAAAABMQEAAAAKMTk2NTc3MjQyMgMAAAADMTYwAgAAAAQyMDM0</t>
  </si>
  <si>
    <t>BAAAAAEwBwAAAAk2LzE0LzIwMjYIAAAACTMvMzEvMjAxNwkAAAABMMOcf9n+yd4Ij7Hi2/7J3ggyQ0lRLk5ZU0U6QkFILklRX1NBTEVfUFBFX0NGLjk5Mi4xNC8wNi8yMDI2Li4uVVNELkgBAAAA6XECAAMAAAAAACTmftn+yd4IBEHg2/7J3ggwQ0lRLk5ZU0U6QkFILklRX0NBU0hfT1BFUi45OTAuMTQvMDYvMjAyNi4uLlVTRC5IAQAAAOlxAgACAAAABzI0OS4yMzQBCAAAAAUAAAABMQEAAAAKMTg5MTM0Nzg2OQMAAAADMTYwAgAAAAQyMDA2BAAAAAEwBwAAAAk2LzE0LzIwMjYIAAAACTMvMzEvMjAxNgkAAAABMCTmftn+yd4IBEHg2/7J3ggwQ0lRLk5ZU0U6QkFILklRX0NIQU5HRV9BUC45OTAuMTQvMDYvMjAyNi4uLlVTRC5IAQAAAOlxAgACAAAABTQuOTExAQgAAAAFAAAAATEBAAAACjE4OTEzNDc4NjkDAAAAAzE2MAIAAAAEMjAxNwQAAAABMAcAAAAJNi8xNC8yMDI2CAAAAAkzLzMxLzIwMTYJAAAAATAk5n7Z/sneCARB4Nv+yd4IMENJUS5OWVNFOkJBSC5JUV9MT0FOU19DRi4yMDAwLjE0LzA2LzIwMjYuLi5VU0QuSAEAAADpcQIAAwAAAAAAfB9+2f7J3ghg2d3b/sneCDVDSVEuTllTRTpCQUguSVFfU1RPQ0tfQkFTRURfQVQuOTkxLjE0LzA2LzIwMjYuLi5VU0QuSAEAAADpcQIAAwAAAAAAPOR82f7J3gh0/Njb/sneCDdDSVEuTllTRTpCQUguSVFfU1RPQ0tfQkFTRURfU0dBLjIwMDAuMTQvMDYvMjAy</t>
  </si>
  <si>
    <t>Ni4uLlVTRC5IAQAAAOlxAgADAAAAAAA85HzZ/sneCHT82Nv+yd4IOENJUS5OWVNFOkJBSC5JUV9JTlNfU0VUVExFX1NVUFBMRS45OTAuMTQvMDYvMjAyNi4uLlVTRC5IAQAAAOlxAgADAAAAAADSo7bZ/sneCMDs1dv+yd4INENJUS5OWVNFOkJBSC5JUV9NRVJHRVJfU1VQUExFLjk5MS4xNC8wNi8yMDI2Li4uVVNELkgBAAAA6XECAAMAAAAAANKjttn+yd4IiOvS2/7J3gg+Q0lRLk5ZU0U6QkFILklRX0VYUExPUkVfRFJJTExfRVhQX1RPVEFMLjk5Mi4xNC8wNi8yMDI2Li4uVVNELkgBAAAA6XECAAMAAAAAANKjttn+yd4IiOvS2/7J3gg0Q0lRLk5ZU0U6QkFILklRX09USEVSX1JFTlRBTC4yMDAwLjE0LzA2LzIwMjYuLi5VU0QuSAEAAADpcQIAAwAAAAAA0qO22f7J3ghlsNLb/sneCDZDSVEuTllTRTpCQUguSVFfU0FMRVNfTUFSS0VUSU5HLjk5MC4xNC8wNi8yMDI2Li4uVVNELkgBAAAA6XECAAMAAAAAANKjttn+yd4IyEnQ2/7J3ggwQ0lRLk5ZU0U6QkFILklRX0RBX0VCSVREQS45OTIuMTQvMDYvMjAyNi4uLlVTRC5IAQAAAOlxAgACAAAABjY0Ljc1NgEIAAAABQAAAAExAQAAAAoyMDM4MDkxMDc3AwAAAAMxNjACAAAABDIyMDYEAAAAATAHAAAACTYvMTQvMjAyNggAAAAJMy8zMS8yMDE4CQAAAAEw0qO22f7J3ghF1M3b/sneCDtDSVEuTllTRTpCQUguSVFfREVGRVJSRURfVEFYRVNfVE9UQUwuOTkwLjE0</t>
  </si>
  <si>
    <t>LzA2LzIwMjYuLi5VU0QuSAEAAADpcQIAAgAAAAUzLjU0OQEIAAAABQAAAAExAQAAAAoxODkxMzQ3ODY5AwAAAAMxNjACAAAABTM1Mzg1BAAAAAEwBwAAAAk2LzE0LzIwMjYIAAAACTMvMzEvMjAxNgkAAAABMNKjttn+yd4IP2rL2/7J3gg5Q0lRLk5ZU0U6QkFILklRX0NVUlJfRk9SRUlHTl9UQVhFUy45OTIuMTQvMDYvMjAyNi4uLlVTRC5IAQAAAOlxAgACAAAABjEwLjAxNAEIAAAABQAAAAExAQAAAAoyMDM4MDkxMDc3AwAAAAMxNjACAAAABDMwMzAEAAAAATAHAAAACTYvMTQvMjAyNggAAAAJMy8zMS8yMDE4CQAAAAEw0qO22f7J3gg/asvb/sneCD5DSVEuTllTRTpCQUguSVFfRVhDSVNFX1RBWEVTX0VYQ0xfU0FMRVMuOTkyLjE0LzA2LzIwMjYuLi5VU0QuSAEAAADpcQIAAwAAAAAA0qO22f7J3giX+8jb/sneCDlDSVEuTllTRTpCQUguSVFfQVNfUkVQT1JURURfRUJJVERBLjk5MC4xNC8wNi8yMDI2Li4uVVNELkgBAAAA6XECAAMAAAAAANKjttn+yd4Il/vI2/7J3gg4Q0lRLk5ZU0U6QkFILklRX0ZFRVNfT1RIRVJfSU5DT01FLjk5MC4xNC8wNi8yMDI2Li4uVVNELkgBAAAA6XECAAMAAAAAANKjttn+yd4IuYjG2/7J3gg1Q0lRLk5ZU0U6QkFILklRX0VCSVREQVJfRVFfSU5DLjk5Mi4xNC8wNi8yMDI2Li4uVVNELkgBAAAA6XECAAIAAAAFNjU4LjQBCAAAAAUAAAABMQEAAAAKMjAzODA5MTA3NwMAAAAD</t>
  </si>
  <si>
    <t>MTYwAgAAAAUyNDEyOQQAAAABMAcAAAAJNi8xNC8yMDI2CAAAAAkzLzMxLzIwMTgJAAAAATDSo7bZ/sneCLmIxtv+yd4IK0NJUS5OWVNFOkJBSC5JUV9FQklULjk5MC4xNC8wNi8yMDI2Li4uVVNELkgBAAAA6XECAAIAAAAHNDQ0LjU4NAEIAAAABQAAAAExAQAAAAoxODkxMzQ3ODY5AwAAAAMxNjACAAAAAzQwMAQAAAABMAcAAAAJNi8xNC8yMDI2CAAAAAkzLzMxLzIwMTYJAAAAATCxDQXa/sneCA8vxNv+yd4INkNJUS5OWVNFOkJBSC5JUV9FQklUREFfRVhDTF9TQkMuOTkyLjE0LzA2LzIwMjYuLi5VU0QuSAEAAADpcQIAAgAAAAc2MDAuNTE4AQgAAAAFAAAAATEBAAAACjIwMzgwOTEwNzcDAAAAAzE2MAIAAAAFMjQxMzUEAAAAATAHAAAACTYvMTQvMjAyNggAAAAJMy8zMS8yMDE4CQAAAAEwTIME2v7J3ggPL8Tb/sneCEtDSVEuTllTRTpCQUguSVFfRElTVFJJQlVUQUJMRV9DQVNIX1BFUl9TSEFSRV9ESUxVVEVELjk5Mi4xNC8wNi8yMDI2Li4uVVNELkgBAAAA6XECAAMAAAAAAEyDBNr+yd4I2KnB2/7J3gg0Q0lRLk5ZU0U6QkFILklRX05JX0FWQUlMX0VYQ0wuOTkwLjE0LzA2LzIwMjYuLi5VU0QuSAEAAADpcQIAAgAAAAcyOTAuNTQyAQgAAAAFAAAAATEBAAAACjE4OTEzNDc4NjkDAAAAAzE2MAIAAAADMzc5BAAAAAEwBwAAAAk2LzE0LzIwMjYIAAAACTMvMzEvMjAxNgkAAAABMEyDBNr+yd4I2KnB2/7J</t>
  </si>
  <si>
    <t>3gg7Q0lRLk5ZU0U6QkFILklRX01JTk9SSVRZX0lOVEVSRVNUX0lTLjk5Mi4xNC8wNi8yMDI2Li4uVVNELkgBAAAA6XECAAMAAAAAAEyDBNr+yd4IJ/K92/7J3ggpQ0lRLk5ZU0U6QkFILklRX0RPLjk5Mi4xNC8wNi8yMDI2Li4uVVNELkgBAAAA6XECAAMAAAAAAEyDBNr+yd4I38282/7J3gguQ0lRLk5ZU0U6QkFILklRX0VCSVREQS4yMDAwLjE0LzA2LzIwMjYuLi5VU0QuSAEAAADpcQIAAgAAAAQxMjU4AQgAAAAFAAAAATEBAAAACy0xODg3NzA0MzQxAwAAAAMxNjACAAAABDQwNTEEAAAAATAHAAAACTYvMTQvMjAyNggAAAAJMy8zMS8yMDI2CQAAAAEwTIME2v7J3ggPL8Tb/sneCDlDSVEuTllTRTpCQUguSVFfU1BFQ0lBTF9ESVZfU0hBUkUuMjAwMC4xNC8wNi8yMDI2Li4uVVNELkgBAAAA6XECAAMAAAAAAEyDBNr+yd4IDy/E2/7J3gg0Q0lRLk5ZU0U6QkFILklRX05JX0FWQUlMX0VYQ0wuOTkxLjE0LzA2LzIwMjYuLi5VU0QuSAEAAADpcQIAAgAAAAcyNTguNDk1AQgAAAAFAAAAATEBAAAACjE5NjU3NzI0MjIDAAAAAzE2MAIAAAADMzc5BAAAAAEwBwAAAAk2LzE0LzIwMjYIAAAACTMvMzEvMjAxNwkAAAABMEyDBNr+yd4I2KnB2/7J3ggxQ0lRLk5ZU0U6QkFILklRX0NBU0hfRklOQU4uOTkyLjE0LzA2LzIwMjYuLi5VU0QuSAEAAADpcQIAAgAAAAgtMjAzLjE0OQEIAAAABQAAAAExAQAAAAoyMDM4MDkx</t>
  </si>
  <si>
    <t>MDc3AwAAAAMxNjACAAAABDIwMDQEAAAAATAHAAAACTYvMTQvMjAyNggAAAAJMy8zMS8yMDE4CQAAAAEww5x/2f7J3ggFi+fb/sneCDZDSVEuTllTRTpCQUguSVFfSU5WRVNUX0xPQU5TX0NGLjk5Mi4xNC8wNi8yMDI2Li4uVVNELkgBAAAA6XECAAMAAAAAACTmftn+yd4Ij7Hi2/7J3gg2Q0lRLk5ZU0U6QkFILklRX09USEVSX09QRVJfQUNULjIwMDAuMTQvMDYvMjAyNi4uLlVTRC5IAQAAAOlxAgACAAAAAjg2AQgAAAAFAAAAATEBAAAACy0xODg3NzA0MzQxAwAAAAMxNjACAAAABDIwNDcEAAAAATAHAAAACTYvMTQvMjAyNggAAAAJMy8zMS8yMDI2CQAAAAEwJOZ+2f7J3ghg2d3b/sneCDVDSVEuTllTRTpCQUguSVFfU1RPQ0tfQkFTRURfQVQuOTkyLjE0LzA2LzIwMjYuLi5VU0QuSAEAAADpcQIAAwAAAAAAPOR82f7J3gh0/Njb/sneCEBDSVEuTllTRTpCQUguSVFfU1RPQ0tfQkFTRURfRVhQTE9SRV9EUklMTC45OTAuMTQvMDYvMjAyNi4uLlVTRC5IAQAAAOlxAgADAAAAAAA85HzZ/sneCE3V2Nv+yd4IO0NJUS5OWVNFOkJBSC5JUV9ORUdBVElWRV9HV19BTU9SVF9BVC45OTEuMTQvMDYvMjAyNi4uLlVTRC5IAQAAAOlxAgADAAAAAADSo7bZ/sneCM+c19v+yd4INENJUS5OWVNFOkJBSC5JUV9NRVJHRVJfU1VQUExFLjk5Mi4xNC8wNi8yMDI2Li4uVVNELkgBAAAA6XECAAMAAAAAANKjttn+yd4IiOvS2/7J</t>
  </si>
  <si>
    <t>3gg9Q0lRLk5ZU0U6QkFILklRX0lNUFVUX09QRVJfTEVBU0VfREVQUi4yMDAwLjE0LzA2LzIwMjYuLi5VU0QuSAEAAADpcQIAAgAAAAc0OC41Mjg2AQgAAAAFAAAAATEBAAAACy0xODg3NzA0MzQxAwAAAAMxNjACAAAABTIxNjczBAAAAAEwBwAAAAk2LzE0LzIwMjYIAAAACTMvMzEvMjAyNgkAAAABMNKjttn+yd4IiOvS2/7J3gg0Q0lRLk5ZU0U6QkFILklRX0FJUkNSQUZUX1JFTlQuOTkwLjE0LzA2LzIwMjYuLi5VU0QuSAEAAADpcQIAAwAAAAAA0qO22f7J3ghlsNLb/sneCDhDSVEuTllTRTpCQUguSVFfTkVUX1JFTlRBTF9FWFBfRk4uOTkxLjE0LzA2LzIwMjYuLi5VU0QuSAEAAADpcQIAAgAAAAQ4MS42AQgAAAAFAAAAATEBAAAACjE5NjU3NzI0MjIDAAAAAzE2MAIAAAAEMzE3MAQAAAABMAcAAAAJNi8xNC8yMDI2CAAAAAkzLzMxLzIwMTcJAAAAATDSo7bZ/sneCMhJ0Nv+yd4INkNJUS5OWVNFOkJBSC5JUV9TQUxFU19NQVJLRVRJTkcuOTkxLjE0LzA2LzIwMjYuLi5VU0QuSAEAAADpcQIAAwAAAAAA0qO22f7J3gjISdDb/sneCCtDSVEuTllTRTpCQUguSVFfRElDLjIwMDAuMTQvMDYvMjAyNi4uLlVTRC5IAQAAAOlxAgADAAAAAADSo7bZ/sneCMhJ0Nv+yd4IMkNJUS5OWVNFOkJBSC5JUV9DT01NT05fRElWLjIwMDAuMTQvMDYvMjAyNi4uLlVTRC5IAQAAAOlxAgACAAAAAzI3NwDSo7bZ/sneCEXUzdv+</t>
  </si>
  <si>
    <t>yd4IMENJUS5OWVNFOkJBSC5JUV9ESUxVVF9OSS4yMDAwLjE0LzA2LzIwMjYuLi5VU0QuSAEAAADpcQIAAgAAAAo4NDQuMzg4NTQyAQgAAAAFAAAAATEBAAAACy0xODg3NzA0MzQxAwAAAAMxNjACAAAABDM1MjIEAAAAATAHAAAACTYvMTQvMjAyNggAAAAJMy8zMS8yMDI2CQAAAAEw0qO22f7J3ghF1M3b/sneCDtDSVEuTllTRTpCQUguSVFfREVGRVJSRURfVEFYRVNfVE9UQUwuOTkxLjE0LzA2LzIwMjYuLi5VU0QuSAEAAADpcQIAAgAAAAYyMC45NTgBCAAAAAUAAAABMQEAAAAKMTk2NTc3MjQyMgMAAAADMTYwAgAAAAUzNTM4NQQAAAABMAcAAAAJNi8xNC8yMDI2CAAAAAkzLzMxLzIwMTcJAAAAATDSo7bZ/sneCD9qy9v+yd4IL0NJUS5OWVNFOkJBSC5JUV9OSV9TRkFTLjIwMDAuMTQvMDYvMjAyNi4uLlVTRC5IAQAAAOlxAgADAAAAAADSo7bZ/sneCJf7yNv+yd4IOUNJUS5OWVNFOkJBSC5JUV9BU19SRVBPUlRFRF9FQklUREEuOTkxLjE0LzA2LzIwMjYuLi5VU0QuSAEAAADpcQIAAgAAAAc1NjguOTEyANKjttn+yd4Il/vI2/7J3gg9Q0lRLk5ZU0U6QkFILklRX0VCSVRBX0VRX0lOQ19FWENMX1NCQy4yMDAwLjE0LzA2LzIwMjYuLi5VU0QuSAEAAADpcQIAAgAAAAQxMjU5AQgAAAAFAAAAATEBAAAACy0xODg3NzA0MzQxAwAAAAMxNjACAAAABTI0MTMyBAAAAAEwBwAAAAk2LzE0LzIwMjYIAAAACTMvMzEv</t>
  </si>
  <si>
    <t>MjAyNgkAAAABMNKjttn+yd4IuYjG2/7J3gg0Q0lRLk5ZU0U6QkFILklRX0VCSVRfRVhDTF9TQkMuOTkxLjE0LzA2LzIwMjYuLi5VU0QuSAEAAADpcQIAAgAAAAc1MjMuMjI5AQgAAAAFAAAAATEBAAAACjE5NjU3NzI0MjIDAAAAAzE2MAIAAAAFMjQxMzQEAAAAATAHAAAACTYvMTQvMjAyNggAAAAJMy8zMS8yMDE3CQAAAAEwsQ0F2v7J3gi5iMbb/sneCCtDSVEuTllTRTpCQUguSVFfRUJJVC45OTEuMTQvMDYvMjAyNi4uLlVTRC5IAQAAAOlxAgACAAAABjUwMS45OAEIAAAABQAAAAExAQAAAAoxOTY1NzcyNDIyAwAAAAMxNjACAAAAAzQwMAQAAAABMAcAAAAJNi8xNC8yMDI2CAAAAAkzLzMxLzIwMTcJAAAAATCxDQXa/sneCA8vxNv+yd4INUNJUS5OWVNFOkJBSC5JUV9DSEFOR0VfSU5DX1RBWC45OTAuMTQvMDYvMjAyNi4uLlVTRC5IAQAAAOlxAgACAAAABy02MS4wOTcBCAAAAAUAAAABMQEAAAAKMTg5MTM0Nzg2OQMAAAADMTYwAgAAAAQyMTAxBAAAAAEwBwAAAAk2LzE0LzIwMjYIAAAACTMvMzEvMjAxNgkAAAABMCTmftn+yd4IBEHg2/7J3gg8Q0lRLk5ZU0U6QkFILklRX0NIQU5HRV9UUkFESU5HX0FTU0VUUy45OTEuMTQvMDYvMjAyNi4uLlVTRC5IAQAAAOlxAgADAAAAAAAk5n7Z/sneCGDZ3dv+yd4IMkNJUS5OWVNFOkJBSC5JUV9EQV9TVVBQTF9DRi45OTEuMTQvMDYvMjAyNi4uLlVTRC5IAQAAAOlx</t>
  </si>
  <si>
    <t>AgACAAAABjQxLjY0NAEIAAAABQAAAAExAQAAAAoxOTY1NzcyNDIyAwAAAAMxNjACAAAABDIxNzEEAAAAATAHAAAACTYvMTQvMjAyNggAAAAJMy8zMS8yMDE3CQAAAAEwPOR82f7J3gjfctvb/sneCDdDSVEuTllTRTpCQUguSVFfU1RPQ0tfQkFTRURfQ09NUC45OTAuMTQvMDYvMjAyNi4uLlVTRC5IAQAAAOlxAgADAAAAAAA85HzZ/sneCN9y29v+yd4IPkNJUS5OWVNFOkJBSC5JUV9TVE9DS19CQVNFRF9DT01QX1BSRVRBWC45OTAuMTQvMDYvMjAyNi4uLlVTRC5IAQAAAOlxAgACAAAABjI0Ljk5MgA85HzZ/sneCHT82Nv+yd4IQUNJUS5OWVNFOkJBSC5JUV9TVE9DS19PUFRJT05TX0NPTVBfUFJFVEFYLjIwMDAuMTQvMDYvMjAyNi4uLlVTRC5IAQAAAOlxAgADAAAAAAA85HzZ/sneCHT82Nv+yd4IQENJUS5OWVNFOkJBSC5JUV9TVE9DS19CQVNFRF9FWFBMT1JFX0RSSUxMLjk5MS4xNC8wNi8yMDI2Li4uVVNELkgBAAAA6XECAAMAAAAAADzkfNn+yd4ITdXY2/7J3gg7Q0lRLk5ZU0U6QkFILklRX1RPVEFMX1VOVVNVQUxfU1VQUExFLjk5MC4xNC8wNi8yMDI2Li4uVVNELkgBAAAA6XECAAMAAAAAANKjttn+yd4IwOzV2/7J3ggzQ0lRLk5ZU0U6QkFILklRX0lQUkRfU1VQUExFLjIwMDAuMTQvMDYvMjAyNi4uLlVTRC5IAQAAAOlxAgADAAAAAADSo7bZ/sneCMSG1dv+yd4IPkNJUS5OWVNFOkJBSC5JUV9TQUxB</t>
  </si>
  <si>
    <t>UklFU19PVEhFUl9CRU5FRklUUy45OTAuMTQvMDYvMjAyNi4uLlVTRC5IAQAAAOlxAgADAAAAAADSo7bZ/sneCIjr0tv+yd4INENJUS5OWVNFOkJBSC5JUV9BSVJDUkFGVF9SRU5ULjk5MS4xNC8wNi8yMDI2Li4uVVNELkgBAAAA6XECAAMAAAAAANKjttn+yd4IZbDS2/7J3gg4Q0lRLk5ZU0U6QkFILklRX05FVF9SRU5UQUxfRVhQX0ZOLjk5Mi4xNC8wNi8yMDI2Li4uVVNELkgBAAAA6XECAAIAAAAEODEuMgEIAAAABQAAAAExAQAAAAoyMDM4MDkxMDc3AwAAAAMxNjACAAAABDMxNzAEAAAAATAHAAAACTYvMTQvMjAyNggAAAAJMy8zMS8yMDE4CQAAAAEw0qO22f7J3gjISdDb/sneCDFDSVEuTllTRTpCQUguSVFfQ09NTU9OX0RJVi45OTIuMTQvMDYvMjAyNi4uLlVTRC5IAQAAAOlxAgACAAAABzEwMy40MTEA0qO22f7J3ghF1M3b/sneCDdDSVEuTllTRTpCQUguSVFfSU5UX0VYUF9JTkNMX0NBUC45OTAuMTQvMDYvMjAyNi4uLlVTRC5IAQAAAOlxAgACAAAABjcwLjgxNQEIAAAABQAAAAExAQAAAAoxODkxMzQ3ODY5AwAAAAMxNjACAAAABTIxODYxBAAAAAEwBwAAAAk2LzE0LzIwMjYIAAAACTMvMzEvMjAxNgkAAAABMNKjttn+yd4IRdTN2/7J3gg7Q0lRLk5ZU0U6QkFILklRX0NBUElUQUxJWkVEX0lOVEVSRVNULjk5MC4xNC8wNi8yMDI2Li4uVVNELkgBAAAA6XECAAMAAAAAANKjttn+yd4IRdTN2/7J3gg7</t>
  </si>
  <si>
    <t>Q0lRLk5ZU0U6QkFILklRX0RFRkVSUkVEX1RBWEVTX1RPVEFMLjk5Mi4xNC8wNi8yMDI2Li4uVVNELkgBAAAA6XECAAIAAAAFOC45NTYBCAAAAAUAAAABMQEAAAAKMjAzODA5MTA3NwMAAAADMTYwAgAAAAUzNTM4NQQAAAABMAcAAAAJNi8xNC8yMDI2CAAAAAkzLzMxLzIwMTgJAAAAATDSo7bZ/sneCD9qy9v+yd4INkNJUS5OWVNFOkJBSC5JUV9JTlRFUkVTVF9JTkNPTUUuOTkwLjE0LzA2LzIwMjYuLi5VU0QuSAEAAADpcQIAAwAAAAAA0qO22f7J3giX+8jb/sneCDlDSVEuTllTRTpCQUguSVFfQVNfUkVQT1JURURfRUJJVERBLjk5Mi4xNC8wNi8yMDI2Li4uVVNELkgBAAAA6XECAAIAAAAHNTg0LjQ3OQDSo7bZ/sneCJf7yNv+yd4IP0NJUS5OWVNFOkJBSC5JUV9PVEhFUl9GSU5BTkNFX0FDVF9TVVBQTC4yMDAwLjE0LzA2LzIwMjYuLi5VU0QuSAEAAADpcQIAAwAAAAAAw5x/2f7J3gjt9+Xb/sneCDVDSVEuTllTRTpCQUguSVFfQ0hBTkdFX0lOQ19UQVguOTkxLjE0LzA2LzIwMjYuLi5VU0QuSAEAAADpcQIAAgAAAAY1NC40NzMBCAAAAAUAAAABMQEAAAAKMTk2NTc3MjQyMgMAAAADMTYwAgAAAAQyMTAxBAAAAAEwBwAAAAk2LzE0LzIwMjYIAAAACTMvMzEvMjAxNwkAAAABMCTmftn+yd4IBEHg2/7J3gg1Q0lRLk5ZU0U6QkFILklRX1NUT0NLX0JBU0VEX0NGLjk5MC4xNC8wNi8yMDI2Li4uVVNELkgBAAAA</t>
  </si>
  <si>
    <t>6XECAAIAAAAGMjQuOTkyAQgAAAAFAAAAATEBAAAACjE4OTEzNDc4NjkDAAAAAzE2MAIAAAAEMjEyNwQAAAABMAcAAAAJNi8xNC8yMDI2CAAAAAkzLzMxLzIwMTYJAAAAATB8H37Z/sneCGDZ3dv+yd4IMkNJUS5OWVNFOkJBSC5JUV9EQV9TVVBQTF9DRi45OTIuMTQvMDYvMjAyNi4uLlVTRC5IAQAAAOlxAgACAAAABjQ0LjA1NgEIAAAABQAAAAExAQAAAAoyMDM4MDkxMDc3AwAAAAMxNjACAAAABDIxNzEEAAAAATAHAAAACTYvMTQvMjAyNggAAAAJMy8zMS8yMDE4CQAAAAEwPOR82f7J3gjfctvb/sneCDdDSVEuTllTRTpCQUguSVFfU1RPQ0tfQkFTRURfQ09NUC45OTEuMTQvMDYvMjAyNi4uLlVTRC5IAQAAAOlxAgADAAAAAAA85HzZ/sneCN9y29v+yd4IPkNJUS5OWVNFOkJBSC5JUV9TVE9DS19CQVNFRF9DT01QX1BSRVRBWC45OTEuMTQvMDYvMjAyNi4uLlVTRC5IAQAAAOlxAgACAAAABjIxLjI0OQA85HzZ/sneCHT82Nv+yd4IPUNJUS5OWVNFOkJBSC5JUV9TVE9DS19PUFRJT05TX0NPTVBfVEFYLjk5MC4xNC8wNi8yMDI2Li4uVVNELkgBAAAA6XECAAMAAAAAADzkfNn+yd4IdPzY2/7J3ghAQ0lRLk5ZU0U6QkFILklRX1NUT0NLX0JBU0VEX0VYUExPUkVfRFJJTEwuOTkyLjE0LzA2LzIwMjYuLi5VU0QuSAEAAADpcQIAAwAAAAAAPOR82f7J3ghN1djb/sneCDZDSVEuTllTRTpCQUguSVFfU1RPQ0tfQkFT</t>
  </si>
  <si>
    <t>RURfU00uMjAwMC4xNC8wNi8yMDI2Li4uVVNELkgBAAAA6XECAAMAAAAAANKjttn+yd4IFIfY2/7J3gg7Q0lRLk5ZU0U6QkFILklRX1RPVEFMX1VOVVNVQUxfU1VQUExFLjk5MS4xNC8wNi8yMDI2Li4uVVNELkgBAAAA6XECAAMAAAAAANKjttn+yd4IwOzV2/7J3ggyQ0lRLk5ZU0U6QkFILklRX0lQUkRfU1VQUExFLjk5Mi4xNC8wNi8yMDI2Li4uVVNELkgBAAAA6XECAAMAAAAAANKjttn+yd4IxIbV2/7J3gg+Q0lRLk5ZU0U6QkFILklRX1NBTEFSSUVTX09USEVSX0JFTkVGSVRTLjk5MS4xNC8wNi8yMDI2Li4uVVNELkgBAAAA6XECAAMAAAAAANKjttn+yd4IiOvS2/7J3gg0Q0lRLk5ZU0U6QkFILklRX0FJUkNSQUZUX1JFTlQuOTkyLjE0LzA2LzIwMjYuLi5VU0QuSAEAAADpcQIAAwAAAAAA0qO22f7J3ghlsNLb/sneCDlDSVEuTllTRTpCQUguSVFfQ09OVElOR0VOVF9SRU5UQUwuMjAwMC4xNC8wNi8yMDI2Li4uVVNELkgBAAAA6XECAAIAAAACMTMA0qO22f7J3gjISdDb/sneCDpDSVEuTllTRTpCQUguSVFfRElTVFJJQlVUQUJMRV9DQVNILjIwMDAuMTQvMDYvMjAyNi4uLlVTRC5IAQAAAOlxAgADAAAAAADSo7bZ/sneCEXUzdv+yd4IN0NJUS5OWVNFOkJBSC5JUV9JTlRfRVhQX0lOQ0xfQ0FQLjk5MS4xNC8wNi8yMDI2Li4uVVNELkgBAAAA6XECAAIAAAAGNjIuMjk4AQgAAAAFAAAAATEBAAAACjE5NjU3</t>
  </si>
  <si>
    <t>NzI0MjIDAAAAAzE2MAIAAAAFMjE4NjEEAAAAATAHAAAACTYvMTQvMjAyNggAAAAJMy8zMS8yMDE3CQAAAAEw0qO22f7J3ghF1M3b/sneCDJDSVEuTllTRTpCQUguSVFfQ1VSUl9UQVhFUy4yMDAwLjE0LzA2LzIwMjYuLi5VU0QuSAEAAADpcQIAAgAAAAMtMjQBCAAAAAUAAAABMQEAAAALLTE4ODc3MDQzNDEDAAAAAzE2MAIAAAAFMzUzODMEAAAAATAHAAAACTYvMTQvMjAyNggAAAAJMy8zMS8yMDI2CQAAAAEw0qO22f7J3gg/asvb/sneCD5DSVEuTllTRTpCQUguSVFfRVhDSVNFX1RBWEVTX0lOQ0xfU0FMRVMuOTkxLjE0LzA2LzIwMjYuLi5VU0QuSAEAAADpcQIAAwAAAAAA0qO22f7J3giX+8jb/sneCDZDSVEuTllTRTpCQUguSVFfSU5URVJFU1RfSU5DT01FLjk5MS4xNC8wNi8yMDI2Li4uVVNELkgBAAAA6XECAAMAAAAAANKjttn+yd4Il/vI2/7J3gg5Q0lRLk5ZU0U6QkFILklRX0ZFRVNfT1RIRVJfSU5DT01FLjIwMDAuMTQvMDYvMjAyNi4uLlVTRC5IAQAAAOlxAgADAAAAAADSo7bZ/sneCJf7yNv+yd4IP0NJUS5OWVNFOkJBSC5JUV9FQklUREFSX0VRX0lOQ19FWENMX1NCQy4yMDAwLjE0LzA2LzIwMjYuLi5VU0QuSAEAAADpcQIAAgAAAAQxNDAyAQgAAAAFAAAAATEBAAAACy0xODg3NzA0MzQxAwAAAAMxNjACAAAABTI0MTMzBAAAAAEwBwAAAAk2LzE0LzIwMjYIAAAACTMvMzEvMjAyNgkAAAABMNKj</t>
  </si>
  <si>
    <t>ttn+yd4IuYjG2/7J3ggzQ0lRLk5ZU0U6QkFILklRX0NBU0hfSU5WRVNULjIwMDAuMTQvMDYvMjAyNi4uLlVTRC5IAQAAAOlxAgACAAAABC0zMDABCAAAAAUAAAABMQEAAAALLTE4ODc3MDQzNDEDAAAAAzE2MAIAAAAEMjAwNQQAAAABMAcAAAAJNi8xNC8yMDI2CAAAAAkzLzMxLzIwMjYJAAAAATAk5n7Z/sneCI+x4tv+yd4INkNJUS5OWVNFOkJBSC5JUV9DSEFOR0VfREVGX1RBWC4yMDAwLjE0LzA2LzIwMjYuLi5VU0QuSAEAAADpcQIAAwAAAAAAJOZ+2f7J3ggEQeDb/sneCDFDSVEuTllTRTpCQUguSVFfT0lMX0lNUEFJUi45OTIuMTQvMDYvMjAyNi4uLlVTRC5IAQAAAOlxAgADAAAAAAA85HzZ/sneCKx43Nv+yd4IN0NJUS5OWVNFOkJBSC5JUV9TVE9DS19CQVNFRF9DT01QLjk5Mi4xNC8wNi8yMDI2Li4uVVNELkgBAAAA6XECAAMAAAAAADzkfNn+yd4I33Lb2/7J3gg+Q0lRLk5ZU0U6QkFILklRX1NUT0NLX0JBU0VEX0NPTVBfUFJFVEFYLjk5Mi4xNC8wNi8yMDI2Li4uVVNELkgBAAAA6XECAAIAAAAGMjMuMzE4ADzkfNn+yd4IdPzY2/7J3gg9Q0lRLk5ZU0U6QkFILklRX1NUT0NLX09QVElPTlNfQ09NUF9UQVguOTkxLjE0LzA2LzIwMjYuLi5VU0QuSAEAAADpcQIAAwAAAAAAPOR82f7J3gh0/Njb/sneCDxDSVEuTllTRTpCQUguSVFfUkVTVFJfU1RPQ0tfQ09NUF9UQVguMjAwMC4xNC8wNi8yMDI2Li4u</t>
  </si>
  <si>
    <t>VVNELkgBAAAA6XECAAMAAAAAADzkfNn+yd4IdPzY2/7J3gg1Q0lRLk5ZU0U6QkFILklRX1NUT0NLX0JBU0VEX0dBLjk5MS4xNC8wNi8yMDI2Li4uVVNELkgBAAAA6XECAAIAAAAGMTUuNDkzAQgAAAAFAAAAATEBAAAACjE5NjU3NzI0MjIDAAAAAzE2MAIAAAAFMjI2NzUEAAAAATAHAAAACTYvMTQvMjAyNggAAAAJMy8zMS8yMDE3CQAAAAEw0qO22f7J3ggTYNjb/sneCDtDSVEuTllTRTpCQUguSVFfVE9UQUxfVU5VU1VBTF9TVVBQTEUuOTkyLjE0LzA2LzIwMjYuLi5VU0QuSAEAAADpcQIAAwAAAAAA0qO22f7J3gjA7NXb/sneCDlDSVEuTllTRTpCQUguSVFfSU5TX1NFVFRMRV9TVVBQTEUuMjAwMC4xNC8wNi8yMDI2Li4uVVNELkgBAAAA6XECAAMAAAAAANKjttn+yd4IwOzV2/7J3gg0Q0lRLk5ZU0U6QkFILklRX01BSU5UX1JFUEFJUi4yMDAwLjE0LzA2LzIwMjYuLi5VU0QuSAEAAADpcQIAAwAAAAAA0qO22f7J3giI69Lb/sneCDVDSVEuTllTRTpCQUguSVFfTUlOSU1VTV9SRU5UQUwuOTkwLjE0LzA2LzIwMjYuLi5VU0QuSAEAAADpcQIAAwAAAAAA0qO22f7J3gjISdDb/sneCC1DSVEuTllTRTpCQUguSVFfR0FfRVhQLjk5MC4xNC8wNi8yMDI2Li4uVVNELkgBAAAA6XECAAIAAAAHNzE4LjAwOQEIAAAABQAAAAExAQAAAAoxODkxMzQ3ODY5AwAAAAMxNjACAAAABTIxNTYyBAAAAAEwBwAAAAk2LzE0LzIw</t>
  </si>
  <si>
    <t>MjYIAAAACTMvMzEvMjAxNgkAAAABMNKjttn+yd4IyEnQ2/7J3ggyQ0lRLk5ZU0U6QkFILklRX0FEVkVSVElTSU5HLjk5MC4xNC8wNi8yMDI2Li4uVVNELkgBAAAA6XECAAMAAAAAANKjttn+yd4IyEnQ2/7J3ghGQ0lRLk5ZU0U6QkFILklRX0RJU1RSSUJVVEFCTEVfQ0FTSF9TVEFOREFSRElaRUQuOTkwLjE0LzA2LzIwMjYuLi5VU0QuSAEAAADpcQIAAwAAAAAA0qO22f7J3ghF1M3b/sneCDdDSVEuTllTRTpCQUguSVFfSU5UX0VYUF9JTkNMX0NBUC45OTIuMTQvMDYvMjAyNi4uLlVTRC5IAQAAAOlxAgACAAAABjgyLjI2OQEIAAAABQAAAAExAQAAAAoyMDM4MDkxMDc3AwAAAAMxNjACAAAABTIxODYxBAAAAAEwBwAAAAk2LzE0LzIwMjYIAAAACTMvMzEvMjAxOAkAAAABMNKjttn+yd4IRdTN2/7J3gg+Q0lRLk5ZU0U6QkFILklRX0RFRkVSUkVEX0RPTUVTVElDX1RBWEVTLjk5MC4xNC8wNi8yMDI2Li4uVVNELkgBAAAA6XECAAIAAAAFMy41NDkBCAAAAAUAAAABMQEAAAAKMTg5MTM0Nzg2OQMAAAADMTYwAgAAAAQzMDU0BAAAAAEwBwAAAAk2LzE0LzIwMjYIAAAACTMvMzEvMjAxNgkAAAABMNKjttn+yd4IP2rL2/7J3gg6Q0lRLk5ZU0U6QkFILklRX05PTkNBU0hfUEVOU0lPTl9FWFAuOTkxLjE0LzA2LzIwMjYuLi5VU0QuSAEAAADpcQIAAgAAAAMwLjcBCAAAAAUAAAABMQEAAAAKMTk2NTc3MjQyMgMAAAAD</t>
  </si>
  <si>
    <t>MTYwAgAAAAUyMTY3OAQAAAABMAcAAAAJNi8xNC8yMDI2CAAAAAkzLzMxLzIwMTcJAAAAATDSo7bZ/sneCEXUzdv+yd4IOENJUS5OWVNFOkJBSC5JUV9JTlZFU1RNRU5UX0lOQ09NRS45OTIuMTQvMDYvMjAyNi4uLlVTRC5IAQAAAOlxAgADAAAAAADSo7bZ/sneCJf7yNv+yd4IPENJUS5OWVNFOkJBSC5JUV9FQklUX0VRX0lOQ19FWENMX1NCQy4yMDAwLjE0LzA2LzIwMjYuLi5VU0QuSAEAAADpcQIAAgAAAAQxMTY0AQgAAAAFAAAAATEBAAAACy0xODg3NzA0MzQxAwAAAAMxNjACAAAABTI0MTMwBAAAAAEwBwAAAAk2LzE0LzIwMjYIAAAACTMvMzEvMjAyNgkAAAABMLENBdr+yd4IuYjG2/7J3ghIQ0lRLk5ZU0U6QkFILklRX0VCSVREQV9FUV9JTkNfRVhDTF9PUEVSX0xFQVNFX0FESi45OTEuMTQvMDYvMjAyNi4uLlVTRC5IAQAAAOlxAgACAAAABzU2MS41MjQBCAAAAAUAAAABMQEAAAAKMTk2NTc3MjQyMgMAAAADMTYwAgAAAAU0ODk4NwQAAAABMAcAAAAJNi8xNC8yMDI2CAAAAAkzLzMxLzIwMTcJAAAAATBMgwTa/sneCA8vxNv+yd4IPkNJUS5OWVNFOkJBSC5JUV9FQklUREFfRVFfSU5DX0VYQ0xfU0JDLjIwMDAuMTQvMDYvMjAyNi4uLlVTRC5IAQAAAOlxAgACAAAABDEzMjcBCAAAAAUAAAABMQEAAAALLTE4ODc3MDQzNDEDAAAAAzE2MAIAAAAFMjQxMzEEAAAAATAHAAAACTYvMTQvMjAyNggAAAAJMy8z</t>
  </si>
  <si>
    <t>MS8yMDI2CQAAAAEwTIME2v7J3ggPL8Tb/sneCEtDSVEuTllTRTpCQUguSVFfRElTVFJJQlVUQUJMRV9DQVNIX1BFUl9TSEFSRV9ESUxVVEVELjk5MC4xNC8wNi8yMDI2Li4uVVNELkgBAAAA6XECAAMAAAAAAEyDBNr+yd4I2KnB2/7J3ggxQ0lRLk5ZU0U6QkFILklRX0VBUk5JTkdfQ08uOTkyLjE0LzA2LzIwMjYuLi5VU0QuSAEAAADpcQIAAgAAAAczMDEuNjkyAQgAAAAFAAAAATEBAAAACjIwMzgwOTEwNzcDAAAAAzE2MAIAAAABNwQAAAABMAcAAAAJNi8xNC8yMDI2CAAAAAkzLzMxLzIwMTgJAAAAATBMgwTa/sneCN/NvNv+yd4IMUNJUS5OWVNFOkJBSC5JUV9DT01NT05fRElWLjk5MC4xNC8wNi8yMDI2Li4uVVNELkgBAAAA6XECAAIAAAAGODAuMDE0ANKjttn+yd4IRdTN2/7J3gg9Q0lRLk5ZU0U6QkFILklRX0RFRkVSUkVEX0ZPUkVJR05fVEFYRVMuOTkxLjE0LzA2LzIwMjYuLi5VU0QuSAEAAADpcQIAAwAAAAAA0qO22f7J3gg/asvb/sneCDxDSVEuTllTRTpCQUguSVFfRUJJVEFfRVFfSU5DX0VYQ0xfU0JDLjk5MC4xNC8wNi8yMDI2Li4uVVNELkgBAAAA6XECAAIAAAAHNDgxLjY3NgEIAAAABQAAAAExAQAAAAoxODkxMzQ3ODY5AwAAAAMxNjACAAAABTI0MTMyBAAAAAEwBwAAAAk2LzE0LzIwMjYIAAAACTMvMzEvMjAxNgkAAAABMNKjttn+yd4IuYjG2/7J3gg0Q0lRLk5ZU0U6QkFILklRX0VCSVRf</t>
  </si>
  <si>
    <t>RVhDTF9TQkMuOTkwLjE0LzA2LzIwMjYuLi5VU0QuSAEAAADpcQIAAgAAAAc0NjkuNTc2AQgAAAAFAAAAATEBAAAACjE4OTEzNDc4NjkDAAAAAzE2MAIAAAAFMjQxMzQEAAAAATAHAAAACTYvMTQvMjAyNggAAAAJMy8zMS8yMDE2CQAAAAEwsQ0F2v7J3gi5iMbb/sneCEhDSVEuTllTRTpCQUguSVFfRUJJVERBX0VRX0lOQ19FWENMX09QRVJfTEVBU0VfQURKLjk5Mi4xNC8wNi8yMDI2Li4uVVNELkgBAAAA6XECAAIAAAAFNTc3LjIBCAAAAAUAAAABMQEAAAAKMjAzODA5MTA3NwMAAAADMTYwAgAAAAU0ODk4NwQAAAABMAcAAAAJNi8xNC8yMDI2CAAAAAkzLzMxLzIwMTgJAAAAATBMgwTa/sneCA8vxNv+yd4IPUNJUS5OWVNFOkJBSC5JUV9FQklUREFfRVFfSU5DX0VYQ0xfU0JDLjk5Mi4xNC8wNi8yMDI2Li4uVVNELkgBAAAA6XECAAIAAAAHNjAwLjUxOAEIAAAABQAAAAExAQAAAAoyMDM4MDkxMDc3AwAAAAMxNjACAAAABTI0MTMxBAAAAAEwBwAAAAk2LzE0LzIwMjYIAAAACTMvMzEvMjAxOAkAAAABMEyDBNr+yd4IDy/E2/7J3gg1Q0lRLk5ZU0U6QkFILklRX0JBU0lDX0VQU19FWENMLjk5MS4xNC8wNi8yMDI2Li4uVVNELkgBAAAA6XECAAIAAAAIMS43NDQwMDcBCAAAAAUAAAABMQEAAAAKMTk2NTc3MjQyMgMAAAADMTYwAgAAAAQzMDY0BAAAAAEwBwAAAAk2LzE0LzIwMjYIAAAACTMvMzEvMjAxNwkAAAAB</t>
  </si>
  <si>
    <t>MEyDBNr+yd4I2KnB2/7J3gg0Q0lRLk5ZU0U6QkFILklRX05JX0FWQUlMX0lOQ0wuOTkxLjE0LzA2LzIwMjYuLi5VU0QuSAEAAADpcQIAAgAAAAcyNTguNDk1AQgAAAAFAAAAATEBAAAACjE5NjU3NzI0MjIDAAAAAzE2MAIAAAACMTYEAAAAATAHAAAACTYvMTQvMjAyNggAAAAJMy8zMS8yMDE3CQAAAAEwTIME2v7J3ghCP7/b/sneCDZDSVEuTllTRTpCQUguSVFfRVhUUkFfQUNDX0lURU1TLjk5MS4xNC8wNi8yMDI2Li4uVVNELkgBAAAA6XECAAMAAAAAAEyDBNr+yd4IJ/K92/7J3ggzQ0lRLk5ZU0U6QkFILklRX0dBSU5fQVNTRVRTLjIwMDAuMTQvMDYvMjAyNi4uLlVTRC5IAQAAAOlxAgACAAAAATYBCAAAAAUAAAABMQEAAAALLTE4ODc3MDQzNDEDAAAAAzE2MAIAAAACNTYEAAAAATAHAAAACTYvMTQvMjAyNggAAAAJMy8zMS8yMDI2CQAAAAEwxSEE2v7J3ghWWbrb/sneCDVDSVEuTllTRTpCQUguSVFfSU1QQUlSTUVOVF9HVy4yMDAwLjE0LzA2LzIwMjYuLi5VU0QuSAEAAADpcQIAAwAAAAAAxSEE2v7J3ghWWbrb/sneCEBDSVEuTllTRTpCQUguSVFfT1RIRVJfTk9OX09QRVJfRVhQX1NVUFBMLjIwMDAuMTQvMDYvMjAyNi4uLlVTRC5IAQAAAOlxAgACAAAAATYBCAAAAAUAAAABMQEAAAALLTE4ODc3MDQzNDEDAAAAAzE2MAIAAAACODUEAAAAATAHAAAACTYvMTQvMjAyNggAAAAJMy8zMS8yMDI2CQAAAAEw</t>
  </si>
  <si>
    <t>xSEE2v7J3ghWWbrb/sneCC9DSVEuTllTRTpCQUguSVFfRUJUX0VYQ0wuOTkwLjE0LzA2LzIwMjYuLi5VU0QuSAEAAADpcQIAAgAAAAczNzkuNDYyAQgAAAAFAAAAATEBAAAACjE4OTEzNDc4NjkDAAAAAzE2MAIAAAABNAQAAAABMAcAAAAJNi8xNC8yMDI2CAAAAAkzLzMxLzIwMTYJAAAAATDFIQTa/sneCFZZutv+yd4IOUNJUS5OWVNFOkJBSC5JUV9ORUdBVElWRV9HV19BTU9SVC4yMDAwLjE0LzA2LzIwMjYuLi5VU0QuSAEAAADpcQIAAwAAAAAA0qO22f7J3ghHddfb/sneCEBDSVEuTllTRTpCQUguSVFfSU1QVVRfT1BFUl9MRUFTRV9JTlRfRVhQLjIwMDAuMTQvMDYvMjAyNi4uLlVTRC5IAQAAAOlxAgACAAAABzI2LjQ3MTQBCAAAAAUAAAABMQEAAAALLTE4ODc3MDQzNDEDAAAAAzE2MAIAAAAFMjE2NzIEAAAAATAHAAAACTYvMTQvMjAyNggAAAAJMy8zMS8yMDI2CQAAAAEw0qO22f7J3giI69Lb/sneCDNDSVEuTllTRTpCQUguSVFfQURWRVJUSVNJTkcuMjAwMC4xNC8wNi8yMDI2Li4uVVNELkgBAAAA6XECAAMAAAAAANKjttn+yd4IyEnQ2/7J3gg+Q0lRLk5ZU0U6QkFILklRX0FOTlVfRElTVFJJQlVUSU9OX1VOSVQuMjAwMC4xNC8wNi8yMDI2Li4uVVNELkgBAAAA6XECAAMAAAAAANKjttn+yd4IRdTN2/7J3gg9Q0lRLk5ZU0U6QkFILklRX0RFRkVSUkVEX0ZPUkVJR05fVEFYRVMuOTkyLjE0LzA2LzIw</t>
  </si>
  <si>
    <t>MjYuLi5VU0QuSAEAAADpcQIAAwAAAAAA0qO22f7J3gg/asvb/sneCDVDSVEuTllTRTpCQUguSVFfRElMVVRfRVBTX0VYQ0wuOTkwLjE0LzA2LzIwMjYuLi5VU0QuSAEAAADpcQIAAgAAAAcxLjk0MDk0AQgAAAAFAAAAATEBAAAACjE4OTEzNDc4NjkDAAAAAzE2MAIAAAADMTQyBAAAAAEwBwAAAAk2LzE0LzIwMjYIAAAACTMvMzEvMjAxNgkAAAABMEyDBNr+yd4I2KnB2/7J3gg0Q0lRLk5ZU0U6QkFILklRX05JX0FWQUlMX0lOQ0wuOTkyLjE0LzA2LzIwMjYuLi5VU0QuSAEAAADpcQIAAgAAAAcyOTkuODI0AQgAAAAFAAAAATEBAAAACjIwMzgwOTEwNzcDAAAAAzE2MAIAAAACMTYEAAAAATAHAAAACTYvMTQvMjAyNggAAAAJMy8zMS8yMDE4CQAAAAEwTIME2v7J3ghCP7/b/sneCDZDSVEuTllTRTpCQUguSVFfRVhUUkFfQUNDX0lURU1TLjk5Mi4xNC8wNi8yMDI2Li4uVVNELkgBAAAA6XECAAMAAAAAAEyDBNr+yd4IJ/K92/7J3gg7Q0lRLk5ZU0U6QkFILklRX05FR0FUSVZFX0dXX0FNT1JUX0FULjk5MC4xNC8wNi8yMDI2Li4uVVNELkgBAAAA6XECAAMAAAAAANKjttn+yd4IwOzV2/7J3ggwQ0lRLk5ZU0U6QkFILklRX01BUktFVElORy45OTAuMTQvMDYvMjAyNi4uLlVTRC5IAQAAAOlxAgADAAAAAADSo7bZ/sneCMhJ0Nv+yd4IP0NJUS5OWVNFOkJBSC5JUV9ERUZFUlJFRF9ET01FU1RJQ19UQVhFUy4yMDAw</t>
  </si>
  <si>
    <t>LjE0LzA2LzIwMjYuLi5VU0QuSAEAAADpcQIAAgAAAAIzNQEIAAAABQAAAAExAQAAAAstMTg4NzcwNDM0MQMAAAADMTYwAgAAAAQzMDU0BAAAAAEwBwAAAAk2LzE0LzIwMjYIAAAACTMvMzEvMjAyNgkAAAABMNKjttn+yd4IP2rL2/7J3ggzQ0lRLk5ZU0U6QkFILklRX0VCSVRfRVFfSU5DLjIwMDAuMTQvMDYvMjAyNi4uLlVTRC5IAQAAAOlxAgACAAAABDEwOTUBCAAAAAUAAAABMQEAAAALLTE4ODc3MDQzNDEDAAAAAzE2MAIAAAAFMjE2NzUEAAAAATAHAAAACTYvMTQvMjAyNggAAAAJMy8zMS8yMDI2CQAAAAEwsQ0F2v7J3ggPL8Tb/sneCDZDSVEuTllTRTpCQUguSVFfVE9UQUxfUkVWX1NIQVJFLjk5Mi4xNC8wNi8yMDI2Li4uVVNELkgBAAAA6XECAAIAAAAJNDIuMjU0MDg4AQgAAAAFAAAAATEBAAAACjIwMzgwOTEwNzcDAAAAAzE2MAIAAAAENDM4MgQAAAABMAcAAAAJNi8xNC8yMDI2CAAAAAkzLzMxLzIwMTgJAAAAATBMgwTa/sneCNipwdv+yd4INUNJUS5OWVNFOkJBSC5JUV9ESUxVVF9FUFNfRVhDTC45OTEuMTQvMDYvMjAyNi4uLlVTRC5IAQAAAOlxAgACAAAACDEuNzIwMjc2AQgAAAAFAAAAATEBAAAACjE5NjU3NzI0MjIDAAAAAzE2MAIAAAADMTQyBAAAAAEwBwAAAAk2LzE0LzIwMjYIAAAACTMvMzEvMjAxNwkAAAABMEyDBNr+yd4I2KnB2/7J3gg8Q0lRLk5ZU0U6QkFILklRX01JTk9SSVRZX0lO</t>
  </si>
  <si>
    <t>VEVSRVNUX0lTLjIwMDAuMTQvMDYvMjAyNi4uLlVTRC5IAQAAAOlxAgADAAAAAABMgwTa/sneCCfyvdv+yd4IMUNJUS5OWVNFOkJBSC5JUV9JTlNfU0VUVExFLjk5MS4xNC8wNi8yMDI2Li4uVVNELkgBAAAA6XECAAMAAAAAAMUhBNr+yd4IVlm62/7J3gg2Q0lRLk5ZU0U6QkFILklRX0FTU0VUX1dSSVRFRE9XTi45OTEuMTQvMDYvMjAyNi4uLlVTRC5IAQAAAOlxAgADAAAAAADFIQTa/sneCFZZutv+yd4IMkNJUS5OWVNFOkJBSC5JUV9HQUlOX0lOVkVTVC45OTEuMTQvMDYvMjAyNi4uLlVTRC5IAQAAAOlxAgADAAAAAADFIQTa/sneCFZZutv+yd4ILUNJUS5OWVNFOkJBSC5JUV9NRVJHRVIuOTkxLjE0LzA2LzIwMjYuLi5VU0QuSAEAAADpcQIAAgAAAAQtMy44AQgAAAAFAAAAATEBAAAACjE5NjU3NzI0MjIDAAAAAzE2MAIAAAACODAEAAAAATAHAAAACTYvMTQvMjAyNggAAAAJMy8zMS8yMDE3CQAAAAEwxSEE2v7J3ghWWbrb/sneCDBDSVEuTllTRTpCQUguSVFfTUFSS0VUSU5HLjk5MS4xNC8wNi8yMDI2Li4uVVNELkgBAAAA6XECAAMAAAAAANKjttn+yd4IyEnQ2/7J3gg+Q0lRLk5ZU0U6QkFILklRX0xFQVNFX0FESlVTVE1FTlRfRUJJVERBLjk5MS4xNC8wNi8yMDI2Li4uVVNELkgBAAAA6XECAAMAAAAAAEyDBNr+yd4IDy/E2/7J3gg1Q0lRLk5ZU0U6QkFILklRX0RJTFVUX0VQU19OT1JNLjk5MC4xNC8w</t>
  </si>
  <si>
    <t>Ni8yMDI2Li4uVVNELkgBAAAA6XECAAIAAAAIMS41ODQwNTcBCAAAAAUAAAABMQEAAAAKMTg5MTM0Nzg2OQMAAAADMTYwAgAAAAQ0MzgwBAAAAAEwBwAAAAk2LzE0LzIwMjYIAAAACTMvMzEvMjAxNgkAAAABMEyDBNr+yd4I2KnB2/7J3gg1Q0lRLk5ZU0U6QkFILklRX0RJTFVUX0VQU19FWENMLjk5Mi4xNC8wNi8yMDI2Li4uVVNELkgBAAAA6XECAAIAAAAIMi4wMjkzNTMBCAAAAAUAAAABMQEAAAAKMjAzODA5MTA3NwMAAAADMTYwAgAAAAMxNDIEAAAAATAHAAAACTYvMTQvMjAyNggAAAAJMy8zMS8yMDE4CQAAAAEwTIME2v7J3gjYqcHb/sneCDFDSVEuTllTRTpCQUguSVFfSU5TX1NFVFRMRS45OTIuMTQvMDYvMjAyNi4uLlVTRC5IAQAAAOlxAgADAAAAAADFIQTa/sneCFZZutv+yd4INkNJUS5OWVNFOkJBSC5JUV9BU1NFVF9XUklURURPV04uOTkyLjE0LzA2LzIwMjYuLi5VU0QuSAEAAADpcQIAAwAAAAAAxSEE2v7J3ghWWbrb/sneCDVDSVEuTllTRTpCQUguSVFfRUJJVERBUl9FUV9JTkMuOTkxLjE0LzA2LzIwMjYuLi5VU0QuSAEAAADpcQIAAgAAAAc2NDMuMTI0AQgAAAAFAAAAATEBAAAACjE5NjU3NzI0MjIDAAAAAzE2MAIAAAAFMjQxMjkEAAAAATAHAAAACTYvMTQvMjAyNggAAAAJMy8zMS8yMDE3CQAAAAEw0qO22f7J3gi5iMbb/sneCD1DSVEuTllTRTpCQUguSVFfRUJJVERBX0VRX0lOQ19FWENM</t>
  </si>
  <si>
    <t>X1NCQy45OTAuMTQvMDYvMjAyNi4uLlVTRC5IAQAAAOlxAgACAAAABzUzMS4xMTIBCAAAAAUAAAABMQEAAAAKMTg5MTM0Nzg2OQMAAAADMTYwAgAAAAUyNDEzMQQAAAABMAcAAAAJNi8xNC8yMDI2CAAAAAkzLzMxLzIwMTYJAAAAATBMgwTa/sneCA8vxNv+yd4INUNJUS5OWVNFOkJBSC5JUV9ESUxVVF9FUFNfTk9STS45OTEuMTQvMDYvMjAyNi4uLlVTRC5IAQAAAOlxAgACAAAACDEuNzg2MTMzAQgAAAAFAAAAATEBAAAACjE5NjU3NzI0MjIDAAAAAzE2MAIAAAAENDM4MAQAAAABMAcAAAAJNi8xNC8yMDI2CAAAAAkzLzMxLzIwMTcJAAAAATBMgwTa/sneCNipwdv+yd4IL0NJUS5OWVNFOkJBSC5JUV9JTkNfVEFYLjIwMDAuMTQvMDYvMjAyNi4uLlVTRC5IAQAAAOlxAgACAAAAAjExAQgAAAAFAAAAATEBAAAACy0xODg3NzA0MzQxAwAAAAMxNjACAAAAAjc1BAAAAAEwBwAAAAk2LzE0LzIwMjYIAAAACTMvMzEvMjAyNgkAAAABMEyDBNr+yd4I38282/7J3gg6Q0lRLk5ZU0U6QkFILklRX09USEVSX1VOVVNVQUxfU1VQUEwuOTkxLjE0LzA2LzIwMjYuLi5VU0QuSAEAAADpcQIAAwAAAAAAxSEE2v7J3gjfzbzb/sneCDFDSVEuTllTRTpCQUguSVFfSU5DX0VRVUlUWS45OTIuMTQvMDYvMjAyNi4uLlVTRC5IAQAAAOlxAgADAAAAAADFIQTa/sneCFZZutv+yd4IQkNJUS5OWVNFOkJBSC5JUV9ERVBSRUNJQVRJT05f</t>
  </si>
  <si>
    <t>UkVOVEFMX0FTU0VUUy4yMDAwLjE0LzA2LzIwMjYuLi5VU0QuSAEAAADpcQIAAwAAAAAA0qO22f7J3giI69Lb/sneCDJDSVEuTllTRTpCQUguSVFfSU5UX0VYUF9MVEQuOTkxLjE0LzA2LzIwMjYuLi5VU0QuSAEAAADpcQIAAgAAAAY1Ny42NjcBCAAAAAUAAAABMQEAAAAKMTk2NTc3MjQyMgMAAAADMTYwAgAAAAQzMTAxBAAAAAEwBwAAAAk2LzE0LzIwMjYIAAAACTMvMzEvMjAxNwkAAAABMNKjttn+yd4IRdTN2/7J3gg9Q0lRLk5ZU0U6QkFILklRX0VCSVREQV9FUV9JTkNfRVhDTF9TQkMuOTkxLjE0LzA2LzIwMjYuLi5VU0QuSAEAAADpcQIAAgAAAAc1ODIuNzczAQgAAAAFAAAAATEBAAAACjE5NjU3NzI0MjIDAAAAAzE2MAIAAAAFMjQxMzEEAAAAATAHAAAACTYvMTQvMjAyNggAAAAJMy8zMS8yMDE3CQAAAAEwTIME2v7J3ggPL8Tb/sneCDVDSVEuTllTRTpCQUguSVFfQkFTSUNfRVBTX0lOQ0wuOTkyLjE0LzA2LzIwMjYuLi5VU0QuSAEAAADpcQIAAgAAAAgyLjA1NDA4NwEIAAAABQAAAAExAQAAAAoyMDM4MDkxMDc3AwAAAAMxNjACAAAAATkEAAAAATAHAAAACTYvMTQvMjAyNggAAAAJMy8zMS8yMDE4CQAAAAEwTIME2v7J3gjYqcHb/sneCC5DSVEuTllTRTpCQUguSVFfSU5DX1RBWC45OTIuMTQvMDYvMjAyNi4uLlVTRC5IAQAAAOlxAgACAAAABzEyOC4zNDQBCAAAAAUAAAABMQEAAAAKMjAzODA5MTA3</t>
  </si>
  <si>
    <t>NwMAAAADMTYwAgAAAAI3NQQAAAABMAcAAAAJNi8xNC8yMDI2CAAAAAkzLzMxLzIwMTgJAAAAATBMgwTa/sneCN/NvNv+yd4IQUNJUS5OWVNFOkJBSC5JUV9FQVJOSU5HX1BBUkVOVF9FWENMX0VYVFJBLjIwMDAuMTQvMDYvMjAyNi4uLlVTRC5IAQAAAOlxAgACAAAAAzg1MQEIAAAABQAAAAExAQAAAAstMTg4NzcwNDM0MQMAAAADMTYwAgAAAAU0MTU5NgQAAAABMAcAAAAJNi8xNC8yMDI2CAAAAAkzLzMxLzIwMjYJAAAAATDSo7bZ/sneCJf7yNv+yd4IMkNJUS5OWVNFOkJBSC5JUV9HQUlOX0FTU0VUUy45OTEuMTQvMDYvMjAyNi4uLlVTRC5IAQAAAOlxAgADAAAAAADFIQTa/sneCFZZutv+yd4IMkNJUS5OWVNFOkJBSC5JUV9SRVNUUlVDVFVSRS45OTEuMTQvMDYvMjAyNi4uLlVTRC5IAQAAAOlxAgADAAAAAADFIQTa/sneCFZZutv+yd4IP0NJUS5OWVNFOkJBSC5JUV9PVEhFUl9OT05fT1BFUl9FWFBfU1VQUEwuOTkxLjE0LzA2LzIwMjYuLi5VU0QuSAEAAADpcQIAAgAAAActMTAuMjI1AQgAAAAFAAAAATEBAAAACjE5NjU3NzI0MjIDAAAAAzE2MAIAAAACODUEAAAAATAHAAAACTYvMTQvMjAyNggAAAAJMy8zMS8yMDE3CQAAAAEwxSEE2v7J3ghWWbrb/sneCDhDSVEuTllTRTpCQUguSVFfTkVUX0lOVEVSRVNUX0VYUC4yMDAwLjE0LzA2LzIwMjYuLi5VU0QuSAEAAADpcQIAAgAAAAQtMTg0AQgAAAAFAAAA</t>
  </si>
  <si>
    <t>ATEBAAAACy0xODg3NzA0MzQxAwAAAAMxNjACAAAAAzM2OAQAAAABMAcAAAAJNi8xNC8yMDI2CAAAAAkzLzMxLzIwMjYJAAAAATDFIQTa/sneCFZZutv+yd4ITENJUS5OWVNFOkJBSC5JUV9ESVNUUklCVVRBQkxFX0NBU0hfUEVSX1NIQVJFX0RJTFVURUQuMjAwMC4xNC8wNi8yMDI2Li4uVVNELkgBAAAA6XECAAMAAAAAAEyDBNr+yd4I2KnB2/7J3gg1Q0lRLk5ZU0U6QkFILklRX05JX0FWQUlMX0VYQ0wuMjAwMC4xNC8wNi8yMDI2Li4uVVNELkgBAAAA6XECAAIAAAADODQ1AQgAAAAFAAAAATEBAAAACy0xODg3NzA0MzQxAwAAAAMxNjACAAAAAzM3OQQAAAABMAcAAAAJNi8xNC8yMDI2CAAAAAkzLzMxLzIwMjYJAAAAATBMgwTa/sneCNipwdv+yd4INUNJUS5OWVNFOkJBSC5JUV9QUkVGX0RJVl9PVEhFUi45OTAuMTQvMDYvMjAyNi4uLlVTRC5IAQAAAOlxAgACAAAABTMuNTUyAQgAAAAFAAAAATEBAAAACjE4OTEzNDc4NjkDAAAAAzE2MAIAAAACOTcEAAAAATAHAAAACTYvMTQvMjAyNggAAAAJMy8zMS8yMDE2CQAAAAEwTIME2v7J3ggn8r3b/sneCC5DSVEuTllTRTpCQUguSVFfSU5DX1RBWC45OTAuMTQvMDYvMjAyNi4uLlVTRC5IAQAAAOlxAgACAAAABjg1LjM2OAEIAAAABQAAAAExAQAAAAoxODkxMzQ3ODY5AwAAAAMxNjACAAAAAjc1BAAAAAEwBwAAAAk2LzE0LzIwMjYIAAAACTMvMzEvMjAxNgkAAAAB</t>
  </si>
  <si>
    <t>MEyDBNr+yd4I38282/7J3gg6Q0lRLk5ZU0U6QkFILklRX0xFR0FMX1NFVFRMRV9TVVBQTEUuOTkyLjE0LzA2LzIwMjYuLi5VU0QuSAEAAADpcQIAAwAAAAAA0qO22f7J3gjA7NXb/sneCEFDSVEuTllTRTpCQUguSVFfREVQUkVDSUFUSU9OX1JFTlRBTF9BU1NFVFMuOTkyLjE0LzA2LzIwMjYuLi5VU0QuSAEAAADpcQIAAwAAAAAA0qO22f7J3giI69Lb/sneCDJDSVEuTllTRTpCQUguSVFfSU5UX0VYUF9MVEQuOTkyLjE0LzA2LzIwMjYuLi5VU0QuSAEAAADpcQIAAgAAAAY3NC4yNzYBCAAAAAUAAAABMQEAAAAKMjAzODA5MTA3NwMAAAADMTYwAgAAAAQzMTAxBAAAAAEwBwAAAAk2LzE0LzIwMjYIAAAACTMvMzEvMjAxOAkAAAABMNKjttn+yd4IRdTN2/7J3ggyQ0lRLk5ZU0U6QkFILklRX0VCSVRfRVFfSU5DLjk5MC4xNC8wNi8yMDI2Li4uVVNELkgBAAAA6XECAAIAAAAHNDQ0LjU4NAEIAAAABQAAAAExAQAAAAoxODkxMzQ3ODY5AwAAAAMxNjACAAAABTIxNjc1BAAAAAEwBwAAAAk2LzE0LzIwMjYIAAAACTMvMzEvMjAxNgkAAAABMLENBdr+yd4IDy/E2/7J3gg9Q0lRLk5ZU0U6QkFILklRX0VCSVREQV9MRUFTRV9BREpVU1RFRC4yMDAwLjE0LzA2LzIwMjYuLi5VU0QuSAEAAADpcQIAAgAAAAQxMzMzAQgAAAAFAAAAATEBAAAACy0xODg3NzA0MzQxAwAAAAMxNjACAAAABTQ4OTkzBAAAAAEwBwAAAAk2LzE0</t>
  </si>
  <si>
    <t>LzIwMjYIAAAACTMvMzEvMjAyNgkAAAABMEyDBNr+yd4IDy/E2/7J3gg2Q0lRLk5ZU0U6QkFILklRX1BSRUZfRElWX09USEVSLjIwMDAuMTQvMDYvMjAyNi4uLlVTRC5IAQAAAOlxAgACAAAAATYBCAAAAAUAAAABMQEAAAALLTE4ODc3MDQzNDEDAAAAAzE2MAIAAAACOTcEAAAAATAHAAAACTYvMTQvMjAyNggAAAAJMy8zMS8yMDI2CQAAAAEwTIME2v7J3ggn8r3b/sneCDtDSVEuTllTRTpCQUguSVFfTUlOT1JJVFlfSU5URVJFU1RfSVMuOTkwLjE0LzA2LzIwMjYuLi5VU0QuSAEAAADpcQIAAwAAAAAATIME2v7J3ggn8r3b/sneCDRDSVEuTllTRTpCQUguSVFfSU1QQUlSTUVOVF9HVy45OTIuMTQvMDYvMjAyNi4uLlVTRC5IAQAAAOlxAgADAAAAAADFIQTa/sneCFZZutv+yd4IMUNJUS5OWVNFOkJBSC5JUV9ESVZfU0hBUkUuMjAwMC4xNC8wNi8yMDI2Li4uVVNELkgBAAAA6XECAAIAAAAEMi4yNAEIAAAABQAAAAExAQAAAAstMTg4NzcwNDM0MQMAAAADMTYwAgAAAAQzMDU4BAAAAAEwBwAAAAk2LzE0LzIwMjYIAAAACTMvMzEvMjAyNgkAAAABMEyDBNr+yd4I2KnB2/7J3gg1Q0lRLk5ZU0U6QkFILklRX0RJTFVUX0VQU19JTkNMLjk5MC4xNC8wNi8yMDI2Li4uVVNELkgBAAAA6XECAAIAAAAHMS45NDA5NAEIAAAABQAAAAExAQAAAAoxODkxMzQ3ODY5AwAAAAMxNjACAAAAATgEAAAAATAHAAAACTYvMTQvMjAy</t>
  </si>
  <si>
    <t>NggAAAAJMy8zMS8yMDE2CQAAAAEwTIME2v7J3gjYqcHb/sneCCtDSVEuTllTRTpCQUguSVFfSVBSRC45OTIuMTQvMDYvMjAyNi4uLlVTRC5IAQAAAOlxAgADAAAAAADFIQTa/sneCFZZutv+yd4IMUNJUS5OWVNFOkJBSC5JUV9JTkNfRVFVSVRZLjk5MC4xNC8wNi8yMDI2Li4uVVNELkgBAAAA6XECAAMAAAAAAMUhBNr+yd4IVlm62/7J3gguQ0lRLk5ZU0U6QkFILklRX05JX1NGQVMuOTkwLjE0LzA2LzIwMjYuLi5VU0QuSAEAAADpcQIAAwAAAAAA0qO22f7J3giX+8jb/sneCDNDSVEuTllTRTpCQUguSVFfRUJJVEFfRVFfSU5DLjk5MC4xNC8wNi8yMDI2Li4uVVNELkgBAAAA6XECAAIAAAAHNDU2LjY4NAEIAAAABQAAAAExAQAAAAoxODkxMzQ3ODY5AwAAAAMxNjACAAAABTIxNjc2BAAAAAEwBwAAAAk2LzE0LzIwMjYIAAAACTMvMzEvMjAxNgkAAAABMNKjttn+yd4IuYjG2/7J3ggyQ0lRLk5ZU0U6QkFILklRX0VCSVRfRVFfSU5DLjk5Mi4xNC8wNi8yMDI2Li4uVVNELkgBAAAA6XECAAIAAAAHNTEyLjQ0NAEIAAAABQAAAAExAQAAAAoyMDM4MDkxMDc3AwAAAAMxNjACAAAABTIxNjc1BAAAAAEwBwAAAAk2LzE0LzIwMjYIAAAACTMvMzEvMjAxOAkAAAABMLENBdr+yd4IDy/E2/7J3gg+Q0lRLk5ZU0U6QkFILklRX0xFQVNFX0FESlVTVE1FTlRfRUJJVERBLjk5MC4xNC8wNi8yMDI2Li4uVVNELkgBAAAA6XEC</t>
  </si>
  <si>
    <t>AAMAAAAAAEyDBNr+yd4IDy/E2/7J3gg0Q0lRLk5ZU0U6QkFILklRX0VCSVREQV9FUV9JTkMuOTkwLjE0LzA2LzIwMjYuLi5VU0QuSAEAAADpcQIAAgAAAAY1MDYuMTIBCAAAAAUAAAABMQEAAAAKMTg5MTM0Nzg2OQMAAAADMTYwAgAAAAUyMTY3NwQAAAABMAcAAAAJNi8xNC8yMDI2CAAAAAkzLzMxLzIwMTYJAAAAATBMgwTa/sneCA8vxNv+yd4IL0NJUS5OWVNFOkJBSC5JUV9FUFNfTk9STS45OTAuMTQvMDYvMjAyNi4uLlVTRC5IAQAAAOlxAgACAAAACDEuNjE4OTI2AQgAAAAFAAAAATEBAAAACjE4OTEzNDc4NjkDAAAAAzE2MAIAAAAENDM3OQQAAAABMAcAAAAJNi8xNC8yMDI2CAAAAAkzLzMxLzIwMTYJAAAAATBMgwTa/sneCNipwdv+yd4INUNJUS5OWVNFOkJBSC5JUV9ESUxVVF9FUFNfSU5DTC45OTIuMTQvMDYvMjAyNi4uLlVTRC5IAQAAAOlxAgACAAAACDIuMDI5MzUzAQgAAAAFAAAAATEBAAAACjIwMzgwOTEwNzcDAAAAAzE2MAIAAAABOAQAAAABMAcAAAAJNi8xNC8yMDI2CAAAAAkzLzMxLzIwMTgJAAAAATBMgwTa/sneCNipwdv+yd4IKkNJUS5OWVNFOkJBSC5JUV9ETy4yMDAwLjE0LzA2LzIwMjYuLi5VU0QuSAEAAADpcQIAAwAAAAAATIME2v7J3gjfzbzb/sneCDRDSVEuTllTRTpCQUguSVFfSU1QQUlSTUVOVF9HVy45OTAuMTQvMDYvMjAyNi4uLlVTRC5IAQAAAOlxAgADAAAAAADFIQTa/sne</t>
  </si>
  <si>
    <t>CFZZutv+yd4IMENJUS5OWVNFOkJBSC5JUV9FQlRfRVhDTC4yMDAwLjE0LzA2LzIwMjYuLi5VU0QuSAEAAADpcQIAAgAAAAM5MTcBCAAAAAUAAAABMQEAAAALLTE4ODc3MDQzNDEDAAAAAzE2MAIAAAABNAQAAAABMAcAAAAJNi8xNC8yMDI2CAAAAAkzLzMxLzIwMjYJAAAAATDFIQTa/sneCFZZutv+yd4INUNJUS5OWVNFOkJBSC5JUV9DVVJSRU5DWV9HQUlOLjIwMDAuMTQvMDYvMjAyNi4uLlVTRC5IAQAAAOlxAgADAAAAAADFIQTa/sneCFZZutv+yd4IMkNJUS5OWVNFOkJBSC5JUV9FQVJOSU5HX0NPLjIwMDAuMTQvMDYvMjAyNi4uLlVTRC5IAQAAAOlxAgACAAAAAzg1MQEIAAAABQAAAAExAQAAAAstMTg4NzcwNDM0MQMAAAADMTYwAgAAAAE3BAAAAAEwBwAAAAk2LzE0LzIwMjYIAAAACTMvMzEvMjAyNgkAAAABMEyDBNr+yd4I38282/7J3gg7Q0lRLk5ZU0U6QkFILklRX0NVUlJfRE9NRVNUSUNfVEFYRVMuMjAwMC4xNC8wNi8yMDI2Li4uVVNELkgBAAAA6XECAAIAAAADLTI3AQgAAAAFAAAAATEBAAAACy0xODg3NzA0MzQxAwAAAAMxNjACAAAABDMwMjcEAAAAATAHAAAACTYvMTQvMjAyNggAAAAJMy8zMS8yMDI2CQAAAAEw0qO22f7J3gg/asvb/sneCC5DSVEuTllTRTpCQUguSVFfRUJJVERBUi45OTEuMTQvMDYvMjAyNi4uLlVTRC5IAQAAAOlxAgACAAAABzY0My4xMjQBCAAAAAUAAAABMQEAAAAKMTk2</t>
  </si>
  <si>
    <t>NTc3MjQyMgMAAAADMTYwAgAAAAUyMTY3NAQAAAABMAcAAAAJNi8xNC8yMDI2CAAAAAkzLzMxLzIwMTcJAAAAATDSo7bZ/sneCLmIxtv+yd4IM0NJUS5OWVNFOkJBSC5JUV9FQklUQV9FUV9JTkMuOTkxLjE0LzA2LzIwMjYuLi5VU0QuSAEAAADpcQIAAgAAAAY1MTkuODgBCAAAAAUAAAABMQEAAAAKMTk2NTc3MjQyMgMAAAADMTYwAgAAAAUyMTY3NgQAAAABMAcAAAAJNi8xNC8yMDI2CAAAAAkzLzMxLzIwMTcJAAAAATDSo7bZ/sneCLmIxtv+yd4INENJUS5OWVNFOkJBSC5JUV9FQklUREFfRVFfSU5DLjk5MS4xNC8wNi8yMDI2Li4uVVNELkgBAAAA6XECAAIAAAAHNTYxLjUyNAEIAAAABQAAAAExAQAAAAoxOTY1NzcyNDIyAwAAAAMxNjACAAAABTIxNjc3BAAAAAEwBwAAAAk2LzE0LzIwMjYIAAAACTMvMzEvMjAxNwkAAAABMEyDBNr+yd4IDy/E2/7J3ggvQ0lRLk5ZU0U6QkFILklRX0VQU19OT1JNLjk5MS4xNC8wNi8yMDI2Li4uVVNELkgBAAAA6XECAAIAAAAIMS44MTA5MDYBCAAAAAUAAAABMQEAAAAKMTk2NTc3MjQyMgMAAAADMTYwAgAAAAQ0Mzc5BAAAAAEwBwAAAAk2LzE0LzIwMjYIAAAACTMvMzEvMjAxNwkAAAABMEyDBNr+yd4I2KnB2/7J3ggyQ0lRLk5ZU0U6QkFILklRX05JX0NPTVBBTlkuMjAwMC4xNC8wNi8yMDI2Li4uVVNELkgBAAAA6XECAAIAAAADODUxAQgAAAAFAAAAATEBAAAACy0xODg3</t>
  </si>
  <si>
    <t>NzA0MzQxAwAAAAMxNjACAAAABTQxNTcxBAAAAAEwBwAAAAk2LzE0LzIwMjYIAAAACTMvMzEvMjAyNgkAAAABMEyDBNr+yd4IJ/K92/7J3gg0Q0lRLk5ZU0U6QkFILklRX0lNUEFJUk1FTlRfR1cuOTkxLjE0LzA2LzIwMjYuLi5VU0QuSAEAAADpcQIAAwAAAAAAxSEE2v7J3ghWWbrb/sneCDJDSVEuTllTRTpCQUguSVFfUkVTVFJVQ1RVUkUuOTkwLjE0LzA2LzIwMjYuLi5VU0QuSAEAAADpcQIAAwAAAAAAxSEE2v7J3ghWWbrb/sneCD9DSVEuTllTRTpCQUguSVFfT1RIRVJfTk9OX09QRVJfRVhQX1NVUFBMLjk5MC4xNC8wNi8yMDI2Li4uVVNELkgBAAAA6XECAAIAAAAFNS42OTMBCAAAAAUAAAABMQEAAAAKMTg5MTM0Nzg2OQMAAAADMTYwAgAAAAI4NQQAAAABMAcAAAAJNi8xNC8yMDI2CAAAAAkzLzMxLzIwMTYJAAAAATDFIQTa/sneCFZZutv+yd4IMkNJUS5OWVNFOkJBSC5JUV9JTkNfRVFVSVRZLjIwMDAuMTQvMDYvMjAyNi4uLlVTRC5IAQAAAOlxAgADAAAAAADFIQTa/sneCFZZutv+yd4IOENJUS5OWVNFOkJBSC5JUV9HQUlOX0JBUkdBSU5fQUNRLjIwMDAuMTQvMDYvMjAyNi4uLlVTRC5IAQAAAOlxAgADAAAAAADSo7bZ/sneCMDs1dv+yd4IOUNJUS5OWVNFOkJBSC5JUV9DVVJSX0ZPUkVJR05fVEFYRVMuOTkwLjE0LzA2LzIwMjYuLi5VU0QuSAEAAADpcQIAAgAAAAUzLjk2MwEIAAAABQAAAAExAQAA</t>
  </si>
  <si>
    <t>AAoxODkxMzQ3ODY5AwAAAAMxNjACAAAABDMwMzAEAAAAATAHAAAACTYvMTQvMjAyNggAAAAJMy8zMS8yMDE2CQAAAAEw0qO22f7J3gg/asvb/sneCC5DSVEuTllTRTpCQUguSVFfRUJJVERBUi45OTIuMTQvMDYvMjAyNi4uLlVTRC5IAQAAAOlxAgACAAAABTY1OC40AQgAAAAFAAAAATEBAAAACjIwMzgwOTEwNzcDAAAAAzE2MAIAAAAFMjE2NzQEAAAAATAHAAAACTYvMTQvMjAyNggAAAAJMy8zMS8yMDE4CQAAAAEw0qO22f7J3gi5iMbb/sneCDRDSVEuTllTRTpCQUguSVFfRUJJVERBX0VRX0lOQy45OTIuMTQvMDYvMjAyNi4uLlVTRC5IAQAAAOlxAgACAAAABTU3Ny4yAQgAAAAFAAAAATEBAAAACjIwMzgwOTEwNzcDAAAAAzE2MAIAAAAFMjE2NzcEAAAAATAHAAAACTYvMTQvMjAyNggAAAAJMy8zMS8yMDE4CQAAAAEwTIME2v7J3ggPL8Tb/sneCDhDSVEuTllTRTpCQUguSVFfU1BFQ0lBTF9ESVZfU0hBUkUuOTkyLjE0LzA2LzIwMjYuLi5VU0QuSAEAAADpcQIAAwAAAAAATIME2v7J3ggPL8Tb/sneCC9DSVEuTllTRTpCQUguSVFfRVBTX05PUk0uOTkyLjE0LzA2LzIwMjYuLi5VU0QuSAEAAADpcQIAAgAAAAgxLjg0MTM1NAEIAAAABQAAAAExAQAAAAoyMDM4MDkxMDc3AwAAAAMxNjACAAAABDQzNzkEAAAAATAHAAAACTYvMTQvMjAyNggAAAAJMy8zMS8yMDE4CQAAAAEwTIME2v7J3gjYqcHb/sneCDFDSVEu</t>
  </si>
  <si>
    <t>TllTRTpCQUguSVFfSU5DX0VRVUlUWS45OTEuMTQvMDYvMjAyNi4uLlVTRC5IAQAAAOlxAgADAAAAAADFIQTa/sneCFZZutv+yd4IPkNJUS5OWVNFOkJBSC5JUV9SRVNUUl9TVE9DS19DT01QX1BSRVRBWC45OTAuMTQvMDYvMjAyNi4uLlVTRC5IAQAAAOlxAgACAAAABTIxLjI5ADzkfNn+yd4IdPzY2/7J3gg+Q0lRLk5ZU0U6QkFILklRX0dBSU5fQkFSR0FJTl9BQ1FfU1VQUExFLjk5MC4xNC8wNi8yMDI2Li4uVVNELkgBAAAA6XECAAMAAAAAANKjttn+yd4IwOzV2/7J3gg5Q0lRLk5ZU0U6QkFILklRX0NVUlJfRk9SRUlHTl9UQVhFUy45OTEuMTQvMDYvMjAyNi4uLlVTRC5IAQAAAOlxAgACAAAABTMuODc0AQgAAAAFAAAAATEBAAAACjE5NjU3NzI0MjIDAAAAAzE2MAIAAAAEMzAzMAQAAAABMAcAAAAJNi8xNC8yMDI2CAAAAAkzLzMxLzIwMTcJAAAAATDSo7bZ/sneCD9qy9v+yd4IKkNJUS5OWVNFOkJBSC5JUV9OSS4yMDAwLjE0LzA2LzIwMjYuLi5VU0QuSAEAAADpcQIAAgAAAAM4NTEBCAAAAAUAAAABMQEAAAALLTE4ODc3MDQzNDEDAAAAAzE2MAIAAAACMTUEAAAAATAHAAAACTYvMTQvMjAyNggAAAAJMy8zMS8yMDI2CQAAAAEwTIME2v7J3ggn8r3b/sneCDtDSVEuTllTRTpCQUguSVFfTUlOT1JJVFlfSU5URVJFU1RfSVMuOTkxLjE0LzA2LzIwMjYuLi5VU0QuSAEAAADpcQIAAwAAAAAATIME2v7J3ggn</t>
  </si>
  <si>
    <t>8r3b/sneCCtDSVEuTllTRTpCQUguSVFfRUJULjIwMDAuMTQvMDYvMjAyNi4uLlVTRC5IAQAAAOlxAgACAAAAAzg2MgEIAAAABQAAAAExAQAAAAstMTg4NzcwNDM0MQMAAAADMTYwAgAAAAMxMzkEAAAAATAHAAAACTYvMTQvMjAyNggAAAAJMy8zMS8yMDI2CQAAAAEwTIME2v7J3gjfzbzb/sneCDRDSVEuTllTRTpCQUguSVFfTEVHQUxfU0VUVExFLjIwMDAuMTQvMDYvMjAyNi4uLlVTRC5IAQAAAOlxAgADAAAAAADFIQTa/sneCN/NvNv+yd4ILENJUS5OWVNFOkJBSC5JUV9JUFJELjIwMDAuMTQvMDYvMjAyNi4uLlVTRC5IAQAAAOlxAgADAAAAAADFIQTa/sneCFZZutv+yd4IP0NJUS5OWVNFOkJBSC5JUV9PVEhFUl9OT05fT1BFUl9FWFBfU1VQUEwuOTkyLjE0LzA2LzIwMjYuLi5VU0QuSAEAAADpcQIAAgAAAAYtMC4xMzkBCAAAAAUAAAABMQEAAAAKMjAzODA5MTA3NwMAAAADMTYwAgAAAAI4NQQAAAABMAcAAAAJNi8xNC8yMDI2CAAAAAkzLzMxLzIwMTgJAAAAATDFIQTa/sneCFZZutv+yd4IPkNJUS5OWVNFOkJBSC5JUV9HQUlOX0JBUkdBSU5fQUNRX1NVUFBMRS45OTEuMTQvMDYvMjAyNi4uLlVTRC5IAQAAAOlxAgADAAAAAADSo7bZ/sneCMDs1dv+yd4IR0NJUS5OWVNFOkJBSC5JUV9ESVNUUklCVVRBQkxFX0NBU0hfU1RBTkRBUkRJWkVELjIwMDAuMTQvMDYvMjAyNi4uLlVTRC5IAQAAAOlxAgADAAAA</t>
  </si>
  <si>
    <t>AADSo7bZ/sneCEXUzdv+yd4IOENJUS5OWVNFOkJBSC5JUV9FQklUREFSX0VYQ0xfU0JDLjIwMDAuMTQvMDYvMjAyNi4uLlVTRC5IAQAAAOlxAgACAAAABDE0MDIBCAAAAAUAAAABMQEAAAALLTE4ODc3MDQzNDEDAAAAAzE2MAIAAAAFMjQxMzcEAAAAATAHAAAACTYvMTQvMjAyNggAAAAJMy8zMS8yMDI2CQAAAAEw0qO22f7J3gi5iMbb/sneCDpDSVEuTllTRTpCQUguSVFfT1RIRVJfVU5VU1VBTF9TVVBQTC45OTAuMTQvMDYvMjAyNi4uLlVTRC5IAQAAAOlxAgADAAAAAADFIQTa/sneCN/NvNv+yd4IOUNJUS5OWVNFOkJBSC5JUV9TVE9DS19CQVNFRF9PVEhFUi4yMDAwLjE0LzA2LzIwMjYuLi5VU0QuSAEAAADpcQIAAwAAAAAAPOR82f7J3gh0/Njb/sneCC9DSVEuTllTRTpCQUguSVFfTklfTk9STS4yMDAwLjE0LzA2LzIwMjYuLi5VU0QuSAEAAADpcQIAAgAAAAc1NzMuMTI1AQgAAAAFAAAAATEBAAAACy0xODg3NzA0MzQxAwAAAAMxNjACAAAABDQzNzgEAAAAATAHAAAACTYvMTQvMjAyNggAAAAJMy8zMS8yMDI2CQAAAAEw0qO22f7J3giUNs3b/sneCDpDSVEuTllTRTpCQUguSVFfQ1VSUl9ET01FU1RJQ19UQVhFUy45OTEuMTQvMDYvMjAyNi4uLlVTRC5IAQAAAOlxAgACAAAAAzE0MAEIAAAABQAAAAExAQAAAAoxOTY1NzcyNDIyAwAAAAMxNjACAAAABDMwMjcEAAAAATAHAAAACTYvMTQvMjAyNggAAAAJ</t>
  </si>
  <si>
    <t>My8zMS8yMDE3CQAAAAEw0qO22f7J3giX+8jb/sneCDNDSVEuTllTRTpCQUguSVFfRUJJVERBX0NBUEVYLjk5MC4xNC8wNi8yMDI2Li4uVVNELkgBAAAA6XECAAIAAAAHNDM5LjQ4NQEIAAAABQAAAAExAQAAAAoxODkxMzQ3ODY5AwAAAAMxNjACAAAABTM1Mzc5BAAAAAEwBwAAAAk2LzE0LzIwMjYIAAAACTMvMzEvMjAxNgkAAAABMNKjttn+yd4IuYjG2/7J3gguQ0lRLk5ZU0U6QkFILklRX0VCSVREQVIuOTkwLjE0LzA2LzIwMjYuLi5VU0QuSAEAAADpcQIAAgAAAAY1OTQuNjIBCAAAAAUAAAABMQEAAAAKMTg5MTM0Nzg2OQMAAAADMTYwAgAAAAUyMTY3NAQAAAABMAcAAAAJNi8xNC8yMDI2CAAAAAkzLzMxLzIwMTYJAAAAATDSo7bZ/sneCLmIxtv+yd4ILENJUS5OWVNFOkJBSC5JUV9FQklUQS45OTIuMTQvMDYvMjAyNi4uLlVTRC5IAQAAAOlxAgACAAAABzUzMy4xNDQBCAAAAAUAAAABMQEAAAAKMjAzODA5MTA3NwMAAAADMTYwAgAAAAYxMDA2ODkEAAAAATAHAAAACTYvMTQvMjAyNggAAAAJMy8zMS8yMDE4CQAAAAEwsQ0F2v7J3gi5iMbb/sneCDVDSVEuTllTRTpCQUguSVFfUFJFRl9ESVZfT1RIRVIuOTkyLjE0LzA2LzIwMjYuLi5VU0QuSAEAAADpcQIAAgAAAAUxLjg2OAEIAAAABQAAAAExAQAAAAoyMDM4MDkxMDc3AwAAAAMxNjACAAAAAjk3BAAAAAEwBwAAAAk2LzE0LzIwMjYIAAAACTMvMzEvMjAx</t>
  </si>
  <si>
    <t>OAkAAAABMEyDBNr+yd4IJ/K92/7J3gguQ0lRLk5ZU0U6QkFILklRX0lOQ19UQVguOTkxLjE0LzA2LzIwMjYuLi5VU0QuSAEAAADpcQIAAgAAAAcxNjQuODMyAQgAAAAFAAAAATEBAAAACjE5NjU3NzI0MjIDAAAAAzE2MAIAAAACNzUEAAAAATAHAAAACTYvMTQvMjAyNggAAAAJMy8zMS8yMDE3CQAAAAEwTIME2v7J3gjfzbzb/sneCC9DSVEuTllTRTpCQUguSVFfRElMVVRfTkkuOTkwLjE0LzA2LzIwMjYuLi5VU0QuSAEAAADpcQIAAgAAAAcyOTAuNTk2AQgAAAAFAAAAATEBAAAACjE4OTEzNDc4NjkDAAAAAzE2MAIAAAAEMzUyMgQAAAABMAcAAAAJNi8xNC8yMDI2CAAAAAkzLzMxLzIwMTYJAAAAATDSo7bZ/sneCJQ2zdv+yd4IPkNJUS5OWVNFOkJBSC5JUV9FWENJU0VfVEFYRVNfSU5DTF9TQUxFUy45OTIuMTQvMDYvMjAyNi4uLlVTRC5IAQAAAOlxAgADAAAAAADSo7bZ/sneCJf7yNv+yd4IM0NJUS5OWVNFOkJBSC5JUV9FQklUREFfQ0FQRVguOTkxLjE0LzA2LzIwMjYuLi5VU0QuSAEAAADpcQIAAgAAAAc1MDcuNjA1AQgAAAAFAAAAATEBAAAACjE5NjU3NzI0MjIDAAAAAzE2MAIAAAAFMzUzNzkEAAAAATAHAAAACTYvMTQvMjAyNggAAAAJMy8zMS8yMDE3CQAAAAEw0qO22f7J3gi5iMbb/sneCDdDSVEuTllTRTpCQUguSVFfRUJJVERBX0VYQ0xfU0JDLjIwMDAuMTQvMDYvMjAyNi4uLlVTRC5IAQAAAOlx</t>
  </si>
  <si>
    <t>AgACAAAABDEzMjcBCAAAAAUAAAABMQEAAAALLTE4ODc3MDQzNDEDAAAAAzE2MAIAAAAFMjQxMzUEAAAAATAHAAAACTYvMTQvMjAyNggAAAAJMy8zMS8yMDI2CQAAAAEwTIME2v7J3ggPL8Tb/sneCDJDSVEuTllTRTpCQUguSVFfR0FJTl9JTlZFU1QuOTkyLjE0LzA2LzIwMjYuLi5VU0QuSAEAAADpcQIAAwAAAAAAxSEE2v7J3ghWWbrb/sneCDxDSVEuTllTRTpCQUguSVFfTkVUX1JFTlRBTF9FWFBfU1VQUExFLjk5MC4xNC8wNi8yMDI2Li4uVVNELkgBAAAA6XECAAMAAAAAANKjttn+yd4IyEnQ2/7J3ghJQ0lRLk5ZU0U6QkFILklRX1BST1ZfQkFEX0RFQlRTX1BBVElFTlRfU0VSVklDRV9SRVYuOTkyLjE0LzA2LzIwMjYuLi5VU0QuSAEAAADpcQIAAwAAAAAA0qO22f7J3giX+8jb/sneCDNDSVEuTllTRTpCQUguSVFfRUJJVERBX0NBUEVYLjk5Mi4xNC8wNi8yMDI2Li4uVVNELkgBAAAA6XECAAIAAAAHNDk4Ljc2MwEIAAAABQAAAAExAQAAAAoyMDM4MDkxMDc3AwAAAAMxNjACAAAABTM1Mzc5BAAAAAEwBwAAAAk2LzE0LzIwMjYIAAAACTMvMzEvMjAxOAkAAAABMNKjttn+yd4IuYjG2/7J3ghJQ0lRLk5ZU0U6QkFILklRX0VCSVREQV9FUV9JTkNfRVhDTF9PUEVSX0xFQVNFX0FESi4yMDAwLjE0LzA2LzIwMjYuLi5VU0QuSAEAAADpcQIAAgAAAAQxMjU4AQgAAAAFAAAAATEBAAAACy0xODg3NzA0MzQxAwAA</t>
  </si>
  <si>
    <t>AAMxNjACAAAABTQ4OTg3BAAAAAEwBwAAAAk2LzE0LzIwMjYIAAAACTMvMzEvMjAyNgkAAAABMLENBdr+yd4IDy/E2/7J3gg3Q0lRLk5ZU0U6QkFILklRX0VYVFJBX0FDQ19JVEVNUy4yMDAwLjE0LzA2LzIwMjYuLi5VU0QuSAEAAADpcQIAAwAAAAAATIME2v7J3ggn8r3b/sneCClDSVEuTllTRTpCQUguSVFfRE8uOTkxLjE0LzA2LzIwMjYuLi5VU0QuSAEAAADpcQIAAwAAAAAATIME2v7J3gjfzbzb/sneCDFDSVEuTllTRTpCQUguSVFfTklfQ09NUEFOWS45OTAuMTQvMDYvMjAyNi4uLlVTRC5IAQAAAOlxAgACAAAABzI5NC4wOTQBCAAAAAUAAAABMQEAAAAKMTg5MTM0Nzg2OQMAAAADMTYwAgAAAAU0MTU3MQQAAAABMAcAAAAJNi8xNC8yMDI2CAAAAAkzLzMxLzIwMTYJAAAAATBMgwTa/sneCCfyvdv+yd4IM0NJUS5OWVNFOkJBSC5JUV9HQUlOX0lOVkVTVC4yMDAwLjE0LzA2LzIwMjYuLi5VU0QuSAEAAADpcQIAAwAAAAAAxSEE2v7J3ghWWbrb/sneCC5DSVEuTllTRTpCQUguSVFfTUVSR0VSLjIwMDAuMTQvMDYvMjAyNi4uLlVTRC5IAQAAAOlxAgADAAAAAADFIQTa/sneCFZZutv+yd4INENJUS5OWVNFOkJBSC5JUV9DVVJSRU5DWV9HQUlOLjk5Mi4xNC8wNi8yMDI2Li4uVVNELkgBAAAA6XECAAMAAAAAAMUhBNr+yd4IVlm62/7J3gg3Q0lRLk5ZU0U6QkFILklRX05FVF9JTlRFUkVTVF9FWFAuOTkwLjE0</t>
  </si>
  <si>
    <t>LzA2LzIwMjYuLi5VU0QuSAEAAADpcQIAAgAAAActNzAuODE1AQgAAAAFAAAAATEBAAAACjE4OTEzNDc4NjkDAAAAAzE2MAIAAAADMzY4BAAAAAEwBwAAAAk2LzE0LzIwMjYIAAAACTMvMzEvMjAxNgkAAAABMMUhBNr+yd4IVlm62/7J3gg2Q0lRLk5ZU0U6QkFILklRX1NUT0NLX0JBU0VEX1NHQS45OTEuMTQvMDYvMjAyNi4uLlVTRC5IAQAAAOlxAgADAAAAAAA85HzZ/sneCEeu2Nv+yd4IPENJUS5OWVNFOkJBSC5JUV9ORVRfUkVOVEFMX0VYUF9TVVBQTEUuOTkxLjE0LzA2LzIwMjYuLi5VU0QuSAEAAADpcQIAAwAAAAAA0qO22f7J3gjISdDb/sneCDdDSVEuTllTRTpCQUguSVFfRUJJVERBUl9FWENMX1NCQy45OTAuMTQvMDYvMjAyNi4uLlVTRC5IAQAAAOlxAgACAAAABzYxOS42MTIBCAAAAAUAAAABMQEAAAAKMTg5MTM0Nzg2OQMAAAADMTYwAgAAAAUyNDEzNwQAAAABMAcAAAAJNi8xNC8yMDI2CAAAAAkzLzMxLzIwMTYJAAAAATDSo7bZ/sneCLmIxtv+yd4INUNJUS5OWVNFOkJBSC5JUV9FQklUQV9FWENMX1NCQy45OTAuMTQvMDYvMjAyNi4uLlVTRC5IAQAAAOlxAgACAAAABzQ4MS42NzYBCAAAAAUAAAABMQEAAAAKMTg5MTM0Nzg2OQMAAAADMTYwAgAAAAUyNDEzNgQAAAABMAcAAAAJNi8xNC8yMDI2CAAAAAkzLzMxLzIwMTYJAAAAATDSo7bZ/sneCLmIxtv+yd4INENJUS5OWVNFOkJBSC5JUV9FQklU</t>
  </si>
  <si>
    <t>X0VYQ0xfU0JDLjk5Mi4xNC8wNi8yMDI2Li4uVVNELkgBAAAA6XECAAIAAAAHNTM1Ljc2MgEIAAAABQAAAAExAQAAAAoyMDM4MDkxMDc3AwAAAAMxNjACAAAABTI0MTM0BAAAAAEwBwAAAAk2LzE0LzIwMjYIAAAACTMvMzEvMjAxOAkAAAABMLENBdr+yd4IuYjG2/7J3ggtQ0lRLk5ZU0U6QkFILklRX0VCSVREQS45OTEuMTQvMDYvMjAyNi4uLlVTRC5IAQAAAOlxAgACAAAABzU2MS41MjQBCAAAAAUAAAABMQEAAAAKMTk2NTc3MjQyMgMAAAADMTYwAgAAAAQ0MDUxBAAAAAEwBwAAAAk2LzE0LzIwMjYIAAAACTMvMzEvMjAxNwkAAAABMEyDBNr+yd4IDy/E2/7J3ghAQ0lRLk5ZU0U6QkFILklRX0RJU1RSSUJVVEFCTEVfQ0FTSF9TSEFSRS4yMDAwLjE0LzA2LzIwMjYuLi5VU0QuSAEAAADpcQIAAwAAAAAATIME2v7J3ggPL8Tb/sneCEtDSVEuTllTRTpCQUguSVFfRElTVFJJQlVUQUJMRV9DQVNIX1BFUl9TSEFSRV9ESUxVVEVELjk5MS4xNC8wNi8yMDI2Li4uVVNELkgBAAAA6XECAAMAAAAAAEyDBNr+yd4I2KnB2/7J3gg1Q0lRLk5ZU0U6QkFILklRX05JX0FWQUlMX0lOQ0wuMjAwMC4xNC8wNi8yMDI2Li4uVVNELkgBAAAA6XECAAIAAAADODQ1AQgAAAAFAAAAATEBAAAACy0xODg3NzA0MzQxAwAAAAMxNjACAAAAAjE2BAAAAAEwBwAAAAk2LzE0LzIwMjYIAAAACTMvMzEvMjAyNgkAAAABMEyDBNr+yd4I2KnB</t>
  </si>
  <si>
    <t>2/7J3ggpQ0lRLk5ZU0U6QkFILklRX05JLjk5MS4xNC8wNi8yMDI2Li4uVVNELkgBAAAA6XECAAIAAAAHMjYwLjgyNQEIAAAABQAAAAExAQAAAAoxOTY1NzcyNDIyAwAAAAMxNjACAAAAAjE1BAAAAAEwBwAAAAk2LzE0LzIwMjYIAAAACTMvMzEvMjAxNwkAAAABMEyDBNr+yd4IJ/K92/7J3gg2Q0lRLk5ZU0U6QkFILklRX0RJTFVUX0VQU19OT1JNLjIwMDAuMTQvMDYvMjAyNi4uLlVTRC5IAQAAAOlxAgACAAAACDQuNjgzMzQ0AQgAAAAFAAAAATEBAAAACy0xODg3NzA0MzQxAwAAAAMxNjACAAAABDQzODAEAAAAATAHAAAACTYvMTQvMjAyNggAAAAJMy8zMS8yMDI2CQAAAAEwTIME2v7J3gjYqcHb/sneCDJDSVEuTllTRTpCQUguSVFfR0FJTl9JTlZFU1QuOTkwLjE0LzA2LzIwMjYuLi5VU0QuSAEAAADpcQIAAwAAAAAAxSEE2v7J3ghWWbrb/sneCDNDSVEuTllTRTpCQUguSVFfUkVTVFJVQ1RVUkUuMjAwMC4xNC8wNi8yMDI2Li4uVVNELkgBAAAA6XECAAIAAAADLTYxAQgAAAAFAAAAATEBAAAACy0xODg3NzA0MzQxAwAAAAMxNjACAAAAAjk4BAAAAAEwBwAAAAk2LzE0LzIwMjYIAAAACTMvMzEvMjAyNgkAAAABMMUhBNr+yd4IVlm62/7J3gg3Q0lRLk5ZU0U6QkFILklRX0VCSVREQVJfRVhDTF9TQkMuOTkxLjE0LzA2LzIwMjYuLi5VU0QuSAEAAADpcQIAAgAAAAc2NjQuMzczAQgAAAAFAAAAATEBAAAACjE5</t>
  </si>
  <si>
    <t>NjU3NzI0MjIDAAAAAzE2MAIAAAAFMjQxMzcEAAAAATAHAAAACTYvMTQvMjAyNggAAAAJMy8zMS8yMDE3CQAAAAEw0qO22f7J3gi5iMbb/sneCDVDSVEuTllTRTpCQUguSVFfRUJJVEFfRVhDTF9TQkMuOTkxLjE0LzA2LzIwMjYuLi5VU0QuSAEAAADpcQIAAgAAAAc1NDEuMTI5AQgAAAAFAAAAATEBAAAACjE5NjU3NzI0MjIDAAAAAzE2MAIAAAAFMjQxMzYEAAAAATAHAAAACTYvMTQvMjAyNggAAAAJMy8zMS8yMDE3CQAAAAEw0qO22f7J3gi5iMbb/sneCDZDSVEuTllTRTpCQUguSVFfRUJJVERBX0VYQ0xfU0JDLjk5MS4xNC8wNi8yMDI2Li4uVVNELkgBAAAA6XECAAIAAAAHNTgyLjc3MwEIAAAABQAAAAExAQAAAAoxOTY1NzcyNDIyAwAAAAMxNjACAAAABTI0MTM1BAAAAAEwBwAAAAk2LzE0LzIwMjYIAAAACTMvMzEvMjAxNwkAAAABMEyDBNr+yd4IDy/E2/7J3gg4Q0lRLk5ZU0U6QkFILklRX1NQRUNJQUxfRElWX1NIQVJFLjk5MC4xNC8wNi8yMDI2Li4uVVNELkgBAAAA6XECAAMAAAAAAEyDBNr+yd4IDy/E2/7J3gg0Q0lRLk5ZU0U6QkFILklRX05JX0FWQUlMX0VYQ0wuOTkyLjE0LzA2LzIwMjYuLi5VU0QuSAEAAADpcQIAAgAAAAcyOTkuODI0AQgAAAAFAAAAATEBAAAACjIwMzgwOTEwNzcDAAAAAzE2MAIAAAADMzc5BAAAAAEwBwAAAAk2LzE0LzIwMjYIAAAACTMvMzEvMjAxOAkAAAABMEyDBNr+yd4I</t>
  </si>
  <si>
    <t>2KnB2/7J3ggxQ0lRLk5ZU0U6QkFILklRX05JX0NPTVBBTlkuOTkxLjE0LzA2LzIwMjYuLi5VU0QuSAEAAADpcQIAAgAAAAcyNjAuODI1AQgAAAAFAAAAATEBAAAACjE5NjU3NzI0MjIDAAAAAzE2MAIAAAAFNDE1NzEEAAAAATAHAAAACTYvMTQvMjAyNggAAAAJMy8zMS8yMDE3CQAAAAEwTIME2v7J3ggn8r3b/sneCDdDSVEuTllTRTpCQUguSVFfQVNTRVRfV1JJVEVET1dOLjIwMDAuMTQvMDYvMjAyNi4uLlVTRC5IAQAAAOlxAgADAAAAAADFIQTa/sneCFZZutv+yd4ILUNJUS5OWVNFOkJBSC5JUV9NRVJHRVIuOTkyLjE0LzA2LzIwMjYuLi5VU0QuSAEAAADpcQIAAwAAAAAAxSEE2v7J3ghWWbrb/sneCC9DSVEuTllTRTpCQUguSVFfRUJUX0VYQ0wuOTkxLjE0LzA2LzIwMjYuLi5VU0QuSAEAAADpcQIAAgAAAAc0MjkuNDU3AQgAAAAFAAAAATEBAAAACjE5NjU3NzI0MjIDAAAAAzE2MAIAAAABNAQAAAABMAcAAAAJNi8xNC8yMDI2CAAAAAkzLzMxLzIwMTcJAAAAATDFIQTa/sneCFZZutv+yd4INENJUS5OWVNFOkJBSC5JUV9DVVJSRU5DWV9HQUlOLjk5MC4xNC8wNi8yMDI2Li4uVVNELkgBAAAA6XECAAMAAAAAAMUhBNr+yd4IVlm62/7J3gg7Q0lRLk5ZU0U6QkFILklRX09USEVSX1VOVVNVQUxfU1VQUEwuMjAwMC4xNC8wNi8yMDI2Li4uVVNELkgBAAAA6XECAAMAAAAAAEyDBNr+yd4I38282/7J3ggzQ0lR</t>
  </si>
  <si>
    <t>Lk5ZU0U6QkFILklRX0xFR0FMX1NFVFRMRS45OTEuMTQvMDYvMjAyNi4uLlVTRC5IAQAAAOlxAgADAAAAAADFIQTa/sneCFZZutv+yd4IK0NJUS5OWVNFOkJBSC5JUV9JUFJELjk5MS4xNC8wNi8yMDI2Li4uVVNELkgBAAAA6XECAAMAAAAAAMUhBNr+yd4IVlm62/7J3gg7Q0lRLk5ZU0U6QkFILklRX0lOVEVSRVNUX0lOVkVTVF9JTkMuMjAwMC4xNC8wNi8yMDI2Li4uVVNELkgBAAAA6XECAAMAAAAAAMUhBNr+yd4IVlm62/7J3ggxQ0lRLk5ZU0U6QkFILklRX0VBUk5JTkdfQ08uOTkxLjE0LzA2LzIwMjYuLi5VU0QuSAEAAADpcQIAAgAAAAcyNjAuODI1AQgAAAAFAAAAATEBAAAACjE5NjU3NzI0MjIDAAAAAzE2MAIAAAABNwQAAAABMAcAAAAJNi8xNC8yMDI2CAAAAAkzLzMxLzIwMTcJAAAAATBMgwTa/sneCN/NvNv+yd4IO0NJUS5OWVNFOkJBSC5JUV9OT05DQVNIX1BFTlNJT05fRVhQLjIwMDAuMTQvMDYvMjAyNi4uLlVTRC5IAQAAAOlxAgADAAAAAADSo7bZ/sneCEXUzdv+yd4INUNJUS5OWVNFOkJBSC5JUV9FQklUQV9FWENMX1NCQy45OTIuMTQvMDYvMjAyNi4uLlVTRC5IAQAAAOlxAgACAAAABzU1Ni40NjIBCAAAAAUAAAABMQEAAAAKMjAzODA5MTA3NwMAAAADMTYwAgAAAAUyNDEzNgQAAAABMAcAAAAJNi8xNC8yMDI2CAAAAAkzLzMxLzIwMTgJAAAAATDSo7bZ/sneCLmIxtv+yd4IOENJUS5OWVNF</t>
  </si>
  <si>
    <t>OkJBSC5JUV9TUEVDSUFMX0RJVl9TSEFSRS45OTEuMTQvMDYvMjAyNi4uLlVTRC5IAQAAAOlxAgADAAAAAABMgwTa/sneCA8vxNv+yd4IMENJUS5OWVNFOkJBSC5JUV9ESVZfU0hBUkUuOTkwLjE0LzA2LzIwMjYuLi5VU0QuSAEAAADpcQIAAgAAAAQwLjU0AQgAAAAFAAAAATEBAAAACjE4OTEzNDc4NjkDAAAAAzE2MAIAAAAEMzA1OAQAAAABMAcAAAAJNi8xNC8yMDI2CAAAAAkzLzMxLzIwMTYJAAAAATBMgwTa/sneCNipwdv+yd4INkNJUS5OWVNFOkJBSC5JUV9CQVNJQ19FUFNfRVhDTC4yMDAwLjE0LzA2LzIwMjYuLi5VU0QuSAEAAADpcQIAAgAAAAg2LjkyMjE2MwEIAAAABQAAAAExAQAAAAstMTg4NzcwNDM0MQMAAAADMTYwAgAAAAQzMDY0BAAAAAEwBwAAAAk2LzE0LzIwMjYIAAAACTMvMzEvMjAyNgkAAAABMEyDBNr+yd4I2KnB2/7J3ggxQ0lRLk5ZU0U6QkFILklRX05JX0NPTVBBTlkuOTkyLjE0LzA2LzIwMjYuLi5VU0QuSAEAAADpcQIAAgAAAAczMDEuNjkyAQgAAAAFAAAAATEBAAAACjIwMzgwOTEwNzcDAAAAAzE2MAIAAAAFNDE1NzEEAAAAATAHAAAACTYvMTQvMjAyNggAAAAJMy8zMS8yMDE4CQAAAAEwTIME2v7J3ggn8r3b/sneCDJDSVEuTllTRTpCQUguSVFfSU5TX1NFVFRMRS4yMDAwLjE0LzA2LzIwMjYuLi5VU0QuSAEAAADpcQIAAwAAAAAAxSEE2v7J3ghWWbrb/sneCCtDSVEuTllTRTpC</t>
  </si>
  <si>
    <t>QUguSVFfSVBSRC45OTAuMTQvMDYvMjAyNi4uLlVTRC5IAQAAAOlxAgADAAAAAADFIQTa/sneCFZZutv+yd4IL0NJUS5OWVNFOkJBSC5JUV9FQlRfRVhDTC45OTIuMTQvMDYvMjAyNi4uLlVTRC5IAQAAAOlxAgACAAAABzQzMC4wMzYBCAAAAAUAAAABMQEAAAAKMjAzODA5MTA3NwMAAAADMTYwAgAAAAE0BAAAAAEwBwAAAAk2LzE0LzIwMjYIAAAACTMvMzEvMjAxOAkAAAABMMUhBNr+yd4IVlm62/7J3gg0Q0lRLk5ZU0U6QkFILklRX0NVUlJFTkNZX0dBSU4uOTkxLjE0LzA2LzIwMjYuLi5VU0QuSAEAAADpcQIAAwAAAAAAxSEE2v7J3ghWWbrb/sneCDlDSVEuTllTRTpCQUguSVFfUkVTVFJVQ1RVUkVfU1VQUExFLjk5MC4xNC8wNi8yMDI2Li4uVVNELkgBAAAA6XECAAMAAAAAANKjttn+yd4IiOvS2/7J3ggwQ0lRLk5ZU0U6QkFILklRX0RBX0VCSVREQS45OTAuMTQvMDYvMjAyNi4uLlVTRC5IAQAAAOlxAgACAAAABjYxLjUzNgEIAAAABQAAAAExAQAAAAoxODkxMzQ3ODY5AwAAAAMxNjACAAAABDIyMDYEAAAAATAHAAAACTYvMTQvMjAyNggAAAAJMy8zMS8yMDE2CQAAAAEw0qO22f7J3ghF1M3b/sneCDBDSVEuTllTRTpCQUguSVFfRElWX1NIQVJFLjk5MS4xNC8wNi8yMDI2Li4uVVNELkgBAAAA6XECAAIAAAAEMC42MgEIAAAABQAAAAExAQAAAAoxOTY1NzcyNDIyAwAAAAMxNjACAAAABDMwNTgEAAAAATAH</t>
  </si>
  <si>
    <t>AAAACTYvMTQvMjAyNggAAAAJMy8zMS8yMDE3CQAAAAEwTIME2v7J3gjYqcHb/sneCDZDSVEuTllTRTpCQUguSVFfRElMVVRfRVBTX0VYQ0wuMjAwMC4xNC8wNi8yMDI2Li4uVVNELkgBAAAA6XECAAIAAAADNi45AQgAAAAFAAAAATEBAAAACy0xODg3NzA0MzQxAwAAAAMxNjACAAAAAzE0MgQAAAABMAcAAAAJNi8xNC8yMDI2CAAAAAkzLzMxLzIwMjYJAAAAATBMgwTa/sneCNipwdv+yd4IKkNJUS5OWVNFOkJBSC5JUV9FQlQuOTkxLjE0LzA2LzIwMjYuLi5VU0QuSAEAAADpcQIAAgAAAAc0MjUuNjU3AQgAAAAFAAAAATEBAAAACjE5NjU3NzI0MjIDAAAAAzE2MAIAAAADMTM5BAAAAAEwBwAAAAk2LzE0LzIwMjYIAAAACTMvMzEvMjAxNwkAAAABMEyDBNr+yd4I38282/7J3gg3Q0lRLk5ZU0U6QkFILklRX05FVF9JTlRFUkVTVF9FWFAuOTkxLjE0LzA2LzIwMjYuLi5VU0QuSAEAAADpcQIAAgAAAActNjIuMjk4AQgAAAAFAAAAATEBAAAACjE5NjU3NzI0MjIDAAAAAzE2MAIAAAADMzY4BAAAAAEwBwAAAAk2LzE0LzIwMjYIAAAACTMvMzEvMjAxNwkAAAABMMUhBNr+yd4IVlm62/7J3gg1Q0lRLk5ZU0U6QkFILklRX1NUT0NLX0JBU0VEX1JELjk5MS4xNC8wNi8yMDI2Li4uVVNELkgBAAAA6XECAAMAAAAAANKjttn+yd4IzurX2/7J3gg5Q0lRLk5ZU0U6QkFILklRX1JFU1RSVUNUVVJFX1NVUFBMRS45OTEuMTQv</t>
  </si>
  <si>
    <t>MDYvMjAyNi4uLlVTRC5IAQAAAOlxAgADAAAAAADSo7bZ/sneCIjr0tv+yd4IMUNJUS5OWVNFOkJBSC5JUV9SRF9FWFBfRk4uMjAwMC4xNC8wNi8yMDI2Li4uVVNELkgBAAAA6XECAAMAAAAAANKjttn+yd4IyEnQ2/7J3gg9Q0lRLk5ZU0U6QkFILklRX1RPVEFMX1JFVl9BU19SRVBPUlRFRC4yMDAwLjE0LzA2LzIwMjYuLi5VU0QuSAEAAADpcQIAAwAAAAAA0qO22f7J3giX+8jb/sneCD5DSVEuTllTRTpCQUguSVFfRUJJVERBUl9FUV9JTkNfRVhDTF9TQkMuOTkyLjE0LzA2LzIwMjYuLi5VU0QuSAEAAADpcQIAAgAAAAc2ODEuNzE4AQgAAAAFAAAAATEBAAAACjIwMzgwOTEwNzcDAAAAAzE2MAIAAAAFMjQxMzMEAAAAATAHAAAACTYvMTQvMjAyNggAAAAJMy8zMS8yMDE4CQAAAAEw0qO22f7J3gi5iMbb/sneCD9DSVEuTllTRTpCQUguSVFfTEVBU0VfQURKVVNUTUVOVF9FQklUREEuMjAwMC4xNC8wNi8yMDI2Li4uVVNELkgBAAAA6XECAAIAAAACNzUATIME2v7J3ggPL8Tb/sneCDdDSVEuTllTRTpCQUguSVFfVE9UQUxfUkVWX1NIQVJFLjIwMDAuMTQvMDYvMjAyNi4uLlVTRC5IAQAAAOlxAgACAAAACTkxLjg4ODY0MgEIAAAABQAAAAExAQAAAAstMTg4NzcwNDM0MQMAAAADMTYwAgAAAAQ0MzgyBAAAAAEwBwAAAAk2LzE0LzIwMjYIAAAACTMvMzEvMjAyNgkAAAABMEyDBNr+yd4IDy/E2/7J3ggwQ0lRLk5Z</t>
  </si>
  <si>
    <t>U0U6QkFILklRX0RJVl9TSEFSRS45OTIuMTQvMDYvMjAyNi4uLlVTRC5IAQAAAOlxAgACAAAAAzAuNwEIAAAABQAAAAExAQAAAAoyMDM4MDkxMDc3AwAAAAMxNjACAAAABDMwNTgEAAAAATAHAAAACTYvMTQvMjAyNggAAAAJMy8zMS8yMDE4CQAAAAEwTIME2v7J3gjYqcHb/sneCDFDSVEuTllTRTpCQUguSVFfRUFSTklOR19DTy45OTAuMTQvMDYvMjAyNi4uLlVTRC5IAQAAAOlxAgACAAAABzI5NC4wOTQBCAAAAAUAAAABMQEAAAAKMTg5MTM0Nzg2OQMAAAADMTYwAgAAAAE3BAAAAAEwBwAAAAk2LzE0LzIwMjYIAAAACTMvMzEvMjAxNgkAAAABMEyDBNr+yd4I38282/7J3ggqQ0lRLk5ZU0U6QkFILklRX0VCVC45OTAuMTQvMDYvMjAyNi4uLlVTRC5IAQAAAOlxAgACAAAABzM3OS40NjIBCAAAAAUAAAABMQEAAAAKMTg5MTM0Nzg2OQMAAAADMTYwAgAAAAMxMzkEAAAAATAHAAAACTYvMTQvMjAyNggAAAAJMy8zMS8yMDE2CQAAAAEwTIME2v7J3gjfzbzb/sneCDNDSVEuTllTRTpCQUguSVFfTEVHQUxfU0VUVExFLjk5Mi4xNC8wNi8yMDI2Li4uVVNELkgBAAAA6XECAAMAAAAAAMUhBNr+yd4IVlm62/7J3gg5Q0lRLk5ZU0U6QkFILklRX1JFU1RSVUNUVVJFX1NVUFBMRS45OTIuMTQvMDYvMjAyNi4uLlVTRC5IAQAAAOlxAgADAAAAAADSo7bZ/sneCIjr0tv+yd4IOENJUS5OWVNFOkJBSC5JUV9JTlZFU1RNRU5U</t>
  </si>
  <si>
    <t>X0lOQ09NRS45OTEuMTQvMDYvMjAyNi4uLlVTRC5IAQAAAOlxAgADAAAAAADSo7bZ/sneCJf7yNv+yd4IPENJUS5OWVNFOkJBSC5JUV9UT1RBTF9SRVZfQVNfUkVQT1JURUQuOTkyLjE0LzA2LzIwMjYuLi5VU0QuSAEAAADpcQIAAwAAAAAA0qO22f7J3giX+8jb/sneCEhDSVEuTllTRTpCQUguSVFfRUJJVERBX0VRX0lOQ19FWENMX09QRVJfTEVBU0VfQURKLjk5MC4xNC8wNi8yMDI2Li4uVVNELkgBAAAA6XECAAIAAAAGNTA2LjEyAQgAAAAFAAAAATEBAAAACjE4OTEzNDc4NjkDAAAAAzE2MAIAAAAFNDg5ODcEAAAAATAHAAAACTYvMTQvMjAyNggAAAAJMy8zMS8yMDE2CQAAAAEwTIME2v7J3ggPL8Tb/sneCDZDSVEuTllTRTpCQUguSVFfQVNTRVRfV1JJVEVET1dOLjk5MC4xNC8wNi8yMDI2Li4uVVNELkgBAAAA6XECAAMAAAAAAMUhBNr+yd4IVlm62/7J3gg1Q0lRLk5ZU0U6QkFILklRX0NBU0hfSU5URVJFU1QuMjAwMC4xNC8wNi8yMDI2Li4uVVNELkgBAAAA6XECAAMAAAAAADzkfNn+yd4Iufrp2/7J3gg7Q0lRLk5ZU0U6QkFILklRX0RBX1NVUFBMX1BBUlRJQUxfQ0YuMTAwMC4xNC8wNi8yMDI2Li4uVVNELkgBAAAA6XECAAMAAAAAAMOcf9n+yd4IYEFI3f7J3ghAQ0lRLk5ZU0U6QkFILklRX0dXX0lOVEFOX0FNT1JUX1BBUlRJQUxfQ0YuOTk2LjE0LzA2LzIwMjYuLi5VU0QuSAEAAADpcQIAAwAAAAAA</t>
  </si>
  <si>
    <t>w5x/2f7J3gg1vejb/sneCD1DSVEuTllTRTpCQUguSVFfQ0FTSF9JTlRFUkVTVF9SRUNFSVZFRC45OTMuMTQvMDYvMjAyNi4uLlVTRC5IAQAAAOlxAgADAAAAAAA85HzZ/sneCLn66dv+yd4IQENJUS5OWVNFOkJBSC5JUV9HV19JTlRBTl9BTU9SVF9QQVJUSUFMX0NGLjk5MC4xNC8wNi8yMDI2Li4uVVNELkgBAAAA6XECAAMAAAAAAMOcf9n+yd4INb3o2/7J3gg4Q0lRLk5ZU0U6QkFILklRX0NBU0hfSU5URVJFU1RfTkVULjk5Ni4xNC8wNi8yMDI2Li4uVVNELkgBAAAA6XECAAIAAAAGNjQuNjk5AQgAAAAFAAAAATEBAAAACy0xOTkyNDAyMDU5AwAAAAMxNjACAAAABTI0Mzg5BAAAAAEwBwAAAAk2LzE0LzIwMjYIAAAACTMvMzEvMjAyMgkAAAABMDzkfNn+yd4Iufrp2/7J3ghAQ0lRLk5ZU0U6QkFILklRX0dXX0lOVEFOX0FNT1JUX1BBUlRJQUxfQ0YuOTkzLjE0LzA2LzIwMjYuLi5VU0QuSAEAAADpcQIAAwAAAAAAw5x/2f7J3ggFi+fb/sneCDpDSVEuTllTRTpCQUguSVFfQ0FTSF9JTlRFUkVTVF9GSU5BTi45OTQuMTQvMDYvMjAyNi4uLlVTRC5IAQAAAOlxAgADAAAAAAA85HzZ/sneCBhO7Nv+yd4IMUNJUS5OWVNFOkJBSC5JUV9ERVBSRV9TVVBQLjk5NC4xNC8wNi8yMDI2Li4uVVNELkgBAAAA6XECAAIAAAAENTguOAEIAAAABQAAAAExAQAAAAstMjA5NTEyNjA5MAMAAAADMTYwAgAAAAQyMTQzBAAAAAEw</t>
  </si>
  <si>
    <t>BwAAAAk2LzE0LzIwMjYIAAAACTMvMzEvMjAyMAkAAAABMMOcf9n+yd4INb3o2/7J3gg5Q0lRLk5ZU0U6QkFILklRX0NBU0hfSU5URVJFU1RfT1BFUi45OTkuMTQvMDYvMjAyNi4uLlVTRC5IAQAAAOlxAgADAAAAAAA85HzZ/sneCGBBSN3+yd4IMUNJUS5OWVNFOkJBSC5JUV9ERVBSRV9TVVBQLjk5Ny4xNC8wNi8yMDI2Li4uVVNELkgBAAAA6XECAAIAAAACNzEBCAAAAAUAAAABMQEAAAALLTE5NDE1NDY4NzEDAAAAAzE2MAIAAAAEMjE0MwQAAAABMAcAAAAJNi8xNC8yMDI2CAAAAAkzLzMxLzIwMjMJAAAAATDDnH/Z/sneCDW96Nv+yd4IOUNJUS5OWVNFOkJBSC5JUV9DQVNIX0lOVEVSRVNUX09QRVIuOTkwLjE0LzA2LzIwMjYuLi5VU0QuSAEAAADpcQIAAwAAAAAAPOR82f7J3gi5+unb/sneCEVDSVEuTllTRTpCQUguSVFfREVQUkVDSUFUSU9OX1JFTlRBTF9BU1NFVFNfQ0YuMTAwMC4xNC8wNi8yMDI2Li4uVVNELkgBAAAA6XECAAMAAAAAAMOcf9n+yd4IYEFI3f7J3ggyQ0lRLk5ZU0U6QkFILklRX0NBU0hfVEFYRVMuMTAwMC4xNC8wNi8yMDI2Li4uVVNELkgBAAAA6XECAAIAAAADMTAzAQgAAAAFAAAAATEBAAAACy0xODg3NzA0OTc3AwAAAAMxNjACAAAABDMwNTMEAAAAATAHAAAACTYvMTQvMjAyNggAAAAJMy8zMS8yMDI2CQAAAAEwPOR82f7J3ghgQUjd/sneCERDSVEuTllTRTpCQUguSVFfREVQUkVD</t>
  </si>
  <si>
    <t>SUFUSU9OX1JFTlRBTF9BU1NFVFNfQ0YuOTk0LjE0LzA2LzIwMjYuLi5VU0QuSAEAAADpcQIAAwAAAAAAw5x/2f7J3gg1vejb/sneCDFDSVEuTllTRTpCQUguSVFfQ0FTSF9UQVhFUy45OTEuMTQvMDYvMjAyNi4uLlVTRC5IAQAAAOlxAgACAAAABjg5LjU1NgEIAAAABQAAAAExAQAAAAoxOTY1NzcyNDIyAwAAAAMxNjACAAAABDMwNTMEAAAAATAHAAAACTYvMTQvMjAyNggAAAAJMy8zMS8yMDE3CQAAAAEwPOR82f7J3ggYTuzb/sneCDFDSVEuTllTRTpCQUguSVFfREVQUkVfU1VQUC45OTkuMTQvMDYvMjAyNi4uLlVTRC5IAQAAAOlxAgACAAAAAjcwAQgAAAAFAAAAATEBAAAACy0xODg3NzA1MDAxAwAAAAMxNjACAAAABDIxNDMEAAAAATAHAAAACTYvMTQvMjAyNggAAAAJMy8zMS8yMDI1CQAAAAEww5x/2f7J3ghgQUjd/sneCEFDSVEuTllTRTpCQUguSVFfQ0hBTkdFX05FVF9XT1JLSU5HX0NBUElUQUwuOTk1LjE0LzA2LzIwMjYuLi5VU0QuSAEAAADpcQIAAgAAAAUtMC4yMwEIAAAABQAAAAExAQAAAAstMjA0MzIxNTM5MgMAAAADMTYwAgAAAAQ0NDIxBAAAAAEwBwAAAAk2LzE0LzIwMjYIAAAACTMvMzEvMjAyMQkAAAABMDzkfNn+yd4I+Lbs2/7J3ghDQ0lRLk5ZU0U6QkFILklRX0RBX1NVUFBMX0NGX0VYQ0xfT1BFUl9MRUFTRVMuOTkxLjE0LzA2LzIwMjYuLi5VU0QuSAEAAADpcQIAAgAAAAY0MS42NDQB</t>
  </si>
  <si>
    <t>CAAAAAUAAAABMQEAAAAKMTk2NTc3MjQyMgMAAAADMTYwAgAAAAU0ODk4MwQAAAABMAcAAAAJNi8xNC8yMDI2CAAAAAkzLzMxLzIwMTcJAAAAATDDnH/Z/sneCDW96Nv+yd4IOENJUS5OWVNFOkJBSC5JUV9DQVNIX1RBWEVTX0ZJTkFOLjIwMDAuMTQvMDYvMjAyNi4uLlVTRC5IAQAAAOlxAgADAAAAAAA85HzZ/sneCPi27Nv+yd4ILkNJUS5OWVNFOkJBSC5JUV9ERVBfUlVBLjk5MS4xNC8wNi8yMDI2Li4uVVNELkgBAAAA6XECAAMAAAAAAMOcf9n+yd4INb3o2/7J3gg2Q0lRLk5ZU0U6QkFILklRX0NBU0hfVEFYRVNfT1BFUi45OTcuMTQvMDYvMjAyNi4uLlVTRC5IAQAAAOlxAgADAAAAAAA85HzZ/sneCPi27Nv+yd4IPUNJUS5OWVNFOkJBSC5JUV9EQV9DRl9FWENMX09QRVJfTEVBU0VTLjk5Ny4xNC8wNi8yMDI2Li4uVVNELkgBAAAA6XECAAIAAAADMTY1AQgAAAAFAAAAATEBAAAACy0xOTQxNTQ2ODcxAwAAAAMxNjACAAAABTQ4OTg1BAAAAAEwBwAAAAk2LzE0LzIwMjYIAAAACTMvMzEvMjAyMwkAAAABMMOcf9n+yd4INb3o2/7J3gg2Q0lRLk5ZU0U6QkFILklRX05FVF9ERUJUX0lTU1VFRC45OTMuMTQvMDYvMjAyNi4uLlVTRC5IAQAAAOlxAgACAAAABy02OC40NDEBCAAAAAUAAAABMQEAAAAKMjA5OTA4NzEzMwMAAAADMTYwAgAAAAQyMDAzBAAAAAEwBwAAAAk2LzE0LzIwMjYIAAAACTMvMzEvMjAxOQkA</t>
  </si>
  <si>
    <t>AAABMDzkfNn+yd4Izbju2/7J3ghDQ0lRLk5ZU0U6QkFILklRX0RBX1NVUFBMX0NGX0VYQ0xfT1BFUl9MRUFTRVMuOTk3LjE0LzA2LzIwMjYuLi5VU0QuSAEAAADpcQIAAgAAAAI3MQEIAAAABQAAAAExAQAAAAstMTk0MTU0Njg3MQMAAAADMTYwAgAAAAU0ODk4MwQAAAABMAcAAAAJNi8xNC8yMDI2CAAAAAkzLzMxLzIwMjMJAAAAATDDnH/Z/sneCDW96Nv+yd4IM0NJUS5OWVNFOkJBSC5JUV9MRVZFUkVEX0ZDRi4yMDAwLjE0LzA2LzIwMjYuLi5VU0QuSAEAAADpcQIAAgAAAAc3ODUuMzc1AQgAAAAFAAAAATEBAAAACy0xODg3NzA0MzQxAwAAAAMxNjACAAAABDQ0MjIEAAAAATAHAAAACTYvMTQvMjAyNggAAAAJMy8zMS8yMDI2CQAAAAEwPOR82f7J3gj4tuzb/sneCC9DSVEuTllTRTpCQUguSVFfREVQX1JVQS4xMDAwLjE0LzA2LzIwMjYuLi5VU0QuSAEAAADpcQIAAwAAAAAAw5x/2f7J3ghgQUjd/sneCEJDSVEuTllTRTpCQUguSVFfT1BFUkFUSU5HX0xFQVNFX0xJQUJJTElUSUVTLjk5Ny4xNC8wNi8yMDI2Li4uVVNELkgBAAAA6XECAAMAAAAAAHwfftn+yd4IhMzw2/7J3gg8Q0lRLk5ZU0U6QkFILklRX05FR0FUSVZFX0dXX0FNT1JUX0NGLjIwMDAuMTQvMDYvMjAyNi4uLlVTRC5IAQAAAOlxAgADAAAAAADDnH/Z/sneCDW96Nv+yd4IP0NJUS5OWVNFOkJBSC5JUV9PUEVSQVRJTkdfTEVBU0VfUEFZTUVO</t>
  </si>
  <si>
    <t>VFMuOTkxLjE0LzA2LzIwMjYuLi5VU0QuSAEAAADpcQIAAwAAAAAAfB9+2f7J3ghFMPDb/sneCDtDSVEuTllTRTpCQUguSVFfTkVHQVRJVkVfR1dfQU1PUlRfQ0YuOTkyLjE0LzA2LzIwMjYuLi5VU0QuSAEAAADpcQIAAwAAAAAAw5x/2f7J3gg1vejb/sneCDJDSVEuTllTRTpCQUguSVFfTUFJTlRfQ0FQRVguOTk5LjE0LzA2LzIwMjYuLi5VU0QuSAEAAADpcQIAAwAAAAAAfB9+2f7J3gj71kXd/sneCD9DSVEuTllTRTpCQUguSVFfQU1PUlRfU09GVFdBUkVfQVNTRVRTX0NGLjk5NS4xNC8wNi8yMDI2Li4uVVNELkgBAAAA6XECAAMAAAAAANkggdn+yd4Iufrp2/7J3gg6Q0lRLk5ZU0U6QkFILklRX0dBSU5fQkFSR0FJTl9BQ1FfQ0YuOTk1LjE0LzA2LzIwMjYuLi5VU0QuSAEAAADpcQIAAwAAAAAAfB9+2f7J3gjn5/Hb/sneCDNDSVEuTllTRTpCQUguSVFfQU1PUlRfRElDX0NGLjk5OC4xNC8wNi8yMDI2Li4uVVNELkgBAAAA6XECAAMAAAAAANkggdn+yd4Iufrp2/7J3ghIQ0lRLk5ZU0U6QkFILklRX0xPTkdfVEVSTV9ERUJUX1JFUEFJRF9FWENMX0xFQVNFUy45OTEuMTQvMDYvMjAyNi4uLlVTRC5IAQAAAOlxAgACAAAACC05NjguMzI1AQgAAAAFAAAAATEBAAAACjE5NjU3NzI0MjIDAAAAAzE2MAIAAAAFNDg5ODQEAAAAATAHAAAACTYvMTQvMjAyNggAAAAJMy8zMS8yMDE3CQAAAAEwfB9+2f7J3giPcPHb</t>
  </si>
  <si>
    <t>/sneCDNDSVEuTllTRTpCQUguSVFfQU1PUlRfRElDX0NGLjk5MS4xNC8wNi8yMDI2Li4uVVNELkgBAAAA6XECAAIAAAAGMTUuNTY2AQgAAAAFAAAAATEBAAAACjE5NjU3NzI0MjIDAAAAAzE2MAIAAAAFNDU4NjkEAAAAATAHAAAACTYvMTQvMjAyNggAAAAJMy8zMS8yMDE3CQAAAAEww5x/2f7J3gi5+unb/sneCDFDSVEuTllTRTpCQUguSVFfQ0FTSF9FUVVJVi45OTkuMTQvMDYvMjAyNi4uLlVTRC5IAQAAAOlxAgACAAAAAzg4NQEIAAAABQAAAAExAQAAAAstMTg4NzcwNTAwMQMAAAADMTYwAgAAAAQxMDk2BAAAAAEwBwAAAAk2LzE0LzIwMjYIAAAACTMvMzEvMjAyNQkAAAABMHwfftn+yd4I+9ZF3f7J3ghCQ0lRLk5ZU0U6QkFILklRX1NBTEVfUFJPQ0VFRFNfUkVOVEFMX0FTU0VUUy45OTIuMTQvMDYvMjAyNi4uLlVTRC5IAQAAAOlxAgADAAAAAADZIIHZ/sneCLn66dv+yd4IOkNJUS5OWVNFOkJBSC5JUV9EQV9TVVBQTF9QQVJUSUFMX0NGLjk5MC4xNC8wNi8yMDI2Li4uVVNELkgBAAAA6XECAAMAAAAAAMOcf9n+yd4IBYvn2/7J3ghCQ0lRLk5ZU0U6QkFILklRX1NBTEVfUFJPQ0VFRFNfUkVOVEFMX0FTU0VUUy45OTUuMTQvMDYvMjAyNi4uLlVTRC5IAQAAAOlxAgADAAAAAADZIIHZ/sneCLn66dv+yd4IPkNJUS5OWVNFOkJBSC5JUV9EQV9DRl9FWENMX09QRVJfTEVBU0VTLjEwMDAuMTQvMDYvMjAyNi4u</t>
  </si>
  <si>
    <t>LlVTRC5IAQAAAOlxAgACAAAAAzE2MwEIAAAABQAAAAExAQAAAAstMTg4NzcwNDk3NwMAAAADMTYwAgAAAAU0ODk4NQQAAAABMAcAAAAJNi8xNC8yMDI2CAAAAAkzLzMxLzIwMjYJAAAAATDDnH/Z/sneCGBBSN3+yd4IQ0NJUS5OWVNFOkJBSC5JUV9EQV9TVVBQTF9DRl9FWENMX09QRVJfTEVBU0VTLjk5NC4xNC8wNi8yMDI2Li4uVVNELkgBAAAA6XECAAIAAAAGNTguNzgxAQgAAAAFAAAAATEBAAAACy0yMDk1MTI2MDkwAwAAAAMxNjACAAAABTQ4OTgzBAAAAAEwBwAAAAk2LzE0LzIwMjYIAAAACTMvMzEvMjAyMAkAAAABMMOcf9n+yd4INb3o2/7J3gg1Q0lRLk5ZU0U6QkFILklRX1RSQURJTkdfQVNTRVRTLjk5My4xNC8wNi8yMDI2Li4uVVNELkgBAAAA6XECAAIAAAAEMS43OQEIAAAABQAAAAExAQAAAAoyMDk5MDg3MTMzAwAAAAMxNjACAAAABDEyNDQEAAAAATAHAAAACTYvMTQvMjAyNggAAAAJMy8zMS8yMDE5CQAAAAEwfB9+2f7J3giAq/Lb/sneCDRDSVEuTllTRTpCQUguSVFfQ0FTSF9JTlRFUkVTVC45OTkuMTQvMDYvMjAyNi4uLlVTRC5IAQAAAOlxAgADAAAAAAA85HzZ/sneCGBBSN3+yd4IOkNJUS5OWVNFOkJBSC5JUV9EQV9TVVBQTF9QQVJUSUFMX0NGLjk5My4xNC8wNi8yMDI2Li4uVVNELkgBAAAA6XECAAMAAAAAAMOcf9n+yd4IBYvn2/7J3gg6Q0lRLk5ZU0U6QkFILklRX0NBU0hfSU5URVJF</t>
  </si>
  <si>
    <t>U1RfRklOQU4uOTkwLjE0LzA2LzIwMjYuLi5VU0QuSAEAAADpcQIAAwAAAAAAPOR82f7J3ggYTuzb/sneCDlDSVEuTllTRTpCQUguSVFfQ0FTSF9JTlRFUkVTVF9PUEVSLjk5Ni4xNC8wNi8yMDI2Li4uVVNELkgBAAAA6XECAAMAAAAAADzkfNn+yd4Iufrp2/7J3gg9Q0lRLk5ZU0U6QkFILklRX0NBU0hfSU5URVJFU1RfUkVDRUlWRUQuOTkwLjE0LzA2LzIwMjYuLi5VU0QuSAEAAADpcQIAAwAAAAAAPOR82f7J3gi5+unb/sneCEJDSVEuTllTRTpCQUguSVFfU0FMRV9QUk9DRUVEU19SRU5UQUxfQVNTRVRTLjk5OC4xNC8wNi8yMDI2Li4uVVNELkgBAAAA6XECAAMAAAAAANkggdn+yd4Iufrp2/7J3gg/Q0lRLk5ZU0U6QkFILklRX0FNT1JUX1NPRlRXQVJFX0FTU0VUU19DRi45OTIuMTQvMDYvMjAyNi4uLlVTRC5IAQAAAOlxAgADAAAAAADZIIHZ/sneCLn66dv+yd4IL0NJUS5OWVNFOkJBSC5JUV9DRl9TSEFSRS45OTIuMTQvMDYvMjAyNi4uLlVTRC5IAQAAAOlxAgACAAAABzEuOTkxNjIBCAAAAAUAAAABMQEAAAAKMjAzODA5MTA3NwMAAAADMTYwAgAAAAU0MzkyMwQAAAABMAcAAAAJNi8xNC8yMDI2CAAAAAkzLzMxLzIwMTgJAAAAATA85HzZ/sneCM247tv+yd4IMkNJUS5OWVNFOkJBSC5JUV9MRVZFUkVEX0ZDRi45OTguMTQvMDYvMjAyNi4uLlVTRC5IAQAAAOlxAgACAAAABzIxMC4xMzUBCAAAAAUAAAAB</t>
  </si>
  <si>
    <t>MQEAAAALLTE4ODc3MDQ5OTMDAAAAAzE2MAIAAAAENDQyMgQAAAABMAcAAAAJNi8xNC8yMDI2CAAAAAkzLzMxLzIwMjQJAAAAATA85HzZ/sneCPi27Nv+yd4IQUNJUS5OWVNFOkJBSC5JUV9DSEFOR0VfTkVUX1dPUktJTkdfQ0FQSVRBTC45OTIuMTQvMDYvMjAyNi4uLlVTRC5IAQAAAOlxAgACAAAABjY5LjgzNQEIAAAABQAAAAExAQAAAAoyMDM4MDkxMDc3AwAAAAMxNjACAAAABDQ0MjEEAAAAATAHAAAACTYvMTQvMjAyNggAAAAJMy8zMS8yMDE4CQAAAAEwPOR82f7J3gj4tuzb/sneCDlDSVEuTllTRTpCQUguSVFfQ0FTSF9UQVhFU19JTlZFU1QuMTAwMC4xNC8wNi8yMDI2Li4uVVNELkgBAAAA6XECAAMAAAAAADzkfNn+yd4I+9ZF3f7J3gg2Q0lRLk5ZU0U6QkFILklRX0NBU0hfVEFYRVNfT1BFUi45OTQuMTQvMDYvMjAyNi4uLlVTRC5IAQAAAOlxAgADAAAAAAA85HzZ/sneCPi27Nv+yd4IRENJUS5OWVNFOkJBSC5JUV9UT1RBTF9ERUJUX1JFUEFJRF9FWENMX0xFQVNFUy45OTQuMTQvMDYvMjAyNi4uLlVTRC5IAQAAAOlxAgACAAAABy03Ni45MjIBCAAAAAUAAAABMQEAAAALLTIwOTUxMjYwOTADAAAAAzE2MAIAAAAFNDg5ODYEAAAAATAHAAAACTYvMTQvMjAyNggAAAAJMy8zMS8yMDIwCQAAAAEwfB9+2f7J3gjVwPHb/sneCEtDSVEuTllTRTpCQUguSVFfT1BFUkFUSU5HX0xFQVNFX0xJQUJJTElUSUVT</t>
  </si>
  <si>
    <t>X05PTkNBU0guMTAwMC4xNC8wNi8yMDI2Li4uVVNELkgBAAAA6XECAAMAAAAAAHwfftn+yd4I+9ZF3f7J3ghCQ0lRLk5ZU0U6QkFILklRX09QRVJBVElOR19MRUFTRV9MSUFCSUxJVElFUy45OTQuMTQvMDYvMjAyNi4uLlVTRC5IAQAAAOlxAgADAAAAAAB8H37Z/sneCIml8Nv+yd4INENJUS5OWVNFOkJBSC5JUV9ET19GSU5BTkNFX0NGLjk5MC4xNC8wNi8yMDI2Li4uVVNELkgBAAAA6XECAAMAAAAAAHwfftn+yd4IQQnw2/7J3ggyQ0lRLk5ZU0U6QkFILklRX01BSU5UX0NBUEVYLjk5Ni4xNC8wNi8yMDI2Li4uVVNELkgBAAAA6XECAAMAAAAAAHwfftn+yd4Izbju2/7J3gg0Q0lRLk5ZU0U6QkFILklRX09USEVSX1JFQ0VJVi4xMDAwLjE0LzA2LzIwMjYuLi5VU0QuSAEAAADpcQIAAwAAAAAAfB9+2f7J3gj71kXd/sneCDVDSVEuTllTRTpCQUguSVFfQ0FTSF9TVF9JTlZFU1QuOTk2LjE0LzA2LzIwMjYuLi5VU0QuSAEAAADpcQIAAgAAAAY2OTUuOTEBCAAAAAUAAAABMQEAAAALLTE5OTI0MDIwNTkDAAAAAzE2MAIAAAAEMTAwMgQAAAABMAcAAAAJNi8xNC8yMDI2CAAAAAkzLzMxLzIwMjIJAAAAATB8H37Z/sneCI358tv+yd4INUNJUS5OWVNFOkJBSC5JUV9UUkFESU5HX0FTU0VUUy45OTAuMTQvMDYvMjAyNi4uLlVTRC5IAQAAAOlxAgADAAAAAAB8H37Z/sneCICr8tv+yd4IMUNJUS5OWVNFOkJBSC5JUV9D</t>
  </si>
  <si>
    <t>QVNIX0VRVUlWLjk5Ni4xNC8wNi8yMDI2Li4uVVNELkgBAAAA6XECAAIAAAAGNjk1LjkxAQgAAAAFAAAAATEBAAAACy0xOTkyNDAyMDU5AwAAAAMxNjACAAAABDEwOTYEAAAAATAHAAAACTYvMTQvMjAyNggAAAAJMy8zMS8yMDIyCQAAAAEwfB9+2f7J3ggoD/Lb/sneCDVDSVEuTllTRTpCQUguSVFfT1RIRVJfQ0FfU1VQUEwuOTkwLjE0LzA2LzIwMjYuLi5VU0QuSAEAAADpcQIAAwAAAAAA2V2B2f7J3givXvXb/sneCDVDSVEuTllTRTpCQUguSVFfTE9BTlNfRk9SX1NBTEUuOTk4LjE0LzA2LzIwMjYuLi5VU0QuSAEAAADpcQIAAwAAAAAA2V2B2f7J3givXvXb/sneCD1DSVEuTllTRTpCQUguSVFfRklOX0RJVl9BU1NFVFNfQ1VSUkVOVC45OTIuMTQvMDYvMjAyNi4uLlVTRC5IAQAAAOlxAgADAAAAAAB8H37Z/sneCDvg9Nv+yd4IMkNJUS5OWVNFOkJBSC5JUV9QUkVQQUlEX0VYUC45OTguMTQvMDYvMjAyNi4uLlVTRC5IAQAAAOlxAgACAAAAAjkxAQgAAAAFAAAAATEBAAAACy0xODg3NzA0OTkzAwAAAAMxNjACAAAABDEyMTIEAAAAATAHAAAACTYvMTQvMjAyNggAAAAJMy8zMS8yMDI0CQAAAAEwfB9+2f7J3giN+fLb/sneCDNDSVEuTllTRTpCQUguSVFfVE9UQUxfUkVDRUlWLjk5NC4xNC8wNi8yMDI2Li4uVVNELkgBAAAA6XECAAIAAAAIMTQ1OS40NzEBCAAAAAUAAAABMQEAAAALLTIwOTUxMjYwOTADAAAA</t>
  </si>
  <si>
    <t>AzE2MAIAAAAEMTAwMQQAAAABMAcAAAAJNi8xNC8yMDI2CAAAAAkzLzMxLzIwMjAJAAAAATB8H37Z/sneCI358tv+yd4ILENJUS5OWVNFOkJBSC5JUV9BUl9MVC45OTEuMTQvMDYvMjAyNi4uLlVTRC5IAQAAAOlxAgACAAAABjU5LjkxMwEIAAAABQAAAAExAQAAAAoxOTY1NzcyNDIyAwAAAAMxNjACAAAABDEwODgEAAAAATAHAAAACTYvMTQvMjAyNggAAAAJMy8zMS8yMDE3CQAAAAEw2V2B2f7J3ghuzffb/sneCDdDSVEuTllTRTpCQUguSVFfRklOX0RJVl9MT0FOU19MVC45OTAuMTQvMDYvMjAyNi4uLlVTRC5IAQAAAOlxAgADAAAAAADZXYHZ/sneCG7N99v+yd4IMUNJUS5OWVNFOkJBSC5JUV9MVF9JTlZFU1QuMTAwMC4xNC8wNi8yMDI2Li4uVVNELkgBAAAA6XECAAIAAAADMzQ0AQgAAAAFAAAAATEBAAAACy0xODg3NzA0OTc3AwAAAAMxNjACAAAABDEwNTQEAAAAATAHAAAACTYvMTQvMjAyNggAAAAJMy8zMS8yMDI2CQAAAAEw2V2B2f7J3gj71kXd/sneCClDSVEuTllTRTpCQUguSVFfQUQuOTk4LjE0LzA2LzIwMjYuLi5VU0QuSAEAAADpcQIAAgAAAAQtMzExAQgAAAAFAAAAATEBAAAACy0xODg3NzA0OTkzAwAAAAMxNjACAAAABDEwNzUEAAAAATAHAAAACTYvMTQvMjAyNggAAAAJMy8zMS8yMDI0CQAAAAEw2V2B2f7J3givXvXb/sneCC9DSVEuTllTRTpCQUguSVFfVE9UQUxfQ0EuOTk2LjE0LzA2LzIw</t>
  </si>
  <si>
    <t>MjYuLi5VU0QuSAEAAADpcQIAAgAAAAgyNDQ1LjY3NgEIAAAABQAAAAExAQAAAAstMTk5MjQwMjA1OQMAAAADMTYwAgAAAAQxMDA4BAAAAAEwBwAAAAk2LzE0LzIwMjYIAAAACTMvMzEvMjAyMgkAAAABMNldgdn+yd4Ir1712/7J3gg6Q0lRLk5ZU0U6QkFILklRX0NVUlJFTlRfUE9SVF9MRUFTRVMuOTkyLjE0LzA2LzIwMjYuLi5VU0QuSAEAAADpcQIAAwAAAAAA2V2B2f7J3ghvrvzb/sneCC5DSVEuTllTRTpCQUguSVFfU1RfREVCVC45OTIuMTQvMDYvMjAyNi4uLlVTRC5IAQAAAOlxAgADAAAAAADZXYHZ/sneCG+u/Nv+yd4IKUNJUS5OWVNFOkJBSC5JUV9BUC45OTMuMTQvMDYvMjAyNi4uLlVTRC5IAQAAAOlxAgACAAAABzQxNy42NDgBCAAAAAUAAAABMQEAAAAKMjA5OTA4NzEzMwMAAAADMTYwAgAAAAQxMDE4BAAAAAEwBwAAAAk2LzE0LzIwMjYIAAAACTMvMzEvMjAxOQkAAAABMNldgdn+yd4IwP/62/7J3gg2Q0lRLk5ZU0U6QkFILklRX09USEVSX0xUX0FTU0VUUy45OTIuMTQvMDYvMjAyNi4uLlVTRC5IAQAAAOlxAgACAAAABjM1Ljc3NQEIAAAABQAAAAExAQAAAAoyMDM4MDkxMDc3AwAAAAMxNjACAAAABDEwNjAEAAAAATAHAAAACTYvMTQvMjAyNggAAAAJMy8zMS8yMDE4CQAAAAEw2V2B2f7J3ghuzffb/sneCDhDSVEuTllTRTpCQUguSVFfREVGX1RBWF9BU1NFVFNfTFQuOTkyLjE0LzA2LzIwMjYu</t>
  </si>
  <si>
    <t>Li5VU0QuSAEAAADpcQIAAwAAAAAA2V2B2f7J3ghuzffb/sneCCBDSVEuTllTRTpCQUguSVFfVEVWX0VCSVREQS4yMDAwLgEAAADpcQIAAgAAABA5LjUwMDAzNTk1MTQ2Mjg3AQcAAAAFAAAAATEBAAAACy0xODg3NzA0MzQxAwAAAAEwAgAAAAYxMDAwNjMEAAAAATAHAAAACTYvMTIvMjAyNggAAAAJNi8xMi8yMDI2HaYM2f7J3giWzhnc/sneCCNDSVEuTllTRTpCQUguSVFfVEVWX1RPVEFMX1JFVi4yMDAwLgEAAADpcQIAAgAAABAxLjEyODk2MDMyMTIzNTYyAQcAAAAFAAAAATEBAAAACy0xODg3NzA0MzQxAwAAAAEwAgAAAAYxMDAwNjEEAAAAATAHAAAACTYvMTIvMjAyNggAAAAJNi8xMi8yMDI2HaYM2f7J3giWzhnc/sneCB1DSVEuTllTRTpCQUguSVFfUEVfRVhDTC4yMDAwLgEAAADpcQIAAgAAABAxMS4yMTg4NDA1Nzk3MTAxAQcAAAAFAAAAATEBAAAACy0xODg3NzA0MzQxAwAAAAEwAgAAAAYxMDAwNjYEAAAAATAHAAAACTYvMTIvMjAyNggAAAAJNi8xMi8yMDI2HaYM2f7J3giWzhnc/sneCBpDSVEuTllTRTpCQUguSVFfUFRCVi4yMDAwLgEAAADpcQIAAwAAAAJOTQEHAAAABQAAAAExAQAAAAstMTg4NzcwNDM0MQMAAAABMAIAAAAGMTAwMDY4BAAAAAEwBwAAAAk2LzEyLzIwMjYIAAAACTYvMTIvMjAyNh2mDNn+yd4Ils4Z3P7J3ggZQ0lRLk5ZU0U6QkFILklRX1BCVi4yMDAwLgEAAADpcQIAAgAAABA4</t>
  </si>
  <si>
    <t>LjQzMDQyNjgxNjM1ODkzAQcAAAAFAAAAATEBAAAACy0xODg3NzA0MzQxAwAAAAEwAgAAAAYxMDAwNjcEAAAAATAHAAAACTYvMTIvMjAyNggAAAAJNi8xMi8yMDI2HaYM2f7J3giWzhnc/sneCBxDSVEuTllTRTpCQUguSVFfQ09NUEFOWV9OQU1FAQAAAOlxAgADAAAAJ0Jvb3ogQWxsZW4gSGFtaWx0b24gSG9sZGluZyBDb3Jwb3JhdGlvbgAdpgzZ/sneCJbOGdz+yd4IHENJUS5OWVNFOkJBSC5JUV9RVUlDS19DT01QLjgBAAAA6XECAAMAAAANTmFzZGFxR1M6SUNGSQAdpgzZ/sneCJbOGdz+yd4IHENJUS5OWVNFOkJBSC5JUV9RVUlDS19DT01QLjcBAAAA6XECAAMAAAAITllTRTpGQ04AHaYM2f7J3giWzhnc/sneCBxDSVEuTllTRTpCQUguSVFfUVVJQ0tfQ09NUC42AQAAAOlxAgADAAAACE5ZU0U6S0JSAB2mDNn+yd4Ils4Z3P7J3ggcQ0lRLk5ZU0U6QkFILklRX1FVSUNLX0NPTVAuMgEAAADpcQIAAwAAAAlOWVNFOkxET1MAHaYM2f7J3giWzhnc/sneCBxDSVEuTllTRTpCQUguSVFfUVVJQ0tfQ09NUC4zAQAAAOlxAgADAAAADU5hc2RhcUdTOlNBSUMAHaYM2f7J3giWzhnc/sneCBxDSVEuTllTRTpCQUguSVFfUVVJQ0tfQ09NUC40AQAAAOlxAgADAAAACU5ZU0U6QU1UTQAdpgzZ/sneCJbOGdz+yd4IHENJUS5OWVNFOkJBSC5JUV9RVUlDS19DT01QLjUBAAAA6XECAAMAAAAITllTRTpQU04AHaYM2f7J3giW</t>
  </si>
  <si>
    <t>zhnc/sneCBxDSVEuTllTRTpCQUguSVFfUVVJQ0tfQ09NUC4xAQAAAOlxAgADAAAACU5ZU0U6Q0FDSQAdpgzZ/sneCJbOGdz+yd4IHkNJUS5OWVNFOkJBSC5JUV9ZRUFSTE9XLi5VU0QuSAEAAADpcQIAAgAAAAY2OC44MzUAHaYM2f7J3giWzhnc/sneCB9DSVEuTllTRTpCQUguSVFfWUVBUkhJR0guLlVTRC5IAQAAAOlxAgACAAAABzEyMC4wNDUAHaYM2f7J3giWzhnc/sneCCRDSVEuTllTRTpCQUguSVFfTEFTVFNBTEVQUklDRS4uVVNELkgBAAAA6XECAAIAAAAFNzcuNDEAHaYM2f7J3giWzhnc/sneCCJDSVEuTllTRTpCQUguSVFfU0hBUkVTT1VUU1RBTkRJTkcuAQAAAOlxAgACAAAACTExOS43NDYxMwAdpgzZ/sneCJbOGdz+yd4IJUNJUS5OWVNFOkJBSC5JUV9URVZfRUJJVERBX0ZXRC4xMDAwMS4BAAAA6XECAAIAAAAQMTAuMjcxMjM5NjEwNTIyNQENAAAABQAAAAE5AQAAAAkxMTU2NTIyOTkCAAAACTY1NDI0ODg5NgMAAAAGMTAwMzA4BAAAAAEyBgAAAAEwBwAAAAMxNjAIAAAAATAJAAAAATEKAAAAATALAAAACzE0ODE5OTMxNzMxDAAAAAE3DQAAAAk2LzE1LzIwMjYdpgzZ/sneCJbOGdz+yd4IIkNJUS5OWVNFOkJBSC5JUV9QRV9FWENMX0ZXRC4xMDAwMi4BAAAA6XECAAIAAAAQMTEuNTYyMDE0NTc3NjA3OAENAAAABQAAAAE5AQAAAAkxMTU2NTIyOTkCAAAACTY1NDI0ODg5NwMAAAAGMTAwMzA5BAAA</t>
  </si>
  <si>
    <t>AAEyBgAAAAEwBwAAAAMxNjAIAAAAATAJAAAAATEKAAAAATALAAAACzE0ODE5OTMxNzY2DAAAAAE3DQAAAAk2LzE1LzIwMjYdpgzZ/sneCJbOGdz+yd4IIkNJUS5OWVNFOkJBSC5JUV9QRV9FWENMX0ZXRC4xMDAwMS4BAAAA6XECAAIAAAAQMTIuMDkzNDIyOTAyNjcxNQENAAAABQAAAAE5AQAAAAkxMTU2NTIyOTkCAAAACTY1NDI0ODg5NgMAAAAGMTAwMzA5BAAAAAEyBgAAAAEwBwAAAAMxNjAIAAAAATAJAAAAATEKAAAAATALAAAACzE0ODE5OTMxNzQ2DAAAAAE3DQAAAAk2LzE1LzIwMjYdpgzZ/sneCJbOGdz+yd4IJUNJUS5OWVNFOkJBSC5JUV9URVZfRUJJVERBX0ZXRC4xMDAwMi4BAAAA6XECAAIAAAAQOS43NzMyMjA1NjExNTQ0NgENAAAABQAAAAE5AQAAAAkxMTU2NTIyOTkCAAAACTY1NDI0ODg5NwMAAAAGMTAwMzA4BAAAAAEyBgAAAAEwBwAAAAMxNjAIAAAAATAJAAAAATEKAAAAATALAAAACzE0ODE5OTMxNzU0DAAAAAE3DQAAAAk2LzE1LzIwMjYdpgzZ/sneCJbOGdz+yd4IKUNJUS5OWVNFOkJBSC5JUV9FQklUREFfRVNULjEwMDAxLi4uLlVTRC5IAQAAAOlxAgACAAAACTEyMzIuOTEzMwEOAAAABQAAAAIxMQEAAAABMAIAAAAJNjU0MjQ4ODk2AwAAAAYxMDAxODcEAAAAATIGAAAAATAHAAAAAzE2MAgAAAABMAkAAAABMQoAAAABMAsAAAALMTQ4MTk5MzE3MzEMAAAAATcNAAAACTYvMTUvMjAyNhAA</t>
  </si>
  <si>
    <t>AAAJNi8xNC8yMDI2HaYM2f7J3giWzhnc/sneCCpDSVEuTllTRTpCQUguSVFfUkVWRU5VRV9FU1QuMTAwMDIuLi4uVVNELkgBAAAA6XECAAIAAAAKMTE3MTUuMjQ4OQEOAAAABQAAAAIxMQEAAAABMAIAAAAJNjU0MjQ4ODk3AwAAAAYxMDAxODAEAAAAATIGAAAAATAHAAAAAzE2MAgAAAABMAkAAAABMQoAAAABMAsAAAALMTQ4MTk5MzE3NTAMAAAAATcNAAAACTYvMTUvMjAyNhAAAAAJNi8xNC8yMDI2HaYM2f7J3giWzhnc/sneCCpDSVEuTllTRTpCQUguSVFfUkVWRU5VRV9FU1QuMTAwMDEuLi4uVVNELkgBAAAA6XECAAIAAAAKMTEyNDcuODE1OAEOAAAABQAAAAIxMQEAAAABMAIAAAAJNjU0MjQ4ODk2AwAAAAYxMDAxODAEAAAAATIGAAAAATAHAAAAAzE2MAgAAAABMAkAAAABMQoAAAABMAsAAAALMTQ4MTk5MzE3MjMMAAAAATcNAAAACTYvMTUvMjAyNhAAAAAJNi8xNC8yMDI2HaYM2f7J3giWzhnc/sneCCZDSVEuTllTRTpCQUguSVFfRVBTX0VTVC4xMDAwMi4uLi5VU0QuSAEAAADpcQIAAgAAAAY2LjY5NTIBDgAAAAUAAAACMTEBAAAACTExNTY1MjI5OQIAAAAJNjU0MjQ4ODk3AwAAAAYxMDAxNzMEAAAAATIGAAAAATAHAAAAAzE2MAgAAAABMAkAAAABMQoAAAABMAsAAAALMTQ4MTk5MzE3NjYMAAAAATcNAAAACTYvMTUvMjAyNhAAAAAJNi8xNC8yMDI2HaYM2f7J3giWzhnc/sneCCZDSVEuTllTRTpCQUgu</t>
  </si>
  <si>
    <t>SVFfRVBTX0VTVC4xMDAwMS4uLi5VU0QuSAEAAADpcQIAAgAAAAU2LjQwMQEOAAAABQAAAAIxMQEAAAAJMTE1NjUyMjk5AgAAAAk2NTQyNDg4OTYDAAAABjEwMDE3MwQAAAABMgYAAAABMAcAAAADMTYwCAAAAAEwCQAAAAExCgAAAAEwCwAAAAsxNDgxOTkzMTc0NgwAAAABNw0AAAAJNi8xNS8yMDI2EAAAAAk2LzE0LzIwMjYdpgzZ/sneCJbOGdz+yd4IKUNJUS5OWVNFOkJBSC5JUV9FQklUREFfRVNULjEwMDAyLi4uLlVTRC5IAQAAAOlxAgACAAAACTEyOTUuNzM5NQEOAAAABQAAAAIxMQEAAAABMAIAAAAJNjU0MjQ4ODk3AwAAAAYxMDAxODcEAAAAATIGAAAAATAHAAAAAzE2MAgAAAABMAkAAAABMQoAAAABMAsAAAALMTQ4MTk5MzE3NTQMAAAAATcNAAAACTYvMTUvMjAyNhAAAAAJNi8xNC8yMDI2HaYM2f7J3giWzhnc/sneCCxDSVEuTllTRTpCQUguSVFfQ0FTSF9TVF9JTlZFU1QuNTAwLi4uRi5VU0QuSAEAAADpcQIAAgAAAAM3MjgBCAAAAAUAAAABMQEAAAALLTE4ODc3MDQzNTEDAAAAAzE2MAIAAAAEMTAwMgQAAAABMAcAAAAJNi8xNC8yMDI2CAAAAAkzLzMxLzIwMjYJAAAAATAdpgzZ/sneCJbOGdz+yd4IJ0NJUS5OWVNFOkJBSC5JUV9UT1RBTF9SRVYuMjAwMC4uLi5VU0QuSAEAAADpcQIAAgAAAAUxMTIxNwEIAAAABQAAAAExAQAAAAstMTg4NzcwNDM0MQMAAAADMTYwAgAAAAIyOAQAAAABMAcAAAAJ</t>
  </si>
  <si>
    <t>Ni8xNC8yMDI2CAAAAAkzLzMxLzIwMjYJAAAAATAdpgzZ/sneCJbOGdz+yd4IJ0NJUS5OWVNFOkJBSC5JUV9UT1RBTF9SRVYuMTAwMC4uLi5VU0QuSAEAAADpcQIAAgAAAAUxMTIxNwEIAAAABQAAAAExAQAAAAstMTg4NzcwNDk3NwMAAAADMTYwAgAAAAIyOAQAAAABMAcAAAAJNi8xNC8yMDI2CAAAAAkzLzMxLzIwMjYJAAAAATAdpgzZ/sneCJbOGdz+yd4INUNJUS5OWVNFOkJBSC5JUV9NSU5PUklUWV9JTlRFUkVTVF9UT1RBTC41MDAuLi5GLlVTRC5IAQAAAOlxAgADAAAAAAAdpgzZ/sneCJbOGdz+yd4IKUNJUS5OWVNFOkJBSC5JUV9QUkVGX0VRVUlUWS41MDAuLi5GLlVTRC5IAQAAAOlxAgADAAAAAAAdpgzZ/sneCJbOGdz+yd4IKENJUS5OWVNFOkJBSC5JUV9UT1RBTF9ERUJULjUwMC4uLkYuVVNELkgBAAAA6XECAAIAAAAENDEyMgEIAAAABQAAAAExAQAAAAstMTg4NzcwNDM1MQMAAAADMTYwAgAAAAQ0MTczBAAAAAEwBwAAAAk2LzE0LzIwMjYIAAAACTMvMzEvMjAyNgkAAAABMB2mDNn+yd4Ils4Z3P7J3ggkQ0lRLk5ZU0U6QkFILklRX0VCSVREQS4yMDAwLi4uLlVTRC5IAQAAAOlxAgACAAAABDEyNTgBCAAAAAUAAAABMQEAAAALLTE4ODc3MDQzNDEDAAAAAzE2MAIAAAAENDA1MQQAAAABMAcAAAAJNi8xNC8yMDI2CAAAAAkzLzMxLzIwMjYJAAAAATAdpgzZ/sneCJbOGdz+yd4IJENJUS5OWVNFOkJB</t>
  </si>
  <si>
    <t>SC5JUV9FQklUREEuMTAwMC4uLi5VU0QuSAEAAADpcQIAAgAAAAQxMjU4AQgAAAAFAAAAATEBAAAACy0xODg3NzA0OTc3AwAAAAMxNjACAAAABDQwNTEEAAAAATAHAAAACTYvMTQvMjAyNggAAAAJMy8zMS8yMDI2CQAAAAEwHaYM2f7J3giWzhnc/sneCCxDSVEuTllTRTpCQUguSVFfRElMVVRfRVBTX0VYQ0wuMjAwMC4uLi5VU0QuSAEAAADpcQIAAgAAAAM2LjkBCAAAAAUAAAABMQEAAAALLTE4ODc3MDQzNDEDAAAAAzE2MAIAAAADMTQyBAAAAAEwBwAAAAk2LzE0LzIwMjYIAAAACTMvMzEvMjAyNgkAAAABMB2mDNn+yd4Ils4Z3P7J3ggsQ0lRLk5ZU0U6QkFILklRX0RJTFVUX0VQU19FWENMLjEwMDAuLi4uVVNELkgBAAAA6XECAAIAAAADNi45AQgAAAAFAAAAATEBAAAACy0xODg3NzA0OTc3AwAAAAMxNjACAAAAAzE0MgQAAAABMAcAAAAJNi8xNC8yMDI2CAAAAAkzLzMxLzIwMjYJAAAAATAdpgzZ/sneCJbOGdz+yd4IIENJUS5OWVNFOkJBSC5JUV9QRVJJT0REQVRFLjIwMDAuAQAAAOlxAgAFAAAACjMxLzAzLzIwMjYAHaYM2f7J3giWzhnc/sneCCBDSVEuTllTRTpCQUguSVFfUEVSSU9EREFURS4xMDAwLgEAAADpcQIABQAAAAozMS8wMy8yMDI2AB2mDNn+yd4Ils4Z3P7J3ggiQ0lRLk5ZU0U6QkFILklRX0dST1NTX01BUkdJTi4xMDAwLgEAAADpcQIAAgAAAAcyMi4zNTg5AQgAAAAFAAAAATEBAAAACy0x</t>
  </si>
  <si>
    <t>ODg3NzA0OTc3AwAAAAMxNjACAAAABDQwNzQEAAAAATAHAAAACTYvMTQvMjAyNggAAAAJMy8zMS8yMDI2CQAAAAEwHaYM2f7J3giWzhnc/sneCCFDSVEuTllTRTpCQUguSVFfR1JPU1NfTUFSR0lOLjk5OS4BAAAA6XECAAIAAAAHMjMuMjEzNgEIAAAABQAAAAExAQAAAAstMTg4NzcwNTAwMQMAAAADMTYwAgAAAAQ0MDc0BAAAAAEwBwAAAAk2LzE0LzIwMjYIAAAACTMvMzEvMjAyNQkAAAABMB2mDNn+yd4Ils4Z3P7J3gghQ0lRLk5ZU0U6QkFILklRX0dST1NTX01BUkdJTi45OTguAQAAAOlxAgACAAAABzIzLjA2MzIBCAAAAAUAAAABMQEAAAALLTE4ODc3MDQ5OTMDAAAAAzE2MAIAAAAENDA3NAQAAAABMAcAAAAJNi8xNC8yMDI2CAAAAAkzLzMxLzIwMjQJAAAAATAdpgzZ/sneCJbOGdz+yd4II0NJUS5OWVNFOkJBSC5JUV9FQklUREFfTUFSR0lOLjIwMDAuAQAAAOlxAgACAAAABzExLjIxNTEBCAAAAAUAAAABMQEAAAALLTE4ODc3MDQzNDEDAAAAAzE2MAIAAAAENDA0NwQAAAABMAcAAAAJNi8xNC8yMDI2CAAAAAkzLzMxLzIwMjYJAAAAATAdpgzZ/sneCJbOGdz+yd4II0NJUS5OWVNFOkJBSC5JUV9FQklUREFfTUFSR0lOLjEwMDAuAQAAAOlxAgACAAAABzExLjIxNTEBCAAAAAUAAAABMQEAAAALLTE4ODc3MDQ5NzcDAAAAAzE2MAIAAAAENDA0NwQAAAABMAcAAAAJNi8xNC8yMDI2CAAAAAkzLzMxLzIwMjYJ</t>
  </si>
  <si>
    <t>AAAAATAdpgzZ/sneCJbOGdz+yd4IIkNJUS5OWVNFOkJBSC5JUV9FQklUREFfTUFSR0lOLjk5OS4BAAAA6XECAAIAAAAHMTEuNTEwOAEIAAAABQAAAAExAQAAAAstMTg4NzcwNTAwMQMAAAADMTYwAgAAAAQ0MDQ3BAAAAAEwBwAAAAk2LzE0LzIwMjYIAAAACTMvMzEvMjAyNQkAAAABMB2mDNn+yd4Ils4Z3P7J3ggiQ0lRLk5ZU0U6QkFILklRX0VCSVREQV9NQVJHSU4uOTk4LgEAAADpcQIAAgAAAAcxMS4xNTE3AQgAAAAFAAAAATEBAAAACy0xODg3NzA0OTkzAwAAAAMxNjACAAAABDQwNDcEAAAAATAHAAAACTYvMTQvMjAyNggAAAAJMy8zMS8yMDI0CQAAAAEwHaYM2f7J3giWzhnc/sneCCJDSVEuTllTRTpCQUguSVFfR1JPU1NfTUFSR0lOLjIwMDAuAQAAAOlxAgACAAAABzIyLjM1ODkBCAAAAAUAAAABMQEAAAALLTE4ODc3MDQzNDEDAAAAAzE2MAIAAAAENDA3NAQAAAABMAcAAAAJNi8xNC8yMDI2CAAAAAkzLzMxLzIwMjYJAAAAATAdpgzZ/sneCJbOGdz+yd4ILENJUS5OWVNFOkJBSC5JUV9UT1RBTF9SRVZfNVlSX0FOTl9DQUdSLjIwMDAuAQAAAOlxAgACAAAABjcuMzc0OAEIAAAABQAAAAExAQAAAAstMTg4NzcwNDM0MQMAAAADMTYwAgAAAAQ0MjMzBAAAAAEwBwAAAAk2LzE0LzIwMjYIAAAACTMvMzEvMjAyNgkAAAABMB2mDNn+yd4Ils4Z3P7J3ggfQ0lRLk5ZU0U6QkFILklRX05JX01BUkdJTi4yMDAw</t>
  </si>
  <si>
    <t>LgEAAADpcQIAAgAAAAY3LjU4NjYBCAAAAAUAAAABMQEAAAALLTE4ODc3MDQzNDEDAAAAAzE2MAIAAAAENDA5NAQAAAABMAcAAAAJNi8xNC8yMDI2CAAAAAkzLzMxLzIwMjYJAAAAATAdpgzZ/sneCJbOGdz+yd4IH0NJUS5OWVNFOkJBSC5JUV9OSV9NQVJHSU4uMTAwMC4BAAAA6XECAAIAAAAGNy41ODY2AQgAAAAFAAAAATEBAAAACy0xODg3NzA0OTc3AwAAAAMxNjACAAAABDQwOTQEAAAAATAHAAAACTYvMTQvMjAyNggAAAAJMy8zMS8yMDI2CQAAAAEwHaYM2f7J3giWzhnc/sneCB5DSVEuTllTRTpCQUguSVFfTklfTUFSR0lOLjk5OS4BAAAA6XECAAIAAAAGNy44MDQ2AQgAAAAFAAAAATEBAAAACy0xODg3NzA1MDAxAwAAAAMxNjACAAAABDQwOTQEAAAAATAHAAAACTYvMTQvMjAyNggAAAAJMy8zMS8yMDI1CQAAAAEwHaYM2f7J3giWzhnc/sneCB5DSVEuTllTRTpCQUguSVFfTklfTUFSR0lOLjk5OC4BAAAA6XECAAIAAAAGNS42ODM3AQgAAAAFAAAAATEBAAAACy0xODg3NzA0OTkzAwAAAAMxNjACAAAABDQwOTQEAAAAATAHAAAACTYvMTQvMjAyNggAAAAJMy8zMS8yMDI0CQAAAAEwHaYM2f7J3giWzhnc/sneCClDSVEuTllTRTpCQUguSVFfRUJJVERBXzNZUl9BTk5fQ0FHUi4yMDAwLgEAAADpcQIAAgAAAAY4LjgyODcBCAAAAAUAAAABMQEAAAALLTE4ODc3MDQzNDEDAAAAAzE2MAIAAAAENDIyMgQAAAAB</t>
  </si>
  <si>
    <t>MAcAAAAJNi8xNC8yMDI2CAAAAAkzLzMxLzIwMjYJAAAAATAdpgzZ/sneCJbOGdz+yd4IKUNJUS5OWVNFOkJBSC5JUV9FQklUREFfNVlSX0FOTl9DQUdSLjIwMDAuAQAAAOlxAgACAAAABjguNTU2NgEIAAAABQAAAAExAQAAAAstMTg4NzcwNDM0MQMAAAADMTYwAgAAAAQ0MjM1BAAAAAEwBwAAAAk2LzE0LzIwMjYIAAAACTMvMzEvMjAyNgkAAAABMB2mDNn+yd4Ils4Z3P7J3gguQ0lRLk5ZU0U6QkFILklRX1RPVEFMX1JFVl8xWVJfQU5OX0dST1dUSC4yMDAwLgEAAADpcQIAAgAAAAYtNi4zNjkBCAAAAAUAAAABMQEAAAALLTE4ODc3MDQzNDEDAAAAAzE2MAIAAAAENDE5NAQAAAABMAcAAAAJNi8xNC8yMDI2CAAAAAkzLzMxLzIwMjYJAAAAATAdpgzZ/sneCJbOGdz+yd4ILkNJUS5OWVNFOkJBSC5JUV9UT1RBTF9SRVZfMVlSX0FOTl9HUk9XVEguMTAwMC4BAAAA6XECAAIAAAAGLTYuMzY5AQgAAAAFAAAAATEBAAAACy0xODg3NzA0OTc3AwAAAAMxNjACAAAABDQxOTQEAAAAATAHAAAACTYvMTQvMjAyNggAAAAJMy8zMS8yMDI2CQAAAAEwHaYM2f7J3giWzhnc/sneCCxDSVEuTllTRTpCQUguSVFfVE9UQUxfUkVWXzNZUl9BTk5fQ0FHUi4yMDAwLgEAAADpcQIAAgAAAAY2LjYwMzMBCAAAAAUAAAABMQEAAAALLTE4ODc3MDQzNDEDAAAAAzE2MAIAAAAENDIyMAQAAAABMAcAAAAJNi8xNC8yMDI2CAAAAAkzLzMx</t>
  </si>
  <si>
    <t>LzIwMjYJAAAAATAdpgzZ/sneCJbOGdz+yd4IKENJUS5OWVNFOkJBSC5JUV9FUFNfMVlSX0FOTl9HUk9XVEguMTAwMC4BAAAA6XECAAIAAAAHLTQuODI3NgEIAAAABQAAAAExAQAAAAstMTg4NzcwNDk3NwMAAAADMTYwAgAAAAQ0MjAwBAAAAAEwBwAAAAk2LzE0LzIwMjYIAAAACTMvMzEvMjAyNgkAAAABMB2mDNn+yd4Ils4Z3P7J3ggmQ0lRLk5ZU0U6QkFILklRX0VQU18zWVJfQU5OX0NBR1IuMjAwMC4BAAAA6XECAAIAAAAGNTAuMzU1AQgAAAAFAAAAATEBAAAACy0xODg3NzA0MzQxAwAAAAMxNjACAAAABDQyMjYEAAAAATAHAAAACTYvMTQvMjAyNggAAAAJMy8zMS8yMDI2CQAAAAEwHaYM2f7J3giWzhnc/sneCCZDSVEuTllTRTpCQUguSVFfRVBTXzVZUl9BTk5fQ0FHUi4yMDAwLgEAAADpcQIAAgAAAAY5LjU4OTkBCAAAAAUAAAABMQEAAAALLTE4ODc3MDQzNDEDAAAAAzE2MAIAAAAENDIzOQQAAAABMAcAAAAJNi8xNC8yMDI2CAAAAAkzLzMxLzIwMjYJAAAAATAdpgzZ/sneCJbOGdz+yd4IK0NJUS5OWVNFOkJBSC5JUV9FQklUREFfMVlSX0FOTl9HUk9XVEguMjAwMC4BAAAA6XECAAIAAAAHLTguNzc0NQEIAAAABQAAAAExAQAAAAstMTg4NzcwNDM0MQMAAAADMTYwAgAAAAQ0MTk2BAAAAAEwBwAAAAk2LzE0LzIwMjYIAAAACTMvMzEvMjAyNgkAAAABMB2mDNn+yd4Ils4Z3P7J3ggrQ0lRLk5ZU0U6QkFI</t>
  </si>
  <si>
    <t>LklRX0VCSVREQV8xWVJfQU5OX0dST1dUSC4xMDAwLgEAAADpcQIAAgAAAActOC43NzQ1AQgAAAAFAAAAATEBAAAACy0xODg3NzA0OTc3AwAAAAMxNjACAAAABDQxOTYEAAAAATAHAAAACTYvMTQvMjAyNggAAAAJMy8zMS8yMDI2CQAAAAEwHaYM2f7J3giWzhnc/sneCCZDSVEuTllTRTpCQUguSVFfRUJJVERBX0NBUEVYX0lOVC4yMDAwLgEAAADpcQIAAgAAAAg2Ljc1NTQzNAEIAAAABQAAAAExAQAAAAstMTg4NzcwNDM0MQMAAAADMTYwAgAAAAQ0MTkxBAAAAAEwBwAAAAk2LzE0LzIwMjYIAAAACTMvMzEvMjAyNgkAAAABMB2mDNn+yd4Ils4Z3P7J3gggQ0lRLk5ZU0U6QkFILklRX0VCSVREQV9JTlQuMjAwMC4BAAAA6XECAAIAAAAINy4yNDQ1NjUBCAAAAAUAAAABMQEAAAALLTE4ODc3MDQzNDEDAAAAAzE2MAIAAAAENDE5MAQAAAABMAcAAAAJNi8xNC8yMDI2CAAAAAkzLzMxLzIwMjYJAAAAATAdpgzZ/sneCJbOGdz+yd4IJUNJUS5OWVNFOkJBSC5JUV9ORVRfREVCVF9FQklUREEuMjAwMC4BAAAA6XECAAIAAAAIMi41NDYxMzYBCAAAAAUAAAABMQEAAAALLTE4ODc3MDQzNDEDAAAAAzE2MAIAAAAENDE5MwQAAAABMAcAAAAJNi8xNC8yMDI2CAAAAAkzLzMxLzIwMjYJAAAAATAdpgzZ/sneCJbOGdz+yd4IJ0NJUS5OWVNFOkJBSC5JUV9UT1RBTF9ERUJUX0VCSVREQS4yMDAwLgEAAADpcQIAAgAAAAgzLjA5</t>
  </si>
  <si>
    <t>MjI3MwEIAAAABQAAAAExAQAAAAstMTg4NzcwNDM0MQMAAAADMTYwAgAAAAQ0MTkyBAAAAAEwBwAAAAk2LzE0LzIwMjYIAAAACTMvMzEvMjAyNgkAAAABMB2mDNn+yd4Ils4Z3P7J3ggoQ0lRLk5ZU0U6QkFILklRX0VQU18xWVJfQU5OX0dST1dUSC4yMDAwLgEAAADpcQIAAgAAAActNC44Mjc2AQgAAAAFAAAAATEBAAAACy0xODg3NzA0MzQxAwAAAAMxNjACAAAABDQyMDAEAAAAATAHAAAACTYvMTQvMjAyNggAAAAJMy8zMS8yMDI2CQAAAAEwHaYM2f7J3giWzhnc/sneCC1DSVEuTllTRTpCQUguSVFfUkVUVVJOX0lOVkVTVEVEX0NBUElUQUwuMjAwMC4BAAAA6XECAAIAAAAHMTEuMDA1OAAdpgzZ/sneCJbOGdz+yd4II0NJUS5OWVNFOkJBSC5JUV9SRVRVUk5fQVNTRVRTLjIwMDAuAQAAAOlxAgACAAAABjkuNDg1NAEIAAAABQAAAAExAQAAAAstMTg4NzcwNDM0MQMAAAADMTYwAgAAAAQ0MTc4BAAAAAEwBwAAAAk2LzE0LzIwMjYIAAAACTMvMzEvMjAyNgkAAAABMB2mDNn+yd4Ils4Z3P7J3ggjQ0lRLk5ZU0U6QkFILklRX1JFVFVSTl9FUVVJVFkuMjAwMC4BAAAA6XECAAIAAAAFODAuNzQBCAAAAAUAAAABMQEAAAALLTE4ODc3MDQzNDEDAAAAAzE2MAIAAAAENDEyOAQAAAABMAcAAAAJNi8xNC8yMDI2CAAAAAkzLzMxLzIwMjYJAAAAATAdpgzZ/sneCJbOGdz+yd4IJ0NJUS5OWVNFOkJBSC5JUV9UT1RBTF9E</t>
  </si>
  <si>
    <t>RUJUX0NBUElUQUwuNTAwLgEAAADpcQIAAgAAAAc3OC44NTk3AQgAAAAFAAAAATEBAAAACy0xODg3NzA0MzUxAwAAAAMxNjACAAAABDQxODYEAAAAATAHAAAACTYvMTQvMjAyNggAAAAJMy8zMS8yMDI2CQAAAAEwHaYM2f7J3giWzhnc/sneCCZDSVEuTllTRTpCQUguSVFfVE9UQUxfREVCVF9FUVVJVFkuNTAwLgEAAADpcQIAAgAAAAgzNzMuMDMxNgEIAAAABQAAAAExAQAAAAstMTg4NzcwNDM1MQMAAAADMTYwAgAAAAQ0MDM0BAAAAAEwBwAAAAk2LzE0LzIwMjYIAAAACTMvMzEvMjAyNgkAAAABMB2mDNn+yd4Ils4Z3P7J3ggmQ0lRLk5ZU0U6QkFILklRX0RBWVNfUEFZQUJMRV9PVVQuMjAwMC4BAAAA6XECAAIAAAAJMjYuOTY5NDg1AQgAAAAFAAAAATEBAAAACy0xODg3NzA0MzQxAwAAAAMxNjACAAAABDQxODMEAAAAATAHAAAACTYvMTQvMjAyNggAAAAJMy8zMS8yMDI2CQAAAAEwHaYM2f7J3giWzhnc/sneCChDSVEuTllTRTpCQUguSVFfREFZU19JTlZFTlRPUllfT1VULjIwMDAuAQAAAOlxAgADAAAAAAAdpgzZ/sneCJbOGdz+yd4IJENJUS5OWVNFOkJBSC5JUV9EQVlTX1NBTEVTX09VVC4yMDAwLgEAAADpcQIAAgAAAAg3MC41MTM2MgEIAAAABQAAAAExAQAAAAstMTg4NzcwNDM0MQMAAAADMTYwAgAAAAQ0MDQyBAAAAAEwBwAAAAk2LzE0LzIwMjYIAAAACTMvMzEvMjAyNgkAAAABMB2mDNn+yd4Ils4Z</t>
  </si>
  <si>
    <t>3P7J3gggQ0lRLk5ZU0U6QkFILklRX1FVSUNLX1JBVElPLjUwMC4BAAAA6XECAAIAAAAIMS42NzgyOTIBCAAAAAUAAAABMQEAAAALLTE4ODc3MDQzNTEDAAAAAzE2MAIAAAAENDEyMQQAAAABMAcAAAAJNi8xNC8yMDI2CAAAAAkzLzMxLzIwMjYJAAAAATAdpgzZ/sneCJbOGdz+yd4IIkNJUS5OWVNFOkJBSC5JUV9DVVJSRU5UX1JBVElPLjUwMC4BAAAA6XECAAIAAAAIMS43ODA1MTcBCAAAAAUAAAABMQEAAAALLTE4ODc3MDQzNTEDAAAAAzE2MAIAAAAENDAzMAQAAAABMAcAAAAJNi8xNC8yMDI2CAAAAAkzLzMxLzIwMjYJAAAAATAdpgzZ/sneCJbOGdz+yd4IJUNJUS5OWVNFOkJBSC5JUV9JTlZFTlRPUllfVFVSTlMuMjAwMC4BAAAA6XECAAMAAAAAAB2mDNn+yd4I/TQc3P7J3ggeQ0lRLk5ZU0U6QkFILklRX0FSX1RVUk5TLjIwMDAuAQAAAOlxAgACAAAABzUuMTc2MjgBCAAAAAUAAAABMQEAAAALLTE4ODc3MDQzNDEDAAAAAzE2MAIAAAAENDAwMQQAAAABMAcAAAAJNi8xNC8yMDI2CAAAAAkzLzMxLzIwMjYJAAAAATAdpgzZ/sneCP00HNz+yd4IJ0NJUS5OWVNFOkJBSC5JUV9GSVhFRF9BU1NFVF9UVVJOUy4yMDAwLgEAAADpcQIAAgAAAAkzMy4zMzQzMjMBCAAAAAUAAAABMQEAAAALLTE4ODc3MDQzNDEDAAAAAzE2MAIAAAAENDA2NgQAAAABMAcAAAAJNi8xNC8yMDI2CAAAAAkzLzMxLzIwMjYJAAAAATAd</t>
  </si>
  <si>
    <t>pgzZ/sneCP00HNz+yd4IIUNJUS5OWVNFOkJBSC5JUV9BU1NFVF9UVVJOUy4yMDAwLgEAAADpcQIAAgAAAAgxLjU1NDY3NwEIAAAABQAAAAExAQAAAAstMTg4NzcwNDM0MQMAAAADMTYwAgAAAAQ0MTc3BAAAAAEwBwAAAAk2LzE0LzIwMjYIAAAACTMvMzEvMjAyNgkAAAABMB2mDNn+yd4I/TQc3P7J3gglQ0lRLk5ZU0U6QkFILklRX0NBU0hfQ09OVkVSU0lPTi4yMDAwLgEAAADpcQIAAwAAAAAAHaYM2f7J3gj9NBzc/sneCDZDSVEuTllTRTpCQUguSVFfVE9UQUxfUkVWXzNZUl9BTk5fQ0FHUi4yMDAwLjE0LzA2LzIwMjYBAAAA6XECAAIAAAAGNi42MDMzAQgAAAAFAAAAATEBAAAACy0xODg3NzA0MzQxAwAAAAMxNjACAAAABDQyMjAEAAAAATAHAAAACTYvMTQvMjAyNggAAAAJMy8zMS8yMDI2CQAAAAEwHaYM2f7J3ggMwSrc/sneCDFDSVEuTllTRTpCQUguSVFfVE9UQUxfREVCVF9FQklUREEuMjAwMC4xNC8wNi8yMDI2AQAAAOlxAgACAAAACDMuMDkyMjczAQgAAAAFAAAAATEBAAAACy0xODg3NzA0MzQxAwAAAAMxNjACAAAABDQxOTIEAAAAATAHAAAACTYvMTQvMjAyNggAAAAJMy8zMS8yMDI2CQAAAAEwHaYM2f7J3gg45SXc/sneCDJDSVEuTllTRTpCQUguSVFfREFZU19JTlZFTlRPUllfT1VULjIwMDAuMTQvMDYvMjAyNgEAAADpcQIAAwAAAAAAkqgV2f7J3gg45SXc/sneCCxDSVEuTllTRTpCQUguSVFf</t>
  </si>
  <si>
    <t>R1JPU1NfTUFSR0lOLjIwMDAuMTQvMDYvMjAyNgEAAADpcQIAAgAAAAcyMi4zNTg5AQgAAAAFAAAAATEBAAAACy0xODg3NzA0MzQxAwAAAAMxNjACAAAABDQwNzQEAAAAATAHAAAACTYvMTQvMjAyNggAAAAJMy8zMS8yMDI2CQAAAAEwhisU2f7J3gh7gCPc/sneCChDSVEuTllTRTpCQUguSVFfQVJfVFVSTlMuMjAwMC4xNC8wNi8yMDI2AQAAAOlxAgACAAAABzUuMTc2MjgBCAAAAAUAAAABMQEAAAALLTE4ODc3MDQzNDEDAAAAAzE2MAIAAAAENDAwMQQAAAABMAcAAAAJNi8xNC8yMDI2CAAAAAkzLzMxLzIwMjYJAAAAATCGKxTZ/sneCHuAI9z+yd4IL0NJUS5OWVNFOkJBSC5JUV9GSUxJTkdfQ1VSUkVOQ1kuMjAwMC4xNC8wNi8yMDI2AQAAAOlxAgADAAAAA1VTRADSo7bZ/sneCPYOIdz+yd4IMENJUS5OWVNFOkJBSC5JUV9FQklUREFfQ0FQRVhfSU5ULjIwMDAuMTQvMDYvMjAyNgEAAADpcQIAAgAAAAg2Ljc1NTQzNAEIAAAABQAAAAExAQAAAAstMTg4NzcwNDM0MQMAAAADMTYwAgAAAAQ0MTkxBAAAAAEwBwAAAAk2LzE0LzIwMjYIAAAACTMvMzEvMjAyNgkAAAABMJKoFdn+yd4IOOUl3P7J3ggtQ0lRLk5ZU0U6QkFILklRX1JFVFVSTl9FUVVJVFkuMjAwMC4xNC8wNi8yMDI2AQAAAOlxAgACAAAABTgwLjc0AQgAAAAFAAAAATEBAAAACy0xODg3NzA0MzQxAwAAAAMxNjACAAAABDQxMjgEAAAAATAHAAAACTYv</t>
  </si>
  <si>
    <t>MTQvMjAyNggAAAAJMy8zMS8yMDI2CQAAAAEwhisU2f7J3gh7gCPc/sneCDBDSVEuTllTRTpCQUguSVFfRVBTXzVZUl9BTk5fQ0FHUi4yMDAwLjE0LzA2LzIwMjYBAAAA6XECAAIAAAAGOS41ODk5AQgAAAAFAAAAATEBAAAACy0xODg3NzA0MzQxAwAAAAMxNjACAAAABDQyMzkEAAAAATAHAAAACTYvMTQvMjAyNggAAAAJMy8zMS8yMDI2CQAAAAEwHaYM2f7J3gjDNC3c/sneCDBDSVEuTllTRTpCQUguSVFfRVBTXzNZUl9BTk5fQ0FHUi4yMDAwLjE0LzA2LzIwMjYBAAAA6XECAAIAAAAGNTAuMzU1AQgAAAAFAAAAATEBAAAACy0xODg3NzA0MzQxAwAAAAMxNjACAAAABDQyMjYEAAAAATAHAAAACTYvMTQvMjAyNggAAAAJMy8zMS8yMDI2CQAAAAEwHaYM2f7J3ggMwSrc/sneCDNDSVEuTllTRTpCQUguSVFfRUJJVERBXzNZUl9BTk5fQ0FHUi4yMDAwLjE0LzA2LzIwMjYBAAAA6XECAAIAAAAGOC44Mjg3AQgAAAAFAAAAATEBAAAACy0xODg3NzA0MzQxAwAAAAMxNjACAAAABDQyMjIEAAAAATAHAAAACTYvMTQvMjAyNggAAAAJMy8zMS8yMDI2CQAAAAEwHaYM2f7J3ggMwSrc/sneCCtDSVEuTllTRTpCQUguSVFfQVNTRVRfVFVSTlMuMjAwMC4xNC8wNi8yMDI2AQAAAOlxAgACAAAACDEuNTU0Njc3AQgAAAAFAAAAATEBAAAACy0xODg3NzA0MzQxAwAAAAMxNjACAAAABDQxNzcEAAAAATAHAAAACTYvMTQvMjAyNggA</t>
  </si>
  <si>
    <t>AAAJMy8zMS8yMDI2CQAAAAEwhisU2f7J3gh7gCPc/sneCDVDSVEuTllTRTpCQUguSVFfRUJJVERBXzFZUl9BTk5fR1JPV1RILjIwMDAuMTQvMDYvMjAyNgEAAADpcQIAAgAAAActOC43NzQ1AQgAAAAFAAAAATEBAAAACy0xODg3NzA0MzQxAwAAAAMxNjACAAAABDQxOTYEAAAAATAHAAAACTYvMTQvMjAyNggAAAAJMy8zMS8yMDI2CQAAAAEwHaYM2f7J3ggMwSrc/sneCC5DSVEuTllTRTpCQUguSVFfREFZU19TQUxFU19PVVQuMjAwMC4xNC8wNi8yMDI2AQAAAOlxAgACAAAACDcwLjUxMzYyAQgAAAAFAAAAATEBAAAACy0xODg3NzA0MzQxAwAAAAMxNjACAAAABDQwNDIEAAAAATAHAAAACTYvMTQvMjAyNggAAAAJMy8zMS8yMDI2CQAAAAEwkqgV2f7J3gg45SXc/sneCC1DSVEuTllTRTpCQUguSVFfUkVUVVJOX0FTU0VUUy4yMDAwLjE0LzA2LzIwMjYBAAAA6XECAAIAAAAGOS40ODU0AQgAAAAFAAAAATEBAAAACy0xODg3NzA0MzQxAwAAAAMxNjACAAAABDQxNzgEAAAAATAHAAAACTYvMTQvMjAyNggAAAAJMy8zMS8yMDI2CQAAAAEwhisU2f7J3gj2DiHc/sneCClDSVEuTllTRTpCQUguSVFfTklfTUFSR0lOLjIwMDAuMTQvMDYvMjAyNgEAAADpcQIAAgAAAAY3LjU4NjYBCAAAAAUAAAABMQEAAAALLTE4ODc3MDQzNDEDAAAAAzE2MAIAAAAENDA5NAQAAAABMAcAAAAJNi8xNC8yMDI2CAAAAAkzLzMxLzIwMjYJ</t>
  </si>
  <si>
    <t>AAAAATCGKxTZ/sneCHuAI9z+yd4IOENJUS5OWVNFOkJBSC5JUV9UT1RBTF9SRVZfMVlSX0FOTl9HUk9XVEguMjAwMC4xNC8wNi8yMDI2AQAAAOlxAgACAAAABi02LjM2OQEIAAAABQAAAAExAQAAAAstMTg4NzcwNDM0MQMAAAADMTYwAgAAAAQ0MTk0BAAAAAEwBwAAAAk2LzE0LzIwMjYIAAAACTMvMzEvMjAyNgkAAAABMB2mDNn+yd4Ildco3P7J3ggwQ0lRLk5ZU0U6QkFILklRX0RBWVNfUEFZQUJMRV9PVVQuMjAwMC4xNC8wNi8yMDI2AQAAAOlxAgACAAAACTI2Ljk2OTQ4NQEIAAAABQAAAAExAQAAAAstMTg4NzcwNDM0MQMAAAADMTYwAgAAAAQ0MTgzBAAAAAEwBwAAAAk2LzE0LzIwMjYIAAAACTMvMzEvMjAyNgkAAAABMJKoFdn+yd4IOOUl3P7J3ggtQ0lRLk5ZU0U6QkFILklRX0VCSVREQV9NQVJHSU4uMjAwMC4xNC8wNi8yMDI2AQAAAOlxAgACAAAABzExLjIxNTEBCAAAAAUAAAABMQEAAAALLTE4ODc3MDQzNDEDAAAAAzE2MAIAAAAENDA0NwQAAAABMAcAAAAJNi8xNC8yMDI2CAAAAAkzLzMxLzIwMjYJAAAAATCGKxTZ/sneCHuAI9z+yd4IM0NJUS5OWVNFOkJBSC5JUV9FQklUREFfNVlSX0FOTl9DQUdSLjIwMDAuMTQvMDYvMjAyNgEAAADpcQIAAgAAAAY4LjU1NjYBCAAAAAUAAAABMQEAAAALLTE4ODc3MDQzNDEDAAAAAzE2MAIAAAAENDIzNQQAAAABMAcAAAAJNi8xNC8yMDI2CAAAAAkzLzMxLzIw</t>
  </si>
  <si>
    <t>MjYJAAAAATAdpgzZ/sneCAzBKtz+yd4IL0NJUS5OWVNFOkJBSC5JUV9JTlZFTlRPUllfVFVSTlMuMjAwMC4xNC8wNi8yMDI2AQAAAOlxAgADAAAAAACGKxTZ/sneCHuAI9z+yd4IMkNJUS5OWVNFOkJBSC5JUV9FUFNfMVlSX0FOTl9HUk9XVEguMjAwMC4xNC8wNi8yMDI2AQAAAOlxAgACAAAABy00LjgyNzYBCAAAAAUAAAABMQEAAAALLTE4ODc3MDQzNDEDAAAAAzE2MAIAAAAENDIwMAQAAAABMAcAAAAJNi8xNC8yMDI2CAAAAAkzLzMxLzIwMjYJAAAAATAdpgzZ/sneCAzBKtz+yd4IL0NJUS5OWVNFOkJBSC5JUV9ORVRfREVCVF9FQklUREEuMjAwMC4xNC8wNi8yMDI2AQAAAOlxAgACAAAACDIuNTQ2MTM2AQgAAAAFAAAAATEBAAAACy0xODg3NzA0MzQxAwAAAAMxNjACAAAABDQxOTMEAAAAATAHAAAACTYvMTQvMjAyNggAAAAJMy8zMS8yMDI2CQAAAAEwHaYM2f7J3giV1yjc/sneCC9DSVEuTllTRTpCQUguSVFfQ0FTSF9DT05WRVJTSU9OLjIwMDAuMTQvMDYvMjAyNgEAAADpcQIAAwAAAAAAkqgV2f7J3gg45SXc/sneCDZDSVEuTllTRTpCQUguSVFfVE9UQUxfUkVWXzVZUl9BTk5fQ0FHUi4yMDAwLjE0LzA2LzIwMjYBAAAA6XECAAIAAAAGNy4zNzQ4AQgAAAAFAAAAATEBAAAACy0xODg3NzA0MzQxAwAAAAMxNjACAAAABDQyMzMEAAAAATAHAAAACTYvMTQvMjAyNggAAAAJMy8zMS8yMDI2CQAAAAEwHaYM</t>
  </si>
  <si>
    <t>2f7J3ggMwSrc/sneCCpDSVEuTllTRTpCQUguSVFfRUJJVERBX0lOVC4yMDAwLjE0LzA2LzIwMjYBAAAA6XECAAIAAAAINy4yNDQ1NjUBCAAAAAUAAAABMQEAAAALLTE4ODc3MDQzNDEDAAAAAzE2MAIAAAAENDE5MAQAAAABMAcAAAAJNi8xNC8yMDI2CAAAAAkzLzMxLzIwMjYJAAAAATCSqBXZ/sneCDjlJdz+yd4IMUNJUS5OWVNFOkJBSC5JUV9GSVhFRF9BU1NFVF9UVVJOUy4yMDAwLjE0LzA2LzIwMjYBAAAA6XECAAIAAAAJMzMuMzM0MzIzAQgAAAAFAAAAATEBAAAACy0xODg3NzA0MzQxAwAAAAMxNjACAAAABDQwNjYEAAAAATAHAAAACTYvMTQvMjAyNggAAAAJMy8zMS8yMDI2CQAAAAEwhisU2f7J3gh7gCPc/sneCC5DSVEuTllTRTpCQUguSVFfUEVSSU9ETEVOR1RIX0NGLjk5MC4xNC8wNi8yMDI2AQAAAOlxAgABAAAAAjEyAMOcf9n+yd4IKace3P7J3gguQ0lRLk5ZU0U6QkFILklRX1BFUklPRExFTkdUSF9DRi45OTEuMTQvMDYvMjAyNgEAAADpcQIAAQAAAAIxMgDDnH/Z/sneCCmnHtz+yd4ILkNJUS5OWVNFOkJBSC5JUV9QRVJJT0RMRU5HVEhfQ0YuOTkyLjE0LzA2LzIwMjYBAAAA6XECAAEAAAACMTIAw5x/2f7J3ggppx7c/sneCC9DSVEuTllTRTpCQUguSVFfRUZGRUNUX1RBWF9SQVRFLjIwMDAuMTQvMDYvMjAyNgEAAADpcQIAAgAAAAYxLjI3NjEBCAAAAAUAAAABMQEAAAALLTE4ODc3MDQzNDED</t>
  </si>
  <si>
    <t>AAAAAzE2MAIAAAAENDM3NgQAAAABMAcAAAAJNi8xNC8yMDI2CAAAAAkzLzMxLzIwMjYJAAAAATDSo7bZ/sneCCmnHtz+yd4IKUNJUS5OWVNFOkJBSC5JUV9TQU1FX1NUT1JFLjk5MS4xNC8wNi8yMDI2AQAAAOlxAgADAAAAAADSo7bZ/sneCP00HNz+yd4ILUNJUS5OWVNFOkJBSC5JUV9GSUxJTkdEQVRFX0lTLjIwMDAuMTQvMDYvMjAyNgEAAADpcQIABQAAAAoyMi8wNS8yMDI2AEyDBNr+yd4I/TQc3P7J3ggrQ0lRLk5ZU0U6QkFILklRX1BBWU9VVF9SQVRJTy45OTAuMTQvMDYvMjAyNgEAAADpcQIAAgAAAAcyNy4yMDcyAQgAAAAFAAAAATEBAAAACjE4OTEzNDc4NjkDAAAAAzE2MAIAAAAENDM3NwQAAAABMAcAAAAJNi8xNC8yMDI2CAAAAAkzLzMxLzIwMTYJAAAAATDSo7bZ/sneCCmnHtz+yd4IKUNJUS5OWVNFOkJBSC5JUV9TQU1FX1NUT1JFLjk5Mi4xNC8wNi8yMDI2AQAAAOlxAgADAAAAAADSo7bZ/sneCP00HNz+yd4ILENJUS5OWVNFOkJBSC5JUV9DQUxDX1RZUEVfSVMuMjAwMC4xNC8wNi8yMDI2AQAAAOlxAgADAAAAA1JFUADSo7bZ/sneCCmnHtz+yd4IJkNJUS5OWVNFOkJBSC5JUV9HQUFQX0lTLjk5MC4xNC8wNi8yMDI2AQAAAOlxAgADAAAAB1VTIEdBQVAA0qO22f7J3ggppx7c/sneCCtDSVEuTllTRTpCQUguSVFfRElMVVRfV0VJR0hULjk5Mi4xNC8wNi8yMDI2AQAAAOlxAgACAAAACjE0Ny43</t>
  </si>
  <si>
    <t>NTAwMjIATIME2v7J3gj9NBzc/sneCCtDSVEuTllTRTpCQUguSVFfQkFTSUNfV0VJR0hULjk5Mi4xNC8wNi8yMDI2AQAAAOlxAgACAAAACjE0NS45NjQ1NzQATIME2v7J3gj9NBzc/sneCCZDSVEuTllTRTpCQUguSVFfR0FBUF9JUy45OTEuMTQvMDYvMjAyNgEAAADpcQIAAwAAAAdVUyBHQUFQANKjttn+yd4IKace3P7J3ggwQ0lRLk5ZU0U6QkFILklRX0RSX1JBVElPX1BSSU1BUlkuMjAwMC4xNC8wNi8yMDI2AQAAAOlxAgADAAAAAABMgwTa/sneCP00HNz+yd4IJkNJUS5OWVNFOkJBSC5JUV9HQUFQX0lTLjk5Mi4xNC8wNi8yMDI2AQAAAOlxAgADAAAAB1VTIEdBQVAA0qO22f7J3ggppx7c/sneCC5DSVEuTllTRTpCQUguSVFfRUZGRUNUX1RBWF9SQVRFLjk5MC4xNC8wNi8yMDI2AQAAAOlxAgACAAAABzIyLjQ5NzEBCAAAAAUAAAABMQEAAAAKMTg5MTM0Nzg2OQMAAAADMTYwAgAAAAQ0Mzc2BAAAAAEwBwAAAAk2LzE0LzIwMjYIAAAACTMvMzEvMjAxNgkAAAABMNKjttn+yd4IKace3P7J3ggsQ0lRLk5ZU0U6QkFILklRX0ZJTElOR0RBVEVfSVMuOTkwLjE0LzA2LzIwMjYBAAAA6XECAAUAAAAKMjkvMDUvMjAxOABMgwTa/sneCP00HNz+yd4ILkNJUS5OWVNFOkJBSC5JUV9FRkZFQ1RfVEFYX1JBVEUuOTkxLjE0LzA2LzIwMjYBAAAA6XECAAIAAAAHMzguNzI0MQEIAAAABQAAAAExAQAAAAoxOTY1NzcyNDIy</t>
  </si>
  <si>
    <t>AwAAAAMxNjACAAAABDQzNzYEAAAAATAHAAAACTYvMTQvMjAyNggAAAAJMy8zMS8yMDE3CQAAAAEw0qO22f7J3ggppx7c/sneCCxDSVEuTllTRTpCQUguSVFfRklMSU5HREFURV9JUy45OTEuMTQvMDYvMjAyNgEAAADpcQIABQAAAAoyOC8wNS8yMDE5AEyDBNr+yd4I/TQc3P7J3ggtQ0lRLk5ZU0U6QkFILklRX1JFU1RBVEVNRU5UX0lTLjk5MC4xNC8wNi8yMDI2AQAAAOlxAgADAAAAAk5DANKjttn+yd4IKace3P7J3gguQ0lRLk5ZU0U6QkFILklRX0VGRkVDVF9UQVhfUkFURS45OTIuMTQvMDYvMjAyNgEAAADpcQIAAgAAAAcyOS44NDQ5AQgAAAAFAAAAATEBAAAACjIwMzgwOTEwNzcDAAAAAzE2MAIAAAAENDM3NgQAAAABMAcAAAAJNi8xNC8yMDI2CAAAAAkzLzMxLzIwMTgJAAAAATDSo7bZ/sneCCmnHtz+yd4ILUNJUS5OWVNFOkJBSC5JUV9SRVNUQVRFTUVOVF9JUy45OTEuMTQvMDYvMjAyNgEAAADpcQIAAwAAAAJSUwDSo7bZ/sneCCmnHtz+yd4IOENJUS5OWVNFOkJBSC5JUV9ESVNUUklCVVRBQkxFX0NBU0hfUEFZT1VULjk5MC4xNC8wNi8yMDI2AQAAAOlxAgADAAAAAADSo7bZ/sneCCmnHtz+yd4ILENJUS5OWVNFOkJBSC5JUV9QQVlPVVRfUkFUSU8uMjAwMC4xNC8wNi8yMDI2AQAAAOlxAgACAAAABzMyLjQzMjQBCAAAAAUAAAABMQEAAAALLTE4ODc3MDQzNDEDAAAAAzE2MAIAAAAENDM3NwQAAAAB</t>
  </si>
  <si>
    <t>MAcAAAAJNi8xNC8yMDI2CAAAAAkzLzMxLzIwMjYJAAAAATDSo7bZ/sneCCmnHtz+yd4IOENJUS5OWVNFOkJBSC5JUV9ESVNUUklCVVRBQkxFX0NBU0hfUEFZT1VULjk5MS4xNC8wNi8yMDI2AQAAAOlxAgADAAAAAADSo7bZ/sneCCmnHtz+yd4IL0NJUS5OWVNFOkJBSC5JUV9QRVJJT0RMRU5HVEhfSVMuMjAwMC4xNC8wNi8yMDI2AQAAAOlxAgABAAAAAjEyAEyDBNr+yd4I/TQc3P7J3ggrQ0lRLk5ZU0U6QkFILklRX0NBTENfVFlQRV9JUy45OTAuMTQvMDYvMjAyNgEAAADpcQIAAwAAAANSRVAA0qO22f7J3ggppx7c/sneCDhDSVEuTllTRTpCQUguSVFfRElTVFJJQlVUQUJMRV9DQVNIX1BBWU9VVC45OTIuMTQvMDYvMjAyNgEAAADpcQIAAwAAAAAA0qO22f7J3ggppx7c/sneCCtDSVEuTllTRTpCQUguSVFfRElMVVRfV0VJR0hULjk5MC4xNC8wNi8yMDI2AQAAAOlxAgACAAAACjE0OS43MTkxMzcATIME2v7J3gj9NBzc/sneCBxDSVEuTllTRTpQU04uSVFfQ09NUEFOWV9OQU1FAQAAAAALAwADAAAAE1BhcnNvbnMgQ29ycG9yYXRpb24Aj5L6yP7J3gjDNC3c/sneCB1DSVEuTllTRTpBTVRNLklRX0NPTVBBTllfTkFNRQEAAABVi6YIAwAAABZBbWVudHVtIEhvbGRpbmdzLCBJbmMuAI+S+sj+yd4IpQ8y3P7J3ggdQ0lRLk5ZU0U6TERPUy5JUV9DT01QQU5ZX05BTUUBAAAAlbABAAMAAAAVTGVpZG9zIEhvbGRp</t>
  </si>
  <si>
    <t>bmdzLCBJbmMuAI+S+sj+yd4IpQ8y3P7J3ggdQ0lRLk5ZU0U6Q0FDSS5JUV9DT01QQU5ZX05BTUUBAAAA8WwBAAMAAAAWQ0FDSSBJbnRlcm5hdGlvbmFsIEluYwCPkvrI/sneCPN6NNz+yd4IIUNJUS5OQVNEQVFHUzpJQ0ZJLklRX0NPTVBBTllfTkFNRQEAAAAHdAAAAwAAABdJQ0YgSW50ZXJuYXRpb25hbCwgSW5jLgCPkvrI/sneCPN6NNz+yd4IHENJUS5OWVNFOkZDTi5JUV9DT01QQU5ZX05BTUUBAAAAUnAAAAMAAAAURlRJIENvbnN1bHRpbmcsIEluYy4Aj5L6yP7J3gjR6Tbc/sneCBxDSVEuTllTRTpLQlIuSVFfQ09NUEFOWV9OQU1FAQAAAOqAPwADAAAACUtCUiwgSW5jLgCPkvrI/sneCMIUONz+yd4IIUNJUS5OQVNEQVFHUzpTQUlDLklRX0NPTVBBTllfTkFNRQEAAACwVs8NAwAAAC5TY2llbmNlIEFwcGxpY2F0aW9ucyBJbnRlcm5hdGlvbmFsIENvcnBvcmF0aW9uAI+S+sj+yd4IpQ8y3P7J3ggiQ0lRLk5ZU0U6UFNOLklRX1NIQVJFU09VVFNUQU5ESU5HLgEAAAAACwMAAgAAAAoxMDYuOTc4NTIxAI+S+sj+yd4IwzQt3P7J3ggjQ0lRLk5ZU0U6QU1UTS5JUV9TSEFSRVNPVVRTVEFORElORy4BAAAAVYumCAIAAAAKMjQ0LjMxNjMxOQCPkvrI/sneCKUPMtz+yd4II0NJUS5OWVNFOkxET1MuSVFfU0hBUkVTT1VUU1RBTkRJTkcuAQAAAJWwAQACAAAACjEyNS43ODU0NjYAj5L6yP7J3gilDzLc/sneCCND</t>
  </si>
  <si>
    <t>SVEuTllTRTpDQUNJLklRX1NIQVJFU09VVFNUQU5ESU5HLgEAAADxbAEAAgAAAAkyMi4wOTEzMDUAj5L6yP7J3gjzejTc/sneCCdDSVEuTkFTREFRR1M6SUNGSS5JUV9TSEFSRVNPVVRTVEFORElORy4BAAAAB3QAAAIAAAAIMTguMTA0MTgAj5L6yP7J3gjzejTc/sneCCJDSVEuTllTRTpGQ04uSVFfU0hBUkVTT1VUU1RBTkRJTkcuAQAAAFJwAAACAAAACTI5LjU3MDA0MwCPkvrI/sneCNHpNtz+yd4IJENJUS5OQVNEQVFHUzpJQ0ZJLklRX1lFQVJISUdILi5VU0QuSAEAAAAHdAAAAgAAAAcxMDEuNzA1AI+S+sj+yd4I83o03P7J3ggjQ0lRLk5BU0RBUUdTOklDRkkuSVFfWUVBUkxPVy4uVVNELkgBAAAAB3QAAAIAAAAFNTguODMAj5L6yP7J3gjzejTc/sneCClDSVEuTkFTREFRR1M6SUNGSS5JUV9MQVNUU0FMRVBSSUNFLi5VU0QuSAEAAAAHdAAAAgAAAAU3Mi43NgCPkvrI/sneCPN6NNz+yd4IHkNJUS5OWVNFOkZDTi5JUV9ZRUFSTE9XLi5VU0QuSAEAAABScAAAAgAAAAcxNDAuODM1AI+S+sj+yd4I83o03P7J3ggkQ0lRLk5ZU0U6RkNOLklRX0xBU1RTQUxFUFJJQ0UuLlVTRC5IAQAAAFJwAAACAAAABjE1OC41NwCPkvrI/sneCPN6NNz+yd4IH0NJUS5OWVNFOkZDTi5JUV9ZRUFSSElHSC4uVVNELkgBAAAAUnAAAAIAAAAFMTg5LjMAj5L6yP7J3gjzejTc/sneCB5DSVEuTllTRTpLQlIuSVFfWUVBUkxPVy4u</t>
  </si>
  <si>
    <t>VVNELkgBAAAA6oA/AAIAAAAFMjkuOTQAj5L6yP7J3gjR6Tbc/sneCB9DSVEuTllTRTpLQlIuSVFfWUVBUkhJR0guLlVTRC5IAQAAAOqAPwACAAAABjU0LjM3NQCPkvrI/sneCNHpNtz+yd4IJENJUS5OWVNFOktCUi5JUV9MQVNUU0FMRVBSSUNFLi5VU0QuSAEAAADqgD8AAgAAAAUzNS44NACPkvrI/sneCNHpNtz+yd4IIkNJUS5OWVNFOktCUi5JUV9TSEFSRVNPVVRTVEFORElORy4BAAAA6oA/AAIAAAAKMTI2Ljc4OTk1NwCPkvrI/sneCMIUONz+yd4IIENJUS5OWVNFOkxET1MuSVFfWUVBUkhJR0guLlVTRC5IAQAAAJWwAQACAAAABjIwNS43NwCPkvrI/sneCKUPMtz+yd4IH0NJUS5OWVNFOkxET1MuSVFfWUVBUkxPVy4uVVNELkgBAAAAlbABAAIAAAAFMTIxLjIAj5L6yP7J3gilDzLc/sneCCVDSVEuTllTRTpMRE9TLklRX0xBU1RTQUxFUFJJQ0UuLlVTRC5IAQAAAJWwAQACAAAABjEyMi4xNgCPkvrI/sneCKUPMtz+yd4II0NJUS5OQVNEQVFHUzpTQUlDLklRX1lFQVJMT1cuLlVTRC5IAQAAALBWzw0CAAAABTgxLjA4AI+S+sj+yd4IpQ8y3P7J3ggkQ0lRLk5BU0RBUUdTOlNBSUMuSVFfWUVBUkhJR0guLlVTRC5IAQAAALBWzw0CAAAABjEyMy40MQCPkvrI/sneCKUPMtz+yd4IKUNJUS5OQVNEQVFHUzpTQUlDLklRX0xBU1RTQUxFUFJJQ0UuLlVTRC5IAQAAALBWzw0CAAAABjExMy44MQCPkvrI/sneCKUP</t>
  </si>
  <si>
    <t>Mtz+yd4IJ0NJUS5OQVNEQVFHUzpTQUlDLklRX1NIQVJFU09VVFNUQU5ESU5HLgEAAACwVs8NAgAAAAk0Mi4yNzY4MTkAj5L6yP7J3gilDzLc/sneCCVDSVEuTllTRTpBTVRNLklRX0xBU1RTQUxFUFJJQ0UuLlVTRC5IAQAAAFWLpggCAAAABTIyLjg2AI+S+sj+yd4IwzQt3P7J3gggQ0lRLk5ZU0U6QU1UTS5JUV9ZRUFSSElHSC4uVVNELkgBAAAAVYumCAIAAAAFMzguMTEAj5L6yP7J3gjDNC3c/sneCB9DSVEuTllTRTpBTVRNLklRX1lFQVJMT1cuLlVTRC5IAQAAAFWLpggCAAAABTIxLjExAI+S+sj+yd4IwzQt3P7J3ggkQ0lRLk5ZU0U6UFNOLklRX0xBU1RTQUxFUFJJQ0UuLlVTRC5IAQAAAAALAwACAAAABDU2LjcAj5L6yP7J3gjDNC3c/sneCB9DSVEuTllTRTpQU04uSVFfWUVBUkhJR0guLlVTRC5IAQAAAAALAwACAAAABDg5LjUAj5L6yP7J3gjDNC3c/sneCB5DSVEuTllTRTpQU04uSVFfWUVBUkxPVy4uVVNELkgBAAAAAAsDAAIAAAAFNDguMjMAj5L6yP7J3gjDNC3c/sneCCBDSVEuTllTRTpDQUNJLklRX1lFQVJISUdILi5VU0QuSAEAAADxbAEAAgAAAAU2ODMuNQCPkvrI/sneCKUPMtz+yd4IJUNJUS5OWVNFOkNBQ0kuSVFfTEFTVFNBTEVQUklDRS4uVVNELkgBAAAA8WwBAAIAAAAFNTE5LjQAj5L6yP7J3gilDzLc/sneCB9DSVEuTllTRTpDQUNJLklRX1lFQVJMT1cuLlVTRC5IAQAAAPFsAQACAAAA</t>
  </si>
  <si>
    <t>BjQzOS42NwCPkvrI/sneCKUPMtz+yd4IIkNJUS5OWVNFOlBTTi5JUV9QRV9FWENMX0ZXRC4xMDAwMi4BAAAAAAsDAAIAAAAQMTUuMzg0MzIzMTg0NzQ0OAENAAAABQAAAAE5AQAAAAk2MTA1OTAyOTQCAAAACjEwMDQ0MTY3MTYDAAAABjEwMDMwOQQAAAABMgYAAAABMAcAAAADMTYwCAAAAAEwCQAAAAExCgAAAAEwCwAAAAsxNDgxNjIwNTU3NQwAAAABNw0AAAAJNi8xNS8yMDI2j5L6yP7J3gjDNC3c/sneCCJDSVEuTllTRTpQU04uSVFfUEVfRVhDTF9GV0QuMTAwMDEuAQAAAAALAwACAAAAEDE3LjExMTYwODczMjY1NDUBDQAAAAUAAAABOQEAAAAJNjEwNTkwMjk0AgAAAAoxMDA0NDE2NzE1AwAAAAYxMDAzMDkEAAAAATIGAAAAATAHAAAAAzE2MAgAAAABMAkAAAABMQoAAAABMAsAAAALMTQ4MTYyMDU1OTkMAAAAATcNAAAACTYvMTUvMjAyNo+S+sj+yd4IwzQt3P7J3gglQ0lRLk5ZU0U6UFNOLklRX1RFVl9FQklUREFfRldELjEwMDAyLgEAAAAACwMAAgAAAA8xMC42NDA1MzI3NzA3NTcBDQAAAAUAAAABOQEAAAAJNjEwNTkwMjk0AgAAAAoxMDA0NDE2NzE2AwAAAAYxMDAzMDgEAAAAATIGAAAAATAHAAAAAzE2MAgAAAABMAkAAAABMQoAAAABMAsAAAALMTQ4MTYxNjcwNjQMAAAAATcNAAAACTYvMTUvMjAyNo+S+sj+yd4IwzQt3P7J3gglQ0lRLk5ZU0U6UFNOLklRX1RFVl9FQklUREFfRldELjEwMDAxLgEA</t>
  </si>
  <si>
    <t>AAAACwMAAgAAABAxMS42MDI4MjY4MjcxNTMxAQ0AAAAFAAAAATkBAAAACTYxMDU5MDI5NAIAAAAKMTAwNDQxNjcxNQMAAAAGMTAwMzA4BAAAAAEyBgAAAAEwBwAAAAMxNjAIAAAAATAJAAAAATEKAAAAATALAAAACzE0ODE2MTY3MjUwDAAAAAE3DQAAAAk2LzE1LzIwMjaPkvrI/sneCMM0Ldz+yd4II0NJUS5OWVNFOkFNVE0uSVFfUEVfRVhDTF9GV0QuMTAwMDIuAQAAAFWLpggCAAAAEDguMDcyNjAzOTk3NDU3NDUBDQAAAAUAAAABOQEAAAAKMTg5Nzc2MTAyMwIAAAAHNDk5OTYxNAMAAAAGMTAwMzA5BAAAAAEyBgAAAAEwBwAAAAMxNjAIAAAAATAJAAAAATEKAAAAATALAAAACzE0ODMxMDQ5MDg3DAAAAAE3DQAAAAk2LzE1LzIwMjaPkvrI/sneCLOoL9z+yd4II0NJUS5OWVNFOkFNVE0uSVFfUEVfRVhDTF9GV0QuMTAwMDEuAQAAAFWLpggCAAAAEDkuMTczMzU0NzM1MTUyNDkBDQAAAAUAAAABOQEAAAAKMTg5Nzc2MTAyMwIAAAAHNDk5OTYxMwMAAAAGMTAwMzA5BAAAAAEyBgAAAAEwBwAAAAMxNjAIAAAAATAJAAAAATEKAAAAATALAAAACzE0ODMxMDQ5MDc1DAAAAAE3DQAAAAk2LzE1LzIwMjaPkvrI/sneCLOoL9z+yd4IJkNJUS5OWVNFOkFNVE0uSVFfVEVWX0VCSVREQV9GV0QuMTAwMDIuAQAAAFWLpggCAAAAEDcuNDY1MDgzNjgxMjgwOTcBDQAAAAUAAAABOQEAAAAKMTg5Nzc2MTAyMwIAAAAHNDk5OTYx</t>
  </si>
  <si>
    <t>NAMAAAAGMTAwMzA4BAAAAAEyBgAAAAEwBwAAAAMxNjAIAAAAATAJAAAAATEKAAAAATALAAAACzE0ODMxMDQ4NjY1DAAAAAE3DQAAAAk2LzE1LzIwMjaPkvrI/sneCKUPMtz+yd4IJkNJUS5OWVNFOkFNVE0uSVFfVEVWX0VCSVREQV9GV0QuMTAwMDEuAQAAAFWLpggCAAAAEDguMDQ0NTQ5NzQ3ODQ1MDIBDQAAAAUAAAABOQEAAAAKMTg5Nzc2MTAyMwIAAAAHNDk5OTYxMwMAAAAGMTAwMzA4BAAAAAEyBgAAAAEwBwAAAAMxNjAIAAAAATAJAAAAATEKAAAAATALAAAACzE0ODMxMDQ4NjQxDAAAAAE3DQAAAAk2LzE1LzIwMjaPkvrI/sneCKUPMtz+yd4II0NJUS5OWVNFOkxET1MuSVFfUEVfRVhDTF9GV0QuMTAwMDIuAQAAAJWwAQACAAAAEDkuMjg4NTQwMTAzOTcxNDMBDQAAAAUAAAABOQEAAAAIMjk2MTg4MjYCAAAACjEwMDQ3NDkxMTIDAAAABjEwMDMwOQQAAAABMgYAAAABMAcAAAADMTYwCAAAAAEwCQAAAAExCgAAAAEwCwAAAAsxNDgyMzQ4MjgxNQwAAAABNw0AAAAJNi8xNS8yMDI2j5L6yP7J3gilDzLc/sneCCNDSVEuTllTRTpMRE9TLklRX1BFX0VYQ0xfRldELjEwMDAxLgEAAACVsAEAAgAAABA5LjkwNjAxNjEwNDU3NDMxAQ0AAAAFAAAAATkBAAAACDI5NjE4ODI2AgAAAAoxMDAzODgwMjc0AwAAAAYxMDAzMDkEAAAAATIGAAAAATAHAAAAAzE2MAgAAAABMAkAAAABMQoAAAABMAsAAAALMTQ4MjM0ODI4</t>
  </si>
  <si>
    <t>NTEMAAAAATcNAAAACTYvMTUvMjAyNo+S+sj+yd4IpQ8y3P7J3ggmQ0lRLk5ZU0U6TERPUy5JUV9URVZfRUJJVERBX0ZXRC4xMDAwMi4BAAAAlbABAAIAAAAQOC40MjAxNzA5MDA4Mzk2MQENAAAABQAAAAE5AQAAAAgyOTYxODgyNgIAAAAKMTAwNDc0OTExMgMAAAAGMTAwMzA4BAAAAAEyBgAAAAEwBwAAAAMxNjAIAAAAATAJAAAAATEKAAAAATALAAAACzE0ODIzNDgyNTAzDAAAAAE3DQAAAAk2LzE1LzIwMjaPkvrI/sneCKUPMtz+yd4IJkNJUS5OWVNFOkxET1MuSVFfVEVWX0VCSVREQV9GV0QuMTAwMDEuAQAAAJWwAQACAAAAEDguODA5MTU3ODI3MzQ3NjIBDQAAAAUAAAABOQEAAAAIMjk2MTg4MjYCAAAACjEwMDM4ODAyNzQDAAAABjEwMDMwOAQAAAABMgYAAAABMAcAAAADMTYwCAAAAAEwCQAAAAExCgAAAAEwCwAAAAsxNDgyMzQ4MjUxNQwAAAABNw0AAAAJNi8xNS8yMDI2j5L6yP7J3gilDzLc/sneCCNDSVEuTllTRTpDQUNJLklRX1BFX0VYQ0xfRldELjEwMDAyLgEAAADxbAEAAgAAABAxNC45NzU1MDY5NDQyNjQyAQ0AAAAFAAAAATkBAAAABzI5NDQ5OTcCAAAACTY1MTc0MjY3OQMAAAAGMTAwMzA5BAAAAAEyBgAAAAEwBwAAAAMxNjAIAAAAATAJAAAAATEKAAAAATALAAAACzE0ODMzMDM5NzQ5DAAAAAE3DQAAAAk2LzE1LzIwMjaPkvrI/sneCPN6NNz+yd4II0NJUS5OWVNFOkNBQ0kuSVFfUEVfRVhD</t>
  </si>
  <si>
    <t>TF9GV0QuMTAwMDEuAQAAAPFsAQACAAAADjE3Ljg5MjMyOTEwMzExAQ0AAAAFAAAAATkBAAAABzI5NDQ5OTcCAAAACTY1MTc0MjY3OAMAAAAGMTAwMzA5BAAAAAEyBgAAAAEwBwAAAAMxNjAIAAAAATAJAAAAATEKAAAAATALAAAACzE0ODMzMDM5NzI5DAAAAAE3DQAAAAk2LzE1LzIwMjaPkvrI/sneCPN6NNz+yd4IJkNJUS5OWVNFOkNBQ0kuSVFfVEVWX0VCSVREQV9GV0QuMTAwMDIuAQAAAPFsAQACAAAAEDExLjkwMjIwNDA3Mzk4MDEBDQAAAAUAAAABOQEAAAAHMjk0NDk5NwIAAAAJNjUxNzQyNjc5AwAAAAYxMDAzMDgEAAAAATIGAAAAATAHAAAAAzE2MAgAAAABMAkAAAABMQoAAAABMAsAAAALMTQ4MDcxMzE1MjYMAAAAATcNAAAACTYvMTUvMjAyNo+S+sj+yd4I83o03P7J3ggmQ0lRLk5ZU0U6Q0FDSS5JUV9URVZfRUJJVERBX0ZXRC4xMDAwMS4BAAAA8WwBAAIAAAAQMTMuNTM2MjcyNDY4Mjg1MgENAAAABQAAAAE5AQAAAAcyOTQ0OTk3AgAAAAk2NTE3NDI2NzgDAAAABjEwMDMwOAQAAAABMgYAAAABMAcAAAADMTYwCAAAAAEwCQAAAAExCgAAAAEwCwAAAAsxNDgzMzAzOTcwNQwAAAABNw0AAAAJNi8xNS8yMDI2j5L6yP7J3gjzejTc/sneCCdDSVEuTkFTREFRR1M6SUNGSS5JUV9QRV9FWENMX0ZXRC4xMDAwMi4BAAAAB3QAAAIAAAAQOS40NzM5NTgzMzMzMzMzMwENAAAABQAAAAE5AQAAAAgyOTM2MDQ4</t>
  </si>
  <si>
    <t>NAIAAAAKMTAwMjM1MzM5MQMAAAAGMTAwMzA5BAAAAAEyBgAAAAEwBwAAAAMxNjAIAAAAATAJAAAAATEKAAAAATALAAAACzE0ODI2Mzk5MzE1DAAAAAE3DQAAAAk2LzE1LzIwMjaPkvrI/sneCPN6NNz+yd4IJ0NJUS5OQVNEQVFHUzpJQ0ZJLklRX1BFX0VYQ0xfRldELjEwMDAxLgEAAAAHdAAAAgAAABAxMC4zNjE3MjAzMDc2MDQ3AQ0AAAAFAAAAATkBAAAACDI5MzYwNDg0AgAAAAoxMDAyMzUzMzkwAwAAAAYxMDAzMDkEAAAAATIGAAAAATAHAAAAAzE2MAgAAAABMAkAAAABMQoAAAABMAsAAAALMTQ4MjYzOTkzMjEMAAAAATcNAAAACTYvMTUvMjAyNo+S+sj+yd4I83o03P7J3ggqQ0lRLk5BU0RBUUdTOklDRkkuSVFfVEVWX0VCSVREQV9GV0QuMTAwMDIuAQAAAAd0AAACAAAAEDguMzM1Mjc3NDI4MzUzNTQBDQAAAAUAAAABOQEAAAAIMjkzNjA0ODQCAAAACjEwMDIzNTMzOTEDAAAABjEwMDMwOAQAAAABMgYAAAABMAcAAAADMTYwCAAAAAEwCQAAAAExCgAAAAEwCwAAAAsxNDgyNjM5OTIzNwwAAAABNw0AAAAJNi8xNS8yMDI2j5L6yP7J3gjzejTc/sneCCpDSVEuTkFTREFRR1M6SUNGSS5JUV9URVZfRUJJVERBX0ZXRC4xMDAwMS4BAAAAB3QAAAIAAAAPOC45MjYxMjM2MzU1Mzc0AQ0AAAAFAAAAATkBAAAACDI5MzYwNDg0AgAAAAoxMDAyMzUzMzkwAwAAAAYxMDAzMDgEAAAAATIGAAAAATAHAAAAAzE2MAgA</t>
  </si>
  <si>
    <t>AAABMAkAAAABMQoAAAABMAsAAAALMTQ4MjYzOTkyNDMMAAAAATcNAAAACTYvMTUvMjAyNo+S+sj+yd4I83o03P7J3ggiQ0lRLk5ZU0U6RkNOLklRX1BFX0VYQ0xfRldELjEwMDAyLgEAAABScAAAAgAAABAxNC4yMjU3NzMyNTc4NDI5AQ0AAAAFAAAAATkBAAAABzI2MTA5MjgCAAAACjEwMDQ3MzMyMjEDAAAABjEwMDMwOQQAAAABMgYAAAABMAcAAAADMTYwCAAAAAEwCQAAAAExCgAAAAEwCwAAAAsxNDgzMjYwMTEyMgwAAAABNw0AAAAJNi8xNS8yMDI2j5L6yP7J3gjR6Tbc/sneCCJDSVEuTllTRTpGQ04uSVFfUEVfRVhDTF9GV0QuMTAwMDEuAQAAAFJwAAACAAAAEDE3LjEzMDM1MDMzMTE2NjYBDQAAAAUAAAABOQEAAAAHMjYxMDkyOAIAAAAKMTAwNDczMzIyMAMAAAAGMTAwMzA5BAAAAAEyBgAAAAEwBwAAAAMxNjAIAAAAATAJAAAAATEKAAAAATALAAAACzE0ODMyNjAxMTQ2DAAAAAE3DQAAAAk2LzE1LzIwMjaPkvrI/sneCNHpNtz+yd4IJUNJUS5OWVNFOkZDTi5JUV9URVZfRUJJVERBX0ZXRC4xMDAwMi4BAAAAUnAAAAIAAAAQMTEuMTIwNjI1MTIzNDExMQENAAAABQAAAAE5AQAAAAcyNjEwOTI4AgAAAAoxMDA0NzMzMjIxAwAAAAYxMDAzMDgEAAAAATIGAAAAATAHAAAAAzE2MAgAAAABMAkAAAABMQoAAAABMAsAAAALMTQ4MzI2MDA1MTEMAAAAATcNAAAACTYvMTUvMjAyNo+S+sj+yd4I0ek23P7J3ggl</t>
  </si>
  <si>
    <t>Q0lRLk5ZU0U6RkNOLklRX1RFVl9FQklUREFfRldELjEwMDAxLgEAAABScAAAAgAAABAxMi42MDc0MzY4MTE5MDU2AQ0AAAAFAAAAATkBAAAABzI2MTA5MjgCAAAACjEwMDQ3MzMyMjADAAAABjEwMDMwOAQAAAABMgYAAAABMAcAAAADMTYwCAAAAAEwCQAAAAExCgAAAAEwCwAAAAsxNDgzMjYwMDUzNQwAAAABNw0AAAAJNi8xNS8yMDI2j5L6yP7J3gjR6Tbc/sneCCVDSVEuTllTRTpLQlIuSVFfVEVWX0VCSVREQV9GV0QuMTAwMDIuAQAAAOqAPwACAAAAEDYuODg2NzUzMzg4NTI4OTQBDQAAAAUAAAABOQEAAAAIMzAyMzYxOTkCAAAACjEwMDIzNjEzNjYDAAAABjEwMDMwOAQAAAABMgYAAAABMAcAAAADMTYwCAAAAAEwCQAAAAExCgAAAAEwCwAAAAsxNDgxMzA5ODUwNAwAAAABNw0AAAAJNi8xNS8yMDI2j5L6yP7J3gjR6Tbc/sneCCVDSVEuTllTRTpLQlIuSVFfVEVWX0VCSVREQV9GV0QuMTAwMDEuAQAAAOqAPwACAAAAEDYuOTcyNDQ0Mjk1NTg4MzYBDQAAAAUAAAABOQEAAAAIMzAyMzYxOTkCAAAACjEwMDIzNjEzNjUDAAAABjEwMDMwOAQAAAABMgYAAAABMAcAAAADMTYwCAAAAAEwCQAAAAExCgAAAAEwCwAAAAsxNDgxMzA5ODQyNgwAAAABNw0AAAAJNi8xNS8yMDI2j5L6yP7J3gjR6Tbc/sneCCJDSVEuTllTRTpLQlIuSVFfUEVfRVhDTF9GV0QuMTAwMDIuAQAAAOqAPwACAAAAEDguNjM5NDc1NDYwNDE4</t>
  </si>
  <si>
    <t>NDcBDQAAAAUAAAABOQEAAAAIMzAyMzYxOTkCAAAACjEwMDIzNjEzNjYDAAAABjEwMDMwOQQAAAABMgYAAAABMAcAAAADMTYwCAAAAAEwCQAAAAExCgAAAAEwCwAAAAsxNDgxMzA5OTA1NQwAAAABNw0AAAAJNi8xNS8yMDI2j5L6yP7J3gjR6Tbc/sneCCJDSVEuTllTRTpLQlIuSVFfUEVfRVhDTF9GV0QuMTAwMDEuAQAAAOqAPwACAAAADzkuMDQ3NDQzNTQxODMxOAENAAAABQAAAAE5AQAAAAgzMDIzNjE5OQIAAAAKMTAwMjM2MTM2NQMAAAAGMTAwMzA5BAAAAAEyBgAAAAEwBwAAAAMxNjAIAAAAATAJAAAAATEKAAAAATALAAAACzE0ODEzMDk5MTAzDAAAAAE3DQAAAAk2LzE1LzIwMjaPkvrI/sneCNHpNtz+yd4IKkNJUS5OQVNEQVFHUzpTQUlDLklRX1RFVl9FQklUREFfRldELjEwMDAyLgEAAACwVs8NAgAAABA5LjkxMjQ0ODUxMDcxNjU1AQ0AAAAFAAAAATkBAAAACTI0MDQ0NTQyNwIAAAAKMTAwNTkwNjE0NwMAAAAGMTAwMzA4BAAAAAEyBgAAAAEwBwAAAAMxNjAIAAAAATAJAAAAATEKAAAAATALAAAACzE0ODMwNjkxODE2DAAAAAE3DQAAAAk2LzE1LzIwMjaPkvrI/sneCKUPMtz+yd4IKkNJUS5OQVNEQVFHUzpTQUlDLklRX1RFVl9FQklUREFfRldELjEwMDAxLgEAAACwVs8NAgAAABAxMC4wMDExMDM0MzI2OTc5AQ0AAAAFAAAAATkBAAAACTI0MDQ0NTQyNwIAAAAKMTAwMzY3NTcwOAMAAAAGMTAwMzA4</t>
  </si>
  <si>
    <t>BAAAAAEyBgAAAAEwBwAAAAMxNjAIAAAAATAJAAAAATEKAAAAATALAAAACzE0ODMwNjkxNzkyDAAAAAE3DQAAAAk2LzE1LzIwMjaPkvrI/sneCKUPMtz+yd4IJ0NJUS5OQVNEQVFHUzpTQUlDLklRX1BFX0VYQ0xfRldELjEwMDAyLgEAAACwVs8NAgAAABAxMC4zMzg0NTAwMjI4MDA3AQ0AAAAFAAAAATkBAAAACTI0MDQ0NTQyNwIAAAAKMTAwNTkwNjE0NwMAAAAGMTAwMzA5BAAAAAEyBgAAAAEwBwAAAAMxNjAIAAAAATAJAAAAATEKAAAAATALAAAACzE0ODMwNjkyMDYyDAAAAAE3DQAAAAk2LzE1LzIwMjaPkvrI/sneCKUPMtz+yd4IJ0NJUS5OQVNEQVFHUzpTQUlDLklRX1BFX0VYQ0xfRldELjEwMDAxLgEAAACwVs8NAgAAABAxMS4yMTA3NTM0OTczODg3AQ0AAAAFAAAAATkBAAAACTI0MDQ0NTQyNwIAAAAKMTAwMzY3NTcwOAMAAAAGMTAwMzA5BAAAAAEyBgAAAAEwBwAAAAMxNjAIAAAAATAJAAAAATEKAAAAATALAAAACzE0ODMwNjkyMDg2DAAAAAE3DQAAAAk2LzE1LzIwMjaPkvrI/sneCKUPMtz+yd4IJUNJUS5OWVNFOlBTTi5JUV9JTlZFTlRPUllfVFVSTlMuMjAwMC4BAAAAAAsDAAMAAAAAAI+S+sj+yd4IwzQt3P7J3ggeQ0lRLk5ZU0U6UFNOLklRX0FSX1RVUk5TLjIwMDAuAQAAAAALAwACAAAACDMuMDk5MjcyAQgAAAAFAAAAATEBAAAACy0xODkzMDU2NTk2AwAAAAMxNjACAAAABDQwMDEEAAAAATAH</t>
  </si>
  <si>
    <t>AAAACTYvMTQvMjAyNggAAAAJMy8zMS8yMDI2CQAAAAEwj5L6yP7J3gjDNC3c/sneCCdDSVEuTllTRTpQU04uSVFfRklYRURfQVNTRVRfVFVSTlMuMjAwMC4BAAAAAAsDAAIAAAAJMjEuMTY1MzQ1AQgAAAAFAAAAATEBAAAACy0xODkzMDU2NTk2AwAAAAMxNjACAAAABDQwNjYEAAAAATAHAAAACTYvMTQvMjAyNggAAAAJMy8zMS8yMDI2CQAAAAEwj5L6yP7J3gjDNC3c/sneCCFDSVEuTllTRTpQU04uSVFfQVNTRVRfVFVSTlMuMjAwMC4BAAAAAAsDAAIAAAAIMS4wOTk1NDEBCAAAAAUAAAABMQEAAAALLTE4OTMwNTY1OTYDAAAAAzE2MAIAAAAENDE3NwQAAAABMAcAAAAJNi8xNC8yMDI2CAAAAAkzLzMxLzIwMjYJAAAAATCPkvrI/sneCMM0Ldz+yd4IJUNJUS5OWVNFOlBTTi5JUV9DQVNIX0NPTlZFUlNJT04uMjAwMC4BAAAAAAsDAAMAAAAAAI+S+sj+yd4IwzQt3P7J3ggmQ0lRLk5ZU0U6UFNOLklRX0RBWVNfUEFZQUJMRV9PVVQuMjAwMC4BAAAAAAsDAAIAAAAIMTkuNTQzNTYBCAAAAAUAAAABMQEAAAALLTE4OTMwNTY1OTYDAAAAAzE2MAIAAAAENDE4MwQAAAABMAcAAAAJNi8xNC8yMDI2CAAAAAkzLzMxLzIwMjYJAAAAATCPkvrI/sneCMM0Ldz+yd4IKENJUS5OWVNFOlBTTi5JUV9EQVlTX0lOVkVOVE9SWV9PVVQuMjAwMC4BAAAAAAsDAAMAAAAAAI+S+sj+yd4IwzQt3P7J3ggkQ0lRLk5ZU0U6UFNOLklR</t>
  </si>
  <si>
    <t>X0RBWVNfU0FMRVNfT1VULjIwMDAuAQAAAAALAwACAAAACTExNy43Njk0NAEIAAAABQAAAAExAQAAAAstMTg5MzA1NjU5NgMAAAADMTYwAgAAAAQ0MDQyBAAAAAEwBwAAAAk2LzE0LzIwMjYIAAAACTMvMzEvMjAyNgkAAAABMI+S+sj+yd4IwzQt3P7J3gggQ0lRLk5ZU0U6UFNOLklRX1FVSUNLX1JBVElPLjUwMC4BAAAAAAsDAAIAAAAIMS42MjM3MDYBCAAAAAUAAAABMQEAAAALLTE4OTMwNTY4OTgDAAAAAzE2MAIAAAAENDEyMQQAAAABMAcAAAAJNi8xNC8yMDI2CAAAAAkzLzMxLzIwMjYJAAAAATCPkvrI/sneCMM0Ldz+yd4IIkNJUS5OWVNFOlBTTi5JUV9DVVJSRU5UX1JBVElPLjUwMC4BAAAAAAsDAAIAAAAIMS43NTMzMzgBCAAAAAUAAAABMQEAAAALLTE4OTMwNTY4OTgDAAAAAzE2MAIAAAAENDAzMAQAAAABMAcAAAAJNi8xNC8yMDI2CAAAAAkzLzMxLzIwMjYJAAAAATCPkvrI/sneCMM0Ldz+yd4ILUNJUS5OWVNFOlBTTi5JUV9SRVRVUk5fSU5WRVNURURfQ0FQSVRBTC4yMDAwLgEAAAAACwMAAgAAAAY1LjQzOTYAj5L6yP7J3gjDNC3c/sneCCNDSVEuTllTRTpQU04uSVFfUkVUVVJOX0FTU0VUUy4yMDAwLgEAAAAACwMAAgAAAAY0LjM5ODMBCAAAAAUAAAABMQEAAAALLTE4OTMwNTY1OTYDAAAAAzE2MAIAAAAENDE3OAQAAAABMAcAAAAJNi8xNC8yMDI2CAAAAAkzLzMxLzIwMjYJAAAAATCPkvrI/sne</t>
  </si>
  <si>
    <t>CMM0Ldz+yd4II0NJUS5OWVNFOlBTTi5JUV9SRVRVUk5fRVFVSVRZLjIwMDAuAQAAAAALAwACAAAABzExLjAyOTkBCAAAAAUAAAABMQEAAAALLTE4OTMwNTY1OTYDAAAAAzE2MAIAAAAENDEyOAQAAAABMAcAAAAJNi8xNC8yMDI2CAAAAAkzLzMxLzIwMjYJAAAAATCPkvrI/sneCMM0Ldz+yd4IJ0NJUS5OWVNFOlBTTi5JUV9UT1RBTF9ERUJUX0NBUElUQUwuNTAwLgEAAAAACwMAAgAAAAczNy45NzAyAQgAAAAFAAAAATEBAAAACy0xODkzMDU2ODk4AwAAAAMxNjACAAAABDQxODYEAAAAATAHAAAACTYvMTQvMjAyNggAAAAJMy8zMS8yMDI2CQAAAAEwj5L6yP7J3gjDNC3c/sneCCZDSVEuTllTRTpQU04uSVFfVE9UQUxfREVCVF9FUVVJVFkuNTAwLgEAAAAACwMAAgAAAAc2MS4yMTI5AQgAAAAFAAAAATEBAAAACy0xODkzMDU2ODk4AwAAAAMxNjACAAAABDQwMzQEAAAAATAHAAAACTYvMTQvMjAyNggAAAAJMy8zMS8yMDI2CQAAAAEwj5L6yP7J3gjDNC3c/sneCCZDSVEuTllTRTpQU04uSVFfRUJJVERBX0NBUEVYX0lOVC4yMDAwLgEAAAAACwMAAgAAAAg5LjcwODc2MwEIAAAABQAAAAExAQAAAAstMTg5MzA1NjU5NgMAAAADMTYwAgAAAAQ0MTkxBAAAAAEwBwAAAAk2LzE0LzIwMjYIAAAACTMvMzEvMjAyNgkAAAABMI+S+sj+yd4IwzQt3P7J3gggQ0lRLk5ZU0U6UFNOLklRX0VCSVREQV9JTlQuMjAwMC4BAAAA</t>
  </si>
  <si>
    <t>AAsDAAIAAAAJMTAuOTY5NjQ4AQgAAAAFAAAAATEBAAAACy0xODkzMDU2NTk2AwAAAAMxNjACAAAABDQxOTAEAAAAATAHAAAACTYvMTQvMjAyNggAAAAJMy8zMS8yMDI2CQAAAAEwj5L6yP7J3gjDNC3c/sneCCVDSVEuTllTRTpQU04uSVFfTkVUX0RFQlRfRUJJVERBLjIwMDAuAQAAAAALAwACAAAACDIuMzIxNDE0AQgAAAAFAAAAATEBAAAACy0xODkzMDU2NTk2AwAAAAMxNjACAAAABDQxOTMEAAAAATAHAAAACTYvMTQvMjAyNggAAAAJMy8zMS8yMDI2CQAAAAEwj5L6yP7J3gjDNC3c/sneCCdDSVEuTllTRTpQU04uSVFfVE9UQUxfREVCVF9FQklUREEuMjAwMC4BAAAAAAsDAAIAAAAIMi43OTE1MzMBCAAAAAUAAAABMQEAAAALLTE4OTMwNTY1OTYDAAAAAzE2MAIAAAAENDE5MgQAAAABMAcAAAAJNi8xNC8yMDI2CAAAAAkzLzMxLzIwMjYJAAAAATCPkvrI/sneCMM0Ldz+yd4IKENJUS5OWVNFOlBTTi5JUV9FUFNfMVlSX0FOTl9HUk9XVEguMjAwMC4BAAAAAAsDAAIAAAAILTEwLjk5MzcBCAAAAAUAAAABMQEAAAALLTE4OTMwNTY1OTYDAAAAAzE2MAIAAAAENDIwMAQAAAABMAcAAAAJNi8xNC8yMDI2CAAAAAkzLzMxLzIwMjYJAAAAATCPkvrI/sneCMM0Ldz+yd4IKENJUS5OWVNFOlBTTi5JUV9FUFNfMVlSX0FOTl9HUk9XVEguMTAwMC4BAAAAAAsDAAIAAAAFMy42NzUBCAAAAAUAAAABMQEAAAALLTE5MDcy</t>
  </si>
  <si>
    <t>ODA4MDUDAAAAAzE2MAIAAAAENDIwMAQAAAABMAcAAAAJNi8xNC8yMDI2CAAAAAoxMi8zMS8yMDI1CQAAAAEwj5L6yP7J3gjDNC3c/sneCCZDSVEuTllTRTpQU04uSVFfRVBTXzNZUl9BTk5fQ0FHUi4yMDAwLgEAAAAACwMAAgAAAAczMS45MTEzAQgAAAAFAAAAATEBAAAACy0xODkzMDU2NTk2AwAAAAMxNjACAAAABDQyMjYEAAAAATAHAAAACTYvMTQvMjAyNggAAAAJMy8zMS8yMDI2CQAAAAEwj5L6yP7J3gjDNC3c/sneCCZDSVEuTllTRTpQU04uSVFfRVBTXzVZUl9BTk5fQ0FHUi4yMDAwLgEAAAAACwMAAgAAAAcxOC4xMTA4AQgAAAAFAAAAATEBAAAACy0xODkzMDU2NTk2AwAAAAMxNjACAAAABDQyMzkEAAAAATAHAAAACTYvMTQvMjAyNggAAAAJMy8zMS8yMDI2CQAAAAEwj5L6yP7J3gjDNC3c/sneCCtDSVEuTllTRTpQU04uSVFfRUJJVERBXzFZUl9BTk5fR1JPV1RILjIwMDAuAQAAAAALAwACAAAABy02Ljg2NjkBCAAAAAUAAAABMQEAAAALLTE4OTMwNTY1OTYDAAAAAzE2MAIAAAAENDE5NgQAAAABMAcAAAAJNi8xNC8yMDI2CAAAAAkzLzMxLzIwMjYJAAAAATCPkvrI/sneCMM0Ldz+yd4IK0NJUS5OWVNFOlBTTi5JUV9FQklUREFfMVlSX0FOTl9HUk9XVEguMTAwMC4BAAAAAAsDAAIAAAAHLTQuMTgxNwEIAAAABQAAAAExAQAAAAstMTkwNzI4MDgwNQMAAAADMTYwAgAAAAQ0MTk2BAAAAAEwBwAAAAk2</t>
  </si>
  <si>
    <t>LzE0LzIwMjYIAAAACjEyLzMxLzIwMjUJAAAAATCPkvrI/sneCMM0Ldz+yd4IKUNJUS5OWVNFOlBTTi5JUV9FQklUREFfM1lSX0FOTl9DQUdSLjIwMDAuAQAAAAALAwACAAAABzE3LjYzODEBCAAAAAUAAAABMQEAAAALLTE4OTMwNTY1OTYDAAAAAzE2MAIAAAAENDIyMgQAAAABMAcAAAAJNi8xNC8yMDI2CAAAAAkzLzMxLzIwMjYJAAAAATCPkvrI/sneCMM0Ldz+yd4IKUNJUS5OWVNFOlBTTi5JUV9FQklUREFfNVlSX0FOTl9DQUdSLjIwMDAuAQAAAAALAwACAAAABzE0LjAyNDEBCAAAAAUAAAABMQEAAAALLTE4OTMwNTY1OTYDAAAAAzE2MAIAAAAENDIzNQQAAAABMAcAAAAJNi8xNC8yMDI2CAAAAAkzLzMxLzIwMjYJAAAAATCPkvrI/sneCMM0Ldz+yd4ILkNJUS5OWVNFOlBTTi5JUV9UT1RBTF9SRVZfMVlSX0FOTl9HUk9XVEguMjAwMC4BAAAAAAsDAAIAAAAHLTYuOTE2NgEIAAAABQAAAAExAQAAAAstMTg5MzA1NjU5NgMAAAADMTYwAgAAAAQ0MTk0BAAAAAEwBwAAAAk2LzE0LzIwMjYIAAAACTMvMzEvMjAyNgkAAAABMI+S+sj+yd4IwzQt3P7J3gguQ0lRLk5ZU0U6UFNOLklRX1RPVEFMX1JFVl8xWVJfQU5OX0dST1dUSC4xMDAwLgEAAAAACwMAAgAAAAYtNS43MjMBCAAAAAUAAAABMQEAAAALLTE5MDcyODA4MDUDAAAAAzE2MAIAAAAENDE5NAQAAAABMAcAAAAJNi8xNC8yMDI2CAAAAAoxMi8zMS8yMDI1</t>
  </si>
  <si>
    <t>CQAAAAEwj5L6yP7J3gjDNC3c/sneCCxDSVEuTllTRTpQU04uSVFfVE9UQUxfUkVWXzNZUl9BTk5fQ0FHUi4yMDAwLgEAAAAACwMAAgAAAAcxMi41NDg5AQgAAAAFAAAAATEBAAAACy0xODkzMDU2NTk2AwAAAAMxNjACAAAABDQyMjAEAAAAATAHAAAACTYvMTQvMjAyNggAAAAJMy8zMS8yMDI2CQAAAAEwj5L6yP7J3gjDNC3c/sneCCxDSVEuTllTRTpQU04uSVFfVE9UQUxfUkVWXzVZUl9BTk5fQ0FHUi4yMDAwLgEAAAAACwMAAgAAAAcxMC41MTIxAQgAAAAFAAAAATEBAAAACy0xODkzMDU2NTk2AwAAAAMxNjACAAAABDQyMzMEAAAAATAHAAAACTYvMTQvMjAyNggAAAAJMy8zMS8yMDI2CQAAAAEwj5L6yP7J3gjDNC3c/sneCB9DSVEuTllTRTpQU04uSVFfTklfTUFSR0lOLjIwMDAuAQAAAAALAwACAAAABjMuNjE2MgEIAAAABQAAAAExAQAAAAstMTg5MzA1NjU5NgMAAAADMTYwAgAAAAQ0MDk0BAAAAAEwBwAAAAk2LzE0LzIwMjYIAAAACTMvMzEvMjAyNgkAAAABMI+S+sj+yd4IwzQt3P7J3ggfQ0lRLk5ZU0U6UFNOLklRX05JX01BUkdJTi4xMDAwLgEAAAAACwMAAgAAAAYzLjc4ODkBCAAAAAUAAAABMQEAAAALLTE5MDcyODA4MDUDAAAAAzE2MAIAAAAENDA5NAQAAAABMAcAAAAJNi8xNC8yMDI2CAAAAAoxMi8zMS8yMDI1CQAAAAEwj5L6yP7J3gjDNC3c/sneCB5DSVEuTllTRTpQU04uSVFfTklfTUFSR0lO</t>
  </si>
  <si>
    <t>Ljk5OS4BAAAAAAsDAAIAAAAGMy40ODE5AQgAAAAFAAAAATEBAAAACy0xOTA3MjgwODA3AwAAAAMxNjACAAAABDQwOTQEAAAAATAHAAAACTYvMTQvMjAyNggAAAAKMTIvMzEvMjAyNAkAAAABMI+S+sj+yd4IwzQt3P7J3ggeQ0lRLk5ZU0U6UFNOLklRX05JX01BUkdJTi45OTguAQAAAAALAwACAAAABjIuOTYwOAEIAAAABQAAAAExAQAAAAstMTkwNzI4MDgxMgMAAAADMTYwAgAAAAQ0MDk0BAAAAAEwBwAAAAk2LzE0LzIwMjYIAAAACjEyLzMxLzIwMjMJAAAAATCPkvrI/sneCMM0Ldz+yd4II0NJUS5OWVNFOlBTTi5JUV9FQklUREFfTUFSR0lOLjIwMDAuAQAAAAALAwACAAAABjguMzEyMwEIAAAABQAAAAExAQAAAAstMTg5MzA1NjU5NgMAAAADMTYwAgAAAAQ0MDQ3BAAAAAEwBwAAAAk2LzE0LzIwMjYIAAAACTMvMzEvMjAyNgkAAAABMI+S+sj+yd4IwzQt3P7J3ggjQ0lRLk5ZU0U6UFNOLklRX0VCSVREQV9NQVJHSU4uMTAwMC4BAAAAAAsDAAIAAAAGOC4zMzgzAQgAAAAFAAAAATEBAAAACy0xOTA3MjgwODA1AwAAAAMxNjACAAAABDQwNDcEAAAAATAHAAAACTYvMTQvMjAyNggAAAAKMTIvMzEvMjAyNQkAAAABMI+S+sj+yd4IwzQt3P7J3ggiQ0lRLk5ZU0U6UFNOLklRX0VCSVREQV9NQVJHSU4uOTk5LgEAAAAACwMAAgAAAAY4LjIwNDEBCAAAAAUAAAABMQEAAAALLTE5MDcyODA4MDcDAAAAAzE2MAIAAAAE</t>
  </si>
  <si>
    <t>NDA0NwQAAAABMAcAAAAJNi8xNC8yMDI2CAAAAAoxMi8zMS8yMDI0CQAAAAEwj5L6yP7J3gjDNC3c/sneCCJDSVEuTllTRTpQU04uSVFfRUJJVERBX01BUkdJTi45OTguAQAAAAALAwACAAAABjguNDU2NwEIAAAABQAAAAExAQAAAAstMTkwNzI4MDgxMgMAAAADMTYwAgAAAAQ0MDQ3BAAAAAEwBwAAAAk2LzE0LzIwMjYIAAAACjEyLzMxLzIwMjMJAAAAATCPkvrI/sneCMM0Ldz+yd4IIkNJUS5OWVNFOlBTTi5JUV9HUk9TU19NQVJHSU4uMjAwMC4BAAAAAAsDAAIAAAAHMjIuNzczNAEIAAAABQAAAAExAQAAAAstMTg5MzA1NjU5NgMAAAADMTYwAgAAAAQ0MDc0BAAAAAEwBwAAAAk2LzE0LzIwMjYIAAAACTMvMzEvMjAyNgkAAAABMI+S+sj+yd4IwzQt3P7J3ggiQ0lRLk5ZU0U6UFNOLklRX0dST1NTX01BUkdJTi4xMDAwLgEAAAAACwMAAgAAAAcyMi40OTMzAQgAAAAFAAAAATEBAAAACy0xOTA3MjgwODA1AwAAAAMxNjACAAAABDQwNzQEAAAAATAHAAAACTYvMTQvMjAyNggAAAAKMTIvMzEvMjAyNQkAAAABMI+S+sj+yd4IwzQt3P7J3gghQ0lRLk5ZU0U6UFNOLklRX0dST1NTX01BUkdJTi45OTkuAQAAAAALAwACAAAABzIwLjgzNDEBCAAAAAUAAAABMQEAAAALLTE5MDcyODA4MDcDAAAAAzE2MAIAAAAENDA3NAQAAAABMAcAAAAJNi8xNC8yMDI2CAAAAAoxMi8zMS8yMDI0CQAAAAEwj5L6yP7J3gjDNC3c/sne</t>
  </si>
  <si>
    <t>CCFDSVEuTllTRTpQU04uSVFfR1JPU1NfTUFSR0lOLjk5OC4BAAAAAAsDAAIAAAAHMjIuMTU4MQEIAAAABQAAAAExAQAAAAstMTkwNzI4MDgxMgMAAAADMTYwAgAAAAQ0MDc0BAAAAAEwBwAAAAk2LzE0LzIwMjYIAAAACjEyLzMxLzIwMjMJAAAAATCPkvrI/sneCMM0Ldz+yd4IIENJUS5OWVNFOlBTTi5JUV9QRVJJT0REQVRFLjIwMDAuAQAAAAALAwAFAAAACjMxLzAzLzIwMjYAj5L6yP7J3gjDNC3c/sneCCBDSVEuTllTRTpQU04uSVFfUEVSSU9EREFURS4xMDAwLgEAAAAACwMABQAAAAozMS8xMi8yMDI1AI+S+sj+yd4IwzQt3P7J3ggmQ0lRLk5ZU0U6QU1UTS5JUV9JTlZFTlRPUllfVFVSTlMuMjAwMC4BAAAAVYumCAMAAAAAAI+S+sj+yd4IwzQt3P7J3ggfQ0lRLk5ZU0U6QU1UTS5JUV9BUl9UVVJOUy4yMDAwLgEAAABVi6YIAgAAAAg1LjY3NDcyNQEIAAAABQAAAAExAQAAAAstMTg4OTg5MzEzNAMAAAADMTYwAgAAAAQ0MDAxBAAAAAEwBwAAAAk2LzE0LzIwMjYIAAAACDQvMy8yMDI2CQAAAAEwj5L6yP7J3gjDNC3c/sneCChDSVEuTllTRTpBTVRNLklRX0ZJWEVEX0FTU0VUX1RVUk5TLjIwMDAuAQAAAFWLpggCAAAACjExOS4zMzYxMzQBCAAAAAUAAAABMQEAAAALLTE4ODk4OTMxMzQDAAAAAzE2MAIAAAAENDA2NgQAAAABMAcAAAAJNi8xNC8yMDI2CAAAAAg0LzMvMjAyNgkAAAABMI+S+sj+yd4IwzQt</t>
  </si>
  <si>
    <t>3P7J3ggiQ0lRLk5ZU0U6QU1UTS5JUV9BU1NFVF9UVVJOUy4yMDAwLgEAAABVi6YIAgAAAAgxLjIyNTU5NwEIAAAABQAAAAExAQAAAAstMTg4OTg5MzEzNAMAAAADMTYwAgAAAAQ0MTc3BAAAAAEwBwAAAAk2LzE0LzIwMjYIAAAACDQvMy8yMDI2CQAAAAEwj5L6yP7J3gjDNC3c/sneCCZDSVEuTllTRTpBTVRNLklRX0NBU0hfQ09OVkVSU0lPTi4yMDAwLgEAAABVi6YIAwAAAAAAj5L6yP7J3gjDNC3c/sneCCdDSVEuTllTRTpBTVRNLklRX0RBWVNfUEFZQUJMRV9PVVQuMjAwMC4BAAAAVYumCAIAAAAJMjQuOTI1NjM1AQgAAAAFAAAAATEBAAAACy0xODg5ODkzMTM0AwAAAAMxNjACAAAABDQxODMEAAAAATAHAAAACTYvMTQvMjAyNggAAAAINC8zLzIwMjYJAAAAATCPkvrI/sneCMM0Ldz+yd4IKUNJUS5OWVNFOkFNVE0uSVFfREFZU19JTlZFTlRPUllfT1VULjIwMDAuAQAAAFWLpggDAAAAAACPkvrI/sneCMM0Ldz+yd4IJUNJUS5OWVNFOkFNVE0uSVFfREFZU19TQUxFU19PVVQuMjAwMC4BAAAAVYumCAIAAAAJNjUuMzc3MjQ5AQgAAAAFAAAAATEBAAAACy0xODg5ODkzMTM0AwAAAAMxNjACAAAABDQwNDIEAAAAATAHAAAACTYvMTQvMjAyNggAAAAINC8zLzIwMjYJAAAAATCPkvrI/sneCMM0Ldz+yd4IIUNJUS5OWVNFOkFNVE0uSVFfUVVJQ0tfUkFUSU8uNTAwLgEAAABVi6YIAgAAAAgxLjM5ODM3MwEIAAAA</t>
  </si>
  <si>
    <t>BQAAAAExAQAAAAstMTg4OTg5ODMxMwMAAAADMTYwAgAAAAQ0MTIxBAAAAAEwBwAAAAk2LzE0LzIwMjYIAAAACDQvMy8yMDI2CQAAAAEwj5L6yP7J3gjDNC3c/sneCCNDSVEuTllTRTpBTVRNLklRX0NVUlJFTlRfUkFUSU8uNTAwLgEAAABVi6YIAgAAAAgxLjQ4MTEwOQEIAAAABQAAAAExAQAAAAstMTg4OTg5ODMxMwMAAAADMTYwAgAAAAQ0MDMwBAAAAAEwBwAAAAk2LzE0LzIwMjYIAAAACDQvMy8yMDI2CQAAAAEwj5L6yP7J3gjDNC3c/sneCC5DSVEuTllTRTpBTVRNLklRX1JFVFVSTl9JTlZFU1RFRF9DQVBJVEFMLjIwMDAuAQAAAFWLpggCAAAABjEuNjU0NwCPkvrI/sneCMM0Ldz+yd4IJENJUS5OWVNFOkFNVE0uSVFfUkVUVVJOX0FTU0VUUy4yMDAwLgEAAABVi6YIAgAAAAYyLjg2NDIBCAAAAAUAAAABMQEAAAALLTE4ODk4OTMxMzQDAAAAAzE2MAIAAAAENDE3OAQAAAABMAcAAAAJNi8xNC8yMDI2CAAAAAg0LzMvMjAyNgkAAAABMI+S+sj+yd4IwzQt3P7J3ggkQ0lRLk5ZU0U6QU1UTS5JUV9SRVRVUk5fRVFVSVRZLjIwMDAuAQAAAFWLpggCAAAABjIuODg3MwEIAAAABQAAAAExAQAAAAstMTg4OTg5MzEzNAMAAAADMTYwAgAAAAQ0MTI4BAAAAAEwBwAAAAk2LzE0LzIwMjYIAAAACDQvMy8yMDI2CQAAAAEwj5L6yP7J3gjDNC3c/sneCChDSVEuTllTRTpBTVRNLklRX1RPVEFMX0RFQlRfQ0FQSVRBTC41</t>
  </si>
  <si>
    <t>MDAuAQAAAFWLpggCAAAABjQ1LjUwNAEIAAAABQAAAAExAQAAAAstMTg4OTg5ODMxMwMAAAADMTYwAgAAAAQ0MTg2BAAAAAEwBwAAAAk2LzE0LzIwMjYIAAAACDQvMy8yMDI2CQAAAAEwj5L6yP7J3gjDNC3c/sneCCdDSVEuTllTRTpBTVRNLklRX1RPVEFMX0RFQlRfRVFVSVRZLjUwMC4BAAAAVYumCAIAAAAHODMuNDk5OAEIAAAABQAAAAExAQAAAAstMTg4OTg5ODMxMwMAAAADMTYwAgAAAAQ0MDM0BAAAAAEwBwAAAAk2LzE0LzIwMjYIAAAACDQvMy8yMDI2CQAAAAEwj5L6yP7J3gjDNC3c/sneCCdDSVEuTllTRTpBTVRNLklRX0VCSVREQV9DQVBFWF9JTlQuMjAwMC4BAAAAVYumCAIAAAAIMy4yODc0NjEBCAAAAAUAAAABMQEAAAALLTE4ODk4OTMxMzQDAAAAAzE2MAIAAAAENDE5MQQAAAABMAcAAAAJNi8xNC8yMDI2CAAAAAg0LzMvMjAyNgkAAAABMI+S+sj+yd4IwzQt3P7J3gghQ0lRLk5ZU0U6QU1UTS5JUV9FQklUREFfSU5ULjIwMDAuAQAAAFWLpggCAAAACDMuMzY2OTcyAQgAAAAFAAAAATEBAAAACy0xODg5ODkzMTM0AwAAAAMxNjACAAAABDQxOTAEAAAAATAHAAAACTYvMTQvMjAyNggAAAAINC8zLzIwMjYJAAAAATCPkvrI/sneCMM0Ldz+yd4IJkNJUS5OWVNFOkFNVE0uSVFfTkVUX0RFQlRfRUJJVERBLjIwMDAuAQAAAFWLpggCAAAACDMuMTc4MDE5AQgAAAAFAAAAATEBAAAACy0xODg5ODkzMTM0</t>
  </si>
  <si>
    <t>AwAAAAMxNjACAAAABDQxOTMEAAAAATAHAAAACTYvMTQvMjAyNggAAAAINC8zLzIwMjYJAAAAATCPkvrI/sneCMM0Ldz+yd4IKENJUS5OWVNFOkFNVE0uSVFfVE9UQUxfREVCVF9FQklUREEuMjAwMC4BAAAAVYumCAIAAAAIMy41NjY3NTcBCAAAAAUAAAABMQEAAAALLTE4ODk4OTMxMzQDAAAAAzE2MAIAAAAENDE5MgQAAAABMAcAAAAJNi8xNC8yMDI2CAAAAAg0LzMvMjAyNgkAAAABMI+S+sj+yd4IwzQt3P7J3ggpQ0lRLk5ZU0U6QU1UTS5JUV9FUFNfMVlSX0FOTl9HUk9XVEguMjAwMC4BAAAAVYumCAIAAAAINTI3LjU3MTYBCAAAAAUAAAABMQEAAAALLTE4ODk4OTMxMzQDAAAAAzE2MAIAAAAENDIwMAQAAAABMAcAAAAJNi8xNC8yMDI2CAAAAAg0LzMvMjAyNgkAAAABMI+S+sj+yd4IwzQt3P7J3ggpQ0lRLk5ZU0U6QU1UTS5JUV9FUFNfMVlSX0FOTl9HUk9XVEguMTAwMC4BAAAAVYumCAMAAAACTk0BCAAAAAUAAAABMQEAAAALLTE5MTQzMTAxNDEDAAAAAzE2MAIAAAAENDIwMAQAAAABMAcAAAAJNi8xNC8yMDI2CAAAAAkxMC8zLzIwMjUJAAAAATCPkvrI/sneCMM0Ldz+yd4IJ0NJUS5OWVNFOkFNVE0uSVFfRVBTXzNZUl9BTk5fQ0FHUi4yMDAwLgEAAABVi6YIAwAAAAAAj5L6yP7J3gjDNC3c/sneCCdDSVEuTllTRTpBTVRNLklRX0VQU181WVJfQU5OX0NBR1IuMjAwMC4BAAAAVYumCAMAAAAAAI+S+sj+</t>
  </si>
  <si>
    <t>yd4IwzQt3P7J3ggsQ0lRLk5ZU0U6QU1UTS5JUV9FQklUREFfMVlSX0FOTl9HUk9XVEguMjAwMC4BAAAAVYumCAIAAAAHMzUuMDQ3MwEIAAAABQAAAAExAQAAAAstMTg4OTg5MzEzNAMAAAADMTYwAgAAAAQ0MTk2BAAAAAEwBwAAAAk2LzE0LzIwMjYIAAAACDQvMy8yMDI2CQAAAAEwj5L6yP7J3gjDNC3c/sneCCxDSVEuTllTRTpBTVRNLklRX0VCSVREQV8xWVJfQU5OX0dST1dUSC4xMDAwLgEAAABVi6YIAgAAAAY5OC4wNjIBCAAAAAUAAAABMQEAAAALLTE5MTQzMTAxNDEDAAAAAzE2MAIAAAAENDE5NgQAAAABMAcAAAAJNi8xNC8yMDI2CAAAAAkxMC8zLzIwMjUJAAAAATCPkvrI/sneCMM0Ldz+yd4IKkNJUS5OWVNFOkFNVE0uSVFfRUJJVERBXzNZUl9BTk5fQ0FHUi4yMDAwLgEAAABVi6YIAwAAAAAAj5L6yP7J3gjDNC3c/sneCCpDSVEuTllTRTpBTVRNLklRX0VCSVREQV81WVJfQU5OX0NBR1IuMjAwMC4BAAAAVYumCAMAAAAAAI+S+sj+yd4IwzQt3P7J3ggvQ0lRLk5ZU0U6QU1UTS5JUV9UT1RBTF9SRVZfMVlSX0FOTl9HUk9XVEguMjAwMC4BAAAAVYumCAIAAAAHMjYuMTA3OAEIAAAABQAAAAExAQAAAAstMTg4OTg5MzEzNAMAAAADMTYwAgAAAAQ0MTk0BAAAAAEwBwAAAAk2LzE0LzIwMjYIAAAACDQvMy8yMDI2CQAAAAEwj5L6yP7J3gjDNC3c/sneCC9DSVEuTllTRTpBTVRNLklRX1RPVEFMX1JFVl8x</t>
  </si>
  <si>
    <t>WVJfQU5OX0dST1dUSC4xMDAwLgEAAABVi6YIAgAAAAc3MS41OTAzAQgAAAAFAAAAATEBAAAACy0xOTE0MzEwMTQxAwAAAAMxNjACAAAABDQxOTQEAAAAATAHAAAACTYvMTQvMjAyNggAAAAJMTAvMy8yMDI1CQAAAAEwj5L6yP7J3gjDNC3c/sneCC1DSVEuTllTRTpBTVRNLklRX1RPVEFMX1JFVl8zWVJfQU5OX0NBR1IuMjAwMC4BAAAAVYumCAMAAAAAAI+S+sj+yd4IwzQt3P7J3ggtQ0lRLk5ZU0U6QU1UTS5JUV9UT1RBTF9SRVZfNVlSX0FOTl9DQUdSLjIwMDAuAQAAAFWLpggDAAAAAACPkvrI/sneCMM0Ldz+yd4IIENJUS5OWVNFOkFNVE0uSVFfTklfTUFSR0lOLjIwMDAuAQAAAFWLpggCAAAABjEuMDQyMQEIAAAABQAAAAExAQAAAAstMTg4OTg5MzEzNAMAAAADMTYwAgAAAAQ0MDk0BAAAAAEwBwAAAAk2LzE0LzIwMjYIAAAACDQvMy8yMDI2CQAAAAEwj5L6yP7J3gizqC/c/sneCCBDSVEuTllTRTpBTVRNLklRX05JX01BUkdJTi4xMDAwLgEAAABVi6YIAgAAAAYwLjQ1ODUBCAAAAAUAAAABMQEAAAALLTE5MTQzMTAxNDEDAAAAAzE2MAIAAAAENDA5NAQAAAABMAcAAAAJNi8xNC8yMDI2CAAAAAkxMC8zLzIwMjUJAAAAATCPkvrI/sneCLOoL9z+yd4IH0NJUS5OWVNFOkFNVE0uSVFfTklfTUFSR0lOLjk5OS4BAAAAVYumCAIAAAAHLTAuOTc3NQEIAAAABQAAAAExAQAAAAstMTkxNDMxMDExNgMAAAADMTYw</t>
  </si>
  <si>
    <t>AgAAAAQ0MDk0BAAAAAEwBwAAAAk2LzE0LzIwMjYIAAAACTkvMjcvMjAyNAkAAAABMI+S+sj+yd4Is6gv3P7J3ggfQ0lRLk5ZU0U6QU1UTS5JUV9OSV9NQVJHSU4uOTk4LgEAAABVi6YIAgAAAActMy45OTIzAQgAAAAFAAAAATEBAAAACy0xOTE0MzEwMTI5AwAAAAMxNjACAAAABDQwOTQEAAAAATAHAAAACTYvMTQvMjAyNggAAAAJOS8yOS8yMDIzCQAAAAEwj5L6yP7J3gizqC/c/sneCCRDSVEuTllTRTpBTVRNLklRX0VCSVREQV9NQVJHSU4uMjAwMC4BAAAAVYumCAIAAAAGNy4wMjc2AQgAAAAFAAAAATEBAAAACy0xODg5ODkzMTM0AwAAAAMxNjACAAAABDQwNDcEAAAAATAHAAAACTYvMTQvMjAyNggAAAAINC8zLzIwMjYJAAAAATCPkvrI/sneCLOoL9z+yd4IJENJUS5OWVNFOkFNVE0uSVFfRUJJVERBX01BUkdJTi4xMDAwLgEAAABVi6YIAgAAAAY3LjEwMDYBCAAAAAUAAAABMQEAAAALLTE5MTQzMTAxNDEDAAAAAzE2MAIAAAAENDA0NwQAAAABMAcAAAAJNi8xNC8yMDI2CAAAAAkxMC8zLzIwMjUJAAAAATCPkvrI/sneCLOoL9z+yd4II0NJUS5OWVNFOkFNVE0uSVFfRUJJVERBX01BUkdJTi45OTkuAQAAAFWLpggCAAAABjYuMTUxNgEIAAAABQAAAAExAQAAAAstMTkxNDMxMDExNgMAAAADMTYwAgAAAAQ0MDQ3BAAAAAEwBwAAAAk2LzE0LzIwMjYIAAAACTkvMjcvMjAyNAkAAAABMI+S+sj+yd4Is6gv3P7J</t>
  </si>
  <si>
    <t>3ggjQ0lRLk5ZU0U6QU1UTS5JUV9FQklUREFfTUFSR0lOLjk5OC4BAAAAVYumCAIAAAAGNy4wMDU3AQgAAAAFAAAAATEBAAAACy0xOTE0MzEwMTI5AwAAAAMxNjACAAAABDQwNDcEAAAAATAHAAAACTYvMTQvMjAyNggAAAAJOS8yOS8yMDIzCQAAAAEwj5L6yP7J3gizqC/c/sneCCNDSVEuTllTRTpBTVRNLklRX0dST1NTX01BUkdJTi4yMDAwLgEAAABVi6YIAgAAAAcxMC40OTIyAQgAAAAFAAAAATEBAAAACy0xODg5ODkzMTM0AwAAAAMxNjACAAAABDQwNzQEAAAAATAHAAAACTYvMTQvMjAyNggAAAAINC8zLzIwMjYJAAAAATCPkvrI/sneCLOoL9z+yd4II0NJUS5OWVNFOkFNVE0uSVFfR1JPU1NfTUFSR0lOLjEwMDAuAQAAAFWLpggCAAAABzEwLjc0ODIBCAAAAAUAAAABMQEAAAALLTE5MTQzMTAxNDEDAAAAAzE2MAIAAAAENDA3NAQAAAABMAcAAAAJNi8xNC8yMDI2CAAAAAkxMC8zLzIwMjUJAAAAATCPkvrI/sneCLOoL9z+yd4IIkNJUS5OWVNFOkFNVE0uSVFfR1JPU1NfTUFSR0lOLjk5OS4BAAAAVYumCAIAAAAHMTAuMDM4MQEIAAAABQAAAAExAQAAAAstMTkxNDMxMDExNgMAAAADMTYwAgAAAAQ0MDc0BAAAAAEwBwAAAAk2LzE0LzIwMjYIAAAACTkvMjcvMjAyNAkAAAABMI+S+sj+yd4Is6gv3P7J3ggiQ0lRLk5ZU0U6QU1UTS5JUV9HUk9TU19NQVJHSU4uOTk4LgEAAABVi6YIAgAAAAcxMC40NTEzAQgA</t>
  </si>
  <si>
    <t>AAAFAAAAATEBAAAACy0xOTE0MzEwMTI5AwAAAAMxNjACAAAABDQwNzQEAAAAATAHAAAACTYvMTQvMjAyNggAAAAJOS8yOS8yMDIzCQAAAAEwj5L6yP7J3gizqC/c/sneCCFDSVEuTllTRTpBTVRNLklRX1BFUklPRERBVEUuMjAwMC4BAAAAVYumCAUAAAAKMDMvMDQvMjAyNgCPkvrI/sneCKUPMtz+yd4IIUNJUS5OWVNFOkFNVE0uSVFfUEVSSU9EREFURS4xMDAwLgEAAABVi6YIBQAAAAowMy8xMC8yMDI1AI+S+sj+yd4IpQ8y3P7J3ggmQ0lRLk5ZU0U6TERPUy5JUV9JTlZFTlRPUllfVFVSTlMuMjAwMC4BAAAAlbABAAIAAAAJNDEuNjU3MzkzAQgAAAAFAAAAATEBAAAACy0xODkxNTUyODY2AwAAAAMxNjACAAAABDQwODIEAAAAATAHAAAACTYvMTQvMjAyNggAAAAINC8zLzIwMjYJAAAAATCPkvrI/sneCKUPMtz+yd4IH0NJUS5OWVNFOkxET1MuSVFfQVJfVFVSTlMuMjAwMC4BAAAAlbABAAIAAAAINS44NDA1NzkBCAAAAAUAAAABMQEAAAALLTE4OTE1NTI4NjYDAAAAAzE2MAIAAAAENDAwMQQAAAABMAcAAAAJNi8xNC8yMDI2CAAAAAg0LzMvMjAyNgkAAAABMI+S+sj+yd4IpQ8y3P7J3ggoQ0lRLk5ZU0U6TERPUy5JUV9GSVhFRF9BU1NFVF9UVVJOUy4yMDAwLgEAAACVsAEAAgAAAAkxMS40MTE5MTkBCAAAAAUAAAABMQEAAAALLTE4OTE1NTI4NjYDAAAAAzE2MAIAAAAENDA2NgQAAAABMAcAAAAJNi8xNC8y</t>
  </si>
  <si>
    <t>MDI2CAAAAAg0LzMvMjAyNgkAAAABMI+S+sj+yd4IpQ8y3P7J3ggiQ0lRLk5ZU0U6TERPUy5JUV9BU1NFVF9UVVJOUy4yMDAwLgEAAACVsAEAAgAAAAgxLjIxMjQ5NgEIAAAABQAAAAExAQAAAAstMTg5MTU1Mjg2NgMAAAADMTYwAgAAAAQ0MTc3BAAAAAEwBwAAAAk2LzE0LzIwMjYIAAAACDQvMy8yMDI2CQAAAAEwj5L6yP7J3gilDzLc/sneCCZDSVEuTllTRTpMRE9TLklRX0NBU0hfQ09OVkVSU0lPTi4yMDAwLgEAAACVsAEAAgAAAAkyNS42ODQ5MzIBCAAAAAUAAAABMQEAAAALLTE4OTE1NTI4NjYDAAAAAzE2MAIAAAAENDE4NAQAAAABMAcAAAAJNi8xNC8yMDI2CAAAAAg0LzMvMjAyNgkAAAABMI+S+sj+yd4IpQ8y3P7J3ggnQ0lRLk5ZU0U6TERPUy5JUV9EQVlTX1BBWUFCTEVfT1VULjIwMDAuAQAAAJWwAQACAAAACTQ1LjM3NTE0OAEIAAAABQAAAAExAQAAAAstMTg5MTU1Mjg2NgMAAAADMTYwAgAAAAQ0MTgzBAAAAAEwBwAAAAk2LzE0LzIwMjYIAAAACDQvMy8yMDI2CQAAAAEwj5L6yP7J3gilDzLc/sneCClDSVEuTllTRTpMRE9TLklRX0RBWVNfSU5WRU5UT1JZX09VVC4yMDAwLgEAAACVsAEAAgAAAAc4LjczNzgyAQgAAAAFAAAAATEBAAAACy0xODkxNTUyODY2AwAAAAMxNjACAAAABDQwMzUEAAAAATAHAAAACTYvMTQvMjAyNggAAAAINC8zLzIwMjYJAAAAATCPkvrI/sneCKUPMtz+yd4IJUNJUS5O</t>
  </si>
  <si>
    <t>WVNFOkxET1MuSVFfREFZU19TQUxFU19PVVQuMjAwMC4BAAAAlbABAAIAAAAINjIuMzIyMjYBCAAAAAUAAAABMQEAAAALLTE4OTE1NTI4NjYDAAAAAzE2MAIAAAAENDA0MgQAAAABMAcAAAAJNi8xNC8yMDI2CAAAAAg0LzMvMjAyNgkAAAABMI+S+sj+yd4IpQ8y3P7J3gghQ0lRLk5ZU0U6TERPUy5JUV9RVUlDS19SQVRJTy41MDAuAQAAAJWwAQACAAAACDEuMTA1NjQ3AQgAAAAFAAAAATEBAAAACy0xODkxNTU0MTY5AwAAAAMxNjACAAAABDQxMjEEAAAAATAHAAAACTYvMTQvMjAyNggAAAAINC8zLzIwMjYJAAAAATCPkvrI/sneCKUPMtz+yd4II0NJUS5OWVNFOkxET1MuSVFfQ1VSUkVOVF9SQVRJTy41MDAuAQAAAJWwAQACAAAABzEuMzk2ODkBCAAAAAUAAAABMQEAAAALLTE4OTE1NTQxNjkDAAAAAzE2MAIAAAAENDAzMAQAAAABMAcAAAAJNi8xNC8yMDI2CAAAAAg0LzMvMjAyNgkAAAABMI+S+sj+yd4IpQ8y3P7J3gguQ0lRLk5ZU0U6TERPUy5JUV9SRVRVUk5fSU5WRVNURURfQ0FQSVRBTC4yMDAwLgEAAACVsAEAAgAAAAcxMC44ODYzAI+S+sj+yd4IpQ8y3P7J3ggkQ0lRLk5ZU0U6TERPUy5JUV9SRVRVUk5fQVNTRVRTLjIwMDAuAQAAAJWwAQACAAAABjkuMjMxNQEIAAAABQAAAAExAQAAAAstMTg5MTU1Mjg2NgMAAAADMTYwAgAAAAQ0MTc4BAAAAAEwBwAAAAk2LzE0LzIwMjYIAAAACDQvMy8yMDI2CQAA</t>
  </si>
  <si>
    <t>AAEwj5L6yP7J3gilDzLc/sneCCRDSVEuTllTRTpMRE9TLklRX1JFVFVSTl9FUVVJVFkuMjAwMC4BAAAAlbABAAIAAAAHMzAuNTc4NgEIAAAABQAAAAExAQAAAAstMTg5MTU1Mjg2NgMAAAADMTYwAgAAAAQ0MTI4BAAAAAEwBwAAAAk2LzE0LzIwMjYIAAAACDQvMy8yMDI2CQAAAAEwj5L6yP7J3gilDzLc/sneCChDSVEuTllTRTpMRE9TLklRX1RPVEFMX0RFQlRfQ0FQSVRBTC41MDAuAQAAAJWwAQACAAAABzU3LjgyODEBCAAAAAUAAAABMQEAAAALLTE4OTE1NTQxNjkDAAAAAzE2MAIAAAAENDE4NgQAAAABMAcAAAAJNi8xNC8yMDI2CAAAAAg0LzMvMjAyNgkAAAABMI+S+sj+yd4IpQ8y3P7J3ggnQ0lRLk5ZU0U6TERPUy5JUV9UT1RBTF9ERUJUX0VRVUlUWS41MDAuAQAAAJWwAQACAAAACDEzNy4xMjQ4AQgAAAAFAAAAATEBAAAACy0xODkxNTU0MTY5AwAAAAMxNjACAAAABDQwMzQEAAAAATAHAAAACTYvMTQvMjAyNggAAAAINC8zLzIwMjYJAAAAATCPkvrI/sneCKUPMtz+yd4IJ0NJUS5OWVNFOkxET1MuSVFfRUJJVERBX0NBUEVYX0lOVC4yMDAwLgEAAACVsAEAAgAAAAkxMS43MTQxMTQBCAAAAAUAAAABMQEAAAALLTE4OTE1NTI4NjYDAAAAAzE2MAIAAAAENDE5MQQAAAABMAcAAAAJNi8xNC8yMDI2CAAAAAg0LzMvMjAyNgkAAAABMI+S+sj+yd4IpQ8y3P7J3gghQ0lRLk5ZU0U6TERPUy5JUV9FQklUREFf</t>
  </si>
  <si>
    <t>SU5ULjIwMDAuAQAAAJWwAQACAAAACTEyLjM1NTI2MwEIAAAABQAAAAExAQAAAAstMTg5MTU1Mjg2NgMAAAADMTYwAgAAAAQ0MTkwBAAAAAEwBwAAAAk2LzE0LzIwMjYIAAAACDQvMy8yMDI2CQAAAAEwj5L6yP7J3gilDzLc/sneCCZDSVEuTllTRTpMRE9TLklRX05FVF9ERUJUX0VCSVREQS4yMDAwLgEAAACVsAEAAgAAAAcyLjUxMjE1AQgAAAAFAAAAATEBAAAACy0xODkxNTUyODY2AwAAAAMxNjACAAAABDQxOTMEAAAAATAHAAAACTYvMTQvMjAyNggAAAAINC8zLzIwMjYJAAAAATCPkvrI/sneCKUPMtz+yd4IKENJUS5OWVNFOkxET1MuSVFfVE9UQUxfREVCVF9FQklUREEuMjAwMC4BAAAAlbABAAIAAAAIMi42ODkxMjcBCAAAAAUAAAABMQEAAAALLTE4OTE1NTI4NjYDAAAAAzE2MAIAAAAENDE5MgQAAAABMAcAAAAJNi8xNC8yMDI2CAAAAAg0LzMvMjAyNgkAAAABMI+S+sj+yd4IpQ8y3P7J3ggpQ0lRLk5ZU0U6TERPUy5JUV9FUFNfMVlSX0FOTl9HUk9XVEguMjAwMC4BAAAAlbABAAIAAAAHMTAuMjkxNAEIAAAABQAAAAExAQAAAAstMTg5MTU1Mjg2NgMAAAADMTYwAgAAAAQ0MjAwBAAAAAEwBwAAAAk2LzE0LzIwMjYIAAAACDQvMy8yMDI2CQAAAAEwj5L6yP7J3gilDzLc/sneCClDSVEuTllTRTpMRE9TLklRX0VQU18xWVJfQU5OX0dST1dUSC4xMDAwLgEAAACVsAEAAgAAAAcyMC44MjQyAQgAAAAFAAAA</t>
  </si>
  <si>
    <t>ATEBAAAACy0xOTA2MDgwMzg3AwAAAAMxNjACAAAABDQyMDAEAAAAATAHAAAACTYvMTQvMjAyNggAAAAIMS8yLzIwMjYJAAAAATCPkvrI/sneCKUPMtz+yd4IJ0NJUS5OWVNFOkxET1MuSVFfRVBTXzNZUl9BTk5fQ0FHUi4yMDAwLgEAAACVsAEAAgAAAAczMC44NTEzAQgAAAAFAAAAATEBAAAACy0xODkxNTUyODY2AwAAAAMxNjACAAAABDQyMjYEAAAAATAHAAAACTYvMTQvMjAyNggAAAAINC8zLzIwMjYJAAAAATCPkvrI/sneCKUPMtz+yd4IJ0NJUS5OWVNFOkxET1MuSVFfRVBTXzVZUl9BTk5fQ0FHUi4yMDAwLgEAAACVsAEAAgAAAAUxNy4wMwEIAAAABQAAAAExAQAAAAstMTg5MTU1Mjg2NgMAAAADMTYwAgAAAAQ0MjM5BAAAAAEwBwAAAAk2LzE0LzIwMjYIAAAACDQvMy8yMDI2CQAAAAEwj5L6yP7J3gilDzLc/sneCCxDSVEuTllTRTpMRE9TLklRX0VCSVREQV8xWVJfQU5OX0dST1dUSC4yMDAwLgEAAACVsAEAAgAAAAY4LjI4ODIBCAAAAAUAAAABMQEAAAALLTE4OTE1NTI4NjYDAAAAAzE2MAIAAAAENDE5NgQAAAABMAcAAAAJNi8xNC8yMDI2CAAAAAg0LzMvMjAyNgkAAAABMI+S+sj+yd4IpQ8y3P7J3ggsQ0lRLk5ZU0U6TERPUy5JUV9FQklUREFfMVlSX0FOTl9HUk9XVEguMTAwMC4BAAAAlbABAAIAAAAHMTMuNTM5MQEIAAAABQAAAAExAQAAAAstMTkwNjA4MDM4NwMAAAADMTYwAgAAAAQ0MTk2BAAA</t>
  </si>
  <si>
    <t>AAEwBwAAAAk2LzE0LzIwMjYIAAAACDEvMi8yMDI2CQAAAAEwj5L6yP7J3gilDzLc/sneCCpDSVEuTllTRTpMRE9TLklRX0VCSVREQV8zWVJfQU5OX0NBR1IuMjAwMC4BAAAAlbABAAIAAAAHMTguMzgyOAEIAAAABQAAAAExAQAAAAstMTg5MTU1Mjg2NgMAAAADMTYwAgAAAAQ0MjIyBAAAAAEwBwAAAAk2LzE0LzIwMjYIAAAACDQvMy8yMDI2CQAAAAEwj5L6yP7J3gilDzLc/sneCCpDSVEuTllTRTpMRE9TLklRX0VCSVREQV81WVJfQU5OX0NBR1IuMjAwMC4BAAAAlbABAAIAAAAHMTAuNzQ3NAEIAAAABQAAAAExAQAAAAstMTg5MTU1Mjg2NgMAAAADMTYwAgAAAAQ0MjM1BAAAAAEwBwAAAAk2LzE0LzIwMjYIAAAACDQvMy8yMDI2CQAAAAEwj5L6yP7J3gilDzLc/sneCC9DSVEuTllTRTpMRE9TLklRX1RPVEFMX1JFVl8xWVJfQU5OX0dST1dUSC4yMDAwLgEAAACVsAEAAgAAAAYyLjM0NDYBCAAAAAUAAAABMQEAAAALLTE4OTE1NTI4NjYDAAAAAzE2MAIAAAAENDE5NAQAAAABMAcAAAAJNi8xNC8yMDI2CAAAAAg0LzMvMjAyNgkAAAABMI+S+sj+yd4IpQ8y3P7J3ggvQ0lRLk5ZU0U6TERPUy5JUV9UT1RBTF9SRVZfMVlSX0FOTl9HUk9XVEguMTAwMC4BAAAAlbABAAIAAAAGMy4wNzI4AQgAAAAFAAAAATEBAAAACy0xOTA2MDgwMzg3AwAAAAMxNjACAAAABDQxOTQEAAAAATAHAAAACTYvMTQvMjAyNggAAAAIMS8y</t>
  </si>
  <si>
    <t>LzIwMjYJAAAAATCPkvrI/sneCKUPMtz+yd4ILUNJUS5OWVNFOkxET1MuSVFfVE9UQUxfUkVWXzNZUl9BTk5fQ0FHUi4yMDAwLgEAAACVsAEAAgAAAAY1Ljg3NTgBCAAAAAUAAAABMQEAAAALLTE4OTE1NTI4NjYDAAAAAzE2MAIAAAAENDIyMAQAAAABMAcAAAAJNi8xNC8yMDI2CAAAAAg0LzMvMjAyNgkAAAABMI+S+sj+yd4IpQ8y3P7J3ggtQ0lRLk5ZU0U6TERPUy5JUV9UT1RBTF9SRVZfNVlSX0FOTl9DQUdSLjIwMDAuAQAAAJWwAQACAAAABjYuMzc0MwEIAAAABQAAAAExAQAAAAstMTg5MTU1Mjg2NgMAAAADMTYwAgAAAAQ0MjMzBAAAAAEwBwAAAAk2LzE0LzIwMjYIAAAACDQvMy8yMDI2CQAAAAEwj5L6yP7J3gilDzLc/sneCCBDSVEuTllTRTpMRE9TLklRX05JX01BUkdJTi4yMDAwLgEAAACVsAEAAgAAAAY4LjE1MzkBCAAAAAUAAAABMQEAAAALLTE4OTE1NTI4NjYDAAAAAzE2MAIAAAAENDA5NAQAAAABMAcAAAAJNi8xNC8yMDI2CAAAAAg0LzMvMjAyNgkAAAABMI+S+sj+yd4IpQ8y3P7J3gggQ0lRLk5ZU0U6TERPUy5JUV9OSV9NQVJHSU4uMTAwMC4BAAAAlbABAAIAAAAGOC40MzEzAQgAAAAFAAAAATEBAAAACy0xOTA2MDgwMzg3AwAAAAMxNjACAAAABDQwOTQEAAAAATAHAAAACTYvMTQvMjAyNggAAAAIMS8yLzIwMjYJAAAAATCPkvrI/sneCKUPMtz+yd4IH0NJUS5OWVNFOkxET1MuSVFfTklfTUFS</t>
  </si>
  <si>
    <t>R0lOLjk5OS4BAAAAlbABAAIAAAAGNy41MjYxAQgAAAAFAAAAATEBAAAACy0xOTA2MDgwMzgxAwAAAAMxNjACAAAABDQwOTQEAAAAATAHAAAACTYvMTQvMjAyNggAAAAIMS8zLzIwMjUJAAAAATCPkvrI/sneCKUPMtz+yd4IH0NJUS5OWVNFOkxET1MuSVFfTklfTUFSR0lOLjk5OC4BAAAAlbABAAIAAAAFMS4yODkBCAAAAAUAAAABMQEAAAALLTE5MDYwODAzNzgDAAAAAzE2MAIAAAAENDA5NAQAAAABMAcAAAAJNi8xNC8yMDI2CAAAAAoxMi8yOS8yMDIzCQAAAAEwj5L6yP7J3gilDzLc/sneCCRDSVEuTllTRTpMRE9TLklRX0VCSVREQV9NQVJHSU4uMjAwMC4BAAAAlbABAAIAAAAHMTMuODcyNgEIAAAABQAAAAExAQAAAAstMTg5MTU1Mjg2NgMAAAADMTYwAgAAAAQ0MDQ3BAAAAAEwBwAAAAk2LzE0LzIwMjYIAAAACDQvMy8yMDI2CQAAAAEwj5L6yP7J3gilDzLc/sneCCRDSVEuTllTRTpMRE9TLklRX0VCSVREQV9NQVJHSU4uMTAwMC4BAAAAlbABAAIAAAAHMTMuOTE2MwEIAAAABQAAAAExAQAAAAstMTkwNjA4MDM4NwMAAAADMTYwAgAAAAQ0MDQ3BAAAAAEwBwAAAAk2LzE0LzIwMjYIAAAACDEvMi8yMDI2CQAAAAEwj5L6yP7J3gilDzLc/sneCCNDSVEuTllTRTpMRE9TLklRX0VCSVREQV9NQVJHSU4uOTk5LgEAAACVsAEAAgAAAAcxMi42MzM1AQgAAAAFAAAAATEBAAAACy0xOTA2MDgwMzgxAwAAAAMxNjAC</t>
  </si>
  <si>
    <t>AAAABDQwNDcEAAAAATAHAAAACTYvMTQvMjAyNggAAAAIMS8zLzIwMjUJAAAAATCPkvrI/sneCKUPMtz+yd4II0NJUS5OWVNFOkxET1MuSVFfRUJJVERBX01BUkdJTi45OTguAQAAAJWwAQACAAAABzEwLjU3NzcBCAAAAAUAAAABMQEAAAALLTE5MDYwODAzNzgDAAAAAzE2MAIAAAAENDA0NwQAAAABMAcAAAAJNi8xNC8yMDI2CAAAAAoxMi8yOS8yMDIzCQAAAAEwj5L6yP7J3gilDzLc/sneCCNDSVEuTllTRTpMRE9TLklRX0dST1NTX01BUkdJTi4yMDAwLgEAAACVsAEAAgAAAAcxNy45MDYzAQgAAAAFAAAAATEBAAAACy0xODkxNTUyODY2AwAAAAMxNjACAAAABDQwNzQEAAAAATAHAAAACTYvMTQvMjAyNggAAAAINC8zLzIwMjYJAAAAATCPkvrI/sneCKUPMtz+yd4II0NJUS5OWVNFOkxET1MuSVFfR1JPU1NfTUFSR0lOLjEwMDAuAQAAAJWwAQACAAAABzE4LjA0NDcBCAAAAAUAAAABMQEAAAALLTE5MDYwODAzODcDAAAAAzE2MAIAAAAENDA3NAQAAAABMAcAAAAJNi8xNC8yMDI2CAAAAAgxLzIvMjAyNgkAAAABMI+S+sj+yd4IpQ8y3P7J3ggiQ0lRLk5ZU0U6TERPUy5JUV9HUk9TU19NQVJHSU4uOTk5LgEAAACVsAEAAgAAAAcxNi43OTI3AQgAAAAFAAAAATEBAAAACy0xOTA2MDgwMzgxAwAAAAMxNjACAAAABDQwNzQEAAAAATAHAAAACTYvMTQvMjAyNggAAAAIMS8zLzIwMjUJAAAAATCPkvrI/sneCKUPMtz+</t>
  </si>
  <si>
    <t>yd4IIkNJUS5OWVNFOkxET1MuSVFfR1JPU1NfTUFSR0lOLjk5OC4BAAAAlbABAAIAAAAHMTQuNTM1NQEIAAAABQAAAAExAQAAAAstMTkwNjA4MDM3OAMAAAADMTYwAgAAAAQ0MDc0BAAAAAEwBwAAAAk2LzE0LzIwMjYIAAAACjEyLzI5LzIwMjMJAAAAATCPkvrI/sneCKUPMtz+yd4IIUNJUS5OWVNFOkxET1MuSVFfUEVSSU9EREFURS4yMDAwLgEAAACVsAEABQAAAAowMy8wNC8yMDI2AI+S+sj+yd4IpQ8y3P7J3gghQ0lRLk5ZU0U6TERPUy5JUV9QRVJJT0REQVRFLjEwMDAuAQAAAJWwAQAFAAAACjAyLzAxLzIwMjYAj5L6yP7J3gilDzLc/sneCCZDSVEuTllTRTpDQUNJLklRX0lOVkVOVE9SWV9UVVJOUy4yMDAwLgEAAADxbAEAAgAAAAkzOC44OTc0OTYBCAAAAAUAAAABMQEAAAALLTE4OTQ5ODQwNzkDAAAAAzE2MAIAAAAENDA4MgQAAAABMAcAAAAJNi8xNC8yMDI2CAAAAAkzLzMxLzIwMjYJAAAAATCPkvrI/sneCKUPMtz+yd4IH0NJUS5OWVNFOkNBQ0kuSVFfQVJfVFVSTlMuMjAwMC4BAAAA8WwBAAIAAAAINi42OTA0OTEBCAAAAAUAAAABMQEAAAALLTE4OTQ5ODQwNzkDAAAAAzE2MAIAAAAENDAwMQQAAAABMAcAAAAJNi8xNC8yMDI2CAAAAAkzLzMxLzIwMjYJAAAAATCPkvrI/sneCKUPMtz+yd4IKENJUS5OWVNFOkNBQ0kuSVFfRklYRURfQVNTRVRfVFVSTlMuMjAwMC4BAAAA8WwBAAIAAAAJMTQuNDA5</t>
  </si>
  <si>
    <t>NTE0AQgAAAAFAAAAATEBAAAACy0xODk0OTg0MDc5AwAAAAMxNjACAAAABDQwNjYEAAAAATAHAAAACTYvMTQvMjAyNggAAAAJMy8zMS8yMDI2CQAAAAEwj5L6yP7J3gilDzLc/sneCCJDSVEuTllTRTpDQUNJLklRX0FTU0VUX1RVUk5TLjIwMDAuAQAAAPFsAQACAAAACDAuOTA3OTgxAQgAAAAFAAAAATEBAAAACy0xODk0OTg0MDc5AwAAAAMxNjACAAAABDQxNzcEAAAAATAHAAAACTYvMTQvMjAyNggAAAAJMy8zMS8yMDI2CQAAAAEwj5L6yP7J3gilDzLc/sneCCZDSVEuTllTRTpDQUNJLklRX0NBU0hfQ09OVkVSU0lPTi4yMDAwLgEAAADxbAEAAgAAAAk0NC40NjI0NzUBCAAAAAUAAAABMQEAAAALLTE4OTQ5ODQwNzkDAAAAAzE2MAIAAAAENDE4NAQAAAABMAcAAAAJNi8xNC8yMDI2CAAAAAkzLzMxLzIwMjYJAAAAATCPkvrI/sneCKUPMtz+yd4IJ0NJUS5OWVNFOkNBQ0kuSVFfREFZU19QQVlBQkxFX09VVC4yMDAwLgEAAADxbAEAAgAAAAgxOS40NzU2NwEIAAAABQAAAAExAQAAAAstMTg5NDk4NDA3OQMAAAADMTYwAgAAAAQ0MTgzBAAAAAEwBwAAAAk2LzE0LzIwMjYIAAAACTMvMzEvMjAyNgkAAAABMI+S+sj+yd4IpQ8y3P7J3ggpQ0lRLk5ZU0U6Q0FDSS5JUV9EQVlTX0lOVkVOVE9SWV9PVVQuMjAwMC4BAAAA8WwBAAIAAAAHOS4zODM0MgEIAAAABQAAAAExAQAAAAstMTg5NDk4NDA3OQMAAAADMTYwAgAA</t>
  </si>
  <si>
    <t>AAQ0MDM1BAAAAAEwBwAAAAk2LzE0LzIwMjYIAAAACTMvMzEvMjAyNgkAAAABMI+S+sj+yd4IpQ8y3P7J3gglQ0lRLk5ZU0U6Q0FDSS5JUV9EQVlTX1NBTEVTX09VVC4yMDAwLgEAAADxbAEAAgAAAAk1NC41NTQ3MjUBCAAAAAUAAAABMQEAAAALLTE4OTQ5ODQwNzkDAAAAAzE2MAIAAAAENDA0MgQAAAABMAcAAAAJNi8xNC8yMDI2CAAAAAkzLzMxLzIwMjYJAAAAATCPkvrI/sneCKUPMtz+yd4IIUNJUS5OWVNFOkNBQ0kuSVFfUVVJQ0tfUkFUSU8uNTAwLgEAAADxbAEAAgAAAAgxLjMxNTUwOAEIAAAABQAAAAExAQAAAAstMTg5NDk4NDQzMwMAAAADMTYwAgAAAAQ0MTIxBAAAAAEwBwAAAAk2LzE0LzIwMjYIAAAACTMvMzEvMjAyNgkAAAABMI+S+sj+yd4IpQ8y3P7J3ggjQ0lRLk5ZU0U6Q0FDSS5JUV9DVVJSRU5UX1JBVElPLjUwMC4BAAAA8WwBAAIAAAAIMS42MTI2MjYBCAAAAAUAAAABMQEAAAALLTE4OTQ5ODQ0MzMDAAAAAzE2MAIAAAAENDAzMAQAAAABMAcAAAAJNi8xNC8yMDI2CAAAAAkzLzMxLzIwMjYJAAAAATCPkvrI/sneCKUPMtz+yd4ILkNJUS5OWVNFOkNBQ0kuSVFfUkVUVVJOX0lOVkVTVEVEX0NBUElUQUwuMjAwMC4BAAAA8WwBAAIAAAAGNi4yODUxAI+S+sj+yd4IpQ8y3P7J3ggkQ0lRLk5ZU0U6Q0FDSS5JUV9SRVRVUk5fQVNTRVRTLjIwMDAuAQAAAPFsAQACAAAABjUuNDY4NwEIAAAABQAA</t>
  </si>
  <si>
    <t>AAExAQAAAAstMTg5NDk4NDA3OQMAAAADMTYwAgAAAAQ0MTc4BAAAAAEwBwAAAAk2LzE0LzIwMjYIAAAACTMvMzEvMjAyNgkAAAABMI+S+sj+yd4IpQ8y3P7J3ggkQ0lRLk5ZU0U6Q0FDSS5JUV9SRVRVUk5fRVFVSVRZLjIwMDAuAQAAAPFsAQACAAAABzEzLjQ0ODcBCAAAAAUAAAABMQEAAAALLTE4OTQ5ODQwNzkDAAAAAzE2MAIAAAAENDEyOAQAAAABMAcAAAAJNi8xNC8yMDI2CAAAAAkzLzMxLzIwMjYJAAAAATCPkvrI/sneCKUPMtz+yd4IKENJUS5OWVNFOkNBQ0kuSVFfVE9UQUxfREVCVF9DQVBJVEFMLjUwMC4BAAAA8WwBAAIAAAAHNTYuNzUwOQEIAAAABQAAAAExAQAAAAstMTg5NDk4NDQzMwMAAAADMTYwAgAAAAQ0MTg2BAAAAAEwBwAAAAk2LzE0LzIwMjYIAAAACTMvMzEvMjAyNgkAAAABMI+S+sj+yd4IpQ8y3P7J3ggnQ0lRLk5ZU0U6Q0FDSS5JUV9UT1RBTF9ERUJUX0VRVUlUWS41MDAuAQAAAPFsAQACAAAACDEzMS4yMTg5AQgAAAAFAAAAATEBAAAACy0xODk0OTg0NDMzAwAAAAMxNjACAAAABDQwMzQEAAAAATAHAAAACTYvMTQvMjAyNggAAAAJMy8zMS8yMDI2CQAAAAEwj5L6yP7J3gilDzLc/sneCCdDSVEuTllTRTpDQUNJLklRX0VCSVREQV9DQVBFWF9JTlQuMjAwMC4BAAAA8WwBAAIAAAAINS45MDQ0MDcBCAAAAAUAAAABMQEAAAALLTE4OTQ5ODQwNzkDAAAAAzE2MAIAAAAENDE5MQQAAAAB</t>
  </si>
  <si>
    <t>MAcAAAAJNi8xNC8yMDI2CAAAAAkzLzMxLzIwMjYJAAAAATCPkvrI/sneCKUPMtz+yd4IIUNJUS5OWVNFOkNBQ0kuSVFfRUJJVERBX0lOVC4yMDAwLgEAAADxbAEAAgAAAAg2LjM2ODk2NAEIAAAABQAAAAExAQAAAAstMTg5NDk4NDA3OQMAAAADMTYwAgAAAAQ0MTkwBAAAAAEwBwAAAAk2LzE0LzIwMjYIAAAACTMvMzEvMjAyNgkAAAABMI+S+sj+yd4IpQ8y3P7J3ggmQ0lRLk5ZU0U6Q0FDSS5JUV9ORVRfREVCVF9FQklUREEuMjAwMC4BAAAA8WwBAAIAAAAINC41MzExNzYBCAAAAAUAAAABMQEAAAALLTE4OTQ5ODQwNzkDAAAAAzE2MAIAAAAENDE5MwQAAAABMAcAAAAJNi8xNC8yMDI2CAAAAAkzLzMxLzIwMjYJAAAAATCPkvrI/sneCKUPMtz+yd4IKENJUS5OWVNFOkNBQ0kuSVFfVE9UQUxfREVCVF9FQklUREEuMjAwMC4BAAAA8WwBAAIAAAAINC42NjM3NDQBCAAAAAUAAAABMQEAAAALLTE4OTQ5ODQwNzkDAAAAAzE2MAIAAAAENDE5MgQAAAABMAcAAAAJNi8xNC8yMDI2CAAAAAkzLzMxLzIwMjYJAAAAATCPkvrI/sneCKUPMtz+yd4IKUNJUS5OWVNFOkNBQ0kuSVFfRVBTXzFZUl9BTk5fR1JPV1RILjIwMDAuAQAAAPFsAQACAAAABjE0LjQzNAEIAAAABQAAAAExAQAAAAstMTg5NDk4NDA3OQMAAAADMTYwAgAAAAQ0MjAwBAAAAAEwBwAAAAk2LzE0LzIwMjYIAAAACTMvMzEvMjAyNgkAAAABMI+S+sj+yd4I</t>
  </si>
  <si>
    <t>pQ8y3P7J3ggpQ0lRLk5ZU0U6Q0FDSS5JUV9FUFNfMVlSX0FOTl9HUk9XVEguMTAwMC4BAAAA8WwBAAIAAAACMjABCAAAAAUAAAABMQEAAAALLTE5MzI0MTY3NTcDAAAAAzE2MAIAAAAENDIwMAQAAAABMAcAAAAJNi8xNC8yMDI2CAAAAAk2LzMwLzIwMjUJAAAAATCPkvrI/sneCKUPMtz+yd4IJ0NJUS5OWVNFOkNBQ0kuSVFfRVBTXzNZUl9BTk5fQ0FHUi4yMDAwLgEAAADxbAEAAgAAAAcxNS42MDg0AQgAAAAFAAAAATEBAAAACy0xODk0OTg0MDc5AwAAAAMxNjACAAAABDQyMjYEAAAAATAHAAAACTYvMTQvMjAyNggAAAAJMy8zMS8yMDI2CQAAAAEwj5L6yP7J3gjzejTc/sneCCdDSVEuTllTRTpDQUNJLklRX0VQU181WVJfQU5OX0NBR1IuMjAwMC4BAAAA8WwBAAIAAAAGOC4yMjgxAQgAAAAFAAAAATEBAAAACy0xODk0OTg0MDc5AwAAAAMxNjACAAAABDQyMzkEAAAAATAHAAAACTYvMTQvMjAyNggAAAAJMy8zMS8yMDI2CQAAAAEwj5L6yP7J3gjzejTc/sneCCxDSVEuTllTRTpDQUNJLklRX0VCSVREQV8xWVJfQU5OX0dST1dUSC4yMDAwLgEAAADxbAEAAgAAAAcxNy43OTU3AQgAAAAFAAAAATEBAAAACy0xODk0OTg0MDc5AwAAAAMxNjACAAAABDQxOTYEAAAAATAHAAAACTYvMTQvMjAyNggAAAAJMy8zMS8yMDI2CQAAAAEwj5L6yP7J3gjzejTc/sneCCxDSVEuTllTRTpDQUNJLklRX0VCSVREQV8xWVJfQU5O</t>
  </si>
  <si>
    <t>X0dST1dUSC4xMDAwLgEAAADxbAEAAgAAAAcyMi45MjgxAQgAAAAFAAAAATEBAAAACy0xOTMyNDE2NzU3AwAAAAMxNjACAAAABDQxOTYEAAAAATAHAAAACTYvMTQvMjAyNggAAAAJNi8zMC8yMDI1CQAAAAEwj5L6yP7J3gjzejTc/sneCCpDSVEuTllTRTpDQUNJLklRX0VCSVREQV8zWVJfQU5OX0NBR1IuMjAwMC4BAAAA8WwBAAIAAAAHMTcuNjAxMwEIAAAABQAAAAExAQAAAAstMTg5NDk4NDA3OQMAAAADMTYwAgAAAAQ0MjIyBAAAAAEwBwAAAAk2LzE0LzIwMjYIAAAACTMvMzEvMjAyNgkAAAABMI+S+sj+yd4I83o03P7J3ggqQ0lRLk5ZU0U6Q0FDSS5JUV9FQklUREFfNVlSX0FOTl9DQUdSLjIwMDAuAQAAAPFsAQACAAAABzEwLjEwMzgBCAAAAAUAAAABMQEAAAALLTE4OTQ5ODQwNzkDAAAAAzE2MAIAAAAENDIzNQQAAAABMAcAAAAJNi8xNC8yMDI2CAAAAAkzLzMxLzIwMjYJAAAAATCPkvrI/sneCPN6NNz+yd4IL0NJUS5OWVNFOkNBQ0kuSVFfVE9UQUxfUkVWXzFZUl9BTk5fR1JPV1RILjIwMDAuAQAAAPFsAQACAAAABjkuNTc3NwEIAAAABQAAAAExAQAAAAstMTg5NDk4NDA3OQMAAAADMTYwAgAAAAQ0MTk0BAAAAAEwBwAAAAk2LzE0LzIwMjYIAAAACTMvMzEvMjAyNgkAAAABMI+S+sj+yd4I83o03P7J3ggvQ0lRLk5ZU0U6Q0FDSS5JUV9UT1RBTF9SRVZfMVlSX0FOTl9HUk9XVEguMTAwMC4BAAAA8WwB</t>
  </si>
  <si>
    <t>AAIAAAAHMTIuNjM3MgEIAAAABQAAAAExAQAAAAstMTkzMjQxNjc1NwMAAAADMTYwAgAAAAQ0MTk0BAAAAAEwBwAAAAk2LzE0LzIwMjYIAAAACTYvMzAvMjAyNQkAAAABMI+S+sj+yd4I83o03P7J3ggtQ0lRLk5ZU0U6Q0FDSS5JUV9UT1RBTF9SRVZfM1lSX0FOTl9DQUdSLjIwMDAuAQAAAPFsAQACAAAABzExLjMyMjcBCAAAAAUAAAABMQEAAAALLTE4OTQ5ODQwNzkDAAAAAzE2MAIAAAAENDIyMAQAAAABMAcAAAAJNi8xNC8yMDI2CAAAAAkzLzMxLzIwMjYJAAAAATCPkvrI/sneCPN6NNz+yd4ILUNJUS5OWVNFOkNBQ0kuSVFfVE9UQUxfUkVWXzVZUl9BTk5fQ0FHUi4yMDAwLgEAAADxbAEAAgAAAAY4LjkyNTIBCAAAAAUAAAABMQEAAAALLTE4OTQ5ODQwNzkDAAAAAzE2MAIAAAAENDIzMwQAAAABMAcAAAAJNi8xNC8yMDI2CAAAAAkzLzMxLzIwMjYJAAAAATCPkvrI/sneCPN6NNz+yd4IIENJUS5OWVNFOkNBQ0kuSVFfTklfTUFSR0lOLjIwMDAuAQAAAPFsAQACAAAABjUuODU5NgEIAAAABQAAAAExAQAAAAstMTg5NDk4NDA3OQMAAAADMTYwAgAAAAQ0MDk0BAAAAAEwBwAAAAk2LzE0LzIwMjYIAAAACTMvMzEvMjAyNgkAAAABMI+S+sj+yd4I83o03P7J3gggQ0lRLk5ZU0U6Q0FDSS5JUV9OSV9NQVJHSU4uMTAwMC4BAAAA8WwBAAIAAAAGNS43OTMyAQgAAAAFAAAAATEBAAAACy0xOTMyNDE2NzU3AwAAAAMx</t>
  </si>
  <si>
    <t>NjACAAAABDQwOTQEAAAAATAHAAAACTYvMTQvMjAyNggAAAAJNi8zMC8yMDI1CQAAAAEwj5L6yP7J3gjzejTc/sneCB9DSVEuTllTRTpDQUNJLklRX05JX01BUkdJTi45OTkuAQAAAPFsAQACAAAABjUuNDgyMQEIAAAABQAAAAExAQAAAAstMTkzMjQxNjc1MwMAAAADMTYwAgAAAAQ0MDk0BAAAAAEwBwAAAAk2LzE0LzIwMjYIAAAACTYvMzAvMjAyNAkAAAABMI+S+sj+yd4I83o03P7J3ggfQ0lRLk5ZU0U6Q0FDSS5JUV9OSV9NQVJHSU4uOTk4LgEAAADxbAEAAgAAAAY1Ljc0MDEBCAAAAAUAAAABMQEAAAALLTE5MzI0MTY3NTkDAAAAAzE2MAIAAAAENDA5NAQAAAABMAcAAAAJNi8xNC8yMDI2CAAAAAk2LzMwLzIwMjMJAAAAATCPkvrI/sneCPN6NNz+yd4IJENJUS5OWVNFOkNBQ0kuSVFfRUJJVERBX01BUkdJTi4yMDAwLgEAAADxbAEAAgAAAAUxMi4wNwEIAAAABQAAAAExAQAAAAstMTg5NDk4NDA3OQMAAAADMTYwAgAAAAQ0MDQ3BAAAAAEwBwAAAAk2LzE0LzIwMjYIAAAACTMvMzEvMjAyNgkAAAABMI+S+sj+yd4I83o03P7J3ggkQ0lRLk5ZU0U6Q0FDSS5JUV9FQklUREFfTUFSR0lOLjEwMDAuAQAAAPFsAQACAAAABzExLjI4MjIBCAAAAAUAAAABMQEAAAALLTE5MzI0MTY3NTcDAAAAAzE2MAIAAAAENDA0NwQAAAABMAcAAAAJNi8xNC8yMDI2CAAAAAk2LzMwLzIwMjUJAAAAATCPkvrI/sneCPN6NNz+yd4I</t>
  </si>
  <si>
    <t>I0NJUS5OWVNFOkNBQ0kuSVFfRUJJVERBX01BUkdJTi45OTkuAQAAAPFsAQACAAAABzEwLjMzNzcBCAAAAAUAAAABMQEAAAALLTE5MzI0MTY3NTMDAAAAAzE2MAIAAAAENDA0NwQAAAABMAcAAAAJNi8xNC8yMDI2CAAAAAk2LzMwLzIwMjQJAAAAATCPkvrI/sneCPN6NNz+yd4II0NJUS5OWVNFOkNBQ0kuSVFfRUJJVERBX01BUkdJTi45OTguAQAAAPFsAQACAAAABjEwLjU3OQEIAAAABQAAAAExAQAAAAstMTkzMjQxNjc1OQMAAAADMTYwAgAAAAQ0MDQ3BAAAAAEwBwAAAAk2LzE0LzIwMjYIAAAACTYvMzAvMjAyMwkAAAABMI+S+sj+yd4I83o03P7J3ggjQ0lRLk5ZU0U6Q0FDSS5JUV9HUk9TU19NQVJHSU4uMjAwMC4BAAAA8WwBAAIAAAAHMzIuNTU4NwEIAAAABQAAAAExAQAAAAstMTg5NDk4NDA3OQMAAAADMTYwAgAAAAQ0MDc0BAAAAAEwBwAAAAk2LzE0LzIwMjYIAAAACTMvMzEvMjAyNgkAAAABMI+S+sj+yd4I83o03P7J3ggjQ0lRLk5ZU0U6Q0FDSS5JUV9HUk9TU19NQVJHSU4uMTAwMC4BAAAA8WwBAAIAAAAHMzIuMzYzNQEIAAAABQAAAAExAQAAAAstMTkzMjQxNjc1NwMAAAADMTYwAgAAAAQ0MDc0BAAAAAEwBwAAAAk2LzE0LzIwMjYIAAAACTYvMzAvMjAyNQkAAAABMI+S+sj+yd4I83o03P7J3ggiQ0lRLk5ZU0U6Q0FDSS5JUV9HUk9TU19NQVJHSU4uOTk5LgEAAADxbAEAAgAAAAczMi43OTgyAQgA</t>
  </si>
  <si>
    <t>AAAFAAAAATEBAAAACy0xOTMyNDE2NzUzAwAAAAMxNjACAAAABDQwNzQEAAAAATAHAAAACTYvMTQvMjAyNggAAAAJNi8zMC8yMDI0CQAAAAEwj5L6yP7J3gjzejTc/sneCCJDSVEuTllTRTpDQUNJLklRX0dST1NTX01BUkdJTi45OTguAQAAAPFsAQACAAAABzM0LjMxMjYBCAAAAAUAAAABMQEAAAALLTE5MzI0MTY3NTkDAAAAAzE2MAIAAAAENDA3NAQAAAABMAcAAAAJNi8xNC8yMDI2CAAAAAk2LzMwLzIwMjMJAAAAATCPkvrI/sneCPN6NNz+yd4IIUNJUS5OWVNFOkNBQ0kuSVFfUEVSSU9EREFURS4yMDAwLgEAAADxbAEABQAAAAozMS8wMy8yMDI2AI+S+sj+yd4I83o03P7J3gghQ0lRLk5ZU0U6Q0FDSS5JUV9QRVJJT0REQVRFLjEwMDAuAQAAAPFsAQAFAAAACjMwLzA2LzIwMjUAj5L6yP7J3gjzejTc/sneCCpDSVEuTkFTREFRR1M6SUNGSS5JUV9JTlZFTlRPUllfVFVSTlMuMjAwMC4BAAAAB3QAAAMAAAAAAI+S+sj+yd4I83o03P7J3ggjQ0lRLk5BU0RBUUdTOklDRkkuSVFfQVJfVFVSTlMuMjAwMC4BAAAAB3QAAAIAAAAINC4wNjU0MDEBCAAAAAUAAAABMQEAAAALLTE4OTAzODUwNzADAAAAAzE2MAIAAAAENDAwMQQAAAABMAcAAAAJNi8xNC8yMDI2CAAAAAkzLzMxLzIwMjYJAAAAATCPkvrI/sneCPN6NNz+yd4ILENJUS5OQVNEQVFHUzpJQ0ZJLklRX0ZJWEVEX0FTU0VUX1RVUk5TLjIwMDAuAQAAAAd0</t>
  </si>
  <si>
    <t>AAACAAAACTEwLjg4OTc4OQEIAAAABQAAAAExAQAAAAstMTg5MDM4NTA3MAMAAAADMTYwAgAAAAQ0MDY2BAAAAAEwBwAAAAk2LzE0LzIwMjYIAAAACTMvMzEvMjAyNgkAAAABMI+S+sj+yd4I83o03P7J3ggmQ0lRLk5BU0RBUUdTOklDRkkuSVFfQVNTRVRfVFVSTlMuMjAwMC4BAAAAB3QAAAIAAAAIMC44ODMwOTEBCAAAAAUAAAABMQEAAAALLTE4OTAzODUwNzADAAAAAzE2MAIAAAAENDE3NwQAAAABMAcAAAAJNi8xNC8yMDI2CAAAAAkzLzMxLzIwMjYJAAAAATCPkvrI/sneCPN6NNz+yd4IKkNJUS5OQVNEQVFHUzpJQ0ZJLklRX0NBU0hfQ09OVkVSU0lPTi4yMDAwLgEAAAAHdAAAAwAAAAAAj5L6yP7J3gjzejTc/sneCCtDSVEuTkFTREFRR1M6SUNGSS5JUV9EQVlTX1BBWUFCTEVfT1VULjIwMDAuAQAAAAd0AAACAAAACTM0LjMyNDk2NQEIAAAABQAAAAExAQAAAAstMTg5MDM4NTA3MAMAAAADMTYwAgAAAAQ0MTgzBAAAAAEwBwAAAAk2LzE0LzIwMjYIAAAACTMvMzEvMjAyNgkAAAABMI+S+sj+yd4I83o03P7J3ggtQ0lRLk5BU0RBUUdTOklDRkkuSVFfREFZU19JTlZFTlRPUllfT1VULjIwMDAuAQAAAAd0AAADAAAAAACPkvrI/sneCPN6NNz+yd4IKUNJUS5OQVNEQVFHUzpJQ0ZJLklRX0RBWVNfU0FMRVNfT1VULjIwMDAuAQAAAAd0AAACAAAACDg5Ljc4MTk3AQgAAAAFAAAAATEBAAAACy0xODkwMzg1MDcw</t>
  </si>
  <si>
    <t>AwAAAAMxNjACAAAABDQwNDIEAAAAATAHAAAACTYvMTQvMjAyNggAAAAJMy8zMS8yMDI2CQAAAAEwj5L6yP7J3gjzejTc/sneCCVDSVEuTkFTREFRR1M6SUNGSS5JUV9RVUlDS19SQVRJTy41MDAuAQAAAAd0AAACAAAACDEuMjgyMTQxAQgAAAAFAAAAATEBAAAACy0xODkwMzkxNjEyAwAAAAMxNjACAAAABDQxMjEEAAAAATAHAAAACTYvMTQvMjAyNggAAAAJMy8zMS8yMDI2CQAAAAEwj5L6yP7J3gjzejTc/sneCCdDSVEuTkFTREFRR1M6SUNGSS5JUV9DVVJSRU5UX1JBVElPLjUwMC4BAAAAB3QAAAIAAAAIMS40NzcyODQBCAAAAAUAAAABMQEAAAALLTE4OTAzOTE2MTIDAAAAAzE2MAIAAAAENDAzMAQAAAABMAcAAAAJNi8xNC8yMDI2CAAAAAkzLzMxLzIwMjYJAAAAATCPkvrI/sneCPN6NNz+yd4IMkNJUS5OQVNEQVFHUzpJQ0ZJLklRX1JFVFVSTl9JTlZFU1RFRF9DQVBJVEFMLjIwMDAuAQAAAAd0AAACAAAABjQuNTUyNACPkvrI/sneCPN6NNz+yd4IKENJUS5OQVNEQVFHUzpJQ0ZJLklRX1JFVFVSTl9BU1NFVFMuMjAwMC4BAAAAB3QAAAIAAAAGNC4yOTc3AQgAAAAFAAAAATEBAAAACy0xODkwMzg1MDcwAwAAAAMxNjACAAAABDQxNzgEAAAAATAHAAAACTYvMTQvMjAyNggAAAAJMy8zMS8yMDI2CQAAAAEwj5L6yP7J3gjzejTc/sneCChDSVEuTkFTREFRR1M6SUNGSS5JUV9SRVRVUk5fRVFVSVRZLjIwMDAu</t>
  </si>
  <si>
    <t>AQAAAAd0AAACAAAABjguNTIyNQEIAAAABQAAAAExAQAAAAstMTg5MDM4NTA3MAMAAAADMTYwAgAAAAQ0MTI4BAAAAAEwBwAAAAk2LzE0LzIwMjYIAAAACTMvMzEvMjAyNgkAAAABMI+S+sj+yd4I83o03P7J3ggsQ0lRLk5BU0RBUUdTOklDRkkuSVFfVE9UQUxfREVCVF9DQVBJVEFMLjUwMC4BAAAAB3QAAAIAAAAHMzYuOTEwMwEIAAAABQAAAAExAQAAAAstMTg5MDM5MTYxMgMAAAADMTYwAgAAAAQ0MTg2BAAAAAEwBwAAAAk2LzE0LzIwMjYIAAAACTMvMzEvMjAyNgkAAAABMI+S+sj+yd4I83o03P7J3ggrQ0lRLk5BU0RBUUdTOklDRkkuSVFfVE9UQUxfREVCVF9FUVVJVFkuNTAwLgEAAAAHdAAAAgAAAAc1OC41MDQ2AQgAAAAFAAAAATEBAAAACy0xODkwMzkxNjEyAwAAAAMxNjACAAAABDQwMzQEAAAAATAHAAAACTYvMTQvMjAyNggAAAAJMy8zMS8yMDI2CQAAAAEwj5L6yP7J3gjzejTc/sneCCtDSVEuTkFTREFRR1M6SUNGSS5JUV9FQklUREFfQ0FQRVhfSU5ULjIwMDAuAQAAAAd0AAACAAAACDYuNDg5MTI0AQgAAAAFAAAAATEBAAAACy0xODkwMzg1MDcwAwAAAAMxNjACAAAABDQxOTEEAAAAATAHAAAACTYvMTQvMjAyNggAAAAJMy8zMS8yMDI2CQAAAAEwj5L6yP7J3gjzejTc/sneCCVDSVEuTkFTREFRR1M6SUNGSS5JUV9FQklUREFfSU5ULjIwMDAuAQAAAAd0AAACAAAACDcuMTg1NTk4AQgAAAAFAAAA</t>
  </si>
  <si>
    <t>ATEBAAAACy0xODkwMzg1MDcwAwAAAAMxNjACAAAABDQxOTAEAAAAATAHAAAACTYvMTQvMjAyNggAAAAJMy8zMS8yMDI2CQAAAAEwj5L6yP7J3gjzejTc/sneCCpDSVEuTkFTREFRR1M6SUNGSS5JUV9ORVRfREVCVF9FQklUREEuMjAwMC4BAAAAB3QAAAIAAAAHMi43NjM2OAEIAAAABQAAAAExAQAAAAstMTg5MDM4NTA3MAMAAAADMTYwAgAAAAQ0MTkzBAAAAAEwBwAAAAk2LzE0LzIwMjYIAAAACTMvMzEvMjAyNgkAAAABMI+S+sj+yd4I83o03P7J3ggsQ0lRLk5BU0RBUUdTOklDRkkuSVFfVE9UQUxfREVCVF9FQklUREEuMjAwMC4BAAAAB3QAAAIAAAAIMi43ODE1NzEBCAAAAAUAAAABMQEAAAALLTE4OTAzODUwNzADAAAAAzE2MAIAAAAENDE5MgQAAAABMAcAAAAJNi8xNC8yMDI2CAAAAAkzLzMxLzIwMjYJAAAAATCPkvrI/sneCPN6NNz+yd4ILUNJUS5OQVNEQVFHUzpJQ0ZJLklRX0VQU18xWVJfQU5OX0dST1dUSC4yMDAwLgEAAAAHdAAAAgAAAAYtMjAuNDcBCAAAAAUAAAABMQEAAAALLTE4OTAzODUwNzADAAAAAzE2MAIAAAAENDIwMAQAAAABMAcAAAAJNi8xNC8yMDI2CAAAAAkzLzMxLzIwMjYJAAAAATCPkvrI/sneCPN6NNz+yd4ILUNJUS5OQVNEQVFHUzpJQ0ZJLklRX0VQU18xWVJfQU5OX0dST1dUSC4xMDAwLgEAAAAHdAAAAgAAAAgtMTQuOTQ4NQEIAAAABQAAAAExAQAAAAstMTkwNDQyMzgzNAMA</t>
  </si>
  <si>
    <t>AAADMTYwAgAAAAQ0MjAwBAAAAAEwBwAAAAk2LzE0LzIwMjYIAAAACjEyLzMxLzIwMjUJAAAAATCPkvrI/sneCPN6NNz+yd4IK0NJUS5OQVNEQVFHUzpJQ0ZJLklRX0VQU18zWVJfQU5OX0NBR1IuMjAwMC4BAAAAB3QAAAIAAAAHMTEuODI4MgEIAAAABQAAAAExAQAAAAstMTg5MDM4NTA3MAMAAAADMTYwAgAAAAQ0MjI2BAAAAAEwBwAAAAk2LzE0LzIwMjYIAAAACTMvMzEvMjAyNgkAAAABMI+S+sj+yd4I83o03P7J3ggrQ0lRLk5BU0RBUUdTOklDRkkuSVFfRVBTXzVZUl9BTk5fQ0FHUi4yMDAwLgEAAAAHdAAAAgAAAAY3LjEyNzMBCAAAAAUAAAABMQEAAAALLTE4OTAzODUwNzADAAAAAzE2MAIAAAAENDIzOQQAAAABMAcAAAAJNi8xNC8yMDI2CAAAAAkzLzMxLzIwMjYJAAAAATCPkvrI/sneCPN6NNz+yd4IMENJUS5OQVNEQVFHUzpJQ0ZJLklRX0VCSVREQV8xWVJfQU5OX0dST1dUSC4yMDAwLgEAAAAHdAAAAgAAAAgtMTAuMzEwMgEIAAAABQAAAAExAQAAAAstMTg5MDM4NTA3MAMAAAADMTYwAgAAAAQ0MTk2BAAAAAEwBwAAAAk2LzE0LzIwMjYIAAAACTMvMzEvMjAyNgkAAAABMI+S+sj+yd4I83o03P7J3ggwQ0lRLk5BU0RBUUdTOklDRkkuSVFfRUJJVERBXzFZUl9BTk5fR1JPV1RILjEwMDAuAQAAAAd0AAACAAAABy04LjY1MzcBCAAAAAUAAAABMQEAAAALLTE5MDQ0MjM4MzQDAAAAAzE2MAIAAAAENDE5</t>
  </si>
  <si>
    <t>NgQAAAABMAcAAAAJNi8xNC8yMDI2CAAAAAoxMi8zMS8yMDI1CQAAAAEwj5L6yP7J3gjzejTc/sneCC5DSVEuTkFTREFRR1M6SUNGSS5JUV9FQklUREFfM1lSX0FOTl9DQUdSLjIwMDAuAQAAAAd0AAACAAAABjQuMDQyMgEIAAAABQAAAAExAQAAAAstMTg5MDM4NTA3MAMAAAADMTYwAgAAAAQ0MjIyBAAAAAEwBwAAAAk2LzE0LzIwMjYIAAAACTMvMzEvMjAyNgkAAAABMI+S+sj+yd4I83o03P7J3gguQ0lRLk5BU0RBUUdTOklDRkkuSVFfRUJJVERBXzVZUl9BTk5fQ0FHUi4yMDAwLgEAAAAHdAAAAgAAAAU3LjUzNgEIAAAABQAAAAExAQAAAAstMTg5MDM4NTA3MAMAAAADMTYwAgAAAAQ0MjM1BAAAAAEwBwAAAAk2LzE0LzIwMjYIAAAACTMvMzEvMjAyNgkAAAABMI+S+sj+yd4I83o03P7J3ggzQ0lRLk5BU0RBUUdTOklDRkkuSVFfVE9UQUxfUkVWXzFZUl9BTk5fR1JPV1RILjIwMDAuAQAAAAd0AAACAAAABy05LjQ1MDYBCAAAAAUAAAABMQEAAAALLTE4OTAzODUwNzADAAAAAzE2MAIAAAAENDE5NAQAAAABMAcAAAAJNi8xNC8yMDI2CAAAAAkzLzMxLzIwMjYJAAAAATCPkvrI/sneCPN6NNz+yd4IM0NJUS5OQVNEQVFHUzpJQ0ZJLklRX1RPVEFMX1JFVl8xWVJfQU5OX0dST1dUSC4xMDAwLgEAAAAHdAAAAgAAAActNy4yNzQ5AQgAAAAFAAAAATEBAAAACy0xOTA0NDIzODM0AwAAAAMxNjACAAAABDQxOTQEAAAA</t>
  </si>
  <si>
    <t>ATAHAAAACTYvMTQvMjAyNggAAAAKMTIvMzEvMjAyNQkAAAABMI+S+sj+yd4I83o03P7J3ggxQ0lRLk5BU0RBUUdTOklDRkkuSVFfVE9UQUxfUkVWXzNZUl9BTk5fQ0FHUi4yMDAwLgEAAAAHdAAAAgAAAActMC40ODk4AQgAAAAFAAAAATEBAAAACy0xODkwMzg1MDcwAwAAAAMxNjACAAAABDQyMjAEAAAAATAHAAAACTYvMTQvMjAyNggAAAAJMy8zMS8yMDI2CQAAAAEwj5L6yP7J3gjzejTc/sneCDFDSVEuTkFTREFRR1M6SUNGSS5JUV9UT1RBTF9SRVZfNVlSX0FOTl9DQUdSLjIwMDAuAQAAAAd0AAACAAAABjMuNjAyNQEIAAAABQAAAAExAQAAAAstMTg5MDM4NTA3MAMAAAADMTYwAgAAAAQ0MjMzBAAAAAEwBwAAAAk2LzE0LzIwMjYIAAAACTMvMzEvMjAyNgkAAAABMI+S+sj+yd4I83o03P7J3ggkQ0lRLk5BU0RBUUdTOklDRkkuSVFfTklfTUFSR0lOLjIwMDAuAQAAAAd0AAACAAAABjQuNjc3NQEIAAAABQAAAAExAQAAAAstMTg5MDM4NTA3MAMAAAADMTYwAgAAAAQ0MDk0BAAAAAEwBwAAAAk2LzE0LzIwMjYIAAAACTMvMzEvMjAyNgkAAAABMI+S+sj+yd4I83o03P7J3ggkQ0lRLk5BU0RBUUdTOklDRkkuSVFfTklfTUFSR0lOLjEwMDAuAQAAAAd0AAACAAAABjQuODkwMgEIAAAABQAAAAExAQAAAAstMTkwNDQyMzgzNAMAAAADMTYwAgAAAAQ0MDk0BAAAAAEwBwAAAAk2LzE0LzIwMjYIAAAACjEyLzMxLzIw</t>
  </si>
  <si>
    <t>MjUJAAAAATCPkvrI/sneCPN6NNz+yd4II0NJUS5OQVNEQVFHUzpJQ0ZJLklRX05JX01BUkdJTi45OTkuAQAAAAd0AAACAAAABjUuNDU0NQEIAAAABQAAAAExAQAAAAstMTkwNDQyMzgxMAMAAAADMTYwAgAAAAQ0MDk0BAAAAAEwBwAAAAk2LzE0LzIwMjYIAAAACjEyLzMxLzIwMjQJAAAAATCPkvrI/sneCPN6NNz+yd4II0NJUS5OQVNEQVFHUzpJQ0ZJLklRX05JX01BUkdJTi45OTguAQAAAAd0AAACAAAABjQuMjA3OQEIAAAABQAAAAExAQAAAAstMTkwNDQyMzgyNgMAAAADMTYwAgAAAAQ0MDk0BAAAAAEwBwAAAAk2LzE0LzIwMjYIAAAACjEyLzMxLzIwMjMJAAAAATCPkvrI/sneCPN6NNz+yd4IKENJUS5OQVNEQVFHUzpJQ0ZJLklRX0VCSVREQV9NQVJHSU4uMjAwMC4BAAAAB3QAAAIAAAAHMTAuODg4MgEIAAAABQAAAAExAQAAAAstMTg5MDM4NTA3MAMAAAADMTYwAgAAAAQ0MDQ3BAAAAAEwBwAAAAk2LzE0LzIwMjYIAAAACTMvMzEvMjAyNgkAAAABMI+S+sj+yd4I83o03P7J3ggoQ0lRLk5BU0RBUUdTOklDRkkuSVFfRUJJVERBX01BUkdJTi4xMDAwLgEAAAAHdAAAAgAAAAcxMC44NzE3AQgAAAAFAAAAATEBAAAACy0xOTA0NDIzODM0AwAAAAMxNjACAAAABDQwNDcEAAAAATAHAAAACTYvMTQvMjAyNggAAAAKMTIvMzEvMjAyNQkAAAABMI+S+sj+yd4I83o03P7J3ggnQ0lRLk5BU0RBUUdTOklDRkkuSVFf</t>
  </si>
  <si>
    <t>RUJJVERBX01BUkdJTi45OTkuAQAAAAd0AAACAAAABzExLjAzNTgBCAAAAAUAAAABMQEAAAALLTE5MDQ0MjM4MTADAAAAAzE2MAIAAAAENDA0NwQAAAABMAcAAAAJNi8xNC8yMDI2CAAAAAoxMi8zMS8yMDI0CQAAAAEwj5L6yP7J3gjzejTc/sneCCdDSVEuTkFTREFRR1M6SUNGSS5JUV9FQklUREFfTUFSR0lOLjk5OC4BAAAAB3QAAAIAAAAFMTAuMTgBCAAAAAUAAAABMQEAAAALLTE5MDQ0MjM4MjYDAAAAAzE2MAIAAAAENDA0NwQAAAABMAcAAAAJNi8xNC8yMDI2CAAAAAoxMi8zMS8yMDIzCQAAAAEwj5L6yP7J3gjzejTc/sneCCdDSVEuTkFTREFRR1M6SUNGSS5JUV9HUk9TU19NQVJHSU4uMjAwMC4BAAAAB3QAAAIAAAAGMzcuMTg2AQgAAAAFAAAAATEBAAAACy0xODkwMzg1MDcwAwAAAAMxNjACAAAABDQwNzQEAAAAATAHAAAACTYvMTQvMjAyNggAAAAJMy8zMS8yMDI2CQAAAAEwj5L6yP7J3gjzejTc/sneCCdDSVEuTkFTREFRR1M6SUNGSS5JUV9HUk9TU19NQVJHSU4uMTAwMC4BAAAAB3QAAAIAAAAHMzcuMTYzNAEIAAAABQAAAAExAQAAAAstMTkwNDQyMzgzNAMAAAADMTYwAgAAAAQ0MDc0BAAAAAEwBwAAAAk2LzE0LzIwMjYIAAAACjEyLzMxLzIwMjUJAAAAATCPkvrI/sneCPN6NNz+yd4IJkNJUS5OQVNEQVFHUzpJQ0ZJLklRX0dST1NTX01BUkdJTi45OTkuAQAAAAd0AAACAAAABzM2LjUyNzEBCAAA</t>
  </si>
  <si>
    <t>AAUAAAABMQEAAAALLTE5MDQ0MjM4MTADAAAAAzE2MAIAAAAENDA3NAQAAAABMAcAAAAJNi8xNC8yMDI2CAAAAAoxMi8zMS8yMDI0CQAAAAEwj5L6yP7J3gjzejTc/sneCCZDSVEuTkFTREFRR1M6SUNGSS5JUV9HUk9TU19NQVJHSU4uOTk4LgEAAAAHdAAAAgAAAAczNS41NjQ3AQgAAAAFAAAAATEBAAAACy0xOTA0NDIzODI2AwAAAAMxNjACAAAABDQwNzQEAAAAATAHAAAACTYvMTQvMjAyNggAAAAKMTIvMzEvMjAyMwkAAAABMI+S+sj+yd4I83o03P7J3gglQ0lRLk5BU0RBUUdTOklDRkkuSVFfUEVSSU9EREFURS4yMDAwLgEAAAAHdAAABQAAAAozMS8wMy8yMDI2AI+S+sj+yd4I83o03P7J3gglQ0lRLk5BU0RBUUdTOklDRkkuSVFfUEVSSU9EREFURS4xMDAwLgEAAAAHdAAABQAAAAozMS8xMi8yMDI1AI+S+sj+yd4I83o03P7J3gglQ0lRLk5ZU0U6RkNOLklRX0lOVkVOVE9SWV9UVVJOUy4yMDAwLgEAAABScAAAAwAAAAAAj5L6yP7J3gjzejTc/sneCB5DSVEuTllTRTpGQ04uSVFfQVJfVFVSTlMuMjAwMC4BAAAAUnAAAAIAAAAIMy40NTI1MzEBCAAAAAUAAAABMQEAAAALLTE4OTMwNjI5MzUDAAAAAzE2MAIAAAAENDAwMQQAAAABMAcAAAAJNi8xNC8yMDI2CAAAAAkzLzMxLzIwMjYJAAAAATCPkvrI/sneCPN6NNz+yd4IJ0NJUS5OWVNFOkZDTi5JUV9GSVhFRF9BU1NFVF9UVVJOUy4yMDAwLgEAAABScAAA</t>
  </si>
  <si>
    <t>AgAAAAkxMC44NDU3MjYBCAAAAAUAAAABMQEAAAALLTE4OTMwNjI5MzUDAAAAAzE2MAIAAAAENDA2NgQAAAABMAcAAAAJNi8xNC8yMDI2CAAAAAkzLzMxLzIwMjYJAAAAATCPkvrI/sneCPN6NNz+yd4IIUNJUS5OWVNFOkZDTi5JUV9BU1NFVF9UVVJOUy4yMDAwLgEAAABScAAAAgAAAAgxLjEzMDM3MwEIAAAABQAAAAExAQAAAAstMTg5MzA2MjkzNQMAAAADMTYwAgAAAAQ0MTc3BAAAAAEwBwAAAAk2LzE0LzIwMjYIAAAACTMvMzEvMjAyNgkAAAABMI+S+sj+yd4I83o03P7J3gglQ0lRLk5ZU0U6RkNOLklRX0NBU0hfQ09OVkVSU0lPTi4yMDAwLgEAAABScAAAAwAAAAAAj5L6yP7J3gjzejTc/sneCCZDSVEuTllTRTpGQ04uSVFfREFZU19QQVlBQkxFX09VVC4yMDAwLgEAAABScAAAAgAAAAgyOC45NTU0NQEIAAAABQAAAAExAQAAAAstMTg5MzA2MjkzNQMAAAADMTYwAgAAAAQ0MTgzBAAAAAEwBwAAAAk2LzE0LzIwMjYIAAAACTMvMzEvMjAyNgkAAAABMI+S+sj+yd4I83o03P7J3ggoQ0lRLk5ZU0U6RkNOLklRX0RBWVNfSU5WRU5UT1JZX09VVC4yMDAwLgEAAABScAAAAwAAAAAAj5L6yP7J3gjzejTc/sneCCRDSVEuTllTRTpGQ04uSVFfREFZU19TQUxFU19PVVQuMjAwMC4BAAAAUnAAAAIAAAAJMTA1LjcxOTMzAQgAAAAFAAAAATEBAAAACy0xODkzMDYyOTM1AwAAAAMxNjACAAAABDQwNDIEAAAAATAHAAAA</t>
  </si>
  <si>
    <t>CTYvMTQvMjAyNggAAAAJMy8zMS8yMDI2CQAAAAEwj5L6yP7J3gjzejTc/sneCCBDSVEuTllTRTpGQ04uSVFfUVVJQ0tfUkFUSU8uNTAwLgEAAABScAAAAgAAAAcxLjk4OTIyAQgAAAAFAAAAATEBAAAACy0xODkzMDY1Nzc1AwAAAAMxNjACAAAABDQxMjEEAAAAATAHAAAACTYvMTQvMjAyNggAAAAJMy8zMS8yMDI2CQAAAAEwj5L6yP7J3gjzejTc/sneCCJDSVEuTllTRTpGQ04uSVFfQ1VSUkVOVF9SQVRJTy41MDAuAQAAAFJwAAACAAAACDIuMzAwMjcyAQgAAAAFAAAAATEBAAAACy0xODkzMDY1Nzc1AwAAAAMxNjACAAAABDQwMzAEAAAAATAHAAAACTYvMTQvMjAyNggAAAAJMy8zMS8yMDI2CQAAAAEwj5L6yP7J3gjzejTc/sneCC1DSVEuTllTRTpGQ04uSVFfUkVUVVJOX0lOVkVTVEVEX0NBUElUQUwuMjAwMC4BAAAAUnAAAAIAAAAHMTAuMjMwNQCPkvrI/sneCPN6NNz+yd4II0NJUS5OWVNFOkZDTi5JUV9SRVRVUk5fQVNTRVRTLjIwMDAuAQAAAFJwAAACAAAABjcuMTkwNQEIAAAABQAAAAExAQAAAAstMTg5MzA2MjkzNQMAAAADMTYwAgAAAAQ0MTc4BAAAAAEwBwAAAAk2LzE0LzIwMjYIAAAACTMvMzEvMjAyNgkAAAABMI+S+sj+yd4I83o03P7J3ggjQ0lRLk5ZU0U6RkNOLklRX1JFVFVSTl9FUVVJVFkuMjAwMC4BAAAAUnAAAAIAAAAHMTMuOTkzOQEIAAAABQAAAAExAQAAAAstMTg5MzA2MjkzNQMAAAAD</t>
  </si>
  <si>
    <t>MTYwAgAAAAQ0MTI4BAAAAAEwBwAAAAk2LzE0LzIwMjYIAAAACTMvMzEvMjAyNgkAAAABMI+S+sj+yd4I83o03P7J3ggnQ0lRLk5ZU0U6RkNOLklRX1RPVEFMX0RFQlRfQ0FQSVRBTC41MDAuAQAAAFJwAAACAAAABzM3LjczMzUBCAAAAAUAAAABMQEAAAALLTE4OTMwNjU3NzUDAAAAAzE2MAIAAAAENDE4NgQAAAABMAcAAAAJNi8xNC8yMDI2CAAAAAkzLzMxLzIwMjYJAAAAATCPkvrI/sneCPN6NNz+yd4IJkNJUS5OWVNFOkZDTi5JUV9UT1RBTF9ERUJUX0VRVUlUWS41MDAuAQAAAFJwAAACAAAABDYwLjYBCAAAAAUAAAABMQEAAAALLTE4OTMwNjU3NzUDAAAAAzE2MAIAAAAENDAzNAQAAAABMAcAAAAJNi8xNC8yMDI2CAAAAAkzLzMxLzIwMjYJAAAAATCPkvrI/sneCPN6NNz+yd4IJkNJUS5OWVNFOkZDTi5JUV9FQklUREFfQ0FQRVhfSU5ULjIwMDAuAQAAAFJwAAACAAAACDE3LjI1MjkzAQgAAAAFAAAAATEBAAAACy0xODkzMDYyOTM1AwAAAAMxNjACAAAABDQxOTEEAAAAATAHAAAACTYvMTQvMjAyNggAAAAJMy8zMS8yMDI2CQAAAAEwj5L6yP7J3gjzejTc/sneCCBDSVEuTllTRTpGQ04uSVFfRUJJVERBX0lOVC4yMDAwLgEAAABScAAAAgAAAAkxOS4xNjM2MjEBCAAAAAUAAAABMQEAAAALLTE4OTMwNjI5MzUDAAAAAzE2MAIAAAAENDE5MAQAAAABMAcAAAAJNi8xNC8yMDI2CAAAAAkzLzMxLzIwMjYJAAAA</t>
  </si>
  <si>
    <t>ATCPkvrI/sneCPN6NNz+yd4IJUNJUS5OWVNFOkZDTi5JUV9ORVRfREVCVF9FQklUREEuMjAwMC4BAAAAUnAAAAIAAAAIMS41NzAzNjkBCAAAAAUAAAABMQEAAAALLTE4OTMwNjI5MzUDAAAAAzE2MAIAAAAENDE5MwQAAAABMAcAAAAJNi8xNC8yMDI2CAAAAAkzLzMxLzIwMjYJAAAAATCPkvrI/sneCPN6NNz+yd4IJ0NJUS5OWVNFOkZDTi5JUV9UT1RBTF9ERUJUX0VCSVREQS4yMDAwLgEAAABScAAAAgAAAAgxLjk1NTM4MwEIAAAABQAAAAExAQAAAAstMTg5MzA2MjkzNQMAAAADMTYwAgAAAAQ0MTkyBAAAAAEwBwAAAAk2LzE0LzIwMjYIAAAACTMvMzEvMjAyNgkAAAABMI+S+sj+yd4I83o03P7J3ggoQ0lRLk5ZU0U6RkNOLklRX0VQU18xWVJfQU5OX0dST1dUSC4yMDAwLgEAAABScAAAAgAAAAcxNS4zNTg2AQgAAAAFAAAAATEBAAAACy0xODkzMDYyOTM1AwAAAAMxNjACAAAABDQyMDAEAAAAATAHAAAACTYvMTQvMjAyNggAAAAJMy8zMS8yMDI2CQAAAAEwj5L6yP7J3gjzejTc/sneCChDSVEuTllTRTpGQ04uSVFfRVBTXzFZUl9BTk5fR1JPV1RILjEwMDAuAQAAAFJwAAACAAAABjUuNTA1NwEIAAAABQAAAAExAQAAAAstMTkwNDk2OTEzMQMAAAADMTYwAgAAAAQ0MjAwBAAAAAEwBwAAAAk2LzE0LzIwMjYIAAAACjEyLzMxLzIwMjUJAAAAATCPkvrI/sneCPN6NNz+yd4IJkNJUS5OWVNFOkZDTi5JUV9FUFNf</t>
  </si>
  <si>
    <t>M1lSX0FOTl9DQUdSLjIwMDAuAQAAAFJwAAACAAAABzEwLjQ4NTkBCAAAAAUAAAABMQEAAAALLTE4OTMwNjI5MzUDAAAAAzE2MAIAAAAENDIyNgQAAAABMAcAAAAJNi8xNC8yMDI2CAAAAAkzLzMxLzIwMjYJAAAAATCPkvrI/sneCPN6NNz+yd4IJkNJUS5OWVNFOkZDTi5JUV9FUFNfNVlSX0FOTl9DQUdSLjIwMDAuAQAAAFJwAAACAAAABjcuMDczNgEIAAAABQAAAAExAQAAAAstMTg5MzA2MjkzNQMAAAADMTYwAgAAAAQ0MjM5BAAAAAEwBwAAAAk2LzE0LzIwMjYIAAAACTMvMzEvMjAyNgkAAAABMI+S+sj+yd4I83o03P7J3ggrQ0lRLk5ZU0U6RkNOLklRX0VCSVREQV8xWVJfQU5OX0dST1dUSC4yMDAwLgEAAABScAAAAgAAAAY5LjE5NDUBCAAAAAUAAAABMQEAAAALLTE4OTMwNjI5MzUDAAAAAzE2MAIAAAAENDE5NgQAAAABMAcAAAAJNi8xNC8yMDI2CAAAAAkzLzMxLzIwMjYJAAAAATCPkvrI/sneCPN6NNz+yd4IK0NJUS5OWVNFOkZDTi5JUV9FQklUREFfMVlSX0FOTl9HUk9XVEguMTAwMC4BAAAAUnAAAAIAAAAHMTQuODQ1NwEIAAAABQAAAAExAQAAAAstMTkwNDk2OTEzMQMAAAADMTYwAgAAAAQ0MTk2BAAAAAEwBwAAAAk2LzE0LzIwMjYIAAAACjEyLzMxLzIwMjUJAAAAATCPkvrI/sneCPN6NNz+yd4IKUNJUS5OWVNFOkZDTi5JUV9FQklUREFfM1lSX0FOTl9DQUdSLjIwMDAuAQAAAFJwAAACAAAABjgu</t>
  </si>
  <si>
    <t>NTQ5MwEIAAAABQAAAAExAQAAAAstMTg5MzA2MjkzNQMAAAADMTYwAgAAAAQ0MjIyBAAAAAEwBwAAAAk2LzE0LzIwMjYIAAAACTMvMzEvMjAyNgkAAAABMI+S+sj+yd4I83o03P7J3ggpQ0lRLk5ZU0U6RkNOLklRX0VCSVREQV81WVJfQU5OX0NBR1IuMjAwMC4BAAAAUnAAAAIAAAAGNC42NTUyAQgAAAAFAAAAATEBAAAACy0xODkzMDYyOTM1AwAAAAMxNjACAAAABDQyMzUEAAAAATAHAAAACTYvMTQvMjAyNggAAAAJMy8zMS8yMDI2CQAAAAEwj5L6yP7J3gjzejTc/sneCC5DSVEuTllTRTpGQ04uSVFfVE9UQUxfUkVWXzFZUl9BTk5fR1JPV1RILjIwMDAuAQAAAFJwAAACAAAABjUuNjAyOQEIAAAABQAAAAExAQAAAAstMTg5MzA2MjkzNQMAAAADMTYwAgAAAAQ0MTk0BAAAAAEwBwAAAAk2LzE0LzIwMjYIAAAACTMvMzEvMjAyNgkAAAABMI+S+sj+yd4I0ek23P7J3gguQ0lRLk5ZU0U6RkNOLklRX1RPVEFMX1JFVl8xWVJfQU5OX0dST1dUSC4xMDAwLgEAAABScAAAAgAAAAYyLjQzODgBCAAAAAUAAAABMQEAAAALLTE5MDQ5NjkxMzEDAAAAAzE2MAIAAAAENDE5NAQAAAABMAcAAAAJNi8xNC8yMDI2CAAAAAoxMi8zMS8yMDI1CQAAAAEwj5L6yP7J3gjR6Tbc/sneCCxDSVEuTllTRTpGQ04uSVFfVE9UQUxfUkVWXzNZUl9BTk5fQ0FHUi4yMDAwLgEAAABScAAAAgAAAAY3LjU3MzIBCAAAAAUAAAABMQEAAAALLTE4</t>
  </si>
  <si>
    <t>OTMwNjI5MzUDAAAAAzE2MAIAAAAENDIyMAQAAAABMAcAAAAJNi8xNC8yMDI2CAAAAAkzLzMxLzIwMjYJAAAAATCPkvrI/sneCNHpNtz+yd4ILENJUS5OWVNFOkZDTi5JUV9UT1RBTF9SRVZfNVlSX0FOTl9DQUdSLjIwMDAuAQAAAFJwAAACAAAABjguNzgzMwEIAAAABQAAAAExAQAAAAstMTg5MzA2MjkzNQMAAAADMTYwAgAAAAQ0MjMzBAAAAAEwBwAAAAk2LzE0LzIwMjYIAAAACTMvMzEvMjAyNgkAAAABMI+S+sj+yd4I0ek23P7J3ggfQ0lRLk5ZU0U6RkNOLklRX05JX01BUkdJTi4yMDAwLgEAAABScAAAAgAAAAY2Ljg4MzkBCAAAAAUAAAABMQEAAAALLTE4OTMwNjI5MzUDAAAAAzE2MAIAAAAENDA5NAQAAAABMAcAAAAJNi8xNC8yMDI2CAAAAAkzLzMxLzIwMjYJAAAAATCPkvrI/sneCNHpNtz+yd4IH0NJUS5OWVNFOkZDTi5JUV9OSV9NQVJHSU4uMTAwMC4BAAAAUnAAAAIAAAAGNy4xNDkxAQgAAAAFAAAAATEBAAAACy0xOTA0OTY5MTMxAwAAAAMxNjACAAAABDQwOTQEAAAAATAHAAAACTYvMTQvMjAyNggAAAAKMTIvMzEvMjAyNQkAAAABMI+S+sj+yd4I0ek23P7J3ggeQ0lRLk5ZU0U6RkNOLklRX05JX01BUkdJTi45OTkuAQAAAFJwAAACAAAABjcuNTcyNwEIAAAABQAAAAExAQAAAAstMTkwNDk2OTE0NQMAAAADMTYwAgAAAAQ0MDk0BAAAAAEwBwAAAAk2LzE0LzIwMjYIAAAACjEyLzMxLzIwMjQJAAAA</t>
  </si>
  <si>
    <t>ATCPkvrI/sneCNHpNtz+yd4IHkNJUS5OWVNFOkZDTi5JUV9OSV9NQVJHSU4uOTk4LgEAAABScAAAAgAAAAY3Ljg3ODIBCAAAAAUAAAABMQEAAAALLTE5MDQ5NjkxNDYDAAAAAzE2MAIAAAAENDA5NAQAAAABMAcAAAAJNi8xNC8yMDI2CAAAAAoxMi8zMS8yMDIzCQAAAAEwj5L6yP7J3gjR6Tbc/sneCCNDSVEuTllTRTpGQ04uSVFfRUJJVERBX01BUkdJTi4yMDAwLgEAAABScAAAAgAAAAYxMS40OTQBCAAAAAUAAAABMQEAAAALLTE4OTMwNjI5MzUDAAAAAzE2MAIAAAAENDA0NwQAAAABMAcAAAAJNi8xNC8yMDI2CAAAAAkzLzMxLzIwMjYJAAAAATCPkvrI/sneCNHpNtz+yd4II0NJUS5OWVNFOkZDTi5JUV9FQklUREFfTUFSR0lOLjEwMDAuAQAAAFJwAAACAAAABzEyLjIzNjIBCAAAAAUAAAABMQEAAAALLTE5MDQ5NjkxMzEDAAAAAzE2MAIAAAAENDA0NwQAAAABMAcAAAAJNi8xNC8yMDI2CAAAAAoxMi8zMS8yMDI1CQAAAAEwj5L6yP7J3gjR6Tbc/sneCCJDSVEuTllTRTpGQ04uSVFfRUJJVERBX01BUkdJTi45OTkuAQAAAFJwAAACAAAABzEwLjkxNDMBCAAAAAUAAAABMQEAAAALLTE5MDQ5NjkxNDUDAAAAAzE2MAIAAAAENDA0NwQAAAABMAcAAAAJNi8xNC8yMDI2CAAAAAoxMi8zMS8yMDI0CQAAAAEwj5L6yP7J3gjR6Tbc/sneCCJDSVEuTllTRTpGQ04uSVFfRUJJVERBX01BUkdJTi45OTguAQAAAFJwAAAC</t>
  </si>
  <si>
    <t>AAAABzEyLjE3NDUBCAAAAAUAAAABMQEAAAALLTE5MDQ5NjkxNDYDAAAAAzE2MAIAAAAENDA0NwQAAAABMAcAAAAJNi8xNC8yMDI2CAAAAAoxMi8zMS8yMDIzCQAAAAEwj5L6yP7J3gjR6Tbc/sneCCJDSVEuTllTRTpGQ04uSVFfR1JPU1NfTUFSR0lOLjIwMDAuAQAAAFJwAAACAAAABzMxLjg3ODUBCAAAAAUAAAABMQEAAAALLTE4OTMwNjI5MzUDAAAAAzE2MAIAAAAENDA3NAQAAAABMAcAAAAJNi8xNC8yMDI2CAAAAAkzLzMxLzIwMjYJAAAAATCPkvrI/sneCNHpNtz+yd4IIkNJUS5OWVNFOkZDTi5JUV9HUk9TU19NQVJHSU4uMTAwMC4BAAAAUnAAAAIAAAAGMzIuMTMzAQgAAAAFAAAAATEBAAAACy0xOTA0OTY5MTMxAwAAAAMxNjACAAAABDQwNzQEAAAAATAHAAAACTYvMTQvMjAyNggAAAAKMTIvMzEvMjAyNQkAAAABMI+S+sj+yd4I0ek23P7J3gghQ0lRLk5ZU0U6RkNOLklRX0dST1NTX01BUkdJTi45OTkuAQAAAFJwAAACAAAABzMxLjk1NTUBCAAAAAUAAAABMQEAAAALLTE5MDQ5NjkxNDUDAAAAAzE2MAIAAAAENDA3NAQAAAABMAcAAAAJNi8xNC8yMDI2CAAAAAoxMi8zMS8yMDI0CQAAAAEwj5L6yP7J3gjR6Tbc/sneCCFDSVEuTllTRTpGQ04uSVFfR1JPU1NfTUFSR0lOLjk5OC4BAAAAUnAAAAIAAAAHMzIuNTI5MwEIAAAABQAAAAExAQAAAAstMTkwNDk2OTE0NgMAAAADMTYwAgAAAAQ0MDc0BAAAAAEw</t>
  </si>
  <si>
    <t>BwAAAAk2LzE0LzIwMjYIAAAACjEyLzMxLzIwMjMJAAAAATCPkvrI/sneCNHpNtz+yd4IIENJUS5OWVNFOkZDTi5JUV9QRVJJT0REQVRFLjIwMDAuAQAAAFJwAAAFAAAACjMxLzAzLzIwMjYAj5L6yP7J3gjR6Tbc/sneCCBDSVEuTllTRTpGQ04uSVFfUEVSSU9EREFURS4xMDAwLgEAAABScAAABQAAAAozMS8xMi8yMDI1AI+S+sj+yd4I0ek23P7J3ggxQ0lRLk5BU0RBUUdTOklDRkkuSVFfRElMVVRfRVBTX0VYQ0wuMTAwMC4uLi5VU0QuSAEAAAAHdAAAAgAAAAQ0Ljk1AQgAAAAFAAAAATEBAAAACy0xOTA0NDIzODM0AwAAAAMxNjACAAAAAzE0MgQAAAABMAcAAAAJNi8xNC8yMDI2CAAAAAoxMi8zMS8yMDI1CQAAAAEwj5L6yP7J3gjzejTc/sneCDFDSVEuTkFTREFRR1M6SUNGSS5JUV9ESUxVVF9FUFNfRVhDTC4yMDAwLi4uLlVTRC5IAQAAAAd0AAACAAAACDQuNjI4ODU4AQgAAAAFAAAAATEBAAAACy0xODkwMzg1MDcwAwAAAAMxNjACAAAAAzE0MgQAAAABMAcAAAAJNi8xNC8yMDI2CAAAAAkzLzMxLzIwMjYJAAAAATCPkvrI/sneCPN6NNz+yd4ILENJUS5OQVNEQVFHUzpJQ0ZJLklRX1RPVEFMX1JFVi4xMDAwLi4uLlVTRC5IAQAAAAd0AAACAAAACDE4NzIuODUxAQgAAAAFAAAAATEBAAAACy0xOTA0NDIzODM0AwAAAAMxNjACAAAAAjI4BAAAAAEwBwAAAAk2LzE0LzIwMjYIAAAACjEyLzMxLzIwMjUJAAAA</t>
  </si>
  <si>
    <t>ATCPkvrI/sneCPN6NNz+yd4ILENJUS5OQVNEQVFHUzpJQ0ZJLklRX1RPVEFMX1JFVi4yMDAwLi4uLlVTRC5IAQAAAAd0AAACAAAACDE4MjIuNzMzAQgAAAAFAAAAATEBAAAACy0xODkwMzg1MDcwAwAAAAMxNjACAAAAAjI4BAAAAAEwBwAAAAk2LzE0LzIwMjYIAAAACTMvMzEvMjAyNgkAAAABMI+S+sj+yd4I83o03P7J3ggpQ0lRLk5BU0RBUUdTOklDRkkuSVFfRUJJVERBLjEwMDAuLi4uVVNELkgBAAAAB3QAAAIAAAAHMjAzLjYxMgEIAAAABQAAAAExAQAAAAstMTkwNDQyMzgzNAMAAAADMTYwAgAAAAQ0MDUxBAAAAAEwBwAAAAk2LzE0LzIwMjYIAAAACjEyLzMxLzIwMjUJAAAAATCPkvrI/sneCPN6NNz+yd4IKUNJUS5OQVNEQVFHUzpJQ0ZJLklRX0VCSVREQS4yMDAwLi4uLlVTRC5IAQAAAAd0AAACAAAABzE5OC40NjMBCAAAAAUAAAABMQEAAAALLTE4OTAzODUwNzADAAAAAzE2MAIAAAAENDA1MQQAAAABMAcAAAAJNi8xNC8yMDI2CAAAAAkzLzMxLzIwMjYJAAAAATCPkvrI/sneCPN6NNz+yd4IMUNJUS5OQVNEQVFHUzpJQ0ZJLklRX0NBU0hfU1RfSU5WRVNULjUwMC4uLkYuVVNELkgBAAAAB3QAAAIAAAAFMy44ODMBCAAAAAUAAAABMQEAAAALLTE4OTAzOTE2MTIDAAAAAzE2MAIAAAAEMTAwMgQAAAABMAcAAAAJNi8xNC8yMDI2CAAAAAkzLzMxLzIwMjYJAAAAATCPkvrI/sneCPN6NNz+yd4ILUNJUS5O</t>
  </si>
  <si>
    <t>QVNEQVFHUzpJQ0ZJLklRX1RPVEFMX0RFQlQuNTAwLi4uRi5VU0QuSAEAAAAHdAAAAgAAAAc2MDMuNzE1AQgAAAAFAAAAATEBAAAACy0xODkwMzkxNjEyAwAAAAMxNjACAAAABDQxNzMEAAAAATAHAAAACTYvMTQvMjAyNggAAAAJMy8zMS8yMDI2CQAAAAEwj5L6yP7J3gjzejTc/sneCC5DSVEuTkFTREFRR1M6SUNGSS5JUV9QUkVGX0VRVUlUWS41MDAuLi5GLlVTRC5IAQAAAAd0AAADAAAAAACPkvrI/sneCPN6NNz+yd4IOkNJUS5OQVNEQVFHUzpJQ0ZJLklRX01JTk9SSVRZX0lOVEVSRVNUX1RPVEFMLjUwMC4uLkYuVVNELkgBAAAAB3QAAAMAAAAAAI+S+sj+yd4I83o03P7J3ggsQ0lRLk5ZU0U6RkNOLklRX0RJTFVUX0VQU19FWENMLjEwMDAuLi4uVVNELkgBAAAAUnAAAAIAAAAEOC4yNAEIAAAABQAAAAExAQAAAAstMTkwNDk2OTEzMQMAAAADMTYwAgAAAAMxNDIEAAAAATAHAAAACTYvMTQvMjAyNggAAAAKMTIvMzEvMjAyNQkAAAABMI+S+sj+yd4I83o03P7J3ggsQ0lRLk5ZU0U6RkNOLklRX0RJTFVUX0VQU19FWENMLjIwMDAuLi4uVVNELkgBAAAAUnAAAAIAAAAIOC40NDYwMDUBCAAAAAUAAAABMQEAAAALLTE4OTMwNjI5MzUDAAAAAzE2MAIAAAADMTQyBAAAAAEwBwAAAAk2LzE0LzIwMjYIAAAACTMvMzEvMjAyNgkAAAABMI+S+sj+yd4I83o03P7J3ggnQ0lRLk5ZU0U6RkNOLklRX1RPVEFMX1JFVi4y</t>
  </si>
  <si>
    <t>MDAwLi4uLlVTRC5IAQAAAFJwAAACAAAABzM4NzMuOTIBCAAAAAUAAAABMQEAAAALLTE4OTMwNjI5MzUDAAAAAzE2MAIAAAACMjgEAAAAATAHAAAACTYvMTQvMjAyNggAAAAJMy8zMS8yMDI2CQAAAAEwj5L6yP7J3gjzejTc/sneCCRDSVEuTllTRTpGQ04uSVFfRUJJVERBLjEwMDAuLi4uVVNELkgBAAAAUnAAAAIAAAAHNDYzLjYxNQEIAAAABQAAAAExAQAAAAstMTkwNDk2OTEzMQMAAAADMTYwAgAAAAQ0MDUxBAAAAAEwBwAAAAk2LzE0LzIwMjYIAAAACjEyLzMxLzIwMjUJAAAAATCPkvrI/sneCPN6NNz+yd4IJENJUS5OWVNFOkZDTi5JUV9FQklUREEuMjAwMC4uLi5VU0QuSAEAAABScAAAAgAAAAc0NDUuMjY5AQgAAAAFAAAAATEBAAAACy0xODkzMDYyOTM1AwAAAAMxNjACAAAABDQwNTEEAAAAATAHAAAACTYvMTQvMjAyNggAAAAJMy8zMS8yMDI2CQAAAAEwj5L6yP7J3gjzejTc/sneCCxDSVEuTllTRTpGQ04uSVFfQ0FTSF9TVF9JTlZFU1QuNTAwLi4uRi5VU0QuSAEAAABScAAAAgAAAAcxOTguMjc2AQgAAAAFAAAAATEBAAAACy0xODkzMDY1Nzc1AwAAAAMxNjACAAAABDEwMDIEAAAAATAHAAAACTYvMTQvMjAyNggAAAAJMy8zMS8yMDI2CQAAAAEwj5L6yP7J3gjzejTc/sneCChDSVEuTllTRTpGQ04uSVFfVE9UQUxfREVCVC41MDAuLi5GLlVTRC5IAQAAAFJwAAACAAAACDEwMDYuOTkxAQgAAAAFAAAA</t>
  </si>
  <si>
    <t>ATEBAAAACy0xODkzMDY1Nzc1AwAAAAMxNjACAAAABDQxNzMEAAAAATAHAAAACTYvMTQvMjAyNggAAAAJMy8zMS8yMDI2CQAAAAEwj5L6yP7J3gjzejTc/sneCClDSVEuTllTRTpGQ04uSVFfUFJFRl9FUVVJVFkuNTAwLi4uRi5VU0QuSAEAAABScAAAAwAAAAAAj5L6yP7J3gjzejTc/sneCDVDSVEuTllTRTpGQ04uSVFfTUlOT1JJVFlfSU5URVJFU1RfVE9UQUwuNTAwLi4uRi5VU0QuSAEAAABScAAAAwAAAAAAj5L6yP7J3gjzejTc/sneCCdDSVEuTllTRTpGQ04uSVFfVE9UQUxfUkVWLjEwMDAuLi4uVVNELkgBAAAAUnAAAAIAAAAIMzc4OC44NTcBCAAAAAUAAAABMQEAAAALLTE5MDQ5NjkxMzEDAAAAAzE2MAIAAAACMjgEAAAAATAHAAAACTYvMTQvMjAyNggAAAAKMTIvMzEvMjAyNQkAAAABMI+S+sj+yd4I83o03P7J3ggoQ0lRLk5ZU0U6S0JSLklRX1RPVEFMX0RFQlQuNTAwLi4uRi5VU0QuSAEAAADqgD8AAgAAAAQyODExAQgAAAAFAAAAATEBAAAACy0xODkxNTM3ODU0AwAAAAMxNjACAAAABDQxNzMEAAAAATAHAAAACTYvMTQvMjAyNggAAAAINC8zLzIwMjYJAAAAATCPkvrI/sneCNHpNtz+yd4ILENJUS5OWVNFOktCUi5JUV9DQVNIX1NUX0lOVkVTVC41MDAuLi5GLlVTRC5IAQAAAOqAPwACAAAAAzM5MgEIAAAABQAAAAExAQAAAAstMTg5MTUzNzg1NAMAAAADMTYwAgAAAAQxMDAyBAAAAAEwBwAAAAk2</t>
  </si>
  <si>
    <t>LzE0LzIwMjYIAAAACDQvMy8yMDI2CQAAAAEwj5L6yP7J3gjR6Tbc/sneCCdDSVEuTllTRTpLQlIuSVFfVE9UQUxfUkVWLjIwMDAuLi4uVVNELkgBAAAA6oA/AAIAAAAENzY5MQEIAAAABQAAAAExAQAAAAstMTg5MTUzNzQwNQMAAAADMTYwAgAAAAIyOAQAAAABMAcAAAAJNi8xNC8yMDI2CAAAAAg0LzMvMjAyNgkAAAABMI+S+sj+yd4I0ek23P7J3ggnQ0lRLk5ZU0U6S0JSLklRX1RPVEFMX1JFVi4xMDAwLi4uLlVTRC5IAQAAAOqAPwACAAAABDc3ODYBCAAAAAUAAAABMQEAAAALLTE5MDQ3MTA1NDADAAAAAzE2MAIAAAACMjgEAAAAATAHAAAACTYvMTQvMjAyNggAAAAIMS8yLzIwMjYJAAAAATCPkvrI/sneCNHpNtz+yd4INUNJUS5OWVNFOktCUi5JUV9NSU5PUklUWV9JTlRFUkVTVF9UT1RBTC41MDAuLi5GLlVTRC5IAQAAAOqAPwACAAAAATUBCAAAAAUAAAABMQEAAAALLTE4OTE1Mzc4NTQDAAAAAzE2MAIAAAAEMTMxMgQAAAABMAcAAAAJNi8xNC8yMDI2CAAAAAg0LzMvMjAyNgkAAAABMI+S+sj+yd4I0ek23P7J3ggpQ0lRLk5ZU0U6S0JSLklRX1BSRUZfRVFVSVRZLjUwMC4uLkYuVVNELkgBAAAA6oA/AAMAAAAAAI+S+sj+yd4I0ek23P7J3ggsQ0lRLk5ZU0U6S0JSLklRX0RJTFVUX0VQU19FWENMLjIwMDAuLi4uVVNELkgBAAAA6oA/AAIAAAAIMy4zODkxMTkBCAAAAAUAAAABMQEAAAALLTE4OTE1Mzc0</t>
  </si>
  <si>
    <t>MDUDAAAAAzE2MAIAAAADMTQyBAAAAAEwBwAAAAk2LzE0LzIwMjYIAAAACDQvMy8yMDI2CQAAAAEwj5L6yP7J3gjR6Tbc/sneCCxDSVEuTllTRTpLQlIuSVFfRElMVVRfRVBTX0VYQ0wuMTAwMC4uLi5VU0QuSAEAAADqgD8AAgAAAAgzLjQ4ODM3MgEIAAAABQAAAAExAQAAAAstMTkwNDcxMDU0MAMAAAADMTYwAgAAAAMxNDIEAAAAATAHAAAACTYvMTQvMjAyNggAAAAIMS8yLzIwMjYJAAAAATCPkvrI/sneCNHpNtz+yd4IJENJUS5OWVNFOktCUi5JUV9FQklUREEuMjAwMC4uLi5VU0QuSAEAAADqgD8AAgAAAAM2NTQBCAAAAAUAAAABMQEAAAALLTE4OTE1Mzc0MDUDAAAAAzE2MAIAAAAENDA1MQQAAAABMAcAAAAJNi8xNC8yMDI2CAAAAAg0LzMvMjAyNgkAAAABMI+S+sj+yd4I0ek23P7J3ggkQ0lRLk5ZU0U6S0JSLklRX0VCSVREQS4xMDAwLi4uLlVTRC5IAQAAAOqAPwACAAAAAzY4NQEIAAAABQAAAAExAQAAAAstMTkwNDcxMDU0MAMAAAADMTYwAgAAAAQ0MDUxBAAAAAEwBwAAAAk2LzE0LzIwMjYIAAAACDEvMi8yMDI2CQAAAAEwj5L6yP7J3gjR6Tbc/sneCCBDSVEuTllTRTpLQlIuSVFfUEVSSU9EREFURS4yMDAwLgEAAADqgD8ABQAAAAowMy8wNC8yMDI2AI+S+sj+yd4IwhQ43P7J3gggQ0lRLk5ZU0U6S0JSLklRX1BFUklPRERBVEUuMTAwMC4BAAAA6oA/AAUAAAAKMDIvMDEvMjAyNgCPkvrI/sneCMIU</t>
  </si>
  <si>
    <t>ONz+yd4IIkNJUS5OWVNFOktCUi5JUV9FQklUREFfTUFSR0lOLjk5OC4BAAAA6oA/AAIAAAAGOC4yNTE4AQgAAAAFAAAAATEBAAAACy0xOTA0NzEwNTM3AwAAAAMxNjACAAAABDQwNDcEAAAAATAHAAAACTYvMTQvMjAyNggAAAAKMTIvMjkvMjAyMwkAAAABMI+S+sj+yd4I0ek23P7J3ggiQ0lRLk5ZU0U6S0JSLklRX0dST1NTX01BUkdJTi4yMDAwLgEAAADqgD8AAgAAAAcxNC40OTc0AQgAAAAFAAAAATEBAAAACy0xODkxNTM3NDA1AwAAAAMxNjACAAAABDQwNzQEAAAAATAHAAAACTYvMTQvMjAyNggAAAAINC8zLzIwMjYJAAAAATCPkvrI/sneCNHpNtz+yd4IIkNJUS5OWVNFOktCUi5JUV9HUk9TU19NQVJHSU4uMTAwMC4BAAAA6oA/AAIAAAAHMTQuNzcwMQEIAAAABQAAAAExAQAAAAstMTkwNDcxMDU0MAMAAAADMTYwAgAAAAQ0MDc0BAAAAAEwBwAAAAk2LzE0LzIwMjYIAAAACDEvMi8yMDI2CQAAAAEwj5L6yP7J3gjR6Tbc/sneCCFDSVEuTllTRTpLQlIuSVFfR1JPU1NfTUFSR0lOLjk5OS4BAAAA6oA/AAIAAAAHMTQuMjU0MgEIAAAABQAAAAExAQAAAAstMTkwNDcxMDUzOAMAAAADMTYwAgAAAAQ0MDc0BAAAAAEwBwAAAAk2LzE0LzIwMjYIAAAACDEvMy8yMDI1CQAAAAEwj5L6yP7J3gjR6Tbc/sneCCFDSVEuTllTRTpLQlIuSVFfR1JPU1NfTUFSR0lOLjk5OC4BAAAA6oA/AAIAAAAHMTQuMDQ1NAEIAAAA</t>
  </si>
  <si>
    <t>BQAAAAExAQAAAAstMTkwNDcxMDUzNwMAAAADMTYwAgAAAAQ0MDc0BAAAAAEwBwAAAAk2LzE0LzIwMjYIAAAACjEyLzI5LzIwMjMJAAAAATCPkvrI/sneCNHpNtz+yd4IHkNJUS5OWVNFOktCUi5JUV9OSV9NQVJHSU4uOTk5LgEAAADqgD8AAgAAAAY0Ljg2MzgBCAAAAAUAAAABMQEAAAALLTE5MDQ3MTA1MzgDAAAAAzE2MAIAAAAENDA5NAQAAAABMAcAAAAJNi8xNC8yMDI2CAAAAAgxLzMvMjAyNQkAAAABMI+S+sj+yd4I0ek23P7J3ggeQ0lRLk5ZU0U6S0JSLklRX05JX01BUkdJTi45OTguAQAAAOqAPwACAAAABy0zLjgwOTYBCAAAAAUAAAABMQEAAAALLTE5MDQ3MTA1MzcDAAAAAzE2MAIAAAAENDA5NAQAAAABMAcAAAAJNi8xNC8yMDI2CAAAAAoxMi8yOS8yMDIzCQAAAAEwj5L6yP7J3gjR6Tbc/sneCCNDSVEuTllTRTpLQlIuSVFfRUJJVERBX01BUkdJTi4yMDAwLgEAAADqgD8AAgAAAAY4LjUwMzQBCAAAAAUAAAABMQEAAAALLTE4OTE1Mzc0MDUDAAAAAzE2MAIAAAAENDA0NwQAAAABMAcAAAAJNi8xNC8yMDI2CAAAAAg0LzMvMjAyNgkAAAABMI+S+sj+yd4I0ek23P7J3ggjQ0lRLk5ZU0U6S0JSLklRX0VCSVREQV9NQVJHSU4uMTAwMC4BAAAA6oA/AAIAAAAGOC43OTc4AQgAAAAFAAAAATEBAAAACy0xOTA0NzEwNTQwAwAAAAMxNjACAAAABDQwNDcEAAAAATAHAAAACTYvMTQvMjAyNggAAAAIMS8yLzIw</t>
  </si>
  <si>
    <t>MjYJAAAAATCPkvrI/sneCNHpNtz+yd4IIkNJUS5OWVNFOktCUi5JUV9FQklUREFfTUFSR0lOLjk5OS4BAAAA6oA/AAIAAAAGOC41NjAzAQgAAAAFAAAAATEBAAAACy0xOTA0NzEwNTM4AwAAAAMxNjACAAAABDQwNDcEAAAAATAHAAAACTYvMTQvMjAyNggAAAAIMS8zLzIwMjUJAAAAATCPkvrI/sneCNHpNtz+yd4ILkNJUS5OWVNFOktCUi5JUV9UT1RBTF9SRVZfMVlSX0FOTl9HUk9XVEguMTAwMC4BAAAA6oA/AAIAAAAGMC45ODU3AQgAAAAFAAAAATEBAAAACy0xOTA0NzEwNTQwAwAAAAMxNjACAAAABDQxOTQEAAAAATAHAAAACTYvMTQvMjAyNggAAAAIMS8yLzIwMjYJAAAAATCPkvrI/sneCNHpNtz+yd4ILENJUS5OWVNFOktCUi5JUV9UT1RBTF9SRVZfM1lSX0FOTl9DQUdSLjIwMDAuAQAAAOqAPwACAAAABjUuNDgyNgEIAAAABQAAAAExAQAAAAstMTg5MTUzNzQwNQMAAAADMTYwAgAAAAQ0MjIwBAAAAAEwBwAAAAk2LzE0LzIwMjYIAAAACDQvMy8yMDI2CQAAAAEwj5L6yP7J3gjR6Tbc/sneCCxDSVEuTllTRTpLQlIuSVFfVE9UQUxfUkVWXzVZUl9BTk5fQ0FHUi4yMDAwLgEAAADqgD8AAgAAAAY2LjIwODQBCAAAAAUAAAABMQEAAAALLTE4OTE1Mzc0MDUDAAAAAzE2MAIAAAAENDIzMwQAAAABMAcAAAAJNi8xNC8yMDI2CAAAAAg0LzMvMjAyNgkAAAABMI+S+sj+yd4I0ek23P7J3ggfQ0lRLk5ZU0U6S0JS</t>
  </si>
  <si>
    <t>LklRX05JX01BUkdJTi4yMDAwLgEAAADqgD8AAgAAAAY1LjIxMzgBCAAAAAUAAAABMQEAAAALLTE4OTE1Mzc0MDUDAAAAAzE2MAIAAAAENDA5NAQAAAABMAcAAAAJNi8xNC8yMDI2CAAAAAg0LzMvMjAyNgkAAAABMI+S+sj+yd4I0ek23P7J3ggfQ0lRLk5ZU0U6S0JSLklRX05JX01BUkdJTi4xMDAwLgEAAADqgD8AAgAAAAQ1LjMzAQgAAAAFAAAAATEBAAAACy0xOTA0NzEwNTQwAwAAAAMxNjACAAAABDQwOTQEAAAAATAHAAAACTYvMTQvMjAyNggAAAAIMS8yLzIwMjYJAAAAATCPkvrI/sneCNHpNtz+yd4IK0NJUS5OWVNFOktCUi5JUV9FQklUREFfMVlSX0FOTl9HUk9XVEguMjAwMC4BAAAA6oA/AAIAAAAHLTUuMDc5OQEIAAAABQAAAAExAQAAAAstMTg5MTUzNzQwNQMAAAADMTYwAgAAAAQ0MTk2BAAAAAEwBwAAAAk2LzE0LzIwMjYIAAAACDQvMy8yMDI2CQAAAAEwj5L6yP7J3gjR6Tbc/sneCCtDSVEuTllTRTpLQlIuSVFfRUJJVERBXzFZUl9BTk5fR1JPV1RILjEwMDAuAQAAAOqAPwACAAAABjMuNzg3OAEIAAAABQAAAAExAQAAAAstMTkwNDcxMDU0MAMAAAADMTYwAgAAAAQ0MTk2BAAAAAEwBwAAAAk2LzE0LzIwMjYIAAAACDEvMi8yMDI2CQAAAAEwj5L6yP7J3gjR6Tbc/sneCClDSVEuTllTRTpLQlIuSVFfRUJJVERBXzNZUl9BTk5fQ0FHUi4yMDAwLgEAAADqgD8AAgAAAAY3LjE5MTcBCAAAAAUAAAAB</t>
  </si>
  <si>
    <t>MQEAAAALLTE4OTE1Mzc0MDUDAAAAAzE2MAIAAAAENDIyMgQAAAABMAcAAAAJNi8xNC8yMDI2CAAAAAg0LzMvMjAyNgkAAAABMI+S+sj+yd4I0ek23P7J3ggpQ0lRLk5ZU0U6S0JSLklRX0VCSVREQV81WVJfQU5OX0NBR1IuMjAwMC4BAAAA6oA/AAIAAAAFOS43ODkBCAAAAAUAAAABMQEAAAALLTE4OTE1Mzc0MDUDAAAAAzE2MAIAAAAENDIzNQQAAAABMAcAAAAJNi8xNC8yMDI2CAAAAAg0LzMvMjAyNgkAAAABMI+S+sj+yd4I0ek23P7J3gguQ0lRLk5ZU0U6S0JSLklRX1RPVEFMX1JFVl8xWVJfQU5OX0dST1dUSC4yMDAwLgEAAADqgD8AAgAAAActMi43Njg3AQgAAAAFAAAAATEBAAAACy0xODkxNTM3NDA1AwAAAAMxNjACAAAABDQxOTQEAAAAATAHAAAACTYvMTQvMjAyNggAAAAINC8zLzIwMjYJAAAAATCPkvrI/sneCNHpNtz+yd4IJ0NJUS5OWVNFOktCUi5JUV9UT1RBTF9ERUJUX0VCSVREQS4yMDAwLgEAAADqgD8AAgAAAAgzLjMyNjYyNwEIAAAABQAAAAExAQAAAAstMTg5MTUzNzQwNQMAAAADMTYwAgAAAAQ0MTkyBAAAAAEwBwAAAAk2LzE0LzIwMjYIAAAACDQvMy8yMDI2CQAAAAEwj5L6yP7J3gjR6Tbc/sneCChDSVEuTllTRTpLQlIuSVFfRVBTXzFZUl9BTk5fR1JPV1RILjIwMDAuAQAAAOqAPwACAAAABzEzLjA0NDEBCAAAAAUAAAABMQEAAAALLTE4OTE1Mzc0MDUDAAAAAzE2MAIAAAAENDIwMAQA</t>
  </si>
  <si>
    <t>AAABMAcAAAAJNi8xNC8yMDI2CAAAAAg0LzMvMjAyNgkAAAABMI+S+sj+yd4I0ek23P7J3ggoQ0lRLk5ZU0U6S0JSLklRX0VQU18xWVJfQU5OX0dST1dUSC4xMDAwLgEAAADqgD8AAgAAAAYyNS40ODEBCAAAAAUAAAABMQEAAAALLTE5MDQ3MTA1NDADAAAAAzE2MAIAAAAENDIwMAQAAAABMAcAAAAJNi8xNC8yMDI2CAAAAAgxLzIvMjAyNgkAAAABMI+S+sj+yd4I0ek23P7J3ggmQ0lRLk5ZU0U6S0JSLklRX0VQU18zWVJfQU5OX0NBR1IuMjAwMC4BAAAA6oA/AAIAAAAHMTUuMTExMwEIAAAABQAAAAExAQAAAAstMTg5MTUzNzQwNQMAAAADMTYwAgAAAAQ0MjI2BAAAAAEwBwAAAAk2LzE0LzIwMjYIAAAACDQvMy8yMDI2CQAAAAEwj5L6yP7J3gjR6Tbc/sneCCZDSVEuTllTRTpLQlIuSVFfRVBTXzVZUl9BTk5fQ0FHUi4yMDAwLgEAAADqgD8AAgAAAAc0Mi45NzY5AQgAAAAFAAAAATEBAAAACy0xODkxNTM3NDA1AwAAAAMxNjACAAAABDQyMzkEAAAAATAHAAAACTYvMTQvMjAyNggAAAAINC8zLzIwMjYJAAAAATCPkvrI/sneCNHpNtz+yd4IJ0NJUS5OWVNFOktCUi5JUV9UT1RBTF9ERUJUX0NBUElUQUwuNTAwLgEAAADqgD8AAgAAAAc2My44ODYzAQgAAAAFAAAAATEBAAAACy0xODkxNTM3ODU0AwAAAAMxNjACAAAABDQxODYEAAAAATAHAAAACTYvMTQvMjAyNggAAAAINC8zLzIwMjYJAAAAATCPkvrI/sneCNHp</t>
  </si>
  <si>
    <t>Ntz+yd4IJkNJUS5OWVNFOktCUi5JUV9UT1RBTF9ERUJUX0VRVUlUWS41MDAuAQAAAOqAPwACAAAACDE3Ni45MDM3AQgAAAAFAAAAATEBAAAACy0xODkxNTM3ODU0AwAAAAMxNjACAAAABDQwMzQEAAAAATAHAAAACTYvMTQvMjAyNggAAAAINC8zLzIwMjYJAAAAATCPkvrI/sneCNHpNtz+yd4IJkNJUS5OWVNFOktCUi5JUV9FQklUREFfQ0FQRVhfSU5ULjIwMDAuAQAAAOqAPwACAAAABzUuMTQ5MzUBCAAAAAUAAAABMQEAAAALLTE4OTE1Mzc0MDUDAAAAAzE2MAIAAAAENDE5MQQAAAABMAcAAAAJNi8xNC8yMDI2CAAAAAg0LzMvMjAyNgkAAAABMI+S+sj+yd4I0ek23P7J3gggQ0lRLk5ZU0U6S0JSLklRX0VCSVREQV9JTlQuMjAwMC4BAAAA6oA/AAIAAAAINS40ODcwMTIBCAAAAAUAAAABMQEAAAALLTE4OTE1Mzc0MDUDAAAAAzE2MAIAAAAENDE5MAQAAAABMAcAAAAJNi8xNC8yMDI2CAAAAAg0LzMvMjAyNgkAAAABMI+S+sj+yd4I0ek23P7J3gglQ0lRLk5ZU0U6S0JSLklRX05FVF9ERUJUX0VCSVREQS4yMDAwLgEAAADqgD8AAgAAAAgyLjg2MjcyMQEIAAAABQAAAAExAQAAAAstMTg5MTUzNzQwNQMAAAADMTYwAgAAAAQ0MTkzBAAAAAEwBwAAAAk2LzE0LzIwMjYIAAAACDQvMy8yMDI2CQAAAAEwj5L6yP7J3gjR6Tbc/sneCCBDSVEuTllTRTpLQlIuSVFfUVVJQ0tfUkFUSU8uNTAwLgEAAADqgD8AAgAAAAgx</t>
  </si>
  <si>
    <t>LjA0NjkxMgEIAAAABQAAAAExAQAAAAstMTg5MTUzNzg1NAMAAAADMTYwAgAAAAQ0MTIxBAAAAAEwBwAAAAk2LzE0LzIwMjYIAAAACDQvMy8yMDI2CQAAAAEwj5L6yP7J3gjR6Tbc/sneCCJDSVEuTllTRTpLQlIuSVFfQ1VSUkVOVF9SQVRJTy41MDAuAQAAAOqAPwACAAAACDEuMTU2MTc1AQgAAAAFAAAAATEBAAAACy0xODkxNTM3ODU0AwAAAAMxNjACAAAABDQwMzAEAAAAATAHAAAACTYvMTQvMjAyNggAAAAINC8zLzIwMjYJAAAAATCPkvrI/sneCNHpNtz+yd4ILUNJUS5OWVNFOktCUi5JUV9SRVRVUk5fSU5WRVNURURfQ0FQSVRBTC4yMDAwLgEAAADqgD8AAgAAAAY3LjE4MTgAj5L6yP7J3gjR6Tbc/sneCCNDSVEuTllTRTpLQlIuSVFfUkVUVVJOX0FTU0VUUy4yMDAwLgEAAADqgD8AAgAAAAY0Ljk4MjUBCAAAAAUAAAABMQEAAAALLTE4OTE1Mzc0MDUDAAAAAzE2MAIAAAAENDE3OAQAAAABMAcAAAAJNi8xNC8yMDI2CAAAAAg0LzMvMjAyNgkAAAABMI+S+sj+yd4I0ek23P7J3ggjQ0lRLk5ZU0U6S0JSLklRX1JFVFVSTl9FUVVJVFkuMjAwMC4BAAAA6oA/AAIAAAAHMjkuMTQ4NwEIAAAABQAAAAExAQAAAAstMTg5MTUzNzQwNQMAAAADMTYwAgAAAAQ0MTI4BAAAAAEwBwAAAAk2LzE0LzIwMjYIAAAACDQvMy8yMDI2CQAAAAEwj5L6yP7J3gjR6Tbc/sneCCFDSVEuTllTRTpLQlIuSVFfQVNTRVRfVFVSTlMu</t>
  </si>
  <si>
    <t>MjAwMC4BAAAA6oA/AAIAAAAIMS4xNDE3NzUBCAAAAAUAAAABMQEAAAALLTE4OTE1Mzc0MDUDAAAAAzE2MAIAAAAENDE3NwQAAAABMAcAAAAJNi8xNC8yMDI2CAAAAAg0LzMvMjAyNgkAAAABMI+S+sj+yd4I0ek23P7J3gglQ0lRLk5ZU0U6S0JSLklRX0NBU0hfQ09OVkVSU0lPTi4yMDAwLgEAAADqgD8AAwAAAAAAj5L6yP7J3gjR6Tbc/sneCCZDSVEuTllTRTpLQlIuSVFfREFZU19QQVlBQkxFX09VVC4yMDAwLgEAAADqgD8AAgAAAAk0MS40NTkyMzYBCAAAAAUAAAABMQEAAAALLTE4OTE1Mzc0MDUDAAAAAzE2MAIAAAAENDE4MwQAAAABMAcAAAAJNi8xNC8yMDI2CAAAAAg0LzMvMjAyNgkAAAABMI+S+sj+yd4I0ek23P7J3ggoQ0lRLk5ZU0U6S0JSLklRX0RBWVNfSU5WRU5UT1JZX09VVC4yMDAwLgEAAADqgD8AAwAAAAAAj5L6yP7J3gjR6Tbc/sneCCRDSVEuTllTRTpLQlIuSVFfREFZU19TQUxFU19PVVQuMjAwMC4BAAAA6oA/AAIAAAAINjYuMjgyNTgBCAAAAAUAAAABMQEAAAALLTE4OTE1Mzc0MDUDAAAAAzE2MAIAAAAENDA0MgQAAAABMAcAAAAJNi8xNC8yMDI2CAAAAAg0LzMvMjAyNgkAAAABMI+S+sj+yd4I0ek23P7J3gglQ0lRLk5ZU0U6S0JSLklRX0lOVkVOVE9SWV9UVVJOUy4yMDAwLgEAAADqgD8AAwAAAAAAj5L6yP7J3gjR6Tbc/sneCB5DSVEuTllTRTpLQlIuSVFfQVJfVFVSTlMuMjAwMC4B</t>
  </si>
  <si>
    <t>AAAA6oA/AAIAAAAHNS40OTE2MQEIAAAABQAAAAExAQAAAAstMTg5MTUzNzQwNQMAAAADMTYwAgAAAAQ0MDAxBAAAAAEwBwAAAAk2LzE0LzIwMjYIAAAACDQvMy8yMDI2CQAAAAEwj5L6yP7J3gjR6Tbc/sneCCdDSVEuTllTRTpLQlIuSVFfRklYRURfQVNTRVRfVFVSTlMuMjAwMC4BAAAA6oA/AAIAAAAJMTYuNTkzMzExAQgAAAAFAAAAATEBAAAACy0xODkxNTM3NDA1AwAAAAMxNjACAAAABDQwNjYEAAAAATAHAAAACTYvMTQvMjAyNggAAAAINC8zLzIwMjYJAAAAATCPkvrI/sneCNHpNtz+yd4ILUNJUS5OWVNFOkxET1MuSVFfRElMVVRfRVBTX0VYQ0wuMTAwMC4uLi5VU0QuSAEAAACVsAEAAgAAAAUxMS4xNAEIAAAABQAAAAExAQAAAAstMTkwNjA4MDM4NwMAAAADMTYwAgAAAAMxNDIEAAAAATAHAAAACTYvMTQvMjAyNggAAAAIMS8yLzIwMjYJAAAAATCPkvrI/sneCKUPMtz+yd4ILUNJUS5OWVNFOkxET1MuSVFfRElMVVRfRVBTX0VYQ0wuMjAwMC4uLi5VU0QuSAEAAACVsAEAAgAAAAkxMC45MzIzNzkBCAAAAAUAAAABMQEAAAALLTE4OTE1NTI4NjYDAAAAAzE2MAIAAAADMTQyBAAAAAEwBwAAAAk2LzE0LzIwMjYIAAAACDQvMy8yMDI2CQAAAAEwj5L6yP7J3gilDzLc/sneCChDSVEuTllTRTpMRE9TLklRX1RPVEFMX1JFVi4xMDAwLi4uLlVTRC5IAQAAAJWwAQACAAAABTE3MTc0AQgAAAAFAAAAATEBAAAA</t>
  </si>
  <si>
    <t>Cy0xOTA2MDgwMzg3AwAAAAMxNjACAAAAAjI4BAAAAAEwBwAAAAk2LzE0LzIwMjYIAAAACDEvMi8yMDI2CQAAAAEwj5L6yP7J3gilDzLc/sneCChDSVEuTllTRTpMRE9TLklRX1RPVEFMX1JFVi4yMDAwLi4uLlVTRC5IAQAAAJWwAQACAAAABTE3MzI5AQgAAAAFAAAAATEBAAAACy0xODkxNTUyODY2AwAAAAMxNjACAAAAAjI4BAAAAAEwBwAAAAk2LzE0LzIwMjYIAAAACDQvMy8yMDI2CQAAAAEwj5L6yP7J3gilDzLc/sneCCVDSVEuTllTRTpMRE9TLklRX0VCSVREQS4xMDAwLi4uLlVTRC5IAQAAAJWwAQACAAAABDIzOTABCAAAAAUAAAABMQEAAAALLTE5MDYwODAzODcDAAAAAzE2MAIAAAAENDA1MQQAAAABMAcAAAAJNi8xNC8yMDI2CAAAAAgxLzIvMjAyNgkAAAABMI+S+sj+yd4IpQ8y3P7J3gglQ0lRLk5ZU0U6TERPUy5JUV9FQklUREEuMjAwMC4uLi5VU0QuSAEAAACVsAEAAgAAAAQyNDA0AQgAAAAFAAAAATEBAAAACy0xODkxNTUyODY2AwAAAAMxNjACAAAABDQwNTEEAAAAATAHAAAACTYvMTQvMjAyNggAAAAINC8zLzIwMjYJAAAAATCPkvrI/sneCKUPMtz+yd4ILUNJUS5OWVNFOkxET1MuSVFfQ0FTSF9TVF9JTlZFU1QuNTAwLi4uRi5VU0QuSAEAAACVsAEAAgAAAAM0NTcBCAAAAAUAAAABMQEAAAALLTE4OTE1NTQxNjkDAAAAAzE2MAIAAAAEMTAwMgQAAAABMAcAAAAJNi8xNC8yMDI2CAAAAAg0LzMv</t>
  </si>
  <si>
    <t>MjAyNgkAAAABMI+S+sj+yd4IpQ8y3P7J3ggpQ0lRLk5ZU0U6TERPUy5JUV9UT1RBTF9ERUJULjUwMC4uLkYuVVNELkgBAAAAlbABAAIAAAAENjk0NAEIAAAABQAAAAExAQAAAAstMTg5MTU1NDE2OQMAAAADMTYwAgAAAAQ0MTczBAAAAAEwBwAAAAk2LzE0LzIwMjYIAAAACDQvMy8yMDI2CQAAAAEwj5L6yP7J3gilDzLc/sneCCpDSVEuTllTRTpMRE9TLklRX1BSRUZfRVFVSVRZLjUwMC4uLkYuVVNELkgBAAAAlbABAAMAAAAAAI+S+sj+yd4IpQ8y3P7J3gg2Q0lRLk5ZU0U6TERPUy5JUV9NSU5PUklUWV9JTlRFUkVTVF9UT1RBTC41MDAuLi5GLlVTRC5IAQAAAJWwAQACAAAAAjUxAQgAAAAFAAAAATEBAAAACy0xODkxNTU0MTY5AwAAAAMxNjACAAAABDEzMTIEAAAAATAHAAAACTYvMTQvMjAyNggAAAAINC8zLzIwMjYJAAAAATCPkvrI/sneCKUPMtz+yd4IMUNJUS5OQVNEQVFHUzpTQUlDLklRX0NBU0hfU1RfSU5WRVNULjUwMC4uLkYuVVNELkgBAAAAsFbPDQIAAAADMTA5AQgAAAAFAAAAATEBAAAACy0xODg1NzUxNDE2AwAAAAMxNjACAAAABDEwMDIEAAAAATAHAAAACTYvMTQvMjAyNggAAAAINS8xLzIwMjYJAAAAATCPkvrI/sneCKUPMtz+yd4ILENJUS5OQVNEQVFHUzpTQUlDLklRX1RPVEFMX1JFVi4yMDAwLi4uLlVTRC5IAQAAALBWzw0CAAAABDcyOTEBCAAAAAUAAAABMQEAAAALLTE4ODU3NTEwMTUD</t>
  </si>
  <si>
    <t>AAAAAzE2MAIAAAACMjgEAAAAATAHAAAACTYvMTQvMjAyNggAAAAINS8xLzIwMjYJAAAAATCPkvrI/sneCKUPMtz+yd4ILENJUS5OQVNEQVFHUzpTQUlDLklRX1RPVEFMX1JFVi4xMDAwLi4uLlVTRC5IAQAAALBWzw0CAAAABDcyNjIBCAAAAAUAAAABMQEAAAALLTE5MDEyNzI1NjUDAAAAAzE2MAIAAAACMjgEAAAAATAHAAAACTYvMTQvMjAyNggAAAAJMS8zMC8yMDI2CQAAAAEwj5L6yP7J3gilDzLc/sneCDpDSVEuTkFTREFRR1M6U0FJQy5JUV9NSU5PUklUWV9JTlRFUkVTVF9UT1RBTC41MDAuLi5GLlVTRC5IAQAAALBWzw0DAAAAAACPkvrI/sneCKUPMtz+yd4ILkNJUS5OQVNEQVFHUzpTQUlDLklRX1BSRUZfRVFVSVRZLjUwMC4uLkYuVVNELkgBAAAAsFbPDQMAAAAAAI+S+sj+yd4IpQ8y3P7J3ggtQ0lRLk5BU0RBUUdTOlNBSUMuSVFfVE9UQUxfREVCVC41MDAuLi5GLlVTRC5IAQAAALBWzw0CAAAABDI2NzUBCAAAAAUAAAABMQEAAAALLTE4ODU3NTE0MTYDAAAAAzE2MAIAAAAENDE3MwQAAAABMAcAAAAJNi8xNC8yMDI2CAAAAAg1LzEvMjAyNgkAAAABMI+S+sj+yd4IpQ8y3P7J3ggxQ0lRLk5BU0RBUUdTOlNBSUMuSVFfRElMVVRfRVBTX0VYQ0wuMTAwMC4uLi5VU0QuSAEAAACwVs8NAgAAAAM3LjcBCAAAAAUAAAABMQEAAAALLTE5MDEyNzI1NjUDAAAAAzE2MAIAAAADMTQyBAAAAAEwBwAAAAk2LzE0</t>
  </si>
  <si>
    <t>LzIwMjYIAAAACTEvMzAvMjAyNgkAAAABMI+S+sj+yd4IpQ8y3P7J3ggpQ0lRLk5BU0RBUUdTOlNBSUMuSVFfRUJJVERBLjIwMDAuLi4uVVNELkgBAAAAsFbPDQIAAAADNzM3AQgAAAAFAAAAATEBAAAACy0xODg1NzUxMDE1AwAAAAMxNjACAAAABDQwNTEEAAAAATAHAAAACTYvMTQvMjAyNggAAAAINS8xLzIwMjYJAAAAATCPkvrI/sneCKUPMtz+yd4IKUNJUS5OQVNEQVFHUzpTQUlDLklRX0VCSVREQS4xMDAwLi4uLlVTRC5IAQAAALBWzw0CAAAAAzY4NwEIAAAABQAAAAExAQAAAAstMTkwMTI3MjU2NQMAAAADMTYwAgAAAAQ0MDUxBAAAAAEwBwAAAAk2LzE0LzIwMjYIAAAACTEvMzAvMjAyNgkAAAABMI+S+sj+yd4IpQ8y3P7J3ggxQ0lRLk5BU0RBUUdTOlNBSUMuSVFfRElMVVRfRVBTX0VYQ0wuMjAwMC4uLi5VU0QuSAEAAACwVs8NAgAAAAg4Ljg5MTYzNQEIAAAABQAAAAExAQAAAAstMTg4NTc1MTAxNQMAAAADMTYwAgAAAAMxNDIEAAAAATAHAAAACTYvMTQvMjAyNggAAAAINS8xLzIwMjYJAAAAATCPkvrI/sneCKUPMtz+yd4IJUNJUS5OQVNEQVFHUzpTQUlDLklRX1BFUklPRERBVEUuMjAwMC4BAAAAsFbPDQUAAAAKMDEvMDUvMjAyNgCPkvrI/sneCKUPMtz+yd4IJUNJUS5OQVNEQVFHUzpTQUlDLklRX1BFUklPRERBVEUuMTAwMC4BAAAAsFbPDQUAAAAKMzAvMDEvMjAyNgCPkvrI/sneCKUPMtz+yd4I</t>
  </si>
  <si>
    <t>JkNJUS5OQVNEQVFHUzpTQUlDLklRX0dST1NTX01BUkdJTi45OTguAQAAALBWzw0CAAAABzExLjcxNDEBCAAAAAUAAAABMQEAAAALLTE5MDEyNzI1NjkDAAAAAzE2MAIAAAAENDA3NAQAAAABMAcAAAAJNi8xNC8yMDI2CAAAAAgyLzIvMjAyNAkAAAABMI+S+sj+yd4IpQ8y3P7J3ggnQ0lRLk5BU0RBUUdTOlNBSUMuSVFfRUJJVERBX01BUkdJTi45OTkuAQAAALBWzw0CAAAABjkuMzMyNwEIAAAABQAAAAExAQAAAAstMTkwMTI3MjU3MAMAAAADMTYwAgAAAAQ0MDQ3BAAAAAEwBwAAAAk2LzE0LzIwMjYIAAAACTEvMzEvMjAyNQkAAAABMI+S+sj+yd4IpQ8y3P7J3ggnQ0lRLk5BU0RBUUdTOlNBSUMuSVFfRUJJVERBX01BUkdJTi45OTguAQAAALBWzw0CAAAABjguODc5NgEIAAAABQAAAAExAQAAAAstMTkwMTI3MjU2OQMAAAADMTYwAgAAAAQ0MDQ3BAAAAAEwBwAAAAk2LzE0LzIwMjYIAAAACDIvMi8yMDI0CQAAAAEwj5L6yP7J3gilDzLc/sneCCdDSVEuTkFTREFRR1M6U0FJQy5JUV9HUk9TU19NQVJHSU4uMjAwMC4BAAAAsFbPDQIAAAAHMTIuNjA0NQEIAAAABQAAAAExAQAAAAstMTg4NTc1MTAxNQMAAAADMTYwAgAAAAQ0MDc0BAAAAAEwBwAAAAk2LzE0LzIwMjYIAAAACDUvMS8yMDI2CQAAAAEwj5L6yP7J3gilDzLc/sneCCdDSVEuTkFTREFRR1M6U0FJQy5JUV9HUk9TU19NQVJHSU4uMTAwMC4BAAAAsFbP</t>
  </si>
  <si>
    <t>DQIAAAAHMTIuMTA0MQEIAAAABQAAAAExAQAAAAstMTkwMTI3MjU2NQMAAAADMTYwAgAAAAQ0MDc0BAAAAAEwBwAAAAk2LzE0LzIwMjYIAAAACTEvMzAvMjAyNgkAAAABMI+S+sj+yd4IpQ8y3P7J3ggmQ0lRLk5BU0RBUUdTOlNBSUMuSVFfR1JPU1NfTUFSR0lOLjk5OS4BAAAAsFbPDQIAAAAHMTEuOTI2NwEIAAAABQAAAAExAQAAAAstMTkwMTI3MjU3MAMAAAADMTYwAgAAAAQ0MDc0BAAAAAEwBwAAAAk2LzE0LzIwMjYIAAAACTEvMzEvMjAyNQkAAAABMI+S+sj+yd4IpQ8y3P7J3ggkQ0lRLk5BU0RBUUdTOlNBSUMuSVFfTklfTUFSR0lOLjEwMDAuAQAAALBWzw0CAAAABjQuOTI5NwEIAAAABQAAAAExAQAAAAstMTkwMTI3MjU2NQMAAAADMTYwAgAAAAQ0MDk0BAAAAAEwBwAAAAk2LzE0LzIwMjYIAAAACTEvMzAvMjAyNgkAAAABMI+S+sj+yd4IpQ8y3P7J3ggjQ0lRLk5BU0RBUUdTOlNBSUMuSVFfTklfTUFSR0lOLjk5OS4BAAAAsFbPDQIAAAAGNC44NDAyAQgAAAAFAAAAATEBAAAACy0xOTAxMjcyNTcwAwAAAAMxNjACAAAABDQwOTQEAAAAATAHAAAACTYvMTQvMjAyNggAAAAJMS8zMS8yMDI1CQAAAAEwj5L6yP7J3gilDzLc/sneCCNDSVEuTkFTREFRR1M6U0FJQy5JUV9OSV9NQVJHSU4uOTk4LgEAAACwVs8NAgAAAAY2LjQwNzgBCAAAAAUAAAABMQEAAAALLTE5MDEyNzI1NjkDAAAAAzE2MAIAAAAENDA5</t>
  </si>
  <si>
    <t>NAQAAAABMAcAAAAJNi8xNC8yMDI2CAAAAAgyLzIvMjAyNAkAAAABMI+S+sj+yd4IpQ8y3P7J3ggoQ0lRLk5BU0RBUUdTOlNBSUMuSVFfRUJJVERBX01BUkdJTi4yMDAwLgEAAACwVs8NAgAAAAcxMC4xMDgzAQgAAAAFAAAAATEBAAAACy0xODg1NzUxMDE1AwAAAAMxNjACAAAABDQwNDcEAAAAATAHAAAACTYvMTQvMjAyNggAAAAINS8xLzIwMjYJAAAAATCPkvrI/sneCKUPMtz+yd4IKENJUS5OQVNEQVFHUzpTQUlDLklRX0VCSVREQV9NQVJHSU4uMTAwMC4BAAAAsFbPDQIAAAAGOS40NjAyAQgAAAAFAAAAATEBAAAACy0xOTAxMjcyNTY1AwAAAAMxNjACAAAABDQwNDcEAAAAATAHAAAACTYvMTQvMjAyNggAAAAJMS8zMC8yMDI2CQAAAAEwj5L6yP7J3gilDzLc/sneCDNDSVEuTkFTREFRR1M6U0FJQy5JUV9UT1RBTF9SRVZfMVlSX0FOTl9HUk9XVEguMjAwMC4BAAAAsFbPDQIAAAAHLTIuOTAzMgEIAAAABQAAAAExAQAAAAstMTg4NTc1MTAxNQMAAAADMTYwAgAAAAQ0MTk0BAAAAAEwBwAAAAk2LzE0LzIwMjYIAAAACDUvMS8yMDI2CQAAAAEwj5L6yP7J3gilDzLc/sneCDNDSVEuTkFTREFRR1M6U0FJQy5JUV9UT1RBTF9SRVZfMVlSX0FOTl9HUk9XVEguMTAwMC4BAAAAsFbPDQIAAAAHLTIuOTAxNQEIAAAABQAAAAExAQAAAAstMTkwMTI3MjU2NQMAAAADMTYwAgAAAAQ0MTk0BAAAAAEwBwAAAAk2LzE0LzIw</t>
  </si>
  <si>
    <t>MjYIAAAACTEvMzAvMjAyNgkAAAABMI+S+sj+yd4IpQ8y3P7J3ggxQ0lRLk5BU0RBUUdTOlNBSUMuSVFfVE9UQUxfUkVWXzNZUl9BTk5fQ0FHUi4yMDAwLgEAAACwVs8NAgAAAActMS45NTU1AQgAAAAFAAAAATEBAAAACy0xODg1NzUxMDE1AwAAAAMxNjACAAAABDQyMjAEAAAAATAHAAAACTYvMTQvMjAyNggAAAAINS8xLzIwMjYJAAAAATCPkvrI/sneCKUPMtz+yd4IMUNJUS5OQVNEQVFHUzpTQUlDLklRX1RPVEFMX1JFVl81WVJfQU5OX0NBR1IuMjAwMC4BAAAAsFbPDQIAAAAGMC4zMTU3AQgAAAAFAAAAATEBAAAACy0xODg1NzUxMDE1AwAAAAMxNjACAAAABDQyMzMEAAAAATAHAAAACTYvMTQvMjAyNggAAAAINS8xLzIwMjYJAAAAATCPkvrI/sneCKUPMtz+yd4IJENJUS5OQVNEQVFHUzpTQUlDLklRX05JX01BUkdJTi4yMDAwLgEAAACwVs8NAgAAAAY1LjU1NDcBCAAAAAUAAAABMQEAAAALLTE4ODU3NTEwMTUDAAAAAzE2MAIAAAAENDA5NAQAAAABMAcAAAAJNi8xNC8yMDI2CAAAAAg1LzEvMjAyNgkAAAABMI+S+sj+yd4IpQ8y3P7J3ggrQ0lRLk5BU0RBUUdTOlNBSUMuSVFfRVBTXzVZUl9BTk5fQ0FHUi4yMDAwLgEAAACwVs8NAgAAAAcxNS41Mzk3AQgAAAAFAAAAATEBAAAACy0xODg1NzUxMDE1AwAAAAMxNjACAAAABDQyMzkEAAAAATAHAAAACTYvMTQvMjAyNggAAAAINS8xLzIwMjYJAAAAATCPkvrI</t>
  </si>
  <si>
    <t>/sneCKUPMtz+yd4IMENJUS5OQVNEQVFHUzpTQUlDLklRX0VCSVREQV8xWVJfQU5OX0dST1dUSC4yMDAwLgEAAACwVs8NAgAAAAY2Ljk2NjYBCAAAAAUAAAABMQEAAAALLTE4ODU3NTEwMTUDAAAAAzE2MAIAAAAENDE5NgQAAAABMAcAAAAJNi8xNC8yMDI2CAAAAAg1LzEvMjAyNgkAAAABMI+S+sj+yd4IpQ8y3P7J3ggwQ0lRLk5BU0RBUUdTOlNBSUMuSVFfRUJJVERBXzFZUl9BTk5fR1JPV1RILjEwMDAuAQAAALBWzw0CAAAABi0xLjU3NgEIAAAABQAAAAExAQAAAAstMTkwMTI3MjU2NQMAAAADMTYwAgAAAAQ0MTk2BAAAAAEwBwAAAAk2LzE0LzIwMjYIAAAACTEvMzAvMjAyNgkAAAABMI+S+sj+yd4IpQ8y3P7J3gguQ0lRLk5BU0RBUUdTOlNBSUMuSVFfRUJJVERBXzNZUl9BTk5fQ0FHUi4yMDAwLgEAAACwVs8NAgAAAAYyLjIyMDgBCAAAAAUAAAABMQEAAAALLTE4ODU3NTEwMTUDAAAAAzE2MAIAAAAENDIyMgQAAAABMAcAAAAJNi8xNC8yMDI2CAAAAAg1LzEvMjAyNgkAAAABMI+S+sj+yd4IpQ8y3P7J3gguQ0lRLk5BU0RBUUdTOlNBSUMuSVFfRUJJVERBXzVZUl9BTk5fQ0FHUi4yMDAwLgEAAACwVs8NAgAAAAYyLjQ4MTEBCAAAAAUAAAABMQEAAAALLTE4ODU3NTEwMTUDAAAAAzE2MAIAAAAENDIzNQQAAAABMAcAAAAJNi8xNC8yMDI2CAAAAAg1LzEvMjAyNgkAAAABMI+S+sj+yd4IpQ8y3P7J3ggqQ0lR</t>
  </si>
  <si>
    <t>Lk5BU0RBUUdTOlNBSUMuSVFfTkVUX0RFQlRfRUJJVERBLjIwMDAuAQAAALBWzw0CAAAABjMuMjA3NQEIAAAABQAAAAExAQAAAAstMTg4NTc1MTAxNQMAAAADMTYwAgAAAAQ0MTkzBAAAAAEwBwAAAAk2LzE0LzIwMjYIAAAACDUvMS8yMDI2CQAAAAEwj5L6yP7J3gilDzLc/sneCCxDSVEuTkFTREFRR1M6U0FJQy5JUV9UT1RBTF9ERUJUX0VCSVREQS4yMDAwLgEAAACwVs8NAgAAAAczLjM0Mzc1AQgAAAAFAAAAATEBAAAACy0xODg1NzUxMDE1AwAAAAMxNjACAAAABDQxOTIEAAAAATAHAAAACTYvMTQvMjAyNggAAAAINS8xLzIwMjYJAAAAATCPkvrI/sneCKUPMtz+yd4ILUNJUS5OQVNEQVFHUzpTQUlDLklRX0VQU18xWVJfQU5OX0dST1dUSC4yMDAwLgEAAACwVs8NAgAAAAcyNC41NDczAQgAAAAFAAAAATEBAAAACy0xODg1NzUxMDE1AwAAAAMxNjACAAAABDQyMDAEAAAAATAHAAAACTYvMTQvMjAyNggAAAAINS8xLzIwMjYJAAAAATCPkvrI/sneCKUPMtz+yd4ILUNJUS5OQVNEQVFHUzpTQUlDLklRX0VQU18xWVJfQU5OX0dST1dUSC4xMDAwLgEAAACwVs8NAgAAAAY3LjM5MTkBCAAAAAUAAAABMQEAAAALLTE5MDEyNzI1NjUDAAAAAzE2MAIAAAAENDIwMAQAAAABMAcAAAAJNi8xNC8yMDI2CAAAAAkxLzMwLzIwMjYJAAAAATCPkvrI/sneCKUPMtz+yd4IK0NJUS5OQVNEQVFHUzpTQUlDLklRX0VQU18zWVJf</t>
  </si>
  <si>
    <t>QU5OX0NBR1IuMjAwMC4BAAAAsFbPDQIAAAAHMTQuODAxMgEIAAAABQAAAAExAQAAAAstMTg4NTc1MTAxNQMAAAADMTYwAgAAAAQ0MjI2BAAAAAEwBwAAAAk2LzE0LzIwMjYIAAAACDUvMS8yMDI2CQAAAAEwj5L6yP7J3gilDzLc/sneCChDSVEuTkFTREFRR1M6U0FJQy5JUV9SRVRVUk5fRVFVSVRZLjIwMDAuAQAAALBWzw0CAAAABzI3LjY2MzkBCAAAAAUAAAABMQEAAAALLTE4ODU3NTEwMTUDAAAAAzE2MAIAAAAENDEyOAQAAAABMAcAAAAJNi8xNC8yMDI2CAAAAAg1LzEvMjAyNgkAAAABMI+S+sj+yd4IpQ8y3P7J3ggsQ0lRLk5BU0RBUUdTOlNBSUMuSVFfVE9UQUxfREVCVF9DQVBJVEFMLjUwMC4BAAAAsFbPDQIAAAAHNjUuMjc1NwEIAAAABQAAAAExAQAAAAstMTg4NTc1MTQxNgMAAAADMTYwAgAAAAQ0MTg2BAAAAAEwBwAAAAk2LzE0LzIwMjYIAAAACDUvMS8yMDI2CQAAAAEwj5L6yP7J3gilDzLc/sneCCtDSVEuTkFTREFRR1M6U0FJQy5JUV9UT1RBTF9ERUJUX0VRVUlUWS41MDAuAQAAALBWzw0CAAAACDE4Ny45ODMxAQgAAAAFAAAAATEBAAAACy0xODg1NzUxNDE2AwAAAAMxNjACAAAABDQwMzQEAAAAATAHAAAACTYvMTQvMjAyNggAAAAINS8xLzIwMjYJAAAAATCPkvrI/sneCKUPMtz+yd4IK0NJUS5OQVNEQVFHUzpTQUlDLklRX0VCSVREQV9DQVBFWF9JTlQuMjAwMC4BAAAAsFbPDQIAAAAINS44</t>
  </si>
  <si>
    <t>NTQ5NjEBCAAAAAUAAAABMQEAAAALLTE4ODU3NTEwMTUDAAAAAzE2MAIAAAAENDE5MQQAAAABMAcAAAAJNi8xNC8yMDI2CAAAAAg1LzEvMjAyNgkAAAABMI+S+sj+yd4IpQ8y3P7J3gglQ0lRLk5BU0RBUUdTOlNBSUMuSVFfRUJJVERBX0lOVC4yMDAwLgEAAACwVs8NAgAAAAc2LjEwNjg3AQgAAAAFAAAAATEBAAAACy0xODg1NzUxMDE1AwAAAAMxNjACAAAABDQxOTAEAAAAATAHAAAACTYvMTQvMjAyNggAAAAINS8xLzIwMjYJAAAAATCPkvrI/sneCKUPMtz+yd4IKUNJUS5OQVNEQVFHUzpTQUlDLklRX0RBWVNfU0FMRVNfT1VULjIwMDAuAQAAALBWzw0CAAAACTQ5LjIwMDQyNAEIAAAABQAAAAExAQAAAAstMTg4NTc1MTAxNQMAAAADMTYwAgAAAAQ0MDQyBAAAAAEwBwAAAAk2LzE0LzIwMjYIAAAACDUvMS8yMDI2CQAAAAEwj5L6yP7J3gilDzLc/sneCCVDSVEuTkFTREFRR1M6U0FJQy5JUV9RVUlDS19SQVRJTy41MDAuAQAAALBWzw0CAAAACDEuMDMyNzg2AQgAAAAFAAAAATEBAAAACy0xODg1NzUxNDE2AwAAAAMxNjACAAAABDQxMjEEAAAAATAHAAAACTYvMTQvMjAyNggAAAAINS8xLzIwMjYJAAAAATCPkvrI/sneCKUPMtz+yd4IJ0NJUS5OQVNEQVFHUzpTQUlDLklRX0NVUlJFTlRfUkFUSU8uNTAwLgEAAACwVs8NAgAAAAgxLjE1NjIxOQEIAAAABQAAAAExAQAAAAstMTg4NTc1MTQxNgMAAAADMTYwAgAA</t>
  </si>
  <si>
    <t>AAQ0MDMwBAAAAAEwBwAAAAk2LzE0LzIwMjYIAAAACDUvMS8yMDI2CQAAAAEwj5L6yP7J3gilDzLc/sneCDJDSVEuTkFTREFRR1M6U0FJQy5JUV9SRVRVUk5fSU5WRVNURURfQ0FQSVRBTC4yMDAwLgEAAACwVs8NAgAAAAY4LjM3ODkAj5L6yP7J3gilDzLc/sneCChDSVEuTkFTREFRR1M6U0FJQy5JUV9SRVRVUk5fQVNTRVRTLjIwMDAuAQAAALBWzw0CAAAABDYuOTIBCAAAAAUAAAABMQEAAAALLTE4ODU3NTEwMTUDAAAAAzE2MAIAAAAENDE3OAQAAAABMAcAAAAJNi8xNC8yMDI2CAAAAAg1LzEvMjAyNgkAAAABMI+S+sj+yd4IpQ8y3P7J3ggsQ0lRLk5BU0RBUUdTOlNBSUMuSVFfRklYRURfQVNTRVRfVFVSTlMuMjAwMC4BAAAAsFbPDQIAAAAJMjYuMTMyNjE2AQgAAAAFAAAAATEBAAAACy0xODg1NzUxMDE1AwAAAAMxNjACAAAABDQwNjYEAAAAATAHAAAACTYvMTQvMjAyNggAAAAINS8xLzIwMjYJAAAAATCPkvrI/sneCKUPMtz+yd4IJkNJUS5OQVNEQVFHUzpTQUlDLklRX0FTU0VUX1RVUk5TLjIwMDAuAQAAALBWzw0CAAAACDEuMzgyMzExAQgAAAAFAAAAATEBAAAACy0xODg1NzUxMDE1AwAAAAMxNjACAAAABDQxNzcEAAAAATAHAAAACTYvMTQvMjAyNggAAAAINS8xLzIwMjYJAAAAATCPkvrI/sneCKUPMtz+yd4IKkNJUS5OQVNEQVFHUzpTQUlDLklRX0NBU0hfQ09OVkVSU0lPTi4yMDAwLgEAAACwVs8N</t>
  </si>
  <si>
    <t>AwAAAAAAj5L6yP7J3gilDzLc/sneCCtDSVEuTkFTREFRR1M6U0FJQy5JUV9EQVlTX1BBWUFCTEVfT1VULjIwMDAuAQAAALBWzw0CAAAACDM3LjE4ODA2AQgAAAAFAAAAATEBAAAACy0xODg1NzUxMDE1AwAAAAMxNjACAAAABDQxODMEAAAAATAHAAAACTYvMTQvMjAyNggAAAAINS8xLzIwMjYJAAAAATCPkvrI/sneCKUPMtz+yd4ILUNJUS5OQVNEQVFHUzpTQUlDLklRX0RBWVNfSU5WRU5UT1JZX09VVC4yMDAwLgEAAACwVs8NAwAAAAAAj5L6yP7J3gilDzLc/sneCCpDSVEuTkFTREFRR1M6U0FJQy5JUV9JTlZFTlRPUllfVFVSTlMuMjAwMC4BAAAAsFbPDQMAAAAAAI+S+sj+yd4IpQ8y3P7J3ggjQ0lRLk5BU0RBUUdTOlNBSUMuSVFfQVJfVFVSTlMuMjAwMC4BAAAAsFbPDQIAAAAINy4zOTgyNzQBCAAAAAUAAAABMQEAAAALLTE4ODU3NTEwMTUDAAAAAzE2MAIAAAAENDAwMQQAAAABMAcAAAAJNi8xNC8yMDI2CAAAAAg1LzEvMjAyNgkAAAABMI+S+sj+yd4IpQ8y3P7J3gglQ0lRLk5ZU0U6QU1UTS5JUV9FQklUREEuMTAwMC4uLi5VU0QuSAEAAABVi6YIAgAAAAQxMDIyAQgAAAAFAAAAATEBAAAACy0xOTE0MzEwMTQxAwAAAAMxNjACAAAABDQwNTEEAAAAATAHAAAACTYvMTQvMjAyNggAAAAJMTAvMy8yMDI1CQAAAAEwj5L6yP7J3gjDNC3c/sneCCVDSVEuTllTRTpBTVRNLklRX0VCSVREQS4yMDAwLi4uLlVT</t>
  </si>
  <si>
    <t>RC5IAQAAAFWLpggCAAAAAzk5OAEIAAAABQAAAAExAQAAAAstMTg4OTg5MzEzNAMAAAADMTYwAgAAAAQ0MDUxBAAAAAEwBwAAAAk2LzE0LzIwMjYIAAAACDQvMy8yMDI2CQAAAAEwj5L6yP7J3gjDNC3c/sneCC1DSVEuTllTRTpBTVRNLklRX0RJTFVUX0VQU19FWENMLjEwMDAuLi4uVVNELkgBAAAAVYumCAIAAAAEMC4yNwEIAAAABQAAAAExAQAAAAstMTkxNDMxMDE0MQMAAAADMTYwAgAAAAMxNDIEAAAAATAHAAAACTYvMTQvMjAyNggAAAAJMTAvMy8yMDI1CQAAAAEwj5L6yP7J3gjDNC3c/sneCC1DSVEuTllTRTpBTVRNLklRX0RJTFVUX0VQU19FWENMLjIwMDAuLi4uVVNELkgBAAAAVYumCAIAAAAIMC41OTk0NjkBCAAAAAUAAAABMQEAAAALLTE4ODk4OTMxMzQDAAAAAzE2MAIAAAADMTQyBAAAAAEwBwAAAAk2LzE0LzIwMjYIAAAACDQvMy8yMDI2CQAAAAEwj5L6yP7J3gjDNC3c/sneCCpDSVEuTllTRTpBTVRNLklRX1BSRUZfRVFVSVRZLjUwMC4uLkYuVVNELkgBAAAAVYumCAMAAAAAAI+S+sj+yd4IwzQt3P7J3gg2Q0lRLk5ZU0U6QU1UTS5JUV9NSU5PUklUWV9JTlRFUkVTVF9UT1RBTC41MDAuLi5GLlVTRC5IAQAAAFWLpggCAAAAAjk0AQgAAAAFAAAAATEBAAAACy0xODg5ODk4MzEzAwAAAAMxNjACAAAABDEzMTIEAAAAATAHAAAACTYvMTQvMjAyNggAAAAINC8zLzIwMjYJAAAAATCPkvrI/sneCMM0</t>
  </si>
  <si>
    <t>Ldz+yd4IKENJUS5OWVNFOkFNVE0uSVFfVE9UQUxfUkVWLjEwMDAuLi4uVVNELkgBAAAAVYumCAIAAAAFMTQzOTMBCAAAAAUAAAABMQEAAAALLTE5MTQzMTAxNDEDAAAAAzE2MAIAAAACMjgEAAAAATAHAAAACTYvMTQvMjAyNggAAAAJMTAvMy8yMDI1CQAAAAEwj5L6yP7J3gjDNC3c/sneCChDSVEuTllTRTpBTVRNLklRX1RPVEFMX1JFVi4yMDAwLi4uLlVTRC5IAQAAAFWLpggCAAAABTE0MjAxAQgAAAAFAAAAATEBAAAACy0xODg5ODkzMTM0AwAAAAMxNjACAAAAAjI4BAAAAAEwBwAAAAk2LzE0LzIwMjYIAAAACDQvMy8yMDI2CQAAAAEwj5L6yP7J3gjDNC3c/sneCC1DSVEuTllTRTpBTVRNLklRX0NBU0hfU1RfSU5WRVNULjUwMC4uLkYuVVNELkgBAAAAVYumCAIAAAADNDI4AQgAAAAFAAAAATEBAAAACy0xODg5ODk4MzEzAwAAAAMxNjACAAAABDEwMDIEAAAAATAHAAAACTYvMTQvMjAyNggAAAAINC8zLzIwMjYJAAAAATCPkvrI/sneCMM0Ldz+yd4IKUNJUS5OWVNFOkFNVE0uSVFfVE9UQUxfREVCVC41MDAuLi5GLlVTRC5IAQAAAFWLpggCAAAABDM5MjcBCAAAAAUAAAABMQEAAAALLTE4ODk4OTgzMTMDAAAAAzE2MAIAAAAENDE3MwQAAAABMAcAAAAJNi8xNC8yMDI2CAAAAAg0LzMvMjAyNgkAAAABMI+S+sj+yd4IwzQt3P7J3ggsQ0lRLk5ZU0U6UFNOLklRX0RJTFVUX0VQU19FWENMLjIwMDAuLi4uVVNE</t>
  </si>
  <si>
    <t>LkgBAAAAAAsDAAIAAAAIMi4wOTIyNjUBCAAAAAUAAAABMQEAAAALLTE4OTMwNTY1OTYDAAAAAzE2MAIAAAADMTQyBAAAAAEwBwAAAAk2LzE0LzIwMjYIAAAACTMvMzEvMjAyNgkAAAABMI+S+sj+yd4IwzQt3P7J3ggkQ0lRLk5ZU0U6UFNOLklRX0VCSVREQS4xMDAwLi4uLlVTRC5IAQAAAAALAwACAAAABjUzMC42NwEIAAAABQAAAAExAQAAAAstMTkwNzI4MDgwNQMAAAADMTYwAgAAAAQ0MDUxBAAAAAEwBwAAAAk2LzE0LzIwMjYIAAAACjEyLzMxLzIwMjUJAAAAATCPkvrI/sneCMM0Ldz+yd4IJENJUS5OWVNFOlBTTi5JUV9FQklUREEuMjAwMC4uLi5VU0QuSAEAAAAACwMAAgAAAAc1MjMuNzY4AQgAAAAFAAAAATEBAAAACy0xODkzMDU2NTk2AwAAAAMxNjACAAAABDQwNTEEAAAAATAHAAAACTYvMTQvMjAyNggAAAAJMy8zMS8yMDI2CQAAAAEwj5L6yP7J3gjDNC3c/sneCCxDSVEuTllTRTpQU04uSVFfRElMVVRfRVBTX0VYQ0wuMTAwMC4uLi5VU0QuSAEAAAAACwMAAgAAAAgyLjE5OTUzOAEIAAAABQAAAAExAQAAAAstMTkwNzI4MDgwNQMAAAADMTYwAgAAAAMxNDIEAAAAATAHAAAACTYvMTQvMjAyNggAAAAKMTIvMzEvMjAyNQkAAAABMI+S+sj+yd4IwzQt3P7J3ggoQ0lRLk5ZU0U6UFNOLklRX1RPVEFMX0RFQlQuNTAwLi4uRi5VU0QuSAEAAAAACwMAAgAAAAgxNjg1LjkwMgEIAAAABQAAAAExAQAAAAst</t>
  </si>
  <si>
    <t>MTg5MzA1Njg5OAMAAAADMTYwAgAAAAQ0MTczBAAAAAEwBwAAAAk2LzE0LzIwMjYIAAAACTMvMzEvMjAyNgkAAAABMI+S+sj+yd4IwzQt3P7J3ggpQ0lRLk5ZU0U6UFNOLklRX1BSRUZfRVFVSVRZLjUwMC4uLkYuVVNELkgBAAAAAAsDAAMAAAAAAI+S+sj+yd4IwzQt3P7J3gg1Q0lRLk5ZU0U6UFNOLklRX01JTk9SSVRZX0lOVEVSRVNUX1RPVEFMLjUwMC4uLkYuVVNELkgBAAAAAAsDAAIAAAAHMTA0LjU0NAEIAAAABQAAAAExAQAAAAstMTg5MzA1Njg5OAMAAAADMTYwAgAAAAQxMzEyBAAAAAEwBwAAAAk2LzE0LzIwMjYIAAAACTMvMzEvMjAyNgkAAAABMI+S+sj+yd4IwzQt3P7J3ggnQ0lRLk5ZU0U6UFNOLklRX1RPVEFMX1JFVi4xMDAwLi4uLlVTRC5IAQAAAAALAwACAAAACDYzNjQuMjQ1AQgAAAAFAAAAATEBAAAACy0xOTA3MjgwODA1AwAAAAMxNjACAAAAAjI4BAAAAAEwBwAAAAk2LzE0LzIwMjYIAAAACjEyLzMxLzIwMjUJAAAAATCPkvrI/sneCMM0Ldz+yd4IJ0NJUS5OWVNFOlBTTi5JUV9UT1RBTF9SRVYuMjAwMC4uLi5VU0QuSAEAAAAACwMAAgAAAAg2MzAxLjA2MQEIAAAABQAAAAExAQAAAAstMTg5MzA1NjU5NgMAAAADMTYwAgAAAAIyOAQAAAABMAcAAAAJNi8xNC8yMDI2CAAAAAkzLzMxLzIwMjYJAAAAATCPkvrI/sneCMM0Ldz+yd4ILENJUS5OWVNFOlBTTi5JUV9DQVNIX1NUX0lOVkVTVC41</t>
  </si>
  <si>
    <t>MDAuLi5GLlVTRC5IAQAAAAALAwACAAAABzI4My45MjEBCAAAAAUAAAABMQEAAAALLTE4OTMwNTY4OTgDAAAAAzE2MAIAAAAEMTAwMgQAAAABMAcAAAAJNi8xNC8yMDI2CAAAAAkzLzMxLzIwMjYJAAAAATCPkvrI/sneCMM0Ldz+yd4IKENJUS5OWVNFOkNBQ0kuSVFfVE9UQUxfUkVWLjEwMDAuLi4uVVNELkgBAAAA8WwBAAIAAAAIODYyNy44MjQBCAAAAAUAAAABMQEAAAALLTE5MzI0MTY3NTcDAAAAAzE2MAIAAAACMjgEAAAAATAHAAAACTYvMTQvMjAyNggAAAAJNi8zMC8yMDI1CQAAAAEwj5L6yP7J3gilDzLc/sneCDZDSVEuTllTRTpDQUNJLklRX01JTk9SSVRZX0lOVEVSRVNUX1RPVEFMLjUwMC4uLkYuVVNELkgBAAAA8WwBAAMAAAAAAI+S+sj+yd4IpQ8y3P7J3ggqQ0lRLk5ZU0U6Q0FDSS5JUV9QUkVGX0VRVUlUWS41MDAuLi5GLlVTRC5IAQAAAPFsAQADAAAAAACPkvrI/sneCKUPMtz+yd4IKUNJUS5OWVNFOkNBQ0kuSVFfVE9UQUxfREVCVC41MDAuLi5GLlVTRC5IAQAAAPFsAQACAAAACDU2MTYuMzE1AQgAAAAFAAAAATEBAAAACy0xODk0OTg0NDMzAwAAAAMxNjACAAAABDQxNzMEAAAAATAHAAAACTYvMTQvMjAyNggAAAAJMy8zMS8yMDI2CQAAAAEwj5L6yP7J3gilDzLc/sneCC1DSVEuTllTRTpDQUNJLklRX0NBU0hfU1RfSU5WRVNULjUwMC4uLkYuVVNELkgBAAAA8WwBAAIAAAAHMTU5LjY0NAEI</t>
  </si>
  <si>
    <t>AAAABQAAAAExAQAAAAstMTg5NDk4NDQzMwMAAAADMTYwAgAAAAQxMDAyBAAAAAEwBwAAAAk2LzE0LzIwMjYIAAAACTMvMzEvMjAyNgkAAAABMI+S+sj+yd4IpQ8y3P7J3gglQ0lRLk5ZU0U6Q0FDSS5JUV9FQklUREEuMjAwMC4uLi5VU0QuSAEAAADxbAEAAgAAAAgxMTA1Ljk2MwEIAAAABQAAAAExAQAAAAstMTg5NDk4NDA3OQMAAAADMTYwAgAAAAQ0MDUxBAAAAAEwBwAAAAk2LzE0LzIwMjYIAAAACTMvMzEvMjAyNgkAAAABMI+S+sj+yd4IpQ8y3P7J3gglQ0lRLk5ZU0U6Q0FDSS5JUV9FQklUREEuMTAwMC4uLi5VU0QuSAEAAADxbAEAAgAAAAY5NzMuNDEBCAAAAAUAAAABMQEAAAALLTE5MzI0MTY3NTcDAAAAAzE2MAIAAAAENDA1MQQAAAABMAcAAAAJNi8xNC8yMDI2CAAAAAk2LzMwLzIwMjUJAAAAATCPkvrI/sneCKUPMtz+yd4IKENJUS5OWVNFOkNBQ0kuSVFfVE9UQUxfUkVWLjIwMDAuLi4uVVNELkgBAAAA8WwBAAIAAAAIOTE2Mi44NjYBCAAAAAUAAAABMQEAAAALLTE4OTQ5ODQwNzkDAAAAAzE2MAIAAAACMjgEAAAAATAHAAAACTYvMTQvMjAyNggAAAAJMy8zMS8yMDI2CQAAAAEwj5L6yP7J3gilDzLc/sneCC1DSVEuTllTRTpDQUNJLklRX0RJTFVUX0VQU19FWENMLjIwMDAuLi4uVVNELkgBAAAA8WwBAAIAAAAJMjQuMjQzNDY4AQgAAAAFAAAAATEBAAAACy0xODk0OTg0MDc5AwAAAAMxNjACAAAA</t>
  </si>
  <si>
    <t>AzE0MgQAAAABMAcAAAAJNi8xNC8yMDI2CAAAAAkzLzMxLzIwMjYJAAAAATCPkvrI/sneCKUPMtz+yd4ILUNJUS5OWVNFOkNBQ0kuSVFfRElMVVRfRVBTX0VYQ0wuMTAwMC4uLi5VU0QuSAEAAADxbAEAAgAAAAUyMi4zMgEIAAAABQAAAAExAQAAAAstMTkzMjQxNjc1NwMAAAADMTYwAgAAAAMxNDIEAAAAATAHAAAACTYvMTQvMjAyNggAAAAJNi8zMC8yMDI1CQAAAAEwj5L6yP7J3gilDzLc/sneCC5DSVEuTkFTREFRR1M6SUNGSS5JUV9FQklUREFfRVNULjEwMDAxLi4uLlVTRC5IAQAAAAd0AAACAAAACDIxNC43NzMyAQ4AAAAFAAAAAjExAQAAAAEwAgAAAAoxMDAyMzUzMzkwAwAAAAYxMDAxODcEAAAAATIGAAAAATAHAAAAAzE2MAgAAAABMAkAAAABMQoAAAABMAsAAAALMTQ4MjYzOTkyNDMMAAAAATcNAAAACTYvMTUvMjAyNhAAAAAJNi8xNC8yMDI2j5L6yP7J3gjzejTc/sneCC5DSVEuTkFTREFRR1M6SUNGSS5JUV9FQklUREFfRVNULjEwMDAyLi4uLlVTRC5IAQAAAAd0AAACAAAACDIyOS45OTc0AQ4AAAAFAAAAAjExAQAAAAEwAgAAAAoxMDAyMzUzMzkxAwAAAAYxMDAxODcEAAAAATIGAAAAATAHAAAAAzE2MAgAAAABMAkAAAABMQoAAAABMAsAAAALMTQ4MjYzOTkyMzcMAAAAATcNAAAACTYvMTUvMjAyNhAAAAAJNi8xNC8yMDI2j5L6yP7J3gjzejTc/sneCCtDSVEuTkFTREFRR1M6SUNGSS5JUV9FUFNf</t>
  </si>
  <si>
    <t>RVNULjEwMDAxLi4uLlVTRC5IAQAAAAd0AAACAAAABTcuMDIyAQ4AAAAFAAAAAjExAQAAAAgyOTM2MDQ4NAIAAAAKMTAwMjM1MzM5MAMAAAAGMTAwMTczBAAAAAEyBgAAAAEwBwAAAAMxNjAIAAAAATAJAAAAATEKAAAAATALAAAACzE0ODI2Mzk5MzIxDAAAAAE3DQAAAAk2LzE1LzIwMjYQAAAACTYvMTQvMjAyNo+S+sj+yd4I83o03P7J3ggrQ0lRLk5BU0RBUUdTOklDRkkuSVFfRVBTX0VTVC4xMDAwMi4uLi5VU0QuSAEAAAAHdAAAAgAAAAQ3LjY4AQ4AAAAFAAAAAjExAQAAAAgyOTM2MDQ4NAIAAAAKMTAwMjM1MzM5MQMAAAAGMTAwMTczBAAAAAEyBgAAAAEwBwAAAAMxNjAIAAAAATAJAAAAATEKAAAAATALAAAACzE0ODI2Mzk5MzE1DAAAAAE3DQAAAAk2LzE1LzIwMjYQAAAACTYvMTQvMjAyNo+S+sj+yd4I83o03P7J3ggvQ0lRLk5BU0RBUUdTOklDRkkuSVFfUkVWRU5VRV9FU1QuMTAwMDEuLi4uVVNELkgBAAAAB3QAAAIAAAAJMTkwNi43Njk4AQ4AAAAFAAAAAjExAQAAAAEwAgAAAAoxMDAyMzUzMzkwAwAAAAYxMDAxODAEAAAAATIGAAAAATAHAAAAAzE2MAgAAAABMAkAAAABMQoAAAABMAsAAAALMTQ4MjYzOTkyNzMMAAAAATcNAAAACTYvMTUvMjAyNhAAAAAJNi8xNC8yMDI2j5L6yP7J3gjzejTc/sneCC9DSVEuTkFTREFRR1M6SUNGSS5JUV9SRVZFTlVFX0VTVC4xMDAwMi4uLi5VU0QuSAEAAAAHdAAA</t>
  </si>
  <si>
    <t>AgAAAAkyMDA5LjI4NzYBDgAAAAUAAAACMTEBAAAAATACAAAACjEwMDIzNTMzOTEDAAAABjEwMDE4MAQAAAABMgYAAAABMAcAAAADMTYwCAAAAAEwCQAAAAExCgAAAAEwCwAAAAsxNDgyNjM5OTI2NwwAAAABNw0AAAAJNi8xNS8yMDI2EAAAAAk2LzE0LzIwMjaPkvrI/sneCPN6NNz+yd4IKUNJUS5OWVNFOkZDTi5JUV9FQklUREFfRVNULjEwMDAyLi4uLlVTRC5IAQAAAFJwAAACAAAABzQ5NC4zNjQBDgAAAAUAAAACMTEBAAAAATACAAAACjEwMDQ3MzMyMjEDAAAABjEwMDE4NwQAAAABMgYAAAABMAcAAAADMTYwCAAAAAEwCQAAAAExCgAAAAEwCwAAAAsxNDgzMjYwMDUxMQwAAAABNw0AAAAJNi8xNS8yMDI2EAAAAAk2LzE0LzIwMjaPkvrI/sneCPN6NNz+yd4IJkNJUS5OWVNFOkZDTi5JUV9FUFNfRVNULjEwMDAxLi4uLlVTRC5IAQAAAFJwAAACAAAABzkuMjU2NjcBDgAAAAUAAAACMTEBAAAABzI2MTA5MjgCAAAACjEwMDQ3MzMyMjADAAAABjEwMDE3MwQAAAABMgYAAAABMAcAAAADMTYwCAAAAAEwCQAAAAExCgAAAAEwCwAAAAsxNDgzMjYwMTE0NgwAAAABNw0AAAAJNi8xNS8yMDI2EAAAAAk2LzE0LzIwMjaPkvrI/sneCPN6NNz+yd4IJkNJUS5OWVNFOkZDTi5JUV9FUFNfRVNULjEwMDAyLi4uLlVTRC5IAQAAAFJwAAACAAAACDExLjE0NjY3AQ4AAAAFAAAAAjExAQAAAAcyNjEwOTI4AgAAAAoxMDA0NzMz</t>
  </si>
  <si>
    <t>MjIxAwAAAAYxMDAxNzMEAAAAATIGAAAAATAHAAAAAzE2MAgAAAABMAkAAAABMQoAAAABMAsAAAALMTQ4MzI2MDExMjIMAAAAATcNAAAACTYvMTUvMjAyNhAAAAAJNi8xNC8yMDI2j5L6yP7J3gjzejTc/sneCCpDSVEuTllTRTpGQ04uSVFfUkVWRU5VRV9FU1QuMTAwMDEuLi4uVVNELkgBAAAAUnAAAAIAAAAINDAyNi4wNjEBDgAAAAUAAAACMTEBAAAAATACAAAACjEwMDQ3MzMyMjADAAAABjEwMDE4MAQAAAABMgYAAAABMAcAAAADMTYwCAAAAAEwCQAAAAExCgAAAAEwCwAAAAsxNDgzMjYwMDY2MgwAAAABNw0AAAAJNi8xNS8yMDI2EAAAAAk2LzE0LzIwMjaPkvrI/sneCPN6NNz+yd4IKkNJUS5OWVNFOkZDTi5JUV9SRVZFTlVFX0VTVC4xMDAwMi4uLi5VU0QuSAEAAABScAAAAgAAAAg0MzEyLjcxMwEOAAAABQAAAAIxMQEAAAABMAIAAAAKMTAwNDczMzIyMQMAAAAGMTAwMTgwBAAAAAEyBgAAAAEwBwAAAAMxNjAIAAAAATAJAAAAATEKAAAAATALAAAACzE0ODMyNjAwNjM4DAAAAAE3DQAAAAk2LzE1LzIwMjYQAAAACTYvMTQvMjAyNo+S+sj+yd4I83o03P7J3ggpQ0lRLk5ZU0U6RkNOLklRX0VCSVREQV9FU1QuMTAwMDEuLi4uVVNELkgBAAAAUnAAAAIAAAAHNDM2LjA2MwEOAAAABQAAAAIxMQEAAAABMAIAAAAKMTAwNDczMzIyMAMAAAAGMTAwMTg3BAAAAAEyBgAAAAEwBwAAAAMxNjAIAAAAATAJAAAAATEK</t>
  </si>
  <si>
    <t>AAAAATALAAAACzE0ODMyNjAwNTM1DAAAAAE3DQAAAAk2LzE1LzIwMjYQAAAACTYvMTQvMjAyNo+S+sj+yd4I83o03P7J3ggqQ0lRLk5ZU0U6S0JSLklRX1JFVkVOVUVfRVNULjEwMDAyLi4uLlVTRC5IAQAAAOqAPwACAAAACjg0MTAuNjg5ODkBDgAAAAUAAAACMTEBAAAAATACAAAACjEwMDIzNjEzNjYDAAAABjEwMDE4MAQAAAABMgYAAAABMAcAAAADMTYwCAAAAAEwCQAAAAExCgAAAAEwCwAAAAsxNDgxMzA5ODU1OAwAAAABNw0AAAAJNi8xNS8yMDI2EAAAAAk2LzE0LzIwMjaPkvrI/sneCNHpNtz+yd4IKkNJUS5OWVNFOktCUi5JUV9SRVZFTlVFX0VTVC4xMDAwMS4uLi5VU0QuSAEAAADqgD8AAgAAAAo3OTgxLjU0ODAzAQ4AAAAFAAAAAjExAQAAAAEwAgAAAAoxMDAyMzYxMzY1AwAAAAYxMDAxODAEAAAAATIGAAAAATAHAAAAAzE2MAgAAAABMAkAAAABMQoAAAABMAsAAAALMTQ4MTMwOTg3ODUMAAAAATcNAAAACTYvMTUvMjAyNhAAAAAJNi8xNC8yMDI2j5L6yP7J3gjR6Tbc/sneCClDSVEuTllTRTpLQlIuSVFfRUJJVERBX0VTVC4xMDAwMi4uLi5VU0QuSAEAAADqgD8AAgAAAAkxMDExLjgxOTYBDgAAAAUAAAACMTEBAAAAATACAAAACjEwMDIzNjEzNjYDAAAABjEwMDE4NwQAAAABMgYAAAABMAcAAAADMTYwCAAAAAEwCQAAAAExCgAAAAEwCwAAAAsxNDgxMzA5ODUwNAwAAAABNw0AAAAJNi8xNS8yMDI2</t>
  </si>
  <si>
    <t>EAAAAAk2LzE0LzIwMjaPkvrI/sneCNHpNtz+yd4IKUNJUS5OWVNFOktCUi5JUV9FQklUREFfRVNULjEwMDAxLi4uLlVTRC5IAQAAAOqAPwACAAAACDk5OS4zODQ0AQ4AAAAFAAAAAjExAQAAAAEwAgAAAAoxMDAyMzYxMzY1AwAAAAYxMDAxODcEAAAAATIGAAAAATAHAAAAAzE2MAgAAAABMAkAAAABMQoAAAABMAsAAAALMTQ4MTMwOTg0MjYMAAAAATcNAAAACTYvMTUvMjAyNhAAAAAJNi8xNC8yMDI2j5L6yP7J3gjR6Tbc/sneCCZDSVEuTllTRTpLQlIuSVFfRVBTX0VTVC4xMDAwMi4uLi5VU0QuSAEAAADqgD8AAgAAAAY0LjE0ODQBDgAAAAUAAAACMTEBAAAACDMwMjM2MTk5AgAAAAoxMDAyMzYxMzY2AwAAAAYxMDAxNzMEAAAAATIGAAAAATAHAAAAAzE2MAgAAAABMAkAAAABMQoAAAABMAsAAAALMTQ4MTMwOTkwNTUMAAAAATcNAAAACTYvMTUvMjAyNhAAAAAJNi8xNC8yMDI2j5L6yP7J3gjR6Tbc/sneCCZDSVEuTllTRTpLQlIuSVFfRVBTX0VTVC4xMDAwMS4uLi5VU0QuSAEAAADqgD8AAgAAAAczLjk2MTM0AQ4AAAAFAAAAAjExAQAAAAgzMDIzNjE5OQIAAAAKMTAwMjM2MTM2NQMAAAAGMTAwMTczBAAAAAEyBgAAAAEwBwAAAAMxNjAIAAAAATAJAAAAATEKAAAAATALAAAACzE0ODEzMDk5MTAzDAAAAAE3DQAAAAk2LzE1LzIwMjYQAAAACTYvMTQvMjAyNo+S+sj+yd4I0ek23P7J3ggqQ0lRLk5ZU0U6TERP</t>
  </si>
  <si>
    <t>Uy5JUV9FQklUREFfRVNULjEwMDAxLi4uLlVTRC5IAQAAAJWwAQACAAAACjI0ODYuNDk3OTEBDgAAAAUAAAACMTEBAAAAATACAAAACjEwMDM4ODAyNzQDAAAABjEwMDE4NwQAAAABMgYAAAABMAcAAAADMTYwCAAAAAEwCQAAAAExCgAAAAEwCwAAAAsxNDgyMzQ4MjUxNQwAAAABNw0AAAAJNi8xNS8yMDI2EAAAAAk2LzE0LzIwMjaPkvrI/sneCKUPMtz+yd4IKkNJUS5OWVNFOkxET1MuSVFfRUJJVERBX0VTVC4xMDAwMi4uLi5VU0QuSAEAAACVsAEAAgAAAAoyNjAxLjM2Njc0AQ4AAAAFAAAAAjExAQAAAAEwAgAAAAoxMDA0NzQ5MTEyAwAAAAYxMDAxODcEAAAAATIGAAAAATAHAAAAAzE2MAgAAAABMAkAAAABMQoAAAABMAsAAAALMTQ4MjM0ODI1MDMMAAAAATcNAAAACTYvMTUvMjAyNhAAAAAJNi8xNC8yMDI2j5L6yP7J3gilDzLc/sneCCdDSVEuTllTRTpMRE9TLklRX0VQU19FU1QuMTAwMDEuLi4uVVNELkgBAAAAlbABAAIAAAAHMTIuMzMxOQEOAAAABQAAAAIxMQEAAAAIMjk2MTg4MjYCAAAACjEwMDM4ODAyNzQDAAAABjEwMDE3MwQAAAABMgYAAAABMAcAAAADMTYwCAAAAAEwCQAAAAExCgAAAAEwCwAAAAsxNDgyMzQ4Mjg1MQwAAAABNw0AAAAJNi8xNS8yMDI2EAAAAAk2LzE0LzIwMjaPkvrI/sneCKUPMtz+yd4IJ0NJUS5OWVNFOkxET1MuSVFfRVBTX0VTVC4xMDAwMi4uLi5VU0QuSAEAAACVsAEAAgAA</t>
  </si>
  <si>
    <t>AAgxMy4xNTE2OQEOAAAABQAAAAIxMQEAAAAIMjk2MTg4MjYCAAAACjEwMDQ3NDkxMTIDAAAABjEwMDE3MwQAAAABMgYAAAABMAcAAAADMTYwCAAAAAEwCQAAAAExCgAAAAEwCwAAAAsxNDgyMzQ4MjgxNQwAAAABNw0AAAAJNi8xNS8yMDI2EAAAAAk2LzE0LzIwMjaPkvrI/sneCKUPMtz+yd4IK0NJUS5OWVNFOkxET1MuSVFfUkVWRU5VRV9FU1QuMTAwMDEuLi4uVVNELkgBAAAAlbABAAIAAAALMTgyMzAuODI4MTgBDgAAAAUAAAACMTEBAAAAATACAAAACjEwMDM4ODAyNzQDAAAABjEwMDE4MAQAAAABMgYAAAABMAcAAAADMTYwCAAAAAEwCQAAAAExCgAAAAEwCwAAAAsxNDgyMzQ4MjYxNwwAAAABNw0AAAAJNi8xNS8yMDI2EAAAAAk2LzE0LzIwMjaPkvrI/sneCKUPMtz+yd4IK0NJUS5OWVNFOkxET1MuSVFfUkVWRU5VRV9FU1QuMTAwMDIuLi4uVVNELkgBAAAAlbABAAIAAAALMTkxMTguNTIxNzUBDgAAAAUAAAACMTEBAAAAATACAAAACjEwMDQ3NDkxMTIDAAAABjEwMDE4MAQAAAABMgYAAAABMAcAAAADMTYwCAAAAAEwCQAAAAExCgAAAAEwCwAAAAsxNDgyMzQ4MjU0NQwAAAABNw0AAAAJNi8xNS8yMDI2EAAAAAk2LzE0LzIwMjaPkvrI/sneCKUPMtz+yd4IL0NJUS5OQVNEQVFHUzpTQUlDLklRX1JFVkVOVUVfRVNULjEwMDAxLi4uLlVTRC5IAQAAALBWzw0CAAAACTcxODcuODgyMgEOAAAABQAAAAIxMQEA</t>
  </si>
  <si>
    <t>AAABMAIAAAAKMTAwMzY3NTcwOAMAAAAGMTAwMTgwBAAAAAEyBgAAAAEwBwAAAAMxNjAIAAAAATAJAAAAATEKAAAAATALAAAACzE0ODMwNjkxOTY2DAAAAAE3DQAAAAk2LzE1LzIwMjYQAAAACTYvMTQvMjAyNo+S+sj+yd4IpQ8y3P7J3gguQ0lRLk5BU0RBUUdTOlNBSUMuSVFfRUJJVERBX0VTVC4xMDAwMi4uLi5VU0QuSAEAAACwVs8NAgAAAAk3NDQuMjY4NjYBDgAAAAUAAAACMTEBAAAAATACAAAACjEwMDU5MDYxNDcDAAAABjEwMDE4NwQAAAABMgYAAAABMAcAAAADMTYwCAAAAAEwCQAAAAExCgAAAAEwCwAAAAsxNDgzMDY5MTgxNgwAAAABNw0AAAAJNi8xNS8yMDI2EAAAAAk2LzE0LzIwMjaPkvrI/sneCKUPMtz+yd4ILkNJUS5OQVNEQVFHUzpTQUlDLklRX0VCSVREQV9FU1QuMTAwMDEuLi4uVVNELkgBAAAAsFbPDQIAAAAJNzM3LjY3MTA4AQ4AAAAFAAAAAjExAQAAAAEwAgAAAAoxMDAzNjc1NzA4AwAAAAYxMDAxODcEAAAAATIGAAAAATAHAAAAAzE2MAgAAAABMAkAAAABMQoAAAABMAsAAAALMTQ4MzA2OTE3OTIMAAAAATcNAAAACTYvMTUvMjAyNhAAAAAJNi8xNC8yMDI2j5L6yP7J3gilDzLc/sneCC9DSVEuTkFTREFRR1M6U0FJQy5JUV9SRVZFTlVFX0VTVC4xMDAwMi4uLi5VU0QuSAEAAACwVs8NAgAAAAo3MjU5LjQ0MjI4AQ4AAAAFAAAAAjExAQAAAAEwAgAAAAoxMDA1OTA2MTQ3AwAAAAYxMDAx</t>
  </si>
  <si>
    <t>ODAEAAAAATIGAAAAATAHAAAAAzE2MAgAAAABMAkAAAABMQoAAAABMAsAAAALMTQ4MzA2OTIwNjgMAAAAATcNAAAACTYvMTUvMjAyNhAAAAAJNi8xNC8yMDI2j5L6yP7J3gilDzLc/sneCCtDSVEuTkFTREFRR1M6U0FJQy5JUV9FUFNfRVNULjEwMDAyLi4uLlVTRC5IAQAAALBWzw0CAAAACDExLjAwODQyAQ4AAAAFAAAAAjExAQAAAAkyNDA0NDU0MjcCAAAACjEwMDU5MDYxNDcDAAAABjEwMDE3MwQAAAABMgYAAAABMAcAAAADMTYwCAAAAAEwCQAAAAExCgAAAAEwCwAAAAsxNDgzMDY5MjA2MgwAAAABNw0AAAAJNi8xNS8yMDI2EAAAAAk2LzE0LzIwMjaPkvrI/sneCKUPMtz+yd4IK0NJUS5OQVNEQVFHUzpTQUlDLklRX0VQU19FU1QuMTAwMDEuLi4uVVNELkgBAAAAsFbPDQIAAAAIMTAuMTUxODYBDgAAAAUAAAACMTEBAAAACTI0MDQ0NTQyNwIAAAAKMTAwMzY3NTcwOAMAAAAGMTAwMTczBAAAAAEyBgAAAAEwBwAAAAMxNjAIAAAAATAJAAAAATEKAAAAATALAAAACzE0ODMwNjkyMDg2DAAAAAE3DQAAAAk2LzE1LzIwMjYQAAAACTYvMTQvMjAyNo+S+sj+yd4IpQ8y3P7J3ggnQ0lRLk5ZU0U6QU1UTS5JUV9FUFNfRVNULjEwMDAxLi4uLlVTRC5IAQAAAFWLpggCAAAABTIuNDkyAQ4AAAAFAAAAAjExAQAAAAoxODk3NzYxMDIzAgAAAAc0OTk5NjEzAwAAAAYxMDAxNzMEAAAAATIGAAAAATAHAAAAAzE2MAgAAAAB</t>
  </si>
  <si>
    <t>MAkAAAABMQoAAAABMAsAAAALMTQ4MzEwNDkwNzUMAAAAATcNAAAACTYvMTUvMjAyNhAAAAAJNi8xNC8yMDI2j5L6yP7J3gjDNC3c/sneCCdDSVEuTllTRTpBTVRNLklRX0VQU19FU1QuMTAwMDIuLi4uVVNELkgBAAAAVYumCAIAAAAGMi44MzE4AQ4AAAAFAAAAAjExAQAAAAoxODk3NzYxMDIzAgAAAAc0OTk5NjE0AwAAAAYxMDAxNzMEAAAAATIGAAAAATAHAAAAAzE2MAgAAAABMAkAAAABMQoAAAABMAsAAAALMTQ4MzEwNDkwODcMAAAAATcNAAAACTYvMTUvMjAyNhAAAAAJNi8xNC8yMDI2j5L6yP7J3gjDNC3c/sneCCpDSVEuTllTRTpBTVRNLklRX0VCSVREQV9FU1QuMTAwMDEuLi4uVVNELkgBAAAAVYumCAIAAAAJMTE0MC45MDU1AQ4AAAAFAAAAAjExAQAAAAEwAgAAAAc0OTk5NjEzAwAAAAYxMDAxODcEAAAAATIGAAAAATAHAAAAAzE2MAgAAAABMAkAAAABMQoAAAABMAsAAAALMTQ4MzEwNDg2NDEMAAAAATcNAAAACTYvMTUvMjAyNhAAAAAJNi8xNC8yMDI2j5L6yP7J3gjDNC3c/sneCCpDSVEuTllTRTpBTVRNLklRX0VCSVREQV9FU1QuMTAwMDIuLi4uVVNELkgBAAAAVYumCAIAAAAJMTIyOS40NjY2AQ4AAAAFAAAAAjExAQAAAAEwAgAAAAc0OTk5NjE0AwAAAAYxMDAxODcEAAAAATIGAAAAATAHAAAAAzE2MAgAAAABMAkAAAABMQoAAAABMAsAAAALMTQ4MzEwNDg2NjUMAAAAATcNAAAACTYvMTUvMjAy</t>
  </si>
  <si>
    <t>NhAAAAAJNi8xNC8yMDI2j5L6yP7J3gjDNC3c/sneCCtDSVEuTllTRTpBTVRNLklRX1JFVkVOVUVfRVNULjEwMDAxLi4uLlVTRC5IAQAAAFWLpggCAAAACjE0MzA5LjUyNTUBDgAAAAUAAAACMTEBAAAAATACAAAABzQ5OTk2MTMDAAAABjEwMDE4MAQAAAABMgYAAAABMAcAAAADMTYwCAAAAAEwCQAAAAExCgAAAAEwCwAAAAsxNDgzMTA0ODYzNwwAAAABNw0AAAAJNi8xNS8yMDI2EAAAAAk2LzE0LzIwMjaPkvrI/sneCMM0Ldz+yd4IK0NJUS5OWVNFOkFNVE0uSVFfUkVWRU5VRV9FU1QuMTAwMDIuLi4uVVNELkgBAAAAVYumCAIAAAAJMTQ3NDIuMzIyAQ4AAAAFAAAAAjExAQAAAAEwAgAAAAc0OTk5NjE0AwAAAAYxMDAxODAEAAAAATIGAAAAATAHAAAAAzE2MAgAAAABMAkAAAABMQoAAAABMAsAAAALMTQ4MzEwNDg2NjEMAAAAATcNAAAACTYvMTUvMjAyNhAAAAAJNi8xNC8yMDI2j5L6yP7J3gjDNC3c/sneCCZDSVEuTllTRTpQU04uSVFfRVBTX0VTVC4xMDAwMS4uLi5VU0QuSAEAAAAACwMAAgAAAAczLjMxMzU0AQ4AAAAFAAAAAjExAQAAAAk2MTA1OTAyOTQCAAAACjEwMDQ0MTY3MTUDAAAABjEwMDE3MwQAAAABMgYAAAABMAcAAAADMTYwCAAAAAEwCQAAAAExCgAAAAEwCwAAAAsxNDgxNjIwNTU5OQwAAAABNw0AAAAJNi8xNS8yMDI2EAAAAAk2LzE0LzIwMjaPkvrI/sneCMM0Ldz+yd4IJkNJUS5OWVNFOlBT</t>
  </si>
  <si>
    <t>Ti5JUV9FUFNfRVNULjEwMDAyLi4uLlVTRC5IAQAAAAALAwACAAAABzMuNjg1NTcBDgAAAAUAAAACMTEBAAAACTYxMDU5MDI5NAIAAAAKMTAwNDQxNjcxNgMAAAAGMTAwMTczBAAAAAEyBgAAAAEwBwAAAAMxNjAIAAAAATAJAAAAATEKAAAAATALAAAACzE0ODE2MjA1NTc1DAAAAAE3DQAAAAk2LzE1LzIwMjYQAAAACTYvMTQvMjAyNo+S+sj+yd4IwzQt3P7J3ggqQ0lRLk5ZU0U6UFNOLklRX1JFVkVOVUVfRVNULjEwMDAyLi4uLlVTRC5IAQAAAAALAwACAAAACjcxMjguNDEwNDgBDgAAAAUAAAACMTEBAAAAATACAAAACjEwMDQ0MTY3MTYDAAAABjEwMDE4MAQAAAABMgYAAAABMAcAAAADMTYwCAAAAAEwCQAAAAExCgAAAAEwCwAAAAsxNDgxNjE2NzI1NgwAAAABNw0AAAAJNi8xNS8yMDI2EAAAAAk2LzE0LzIwMjaPkvrI/sneCMM0Ldz+yd4IKUNJUS5OWVNFOlBTTi5JUV9FQklUREFfRVNULjEwMDAxLi4uLlVTRC5IAQAAAAALAwACAAAACTY1Mi42MTc0NAEOAAAABQAAAAIxMQEAAAABMAIAAAAKMTAwNDQxNjcxNQMAAAAGMTAwMTg3BAAAAAEyBgAAAAEwBwAAAAMxNjAIAAAAATAJAAAAATEKAAAAATALAAAACzE0ODE2MTY3MjUwDAAAAAE3DQAAAAk2LzE1LzIwMjYQAAAACTYvMTQvMjAyNo+S+sj+yd4IwzQt3P7J3ggpQ0lRLk5ZU0U6UFNOLklRX0VCSVREQV9FU1QuMTAwMDIuLi4uVVNELkgBAAAAAAsDAAIA</t>
  </si>
  <si>
    <t>AAAJNzExLjYzNzk3AQ4AAAAFAAAAAjExAQAAAAEwAgAAAAoxMDA0NDE2NzE2AwAAAAYxMDAxODcEAAAAATIGAAAAATAHAAAAAzE2MAgAAAABMAkAAAABMQoAAAABMAsAAAALMTQ4MTYxNjcwNjQMAAAAATcNAAAACTYvMTUvMjAyNhAAAAAJNi8xNC8yMDI2j5L6yP7J3gjDNC3c/sneCCpDSVEuTllTRTpQU04uSVFfUkVWRU5VRV9FU1QuMTAwMDEuLi4uVVNELkgBAAAAAAsDAAIAAAAKNjY1MC42NzQzNAEOAAAABQAAAAIxMQEAAAABMAIAAAAKMTAwNDQxNjcxNQMAAAAGMTAwMTgwBAAAAAEyBgAAAAEwBwAAAAMxNjAIAAAAATAJAAAAATEKAAAAATALAAAACzE0ODE2MTY3MzE2DAAAAAE3DQAAAAk2LzE1LzIwMjYQAAAACTYvMTQvMjAyNo+S+sj+yd4IwzQt3P7J3ggqQ0lRLk5ZU0U6Q0FDSS5JUV9FQklUREFfRVNULjEwMDAxLi4uLlVTRC5IAQAAAPFsAQACAAAACTEyNTAuNzc5NwEOAAAABQAAAAIxMQEAAAABMAIAAAAJNjUxNzQyNjc4AwAAAAYxMDAxODcEAAAAATIGAAAAATAHAAAAAzE2MAgAAAABMAkAAAABMQoAAAABMAsAAAALMTQ4MzMwMzk3MDUMAAAAATcNAAAACTYvMTUvMjAyNhAAAAAJNi8xNC8yMDI2j5L6yP7J3gilDzLc/sneCCtDSVEuTllTRTpDQUNJLklRX1JFVkVOVUVfRVNULjEwMDAyLi4uLlVTRC5IAQAAAPFsAQACAAAACTExMjgyLjYyOAEOAAAABQAAAAIxMQEAAAABMAIAAAAJNjUxNzQy</t>
  </si>
  <si>
    <t>Njc5AwAAAAYxMDAxODAEAAAAATIGAAAAATAHAAAAAzE2MAgAAAABMAkAAAABMQoAAAABMAsAAAALMTQ4MDcxMzE1MjIMAAAAATcNAAAACTYvMTUvMjAyNhAAAAAJNi8xNC8yMDI2j5L6yP7J3gilDzLc/sneCCtDSVEuTllTRTpDQUNJLklRX1JFVkVOVUVfRVNULjEwMDAxLi4uLlVTRC5IAQAAAPFsAQACAAAACjEwMjE1LjM5MDkBDgAAAAUAAAACMTEBAAAAATACAAAACTY1MTc0MjY3OAMAAAAGMTAwMTgwBAAAAAEyBgAAAAEwBwAAAAMxNjAIAAAAATAJAAAAATEKAAAAATALAAAACzE0ODMzMDM5NzAxDAAAAAE3DQAAAAk2LzE1LzIwMjYQAAAACTYvMTQvMjAyNo+S+sj+yd4IpQ8y3P7J3ggnQ0lRLk5ZU0U6Q0FDSS5JUV9FUFNfRVNULjEwMDAyLi4uLlVTRC5IAQAAAPFsAQACAAAABzM0LjY4MzMBDgAAAAUAAAACMTEBAAAABzI5NDQ5OTcCAAAACTY1MTc0MjY3OQMAAAAGMTAwMTczBAAAAAEyBgAAAAEwBwAAAAMxNjAIAAAAATAJAAAAATEKAAAAATALAAAACzE0ODMzMDM5NzQ5DAAAAAE3DQAAAAk2LzE1LzIwMjYQAAAACTYvMTQvMjAyNo+S+sj+yd4IpQ8y3P7J3ggnQ0lRLk5ZU0U6Q0FDSS5JUV9FUFNfRVNULjEwMDAxLi4uLlVTRC5IAQAAAPFsAQACAAAABzI5LjAyOTIBDgAAAAUAAAACMTEBAAAABzI5NDQ5OTcCAAAACTY1MTc0MjY3OAMAAAAGMTAwMTczBAAAAAEyBgAAAAEwBwAAAAMxNjAIAAAAATAJ</t>
  </si>
  <si>
    <t>AAAAATEKAAAAATALAAAACzE0ODMzMDM5NzI5DAAAAAE3DQAAAAk2LzE1LzIwMjYQAAAACTYvMTQvMjAyNo+S+sj+yd4IpQ8y3P7J3ggqQ0lRLk5ZU0U6Q0FDSS5JUV9FQklUREFfRVNULjEwMDAyLi4uLlVTRC5IAQAAAPFsAQACAAAACTE0MjIuNTAwOAEOAAAABQAAAAIxMQEAAAABMAIAAAAJNjUxNzQyNjc5AwAAAAYxMDAxODcEAAAAATIGAAAAATAHAAAAAzE2MAgAAAABMAkAAAABMQoAAAABMAsAAAALMTQ4MDcxMzE1MjYMAAAAATcNAAAACTYvMTUvMjAyNhAAAAAJNi8xNC8yMDI2j5L6yP7J3gilDzLc/sneCDVDSVFBVkcuTllTRTpCQUguSVFfUEVfRVhDTC4yMDAwLjMxLzAzLzIwMTYuMzEvMDMvMjAxNwEAAADpcQIAAgAAABAxNy4wODA1NDIxMTEwMzQ5AI+S+sj+yd4IwhQ43P7J3gg2Q0lRQVZHLk5ZU0U6QkFILklRX1RFVl9FQklULjIwMDAuMzEvMDMvMjAxNi4zMS8wMy8yMDE3AQAAAOlxAgACAAAAEDEzLjY3NDIwMjY4NDE2NzMAj5L6yP7J3gjCFDjc/sneCDhDSVFBVkcuTllTRTpCQUguSVFfVEVWX0VCSVREQS4yMDAwLjMxLzAzLzIwMTYuMzEvMDMvMjAxNwEAAADpcQIAAgAAABAxMi4wNTMwNDAxNjUxOTQ4AI+S+sj+yd4IwhQ43P7J3gg7Q0lRQVZHLk5ZU0U6QkFILklRX1RFVl9UT1RBTF9SRVYuMjAwMC4zMS8wMy8yMDE2LjMxLzAzLzIwMTcBAAAA6XECAAIAAAAQMS4xMjE5ODcxODEwNTQz</t>
  </si>
  <si>
    <t>MQCPkvrI/sneCMIUONz+yd4INkNJUUFWRy5OWVNFOkJBSC5JUV9URVZfRUJJVC4yMDAwLjMxLzAzLzIwMTUuMzEvMDMvMjAxNgEAAADpcQIAAgAAABAxMi42Mzg0NTMyMjEwMjI3AI+S+sj+yd4IwhQ43P7J3gg4Q0lRQVZHLk5ZU0U6QkFILklRX1RFVl9FQklUREEuMjAwMC4zMS8wMy8yMDE1LjMxLzAzLzIwMTYBAAAA6XECAAIAAAAQMTEuMDgzNTM4OTI3OTgyNACPkvrI/sneCMIUONz+yd4IO0NJUUFWRy5OWVNFOkJBSC5JUV9URVZfVE9UQUxfUkVWLjIwMDAuMzEvMDMvMjAxNS4zMS8wMy8yMDE2AQAAAOlxAgACAAAAEDEuMDU1NTcyMTc5NzY4MzcAj5L6yP7J3gjCFDjc/sneCDJDSVFBVkcuTllTRTpCQUguSVFfUFRCVi4yMDAwLjMxLzAzLzIwMTYuMzEvMDMvMjAxNwEAAADpcQIAAwAAAAJOTQCPkvrI/sneCMIUONz+yd4IMUNJUUFWRy5OWVNFOkJBSC5JUV9QQlYuMjAwMC4zMS8wMy8yMDE2LjMxLzAzLzIwMTcBAAAA6XECAAIAAAAQMTAuMTkwMzY1MDQ5NDUwOACPkvrI/sneCMIUONz+yd4IOENJUUFWRy5OWVNFOkJBSC5JUV9URVZfRUJJVERBLjIwMDAuMzEvMDMvMjAxNy4zMS8wMy8yMDE4AQAAAOlxAgACAAAAEDEyLjM3NzIyODk0NzQxMzYAj5L6yP7J3gjCFDjc/sneCDtDSVFBVkcuTllTRTpCQUguSVFfVEVWX1RPVEFMX1JFVi4yMDAwLjMxLzAzLzIwMTcuMzEvMDMvMjAxOAEAAADpcQIAAgAA</t>
  </si>
  <si>
    <t>AA8xLjE2NzcyMzQ2NTU2NTgAj5L6yP7J3gjCFDjc/sneCDJDSVFBVkcuTllTRTpCQUguSVFfUFRCVi4yMDAwLjMxLzAzLzIwMTUuMzEvMDMvMjAxNgEAAADpcQIAAwAAAAJOTQCPkvrI/sneCMIUONz+yd4IMUNJUUFWRy5OWVNFOkJBSC5JUV9QQlYuMjAwMC4zMS8wMy8yMDE1LjMxLzAzLzIwMTYBAAAA6XECAAIAAAAQMTcuNTcxMzc0OTA1OTYwOQCPkvrI/sneCMIUONz+yd4INUNJUUFWRy5OWVNFOkJBSC5JUV9QRV9FWENMLjIwMDAuMzEvMDMvMjAxNS4zMS8wMy8yMDE2AQAAAOlxAgACAAAAEDE4LjE4ODcyOTA1OTA1NzEAj5L6yP7J3gjCFDjc/sneCDJDSVFBVkcuTllTRTpCQUguSVFfUFRCVi4yMDAwLjMxLzAzLzIwMTcuMzEvMDMvMjAxOAEAAADpcQIAAwAAAAJOTQCPkvrI/sneCMIUONz+yd4IMUNJUUFWRy5OWVNFOkJBSC5JUV9QQlYuMjAwMC4zMS8wMy8yMDE3LjMxLzAzLzIwMTgBAAAA6XECAAIAAAAQOS41MzE4MDE4ODIzNTkyMgCPkvrI/sneCMIUONz+yd4INUNJUUFWRy5OWVNFOkJBSC5JUV9QRV9FWENMLjIwMDAuMzEvMDMvMjAxNy4zMS8wMy8yMDE4AQAAAOlxAgACAAAAEDIwLjkyOTA3MjU3MTA3MzMAj5L6yP7J3gjCFDjc/sneCDZDSVFBVkcuTllTRTpCQUguSVFfVEVWX0VCSVQuMjAwMC4zMS8wMy8yMDE3LjMxLzAzLzIwMTgBAAAA6XECAAIAAAAQMTMuODk3NjQzOTg2MTk4NwCPkvrI</t>
  </si>
  <si>
    <t>/sneCMIUONz+yd4IGkNJUS5OWVNFOlBTTi5JUV9QVEJWLjIwMDAuAQAAAAALAwADAAAAAk5NAQcAAAAFAAAAATEBAAAACy0xODkzMDU2NTk2AwAAAAEwAgAAAAYxMDAwNjgEAAAAATAHAAAACTYvMTIvMjAyNggAAAAJNi8xMi8yMDI2j5L6yP7J3gjDNC3c/sneCBlDSVEuTllTRTpQU04uSVFfUEJWLjIwMDAuAQAAAAALAwACAAAAEDIuMjg5MDc0Njg2NTcyMzgBBwAAAAUAAAABMQEAAAALLTE4OTMwNTY1OTYDAAAAATACAAAABjEwMDA2NwQAAAABMAcAAAAJNi8xMi8yMDI2CAAAAAk2LzEyLzIwMjaPkvrI/sneCMM0Ldz+yd4IHUNJUS5OWVNFOlBTTi5JUV9QRV9FWENMLjIwMDAuAQAAAAALAwACAAAAEDI3LjA5OTgxNzY2MTcyMDcBBwAAAAUAAAABMQEAAAALLTE4OTMwNTY1OTYDAAAAATACAAAABjEwMDA2NgQAAAABMAcAAAAJNi8xMi8yMDI2CAAAAAk2LzEyLzIwMjaPkvrI/sneCMM0Ldz+yd4IIENJUS5OWVNFOlBTTi5JUV9URVZfRUJJVERBLjIwMDAuAQAAAAALAwACAAAAEDEyLjM0NTQ1MzE0NDQ4MjgBBwAAAAUAAAABMQEAAAALLTE4OTMwNTY1OTYDAAAAATACAAAABjEwMDA2MwQAAAABMAcAAAAJNi8xMi8yMDI2CAAAAAk2LzEyLzIwMjaPkvrI/sneCMM0Ldz+yd4II0NJUS5OWVNFOlBTTi5JUV9URVZfVE9UQUxfUkVWLjIwMDAuAQAAAAALAwACAAAAEDEuMjAxNzM1MjUzOTA0MDYBBwAAAAUAAAAB</t>
  </si>
  <si>
    <t>MQEAAAALLTE4OTMwNTY1OTYDAAAAATACAAAABjEwMDA2MQQAAAABMAcAAAAJNi8xMi8yMDI2CAAAAAk2LzEyLzIwMjaPkvrI/sneCMM0Ldz+yd4IG0NJUS5OWVNFOkFNVE0uSVFfUFRCVi4yMDAwLgEAAABVi6YIAwAAAAJOTQEHAAAABQAAAAExAQAAAAstMTg4OTg5MzEzNAMAAAABMAIAAAAGMTAwMDY4BAAAAAEwBwAAAAk2LzEyLzIwMjYIAAAACTYvMTIvMjAyNo+S+sj+yd4Is6gv3P7J3ggaQ0lRLk5ZU0U6QU1UTS5JUV9QQlYuMjAwMC4BAAAAVYumCAIAAAAQMS4yMTA2NTQyNjU5NTE2MQEHAAAABQAAAAExAQAAAAstMTg4OTg5MzEzNAMAAAABMAIAAAAGMTAwMDY3BAAAAAEwBwAAAAk2LzEyLzIwMjYIAAAACTYvMTIvMjAyNo+S+sj+yd4Is6gv3P7J3ggeQ0lRLk5ZU0U6QU1UTS5JUV9QRV9FWENMLjIwMDAuAQAAAFWLpggCAAAAEDM4LjEzMzc0ODM2NzMwNTEBBwAAAAUAAAABMQEAAAALLTE4ODk4OTMxMzQDAAAAATACAAAABjEwMDA2NgQAAAABMAcAAAAJNi8xMi8yMDI2CAAAAAk2LzEyLzIwMjaPkvrI/sneCKUPMtz+yd4IIUNJUS5OWVNFOkFNVE0uSVFfVEVWX0VCSVREQS4yMDAwLgEAAABVi6YIAgAAABA3Ljc4NDYyMzQ1NDA2Mjc3AQcAAAAFAAAAATEBAAAACy0xODg5ODkzMTM0AwAAAAEwAgAAAAYxMDAwNjMEAAAAATAHAAAACTYvMTIvMjAyNggAAAAJNi8xMi8yMDI2j5L6yP7J3gilDzLc/sne</t>
  </si>
  <si>
    <t>CCRDSVEuTllTRTpBTVRNLklRX1RFVl9UT1RBTF9SRVYuMjAwMC4BAAAAVYumCAIAAAARMC42NDYyOTc1MTc5NDUyMTUBBwAAAAUAAAABMQEAAAALLTE4ODk4OTMxMzQDAAAAATACAAAABjEwMDA2MQQAAAABMAcAAAAJNi8xMi8yMDI2CAAAAAk2LzEyLzIwMjaPkvrI/sneCKUPMtz+yd4IG0NJUS5OWVNFOkxET1MuSVFfUFRCVi4yMDAwLgEAAACVsAEAAwAAAAJOTQEHAAAABQAAAAExAQAAAAstMTg5MTU1Mjg2NgMAAAABMAIAAAAGMTAwMDY4BAAAAAEwBwAAAAk2LzEyLzIwMjYIAAAACTYvMTIvMjAyNo+S+sj+yd4IpQ8y3P7J3ggaQ0lRLk5ZU0U6TERPUy5JUV9QQlYuMjAwMC4BAAAAlbABAAIAAAAQMy4wNjUxNzMzMjMwNTU4NwEHAAAABQAAAAExAQAAAAstMTg5MTU1Mjg2NgMAAAABMAIAAAAGMTAwMDY3BAAAAAEwBwAAAAk2LzEyLzIwMjYIAAAACTYvMTIvMjAyNo+S+sj+yd4IpQ8y3P7J3ggeQ0lRLk5ZU0U6TERPUy5JUV9QRV9FWENMLjIwMDAuAQAAAJWwAQACAAAAEDExLjE3NDE0NjA4NDc2MzQBBwAAAAUAAAABMQEAAAALLTE4OTE1NTI4NjYDAAAAATACAAAABjEwMDA2NgQAAAABMAcAAAAJNi8xMi8yMDI2CAAAAAk2LzEyLzIwMjaPkvrI/sneCKUPMtz+yd4IIUNJUS5OWVNFOkxET1MuSVFfVEVWX0VCSVREQS4yMDAwLgEAAACVsAEAAgAAABA4LjM4NTA5MDQ0OTQ0Mzk3AQcAAAAFAAAAATEBAAAA</t>
  </si>
  <si>
    <t>Cy0xODkxNTUyODY2AwAAAAEwAgAAAAYxMDAwNjMEAAAAATAHAAAACTYvMTIvMjAyNggAAAAJNi8xMi8yMDI2j5L6yP7J3gilDzLc/sneCCRDSVEuTllTRTpMRE9TLklRX1RFVl9UT1RBTF9SRVYuMjAwMC4BAAAAlbABAAIAAAAQMS4yNjQwMDU1NzAyMzI1NgEHAAAABQAAAAExAQAAAAstMTg5MTU1Mjg2NgMAAAABMAIAAAAGMTAwMDYxBAAAAAEwBwAAAAk2LzEyLzIwMjYIAAAACTYvMTIvMjAyNo+S+sj+yd4IpQ8y3P7J3ggbQ0lRLk5ZU0U6Q0FDSS5JUV9QVEJWLjIwMDAuAQAAAPFsAQADAAAAAk5NAQcAAAAFAAAAATEBAAAACy0xODk0OTg0MDc5AwAAAAEwAgAAAAYxMDAwNjgEAAAAATAHAAAACTYvMTIvMjAyNggAAAAJNi8xMi8yMDI2j5L6yP7J3gjzejTc/sneCBpDSVEuTllTRTpDQUNJLklRX1BCVi4yMDAwLgEAAADxbAEAAgAAABAyLjY4MDc4NzUwNDA5MDczAQcAAAAFAAAAATEBAAAACy0xODk0OTg0MDc5AwAAAAEwAgAAAAYxMDAwNjcEAAAAATAHAAAACTYvMTIvMjAyNggAAAAJNi8xMi8yMDI2j5L6yP7J3gjzejTc/sneCB5DSVEuTllTRTpDQUNJLklRX1BFX0VYQ0wuMjAwMC4BAAAA8WwBAAIAAAAQMjEuNDI0MzI3NTc1NTc2MgEHAAAABQAAAAExAQAAAAstMTg5NDk4NDA3OQMAAAABMAIAAAAGMTAwMDY2BAAAAAEwBwAAAAk2LzEyLzIwMjYIAAAACTYvMTIvMjAyNo+S+sj+yd4I83o03P7J3ggh</t>
  </si>
  <si>
    <t>Q0lRLk5ZU0U6Q0FDSS5JUV9URVZfRUJJVERBLjIwMDAuAQAAAPFsAQACAAAADzE0LjA1OTI4Mjc5MTkyOAEHAAAABQAAAAExAQAAAAstMTg5NDk4NDA3OQMAAAABMAIAAAAGMTAwMDYzBAAAAAEwBwAAAAk2LzEyLzIwMjYIAAAACTYvMTIvMjAyNo+S+sj+yd4I83o03P7J3ggkQ0lRLk5ZU0U6Q0FDSS5JUV9URVZfVE9UQUxfUkVWLjIwMDAuAQAAAPFsAQACAAAAEDEuODQ3NzcyODI3NTE5MjUBBwAAAAUAAAABMQEAAAALLTE4OTQ5ODQwNzkDAAAAATACAAAABjEwMDA2MQQAAAABMAcAAAAJNi8xMi8yMDI2CAAAAAk2LzEyLzIwMjaPkvrI/sneCPN6NNz+yd4IH0NJUS5OQVNEQVFHUzpJQ0ZJLklRX1BUQlYuMjAwMC4BAAAAB3QAAAMAAAACTk0BBwAAAAUAAAABMQEAAAALLTE4OTAzODUwNzADAAAAATACAAAABjEwMDA2OAQAAAABMAcAAAAJNi8xMi8yMDI2CAAAAAk2LzEyLzIwMjaPkvrI/sneCPN6NNz+yd4IHkNJUS5OQVNEQVFHUzpJQ0ZJLklRX1BCVi4yMDAwLgEAAAAHdAAAAgAAABAxLjI3NzQzNTc0NjEzMTk0AQcAAAAFAAAAATEBAAAACy0xODkwMzg1MDcwAwAAAAEwAgAAAAYxMDAwNjcEAAAAATAHAAAACTYvMTIvMjAyNggAAAAJNi8xMi8yMDI2j5L6yP7J3gjzejTc/sneCCJDSVEuTkFTREFRR1M6SUNGSS5JUV9QRV9FWENMLjIwMDAuAQAAAAd0AAACAAAAEDE1LjcxODc3OTg4MDQ4MDIBBwAAAAUA</t>
  </si>
  <si>
    <t>AAABMQEAAAALLTE4OTAzODUwNzADAAAAATACAAAABjEwMDA2NgQAAAABMAcAAAAJNi8xMi8yMDI2CAAAAAk2LzEyLzIwMjaPkvrI/sneCPN6NNz+yd4IJUNJUS5OQVNEQVFHUzpJQ0ZJLklRX1RFVl9FQklUREEuMjAwMC4BAAAAB3QAAAIAAAAQOC44MzI4NTcwOTUyMDMyMQEHAAAABQAAAAExAQAAAAstMTg5MDM4NTA3MAMAAAABMAIAAAAGMTAwMDYzBAAAAAEwBwAAAAk2LzEyLzIwMjYIAAAACTYvMTIvMjAyNo+S+sj+yd4I83o03P7J3ggoQ0lRLk5BU0RBUUdTOklDRkkuSVFfVEVWX1RPVEFMX1JFVi4yMDAwLgEAAAAHdAAAAgAAABAxLjA1MTc2Nzk0MjMxNTE5AQcAAAAFAAAAATEBAAAACy0xODkwMzg1MDcwAwAAAAEwAgAAAAYxMDAwNjEEAAAAATAHAAAACTYvMTIvMjAyNggAAAAJNi8xMi8yMDI2j5L6yP7J3gjzejTc/sneCBpDSVEuTllTRTpGQ04uSVFfUFRCVi4yMDAwLgEAAABScAAAAgAAABAxMS40NjU5NjExMjgzODg4AQcAAAAFAAAAATEBAAAACy0xODkzMDYyOTM1AwAAAAEwAgAAAAYxMDAwNjgEAAAAATAHAAAACTYvMTIvMjAyNggAAAAJNi8xMi8yMDI2j5L6yP7J3gjR6Tbc/sneCBlDSVEuTllTRTpGQ04uSVFfUEJWLjIwMDAuAQAAAFJwAAACAAAAEDIuODIxODU0OTEzMDU4MTUBBwAAAAUAAAABMQEAAAALLTE4OTMwNjI5MzUDAAAAATACAAAABjEwMDA2NwQAAAABMAcAAAAJNi8xMi8yMDI2</t>
  </si>
  <si>
    <t>CAAAAAk2LzEyLzIwMjaPkvrI/sneCNHpNtz+yd4IHUNJUS5OWVNFOkZDTi5JUV9QRV9FWENMLjIwMDAuAQAAAFJwAAACAAAAEDE4Ljc3NDU1NjcyODI5OTQBBwAAAAUAAAABMQEAAAALLTE4OTMwNjI5MzUDAAAAATACAAAABjEwMDA2NgQAAAABMAcAAAAJNi8xMi8yMDI2CAAAAAk2LzEyLzIwMjaPkvrI/sneCNHpNtz+yd4IIENJUS5OWVNFOkZDTi5JUV9URVZfRUJJVERBLjIwMDAuAQAAAFJwAAACAAAAEDEwLjY3NTM1NDQxNTg4NDgBBwAAAAUAAAABMQEAAAALLTE4OTMwNjI5MzUDAAAAATACAAAABjEwMDA2MwQAAAABMAcAAAAJNi8xMi8yMDI2CAAAAAk2LzEyLzIwMjaPkvrI/sneCNHpNtz+yd4II0NJUS5OWVNFOkZDTi5JUV9URVZfVE9UQUxfUkVWLjIwMDAuAQAAAFJwAAACAAAAEDEuNDE5MTQwNDg3ODAzMDUBBwAAAAUAAAABMQEAAAALLTE4OTMwNjI5MzUDAAAAATACAAAABjEwMDA2MQQAAAABMAcAAAAJNi8xMi8yMDI2CAAAAAk2LzEyLzIwMjaPkvrI/sneCNHpNtz+yd4II0NJUS5OWVNFOktCUi5JUV9URVZfVE9UQUxfUkVWLjIwMDAuAQAAAOqAPwACAAAADzAuOTA2MDEzNzg5OTk4NwEHAAAABQAAAAExAQAAAAstMTg5MTUzNzQwNQMAAAABMAIAAAAGMTAwMDYxBAAAAAEwBwAAAAk2LzEyLzIwMjYIAAAACTYvMTIvMjAyNo+S+sj+yd4IwhQ43P7J3ggdQ0lRLk5ZU0U6S0JSLklRX1BFX0VYQ0wu</t>
  </si>
  <si>
    <t>MjAwMC4BAAAA6oA/AAIAAAAQMTAuNTc1MDE5NjQzNzQ4MQEHAAAABQAAAAExAQAAAAstMTg5MTUzNzQwNQMAAAABMAIAAAAGMTAwMDY2BAAAAAEwBwAAAAk2LzEyLzIwMjYIAAAACTYvMTIvMjAyNo+S+sj+yd4I0ek23P7J3gggQ0lRLk5ZU0U6S0JSLklRX1RFVl9FQklUREEuMjAwMC4BAAAA6oA/AAIAAAAQNi41NDkwMTUwOTI5MzIzMwEHAAAABQAAAAExAQAAAAstMTg5MTUzNzQwNQMAAAABMAIAAAAGMTAwMDYzBAAAAAEwBwAAAAk2LzEyLzIwMjYIAAAACTYvMTIvMjAyNo+S+sj+yd4I0ek23P7J3ggaQ0lRLk5ZU0U6S0JSLklRX1BUQlYuMjAwMC4BAAAA6oA/AAMAAAACTk0BBwAAAAUAAAABMQEAAAALLTE4OTE1Mzc0MDUDAAAAATACAAAABjEwMDA2OAQAAAABMAcAAAAJNi8xMi8yMDI2CAAAAAk2LzEyLzIwMjaPkvrI/sneCNHpNtz+yd4IGUNJUS5OWVNFOktCUi5JUV9QQlYuMjAwMC4BAAAA6oA/AAIAAAAQMi44Njg3ODE3MzE0OTU0OAEHAAAABQAAAAExAQAAAAstMTg5MTUzNzQwNQMAAAABMAIAAAAGMTAwMDY3BAAAAAEwBwAAAAk2LzEyLzIwMjYIAAAACTYvMTIvMjAyNo+S+sj+yd4I0ek23P7J3gglQ0lRLk5BU0RBUUdTOlNBSUMuSVFfVEVWX0VCSVREQS4yMDAwLgEAAACwVs8NAgAAAA85LjIyMTkwNTk2Mjk4NzUBBwAAAAUAAAABMQEAAAALLTE4ODU3NTEwMTUDAAAAATACAAAABjEwMDA2MwQA</t>
  </si>
  <si>
    <t>AAABMAcAAAAJNi8xMi8yMDI2CAAAAAk2LzEyLzIwMjaPkvrI/sneCKUPMtz+yd4IKENJUS5OQVNEQVFHUzpTQUlDLklRX1RFVl9UT1RBTF9SRVYuMjAwMC4BAAAAsFbPDQIAAAAQMS4wMTE4NjczMzkyMzg3OQEHAAAABQAAAAExAQAAAAstMTg4NTc1MTAxNQMAAAABMAIAAAAGMTAwMDYxBAAAAAEwBwAAAAk2LzEyLzIwMjYIAAAACTYvMTIvMjAyNo+S+sj+yd4IpQ8y3P7J3ggiQ0lRLk5BU0RBUUdTOlNBSUMuSVFfUEVfRVhDTC4yMDAwLgEAAACwVs8NAgAAABAxMi43OTk2NzA3MDE3MzI2AQcAAAAFAAAAATEBAAAACy0xODg1NzUxMDE1AwAAAAEwAgAAAAYxMDAwNjYEAAAAATAHAAAACTYvMTIvMjAyNggAAAAJNi8xMi8yMDI2j5L6yP7J3gilDzLc/sneCB9DSVEuTkFTREFRR1M6U0FJQy5JUV9QVEJWLjIwMDAuAQAAALBWzw0DAAAAAk5NAQcAAAAFAAAAATEBAAAACy0xODg1NzUxMDE1AwAAAAEwAgAAAAYxMDAwNjgEAAAAATAHAAAACTYvMTIvMjAyNggAAAAJNi8xMi8yMDI2j5L6yP7J3gilDzLc/sneCB5DSVEuTkFTREFRR1M6U0FJQy5JUV9QQlYuMjAwMC4BAAAAsFbPDQIAAAAPMy40MzkwOTM0OTEwOTYzAQcAAAAFAAAAATEBAAAACy0xODg1NzUxMDE1AwAAAAEwAgAAAAYxMDAwNjcEAAAAATAHAAAACTYvMTIvMjAyNggAAAAJNi8xMi8yMDI2j5L6yP7J3gilDzLc/sneCDZDSVFBVkcuTllTRTpCQUgu</t>
  </si>
  <si>
    <t>SVFfVEVWX0VCSVQuMjAwMC4zMS8xMi8yMDI1LjMxLzAzLzIwMjYBAAAA6XECAAIAAAAQMTIuNTI5NDM4MTU5NTU0MgCPkvrI/sneCMIUONz+yd4INUNJUUFWRy5OWVNFOkJBSC5JUV9QRV9FWENMLjIwMDAuMzEvMTIvMjAyNS4zMS8wMy8yMDI2AQAAAOlxAgACAAAAEDEyLjYyNDkzOTE0MTIzNDUAj5L6yP7J3gjCFDjc/sneCDFDSVFBVkcuTllTRTpCQUguSVFfUEJWLjIwMDAuMzEvMTIvMjAyNS4zMS8wMy8yMDI2AQAAAOlxAgACAAAAEDEwLjA0NDgxMzU3MTMyODQAj5L6yP7J3gjCFDjc/sneCDJDSVFBVkcuTllTRTpCQUguSVFfUFRCVi4yMDAwLjMxLzEyLzIwMjUuMzEvMDMvMjAyNgEAAADpcQIAAwAAAAJOTQCPkvrI/sneCMIUONz+yd4IO0NJUUFWRy5OWVNFOkJBSC5JUV9URVZfVE9UQUxfUkVWLjIwMDAuMzEvMTIvMjAyNS4zMS8wMy8yMDI2AQAAAOlxAgACAAAAEDEuMTcxODY0NjUyMzU4NDEAj5L6yP7J3gjCFDjc/sneCDhDSVFBVkcuTllTRTpCQUguSVFfVEVWX0VCSVREQS4yMDAwLjMxLzEyLzIwMjUuMzEvMDMvMjAyNgEAAADpcQIAAgAAABAxMC4yMjAxNjMwMzQ2NDM4AI+S+sj+yd4IwhQ43P7J3gg4Q0lRQVZHLk5ZU0U6QkFILklRX1RFVl9FQklUREEuMjAwMC4zMS8wMy8yMDE4LjMxLzAzLzIwMTkBAAAA6XECAAIAAAAPMTMuNTQ5NDEyNDc0NTE3AI+S+sj+yd4IwhQ43P7J3gg7Q0lRQVZH</t>
  </si>
  <si>
    <t>Lk5ZU0U6QkFILklRX1RFVl9UT1RBTF9SRVYuMjAwMC4zMS8wMy8yMDE4LjMxLzAzLzIwMTkBAAAA6XECAAIAAAAQMS4zMjgyNTM1OTU0NzQ3MgCPkvrI/sneCMIUONz+yd4IMkNJUUFWRy5OWVNFOkJBSC5JUV9QVEJWLjIwMDAuMzEvMDMvMjAxOC4zMS8wMy8yMDE5AQAAAOlxAgADAAAAAk5NAI+S+sj+yd4IwhQ43P7J3ggxQ0lRQVZHLk5ZU0U6QkFILklRX1BCVi4yMDAwLjMxLzAzLzIwMTguMzEvMDMvMjAxOQEAAADpcQIAAgAAABAxMS4xNzY4NTc0Njc2NzYxAI+S+sj+yd4IwhQ43P7J3gg1Q0lRQVZHLk5ZU0U6QkFILklRX1BFX0VYQ0wuMjAwMC4zMS8wMy8yMDE4LjMxLzAzLzIwMTkBAAAA6XECAAIAAAAQMjAuNzIzMDYxNzIyODkwNgCPkvrI/sneCMIUONz+yd4INkNJUUFWRy5OWVNFOkJBSC5JUV9URVZfRUJJVC4yMDAwLjMxLzAzLzIwMTguMzEvMDMvMjAxOQEAAADpcQIAAgAAABAxNS4xNTYwMDMwMjYwOTg5AI+S+sj+yd4IwhQ43P7J3gg2Q0lRQVZHLk5ZU0U6QkFILklRX1RFVl9FQklULjIwMDAuMzEvMDMvMjAxOS4zMS8wMy8yMDIwAQAAAOlxAgACAAAADzE4LjM2MDIxODcyNTczOQCPkvrI/sneCMIUONz+yd4IOENJUUFWRy5OWVNFOkJBSC5JUV9URVZfRUJJVERBLjIwMDAuMzEvMDMvMjAxOS4zMS8wMy8yMDIwAQAAAOlxAgACAAAAEDE1LjEyMjQ5MjE0Mzk4MjEAj5L6yP7J3gjCFDjc/sne</t>
  </si>
  <si>
    <t>CDtDSVFBVkcuTllTRTpCQUguSVFfVEVWX1RPVEFMX1JFVi4yMDAwLjMxLzAzLzIwMTkuMzEvMDMvMjAyMAEAAADpcQIAAgAAABAxLjY0ODEyMjc1Mzg0MDMzAI+S+sj+yd4IwhQ43P7J3ggyQ0lRQVZHLk5ZU0U6QkFILklRX1BUQlYuMjAwMC4zMS8wMy8yMDE5LjMxLzAzLzIwMjABAAAA6XECAAMAAAACTk0Aj5L6yP7J3gjCFDjc/sneCDFDSVFBVkcuTllTRTpCQUguSVFfUEJWLjIwMDAuMzEvMDMvMjAxOS4zMS8wMy8yMDIwAQAAAOlxAgACAAAAEDEyLjYzMzk2MDk1NTA3MTYAj5L6yP7J3gjCFDjc/sneCDVDSVFBVkcuTllTRTpCQUguSVFfUEVfRVhDTC4yMDAwLjMxLzAzLzIwMTkuMzEvMDMvMjAyMAEAAADpcQIAAgAAABAyMi44OTU4NDM3MTEyODk4AI+S+sj+yd4IwhQ43P7J3gg1Q0lRQVZHLk5ZU0U6QkFILklRX1BFX0VYQ0wuMjAwMC4zMS8wMy8yMDIwLjMxLzAzLzIwMjEBAAAA6XECAAIAAAAQMjMuMTYzMjIzMjIxNzkxNgCPkvrI/sneCMIUONz+yd4INkNJUUFWRy5OWVNFOkJBSC5JUV9URVZfRUJJVC4yMDAwLjMxLzAzLzIwMjAuMzEvMDMvMjAyMQEAAADpcQIAAgAAABAxOC44MDUyMzI1NjMzMTQ2AI+S+sj+yd4IwhQ43P7J3gg4Q0lRQVZHLk5ZU0U6QkFILklRX1RFVl9FQklUREEuMjAwMC4zMS8wMy8yMDIwLjMxLzAzLzIwMjEBAAAA6XECAAIAAAAQMTUuMDIyNTA5MzEwMzM2MQCPkvrI/sne</t>
  </si>
  <si>
    <t>CMIUONz+yd4IO0NJUUFWRy5OWVNFOkJBSC5JUV9URVZfVE9UQUxfUkVWLjIwMDAuMzEvMDMvMjAyMC4zMS8wMy8yMDIxAQAAAOlxAgACAAAADzEuNjk3NzI2MzY1MjQ1MwCPkvrI/sneCMIUONz+yd4IMkNJUUFWRy5OWVNFOkJBSC5JUV9QVEJWLjIwMDAuMzEvMDMvMjAyMC4zMS8wMy8yMDIxAQAAAOlxAgADAAAAAk5NAI+S+sj+yd4IwhQ43P7J3ggxQ0lRQVZHLk5ZU0U6QkFILklRX1BCVi4yMDAwLjMxLzAzLzIwMjAuMzEvMDMvMjAyMQEAAADpcQIAAgAAABAxMi4xMTcxOTMyNDE3NzM3AI+S+sj+yd4IwhQ43P7J3ggxQ0lRQVZHLk5ZU0U6QkFILklRX1BCVi4yMDAwLjMxLzAzLzIwMjEuMzEvMDMvMjAyMgEAAADpcQIAAgAAABAxMC43NDcxMTE0MDQyOTMxAI+S+sj+yd4IwhQ43P7J3gg1Q0lRQVZHLk5ZU0U6QkFILklRX1BFX0VYQ0wuMjAwMC4zMS8wMy8yMDIxLjMxLzAzLzIwMjIBAAAA6XECAAIAAAAQMTkuOTc2MDI1ODc3NjAwMQCPkvrI/sneCMIUONz+yd4INkNJUUFWRy5OWVNFOkJBSC5JUV9URVZfRUJJVC4yMDAwLjMxLzAzLzIwMjEuMzEvMDMvMjAyMgEAAADpcQIAAgAAABAxNy41NjIzMzgxMzA1NjI4AI+S+sj+yd4IwhQ43P7J3gg4Q0lRQVZHLk5ZU0U6QkFILklRX1RFVl9FQklUREEuMjAwMC4zMS8wMy8yMDIxLjMxLzAzLzIwMjIBAAAA6XECAAIAAAAQMTQuMTc3NDQ1MjQ2NjIyOQCPkvrI</t>
  </si>
  <si>
    <t>/sneCMIUONz+yd4IO0NJUUFWRy5OWVNFOkJBSC5JUV9URVZfVE9UQUxfUkVWLjIwMDAuMzEvMDMvMjAyMS4zMS8wMy8yMDIyAQAAAOlxAgACAAAAEDEuNjk4NjQxMzc1NzU5NzcAj5L6yP7J3gjCFDjc/sneCDJDSVFBVkcuTllTRTpCQUguSVFfUFRCVi4yMDAwLjMxLzAzLzIwMjEuMzEvMDMvMjAyMgEAAADpcQIAAwAAAAJOTQCPkvrI/sneCMIUONz+yd4IO0NJUUFWRy5OWVNFOkJBSC5JUV9URVZfVE9UQUxfUkVWLjIwMDAuMzEvMDMvMjAyMi4zMS8wMy8yMDIzAQAAAOlxAgACAAAAEDEuNzQzMDYzODgzNzcxOTkAj5L6yP7J3gjCFDjc/sneCDJDSVFBVkcuTllTRTpCQUguSVFfUFRCVi4yMDAwLjMxLzAzLzIwMjIuMzEvMDMvMjAyMwEAAADpcQIAAwAAAAJOTQCPkvrI/sneCMIUONz+yd4IMUNJUUFWRy5OWVNFOkJBSC5JUV9QQlYuMjAwMC4zMS8wMy8yMDIyLjMxLzAzLzIwMjMBAAAA6XECAAIAAAAQMTEuMDk2MDA5Nzk1NzcxNACPkvrI/sneCMIUONz+yd4INUNJUUFWRy5OWVNFOkJBSC5JUV9QRV9FWENMLjIwMDAuMzEvMDMvMjAyMi4zMS8wMy8yMDIzAQAAAOlxAgACAAAAEDI1LjY1NDg3OTY4NDUwMjMAj5L6yP7J3gjCFDjc/sneCDZDSVFBVkcuTllTRTpCQUguSVFfVEVWX0VCSVQuMjAwMC4zMS8wMy8yMDIyLjMxLzAzLzIwMjMBAAAA6XECAAIAAAAQMTkuMDkxMzI4OTA0OTg5NgCPkvrI/sneCMIU</t>
  </si>
  <si>
    <t>ONz+yd4IOENJUUFWRy5OWVNFOkJBSC5JUV9URVZfRUJJVERBLjIwMDAuMzEvMDMvMjAyMi4zMS8wMy8yMDIzAQAAAOlxAgACAAAAEDE0LjcxODA5NzgyNzk2ODkAj5L6yP7J3gjCFDjc/sneCDhDSVFBVkcuTllTRTpCQUguSVFfVEVWX0VCSVREQS4yMDAwLjMxLzAzLzIwMjMuMzEvMDMvMjAyNAEAAADpcQIAAgAAABAyMy44MTM2MTgzNDQ2NTY5AI+S+sj+yd4IwhQ43P7J3gg7Q0lRQVZHLk5ZU0U6QkFILklRX1RFVl9UT1RBTF9SRVYuMjAwMC4zMS8wMy8yMDIzLjMxLzAzLzIwMjQBAAAA6XECAAIAAAAQMS45MDI5MjI5Nzg1MjE0OACPkvrI/sneCMIUONz+yd4IMkNJUUFWRy5OWVNFOkJBSC5JUV9QVEJWLjIwMDAuMzEvMDMvMjAyMy4zMS8wMy8yMDI0AQAAAOlxAgADAAAAAk5NAI+S+sj+yd4IwhQ43P7J3ggxQ0lRQVZHLk5ZU0U6QkFILklRX1BCVi4yMDAwLjMxLzAzLzIwMjMuMzEvMDMvMjAyNAEAAADpcQIAAgAAABAxNC43NTAxMjkxNjE0MDQ4AI+S+sj+yd4IwhQ43P7J3gg1Q0lRQVZHLk5ZU0U6QkFILklRX1BFX0VYQ0wuMjAwMC4zMS8wMy8yMDIzLjMxLzAzLzIwMjQBAAAA6XECAAIAAAAPNDkuNDMzNDcxODc5ODI2AI+S+sj+yd4IwhQ43P7J3gg2Q0lRQVZHLk5ZU0U6QkFILklRX1RFVl9FQklULjIwMDAuMzEvMDMvMjAyMy4zMS8wMy8yMDI0AQAAAOlxAgACAAAADzM1LjE2OTA5NzE0MTQ4NQCP</t>
  </si>
  <si>
    <t>kvrI/sneCMIUONz+yd4INkNJUUFWRy5OWVNFOkJBSC5JUV9URVZfRUJJVC4yMDAwLjMxLzAzLzIwMjQuMzEvMDMvMjAyNQEAAADpcQIAAgAAABAyMi42MDk3NzIzODY0ODEyAI+S+sj+yd4IA/tR3f7J3gg4Q0lRQVZHLk5ZU0U6QkFILklRX1RFVl9FQklUREEuMjAwMC4zMS8wMy8yMDI0LjMxLzAzLzIwMjUBAAAA6XECAAIAAAAQMTcuODEyMDA1MjkzMjUzNwCPkvrI/sneCAP7Ud3+yd4IO0NJUUFWRy5OWVNFOkJBSC5JUV9URVZfVE9UQUxfUkVWLjIwMDAuMzEvMDMvMjAyNC4zMS8wMy8yMDI1AQAAAOlxAgACAAAAEDEuOTc5MTk1NjkxMTM3NTIAj5L6yP7J3ggD+1Hd/sneCDJDSVFBVkcuTllTRTpCQUguSVFfUFRCVi4yMDAwLjMxLzAzLzIwMjQuMzEvMDMvMjAyNQEAAADpcQIAAwAAAAJOTQCPkvrI/sneCAP7Ud3+yd4IMUNJUUFWRy5OWVNFOkJBSC5JUV9QQlYuMjAwMC4zMS8wMy8yMDI0LjMxLzAzLzIwMjUBAAAA6XECAAIAAAAPMTYuNjgyODg0MjU0MjU2AI+S+sj+yd4IA/tR3f7J3gg1Q0lRQVZHLk5ZU0U6QkFILklRX1BFX0VYQ0wuMjAwMC4zMS8wMy8yMDI0LjMxLzAzLzIwMjUBAAAA6XECAAIAAAAQMzAuMzcwMTg3MTc3MTY1NgCPkvrI/sneCAP7Ud3+yd4INUNJUUFWRy5OWVNFOkJBSC5JUV9QRV9FWENMLjIwMDAuMzEvMDMvMjAyNS4zMS8wMy8yMDI2AQAAAOlxAgACAAAAEDEzLjgzMTIyNzY3</t>
  </si>
  <si>
    <t>NjI4MTQANQb7yP7J3ggD+1Hd/sneCDZDSVFBVkcuTllTRTpCQUguSVFfVEVWX0VCSVQuMjAwMC4zMS8wMy8yMDI1LjMxLzAzLzIwMjYBAAAA6XECAAIAAAAQMTMuMTMwNDk2NzY4NTIwNwA1BvvI/sneCAP7Ud3+yd4IOENJUUFWRy5OWVNFOkJBSC5JUV9URVZfRUJJVERBLjIwMDAuMzEvMDMvMjAyNS4zMS8wMy8yMDI2AQAAAOlxAgACAAAAEDEwLjg3ODI4NDk3NzYwOTYANQb7yP7J3ggD+1Hd/sneCDtDSVFBVkcuTllTRTpCQUguSVFfVEVWX1RPVEFMX1JFVi4yMDAwLjMxLzAzLzIwMjUuMzEvMDMvMjAyNgEAAADpcQIAAgAAABAxLjMwOTUxMDkwNTg1NzU2ADUG+8j+yd4IA/tR3f7J3ggyQ0lRQVZHLk5ZU0U6QkFILklRX1BUQlYuMjAwMC4zMS8wMy8yMDI1LjMxLzAzLzIwMjYBAAAA6XECAAMAAAACTk0ANQb7yP7J3ggD+1Hd/sneCDFDSVFBVkcuTllTRTpCQUguSVFfUEJWLjIwMDAuMzEvMDMvMjAyNS4zMS8wMy8yMDI2AQAAAOlxAgACAAAAEDExLjUyNDIwMDIxMTMzOTUANQb7yP7J3ggD+1Hd/sneCChDSVEuTllTRTpDQUNJLklRX1BFX0VYQ0wuMjAwMC4zMC8wNi8yMDI1AQAAAPFsAQACAAAADzIyLjUwMTIwMTg4MTM3OAEHAAAABQAAAAExAQAAAAstMTk0ODg5NDExMAMAAAABMAIAAAAGMTAwMDY2BAAAAAEwBwAAAAk2LzMwLzIwMjUIAAAACTYvMzAvMjAyNai6bcn+yd4IwhQ43P7J3ggrQ0lRLk5Z</t>
  </si>
  <si>
    <t>U0U6Q0FDSS5JUV9URVZfRUJJVERBLjIwMDAuMzAvMDYvMjAyNQEAAADxbAEAAgAAABAxMy4wMzMwMTgzMzA2MjU0AQcAAAAFAAAAATEBAAAACy0xOTQ4ODk0MTEwAwAAAAEwAgAAAAYxMDAwNjMEAAAAATAHAAAACTYvMzAvMjAyNQgAAAAJNi8zMC8yMDI1qLptyf7J3gjCFDjc/sneCC5DSVEuTllTRTpDQUNJLklRX1RFVl9UT1RBTF9SRVYuMjAwMC4zMC8wNi8yMDI1AQAAAPFsAQACAAAAEDEuNjQzNDY0NzA2NDEyMDYBBwAAAAUAAAABMQEAAAALLTE5NDg4OTQxMTADAAAAATACAAAABjEwMDA2MQQAAAABMAcAAAAJNi8zMC8yMDI1CAAAAAk2LzMwLzIwMjWoum3J/sneCMIUONz+yd4IPUNJUS5OWVNFOkJBSC5JUV9FQklUREFfRVhDTF9PUEVSX0xFQVNFU19DQVBFWF9JTlQuLjE0LzA2LzIwMjYBAAAA6XECAAIAAAAINi4zNDc4MjYBCAAAAAUAAAABMQEAAAALLTE4ODc3MDQzNDEDAAAAAzE2MAIAAAAFNDkxNzQEAAAAATAHAAAACTYvMTQvMjAyNggAAAAJMy8zMS8yMDI2CQAAAAEwWkrV3P7J3ghaStXc/sneCC1DSVEuTllTRTpCQUguSVFfVE9UQUxfREVCVF9FQklUREEuLjE0LzA2LzIwMjYBAAAA6XECAAIAAAAIMy4wOTIyNzMBCAAAAAUAAAABMQEAAAALLTE4ODc3MDQzNDEDAAAAAzE2MAIAAAAENDE5MgQAAAABMAcAAAAJNi8xNC8yMDI2CAAAAAkzLzMxLzIwMjYJAAAAATCoZY/c/sneCKhlj9z+yd4I</t>
  </si>
  <si>
    <t>PkNJUS5OWVNFOkJBSC5JUV9UT1RBTF9ERUJUX0VCSVREQV9FWENMX09QRVJfTEVBU0VTLi4xNC8wNi8yMDI2AQAAAOlxAgACAAAACDMuMjc2NjI5AQgAAAAFAAAAATEBAAAACy0xODg3NzA0MzQxAwAAAAMxNjACAAAABTQ4OTk0BAAAAAEwBwAAAAk2LzE0LzIwMjYIAAAACTMvMzEvMjAyNgkAAAABMKhlj9z+yd4IqGWP3P7J3ggrQ0lRLk5ZU0U6QkFILklRX05FVF9ERUJUX0VCSVREQS4uMTQvMDYvMjAyNgEAAADpcQIAAgAAAAgyLjU0NjEzNgEIAAAABQAAAAExAQAAAAstMTg4NzcwNDM0MQMAAAADMTYwAgAAAAQ0MTkzBAAAAAEwBwAAAAk2LzE0LzIwMjYIAAAACTMvMzEvMjAyNgkAAAABMKhlj9z+yd4IqGWP3P7J3gg8Q0lRLk5ZU0U6QkFILklRX05FVF9ERUJUX0VCSVREQV9FWENMX09QRVJfTEVBU0VTLi4xNC8wNi8yMDI2AQAAAOlxAgACAAAACDIuNjk3OTMzAQgAAAAFAAAAATEBAAAACy0xODg3NzA0MzQxAwAAAAMxNjACAAAABTQ5MTc1BAAAAAEwBwAAAAk2LzE0LzIwMjYIAAAACTMvMzEvMjAyNgkAAAABMKhlj9z+yd4IqGWP3P7J3ggzQ0lRLk5ZU0U6QkFILklRX1RPVEFMX0RFQlRfRUJJVERBX0NBUEVYLi4xNC8wNi8yMDI2AQAAAOlxAgACAAAABzMuMzE2MTcBCAAAAAUAAAABMQEAAAALLTE4ODc3MDQzNDEDAAAAAzE2MAIAAAAFMjMzMTMEAAAAATAHAAAACTYvMTQvMjAyNggAAAAJMy8zMS8y</t>
  </si>
  <si>
    <t>MDI2CQAAAAEwqGWP3P7J3gioZY/c/sneCERDSVEuTllTRTpCQUguSVFfVE9UQUxfREVCVF9FQklUREFfRVhDTF9PUEVSX0xFQVNFU19DQVBFWC4uMTQvMDYvMjAyNgEAAADpcQIAAgAAAAgzLjUyOTEwOQEIAAAABQAAAAExAQAAAAstMTg4NzcwNDM0MQMAAAADMTYwAgAAAAU0OTE4MwQAAAABMAcAAAAJNi8xNC8yMDI2CAAAAAkzLzMxLzIwMjYJAAAAATCoZY/c/sneCKhlj9z+yd4IMUNJUS5OWVNFOkJBSC5JUV9ORVRfREVCVF9FQklUREFfQ0FQRVguLjE0LzA2LzIwMjYBAAAA6XECAAIAAAAHMi43MzA0OQEIAAAABQAAAAExAQAAAAstMTg4NzcwNDM0MQMAAAADMTYwAgAAAAUyMzMxNAQAAAABMAcAAAAJNi8xNC8yMDI2CAAAAAkzLzMxLzIwMjYJAAAAATCoZY/c/sneCKhlj9z+yd4IQkNJUS5OWVNFOkJBSC5JUV9ORVRfREVCVF9FQklUREFfRVhDTF9PUEVSX0xFQVNFU19DQVBFWC4uMTQvMDYvMjAyNgEAAADpcQIAAgAAAAgyLjkwNTgyMQEIAAAABQAAAAExAQAAAAstMTg4NzcwNDM0MQMAAAADMTYwAgAAAAU0OTE4MgQAAAABMAcAAAAJNi8xNC8yMDI2CAAAAAkzLzMxLzIwMjYJAAAAATCoZY/c/sneCKhlj9z+yd4II0NJUS5OWVNFOkJBSC5JUV9aX1NDT1JFLi4xNC8wNi8yMDI2AQAAAOlxAgACAAAACDQuMjI2NDk0AQgAAAAFAAAAATEBAAAACy0xODg3NzA0MzQxAwAAAAMxNjACAAAABjEwMDEyMwQA</t>
  </si>
  <si>
    <t>AAABMAcAAAAJNi8xNC8yMDI2CAAAAAkzLzMxLzIwMjYJAAAAATCoZY/c/sneCKhlj9z+yd4INENJUS5OWVNFOkJBSC5JUV9UT1RBTF9SRVZfMVlSX0FOTl9HUk9XVEguLjE0LzA2LzIwMjYBAAAA6XECAAIAAAAGLTYuMzY5AQgAAAAFAAAAATEBAAAACy0xODg3NzA0MzQxAwAAAAMxNjACAAAABDQxOTQEAAAAATAHAAAACTYvMTQvMjAyNggAAAAJMy8zMS8yMDI2CQAAAAEwqGWP3P7J3gioZY/c/sneCC1DSVEuTllTRTpCQUguSVFfR1BfMVlSX0FOTl9HUk9XVEguLjE0LzA2LzIwMjYBAAAA6XECAAIAAAAHLTkuODE2NwEIAAAABQAAAAExAQAAAAstMTg4NzcwNDM0MQMAAAADMTYwAgAAAAQ0MTk1BAAAAAEwBwAAAAk2LzE0LzIwMjYIAAAACTMvMzEvMjAyNgkAAAABMKhlj9z+yd4IqGWP3P7J3ggxQ0lRLk5ZU0U6QkFILklRX0VCSVREQV8xWVJfQU5OX0dST1dUSC4uMTQvMDYvMjAyNgEAAADpcQIAAgAAAActOC43NzQ1AQgAAAAFAAAAATEBAAAACy0xODg3NzA0MzQxAwAAAAMxNjACAAAABDQxOTYEAAAAATAHAAAACTYvMTQvMjAyNggAAAAJMy8zMS8yMDI2CQAAAAEwqGWP3P7J3gioZY/c/sneCC9DSVEuTllTRTpCQUguSVFfRUJJVF8xWVJfQU5OX0dST1dUSC4uMTQvMDYvMjAyNgEAAADpcQIAAgAAAActOS44MDI0AQgAAAAFAAAAATEBAAAACy0xODg3NzA0MzQxAwAAAAMxNjACAAAABDQxOTcEAAAAATAH</t>
  </si>
  <si>
    <t>AAAACTYvMTQvMjAyNggAAAAJMy8zMS8yMDI2CQAAAAEwqGWP3P7J3gioZY/c/sneCC1DSVEuTllTRTpCQUguSVFfTklfMVlSX0FOTl9HUk9XVEguLjE0LzA2LzIwMjYBAAAA6XECAAIAAAAGLTguOTg0AQgAAAAFAAAAATEBAAAACy0xODg3NzA0MzQxAwAAAAMxNjACAAAABDQxOTkEAAAAATAHAAAACTYvMTQvMjAyNggAAAAJMy8zMS8yMDI2CQAAAAEwqGWP3P7J3gioZY/c/sneCC5DSVEuTllTRTpCQUguSVFfRVBTXzFZUl9BTk5fR1JPV1RILi4xNC8wNi8yMDI2AQAAAOlxAgACAAAABy00LjgyNzYBCAAAAAUAAAABMQEAAAALLTE4ODc3MDQzNDEDAAAAAzE2MAIAAAAENDIwMAQAAAABMAcAAAAJNi8xNC8yMDI2CAAAAAkzLzMxLzIwMjYJAAAAATCoZY/c/sneCKhlj9z+yd4IMkNJUS5OWVNFOkJBSC5JUV9UT1RBTF9SRVZfM1lSX0FOTl9DQUdSLi4xNC8wNi8yMDI2AQAAAOlxAgACAAAABjYuNjAzMwEIAAAABQAAAAExAQAAAAstMTg4NzcwNDM0MQMAAAADMTYwAgAAAAQ0MjIwBAAAAAEwBwAAAAk2LzE0LzIwMjYIAAAACTMvMzEvMjAyNgkAAAABMKhlj9z+yd4IqGWP3P7J3ggrQ0lRLk5ZU0U6QkFILklRX0dQXzNZUl9BTk5fQ0FHUi4uMTQvMDYvMjAyNgEAAADpcQIAAgAAAAY1LjM0OTcBCAAAAAUAAAABMQEAAAALLTE4ODc3MDQzNDEDAAAAAzE2MAIAAAAENDIyMQQAAAABMAcAAAAJNi8xNC8yMDI2CAAA</t>
  </si>
  <si>
    <t>AAkzLzMxLzIwMjYJAAAAATCoZY/c/sneCKhlj9z+yd4IL0NJUS5OWVNFOkJBSC5JUV9FQklUREFfM1lSX0FOTl9DQUdSLi4xNC8wNi8yMDI2AQAAAOlxAgACAAAABjguODI4NwEIAAAABQAAAAExAQAAAAstMTg4NzcwNDM0MQMAAAADMTYwAgAAAAQ0MjIyBAAAAAEwBwAAAAk2LzE0LzIwMjYIAAAACTMvMzEvMjAyNgkAAAABMKhlj9z+yd4IqGWP3P7J3ggtQ0lRLk5ZU0U6QkFILklRX0VCSVRfM1lSX0FOTl9DQUdSLi4xNC8wNi8yMDI2AQAAAOlxAgACAAAABjEwLjUyNgEIAAAABQAAAAExAQAAAAstMTg4NzcwNDM0MQMAAAADMTYwAgAAAAQ0MjIzBAAAAAEwBwAAAAk2LzE0LzIwMjYIAAAACTMvMzEvMjAyNgkAAAABMKhlj9z+yd4IqGWP3P7J3ggrQ0lRLk5ZU0U6QkFILklRX05JXzNZUl9BTk5fQ0FHUi4uMTQvMDYvMjAyNgEAAADpcQIAAgAAAAc0Ni4yNTgyAQgAAAAFAAAAATEBAAAACy0xODg3NzA0MzQxAwAAAAMxNjACAAAABDQyMjUEAAAAATAHAAAACTYvMTQvMjAyNggAAAAJMy8zMS8yMDI2CQAAAAEwqGWP3P7J3gioZY/c/sneCCxDSVEuTllTRTpCQUguSVFfRVBTXzNZUl9BTk5fQ0FHUi4uMTQvMDYvMjAyNgEAAADpcQIAAgAAAAY1MC4zNTUBCAAAAAUAAAABMQEAAAALLTE4ODc3MDQzNDEDAAAAAzE2MAIAAAAENDIyNgQAAAABMAcAAAAJNi8xNC8yMDI2CAAAAAkzLzMxLzIwMjYJAAAAATCoZY/c</t>
  </si>
  <si>
    <t>/sneCKhlj9z+yd4IMkNJUS5OWVNFOkJBSC5JUV9UT1RBTF9SRVZfNVlSX0FOTl9DQUdSLi4xNC8wNi8yMDI2AQAAAOlxAgACAAAABjcuMzc0OAEIAAAABQAAAAExAQAAAAstMTg4NzcwNDM0MQMAAAADMTYwAgAAAAQ0MjMzBAAAAAEwBwAAAAk2LzE0LzIwMjYIAAAACTMvMzEvMjAyNgkAAAABMKhlj9z+yd4IqGWP3P7J3ggrQ0lRLk5ZU0U6QkFILklRX0dQXzVZUl9BTk5fQ0FHUi4uMTQvMDYvMjAyNgEAAADpcQIAAgAAAAY1Ljk4NDIBCAAAAAUAAAABMQEAAAALLTE4ODc3MDQzNDEDAAAAAzE2MAIAAAAENDIzNAQAAAABMAcAAAAJNi8xNC8yMDI2CAAAAAkzLzMxLzIwMjYJAAAAATCoZY/c/sneCKhlj9z+yd4IL0NJUS5OWVNFOkJBSC5JUV9FQklUREFfNVlSX0FOTl9DQUdSLi4xNC8wNi8yMDI2AQAAAOlxAgACAAAABjguNTU2NgEIAAAABQAAAAExAQAAAAstMTg4NzcwNDM0MQMAAAADMTYwAgAAAAQ0MjM1BAAAAAEwBwAAAAk2LzE0LzIwMjYIAAAACTMvMzEvMjAyNgkAAAABMKhlj9z+yd4IqGWP3P7J3ggtQ0lRLk5ZU0U6QkFILklRX0VCSVRfNVlSX0FOTl9DQUdSLi4xNC8wNi8yMDI2AQAAAOlxAgACAAAABjcuODU4NwEIAAAABQAAAAExAQAAAAstMTg4NzcwNDM0MQMAAAADMTYwAgAAAAQ0MjM2BAAAAAEwBwAAAAk2LzE0LzIwMjYIAAAACTMvMzEvMjAyNgkAAAABMKhlj9z+yd4IqGWP3P7J3ggrQ0lR</t>
  </si>
  <si>
    <t>Lk5ZU0U6QkFILklRX05JXzVZUl9BTk5fQ0FHUi4uMTQvMDYvMjAyNgEAAADpcQIAAgAAAAY2LjkyMjMBCAAAAAUAAAABMQEAAAALLTE4ODc3MDQzNDEDAAAAAzE2MAIAAAAENDIzOAQAAAABMAcAAAAJNi8xNC8yMDI2CAAAAAkzLzMxLzIwMjYJAAAAATCoZY/c/sneCKhlj9z+yd4ILENJUS5OWVNFOkJBSC5JUV9FUFNfNVlSX0FOTl9DQUdSLi4xNC8wNi8yMDI2AQAAAOlxAgACAAAABjkuNTg5OQEIAAAABQAAAAExAQAAAAstMTg4NzcwNDM0MQMAAAADMTYwAgAAAAQ0MjM5BAAAAAEwBwAAAAk2LzE0LzIwMjYIAAAACTMvMzEvMjAyNgkAAAABMKhlj9z+yd4IqGWP3P7J3ggnQ0lRLk5ZU0U6QkFILklRX1JFVi4uMTQvMDYvMjAyNi4uLlVTRC5IAQAAAOlxAgACAAAABTExMjE3AQgAAAAFAAAAATEBAAAACy0xODg3NzA0MzQxAwAAAAMxNjACAAAAAzExMgQAAAABMAcAAAAJNi8xNC8yMDI2CAAAAAkzLzMxLzIwMjYJAAAAATBH4NLc/sneCEfg0tz+yd4IL0NJUS5OWVNFOkJBSC5JUV9GSU5fRElWX1JFVi4uMTQvMDYvMjAyNi4uLlVTRC5IAQAAAOlxAgADAAAAAABH4NLc/sneCEfg0tz+yd4IL0NJUS5OWVNFOkJBSC5JUV9JTlNfRElWX1JFVi4uMTQvMDYvMjAyNi4uLlVTRC5IAQAAAOlxAgADAAAAAABH4NLc/sneCEfg0tz+yd4IM0NJUS5OWVNFOkJBSC5JUV9HQUlOX0FTU0VUU19SRVYuLjE0LzA2LzIwMjYu</t>
  </si>
  <si>
    <t>Li5VU0QuSAEAAADpcQIAAwAAAAAAR+DS3P7J3ghH4NLc/sneCDNDSVEuTllTRTpCQUguSVFfR0FJTl9JTlZFU1RfUkVWLi4xNC8wNi8yMDI2Li4uVVNELkgBAAAA6XECAAMAAAAAAEfg0tz+yd4IR+DS3P7J3ggvQ0lRLk5ZU0U6QkFILklRX0lOVF9JTlZfSU5DLi4xNC8wNi8yMDI2Li4uVVNELkgBAAAA6XECAAMAAAAAAEfg0tz+yd4IR+DS3P7J3ggzQ0lRLk5ZU0U6QkFILklRX09USEVSX1JFVl9TVVBQTC4uMTQvMDYvMjAyNi4uLlVTRC5IAQAAAOlxAgADAAAAAABH4NLc/sneCEfg0tz+yd4ILUNJUS5OWVNFOkJBSC5JUV9UT1RBTF9SRVYuLjE0LzA2LzIwMjYuLi5VU0QuSAEAAADpcQIAAgAAAAUxMTIxNwEIAAAABQAAAAExAQAAAAstMTg4NzcwNDM0MQMAAAADMTYwAgAAAAIyOAQAAAABMAcAAAAJNi8xNC8yMDI2CAAAAAkzLzMxLzIwMjYJAAAAATBH4NLc/sneCEfg0tz+yd4IKENJUS5OWVNFOkJBSC5JUV9DT0dTLi4xNC8wNi8yMDI2Li4uVVNELkgBAAAA6XECAAIAAAAEODcwOQEIAAAABQAAAAExAQAAAAstMTg4NzcwNDM0MQMAAAADMTYwAgAAAAIzNAQAAAABMAcAAAAJNi8xNC8yMDI2CAAAAAkzLzMxLzIwMjYJAAAAATBH4NLc/sneCEfg0tz+yd4IL0NJUS5OWVNFOkJBSC5JUV9GSU5fRElWX0VYUC4uMTQvMDYvMjAyNi4uLlVTRC5IAQAAAOlxAgADAAAAAABH4NLc/sneCEfg0tz+yd4IL0NJUS5O</t>
  </si>
  <si>
    <t>WVNFOkJBSC5JUV9JTlNfRElWX0VYUC4uMTQvMDYvMjAyNi4uLlVTRC5IAQAAAOlxAgADAAAAAABH4NLc/sneCEfg0tz+yd4IM0NJUS5OWVNFOkJBSC5JUV9GSU5fRElWX0lOVF9FWFAuLjE0LzA2LzIwMjYuLi5VU0QuSAEAAADpcQIAAwAAAAAAR+DS3P7J3ghH4NLc/sneCCZDSVEuTllTRTpCQUguSVFfR1AuLjE0LzA2LzIwMjYuLi5VU0QuSAEAAADpcQIAAgAAAAQyNTA4AQgAAAAFAAAAATEBAAAACy0xODg3NzA0MzQxAwAAAAMxNjACAAAAAjEwBAAAAAEwBwAAAAk2LzE0LzIwMjYIAAAACTMvMzEvMjAyNgkAAAABMEfg0tz+yd4IR+DS3P7J3ggtQ0lRLk5ZU0U6QkFILklRX1NHQV9TVVBQTC4uMTQvMDYvMjAyNi4uLlVTRC5IAQAAAOlxAgACAAAABDEyNTABCAAAAAUAAAABMQEAAAALLTE4ODc3MDQzNDEDAAAAAzE2MAIAAAADMTAyBAAAAAEwBwAAAAk2LzE0LzIwMjYIAAAACTMvMzEvMjAyNgkAAAABMEfg0tz+yd4IR+DS3P7J3ggxQ0lRLk5ZU0U6QkFILklRX0VYUExPUkVfRFJJTEwuLjE0LzA2LzIwMjYuLi5VU0QuSAEAAADpcQIAAwAAAAAAR+DS3P7J3ghH4NLc/sneCDJDSVEuTllTRTpCQUguSVFfUFJPVl9CQURfREVCVFMuLjE0LzA2LzIwMjYuLi5VU0QuSAEAAADpcQIAAwAAAAAAR+DS3P7J3ghH4NLc/sneCC9DSVEuTllTRTpCQUguSVFfU1RPQ0tfQkFTRUQuLjE0LzA2LzIwMjYuLi5VU0QuSAEA</t>
  </si>
  <si>
    <t>AADpcQIAAwAAAAAAR+DS3P7J3ghH4NLc/sneCDFDSVEuTllTRTpCQUguSVFfUFJFX09QRU5fQ09TVC4uMTQvMDYvMjAyNi4uLlVTRC5IAQAAAOlxAgADAAAAAABH4NLc/sneCEfg0tz+yd4IKkNJUS5OWVNFOkJBSC5JUV9SRF9FWFAuLjE0LzA2LzIwMjYuLi5VU0QuSAEAAADpcQIAAwAAAAAAR+DS3P7J3ghH4NLc/sneCCxDSVEuTllTRTpCQUguSVFfREFfU1VQUEwuLjE0LzA2LzIwMjYuLi5VU0QuSAEAAADpcQIAAgAAAAMxNjMBCAAAAAUAAAABMQEAAAALLTE4ODc3MDQzNDEDAAAAAzE2MAIAAAACNDEEAAAAATAHAAAACTYvMTQvMjAyNggAAAAJMy8zMS8yMDI2CQAAAAEwR+DS3P7J3ghH4NLc/sneCDJDSVEuTllTRTpCQUguSVFfR1dfSU5UQU5fQU1PUlQuLjE0LzA2LzIwMjYuLi5VU0QuSAEAAADpcQIAAwAAAAAAR+DS3P7J3ghH4NLc/sneCC5DSVEuTllTRTpCQUguSVFfSU1QQUlSX09JTC4uMTQvMDYvMjAyNi4uLlVTRC5IAQAAAOlxAgADAAAAAABH4NLc/sneCEfg0tz+yd4ILkNJUS5OWVNFOkJBSC5JUV9PVEhFUl9PUEVSLi4xNC8wNi8yMDI2Li4uVVNELkgBAAAA6XECAAMAAAAAAEfg0tz+yd4IR+DS3P7J3gg0Q0lRLk5ZU0U6QkFILklRX1RPVEFMX09USEVSX09QRVIuLjE0LzA2LzIwMjYuLi5VU0QuSAEAAADpcQIAAgAAAAQxNDEzAQgAAAAFAAAAATEBAAAACy0xODg3NzA0MzQxAwAAAAMxNjAC</t>
  </si>
  <si>
    <t>AAAAAzM4MAQAAAABMAcAAAAJNi8xNC8yMDI2CAAAAAkzLzMxLzIwMjYJAAAAATBH4NLc/sneCEfg0tz+yd4ILENJUS5OWVNFOkJBSC5JUV9PUEVSX0lOQy4uMTQvMDYvMjAyNi4uLlVTRC5IAQAAAOlxAgACAAAABDEwOTUBCAAAAAUAAAABMQEAAAALLTE4ODc3MDQzNDEDAAAAAzE2MAIAAAACMjEEAAAAATAHAAAACTYvMTQvMjAyNggAAAAJMy8zMS8yMDI2CQAAAAEwR+DS3P7J3ghH4NLc/sneCDBDSVEuTllTRTpCQUguSVFfSU5URVJFU1RfRVhQLi4xNC8wNi8yMDI2Li4uVVNELkgBAAAA6XECAAIAAAAELTE4NAEIAAAABQAAAAExAQAAAAstMTg4NzcwNDM0MQMAAAADMTYwAgAAAAI4MgQAAAABMAcAAAAJNi8xNC8yMDI2CAAAAAkzLzMxLzIwMjYJAAAAATBH4NLc/sneCEfg0tz+yd4IN0NJUS5OWVNFOkJBSC5JUV9JTlRFUkVTVF9JTlZFU1RfSU5DLi4xNC8wNi8yMDI2Li4uVVNELkgBAAAA6XECAAMAAAAAAEfg0tz+yd4IR+DS3P7J3gg0Q0lRLk5ZU0U6QkFILklRX05FVF9JTlRFUkVTVF9FWFAuLjE0LzA2LzIwMjYuLi5VU0QuSAEAAADpcQIAAgAAAAQtMTg0AQgAAAAFAAAAATEBAAAACy0xODg3NzA0MzQxAwAAAAMxNjACAAAAAzM2OAQAAAABMAcAAAAJNi8xNC8yMDI2CAAAAAkzLzMxLzIwMjYJAAAAATBH4NLc/sneCEfg0tz+yd4ILkNJUS5OWVNFOkJBSC5JUV9JTkNfRVFVSVRZLi4xNC8wNi8yMDI2</t>
  </si>
  <si>
    <t>Li4uVVNELkgBAAAA6XECAAMAAAAAAEfg0tz+yd4IR+DS3P7J3ggxQ0lRLk5ZU0U6QkFILklRX0NVUlJFTkNZX0dBSU4uLjE0LzA2LzIwMjYuLi5VU0QuSAEAAADpcQIAAwAAAAAAR+DS3P7J3ghH4NLc/sneCDxDSVEuTllTRTpCQUguSVFfT1RIRVJfTk9OX09QRVJfRVhQX1NVUFBMLi4xNC8wNi8yMDI2Li4uVVNELkgBAAAA6XECAAIAAAABNgEIAAAABQAAAAExAQAAAAstMTg4NzcwNDM0MQMAAAADMTYwAgAAAAI4NQQAAAABMAcAAAAJNi8xNC8yMDI2CAAAAAkzLzMxLzIwMjYJAAAAATBH4NLc/sneCEfg0tz+yd4ILENJUS5OWVNFOkJBSC5JUV9FQlRfRVhDTC4uMTQvMDYvMjAyNi4uLlVTRC5IAQAAAOlxAgACAAAAAzkxNwEIAAAABQAAAAExAQAAAAstMTg4NzcwNDM0MQMAAAADMTYwAgAAAAE0BAAAAAEwBwAAAAk2LzE0LzIwMjYIAAAACTMvMzEvMjAyNgkAAAABMEfg0tz+yd4IR+DS3P7J3ggvQ0lRLk5ZU0U6QkFILklRX1JFU1RSVUNUVVJFLi4xNC8wNi8yMDI2Li4uVVNELkgBAAAA6XECAAIAAAADLTYxAQgAAAAFAAAAATEBAAAACy0xODg3NzA0MzQxAwAAAAMxNjACAAAAAjk4BAAAAAEwBwAAAAk2LzE0LzIwMjYIAAAACTMvMzEvMjAyNgkAAAABMEfg0tz+yd4IR+DS3P7J3ggqQ0lRLk5ZU0U6QkFILklRX01FUkdFUi4uMTQvMDYvMjAyNi4uLlVTRC5IAQAAAOlxAgADAAAAAABH4NLc/sneCEfg0tz+</t>
  </si>
  <si>
    <t>yd4IMUNJUS5OWVNFOkJBSC5JUV9JTVBBSVJNRU5UX0dXLi4xNC8wNi8yMDI2Li4uVVNELkgBAAAA6XECAAMAAAAAAEfg0tz+yd4IR+DS3P7J3ggvQ0lRLk5ZU0U6QkFILklRX0dBSU5fSU5WRVNULi4xNC8wNi8yMDI2Li4uVVNELkgBAAAA6XECAAMAAAAAAEfg0tz+yd4IR+DS3P7J3ggvQ0lRLk5ZU0U6QkFILklRX0dBSU5fQVNTRVRTLi4xNC8wNi8yMDI2Li4uVVNELkgBAAAA6XECAAIAAAABNgEIAAAABQAAAAExAQAAAAstMTg4NzcwNDM0MQMAAAADMTYwAgAAAAI1NgQAAAABMAcAAAAJNi8xNC8yMDI2CAAAAAkzLzMxLzIwMjYJAAAAATBH4NLc/sneCEfg0tz+yd4IM0NJUS5OWVNFOkJBSC5JUV9BU1NFVF9XUklURURPV04uLjE0LzA2LzIwMjYuLi5VU0QuSAEAAADpcQIAAwAAAAAAR+DS3P7J3ghH4NLc/sneCChDSVEuTllTRTpCQUguSVFfSVBSRC4uMTQvMDYvMjAyNi4uLlVTRC5IAQAAAOlxAgADAAAAAABH4NLc/sneCEfg0tz+yd4ILkNJUS5OWVNFOkJBSC5JUV9JTlNfU0VUVExFLi4xNC8wNi8yMDI2Li4uVVNELkgBAAAA6XECAAMAAAAAAEfg0tz+yd4IR+DS3P7J3ggwQ0lRLk5ZU0U6QkFILklRX0xFR0FMX1NFVFRMRS4uMTQvMDYvMjAyNi4uLlVTRC5IAQAAAOlxAgADAAAAAABH4NLc/sneCEfg0tz+yd4IN0NJUS5OWVNFOkJBSC5JUV9PVEhFUl9VTlVTVUFMX1NVUFBMLi4xNC8wNi8yMDI2Li4u</t>
  </si>
  <si>
    <t>VVNELkgBAAAA6XECAAMAAAAAAEfg0tz+yd4IR+DS3P7J3ggnQ0lRLk5ZU0U6QkFILklRX0VCVC4uMTQvMDYvMjAyNi4uLlVTRC5IAQAAAOlxAgACAAAAAzg2MgEIAAAABQAAAAExAQAAAAstMTg4NzcwNDM0MQMAAAADMTYwAgAAAAMxMzkEAAAAATAHAAAACTYvMTQvMjAyNggAAAAJMy8zMS8yMDI2CQAAAAEwR+DS3P7J3ghH4NLc/sneCCtDSVEuTllTRTpCQUguSVFfSU5DX1RBWC4uMTQvMDYvMjAyNi4uLlVTRC5IAQAAAOlxAgACAAAAAjExAQgAAAAFAAAAATEBAAAACy0xODg3NzA0MzQxAwAAAAMxNjACAAAAAjc1BAAAAAEwBwAAAAk2LzE0LzIwMjYIAAAACTMvMzEvMjAyNgkAAAABMEfg0tz+yd4IR+DS3P7J3gguQ0lRLk5ZU0U6QkFILklRX0VBUk5JTkdfQ08uLjE0LzA2LzIwMjYuLi5VU0QuSAEAAADpcQIAAgAAAAM4NTEBCAAAAAUAAAABMQEAAAALLTE4ODc3MDQzNDEDAAAAAzE2MAIAAAABNwQAAAABMAcAAAAJNi8xNC8yMDI2CAAAAAkzLzMxLzIwMjYJAAAAATBH4NLc/sneCEfg0tz+yd4IJkNJUS5OWVNFOkJBSC5JUV9ETy4uMTQvMDYvMjAyNi4uLlVTRC5IAQAAAOlxAgADAAAAAABH4NLc/sneCEfg0tz+yd4IM0NJUS5OWVNFOkJBSC5JUV9FWFRSQV9BQ0NfSVRFTVMuLjE0LzA2LzIwMjYuLi5VU0QuSAEAAADpcQIAAwAAAAAAR+DS3P7J3ghH4NLc/sneCC5DSVEuTllTRTpCQUguSVFfTklfQ09N</t>
  </si>
  <si>
    <t>UEFOWS4uMTQvMDYvMjAyNi4uLlVTRC5IAQAAAOlxAgACAAAAAzg1MQEIAAAABQAAAAExAQAAAAstMTg4NzcwNDM0MQMAAAADMTYwAgAAAAU0MTU3MQQAAAABMAcAAAAJNi8xNC8yMDI2CAAAAAkzLzMxLzIwMjYJAAAAATBH4NLc/sneCEfg0tz+yd4IOENJUS5OWVNFOkJBSC5JUV9NSU5PUklUWV9JTlRFUkVTVF9JUy4uMTQvMDYvMjAyNi4uLlVTRC5IAQAAAOlxAgADAAAAAABH4NLc/sneCEfg0tz+yd4IJkNJUS5OWVNFOkJBSC5JUV9OSS4uMTQvMDYvMjAyNi4uLlVTRC5IAQAAAOlxAgACAAAAAzg1MQEIAAAABQAAAAExAQAAAAstMTg4NzcwNDM0MQMAAAADMTYwAgAAAAIxNQQAAAABMAcAAAAJNi8xNC8yMDI2CAAAAAkzLzMxLzIwMjYJAAAAATBH4NLc/sneCEfg0tz+yd4IMkNJUS5OWVNFOkJBSC5JUV9QUkVGX0RJVl9PVEhFUi4uMTQvMDYvMjAyNi4uLlVTRC5IAQAAAOlxAgACAAAAATYBCAAAAAUAAAABMQEAAAALLTE4ODc3MDQzNDEDAAAAAzE2MAIAAAACOTcEAAAAATAHAAAACTYvMTQvMjAyNggAAAAJMy8zMS8yMDI2CQAAAAEwR+DS3P7J3ghH4NLc/sneCDFDSVEuTllTRTpCQUguSVFfTklfQVZBSUxfSU5DTC4uMTQvMDYvMjAyNi4uLlVTRC5IAQAAAOlxAgACAAAAAzg0NQEIAAAABQAAAAExAQAAAAstMTg4NzcwNDM0MQMAAAADMTYwAgAAAAIxNgQAAAABMAcAAAAJNi8xNC8yMDI2CAAAAAkzLzMx</t>
  </si>
  <si>
    <t>LzIwMjYJAAAAATBH4NLc/sneCEfg0tz+yd4IMUNJUS5OWVNFOkJBSC5JUV9OSV9BVkFJTF9FWENMLi4xNC8wNi8yMDI2Li4uVVNELkgBAAAA6XECAAIAAAADODQ1AQgAAAAFAAAAATEBAAAACy0xODg3NzA0MzQxAwAAAAMxNjACAAAAAzM3OQQAAAABMAcAAAAJNi8xNC8yMDI2CAAAAAkzLzMxLzIwMjYJAAAAATBH4NLc/sneCEfg0tz+yd4IMkNJUS5OWVNFOkJBSC5JUV9CQVNJQ19FUFNfSU5DTC4uMTQvMDYvMjAyNi4uLlVTRC5IAQAAAOlxAgACAAAACDYuOTIyMTYzAQgAAAAFAAAAATEBAAAACy0xODg3NzA0MzQxAwAAAAMxNjACAAAAATkEAAAAATAHAAAACTYvMTQvMjAyNggAAAAJMy8zMS8yMDI2CQAAAAEwR+DS3P7J3ghH4NLc/sneCDJDSVEuTllTRTpCQUguSVFfQkFTSUNfRVBTX0VYQ0wuLjE0LzA2LzIwMjYuLi5VU0QuSAEAAADpcQIAAgAAAAg2LjkyMjE2MwEIAAAABQAAAAExAQAAAAstMTg4NzcwNDM0MQMAAAADMTYwAgAAAAQzMDY0BAAAAAEwBwAAAAk2LzE0LzIwMjYIAAAACTMvMzEvMjAyNgkAAAABMEfg0tz+yd4IR+DS3P7J3ggyQ0lRLk5ZU0U6QkFILklRX0RJTFVUX0VQU19JTkNMLi4xNC8wNi8yMDI2Li4uVVNELkgBAAAA6XECAAIAAAADNi45AQgAAAAFAAAAATEBAAAACy0xODg3NzA0MzQxAwAAAAMxNjACAAAAATgEAAAAATAHAAAACTYvMTQvMjAyNggAAAAJMy8zMS8yMDI2CQAAAAEw</t>
  </si>
  <si>
    <t>R+DS3P7J3ghH4NLc/sneCDJDSVEuTllTRTpCQUguSVFfRElMVVRfRVBTX0VYQ0wuLjE0LzA2LzIwMjYuLi5VU0QuSAEAAADpcQIAAgAAAAM2LjkBCAAAAAUAAAABMQEAAAALLTE4ODc3MDQzNDEDAAAAAzE2MAIAAAADMTQyBAAAAAEwBwAAAAk2LzE0LzIwMjYIAAAACTMvMzEvMjAyNgkAAAABMEfg0tz+yd4IR+DS3P7J3ggsQ0lRLk5ZU0U6QkFILklRX0VQU19OT1JNLi4xNC8wNi8yMDI2Li4uVVNELkgBAAAA6XECAAIAAAAINC42OTQ5ODcBCAAAAAUAAAABMQEAAAALLTE4ODc3MDQzNDEDAAAAAzE2MAIAAAAENDM3OQQAAAABMAcAAAAJNi8xNC8yMDI2CAAAAAkzLzMxLzIwMjYJAAAAATBH4NLc/sneCEfg0tz+yd4IMkNJUS5OWVNFOkJBSC5JUV9ESUxVVF9FUFNfTk9STS4uMTQvMDYvMjAyNi4uLlVTRC5IAQAAAOlxAgACAAAACDQuNjgzMzQ0AQgAAAAFAAAAATEBAAAACy0xODg3NzA0MzQxAwAAAAMxNjACAAAABDQzODAEAAAAATAHAAAACTYvMTQvMjAyNggAAAAJMy8zMS8yMDI2CQAAAAEwR+DS3P7J3ghH4NLc/sneCEhDSVEuTllTRTpCQUguSVFfRElTVFJJQlVUQUJMRV9DQVNIX1BFUl9TSEFSRV9ESUxVVEVELi4xNC8wNi8yMDI2Li4uVVNELkgBAAAA6XECAAMAAAAAAEfg0tz+yd4IR+DS3P7J3ggtQ0lRLk5ZU0U6QkFILklRX0RJVl9TSEFSRS4uMTQvMDYvMjAyNi4uLlVTRC5IAQAAAOlxAgACAAAA</t>
  </si>
  <si>
    <t>BDIuMjQBCAAAAAUAAAABMQEAAAALLTE4ODc3MDQzNDEDAAAAAzE2MAIAAAAEMzA1OAQAAAABMAcAAAAJNi8xNC8yMDI2CAAAAAkzLzMxLzIwMjYJAAAAATBH4NLc/sneCEfg0tz+yd4IM0NJUS5OWVNFOkJBSC5JUV9UT1RBTF9SRVZfU0hBUkUuLjE0LzA2LzIwMjYuLi5VU0QuSAEAAADpcQIAAgAAAAk5MS44ODg2NDIBCAAAAAUAAAABMQEAAAALLTE4ODc3MDQzNDEDAAAAAzE2MAIAAAAENDM4MgQAAAABMAcAAAAJNi8xNC8yMDI2CAAAAAkzLzMxLzIwMjYJAAAAATBH4NLc/sneCEfg0tz+yd4IPENJUS5OWVNFOkJBSC5JUV9ESVNUUklCVVRBQkxFX0NBU0hfU0hBUkUuLjE0LzA2LzIwMjYuLi5VU0QuSAEAAADpcQIAAwAAAAAAR+DS3P7J3ghH4NLc/sneCDVDSVEuTllTRTpCQUguSVFfU1BFQ0lBTF9ESVZfU0hBUkUuLjE0LzA2LzIwMjYuLi5VU0QuSAEAAADpcQIAAwAAAAAAR+DS3P7J3ghH4NLc/sneCCpDSVEuTllTRTpCQUguSVFfRUJJVERBLi4xNC8wNi8yMDI2Li4uVVNELkgBAAAA6XECAAIAAAAEMTI1OAEIAAAABQAAAAExAQAAAAstMTg4NzcwNDM0MQMAAAADMTYwAgAAAAQ0MDUxBAAAAAEwBwAAAAk2LzE0LzIwMjYIAAAACTMvMzEvMjAyNgkAAAABMEfg0tz+yd4IR+DS3P7J3ggxQ0lRLk5ZU0U6QkFILklRX0VCSVREQV9FUV9JTkMuLjE0LzA2LzIwMjYuLi5VU0QuSAEAAADpcQIAAgAAAAQxMzMz</t>
  </si>
  <si>
    <t>AQgAAAAFAAAAATEBAAAACy0xODg3NzA0MzQxAwAAAAMxNjACAAAABTIxNjc3BAAAAAEwBwAAAAk2LzE0LzIwMjYIAAAACTMvMzEvMjAyNgkAAAABMEfg0tz+yd4IR+DS3P7J3gg6Q0lRLk5ZU0U6QkFILklRX0VCSVREQV9FUV9JTkNfRVhDTF9TQkMuLjE0LzA2LzIwMjYuLi5VU0QuSAEAAADpcQIAAgAAAAQxMzI3AQgAAAAFAAAAATEBAAAACy0xODg3NzA0MzQxAwAAAAMxNjACAAAABTI0MTMxBAAAAAEwBwAAAAk2LzE0LzIwMjYIAAAACTMvMzEvMjAyNgkAAAABMEfg0tz+yd4IR+DS3P7J3ggzQ0lRLk5ZU0U6QkFILklRX0VCSVREQV9FWENMX1NCQy4uMTQvMDYvMjAyNi4uLlVTRC5IAQAAAOlxAgACAAAABDEzMjcBCAAAAAUAAAABMQEAAAALLTE4ODc3MDQzNDEDAAAAAzE2MAIAAAAFMjQxMzUEAAAAATAHAAAACTYvMTQvMjAyNggAAAAJMy8zMS8yMDI2CQAAAAEwR+DS3P7J3ghH4NLc/sneCDlDSVEuTllTRTpCQUguSVFfRUJJVERBX0xFQVNFX0FESlVTVEVELi4xNC8wNi8yMDI2Li4uVVNELkgBAAAA6XECAAIAAAAEMTMzMwEIAAAABQAAAAExAQAAAAstMTg4NzcwNDM0MQMAAAADMTYwAgAAAAU0ODk5MwQAAAABMAcAAAAJNi8xNC8yMDI2CAAAAAkzLzMxLzIwMjYJAAAAATBH4NLc/sneCEfg0tz+yd4IO0NJUS5OWVNFOkJBSC5JUV9MRUFTRV9BREpVU1RNRU5UX0VCSVREQS4uMTQvMDYvMjAyNi4uLlVT</t>
  </si>
  <si>
    <t>RC5IAQAAAOlxAgACAAAAAjc1AEfg0tz+yd4IR+DS3P7J3ghFQ0lRLk5ZU0U6QkFILklRX0VCSVREQV9FUV9JTkNfRVhDTF9PUEVSX0xFQVNFX0FESi4uMTQvMDYvMjAyNi4uLlVTRC5IAQAAAOlxAgACAAAABDEyNTgBCAAAAAUAAAABMQEAAAALLTE4ODc3MDQzNDEDAAAAAzE2MAIAAAAFNDg5ODcEAAAAATAHAAAACTYvMTQvMjAyNggAAAAJMy8zMS8yMDI2CQAAAAEwR+DS3P7J3ghH4NLc/sneCChDSVEuTllTRTpCQUguSVFfRUJJVC4uMTQvMDYvMjAyNi4uLlVTRC5IAQAAAOlxAgACAAAABDEwOTUBCAAAAAUAAAABMQEAAAALLTE4ODc3MDQzNDEDAAAAAzE2MAIAAAADNDAwBAAAAAEwBwAAAAk2LzE0LzIwMjYIAAAACTMvMzEvMjAyNgkAAAABMEfg0tz+yd4IR+DS3P7J3ggvQ0lRLk5ZU0U6QkFILklRX0VCSVRfRVFfSU5DLi4xNC8wNi8yMDI2Li4uVVNELkgBAAAA6XECAAIAAAAEMTA5NQEIAAAABQAAAAExAQAAAAstMTg4NzcwNDM0MQMAAAADMTYwAgAAAAUyMTY3NQQAAAABMAcAAAAJNi8xNC8yMDI2CAAAAAkzLzMxLzIwMjYJAAAAATBH4NLc/sneCEfg0tz+yd4IOENJUS5OWVNFOkJBSC5JUV9FQklUX0VRX0lOQ19FWENMX1NCQy4uMTQvMDYvMjAyNi4uLlVTRC5IAQAAAOlxAgACAAAABDExNjQBCAAAAAUAAAABMQEAAAALLTE4ODc3MDQzNDEDAAAAAzE2MAIAAAAFMjQxMzAEAAAAATAHAAAACTYvMTQv</t>
  </si>
  <si>
    <t>MjAyNggAAAAJMy8zMS8yMDI2CQAAAAEwR+DS3P7J3ghH4NLc/sneCDFDSVEuTllTRTpCQUguSVFfRUJJVF9FWENMX1NCQy4uMTQvMDYvMjAyNi4uLlVTRC5IAQAAAOlxAgACAAAABDExNjQBCAAAAAUAAAABMQEAAAALLTE4ODc3MDQzNDEDAAAAAzE2MAIAAAAFMjQxMzQEAAAAATAHAAAACTYvMTQvMjAyNggAAAAJMy8zMS8yMDI2CQAAAAEwR+DS3P7J3ghH4NLc/sneCClDSVEuTllTRTpCQUguSVFfRUJJVEEuLjE0LzA2LzIwMjYuLi5VU0QuSAEAAADpcQIAAgAAAAQxMTkwAQgAAAAFAAAAATEBAAAACy0xODg3NzA0MzQxAwAAAAMxNjACAAAABjEwMDY4OQQAAAABMAcAAAAJNi8xNC8yMDI2CAAAAAkzLzMxLzIwMjYJAAAAATBH4NLc/sneCEfg0tz+yd4IMENJUS5OWVNFOkJBSC5JUV9FQklUQV9FUV9JTkMuLjE0LzA2LzIwMjYuLi5VU0QuSAEAAADpcQIAAgAAAAQxMTkwAQgAAAAFAAAAATEBAAAACy0xODg3NzA0MzQxAwAAAAMxNjACAAAABTIxNjc2BAAAAAEwBwAAAAk2LzE0LzIwMjYIAAAACTMvMzEvMjAyNgkAAAABMEfg0tz+yd4IR+DS3P7J3gg5Q0lRLk5ZU0U6QkFILklRX0VCSVRBX0VRX0lOQ19FWENMX1NCQy4uMTQvMDYvMjAyNi4uLlVTRC5IAQAAAOlxAgACAAAABDEyNTkBCAAAAAUAAAABMQEAAAALLTE4ODc3MDQzNDEDAAAAAzE2MAIAAAAFMjQxMzIEAAAAATAHAAAACTYvMTQvMjAyNggAAAAJ</t>
  </si>
  <si>
    <t>My8zMS8yMDI2CQAAAAEwR+DS3P7J3ghH4NLc/sneCDJDSVEuTllTRTpCQUguSVFfRUJJVEFfRVhDTF9TQkMuLjE0LzA2LzIwMjYuLi5VU0QuSAEAAADpcQIAAgAAAAQxMjU5AQgAAAAFAAAAATEBAAAACy0xODg3NzA0MzQxAwAAAAMxNjACAAAABTI0MTM2BAAAAAEwBwAAAAk2LzE0LzIwMjYIAAAACTMvMzEvMjAyNgkAAAABMEfg0tz+yd4IR+DS3P7J3ggrQ0lRLk5ZU0U6QkFILklRX0VCSVREQVIuLjE0LzA2LzIwMjYuLi5VU0QuSAEAAADpcQIAAgAAAAQxMzMzAQgAAAAFAAAAATEBAAAACy0xODg3NzA0MzQxAwAAAAMxNjACAAAABTIxNjc0BAAAAAEwBwAAAAk2LzE0LzIwMjYIAAAACTMvMzEvMjAyNgkAAAABMEfg0tz+yd4IR+DS3P7J3ggyQ0lRLk5ZU0U6QkFILklRX0VCSVREQVJfRVFfSU5DLi4xNC8wNi8yMDI2Li4uVVNELkgBAAAA6XECAAIAAAAEMTQwOAEIAAAABQAAAAExAQAAAAstMTg4NzcwNDM0MQMAAAADMTYwAgAAAAUyNDEyOQQAAAABMAcAAAAJNi8xNC8yMDI2CAAAAAkzLzMxLzIwMjYJAAAAATBH4NLc/sneCEfg0tz+yd4IO0NJUS5OWVNFOkJBSC5JUV9FQklUREFSX0VRX0lOQ19FWENMX1NCQy4uMTQvMDYvMjAyNi4uLlVTRC5IAQAAAOlxAgACAAAABDE0MDIBCAAAAAUAAAABMQEAAAALLTE4ODc3MDQzNDEDAAAAAzE2MAIAAAAFMjQxMzMEAAAAATAHAAAACTYvMTQvMjAyNggAAAAJMy8z</t>
  </si>
  <si>
    <t>MS8yMDI2CQAAAAEwR+DS3P7J3ghH4NLc/sneCDRDSVEuTllTRTpCQUguSVFfRUJJVERBUl9FWENMX1NCQy4uMTQvMDYvMjAyNi4uLlVTRC5IAQAAAOlxAgACAAAABDE0MDIBCAAAAAUAAAABMQEAAAALLTE4ODc3MDQzNDEDAAAAAzE2MAIAAAAFMjQxMzcEAAAAATAHAAAACTYvMTQvMjAyNggAAAAJMy8zMS8yMDI2CQAAAAEwR+DS3P7J3ghH4NLc/sneCDBDSVEuTllTRTpCQUguSVFfRUJJVERBX0NBUEVYLi4xNC8wNi8yMDI2Li4uVVNELkgBAAAA6XECAAIAAAAEMTE2OAEIAAAABQAAAAExAQAAAAstMTg4NzcwNDM0MQMAAAADMTYwAgAAAAUzNTM3OQQAAAABMAcAAAAJNi8xNC8yMDI2CAAAAAkzLzMxLzIwMjYJAAAAATBH4NLc/sneCEfg0tz+yd4INUNJUS5OWVNFOkJBSC5JUV9GRUVTX09USEVSX0lOQ09NRS4uMTQvMDYvMjAyNi4uLlVTRC5IAQAAAOlxAgADAAAAAABH4NLc/sneCEfg0tz+yd4IOUNJUS5OWVNFOkJBSC5JUV9UT1RBTF9SRVZfQVNfUkVQT1JURUQuLjE0LzA2LzIwMjYuLi5VU0QuSAEAAADpcQIAAwAAAAAAR+DS3P7J3ghH4NLc/sneCDZDSVEuTllTRTpCQUguSVFfQVNfUkVQT1JURURfRUJJVERBLi4xNC8wNi8yMDI2Li4uVVNELkgBAAAA6XECAAIAAAAEMTIyOQBH4NLc/sneCEfg0tz+yd4IRkNJUS5OWVNFOkJBSC5JUV9QUk9WX0JBRF9ERUJUU19QQVRJRU5UX1NFUlZJQ0VfUkVWLi4x</t>
  </si>
  <si>
    <t>NC8wNi8yMDI2Li4uVVNELkgBAAAA6XECAAMAAAAAAEfg0tz+yd4IR+DS3P7J3gg9Q0lRLk5ZU0U6QkFILklRX0VBUk5JTkdfUEFSRU5UX0VYQ0xfRVhUUkEuLjE0LzA2LzIwMjYuLi5VU0QuSAEAAADpcQIAAgAAAAM4NTEBCAAAAAUAAAABMQEAAAALLTE4ODc3MDQzNDEDAAAAAzE2MAIAAAAFNDE1OTYEAAAAATAHAAAACTYvMTQvMjAyNggAAAAJMy8zMS8yMDI2CQAAAAEwR+DS3P7J3ghH4NLc/sneCCtDSVEuTllTRTpCQUguSVFfTklfU0ZBUy4uMTQvMDYvMjAyNi4uLlVTRC5IAQAAAOlxAgADAAAAAABH4NLc/sneCEfg0tz+yd4IM0NJUS5OWVNFOkJBSC5JUV9JTlRFUkVTVF9JTkNPTUUuLjE0LzA2LzIwMjYuLi5VU0QuSAEAAADpcQIAAwAAAAAAR+DS3P7J3ghH4NLc/sneCDVDSVEuTllTRTpCQUguSVFfSU5WRVNUTUVOVF9JTkNPTUUuLjE0LzA2LzIwMjYuLi5VU0QuSAEAAADpcQIAAwAAAAAAR+DS3P7J3ghH4NLc/sneCDtDSVEuTllTRTpCQUguSVFfRVhDSVNFX1RBWEVTX0VYQ0xfU0FMRVMuLjE0LzA2LzIwMjYuLi5VU0QuSAEAAADpcQIAAwAAAAAAR+DS3P7J3ghH4NLc/sneCDtDSVEuTllTRTpCQUguSVFfRVhDSVNFX1RBWEVTX0lOQ0xfU0FMRVMuLjE0LzA2LzIwMjYuLi5VU0QuSAEAAADpcQIAAwAAAAAAR+DS3P7J3ghH4NLc/sneCDdDSVEuTllTRTpCQUguSVFfQ1VSUl9ET01FU1RJQ19UQVhF</t>
  </si>
  <si>
    <t>Uy4uMTQvMDYvMjAyNi4uLlVTRC5IAQAAAOlxAgACAAAAAy0yNwEIAAAABQAAAAExAQAAAAstMTg4NzcwNDM0MQMAAAADMTYwAgAAAAQzMDI3BAAAAAEwBwAAAAk2LzE0LzIwMjYIAAAACTMvMzEvMjAyNgkAAAABMEfg0tz+yd4IR+DS3P7J3gg2Q0lRLk5ZU0U6QkFILklRX0NVUlJfRk9SRUlHTl9UQVhFUy4uMTQvMDYvMjAyNi4uLlVTRC5IAQAAAOlxAgACAAAAATMBCAAAAAUAAAABMQEAAAALLTE4ODc3MDQzNDEDAAAAAzE2MAIAAAAEMzAzMAQAAAABMAcAAAAJNi8xNC8yMDI2CAAAAAkzLzMxLzIwMjYJAAAAATBH4NLc/sneCEfg0tz+yd4ILkNJUS5OWVNFOkJBSC5JUV9DVVJSX1RBWEVTLi4xNC8wNi8yMDI2Li4uVVNELkgBAAAA6XECAAIAAAADLTI0AQgAAAAFAAAAATEBAAAACy0xODg3NzA0MzQxAwAAAAMxNjACAAAABTM1MzgzBAAAAAEwBwAAAAk2LzE0LzIwMjYIAAAACTMvMzEvMjAyNgkAAAABMEfg0tz+yd4IR+DS3P7J3gg7Q0lRLk5ZU0U6QkFILklRX0RFRkVSUkVEX0RPTUVTVElDX1RBWEVTLi4xNC8wNi8yMDI2Li4uVVNELkgBAAAA6XECAAIAAAACMzUBCAAAAAUAAAABMQEAAAALLTE4ODc3MDQzNDEDAAAAAzE2MAIAAAAEMzA1NAQAAAABMAcAAAAJNi8xNC8yMDI2CAAAAAkzLzMxLzIwMjYJAAAAATBH4NLc/sneCEfg0tz+yd4IOkNJUS5OWVNFOkJBSC5JUV9ERUZFUlJFRF9GT1JFSUdOX1RB</t>
  </si>
  <si>
    <t>WEVTLi4xNC8wNi8yMDI2Li4uVVNELkgBAAAA6XECAAMAAAAAAEfg0tz+yd4IR+DS3P7J3gg4Q0lRLk5ZU0U6QkFILklRX0RFRkVSUkVEX1RBWEVTX1RPVEFMLi4xNC8wNi8yMDI2Li4uVVNELkgBAAAA6XECAAIAAAACMzUBCAAAAAUAAAABMQEAAAALLTE4ODc3MDQzNDEDAAAAAzE2MAIAAAAFMzUzODUEAAAAATAHAAAACTYvMTQvMjAyNggAAAAJMy8zMS8yMDI2CQAAAAEwR+DS3P7J3ghH4NLc/sneCD1DSVEuTllTRTpCQUguSVFfTk9OUkVDVVJSSU5HX0lOQ09NRV9UQVhFUy4uMTQvMDYvMjAyNi4uLlVTRC5IAQAAAOlxAgADAAAAAABH4NLc/sneCEfg0tz+yd4IK0NJUS5OWVNFOkJBSC5JUV9OSV9OT1JNLi4xNC8wNi8yMDI2Li4uVVNELkgBAAAA6XECAAIAAAAHNTczLjEyNQEIAAAABQAAAAExAQAAAAstMTg4NzcwNDM0MQMAAAADMTYwAgAAAAQ0Mzc4BAAAAAEwBwAAAAk2LzE0LzIwMjYIAAAACTMvMzEvMjAyNgkAAAABMEfg0tz+yd4IR+DS3P7J3ggsQ0lRLk5ZU0U6QkFILklRX0RJTFVUX05JLi4xNC8wNi8yMDI2Li4uVVNELkgBAAAA6XECAAIAAAAKODQ0LjM4ODU0MgEIAAAABQAAAAExAQAAAAstMTg4NzcwNDM0MQMAAAADMTYwAgAAAAQzNTIyBAAAAAEwBwAAAAk2LzE0LzIwMjYIAAAACTMvMzEvMjAyNgkAAAABMEfg0tz+yd4IR+DS3P7J3gg4Q0lRLk5ZU0U6QkFILklRX0NBUElUQUxJWkVEX0lO</t>
  </si>
  <si>
    <t>VEVSRVNULi4xNC8wNi8yMDI2Li4uVVNELkgBAAAA6XECAAMAAAAAAEfg0tz+yd4IR+DS3P7J3ggvQ0lRLk5ZU0U6QkFILklRX0lOVF9FWFBfTFRELi4xNC8wNi8yMDI2Li4uVVNELkgBAAAA6XECAAIAAAADMjEzAQgAAAAFAAAAATEBAAAACy0xODg3NzA0MzQxAwAAAAMxNjACAAAABDMxMDEEAAAAATAHAAAACTYvMTQvMjAyNggAAAAJMy8zMS8yMDI2CQAAAAEwR+DS3P7J3ghH4NLc/sneCEVDSVEuTllTRTpCQUguSVFfSU5URVJFU1RfRVhQX0xFQVNFX0xJQUJJTElUWV9ERUJULi4xNC8wNi8yMDI2Li4uVVNELkgBAAAA6XECAAMAAAAAAEfg0tz+yd4IR+DS3P7J3gg0Q0lRLk5ZU0U6QkFILklRX0lOVF9FWFBfSU5DTF9DQVAuLjE0LzA2LzIwMjYuLi5VU0QuSAEAAADpcQIAAgAAAAMxODQBCAAAAAUAAAABMQEAAAALLTE4ODc3MDQzNDEDAAAAAzE2MAIAAAAFMjE4NjEEAAAAATAHAAAACTYvMTQvMjAyNggAAAAJMy8zMS8yMDI2CQAAAAEwR+DS3P7J3ghH4NLc/sneCDdDSVEuTllTRTpCQUguSVFfTk9OQ0FTSF9QRU5TSU9OX0VYUC4uMTQvMDYvMjAyNi4uLlVTRC5IAQAAAOlxAgADAAAAAABH4NLc/sneCEfg0tz+yd4ILUNJUS5OWVNFOkJBSC5JUV9EQV9FQklUREEuLjE0LzA2LzIwMjYuLi5VU0QuSAEAAADpcQIAAgAAAAMxNjMBCAAAAAUAAAABMQEAAAALLTE4ODc3MDQzNDEDAAAAAzE2MAIAAAAEMjIw</t>
  </si>
  <si>
    <t>NgQAAAABMAcAAAAJNi8xNC8yMDI2CAAAAAkzLzMxLzIwMjYJAAAAATBH4NLc/sneCEfg0tz+yd4INkNJUS5OWVNFOkJBSC5JUV9ESVNUUklCVVRBQkxFX0NBU0guLjE0LzA2LzIwMjYuLi5VU0QuSAEAAADpcQIAAwAAAAAAR+DS3P7J3ghH4NLc/sneCENDSVEuTllTRTpCQUguSVFfRElTVFJJQlVUQUJMRV9DQVNIX1NUQU5EQVJESVpFRC4uMTQvMDYvMjAyNi4uLlVTRC5IAQAAAOlxAgADAAAAAABH4NLc/sneCEfg0tz+yd4IOkNJUS5OWVNFOkJBSC5JUV9BTk5VX0RJU1RSSUJVVElPTl9VTklULi4xNC8wNi8yMDI2Li4uVVNELkgBAAAA6XECAAMAAAAAAEfg0tz+yd4IR+DS3P7J3gguQ0lRLk5ZU0U6QkFILklRX0NPTU1PTl9ESVYuLjE0LzA2LzIwMjYuLi5VU0QuSAEAAADpcQIAAgAAAAMyNzcAR+DS3P7J3ghH4NLc/sneCCdDSVEuTllTRTpCQUguSVFfRElDLi4xNC8wNi8yMDI2Li4uVVNELkgBAAAA6XECAAMAAAAAAEfg0tz+yd4IR+DS3P7J3ggvQ0lRLk5ZU0U6QkFILklRX0FEVkVSVElTSU5HLi4xNC8wNi8yMDI2Li4uVVNELkgBAAAA6XECAAMAAAAAAEfg0tz+yd4IR+DS3P7J3ggtQ0lRLk5ZU0U6QkFILklRX01BUktFVElORy4uMTQvMDYvMjAyNi4uLlVTRC5IAQAAAOlxAgADAAAAAABH4NLc/sneCEfg0tz+yd4IM0NJUS5OWVNFOkJBSC5JUV9TQUxFU19NQVJLRVRJTkcuLjE0LzA2LzIwMjYuLi5V</t>
  </si>
  <si>
    <t>U0QuSAEAAADpcQIAAwAAAAAAR+DS3P7J3ghH4NLc/sneCCpDSVEuTllTRTpCQUguSVFfR0FfRVhQLi4xNC8wNi8yMDI2Li4uVVNELkgBAAAA6XECAAIAAAAEMTE3NgEIAAAABQAAAAExAQAAAAstMTg4NzcwNDM0MQMAAAADMTYwAgAAAAUyMTU2MgQAAAABMAcAAAAJNi8xNC8yMDI2CAAAAAkzLzMxLzIwMjYJAAAAATBH4NLc/sneCEfg0tz+yd4ILUNJUS5OWVNFOkJBSC5JUV9SRF9FWFBfRk4uLjE0LzA2LzIwMjYuLi5VU0QuSAEAAADpcQIAAwAAAAAAR+DS3P7J3ghH4NLc/sneCDVDSVEuTllTRTpCQUguSVFfTkVUX1JFTlRBTF9FWFBfRk4uLjE0LzA2LzIwMjYuLi5VU0QuSAEAAADpcQIAAgAAAAI3NQEIAAAABQAAAAExAQAAAAstMTg4NzcwNDM0MQMAAAADMTYwAgAAAAQzMTcwBAAAAAEwBwAAAAk2LzE0LzIwMjYIAAAACTMvMzEvMjAyNgkAAAABMEfg0tz+yd4IR+DS3P7J3ggyQ0lRLk5ZU0U6QkFILklRX05FVF9SRU5UQUxfRVhQLi4xNC8wNi8yMDI2Li4uVVNELkgBAAAA6XECAAIAAAACNzUBCAAAAAUAAAABMQEAAAALLTE4ODc3MDQzNDEDAAAAAzE2MAIAAAAFMjQyNjEEAAAAATAHAAAACTYvMTQvMjAyNggAAAAJMy8zMS8yMDI2CQAAAAEwR+DS3P7J3ghH4NLc/sneCDlDSVEuTllTRTpCQUguSVFfTkVUX1JFTlRBTF9FWFBfU1VQUExFLi4xNC8wNi8yMDI2Li4uVVNELkgBAAAA6XECAAMAAAAAAEfg</t>
  </si>
  <si>
    <t>0tz+yd4IR+DS3P7J3gg1Q0lRLk5ZU0U6QkFILklRX0NPTlRJTkdFTlRfUkVOVEFMLi4xNC8wNi8yMDI2Li4uVVNELkgBAAAA6XECAAIAAAACMTMAR+DS3P7J3ghH4NLc/sneCDJDSVEuTllTRTpCQUguSVFfTUlOSU1VTV9SRU5UQUwuLjE0LzA2LzIwMjYuLi5VU0QuSAEAAADpcQIAAwAAAAAAR+DS3P7J3ghH4NLc/sneCDBDSVEuTllTRTpCQUguSVFfT1RIRVJfUkVOVEFMLi4xNC8wNi8yMDI2Li4uVVNELkgBAAAA6XECAAMAAAAAAEfg0tz+yd4IR+DS3P7J3ggxQ0lRLk5ZU0U6QkFILklRX0FJUkNSQUZUX1JFTlQuLjE0LzA2LzIwMjYuLi5VU0QuSAEAAADpcQIAAwAAAAAAR+DS3P7J3ghH4NLc/sneCD5DSVEuTllTRTpCQUguSVFfREVQUkVDSUFUSU9OX1JFTlRBTF9BU1NFVFMuLjE0LzA2LzIwMjYuLi5VU0QuSAEAAADpcQIAAwAAAAAAR+DS3P7J3ghH4NLc/sneCDtDSVEuTllTRTpCQUguSVFfRVhQTE9SRV9EUklMTF9FWFBfVE9UQUwuLjE0LzA2LzIwMjYuLi5VU0QuSAEAAADpcQIAAwAAAAAAR+DS3P7J3ghH4NLc/sneCDBDSVEuTllTRTpCQUguSVFfTUFJTlRfUkVQQUlSLi4xNC8wNi8yMDI2Li4uVVNELkgBAAAA6XECAAMAAAAAAEfg0tz+yd4IR+DS3P7J3gg8Q0lRLk5ZU0U6QkFILklRX0lNUFVUX09QRVJfTEVBU0VfSU5UX0VYUC4uMTQvMDYvMjAyNi4uLlVTRC5IAQAAAOlxAgACAAAABzI2LjQ3</t>
  </si>
  <si>
    <t>MTQBCAAAAAUAAAABMQEAAAALLTE4ODc3MDQzNDEDAAAAAzE2MAIAAAAFMjE2NzIEAAAAATAHAAAACTYvMTQvMjAyNggAAAAJMy8zMS8yMDI2CQAAAAEwR+DS3P7J3ghH4NLc/sneCDlDSVEuTllTRTpCQUguSVFfSU1QVVRfT1BFUl9MRUFTRV9ERVBSLi4xNC8wNi8yMDI2Li4uVVNELkgBAAAA6XECAAIAAAAHNDguNTI4NgEIAAAABQAAAAExAQAAAAstMTg4NzcwNDM0MQMAAAADMTYwAgAAAAUyMTY3MwQAAAABMAcAAAAJNi8xNC8yMDI2CAAAAAkzLzMxLzIwMjYJAAAAATBH4NLc/sneCEfg0tz+yd4IO0NJUS5OWVNFOkJBSC5JUV9TQUxBUklFU19PVEhFUl9CRU5FRklUUy4uMTQvMDYvMjAyNi4uLlVTRC5IAQAAAOlxAgADAAAAAABH4NLc/sneCEfg0tz+yd4INkNJUS5OWVNFOkJBSC5JUV9SRVNUUlVDVFVSRV9TVVBQTEUuLjE0LzA2LzIwMjYuLi5VU0QuSAEAAADpcQIAAwAAAAAAR+DS3P7J3ghH4NLc/sneCDFDSVEuTllTRTpCQUguSVFfTUVSR0VSX1NVUFBMRS4uMTQvMDYvMjAyNi4uLlVTRC5IAQAAAOlxAgADAAAAAABH4NLc/sneCEfg0tz+yd4IOENJUS5OWVNFOkJBSC5JUV9JTVBBSVJNRU5UX0dXX1NVUFBMRS4uMTQvMDYvMjAyNi4uLlVTRC5IAQAAAOlxAgADAAAAAABH4NLc/sneCEfg0tz+yd4IOkNJUS5OWVNFOkJBSC5JUV9BU1NFVF9XUklURURPV05fU1VQUExFLi4xNC8wNi8yMDI2Li4uVVNE</t>
  </si>
  <si>
    <t>LkgBAAAA6XECAAMAAAAAAEfg0tz+yd4IR+DS3P7J3ggvQ0lRLk5ZU0U6QkFILklRX0lQUkRfU1VQUExFLi4xNC8wNi8yMDI2Li4uVVNELkgBAAAA6XECAAMAAAAAAEfg0tz+yd4IR+DS3P7J3gg0Q0lRLk5ZU0U6QkFILklRX0dBSU5fQkFSR0FJTl9BQ1EuLjE0LzA2LzIwMjYuLi5VU0QuSAEAAADpcQIAAwAAAAAAR+DS3P7J3ghH4NLc/sneCDtDSVEuTllTRTpCQUguSVFfR0FJTl9CQVJHQUlOX0FDUV9TVVBQTEUuLjE0LzA2LzIwMjYuLi5VU0QuSAEAAADpcQIAAwAAAAAAR+DS3P7J3ghH4NLc/sneCDVDSVEuTllTRTpCQUguSVFfSU5TX1NFVFRMRV9TVVBQTEUuLjE0LzA2LzIwMjYuLi5VU0QuSAEAAADpcQIAAwAAAAAAR+DS3P7J3ghH4NLc/sneCDdDSVEuTllTRTpCQUguSVFfTEVHQUxfU0VUVExFX1NVUFBMRS4uMTQvMDYvMjAyNi4uLlVTRC5IAQAAAOlxAgADAAAAAABH4NLc/sneCEfg0tz+yd4IOENJUS5OWVNFOkJBSC5JUV9PVEhFUl9VTlVTVUFMX1NVUFBMRS4uMTQvMDYvMjAyNi4uLlVTRC5IAQAAAOlxAgADAAAAAABH4NLc/sneCEfg0tz+yd4IOENJUS5OWVNFOkJBSC5JUV9UT1RBTF9VTlVTVUFMX1NVUFBMRS4uMTQvMDYvMjAyNi4uLlVTRC5IAQAAAOlxAgADAAAAAABH4NLc/sneCEfg0tz+yd4INUNJUS5OWVNFOkJBSC5JUV9ORUdBVElWRV9HV19BTU9SVC4uMTQvMDYvMjAyNi4uLlVTRC5I</t>
  </si>
  <si>
    <t>AQAAAOlxAgADAAAAAABH4NLc/sneCEfg0tz+yd4IOENJUS5OWVNFOkJBSC5JUV9ORUdBVElWRV9HV19BTU9SVF9BVC4uMTQvMDYvMjAyNi4uLlVTRC5IAQAAAOlxAgADAAAAAABH4NLc/sneCEfg0tz+yd4INENJUS5OWVNFOkJBSC5JUV9TVE9DS19CQVNFRF9DT0dTLi4xNC8wNi8yMDI2Li4uVVNELkgBAAAA6XECAAIAAAACMjcBCAAAAAUAAAABMQEAAAALLTE4ODc3MDQzNDEDAAAAAzE2MAIAAAAFMjI2NzQEAAAAATAHAAAACTYvMTQvMjAyNggAAAAJMy8zMS8yMDI2CQAAAAEwR+DS3P7J3ghH4NLc/sneCDJDSVEuTllTRTpCQUguSVFfU1RPQ0tfQkFTRURfUkQuLjE0LzA2LzIwMjYuLi5VU0QuSAEAAADpcQIAAwAAAAAAR+DS3P7J3ghH4NLc/sneCDJDSVEuTllTRTpCQUguSVFfU1RPQ0tfQkFTRURfU00uLjE0LzA2LzIwMjYuLi5VU0QuSAEAAADpcQIAAwAAAAAAR+DS3P7J3ghH4NLc/sneCDJDSVEuTllTRTpCQUguSVFfU1RPQ0tfQkFTRURfR0EuLjE0LzA2LzIwMjYuLi5VU0QuSAEAAADpcQIAAgAAAAI0MgEIAAAABQAAAAExAQAAAAstMTg4NzcwNDM0MQMAAAADMTYwAgAAAAUyMjY3NQQAAAABMAcAAAAJNi8xNC8yMDI2CAAAAAkzLzMxLzIwMjYJAAAAATBH4NLc/sneCEfg0tz+yd4IM0NJUS5OWVNFOkJBSC5JUV9TVE9DS19CQVNFRF9TR0EuLjE0LzA2LzIwMjYuLi5VU0QuSAEAAADpcQIAAwAAAAAA</t>
  </si>
  <si>
    <t>R+DS3P7J3ghH4NLc/sneCD1DSVEuTllTRTpCQUguSVFfU1RPQ0tfQkFTRURfRVhQTE9SRV9EUklMTC4uMTQvMDYvMjAyNi4uLlVTRC5IAQAAAOlxAgADAAAAAABH4NLc/sneCEfg0tz+yd4INUNJUS5OWVNFOkJBSC5JUV9TVE9DS19CQVNFRF9PVEhFUi4uMTQvMDYvMjAyNi4uLlVTRC5IAQAAAOlxAgADAAAAAABH4NLc/sneCEfg0tz+yd4IMkNJUS5OWVNFOkJBSC5JUV9TVE9DS19CQVNFRF9BVC4uMTQvMDYvMjAyNi4uLlVTRC5IAQAAAOlxAgADAAAAAABH4NLc/sneCEfg0tz+yd4INUNJUS5OWVNFOkJBSC5JUV9TVE9DS19CQVNFRF9UT1RBTC4uMTQvMDYvMjAyNi4uLlVTRC5IAQAAAOlxAgACAAAAAjY5AQgAAAAFAAAAATEBAAAACy0xODg3NzA0MzQxAwAAAAMxNjACAAAABTI0MDM0BAAAAAEwBwAAAAk2LzE0LzIwMjYIAAAACTMvMzEvMjAyNgkAAAABMEfg0tz+yd4IR+DS3P7J3gg7Q0lRLk5ZU0U6QkFILklRX1JFU1RSX1NUT0NLX0NPTVBfUFJFVEFYLi4xNC8wNi8yMDI2Li4uVVNELkgBAAAA6XECAAMAAAAAAEfg0tz+yd4IR+DS3P7J3gg4Q0lRLk5ZU0U6QkFILklRX1JFU1RSX1NUT0NLX0NPTVBfVEFYLi4xNC8wNi8yMDI2Li4uVVNELkgBAAAA6XECAAMAAAAAAEfg0tz+yd4IR+DS3P7J3gg0Q0lRLk5ZU0U6QkFILklRX1JFU1RSX1NUT0NLX0NPTVAuLjE0LzA2LzIwMjYuLi5VU0QuSAEAAADpcQIA</t>
  </si>
  <si>
    <t>AwAAAAAAR+DS3P7J3ghH4NLc/sneCD1DSVEuTllTRTpCQUguSVFfU1RPQ0tfT1BUSU9OU19DT01QX1BSRVRBWC4uMTQvMDYvMjAyNi4uLlVTRC5IAQAAAOlxAgADAAAAAABH4NLc/sneCEfg0tz+yd4IOkNJUS5OWVNFOkJBSC5JUV9TVE9DS19PUFRJT05TX0NPTVBfVEFYLi4xNC8wNi8yMDI2Li4uVVNELkgBAAAA6XECAAMAAAAAAEfg0tz+yd4IR+DS3P7J3gg2Q0lRLk5ZU0U6QkFILklRX1NUT0NLX09QVElPTlNfQ09NUC4uMTQvMDYvMjAyNi4uLlVTRC5IAQAAAOlxAgADAAAAAABH4NLc/sneCEfg0tz+yd4IO0NJUS5OWVNFOkJBSC5JUV9TVE9DS19CQVNFRF9DT01QX1BSRVRBWC4uMTQvMDYvMjAyNi4uLlVTRC5IAQAAAOlxAgACAAAAAjY5AEfg0tz+yd4IR+DS3P7J3gg4Q0lRLk5ZU0U6QkFILklRX1NUT0NLX0JBU0VEX0NPTVBfVEFYLi4xNC8wNi8yMDI2Li4uVVNELkgBAAAA6XECAAIAAAADLTEyAEfg0tz+yd4IR+DS3P7J3gg0Q0lRLk5ZU0U6QkFILklRX1NUT0NLX0JBU0VEX0NPTVAuLjE0LzA2LzIwMjYuLi5VU0QuSAEAAADpcQIAAgAAAAI1NwBH4NLc/sneCEfg0tz+yd4IKUNJUS5OWVNFOkJBSC5JUV9OSV9DRi4uMTQvMDYvMjAyNi4uLlVTRC5IAQAAAOlxAgACAAAAAzg1MQEIAAAABQAAAAExAQAAAAstMTg4NzcwNDM0MQMAAAADMTYwAgAAAAQyMTUwBAAAAAEwBwAAAAk2LzE0LzIwMjYIAAAA</t>
  </si>
  <si>
    <t>CTMvMzEvMjAyNgkAAAABMEfg0tz+yd4IR+DS3P7J3ggvQ0lRLk5ZU0U6QkFILklRX0RBX1NVUFBMX0NGLi4xNC8wNi8yMDI2Li4uVVNELkgBAAAA6XECAAIAAAACNjgBCAAAAAUAAAABMQEAAAALLTE4ODc3MDQzNDEDAAAAAzE2MAIAAAAEMjE3MQQAAAABMAcAAAAJNi8xNC8yMDI2CAAAAAkzLzMxLzIwMjYJAAAAATBH4NLc/sneCEfg0tz+yd4INUNJUS5OWVNFOkJBSC5JUV9HV19JTlRBTl9BTU9SVF9DRi4uMTQvMDYvMjAyNi4uLlVTRC5IAQAAAOlxAgACAAAAAjk1AQgAAAAFAAAAATEBAAAACy0xODg3NzA0MzQxAwAAAAMxNjACAAAABDIxODIEAAAAATAHAAAACTYvMTQvMjAyNggAAAAJMy8zMS8yMDI2CQAAAAEwR+DS3P7J3ghH4NLc/sneCC5DSVEuTllTRTpCQUguSVFfT0lMX0lNUEFJUi4uMTQvMDYvMjAyNi4uLlVTRC5IAQAAAOlxAgADAAAAAABH4NLc/sneCEfg0tz+yd4IKUNJUS5OWVNFOkJBSC5JUV9EQV9DRi4uMTQvMDYvMjAyNi4uLlVTRC5IAQAAAOlxAgACAAAAAzE2MwEIAAAABQAAAAExAQAAAAstMTg4NzcwNDM0MQMAAAADMTYwAgAAAAQyMTYwBAAAAAEwBwAAAAk2LzE0LzIwMjYIAAAACTMvMzEvMjAyNgkAAAABMEfg0tz+yd4IR+DS3P7J3ggvQ0lRLk5ZU0U6QkFILklRX09USEVSX0FNT1JULi4xNC8wNi8yMDI2Li4uVVNELkgBAAAA6XECAAMAAAAAAEfg0tz+yd4IR+DS3P7J3gg4Q0lR</t>
  </si>
  <si>
    <t>Lk5ZU0U6QkFILklRX01JTk9SSVRZX0lOVEVSRVNUX0NGLi4xNC8wNi8yMDI2Li4uVVNELkgBAAAA6XECAAMAAAAAAEfg0tz+yd4IR+DS3P7J3ggyQ0lRLk5ZU0U6QkFILklRX0dBSU5fQVNTRVRTX0NGLi4xNC8wNi8yMDI2Li4uVVNELkgBAAAA6XECAAMAAAAAAEfg0tz+yd4IR+DS3P7J3ggyQ0lRLk5ZU0U6QkFILklRX0dBSU5fSU5WRVNUX0NGLi4xNC8wNi8yMDI2Li4uVVNELkgBAAAA6XECAAIAAAADLTE2AQgAAAAFAAAAATEBAAAACy0xODg3NzA0MzQxAwAAAAMxNjACAAAABDIwOTAEAAAAATAHAAAACTYvMTQvMjAyNggAAAAJMy8zMS8yMDI2CQAAAAEwR+DS3P7J3ghH4NLc/sneCDZDSVEuTllTRTpCQUguSVFfQVNTRVRfV1JJVEVET1dOX0NGLi4xNC8wNi8yMDI2Li4uVVNELkgBAAAA6XECAAMAAAAAAEfg0tz+yd4IR+DS3P7J3ggsQ0lRLk5ZU0U6QkFILklRX0xPQU5TX0NGLi4xNC8wNi8yMDI2Li4uVVNELkgBAAAA6XECAAMAAAAAAEfg0tz+yd4IR+DS3P7J3ggyQ0lRLk5ZU0U6QkFILklRX0NSRURJVF9MT1NTX0NGLi4xNC8wNi8yMDI2Li4uVVNELkgBAAAA6XECAAMAAAAAAEfg0tz+yd4IR+DS3P7J3ggxQ0lRLk5ZU0U6QkFILklRX0lOQ19FUVVJVFlfQ0YuLjE0LzA2LzIwMjYuLi5VU0QuSAEAAADpcQIAAwAAAAAAR+DS3P7J3ghH4NLc/sneCDJDSVEuTllTRTpCQUguSVFfU1RPQ0tfQkFTRURf</t>
  </si>
  <si>
    <t>Q0YuLjE0LzA2LzIwMjYuLi5VU0QuSAEAAADpcQIAAgAAAAI2OQEIAAAABQAAAAExAQAAAAstMTg4NzcwNDM0MQMAAAADMTYwAgAAAAQyMTI3BAAAAAEwBwAAAAk2LzE0LzIwMjYIAAAACTMvMzEvMjAyNgkAAAABMEfg0tz+yd4IR+DS3P7J3gg3Q0lRLk5ZU0U6QkFILklRX1RBWF9CRU5FRklUX09QVElPTlMuLjE0LzA2LzIwMjYuLi5VU0QuSAEAAADpcQIAAwAAAAAAR+DS3P7J3ghH4NLc/sneCDVDSVEuTllTRTpCQUguSVFfUFJPVl9CQURfREVCVFNfQ0YuLjE0LzA2LzIwMjYuLi5VU0QuSAEAAADpcQIAAwAAAAAAR+DS3P7J3ghH4NLc/sneCClDSVEuTllTRTpCQUguSVFfRE9fQ0YuLjE0LzA2LzIwMjYuLi5VU0QuSAEAAADpcQIAAwAAAAAAR+DS3P7J3ghH4NLc/sneCDJDSVEuTllTRTpCQUguSVFfT1RIRVJfT1BFUl9BQ1QuLjE0LzA2LzIwMjYuLi5VU0QuSAEAAADpcQIAAgAAAAI4NgEIAAAABQAAAAExAQAAAAstMTg4NzcwNDM0MQMAAAADMTYwAgAAAAQyMDQ3BAAAAAEwBwAAAAk2LzE0LzIwMjYIAAAACTMvMzEvMjAyNgkAAAABMEfg0tz+yd4IR+DS3P7J3gg5Q0lRLk5ZU0U6QkFILklRX0NIQU5HRV9UUkFESU5HX0FTU0VUUy4uMTQvMDYvMjAyNi4uLlVTRC5IAQAAAOlxAgADAAAAAABH4NLc/sneCEfg0tz+yd4ILUNJUS5OWVNFOkJBSC5JUV9DSEFOR0VfQVIuLjE0LzA2LzIwMjYuLi5VU0QuSAEA</t>
  </si>
  <si>
    <t>AADpcQIAAgAAAAMyMDcBCAAAAAUAAAABMQEAAAALLTE4ODc3MDQzNDEDAAAAAzE2MAIAAAAEMjAxOAQAAAABMAcAAAAJNi8xNC8yMDI2CAAAAAkzLzMxLzIwMjYJAAAAATBH4NLc/sneCEfg0tz+yd4INENJUS5OWVNFOkJBSC5JUV9DSEFOR0VfSU5WRU5UT1JZLi4xNC8wNi8yMDI2Li4uVVNELkgBAAAA6XECAAMAAAAAAEfg0tz+yd4IR+DS3P7J3ggtQ0lRLk5ZU0U6QkFILklRX0NIQU5HRV9BUC4uMTQvMDYvMjAyNi4uLlVTRC5IAQAAAOlxAgACAAAAAy04NgEIAAAABQAAAAExAQAAAAstMTg4NzcwNDM0MQMAAAADMTYwAgAAAAQyMDE3BAAAAAEwBwAAAAk2LzE0LzIwMjYIAAAACTMvMzEvMjAyNgkAAAABMEfg0tz+yd4IR+DS3P7J3gg1Q0lRLk5ZU0U6QkFILklRX0NIQU5HRV9VTkVBUk5fUkVWLi4xNC8wNi8yMDI2Li4uVVNELkgBAAAA6XECAAMAAAAAAEfg0tz+yd4IR+DS3P7J3ggyQ0lRLk5ZU0U6QkFILklRX0NIQU5HRV9JTkNfVEFYLi4xNC8wNi8yMDI2Li4uVVNELkgBAAAA6XECAAIAAAADLTExAQgAAAAFAAAAATEBAAAACy0xODg3NzA0MzQxAwAAAAMxNjACAAAABDIxMDEEAAAAATAHAAAACTYvMTQvMjAyNggAAAAJMy8zMS8yMDI2CQAAAAEwR+DS3P7J3ghH4NLc/sneCDJDSVEuTllTRTpCQUguSVFfQ0hBTkdFX0RFRl9UQVguLjE0LzA2LzIwMjYuLi5VU0QuSAEAAADpcQIAAwAAAAAAR+DS3P7J</t>
  </si>
  <si>
    <t>3ghH4NLc/sneCEBDSVEuTllTRTpCQUguSVFfQ0hBTkdFX09USEVSX05FVF9PUEVSX0FTU0VUUy4uMTQvMDYvMjAyNi4uLlVTRC5IAQAAAOlxAgACAAAABC0yMjIBCAAAAAUAAAABMQEAAAALLTE4ODc3MDQzNDEDAAAAAzE2MAIAAAAEMjA0NQQAAAABMAcAAAAJNi8xNC8yMDI2CAAAAAkzLzMxLzIwMjYJAAAAATBH4NLc/sneCEfg0tz+yd4ILUNJUS5OWVNFOkJBSC5JUV9DQVNIX09QRVIuLjE0LzA2LzIwMjYuLi5VU0QuSAEAAADpcQIAAgAAAAQxMDQxAQgAAAAFAAAAATEBAAAACy0xODg3NzA0MzQxAwAAAAMxNjACAAAABDIwMDYEAAAAATAHAAAACTYvMTQvMjAyNggAAAAJMy8zMS8yMDI2CQAAAAEwR+DS3P7J3ghH4NLc/sneCClDSVEuTllTRTpCQUguSVFfQ0FQRVguLjE0LzA2LzIwMjYuLi5VU0QuSAEAAADpcQIAAgAAAAMtOTABCAAAAAUAAAABMQEAAAALLTE4ODc3MDQzNDEDAAAAAzE2MAIAAAAEMjAyMQQAAAABMAcAAAAJNi8xNC8yMDI2CAAAAAkzLzMxLzIwMjYJAAAAATBH4NLc/sneCEfg0tz+yd4IL0NJUS5OWVNFOkJBSC5JUV9TQUxFX1BQRV9DRi4uMTQvMDYvMjAyNi4uLlVTRC5IAQAAAOlxAgADAAAAAABH4NLc/sneCEfg0tz+yd4IM0NJUS5OWVNFOkJBSC5JUV9DQVNIX0FDUVVJUkVfQ0YuLjE0LzA2LzIwMjYuLi5VU0QuSAEAAADpcQIAAwAAAAAAR+DS3P7J3ghH4NLc/sneCC1DSVEuTllT</t>
  </si>
  <si>
    <t>RTpCQUguSVFfRElWRVNUX0NGLi4xNC8wNi8yMDI2Li4uVVNELkgBAAAA6XECAAIAAAACMjIBCAAAAAUAAAABMQEAAAALLTE4ODc3MDQzNDEDAAAAAzE2MAIAAAAEMjA3NwQAAAABMAcAAAAJNi8xNC8yMDI2CAAAAAkzLzMxLzIwMjYJAAAAATBH4NLc/sneCEfg0tz+yd4IN0NJUS5OWVNFOkJBSC5JUV9TQUxFX1JFQUxfRVNUQVRFX0NGLi4xNC8wNi8yMDI2Li4uVVNELkgBAAAA6XECAAMAAAAAAEfg0tz+yd4IR+DS3P7J3ggxQ0lRLk5ZU0U6QkFILklRX1NBTEVfSU5UQU5fQ0YuLjE0LzA2LzIwMjYuLi5VU0QuSAEAAADpcQIAAwAAAAAAR+DS3P7J3ghH4NLc/sneCDZDSVEuTllTRTpCQUguSVFfSU5WRVNUX1NFQ1VSSVRZX0NGLi4xNC8wNi8yMDI2Li4uVVNELkgBAAAA6XECAAIAAAAELTIzMgEIAAAABQAAAAExAQAAAAstMTg4NzcwNDM0MQMAAAADMTYwAgAAAAQyMDI3BAAAAAEwBwAAAAk2LzE0LzIwMjYIAAAACTMvMzEvMjAyNgkAAAABMEfg0tz+yd4IR+DS3P7J3ggzQ0lRLk5ZU0U6QkFILklRX0lOVkVTVF9MT0FOU19DRi4uMTQvMDYvMjAyNi4uLlVTRC5IAQAAAOlxAgADAAAAAABH4NLc/sneCEfg0tz+yd4IOkNJUS5OWVNFOkJBSC5JUV9PVEhFUl9JTlZFU1RfQUNUX1NVUFBMLi4xNC8wNi8yMDI2Li4uVVNELkgBAAAA6XECAAMAAAAAAEfg0tz+yd4IR+DS3P7J3ggvQ0lRLk5ZU0U6QkFILklRX0NB</t>
  </si>
  <si>
    <t>U0hfSU5WRVNULi4xNC8wNi8yMDI2Li4uVVNELkgBAAAA6XECAAIAAAAELTMwMAEIAAAABQAAAAExAQAAAAstMTg4NzcwNDM0MQMAAAADMTYwAgAAAAQyMDA1BAAAAAEwBwAAAAk2LzE0LzIwMjYIAAAACTMvMzEvMjAyNgkAAAABMEfg0tz+yd4IR+DS3P7J3ggyQ0lRLk5ZU0U6QkFILklRX1NUX0RFQlRfSVNTVUVELi4xNC8wNi8yMDI2Li4uVVNELkgBAAAA6XECAAMAAAAAAEfg0tz+yd4IR+DS3P7J3ggyQ0lRLk5ZU0U6QkFILklRX0xUX0RFQlRfSVNTVUVELi4xNC8wNi8yMDI2Li4uVVNELkgBAAAA6XECAAMAAAAAAEfg0tz+yd4IR+DS3P7J3gg1Q0lRLk5ZU0U6QkFILklRX1RPVEFMX0RFQlRfSVNTVUVELi4xNC8wNi8yMDI2Li4uVVNELkgBAAAA6XECAAMAAAAAAEfg0tz+yd4IR+DS3P7J3ggyQ0lRLk5ZU0U6QkFILklRX1NUX0RFQlRfUkVQQUlELi4xNC8wNi8yMDI2Li4uVVNELkgBAAAA6XECAAMAAAAAAEfg0tz+yd4IR+DS3P7J3ggyQ0lRLk5ZU0U6QkFILklRX0xUX0RFQlRfUkVQQUlELi4xNC8wNi8yMDI2Li4uVVNELkgBAAAA6XECAAIAAAADLTY5AQgAAAAFAAAAATEBAAAACy0xODg3NzA0MzQxAwAAAAMxNjACAAAABDIwMzYEAAAAATAHAAAACTYvMTQvMjAyNggAAAAJMy8zMS8yMDI2CQAAAAEwR+DS3P7J3ghH4NLc/sneCDVDSVEuTllTRTpCQUguSVFfVE9UQUxfREVCVF9SRVBBSUQuLjE0LzA2</t>
  </si>
  <si>
    <t>LzIwMjYuLi5VU0QuSAEAAADpcQIAAgAAAAMtNjkBCAAAAAUAAAABMQEAAAALLTE4ODc3MDQzNDEDAAAAAzE2MAIAAAAEMjE2NgQAAAABMAcAAAAJNi8xNC8yMDI2CAAAAAkzLzMxLzIwMjYJAAAAATBH4NLc/sneCEfg0tz+yd4IMUNJUS5OWVNFOkJBSC5JUV9DT01NT05fSVNTVUVELi4xNC8wNi8yMDI2Li4uVVNELkgBAAAA6XECAAIAAAACNDUBCAAAAAUAAAABMQEAAAALLTE4ODc3MDQzNDEDAAAAAzE2MAIAAAAEMjE2OQQAAAABMAcAAAAJNi8xNC8yMDI2CAAAAAkzLzMxLzIwMjYJAAAAATBH4NLc/sneCEfg0tz+yd4ILkNJUS5OWVNFOkJBSC5JUV9DT01NT05fUkVQLi4xNC8wNi8yMDI2Li4uVVNELkgBAAAA6XECAAIAAAAELTU5OAEIAAAABQAAAAExAQAAAAstMTg4NzcwNDM0MQMAAAADMTYwAgAAAAQyMTY0BAAAAAEwBwAAAAk2LzE0LzIwMjYIAAAACTMvMzEvMjAyNgkAAAABMEfg0tz+yd4IR+DS3P7J3ggvQ0lRLk5ZU0U6QkFILklRX1BSRUZfSVNTVUVELi4xNC8wNi8yMDI2Li4uVVNELkgBAAAA6XECAAMAAAAAAEfg0tz+yd4IR+DS3P7J3ggsQ0lRLk5ZU0U6QkFILklRX1BSRUZfUkVQLi4xNC8wNi8yMDI2Li4uVVNELkgBAAAA6XECAAMAAAAAAEfg0tz+yd4IR+DS3P7J3ggxQ0lRLk5ZU0U6QkFILklRX0NPTU1PTl9ESVZfQ0YuLjE0LzA2LzIwMjYuLi5VU0QuSAEAAADpcQIAAgAAAAQtMjc2AQgA</t>
  </si>
  <si>
    <t>AAAFAAAAATEBAAAACy0xODg3NzA0MzQxAwAAAAMxNjACAAAABDIwNzQEAAAAATAHAAAACTYvMTQvMjAyNggAAAAJMy8zMS8yMDI2CQAAAAEwR+DS3P7J3ghH4NLc/sneCC9DSVEuTllTRTpCQUguSVFfUFJFRl9ESVZfQ0YuLjE0LzA2LzIwMjYuLi5VU0QuSAEAAADpcQIAAwAAAAAAR+DS3P7J3ghH4NLc/sneCDZDSVEuTllTRTpCQUguSVFfQ09NTU9OX1BSRUZfRElWX0NGLi4xNC8wNi8yMDI2Li4uVVNELkgBAAAA6XECAAMAAAAAAEfg0tz+yd4IR+DS3P7J3gg1Q0lRLk5ZU0U6QkFILklRX1RPVEFMX0RJVl9QQUlEX0NGLi4xNC8wNi8yMDI2Li4uVVNELkgBAAAA6XECAAIAAAAELTI3NgEIAAAABQAAAAExAQAAAAstMTg4NzcwNDM0MQMAAAADMTYwAgAAAAQyMDIyBAAAAAEwBwAAAAk2LzE0LzIwMjYIAAAACTMvMzEvMjAyNgkAAAABMEfg0tz+yd4IR+DS3P7J3ggyQ0lRLk5ZU0U6QkFILklRX1NQRUNJQUxfRElWX0NGLi4xNC8wNi8yMDI2Li4uVVNELkgBAAAA6XECAAMAAAAAAEfg0tz+yd4IR+DS3P7J3gg7Q0lRLk5ZU0U6QkFILklRX09USEVSX0ZJTkFOQ0VfQUNUX1NVUFBMLi4xNC8wNi8yMDI2Li4uVVNELkgBAAAA6XECAAMAAAAAAEfg0tz+yd4IR+DS3P7J3gguQ0lRLk5ZU0U6QkFILklRX0NBU0hfRklOQU4uLjE0LzA2LzIwMjYuLi5VU0QuSAEAAADpcQIAAgAAAAQtODk4AQgAAAAFAAAAATEBAAAA</t>
  </si>
  <si>
    <t>Cy0xODg3NzA0MzQxAwAAAAMxNjACAAAABDIwMDQEAAAAATAHAAAACTYvMTQvMjAyNggAAAAJMy8zMS8yMDI2CQAAAAEwR+DS3P7J3ghH4NLc/sneCCZDSVEuTllTRTpCQUguSVFfRlguLjE0LzA2LzIwMjYuLi5VU0QuSAEAAADpcQIAAwAAAAAAR+DS3P7J3ghH4NLc/sneCDJDSVEuTllTRTpCQUguSVFfTUlTQ19BREpVU1RfQ0YuLjE0LzA2LzIwMjYuLi5VU0QuSAEAAADpcQIAAwAAAAAAR+DS3P7J3ghH4NLc/sneCC5DSVEuTllTRTpCQUguSVFfTkVUX0NIQU5HRS4uMTQvMDYvMjAyNi4uLlVTRC5IAQAAAOlxAgACAAAABC0xNTcBCAAAAAUAAAABMQEAAAALLTE4ODc3MDQzNDEDAAAAAzE2MAIAAAAEMjA5MwQAAAABMAcAAAAJNi8xNC8yMDI2CAAAAAkzLzMxLzIwMjYJAAAAATBH4NLc/sneCEfg0tz+yd4IN0NJUS5OWVNFOkJBSC5JUV9EQV9TVVBQTF9QQVJUSUFMX0NGLi4xNC8wNi8yMDI2Li4uVVNELkgBAAAA6XECAAMAAAAAAEfg0tz+yd4IR+DS3P7J3gg9Q0lRLk5ZU0U6QkFILklRX0dXX0lOVEFOX0FNT1JUX1BBUlRJQUxfQ0YuLjE0LzA2LzIwMjYuLi5VU0QuSAEAAADpcQIAAwAAAAAAR+DS3P7J3ghH4NLc/sneCC5DSVEuTllTRTpCQUguSVFfREVQUkVfU1VQUC4uMTQvMDYvMjAyNi4uLlVTRC5IAQAAAOlxAgACAAAAAjY4AQgAAAAFAAAAATEBAAAACy0xODg3NzA0MzQxAwAAAAMxNjACAAAABDIx</t>
  </si>
  <si>
    <t>NDMEAAAAATAHAAAACTYvMTQvMjAyNggAAAAJMy8zMS8yMDI2CQAAAAEwR+DS3P7J3ghH4NLc/sneCEFDSVEuTllTRTpCQUguSVFfREVQUkVDSUFUSU9OX1JFTlRBTF9BU1NFVFNfQ0YuLjE0LzA2LzIwMjYuLi5VU0QuSAEAAADpcQIAAwAAAAAAR+DS3P7J3ghH4NLc/sneCCtDSVEuTllTRTpCQUguSVFfREVQX1JVQS4uMTQvMDYvMjAyNi4uLlVTRC5IAQAAAOlxAgADAAAAAABH4NLc/sneCEfg0tz+yd4IQENJUS5OWVNFOkJBSC5JUV9EQV9TVVBQTF9DRl9FWENMX09QRVJfTEVBU0VTLi4xNC8wNi8yMDI2Li4uVVNELkgBAAAA6XECAAIAAAACNjgBCAAAAAUAAAABMQEAAAALLTE4ODc3MDQzNDEDAAAAAzE2MAIAAAAFNDg5ODMEAAAAATAHAAAACTYvMTQvMjAyNggAAAAJMy8zMS8yMDI2CQAAAAEwR+DS3P7J3ghH4NLc/sneCDpDSVEuTllTRTpCQUguSVFfREFfQ0ZfRVhDTF9PUEVSX0xFQVNFUy4uMTQvMDYvMjAyNi4uLlVTRC5IAQAAAOlxAgACAAAAAzE2MwEIAAAABQAAAAExAQAAAAstMTg4NzcwNDM0MQMAAAADMTYwAgAAAAU0ODk4NQQAAAABMAcAAAAJNi8xNC8yMDI2CAAAAAkzLzMxLzIwMjYJAAAAATBH4NLc/sneCEfg0tz+yd4IOENJUS5OWVNFOkJBSC5JUV9ORUdBVElWRV9HV19BTU9SVF9DRi4uMTQvMDYvMjAyNi4uLlVTRC5IAQAAAOlxAgADAAAAAABH4NLc/sneCEfg0tz+yd4IMENJUS5OWVNF</t>
  </si>
  <si>
    <t>OkJBSC5JUV9BTU9SVF9ESUNfQ0YuLjE0LzA2LzIwMjYuLi5VU0QuSAEAAADpcQIAAwAAAAAAR+DS3P7J3ghH4NLc/sneCDxDSVEuTllTRTpCQUguSVFfQU1PUlRfU09GVFdBUkVfQVNTRVRTX0NGLi4xNC8wNi8yMDI2Li4uVVNELkgBAAAA6XECAAMAAAAAAEfg0tz+yd4IR+DS3P7J3gg/Q0lRLk5ZU0U6QkFILklRX1NBTEVfUFJPQ0VFRFNfUkVOVEFMX0FTU0VUUy4uMTQvMDYvMjAyNi4uLlVTRC5IAQAAAOlxAgADAAAAAABH4NLc/sneCEfg0tz+yd4IMUNJUS5OWVNFOkJBSC5JUV9DQVNIX0lOVEVSRVNULi4xNC8wNi8yMDI2Li4uVVNELkgBAAAA6XECAAMAAAAAAEfg0tz+yd4IR+DS3P7J3gg1Q0lRLk5ZU0U6QkFILklRX0NBU0hfSU5URVJFU1RfTkVULi4xNC8wNi8yMDI2Li4uVVNELkgBAAAA6XECAAIAAAADMTkxAQgAAAAFAAAAATEBAAAACy0xODg3NzA0MzQxAwAAAAMxNjACAAAABTI0Mzg5BAAAAAEwBwAAAAk2LzE0LzIwMjYIAAAACTMvMzEvMjAyNgkAAAABMEfg0tz+yd4IR+DS3P7J3gg6Q0lRLk5ZU0U6QkFILklRX0NBU0hfSU5URVJFU1RfUkVDRUlWRUQuLjE0LzA2LzIwMjYuLi5VU0QuSAEAAADpcQIAAwAAAAAAR+DS3P7J3ghH4NLc/sneCDZDSVEuTllTRTpCQUguSVFfQ0FTSF9JTlRFUkVTVF9PUEVSLi4xNC8wNi8yMDI2Li4uVVNELkgBAAAA6XECAAMAAAAAAEfg0tz+yd4IR+DS3P7J3gg4</t>
  </si>
  <si>
    <t>Q0lRLk5ZU0U6QkFILklRX0NBU0hfSU5URVJFU1RfSU5WRVNULi4xNC8wNi8yMDI2Li4uVVNELkgBAAAA6XECAAMAAAAAAEfg0tz+yd4IR+DS3P7J3gg3Q0lRLk5ZU0U6QkFILklRX0NBU0hfSU5URVJFU1RfRklOQU4uLjE0LzA2LzIwMjYuLi5VU0QuSAEAAADpcQIAAwAAAAAAR+DS3P7J3ghH4NLc/sneCC5DSVEuTllTRTpCQUguSVFfQ0FTSF9UQVhFUy4uMTQvMDYvMjAyNi4uLlVTRC5IAQAAAOlxAgACAAAAAzEwMwEIAAAABQAAAAExAQAAAAstMTg4NzcwNDM0MQMAAAADMTYwAgAAAAQzMDUzBAAAAAEwBwAAAAk2LzE0LzIwMjYIAAAACTMvMzEvMjAyNgkAAAABMEfg0tz+yd4IR+DS3P7J3ggzQ0lRLk5ZU0U6QkFILklRX0NBU0hfVEFYRVNfT1BFUi4uMTQvMDYvMjAyNi4uLlVTRC5IAQAAAOlxAgADAAAAAABH4NLc/sneCEfg0tz+yd4INUNJUS5OWVNFOkJBSC5JUV9DQVNIX1RBWEVTX0lOVkVTVC4uMTQvMDYvMjAyNi4uLlVTRC5IAQAAAOlxAgADAAAAAABH4NLc/sneCEfg0tz+yd4INENJUS5OWVNFOkJBSC5JUV9DQVNIX1RBWEVTX0ZJTkFOLi4xNC8wNi8yMDI2Li4uVVNELkgBAAAA6XECAAMAAAAAAEfg0tz+yd4IR+DS3P7J3gg4Q0lRLk5ZU0U6QkFILklRX0NIQU5HRV9ERUZfVEFYX1RPVEFMLi4xNC8wNi8yMDI2Li4uVVNELkgBAAAA6XECAAIAAAACMzUBCAAAAAUAAAABMQEAAAALLTE4ODc3MDQz</t>
  </si>
  <si>
    <t>NDEDAAAAAzE2MAIAAAAFMzA5MjQEAAAAATAHAAAACTYvMTQvMjAyNggAAAAJMy8zMS8yMDI2CQAAAAEwR+DS3P7J3ghH4NLc/sneCD5DSVEuTllTRTpCQUguSVFfQ0hBTkdFX05FVF9XT1JLSU5HX0NBUElUQUwuLjE0LzA2LzIwMjYuLi5VU0QuSAEAAADpcQIAAgAAAAMtNzQBCAAAAAUAAAABMQEAAAALLTE4ODc3MDQzNDEDAAAAAzE2MAIAAAAENDQyMQQAAAABMAcAAAAJNi8xNC8yMDI2CAAAAAkzLzMxLzIwMjYJAAAAATBH4NLc/sneCEfg0tz+yd4IL0NJUS5OWVNFOkJBSC5JUV9MRVZFUkVEX0ZDRi4uMTQvMDYvMjAyNi4uLlVTRC5IAQAAAOlxAgACAAAABzc4NS4zNzUBCAAAAAUAAAABMQEAAAALLTE4ODc3MDQzNDEDAAAAAzE2MAIAAAAENDQyMgQAAAABMAcAAAAJNi8xNC8yMDI2CAAAAAkzLzMxLzIwMjYJAAAAATBH4NLc/sneCEfg0tz+yd4IMUNJUS5OWVNFOkJBSC5JUV9VTkxFVkVSRURfRkNGLi4xNC8wNi8yMDI2Li4uVVNELkgBAAAA6XECAAIAAAAHOTAwLjM3NQEIAAAABQAAAAExAQAAAAstMTg4NzcwNDM0MQMAAAADMTYwAgAAAAQ0NDIzBAAAAAEwBwAAAAk2LzE0LzIwMjYIAAAACTMvMzEvMjAyNgkAAAABMEfg0tz+yd4IR+DS3P7J3ggsQ0lRLk5ZU0U6QkFILklRX0NGX1NIQVJFLi4xNC8wNi8yMDI2Li4uVVNELkgBAAAA6XECAAIAAAAINy43OTA1MDUBCAAAAAUAAAABMQEAAAALLTE4ODc3</t>
  </si>
  <si>
    <t>MDQzNDEDAAAAAzE2MAIAAAAFNDM5MjMEAAAAATAHAAAACTYvMTQvMjAyNggAAAAJMy8zMS8yMDI2CQAAAAEwR+DS3P7J3ghH4NLc/sneCDNDSVEuTllTRTpCQUguSVFfTkVUX0RFQlRfSVNTVUVELi4xNC8wNi8yMDI2Li4uVVNELkgBAAAA6XECAAIAAAADLTY5AQgAAAAFAAAAATEBAAAACy0xODg3NzA0MzQxAwAAAAMxNjACAAAABDIwMDMEAAAAATAHAAAACTYvMTQvMjAyNggAAAAJMy8zMS8yMDI2CQAAAAEwR+DS3P7J3ghH4NLc/sneCC9DSVEuTllTRTpCQUguSVFfTUFJTlRfQ0FQRVguLjE0LzA2LzIwMjYuLi5VU0QuSAEAAADpcQIAAwAAAAAAR+DS3P7J3ghH4NLc/sneCDBDSVEuTllTRTpCQUguSVFfRE9fSU5WRVNUX0NGLi4xNC8wNi8yMDI2Li4uVVNELkgBAAAA6XECAAMAAAAAAEfg0tz+yd4IR+DS3P7J3ggxQ0lRLk5ZU0U6QkFILklRX0RPX0ZJTkFOQ0VfQ0YuLjE0LzA2LzIwMjYuLi5VU0QuSAEAAADpcQIAAwAAAAAAR+DS3P7J3ghH4NLc/sneCDxDSVEuTllTRTpCQUguSVFfT1BFUkFUSU5HX0xFQVNFX1BBWU1FTlRTLi4xNC8wNi8yMDI2Li4uVVNELkgBAAAA6XECAAMAAAAAAEfg0tz+yd4IR+DS3P7J3gg/Q0lRLk5ZU0U6QkFILklRX09QRVJBVElOR19MRUFTRV9MSUFCSUxJVElFUy4uMTQvMDYvMjAyNi4uLlVTRC5IAQAAAOlxAgADAAAAAABH4NLc/sneCEfg0tz+yd4IR0NJUS5OWVNFOkJB</t>
  </si>
  <si>
    <t>SC5JUV9PUEVSQVRJTkdfTEVBU0VfTElBQklMSVRJRVNfTk9OQ0FTSC4uMTQvMDYvMjAyNi4uLlVTRC5IAQAAAOlxAgADAAAAAABH4NLc/sneCEfg0tz+yd4IRUNJUS5OWVNFOkJBSC5JUV9MT05HX1RFUk1fREVCVF9SRVBBSURfRVhDTF9MRUFTRVMuLjE0LzA2LzIwMjYuLi5VU0QuSAEAAADpcQIAAgAAAAMtNjkBCAAAAAUAAAABMQEAAAALLTE4ODc3MDQzNDEDAAAAAzE2MAIAAAAFNDg5ODQEAAAAATAHAAAACTYvMTQvMjAyNggAAAAJMy8zMS8yMDI2CQAAAAEwR+DS3P7J3ghH4NLc/sneCEFDSVEuTllTRTpCQUguSVFfVE9UQUxfREVCVF9SRVBBSURfRVhDTF9MRUFTRVMuLjE0LzA2LzIwMjYuLi5VU0QuSAEAAADpcQIAAgAAAAMtNjkBCAAAAAUAAAABMQEAAAALLTE4ODc3MDQzNDEDAAAAAzE2MAIAAAAFNDg5ODYEAAAAATAHAAAACTYvMTQvMjAyNggAAAAJMy8zMS8yMDI2CQAAAAEwR+DS3P7J3ghH4NLc/sneCDdDSVEuTllTRTpCQUguSVFfR0FJTl9CQVJHQUlOX0FDUV9DRi4uMTQvMDYvMjAyNi4uLlVTRC5IAQAAAOlxAgADAAAAAABH4NLc/sneCEfg0tz+yd4ILkNJUS5OWVNFOkJBSC5JUV9DQVNIX0VRVUlWLi4xNC8wNi8yMDI2Li4uVVNELkgBAAAA6XECAAIAAAADNzI4AQgAAAAFAAAAATEBAAAACy0xODg3NzA0MzQxAwAAAAMxNjACAAAABDEwOTYEAAAAATAHAAAACTYvMTQvMjAyNggAAAAJMy8z</t>
  </si>
  <si>
    <t>MS8yMDI2CQAAAAEwR+DS3P7J3ghH4NLc/sneCC1DSVEuTllTRTpCQUguSVFfU1RfSU5WRVNULi4xNC8wNi8yMDI2Li4uVVNELkgBAAAA6XECAAMAAAAAAEfg0tz+yd4IR+DS3P7J3ggyQ0lRLk5ZU0U6QkFILklRX1RSQURJTkdfQVNTRVRTLi4xNC8wNi8yMDI2Li4uVVNELkgBAAAA6XECAAMAAAAAAEfg0tz+yd4IR+DS3P7J3ggyQ0lRLk5ZU0U6QkFILklRX0NBU0hfU1RfSU5WRVNULi4xNC8wNi8yMDI2Li4uVVNELkgBAAAA6XECAAIAAAADNzI4AQgAAAAFAAAAATEBAAAACy0xODg3NzA0MzQxAwAAAAMxNjACAAAABDEwMDIEAAAAATAHAAAACTYvMTQvMjAyNggAAAAJMy8zMS8yMDI2CQAAAAEwR+DS3P7J3ghH4NLc/sneCCZDSVEuTllTRTpCQUguSVFfQVIuLjE0LzA2LzIwMjYuLi5VU0QuSAEAAADpcQIAAgAAAAQyMDYzAQgAAAAFAAAAATEBAAAACy0xODg3NzA0MzQxAwAAAAMxNjACAAAABDEwMjEEAAAAATAHAAAACTYvMTQvMjAyNggAAAAJMy8zMS8yMDI2CQAAAAEwR+DS3P7J3ghH4NLc/sneCDBDSVEuTllTRTpCQUguSVFfT1RIRVJfUkVDRUlWLi4xNC8wNi8yMDI2Li4uVVNELkgBAAAA6XECAAMAAAAAAEfg0tz+yd4IR+DS3P7J3ggyQ0lRLk5ZU0U6QkFILklRX1NUX05PVEVfUkVDRUlWLi4xNC8wNi8yMDI2Li4uVVNELkgBAAAA6XECAAMAAAAAAEfg0tz+yd4IR+DS3P7J3ggwQ0lRLk5ZU0U6QkFI</t>
  </si>
  <si>
    <t>LklRX1RPVEFMX1JFQ0VJVi4uMTQvMDYvMjAyNi4uLlVTRC5IAQAAAOlxAgACAAAABDIwNjMBCAAAAAUAAAABMQEAAAALLTE4ODc3MDQzNDEDAAAAAzE2MAIAAAAEMTAwMQQAAAABMAcAAAAJNi8xNC8yMDI2CAAAAAkzLzMxLzIwMjYJAAAAATBH4NLc/sneCEfg0tz+yd4ILUNJUS5OWVNFOkJBSC5JUV9JTlZFTlRPUlkuLjE0LzA2LzIwMjYuLi5VU0QuSAEAAADpcQIAAwAAAAAAR+DS3P7J3ghH4NLc/sneCC9DSVEuTllTRTpCQUguSVFfUFJFUEFJRF9FWFAuLjE0LzA2LzIwMjYuLi5VU0QuSAEAAADpcQIAAgAAAAMxNzABCAAAAAUAAAABMQEAAAALLTE4ODc3MDQzNDEDAAAAAzE2MAIAAAAEMTIxMgQAAAABMAcAAAAJNi8xNC8yMDI2CAAAAAkzLzMxLzIwMjYJAAAAATBH4NLc/sneCEfg0tz+yd4IOUNJUS5OWVNFOkJBSC5JUV9GSU5fRElWX0xPQU5TX0NVUlJFTlQuLjE0LzA2LzIwMjYuLi5VU0QuSAEAAADpcQIAAwAAAAAAR+DS3P7J3ghH4NLc/sneCDpDSVEuTllTRTpCQUguSVFfRklOX0RJVl9BU1NFVFNfQ1VSUkVOVC4uMTQvMDYvMjAyNi4uLlVTRC5IAQAAAOlxAgADAAAAAABH4NLc/sneCEfg0tz+yd4IMkNJUS5OWVNFOkJBSC5JUV9MT0FOU19GT1JfU0FMRS4uMTQvMDYvMjAyNi4uLlVTRC5IAQAAAOlxAgADAAAAAABH4NLc/sneCEfg0tz+yd4IOkNJUS5OWVNFOkJBSC5JUV9ERUZfVEFYX0FTU0VU</t>
  </si>
  <si>
    <t>U19DVVJSRU5ULi4xNC8wNi8yMDI2Li4uVVNELkgBAAAA6XECAAMAAAAAAEfg0tz+yd4IR+DS3P7J3ggzQ0lRLk5ZU0U6QkFILklRX1JFU1RSSUNURURfQ0FTSC4uMTQvMDYvMjAyNi4uLlVTRC5IAQAAAOlxAgADAAAAAABH4NLc/sneCEfg0tz+yd4IMkNJUS5OWVNFOkJBSC5JUV9PVEhFUl9DQV9TVVBQTC4uMTQvMDYvMjAyNi4uLlVTRC5IAQAAAOlxAgADAAAAAABH4NLc/sneCEfg0tz+yd4ILENJUS5OWVNFOkJBSC5JUV9UT1RBTF9DQS4uMTQvMDYvMjAyNi4uLlVTRC5IAQAAAOlxAgACAAAABDI5NjEBCAAAAAUAAAABMQEAAAALLTE4ODc3MDQzNDEDAAAAAzE2MAIAAAAEMTAwOAQAAAABMAcAAAAJNi8xNC8yMDI2CAAAAAkzLzMxLzIwMjYJAAAAATBaStXc/sneCFpK1dz+yd4IKENJUS5OWVNFOkJBSC5JUV9HUFBFLi4xNC8wNi8yMDI2Li4uVVNELkgBAAAA6XECAAIAAAADNjM2AQgAAAAFAAAAATEBAAAACy0xODg3NzA0MzQxAwAAAAMxNjACAAAABDExNjkEAAAAATAHAAAACTYvMTQvMjAyNggAAAAJMy8zMS8yMDI2CQAAAAEwWkrV3P7J3ghaStXc/sneCCZDSVEuTllTRTpCQUguSVFfQUQuLjE0LzA2LzIwMjYuLi5VU0QuSAEAAADpcQIAAgAAAAQtMzE4AQgAAAAFAAAAATEBAAAACy0xODg3NzA0MzQxAwAAAAMxNjACAAAABDEwNzUEAAAAATAHAAAACTYvMTQvMjAyNggAAAAJMy8zMS8yMDI2CQAAAAEw</t>
  </si>
  <si>
    <t>WkrV3P7J3ghaStXc/sneCChDSVEuTllTRTpCQUguSVFfTlBQRS4uMTQvMDYvMjAyNi4uLlVTRC5IAQAAAOlxAgACAAAAAzMxOAEIAAAABQAAAAExAQAAAAstMTg4NzcwNDM0MQMAAAADMTYwAgAAAAQxMDA0BAAAAAEwBwAAAAk2LzE0LzIwMjYIAAAACTMvMzEvMjAyNgkAAAABMFpK1dz+yd4IWkrV3P7J3ggtQ0lRLk5ZU0U6QkFILklRX0xUX0lOVkVTVC4uMTQvMDYvMjAyNi4uLlVTRC5IAQAAAOlxAgACAAAAAzM0NAEIAAAABQAAAAExAQAAAAstMTg4NzcwNDM0MQMAAAADMTYwAgAAAAQxMDU0BAAAAAEwBwAAAAk2LzE0LzIwMjYIAAAACTMvMzEvMjAyNgkAAAABMFpK1dz+yd4IWkrV3P7J3ggmQ0lRLk5ZU0U6QkFILklRX0dXLi4xNC8wNi8yMDI2Li4uVVNELkgBAAAA6XECAAIAAAAEMjM5OQEIAAAABQAAAAExAQAAAAstMTg4NzcwNDM0MQMAAAADMTYwAgAAAAQxMTcxBAAAAAEwBwAAAAk2LzE0LzIwMjYIAAAACTMvMzEvMjAyNgkAAAABMFpK1dz+yd4IWkrV3P7J3ggvQ0lRLk5ZU0U6QkFILklRX09USEVSX0lOVEFOLi4xNC8wNi8yMDI2Li4uVVNELkgBAAAA6XECAAIAAAADNTA5AQgAAAAFAAAAATEBAAAACy0xODg3NzA0MzQxAwAAAAMxNjACAAAABDEwNDAEAAAAATAHAAAACTYvMTQvMjAyNggAAAAJMy8zMS8yMDI2CQAAAAEwWkrV3P7J3ghaStXc/sneCDRDSVEuTllTRTpCQUguSVFfRklOX0RJVl9M</t>
  </si>
  <si>
    <t>T0FOU19MVC4uMTQvMDYvMjAyNi4uLlVTRC5IAQAAAOlxAgADAAAAAABaStXc/sneCFpK1dz+yd4INUNJUS5OWVNFOkJBSC5JUV9GSU5fRElWX0FTU0VUU19MVC4uMTQvMDYvMjAyNi4uLlVTRC5IAQAAAOlxAgADAAAAAABaStXc/sneCFpK1dz+yd4IKUNJUS5OWVNFOkJBSC5JUV9BUl9MVC4uMTQvMDYvMjAyNi4uLlVTRC5IAQAAAOlxAgACAAAAAjU4AQgAAAAFAAAAATEBAAAACy0xODg3NzA0MzQxAwAAAAMxNjACAAAABDEwODgEAAAAATAHAAAACTYvMTQvMjAyNggAAAAJMy8zMS8yMDI2CQAAAAEwWkrV3P7J3ghaStXc/sneCDNDSVEuTllTRTpCQUguSVFfTE9BTlNfUkVDRUlWX0xULi4xNC8wNi8yMDI2Li4uVVNELkgBAAAA6XECAAMAAAAAAFpK1dz+yd4IWkrV3P7J3gg1Q0lRLk5ZU0U6QkFILklRX0RFRl9UQVhfQVNTRVRTX0xULi4xNC8wNi8yMDI2Li4uVVNELkgBAAAA6XECAAIAAAADMjk0AQgAAAAFAAAAATEBAAAACy0xODg3NzA0MzQxAwAAAAMxNjACAAAABDEwMjYEAAAAATAHAAAACTYvMTQvMjAyNggAAAAJMy8zMS8yMDI2CQAAAAEwWkrV3P7J3ghaStXc/sneCDJDSVEuTllTRTpCQUguSVFfREVGX0NIQVJHRVNfTFQuLjE0LzA2LzIwMjYuLi5VU0QuSAEAAADpcQIAAwAAAAAAWkrV3P7J3ghaStXc/sneCDNDSVEuTllTRTpCQUguSVFfT1RIRVJfTFRfQVNTRVRTLi4xNC8wNi8yMDI2Li4uVVNE</t>
  </si>
  <si>
    <t>LkgBAAAA6XECAAIAAAADMjM1AQgAAAAFAAAAATEBAAAACy0xODg3NzA0MzQxAwAAAAMxNjACAAAABDEwNjAEAAAAATAHAAAACTYvMTQvMjAyNggAAAAJMy8zMS8yMDI2CQAAAAEwWkrV3P7J3ghaStXc/sneCDBDSVEuTllTRTpCQUguSVFfVE9UQUxfQVNTRVRTLi4xNC8wNi8yMDI2Li4uVVNELkgBAAAA6XECAAIAAAAENzExOAEIAAAABQAAAAExAQAAAAstMTg4NzcwNDM0MQMAAAADMTYwAgAAAAQxMDA3BAAAAAEwBwAAAAk2LzE0LzIwMjYIAAAACTMvMzEvMjAyNgkAAAABMFpK1dz+yd4IWkrV3P7J3ggmQ0lRLk5ZU0U6QkFILklRX0FQLi4xNC8wNi8yMDI2Li4uVVNELkgBAAAA6XECAAIAAAADNTk0AQgAAAAFAAAAATEBAAAACy0xODg3NzA0MzQxAwAAAAMxNjACAAAABDEwMTgEAAAAATAHAAAACTYvMTQvMjAyNggAAAAJMy8zMS8yMDI2CQAAAAEwWkrV3P7J3ghaStXc/sneCCZDSVEuTllTRTpCQUguSVFfQUUuLjE0LzA2LzIwMjYuLi5VU0QuSAEAAADpcQIAAgAAAAM3MDgBCAAAAAUAAAABMQEAAAALLTE4ODc3MDQzNDEDAAAAAzE2MAIAAAAEMTAxNgQAAAABMAcAAAAJNi8xNC8yMDI2CAAAAAkzLzMxLzIwMjYJAAAAATBaStXc/sneCFpK1dz+yd4IK0NJUS5OWVNFOkJBSC5JUV9TVF9ERUJULi4xNC8wNi8yMDI2Li4uVVNELkgBAAAA6XECAAMAAAAAAFpK1dz+yd4IWkrV3P7J3gg1Q0lRLk5ZU0U6QkFI</t>
  </si>
  <si>
    <t>LklRX0NVUlJFTlRfUE9SVF9ERUJULi4xNC8wNi8yMDI2Li4uVVNELkgBAAAA6XECAAIAAAACMTkBCAAAAAUAAAABMQEAAAALLTE4ODc3MDQzNDEDAAAAAzE2MAIAAAAEMTI5NwQAAAABMAcAAAAJNi8xNC8yMDI2CAAAAAkzLzMxLzIwMjYJAAAAATBaStXc/sneCFpK1dz+yd4IN0NJUS5OWVNFOkJBSC5JUV9DVVJSRU5UX1BPUlRfTEVBU0VTLi4xNC8wNi8yMDI2Li4uVVNELkgBAAAA6XECAAIAAAACNDMBCAAAAAUAAAABMQEAAAALLTE4ODc3MDQzNDEDAAAAAzE2MAIAAAAEMTA5MAQAAAABMAcAAAAJNi8xNC8yMDI2CAAAAAkzLzMxLzIwMjYJAAAAATBaStXc/sneCFpK1dz+yd4IOENJUS5OWVNFOkJBSC5JUV9GSU5fRElWX0RFQlRfQ1VSUkVOVC4uMTQvMDYvMjAyNi4uLlVTRC5IAQAAAOlxAgADAAAAAABaStXc/sneCFpK1dz+yd4IOENJUS5OWVNFOkJBSC5JUV9GSU5fRElWX0xJQUJfQ1VSUkVOVC4uMTQvMDYvMjAyNi4uLlVTRC5IAQAAAOlxAgADAAAAAABaStXc/sneCFpK1dz+yd4IN0NJUS5OWVNFOkJBSC5JUV9JTkNfVEFYX1BBWV9DVVJSRU5ULi4xNC8wNi8yMDI2Li4uVVNELkgBAAAA6XECAAIAAAACMTABCAAAAAUAAAABMQEAAAALLTE4ODc3MDQzNDEDAAAAAzE2MAIAAAAEMTA5NAQAAAABMAcAAAAJNi8xNC8yMDI2CAAAAAkzLzMxLzIwMjYJAAAAATBaStXc/sneCFpK1dz+yd4INkNJUS5OWVNF</t>
  </si>
  <si>
    <t>OkJBSC5JUV9VTkVBUk5fUkVWX0NVUlJFTlQuLjE0LzA2LzIwMjYuLi5VU0QuSAEAAADpcQIAAgAAAAIyOAEIAAAABQAAAAExAQAAAAstMTg4NzcwNDM0MQMAAAADMTYwAgAAAAQxMDc0BAAAAAEwBwAAAAk2LzE0LzIwMjYIAAAACTMvMzEvMjAyNgkAAAABMFpK1dz+yd4IWkrV3P7J3gg4Q0lRLk5ZU0U6QkFILklRX0RFRl9UQVhfTElBQl9DVVJSRU5ULi4xNC8wNi8yMDI2Li4uVVNELkgBAAAA6XECAAMAAAAAAFpK1dz+yd4IWkrV3P7J3ggyQ0lRLk5ZU0U6QkFILklRX09USEVSX0NMX1NVUFBMLi4xNC8wNi8yMDI2Li4uVVNELkgBAAAA6XECAAIAAAADMjYxAQgAAAAFAAAAATEBAAAACy0xODg3NzA0MzQxAwAAAAMxNjACAAAABDEwNTcEAAAAATAHAAAACTYvMTQvMjAyNggAAAAJMy8zMS8yMDI2CQAAAAEwWkrV3P7J3ghaStXc/sneCCxDSVEuTllTRTpCQUguSVFfVE9UQUxfQ0wuLjE0LzA2LzIwMjYuLi5VU0QuSAEAAADpcQIAAgAAAAQxNjYzAQgAAAAFAAAAATEBAAAACy0xODg3NzA0MzQxAwAAAAMxNjACAAAABDEwMDkEAAAAATAHAAAACTYvMTQvMjAyNggAAAAJMy8zMS8yMDI2CQAAAAEwWkrV3P7J3ghaStXc/sneCCtDSVEuTllTRTpCQUguSVFfTFRfREVCVC4uMTQvMDYvMjAyNi4uLlVTRC5IAQAAAOlxAgACAAAABDM5MjEBCAAAAAUAAAABMQEAAAALLTE4ODc3MDQzNDEDAAAAAzE2MAIAAAAEMTA0</t>
  </si>
  <si>
    <t>OQQAAAABMAcAAAAJNi8xNC8yMDI2CAAAAAkzLzMxLzIwMjYJAAAAATBaStXc/sneCFpK1dz+yd4INENJUS5OWVNFOkJBSC5JUV9MT05HX1RFUk1fTEVBU0VTLi4xNC8wNi8yMDI2Li4uVVNELkgBAAAA6XECAAIAAAADMTM5AQgAAAAFAAAAATEBAAAACy0xODg3NzA0MzQxAwAAAAMxNjACAAAABDExODMEAAAAATAHAAAACTYvMTQvMjAyNggAAAAJMy8zMS8yMDI2CQAAAAEwWkrV3P7J3ghaStXc/sneCDNDSVEuTllTRTpCQUguSVFfRklOX0RJVl9ERUJUX0xULi4xNC8wNi8yMDI2Li4uVVNELkgBAAAA6XECAAMAAAAAAFpK1dz+yd4IWkrV3P7J3ggzQ0lRLk5ZU0U6QkFILklRX0ZJTl9ESVZfTElBQl9MVC4uMTQvMDYvMjAyNi4uLlVTRC5IAQAAAOlxAgADAAAAAABaStXc/sneCFpK1dz+yd4IMUNJUS5OWVNFOkJBSC5JUV9VTkVBUk5fUkVWX0xULi4xNC8wNi8yMDI2Li4uVVNELkgBAAAA6XECAAMAAAAAAFpK1dz+yd4IWkrV3P7J3ggrQ0lRLk5ZU0U6QkFILklRX1BFTlNJT04uLjE0LzA2LzIwMjYuLi5VU0QuSAEAAADpcQIAAgAAAAI0MAEIAAAABQAAAAExAQAAAAstMTg4NzcwNDM0MQMAAAADMTYwAgAAAAQxMjEzBAAAAAEwBwAAAAk2LzE0LzIwMjYIAAAACTMvMzEvMjAyNgkAAAABMFpK1dz+yd4IWkrV3P7J3ggzQ0lRLk5ZU0U6QkFILklRX0RFRl9UQVhfTElBQl9MVC4uMTQvMDYvMjAyNi4uLlVTRC5I</t>
  </si>
  <si>
    <t>AQAAAOlxAgADAAAAAABaStXc/sneCFpK1dz+yd4IMUNJUS5OWVNFOkJBSC5JUV9PVEhFUl9MSUFCX0xULi4xNC8wNi8yMDI2Li4uVVNELkgBAAAA6XECAAIAAAADMjUwAQgAAAAFAAAAATEBAAAACy0xODg3NzA0MzQxAwAAAAMxNjACAAAABDEwNjIEAAAAATAHAAAACTYvMTQvMjAyNggAAAAJMy8zMS8yMDI2CQAAAAEwWkrV3P7J3ghaStXc/sneCC5DSVEuTllTRTpCQUguSVFfVE9UQUxfTElBQi4uMTQvMDYvMjAyNi4uLlVTRC5IAQAAAOlxAgACAAAABDYwMTMBCAAAAAUAAAABMQEAAAALLTE4ODc3MDQzNDEDAAAAAzE2MAIAAAAEMTI3NgQAAAABMAcAAAAJNi8xNC8yMDI2CAAAAAkzLzMxLzIwMjYJAAAAATBaStXc/sneCFpK1dz+yd4IL0NJUS5OWVNFOkJBSC5JUV9QUkVGX1JFREVFTS4uMTQvMDYvMjAyNi4uLlVTRC5IAQAAAOlxAgADAAAAAABaStXc/sneCFpK1dz+yd4IM0NJUS5OWVNFOkJBSC5JUV9QUkVGX05PTl9SRURFRU0uLjE0LzA2LzIwMjYuLi5VU0QuSAEAAADpcQIAAwAAAAAAWkrV3P7J3ghaStXc/sneCDBDSVEuTllTRTpCQUguSVFfUFJFRl9DT05WRVJULi4xNC8wNi8yMDI2Li4uVVNELkgBAAAA6XECAAMAAAAAAFpK1dz+yd4IWkrV3P7J3gguQ0lRLk5ZU0U6QkFILklRX1BSRUZfT1RIRVIuLjE0LzA2LzIwMjYuLi5VU0QuSAEAAADpcQIAAwAAAAAAWkrV3P7J3ghaStXc/sneCC9DSVEu</t>
  </si>
  <si>
    <t>TllTRTpCQUguSVFfUFJFRl9FUVVJVFkuLjE0LzA2LzIwMjYuLi5VU0QuSAEAAADpcQIAAwAAAAAAWkrV3P7J3ghaStXc/sneCCpDSVEuTllTRTpCQUguSVFfQ09NTU9OLi4xNC8wNi8yMDI2Li4uVVNELkgBAAAA6XECAAIAAAABMgEIAAAABQAAAAExAQAAAAstMTg4NzcwNDM0MQMAAAADMTYwAgAAAAQxMTAzBAAAAAEwBwAAAAk2LzE0LzIwMjYIAAAACTMvMzEvMjAyNgkAAAABMFpK1dz+yd4IWkrV3P7J3ggoQ0lRLk5ZU0U6QkFILklRX0FQSUMuLjE0LzA2LzIwMjYuLi5VU0QuSAEAAADpcQIAAgAAAAQxMTU1AQgAAAAFAAAAATEBAAAACy0xODg3NzA0MzQxAwAAAAMxNjACAAAABDEwODQEAAAAATAHAAAACTYvMTQvMjAyNggAAAAJMy8zMS8yMDI2CQAAAAEwWkrV3P7J3ghaStXc/sneCCZDSVEuTllTRTpCQUguSVFfUkUuLjE0LzA2LzIwMjYuLi5VU0QuSAEAAADpcQIAAgAAAAQzNjQ0AQgAAAAFAAAAATEBAAAACy0xODg3NzA0MzQxAwAAAAMxNjACAAAABDEyMjIEAAAAATAHAAAACTYvMTQvMjAyNggAAAAJMy8zMS8yMDI2CQAAAAEwWkrV3P7J3ghaStXc/sneCCxDSVEuTllTRTpCQUguSVFfVFJFQVNVUlkuLjE0LzA2LzIwMjYuLi5VU0QuSAEAAADpcQIAAgAAAAUtMzY3MwEIAAAABQAAAAExAQAAAAstMTg4NzcwNDM0MQMAAAADMTYwAgAAAAQxMjQ4BAAAAAEwBwAAAAk2LzE0LzIwMjYIAAAACTMvMzEv</t>
  </si>
  <si>
    <t>MjAyNgkAAAABMFpK1dz+yd4IWkrV3P7J3ggwQ0lRLk5ZU0U6QkFILklRX09USEVSX0VRVUlUWS4uMTQvMDYvMjAyNi4uLlVTRC5IAQAAAOlxAgACAAAAAy0yMwEIAAAABQAAAAExAQAAAAstMTg4NzcwNDM0MQMAAAADMTYwAgAAAAQxMDI4BAAAAAEwBwAAAAk2LzE0LzIwMjYIAAAACTMvMzEvMjAyNgkAAAABMFpK1dz+yd4IWkrV3P7J3gg3Q0lRLk5ZU0U6QkFILklRX1RPVEFMX0NPTU1PTl9FUVVJVFkuLjE0LzA2LzIwMjYuLi5VU0QuSAEAAADpcQIAAgAAAAQxMTA1AQgAAAAFAAAAATEBAAAACy0xODg3NzA0MzQxAwAAAAMxNjACAAAABDEwMDYEAAAAATAHAAAACTYvMTQvMjAyNggAAAAJMy8zMS8yMDI2CQAAAAEwWkrV3P7J3ghaStXc/sneCDVDSVEuTllTRTpCQUguSVFfTUlOT1JJVFlfSU5URVJFU1QuLjE0LzA2LzIwMjYuLi5VU0QuSAEAAADpcQIAAwAAAAAAWkrV3P7J3ghaStXc/sneCDBDSVEuTllTRTpCQUguSVFfVE9UQUxfRVFVSVRZLi4xNC8wNi8yMDI2Li4uVVNELkgBAAAA6XECAAIAAAAEMTEwNQEIAAAABQAAAAExAQAAAAstMTg4NzcwNDM0MQMAAAADMTYwAgAAAAQxMjc1BAAAAAEwBwAAAAk2LzE0LzIwMjYIAAAACTMvMzEvMjAyNgkAAAABMFpK1dz+yd4IWkrV3P7J3gg1Q0lRLk5ZU0U6QkFILklRX1RPVEFMX0xJQUJfRVFVSVRZLi4xNC8wNi8yMDI2Li4uVVNELkgBAAAA6XECAAIAAAAE</t>
  </si>
  <si>
    <t>NzExOAEIAAAABQAAAAExAQAAAAstMTg4NzcwNDM0MQMAAAADMTYwAgAAAAQxMDEzBAAAAAEwBwAAAAk2LzE0LzIwMjYIAAAACTMvMzEvMjAyNgkAAAABMFpK1dz+yd4IWkrV3P7J3ggtQ0lRLk5ZU0U6QkFILklRX1JVQV9HUk9TUy4uMTQvMDYvMjAyNi4uLlVTRC5IAQAAAOlxAgADAAAAAABaStXc/sneCFpK1dz+yd4IMUNJUS5OWVNFOkJBSC5JUV9SVUFfQUNDVU1fREVQLi4xNC8wNi8yMDI2Li4uVVNELkgBAAAA6XECAAMAAAAAAFpK1dz+yd4IWkrV3P7J3ggrQ0lRLk5ZU0U6QkFILklRX1JVQV9ORVQuLjE0LzA2LzIwMjYuLi5VU0QuSAEAAADpcQIAAwAAAAAAWkrV3P7J3ghaStXc/sneCDtDSVEuTllTRTpCQUguSVFfUlVBX0NBUElUQUxfTEVBU0VfR1JPU1MuLjE0LzA2LzIwMjYuLi5VU0QuSAEAAADpcQIAAwAAAAAAWkrV3P7J3ghaStXc/sneCD9DSVEuTllTRTpCQUguSVFfUlVBX0NBUElUQUxfTEVBU0VfQUNDVU1fREVQLi4xNC8wNi8yMDI2Li4uVVNELkgBAAAA6XECAAMAAAAAAFpK1dz+yd4IWkrV3P7J3gg5Q0lRLk5ZU0U6QkFILklRX1JVQV9DQVBJVEFMX0xFQVNFX05FVC4uMTQvMDYvMjAyNi4uLlVTRC5IAQAAAOlxAgADAAAAAABaStXc/sneCFpK1dz+yd4IPUNJUS5OWVNFOkJBSC5JUV9SVUFfT1BFUkFUSU5HX0xFQVNFX0dST1NTLi4xNC8wNi8yMDI2Li4uVVNELkgBAAAA6XECAAIAAAAD</t>
  </si>
  <si>
    <t>MTQ3AQgAAAAFAAAAATEBAAAACy0xODg3NzA0MzQxAwAAAAMxNjACAAAABTQ4Mzc3BAAAAAEwBwAAAAk2LzE0LzIwMjYIAAAACTMvMzEvMjAyNgkAAAABMFpK1dz+yd4IWkrV3P7J3ghBQ0lRLk5ZU0U6QkFILklRX1JVQV9PUEVSQVRJTkdfTEVBU0VfQUNDVU1fREVQLi4xNC8wNi8yMDI2Li4uVVNELkgBAAAA6XECAAMAAAAAAFpK1dz+yd4IWkrV3P7J3gg7Q0lRLk5ZU0U6QkFILklRX1JVQV9PUEVSQVRJTkdfTEVBU0VfTkVULi4xNC8wNi8yMDI2Li4uVVNELkgBAAAA6XECAAMAAAAAAFpK1dz+yd4IWkrV3P7J3gg5Q0lRLk5ZU0U6QkFILklRX0dQUEVfRVhDTF9PUEVSX0xFQVNFUy4uMTQvMDYvMjAyNi4uLlVTRC5IAQAAAOlxAgACAAAAAzQ4OQEIAAAABQAAAAExAQAAAAstMTg4NzcwNDM0MQMAAAADMTYwAgAAAAU0ODk3NAQAAAABMAcAAAAJNi8xNC8yMDI2CAAAAAkzLzMxLzIwMjYJAAAAATBaStXc/sneCFpK1dz+yd4IN0NJUS5OWVNFOkJBSC5JUV9BRF9FWENMX09QRVJfTEVBU0VTLi4xNC8wNi8yMDI2Li4uVVNELkgBAAAA6XECAAIAAAAELTMxOAEIAAAABQAAAAExAQAAAAstMTg4NzcwNDM0MQMAAAADMTYwAgAAAAU0ODk3NQQAAAABMAcAAAAJNi8xNC8yMDI2CAAAAAkzLzMxLzIwMjYJAAAAATBaStXc/sneCFpK1dz+yd4IOUNJUS5OWVNFOkJBSC5JUV9OUFBFX0VYQ0xfT1BFUl9MRUFTRVMuLjE0</t>
  </si>
  <si>
    <t>LzA2LzIwMjYuLi5VU0QuSAEAAADpcQIAAgAAAAMxNzEBCAAAAAUAAAABMQEAAAALLTE4ODc3MDQzNDEDAAAAAzE2MAIAAAAFNDg5NzYEAAAAATAHAAAACTYvMTQvMjAyNggAAAAJMy8zMS8yMDI2CQAAAAEwWkrV3P7J3ghaStXc/sneCDpDSVEuTllTRTpCQUguSVFfRklOQU5DRV9MRUFTRVNfQ1VSUkVOVC4uMTQvMDYvMjAyNi4uLlVTRC5IAQAAAOlxAgADAAAAAABaStXc/sneCFpK1dz+yd4IPENJUS5OWVNFOkJBSC5JUV9GSU5BTkNFX0xFQVNFU19MT05HX1RFUk0uLjE0LzA2LzIwMjYuLi5VU0QuSAEAAADpcQIAAwAAAAAAWkrV3P7J3ghaStXc/sneCDhDSVEuTllTRTpCQUguSVFfVE9UQUxfRklOQU5DRV9MRUFTRVMuLjE0LzA2LzIwMjYuLi5VU0QuSAEAAADpcQIAAwAAAAAAWkrV3P7J3ghaStXc/sneCEpDSVEuTllTRTpCQUguSVFfQ1VSUkVOVF9QT1JUSU9OX09QRVJfTEVBU0VfTElBQklMSVRJRVMuLjE0LzA2LzIwMjYuLi5VU0QuSAEAAADpcQIAAgAAAAI0MwEIAAAABQAAAAExAQAAAAstMTg4NzcwNDM0MQMAAAADMTYwAgAAAAU0ODM4NQQAAAABMAcAAAAJNi8xNC8yMDI2CAAAAAkzLzMxLzIwMjYJAAAAATBaStXc/sneCFpK1dz+yd4IRUNJUS5OWVNFOkJBSC5JUV9MVF9QT1JUSU9OX09QRVJfTEVBU0VfTElBQklMSVRJRVMuLjE0LzA2LzIwMjYuLi5VU0QuSAEAAADpcQIAAgAAAAMxMzkBCAAA</t>
  </si>
  <si>
    <t>AAUAAAABMQEAAAALLTE4ODc3MDQzNDEDAAAAAzE2MAIAAAAFNDgzODMEAAAAATAHAAAACTYvMTQvMjAyNggAAAAJMy8zMS8yMDI2CQAAAAEwWkrV3P7J3ghaStXc/sneCDVDSVEuTllTRTpCQUguSVFfVE9UQUxfT1BFUl9MRUFTRVMuLjE0LzA2LzIwMjYuLi5VU0QuSAEAAADpcQIAAgAAAAMxODIBCAAAAAUAAAABMQEAAAALLTE4ODc3MDQzNDEDAAAAAzE2MAIAAAAFNDg5NzgEAAAAATAHAAAACTYvMTQvMjAyNggAAAAJMy8zMS8yMDI2CQAAAAEwWkrV3P7J3ghaStXc/sneCDBDSVEuTllTRTpCQUguSVFfVE9UQUxfTEVBU0VTLi4xNC8wNi8yMDI2Li4uVVNELkgBAAAA6XECAAIAAAADMTgyAQgAAAAFAAAAATEBAAAACy0xODg3NzA0MzQxAwAAAAMxNjACAAAABTQ4OTc5BAAAAAEwBwAAAAk2LzE0LzIwMjYIAAAACTMvMzEvMjAyNgkAAAABMFpK1dz+yd4IWkrV3P7J3ghMQ0lRLk5ZU0U6QkFILklRX0ZJTkFOQ0lOR19PQkxJR19DVVJSRU5UX0VYQ0xfT1BFUl9MRUFTRVMuLjE0LzA2LzIwMjYuLi5VU0QuSAEAAADpcQIAAgAAAAIxOQEIAAAABQAAAAExAQAAAAstMTg4NzcwNDM0MQMAAAADMTYwAgAAAAU0ODk4MAQAAAABMAcAAAAJNi8xNC8yMDI2CAAAAAkzLzMxLzIwMjYJAAAAATBaStXc/sneCFpK1dz+yd4IUENJUS5OWVNFOkJBSC5JUV9GSU5BTkNJTkdfT0JMSUdfTk9OX0NVUlJFTlRfRVhDTF9PUEVS</t>
  </si>
  <si>
    <t>X0xFQVNFUy4uMTQvMDYvMjAyNi4uLlVTRC5IAQAAAOlxAgACAAAABDM5MjEBCAAAAAUAAAABMQEAAAALLTE4ODc3MDQzNDEDAAAAAzE2MAIAAAAFNDg5ODEEAAAAATAHAAAACTYvMTQvMjAyNggAAAAJMy8zMS8yMDI2CQAAAAEwWkrV3P7J3ghaStXc/sneCD9DSVEuTllTRTpCQUguSVFfVE9UQUxfREVCVF9FWENMX09QRVJfTEVBU0VTLi4xNC8wNi8yMDI2Li4uVVNELkgBAAAA6XECAAIAAAAEMzk0MAEIAAAABQAAAAExAQAAAAstMTg4NzcwNDM0MQMAAAADMTYwAgAAAAU0ODk4MgQAAAABMAcAAAAJNi8xNC8yMDI2CAAAAAkzLzMxLzIwMjYJAAAAATBaStXc/sneCFpK1dz+yd4IOkNJUS5OWVNFOkJBSC5JUV9UT1RBTF9ERUJUX0VYQ0xfTEVBU0VTLi4xNC8wNi8yMDI2Li4uVVNELkgBAAAA6XECAAIAAAAEMzk0MAEIAAAABQAAAAExAQAAAAstMTg4NzcwNDM0MQMAAAADMTYwAgAAAAU0ODk5MgQAAAABMAcAAAAJNi8xNC8yMDI2CAAAAAkzLzMxLzIwMjYJAAAAATBaStXc/sneCFpK1dz+yd4ILENJUS5OWVNFOkJBSC5JUV9CVl9TSEFSRS4uMTQvMDYvMjAyNi4uLlVTRC5IAQAAAOlxAgACAAAACDkuMTgyMjE2AQgAAAAFAAAAATEBAAAACy0xODg3NzA0MzQxAwAAAAMxNjACAAAABDQwMjAEAAAAATAHAAAACTYvMTQvMjAyNggAAAAJMy8zMS8yMDI2CQAAAAEwWkrV3P7J3ghaStXc/sneCDVDSVEuTllTRTpC</t>
  </si>
  <si>
    <t>QUguSVFfQlZfU0hBUkVfUkVQT1JURUQuLjE0LzA2LzIwMjYuLi5VU0QuSAEAAADpcQIAAwAAAAAAWkrV3P7J3ghaStXc/sneCC1DSVEuTllTRTpCQUguSVFfVEJWX1NIQVJFLi4xNC8wNi8yMDI2Li4uVVNELkgBAAAA6XECAAIAAAAKLTE0Ljk4MjM4NQEIAAAABQAAAAExAQAAAAstMTg4NzcwNDM0MQMAAAADMTYwAgAAAAQ0MTU2BAAAAAEwBwAAAAk2LzE0LzIwMjYIAAAACTMvMzEvMjAyNgkAAAABMFpK1dz+yd4IWkrV3P7J3gg2Q0lRLk5ZU0U6QkFILklRX1RCVl9TSEFSRV9SRVBPUlRFRC4uMTQvMDYvMjAyNi4uLlVTRC5IAQAAAOlxAgADAAAAAABaStXc/sneCFpK1dz+yd4IJ0NJUS5OWVNFOkJBSC5JUV9UQlYuLjE0LzA2LzIwMjYuLi5VU0QuSAEAAADpcQIAAgAAAAUtMTgwMwEIAAAABQAAAAExAQAAAAstMTg4NzcwNDM0MQMAAAADMTYwAgAAAAQxMzEwBAAAAAEwBwAAAAk2LzE0LzIwMjYIAAAACTMvMzEvMjAyNgkAAAABMFpK1dz+yd4IWkrV3P7J3ggsQ0lRLk5ZU0U6QkFILklRX0dXX0lOVEFOLi4xNC8wNi8yMDI2Li4uVVNELkgBAAAA6XECAAIAAAAEMjkwOAEIAAAABQAAAAExAQAAAAstMTg4NzcwNDM0MQMAAAADMTYwAgAAAAUzNTM4MQQAAAABMAcAAAAJNi8xNC8yMDI2CAAAAAkzLzMxLzIwMjYJAAAAATBaStXc/sneCFpK1dz+yd4ILkNJUS5OWVNFOkJBSC5JUV9DQVNIX1NIQVJFLi4xNC8w</t>
  </si>
  <si>
    <t>Ni8yMDI2Li4uVVNELkgBAAAA6XECAAIAAAAINi4wNDk0NTkBCAAAAAUAAAABMQEAAAALLTE4ODc3MDQzNDEDAAAAAzE2MAIAAAAENDM4MQQAAAABMAcAAAAJNi8xNC8yMDI2CAAAAAkzLzMxLzIwMjYJAAAAATBaStXc/sneCFpK1dz+yd4ILkNJUS5OWVNFOkJBSC5JUV9UT1RBTF9ERUJULi4xNC8wNi8yMDI2Li4uVVNELkgBAAAA6XECAAIAAAAENDEyMgEIAAAABQAAAAExAQAAAAstMTg4NzcwNDM0MQMAAAADMTYwAgAAAAQ0MTczBAAAAAEwBwAAAAk2LzE0LzIwMjYIAAAACTMvMzEvMjAyNgkAAAABMFpK1dz+yd4IWkrV3P7J3gg2Q0lRLk5ZU0U6QkFILklRX1RPVEFMX0RFQlRfQ1VSUkVOVC4uMTQvMDYvMjAyNi4uLlVTRC5IAQAAAOlxAgACAAAAAjYyAQgAAAAFAAAAATEBAAAACy0xODg3NzA0MzQxAwAAAAMxNjACAAAABTI1MjIzBAAAAAEwBwAAAAk2LzE0LzIwMjYIAAAACTMvMzEvMjAyNgkAAAABMFpK1dz+yd4IWkrV3P7J3gg6Q0lRLk5ZU0U6QkFILklRX1RPVEFMX0RFQlRfTk9OX0NVUlJFTlQuLjE0LzA2LzIwMjYuLi5VU0QuSAEAAADpcQIAAgAAAAQ0MDYwAQgAAAAFAAAAATEBAAAACy0xODg3NzA0MzQxAwAAAAMxNjACAAAABTI1MjI0BAAAAAEwBwAAAAk2LzE0LzIwMjYIAAAACTMvMzEvMjAyNgkAAAABMFpK1dz+yd4IWkrV3P7J3ggsQ0lRLk5ZU0U6QkFILklRX05FVF9ERUJULi4xNC8wNi8y</t>
  </si>
  <si>
    <t>MDI2Li4uVVNELkgBAAAA6XECAAIAAAAEMzM5NAEIAAAABQAAAAExAQAAAAstMTg4NzcwNDM0MQMAAAADMTYwAgAAAAQ0MzY0BAAAAAEwBwAAAAk2LzE0LzIwMjYIAAAACTMvMzEvMjAyNgkAAAABMFpK1dz+yd4IWkrV3P7J3gg7Q0lRLk5ZU0U6QkFILklRX01JTk9SSVRZX0lOVEVSRVNUX1RPVEFMLi4xNC8wNi8yMDI2Li4uVVNELkgBAAAA6XECAAMAAAAAAFpK1dz+yd4IWkrV3P7J3ggtQ0lRLk5ZU0U6QkFILklRX1RPVEFMX0NBUC4uMTQvMDYvMjAyNi4uLlVTRC5IAQAAAOlxAgACAAAABDUyMjcBCAAAAAUAAAABMQEAAAALLTE4ODc3MDQzNDEDAAAAAzE2MAIAAAAENDE3NQQAAAABMAcAAAAJNi8xNC8yMDI2CAAAAAkzLzMxLzIwMjYJAAAAATBaStXc/sneCFpK1dz+yd4IL0NJUS5OWVNFOkJBSC5JUV9XT1JLSU5HX0NBUC4uMTQvMDYvMjAyNi4uLlVTRC5IAQAAAOlxAgACAAAABDEyOTgBCAAAAAUAAAABMQEAAAALLTE4ODc3MDQzNDEDAAAAAzE2MAIAAAAENDE2NQQAAAABMAcAAAAJNi8xNC8yMDI2CAAAAAkzLzMxLzIwMjYJAAAAATBaStXc/sneCFpK1dz+yd4IM0NJUS5OWVNFOkJBSC5JUV9ORVRfV09SS0lOR19DQVAuLjE0LzA2LzIwMjYuLi5VU0QuSAEAAADpcQIAAgAAAAM2MzIBCAAAAAUAAAABMQEAAAALLTE4ODc3MDQzNDEDAAAAAzE2MAIAAAAEMTMxMQQAAAABMAcAAAAJNi8xNC8yMDI2CAAA</t>
  </si>
  <si>
    <t>AAkzLzMxLzIwMjYJAAAAATBaStXc/sneCFpK1dz+yd4INENJUS5OWVNFOkJBSC5JUV9BTExPV19ET1VCVF9BQ0NULi4xNC8wNi8yMDI2Li4uVVNELkgBAAAA6XECAAIAAAABMQEIAAAABQAAAAExAQAAAAstMTg4NzcwNDM0MQMAAAADMTYwAgAAAAQzMDEyBAAAAAEwBwAAAAk2LzE0LzIwMjYIAAAACTMvMzEvMjAyNgkAAAABMFpK1dz+yd4IWkrV3P7J3ggxQ0lRLk5ZU0U6QkFILklRX0VRVUlUWV9NRVRIT0QuLjE0LzA2LzIwMjYuLi5VU0QuSAEAAADpcQIAAgAAAAMxODQBCAAAAAUAAAABMQEAAAALLTE4ODc3MDQzNDEDAAAAAzE2MAIAAAAEMzA2MwQAAAABMAcAAAAJNi8xNC8yMDI2CAAAAAkzLzMxLzIwMjYJAAAAATBaStXc/sneCFpK1dz+yd4IL0NJUS5OWVNFOkJBSC5JUV9BUl9VTkJJTExFRC4uMTQvMDYvMjAyNi4uLlVTRC5IAQAAAOlxAgACAAAABDE1MDkBCAAAAAUAAAABMQEAAAALLTE4ODc3MDQzNDEDAAAAAzE2MAIAAAAFNDU0MjAEAAAAATAHAAAACTYvMTQvMjAyNggAAAAJMy8zMS8yMDI2CQAAAAEwWkrV3P7J3ghaStXc/sneCClDSVEuTllTRTpCQUguSVFfTElGT1IuLjE0LzA2LzIwMjYuLi5VU0QuSAEAAADpcQIAAwAAAAAAWkrV3P7J3ghaStXc/sneCCtDSVEuTllTRTpCQUguSVFfUkFXX0lOVi4uMTQvMDYvMjAyNi4uLlVTRC5IAQAAAOlxAgADAAAAAABaStXc/sneCFpK1dz+yd4IK0NJ</t>
  </si>
  <si>
    <t>US5OWVNFOkJBSC5JUV9XSVBfSU5WLi4xNC8wNi8yMDI2Li4uVVNELkgBAAAA6XECAAMAAAAAAFpK1dz+yd4IWkrV3P7J3ggwQ0lRLk5ZU0U6QkFILklRX0ZJTklTSEVEX0lOVi4uMTQvMDYvMjAyNi4uLlVTRC5IAQAAAOlxAgADAAAAAABaStXc/sneCFpK1dz+yd4ILUNJUS5OWVNFOkJBSC5JUV9PVEhFUl9JTlYuLjE0LzA2LzIwMjYuLi5VU0QuSAEAAADpcQIAAwAAAAAAWkrV3P7J3ghaStXc/sneCChDSVEuTllTRTpCQUguSVFfTEFORC4uMTQvMDYvMjAyNi4uLlVTRC5IAQAAAOlxAgADAAAAAABaStXc/sneCFpK1dz+yd4ILUNJUS5OWVNFOkJBSC5JUV9CVUlMRElOR1MuLjE0LzA2LzIwMjYuLi5VU0QuSAEAAADpcQIAAwAAAAAAWkrV3P7J3ghaStXc/sneCC1DSVEuTllTRTpCQUguSVFfTUFDSElORVJZLi4xNC8wNi8yMDI2Li4uVVNELkgBAAAA6XECAAIAAAADMjI2AQgAAAAFAAAAATEBAAAACy0xODg3NzA0MzQxAwAAAAMxNjACAAAABDMxMTQEAAAAATAHAAAACTYvMTQvMjAyNggAAAAJMy8zMS8yMDI2CQAAAAEwWkrV3P7J3ghaStXc/sneCCxDSVEuTllTRTpCQUguSVFfU09GVFdBUkUuLjE0LzA2LzIwMjYuLi5VU0QuSAEAAADpcQIAAwAAAAAAWkrV3P7J3ghaStXc/sneCDpDSVEuTllTRTpCQUguSVFfTkFUVVJBTF9SRVNPVVJDRVNfQ09TVC4uMTQvMDYvMjAyNi4uLlVTRC5IAQAAAOlxAgADAAAA</t>
  </si>
  <si>
    <t>AABaStXc/sneCFpK1dz+yd4IJ0NJUS5OWVNFOkJBSC5JUV9DSVAuLjE0LzA2LzIwMjYuLi5VU0QuSAEAAADpcQIAAwAAAAAAWkrV3P7J3ghaStXc/sneCDlDSVEuTllTRTpCQUguSVFfTEVBU0VIT0xEX0lNUFJPVkVNRU5ULi4xNC8wNi8yMDI2Li4uVVNELkgBAAAA6XECAAIAAAADMjYzAQgAAAAFAAAAATEBAAAACy0xODg3NzA0MzQxAwAAAAMxNjACAAAABDMxMDAEAAAAATAHAAAACTYvMTQvMjAyNggAAAAJMy8zMS8yMDI2CQAAAAEwWkrV3P7J3ghaStXc/sneCDdDSVEuTllTRTpCQUguSVFfTUlOT1JJVFlfSU5UX1JFREVFTS4uMTQvMDYvMjAyNi4uLlVTRC5IAQAAAOlxAgADAAAAAABaStXc/sneCFpK1dz+yd4IP0NJUS5OWVNFOkJBSC5JUV9GSU5fRElWX01JTk9SSVRZX0lOVF9SRURFRU0uLjE0LzA2LzIwMjYuLi5VU0QuSAEAAADpcQIAAwAAAAAAWkrV3P7J3ghaStXc/sneCDtDSVEuTllTRTpCQUguSVFfTUlOT1JJVFlfSU5UX1JFREVFTV9UT1QuLjE0LzA2LzIwMjYuLi5VU0QuSAEAAADpcQIAAwAAAAAAWkrV3P7J3ghaStXc/sneCD1DSVEuTllTRTpCQUguSVFfRklOX0RJVl9NSU5PUklUWV9JTlRFUkVTVC4uMTQvMDYvMjAyNi4uLlVTRC5IAQAAAOlxAgADAAAAAABaStXc/sneCFpK1dz+yd4IP0NJUS5OWVNFOkJBSC5JUV9ERUZfVEFYX1ZBTFVBVElPTl9BTExPV0FOQ0UuLjE0LzA2LzIwMjYu</t>
  </si>
  <si>
    <t>Li5VU0QuSAEAAADpcQIAAgAAAAIxMAEIAAAABQAAAAExAQAAAAstMTg4NzcwNDM0MQMAAAADMTYwAgAAAAU0NjA0NQQAAAABMAcAAAAJNi8xNC8yMDI2CAAAAAkzLzMxLzIwMjYJAAAAATBaStXc/sneCFpK1dz+yd4IQUNJUS5OWVNFOkJBSC5JUV9HRU5FUkFMX1BBUlRORVJfQ09NTU9OX0VRVUlUWS4uMTQvMDYvMjAyNi4uLlVTRC5IAQAAAOlxAgADAAAAAABaStXc/sneCFpK1dz+yd4IP0NJUS5OWVNFOkJBSC5JUV9HRU5FUkFMX1BBUlRORVJfUFJFRl9FUVVJVFkuLjE0LzA2LzIwMjYuLi5VU0QuSAEAAADpcQIAAwAAAAAAWkrV3P7J3ghaStXc/sneCEVDSVEuTllTRTpCQUguSVFfR0VORVJBTF9QQVJUTkVSX01JTk9SSVRZX0lOVEVSRVNULi4xNC8wNi8yMDI2Li4uVVNELkgBAAAA6XECAAMAAAAAAFpK1dz+yd4IWkrV3P7J3ghCQ0lRLk5ZU0U6QkFILklRX1RPVEFMX0dFTkVSQUxfUEFSVE5FUl9JTlRFUkVTVC4uMTQvMDYvMjAyNi4uLlVTRC5IAQAAAOlxAgADAAAAAABaStXc/sneCFpK1dz+yd4IR0NJUS5OWVNFOkJBSC5JUV9MSVFVSURBVElPTl9WQUxVRV9QUkVGRVJSRURfQ09OVkVSVC4uMTQvMDYvMjAyNi4uLlVTRC5IAQAAAOlxAgADAAAAAABaStXc/sneCFpK1dz+yd4ISkNJUS5OWVNFOkJBSC5JUV9MSVFVSURBVElPTl9WQUxVRV9QUkVGRVJSRURfTk9OX1JFREVFTS4uMTQvMDYvMjAyNi4u</t>
  </si>
  <si>
    <t>LlVTRC5IAQAAAOlxAgADAAAAAABaStXc/sneCFpK1dz+yd4IRkNJUS5OWVNFOkJBSC5JUV9MSVFVSURBVElPTl9WQUxVRV9QUkVGRVJSRURfUkVERUVNLi4xNC8wNi8yMDI2Li4uVVNELkgBAAAA6XECAAMAAAAAAFpK1dz+yd4IWkrV3P7J3ggyQ0lRLk5ZU0U6QkFILklRX0FTU0VUU19MRVZFTF8xLi4xNC8wNi8yMDI2Li4uVVNELkgBAAAA6XECAAIAAAADMzQ3AFpK1dz+yd4IWkrV3P7J3ggyQ0lRLk5ZU0U6QkFILklRX0FTU0VUU19MRVZFTF8yLi4xNC8wNi8yMDI2Li4uVVNELkgBAAAA6XECAAMAAAAAAFpK1dz+yd4IWkrV3P7J3ggyQ0lRLk5ZU0U6QkFILklRX0FTU0VUU19MRVZFTF8zLi4xNC8wNi8yMDI2Li4uVVNELkgBAAAA6XECAAMAAAAAAFpK1dz+yd4IWkrV3P7J3ghEQ0lRLk5ZU0U6QkFILklRX0FTU0VUU19ORVRUSU5HX09USEVSX0FESlVTVE1FTlRTLi4xNC8wNi8yMDI2Li4uVVNELkgBAAAA6XECAAMAAAAAAFpK1dz+yd4IWkrV3P7J3gg1Q0lRLk5ZU0U6QkFILklRX0FTU0VUU19GQUlSX1ZBTFVFLi4xNC8wNi8yMDI2Li4uVVNELkgBAAAA6XECAAIAAAADMzQ3AFpK1dz+yd4IWkrV3P7J3gg3Q0lRLk5ZU0U6QkFILklRX0xJQUJJTElUSUVTX0xFVkVMXzEuLjE0LzA2LzIwMjYuLi5VU0QuSAEAAADpcQIAAgAAAAI0MABaStXc/sneCFpK1dz+yd4IN0NJUS5OWVNFOkJBSC5JUV9MSUFCSUxJ</t>
  </si>
  <si>
    <t>VElFU19MRVZFTF8yLi4xNC8wNi8yMDI2Li4uVVNELkgBAAAA6XECAAIAAAAEMzkzOABaStXc/sneCFpK1dz+yd4IN0NJUS5OWVNFOkJBSC5JUV9MSUFCSUxJVElFU19MRVZFTF8zLi4xNC8wNi8yMDI2Li4uVVNELkgBAAAA6XECAAMAAAAAAFpK1dz+yd4IWkrV3P7J3ghJQ0lRLk5ZU0U6QkFILklRX0xJQUJJTElUSUVTX05FVFRJTkdfT1RIRVJfQURKVVNUTUVOVFMuLjE0LzA2LzIwMjYuLi5VU0QuSAEAAADpcQIAAwAAAAAAWkrV3P7J3ghaStXc/sneCDpDSVEuTllTRTpCQUguSVFfTElBQklMSVRJRVNfRkFJUl9WQUxVRS4uMTQvMDYvMjAyNi4uLlVTRC5IAQAAAOlxAgACAAAABDM5NzgAWkrV3P7J3ghaStXc/sneCENDSVEuTllTRTpCQUguSVFfRkFJUl9WQUxVRV9DSEFOR0VfSU5DTF9FQVJOSU5HUy4uMTQvMDYvMjAyNi4uLlVTRC5IAQAAAOlxAgADAAAAAABaStXc/sneCFpK1dz+yd4IOUNJUS5OWVNFOkJBSC5JUV9GSU5fRElWX0xUX0RFQlRfVE9UQUwuLjE0LzA2LzIwMjYuLi5VU0QuSAEAAADpcQIAAwAAAAAAWkrV3P7J3ghaStXc/sneCDlDSVEuTllTRTpCQUguSVFfRklOX0RJVl9TVF9ERUJUX1RPVEFMLi4xNC8wNi8yMDI2Li4uVVNELkgBAAAA6XECAAMAAAAAAFpK1dz+yd4IWkrV3P7J3gg2Q0lRLk5ZU0U6QkFILklRX0ZJTl9ESVZfREVCVF9UT1RBTC4uMTQvMDYvMjAyNi4uLlVTRC5IAQAA</t>
  </si>
  <si>
    <t>AOlxAgADAAAAAABaStXc/sneCFpK1dz+yd4INkNJUS5OWVNFOkJBSC5JUV9GSU5fRElWX0NBU0hfRVFVSVYuLjE0LzA2LzIwMjYuLi5VU0QuSAEAAADpcQIAAwAAAAAAWkrV3P7J3ghaStXc/sneCDVDSVEuTllTRTpCQUguSVFfRklOX0RJVl9TVF9JTlZFU1QuLjE0LzA2LzIwMjYuLi5VU0QuSAEAAADpcQIAAwAAAAAAWkrV3P7J3ghaStXc/sneCDZDSVEuTllTRTpCQUguSVFfREVCVF9FUVVJVl9ORVRfUEJPLi4xNC8wNi8yMDI2Li4uVVNELkgBAAAA6XECAAMAAAAAAFpK1dz+yd4IWkrV3P7J3gg5Q0lRLk5ZU0U6QkFILklRX0RFQlRfRVFVSVZfT1BFUl9MRUFTRS4uMTQvMDYvMjAyNi4uLlVTRC5IAQAAAOlxAgACAAAAAzYwMAEIAAAABQAAAAExAQAAAAstMTg4NzcwNDM0MQMAAAADMTYwAgAAAAUyMTY3MQQAAAABMAcAAAAJNi8xNC8yMDI2CAAAAAkzLzMxLzIwMjYJAAAAATBaStXc/sneCFpK1dz+yd4IP0NJUS5OWVNFOkJBSC5JUV9SRVNUUklDVEVEX0NBU0hfTk9OX0NVUlJFTlQuLjE0LzA2LzIwMjYuLi5VU0QuSAEAAADpcQIAAwAAAAAAWkrV3P7J3ghaStXc/sneCDlDSVEuTllTRTpCQUguSVFfUkVTVFJJQ1RFRF9DQVNIX1RPVEFMLi4xNC8wNi8yMDI2Li4uVVNELkgBAAAA6XECAAMAAAAAAFpK1dz+yd4IWkrV3P7J3gg3Q0lRLk5ZU0U6QkFILklRX1RPVEFMX0RFQlRfRVhDTF9GSU4uLjE0LzA2</t>
  </si>
  <si>
    <t>LzIwMjYuLi5VU0QuSAEAAADpcQIAAgAAAAQ0MTIyAQgAAAAFAAAAATEBAAAACy0xODg3NzA0MzQxAwAAAAMxNjACAAAABTIxODYwBAAAAAEwBwAAAAk2LzE0LzIwMjYIAAAACTMvMzEvMjAyNgkAAAABMFpK1dz+yd4IWkrV3P7J3ggxQ0lRLk5ZU0U6QkFILklRX09SREVSX0JBQ0tMT0cuLjE0LzA2LzIwMjYuLi5VU0QuSAEAAADpcQIAAgAAAAUzODE4NwEIAAAABQAAAAExAQAAAAstMTg4NzcwNDM0MQMAAAADMTYwAgAAAAQzMTI1BAAAAAEwBwAAAAk2LzE0LzIwMjYIAAAACTMvMzEvMjAyNgkAAAABMFpK1dz+yd4IWkrV3P7J3gg6Q0lRLk5ZU0U6QkFILklRX0NPTlRJTkdFTlRfTElBQklMSVRJRVMuLjE0LzA2LzIwMjYuLi5VU0QuSAEAAADpcQIAAgAAAAEzAQgAAAAFAAAAATEBAAAACy0xODg3NzA0MzQxAwAAAAMxNjACAAAABTI0NjcxBAAAAAEwBwAAAAk2LzE0LzIwMjYIAAAACTMvMzEvMjAyNgkAAAABMFpK1dz+yd4IWkrV3P7J3gg4Q0lRLk5ZU0U6QkFILklRX1dBUlJBTlRZX0xJQUJJTElUSUVTLi4xNC8wNi8yMDI2Li4uVVNELkgBAAAA6XECAAMAAAAAAFpK1dz+yd4IWkrV3P7J3gg3Q0lRLk5ZU0U6QkFILklRX1NUX0RFQlRfREVSSVZBVElWRVMuLjE0LzA2LzIwMjYuLi5VU0QuSAEAAADpcQIAAwAAAAAAWkrV3P7J3ghaStXc/sneCEFDSVEuTllTRTpCQUguSVFfQ1VSUkVOVF9QT1JUX0RFQlRf</t>
  </si>
  <si>
    <t>REVSSVZBVElWRVMuLjE0LzA2LzIwMjYuLi5VU0QuSAEAAADpcQIAAwAAAAAAWkrV3P7J3ghaStXc/sneCDdDSVEuTllTRTpCQUguSVFfTFRfREVCVF9ERVJJVkFUSVZFUy4uMTQvMDYvMjAyNi4uLlVTRC5IAQAAAOlxAgADAAAAAABaStXc/sneCFpK1dz+yd4IO0NJUS5OWVNFOkJBSC5JUV9ERVJJVkFUSVZFX0xJQUJfQ1VSUkVOVC4uMTQvMDYvMjAyNi4uLlVTRC5IAQAAAOlxAgADAAAAAABaStXc/sneCFpK1dz+yd4IP0NJUS5OWVNFOkJBSC5JUV9ERVJJVkFUSVZFX0xJQUJfTk9OX0NVUlJFTlQuLjE0LzA2LzIwMjYuLi5VU0QuSAEAAADpcQIAAwAAAAAAWkrV3P7J3ghaStXc/sneCD1DSVEuTllTRTpCQUguSVFfREVSSVZBVElWRV9UUkFESU5HX0FTU0VUUy4uMTQvMDYvMjAyNi4uLlVTRC5IAQAAAOlxAgADAAAAAABaStXc/sneCFpK1dz+yd4IPUNJUS5OWVNFOkJBSC5JUV9ERVJJVkFUSVZFX0FTU0VUU19DVVJSRU5ULi4xNC8wNi8yMDI2Li4uVVNELkgBAAAA6XECAAMAAAAAAFpK1dz+yd4IWkrV3P7J3gg4Q0lRLk5ZU0U6QkFILklRX0RFUklWQVRJVkVfQVNTRVRTX0xULi4xNC8wNi8yMDI2Li4uVVNELkgBAAAA6XECAAMAAAAAAFpK1dz+yd4IWkrV3P7J3gg2Q0lRLk5ZU0U6QkFILklRX0dST1NTX0lOVEFOX0FTU0VUUy4uMTQvMDYvMjAyNi4uLlVTRC5IAQAAAOlxAgACAAAAAzgwOQEIAAAABQAA</t>
  </si>
  <si>
    <t>AAExAQAAAAstMTg4NzcwNDM0MQMAAAADMTYwAgAAAAUyNDI5MwQAAAABMAcAAAAJNi8xNC8yMDI2CAAAAAkzLzMxLzIwMjYJAAAAATBaStXc/sneCFpK1dz+yd4IPENJUS5OWVNFOkJBSC5JUV9BQ0NVTV9BTU9SVF9JTlRBTl9BU1NFVFMuLjE0LzA2LzIwMjYuLi5VU0QuSAEAAADpcQIAAgAAAAQtMzY1AQgAAAAFAAAAATEBAAAACy0xODg3NzA0MzQxAwAAAAMxNjACAAAABTI0MzMxBAAAAAEwBwAAAAk2LzE0LzIwMjYIAAAACTMvMzEvMjAyNgkAAAABMFpK1dz+yd4IWkrV3P7J3ggsQ0lRLk5ZU0U6QkFILklRX0dST1NTX0dXLi4xNC8wNi8yMDI2Li4uVVNELkgBAAAA6XECAAMAAAAAAFpK1dz+yd4IWkrV3P7J3ggyQ0lRLk5ZU0U6QkFILklRX0FDQ1VNX0FNT1JUX0dXLi4xNC8wNi8yMDI2Li4uVVNELkgBAAAA6XECAAMAAAAAAFpK1dz+yd4IWkrV3P7J3gg2Q0lRLk5ZU0U6QkFILklRX0xUX01BUktfU0VDVVJJVElFUy4uMTQvMDYvMjAyNi4uLlVTRC5IAQAAAOlxAgADAAAAAABaStXc/sneCFpK1dz+yd4IOUNJUS5OWVNFOkJBSC5JUV9BRFZBTkNFU19GT1JfU1VQUExJRVMuLjE0LzA2LzIwMjYuLi5VU0QuSAEAAADpcQIAAwAAAAAAWkrV3P7J3ghaStXc/sneCDBDSVEuTllTRTpCQUguSVFfR1dfSU5UQU5fTkVULi4xNC8wNi8yMDI2Li4uVVNELkgBAAAA6XECAAMAAAAAAFpK1dz+yd4IWkrV3P7J3ggq</t>
  </si>
  <si>
    <t>Q0lRLk5ZU0U6QkFILklRX0dXX05FVC4uMTQvMDYvMjAyNi4uLlVTRC5IAQAAAOlxAgACAAAABDIzOTkBCAAAAAUAAAABMQEAAAALLTE4ODc3MDQzNDEDAAAAAzE2MAIAAAAFNDg5NjAEAAAAATAHAAAACTYvMTQvMjAyNggAAAAJMy8zMS8yMDI2CQAAAAEwWkrV3P7J3ghaStXc/sneCC1DSVEuTllTRTpCQUguSVFfSU5UQU5fTkVULi4xNC8wNi8yMDI2Li4uVVNELkgBAAAA6XECAAIAAAADNTA5AQgAAAAFAAAAATEBAAAACy0xODg3NzA0MzQxAwAAAAMxNjACAAAABTQ4OTYyBAAAAAEwBwAAAAk2LzE0LzIwMjYIAAAACTMvMzEvMjAyNgkAAAABMFpK1dz+yd4IWkrV3P7J3ggzQ0lRLk5ZU0U6QkFILklRX0lOVEVSQ09NUEFOWV9DQS4uMTQvMDYvMjAyNi4uLlVTRC5IAQAAAOlxAgADAAAAAABaStXc/sneCFpK1dz+yd4IN0NJUS5OWVNFOkJBSC5JUV9JTlRFUkNPTVBBTllfTk9OX0NBLi4xNC8wNi8yMDI2Li4uVVNELkgBAAAA6XECAAMAAAAAAFpK1dz+yd4IWkrV3P7J3ggzQ0lRLk5ZU0U6QkFILklRX0lOVEVSQ09NUEFOWV9DTC4uMTQvMDYvMjAyNi4uLlVTRC5IAQAAAOlxAgADAAAAAABaStXc/sneCFpK1dz+yd4IN0NJUS5OWVNFOkJBSC5JUV9JTlRFUkNPTVBBTllfTk9OX0NMLi4xNC8wNi8yMDI2Li4uVVNELkgBAAAA6XECAAMAAAAAAFpK1dz+yd4IWkrV3P7J3gg2Q0lRLk5ZU0U6QkFILklRX1RPVEFM</t>
  </si>
  <si>
    <t>X1JFVl9FTVBMT1lFRS4uMTQvMDYvMjAyNi4uLlVTRC5IAQAAAOlxAgACAAAABzM1Ni4wOTUBCAAAAAUAAAABMQEAAAALLTE4ODc3MDQzNDEDAAAAAzE2MAIAAAAENDEyMwQAAAABMAcAAAAJNi8xNC8yMDI2CAAAAAkzLzMxLzIwMjYJAAAAATBaStXc/sneCFpK1dz+yd4IJkNJUS5OWVNFOkJBSC5JUV9QRVJJT0REQVRFLi4xNC8wNi8yMDI2AQAAAOlxAgAFAAAACjMxLzAzLzIwMjYAWkrV3P7J3ghaStXc/sneCChDSVEuTllTRTpCQUguSVFfQkFTSUNfV0VJR0hULi4xNC8wNi8yMDI2AQAAAOlxAgACAAAACjEyMi4wNzE2NjkAWkrV3P7J3ghaStXc/sneCChDSVEuTllTRTpCQUguSVFfRElMVVRfV0VJR0hULi4xNC8wNi8yMDI2AQAAAOlxAgACAAAACjEyMi4zNzUxNTEAWkrV3P7J3ghaStXc/sneCDtDSVEuTllTRTpCQUguSVFfRElTVFJJQlVUQUJMRV9DQVNIX1NIQVJFU19CQVNJQy4uMTQvMDYvMjAyNgEAAADpcQIAAwAAAAAAWkrV3P7J3ghaStXc/sneCD1DSVEuTllTRTpCQUguSVFfRElTVFJJQlVUQUJMRV9DQVNIX1NIQVJFU19ESUxVVEVELi4xNC8wNi8yMDI2AQAAAOlxAgADAAAAAABaStXc/sneCFpK1dz+yd4ILENJUS5OWVNFOkJBSC5JUV9EUl9SQVRJT19QUklNQVJZLi4xNC8wNi8yMDI2AQAAAOlxAgADAAAAAABaStXc/sneCFpK1dz+yd4IKUNJUS5OWVNFOkJBSC5JUV9GSUxJTkdEQVRFX0lT</t>
  </si>
  <si>
    <t>Li4xNC8wNi8yMDI2AQAAAOlxAgAFAAAACjIyLzA1LzIwMjYAWkrV3P7J3ghaStXc/sneCCtDSVEuTllTRTpCQUguSVFfUEVSSU9ETEVOR1RIX0lTLi4xNC8wNi8yMDI2AQAAAOlxAgABAAAAAjEyAFpK1dz+yd4IWkrV3P7J3ggmQ0lRLk5ZU0U6QkFILklRX1NBTUVfU1RPUkUuLjE0LzA2LzIwMjYBAAAA6XECAAMAAAAAAFpK1dz+yd4IWkrV3P7J3gg1Q0lRLk5ZU0U6QkFILklRX0RJU1RSSUJVVEFCTEVfQ0FTSF9QQVlPVVQuLjE0LzA2LzIwMjYBAAAA6XECAAMAAAAAAFpK1dz+yd4IWkrV3P7J3ggrQ0lRLk5ZU0U6QkFILklRX0VGRkVDVF9UQVhfUkFURS4uMTQvMDYvMjAyNgEAAADpcQIAAgAAAAYxLjI3NjEBCAAAAAUAAAABMQEAAAALLTE4ODc3MDQzNDEDAAAAAzE2MAIAAAAENDM3NgQAAAABMAcAAAAJNi8xNC8yMDI2CAAAAAkzLzMxLzIwMjYJAAAAATBaStXc/sneCFpK1dz+yd4IKENJUS5OWVNFOkJBSC5JUV9QQVlPVVRfUkFUSU8uLjE0LzA2LzIwMjYBAAAA6XECAAIAAAAHMzIuNDMyNAEIAAAABQAAAAExAQAAAAstMTg4NzcwNDM0MQMAAAADMTYwAgAAAAQ0Mzc3BAAAAAEwBwAAAAk2LzE0LzIwMjYIAAAACTMvMzEvMjAyNgkAAAABMFpK1dz+yd4IWkrV3P7J3ggrQ0lRLk5ZU0U6QkFILklRX0ZJTElOR19DVVJSRU5DWS4uMTQvMDYvMjAyNgEAAADpcQIAAwAAAANVU0QAWkrV3P7J3ghaStXc/sne</t>
  </si>
  <si>
    <t>CCpDSVEuTllTRTpCQUguSVFfUkVTVEFURU1FTlRfSVMuLjE0LzA2LzIwMjYBAAAA6XECAAMAAAABTwBaStXc/sneCFpK1dz+yd4IKENJUS5OWVNFOkJBSC5JUV9DQUxDX1RZUEVfSVMuLjE0LzA2LzIwMjYBAAAA6XECAAMAAAADUkVQAFpK1dz+yd4IWkrV3P7J3ggjQ0lRLk5ZU0U6QkFILklRX0dBQVBfSVMuLjE0LzA2LzIwMjYBAAAA6XECAAMAAAAHVVMgR0FBUABaStXc/sneCFpK1dz+yd4IK0NJUS5OWVNFOkJBSC5JUV9QRVJJT0RMRU5HVEhfQ0YuLjE0LzA2LzIwMjYBAAAA6XECAAEAAAACMTIAWkrV3P7J3ghaStXc/sneCCpDSVEuTllTRTpCQUguSVFfUkVTVEFURU1FTlRfQ0YuLjE0LzA2LzIwMjYBAAAA6XECAAMAAAABTwBaStXc/sneCFpK1dz+yd4IKENJUS5OWVNFOkJBSC5JUV9DQUxDX1RZUEVfQ0YuLjE0LzA2LzIwMjYBAAAA6XECAAMAAAADUkVQAFpK1dz+yd4IWkrV3P7J3ggjQ0lRLk5ZU0U6QkFILklRX0dBQVBfQ0YuLjE0LzA2LzIwMjYBAAAA6XECAAMAAAAHVVMgR0FBUABaStXc/sneCFpK1dz+yd4IOUNJUS5OWVNFOkJBSC5JUV9UT1RBTF9PVVRTVEFORElOR19GSUxJTkdfREFURS4uMTQvMDYvMjAyNgEAAADpcQIAAgAAAAkxMTkuNzQ2MTMBBAAAAAUAAAABNQEAAAALLTE4ODc3MDQzNDECAAAABTI0MTUzBgAAAAEwWkrV3P7J3ghaStXc/sneCDVDSVEuTllTRTpCQUguSVFfVE9UQUxf</t>
  </si>
  <si>
    <t>T1VUU1RBTkRJTkdfQlNfREFURS4uMTQvMDYvMjAyNgEAAADpcQIAAgAAAAkxMjAuMzQxMzIBBAAAAAUAAAABNQEAAAALLTE4ODc3MDQzNDECAAAABTI0MTUyBgAAAAEwWkrV3P7J3ghaStXc/sneCCZDSVEuTllTRTpCQUguSVFfSU5WX01FVEhPRC4uMTQvMDYvMjAyNgEAAADpcQIAAwAAAAJOQQBaStXc/sneCFpK1dz+yd4IJUNJUS5OWVNFOkJBSC5JUV9GVUxMX1RJTUUuLjE0LzA2LzIwMjYBAAAA6XECAAIAAAAFMzE1MDAAWkrV3P7J3ghaStXc/sneCCVDSVEuTllTRTpCQUguSVFfUEFSVF9USU1FLi4xNC8wNi8yMDI2AQAAAOlxAgADAAAAAABaStXc/sneCFpK1dz+yd4IK0NJUS5OWVNFOkJBSC5JUV9UT1RBTF9FTVBMT1lFRVMuLjE0LzA2LzIwMjYBAAAA6XECAAIAAAAFMzE1MDAAWkrV3P7J3ghaStXc/sneCDtDSVEuTllTRTpCQUguSVFfRU1QTE9ZRUVTX1VOREVSX1VOSU9OX0NPTlRSQUNUUy4uMTQvMDYvMjAyNgEAAADpcQIAAwAAAAAAWkrV3P7J3ghaStXc/sneCClDSVEuTllTRTpCQUguSVFfQVZHX0VNUExPWUVFUy4uMTQvMDYvMjAyNgEAAADpcQIAAwAAAAAAWkrV3P7J3ghaStXc/sneCC5DSVEuTllTRTpCQUguSVFfQVZHX1RFTVBfRU1QTE9ZRUVTLi4xNC8wNi8yMDI2AQAAAOlxAgADAAAAAABaStXc/sneCFpK1dz+yd4ILUNJUS5OWVNFOkJBSC5JUV9OVU1CRVJfQURSSE9MREVSUy4uMTQv</t>
  </si>
  <si>
    <t>MDYvMjAyNgEAAADpcQIAAwAAAAAAWkrV3P7J3ghaStXc/sneCCpDSVEuTllTRTpCQUguSVFfQ09TVF9CT1JST1dJTkcuLjE0LzA2LzIwMjYBAAAA6XECAAIAAAAGNC40MTE5AQgAAAAFAAAAATEBAAAACy0xODg3NzA0MzQxAwAAAAMxNjACAAAABTIxNjgxBAAAAAEwBwAAAAk2LzE0LzIwMjYIAAAACTMvMzEvMjAyNgkAAAABMFpK1dz+yd4IWkrV3P7J3ggqQ0lRLk5ZU0U6QkFILklRX1JFU1RBVEVNRU5UX0JTLi4xNC8wNi8yMDI2AQAAAOlxAgADAAAAAU8AWkrV3P7J3ghaStXc/sneCChDSVEuTllTRTpCQUguSVFfQ0FMQ19UWVBFX0JTLi4xNC8wNi8yMDI2AQAAAOlxAgADAAAAA1JFUABaStXc/sneCFpK1dz+yd4II0NJUS5OWVNFOkJBSC5JUV9HQUFQX0JTLi4xNC8wNi8yMDI2AQAAAOlxAgADAAAAB1VTIEdBQVAAWkrV3P7J3ghaStXc/sneCClDSVEuTllTRTpCQUguSVFfUkVUVVJOX0FTU0VUUy4uMTQvMDYvMjAyNgEAAADpcQIAAgAAAAY5LjQ4NTQBCAAAAAUAAAABMQEAAAALLTE4ODc3MDQzNDEDAAAAAzE2MAIAAAAENDE3OAQAAAABMAcAAAAJNi8xNC8yMDI2CAAAAAkzLzMxLzIwMjYJAAAAATBaStXc/sneCFpK1dz+yd4IKkNJUS5OWVNFOkJBSC5JUV9SRVRVUk5fQ0FQSVRBTC4uMTQvMDYvMjAyNgEAAADpcQIAAgAAAAcxMy4wOTkzAQgAAAAFAAAAATEBAAAACy0xODg3NzA0MzQxAwAAAAMxNjAC</t>
  </si>
  <si>
    <t>AAAABDQzNjMEAAAAATAHAAAACTYvMTQvMjAyNggAAAAJMy8zMS8yMDI2CQAAAAEwWkrV3P7J3ghaStXc/sneCClDSVEuTllTRTpCQUguSVFfUkVUVVJOX0VRVUlUWS4uMTQvMDYvMjAyNgEAAADpcQIAAgAAAAU4MC43NAEIAAAABQAAAAExAQAAAAstMTg4NzcwNDM0MQMAAAADMTYwAgAAAAQ0MTI4BAAAAAEwBwAAAAk2LzE0LzIwMjYIAAAACTMvMzEvMjAyNgkAAAABMFpK1dz+yd4IWkrV3P7J3ggwQ0lRLk5ZU0U6QkFILklRX1JFVFVSTl9DT01NT05fRVFVSVRZLi4xNC8wNi8yMDI2AQAAAOlxAgACAAAABzgwLjE3MDcBCAAAAAUAAAABMQEAAAALLTE4ODc3MDQzNDEDAAAAAzE2MAIAAAAFMzMzMjAEAAAAATAHAAAACTYvMTQvMjAyNggAAAAJMy8zMS8yMDI2CQAAAAEwWkrV3P7J3ghaStXc/sneCChDSVEuTllTRTpCQUguSVFfR1JPU1NfTUFSR0lOLi4xNC8wNi8yMDI2AQAAAOlxAgACAAAABzIyLjM1ODkBCAAAAAUAAAABMQEAAAALLTE4ODc3MDQzNDEDAAAAAzE2MAIAAAAENDA3NAQAAAABMAcAAAAJNi8xNC8yMDI2CAAAAAkzLzMxLzIwMjYJAAAAATBaStXc/sneCFpK1dz+yd4IKUNJUS5OWVNFOkJBSC5JUV9FQklUREFfTUFSR0lOLi4xNC8wNi8yMDI2AQAAAOlxAgACAAAABzExLjIxNTEBCAAAAAUAAAABMQEAAAALLTE4ODc3MDQzNDEDAAAAAzE2MAIAAAAENDA0NwQAAAABMAcAAAAJNi8xNC8yMDI2</t>
  </si>
  <si>
    <t>CAAAAAkzLzMxLzIwMjYJAAAAATBaStXc/sneCFpK1dz+yd4IJ0NJUS5OWVNFOkJBSC5JUV9FQklUX01BUkdJTi4uMTQvMDYvMjAyNgEAAADpcQIAAgAAAAY5Ljc2MTkBCAAAAAUAAAABMQEAAAALLTE4ODc3MDQzNDEDAAAAAzE2MAIAAAAENDA1MwQAAAABMAcAAAAJNi8xNC8yMDI2CAAAAAkzLzMxLzIwMjYJAAAAATBaStXc/sneCFpK1dz+yd4IJUNJUS5OWVNFOkJBSC5JUV9OSV9NQVJHSU4uLjE0LzA2LzIwMjYBAAAA6XECAAIAAAAGNy41ODY2AQgAAAAFAAAAATEBAAAACy0xODg3NzA0MzQxAwAAAAMxNjACAAAABDQwOTQEAAAAATAHAAAACTYvMTQvMjAyNggAAAAJMy8zMS8yMDI2CQAAAAEwWkrV3P7J3ghaStXc/sneCClDSVEuTllTRTpCQUguSVFfQ0FQRVhfUENUX1JFVi4uMTQvMDYvMjAyNgEAAADpcQIAAgAAAAYwLjgwMjMBCAAAAAUAAAABMQEAAAALLTE4ODc3MDQzNDEDAAAAAzE2MAIAAAAFMzUzODAEAAAAATAHAAAACTYvMTQvMjAyNggAAAAJMy8zMS8yMDI2CQAAAAEwWkrV3P7J3ghaStXc/sneCCdDSVEuTllTRTpCQUguSVFfQVNTRVRfVFVSTlMuLjE0LzA2LzIwMjYBAAAA6XECAAIAAAAIMS41NTQ2NzcBCAAAAAUAAAABMQEAAAALLTE4ODc3MDQzNDEDAAAAAzE2MAIAAAAENDE3NwQAAAABMAcAAAAJNi8xNC8yMDI2CAAAAAkzLzMxLzIwMjYJAAAAATBaStXc/sneCFpK1dz+yd4ILUNJUS5O</t>
  </si>
  <si>
    <t>WVNFOkJBSC5JUV9GSVhFRF9BU1NFVF9UVVJOUy4uMTQvMDYvMjAyNgEAAADpcQIAAgAAAAkzMy4zMzQzMjMBCAAAAAUAAAABMQEAAAALLTE4ODc3MDQzNDEDAAAAAzE2MAIAAAAENDA2NgQAAAABMAcAAAAJNi8xNC8yMDI2CAAAAAkzLzMxLzIwMjYJAAAAATBaStXc/sneCFpK1dz+yd4IJENJUS5OWVNFOkJBSC5JUV9BUl9UVVJOUy4uMTQvMDYvMjAyNgEAAADpcQIAAgAAAAc1LjE3NjI4AQgAAAAFAAAAATEBAAAACy0xODg3NzA0MzQxAwAAAAMxNjACAAAABDQwMDEEAAAAATAHAAAACTYvMTQvMjAyNggAAAAJMy8zMS8yMDI2CQAAAAEwWkrV3P7J3ghaStXc/sneCCtDSVEuTllTRTpCQUguSVFfSU5WRU5UT1JZX1RVUk5TLi4xNC8wNi8yMDI2AQAAAOlxAgADAAAAAABaStXc/sneCFpK1dz+yd4IKUNJUS5OWVNFOkJBSC5JUV9DVVJSRU5UX1JBVElPLi4xNC8wNi8yMDI2AQAAAOlxAgACAAAACDEuNzgwNTE3AQgAAAAFAAAAATEBAAAACy0xODg3NzA0MzQxAwAAAAMxNjACAAAABDQwMzAEAAAAATAHAAAACTYvMTQvMjAyNggAAAAJMy8zMS8yMDI2CQAAAAEwWkrV3P7J3ghaStXc/sneCCdDSVEuTllTRTpCQUguSVFfUVVJQ0tfUkFUSU8uLjE0LzA2LzIwMjYBAAAA6XECAAIAAAAIMS42NzgyOTIBCAAAAAUAAAABMQEAAAALLTE4ODc3MDQzNDEDAAAAAzE2MAIAAAAENDEyMQQAAAABMAcAAAAJNi8xNC8yMDI2</t>
  </si>
  <si>
    <t>CAAAAAkzLzMxLzIwMjYJAAAAATBaStXc/sneCFpK1dz+yd4ILENJUS5OWVNFOkJBSC5JUV9DRk9fQ1VSUkVOVF9MSUFCLi4xNC8wNi8yMDI2AQAAAOlxAgACAAAACDAuNjI1OTc3AQgAAAAFAAAAATEBAAAACy0xODg3NzA0MzQxAwAAAAMxNjACAAAABDQxODUEAAAAATAHAAAACTYvMTQvMjAyNggAAAAJMy8zMS8yMDI2CQAAAAEwWkrV3P7J3ghaStXc/sneCCpDSVEuTllTRTpCQUguSVFfREFZU19TQUxFU19PVVQuLjE0LzA2LzIwMjYBAAAA6XECAAIAAAAINzAuNTEzNjIBCAAAAAUAAAABMQEAAAALLTE4ODc3MDQzNDEDAAAAAzE2MAIAAAAENDA0MgQAAAABMAcAAAAJNi8xNC8yMDI2CAAAAAkzLzMxLzIwMjYJAAAAATBaStXc/sneCFpK1dz+yd4ILkNJUS5OWVNFOkJBSC5JUV9EQVlTX0lOVkVOVE9SWV9PVVQuLjE0LzA2LzIwMjYBAAAA6XECAAMAAAAAAFpK1dz+yd4IWkrV3P7J3ggsQ0lRLk5ZU0U6QkFILklRX0RBWVNfUEFZQUJMRV9PVVQuLjE0LzA2LzIwMjYBAAAA6XECAAIAAAAJMjYuOTY5NDg1AQgAAAAFAAAAATEBAAAACy0xODg3NzA0MzQxAwAAAAMxNjACAAAABDQxODMEAAAAATAHAAAACTYvMTQvMjAyNggAAAAJMy8zMS8yMDI2CQAAAAEwWkrV3P7J3ghaStXc/sneCCtDSVEuTllTRTpCQUguSVFfQ0FTSF9DT05WRVJTSU9OLi4xNC8wNi8yMDI2AQAAAOlxAgADAAAAAABaStXc/sneCFpK1dz+</t>
  </si>
  <si>
    <t>yd4ILUNJUS5OWVNFOkJBSC5JUV9UT1RBTF9ERUJUX0VRVUlUWS4uMTQvMDYvMjAyNgEAAADpcQIAAgAAAAgzNzMuMDMxNgEIAAAABQAAAAExAQAAAAstMTg4NzcwNDM0MQMAAAADMTYwAgAAAAQ0MDM0BAAAAAEwBwAAAAk2LzE0LzIwMjYIAAAACTMvMzEvMjAyNgkAAAABMFpK1dz+yd4IWkrV3P7J3gguQ0lRLk5ZU0U6QkFILklRX1RPVEFMX0RFQlRfQ0FQSVRBTC4uMTQvMDYvMjAyNgEAAADpcQIAAgAAAAc3OC44NTk3AQgAAAAFAAAAATEBAAAACy0xODg3NzA0MzQxAwAAAAMxNjACAAAABDQxODYEAAAAATAHAAAACTYvMTQvMjAyNggAAAAJMy8zMS8yMDI2CQAAAAEwWkrV3P7J3ghaStXc/sneCCpDSVEuTllTRTpCQUguSVFfTFRfREVCVF9FUVVJVFkuLjE0LzA2LzIwMjYBAAAA6XECAAIAAAAIMzY3LjQyMDgBCAAAAAUAAAABMQEAAAALLTE4ODc3MDQzNDEDAAAAAzE2MAIAAAAENDA4NQQAAAABMAcAAAAJNi8xNC8yMDI2CAAAAAkzLzMxLzIwMjYJAAAAATBaStXc/sneCFpK1dz+yd4IK0NJUS5OWVNFOkJBSC5JUV9MVF9ERUJUX0NBUElUQUwuLjE0LzA2LzIwMjYBAAAA6XECAAIAAAAHNzcuNjczNgEIAAAABQAAAAExAQAAAAstMTg4NzcwNDM0MQMAAAADMTYwAgAAAAQ0MTg3BAAAAAEwBwAAAAk2LzE0LzIwMjYIAAAACTMvMzEvMjAyNgkAAAABMFpK1dz+yd4IWkrV3P7J3ggzQ0lRLk5ZU0U6QkFILklR</t>
  </si>
  <si>
    <t>X1RPVEFMX0xJQUJfVE9UQUxfQVNTRVRTLi4xNC8wNi8yMDI2AQAAAOlxAgACAAAABzg0LjQ3NTkBCAAAAAUAAAABMQEAAAALLTE4ODc3MDQzNDEDAAAAAzE2MAIAAAAENDE4OAQAAAABMAcAAAAJNi8xNC8yMDI2CAAAAAkzLzMxLzIwMjYJAAAAATBaStXc/sneCFpK1dz+yd4IJENJUS5OWVNFOkJBSC5JUV9FQklUX0lOVC4uMTQvMDYvMjAyNgEAAADpcQIAAgAAAAg1Ljk1MTA4NgEIAAAABQAAAAExAQAAAAstMTg4NzcwNDM0MQMAAAADMTYwAgAAAAQ0MTg5BAAAAAEwBwAAAAk2LzE0LzIwMjYIAAAACTMvMzEvMjAyNgkAAAABMFpK1dz+yd4IWkrV3P7J3ggmQ0lRLk5ZU0U6QkFILklRX0VCSVREQV9JTlQuLjE0LzA2LzIwMjYBAAAA6XECAAIAAAAINy4yNDQ1NjUBCAAAAAUAAAABMQEAAAALLTE4ODc3MDQzNDEDAAAAAzE2MAIAAAAENDE5MAQAAAABMAcAAAAJNi8xNC8yMDI2CAAAAAkzLzMxLzIwMjYJAAAAATBaStXc/sneCFpK1dz+yd4IN0NJUS5OWVNFOkJBSC5JUV9FQklUREFfRVhDTF9PUEVSX0xFQVNFU19JTlQuLjE0LzA2LzIwMjYBAAAA6XECAAIAAAAINi44MzY5NTYBCAAAAAUAAAABMQEAAAALLTE4ODc3MDQzNDEDAAAAAzE2MAIAAAAFNDkxNzMEAAAAATAHAAAACTYvMTQvMjAyNggAAAAJMy8zMS8yMDI2CQAAAAEwWkrV3P7J3ghaStXc/sneCCxDSVEuTllTRTpCQUguSVFfRUJJVERBX0NBUEVY</t>
  </si>
  <si>
    <t>X0lOVC4uMTQvMDYvMjAyNgEAAADpcQIAAgAAAAg2Ljc1NTQzNAEIAAAABQAAAAExAQAAAAstMTg4NzcwNDM0MQMAAAADMTYwAgAAAAQ0MTkxBAAAAAEwBwAAAAk2LzE0LzIwMjYIAAAACTMvMzEvMjAyNgkAAAABMFpK1dz+yd4IWkrV3P7J3gg=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</si>
</sst>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"/>
    <numFmt numFmtId="165" formatCode="0.0%"/>
    <numFmt numFmtId="166" formatCode="0.0\x"/>
    <numFmt numFmtId="167" formatCode="_(#,##0_);_(\(#,##0\);_(&quot; - &quot;??_);_(@_)"/>
    <numFmt numFmtId="168" formatCode="_(#,##0.0_);_(\(#,##0.0\);_(&quot; - &quot;??_);_(@_)"/>
    <numFmt numFmtId="169" formatCode="&quot;$&quot;#,##0.0_);\(&quot;$&quot;#,##0.0\)"/>
    <numFmt numFmtId="170" formatCode="#,##0.0_);\(#,##0.0\)"/>
    <numFmt numFmtId="171" formatCode="#,##0.000;\(#,##0.000\)"/>
    <numFmt numFmtId="172" formatCode="#,##0.0;\(#,##0.0\)"/>
    <numFmt numFmtId="173" formatCode="0.0;\(0.0\)"/>
    <numFmt numFmtId="174" formatCode="_(* #,##0.0_);_(* \(#,##0.0\);_(* &quot; - &quot;_);_(@_)"/>
  </numFmts>
  <fonts count="1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Protection="0">
      <alignment horizontal="left"/>
    </xf>
    <xf numFmtId="171" fontId="3" fillId="0" borderId="0" applyFill="0" applyBorder="0" applyProtection="0">
      <alignment horizontal="right" vertical="top"/>
    </xf>
    <xf numFmtId="14" fontId="3" fillId="0" borderId="0" applyFill="0" applyBorder="0" applyProtection="0">
      <alignment horizontal="left" vertical="top"/>
    </xf>
    <xf numFmtId="172" fontId="3" fillId="0" borderId="0" applyFill="0" applyBorder="0" applyProtection="0">
      <alignment horizontal="left" vertical="top" wrapText="1"/>
    </xf>
    <xf numFmtId="0" fontId="1" fillId="0" borderId="0"/>
    <xf numFmtId="0" fontId="10" fillId="0" borderId="0"/>
  </cellStyleXfs>
  <cellXfs count="70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70" fontId="6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left" indent="1"/>
    </xf>
    <xf numFmtId="170" fontId="7" fillId="0" borderId="3" xfId="0" applyNumberFormat="1" applyFont="1" applyBorder="1" applyAlignment="1">
      <alignment horizontal="right"/>
    </xf>
    <xf numFmtId="170" fontId="7" fillId="0" borderId="0" xfId="0" applyNumberFormat="1" applyFont="1" applyAlignment="1">
      <alignment horizontal="right"/>
    </xf>
    <xf numFmtId="170" fontId="6" fillId="0" borderId="1" xfId="0" applyNumberFormat="1" applyFont="1" applyBorder="1" applyAlignment="1">
      <alignment horizontal="right"/>
    </xf>
    <xf numFmtId="170" fontId="7" fillId="0" borderId="4" xfId="0" applyNumberFormat="1" applyFont="1" applyBorder="1" applyAlignment="1">
      <alignment horizontal="right"/>
    </xf>
    <xf numFmtId="170" fontId="7" fillId="0" borderId="5" xfId="0" applyNumberFormat="1" applyFont="1" applyBorder="1" applyAlignment="1">
      <alignment horizontal="right"/>
    </xf>
    <xf numFmtId="39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74" fontId="6" fillId="0" borderId="0" xfId="0" applyNumberFormat="1" applyFont="1" applyAlignment="1">
      <alignment horizontal="right"/>
    </xf>
    <xf numFmtId="168" fontId="4" fillId="0" borderId="0" xfId="0" applyNumberFormat="1" applyFont="1"/>
    <xf numFmtId="169" fontId="4" fillId="0" borderId="0" xfId="0" applyNumberFormat="1" applyFont="1"/>
    <xf numFmtId="37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4" fontId="7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4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5" fontId="5" fillId="0" borderId="0" xfId="1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73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70" fontId="9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2" fillId="0" borderId="0" xfId="0" applyNumberFormat="1" applyFont="1" applyAlignment="1">
      <alignment horizontal="center"/>
    </xf>
    <xf numFmtId="169" fontId="2" fillId="0" borderId="0" xfId="0" applyNumberFormat="1" applyFont="1"/>
    <xf numFmtId="39" fontId="2" fillId="0" borderId="0" xfId="0" applyNumberFormat="1" applyFont="1"/>
    <xf numFmtId="164" fontId="2" fillId="0" borderId="0" xfId="0" applyNumberFormat="1" applyFont="1"/>
    <xf numFmtId="170" fontId="2" fillId="0" borderId="0" xfId="0" applyNumberFormat="1" applyFont="1" applyAlignment="1">
      <alignment horizontal="right"/>
    </xf>
    <xf numFmtId="170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11" fillId="0" borderId="0" xfId="0" applyFont="1"/>
    <xf numFmtId="1" fontId="4" fillId="0" borderId="5" xfId="0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4" fontId="7" fillId="0" borderId="5" xfId="0" applyNumberFormat="1" applyFont="1" applyBorder="1" applyAlignment="1">
      <alignment horizontal="right"/>
    </xf>
    <xf numFmtId="39" fontId="7" fillId="0" borderId="5" xfId="0" applyNumberFormat="1" applyFont="1" applyBorder="1" applyAlignment="1">
      <alignment horizontal="right"/>
    </xf>
    <xf numFmtId="165" fontId="4" fillId="0" borderId="5" xfId="1" applyNumberFormat="1" applyFont="1" applyBorder="1" applyAlignment="1">
      <alignment horizontal="right"/>
    </xf>
    <xf numFmtId="170" fontId="4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73" fontId="4" fillId="0" borderId="5" xfId="0" applyNumberFormat="1" applyFont="1" applyBorder="1" applyAlignment="1">
      <alignment horizontal="right"/>
    </xf>
    <xf numFmtId="14" fontId="0" fillId="0" borderId="0" xfId="0" applyNumberFormat="1"/>
  </cellXfs>
  <cellStyles count="8">
    <cellStyle name="Normal" xfId="0" builtinId="0"/>
    <cellStyle name="Normal 2" xfId="7" xr:uid="{00000000-0005-0000-0000-000001000000}"/>
    <cellStyle name="Normal 4" xfId="6" xr:uid="{00000000-0005-0000-0000-000002000000}"/>
    <cellStyle name="Per cent" xfId="1" builtinId="5"/>
    <cellStyle name="Style 21" xfId="2" xr:uid="{00000000-0005-0000-0000-000006000000}"/>
    <cellStyle name="Style 22" xfId="3" xr:uid="{00000000-0005-0000-0000-000007000000}"/>
    <cellStyle name="Style 23" xfId="4" xr:uid="{00000000-0005-0000-0000-000008000000}"/>
    <cellStyle name="Style 24" xfId="5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E26D"/>
      <rgbColor rgb="000000FF"/>
      <rgbColor rgb="00009EA6"/>
      <rgbColor rgb="00DFB793"/>
      <rgbColor rgb="001E3086"/>
      <rgbColor rgb="00800000"/>
      <rgbColor rgb="00008000"/>
      <rgbColor rgb="00000080"/>
      <rgbColor rgb="00808000"/>
      <rgbColor rgb="00800080"/>
      <rgbColor rgb="00008080"/>
      <rgbColor rgb="00FFE26D"/>
      <rgbColor rgb="005A5A5A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1E1E1"/>
      <rgbColor rgb="000059C2"/>
      <rgbColor rgb="00A5BF88"/>
      <rgbColor rgb="00DCDCFF"/>
      <rgbColor rgb="00E41F1F"/>
      <rgbColor rgb="00FF0000"/>
      <rgbColor rgb="0073868B"/>
      <rgbColor rgb="00969696"/>
      <rgbColor rgb="003366FF"/>
      <rgbColor rgb="0033CCCC"/>
      <rgbColor rgb="0099CC00"/>
      <rgbColor rgb="00008C03"/>
      <rgbColor rgb="00FF9900"/>
      <rgbColor rgb="00FF6600"/>
      <rgbColor rgb="00666699"/>
      <rgbColor rgb="00DFDFDF"/>
      <rgbColor rgb="00003366"/>
      <rgbColor rgb="00339966"/>
      <rgbColor rgb="00003300"/>
      <rgbColor rgb="00333300"/>
      <rgbColor rgb="00993300"/>
      <rgbColor rgb="003264AF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Roaming/Microsoft/Excel/Portfolio%20Snapshot%20(version%201).xlsb" TargetMode="External"/><Relationship Id="rId2" Type="http://schemas.openxmlformats.org/officeDocument/2006/relationships/externalLinkPath" Target="file:///C:\Users\patri\AppData\Roaming\Microsoft\Excel\Portfolio%20Snapshot%20(version%201).xlsb" TargetMode="External"/><Relationship Id="rId1" Type="http://schemas.openxmlformats.org/officeDocument/2006/relationships/externalLinkPath" Target="/Users/patri/AppData/Roaming/Microsoft/Excel/Portfolio%20Snapshot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yjanam/Desktop/20.02%20Release%20-%20Copy/Key%20Stats/Key%20Stats%20-%20Standard%2020.2.xlsm" TargetMode="External"/><Relationship Id="rId1" Type="http://schemas.openxmlformats.org/officeDocument/2006/relationships/externalLinkPath" Target="/Users/yjanam/Desktop/20.02%20Release%20-%20Copy/Key%20Stats/Key%20Stats%20-%20Standard%2020.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rego/AppData/Local/Capital%20IQ/Office%20Plug-in/Templates/+Multi-Language/Financial%20Snapshot%20Tearsheet.xls" TargetMode="External"/><Relationship Id="rId1" Type="http://schemas.openxmlformats.org/officeDocument/2006/relationships/externalLinkPath" Target="/Users/crego/AppData/Local/Capital%20IQ/Office%20Plug-in/Templates/+Multi-Language/Financial%20Snapshot%20Tearsheet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Local/Capital%20IQ/Office%20Plug-in/Templates/Portfolio%20and%20Index/CIQ%20Alpha%20Models.xls" TargetMode="External"/><Relationship Id="rId2" Type="http://schemas.openxmlformats.org/officeDocument/2006/relationships/externalLinkPath" Target="file:///C:\Users\patri\AppData\Local\Capital%20IQ\Office%20Plug-in\Templates\Portfolio%20and%20Index\CIQ%20Alpha%20Models.xls" TargetMode="External"/><Relationship Id="rId1" Type="http://schemas.openxmlformats.org/officeDocument/2006/relationships/externalLinkPath" Target="/Users/patri/AppData/Local/Capital%20IQ/Office%20Plug-in/Templates/Portfolio%20and%20Index/CIQ%20Alpha%20Mod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Summary"/>
      <sheetName val="Portfolio"/>
      <sheetName val="Benchmark"/>
      <sheetName val="PortContrib"/>
      <sheetName val="BenchContrib"/>
      <sheetName val="Chart Data"/>
      <sheetName val="Data"/>
    </sheetNames>
    <sheetDataSet>
      <sheetData sheetId="0"/>
      <sheetData sheetId="1"/>
      <sheetData sheetId="2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3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ey Stats"/>
      <sheetName val="Income Statement"/>
      <sheetName val="Balance Sheet"/>
      <sheetName val="Cash Flow"/>
      <sheetName val="Multiples"/>
      <sheetName val="Capitalization"/>
      <sheetName val="Capital Structure Summary"/>
      <sheetName val="Capital Structure Details"/>
      <sheetName val="Ratios"/>
      <sheetName val="Supplemental"/>
      <sheetName val="Pension-OP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U6" t="str">
            <v>IQDCS921164068</v>
          </cell>
        </row>
        <row r="7">
          <cell r="U7" t="str">
            <v>IQDCS922008726</v>
          </cell>
        </row>
        <row r="8">
          <cell r="U8" t="str">
            <v>IQDCS921164065</v>
          </cell>
        </row>
        <row r="9">
          <cell r="U9" t="str">
            <v>IQDCS923200891</v>
          </cell>
        </row>
        <row r="10">
          <cell r="U10" t="str">
            <v>IQDCS922584855</v>
          </cell>
        </row>
        <row r="11">
          <cell r="U11" t="str">
            <v>IQDCS920779925</v>
          </cell>
        </row>
        <row r="12">
          <cell r="U12" t="str">
            <v>IQDCS922920408</v>
          </cell>
        </row>
        <row r="13">
          <cell r="U13" t="str">
            <v>IQDCS920779921</v>
          </cell>
        </row>
        <row r="14">
          <cell r="U14" t="str">
            <v>IQDCS920779609</v>
          </cell>
        </row>
        <row r="15">
          <cell r="U15" t="str">
            <v>IQDCS920779615</v>
          </cell>
        </row>
        <row r="16">
          <cell r="U16" t="str">
            <v>IQDCS920779926</v>
          </cell>
        </row>
        <row r="17">
          <cell r="U17" t="str">
            <v>IQDCS922921278</v>
          </cell>
        </row>
        <row r="18">
          <cell r="U18" t="str">
            <v>IQDCS920779614</v>
          </cell>
        </row>
        <row r="19">
          <cell r="U19" t="str">
            <v>IQDCS920779928</v>
          </cell>
        </row>
        <row r="20">
          <cell r="U20" t="str">
            <v>IQDCS922921284</v>
          </cell>
        </row>
        <row r="21">
          <cell r="U21" t="str">
            <v>IQDCS921345359</v>
          </cell>
        </row>
        <row r="22">
          <cell r="U22" t="str">
            <v>IQDCS922920407</v>
          </cell>
        </row>
        <row r="23">
          <cell r="U23" t="str">
            <v>IQDCS920779608</v>
          </cell>
        </row>
        <row r="24">
          <cell r="U24" t="str">
            <v>IQDCS922921285</v>
          </cell>
        </row>
        <row r="25">
          <cell r="U25" t="str">
            <v>IQDCS920779922</v>
          </cell>
        </row>
        <row r="26">
          <cell r="U26" t="str">
            <v>IQDCS922921279</v>
          </cell>
        </row>
        <row r="27">
          <cell r="U27" t="str">
            <v>IQDCS920779620</v>
          </cell>
        </row>
        <row r="28">
          <cell r="U28" t="str">
            <v>IQDCS919289665</v>
          </cell>
        </row>
        <row r="29">
          <cell r="U29" t="str">
            <v>IQDCS920779612</v>
          </cell>
        </row>
        <row r="30">
          <cell r="U30" t="str">
            <v>IQDCS922921287</v>
          </cell>
        </row>
        <row r="35">
          <cell r="U35" t="str">
            <v>IQDCS921164068</v>
          </cell>
        </row>
        <row r="36">
          <cell r="U36" t="str">
            <v>IQDCS922008726</v>
          </cell>
        </row>
        <row r="37">
          <cell r="U37" t="str">
            <v>IQDCS921164065</v>
          </cell>
        </row>
        <row r="38">
          <cell r="U38" t="str">
            <v>IQDCS922031102</v>
          </cell>
        </row>
        <row r="39">
          <cell r="U39" t="str">
            <v>IQDCS922373212</v>
          </cell>
        </row>
        <row r="40">
          <cell r="U40" t="str">
            <v>IQDCS921164072</v>
          </cell>
        </row>
        <row r="41">
          <cell r="U41" t="str">
            <v>IQDCS920779925</v>
          </cell>
        </row>
        <row r="42">
          <cell r="U42" t="str">
            <v>IQDCS920779921</v>
          </cell>
        </row>
        <row r="43">
          <cell r="U43" t="str">
            <v>IQDCS920779609</v>
          </cell>
        </row>
        <row r="44">
          <cell r="U44" t="str">
            <v>IQDCS920779615</v>
          </cell>
        </row>
        <row r="45">
          <cell r="U45" t="str">
            <v>IQDCS920779926</v>
          </cell>
        </row>
        <row r="46">
          <cell r="U46" t="str">
            <v>IQDCS920779614</v>
          </cell>
        </row>
        <row r="47">
          <cell r="U47" t="str">
            <v>IQDCS920779928</v>
          </cell>
        </row>
        <row r="48">
          <cell r="U48" t="str">
            <v>IQDCS920780032</v>
          </cell>
        </row>
        <row r="49">
          <cell r="U49" t="str">
            <v>IQDCS921345359</v>
          </cell>
        </row>
        <row r="50">
          <cell r="U50" t="str">
            <v>IQDCS920779608</v>
          </cell>
        </row>
        <row r="51">
          <cell r="U51" t="str">
            <v>IQDCS920779922</v>
          </cell>
        </row>
        <row r="52">
          <cell r="U52" t="str">
            <v>IQDCS920779620</v>
          </cell>
        </row>
        <row r="53">
          <cell r="U53" t="str">
            <v>IQDCS919289665</v>
          </cell>
        </row>
        <row r="54">
          <cell r="U54" t="str">
            <v>IQDCS920779612</v>
          </cell>
        </row>
        <row r="55">
          <cell r="U55" t="str">
            <v>IQDCS919289795</v>
          </cell>
        </row>
        <row r="56">
          <cell r="U56" t="str">
            <v>IQDCS920779918</v>
          </cell>
        </row>
        <row r="57">
          <cell r="U57" t="str">
            <v>IQDCS920779617</v>
          </cell>
        </row>
        <row r="58">
          <cell r="U58" t="str">
            <v>IQDCS920779919</v>
          </cell>
        </row>
        <row r="59">
          <cell r="U59" t="str">
            <v>IQDCS921164084</v>
          </cell>
        </row>
        <row r="64">
          <cell r="U64" t="str">
            <v>IQDCS921164068</v>
          </cell>
        </row>
        <row r="65">
          <cell r="U65" t="str">
            <v>IQDCS921164072</v>
          </cell>
        </row>
        <row r="66">
          <cell r="U66" t="str">
            <v>IQDCS920779925</v>
          </cell>
        </row>
        <row r="67">
          <cell r="U67" t="str">
            <v>IQDCS920779921</v>
          </cell>
        </row>
        <row r="68">
          <cell r="U68" t="str">
            <v>IQDCS920779609</v>
          </cell>
        </row>
        <row r="69">
          <cell r="U69" t="str">
            <v>IQDCS920779615</v>
          </cell>
        </row>
        <row r="70">
          <cell r="U70" t="str">
            <v>IQDCS920779926</v>
          </cell>
        </row>
        <row r="71">
          <cell r="U71" t="str">
            <v>IQDCS920779614</v>
          </cell>
        </row>
        <row r="72">
          <cell r="U72" t="str">
            <v>IQDCS920779928</v>
          </cell>
        </row>
        <row r="73">
          <cell r="U73" t="str">
            <v>IQDCS920780032</v>
          </cell>
        </row>
        <row r="74">
          <cell r="U74" t="str">
            <v>IQDCS920779608</v>
          </cell>
        </row>
        <row r="75">
          <cell r="U75" t="str">
            <v>IQDCS920779922</v>
          </cell>
        </row>
        <row r="76">
          <cell r="U76" t="str">
            <v>IQDCS920779620</v>
          </cell>
        </row>
        <row r="77">
          <cell r="U77" t="str">
            <v>IQDCS919289665</v>
          </cell>
        </row>
        <row r="78">
          <cell r="U78" t="str">
            <v>IQDCS920779612</v>
          </cell>
        </row>
        <row r="79">
          <cell r="U79" t="str">
            <v>IQDCS919289795</v>
          </cell>
        </row>
        <row r="80">
          <cell r="U80" t="str">
            <v>IQDCS920779918</v>
          </cell>
        </row>
        <row r="81">
          <cell r="U81" t="str">
            <v>IQDCS920779617</v>
          </cell>
        </row>
        <row r="82">
          <cell r="U82" t="str">
            <v>IQDCS920779919</v>
          </cell>
        </row>
        <row r="83">
          <cell r="U83" t="str">
            <v>IQDCS919771151</v>
          </cell>
        </row>
        <row r="84">
          <cell r="U84" t="str">
            <v>IQDCS921164084</v>
          </cell>
        </row>
        <row r="85">
          <cell r="U85" t="str">
            <v>IQDCS921164085</v>
          </cell>
        </row>
        <row r="86">
          <cell r="U86" t="str">
            <v>IQDCS921164070</v>
          </cell>
        </row>
        <row r="87">
          <cell r="U87" t="str">
            <v>IQDCS921164071</v>
          </cell>
        </row>
        <row r="88">
          <cell r="U88" t="str">
            <v>IQDCS916957982</v>
          </cell>
        </row>
      </sheetData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napshot"/>
      <sheetName val="Data"/>
      <sheetName val="Lanugage Index"/>
    </sheetNames>
    <sheetDataSet>
      <sheetData sheetId="0" refreshError="1"/>
      <sheetData sheetId="1">
        <row r="9">
          <cell r="A9">
            <v>43558</v>
          </cell>
          <cell r="B9">
            <v>143.63</v>
          </cell>
          <cell r="C9">
            <v>2.6816499999999999</v>
          </cell>
        </row>
        <row r="10">
          <cell r="A10">
            <v>43559</v>
          </cell>
          <cell r="B10">
            <v>142.78</v>
          </cell>
          <cell r="C10">
            <v>2.7714599999999998</v>
          </cell>
        </row>
        <row r="11">
          <cell r="A11">
            <v>43560</v>
          </cell>
          <cell r="B11">
            <v>143.28</v>
          </cell>
          <cell r="C11">
            <v>2.7319900000000001</v>
          </cell>
        </row>
        <row r="12">
          <cell r="A12">
            <v>43563</v>
          </cell>
          <cell r="B12">
            <v>143.38999999999999</v>
          </cell>
          <cell r="C12">
            <v>2.1182300000000001</v>
          </cell>
        </row>
        <row r="13">
          <cell r="A13">
            <v>43564</v>
          </cell>
          <cell r="B13">
            <v>142.11000000000001</v>
          </cell>
          <cell r="C13">
            <v>3.0384600000000002</v>
          </cell>
        </row>
        <row r="14">
          <cell r="A14">
            <v>43565</v>
          </cell>
          <cell r="B14">
            <v>143.02000000000001</v>
          </cell>
          <cell r="C14">
            <v>2.6783100000000002</v>
          </cell>
        </row>
        <row r="15">
          <cell r="A15">
            <v>43566</v>
          </cell>
          <cell r="B15">
            <v>143.78</v>
          </cell>
          <cell r="C15">
            <v>2.9419900000000001</v>
          </cell>
        </row>
        <row r="16">
          <cell r="A16">
            <v>43567</v>
          </cell>
          <cell r="B16">
            <v>144.35</v>
          </cell>
          <cell r="C16">
            <v>2.8988999999999998</v>
          </cell>
        </row>
        <row r="17">
          <cell r="A17">
            <v>43570</v>
          </cell>
          <cell r="B17">
            <v>143.9</v>
          </cell>
          <cell r="C17">
            <v>3.6031599999999999</v>
          </cell>
        </row>
        <row r="18">
          <cell r="A18">
            <v>43571</v>
          </cell>
          <cell r="B18">
            <v>145.13999999999999</v>
          </cell>
          <cell r="C18">
            <v>6.3016699999999997</v>
          </cell>
        </row>
        <row r="19">
          <cell r="A19">
            <v>43572</v>
          </cell>
          <cell r="B19">
            <v>139.11000000000001</v>
          </cell>
          <cell r="C19">
            <v>12.525690000000001</v>
          </cell>
        </row>
        <row r="20">
          <cell r="A20">
            <v>43573</v>
          </cell>
          <cell r="B20">
            <v>140.33000000000001</v>
          </cell>
          <cell r="C20">
            <v>4.9600200000000001</v>
          </cell>
        </row>
        <row r="21">
          <cell r="A21">
            <v>43577</v>
          </cell>
          <cell r="B21">
            <v>138.88999999999999</v>
          </cell>
          <cell r="C21">
            <v>4.4943299999999997</v>
          </cell>
        </row>
        <row r="22">
          <cell r="A22">
            <v>43578</v>
          </cell>
          <cell r="B22">
            <v>140.44</v>
          </cell>
          <cell r="C22">
            <v>4.4622400000000004</v>
          </cell>
        </row>
        <row r="23">
          <cell r="A23">
            <v>43579</v>
          </cell>
          <cell r="B23">
            <v>139.94999999999999</v>
          </cell>
          <cell r="C23">
            <v>2.7748699999999999</v>
          </cell>
        </row>
        <row r="24">
          <cell r="A24">
            <v>43580</v>
          </cell>
          <cell r="B24">
            <v>138.63</v>
          </cell>
          <cell r="C24">
            <v>2.91011</v>
          </cell>
        </row>
        <row r="25">
          <cell r="A25">
            <v>43581</v>
          </cell>
          <cell r="B25">
            <v>139.44</v>
          </cell>
          <cell r="C25">
            <v>2.3198300000000001</v>
          </cell>
        </row>
        <row r="26">
          <cell r="A26">
            <v>43584</v>
          </cell>
          <cell r="B26">
            <v>139.05000000000001</v>
          </cell>
          <cell r="C26">
            <v>2.9583300000000001</v>
          </cell>
        </row>
        <row r="27">
          <cell r="A27">
            <v>43585</v>
          </cell>
          <cell r="B27">
            <v>140.27000000000001</v>
          </cell>
          <cell r="C27">
            <v>4.6388299999999996</v>
          </cell>
        </row>
        <row r="28">
          <cell r="A28">
            <v>43586</v>
          </cell>
          <cell r="B28">
            <v>140.56</v>
          </cell>
          <cell r="C28">
            <v>3.0536799999999999</v>
          </cell>
        </row>
        <row r="29">
          <cell r="A29">
            <v>43587</v>
          </cell>
          <cell r="B29">
            <v>139.59</v>
          </cell>
          <cell r="C29">
            <v>3.54135</v>
          </cell>
        </row>
        <row r="30">
          <cell r="A30">
            <v>43588</v>
          </cell>
          <cell r="B30">
            <v>140.25</v>
          </cell>
          <cell r="C30">
            <v>2.5800299999999998</v>
          </cell>
        </row>
        <row r="31">
          <cell r="A31">
            <v>43591</v>
          </cell>
          <cell r="B31">
            <v>140.38</v>
          </cell>
          <cell r="C31">
            <v>2.79366</v>
          </cell>
        </row>
        <row r="32">
          <cell r="A32">
            <v>43592</v>
          </cell>
          <cell r="B32">
            <v>137.63999999999999</v>
          </cell>
          <cell r="C32">
            <v>4.7267700000000001</v>
          </cell>
        </row>
        <row r="33">
          <cell r="A33">
            <v>43593</v>
          </cell>
          <cell r="B33">
            <v>138</v>
          </cell>
          <cell r="C33">
            <v>3.8189099999999998</v>
          </cell>
        </row>
        <row r="34">
          <cell r="A34">
            <v>43594</v>
          </cell>
          <cell r="B34">
            <v>135.34</v>
          </cell>
          <cell r="C34">
            <v>4.1929400000000001</v>
          </cell>
        </row>
        <row r="35">
          <cell r="A35">
            <v>43595</v>
          </cell>
          <cell r="B35">
            <v>135.32</v>
          </cell>
          <cell r="C35">
            <v>3.9776899999999999</v>
          </cell>
        </row>
        <row r="36">
          <cell r="A36">
            <v>43598</v>
          </cell>
          <cell r="B36">
            <v>131.41999999999999</v>
          </cell>
          <cell r="C36">
            <v>4.9580200000000003</v>
          </cell>
        </row>
        <row r="37">
          <cell r="A37">
            <v>43599</v>
          </cell>
          <cell r="B37">
            <v>133.31</v>
          </cell>
          <cell r="C37">
            <v>3.28037</v>
          </cell>
        </row>
        <row r="38">
          <cell r="A38">
            <v>43600</v>
          </cell>
          <cell r="B38">
            <v>134.4</v>
          </cell>
          <cell r="C38">
            <v>2.5510100000000002</v>
          </cell>
        </row>
        <row r="39">
          <cell r="A39">
            <v>43601</v>
          </cell>
          <cell r="B39">
            <v>135.88</v>
          </cell>
          <cell r="C39">
            <v>3.0174699999999999</v>
          </cell>
        </row>
        <row r="40">
          <cell r="A40">
            <v>43602</v>
          </cell>
          <cell r="B40">
            <v>134.32</v>
          </cell>
          <cell r="C40">
            <v>2.6191399999999998</v>
          </cell>
        </row>
        <row r="41">
          <cell r="A41">
            <v>43605</v>
          </cell>
          <cell r="B41">
            <v>135.12</v>
          </cell>
          <cell r="C41">
            <v>3.2646500000000001</v>
          </cell>
        </row>
        <row r="42">
          <cell r="A42">
            <v>43606</v>
          </cell>
          <cell r="B42">
            <v>136.44999999999999</v>
          </cell>
          <cell r="C42">
            <v>2.5034999999999998</v>
          </cell>
        </row>
        <row r="43">
          <cell r="A43">
            <v>43607</v>
          </cell>
          <cell r="B43">
            <v>136.35</v>
          </cell>
          <cell r="C43">
            <v>1.84982</v>
          </cell>
        </row>
        <row r="44">
          <cell r="A44">
            <v>43608</v>
          </cell>
          <cell r="B44">
            <v>132.38999999999999</v>
          </cell>
          <cell r="C44">
            <v>5.3434400000000002</v>
          </cell>
        </row>
        <row r="45">
          <cell r="A45">
            <v>43609</v>
          </cell>
          <cell r="B45">
            <v>132.28</v>
          </cell>
          <cell r="C45">
            <v>2.59612</v>
          </cell>
        </row>
        <row r="46">
          <cell r="A46">
            <v>43613</v>
          </cell>
          <cell r="B46">
            <v>130.46</v>
          </cell>
          <cell r="C46">
            <v>4.9091199999999997</v>
          </cell>
        </row>
        <row r="47">
          <cell r="A47">
            <v>43614</v>
          </cell>
          <cell r="B47">
            <v>129.69</v>
          </cell>
          <cell r="C47">
            <v>3.6789800000000001</v>
          </cell>
        </row>
        <row r="48">
          <cell r="A48">
            <v>43615</v>
          </cell>
          <cell r="B48">
            <v>129.57</v>
          </cell>
          <cell r="C48">
            <v>2.7418800000000001</v>
          </cell>
        </row>
        <row r="49">
          <cell r="A49">
            <v>43616</v>
          </cell>
          <cell r="B49">
            <v>126.99</v>
          </cell>
          <cell r="C49">
            <v>3.5393400000000002</v>
          </cell>
        </row>
        <row r="50">
          <cell r="A50">
            <v>43619</v>
          </cell>
          <cell r="B50">
            <v>128.27000000000001</v>
          </cell>
          <cell r="C50">
            <v>4.26708</v>
          </cell>
        </row>
        <row r="51">
          <cell r="A51">
            <v>43620</v>
          </cell>
          <cell r="B51">
            <v>132.69</v>
          </cell>
          <cell r="C51">
            <v>3.9135399999999998</v>
          </cell>
        </row>
        <row r="52">
          <cell r="A52">
            <v>43621</v>
          </cell>
          <cell r="B52">
            <v>131.49</v>
          </cell>
          <cell r="C52">
            <v>3.1615799999999998</v>
          </cell>
        </row>
        <row r="53">
          <cell r="A53">
            <v>43622</v>
          </cell>
          <cell r="B53">
            <v>132.22</v>
          </cell>
          <cell r="C53">
            <v>2.2982499999999999</v>
          </cell>
        </row>
        <row r="54">
          <cell r="A54">
            <v>43623</v>
          </cell>
          <cell r="B54">
            <v>133.31</v>
          </cell>
          <cell r="C54">
            <v>2.5533999999999999</v>
          </cell>
        </row>
        <row r="55">
          <cell r="A55">
            <v>43626</v>
          </cell>
          <cell r="B55">
            <v>134.74</v>
          </cell>
          <cell r="C55">
            <v>2.91133</v>
          </cell>
        </row>
        <row r="56">
          <cell r="A56">
            <v>43627</v>
          </cell>
          <cell r="B56">
            <v>135.94999999999999</v>
          </cell>
          <cell r="C56">
            <v>3.4073500000000001</v>
          </cell>
        </row>
        <row r="57">
          <cell r="A57">
            <v>43628</v>
          </cell>
          <cell r="B57">
            <v>134.87</v>
          </cell>
          <cell r="C57">
            <v>2.25474</v>
          </cell>
        </row>
        <row r="58">
          <cell r="A58">
            <v>43629</v>
          </cell>
          <cell r="B58">
            <v>135.76</v>
          </cell>
          <cell r="C58">
            <v>2.9554200000000002</v>
          </cell>
        </row>
        <row r="59">
          <cell r="A59">
            <v>43630</v>
          </cell>
          <cell r="B59">
            <v>135.15</v>
          </cell>
          <cell r="C59">
            <v>2.1933699999999998</v>
          </cell>
        </row>
        <row r="60">
          <cell r="A60">
            <v>43633</v>
          </cell>
          <cell r="B60">
            <v>134.94999999999999</v>
          </cell>
          <cell r="C60">
            <v>2.1941299999999999</v>
          </cell>
        </row>
        <row r="61">
          <cell r="A61">
            <v>43634</v>
          </cell>
          <cell r="B61">
            <v>136.38</v>
          </cell>
          <cell r="C61">
            <v>2.9146999999999998</v>
          </cell>
        </row>
        <row r="62">
          <cell r="A62">
            <v>43635</v>
          </cell>
          <cell r="B62">
            <v>137.08000000000001</v>
          </cell>
          <cell r="C62">
            <v>2.38252</v>
          </cell>
        </row>
        <row r="63">
          <cell r="A63">
            <v>43636</v>
          </cell>
          <cell r="B63">
            <v>138.85</v>
          </cell>
          <cell r="C63">
            <v>3.0710199999999999</v>
          </cell>
        </row>
        <row r="64">
          <cell r="A64">
            <v>43637</v>
          </cell>
          <cell r="B64">
            <v>139.19999999999999</v>
          </cell>
          <cell r="C64">
            <v>5.2887599999999999</v>
          </cell>
        </row>
        <row r="65">
          <cell r="A65">
            <v>43640</v>
          </cell>
          <cell r="B65">
            <v>139.35</v>
          </cell>
          <cell r="C65">
            <v>2.18614</v>
          </cell>
        </row>
        <row r="66">
          <cell r="A66">
            <v>43641</v>
          </cell>
          <cell r="B66">
            <v>138.36000000000001</v>
          </cell>
          <cell r="C66">
            <v>2.80125</v>
          </cell>
        </row>
        <row r="67">
          <cell r="A67">
            <v>43642</v>
          </cell>
          <cell r="B67">
            <v>138.52000000000001</v>
          </cell>
          <cell r="C67">
            <v>2.28457</v>
          </cell>
        </row>
        <row r="68">
          <cell r="A68">
            <v>43643</v>
          </cell>
          <cell r="B68">
            <v>138.52000000000001</v>
          </cell>
          <cell r="C68">
            <v>2.1498200000000001</v>
          </cell>
        </row>
        <row r="69">
          <cell r="A69">
            <v>43644</v>
          </cell>
          <cell r="B69">
            <v>137.9</v>
          </cell>
          <cell r="C69">
            <v>6.1540400000000002</v>
          </cell>
        </row>
        <row r="70">
          <cell r="A70">
            <v>43647</v>
          </cell>
          <cell r="B70">
            <v>139.88</v>
          </cell>
          <cell r="C70">
            <v>3.3871799999999999</v>
          </cell>
        </row>
        <row r="71">
          <cell r="A71">
            <v>43648</v>
          </cell>
          <cell r="B71">
            <v>140.22</v>
          </cell>
          <cell r="C71">
            <v>2.4100899999999998</v>
          </cell>
        </row>
        <row r="72">
          <cell r="A72">
            <v>43649</v>
          </cell>
          <cell r="B72">
            <v>141.54</v>
          </cell>
          <cell r="C72">
            <v>1.9303600000000001</v>
          </cell>
        </row>
        <row r="73">
          <cell r="A73">
            <v>43651</v>
          </cell>
          <cell r="B73">
            <v>141.38</v>
          </cell>
          <cell r="C73">
            <v>2.1350899999999999</v>
          </cell>
        </row>
        <row r="74">
          <cell r="A74">
            <v>43654</v>
          </cell>
          <cell r="B74">
            <v>140.57</v>
          </cell>
          <cell r="C74">
            <v>2.3954900000000001</v>
          </cell>
        </row>
        <row r="75">
          <cell r="A75">
            <v>43655</v>
          </cell>
          <cell r="B75">
            <v>139.33000000000001</v>
          </cell>
          <cell r="C75">
            <v>3.3652299999999999</v>
          </cell>
        </row>
        <row r="76">
          <cell r="A76">
            <v>43656</v>
          </cell>
          <cell r="B76">
            <v>140.47</v>
          </cell>
          <cell r="C76">
            <v>2.5139300000000002</v>
          </cell>
        </row>
        <row r="77">
          <cell r="A77">
            <v>43657</v>
          </cell>
          <cell r="B77">
            <v>141.24</v>
          </cell>
          <cell r="C77">
            <v>2.1333299999999999</v>
          </cell>
        </row>
        <row r="78">
          <cell r="A78">
            <v>43658</v>
          </cell>
          <cell r="B78">
            <v>142.74</v>
          </cell>
          <cell r="C78">
            <v>2.7862800000000001</v>
          </cell>
        </row>
        <row r="79">
          <cell r="A79">
            <v>43661</v>
          </cell>
          <cell r="B79">
            <v>143.32</v>
          </cell>
          <cell r="C79">
            <v>2.3683100000000001</v>
          </cell>
        </row>
        <row r="80">
          <cell r="A80">
            <v>43662</v>
          </cell>
          <cell r="B80">
            <v>143.53</v>
          </cell>
          <cell r="C80">
            <v>3.4746899999999998</v>
          </cell>
        </row>
        <row r="81">
          <cell r="A81">
            <v>43663</v>
          </cell>
          <cell r="B81">
            <v>143.07</v>
          </cell>
          <cell r="C81">
            <v>6.0642699999999996</v>
          </cell>
        </row>
        <row r="82">
          <cell r="A82">
            <v>43664</v>
          </cell>
          <cell r="B82">
            <v>149.63</v>
          </cell>
          <cell r="C82">
            <v>12.69539</v>
          </cell>
        </row>
        <row r="83">
          <cell r="A83">
            <v>43665</v>
          </cell>
          <cell r="B83">
            <v>149.68</v>
          </cell>
          <cell r="C83">
            <v>7.29068</v>
          </cell>
        </row>
        <row r="84">
          <cell r="A84">
            <v>43668</v>
          </cell>
          <cell r="B84">
            <v>149.74</v>
          </cell>
          <cell r="C84">
            <v>4.0932399999999998</v>
          </cell>
        </row>
        <row r="85">
          <cell r="A85">
            <v>43669</v>
          </cell>
          <cell r="B85">
            <v>150.38</v>
          </cell>
          <cell r="C85">
            <v>3.7422</v>
          </cell>
        </row>
        <row r="86">
          <cell r="A86">
            <v>43670</v>
          </cell>
          <cell r="B86">
            <v>150.03</v>
          </cell>
          <cell r="C86">
            <v>2.9524400000000002</v>
          </cell>
        </row>
        <row r="87">
          <cell r="A87">
            <v>43671</v>
          </cell>
          <cell r="B87">
            <v>150.38999999999999</v>
          </cell>
          <cell r="C87">
            <v>3.1021100000000001</v>
          </cell>
        </row>
        <row r="88">
          <cell r="A88">
            <v>43672</v>
          </cell>
          <cell r="B88">
            <v>151.36000000000001</v>
          </cell>
          <cell r="C88">
            <v>2.90449</v>
          </cell>
        </row>
        <row r="89">
          <cell r="A89">
            <v>43675</v>
          </cell>
          <cell r="B89">
            <v>150.88</v>
          </cell>
          <cell r="C89">
            <v>2.0755300000000001</v>
          </cell>
        </row>
        <row r="90">
          <cell r="A90">
            <v>43676</v>
          </cell>
          <cell r="B90">
            <v>149.77000000000001</v>
          </cell>
          <cell r="C90">
            <v>2.63273</v>
          </cell>
        </row>
        <row r="91">
          <cell r="A91">
            <v>43677</v>
          </cell>
          <cell r="B91">
            <v>148.24</v>
          </cell>
          <cell r="C91">
            <v>3.7229100000000002</v>
          </cell>
        </row>
        <row r="92">
          <cell r="A92">
            <v>43678</v>
          </cell>
          <cell r="B92">
            <v>150.32</v>
          </cell>
          <cell r="C92">
            <v>6.3440099999999999</v>
          </cell>
        </row>
        <row r="93">
          <cell r="A93">
            <v>43679</v>
          </cell>
          <cell r="B93">
            <v>147.25</v>
          </cell>
          <cell r="C93">
            <v>8.1017200000000003</v>
          </cell>
        </row>
        <row r="94">
          <cell r="A94">
            <v>43682</v>
          </cell>
          <cell r="B94">
            <v>140.76</v>
          </cell>
          <cell r="C94">
            <v>7.1148699999999998</v>
          </cell>
        </row>
        <row r="95">
          <cell r="A95">
            <v>43683</v>
          </cell>
          <cell r="B95">
            <v>140.72999999999999</v>
          </cell>
          <cell r="C95">
            <v>5.0706499999999997</v>
          </cell>
        </row>
        <row r="96">
          <cell r="A96">
            <v>43684</v>
          </cell>
          <cell r="B96">
            <v>139.11000000000001</v>
          </cell>
          <cell r="C96">
            <v>5.9318799999999996</v>
          </cell>
        </row>
        <row r="97">
          <cell r="A97">
            <v>43685</v>
          </cell>
          <cell r="B97">
            <v>140.1</v>
          </cell>
          <cell r="C97">
            <v>5.2614400000000003</v>
          </cell>
        </row>
        <row r="98">
          <cell r="A98">
            <v>43686</v>
          </cell>
          <cell r="B98">
            <v>136.13</v>
          </cell>
          <cell r="C98">
            <v>5.2445899999999996</v>
          </cell>
        </row>
        <row r="99">
          <cell r="A99">
            <v>43689</v>
          </cell>
          <cell r="B99">
            <v>134.12</v>
          </cell>
          <cell r="C99">
            <v>4.1936400000000003</v>
          </cell>
        </row>
        <row r="100">
          <cell r="A100">
            <v>43690</v>
          </cell>
          <cell r="B100">
            <v>135.79</v>
          </cell>
          <cell r="C100">
            <v>4.5511699999999999</v>
          </cell>
        </row>
        <row r="101">
          <cell r="A101">
            <v>43691</v>
          </cell>
          <cell r="B101">
            <v>131.25</v>
          </cell>
          <cell r="C101">
            <v>5.11416</v>
          </cell>
        </row>
        <row r="102">
          <cell r="A102">
            <v>43692</v>
          </cell>
          <cell r="B102">
            <v>131.91999999999999</v>
          </cell>
          <cell r="C102">
            <v>3.73895</v>
          </cell>
        </row>
        <row r="103">
          <cell r="A103">
            <v>43693</v>
          </cell>
          <cell r="B103">
            <v>133.76</v>
          </cell>
          <cell r="C103">
            <v>3.0119899999999999</v>
          </cell>
        </row>
        <row r="104">
          <cell r="A104">
            <v>43696</v>
          </cell>
          <cell r="B104">
            <v>135.04</v>
          </cell>
          <cell r="C104">
            <v>3.1654399999999998</v>
          </cell>
        </row>
        <row r="105">
          <cell r="A105">
            <v>43697</v>
          </cell>
          <cell r="B105">
            <v>133</v>
          </cell>
          <cell r="C105">
            <v>3.0189300000000001</v>
          </cell>
        </row>
        <row r="106">
          <cell r="A106">
            <v>43698</v>
          </cell>
          <cell r="B106">
            <v>134.25</v>
          </cell>
          <cell r="C106">
            <v>2.8067700000000002</v>
          </cell>
        </row>
        <row r="107">
          <cell r="A107">
            <v>43699</v>
          </cell>
          <cell r="B107">
            <v>134.32</v>
          </cell>
          <cell r="C107">
            <v>2.6950099999999999</v>
          </cell>
        </row>
        <row r="108">
          <cell r="A108">
            <v>43700</v>
          </cell>
          <cell r="B108">
            <v>129.57</v>
          </cell>
          <cell r="C108">
            <v>4.8187600000000002</v>
          </cell>
        </row>
        <row r="109">
          <cell r="A109">
            <v>43703</v>
          </cell>
          <cell r="B109">
            <v>129.99</v>
          </cell>
          <cell r="C109">
            <v>2.83684</v>
          </cell>
        </row>
        <row r="110">
          <cell r="A110">
            <v>43704</v>
          </cell>
          <cell r="B110">
            <v>131.16999999999999</v>
          </cell>
          <cell r="C110">
            <v>4.7283900000000001</v>
          </cell>
        </row>
        <row r="111">
          <cell r="A111">
            <v>43705</v>
          </cell>
          <cell r="B111">
            <v>132.76</v>
          </cell>
          <cell r="C111">
            <v>2.7203599999999999</v>
          </cell>
        </row>
        <row r="112">
          <cell r="A112">
            <v>43706</v>
          </cell>
          <cell r="B112">
            <v>134.88</v>
          </cell>
          <cell r="C112">
            <v>2.9728400000000001</v>
          </cell>
        </row>
        <row r="113">
          <cell r="A113">
            <v>43707</v>
          </cell>
          <cell r="B113">
            <v>135.53</v>
          </cell>
          <cell r="C113">
            <v>2.9605899999999998</v>
          </cell>
        </row>
        <row r="114">
          <cell r="A114">
            <v>43711</v>
          </cell>
          <cell r="B114">
            <v>134.1</v>
          </cell>
          <cell r="C114">
            <v>2.8282400000000001</v>
          </cell>
        </row>
        <row r="115">
          <cell r="A115">
            <v>43712</v>
          </cell>
          <cell r="B115">
            <v>136.32</v>
          </cell>
          <cell r="C115">
            <v>2.2620800000000001</v>
          </cell>
        </row>
        <row r="116">
          <cell r="A116">
            <v>43713</v>
          </cell>
          <cell r="B116">
            <v>140.97</v>
          </cell>
          <cell r="C116">
            <v>5.0129099999999998</v>
          </cell>
        </row>
        <row r="117">
          <cell r="A117">
            <v>43714</v>
          </cell>
          <cell r="B117">
            <v>140.57</v>
          </cell>
          <cell r="C117">
            <v>2.5771999999999999</v>
          </cell>
        </row>
        <row r="118">
          <cell r="A118">
            <v>43717</v>
          </cell>
          <cell r="B118">
            <v>142.6</v>
          </cell>
          <cell r="C118">
            <v>4.2269399999999999</v>
          </cell>
        </row>
        <row r="119">
          <cell r="A119">
            <v>43718</v>
          </cell>
          <cell r="B119">
            <v>145.05000000000001</v>
          </cell>
          <cell r="C119">
            <v>4.9797399999999996</v>
          </cell>
        </row>
        <row r="120">
          <cell r="A120">
            <v>43719</v>
          </cell>
          <cell r="B120">
            <v>143.6</v>
          </cell>
          <cell r="C120">
            <v>3.8697300000000001</v>
          </cell>
        </row>
        <row r="121">
          <cell r="A121">
            <v>43720</v>
          </cell>
          <cell r="B121">
            <v>143.62</v>
          </cell>
          <cell r="C121">
            <v>2.50543</v>
          </cell>
        </row>
        <row r="122">
          <cell r="A122">
            <v>43721</v>
          </cell>
          <cell r="B122">
            <v>143.66999999999999</v>
          </cell>
          <cell r="C122">
            <v>2.20661</v>
          </cell>
        </row>
        <row r="123">
          <cell r="A123">
            <v>43724</v>
          </cell>
          <cell r="B123">
            <v>142.47999999999999</v>
          </cell>
          <cell r="C123">
            <v>1.9285000000000001</v>
          </cell>
        </row>
        <row r="124">
          <cell r="A124">
            <v>43725</v>
          </cell>
          <cell r="B124">
            <v>142.19999999999999</v>
          </cell>
          <cell r="C124">
            <v>2.94049</v>
          </cell>
        </row>
        <row r="125">
          <cell r="A125">
            <v>43726</v>
          </cell>
          <cell r="B125">
            <v>142.22</v>
          </cell>
          <cell r="C125">
            <v>1.99516</v>
          </cell>
        </row>
        <row r="126">
          <cell r="A126">
            <v>43727</v>
          </cell>
          <cell r="B126">
            <v>142.97</v>
          </cell>
          <cell r="C126">
            <v>3.1820900000000001</v>
          </cell>
        </row>
        <row r="127">
          <cell r="A127">
            <v>43728</v>
          </cell>
          <cell r="B127">
            <v>141.88</v>
          </cell>
          <cell r="C127">
            <v>5.2178800000000001</v>
          </cell>
        </row>
        <row r="128">
          <cell r="A128">
            <v>43731</v>
          </cell>
          <cell r="B128">
            <v>142.07</v>
          </cell>
          <cell r="C128">
            <v>1.85006</v>
          </cell>
        </row>
        <row r="129">
          <cell r="A129">
            <v>43732</v>
          </cell>
          <cell r="B129">
            <v>141.68</v>
          </cell>
          <cell r="C129">
            <v>3.3111700000000002</v>
          </cell>
        </row>
        <row r="130">
          <cell r="A130">
            <v>43733</v>
          </cell>
          <cell r="B130">
            <v>143.16</v>
          </cell>
          <cell r="C130">
            <v>2.5462099999999999</v>
          </cell>
        </row>
        <row r="131">
          <cell r="A131">
            <v>43734</v>
          </cell>
          <cell r="B131">
            <v>143.55000000000001</v>
          </cell>
          <cell r="C131">
            <v>2.31454</v>
          </cell>
        </row>
        <row r="132">
          <cell r="A132">
            <v>43735</v>
          </cell>
          <cell r="B132">
            <v>143.24</v>
          </cell>
          <cell r="C132">
            <v>2.3570799999999998</v>
          </cell>
        </row>
        <row r="133">
          <cell r="A133">
            <v>43738</v>
          </cell>
          <cell r="B133">
            <v>145.41999999999999</v>
          </cell>
          <cell r="C133">
            <v>4.0044300000000002</v>
          </cell>
        </row>
        <row r="134">
          <cell r="A134">
            <v>43739</v>
          </cell>
          <cell r="B134">
            <v>143.66</v>
          </cell>
          <cell r="C134">
            <v>2.9737100000000001</v>
          </cell>
        </row>
        <row r="135">
          <cell r="A135">
            <v>43740</v>
          </cell>
          <cell r="B135">
            <v>141.69</v>
          </cell>
          <cell r="C135">
            <v>3.34728</v>
          </cell>
        </row>
        <row r="136">
          <cell r="A136">
            <v>43741</v>
          </cell>
          <cell r="B136">
            <v>142.02000000000001</v>
          </cell>
          <cell r="C136">
            <v>3.1617199999999999</v>
          </cell>
        </row>
        <row r="137">
          <cell r="A137">
            <v>43742</v>
          </cell>
          <cell r="B137">
            <v>142.99</v>
          </cell>
          <cell r="C137">
            <v>2.4494799999999999</v>
          </cell>
        </row>
        <row r="138">
          <cell r="A138">
            <v>43745</v>
          </cell>
          <cell r="B138">
            <v>141.28</v>
          </cell>
          <cell r="C138">
            <v>2.4887999999999999</v>
          </cell>
        </row>
        <row r="139">
          <cell r="A139">
            <v>43746</v>
          </cell>
          <cell r="B139">
            <v>138.38</v>
          </cell>
          <cell r="C139">
            <v>3.3440799999999999</v>
          </cell>
        </row>
        <row r="140">
          <cell r="A140">
            <v>43747</v>
          </cell>
          <cell r="B140">
            <v>139.66999999999999</v>
          </cell>
          <cell r="C140">
            <v>2.63347</v>
          </cell>
        </row>
        <row r="141">
          <cell r="A141">
            <v>43748</v>
          </cell>
          <cell r="B141">
            <v>141.13</v>
          </cell>
          <cell r="C141">
            <v>2.64669</v>
          </cell>
        </row>
        <row r="142">
          <cell r="A142">
            <v>43749</v>
          </cell>
          <cell r="B142">
            <v>142.76</v>
          </cell>
          <cell r="C142">
            <v>3.0186700000000002</v>
          </cell>
        </row>
        <row r="143">
          <cell r="A143">
            <v>43752</v>
          </cell>
          <cell r="B143">
            <v>142.04</v>
          </cell>
          <cell r="C143">
            <v>2.3256100000000002</v>
          </cell>
        </row>
        <row r="144">
          <cell r="A144">
            <v>43753</v>
          </cell>
          <cell r="B144">
            <v>143</v>
          </cell>
          <cell r="C144">
            <v>3.0470000000000002</v>
          </cell>
        </row>
        <row r="145">
          <cell r="A145">
            <v>43754</v>
          </cell>
          <cell r="B145">
            <v>142.11000000000001</v>
          </cell>
          <cell r="C145">
            <v>5.9157099999999998</v>
          </cell>
        </row>
        <row r="146">
          <cell r="A146">
            <v>43755</v>
          </cell>
          <cell r="B146">
            <v>134.26</v>
          </cell>
          <cell r="C146">
            <v>15.83081</v>
          </cell>
        </row>
        <row r="147">
          <cell r="A147">
            <v>43756</v>
          </cell>
          <cell r="B147">
            <v>134.09</v>
          </cell>
          <cell r="C147">
            <v>7.1783799999999998</v>
          </cell>
        </row>
        <row r="148">
          <cell r="A148">
            <v>43759</v>
          </cell>
          <cell r="B148">
            <v>132.58000000000001</v>
          </cell>
          <cell r="C148">
            <v>6.3729800000000001</v>
          </cell>
        </row>
        <row r="149">
          <cell r="A149">
            <v>43760</v>
          </cell>
          <cell r="B149">
            <v>133.96</v>
          </cell>
          <cell r="C149">
            <v>4.1958000000000002</v>
          </cell>
        </row>
        <row r="150">
          <cell r="A150">
            <v>43761</v>
          </cell>
          <cell r="B150">
            <v>134.38</v>
          </cell>
          <cell r="C150">
            <v>3.6273499999999999</v>
          </cell>
        </row>
        <row r="151">
          <cell r="A151">
            <v>43762</v>
          </cell>
          <cell r="B151">
            <v>134.07</v>
          </cell>
          <cell r="C151">
            <v>2.61931</v>
          </cell>
        </row>
        <row r="152">
          <cell r="A152">
            <v>43763</v>
          </cell>
          <cell r="B152">
            <v>135.44</v>
          </cell>
          <cell r="C152">
            <v>2.5790600000000001</v>
          </cell>
        </row>
        <row r="153">
          <cell r="A153">
            <v>43766</v>
          </cell>
          <cell r="B153">
            <v>135.97</v>
          </cell>
          <cell r="C153">
            <v>3.2261299999999999</v>
          </cell>
        </row>
        <row r="154">
          <cell r="A154">
            <v>43767</v>
          </cell>
          <cell r="B154">
            <v>133.82</v>
          </cell>
          <cell r="C154">
            <v>4.1607200000000004</v>
          </cell>
        </row>
        <row r="155">
          <cell r="A155">
            <v>43768</v>
          </cell>
          <cell r="B155">
            <v>135.25</v>
          </cell>
          <cell r="C155">
            <v>2.25299</v>
          </cell>
        </row>
        <row r="156">
          <cell r="A156">
            <v>43769</v>
          </cell>
          <cell r="B156">
            <v>133.72999999999999</v>
          </cell>
          <cell r="C156">
            <v>3.4121199999999998</v>
          </cell>
        </row>
        <row r="157">
          <cell r="A157">
            <v>43770</v>
          </cell>
          <cell r="B157">
            <v>135.53</v>
          </cell>
          <cell r="C157">
            <v>3.0897899999999998</v>
          </cell>
        </row>
        <row r="158">
          <cell r="A158">
            <v>43773</v>
          </cell>
          <cell r="B158">
            <v>137.66999999999999</v>
          </cell>
          <cell r="C158">
            <v>3.3353899999999999</v>
          </cell>
        </row>
        <row r="159">
          <cell r="A159">
            <v>43774</v>
          </cell>
          <cell r="B159">
            <v>137.88999999999999</v>
          </cell>
          <cell r="C159">
            <v>3.0149599999999999</v>
          </cell>
        </row>
        <row r="160">
          <cell r="A160">
            <v>43775</v>
          </cell>
          <cell r="B160">
            <v>138.78</v>
          </cell>
          <cell r="C160">
            <v>4.47729</v>
          </cell>
        </row>
        <row r="161">
          <cell r="A161">
            <v>43776</v>
          </cell>
          <cell r="B161">
            <v>137.69</v>
          </cell>
          <cell r="C161">
            <v>4.0739099999999997</v>
          </cell>
        </row>
        <row r="162">
          <cell r="A162">
            <v>43777</v>
          </cell>
          <cell r="B162">
            <v>137.61000000000001</v>
          </cell>
          <cell r="C162">
            <v>2.2786</v>
          </cell>
        </row>
        <row r="163">
          <cell r="A163">
            <v>43780</v>
          </cell>
          <cell r="B163">
            <v>135.47</v>
          </cell>
          <cell r="C163">
            <v>2.5687600000000002</v>
          </cell>
        </row>
        <row r="164">
          <cell r="A164">
            <v>43781</v>
          </cell>
          <cell r="B164">
            <v>135.59</v>
          </cell>
          <cell r="C164">
            <v>3.0465399999999998</v>
          </cell>
        </row>
        <row r="165">
          <cell r="A165">
            <v>43782</v>
          </cell>
          <cell r="B165">
            <v>134.47999999999999</v>
          </cell>
          <cell r="C165">
            <v>3.0609199999999999</v>
          </cell>
        </row>
        <row r="166">
          <cell r="A166">
            <v>43783</v>
          </cell>
          <cell r="B166">
            <v>134</v>
          </cell>
          <cell r="C166">
            <v>4.2314699999999998</v>
          </cell>
        </row>
        <row r="167">
          <cell r="A167">
            <v>43784</v>
          </cell>
          <cell r="B167">
            <v>134.4</v>
          </cell>
          <cell r="C167">
            <v>3.2626599999999999</v>
          </cell>
        </row>
        <row r="168">
          <cell r="A168">
            <v>43787</v>
          </cell>
          <cell r="B168">
            <v>134.31</v>
          </cell>
          <cell r="C168">
            <v>3.2108699999999999</v>
          </cell>
        </row>
        <row r="169">
          <cell r="A169">
            <v>43788</v>
          </cell>
          <cell r="B169">
            <v>134.52000000000001</v>
          </cell>
          <cell r="C169">
            <v>2.9950700000000001</v>
          </cell>
        </row>
        <row r="170">
          <cell r="A170">
            <v>43789</v>
          </cell>
          <cell r="B170">
            <v>133.19999999999999</v>
          </cell>
          <cell r="C170">
            <v>4.1401500000000002</v>
          </cell>
        </row>
        <row r="171">
          <cell r="A171">
            <v>43790</v>
          </cell>
          <cell r="B171">
            <v>133.84</v>
          </cell>
          <cell r="C171">
            <v>3.3453400000000002</v>
          </cell>
        </row>
        <row r="172">
          <cell r="A172">
            <v>43791</v>
          </cell>
          <cell r="B172">
            <v>134.34</v>
          </cell>
          <cell r="C172">
            <v>3.2978000000000001</v>
          </cell>
        </row>
        <row r="173">
          <cell r="A173">
            <v>43794</v>
          </cell>
          <cell r="B173">
            <v>135.97</v>
          </cell>
          <cell r="C173">
            <v>2.5901700000000001</v>
          </cell>
        </row>
        <row r="174">
          <cell r="A174">
            <v>43795</v>
          </cell>
          <cell r="B174">
            <v>135.09</v>
          </cell>
          <cell r="C174">
            <v>3.7933400000000002</v>
          </cell>
        </row>
        <row r="175">
          <cell r="A175">
            <v>43796</v>
          </cell>
          <cell r="B175">
            <v>133.77000000000001</v>
          </cell>
          <cell r="C175">
            <v>3.2828300000000001</v>
          </cell>
        </row>
        <row r="176">
          <cell r="A176">
            <v>43798</v>
          </cell>
          <cell r="B176">
            <v>134.44999999999999</v>
          </cell>
          <cell r="C176">
            <v>1.8252600000000001</v>
          </cell>
        </row>
        <row r="177">
          <cell r="A177">
            <v>43801</v>
          </cell>
          <cell r="B177">
            <v>132.91</v>
          </cell>
          <cell r="C177">
            <v>3.0678299999999998</v>
          </cell>
        </row>
        <row r="178">
          <cell r="A178">
            <v>43802</v>
          </cell>
          <cell r="B178">
            <v>132.12</v>
          </cell>
          <cell r="C178">
            <v>3.7110699999999999</v>
          </cell>
        </row>
        <row r="179">
          <cell r="A179">
            <v>43803</v>
          </cell>
          <cell r="B179">
            <v>131.99</v>
          </cell>
          <cell r="C179">
            <v>3.53077</v>
          </cell>
        </row>
        <row r="180">
          <cell r="A180">
            <v>43804</v>
          </cell>
          <cell r="B180">
            <v>131.91</v>
          </cell>
          <cell r="C180">
            <v>3.5985800000000001</v>
          </cell>
        </row>
        <row r="181">
          <cell r="A181">
            <v>43805</v>
          </cell>
          <cell r="B181">
            <v>133.22</v>
          </cell>
          <cell r="C181">
            <v>3.4379900000000001</v>
          </cell>
        </row>
        <row r="182">
          <cell r="A182">
            <v>43808</v>
          </cell>
          <cell r="B182">
            <v>133.91999999999999</v>
          </cell>
          <cell r="C182">
            <v>2.9788000000000001</v>
          </cell>
        </row>
        <row r="183">
          <cell r="A183">
            <v>43809</v>
          </cell>
          <cell r="B183">
            <v>133.91</v>
          </cell>
          <cell r="C183">
            <v>3.4803899999999999</v>
          </cell>
        </row>
        <row r="184">
          <cell r="A184">
            <v>43810</v>
          </cell>
          <cell r="B184">
            <v>133.76</v>
          </cell>
          <cell r="C184">
            <v>3.9533100000000001</v>
          </cell>
        </row>
        <row r="185">
          <cell r="A185">
            <v>43811</v>
          </cell>
          <cell r="B185">
            <v>135.32</v>
          </cell>
          <cell r="C185">
            <v>4.8241899999999998</v>
          </cell>
        </row>
        <row r="186">
          <cell r="A186">
            <v>43812</v>
          </cell>
          <cell r="B186">
            <v>134.21</v>
          </cell>
          <cell r="C186">
            <v>2.5349699999999999</v>
          </cell>
        </row>
        <row r="187">
          <cell r="A187">
            <v>43815</v>
          </cell>
          <cell r="B187">
            <v>134.13</v>
          </cell>
          <cell r="C187">
            <v>3.0493299999999999</v>
          </cell>
        </row>
        <row r="188">
          <cell r="A188">
            <v>43816</v>
          </cell>
          <cell r="B188">
            <v>134.22</v>
          </cell>
          <cell r="C188">
            <v>2.9075500000000001</v>
          </cell>
        </row>
        <row r="189">
          <cell r="A189">
            <v>43817</v>
          </cell>
          <cell r="B189">
            <v>134.41</v>
          </cell>
          <cell r="C189">
            <v>3.1023499999999999</v>
          </cell>
        </row>
        <row r="190">
          <cell r="A190">
            <v>43818</v>
          </cell>
          <cell r="B190">
            <v>134.56</v>
          </cell>
          <cell r="C190">
            <v>3.8667199999999999</v>
          </cell>
        </row>
        <row r="191">
          <cell r="A191">
            <v>43819</v>
          </cell>
          <cell r="B191">
            <v>135.59</v>
          </cell>
          <cell r="C191">
            <v>7.1120700000000001</v>
          </cell>
        </row>
        <row r="192">
          <cell r="A192">
            <v>43822</v>
          </cell>
          <cell r="B192">
            <v>135.55000000000001</v>
          </cell>
          <cell r="C192">
            <v>2.8031700000000002</v>
          </cell>
        </row>
        <row r="193">
          <cell r="A193">
            <v>43823</v>
          </cell>
          <cell r="B193">
            <v>134.97999999999999</v>
          </cell>
          <cell r="C193">
            <v>1.2020900000000001</v>
          </cell>
        </row>
        <row r="194">
          <cell r="A194">
            <v>43825</v>
          </cell>
          <cell r="B194">
            <v>134.91</v>
          </cell>
          <cell r="C194">
            <v>2.1307100000000001</v>
          </cell>
        </row>
        <row r="195">
          <cell r="A195">
            <v>43826</v>
          </cell>
          <cell r="B195">
            <v>135.27000000000001</v>
          </cell>
          <cell r="C195">
            <v>2.75271</v>
          </cell>
        </row>
        <row r="196">
          <cell r="A196">
            <v>43829</v>
          </cell>
          <cell r="B196">
            <v>132.81</v>
          </cell>
          <cell r="C196">
            <v>4.1189400000000003</v>
          </cell>
        </row>
        <row r="197">
          <cell r="A197">
            <v>43830</v>
          </cell>
          <cell r="B197">
            <v>134.04</v>
          </cell>
          <cell r="C197">
            <v>3.7780100000000001</v>
          </cell>
        </row>
        <row r="198">
          <cell r="A198">
            <v>43832</v>
          </cell>
          <cell r="B198">
            <v>135.41999999999999</v>
          </cell>
          <cell r="C198">
            <v>3.1488299999999998</v>
          </cell>
        </row>
        <row r="199">
          <cell r="A199">
            <v>43833</v>
          </cell>
          <cell r="B199">
            <v>134.34</v>
          </cell>
          <cell r="C199">
            <v>2.3736799999999998</v>
          </cell>
        </row>
        <row r="200">
          <cell r="A200">
            <v>43836</v>
          </cell>
          <cell r="B200">
            <v>134.1</v>
          </cell>
          <cell r="C200">
            <v>2.42631</v>
          </cell>
        </row>
        <row r="201">
          <cell r="A201">
            <v>43837</v>
          </cell>
          <cell r="B201">
            <v>134.19</v>
          </cell>
          <cell r="C201">
            <v>3.27597</v>
          </cell>
        </row>
        <row r="202">
          <cell r="A202">
            <v>43838</v>
          </cell>
          <cell r="B202">
            <v>135.31</v>
          </cell>
          <cell r="C202">
            <v>4.3461400000000001</v>
          </cell>
        </row>
        <row r="203">
          <cell r="A203">
            <v>43839</v>
          </cell>
          <cell r="B203">
            <v>136.74</v>
          </cell>
          <cell r="C203">
            <v>3.7328299999999999</v>
          </cell>
        </row>
        <row r="204">
          <cell r="A204">
            <v>43840</v>
          </cell>
          <cell r="B204">
            <v>136.69</v>
          </cell>
          <cell r="C204">
            <v>3.2556400000000001</v>
          </cell>
        </row>
        <row r="205">
          <cell r="A205">
            <v>43843</v>
          </cell>
          <cell r="B205">
            <v>136.6</v>
          </cell>
          <cell r="C205">
            <v>3.5315699999999999</v>
          </cell>
        </row>
        <row r="206">
          <cell r="A206">
            <v>43844</v>
          </cell>
          <cell r="B206">
            <v>135.82</v>
          </cell>
          <cell r="C206">
            <v>3.6834600000000002</v>
          </cell>
        </row>
        <row r="207">
          <cell r="A207">
            <v>43845</v>
          </cell>
          <cell r="B207">
            <v>136.62</v>
          </cell>
          <cell r="C207">
            <v>4.0459500000000004</v>
          </cell>
        </row>
        <row r="208">
          <cell r="A208">
            <v>43846</v>
          </cell>
          <cell r="B208">
            <v>137.97999999999999</v>
          </cell>
          <cell r="C208">
            <v>4.3209099999999996</v>
          </cell>
        </row>
        <row r="209">
          <cell r="A209">
            <v>43847</v>
          </cell>
          <cell r="B209">
            <v>138.31</v>
          </cell>
          <cell r="C209">
            <v>5.6233399999999998</v>
          </cell>
        </row>
        <row r="210">
          <cell r="A210">
            <v>43851</v>
          </cell>
          <cell r="B210">
            <v>139.16999999999999</v>
          </cell>
          <cell r="C210">
            <v>7.2440800000000003</v>
          </cell>
        </row>
        <row r="211">
          <cell r="A211">
            <v>43852</v>
          </cell>
          <cell r="B211">
            <v>143.88999999999999</v>
          </cell>
          <cell r="C211">
            <v>16.47043</v>
          </cell>
        </row>
        <row r="212">
          <cell r="A212">
            <v>43853</v>
          </cell>
          <cell r="B212">
            <v>142.87</v>
          </cell>
          <cell r="C212">
            <v>5.6577900000000003</v>
          </cell>
        </row>
        <row r="213">
          <cell r="A213">
            <v>43854</v>
          </cell>
          <cell r="B213">
            <v>140.56</v>
          </cell>
          <cell r="C213">
            <v>5.58019</v>
          </cell>
        </row>
        <row r="214">
          <cell r="A214">
            <v>43857</v>
          </cell>
          <cell r="B214">
            <v>138.62</v>
          </cell>
          <cell r="C214">
            <v>4.1665599999999996</v>
          </cell>
        </row>
        <row r="215">
          <cell r="A215">
            <v>43858</v>
          </cell>
          <cell r="B215">
            <v>139.55000000000001</v>
          </cell>
          <cell r="C215">
            <v>3.4515600000000002</v>
          </cell>
        </row>
        <row r="216">
          <cell r="A216">
            <v>43859</v>
          </cell>
          <cell r="B216">
            <v>137.69</v>
          </cell>
          <cell r="C216">
            <v>3.05471</v>
          </cell>
        </row>
        <row r="217">
          <cell r="A217">
            <v>43860</v>
          </cell>
          <cell r="B217">
            <v>136.77000000000001</v>
          </cell>
          <cell r="C217">
            <v>5.0579099999999997</v>
          </cell>
        </row>
        <row r="218">
          <cell r="A218">
            <v>43861</v>
          </cell>
          <cell r="B218">
            <v>143.72999999999999</v>
          </cell>
          <cell r="C218">
            <v>18.99456</v>
          </cell>
        </row>
        <row r="219">
          <cell r="A219">
            <v>43864</v>
          </cell>
          <cell r="B219">
            <v>146.27000000000001</v>
          </cell>
          <cell r="C219">
            <v>8.8874999999999993</v>
          </cell>
        </row>
        <row r="220">
          <cell r="A220">
            <v>43865</v>
          </cell>
          <cell r="B220">
            <v>149.11000000000001</v>
          </cell>
          <cell r="C220">
            <v>5.6209699999999998</v>
          </cell>
        </row>
        <row r="221">
          <cell r="A221">
            <v>43866</v>
          </cell>
          <cell r="B221">
            <v>156.33000000000001</v>
          </cell>
          <cell r="C221">
            <v>14.38682</v>
          </cell>
        </row>
        <row r="222">
          <cell r="A222">
            <v>43867</v>
          </cell>
          <cell r="B222">
            <v>156.76</v>
          </cell>
          <cell r="C222">
            <v>8.4005500000000008</v>
          </cell>
        </row>
        <row r="223">
          <cell r="A223">
            <v>43868</v>
          </cell>
          <cell r="B223">
            <v>153.41</v>
          </cell>
          <cell r="C223">
            <v>6.4234299999999998</v>
          </cell>
        </row>
        <row r="224">
          <cell r="A224">
            <v>43871</v>
          </cell>
          <cell r="B224">
            <v>154.43</v>
          </cell>
          <cell r="C224">
            <v>5.2398100000000003</v>
          </cell>
        </row>
        <row r="225">
          <cell r="A225">
            <v>43872</v>
          </cell>
          <cell r="B225">
            <v>153.47999999999999</v>
          </cell>
          <cell r="C225">
            <v>3.8351099999999998</v>
          </cell>
        </row>
        <row r="226">
          <cell r="A226">
            <v>43873</v>
          </cell>
          <cell r="B226">
            <v>155.31</v>
          </cell>
          <cell r="C226">
            <v>4.4380100000000002</v>
          </cell>
        </row>
        <row r="227">
          <cell r="A227">
            <v>43874</v>
          </cell>
          <cell r="B227">
            <v>154.31</v>
          </cell>
          <cell r="C227">
            <v>3.8207</v>
          </cell>
        </row>
        <row r="228">
          <cell r="A228">
            <v>43875</v>
          </cell>
          <cell r="B228">
            <v>150.69999999999999</v>
          </cell>
          <cell r="C228">
            <v>6.09924</v>
          </cell>
        </row>
        <row r="229">
          <cell r="A229">
            <v>43879</v>
          </cell>
          <cell r="B229">
            <v>151.1</v>
          </cell>
          <cell r="C229">
            <v>3.3435100000000002</v>
          </cell>
        </row>
        <row r="230">
          <cell r="A230">
            <v>43880</v>
          </cell>
          <cell r="B230">
            <v>150.86000000000001</v>
          </cell>
          <cell r="C230">
            <v>2.7332800000000002</v>
          </cell>
        </row>
        <row r="231">
          <cell r="A231">
            <v>43881</v>
          </cell>
          <cell r="B231">
            <v>151.22</v>
          </cell>
          <cell r="C231">
            <v>2.8807100000000001</v>
          </cell>
        </row>
        <row r="232">
          <cell r="A232">
            <v>43882</v>
          </cell>
          <cell r="B232">
            <v>149.84</v>
          </cell>
          <cell r="C232">
            <v>3.5372599999999998</v>
          </cell>
        </row>
        <row r="233">
          <cell r="A233">
            <v>43885</v>
          </cell>
          <cell r="B233">
            <v>146.43</v>
          </cell>
          <cell r="C233">
            <v>5.4524100000000004</v>
          </cell>
        </row>
        <row r="234">
          <cell r="A234">
            <v>43886</v>
          </cell>
          <cell r="B234">
            <v>141.71</v>
          </cell>
          <cell r="C234">
            <v>6.2115499999999999</v>
          </cell>
        </row>
        <row r="235">
          <cell r="A235">
            <v>43887</v>
          </cell>
          <cell r="B235">
            <v>139.75</v>
          </cell>
          <cell r="C235">
            <v>5.4095399999999998</v>
          </cell>
        </row>
        <row r="236">
          <cell r="A236">
            <v>43888</v>
          </cell>
          <cell r="B236">
            <v>133.11000000000001</v>
          </cell>
          <cell r="C236">
            <v>8.4211299999999998</v>
          </cell>
        </row>
        <row r="237">
          <cell r="A237">
            <v>43889</v>
          </cell>
          <cell r="B237">
            <v>130.15</v>
          </cell>
          <cell r="C237">
            <v>13.012230000000001</v>
          </cell>
        </row>
        <row r="238">
          <cell r="A238">
            <v>43892</v>
          </cell>
          <cell r="B238">
            <v>134.30000000000001</v>
          </cell>
          <cell r="C238">
            <v>8.5314200000000007</v>
          </cell>
        </row>
        <row r="239">
          <cell r="A239">
            <v>43893</v>
          </cell>
          <cell r="B239">
            <v>128.9</v>
          </cell>
          <cell r="C239">
            <v>7.8960699999999999</v>
          </cell>
        </row>
        <row r="240">
          <cell r="A240">
            <v>43894</v>
          </cell>
          <cell r="B240">
            <v>134.22</v>
          </cell>
          <cell r="C240">
            <v>4.9963699999999998</v>
          </cell>
        </row>
        <row r="241">
          <cell r="A241">
            <v>43895</v>
          </cell>
          <cell r="B241">
            <v>129.55000000000001</v>
          </cell>
          <cell r="C241">
            <v>5.4462299999999999</v>
          </cell>
        </row>
        <row r="242">
          <cell r="A242">
            <v>43896</v>
          </cell>
          <cell r="B242">
            <v>127.73</v>
          </cell>
          <cell r="C242">
            <v>8.1932600000000004</v>
          </cell>
        </row>
        <row r="243">
          <cell r="A243">
            <v>43899</v>
          </cell>
          <cell r="B243">
            <v>117.81</v>
          </cell>
          <cell r="C243">
            <v>10.757490000000001</v>
          </cell>
        </row>
        <row r="244">
          <cell r="A244">
            <v>43900</v>
          </cell>
          <cell r="B244">
            <v>124.77</v>
          </cell>
          <cell r="C244">
            <v>11.410690000000001</v>
          </cell>
        </row>
        <row r="245">
          <cell r="A245">
            <v>43901</v>
          </cell>
          <cell r="B245">
            <v>117.97</v>
          </cell>
          <cell r="C245">
            <v>8.4510400000000008</v>
          </cell>
        </row>
        <row r="246">
          <cell r="A246">
            <v>43902</v>
          </cell>
          <cell r="B246">
            <v>102.81</v>
          </cell>
          <cell r="C246">
            <v>12.51266</v>
          </cell>
        </row>
        <row r="247">
          <cell r="A247">
            <v>43903</v>
          </cell>
          <cell r="B247">
            <v>107.95</v>
          </cell>
          <cell r="C247">
            <v>12.50211</v>
          </cell>
        </row>
        <row r="248">
          <cell r="A248">
            <v>43906</v>
          </cell>
          <cell r="B248">
            <v>99.08</v>
          </cell>
          <cell r="C248">
            <v>10.567959999999999</v>
          </cell>
        </row>
        <row r="249">
          <cell r="A249">
            <v>43907</v>
          </cell>
          <cell r="B249">
            <v>106.65</v>
          </cell>
          <cell r="C249">
            <v>9.2583400000000005</v>
          </cell>
        </row>
        <row r="250">
          <cell r="A250">
            <v>43908</v>
          </cell>
          <cell r="B250">
            <v>103.55</v>
          </cell>
          <cell r="C250">
            <v>8.7724600000000006</v>
          </cell>
        </row>
        <row r="251">
          <cell r="A251">
            <v>43909</v>
          </cell>
          <cell r="B251">
            <v>100.34</v>
          </cell>
          <cell r="C251">
            <v>8.3965200000000006</v>
          </cell>
        </row>
        <row r="252">
          <cell r="A252">
            <v>43910</v>
          </cell>
          <cell r="B252">
            <v>95.39</v>
          </cell>
          <cell r="C252">
            <v>10.54646</v>
          </cell>
        </row>
        <row r="253">
          <cell r="A253">
            <v>43913</v>
          </cell>
          <cell r="B253">
            <v>94.77</v>
          </cell>
          <cell r="C253">
            <v>9.7293900000000004</v>
          </cell>
        </row>
        <row r="254">
          <cell r="A254">
            <v>43914</v>
          </cell>
          <cell r="B254">
            <v>105.48</v>
          </cell>
          <cell r="C254">
            <v>7.9739399999999998</v>
          </cell>
        </row>
        <row r="255">
          <cell r="A255">
            <v>43915</v>
          </cell>
          <cell r="B255">
            <v>105.85</v>
          </cell>
          <cell r="C255">
            <v>8.6540499999999998</v>
          </cell>
        </row>
        <row r="256">
          <cell r="A256">
            <v>43916</v>
          </cell>
          <cell r="B256">
            <v>112.89</v>
          </cell>
          <cell r="C256">
            <v>7.1580500000000002</v>
          </cell>
        </row>
        <row r="257">
          <cell r="A257">
            <v>43917</v>
          </cell>
          <cell r="B257">
            <v>108.03</v>
          </cell>
          <cell r="C257">
            <v>6.4230400000000003</v>
          </cell>
        </row>
        <row r="258">
          <cell r="A258">
            <v>43920</v>
          </cell>
          <cell r="B258">
            <v>112.93</v>
          </cell>
          <cell r="C258">
            <v>5.56454</v>
          </cell>
        </row>
        <row r="259">
          <cell r="A259">
            <v>43921</v>
          </cell>
          <cell r="B259">
            <v>110.93</v>
          </cell>
          <cell r="C259">
            <v>6.3466800000000001</v>
          </cell>
        </row>
        <row r="260">
          <cell r="A260">
            <v>43922</v>
          </cell>
          <cell r="B260">
            <v>105.14</v>
          </cell>
          <cell r="C260">
            <v>6.1129499999999997</v>
          </cell>
        </row>
        <row r="261">
          <cell r="A261">
            <v>43923</v>
          </cell>
          <cell r="B261">
            <v>110</v>
          </cell>
          <cell r="C261">
            <v>6.3286699999999998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Value Model"/>
      <sheetName val="Growth Model"/>
      <sheetName val="Quality Model"/>
      <sheetName val="Momentum Model"/>
      <sheetName val="Factors"/>
    </sheetNames>
    <sheetDataSet>
      <sheetData sheetId="0"/>
      <sheetData sheetId="1">
        <row r="10">
          <cell r="A10" t="str">
            <v>(User access restricted)</v>
          </cell>
        </row>
      </sheetData>
      <sheetData sheetId="2">
        <row r="10">
          <cell r="A10" t="str">
            <v>(User access restricted)</v>
          </cell>
        </row>
      </sheetData>
      <sheetData sheetId="3">
        <row r="10">
          <cell r="A10" t="str">
            <v>(User access restricted)</v>
          </cell>
        </row>
      </sheetData>
      <sheetData sheetId="4">
        <row r="10">
          <cell r="A10" t="str">
            <v>(User access restricted)</v>
          </cell>
        </row>
      </sheetData>
      <sheetData sheetId="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F52D9D7-B53F-4669-843D-D99C91072628}" autoFormatId="16" applyNumberFormats="0" applyBorderFormats="0" applyFontFormats="0" applyPatternFormats="0" applyAlignmentFormats="0" applyWidthHeightFormats="0">
  <queryTableRefresh nextId="4">
    <queryTableFields count="2">
      <queryTableField id="2" name="Name" tableColumnId="2"/>
      <queryTableField id="1" name="Value" tableColumnId="1"/>
    </queryTableFields>
  </queryTableRefresh>
  <extLst>
    <ext xmlns:x15="http://schemas.microsoft.com/office/spreadsheetml/2010/11/main" uri="{883FBD77-0823-4a55-B5E3-86C4891E6966}">
      <x15:queryTable sourceDataName="Query - financials_inpu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5A11AE-CA0F-4FEE-A7A6-6739C5883E91}" name="financials_input" displayName="financials_input" ref="A1:B6" tableType="queryTable" totalsRowShown="0">
  <autoFilter ref="A1:B6" xr:uid="{F05A11AE-CA0F-4FEE-A7A6-6739C5883E91}"/>
  <tableColumns count="2">
    <tableColumn id="2" xr3:uid="{54D31CCF-3CD9-4810-854F-1ED992163180}" uniqueName="2" name="Name" queryTableFieldId="2"/>
    <tableColumn id="1" xr3:uid="{9FD20C48-6091-498E-9A37-F7E8CBC468B5}" uniqueName="1" name="Val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&amp;P Updated">
      <a:dk1>
        <a:srgbClr val="000000"/>
      </a:dk1>
      <a:lt1>
        <a:srgbClr val="FFFFFF"/>
      </a:lt1>
      <a:dk2>
        <a:srgbClr val="5A5A5A"/>
      </a:dk2>
      <a:lt2>
        <a:srgbClr val="DFDFDF"/>
      </a:lt2>
      <a:accent1>
        <a:srgbClr val="E31837"/>
      </a:accent1>
      <a:accent2>
        <a:srgbClr val="00B1B0"/>
      </a:accent2>
      <a:accent3>
        <a:srgbClr val="919195"/>
      </a:accent3>
      <a:accent4>
        <a:srgbClr val="B5E1E1"/>
      </a:accent4>
      <a:accent5>
        <a:srgbClr val="006C67"/>
      </a:accent5>
      <a:accent6>
        <a:srgbClr val="5A3CE6"/>
      </a:accent6>
      <a:hlink>
        <a:srgbClr val="0000FF"/>
      </a:hlink>
      <a:folHlink>
        <a:srgbClr val="800080"/>
      </a:folHlink>
    </a:clrScheme>
    <a:fontScheme name="S&amp;P Capital IQ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B2D-E8CD-4063-9892-A2F3F3C66C85}">
  <dimension ref="A1:B6"/>
  <sheetViews>
    <sheetView workbookViewId="0">
      <selection activeCell="B3" sqref="B3"/>
    </sheetView>
  </sheetViews>
  <sheetFormatPr defaultRowHeight="12.75" x14ac:dyDescent="0.2"/>
  <cols>
    <col min="1" max="1" width="10.7109375" bestFit="1" customWidth="1"/>
    <col min="2" max="2" width="10.5703125" bestFit="1" customWidth="1"/>
  </cols>
  <sheetData>
    <row r="1" spans="1:2" x14ac:dyDescent="0.2">
      <c r="A1" t="s">
        <v>257</v>
      </c>
      <c r="B1" t="s">
        <v>274</v>
      </c>
    </row>
    <row r="2" spans="1:2" x14ac:dyDescent="0.2">
      <c r="A2" t="s">
        <v>513</v>
      </c>
      <c r="B2" t="s">
        <v>605</v>
      </c>
    </row>
    <row r="3" spans="1:2" x14ac:dyDescent="0.2">
      <c r="A3" t="s">
        <v>577</v>
      </c>
      <c r="B3" t="s">
        <v>578</v>
      </c>
    </row>
    <row r="4" spans="1:2" x14ac:dyDescent="0.2">
      <c r="A4" t="s">
        <v>579</v>
      </c>
      <c r="B4" t="s">
        <v>606</v>
      </c>
    </row>
    <row r="5" spans="1:2" x14ac:dyDescent="0.2">
      <c r="A5" t="s">
        <v>580</v>
      </c>
      <c r="B5" t="s">
        <v>607</v>
      </c>
    </row>
    <row r="6" spans="1:2" x14ac:dyDescent="0.2">
      <c r="A6" t="s">
        <v>581</v>
      </c>
      <c r="B6" t="s">
        <v>387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92C4-8904-4FD6-9FED-D6B02BEAEA80}">
  <dimension ref="A1:O8"/>
  <sheetViews>
    <sheetView workbookViewId="0">
      <selection activeCell="I32" sqref="I32"/>
    </sheetView>
  </sheetViews>
  <sheetFormatPr defaultRowHeight="12.75" x14ac:dyDescent="0.2"/>
  <cols>
    <col min="1" max="1" width="10.7109375" bestFit="1" customWidth="1"/>
    <col min="2" max="2" width="10" customWidth="1"/>
  </cols>
  <sheetData>
    <row r="1" spans="1:15" x14ac:dyDescent="0.2">
      <c r="A1" t="str">
        <f>Input_Raw!A1</f>
        <v>Name</v>
      </c>
      <c r="B1" t="str">
        <f>Input_Raw!B1</f>
        <v>Value</v>
      </c>
    </row>
    <row r="2" spans="1:15" x14ac:dyDescent="0.2">
      <c r="A2" t="str">
        <f>Input_Raw!A2</f>
        <v>ticker</v>
      </c>
      <c r="B2" t="str">
        <f>Input_Raw!B2</f>
        <v>NYSE:BAH</v>
      </c>
      <c r="D2">
        <v>990</v>
      </c>
      <c r="E2">
        <f>D2+1</f>
        <v>991</v>
      </c>
      <c r="F2">
        <f>E2+1</f>
        <v>992</v>
      </c>
      <c r="G2">
        <f t="shared" ref="G2:N2" si="0">F2+1</f>
        <v>993</v>
      </c>
      <c r="H2">
        <f t="shared" si="0"/>
        <v>994</v>
      </c>
      <c r="I2">
        <f t="shared" si="0"/>
        <v>995</v>
      </c>
      <c r="J2">
        <f t="shared" si="0"/>
        <v>996</v>
      </c>
      <c r="K2">
        <f t="shared" si="0"/>
        <v>997</v>
      </c>
      <c r="L2">
        <f t="shared" si="0"/>
        <v>998</v>
      </c>
      <c r="M2">
        <f t="shared" si="0"/>
        <v>999</v>
      </c>
      <c r="N2">
        <f t="shared" si="0"/>
        <v>1000</v>
      </c>
      <c r="O2">
        <v>2000</v>
      </c>
    </row>
    <row r="3" spans="1:15" x14ac:dyDescent="0.2">
      <c r="A3" t="str">
        <f>Input_Raw!A3</f>
        <v>date_year</v>
      </c>
      <c r="B3" t="str">
        <f>Input_Raw!B3</f>
        <v>2026</v>
      </c>
    </row>
    <row r="4" spans="1:15" x14ac:dyDescent="0.2">
      <c r="A4" t="str">
        <f>Input_Raw!A4</f>
        <v>date_month</v>
      </c>
      <c r="B4" t="str">
        <f>Input_Raw!B4</f>
        <v>6</v>
      </c>
    </row>
    <row r="5" spans="1:15" x14ac:dyDescent="0.2">
      <c r="A5" t="str">
        <f>Input_Raw!A5</f>
        <v>date_day</v>
      </c>
      <c r="B5" t="str">
        <f>Input_Raw!B5</f>
        <v>14</v>
      </c>
    </row>
    <row r="6" spans="1:15" x14ac:dyDescent="0.2">
      <c r="A6" s="42" t="s">
        <v>582</v>
      </c>
      <c r="B6" s="69">
        <f>DATE(B3,B4,B5)</f>
        <v>46187</v>
      </c>
    </row>
    <row r="7" spans="1:15" x14ac:dyDescent="0.2">
      <c r="A7" t="str">
        <f>Input_Raw!A6</f>
        <v>currency</v>
      </c>
      <c r="B7" t="str">
        <f>Input_Raw!B6</f>
        <v>USD</v>
      </c>
    </row>
    <row r="8" spans="1:15" x14ac:dyDescent="0.2">
      <c r="A8" s="42" t="s">
        <v>583</v>
      </c>
      <c r="B8" s="42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1:BN537"/>
  <sheetViews>
    <sheetView showGridLines="0" zoomScale="85" zoomScaleNormal="85" zoomScaleSheetLayoutView="100" workbookViewId="0">
      <pane xSplit="1" ySplit="1" topLeftCell="B2" activePane="bottomRight" state="frozen"/>
      <selection activeCell="F51" sqref="F51"/>
      <selection pane="topRight" activeCell="F51" sqref="F51"/>
      <selection pane="bottomLeft" activeCell="F51" sqref="F51"/>
      <selection pane="bottomRight" activeCell="K6" sqref="K6"/>
    </sheetView>
  </sheetViews>
  <sheetFormatPr defaultColWidth="9.140625" defaultRowHeight="12.75" x14ac:dyDescent="0.2"/>
  <cols>
    <col min="1" max="1" width="34.5703125" bestFit="1" customWidth="1"/>
    <col min="2" max="13" width="13.28515625" customWidth="1"/>
    <col min="14" max="14" width="5.85546875" style="59" customWidth="1"/>
    <col min="15" max="18" width="9.140625" style="42"/>
    <col min="19" max="19" width="9.140625" style="42" customWidth="1"/>
    <col min="20" max="21" width="9.140625" style="59" customWidth="1"/>
    <col min="22" max="66" width="9.140625" style="59"/>
    <col min="67" max="16384" width="9.140625" style="42"/>
  </cols>
  <sheetData>
    <row r="1" spans="1:66" ht="12.75" customHeight="1" thickBot="1" x14ac:dyDescent="0.25">
      <c r="A1" s="3" t="s">
        <v>604</v>
      </c>
      <c r="B1" s="32" t="str">
        <f t="shared" ref="B1:L1" si="0">"FY"&amp;RIGHT(YEAR(B2),2)</f>
        <v>FY16</v>
      </c>
      <c r="C1" s="32" t="str">
        <f t="shared" si="0"/>
        <v>FY17</v>
      </c>
      <c r="D1" s="32" t="str">
        <f t="shared" si="0"/>
        <v>FY18</v>
      </c>
      <c r="E1" s="32" t="str">
        <f t="shared" si="0"/>
        <v>FY19</v>
      </c>
      <c r="F1" s="32" t="str">
        <f t="shared" si="0"/>
        <v>FY20</v>
      </c>
      <c r="G1" s="32" t="str">
        <f t="shared" si="0"/>
        <v>FY21</v>
      </c>
      <c r="H1" s="32" t="str">
        <f t="shared" si="0"/>
        <v>FY22</v>
      </c>
      <c r="I1" s="32" t="str">
        <f t="shared" si="0"/>
        <v>FY23</v>
      </c>
      <c r="J1" s="32" t="str">
        <f t="shared" si="0"/>
        <v>FY24</v>
      </c>
      <c r="K1" s="32" t="str">
        <f t="shared" si="0"/>
        <v>FY25</v>
      </c>
      <c r="L1" s="32" t="str">
        <f t="shared" si="0"/>
        <v>FY26</v>
      </c>
      <c r="M1" s="32" t="s">
        <v>266</v>
      </c>
      <c r="N1" s="42"/>
      <c r="S1" s="3"/>
      <c r="T1" s="2"/>
      <c r="U1" s="3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spans="1:66" ht="12.75" customHeight="1" thickTop="1" x14ac:dyDescent="0.2">
      <c r="A2" s="3" t="s">
        <v>408</v>
      </c>
      <c r="B2" s="23">
        <f>_xll.ciqfunctions.udf.CIQ(InputTicker, "IQ_PERIODDATE",Input!D$2,Date)</f>
        <v>42460</v>
      </c>
      <c r="C2" s="23">
        <f>_xll.ciqfunctions.udf.CIQ(InputTicker, "IQ_PERIODDATE",Input!E$2,Date)</f>
        <v>42825</v>
      </c>
      <c r="D2" s="23">
        <f>_xll.ciqfunctions.udf.CIQ(InputTicker, "IQ_PERIODDATE",Input!F$2,Date)</f>
        <v>43190</v>
      </c>
      <c r="E2" s="23">
        <f>_xll.ciqfunctions.udf.CIQ(InputTicker, "IQ_PERIODDATE",Input!G$2,Date)</f>
        <v>43555</v>
      </c>
      <c r="F2" s="23">
        <f>_xll.ciqfunctions.udf.CIQ(InputTicker, "IQ_PERIODDATE",Input!H$2,Date)</f>
        <v>43921</v>
      </c>
      <c r="G2" s="23">
        <f>_xll.ciqfunctions.udf.CIQ(InputTicker, "IQ_PERIODDATE",Input!I$2,Date)</f>
        <v>44286</v>
      </c>
      <c r="H2" s="23">
        <f>_xll.ciqfunctions.udf.CIQ(InputTicker, "IQ_PERIODDATE",Input!J$2,Date)</f>
        <v>44651</v>
      </c>
      <c r="I2" s="23">
        <f>_xll.ciqfunctions.udf.CIQ(InputTicker, "IQ_PERIODDATE",Input!K$2,Date)</f>
        <v>45016</v>
      </c>
      <c r="J2" s="23">
        <f>_xll.ciqfunctions.udf.CIQ(InputTicker, "IQ_PERIODDATE",Input!L$2,Date)</f>
        <v>45382</v>
      </c>
      <c r="K2" s="23">
        <f>_xll.ciqfunctions.udf.CIQ(InputTicker, "IQ_PERIODDATE",Input!M$2,Date)</f>
        <v>45747</v>
      </c>
      <c r="L2" s="23">
        <f>_xll.ciqfunctions.udf.CIQ(InputTicker, "IQ_PERIODDATE",Input!N$2,Date)</f>
        <v>46112</v>
      </c>
      <c r="M2" s="23">
        <f>_xll.ciqfunctions.udf.CIQ(InputTicker, "IQ_PERIODDATE",Input!O$2,Date)</f>
        <v>46112</v>
      </c>
      <c r="N2" s="42"/>
      <c r="S2" s="44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</row>
    <row r="3" spans="1:66" ht="12.75" customHeight="1" x14ac:dyDescent="0.2">
      <c r="A3" s="1" t="s">
        <v>57</v>
      </c>
      <c r="B3" s="4">
        <f>_xll.ciqfunctions.udf.CIQ(InputTicker, "IQ_REV",Input!D$2,Date,,,Ccy,Conv)</f>
        <v>5405.7380000000003</v>
      </c>
      <c r="C3" s="4">
        <f>_xll.ciqfunctions.udf.CIQ(InputTicker, "IQ_REV",Input!E$2,Date,,,Ccy,Conv)</f>
        <v>5809.491</v>
      </c>
      <c r="D3" s="41">
        <f>_xll.ciqfunctions.udf.CIQ(InputTicker, "IQ_REV",Input!F$2,Date,,,Ccy,Conv)</f>
        <v>6167.6</v>
      </c>
      <c r="E3" s="4">
        <f>_xll.ciqfunctions.udf.CIQ(InputTicker, "IQ_REV",Input!G$2,Date,,,Ccy,Conv)</f>
        <v>6704.0370000000003</v>
      </c>
      <c r="F3" s="4">
        <f>_xll.ciqfunctions.udf.CIQ(InputTicker, "IQ_REV",Input!H$2,Date,,,Ccy,Conv)</f>
        <v>7463.8410000000003</v>
      </c>
      <c r="G3" s="4">
        <f>_xll.ciqfunctions.udf.CIQ(InputTicker, "IQ_REV",Input!I$2,Date,,,Ccy,Conv)</f>
        <v>7858.9380000000001</v>
      </c>
      <c r="H3" s="4">
        <f>_xll.ciqfunctions.udf.CIQ(InputTicker, "IQ_REV",Input!J$2,Date,,,Ccy,Conv)</f>
        <v>8363.7000000000007</v>
      </c>
      <c r="I3" s="4">
        <f>_xll.ciqfunctions.udf.CIQ(InputTicker, "IQ_REV",Input!K$2,Date,,,Ccy,Conv)</f>
        <v>9259</v>
      </c>
      <c r="J3" s="4">
        <f>_xll.ciqfunctions.udf.CIQ(InputTicker, "IQ_REV",Input!L$2,Date,,,Ccy,Conv)</f>
        <v>10662</v>
      </c>
      <c r="K3" s="4">
        <f>_xll.ciqfunctions.udf.CIQ(InputTicker, "IQ_REV",Input!M$2,Date,,,Ccy,Conv)</f>
        <v>11980</v>
      </c>
      <c r="L3" s="4">
        <f>_xll.ciqfunctions.udf.CIQ(InputTicker, "IQ_REV",Input!N$2,Date,,,Ccy,Conv)</f>
        <v>11217</v>
      </c>
      <c r="M3" s="4">
        <f>_xll.ciqfunctions.udf.CIQ(InputTicker, "IQ_REV",Input!O$2,Date,,,Ccy,Conv)</f>
        <v>11217</v>
      </c>
      <c r="N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</row>
    <row r="4" spans="1:66" ht="12.75" customHeight="1" x14ac:dyDescent="0.2">
      <c r="A4" s="1" t="s">
        <v>157</v>
      </c>
      <c r="B4" s="4">
        <f>_xll.ciqfunctions.udf.CIQ(InputTicker,"IQ_FIN_DIV_REV",Input!D$2,Date,,,Ccy,Conv)</f>
        <v>0</v>
      </c>
      <c r="C4" s="4">
        <f>_xll.ciqfunctions.udf.CIQ(InputTicker,"IQ_FIN_DIV_REV",Input!E$2,Date,,,Ccy,Conv)</f>
        <v>0</v>
      </c>
      <c r="D4" s="4">
        <f>_xll.ciqfunctions.udf.CIQ(InputTicker,"IQ_FIN_DIV_REV",Input!F$2,Date,,,Ccy,Conv)</f>
        <v>0</v>
      </c>
      <c r="E4" s="4">
        <f>_xll.ciqfunctions.udf.CIQ(InputTicker,"IQ_FIN_DIV_REV",Input!G$2,Date,,,Ccy,Conv)</f>
        <v>0</v>
      </c>
      <c r="F4" s="4">
        <f>_xll.ciqfunctions.udf.CIQ(InputTicker,"IQ_FIN_DIV_REV",Input!H$2,Date,,,Ccy,Conv)</f>
        <v>0</v>
      </c>
      <c r="G4" s="4">
        <f>_xll.ciqfunctions.udf.CIQ(InputTicker,"IQ_FIN_DIV_REV",Input!I$2,Date,,,Ccy,Conv)</f>
        <v>0</v>
      </c>
      <c r="H4" s="4">
        <f>_xll.ciqfunctions.udf.CIQ(InputTicker,"IQ_FIN_DIV_REV",Input!J$2,Date,,,Ccy,Conv)</f>
        <v>0</v>
      </c>
      <c r="I4" s="4">
        <f>_xll.ciqfunctions.udf.CIQ(InputTicker,"IQ_FIN_DIV_REV",Input!K$2,Date,,,Ccy,Conv)</f>
        <v>0</v>
      </c>
      <c r="J4" s="4">
        <f>_xll.ciqfunctions.udf.CIQ(InputTicker,"IQ_FIN_DIV_REV",Input!L$2,Date,,,Ccy,Conv)</f>
        <v>0</v>
      </c>
      <c r="K4" s="4">
        <f>_xll.ciqfunctions.udf.CIQ(InputTicker,"IQ_FIN_DIV_REV",Input!M$2,Date,,,Ccy,Conv)</f>
        <v>0</v>
      </c>
      <c r="L4" s="4">
        <f>_xll.ciqfunctions.udf.CIQ(InputTicker,"IQ_FIN_DIV_REV",Input!N$2,Date,,,Ccy,Conv)</f>
        <v>0</v>
      </c>
      <c r="M4" s="4">
        <f>_xll.ciqfunctions.udf.CIQ(InputTicker,"IQ_FIN_DIV_REV",Input!O$2,Date,,,Ccy,Conv)</f>
        <v>0</v>
      </c>
      <c r="N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</row>
    <row r="5" spans="1:66" ht="12.75" customHeight="1" x14ac:dyDescent="0.2">
      <c r="A5" s="1" t="s">
        <v>158</v>
      </c>
      <c r="B5" s="4">
        <f>_xll.ciqfunctions.udf.CIQ(InputTicker, "IQ_INS_DIV_REV",Input!D$2,Date,,,Ccy,Conv)</f>
        <v>0</v>
      </c>
      <c r="C5" s="4">
        <f>_xll.ciqfunctions.udf.CIQ(InputTicker, "IQ_INS_DIV_REV",Input!E$2,Date,,,Ccy,Conv)</f>
        <v>0</v>
      </c>
      <c r="D5" s="4">
        <f>_xll.ciqfunctions.udf.CIQ(InputTicker, "IQ_INS_DIV_REV",Input!F$2,Date,,,Ccy,Conv)</f>
        <v>0</v>
      </c>
      <c r="E5" s="4">
        <f>_xll.ciqfunctions.udf.CIQ(InputTicker, "IQ_INS_DIV_REV",Input!G$2,Date,,,Ccy,Conv)</f>
        <v>0</v>
      </c>
      <c r="F5" s="4">
        <f>_xll.ciqfunctions.udf.CIQ(InputTicker, "IQ_INS_DIV_REV",Input!H$2,Date,,,Ccy,Conv)</f>
        <v>0</v>
      </c>
      <c r="G5" s="4">
        <f>_xll.ciqfunctions.udf.CIQ(InputTicker, "IQ_INS_DIV_REV",Input!I$2,Date,,,Ccy,Conv)</f>
        <v>0</v>
      </c>
      <c r="H5" s="4">
        <f>_xll.ciqfunctions.udf.CIQ(InputTicker, "IQ_INS_DIV_REV",Input!J$2,Date,,,Ccy,Conv)</f>
        <v>0</v>
      </c>
      <c r="I5" s="4">
        <f>_xll.ciqfunctions.udf.CIQ(InputTicker, "IQ_INS_DIV_REV",Input!K$2,Date,,,Ccy,Conv)</f>
        <v>0</v>
      </c>
      <c r="J5" s="4">
        <f>_xll.ciqfunctions.udf.CIQ(InputTicker, "IQ_INS_DIV_REV",Input!L$2,Date,,,Ccy,Conv)</f>
        <v>0</v>
      </c>
      <c r="K5" s="4">
        <f>_xll.ciqfunctions.udf.CIQ(InputTicker, "IQ_INS_DIV_REV",Input!M$2,Date,,,Ccy,Conv)</f>
        <v>0</v>
      </c>
      <c r="L5" s="4">
        <f>_xll.ciqfunctions.udf.CIQ(InputTicker, "IQ_INS_DIV_REV",Input!N$2,Date,,,Ccy,Conv)</f>
        <v>0</v>
      </c>
      <c r="M5" s="4">
        <f>_xll.ciqfunctions.udf.CIQ(InputTicker, "IQ_INS_DIV_REV",Input!O$2,Date,,,Ccy,Conv)</f>
        <v>0</v>
      </c>
      <c r="N5" s="42"/>
      <c r="P5" s="45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</row>
    <row r="6" spans="1:66" ht="12.75" customHeight="1" x14ac:dyDescent="0.2">
      <c r="A6" s="1" t="s">
        <v>276</v>
      </c>
      <c r="B6" s="4">
        <f>_xll.ciqfunctions.udf.CIQ(InputTicker, "IQ_GAIN_ASSETS_REV",Input!D$2,Date,,,Ccy,Conv)</f>
        <v>0</v>
      </c>
      <c r="C6" s="4">
        <f>_xll.ciqfunctions.udf.CIQ(InputTicker, "IQ_GAIN_ASSETS_REV",Input!E$2,Date,,,Ccy,Conv)</f>
        <v>0</v>
      </c>
      <c r="D6" s="4">
        <f>_xll.ciqfunctions.udf.CIQ(InputTicker, "IQ_GAIN_ASSETS_REV",Input!F$2,Date,,,Ccy,Conv)</f>
        <v>0</v>
      </c>
      <c r="E6" s="4">
        <f>_xll.ciqfunctions.udf.CIQ(InputTicker, "IQ_GAIN_ASSETS_REV",Input!G$2,Date,,,Ccy,Conv)</f>
        <v>0</v>
      </c>
      <c r="F6" s="4">
        <f>_xll.ciqfunctions.udf.CIQ(InputTicker, "IQ_GAIN_ASSETS_REV",Input!H$2,Date,,,Ccy,Conv)</f>
        <v>0</v>
      </c>
      <c r="G6" s="4">
        <f>_xll.ciqfunctions.udf.CIQ(InputTicker, "IQ_GAIN_ASSETS_REV",Input!I$2,Date,,,Ccy,Conv)</f>
        <v>0</v>
      </c>
      <c r="H6" s="4">
        <f>_xll.ciqfunctions.udf.CIQ(InputTicker, "IQ_GAIN_ASSETS_REV",Input!J$2,Date,,,Ccy,Conv)</f>
        <v>0</v>
      </c>
      <c r="I6" s="4">
        <f>_xll.ciqfunctions.udf.CIQ(InputTicker, "IQ_GAIN_ASSETS_REV",Input!K$2,Date,,,Ccy,Conv)</f>
        <v>0</v>
      </c>
      <c r="J6" s="4">
        <f>_xll.ciqfunctions.udf.CIQ(InputTicker, "IQ_GAIN_ASSETS_REV",Input!L$2,Date,,,Ccy,Conv)</f>
        <v>0</v>
      </c>
      <c r="K6" s="4">
        <f>_xll.ciqfunctions.udf.CIQ(InputTicker, "IQ_GAIN_ASSETS_REV",Input!M$2,Date,,,Ccy,Conv)</f>
        <v>0</v>
      </c>
      <c r="L6" s="4">
        <f>_xll.ciqfunctions.udf.CIQ(InputTicker, "IQ_GAIN_ASSETS_REV",Input!N$2,Date,,,Ccy,Conv)</f>
        <v>0</v>
      </c>
      <c r="M6" s="4">
        <f>_xll.ciqfunctions.udf.CIQ(InputTicker, "IQ_GAIN_ASSETS_REV",Input!O$2,Date,,,Ccy,Conv)</f>
        <v>0</v>
      </c>
      <c r="N6" s="42"/>
      <c r="P6" s="45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</row>
    <row r="7" spans="1:66" ht="12.75" customHeight="1" x14ac:dyDescent="0.2">
      <c r="A7" s="1" t="s">
        <v>277</v>
      </c>
      <c r="B7" s="4">
        <f>_xll.ciqfunctions.udf.CIQ(InputTicker, "IQ_GAIN_INVEST_REV",Input!D$2,Date,,,Ccy,Conv)</f>
        <v>0</v>
      </c>
      <c r="C7" s="4">
        <f>_xll.ciqfunctions.udf.CIQ(InputTicker, "IQ_GAIN_INVEST_REV",Input!E$2,Date,,,Ccy,Conv)</f>
        <v>0</v>
      </c>
      <c r="D7" s="4">
        <f>_xll.ciqfunctions.udf.CIQ(InputTicker, "IQ_GAIN_INVEST_REV",Input!F$2,Date,,,Ccy,Conv)</f>
        <v>0</v>
      </c>
      <c r="E7" s="4">
        <f>_xll.ciqfunctions.udf.CIQ(InputTicker, "IQ_GAIN_INVEST_REV",Input!G$2,Date,,,Ccy,Conv)</f>
        <v>0</v>
      </c>
      <c r="F7" s="4">
        <f>_xll.ciqfunctions.udf.CIQ(InputTicker, "IQ_GAIN_INVEST_REV",Input!H$2,Date,,,Ccy,Conv)</f>
        <v>0</v>
      </c>
      <c r="G7" s="4">
        <f>_xll.ciqfunctions.udf.CIQ(InputTicker, "IQ_GAIN_INVEST_REV",Input!I$2,Date,,,Ccy,Conv)</f>
        <v>0</v>
      </c>
      <c r="H7" s="4">
        <f>_xll.ciqfunctions.udf.CIQ(InputTicker, "IQ_GAIN_INVEST_REV",Input!J$2,Date,,,Ccy,Conv)</f>
        <v>0</v>
      </c>
      <c r="I7" s="4">
        <f>_xll.ciqfunctions.udf.CIQ(InputTicker, "IQ_GAIN_INVEST_REV",Input!K$2,Date,,,Ccy,Conv)</f>
        <v>0</v>
      </c>
      <c r="J7" s="4">
        <f>_xll.ciqfunctions.udf.CIQ(InputTicker, "IQ_GAIN_INVEST_REV",Input!L$2,Date,,,Ccy,Conv)</f>
        <v>0</v>
      </c>
      <c r="K7" s="4">
        <f>_xll.ciqfunctions.udf.CIQ(InputTicker, "IQ_GAIN_INVEST_REV",Input!M$2,Date,,,Ccy,Conv)</f>
        <v>0</v>
      </c>
      <c r="L7" s="4">
        <f>_xll.ciqfunctions.udf.CIQ(InputTicker, "IQ_GAIN_INVEST_REV",Input!N$2,Date,,,Ccy,Conv)</f>
        <v>0</v>
      </c>
      <c r="M7" s="4">
        <f>_xll.ciqfunctions.udf.CIQ(InputTicker, "IQ_GAIN_INVEST_REV",Input!O$2,Date,,,Ccy,Conv)</f>
        <v>0</v>
      </c>
      <c r="N7" s="42"/>
      <c r="P7" s="45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 t="s">
        <v>603</v>
      </c>
      <c r="AH7" s="42" t="s">
        <v>603</v>
      </c>
      <c r="AI7" s="42"/>
      <c r="AJ7" s="42" t="s">
        <v>603</v>
      </c>
      <c r="AK7" s="42" t="s">
        <v>603</v>
      </c>
      <c r="AL7" s="42"/>
      <c r="AM7" s="42" t="s">
        <v>603</v>
      </c>
      <c r="AN7" s="42" t="s">
        <v>603</v>
      </c>
      <c r="AO7" s="42"/>
      <c r="AP7" s="42" t="s">
        <v>603</v>
      </c>
      <c r="AQ7" s="42" t="s">
        <v>603</v>
      </c>
      <c r="AR7" s="42"/>
      <c r="AS7" s="42" t="s">
        <v>603</v>
      </c>
      <c r="AT7" s="42" t="s">
        <v>603</v>
      </c>
      <c r="AU7" s="42"/>
      <c r="AV7" s="42" t="s">
        <v>603</v>
      </c>
      <c r="AW7" s="42" t="s">
        <v>603</v>
      </c>
      <c r="AX7" s="42"/>
      <c r="AY7" s="42" t="s">
        <v>603</v>
      </c>
      <c r="AZ7" s="42" t="s">
        <v>603</v>
      </c>
      <c r="BA7" s="42"/>
      <c r="BB7" s="42" t="s">
        <v>603</v>
      </c>
      <c r="BC7" s="42" t="s">
        <v>603</v>
      </c>
      <c r="BD7" s="42"/>
      <c r="BE7" s="42" t="s">
        <v>603</v>
      </c>
      <c r="BF7" s="42" t="s">
        <v>603</v>
      </c>
      <c r="BG7" s="42"/>
      <c r="BH7" s="42" t="s">
        <v>603</v>
      </c>
      <c r="BI7" s="42" t="s">
        <v>603</v>
      </c>
      <c r="BJ7" s="42"/>
      <c r="BK7" s="42" t="s">
        <v>603</v>
      </c>
      <c r="BL7" s="42" t="s">
        <v>603</v>
      </c>
      <c r="BM7" s="42"/>
      <c r="BN7" s="42"/>
    </row>
    <row r="8" spans="1:66" ht="12.75" customHeight="1" x14ac:dyDescent="0.2">
      <c r="A8" s="1" t="s">
        <v>159</v>
      </c>
      <c r="B8" s="4">
        <f>_xll.ciqfunctions.udf.CIQ(InputTicker, "IQ_INT_INV_INC",Input!D$2,Date,,,Ccy,Conv)</f>
        <v>0</v>
      </c>
      <c r="C8" s="4">
        <f>_xll.ciqfunctions.udf.CIQ(InputTicker, "IQ_INT_INV_INC",Input!E$2,Date,,,Ccy,Conv)</f>
        <v>0</v>
      </c>
      <c r="D8" s="4">
        <f>_xll.ciqfunctions.udf.CIQ(InputTicker, "IQ_INT_INV_INC",Input!F$2,Date,,,Ccy,Conv)</f>
        <v>0</v>
      </c>
      <c r="E8" s="4">
        <f>_xll.ciqfunctions.udf.CIQ(InputTicker, "IQ_INT_INV_INC",Input!G$2,Date,,,Ccy,Conv)</f>
        <v>0</v>
      </c>
      <c r="F8" s="4">
        <f>_xll.ciqfunctions.udf.CIQ(InputTicker, "IQ_INT_INV_INC",Input!H$2,Date,,,Ccy,Conv)</f>
        <v>0</v>
      </c>
      <c r="G8" s="4">
        <f>_xll.ciqfunctions.udf.CIQ(InputTicker, "IQ_INT_INV_INC",Input!I$2,Date,,,Ccy,Conv)</f>
        <v>0</v>
      </c>
      <c r="H8" s="4">
        <f>_xll.ciqfunctions.udf.CIQ(InputTicker, "IQ_INT_INV_INC",Input!J$2,Date,,,Ccy,Conv)</f>
        <v>0</v>
      </c>
      <c r="I8" s="4">
        <f>_xll.ciqfunctions.udf.CIQ(InputTicker, "IQ_INT_INV_INC",Input!K$2,Date,,,Ccy,Conv)</f>
        <v>0</v>
      </c>
      <c r="J8" s="4">
        <f>_xll.ciqfunctions.udf.CIQ(InputTicker, "IQ_INT_INV_INC",Input!L$2,Date,,,Ccy,Conv)</f>
        <v>0</v>
      </c>
      <c r="K8" s="4">
        <f>_xll.ciqfunctions.udf.CIQ(InputTicker, "IQ_INT_INV_INC",Input!M$2,Date,,,Ccy,Conv)</f>
        <v>0</v>
      </c>
      <c r="L8" s="4">
        <f>_xll.ciqfunctions.udf.CIQ(InputTicker, "IQ_INT_INV_INC",Input!N$2,Date,,,Ccy,Conv)</f>
        <v>0</v>
      </c>
      <c r="M8" s="4">
        <f>_xll.ciqfunctions.udf.CIQ(InputTicker, "IQ_INT_INV_INC",Input!O$2,Date,,,Ccy,Conv)</f>
        <v>0</v>
      </c>
      <c r="N8" s="42"/>
      <c r="P8" s="45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</row>
    <row r="9" spans="1:66" ht="12.75" customHeight="1" x14ac:dyDescent="0.2">
      <c r="A9" s="1" t="s">
        <v>123</v>
      </c>
      <c r="B9" s="4">
        <f>_xll.ciqfunctions.udf.CIQ(InputTicker, "IQ_OTHER_REV_SUPPL",Input!D$2,Date,,,Ccy,Conv)</f>
        <v>0</v>
      </c>
      <c r="C9" s="4">
        <f>_xll.ciqfunctions.udf.CIQ(InputTicker, "IQ_OTHER_REV_SUPPL",Input!E$2,Date,,,Ccy,Conv)</f>
        <v>0</v>
      </c>
      <c r="D9" s="4">
        <f>_xll.ciqfunctions.udf.CIQ(InputTicker, "IQ_OTHER_REV_SUPPL",Input!F$2,Date,,,Ccy,Conv)</f>
        <v>0</v>
      </c>
      <c r="E9" s="4">
        <f>_xll.ciqfunctions.udf.CIQ(InputTicker, "IQ_OTHER_REV_SUPPL",Input!G$2,Date,,,Ccy,Conv)</f>
        <v>0</v>
      </c>
      <c r="F9" s="4">
        <f>_xll.ciqfunctions.udf.CIQ(InputTicker, "IQ_OTHER_REV_SUPPL",Input!H$2,Date,,,Ccy,Conv)</f>
        <v>0</v>
      </c>
      <c r="G9" s="4">
        <f>_xll.ciqfunctions.udf.CIQ(InputTicker, "IQ_OTHER_REV_SUPPL",Input!I$2,Date,,,Ccy,Conv)</f>
        <v>0</v>
      </c>
      <c r="H9" s="4">
        <f>_xll.ciqfunctions.udf.CIQ(InputTicker, "IQ_OTHER_REV_SUPPL",Input!J$2,Date,,,Ccy,Conv)</f>
        <v>0</v>
      </c>
      <c r="I9" s="4">
        <f>_xll.ciqfunctions.udf.CIQ(InputTicker, "IQ_OTHER_REV_SUPPL",Input!K$2,Date,,,Ccy,Conv)</f>
        <v>0</v>
      </c>
      <c r="J9" s="4">
        <f>_xll.ciqfunctions.udf.CIQ(InputTicker, "IQ_OTHER_REV_SUPPL",Input!L$2,Date,,,Ccy,Conv)</f>
        <v>0</v>
      </c>
      <c r="K9" s="4">
        <f>_xll.ciqfunctions.udf.CIQ(InputTicker, "IQ_OTHER_REV_SUPPL",Input!M$2,Date,,,Ccy,Conv)</f>
        <v>0</v>
      </c>
      <c r="L9" s="4">
        <f>_xll.ciqfunctions.udf.CIQ(InputTicker, "IQ_OTHER_REV_SUPPL",Input!N$2,Date,,,Ccy,Conv)</f>
        <v>0</v>
      </c>
      <c r="M9" s="4">
        <f>_xll.ciqfunctions.udf.CIQ(InputTicker, "IQ_OTHER_REV_SUPPL",Input!O$2,Date,,,Ccy,Conv)</f>
        <v>0</v>
      </c>
      <c r="N9" s="42"/>
      <c r="P9" s="45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</row>
    <row r="10" spans="1:66" ht="12.75" customHeight="1" x14ac:dyDescent="0.2">
      <c r="A10" s="5" t="s">
        <v>58</v>
      </c>
      <c r="B10" s="6">
        <f>_xll.ciqfunctions.udf.CIQ(InputTicker, "IQ_TOTAL_REV",Input!D$2,Date,,,Ccy,Conv)</f>
        <v>5405.7380000000003</v>
      </c>
      <c r="C10" s="6">
        <f>_xll.ciqfunctions.udf.CIQ(InputTicker, "IQ_TOTAL_REV",Input!E$2,Date,,,Ccy,Conv)</f>
        <v>5809.491</v>
      </c>
      <c r="D10" s="6">
        <f>_xll.ciqfunctions.udf.CIQ(InputTicker, "IQ_TOTAL_REV",Input!F$2,Date,,,Ccy,Conv)</f>
        <v>6167.6</v>
      </c>
      <c r="E10" s="6">
        <f>_xll.ciqfunctions.udf.CIQ(InputTicker, "IQ_TOTAL_REV",Input!G$2,Date,,,Ccy,Conv)</f>
        <v>6704.0370000000003</v>
      </c>
      <c r="F10" s="6">
        <f>_xll.ciqfunctions.udf.CIQ(InputTicker, "IQ_TOTAL_REV",Input!H$2,Date,,,Ccy,Conv)</f>
        <v>7463.8410000000003</v>
      </c>
      <c r="G10" s="6">
        <f>_xll.ciqfunctions.udf.CIQ(InputTicker, "IQ_TOTAL_REV",Input!I$2,Date,,,Ccy,Conv)</f>
        <v>7858.9380000000001</v>
      </c>
      <c r="H10" s="6">
        <f>_xll.ciqfunctions.udf.CIQ(InputTicker, "IQ_TOTAL_REV",Input!J$2,Date,,,Ccy,Conv)</f>
        <v>8363.7000000000007</v>
      </c>
      <c r="I10" s="6">
        <f>_xll.ciqfunctions.udf.CIQ(InputTicker, "IQ_TOTAL_REV",Input!K$2,Date,,,Ccy,Conv)</f>
        <v>9259</v>
      </c>
      <c r="J10" s="6">
        <f>_xll.ciqfunctions.udf.CIQ(InputTicker, "IQ_TOTAL_REV",Input!L$2,Date,,,Ccy,Conv)</f>
        <v>10662</v>
      </c>
      <c r="K10" s="6">
        <f>_xll.ciqfunctions.udf.CIQ(InputTicker, "IQ_TOTAL_REV",Input!M$2,Date,,,Ccy,Conv)</f>
        <v>11980</v>
      </c>
      <c r="L10" s="6">
        <f>_xll.ciqfunctions.udf.CIQ(InputTicker, "IQ_TOTAL_REV",Input!N$2,Date,,,Ccy,Conv)</f>
        <v>11217</v>
      </c>
      <c r="M10" s="6">
        <f>_xll.ciqfunctions.udf.CIQ(InputTicker, "IQ_TOTAL_REV",Input!O$2,Date,,,Ccy,Conv)</f>
        <v>11217</v>
      </c>
      <c r="N10" s="46"/>
      <c r="P10" s="45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</row>
    <row r="11" spans="1:66" ht="12.75" customHeight="1" x14ac:dyDescent="0.2">
      <c r="A11" s="1" t="s">
        <v>124</v>
      </c>
      <c r="B11" s="4">
        <f>_xll.ciqfunctions.udf.CIQ(InputTicker, "IQ_COGS",Input!D$2,Date,,,Ccy,Conv)</f>
        <v>4093.1089999999999</v>
      </c>
      <c r="C11" s="4">
        <f>_xll.ciqfunctions.udf.CIQ(InputTicker, "IQ_COGS",Input!E$2,Date,,,Ccy,Conv)</f>
        <v>4429.7920000000004</v>
      </c>
      <c r="D11" s="4">
        <f>_xll.ciqfunctions.udf.CIQ(InputTicker, "IQ_COGS",Input!F$2,Date,,,Ccy,Conv)</f>
        <v>4727.58</v>
      </c>
      <c r="E11" s="4">
        <f>_xll.ciqfunctions.udf.CIQ(InputTicker, "IQ_COGS",Input!G$2,Date,,,Ccy,Conv)</f>
        <v>5105.13</v>
      </c>
      <c r="F11" s="4">
        <f>_xll.ciqfunctions.udf.CIQ(InputTicker, "IQ_COGS",Input!H$2,Date,,,Ccy,Conv)</f>
        <v>5677.5929999999998</v>
      </c>
      <c r="G11" s="4">
        <f>_xll.ciqfunctions.udf.CIQ(InputTicker, "IQ_COGS",Input!I$2,Date,,,Ccy,Conv)</f>
        <v>5983.4179999999997</v>
      </c>
      <c r="H11" s="4">
        <f>_xll.ciqfunctions.udf.CIQ(InputTicker, "IQ_COGS",Input!J$2,Date,,,Ccy,Conv)</f>
        <v>6373.7849999999999</v>
      </c>
      <c r="I11" s="4">
        <f>_xll.ciqfunctions.udf.CIQ(InputTicker, "IQ_COGS",Input!K$2,Date,,,Ccy,Conv)</f>
        <v>7114</v>
      </c>
      <c r="J11" s="4">
        <f>_xll.ciqfunctions.udf.CIQ(InputTicker, "IQ_COGS",Input!L$2,Date,,,Ccy,Conv)</f>
        <v>8203</v>
      </c>
      <c r="K11" s="4">
        <f>_xll.ciqfunctions.udf.CIQ(InputTicker, "IQ_COGS",Input!M$2,Date,,,Ccy,Conv)</f>
        <v>9199</v>
      </c>
      <c r="L11" s="4">
        <f>_xll.ciqfunctions.udf.CIQ(InputTicker, "IQ_COGS",Input!N$2,Date,,,Ccy,Conv)</f>
        <v>8709</v>
      </c>
      <c r="M11" s="4">
        <f>_xll.ciqfunctions.udf.CIQ(InputTicker, "IQ_COGS",Input!O$2,Date,,,Ccy,Conv)</f>
        <v>8709</v>
      </c>
      <c r="N11" s="46"/>
      <c r="P11" s="45"/>
      <c r="Q11" s="46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</row>
    <row r="12" spans="1:66" ht="12.75" customHeight="1" x14ac:dyDescent="0.2">
      <c r="A12" s="1" t="s">
        <v>160</v>
      </c>
      <c r="B12" s="4">
        <f>_xll.ciqfunctions.udf.CIQ(InputTicker, "IQ_FIN_DIV_EXP",Input!D$2,Date,,,Ccy,Conv)</f>
        <v>0</v>
      </c>
      <c r="C12" s="4">
        <f>_xll.ciqfunctions.udf.CIQ(InputTicker, "IQ_FIN_DIV_EXP",Input!E$2,Date,,,Ccy,Conv)</f>
        <v>0</v>
      </c>
      <c r="D12" s="4">
        <f>_xll.ciqfunctions.udf.CIQ(InputTicker, "IQ_FIN_DIV_EXP",Input!F$2,Date,,,Ccy,Conv)</f>
        <v>0</v>
      </c>
      <c r="E12" s="4">
        <f>_xll.ciqfunctions.udf.CIQ(InputTicker, "IQ_FIN_DIV_EXP",Input!G$2,Date,,,Ccy,Conv)</f>
        <v>0</v>
      </c>
      <c r="F12" s="4">
        <f>_xll.ciqfunctions.udf.CIQ(InputTicker, "IQ_FIN_DIV_EXP",Input!H$2,Date,,,Ccy,Conv)</f>
        <v>0</v>
      </c>
      <c r="G12" s="4">
        <f>_xll.ciqfunctions.udf.CIQ(InputTicker, "IQ_FIN_DIV_EXP",Input!I$2,Date,,,Ccy,Conv)</f>
        <v>0</v>
      </c>
      <c r="H12" s="4">
        <f>_xll.ciqfunctions.udf.CIQ(InputTicker, "IQ_FIN_DIV_EXP",Input!J$2,Date,,,Ccy,Conv)</f>
        <v>0</v>
      </c>
      <c r="I12" s="4">
        <f>_xll.ciqfunctions.udf.CIQ(InputTicker, "IQ_FIN_DIV_EXP",Input!K$2,Date,,,Ccy,Conv)</f>
        <v>0</v>
      </c>
      <c r="J12" s="4">
        <f>_xll.ciqfunctions.udf.CIQ(InputTicker, "IQ_FIN_DIV_EXP",Input!L$2,Date,,,Ccy,Conv)</f>
        <v>0</v>
      </c>
      <c r="K12" s="4">
        <f>_xll.ciqfunctions.udf.CIQ(InputTicker, "IQ_FIN_DIV_EXP",Input!M$2,Date,,,Ccy,Conv)</f>
        <v>0</v>
      </c>
      <c r="L12" s="4">
        <f>_xll.ciqfunctions.udf.CIQ(InputTicker, "IQ_FIN_DIV_EXP",Input!N$2,Date,,,Ccy,Conv)</f>
        <v>0</v>
      </c>
      <c r="M12" s="4">
        <f>_xll.ciqfunctions.udf.CIQ(InputTicker, "IQ_FIN_DIV_EXP",Input!O$2,Date,,,Ccy,Conv)</f>
        <v>0</v>
      </c>
      <c r="N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</row>
    <row r="13" spans="1:66" ht="12.75" customHeight="1" x14ac:dyDescent="0.2">
      <c r="A13" s="1" t="s">
        <v>161</v>
      </c>
      <c r="B13" s="4">
        <f>_xll.ciqfunctions.udf.CIQ(InputTicker, "IQ_INS_DIV_EXP",Input!D$2,Date,,,Ccy,Conv)</f>
        <v>0</v>
      </c>
      <c r="C13" s="4">
        <f>_xll.ciqfunctions.udf.CIQ(InputTicker, "IQ_INS_DIV_EXP",Input!E$2,Date,,,Ccy,Conv)</f>
        <v>0</v>
      </c>
      <c r="D13" s="4">
        <f>_xll.ciqfunctions.udf.CIQ(InputTicker, "IQ_INS_DIV_EXP",Input!F$2,Date,,,Ccy,Conv)</f>
        <v>0</v>
      </c>
      <c r="E13" s="4">
        <f>_xll.ciqfunctions.udf.CIQ(InputTicker, "IQ_INS_DIV_EXP",Input!G$2,Date,,,Ccy,Conv)</f>
        <v>0</v>
      </c>
      <c r="F13" s="4">
        <f>_xll.ciqfunctions.udf.CIQ(InputTicker, "IQ_INS_DIV_EXP",Input!H$2,Date,,,Ccy,Conv)</f>
        <v>0</v>
      </c>
      <c r="G13" s="4">
        <f>_xll.ciqfunctions.udf.CIQ(InputTicker, "IQ_INS_DIV_EXP",Input!I$2,Date,,,Ccy,Conv)</f>
        <v>0</v>
      </c>
      <c r="H13" s="4">
        <f>_xll.ciqfunctions.udf.CIQ(InputTicker, "IQ_INS_DIV_EXP",Input!J$2,Date,,,Ccy,Conv)</f>
        <v>0</v>
      </c>
      <c r="I13" s="4">
        <f>_xll.ciqfunctions.udf.CIQ(InputTicker, "IQ_INS_DIV_EXP",Input!K$2,Date,,,Ccy,Conv)</f>
        <v>0</v>
      </c>
      <c r="J13" s="4">
        <f>_xll.ciqfunctions.udf.CIQ(InputTicker, "IQ_INS_DIV_EXP",Input!L$2,Date,,,Ccy,Conv)</f>
        <v>0</v>
      </c>
      <c r="K13" s="4">
        <f>_xll.ciqfunctions.udf.CIQ(InputTicker, "IQ_INS_DIV_EXP",Input!M$2,Date,,,Ccy,Conv)</f>
        <v>0</v>
      </c>
      <c r="L13" s="4">
        <f>_xll.ciqfunctions.udf.CIQ(InputTicker, "IQ_INS_DIV_EXP",Input!N$2,Date,,,Ccy,Conv)</f>
        <v>0</v>
      </c>
      <c r="M13" s="4">
        <f>_xll.ciqfunctions.udf.CIQ(InputTicker, "IQ_INS_DIV_EXP",Input!O$2,Date,,,Ccy,Conv)</f>
        <v>0</v>
      </c>
      <c r="N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</row>
    <row r="14" spans="1:66" ht="12.75" customHeight="1" x14ac:dyDescent="0.2">
      <c r="A14" s="1" t="s">
        <v>162</v>
      </c>
      <c r="B14" s="4">
        <f>_xll.ciqfunctions.udf.CIQ(InputTicker, "IQ_FIN_DIV_INT_EXP",Input!D$2,Date,,,Ccy,Conv)</f>
        <v>0</v>
      </c>
      <c r="C14" s="4">
        <f>_xll.ciqfunctions.udf.CIQ(InputTicker, "IQ_FIN_DIV_INT_EXP",Input!E$2,Date,,,Ccy,Conv)</f>
        <v>0</v>
      </c>
      <c r="D14" s="4">
        <f>_xll.ciqfunctions.udf.CIQ(InputTicker, "IQ_FIN_DIV_INT_EXP",Input!F$2,Date,,,Ccy,Conv)</f>
        <v>0</v>
      </c>
      <c r="E14" s="4">
        <f>_xll.ciqfunctions.udf.CIQ(InputTicker, "IQ_FIN_DIV_INT_EXP",Input!G$2,Date,,,Ccy,Conv)</f>
        <v>0</v>
      </c>
      <c r="F14" s="4">
        <f>_xll.ciqfunctions.udf.CIQ(InputTicker, "IQ_FIN_DIV_INT_EXP",Input!H$2,Date,,,Ccy,Conv)</f>
        <v>0</v>
      </c>
      <c r="G14" s="4">
        <f>_xll.ciqfunctions.udf.CIQ(InputTicker, "IQ_FIN_DIV_INT_EXP",Input!I$2,Date,,,Ccy,Conv)</f>
        <v>0</v>
      </c>
      <c r="H14" s="4">
        <f>_xll.ciqfunctions.udf.CIQ(InputTicker, "IQ_FIN_DIV_INT_EXP",Input!J$2,Date,,,Ccy,Conv)</f>
        <v>0</v>
      </c>
      <c r="I14" s="4">
        <f>_xll.ciqfunctions.udf.CIQ(InputTicker, "IQ_FIN_DIV_INT_EXP",Input!K$2,Date,,,Ccy,Conv)</f>
        <v>0</v>
      </c>
      <c r="J14" s="4">
        <f>_xll.ciqfunctions.udf.CIQ(InputTicker, "IQ_FIN_DIV_INT_EXP",Input!L$2,Date,,,Ccy,Conv)</f>
        <v>0</v>
      </c>
      <c r="K14" s="4">
        <f>_xll.ciqfunctions.udf.CIQ(InputTicker, "IQ_FIN_DIV_INT_EXP",Input!M$2,Date,,,Ccy,Conv)</f>
        <v>0</v>
      </c>
      <c r="L14" s="4">
        <f>_xll.ciqfunctions.udf.CIQ(InputTicker, "IQ_FIN_DIV_INT_EXP",Input!N$2,Date,,,Ccy,Conv)</f>
        <v>0</v>
      </c>
      <c r="M14" s="4">
        <f>_xll.ciqfunctions.udf.CIQ(InputTicker, "IQ_FIN_DIV_INT_EXP",Input!O$2,Date,,,Ccy,Conv)</f>
        <v>0</v>
      </c>
      <c r="N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</row>
    <row r="15" spans="1:66" ht="12.75" customHeight="1" x14ac:dyDescent="0.2">
      <c r="A15" s="5" t="s">
        <v>53</v>
      </c>
      <c r="B15" s="6">
        <f>_xll.ciqfunctions.udf.CIQ(InputTicker, "IQ_GP",Input!D$2,Date,,,Ccy,Conv)</f>
        <v>1312.6289999999999</v>
      </c>
      <c r="C15" s="6">
        <f>_xll.ciqfunctions.udf.CIQ(InputTicker, "IQ_GP",Input!E$2,Date,,,Ccy,Conv)</f>
        <v>1379.6990000000001</v>
      </c>
      <c r="D15" s="6">
        <f>_xll.ciqfunctions.udf.CIQ(InputTicker, "IQ_GP",Input!F$2,Date,,,Ccy,Conv)</f>
        <v>1440.02</v>
      </c>
      <c r="E15" s="6">
        <f>_xll.ciqfunctions.udf.CIQ(InputTicker, "IQ_GP",Input!G$2,Date,,,Ccy,Conv)</f>
        <v>1598.9069999999999</v>
      </c>
      <c r="F15" s="6">
        <f>_xll.ciqfunctions.udf.CIQ(InputTicker, "IQ_GP",Input!H$2,Date,,,Ccy,Conv)</f>
        <v>1786.248</v>
      </c>
      <c r="G15" s="6">
        <f>_xll.ciqfunctions.udf.CIQ(InputTicker, "IQ_GP",Input!I$2,Date,,,Ccy,Conv)</f>
        <v>1875.52</v>
      </c>
      <c r="H15" s="6">
        <f>_xll.ciqfunctions.udf.CIQ(InputTicker, "IQ_GP",Input!J$2,Date,,,Ccy,Conv)</f>
        <v>1989.915</v>
      </c>
      <c r="I15" s="6">
        <f>_xll.ciqfunctions.udf.CIQ(InputTicker, "IQ_GP",Input!K$2,Date,,,Ccy,Conv)</f>
        <v>2145</v>
      </c>
      <c r="J15" s="6">
        <f>_xll.ciqfunctions.udf.CIQ(InputTicker, "IQ_GP",Input!L$2,Date,,,Ccy,Conv)</f>
        <v>2459</v>
      </c>
      <c r="K15" s="6">
        <f>_xll.ciqfunctions.udf.CIQ(InputTicker, "IQ_GP",Input!M$2,Date,,,Ccy,Conv)</f>
        <v>2781</v>
      </c>
      <c r="L15" s="6">
        <f>_xll.ciqfunctions.udf.CIQ(InputTicker, "IQ_GP",Input!N$2,Date,,,Ccy,Conv)</f>
        <v>2508</v>
      </c>
      <c r="M15" s="6">
        <f>_xll.ciqfunctions.udf.CIQ(InputTicker, "IQ_GP",Input!O$2,Date,,,Ccy,Conv)</f>
        <v>2508</v>
      </c>
      <c r="N15" s="46"/>
      <c r="P15" s="46"/>
      <c r="Q15" s="46"/>
      <c r="R15" s="46"/>
      <c r="T15" s="42"/>
      <c r="U15" s="42"/>
      <c r="V15" s="46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</row>
    <row r="16" spans="1:66" ht="12.75" customHeight="1" x14ac:dyDescent="0.2">
      <c r="A16" s="1" t="s">
        <v>125</v>
      </c>
      <c r="B16" s="4">
        <f>_xll.ciqfunctions.udf.CIQ(InputTicker, "IQ_SGA_SUPPL",Input!D$2,Date,,,Ccy,Conv)</f>
        <v>806.50900000000001</v>
      </c>
      <c r="C16" s="4">
        <f>_xll.ciqfunctions.udf.CIQ(InputTicker, "IQ_SGA_SUPPL",Input!E$2,Date,,,Ccy,Conv)</f>
        <v>818.17499999999995</v>
      </c>
      <c r="D16" s="4">
        <f>_xll.ciqfunctions.udf.CIQ(InputTicker, "IQ_SGA_SUPPL",Input!F$2,Date,,,Ccy,Conv)</f>
        <v>862.82</v>
      </c>
      <c r="E16" s="4">
        <f>_xll.ciqfunctions.udf.CIQ(InputTicker, "IQ_SGA_SUPPL",Input!G$2,Date,,,Ccy,Conv)</f>
        <v>935.17600000000004</v>
      </c>
      <c r="F16" s="4">
        <f>_xll.ciqfunctions.udf.CIQ(InputTicker, "IQ_SGA_SUPPL",Input!H$2,Date,,,Ccy,Conv)</f>
        <v>1040.8240000000001</v>
      </c>
      <c r="G16" s="4">
        <f>_xll.ciqfunctions.udf.CIQ(InputTicker, "IQ_SGA_SUPPL",Input!I$2,Date,,,Ccy,Conv)</f>
        <v>1041.0709999999999</v>
      </c>
      <c r="H16" s="4">
        <f>_xll.ciqfunctions.udf.CIQ(InputTicker, "IQ_SGA_SUPPL",Input!J$2,Date,,,Ccy,Conv)</f>
        <v>1163.05</v>
      </c>
      <c r="I16" s="4">
        <f>_xll.ciqfunctions.udf.CIQ(InputTicker, "IQ_SGA_SUPPL",Input!K$2,Date,,,Ccy,Conv)</f>
        <v>1169</v>
      </c>
      <c r="J16" s="4">
        <f>_xll.ciqfunctions.udf.CIQ(InputTicker, "IQ_SGA_SUPPL",Input!L$2,Date,,,Ccy,Conv)</f>
        <v>1270</v>
      </c>
      <c r="K16" s="4">
        <f>_xll.ciqfunctions.udf.CIQ(InputTicker, "IQ_SGA_SUPPL",Input!M$2,Date,,,Ccy,Conv)</f>
        <v>1402</v>
      </c>
      <c r="L16" s="4">
        <f>_xll.ciqfunctions.udf.CIQ(InputTicker, "IQ_SGA_SUPPL",Input!N$2,Date,,,Ccy,Conv)</f>
        <v>1250</v>
      </c>
      <c r="M16" s="4">
        <f>_xll.ciqfunctions.udf.CIQ(InputTicker, "IQ_SGA_SUPPL",Input!O$2,Date,,,Ccy,Conv)</f>
        <v>1250</v>
      </c>
      <c r="N16" s="46"/>
      <c r="P16" s="46"/>
      <c r="Q16" s="46"/>
      <c r="R16" s="46"/>
      <c r="T16" s="42"/>
      <c r="U16" s="42"/>
      <c r="V16" s="46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</row>
    <row r="17" spans="1:66" ht="12.75" customHeight="1" x14ac:dyDescent="0.2">
      <c r="A17" s="1" t="s">
        <v>209</v>
      </c>
      <c r="B17" s="4">
        <f>_xll.ciqfunctions.udf.CIQ(InputTicker, "IQ_EXPLORE_DRILL",Input!D$2,Date,,,Ccy,Conv)</f>
        <v>0</v>
      </c>
      <c r="C17" s="4">
        <f>_xll.ciqfunctions.udf.CIQ(InputTicker, "IQ_EXPLORE_DRILL",Input!E$2,Date,,,Ccy,Conv)</f>
        <v>0</v>
      </c>
      <c r="D17" s="4">
        <f>_xll.ciqfunctions.udf.CIQ(InputTicker, "IQ_EXPLORE_DRILL",Input!F$2,Date,,,Ccy,Conv)</f>
        <v>0</v>
      </c>
      <c r="E17" s="4">
        <f>_xll.ciqfunctions.udf.CIQ(InputTicker, "IQ_EXPLORE_DRILL",Input!G$2,Date,,,Ccy,Conv)</f>
        <v>0</v>
      </c>
      <c r="F17" s="4">
        <f>_xll.ciqfunctions.udf.CIQ(InputTicker, "IQ_EXPLORE_DRILL",Input!H$2,Date,,,Ccy,Conv)</f>
        <v>0</v>
      </c>
      <c r="G17" s="4">
        <f>_xll.ciqfunctions.udf.CIQ(InputTicker, "IQ_EXPLORE_DRILL",Input!I$2,Date,,,Ccy,Conv)</f>
        <v>0</v>
      </c>
      <c r="H17" s="4">
        <f>_xll.ciqfunctions.udf.CIQ(InputTicker, "IQ_EXPLORE_DRILL",Input!J$2,Date,,,Ccy,Conv)</f>
        <v>0</v>
      </c>
      <c r="I17" s="4">
        <f>_xll.ciqfunctions.udf.CIQ(InputTicker, "IQ_EXPLORE_DRILL",Input!K$2,Date,,,Ccy,Conv)</f>
        <v>0</v>
      </c>
      <c r="J17" s="4">
        <f>_xll.ciqfunctions.udf.CIQ(InputTicker, "IQ_EXPLORE_DRILL",Input!L$2,Date,,,Ccy,Conv)</f>
        <v>0</v>
      </c>
      <c r="K17" s="4">
        <f>_xll.ciqfunctions.udf.CIQ(InputTicker, "IQ_EXPLORE_DRILL",Input!M$2,Date,,,Ccy,Conv)</f>
        <v>0</v>
      </c>
      <c r="L17" s="4">
        <f>_xll.ciqfunctions.udf.CIQ(InputTicker, "IQ_EXPLORE_DRILL",Input!N$2,Date,,,Ccy,Conv)</f>
        <v>0</v>
      </c>
      <c r="M17" s="4">
        <f>_xll.ciqfunctions.udf.CIQ(InputTicker, "IQ_EXPLORE_DRILL",Input!O$2,Date,,,Ccy,Conv)</f>
        <v>0</v>
      </c>
      <c r="N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</row>
    <row r="18" spans="1:66" ht="12.75" customHeight="1" x14ac:dyDescent="0.2">
      <c r="A18" s="1" t="s">
        <v>210</v>
      </c>
      <c r="B18" s="4">
        <f>_xll.ciqfunctions.udf.CIQ(InputTicker, "IQ_PROV_BAD_DEBTS",Input!D$2,Date,,,Ccy,Conv)</f>
        <v>0</v>
      </c>
      <c r="C18" s="4">
        <f>_xll.ciqfunctions.udf.CIQ(InputTicker, "IQ_PROV_BAD_DEBTS",Input!E$2,Date,,,Ccy,Conv)</f>
        <v>0</v>
      </c>
      <c r="D18" s="4">
        <f>_xll.ciqfunctions.udf.CIQ(InputTicker, "IQ_PROV_BAD_DEBTS",Input!F$2,Date,,,Ccy,Conv)</f>
        <v>0</v>
      </c>
      <c r="E18" s="4">
        <f>_xll.ciqfunctions.udf.CIQ(InputTicker, "IQ_PROV_BAD_DEBTS",Input!G$2,Date,,,Ccy,Conv)</f>
        <v>0</v>
      </c>
      <c r="F18" s="4">
        <f>_xll.ciqfunctions.udf.CIQ(InputTicker, "IQ_PROV_BAD_DEBTS",Input!H$2,Date,,,Ccy,Conv)</f>
        <v>0</v>
      </c>
      <c r="G18" s="4">
        <f>_xll.ciqfunctions.udf.CIQ(InputTicker, "IQ_PROV_BAD_DEBTS",Input!I$2,Date,,,Ccy,Conv)</f>
        <v>0</v>
      </c>
      <c r="H18" s="4">
        <f>_xll.ciqfunctions.udf.CIQ(InputTicker, "IQ_PROV_BAD_DEBTS",Input!J$2,Date,,,Ccy,Conv)</f>
        <v>0</v>
      </c>
      <c r="I18" s="4">
        <f>_xll.ciqfunctions.udf.CIQ(InputTicker, "IQ_PROV_BAD_DEBTS",Input!K$2,Date,,,Ccy,Conv)</f>
        <v>0</v>
      </c>
      <c r="J18" s="4">
        <f>_xll.ciqfunctions.udf.CIQ(InputTicker, "IQ_PROV_BAD_DEBTS",Input!L$2,Date,,,Ccy,Conv)</f>
        <v>0</v>
      </c>
      <c r="K18" s="4">
        <f>_xll.ciqfunctions.udf.CIQ(InputTicker, "IQ_PROV_BAD_DEBTS",Input!M$2,Date,,,Ccy,Conv)</f>
        <v>0</v>
      </c>
      <c r="L18" s="4">
        <f>_xll.ciqfunctions.udf.CIQ(InputTicker, "IQ_PROV_BAD_DEBTS",Input!N$2,Date,,,Ccy,Conv)</f>
        <v>0</v>
      </c>
      <c r="M18" s="4">
        <f>_xll.ciqfunctions.udf.CIQ(InputTicker, "IQ_PROV_BAD_DEBTS",Input!O$2,Date,,,Ccy,Conv)</f>
        <v>0</v>
      </c>
      <c r="N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</row>
    <row r="19" spans="1:66" ht="12.75" customHeight="1" x14ac:dyDescent="0.2">
      <c r="A19" s="1" t="s">
        <v>203</v>
      </c>
      <c r="B19" s="4">
        <f>_xll.ciqfunctions.udf.CIQ(InputTicker, "IQ_STOCK_BASED",Input!D$2,Date,,,Ccy,Conv)</f>
        <v>0</v>
      </c>
      <c r="C19" s="4">
        <f>_xll.ciqfunctions.udf.CIQ(InputTicker, "IQ_STOCK_BASED",Input!E$2,Date,,,Ccy,Conv)</f>
        <v>0</v>
      </c>
      <c r="D19" s="4">
        <f>_xll.ciqfunctions.udf.CIQ(InputTicker, "IQ_STOCK_BASED",Input!F$2,Date,,,Ccy,Conv)</f>
        <v>0</v>
      </c>
      <c r="E19" s="4">
        <f>_xll.ciqfunctions.udf.CIQ(InputTicker, "IQ_STOCK_BASED",Input!G$2,Date,,,Ccy,Conv)</f>
        <v>0</v>
      </c>
      <c r="F19" s="4">
        <f>_xll.ciqfunctions.udf.CIQ(InputTicker, "IQ_STOCK_BASED",Input!H$2,Date,,,Ccy,Conv)</f>
        <v>0</v>
      </c>
      <c r="G19" s="4">
        <f>_xll.ciqfunctions.udf.CIQ(InputTicker, "IQ_STOCK_BASED",Input!I$2,Date,,,Ccy,Conv)</f>
        <v>0</v>
      </c>
      <c r="H19" s="4">
        <f>_xll.ciqfunctions.udf.CIQ(InputTicker, "IQ_STOCK_BASED",Input!J$2,Date,,,Ccy,Conv)</f>
        <v>0</v>
      </c>
      <c r="I19" s="4">
        <f>_xll.ciqfunctions.udf.CIQ(InputTicker, "IQ_STOCK_BASED",Input!K$2,Date,,,Ccy,Conv)</f>
        <v>0</v>
      </c>
      <c r="J19" s="4">
        <f>_xll.ciqfunctions.udf.CIQ(InputTicker, "IQ_STOCK_BASED",Input!L$2,Date,,,Ccy,Conv)</f>
        <v>0</v>
      </c>
      <c r="K19" s="4">
        <f>_xll.ciqfunctions.udf.CIQ(InputTicker, "IQ_STOCK_BASED",Input!M$2,Date,,,Ccy,Conv)</f>
        <v>0</v>
      </c>
      <c r="L19" s="4">
        <f>_xll.ciqfunctions.udf.CIQ(InputTicker, "IQ_STOCK_BASED",Input!N$2,Date,,,Ccy,Conv)</f>
        <v>0</v>
      </c>
      <c r="M19" s="4">
        <f>_xll.ciqfunctions.udf.CIQ(InputTicker, "IQ_STOCK_BASED",Input!O$2,Date,,,Ccy,Conv)</f>
        <v>0</v>
      </c>
      <c r="N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</row>
    <row r="20" spans="1:66" ht="12.75" customHeight="1" x14ac:dyDescent="0.2">
      <c r="A20" s="1" t="s">
        <v>211</v>
      </c>
      <c r="B20" s="4">
        <f>_xll.ciqfunctions.udf.CIQ(InputTicker, "IQ_PRE_OPEN_COST",Input!D$2,Date,,,Ccy,Conv)</f>
        <v>0</v>
      </c>
      <c r="C20" s="4">
        <f>_xll.ciqfunctions.udf.CIQ(InputTicker, "IQ_PRE_OPEN_COST",Input!E$2,Date,,,Ccy,Conv)</f>
        <v>0</v>
      </c>
      <c r="D20" s="4">
        <f>_xll.ciqfunctions.udf.CIQ(InputTicker, "IQ_PRE_OPEN_COST",Input!F$2,Date,,,Ccy,Conv)</f>
        <v>0</v>
      </c>
      <c r="E20" s="4">
        <f>_xll.ciqfunctions.udf.CIQ(InputTicker, "IQ_PRE_OPEN_COST",Input!G$2,Date,,,Ccy,Conv)</f>
        <v>0</v>
      </c>
      <c r="F20" s="4">
        <f>_xll.ciqfunctions.udf.CIQ(InputTicker, "IQ_PRE_OPEN_COST",Input!H$2,Date,,,Ccy,Conv)</f>
        <v>0</v>
      </c>
      <c r="G20" s="4">
        <f>_xll.ciqfunctions.udf.CIQ(InputTicker, "IQ_PRE_OPEN_COST",Input!I$2,Date,,,Ccy,Conv)</f>
        <v>0</v>
      </c>
      <c r="H20" s="4">
        <f>_xll.ciqfunctions.udf.CIQ(InputTicker, "IQ_PRE_OPEN_COST",Input!J$2,Date,,,Ccy,Conv)</f>
        <v>0</v>
      </c>
      <c r="I20" s="4">
        <f>_xll.ciqfunctions.udf.CIQ(InputTicker, "IQ_PRE_OPEN_COST",Input!K$2,Date,,,Ccy,Conv)</f>
        <v>0</v>
      </c>
      <c r="J20" s="4">
        <f>_xll.ciqfunctions.udf.CIQ(InputTicker, "IQ_PRE_OPEN_COST",Input!L$2,Date,,,Ccy,Conv)</f>
        <v>0</v>
      </c>
      <c r="K20" s="4">
        <f>_xll.ciqfunctions.udf.CIQ(InputTicker, "IQ_PRE_OPEN_COST",Input!M$2,Date,,,Ccy,Conv)</f>
        <v>0</v>
      </c>
      <c r="L20" s="4">
        <f>_xll.ciqfunctions.udf.CIQ(InputTicker, "IQ_PRE_OPEN_COST",Input!N$2,Date,,,Ccy,Conv)</f>
        <v>0</v>
      </c>
      <c r="M20" s="4">
        <f>_xll.ciqfunctions.udf.CIQ(InputTicker, "IQ_PRE_OPEN_COST",Input!O$2,Date,,,Ccy,Conv)</f>
        <v>0</v>
      </c>
      <c r="N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</row>
    <row r="21" spans="1:66" ht="12.75" customHeight="1" x14ac:dyDescent="0.2">
      <c r="A21" s="1" t="s">
        <v>59</v>
      </c>
      <c r="B21" s="4">
        <f>_xll.ciqfunctions.udf.CIQ(InputTicker, "IQ_RD_EXP",Input!D$2,Date,,,Ccy,Conv)</f>
        <v>0</v>
      </c>
      <c r="C21" s="4">
        <f>_xll.ciqfunctions.udf.CIQ(InputTicker, "IQ_RD_EXP",Input!E$2,Date,,,Ccy,Conv)</f>
        <v>0</v>
      </c>
      <c r="D21" s="4">
        <f>_xll.ciqfunctions.udf.CIQ(InputTicker, "IQ_RD_EXP",Input!F$2,Date,,,Ccy,Conv)</f>
        <v>0</v>
      </c>
      <c r="E21" s="4">
        <f>_xll.ciqfunctions.udf.CIQ(InputTicker, "IQ_RD_EXP",Input!G$2,Date,,,Ccy,Conv)</f>
        <v>0</v>
      </c>
      <c r="F21" s="4">
        <f>_xll.ciqfunctions.udf.CIQ(InputTicker, "IQ_RD_EXP",Input!H$2,Date,,,Ccy,Conv)</f>
        <v>0</v>
      </c>
      <c r="G21" s="4">
        <f>_xll.ciqfunctions.udf.CIQ(InputTicker, "IQ_RD_EXP",Input!I$2,Date,,,Ccy,Conv)</f>
        <v>0</v>
      </c>
      <c r="H21" s="4">
        <f>_xll.ciqfunctions.udf.CIQ(InputTicker, "IQ_RD_EXP",Input!J$2,Date,,,Ccy,Conv)</f>
        <v>0</v>
      </c>
      <c r="I21" s="4">
        <f>_xll.ciqfunctions.udf.CIQ(InputTicker, "IQ_RD_EXP",Input!K$2,Date,,,Ccy,Conv)</f>
        <v>0</v>
      </c>
      <c r="J21" s="4">
        <f>_xll.ciqfunctions.udf.CIQ(InputTicker, "IQ_RD_EXP",Input!L$2,Date,,,Ccy,Conv)</f>
        <v>0</v>
      </c>
      <c r="K21" s="4">
        <f>_xll.ciqfunctions.udf.CIQ(InputTicker, "IQ_RD_EXP",Input!M$2,Date,,,Ccy,Conv)</f>
        <v>0</v>
      </c>
      <c r="L21" s="4">
        <f>_xll.ciqfunctions.udf.CIQ(InputTicker, "IQ_RD_EXP",Input!N$2,Date,,,Ccy,Conv)</f>
        <v>0</v>
      </c>
      <c r="M21" s="4">
        <f>_xll.ciqfunctions.udf.CIQ(InputTicker, "IQ_RD_EXP",Input!O$2,Date,,,Ccy,Conv)</f>
        <v>0</v>
      </c>
      <c r="N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</row>
    <row r="22" spans="1:66" ht="12.75" customHeight="1" x14ac:dyDescent="0.2">
      <c r="A22" s="1" t="s">
        <v>126</v>
      </c>
      <c r="B22" s="4">
        <f>_xll.ciqfunctions.udf.CIQ(InputTicker, "IQ_DA_SUPPL",Input!D$2,Date,,,Ccy,Conv)</f>
        <v>61.536000000000001</v>
      </c>
      <c r="C22" s="4">
        <f>_xll.ciqfunctions.udf.CIQ(InputTicker, "IQ_DA_SUPPL",Input!E$2,Date,,,Ccy,Conv)</f>
        <v>59.543999999999997</v>
      </c>
      <c r="D22" s="4">
        <f>_xll.ciqfunctions.udf.CIQ(InputTicker, "IQ_DA_SUPPL",Input!F$2,Date,,,Ccy,Conv)</f>
        <v>64.756</v>
      </c>
      <c r="E22" s="4">
        <f>_xll.ciqfunctions.udf.CIQ(InputTicker, "IQ_DA_SUPPL",Input!G$2,Date,,,Ccy,Conv)</f>
        <v>68.575000000000003</v>
      </c>
      <c r="F22" s="4">
        <f>_xll.ciqfunctions.udf.CIQ(InputTicker, "IQ_DA_SUPPL",Input!H$2,Date,,,Ccy,Conv)</f>
        <v>81.081000000000003</v>
      </c>
      <c r="G22" s="4">
        <f>_xll.ciqfunctions.udf.CIQ(InputTicker, "IQ_DA_SUPPL",Input!I$2,Date,,,Ccy,Conv)</f>
        <v>84.314999999999998</v>
      </c>
      <c r="H22" s="4">
        <f>_xll.ciqfunctions.udf.CIQ(InputTicker, "IQ_DA_SUPPL",Input!J$2,Date,,,Ccy,Conv)</f>
        <v>145.74700000000001</v>
      </c>
      <c r="I22" s="4">
        <f>_xll.ciqfunctions.udf.CIQ(InputTicker, "IQ_DA_SUPPL",Input!K$2,Date,,,Ccy,Conv)</f>
        <v>165</v>
      </c>
      <c r="J22" s="4">
        <f>_xll.ciqfunctions.udf.CIQ(InputTicker, "IQ_DA_SUPPL",Input!L$2,Date,,,Ccy,Conv)</f>
        <v>164</v>
      </c>
      <c r="K22" s="4">
        <f>_xll.ciqfunctions.udf.CIQ(InputTicker, "IQ_DA_SUPPL",Input!M$2,Date,,,Ccy,Conv)</f>
        <v>165</v>
      </c>
      <c r="L22" s="4">
        <f>_xll.ciqfunctions.udf.CIQ(InputTicker, "IQ_DA_SUPPL",Input!N$2,Date,,,Ccy,Conv)</f>
        <v>163</v>
      </c>
      <c r="M22" s="4">
        <f>_xll.ciqfunctions.udf.CIQ(InputTicker, "IQ_DA_SUPPL",Input!O$2,Date,,,Ccy,Conv)</f>
        <v>163</v>
      </c>
      <c r="N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</row>
    <row r="23" spans="1:66" ht="12.75" customHeight="1" x14ac:dyDescent="0.2">
      <c r="A23" s="1" t="s">
        <v>141</v>
      </c>
      <c r="B23" s="4">
        <f>_xll.ciqfunctions.udf.CIQ(InputTicker, "IQ_GW_INTAN_AMORT",Input!D$2,Date,,,Ccy,Conv)</f>
        <v>0</v>
      </c>
      <c r="C23" s="4">
        <f>_xll.ciqfunctions.udf.CIQ(InputTicker, "IQ_GW_INTAN_AMORT",Input!E$2,Date,,,Ccy,Conv)</f>
        <v>0</v>
      </c>
      <c r="D23" s="4">
        <f>_xll.ciqfunctions.udf.CIQ(InputTicker, "IQ_GW_INTAN_AMORT",Input!F$2,Date,,,Ccy,Conv)</f>
        <v>0</v>
      </c>
      <c r="E23" s="4">
        <f>_xll.ciqfunctions.udf.CIQ(InputTicker, "IQ_GW_INTAN_AMORT",Input!G$2,Date,,,Ccy,Conv)</f>
        <v>0</v>
      </c>
      <c r="F23" s="4">
        <f>_xll.ciqfunctions.udf.CIQ(InputTicker, "IQ_GW_INTAN_AMORT",Input!H$2,Date,,,Ccy,Conv)</f>
        <v>0</v>
      </c>
      <c r="G23" s="4">
        <f>_xll.ciqfunctions.udf.CIQ(InputTicker, "IQ_GW_INTAN_AMORT",Input!I$2,Date,,,Ccy,Conv)</f>
        <v>0</v>
      </c>
      <c r="H23" s="4">
        <f>_xll.ciqfunctions.udf.CIQ(InputTicker, "IQ_GW_INTAN_AMORT",Input!J$2,Date,,,Ccy,Conv)</f>
        <v>0</v>
      </c>
      <c r="I23" s="4">
        <f>_xll.ciqfunctions.udf.CIQ(InputTicker, "IQ_GW_INTAN_AMORT",Input!K$2,Date,,,Ccy,Conv)</f>
        <v>0</v>
      </c>
      <c r="J23" s="4">
        <f>_xll.ciqfunctions.udf.CIQ(InputTicker, "IQ_GW_INTAN_AMORT",Input!L$2,Date,,,Ccy,Conv)</f>
        <v>0</v>
      </c>
      <c r="K23" s="4">
        <f>_xll.ciqfunctions.udf.CIQ(InputTicker, "IQ_GW_INTAN_AMORT",Input!M$2,Date,,,Ccy,Conv)</f>
        <v>0</v>
      </c>
      <c r="L23" s="4">
        <f>_xll.ciqfunctions.udf.CIQ(InputTicker, "IQ_GW_INTAN_AMORT",Input!N$2,Date,,,Ccy,Conv)</f>
        <v>0</v>
      </c>
      <c r="M23" s="4">
        <f>_xll.ciqfunctions.udf.CIQ(InputTicker, "IQ_GW_INTAN_AMORT",Input!O$2,Date,,,Ccy,Conv)</f>
        <v>0</v>
      </c>
      <c r="N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</row>
    <row r="24" spans="1:66" ht="12.75" customHeight="1" x14ac:dyDescent="0.2">
      <c r="A24" s="1" t="s">
        <v>197</v>
      </c>
      <c r="B24" s="4">
        <f>_xll.ciqfunctions.udf.CIQ(InputTicker, "IQ_IMPAIR_OIL",Input!D$2,Date,,,Ccy,Conv)</f>
        <v>0</v>
      </c>
      <c r="C24" s="4">
        <f>_xll.ciqfunctions.udf.CIQ(InputTicker, "IQ_IMPAIR_OIL",Input!E$2,Date,,,Ccy,Conv)</f>
        <v>0</v>
      </c>
      <c r="D24" s="4">
        <f>_xll.ciqfunctions.udf.CIQ(InputTicker, "IQ_IMPAIR_OIL",Input!F$2,Date,,,Ccy,Conv)</f>
        <v>0</v>
      </c>
      <c r="E24" s="4">
        <f>_xll.ciqfunctions.udf.CIQ(InputTicker, "IQ_IMPAIR_OIL",Input!G$2,Date,,,Ccy,Conv)</f>
        <v>0</v>
      </c>
      <c r="F24" s="4">
        <f>_xll.ciqfunctions.udf.CIQ(InputTicker, "IQ_IMPAIR_OIL",Input!H$2,Date,,,Ccy,Conv)</f>
        <v>0</v>
      </c>
      <c r="G24" s="4">
        <f>_xll.ciqfunctions.udf.CIQ(InputTicker, "IQ_IMPAIR_OIL",Input!I$2,Date,,,Ccy,Conv)</f>
        <v>0</v>
      </c>
      <c r="H24" s="4">
        <f>_xll.ciqfunctions.udf.CIQ(InputTicker, "IQ_IMPAIR_OIL",Input!J$2,Date,,,Ccy,Conv)</f>
        <v>0</v>
      </c>
      <c r="I24" s="4">
        <f>_xll.ciqfunctions.udf.CIQ(InputTicker, "IQ_IMPAIR_OIL",Input!K$2,Date,,,Ccy,Conv)</f>
        <v>0</v>
      </c>
      <c r="J24" s="4">
        <f>_xll.ciqfunctions.udf.CIQ(InputTicker, "IQ_IMPAIR_OIL",Input!L$2,Date,,,Ccy,Conv)</f>
        <v>0</v>
      </c>
      <c r="K24" s="4">
        <f>_xll.ciqfunctions.udf.CIQ(InputTicker, "IQ_IMPAIR_OIL",Input!M$2,Date,,,Ccy,Conv)</f>
        <v>0</v>
      </c>
      <c r="L24" s="4">
        <f>_xll.ciqfunctions.udf.CIQ(InputTicker, "IQ_IMPAIR_OIL",Input!N$2,Date,,,Ccy,Conv)</f>
        <v>0</v>
      </c>
      <c r="M24" s="4">
        <f>_xll.ciqfunctions.udf.CIQ(InputTicker, "IQ_IMPAIR_OIL",Input!O$2,Date,,,Ccy,Conv)</f>
        <v>0</v>
      </c>
      <c r="N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</row>
    <row r="25" spans="1:66" ht="12.75" customHeight="1" x14ac:dyDescent="0.2">
      <c r="A25" s="1" t="s">
        <v>61</v>
      </c>
      <c r="B25" s="8">
        <f>_xll.ciqfunctions.udf.CIQ(InputTicker, "IQ_OTHER_OPER",Input!D$2,Date,,,Ccy,Conv)</f>
        <v>0</v>
      </c>
      <c r="C25" s="8">
        <f>_xll.ciqfunctions.udf.CIQ(InputTicker, "IQ_OTHER_OPER",Input!E$2,Date,,,Ccy,Conv)</f>
        <v>0</v>
      </c>
      <c r="D25" s="8">
        <f>_xll.ciqfunctions.udf.CIQ(InputTicker, "IQ_OTHER_OPER",Input!F$2,Date,,,Ccy,Conv)</f>
        <v>0</v>
      </c>
      <c r="E25" s="8">
        <f>_xll.ciqfunctions.udf.CIQ(InputTicker, "IQ_OTHER_OPER",Input!G$2,Date,,,Ccy,Conv)</f>
        <v>0</v>
      </c>
      <c r="F25" s="8">
        <f>_xll.ciqfunctions.udf.CIQ(InputTicker, "IQ_OTHER_OPER",Input!H$2,Date,,,Ccy,Conv)</f>
        <v>0</v>
      </c>
      <c r="G25" s="8">
        <f>_xll.ciqfunctions.udf.CIQ(InputTicker, "IQ_OTHER_OPER",Input!I$2,Date,,,Ccy,Conv)</f>
        <v>0</v>
      </c>
      <c r="H25" s="8">
        <f>_xll.ciqfunctions.udf.CIQ(InputTicker, "IQ_OTHER_OPER",Input!J$2,Date,,,Ccy,Conv)</f>
        <v>0</v>
      </c>
      <c r="I25" s="8">
        <f>_xll.ciqfunctions.udf.CIQ(InputTicker, "IQ_OTHER_OPER",Input!K$2,Date,,,Ccy,Conv)</f>
        <v>0</v>
      </c>
      <c r="J25" s="8">
        <f>_xll.ciqfunctions.udf.CIQ(InputTicker, "IQ_OTHER_OPER",Input!L$2,Date,,,Ccy,Conv)</f>
        <v>0</v>
      </c>
      <c r="K25" s="8">
        <f>_xll.ciqfunctions.udf.CIQ(InputTicker, "IQ_OTHER_OPER",Input!M$2,Date,,,Ccy,Conv)</f>
        <v>0</v>
      </c>
      <c r="L25" s="8">
        <f>_xll.ciqfunctions.udf.CIQ(InputTicker, "IQ_OTHER_OPER",Input!N$2,Date,,,Ccy,Conv)</f>
        <v>0</v>
      </c>
      <c r="M25" s="8">
        <f>_xll.ciqfunctions.udf.CIQ(InputTicker, "IQ_OTHER_OPER",Input!O$2,Date,,,Ccy,Conv)</f>
        <v>0</v>
      </c>
      <c r="N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</row>
    <row r="26" spans="1:66" ht="12.75" customHeight="1" x14ac:dyDescent="0.2">
      <c r="A26" s="5" t="s">
        <v>62</v>
      </c>
      <c r="B26" s="7">
        <f>_xll.ciqfunctions.udf.CIQ(InputTicker, "IQ_TOTAL_OTHER_OPER",Input!D$2,Date,,,Ccy,Conv)</f>
        <v>868.04499999999996</v>
      </c>
      <c r="C26" s="7">
        <f>_xll.ciqfunctions.udf.CIQ(InputTicker, "IQ_TOTAL_OTHER_OPER",Input!E$2,Date,,,Ccy,Conv)</f>
        <v>877.71900000000005</v>
      </c>
      <c r="D26" s="7">
        <f>_xll.ciqfunctions.udf.CIQ(InputTicker, "IQ_TOTAL_OTHER_OPER",Input!F$2,Date,,,Ccy,Conv)</f>
        <v>927.57600000000002</v>
      </c>
      <c r="E26" s="7">
        <f>_xll.ciqfunctions.udf.CIQ(InputTicker, "IQ_TOTAL_OTHER_OPER",Input!G$2,Date,,,Ccy,Conv)</f>
        <v>1003.751</v>
      </c>
      <c r="F26" s="7">
        <f>_xll.ciqfunctions.udf.CIQ(InputTicker, "IQ_TOTAL_OTHER_OPER",Input!H$2,Date,,,Ccy,Conv)</f>
        <v>1121.905</v>
      </c>
      <c r="G26" s="7">
        <f>_xll.ciqfunctions.udf.CIQ(InputTicker, "IQ_TOTAL_OTHER_OPER",Input!I$2,Date,,,Ccy,Conv)</f>
        <v>1125.386</v>
      </c>
      <c r="H26" s="7">
        <f>_xll.ciqfunctions.udf.CIQ(InputTicker, "IQ_TOTAL_OTHER_OPER",Input!J$2,Date,,,Ccy,Conv)</f>
        <v>1308.797</v>
      </c>
      <c r="I26" s="7">
        <f>_xll.ciqfunctions.udf.CIQ(InputTicker, "IQ_TOTAL_OTHER_OPER",Input!K$2,Date,,,Ccy,Conv)</f>
        <v>1334</v>
      </c>
      <c r="J26" s="7">
        <f>_xll.ciqfunctions.udf.CIQ(InputTicker, "IQ_TOTAL_OTHER_OPER",Input!L$2,Date,,,Ccy,Conv)</f>
        <v>1434</v>
      </c>
      <c r="K26" s="7">
        <f>_xll.ciqfunctions.udf.CIQ(InputTicker, "IQ_TOTAL_OTHER_OPER",Input!M$2,Date,,,Ccy,Conv)</f>
        <v>1567</v>
      </c>
      <c r="L26" s="7">
        <f>_xll.ciqfunctions.udf.CIQ(InputTicker, "IQ_TOTAL_OTHER_OPER",Input!N$2,Date,,,Ccy,Conv)</f>
        <v>1413</v>
      </c>
      <c r="M26" s="7">
        <f>_xll.ciqfunctions.udf.CIQ(InputTicker, "IQ_TOTAL_OTHER_OPER",Input!O$2,Date,,,Ccy,Conv)</f>
        <v>1413</v>
      </c>
      <c r="N26" s="46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</row>
    <row r="27" spans="1:66" ht="12.75" customHeight="1" thickBot="1" x14ac:dyDescent="0.25">
      <c r="A27" s="5" t="s">
        <v>63</v>
      </c>
      <c r="B27" s="9">
        <f>_xll.ciqfunctions.udf.CIQ(InputTicker, "IQ_OPER_INC",Input!D$2,Date,,,Ccy,Conv)</f>
        <v>444.584</v>
      </c>
      <c r="C27" s="9">
        <f>_xll.ciqfunctions.udf.CIQ(InputTicker, "IQ_OPER_INC",Input!E$2,Date,,,Ccy,Conv)</f>
        <v>501.98</v>
      </c>
      <c r="D27" s="9">
        <f>_xll.ciqfunctions.udf.CIQ(InputTicker, "IQ_OPER_INC",Input!F$2,Date,,,Ccy,Conv)</f>
        <v>512.44399999999996</v>
      </c>
      <c r="E27" s="9">
        <f>_xll.ciqfunctions.udf.CIQ(InputTicker, "IQ_OPER_INC",Input!G$2,Date,,,Ccy,Conv)</f>
        <v>595.15599999999995</v>
      </c>
      <c r="F27" s="9">
        <f>_xll.ciqfunctions.udf.CIQ(InputTicker, "IQ_OPER_INC",Input!H$2,Date,,,Ccy,Conv)</f>
        <v>664.34299999999996</v>
      </c>
      <c r="G27" s="9">
        <f>_xll.ciqfunctions.udf.CIQ(InputTicker, "IQ_OPER_INC",Input!I$2,Date,,,Ccy,Conv)</f>
        <v>750.13400000000001</v>
      </c>
      <c r="H27" s="9">
        <f>_xll.ciqfunctions.udf.CIQ(InputTicker, "IQ_OPER_INC",Input!J$2,Date,,,Ccy,Conv)</f>
        <v>681.11800000000005</v>
      </c>
      <c r="I27" s="9">
        <f>_xll.ciqfunctions.udf.CIQ(InputTicker, "IQ_OPER_INC",Input!K$2,Date,,,Ccy,Conv)</f>
        <v>811</v>
      </c>
      <c r="J27" s="9">
        <f>_xll.ciqfunctions.udf.CIQ(InputTicker, "IQ_OPER_INC",Input!L$2,Date,,,Ccy,Conv)</f>
        <v>1025</v>
      </c>
      <c r="K27" s="9">
        <f>_xll.ciqfunctions.udf.CIQ(InputTicker, "IQ_OPER_INC",Input!M$2,Date,,,Ccy,Conv)</f>
        <v>1214</v>
      </c>
      <c r="L27" s="9">
        <f>_xll.ciqfunctions.udf.CIQ(InputTicker, "IQ_OPER_INC",Input!N$2,Date,,,Ccy,Conv)</f>
        <v>1095</v>
      </c>
      <c r="M27" s="9">
        <f>_xll.ciqfunctions.udf.CIQ(InputTicker, "IQ_OPER_INC",Input!O$2,Date,,,Ccy,Conv)</f>
        <v>1095</v>
      </c>
      <c r="N27" s="46"/>
      <c r="P27" s="46"/>
      <c r="Q27" s="46"/>
      <c r="R27" s="46"/>
      <c r="T27" s="42"/>
      <c r="U27" s="42"/>
      <c r="V27" s="46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</row>
    <row r="28" spans="1:66" ht="12.75" customHeight="1" thickTop="1" x14ac:dyDescent="0.2">
      <c r="A28" s="1" t="s">
        <v>52</v>
      </c>
      <c r="B28" s="4">
        <f>_xll.ciqfunctions.udf.CIQ(InputTicker, "IQ_INTEREST_EXP",Input!D$2,Date,,,Ccy,Conv)</f>
        <v>-70.814999999999998</v>
      </c>
      <c r="C28" s="4">
        <f>_xll.ciqfunctions.udf.CIQ(InputTicker, "IQ_INTEREST_EXP",Input!E$2,Date,,,Ccy,Conv)</f>
        <v>-62.298000000000002</v>
      </c>
      <c r="D28" s="4">
        <f>_xll.ciqfunctions.udf.CIQ(InputTicker, "IQ_INTEREST_EXP",Input!F$2,Date,,,Ccy,Conv)</f>
        <v>-82.269000000000005</v>
      </c>
      <c r="E28" s="4">
        <f>_xll.ciqfunctions.udf.CIQ(InputTicker, "IQ_INTEREST_EXP",Input!G$2,Date,,,Ccy,Conv)</f>
        <v>-89.516999999999996</v>
      </c>
      <c r="F28" s="4">
        <f>_xll.ciqfunctions.udf.CIQ(InputTicker, "IQ_INTEREST_EXP",Input!H$2,Date,,,Ccy,Conv)</f>
        <v>-96.96</v>
      </c>
      <c r="G28" s="4">
        <f>_xll.ciqfunctions.udf.CIQ(InputTicker, "IQ_INTEREST_EXP",Input!I$2,Date,,,Ccy,Conv)</f>
        <v>-81.27</v>
      </c>
      <c r="H28" s="4">
        <f>_xll.ciqfunctions.udf.CIQ(InputTicker, "IQ_INTEREST_EXP",Input!J$2,Date,,,Ccy,Conv)</f>
        <v>-92.352000000000004</v>
      </c>
      <c r="I28" s="4">
        <f>_xll.ciqfunctions.udf.CIQ(InputTicker, "IQ_INTEREST_EXP",Input!K$2,Date,,,Ccy,Conv)</f>
        <v>-110</v>
      </c>
      <c r="J28" s="4">
        <f>_xll.ciqfunctions.udf.CIQ(InputTicker, "IQ_INTEREST_EXP",Input!L$2,Date,,,Ccy,Conv)</f>
        <v>-147</v>
      </c>
      <c r="K28" s="4">
        <f>_xll.ciqfunctions.udf.CIQ(InputTicker, "IQ_INTEREST_EXP",Input!M$2,Date,,,Ccy,Conv)</f>
        <v>-168</v>
      </c>
      <c r="L28" s="4">
        <f>_xll.ciqfunctions.udf.CIQ(InputTicker, "IQ_INTEREST_EXP",Input!N$2,Date,,,Ccy,Conv)</f>
        <v>-184</v>
      </c>
      <c r="M28" s="4">
        <f>_xll.ciqfunctions.udf.CIQ(InputTicker, "IQ_INTEREST_EXP",Input!O$2,Date,,,Ccy,Conv)</f>
        <v>-184</v>
      </c>
      <c r="N28" s="46"/>
      <c r="P28" s="46"/>
      <c r="Q28" s="46"/>
      <c r="R28" s="46"/>
      <c r="T28" s="42"/>
      <c r="U28" s="42"/>
      <c r="V28" s="46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</row>
    <row r="29" spans="1:66" ht="12.75" customHeight="1" x14ac:dyDescent="0.2">
      <c r="A29" s="1" t="s">
        <v>64</v>
      </c>
      <c r="B29" s="4">
        <f>_xll.ciqfunctions.udf.CIQ(InputTicker, "IQ_INTEREST_INVEST_INC",Input!D$2,Date,,,Ccy,Conv)</f>
        <v>0</v>
      </c>
      <c r="C29" s="4">
        <f>_xll.ciqfunctions.udf.CIQ(InputTicker, "IQ_INTEREST_INVEST_INC",Input!E$2,Date,,,Ccy,Conv)</f>
        <v>0</v>
      </c>
      <c r="D29" s="4">
        <f>_xll.ciqfunctions.udf.CIQ(InputTicker, "IQ_INTEREST_INVEST_INC",Input!F$2,Date,,,Ccy,Conv)</f>
        <v>0</v>
      </c>
      <c r="E29" s="4">
        <f>_xll.ciqfunctions.udf.CIQ(InputTicker, "IQ_INTEREST_INVEST_INC",Input!G$2,Date,,,Ccy,Conv)</f>
        <v>0</v>
      </c>
      <c r="F29" s="4">
        <f>_xll.ciqfunctions.udf.CIQ(InputTicker, "IQ_INTEREST_INVEST_INC",Input!H$2,Date,,,Ccy,Conv)</f>
        <v>0</v>
      </c>
      <c r="G29" s="4">
        <f>_xll.ciqfunctions.udf.CIQ(InputTicker, "IQ_INTEREST_INVEST_INC",Input!I$2,Date,,,Ccy,Conv)</f>
        <v>0</v>
      </c>
      <c r="H29" s="4">
        <f>_xll.ciqfunctions.udf.CIQ(InputTicker, "IQ_INTEREST_INVEST_INC",Input!J$2,Date,,,Ccy,Conv)</f>
        <v>0</v>
      </c>
      <c r="I29" s="4">
        <f>_xll.ciqfunctions.udf.CIQ(InputTicker, "IQ_INTEREST_INVEST_INC",Input!K$2,Date,,,Ccy,Conv)</f>
        <v>0</v>
      </c>
      <c r="J29" s="4">
        <f>_xll.ciqfunctions.udf.CIQ(InputTicker, "IQ_INTEREST_INVEST_INC",Input!L$2,Date,,,Ccy,Conv)</f>
        <v>0</v>
      </c>
      <c r="K29" s="4">
        <f>_xll.ciqfunctions.udf.CIQ(InputTicker, "IQ_INTEREST_INVEST_INC",Input!M$2,Date,,,Ccy,Conv)</f>
        <v>0</v>
      </c>
      <c r="L29" s="4">
        <f>_xll.ciqfunctions.udf.CIQ(InputTicker, "IQ_INTEREST_INVEST_INC",Input!N$2,Date,,,Ccy,Conv)</f>
        <v>0</v>
      </c>
      <c r="M29" s="4">
        <f>_xll.ciqfunctions.udf.CIQ(InputTicker, "IQ_INTEREST_INVEST_INC",Input!O$2,Date,,,Ccy,Conv)</f>
        <v>0</v>
      </c>
      <c r="N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</row>
    <row r="30" spans="1:66" ht="12.75" customHeight="1" x14ac:dyDescent="0.2">
      <c r="A30" s="5" t="s">
        <v>65</v>
      </c>
      <c r="B30" s="6">
        <f>_xll.ciqfunctions.udf.CIQ(InputTicker, "IQ_NET_INTEREST_EXP",Input!D$2,Date,,,Ccy,Conv)</f>
        <v>-70.814999999999998</v>
      </c>
      <c r="C30" s="6">
        <f>_xll.ciqfunctions.udf.CIQ(InputTicker, "IQ_NET_INTEREST_EXP",Input!E$2,Date,,,Ccy,Conv)</f>
        <v>-62.298000000000002</v>
      </c>
      <c r="D30" s="6">
        <f>_xll.ciqfunctions.udf.CIQ(InputTicker, "IQ_NET_INTEREST_EXP",Input!F$2,Date,,,Ccy,Conv)</f>
        <v>-82.269000000000005</v>
      </c>
      <c r="E30" s="6">
        <f>_xll.ciqfunctions.udf.CIQ(InputTicker, "IQ_NET_INTEREST_EXP",Input!G$2,Date,,,Ccy,Conv)</f>
        <v>-89.516999999999996</v>
      </c>
      <c r="F30" s="6">
        <f>_xll.ciqfunctions.udf.CIQ(InputTicker, "IQ_NET_INTEREST_EXP",Input!H$2,Date,,,Ccy,Conv)</f>
        <v>-96.96</v>
      </c>
      <c r="G30" s="6">
        <f>_xll.ciqfunctions.udf.CIQ(InputTicker, "IQ_NET_INTEREST_EXP",Input!I$2,Date,,,Ccy,Conv)</f>
        <v>-81.27</v>
      </c>
      <c r="H30" s="6">
        <f>_xll.ciqfunctions.udf.CIQ(InputTicker, "IQ_NET_INTEREST_EXP",Input!J$2,Date,,,Ccy,Conv)</f>
        <v>-92.352000000000004</v>
      </c>
      <c r="I30" s="6">
        <f>_xll.ciqfunctions.udf.CIQ(InputTicker, "IQ_NET_INTEREST_EXP",Input!K$2,Date,,,Ccy,Conv)</f>
        <v>-110</v>
      </c>
      <c r="J30" s="6">
        <f>_xll.ciqfunctions.udf.CIQ(InputTicker, "IQ_NET_INTEREST_EXP",Input!L$2,Date,,,Ccy,Conv)</f>
        <v>-147</v>
      </c>
      <c r="K30" s="6">
        <f>_xll.ciqfunctions.udf.CIQ(InputTicker, "IQ_NET_INTEREST_EXP",Input!M$2,Date,,,Ccy,Conv)</f>
        <v>-168</v>
      </c>
      <c r="L30" s="6">
        <f>_xll.ciqfunctions.udf.CIQ(InputTicker, "IQ_NET_INTEREST_EXP",Input!N$2,Date,,,Ccy,Conv)</f>
        <v>-184</v>
      </c>
      <c r="M30" s="6">
        <f>_xll.ciqfunctions.udf.CIQ(InputTicker, "IQ_NET_INTEREST_EXP",Input!O$2,Date,,,Ccy,Conv)</f>
        <v>-184</v>
      </c>
      <c r="N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</row>
    <row r="31" spans="1:66" ht="12.75" customHeight="1" x14ac:dyDescent="0.2">
      <c r="A31" s="1" t="s">
        <v>163</v>
      </c>
      <c r="B31" s="4">
        <f>_xll.ciqfunctions.udf.CIQ(InputTicker, "IQ_INC_EQUITY",Input!D$2,Date,,,Ccy,Conv)</f>
        <v>0</v>
      </c>
      <c r="C31" s="4">
        <f>_xll.ciqfunctions.udf.CIQ(InputTicker, "IQ_INC_EQUITY",Input!E$2,Date,,,Ccy,Conv)</f>
        <v>0</v>
      </c>
      <c r="D31" s="4">
        <f>_xll.ciqfunctions.udf.CIQ(InputTicker, "IQ_INC_EQUITY",Input!F$2,Date,,,Ccy,Conv)</f>
        <v>0</v>
      </c>
      <c r="E31" s="4">
        <f>_xll.ciqfunctions.udf.CIQ(InputTicker, "IQ_INC_EQUITY",Input!G$2,Date,,,Ccy,Conv)</f>
        <v>0</v>
      </c>
      <c r="F31" s="4">
        <f>_xll.ciqfunctions.udf.CIQ(InputTicker, "IQ_INC_EQUITY",Input!H$2,Date,,,Ccy,Conv)</f>
        <v>0</v>
      </c>
      <c r="G31" s="4">
        <f>_xll.ciqfunctions.udf.CIQ(InputTicker, "IQ_INC_EQUITY",Input!I$2,Date,,,Ccy,Conv)</f>
        <v>0</v>
      </c>
      <c r="H31" s="4">
        <f>_xll.ciqfunctions.udf.CIQ(InputTicker, "IQ_INC_EQUITY",Input!J$2,Date,,,Ccy,Conv)</f>
        <v>0</v>
      </c>
      <c r="I31" s="4">
        <f>_xll.ciqfunctions.udf.CIQ(InputTicker, "IQ_INC_EQUITY",Input!K$2,Date,,,Ccy,Conv)</f>
        <v>0</v>
      </c>
      <c r="J31" s="4">
        <f>_xll.ciqfunctions.udf.CIQ(InputTicker, "IQ_INC_EQUITY",Input!L$2,Date,,,Ccy,Conv)</f>
        <v>0</v>
      </c>
      <c r="K31" s="4">
        <f>_xll.ciqfunctions.udf.CIQ(InputTicker, "IQ_INC_EQUITY",Input!M$2,Date,,,Ccy,Conv)</f>
        <v>0</v>
      </c>
      <c r="L31" s="4">
        <f>_xll.ciqfunctions.udf.CIQ(InputTicker, "IQ_INC_EQUITY",Input!N$2,Date,,,Ccy,Conv)</f>
        <v>0</v>
      </c>
      <c r="M31" s="4">
        <f>_xll.ciqfunctions.udf.CIQ(InputTicker, "IQ_INC_EQUITY",Input!O$2,Date,,,Ccy,Conv)</f>
        <v>0</v>
      </c>
      <c r="N31" s="46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</row>
    <row r="32" spans="1:66" ht="12.75" customHeight="1" x14ac:dyDescent="0.2">
      <c r="A32" s="1" t="s">
        <v>164</v>
      </c>
      <c r="B32" s="4">
        <f>_xll.ciqfunctions.udf.CIQ(InputTicker, "IQ_CURRENCY_GAIN",Input!D$2,Date,,,Ccy,Conv)</f>
        <v>0</v>
      </c>
      <c r="C32" s="4">
        <f>_xll.ciqfunctions.udf.CIQ(InputTicker, "IQ_CURRENCY_GAIN",Input!E$2,Date,,,Ccy,Conv)</f>
        <v>0</v>
      </c>
      <c r="D32" s="4">
        <f>_xll.ciqfunctions.udf.CIQ(InputTicker, "IQ_CURRENCY_GAIN",Input!F$2,Date,,,Ccy,Conv)</f>
        <v>0</v>
      </c>
      <c r="E32" s="4">
        <f>_xll.ciqfunctions.udf.CIQ(InputTicker, "IQ_CURRENCY_GAIN",Input!G$2,Date,,,Ccy,Conv)</f>
        <v>0</v>
      </c>
      <c r="F32" s="4">
        <f>_xll.ciqfunctions.udf.CIQ(InputTicker, "IQ_CURRENCY_GAIN",Input!H$2,Date,,,Ccy,Conv)</f>
        <v>0</v>
      </c>
      <c r="G32" s="4">
        <f>_xll.ciqfunctions.udf.CIQ(InputTicker, "IQ_CURRENCY_GAIN",Input!I$2,Date,,,Ccy,Conv)</f>
        <v>0</v>
      </c>
      <c r="H32" s="4">
        <f>_xll.ciqfunctions.udf.CIQ(InputTicker, "IQ_CURRENCY_GAIN",Input!J$2,Date,,,Ccy,Conv)</f>
        <v>0</v>
      </c>
      <c r="I32" s="4">
        <f>_xll.ciqfunctions.udf.CIQ(InputTicker, "IQ_CURRENCY_GAIN",Input!K$2,Date,,,Ccy,Conv)</f>
        <v>0</v>
      </c>
      <c r="J32" s="4">
        <f>_xll.ciqfunctions.udf.CIQ(InputTicker, "IQ_CURRENCY_GAIN",Input!L$2,Date,,,Ccy,Conv)</f>
        <v>0</v>
      </c>
      <c r="K32" s="4">
        <f>_xll.ciqfunctions.udf.CIQ(InputTicker, "IQ_CURRENCY_GAIN",Input!M$2,Date,,,Ccy,Conv)</f>
        <v>0</v>
      </c>
      <c r="L32" s="4">
        <f>_xll.ciqfunctions.udf.CIQ(InputTicker, "IQ_CURRENCY_GAIN",Input!N$2,Date,,,Ccy,Conv)</f>
        <v>0</v>
      </c>
      <c r="M32" s="4">
        <f>_xll.ciqfunctions.udf.CIQ(InputTicker, "IQ_CURRENCY_GAIN",Input!O$2,Date,,,Ccy,Conv)</f>
        <v>0</v>
      </c>
      <c r="N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</row>
    <row r="33" spans="1:66" ht="12.75" customHeight="1" x14ac:dyDescent="0.2">
      <c r="A33" s="1" t="s">
        <v>127</v>
      </c>
      <c r="B33" s="4">
        <f>_xll.ciqfunctions.udf.CIQ(InputTicker, "IQ_OTHER_NON_OPER_EXP_SUPPL",Input!D$2,Date,,,Ccy,Conv)</f>
        <v>5.6929999999999996</v>
      </c>
      <c r="C33" s="4">
        <f>_xll.ciqfunctions.udf.CIQ(InputTicker, "IQ_OTHER_NON_OPER_EXP_SUPPL",Input!E$2,Date,,,Ccy,Conv)</f>
        <v>-10.225</v>
      </c>
      <c r="D33" s="4">
        <f>_xll.ciqfunctions.udf.CIQ(InputTicker, "IQ_OTHER_NON_OPER_EXP_SUPPL",Input!F$2,Date,,,Ccy,Conv)</f>
        <v>-0.13900000000000001</v>
      </c>
      <c r="E33" s="4">
        <f>_xll.ciqfunctions.udf.CIQ(InputTicker, "IQ_OTHER_NON_OPER_EXP_SUPPL",Input!G$2,Date,,,Ccy,Conv)</f>
        <v>9.7639999999999993</v>
      </c>
      <c r="F33" s="4">
        <f>_xll.ciqfunctions.udf.CIQ(InputTicker, "IQ_OTHER_NON_OPER_EXP_SUPPL",Input!H$2,Date,,,Ccy,Conv)</f>
        <v>13.502000000000001</v>
      </c>
      <c r="G33" s="4">
        <f>_xll.ciqfunctions.udf.CIQ(InputTicker, "IQ_OTHER_NON_OPER_EXP_SUPPL",Input!I$2,Date,,,Ccy,Conv)</f>
        <v>-6.4249999999999998</v>
      </c>
      <c r="H33" s="4">
        <f>_xll.ciqfunctions.udf.CIQ(InputTicker, "IQ_OTHER_NON_OPER_EXP_SUPPL",Input!J$2,Date,,,Ccy,Conv)</f>
        <v>15.276999999999999</v>
      </c>
      <c r="I33" s="4">
        <f>_xll.ciqfunctions.udf.CIQ(InputTicker, "IQ_OTHER_NON_OPER_EXP_SUPPL",Input!K$2,Date,,,Ccy,Conv)</f>
        <v>-14</v>
      </c>
      <c r="J33" s="4">
        <f>_xll.ciqfunctions.udf.CIQ(InputTicker, "IQ_OTHER_NON_OPER_EXP_SUPPL",Input!L$2,Date,,,Ccy,Conv)</f>
        <v>3</v>
      </c>
      <c r="K33" s="4">
        <f>_xll.ciqfunctions.udf.CIQ(InputTicker, "IQ_OTHER_NON_OPER_EXP_SUPPL",Input!M$2,Date,,,Ccy,Conv)</f>
        <v>58</v>
      </c>
      <c r="L33" s="4">
        <f>_xll.ciqfunctions.udf.CIQ(InputTicker, "IQ_OTHER_NON_OPER_EXP_SUPPL",Input!N$2,Date,,,Ccy,Conv)</f>
        <v>6</v>
      </c>
      <c r="M33" s="4">
        <f>_xll.ciqfunctions.udf.CIQ(InputTicker, "IQ_OTHER_NON_OPER_EXP_SUPPL",Input!O$2,Date,,,Ccy,Conv)</f>
        <v>6</v>
      </c>
      <c r="N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</row>
    <row r="34" spans="1:66" ht="12.75" customHeight="1" x14ac:dyDescent="0.2">
      <c r="A34" s="5" t="s">
        <v>66</v>
      </c>
      <c r="B34" s="6">
        <f>_xll.ciqfunctions.udf.CIQ(InputTicker, "IQ_EBT_EXCL",Input!D$2,Date,,,Ccy,Conv)</f>
        <v>379.46199999999999</v>
      </c>
      <c r="C34" s="6">
        <f>_xll.ciqfunctions.udf.CIQ(InputTicker, "IQ_EBT_EXCL",Input!E$2,Date,,,Ccy,Conv)</f>
        <v>429.45699999999999</v>
      </c>
      <c r="D34" s="6">
        <f>_xll.ciqfunctions.udf.CIQ(InputTicker, "IQ_EBT_EXCL",Input!F$2,Date,,,Ccy,Conv)</f>
        <v>430.036</v>
      </c>
      <c r="E34" s="6">
        <f>_xll.ciqfunctions.udf.CIQ(InputTicker, "IQ_EBT_EXCL",Input!G$2,Date,,,Ccy,Conv)</f>
        <v>515.40300000000002</v>
      </c>
      <c r="F34" s="6">
        <f>_xll.ciqfunctions.udf.CIQ(InputTicker, "IQ_EBT_EXCL",Input!H$2,Date,,,Ccy,Conv)</f>
        <v>580.88499999999999</v>
      </c>
      <c r="G34" s="6">
        <f>_xll.ciqfunctions.udf.CIQ(InputTicker, "IQ_EBT_EXCL",Input!I$2,Date,,,Ccy,Conv)</f>
        <v>662.43899999999996</v>
      </c>
      <c r="H34" s="6">
        <f>_xll.ciqfunctions.udf.CIQ(InputTicker, "IQ_EBT_EXCL",Input!J$2,Date,,,Ccy,Conv)</f>
        <v>604.04300000000001</v>
      </c>
      <c r="I34" s="6">
        <f>_xll.ciqfunctions.udf.CIQ(InputTicker, "IQ_EBT_EXCL",Input!K$2,Date,,,Ccy,Conv)</f>
        <v>687</v>
      </c>
      <c r="J34" s="6">
        <f>_xll.ciqfunctions.udf.CIQ(InputTicker, "IQ_EBT_EXCL",Input!L$2,Date,,,Ccy,Conv)</f>
        <v>881</v>
      </c>
      <c r="K34" s="6">
        <f>_xll.ciqfunctions.udf.CIQ(InputTicker, "IQ_EBT_EXCL",Input!M$2,Date,,,Ccy,Conv)</f>
        <v>1104</v>
      </c>
      <c r="L34" s="6">
        <f>_xll.ciqfunctions.udf.CIQ(InputTicker, "IQ_EBT_EXCL",Input!N$2,Date,,,Ccy,Conv)</f>
        <v>917</v>
      </c>
      <c r="M34" s="6">
        <f>_xll.ciqfunctions.udf.CIQ(InputTicker, "IQ_EBT_EXCL",Input!O$2,Date,,,Ccy,Conv)</f>
        <v>917</v>
      </c>
      <c r="N34" s="46"/>
      <c r="P34" s="46"/>
      <c r="Q34" s="46"/>
      <c r="R34" s="46"/>
      <c r="T34" s="42"/>
      <c r="U34" s="42"/>
      <c r="V34" s="46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</row>
    <row r="35" spans="1:66" ht="12.75" customHeight="1" x14ac:dyDescent="0.2">
      <c r="A35" s="1" t="s">
        <v>165</v>
      </c>
      <c r="B35" s="4">
        <f>_xll.ciqfunctions.udf.CIQ(InputTicker, "IQ_RESTRUCTURE",Input!D$2,Date,,,Ccy,Conv)</f>
        <v>0</v>
      </c>
      <c r="C35" s="4">
        <f>_xll.ciqfunctions.udf.CIQ(InputTicker, "IQ_RESTRUCTURE",Input!E$2,Date,,,Ccy,Conv)</f>
        <v>0</v>
      </c>
      <c r="D35" s="4">
        <f>_xll.ciqfunctions.udf.CIQ(InputTicker, "IQ_RESTRUCTURE",Input!F$2,Date,,,Ccy,Conv)</f>
        <v>0</v>
      </c>
      <c r="E35" s="4">
        <f>_xll.ciqfunctions.udf.CIQ(InputTicker, "IQ_RESTRUCTURE",Input!G$2,Date,,,Ccy,Conv)</f>
        <v>0</v>
      </c>
      <c r="F35" s="4">
        <f>_xll.ciqfunctions.udf.CIQ(InputTicker, "IQ_RESTRUCTURE",Input!H$2,Date,,,Ccy,Conv)</f>
        <v>0</v>
      </c>
      <c r="G35" s="4">
        <f>_xll.ciqfunctions.udf.CIQ(InputTicker, "IQ_RESTRUCTURE",Input!I$2,Date,,,Ccy,Conv)</f>
        <v>0</v>
      </c>
      <c r="H35" s="4">
        <f>_xll.ciqfunctions.udf.CIQ(InputTicker, "IQ_RESTRUCTURE",Input!J$2,Date,,,Ccy,Conv)</f>
        <v>0</v>
      </c>
      <c r="I35" s="4">
        <f>_xll.ciqfunctions.udf.CIQ(InputTicker, "IQ_RESTRUCTURE",Input!K$2,Date,,,Ccy,Conv)</f>
        <v>0</v>
      </c>
      <c r="J35" s="4">
        <f>_xll.ciqfunctions.udf.CIQ(InputTicker, "IQ_RESTRUCTURE",Input!L$2,Date,,,Ccy,Conv)</f>
        <v>0</v>
      </c>
      <c r="K35" s="4">
        <f>_xll.ciqfunctions.udf.CIQ(InputTicker, "IQ_RESTRUCTURE",Input!M$2,Date,,,Ccy,Conv)</f>
        <v>0</v>
      </c>
      <c r="L35" s="4">
        <f>_xll.ciqfunctions.udf.CIQ(InputTicker, "IQ_RESTRUCTURE",Input!N$2,Date,,,Ccy,Conv)</f>
        <v>-61</v>
      </c>
      <c r="M35" s="4">
        <f>_xll.ciqfunctions.udf.CIQ(InputTicker, "IQ_RESTRUCTURE",Input!O$2,Date,,,Ccy,Conv)</f>
        <v>-61</v>
      </c>
      <c r="N35" s="46"/>
      <c r="P35" s="46"/>
      <c r="Q35" s="46"/>
      <c r="R35" s="46"/>
      <c r="T35" s="42"/>
      <c r="U35" s="42"/>
      <c r="V35" s="46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</row>
    <row r="36" spans="1:66" ht="12.75" customHeight="1" x14ac:dyDescent="0.2">
      <c r="A36" s="1" t="s">
        <v>128</v>
      </c>
      <c r="B36" s="4">
        <f>_xll.ciqfunctions.udf.CIQ(InputTicker, "IQ_MERGER",Input!D$2,Date,,,Ccy,Conv)</f>
        <v>0</v>
      </c>
      <c r="C36" s="4">
        <f>_xll.ciqfunctions.udf.CIQ(InputTicker, "IQ_MERGER",Input!E$2,Date,,,Ccy,Conv)</f>
        <v>-3.8</v>
      </c>
      <c r="D36" s="4">
        <f>_xll.ciqfunctions.udf.CIQ(InputTicker, "IQ_MERGER",Input!F$2,Date,,,Ccy,Conv)</f>
        <v>0</v>
      </c>
      <c r="E36" s="4">
        <f>_xll.ciqfunctions.udf.CIQ(InputTicker, "IQ_MERGER",Input!G$2,Date,,,Ccy,Conv)</f>
        <v>0</v>
      </c>
      <c r="F36" s="4">
        <f>_xll.ciqfunctions.udf.CIQ(InputTicker, "IQ_MERGER",Input!H$2,Date,,,Ccy,Conv)</f>
        <v>0</v>
      </c>
      <c r="G36" s="4">
        <f>_xll.ciqfunctions.udf.CIQ(InputTicker, "IQ_MERGER",Input!I$2,Date,,,Ccy,Conv)</f>
        <v>0</v>
      </c>
      <c r="H36" s="4">
        <f>_xll.ciqfunctions.udf.CIQ(InputTicker, "IQ_MERGER",Input!J$2,Date,,,Ccy,Conv)</f>
        <v>0</v>
      </c>
      <c r="I36" s="4">
        <f>_xll.ciqfunctions.udf.CIQ(InputTicker, "IQ_MERGER",Input!K$2,Date,,,Ccy,Conv)</f>
        <v>0</v>
      </c>
      <c r="J36" s="4">
        <f>_xll.ciqfunctions.udf.CIQ(InputTicker, "IQ_MERGER",Input!L$2,Date,,,Ccy,Conv)</f>
        <v>0</v>
      </c>
      <c r="K36" s="4">
        <f>_xll.ciqfunctions.udf.CIQ(InputTicker, "IQ_MERGER",Input!M$2,Date,,,Ccy,Conv)</f>
        <v>0</v>
      </c>
      <c r="L36" s="4">
        <f>_xll.ciqfunctions.udf.CIQ(InputTicker, "IQ_MERGER",Input!N$2,Date,,,Ccy,Conv)</f>
        <v>0</v>
      </c>
      <c r="M36" s="4">
        <f>_xll.ciqfunctions.udf.CIQ(InputTicker, "IQ_MERGER",Input!O$2,Date,,,Ccy,Conv)</f>
        <v>0</v>
      </c>
      <c r="N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</row>
    <row r="37" spans="1:66" ht="12.75" customHeight="1" x14ac:dyDescent="0.2">
      <c r="A37" s="1" t="s">
        <v>67</v>
      </c>
      <c r="B37" s="4">
        <f>_xll.ciqfunctions.udf.CIQ(InputTicker, "IQ_IMPAIRMENT_GW",Input!D$2,Date,,,Ccy,Conv)</f>
        <v>0</v>
      </c>
      <c r="C37" s="4">
        <f>_xll.ciqfunctions.udf.CIQ(InputTicker, "IQ_IMPAIRMENT_GW",Input!E$2,Date,,,Ccy,Conv)</f>
        <v>0</v>
      </c>
      <c r="D37" s="4">
        <f>_xll.ciqfunctions.udf.CIQ(InputTicker, "IQ_IMPAIRMENT_GW",Input!F$2,Date,,,Ccy,Conv)</f>
        <v>0</v>
      </c>
      <c r="E37" s="4">
        <f>_xll.ciqfunctions.udf.CIQ(InputTicker, "IQ_IMPAIRMENT_GW",Input!G$2,Date,,,Ccy,Conv)</f>
        <v>0</v>
      </c>
      <c r="F37" s="4">
        <f>_xll.ciqfunctions.udf.CIQ(InputTicker, "IQ_IMPAIRMENT_GW",Input!H$2,Date,,,Ccy,Conv)</f>
        <v>0</v>
      </c>
      <c r="G37" s="4">
        <f>_xll.ciqfunctions.udf.CIQ(InputTicker, "IQ_IMPAIRMENT_GW",Input!I$2,Date,,,Ccy,Conv)</f>
        <v>0</v>
      </c>
      <c r="H37" s="4">
        <f>_xll.ciqfunctions.udf.CIQ(InputTicker, "IQ_IMPAIRMENT_GW",Input!J$2,Date,,,Ccy,Conv)</f>
        <v>0</v>
      </c>
      <c r="I37" s="4">
        <f>_xll.ciqfunctions.udf.CIQ(InputTicker, "IQ_IMPAIRMENT_GW",Input!K$2,Date,,,Ccy,Conv)</f>
        <v>0</v>
      </c>
      <c r="J37" s="4">
        <f>_xll.ciqfunctions.udf.CIQ(InputTicker, "IQ_IMPAIRMENT_GW",Input!L$2,Date,,,Ccy,Conv)</f>
        <v>0</v>
      </c>
      <c r="K37" s="4">
        <f>_xll.ciqfunctions.udf.CIQ(InputTicker, "IQ_IMPAIRMENT_GW",Input!M$2,Date,,,Ccy,Conv)</f>
        <v>0</v>
      </c>
      <c r="L37" s="4">
        <f>_xll.ciqfunctions.udf.CIQ(InputTicker, "IQ_IMPAIRMENT_GW",Input!N$2,Date,,,Ccy,Conv)</f>
        <v>0</v>
      </c>
      <c r="M37" s="4">
        <f>_xll.ciqfunctions.udf.CIQ(InputTicker, "IQ_IMPAIRMENT_GW",Input!O$2,Date,,,Ccy,Conv)</f>
        <v>0</v>
      </c>
      <c r="N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</row>
    <row r="38" spans="1:66" ht="12.75" customHeight="1" x14ac:dyDescent="0.2">
      <c r="A38" s="1" t="s">
        <v>68</v>
      </c>
      <c r="B38" s="4">
        <f>_xll.ciqfunctions.udf.CIQ(InputTicker, "IQ_GAIN_INVEST",Input!D$2,Date,,,Ccy,Conv)</f>
        <v>0</v>
      </c>
      <c r="C38" s="4">
        <f>_xll.ciqfunctions.udf.CIQ(InputTicker, "IQ_GAIN_INVEST",Input!E$2,Date,,,Ccy,Conv)</f>
        <v>0</v>
      </c>
      <c r="D38" s="4">
        <f>_xll.ciqfunctions.udf.CIQ(InputTicker, "IQ_GAIN_INVEST",Input!F$2,Date,,,Ccy,Conv)</f>
        <v>0</v>
      </c>
      <c r="E38" s="4">
        <f>_xll.ciqfunctions.udf.CIQ(InputTicker, "IQ_GAIN_INVEST",Input!G$2,Date,,,Ccy,Conv)</f>
        <v>0</v>
      </c>
      <c r="F38" s="4">
        <f>_xll.ciqfunctions.udf.CIQ(InputTicker, "IQ_GAIN_INVEST",Input!H$2,Date,,,Ccy,Conv)</f>
        <v>0</v>
      </c>
      <c r="G38" s="4">
        <f>_xll.ciqfunctions.udf.CIQ(InputTicker, "IQ_GAIN_INVEST",Input!I$2,Date,,,Ccy,Conv)</f>
        <v>0</v>
      </c>
      <c r="H38" s="4">
        <f>_xll.ciqfunctions.udf.CIQ(InputTicker, "IQ_GAIN_INVEST",Input!J$2,Date,,,Ccy,Conv)</f>
        <v>0</v>
      </c>
      <c r="I38" s="4">
        <f>_xll.ciqfunctions.udf.CIQ(InputTicker, "IQ_GAIN_INVEST",Input!K$2,Date,,,Ccy,Conv)</f>
        <v>0</v>
      </c>
      <c r="J38" s="4">
        <f>_xll.ciqfunctions.udf.CIQ(InputTicker, "IQ_GAIN_INVEST",Input!L$2,Date,,,Ccy,Conv)</f>
        <v>0</v>
      </c>
      <c r="K38" s="4">
        <f>_xll.ciqfunctions.udf.CIQ(InputTicker, "IQ_GAIN_INVEST",Input!M$2,Date,,,Ccy,Conv)</f>
        <v>0</v>
      </c>
      <c r="L38" s="4">
        <f>_xll.ciqfunctions.udf.CIQ(InputTicker, "IQ_GAIN_INVEST",Input!N$2,Date,,,Ccy,Conv)</f>
        <v>0</v>
      </c>
      <c r="M38" s="4">
        <f>_xll.ciqfunctions.udf.CIQ(InputTicker, "IQ_GAIN_INVEST",Input!O$2,Date,,,Ccy,Conv)</f>
        <v>0</v>
      </c>
      <c r="N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</row>
    <row r="39" spans="1:66" ht="12.75" customHeight="1" x14ac:dyDescent="0.2">
      <c r="A39" s="1" t="s">
        <v>69</v>
      </c>
      <c r="B39" s="4">
        <f>_xll.ciqfunctions.udf.CIQ(InputTicker, "IQ_GAIN_ASSETS",Input!D$2,Date,,,Ccy,Conv)</f>
        <v>0</v>
      </c>
      <c r="C39" s="4">
        <f>_xll.ciqfunctions.udf.CIQ(InputTicker, "IQ_GAIN_ASSETS",Input!E$2,Date,,,Ccy,Conv)</f>
        <v>0</v>
      </c>
      <c r="D39" s="4">
        <f>_xll.ciqfunctions.udf.CIQ(InputTicker, "IQ_GAIN_ASSETS",Input!F$2,Date,,,Ccy,Conv)</f>
        <v>0</v>
      </c>
      <c r="E39" s="4">
        <f>_xll.ciqfunctions.udf.CIQ(InputTicker, "IQ_GAIN_ASSETS",Input!G$2,Date,,,Ccy,Conv)</f>
        <v>0</v>
      </c>
      <c r="F39" s="4">
        <f>_xll.ciqfunctions.udf.CIQ(InputTicker, "IQ_GAIN_ASSETS",Input!H$2,Date,,,Ccy,Conv)</f>
        <v>0</v>
      </c>
      <c r="G39" s="4">
        <f>_xll.ciqfunctions.udf.CIQ(InputTicker, "IQ_GAIN_ASSETS",Input!I$2,Date,,,Ccy,Conv)</f>
        <v>0</v>
      </c>
      <c r="H39" s="4">
        <f>_xll.ciqfunctions.udf.CIQ(InputTicker, "IQ_GAIN_ASSETS",Input!J$2,Date,,,Ccy,Conv)</f>
        <v>0</v>
      </c>
      <c r="I39" s="4">
        <f>_xll.ciqfunctions.udf.CIQ(InputTicker, "IQ_GAIN_ASSETS",Input!K$2,Date,,,Ccy,Conv)</f>
        <v>31</v>
      </c>
      <c r="J39" s="4">
        <f>_xll.ciqfunctions.udf.CIQ(InputTicker, "IQ_GAIN_ASSETS",Input!L$2,Date,,,Ccy,Conv)</f>
        <v>0</v>
      </c>
      <c r="K39" s="4">
        <f>_xll.ciqfunctions.udf.CIQ(InputTicker, "IQ_GAIN_ASSETS",Input!M$2,Date,,,Ccy,Conv)</f>
        <v>0</v>
      </c>
      <c r="L39" s="4">
        <f>_xll.ciqfunctions.udf.CIQ(InputTicker, "IQ_GAIN_ASSETS",Input!N$2,Date,,,Ccy,Conv)</f>
        <v>6</v>
      </c>
      <c r="M39" s="4">
        <f>_xll.ciqfunctions.udf.CIQ(InputTicker, "IQ_GAIN_ASSETS",Input!O$2,Date,,,Ccy,Conv)</f>
        <v>6</v>
      </c>
      <c r="N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</row>
    <row r="40" spans="1:66" ht="12.75" customHeight="1" x14ac:dyDescent="0.2">
      <c r="A40" s="1" t="s">
        <v>166</v>
      </c>
      <c r="B40" s="4">
        <f>_xll.ciqfunctions.udf.CIQ(InputTicker, "IQ_ASSET_WRITEDOWN",Input!D$2,Date,,,Ccy,Conv)</f>
        <v>0</v>
      </c>
      <c r="C40" s="4">
        <f>_xll.ciqfunctions.udf.CIQ(InputTicker, "IQ_ASSET_WRITEDOWN",Input!E$2,Date,,,Ccy,Conv)</f>
        <v>0</v>
      </c>
      <c r="D40" s="4">
        <f>_xll.ciqfunctions.udf.CIQ(InputTicker, "IQ_ASSET_WRITEDOWN",Input!F$2,Date,,,Ccy,Conv)</f>
        <v>0</v>
      </c>
      <c r="E40" s="4">
        <f>_xll.ciqfunctions.udf.CIQ(InputTicker, "IQ_ASSET_WRITEDOWN",Input!G$2,Date,,,Ccy,Conv)</f>
        <v>0</v>
      </c>
      <c r="F40" s="4">
        <f>_xll.ciqfunctions.udf.CIQ(InputTicker, "IQ_ASSET_WRITEDOWN",Input!H$2,Date,,,Ccy,Conv)</f>
        <v>0</v>
      </c>
      <c r="G40" s="4">
        <f>_xll.ciqfunctions.udf.CIQ(InputTicker, "IQ_ASSET_WRITEDOWN",Input!I$2,Date,,,Ccy,Conv)</f>
        <v>0</v>
      </c>
      <c r="H40" s="4">
        <f>_xll.ciqfunctions.udf.CIQ(InputTicker, "IQ_ASSET_WRITEDOWN",Input!J$2,Date,,,Ccy,Conv)</f>
        <v>0</v>
      </c>
      <c r="I40" s="4">
        <f>_xll.ciqfunctions.udf.CIQ(InputTicker, "IQ_ASSET_WRITEDOWN",Input!K$2,Date,,,Ccy,Conv)</f>
        <v>0</v>
      </c>
      <c r="J40" s="4">
        <f>_xll.ciqfunctions.udf.CIQ(InputTicker, "IQ_ASSET_WRITEDOWN",Input!L$2,Date,,,Ccy,Conv)</f>
        <v>0</v>
      </c>
      <c r="K40" s="4">
        <f>_xll.ciqfunctions.udf.CIQ(InputTicker, "IQ_ASSET_WRITEDOWN",Input!M$2,Date,,,Ccy,Conv)</f>
        <v>0</v>
      </c>
      <c r="L40" s="4">
        <f>_xll.ciqfunctions.udf.CIQ(InputTicker, "IQ_ASSET_WRITEDOWN",Input!N$2,Date,,,Ccy,Conv)</f>
        <v>0</v>
      </c>
      <c r="M40" s="4">
        <f>_xll.ciqfunctions.udf.CIQ(InputTicker, "IQ_ASSET_WRITEDOWN",Input!O$2,Date,,,Ccy,Conv)</f>
        <v>0</v>
      </c>
      <c r="N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</row>
    <row r="41" spans="1:66" ht="12.75" customHeight="1" x14ac:dyDescent="0.2">
      <c r="A41" s="1" t="s">
        <v>278</v>
      </c>
      <c r="B41" s="4">
        <f>_xll.ciqfunctions.udf.CIQ(InputTicker, "IQ_IPRD",Input!D$2,Date,,,Ccy,Conv)</f>
        <v>0</v>
      </c>
      <c r="C41" s="4">
        <f>_xll.ciqfunctions.udf.CIQ(InputTicker, "IQ_IPRD",Input!E$2,Date,,,Ccy,Conv)</f>
        <v>0</v>
      </c>
      <c r="D41" s="4">
        <f>_xll.ciqfunctions.udf.CIQ(InputTicker, "IQ_IPRD",Input!F$2,Date,,,Ccy,Conv)</f>
        <v>0</v>
      </c>
      <c r="E41" s="4">
        <f>_xll.ciqfunctions.udf.CIQ(InputTicker, "IQ_IPRD",Input!G$2,Date,,,Ccy,Conv)</f>
        <v>0</v>
      </c>
      <c r="F41" s="4">
        <f>_xll.ciqfunctions.udf.CIQ(InputTicker, "IQ_IPRD",Input!H$2,Date,,,Ccy,Conv)</f>
        <v>0</v>
      </c>
      <c r="G41" s="4">
        <f>_xll.ciqfunctions.udf.CIQ(InputTicker, "IQ_IPRD",Input!I$2,Date,,,Ccy,Conv)</f>
        <v>0</v>
      </c>
      <c r="H41" s="4">
        <f>_xll.ciqfunctions.udf.CIQ(InputTicker, "IQ_IPRD",Input!J$2,Date,,,Ccy,Conv)</f>
        <v>0</v>
      </c>
      <c r="I41" s="4">
        <f>_xll.ciqfunctions.udf.CIQ(InputTicker, "IQ_IPRD",Input!K$2,Date,,,Ccy,Conv)</f>
        <v>0</v>
      </c>
      <c r="J41" s="4">
        <f>_xll.ciqfunctions.udf.CIQ(InputTicker, "IQ_IPRD",Input!L$2,Date,,,Ccy,Conv)</f>
        <v>0</v>
      </c>
      <c r="K41" s="4">
        <f>_xll.ciqfunctions.udf.CIQ(InputTicker, "IQ_IPRD",Input!M$2,Date,,,Ccy,Conv)</f>
        <v>0</v>
      </c>
      <c r="L41" s="4">
        <f>_xll.ciqfunctions.udf.CIQ(InputTicker, "IQ_IPRD",Input!N$2,Date,,,Ccy,Conv)</f>
        <v>0</v>
      </c>
      <c r="M41" s="4">
        <f>_xll.ciqfunctions.udf.CIQ(InputTicker, "IQ_IPRD",Input!O$2,Date,,,Ccy,Conv)</f>
        <v>0</v>
      </c>
      <c r="N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</row>
    <row r="42" spans="1:66" ht="12.75" customHeight="1" x14ac:dyDescent="0.2">
      <c r="A42" s="1" t="s">
        <v>167</v>
      </c>
      <c r="B42" s="4">
        <f>_xll.ciqfunctions.udf.CIQ(InputTicker, "IQ_INS_SETTLE",Input!D$2,Date,,,Ccy,Conv)</f>
        <v>0</v>
      </c>
      <c r="C42" s="4">
        <f>_xll.ciqfunctions.udf.CIQ(InputTicker, "IQ_INS_SETTLE",Input!E$2,Date,,,Ccy,Conv)</f>
        <v>0</v>
      </c>
      <c r="D42" s="4">
        <f>_xll.ciqfunctions.udf.CIQ(InputTicker, "IQ_INS_SETTLE",Input!F$2,Date,,,Ccy,Conv)</f>
        <v>0</v>
      </c>
      <c r="E42" s="4">
        <f>_xll.ciqfunctions.udf.CIQ(InputTicker, "IQ_INS_SETTLE",Input!G$2,Date,,,Ccy,Conv)</f>
        <v>0</v>
      </c>
      <c r="F42" s="4">
        <f>_xll.ciqfunctions.udf.CIQ(InputTicker, "IQ_INS_SETTLE",Input!H$2,Date,,,Ccy,Conv)</f>
        <v>0</v>
      </c>
      <c r="G42" s="4">
        <f>_xll.ciqfunctions.udf.CIQ(InputTicker, "IQ_INS_SETTLE",Input!I$2,Date,,,Ccy,Conv)</f>
        <v>0</v>
      </c>
      <c r="H42" s="4">
        <f>_xll.ciqfunctions.udf.CIQ(InputTicker, "IQ_INS_SETTLE",Input!J$2,Date,,,Ccy,Conv)</f>
        <v>0</v>
      </c>
      <c r="I42" s="4">
        <f>_xll.ciqfunctions.udf.CIQ(InputTicker, "IQ_INS_SETTLE",Input!K$2,Date,,,Ccy,Conv)</f>
        <v>0</v>
      </c>
      <c r="J42" s="4">
        <f>_xll.ciqfunctions.udf.CIQ(InputTicker, "IQ_INS_SETTLE",Input!L$2,Date,,,Ccy,Conv)</f>
        <v>0</v>
      </c>
      <c r="K42" s="4">
        <f>_xll.ciqfunctions.udf.CIQ(InputTicker, "IQ_INS_SETTLE",Input!M$2,Date,,,Ccy,Conv)</f>
        <v>115</v>
      </c>
      <c r="L42" s="4">
        <f>_xll.ciqfunctions.udf.CIQ(InputTicker, "IQ_INS_SETTLE",Input!N$2,Date,,,Ccy,Conv)</f>
        <v>0</v>
      </c>
      <c r="M42" s="4">
        <f>_xll.ciqfunctions.udf.CIQ(InputTicker, "IQ_INS_SETTLE",Input!O$2,Date,,,Ccy,Conv)</f>
        <v>0</v>
      </c>
      <c r="N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</row>
    <row r="43" spans="1:66" ht="12.75" customHeight="1" x14ac:dyDescent="0.2">
      <c r="A43" s="1" t="s">
        <v>168</v>
      </c>
      <c r="B43" s="4">
        <f>_xll.ciqfunctions.udf.CIQ(InputTicker, "IQ_LEGAL_SETTLE",Input!D$2,Date,,,Ccy,Conv)</f>
        <v>0</v>
      </c>
      <c r="C43" s="4">
        <f>_xll.ciqfunctions.udf.CIQ(InputTicker, "IQ_LEGAL_SETTLE",Input!E$2,Date,,,Ccy,Conv)</f>
        <v>0</v>
      </c>
      <c r="D43" s="4">
        <f>_xll.ciqfunctions.udf.CIQ(InputTicker, "IQ_LEGAL_SETTLE",Input!F$2,Date,,,Ccy,Conv)</f>
        <v>0</v>
      </c>
      <c r="E43" s="4">
        <f>_xll.ciqfunctions.udf.CIQ(InputTicker, "IQ_LEGAL_SETTLE",Input!G$2,Date,,,Ccy,Conv)</f>
        <v>0</v>
      </c>
      <c r="F43" s="4">
        <f>_xll.ciqfunctions.udf.CIQ(InputTicker, "IQ_LEGAL_SETTLE",Input!H$2,Date,,,Ccy,Conv)</f>
        <v>0</v>
      </c>
      <c r="G43" s="4">
        <f>_xll.ciqfunctions.udf.CIQ(InputTicker, "IQ_LEGAL_SETTLE",Input!I$2,Date,,,Ccy,Conv)</f>
        <v>0</v>
      </c>
      <c r="H43" s="4">
        <f>_xll.ciqfunctions.udf.CIQ(InputTicker, "IQ_LEGAL_SETTLE",Input!J$2,Date,,,Ccy,Conv)</f>
        <v>0</v>
      </c>
      <c r="I43" s="4">
        <f>_xll.ciqfunctions.udf.CIQ(InputTicker, "IQ_LEGAL_SETTLE",Input!K$2,Date,,,Ccy,Conv)</f>
        <v>-350</v>
      </c>
      <c r="J43" s="4">
        <f>_xll.ciqfunctions.udf.CIQ(InputTicker, "IQ_LEGAL_SETTLE",Input!L$2,Date,,,Ccy,Conv)</f>
        <v>-27</v>
      </c>
      <c r="K43" s="4">
        <f>_xll.ciqfunctions.udf.CIQ(InputTicker, "IQ_LEGAL_SETTLE",Input!M$2,Date,,,Ccy,Conv)</f>
        <v>0</v>
      </c>
      <c r="L43" s="4">
        <f>_xll.ciqfunctions.udf.CIQ(InputTicker, "IQ_LEGAL_SETTLE",Input!N$2,Date,,,Ccy,Conv)</f>
        <v>0</v>
      </c>
      <c r="M43" s="4">
        <f>_xll.ciqfunctions.udf.CIQ(InputTicker, "IQ_LEGAL_SETTLE",Input!O$2,Date,,,Ccy,Conv)</f>
        <v>0</v>
      </c>
      <c r="N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</row>
    <row r="44" spans="1:66" ht="12.75" customHeight="1" x14ac:dyDescent="0.2">
      <c r="A44" s="1" t="s">
        <v>129</v>
      </c>
      <c r="B44" s="8">
        <f>_xll.ciqfunctions.udf.CIQ(InputTicker, "IQ_OTHER_UNUSUAL_SUPPL",Input!D$2,Date,,,Ccy,Conv)</f>
        <v>0</v>
      </c>
      <c r="C44" s="8">
        <f>_xll.ciqfunctions.udf.CIQ(InputTicker, "IQ_OTHER_UNUSUAL_SUPPL",Input!E$2,Date,,,Ccy,Conv)</f>
        <v>0</v>
      </c>
      <c r="D44" s="8">
        <f>_xll.ciqfunctions.udf.CIQ(InputTicker, "IQ_OTHER_UNUSUAL_SUPPL",Input!F$2,Date,,,Ccy,Conv)</f>
        <v>0</v>
      </c>
      <c r="E44" s="8">
        <f>_xll.ciqfunctions.udf.CIQ(InputTicker, "IQ_OTHER_UNUSUAL_SUPPL",Input!G$2,Date,,,Ccy,Conv)</f>
        <v>0</v>
      </c>
      <c r="F44" s="8">
        <f>_xll.ciqfunctions.udf.CIQ(InputTicker, "IQ_OTHER_UNUSUAL_SUPPL",Input!H$2,Date,,,Ccy,Conv)</f>
        <v>-1.4510000000000001</v>
      </c>
      <c r="G44" s="8">
        <f>_xll.ciqfunctions.udf.CIQ(InputTicker, "IQ_OTHER_UNUSUAL_SUPPL",Input!I$2,Date,,,Ccy,Conv)</f>
        <v>0</v>
      </c>
      <c r="H44" s="8">
        <f>_xll.ciqfunctions.udf.CIQ(InputTicker, "IQ_OTHER_UNUSUAL_SUPPL",Input!J$2,Date,,,Ccy,Conv)</f>
        <v>0</v>
      </c>
      <c r="I44" s="8">
        <f>_xll.ciqfunctions.udf.CIQ(InputTicker, "IQ_OTHER_UNUSUAL_SUPPL",Input!K$2,Date,,,Ccy,Conv)</f>
        <v>0</v>
      </c>
      <c r="J44" s="8">
        <f>_xll.ciqfunctions.udf.CIQ(InputTicker, "IQ_OTHER_UNUSUAL_SUPPL",Input!L$2,Date,,,Ccy,Conv)</f>
        <v>0</v>
      </c>
      <c r="K44" s="8">
        <f>_xll.ciqfunctions.udf.CIQ(InputTicker, "IQ_OTHER_UNUSUAL_SUPPL",Input!M$2,Date,,,Ccy,Conv)</f>
        <v>0</v>
      </c>
      <c r="L44" s="8">
        <f>_xll.ciqfunctions.udf.CIQ(InputTicker, "IQ_OTHER_UNUSUAL_SUPPL",Input!N$2,Date,,,Ccy,Conv)</f>
        <v>0</v>
      </c>
      <c r="M44" s="8">
        <f>_xll.ciqfunctions.udf.CIQ(InputTicker, "IQ_OTHER_UNUSUAL_SUPPL",Input!O$2,Date,,,Ccy,Conv)</f>
        <v>0</v>
      </c>
      <c r="N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</row>
    <row r="45" spans="1:66" ht="12.75" customHeight="1" x14ac:dyDescent="0.2">
      <c r="A45" s="5" t="s">
        <v>70</v>
      </c>
      <c r="B45" s="6">
        <f>_xll.ciqfunctions.udf.CIQ(InputTicker, "IQ_EBT",Input!D$2,Date,,,Ccy,Conv)</f>
        <v>379.46199999999999</v>
      </c>
      <c r="C45" s="6">
        <f>_xll.ciqfunctions.udf.CIQ(InputTicker, "IQ_EBT",Input!E$2,Date,,,Ccy,Conv)</f>
        <v>425.65699999999998</v>
      </c>
      <c r="D45" s="6">
        <f>_xll.ciqfunctions.udf.CIQ(InputTicker, "IQ_EBT",Input!F$2,Date,,,Ccy,Conv)</f>
        <v>430.036</v>
      </c>
      <c r="E45" s="6">
        <f>_xll.ciqfunctions.udf.CIQ(InputTicker, "IQ_EBT",Input!G$2,Date,,,Ccy,Conv)</f>
        <v>515.40300000000002</v>
      </c>
      <c r="F45" s="6">
        <f>_xll.ciqfunctions.udf.CIQ(InputTicker, "IQ_EBT",Input!H$2,Date,,,Ccy,Conv)</f>
        <v>579.43399999999997</v>
      </c>
      <c r="G45" s="6">
        <f>_xll.ciqfunctions.udf.CIQ(InputTicker, "IQ_EBT",Input!I$2,Date,,,Ccy,Conv)</f>
        <v>662.43899999999996</v>
      </c>
      <c r="H45" s="6">
        <f>_xll.ciqfunctions.udf.CIQ(InputTicker, "IQ_EBT",Input!J$2,Date,,,Ccy,Conv)</f>
        <v>604.04300000000001</v>
      </c>
      <c r="I45" s="6">
        <f>_xll.ciqfunctions.udf.CIQ(InputTicker, "IQ_EBT",Input!K$2,Date,,,Ccy,Conv)</f>
        <v>368</v>
      </c>
      <c r="J45" s="6">
        <f>_xll.ciqfunctions.udf.CIQ(InputTicker, "IQ_EBT",Input!L$2,Date,,,Ccy,Conv)</f>
        <v>854</v>
      </c>
      <c r="K45" s="6">
        <f>_xll.ciqfunctions.udf.CIQ(InputTicker, "IQ_EBT",Input!M$2,Date,,,Ccy,Conv)</f>
        <v>1219</v>
      </c>
      <c r="L45" s="6">
        <f>_xll.ciqfunctions.udf.CIQ(InputTicker, "IQ_EBT",Input!N$2,Date,,,Ccy,Conv)</f>
        <v>862</v>
      </c>
      <c r="M45" s="6">
        <f>_xll.ciqfunctions.udf.CIQ(InputTicker, "IQ_EBT",Input!O$2,Date,,,Ccy,Conv)</f>
        <v>862</v>
      </c>
      <c r="N45" s="46"/>
      <c r="P45" s="46"/>
      <c r="Q45" s="46"/>
      <c r="R45" s="46"/>
      <c r="T45" s="42"/>
      <c r="U45" s="42"/>
      <c r="V45" s="46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</row>
    <row r="46" spans="1:66" ht="12.75" customHeight="1" x14ac:dyDescent="0.2">
      <c r="A46" s="1" t="s">
        <v>71</v>
      </c>
      <c r="B46" s="4">
        <f>_xll.ciqfunctions.udf.CIQ(InputTicker, "IQ_INC_TAX",Input!D$2,Date,,,Ccy,Conv)</f>
        <v>85.367999999999995</v>
      </c>
      <c r="C46" s="4">
        <f>_xll.ciqfunctions.udf.CIQ(InputTicker, "IQ_INC_TAX",Input!E$2,Date,,,Ccy,Conv)</f>
        <v>164.83199999999999</v>
      </c>
      <c r="D46" s="4">
        <f>_xll.ciqfunctions.udf.CIQ(InputTicker, "IQ_INC_TAX",Input!F$2,Date,,,Ccy,Conv)</f>
        <v>128.34399999999999</v>
      </c>
      <c r="E46" s="4">
        <f>_xll.ciqfunctions.udf.CIQ(InputTicker, "IQ_INC_TAX",Input!G$2,Date,,,Ccy,Conv)</f>
        <v>96.873999999999995</v>
      </c>
      <c r="F46" s="4">
        <f>_xll.ciqfunctions.udf.CIQ(InputTicker, "IQ_INC_TAX",Input!H$2,Date,,,Ccy,Conv)</f>
        <v>96.831000000000003</v>
      </c>
      <c r="G46" s="4">
        <f>_xll.ciqfunctions.udf.CIQ(InputTicker, "IQ_INC_TAX",Input!I$2,Date,,,Ccy,Conv)</f>
        <v>53.481000000000002</v>
      </c>
      <c r="H46" s="4">
        <f>_xll.ciqfunctions.udf.CIQ(InputTicker, "IQ_INC_TAX",Input!J$2,Date,,,Ccy,Conv)</f>
        <v>137.46600000000001</v>
      </c>
      <c r="I46" s="4">
        <f>_xll.ciqfunctions.udf.CIQ(InputTicker, "IQ_INC_TAX",Input!K$2,Date,,,Ccy,Conv)</f>
        <v>97</v>
      </c>
      <c r="J46" s="4">
        <f>_xll.ciqfunctions.udf.CIQ(InputTicker, "IQ_INC_TAX",Input!L$2,Date,,,Ccy,Conv)</f>
        <v>248</v>
      </c>
      <c r="K46" s="4">
        <f>_xll.ciqfunctions.udf.CIQ(InputTicker, "IQ_INC_TAX",Input!M$2,Date,,,Ccy,Conv)</f>
        <v>284</v>
      </c>
      <c r="L46" s="4">
        <f>_xll.ciqfunctions.udf.CIQ(InputTicker, "IQ_INC_TAX",Input!N$2,Date,,,Ccy,Conv)</f>
        <v>11</v>
      </c>
      <c r="M46" s="4">
        <f>_xll.ciqfunctions.udf.CIQ(InputTicker, "IQ_INC_TAX",Input!O$2,Date,,,Ccy,Conv)</f>
        <v>11</v>
      </c>
      <c r="N46" s="46"/>
      <c r="P46" s="46"/>
      <c r="Q46" s="46"/>
      <c r="R46" s="46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</row>
    <row r="47" spans="1:66" ht="12.75" customHeight="1" x14ac:dyDescent="0.2">
      <c r="A47" s="5" t="s">
        <v>72</v>
      </c>
      <c r="B47" s="6">
        <f>_xll.ciqfunctions.udf.CIQ(InputTicker, "IQ_EARNING_CO",Input!D$2,Date,,,Ccy,Conv)</f>
        <v>294.09399999999999</v>
      </c>
      <c r="C47" s="6">
        <f>_xll.ciqfunctions.udf.CIQ(InputTicker, "IQ_EARNING_CO",Input!E$2,Date,,,Ccy,Conv)</f>
        <v>260.82499999999999</v>
      </c>
      <c r="D47" s="6">
        <f>_xll.ciqfunctions.udf.CIQ(InputTicker, "IQ_EARNING_CO",Input!F$2,Date,,,Ccy,Conv)</f>
        <v>301.69200000000001</v>
      </c>
      <c r="E47" s="6">
        <f>_xll.ciqfunctions.udf.CIQ(InputTicker, "IQ_EARNING_CO",Input!G$2,Date,,,Ccy,Conv)</f>
        <v>418.529</v>
      </c>
      <c r="F47" s="6">
        <f>_xll.ciqfunctions.udf.CIQ(InputTicker, "IQ_EARNING_CO",Input!H$2,Date,,,Ccy,Conv)</f>
        <v>482.60300000000001</v>
      </c>
      <c r="G47" s="6">
        <f>_xll.ciqfunctions.udf.CIQ(InputTicker, "IQ_EARNING_CO",Input!I$2,Date,,,Ccy,Conv)</f>
        <v>608.95799999999997</v>
      </c>
      <c r="H47" s="6">
        <f>_xll.ciqfunctions.udf.CIQ(InputTicker, "IQ_EARNING_CO",Input!J$2,Date,,,Ccy,Conv)</f>
        <v>466.577</v>
      </c>
      <c r="I47" s="6">
        <f>_xll.ciqfunctions.udf.CIQ(InputTicker, "IQ_EARNING_CO",Input!K$2,Date,,,Ccy,Conv)</f>
        <v>271</v>
      </c>
      <c r="J47" s="6">
        <f>_xll.ciqfunctions.udf.CIQ(InputTicker, "IQ_EARNING_CO",Input!L$2,Date,,,Ccy,Conv)</f>
        <v>606</v>
      </c>
      <c r="K47" s="6">
        <f>_xll.ciqfunctions.udf.CIQ(InputTicker, "IQ_EARNING_CO",Input!M$2,Date,,,Ccy,Conv)</f>
        <v>935</v>
      </c>
      <c r="L47" s="6">
        <f>_xll.ciqfunctions.udf.CIQ(InputTicker, "IQ_EARNING_CO",Input!N$2,Date,,,Ccy,Conv)</f>
        <v>851</v>
      </c>
      <c r="M47" s="6">
        <f>_xll.ciqfunctions.udf.CIQ(InputTicker, "IQ_EARNING_CO",Input!O$2,Date,,,Ccy,Conv)</f>
        <v>851</v>
      </c>
      <c r="N47" s="46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</row>
    <row r="48" spans="1:66" ht="12.75" customHeight="1" x14ac:dyDescent="0.2">
      <c r="A48" s="1" t="s">
        <v>73</v>
      </c>
      <c r="B48" s="4">
        <f>_xll.ciqfunctions.udf.CIQ(InputTicker, "IQ_DO",Input!D$2,Date,,,Ccy,Conv)</f>
        <v>0</v>
      </c>
      <c r="C48" s="4">
        <f>_xll.ciqfunctions.udf.CIQ(InputTicker, "IQ_DO",Input!E$2,Date,,,Ccy,Conv)</f>
        <v>0</v>
      </c>
      <c r="D48" s="4">
        <f>_xll.ciqfunctions.udf.CIQ(InputTicker, "IQ_DO",Input!F$2,Date,,,Ccy,Conv)</f>
        <v>0</v>
      </c>
      <c r="E48" s="4">
        <f>_xll.ciqfunctions.udf.CIQ(InputTicker, "IQ_DO",Input!G$2,Date,,,Ccy,Conv)</f>
        <v>0</v>
      </c>
      <c r="F48" s="4">
        <f>_xll.ciqfunctions.udf.CIQ(InputTicker, "IQ_DO",Input!H$2,Date,,,Ccy,Conv)</f>
        <v>0</v>
      </c>
      <c r="G48" s="4">
        <f>_xll.ciqfunctions.udf.CIQ(InputTicker, "IQ_DO",Input!I$2,Date,,,Ccy,Conv)</f>
        <v>0</v>
      </c>
      <c r="H48" s="4">
        <f>_xll.ciqfunctions.udf.CIQ(InputTicker, "IQ_DO",Input!J$2,Date,,,Ccy,Conv)</f>
        <v>0</v>
      </c>
      <c r="I48" s="4">
        <f>_xll.ciqfunctions.udf.CIQ(InputTicker, "IQ_DO",Input!K$2,Date,,,Ccy,Conv)</f>
        <v>0</v>
      </c>
      <c r="J48" s="4">
        <f>_xll.ciqfunctions.udf.CIQ(InputTicker, "IQ_DO",Input!L$2,Date,,,Ccy,Conv)</f>
        <v>0</v>
      </c>
      <c r="K48" s="4">
        <f>_xll.ciqfunctions.udf.CIQ(InputTicker, "IQ_DO",Input!M$2,Date,,,Ccy,Conv)</f>
        <v>0</v>
      </c>
      <c r="L48" s="4">
        <f>_xll.ciqfunctions.udf.CIQ(InputTicker, "IQ_DO",Input!N$2,Date,,,Ccy,Conv)</f>
        <v>0</v>
      </c>
      <c r="M48" s="4">
        <f>_xll.ciqfunctions.udf.CIQ(InputTicker, "IQ_DO",Input!O$2,Date,,,Ccy,Conv)</f>
        <v>0</v>
      </c>
      <c r="N48" s="46"/>
      <c r="P48" s="46"/>
      <c r="Q48" s="46"/>
      <c r="R48" s="46"/>
      <c r="T48" s="42"/>
      <c r="U48" s="42"/>
      <c r="V48" s="46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</row>
    <row r="49" spans="1:66" ht="12.75" customHeight="1" x14ac:dyDescent="0.2">
      <c r="A49" s="1" t="s">
        <v>74</v>
      </c>
      <c r="B49" s="4">
        <f>_xll.ciqfunctions.udf.CIQ(InputTicker, "IQ_EXTRA_ACC_ITEMS",Input!D$2,Date,,,Ccy,Conv)</f>
        <v>0</v>
      </c>
      <c r="C49" s="4">
        <f>_xll.ciqfunctions.udf.CIQ(InputTicker, "IQ_EXTRA_ACC_ITEMS",Input!E$2,Date,,,Ccy,Conv)</f>
        <v>0</v>
      </c>
      <c r="D49" s="4">
        <f>_xll.ciqfunctions.udf.CIQ(InputTicker, "IQ_EXTRA_ACC_ITEMS",Input!F$2,Date,,,Ccy,Conv)</f>
        <v>0</v>
      </c>
      <c r="E49" s="4">
        <f>_xll.ciqfunctions.udf.CIQ(InputTicker, "IQ_EXTRA_ACC_ITEMS",Input!G$2,Date,,,Ccy,Conv)</f>
        <v>0</v>
      </c>
      <c r="F49" s="4">
        <f>_xll.ciqfunctions.udf.CIQ(InputTicker, "IQ_EXTRA_ACC_ITEMS",Input!H$2,Date,,,Ccy,Conv)</f>
        <v>0</v>
      </c>
      <c r="G49" s="4">
        <f>_xll.ciqfunctions.udf.CIQ(InputTicker, "IQ_EXTRA_ACC_ITEMS",Input!I$2,Date,,,Ccy,Conv)</f>
        <v>0</v>
      </c>
      <c r="H49" s="4">
        <f>_xll.ciqfunctions.udf.CIQ(InputTicker, "IQ_EXTRA_ACC_ITEMS",Input!J$2,Date,,,Ccy,Conv)</f>
        <v>0</v>
      </c>
      <c r="I49" s="4">
        <f>_xll.ciqfunctions.udf.CIQ(InputTicker, "IQ_EXTRA_ACC_ITEMS",Input!K$2,Date,,,Ccy,Conv)</f>
        <v>0</v>
      </c>
      <c r="J49" s="4">
        <f>_xll.ciqfunctions.udf.CIQ(InputTicker, "IQ_EXTRA_ACC_ITEMS",Input!L$2,Date,,,Ccy,Conv)</f>
        <v>0</v>
      </c>
      <c r="K49" s="4">
        <f>_xll.ciqfunctions.udf.CIQ(InputTicker, "IQ_EXTRA_ACC_ITEMS",Input!M$2,Date,,,Ccy,Conv)</f>
        <v>0</v>
      </c>
      <c r="L49" s="4">
        <f>_xll.ciqfunctions.udf.CIQ(InputTicker, "IQ_EXTRA_ACC_ITEMS",Input!N$2,Date,,,Ccy,Conv)</f>
        <v>0</v>
      </c>
      <c r="M49" s="4">
        <f>_xll.ciqfunctions.udf.CIQ(InputTicker, "IQ_EXTRA_ACC_ITEMS",Input!O$2,Date,,,Ccy,Conv)</f>
        <v>0</v>
      </c>
      <c r="N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</row>
    <row r="50" spans="1:66" ht="12.75" customHeight="1" x14ac:dyDescent="0.2">
      <c r="A50" s="5" t="s">
        <v>21</v>
      </c>
      <c r="B50" s="10">
        <f>_xll.ciqfunctions.udf.CIQ(InputTicker, "IQ_NI_COMPANY",Input!D$2,Date,,,Ccy,Conv)</f>
        <v>294.09399999999999</v>
      </c>
      <c r="C50" s="10">
        <f>_xll.ciqfunctions.udf.CIQ(InputTicker, "IQ_NI_COMPANY",Input!E$2,Date,,,Ccy,Conv)</f>
        <v>260.82499999999999</v>
      </c>
      <c r="D50" s="10">
        <f>_xll.ciqfunctions.udf.CIQ(InputTicker, "IQ_NI_COMPANY",Input!F$2,Date,,,Ccy,Conv)</f>
        <v>301.69200000000001</v>
      </c>
      <c r="E50" s="10">
        <f>_xll.ciqfunctions.udf.CIQ(InputTicker, "IQ_NI_COMPANY",Input!G$2,Date,,,Ccy,Conv)</f>
        <v>418.529</v>
      </c>
      <c r="F50" s="10">
        <f>_xll.ciqfunctions.udf.CIQ(InputTicker, "IQ_NI_COMPANY",Input!H$2,Date,,,Ccy,Conv)</f>
        <v>482.60300000000001</v>
      </c>
      <c r="G50" s="10">
        <f>_xll.ciqfunctions.udf.CIQ(InputTicker, "IQ_NI_COMPANY",Input!I$2,Date,,,Ccy,Conv)</f>
        <v>608.95799999999997</v>
      </c>
      <c r="H50" s="10">
        <f>_xll.ciqfunctions.udf.CIQ(InputTicker, "IQ_NI_COMPANY",Input!J$2,Date,,,Ccy,Conv)</f>
        <v>466.577</v>
      </c>
      <c r="I50" s="10">
        <f>_xll.ciqfunctions.udf.CIQ(InputTicker, "IQ_NI_COMPANY",Input!K$2,Date,,,Ccy,Conv)</f>
        <v>271</v>
      </c>
      <c r="J50" s="10">
        <f>_xll.ciqfunctions.udf.CIQ(InputTicker, "IQ_NI_COMPANY",Input!L$2,Date,,,Ccy,Conv)</f>
        <v>606</v>
      </c>
      <c r="K50" s="10">
        <f>_xll.ciqfunctions.udf.CIQ(InputTicker, "IQ_NI_COMPANY",Input!M$2,Date,,,Ccy,Conv)</f>
        <v>935</v>
      </c>
      <c r="L50" s="10">
        <f>_xll.ciqfunctions.udf.CIQ(InputTicker, "IQ_NI_COMPANY",Input!N$2,Date,,,Ccy,Conv)</f>
        <v>851</v>
      </c>
      <c r="M50" s="10">
        <f>_xll.ciqfunctions.udf.CIQ(InputTicker, "IQ_NI_COMPANY",Input!O$2,Date,,,Ccy,Conv)</f>
        <v>851</v>
      </c>
      <c r="N50" s="46"/>
      <c r="P50" s="46"/>
      <c r="Q50" s="46"/>
      <c r="R50" s="46"/>
      <c r="T50" s="42"/>
      <c r="U50" s="42"/>
      <c r="V50" s="46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</row>
    <row r="51" spans="1:66" ht="12.75" customHeight="1" x14ac:dyDescent="0.2">
      <c r="A51" s="1" t="s">
        <v>169</v>
      </c>
      <c r="B51" s="4">
        <f>_xll.ciqfunctions.udf.CIQ(InputTicker, "IQ_MINORITY_INTEREST_IS",Input!D$2,Date,,,Ccy,Conv)</f>
        <v>0</v>
      </c>
      <c r="C51" s="4">
        <f>_xll.ciqfunctions.udf.CIQ(InputTicker, "IQ_MINORITY_INTEREST_IS",Input!E$2,Date,,,Ccy,Conv)</f>
        <v>0</v>
      </c>
      <c r="D51" s="4">
        <f>_xll.ciqfunctions.udf.CIQ(InputTicker, "IQ_MINORITY_INTEREST_IS",Input!F$2,Date,,,Ccy,Conv)</f>
        <v>0</v>
      </c>
      <c r="E51" s="4">
        <f>_xll.ciqfunctions.udf.CIQ(InputTicker, "IQ_MINORITY_INTEREST_IS",Input!G$2,Date,,,Ccy,Conv)</f>
        <v>0</v>
      </c>
      <c r="F51" s="4">
        <f>_xll.ciqfunctions.udf.CIQ(InputTicker, "IQ_MINORITY_INTEREST_IS",Input!H$2,Date,,,Ccy,Conv)</f>
        <v>0</v>
      </c>
      <c r="G51" s="4">
        <f>_xll.ciqfunctions.udf.CIQ(InputTicker, "IQ_MINORITY_INTEREST_IS",Input!I$2,Date,,,Ccy,Conv)</f>
        <v>0</v>
      </c>
      <c r="H51" s="4">
        <f>_xll.ciqfunctions.udf.CIQ(InputTicker, "IQ_MINORITY_INTEREST_IS",Input!J$2,Date,,,Ccy,Conv)</f>
        <v>0.16300000000000001</v>
      </c>
      <c r="I51" s="4">
        <f>_xll.ciqfunctions.udf.CIQ(InputTicker, "IQ_MINORITY_INTEREST_IS",Input!K$2,Date,,,Ccy,Conv)</f>
        <v>1</v>
      </c>
      <c r="J51" s="4">
        <f>_xll.ciqfunctions.udf.CIQ(InputTicker, "IQ_MINORITY_INTEREST_IS",Input!L$2,Date,,,Ccy,Conv)</f>
        <v>0</v>
      </c>
      <c r="K51" s="4">
        <f>_xll.ciqfunctions.udf.CIQ(InputTicker, "IQ_MINORITY_INTEREST_IS",Input!M$2,Date,,,Ccy,Conv)</f>
        <v>0</v>
      </c>
      <c r="L51" s="4">
        <f>_xll.ciqfunctions.udf.CIQ(InputTicker, "IQ_MINORITY_INTEREST_IS",Input!N$2,Date,,,Ccy,Conv)</f>
        <v>0</v>
      </c>
      <c r="M51" s="4">
        <f>_xll.ciqfunctions.udf.CIQ(InputTicker, "IQ_MINORITY_INTEREST_IS",Input!O$2,Date,,,Ccy,Conv)</f>
        <v>0</v>
      </c>
      <c r="N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</row>
    <row r="52" spans="1:66" ht="12.75" customHeight="1" thickBot="1" x14ac:dyDescent="0.25">
      <c r="A52" s="5" t="s">
        <v>22</v>
      </c>
      <c r="B52" s="9">
        <f>_xll.ciqfunctions.udf.CIQ(InputTicker, "IQ_NI",Input!D$2,Date,,,Ccy,Conv)</f>
        <v>294.09399999999999</v>
      </c>
      <c r="C52" s="9">
        <f>_xll.ciqfunctions.udf.CIQ(InputTicker, "IQ_NI",Input!E$2,Date,,,Ccy,Conv)</f>
        <v>260.82499999999999</v>
      </c>
      <c r="D52" s="9">
        <f>_xll.ciqfunctions.udf.CIQ(InputTicker, "IQ_NI",Input!F$2,Date,,,Ccy,Conv)</f>
        <v>301.69200000000001</v>
      </c>
      <c r="E52" s="9">
        <f>_xll.ciqfunctions.udf.CIQ(InputTicker, "IQ_NI",Input!G$2,Date,,,Ccy,Conv)</f>
        <v>418.529</v>
      </c>
      <c r="F52" s="9">
        <f>_xll.ciqfunctions.udf.CIQ(InputTicker, "IQ_NI",Input!H$2,Date,,,Ccy,Conv)</f>
        <v>482.60300000000001</v>
      </c>
      <c r="G52" s="9">
        <f>_xll.ciqfunctions.udf.CIQ(InputTicker, "IQ_NI",Input!I$2,Date,,,Ccy,Conv)</f>
        <v>608.95799999999997</v>
      </c>
      <c r="H52" s="9">
        <f>_xll.ciqfunctions.udf.CIQ(InputTicker, "IQ_NI",Input!J$2,Date,,,Ccy,Conv)</f>
        <v>466.74</v>
      </c>
      <c r="I52" s="9">
        <f>_xll.ciqfunctions.udf.CIQ(InputTicker, "IQ_NI",Input!K$2,Date,,,Ccy,Conv)</f>
        <v>272</v>
      </c>
      <c r="J52" s="9">
        <f>_xll.ciqfunctions.udf.CIQ(InputTicker, "IQ_NI",Input!L$2,Date,,,Ccy,Conv)</f>
        <v>606</v>
      </c>
      <c r="K52" s="9">
        <f>_xll.ciqfunctions.udf.CIQ(InputTicker, "IQ_NI",Input!M$2,Date,,,Ccy,Conv)</f>
        <v>935</v>
      </c>
      <c r="L52" s="9">
        <f>_xll.ciqfunctions.udf.CIQ(InputTicker, "IQ_NI",Input!N$2,Date,,,Ccy,Conv)</f>
        <v>851</v>
      </c>
      <c r="M52" s="9">
        <f>_xll.ciqfunctions.udf.CIQ(InputTicker, "IQ_NI",Input!O$2,Date,,,Ccy,Conv)</f>
        <v>851</v>
      </c>
      <c r="N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</row>
    <row r="53" spans="1:66" ht="12.75" customHeight="1" thickTop="1" x14ac:dyDescent="0.2">
      <c r="A53" s="1" t="s">
        <v>75</v>
      </c>
      <c r="B53" s="4">
        <f>_xll.ciqfunctions.udf.CIQ(InputTicker, "IQ_PREF_DIV_OTHER",Input!D$2,Date,,,Ccy,Conv)</f>
        <v>3.552</v>
      </c>
      <c r="C53" s="4">
        <f>_xll.ciqfunctions.udf.CIQ(InputTicker, "IQ_PREF_DIV_OTHER",Input!E$2,Date,,,Ccy,Conv)</f>
        <v>2.33</v>
      </c>
      <c r="D53" s="4">
        <f>_xll.ciqfunctions.udf.CIQ(InputTicker, "IQ_PREF_DIV_OTHER",Input!F$2,Date,,,Ccy,Conv)</f>
        <v>1.8680000000000001</v>
      </c>
      <c r="E53" s="4">
        <f>_xll.ciqfunctions.udf.CIQ(InputTicker, "IQ_PREF_DIV_OTHER",Input!G$2,Date,,,Ccy,Conv)</f>
        <v>1.865</v>
      </c>
      <c r="F53" s="4">
        <f>_xll.ciqfunctions.udf.CIQ(InputTicker, "IQ_PREF_DIV_OTHER",Input!H$2,Date,,,Ccy,Conv)</f>
        <v>1.518</v>
      </c>
      <c r="G53" s="4">
        <f>_xll.ciqfunctions.udf.CIQ(InputTicker, "IQ_PREF_DIV_OTHER",Input!I$2,Date,,,Ccy,Conv)</f>
        <v>3.5209999999999999</v>
      </c>
      <c r="H53" s="4">
        <f>_xll.ciqfunctions.udf.CIQ(InputTicker, "IQ_PREF_DIV_OTHER",Input!J$2,Date,,,Ccy,Conv)</f>
        <v>3.1139999999999999</v>
      </c>
      <c r="I53" s="4">
        <f>_xll.ciqfunctions.udf.CIQ(InputTicker, "IQ_PREF_DIV_OTHER",Input!K$2,Date,,,Ccy,Conv)</f>
        <v>2</v>
      </c>
      <c r="J53" s="4">
        <f>_xll.ciqfunctions.udf.CIQ(InputTicker, "IQ_PREF_DIV_OTHER",Input!L$2,Date,,,Ccy,Conv)</f>
        <v>5</v>
      </c>
      <c r="K53" s="4">
        <f>_xll.ciqfunctions.udf.CIQ(InputTicker, "IQ_PREF_DIV_OTHER",Input!M$2,Date,,,Ccy,Conv)</f>
        <v>5</v>
      </c>
      <c r="L53" s="4">
        <f>_xll.ciqfunctions.udf.CIQ(InputTicker, "IQ_PREF_DIV_OTHER",Input!N$2,Date,,,Ccy,Conv)</f>
        <v>6</v>
      </c>
      <c r="M53" s="4">
        <f>_xll.ciqfunctions.udf.CIQ(InputTicker, "IQ_PREF_DIV_OTHER",Input!O$2,Date,,,Ccy,Conv)</f>
        <v>6</v>
      </c>
      <c r="N53" s="46"/>
      <c r="P53" s="46"/>
      <c r="Q53" s="46"/>
      <c r="R53" s="46"/>
      <c r="T53" s="42"/>
      <c r="U53" s="42"/>
      <c r="V53" s="46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</row>
    <row r="54" spans="1:66" ht="12.75" customHeight="1" x14ac:dyDescent="0.2">
      <c r="A54" s="5" t="s">
        <v>76</v>
      </c>
      <c r="B54" s="7">
        <f>_xll.ciqfunctions.udf.CIQ(InputTicker, "IQ_NI_AVAIL_INCL",Input!D$2,Date,,,Ccy,Conv)</f>
        <v>290.54199999999997</v>
      </c>
      <c r="C54" s="7">
        <f>_xll.ciqfunctions.udf.CIQ(InputTicker, "IQ_NI_AVAIL_INCL",Input!E$2,Date,,,Ccy,Conv)</f>
        <v>258.495</v>
      </c>
      <c r="D54" s="7">
        <f>_xll.ciqfunctions.udf.CIQ(InputTicker, "IQ_NI_AVAIL_INCL",Input!F$2,Date,,,Ccy,Conv)</f>
        <v>299.82400000000001</v>
      </c>
      <c r="E54" s="7">
        <f>_xll.ciqfunctions.udf.CIQ(InputTicker, "IQ_NI_AVAIL_INCL",Input!G$2,Date,,,Ccy,Conv)</f>
        <v>416.66399999999999</v>
      </c>
      <c r="F54" s="7">
        <f>_xll.ciqfunctions.udf.CIQ(InputTicker, "IQ_NI_AVAIL_INCL",Input!H$2,Date,,,Ccy,Conv)</f>
        <v>481.08499999999998</v>
      </c>
      <c r="G54" s="7">
        <f>_xll.ciqfunctions.udf.CIQ(InputTicker, "IQ_NI_AVAIL_INCL",Input!I$2,Date,,,Ccy,Conv)</f>
        <v>605.43700000000001</v>
      </c>
      <c r="H54" s="7">
        <f>_xll.ciqfunctions.udf.CIQ(InputTicker, "IQ_NI_AVAIL_INCL",Input!J$2,Date,,,Ccy,Conv)</f>
        <v>463.62599999999998</v>
      </c>
      <c r="I54" s="7">
        <f>_xll.ciqfunctions.udf.CIQ(InputTicker, "IQ_NI_AVAIL_INCL",Input!K$2,Date,,,Ccy,Conv)</f>
        <v>270</v>
      </c>
      <c r="J54" s="7">
        <f>_xll.ciqfunctions.udf.CIQ(InputTicker, "IQ_NI_AVAIL_INCL",Input!L$2,Date,,,Ccy,Conv)</f>
        <v>601</v>
      </c>
      <c r="K54" s="7">
        <f>_xll.ciqfunctions.udf.CIQ(InputTicker, "IQ_NI_AVAIL_INCL",Input!M$2,Date,,,Ccy,Conv)</f>
        <v>930</v>
      </c>
      <c r="L54" s="7">
        <f>_xll.ciqfunctions.udf.CIQ(InputTicker, "IQ_NI_AVAIL_INCL",Input!N$2,Date,,,Ccy,Conv)</f>
        <v>845</v>
      </c>
      <c r="M54" s="7">
        <f>_xll.ciqfunctions.udf.CIQ(InputTicker, "IQ_NI_AVAIL_INCL",Input!O$2,Date,,,Ccy,Conv)</f>
        <v>845</v>
      </c>
      <c r="N54" s="46"/>
      <c r="P54" s="46"/>
      <c r="Q54" s="46"/>
      <c r="R54" s="46"/>
      <c r="T54" s="42"/>
      <c r="U54" s="42"/>
      <c r="V54" s="46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</row>
    <row r="55" spans="1:66" ht="12.75" customHeight="1" x14ac:dyDescent="0.2">
      <c r="A55" s="5" t="s">
        <v>77</v>
      </c>
      <c r="B55" s="7">
        <f>_xll.ciqfunctions.udf.CIQ(InputTicker, "IQ_NI_AVAIL_EXCL",Input!D$2,Date,,,Ccy,Conv)</f>
        <v>290.54199999999997</v>
      </c>
      <c r="C55" s="7">
        <f>_xll.ciqfunctions.udf.CIQ(InputTicker, "IQ_NI_AVAIL_EXCL",Input!E$2,Date,,,Ccy,Conv)</f>
        <v>258.495</v>
      </c>
      <c r="D55" s="7">
        <f>_xll.ciqfunctions.udf.CIQ(InputTicker, "IQ_NI_AVAIL_EXCL",Input!F$2,Date,,,Ccy,Conv)</f>
        <v>299.82400000000001</v>
      </c>
      <c r="E55" s="7">
        <f>_xll.ciqfunctions.udf.CIQ(InputTicker, "IQ_NI_AVAIL_EXCL",Input!G$2,Date,,,Ccy,Conv)</f>
        <v>416.66399999999999</v>
      </c>
      <c r="F55" s="7">
        <f>_xll.ciqfunctions.udf.CIQ(InputTicker, "IQ_NI_AVAIL_EXCL",Input!H$2,Date,,,Ccy,Conv)</f>
        <v>481.08499999999998</v>
      </c>
      <c r="G55" s="7">
        <f>_xll.ciqfunctions.udf.CIQ(InputTicker, "IQ_NI_AVAIL_EXCL",Input!I$2,Date,,,Ccy,Conv)</f>
        <v>605.43700000000001</v>
      </c>
      <c r="H55" s="7">
        <f>_xll.ciqfunctions.udf.CIQ(InputTicker, "IQ_NI_AVAIL_EXCL",Input!J$2,Date,,,Ccy,Conv)</f>
        <v>463.62599999999998</v>
      </c>
      <c r="I55" s="7">
        <f>_xll.ciqfunctions.udf.CIQ(InputTicker, "IQ_NI_AVAIL_EXCL",Input!K$2,Date,,,Ccy,Conv)</f>
        <v>270</v>
      </c>
      <c r="J55" s="7">
        <f>_xll.ciqfunctions.udf.CIQ(InputTicker, "IQ_NI_AVAIL_EXCL",Input!L$2,Date,,,Ccy,Conv)</f>
        <v>601</v>
      </c>
      <c r="K55" s="7">
        <f>_xll.ciqfunctions.udf.CIQ(InputTicker, "IQ_NI_AVAIL_EXCL",Input!M$2,Date,,,Ccy,Conv)</f>
        <v>930</v>
      </c>
      <c r="L55" s="7">
        <f>_xll.ciqfunctions.udf.CIQ(InputTicker, "IQ_NI_AVAIL_EXCL",Input!N$2,Date,,,Ccy,Conv)</f>
        <v>845</v>
      </c>
      <c r="M55" s="7">
        <f>_xll.ciqfunctions.udf.CIQ(InputTicker, "IQ_NI_AVAIL_EXCL",Input!O$2,Date,,,Ccy,Conv)</f>
        <v>845</v>
      </c>
      <c r="N55" s="46"/>
      <c r="P55" s="46"/>
      <c r="Q55" s="46"/>
      <c r="R55" s="46"/>
      <c r="T55" s="42"/>
      <c r="U55" s="42"/>
      <c r="V55" s="46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</row>
    <row r="56" spans="1:66" ht="12.75" customHeight="1" x14ac:dyDescent="0.2">
      <c r="A56" s="1" t="s">
        <v>78</v>
      </c>
      <c r="B56" s="11">
        <f>_xll.ciqfunctions.udf.CIQ(InputTicker, "IQ_BASIC_EPS_INCL",Input!D$2,Date,,,Ccy,Conv)</f>
        <v>1.9833000000000001</v>
      </c>
      <c r="C56" s="11">
        <f>_xll.ciqfunctions.udf.CIQ(InputTicker, "IQ_BASIC_EPS_INCL",Input!E$2,Date,,,Ccy,Conv)</f>
        <v>1.7440100000000001</v>
      </c>
      <c r="D56" s="11">
        <f>_xll.ciqfunctions.udf.CIQ(InputTicker, "IQ_BASIC_EPS_INCL",Input!F$2,Date,,,Ccy,Conv)</f>
        <v>2.05409</v>
      </c>
      <c r="E56" s="11">
        <f>_xll.ciqfunctions.udf.CIQ(InputTicker, "IQ_BASIC_EPS_INCL",Input!G$2,Date,,,Ccy,Conv)</f>
        <v>2.9361000000000002</v>
      </c>
      <c r="F56" s="11">
        <f>_xll.ciqfunctions.udf.CIQ(InputTicker, "IQ_BASIC_EPS_INCL",Input!H$2,Date,,,Ccy,Conv)</f>
        <v>3.43486</v>
      </c>
      <c r="G56" s="11">
        <f>_xll.ciqfunctions.udf.CIQ(InputTicker, "IQ_BASIC_EPS_INCL",Input!I$2,Date,,,Ccy,Conv)</f>
        <v>4.3960600000000003</v>
      </c>
      <c r="H56" s="11">
        <f>_xll.ciqfunctions.udf.CIQ(InputTicker, "IQ_BASIC_EPS_INCL",Input!J$2,Date,,,Ccy,Conv)</f>
        <v>3.4564400000000002</v>
      </c>
      <c r="I56" s="11">
        <f>_xll.ciqfunctions.udf.CIQ(InputTicker, "IQ_BASIC_EPS_INCL",Input!K$2,Date,,,Ccy,Conv)</f>
        <v>2.0429499999999998</v>
      </c>
      <c r="J56" s="11">
        <f>_xll.ciqfunctions.udf.CIQ(InputTicker, "IQ_BASIC_EPS_INCL",Input!L$2,Date,,,Ccy,Conv)</f>
        <v>4.61008</v>
      </c>
      <c r="K56" s="11">
        <f>_xll.ciqfunctions.udf.CIQ(InputTicker, "IQ_BASIC_EPS_INCL",Input!M$2,Date,,,Ccy,Conv)</f>
        <v>7.2790900000000001</v>
      </c>
      <c r="L56" s="11">
        <f>_xll.ciqfunctions.udf.CIQ(InputTicker, "IQ_BASIC_EPS_INCL",Input!N$2,Date,,,Ccy,Conv)</f>
        <v>6.9221599999999999</v>
      </c>
      <c r="M56" s="11">
        <f>_xll.ciqfunctions.udf.CIQ(InputTicker, "IQ_BASIC_EPS_INCL",Input!O$2,Date,,,Ccy,Conv)</f>
        <v>6.9221599999999999</v>
      </c>
      <c r="N56" s="47"/>
      <c r="P56" s="48"/>
      <c r="Q56" s="48"/>
      <c r="R56" s="48"/>
      <c r="T56" s="42"/>
      <c r="U56" s="42"/>
      <c r="V56" s="48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</row>
    <row r="57" spans="1:66" ht="12.75" customHeight="1" x14ac:dyDescent="0.2">
      <c r="A57" s="1" t="s">
        <v>79</v>
      </c>
      <c r="B57" s="11">
        <f>_xll.ciqfunctions.udf.CIQ(InputTicker, "IQ_BASIC_EPS_EXCL",Input!D$2,Date,,,Ccy,Conv)</f>
        <v>1.9833000000000001</v>
      </c>
      <c r="C57" s="11">
        <f>_xll.ciqfunctions.udf.CIQ(InputTicker, "IQ_BASIC_EPS_EXCL",Input!E$2,Date,,,Ccy,Conv)</f>
        <v>1.7440100000000001</v>
      </c>
      <c r="D57" s="11">
        <f>_xll.ciqfunctions.udf.CIQ(InputTicker, "IQ_BASIC_EPS_EXCL",Input!F$2,Date,,,Ccy,Conv)</f>
        <v>2.05409</v>
      </c>
      <c r="E57" s="11">
        <f>_xll.ciqfunctions.udf.CIQ(InputTicker, "IQ_BASIC_EPS_EXCL",Input!G$2,Date,,,Ccy,Conv)</f>
        <v>2.9361000000000002</v>
      </c>
      <c r="F57" s="11">
        <f>_xll.ciqfunctions.udf.CIQ(InputTicker, "IQ_BASIC_EPS_EXCL",Input!H$2,Date,,,Ccy,Conv)</f>
        <v>3.43486</v>
      </c>
      <c r="G57" s="11">
        <f>_xll.ciqfunctions.udf.CIQ(InputTicker, "IQ_BASIC_EPS_EXCL",Input!I$2,Date,,,Ccy,Conv)</f>
        <v>4.3960600000000003</v>
      </c>
      <c r="H57" s="11">
        <f>_xll.ciqfunctions.udf.CIQ(InputTicker, "IQ_BASIC_EPS_EXCL",Input!J$2,Date,,,Ccy,Conv)</f>
        <v>3.4564400000000002</v>
      </c>
      <c r="I57" s="11">
        <f>_xll.ciqfunctions.udf.CIQ(InputTicker, "IQ_BASIC_EPS_EXCL",Input!K$2,Date,,,Ccy,Conv)</f>
        <v>2.0429499999999998</v>
      </c>
      <c r="J57" s="11">
        <f>_xll.ciqfunctions.udf.CIQ(InputTicker, "IQ_BASIC_EPS_EXCL",Input!L$2,Date,,,Ccy,Conv)</f>
        <v>4.61008</v>
      </c>
      <c r="K57" s="11">
        <f>_xll.ciqfunctions.udf.CIQ(InputTicker, "IQ_BASIC_EPS_EXCL",Input!M$2,Date,,,Ccy,Conv)</f>
        <v>7.2790900000000001</v>
      </c>
      <c r="L57" s="11">
        <f>_xll.ciqfunctions.udf.CIQ(InputTicker, "IQ_BASIC_EPS_EXCL",Input!N$2,Date,,,Ccy,Conv)</f>
        <v>6.9221599999999999</v>
      </c>
      <c r="M57" s="11">
        <f>_xll.ciqfunctions.udf.CIQ(InputTicker, "IQ_BASIC_EPS_EXCL",Input!O$2,Date,,,Ccy,Conv)</f>
        <v>6.9221599999999999</v>
      </c>
      <c r="N57" s="47"/>
      <c r="P57" s="48"/>
      <c r="Q57" s="48"/>
      <c r="R57" s="48"/>
      <c r="T57" s="42"/>
      <c r="U57" s="42"/>
      <c r="V57" s="48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</row>
    <row r="58" spans="1:66" ht="12.75" customHeight="1" x14ac:dyDescent="0.2">
      <c r="A58" s="1" t="s">
        <v>80</v>
      </c>
      <c r="B58" s="12">
        <f>_xll.ciqfunctions.udf.CIQ(InputTicker, "IQ_BASIC_WEIGHT",Input!D$2,Date)</f>
        <v>146.49440999999999</v>
      </c>
      <c r="C58" s="12">
        <f>_xll.ciqfunctions.udf.CIQ(InputTicker, "IQ_BASIC_WEIGHT",Input!E$2,Date)</f>
        <v>148.21897000000001</v>
      </c>
      <c r="D58" s="12">
        <f>_xll.ciqfunctions.udf.CIQ(InputTicker, "IQ_BASIC_WEIGHT",Input!F$2,Date)</f>
        <v>145.96457000000001</v>
      </c>
      <c r="E58" s="12">
        <f>_xll.ciqfunctions.udf.CIQ(InputTicker, "IQ_BASIC_WEIGHT",Input!G$2,Date)</f>
        <v>141.91079999999999</v>
      </c>
      <c r="F58" s="12">
        <f>_xll.ciqfunctions.udf.CIQ(InputTicker, "IQ_BASIC_WEIGHT",Input!H$2,Date)</f>
        <v>140.05949000000001</v>
      </c>
      <c r="G58" s="12">
        <f>_xll.ciqfunctions.udf.CIQ(InputTicker, "IQ_BASIC_WEIGHT",Input!I$2,Date)</f>
        <v>137.72259</v>
      </c>
      <c r="H58" s="12">
        <f>_xll.ciqfunctions.udf.CIQ(InputTicker, "IQ_BASIC_WEIGHT",Input!J$2,Date)</f>
        <v>134.13403</v>
      </c>
      <c r="I58" s="12">
        <f>_xll.ciqfunctions.udf.CIQ(InputTicker, "IQ_BASIC_WEIGHT",Input!K$2,Date)</f>
        <v>132.16165000000001</v>
      </c>
      <c r="J58" s="12">
        <f>_xll.ciqfunctions.udf.CIQ(InputTicker, "IQ_BASIC_WEIGHT",Input!L$2,Date)</f>
        <v>130.3665</v>
      </c>
      <c r="K58" s="12">
        <f>_xll.ciqfunctions.udf.CIQ(InputTicker, "IQ_BASIC_WEIGHT",Input!M$2,Date)</f>
        <v>127.76317</v>
      </c>
      <c r="L58" s="12">
        <f>_xll.ciqfunctions.udf.CIQ(InputTicker, "IQ_BASIC_WEIGHT",Input!N$2,Date)</f>
        <v>122.07167</v>
      </c>
      <c r="M58" s="12">
        <f>_xll.ciqfunctions.udf.CIQ(InputTicker, "IQ_BASIC_WEIGHT",Input!O$2,Date)</f>
        <v>122.07167</v>
      </c>
      <c r="N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</row>
    <row r="59" spans="1:66" ht="12.75" customHeight="1" x14ac:dyDescent="0.2">
      <c r="A59" s="1" t="s">
        <v>81</v>
      </c>
      <c r="B59" s="11">
        <f>_xll.ciqfunctions.udf.CIQ(InputTicker, "IQ_DILUT_EPS_INCL",Input!D$2,Date,,,Ccy,Conv)</f>
        <v>1.9409400000000001</v>
      </c>
      <c r="C59" s="11">
        <f>_xll.ciqfunctions.udf.CIQ(InputTicker, "IQ_DILUT_EPS_INCL",Input!E$2,Date,,,Ccy,Conv)</f>
        <v>1.72028</v>
      </c>
      <c r="D59" s="11">
        <f>_xll.ciqfunctions.udf.CIQ(InputTicker, "IQ_DILUT_EPS_INCL",Input!F$2,Date,,,Ccy,Conv)</f>
        <v>2.02935</v>
      </c>
      <c r="E59" s="11">
        <f>_xll.ciqfunctions.udf.CIQ(InputTicker, "IQ_DILUT_EPS_INCL",Input!G$2,Date,,,Ccy,Conv)</f>
        <v>2.9106299999999998</v>
      </c>
      <c r="F59" s="11">
        <f>_xll.ciqfunctions.udf.CIQ(InputTicker, "IQ_DILUT_EPS_INCL",Input!H$2,Date,,,Ccy,Conv)</f>
        <v>3.40625</v>
      </c>
      <c r="G59" s="11">
        <f>_xll.ciqfunctions.udf.CIQ(InputTicker, "IQ_DILUT_EPS_INCL",Input!I$2,Date,,,Ccy,Conv)</f>
        <v>4.3651099999999996</v>
      </c>
      <c r="H59" s="11">
        <f>_xll.ciqfunctions.udf.CIQ(InputTicker, "IQ_DILUT_EPS_INCL",Input!J$2,Date,,,Ccy,Conv)</f>
        <v>3.4381300000000001</v>
      </c>
      <c r="I59" s="11">
        <f>_xll.ciqfunctions.udf.CIQ(InputTicker, "IQ_DILUT_EPS_INCL",Input!K$2,Date,,,Ccy,Conv)</f>
        <v>2.0299999999999998</v>
      </c>
      <c r="J59" s="11">
        <f>_xll.ciqfunctions.udf.CIQ(InputTicker, "IQ_DILUT_EPS_INCL",Input!L$2,Date,,,Ccy,Conv)</f>
        <v>4.59</v>
      </c>
      <c r="K59" s="11">
        <f>_xll.ciqfunctions.udf.CIQ(InputTicker, "IQ_DILUT_EPS_INCL",Input!M$2,Date,,,Ccy,Conv)</f>
        <v>7.25</v>
      </c>
      <c r="L59" s="11">
        <f>_xll.ciqfunctions.udf.CIQ(InputTicker, "IQ_DILUT_EPS_INCL",Input!N$2,Date,,,Ccy,Conv)</f>
        <v>6.9</v>
      </c>
      <c r="M59" s="11">
        <f>_xll.ciqfunctions.udf.CIQ(InputTicker, "IQ_DILUT_EPS_INCL",Input!O$2,Date,,,Ccy,Conv)</f>
        <v>6.9</v>
      </c>
      <c r="N59" s="48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</row>
    <row r="60" spans="1:66" ht="12.75" customHeight="1" x14ac:dyDescent="0.2">
      <c r="A60" s="1" t="s">
        <v>82</v>
      </c>
      <c r="B60" s="11">
        <f>_xll.ciqfunctions.udf.CIQ(InputTicker, "IQ_DILUT_EPS_EXCL",Input!D$2,Date,,,Ccy,Conv)</f>
        <v>1.9409400000000001</v>
      </c>
      <c r="C60" s="11">
        <f>_xll.ciqfunctions.udf.CIQ(InputTicker, "IQ_DILUT_EPS_EXCL",Input!E$2,Date,,,Ccy,Conv)</f>
        <v>1.72028</v>
      </c>
      <c r="D60" s="11">
        <f>_xll.ciqfunctions.udf.CIQ(InputTicker, "IQ_DILUT_EPS_EXCL",Input!F$2,Date,,,Ccy,Conv)</f>
        <v>2.02935</v>
      </c>
      <c r="E60" s="11">
        <f>_xll.ciqfunctions.udf.CIQ(InputTicker, "IQ_DILUT_EPS_EXCL",Input!G$2,Date,,,Ccy,Conv)</f>
        <v>2.9106299999999998</v>
      </c>
      <c r="F60" s="11">
        <f>_xll.ciqfunctions.udf.CIQ(InputTicker, "IQ_DILUT_EPS_EXCL",Input!H$2,Date,,,Ccy,Conv)</f>
        <v>3.40625</v>
      </c>
      <c r="G60" s="11">
        <f>_xll.ciqfunctions.udf.CIQ(InputTicker, "IQ_DILUT_EPS_EXCL",Input!I$2,Date,,,Ccy,Conv)</f>
        <v>4.3651099999999996</v>
      </c>
      <c r="H60" s="11">
        <f>_xll.ciqfunctions.udf.CIQ(InputTicker, "IQ_DILUT_EPS_EXCL",Input!J$2,Date,,,Ccy,Conv)</f>
        <v>3.4381300000000001</v>
      </c>
      <c r="I60" s="11">
        <f>_xll.ciqfunctions.udf.CIQ(InputTicker, "IQ_DILUT_EPS_EXCL",Input!K$2,Date,,,Ccy,Conv)</f>
        <v>2.0299999999999998</v>
      </c>
      <c r="J60" s="11">
        <f>_xll.ciqfunctions.udf.CIQ(InputTicker, "IQ_DILUT_EPS_EXCL",Input!L$2,Date,,,Ccy,Conv)</f>
        <v>4.59</v>
      </c>
      <c r="K60" s="11">
        <f>_xll.ciqfunctions.udf.CIQ(InputTicker, "IQ_DILUT_EPS_EXCL",Input!M$2,Date,,,Ccy,Conv)</f>
        <v>7.25</v>
      </c>
      <c r="L60" s="11">
        <f>_xll.ciqfunctions.udf.CIQ(InputTicker, "IQ_DILUT_EPS_EXCL",Input!N$2,Date,,,Ccy,Conv)</f>
        <v>6.9</v>
      </c>
      <c r="M60" s="11">
        <f>_xll.ciqfunctions.udf.CIQ(InputTicker, "IQ_DILUT_EPS_EXCL",Input!O$2,Date,,,Ccy,Conv)</f>
        <v>6.9</v>
      </c>
      <c r="N60" s="48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</row>
    <row r="61" spans="1:66" ht="12.75" customHeight="1" x14ac:dyDescent="0.2">
      <c r="A61" s="1" t="s">
        <v>83</v>
      </c>
      <c r="B61" s="12">
        <f>_xll.ciqfunctions.udf.CIQ(InputTicker, "IQ_DILUT_WEIGHT",Input!D$2,Date)</f>
        <v>149.71914000000001</v>
      </c>
      <c r="C61" s="12">
        <f>_xll.ciqfunctions.udf.CIQ(InputTicker, "IQ_DILUT_WEIGHT",Input!E$2,Date)</f>
        <v>150.27464000000001</v>
      </c>
      <c r="D61" s="12">
        <f>_xll.ciqfunctions.udf.CIQ(InputTicker, "IQ_DILUT_WEIGHT",Input!F$2,Date)</f>
        <v>147.75002000000001</v>
      </c>
      <c r="E61" s="12">
        <f>_xll.ciqfunctions.udf.CIQ(InputTicker, "IQ_DILUT_WEIGHT",Input!G$2,Date)</f>
        <v>143.15618000000001</v>
      </c>
      <c r="F61" s="12">
        <f>_xll.ciqfunctions.udf.CIQ(InputTicker, "IQ_DILUT_WEIGHT",Input!H$2,Date)</f>
        <v>141.23813999999999</v>
      </c>
      <c r="G61" s="12">
        <f>_xll.ciqfunctions.udf.CIQ(InputTicker, "IQ_DILUT_WEIGHT",Input!I$2,Date)</f>
        <v>138.70321999999999</v>
      </c>
      <c r="H61" s="12">
        <f>_xll.ciqfunctions.udf.CIQ(InputTicker, "IQ_DILUT_WEIGHT",Input!J$2,Date)</f>
        <v>134.85081</v>
      </c>
      <c r="I61" s="12">
        <f>_xll.ciqfunctions.udf.CIQ(InputTicker, "IQ_DILUT_WEIGHT",Input!K$2,Date)</f>
        <v>132.71644000000001</v>
      </c>
      <c r="J61" s="12">
        <f>_xll.ciqfunctions.udf.CIQ(InputTicker, "IQ_DILUT_WEIGHT",Input!L$2,Date)</f>
        <v>130.8159</v>
      </c>
      <c r="K61" s="12">
        <f>_xll.ciqfunctions.udf.CIQ(InputTicker, "IQ_DILUT_WEIGHT",Input!M$2,Date)</f>
        <v>128.29042000000001</v>
      </c>
      <c r="L61" s="12">
        <f>_xll.ciqfunctions.udf.CIQ(InputTicker, "IQ_DILUT_WEIGHT",Input!N$2,Date)</f>
        <v>122.37515</v>
      </c>
      <c r="M61" s="12">
        <f>_xll.ciqfunctions.udf.CIQ(InputTicker, "IQ_DILUT_WEIGHT",Input!O$2,Date)</f>
        <v>122.37515</v>
      </c>
      <c r="N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</row>
    <row r="62" spans="1:66" ht="12.75" customHeight="1" x14ac:dyDescent="0.2">
      <c r="A62" s="1" t="s">
        <v>311</v>
      </c>
      <c r="B62" s="11">
        <f>_xll.ciqfunctions.udf.CIQ(InputTicker, "IQ_EPS_NORM",Input!D$2,Date,,,Ccy,Conv)</f>
        <v>1.61893</v>
      </c>
      <c r="C62" s="11">
        <f>_xll.ciqfunctions.udf.CIQ(InputTicker, "IQ_EPS_NORM",Input!E$2,Date,,,Ccy,Conv)</f>
        <v>1.81091</v>
      </c>
      <c r="D62" s="11">
        <f>_xll.ciqfunctions.udf.CIQ(InputTicker, "IQ_EPS_NORM",Input!F$2,Date,,,Ccy,Conv)</f>
        <v>1.84135</v>
      </c>
      <c r="E62" s="11">
        <f>_xll.ciqfunctions.udf.CIQ(InputTicker, "IQ_EPS_NORM",Input!G$2,Date,,,Ccy,Conv)</f>
        <v>2.26993</v>
      </c>
      <c r="F62" s="11">
        <f>_xll.ciqfunctions.udf.CIQ(InputTicker, "IQ_EPS_NORM",Input!H$2,Date,,,Ccy,Conv)</f>
        <v>2.5921400000000001</v>
      </c>
      <c r="G62" s="11">
        <f>_xll.ciqfunctions.udf.CIQ(InputTicker, "IQ_EPS_NORM",Input!I$2,Date,,,Ccy,Conv)</f>
        <v>3.0062199999999999</v>
      </c>
      <c r="H62" s="11">
        <f>_xll.ciqfunctions.udf.CIQ(InputTicker, "IQ_EPS_NORM",Input!J$2,Date,,,Ccy,Conv)</f>
        <v>2.81576</v>
      </c>
      <c r="I62" s="11">
        <f>_xll.ciqfunctions.udf.CIQ(InputTicker, "IQ_EPS_NORM",Input!K$2,Date,,,Ccy,Conv)</f>
        <v>3.2564299999999999</v>
      </c>
      <c r="J62" s="11">
        <f>_xll.ciqfunctions.udf.CIQ(InputTicker, "IQ_EPS_NORM",Input!L$2,Date,,,Ccy,Conv)</f>
        <v>4.2236700000000003</v>
      </c>
      <c r="K62" s="11">
        <f>_xll.ciqfunctions.udf.CIQ(InputTicker, "IQ_EPS_NORM",Input!M$2,Date,,,Ccy,Conv)</f>
        <v>5.40062</v>
      </c>
      <c r="L62" s="11">
        <f>_xll.ciqfunctions.udf.CIQ(InputTicker, "IQ_EPS_NORM",Input!N$2,Date,,,Ccy,Conv)</f>
        <v>4.6949899999999998</v>
      </c>
      <c r="M62" s="11">
        <f>_xll.ciqfunctions.udf.CIQ(InputTicker, "IQ_EPS_NORM",Input!O$2,Date,,,Ccy,Conv)</f>
        <v>4.6949899999999998</v>
      </c>
      <c r="N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</row>
    <row r="63" spans="1:66" ht="12.75" customHeight="1" x14ac:dyDescent="0.2">
      <c r="A63" s="1" t="s">
        <v>312</v>
      </c>
      <c r="B63" s="11">
        <f>_xll.ciqfunctions.udf.CIQ(InputTicker, "IQ_DILUT_EPS_NORM",Input!D$2,Date,,,Ccy,Conv)</f>
        <v>1.58406</v>
      </c>
      <c r="C63" s="11">
        <f>_xll.ciqfunctions.udf.CIQ(InputTicker, "IQ_DILUT_EPS_NORM",Input!E$2,Date,,,Ccy,Conv)</f>
        <v>1.78613</v>
      </c>
      <c r="D63" s="11">
        <f>_xll.ciqfunctions.udf.CIQ(InputTicker, "IQ_DILUT_EPS_NORM",Input!F$2,Date,,,Ccy,Conv)</f>
        <v>1.8190999999999999</v>
      </c>
      <c r="E63" s="11">
        <f>_xll.ciqfunctions.udf.CIQ(InputTicker, "IQ_DILUT_EPS_NORM",Input!G$2,Date,,,Ccy,Conv)</f>
        <v>2.2501799999999998</v>
      </c>
      <c r="F63" s="11">
        <f>_xll.ciqfunctions.udf.CIQ(InputTicker, "IQ_DILUT_EPS_NORM",Input!H$2,Date,,,Ccy,Conv)</f>
        <v>2.5705</v>
      </c>
      <c r="G63" s="11">
        <f>_xll.ciqfunctions.udf.CIQ(InputTicker, "IQ_DILUT_EPS_NORM",Input!I$2,Date,,,Ccy,Conv)</f>
        <v>2.9849700000000001</v>
      </c>
      <c r="H63" s="11">
        <f>_xll.ciqfunctions.udf.CIQ(InputTicker, "IQ_DILUT_EPS_NORM",Input!J$2,Date,,,Ccy,Conv)</f>
        <v>2.8008000000000002</v>
      </c>
      <c r="I63" s="11">
        <f>_xll.ciqfunctions.udf.CIQ(InputTicker, "IQ_DILUT_EPS_NORM",Input!K$2,Date,,,Ccy,Conv)</f>
        <v>3.24282</v>
      </c>
      <c r="J63" s="11">
        <f>_xll.ciqfunctions.udf.CIQ(InputTicker, "IQ_DILUT_EPS_NORM",Input!L$2,Date,,,Ccy,Conv)</f>
        <v>4.2091599999999998</v>
      </c>
      <c r="K63" s="11">
        <f>_xll.ciqfunctions.udf.CIQ(InputTicker, "IQ_DILUT_EPS_NORM",Input!M$2,Date,,,Ccy,Conv)</f>
        <v>5.3784200000000002</v>
      </c>
      <c r="L63" s="11">
        <f>_xll.ciqfunctions.udf.CIQ(InputTicker, "IQ_DILUT_EPS_NORM",Input!N$2,Date,,,Ccy,Conv)</f>
        <v>4.6833400000000003</v>
      </c>
      <c r="M63" s="11">
        <f>_xll.ciqfunctions.udf.CIQ(InputTicker, "IQ_DILUT_EPS_NORM",Input!O$2,Date,,,Ccy,Conv)</f>
        <v>4.6833400000000003</v>
      </c>
      <c r="N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</row>
    <row r="64" spans="1:66" ht="12.75" customHeight="1" x14ac:dyDescent="0.2">
      <c r="A64" s="1" t="s">
        <v>391</v>
      </c>
      <c r="B64" s="4">
        <f>_xll.ciqfunctions.udf.CIQ(InputTicker, "IQ_DISTRIBUTABLE_CASH_PER_SHARE_DILUTED",Input!D$2,Date,,,Ccy,Conv)</f>
        <v>0</v>
      </c>
      <c r="C64" s="4">
        <f>_xll.ciqfunctions.udf.CIQ(InputTicker, "IQ_DISTRIBUTABLE_CASH_PER_SHARE_DILUTED",Input!E$2,Date,,,Ccy,Conv)</f>
        <v>0</v>
      </c>
      <c r="D64" s="4">
        <f>_xll.ciqfunctions.udf.CIQ(InputTicker, "IQ_DISTRIBUTABLE_CASH_PER_SHARE_DILUTED",Input!F$2,Date,,,Ccy,Conv)</f>
        <v>0</v>
      </c>
      <c r="E64" s="4">
        <f>_xll.ciqfunctions.udf.CIQ(InputTicker, "IQ_DISTRIBUTABLE_CASH_PER_SHARE_DILUTED",Input!G$2,Date,,,Ccy,Conv)</f>
        <v>0</v>
      </c>
      <c r="F64" s="4">
        <f>_xll.ciqfunctions.udf.CIQ(InputTicker, "IQ_DISTRIBUTABLE_CASH_PER_SHARE_DILUTED",Input!H$2,Date,,,Ccy,Conv)</f>
        <v>0</v>
      </c>
      <c r="G64" s="4">
        <f>_xll.ciqfunctions.udf.CIQ(InputTicker, "IQ_DISTRIBUTABLE_CASH_PER_SHARE_DILUTED",Input!I$2,Date,,,Ccy,Conv)</f>
        <v>0</v>
      </c>
      <c r="H64" s="4">
        <f>_xll.ciqfunctions.udf.CIQ(InputTicker, "IQ_DISTRIBUTABLE_CASH_PER_SHARE_DILUTED",Input!J$2,Date,,,Ccy,Conv)</f>
        <v>0</v>
      </c>
      <c r="I64" s="4">
        <f>_xll.ciqfunctions.udf.CIQ(InputTicker, "IQ_DISTRIBUTABLE_CASH_PER_SHARE_DILUTED",Input!K$2,Date,,,Ccy,Conv)</f>
        <v>0</v>
      </c>
      <c r="J64" s="4">
        <f>_xll.ciqfunctions.udf.CIQ(InputTicker, "IQ_DISTRIBUTABLE_CASH_PER_SHARE_DILUTED",Input!L$2,Date,,,Ccy,Conv)</f>
        <v>0</v>
      </c>
      <c r="K64" s="4">
        <f>_xll.ciqfunctions.udf.CIQ(InputTicker, "IQ_DISTRIBUTABLE_CASH_PER_SHARE_DILUTED",Input!M$2,Date,,,Ccy,Conv)</f>
        <v>0</v>
      </c>
      <c r="L64" s="4">
        <f>_xll.ciqfunctions.udf.CIQ(InputTicker, "IQ_DISTRIBUTABLE_CASH_PER_SHARE_DILUTED",Input!N$2,Date,,,Ccy,Conv)</f>
        <v>0</v>
      </c>
      <c r="M64" s="4">
        <f>_xll.ciqfunctions.udf.CIQ(InputTicker, "IQ_DISTRIBUTABLE_CASH_PER_SHARE_DILUTED",Input!O$2,Date,,,Ccy,Conv)</f>
        <v>0</v>
      </c>
      <c r="N64" s="42"/>
      <c r="P64" s="48"/>
      <c r="Q64" s="48"/>
      <c r="R64" s="48"/>
      <c r="T64" s="42"/>
      <c r="U64" s="42"/>
      <c r="V64" s="48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</row>
    <row r="65" spans="1:66" ht="12.75" customHeight="1" x14ac:dyDescent="0.2">
      <c r="A65" s="1" t="s">
        <v>389</v>
      </c>
      <c r="B65" s="4">
        <f>_xll.ciqfunctions.udf.CIQ(InputTicker, "IQ_DISTRIBUTABLE_CASH_SHARES_BASIC",Input!D$2,Date)</f>
        <v>0</v>
      </c>
      <c r="C65" s="4">
        <f>_xll.ciqfunctions.udf.CIQ(InputTicker, "IQ_DISTRIBUTABLE_CASH_SHARES_BASIC",Input!E$2,Date)</f>
        <v>0</v>
      </c>
      <c r="D65" s="4">
        <f>_xll.ciqfunctions.udf.CIQ(InputTicker, "IQ_DISTRIBUTABLE_CASH_SHARES_BASIC",Input!F$2,Date)</f>
        <v>0</v>
      </c>
      <c r="E65" s="4">
        <f>_xll.ciqfunctions.udf.CIQ(InputTicker, "IQ_DISTRIBUTABLE_CASH_SHARES_BASIC",Input!G$2,Date)</f>
        <v>0</v>
      </c>
      <c r="F65" s="4">
        <f>_xll.ciqfunctions.udf.CIQ(InputTicker, "IQ_DISTRIBUTABLE_CASH_SHARES_BASIC",Input!H$2,Date)</f>
        <v>0</v>
      </c>
      <c r="G65" s="4">
        <f>_xll.ciqfunctions.udf.CIQ(InputTicker, "IQ_DISTRIBUTABLE_CASH_SHARES_BASIC",Input!I$2,Date)</f>
        <v>0</v>
      </c>
      <c r="H65" s="4">
        <f>_xll.ciqfunctions.udf.CIQ(InputTicker, "IQ_DISTRIBUTABLE_CASH_SHARES_BASIC",Input!J$2,Date)</f>
        <v>0</v>
      </c>
      <c r="I65" s="4">
        <f>_xll.ciqfunctions.udf.CIQ(InputTicker, "IQ_DISTRIBUTABLE_CASH_SHARES_BASIC",Input!K$2,Date)</f>
        <v>0</v>
      </c>
      <c r="J65" s="4">
        <f>_xll.ciqfunctions.udf.CIQ(InputTicker, "IQ_DISTRIBUTABLE_CASH_SHARES_BASIC",Input!L$2,Date)</f>
        <v>0</v>
      </c>
      <c r="K65" s="4">
        <f>_xll.ciqfunctions.udf.CIQ(InputTicker, "IQ_DISTRIBUTABLE_CASH_SHARES_BASIC",Input!M$2,Date)</f>
        <v>0</v>
      </c>
      <c r="L65" s="4">
        <f>_xll.ciqfunctions.udf.CIQ(InputTicker, "IQ_DISTRIBUTABLE_CASH_SHARES_BASIC",Input!N$2,Date)</f>
        <v>0</v>
      </c>
      <c r="M65" s="4">
        <f>_xll.ciqfunctions.udf.CIQ(InputTicker, "IQ_DISTRIBUTABLE_CASH_SHARES_BASIC",Input!O$2,Date)</f>
        <v>0</v>
      </c>
      <c r="N65" s="49"/>
      <c r="P65" s="48"/>
      <c r="Q65" s="48"/>
      <c r="R65" s="48"/>
      <c r="T65" s="42"/>
      <c r="U65" s="42"/>
      <c r="V65" s="48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</row>
    <row r="66" spans="1:66" ht="12.75" customHeight="1" x14ac:dyDescent="0.2">
      <c r="A66" s="1" t="s">
        <v>390</v>
      </c>
      <c r="B66" s="4">
        <f>_xll.ciqfunctions.udf.CIQ(InputTicker, "IQ_DISTRIBUTABLE_CASH_SHARES_DILUTED",Input!D$2,Date)</f>
        <v>0</v>
      </c>
      <c r="C66" s="4">
        <f>_xll.ciqfunctions.udf.CIQ(InputTicker, "IQ_DISTRIBUTABLE_CASH_SHARES_DILUTED",Input!E$2,Date)</f>
        <v>0</v>
      </c>
      <c r="D66" s="4">
        <f>_xll.ciqfunctions.udf.CIQ(InputTicker, "IQ_DISTRIBUTABLE_CASH_SHARES_DILUTED",Input!F$2,Date)</f>
        <v>0</v>
      </c>
      <c r="E66" s="4">
        <f>_xll.ciqfunctions.udf.CIQ(InputTicker, "IQ_DISTRIBUTABLE_CASH_SHARES_DILUTED",Input!G$2,Date)</f>
        <v>0</v>
      </c>
      <c r="F66" s="4">
        <f>_xll.ciqfunctions.udf.CIQ(InputTicker, "IQ_DISTRIBUTABLE_CASH_SHARES_DILUTED",Input!H$2,Date)</f>
        <v>0</v>
      </c>
      <c r="G66" s="4">
        <f>_xll.ciqfunctions.udf.CIQ(InputTicker, "IQ_DISTRIBUTABLE_CASH_SHARES_DILUTED",Input!I$2,Date)</f>
        <v>0</v>
      </c>
      <c r="H66" s="4">
        <f>_xll.ciqfunctions.udf.CIQ(InputTicker, "IQ_DISTRIBUTABLE_CASH_SHARES_DILUTED",Input!J$2,Date)</f>
        <v>0</v>
      </c>
      <c r="I66" s="4">
        <f>_xll.ciqfunctions.udf.CIQ(InputTicker, "IQ_DISTRIBUTABLE_CASH_SHARES_DILUTED",Input!K$2,Date)</f>
        <v>0</v>
      </c>
      <c r="J66" s="4">
        <f>_xll.ciqfunctions.udf.CIQ(InputTicker, "IQ_DISTRIBUTABLE_CASH_SHARES_DILUTED",Input!L$2,Date)</f>
        <v>0</v>
      </c>
      <c r="K66" s="4">
        <f>_xll.ciqfunctions.udf.CIQ(InputTicker, "IQ_DISTRIBUTABLE_CASH_SHARES_DILUTED",Input!M$2,Date)</f>
        <v>0</v>
      </c>
      <c r="L66" s="4">
        <f>_xll.ciqfunctions.udf.CIQ(InputTicker, "IQ_DISTRIBUTABLE_CASH_SHARES_DILUTED",Input!N$2,Date)</f>
        <v>0</v>
      </c>
      <c r="M66" s="4">
        <f>_xll.ciqfunctions.udf.CIQ(InputTicker, "IQ_DISTRIBUTABLE_CASH_SHARES_DILUTED",Input!O$2,Date)</f>
        <v>0</v>
      </c>
      <c r="N66" s="49"/>
      <c r="P66" s="48"/>
      <c r="Q66" s="48"/>
      <c r="R66" s="48"/>
      <c r="T66" s="42"/>
      <c r="U66" s="42"/>
      <c r="V66" s="48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</row>
    <row r="67" spans="1:66" ht="12.75" customHeight="1" x14ac:dyDescent="0.2">
      <c r="A67" s="1" t="s">
        <v>316</v>
      </c>
      <c r="B67" s="11">
        <f>_xll.ciqfunctions.udf.CIQ(InputTicker, "IQ_DIV_SHARE",Input!D$2,Date,,,Ccy,Conv)</f>
        <v>0.54</v>
      </c>
      <c r="C67" s="11">
        <f>_xll.ciqfunctions.udf.CIQ(InputTicker, "IQ_DIV_SHARE",Input!E$2,Date,,,Ccy,Conv)</f>
        <v>0.62</v>
      </c>
      <c r="D67" s="11">
        <f>_xll.ciqfunctions.udf.CIQ(InputTicker, "IQ_DIV_SHARE",Input!F$2,Date,,,Ccy,Conv)</f>
        <v>0.7</v>
      </c>
      <c r="E67" s="11">
        <f>_xll.ciqfunctions.udf.CIQ(InputTicker, "IQ_DIV_SHARE",Input!G$2,Date,,,Ccy,Conv)</f>
        <v>0.8</v>
      </c>
      <c r="F67" s="11">
        <f>_xll.ciqfunctions.udf.CIQ(InputTicker, "IQ_DIV_SHARE",Input!H$2,Date,,,Ccy,Conv)</f>
        <v>1.04</v>
      </c>
      <c r="G67" s="11">
        <f>_xll.ciqfunctions.udf.CIQ(InputTicker, "IQ_DIV_SHARE",Input!I$2,Date,,,Ccy,Conv)</f>
        <v>1.3</v>
      </c>
      <c r="H67" s="11">
        <f>_xll.ciqfunctions.udf.CIQ(InputTicker, "IQ_DIV_SHARE",Input!J$2,Date,,,Ccy,Conv)</f>
        <v>1.54</v>
      </c>
      <c r="I67" s="11">
        <f>_xll.ciqfunctions.udf.CIQ(InputTicker, "IQ_DIV_SHARE",Input!K$2,Date,,,Ccy,Conv)</f>
        <v>1.76</v>
      </c>
      <c r="J67" s="11">
        <f>_xll.ciqfunctions.udf.CIQ(InputTicker, "IQ_DIV_SHARE",Input!L$2,Date,,,Ccy,Conv)</f>
        <v>1.92</v>
      </c>
      <c r="K67" s="11">
        <f>_xll.ciqfunctions.udf.CIQ(InputTicker, "IQ_DIV_SHARE",Input!M$2,Date,,,Ccy,Conv)</f>
        <v>2.08</v>
      </c>
      <c r="L67" s="11">
        <f>_xll.ciqfunctions.udf.CIQ(InputTicker, "IQ_DIV_SHARE",Input!N$2,Date,,,Ccy,Conv)</f>
        <v>2.2400000000000002</v>
      </c>
      <c r="M67" s="11">
        <f>_xll.ciqfunctions.udf.CIQ(InputTicker, "IQ_DIV_SHARE",Input!O$2,Date,,,Ccy,Conv)</f>
        <v>2.2400000000000002</v>
      </c>
      <c r="N67" s="47"/>
      <c r="P67" s="48"/>
      <c r="Q67" s="48"/>
      <c r="R67" s="48"/>
      <c r="T67" s="42"/>
      <c r="U67" s="42"/>
      <c r="V67" s="48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</row>
    <row r="68" spans="1:66" ht="12.75" customHeight="1" x14ac:dyDescent="0.2">
      <c r="A68" s="1" t="s">
        <v>429</v>
      </c>
      <c r="B68" s="4">
        <f>_xll.ciqfunctions.udf.CIQ(InputTicker, "IQ_DR_RATIO_PRIMARY",Input!D$2,Date)</f>
        <v>0</v>
      </c>
      <c r="C68" s="4">
        <f>_xll.ciqfunctions.udf.CIQ(InputTicker, "IQ_DR_RATIO_PRIMARY",Input!E$2,Date)</f>
        <v>0</v>
      </c>
      <c r="D68" s="4">
        <f>_xll.ciqfunctions.udf.CIQ(InputTicker, "IQ_DR_RATIO_PRIMARY",Input!F$2,Date)</f>
        <v>0</v>
      </c>
      <c r="E68" s="4">
        <f>_xll.ciqfunctions.udf.CIQ(InputTicker, "IQ_DR_RATIO_PRIMARY",Input!G$2,Date)</f>
        <v>0</v>
      </c>
      <c r="F68" s="4">
        <f>_xll.ciqfunctions.udf.CIQ(InputTicker, "IQ_DR_RATIO_PRIMARY",Input!H$2,Date)</f>
        <v>0</v>
      </c>
      <c r="G68" s="4">
        <f>_xll.ciqfunctions.udf.CIQ(InputTicker, "IQ_DR_RATIO_PRIMARY",Input!I$2,Date)</f>
        <v>0</v>
      </c>
      <c r="H68" s="4">
        <f>_xll.ciqfunctions.udf.CIQ(InputTicker, "IQ_DR_RATIO_PRIMARY",Input!J$2,Date)</f>
        <v>0</v>
      </c>
      <c r="I68" s="4">
        <f>_xll.ciqfunctions.udf.CIQ(InputTicker, "IQ_DR_RATIO_PRIMARY",Input!K$2,Date)</f>
        <v>0</v>
      </c>
      <c r="J68" s="4">
        <f>_xll.ciqfunctions.udf.CIQ(InputTicker, "IQ_DR_RATIO_PRIMARY",Input!L$2,Date)</f>
        <v>0</v>
      </c>
      <c r="K68" s="4">
        <f>_xll.ciqfunctions.udf.CIQ(InputTicker, "IQ_DR_RATIO_PRIMARY",Input!M$2,Date)</f>
        <v>0</v>
      </c>
      <c r="L68" s="4">
        <f>_xll.ciqfunctions.udf.CIQ(InputTicker, "IQ_DR_RATIO_PRIMARY",Input!N$2,Date)</f>
        <v>0</v>
      </c>
      <c r="M68" s="4">
        <f>_xll.ciqfunctions.udf.CIQ(InputTicker, "IQ_DR_RATIO_PRIMARY",Input!O$2,Date)</f>
        <v>0</v>
      </c>
      <c r="N68" s="48"/>
      <c r="P68" s="48"/>
      <c r="Q68" s="48"/>
      <c r="R68" s="48"/>
      <c r="T68" s="42"/>
      <c r="U68" s="42"/>
      <c r="V68" s="48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</row>
    <row r="69" spans="1:66" ht="12.75" customHeight="1" x14ac:dyDescent="0.2">
      <c r="A69" s="1" t="s">
        <v>314</v>
      </c>
      <c r="B69" s="11">
        <f>_xll.ciqfunctions.udf.CIQ(InputTicker, "IQ_TOTAL_REV_SHARE",Input!D$2,Date,,,Ccy,Conv)</f>
        <v>36.900640000000003</v>
      </c>
      <c r="C69" s="11">
        <f>_xll.ciqfunctions.udf.CIQ(InputTicker, "IQ_TOTAL_REV_SHARE",Input!E$2,Date,,,Ccy,Conv)</f>
        <v>39.195329999999998</v>
      </c>
      <c r="D69" s="11">
        <f>_xll.ciqfunctions.udf.CIQ(InputTicker, "IQ_TOTAL_REV_SHARE",Input!F$2,Date,,,Ccy,Conv)</f>
        <v>42.254089999999998</v>
      </c>
      <c r="E69" s="11">
        <f>_xll.ciqfunctions.udf.CIQ(InputTicker, "IQ_TOTAL_REV_SHARE",Input!G$2,Date,,,Ccy,Conv)</f>
        <v>47.241199999999999</v>
      </c>
      <c r="F69" s="11">
        <f>_xll.ciqfunctions.udf.CIQ(InputTicker, "IQ_TOTAL_REV_SHARE",Input!H$2,Date,,,Ccy,Conv)</f>
        <v>53.290500000000002</v>
      </c>
      <c r="G69" s="11">
        <f>_xll.ciqfunctions.udf.CIQ(InputTicker, "IQ_TOTAL_REV_SHARE",Input!I$2,Date,,,Ccy,Conv)</f>
        <v>57.063540000000003</v>
      </c>
      <c r="H69" s="11">
        <f>_xll.ciqfunctions.udf.CIQ(InputTicker, "IQ_TOTAL_REV_SHARE",Input!J$2,Date,,,Ccy,Conv)</f>
        <v>62.353299999999997</v>
      </c>
      <c r="I69" s="11">
        <f>_xll.ciqfunctions.udf.CIQ(InputTicker, "IQ_TOTAL_REV_SHARE",Input!K$2,Date,,,Ccy,Conv)</f>
        <v>70.058149999999998</v>
      </c>
      <c r="J69" s="11">
        <f>_xll.ciqfunctions.udf.CIQ(InputTicker, "IQ_TOTAL_REV_SHARE",Input!L$2,Date,,,Ccy,Conv)</f>
        <v>81.784809999999993</v>
      </c>
      <c r="K69" s="11">
        <f>_xll.ciqfunctions.udf.CIQ(InputTicker, "IQ_TOTAL_REV_SHARE",Input!M$2,Date,,,Ccy,Conv)</f>
        <v>93.767240000000001</v>
      </c>
      <c r="L69" s="11">
        <f>_xll.ciqfunctions.udf.CIQ(InputTicker, "IQ_TOTAL_REV_SHARE",Input!N$2,Date,,,Ccy,Conv)</f>
        <v>91.888639999999995</v>
      </c>
      <c r="M69" s="11">
        <f>_xll.ciqfunctions.udf.CIQ(InputTicker, "IQ_TOTAL_REV_SHARE",Input!O$2,Date,,,Ccy,Conv)</f>
        <v>91.888639999999995</v>
      </c>
      <c r="N69" s="48"/>
      <c r="P69" s="48"/>
      <c r="Q69" s="48"/>
      <c r="R69" s="48"/>
      <c r="T69" s="42"/>
      <c r="U69" s="42"/>
      <c r="V69" s="48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</row>
    <row r="70" spans="1:66" ht="12.75" customHeight="1" x14ac:dyDescent="0.2">
      <c r="A70" s="1" t="s">
        <v>313</v>
      </c>
      <c r="B70" s="11">
        <f>_xll.ciqfunctions.udf.CIQ(InputTicker, "IQ_DISTRIBUTABLE_CASH_SHARE",Input!D$2,Date,,,Ccy,Conv)</f>
        <v>0</v>
      </c>
      <c r="C70" s="11">
        <f>_xll.ciqfunctions.udf.CIQ(InputTicker, "IQ_DISTRIBUTABLE_CASH_SHARE",Input!E$2,Date,,,Ccy,Conv)</f>
        <v>0</v>
      </c>
      <c r="D70" s="11">
        <f>_xll.ciqfunctions.udf.CIQ(InputTicker, "IQ_DISTRIBUTABLE_CASH_SHARE",Input!F$2,Date,,,Ccy,Conv)</f>
        <v>0</v>
      </c>
      <c r="E70" s="11">
        <f>_xll.ciqfunctions.udf.CIQ(InputTicker, "IQ_DISTRIBUTABLE_CASH_SHARE",Input!G$2,Date,,,Ccy,Conv)</f>
        <v>0</v>
      </c>
      <c r="F70" s="11">
        <f>_xll.ciqfunctions.udf.CIQ(InputTicker, "IQ_DISTRIBUTABLE_CASH_SHARE",Input!H$2,Date,,,Ccy,Conv)</f>
        <v>0</v>
      </c>
      <c r="G70" s="11">
        <f>_xll.ciqfunctions.udf.CIQ(InputTicker, "IQ_DISTRIBUTABLE_CASH_SHARE",Input!I$2,Date,,,Ccy,Conv)</f>
        <v>0</v>
      </c>
      <c r="H70" s="11">
        <f>_xll.ciqfunctions.udf.CIQ(InputTicker, "IQ_DISTRIBUTABLE_CASH_SHARE",Input!J$2,Date,,,Ccy,Conv)</f>
        <v>0</v>
      </c>
      <c r="I70" s="11">
        <f>_xll.ciqfunctions.udf.CIQ(InputTicker, "IQ_DISTRIBUTABLE_CASH_SHARE",Input!K$2,Date,,,Ccy,Conv)</f>
        <v>0</v>
      </c>
      <c r="J70" s="11">
        <f>_xll.ciqfunctions.udf.CIQ(InputTicker, "IQ_DISTRIBUTABLE_CASH_SHARE",Input!L$2,Date,,,Ccy,Conv)</f>
        <v>0</v>
      </c>
      <c r="K70" s="11">
        <f>_xll.ciqfunctions.udf.CIQ(InputTicker, "IQ_DISTRIBUTABLE_CASH_SHARE",Input!M$2,Date,,,Ccy,Conv)</f>
        <v>0</v>
      </c>
      <c r="L70" s="11">
        <f>_xll.ciqfunctions.udf.CIQ(InputTicker, "IQ_DISTRIBUTABLE_CASH_SHARE",Input!N$2,Date,,,Ccy,Conv)</f>
        <v>0</v>
      </c>
      <c r="M70" s="11">
        <f>_xll.ciqfunctions.udf.CIQ(InputTicker, "IQ_DISTRIBUTABLE_CASH_SHARE",Input!O$2,Date,,,Ccy,Conv)</f>
        <v>0</v>
      </c>
      <c r="N70" s="48"/>
      <c r="P70" s="48"/>
      <c r="Q70" s="48"/>
      <c r="R70" s="48"/>
      <c r="T70" s="42"/>
      <c r="U70" s="42"/>
      <c r="V70" s="48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</row>
    <row r="71" spans="1:66" ht="12.75" customHeight="1" x14ac:dyDescent="0.2">
      <c r="A71" s="1" t="s">
        <v>315</v>
      </c>
      <c r="B71" s="11">
        <f>_xll.ciqfunctions.udf.CIQ(InputTicker, "IQ_SPECIAL_DIV_SHARE",Input!D$2,Date,,,Ccy,Conv)</f>
        <v>0</v>
      </c>
      <c r="C71" s="11">
        <f>_xll.ciqfunctions.udf.CIQ(InputTicker, "IQ_SPECIAL_DIV_SHARE",Input!E$2,Date,,,Ccy,Conv)</f>
        <v>0</v>
      </c>
      <c r="D71" s="11">
        <f>_xll.ciqfunctions.udf.CIQ(InputTicker, "IQ_SPECIAL_DIV_SHARE",Input!F$2,Date,,,Ccy,Conv)</f>
        <v>0</v>
      </c>
      <c r="E71" s="11">
        <f>_xll.ciqfunctions.udf.CIQ(InputTicker, "IQ_SPECIAL_DIV_SHARE",Input!G$2,Date,,,Ccy,Conv)</f>
        <v>0</v>
      </c>
      <c r="F71" s="11">
        <f>_xll.ciqfunctions.udf.CIQ(InputTicker, "IQ_SPECIAL_DIV_SHARE",Input!H$2,Date,,,Ccy,Conv)</f>
        <v>0</v>
      </c>
      <c r="G71" s="11">
        <f>_xll.ciqfunctions.udf.CIQ(InputTicker, "IQ_SPECIAL_DIV_SHARE",Input!I$2,Date,,,Ccy,Conv)</f>
        <v>0</v>
      </c>
      <c r="H71" s="11">
        <f>_xll.ciqfunctions.udf.CIQ(InputTicker, "IQ_SPECIAL_DIV_SHARE",Input!J$2,Date,,,Ccy,Conv)</f>
        <v>0</v>
      </c>
      <c r="I71" s="11">
        <f>_xll.ciqfunctions.udf.CIQ(InputTicker, "IQ_SPECIAL_DIV_SHARE",Input!K$2,Date,,,Ccy,Conv)</f>
        <v>0</v>
      </c>
      <c r="J71" s="11">
        <f>_xll.ciqfunctions.udf.CIQ(InputTicker, "IQ_SPECIAL_DIV_SHARE",Input!L$2,Date,,,Ccy,Conv)</f>
        <v>0</v>
      </c>
      <c r="K71" s="11">
        <f>_xll.ciqfunctions.udf.CIQ(InputTicker, "IQ_SPECIAL_DIV_SHARE",Input!M$2,Date,,,Ccy,Conv)</f>
        <v>0</v>
      </c>
      <c r="L71" s="11">
        <f>_xll.ciqfunctions.udf.CIQ(InputTicker, "IQ_SPECIAL_DIV_SHARE",Input!N$2,Date,,,Ccy,Conv)</f>
        <v>0</v>
      </c>
      <c r="M71" s="11">
        <f>_xll.ciqfunctions.udf.CIQ(InputTicker, "IQ_SPECIAL_DIV_SHARE",Input!O$2,Date,,,Ccy,Conv)</f>
        <v>0</v>
      </c>
      <c r="N71" s="48"/>
      <c r="P71" s="48"/>
      <c r="Q71" s="48"/>
      <c r="R71" s="48"/>
      <c r="T71" s="42"/>
      <c r="U71" s="42"/>
      <c r="V71" s="48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</row>
    <row r="72" spans="1:66" ht="12.75" customHeight="1" x14ac:dyDescent="0.2">
      <c r="A72" s="1" t="s">
        <v>216</v>
      </c>
      <c r="B72" s="13">
        <f>_xll.ciqfunctions.udf.CIQ(InputTicker, "IQ_FILINGDATE_IS",Input!D$2,Date)</f>
        <v>43249</v>
      </c>
      <c r="C72" s="13">
        <f>_xll.ciqfunctions.udf.CIQ(InputTicker, "IQ_FILINGDATE_IS",Input!E$2,Date)</f>
        <v>43613</v>
      </c>
      <c r="D72" s="13">
        <f>_xll.ciqfunctions.udf.CIQ(InputTicker, "IQ_FILINGDATE_IS",Input!F$2,Date)</f>
        <v>43977</v>
      </c>
      <c r="E72" s="13">
        <f>_xll.ciqfunctions.udf.CIQ(InputTicker, "IQ_FILINGDATE_IS",Input!G$2,Date)</f>
        <v>44337</v>
      </c>
      <c r="F72" s="13">
        <f>_xll.ciqfunctions.udf.CIQ(InputTicker, "IQ_FILINGDATE_IS",Input!H$2,Date)</f>
        <v>44701</v>
      </c>
      <c r="G72" s="13">
        <f>_xll.ciqfunctions.udf.CIQ(InputTicker, "IQ_FILINGDATE_IS",Input!I$2,Date)</f>
        <v>45072</v>
      </c>
      <c r="H72" s="13">
        <f>_xll.ciqfunctions.udf.CIQ(InputTicker, "IQ_FILINGDATE_IS",Input!J$2,Date)</f>
        <v>45436</v>
      </c>
      <c r="I72" s="13">
        <f>_xll.ciqfunctions.udf.CIQ(InputTicker, "IQ_FILINGDATE_IS",Input!K$2,Date)</f>
        <v>45800</v>
      </c>
      <c r="J72" s="13">
        <f>_xll.ciqfunctions.udf.CIQ(InputTicker, "IQ_FILINGDATE_IS",Input!L$2,Date)</f>
        <v>46164</v>
      </c>
      <c r="K72" s="13">
        <f>_xll.ciqfunctions.udf.CIQ(InputTicker, "IQ_FILINGDATE_IS",Input!M$2,Date)</f>
        <v>46164</v>
      </c>
      <c r="L72" s="13">
        <f>_xll.ciqfunctions.udf.CIQ(InputTicker, "IQ_FILINGDATE_IS",Input!N$2,Date)</f>
        <v>46164</v>
      </c>
      <c r="M72" s="13">
        <f>_xll.ciqfunctions.udf.CIQ(InputTicker, "IQ_FILINGDATE_IS",Input!O$2,Date)</f>
        <v>46164</v>
      </c>
      <c r="N72" s="42"/>
      <c r="P72" s="46"/>
      <c r="Q72" s="46"/>
      <c r="R72" s="46"/>
      <c r="T72" s="42"/>
      <c r="U72" s="42"/>
      <c r="V72" s="46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</row>
    <row r="73" spans="1:66" ht="12.75" customHeight="1" x14ac:dyDescent="0.2">
      <c r="A73" s="1" t="s">
        <v>317</v>
      </c>
      <c r="B73" s="18">
        <f>_xll.ciqfunctions.udf.CIQ(InputTicker,"IQ_PERIODLENGTH_IS",Input!D$2,Date)</f>
        <v>12</v>
      </c>
      <c r="C73" s="18">
        <f>_xll.ciqfunctions.udf.CIQ(InputTicker,"IQ_PERIODLENGTH_IS",Input!E$2,Date)</f>
        <v>12</v>
      </c>
      <c r="D73" s="18">
        <f>_xll.ciqfunctions.udf.CIQ(InputTicker,"IQ_PERIODLENGTH_IS",Input!F$2,Date)</f>
        <v>12</v>
      </c>
      <c r="E73" s="18">
        <f>_xll.ciqfunctions.udf.CIQ(InputTicker,"IQ_PERIODLENGTH_IS",Input!G$2,Date)</f>
        <v>12</v>
      </c>
      <c r="F73" s="18">
        <f>_xll.ciqfunctions.udf.CIQ(InputTicker,"IQ_PERIODLENGTH_IS",Input!H$2,Date)</f>
        <v>12</v>
      </c>
      <c r="G73" s="18">
        <f>_xll.ciqfunctions.udf.CIQ(InputTicker,"IQ_PERIODLENGTH_IS",Input!I$2,Date)</f>
        <v>12</v>
      </c>
      <c r="H73" s="18">
        <f>_xll.ciqfunctions.udf.CIQ(InputTicker,"IQ_PERIODLENGTH_IS",Input!J$2,Date)</f>
        <v>12</v>
      </c>
      <c r="I73" s="18">
        <f>_xll.ciqfunctions.udf.CIQ(InputTicker,"IQ_PERIODLENGTH_IS",Input!K$2,Date)</f>
        <v>12</v>
      </c>
      <c r="J73" s="18">
        <f>_xll.ciqfunctions.udf.CIQ(InputTicker,"IQ_PERIODLENGTH_IS",Input!L$2,Date)</f>
        <v>12</v>
      </c>
      <c r="K73" s="18">
        <f>_xll.ciqfunctions.udf.CIQ(InputTicker,"IQ_PERIODLENGTH_IS",Input!M$2,Date)</f>
        <v>12</v>
      </c>
      <c r="L73" s="18">
        <f>_xll.ciqfunctions.udf.CIQ(InputTicker,"IQ_PERIODLENGTH_IS",Input!N$2,Date)</f>
        <v>12</v>
      </c>
      <c r="M73" s="18">
        <f>_xll.ciqfunctions.udf.CIQ(InputTicker,"IQ_PERIODLENGTH_IS",Input!O$2,Date)</f>
        <v>12</v>
      </c>
      <c r="N73" s="42"/>
      <c r="P73" s="46"/>
      <c r="Q73" s="46"/>
      <c r="R73" s="46"/>
      <c r="T73" s="42"/>
      <c r="U73" s="42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</row>
    <row r="74" spans="1:66" ht="12.75" customHeight="1" x14ac:dyDescent="0.2">
      <c r="A74" s="1" t="s">
        <v>84</v>
      </c>
      <c r="B74" s="4">
        <f>_xll.ciqfunctions.udf.CIQ(InputTicker,"IQ_EBITDA",Input!D$2,Date,,,Ccy,Conv)</f>
        <v>506.12</v>
      </c>
      <c r="C74" s="4">
        <f>_xll.ciqfunctions.udf.CIQ(InputTicker,"IQ_EBITDA",Input!E$2,Date,,,Ccy,Conv)</f>
        <v>561.524</v>
      </c>
      <c r="D74" s="4">
        <f>_xll.ciqfunctions.udf.CIQ(InputTicker,"IQ_EBITDA",Input!F$2,Date,,,Ccy,Conv)</f>
        <v>577.20000000000005</v>
      </c>
      <c r="E74" s="4">
        <f>_xll.ciqfunctions.udf.CIQ(InputTicker,"IQ_EBITDA",Input!G$2,Date,,,Ccy,Conv)</f>
        <v>663.73099999999999</v>
      </c>
      <c r="F74" s="4">
        <f>_xll.ciqfunctions.udf.CIQ(InputTicker,"IQ_EBITDA",Input!H$2,Date,,,Ccy,Conv)</f>
        <v>745.42399999999998</v>
      </c>
      <c r="G74" s="4">
        <f>_xll.ciqfunctions.udf.CIQ(InputTicker,"IQ_EBITDA",Input!I$2,Date,,,Ccy,Conv)</f>
        <v>834.44899999999996</v>
      </c>
      <c r="H74" s="4">
        <f>_xll.ciqfunctions.udf.CIQ(InputTicker,"IQ_EBITDA",Input!J$2,Date,,,Ccy,Conv)</f>
        <v>826.86500000000001</v>
      </c>
      <c r="I74" s="4">
        <f>_xll.ciqfunctions.udf.CIQ(InputTicker,"IQ_EBITDA",Input!K$2,Date,,,Ccy,Conv)</f>
        <v>976</v>
      </c>
      <c r="J74" s="4">
        <f>_xll.ciqfunctions.udf.CIQ(InputTicker,"IQ_EBITDA",Input!L$2,Date,,,Ccy,Conv)</f>
        <v>1189</v>
      </c>
      <c r="K74" s="4">
        <f>_xll.ciqfunctions.udf.CIQ(InputTicker,"IQ_EBITDA",Input!M$2,Date,,,Ccy,Conv)</f>
        <v>1379</v>
      </c>
      <c r="L74" s="4">
        <f>_xll.ciqfunctions.udf.CIQ(InputTicker,"IQ_EBITDA",Input!N$2,Date,,,Ccy,Conv)</f>
        <v>1258</v>
      </c>
      <c r="M74" s="4">
        <f>_xll.ciqfunctions.udf.CIQ(InputTicker,"IQ_EBITDA",Input!O$2,Date,,,Ccy,Conv)</f>
        <v>1258</v>
      </c>
      <c r="N74" s="42"/>
      <c r="P74" s="46"/>
      <c r="Q74" s="46"/>
      <c r="R74" s="46"/>
      <c r="T74" s="42"/>
      <c r="U74" s="42"/>
      <c r="V74" s="46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</row>
    <row r="75" spans="1:66" ht="12.75" customHeight="1" x14ac:dyDescent="0.2">
      <c r="A75" s="1" t="s">
        <v>286</v>
      </c>
      <c r="B75" s="4">
        <f>_xll.ciqfunctions.udf.CIQ(InputTicker,"IQ_EBITDA_EQ_INC",Input!D$2,Date,,,Ccy,Conv)</f>
        <v>506.12</v>
      </c>
      <c r="C75" s="4">
        <f>_xll.ciqfunctions.udf.CIQ(InputTicker,"IQ_EBITDA_EQ_INC",Input!E$2,Date,,,Ccy,Conv)</f>
        <v>561.524</v>
      </c>
      <c r="D75" s="4">
        <f>_xll.ciqfunctions.udf.CIQ(InputTicker,"IQ_EBITDA_EQ_INC",Input!F$2,Date,,,Ccy,Conv)</f>
        <v>577.20000000000005</v>
      </c>
      <c r="E75" s="4">
        <f>_xll.ciqfunctions.udf.CIQ(InputTicker,"IQ_EBITDA_EQ_INC",Input!G$2,Date,,,Ccy,Conv)</f>
        <v>663.73099999999999</v>
      </c>
      <c r="F75" s="4">
        <f>_xll.ciqfunctions.udf.CIQ(InputTicker,"IQ_EBITDA_EQ_INC",Input!H$2,Date,,,Ccy,Conv)</f>
        <v>837.80499999999995</v>
      </c>
      <c r="G75" s="4">
        <f>_xll.ciqfunctions.udf.CIQ(InputTicker,"IQ_EBITDA_EQ_INC",Input!I$2,Date,,,Ccy,Conv)</f>
        <v>919.774</v>
      </c>
      <c r="H75" s="4">
        <f>_xll.ciqfunctions.udf.CIQ(InputTicker,"IQ_EBITDA_EQ_INC",Input!J$2,Date,,,Ccy,Conv)</f>
        <v>908.92200000000003</v>
      </c>
      <c r="I75" s="4">
        <f>_xll.ciqfunctions.udf.CIQ(InputTicker,"IQ_EBITDA_EQ_INC",Input!K$2,Date,,,Ccy,Conv)</f>
        <v>1056</v>
      </c>
      <c r="J75" s="4">
        <f>_xll.ciqfunctions.udf.CIQ(InputTicker,"IQ_EBITDA_EQ_INC",Input!L$2,Date,,,Ccy,Conv)</f>
        <v>1267</v>
      </c>
      <c r="K75" s="4">
        <f>_xll.ciqfunctions.udf.CIQ(InputTicker,"IQ_EBITDA_EQ_INC",Input!M$2,Date,,,Ccy,Conv)</f>
        <v>1458</v>
      </c>
      <c r="L75" s="4">
        <f>_xll.ciqfunctions.udf.CIQ(InputTicker,"IQ_EBITDA_EQ_INC",Input!N$2,Date,,,Ccy,Conv)</f>
        <v>1333</v>
      </c>
      <c r="M75" s="4">
        <f>_xll.ciqfunctions.udf.CIQ(InputTicker,"IQ_EBITDA_EQ_INC",Input!O$2,Date,,,Ccy,Conv)</f>
        <v>1333</v>
      </c>
      <c r="N75" s="50"/>
      <c r="P75" s="46"/>
      <c r="Q75" s="46"/>
      <c r="R75" s="46"/>
      <c r="T75" s="42"/>
      <c r="U75" s="42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</row>
    <row r="76" spans="1:66" ht="12.75" customHeight="1" x14ac:dyDescent="0.2">
      <c r="A76" s="1" t="s">
        <v>287</v>
      </c>
      <c r="B76" s="4">
        <f>_xll.ciqfunctions.udf.CIQ(InputTicker,"IQ_EBITDA_EQ_INC_EXCL_SBC",Input!D$2,Date,,,Ccy,Conv)</f>
        <v>531.11199999999997</v>
      </c>
      <c r="C76" s="4">
        <f>_xll.ciqfunctions.udf.CIQ(InputTicker,"IQ_EBITDA_EQ_INC_EXCL_SBC",Input!E$2,Date,,,Ccy,Conv)</f>
        <v>582.77300000000002</v>
      </c>
      <c r="D76" s="4">
        <f>_xll.ciqfunctions.udf.CIQ(InputTicker,"IQ_EBITDA_EQ_INC_EXCL_SBC",Input!F$2,Date,,,Ccy,Conv)</f>
        <v>600.51800000000003</v>
      </c>
      <c r="E76" s="4">
        <f>_xll.ciqfunctions.udf.CIQ(InputTicker,"IQ_EBITDA_EQ_INC_EXCL_SBC",Input!G$2,Date,,,Ccy,Conv)</f>
        <v>695.00599999999997</v>
      </c>
      <c r="F76" s="4">
        <f>_xll.ciqfunctions.udf.CIQ(InputTicker,"IQ_EBITDA_EQ_INC_EXCL_SBC",Input!H$2,Date,,,Ccy,Conv)</f>
        <v>788.71400000000006</v>
      </c>
      <c r="G76" s="4">
        <f>_xll.ciqfunctions.udf.CIQ(InputTicker,"IQ_EBITDA_EQ_INC_EXCL_SBC",Input!I$2,Date,,,Ccy,Conv)</f>
        <v>894.29300000000001</v>
      </c>
      <c r="H76" s="4">
        <f>_xll.ciqfunctions.udf.CIQ(InputTicker,"IQ_EBITDA_EQ_INC_EXCL_SBC",Input!J$2,Date,,,Ccy,Conv)</f>
        <v>896.649</v>
      </c>
      <c r="I76" s="4">
        <f>_xll.ciqfunctions.udf.CIQ(InputTicker,"IQ_EBITDA_EQ_INC_EXCL_SBC",Input!K$2,Date,,,Ccy,Conv)</f>
        <v>1056</v>
      </c>
      <c r="J76" s="4">
        <f>_xll.ciqfunctions.udf.CIQ(InputTicker,"IQ_EBITDA_EQ_INC_EXCL_SBC",Input!L$2,Date,,,Ccy,Conv)</f>
        <v>1284</v>
      </c>
      <c r="K76" s="4">
        <f>_xll.ciqfunctions.udf.CIQ(InputTicker,"IQ_EBITDA_EQ_INC_EXCL_SBC",Input!M$2,Date,,,Ccy,Conv)</f>
        <v>1473</v>
      </c>
      <c r="L76" s="4">
        <f>_xll.ciqfunctions.udf.CIQ(InputTicker,"IQ_EBITDA_EQ_INC_EXCL_SBC",Input!N$2,Date,,,Ccy,Conv)</f>
        <v>1327</v>
      </c>
      <c r="M76" s="4">
        <f>_xll.ciqfunctions.udf.CIQ(InputTicker,"IQ_EBITDA_EQ_INC_EXCL_SBC",Input!O$2,Date,,,Ccy,Conv)</f>
        <v>1327</v>
      </c>
      <c r="N76" s="50"/>
      <c r="P76" s="46"/>
      <c r="Q76" s="46"/>
      <c r="R76" s="46"/>
      <c r="T76" s="42"/>
      <c r="U76" s="42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</row>
    <row r="77" spans="1:66" ht="12.75" customHeight="1" x14ac:dyDescent="0.2">
      <c r="A77" s="1" t="s">
        <v>288</v>
      </c>
      <c r="B77" s="4">
        <f>_xll.ciqfunctions.udf.CIQ(InputTicker,"IQ_EBITDA_EXCL_SBC",Input!D$2,Date,,,Ccy,Conv)</f>
        <v>531.11199999999997</v>
      </c>
      <c r="C77" s="4">
        <f>_xll.ciqfunctions.udf.CIQ(InputTicker,"IQ_EBITDA_EXCL_SBC",Input!E$2,Date,,,Ccy,Conv)</f>
        <v>582.77300000000002</v>
      </c>
      <c r="D77" s="4">
        <f>_xll.ciqfunctions.udf.CIQ(InputTicker,"IQ_EBITDA_EXCL_SBC",Input!F$2,Date,,,Ccy,Conv)</f>
        <v>600.51800000000003</v>
      </c>
      <c r="E77" s="4">
        <f>_xll.ciqfunctions.udf.CIQ(InputTicker,"IQ_EBITDA_EXCL_SBC",Input!G$2,Date,,,Ccy,Conv)</f>
        <v>695.00599999999997</v>
      </c>
      <c r="F77" s="4">
        <f>_xll.ciqfunctions.udf.CIQ(InputTicker,"IQ_EBITDA_EXCL_SBC",Input!H$2,Date,,,Ccy,Conv)</f>
        <v>788.71400000000006</v>
      </c>
      <c r="G77" s="4">
        <f>_xll.ciqfunctions.udf.CIQ(InputTicker,"IQ_EBITDA_EXCL_SBC",Input!I$2,Date,,,Ccy,Conv)</f>
        <v>894.29300000000001</v>
      </c>
      <c r="H77" s="4">
        <f>_xll.ciqfunctions.udf.CIQ(InputTicker,"IQ_EBITDA_EXCL_SBC",Input!J$2,Date,,,Ccy,Conv)</f>
        <v>896.649</v>
      </c>
      <c r="I77" s="4">
        <f>_xll.ciqfunctions.udf.CIQ(InputTicker,"IQ_EBITDA_EXCL_SBC",Input!K$2,Date,,,Ccy,Conv)</f>
        <v>1056</v>
      </c>
      <c r="J77" s="4">
        <f>_xll.ciqfunctions.udf.CIQ(InputTicker,"IQ_EBITDA_EXCL_SBC",Input!L$2,Date,,,Ccy,Conv)</f>
        <v>1284</v>
      </c>
      <c r="K77" s="4">
        <f>_xll.ciqfunctions.udf.CIQ(InputTicker,"IQ_EBITDA_EXCL_SBC",Input!M$2,Date,,,Ccy,Conv)</f>
        <v>1473</v>
      </c>
      <c r="L77" s="4">
        <f>_xll.ciqfunctions.udf.CIQ(InputTicker,"IQ_EBITDA_EXCL_SBC",Input!N$2,Date,,,Ccy,Conv)</f>
        <v>1327</v>
      </c>
      <c r="M77" s="4">
        <f>_xll.ciqfunctions.udf.CIQ(InputTicker,"IQ_EBITDA_EXCL_SBC",Input!O$2,Date,,,Ccy,Conv)</f>
        <v>1327</v>
      </c>
      <c r="N77" s="50"/>
      <c r="P77" s="46"/>
      <c r="Q77" s="46"/>
      <c r="R77" s="46"/>
      <c r="T77" s="42"/>
      <c r="U77" s="42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</row>
    <row r="78" spans="1:66" ht="12.75" customHeight="1" x14ac:dyDescent="0.2">
      <c r="A78" s="1" t="s">
        <v>460</v>
      </c>
      <c r="B78" s="4">
        <f>_xll.ciqfunctions.udf.CIQ(InputTicker,"IQ_EBITDA_LEASE_ADJUSTED",Input!D$2,Date,,,Ccy,Conv)</f>
        <v>506.12</v>
      </c>
      <c r="C78" s="4">
        <f>_xll.ciqfunctions.udf.CIQ(InputTicker,"IQ_EBITDA_LEASE_ADJUSTED",Input!E$2,Date,,,Ccy,Conv)</f>
        <v>561.524</v>
      </c>
      <c r="D78" s="4">
        <f>_xll.ciqfunctions.udf.CIQ(InputTicker,"IQ_EBITDA_LEASE_ADJUSTED",Input!F$2,Date,,,Ccy,Conv)</f>
        <v>577.20000000000005</v>
      </c>
      <c r="E78" s="4">
        <f>_xll.ciqfunctions.udf.CIQ(InputTicker,"IQ_EBITDA_LEASE_ADJUSTED",Input!G$2,Date,,,Ccy,Conv)</f>
        <v>663.73099999999999</v>
      </c>
      <c r="F78" s="4">
        <f>_xll.ciqfunctions.udf.CIQ(InputTicker,"IQ_EBITDA_LEASE_ADJUSTED",Input!H$2,Date,,,Ccy,Conv)</f>
        <v>837.80499999999995</v>
      </c>
      <c r="G78" s="4">
        <f>_xll.ciqfunctions.udf.CIQ(InputTicker,"IQ_EBITDA_LEASE_ADJUSTED",Input!I$2,Date,,,Ccy,Conv)</f>
        <v>919.774</v>
      </c>
      <c r="H78" s="4">
        <f>_xll.ciqfunctions.udf.CIQ(InputTicker,"IQ_EBITDA_LEASE_ADJUSTED",Input!J$2,Date,,,Ccy,Conv)</f>
        <v>908.92200000000003</v>
      </c>
      <c r="I78" s="4">
        <f>_xll.ciqfunctions.udf.CIQ(InputTicker,"IQ_EBITDA_LEASE_ADJUSTED",Input!K$2,Date,,,Ccy,Conv)</f>
        <v>1056</v>
      </c>
      <c r="J78" s="4">
        <f>_xll.ciqfunctions.udf.CIQ(InputTicker,"IQ_EBITDA_LEASE_ADJUSTED",Input!L$2,Date,,,Ccy,Conv)</f>
        <v>1267</v>
      </c>
      <c r="K78" s="4">
        <f>_xll.ciqfunctions.udf.CIQ(InputTicker,"IQ_EBITDA_LEASE_ADJUSTED",Input!M$2,Date,,,Ccy,Conv)</f>
        <v>1458</v>
      </c>
      <c r="L78" s="4">
        <f>_xll.ciqfunctions.udf.CIQ(InputTicker,"IQ_EBITDA_LEASE_ADJUSTED",Input!N$2,Date,,,Ccy,Conv)</f>
        <v>1333</v>
      </c>
      <c r="M78" s="4">
        <f>_xll.ciqfunctions.udf.CIQ(InputTicker,"IQ_EBITDA_LEASE_ADJUSTED",Input!O$2,Date,,,Ccy,Conv)</f>
        <v>1333</v>
      </c>
      <c r="N78" s="50"/>
      <c r="P78" s="46"/>
      <c r="Q78" s="46"/>
      <c r="R78" s="46"/>
      <c r="T78" s="42"/>
      <c r="U78" s="42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</row>
    <row r="79" spans="1:66" ht="12.75" customHeight="1" x14ac:dyDescent="0.2">
      <c r="A79" s="1" t="s">
        <v>461</v>
      </c>
      <c r="B79" s="4">
        <f>_xll.ciqfunctions.udf.CIQ(InputTicker,"IQ_LEASE_ADJUSTMENT_EBITDA",Input!D$2,Date,,,Ccy,Conv)</f>
        <v>0</v>
      </c>
      <c r="C79" s="4">
        <f>_xll.ciqfunctions.udf.CIQ(InputTicker,"IQ_LEASE_ADJUSTMENT_EBITDA",Input!E$2,Date,,,Ccy,Conv)</f>
        <v>0</v>
      </c>
      <c r="D79" s="4">
        <f>_xll.ciqfunctions.udf.CIQ(InputTicker,"IQ_LEASE_ADJUSTMENT_EBITDA",Input!F$2,Date,,,Ccy,Conv)</f>
        <v>0</v>
      </c>
      <c r="E79" s="4">
        <f>_xll.ciqfunctions.udf.CIQ(InputTicker,"IQ_LEASE_ADJUSTMENT_EBITDA",Input!G$2,Date,,,Ccy,Conv)</f>
        <v>0</v>
      </c>
      <c r="F79" s="4">
        <f>_xll.ciqfunctions.udf.CIQ(InputTicker,"IQ_LEASE_ADJUSTMENT_EBITDA",Input!H$2,Date,,,Ccy,Conv)</f>
        <v>92.381</v>
      </c>
      <c r="G79" s="4">
        <f>_xll.ciqfunctions.udf.CIQ(InputTicker,"IQ_LEASE_ADJUSTMENT_EBITDA",Input!I$2,Date,,,Ccy,Conv)</f>
        <v>85.325000000000003</v>
      </c>
      <c r="H79" s="4">
        <f>_xll.ciqfunctions.udf.CIQ(InputTicker,"IQ_LEASE_ADJUSTMENT_EBITDA",Input!J$2,Date,,,Ccy,Conv)</f>
        <v>82.057000000000002</v>
      </c>
      <c r="I79" s="4">
        <f>_xll.ciqfunctions.udf.CIQ(InputTicker,"IQ_LEASE_ADJUSTMENT_EBITDA",Input!K$2,Date,,,Ccy,Conv)</f>
        <v>80</v>
      </c>
      <c r="J79" s="4">
        <f>_xll.ciqfunctions.udf.CIQ(InputTicker,"IQ_LEASE_ADJUSTMENT_EBITDA",Input!L$2,Date,,,Ccy,Conv)</f>
        <v>78</v>
      </c>
      <c r="K79" s="4">
        <f>_xll.ciqfunctions.udf.CIQ(InputTicker,"IQ_LEASE_ADJUSTMENT_EBITDA",Input!M$2,Date,,,Ccy,Conv)</f>
        <v>79</v>
      </c>
      <c r="L79" s="4">
        <f>_xll.ciqfunctions.udf.CIQ(InputTicker,"IQ_LEASE_ADJUSTMENT_EBITDA",Input!N$2,Date,,,Ccy,Conv)</f>
        <v>75</v>
      </c>
      <c r="M79" s="4">
        <f>_xll.ciqfunctions.udf.CIQ(InputTicker,"IQ_LEASE_ADJUSTMENT_EBITDA",Input!O$2,Date,,,Ccy,Conv)</f>
        <v>75</v>
      </c>
      <c r="N79" s="50"/>
      <c r="P79" s="46"/>
      <c r="Q79" s="46"/>
      <c r="R79" s="46"/>
      <c r="T79" s="42"/>
      <c r="U79" s="42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</row>
    <row r="80" spans="1:66" ht="12.75" customHeight="1" x14ac:dyDescent="0.2">
      <c r="A80" s="1" t="s">
        <v>462</v>
      </c>
      <c r="B80" s="4">
        <f>_xll.ciqfunctions.udf.CIQ(InputTicker,"IQ_EBITDA_EQ_INC_EXCL_OPER_LEASE_ADJ",Input!D$2,Date,,,Ccy,Conv)</f>
        <v>506.12</v>
      </c>
      <c r="C80" s="4">
        <f>_xll.ciqfunctions.udf.CIQ(InputTicker,"IQ_EBITDA_EQ_INC_EXCL_OPER_LEASE_ADJ",Input!E$2,Date,,,Ccy,Conv)</f>
        <v>561.524</v>
      </c>
      <c r="D80" s="4">
        <f>_xll.ciqfunctions.udf.CIQ(InputTicker,"IQ_EBITDA_EQ_INC_EXCL_OPER_LEASE_ADJ",Input!F$2,Date,,,Ccy,Conv)</f>
        <v>577.20000000000005</v>
      </c>
      <c r="E80" s="4">
        <f>_xll.ciqfunctions.udf.CIQ(InputTicker,"IQ_EBITDA_EQ_INC_EXCL_OPER_LEASE_ADJ",Input!G$2,Date,,,Ccy,Conv)</f>
        <v>663.73099999999999</v>
      </c>
      <c r="F80" s="4">
        <f>_xll.ciqfunctions.udf.CIQ(InputTicker,"IQ_EBITDA_EQ_INC_EXCL_OPER_LEASE_ADJ",Input!H$2,Date,,,Ccy,Conv)</f>
        <v>745.42399999999998</v>
      </c>
      <c r="G80" s="4">
        <f>_xll.ciqfunctions.udf.CIQ(InputTicker,"IQ_EBITDA_EQ_INC_EXCL_OPER_LEASE_ADJ",Input!I$2,Date,,,Ccy,Conv)</f>
        <v>834.44899999999996</v>
      </c>
      <c r="H80" s="4">
        <f>_xll.ciqfunctions.udf.CIQ(InputTicker,"IQ_EBITDA_EQ_INC_EXCL_OPER_LEASE_ADJ",Input!J$2,Date,,,Ccy,Conv)</f>
        <v>826.86500000000001</v>
      </c>
      <c r="I80" s="4">
        <f>_xll.ciqfunctions.udf.CIQ(InputTicker,"IQ_EBITDA_EQ_INC_EXCL_OPER_LEASE_ADJ",Input!K$2,Date,,,Ccy,Conv)</f>
        <v>976</v>
      </c>
      <c r="J80" s="4">
        <f>_xll.ciqfunctions.udf.CIQ(InputTicker,"IQ_EBITDA_EQ_INC_EXCL_OPER_LEASE_ADJ",Input!L$2,Date,,,Ccy,Conv)</f>
        <v>1189</v>
      </c>
      <c r="K80" s="4">
        <f>_xll.ciqfunctions.udf.CIQ(InputTicker,"IQ_EBITDA_EQ_INC_EXCL_OPER_LEASE_ADJ",Input!M$2,Date,,,Ccy,Conv)</f>
        <v>1379</v>
      </c>
      <c r="L80" s="4">
        <f>_xll.ciqfunctions.udf.CIQ(InputTicker,"IQ_EBITDA_EQ_INC_EXCL_OPER_LEASE_ADJ",Input!N$2,Date,,,Ccy,Conv)</f>
        <v>1258</v>
      </c>
      <c r="M80" s="4">
        <f>_xll.ciqfunctions.udf.CIQ(InputTicker,"IQ_EBITDA_EQ_INC_EXCL_OPER_LEASE_ADJ",Input!O$2,Date,,,Ccy,Conv)</f>
        <v>1258</v>
      </c>
      <c r="N80" s="50"/>
      <c r="P80" s="46"/>
      <c r="Q80" s="46"/>
      <c r="R80" s="46"/>
      <c r="T80" s="42"/>
      <c r="U80" s="42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</row>
    <row r="81" spans="1:66" ht="12.75" customHeight="1" x14ac:dyDescent="0.2">
      <c r="A81" s="1" t="s">
        <v>307</v>
      </c>
      <c r="B81" s="4">
        <f>_xll.ciqfunctions.udf.CIQ(InputTicker,"IQ_EBIT",Input!D$2,Date,,,Ccy,Conv)</f>
        <v>444.584</v>
      </c>
      <c r="C81" s="4">
        <f>_xll.ciqfunctions.udf.CIQ(InputTicker,"IQ_EBIT",Input!E$2,Date,,,Ccy,Conv)</f>
        <v>501.98</v>
      </c>
      <c r="D81" s="4">
        <f>_xll.ciqfunctions.udf.CIQ(InputTicker,"IQ_EBIT",Input!F$2,Date,,,Ccy,Conv)</f>
        <v>512.44399999999996</v>
      </c>
      <c r="E81" s="4">
        <f>_xll.ciqfunctions.udf.CIQ(InputTicker,"IQ_EBIT",Input!G$2,Date,,,Ccy,Conv)</f>
        <v>595.15599999999995</v>
      </c>
      <c r="F81" s="4">
        <f>_xll.ciqfunctions.udf.CIQ(InputTicker,"IQ_EBIT",Input!H$2,Date,,,Ccy,Conv)</f>
        <v>664.34299999999996</v>
      </c>
      <c r="G81" s="4">
        <f>_xll.ciqfunctions.udf.CIQ(InputTicker,"IQ_EBIT",Input!I$2,Date,,,Ccy,Conv)</f>
        <v>750.13400000000001</v>
      </c>
      <c r="H81" s="4">
        <f>_xll.ciqfunctions.udf.CIQ(InputTicker,"IQ_EBIT",Input!J$2,Date,,,Ccy,Conv)</f>
        <v>681.11800000000005</v>
      </c>
      <c r="I81" s="4">
        <f>_xll.ciqfunctions.udf.CIQ(InputTicker,"IQ_EBIT",Input!K$2,Date,,,Ccy,Conv)</f>
        <v>811</v>
      </c>
      <c r="J81" s="4">
        <f>_xll.ciqfunctions.udf.CIQ(InputTicker,"IQ_EBIT",Input!L$2,Date,,,Ccy,Conv)</f>
        <v>1025</v>
      </c>
      <c r="K81" s="4">
        <f>_xll.ciqfunctions.udf.CIQ(InputTicker,"IQ_EBIT",Input!M$2,Date,,,Ccy,Conv)</f>
        <v>1214</v>
      </c>
      <c r="L81" s="4">
        <f>_xll.ciqfunctions.udf.CIQ(InputTicker,"IQ_EBIT",Input!N$2,Date,,,Ccy,Conv)</f>
        <v>1095</v>
      </c>
      <c r="M81" s="4">
        <f>_xll.ciqfunctions.udf.CIQ(InputTicker,"IQ_EBIT",Input!O$2,Date,,,Ccy,Conv)</f>
        <v>1095</v>
      </c>
      <c r="N81" s="50"/>
      <c r="P81" s="46"/>
      <c r="Q81" s="46"/>
      <c r="R81" s="46"/>
      <c r="T81" s="42"/>
      <c r="U81" s="42"/>
      <c r="V81" s="46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</row>
    <row r="82" spans="1:66" ht="12.75" customHeight="1" x14ac:dyDescent="0.2">
      <c r="A82" s="1" t="s">
        <v>289</v>
      </c>
      <c r="B82" s="4">
        <f>_xll.ciqfunctions.udf.CIQ(InputTicker,"IQ_EBIT_EQ_INC",Input!D$2,Date,,,Ccy,Conv)</f>
        <v>444.584</v>
      </c>
      <c r="C82" s="4">
        <f>_xll.ciqfunctions.udf.CIQ(InputTicker,"IQ_EBIT_EQ_INC",Input!E$2,Date,,,Ccy,Conv)</f>
        <v>501.98</v>
      </c>
      <c r="D82" s="4">
        <f>_xll.ciqfunctions.udf.CIQ(InputTicker,"IQ_EBIT_EQ_INC",Input!F$2,Date,,,Ccy,Conv)</f>
        <v>512.44399999999996</v>
      </c>
      <c r="E82" s="4">
        <f>_xll.ciqfunctions.udf.CIQ(InputTicker,"IQ_EBIT_EQ_INC",Input!G$2,Date,,,Ccy,Conv)</f>
        <v>595.15599999999995</v>
      </c>
      <c r="F82" s="4">
        <f>_xll.ciqfunctions.udf.CIQ(InputTicker,"IQ_EBIT_EQ_INC",Input!H$2,Date,,,Ccy,Conv)</f>
        <v>664.34299999999996</v>
      </c>
      <c r="G82" s="4">
        <f>_xll.ciqfunctions.udf.CIQ(InputTicker,"IQ_EBIT_EQ_INC",Input!I$2,Date,,,Ccy,Conv)</f>
        <v>750.13400000000001</v>
      </c>
      <c r="H82" s="4">
        <f>_xll.ciqfunctions.udf.CIQ(InputTicker,"IQ_EBIT_EQ_INC",Input!J$2,Date,,,Ccy,Conv)</f>
        <v>681.11800000000005</v>
      </c>
      <c r="I82" s="4">
        <f>_xll.ciqfunctions.udf.CIQ(InputTicker,"IQ_EBIT_EQ_INC",Input!K$2,Date,,,Ccy,Conv)</f>
        <v>811</v>
      </c>
      <c r="J82" s="4">
        <f>_xll.ciqfunctions.udf.CIQ(InputTicker,"IQ_EBIT_EQ_INC",Input!L$2,Date,,,Ccy,Conv)</f>
        <v>1025</v>
      </c>
      <c r="K82" s="4">
        <f>_xll.ciqfunctions.udf.CIQ(InputTicker,"IQ_EBIT_EQ_INC",Input!M$2,Date,,,Ccy,Conv)</f>
        <v>1214</v>
      </c>
      <c r="L82" s="4">
        <f>_xll.ciqfunctions.udf.CIQ(InputTicker,"IQ_EBIT_EQ_INC",Input!N$2,Date,,,Ccy,Conv)</f>
        <v>1095</v>
      </c>
      <c r="M82" s="4">
        <f>_xll.ciqfunctions.udf.CIQ(InputTicker,"IQ_EBIT_EQ_INC",Input!O$2,Date,,,Ccy,Conv)</f>
        <v>1095</v>
      </c>
      <c r="N82" s="50"/>
      <c r="P82" s="46"/>
      <c r="Q82" s="46"/>
      <c r="R82" s="46"/>
      <c r="T82" s="42"/>
      <c r="U82" s="42"/>
      <c r="V82" s="46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</row>
    <row r="83" spans="1:66" ht="12.75" customHeight="1" x14ac:dyDescent="0.2">
      <c r="A83" s="1" t="s">
        <v>290</v>
      </c>
      <c r="B83" s="4">
        <f>_xll.ciqfunctions.udf.CIQ(InputTicker,"IQ_EBIT_EQ_INC_EXCL_SBC",Input!D$2,Date,,,Ccy,Conv)</f>
        <v>469.57600000000002</v>
      </c>
      <c r="C83" s="4">
        <f>_xll.ciqfunctions.udf.CIQ(InputTicker,"IQ_EBIT_EQ_INC_EXCL_SBC",Input!E$2,Date,,,Ccy,Conv)</f>
        <v>523.22900000000004</v>
      </c>
      <c r="D83" s="4">
        <f>_xll.ciqfunctions.udf.CIQ(InputTicker,"IQ_EBIT_EQ_INC_EXCL_SBC",Input!F$2,Date,,,Ccy,Conv)</f>
        <v>535.76199999999994</v>
      </c>
      <c r="E83" s="4">
        <f>_xll.ciqfunctions.udf.CIQ(InputTicker,"IQ_EBIT_EQ_INC_EXCL_SBC",Input!G$2,Date,,,Ccy,Conv)</f>
        <v>626.43100000000004</v>
      </c>
      <c r="F83" s="4">
        <f>_xll.ciqfunctions.udf.CIQ(InputTicker,"IQ_EBIT_EQ_INC_EXCL_SBC",Input!H$2,Date,,,Ccy,Conv)</f>
        <v>707.63300000000004</v>
      </c>
      <c r="G83" s="4">
        <f>_xll.ciqfunctions.udf.CIQ(InputTicker,"IQ_EBIT_EQ_INC_EXCL_SBC",Input!I$2,Date,,,Ccy,Conv)</f>
        <v>809.97799999999995</v>
      </c>
      <c r="H83" s="4">
        <f>_xll.ciqfunctions.udf.CIQ(InputTicker,"IQ_EBIT_EQ_INC_EXCL_SBC",Input!J$2,Date,,,Ccy,Conv)</f>
        <v>750.90200000000004</v>
      </c>
      <c r="I83" s="4">
        <f>_xll.ciqfunctions.udf.CIQ(InputTicker,"IQ_EBIT_EQ_INC_EXCL_SBC",Input!K$2,Date,,,Ccy,Conv)</f>
        <v>891</v>
      </c>
      <c r="J83" s="4">
        <f>_xll.ciqfunctions.udf.CIQ(InputTicker,"IQ_EBIT_EQ_INC_EXCL_SBC",Input!L$2,Date,,,Ccy,Conv)</f>
        <v>1120</v>
      </c>
      <c r="K83" s="4">
        <f>_xll.ciqfunctions.udf.CIQ(InputTicker,"IQ_EBIT_EQ_INC_EXCL_SBC",Input!M$2,Date,,,Ccy,Conv)</f>
        <v>1308</v>
      </c>
      <c r="L83" s="4">
        <f>_xll.ciqfunctions.udf.CIQ(InputTicker,"IQ_EBIT_EQ_INC_EXCL_SBC",Input!N$2,Date,,,Ccy,Conv)</f>
        <v>1164</v>
      </c>
      <c r="M83" s="4">
        <f>_xll.ciqfunctions.udf.CIQ(InputTicker,"IQ_EBIT_EQ_INC_EXCL_SBC",Input!O$2,Date,,,Ccy,Conv)</f>
        <v>1164</v>
      </c>
      <c r="N83" s="50"/>
      <c r="P83" s="46"/>
      <c r="Q83" s="46"/>
      <c r="R83" s="46"/>
      <c r="T83" s="42"/>
      <c r="U83" s="42"/>
      <c r="V83" s="46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</row>
    <row r="84" spans="1:66" ht="12.75" customHeight="1" x14ac:dyDescent="0.2">
      <c r="A84" s="1" t="s">
        <v>291</v>
      </c>
      <c r="B84" s="4">
        <f>_xll.ciqfunctions.udf.CIQ(InputTicker,"IQ_EBIT_EXCL_SBC",Input!D$2,Date,,,Ccy,Conv)</f>
        <v>469.57600000000002</v>
      </c>
      <c r="C84" s="4">
        <f>_xll.ciqfunctions.udf.CIQ(InputTicker,"IQ_EBIT_EXCL_SBC",Input!E$2,Date,,,Ccy,Conv)</f>
        <v>523.22900000000004</v>
      </c>
      <c r="D84" s="4">
        <f>_xll.ciqfunctions.udf.CIQ(InputTicker,"IQ_EBIT_EXCL_SBC",Input!F$2,Date,,,Ccy,Conv)</f>
        <v>535.76199999999994</v>
      </c>
      <c r="E84" s="4">
        <f>_xll.ciqfunctions.udf.CIQ(InputTicker,"IQ_EBIT_EXCL_SBC",Input!G$2,Date,,,Ccy,Conv)</f>
        <v>626.43100000000004</v>
      </c>
      <c r="F84" s="4">
        <f>_xll.ciqfunctions.udf.CIQ(InputTicker,"IQ_EBIT_EXCL_SBC",Input!H$2,Date,,,Ccy,Conv)</f>
        <v>707.63300000000004</v>
      </c>
      <c r="G84" s="4">
        <f>_xll.ciqfunctions.udf.CIQ(InputTicker,"IQ_EBIT_EXCL_SBC",Input!I$2,Date,,,Ccy,Conv)</f>
        <v>809.97799999999995</v>
      </c>
      <c r="H84" s="4">
        <f>_xll.ciqfunctions.udf.CIQ(InputTicker,"IQ_EBIT_EXCL_SBC",Input!J$2,Date,,,Ccy,Conv)</f>
        <v>750.90200000000004</v>
      </c>
      <c r="I84" s="4">
        <f>_xll.ciqfunctions.udf.CIQ(InputTicker,"IQ_EBIT_EXCL_SBC",Input!K$2,Date,,,Ccy,Conv)</f>
        <v>891</v>
      </c>
      <c r="J84" s="4">
        <f>_xll.ciqfunctions.udf.CIQ(InputTicker,"IQ_EBIT_EXCL_SBC",Input!L$2,Date,,,Ccy,Conv)</f>
        <v>1120</v>
      </c>
      <c r="K84" s="4">
        <f>_xll.ciqfunctions.udf.CIQ(InputTicker,"IQ_EBIT_EXCL_SBC",Input!M$2,Date,,,Ccy,Conv)</f>
        <v>1308</v>
      </c>
      <c r="L84" s="4">
        <f>_xll.ciqfunctions.udf.CIQ(InputTicker,"IQ_EBIT_EXCL_SBC",Input!N$2,Date,,,Ccy,Conv)</f>
        <v>1164</v>
      </c>
      <c r="M84" s="4">
        <f>_xll.ciqfunctions.udf.CIQ(InputTicker,"IQ_EBIT_EXCL_SBC",Input!O$2,Date,,,Ccy,Conv)</f>
        <v>1164</v>
      </c>
      <c r="N84" s="50"/>
      <c r="P84" s="46"/>
      <c r="Q84" s="46"/>
      <c r="R84" s="46"/>
      <c r="T84" s="42"/>
      <c r="U84" s="42"/>
      <c r="V84" s="46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</row>
    <row r="85" spans="1:66" ht="12.75" customHeight="1" x14ac:dyDescent="0.2">
      <c r="A85" s="1" t="s">
        <v>308</v>
      </c>
      <c r="B85" s="4">
        <f>_xll.ciqfunctions.udf.CIQ(InputTicker,"IQ_EBITA",Input!D$2,Date,,,Ccy,Conv)</f>
        <v>456.68400000000003</v>
      </c>
      <c r="C85" s="4">
        <f>_xll.ciqfunctions.udf.CIQ(InputTicker,"IQ_EBITA",Input!E$2,Date,,,Ccy,Conv)</f>
        <v>519.88</v>
      </c>
      <c r="D85" s="4">
        <f>_xll.ciqfunctions.udf.CIQ(InputTicker,"IQ_EBITA",Input!F$2,Date,,,Ccy,Conv)</f>
        <v>533.14400000000001</v>
      </c>
      <c r="E85" s="4">
        <f>_xll.ciqfunctions.udf.CIQ(InputTicker,"IQ_EBITA",Input!G$2,Date,,,Ccy,Conv)</f>
        <v>616.05600000000004</v>
      </c>
      <c r="F85" s="4">
        <f>_xll.ciqfunctions.udf.CIQ(InputTicker,"IQ_EBITA",Input!H$2,Date,,,Ccy,Conv)</f>
        <v>686.64300000000003</v>
      </c>
      <c r="G85" s="4">
        <f>_xll.ciqfunctions.udf.CIQ(InputTicker,"IQ_EBITA",Input!I$2,Date,,,Ccy,Conv)</f>
        <v>769.43399999999997</v>
      </c>
      <c r="H85" s="4">
        <f>_xll.ciqfunctions.udf.CIQ(InputTicker,"IQ_EBITA",Input!J$2,Date,,,Ccy,Conv)</f>
        <v>757.31799999999998</v>
      </c>
      <c r="I85" s="4">
        <f>_xll.ciqfunctions.udf.CIQ(InputTicker,"IQ_EBITA",Input!K$2,Date,,,Ccy,Conv)</f>
        <v>905</v>
      </c>
      <c r="J85" s="4">
        <f>_xll.ciqfunctions.udf.CIQ(InputTicker,"IQ_EBITA",Input!L$2,Date,,,Ccy,Conv)</f>
        <v>1118</v>
      </c>
      <c r="K85" s="4">
        <f>_xll.ciqfunctions.udf.CIQ(InputTicker,"IQ_EBITA",Input!M$2,Date,,,Ccy,Conv)</f>
        <v>1309</v>
      </c>
      <c r="L85" s="4">
        <f>_xll.ciqfunctions.udf.CIQ(InputTicker,"IQ_EBITA",Input!N$2,Date,,,Ccy,Conv)</f>
        <v>1190</v>
      </c>
      <c r="M85" s="4">
        <f>_xll.ciqfunctions.udf.CIQ(InputTicker,"IQ_EBITA",Input!O$2,Date,,,Ccy,Conv)</f>
        <v>1190</v>
      </c>
      <c r="N85" s="50"/>
      <c r="P85" s="46"/>
      <c r="Q85" s="46"/>
      <c r="R85" s="46"/>
      <c r="T85" s="42"/>
      <c r="U85" s="42"/>
      <c r="V85" s="46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</row>
    <row r="86" spans="1:66" ht="12.75" customHeight="1" x14ac:dyDescent="0.2">
      <c r="A86" s="1" t="s">
        <v>292</v>
      </c>
      <c r="B86" s="4">
        <f>_xll.ciqfunctions.udf.CIQ(InputTicker,"IQ_EBITA_EQ_INC",Input!D$2,Date,,,Ccy,Conv)</f>
        <v>456.68400000000003</v>
      </c>
      <c r="C86" s="4">
        <f>_xll.ciqfunctions.udf.CIQ(InputTicker,"IQ_EBITA_EQ_INC",Input!E$2,Date,,,Ccy,Conv)</f>
        <v>519.88</v>
      </c>
      <c r="D86" s="4">
        <f>_xll.ciqfunctions.udf.CIQ(InputTicker,"IQ_EBITA_EQ_INC",Input!F$2,Date,,,Ccy,Conv)</f>
        <v>533.14400000000001</v>
      </c>
      <c r="E86" s="4">
        <f>_xll.ciqfunctions.udf.CIQ(InputTicker,"IQ_EBITA_EQ_INC",Input!G$2,Date,,,Ccy,Conv)</f>
        <v>616.05600000000004</v>
      </c>
      <c r="F86" s="4">
        <f>_xll.ciqfunctions.udf.CIQ(InputTicker,"IQ_EBITA_EQ_INC",Input!H$2,Date,,,Ccy,Conv)</f>
        <v>686.64300000000003</v>
      </c>
      <c r="G86" s="4">
        <f>_xll.ciqfunctions.udf.CIQ(InputTicker,"IQ_EBITA_EQ_INC",Input!I$2,Date,,,Ccy,Conv)</f>
        <v>769.43399999999997</v>
      </c>
      <c r="H86" s="4">
        <f>_xll.ciqfunctions.udf.CIQ(InputTicker,"IQ_EBITA_EQ_INC",Input!J$2,Date,,,Ccy,Conv)</f>
        <v>757.31799999999998</v>
      </c>
      <c r="I86" s="4">
        <f>_xll.ciqfunctions.udf.CIQ(InputTicker,"IQ_EBITA_EQ_INC",Input!K$2,Date,,,Ccy,Conv)</f>
        <v>905</v>
      </c>
      <c r="J86" s="4">
        <f>_xll.ciqfunctions.udf.CIQ(InputTicker,"IQ_EBITA_EQ_INC",Input!L$2,Date,,,Ccy,Conv)</f>
        <v>1118</v>
      </c>
      <c r="K86" s="4">
        <f>_xll.ciqfunctions.udf.CIQ(InputTicker,"IQ_EBITA_EQ_INC",Input!M$2,Date,,,Ccy,Conv)</f>
        <v>1309</v>
      </c>
      <c r="L86" s="4">
        <f>_xll.ciqfunctions.udf.CIQ(InputTicker,"IQ_EBITA_EQ_INC",Input!N$2,Date,,,Ccy,Conv)</f>
        <v>1190</v>
      </c>
      <c r="M86" s="4">
        <f>_xll.ciqfunctions.udf.CIQ(InputTicker,"IQ_EBITA_EQ_INC",Input!O$2,Date,,,Ccy,Conv)</f>
        <v>1190</v>
      </c>
      <c r="N86" s="50"/>
      <c r="P86" s="46"/>
      <c r="Q86" s="46"/>
      <c r="R86" s="46"/>
      <c r="T86" s="42"/>
      <c r="U86" s="42"/>
      <c r="V86" s="46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</row>
    <row r="87" spans="1:66" ht="12.75" customHeight="1" x14ac:dyDescent="0.2">
      <c r="A87" s="1" t="s">
        <v>293</v>
      </c>
      <c r="B87" s="4">
        <f>_xll.ciqfunctions.udf.CIQ(InputTicker,"IQ_EBITA_EQ_INC_EXCL_SBC",Input!D$2,Date,,,Ccy,Conv)</f>
        <v>481.67599999999999</v>
      </c>
      <c r="C87" s="4">
        <f>_xll.ciqfunctions.udf.CIQ(InputTicker,"IQ_EBITA_EQ_INC_EXCL_SBC",Input!E$2,Date,,,Ccy,Conv)</f>
        <v>541.12900000000002</v>
      </c>
      <c r="D87" s="4">
        <f>_xll.ciqfunctions.udf.CIQ(InputTicker,"IQ_EBITA_EQ_INC_EXCL_SBC",Input!F$2,Date,,,Ccy,Conv)</f>
        <v>556.46199999999999</v>
      </c>
      <c r="E87" s="4">
        <f>_xll.ciqfunctions.udf.CIQ(InputTicker,"IQ_EBITA_EQ_INC_EXCL_SBC",Input!G$2,Date,,,Ccy,Conv)</f>
        <v>647.33100000000002</v>
      </c>
      <c r="F87" s="4">
        <f>_xll.ciqfunctions.udf.CIQ(InputTicker,"IQ_EBITA_EQ_INC_EXCL_SBC",Input!H$2,Date,,,Ccy,Conv)</f>
        <v>729.93299999999999</v>
      </c>
      <c r="G87" s="4">
        <f>_xll.ciqfunctions.udf.CIQ(InputTicker,"IQ_EBITA_EQ_INC_EXCL_SBC",Input!I$2,Date,,,Ccy,Conv)</f>
        <v>829.27800000000002</v>
      </c>
      <c r="H87" s="4">
        <f>_xll.ciqfunctions.udf.CIQ(InputTicker,"IQ_EBITA_EQ_INC_EXCL_SBC",Input!J$2,Date,,,Ccy,Conv)</f>
        <v>827.10199999999998</v>
      </c>
      <c r="I87" s="4">
        <f>_xll.ciqfunctions.udf.CIQ(InputTicker,"IQ_EBITA_EQ_INC_EXCL_SBC",Input!K$2,Date,,,Ccy,Conv)</f>
        <v>985</v>
      </c>
      <c r="J87" s="4">
        <f>_xll.ciqfunctions.udf.CIQ(InputTicker,"IQ_EBITA_EQ_INC_EXCL_SBC",Input!L$2,Date,,,Ccy,Conv)</f>
        <v>1213</v>
      </c>
      <c r="K87" s="4">
        <f>_xll.ciqfunctions.udf.CIQ(InputTicker,"IQ_EBITA_EQ_INC_EXCL_SBC",Input!M$2,Date,,,Ccy,Conv)</f>
        <v>1403</v>
      </c>
      <c r="L87" s="4">
        <f>_xll.ciqfunctions.udf.CIQ(InputTicker,"IQ_EBITA_EQ_INC_EXCL_SBC",Input!N$2,Date,,,Ccy,Conv)</f>
        <v>1259</v>
      </c>
      <c r="M87" s="4">
        <f>_xll.ciqfunctions.udf.CIQ(InputTicker,"IQ_EBITA_EQ_INC_EXCL_SBC",Input!O$2,Date,,,Ccy,Conv)</f>
        <v>1259</v>
      </c>
      <c r="N87" s="50"/>
      <c r="P87" s="46"/>
      <c r="Q87" s="46"/>
      <c r="R87" s="46"/>
      <c r="T87" s="42"/>
      <c r="U87" s="42"/>
      <c r="V87" s="46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</row>
    <row r="88" spans="1:66" ht="12.75" customHeight="1" x14ac:dyDescent="0.2">
      <c r="A88" s="1" t="s">
        <v>294</v>
      </c>
      <c r="B88" s="4">
        <f>_xll.ciqfunctions.udf.CIQ(InputTicker,"IQ_EBITA_EXCL_SBC",Input!D$2,Date,,,Ccy,Conv)</f>
        <v>481.67599999999999</v>
      </c>
      <c r="C88" s="4">
        <f>_xll.ciqfunctions.udf.CIQ(InputTicker,"IQ_EBITA_EXCL_SBC",Input!E$2,Date,,,Ccy,Conv)</f>
        <v>541.12900000000002</v>
      </c>
      <c r="D88" s="4">
        <f>_xll.ciqfunctions.udf.CIQ(InputTicker,"IQ_EBITA_EXCL_SBC",Input!F$2,Date,,,Ccy,Conv)</f>
        <v>556.46199999999999</v>
      </c>
      <c r="E88" s="4">
        <f>_xll.ciqfunctions.udf.CIQ(InputTicker,"IQ_EBITA_EXCL_SBC",Input!G$2,Date,,,Ccy,Conv)</f>
        <v>647.33100000000002</v>
      </c>
      <c r="F88" s="4">
        <f>_xll.ciqfunctions.udf.CIQ(InputTicker,"IQ_EBITA_EXCL_SBC",Input!H$2,Date,,,Ccy,Conv)</f>
        <v>729.93299999999999</v>
      </c>
      <c r="G88" s="4">
        <f>_xll.ciqfunctions.udf.CIQ(InputTicker,"IQ_EBITA_EXCL_SBC",Input!I$2,Date,,,Ccy,Conv)</f>
        <v>829.27800000000002</v>
      </c>
      <c r="H88" s="4">
        <f>_xll.ciqfunctions.udf.CIQ(InputTicker,"IQ_EBITA_EXCL_SBC",Input!J$2,Date,,,Ccy,Conv)</f>
        <v>827.10199999999998</v>
      </c>
      <c r="I88" s="4">
        <f>_xll.ciqfunctions.udf.CIQ(InputTicker,"IQ_EBITA_EXCL_SBC",Input!K$2,Date,,,Ccy,Conv)</f>
        <v>985</v>
      </c>
      <c r="J88" s="4">
        <f>_xll.ciqfunctions.udf.CIQ(InputTicker,"IQ_EBITA_EXCL_SBC",Input!L$2,Date,,,Ccy,Conv)</f>
        <v>1213</v>
      </c>
      <c r="K88" s="4">
        <f>_xll.ciqfunctions.udf.CIQ(InputTicker,"IQ_EBITA_EXCL_SBC",Input!M$2,Date,,,Ccy,Conv)</f>
        <v>1403</v>
      </c>
      <c r="L88" s="4">
        <f>_xll.ciqfunctions.udf.CIQ(InputTicker,"IQ_EBITA_EXCL_SBC",Input!N$2,Date,,,Ccy,Conv)</f>
        <v>1259</v>
      </c>
      <c r="M88" s="4">
        <f>_xll.ciqfunctions.udf.CIQ(InputTicker,"IQ_EBITA_EXCL_SBC",Input!O$2,Date,,,Ccy,Conv)</f>
        <v>1259</v>
      </c>
      <c r="N88" s="50"/>
      <c r="P88" s="46"/>
      <c r="Q88" s="46"/>
      <c r="R88" s="46"/>
      <c r="T88" s="42"/>
      <c r="U88" s="42"/>
      <c r="V88" s="46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</row>
    <row r="89" spans="1:66" ht="12.75" customHeight="1" x14ac:dyDescent="0.2">
      <c r="A89" s="1" t="s">
        <v>309</v>
      </c>
      <c r="B89" s="4">
        <f>_xll.ciqfunctions.udf.CIQ(InputTicker,"IQ_EBITDAR",Input!D$2,Date,,,Ccy,Conv)</f>
        <v>594.62</v>
      </c>
      <c r="C89" s="4">
        <f>_xll.ciqfunctions.udf.CIQ(InputTicker,"IQ_EBITDAR",Input!E$2,Date,,,Ccy,Conv)</f>
        <v>643.12400000000002</v>
      </c>
      <c r="D89" s="4">
        <f>_xll.ciqfunctions.udf.CIQ(InputTicker,"IQ_EBITDAR",Input!F$2,Date,,,Ccy,Conv)</f>
        <v>658.4</v>
      </c>
      <c r="E89" s="4">
        <f>_xll.ciqfunctions.udf.CIQ(InputTicker,"IQ_EBITDAR",Input!G$2,Date,,,Ccy,Conv)</f>
        <v>746.43100000000004</v>
      </c>
      <c r="F89" s="4">
        <f>_xll.ciqfunctions.udf.CIQ(InputTicker,"IQ_EBITDAR",Input!H$2,Date,,,Ccy,Conv)</f>
        <v>837.80499999999995</v>
      </c>
      <c r="G89" s="4">
        <f>_xll.ciqfunctions.udf.CIQ(InputTicker,"IQ_EBITDAR",Input!I$2,Date,,,Ccy,Conv)</f>
        <v>919.774</v>
      </c>
      <c r="H89" s="4">
        <f>_xll.ciqfunctions.udf.CIQ(InputTicker,"IQ_EBITDAR",Input!J$2,Date,,,Ccy,Conv)</f>
        <v>908.92200000000003</v>
      </c>
      <c r="I89" s="4">
        <f>_xll.ciqfunctions.udf.CIQ(InputTicker,"IQ_EBITDAR",Input!K$2,Date,,,Ccy,Conv)</f>
        <v>1056</v>
      </c>
      <c r="J89" s="4">
        <f>_xll.ciqfunctions.udf.CIQ(InputTicker,"IQ_EBITDAR",Input!L$2,Date,,,Ccy,Conv)</f>
        <v>1267</v>
      </c>
      <c r="K89" s="4">
        <f>_xll.ciqfunctions.udf.CIQ(InputTicker,"IQ_EBITDAR",Input!M$2,Date,,,Ccy,Conv)</f>
        <v>1458</v>
      </c>
      <c r="L89" s="4">
        <f>_xll.ciqfunctions.udf.CIQ(InputTicker,"IQ_EBITDAR",Input!N$2,Date,,,Ccy,Conv)</f>
        <v>1333</v>
      </c>
      <c r="M89" s="4">
        <f>_xll.ciqfunctions.udf.CIQ(InputTicker,"IQ_EBITDAR",Input!O$2,Date,,,Ccy,Conv)</f>
        <v>1333</v>
      </c>
      <c r="N89" s="50"/>
      <c r="P89" s="46"/>
      <c r="Q89" s="46"/>
      <c r="R89" s="46"/>
      <c r="T89" s="42"/>
      <c r="U89" s="42"/>
      <c r="V89" s="46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</row>
    <row r="90" spans="1:66" ht="12.75" customHeight="1" x14ac:dyDescent="0.2">
      <c r="A90" s="1" t="s">
        <v>295</v>
      </c>
      <c r="B90" s="4">
        <f>_xll.ciqfunctions.udf.CIQ(InputTicker,"IQ_EBITDAR_EQ_INC",Input!D$2,Date,,,Ccy,Conv)</f>
        <v>594.62</v>
      </c>
      <c r="C90" s="4">
        <f>_xll.ciqfunctions.udf.CIQ(InputTicker,"IQ_EBITDAR_EQ_INC",Input!E$2,Date,,,Ccy,Conv)</f>
        <v>643.12400000000002</v>
      </c>
      <c r="D90" s="4">
        <f>_xll.ciqfunctions.udf.CIQ(InputTicker,"IQ_EBITDAR_EQ_INC",Input!F$2,Date,,,Ccy,Conv)</f>
        <v>658.4</v>
      </c>
      <c r="E90" s="4">
        <f>_xll.ciqfunctions.udf.CIQ(InputTicker,"IQ_EBITDAR_EQ_INC",Input!G$2,Date,,,Ccy,Conv)</f>
        <v>746.43100000000004</v>
      </c>
      <c r="F90" s="4">
        <f>_xll.ciqfunctions.udf.CIQ(InputTicker,"IQ_EBITDAR_EQ_INC",Input!H$2,Date,,,Ccy,Conv)</f>
        <v>930.18600000000004</v>
      </c>
      <c r="G90" s="4">
        <f>_xll.ciqfunctions.udf.CIQ(InputTicker,"IQ_EBITDAR_EQ_INC",Input!I$2,Date,,,Ccy,Conv)</f>
        <v>1005.099</v>
      </c>
      <c r="H90" s="4">
        <f>_xll.ciqfunctions.udf.CIQ(InputTicker,"IQ_EBITDAR_EQ_INC",Input!J$2,Date,,,Ccy,Conv)</f>
        <v>990.97900000000004</v>
      </c>
      <c r="I90" s="4">
        <f>_xll.ciqfunctions.udf.CIQ(InputTicker,"IQ_EBITDAR_EQ_INC",Input!K$2,Date,,,Ccy,Conv)</f>
        <v>1136</v>
      </c>
      <c r="J90" s="4">
        <f>_xll.ciqfunctions.udf.CIQ(InputTicker,"IQ_EBITDAR_EQ_INC",Input!L$2,Date,,,Ccy,Conv)</f>
        <v>1345</v>
      </c>
      <c r="K90" s="4">
        <f>_xll.ciqfunctions.udf.CIQ(InputTicker,"IQ_EBITDAR_EQ_INC",Input!M$2,Date,,,Ccy,Conv)</f>
        <v>1537</v>
      </c>
      <c r="L90" s="4">
        <f>_xll.ciqfunctions.udf.CIQ(InputTicker,"IQ_EBITDAR_EQ_INC",Input!N$2,Date,,,Ccy,Conv)</f>
        <v>1408</v>
      </c>
      <c r="M90" s="4">
        <f>_xll.ciqfunctions.udf.CIQ(InputTicker,"IQ_EBITDAR_EQ_INC",Input!O$2,Date,,,Ccy,Conv)</f>
        <v>1408</v>
      </c>
      <c r="N90" s="50"/>
      <c r="P90" s="46"/>
      <c r="Q90" s="46"/>
      <c r="R90" s="46"/>
      <c r="T90" s="42"/>
      <c r="U90" s="42"/>
      <c r="V90" s="46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</row>
    <row r="91" spans="1:66" ht="12.75" customHeight="1" x14ac:dyDescent="0.2">
      <c r="A91" s="1" t="s">
        <v>296</v>
      </c>
      <c r="B91" s="4">
        <f>_xll.ciqfunctions.udf.CIQ(InputTicker,"IQ_EBITDAR_EQ_INC_EXCL_SBC",Input!D$2,Date,,,Ccy,Conv)</f>
        <v>619.61199999999997</v>
      </c>
      <c r="C91" s="4">
        <f>_xll.ciqfunctions.udf.CIQ(InputTicker,"IQ_EBITDAR_EQ_INC_EXCL_SBC",Input!E$2,Date,,,Ccy,Conv)</f>
        <v>664.37300000000005</v>
      </c>
      <c r="D91" s="4">
        <f>_xll.ciqfunctions.udf.CIQ(InputTicker,"IQ_EBITDAR_EQ_INC_EXCL_SBC",Input!F$2,Date,,,Ccy,Conv)</f>
        <v>681.71799999999996</v>
      </c>
      <c r="E91" s="4">
        <f>_xll.ciqfunctions.udf.CIQ(InputTicker,"IQ_EBITDAR_EQ_INC_EXCL_SBC",Input!G$2,Date,,,Ccy,Conv)</f>
        <v>777.70600000000002</v>
      </c>
      <c r="F91" s="4">
        <f>_xll.ciqfunctions.udf.CIQ(InputTicker,"IQ_EBITDAR_EQ_INC_EXCL_SBC",Input!H$2,Date,,,Ccy,Conv)</f>
        <v>881.09500000000003</v>
      </c>
      <c r="G91" s="4">
        <f>_xll.ciqfunctions.udf.CIQ(InputTicker,"IQ_EBITDAR_EQ_INC_EXCL_SBC",Input!I$2,Date,,,Ccy,Conv)</f>
        <v>979.61800000000005</v>
      </c>
      <c r="H91" s="4">
        <f>_xll.ciqfunctions.udf.CIQ(InputTicker,"IQ_EBITDAR_EQ_INC_EXCL_SBC",Input!J$2,Date,,,Ccy,Conv)</f>
        <v>978.70600000000002</v>
      </c>
      <c r="I91" s="4">
        <f>_xll.ciqfunctions.udf.CIQ(InputTicker,"IQ_EBITDAR_EQ_INC_EXCL_SBC",Input!K$2,Date,,,Ccy,Conv)</f>
        <v>1136</v>
      </c>
      <c r="J91" s="4">
        <f>_xll.ciqfunctions.udf.CIQ(InputTicker,"IQ_EBITDAR_EQ_INC_EXCL_SBC",Input!L$2,Date,,,Ccy,Conv)</f>
        <v>1362</v>
      </c>
      <c r="K91" s="4">
        <f>_xll.ciqfunctions.udf.CIQ(InputTicker,"IQ_EBITDAR_EQ_INC_EXCL_SBC",Input!M$2,Date,,,Ccy,Conv)</f>
        <v>1552</v>
      </c>
      <c r="L91" s="4">
        <f>_xll.ciqfunctions.udf.CIQ(InputTicker,"IQ_EBITDAR_EQ_INC_EXCL_SBC",Input!N$2,Date,,,Ccy,Conv)</f>
        <v>1402</v>
      </c>
      <c r="M91" s="4">
        <f>_xll.ciqfunctions.udf.CIQ(InputTicker,"IQ_EBITDAR_EQ_INC_EXCL_SBC",Input!O$2,Date,,,Ccy,Conv)</f>
        <v>1402</v>
      </c>
      <c r="N91" s="50"/>
      <c r="P91" s="46"/>
      <c r="Q91" s="46"/>
      <c r="R91" s="46"/>
      <c r="T91" s="42"/>
      <c r="U91" s="42"/>
      <c r="V91" s="46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</row>
    <row r="92" spans="1:66" ht="12.75" customHeight="1" x14ac:dyDescent="0.2">
      <c r="A92" s="1" t="s">
        <v>297</v>
      </c>
      <c r="B92" s="4">
        <f>_xll.ciqfunctions.udf.CIQ(InputTicker,"IQ_EBITDAR_EXCL_SBC",Input!D$2,Date,,,Ccy,Conv)</f>
        <v>619.61199999999997</v>
      </c>
      <c r="C92" s="4">
        <f>_xll.ciqfunctions.udf.CIQ(InputTicker,"IQ_EBITDAR_EXCL_SBC",Input!E$2,Date,,,Ccy,Conv)</f>
        <v>664.37300000000005</v>
      </c>
      <c r="D92" s="4">
        <f>_xll.ciqfunctions.udf.CIQ(InputTicker,"IQ_EBITDAR_EXCL_SBC",Input!F$2,Date,,,Ccy,Conv)</f>
        <v>681.71799999999996</v>
      </c>
      <c r="E92" s="4">
        <f>_xll.ciqfunctions.udf.CIQ(InputTicker,"IQ_EBITDAR_EXCL_SBC",Input!G$2,Date,,,Ccy,Conv)</f>
        <v>777.70600000000002</v>
      </c>
      <c r="F92" s="4">
        <f>_xll.ciqfunctions.udf.CIQ(InputTicker,"IQ_EBITDAR_EXCL_SBC",Input!H$2,Date,,,Ccy,Conv)</f>
        <v>881.09500000000003</v>
      </c>
      <c r="G92" s="4">
        <f>_xll.ciqfunctions.udf.CIQ(InputTicker,"IQ_EBITDAR_EXCL_SBC",Input!I$2,Date,,,Ccy,Conv)</f>
        <v>979.61800000000005</v>
      </c>
      <c r="H92" s="4">
        <f>_xll.ciqfunctions.udf.CIQ(InputTicker,"IQ_EBITDAR_EXCL_SBC",Input!J$2,Date,,,Ccy,Conv)</f>
        <v>978.70600000000002</v>
      </c>
      <c r="I92" s="4">
        <f>_xll.ciqfunctions.udf.CIQ(InputTicker,"IQ_EBITDAR_EXCL_SBC",Input!K$2,Date,,,Ccy,Conv)</f>
        <v>1136</v>
      </c>
      <c r="J92" s="4">
        <f>_xll.ciqfunctions.udf.CIQ(InputTicker,"IQ_EBITDAR_EXCL_SBC",Input!L$2,Date,,,Ccy,Conv)</f>
        <v>1362</v>
      </c>
      <c r="K92" s="4">
        <f>_xll.ciqfunctions.udf.CIQ(InputTicker,"IQ_EBITDAR_EXCL_SBC",Input!M$2,Date,,,Ccy,Conv)</f>
        <v>1552</v>
      </c>
      <c r="L92" s="4">
        <f>_xll.ciqfunctions.udf.CIQ(InputTicker,"IQ_EBITDAR_EXCL_SBC",Input!N$2,Date,,,Ccy,Conv)</f>
        <v>1402</v>
      </c>
      <c r="M92" s="4">
        <f>_xll.ciqfunctions.udf.CIQ(InputTicker,"IQ_EBITDAR_EXCL_SBC",Input!O$2,Date,,,Ccy,Conv)</f>
        <v>1402</v>
      </c>
      <c r="N92" s="50"/>
      <c r="P92" s="46"/>
      <c r="Q92" s="46"/>
      <c r="R92" s="46"/>
      <c r="T92" s="42"/>
      <c r="U92" s="42"/>
      <c r="V92" s="46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</row>
    <row r="93" spans="1:66" ht="12.75" customHeight="1" x14ac:dyDescent="0.2">
      <c r="A93" s="1" t="s">
        <v>430</v>
      </c>
      <c r="B93" s="4">
        <f>_xll.ciqfunctions.udf.CIQ(InputTicker,"IQ_EBITDA_CAPEX",Input!D$2,Date,,,Ccy,Conv)</f>
        <v>439.48500000000001</v>
      </c>
      <c r="C93" s="4">
        <f>_xll.ciqfunctions.udf.CIQ(InputTicker,"IQ_EBITDA_CAPEX",Input!E$2,Date,,,Ccy,Conv)</f>
        <v>507.60500000000002</v>
      </c>
      <c r="D93" s="4">
        <f>_xll.ciqfunctions.udf.CIQ(InputTicker,"IQ_EBITDA_CAPEX",Input!F$2,Date,,,Ccy,Conv)</f>
        <v>498.76299999999998</v>
      </c>
      <c r="E93" s="4">
        <f>_xll.ciqfunctions.udf.CIQ(InputTicker,"IQ_EBITDA_CAPEX",Input!G$2,Date,,,Ccy,Conv)</f>
        <v>569.04999999999995</v>
      </c>
      <c r="F93" s="4">
        <f>_xll.ciqfunctions.udf.CIQ(InputTicker,"IQ_EBITDA_CAPEX",Input!H$2,Date,,,Ccy,Conv)</f>
        <v>617.34500000000003</v>
      </c>
      <c r="G93" s="4">
        <f>_xll.ciqfunctions.udf.CIQ(InputTicker,"IQ_EBITDA_CAPEX",Input!I$2,Date,,,Ccy,Conv)</f>
        <v>747.23900000000003</v>
      </c>
      <c r="H93" s="4">
        <f>_xll.ciqfunctions.udf.CIQ(InputTicker,"IQ_EBITDA_CAPEX",Input!J$2,Date,,,Ccy,Conv)</f>
        <v>746.90099999999995</v>
      </c>
      <c r="I93" s="4">
        <f>_xll.ciqfunctions.udf.CIQ(InputTicker,"IQ_EBITDA_CAPEX",Input!K$2,Date,,,Ccy,Conv)</f>
        <v>900</v>
      </c>
      <c r="J93" s="4">
        <f>_xll.ciqfunctions.udf.CIQ(InputTicker,"IQ_EBITDA_CAPEX",Input!L$2,Date,,,Ccy,Conv)</f>
        <v>1122</v>
      </c>
      <c r="K93" s="4">
        <f>_xll.ciqfunctions.udf.CIQ(InputTicker,"IQ_EBITDA_CAPEX",Input!M$2,Date,,,Ccy,Conv)</f>
        <v>1281</v>
      </c>
      <c r="L93" s="4">
        <f>_xll.ciqfunctions.udf.CIQ(InputTicker,"IQ_EBITDA_CAPEX",Input!N$2,Date,,,Ccy,Conv)</f>
        <v>1168</v>
      </c>
      <c r="M93" s="4">
        <f>_xll.ciqfunctions.udf.CIQ(InputTicker,"IQ_EBITDA_CAPEX",Input!O$2,Date,,,Ccy,Conv)</f>
        <v>1168</v>
      </c>
      <c r="N93" s="49"/>
      <c r="P93" s="46"/>
      <c r="Q93" s="46"/>
      <c r="R93" s="46"/>
      <c r="T93" s="42"/>
      <c r="U93" s="42"/>
      <c r="V93" s="46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</row>
    <row r="94" spans="1:66" ht="12.75" customHeight="1" x14ac:dyDescent="0.2">
      <c r="A94" s="1" t="s">
        <v>39</v>
      </c>
      <c r="B94" s="4">
        <f>_xll.ciqfunctions.udf.CIQ(InputTicker,"IQ_FEES_OTHER_INCOME",Input!D$2,Date,,,Ccy,Conv)</f>
        <v>0</v>
      </c>
      <c r="C94" s="4">
        <f>_xll.ciqfunctions.udf.CIQ(InputTicker,"IQ_FEES_OTHER_INCOME",Input!E$2,Date,,,Ccy,Conv)</f>
        <v>0</v>
      </c>
      <c r="D94" s="4">
        <f>_xll.ciqfunctions.udf.CIQ(InputTicker,"IQ_FEES_OTHER_INCOME",Input!F$2,Date,,,Ccy,Conv)</f>
        <v>0</v>
      </c>
      <c r="E94" s="4">
        <f>_xll.ciqfunctions.udf.CIQ(InputTicker,"IQ_FEES_OTHER_INCOME",Input!G$2,Date,,,Ccy,Conv)</f>
        <v>0</v>
      </c>
      <c r="F94" s="4">
        <f>_xll.ciqfunctions.udf.CIQ(InputTicker,"IQ_FEES_OTHER_INCOME",Input!H$2,Date,,,Ccy,Conv)</f>
        <v>0</v>
      </c>
      <c r="G94" s="4">
        <f>_xll.ciqfunctions.udf.CIQ(InputTicker,"IQ_FEES_OTHER_INCOME",Input!I$2,Date,,,Ccy,Conv)</f>
        <v>0</v>
      </c>
      <c r="H94" s="4">
        <f>_xll.ciqfunctions.udf.CIQ(InputTicker,"IQ_FEES_OTHER_INCOME",Input!J$2,Date,,,Ccy,Conv)</f>
        <v>0</v>
      </c>
      <c r="I94" s="4">
        <f>_xll.ciqfunctions.udf.CIQ(InputTicker,"IQ_FEES_OTHER_INCOME",Input!K$2,Date,,,Ccy,Conv)</f>
        <v>0</v>
      </c>
      <c r="J94" s="4">
        <f>_xll.ciqfunctions.udf.CIQ(InputTicker,"IQ_FEES_OTHER_INCOME",Input!L$2,Date,,,Ccy,Conv)</f>
        <v>0</v>
      </c>
      <c r="K94" s="4">
        <f>_xll.ciqfunctions.udf.CIQ(InputTicker,"IQ_FEES_OTHER_INCOME",Input!M$2,Date,,,Ccy,Conv)</f>
        <v>0</v>
      </c>
      <c r="L94" s="4">
        <f>_xll.ciqfunctions.udf.CIQ(InputTicker,"IQ_FEES_OTHER_INCOME",Input!N$2,Date,,,Ccy,Conv)</f>
        <v>0</v>
      </c>
      <c r="M94" s="4">
        <f>_xll.ciqfunctions.udf.CIQ(InputTicker,"IQ_FEES_OTHER_INCOME",Input!O$2,Date,,,Ccy,Conv)</f>
        <v>0</v>
      </c>
      <c r="N94" s="50"/>
      <c r="P94" s="46"/>
      <c r="Q94" s="46"/>
      <c r="R94" s="46"/>
      <c r="T94" s="42"/>
      <c r="U94" s="42"/>
      <c r="V94" s="46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</row>
    <row r="95" spans="1:66" ht="12.75" customHeight="1" x14ac:dyDescent="0.2">
      <c r="A95" s="1" t="s">
        <v>318</v>
      </c>
      <c r="B95" s="4">
        <f>_xll.ciqfunctions.udf.CIQ(InputTicker,"IQ_SAME_STORE",Input!D$2,Date)</f>
        <v>0</v>
      </c>
      <c r="C95" s="4">
        <f>_xll.ciqfunctions.udf.CIQ(InputTicker,"IQ_SAME_STORE",Input!E$2,Date)</f>
        <v>0</v>
      </c>
      <c r="D95" s="4">
        <f>_xll.ciqfunctions.udf.CIQ(InputTicker,"IQ_SAME_STORE",Input!F$2,Date)</f>
        <v>0</v>
      </c>
      <c r="E95" s="4">
        <f>_xll.ciqfunctions.udf.CIQ(InputTicker,"IQ_SAME_STORE",Input!G$2,Date)</f>
        <v>0</v>
      </c>
      <c r="F95" s="4">
        <f>_xll.ciqfunctions.udf.CIQ(InputTicker,"IQ_SAME_STORE",Input!H$2,Date)</f>
        <v>0</v>
      </c>
      <c r="G95" s="4">
        <f>_xll.ciqfunctions.udf.CIQ(InputTicker,"IQ_SAME_STORE",Input!I$2,Date)</f>
        <v>0</v>
      </c>
      <c r="H95" s="4">
        <f>_xll.ciqfunctions.udf.CIQ(InputTicker,"IQ_SAME_STORE",Input!J$2,Date)</f>
        <v>0</v>
      </c>
      <c r="I95" s="4">
        <f>_xll.ciqfunctions.udf.CIQ(InputTicker,"IQ_SAME_STORE",Input!K$2,Date)</f>
        <v>0</v>
      </c>
      <c r="J95" s="4">
        <f>_xll.ciqfunctions.udf.CIQ(InputTicker,"IQ_SAME_STORE",Input!L$2,Date)</f>
        <v>0</v>
      </c>
      <c r="K95" s="4">
        <f>_xll.ciqfunctions.udf.CIQ(InputTicker,"IQ_SAME_STORE",Input!M$2,Date)</f>
        <v>0</v>
      </c>
      <c r="L95" s="4">
        <f>_xll.ciqfunctions.udf.CIQ(InputTicker,"IQ_SAME_STORE",Input!N$2,Date)</f>
        <v>0</v>
      </c>
      <c r="M95" s="4">
        <f>_xll.ciqfunctions.udf.CIQ(InputTicker,"IQ_SAME_STORE",Input!O$2,Date)</f>
        <v>0</v>
      </c>
      <c r="N95" s="42"/>
      <c r="P95" s="46"/>
      <c r="Q95" s="46"/>
      <c r="R95" s="46"/>
      <c r="T95" s="42"/>
      <c r="U95" s="42"/>
      <c r="V95" s="46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</row>
    <row r="96" spans="1:66" ht="12.75" customHeight="1" x14ac:dyDescent="0.2">
      <c r="A96" s="1" t="s">
        <v>215</v>
      </c>
      <c r="B96" s="4">
        <f>_xll.ciqfunctions.udf.CIQ(InputTicker, "IQ_TOTAL_REV_AS_REPORTED",Input!D$2,Date,,,Ccy,Conv)</f>
        <v>0</v>
      </c>
      <c r="C96" s="4">
        <f>_xll.ciqfunctions.udf.CIQ(InputTicker, "IQ_TOTAL_REV_AS_REPORTED",Input!E$2,Date,,,Ccy,Conv)</f>
        <v>0</v>
      </c>
      <c r="D96" s="4">
        <f>_xll.ciqfunctions.udf.CIQ(InputTicker, "IQ_TOTAL_REV_AS_REPORTED",Input!F$2,Date,,,Ccy,Conv)</f>
        <v>0</v>
      </c>
      <c r="E96" s="4">
        <f>_xll.ciqfunctions.udf.CIQ(InputTicker, "IQ_TOTAL_REV_AS_REPORTED",Input!G$2,Date,,,Ccy,Conv)</f>
        <v>0</v>
      </c>
      <c r="F96" s="4">
        <f>_xll.ciqfunctions.udf.CIQ(InputTicker, "IQ_TOTAL_REV_AS_REPORTED",Input!H$2,Date,,,Ccy,Conv)</f>
        <v>0</v>
      </c>
      <c r="G96" s="4">
        <f>_xll.ciqfunctions.udf.CIQ(InputTicker, "IQ_TOTAL_REV_AS_REPORTED",Input!I$2,Date,,,Ccy,Conv)</f>
        <v>0</v>
      </c>
      <c r="H96" s="4">
        <f>_xll.ciqfunctions.udf.CIQ(InputTicker, "IQ_TOTAL_REV_AS_REPORTED",Input!J$2,Date,,,Ccy,Conv)</f>
        <v>0</v>
      </c>
      <c r="I96" s="4">
        <f>_xll.ciqfunctions.udf.CIQ(InputTicker, "IQ_TOTAL_REV_AS_REPORTED",Input!K$2,Date,,,Ccy,Conv)</f>
        <v>0</v>
      </c>
      <c r="J96" s="4">
        <f>_xll.ciqfunctions.udf.CIQ(InputTicker, "IQ_TOTAL_REV_AS_REPORTED",Input!L$2,Date,,,Ccy,Conv)</f>
        <v>0</v>
      </c>
      <c r="K96" s="4">
        <f>_xll.ciqfunctions.udf.CIQ(InputTicker, "IQ_TOTAL_REV_AS_REPORTED",Input!M$2,Date,,,Ccy,Conv)</f>
        <v>0</v>
      </c>
      <c r="L96" s="4">
        <f>_xll.ciqfunctions.udf.CIQ(InputTicker, "IQ_TOTAL_REV_AS_REPORTED",Input!N$2,Date,,,Ccy,Conv)</f>
        <v>0</v>
      </c>
      <c r="M96" s="4">
        <f>_xll.ciqfunctions.udf.CIQ(InputTicker, "IQ_TOTAL_REV_AS_REPORTED",Input!O$2,Date,,,Ccy,Conv)</f>
        <v>0</v>
      </c>
      <c r="N96" s="49"/>
      <c r="P96" s="46"/>
      <c r="Q96" s="46"/>
      <c r="R96" s="46"/>
      <c r="T96" s="42"/>
      <c r="U96" s="42"/>
      <c r="V96" s="46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</row>
    <row r="97" spans="1:66" ht="12.75" customHeight="1" x14ac:dyDescent="0.2">
      <c r="A97" s="1" t="s">
        <v>463</v>
      </c>
      <c r="B97" s="4">
        <f>_xll.ciqfunctions.udf.CIQ(InputTicker, "IQ_AS_REPORTED_EBITDA",Input!D$2,Date,,,Ccy,Conv)</f>
        <v>0</v>
      </c>
      <c r="C97" s="4">
        <f>_xll.ciqfunctions.udf.CIQ(InputTicker, "IQ_AS_REPORTED_EBITDA",Input!E$2,Date,,,Ccy,Conv)</f>
        <v>568.91200000000003</v>
      </c>
      <c r="D97" s="4">
        <f>_xll.ciqfunctions.udf.CIQ(InputTicker, "IQ_AS_REPORTED_EBITDA",Input!F$2,Date,,,Ccy,Conv)</f>
        <v>584.47900000000004</v>
      </c>
      <c r="E97" s="4">
        <f>_xll.ciqfunctions.udf.CIQ(InputTicker, "IQ_AS_REPORTED_EBITDA",Input!G$2,Date,,,Ccy,Conv)</f>
        <v>674.62900000000002</v>
      </c>
      <c r="F97" s="4">
        <f>_xll.ciqfunctions.udf.CIQ(InputTicker, "IQ_AS_REPORTED_EBITDA",Input!H$2,Date,,,Ccy,Conv)</f>
        <v>754.07399999999996</v>
      </c>
      <c r="G97" s="4">
        <f>_xll.ciqfunctions.udf.CIQ(InputTicker, "IQ_AS_REPORTED_EBITDA",Input!I$2,Date,,,Ccy,Conv)</f>
        <v>839.67399999999998</v>
      </c>
      <c r="H97" s="4">
        <f>_xll.ciqfunctions.udf.CIQ(InputTicker, "IQ_AS_REPORTED_EBITDA",Input!J$2,Date,,,Ccy,Conv)</f>
        <v>935.08799999999997</v>
      </c>
      <c r="I97" s="4">
        <f>_xll.ciqfunctions.udf.CIQ(InputTicker, "IQ_AS_REPORTED_EBITDA",Input!K$2,Date,,,Ccy,Conv)</f>
        <v>1014</v>
      </c>
      <c r="J97" s="4">
        <f>_xll.ciqfunctions.udf.CIQ(InputTicker, "IQ_AS_REPORTED_EBITDA",Input!L$2,Date,,,Ccy,Conv)</f>
        <v>1175</v>
      </c>
      <c r="K97" s="4">
        <f>_xll.ciqfunctions.udf.CIQ(InputTicker, "IQ_AS_REPORTED_EBITDA",Input!M$2,Date,,,Ccy,Conv)</f>
        <v>1315</v>
      </c>
      <c r="L97" s="4">
        <f>_xll.ciqfunctions.udf.CIQ(InputTicker, "IQ_AS_REPORTED_EBITDA",Input!N$2,Date,,,Ccy,Conv)</f>
        <v>1229</v>
      </c>
      <c r="M97" s="4">
        <f>_xll.ciqfunctions.udf.CIQ(InputTicker, "IQ_AS_REPORTED_EBITDA",Input!O$2,Date,,,Ccy,Conv)</f>
        <v>1229</v>
      </c>
      <c r="N97" s="49"/>
      <c r="P97" s="46"/>
      <c r="Q97" s="46"/>
      <c r="R97" s="46"/>
      <c r="T97" s="42"/>
      <c r="U97" s="42"/>
      <c r="V97" s="46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</row>
    <row r="98" spans="1:66" ht="12.75" customHeight="1" x14ac:dyDescent="0.2">
      <c r="A98" s="1" t="s">
        <v>0</v>
      </c>
      <c r="B98" s="4">
        <f>_xll.ciqfunctions.udf.CIQ(InputTicker, "IQ_PROV_BAD_DEBTS_PATIENT_SERVICE_REV",Input!D$2,Date,,,Ccy,Conv)</f>
        <v>0</v>
      </c>
      <c r="C98" s="4">
        <f>_xll.ciqfunctions.udf.CIQ(InputTicker, "IQ_PROV_BAD_DEBTS_PATIENT_SERVICE_REV",Input!E$2,Date,,,Ccy,Conv)</f>
        <v>0</v>
      </c>
      <c r="D98" s="4">
        <f>_xll.ciqfunctions.udf.CIQ(InputTicker, "IQ_PROV_BAD_DEBTS_PATIENT_SERVICE_REV",Input!F$2,Date,,,Ccy,Conv)</f>
        <v>0</v>
      </c>
      <c r="E98" s="4">
        <f>_xll.ciqfunctions.udf.CIQ(InputTicker, "IQ_PROV_BAD_DEBTS_PATIENT_SERVICE_REV",Input!G$2,Date,,,Ccy,Conv)</f>
        <v>0</v>
      </c>
      <c r="F98" s="4">
        <f>_xll.ciqfunctions.udf.CIQ(InputTicker, "IQ_PROV_BAD_DEBTS_PATIENT_SERVICE_REV",Input!H$2,Date,,,Ccy,Conv)</f>
        <v>0</v>
      </c>
      <c r="G98" s="4">
        <f>_xll.ciqfunctions.udf.CIQ(InputTicker, "IQ_PROV_BAD_DEBTS_PATIENT_SERVICE_REV",Input!I$2,Date,,,Ccy,Conv)</f>
        <v>0</v>
      </c>
      <c r="H98" s="4">
        <f>_xll.ciqfunctions.udf.CIQ(InputTicker, "IQ_PROV_BAD_DEBTS_PATIENT_SERVICE_REV",Input!J$2,Date,,,Ccy,Conv)</f>
        <v>0</v>
      </c>
      <c r="I98" s="4">
        <f>_xll.ciqfunctions.udf.CIQ(InputTicker, "IQ_PROV_BAD_DEBTS_PATIENT_SERVICE_REV",Input!K$2,Date,,,Ccy,Conv)</f>
        <v>0</v>
      </c>
      <c r="J98" s="4">
        <f>_xll.ciqfunctions.udf.CIQ(InputTicker, "IQ_PROV_BAD_DEBTS_PATIENT_SERVICE_REV",Input!L$2,Date,,,Ccy,Conv)</f>
        <v>0</v>
      </c>
      <c r="K98" s="4">
        <f>_xll.ciqfunctions.udf.CIQ(InputTicker, "IQ_PROV_BAD_DEBTS_PATIENT_SERVICE_REV",Input!M$2,Date,,,Ccy,Conv)</f>
        <v>0</v>
      </c>
      <c r="L98" s="4">
        <f>_xll.ciqfunctions.udf.CIQ(InputTicker, "IQ_PROV_BAD_DEBTS_PATIENT_SERVICE_REV",Input!N$2,Date,,,Ccy,Conv)</f>
        <v>0</v>
      </c>
      <c r="M98" s="4">
        <f>_xll.ciqfunctions.udf.CIQ(InputTicker, "IQ_PROV_BAD_DEBTS_PATIENT_SERVICE_REV",Input!O$2,Date,,,Ccy,Conv)</f>
        <v>0</v>
      </c>
      <c r="N98" s="49"/>
      <c r="P98" s="46"/>
      <c r="Q98" s="46"/>
      <c r="R98" s="46"/>
      <c r="T98" s="42"/>
      <c r="U98" s="42"/>
      <c r="V98" s="46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</row>
    <row r="99" spans="1:66" ht="12.75" customHeight="1" x14ac:dyDescent="0.2">
      <c r="A99" s="1" t="s">
        <v>23</v>
      </c>
      <c r="B99" s="4">
        <f>_xll.ciqfunctions.udf.CIQ(InputTicker, "IQ_EARNING_PARENT_EXCL_EXTRA",Input!D$2,Date,,,Ccy,Conv)</f>
        <v>294.09399999999999</v>
      </c>
      <c r="C99" s="4">
        <f>_xll.ciqfunctions.udf.CIQ(InputTicker, "IQ_EARNING_PARENT_EXCL_EXTRA",Input!E$2,Date,,,Ccy,Conv)</f>
        <v>260.82499999999999</v>
      </c>
      <c r="D99" s="4">
        <f>_xll.ciqfunctions.udf.CIQ(InputTicker, "IQ_EARNING_PARENT_EXCL_EXTRA",Input!F$2,Date,,,Ccy,Conv)</f>
        <v>301.69200000000001</v>
      </c>
      <c r="E99" s="4">
        <f>_xll.ciqfunctions.udf.CIQ(InputTicker, "IQ_EARNING_PARENT_EXCL_EXTRA",Input!G$2,Date,,,Ccy,Conv)</f>
        <v>418.529</v>
      </c>
      <c r="F99" s="4">
        <f>_xll.ciqfunctions.udf.CIQ(InputTicker, "IQ_EARNING_PARENT_EXCL_EXTRA",Input!H$2,Date,,,Ccy,Conv)</f>
        <v>482.60300000000001</v>
      </c>
      <c r="G99" s="4">
        <f>_xll.ciqfunctions.udf.CIQ(InputTicker, "IQ_EARNING_PARENT_EXCL_EXTRA",Input!I$2,Date,,,Ccy,Conv)</f>
        <v>608.95799999999997</v>
      </c>
      <c r="H99" s="4">
        <f>_xll.ciqfunctions.udf.CIQ(InputTicker, "IQ_EARNING_PARENT_EXCL_EXTRA",Input!J$2,Date,,,Ccy,Conv)</f>
        <v>466.74</v>
      </c>
      <c r="I99" s="4">
        <f>_xll.ciqfunctions.udf.CIQ(InputTicker, "IQ_EARNING_PARENT_EXCL_EXTRA",Input!K$2,Date,,,Ccy,Conv)</f>
        <v>272</v>
      </c>
      <c r="J99" s="4">
        <f>_xll.ciqfunctions.udf.CIQ(InputTicker, "IQ_EARNING_PARENT_EXCL_EXTRA",Input!L$2,Date,,,Ccy,Conv)</f>
        <v>606</v>
      </c>
      <c r="K99" s="4">
        <f>_xll.ciqfunctions.udf.CIQ(InputTicker, "IQ_EARNING_PARENT_EXCL_EXTRA",Input!M$2,Date,,,Ccy,Conv)</f>
        <v>935</v>
      </c>
      <c r="L99" s="4">
        <f>_xll.ciqfunctions.udf.CIQ(InputTicker, "IQ_EARNING_PARENT_EXCL_EXTRA",Input!N$2,Date,,,Ccy,Conv)</f>
        <v>851</v>
      </c>
      <c r="M99" s="4">
        <f>_xll.ciqfunctions.udf.CIQ(InputTicker, "IQ_EARNING_PARENT_EXCL_EXTRA",Input!O$2,Date,,,Ccy,Conv)</f>
        <v>851</v>
      </c>
      <c r="N99" s="49"/>
      <c r="P99" s="46"/>
      <c r="Q99" s="46"/>
      <c r="R99" s="46"/>
      <c r="T99" s="42"/>
      <c r="U99" s="42"/>
      <c r="V99" s="46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</row>
    <row r="100" spans="1:66" ht="12.75" customHeight="1" x14ac:dyDescent="0.2">
      <c r="A100" s="1" t="s">
        <v>213</v>
      </c>
      <c r="B100" s="4">
        <f>_xll.ciqfunctions.udf.CIQ(InputTicker, "IQ_NI_SFAS",Input!D$2,Date,,,Ccy,Conv)</f>
        <v>0</v>
      </c>
      <c r="C100" s="4">
        <f>_xll.ciqfunctions.udf.CIQ(InputTicker, "IQ_NI_SFAS",Input!E$2,Date,,,Ccy,Conv)</f>
        <v>0</v>
      </c>
      <c r="D100" s="4">
        <f>_xll.ciqfunctions.udf.CIQ(InputTicker, "IQ_NI_SFAS",Input!F$2,Date,,,Ccy,Conv)</f>
        <v>0</v>
      </c>
      <c r="E100" s="4">
        <f>_xll.ciqfunctions.udf.CIQ(InputTicker, "IQ_NI_SFAS",Input!G$2,Date,,,Ccy,Conv)</f>
        <v>0</v>
      </c>
      <c r="F100" s="4">
        <f>_xll.ciqfunctions.udf.CIQ(InputTicker, "IQ_NI_SFAS",Input!H$2,Date,,,Ccy,Conv)</f>
        <v>0</v>
      </c>
      <c r="G100" s="4">
        <f>_xll.ciqfunctions.udf.CIQ(InputTicker, "IQ_NI_SFAS",Input!I$2,Date,,,Ccy,Conv)</f>
        <v>0</v>
      </c>
      <c r="H100" s="4">
        <f>_xll.ciqfunctions.udf.CIQ(InputTicker, "IQ_NI_SFAS",Input!J$2,Date,,,Ccy,Conv)</f>
        <v>0</v>
      </c>
      <c r="I100" s="4">
        <f>_xll.ciqfunctions.udf.CIQ(InputTicker, "IQ_NI_SFAS",Input!K$2,Date,,,Ccy,Conv)</f>
        <v>0</v>
      </c>
      <c r="J100" s="4">
        <f>_xll.ciqfunctions.udf.CIQ(InputTicker, "IQ_NI_SFAS",Input!L$2,Date,,,Ccy,Conv)</f>
        <v>0</v>
      </c>
      <c r="K100" s="4">
        <f>_xll.ciqfunctions.udf.CIQ(InputTicker, "IQ_NI_SFAS",Input!M$2,Date,,,Ccy,Conv)</f>
        <v>0</v>
      </c>
      <c r="L100" s="4">
        <f>_xll.ciqfunctions.udf.CIQ(InputTicker, "IQ_NI_SFAS",Input!N$2,Date,,,Ccy,Conv)</f>
        <v>0</v>
      </c>
      <c r="M100" s="4">
        <f>_xll.ciqfunctions.udf.CIQ(InputTicker, "IQ_NI_SFAS",Input!O$2,Date,,,Ccy,Conv)</f>
        <v>0</v>
      </c>
      <c r="N100" s="49"/>
      <c r="P100" s="46"/>
      <c r="Q100" s="46"/>
      <c r="R100" s="46"/>
      <c r="T100" s="42"/>
      <c r="U100" s="42"/>
      <c r="V100" s="46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</row>
    <row r="101" spans="1:66" ht="12.75" customHeight="1" x14ac:dyDescent="0.2">
      <c r="A101" s="1" t="s">
        <v>442</v>
      </c>
      <c r="B101" s="4">
        <f>_xll.ciqfunctions.udf.CIQ(InputTicker, "IQ_INTEREST_INCOME",Input!D$2,Date,,,Ccy,Conv)</f>
        <v>0</v>
      </c>
      <c r="C101" s="4">
        <f>_xll.ciqfunctions.udf.CIQ(InputTicker, "IQ_INTEREST_INCOME",Input!E$2,Date,,,Ccy,Conv)</f>
        <v>0</v>
      </c>
      <c r="D101" s="4">
        <f>_xll.ciqfunctions.udf.CIQ(InputTicker, "IQ_INTEREST_INCOME",Input!F$2,Date,,,Ccy,Conv)</f>
        <v>0</v>
      </c>
      <c r="E101" s="4">
        <f>_xll.ciqfunctions.udf.CIQ(InputTicker, "IQ_INTEREST_INCOME",Input!G$2,Date,,,Ccy,Conv)</f>
        <v>0</v>
      </c>
      <c r="F101" s="4">
        <f>_xll.ciqfunctions.udf.CIQ(InputTicker, "IQ_INTEREST_INCOME",Input!H$2,Date,,,Ccy,Conv)</f>
        <v>0</v>
      </c>
      <c r="G101" s="4">
        <f>_xll.ciqfunctions.udf.CIQ(InputTicker, "IQ_INTEREST_INCOME",Input!I$2,Date,,,Ccy,Conv)</f>
        <v>0</v>
      </c>
      <c r="H101" s="4">
        <f>_xll.ciqfunctions.udf.CIQ(InputTicker, "IQ_INTEREST_INCOME",Input!J$2,Date,,,Ccy,Conv)</f>
        <v>0</v>
      </c>
      <c r="I101" s="4">
        <f>_xll.ciqfunctions.udf.CIQ(InputTicker, "IQ_INTEREST_INCOME",Input!K$2,Date,,,Ccy,Conv)</f>
        <v>0</v>
      </c>
      <c r="J101" s="4">
        <f>_xll.ciqfunctions.udf.CIQ(InputTicker, "IQ_INTEREST_INCOME",Input!L$2,Date,,,Ccy,Conv)</f>
        <v>0</v>
      </c>
      <c r="K101" s="4">
        <f>_xll.ciqfunctions.udf.CIQ(InputTicker, "IQ_INTEREST_INCOME",Input!M$2,Date,,,Ccy,Conv)</f>
        <v>0</v>
      </c>
      <c r="L101" s="4">
        <f>_xll.ciqfunctions.udf.CIQ(InputTicker, "IQ_INTEREST_INCOME",Input!N$2,Date,,,Ccy,Conv)</f>
        <v>0</v>
      </c>
      <c r="M101" s="4">
        <f>_xll.ciqfunctions.udf.CIQ(InputTicker, "IQ_INTEREST_INCOME",Input!O$2,Date,,,Ccy,Conv)</f>
        <v>0</v>
      </c>
      <c r="N101" s="49"/>
      <c r="P101" s="46"/>
      <c r="Q101" s="46"/>
      <c r="R101" s="46"/>
      <c r="T101" s="42"/>
      <c r="U101" s="42"/>
      <c r="V101" s="46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</row>
    <row r="102" spans="1:66" ht="12.75" customHeight="1" x14ac:dyDescent="0.2">
      <c r="A102" s="1" t="s">
        <v>444</v>
      </c>
      <c r="B102" s="4">
        <f>_xll.ciqfunctions.udf.CIQ(InputTicker, "IQ_INVESTMENT_INCOME",Input!D$2,Date,,,Ccy,Conv)</f>
        <v>0</v>
      </c>
      <c r="C102" s="4">
        <f>_xll.ciqfunctions.udf.CIQ(InputTicker, "IQ_INVESTMENT_INCOME",Input!E$2,Date,,,Ccy,Conv)</f>
        <v>0</v>
      </c>
      <c r="D102" s="4">
        <f>_xll.ciqfunctions.udf.CIQ(InputTicker, "IQ_INVESTMENT_INCOME",Input!F$2,Date,,,Ccy,Conv)</f>
        <v>0</v>
      </c>
      <c r="E102" s="4">
        <f>_xll.ciqfunctions.udf.CIQ(InputTicker, "IQ_INVESTMENT_INCOME",Input!G$2,Date,,,Ccy,Conv)</f>
        <v>0</v>
      </c>
      <c r="F102" s="4">
        <f>_xll.ciqfunctions.udf.CIQ(InputTicker, "IQ_INVESTMENT_INCOME",Input!H$2,Date,,,Ccy,Conv)</f>
        <v>0</v>
      </c>
      <c r="G102" s="4">
        <f>_xll.ciqfunctions.udf.CIQ(InputTicker, "IQ_INVESTMENT_INCOME",Input!I$2,Date,,,Ccy,Conv)</f>
        <v>0</v>
      </c>
      <c r="H102" s="4">
        <f>_xll.ciqfunctions.udf.CIQ(InputTicker, "IQ_INVESTMENT_INCOME",Input!J$2,Date,,,Ccy,Conv)</f>
        <v>0</v>
      </c>
      <c r="I102" s="4">
        <f>_xll.ciqfunctions.udf.CIQ(InputTicker, "IQ_INVESTMENT_INCOME",Input!K$2,Date,,,Ccy,Conv)</f>
        <v>0</v>
      </c>
      <c r="J102" s="4">
        <f>_xll.ciqfunctions.udf.CIQ(InputTicker, "IQ_INVESTMENT_INCOME",Input!L$2,Date,,,Ccy,Conv)</f>
        <v>0</v>
      </c>
      <c r="K102" s="4">
        <f>_xll.ciqfunctions.udf.CIQ(InputTicker, "IQ_INVESTMENT_INCOME",Input!M$2,Date,,,Ccy,Conv)</f>
        <v>0</v>
      </c>
      <c r="L102" s="4">
        <f>_xll.ciqfunctions.udf.CIQ(InputTicker, "IQ_INVESTMENT_INCOME",Input!N$2,Date,,,Ccy,Conv)</f>
        <v>0</v>
      </c>
      <c r="M102" s="4">
        <f>_xll.ciqfunctions.udf.CIQ(InputTicker, "IQ_INVESTMENT_INCOME",Input!O$2,Date,,,Ccy,Conv)</f>
        <v>0</v>
      </c>
      <c r="N102" s="49"/>
      <c r="P102" s="46"/>
      <c r="Q102" s="46"/>
      <c r="R102" s="46"/>
      <c r="T102" s="42"/>
      <c r="U102" s="42"/>
      <c r="V102" s="46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</row>
    <row r="103" spans="1:66" ht="12.75" customHeight="1" x14ac:dyDescent="0.2">
      <c r="A103" s="1" t="s">
        <v>373</v>
      </c>
      <c r="B103" s="4">
        <f>_xll.ciqfunctions.udf.CIQ(InputTicker, "IQ_EXCISE_TAXES_EXCL_SALES",Input!D$2,Date,,,Ccy,Conv)</f>
        <v>0</v>
      </c>
      <c r="C103" s="4">
        <f>_xll.ciqfunctions.udf.CIQ(InputTicker, "IQ_EXCISE_TAXES_EXCL_SALES",Input!E$2,Date,,,Ccy,Conv)</f>
        <v>0</v>
      </c>
      <c r="D103" s="4">
        <f>_xll.ciqfunctions.udf.CIQ(InputTicker, "IQ_EXCISE_TAXES_EXCL_SALES",Input!F$2,Date,,,Ccy,Conv)</f>
        <v>0</v>
      </c>
      <c r="E103" s="4">
        <f>_xll.ciqfunctions.udf.CIQ(InputTicker, "IQ_EXCISE_TAXES_EXCL_SALES",Input!G$2,Date,,,Ccy,Conv)</f>
        <v>0</v>
      </c>
      <c r="F103" s="4">
        <f>_xll.ciqfunctions.udf.CIQ(InputTicker, "IQ_EXCISE_TAXES_EXCL_SALES",Input!H$2,Date,,,Ccy,Conv)</f>
        <v>0</v>
      </c>
      <c r="G103" s="4">
        <f>_xll.ciqfunctions.udf.CIQ(InputTicker, "IQ_EXCISE_TAXES_EXCL_SALES",Input!I$2,Date,,,Ccy,Conv)</f>
        <v>0</v>
      </c>
      <c r="H103" s="4">
        <f>_xll.ciqfunctions.udf.CIQ(InputTicker, "IQ_EXCISE_TAXES_EXCL_SALES",Input!J$2,Date,,,Ccy,Conv)</f>
        <v>0</v>
      </c>
      <c r="I103" s="4">
        <f>_xll.ciqfunctions.udf.CIQ(InputTicker, "IQ_EXCISE_TAXES_EXCL_SALES",Input!K$2,Date,,,Ccy,Conv)</f>
        <v>0</v>
      </c>
      <c r="J103" s="4">
        <f>_xll.ciqfunctions.udf.CIQ(InputTicker, "IQ_EXCISE_TAXES_EXCL_SALES",Input!L$2,Date,,,Ccy,Conv)</f>
        <v>0</v>
      </c>
      <c r="K103" s="4">
        <f>_xll.ciqfunctions.udf.CIQ(InputTicker, "IQ_EXCISE_TAXES_EXCL_SALES",Input!M$2,Date,,,Ccy,Conv)</f>
        <v>0</v>
      </c>
      <c r="L103" s="4">
        <f>_xll.ciqfunctions.udf.CIQ(InputTicker, "IQ_EXCISE_TAXES_EXCL_SALES",Input!N$2,Date,,,Ccy,Conv)</f>
        <v>0</v>
      </c>
      <c r="M103" s="4">
        <f>_xll.ciqfunctions.udf.CIQ(InputTicker, "IQ_EXCISE_TAXES_EXCL_SALES",Input!O$2,Date,,,Ccy,Conv)</f>
        <v>0</v>
      </c>
      <c r="N103" s="49"/>
      <c r="P103" s="46"/>
      <c r="Q103" s="46"/>
      <c r="R103" s="46"/>
      <c r="T103" s="42"/>
      <c r="U103" s="42"/>
      <c r="V103" s="46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</row>
    <row r="104" spans="1:66" ht="12.75" customHeight="1" x14ac:dyDescent="0.2">
      <c r="A104" s="1" t="s">
        <v>374</v>
      </c>
      <c r="B104" s="4">
        <f>_xll.ciqfunctions.udf.CIQ(InputTicker, "IQ_EXCISE_TAXES_INCL_SALES",Input!D$2,Date,,,Ccy,Conv)</f>
        <v>0</v>
      </c>
      <c r="C104" s="4">
        <f>_xll.ciqfunctions.udf.CIQ(InputTicker, "IQ_EXCISE_TAXES_INCL_SALES",Input!E$2,Date,,,Ccy,Conv)</f>
        <v>0</v>
      </c>
      <c r="D104" s="4">
        <f>_xll.ciqfunctions.udf.CIQ(InputTicker, "IQ_EXCISE_TAXES_INCL_SALES",Input!F$2,Date,,,Ccy,Conv)</f>
        <v>0</v>
      </c>
      <c r="E104" s="4">
        <f>_xll.ciqfunctions.udf.CIQ(InputTicker, "IQ_EXCISE_TAXES_INCL_SALES",Input!G$2,Date,,,Ccy,Conv)</f>
        <v>0</v>
      </c>
      <c r="F104" s="4">
        <f>_xll.ciqfunctions.udf.CIQ(InputTicker, "IQ_EXCISE_TAXES_INCL_SALES",Input!H$2,Date,,,Ccy,Conv)</f>
        <v>0</v>
      </c>
      <c r="G104" s="4">
        <f>_xll.ciqfunctions.udf.CIQ(InputTicker, "IQ_EXCISE_TAXES_INCL_SALES",Input!I$2,Date,,,Ccy,Conv)</f>
        <v>0</v>
      </c>
      <c r="H104" s="4">
        <f>_xll.ciqfunctions.udf.CIQ(InputTicker, "IQ_EXCISE_TAXES_INCL_SALES",Input!J$2,Date,,,Ccy,Conv)</f>
        <v>0</v>
      </c>
      <c r="I104" s="4">
        <f>_xll.ciqfunctions.udf.CIQ(InputTicker, "IQ_EXCISE_TAXES_INCL_SALES",Input!K$2,Date,,,Ccy,Conv)</f>
        <v>0</v>
      </c>
      <c r="J104" s="4">
        <f>_xll.ciqfunctions.udf.CIQ(InputTicker, "IQ_EXCISE_TAXES_INCL_SALES",Input!L$2,Date,,,Ccy,Conv)</f>
        <v>0</v>
      </c>
      <c r="K104" s="4">
        <f>_xll.ciqfunctions.udf.CIQ(InputTicker, "IQ_EXCISE_TAXES_INCL_SALES",Input!M$2,Date,,,Ccy,Conv)</f>
        <v>0</v>
      </c>
      <c r="L104" s="4">
        <f>_xll.ciqfunctions.udf.CIQ(InputTicker, "IQ_EXCISE_TAXES_INCL_SALES",Input!N$2,Date,,,Ccy,Conv)</f>
        <v>0</v>
      </c>
      <c r="M104" s="4">
        <f>_xll.ciqfunctions.udf.CIQ(InputTicker, "IQ_EXCISE_TAXES_INCL_SALES",Input!O$2,Date,,,Ccy,Conv)</f>
        <v>0</v>
      </c>
      <c r="N104" s="49"/>
      <c r="P104" s="46"/>
      <c r="Q104" s="46"/>
      <c r="R104" s="46"/>
      <c r="T104" s="42"/>
      <c r="U104" s="42"/>
      <c r="V104" s="46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</row>
    <row r="105" spans="1:66" ht="12.75" customHeight="1" x14ac:dyDescent="0.2">
      <c r="A105" s="1" t="s">
        <v>319</v>
      </c>
      <c r="B105" s="4">
        <f>_xll.ciqfunctions.udf.CIQ(InputTicker, "IQ_CURR_DOMESTIC_TAXES",Input!D$2,Date,,,Ccy,Conv)</f>
        <v>77.855999999999995</v>
      </c>
      <c r="C105" s="4">
        <f>_xll.ciqfunctions.udf.CIQ(InputTicker, "IQ_CURR_DOMESTIC_TAXES",Input!E$2,Date,,,Ccy,Conv)</f>
        <v>140</v>
      </c>
      <c r="D105" s="4">
        <f>_xll.ciqfunctions.udf.CIQ(InputTicker, "IQ_CURR_DOMESTIC_TAXES",Input!F$2,Date,,,Ccy,Conv)</f>
        <v>109.374</v>
      </c>
      <c r="E105" s="4">
        <f>_xll.ciqfunctions.udf.CIQ(InputTicker, "IQ_CURR_DOMESTIC_TAXES",Input!G$2,Date,,,Ccy,Conv)</f>
        <v>60.250999999999998</v>
      </c>
      <c r="F105" s="4">
        <f>_xll.ciqfunctions.udf.CIQ(InputTicker, "IQ_CURR_DOMESTIC_TAXES",Input!H$2,Date,,,Ccy,Conv)</f>
        <v>15.772</v>
      </c>
      <c r="G105" s="4">
        <f>_xll.ciqfunctions.udf.CIQ(InputTicker, "IQ_CURR_DOMESTIC_TAXES",Input!I$2,Date,,,Ccy,Conv)</f>
        <v>-187.767</v>
      </c>
      <c r="H105" s="4">
        <f>_xll.ciqfunctions.udf.CIQ(InputTicker, "IQ_CURR_DOMESTIC_TAXES",Input!J$2,Date,,,Ccy,Conv)</f>
        <v>259.17700000000002</v>
      </c>
      <c r="I105" s="4">
        <f>_xll.ciqfunctions.udf.CIQ(InputTicker, "IQ_CURR_DOMESTIC_TAXES",Input!K$2,Date,,,Ccy,Conv)</f>
        <v>442</v>
      </c>
      <c r="J105" s="4">
        <f>_xll.ciqfunctions.udf.CIQ(InputTicker, "IQ_CURR_DOMESTIC_TAXES",Input!L$2,Date,,,Ccy,Conv)</f>
        <v>346</v>
      </c>
      <c r="K105" s="4">
        <f>_xll.ciqfunctions.udf.CIQ(InputTicker, "IQ_CURR_DOMESTIC_TAXES",Input!M$2,Date,,,Ccy,Conv)</f>
        <v>370</v>
      </c>
      <c r="L105" s="4">
        <f>_xll.ciqfunctions.udf.CIQ(InputTicker, "IQ_CURR_DOMESTIC_TAXES",Input!N$2,Date,,,Ccy,Conv)</f>
        <v>-27</v>
      </c>
      <c r="M105" s="4">
        <f>_xll.ciqfunctions.udf.CIQ(InputTicker, "IQ_CURR_DOMESTIC_TAXES",Input!O$2,Date,,,Ccy,Conv)</f>
        <v>-27</v>
      </c>
      <c r="N105" s="49"/>
      <c r="P105" s="46"/>
      <c r="Q105" s="46"/>
      <c r="R105" s="46"/>
      <c r="T105" s="42"/>
      <c r="U105" s="42"/>
      <c r="V105" s="46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</row>
    <row r="106" spans="1:66" ht="12.75" customHeight="1" x14ac:dyDescent="0.2">
      <c r="A106" s="1" t="s">
        <v>320</v>
      </c>
      <c r="B106" s="4">
        <f>_xll.ciqfunctions.udf.CIQ(InputTicker, "IQ_CURR_FOREIGN_TAXES",Input!D$2,Date,,,Ccy,Conv)</f>
        <v>3.9630000000000001</v>
      </c>
      <c r="C106" s="4">
        <f>_xll.ciqfunctions.udf.CIQ(InputTicker, "IQ_CURR_FOREIGN_TAXES",Input!E$2,Date,,,Ccy,Conv)</f>
        <v>3.8740000000000001</v>
      </c>
      <c r="D106" s="4">
        <f>_xll.ciqfunctions.udf.CIQ(InputTicker, "IQ_CURR_FOREIGN_TAXES",Input!F$2,Date,,,Ccy,Conv)</f>
        <v>10.013999999999999</v>
      </c>
      <c r="E106" s="4">
        <f>_xll.ciqfunctions.udf.CIQ(InputTicker, "IQ_CURR_FOREIGN_TAXES",Input!G$2,Date,,,Ccy,Conv)</f>
        <v>13.617000000000001</v>
      </c>
      <c r="F106" s="4">
        <f>_xll.ciqfunctions.udf.CIQ(InputTicker, "IQ_CURR_FOREIGN_TAXES",Input!H$2,Date,,,Ccy,Conv)</f>
        <v>15.625</v>
      </c>
      <c r="G106" s="4">
        <f>_xll.ciqfunctions.udf.CIQ(InputTicker, "IQ_CURR_FOREIGN_TAXES",Input!I$2,Date,,,Ccy,Conv)</f>
        <v>9.25</v>
      </c>
      <c r="H106" s="4">
        <f>_xll.ciqfunctions.udf.CIQ(InputTicker, "IQ_CURR_FOREIGN_TAXES",Input!J$2,Date,,,Ccy,Conv)</f>
        <v>8.4860000000000007</v>
      </c>
      <c r="I106" s="4">
        <f>_xll.ciqfunctions.udf.CIQ(InputTicker, "IQ_CURR_FOREIGN_TAXES",Input!K$2,Date,,,Ccy,Conv)</f>
        <v>9</v>
      </c>
      <c r="J106" s="4">
        <f>_xll.ciqfunctions.udf.CIQ(InputTicker, "IQ_CURR_FOREIGN_TAXES",Input!L$2,Date,,,Ccy,Conv)</f>
        <v>3</v>
      </c>
      <c r="K106" s="4">
        <f>_xll.ciqfunctions.udf.CIQ(InputTicker, "IQ_CURR_FOREIGN_TAXES",Input!M$2,Date,,,Ccy,Conv)</f>
        <v>5</v>
      </c>
      <c r="L106" s="4">
        <f>_xll.ciqfunctions.udf.CIQ(InputTicker, "IQ_CURR_FOREIGN_TAXES",Input!N$2,Date,,,Ccy,Conv)</f>
        <v>3</v>
      </c>
      <c r="M106" s="4">
        <f>_xll.ciqfunctions.udf.CIQ(InputTicker, "IQ_CURR_FOREIGN_TAXES",Input!O$2,Date,,,Ccy,Conv)</f>
        <v>3</v>
      </c>
      <c r="N106" s="49"/>
      <c r="P106" s="46"/>
      <c r="Q106" s="46"/>
      <c r="R106" s="46"/>
      <c r="T106" s="42"/>
      <c r="U106" s="42"/>
      <c r="V106" s="46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</row>
    <row r="107" spans="1:66" ht="12.75" customHeight="1" x14ac:dyDescent="0.2">
      <c r="A107" s="1" t="s">
        <v>432</v>
      </c>
      <c r="B107" s="4">
        <f>_xll.ciqfunctions.udf.CIQ(InputTicker, "IQ_CURR_TAXES",Input!D$2,Date,,,Ccy,Conv)</f>
        <v>81.819000000000003</v>
      </c>
      <c r="C107" s="4">
        <f>_xll.ciqfunctions.udf.CIQ(InputTicker, "IQ_CURR_TAXES",Input!E$2,Date,,,Ccy,Conv)</f>
        <v>143.874</v>
      </c>
      <c r="D107" s="4">
        <f>_xll.ciqfunctions.udf.CIQ(InputTicker, "IQ_CURR_TAXES",Input!F$2,Date,,,Ccy,Conv)</f>
        <v>119.38800000000001</v>
      </c>
      <c r="E107" s="4">
        <f>_xll.ciqfunctions.udf.CIQ(InputTicker, "IQ_CURR_TAXES",Input!G$2,Date,,,Ccy,Conv)</f>
        <v>73.867999999999995</v>
      </c>
      <c r="F107" s="4">
        <f>_xll.ciqfunctions.udf.CIQ(InputTicker, "IQ_CURR_TAXES",Input!H$2,Date,,,Ccy,Conv)</f>
        <v>31.396999999999998</v>
      </c>
      <c r="G107" s="4">
        <f>_xll.ciqfunctions.udf.CIQ(InputTicker, "IQ_CURR_TAXES",Input!I$2,Date,,,Ccy,Conv)</f>
        <v>-178.517</v>
      </c>
      <c r="H107" s="4">
        <f>_xll.ciqfunctions.udf.CIQ(InputTicker, "IQ_CURR_TAXES",Input!J$2,Date,,,Ccy,Conv)</f>
        <v>267.66300000000001</v>
      </c>
      <c r="I107" s="4">
        <f>_xll.ciqfunctions.udf.CIQ(InputTicker, "IQ_CURR_TAXES",Input!K$2,Date,,,Ccy,Conv)</f>
        <v>451</v>
      </c>
      <c r="J107" s="4">
        <f>_xll.ciqfunctions.udf.CIQ(InputTicker, "IQ_CURR_TAXES",Input!L$2,Date,,,Ccy,Conv)</f>
        <v>349</v>
      </c>
      <c r="K107" s="4">
        <f>_xll.ciqfunctions.udf.CIQ(InputTicker, "IQ_CURR_TAXES",Input!M$2,Date,,,Ccy,Conv)</f>
        <v>375</v>
      </c>
      <c r="L107" s="4">
        <f>_xll.ciqfunctions.udf.CIQ(InputTicker, "IQ_CURR_TAXES",Input!N$2,Date,,,Ccy,Conv)</f>
        <v>-24</v>
      </c>
      <c r="M107" s="4">
        <f>_xll.ciqfunctions.udf.CIQ(InputTicker, "IQ_CURR_TAXES",Input!O$2,Date,,,Ccy,Conv)</f>
        <v>-24</v>
      </c>
      <c r="N107" s="49"/>
      <c r="P107" s="46"/>
      <c r="Q107" s="46"/>
      <c r="R107" s="46"/>
      <c r="T107" s="42"/>
      <c r="U107" s="42"/>
      <c r="V107" s="46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</row>
    <row r="108" spans="1:66" ht="12.75" customHeight="1" x14ac:dyDescent="0.2">
      <c r="A108" s="1" t="s">
        <v>321</v>
      </c>
      <c r="B108" s="4">
        <f>_xll.ciqfunctions.udf.CIQ(InputTicker, "IQ_DEFERRED_DOMESTIC_TAXES",Input!D$2,Date,,,Ccy,Conv)</f>
        <v>3.5489999999999999</v>
      </c>
      <c r="C108" s="4">
        <f>_xll.ciqfunctions.udf.CIQ(InputTicker, "IQ_DEFERRED_DOMESTIC_TAXES",Input!E$2,Date,,,Ccy,Conv)</f>
        <v>20.957999999999998</v>
      </c>
      <c r="D108" s="4">
        <f>_xll.ciqfunctions.udf.CIQ(InputTicker, "IQ_DEFERRED_DOMESTIC_TAXES",Input!F$2,Date,,,Ccy,Conv)</f>
        <v>8.9559999999999995</v>
      </c>
      <c r="E108" s="4">
        <f>_xll.ciqfunctions.udf.CIQ(InputTicker, "IQ_DEFERRED_DOMESTIC_TAXES",Input!G$2,Date,,,Ccy,Conv)</f>
        <v>23.006</v>
      </c>
      <c r="F108" s="4">
        <f>_xll.ciqfunctions.udf.CIQ(InputTicker, "IQ_DEFERRED_DOMESTIC_TAXES",Input!H$2,Date,,,Ccy,Conv)</f>
        <v>65.433999999999997</v>
      </c>
      <c r="G108" s="4">
        <f>_xll.ciqfunctions.udf.CIQ(InputTicker, "IQ_DEFERRED_DOMESTIC_TAXES",Input!I$2,Date,,,Ccy,Conv)</f>
        <v>231.99799999999999</v>
      </c>
      <c r="H108" s="4">
        <f>_xll.ciqfunctions.udf.CIQ(InputTicker, "IQ_DEFERRED_DOMESTIC_TAXES",Input!J$2,Date,,,Ccy,Conv)</f>
        <v>-134.80000000000001</v>
      </c>
      <c r="I108" s="4">
        <f>_xll.ciqfunctions.udf.CIQ(InputTicker, "IQ_DEFERRED_DOMESTIC_TAXES",Input!K$2,Date,,,Ccy,Conv)</f>
        <v>-350</v>
      </c>
      <c r="J108" s="4">
        <f>_xll.ciqfunctions.udf.CIQ(InputTicker, "IQ_DEFERRED_DOMESTIC_TAXES",Input!L$2,Date,,,Ccy,Conv)</f>
        <v>-100</v>
      </c>
      <c r="K108" s="4">
        <f>_xll.ciqfunctions.udf.CIQ(InputTicker, "IQ_DEFERRED_DOMESTIC_TAXES",Input!M$2,Date,,,Ccy,Conv)</f>
        <v>-91</v>
      </c>
      <c r="L108" s="4">
        <f>_xll.ciqfunctions.udf.CIQ(InputTicker, "IQ_DEFERRED_DOMESTIC_TAXES",Input!N$2,Date,,,Ccy,Conv)</f>
        <v>35</v>
      </c>
      <c r="M108" s="4">
        <f>_xll.ciqfunctions.udf.CIQ(InputTicker, "IQ_DEFERRED_DOMESTIC_TAXES",Input!O$2,Date,,,Ccy,Conv)</f>
        <v>35</v>
      </c>
      <c r="N108" s="49"/>
      <c r="P108" s="46"/>
      <c r="Q108" s="46"/>
      <c r="R108" s="46"/>
      <c r="T108" s="42"/>
      <c r="U108" s="42"/>
      <c r="V108" s="46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</row>
    <row r="109" spans="1:66" ht="12.75" customHeight="1" x14ac:dyDescent="0.2">
      <c r="A109" s="1" t="s">
        <v>322</v>
      </c>
      <c r="B109" s="4">
        <f>_xll.ciqfunctions.udf.CIQ(InputTicker, "IQ_DEFERRED_FOREIGN_TAXES",Input!D$2,Date,,,Ccy,Conv)</f>
        <v>0</v>
      </c>
      <c r="C109" s="4">
        <f>_xll.ciqfunctions.udf.CIQ(InputTicker, "IQ_DEFERRED_FOREIGN_TAXES",Input!E$2,Date,,,Ccy,Conv)</f>
        <v>0</v>
      </c>
      <c r="D109" s="4">
        <f>_xll.ciqfunctions.udf.CIQ(InputTicker, "IQ_DEFERRED_FOREIGN_TAXES",Input!F$2,Date,,,Ccy,Conv)</f>
        <v>0</v>
      </c>
      <c r="E109" s="4">
        <f>_xll.ciqfunctions.udf.CIQ(InputTicker, "IQ_DEFERRED_FOREIGN_TAXES",Input!G$2,Date,,,Ccy,Conv)</f>
        <v>0</v>
      </c>
      <c r="F109" s="4">
        <f>_xll.ciqfunctions.udf.CIQ(InputTicker, "IQ_DEFERRED_FOREIGN_TAXES",Input!H$2,Date,,,Ccy,Conv)</f>
        <v>0</v>
      </c>
      <c r="G109" s="4">
        <f>_xll.ciqfunctions.udf.CIQ(InputTicker, "IQ_DEFERRED_FOREIGN_TAXES",Input!I$2,Date,,,Ccy,Conv)</f>
        <v>0</v>
      </c>
      <c r="H109" s="4">
        <f>_xll.ciqfunctions.udf.CIQ(InputTicker, "IQ_DEFERRED_FOREIGN_TAXES",Input!J$2,Date,,,Ccy,Conv)</f>
        <v>4.6029999999999998</v>
      </c>
      <c r="I109" s="4">
        <f>_xll.ciqfunctions.udf.CIQ(InputTicker, "IQ_DEFERRED_FOREIGN_TAXES",Input!K$2,Date,,,Ccy,Conv)</f>
        <v>-4</v>
      </c>
      <c r="J109" s="4">
        <f>_xll.ciqfunctions.udf.CIQ(InputTicker, "IQ_DEFERRED_FOREIGN_TAXES",Input!L$2,Date,,,Ccy,Conv)</f>
        <v>-1</v>
      </c>
      <c r="K109" s="4">
        <f>_xll.ciqfunctions.udf.CIQ(InputTicker, "IQ_DEFERRED_FOREIGN_TAXES",Input!M$2,Date,,,Ccy,Conv)</f>
        <v>0</v>
      </c>
      <c r="L109" s="4">
        <f>_xll.ciqfunctions.udf.CIQ(InputTicker, "IQ_DEFERRED_FOREIGN_TAXES",Input!N$2,Date,,,Ccy,Conv)</f>
        <v>0</v>
      </c>
      <c r="M109" s="4">
        <f>_xll.ciqfunctions.udf.CIQ(InputTicker, "IQ_DEFERRED_FOREIGN_TAXES",Input!O$2,Date,,,Ccy,Conv)</f>
        <v>0</v>
      </c>
      <c r="N109" s="49"/>
      <c r="P109" s="46"/>
      <c r="Q109" s="46"/>
      <c r="R109" s="46"/>
      <c r="T109" s="42"/>
      <c r="U109" s="42"/>
      <c r="V109" s="46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</row>
    <row r="110" spans="1:66" ht="12.75" customHeight="1" x14ac:dyDescent="0.2">
      <c r="A110" s="1" t="s">
        <v>433</v>
      </c>
      <c r="B110" s="4">
        <f>_xll.ciqfunctions.udf.CIQ(InputTicker, "IQ_DEFERRED_TAXES_TOTAL",Input!D$2,Date,,,Ccy,Conv)</f>
        <v>3.5489999999999999</v>
      </c>
      <c r="C110" s="4">
        <f>_xll.ciqfunctions.udf.CIQ(InputTicker, "IQ_DEFERRED_TAXES_TOTAL",Input!E$2,Date,,,Ccy,Conv)</f>
        <v>20.957999999999998</v>
      </c>
      <c r="D110" s="4">
        <f>_xll.ciqfunctions.udf.CIQ(InputTicker, "IQ_DEFERRED_TAXES_TOTAL",Input!F$2,Date,,,Ccy,Conv)</f>
        <v>8.9559999999999995</v>
      </c>
      <c r="E110" s="4">
        <f>_xll.ciqfunctions.udf.CIQ(InputTicker, "IQ_DEFERRED_TAXES_TOTAL",Input!G$2,Date,,,Ccy,Conv)</f>
        <v>23.006</v>
      </c>
      <c r="F110" s="4">
        <f>_xll.ciqfunctions.udf.CIQ(InputTicker, "IQ_DEFERRED_TAXES_TOTAL",Input!H$2,Date,,,Ccy,Conv)</f>
        <v>65.433999999999997</v>
      </c>
      <c r="G110" s="4">
        <f>_xll.ciqfunctions.udf.CIQ(InputTicker, "IQ_DEFERRED_TAXES_TOTAL",Input!I$2,Date,,,Ccy,Conv)</f>
        <v>231.99799999999999</v>
      </c>
      <c r="H110" s="4">
        <f>_xll.ciqfunctions.udf.CIQ(InputTicker, "IQ_DEFERRED_TAXES_TOTAL",Input!J$2,Date,,,Ccy,Conv)</f>
        <v>-130.197</v>
      </c>
      <c r="I110" s="4">
        <f>_xll.ciqfunctions.udf.CIQ(InputTicker, "IQ_DEFERRED_TAXES_TOTAL",Input!K$2,Date,,,Ccy,Conv)</f>
        <v>-354</v>
      </c>
      <c r="J110" s="4">
        <f>_xll.ciqfunctions.udf.CIQ(InputTicker, "IQ_DEFERRED_TAXES_TOTAL",Input!L$2,Date,,,Ccy,Conv)</f>
        <v>-101</v>
      </c>
      <c r="K110" s="4">
        <f>_xll.ciqfunctions.udf.CIQ(InputTicker, "IQ_DEFERRED_TAXES_TOTAL",Input!M$2,Date,,,Ccy,Conv)</f>
        <v>-91</v>
      </c>
      <c r="L110" s="4">
        <f>_xll.ciqfunctions.udf.CIQ(InputTicker, "IQ_DEFERRED_TAXES_TOTAL",Input!N$2,Date,,,Ccy,Conv)</f>
        <v>35</v>
      </c>
      <c r="M110" s="4">
        <f>_xll.ciqfunctions.udf.CIQ(InputTicker, "IQ_DEFERRED_TAXES_TOTAL",Input!O$2,Date,,,Ccy,Conv)</f>
        <v>35</v>
      </c>
      <c r="N110" s="49"/>
      <c r="P110" s="46"/>
      <c r="Q110" s="46"/>
      <c r="R110" s="46"/>
      <c r="T110" s="42"/>
      <c r="U110" s="42"/>
      <c r="V110" s="46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</row>
    <row r="111" spans="1:66" ht="12.75" customHeight="1" x14ac:dyDescent="0.2">
      <c r="A111" s="1" t="s">
        <v>458</v>
      </c>
      <c r="B111" s="4">
        <f>_xll.ciqfunctions.udf.CIQ(InputTicker, "IQ_NONRECURRING_INCOME_TAXES",Input!D$2,Date,,,Ccy,Conv)</f>
        <v>0</v>
      </c>
      <c r="C111" s="4">
        <f>_xll.ciqfunctions.udf.CIQ(InputTicker, "IQ_NONRECURRING_INCOME_TAXES",Input!E$2,Date,,,Ccy,Conv)</f>
        <v>0</v>
      </c>
      <c r="D111" s="4">
        <f>_xll.ciqfunctions.udf.CIQ(InputTicker, "IQ_NONRECURRING_INCOME_TAXES",Input!F$2,Date,,,Ccy,Conv)</f>
        <v>-9.1069999999999993</v>
      </c>
      <c r="E111" s="4">
        <f>_xll.ciqfunctions.udf.CIQ(InputTicker, "IQ_NONRECURRING_INCOME_TAXES",Input!G$2,Date,,,Ccy,Conv)</f>
        <v>-27.908000000000001</v>
      </c>
      <c r="F111" s="4">
        <f>_xll.ciqfunctions.udf.CIQ(InputTicker, "IQ_NONRECURRING_INCOME_TAXES",Input!H$2,Date,,,Ccy,Conv)</f>
        <v>0</v>
      </c>
      <c r="G111" s="4">
        <f>_xll.ciqfunctions.udf.CIQ(InputTicker, "IQ_NONRECURRING_INCOME_TAXES",Input!I$2,Date,,,Ccy,Conv)</f>
        <v>-76.766999999999996</v>
      </c>
      <c r="H111" s="4">
        <f>_xll.ciqfunctions.udf.CIQ(InputTicker, "IQ_NONRECURRING_INCOME_TAXES",Input!J$2,Date,,,Ccy,Conv)</f>
        <v>0</v>
      </c>
      <c r="I111" s="4">
        <f>_xll.ciqfunctions.udf.CIQ(InputTicker, "IQ_NONRECURRING_INCOME_TAXES",Input!K$2,Date,,,Ccy,Conv)</f>
        <v>0</v>
      </c>
      <c r="J111" s="4">
        <f>_xll.ciqfunctions.udf.CIQ(InputTicker, "IQ_NONRECURRING_INCOME_TAXES",Input!L$2,Date,,,Ccy,Conv)</f>
        <v>0</v>
      </c>
      <c r="K111" s="4">
        <f>_xll.ciqfunctions.udf.CIQ(InputTicker, "IQ_NONRECURRING_INCOME_TAXES",Input!M$2,Date,,,Ccy,Conv)</f>
        <v>0</v>
      </c>
      <c r="L111" s="4">
        <f>_xll.ciqfunctions.udf.CIQ(InputTicker, "IQ_NONRECURRING_INCOME_TAXES",Input!N$2,Date,,,Ccy,Conv)</f>
        <v>0</v>
      </c>
      <c r="M111" s="4">
        <f>_xll.ciqfunctions.udf.CIQ(InputTicker, "IQ_NONRECURRING_INCOME_TAXES",Input!O$2,Date,,,Ccy,Conv)</f>
        <v>0</v>
      </c>
      <c r="N111" s="49"/>
      <c r="P111" s="46"/>
      <c r="Q111" s="46"/>
      <c r="R111" s="46"/>
      <c r="T111" s="42"/>
      <c r="U111" s="42"/>
      <c r="V111" s="46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</row>
    <row r="112" spans="1:66" ht="12.75" customHeight="1" x14ac:dyDescent="0.2">
      <c r="A112" s="1" t="s">
        <v>323</v>
      </c>
      <c r="B112" s="4">
        <f>_xll.ciqfunctions.udf.CIQ(InputTicker, "IQ_NI_NORM",Input!D$2,Date,,,Ccy,Conv)</f>
        <v>237.16374999999999</v>
      </c>
      <c r="C112" s="4">
        <f>_xll.ciqfunctions.udf.CIQ(InputTicker, "IQ_NI_NORM",Input!E$2,Date,,,Ccy,Conv)</f>
        <v>268.41063000000003</v>
      </c>
      <c r="D112" s="4">
        <f>_xll.ciqfunctions.udf.CIQ(InputTicker, "IQ_NI_NORM",Input!F$2,Date,,,Ccy,Conv)</f>
        <v>268.77249999999998</v>
      </c>
      <c r="E112" s="4">
        <f>_xll.ciqfunctions.udf.CIQ(InputTicker, "IQ_NI_NORM",Input!G$2,Date,,,Ccy,Conv)</f>
        <v>322.12688000000003</v>
      </c>
      <c r="F112" s="4">
        <f>_xll.ciqfunctions.udf.CIQ(InputTicker, "IQ_NI_NORM",Input!H$2,Date,,,Ccy,Conv)</f>
        <v>363.05313000000001</v>
      </c>
      <c r="G112" s="4">
        <f>_xll.ciqfunctions.udf.CIQ(InputTicker, "IQ_NI_NORM",Input!I$2,Date,,,Ccy,Conv)</f>
        <v>414.02438000000001</v>
      </c>
      <c r="H112" s="4">
        <f>_xll.ciqfunctions.udf.CIQ(InputTicker, "IQ_NI_NORM",Input!J$2,Date,,,Ccy,Conv)</f>
        <v>377.68988000000002</v>
      </c>
      <c r="I112" s="4">
        <f>_xll.ciqfunctions.udf.CIQ(InputTicker, "IQ_NI_NORM",Input!K$2,Date,,,Ccy,Conv)</f>
        <v>430.375</v>
      </c>
      <c r="J112" s="4">
        <f>_xll.ciqfunctions.udf.CIQ(InputTicker, "IQ_NI_NORM",Input!L$2,Date,,,Ccy,Conv)</f>
        <v>550.625</v>
      </c>
      <c r="K112" s="4">
        <f>_xll.ciqfunctions.udf.CIQ(InputTicker, "IQ_NI_NORM",Input!M$2,Date,,,Ccy,Conv)</f>
        <v>690</v>
      </c>
      <c r="L112" s="4">
        <f>_xll.ciqfunctions.udf.CIQ(InputTicker, "IQ_NI_NORM",Input!N$2,Date,,,Ccy,Conv)</f>
        <v>573.125</v>
      </c>
      <c r="M112" s="4">
        <f>_xll.ciqfunctions.udf.CIQ(InputTicker, "IQ_NI_NORM",Input!O$2,Date,,,Ccy,Conv)</f>
        <v>573.125</v>
      </c>
      <c r="N112" s="49"/>
      <c r="P112" s="46"/>
      <c r="Q112" s="46"/>
      <c r="R112" s="46"/>
      <c r="T112" s="42"/>
      <c r="U112" s="42"/>
      <c r="V112" s="46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</row>
    <row r="113" spans="1:66" ht="12.75" customHeight="1" x14ac:dyDescent="0.2">
      <c r="A113" s="1" t="s">
        <v>348</v>
      </c>
      <c r="B113" s="4">
        <f>_xll.ciqfunctions.udf.CIQ(InputTicker, "IQ_DILUT_NI",Input!D$2,Date,,,Ccy,Conv)</f>
        <v>290.596</v>
      </c>
      <c r="C113" s="4">
        <f>_xll.ciqfunctions.udf.CIQ(InputTicker, "IQ_DILUT_NI",Input!E$2,Date,,,Ccy,Conv)</f>
        <v>258.51400000000001</v>
      </c>
      <c r="D113" s="4">
        <f>_xll.ciqfunctions.udf.CIQ(InputTicker, "IQ_DILUT_NI",Input!F$2,Date,,,Ccy,Conv)</f>
        <v>299.83699999999999</v>
      </c>
      <c r="E113" s="4">
        <f>_xll.ciqfunctions.udf.CIQ(InputTicker, "IQ_DILUT_NI",Input!G$2,Date,,,Ccy,Conv)</f>
        <v>416.67500000000001</v>
      </c>
      <c r="F113" s="4">
        <f>_xll.ciqfunctions.udf.CIQ(InputTicker, "IQ_DILUT_NI",Input!H$2,Date,,,Ccy,Conv)</f>
        <v>481.09199999999998</v>
      </c>
      <c r="G113" s="4">
        <f>_xll.ciqfunctions.udf.CIQ(InputTicker, "IQ_DILUT_NI",Input!I$2,Date,,,Ccy,Conv)</f>
        <v>605.45500000000004</v>
      </c>
      <c r="H113" s="4">
        <f>_xll.ciqfunctions.udf.CIQ(InputTicker, "IQ_DILUT_NI",Input!J$2,Date,,,Ccy,Conv)</f>
        <v>463.63499999999999</v>
      </c>
      <c r="I113" s="4">
        <f>_xll.ciqfunctions.udf.CIQ(InputTicker, "IQ_DILUT_NI",Input!K$2,Date,,,Ccy,Conv)</f>
        <v>269.41437000000002</v>
      </c>
      <c r="J113" s="4">
        <f>_xll.ciqfunctions.udf.CIQ(InputTicker, "IQ_DILUT_NI",Input!L$2,Date,,,Ccy,Conv)</f>
        <v>600.44500000000005</v>
      </c>
      <c r="K113" s="4">
        <f>_xll.ciqfunctions.udf.CIQ(InputTicker, "IQ_DILUT_NI",Input!M$2,Date,,,Ccy,Conv)</f>
        <v>930.10551999999996</v>
      </c>
      <c r="L113" s="4">
        <f>_xll.ciqfunctions.udf.CIQ(InputTicker, "IQ_DILUT_NI",Input!N$2,Date,,,Ccy,Conv)</f>
        <v>844.38854000000003</v>
      </c>
      <c r="M113" s="4">
        <f>_xll.ciqfunctions.udf.CIQ(InputTicker, "IQ_DILUT_NI",Input!O$2,Date,,,Ccy,Conv)</f>
        <v>844.38854000000003</v>
      </c>
      <c r="N113" s="49"/>
      <c r="P113" s="46"/>
      <c r="Q113" s="46"/>
      <c r="R113" s="46"/>
      <c r="T113" s="42"/>
      <c r="U113" s="42"/>
      <c r="V113" s="46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</row>
    <row r="114" spans="1:66" ht="12.75" customHeight="1" x14ac:dyDescent="0.2">
      <c r="A114" s="1" t="s">
        <v>310</v>
      </c>
      <c r="B114" s="4">
        <f>_xll.ciqfunctions.udf.CIQ(InputTicker, "IQ_CAPITALIZED_INTEREST",Input!D$2,Date,,,Ccy,Conv)</f>
        <v>0</v>
      </c>
      <c r="C114" s="4">
        <f>_xll.ciqfunctions.udf.CIQ(InputTicker, "IQ_CAPITALIZED_INTEREST",Input!E$2,Date,,,Ccy,Conv)</f>
        <v>0</v>
      </c>
      <c r="D114" s="4">
        <f>_xll.ciqfunctions.udf.CIQ(InputTicker, "IQ_CAPITALIZED_INTEREST",Input!F$2,Date,,,Ccy,Conv)</f>
        <v>0</v>
      </c>
      <c r="E114" s="4">
        <f>_xll.ciqfunctions.udf.CIQ(InputTicker, "IQ_CAPITALIZED_INTEREST",Input!G$2,Date,,,Ccy,Conv)</f>
        <v>0</v>
      </c>
      <c r="F114" s="4">
        <f>_xll.ciqfunctions.udf.CIQ(InputTicker, "IQ_CAPITALIZED_INTEREST",Input!H$2,Date,,,Ccy,Conv)</f>
        <v>0</v>
      </c>
      <c r="G114" s="4">
        <f>_xll.ciqfunctions.udf.CIQ(InputTicker, "IQ_CAPITALIZED_INTEREST",Input!I$2,Date,,,Ccy,Conv)</f>
        <v>0</v>
      </c>
      <c r="H114" s="4">
        <f>_xll.ciqfunctions.udf.CIQ(InputTicker, "IQ_CAPITALIZED_INTEREST",Input!J$2,Date,,,Ccy,Conv)</f>
        <v>0</v>
      </c>
      <c r="I114" s="4">
        <f>_xll.ciqfunctions.udf.CIQ(InputTicker, "IQ_CAPITALIZED_INTEREST",Input!K$2,Date,,,Ccy,Conv)</f>
        <v>0</v>
      </c>
      <c r="J114" s="4">
        <f>_xll.ciqfunctions.udf.CIQ(InputTicker, "IQ_CAPITALIZED_INTEREST",Input!L$2,Date,,,Ccy,Conv)</f>
        <v>0</v>
      </c>
      <c r="K114" s="4">
        <f>_xll.ciqfunctions.udf.CIQ(InputTicker, "IQ_CAPITALIZED_INTEREST",Input!M$2,Date,,,Ccy,Conv)</f>
        <v>0</v>
      </c>
      <c r="L114" s="4">
        <f>_xll.ciqfunctions.udf.CIQ(InputTicker, "IQ_CAPITALIZED_INTEREST",Input!N$2,Date,,,Ccy,Conv)</f>
        <v>0</v>
      </c>
      <c r="M114" s="4">
        <f>_xll.ciqfunctions.udf.CIQ(InputTicker, "IQ_CAPITALIZED_INTEREST",Input!O$2,Date,,,Ccy,Conv)</f>
        <v>0</v>
      </c>
      <c r="N114" s="49"/>
      <c r="P114" s="46"/>
      <c r="Q114" s="46"/>
      <c r="R114" s="46"/>
      <c r="T114" s="42"/>
      <c r="U114" s="42"/>
      <c r="V114" s="46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</row>
    <row r="115" spans="1:66" ht="12.75" customHeight="1" x14ac:dyDescent="0.2">
      <c r="A115" s="1" t="s">
        <v>324</v>
      </c>
      <c r="B115" s="4">
        <f>_xll.ciqfunctions.udf.CIQ(InputTicker, "IQ_INT_EXP_LTD",Input!D$2,Date,,,Ccy,Conv)</f>
        <v>62.8</v>
      </c>
      <c r="C115" s="4">
        <f>_xll.ciqfunctions.udf.CIQ(InputTicker, "IQ_INT_EXP_LTD",Input!E$2,Date,,,Ccy,Conv)</f>
        <v>57.667000000000002</v>
      </c>
      <c r="D115" s="4">
        <f>_xll.ciqfunctions.udf.CIQ(InputTicker, "IQ_INT_EXP_LTD",Input!F$2,Date,,,Ccy,Conv)</f>
        <v>74.275999999999996</v>
      </c>
      <c r="E115" s="4">
        <f>_xll.ciqfunctions.udf.CIQ(InputTicker, "IQ_INT_EXP_LTD",Input!G$2,Date,,,Ccy,Conv)</f>
        <v>86.21</v>
      </c>
      <c r="F115" s="4">
        <f>_xll.ciqfunctions.udf.CIQ(InputTicker, "IQ_INT_EXP_LTD",Input!H$2,Date,,,Ccy,Conv)</f>
        <v>90.194999999999993</v>
      </c>
      <c r="G115" s="4">
        <f>_xll.ciqfunctions.udf.CIQ(InputTicker, "IQ_INT_EXP_LTD",Input!I$2,Date,,,Ccy,Conv)</f>
        <v>60.712000000000003</v>
      </c>
      <c r="H115" s="4">
        <f>_xll.ciqfunctions.udf.CIQ(InputTicker, "IQ_INT_EXP_LTD",Input!J$2,Date,,,Ccy,Conv)</f>
        <v>74.816999999999993</v>
      </c>
      <c r="I115" s="4">
        <f>_xll.ciqfunctions.udf.CIQ(InputTicker, "IQ_INT_EXP_LTD",Input!K$2,Date,,,Ccy,Conv)</f>
        <v>120</v>
      </c>
      <c r="J115" s="4">
        <f>_xll.ciqfunctions.udf.CIQ(InputTicker, "IQ_INT_EXP_LTD",Input!L$2,Date,,,Ccy,Conv)</f>
        <v>187</v>
      </c>
      <c r="K115" s="4">
        <f>_xll.ciqfunctions.udf.CIQ(InputTicker, "IQ_INT_EXP_LTD",Input!M$2,Date,,,Ccy,Conv)</f>
        <v>195</v>
      </c>
      <c r="L115" s="4">
        <f>_xll.ciqfunctions.udf.CIQ(InputTicker, "IQ_INT_EXP_LTD",Input!N$2,Date,,,Ccy,Conv)</f>
        <v>213</v>
      </c>
      <c r="M115" s="4">
        <f>_xll.ciqfunctions.udf.CIQ(InputTicker, "IQ_INT_EXP_LTD",Input!O$2,Date,,,Ccy,Conv)</f>
        <v>213</v>
      </c>
      <c r="N115" s="49"/>
      <c r="P115" s="46"/>
      <c r="Q115" s="46"/>
      <c r="R115" s="46"/>
      <c r="T115" s="42"/>
      <c r="U115" s="42"/>
      <c r="V115" s="46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</row>
    <row r="116" spans="1:66" ht="12.75" customHeight="1" x14ac:dyDescent="0.2">
      <c r="A116" s="1" t="s">
        <v>459</v>
      </c>
      <c r="B116" s="4">
        <f>_xll.ciqfunctions.udf.CIQ(InputTicker, "IQ_INTEREST_EXP_LEASE_LIABILITY_DEBT",Input!D$2,Date,,,Ccy,Conv)</f>
        <v>0</v>
      </c>
      <c r="C116" s="4">
        <f>_xll.ciqfunctions.udf.CIQ(InputTicker, "IQ_INTEREST_EXP_LEASE_LIABILITY_DEBT",Input!E$2,Date,,,Ccy,Conv)</f>
        <v>0</v>
      </c>
      <c r="D116" s="4">
        <f>_xll.ciqfunctions.udf.CIQ(InputTicker, "IQ_INTEREST_EXP_LEASE_LIABILITY_DEBT",Input!F$2,Date,,,Ccy,Conv)</f>
        <v>0</v>
      </c>
      <c r="E116" s="4">
        <f>_xll.ciqfunctions.udf.CIQ(InputTicker, "IQ_INTEREST_EXP_LEASE_LIABILITY_DEBT",Input!G$2,Date,,,Ccy,Conv)</f>
        <v>0</v>
      </c>
      <c r="F116" s="4">
        <f>_xll.ciqfunctions.udf.CIQ(InputTicker, "IQ_INTEREST_EXP_LEASE_LIABILITY_DEBT",Input!H$2,Date,,,Ccy,Conv)</f>
        <v>0</v>
      </c>
      <c r="G116" s="4">
        <f>_xll.ciqfunctions.udf.CIQ(InputTicker, "IQ_INTEREST_EXP_LEASE_LIABILITY_DEBT",Input!I$2,Date,,,Ccy,Conv)</f>
        <v>0</v>
      </c>
      <c r="H116" s="4">
        <f>_xll.ciqfunctions.udf.CIQ(InputTicker, "IQ_INTEREST_EXP_LEASE_LIABILITY_DEBT",Input!J$2,Date,,,Ccy,Conv)</f>
        <v>0</v>
      </c>
      <c r="I116" s="4">
        <f>_xll.ciqfunctions.udf.CIQ(InputTicker, "IQ_INTEREST_EXP_LEASE_LIABILITY_DEBT",Input!K$2,Date,,,Ccy,Conv)</f>
        <v>0</v>
      </c>
      <c r="J116" s="4">
        <f>_xll.ciqfunctions.udf.CIQ(InputTicker, "IQ_INTEREST_EXP_LEASE_LIABILITY_DEBT",Input!L$2,Date,,,Ccy,Conv)</f>
        <v>0</v>
      </c>
      <c r="K116" s="4">
        <f>_xll.ciqfunctions.udf.CIQ(InputTicker, "IQ_INTEREST_EXP_LEASE_LIABILITY_DEBT",Input!M$2,Date,,,Ccy,Conv)</f>
        <v>0</v>
      </c>
      <c r="L116" s="4">
        <f>_xll.ciqfunctions.udf.CIQ(InputTicker, "IQ_INTEREST_EXP_LEASE_LIABILITY_DEBT",Input!N$2,Date,,,Ccy,Conv)</f>
        <v>0</v>
      </c>
      <c r="M116" s="4">
        <f>_xll.ciqfunctions.udf.CIQ(InputTicker, "IQ_INTEREST_EXP_LEASE_LIABILITY_DEBT",Input!O$2,Date,,,Ccy,Conv)</f>
        <v>0</v>
      </c>
      <c r="N116" s="49"/>
      <c r="P116" s="46"/>
      <c r="Q116" s="46"/>
      <c r="R116" s="46"/>
      <c r="T116" s="42"/>
      <c r="U116" s="42"/>
      <c r="V116" s="46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</row>
    <row r="117" spans="1:66" ht="12.75" customHeight="1" x14ac:dyDescent="0.2">
      <c r="A117" s="1" t="s">
        <v>328</v>
      </c>
      <c r="B117" s="4">
        <f>_xll.ciqfunctions.udf.CIQ(InputTicker, "IQ_INT_EXP_INCL_CAP",Input!D$2,Date,,,Ccy,Conv)</f>
        <v>70.814999999999998</v>
      </c>
      <c r="C117" s="4">
        <f>_xll.ciqfunctions.udf.CIQ(InputTicker, "IQ_INT_EXP_INCL_CAP",Input!E$2,Date,,,Ccy,Conv)</f>
        <v>62.298000000000002</v>
      </c>
      <c r="D117" s="4">
        <f>_xll.ciqfunctions.udf.CIQ(InputTicker, "IQ_INT_EXP_INCL_CAP",Input!F$2,Date,,,Ccy,Conv)</f>
        <v>82.269000000000005</v>
      </c>
      <c r="E117" s="4">
        <f>_xll.ciqfunctions.udf.CIQ(InputTicker, "IQ_INT_EXP_INCL_CAP",Input!G$2,Date,,,Ccy,Conv)</f>
        <v>89.516999999999996</v>
      </c>
      <c r="F117" s="4">
        <f>_xll.ciqfunctions.udf.CIQ(InputTicker, "IQ_INT_EXP_INCL_CAP",Input!H$2,Date,,,Ccy,Conv)</f>
        <v>96.96</v>
      </c>
      <c r="G117" s="4">
        <f>_xll.ciqfunctions.udf.CIQ(InputTicker, "IQ_INT_EXP_INCL_CAP",Input!I$2,Date,,,Ccy,Conv)</f>
        <v>81.27</v>
      </c>
      <c r="H117" s="4">
        <f>_xll.ciqfunctions.udf.CIQ(InputTicker, "IQ_INT_EXP_INCL_CAP",Input!J$2,Date,,,Ccy,Conv)</f>
        <v>92.352000000000004</v>
      </c>
      <c r="I117" s="4">
        <f>_xll.ciqfunctions.udf.CIQ(InputTicker, "IQ_INT_EXP_INCL_CAP",Input!K$2,Date,,,Ccy,Conv)</f>
        <v>110</v>
      </c>
      <c r="J117" s="4">
        <f>_xll.ciqfunctions.udf.CIQ(InputTicker, "IQ_INT_EXP_INCL_CAP",Input!L$2,Date,,,Ccy,Conv)</f>
        <v>147</v>
      </c>
      <c r="K117" s="4">
        <f>_xll.ciqfunctions.udf.CIQ(InputTicker, "IQ_INT_EXP_INCL_CAP",Input!M$2,Date,,,Ccy,Conv)</f>
        <v>168</v>
      </c>
      <c r="L117" s="4">
        <f>_xll.ciqfunctions.udf.CIQ(InputTicker, "IQ_INT_EXP_INCL_CAP",Input!N$2,Date,,,Ccy,Conv)</f>
        <v>184</v>
      </c>
      <c r="M117" s="4">
        <f>_xll.ciqfunctions.udf.CIQ(InputTicker, "IQ_INT_EXP_INCL_CAP",Input!O$2,Date,,,Ccy,Conv)</f>
        <v>184</v>
      </c>
      <c r="N117" s="49"/>
      <c r="P117" s="46"/>
      <c r="Q117" s="46"/>
      <c r="R117" s="46"/>
      <c r="T117" s="42"/>
      <c r="U117" s="42"/>
      <c r="V117" s="46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</row>
    <row r="118" spans="1:66" ht="12.75" customHeight="1" x14ac:dyDescent="0.2">
      <c r="A118" s="1" t="s">
        <v>325</v>
      </c>
      <c r="B118" s="4">
        <f>_xll.ciqfunctions.udf.CIQ(InputTicker, "IQ_NONCASH_PENSION_EXP",Input!D$2,Date,,,Ccy,Conv)</f>
        <v>0.7</v>
      </c>
      <c r="C118" s="4">
        <f>_xll.ciqfunctions.udf.CIQ(InputTicker, "IQ_NONCASH_PENSION_EXP",Input!E$2,Date,,,Ccy,Conv)</f>
        <v>0.7</v>
      </c>
      <c r="D118" s="4">
        <f>_xll.ciqfunctions.udf.CIQ(InputTicker, "IQ_NONCASH_PENSION_EXP",Input!F$2,Date,,,Ccy,Conv)</f>
        <v>0.9</v>
      </c>
      <c r="E118" s="4">
        <f>_xll.ciqfunctions.udf.CIQ(InputTicker, "IQ_NONCASH_PENSION_EXP",Input!G$2,Date,,,Ccy,Conv)</f>
        <v>0.9</v>
      </c>
      <c r="F118" s="4">
        <f>_xll.ciqfunctions.udf.CIQ(InputTicker, "IQ_NONCASH_PENSION_EXP",Input!H$2,Date,,,Ccy,Conv)</f>
        <v>0</v>
      </c>
      <c r="G118" s="4">
        <f>_xll.ciqfunctions.udf.CIQ(InputTicker, "IQ_NONCASH_PENSION_EXP",Input!I$2,Date,,,Ccy,Conv)</f>
        <v>0</v>
      </c>
      <c r="H118" s="4">
        <f>_xll.ciqfunctions.udf.CIQ(InputTicker, "IQ_NONCASH_PENSION_EXP",Input!J$2,Date,,,Ccy,Conv)</f>
        <v>0</v>
      </c>
      <c r="I118" s="4">
        <f>_xll.ciqfunctions.udf.CIQ(InputTicker, "IQ_NONCASH_PENSION_EXP",Input!K$2,Date,,,Ccy,Conv)</f>
        <v>0</v>
      </c>
      <c r="J118" s="4">
        <f>_xll.ciqfunctions.udf.CIQ(InputTicker, "IQ_NONCASH_PENSION_EXP",Input!L$2,Date,,,Ccy,Conv)</f>
        <v>0</v>
      </c>
      <c r="K118" s="4">
        <f>_xll.ciqfunctions.udf.CIQ(InputTicker, "IQ_NONCASH_PENSION_EXP",Input!M$2,Date,,,Ccy,Conv)</f>
        <v>0</v>
      </c>
      <c r="L118" s="4">
        <f>_xll.ciqfunctions.udf.CIQ(InputTicker, "IQ_NONCASH_PENSION_EXP",Input!N$2,Date,,,Ccy,Conv)</f>
        <v>0</v>
      </c>
      <c r="M118" s="4">
        <f>_xll.ciqfunctions.udf.CIQ(InputTicker, "IQ_NONCASH_PENSION_EXP",Input!O$2,Date,,,Ccy,Conv)</f>
        <v>0</v>
      </c>
      <c r="N118" s="49"/>
      <c r="P118" s="46"/>
      <c r="Q118" s="46"/>
      <c r="R118" s="46"/>
      <c r="T118" s="42"/>
      <c r="U118" s="42"/>
      <c r="V118" s="46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</row>
    <row r="119" spans="1:66" ht="12.75" customHeight="1" x14ac:dyDescent="0.2">
      <c r="A119" s="1" t="s">
        <v>326</v>
      </c>
      <c r="B119" s="4">
        <f>_xll.ciqfunctions.udf.CIQ(InputTicker, "IQ_DA_EBITDA",Input!D$2,Date,,,Ccy,Conv)</f>
        <v>61.536000000000001</v>
      </c>
      <c r="C119" s="4">
        <f>_xll.ciqfunctions.udf.CIQ(InputTicker, "IQ_DA_EBITDA",Input!E$2,Date,,,Ccy,Conv)</f>
        <v>59.543999999999997</v>
      </c>
      <c r="D119" s="4">
        <f>_xll.ciqfunctions.udf.CIQ(InputTicker, "IQ_DA_EBITDA",Input!F$2,Date,,,Ccy,Conv)</f>
        <v>64.756</v>
      </c>
      <c r="E119" s="4">
        <f>_xll.ciqfunctions.udf.CIQ(InputTicker, "IQ_DA_EBITDA",Input!G$2,Date,,,Ccy,Conv)</f>
        <v>68.575000000000003</v>
      </c>
      <c r="F119" s="4">
        <f>_xll.ciqfunctions.udf.CIQ(InputTicker, "IQ_DA_EBITDA",Input!H$2,Date,,,Ccy,Conv)</f>
        <v>81.081000000000003</v>
      </c>
      <c r="G119" s="4">
        <f>_xll.ciqfunctions.udf.CIQ(InputTicker, "IQ_DA_EBITDA",Input!I$2,Date,,,Ccy,Conv)</f>
        <v>84.314999999999998</v>
      </c>
      <c r="H119" s="4">
        <f>_xll.ciqfunctions.udf.CIQ(InputTicker, "IQ_DA_EBITDA",Input!J$2,Date,,,Ccy,Conv)</f>
        <v>145.74700000000001</v>
      </c>
      <c r="I119" s="4">
        <f>_xll.ciqfunctions.udf.CIQ(InputTicker, "IQ_DA_EBITDA",Input!K$2,Date,,,Ccy,Conv)</f>
        <v>165</v>
      </c>
      <c r="J119" s="4">
        <f>_xll.ciqfunctions.udf.CIQ(InputTicker, "IQ_DA_EBITDA",Input!L$2,Date,,,Ccy,Conv)</f>
        <v>164</v>
      </c>
      <c r="K119" s="4">
        <f>_xll.ciqfunctions.udf.CIQ(InputTicker, "IQ_DA_EBITDA",Input!M$2,Date,,,Ccy,Conv)</f>
        <v>165</v>
      </c>
      <c r="L119" s="4">
        <f>_xll.ciqfunctions.udf.CIQ(InputTicker, "IQ_DA_EBITDA",Input!N$2,Date,,,Ccy,Conv)</f>
        <v>163</v>
      </c>
      <c r="M119" s="4">
        <f>_xll.ciqfunctions.udf.CIQ(InputTicker, "IQ_DA_EBITDA",Input!O$2,Date,,,Ccy,Conv)</f>
        <v>163</v>
      </c>
      <c r="N119" s="49"/>
      <c r="P119" s="46"/>
      <c r="Q119" s="46"/>
      <c r="R119" s="46"/>
      <c r="T119" s="42"/>
      <c r="U119" s="42"/>
      <c r="V119" s="46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</row>
    <row r="120" spans="1:66" ht="12.75" customHeight="1" x14ac:dyDescent="0.2">
      <c r="A120" s="1" t="s">
        <v>327</v>
      </c>
      <c r="B120" s="4">
        <f>_xll.ciqfunctions.udf.CIQ(InputTicker, "IQ_DISTRIBUTABLE_CASH",Input!D$2,Date,,,Ccy,Conv)</f>
        <v>0</v>
      </c>
      <c r="C120" s="4">
        <f>_xll.ciqfunctions.udf.CIQ(InputTicker, "IQ_DISTRIBUTABLE_CASH",Input!E$2,Date,,,Ccy,Conv)</f>
        <v>0</v>
      </c>
      <c r="D120" s="4">
        <f>_xll.ciqfunctions.udf.CIQ(InputTicker, "IQ_DISTRIBUTABLE_CASH",Input!F$2,Date,,,Ccy,Conv)</f>
        <v>0</v>
      </c>
      <c r="E120" s="4">
        <f>_xll.ciqfunctions.udf.CIQ(InputTicker, "IQ_DISTRIBUTABLE_CASH",Input!G$2,Date,,,Ccy,Conv)</f>
        <v>0</v>
      </c>
      <c r="F120" s="4">
        <f>_xll.ciqfunctions.udf.CIQ(InputTicker, "IQ_DISTRIBUTABLE_CASH",Input!H$2,Date,,,Ccy,Conv)</f>
        <v>0</v>
      </c>
      <c r="G120" s="4">
        <f>_xll.ciqfunctions.udf.CIQ(InputTicker, "IQ_DISTRIBUTABLE_CASH",Input!I$2,Date,,,Ccy,Conv)</f>
        <v>0</v>
      </c>
      <c r="H120" s="4">
        <f>_xll.ciqfunctions.udf.CIQ(InputTicker, "IQ_DISTRIBUTABLE_CASH",Input!J$2,Date,,,Ccy,Conv)</f>
        <v>0</v>
      </c>
      <c r="I120" s="4">
        <f>_xll.ciqfunctions.udf.CIQ(InputTicker, "IQ_DISTRIBUTABLE_CASH",Input!K$2,Date,,,Ccy,Conv)</f>
        <v>0</v>
      </c>
      <c r="J120" s="4">
        <f>_xll.ciqfunctions.udf.CIQ(InputTicker, "IQ_DISTRIBUTABLE_CASH",Input!L$2,Date,,,Ccy,Conv)</f>
        <v>0</v>
      </c>
      <c r="K120" s="4">
        <f>_xll.ciqfunctions.udf.CIQ(InputTicker, "IQ_DISTRIBUTABLE_CASH",Input!M$2,Date,,,Ccy,Conv)</f>
        <v>0</v>
      </c>
      <c r="L120" s="4">
        <f>_xll.ciqfunctions.udf.CIQ(InputTicker, "IQ_DISTRIBUTABLE_CASH",Input!N$2,Date,,,Ccy,Conv)</f>
        <v>0</v>
      </c>
      <c r="M120" s="4">
        <f>_xll.ciqfunctions.udf.CIQ(InputTicker, "IQ_DISTRIBUTABLE_CASH",Input!O$2,Date,,,Ccy,Conv)</f>
        <v>0</v>
      </c>
      <c r="N120" s="49"/>
      <c r="P120" s="46"/>
      <c r="Q120" s="46"/>
      <c r="R120" s="46"/>
      <c r="T120" s="42"/>
      <c r="U120" s="42"/>
      <c r="V120" s="46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</row>
    <row r="121" spans="1:66" ht="12.75" customHeight="1" x14ac:dyDescent="0.2">
      <c r="A121" s="1" t="s">
        <v>436</v>
      </c>
      <c r="B121" s="4">
        <f>_xll.ciqfunctions.udf.CIQ(InputTicker, "IQ_DISTRIBUTABLE_CASH_STANDARDIZED",Input!D$2,Date,,,Ccy,Conv)</f>
        <v>0</v>
      </c>
      <c r="C121" s="4">
        <f>_xll.ciqfunctions.udf.CIQ(InputTicker, "IQ_DISTRIBUTABLE_CASH_STANDARDIZED",Input!E$2,Date,,,Ccy,Conv)</f>
        <v>0</v>
      </c>
      <c r="D121" s="4">
        <f>_xll.ciqfunctions.udf.CIQ(InputTicker, "IQ_DISTRIBUTABLE_CASH_STANDARDIZED",Input!F$2,Date,,,Ccy,Conv)</f>
        <v>0</v>
      </c>
      <c r="E121" s="4">
        <f>_xll.ciqfunctions.udf.CIQ(InputTicker, "IQ_DISTRIBUTABLE_CASH_STANDARDIZED",Input!G$2,Date,,,Ccy,Conv)</f>
        <v>0</v>
      </c>
      <c r="F121" s="4">
        <f>_xll.ciqfunctions.udf.CIQ(InputTicker, "IQ_DISTRIBUTABLE_CASH_STANDARDIZED",Input!H$2,Date,,,Ccy,Conv)</f>
        <v>0</v>
      </c>
      <c r="G121" s="4">
        <f>_xll.ciqfunctions.udf.CIQ(InputTicker, "IQ_DISTRIBUTABLE_CASH_STANDARDIZED",Input!I$2,Date,,,Ccy,Conv)</f>
        <v>0</v>
      </c>
      <c r="H121" s="4">
        <f>_xll.ciqfunctions.udf.CIQ(InputTicker, "IQ_DISTRIBUTABLE_CASH_STANDARDIZED",Input!J$2,Date,,,Ccy,Conv)</f>
        <v>0</v>
      </c>
      <c r="I121" s="4">
        <f>_xll.ciqfunctions.udf.CIQ(InputTicker, "IQ_DISTRIBUTABLE_CASH_STANDARDIZED",Input!K$2,Date,,,Ccy,Conv)</f>
        <v>0</v>
      </c>
      <c r="J121" s="4">
        <f>_xll.ciqfunctions.udf.CIQ(InputTicker, "IQ_DISTRIBUTABLE_CASH_STANDARDIZED",Input!L$2,Date,,,Ccy,Conv)</f>
        <v>0</v>
      </c>
      <c r="K121" s="4">
        <f>_xll.ciqfunctions.udf.CIQ(InputTicker, "IQ_DISTRIBUTABLE_CASH_STANDARDIZED",Input!M$2,Date,,,Ccy,Conv)</f>
        <v>0</v>
      </c>
      <c r="L121" s="4">
        <f>_xll.ciqfunctions.udf.CIQ(InputTicker, "IQ_DISTRIBUTABLE_CASH_STANDARDIZED",Input!N$2,Date,,,Ccy,Conv)</f>
        <v>0</v>
      </c>
      <c r="M121" s="4">
        <f>_xll.ciqfunctions.udf.CIQ(InputTicker, "IQ_DISTRIBUTABLE_CASH_STANDARDIZED",Input!O$2,Date,,,Ccy,Conv)</f>
        <v>0</v>
      </c>
      <c r="N121" s="49"/>
      <c r="P121" s="46"/>
      <c r="Q121" s="46"/>
      <c r="R121" s="46"/>
      <c r="T121" s="42"/>
      <c r="U121" s="42"/>
      <c r="V121" s="46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</row>
    <row r="122" spans="1:66" ht="12.75" customHeight="1" x14ac:dyDescent="0.2">
      <c r="A122" s="1" t="s">
        <v>389</v>
      </c>
      <c r="B122" s="4">
        <f>_xll.ciqfunctions.udf.CIQ(InputTicker, "IQ_DISTRIBUTABLE_CASH_SHARES_BASIC",Input!D$2,Date)</f>
        <v>0</v>
      </c>
      <c r="C122" s="4">
        <f>_xll.ciqfunctions.udf.CIQ(InputTicker, "IQ_DISTRIBUTABLE_CASH_SHARES_BASIC",Input!E$2,Date)</f>
        <v>0</v>
      </c>
      <c r="D122" s="4">
        <f>_xll.ciqfunctions.udf.CIQ(InputTicker, "IQ_DISTRIBUTABLE_CASH_SHARES_BASIC",Input!F$2,Date)</f>
        <v>0</v>
      </c>
      <c r="E122" s="4">
        <f>_xll.ciqfunctions.udf.CIQ(InputTicker, "IQ_DISTRIBUTABLE_CASH_SHARES_BASIC",Input!G$2,Date)</f>
        <v>0</v>
      </c>
      <c r="F122" s="4">
        <f>_xll.ciqfunctions.udf.CIQ(InputTicker, "IQ_DISTRIBUTABLE_CASH_SHARES_BASIC",Input!H$2,Date)</f>
        <v>0</v>
      </c>
      <c r="G122" s="4">
        <f>_xll.ciqfunctions.udf.CIQ(InputTicker, "IQ_DISTRIBUTABLE_CASH_SHARES_BASIC",Input!I$2,Date)</f>
        <v>0</v>
      </c>
      <c r="H122" s="4">
        <f>_xll.ciqfunctions.udf.CIQ(InputTicker, "IQ_DISTRIBUTABLE_CASH_SHARES_BASIC",Input!J$2,Date)</f>
        <v>0</v>
      </c>
      <c r="I122" s="4">
        <f>_xll.ciqfunctions.udf.CIQ(InputTicker, "IQ_DISTRIBUTABLE_CASH_SHARES_BASIC",Input!K$2,Date)</f>
        <v>0</v>
      </c>
      <c r="J122" s="4">
        <f>_xll.ciqfunctions.udf.CIQ(InputTicker, "IQ_DISTRIBUTABLE_CASH_SHARES_BASIC",Input!L$2,Date)</f>
        <v>0</v>
      </c>
      <c r="K122" s="4">
        <f>_xll.ciqfunctions.udf.CIQ(InputTicker, "IQ_DISTRIBUTABLE_CASH_SHARES_BASIC",Input!M$2,Date)</f>
        <v>0</v>
      </c>
      <c r="L122" s="4">
        <f>_xll.ciqfunctions.udf.CIQ(InputTicker, "IQ_DISTRIBUTABLE_CASH_SHARES_BASIC",Input!N$2,Date)</f>
        <v>0</v>
      </c>
      <c r="M122" s="4">
        <f>_xll.ciqfunctions.udf.CIQ(InputTicker, "IQ_DISTRIBUTABLE_CASH_SHARES_BASIC",Input!O$2,Date)</f>
        <v>0</v>
      </c>
      <c r="N122" s="49"/>
      <c r="P122" s="46"/>
      <c r="Q122" s="46"/>
      <c r="R122" s="46"/>
      <c r="T122" s="42"/>
      <c r="U122" s="42"/>
      <c r="V122" s="46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</row>
    <row r="123" spans="1:66" ht="12.75" customHeight="1" x14ac:dyDescent="0.2">
      <c r="A123" s="1" t="s">
        <v>390</v>
      </c>
      <c r="B123" s="4">
        <f>_xll.ciqfunctions.udf.CIQ(InputTicker, "IQ_DISTRIBUTABLE_CASH_SHARES_DILUTED",Input!D$2,Date)</f>
        <v>0</v>
      </c>
      <c r="C123" s="4">
        <f>_xll.ciqfunctions.udf.CIQ(InputTicker, "IQ_DISTRIBUTABLE_CASH_SHARES_DILUTED",Input!E$2,Date)</f>
        <v>0</v>
      </c>
      <c r="D123" s="4">
        <f>_xll.ciqfunctions.udf.CIQ(InputTicker, "IQ_DISTRIBUTABLE_CASH_SHARES_DILUTED",Input!F$2,Date)</f>
        <v>0</v>
      </c>
      <c r="E123" s="4">
        <f>_xll.ciqfunctions.udf.CIQ(InputTicker, "IQ_DISTRIBUTABLE_CASH_SHARES_DILUTED",Input!G$2,Date)</f>
        <v>0</v>
      </c>
      <c r="F123" s="4">
        <f>_xll.ciqfunctions.udf.CIQ(InputTicker, "IQ_DISTRIBUTABLE_CASH_SHARES_DILUTED",Input!H$2,Date)</f>
        <v>0</v>
      </c>
      <c r="G123" s="4">
        <f>_xll.ciqfunctions.udf.CIQ(InputTicker, "IQ_DISTRIBUTABLE_CASH_SHARES_DILUTED",Input!I$2,Date)</f>
        <v>0</v>
      </c>
      <c r="H123" s="4">
        <f>_xll.ciqfunctions.udf.CIQ(InputTicker, "IQ_DISTRIBUTABLE_CASH_SHARES_DILUTED",Input!J$2,Date)</f>
        <v>0</v>
      </c>
      <c r="I123" s="4">
        <f>_xll.ciqfunctions.udf.CIQ(InputTicker, "IQ_DISTRIBUTABLE_CASH_SHARES_DILUTED",Input!K$2,Date)</f>
        <v>0</v>
      </c>
      <c r="J123" s="4">
        <f>_xll.ciqfunctions.udf.CIQ(InputTicker, "IQ_DISTRIBUTABLE_CASH_SHARES_DILUTED",Input!L$2,Date)</f>
        <v>0</v>
      </c>
      <c r="K123" s="4">
        <f>_xll.ciqfunctions.udf.CIQ(InputTicker, "IQ_DISTRIBUTABLE_CASH_SHARES_DILUTED",Input!M$2,Date)</f>
        <v>0</v>
      </c>
      <c r="L123" s="4">
        <f>_xll.ciqfunctions.udf.CIQ(InputTicker, "IQ_DISTRIBUTABLE_CASH_SHARES_DILUTED",Input!N$2,Date)</f>
        <v>0</v>
      </c>
      <c r="M123" s="4">
        <f>_xll.ciqfunctions.udf.CIQ(InputTicker, "IQ_DISTRIBUTABLE_CASH_SHARES_DILUTED",Input!O$2,Date)</f>
        <v>0</v>
      </c>
      <c r="N123" s="49"/>
      <c r="P123" s="46"/>
      <c r="Q123" s="46"/>
      <c r="R123" s="46"/>
      <c r="T123" s="42"/>
      <c r="U123" s="42"/>
      <c r="V123" s="46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</row>
    <row r="124" spans="1:66" ht="12.75" customHeight="1" x14ac:dyDescent="0.2">
      <c r="A124" s="1" t="s">
        <v>344</v>
      </c>
      <c r="B124" s="4">
        <f>_xll.ciqfunctions.udf.CIQ(InputTicker, "IQ_ANNU_DISTRIBUTION_UNIT",Input!D$2,Date,,,Ccy,Conv)</f>
        <v>0</v>
      </c>
      <c r="C124" s="4">
        <f>_xll.ciqfunctions.udf.CIQ(InputTicker, "IQ_ANNU_DISTRIBUTION_UNIT",Input!E$2,Date,,,Ccy,Conv)</f>
        <v>0</v>
      </c>
      <c r="D124" s="4">
        <f>_xll.ciqfunctions.udf.CIQ(InputTicker, "IQ_ANNU_DISTRIBUTION_UNIT",Input!F$2,Date,,,Ccy,Conv)</f>
        <v>0</v>
      </c>
      <c r="E124" s="4">
        <f>_xll.ciqfunctions.udf.CIQ(InputTicker, "IQ_ANNU_DISTRIBUTION_UNIT",Input!G$2,Date,,,Ccy,Conv)</f>
        <v>0</v>
      </c>
      <c r="F124" s="4">
        <f>_xll.ciqfunctions.udf.CIQ(InputTicker, "IQ_ANNU_DISTRIBUTION_UNIT",Input!H$2,Date,,,Ccy,Conv)</f>
        <v>0</v>
      </c>
      <c r="G124" s="4">
        <f>_xll.ciqfunctions.udf.CIQ(InputTicker, "IQ_ANNU_DISTRIBUTION_UNIT",Input!I$2,Date,,,Ccy,Conv)</f>
        <v>0</v>
      </c>
      <c r="H124" s="4">
        <f>_xll.ciqfunctions.udf.CIQ(InputTicker, "IQ_ANNU_DISTRIBUTION_UNIT",Input!J$2,Date,,,Ccy,Conv)</f>
        <v>0</v>
      </c>
      <c r="I124" s="4">
        <f>_xll.ciqfunctions.udf.CIQ(InputTicker, "IQ_ANNU_DISTRIBUTION_UNIT",Input!K$2,Date,,,Ccy,Conv)</f>
        <v>0</v>
      </c>
      <c r="J124" s="4">
        <f>_xll.ciqfunctions.udf.CIQ(InputTicker, "IQ_ANNU_DISTRIBUTION_UNIT",Input!L$2,Date,,,Ccy,Conv)</f>
        <v>0</v>
      </c>
      <c r="K124" s="4">
        <f>_xll.ciqfunctions.udf.CIQ(InputTicker, "IQ_ANNU_DISTRIBUTION_UNIT",Input!M$2,Date,,,Ccy,Conv)</f>
        <v>0</v>
      </c>
      <c r="L124" s="4">
        <f>_xll.ciqfunctions.udf.CIQ(InputTicker, "IQ_ANNU_DISTRIBUTION_UNIT",Input!N$2,Date,,,Ccy,Conv)</f>
        <v>0</v>
      </c>
      <c r="M124" s="4">
        <f>_xll.ciqfunctions.udf.CIQ(InputTicker, "IQ_ANNU_DISTRIBUTION_UNIT",Input!O$2,Date,,,Ccy,Conv)</f>
        <v>0</v>
      </c>
      <c r="N124" s="49"/>
      <c r="P124" s="46"/>
      <c r="Q124" s="46"/>
      <c r="R124" s="46"/>
      <c r="T124" s="42"/>
      <c r="U124" s="42"/>
      <c r="V124" s="46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</row>
    <row r="125" spans="1:66" ht="12.75" customHeight="1" x14ac:dyDescent="0.2">
      <c r="A125" s="1" t="s">
        <v>365</v>
      </c>
      <c r="B125" s="4">
        <f>_xll.ciqfunctions.udf.CIQ(InputTicker, "IQ_DISTRIBUTABLE_CASH_PAYOUT",Input!D$2,Date)</f>
        <v>0</v>
      </c>
      <c r="C125" s="4">
        <f>_xll.ciqfunctions.udf.CIQ(InputTicker, "IQ_DISTRIBUTABLE_CASH_PAYOUT",Input!E$2,Date)</f>
        <v>0</v>
      </c>
      <c r="D125" s="4">
        <f>_xll.ciqfunctions.udf.CIQ(InputTicker, "IQ_DISTRIBUTABLE_CASH_PAYOUT",Input!F$2,Date)</f>
        <v>0</v>
      </c>
      <c r="E125" s="4">
        <f>_xll.ciqfunctions.udf.CIQ(InputTicker, "IQ_DISTRIBUTABLE_CASH_PAYOUT",Input!G$2,Date)</f>
        <v>0</v>
      </c>
      <c r="F125" s="4">
        <f>_xll.ciqfunctions.udf.CIQ(InputTicker, "IQ_DISTRIBUTABLE_CASH_PAYOUT",Input!H$2,Date)</f>
        <v>0</v>
      </c>
      <c r="G125" s="4">
        <f>_xll.ciqfunctions.udf.CIQ(InputTicker, "IQ_DISTRIBUTABLE_CASH_PAYOUT",Input!I$2,Date)</f>
        <v>0</v>
      </c>
      <c r="H125" s="4">
        <f>_xll.ciqfunctions.udf.CIQ(InputTicker, "IQ_DISTRIBUTABLE_CASH_PAYOUT",Input!J$2,Date)</f>
        <v>0</v>
      </c>
      <c r="I125" s="4">
        <f>_xll.ciqfunctions.udf.CIQ(InputTicker, "IQ_DISTRIBUTABLE_CASH_PAYOUT",Input!K$2,Date)</f>
        <v>0</v>
      </c>
      <c r="J125" s="4">
        <f>_xll.ciqfunctions.udf.CIQ(InputTicker, "IQ_DISTRIBUTABLE_CASH_PAYOUT",Input!L$2,Date)</f>
        <v>0</v>
      </c>
      <c r="K125" s="4">
        <f>_xll.ciqfunctions.udf.CIQ(InputTicker, "IQ_DISTRIBUTABLE_CASH_PAYOUT",Input!M$2,Date)</f>
        <v>0</v>
      </c>
      <c r="L125" s="4">
        <f>_xll.ciqfunctions.udf.CIQ(InputTicker, "IQ_DISTRIBUTABLE_CASH_PAYOUT",Input!N$2,Date)</f>
        <v>0</v>
      </c>
      <c r="M125" s="4">
        <f>_xll.ciqfunctions.udf.CIQ(InputTicker, "IQ_DISTRIBUTABLE_CASH_PAYOUT",Input!O$2,Date)</f>
        <v>0</v>
      </c>
      <c r="N125" s="49"/>
      <c r="P125" s="46"/>
      <c r="Q125" s="46"/>
      <c r="R125" s="46"/>
      <c r="T125" s="42"/>
      <c r="U125" s="42"/>
      <c r="V125" s="46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</row>
    <row r="126" spans="1:66" ht="12.75" customHeight="1" x14ac:dyDescent="0.2">
      <c r="A126" s="1" t="s">
        <v>329</v>
      </c>
      <c r="B126" s="4">
        <f>_xll.ciqfunctions.udf.CIQ(InputTicker, "IQ_COMMON_DIV",Input!D$2,Date,,,Ccy,Conv)</f>
        <v>80.013999999999996</v>
      </c>
      <c r="C126" s="4">
        <f>_xll.ciqfunctions.udf.CIQ(InputTicker, "IQ_COMMON_DIV",Input!E$2,Date,,,Ccy,Conv)</f>
        <v>92.924999999999997</v>
      </c>
      <c r="D126" s="4">
        <f>_xll.ciqfunctions.udf.CIQ(InputTicker, "IQ_COMMON_DIV",Input!F$2,Date,,,Ccy,Conv)</f>
        <v>103.411</v>
      </c>
      <c r="E126" s="4">
        <f>_xll.ciqfunctions.udf.CIQ(InputTicker, "IQ_COMMON_DIV",Input!G$2,Date,,,Ccy,Conv)</f>
        <v>114.23399999999999</v>
      </c>
      <c r="F126" s="4">
        <f>_xll.ciqfunctions.udf.CIQ(InputTicker, "IQ_COMMON_DIV",Input!H$2,Date,,,Ccy,Conv)</f>
        <v>146.602</v>
      </c>
      <c r="G126" s="4">
        <f>_xll.ciqfunctions.udf.CIQ(InputTicker, "IQ_COMMON_DIV",Input!I$2,Date,,,Ccy,Conv)</f>
        <v>181.066</v>
      </c>
      <c r="H126" s="4">
        <f>_xll.ciqfunctions.udf.CIQ(InputTicker, "IQ_COMMON_DIV",Input!J$2,Date,,,Ccy,Conv)</f>
        <v>209.19300000000001</v>
      </c>
      <c r="I126" s="4">
        <f>_xll.ciqfunctions.udf.CIQ(InputTicker, "IQ_COMMON_DIV",Input!K$2,Date,,,Ccy,Conv)</f>
        <v>236</v>
      </c>
      <c r="J126" s="4">
        <f>_xll.ciqfunctions.udf.CIQ(InputTicker, "IQ_COMMON_DIV",Input!L$2,Date,,,Ccy,Conv)</f>
        <v>253</v>
      </c>
      <c r="K126" s="4">
        <f>_xll.ciqfunctions.udf.CIQ(InputTicker, "IQ_COMMON_DIV",Input!M$2,Date,,,Ccy,Conv)</f>
        <v>269</v>
      </c>
      <c r="L126" s="4">
        <f>_xll.ciqfunctions.udf.CIQ(InputTicker, "IQ_COMMON_DIV",Input!N$2,Date,,,Ccy,Conv)</f>
        <v>277</v>
      </c>
      <c r="M126" s="4">
        <f>_xll.ciqfunctions.udf.CIQ(InputTicker, "IQ_COMMON_DIV",Input!O$2,Date,,,Ccy,Conv)</f>
        <v>277</v>
      </c>
      <c r="N126" s="49"/>
      <c r="P126" s="46"/>
      <c r="Q126" s="46"/>
      <c r="R126" s="46"/>
      <c r="T126" s="42"/>
      <c r="U126" s="42"/>
      <c r="V126" s="46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</row>
    <row r="127" spans="1:66" ht="12.75" customHeight="1" x14ac:dyDescent="0.2">
      <c r="A127" s="1" t="s">
        <v>282</v>
      </c>
      <c r="B127" s="4">
        <f>_xll.ciqfunctions.udf.CIQ(InputTicker, "IQ_EFFECT_TAX_RATE",Input!D$2,Date)</f>
        <v>22.4971</v>
      </c>
      <c r="C127" s="4">
        <f>_xll.ciqfunctions.udf.CIQ(InputTicker, "IQ_EFFECT_TAX_RATE",Input!E$2,Date)</f>
        <v>38.7241</v>
      </c>
      <c r="D127" s="4">
        <f>_xll.ciqfunctions.udf.CIQ(InputTicker, "IQ_EFFECT_TAX_RATE",Input!F$2,Date)</f>
        <v>29.844899999999999</v>
      </c>
      <c r="E127" s="4">
        <f>_xll.ciqfunctions.udf.CIQ(InputTicker, "IQ_EFFECT_TAX_RATE",Input!G$2,Date)</f>
        <v>18.7957</v>
      </c>
      <c r="F127" s="4">
        <f>_xll.ciqfunctions.udf.CIQ(InputTicker, "IQ_EFFECT_TAX_RATE",Input!H$2,Date)</f>
        <v>16.711300000000001</v>
      </c>
      <c r="G127" s="4">
        <f>_xll.ciqfunctions.udf.CIQ(InputTicker, "IQ_EFFECT_TAX_RATE",Input!I$2,Date)</f>
        <v>8.0732999999999997</v>
      </c>
      <c r="H127" s="4">
        <f>_xll.ciqfunctions.udf.CIQ(InputTicker, "IQ_EFFECT_TAX_RATE",Input!J$2,Date)</f>
        <v>22.7576</v>
      </c>
      <c r="I127" s="4">
        <f>_xll.ciqfunctions.udf.CIQ(InputTicker, "IQ_EFFECT_TAX_RATE",Input!K$2,Date)</f>
        <v>26.358599999999999</v>
      </c>
      <c r="J127" s="4">
        <f>_xll.ciqfunctions.udf.CIQ(InputTicker, "IQ_EFFECT_TAX_RATE",Input!L$2,Date)</f>
        <v>29.0398</v>
      </c>
      <c r="K127" s="4">
        <f>_xll.ciqfunctions.udf.CIQ(InputTicker, "IQ_EFFECT_TAX_RATE",Input!M$2,Date)</f>
        <v>23.297699999999999</v>
      </c>
      <c r="L127" s="4">
        <f>_xll.ciqfunctions.udf.CIQ(InputTicker, "IQ_EFFECT_TAX_RATE",Input!N$2,Date)</f>
        <v>1.2761</v>
      </c>
      <c r="M127" s="4">
        <f>_xll.ciqfunctions.udf.CIQ(InputTicker, "IQ_EFFECT_TAX_RATE",Input!O$2,Date)</f>
        <v>1.2761</v>
      </c>
      <c r="N127" s="49"/>
      <c r="P127" s="46"/>
      <c r="Q127" s="46"/>
      <c r="R127" s="46"/>
      <c r="T127" s="42"/>
      <c r="U127" s="42"/>
      <c r="V127" s="46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</row>
    <row r="128" spans="1:66" ht="12.75" customHeight="1" x14ac:dyDescent="0.2">
      <c r="A128" s="1" t="s">
        <v>283</v>
      </c>
      <c r="B128" s="4">
        <f>_xll.ciqfunctions.udf.CIQ(InputTicker, "IQ_PAYOUT_RATIO",Input!D$2,Date)</f>
        <v>27.2072</v>
      </c>
      <c r="C128" s="4">
        <f>_xll.ciqfunctions.udf.CIQ(InputTicker, "IQ_PAYOUT_RATIO",Input!E$2,Date)</f>
        <v>35.627299999999998</v>
      </c>
      <c r="D128" s="4">
        <f>_xll.ciqfunctions.udf.CIQ(InputTicker, "IQ_PAYOUT_RATIO",Input!F$2,Date)</f>
        <v>34.277000000000001</v>
      </c>
      <c r="E128" s="4">
        <f>_xll.ciqfunctions.udf.CIQ(InputTicker, "IQ_PAYOUT_RATIO",Input!G$2,Date)</f>
        <v>27.2941</v>
      </c>
      <c r="F128" s="4">
        <f>_xll.ciqfunctions.udf.CIQ(InputTicker, "IQ_PAYOUT_RATIO",Input!H$2,Date)</f>
        <v>30.377300000000002</v>
      </c>
      <c r="G128" s="4">
        <f>_xll.ciqfunctions.udf.CIQ(InputTicker, "IQ_PAYOUT_RATIO",Input!I$2,Date)</f>
        <v>29.733699999999999</v>
      </c>
      <c r="H128" s="4">
        <f>_xll.ciqfunctions.udf.CIQ(InputTicker, "IQ_PAYOUT_RATIO",Input!J$2,Date)</f>
        <v>44.790799999999997</v>
      </c>
      <c r="I128" s="4">
        <f>_xll.ciqfunctions.udf.CIQ(InputTicker, "IQ_PAYOUT_RATIO",Input!K$2,Date)</f>
        <v>86.764700000000005</v>
      </c>
      <c r="J128" s="4">
        <f>_xll.ciqfunctions.udf.CIQ(InputTicker, "IQ_PAYOUT_RATIO",Input!L$2,Date)</f>
        <v>41.914099999999998</v>
      </c>
      <c r="K128" s="4">
        <f>_xll.ciqfunctions.udf.CIQ(InputTicker, "IQ_PAYOUT_RATIO",Input!M$2,Date)</f>
        <v>28.6631</v>
      </c>
      <c r="L128" s="4">
        <f>_xll.ciqfunctions.udf.CIQ(InputTicker, "IQ_PAYOUT_RATIO",Input!N$2,Date)</f>
        <v>32.432400000000001</v>
      </c>
      <c r="M128" s="4">
        <f>_xll.ciqfunctions.udf.CIQ(InputTicker, "IQ_PAYOUT_RATIO",Input!O$2,Date)</f>
        <v>32.432400000000001</v>
      </c>
      <c r="N128" s="49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</row>
    <row r="129" spans="1:66" ht="12.75" customHeight="1" x14ac:dyDescent="0.2">
      <c r="A129" s="1" t="s">
        <v>407</v>
      </c>
      <c r="B129" s="4">
        <f>_xll.ciqfunctions.udf.CIQ(InputTicker, "IQ_DIC",Input!D$2,Date,,,Ccy,Conv)</f>
        <v>0</v>
      </c>
      <c r="C129" s="4">
        <f>_xll.ciqfunctions.udf.CIQ(InputTicker, "IQ_DIC",Input!E$2,Date,,,Ccy,Conv)</f>
        <v>0</v>
      </c>
      <c r="D129" s="4">
        <f>_xll.ciqfunctions.udf.CIQ(InputTicker, "IQ_DIC",Input!F$2,Date,,,Ccy,Conv)</f>
        <v>0</v>
      </c>
      <c r="E129" s="4">
        <f>_xll.ciqfunctions.udf.CIQ(InputTicker, "IQ_DIC",Input!G$2,Date,,,Ccy,Conv)</f>
        <v>0</v>
      </c>
      <c r="F129" s="4">
        <f>_xll.ciqfunctions.udf.CIQ(InputTicker, "IQ_DIC",Input!H$2,Date,,,Ccy,Conv)</f>
        <v>0</v>
      </c>
      <c r="G129" s="4">
        <f>_xll.ciqfunctions.udf.CIQ(InputTicker, "IQ_DIC",Input!I$2,Date,,,Ccy,Conv)</f>
        <v>0</v>
      </c>
      <c r="H129" s="4">
        <f>_xll.ciqfunctions.udf.CIQ(InputTicker, "IQ_DIC",Input!J$2,Date,,,Ccy,Conv)</f>
        <v>0</v>
      </c>
      <c r="I129" s="4">
        <f>_xll.ciqfunctions.udf.CIQ(InputTicker, "IQ_DIC",Input!K$2,Date,,,Ccy,Conv)</f>
        <v>0</v>
      </c>
      <c r="J129" s="4">
        <f>_xll.ciqfunctions.udf.CIQ(InputTicker, "IQ_DIC",Input!L$2,Date,,,Ccy,Conv)</f>
        <v>0</v>
      </c>
      <c r="K129" s="4">
        <f>_xll.ciqfunctions.udf.CIQ(InputTicker, "IQ_DIC",Input!M$2,Date,,,Ccy,Conv)</f>
        <v>0</v>
      </c>
      <c r="L129" s="4">
        <f>_xll.ciqfunctions.udf.CIQ(InputTicker, "IQ_DIC",Input!N$2,Date,,,Ccy,Conv)</f>
        <v>0</v>
      </c>
      <c r="M129" s="4">
        <f>_xll.ciqfunctions.udf.CIQ(InputTicker, "IQ_DIC",Input!O$2,Date,,,Ccy,Conv)</f>
        <v>0</v>
      </c>
      <c r="N129" s="49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</row>
    <row r="130" spans="1:66" ht="12.75" customHeight="1" x14ac:dyDescent="0.2">
      <c r="A130" s="1" t="s">
        <v>347</v>
      </c>
      <c r="B130" s="15" t="str">
        <f>_xll.ciqfunctions.udf.CIQ(InputTicker, "IQ_FILING_CURRENCY",Input!D$2,Date)</f>
        <v>USD</v>
      </c>
      <c r="C130" s="15" t="str">
        <f>_xll.ciqfunctions.udf.CIQ(InputTicker, "IQ_FILING_CURRENCY",Input!E$2,Date)</f>
        <v>USD</v>
      </c>
      <c r="D130" s="15" t="str">
        <f>_xll.ciqfunctions.udf.CIQ(InputTicker, "IQ_FILING_CURRENCY",Input!F$2,Date)</f>
        <v>USD</v>
      </c>
      <c r="E130" s="15" t="str">
        <f>_xll.ciqfunctions.udf.CIQ(InputTicker, "IQ_FILING_CURRENCY",Input!G$2,Date)</f>
        <v>USD</v>
      </c>
      <c r="F130" s="15" t="str">
        <f>_xll.ciqfunctions.udf.CIQ(InputTicker, "IQ_FILING_CURRENCY",Input!H$2,Date)</f>
        <v>USD</v>
      </c>
      <c r="G130" s="15" t="str">
        <f>_xll.ciqfunctions.udf.CIQ(InputTicker, "IQ_FILING_CURRENCY",Input!I$2,Date)</f>
        <v>USD</v>
      </c>
      <c r="H130" s="15" t="str">
        <f>_xll.ciqfunctions.udf.CIQ(InputTicker, "IQ_FILING_CURRENCY",Input!J$2,Date)</f>
        <v>USD</v>
      </c>
      <c r="I130" s="15" t="str">
        <f>_xll.ciqfunctions.udf.CIQ(InputTicker, "IQ_FILING_CURRENCY",Input!K$2,Date)</f>
        <v>USD</v>
      </c>
      <c r="J130" s="15" t="str">
        <f>_xll.ciqfunctions.udf.CIQ(InputTicker, "IQ_FILING_CURRENCY",Input!L$2,Date)</f>
        <v>USD</v>
      </c>
      <c r="K130" s="15" t="str">
        <f>_xll.ciqfunctions.udf.CIQ(InputTicker, "IQ_FILING_CURRENCY",Input!M$2,Date)</f>
        <v>USD</v>
      </c>
      <c r="L130" s="15" t="str">
        <f>_xll.ciqfunctions.udf.CIQ(InputTicker, "IQ_FILING_CURRENCY",Input!N$2,Date)</f>
        <v>USD</v>
      </c>
      <c r="M130" s="15" t="str">
        <f>_xll.ciqfunctions.udf.CIQ(InputTicker, "IQ_FILING_CURRENCY",Input!O$2,Date)</f>
        <v>USD</v>
      </c>
      <c r="N130" s="49"/>
      <c r="P130" s="51"/>
      <c r="Q130" s="51"/>
      <c r="R130" s="51"/>
      <c r="T130" s="42"/>
      <c r="U130" s="42"/>
      <c r="V130" s="51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</row>
    <row r="131" spans="1:66" ht="12.75" customHeight="1" x14ac:dyDescent="0.2">
      <c r="A131" s="1" t="s">
        <v>345</v>
      </c>
      <c r="B131" s="15" t="str">
        <f>_xll.ciqfunctions.udf.CIQ(InputTicker, "IQ_RESTATEMENT_IS",Input!D$2,Date)</f>
        <v>NC</v>
      </c>
      <c r="C131" s="15" t="str">
        <f>_xll.ciqfunctions.udf.CIQ(InputTicker, "IQ_RESTATEMENT_IS",Input!E$2,Date)</f>
        <v>RS</v>
      </c>
      <c r="D131" s="15" t="str">
        <f>_xll.ciqfunctions.udf.CIQ(InputTicker, "IQ_RESTATEMENT_IS",Input!F$2,Date)</f>
        <v>RS</v>
      </c>
      <c r="E131" s="15" t="str">
        <f>_xll.ciqfunctions.udf.CIQ(InputTicker, "IQ_RESTATEMENT_IS",Input!G$2,Date)</f>
        <v>NC</v>
      </c>
      <c r="F131" s="15" t="str">
        <f>_xll.ciqfunctions.udf.CIQ(InputTicker, "IQ_RESTATEMENT_IS",Input!H$2,Date)</f>
        <v>NC</v>
      </c>
      <c r="G131" s="15" t="str">
        <f>_xll.ciqfunctions.udf.CIQ(InputTicker, "IQ_RESTATEMENT_IS",Input!I$2,Date)</f>
        <v>NC</v>
      </c>
      <c r="H131" s="15" t="str">
        <f>_xll.ciqfunctions.udf.CIQ(InputTicker, "IQ_RESTATEMENT_IS",Input!J$2,Date)</f>
        <v>RC</v>
      </c>
      <c r="I131" s="15" t="str">
        <f>_xll.ciqfunctions.udf.CIQ(InputTicker, "IQ_RESTATEMENT_IS",Input!K$2,Date)</f>
        <v>RS</v>
      </c>
      <c r="J131" s="15" t="str">
        <f>_xll.ciqfunctions.udf.CIQ(InputTicker, "IQ_RESTATEMENT_IS",Input!L$2,Date)</f>
        <v>RS</v>
      </c>
      <c r="K131" s="15" t="str">
        <f>_xll.ciqfunctions.udf.CIQ(InputTicker, "IQ_RESTATEMENT_IS",Input!M$2,Date)</f>
        <v>NC</v>
      </c>
      <c r="L131" s="15" t="str">
        <f>_xll.ciqfunctions.udf.CIQ(InputTicker, "IQ_RESTATEMENT_IS",Input!N$2,Date)</f>
        <v>O</v>
      </c>
      <c r="M131" s="15" t="str">
        <f>_xll.ciqfunctions.udf.CIQ(InputTicker, "IQ_RESTATEMENT_IS",Input!O$2,Date)</f>
        <v>O</v>
      </c>
      <c r="N131" s="49"/>
      <c r="P131" s="51"/>
      <c r="Q131" s="51"/>
      <c r="R131" s="51"/>
      <c r="T131" s="42"/>
      <c r="U131" s="42"/>
      <c r="V131" s="51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</row>
    <row r="132" spans="1:66" ht="12.75" customHeight="1" x14ac:dyDescent="0.2">
      <c r="A132" s="1" t="s">
        <v>346</v>
      </c>
      <c r="B132" s="15" t="str">
        <f>_xll.ciqfunctions.udf.CIQ(InputTicker, "IQ_CALC_TYPE_IS",Input!D$2,Date)</f>
        <v>REP</v>
      </c>
      <c r="C132" s="15" t="str">
        <f>_xll.ciqfunctions.udf.CIQ(InputTicker, "IQ_CALC_TYPE_IS",Input!E$2,Date)</f>
        <v>REP</v>
      </c>
      <c r="D132" s="15" t="str">
        <f>_xll.ciqfunctions.udf.CIQ(InputTicker, "IQ_CALC_TYPE_IS",Input!F$2,Date)</f>
        <v>REP</v>
      </c>
      <c r="E132" s="15" t="str">
        <f>_xll.ciqfunctions.udf.CIQ(InputTicker, "IQ_CALC_TYPE_IS",Input!G$2,Date)</f>
        <v>REP</v>
      </c>
      <c r="F132" s="15" t="str">
        <f>_xll.ciqfunctions.udf.CIQ(InputTicker, "IQ_CALC_TYPE_IS",Input!H$2,Date)</f>
        <v>REP</v>
      </c>
      <c r="G132" s="15" t="str">
        <f>_xll.ciqfunctions.udf.CIQ(InputTicker, "IQ_CALC_TYPE_IS",Input!I$2,Date)</f>
        <v>REP</v>
      </c>
      <c r="H132" s="15" t="str">
        <f>_xll.ciqfunctions.udf.CIQ(InputTicker, "IQ_CALC_TYPE_IS",Input!J$2,Date)</f>
        <v>REP</v>
      </c>
      <c r="I132" s="15" t="str">
        <f>_xll.ciqfunctions.udf.CIQ(InputTicker, "IQ_CALC_TYPE_IS",Input!K$2,Date)</f>
        <v>REP</v>
      </c>
      <c r="J132" s="15" t="str">
        <f>_xll.ciqfunctions.udf.CIQ(InputTicker, "IQ_CALC_TYPE_IS",Input!L$2,Date)</f>
        <v>REP</v>
      </c>
      <c r="K132" s="15" t="str">
        <f>_xll.ciqfunctions.udf.CIQ(InputTicker, "IQ_CALC_TYPE_IS",Input!M$2,Date)</f>
        <v>REP</v>
      </c>
      <c r="L132" s="15" t="str">
        <f>_xll.ciqfunctions.udf.CIQ(InputTicker, "IQ_CALC_TYPE_IS",Input!N$2,Date)</f>
        <v>REP</v>
      </c>
      <c r="M132" s="15" t="str">
        <f>_xll.ciqfunctions.udf.CIQ(InputTicker, "IQ_CALC_TYPE_IS",Input!O$2,Date)</f>
        <v>REP</v>
      </c>
      <c r="N132" s="49"/>
      <c r="P132" s="51"/>
      <c r="Q132" s="51"/>
      <c r="R132" s="51"/>
      <c r="T132" s="42"/>
      <c r="U132" s="42"/>
      <c r="V132" s="51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</row>
    <row r="133" spans="1:66" ht="12.75" customHeight="1" x14ac:dyDescent="0.2">
      <c r="A133" s="1" t="s">
        <v>376</v>
      </c>
      <c r="B133" s="15" t="str">
        <f>_xll.ciqfunctions.udf.CIQ(InputTicker, "IQ_GAAP_IS",Input!D$2,Date)</f>
        <v>US GAAP</v>
      </c>
      <c r="C133" s="15" t="str">
        <f>_xll.ciqfunctions.udf.CIQ(InputTicker, "IQ_GAAP_IS",Input!E$2,Date)</f>
        <v>US GAAP</v>
      </c>
      <c r="D133" s="15" t="str">
        <f>_xll.ciqfunctions.udf.CIQ(InputTicker, "IQ_GAAP_IS",Input!F$2,Date)</f>
        <v>US GAAP</v>
      </c>
      <c r="E133" s="15" t="str">
        <f>_xll.ciqfunctions.udf.CIQ(InputTicker, "IQ_GAAP_IS",Input!G$2,Date)</f>
        <v>US GAAP</v>
      </c>
      <c r="F133" s="15" t="str">
        <f>_xll.ciqfunctions.udf.CIQ(InputTicker, "IQ_GAAP_IS",Input!H$2,Date)</f>
        <v>US GAAP</v>
      </c>
      <c r="G133" s="15" t="str">
        <f>_xll.ciqfunctions.udf.CIQ(InputTicker, "IQ_GAAP_IS",Input!I$2,Date)</f>
        <v>US GAAP</v>
      </c>
      <c r="H133" s="15" t="str">
        <f>_xll.ciqfunctions.udf.CIQ(InputTicker, "IQ_GAAP_IS",Input!J$2,Date)</f>
        <v>US GAAP</v>
      </c>
      <c r="I133" s="15" t="str">
        <f>_xll.ciqfunctions.udf.CIQ(InputTicker, "IQ_GAAP_IS",Input!K$2,Date)</f>
        <v>US GAAP</v>
      </c>
      <c r="J133" s="15" t="str">
        <f>_xll.ciqfunctions.udf.CIQ(InputTicker, "IQ_GAAP_IS",Input!L$2,Date)</f>
        <v>US GAAP</v>
      </c>
      <c r="K133" s="15" t="str">
        <f>_xll.ciqfunctions.udf.CIQ(InputTicker, "IQ_GAAP_IS",Input!M$2,Date)</f>
        <v>US GAAP</v>
      </c>
      <c r="L133" s="15" t="str">
        <f>_xll.ciqfunctions.udf.CIQ(InputTicker, "IQ_GAAP_IS",Input!N$2,Date)</f>
        <v>US GAAP</v>
      </c>
      <c r="M133" s="15" t="str">
        <f>_xll.ciqfunctions.udf.CIQ(InputTicker, "IQ_GAAP_IS",Input!O$2,Date)</f>
        <v>US GAAP</v>
      </c>
      <c r="N133" s="42"/>
      <c r="P133" s="51"/>
      <c r="Q133" s="51"/>
      <c r="R133" s="51"/>
      <c r="T133" s="42"/>
      <c r="U133" s="42"/>
      <c r="V133" s="51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</row>
    <row r="134" spans="1:66" ht="12.75" customHeight="1" x14ac:dyDescent="0.2">
      <c r="A134" s="1" t="s">
        <v>366</v>
      </c>
      <c r="B134" s="4">
        <f>_xll.ciqfunctions.udf.CIQ(InputTicker,"IQ_ADVERTISING",Input!D$2,Date,,,Ccy,Conv)</f>
        <v>0</v>
      </c>
      <c r="C134" s="4">
        <f>_xll.ciqfunctions.udf.CIQ(InputTicker,"IQ_ADVERTISING",Input!E$2,Date,,,Ccy,Conv)</f>
        <v>0</v>
      </c>
      <c r="D134" s="4">
        <f>_xll.ciqfunctions.udf.CIQ(InputTicker,"IQ_ADVERTISING",Input!F$2,Date,,,Ccy,Conv)</f>
        <v>0</v>
      </c>
      <c r="E134" s="4">
        <f>_xll.ciqfunctions.udf.CIQ(InputTicker,"IQ_ADVERTISING",Input!G$2,Date,,,Ccy,Conv)</f>
        <v>0</v>
      </c>
      <c r="F134" s="4">
        <f>_xll.ciqfunctions.udf.CIQ(InputTicker,"IQ_ADVERTISING",Input!H$2,Date,,,Ccy,Conv)</f>
        <v>0</v>
      </c>
      <c r="G134" s="4">
        <f>_xll.ciqfunctions.udf.CIQ(InputTicker,"IQ_ADVERTISING",Input!I$2,Date,,,Ccy,Conv)</f>
        <v>0</v>
      </c>
      <c r="H134" s="4">
        <f>_xll.ciqfunctions.udf.CIQ(InputTicker,"IQ_ADVERTISING",Input!J$2,Date,,,Ccy,Conv)</f>
        <v>0</v>
      </c>
      <c r="I134" s="4">
        <f>_xll.ciqfunctions.udf.CIQ(InputTicker,"IQ_ADVERTISING",Input!K$2,Date,,,Ccy,Conv)</f>
        <v>0</v>
      </c>
      <c r="J134" s="4">
        <f>_xll.ciqfunctions.udf.CIQ(InputTicker,"IQ_ADVERTISING",Input!L$2,Date,,,Ccy,Conv)</f>
        <v>0</v>
      </c>
      <c r="K134" s="4">
        <f>_xll.ciqfunctions.udf.CIQ(InputTicker,"IQ_ADVERTISING",Input!M$2,Date,,,Ccy,Conv)</f>
        <v>0</v>
      </c>
      <c r="L134" s="4">
        <f>_xll.ciqfunctions.udf.CIQ(InputTicker,"IQ_ADVERTISING",Input!N$2,Date,,,Ccy,Conv)</f>
        <v>0</v>
      </c>
      <c r="M134" s="4">
        <f>_xll.ciqfunctions.udf.CIQ(InputTicker,"IQ_ADVERTISING",Input!O$2,Date,,,Ccy,Conv)</f>
        <v>0</v>
      </c>
      <c r="N134" s="49"/>
      <c r="P134" s="51"/>
      <c r="Q134" s="51"/>
      <c r="R134" s="51"/>
      <c r="T134" s="42"/>
      <c r="U134" s="42"/>
      <c r="V134" s="51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</row>
    <row r="135" spans="1:66" ht="12.75" customHeight="1" x14ac:dyDescent="0.2">
      <c r="A135" s="1" t="s">
        <v>330</v>
      </c>
      <c r="B135" s="4">
        <f>_xll.ciqfunctions.udf.CIQ(InputTicker,"IQ_MARKETING",Input!D$2,Date,,,Ccy,Conv)</f>
        <v>0</v>
      </c>
      <c r="C135" s="4">
        <f>_xll.ciqfunctions.udf.CIQ(InputTicker,"IQ_MARKETING",Input!E$2,Date,,,Ccy,Conv)</f>
        <v>0</v>
      </c>
      <c r="D135" s="4">
        <f>_xll.ciqfunctions.udf.CIQ(InputTicker,"IQ_MARKETING",Input!F$2,Date,,,Ccy,Conv)</f>
        <v>0</v>
      </c>
      <c r="E135" s="4">
        <f>_xll.ciqfunctions.udf.CIQ(InputTicker,"IQ_MARKETING",Input!G$2,Date,,,Ccy,Conv)</f>
        <v>0</v>
      </c>
      <c r="F135" s="4">
        <f>_xll.ciqfunctions.udf.CIQ(InputTicker,"IQ_MARKETING",Input!H$2,Date,,,Ccy,Conv)</f>
        <v>0</v>
      </c>
      <c r="G135" s="4">
        <f>_xll.ciqfunctions.udf.CIQ(InputTicker,"IQ_MARKETING",Input!I$2,Date,,,Ccy,Conv)</f>
        <v>0</v>
      </c>
      <c r="H135" s="4">
        <f>_xll.ciqfunctions.udf.CIQ(InputTicker,"IQ_MARKETING",Input!J$2,Date,,,Ccy,Conv)</f>
        <v>0</v>
      </c>
      <c r="I135" s="4">
        <f>_xll.ciqfunctions.udf.CIQ(InputTicker,"IQ_MARKETING",Input!K$2,Date,,,Ccy,Conv)</f>
        <v>0</v>
      </c>
      <c r="J135" s="4">
        <f>_xll.ciqfunctions.udf.CIQ(InputTicker,"IQ_MARKETING",Input!L$2,Date,,,Ccy,Conv)</f>
        <v>0</v>
      </c>
      <c r="K135" s="4">
        <f>_xll.ciqfunctions.udf.CIQ(InputTicker,"IQ_MARKETING",Input!M$2,Date,,,Ccy,Conv)</f>
        <v>0</v>
      </c>
      <c r="L135" s="4">
        <f>_xll.ciqfunctions.udf.CIQ(InputTicker,"IQ_MARKETING",Input!N$2,Date,,,Ccy,Conv)</f>
        <v>0</v>
      </c>
      <c r="M135" s="4">
        <f>_xll.ciqfunctions.udf.CIQ(InputTicker,"IQ_MARKETING",Input!O$2,Date,,,Ccy,Conv)</f>
        <v>0</v>
      </c>
      <c r="N135" s="49"/>
      <c r="P135" s="51"/>
      <c r="Q135" s="51"/>
      <c r="R135" s="51"/>
      <c r="T135" s="42"/>
      <c r="U135" s="42"/>
      <c r="V135" s="51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</row>
    <row r="136" spans="1:66" ht="12.75" customHeight="1" x14ac:dyDescent="0.2">
      <c r="A136" s="1" t="s">
        <v>331</v>
      </c>
      <c r="B136" s="4">
        <f>_xll.ciqfunctions.udf.CIQ(InputTicker,"IQ_SALES_MARKETING",Input!D$2,Date,,,Ccy,Conv)</f>
        <v>0</v>
      </c>
      <c r="C136" s="4">
        <f>_xll.ciqfunctions.udf.CIQ(InputTicker,"IQ_SALES_MARKETING",Input!E$2,Date,,,Ccy,Conv)</f>
        <v>0</v>
      </c>
      <c r="D136" s="4">
        <f>_xll.ciqfunctions.udf.CIQ(InputTicker,"IQ_SALES_MARKETING",Input!F$2,Date,,,Ccy,Conv)</f>
        <v>0</v>
      </c>
      <c r="E136" s="4">
        <f>_xll.ciqfunctions.udf.CIQ(InputTicker,"IQ_SALES_MARKETING",Input!G$2,Date,,,Ccy,Conv)</f>
        <v>0</v>
      </c>
      <c r="F136" s="4">
        <f>_xll.ciqfunctions.udf.CIQ(InputTicker,"IQ_SALES_MARKETING",Input!H$2,Date,,,Ccy,Conv)</f>
        <v>0</v>
      </c>
      <c r="G136" s="4">
        <f>_xll.ciqfunctions.udf.CIQ(InputTicker,"IQ_SALES_MARKETING",Input!I$2,Date,,,Ccy,Conv)</f>
        <v>0</v>
      </c>
      <c r="H136" s="4">
        <f>_xll.ciqfunctions.udf.CIQ(InputTicker,"IQ_SALES_MARKETING",Input!J$2,Date,,,Ccy,Conv)</f>
        <v>0</v>
      </c>
      <c r="I136" s="4">
        <f>_xll.ciqfunctions.udf.CIQ(InputTicker,"IQ_SALES_MARKETING",Input!K$2,Date,,,Ccy,Conv)</f>
        <v>0</v>
      </c>
      <c r="J136" s="4">
        <f>_xll.ciqfunctions.udf.CIQ(InputTicker,"IQ_SALES_MARKETING",Input!L$2,Date,,,Ccy,Conv)</f>
        <v>0</v>
      </c>
      <c r="K136" s="4">
        <f>_xll.ciqfunctions.udf.CIQ(InputTicker,"IQ_SALES_MARKETING",Input!M$2,Date,,,Ccy,Conv)</f>
        <v>0</v>
      </c>
      <c r="L136" s="4">
        <f>_xll.ciqfunctions.udf.CIQ(InputTicker,"IQ_SALES_MARKETING",Input!N$2,Date,,,Ccy,Conv)</f>
        <v>0</v>
      </c>
      <c r="M136" s="4">
        <f>_xll.ciqfunctions.udf.CIQ(InputTicker,"IQ_SALES_MARKETING",Input!O$2,Date,,,Ccy,Conv)</f>
        <v>0</v>
      </c>
      <c r="N136" s="49"/>
      <c r="P136" s="51"/>
      <c r="Q136" s="51"/>
      <c r="R136" s="51"/>
      <c r="T136" s="42"/>
      <c r="U136" s="42"/>
      <c r="V136" s="5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</row>
    <row r="137" spans="1:66" ht="12.75" customHeight="1" x14ac:dyDescent="0.2">
      <c r="A137" s="1" t="s">
        <v>332</v>
      </c>
      <c r="B137" s="4">
        <f>_xll.ciqfunctions.udf.CIQ(InputTicker,"IQ_GA_EXP",Input!D$2,Date,,,Ccy,Conv)</f>
        <v>718.00900000000001</v>
      </c>
      <c r="C137" s="4">
        <f>_xll.ciqfunctions.udf.CIQ(InputTicker,"IQ_GA_EXP",Input!E$2,Date,,,Ccy,Conv)</f>
        <v>728.74099999999999</v>
      </c>
      <c r="D137" s="4">
        <f>_xll.ciqfunctions.udf.CIQ(InputTicker,"IQ_GA_EXP",Input!F$2,Date,,,Ccy,Conv)</f>
        <v>855.54100000000005</v>
      </c>
      <c r="E137" s="4">
        <f>_xll.ciqfunctions.udf.CIQ(InputTicker,"IQ_GA_EXP",Input!G$2,Date,,,Ccy,Conv)</f>
        <v>927.93799999999999</v>
      </c>
      <c r="F137" s="4">
        <f>_xll.ciqfunctions.udf.CIQ(InputTicker,"IQ_GA_EXP",Input!H$2,Date,,,Ccy,Conv)</f>
        <v>943.58399999999995</v>
      </c>
      <c r="G137" s="4">
        <f>_xll.ciqfunctions.udf.CIQ(InputTicker,"IQ_GA_EXP",Input!I$2,Date,,,Ccy,Conv)</f>
        <v>951.50900000000001</v>
      </c>
      <c r="H137" s="4">
        <f>_xll.ciqfunctions.udf.CIQ(InputTicker,"IQ_GA_EXP",Input!J$2,Date,,,Ccy,Conv)</f>
        <v>1076.93</v>
      </c>
      <c r="I137" s="4">
        <f>_xll.ciqfunctions.udf.CIQ(InputTicker,"IQ_GA_EXP",Input!K$2,Date,,,Ccy,Conv)</f>
        <v>1103</v>
      </c>
      <c r="J137" s="4">
        <f>_xll.ciqfunctions.udf.CIQ(InputTicker,"IQ_GA_EXP",Input!L$2,Date,,,Ccy,Conv)</f>
        <v>1176</v>
      </c>
      <c r="K137" s="4">
        <f>_xll.ciqfunctions.udf.CIQ(InputTicker,"IQ_GA_EXP",Input!M$2,Date,,,Ccy,Conv)</f>
        <v>1282</v>
      </c>
      <c r="L137" s="4">
        <f>_xll.ciqfunctions.udf.CIQ(InputTicker,"IQ_GA_EXP",Input!N$2,Date,,,Ccy,Conv)</f>
        <v>1176</v>
      </c>
      <c r="M137" s="4">
        <f>_xll.ciqfunctions.udf.CIQ(InputTicker,"IQ_GA_EXP",Input!O$2,Date,,,Ccy,Conv)</f>
        <v>1176</v>
      </c>
      <c r="N137" s="49"/>
      <c r="P137" s="51"/>
      <c r="Q137" s="51"/>
      <c r="R137" s="51"/>
      <c r="T137" s="42"/>
      <c r="U137" s="42"/>
      <c r="V137" s="51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</row>
    <row r="138" spans="1:66" ht="12.75" customHeight="1" x14ac:dyDescent="0.2">
      <c r="A138" s="1" t="s">
        <v>369</v>
      </c>
      <c r="B138" s="4">
        <f>_xll.ciqfunctions.udf.CIQ(InputTicker, "IQ_RD_EXP_FN",Input!D$2,Date,,,Ccy,Conv)</f>
        <v>0</v>
      </c>
      <c r="C138" s="4">
        <f>_xll.ciqfunctions.udf.CIQ(InputTicker, "IQ_RD_EXP_FN",Input!E$2,Date,,,Ccy,Conv)</f>
        <v>0</v>
      </c>
      <c r="D138" s="4">
        <f>_xll.ciqfunctions.udf.CIQ(InputTicker, "IQ_RD_EXP_FN",Input!F$2,Date,,,Ccy,Conv)</f>
        <v>0</v>
      </c>
      <c r="E138" s="4">
        <f>_xll.ciqfunctions.udf.CIQ(InputTicker, "IQ_RD_EXP_FN",Input!G$2,Date,,,Ccy,Conv)</f>
        <v>0</v>
      </c>
      <c r="F138" s="4">
        <f>_xll.ciqfunctions.udf.CIQ(InputTicker, "IQ_RD_EXP_FN",Input!H$2,Date,,,Ccy,Conv)</f>
        <v>0</v>
      </c>
      <c r="G138" s="4">
        <f>_xll.ciqfunctions.udf.CIQ(InputTicker, "IQ_RD_EXP_FN",Input!I$2,Date,,,Ccy,Conv)</f>
        <v>0</v>
      </c>
      <c r="H138" s="4">
        <f>_xll.ciqfunctions.udf.CIQ(InputTicker, "IQ_RD_EXP_FN",Input!J$2,Date,,,Ccy,Conv)</f>
        <v>0</v>
      </c>
      <c r="I138" s="4">
        <f>_xll.ciqfunctions.udf.CIQ(InputTicker, "IQ_RD_EXP_FN",Input!K$2,Date,,,Ccy,Conv)</f>
        <v>0</v>
      </c>
      <c r="J138" s="4">
        <f>_xll.ciqfunctions.udf.CIQ(InputTicker, "IQ_RD_EXP_FN",Input!L$2,Date,,,Ccy,Conv)</f>
        <v>0</v>
      </c>
      <c r="K138" s="4">
        <f>_xll.ciqfunctions.udf.CIQ(InputTicker, "IQ_RD_EXP_FN",Input!M$2,Date,,,Ccy,Conv)</f>
        <v>0</v>
      </c>
      <c r="L138" s="4">
        <f>_xll.ciqfunctions.udf.CIQ(InputTicker, "IQ_RD_EXP_FN",Input!N$2,Date,,,Ccy,Conv)</f>
        <v>0</v>
      </c>
      <c r="M138" s="4">
        <f>_xll.ciqfunctions.udf.CIQ(InputTicker, "IQ_RD_EXP_FN",Input!O$2,Date,,,Ccy,Conv)</f>
        <v>0</v>
      </c>
      <c r="N138" s="49"/>
      <c r="P138" s="51"/>
      <c r="Q138" s="51"/>
      <c r="R138" s="51"/>
      <c r="T138" s="42"/>
      <c r="U138" s="42"/>
      <c r="V138" s="51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</row>
    <row r="139" spans="1:66" ht="12.75" customHeight="1" x14ac:dyDescent="0.2">
      <c r="A139" s="1" t="s">
        <v>36</v>
      </c>
      <c r="B139" s="4">
        <f>_xll.ciqfunctions.udf.CIQ(InputTicker, "IQ_NET_RENTAL_EXP_FN",Input!D$2,Date,,,Ccy,Conv)</f>
        <v>88.5</v>
      </c>
      <c r="C139" s="4">
        <f>_xll.ciqfunctions.udf.CIQ(InputTicker, "IQ_NET_RENTAL_EXP_FN",Input!E$2,Date,,,Ccy,Conv)</f>
        <v>81.599999999999994</v>
      </c>
      <c r="D139" s="4">
        <f>_xll.ciqfunctions.udf.CIQ(InputTicker, "IQ_NET_RENTAL_EXP_FN",Input!F$2,Date,,,Ccy,Conv)</f>
        <v>81.2</v>
      </c>
      <c r="E139" s="4">
        <f>_xll.ciqfunctions.udf.CIQ(InputTicker, "IQ_NET_RENTAL_EXP_FN",Input!G$2,Date,,,Ccy,Conv)</f>
        <v>82.7</v>
      </c>
      <c r="F139" s="4">
        <f>_xll.ciqfunctions.udf.CIQ(InputTicker, "IQ_NET_RENTAL_EXP_FN",Input!H$2,Date,,,Ccy,Conv)</f>
        <v>92.381</v>
      </c>
      <c r="G139" s="4">
        <f>_xll.ciqfunctions.udf.CIQ(InputTicker, "IQ_NET_RENTAL_EXP_FN",Input!I$2,Date,,,Ccy,Conv)</f>
        <v>85.325000000000003</v>
      </c>
      <c r="H139" s="4">
        <f>_xll.ciqfunctions.udf.CIQ(InputTicker, "IQ_NET_RENTAL_EXP_FN",Input!J$2,Date,,,Ccy,Conv)</f>
        <v>82.057000000000002</v>
      </c>
      <c r="I139" s="4">
        <f>_xll.ciqfunctions.udf.CIQ(InputTicker, "IQ_NET_RENTAL_EXP_FN",Input!K$2,Date,,,Ccy,Conv)</f>
        <v>80</v>
      </c>
      <c r="J139" s="4">
        <f>_xll.ciqfunctions.udf.CIQ(InputTicker, "IQ_NET_RENTAL_EXP_FN",Input!L$2,Date,,,Ccy,Conv)</f>
        <v>78</v>
      </c>
      <c r="K139" s="4">
        <f>_xll.ciqfunctions.udf.CIQ(InputTicker, "IQ_NET_RENTAL_EXP_FN",Input!M$2,Date,,,Ccy,Conv)</f>
        <v>79</v>
      </c>
      <c r="L139" s="4">
        <f>_xll.ciqfunctions.udf.CIQ(InputTicker, "IQ_NET_RENTAL_EXP_FN",Input!N$2,Date,,,Ccy,Conv)</f>
        <v>75</v>
      </c>
      <c r="M139" s="4">
        <f>_xll.ciqfunctions.udf.CIQ(InputTicker, "IQ_NET_RENTAL_EXP_FN",Input!O$2,Date,,,Ccy,Conv)</f>
        <v>75</v>
      </c>
      <c r="N139" s="49"/>
      <c r="P139" s="51"/>
      <c r="Q139" s="51"/>
      <c r="R139" s="51"/>
      <c r="T139" s="42"/>
      <c r="U139" s="42"/>
      <c r="V139" s="51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</row>
    <row r="140" spans="1:66" ht="12.75" customHeight="1" x14ac:dyDescent="0.2">
      <c r="A140" s="1" t="s">
        <v>37</v>
      </c>
      <c r="B140" s="4">
        <f>_xll.ciqfunctions.udf.CIQ(InputTicker, "IQ_NET_RENTAL_EXP",Input!D$2,Date,,,Ccy,Conv)</f>
        <v>88.5</v>
      </c>
      <c r="C140" s="4">
        <f>_xll.ciqfunctions.udf.CIQ(InputTicker, "IQ_NET_RENTAL_EXP",Input!E$2,Date,,,Ccy,Conv)</f>
        <v>81.599999999999994</v>
      </c>
      <c r="D140" s="4">
        <f>_xll.ciqfunctions.udf.CIQ(InputTicker, "IQ_NET_RENTAL_EXP",Input!F$2,Date,,,Ccy,Conv)</f>
        <v>0</v>
      </c>
      <c r="E140" s="4">
        <f>_xll.ciqfunctions.udf.CIQ(InputTicker, "IQ_NET_RENTAL_EXP",Input!G$2,Date,,,Ccy,Conv)</f>
        <v>0</v>
      </c>
      <c r="F140" s="4">
        <f>_xll.ciqfunctions.udf.CIQ(InputTicker, "IQ_NET_RENTAL_EXP",Input!H$2,Date,,,Ccy,Conv)</f>
        <v>92.381</v>
      </c>
      <c r="G140" s="4">
        <f>_xll.ciqfunctions.udf.CIQ(InputTicker, "IQ_NET_RENTAL_EXP",Input!I$2,Date,,,Ccy,Conv)</f>
        <v>85.325000000000003</v>
      </c>
      <c r="H140" s="4">
        <f>_xll.ciqfunctions.udf.CIQ(InputTicker, "IQ_NET_RENTAL_EXP",Input!J$2,Date,,,Ccy,Conv)</f>
        <v>82.057000000000002</v>
      </c>
      <c r="I140" s="4">
        <f>_xll.ciqfunctions.udf.CIQ(InputTicker, "IQ_NET_RENTAL_EXP",Input!K$2,Date,,,Ccy,Conv)</f>
        <v>80</v>
      </c>
      <c r="J140" s="4">
        <f>_xll.ciqfunctions.udf.CIQ(InputTicker, "IQ_NET_RENTAL_EXP",Input!L$2,Date,,,Ccy,Conv)</f>
        <v>78</v>
      </c>
      <c r="K140" s="4">
        <f>_xll.ciqfunctions.udf.CIQ(InputTicker, "IQ_NET_RENTAL_EXP",Input!M$2,Date,,,Ccy,Conv)</f>
        <v>79</v>
      </c>
      <c r="L140" s="4">
        <f>_xll.ciqfunctions.udf.CIQ(InputTicker, "IQ_NET_RENTAL_EXP",Input!N$2,Date,,,Ccy,Conv)</f>
        <v>75</v>
      </c>
      <c r="M140" s="4">
        <f>_xll.ciqfunctions.udf.CIQ(InputTicker, "IQ_NET_RENTAL_EXP",Input!O$2,Date,,,Ccy,Conv)</f>
        <v>75</v>
      </c>
      <c r="N140" s="49"/>
      <c r="P140" s="51"/>
      <c r="Q140" s="51"/>
      <c r="R140" s="51"/>
      <c r="T140" s="42"/>
      <c r="U140" s="42"/>
      <c r="V140" s="51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</row>
    <row r="141" spans="1:66" ht="12.75" customHeight="1" x14ac:dyDescent="0.2">
      <c r="A141" s="1" t="s">
        <v>38</v>
      </c>
      <c r="B141" s="4">
        <f>_xll.ciqfunctions.udf.CIQ(InputTicker, "IQ_NET_RENTAL_EXP_SUPPLE",Input!D$2,Date,,,Ccy,Conv)</f>
        <v>0</v>
      </c>
      <c r="C141" s="4">
        <f>_xll.ciqfunctions.udf.CIQ(InputTicker, "IQ_NET_RENTAL_EXP_SUPPLE",Input!E$2,Date,,,Ccy,Conv)</f>
        <v>0</v>
      </c>
      <c r="D141" s="4">
        <f>_xll.ciqfunctions.udf.CIQ(InputTicker, "IQ_NET_RENTAL_EXP_SUPPLE",Input!F$2,Date,,,Ccy,Conv)</f>
        <v>81.2</v>
      </c>
      <c r="E141" s="4">
        <f>_xll.ciqfunctions.udf.CIQ(InputTicker, "IQ_NET_RENTAL_EXP_SUPPLE",Input!G$2,Date,,,Ccy,Conv)</f>
        <v>82.7</v>
      </c>
      <c r="F141" s="4">
        <f>_xll.ciqfunctions.udf.CIQ(InputTicker, "IQ_NET_RENTAL_EXP_SUPPLE",Input!H$2,Date,,,Ccy,Conv)</f>
        <v>0</v>
      </c>
      <c r="G141" s="4">
        <f>_xll.ciqfunctions.udf.CIQ(InputTicker, "IQ_NET_RENTAL_EXP_SUPPLE",Input!I$2,Date,,,Ccy,Conv)</f>
        <v>0</v>
      </c>
      <c r="H141" s="4">
        <f>_xll.ciqfunctions.udf.CIQ(InputTicker, "IQ_NET_RENTAL_EXP_SUPPLE",Input!J$2,Date,,,Ccy,Conv)</f>
        <v>0</v>
      </c>
      <c r="I141" s="4">
        <f>_xll.ciqfunctions.udf.CIQ(InputTicker, "IQ_NET_RENTAL_EXP_SUPPLE",Input!K$2,Date,,,Ccy,Conv)</f>
        <v>0</v>
      </c>
      <c r="J141" s="4">
        <f>_xll.ciqfunctions.udf.CIQ(InputTicker, "IQ_NET_RENTAL_EXP_SUPPLE",Input!L$2,Date,,,Ccy,Conv)</f>
        <v>0</v>
      </c>
      <c r="K141" s="4">
        <f>_xll.ciqfunctions.udf.CIQ(InputTicker, "IQ_NET_RENTAL_EXP_SUPPLE",Input!M$2,Date,,,Ccy,Conv)</f>
        <v>0</v>
      </c>
      <c r="L141" s="4">
        <f>_xll.ciqfunctions.udf.CIQ(InputTicker, "IQ_NET_RENTAL_EXP_SUPPLE",Input!N$2,Date,,,Ccy,Conv)</f>
        <v>0</v>
      </c>
      <c r="M141" s="4">
        <f>_xll.ciqfunctions.udf.CIQ(InputTicker, "IQ_NET_RENTAL_EXP_SUPPLE",Input!O$2,Date,,,Ccy,Conv)</f>
        <v>0</v>
      </c>
      <c r="N141" s="49"/>
      <c r="P141" s="51"/>
      <c r="Q141" s="51"/>
      <c r="R141" s="51"/>
      <c r="T141" s="42"/>
      <c r="U141" s="42"/>
      <c r="V141" s="51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</row>
    <row r="142" spans="1:66" ht="12.75" customHeight="1" x14ac:dyDescent="0.2">
      <c r="A142" s="1" t="s">
        <v>7</v>
      </c>
      <c r="B142" s="4">
        <f>_xll.ciqfunctions.udf.CIQ(InputTicker, "IQ_CONTINGENT_RENTAL",Input!D$2,Date,,,Ccy,Conv)</f>
        <v>0</v>
      </c>
      <c r="C142" s="4">
        <f>_xll.ciqfunctions.udf.CIQ(InputTicker, "IQ_CONTINGENT_RENTAL",Input!E$2,Date,,,Ccy,Conv)</f>
        <v>0</v>
      </c>
      <c r="D142" s="4">
        <f>_xll.ciqfunctions.udf.CIQ(InputTicker, "IQ_CONTINGENT_RENTAL",Input!F$2,Date,,,Ccy,Conv)</f>
        <v>0</v>
      </c>
      <c r="E142" s="4">
        <f>_xll.ciqfunctions.udf.CIQ(InputTicker, "IQ_CONTINGENT_RENTAL",Input!G$2,Date,,,Ccy,Conv)</f>
        <v>0</v>
      </c>
      <c r="F142" s="4">
        <f>_xll.ciqfunctions.udf.CIQ(InputTicker, "IQ_CONTINGENT_RENTAL",Input!H$2,Date,,,Ccy,Conv)</f>
        <v>11.657</v>
      </c>
      <c r="G142" s="4">
        <f>_xll.ciqfunctions.udf.CIQ(InputTicker, "IQ_CONTINGENT_RENTAL",Input!I$2,Date,,,Ccy,Conv)</f>
        <v>12.843</v>
      </c>
      <c r="H142" s="4">
        <f>_xll.ciqfunctions.udf.CIQ(InputTicker, "IQ_CONTINGENT_RENTAL",Input!J$2,Date,,,Ccy,Conv)</f>
        <v>11.641</v>
      </c>
      <c r="I142" s="4">
        <f>_xll.ciqfunctions.udf.CIQ(InputTicker, "IQ_CONTINGENT_RENTAL",Input!K$2,Date,,,Ccy,Conv)</f>
        <v>11</v>
      </c>
      <c r="J142" s="4">
        <f>_xll.ciqfunctions.udf.CIQ(InputTicker, "IQ_CONTINGENT_RENTAL",Input!L$2,Date,,,Ccy,Conv)</f>
        <v>13</v>
      </c>
      <c r="K142" s="4">
        <f>_xll.ciqfunctions.udf.CIQ(InputTicker, "IQ_CONTINGENT_RENTAL",Input!M$2,Date,,,Ccy,Conv)</f>
        <v>14</v>
      </c>
      <c r="L142" s="4">
        <f>_xll.ciqfunctions.udf.CIQ(InputTicker, "IQ_CONTINGENT_RENTAL",Input!N$2,Date,,,Ccy,Conv)</f>
        <v>13</v>
      </c>
      <c r="M142" s="4">
        <f>_xll.ciqfunctions.udf.CIQ(InputTicker, "IQ_CONTINGENT_RENTAL",Input!O$2,Date,,,Ccy,Conv)</f>
        <v>13</v>
      </c>
      <c r="N142" s="49"/>
      <c r="P142" s="51"/>
      <c r="Q142" s="51"/>
      <c r="R142" s="51"/>
      <c r="T142" s="42"/>
      <c r="U142" s="42"/>
      <c r="V142" s="51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</row>
    <row r="143" spans="1:66" ht="12.75" customHeight="1" x14ac:dyDescent="0.2">
      <c r="A143" s="1" t="s">
        <v>29</v>
      </c>
      <c r="B143" s="4">
        <f>_xll.ciqfunctions.udf.CIQ(InputTicker, "IQ_MINIMUM_RENTAL",Input!D$2,Date,,,Ccy,Conv)</f>
        <v>0</v>
      </c>
      <c r="C143" s="4">
        <f>_xll.ciqfunctions.udf.CIQ(InputTicker, "IQ_MINIMUM_RENTAL",Input!E$2,Date,,,Ccy,Conv)</f>
        <v>0</v>
      </c>
      <c r="D143" s="4">
        <f>_xll.ciqfunctions.udf.CIQ(InputTicker, "IQ_MINIMUM_RENTAL",Input!F$2,Date,,,Ccy,Conv)</f>
        <v>0</v>
      </c>
      <c r="E143" s="4">
        <f>_xll.ciqfunctions.udf.CIQ(InputTicker, "IQ_MINIMUM_RENTAL",Input!G$2,Date,,,Ccy,Conv)</f>
        <v>0</v>
      </c>
      <c r="F143" s="4">
        <f>_xll.ciqfunctions.udf.CIQ(InputTicker, "IQ_MINIMUM_RENTAL",Input!H$2,Date,,,Ccy,Conv)</f>
        <v>0</v>
      </c>
      <c r="G143" s="4">
        <f>_xll.ciqfunctions.udf.CIQ(InputTicker, "IQ_MINIMUM_RENTAL",Input!I$2,Date,,,Ccy,Conv)</f>
        <v>0</v>
      </c>
      <c r="H143" s="4">
        <f>_xll.ciqfunctions.udf.CIQ(InputTicker, "IQ_MINIMUM_RENTAL",Input!J$2,Date,,,Ccy,Conv)</f>
        <v>0</v>
      </c>
      <c r="I143" s="4">
        <f>_xll.ciqfunctions.udf.CIQ(InputTicker, "IQ_MINIMUM_RENTAL",Input!K$2,Date,,,Ccy,Conv)</f>
        <v>0</v>
      </c>
      <c r="J143" s="4">
        <f>_xll.ciqfunctions.udf.CIQ(InputTicker, "IQ_MINIMUM_RENTAL",Input!L$2,Date,,,Ccy,Conv)</f>
        <v>0</v>
      </c>
      <c r="K143" s="4">
        <f>_xll.ciqfunctions.udf.CIQ(InputTicker, "IQ_MINIMUM_RENTAL",Input!M$2,Date,,,Ccy,Conv)</f>
        <v>0</v>
      </c>
      <c r="L143" s="4">
        <f>_xll.ciqfunctions.udf.CIQ(InputTicker, "IQ_MINIMUM_RENTAL",Input!N$2,Date,,,Ccy,Conv)</f>
        <v>0</v>
      </c>
      <c r="M143" s="4">
        <f>_xll.ciqfunctions.udf.CIQ(InputTicker, "IQ_MINIMUM_RENTAL",Input!O$2,Date,,,Ccy,Conv)</f>
        <v>0</v>
      </c>
      <c r="N143" s="49"/>
      <c r="P143" s="51"/>
      <c r="Q143" s="51"/>
      <c r="R143" s="51"/>
      <c r="T143" s="42"/>
      <c r="U143" s="42"/>
      <c r="V143" s="51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</row>
    <row r="144" spans="1:66" ht="12.75" customHeight="1" x14ac:dyDescent="0.2">
      <c r="A144" s="1" t="s">
        <v>30</v>
      </c>
      <c r="B144" s="4">
        <f>_xll.ciqfunctions.udf.CIQ(InputTicker, "IQ_OTHER_RENTAL",Input!D$2,Date,,,Ccy,Conv)</f>
        <v>0</v>
      </c>
      <c r="C144" s="4">
        <f>_xll.ciqfunctions.udf.CIQ(InputTicker, "IQ_OTHER_RENTAL",Input!E$2,Date,,,Ccy,Conv)</f>
        <v>0</v>
      </c>
      <c r="D144" s="4">
        <f>_xll.ciqfunctions.udf.CIQ(InputTicker, "IQ_OTHER_RENTAL",Input!F$2,Date,,,Ccy,Conv)</f>
        <v>0</v>
      </c>
      <c r="E144" s="4">
        <f>_xll.ciqfunctions.udf.CIQ(InputTicker, "IQ_OTHER_RENTAL",Input!G$2,Date,,,Ccy,Conv)</f>
        <v>0</v>
      </c>
      <c r="F144" s="4">
        <f>_xll.ciqfunctions.udf.CIQ(InputTicker, "IQ_OTHER_RENTAL",Input!H$2,Date,,,Ccy,Conv)</f>
        <v>0</v>
      </c>
      <c r="G144" s="4">
        <f>_xll.ciqfunctions.udf.CIQ(InputTicker, "IQ_OTHER_RENTAL",Input!I$2,Date,,,Ccy,Conv)</f>
        <v>0</v>
      </c>
      <c r="H144" s="4">
        <f>_xll.ciqfunctions.udf.CIQ(InputTicker, "IQ_OTHER_RENTAL",Input!J$2,Date,,,Ccy,Conv)</f>
        <v>0</v>
      </c>
      <c r="I144" s="4">
        <f>_xll.ciqfunctions.udf.CIQ(InputTicker, "IQ_OTHER_RENTAL",Input!K$2,Date,,,Ccy,Conv)</f>
        <v>0</v>
      </c>
      <c r="J144" s="4">
        <f>_xll.ciqfunctions.udf.CIQ(InputTicker, "IQ_OTHER_RENTAL",Input!L$2,Date,,,Ccy,Conv)</f>
        <v>0</v>
      </c>
      <c r="K144" s="4">
        <f>_xll.ciqfunctions.udf.CIQ(InputTicker, "IQ_OTHER_RENTAL",Input!M$2,Date,,,Ccy,Conv)</f>
        <v>0</v>
      </c>
      <c r="L144" s="4">
        <f>_xll.ciqfunctions.udf.CIQ(InputTicker, "IQ_OTHER_RENTAL",Input!N$2,Date,,,Ccy,Conv)</f>
        <v>0</v>
      </c>
      <c r="M144" s="4">
        <f>_xll.ciqfunctions.udf.CIQ(InputTicker, "IQ_OTHER_RENTAL",Input!O$2,Date,,,Ccy,Conv)</f>
        <v>0</v>
      </c>
      <c r="N144" s="49"/>
      <c r="P144" s="51"/>
      <c r="Q144" s="51"/>
      <c r="R144" s="51"/>
      <c r="T144" s="42"/>
      <c r="U144" s="42"/>
      <c r="V144" s="51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</row>
    <row r="145" spans="1:66" ht="12.75" customHeight="1" x14ac:dyDescent="0.2">
      <c r="A145" s="1" t="s">
        <v>17</v>
      </c>
      <c r="B145" s="4">
        <f>_xll.ciqfunctions.udf.CIQ(InputTicker, "IQ_AIRCRAFT_RENT",Input!D$2,Date,,,Ccy,Conv)</f>
        <v>0</v>
      </c>
      <c r="C145" s="4">
        <f>_xll.ciqfunctions.udf.CIQ(InputTicker, "IQ_AIRCRAFT_RENT",Input!E$2,Date,,,Ccy,Conv)</f>
        <v>0</v>
      </c>
      <c r="D145" s="4">
        <f>_xll.ciqfunctions.udf.CIQ(InputTicker, "IQ_AIRCRAFT_RENT",Input!F$2,Date,,,Ccy,Conv)</f>
        <v>0</v>
      </c>
      <c r="E145" s="4">
        <f>_xll.ciqfunctions.udf.CIQ(InputTicker, "IQ_AIRCRAFT_RENT",Input!G$2,Date,,,Ccy,Conv)</f>
        <v>0</v>
      </c>
      <c r="F145" s="4">
        <f>_xll.ciqfunctions.udf.CIQ(InputTicker, "IQ_AIRCRAFT_RENT",Input!H$2,Date,,,Ccy,Conv)</f>
        <v>0</v>
      </c>
      <c r="G145" s="4">
        <f>_xll.ciqfunctions.udf.CIQ(InputTicker, "IQ_AIRCRAFT_RENT",Input!I$2,Date,,,Ccy,Conv)</f>
        <v>0</v>
      </c>
      <c r="H145" s="4">
        <f>_xll.ciqfunctions.udf.CIQ(InputTicker, "IQ_AIRCRAFT_RENT",Input!J$2,Date,,,Ccy,Conv)</f>
        <v>0</v>
      </c>
      <c r="I145" s="4">
        <f>_xll.ciqfunctions.udf.CIQ(InputTicker, "IQ_AIRCRAFT_RENT",Input!K$2,Date,,,Ccy,Conv)</f>
        <v>0</v>
      </c>
      <c r="J145" s="4">
        <f>_xll.ciqfunctions.udf.CIQ(InputTicker, "IQ_AIRCRAFT_RENT",Input!L$2,Date,,,Ccy,Conv)</f>
        <v>0</v>
      </c>
      <c r="K145" s="4">
        <f>_xll.ciqfunctions.udf.CIQ(InputTicker, "IQ_AIRCRAFT_RENT",Input!M$2,Date,,,Ccy,Conv)</f>
        <v>0</v>
      </c>
      <c r="L145" s="4">
        <f>_xll.ciqfunctions.udf.CIQ(InputTicker, "IQ_AIRCRAFT_RENT",Input!N$2,Date,,,Ccy,Conv)</f>
        <v>0</v>
      </c>
      <c r="M145" s="4">
        <f>_xll.ciqfunctions.udf.CIQ(InputTicker, "IQ_AIRCRAFT_RENT",Input!O$2,Date,,,Ccy,Conv)</f>
        <v>0</v>
      </c>
      <c r="N145" s="49"/>
      <c r="P145" s="51"/>
      <c r="Q145" s="51"/>
      <c r="R145" s="51"/>
      <c r="T145" s="42"/>
      <c r="U145" s="42"/>
      <c r="V145" s="51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</row>
    <row r="146" spans="1:66" ht="12.75" customHeight="1" x14ac:dyDescent="0.2">
      <c r="A146" s="1" t="s">
        <v>31</v>
      </c>
      <c r="B146" s="4">
        <f>_xll.ciqfunctions.udf.CIQ(InputTicker, "IQ_DEPRECIATION_RENTAL_ASSETS",Input!D$2,Date,,,Ccy,Conv)</f>
        <v>0</v>
      </c>
      <c r="C146" s="4">
        <f>_xll.ciqfunctions.udf.CIQ(InputTicker, "IQ_DEPRECIATION_RENTAL_ASSETS",Input!E$2,Date,,,Ccy,Conv)</f>
        <v>0</v>
      </c>
      <c r="D146" s="4">
        <f>_xll.ciqfunctions.udf.CIQ(InputTicker, "IQ_DEPRECIATION_RENTAL_ASSETS",Input!F$2,Date,,,Ccy,Conv)</f>
        <v>0</v>
      </c>
      <c r="E146" s="4">
        <f>_xll.ciqfunctions.udf.CIQ(InputTicker, "IQ_DEPRECIATION_RENTAL_ASSETS",Input!G$2,Date,,,Ccy,Conv)</f>
        <v>0</v>
      </c>
      <c r="F146" s="4">
        <f>_xll.ciqfunctions.udf.CIQ(InputTicker, "IQ_DEPRECIATION_RENTAL_ASSETS",Input!H$2,Date,,,Ccy,Conv)</f>
        <v>0</v>
      </c>
      <c r="G146" s="4">
        <f>_xll.ciqfunctions.udf.CIQ(InputTicker, "IQ_DEPRECIATION_RENTAL_ASSETS",Input!I$2,Date,,,Ccy,Conv)</f>
        <v>0</v>
      </c>
      <c r="H146" s="4">
        <f>_xll.ciqfunctions.udf.CIQ(InputTicker, "IQ_DEPRECIATION_RENTAL_ASSETS",Input!J$2,Date,,,Ccy,Conv)</f>
        <v>0</v>
      </c>
      <c r="I146" s="4">
        <f>_xll.ciqfunctions.udf.CIQ(InputTicker, "IQ_DEPRECIATION_RENTAL_ASSETS",Input!K$2,Date,,,Ccy,Conv)</f>
        <v>0</v>
      </c>
      <c r="J146" s="4">
        <f>_xll.ciqfunctions.udf.CIQ(InputTicker, "IQ_DEPRECIATION_RENTAL_ASSETS",Input!L$2,Date,,,Ccy,Conv)</f>
        <v>0</v>
      </c>
      <c r="K146" s="4">
        <f>_xll.ciqfunctions.udf.CIQ(InputTicker, "IQ_DEPRECIATION_RENTAL_ASSETS",Input!M$2,Date,,,Ccy,Conv)</f>
        <v>0</v>
      </c>
      <c r="L146" s="4">
        <f>_xll.ciqfunctions.udf.CIQ(InputTicker, "IQ_DEPRECIATION_RENTAL_ASSETS",Input!N$2,Date,,,Ccy,Conv)</f>
        <v>0</v>
      </c>
      <c r="M146" s="4">
        <f>_xll.ciqfunctions.udf.CIQ(InputTicker, "IQ_DEPRECIATION_RENTAL_ASSETS",Input!O$2,Date,,,Ccy,Conv)</f>
        <v>0</v>
      </c>
      <c r="N146" s="49"/>
      <c r="P146" s="51"/>
      <c r="Q146" s="51"/>
      <c r="R146" s="51"/>
      <c r="T146" s="42"/>
      <c r="U146" s="42"/>
      <c r="V146" s="51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</row>
    <row r="147" spans="1:66" ht="12.75" customHeight="1" x14ac:dyDescent="0.2">
      <c r="A147" s="1" t="s">
        <v>406</v>
      </c>
      <c r="B147" s="4">
        <f>_xll.ciqfunctions.udf.CIQ(InputTicker, "IQ_EXPLORE_DRILL_EXP_TOTAL",Input!D$2,Date,,,Ccy,Conv)</f>
        <v>0</v>
      </c>
      <c r="C147" s="4">
        <f>_xll.ciqfunctions.udf.CIQ(InputTicker, "IQ_EXPLORE_DRILL_EXP_TOTAL",Input!E$2,Date,,,Ccy,Conv)</f>
        <v>0</v>
      </c>
      <c r="D147" s="4">
        <f>_xll.ciqfunctions.udf.CIQ(InputTicker, "IQ_EXPLORE_DRILL_EXP_TOTAL",Input!F$2,Date,,,Ccy,Conv)</f>
        <v>0</v>
      </c>
      <c r="E147" s="4">
        <f>_xll.ciqfunctions.udf.CIQ(InputTicker, "IQ_EXPLORE_DRILL_EXP_TOTAL",Input!G$2,Date,,,Ccy,Conv)</f>
        <v>0</v>
      </c>
      <c r="F147" s="4">
        <f>_xll.ciqfunctions.udf.CIQ(InputTicker, "IQ_EXPLORE_DRILL_EXP_TOTAL",Input!H$2,Date,,,Ccy,Conv)</f>
        <v>0</v>
      </c>
      <c r="G147" s="4">
        <f>_xll.ciqfunctions.udf.CIQ(InputTicker, "IQ_EXPLORE_DRILL_EXP_TOTAL",Input!I$2,Date,,,Ccy,Conv)</f>
        <v>0</v>
      </c>
      <c r="H147" s="4">
        <f>_xll.ciqfunctions.udf.CIQ(InputTicker, "IQ_EXPLORE_DRILL_EXP_TOTAL",Input!J$2,Date,,,Ccy,Conv)</f>
        <v>0</v>
      </c>
      <c r="I147" s="4">
        <f>_xll.ciqfunctions.udf.CIQ(InputTicker, "IQ_EXPLORE_DRILL_EXP_TOTAL",Input!K$2,Date,,,Ccy,Conv)</f>
        <v>0</v>
      </c>
      <c r="J147" s="4">
        <f>_xll.ciqfunctions.udf.CIQ(InputTicker, "IQ_EXPLORE_DRILL_EXP_TOTAL",Input!L$2,Date,,,Ccy,Conv)</f>
        <v>0</v>
      </c>
      <c r="K147" s="4">
        <f>_xll.ciqfunctions.udf.CIQ(InputTicker, "IQ_EXPLORE_DRILL_EXP_TOTAL",Input!M$2,Date,,,Ccy,Conv)</f>
        <v>0</v>
      </c>
      <c r="L147" s="4">
        <f>_xll.ciqfunctions.udf.CIQ(InputTicker, "IQ_EXPLORE_DRILL_EXP_TOTAL",Input!N$2,Date,,,Ccy,Conv)</f>
        <v>0</v>
      </c>
      <c r="M147" s="4">
        <f>_xll.ciqfunctions.udf.CIQ(InputTicker, "IQ_EXPLORE_DRILL_EXP_TOTAL",Input!O$2,Date,,,Ccy,Conv)</f>
        <v>0</v>
      </c>
      <c r="N147" s="49"/>
      <c r="P147" s="51"/>
      <c r="Q147" s="51"/>
      <c r="R147" s="51"/>
      <c r="T147" s="42"/>
      <c r="U147" s="42"/>
      <c r="V147" s="51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</row>
    <row r="148" spans="1:66" ht="12.75" customHeight="1" x14ac:dyDescent="0.2">
      <c r="A148" s="1" t="s">
        <v>333</v>
      </c>
      <c r="B148" s="4">
        <f>_xll.ciqfunctions.udf.CIQ(InputTicker, "IQ_MAINT_REPAIR",Input!D$2,Date,,,Ccy,Conv)</f>
        <v>0</v>
      </c>
      <c r="C148" s="4">
        <f>_xll.ciqfunctions.udf.CIQ(InputTicker, "IQ_MAINT_REPAIR",Input!E$2,Date,,,Ccy,Conv)</f>
        <v>0</v>
      </c>
      <c r="D148" s="4">
        <f>_xll.ciqfunctions.udf.CIQ(InputTicker, "IQ_MAINT_REPAIR",Input!F$2,Date,,,Ccy,Conv)</f>
        <v>0</v>
      </c>
      <c r="E148" s="4">
        <f>_xll.ciqfunctions.udf.CIQ(InputTicker, "IQ_MAINT_REPAIR",Input!G$2,Date,,,Ccy,Conv)</f>
        <v>0</v>
      </c>
      <c r="F148" s="4">
        <f>_xll.ciqfunctions.udf.CIQ(InputTicker, "IQ_MAINT_REPAIR",Input!H$2,Date,,,Ccy,Conv)</f>
        <v>0</v>
      </c>
      <c r="G148" s="4">
        <f>_xll.ciqfunctions.udf.CIQ(InputTicker, "IQ_MAINT_REPAIR",Input!I$2,Date,,,Ccy,Conv)</f>
        <v>0</v>
      </c>
      <c r="H148" s="4">
        <f>_xll.ciqfunctions.udf.CIQ(InputTicker, "IQ_MAINT_REPAIR",Input!J$2,Date,,,Ccy,Conv)</f>
        <v>0</v>
      </c>
      <c r="I148" s="4">
        <f>_xll.ciqfunctions.udf.CIQ(InputTicker, "IQ_MAINT_REPAIR",Input!K$2,Date,,,Ccy,Conv)</f>
        <v>0</v>
      </c>
      <c r="J148" s="4">
        <f>_xll.ciqfunctions.udf.CIQ(InputTicker, "IQ_MAINT_REPAIR",Input!L$2,Date,,,Ccy,Conv)</f>
        <v>0</v>
      </c>
      <c r="K148" s="4">
        <f>_xll.ciqfunctions.udf.CIQ(InputTicker, "IQ_MAINT_REPAIR",Input!M$2,Date,,,Ccy,Conv)</f>
        <v>0</v>
      </c>
      <c r="L148" s="4">
        <f>_xll.ciqfunctions.udf.CIQ(InputTicker, "IQ_MAINT_REPAIR",Input!N$2,Date,,,Ccy,Conv)</f>
        <v>0</v>
      </c>
      <c r="M148" s="4">
        <f>_xll.ciqfunctions.udf.CIQ(InputTicker, "IQ_MAINT_REPAIR",Input!O$2,Date,,,Ccy,Conv)</f>
        <v>0</v>
      </c>
      <c r="N148" s="49"/>
      <c r="P148" s="51"/>
      <c r="Q148" s="51"/>
      <c r="R148" s="51"/>
      <c r="T148" s="42"/>
      <c r="U148" s="42"/>
      <c r="V148" s="51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</row>
    <row r="149" spans="1:66" ht="12.75" customHeight="1" x14ac:dyDescent="0.2">
      <c r="A149" s="1" t="s">
        <v>334</v>
      </c>
      <c r="B149" s="4">
        <f>_xll.ciqfunctions.udf.CIQ(InputTicker, "IQ_IMPUT_OPER_LEASE_INT_EXP",Input!D$2,Date,,,Ccy,Conv)</f>
        <v>29.936360000000001</v>
      </c>
      <c r="C149" s="4">
        <f>_xll.ciqfunctions.udf.CIQ(InputTicker, "IQ_IMPUT_OPER_LEASE_INT_EXP",Input!E$2,Date,,,Ccy,Conv)</f>
        <v>23.77824</v>
      </c>
      <c r="D149" s="4">
        <f>_xll.ciqfunctions.udf.CIQ(InputTicker, "IQ_IMPUT_OPER_LEASE_INT_EXP",Input!F$2,Date,,,Ccy,Conv)</f>
        <v>29.348279999999999</v>
      </c>
      <c r="E149" s="4">
        <f>_xll.ciqfunctions.udf.CIQ(InputTicker, "IQ_IMPUT_OPER_LEASE_INT_EXP",Input!G$2,Date,,,Ccy,Conv)</f>
        <v>31.639700000000001</v>
      </c>
      <c r="F149" s="4">
        <f>_xll.ciqfunctions.udf.CIQ(InputTicker, "IQ_IMPUT_OPER_LEASE_INT_EXP",Input!H$2,Date,,,Ccy,Conv)</f>
        <v>32.521070000000002</v>
      </c>
      <c r="G149" s="4">
        <f>_xll.ciqfunctions.udf.CIQ(InputTicker, "IQ_IMPUT_OPER_LEASE_INT_EXP",Input!I$2,Date,,,Ccy,Conv)</f>
        <v>21.034320000000001</v>
      </c>
      <c r="H149" s="4">
        <f>_xll.ciqfunctions.udf.CIQ(InputTicker, "IQ_IMPUT_OPER_LEASE_INT_EXP",Input!J$2,Date,,,Ccy,Conv)</f>
        <v>20.845099999999999</v>
      </c>
      <c r="I149" s="4">
        <f>_xll.ciqfunctions.udf.CIQ(InputTicker, "IQ_IMPUT_OPER_LEASE_INT_EXP",Input!K$2,Date,,,Ccy,Conv)</f>
        <v>22.832000000000001</v>
      </c>
      <c r="J149" s="4">
        <f>_xll.ciqfunctions.udf.CIQ(InputTicker, "IQ_IMPUT_OPER_LEASE_INT_EXP",Input!L$2,Date,,,Ccy,Conv)</f>
        <v>27.381740000000001</v>
      </c>
      <c r="K149" s="4">
        <f>_xll.ciqfunctions.udf.CIQ(InputTicker, "IQ_IMPUT_OPER_LEASE_INT_EXP",Input!M$2,Date,,,Ccy,Conv)</f>
        <v>27.030010000000001</v>
      </c>
      <c r="L149" s="4">
        <f>_xll.ciqfunctions.udf.CIQ(InputTicker, "IQ_IMPUT_OPER_LEASE_INT_EXP",Input!N$2,Date,,,Ccy,Conv)</f>
        <v>26.471399999999999</v>
      </c>
      <c r="M149" s="4">
        <f>_xll.ciqfunctions.udf.CIQ(InputTicker, "IQ_IMPUT_OPER_LEASE_INT_EXP",Input!O$2,Date,,,Ccy,Conv)</f>
        <v>26.471399999999999</v>
      </c>
      <c r="N149" s="49"/>
      <c r="P149" s="51"/>
      <c r="Q149" s="51"/>
      <c r="R149" s="51"/>
      <c r="T149" s="42"/>
      <c r="U149" s="42"/>
      <c r="V149" s="51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</row>
    <row r="150" spans="1:66" ht="12.75" customHeight="1" x14ac:dyDescent="0.2">
      <c r="A150" s="1" t="s">
        <v>335</v>
      </c>
      <c r="B150" s="4">
        <f>_xll.ciqfunctions.udf.CIQ(InputTicker, "IQ_IMPUT_OPER_LEASE_DEPR",Input!D$2,Date,,,Ccy,Conv)</f>
        <v>58.563639999999999</v>
      </c>
      <c r="C150" s="4">
        <f>_xll.ciqfunctions.udf.CIQ(InputTicker, "IQ_IMPUT_OPER_LEASE_DEPR",Input!E$2,Date,,,Ccy,Conv)</f>
        <v>57.821759999999998</v>
      </c>
      <c r="D150" s="4">
        <f>_xll.ciqfunctions.udf.CIQ(InputTicker, "IQ_IMPUT_OPER_LEASE_DEPR",Input!F$2,Date,,,Ccy,Conv)</f>
        <v>51.85172</v>
      </c>
      <c r="E150" s="4">
        <f>_xll.ciqfunctions.udf.CIQ(InputTicker, "IQ_IMPUT_OPER_LEASE_DEPR",Input!G$2,Date,,,Ccy,Conv)</f>
        <v>51.060299999999998</v>
      </c>
      <c r="F150" s="4">
        <f>_xll.ciqfunctions.udf.CIQ(InputTicker, "IQ_IMPUT_OPER_LEASE_DEPR",Input!H$2,Date,,,Ccy,Conv)</f>
        <v>59.859929999999999</v>
      </c>
      <c r="G150" s="4">
        <f>_xll.ciqfunctions.udf.CIQ(InputTicker, "IQ_IMPUT_OPER_LEASE_DEPR",Input!I$2,Date,,,Ccy,Conv)</f>
        <v>64.290679999999995</v>
      </c>
      <c r="H150" s="4">
        <f>_xll.ciqfunctions.udf.CIQ(InputTicker, "IQ_IMPUT_OPER_LEASE_DEPR",Input!J$2,Date,,,Ccy,Conv)</f>
        <v>61.2119</v>
      </c>
      <c r="I150" s="4">
        <f>_xll.ciqfunctions.udf.CIQ(InputTicker, "IQ_IMPUT_OPER_LEASE_DEPR",Input!K$2,Date,,,Ccy,Conv)</f>
        <v>57.167999999999999</v>
      </c>
      <c r="J150" s="4">
        <f>_xll.ciqfunctions.udf.CIQ(InputTicker, "IQ_IMPUT_OPER_LEASE_DEPR",Input!L$2,Date,,,Ccy,Conv)</f>
        <v>50.618259999999999</v>
      </c>
      <c r="K150" s="4">
        <f>_xll.ciqfunctions.udf.CIQ(InputTicker, "IQ_IMPUT_OPER_LEASE_DEPR",Input!M$2,Date,,,Ccy,Conv)</f>
        <v>51.969990000000003</v>
      </c>
      <c r="L150" s="4">
        <f>_xll.ciqfunctions.udf.CIQ(InputTicker, "IQ_IMPUT_OPER_LEASE_DEPR",Input!N$2,Date,,,Ccy,Conv)</f>
        <v>48.528599999999997</v>
      </c>
      <c r="M150" s="4">
        <f>_xll.ciqfunctions.udf.CIQ(InputTicker, "IQ_IMPUT_OPER_LEASE_DEPR",Input!O$2,Date,,,Ccy,Conv)</f>
        <v>48.528599999999997</v>
      </c>
      <c r="N150" s="49"/>
      <c r="P150" s="46"/>
      <c r="Q150" s="46"/>
      <c r="R150" s="46"/>
      <c r="T150" s="42"/>
      <c r="U150" s="42"/>
      <c r="V150" s="46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</row>
    <row r="151" spans="1:66" ht="12.75" customHeight="1" x14ac:dyDescent="0.2">
      <c r="A151" s="1" t="s">
        <v>392</v>
      </c>
      <c r="B151" s="4">
        <f>_xll.ciqfunctions.udf.CIQ(InputTicker, "IQ_SALARIES_OTHER_BENEFITS",Input!D$2,Date,,,Ccy,Conv)</f>
        <v>0</v>
      </c>
      <c r="C151" s="4">
        <f>_xll.ciqfunctions.udf.CIQ(InputTicker, "IQ_SALARIES_OTHER_BENEFITS",Input!E$2,Date,,,Ccy,Conv)</f>
        <v>0</v>
      </c>
      <c r="D151" s="4">
        <f>_xll.ciqfunctions.udf.CIQ(InputTicker, "IQ_SALARIES_OTHER_BENEFITS",Input!F$2,Date,,,Ccy,Conv)</f>
        <v>0</v>
      </c>
      <c r="E151" s="4">
        <f>_xll.ciqfunctions.udf.CIQ(InputTicker, "IQ_SALARIES_OTHER_BENEFITS",Input!G$2,Date,,,Ccy,Conv)</f>
        <v>0</v>
      </c>
      <c r="F151" s="4">
        <f>_xll.ciqfunctions.udf.CIQ(InputTicker, "IQ_SALARIES_OTHER_BENEFITS",Input!H$2,Date,,,Ccy,Conv)</f>
        <v>0</v>
      </c>
      <c r="G151" s="4">
        <f>_xll.ciqfunctions.udf.CIQ(InputTicker, "IQ_SALARIES_OTHER_BENEFITS",Input!I$2,Date,,,Ccy,Conv)</f>
        <v>0</v>
      </c>
      <c r="H151" s="4">
        <f>_xll.ciqfunctions.udf.CIQ(InputTicker, "IQ_SALARIES_OTHER_BENEFITS",Input!J$2,Date,,,Ccy,Conv)</f>
        <v>0</v>
      </c>
      <c r="I151" s="4">
        <f>_xll.ciqfunctions.udf.CIQ(InputTicker, "IQ_SALARIES_OTHER_BENEFITS",Input!K$2,Date,,,Ccy,Conv)</f>
        <v>0</v>
      </c>
      <c r="J151" s="4">
        <f>_xll.ciqfunctions.udf.CIQ(InputTicker, "IQ_SALARIES_OTHER_BENEFITS",Input!L$2,Date,,,Ccy,Conv)</f>
        <v>0</v>
      </c>
      <c r="K151" s="4">
        <f>_xll.ciqfunctions.udf.CIQ(InputTicker, "IQ_SALARIES_OTHER_BENEFITS",Input!M$2,Date,,,Ccy,Conv)</f>
        <v>0</v>
      </c>
      <c r="L151" s="4">
        <f>_xll.ciqfunctions.udf.CIQ(InputTicker, "IQ_SALARIES_OTHER_BENEFITS",Input!N$2,Date,,,Ccy,Conv)</f>
        <v>0</v>
      </c>
      <c r="M151" s="4">
        <f>_xll.ciqfunctions.udf.CIQ(InputTicker, "IQ_SALARIES_OTHER_BENEFITS",Input!O$2,Date,,,Ccy,Conv)</f>
        <v>0</v>
      </c>
      <c r="N151" s="49"/>
      <c r="P151" s="46"/>
      <c r="Q151" s="46"/>
      <c r="R151" s="46"/>
      <c r="T151" s="42"/>
      <c r="U151" s="42"/>
      <c r="V151" s="46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</row>
    <row r="152" spans="1:66" ht="12.75" customHeight="1" x14ac:dyDescent="0.2">
      <c r="A152" s="1" t="s">
        <v>411</v>
      </c>
      <c r="B152" s="4">
        <f>_xll.ciqfunctions.udf.CIQ(InputTicker,"IQ_RESTRUCTURE_SUPPLE",Input!D$2,Date,,,Ccy,Conv)</f>
        <v>0</v>
      </c>
      <c r="C152" s="4">
        <f>_xll.ciqfunctions.udf.CIQ(InputTicker,"IQ_RESTRUCTURE_SUPPLE",Input!E$2,Date,,,Ccy,Conv)</f>
        <v>0</v>
      </c>
      <c r="D152" s="4">
        <f>_xll.ciqfunctions.udf.CIQ(InputTicker,"IQ_RESTRUCTURE_SUPPLE",Input!F$2,Date,,,Ccy,Conv)</f>
        <v>0</v>
      </c>
      <c r="E152" s="4">
        <f>_xll.ciqfunctions.udf.CIQ(InputTicker,"IQ_RESTRUCTURE_SUPPLE",Input!G$2,Date,,,Ccy,Conv)</f>
        <v>0</v>
      </c>
      <c r="F152" s="4">
        <f>_xll.ciqfunctions.udf.CIQ(InputTicker,"IQ_RESTRUCTURE_SUPPLE",Input!H$2,Date,,,Ccy,Conv)</f>
        <v>0</v>
      </c>
      <c r="G152" s="4">
        <f>_xll.ciqfunctions.udf.CIQ(InputTicker,"IQ_RESTRUCTURE_SUPPLE",Input!I$2,Date,,,Ccy,Conv)</f>
        <v>0</v>
      </c>
      <c r="H152" s="4">
        <f>_xll.ciqfunctions.udf.CIQ(InputTicker,"IQ_RESTRUCTURE_SUPPLE",Input!J$2,Date,,,Ccy,Conv)</f>
        <v>-4.1639999999999997</v>
      </c>
      <c r="I152" s="4">
        <f>_xll.ciqfunctions.udf.CIQ(InputTicker,"IQ_RESTRUCTURE_SUPPLE",Input!K$2,Date,,,Ccy,Conv)</f>
        <v>0</v>
      </c>
      <c r="J152" s="4">
        <f>_xll.ciqfunctions.udf.CIQ(InputTicker,"IQ_RESTRUCTURE_SUPPLE",Input!L$2,Date,,,Ccy,Conv)</f>
        <v>0</v>
      </c>
      <c r="K152" s="4">
        <f>_xll.ciqfunctions.udf.CIQ(InputTicker,"IQ_RESTRUCTURE_SUPPLE",Input!M$2,Date,,,Ccy,Conv)</f>
        <v>0</v>
      </c>
      <c r="L152" s="4">
        <f>_xll.ciqfunctions.udf.CIQ(InputTicker,"IQ_RESTRUCTURE_SUPPLE",Input!N$2,Date,,,Ccy,Conv)</f>
        <v>0</v>
      </c>
      <c r="M152" s="4">
        <f>_xll.ciqfunctions.udf.CIQ(InputTicker,"IQ_RESTRUCTURE_SUPPLE",Input!O$2,Date,,,Ccy,Conv)</f>
        <v>0</v>
      </c>
      <c r="N152" s="49"/>
      <c r="P152" s="46"/>
      <c r="Q152" s="46"/>
      <c r="R152" s="46"/>
      <c r="T152" s="42"/>
      <c r="U152" s="42"/>
      <c r="V152" s="46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</row>
    <row r="153" spans="1:66" ht="12.75" customHeight="1" x14ac:dyDescent="0.2">
      <c r="A153" s="1" t="s">
        <v>412</v>
      </c>
      <c r="B153" s="4">
        <f>_xll.ciqfunctions.udf.CIQ(InputTicker,"IQ_MERGER_SUPPLE",Input!D$2,Date,,,Ccy,Conv)</f>
        <v>0</v>
      </c>
      <c r="C153" s="4">
        <f>_xll.ciqfunctions.udf.CIQ(InputTicker,"IQ_MERGER_SUPPLE",Input!E$2,Date,,,Ccy,Conv)</f>
        <v>0</v>
      </c>
      <c r="D153" s="4">
        <f>_xll.ciqfunctions.udf.CIQ(InputTicker,"IQ_MERGER_SUPPLE",Input!F$2,Date,,,Ccy,Conv)</f>
        <v>0</v>
      </c>
      <c r="E153" s="4">
        <f>_xll.ciqfunctions.udf.CIQ(InputTicker,"IQ_MERGER_SUPPLE",Input!G$2,Date,,,Ccy,Conv)</f>
        <v>0</v>
      </c>
      <c r="F153" s="4">
        <f>_xll.ciqfunctions.udf.CIQ(InputTicker,"IQ_MERGER_SUPPLE",Input!H$2,Date,,,Ccy,Conv)</f>
        <v>0</v>
      </c>
      <c r="G153" s="4">
        <f>_xll.ciqfunctions.udf.CIQ(InputTicker,"IQ_MERGER_SUPPLE",Input!I$2,Date,,,Ccy,Conv)</f>
        <v>-0.41099999999999998</v>
      </c>
      <c r="H153" s="4">
        <f>_xll.ciqfunctions.udf.CIQ(InputTicker,"IQ_MERGER_SUPPLE",Input!J$2,Date,,,Ccy,Conv)</f>
        <v>-97.484999999999999</v>
      </c>
      <c r="I153" s="4">
        <f>_xll.ciqfunctions.udf.CIQ(InputTicker,"IQ_MERGER_SUPPLE",Input!K$2,Date,,,Ccy,Conv)</f>
        <v>-44</v>
      </c>
      <c r="J153" s="4">
        <f>_xll.ciqfunctions.udf.CIQ(InputTicker,"IQ_MERGER_SUPPLE",Input!L$2,Date,,,Ccy,Conv)</f>
        <v>0</v>
      </c>
      <c r="K153" s="4">
        <f>_xll.ciqfunctions.udf.CIQ(InputTicker,"IQ_MERGER_SUPPLE",Input!M$2,Date,,,Ccy,Conv)</f>
        <v>0</v>
      </c>
      <c r="L153" s="4">
        <f>_xll.ciqfunctions.udf.CIQ(InputTicker,"IQ_MERGER_SUPPLE",Input!N$2,Date,,,Ccy,Conv)</f>
        <v>0</v>
      </c>
      <c r="M153" s="4">
        <f>_xll.ciqfunctions.udf.CIQ(InputTicker,"IQ_MERGER_SUPPLE",Input!O$2,Date,,,Ccy,Conv)</f>
        <v>0</v>
      </c>
      <c r="N153" s="49"/>
      <c r="P153" s="46"/>
      <c r="Q153" s="46"/>
      <c r="R153" s="46"/>
      <c r="T153" s="42"/>
      <c r="U153" s="42"/>
      <c r="V153" s="46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</row>
    <row r="154" spans="1:66" ht="12.75" customHeight="1" x14ac:dyDescent="0.2">
      <c r="A154" s="1" t="s">
        <v>413</v>
      </c>
      <c r="B154" s="4">
        <f>_xll.ciqfunctions.udf.CIQ(InputTicker,"IQ_IMPAIRMENT_GW_SUPPLE",Input!D$2,Date,,,Ccy,Conv)</f>
        <v>0</v>
      </c>
      <c r="C154" s="4">
        <f>_xll.ciqfunctions.udf.CIQ(InputTicker,"IQ_IMPAIRMENT_GW_SUPPLE",Input!E$2,Date,,,Ccy,Conv)</f>
        <v>0</v>
      </c>
      <c r="D154" s="4">
        <f>_xll.ciqfunctions.udf.CIQ(InputTicker,"IQ_IMPAIRMENT_GW_SUPPLE",Input!F$2,Date,,,Ccy,Conv)</f>
        <v>0</v>
      </c>
      <c r="E154" s="4">
        <f>_xll.ciqfunctions.udf.CIQ(InputTicker,"IQ_IMPAIRMENT_GW_SUPPLE",Input!G$2,Date,,,Ccy,Conv)</f>
        <v>0</v>
      </c>
      <c r="F154" s="4">
        <f>_xll.ciqfunctions.udf.CIQ(InputTicker,"IQ_IMPAIRMENT_GW_SUPPLE",Input!H$2,Date,,,Ccy,Conv)</f>
        <v>0</v>
      </c>
      <c r="G154" s="4">
        <f>_xll.ciqfunctions.udf.CIQ(InputTicker,"IQ_IMPAIRMENT_GW_SUPPLE",Input!I$2,Date,,,Ccy,Conv)</f>
        <v>0</v>
      </c>
      <c r="H154" s="4">
        <f>_xll.ciqfunctions.udf.CIQ(InputTicker,"IQ_IMPAIRMENT_GW_SUPPLE",Input!J$2,Date,,,Ccy,Conv)</f>
        <v>0</v>
      </c>
      <c r="I154" s="4">
        <f>_xll.ciqfunctions.udf.CIQ(InputTicker,"IQ_IMPAIRMENT_GW_SUPPLE",Input!K$2,Date,,,Ccy,Conv)</f>
        <v>0</v>
      </c>
      <c r="J154" s="4">
        <f>_xll.ciqfunctions.udf.CIQ(InputTicker,"IQ_IMPAIRMENT_GW_SUPPLE",Input!L$2,Date,,,Ccy,Conv)</f>
        <v>0</v>
      </c>
      <c r="K154" s="4">
        <f>_xll.ciqfunctions.udf.CIQ(InputTicker,"IQ_IMPAIRMENT_GW_SUPPLE",Input!M$2,Date,,,Ccy,Conv)</f>
        <v>0</v>
      </c>
      <c r="L154" s="4">
        <f>_xll.ciqfunctions.udf.CIQ(InputTicker,"IQ_IMPAIRMENT_GW_SUPPLE",Input!N$2,Date,,,Ccy,Conv)</f>
        <v>0</v>
      </c>
      <c r="M154" s="4">
        <f>_xll.ciqfunctions.udf.CIQ(InputTicker,"IQ_IMPAIRMENT_GW_SUPPLE",Input!O$2,Date,,,Ccy,Conv)</f>
        <v>0</v>
      </c>
      <c r="N154" s="49"/>
      <c r="P154" s="46"/>
      <c r="Q154" s="46"/>
      <c r="R154" s="46"/>
      <c r="T154" s="42"/>
      <c r="U154" s="42"/>
      <c r="V154" s="46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</row>
    <row r="155" spans="1:66" ht="12.75" customHeight="1" x14ac:dyDescent="0.2">
      <c r="A155" s="1" t="s">
        <v>414</v>
      </c>
      <c r="B155" s="4">
        <f>_xll.ciqfunctions.udf.CIQ(InputTicker,"IQ_ASSET_WRITEDOWN_SUPPLE",Input!D$2,Date,,,Ccy,Conv)</f>
        <v>0</v>
      </c>
      <c r="C155" s="4">
        <f>_xll.ciqfunctions.udf.CIQ(InputTicker,"IQ_ASSET_WRITEDOWN_SUPPLE",Input!E$2,Date,,,Ccy,Conv)</f>
        <v>0</v>
      </c>
      <c r="D155" s="4">
        <f>_xll.ciqfunctions.udf.CIQ(InputTicker,"IQ_ASSET_WRITEDOWN_SUPPLE",Input!F$2,Date,,,Ccy,Conv)</f>
        <v>0</v>
      </c>
      <c r="E155" s="4">
        <f>_xll.ciqfunctions.udf.CIQ(InputTicker,"IQ_ASSET_WRITEDOWN_SUPPLE",Input!G$2,Date,,,Ccy,Conv)</f>
        <v>0</v>
      </c>
      <c r="F155" s="4">
        <f>_xll.ciqfunctions.udf.CIQ(InputTicker,"IQ_ASSET_WRITEDOWN_SUPPLE",Input!H$2,Date,,,Ccy,Conv)</f>
        <v>0</v>
      </c>
      <c r="G155" s="4">
        <f>_xll.ciqfunctions.udf.CIQ(InputTicker,"IQ_ASSET_WRITEDOWN_SUPPLE",Input!I$2,Date,,,Ccy,Conv)</f>
        <v>0</v>
      </c>
      <c r="H155" s="4">
        <f>_xll.ciqfunctions.udf.CIQ(InputTicker,"IQ_ASSET_WRITEDOWN_SUPPLE",Input!J$2,Date,,,Ccy,Conv)</f>
        <v>0</v>
      </c>
      <c r="I155" s="4">
        <f>_xll.ciqfunctions.udf.CIQ(InputTicker,"IQ_ASSET_WRITEDOWN_SUPPLE",Input!K$2,Date,,,Ccy,Conv)</f>
        <v>0</v>
      </c>
      <c r="J155" s="4">
        <f>_xll.ciqfunctions.udf.CIQ(InputTicker,"IQ_ASSET_WRITEDOWN_SUPPLE",Input!L$2,Date,,,Ccy,Conv)</f>
        <v>0</v>
      </c>
      <c r="K155" s="4">
        <f>_xll.ciqfunctions.udf.CIQ(InputTicker,"IQ_ASSET_WRITEDOWN_SUPPLE",Input!M$2,Date,,,Ccy,Conv)</f>
        <v>0</v>
      </c>
      <c r="L155" s="4">
        <f>_xll.ciqfunctions.udf.CIQ(InputTicker,"IQ_ASSET_WRITEDOWN_SUPPLE",Input!N$2,Date,,,Ccy,Conv)</f>
        <v>0</v>
      </c>
      <c r="M155" s="4">
        <f>_xll.ciqfunctions.udf.CIQ(InputTicker,"IQ_ASSET_WRITEDOWN_SUPPLE",Input!O$2,Date,,,Ccy,Conv)</f>
        <v>0</v>
      </c>
      <c r="N155" s="49"/>
      <c r="P155" s="46"/>
      <c r="Q155" s="46"/>
      <c r="R155" s="46"/>
      <c r="T155" s="42"/>
      <c r="U155" s="42"/>
      <c r="V155" s="46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</row>
    <row r="156" spans="1:66" ht="12.75" customHeight="1" x14ac:dyDescent="0.2">
      <c r="A156" s="1" t="s">
        <v>415</v>
      </c>
      <c r="B156" s="4">
        <f>_xll.ciqfunctions.udf.CIQ(InputTicker,"IQ_IPRD_SUPPLE",Input!D$2,Date,,,Ccy,Conv)</f>
        <v>0</v>
      </c>
      <c r="C156" s="4">
        <f>_xll.ciqfunctions.udf.CIQ(InputTicker,"IQ_IPRD_SUPPLE",Input!E$2,Date,,,Ccy,Conv)</f>
        <v>0</v>
      </c>
      <c r="D156" s="4">
        <f>_xll.ciqfunctions.udf.CIQ(InputTicker,"IQ_IPRD_SUPPLE",Input!F$2,Date,,,Ccy,Conv)</f>
        <v>0</v>
      </c>
      <c r="E156" s="4">
        <f>_xll.ciqfunctions.udf.CIQ(InputTicker,"IQ_IPRD_SUPPLE",Input!G$2,Date,,,Ccy,Conv)</f>
        <v>0</v>
      </c>
      <c r="F156" s="4">
        <f>_xll.ciqfunctions.udf.CIQ(InputTicker,"IQ_IPRD_SUPPLE",Input!H$2,Date,,,Ccy,Conv)</f>
        <v>0</v>
      </c>
      <c r="G156" s="4">
        <f>_xll.ciqfunctions.udf.CIQ(InputTicker,"IQ_IPRD_SUPPLE",Input!I$2,Date,,,Ccy,Conv)</f>
        <v>0</v>
      </c>
      <c r="H156" s="4">
        <f>_xll.ciqfunctions.udf.CIQ(InputTicker,"IQ_IPRD_SUPPLE",Input!J$2,Date,,,Ccy,Conv)</f>
        <v>0</v>
      </c>
      <c r="I156" s="4">
        <f>_xll.ciqfunctions.udf.CIQ(InputTicker,"IQ_IPRD_SUPPLE",Input!K$2,Date,,,Ccy,Conv)</f>
        <v>0</v>
      </c>
      <c r="J156" s="4">
        <f>_xll.ciqfunctions.udf.CIQ(InputTicker,"IQ_IPRD_SUPPLE",Input!L$2,Date,,,Ccy,Conv)</f>
        <v>0</v>
      </c>
      <c r="K156" s="4">
        <f>_xll.ciqfunctions.udf.CIQ(InputTicker,"IQ_IPRD_SUPPLE",Input!M$2,Date,,,Ccy,Conv)</f>
        <v>0</v>
      </c>
      <c r="L156" s="4">
        <f>_xll.ciqfunctions.udf.CIQ(InputTicker,"IQ_IPRD_SUPPLE",Input!N$2,Date,,,Ccy,Conv)</f>
        <v>0</v>
      </c>
      <c r="M156" s="4">
        <f>_xll.ciqfunctions.udf.CIQ(InputTicker,"IQ_IPRD_SUPPLE",Input!O$2,Date,,,Ccy,Conv)</f>
        <v>0</v>
      </c>
      <c r="N156" s="49"/>
      <c r="P156" s="46"/>
      <c r="Q156" s="46"/>
      <c r="R156" s="46"/>
      <c r="T156" s="42"/>
      <c r="U156" s="42"/>
      <c r="V156" s="46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</row>
    <row r="157" spans="1:66" ht="12.75" customHeight="1" x14ac:dyDescent="0.2">
      <c r="A157" s="1" t="s">
        <v>464</v>
      </c>
      <c r="B157" s="4">
        <f>_xll.ciqfunctions.udf.CIQ(InputTicker,"IQ_GAIN_BARGAIN_ACQ",Input!D$2,Date,,,Ccy,Conv)</f>
        <v>0</v>
      </c>
      <c r="C157" s="4">
        <f>_xll.ciqfunctions.udf.CIQ(InputTicker,"IQ_GAIN_BARGAIN_ACQ",Input!E$2,Date,,,Ccy,Conv)</f>
        <v>0</v>
      </c>
      <c r="D157" s="4">
        <f>_xll.ciqfunctions.udf.CIQ(InputTicker,"IQ_GAIN_BARGAIN_ACQ",Input!F$2,Date,,,Ccy,Conv)</f>
        <v>0</v>
      </c>
      <c r="E157" s="4">
        <f>_xll.ciqfunctions.udf.CIQ(InputTicker,"IQ_GAIN_BARGAIN_ACQ",Input!G$2,Date,,,Ccy,Conv)</f>
        <v>0</v>
      </c>
      <c r="F157" s="4">
        <f>_xll.ciqfunctions.udf.CIQ(InputTicker,"IQ_GAIN_BARGAIN_ACQ",Input!H$2,Date,,,Ccy,Conv)</f>
        <v>0</v>
      </c>
      <c r="G157" s="4">
        <f>_xll.ciqfunctions.udf.CIQ(InputTicker,"IQ_GAIN_BARGAIN_ACQ",Input!I$2,Date,,,Ccy,Conv)</f>
        <v>0</v>
      </c>
      <c r="H157" s="4">
        <f>_xll.ciqfunctions.udf.CIQ(InputTicker,"IQ_GAIN_BARGAIN_ACQ",Input!J$2,Date,,,Ccy,Conv)</f>
        <v>0</v>
      </c>
      <c r="I157" s="4">
        <f>_xll.ciqfunctions.udf.CIQ(InputTicker,"IQ_GAIN_BARGAIN_ACQ",Input!K$2,Date,,,Ccy,Conv)</f>
        <v>0</v>
      </c>
      <c r="J157" s="4">
        <f>_xll.ciqfunctions.udf.CIQ(InputTicker,"IQ_GAIN_BARGAIN_ACQ",Input!L$2,Date,,,Ccy,Conv)</f>
        <v>0</v>
      </c>
      <c r="K157" s="4">
        <f>_xll.ciqfunctions.udf.CIQ(InputTicker,"IQ_GAIN_BARGAIN_ACQ",Input!M$2,Date,,,Ccy,Conv)</f>
        <v>0</v>
      </c>
      <c r="L157" s="4">
        <f>_xll.ciqfunctions.udf.CIQ(InputTicker,"IQ_GAIN_BARGAIN_ACQ",Input!N$2,Date,,,Ccy,Conv)</f>
        <v>0</v>
      </c>
      <c r="M157" s="4">
        <f>_xll.ciqfunctions.udf.CIQ(InputTicker,"IQ_GAIN_BARGAIN_ACQ",Input!O$2,Date,,,Ccy,Conv)</f>
        <v>0</v>
      </c>
      <c r="N157" s="49"/>
      <c r="P157" s="46"/>
      <c r="Q157" s="46"/>
      <c r="R157" s="46"/>
      <c r="T157" s="42"/>
      <c r="U157" s="42"/>
      <c r="V157" s="46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</row>
    <row r="158" spans="1:66" ht="12.75" customHeight="1" x14ac:dyDescent="0.2">
      <c r="A158" s="1" t="s">
        <v>465</v>
      </c>
      <c r="B158" s="4">
        <f>_xll.ciqfunctions.udf.CIQ(InputTicker,"IQ_GAIN_BARGAIN_ACQ_SUPPLE",Input!D$2,Date,,,Ccy,Conv)</f>
        <v>0</v>
      </c>
      <c r="C158" s="4">
        <f>_xll.ciqfunctions.udf.CIQ(InputTicker,"IQ_GAIN_BARGAIN_ACQ_SUPPLE",Input!E$2,Date,,,Ccy,Conv)</f>
        <v>0</v>
      </c>
      <c r="D158" s="4">
        <f>_xll.ciqfunctions.udf.CIQ(InputTicker,"IQ_GAIN_BARGAIN_ACQ_SUPPLE",Input!F$2,Date,,,Ccy,Conv)</f>
        <v>0</v>
      </c>
      <c r="E158" s="4">
        <f>_xll.ciqfunctions.udf.CIQ(InputTicker,"IQ_GAIN_BARGAIN_ACQ_SUPPLE",Input!G$2,Date,,,Ccy,Conv)</f>
        <v>0</v>
      </c>
      <c r="F158" s="4">
        <f>_xll.ciqfunctions.udf.CIQ(InputTicker,"IQ_GAIN_BARGAIN_ACQ_SUPPLE",Input!H$2,Date,,,Ccy,Conv)</f>
        <v>0</v>
      </c>
      <c r="G158" s="4">
        <f>_xll.ciqfunctions.udf.CIQ(InputTicker,"IQ_GAIN_BARGAIN_ACQ_SUPPLE",Input!I$2,Date,,,Ccy,Conv)</f>
        <v>0</v>
      </c>
      <c r="H158" s="4">
        <f>_xll.ciqfunctions.udf.CIQ(InputTicker,"IQ_GAIN_BARGAIN_ACQ_SUPPLE",Input!J$2,Date,,,Ccy,Conv)</f>
        <v>0</v>
      </c>
      <c r="I158" s="4">
        <f>_xll.ciqfunctions.udf.CIQ(InputTicker,"IQ_GAIN_BARGAIN_ACQ_SUPPLE",Input!K$2,Date,,,Ccy,Conv)</f>
        <v>0</v>
      </c>
      <c r="J158" s="4">
        <f>_xll.ciqfunctions.udf.CIQ(InputTicker,"IQ_GAIN_BARGAIN_ACQ_SUPPLE",Input!L$2,Date,,,Ccy,Conv)</f>
        <v>0</v>
      </c>
      <c r="K158" s="4">
        <f>_xll.ciqfunctions.udf.CIQ(InputTicker,"IQ_GAIN_BARGAIN_ACQ_SUPPLE",Input!M$2,Date,,,Ccy,Conv)</f>
        <v>0</v>
      </c>
      <c r="L158" s="4">
        <f>_xll.ciqfunctions.udf.CIQ(InputTicker,"IQ_GAIN_BARGAIN_ACQ_SUPPLE",Input!N$2,Date,,,Ccy,Conv)</f>
        <v>0</v>
      </c>
      <c r="M158" s="4">
        <f>_xll.ciqfunctions.udf.CIQ(InputTicker,"IQ_GAIN_BARGAIN_ACQ_SUPPLE",Input!O$2,Date,,,Ccy,Conv)</f>
        <v>0</v>
      </c>
      <c r="N158" s="49"/>
      <c r="P158" s="46"/>
      <c r="Q158" s="46"/>
      <c r="R158" s="46"/>
      <c r="T158" s="42"/>
      <c r="U158" s="42"/>
      <c r="V158" s="46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</row>
    <row r="159" spans="1:66" ht="12.75" customHeight="1" x14ac:dyDescent="0.2">
      <c r="A159" s="1" t="s">
        <v>416</v>
      </c>
      <c r="B159" s="4">
        <f>_xll.ciqfunctions.udf.CIQ(InputTicker,"IQ_INS_SETTLE_SUPPLE",Input!D$2,Date,,,Ccy,Conv)</f>
        <v>0</v>
      </c>
      <c r="C159" s="4">
        <f>_xll.ciqfunctions.udf.CIQ(InputTicker,"IQ_INS_SETTLE_SUPPLE",Input!E$2,Date,,,Ccy,Conv)</f>
        <v>0</v>
      </c>
      <c r="D159" s="4">
        <f>_xll.ciqfunctions.udf.CIQ(InputTicker,"IQ_INS_SETTLE_SUPPLE",Input!F$2,Date,,,Ccy,Conv)</f>
        <v>0</v>
      </c>
      <c r="E159" s="4">
        <f>_xll.ciqfunctions.udf.CIQ(InputTicker,"IQ_INS_SETTLE_SUPPLE",Input!G$2,Date,,,Ccy,Conv)</f>
        <v>0</v>
      </c>
      <c r="F159" s="4">
        <f>_xll.ciqfunctions.udf.CIQ(InputTicker,"IQ_INS_SETTLE_SUPPLE",Input!H$2,Date,,,Ccy,Conv)</f>
        <v>0</v>
      </c>
      <c r="G159" s="4">
        <f>_xll.ciqfunctions.udf.CIQ(InputTicker,"IQ_INS_SETTLE_SUPPLE",Input!I$2,Date,,,Ccy,Conv)</f>
        <v>0</v>
      </c>
      <c r="H159" s="4">
        <f>_xll.ciqfunctions.udf.CIQ(InputTicker,"IQ_INS_SETTLE_SUPPLE",Input!J$2,Date,,,Ccy,Conv)</f>
        <v>0</v>
      </c>
      <c r="I159" s="4">
        <f>_xll.ciqfunctions.udf.CIQ(InputTicker,"IQ_INS_SETTLE_SUPPLE",Input!K$2,Date,,,Ccy,Conv)</f>
        <v>0</v>
      </c>
      <c r="J159" s="4">
        <f>_xll.ciqfunctions.udf.CIQ(InputTicker,"IQ_INS_SETTLE_SUPPLE",Input!L$2,Date,,,Ccy,Conv)</f>
        <v>0</v>
      </c>
      <c r="K159" s="4">
        <f>_xll.ciqfunctions.udf.CIQ(InputTicker,"IQ_INS_SETTLE_SUPPLE",Input!M$2,Date,,,Ccy,Conv)</f>
        <v>0</v>
      </c>
      <c r="L159" s="4">
        <f>_xll.ciqfunctions.udf.CIQ(InputTicker,"IQ_INS_SETTLE_SUPPLE",Input!N$2,Date,,,Ccy,Conv)</f>
        <v>0</v>
      </c>
      <c r="M159" s="4">
        <f>_xll.ciqfunctions.udf.CIQ(InputTicker,"IQ_INS_SETTLE_SUPPLE",Input!O$2,Date,,,Ccy,Conv)</f>
        <v>0</v>
      </c>
      <c r="N159" s="49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</row>
    <row r="160" spans="1:66" ht="12.75" customHeight="1" x14ac:dyDescent="0.2">
      <c r="A160" s="1" t="s">
        <v>417</v>
      </c>
      <c r="B160" s="4">
        <f>_xll.ciqfunctions.udf.CIQ(InputTicker,"IQ_LEGAL_SETTLE_SUPPLE",Input!D$2,Date,,,Ccy,Conv)</f>
        <v>0</v>
      </c>
      <c r="C160" s="4">
        <f>_xll.ciqfunctions.udf.CIQ(InputTicker,"IQ_LEGAL_SETTLE_SUPPLE",Input!E$2,Date,,,Ccy,Conv)</f>
        <v>0</v>
      </c>
      <c r="D160" s="4">
        <f>_xll.ciqfunctions.udf.CIQ(InputTicker,"IQ_LEGAL_SETTLE_SUPPLE",Input!F$2,Date,,,Ccy,Conv)</f>
        <v>0</v>
      </c>
      <c r="E160" s="4">
        <f>_xll.ciqfunctions.udf.CIQ(InputTicker,"IQ_LEGAL_SETTLE_SUPPLE",Input!G$2,Date,,,Ccy,Conv)</f>
        <v>0</v>
      </c>
      <c r="F160" s="4">
        <f>_xll.ciqfunctions.udf.CIQ(InputTicker,"IQ_LEGAL_SETTLE_SUPPLE",Input!H$2,Date,,,Ccy,Conv)</f>
        <v>0</v>
      </c>
      <c r="G160" s="4">
        <f>_xll.ciqfunctions.udf.CIQ(InputTicker,"IQ_LEGAL_SETTLE_SUPPLE",Input!I$2,Date,,,Ccy,Conv)</f>
        <v>0</v>
      </c>
      <c r="H160" s="4">
        <f>_xll.ciqfunctions.udf.CIQ(InputTicker,"IQ_LEGAL_SETTLE_SUPPLE",Input!J$2,Date,,,Ccy,Conv)</f>
        <v>0</v>
      </c>
      <c r="I160" s="4">
        <f>_xll.ciqfunctions.udf.CIQ(InputTicker,"IQ_LEGAL_SETTLE_SUPPLE",Input!K$2,Date,,,Ccy,Conv)</f>
        <v>0</v>
      </c>
      <c r="J160" s="4">
        <f>_xll.ciqfunctions.udf.CIQ(InputTicker,"IQ_LEGAL_SETTLE_SUPPLE",Input!L$2,Date,,,Ccy,Conv)</f>
        <v>0</v>
      </c>
      <c r="K160" s="4">
        <f>_xll.ciqfunctions.udf.CIQ(InputTicker,"IQ_LEGAL_SETTLE_SUPPLE",Input!M$2,Date,,,Ccy,Conv)</f>
        <v>0</v>
      </c>
      <c r="L160" s="4">
        <f>_xll.ciqfunctions.udf.CIQ(InputTicker,"IQ_LEGAL_SETTLE_SUPPLE",Input!N$2,Date,,,Ccy,Conv)</f>
        <v>0</v>
      </c>
      <c r="M160" s="4">
        <f>_xll.ciqfunctions.udf.CIQ(InputTicker,"IQ_LEGAL_SETTLE_SUPPLE",Input!O$2,Date,,,Ccy,Conv)</f>
        <v>0</v>
      </c>
      <c r="N160" s="49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</row>
    <row r="161" spans="1:66" ht="12.75" customHeight="1" x14ac:dyDescent="0.2">
      <c r="A161" s="1" t="s">
        <v>418</v>
      </c>
      <c r="B161" s="4">
        <f>_xll.ciqfunctions.udf.CIQ(InputTicker,"IQ_OTHER_UNUSUAL_SUPPLE",Input!D$2,Date,,,Ccy,Conv)</f>
        <v>0</v>
      </c>
      <c r="C161" s="4">
        <f>_xll.ciqfunctions.udf.CIQ(InputTicker,"IQ_OTHER_UNUSUAL_SUPPLE",Input!E$2,Date,,,Ccy,Conv)</f>
        <v>0</v>
      </c>
      <c r="D161" s="4">
        <f>_xll.ciqfunctions.udf.CIQ(InputTicker,"IQ_OTHER_UNUSUAL_SUPPLE",Input!F$2,Date,,,Ccy,Conv)</f>
        <v>0</v>
      </c>
      <c r="E161" s="4">
        <f>_xll.ciqfunctions.udf.CIQ(InputTicker,"IQ_OTHER_UNUSUAL_SUPPLE",Input!G$2,Date,,,Ccy,Conv)</f>
        <v>0</v>
      </c>
      <c r="F161" s="4">
        <f>_xll.ciqfunctions.udf.CIQ(InputTicker,"IQ_OTHER_UNUSUAL_SUPPLE",Input!H$2,Date,,,Ccy,Conv)</f>
        <v>-2.722</v>
      </c>
      <c r="G161" s="4">
        <f>_xll.ciqfunctions.udf.CIQ(InputTicker,"IQ_OTHER_UNUSUAL_SUPPLE",Input!I$2,Date,,,Ccy,Conv)</f>
        <v>-0.57699999999999996</v>
      </c>
      <c r="H161" s="4">
        <f>_xll.ciqfunctions.udf.CIQ(InputTicker,"IQ_OTHER_UNUSUAL_SUPPLE",Input!J$2,Date,,,Ccy,Conv)</f>
        <v>0</v>
      </c>
      <c r="I161" s="4">
        <f>_xll.ciqfunctions.udf.CIQ(InputTicker,"IQ_OTHER_UNUSUAL_SUPPLE",Input!K$2,Date,,,Ccy,Conv)</f>
        <v>0</v>
      </c>
      <c r="J161" s="4">
        <f>_xll.ciqfunctions.udf.CIQ(InputTicker,"IQ_OTHER_UNUSUAL_SUPPLE",Input!L$2,Date,,,Ccy,Conv)</f>
        <v>0</v>
      </c>
      <c r="K161" s="4">
        <f>_xll.ciqfunctions.udf.CIQ(InputTicker,"IQ_OTHER_UNUSUAL_SUPPLE",Input!M$2,Date,,,Ccy,Conv)</f>
        <v>0</v>
      </c>
      <c r="L161" s="4">
        <f>_xll.ciqfunctions.udf.CIQ(InputTicker,"IQ_OTHER_UNUSUAL_SUPPLE",Input!N$2,Date,,,Ccy,Conv)</f>
        <v>0</v>
      </c>
      <c r="M161" s="4">
        <f>_xll.ciqfunctions.udf.CIQ(InputTicker,"IQ_OTHER_UNUSUAL_SUPPLE",Input!O$2,Date,,,Ccy,Conv)</f>
        <v>0</v>
      </c>
      <c r="N161" s="49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</row>
    <row r="162" spans="1:66" ht="12.75" customHeight="1" x14ac:dyDescent="0.2">
      <c r="A162" s="1" t="s">
        <v>410</v>
      </c>
      <c r="B162" s="4">
        <f>_xll.ciqfunctions.udf.CIQ(InputTicker,"IQ_TOTAL_UNUSUAL_SUPPLE",Input!D$2,Date,,,Ccy,Conv)</f>
        <v>0</v>
      </c>
      <c r="C162" s="4">
        <f>_xll.ciqfunctions.udf.CIQ(InputTicker,"IQ_TOTAL_UNUSUAL_SUPPLE",Input!E$2,Date,,,Ccy,Conv)</f>
        <v>0</v>
      </c>
      <c r="D162" s="4">
        <f>_xll.ciqfunctions.udf.CIQ(InputTicker,"IQ_TOTAL_UNUSUAL_SUPPLE",Input!F$2,Date,,,Ccy,Conv)</f>
        <v>0</v>
      </c>
      <c r="E162" s="4">
        <f>_xll.ciqfunctions.udf.CIQ(InputTicker,"IQ_TOTAL_UNUSUAL_SUPPLE",Input!G$2,Date,,,Ccy,Conv)</f>
        <v>0</v>
      </c>
      <c r="F162" s="4">
        <f>_xll.ciqfunctions.udf.CIQ(InputTicker,"IQ_TOTAL_UNUSUAL_SUPPLE",Input!H$2,Date,,,Ccy,Conv)</f>
        <v>-2.722</v>
      </c>
      <c r="G162" s="4">
        <f>_xll.ciqfunctions.udf.CIQ(InputTicker,"IQ_TOTAL_UNUSUAL_SUPPLE",Input!I$2,Date,,,Ccy,Conv)</f>
        <v>-0.98799999999999999</v>
      </c>
      <c r="H162" s="4">
        <f>_xll.ciqfunctions.udf.CIQ(InputTicker,"IQ_TOTAL_UNUSUAL_SUPPLE",Input!J$2,Date,,,Ccy,Conv)</f>
        <v>-101.649</v>
      </c>
      <c r="I162" s="4">
        <f>_xll.ciqfunctions.udf.CIQ(InputTicker,"IQ_TOTAL_UNUSUAL_SUPPLE",Input!K$2,Date,,,Ccy,Conv)</f>
        <v>-44</v>
      </c>
      <c r="J162" s="4">
        <f>_xll.ciqfunctions.udf.CIQ(InputTicker,"IQ_TOTAL_UNUSUAL_SUPPLE",Input!L$2,Date,,,Ccy,Conv)</f>
        <v>0</v>
      </c>
      <c r="K162" s="4">
        <f>_xll.ciqfunctions.udf.CIQ(InputTicker,"IQ_TOTAL_UNUSUAL_SUPPLE",Input!M$2,Date,,,Ccy,Conv)</f>
        <v>0</v>
      </c>
      <c r="L162" s="4">
        <f>_xll.ciqfunctions.udf.CIQ(InputTicker,"IQ_TOTAL_UNUSUAL_SUPPLE",Input!N$2,Date,,,Ccy,Conv)</f>
        <v>0</v>
      </c>
      <c r="M162" s="4">
        <f>_xll.ciqfunctions.udf.CIQ(InputTicker,"IQ_TOTAL_UNUSUAL_SUPPLE",Input!O$2,Date,,,Ccy,Conv)</f>
        <v>0</v>
      </c>
      <c r="N162" s="49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</row>
    <row r="163" spans="1:66" ht="12.75" customHeight="1" x14ac:dyDescent="0.2">
      <c r="A163" s="1" t="s">
        <v>40</v>
      </c>
      <c r="B163" s="4">
        <f>_xll.ciqfunctions.udf.CIQ(InputTicker,"IQ_NEGATIVE_GW_AMORT",Input!D$2,Date,,,Ccy,Conv)</f>
        <v>0</v>
      </c>
      <c r="C163" s="4">
        <f>_xll.ciqfunctions.udf.CIQ(InputTicker,"IQ_NEGATIVE_GW_AMORT",Input!E$2,Date,,,Ccy,Conv)</f>
        <v>0</v>
      </c>
      <c r="D163" s="4">
        <f>_xll.ciqfunctions.udf.CIQ(InputTicker,"IQ_NEGATIVE_GW_AMORT",Input!F$2,Date,,,Ccy,Conv)</f>
        <v>0</v>
      </c>
      <c r="E163" s="4">
        <f>_xll.ciqfunctions.udf.CIQ(InputTicker,"IQ_NEGATIVE_GW_AMORT",Input!G$2,Date,,,Ccy,Conv)</f>
        <v>0</v>
      </c>
      <c r="F163" s="4">
        <f>_xll.ciqfunctions.udf.CIQ(InputTicker,"IQ_NEGATIVE_GW_AMORT",Input!H$2,Date,,,Ccy,Conv)</f>
        <v>0</v>
      </c>
      <c r="G163" s="4">
        <f>_xll.ciqfunctions.udf.CIQ(InputTicker,"IQ_NEGATIVE_GW_AMORT",Input!I$2,Date,,,Ccy,Conv)</f>
        <v>0</v>
      </c>
      <c r="H163" s="4">
        <f>_xll.ciqfunctions.udf.CIQ(InputTicker,"IQ_NEGATIVE_GW_AMORT",Input!J$2,Date,,,Ccy,Conv)</f>
        <v>0</v>
      </c>
      <c r="I163" s="4">
        <f>_xll.ciqfunctions.udf.CIQ(InputTicker,"IQ_NEGATIVE_GW_AMORT",Input!K$2,Date,,,Ccy,Conv)</f>
        <v>0</v>
      </c>
      <c r="J163" s="4">
        <f>_xll.ciqfunctions.udf.CIQ(InputTicker,"IQ_NEGATIVE_GW_AMORT",Input!L$2,Date,,,Ccy,Conv)</f>
        <v>0</v>
      </c>
      <c r="K163" s="4">
        <f>_xll.ciqfunctions.udf.CIQ(InputTicker,"IQ_NEGATIVE_GW_AMORT",Input!M$2,Date,,,Ccy,Conv)</f>
        <v>0</v>
      </c>
      <c r="L163" s="4">
        <f>_xll.ciqfunctions.udf.CIQ(InputTicker,"IQ_NEGATIVE_GW_AMORT",Input!N$2,Date,,,Ccy,Conv)</f>
        <v>0</v>
      </c>
      <c r="M163" s="4">
        <f>_xll.ciqfunctions.udf.CIQ(InputTicker,"IQ_NEGATIVE_GW_AMORT",Input!O$2,Date,,,Ccy,Conv)</f>
        <v>0</v>
      </c>
      <c r="N163" s="49"/>
      <c r="P163" s="51"/>
      <c r="Q163" s="51"/>
      <c r="R163" s="51"/>
      <c r="T163" s="42"/>
      <c r="U163" s="42"/>
      <c r="V163" s="51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</row>
    <row r="164" spans="1:66" ht="12.75" customHeight="1" x14ac:dyDescent="0.2">
      <c r="A164" s="1" t="s">
        <v>41</v>
      </c>
      <c r="B164" s="4">
        <f>_xll.ciqfunctions.udf.CIQ(InputTicker,"IQ_NEGATIVE_GW_AMORT_AT",Input!D$2,Date,,,Ccy,Conv)</f>
        <v>0</v>
      </c>
      <c r="C164" s="4">
        <f>_xll.ciqfunctions.udf.CIQ(InputTicker,"IQ_NEGATIVE_GW_AMORT_AT",Input!E$2,Date,,,Ccy,Conv)</f>
        <v>0</v>
      </c>
      <c r="D164" s="4">
        <f>_xll.ciqfunctions.udf.CIQ(InputTicker,"IQ_NEGATIVE_GW_AMORT_AT",Input!F$2,Date,,,Ccy,Conv)</f>
        <v>0</v>
      </c>
      <c r="E164" s="4">
        <f>_xll.ciqfunctions.udf.CIQ(InputTicker,"IQ_NEGATIVE_GW_AMORT_AT",Input!G$2,Date,,,Ccy,Conv)</f>
        <v>0</v>
      </c>
      <c r="F164" s="4">
        <f>_xll.ciqfunctions.udf.CIQ(InputTicker,"IQ_NEGATIVE_GW_AMORT_AT",Input!H$2,Date,,,Ccy,Conv)</f>
        <v>0</v>
      </c>
      <c r="G164" s="4">
        <f>_xll.ciqfunctions.udf.CIQ(InputTicker,"IQ_NEGATIVE_GW_AMORT_AT",Input!I$2,Date,,,Ccy,Conv)</f>
        <v>0</v>
      </c>
      <c r="H164" s="4">
        <f>_xll.ciqfunctions.udf.CIQ(InputTicker,"IQ_NEGATIVE_GW_AMORT_AT",Input!J$2,Date,,,Ccy,Conv)</f>
        <v>0</v>
      </c>
      <c r="I164" s="4">
        <f>_xll.ciqfunctions.udf.CIQ(InputTicker,"IQ_NEGATIVE_GW_AMORT_AT",Input!K$2,Date,,,Ccy,Conv)</f>
        <v>0</v>
      </c>
      <c r="J164" s="4">
        <f>_xll.ciqfunctions.udf.CIQ(InputTicker,"IQ_NEGATIVE_GW_AMORT_AT",Input!L$2,Date,,,Ccy,Conv)</f>
        <v>0</v>
      </c>
      <c r="K164" s="4">
        <f>_xll.ciqfunctions.udf.CIQ(InputTicker,"IQ_NEGATIVE_GW_AMORT_AT",Input!M$2,Date,,,Ccy,Conv)</f>
        <v>0</v>
      </c>
      <c r="L164" s="4">
        <f>_xll.ciqfunctions.udf.CIQ(InputTicker,"IQ_NEGATIVE_GW_AMORT_AT",Input!N$2,Date,,,Ccy,Conv)</f>
        <v>0</v>
      </c>
      <c r="M164" s="4">
        <f>_xll.ciqfunctions.udf.CIQ(InputTicker,"IQ_NEGATIVE_GW_AMORT_AT",Input!O$2,Date,,,Ccy,Conv)</f>
        <v>0</v>
      </c>
      <c r="N164" s="49"/>
      <c r="P164" s="51"/>
      <c r="Q164" s="51"/>
      <c r="R164" s="51"/>
      <c r="T164" s="42"/>
      <c r="U164" s="42"/>
      <c r="V164" s="51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</row>
    <row r="165" spans="1:66" ht="12.75" customHeight="1" x14ac:dyDescent="0.2">
      <c r="A165" s="1" t="s">
        <v>336</v>
      </c>
      <c r="B165" s="4">
        <f>_xll.ciqfunctions.udf.CIQ(InputTicker, "IQ_STOCK_BASED_COGS",Input!D$2,Date,,,Ccy,Conv)</f>
        <v>7.0010000000000003</v>
      </c>
      <c r="C165" s="4">
        <f>_xll.ciqfunctions.udf.CIQ(InputTicker, "IQ_STOCK_BASED_COGS",Input!E$2,Date,,,Ccy,Conv)</f>
        <v>5.7560000000000002</v>
      </c>
      <c r="D165" s="4">
        <f>_xll.ciqfunctions.udf.CIQ(InputTicker, "IQ_STOCK_BASED_COGS",Input!F$2,Date,,,Ccy,Conv)</f>
        <v>7.7709999999999999</v>
      </c>
      <c r="E165" s="4">
        <f>_xll.ciqfunctions.udf.CIQ(InputTicker, "IQ_STOCK_BASED_COGS",Input!G$2,Date,,,Ccy,Conv)</f>
        <v>8.99</v>
      </c>
      <c r="F165" s="4">
        <f>_xll.ciqfunctions.udf.CIQ(InputTicker, "IQ_STOCK_BASED_COGS",Input!H$2,Date,,,Ccy,Conv)</f>
        <v>16.271999999999998</v>
      </c>
      <c r="G165" s="4">
        <f>_xll.ciqfunctions.udf.CIQ(InputTicker, "IQ_STOCK_BASED_COGS",Input!I$2,Date,,,Ccy,Conv)</f>
        <v>27.681999999999999</v>
      </c>
      <c r="H165" s="4">
        <f>_xll.ciqfunctions.udf.CIQ(InputTicker, "IQ_STOCK_BASED_COGS",Input!J$2,Date,,,Ccy,Conv)</f>
        <v>36.835999999999999</v>
      </c>
      <c r="I165" s="4">
        <f>_xll.ciqfunctions.udf.CIQ(InputTicker, "IQ_STOCK_BASED_COGS",Input!K$2,Date,,,Ccy,Conv)</f>
        <v>43</v>
      </c>
      <c r="J165" s="4">
        <f>_xll.ciqfunctions.udf.CIQ(InputTicker, "IQ_STOCK_BASED_COGS",Input!L$2,Date,,,Ccy,Conv)</f>
        <v>44</v>
      </c>
      <c r="K165" s="4">
        <f>_xll.ciqfunctions.udf.CIQ(InputTicker, "IQ_STOCK_BASED_COGS",Input!M$2,Date,,,Ccy,Conv)</f>
        <v>35</v>
      </c>
      <c r="L165" s="4">
        <f>_xll.ciqfunctions.udf.CIQ(InputTicker, "IQ_STOCK_BASED_COGS",Input!N$2,Date,,,Ccy,Conv)</f>
        <v>27</v>
      </c>
      <c r="M165" s="4">
        <f>_xll.ciqfunctions.udf.CIQ(InputTicker, "IQ_STOCK_BASED_COGS",Input!O$2,Date,,,Ccy,Conv)</f>
        <v>27</v>
      </c>
      <c r="N165" s="49"/>
      <c r="P165" s="51"/>
      <c r="Q165" s="51"/>
      <c r="R165" s="51"/>
      <c r="T165" s="42"/>
      <c r="U165" s="42"/>
      <c r="V165" s="51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</row>
    <row r="166" spans="1:66" ht="12.75" customHeight="1" x14ac:dyDescent="0.2">
      <c r="A166" s="1" t="s">
        <v>337</v>
      </c>
      <c r="B166" s="4">
        <f>_xll.ciqfunctions.udf.CIQ(InputTicker, "IQ_STOCK_BASED_RD",Input!D$2,Date,,,Ccy,Conv)</f>
        <v>0</v>
      </c>
      <c r="C166" s="4">
        <f>_xll.ciqfunctions.udf.CIQ(InputTicker, "IQ_STOCK_BASED_RD",Input!E$2,Date,,,Ccy,Conv)</f>
        <v>0</v>
      </c>
      <c r="D166" s="4">
        <f>_xll.ciqfunctions.udf.CIQ(InputTicker, "IQ_STOCK_BASED_RD",Input!F$2,Date,,,Ccy,Conv)</f>
        <v>0</v>
      </c>
      <c r="E166" s="4">
        <f>_xll.ciqfunctions.udf.CIQ(InputTicker, "IQ_STOCK_BASED_RD",Input!G$2,Date,,,Ccy,Conv)</f>
        <v>0</v>
      </c>
      <c r="F166" s="4">
        <f>_xll.ciqfunctions.udf.CIQ(InputTicker, "IQ_STOCK_BASED_RD",Input!H$2,Date,,,Ccy,Conv)</f>
        <v>0</v>
      </c>
      <c r="G166" s="4">
        <f>_xll.ciqfunctions.udf.CIQ(InputTicker, "IQ_STOCK_BASED_RD",Input!I$2,Date,,,Ccy,Conv)</f>
        <v>0</v>
      </c>
      <c r="H166" s="4">
        <f>_xll.ciqfunctions.udf.CIQ(InputTicker, "IQ_STOCK_BASED_RD",Input!J$2,Date,,,Ccy,Conv)</f>
        <v>0</v>
      </c>
      <c r="I166" s="4">
        <f>_xll.ciqfunctions.udf.CIQ(InputTicker, "IQ_STOCK_BASED_RD",Input!K$2,Date,,,Ccy,Conv)</f>
        <v>0</v>
      </c>
      <c r="J166" s="4">
        <f>_xll.ciqfunctions.udf.CIQ(InputTicker, "IQ_STOCK_BASED_RD",Input!L$2,Date,,,Ccy,Conv)</f>
        <v>0</v>
      </c>
      <c r="K166" s="4">
        <f>_xll.ciqfunctions.udf.CIQ(InputTicker, "IQ_STOCK_BASED_RD",Input!M$2,Date,,,Ccy,Conv)</f>
        <v>0</v>
      </c>
      <c r="L166" s="4">
        <f>_xll.ciqfunctions.udf.CIQ(InputTicker, "IQ_STOCK_BASED_RD",Input!N$2,Date,,,Ccy,Conv)</f>
        <v>0</v>
      </c>
      <c r="M166" s="4">
        <f>_xll.ciqfunctions.udf.CIQ(InputTicker, "IQ_STOCK_BASED_RD",Input!O$2,Date,,,Ccy,Conv)</f>
        <v>0</v>
      </c>
      <c r="N166" s="49"/>
      <c r="P166" s="51"/>
      <c r="Q166" s="51"/>
      <c r="R166" s="51"/>
      <c r="T166" s="42"/>
      <c r="U166" s="42"/>
      <c r="V166" s="51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</row>
    <row r="167" spans="1:66" ht="12.75" customHeight="1" x14ac:dyDescent="0.2">
      <c r="A167" s="1" t="s">
        <v>338</v>
      </c>
      <c r="B167" s="4">
        <f>_xll.ciqfunctions.udf.CIQ(InputTicker, "IQ_STOCK_BASED_SM",Input!D$2,Date,,,Ccy,Conv)</f>
        <v>0</v>
      </c>
      <c r="C167" s="4">
        <f>_xll.ciqfunctions.udf.CIQ(InputTicker, "IQ_STOCK_BASED_SM",Input!E$2,Date,,,Ccy,Conv)</f>
        <v>0</v>
      </c>
      <c r="D167" s="4">
        <f>_xll.ciqfunctions.udf.CIQ(InputTicker, "IQ_STOCK_BASED_SM",Input!F$2,Date,,,Ccy,Conv)</f>
        <v>0</v>
      </c>
      <c r="E167" s="4">
        <f>_xll.ciqfunctions.udf.CIQ(InputTicker, "IQ_STOCK_BASED_SM",Input!G$2,Date,,,Ccy,Conv)</f>
        <v>0</v>
      </c>
      <c r="F167" s="4">
        <f>_xll.ciqfunctions.udf.CIQ(InputTicker, "IQ_STOCK_BASED_SM",Input!H$2,Date,,,Ccy,Conv)</f>
        <v>0</v>
      </c>
      <c r="G167" s="4">
        <f>_xll.ciqfunctions.udf.CIQ(InputTicker, "IQ_STOCK_BASED_SM",Input!I$2,Date,,,Ccy,Conv)</f>
        <v>0</v>
      </c>
      <c r="H167" s="4">
        <f>_xll.ciqfunctions.udf.CIQ(InputTicker, "IQ_STOCK_BASED_SM",Input!J$2,Date,,,Ccy,Conv)</f>
        <v>0</v>
      </c>
      <c r="I167" s="4">
        <f>_xll.ciqfunctions.udf.CIQ(InputTicker, "IQ_STOCK_BASED_SM",Input!K$2,Date,,,Ccy,Conv)</f>
        <v>0</v>
      </c>
      <c r="J167" s="4">
        <f>_xll.ciqfunctions.udf.CIQ(InputTicker, "IQ_STOCK_BASED_SM",Input!L$2,Date,,,Ccy,Conv)</f>
        <v>0</v>
      </c>
      <c r="K167" s="4">
        <f>_xll.ciqfunctions.udf.CIQ(InputTicker, "IQ_STOCK_BASED_SM",Input!M$2,Date,,,Ccy,Conv)</f>
        <v>0</v>
      </c>
      <c r="L167" s="4">
        <f>_xll.ciqfunctions.udf.CIQ(InputTicker, "IQ_STOCK_BASED_SM",Input!N$2,Date,,,Ccy,Conv)</f>
        <v>0</v>
      </c>
      <c r="M167" s="4">
        <f>_xll.ciqfunctions.udf.CIQ(InputTicker, "IQ_STOCK_BASED_SM",Input!O$2,Date,,,Ccy,Conv)</f>
        <v>0</v>
      </c>
      <c r="N167" s="49"/>
      <c r="P167" s="51"/>
      <c r="Q167" s="51"/>
      <c r="R167" s="51"/>
      <c r="T167" s="42"/>
      <c r="U167" s="42"/>
      <c r="V167" s="51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</row>
    <row r="168" spans="1:66" ht="12.75" customHeight="1" x14ac:dyDescent="0.2">
      <c r="A168" s="1" t="s">
        <v>339</v>
      </c>
      <c r="B168" s="4">
        <f>_xll.ciqfunctions.udf.CIQ(InputTicker, "IQ_STOCK_BASED_GA",Input!D$2,Date,,,Ccy,Conv)</f>
        <v>17.991</v>
      </c>
      <c r="C168" s="4">
        <f>_xll.ciqfunctions.udf.CIQ(InputTicker, "IQ_STOCK_BASED_GA",Input!E$2,Date,,,Ccy,Conv)</f>
        <v>15.493</v>
      </c>
      <c r="D168" s="4">
        <f>_xll.ciqfunctions.udf.CIQ(InputTicker, "IQ_STOCK_BASED_GA",Input!F$2,Date,,,Ccy,Conv)</f>
        <v>15.547000000000001</v>
      </c>
      <c r="E168" s="4">
        <f>_xll.ciqfunctions.udf.CIQ(InputTicker, "IQ_STOCK_BASED_GA",Input!G$2,Date,,,Ccy,Conv)</f>
        <v>22.285</v>
      </c>
      <c r="F168" s="4">
        <f>_xll.ciqfunctions.udf.CIQ(InputTicker, "IQ_STOCK_BASED_GA",Input!H$2,Date,,,Ccy,Conv)</f>
        <v>27.018000000000001</v>
      </c>
      <c r="G168" s="4">
        <f>_xll.ciqfunctions.udf.CIQ(InputTicker, "IQ_STOCK_BASED_GA",Input!I$2,Date,,,Ccy,Conv)</f>
        <v>32.161999999999999</v>
      </c>
      <c r="H168" s="4">
        <f>_xll.ciqfunctions.udf.CIQ(InputTicker, "IQ_STOCK_BASED_GA",Input!J$2,Date,,,Ccy,Conv)</f>
        <v>32.948</v>
      </c>
      <c r="I168" s="4">
        <f>_xll.ciqfunctions.udf.CIQ(InputTicker, "IQ_STOCK_BASED_GA",Input!K$2,Date,,,Ccy,Conv)</f>
        <v>37</v>
      </c>
      <c r="J168" s="4">
        <f>_xll.ciqfunctions.udf.CIQ(InputTicker, "IQ_STOCK_BASED_GA",Input!L$2,Date,,,Ccy,Conv)</f>
        <v>51</v>
      </c>
      <c r="K168" s="4">
        <f>_xll.ciqfunctions.udf.CIQ(InputTicker, "IQ_STOCK_BASED_GA",Input!M$2,Date,,,Ccy,Conv)</f>
        <v>59</v>
      </c>
      <c r="L168" s="4">
        <f>_xll.ciqfunctions.udf.CIQ(InputTicker, "IQ_STOCK_BASED_GA",Input!N$2,Date,,,Ccy,Conv)</f>
        <v>42</v>
      </c>
      <c r="M168" s="4">
        <f>_xll.ciqfunctions.udf.CIQ(InputTicker, "IQ_STOCK_BASED_GA",Input!O$2,Date,,,Ccy,Conv)</f>
        <v>42</v>
      </c>
      <c r="N168" s="49"/>
      <c r="P168" s="51"/>
      <c r="Q168" s="51"/>
      <c r="R168" s="51"/>
      <c r="T168" s="42"/>
      <c r="U168" s="42"/>
      <c r="V168" s="51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</row>
    <row r="169" spans="1:66" ht="12.75" customHeight="1" x14ac:dyDescent="0.2">
      <c r="A169" s="1" t="s">
        <v>340</v>
      </c>
      <c r="B169" s="4">
        <f>_xll.ciqfunctions.udf.CIQ(InputTicker, "IQ_STOCK_BASED_SGA",Input!D$2,Date,,,Ccy,Conv)</f>
        <v>0</v>
      </c>
      <c r="C169" s="4">
        <f>_xll.ciqfunctions.udf.CIQ(InputTicker, "IQ_STOCK_BASED_SGA",Input!E$2,Date,,,Ccy,Conv)</f>
        <v>0</v>
      </c>
      <c r="D169" s="4">
        <f>_xll.ciqfunctions.udf.CIQ(InputTicker, "IQ_STOCK_BASED_SGA",Input!F$2,Date,,,Ccy,Conv)</f>
        <v>0</v>
      </c>
      <c r="E169" s="4">
        <f>_xll.ciqfunctions.udf.CIQ(InputTicker, "IQ_STOCK_BASED_SGA",Input!G$2,Date,,,Ccy,Conv)</f>
        <v>0</v>
      </c>
      <c r="F169" s="4">
        <f>_xll.ciqfunctions.udf.CIQ(InputTicker, "IQ_STOCK_BASED_SGA",Input!H$2,Date,,,Ccy,Conv)</f>
        <v>0</v>
      </c>
      <c r="G169" s="4">
        <f>_xll.ciqfunctions.udf.CIQ(InputTicker, "IQ_STOCK_BASED_SGA",Input!I$2,Date,,,Ccy,Conv)</f>
        <v>0</v>
      </c>
      <c r="H169" s="4">
        <f>_xll.ciqfunctions.udf.CIQ(InputTicker, "IQ_STOCK_BASED_SGA",Input!J$2,Date,,,Ccy,Conv)</f>
        <v>0</v>
      </c>
      <c r="I169" s="4">
        <f>_xll.ciqfunctions.udf.CIQ(InputTicker, "IQ_STOCK_BASED_SGA",Input!K$2,Date,,,Ccy,Conv)</f>
        <v>0</v>
      </c>
      <c r="J169" s="4">
        <f>_xll.ciqfunctions.udf.CIQ(InputTicker, "IQ_STOCK_BASED_SGA",Input!L$2,Date,,,Ccy,Conv)</f>
        <v>0</v>
      </c>
      <c r="K169" s="4">
        <f>_xll.ciqfunctions.udf.CIQ(InputTicker, "IQ_STOCK_BASED_SGA",Input!M$2,Date,,,Ccy,Conv)</f>
        <v>0</v>
      </c>
      <c r="L169" s="4">
        <f>_xll.ciqfunctions.udf.CIQ(InputTicker, "IQ_STOCK_BASED_SGA",Input!N$2,Date,,,Ccy,Conv)</f>
        <v>0</v>
      </c>
      <c r="M169" s="4">
        <f>_xll.ciqfunctions.udf.CIQ(InputTicker, "IQ_STOCK_BASED_SGA",Input!O$2,Date,,,Ccy,Conv)</f>
        <v>0</v>
      </c>
      <c r="N169" s="49"/>
      <c r="P169" s="51"/>
      <c r="Q169" s="51"/>
      <c r="R169" s="51"/>
      <c r="T169" s="42"/>
      <c r="U169" s="42"/>
      <c r="V169" s="51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</row>
    <row r="170" spans="1:66" ht="12.75" customHeight="1" x14ac:dyDescent="0.2">
      <c r="A170" s="1" t="s">
        <v>393</v>
      </c>
      <c r="B170" s="4">
        <f>_xll.ciqfunctions.udf.CIQ(InputTicker, "IQ_STOCK_BASED_EXPLORE_DRILL",Input!D$2,Date,,,Ccy,Conv)</f>
        <v>0</v>
      </c>
      <c r="C170" s="4">
        <f>_xll.ciqfunctions.udf.CIQ(InputTicker, "IQ_STOCK_BASED_EXPLORE_DRILL",Input!E$2,Date,,,Ccy,Conv)</f>
        <v>0</v>
      </c>
      <c r="D170" s="4">
        <f>_xll.ciqfunctions.udf.CIQ(InputTicker, "IQ_STOCK_BASED_EXPLORE_DRILL",Input!F$2,Date,,,Ccy,Conv)</f>
        <v>0</v>
      </c>
      <c r="E170" s="4">
        <f>_xll.ciqfunctions.udf.CIQ(InputTicker, "IQ_STOCK_BASED_EXPLORE_DRILL",Input!G$2,Date,,,Ccy,Conv)</f>
        <v>0</v>
      </c>
      <c r="F170" s="4">
        <f>_xll.ciqfunctions.udf.CIQ(InputTicker, "IQ_STOCK_BASED_EXPLORE_DRILL",Input!H$2,Date,,,Ccy,Conv)</f>
        <v>0</v>
      </c>
      <c r="G170" s="4">
        <f>_xll.ciqfunctions.udf.CIQ(InputTicker, "IQ_STOCK_BASED_EXPLORE_DRILL",Input!I$2,Date,,,Ccy,Conv)</f>
        <v>0</v>
      </c>
      <c r="H170" s="4">
        <f>_xll.ciqfunctions.udf.CIQ(InputTicker, "IQ_STOCK_BASED_EXPLORE_DRILL",Input!J$2,Date,,,Ccy,Conv)</f>
        <v>0</v>
      </c>
      <c r="I170" s="4">
        <f>_xll.ciqfunctions.udf.CIQ(InputTicker, "IQ_STOCK_BASED_EXPLORE_DRILL",Input!K$2,Date,,,Ccy,Conv)</f>
        <v>0</v>
      </c>
      <c r="J170" s="4">
        <f>_xll.ciqfunctions.udf.CIQ(InputTicker, "IQ_STOCK_BASED_EXPLORE_DRILL",Input!L$2,Date,,,Ccy,Conv)</f>
        <v>0</v>
      </c>
      <c r="K170" s="4">
        <f>_xll.ciqfunctions.udf.CIQ(InputTicker, "IQ_STOCK_BASED_EXPLORE_DRILL",Input!M$2,Date,,,Ccy,Conv)</f>
        <v>0</v>
      </c>
      <c r="L170" s="4">
        <f>_xll.ciqfunctions.udf.CIQ(InputTicker, "IQ_STOCK_BASED_EXPLORE_DRILL",Input!N$2,Date,,,Ccy,Conv)</f>
        <v>0</v>
      </c>
      <c r="M170" s="4">
        <f>_xll.ciqfunctions.udf.CIQ(InputTicker, "IQ_STOCK_BASED_EXPLORE_DRILL",Input!O$2,Date,,,Ccy,Conv)</f>
        <v>0</v>
      </c>
      <c r="N170" s="49"/>
      <c r="P170" s="51"/>
      <c r="Q170" s="51"/>
      <c r="R170" s="51"/>
      <c r="T170" s="42"/>
      <c r="U170" s="42"/>
      <c r="V170" s="51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</row>
    <row r="171" spans="1:66" ht="12.75" customHeight="1" x14ac:dyDescent="0.2">
      <c r="A171" s="1" t="s">
        <v>341</v>
      </c>
      <c r="B171" s="4">
        <f>_xll.ciqfunctions.udf.CIQ(InputTicker, "IQ_STOCK_BASED_OTHER",Input!D$2,Date,,,Ccy,Conv)</f>
        <v>0</v>
      </c>
      <c r="C171" s="4">
        <f>_xll.ciqfunctions.udf.CIQ(InputTicker, "IQ_STOCK_BASED_OTHER",Input!E$2,Date,,,Ccy,Conv)</f>
        <v>0</v>
      </c>
      <c r="D171" s="4">
        <f>_xll.ciqfunctions.udf.CIQ(InputTicker, "IQ_STOCK_BASED_OTHER",Input!F$2,Date,,,Ccy,Conv)</f>
        <v>0</v>
      </c>
      <c r="E171" s="4">
        <f>_xll.ciqfunctions.udf.CIQ(InputTicker, "IQ_STOCK_BASED_OTHER",Input!G$2,Date,,,Ccy,Conv)</f>
        <v>0</v>
      </c>
      <c r="F171" s="4">
        <f>_xll.ciqfunctions.udf.CIQ(InputTicker, "IQ_STOCK_BASED_OTHER",Input!H$2,Date,,,Ccy,Conv)</f>
        <v>0</v>
      </c>
      <c r="G171" s="4">
        <f>_xll.ciqfunctions.udf.CIQ(InputTicker, "IQ_STOCK_BASED_OTHER",Input!I$2,Date,,,Ccy,Conv)</f>
        <v>0</v>
      </c>
      <c r="H171" s="4">
        <f>_xll.ciqfunctions.udf.CIQ(InputTicker, "IQ_STOCK_BASED_OTHER",Input!J$2,Date,,,Ccy,Conv)</f>
        <v>0</v>
      </c>
      <c r="I171" s="4">
        <f>_xll.ciqfunctions.udf.CIQ(InputTicker, "IQ_STOCK_BASED_OTHER",Input!K$2,Date,,,Ccy,Conv)</f>
        <v>0</v>
      </c>
      <c r="J171" s="4">
        <f>_xll.ciqfunctions.udf.CIQ(InputTicker, "IQ_STOCK_BASED_OTHER",Input!L$2,Date,,,Ccy,Conv)</f>
        <v>0</v>
      </c>
      <c r="K171" s="4">
        <f>_xll.ciqfunctions.udf.CIQ(InputTicker, "IQ_STOCK_BASED_OTHER",Input!M$2,Date,,,Ccy,Conv)</f>
        <v>0</v>
      </c>
      <c r="L171" s="4">
        <f>_xll.ciqfunctions.udf.CIQ(InputTicker, "IQ_STOCK_BASED_OTHER",Input!N$2,Date,,,Ccy,Conv)</f>
        <v>0</v>
      </c>
      <c r="M171" s="4">
        <f>_xll.ciqfunctions.udf.CIQ(InputTicker, "IQ_STOCK_BASED_OTHER",Input!O$2,Date,,,Ccy,Conv)</f>
        <v>0</v>
      </c>
      <c r="N171" s="49"/>
      <c r="P171" s="51"/>
      <c r="Q171" s="51"/>
      <c r="R171" s="51"/>
      <c r="T171" s="42"/>
      <c r="U171" s="42"/>
      <c r="V171" s="51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</row>
    <row r="172" spans="1:66" ht="12.75" customHeight="1" x14ac:dyDescent="0.2">
      <c r="A172" s="1" t="s">
        <v>342</v>
      </c>
      <c r="B172" s="4">
        <f>_xll.ciqfunctions.udf.CIQ(InputTicker, "IQ_STOCK_BASED_AT",Input!D$2,Date,,,Ccy,Conv)</f>
        <v>0</v>
      </c>
      <c r="C172" s="4">
        <f>_xll.ciqfunctions.udf.CIQ(InputTicker, "IQ_STOCK_BASED_AT",Input!E$2,Date,,,Ccy,Conv)</f>
        <v>0</v>
      </c>
      <c r="D172" s="4">
        <f>_xll.ciqfunctions.udf.CIQ(InputTicker, "IQ_STOCK_BASED_AT",Input!F$2,Date,,,Ccy,Conv)</f>
        <v>0</v>
      </c>
      <c r="E172" s="4">
        <f>_xll.ciqfunctions.udf.CIQ(InputTicker, "IQ_STOCK_BASED_AT",Input!G$2,Date,,,Ccy,Conv)</f>
        <v>0</v>
      </c>
      <c r="F172" s="4">
        <f>_xll.ciqfunctions.udf.CIQ(InputTicker, "IQ_STOCK_BASED_AT",Input!H$2,Date,,,Ccy,Conv)</f>
        <v>0</v>
      </c>
      <c r="G172" s="4">
        <f>_xll.ciqfunctions.udf.CIQ(InputTicker, "IQ_STOCK_BASED_AT",Input!I$2,Date,,,Ccy,Conv)</f>
        <v>0</v>
      </c>
      <c r="H172" s="4">
        <f>_xll.ciqfunctions.udf.CIQ(InputTicker, "IQ_STOCK_BASED_AT",Input!J$2,Date,,,Ccy,Conv)</f>
        <v>0</v>
      </c>
      <c r="I172" s="4">
        <f>_xll.ciqfunctions.udf.CIQ(InputTicker, "IQ_STOCK_BASED_AT",Input!K$2,Date,,,Ccy,Conv)</f>
        <v>0</v>
      </c>
      <c r="J172" s="4">
        <f>_xll.ciqfunctions.udf.CIQ(InputTicker, "IQ_STOCK_BASED_AT",Input!L$2,Date,,,Ccy,Conv)</f>
        <v>0</v>
      </c>
      <c r="K172" s="4">
        <f>_xll.ciqfunctions.udf.CIQ(InputTicker, "IQ_STOCK_BASED_AT",Input!M$2,Date,,,Ccy,Conv)</f>
        <v>0</v>
      </c>
      <c r="L172" s="4">
        <f>_xll.ciqfunctions.udf.CIQ(InputTicker, "IQ_STOCK_BASED_AT",Input!N$2,Date,,,Ccy,Conv)</f>
        <v>0</v>
      </c>
      <c r="M172" s="4">
        <f>_xll.ciqfunctions.udf.CIQ(InputTicker, "IQ_STOCK_BASED_AT",Input!O$2,Date,,,Ccy,Conv)</f>
        <v>0</v>
      </c>
      <c r="N172" s="49"/>
      <c r="P172" s="51"/>
      <c r="Q172" s="51"/>
      <c r="R172" s="51"/>
      <c r="T172" s="42"/>
      <c r="U172" s="42"/>
      <c r="V172" s="51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</row>
    <row r="173" spans="1:66" ht="12.75" customHeight="1" x14ac:dyDescent="0.2">
      <c r="A173" s="1" t="s">
        <v>343</v>
      </c>
      <c r="B173" s="4">
        <f>_xll.ciqfunctions.udf.CIQ(InputTicker, "IQ_STOCK_BASED_TOTAL",Input!D$2,Date,,,Ccy,Conv)</f>
        <v>24.992000000000001</v>
      </c>
      <c r="C173" s="4">
        <f>_xll.ciqfunctions.udf.CIQ(InputTicker, "IQ_STOCK_BASED_TOTAL",Input!E$2,Date,,,Ccy,Conv)</f>
        <v>21.248999999999999</v>
      </c>
      <c r="D173" s="4">
        <f>_xll.ciqfunctions.udf.CIQ(InputTicker, "IQ_STOCK_BASED_TOTAL",Input!F$2,Date,,,Ccy,Conv)</f>
        <v>23.318000000000001</v>
      </c>
      <c r="E173" s="4">
        <f>_xll.ciqfunctions.udf.CIQ(InputTicker, "IQ_STOCK_BASED_TOTAL",Input!G$2,Date,,,Ccy,Conv)</f>
        <v>31.274999999999999</v>
      </c>
      <c r="F173" s="4">
        <f>_xll.ciqfunctions.udf.CIQ(InputTicker, "IQ_STOCK_BASED_TOTAL",Input!H$2,Date,,,Ccy,Conv)</f>
        <v>43.29</v>
      </c>
      <c r="G173" s="4">
        <f>_xll.ciqfunctions.udf.CIQ(InputTicker, "IQ_STOCK_BASED_TOTAL",Input!I$2,Date,,,Ccy,Conv)</f>
        <v>59.844000000000001</v>
      </c>
      <c r="H173" s="4">
        <f>_xll.ciqfunctions.udf.CIQ(InputTicker, "IQ_STOCK_BASED_TOTAL",Input!J$2,Date,,,Ccy,Conv)</f>
        <v>69.784000000000006</v>
      </c>
      <c r="I173" s="4">
        <f>_xll.ciqfunctions.udf.CIQ(InputTicker, "IQ_STOCK_BASED_TOTAL",Input!K$2,Date,,,Ccy,Conv)</f>
        <v>80</v>
      </c>
      <c r="J173" s="4">
        <f>_xll.ciqfunctions.udf.CIQ(InputTicker, "IQ_STOCK_BASED_TOTAL",Input!L$2,Date,,,Ccy,Conv)</f>
        <v>95</v>
      </c>
      <c r="K173" s="4">
        <f>_xll.ciqfunctions.udf.CIQ(InputTicker, "IQ_STOCK_BASED_TOTAL",Input!M$2,Date,,,Ccy,Conv)</f>
        <v>94</v>
      </c>
      <c r="L173" s="4">
        <f>_xll.ciqfunctions.udf.CIQ(InputTicker, "IQ_STOCK_BASED_TOTAL",Input!N$2,Date,,,Ccy,Conv)</f>
        <v>69</v>
      </c>
      <c r="M173" s="4">
        <f>_xll.ciqfunctions.udf.CIQ(InputTicker, "IQ_STOCK_BASED_TOTAL",Input!O$2,Date,,,Ccy,Conv)</f>
        <v>69</v>
      </c>
      <c r="N173" s="49"/>
      <c r="P173" s="51"/>
      <c r="Q173" s="51"/>
      <c r="R173" s="51"/>
      <c r="T173" s="42"/>
      <c r="U173" s="42"/>
      <c r="V173" s="51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</row>
    <row r="174" spans="1:66" ht="12.75" customHeight="1" x14ac:dyDescent="0.2">
      <c r="A174" s="1" t="s">
        <v>298</v>
      </c>
      <c r="B174" s="4">
        <f>_xll.ciqfunctions.udf.CIQ(InputTicker,"IQ_RESTR_STOCK_COMP_PRETAX",Input!D$2,Date,,,Ccy,Conv)</f>
        <v>21.29</v>
      </c>
      <c r="C174" s="4">
        <f>_xll.ciqfunctions.udf.CIQ(InputTicker,"IQ_RESTR_STOCK_COMP_PRETAX",Input!E$2,Date,,,Ccy,Conv)</f>
        <v>18.725999999999999</v>
      </c>
      <c r="D174" s="4">
        <f>_xll.ciqfunctions.udf.CIQ(InputTicker,"IQ_RESTR_STOCK_COMP_PRETAX",Input!F$2,Date,,,Ccy,Conv)</f>
        <v>21.282</v>
      </c>
      <c r="E174" s="4">
        <f>_xll.ciqfunctions.udf.CIQ(InputTicker,"IQ_RESTR_STOCK_COMP_PRETAX",Input!G$2,Date,,,Ccy,Conv)</f>
        <v>28.901</v>
      </c>
      <c r="F174" s="4">
        <f>_xll.ciqfunctions.udf.CIQ(InputTicker,"IQ_RESTR_STOCK_COMP_PRETAX",Input!H$2,Date,,,Ccy,Conv)</f>
        <v>40.548999999999999</v>
      </c>
      <c r="G174" s="4">
        <f>_xll.ciqfunctions.udf.CIQ(InputTicker,"IQ_RESTR_STOCK_COMP_PRETAX",Input!I$2,Date,,,Ccy,Conv)</f>
        <v>57.219000000000001</v>
      </c>
      <c r="H174" s="4">
        <f>_xll.ciqfunctions.udf.CIQ(InputTicker,"IQ_RESTR_STOCK_COMP_PRETAX",Input!J$2,Date,,,Ccy,Conv)</f>
        <v>67.991</v>
      </c>
      <c r="I174" s="4">
        <f>_xll.ciqfunctions.udf.CIQ(InputTicker,"IQ_RESTR_STOCK_COMP_PRETAX",Input!K$2,Date,,,Ccy,Conv)</f>
        <v>0</v>
      </c>
      <c r="J174" s="4">
        <f>_xll.ciqfunctions.udf.CIQ(InputTicker,"IQ_RESTR_STOCK_COMP_PRETAX",Input!L$2,Date,,,Ccy,Conv)</f>
        <v>0</v>
      </c>
      <c r="K174" s="4">
        <f>_xll.ciqfunctions.udf.CIQ(InputTicker,"IQ_RESTR_STOCK_COMP_PRETAX",Input!M$2,Date,,,Ccy,Conv)</f>
        <v>0</v>
      </c>
      <c r="L174" s="4">
        <f>_xll.ciqfunctions.udf.CIQ(InputTicker,"IQ_RESTR_STOCK_COMP_PRETAX",Input!N$2,Date,,,Ccy,Conv)</f>
        <v>0</v>
      </c>
      <c r="M174" s="4">
        <f>_xll.ciqfunctions.udf.CIQ(InputTicker,"IQ_RESTR_STOCK_COMP_PRETAX",Input!O$2,Date,,,Ccy,Conv)</f>
        <v>0</v>
      </c>
      <c r="N174" s="49"/>
      <c r="P174" s="51"/>
      <c r="Q174" s="51"/>
      <c r="R174" s="51"/>
      <c r="T174" s="42"/>
      <c r="U174" s="42"/>
      <c r="V174" s="51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</row>
    <row r="175" spans="1:66" ht="12.75" customHeight="1" x14ac:dyDescent="0.2">
      <c r="A175" s="1" t="s">
        <v>299</v>
      </c>
      <c r="B175" s="4">
        <f>_xll.ciqfunctions.udf.CIQ(InputTicker,"IQ_RESTR_STOCK_COMP_TAX",Input!D$2,Date,,,Ccy,Conv)</f>
        <v>0</v>
      </c>
      <c r="C175" s="4">
        <f>_xll.ciqfunctions.udf.CIQ(InputTicker,"IQ_RESTR_STOCK_COMP_TAX",Input!E$2,Date,,,Ccy,Conv)</f>
        <v>0</v>
      </c>
      <c r="D175" s="4">
        <f>_xll.ciqfunctions.udf.CIQ(InputTicker,"IQ_RESTR_STOCK_COMP_TAX",Input!F$2,Date,,,Ccy,Conv)</f>
        <v>0</v>
      </c>
      <c r="E175" s="4">
        <f>_xll.ciqfunctions.udf.CIQ(InputTicker,"IQ_RESTR_STOCK_COMP_TAX",Input!G$2,Date,,,Ccy,Conv)</f>
        <v>0</v>
      </c>
      <c r="F175" s="4">
        <f>_xll.ciqfunctions.udf.CIQ(InputTicker,"IQ_RESTR_STOCK_COMP_TAX",Input!H$2,Date,,,Ccy,Conv)</f>
        <v>0</v>
      </c>
      <c r="G175" s="4">
        <f>_xll.ciqfunctions.udf.CIQ(InputTicker,"IQ_RESTR_STOCK_COMP_TAX",Input!I$2,Date,,,Ccy,Conv)</f>
        <v>0</v>
      </c>
      <c r="H175" s="4">
        <f>_xll.ciqfunctions.udf.CIQ(InputTicker,"IQ_RESTR_STOCK_COMP_TAX",Input!J$2,Date,,,Ccy,Conv)</f>
        <v>0</v>
      </c>
      <c r="I175" s="4">
        <f>_xll.ciqfunctions.udf.CIQ(InputTicker,"IQ_RESTR_STOCK_COMP_TAX",Input!K$2,Date,,,Ccy,Conv)</f>
        <v>0</v>
      </c>
      <c r="J175" s="4">
        <f>_xll.ciqfunctions.udf.CIQ(InputTicker,"IQ_RESTR_STOCK_COMP_TAX",Input!L$2,Date,,,Ccy,Conv)</f>
        <v>0</v>
      </c>
      <c r="K175" s="4">
        <f>_xll.ciqfunctions.udf.CIQ(InputTicker,"IQ_RESTR_STOCK_COMP_TAX",Input!M$2,Date,,,Ccy,Conv)</f>
        <v>0</v>
      </c>
      <c r="L175" s="4">
        <f>_xll.ciqfunctions.udf.CIQ(InputTicker,"IQ_RESTR_STOCK_COMP_TAX",Input!N$2,Date,,,Ccy,Conv)</f>
        <v>0</v>
      </c>
      <c r="M175" s="4">
        <f>_xll.ciqfunctions.udf.CIQ(InputTicker,"IQ_RESTR_STOCK_COMP_TAX",Input!O$2,Date,,,Ccy,Conv)</f>
        <v>0</v>
      </c>
      <c r="N175" s="49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</row>
    <row r="176" spans="1:66" ht="12.75" customHeight="1" x14ac:dyDescent="0.2">
      <c r="A176" s="1" t="s">
        <v>300</v>
      </c>
      <c r="B176" s="4">
        <f>_xll.ciqfunctions.udf.CIQ(InputTicker,"IQ_RESTR_STOCK_COMP",Input!D$2,Date,,,Ccy,Conv)</f>
        <v>0</v>
      </c>
      <c r="C176" s="4">
        <f>_xll.ciqfunctions.udf.CIQ(InputTicker,"IQ_RESTR_STOCK_COMP",Input!E$2,Date,,,Ccy,Conv)</f>
        <v>0</v>
      </c>
      <c r="D176" s="4">
        <f>_xll.ciqfunctions.udf.CIQ(InputTicker,"IQ_RESTR_STOCK_COMP",Input!F$2,Date,,,Ccy,Conv)</f>
        <v>0</v>
      </c>
      <c r="E176" s="4">
        <f>_xll.ciqfunctions.udf.CIQ(InputTicker,"IQ_RESTR_STOCK_COMP",Input!G$2,Date,,,Ccy,Conv)</f>
        <v>0</v>
      </c>
      <c r="F176" s="4">
        <f>_xll.ciqfunctions.udf.CIQ(InputTicker,"IQ_RESTR_STOCK_COMP",Input!H$2,Date,,,Ccy,Conv)</f>
        <v>0</v>
      </c>
      <c r="G176" s="4">
        <f>_xll.ciqfunctions.udf.CIQ(InputTicker,"IQ_RESTR_STOCK_COMP",Input!I$2,Date,,,Ccy,Conv)</f>
        <v>0</v>
      </c>
      <c r="H176" s="4">
        <f>_xll.ciqfunctions.udf.CIQ(InputTicker,"IQ_RESTR_STOCK_COMP",Input!J$2,Date,,,Ccy,Conv)</f>
        <v>0</v>
      </c>
      <c r="I176" s="4">
        <f>_xll.ciqfunctions.udf.CIQ(InputTicker,"IQ_RESTR_STOCK_COMP",Input!K$2,Date,,,Ccy,Conv)</f>
        <v>0</v>
      </c>
      <c r="J176" s="4">
        <f>_xll.ciqfunctions.udf.CIQ(InputTicker,"IQ_RESTR_STOCK_COMP",Input!L$2,Date,,,Ccy,Conv)</f>
        <v>0</v>
      </c>
      <c r="K176" s="4">
        <f>_xll.ciqfunctions.udf.CIQ(InputTicker,"IQ_RESTR_STOCK_COMP",Input!M$2,Date,,,Ccy,Conv)</f>
        <v>0</v>
      </c>
      <c r="L176" s="4">
        <f>_xll.ciqfunctions.udf.CIQ(InputTicker,"IQ_RESTR_STOCK_COMP",Input!N$2,Date,,,Ccy,Conv)</f>
        <v>0</v>
      </c>
      <c r="M176" s="4">
        <f>_xll.ciqfunctions.udf.CIQ(InputTicker,"IQ_RESTR_STOCK_COMP",Input!O$2,Date,,,Ccy,Conv)</f>
        <v>0</v>
      </c>
      <c r="N176" s="49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</row>
    <row r="177" spans="1:66" ht="12.75" customHeight="1" x14ac:dyDescent="0.2">
      <c r="A177" s="1" t="s">
        <v>301</v>
      </c>
      <c r="B177" s="4">
        <f>_xll.ciqfunctions.udf.CIQ(InputTicker,"IQ_STOCK_OPTIONS_COMP_PRETAX",Input!D$2,Date,,,Ccy,Conv)</f>
        <v>3.702</v>
      </c>
      <c r="C177" s="4">
        <f>_xll.ciqfunctions.udf.CIQ(InputTicker,"IQ_STOCK_OPTIONS_COMP_PRETAX",Input!E$2,Date,,,Ccy,Conv)</f>
        <v>2.5230000000000001</v>
      </c>
      <c r="D177" s="4">
        <f>_xll.ciqfunctions.udf.CIQ(InputTicker,"IQ_STOCK_OPTIONS_COMP_PRETAX",Input!F$2,Date,,,Ccy,Conv)</f>
        <v>2.036</v>
      </c>
      <c r="E177" s="4">
        <f>_xll.ciqfunctions.udf.CIQ(InputTicker,"IQ_STOCK_OPTIONS_COMP_PRETAX",Input!G$2,Date,,,Ccy,Conv)</f>
        <v>2.3740000000000001</v>
      </c>
      <c r="F177" s="4">
        <f>_xll.ciqfunctions.udf.CIQ(InputTicker,"IQ_STOCK_OPTIONS_COMP_PRETAX",Input!H$2,Date,,,Ccy,Conv)</f>
        <v>2.7410000000000001</v>
      </c>
      <c r="G177" s="4">
        <f>_xll.ciqfunctions.udf.CIQ(InputTicker,"IQ_STOCK_OPTIONS_COMP_PRETAX",Input!I$2,Date,,,Ccy,Conv)</f>
        <v>2.625</v>
      </c>
      <c r="H177" s="4">
        <f>_xll.ciqfunctions.udf.CIQ(InputTicker,"IQ_STOCK_OPTIONS_COMP_PRETAX",Input!J$2,Date,,,Ccy,Conv)</f>
        <v>1.7929999999999999</v>
      </c>
      <c r="I177" s="4">
        <f>_xll.ciqfunctions.udf.CIQ(InputTicker,"IQ_STOCK_OPTIONS_COMP_PRETAX",Input!K$2,Date,,,Ccy,Conv)</f>
        <v>0</v>
      </c>
      <c r="J177" s="4">
        <f>_xll.ciqfunctions.udf.CIQ(InputTicker,"IQ_STOCK_OPTIONS_COMP_PRETAX",Input!L$2,Date,,,Ccy,Conv)</f>
        <v>0</v>
      </c>
      <c r="K177" s="4">
        <f>_xll.ciqfunctions.udf.CIQ(InputTicker,"IQ_STOCK_OPTIONS_COMP_PRETAX",Input!M$2,Date,,,Ccy,Conv)</f>
        <v>0</v>
      </c>
      <c r="L177" s="4">
        <f>_xll.ciqfunctions.udf.CIQ(InputTicker,"IQ_STOCK_OPTIONS_COMP_PRETAX",Input!N$2,Date,,,Ccy,Conv)</f>
        <v>0</v>
      </c>
      <c r="M177" s="4">
        <f>_xll.ciqfunctions.udf.CIQ(InputTicker,"IQ_STOCK_OPTIONS_COMP_PRETAX",Input!O$2,Date,,,Ccy,Conv)</f>
        <v>0</v>
      </c>
      <c r="N177" s="49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</row>
    <row r="178" spans="1:66" ht="12.75" customHeight="1" x14ac:dyDescent="0.2">
      <c r="A178" s="1" t="s">
        <v>302</v>
      </c>
      <c r="B178" s="4">
        <f>_xll.ciqfunctions.udf.CIQ(InputTicker,"IQ_STOCK_OPTIONS_COMP_TAX",Input!D$2,Date,,,Ccy,Conv)</f>
        <v>0</v>
      </c>
      <c r="C178" s="4">
        <f>_xll.ciqfunctions.udf.CIQ(InputTicker,"IQ_STOCK_OPTIONS_COMP_TAX",Input!E$2,Date,,,Ccy,Conv)</f>
        <v>0</v>
      </c>
      <c r="D178" s="4">
        <f>_xll.ciqfunctions.udf.CIQ(InputTicker,"IQ_STOCK_OPTIONS_COMP_TAX",Input!F$2,Date,,,Ccy,Conv)</f>
        <v>0</v>
      </c>
      <c r="E178" s="4">
        <f>_xll.ciqfunctions.udf.CIQ(InputTicker,"IQ_STOCK_OPTIONS_COMP_TAX",Input!G$2,Date,,,Ccy,Conv)</f>
        <v>0</v>
      </c>
      <c r="F178" s="4">
        <f>_xll.ciqfunctions.udf.CIQ(InputTicker,"IQ_STOCK_OPTIONS_COMP_TAX",Input!H$2,Date,,,Ccy,Conv)</f>
        <v>0</v>
      </c>
      <c r="G178" s="4">
        <f>_xll.ciqfunctions.udf.CIQ(InputTicker,"IQ_STOCK_OPTIONS_COMP_TAX",Input!I$2,Date,,,Ccy,Conv)</f>
        <v>0</v>
      </c>
      <c r="H178" s="4">
        <f>_xll.ciqfunctions.udf.CIQ(InputTicker,"IQ_STOCK_OPTIONS_COMP_TAX",Input!J$2,Date,,,Ccy,Conv)</f>
        <v>0</v>
      </c>
      <c r="I178" s="4">
        <f>_xll.ciqfunctions.udf.CIQ(InputTicker,"IQ_STOCK_OPTIONS_COMP_TAX",Input!K$2,Date,,,Ccy,Conv)</f>
        <v>0</v>
      </c>
      <c r="J178" s="4">
        <f>_xll.ciqfunctions.udf.CIQ(InputTicker,"IQ_STOCK_OPTIONS_COMP_TAX",Input!L$2,Date,,,Ccy,Conv)</f>
        <v>0</v>
      </c>
      <c r="K178" s="4">
        <f>_xll.ciqfunctions.udf.CIQ(InputTicker,"IQ_STOCK_OPTIONS_COMP_TAX",Input!M$2,Date,,,Ccy,Conv)</f>
        <v>0</v>
      </c>
      <c r="L178" s="4">
        <f>_xll.ciqfunctions.udf.CIQ(InputTicker,"IQ_STOCK_OPTIONS_COMP_TAX",Input!N$2,Date,,,Ccy,Conv)</f>
        <v>0</v>
      </c>
      <c r="M178" s="4">
        <f>_xll.ciqfunctions.udf.CIQ(InputTicker,"IQ_STOCK_OPTIONS_COMP_TAX",Input!O$2,Date,,,Ccy,Conv)</f>
        <v>0</v>
      </c>
      <c r="N178" s="49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</row>
    <row r="179" spans="1:66" ht="12.75" customHeight="1" x14ac:dyDescent="0.2">
      <c r="A179" s="1" t="s">
        <v>303</v>
      </c>
      <c r="B179" s="4">
        <f>_xll.ciqfunctions.udf.CIQ(InputTicker,"IQ_STOCK_OPTIONS_COMP",Input!D$2,Date,,,Ccy,Conv)</f>
        <v>0</v>
      </c>
      <c r="C179" s="4">
        <f>_xll.ciqfunctions.udf.CIQ(InputTicker,"IQ_STOCK_OPTIONS_COMP",Input!E$2,Date,,,Ccy,Conv)</f>
        <v>0</v>
      </c>
      <c r="D179" s="4">
        <f>_xll.ciqfunctions.udf.CIQ(InputTicker,"IQ_STOCK_OPTIONS_COMP",Input!F$2,Date,,,Ccy,Conv)</f>
        <v>0</v>
      </c>
      <c r="E179" s="4">
        <f>_xll.ciqfunctions.udf.CIQ(InputTicker,"IQ_STOCK_OPTIONS_COMP",Input!G$2,Date,,,Ccy,Conv)</f>
        <v>0</v>
      </c>
      <c r="F179" s="4">
        <f>_xll.ciqfunctions.udf.CIQ(InputTicker,"IQ_STOCK_OPTIONS_COMP",Input!H$2,Date,,,Ccy,Conv)</f>
        <v>0</v>
      </c>
      <c r="G179" s="4">
        <f>_xll.ciqfunctions.udf.CIQ(InputTicker,"IQ_STOCK_OPTIONS_COMP",Input!I$2,Date,,,Ccy,Conv)</f>
        <v>0</v>
      </c>
      <c r="H179" s="4">
        <f>_xll.ciqfunctions.udf.CIQ(InputTicker,"IQ_STOCK_OPTIONS_COMP",Input!J$2,Date,,,Ccy,Conv)</f>
        <v>0</v>
      </c>
      <c r="I179" s="4">
        <f>_xll.ciqfunctions.udf.CIQ(InputTicker,"IQ_STOCK_OPTIONS_COMP",Input!K$2,Date,,,Ccy,Conv)</f>
        <v>0</v>
      </c>
      <c r="J179" s="4">
        <f>_xll.ciqfunctions.udf.CIQ(InputTicker,"IQ_STOCK_OPTIONS_COMP",Input!L$2,Date,,,Ccy,Conv)</f>
        <v>0</v>
      </c>
      <c r="K179" s="4">
        <f>_xll.ciqfunctions.udf.CIQ(InputTicker,"IQ_STOCK_OPTIONS_COMP",Input!M$2,Date,,,Ccy,Conv)</f>
        <v>0</v>
      </c>
      <c r="L179" s="4">
        <f>_xll.ciqfunctions.udf.CIQ(InputTicker,"IQ_STOCK_OPTIONS_COMP",Input!N$2,Date,,,Ccy,Conv)</f>
        <v>0</v>
      </c>
      <c r="M179" s="4">
        <f>_xll.ciqfunctions.udf.CIQ(InputTicker,"IQ_STOCK_OPTIONS_COMP",Input!O$2,Date,,,Ccy,Conv)</f>
        <v>0</v>
      </c>
      <c r="N179" s="49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</row>
    <row r="180" spans="1:66" ht="12.75" customHeight="1" x14ac:dyDescent="0.2">
      <c r="A180" s="1" t="s">
        <v>304</v>
      </c>
      <c r="B180" s="4">
        <f>_xll.ciqfunctions.udf.CIQ(InputTicker,"IQ_STOCK_BASED_COMP_PRETAX",Input!D$2,Date,,,Ccy,Conv)</f>
        <v>24.992000000000001</v>
      </c>
      <c r="C180" s="4">
        <f>_xll.ciqfunctions.udf.CIQ(InputTicker,"IQ_STOCK_BASED_COMP_PRETAX",Input!E$2,Date,,,Ccy,Conv)</f>
        <v>21.248999999999999</v>
      </c>
      <c r="D180" s="4">
        <f>_xll.ciqfunctions.udf.CIQ(InputTicker,"IQ_STOCK_BASED_COMP_PRETAX",Input!F$2,Date,,,Ccy,Conv)</f>
        <v>23.318000000000001</v>
      </c>
      <c r="E180" s="4">
        <f>_xll.ciqfunctions.udf.CIQ(InputTicker,"IQ_STOCK_BASED_COMP_PRETAX",Input!G$2,Date,,,Ccy,Conv)</f>
        <v>31.274999999999999</v>
      </c>
      <c r="F180" s="4">
        <f>_xll.ciqfunctions.udf.CIQ(InputTicker,"IQ_STOCK_BASED_COMP_PRETAX",Input!H$2,Date,,,Ccy,Conv)</f>
        <v>43.29</v>
      </c>
      <c r="G180" s="4">
        <f>_xll.ciqfunctions.udf.CIQ(InputTicker,"IQ_STOCK_BASED_COMP_PRETAX",Input!I$2,Date,,,Ccy,Conv)</f>
        <v>59.844000000000001</v>
      </c>
      <c r="H180" s="4">
        <f>_xll.ciqfunctions.udf.CIQ(InputTicker,"IQ_STOCK_BASED_COMP_PRETAX",Input!J$2,Date,,,Ccy,Conv)</f>
        <v>69.784000000000006</v>
      </c>
      <c r="I180" s="4">
        <f>_xll.ciqfunctions.udf.CIQ(InputTicker,"IQ_STOCK_BASED_COMP_PRETAX",Input!K$2,Date,,,Ccy,Conv)</f>
        <v>80</v>
      </c>
      <c r="J180" s="4">
        <f>_xll.ciqfunctions.udf.CIQ(InputTicker,"IQ_STOCK_BASED_COMP_PRETAX",Input!L$2,Date,,,Ccy,Conv)</f>
        <v>95</v>
      </c>
      <c r="K180" s="4">
        <f>_xll.ciqfunctions.udf.CIQ(InputTicker,"IQ_STOCK_BASED_COMP_PRETAX",Input!M$2,Date,,,Ccy,Conv)</f>
        <v>94</v>
      </c>
      <c r="L180" s="4">
        <f>_xll.ciqfunctions.udf.CIQ(InputTicker,"IQ_STOCK_BASED_COMP_PRETAX",Input!N$2,Date,,,Ccy,Conv)</f>
        <v>69</v>
      </c>
      <c r="M180" s="4">
        <f>_xll.ciqfunctions.udf.CIQ(InputTicker,"IQ_STOCK_BASED_COMP_PRETAX",Input!O$2,Date,,,Ccy,Conv)</f>
        <v>69</v>
      </c>
      <c r="N180" s="49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</row>
    <row r="181" spans="1:66" ht="12.75" customHeight="1" x14ac:dyDescent="0.2">
      <c r="A181" s="1" t="s">
        <v>305</v>
      </c>
      <c r="B181" s="4">
        <f>_xll.ciqfunctions.udf.CIQ(InputTicker,"IQ_STOCK_BASED_COMP_TAX",Input!D$2,Date,,,Ccy,Conv)</f>
        <v>0</v>
      </c>
      <c r="C181" s="4">
        <f>_xll.ciqfunctions.udf.CIQ(InputTicker,"IQ_STOCK_BASED_COMP_TAX",Input!E$2,Date,,,Ccy,Conv)</f>
        <v>0</v>
      </c>
      <c r="D181" s="4">
        <f>_xll.ciqfunctions.udf.CIQ(InputTicker,"IQ_STOCK_BASED_COMP_TAX",Input!F$2,Date,,,Ccy,Conv)</f>
        <v>0</v>
      </c>
      <c r="E181" s="4">
        <f>_xll.ciqfunctions.udf.CIQ(InputTicker,"IQ_STOCK_BASED_COMP_TAX",Input!G$2,Date,,,Ccy,Conv)</f>
        <v>0</v>
      </c>
      <c r="F181" s="4">
        <f>_xll.ciqfunctions.udf.CIQ(InputTicker,"IQ_STOCK_BASED_COMP_TAX",Input!H$2,Date,,,Ccy,Conv)</f>
        <v>0</v>
      </c>
      <c r="G181" s="4">
        <f>_xll.ciqfunctions.udf.CIQ(InputTicker,"IQ_STOCK_BASED_COMP_TAX",Input!I$2,Date,,,Ccy,Conv)</f>
        <v>0</v>
      </c>
      <c r="H181" s="4">
        <f>_xll.ciqfunctions.udf.CIQ(InputTicker,"IQ_STOCK_BASED_COMP_TAX",Input!J$2,Date,,,Ccy,Conv)</f>
        <v>0</v>
      </c>
      <c r="I181" s="4">
        <f>_xll.ciqfunctions.udf.CIQ(InputTicker,"IQ_STOCK_BASED_COMP_TAX",Input!K$2,Date,,,Ccy,Conv)</f>
        <v>0</v>
      </c>
      <c r="J181" s="4">
        <f>_xll.ciqfunctions.udf.CIQ(InputTicker,"IQ_STOCK_BASED_COMP_TAX",Input!L$2,Date,,,Ccy,Conv)</f>
        <v>-31</v>
      </c>
      <c r="K181" s="4">
        <f>_xll.ciqfunctions.udf.CIQ(InputTicker,"IQ_STOCK_BASED_COMP_TAX",Input!M$2,Date,,,Ccy,Conv)</f>
        <v>-22</v>
      </c>
      <c r="L181" s="4">
        <f>_xll.ciqfunctions.udf.CIQ(InputTicker,"IQ_STOCK_BASED_COMP_TAX",Input!N$2,Date,,,Ccy,Conv)</f>
        <v>-12</v>
      </c>
      <c r="M181" s="4">
        <f>_xll.ciqfunctions.udf.CIQ(InputTicker,"IQ_STOCK_BASED_COMP_TAX",Input!O$2,Date,,,Ccy,Conv)</f>
        <v>-12</v>
      </c>
      <c r="N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</row>
    <row r="182" spans="1:66" ht="12.75" customHeight="1" x14ac:dyDescent="0.2">
      <c r="A182" s="1" t="s">
        <v>306</v>
      </c>
      <c r="B182" s="4">
        <f>_xll.ciqfunctions.udf.CIQ(InputTicker,"IQ_STOCK_BASED_COMP",Input!D$2,Date,,,Ccy,Conv)</f>
        <v>0</v>
      </c>
      <c r="C182" s="4">
        <f>_xll.ciqfunctions.udf.CIQ(InputTicker,"IQ_STOCK_BASED_COMP",Input!E$2,Date,,,Ccy,Conv)</f>
        <v>0</v>
      </c>
      <c r="D182" s="4">
        <f>_xll.ciqfunctions.udf.CIQ(InputTicker,"IQ_STOCK_BASED_COMP",Input!F$2,Date,,,Ccy,Conv)</f>
        <v>0</v>
      </c>
      <c r="E182" s="4">
        <f>_xll.ciqfunctions.udf.CIQ(InputTicker,"IQ_STOCK_BASED_COMP",Input!G$2,Date,,,Ccy,Conv)</f>
        <v>0</v>
      </c>
      <c r="F182" s="4">
        <f>_xll.ciqfunctions.udf.CIQ(InputTicker,"IQ_STOCK_BASED_COMP",Input!H$2,Date,,,Ccy,Conv)</f>
        <v>0</v>
      </c>
      <c r="G182" s="4">
        <f>_xll.ciqfunctions.udf.CIQ(InputTicker,"IQ_STOCK_BASED_COMP",Input!I$2,Date,,,Ccy,Conv)</f>
        <v>0</v>
      </c>
      <c r="H182" s="4">
        <f>_xll.ciqfunctions.udf.CIQ(InputTicker,"IQ_STOCK_BASED_COMP",Input!J$2,Date,,,Ccy,Conv)</f>
        <v>0</v>
      </c>
      <c r="I182" s="4">
        <f>_xll.ciqfunctions.udf.CIQ(InputTicker,"IQ_STOCK_BASED_COMP",Input!K$2,Date,,,Ccy,Conv)</f>
        <v>0</v>
      </c>
      <c r="J182" s="4">
        <f>_xll.ciqfunctions.udf.CIQ(InputTicker,"IQ_STOCK_BASED_COMP",Input!L$2,Date,,,Ccy,Conv)</f>
        <v>64</v>
      </c>
      <c r="K182" s="4">
        <f>_xll.ciqfunctions.udf.CIQ(InputTicker,"IQ_STOCK_BASED_COMP",Input!M$2,Date,,,Ccy,Conv)</f>
        <v>72</v>
      </c>
      <c r="L182" s="4">
        <f>_xll.ciqfunctions.udf.CIQ(InputTicker,"IQ_STOCK_BASED_COMP",Input!N$2,Date,,,Ccy,Conv)</f>
        <v>57</v>
      </c>
      <c r="M182" s="4">
        <f>_xll.ciqfunctions.udf.CIQ(InputTicker,"IQ_STOCK_BASED_COMP",Input!O$2,Date,,,Ccy,Conv)</f>
        <v>57</v>
      </c>
      <c r="N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</row>
    <row r="183" spans="1:66" ht="12.75" customHeight="1" x14ac:dyDescent="0.2">
      <c r="A183" s="3" t="s">
        <v>44</v>
      </c>
      <c r="B183" s="7">
        <f>_xll.ciqfunctions.udf.CIQ(InputTicker, "IQ_NI_CF",Input!D$2,Date,,,Ccy,Conv)</f>
        <v>294.09399999999999</v>
      </c>
      <c r="C183" s="7">
        <f>_xll.ciqfunctions.udf.CIQ(InputTicker, "IQ_NI_CF",Input!E$2,Date,,,Ccy,Conv)</f>
        <v>260.82499999999999</v>
      </c>
      <c r="D183" s="7">
        <f>_xll.ciqfunctions.udf.CIQ(InputTicker, "IQ_NI_CF",Input!F$2,Date,,,Ccy,Conv)</f>
        <v>301.69200000000001</v>
      </c>
      <c r="E183" s="7">
        <f>_xll.ciqfunctions.udf.CIQ(InputTicker, "IQ_NI_CF",Input!G$2,Date,,,Ccy,Conv)</f>
        <v>418.529</v>
      </c>
      <c r="F183" s="7">
        <f>_xll.ciqfunctions.udf.CIQ(InputTicker, "IQ_NI_CF",Input!H$2,Date,,,Ccy,Conv)</f>
        <v>482.60300000000001</v>
      </c>
      <c r="G183" s="7">
        <f>_xll.ciqfunctions.udf.CIQ(InputTicker, "IQ_NI_CF",Input!I$2,Date,,,Ccy,Conv)</f>
        <v>608.95799999999997</v>
      </c>
      <c r="H183" s="7">
        <f>_xll.ciqfunctions.udf.CIQ(InputTicker, "IQ_NI_CF",Input!J$2,Date,,,Ccy,Conv)</f>
        <v>466.74</v>
      </c>
      <c r="I183" s="7">
        <f>_xll.ciqfunctions.udf.CIQ(InputTicker, "IQ_NI_CF",Input!K$2,Date,,,Ccy,Conv)</f>
        <v>272</v>
      </c>
      <c r="J183" s="7">
        <f>_xll.ciqfunctions.udf.CIQ(InputTicker, "IQ_NI_CF",Input!L$2,Date,,,Ccy,Conv)</f>
        <v>606</v>
      </c>
      <c r="K183" s="7">
        <f>_xll.ciqfunctions.udf.CIQ(InputTicker, "IQ_NI_CF",Input!M$2,Date,,,Ccy,Conv)</f>
        <v>935</v>
      </c>
      <c r="L183" s="7">
        <f>_xll.ciqfunctions.udf.CIQ(InputTicker, "IQ_NI_CF",Input!N$2,Date,,,Ccy,Conv)</f>
        <v>851</v>
      </c>
      <c r="M183" s="7">
        <f>_xll.ciqfunctions.udf.CIQ(InputTicker, "IQ_NI_CF",Input!O$2,Date,,,Ccy,Conv)</f>
        <v>851</v>
      </c>
      <c r="N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</row>
    <row r="184" spans="1:66" ht="12.75" customHeight="1" x14ac:dyDescent="0.2">
      <c r="A184" s="1" t="s">
        <v>126</v>
      </c>
      <c r="B184" s="4">
        <f>_xll.ciqfunctions.udf.CIQ(InputTicker, "IQ_DA_SUPPL_CF",Input!D$2,Date,,,Ccy,Conv)</f>
        <v>49.436</v>
      </c>
      <c r="C184" s="4">
        <f>_xll.ciqfunctions.udf.CIQ(InputTicker, "IQ_DA_SUPPL_CF",Input!E$2,Date,,,Ccy,Conv)</f>
        <v>41.643999999999998</v>
      </c>
      <c r="D184" s="4">
        <f>_xll.ciqfunctions.udf.CIQ(InputTicker, "IQ_DA_SUPPL_CF",Input!F$2,Date,,,Ccy,Conv)</f>
        <v>44.055999999999997</v>
      </c>
      <c r="E184" s="4">
        <f>_xll.ciqfunctions.udf.CIQ(InputTicker, "IQ_DA_SUPPL_CF",Input!G$2,Date,,,Ccy,Conv)</f>
        <v>47.674999999999997</v>
      </c>
      <c r="F184" s="4">
        <f>_xll.ciqfunctions.udf.CIQ(InputTicker, "IQ_DA_SUPPL_CF",Input!H$2,Date,,,Ccy,Conv)</f>
        <v>58.780999999999999</v>
      </c>
      <c r="G184" s="4">
        <f>_xll.ciqfunctions.udf.CIQ(InputTicker, "IQ_DA_SUPPL_CF",Input!I$2,Date,,,Ccy,Conv)</f>
        <v>65.015000000000001</v>
      </c>
      <c r="H184" s="4">
        <f>_xll.ciqfunctions.udf.CIQ(InputTicker, "IQ_DA_SUPPL_CF",Input!J$2,Date,,,Ccy,Conv)</f>
        <v>69.546999999999997</v>
      </c>
      <c r="I184" s="4">
        <f>_xll.ciqfunctions.udf.CIQ(InputTicker, "IQ_DA_SUPPL_CF",Input!K$2,Date,,,Ccy,Conv)</f>
        <v>71</v>
      </c>
      <c r="J184" s="4">
        <f>_xll.ciqfunctions.udf.CIQ(InputTicker, "IQ_DA_SUPPL_CF",Input!L$2,Date,,,Ccy,Conv)</f>
        <v>71</v>
      </c>
      <c r="K184" s="4">
        <f>_xll.ciqfunctions.udf.CIQ(InputTicker, "IQ_DA_SUPPL_CF",Input!M$2,Date,,,Ccy,Conv)</f>
        <v>70</v>
      </c>
      <c r="L184" s="4">
        <f>_xll.ciqfunctions.udf.CIQ(InputTicker, "IQ_DA_SUPPL_CF",Input!N$2,Date,,,Ccy,Conv)</f>
        <v>68</v>
      </c>
      <c r="M184" s="4">
        <f>_xll.ciqfunctions.udf.CIQ(InputTicker, "IQ_DA_SUPPL_CF",Input!O$2,Date,,,Ccy,Conv)</f>
        <v>68</v>
      </c>
      <c r="N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</row>
    <row r="185" spans="1:66" ht="12.75" customHeight="1" x14ac:dyDescent="0.2">
      <c r="A185" s="1" t="s">
        <v>141</v>
      </c>
      <c r="B185" s="4">
        <f>_xll.ciqfunctions.udf.CIQ(InputTicker, "IQ_GW_INTAN_AMORT_CF",Input!D$2,Date,,,Ccy,Conv)</f>
        <v>12.1</v>
      </c>
      <c r="C185" s="4">
        <f>_xll.ciqfunctions.udf.CIQ(InputTicker, "IQ_GW_INTAN_AMORT_CF",Input!E$2,Date,,,Ccy,Conv)</f>
        <v>17.899999999999999</v>
      </c>
      <c r="D185" s="4">
        <f>_xll.ciqfunctions.udf.CIQ(InputTicker, "IQ_GW_INTAN_AMORT_CF",Input!F$2,Date,,,Ccy,Conv)</f>
        <v>20.7</v>
      </c>
      <c r="E185" s="4">
        <f>_xll.ciqfunctions.udf.CIQ(InputTicker, "IQ_GW_INTAN_AMORT_CF",Input!G$2,Date,,,Ccy,Conv)</f>
        <v>20.9</v>
      </c>
      <c r="F185" s="4">
        <f>_xll.ciqfunctions.udf.CIQ(InputTicker, "IQ_GW_INTAN_AMORT_CF",Input!H$2,Date,,,Ccy,Conv)</f>
        <v>22.3</v>
      </c>
      <c r="G185" s="4">
        <f>_xll.ciqfunctions.udf.CIQ(InputTicker, "IQ_GW_INTAN_AMORT_CF",Input!I$2,Date,,,Ccy,Conv)</f>
        <v>19.3</v>
      </c>
      <c r="H185" s="4">
        <f>_xll.ciqfunctions.udf.CIQ(InputTicker, "IQ_GW_INTAN_AMORT_CF",Input!J$2,Date,,,Ccy,Conv)</f>
        <v>76.2</v>
      </c>
      <c r="I185" s="4">
        <f>_xll.ciqfunctions.udf.CIQ(InputTicker, "IQ_GW_INTAN_AMORT_CF",Input!K$2,Date,,,Ccy,Conv)</f>
        <v>94</v>
      </c>
      <c r="J185" s="4">
        <f>_xll.ciqfunctions.udf.CIQ(InputTicker, "IQ_GW_INTAN_AMORT_CF",Input!L$2,Date,,,Ccy,Conv)</f>
        <v>93</v>
      </c>
      <c r="K185" s="4">
        <f>_xll.ciqfunctions.udf.CIQ(InputTicker, "IQ_GW_INTAN_AMORT_CF",Input!M$2,Date,,,Ccy,Conv)</f>
        <v>95</v>
      </c>
      <c r="L185" s="4">
        <f>_xll.ciqfunctions.udf.CIQ(InputTicker, "IQ_GW_INTAN_AMORT_CF",Input!N$2,Date,,,Ccy,Conv)</f>
        <v>95</v>
      </c>
      <c r="M185" s="4">
        <f>_xll.ciqfunctions.udf.CIQ(InputTicker, "IQ_GW_INTAN_AMORT_CF",Input!O$2,Date,,,Ccy,Conv)</f>
        <v>95</v>
      </c>
      <c r="N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</row>
    <row r="186" spans="1:66" ht="12.75" customHeight="1" x14ac:dyDescent="0.2">
      <c r="A186" s="1" t="s">
        <v>197</v>
      </c>
      <c r="B186" s="4">
        <f>_xll.ciqfunctions.udf.CIQ(InputTicker, "IQ_OIL_IMPAIR",Input!D$2,Date,,,Ccy,Conv)</f>
        <v>0</v>
      </c>
      <c r="C186" s="4">
        <f>_xll.ciqfunctions.udf.CIQ(InputTicker, "IQ_OIL_IMPAIR",Input!E$2,Date,,,Ccy,Conv)</f>
        <v>0</v>
      </c>
      <c r="D186" s="4">
        <f>_xll.ciqfunctions.udf.CIQ(InputTicker, "IQ_OIL_IMPAIR",Input!F$2,Date,,,Ccy,Conv)</f>
        <v>0</v>
      </c>
      <c r="E186" s="4">
        <f>_xll.ciqfunctions.udf.CIQ(InputTicker, "IQ_OIL_IMPAIR",Input!G$2,Date,,,Ccy,Conv)</f>
        <v>0</v>
      </c>
      <c r="F186" s="4">
        <f>_xll.ciqfunctions.udf.CIQ(InputTicker, "IQ_OIL_IMPAIR",Input!H$2,Date,,,Ccy,Conv)</f>
        <v>0</v>
      </c>
      <c r="G186" s="4">
        <f>_xll.ciqfunctions.udf.CIQ(InputTicker, "IQ_OIL_IMPAIR",Input!I$2,Date,,,Ccy,Conv)</f>
        <v>0</v>
      </c>
      <c r="H186" s="4">
        <f>_xll.ciqfunctions.udf.CIQ(InputTicker, "IQ_OIL_IMPAIR",Input!J$2,Date,,,Ccy,Conv)</f>
        <v>0</v>
      </c>
      <c r="I186" s="4">
        <f>_xll.ciqfunctions.udf.CIQ(InputTicker, "IQ_OIL_IMPAIR",Input!K$2,Date,,,Ccy,Conv)</f>
        <v>0</v>
      </c>
      <c r="J186" s="4">
        <f>_xll.ciqfunctions.udf.CIQ(InputTicker, "IQ_OIL_IMPAIR",Input!L$2,Date,,,Ccy,Conv)</f>
        <v>0</v>
      </c>
      <c r="K186" s="4">
        <f>_xll.ciqfunctions.udf.CIQ(InputTicker, "IQ_OIL_IMPAIR",Input!M$2,Date,,,Ccy,Conv)</f>
        <v>0</v>
      </c>
      <c r="L186" s="4">
        <f>_xll.ciqfunctions.udf.CIQ(InputTicker, "IQ_OIL_IMPAIR",Input!N$2,Date,,,Ccy,Conv)</f>
        <v>0</v>
      </c>
      <c r="M186" s="4">
        <f>_xll.ciqfunctions.udf.CIQ(InputTicker, "IQ_OIL_IMPAIR",Input!O$2,Date,,,Ccy,Conv)</f>
        <v>0</v>
      </c>
      <c r="N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</row>
    <row r="187" spans="1:66" ht="12.75" customHeight="1" x14ac:dyDescent="0.2">
      <c r="A187" s="5" t="s">
        <v>60</v>
      </c>
      <c r="B187" s="6">
        <f>_xll.ciqfunctions.udf.CIQ(InputTicker, "IQ_DA_CF",Input!D$2,Date,,,Ccy,Conv)</f>
        <v>61.536000000000001</v>
      </c>
      <c r="C187" s="6">
        <f>_xll.ciqfunctions.udf.CIQ(InputTicker, "IQ_DA_CF",Input!E$2,Date,,,Ccy,Conv)</f>
        <v>59.543999999999997</v>
      </c>
      <c r="D187" s="6">
        <f>_xll.ciqfunctions.udf.CIQ(InputTicker, "IQ_DA_CF",Input!F$2,Date,,,Ccy,Conv)</f>
        <v>64.756</v>
      </c>
      <c r="E187" s="6">
        <f>_xll.ciqfunctions.udf.CIQ(InputTicker, "IQ_DA_CF",Input!G$2,Date,,,Ccy,Conv)</f>
        <v>68.575000000000003</v>
      </c>
      <c r="F187" s="6">
        <f>_xll.ciqfunctions.udf.CIQ(InputTicker, "IQ_DA_CF",Input!H$2,Date,,,Ccy,Conv)</f>
        <v>81.081000000000003</v>
      </c>
      <c r="G187" s="6">
        <f>_xll.ciqfunctions.udf.CIQ(InputTicker, "IQ_DA_CF",Input!I$2,Date,,,Ccy,Conv)</f>
        <v>84.314999999999998</v>
      </c>
      <c r="H187" s="6">
        <f>_xll.ciqfunctions.udf.CIQ(InputTicker, "IQ_DA_CF",Input!J$2,Date,,,Ccy,Conv)</f>
        <v>145.74700000000001</v>
      </c>
      <c r="I187" s="6">
        <f>_xll.ciqfunctions.udf.CIQ(InputTicker, "IQ_DA_CF",Input!K$2,Date,,,Ccy,Conv)</f>
        <v>165</v>
      </c>
      <c r="J187" s="6">
        <f>_xll.ciqfunctions.udf.CIQ(InputTicker, "IQ_DA_CF",Input!L$2,Date,,,Ccy,Conv)</f>
        <v>164</v>
      </c>
      <c r="K187" s="6">
        <f>_xll.ciqfunctions.udf.CIQ(InputTicker, "IQ_DA_CF",Input!M$2,Date,,,Ccy,Conv)</f>
        <v>165</v>
      </c>
      <c r="L187" s="6">
        <f>_xll.ciqfunctions.udf.CIQ(InputTicker, "IQ_DA_CF",Input!N$2,Date,,,Ccy,Conv)</f>
        <v>163</v>
      </c>
      <c r="M187" s="6">
        <f>_xll.ciqfunctions.udf.CIQ(InputTicker, "IQ_DA_CF",Input!O$2,Date,,,Ccy,Conv)</f>
        <v>163</v>
      </c>
      <c r="N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</row>
    <row r="188" spans="1:66" ht="12.75" customHeight="1" x14ac:dyDescent="0.2">
      <c r="A188" s="1" t="s">
        <v>424</v>
      </c>
      <c r="B188" s="4">
        <f>_xll.ciqfunctions.udf.CIQ(InputTicker, "IQ_OTHER_AMORT",Input!D$2,Date,,,Ccy,Conv)</f>
        <v>8.359</v>
      </c>
      <c r="C188" s="4">
        <f>_xll.ciqfunctions.udf.CIQ(InputTicker, "IQ_OTHER_AMORT",Input!E$2,Date,,,Ccy,Conv)</f>
        <v>15.566000000000001</v>
      </c>
      <c r="D188" s="4">
        <f>_xll.ciqfunctions.udf.CIQ(InputTicker, "IQ_OTHER_AMORT",Input!F$2,Date,,,Ccy,Conv)</f>
        <v>5.9740000000000002</v>
      </c>
      <c r="E188" s="4">
        <f>_xll.ciqfunctions.udf.CIQ(InputTicker, "IQ_OTHER_AMORT",Input!G$2,Date,,,Ccy,Conv)</f>
        <v>5.0519999999999996</v>
      </c>
      <c r="F188" s="4">
        <f>_xll.ciqfunctions.udf.CIQ(InputTicker, "IQ_OTHER_AMORT",Input!H$2,Date,,,Ccy,Conv)</f>
        <v>4.6879999999999997</v>
      </c>
      <c r="G188" s="4">
        <f>_xll.ciqfunctions.udf.CIQ(InputTicker, "IQ_OTHER_AMORT",Input!I$2,Date,,,Ccy,Conv)</f>
        <v>4.3949999999999996</v>
      </c>
      <c r="H188" s="4">
        <f>_xll.ciqfunctions.udf.CIQ(InputTicker, "IQ_OTHER_AMORT",Input!J$2,Date,,,Ccy,Conv)</f>
        <v>4.6189999999999998</v>
      </c>
      <c r="I188" s="4">
        <f>_xll.ciqfunctions.udf.CIQ(InputTicker, "IQ_OTHER_AMORT",Input!K$2,Date,,,Ccy,Conv)</f>
        <v>0</v>
      </c>
      <c r="J188" s="4">
        <f>_xll.ciqfunctions.udf.CIQ(InputTicker, "IQ_OTHER_AMORT",Input!L$2,Date,,,Ccy,Conv)</f>
        <v>0</v>
      </c>
      <c r="K188" s="4">
        <f>_xll.ciqfunctions.udf.CIQ(InputTicker, "IQ_OTHER_AMORT",Input!M$2,Date,,,Ccy,Conv)</f>
        <v>0</v>
      </c>
      <c r="L188" s="4">
        <f>_xll.ciqfunctions.udf.CIQ(InputTicker, "IQ_OTHER_AMORT",Input!N$2,Date,,,Ccy,Conv)</f>
        <v>0</v>
      </c>
      <c r="M188" s="4">
        <f>_xll.ciqfunctions.udf.CIQ(InputTicker, "IQ_OTHER_AMORT",Input!O$2,Date,,,Ccy,Conv)</f>
        <v>0</v>
      </c>
      <c r="N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</row>
    <row r="189" spans="1:66" ht="12.75" customHeight="1" x14ac:dyDescent="0.2">
      <c r="A189" s="1" t="s">
        <v>169</v>
      </c>
      <c r="B189" s="4">
        <f>_xll.ciqfunctions.udf.CIQ(InputTicker, "IQ_MINORITY_INTEREST_CF",Input!D$2,Date,,,Ccy,Conv)</f>
        <v>0</v>
      </c>
      <c r="C189" s="4">
        <f>_xll.ciqfunctions.udf.CIQ(InputTicker, "IQ_MINORITY_INTEREST_CF",Input!E$2,Date,,,Ccy,Conv)</f>
        <v>0</v>
      </c>
      <c r="D189" s="4">
        <f>_xll.ciqfunctions.udf.CIQ(InputTicker, "IQ_MINORITY_INTEREST_CF",Input!F$2,Date,,,Ccy,Conv)</f>
        <v>0</v>
      </c>
      <c r="E189" s="4">
        <f>_xll.ciqfunctions.udf.CIQ(InputTicker, "IQ_MINORITY_INTEREST_CF",Input!G$2,Date,,,Ccy,Conv)</f>
        <v>0</v>
      </c>
      <c r="F189" s="4">
        <f>_xll.ciqfunctions.udf.CIQ(InputTicker, "IQ_MINORITY_INTEREST_CF",Input!H$2,Date,,,Ccy,Conv)</f>
        <v>0</v>
      </c>
      <c r="G189" s="4">
        <f>_xll.ciqfunctions.udf.CIQ(InputTicker, "IQ_MINORITY_INTEREST_CF",Input!I$2,Date,,,Ccy,Conv)</f>
        <v>0</v>
      </c>
      <c r="H189" s="4">
        <f>_xll.ciqfunctions.udf.CIQ(InputTicker, "IQ_MINORITY_INTEREST_CF",Input!J$2,Date,,,Ccy,Conv)</f>
        <v>0</v>
      </c>
      <c r="I189" s="4">
        <f>_xll.ciqfunctions.udf.CIQ(InputTicker, "IQ_MINORITY_INTEREST_CF",Input!K$2,Date,,,Ccy,Conv)</f>
        <v>0</v>
      </c>
      <c r="J189" s="4">
        <f>_xll.ciqfunctions.udf.CIQ(InputTicker, "IQ_MINORITY_INTEREST_CF",Input!L$2,Date,,,Ccy,Conv)</f>
        <v>0</v>
      </c>
      <c r="K189" s="4">
        <f>_xll.ciqfunctions.udf.CIQ(InputTicker, "IQ_MINORITY_INTEREST_CF",Input!M$2,Date,,,Ccy,Conv)</f>
        <v>0</v>
      </c>
      <c r="L189" s="4">
        <f>_xll.ciqfunctions.udf.CIQ(InputTicker, "IQ_MINORITY_INTEREST_CF",Input!N$2,Date,,,Ccy,Conv)</f>
        <v>0</v>
      </c>
      <c r="M189" s="4">
        <f>_xll.ciqfunctions.udf.CIQ(InputTicker, "IQ_MINORITY_INTEREST_CF",Input!O$2,Date,,,Ccy,Conv)</f>
        <v>0</v>
      </c>
      <c r="N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</row>
    <row r="190" spans="1:66" ht="12.75" customHeight="1" x14ac:dyDescent="0.2">
      <c r="A190" s="1" t="s">
        <v>198</v>
      </c>
      <c r="B190" s="4">
        <f>_xll.ciqfunctions.udf.CIQ(InputTicker, "IQ_GAIN_ASSETS_CF",Input!D$2,Date,,,Ccy,Conv)</f>
        <v>0.54700000000000004</v>
      </c>
      <c r="C190" s="4">
        <f>_xll.ciqfunctions.udf.CIQ(InputTicker, "IQ_GAIN_ASSETS_CF",Input!E$2,Date,,,Ccy,Conv)</f>
        <v>4.673</v>
      </c>
      <c r="D190" s="4">
        <f>_xll.ciqfunctions.udf.CIQ(InputTicker, "IQ_GAIN_ASSETS_CF",Input!F$2,Date,,,Ccy,Conv)</f>
        <v>-0.246</v>
      </c>
      <c r="E190" s="4">
        <f>_xll.ciqfunctions.udf.CIQ(InputTicker, "IQ_GAIN_ASSETS_CF",Input!G$2,Date,,,Ccy,Conv)</f>
        <v>-5.4640000000000004</v>
      </c>
      <c r="F190" s="4">
        <f>_xll.ciqfunctions.udf.CIQ(InputTicker, "IQ_GAIN_ASSETS_CF",Input!H$2,Date,,,Ccy,Conv)</f>
        <v>1.772</v>
      </c>
      <c r="G190" s="4">
        <f>_xll.ciqfunctions.udf.CIQ(InputTicker, "IQ_GAIN_ASSETS_CF",Input!I$2,Date,,,Ccy,Conv)</f>
        <v>-3.3220000000000001</v>
      </c>
      <c r="H190" s="4">
        <f>_xll.ciqfunctions.udf.CIQ(InputTicker, "IQ_GAIN_ASSETS_CF",Input!J$2,Date,,,Ccy,Conv)</f>
        <v>-3.3879999999999999</v>
      </c>
      <c r="I190" s="4">
        <f>_xll.ciqfunctions.udf.CIQ(InputTicker, "IQ_GAIN_ASSETS_CF",Input!K$2,Date,,,Ccy,Conv)</f>
        <v>-32</v>
      </c>
      <c r="J190" s="4">
        <f>_xll.ciqfunctions.udf.CIQ(InputTicker, "IQ_GAIN_ASSETS_CF",Input!L$2,Date,,,Ccy,Conv)</f>
        <v>0</v>
      </c>
      <c r="K190" s="4">
        <f>_xll.ciqfunctions.udf.CIQ(InputTicker, "IQ_GAIN_ASSETS_CF",Input!M$2,Date,,,Ccy,Conv)</f>
        <v>0</v>
      </c>
      <c r="L190" s="4">
        <f>_xll.ciqfunctions.udf.CIQ(InputTicker, "IQ_GAIN_ASSETS_CF",Input!N$2,Date,,,Ccy,Conv)</f>
        <v>0</v>
      </c>
      <c r="M190" s="4">
        <f>_xll.ciqfunctions.udf.CIQ(InputTicker, "IQ_GAIN_ASSETS_CF",Input!O$2,Date,,,Ccy,Conv)</f>
        <v>0</v>
      </c>
      <c r="N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</row>
    <row r="191" spans="1:66" ht="12.75" customHeight="1" x14ac:dyDescent="0.2">
      <c r="A191" s="1" t="s">
        <v>142</v>
      </c>
      <c r="B191" s="4">
        <f>_xll.ciqfunctions.udf.CIQ(InputTicker, "IQ_GAIN_INVEST_CF",Input!D$2,Date,,,Ccy,Conv)</f>
        <v>0</v>
      </c>
      <c r="C191" s="4">
        <f>_xll.ciqfunctions.udf.CIQ(InputTicker, "IQ_GAIN_INVEST_CF",Input!E$2,Date,,,Ccy,Conv)</f>
        <v>0</v>
      </c>
      <c r="D191" s="4">
        <f>_xll.ciqfunctions.udf.CIQ(InputTicker, "IQ_GAIN_INVEST_CF",Input!F$2,Date,,,Ccy,Conv)</f>
        <v>0</v>
      </c>
      <c r="E191" s="4">
        <f>_xll.ciqfunctions.udf.CIQ(InputTicker, "IQ_GAIN_INVEST_CF",Input!G$2,Date,,,Ccy,Conv)</f>
        <v>0</v>
      </c>
      <c r="F191" s="4">
        <f>_xll.ciqfunctions.udf.CIQ(InputTicker, "IQ_GAIN_INVEST_CF",Input!H$2,Date,,,Ccy,Conv)</f>
        <v>0</v>
      </c>
      <c r="G191" s="4">
        <f>_xll.ciqfunctions.udf.CIQ(InputTicker, "IQ_GAIN_INVEST_CF",Input!I$2,Date,,,Ccy,Conv)</f>
        <v>0</v>
      </c>
      <c r="H191" s="4">
        <f>_xll.ciqfunctions.udf.CIQ(InputTicker, "IQ_GAIN_INVEST_CF",Input!J$2,Date,,,Ccy,Conv)</f>
        <v>0</v>
      </c>
      <c r="I191" s="4">
        <f>_xll.ciqfunctions.udf.CIQ(InputTicker, "IQ_GAIN_INVEST_CF",Input!K$2,Date,,,Ccy,Conv)</f>
        <v>2</v>
      </c>
      <c r="J191" s="4">
        <f>_xll.ciqfunctions.udf.CIQ(InputTicker, "IQ_GAIN_INVEST_CF",Input!L$2,Date,,,Ccy,Conv)</f>
        <v>15</v>
      </c>
      <c r="K191" s="4">
        <f>_xll.ciqfunctions.udf.CIQ(InputTicker, "IQ_GAIN_INVEST_CF",Input!M$2,Date,,,Ccy,Conv)</f>
        <v>-16</v>
      </c>
      <c r="L191" s="4">
        <f>_xll.ciqfunctions.udf.CIQ(InputTicker, "IQ_GAIN_INVEST_CF",Input!N$2,Date,,,Ccy,Conv)</f>
        <v>-16</v>
      </c>
      <c r="M191" s="4">
        <f>_xll.ciqfunctions.udf.CIQ(InputTicker, "IQ_GAIN_INVEST_CF",Input!O$2,Date,,,Ccy,Conv)</f>
        <v>-16</v>
      </c>
      <c r="N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</row>
    <row r="192" spans="1:66" ht="12.75" customHeight="1" x14ac:dyDescent="0.2">
      <c r="A192" s="1" t="s">
        <v>199</v>
      </c>
      <c r="B192" s="4">
        <f>_xll.ciqfunctions.udf.CIQ(InputTicker, "IQ_ASSET_WRITEDOWN_CF",Input!D$2,Date,,,Ccy,Conv)</f>
        <v>0</v>
      </c>
      <c r="C192" s="4">
        <f>_xll.ciqfunctions.udf.CIQ(InputTicker, "IQ_ASSET_WRITEDOWN_CF",Input!E$2,Date,,,Ccy,Conv)</f>
        <v>0</v>
      </c>
      <c r="D192" s="4">
        <f>_xll.ciqfunctions.udf.CIQ(InputTicker, "IQ_ASSET_WRITEDOWN_CF",Input!F$2,Date,,,Ccy,Conv)</f>
        <v>0</v>
      </c>
      <c r="E192" s="4">
        <f>_xll.ciqfunctions.udf.CIQ(InputTicker, "IQ_ASSET_WRITEDOWN_CF",Input!G$2,Date,,,Ccy,Conv)</f>
        <v>0</v>
      </c>
      <c r="F192" s="4">
        <f>_xll.ciqfunctions.udf.CIQ(InputTicker, "IQ_ASSET_WRITEDOWN_CF",Input!H$2,Date,,,Ccy,Conv)</f>
        <v>0</v>
      </c>
      <c r="G192" s="4">
        <f>_xll.ciqfunctions.udf.CIQ(InputTicker, "IQ_ASSET_WRITEDOWN_CF",Input!I$2,Date,,,Ccy,Conv)</f>
        <v>0</v>
      </c>
      <c r="H192" s="4">
        <f>_xll.ciqfunctions.udf.CIQ(InputTicker, "IQ_ASSET_WRITEDOWN_CF",Input!J$2,Date,,,Ccy,Conv)</f>
        <v>0</v>
      </c>
      <c r="I192" s="4">
        <f>_xll.ciqfunctions.udf.CIQ(InputTicker, "IQ_ASSET_WRITEDOWN_CF",Input!K$2,Date,,,Ccy,Conv)</f>
        <v>0</v>
      </c>
      <c r="J192" s="4">
        <f>_xll.ciqfunctions.udf.CIQ(InputTicker, "IQ_ASSET_WRITEDOWN_CF",Input!L$2,Date,,,Ccy,Conv)</f>
        <v>0</v>
      </c>
      <c r="K192" s="4">
        <f>_xll.ciqfunctions.udf.CIQ(InputTicker, "IQ_ASSET_WRITEDOWN_CF",Input!M$2,Date,,,Ccy,Conv)</f>
        <v>0</v>
      </c>
      <c r="L192" s="4">
        <f>_xll.ciqfunctions.udf.CIQ(InputTicker, "IQ_ASSET_WRITEDOWN_CF",Input!N$2,Date,,,Ccy,Conv)</f>
        <v>0</v>
      </c>
      <c r="M192" s="4">
        <f>_xll.ciqfunctions.udf.CIQ(InputTicker, "IQ_ASSET_WRITEDOWN_CF",Input!O$2,Date,,,Ccy,Conv)</f>
        <v>0</v>
      </c>
      <c r="N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</row>
    <row r="193" spans="1:66" ht="12.75" customHeight="1" x14ac:dyDescent="0.2">
      <c r="A193" s="1" t="s">
        <v>200</v>
      </c>
      <c r="B193" s="4">
        <f>_xll.ciqfunctions.udf.CIQ(InputTicker, "IQ_LOANS_CF",Input!D$2,Date,,,Ccy,Conv)</f>
        <v>0</v>
      </c>
      <c r="C193" s="4">
        <f>_xll.ciqfunctions.udf.CIQ(InputTicker, "IQ_LOANS_CF",Input!E$2,Date,,,Ccy,Conv)</f>
        <v>0</v>
      </c>
      <c r="D193" s="4">
        <f>_xll.ciqfunctions.udf.CIQ(InputTicker, "IQ_LOANS_CF",Input!F$2,Date,,,Ccy,Conv)</f>
        <v>0</v>
      </c>
      <c r="E193" s="4">
        <f>_xll.ciqfunctions.udf.CIQ(InputTicker, "IQ_LOANS_CF",Input!G$2,Date,,,Ccy,Conv)</f>
        <v>0</v>
      </c>
      <c r="F193" s="4">
        <f>_xll.ciqfunctions.udf.CIQ(InputTicker, "IQ_LOANS_CF",Input!H$2,Date,,,Ccy,Conv)</f>
        <v>0</v>
      </c>
      <c r="G193" s="4">
        <f>_xll.ciqfunctions.udf.CIQ(InputTicker, "IQ_LOANS_CF",Input!I$2,Date,,,Ccy,Conv)</f>
        <v>0</v>
      </c>
      <c r="H193" s="4">
        <f>_xll.ciqfunctions.udf.CIQ(InputTicker, "IQ_LOANS_CF",Input!J$2,Date,,,Ccy,Conv)</f>
        <v>0</v>
      </c>
      <c r="I193" s="4">
        <f>_xll.ciqfunctions.udf.CIQ(InputTicker, "IQ_LOANS_CF",Input!K$2,Date,,,Ccy,Conv)</f>
        <v>0</v>
      </c>
      <c r="J193" s="4">
        <f>_xll.ciqfunctions.udf.CIQ(InputTicker, "IQ_LOANS_CF",Input!L$2,Date,,,Ccy,Conv)</f>
        <v>0</v>
      </c>
      <c r="K193" s="4">
        <f>_xll.ciqfunctions.udf.CIQ(InputTicker, "IQ_LOANS_CF",Input!M$2,Date,,,Ccy,Conv)</f>
        <v>0</v>
      </c>
      <c r="L193" s="4">
        <f>_xll.ciqfunctions.udf.CIQ(InputTicker, "IQ_LOANS_CF",Input!N$2,Date,,,Ccy,Conv)</f>
        <v>0</v>
      </c>
      <c r="M193" s="4">
        <f>_xll.ciqfunctions.udf.CIQ(InputTicker, "IQ_LOANS_CF",Input!O$2,Date,,,Ccy,Conv)</f>
        <v>0</v>
      </c>
      <c r="N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</row>
    <row r="194" spans="1:66" ht="12.75" customHeight="1" x14ac:dyDescent="0.2">
      <c r="A194" s="1" t="s">
        <v>201</v>
      </c>
      <c r="B194" s="4">
        <f>_xll.ciqfunctions.udf.CIQ(InputTicker, "IQ_CREDIT_LOSS_CF",Input!D$2,Date,,,Ccy,Conv)</f>
        <v>0</v>
      </c>
      <c r="C194" s="4">
        <f>_xll.ciqfunctions.udf.CIQ(InputTicker, "IQ_CREDIT_LOSS_CF",Input!E$2,Date,,,Ccy,Conv)</f>
        <v>0</v>
      </c>
      <c r="D194" s="4">
        <f>_xll.ciqfunctions.udf.CIQ(InputTicker, "IQ_CREDIT_LOSS_CF",Input!F$2,Date,,,Ccy,Conv)</f>
        <v>0</v>
      </c>
      <c r="E194" s="4">
        <f>_xll.ciqfunctions.udf.CIQ(InputTicker, "IQ_CREDIT_LOSS_CF",Input!G$2,Date,,,Ccy,Conv)</f>
        <v>0</v>
      </c>
      <c r="F194" s="4">
        <f>_xll.ciqfunctions.udf.CIQ(InputTicker, "IQ_CREDIT_LOSS_CF",Input!H$2,Date,,,Ccy,Conv)</f>
        <v>0</v>
      </c>
      <c r="G194" s="4">
        <f>_xll.ciqfunctions.udf.CIQ(InputTicker, "IQ_CREDIT_LOSS_CF",Input!I$2,Date,,,Ccy,Conv)</f>
        <v>0</v>
      </c>
      <c r="H194" s="4">
        <f>_xll.ciqfunctions.udf.CIQ(InputTicker, "IQ_CREDIT_LOSS_CF",Input!J$2,Date,,,Ccy,Conv)</f>
        <v>0</v>
      </c>
      <c r="I194" s="4">
        <f>_xll.ciqfunctions.udf.CIQ(InputTicker, "IQ_CREDIT_LOSS_CF",Input!K$2,Date,,,Ccy,Conv)</f>
        <v>0</v>
      </c>
      <c r="J194" s="4">
        <f>_xll.ciqfunctions.udf.CIQ(InputTicker, "IQ_CREDIT_LOSS_CF",Input!L$2,Date,,,Ccy,Conv)</f>
        <v>0</v>
      </c>
      <c r="K194" s="4">
        <f>_xll.ciqfunctions.udf.CIQ(InputTicker, "IQ_CREDIT_LOSS_CF",Input!M$2,Date,,,Ccy,Conv)</f>
        <v>0</v>
      </c>
      <c r="L194" s="4">
        <f>_xll.ciqfunctions.udf.CIQ(InputTicker, "IQ_CREDIT_LOSS_CF",Input!N$2,Date,,,Ccy,Conv)</f>
        <v>0</v>
      </c>
      <c r="M194" s="4">
        <f>_xll.ciqfunctions.udf.CIQ(InputTicker, "IQ_CREDIT_LOSS_CF",Input!O$2,Date,,,Ccy,Conv)</f>
        <v>0</v>
      </c>
      <c r="N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</row>
    <row r="195" spans="1:66" ht="12.75" customHeight="1" x14ac:dyDescent="0.2">
      <c r="A195" s="1" t="s">
        <v>202</v>
      </c>
      <c r="B195" s="4">
        <f>_xll.ciqfunctions.udf.CIQ(InputTicker, "IQ_INC_EQUITY_CF",Input!D$2,Date,,,Ccy,Conv)</f>
        <v>0</v>
      </c>
      <c r="C195" s="4">
        <f>_xll.ciqfunctions.udf.CIQ(InputTicker, "IQ_INC_EQUITY_CF",Input!E$2,Date,,,Ccy,Conv)</f>
        <v>0</v>
      </c>
      <c r="D195" s="4">
        <f>_xll.ciqfunctions.udf.CIQ(InputTicker, "IQ_INC_EQUITY_CF",Input!F$2,Date,,,Ccy,Conv)</f>
        <v>0</v>
      </c>
      <c r="E195" s="4">
        <f>_xll.ciqfunctions.udf.CIQ(InputTicker, "IQ_INC_EQUITY_CF",Input!G$2,Date,,,Ccy,Conv)</f>
        <v>0</v>
      </c>
      <c r="F195" s="4">
        <f>_xll.ciqfunctions.udf.CIQ(InputTicker, "IQ_INC_EQUITY_CF",Input!H$2,Date,,,Ccy,Conv)</f>
        <v>0</v>
      </c>
      <c r="G195" s="4">
        <f>_xll.ciqfunctions.udf.CIQ(InputTicker, "IQ_INC_EQUITY_CF",Input!I$2,Date,,,Ccy,Conv)</f>
        <v>0</v>
      </c>
      <c r="H195" s="4">
        <f>_xll.ciqfunctions.udf.CIQ(InputTicker, "IQ_INC_EQUITY_CF",Input!J$2,Date,,,Ccy,Conv)</f>
        <v>-12.759</v>
      </c>
      <c r="I195" s="4">
        <f>_xll.ciqfunctions.udf.CIQ(InputTicker, "IQ_INC_EQUITY_CF",Input!K$2,Date,,,Ccy,Conv)</f>
        <v>0</v>
      </c>
      <c r="J195" s="4">
        <f>_xll.ciqfunctions.udf.CIQ(InputTicker, "IQ_INC_EQUITY_CF",Input!L$2,Date,,,Ccy,Conv)</f>
        <v>0</v>
      </c>
      <c r="K195" s="4">
        <f>_xll.ciqfunctions.udf.CIQ(InputTicker, "IQ_INC_EQUITY_CF",Input!M$2,Date,,,Ccy,Conv)</f>
        <v>0</v>
      </c>
      <c r="L195" s="4">
        <f>_xll.ciqfunctions.udf.CIQ(InputTicker, "IQ_INC_EQUITY_CF",Input!N$2,Date,,,Ccy,Conv)</f>
        <v>0</v>
      </c>
      <c r="M195" s="4">
        <f>_xll.ciqfunctions.udf.CIQ(InputTicker, "IQ_INC_EQUITY_CF",Input!O$2,Date,,,Ccy,Conv)</f>
        <v>0</v>
      </c>
      <c r="N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</row>
    <row r="196" spans="1:66" ht="12.75" customHeight="1" x14ac:dyDescent="0.2">
      <c r="A196" s="1" t="s">
        <v>203</v>
      </c>
      <c r="B196" s="4">
        <f>_xll.ciqfunctions.udf.CIQ(InputTicker, "IQ_STOCK_BASED_CF",Input!D$2,Date,,,Ccy,Conv)</f>
        <v>24.992000000000001</v>
      </c>
      <c r="C196" s="4">
        <f>_xll.ciqfunctions.udf.CIQ(InputTicker, "IQ_STOCK_BASED_CF",Input!E$2,Date,,,Ccy,Conv)</f>
        <v>21.248999999999999</v>
      </c>
      <c r="D196" s="4">
        <f>_xll.ciqfunctions.udf.CIQ(InputTicker, "IQ_STOCK_BASED_CF",Input!F$2,Date,,,Ccy,Conv)</f>
        <v>23.318000000000001</v>
      </c>
      <c r="E196" s="4">
        <f>_xll.ciqfunctions.udf.CIQ(InputTicker, "IQ_STOCK_BASED_CF",Input!G$2,Date,,,Ccy,Conv)</f>
        <v>31.274999999999999</v>
      </c>
      <c r="F196" s="4">
        <f>_xll.ciqfunctions.udf.CIQ(InputTicker, "IQ_STOCK_BASED_CF",Input!H$2,Date,,,Ccy,Conv)</f>
        <v>43.29</v>
      </c>
      <c r="G196" s="4">
        <f>_xll.ciqfunctions.udf.CIQ(InputTicker, "IQ_STOCK_BASED_CF",Input!I$2,Date,,,Ccy,Conv)</f>
        <v>59.844000000000001</v>
      </c>
      <c r="H196" s="4">
        <f>_xll.ciqfunctions.udf.CIQ(InputTicker, "IQ_STOCK_BASED_CF",Input!J$2,Date,,,Ccy,Conv)</f>
        <v>69.784000000000006</v>
      </c>
      <c r="I196" s="4">
        <f>_xll.ciqfunctions.udf.CIQ(InputTicker, "IQ_STOCK_BASED_CF",Input!K$2,Date,,,Ccy,Conv)</f>
        <v>80</v>
      </c>
      <c r="J196" s="4">
        <f>_xll.ciqfunctions.udf.CIQ(InputTicker, "IQ_STOCK_BASED_CF",Input!L$2,Date,,,Ccy,Conv)</f>
        <v>95</v>
      </c>
      <c r="K196" s="4">
        <f>_xll.ciqfunctions.udf.CIQ(InputTicker, "IQ_STOCK_BASED_CF",Input!M$2,Date,,,Ccy,Conv)</f>
        <v>94</v>
      </c>
      <c r="L196" s="4">
        <f>_xll.ciqfunctions.udf.CIQ(InputTicker, "IQ_STOCK_BASED_CF",Input!N$2,Date,,,Ccy,Conv)</f>
        <v>69</v>
      </c>
      <c r="M196" s="4">
        <f>_xll.ciqfunctions.udf.CIQ(InputTicker, "IQ_STOCK_BASED_CF",Input!O$2,Date,,,Ccy,Conv)</f>
        <v>69</v>
      </c>
      <c r="N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</row>
    <row r="197" spans="1:66" ht="12.75" customHeight="1" x14ac:dyDescent="0.2">
      <c r="A197" s="1" t="s">
        <v>143</v>
      </c>
      <c r="B197" s="4">
        <f>_xll.ciqfunctions.udf.CIQ(InputTicker, "IQ_TAX_BENEFIT_OPTIONS",Input!D$2,Date,,,Ccy,Conv)</f>
        <v>-31.923999999999999</v>
      </c>
      <c r="C197" s="4">
        <f>_xll.ciqfunctions.udf.CIQ(InputTicker, "IQ_TAX_BENEFIT_OPTIONS",Input!E$2,Date,,,Ccy,Conv)</f>
        <v>-18.175000000000001</v>
      </c>
      <c r="D197" s="4">
        <f>_xll.ciqfunctions.udf.CIQ(InputTicker, "IQ_TAX_BENEFIT_OPTIONS",Input!F$2,Date,,,Ccy,Conv)</f>
        <v>0</v>
      </c>
      <c r="E197" s="4">
        <f>_xll.ciqfunctions.udf.CIQ(InputTicker, "IQ_TAX_BENEFIT_OPTIONS",Input!G$2,Date,,,Ccy,Conv)</f>
        <v>0</v>
      </c>
      <c r="F197" s="4">
        <f>_xll.ciqfunctions.udf.CIQ(InputTicker, "IQ_TAX_BENEFIT_OPTIONS",Input!H$2,Date,,,Ccy,Conv)</f>
        <v>0</v>
      </c>
      <c r="G197" s="4">
        <f>_xll.ciqfunctions.udf.CIQ(InputTicker, "IQ_TAX_BENEFIT_OPTIONS",Input!I$2,Date,,,Ccy,Conv)</f>
        <v>0</v>
      </c>
      <c r="H197" s="4">
        <f>_xll.ciqfunctions.udf.CIQ(InputTicker, "IQ_TAX_BENEFIT_OPTIONS",Input!J$2,Date,,,Ccy,Conv)</f>
        <v>0</v>
      </c>
      <c r="I197" s="4">
        <f>_xll.ciqfunctions.udf.CIQ(InputTicker, "IQ_TAX_BENEFIT_OPTIONS",Input!K$2,Date,,,Ccy,Conv)</f>
        <v>0</v>
      </c>
      <c r="J197" s="4">
        <f>_xll.ciqfunctions.udf.CIQ(InputTicker, "IQ_TAX_BENEFIT_OPTIONS",Input!L$2,Date,,,Ccy,Conv)</f>
        <v>0</v>
      </c>
      <c r="K197" s="4">
        <f>_xll.ciqfunctions.udf.CIQ(InputTicker, "IQ_TAX_BENEFIT_OPTIONS",Input!M$2,Date,,,Ccy,Conv)</f>
        <v>0</v>
      </c>
      <c r="L197" s="4">
        <f>_xll.ciqfunctions.udf.CIQ(InputTicker, "IQ_TAX_BENEFIT_OPTIONS",Input!N$2,Date,,,Ccy,Conv)</f>
        <v>0</v>
      </c>
      <c r="M197" s="4">
        <f>_xll.ciqfunctions.udf.CIQ(InputTicker, "IQ_TAX_BENEFIT_OPTIONS",Input!O$2,Date,,,Ccy,Conv)</f>
        <v>0</v>
      </c>
      <c r="N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</row>
    <row r="198" spans="1:66" ht="12.75" customHeight="1" x14ac:dyDescent="0.2">
      <c r="A198" s="1" t="s">
        <v>204</v>
      </c>
      <c r="B198" s="4">
        <f>_xll.ciqfunctions.udf.CIQ(InputTicker, "IQ_PROV_BAD_DEBTS_CF",Input!D$2,Date,,,Ccy,Conv)</f>
        <v>0</v>
      </c>
      <c r="C198" s="4">
        <f>_xll.ciqfunctions.udf.CIQ(InputTicker, "IQ_PROV_BAD_DEBTS_CF",Input!E$2,Date,,,Ccy,Conv)</f>
        <v>0</v>
      </c>
      <c r="D198" s="4">
        <f>_xll.ciqfunctions.udf.CIQ(InputTicker, "IQ_PROV_BAD_DEBTS_CF",Input!F$2,Date,,,Ccy,Conv)</f>
        <v>0</v>
      </c>
      <c r="E198" s="4">
        <f>_xll.ciqfunctions.udf.CIQ(InputTicker, "IQ_PROV_BAD_DEBTS_CF",Input!G$2,Date,,,Ccy,Conv)</f>
        <v>0</v>
      </c>
      <c r="F198" s="4">
        <f>_xll.ciqfunctions.udf.CIQ(InputTicker, "IQ_PROV_BAD_DEBTS_CF",Input!H$2,Date,,,Ccy,Conv)</f>
        <v>0</v>
      </c>
      <c r="G198" s="4">
        <f>_xll.ciqfunctions.udf.CIQ(InputTicker, "IQ_PROV_BAD_DEBTS_CF",Input!I$2,Date,,,Ccy,Conv)</f>
        <v>0</v>
      </c>
      <c r="H198" s="4">
        <f>_xll.ciqfunctions.udf.CIQ(InputTicker, "IQ_PROV_BAD_DEBTS_CF",Input!J$2,Date,,,Ccy,Conv)</f>
        <v>0</v>
      </c>
      <c r="I198" s="4">
        <f>_xll.ciqfunctions.udf.CIQ(InputTicker, "IQ_PROV_BAD_DEBTS_CF",Input!K$2,Date,,,Ccy,Conv)</f>
        <v>0</v>
      </c>
      <c r="J198" s="4">
        <f>_xll.ciqfunctions.udf.CIQ(InputTicker, "IQ_PROV_BAD_DEBTS_CF",Input!L$2,Date,,,Ccy,Conv)</f>
        <v>0</v>
      </c>
      <c r="K198" s="4">
        <f>_xll.ciqfunctions.udf.CIQ(InputTicker, "IQ_PROV_BAD_DEBTS_CF",Input!M$2,Date,,,Ccy,Conv)</f>
        <v>0</v>
      </c>
      <c r="L198" s="4">
        <f>_xll.ciqfunctions.udf.CIQ(InputTicker, "IQ_PROV_BAD_DEBTS_CF",Input!N$2,Date,,,Ccy,Conv)</f>
        <v>0</v>
      </c>
      <c r="M198" s="4">
        <f>_xll.ciqfunctions.udf.CIQ(InputTicker, "IQ_PROV_BAD_DEBTS_CF",Input!O$2,Date,,,Ccy,Conv)</f>
        <v>0</v>
      </c>
      <c r="N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</row>
    <row r="199" spans="1:66" ht="12.75" customHeight="1" x14ac:dyDescent="0.2">
      <c r="A199" s="1" t="s">
        <v>205</v>
      </c>
      <c r="B199" s="4">
        <f>_xll.ciqfunctions.udf.CIQ(InputTicker, "IQ_DO_CF",Input!D$2,Date,,,Ccy,Conv)</f>
        <v>0</v>
      </c>
      <c r="C199" s="4">
        <f>_xll.ciqfunctions.udf.CIQ(InputTicker, "IQ_DO_CF",Input!E$2,Date,,,Ccy,Conv)</f>
        <v>0</v>
      </c>
      <c r="D199" s="4">
        <f>_xll.ciqfunctions.udf.CIQ(InputTicker, "IQ_DO_CF",Input!F$2,Date,,,Ccy,Conv)</f>
        <v>0</v>
      </c>
      <c r="E199" s="4">
        <f>_xll.ciqfunctions.udf.CIQ(InputTicker, "IQ_DO_CF",Input!G$2,Date,,,Ccy,Conv)</f>
        <v>0</v>
      </c>
      <c r="F199" s="4">
        <f>_xll.ciqfunctions.udf.CIQ(InputTicker, "IQ_DO_CF",Input!H$2,Date,,,Ccy,Conv)</f>
        <v>0</v>
      </c>
      <c r="G199" s="4">
        <f>_xll.ciqfunctions.udf.CIQ(InputTicker, "IQ_DO_CF",Input!I$2,Date,,,Ccy,Conv)</f>
        <v>0</v>
      </c>
      <c r="H199" s="4">
        <f>_xll.ciqfunctions.udf.CIQ(InputTicker, "IQ_DO_CF",Input!J$2,Date,,,Ccy,Conv)</f>
        <v>0</v>
      </c>
      <c r="I199" s="4">
        <f>_xll.ciqfunctions.udf.CIQ(InputTicker, "IQ_DO_CF",Input!K$2,Date,,,Ccy,Conv)</f>
        <v>0</v>
      </c>
      <c r="J199" s="4">
        <f>_xll.ciqfunctions.udf.CIQ(InputTicker, "IQ_DO_CF",Input!L$2,Date,,,Ccy,Conv)</f>
        <v>0</v>
      </c>
      <c r="K199" s="4">
        <f>_xll.ciqfunctions.udf.CIQ(InputTicker, "IQ_DO_CF",Input!M$2,Date,,,Ccy,Conv)</f>
        <v>0</v>
      </c>
      <c r="L199" s="4">
        <f>_xll.ciqfunctions.udf.CIQ(InputTicker, "IQ_DO_CF",Input!N$2,Date,,,Ccy,Conv)</f>
        <v>0</v>
      </c>
      <c r="M199" s="4">
        <f>_xll.ciqfunctions.udf.CIQ(InputTicker, "IQ_DO_CF",Input!O$2,Date,,,Ccy,Conv)</f>
        <v>0</v>
      </c>
      <c r="N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</row>
    <row r="200" spans="1:66" ht="12.75" customHeight="1" x14ac:dyDescent="0.2">
      <c r="A200" s="1" t="s">
        <v>206</v>
      </c>
      <c r="B200" s="4">
        <f>_xll.ciqfunctions.udf.CIQ(InputTicker, "IQ_OTHER_OPER_ACT",Input!D$2,Date,,,Ccy,Conv)</f>
        <v>3.5489999999999999</v>
      </c>
      <c r="C200" s="4">
        <f>_xll.ciqfunctions.udf.CIQ(InputTicker, "IQ_OTHER_OPER_ACT",Input!E$2,Date,,,Ccy,Conv)</f>
        <v>20.957999999999998</v>
      </c>
      <c r="D200" s="4">
        <f>_xll.ciqfunctions.udf.CIQ(InputTicker, "IQ_OTHER_OPER_ACT",Input!F$2,Date,,,Ccy,Conv)</f>
        <v>8.9559999999999995</v>
      </c>
      <c r="E200" s="4">
        <f>_xll.ciqfunctions.udf.CIQ(InputTicker, "IQ_OTHER_OPER_ACT",Input!G$2,Date,,,Ccy,Conv)</f>
        <v>27.308</v>
      </c>
      <c r="F200" s="4">
        <f>_xll.ciqfunctions.udf.CIQ(InputTicker, "IQ_OTHER_OPER_ACT",Input!H$2,Date,,,Ccy,Conv)</f>
        <v>121.98099999999999</v>
      </c>
      <c r="G200" s="4">
        <f>_xll.ciqfunctions.udf.CIQ(InputTicker, "IQ_OTHER_OPER_ACT",Input!I$2,Date,,,Ccy,Conv)</f>
        <v>298.43900000000002</v>
      </c>
      <c r="H200" s="4">
        <f>_xll.ciqfunctions.udf.CIQ(InputTicker, "IQ_OTHER_OPER_ACT",Input!J$2,Date,,,Ccy,Conv)</f>
        <v>-71.963999999999999</v>
      </c>
      <c r="I200" s="4">
        <f>_xll.ciqfunctions.udf.CIQ(InputTicker, "IQ_OTHER_OPER_ACT",Input!K$2,Date,,,Ccy,Conv)</f>
        <v>-299</v>
      </c>
      <c r="J200" s="4">
        <f>_xll.ciqfunctions.udf.CIQ(InputTicker, "IQ_OTHER_OPER_ACT",Input!L$2,Date,,,Ccy,Conv)</f>
        <v>-47</v>
      </c>
      <c r="K200" s="4">
        <f>_xll.ciqfunctions.udf.CIQ(InputTicker, "IQ_OTHER_OPER_ACT",Input!M$2,Date,,,Ccy,Conv)</f>
        <v>-41</v>
      </c>
      <c r="L200" s="4">
        <f>_xll.ciqfunctions.udf.CIQ(InputTicker, "IQ_OTHER_OPER_ACT",Input!N$2,Date,,,Ccy,Conv)</f>
        <v>86</v>
      </c>
      <c r="M200" s="4">
        <f>_xll.ciqfunctions.udf.CIQ(InputTicker, "IQ_OTHER_OPER_ACT",Input!O$2,Date,,,Ccy,Conv)</f>
        <v>86</v>
      </c>
      <c r="N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</row>
    <row r="201" spans="1:66" ht="12.75" customHeight="1" x14ac:dyDescent="0.2">
      <c r="A201" s="1" t="s">
        <v>207</v>
      </c>
      <c r="B201" s="4">
        <f>_xll.ciqfunctions.udf.CIQ(InputTicker, "IQ_CHANGE_TRADING_ASSETS",Input!D$2,Date,,,Ccy,Conv)</f>
        <v>0</v>
      </c>
      <c r="C201" s="4">
        <f>_xll.ciqfunctions.udf.CIQ(InputTicker, "IQ_CHANGE_TRADING_ASSETS",Input!E$2,Date,,,Ccy,Conv)</f>
        <v>0</v>
      </c>
      <c r="D201" s="4">
        <f>_xll.ciqfunctions.udf.CIQ(InputTicker, "IQ_CHANGE_TRADING_ASSETS",Input!F$2,Date,,,Ccy,Conv)</f>
        <v>0</v>
      </c>
      <c r="E201" s="4">
        <f>_xll.ciqfunctions.udf.CIQ(InputTicker, "IQ_CHANGE_TRADING_ASSETS",Input!G$2,Date,,,Ccy,Conv)</f>
        <v>0</v>
      </c>
      <c r="F201" s="4">
        <f>_xll.ciqfunctions.udf.CIQ(InputTicker, "IQ_CHANGE_TRADING_ASSETS",Input!H$2,Date,,,Ccy,Conv)</f>
        <v>0</v>
      </c>
      <c r="G201" s="4">
        <f>_xll.ciqfunctions.udf.CIQ(InputTicker, "IQ_CHANGE_TRADING_ASSETS",Input!I$2,Date,,,Ccy,Conv)</f>
        <v>0</v>
      </c>
      <c r="H201" s="4">
        <f>_xll.ciqfunctions.udf.CIQ(InputTicker, "IQ_CHANGE_TRADING_ASSETS",Input!J$2,Date,,,Ccy,Conv)</f>
        <v>0</v>
      </c>
      <c r="I201" s="4">
        <f>_xll.ciqfunctions.udf.CIQ(InputTicker, "IQ_CHANGE_TRADING_ASSETS",Input!K$2,Date,,,Ccy,Conv)</f>
        <v>0</v>
      </c>
      <c r="J201" s="4">
        <f>_xll.ciqfunctions.udf.CIQ(InputTicker, "IQ_CHANGE_TRADING_ASSETS",Input!L$2,Date,,,Ccy,Conv)</f>
        <v>0</v>
      </c>
      <c r="K201" s="4">
        <f>_xll.ciqfunctions.udf.CIQ(InputTicker, "IQ_CHANGE_TRADING_ASSETS",Input!M$2,Date,,,Ccy,Conv)</f>
        <v>0</v>
      </c>
      <c r="L201" s="4">
        <f>_xll.ciqfunctions.udf.CIQ(InputTicker, "IQ_CHANGE_TRADING_ASSETS",Input!N$2,Date,,,Ccy,Conv)</f>
        <v>0</v>
      </c>
      <c r="M201" s="4">
        <f>_xll.ciqfunctions.udf.CIQ(InputTicker, "IQ_CHANGE_TRADING_ASSETS",Input!O$2,Date,,,Ccy,Conv)</f>
        <v>0</v>
      </c>
      <c r="N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</row>
    <row r="202" spans="1:66" ht="12.75" customHeight="1" x14ac:dyDescent="0.2">
      <c r="A202" s="1" t="s">
        <v>144</v>
      </c>
      <c r="B202" s="4">
        <f>_xll.ciqfunctions.udf.CIQ(InputTicker, "IQ_CHANGE_AR",Input!D$2,Date,,,Ccy,Conv)</f>
        <v>-31.228999999999999</v>
      </c>
      <c r="C202" s="4">
        <f>_xll.ciqfunctions.udf.CIQ(InputTicker, "IQ_CHANGE_AR",Input!E$2,Date,,,Ccy,Conv)</f>
        <v>-95.216999999999999</v>
      </c>
      <c r="D202" s="4">
        <f>_xll.ciqfunctions.udf.CIQ(InputTicker, "IQ_CHANGE_AR",Input!F$2,Date,,,Ccy,Conv)</f>
        <v>-126.196</v>
      </c>
      <c r="E202" s="4">
        <f>_xll.ciqfunctions.udf.CIQ(InputTicker, "IQ_CHANGE_AR",Input!G$2,Date,,,Ccy,Conv)</f>
        <v>-196.453</v>
      </c>
      <c r="F202" s="4">
        <f>_xll.ciqfunctions.udf.CIQ(InputTicker, "IQ_CHANGE_AR",Input!H$2,Date,,,Ccy,Conv)</f>
        <v>-129.107</v>
      </c>
      <c r="G202" s="4">
        <f>_xll.ciqfunctions.udf.CIQ(InputTicker, "IQ_CHANGE_AR",Input!I$2,Date,,,Ccy,Conv)</f>
        <v>47.081000000000003</v>
      </c>
      <c r="H202" s="4">
        <f>_xll.ciqfunctions.udf.CIQ(InputTicker, "IQ_CHANGE_AR",Input!J$2,Date,,,Ccy,Conv)</f>
        <v>-154.65199999999999</v>
      </c>
      <c r="I202" s="4">
        <f>_xll.ciqfunctions.udf.CIQ(InputTicker, "IQ_CHANGE_AR",Input!K$2,Date,,,Ccy,Conv)</f>
        <v>-130</v>
      </c>
      <c r="J202" s="4">
        <f>_xll.ciqfunctions.udf.CIQ(InputTicker, "IQ_CHANGE_AR",Input!L$2,Date,,,Ccy,Conv)</f>
        <v>-270</v>
      </c>
      <c r="K202" s="4">
        <f>_xll.ciqfunctions.udf.CIQ(InputTicker, "IQ_CHANGE_AR",Input!M$2,Date,,,Ccy,Conv)</f>
        <v>-206</v>
      </c>
      <c r="L202" s="4">
        <f>_xll.ciqfunctions.udf.CIQ(InputTicker, "IQ_CHANGE_AR",Input!N$2,Date,,,Ccy,Conv)</f>
        <v>207</v>
      </c>
      <c r="M202" s="4">
        <f>_xll.ciqfunctions.udf.CIQ(InputTicker, "IQ_CHANGE_AR",Input!O$2,Date,,,Ccy,Conv)</f>
        <v>207</v>
      </c>
      <c r="N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</row>
    <row r="203" spans="1:66" ht="12.75" customHeight="1" x14ac:dyDescent="0.2">
      <c r="A203" s="1" t="s">
        <v>145</v>
      </c>
      <c r="B203" s="4">
        <f>_xll.ciqfunctions.udf.CIQ(InputTicker, "IQ_CHANGE_INVENTORY",Input!D$2,Date,,,Ccy,Conv)</f>
        <v>0</v>
      </c>
      <c r="C203" s="4">
        <f>_xll.ciqfunctions.udf.CIQ(InputTicker, "IQ_CHANGE_INVENTORY",Input!E$2,Date,,,Ccy,Conv)</f>
        <v>0</v>
      </c>
      <c r="D203" s="4">
        <f>_xll.ciqfunctions.udf.CIQ(InputTicker, "IQ_CHANGE_INVENTORY",Input!F$2,Date,,,Ccy,Conv)</f>
        <v>0</v>
      </c>
      <c r="E203" s="4">
        <f>_xll.ciqfunctions.udf.CIQ(InputTicker, "IQ_CHANGE_INVENTORY",Input!G$2,Date,,,Ccy,Conv)</f>
        <v>0</v>
      </c>
      <c r="F203" s="4">
        <f>_xll.ciqfunctions.udf.CIQ(InputTicker, "IQ_CHANGE_INVENTORY",Input!H$2,Date,,,Ccy,Conv)</f>
        <v>0</v>
      </c>
      <c r="G203" s="4">
        <f>_xll.ciqfunctions.udf.CIQ(InputTicker, "IQ_CHANGE_INVENTORY",Input!I$2,Date,,,Ccy,Conv)</f>
        <v>0</v>
      </c>
      <c r="H203" s="4">
        <f>_xll.ciqfunctions.udf.CIQ(InputTicker, "IQ_CHANGE_INVENTORY",Input!J$2,Date,,,Ccy,Conv)</f>
        <v>0</v>
      </c>
      <c r="I203" s="4">
        <f>_xll.ciqfunctions.udf.CIQ(InputTicker, "IQ_CHANGE_INVENTORY",Input!K$2,Date,,,Ccy,Conv)</f>
        <v>0</v>
      </c>
      <c r="J203" s="4">
        <f>_xll.ciqfunctions.udf.CIQ(InputTicker, "IQ_CHANGE_INVENTORY",Input!L$2,Date,,,Ccy,Conv)</f>
        <v>0</v>
      </c>
      <c r="K203" s="4">
        <f>_xll.ciqfunctions.udf.CIQ(InputTicker, "IQ_CHANGE_INVENTORY",Input!M$2,Date,,,Ccy,Conv)</f>
        <v>0</v>
      </c>
      <c r="L203" s="4">
        <f>_xll.ciqfunctions.udf.CIQ(InputTicker, "IQ_CHANGE_INVENTORY",Input!N$2,Date,,,Ccy,Conv)</f>
        <v>0</v>
      </c>
      <c r="M203" s="4">
        <f>_xll.ciqfunctions.udf.CIQ(InputTicker, "IQ_CHANGE_INVENTORY",Input!O$2,Date,,,Ccy,Conv)</f>
        <v>0</v>
      </c>
      <c r="N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</row>
    <row r="204" spans="1:66" ht="12.75" customHeight="1" x14ac:dyDescent="0.2">
      <c r="A204" s="1" t="s">
        <v>146</v>
      </c>
      <c r="B204" s="4">
        <f>_xll.ciqfunctions.udf.CIQ(InputTicker, "IQ_CHANGE_AP",Input!D$2,Date,,,Ccy,Conv)</f>
        <v>4.9109999999999996</v>
      </c>
      <c r="C204" s="4">
        <f>_xll.ciqfunctions.udf.CIQ(InputTicker, "IQ_CHANGE_AP",Input!E$2,Date,,,Ccy,Conv)</f>
        <v>14.846</v>
      </c>
      <c r="D204" s="4">
        <f>_xll.ciqfunctions.udf.CIQ(InputTicker, "IQ_CHANGE_AP",Input!F$2,Date,,,Ccy,Conv)</f>
        <v>53.527000000000001</v>
      </c>
      <c r="E204" s="4">
        <f>_xll.ciqfunctions.udf.CIQ(InputTicker, "IQ_CHANGE_AP",Input!G$2,Date,,,Ccy,Conv)</f>
        <v>107.64400000000001</v>
      </c>
      <c r="F204" s="4">
        <f>_xll.ciqfunctions.udf.CIQ(InputTicker, "IQ_CHANGE_AP",Input!H$2,Date,,,Ccy,Conv)</f>
        <v>48.26</v>
      </c>
      <c r="G204" s="4">
        <f>_xll.ciqfunctions.udf.CIQ(InputTicker, "IQ_CHANGE_AP",Input!I$2,Date,,,Ccy,Conv)</f>
        <v>-31.506</v>
      </c>
      <c r="H204" s="4">
        <f>_xll.ciqfunctions.udf.CIQ(InputTicker, "IQ_CHANGE_AP",Input!J$2,Date,,,Ccy,Conv)</f>
        <v>194.827</v>
      </c>
      <c r="I204" s="4">
        <f>_xll.ciqfunctions.udf.CIQ(InputTicker, "IQ_CHANGE_AP",Input!K$2,Date,,,Ccy,Conv)</f>
        <v>410</v>
      </c>
      <c r="J204" s="4">
        <f>_xll.ciqfunctions.udf.CIQ(InputTicker, "IQ_CHANGE_AP",Input!L$2,Date,,,Ccy,Conv)</f>
        <v>-282</v>
      </c>
      <c r="K204" s="4">
        <f>_xll.ciqfunctions.udf.CIQ(InputTicker, "IQ_CHANGE_AP",Input!M$2,Date,,,Ccy,Conv)</f>
        <v>-66</v>
      </c>
      <c r="L204" s="4">
        <f>_xll.ciqfunctions.udf.CIQ(InputTicker, "IQ_CHANGE_AP",Input!N$2,Date,,,Ccy,Conv)</f>
        <v>-86</v>
      </c>
      <c r="M204" s="4">
        <f>_xll.ciqfunctions.udf.CIQ(InputTicker, "IQ_CHANGE_AP",Input!O$2,Date,,,Ccy,Conv)</f>
        <v>-86</v>
      </c>
      <c r="N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</row>
    <row r="205" spans="1:66" ht="12.75" customHeight="1" x14ac:dyDescent="0.2">
      <c r="A205" s="1" t="s">
        <v>147</v>
      </c>
      <c r="B205" s="4">
        <f>_xll.ciqfunctions.udf.CIQ(InputTicker, "IQ_CHANGE_UNEARN_REV",Input!D$2,Date,,,Ccy,Conv)</f>
        <v>0</v>
      </c>
      <c r="C205" s="4">
        <f>_xll.ciqfunctions.udf.CIQ(InputTicker, "IQ_CHANGE_UNEARN_REV",Input!E$2,Date,,,Ccy,Conv)</f>
        <v>0</v>
      </c>
      <c r="D205" s="4">
        <f>_xll.ciqfunctions.udf.CIQ(InputTicker, "IQ_CHANGE_UNEARN_REV",Input!F$2,Date,,,Ccy,Conv)</f>
        <v>0</v>
      </c>
      <c r="E205" s="4">
        <f>_xll.ciqfunctions.udf.CIQ(InputTicker, "IQ_CHANGE_UNEARN_REV",Input!G$2,Date,,,Ccy,Conv)</f>
        <v>0</v>
      </c>
      <c r="F205" s="4">
        <f>_xll.ciqfunctions.udf.CIQ(InputTicker, "IQ_CHANGE_UNEARN_REV",Input!H$2,Date,,,Ccy,Conv)</f>
        <v>0</v>
      </c>
      <c r="G205" s="4">
        <f>_xll.ciqfunctions.udf.CIQ(InputTicker, "IQ_CHANGE_UNEARN_REV",Input!I$2,Date,,,Ccy,Conv)</f>
        <v>0</v>
      </c>
      <c r="H205" s="4">
        <f>_xll.ciqfunctions.udf.CIQ(InputTicker, "IQ_CHANGE_UNEARN_REV",Input!J$2,Date,,,Ccy,Conv)</f>
        <v>0</v>
      </c>
      <c r="I205" s="4">
        <f>_xll.ciqfunctions.udf.CIQ(InputTicker, "IQ_CHANGE_UNEARN_REV",Input!K$2,Date,,,Ccy,Conv)</f>
        <v>0</v>
      </c>
      <c r="J205" s="4">
        <f>_xll.ciqfunctions.udf.CIQ(InputTicker, "IQ_CHANGE_UNEARN_REV",Input!L$2,Date,,,Ccy,Conv)</f>
        <v>0</v>
      </c>
      <c r="K205" s="4">
        <f>_xll.ciqfunctions.udf.CIQ(InputTicker, "IQ_CHANGE_UNEARN_REV",Input!M$2,Date,,,Ccy,Conv)</f>
        <v>0</v>
      </c>
      <c r="L205" s="4">
        <f>_xll.ciqfunctions.udf.CIQ(InputTicker, "IQ_CHANGE_UNEARN_REV",Input!N$2,Date,,,Ccy,Conv)</f>
        <v>0</v>
      </c>
      <c r="M205" s="4">
        <f>_xll.ciqfunctions.udf.CIQ(InputTicker, "IQ_CHANGE_UNEARN_REV",Input!O$2,Date,,,Ccy,Conv)</f>
        <v>0</v>
      </c>
      <c r="N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</row>
    <row r="206" spans="1:66" ht="12.75" customHeight="1" x14ac:dyDescent="0.2">
      <c r="A206" s="1" t="s">
        <v>208</v>
      </c>
      <c r="B206" s="4">
        <f>_xll.ciqfunctions.udf.CIQ(InputTicker, "IQ_CHANGE_INC_TAX",Input!D$2,Date,,,Ccy,Conv)</f>
        <v>-61.097000000000001</v>
      </c>
      <c r="C206" s="4">
        <f>_xll.ciqfunctions.udf.CIQ(InputTicker, "IQ_CHANGE_INC_TAX",Input!E$2,Date,,,Ccy,Conv)</f>
        <v>54.472999999999999</v>
      </c>
      <c r="D206" s="4">
        <f>_xll.ciqfunctions.udf.CIQ(InputTicker, "IQ_CHANGE_INC_TAX",Input!F$2,Date,,,Ccy,Conv)</f>
        <v>-4.681</v>
      </c>
      <c r="E206" s="4">
        <f>_xll.ciqfunctions.udf.CIQ(InputTicker, "IQ_CHANGE_INC_TAX",Input!G$2,Date,,,Ccy,Conv)</f>
        <v>21.634</v>
      </c>
      <c r="F206" s="4">
        <f>_xll.ciqfunctions.udf.CIQ(InputTicker, "IQ_CHANGE_INC_TAX",Input!H$2,Date,,,Ccy,Conv)</f>
        <v>-122.977</v>
      </c>
      <c r="G206" s="4">
        <f>_xll.ciqfunctions.udf.CIQ(InputTicker, "IQ_CHANGE_INC_TAX",Input!I$2,Date,,,Ccy,Conv)</f>
        <v>-363.39600000000002</v>
      </c>
      <c r="H206" s="4">
        <f>_xll.ciqfunctions.udf.CIQ(InputTicker, "IQ_CHANGE_INC_TAX",Input!J$2,Date,,,Ccy,Conv)</f>
        <v>132.029</v>
      </c>
      <c r="I206" s="4">
        <f>_xll.ciqfunctions.udf.CIQ(InputTicker, "IQ_CHANGE_INC_TAX",Input!K$2,Date,,,Ccy,Conv)</f>
        <v>4</v>
      </c>
      <c r="J206" s="4">
        <f>_xll.ciqfunctions.udf.CIQ(InputTicker, "IQ_CHANGE_INC_TAX",Input!L$2,Date,,,Ccy,Conv)</f>
        <v>-11</v>
      </c>
      <c r="K206" s="4">
        <f>_xll.ciqfunctions.udf.CIQ(InputTicker, "IQ_CHANGE_INC_TAX",Input!M$2,Date,,,Ccy,Conv)</f>
        <v>-31</v>
      </c>
      <c r="L206" s="4">
        <f>_xll.ciqfunctions.udf.CIQ(InputTicker, "IQ_CHANGE_INC_TAX",Input!N$2,Date,,,Ccy,Conv)</f>
        <v>-11</v>
      </c>
      <c r="M206" s="4">
        <f>_xll.ciqfunctions.udf.CIQ(InputTicker, "IQ_CHANGE_INC_TAX",Input!O$2,Date,,,Ccy,Conv)</f>
        <v>-11</v>
      </c>
      <c r="N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</row>
    <row r="207" spans="1:66" ht="12.75" customHeight="1" x14ac:dyDescent="0.2">
      <c r="A207" s="1" t="s">
        <v>148</v>
      </c>
      <c r="B207" s="4">
        <f>_xll.ciqfunctions.udf.CIQ(InputTicker, "IQ_CHANGE_DEF_TAX",Input!D$2,Date,,,Ccy,Conv)</f>
        <v>0</v>
      </c>
      <c r="C207" s="4">
        <f>_xll.ciqfunctions.udf.CIQ(InputTicker, "IQ_CHANGE_DEF_TAX",Input!E$2,Date,,,Ccy,Conv)</f>
        <v>0</v>
      </c>
      <c r="D207" s="4">
        <f>_xll.ciqfunctions.udf.CIQ(InputTicker, "IQ_CHANGE_DEF_TAX",Input!F$2,Date,,,Ccy,Conv)</f>
        <v>0</v>
      </c>
      <c r="E207" s="4">
        <f>_xll.ciqfunctions.udf.CIQ(InputTicker, "IQ_CHANGE_DEF_TAX",Input!G$2,Date,,,Ccy,Conv)</f>
        <v>0</v>
      </c>
      <c r="F207" s="4">
        <f>_xll.ciqfunctions.udf.CIQ(InputTicker, "IQ_CHANGE_DEF_TAX",Input!H$2,Date,,,Ccy,Conv)</f>
        <v>0</v>
      </c>
      <c r="G207" s="4">
        <f>_xll.ciqfunctions.udf.CIQ(InputTicker, "IQ_CHANGE_DEF_TAX",Input!I$2,Date,,,Ccy,Conv)</f>
        <v>0</v>
      </c>
      <c r="H207" s="4">
        <f>_xll.ciqfunctions.udf.CIQ(InputTicker, "IQ_CHANGE_DEF_TAX",Input!J$2,Date,,,Ccy,Conv)</f>
        <v>0</v>
      </c>
      <c r="I207" s="4">
        <f>_xll.ciqfunctions.udf.CIQ(InputTicker, "IQ_CHANGE_DEF_TAX",Input!K$2,Date,,,Ccy,Conv)</f>
        <v>0</v>
      </c>
      <c r="J207" s="4">
        <f>_xll.ciqfunctions.udf.CIQ(InputTicker, "IQ_CHANGE_DEF_TAX",Input!L$2,Date,,,Ccy,Conv)</f>
        <v>0</v>
      </c>
      <c r="K207" s="4">
        <f>_xll.ciqfunctions.udf.CIQ(InputTicker, "IQ_CHANGE_DEF_TAX",Input!M$2,Date,,,Ccy,Conv)</f>
        <v>0</v>
      </c>
      <c r="L207" s="4">
        <f>_xll.ciqfunctions.udf.CIQ(InputTicker, "IQ_CHANGE_DEF_TAX",Input!N$2,Date,,,Ccy,Conv)</f>
        <v>0</v>
      </c>
      <c r="M207" s="4">
        <f>_xll.ciqfunctions.udf.CIQ(InputTicker, "IQ_CHANGE_DEF_TAX",Input!O$2,Date,,,Ccy,Conv)</f>
        <v>0</v>
      </c>
      <c r="N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</row>
    <row r="208" spans="1:66" ht="12.75" customHeight="1" x14ac:dyDescent="0.2">
      <c r="A208" s="1" t="s">
        <v>370</v>
      </c>
      <c r="B208" s="4">
        <f>_xll.ciqfunctions.udf.CIQ(InputTicker, "IQ_CHANGE_OTHER_NET_OPER_ASSETS",Input!D$2,Date,,,Ccy,Conv)</f>
        <v>-24.504000000000001</v>
      </c>
      <c r="C208" s="4">
        <f>_xll.ciqfunctions.udf.CIQ(InputTicker, "IQ_CHANGE_OTHER_NET_OPER_ASSETS",Input!E$2,Date,,,Ccy,Conv)</f>
        <v>43.534999999999997</v>
      </c>
      <c r="D208" s="4">
        <f>_xll.ciqfunctions.udf.CIQ(InputTicker, "IQ_CHANGE_OTHER_NET_OPER_ASSETS",Input!F$2,Date,,,Ccy,Conv)</f>
        <v>42.042999999999999</v>
      </c>
      <c r="E208" s="4">
        <f>_xll.ciqfunctions.udf.CIQ(InputTicker, "IQ_CHANGE_OTHER_NET_OPER_ASSETS",Input!G$2,Date,,,Ccy,Conv)</f>
        <v>21.51</v>
      </c>
      <c r="F208" s="4">
        <f>_xll.ciqfunctions.udf.CIQ(InputTicker, "IQ_CHANGE_OTHER_NET_OPER_ASSETS",Input!H$2,Date,,,Ccy,Conv)</f>
        <v>19.837</v>
      </c>
      <c r="G208" s="4">
        <f>_xll.ciqfunctions.udf.CIQ(InputTicker, "IQ_CHANGE_OTHER_NET_OPER_ASSETS",Input!I$2,Date,,,Ccy,Conv)</f>
        <v>13.875999999999999</v>
      </c>
      <c r="H208" s="4">
        <f>_xll.ciqfunctions.udf.CIQ(InputTicker, "IQ_CHANGE_OTHER_NET_OPER_ASSETS",Input!J$2,Date,,,Ccy,Conv)</f>
        <v>-34.457000000000001</v>
      </c>
      <c r="I208" s="4">
        <f>_xll.ciqfunctions.udf.CIQ(InputTicker, "IQ_CHANGE_OTHER_NET_OPER_ASSETS",Input!K$2,Date,,,Ccy,Conv)</f>
        <v>131</v>
      </c>
      <c r="J208" s="4">
        <f>_xll.ciqfunctions.udf.CIQ(InputTicker, "IQ_CHANGE_OTHER_NET_OPER_ASSETS",Input!L$2,Date,,,Ccy,Conv)</f>
        <v>-11</v>
      </c>
      <c r="K208" s="4">
        <f>_xll.ciqfunctions.udf.CIQ(InputTicker, "IQ_CHANGE_OTHER_NET_OPER_ASSETS",Input!M$2,Date,,,Ccy,Conv)</f>
        <v>175</v>
      </c>
      <c r="L208" s="4">
        <f>_xll.ciqfunctions.udf.CIQ(InputTicker, "IQ_CHANGE_OTHER_NET_OPER_ASSETS",Input!N$2,Date,,,Ccy,Conv)</f>
        <v>-222</v>
      </c>
      <c r="M208" s="4">
        <f>_xll.ciqfunctions.udf.CIQ(InputTicker, "IQ_CHANGE_OTHER_NET_OPER_ASSETS",Input!O$2,Date,,,Ccy,Conv)</f>
        <v>-222</v>
      </c>
      <c r="N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</row>
    <row r="209" spans="1:66" ht="12.75" customHeight="1" thickBot="1" x14ac:dyDescent="0.25">
      <c r="A209" s="5" t="s">
        <v>103</v>
      </c>
      <c r="B209" s="9">
        <f>_xll.ciqfunctions.udf.CIQ(InputTicker, "IQ_CASH_OPER",Input!D$2,Date,,,Ccy,Conv)</f>
        <v>249.23400000000001</v>
      </c>
      <c r="C209" s="9">
        <f>_xll.ciqfunctions.udf.CIQ(InputTicker, "IQ_CASH_OPER",Input!E$2,Date,,,Ccy,Conv)</f>
        <v>382.27699999999999</v>
      </c>
      <c r="D209" s="9">
        <f>_xll.ciqfunctions.udf.CIQ(InputTicker, "IQ_CASH_OPER",Input!F$2,Date,,,Ccy,Conv)</f>
        <v>369.14299999999997</v>
      </c>
      <c r="E209" s="9">
        <f>_xll.ciqfunctions.udf.CIQ(InputTicker, "IQ_CASH_OPER",Input!G$2,Date,,,Ccy,Conv)</f>
        <v>499.61</v>
      </c>
      <c r="F209" s="9">
        <f>_xll.ciqfunctions.udf.CIQ(InputTicker, "IQ_CASH_OPER",Input!H$2,Date,,,Ccy,Conv)</f>
        <v>551.428</v>
      </c>
      <c r="G209" s="9">
        <f>_xll.ciqfunctions.udf.CIQ(InputTicker, "IQ_CASH_OPER",Input!I$2,Date,,,Ccy,Conv)</f>
        <v>718.68399999999997</v>
      </c>
      <c r="H209" s="9">
        <f>_xll.ciqfunctions.udf.CIQ(InputTicker, "IQ_CASH_OPER",Input!J$2,Date,,,Ccy,Conv)</f>
        <v>736.52599999999995</v>
      </c>
      <c r="I209" s="9">
        <f>_xll.ciqfunctions.udf.CIQ(InputTicker, "IQ_CASH_OPER",Input!K$2,Date,,,Ccy,Conv)</f>
        <v>603</v>
      </c>
      <c r="J209" s="9">
        <f>_xll.ciqfunctions.udf.CIQ(InputTicker, "IQ_CASH_OPER",Input!L$2,Date,,,Ccy,Conv)</f>
        <v>259</v>
      </c>
      <c r="K209" s="9">
        <f>_xll.ciqfunctions.udf.CIQ(InputTicker, "IQ_CASH_OPER",Input!M$2,Date,,,Ccy,Conv)</f>
        <v>1009</v>
      </c>
      <c r="L209" s="9">
        <f>_xll.ciqfunctions.udf.CIQ(InputTicker, "IQ_CASH_OPER",Input!N$2,Date,,,Ccy,Conv)</f>
        <v>1041</v>
      </c>
      <c r="M209" s="9">
        <f>_xll.ciqfunctions.udf.CIQ(InputTicker, "IQ_CASH_OPER",Input!O$2,Date,,,Ccy,Conv)</f>
        <v>1041</v>
      </c>
      <c r="N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</row>
    <row r="210" spans="1:66" ht="12.75" customHeight="1" thickTop="1" x14ac:dyDescent="0.2">
      <c r="A210" s="1" t="s">
        <v>104</v>
      </c>
      <c r="B210" s="4">
        <f>_xll.ciqfunctions.udf.CIQ(InputTicker, "IQ_CAPEX",Input!D$2,Date,,,Ccy,Conv)</f>
        <v>-66.635000000000005</v>
      </c>
      <c r="C210" s="4">
        <f>_xll.ciqfunctions.udf.CIQ(InputTicker, "IQ_CAPEX",Input!E$2,Date,,,Ccy,Conv)</f>
        <v>-53.918999999999997</v>
      </c>
      <c r="D210" s="4">
        <f>_xll.ciqfunctions.udf.CIQ(InputTicker, "IQ_CAPEX",Input!F$2,Date,,,Ccy,Conv)</f>
        <v>-78.436999999999998</v>
      </c>
      <c r="E210" s="4">
        <f>_xll.ciqfunctions.udf.CIQ(InputTicker, "IQ_CAPEX",Input!G$2,Date,,,Ccy,Conv)</f>
        <v>-94.680999999999997</v>
      </c>
      <c r="F210" s="4">
        <f>_xll.ciqfunctions.udf.CIQ(InputTicker, "IQ_CAPEX",Input!H$2,Date,,,Ccy,Conv)</f>
        <v>-128.07900000000001</v>
      </c>
      <c r="G210" s="4">
        <f>_xll.ciqfunctions.udf.CIQ(InputTicker, "IQ_CAPEX",Input!I$2,Date,,,Ccy,Conv)</f>
        <v>-87.21</v>
      </c>
      <c r="H210" s="4">
        <f>_xll.ciqfunctions.udf.CIQ(InputTicker, "IQ_CAPEX",Input!J$2,Date,,,Ccy,Conv)</f>
        <v>-79.963999999999999</v>
      </c>
      <c r="I210" s="4">
        <f>_xll.ciqfunctions.udf.CIQ(InputTicker, "IQ_CAPEX",Input!K$2,Date,,,Ccy,Conv)</f>
        <v>-76</v>
      </c>
      <c r="J210" s="4">
        <f>_xll.ciqfunctions.udf.CIQ(InputTicker, "IQ_CAPEX",Input!L$2,Date,,,Ccy,Conv)</f>
        <v>-67</v>
      </c>
      <c r="K210" s="4">
        <f>_xll.ciqfunctions.udf.CIQ(InputTicker, "IQ_CAPEX",Input!M$2,Date,,,Ccy,Conv)</f>
        <v>-98</v>
      </c>
      <c r="L210" s="4">
        <f>_xll.ciqfunctions.udf.CIQ(InputTicker, "IQ_CAPEX",Input!N$2,Date,,,Ccy,Conv)</f>
        <v>-90</v>
      </c>
      <c r="M210" s="4">
        <f>_xll.ciqfunctions.udf.CIQ(InputTicker, "IQ_CAPEX",Input!O$2,Date,,,Ccy,Conv)</f>
        <v>-90</v>
      </c>
      <c r="N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</row>
    <row r="211" spans="1:66" ht="12.75" customHeight="1" x14ac:dyDescent="0.2">
      <c r="A211" s="1" t="s">
        <v>105</v>
      </c>
      <c r="B211" s="4">
        <f>_xll.ciqfunctions.udf.CIQ(InputTicker, "IQ_SALE_PPE_CF",Input!D$2,Date,,,Ccy,Conv)</f>
        <v>0</v>
      </c>
      <c r="C211" s="4">
        <f>_xll.ciqfunctions.udf.CIQ(InputTicker, "IQ_SALE_PPE_CF",Input!E$2,Date,,,Ccy,Conv)</f>
        <v>0</v>
      </c>
      <c r="D211" s="4">
        <f>_xll.ciqfunctions.udf.CIQ(InputTicker, "IQ_SALE_PPE_CF",Input!F$2,Date,,,Ccy,Conv)</f>
        <v>0</v>
      </c>
      <c r="E211" s="4">
        <f>_xll.ciqfunctions.udf.CIQ(InputTicker, "IQ_SALE_PPE_CF",Input!G$2,Date,,,Ccy,Conv)</f>
        <v>5.4690000000000003</v>
      </c>
      <c r="F211" s="4">
        <f>_xll.ciqfunctions.udf.CIQ(InputTicker, "IQ_SALE_PPE_CF",Input!H$2,Date,,,Ccy,Conv)</f>
        <v>0</v>
      </c>
      <c r="G211" s="4">
        <f>_xll.ciqfunctions.udf.CIQ(InputTicker, "IQ_SALE_PPE_CF",Input!I$2,Date,,,Ccy,Conv)</f>
        <v>3.0939999999999999</v>
      </c>
      <c r="H211" s="4">
        <f>_xll.ciqfunctions.udf.CIQ(InputTicker, "IQ_SALE_PPE_CF",Input!J$2,Date,,,Ccy,Conv)</f>
        <v>0</v>
      </c>
      <c r="I211" s="4">
        <f>_xll.ciqfunctions.udf.CIQ(InputTicker, "IQ_SALE_PPE_CF",Input!K$2,Date,,,Ccy,Conv)</f>
        <v>0</v>
      </c>
      <c r="J211" s="4">
        <f>_xll.ciqfunctions.udf.CIQ(InputTicker, "IQ_SALE_PPE_CF",Input!L$2,Date,,,Ccy,Conv)</f>
        <v>0</v>
      </c>
      <c r="K211" s="4">
        <f>_xll.ciqfunctions.udf.CIQ(InputTicker, "IQ_SALE_PPE_CF",Input!M$2,Date,,,Ccy,Conv)</f>
        <v>0</v>
      </c>
      <c r="L211" s="4">
        <f>_xll.ciqfunctions.udf.CIQ(InputTicker, "IQ_SALE_PPE_CF",Input!N$2,Date,,,Ccy,Conv)</f>
        <v>0</v>
      </c>
      <c r="M211" s="4">
        <f>_xll.ciqfunctions.udf.CIQ(InputTicker, "IQ_SALE_PPE_CF",Input!O$2,Date,,,Ccy,Conv)</f>
        <v>0</v>
      </c>
      <c r="N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</row>
    <row r="212" spans="1:66" ht="12.75" customHeight="1" x14ac:dyDescent="0.2">
      <c r="A212" s="1" t="s">
        <v>106</v>
      </c>
      <c r="B212" s="4">
        <f>_xll.ciqfunctions.udf.CIQ(InputTicker, "IQ_CASH_ACQUIRE_CF",Input!D$2,Date,,,Ccy,Conv)</f>
        <v>-51.118000000000002</v>
      </c>
      <c r="C212" s="4">
        <f>_xll.ciqfunctions.udf.CIQ(InputTicker, "IQ_CASH_ACQUIRE_CF",Input!E$2,Date,,,Ccy,Conv)</f>
        <v>-247.62700000000001</v>
      </c>
      <c r="D212" s="4">
        <f>_xll.ciqfunctions.udf.CIQ(InputTicker, "IQ_CASH_ACQUIRE_CF",Input!F$2,Date,,,Ccy,Conv)</f>
        <v>-19.113</v>
      </c>
      <c r="E212" s="4">
        <f>_xll.ciqfunctions.udf.CIQ(InputTicker, "IQ_CASH_ACQUIRE_CF",Input!G$2,Date,,,Ccy,Conv)</f>
        <v>0</v>
      </c>
      <c r="F212" s="4">
        <f>_xll.ciqfunctions.udf.CIQ(InputTicker, "IQ_CASH_ACQUIRE_CF",Input!H$2,Date,,,Ccy,Conv)</f>
        <v>0</v>
      </c>
      <c r="G212" s="4">
        <f>_xll.ciqfunctions.udf.CIQ(InputTicker, "IQ_CASH_ACQUIRE_CF",Input!I$2,Date,,,Ccy,Conv)</f>
        <v>0</v>
      </c>
      <c r="H212" s="4">
        <f>_xll.ciqfunctions.udf.CIQ(InputTicker, "IQ_CASH_ACQUIRE_CF",Input!J$2,Date,,,Ccy,Conv)</f>
        <v>-780.33399999999995</v>
      </c>
      <c r="I212" s="4">
        <f>_xll.ciqfunctions.udf.CIQ(InputTicker, "IQ_CASH_ACQUIRE_CF",Input!K$2,Date,,,Ccy,Conv)</f>
        <v>-440</v>
      </c>
      <c r="J212" s="4">
        <f>_xll.ciqfunctions.udf.CIQ(InputTicker, "IQ_CASH_ACQUIRE_CF",Input!L$2,Date,,,Ccy,Conv)</f>
        <v>0</v>
      </c>
      <c r="K212" s="4">
        <f>_xll.ciqfunctions.udf.CIQ(InputTicker, "IQ_CASH_ACQUIRE_CF",Input!M$2,Date,,,Ccy,Conv)</f>
        <v>-97</v>
      </c>
      <c r="L212" s="4">
        <f>_xll.ciqfunctions.udf.CIQ(InputTicker, "IQ_CASH_ACQUIRE_CF",Input!N$2,Date,,,Ccy,Conv)</f>
        <v>0</v>
      </c>
      <c r="M212" s="4">
        <f>_xll.ciqfunctions.udf.CIQ(InputTicker, "IQ_CASH_ACQUIRE_CF",Input!O$2,Date,,,Ccy,Conv)</f>
        <v>0</v>
      </c>
      <c r="N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</row>
    <row r="213" spans="1:66" ht="12.75" customHeight="1" x14ac:dyDescent="0.2">
      <c r="A213" s="1" t="s">
        <v>107</v>
      </c>
      <c r="B213" s="4">
        <f>_xll.ciqfunctions.udf.CIQ(InputTicker, "IQ_DIVEST_CF",Input!D$2,Date,,,Ccy,Conv)</f>
        <v>0</v>
      </c>
      <c r="C213" s="4">
        <f>_xll.ciqfunctions.udf.CIQ(InputTicker, "IQ_DIVEST_CF",Input!E$2,Date,,,Ccy,Conv)</f>
        <v>0</v>
      </c>
      <c r="D213" s="4">
        <f>_xll.ciqfunctions.udf.CIQ(InputTicker, "IQ_DIVEST_CF",Input!F$2,Date,,,Ccy,Conv)</f>
        <v>0</v>
      </c>
      <c r="E213" s="4">
        <f>_xll.ciqfunctions.udf.CIQ(InputTicker, "IQ_DIVEST_CF",Input!G$2,Date,,,Ccy,Conv)</f>
        <v>0</v>
      </c>
      <c r="F213" s="4">
        <f>_xll.ciqfunctions.udf.CIQ(InputTicker, "IQ_DIVEST_CF",Input!H$2,Date,,,Ccy,Conv)</f>
        <v>0</v>
      </c>
      <c r="G213" s="4">
        <f>_xll.ciqfunctions.udf.CIQ(InputTicker, "IQ_DIVEST_CF",Input!I$2,Date,,,Ccy,Conv)</f>
        <v>0</v>
      </c>
      <c r="H213" s="4">
        <f>_xll.ciqfunctions.udf.CIQ(InputTicker, "IQ_DIVEST_CF",Input!J$2,Date,,,Ccy,Conv)</f>
        <v>0</v>
      </c>
      <c r="I213" s="4">
        <f>_xll.ciqfunctions.udf.CIQ(InputTicker, "IQ_DIVEST_CF",Input!K$2,Date,,,Ccy,Conv)</f>
        <v>53</v>
      </c>
      <c r="J213" s="4">
        <f>_xll.ciqfunctions.udf.CIQ(InputTicker, "IQ_DIVEST_CF",Input!L$2,Date,,,Ccy,Conv)</f>
        <v>0</v>
      </c>
      <c r="K213" s="4">
        <f>_xll.ciqfunctions.udf.CIQ(InputTicker, "IQ_DIVEST_CF",Input!M$2,Date,,,Ccy,Conv)</f>
        <v>0</v>
      </c>
      <c r="L213" s="4">
        <f>_xll.ciqfunctions.udf.CIQ(InputTicker, "IQ_DIVEST_CF",Input!N$2,Date,,,Ccy,Conv)</f>
        <v>22</v>
      </c>
      <c r="M213" s="4">
        <f>_xll.ciqfunctions.udf.CIQ(InputTicker, "IQ_DIVEST_CF",Input!O$2,Date,,,Ccy,Conv)</f>
        <v>22</v>
      </c>
      <c r="N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</row>
    <row r="214" spans="1:66" ht="12.75" customHeight="1" x14ac:dyDescent="0.2">
      <c r="A214" s="1" t="s">
        <v>279</v>
      </c>
      <c r="B214" s="4">
        <f>_xll.ciqfunctions.udf.CIQ(InputTicker, "IQ_SALE_REAL_ESTATE_CF",Input!D$2,Date,,,Ccy,Conv)</f>
        <v>0</v>
      </c>
      <c r="C214" s="4">
        <f>_xll.ciqfunctions.udf.CIQ(InputTicker, "IQ_SALE_REAL_ESTATE_CF",Input!E$2,Date,,,Ccy,Conv)</f>
        <v>0</v>
      </c>
      <c r="D214" s="4">
        <f>_xll.ciqfunctions.udf.CIQ(InputTicker, "IQ_SALE_REAL_ESTATE_CF",Input!F$2,Date,,,Ccy,Conv)</f>
        <v>0</v>
      </c>
      <c r="E214" s="4">
        <f>_xll.ciqfunctions.udf.CIQ(InputTicker, "IQ_SALE_REAL_ESTATE_CF",Input!G$2,Date,,,Ccy,Conv)</f>
        <v>0</v>
      </c>
      <c r="F214" s="4">
        <f>_xll.ciqfunctions.udf.CIQ(InputTicker, "IQ_SALE_REAL_ESTATE_CF",Input!H$2,Date,,,Ccy,Conv)</f>
        <v>0</v>
      </c>
      <c r="G214" s="4">
        <f>_xll.ciqfunctions.udf.CIQ(InputTicker, "IQ_SALE_REAL_ESTATE_CF",Input!I$2,Date,,,Ccy,Conv)</f>
        <v>0</v>
      </c>
      <c r="H214" s="4">
        <f>_xll.ciqfunctions.udf.CIQ(InputTicker, "IQ_SALE_REAL_ESTATE_CF",Input!J$2,Date,,,Ccy,Conv)</f>
        <v>0</v>
      </c>
      <c r="I214" s="4">
        <f>_xll.ciqfunctions.udf.CIQ(InputTicker, "IQ_SALE_REAL_ESTATE_CF",Input!K$2,Date,,,Ccy,Conv)</f>
        <v>0</v>
      </c>
      <c r="J214" s="4">
        <f>_xll.ciqfunctions.udf.CIQ(InputTicker, "IQ_SALE_REAL_ESTATE_CF",Input!L$2,Date,,,Ccy,Conv)</f>
        <v>0</v>
      </c>
      <c r="K214" s="4">
        <f>_xll.ciqfunctions.udf.CIQ(InputTicker, "IQ_SALE_REAL_ESTATE_CF",Input!M$2,Date,,,Ccy,Conv)</f>
        <v>0</v>
      </c>
      <c r="L214" s="4">
        <f>_xll.ciqfunctions.udf.CIQ(InputTicker, "IQ_SALE_REAL_ESTATE_CF",Input!N$2,Date,,,Ccy,Conv)</f>
        <v>0</v>
      </c>
      <c r="M214" s="4">
        <f>_xll.ciqfunctions.udf.CIQ(InputTicker, "IQ_SALE_REAL_ESTATE_CF",Input!O$2,Date,,,Ccy,Conv)</f>
        <v>0</v>
      </c>
      <c r="N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</row>
    <row r="215" spans="1:66" ht="12.75" customHeight="1" x14ac:dyDescent="0.2">
      <c r="A215" s="1" t="s">
        <v>280</v>
      </c>
      <c r="B215" s="4">
        <f>_xll.ciqfunctions.udf.CIQ(InputTicker, "IQ_SALE_INTAN_CF",Input!D$2,Date,,,Ccy,Conv)</f>
        <v>0</v>
      </c>
      <c r="C215" s="4">
        <f>_xll.ciqfunctions.udf.CIQ(InputTicker, "IQ_SALE_INTAN_CF",Input!E$2,Date,,,Ccy,Conv)</f>
        <v>0</v>
      </c>
      <c r="D215" s="4">
        <f>_xll.ciqfunctions.udf.CIQ(InputTicker, "IQ_SALE_INTAN_CF",Input!F$2,Date,,,Ccy,Conv)</f>
        <v>0</v>
      </c>
      <c r="E215" s="4">
        <f>_xll.ciqfunctions.udf.CIQ(InputTicker, "IQ_SALE_INTAN_CF",Input!G$2,Date,,,Ccy,Conv)</f>
        <v>0</v>
      </c>
      <c r="F215" s="4">
        <f>_xll.ciqfunctions.udf.CIQ(InputTicker, "IQ_SALE_INTAN_CF",Input!H$2,Date,,,Ccy,Conv)</f>
        <v>0</v>
      </c>
      <c r="G215" s="4">
        <f>_xll.ciqfunctions.udf.CIQ(InputTicker, "IQ_SALE_INTAN_CF",Input!I$2,Date,,,Ccy,Conv)</f>
        <v>0</v>
      </c>
      <c r="H215" s="4">
        <f>_xll.ciqfunctions.udf.CIQ(InputTicker, "IQ_SALE_INTAN_CF",Input!J$2,Date,,,Ccy,Conv)</f>
        <v>0</v>
      </c>
      <c r="I215" s="4">
        <f>_xll.ciqfunctions.udf.CIQ(InputTicker, "IQ_SALE_INTAN_CF",Input!K$2,Date,,,Ccy,Conv)</f>
        <v>0</v>
      </c>
      <c r="J215" s="4">
        <f>_xll.ciqfunctions.udf.CIQ(InputTicker, "IQ_SALE_INTAN_CF",Input!L$2,Date,,,Ccy,Conv)</f>
        <v>0</v>
      </c>
      <c r="K215" s="4">
        <f>_xll.ciqfunctions.udf.CIQ(InputTicker, "IQ_SALE_INTAN_CF",Input!M$2,Date,,,Ccy,Conv)</f>
        <v>0</v>
      </c>
      <c r="L215" s="4">
        <f>_xll.ciqfunctions.udf.CIQ(InputTicker, "IQ_SALE_INTAN_CF",Input!N$2,Date,,,Ccy,Conv)</f>
        <v>0</v>
      </c>
      <c r="M215" s="4">
        <f>_xll.ciqfunctions.udf.CIQ(InputTicker, "IQ_SALE_INTAN_CF",Input!O$2,Date,,,Ccy,Conv)</f>
        <v>0</v>
      </c>
      <c r="N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</row>
    <row r="216" spans="1:66" ht="12.75" customHeight="1" x14ac:dyDescent="0.2">
      <c r="A216" s="1" t="s">
        <v>281</v>
      </c>
      <c r="B216" s="4">
        <f>_xll.ciqfunctions.udf.CIQ(InputTicker, "IQ_INVEST_SECURITY_CF",Input!D$2,Date,,,Ccy,Conv)</f>
        <v>0</v>
      </c>
      <c r="C216" s="4">
        <f>_xll.ciqfunctions.udf.CIQ(InputTicker, "IQ_INVEST_SECURITY_CF",Input!E$2,Date,,,Ccy,Conv)</f>
        <v>0</v>
      </c>
      <c r="D216" s="4">
        <f>_xll.ciqfunctions.udf.CIQ(InputTicker, "IQ_INVEST_SECURITY_CF",Input!F$2,Date,,,Ccy,Conv)</f>
        <v>0</v>
      </c>
      <c r="E216" s="4">
        <f>_xll.ciqfunctions.udf.CIQ(InputTicker, "IQ_INVEST_SECURITY_CF",Input!G$2,Date,,,Ccy,Conv)</f>
        <v>0</v>
      </c>
      <c r="F216" s="4">
        <f>_xll.ciqfunctions.udf.CIQ(InputTicker, "IQ_INVEST_SECURITY_CF",Input!H$2,Date,,,Ccy,Conv)</f>
        <v>0</v>
      </c>
      <c r="G216" s="4">
        <f>_xll.ciqfunctions.udf.CIQ(InputTicker, "IQ_INVEST_SECURITY_CF",Input!I$2,Date,,,Ccy,Conv)</f>
        <v>-74.168000000000006</v>
      </c>
      <c r="H216" s="4">
        <f>_xll.ciqfunctions.udf.CIQ(InputTicker, "IQ_INVEST_SECURITY_CF",Input!J$2,Date,,,Ccy,Conv)</f>
        <v>-7</v>
      </c>
      <c r="I216" s="4">
        <f>_xll.ciqfunctions.udf.CIQ(InputTicker, "IQ_INVEST_SECURITY_CF",Input!K$2,Date,,,Ccy,Conv)</f>
        <v>-5</v>
      </c>
      <c r="J216" s="4">
        <f>_xll.ciqfunctions.udf.CIQ(InputTicker, "IQ_INVEST_SECURITY_CF",Input!L$2,Date,,,Ccy,Conv)</f>
        <v>-24</v>
      </c>
      <c r="K216" s="4">
        <f>_xll.ciqfunctions.udf.CIQ(InputTicker, "IQ_INVEST_SECURITY_CF",Input!M$2,Date,,,Ccy,Conv)</f>
        <v>-23</v>
      </c>
      <c r="L216" s="4">
        <f>_xll.ciqfunctions.udf.CIQ(InputTicker, "IQ_INVEST_SECURITY_CF",Input!N$2,Date,,,Ccy,Conv)</f>
        <v>-232</v>
      </c>
      <c r="M216" s="4">
        <f>_xll.ciqfunctions.udf.CIQ(InputTicker, "IQ_INVEST_SECURITY_CF",Input!O$2,Date,,,Ccy,Conv)</f>
        <v>-232</v>
      </c>
      <c r="N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</row>
    <row r="217" spans="1:66" ht="12.75" customHeight="1" x14ac:dyDescent="0.2">
      <c r="A217" s="1" t="s">
        <v>149</v>
      </c>
      <c r="B217" s="4">
        <f>_xll.ciqfunctions.udf.CIQ(InputTicker, "IQ_INVEST_LOANS_CF",Input!D$2,Date,,,Ccy,Conv)</f>
        <v>0</v>
      </c>
      <c r="C217" s="4">
        <f>_xll.ciqfunctions.udf.CIQ(InputTicker, "IQ_INVEST_LOANS_CF",Input!E$2,Date,,,Ccy,Conv)</f>
        <v>0</v>
      </c>
      <c r="D217" s="4">
        <f>_xll.ciqfunctions.udf.CIQ(InputTicker, "IQ_INVEST_LOANS_CF",Input!F$2,Date,,,Ccy,Conv)</f>
        <v>0</v>
      </c>
      <c r="E217" s="4">
        <f>_xll.ciqfunctions.udf.CIQ(InputTicker, "IQ_INVEST_LOANS_CF",Input!G$2,Date,,,Ccy,Conv)</f>
        <v>0</v>
      </c>
      <c r="F217" s="4">
        <f>_xll.ciqfunctions.udf.CIQ(InputTicker, "IQ_INVEST_LOANS_CF",Input!H$2,Date,,,Ccy,Conv)</f>
        <v>0</v>
      </c>
      <c r="G217" s="4">
        <f>_xll.ciqfunctions.udf.CIQ(InputTicker, "IQ_INVEST_LOANS_CF",Input!I$2,Date,,,Ccy,Conv)</f>
        <v>0</v>
      </c>
      <c r="H217" s="4">
        <f>_xll.ciqfunctions.udf.CIQ(InputTicker, "IQ_INVEST_LOANS_CF",Input!J$2,Date,,,Ccy,Conv)</f>
        <v>0</v>
      </c>
      <c r="I217" s="4">
        <f>_xll.ciqfunctions.udf.CIQ(InputTicker, "IQ_INVEST_LOANS_CF",Input!K$2,Date,,,Ccy,Conv)</f>
        <v>0</v>
      </c>
      <c r="J217" s="4">
        <f>_xll.ciqfunctions.udf.CIQ(InputTicker, "IQ_INVEST_LOANS_CF",Input!L$2,Date,,,Ccy,Conv)</f>
        <v>0</v>
      </c>
      <c r="K217" s="4">
        <f>_xll.ciqfunctions.udf.CIQ(InputTicker, "IQ_INVEST_LOANS_CF",Input!M$2,Date,,,Ccy,Conv)</f>
        <v>0</v>
      </c>
      <c r="L217" s="4">
        <f>_xll.ciqfunctions.udf.CIQ(InputTicker, "IQ_INVEST_LOANS_CF",Input!N$2,Date,,,Ccy,Conv)</f>
        <v>0</v>
      </c>
      <c r="M217" s="4">
        <f>_xll.ciqfunctions.udf.CIQ(InputTicker, "IQ_INVEST_LOANS_CF",Input!O$2,Date,,,Ccy,Conv)</f>
        <v>0</v>
      </c>
      <c r="N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</row>
    <row r="218" spans="1:66" ht="12.75" customHeight="1" x14ac:dyDescent="0.2">
      <c r="A218" s="1" t="s">
        <v>150</v>
      </c>
      <c r="B218" s="4">
        <f>_xll.ciqfunctions.udf.CIQ(InputTicker, "IQ_OTHER_INVEST_ACT_SUPPL",Input!D$2,Date,,,Ccy,Conv)</f>
        <v>0</v>
      </c>
      <c r="C218" s="4">
        <f>_xll.ciqfunctions.udf.CIQ(InputTicker, "IQ_OTHER_INVEST_ACT_SUPPL",Input!E$2,Date,,,Ccy,Conv)</f>
        <v>0.65</v>
      </c>
      <c r="D218" s="4">
        <f>_xll.ciqfunctions.udf.CIQ(InputTicker, "IQ_OTHER_INVEST_ACT_SUPPL",Input!F$2,Date,,,Ccy,Conv)</f>
        <v>1.097</v>
      </c>
      <c r="E218" s="4">
        <f>_xll.ciqfunctions.udf.CIQ(InputTicker, "IQ_OTHER_INVEST_ACT_SUPPL",Input!G$2,Date,,,Ccy,Conv)</f>
        <v>0</v>
      </c>
      <c r="F218" s="4">
        <f>_xll.ciqfunctions.udf.CIQ(InputTicker, "IQ_OTHER_INVEST_ACT_SUPPL",Input!H$2,Date,,,Ccy,Conv)</f>
        <v>0</v>
      </c>
      <c r="G218" s="4">
        <f>_xll.ciqfunctions.udf.CIQ(InputTicker, "IQ_OTHER_INVEST_ACT_SUPPL",Input!I$2,Date,,,Ccy,Conv)</f>
        <v>0</v>
      </c>
      <c r="H218" s="4">
        <f>_xll.ciqfunctions.udf.CIQ(InputTicker, "IQ_OTHER_INVEST_ACT_SUPPL",Input!J$2,Date,,,Ccy,Conv)</f>
        <v>-0.42699999999999999</v>
      </c>
      <c r="I218" s="4">
        <f>_xll.ciqfunctions.udf.CIQ(InputTicker, "IQ_OTHER_INVEST_ACT_SUPPL",Input!K$2,Date,,,Ccy,Conv)</f>
        <v>0</v>
      </c>
      <c r="J218" s="4">
        <f>_xll.ciqfunctions.udf.CIQ(InputTicker, "IQ_OTHER_INVEST_ACT_SUPPL",Input!L$2,Date,,,Ccy,Conv)</f>
        <v>0</v>
      </c>
      <c r="K218" s="4">
        <f>_xll.ciqfunctions.udf.CIQ(InputTicker, "IQ_OTHER_INVEST_ACT_SUPPL",Input!M$2,Date,,,Ccy,Conv)</f>
        <v>0</v>
      </c>
      <c r="L218" s="4">
        <f>_xll.ciqfunctions.udf.CIQ(InputTicker, "IQ_OTHER_INVEST_ACT_SUPPL",Input!N$2,Date,,,Ccy,Conv)</f>
        <v>0</v>
      </c>
      <c r="M218" s="4">
        <f>_xll.ciqfunctions.udf.CIQ(InputTicker, "IQ_OTHER_INVEST_ACT_SUPPL",Input!O$2,Date,,,Ccy,Conv)</f>
        <v>0</v>
      </c>
      <c r="N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</row>
    <row r="219" spans="1:66" ht="12.75" customHeight="1" thickBot="1" x14ac:dyDescent="0.25">
      <c r="A219" s="5" t="s">
        <v>108</v>
      </c>
      <c r="B219" s="9">
        <f>_xll.ciqfunctions.udf.CIQ(InputTicker, "IQ_CASH_INVEST",Input!D$2,Date,,,Ccy,Conv)</f>
        <v>-117.753</v>
      </c>
      <c r="C219" s="9">
        <f>_xll.ciqfunctions.udf.CIQ(InputTicker, "IQ_CASH_INVEST",Input!E$2,Date,,,Ccy,Conv)</f>
        <v>-300.89600000000002</v>
      </c>
      <c r="D219" s="9">
        <f>_xll.ciqfunctions.udf.CIQ(InputTicker, "IQ_CASH_INVEST",Input!F$2,Date,,,Ccy,Conv)</f>
        <v>-96.453000000000003</v>
      </c>
      <c r="E219" s="9">
        <f>_xll.ciqfunctions.udf.CIQ(InputTicker, "IQ_CASH_INVEST",Input!G$2,Date,,,Ccy,Conv)</f>
        <v>-89.212000000000003</v>
      </c>
      <c r="F219" s="9">
        <f>_xll.ciqfunctions.udf.CIQ(InputTicker, "IQ_CASH_INVEST",Input!H$2,Date,,,Ccy,Conv)</f>
        <v>-128.07900000000001</v>
      </c>
      <c r="G219" s="9">
        <f>_xll.ciqfunctions.udf.CIQ(InputTicker, "IQ_CASH_INVEST",Input!I$2,Date,,,Ccy,Conv)</f>
        <v>-158.28399999999999</v>
      </c>
      <c r="H219" s="9">
        <f>_xll.ciqfunctions.udf.CIQ(InputTicker, "IQ_CASH_INVEST",Input!J$2,Date,,,Ccy,Conv)</f>
        <v>-867.72500000000002</v>
      </c>
      <c r="I219" s="9">
        <f>_xll.ciqfunctions.udf.CIQ(InputTicker, "IQ_CASH_INVEST",Input!K$2,Date,,,Ccy,Conv)</f>
        <v>-468</v>
      </c>
      <c r="J219" s="9">
        <f>_xll.ciqfunctions.udf.CIQ(InputTicker, "IQ_CASH_INVEST",Input!L$2,Date,,,Ccy,Conv)</f>
        <v>-91</v>
      </c>
      <c r="K219" s="9">
        <f>_xll.ciqfunctions.udf.CIQ(InputTicker, "IQ_CASH_INVEST",Input!M$2,Date,,,Ccy,Conv)</f>
        <v>-218</v>
      </c>
      <c r="L219" s="9">
        <f>_xll.ciqfunctions.udf.CIQ(InputTicker, "IQ_CASH_INVEST",Input!N$2,Date,,,Ccy,Conv)</f>
        <v>-300</v>
      </c>
      <c r="M219" s="9">
        <f>_xll.ciqfunctions.udf.CIQ(InputTicker, "IQ_CASH_INVEST",Input!O$2,Date,,,Ccy,Conv)</f>
        <v>-300</v>
      </c>
      <c r="N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</row>
    <row r="220" spans="1:66" ht="12.75" customHeight="1" thickTop="1" x14ac:dyDescent="0.2">
      <c r="A220" s="1" t="s">
        <v>109</v>
      </c>
      <c r="B220" s="4">
        <f>_xll.ciqfunctions.udf.CIQ(InputTicker, "IQ_ST_DEBT_ISSUED",Input!D$2,Date,,,Ccy,Conv)</f>
        <v>0</v>
      </c>
      <c r="C220" s="4">
        <f>_xll.ciqfunctions.udf.CIQ(InputTicker, "IQ_ST_DEBT_ISSUED",Input!E$2,Date,,,Ccy,Conv)</f>
        <v>0</v>
      </c>
      <c r="D220" s="4">
        <f>_xll.ciqfunctions.udf.CIQ(InputTicker, "IQ_ST_DEBT_ISSUED",Input!F$2,Date,,,Ccy,Conv)</f>
        <v>0</v>
      </c>
      <c r="E220" s="4">
        <f>_xll.ciqfunctions.udf.CIQ(InputTicker, "IQ_ST_DEBT_ISSUED",Input!G$2,Date,,,Ccy,Conv)</f>
        <v>0</v>
      </c>
      <c r="F220" s="4">
        <f>_xll.ciqfunctions.udf.CIQ(InputTicker, "IQ_ST_DEBT_ISSUED",Input!H$2,Date,,,Ccy,Conv)</f>
        <v>0</v>
      </c>
      <c r="G220" s="4">
        <f>_xll.ciqfunctions.udf.CIQ(InputTicker, "IQ_ST_DEBT_ISSUED",Input!I$2,Date,,,Ccy,Conv)</f>
        <v>0</v>
      </c>
      <c r="H220" s="4">
        <f>_xll.ciqfunctions.udf.CIQ(InputTicker, "IQ_ST_DEBT_ISSUED",Input!J$2,Date,,,Ccy,Conv)</f>
        <v>0</v>
      </c>
      <c r="I220" s="4">
        <f>_xll.ciqfunctions.udf.CIQ(InputTicker, "IQ_ST_DEBT_ISSUED",Input!K$2,Date,,,Ccy,Conv)</f>
        <v>0</v>
      </c>
      <c r="J220" s="4">
        <f>_xll.ciqfunctions.udf.CIQ(InputTicker, "IQ_ST_DEBT_ISSUED",Input!L$2,Date,,,Ccy,Conv)</f>
        <v>0</v>
      </c>
      <c r="K220" s="4">
        <f>_xll.ciqfunctions.udf.CIQ(InputTicker, "IQ_ST_DEBT_ISSUED",Input!M$2,Date,,,Ccy,Conv)</f>
        <v>0</v>
      </c>
      <c r="L220" s="4">
        <f>_xll.ciqfunctions.udf.CIQ(InputTicker, "IQ_ST_DEBT_ISSUED",Input!N$2,Date,,,Ccy,Conv)</f>
        <v>0</v>
      </c>
      <c r="M220" s="4">
        <f>_xll.ciqfunctions.udf.CIQ(InputTicker, "IQ_ST_DEBT_ISSUED",Input!O$2,Date,,,Ccy,Conv)</f>
        <v>0</v>
      </c>
      <c r="N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</row>
    <row r="221" spans="1:66" ht="12.75" customHeight="1" x14ac:dyDescent="0.2">
      <c r="A221" s="1" t="s">
        <v>110</v>
      </c>
      <c r="B221" s="4">
        <f>_xll.ciqfunctions.udf.CIQ(InputTicker, "IQ_LT_DEBT_ISSUED",Input!D$2,Date,,,Ccy,Conv)</f>
        <v>273</v>
      </c>
      <c r="C221" s="4">
        <f>_xll.ciqfunctions.udf.CIQ(InputTicker, "IQ_LT_DEBT_ISSUED",Input!E$2,Date,,,Ccy,Conv)</f>
        <v>1019.383</v>
      </c>
      <c r="D221" s="4">
        <f>_xll.ciqfunctions.udf.CIQ(InputTicker, "IQ_LT_DEBT_ISSUED",Input!F$2,Date,,,Ccy,Conv)</f>
        <v>467.678</v>
      </c>
      <c r="E221" s="4">
        <f>_xll.ciqfunctions.udf.CIQ(InputTicker, "IQ_LT_DEBT_ISSUED",Input!G$2,Date,,,Ccy,Conv)</f>
        <v>102.071</v>
      </c>
      <c r="F221" s="4">
        <f>_xll.ciqfunctions.udf.CIQ(InputTicker, "IQ_LT_DEBT_ISSUED",Input!H$2,Date,,,Ccy,Conv)</f>
        <v>497.89100000000002</v>
      </c>
      <c r="G221" s="4">
        <f>_xll.ciqfunctions.udf.CIQ(InputTicker, "IQ_LT_DEBT_ISSUED",Input!I$2,Date,,,Ccy,Conv)</f>
        <v>691.49599999999998</v>
      </c>
      <c r="H221" s="4">
        <f>_xll.ciqfunctions.udf.CIQ(InputTicker, "IQ_LT_DEBT_ISSUED",Input!J$2,Date,,,Ccy,Conv)</f>
        <v>547.02700000000004</v>
      </c>
      <c r="I221" s="4">
        <f>_xll.ciqfunctions.udf.CIQ(InputTicker, "IQ_LT_DEBT_ISSUED",Input!K$2,Date,,,Ccy,Conv)</f>
        <v>415</v>
      </c>
      <c r="J221" s="4">
        <f>_xll.ciqfunctions.udf.CIQ(InputTicker, "IQ_LT_DEBT_ISSUED",Input!L$2,Date,,,Ccy,Conv)</f>
        <v>1136</v>
      </c>
      <c r="K221" s="4">
        <f>_xll.ciqfunctions.udf.CIQ(InputTicker, "IQ_LT_DEBT_ISSUED",Input!M$2,Date,,,Ccy,Conv)</f>
        <v>844</v>
      </c>
      <c r="L221" s="4">
        <f>_xll.ciqfunctions.udf.CIQ(InputTicker, "IQ_LT_DEBT_ISSUED",Input!N$2,Date,,,Ccy,Conv)</f>
        <v>0</v>
      </c>
      <c r="M221" s="4">
        <f>_xll.ciqfunctions.udf.CIQ(InputTicker, "IQ_LT_DEBT_ISSUED",Input!O$2,Date,,,Ccy,Conv)</f>
        <v>0</v>
      </c>
      <c r="N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</row>
    <row r="222" spans="1:66" ht="12.75" customHeight="1" x14ac:dyDescent="0.2">
      <c r="A222" s="5" t="s">
        <v>111</v>
      </c>
      <c r="B222" s="6">
        <f>_xll.ciqfunctions.udf.CIQ(InputTicker, "IQ_TOTAL_DEBT_ISSUED",Input!D$2,Date,,,Ccy,Conv)</f>
        <v>273</v>
      </c>
      <c r="C222" s="6">
        <f>_xll.ciqfunctions.udf.CIQ(InputTicker, "IQ_TOTAL_DEBT_ISSUED",Input!E$2,Date,,,Ccy,Conv)</f>
        <v>1019.383</v>
      </c>
      <c r="D222" s="6">
        <f>_xll.ciqfunctions.udf.CIQ(InputTicker, "IQ_TOTAL_DEBT_ISSUED",Input!F$2,Date,,,Ccy,Conv)</f>
        <v>467.678</v>
      </c>
      <c r="E222" s="6">
        <f>_xll.ciqfunctions.udf.CIQ(InputTicker, "IQ_TOTAL_DEBT_ISSUED",Input!G$2,Date,,,Ccy,Conv)</f>
        <v>102.071</v>
      </c>
      <c r="F222" s="6">
        <f>_xll.ciqfunctions.udf.CIQ(InputTicker, "IQ_TOTAL_DEBT_ISSUED",Input!H$2,Date,,,Ccy,Conv)</f>
        <v>497.89100000000002</v>
      </c>
      <c r="G222" s="6">
        <f>_xll.ciqfunctions.udf.CIQ(InputTicker, "IQ_TOTAL_DEBT_ISSUED",Input!I$2,Date,,,Ccy,Conv)</f>
        <v>691.49599999999998</v>
      </c>
      <c r="H222" s="6">
        <f>_xll.ciqfunctions.udf.CIQ(InputTicker, "IQ_TOTAL_DEBT_ISSUED",Input!J$2,Date,,,Ccy,Conv)</f>
        <v>547.02700000000004</v>
      </c>
      <c r="I222" s="6">
        <f>_xll.ciqfunctions.udf.CIQ(InputTicker, "IQ_TOTAL_DEBT_ISSUED",Input!K$2,Date,,,Ccy,Conv)</f>
        <v>415</v>
      </c>
      <c r="J222" s="6">
        <f>_xll.ciqfunctions.udf.CIQ(InputTicker, "IQ_TOTAL_DEBT_ISSUED",Input!L$2,Date,,,Ccy,Conv)</f>
        <v>1136</v>
      </c>
      <c r="K222" s="6">
        <f>_xll.ciqfunctions.udf.CIQ(InputTicker, "IQ_TOTAL_DEBT_ISSUED",Input!M$2,Date,,,Ccy,Conv)</f>
        <v>844</v>
      </c>
      <c r="L222" s="6">
        <f>_xll.ciqfunctions.udf.CIQ(InputTicker, "IQ_TOTAL_DEBT_ISSUED",Input!N$2,Date,,,Ccy,Conv)</f>
        <v>0</v>
      </c>
      <c r="M222" s="6">
        <f>_xll.ciqfunctions.udf.CIQ(InputTicker, "IQ_TOTAL_DEBT_ISSUED",Input!O$2,Date,,,Ccy,Conv)</f>
        <v>0</v>
      </c>
      <c r="N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</row>
    <row r="223" spans="1:66" ht="12.75" customHeight="1" x14ac:dyDescent="0.2">
      <c r="A223" s="1" t="s">
        <v>112</v>
      </c>
      <c r="B223" s="4">
        <f>_xll.ciqfunctions.udf.CIQ(InputTicker, "IQ_ST_DEBT_REPAID",Input!D$2,Date,,,Ccy,Conv)</f>
        <v>0</v>
      </c>
      <c r="C223" s="4">
        <f>_xll.ciqfunctions.udf.CIQ(InputTicker, "IQ_ST_DEBT_REPAID",Input!E$2,Date,,,Ccy,Conv)</f>
        <v>0</v>
      </c>
      <c r="D223" s="4">
        <f>_xll.ciqfunctions.udf.CIQ(InputTicker, "IQ_ST_DEBT_REPAID",Input!F$2,Date,,,Ccy,Conv)</f>
        <v>0</v>
      </c>
      <c r="E223" s="4">
        <f>_xll.ciqfunctions.udf.CIQ(InputTicker, "IQ_ST_DEBT_REPAID",Input!G$2,Date,,,Ccy,Conv)</f>
        <v>0</v>
      </c>
      <c r="F223" s="4">
        <f>_xll.ciqfunctions.udf.CIQ(InputTicker, "IQ_ST_DEBT_REPAID",Input!H$2,Date,,,Ccy,Conv)</f>
        <v>0</v>
      </c>
      <c r="G223" s="4">
        <f>_xll.ciqfunctions.udf.CIQ(InputTicker, "IQ_ST_DEBT_REPAID",Input!I$2,Date,,,Ccy,Conv)</f>
        <v>0</v>
      </c>
      <c r="H223" s="4">
        <f>_xll.ciqfunctions.udf.CIQ(InputTicker, "IQ_ST_DEBT_REPAID",Input!J$2,Date,,,Ccy,Conv)</f>
        <v>0</v>
      </c>
      <c r="I223" s="4">
        <f>_xll.ciqfunctions.udf.CIQ(InputTicker, "IQ_ST_DEBT_REPAID",Input!K$2,Date,,,Ccy,Conv)</f>
        <v>0</v>
      </c>
      <c r="J223" s="4">
        <f>_xll.ciqfunctions.udf.CIQ(InputTicker, "IQ_ST_DEBT_REPAID",Input!L$2,Date,,,Ccy,Conv)</f>
        <v>0</v>
      </c>
      <c r="K223" s="4">
        <f>_xll.ciqfunctions.udf.CIQ(InputTicker, "IQ_ST_DEBT_REPAID",Input!M$2,Date,,,Ccy,Conv)</f>
        <v>0</v>
      </c>
      <c r="L223" s="4">
        <f>_xll.ciqfunctions.udf.CIQ(InputTicker, "IQ_ST_DEBT_REPAID",Input!N$2,Date,,,Ccy,Conv)</f>
        <v>0</v>
      </c>
      <c r="M223" s="4">
        <f>_xll.ciqfunctions.udf.CIQ(InputTicker, "IQ_ST_DEBT_REPAID",Input!O$2,Date,,,Ccy,Conv)</f>
        <v>0</v>
      </c>
      <c r="N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</row>
    <row r="224" spans="1:66" ht="12.75" customHeight="1" x14ac:dyDescent="0.2">
      <c r="A224" s="1" t="s">
        <v>113</v>
      </c>
      <c r="B224" s="4">
        <f>_xll.ciqfunctions.udf.CIQ(InputTicker, "IQ_LT_DEBT_REPAID",Input!D$2,Date,,,Ccy,Conv)</f>
        <v>-295.06299999999999</v>
      </c>
      <c r="C224" s="4">
        <f>_xll.ciqfunctions.udf.CIQ(InputTicker, "IQ_LT_DEBT_REPAID",Input!E$2,Date,,,Ccy,Conv)</f>
        <v>-968.32500000000005</v>
      </c>
      <c r="D224" s="4">
        <f>_xll.ciqfunctions.udf.CIQ(InputTicker, "IQ_LT_DEBT_REPAID",Input!F$2,Date,,,Ccy,Conv)</f>
        <v>-317.149</v>
      </c>
      <c r="E224" s="4">
        <f>_xll.ciqfunctions.udf.CIQ(InputTicker, "IQ_LT_DEBT_REPAID",Input!G$2,Date,,,Ccy,Conv)</f>
        <v>-170.512</v>
      </c>
      <c r="F224" s="4">
        <f>_xll.ciqfunctions.udf.CIQ(InputTicker, "IQ_LT_DEBT_REPAID",Input!H$2,Date,,,Ccy,Conv)</f>
        <v>-76.921999999999997</v>
      </c>
      <c r="G224" s="4">
        <f>_xll.ciqfunctions.udf.CIQ(InputTicker, "IQ_LT_DEBT_REPAID",Input!I$2,Date,,,Ccy,Conv)</f>
        <v>-527.86500000000001</v>
      </c>
      <c r="H224" s="4">
        <f>_xll.ciqfunctions.udf.CIQ(InputTicker, "IQ_LT_DEBT_REPAID",Input!J$2,Date,,,Ccy,Conv)</f>
        <v>-112.25700000000001</v>
      </c>
      <c r="I224" s="4">
        <f>_xll.ciqfunctions.udf.CIQ(InputTicker, "IQ_LT_DEBT_REPAID",Input!K$2,Date,,,Ccy,Conv)</f>
        <v>-417</v>
      </c>
      <c r="J224" s="4">
        <f>_xll.ciqfunctions.udf.CIQ(InputTicker, "IQ_LT_DEBT_REPAID",Input!L$2,Date,,,Ccy,Conv)</f>
        <v>-541</v>
      </c>
      <c r="K224" s="4">
        <f>_xll.ciqfunctions.udf.CIQ(InputTicker, "IQ_LT_DEBT_REPAID",Input!M$2,Date,,,Ccy,Conv)</f>
        <v>-262</v>
      </c>
      <c r="L224" s="4">
        <f>_xll.ciqfunctions.udf.CIQ(InputTicker, "IQ_LT_DEBT_REPAID",Input!N$2,Date,,,Ccy,Conv)</f>
        <v>-69</v>
      </c>
      <c r="M224" s="4">
        <f>_xll.ciqfunctions.udf.CIQ(InputTicker, "IQ_LT_DEBT_REPAID",Input!O$2,Date,,,Ccy,Conv)</f>
        <v>-69</v>
      </c>
      <c r="N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</row>
    <row r="225" spans="1:66" ht="12.75" customHeight="1" x14ac:dyDescent="0.2">
      <c r="A225" s="5" t="s">
        <v>114</v>
      </c>
      <c r="B225" s="6">
        <f>_xll.ciqfunctions.udf.CIQ(InputTicker, "IQ_TOTAL_DEBT_REPAID",Input!D$2,Date,,,Ccy,Conv)</f>
        <v>-295.06299999999999</v>
      </c>
      <c r="C225" s="6">
        <f>_xll.ciqfunctions.udf.CIQ(InputTicker, "IQ_TOTAL_DEBT_REPAID",Input!E$2,Date,,,Ccy,Conv)</f>
        <v>-968.32500000000005</v>
      </c>
      <c r="D225" s="6">
        <f>_xll.ciqfunctions.udf.CIQ(InputTicker, "IQ_TOTAL_DEBT_REPAID",Input!F$2,Date,,,Ccy,Conv)</f>
        <v>-317.149</v>
      </c>
      <c r="E225" s="6">
        <f>_xll.ciqfunctions.udf.CIQ(InputTicker, "IQ_TOTAL_DEBT_REPAID",Input!G$2,Date,,,Ccy,Conv)</f>
        <v>-170.512</v>
      </c>
      <c r="F225" s="6">
        <f>_xll.ciqfunctions.udf.CIQ(InputTicker, "IQ_TOTAL_DEBT_REPAID",Input!H$2,Date,,,Ccy,Conv)</f>
        <v>-76.921999999999997</v>
      </c>
      <c r="G225" s="6">
        <f>_xll.ciqfunctions.udf.CIQ(InputTicker, "IQ_TOTAL_DEBT_REPAID",Input!I$2,Date,,,Ccy,Conv)</f>
        <v>-527.86500000000001</v>
      </c>
      <c r="H225" s="6">
        <f>_xll.ciqfunctions.udf.CIQ(InputTicker, "IQ_TOTAL_DEBT_REPAID",Input!J$2,Date,,,Ccy,Conv)</f>
        <v>-112.25700000000001</v>
      </c>
      <c r="I225" s="6">
        <f>_xll.ciqfunctions.udf.CIQ(InputTicker, "IQ_TOTAL_DEBT_REPAID",Input!K$2,Date,,,Ccy,Conv)</f>
        <v>-417</v>
      </c>
      <c r="J225" s="6">
        <f>_xll.ciqfunctions.udf.CIQ(InputTicker, "IQ_TOTAL_DEBT_REPAID",Input!L$2,Date,,,Ccy,Conv)</f>
        <v>-541</v>
      </c>
      <c r="K225" s="6">
        <f>_xll.ciqfunctions.udf.CIQ(InputTicker, "IQ_TOTAL_DEBT_REPAID",Input!M$2,Date,,,Ccy,Conv)</f>
        <v>-262</v>
      </c>
      <c r="L225" s="6">
        <f>_xll.ciqfunctions.udf.CIQ(InputTicker, "IQ_TOTAL_DEBT_REPAID",Input!N$2,Date,,,Ccy,Conv)</f>
        <v>-69</v>
      </c>
      <c r="M225" s="6">
        <f>_xll.ciqfunctions.udf.CIQ(InputTicker, "IQ_TOTAL_DEBT_REPAID",Input!O$2,Date,,,Ccy,Conv)</f>
        <v>-69</v>
      </c>
      <c r="N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</row>
    <row r="226" spans="1:66" ht="12.75" customHeight="1" x14ac:dyDescent="0.2">
      <c r="A226" s="1" t="s">
        <v>115</v>
      </c>
      <c r="B226" s="4">
        <f>_xll.ciqfunctions.udf.CIQ(InputTicker, "IQ_COMMON_ISSUED",Input!D$2,Date,,,Ccy,Conv)</f>
        <v>13.939</v>
      </c>
      <c r="C226" s="4">
        <f>_xll.ciqfunctions.udf.CIQ(InputTicker, "IQ_COMMON_ISSUED",Input!E$2,Date,,,Ccy,Conv)</f>
        <v>21.001000000000001</v>
      </c>
      <c r="D226" s="4">
        <f>_xll.ciqfunctions.udf.CIQ(InputTicker, "IQ_COMMON_ISSUED",Input!F$2,Date,,,Ccy,Conv)</f>
        <v>21.001999999999999</v>
      </c>
      <c r="E226" s="4">
        <f>_xll.ciqfunctions.udf.CIQ(InputTicker, "IQ_COMMON_ISSUED",Input!G$2,Date,,,Ccy,Conv)</f>
        <v>23.382000000000001</v>
      </c>
      <c r="F226" s="4">
        <f>_xll.ciqfunctions.udf.CIQ(InputTicker, "IQ_COMMON_ISSUED",Input!H$2,Date,,,Ccy,Conv)</f>
        <v>23.911999999999999</v>
      </c>
      <c r="G226" s="4">
        <f>_xll.ciqfunctions.udf.CIQ(InputTicker, "IQ_COMMON_ISSUED",Input!I$2,Date,,,Ccy,Conv)</f>
        <v>31.155000000000001</v>
      </c>
      <c r="H226" s="4">
        <f>_xll.ciqfunctions.udf.CIQ(InputTicker, "IQ_COMMON_ISSUED",Input!J$2,Date,,,Ccy,Conv)</f>
        <v>29.3</v>
      </c>
      <c r="I226" s="4">
        <f>_xll.ciqfunctions.udf.CIQ(InputTicker, "IQ_COMMON_ISSUED",Input!K$2,Date,,,Ccy,Conv)</f>
        <v>36</v>
      </c>
      <c r="J226" s="4">
        <f>_xll.ciqfunctions.udf.CIQ(InputTicker, "IQ_COMMON_ISSUED",Input!L$2,Date,,,Ccy,Conv)</f>
        <v>44</v>
      </c>
      <c r="K226" s="4">
        <f>_xll.ciqfunctions.udf.CIQ(InputTicker, "IQ_COMMON_ISSUED",Input!M$2,Date,,,Ccy,Conv)</f>
        <v>38</v>
      </c>
      <c r="L226" s="4">
        <f>_xll.ciqfunctions.udf.CIQ(InputTicker, "IQ_COMMON_ISSUED",Input!N$2,Date,,,Ccy,Conv)</f>
        <v>45</v>
      </c>
      <c r="M226" s="4">
        <f>_xll.ciqfunctions.udf.CIQ(InputTicker, "IQ_COMMON_ISSUED",Input!O$2,Date,,,Ccy,Conv)</f>
        <v>45</v>
      </c>
      <c r="N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</row>
    <row r="227" spans="1:66" ht="12.75" customHeight="1" x14ac:dyDescent="0.2">
      <c r="A227" s="1" t="s">
        <v>116</v>
      </c>
      <c r="B227" s="4">
        <f>_xll.ciqfunctions.udf.CIQ(InputTicker, "IQ_COMMON_REP",Input!D$2,Date,,,Ccy,Conv)</f>
        <v>-63.152000000000001</v>
      </c>
      <c r="C227" s="4">
        <f>_xll.ciqfunctions.udf.CIQ(InputTicker, "IQ_COMMON_REP",Input!E$2,Date,,,Ccy,Conv)</f>
        <v>-46.548000000000002</v>
      </c>
      <c r="D227" s="4">
        <f>_xll.ciqfunctions.udf.CIQ(InputTicker, "IQ_COMMON_REP",Input!F$2,Date,,,Ccy,Conv)</f>
        <v>-270.31799999999998</v>
      </c>
      <c r="E227" s="4">
        <f>_xll.ciqfunctions.udf.CIQ(InputTicker, "IQ_COMMON_REP",Input!G$2,Date,,,Ccy,Conv)</f>
        <v>-252.82400000000001</v>
      </c>
      <c r="F227" s="4">
        <f>_xll.ciqfunctions.udf.CIQ(InputTicker, "IQ_COMMON_REP",Input!H$2,Date,,,Ccy,Conv)</f>
        <v>-182.22399999999999</v>
      </c>
      <c r="G227" s="4">
        <f>_xll.ciqfunctions.udf.CIQ(InputTicker, "IQ_COMMON_REP",Input!I$2,Date,,,Ccy,Conv)</f>
        <v>-313.39699999999999</v>
      </c>
      <c r="H227" s="4">
        <f>_xll.ciqfunctions.udf.CIQ(InputTicker, "IQ_COMMON_REP",Input!J$2,Date,,,Ccy,Conv)</f>
        <v>-418.85899999999998</v>
      </c>
      <c r="I227" s="4">
        <f>_xll.ciqfunctions.udf.CIQ(InputTicker, "IQ_COMMON_REP",Input!K$2,Date,,,Ccy,Conv)</f>
        <v>-224</v>
      </c>
      <c r="J227" s="4">
        <f>_xll.ciqfunctions.udf.CIQ(InputTicker, "IQ_COMMON_REP",Input!L$2,Date,,,Ccy,Conv)</f>
        <v>-404</v>
      </c>
      <c r="K227" s="4">
        <f>_xll.ciqfunctions.udf.CIQ(InputTicker, "IQ_COMMON_REP",Input!M$2,Date,,,Ccy,Conv)</f>
        <v>-812</v>
      </c>
      <c r="L227" s="4">
        <f>_xll.ciqfunctions.udf.CIQ(InputTicker, "IQ_COMMON_REP",Input!N$2,Date,,,Ccy,Conv)</f>
        <v>-598</v>
      </c>
      <c r="M227" s="4">
        <f>_xll.ciqfunctions.udf.CIQ(InputTicker, "IQ_COMMON_REP",Input!O$2,Date,,,Ccy,Conv)</f>
        <v>-598</v>
      </c>
      <c r="N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</row>
    <row r="228" spans="1:66" ht="12.75" customHeight="1" x14ac:dyDescent="0.2">
      <c r="A228" s="1" t="s">
        <v>117</v>
      </c>
      <c r="B228" s="4">
        <f>_xll.ciqfunctions.udf.CIQ(InputTicker, "IQ_PREF_ISSUED",Input!D$2,Date,,,Ccy,Conv)</f>
        <v>0</v>
      </c>
      <c r="C228" s="4">
        <f>_xll.ciqfunctions.udf.CIQ(InputTicker, "IQ_PREF_ISSUED",Input!E$2,Date,,,Ccy,Conv)</f>
        <v>0</v>
      </c>
      <c r="D228" s="4">
        <f>_xll.ciqfunctions.udf.CIQ(InputTicker, "IQ_PREF_ISSUED",Input!F$2,Date,,,Ccy,Conv)</f>
        <v>0</v>
      </c>
      <c r="E228" s="4">
        <f>_xll.ciqfunctions.udf.CIQ(InputTicker, "IQ_PREF_ISSUED",Input!G$2,Date,,,Ccy,Conv)</f>
        <v>0</v>
      </c>
      <c r="F228" s="4">
        <f>_xll.ciqfunctions.udf.CIQ(InputTicker, "IQ_PREF_ISSUED",Input!H$2,Date,,,Ccy,Conv)</f>
        <v>0</v>
      </c>
      <c r="G228" s="4">
        <f>_xll.ciqfunctions.udf.CIQ(InputTicker, "IQ_PREF_ISSUED",Input!I$2,Date,,,Ccy,Conv)</f>
        <v>0</v>
      </c>
      <c r="H228" s="4">
        <f>_xll.ciqfunctions.udf.CIQ(InputTicker, "IQ_PREF_ISSUED",Input!J$2,Date,,,Ccy,Conv)</f>
        <v>0</v>
      </c>
      <c r="I228" s="4">
        <f>_xll.ciqfunctions.udf.CIQ(InputTicker, "IQ_PREF_ISSUED",Input!K$2,Date,,,Ccy,Conv)</f>
        <v>0</v>
      </c>
      <c r="J228" s="4">
        <f>_xll.ciqfunctions.udf.CIQ(InputTicker, "IQ_PREF_ISSUED",Input!L$2,Date,,,Ccy,Conv)</f>
        <v>0</v>
      </c>
      <c r="K228" s="4">
        <f>_xll.ciqfunctions.udf.CIQ(InputTicker, "IQ_PREF_ISSUED",Input!M$2,Date,,,Ccy,Conv)</f>
        <v>0</v>
      </c>
      <c r="L228" s="4">
        <f>_xll.ciqfunctions.udf.CIQ(InputTicker, "IQ_PREF_ISSUED",Input!N$2,Date,,,Ccy,Conv)</f>
        <v>0</v>
      </c>
      <c r="M228" s="4">
        <f>_xll.ciqfunctions.udf.CIQ(InputTicker, "IQ_PREF_ISSUED",Input!O$2,Date,,,Ccy,Conv)</f>
        <v>0</v>
      </c>
      <c r="N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</row>
    <row r="229" spans="1:66" ht="12.75" customHeight="1" x14ac:dyDescent="0.2">
      <c r="A229" s="1" t="s">
        <v>118</v>
      </c>
      <c r="B229" s="4">
        <f>_xll.ciqfunctions.udf.CIQ(InputTicker, "IQ_PREF_REP",Input!D$2,Date,,,Ccy,Conv)</f>
        <v>0</v>
      </c>
      <c r="C229" s="4">
        <f>_xll.ciqfunctions.udf.CIQ(InputTicker, "IQ_PREF_REP",Input!E$2,Date,,,Ccy,Conv)</f>
        <v>0</v>
      </c>
      <c r="D229" s="4">
        <f>_xll.ciqfunctions.udf.CIQ(InputTicker, "IQ_PREF_REP",Input!F$2,Date,,,Ccy,Conv)</f>
        <v>0</v>
      </c>
      <c r="E229" s="4">
        <f>_xll.ciqfunctions.udf.CIQ(InputTicker, "IQ_PREF_REP",Input!G$2,Date,,,Ccy,Conv)</f>
        <v>0</v>
      </c>
      <c r="F229" s="4">
        <f>_xll.ciqfunctions.udf.CIQ(InputTicker, "IQ_PREF_REP",Input!H$2,Date,,,Ccy,Conv)</f>
        <v>0</v>
      </c>
      <c r="G229" s="4">
        <f>_xll.ciqfunctions.udf.CIQ(InputTicker, "IQ_PREF_REP",Input!I$2,Date,,,Ccy,Conv)</f>
        <v>0</v>
      </c>
      <c r="H229" s="4">
        <f>_xll.ciqfunctions.udf.CIQ(InputTicker, "IQ_PREF_REP",Input!J$2,Date,,,Ccy,Conv)</f>
        <v>0</v>
      </c>
      <c r="I229" s="4">
        <f>_xll.ciqfunctions.udf.CIQ(InputTicker, "IQ_PREF_REP",Input!K$2,Date,,,Ccy,Conv)</f>
        <v>0</v>
      </c>
      <c r="J229" s="4">
        <f>_xll.ciqfunctions.udf.CIQ(InputTicker, "IQ_PREF_REP",Input!L$2,Date,,,Ccy,Conv)</f>
        <v>0</v>
      </c>
      <c r="K229" s="4">
        <f>_xll.ciqfunctions.udf.CIQ(InputTicker, "IQ_PREF_REP",Input!M$2,Date,,,Ccy,Conv)</f>
        <v>0</v>
      </c>
      <c r="L229" s="4">
        <f>_xll.ciqfunctions.udf.CIQ(InputTicker, "IQ_PREF_REP",Input!N$2,Date,,,Ccy,Conv)</f>
        <v>0</v>
      </c>
      <c r="M229" s="4">
        <f>_xll.ciqfunctions.udf.CIQ(InputTicker, "IQ_PREF_REP",Input!O$2,Date,,,Ccy,Conv)</f>
        <v>0</v>
      </c>
      <c r="N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</row>
    <row r="230" spans="1:66" ht="12.75" customHeight="1" x14ac:dyDescent="0.2">
      <c r="A230" s="1" t="s">
        <v>151</v>
      </c>
      <c r="B230" s="4">
        <f>_xll.ciqfunctions.udf.CIQ(InputTicker, "IQ_COMMON_DIV_CF",Input!D$2,Date,,,Ccy,Conv)</f>
        <v>-80.015000000000001</v>
      </c>
      <c r="C230" s="4">
        <f>_xll.ciqfunctions.udf.CIQ(InputTicker, "IQ_COMMON_DIV_CF",Input!E$2,Date,,,Ccy,Conv)</f>
        <v>-92.924999999999997</v>
      </c>
      <c r="D230" s="4">
        <f>_xll.ciqfunctions.udf.CIQ(InputTicker, "IQ_COMMON_DIV_CF",Input!F$2,Date,,,Ccy,Conv)</f>
        <v>-103.411</v>
      </c>
      <c r="E230" s="4">
        <f>_xll.ciqfunctions.udf.CIQ(InputTicker, "IQ_COMMON_DIV_CF",Input!G$2,Date,,,Ccy,Conv)</f>
        <v>-114.23399999999999</v>
      </c>
      <c r="F230" s="4">
        <f>_xll.ciqfunctions.udf.CIQ(InputTicker, "IQ_COMMON_DIV_CF",Input!H$2,Date,,,Ccy,Conv)</f>
        <v>-146.602</v>
      </c>
      <c r="G230" s="4">
        <f>_xll.ciqfunctions.udf.CIQ(InputTicker, "IQ_COMMON_DIV_CF",Input!I$2,Date,,,Ccy,Conv)</f>
        <v>-181.066</v>
      </c>
      <c r="H230" s="4">
        <f>_xll.ciqfunctions.udf.CIQ(InputTicker, "IQ_COMMON_DIV_CF",Input!J$2,Date,,,Ccy,Conv)</f>
        <v>-209.05699999999999</v>
      </c>
      <c r="I230" s="4">
        <f>_xll.ciqfunctions.udf.CIQ(InputTicker, "IQ_COMMON_DIV_CF",Input!K$2,Date,,,Ccy,Conv)</f>
        <v>-236</v>
      </c>
      <c r="J230" s="4">
        <f>_xll.ciqfunctions.udf.CIQ(InputTicker, "IQ_COMMON_DIV_CF",Input!L$2,Date,,,Ccy,Conv)</f>
        <v>-254</v>
      </c>
      <c r="K230" s="4">
        <f>_xll.ciqfunctions.udf.CIQ(InputTicker, "IQ_COMMON_DIV_CF",Input!M$2,Date,,,Ccy,Conv)</f>
        <v>-268</v>
      </c>
      <c r="L230" s="4">
        <f>_xll.ciqfunctions.udf.CIQ(InputTicker, "IQ_COMMON_DIV_CF",Input!N$2,Date,,,Ccy,Conv)</f>
        <v>-276</v>
      </c>
      <c r="M230" s="4">
        <f>_xll.ciqfunctions.udf.CIQ(InputTicker, "IQ_COMMON_DIV_CF",Input!O$2,Date,,,Ccy,Conv)</f>
        <v>-276</v>
      </c>
      <c r="N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</row>
    <row r="231" spans="1:66" ht="12.75" customHeight="1" x14ac:dyDescent="0.2">
      <c r="A231" s="1" t="s">
        <v>152</v>
      </c>
      <c r="B231" s="4">
        <f>_xll.ciqfunctions.udf.CIQ(InputTicker, "IQ_PREF_DIV_CF",Input!D$2,Date,,,Ccy,Conv)</f>
        <v>0</v>
      </c>
      <c r="C231" s="4">
        <f>_xll.ciqfunctions.udf.CIQ(InputTicker, "IQ_PREF_DIV_CF",Input!E$2,Date,,,Ccy,Conv)</f>
        <v>0</v>
      </c>
      <c r="D231" s="4">
        <f>_xll.ciqfunctions.udf.CIQ(InputTicker, "IQ_PREF_DIV_CF",Input!F$2,Date,,,Ccy,Conv)</f>
        <v>0</v>
      </c>
      <c r="E231" s="4">
        <f>_xll.ciqfunctions.udf.CIQ(InputTicker, "IQ_PREF_DIV_CF",Input!G$2,Date,,,Ccy,Conv)</f>
        <v>0</v>
      </c>
      <c r="F231" s="4">
        <f>_xll.ciqfunctions.udf.CIQ(InputTicker, "IQ_PREF_DIV_CF",Input!H$2,Date,,,Ccy,Conv)</f>
        <v>0</v>
      </c>
      <c r="G231" s="4">
        <f>_xll.ciqfunctions.udf.CIQ(InputTicker, "IQ_PREF_DIV_CF",Input!I$2,Date,,,Ccy,Conv)</f>
        <v>0</v>
      </c>
      <c r="H231" s="4">
        <f>_xll.ciqfunctions.udf.CIQ(InputTicker, "IQ_PREF_DIV_CF",Input!J$2,Date,,,Ccy,Conv)</f>
        <v>0</v>
      </c>
      <c r="I231" s="4">
        <f>_xll.ciqfunctions.udf.CIQ(InputTicker, "IQ_PREF_DIV_CF",Input!K$2,Date,,,Ccy,Conv)</f>
        <v>0</v>
      </c>
      <c r="J231" s="4">
        <f>_xll.ciqfunctions.udf.CIQ(InputTicker, "IQ_PREF_DIV_CF",Input!L$2,Date,,,Ccy,Conv)</f>
        <v>0</v>
      </c>
      <c r="K231" s="4">
        <f>_xll.ciqfunctions.udf.CIQ(InputTicker, "IQ_PREF_DIV_CF",Input!M$2,Date,,,Ccy,Conv)</f>
        <v>0</v>
      </c>
      <c r="L231" s="4">
        <f>_xll.ciqfunctions.udf.CIQ(InputTicker, "IQ_PREF_DIV_CF",Input!N$2,Date,,,Ccy,Conv)</f>
        <v>0</v>
      </c>
      <c r="M231" s="4">
        <f>_xll.ciqfunctions.udf.CIQ(InputTicker, "IQ_PREF_DIV_CF",Input!O$2,Date,,,Ccy,Conv)</f>
        <v>0</v>
      </c>
      <c r="N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</row>
    <row r="232" spans="1:66" ht="12.75" customHeight="1" x14ac:dyDescent="0.2">
      <c r="A232" s="1" t="s">
        <v>153</v>
      </c>
      <c r="B232" s="4">
        <f>_xll.ciqfunctions.udf.CIQ(InputTicker, "IQ_COMMON_PREF_DIV_CF",Input!D$2,Date,,,Ccy,Conv)</f>
        <v>0</v>
      </c>
      <c r="C232" s="4">
        <f>_xll.ciqfunctions.udf.CIQ(InputTicker, "IQ_COMMON_PREF_DIV_CF",Input!E$2,Date,,,Ccy,Conv)</f>
        <v>0</v>
      </c>
      <c r="D232" s="4">
        <f>_xll.ciqfunctions.udf.CIQ(InputTicker, "IQ_COMMON_PREF_DIV_CF",Input!F$2,Date,,,Ccy,Conv)</f>
        <v>0</v>
      </c>
      <c r="E232" s="4">
        <f>_xll.ciqfunctions.udf.CIQ(InputTicker, "IQ_COMMON_PREF_DIV_CF",Input!G$2,Date,,,Ccy,Conv)</f>
        <v>0</v>
      </c>
      <c r="F232" s="4">
        <f>_xll.ciqfunctions.udf.CIQ(InputTicker, "IQ_COMMON_PREF_DIV_CF",Input!H$2,Date,,,Ccy,Conv)</f>
        <v>0</v>
      </c>
      <c r="G232" s="4">
        <f>_xll.ciqfunctions.udf.CIQ(InputTicker, "IQ_COMMON_PREF_DIV_CF",Input!I$2,Date,,,Ccy,Conv)</f>
        <v>0</v>
      </c>
      <c r="H232" s="4">
        <f>_xll.ciqfunctions.udf.CIQ(InputTicker, "IQ_COMMON_PREF_DIV_CF",Input!J$2,Date,,,Ccy,Conv)</f>
        <v>0</v>
      </c>
      <c r="I232" s="4">
        <f>_xll.ciqfunctions.udf.CIQ(InputTicker, "IQ_COMMON_PREF_DIV_CF",Input!K$2,Date,,,Ccy,Conv)</f>
        <v>0</v>
      </c>
      <c r="J232" s="4">
        <f>_xll.ciqfunctions.udf.CIQ(InputTicker, "IQ_COMMON_PREF_DIV_CF",Input!L$2,Date,,,Ccy,Conv)</f>
        <v>0</v>
      </c>
      <c r="K232" s="4">
        <f>_xll.ciqfunctions.udf.CIQ(InputTicker, "IQ_COMMON_PREF_DIV_CF",Input!M$2,Date,,,Ccy,Conv)</f>
        <v>0</v>
      </c>
      <c r="L232" s="4">
        <f>_xll.ciqfunctions.udf.CIQ(InputTicker, "IQ_COMMON_PREF_DIV_CF",Input!N$2,Date,,,Ccy,Conv)</f>
        <v>0</v>
      </c>
      <c r="M232" s="4">
        <f>_xll.ciqfunctions.udf.CIQ(InputTicker, "IQ_COMMON_PREF_DIV_CF",Input!O$2,Date,,,Ccy,Conv)</f>
        <v>0</v>
      </c>
      <c r="N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</row>
    <row r="233" spans="1:66" ht="12.75" customHeight="1" x14ac:dyDescent="0.2">
      <c r="A233" s="1" t="s">
        <v>119</v>
      </c>
      <c r="B233" s="6">
        <f>_xll.ciqfunctions.udf.CIQ(InputTicker, "IQ_TOTAL_DIV_PAID_CF",Input!D$2,Date,,,Ccy,Conv)</f>
        <v>-80.015000000000001</v>
      </c>
      <c r="C233" s="6">
        <f>_xll.ciqfunctions.udf.CIQ(InputTicker, "IQ_TOTAL_DIV_PAID_CF",Input!E$2,Date,,,Ccy,Conv)</f>
        <v>-92.924999999999997</v>
      </c>
      <c r="D233" s="6">
        <f>_xll.ciqfunctions.udf.CIQ(InputTicker, "IQ_TOTAL_DIV_PAID_CF",Input!F$2,Date,,,Ccy,Conv)</f>
        <v>-103.411</v>
      </c>
      <c r="E233" s="6">
        <f>_xll.ciqfunctions.udf.CIQ(InputTicker, "IQ_TOTAL_DIV_PAID_CF",Input!G$2,Date,,,Ccy,Conv)</f>
        <v>-114.23399999999999</v>
      </c>
      <c r="F233" s="6">
        <f>_xll.ciqfunctions.udf.CIQ(InputTicker, "IQ_TOTAL_DIV_PAID_CF",Input!H$2,Date,,,Ccy,Conv)</f>
        <v>-146.602</v>
      </c>
      <c r="G233" s="6">
        <f>_xll.ciqfunctions.udf.CIQ(InputTicker, "IQ_TOTAL_DIV_PAID_CF",Input!I$2,Date,,,Ccy,Conv)</f>
        <v>-181.066</v>
      </c>
      <c r="H233" s="6">
        <f>_xll.ciqfunctions.udf.CIQ(InputTicker, "IQ_TOTAL_DIV_PAID_CF",Input!J$2,Date,,,Ccy,Conv)</f>
        <v>-209.05699999999999</v>
      </c>
      <c r="I233" s="6">
        <f>_xll.ciqfunctions.udf.CIQ(InputTicker, "IQ_TOTAL_DIV_PAID_CF",Input!K$2,Date,,,Ccy,Conv)</f>
        <v>-236</v>
      </c>
      <c r="J233" s="6">
        <f>_xll.ciqfunctions.udf.CIQ(InputTicker, "IQ_TOTAL_DIV_PAID_CF",Input!L$2,Date,,,Ccy,Conv)</f>
        <v>-254</v>
      </c>
      <c r="K233" s="6">
        <f>_xll.ciqfunctions.udf.CIQ(InputTicker, "IQ_TOTAL_DIV_PAID_CF",Input!M$2,Date,,,Ccy,Conv)</f>
        <v>-268</v>
      </c>
      <c r="L233" s="6">
        <f>_xll.ciqfunctions.udf.CIQ(InputTicker, "IQ_TOTAL_DIV_PAID_CF",Input!N$2,Date,,,Ccy,Conv)</f>
        <v>-276</v>
      </c>
      <c r="M233" s="6">
        <f>_xll.ciqfunctions.udf.CIQ(InputTicker, "IQ_TOTAL_DIV_PAID_CF",Input!O$2,Date,,,Ccy,Conv)</f>
        <v>-276</v>
      </c>
      <c r="N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</row>
    <row r="234" spans="1:66" ht="12.75" customHeight="1" x14ac:dyDescent="0.2">
      <c r="A234" s="1" t="s">
        <v>154</v>
      </c>
      <c r="B234" s="4">
        <f>_xll.ciqfunctions.udf.CIQ(InputTicker, "IQ_SPECIAL_DIV_CF",Input!D$2,Date,,,Ccy,Conv)</f>
        <v>0</v>
      </c>
      <c r="C234" s="4">
        <f>_xll.ciqfunctions.udf.CIQ(InputTicker, "IQ_SPECIAL_DIV_CF",Input!E$2,Date,,,Ccy,Conv)</f>
        <v>0</v>
      </c>
      <c r="D234" s="4">
        <f>_xll.ciqfunctions.udf.CIQ(InputTicker, "IQ_SPECIAL_DIV_CF",Input!F$2,Date,,,Ccy,Conv)</f>
        <v>0</v>
      </c>
      <c r="E234" s="4">
        <f>_xll.ciqfunctions.udf.CIQ(InputTicker, "IQ_SPECIAL_DIV_CF",Input!G$2,Date,,,Ccy,Conv)</f>
        <v>0</v>
      </c>
      <c r="F234" s="4">
        <f>_xll.ciqfunctions.udf.CIQ(InputTicker, "IQ_SPECIAL_DIV_CF",Input!H$2,Date,,,Ccy,Conv)</f>
        <v>0</v>
      </c>
      <c r="G234" s="4">
        <f>_xll.ciqfunctions.udf.CIQ(InputTicker, "IQ_SPECIAL_DIV_CF",Input!I$2,Date,,,Ccy,Conv)</f>
        <v>0</v>
      </c>
      <c r="H234" s="4">
        <f>_xll.ciqfunctions.udf.CIQ(InputTicker, "IQ_SPECIAL_DIV_CF",Input!J$2,Date,,,Ccy,Conv)</f>
        <v>0</v>
      </c>
      <c r="I234" s="4">
        <f>_xll.ciqfunctions.udf.CIQ(InputTicker, "IQ_SPECIAL_DIV_CF",Input!K$2,Date,,,Ccy,Conv)</f>
        <v>0</v>
      </c>
      <c r="J234" s="4">
        <f>_xll.ciqfunctions.udf.CIQ(InputTicker, "IQ_SPECIAL_DIV_CF",Input!L$2,Date,,,Ccy,Conv)</f>
        <v>0</v>
      </c>
      <c r="K234" s="4">
        <f>_xll.ciqfunctions.udf.CIQ(InputTicker, "IQ_SPECIAL_DIV_CF",Input!M$2,Date,,,Ccy,Conv)</f>
        <v>0</v>
      </c>
      <c r="L234" s="4">
        <f>_xll.ciqfunctions.udf.CIQ(InputTicker, "IQ_SPECIAL_DIV_CF",Input!N$2,Date,,,Ccy,Conv)</f>
        <v>0</v>
      </c>
      <c r="M234" s="4">
        <f>_xll.ciqfunctions.udf.CIQ(InputTicker, "IQ_SPECIAL_DIV_CF",Input!O$2,Date,,,Ccy,Conv)</f>
        <v>0</v>
      </c>
      <c r="N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</row>
    <row r="235" spans="1:66" ht="12.75" customHeight="1" x14ac:dyDescent="0.2">
      <c r="A235" s="1" t="s">
        <v>155</v>
      </c>
      <c r="B235" s="4">
        <f>_xll.ciqfunctions.udf.CIQ(InputTicker, "IQ_OTHER_FINANCE_ACT_SUPPL",Input!D$2,Date,,,Ccy,Conv)</f>
        <v>0.122</v>
      </c>
      <c r="C235" s="4">
        <f>_xll.ciqfunctions.udf.CIQ(InputTicker, "IQ_OTHER_FINANCE_ACT_SUPPL",Input!E$2,Date,,,Ccy,Conv)</f>
        <v>15.920999999999999</v>
      </c>
      <c r="D235" s="4">
        <f>_xll.ciqfunctions.udf.CIQ(InputTicker, "IQ_OTHER_FINANCE_ACT_SUPPL",Input!F$2,Date,,,Ccy,Conv)</f>
        <v>-0.95099999999999996</v>
      </c>
      <c r="E235" s="4">
        <f>_xll.ciqfunctions.udf.CIQ(InputTicker, "IQ_OTHER_FINANCE_ACT_SUPPL",Input!G$2,Date,,,Ccy,Conv)</f>
        <v>-1.2490000000000001</v>
      </c>
      <c r="F235" s="4">
        <f>_xll.ciqfunctions.udf.CIQ(InputTicker, "IQ_OTHER_FINANCE_ACT_SUPPL",Input!H$2,Date,,,Ccy,Conv)</f>
        <v>-81.492999999999995</v>
      </c>
      <c r="G235" s="4">
        <f>_xll.ciqfunctions.udf.CIQ(InputTicker, "IQ_OTHER_FINANCE_ACT_SUPPL",Input!I$2,Date,,,Ccy,Conv)</f>
        <v>-11.669</v>
      </c>
      <c r="H235" s="4">
        <f>_xll.ciqfunctions.udf.CIQ(InputTicker, "IQ_OTHER_FINANCE_ACT_SUPPL",Input!J$2,Date,,,Ccy,Conv)</f>
        <v>0</v>
      </c>
      <c r="I235" s="4">
        <f>_xll.ciqfunctions.udf.CIQ(InputTicker, "IQ_OTHER_FINANCE_ACT_SUPPL",Input!K$2,Date,,,Ccy,Conv)</f>
        <v>0</v>
      </c>
      <c r="J235" s="4">
        <f>_xll.ciqfunctions.udf.CIQ(InputTicker, "IQ_OTHER_FINANCE_ACT_SUPPL",Input!L$2,Date,,,Ccy,Conv)</f>
        <v>0</v>
      </c>
      <c r="K235" s="4">
        <f>_xll.ciqfunctions.udf.CIQ(InputTicker, "IQ_OTHER_FINANCE_ACT_SUPPL",Input!M$2,Date,,,Ccy,Conv)</f>
        <v>0</v>
      </c>
      <c r="L235" s="4">
        <f>_xll.ciqfunctions.udf.CIQ(InputTicker, "IQ_OTHER_FINANCE_ACT_SUPPL",Input!N$2,Date,,,Ccy,Conv)</f>
        <v>0</v>
      </c>
      <c r="M235" s="4">
        <f>_xll.ciqfunctions.udf.CIQ(InputTicker, "IQ_OTHER_FINANCE_ACT_SUPPL",Input!O$2,Date,,,Ccy,Conv)</f>
        <v>0</v>
      </c>
      <c r="N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</row>
    <row r="236" spans="1:66" ht="12.75" customHeight="1" thickBot="1" x14ac:dyDescent="0.25">
      <c r="A236" s="5" t="s">
        <v>120</v>
      </c>
      <c r="B236" s="9">
        <f>_xll.ciqfunctions.udf.CIQ(InputTicker, "IQ_CASH_FINAN",Input!D$2,Date,,,Ccy,Conv)</f>
        <v>-151.16900000000001</v>
      </c>
      <c r="C236" s="9">
        <f>_xll.ciqfunctions.udf.CIQ(InputTicker, "IQ_CASH_FINAN",Input!E$2,Date,,,Ccy,Conv)</f>
        <v>-51.493000000000002</v>
      </c>
      <c r="D236" s="9">
        <f>_xll.ciqfunctions.udf.CIQ(InputTicker, "IQ_CASH_FINAN",Input!F$2,Date,,,Ccy,Conv)</f>
        <v>-203.149</v>
      </c>
      <c r="E236" s="9">
        <f>_xll.ciqfunctions.udf.CIQ(InputTicker, "IQ_CASH_FINAN",Input!G$2,Date,,,Ccy,Conv)</f>
        <v>-413.36599999999999</v>
      </c>
      <c r="F236" s="9">
        <f>_xll.ciqfunctions.udf.CIQ(InputTicker, "IQ_CASH_FINAN",Input!H$2,Date,,,Ccy,Conv)</f>
        <v>34.561999999999998</v>
      </c>
      <c r="G236" s="9">
        <f>_xll.ciqfunctions.udf.CIQ(InputTicker, "IQ_CASH_FINAN",Input!I$2,Date,,,Ccy,Conv)</f>
        <v>-311.346</v>
      </c>
      <c r="H236" s="9">
        <f>_xll.ciqfunctions.udf.CIQ(InputTicker, "IQ_CASH_FINAN",Input!J$2,Date,,,Ccy,Conv)</f>
        <v>-163.846</v>
      </c>
      <c r="I236" s="9">
        <f>_xll.ciqfunctions.udf.CIQ(InputTicker, "IQ_CASH_FINAN",Input!K$2,Date,,,Ccy,Conv)</f>
        <v>-426</v>
      </c>
      <c r="J236" s="9">
        <f>_xll.ciqfunctions.udf.CIQ(InputTicker, "IQ_CASH_FINAN",Input!L$2,Date,,,Ccy,Conv)</f>
        <v>-19</v>
      </c>
      <c r="K236" s="9">
        <f>_xll.ciqfunctions.udf.CIQ(InputTicker, "IQ_CASH_FINAN",Input!M$2,Date,,,Ccy,Conv)</f>
        <v>-460</v>
      </c>
      <c r="L236" s="9">
        <f>_xll.ciqfunctions.udf.CIQ(InputTicker, "IQ_CASH_FINAN",Input!N$2,Date,,,Ccy,Conv)</f>
        <v>-898</v>
      </c>
      <c r="M236" s="9">
        <f>_xll.ciqfunctions.udf.CIQ(InputTicker, "IQ_CASH_FINAN",Input!O$2,Date,,,Ccy,Conv)</f>
        <v>-898</v>
      </c>
      <c r="N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</row>
    <row r="237" spans="1:66" ht="12.75" customHeight="1" thickTop="1" x14ac:dyDescent="0.2">
      <c r="A237" s="1" t="s">
        <v>156</v>
      </c>
      <c r="B237" s="4">
        <f>_xll.ciqfunctions.udf.CIQ(InputTicker, "IQ_FX",Input!D$2,Date,,,Ccy,Conv)</f>
        <v>0</v>
      </c>
      <c r="C237" s="4">
        <f>_xll.ciqfunctions.udf.CIQ(InputTicker, "IQ_FX",Input!E$2,Date,,,Ccy,Conv)</f>
        <v>0</v>
      </c>
      <c r="D237" s="4">
        <f>_xll.ciqfunctions.udf.CIQ(InputTicker, "IQ_FX",Input!F$2,Date,,,Ccy,Conv)</f>
        <v>0</v>
      </c>
      <c r="E237" s="4">
        <f>_xll.ciqfunctions.udf.CIQ(InputTicker, "IQ_FX",Input!G$2,Date,,,Ccy,Conv)</f>
        <v>0</v>
      </c>
      <c r="F237" s="4">
        <f>_xll.ciqfunctions.udf.CIQ(InputTicker, "IQ_FX",Input!H$2,Date,,,Ccy,Conv)</f>
        <v>0</v>
      </c>
      <c r="G237" s="4">
        <f>_xll.ciqfunctions.udf.CIQ(InputTicker, "IQ_FX",Input!I$2,Date,,,Ccy,Conv)</f>
        <v>0</v>
      </c>
      <c r="H237" s="4">
        <f>_xll.ciqfunctions.udf.CIQ(InputTicker, "IQ_FX",Input!J$2,Date,,,Ccy,Conv)</f>
        <v>0</v>
      </c>
      <c r="I237" s="4">
        <f>_xll.ciqfunctions.udf.CIQ(InputTicker, "IQ_FX",Input!K$2,Date,,,Ccy,Conv)</f>
        <v>0</v>
      </c>
      <c r="J237" s="4">
        <f>_xll.ciqfunctions.udf.CIQ(InputTicker, "IQ_FX",Input!L$2,Date,,,Ccy,Conv)</f>
        <v>0</v>
      </c>
      <c r="K237" s="4">
        <f>_xll.ciqfunctions.udf.CIQ(InputTicker, "IQ_FX",Input!M$2,Date,,,Ccy,Conv)</f>
        <v>0</v>
      </c>
      <c r="L237" s="4">
        <f>_xll.ciqfunctions.udf.CIQ(InputTicker, "IQ_FX",Input!N$2,Date,,,Ccy,Conv)</f>
        <v>0</v>
      </c>
      <c r="M237" s="4">
        <f>_xll.ciqfunctions.udf.CIQ(InputTicker, "IQ_FX",Input!O$2,Date,,,Ccy,Conv)</f>
        <v>0</v>
      </c>
      <c r="N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</row>
    <row r="238" spans="1:66" ht="12.75" customHeight="1" x14ac:dyDescent="0.2">
      <c r="A238" s="1" t="s">
        <v>212</v>
      </c>
      <c r="B238" s="4">
        <f>_xll.ciqfunctions.udf.CIQ(InputTicker, "IQ_MISC_ADJUST_CF",Input!D$2,Date,,,Ccy,Conv)</f>
        <v>0</v>
      </c>
      <c r="C238" s="4">
        <f>_xll.ciqfunctions.udf.CIQ(InputTicker, "IQ_MISC_ADJUST_CF",Input!E$2,Date,,,Ccy,Conv)</f>
        <v>0</v>
      </c>
      <c r="D238" s="4">
        <f>_xll.ciqfunctions.udf.CIQ(InputTicker, "IQ_MISC_ADJUST_CF",Input!F$2,Date,,,Ccy,Conv)</f>
        <v>0</v>
      </c>
      <c r="E238" s="4">
        <f>_xll.ciqfunctions.udf.CIQ(InputTicker, "IQ_MISC_ADJUST_CF",Input!G$2,Date,,,Ccy,Conv)</f>
        <v>0</v>
      </c>
      <c r="F238" s="4">
        <f>_xll.ciqfunctions.udf.CIQ(InputTicker, "IQ_MISC_ADJUST_CF",Input!H$2,Date,,,Ccy,Conv)</f>
        <v>0</v>
      </c>
      <c r="G238" s="4">
        <f>_xll.ciqfunctions.udf.CIQ(InputTicker, "IQ_MISC_ADJUST_CF",Input!I$2,Date,,,Ccy,Conv)</f>
        <v>0</v>
      </c>
      <c r="H238" s="4">
        <f>_xll.ciqfunctions.udf.CIQ(InputTicker, "IQ_MISC_ADJUST_CF",Input!J$2,Date,,,Ccy,Conv)</f>
        <v>0</v>
      </c>
      <c r="I238" s="4">
        <f>_xll.ciqfunctions.udf.CIQ(InputTicker, "IQ_MISC_ADJUST_CF",Input!K$2,Date,,,Ccy,Conv)</f>
        <v>0</v>
      </c>
      <c r="J238" s="4">
        <f>_xll.ciqfunctions.udf.CIQ(InputTicker, "IQ_MISC_ADJUST_CF",Input!L$2,Date,,,Ccy,Conv)</f>
        <v>0</v>
      </c>
      <c r="K238" s="4">
        <f>_xll.ciqfunctions.udf.CIQ(InputTicker, "IQ_MISC_ADJUST_CF",Input!M$2,Date,,,Ccy,Conv)</f>
        <v>0</v>
      </c>
      <c r="L238" s="4">
        <f>_xll.ciqfunctions.udf.CIQ(InputTicker, "IQ_MISC_ADJUST_CF",Input!N$2,Date,,,Ccy,Conv)</f>
        <v>0</v>
      </c>
      <c r="M238" s="4">
        <f>_xll.ciqfunctions.udf.CIQ(InputTicker, "IQ_MISC_ADJUST_CF",Input!O$2,Date,,,Ccy,Conv)</f>
        <v>0</v>
      </c>
      <c r="N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</row>
    <row r="239" spans="1:66" ht="12.75" customHeight="1" thickBot="1" x14ac:dyDescent="0.25">
      <c r="A239" s="5" t="s">
        <v>121</v>
      </c>
      <c r="B239" s="9">
        <f>_xll.ciqfunctions.udf.CIQ(InputTicker, "IQ_NET_CHANGE",Input!D$2,Date,,,Ccy,Conv)</f>
        <v>-19.687999999999999</v>
      </c>
      <c r="C239" s="9">
        <f>_xll.ciqfunctions.udf.CIQ(InputTicker, "IQ_NET_CHANGE",Input!E$2,Date,,,Ccy,Conv)</f>
        <v>29.888000000000002</v>
      </c>
      <c r="D239" s="9">
        <f>_xll.ciqfunctions.udf.CIQ(InputTicker, "IQ_NET_CHANGE",Input!F$2,Date,,,Ccy,Conv)</f>
        <v>69.540999999999997</v>
      </c>
      <c r="E239" s="9">
        <f>_xll.ciqfunctions.udf.CIQ(InputTicker, "IQ_NET_CHANGE",Input!G$2,Date,,,Ccy,Conv)</f>
        <v>-2.968</v>
      </c>
      <c r="F239" s="9">
        <f>_xll.ciqfunctions.udf.CIQ(InputTicker, "IQ_NET_CHANGE",Input!H$2,Date,,,Ccy,Conv)</f>
        <v>457.911</v>
      </c>
      <c r="G239" s="9">
        <f>_xll.ciqfunctions.udf.CIQ(InputTicker, "IQ_NET_CHANGE",Input!I$2,Date,,,Ccy,Conv)</f>
        <v>249.054</v>
      </c>
      <c r="H239" s="9">
        <f>_xll.ciqfunctions.udf.CIQ(InputTicker, "IQ_NET_CHANGE",Input!J$2,Date,,,Ccy,Conv)</f>
        <v>-295.04500000000002</v>
      </c>
      <c r="I239" s="9">
        <f>_xll.ciqfunctions.udf.CIQ(InputTicker, "IQ_NET_CHANGE",Input!K$2,Date,,,Ccy,Conv)</f>
        <v>-291</v>
      </c>
      <c r="J239" s="9">
        <f>_xll.ciqfunctions.udf.CIQ(InputTicker, "IQ_NET_CHANGE",Input!L$2,Date,,,Ccy,Conv)</f>
        <v>149</v>
      </c>
      <c r="K239" s="9">
        <f>_xll.ciqfunctions.udf.CIQ(InputTicker, "IQ_NET_CHANGE",Input!M$2,Date,,,Ccy,Conv)</f>
        <v>331</v>
      </c>
      <c r="L239" s="9">
        <f>_xll.ciqfunctions.udf.CIQ(InputTicker, "IQ_NET_CHANGE",Input!N$2,Date,,,Ccy,Conv)</f>
        <v>-157</v>
      </c>
      <c r="M239" s="9">
        <f>_xll.ciqfunctions.udf.CIQ(InputTicker, "IQ_NET_CHANGE",Input!O$2,Date,,,Ccy,Conv)</f>
        <v>-157</v>
      </c>
      <c r="N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</row>
    <row r="240" spans="1:66" ht="12.75" customHeight="1" thickTop="1" x14ac:dyDescent="0.2">
      <c r="A240" s="1" t="s">
        <v>317</v>
      </c>
      <c r="B240" s="18">
        <f>_xll.ciqfunctions.udf.CIQ(InputTicker,"IQ_PERIODLENGTH_CF",Input!D$2,Date)</f>
        <v>12</v>
      </c>
      <c r="C240" s="18">
        <f>_xll.ciqfunctions.udf.CIQ(InputTicker,"IQ_PERIODLENGTH_CF",Input!E$2,Date)</f>
        <v>12</v>
      </c>
      <c r="D240" s="18">
        <f>_xll.ciqfunctions.udf.CIQ(InputTicker,"IQ_PERIODLENGTH_CF",Input!F$2,Date)</f>
        <v>12</v>
      </c>
      <c r="E240" s="18">
        <f>_xll.ciqfunctions.udf.CIQ(InputTicker,"IQ_PERIODLENGTH_CF",Input!G$2,Date)</f>
        <v>12</v>
      </c>
      <c r="F240" s="18">
        <f>_xll.ciqfunctions.udf.CIQ(InputTicker,"IQ_PERIODLENGTH_CF",Input!H$2,Date)</f>
        <v>12</v>
      </c>
      <c r="G240" s="18">
        <f>_xll.ciqfunctions.udf.CIQ(InputTicker,"IQ_PERIODLENGTH_CF",Input!I$2,Date)</f>
        <v>12</v>
      </c>
      <c r="H240" s="18">
        <f>_xll.ciqfunctions.udf.CIQ(InputTicker,"IQ_PERIODLENGTH_CF",Input!J$2,Date)</f>
        <v>12</v>
      </c>
      <c r="I240" s="18">
        <f>_xll.ciqfunctions.udf.CIQ(InputTicker,"IQ_PERIODLENGTH_CF",Input!K$2,Date)</f>
        <v>12</v>
      </c>
      <c r="J240" s="18">
        <f>_xll.ciqfunctions.udf.CIQ(InputTicker,"IQ_PERIODLENGTH_CF",Input!L$2,Date)</f>
        <v>12</v>
      </c>
      <c r="K240" s="18">
        <f>_xll.ciqfunctions.udf.CIQ(InputTicker,"IQ_PERIODLENGTH_CF",Input!M$2,Date)</f>
        <v>12</v>
      </c>
      <c r="L240" s="18">
        <f>_xll.ciqfunctions.udf.CIQ(InputTicker,"IQ_PERIODLENGTH_CF",Input!N$2,Date)</f>
        <v>12</v>
      </c>
      <c r="M240" s="18">
        <f>_xll.ciqfunctions.udf.CIQ(InputTicker,"IQ_PERIODLENGTH_CF",Input!O$2,Date)</f>
        <v>12</v>
      </c>
      <c r="N240" s="49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</row>
    <row r="241" spans="1:66" ht="12.75" customHeight="1" x14ac:dyDescent="0.2">
      <c r="A241" s="1" t="s">
        <v>5</v>
      </c>
      <c r="B241" s="4">
        <f>_xll.ciqfunctions.udf.CIQ(InputTicker, "IQ_DA_SUPPL_PARTIAL_CF",Input!D$2,Date,,,Ccy,Conv)</f>
        <v>0</v>
      </c>
      <c r="C241" s="4">
        <f>_xll.ciqfunctions.udf.CIQ(InputTicker, "IQ_DA_SUPPL_PARTIAL_CF",Input!E$2,Date,,,Ccy,Conv)</f>
        <v>0</v>
      </c>
      <c r="D241" s="4">
        <f>_xll.ciqfunctions.udf.CIQ(InputTicker, "IQ_DA_SUPPL_PARTIAL_CF",Input!F$2,Date,,,Ccy,Conv)</f>
        <v>0</v>
      </c>
      <c r="E241" s="4">
        <f>_xll.ciqfunctions.udf.CIQ(InputTicker, "IQ_DA_SUPPL_PARTIAL_CF",Input!G$2,Date,,,Ccy,Conv)</f>
        <v>0</v>
      </c>
      <c r="F241" s="4">
        <f>_xll.ciqfunctions.udf.CIQ(InputTicker, "IQ_DA_SUPPL_PARTIAL_CF",Input!H$2,Date,,,Ccy,Conv)</f>
        <v>0</v>
      </c>
      <c r="G241" s="4">
        <f>_xll.ciqfunctions.udf.CIQ(InputTicker, "IQ_DA_SUPPL_PARTIAL_CF",Input!I$2,Date,,,Ccy,Conv)</f>
        <v>0</v>
      </c>
      <c r="H241" s="4">
        <f>_xll.ciqfunctions.udf.CIQ(InputTicker, "IQ_DA_SUPPL_PARTIAL_CF",Input!J$2,Date,,,Ccy,Conv)</f>
        <v>0</v>
      </c>
      <c r="I241" s="4">
        <f>_xll.ciqfunctions.udf.CIQ(InputTicker, "IQ_DA_SUPPL_PARTIAL_CF",Input!K$2,Date,,,Ccy,Conv)</f>
        <v>0</v>
      </c>
      <c r="J241" s="4">
        <f>_xll.ciqfunctions.udf.CIQ(InputTicker, "IQ_DA_SUPPL_PARTIAL_CF",Input!L$2,Date,,,Ccy,Conv)</f>
        <v>0</v>
      </c>
      <c r="K241" s="4">
        <f>_xll.ciqfunctions.udf.CIQ(InputTicker, "IQ_DA_SUPPL_PARTIAL_CF",Input!M$2,Date,,,Ccy,Conv)</f>
        <v>0</v>
      </c>
      <c r="L241" s="4">
        <f>_xll.ciqfunctions.udf.CIQ(InputTicker, "IQ_DA_SUPPL_PARTIAL_CF",Input!N$2,Date,,,Ccy,Conv)</f>
        <v>0</v>
      </c>
      <c r="M241" s="4">
        <f>_xll.ciqfunctions.udf.CIQ(InputTicker, "IQ_DA_SUPPL_PARTIAL_CF",Input!O$2,Date,,,Ccy,Conv)</f>
        <v>0</v>
      </c>
      <c r="N241" s="49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</row>
    <row r="242" spans="1:66" ht="12.75" customHeight="1" x14ac:dyDescent="0.2">
      <c r="A242" s="1" t="s">
        <v>6</v>
      </c>
      <c r="B242" s="4">
        <f>_xll.ciqfunctions.udf.CIQ(InputTicker, "IQ_GW_INTAN_AMORT_PARTIAL_CF",Input!D$2,Date,,,Ccy,Conv)</f>
        <v>0</v>
      </c>
      <c r="C242" s="4">
        <f>_xll.ciqfunctions.udf.CIQ(InputTicker, "IQ_GW_INTAN_AMORT_PARTIAL_CF",Input!E$2,Date,,,Ccy,Conv)</f>
        <v>0</v>
      </c>
      <c r="D242" s="4">
        <f>_xll.ciqfunctions.udf.CIQ(InputTicker, "IQ_GW_INTAN_AMORT_PARTIAL_CF",Input!F$2,Date,,,Ccy,Conv)</f>
        <v>0</v>
      </c>
      <c r="E242" s="4">
        <f>_xll.ciqfunctions.udf.CIQ(InputTicker, "IQ_GW_INTAN_AMORT_PARTIAL_CF",Input!G$2,Date,,,Ccy,Conv)</f>
        <v>0</v>
      </c>
      <c r="F242" s="4">
        <f>_xll.ciqfunctions.udf.CIQ(InputTicker, "IQ_GW_INTAN_AMORT_PARTIAL_CF",Input!H$2,Date,,,Ccy,Conv)</f>
        <v>0</v>
      </c>
      <c r="G242" s="4">
        <f>_xll.ciqfunctions.udf.CIQ(InputTicker, "IQ_GW_INTAN_AMORT_PARTIAL_CF",Input!I$2,Date,,,Ccy,Conv)</f>
        <v>0</v>
      </c>
      <c r="H242" s="4">
        <f>_xll.ciqfunctions.udf.CIQ(InputTicker, "IQ_GW_INTAN_AMORT_PARTIAL_CF",Input!J$2,Date,,,Ccy,Conv)</f>
        <v>0</v>
      </c>
      <c r="I242" s="4">
        <f>_xll.ciqfunctions.udf.CIQ(InputTicker, "IQ_GW_INTAN_AMORT_PARTIAL_CF",Input!K$2,Date,,,Ccy,Conv)</f>
        <v>0</v>
      </c>
      <c r="J242" s="4">
        <f>_xll.ciqfunctions.udf.CIQ(InputTicker, "IQ_GW_INTAN_AMORT_PARTIAL_CF",Input!L$2,Date,,,Ccy,Conv)</f>
        <v>0</v>
      </c>
      <c r="K242" s="4">
        <f>_xll.ciqfunctions.udf.CIQ(InputTicker, "IQ_GW_INTAN_AMORT_PARTIAL_CF",Input!M$2,Date,,,Ccy,Conv)</f>
        <v>0</v>
      </c>
      <c r="L242" s="4">
        <f>_xll.ciqfunctions.udf.CIQ(InputTicker, "IQ_GW_INTAN_AMORT_PARTIAL_CF",Input!N$2,Date,,,Ccy,Conv)</f>
        <v>0</v>
      </c>
      <c r="M242" s="4">
        <f>_xll.ciqfunctions.udf.CIQ(InputTicker, "IQ_GW_INTAN_AMORT_PARTIAL_CF",Input!O$2,Date,,,Ccy,Conv)</f>
        <v>0</v>
      </c>
      <c r="N242" s="49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</row>
    <row r="243" spans="1:66" ht="12.75" customHeight="1" x14ac:dyDescent="0.2">
      <c r="A243" s="1" t="s">
        <v>349</v>
      </c>
      <c r="B243" s="4">
        <f>_xll.ciqfunctions.udf.CIQ(InputTicker, "IQ_DEPRE_SUPP",Input!D$2,Date,,,Ccy,Conv)</f>
        <v>50.1</v>
      </c>
      <c r="C243" s="4">
        <f>_xll.ciqfunctions.udf.CIQ(InputTicker, "IQ_DEPRE_SUPP",Input!E$2,Date,,,Ccy,Conv)</f>
        <v>42.3</v>
      </c>
      <c r="D243" s="4">
        <f>_xll.ciqfunctions.udf.CIQ(InputTicker, "IQ_DEPRE_SUPP",Input!F$2,Date,,,Ccy,Conv)</f>
        <v>44.3</v>
      </c>
      <c r="E243" s="4">
        <f>_xll.ciqfunctions.udf.CIQ(InputTicker, "IQ_DEPRE_SUPP",Input!G$2,Date,,,Ccy,Conv)</f>
        <v>47.8</v>
      </c>
      <c r="F243" s="4">
        <f>_xll.ciqfunctions.udf.CIQ(InputTicker, "IQ_DEPRE_SUPP",Input!H$2,Date,,,Ccy,Conv)</f>
        <v>58.8</v>
      </c>
      <c r="G243" s="4">
        <f>_xll.ciqfunctions.udf.CIQ(InputTicker, "IQ_DEPRE_SUPP",Input!I$2,Date,,,Ccy,Conv)</f>
        <v>65</v>
      </c>
      <c r="H243" s="4">
        <f>_xll.ciqfunctions.udf.CIQ(InputTicker, "IQ_DEPRE_SUPP",Input!J$2,Date,,,Ccy,Conv)</f>
        <v>69.5</v>
      </c>
      <c r="I243" s="4">
        <f>_xll.ciqfunctions.udf.CIQ(InputTicker, "IQ_DEPRE_SUPP",Input!K$2,Date,,,Ccy,Conv)</f>
        <v>71</v>
      </c>
      <c r="J243" s="4">
        <f>_xll.ciqfunctions.udf.CIQ(InputTicker, "IQ_DEPRE_SUPP",Input!L$2,Date,,,Ccy,Conv)</f>
        <v>71</v>
      </c>
      <c r="K243" s="4">
        <f>_xll.ciqfunctions.udf.CIQ(InputTicker, "IQ_DEPRE_SUPP",Input!M$2,Date,,,Ccy,Conv)</f>
        <v>70</v>
      </c>
      <c r="L243" s="4">
        <f>_xll.ciqfunctions.udf.CIQ(InputTicker, "IQ_DEPRE_SUPP",Input!N$2,Date,,,Ccy,Conv)</f>
        <v>68</v>
      </c>
      <c r="M243" s="4">
        <f>_xll.ciqfunctions.udf.CIQ(InputTicker, "IQ_DEPRE_SUPP",Input!O$2,Date,,,Ccy,Conv)</f>
        <v>68</v>
      </c>
      <c r="N243" s="49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</row>
    <row r="244" spans="1:66" ht="12.75" customHeight="1" x14ac:dyDescent="0.2">
      <c r="A244" s="1" t="s">
        <v>31</v>
      </c>
      <c r="B244" s="4">
        <f>_xll.ciqfunctions.udf.CIQ(InputTicker, "IQ_DEPRECIATION_RENTAL_ASSETS_CF",Input!D$2,Date,,,Ccy,Conv)</f>
        <v>0</v>
      </c>
      <c r="C244" s="4">
        <f>_xll.ciqfunctions.udf.CIQ(InputTicker, "IQ_DEPRECIATION_RENTAL_ASSETS_CF",Input!E$2,Date,,,Ccy,Conv)</f>
        <v>0</v>
      </c>
      <c r="D244" s="4">
        <f>_xll.ciqfunctions.udf.CIQ(InputTicker, "IQ_DEPRECIATION_RENTAL_ASSETS_CF",Input!F$2,Date,,,Ccy,Conv)</f>
        <v>0</v>
      </c>
      <c r="E244" s="4">
        <f>_xll.ciqfunctions.udf.CIQ(InputTicker, "IQ_DEPRECIATION_RENTAL_ASSETS_CF",Input!G$2,Date,,,Ccy,Conv)</f>
        <v>0</v>
      </c>
      <c r="F244" s="4">
        <f>_xll.ciqfunctions.udf.CIQ(InputTicker, "IQ_DEPRECIATION_RENTAL_ASSETS_CF",Input!H$2,Date,,,Ccy,Conv)</f>
        <v>0</v>
      </c>
      <c r="G244" s="4">
        <f>_xll.ciqfunctions.udf.CIQ(InputTicker, "IQ_DEPRECIATION_RENTAL_ASSETS_CF",Input!I$2,Date,,,Ccy,Conv)</f>
        <v>0</v>
      </c>
      <c r="H244" s="4">
        <f>_xll.ciqfunctions.udf.CIQ(InputTicker, "IQ_DEPRECIATION_RENTAL_ASSETS_CF",Input!J$2,Date,,,Ccy,Conv)</f>
        <v>0</v>
      </c>
      <c r="I244" s="4">
        <f>_xll.ciqfunctions.udf.CIQ(InputTicker, "IQ_DEPRECIATION_RENTAL_ASSETS_CF",Input!K$2,Date,,,Ccy,Conv)</f>
        <v>0</v>
      </c>
      <c r="J244" s="4">
        <f>_xll.ciqfunctions.udf.CIQ(InputTicker, "IQ_DEPRECIATION_RENTAL_ASSETS_CF",Input!L$2,Date,,,Ccy,Conv)</f>
        <v>0</v>
      </c>
      <c r="K244" s="4">
        <f>_xll.ciqfunctions.udf.CIQ(InputTicker, "IQ_DEPRECIATION_RENTAL_ASSETS_CF",Input!M$2,Date,,,Ccy,Conv)</f>
        <v>0</v>
      </c>
      <c r="L244" s="4">
        <f>_xll.ciqfunctions.udf.CIQ(InputTicker, "IQ_DEPRECIATION_RENTAL_ASSETS_CF",Input!N$2,Date,,,Ccy,Conv)</f>
        <v>0</v>
      </c>
      <c r="M244" s="4">
        <f>_xll.ciqfunctions.udf.CIQ(InputTicker, "IQ_DEPRECIATION_RENTAL_ASSETS_CF",Input!O$2,Date,,,Ccy,Conv)</f>
        <v>0</v>
      </c>
      <c r="N244" s="49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</row>
    <row r="245" spans="1:66" ht="12.75" customHeight="1" x14ac:dyDescent="0.2">
      <c r="A245" s="1" t="s">
        <v>445</v>
      </c>
      <c r="B245" s="4">
        <f>_xll.ciqfunctions.udf.CIQ(InputTicker, "IQ_DEP_RUA",Input!D$2,Date,,,Ccy,Conv)</f>
        <v>0</v>
      </c>
      <c r="C245" s="4">
        <f>_xll.ciqfunctions.udf.CIQ(InputTicker, "IQ_DEP_RUA",Input!E$2,Date,,,Ccy,Conv)</f>
        <v>0</v>
      </c>
      <c r="D245" s="4">
        <f>_xll.ciqfunctions.udf.CIQ(InputTicker, "IQ_DEP_RUA",Input!F$2,Date,,,Ccy,Conv)</f>
        <v>0</v>
      </c>
      <c r="E245" s="4">
        <f>_xll.ciqfunctions.udf.CIQ(InputTicker, "IQ_DEP_RUA",Input!G$2,Date,,,Ccy,Conv)</f>
        <v>0</v>
      </c>
      <c r="F245" s="4">
        <f>_xll.ciqfunctions.udf.CIQ(InputTicker, "IQ_DEP_RUA",Input!H$2,Date,,,Ccy,Conv)</f>
        <v>0</v>
      </c>
      <c r="G245" s="4">
        <f>_xll.ciqfunctions.udf.CIQ(InputTicker, "IQ_DEP_RUA",Input!I$2,Date,,,Ccy,Conv)</f>
        <v>0</v>
      </c>
      <c r="H245" s="4">
        <f>_xll.ciqfunctions.udf.CIQ(InputTicker, "IQ_DEP_RUA",Input!J$2,Date,,,Ccy,Conv)</f>
        <v>0</v>
      </c>
      <c r="I245" s="4">
        <f>_xll.ciqfunctions.udf.CIQ(InputTicker, "IQ_DEP_RUA",Input!K$2,Date,,,Ccy,Conv)</f>
        <v>0</v>
      </c>
      <c r="J245" s="4">
        <f>_xll.ciqfunctions.udf.CIQ(InputTicker, "IQ_DEP_RUA",Input!L$2,Date,,,Ccy,Conv)</f>
        <v>0</v>
      </c>
      <c r="K245" s="4">
        <f>_xll.ciqfunctions.udf.CIQ(InputTicker, "IQ_DEP_RUA",Input!M$2,Date,,,Ccy,Conv)</f>
        <v>0</v>
      </c>
      <c r="L245" s="4">
        <f>_xll.ciqfunctions.udf.CIQ(InputTicker, "IQ_DEP_RUA",Input!N$2,Date,,,Ccy,Conv)</f>
        <v>0</v>
      </c>
      <c r="M245" s="4">
        <f>_xll.ciqfunctions.udf.CIQ(InputTicker, "IQ_DEP_RUA",Input!O$2,Date,,,Ccy,Conv)</f>
        <v>0</v>
      </c>
      <c r="N245" s="49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</row>
    <row r="246" spans="1:66" ht="12.75" customHeight="1" x14ac:dyDescent="0.2">
      <c r="A246" s="1" t="s">
        <v>466</v>
      </c>
      <c r="B246" s="4">
        <f>_xll.ciqfunctions.udf.CIQ(InputTicker, "IQ_DA_SUPPL_CF_EXCL_OPER_LEASES",Input!D$2,Date,,,Ccy,Conv)</f>
        <v>49.436</v>
      </c>
      <c r="C246" s="4">
        <f>_xll.ciqfunctions.udf.CIQ(InputTicker, "IQ_DA_SUPPL_CF_EXCL_OPER_LEASES",Input!E$2,Date,,,Ccy,Conv)</f>
        <v>41.643999999999998</v>
      </c>
      <c r="D246" s="4">
        <f>_xll.ciqfunctions.udf.CIQ(InputTicker, "IQ_DA_SUPPL_CF_EXCL_OPER_LEASES",Input!F$2,Date,,,Ccy,Conv)</f>
        <v>44.055999999999997</v>
      </c>
      <c r="E246" s="4">
        <f>_xll.ciqfunctions.udf.CIQ(InputTicker, "IQ_DA_SUPPL_CF_EXCL_OPER_LEASES",Input!G$2,Date,,,Ccy,Conv)</f>
        <v>47.674999999999997</v>
      </c>
      <c r="F246" s="4">
        <f>_xll.ciqfunctions.udf.CIQ(InputTicker, "IQ_DA_SUPPL_CF_EXCL_OPER_LEASES",Input!H$2,Date,,,Ccy,Conv)</f>
        <v>58.780999999999999</v>
      </c>
      <c r="G246" s="4">
        <f>_xll.ciqfunctions.udf.CIQ(InputTicker, "IQ_DA_SUPPL_CF_EXCL_OPER_LEASES",Input!I$2,Date,,,Ccy,Conv)</f>
        <v>65.015000000000001</v>
      </c>
      <c r="H246" s="4">
        <f>_xll.ciqfunctions.udf.CIQ(InputTicker, "IQ_DA_SUPPL_CF_EXCL_OPER_LEASES",Input!J$2,Date,,,Ccy,Conv)</f>
        <v>69.546999999999997</v>
      </c>
      <c r="I246" s="4">
        <f>_xll.ciqfunctions.udf.CIQ(InputTicker, "IQ_DA_SUPPL_CF_EXCL_OPER_LEASES",Input!K$2,Date,,,Ccy,Conv)</f>
        <v>71</v>
      </c>
      <c r="J246" s="4">
        <f>_xll.ciqfunctions.udf.CIQ(InputTicker, "IQ_DA_SUPPL_CF_EXCL_OPER_LEASES",Input!L$2,Date,,,Ccy,Conv)</f>
        <v>71</v>
      </c>
      <c r="K246" s="4">
        <f>_xll.ciqfunctions.udf.CIQ(InputTicker, "IQ_DA_SUPPL_CF_EXCL_OPER_LEASES",Input!M$2,Date,,,Ccy,Conv)</f>
        <v>70</v>
      </c>
      <c r="L246" s="4">
        <f>_xll.ciqfunctions.udf.CIQ(InputTicker, "IQ_DA_SUPPL_CF_EXCL_OPER_LEASES",Input!N$2,Date,,,Ccy,Conv)</f>
        <v>68</v>
      </c>
      <c r="M246" s="4">
        <f>_xll.ciqfunctions.udf.CIQ(InputTicker, "IQ_DA_SUPPL_CF_EXCL_OPER_LEASES",Input!O$2,Date,,,Ccy,Conv)</f>
        <v>68</v>
      </c>
      <c r="N246" s="49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</row>
    <row r="247" spans="1:66" ht="12.75" customHeight="1" x14ac:dyDescent="0.2">
      <c r="A247" s="1" t="s">
        <v>467</v>
      </c>
      <c r="B247" s="4">
        <f>_xll.ciqfunctions.udf.CIQ(InputTicker, "IQ_DA_CF_EXCL_OPER_LEASES",Input!D$2,Date,,,Ccy,Conv)</f>
        <v>61.536000000000001</v>
      </c>
      <c r="C247" s="4">
        <f>_xll.ciqfunctions.udf.CIQ(InputTicker, "IQ_DA_CF_EXCL_OPER_LEASES",Input!E$2,Date,,,Ccy,Conv)</f>
        <v>59.543999999999997</v>
      </c>
      <c r="D247" s="4">
        <f>_xll.ciqfunctions.udf.CIQ(InputTicker, "IQ_DA_CF_EXCL_OPER_LEASES",Input!F$2,Date,,,Ccy,Conv)</f>
        <v>64.756</v>
      </c>
      <c r="E247" s="4">
        <f>_xll.ciqfunctions.udf.CIQ(InputTicker, "IQ_DA_CF_EXCL_OPER_LEASES",Input!G$2,Date,,,Ccy,Conv)</f>
        <v>68.575000000000003</v>
      </c>
      <c r="F247" s="4">
        <f>_xll.ciqfunctions.udf.CIQ(InputTicker, "IQ_DA_CF_EXCL_OPER_LEASES",Input!H$2,Date,,,Ccy,Conv)</f>
        <v>81.081000000000003</v>
      </c>
      <c r="G247" s="4">
        <f>_xll.ciqfunctions.udf.CIQ(InputTicker, "IQ_DA_CF_EXCL_OPER_LEASES",Input!I$2,Date,,,Ccy,Conv)</f>
        <v>84.314999999999998</v>
      </c>
      <c r="H247" s="4">
        <f>_xll.ciqfunctions.udf.CIQ(InputTicker, "IQ_DA_CF_EXCL_OPER_LEASES",Input!J$2,Date,,,Ccy,Conv)</f>
        <v>145.74700000000001</v>
      </c>
      <c r="I247" s="4">
        <f>_xll.ciqfunctions.udf.CIQ(InputTicker, "IQ_DA_CF_EXCL_OPER_LEASES",Input!K$2,Date,,,Ccy,Conv)</f>
        <v>165</v>
      </c>
      <c r="J247" s="4">
        <f>_xll.ciqfunctions.udf.CIQ(InputTicker, "IQ_DA_CF_EXCL_OPER_LEASES",Input!L$2,Date,,,Ccy,Conv)</f>
        <v>164</v>
      </c>
      <c r="K247" s="4">
        <f>_xll.ciqfunctions.udf.CIQ(InputTicker, "IQ_DA_CF_EXCL_OPER_LEASES",Input!M$2,Date,,,Ccy,Conv)</f>
        <v>165</v>
      </c>
      <c r="L247" s="4">
        <f>_xll.ciqfunctions.udf.CIQ(InputTicker, "IQ_DA_CF_EXCL_OPER_LEASES",Input!N$2,Date,,,Ccy,Conv)</f>
        <v>163</v>
      </c>
      <c r="M247" s="4">
        <f>_xll.ciqfunctions.udf.CIQ(InputTicker, "IQ_DA_CF_EXCL_OPER_LEASES",Input!O$2,Date,,,Ccy,Conv)</f>
        <v>163</v>
      </c>
      <c r="N247" s="49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</row>
    <row r="248" spans="1:66" ht="12.75" customHeight="1" x14ac:dyDescent="0.2">
      <c r="A248" s="1" t="s">
        <v>40</v>
      </c>
      <c r="B248" s="4">
        <f>_xll.ciqfunctions.udf.CIQ(InputTicker, "IQ_NEGATIVE_GW_AMORT_CF",Input!D$2,Date,,,Ccy,Conv)</f>
        <v>0</v>
      </c>
      <c r="C248" s="4">
        <f>_xll.ciqfunctions.udf.CIQ(InputTicker, "IQ_NEGATIVE_GW_AMORT_CF",Input!E$2,Date,,,Ccy,Conv)</f>
        <v>0</v>
      </c>
      <c r="D248" s="4">
        <f>_xll.ciqfunctions.udf.CIQ(InputTicker, "IQ_NEGATIVE_GW_AMORT_CF",Input!F$2,Date,,,Ccy,Conv)</f>
        <v>0</v>
      </c>
      <c r="E248" s="4">
        <f>_xll.ciqfunctions.udf.CIQ(InputTicker, "IQ_NEGATIVE_GW_AMORT_CF",Input!G$2,Date,,,Ccy,Conv)</f>
        <v>0</v>
      </c>
      <c r="F248" s="4">
        <f>_xll.ciqfunctions.udf.CIQ(InputTicker, "IQ_NEGATIVE_GW_AMORT_CF",Input!H$2,Date,,,Ccy,Conv)</f>
        <v>0</v>
      </c>
      <c r="G248" s="4">
        <f>_xll.ciqfunctions.udf.CIQ(InputTicker, "IQ_NEGATIVE_GW_AMORT_CF",Input!I$2,Date,,,Ccy,Conv)</f>
        <v>0</v>
      </c>
      <c r="H248" s="4">
        <f>_xll.ciqfunctions.udf.CIQ(InputTicker, "IQ_NEGATIVE_GW_AMORT_CF",Input!J$2,Date,,,Ccy,Conv)</f>
        <v>0</v>
      </c>
      <c r="I248" s="4">
        <f>_xll.ciqfunctions.udf.CIQ(InputTicker, "IQ_NEGATIVE_GW_AMORT_CF",Input!K$2,Date,,,Ccy,Conv)</f>
        <v>0</v>
      </c>
      <c r="J248" s="4">
        <f>_xll.ciqfunctions.udf.CIQ(InputTicker, "IQ_NEGATIVE_GW_AMORT_CF",Input!L$2,Date,,,Ccy,Conv)</f>
        <v>0</v>
      </c>
      <c r="K248" s="4">
        <f>_xll.ciqfunctions.udf.CIQ(InputTicker, "IQ_NEGATIVE_GW_AMORT_CF",Input!M$2,Date,,,Ccy,Conv)</f>
        <v>0</v>
      </c>
      <c r="L248" s="4">
        <f>_xll.ciqfunctions.udf.CIQ(InputTicker, "IQ_NEGATIVE_GW_AMORT_CF",Input!N$2,Date,,,Ccy,Conv)</f>
        <v>0</v>
      </c>
      <c r="M248" s="4">
        <f>_xll.ciqfunctions.udf.CIQ(InputTicker, "IQ_NEGATIVE_GW_AMORT_CF",Input!O$2,Date,,,Ccy,Conv)</f>
        <v>0</v>
      </c>
      <c r="N248" s="49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</row>
    <row r="249" spans="1:66" ht="12.75" customHeight="1" x14ac:dyDescent="0.2">
      <c r="A249" s="1" t="s">
        <v>439</v>
      </c>
      <c r="B249" s="4">
        <f>_xll.ciqfunctions.udf.CIQ(InputTicker, "IQ_AMORT_DIC_CF",Input!D$2,Date,,,Ccy,Conv)</f>
        <v>8.359</v>
      </c>
      <c r="C249" s="4">
        <f>_xll.ciqfunctions.udf.CIQ(InputTicker, "IQ_AMORT_DIC_CF",Input!E$2,Date,,,Ccy,Conv)</f>
        <v>15.566000000000001</v>
      </c>
      <c r="D249" s="4">
        <f>_xll.ciqfunctions.udf.CIQ(InputTicker, "IQ_AMORT_DIC_CF",Input!F$2,Date,,,Ccy,Conv)</f>
        <v>5.9740000000000002</v>
      </c>
      <c r="E249" s="4">
        <f>_xll.ciqfunctions.udf.CIQ(InputTicker, "IQ_AMORT_DIC_CF",Input!G$2,Date,,,Ccy,Conv)</f>
        <v>5.0519999999999996</v>
      </c>
      <c r="F249" s="4">
        <f>_xll.ciqfunctions.udf.CIQ(InputTicker, "IQ_AMORT_DIC_CF",Input!H$2,Date,,,Ccy,Conv)</f>
        <v>4.6879999999999997</v>
      </c>
      <c r="G249" s="4">
        <f>_xll.ciqfunctions.udf.CIQ(InputTicker, "IQ_AMORT_DIC_CF",Input!I$2,Date,,,Ccy,Conv)</f>
        <v>4.3949999999999996</v>
      </c>
      <c r="H249" s="4">
        <f>_xll.ciqfunctions.udf.CIQ(InputTicker, "IQ_AMORT_DIC_CF",Input!J$2,Date,,,Ccy,Conv)</f>
        <v>4.6189999999999998</v>
      </c>
      <c r="I249" s="4">
        <f>_xll.ciqfunctions.udf.CIQ(InputTicker, "IQ_AMORT_DIC_CF",Input!K$2,Date,,,Ccy,Conv)</f>
        <v>0</v>
      </c>
      <c r="J249" s="4">
        <f>_xll.ciqfunctions.udf.CIQ(InputTicker, "IQ_AMORT_DIC_CF",Input!L$2,Date,,,Ccy,Conv)</f>
        <v>0</v>
      </c>
      <c r="K249" s="4">
        <f>_xll.ciqfunctions.udf.CIQ(InputTicker, "IQ_AMORT_DIC_CF",Input!M$2,Date,,,Ccy,Conv)</f>
        <v>0</v>
      </c>
      <c r="L249" s="4">
        <f>_xll.ciqfunctions.udf.CIQ(InputTicker, "IQ_AMORT_DIC_CF",Input!N$2,Date,,,Ccy,Conv)</f>
        <v>0</v>
      </c>
      <c r="M249" s="4">
        <f>_xll.ciqfunctions.udf.CIQ(InputTicker, "IQ_AMORT_DIC_CF",Input!O$2,Date,,,Ccy,Conv)</f>
        <v>0</v>
      </c>
      <c r="N249" s="49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</row>
    <row r="250" spans="1:66" ht="12.75" customHeight="1" x14ac:dyDescent="0.2">
      <c r="A250" s="1" t="s">
        <v>440</v>
      </c>
      <c r="B250" s="4">
        <f>_xll.ciqfunctions.udf.CIQ(InputTicker, "IQ_AMORT_SOFTWARE_ASSETS_CF",Input!D$2,Date,,,Ccy,Conv)</f>
        <v>0</v>
      </c>
      <c r="C250" s="4">
        <f>_xll.ciqfunctions.udf.CIQ(InputTicker, "IQ_AMORT_SOFTWARE_ASSETS_CF",Input!E$2,Date,,,Ccy,Conv)</f>
        <v>0</v>
      </c>
      <c r="D250" s="4">
        <f>_xll.ciqfunctions.udf.CIQ(InputTicker, "IQ_AMORT_SOFTWARE_ASSETS_CF",Input!F$2,Date,,,Ccy,Conv)</f>
        <v>0</v>
      </c>
      <c r="E250" s="4">
        <f>_xll.ciqfunctions.udf.CIQ(InputTicker, "IQ_AMORT_SOFTWARE_ASSETS_CF",Input!G$2,Date,,,Ccy,Conv)</f>
        <v>0</v>
      </c>
      <c r="F250" s="4">
        <f>_xll.ciqfunctions.udf.CIQ(InputTicker, "IQ_AMORT_SOFTWARE_ASSETS_CF",Input!H$2,Date,,,Ccy,Conv)</f>
        <v>0</v>
      </c>
      <c r="G250" s="4">
        <f>_xll.ciqfunctions.udf.CIQ(InputTicker, "IQ_AMORT_SOFTWARE_ASSETS_CF",Input!I$2,Date,,,Ccy,Conv)</f>
        <v>0</v>
      </c>
      <c r="H250" s="4">
        <f>_xll.ciqfunctions.udf.CIQ(InputTicker, "IQ_AMORT_SOFTWARE_ASSETS_CF",Input!J$2,Date,,,Ccy,Conv)</f>
        <v>0</v>
      </c>
      <c r="I250" s="4">
        <f>_xll.ciqfunctions.udf.CIQ(InputTicker, "IQ_AMORT_SOFTWARE_ASSETS_CF",Input!K$2,Date,,,Ccy,Conv)</f>
        <v>0</v>
      </c>
      <c r="J250" s="4">
        <f>_xll.ciqfunctions.udf.CIQ(InputTicker, "IQ_AMORT_SOFTWARE_ASSETS_CF",Input!L$2,Date,,,Ccy,Conv)</f>
        <v>0</v>
      </c>
      <c r="K250" s="4">
        <f>_xll.ciqfunctions.udf.CIQ(InputTicker, "IQ_AMORT_SOFTWARE_ASSETS_CF",Input!M$2,Date,,,Ccy,Conv)</f>
        <v>0</v>
      </c>
      <c r="L250" s="4">
        <f>_xll.ciqfunctions.udf.CIQ(InputTicker, "IQ_AMORT_SOFTWARE_ASSETS_CF",Input!N$2,Date,,,Ccy,Conv)</f>
        <v>0</v>
      </c>
      <c r="M250" s="4">
        <f>_xll.ciqfunctions.udf.CIQ(InputTicker, "IQ_AMORT_SOFTWARE_ASSETS_CF",Input!O$2,Date,,,Ccy,Conv)</f>
        <v>0</v>
      </c>
      <c r="N250" s="49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</row>
    <row r="251" spans="1:66" ht="12.75" customHeight="1" x14ac:dyDescent="0.2">
      <c r="A251" s="1" t="s">
        <v>32</v>
      </c>
      <c r="B251" s="4">
        <f>_xll.ciqfunctions.udf.CIQ(InputTicker, "IQ_SALE_PROCEEDS_RENTAL_ASSETS",Input!D$2,Date,,,Ccy,Conv)</f>
        <v>0</v>
      </c>
      <c r="C251" s="4">
        <f>_xll.ciqfunctions.udf.CIQ(InputTicker, "IQ_SALE_PROCEEDS_RENTAL_ASSETS",Input!E$2,Date,,,Ccy,Conv)</f>
        <v>0</v>
      </c>
      <c r="D251" s="4">
        <f>_xll.ciqfunctions.udf.CIQ(InputTicker, "IQ_SALE_PROCEEDS_RENTAL_ASSETS",Input!F$2,Date,,,Ccy,Conv)</f>
        <v>0</v>
      </c>
      <c r="E251" s="4">
        <f>_xll.ciqfunctions.udf.CIQ(InputTicker, "IQ_SALE_PROCEEDS_RENTAL_ASSETS",Input!G$2,Date,,,Ccy,Conv)</f>
        <v>0</v>
      </c>
      <c r="F251" s="4">
        <f>_xll.ciqfunctions.udf.CIQ(InputTicker, "IQ_SALE_PROCEEDS_RENTAL_ASSETS",Input!H$2,Date,,,Ccy,Conv)</f>
        <v>0</v>
      </c>
      <c r="G251" s="4">
        <f>_xll.ciqfunctions.udf.CIQ(InputTicker, "IQ_SALE_PROCEEDS_RENTAL_ASSETS",Input!I$2,Date,,,Ccy,Conv)</f>
        <v>0</v>
      </c>
      <c r="H251" s="4">
        <f>_xll.ciqfunctions.udf.CIQ(InputTicker, "IQ_SALE_PROCEEDS_RENTAL_ASSETS",Input!J$2,Date,,,Ccy,Conv)</f>
        <v>0</v>
      </c>
      <c r="I251" s="4">
        <f>_xll.ciqfunctions.udf.CIQ(InputTicker, "IQ_SALE_PROCEEDS_RENTAL_ASSETS",Input!K$2,Date,,,Ccy,Conv)</f>
        <v>0</v>
      </c>
      <c r="J251" s="4">
        <f>_xll.ciqfunctions.udf.CIQ(InputTicker, "IQ_SALE_PROCEEDS_RENTAL_ASSETS",Input!L$2,Date,,,Ccy,Conv)</f>
        <v>0</v>
      </c>
      <c r="K251" s="4">
        <f>_xll.ciqfunctions.udf.CIQ(InputTicker, "IQ_SALE_PROCEEDS_RENTAL_ASSETS",Input!M$2,Date,,,Ccy,Conv)</f>
        <v>0</v>
      </c>
      <c r="L251" s="4">
        <f>_xll.ciqfunctions.udf.CIQ(InputTicker, "IQ_SALE_PROCEEDS_RENTAL_ASSETS",Input!N$2,Date,,,Ccy,Conv)</f>
        <v>0</v>
      </c>
      <c r="M251" s="4">
        <f>_xll.ciqfunctions.udf.CIQ(InputTicker, "IQ_SALE_PROCEEDS_RENTAL_ASSETS",Input!O$2,Date,,,Ccy,Conv)</f>
        <v>0</v>
      </c>
      <c r="N251" s="49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</row>
    <row r="252" spans="1:66" ht="12.75" customHeight="1" x14ac:dyDescent="0.2">
      <c r="A252" s="1" t="s">
        <v>48</v>
      </c>
      <c r="B252" s="4">
        <f>_xll.ciqfunctions.udf.CIQ(InputTicker, "IQ_CASH_INTEREST",Input!D$2,Date,,,Ccy,Conv)</f>
        <v>57.067999999999998</v>
      </c>
      <c r="C252" s="4">
        <f>_xll.ciqfunctions.udf.CIQ(InputTicker, "IQ_CASH_INTEREST",Input!E$2,Date,,,Ccy,Conv)</f>
        <v>49.061999999999998</v>
      </c>
      <c r="D252" s="4">
        <f>_xll.ciqfunctions.udf.CIQ(InputTicker, "IQ_CASH_INTEREST",Input!F$2,Date,,,Ccy,Conv)</f>
        <v>62.497999999999998</v>
      </c>
      <c r="E252" s="4">
        <f>_xll.ciqfunctions.udf.CIQ(InputTicker, "IQ_CASH_INTEREST",Input!G$2,Date,,,Ccy,Conv)</f>
        <v>76.730999999999995</v>
      </c>
      <c r="F252" s="4">
        <f>_xll.ciqfunctions.udf.CIQ(InputTicker, "IQ_CASH_INTEREST",Input!H$2,Date,,,Ccy,Conv)</f>
        <v>84.125</v>
      </c>
      <c r="G252" s="4">
        <f>_xll.ciqfunctions.udf.CIQ(InputTicker, "IQ_CASH_INTEREST",Input!I$2,Date,,,Ccy,Conv)</f>
        <v>60.954999999999998</v>
      </c>
      <c r="H252" s="4">
        <f>_xll.ciqfunctions.udf.CIQ(InputTicker, "IQ_CASH_INTEREST",Input!J$2,Date,,,Ccy,Conv)</f>
        <v>0</v>
      </c>
      <c r="I252" s="4">
        <f>_xll.ciqfunctions.udf.CIQ(InputTicker, "IQ_CASH_INTEREST",Input!K$2,Date,,,Ccy,Conv)</f>
        <v>0</v>
      </c>
      <c r="J252" s="4">
        <f>_xll.ciqfunctions.udf.CIQ(InputTicker, "IQ_CASH_INTEREST",Input!L$2,Date,,,Ccy,Conv)</f>
        <v>0</v>
      </c>
      <c r="K252" s="4">
        <f>_xll.ciqfunctions.udf.CIQ(InputTicker, "IQ_CASH_INTEREST",Input!M$2,Date,,,Ccy,Conv)</f>
        <v>0</v>
      </c>
      <c r="L252" s="4">
        <f>_xll.ciqfunctions.udf.CIQ(InputTicker, "IQ_CASH_INTEREST",Input!N$2,Date,,,Ccy,Conv)</f>
        <v>0</v>
      </c>
      <c r="M252" s="4">
        <f>_xll.ciqfunctions.udf.CIQ(InputTicker, "IQ_CASH_INTEREST",Input!O$2,Date,,,Ccy,Conv)</f>
        <v>0</v>
      </c>
      <c r="N252" s="49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</row>
    <row r="253" spans="1:66" ht="12.75" customHeight="1" x14ac:dyDescent="0.2">
      <c r="A253" s="1" t="s">
        <v>409</v>
      </c>
      <c r="B253" s="4">
        <f>_xll.ciqfunctions.udf.CIQ(InputTicker, "IQ_CASH_INTEREST_NET",Input!D$2,Date,,,Ccy,Conv)</f>
        <v>0</v>
      </c>
      <c r="C253" s="4">
        <f>_xll.ciqfunctions.udf.CIQ(InputTicker, "IQ_CASH_INTEREST_NET",Input!E$2,Date,,,Ccy,Conv)</f>
        <v>0</v>
      </c>
      <c r="D253" s="4">
        <f>_xll.ciqfunctions.udf.CIQ(InputTicker, "IQ_CASH_INTEREST_NET",Input!F$2,Date,,,Ccy,Conv)</f>
        <v>0</v>
      </c>
      <c r="E253" s="4">
        <f>_xll.ciqfunctions.udf.CIQ(InputTicker, "IQ_CASH_INTEREST_NET",Input!G$2,Date,,,Ccy,Conv)</f>
        <v>0</v>
      </c>
      <c r="F253" s="4">
        <f>_xll.ciqfunctions.udf.CIQ(InputTicker, "IQ_CASH_INTEREST_NET",Input!H$2,Date,,,Ccy,Conv)</f>
        <v>0</v>
      </c>
      <c r="G253" s="4">
        <f>_xll.ciqfunctions.udf.CIQ(InputTicker, "IQ_CASH_INTEREST_NET",Input!I$2,Date,,,Ccy,Conv)</f>
        <v>0</v>
      </c>
      <c r="H253" s="4">
        <f>_xll.ciqfunctions.udf.CIQ(InputTicker, "IQ_CASH_INTEREST_NET",Input!J$2,Date,,,Ccy,Conv)</f>
        <v>64.698999999999998</v>
      </c>
      <c r="I253" s="4">
        <f>_xll.ciqfunctions.udf.CIQ(InputTicker, "IQ_CASH_INTEREST_NET",Input!K$2,Date,,,Ccy,Conv)</f>
        <v>116</v>
      </c>
      <c r="J253" s="4">
        <f>_xll.ciqfunctions.udf.CIQ(InputTicker, "IQ_CASH_INTEREST_NET",Input!L$2,Date,,,Ccy,Conv)</f>
        <v>156</v>
      </c>
      <c r="K253" s="4">
        <f>_xll.ciqfunctions.udf.CIQ(InputTicker, "IQ_CASH_INTEREST_NET",Input!M$2,Date,,,Ccy,Conv)</f>
        <v>186</v>
      </c>
      <c r="L253" s="4">
        <f>_xll.ciqfunctions.udf.CIQ(InputTicker, "IQ_CASH_INTEREST_NET",Input!N$2,Date,,,Ccy,Conv)</f>
        <v>191</v>
      </c>
      <c r="M253" s="4">
        <f>_xll.ciqfunctions.udf.CIQ(InputTicker, "IQ_CASH_INTEREST_NET",Input!O$2,Date,,,Ccy,Conv)</f>
        <v>191</v>
      </c>
      <c r="N253" s="49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</row>
    <row r="254" spans="1:66" ht="12.75" customHeight="1" x14ac:dyDescent="0.2">
      <c r="A254" s="1" t="s">
        <v>507</v>
      </c>
      <c r="B254" s="4">
        <f>_xll.ciqfunctions.udf.CIQ(InputTicker, "IQ_CASH_INTEREST_RECEIVED",Input!D$2,Date,,,Ccy,Conv)</f>
        <v>0</v>
      </c>
      <c r="C254" s="4">
        <f>_xll.ciqfunctions.udf.CIQ(InputTicker, "IQ_CASH_INTEREST_RECEIVED",Input!E$2,Date,,,Ccy,Conv)</f>
        <v>0</v>
      </c>
      <c r="D254" s="4">
        <f>_xll.ciqfunctions.udf.CIQ(InputTicker, "IQ_CASH_INTEREST_RECEIVED",Input!F$2,Date,,,Ccy,Conv)</f>
        <v>0</v>
      </c>
      <c r="E254" s="4">
        <f>_xll.ciqfunctions.udf.CIQ(InputTicker, "IQ_CASH_INTEREST_RECEIVED",Input!G$2,Date,,,Ccy,Conv)</f>
        <v>0</v>
      </c>
      <c r="F254" s="4">
        <f>_xll.ciqfunctions.udf.CIQ(InputTicker, "IQ_CASH_INTEREST_RECEIVED",Input!H$2,Date,,,Ccy,Conv)</f>
        <v>0</v>
      </c>
      <c r="G254" s="4">
        <f>_xll.ciqfunctions.udf.CIQ(InputTicker, "IQ_CASH_INTEREST_RECEIVED",Input!I$2,Date,,,Ccy,Conv)</f>
        <v>0</v>
      </c>
      <c r="H254" s="4">
        <f>_xll.ciqfunctions.udf.CIQ(InputTicker, "IQ_CASH_INTEREST_RECEIVED",Input!J$2,Date,,,Ccy,Conv)</f>
        <v>0</v>
      </c>
      <c r="I254" s="4">
        <f>_xll.ciqfunctions.udf.CIQ(InputTicker, "IQ_CASH_INTEREST_RECEIVED",Input!K$2,Date,,,Ccy,Conv)</f>
        <v>0</v>
      </c>
      <c r="J254" s="4">
        <f>_xll.ciqfunctions.udf.CIQ(InputTicker, "IQ_CASH_INTEREST_RECEIVED",Input!L$2,Date,,,Ccy,Conv)</f>
        <v>0</v>
      </c>
      <c r="K254" s="4">
        <f>_xll.ciqfunctions.udf.CIQ(InputTicker, "IQ_CASH_INTEREST_RECEIVED",Input!M$2,Date,,,Ccy,Conv)</f>
        <v>0</v>
      </c>
      <c r="L254" s="4">
        <f>_xll.ciqfunctions.udf.CIQ(InputTicker, "IQ_CASH_INTEREST_RECEIVED",Input!N$2,Date,,,Ccy,Conv)</f>
        <v>0</v>
      </c>
      <c r="M254" s="4">
        <f>_xll.ciqfunctions.udf.CIQ(InputTicker, "IQ_CASH_INTEREST_RECEIVED",Input!O$2,Date,,,Ccy,Conv)</f>
        <v>0</v>
      </c>
      <c r="N254" s="49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</row>
    <row r="255" spans="1:66" ht="12.75" customHeight="1" x14ac:dyDescent="0.2">
      <c r="A255" s="1" t="s">
        <v>381</v>
      </c>
      <c r="B255" s="4">
        <f>_xll.ciqfunctions.udf.CIQ(InputTicker, "IQ_CASH_INTEREST_OPER",Input!D$2,Date,,,Ccy,Conv)</f>
        <v>0</v>
      </c>
      <c r="C255" s="4">
        <f>_xll.ciqfunctions.udf.CIQ(InputTicker, "IQ_CASH_INTEREST_OPER",Input!E$2,Date,,,Ccy,Conv)</f>
        <v>0</v>
      </c>
      <c r="D255" s="4">
        <f>_xll.ciqfunctions.udf.CIQ(InputTicker, "IQ_CASH_INTEREST_OPER",Input!F$2,Date,,,Ccy,Conv)</f>
        <v>0</v>
      </c>
      <c r="E255" s="4">
        <f>_xll.ciqfunctions.udf.CIQ(InputTicker, "IQ_CASH_INTEREST_OPER",Input!G$2,Date,,,Ccy,Conv)</f>
        <v>0</v>
      </c>
      <c r="F255" s="4">
        <f>_xll.ciqfunctions.udf.CIQ(InputTicker, "IQ_CASH_INTEREST_OPER",Input!H$2,Date,,,Ccy,Conv)</f>
        <v>0</v>
      </c>
      <c r="G255" s="4">
        <f>_xll.ciqfunctions.udf.CIQ(InputTicker, "IQ_CASH_INTEREST_OPER",Input!I$2,Date,,,Ccy,Conv)</f>
        <v>0</v>
      </c>
      <c r="H255" s="4">
        <f>_xll.ciqfunctions.udf.CIQ(InputTicker, "IQ_CASH_INTEREST_OPER",Input!J$2,Date,,,Ccy,Conv)</f>
        <v>0</v>
      </c>
      <c r="I255" s="4">
        <f>_xll.ciqfunctions.udf.CIQ(InputTicker, "IQ_CASH_INTEREST_OPER",Input!K$2,Date,,,Ccy,Conv)</f>
        <v>0</v>
      </c>
      <c r="J255" s="4">
        <f>_xll.ciqfunctions.udf.CIQ(InputTicker, "IQ_CASH_INTEREST_OPER",Input!L$2,Date,,,Ccy,Conv)</f>
        <v>0</v>
      </c>
      <c r="K255" s="4">
        <f>_xll.ciqfunctions.udf.CIQ(InputTicker, "IQ_CASH_INTEREST_OPER",Input!M$2,Date,,,Ccy,Conv)</f>
        <v>0</v>
      </c>
      <c r="L255" s="4">
        <f>_xll.ciqfunctions.udf.CIQ(InputTicker, "IQ_CASH_INTEREST_OPER",Input!N$2,Date,,,Ccy,Conv)</f>
        <v>0</v>
      </c>
      <c r="M255" s="4">
        <f>_xll.ciqfunctions.udf.CIQ(InputTicker, "IQ_CASH_INTEREST_OPER",Input!O$2,Date,,,Ccy,Conv)</f>
        <v>0</v>
      </c>
      <c r="N255" s="49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</row>
    <row r="256" spans="1:66" ht="12.75" customHeight="1" x14ac:dyDescent="0.2">
      <c r="A256" s="1" t="s">
        <v>382</v>
      </c>
      <c r="B256" s="4">
        <f>_xll.ciqfunctions.udf.CIQ(InputTicker, "IQ_CASH_INTEREST_INVEST",Input!D$2,Date,,,Ccy,Conv)</f>
        <v>0</v>
      </c>
      <c r="C256" s="4">
        <f>_xll.ciqfunctions.udf.CIQ(InputTicker, "IQ_CASH_INTEREST_INVEST",Input!E$2,Date,,,Ccy,Conv)</f>
        <v>0</v>
      </c>
      <c r="D256" s="4">
        <f>_xll.ciqfunctions.udf.CIQ(InputTicker, "IQ_CASH_INTEREST_INVEST",Input!F$2,Date,,,Ccy,Conv)</f>
        <v>0</v>
      </c>
      <c r="E256" s="4">
        <f>_xll.ciqfunctions.udf.CIQ(InputTicker, "IQ_CASH_INTEREST_INVEST",Input!G$2,Date,,,Ccy,Conv)</f>
        <v>0</v>
      </c>
      <c r="F256" s="4">
        <f>_xll.ciqfunctions.udf.CIQ(InputTicker, "IQ_CASH_INTEREST_INVEST",Input!H$2,Date,,,Ccy,Conv)</f>
        <v>0</v>
      </c>
      <c r="G256" s="4">
        <f>_xll.ciqfunctions.udf.CIQ(InputTicker, "IQ_CASH_INTEREST_INVEST",Input!I$2,Date,,,Ccy,Conv)</f>
        <v>0</v>
      </c>
      <c r="H256" s="4">
        <f>_xll.ciqfunctions.udf.CIQ(InputTicker, "IQ_CASH_INTEREST_INVEST",Input!J$2,Date,,,Ccy,Conv)</f>
        <v>0</v>
      </c>
      <c r="I256" s="4">
        <f>_xll.ciqfunctions.udf.CIQ(InputTicker, "IQ_CASH_INTEREST_INVEST",Input!K$2,Date,,,Ccy,Conv)</f>
        <v>0</v>
      </c>
      <c r="J256" s="4">
        <f>_xll.ciqfunctions.udf.CIQ(InputTicker, "IQ_CASH_INTEREST_INVEST",Input!L$2,Date,,,Ccy,Conv)</f>
        <v>0</v>
      </c>
      <c r="K256" s="4">
        <f>_xll.ciqfunctions.udf.CIQ(InputTicker, "IQ_CASH_INTEREST_INVEST",Input!M$2,Date,,,Ccy,Conv)</f>
        <v>0</v>
      </c>
      <c r="L256" s="4">
        <f>_xll.ciqfunctions.udf.CIQ(InputTicker, "IQ_CASH_INTEREST_INVEST",Input!N$2,Date,,,Ccy,Conv)</f>
        <v>0</v>
      </c>
      <c r="M256" s="4">
        <f>_xll.ciqfunctions.udf.CIQ(InputTicker, "IQ_CASH_INTEREST_INVEST",Input!O$2,Date,,,Ccy,Conv)</f>
        <v>0</v>
      </c>
      <c r="N256" s="49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</row>
    <row r="257" spans="1:66" ht="12.75" customHeight="1" x14ac:dyDescent="0.2">
      <c r="A257" s="1" t="s">
        <v>383</v>
      </c>
      <c r="B257" s="4">
        <f>_xll.ciqfunctions.udf.CIQ(InputTicker, "IQ_CASH_INTEREST_FINAN",Input!D$2,Date,,,Ccy,Conv)</f>
        <v>0</v>
      </c>
      <c r="C257" s="4">
        <f>_xll.ciqfunctions.udf.CIQ(InputTicker, "IQ_CASH_INTEREST_FINAN",Input!E$2,Date,,,Ccy,Conv)</f>
        <v>0</v>
      </c>
      <c r="D257" s="4">
        <f>_xll.ciqfunctions.udf.CIQ(InputTicker, "IQ_CASH_INTEREST_FINAN",Input!F$2,Date,,,Ccy,Conv)</f>
        <v>0</v>
      </c>
      <c r="E257" s="4">
        <f>_xll.ciqfunctions.udf.CIQ(InputTicker, "IQ_CASH_INTEREST_FINAN",Input!G$2,Date,,,Ccy,Conv)</f>
        <v>0</v>
      </c>
      <c r="F257" s="4">
        <f>_xll.ciqfunctions.udf.CIQ(InputTicker, "IQ_CASH_INTEREST_FINAN",Input!H$2,Date,,,Ccy,Conv)</f>
        <v>0</v>
      </c>
      <c r="G257" s="4">
        <f>_xll.ciqfunctions.udf.CIQ(InputTicker, "IQ_CASH_INTEREST_FINAN",Input!I$2,Date,,,Ccy,Conv)</f>
        <v>0</v>
      </c>
      <c r="H257" s="4">
        <f>_xll.ciqfunctions.udf.CIQ(InputTicker, "IQ_CASH_INTEREST_FINAN",Input!J$2,Date,,,Ccy,Conv)</f>
        <v>0</v>
      </c>
      <c r="I257" s="4">
        <f>_xll.ciqfunctions.udf.CIQ(InputTicker, "IQ_CASH_INTEREST_FINAN",Input!K$2,Date,,,Ccy,Conv)</f>
        <v>0</v>
      </c>
      <c r="J257" s="4">
        <f>_xll.ciqfunctions.udf.CIQ(InputTicker, "IQ_CASH_INTEREST_FINAN",Input!L$2,Date,,,Ccy,Conv)</f>
        <v>0</v>
      </c>
      <c r="K257" s="4">
        <f>_xll.ciqfunctions.udf.CIQ(InputTicker, "IQ_CASH_INTEREST_FINAN",Input!M$2,Date,,,Ccy,Conv)</f>
        <v>0</v>
      </c>
      <c r="L257" s="4">
        <f>_xll.ciqfunctions.udf.CIQ(InputTicker, "IQ_CASH_INTEREST_FINAN",Input!N$2,Date,,,Ccy,Conv)</f>
        <v>0</v>
      </c>
      <c r="M257" s="4">
        <f>_xll.ciqfunctions.udf.CIQ(InputTicker, "IQ_CASH_INTEREST_FINAN",Input!O$2,Date,,,Ccy,Conv)</f>
        <v>0</v>
      </c>
      <c r="N257" s="49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</row>
    <row r="258" spans="1:66" ht="12.75" customHeight="1" x14ac:dyDescent="0.2">
      <c r="A258" s="1" t="s">
        <v>49</v>
      </c>
      <c r="B258" s="4">
        <f>_xll.ciqfunctions.udf.CIQ(InputTicker, "IQ_CASH_TAXES",Input!D$2,Date,,,Ccy,Conv)</f>
        <v>143.083</v>
      </c>
      <c r="C258" s="4">
        <f>_xll.ciqfunctions.udf.CIQ(InputTicker, "IQ_CASH_TAXES",Input!E$2,Date,,,Ccy,Conv)</f>
        <v>89.555999999999997</v>
      </c>
      <c r="D258" s="4">
        <f>_xll.ciqfunctions.udf.CIQ(InputTicker, "IQ_CASH_TAXES",Input!F$2,Date,,,Ccy,Conv)</f>
        <v>128.416</v>
      </c>
      <c r="E258" s="4">
        <f>_xll.ciqfunctions.udf.CIQ(InputTicker, "IQ_CASH_TAXES",Input!G$2,Date,,,Ccy,Conv)</f>
        <v>52.512</v>
      </c>
      <c r="F258" s="4">
        <f>_xll.ciqfunctions.udf.CIQ(InputTicker, "IQ_CASH_TAXES",Input!H$2,Date,,,Ccy,Conv)</f>
        <v>109.754</v>
      </c>
      <c r="G258" s="4">
        <f>_xll.ciqfunctions.udf.CIQ(InputTicker, "IQ_CASH_TAXES",Input!I$2,Date,,,Ccy,Conv)</f>
        <v>176.71100000000001</v>
      </c>
      <c r="H258" s="4">
        <f>_xll.ciqfunctions.udf.CIQ(InputTicker, "IQ_CASH_TAXES",Input!J$2,Date,,,Ccy,Conv)</f>
        <v>127.069</v>
      </c>
      <c r="I258" s="4">
        <f>_xll.ciqfunctions.udf.CIQ(InputTicker, "IQ_CASH_TAXES",Input!K$2,Date,,,Ccy,Conv)</f>
        <v>256</v>
      </c>
      <c r="J258" s="4">
        <f>_xll.ciqfunctions.udf.CIQ(InputTicker, "IQ_CASH_TAXES",Input!L$2,Date,,,Ccy,Conv)</f>
        <v>336</v>
      </c>
      <c r="K258" s="4">
        <f>_xll.ciqfunctions.udf.CIQ(InputTicker, "IQ_CASH_TAXES",Input!M$2,Date,,,Ccy,Conv)</f>
        <v>379</v>
      </c>
      <c r="L258" s="4">
        <f>_xll.ciqfunctions.udf.CIQ(InputTicker, "IQ_CASH_TAXES",Input!N$2,Date,,,Ccy,Conv)</f>
        <v>103</v>
      </c>
      <c r="M258" s="4">
        <f>_xll.ciqfunctions.udf.CIQ(InputTicker, "IQ_CASH_TAXES",Input!O$2,Date,,,Ccy,Conv)</f>
        <v>103</v>
      </c>
      <c r="N258" s="49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</row>
    <row r="259" spans="1:66" ht="12.75" customHeight="1" x14ac:dyDescent="0.2">
      <c r="A259" s="1" t="s">
        <v>384</v>
      </c>
      <c r="B259" s="4">
        <f>_xll.ciqfunctions.udf.CIQ(InputTicker, "IQ_CASH_TAXES_OPER",Input!D$2,Date,,,Ccy,Conv)</f>
        <v>0</v>
      </c>
      <c r="C259" s="4">
        <f>_xll.ciqfunctions.udf.CIQ(InputTicker, "IQ_CASH_TAXES_OPER",Input!E$2,Date,,,Ccy,Conv)</f>
        <v>0</v>
      </c>
      <c r="D259" s="4">
        <f>_xll.ciqfunctions.udf.CIQ(InputTicker, "IQ_CASH_TAXES_OPER",Input!F$2,Date,,,Ccy,Conv)</f>
        <v>0</v>
      </c>
      <c r="E259" s="4">
        <f>_xll.ciqfunctions.udf.CIQ(InputTicker, "IQ_CASH_TAXES_OPER",Input!G$2,Date,,,Ccy,Conv)</f>
        <v>0</v>
      </c>
      <c r="F259" s="4">
        <f>_xll.ciqfunctions.udf.CIQ(InputTicker, "IQ_CASH_TAXES_OPER",Input!H$2,Date,,,Ccy,Conv)</f>
        <v>0</v>
      </c>
      <c r="G259" s="4">
        <f>_xll.ciqfunctions.udf.CIQ(InputTicker, "IQ_CASH_TAXES_OPER",Input!I$2,Date,,,Ccy,Conv)</f>
        <v>0</v>
      </c>
      <c r="H259" s="4">
        <f>_xll.ciqfunctions.udf.CIQ(InputTicker, "IQ_CASH_TAXES_OPER",Input!J$2,Date,,,Ccy,Conv)</f>
        <v>0</v>
      </c>
      <c r="I259" s="4">
        <f>_xll.ciqfunctions.udf.CIQ(InputTicker, "IQ_CASH_TAXES_OPER",Input!K$2,Date,,,Ccy,Conv)</f>
        <v>0</v>
      </c>
      <c r="J259" s="4">
        <f>_xll.ciqfunctions.udf.CIQ(InputTicker, "IQ_CASH_TAXES_OPER",Input!L$2,Date,,,Ccy,Conv)</f>
        <v>0</v>
      </c>
      <c r="K259" s="4">
        <f>_xll.ciqfunctions.udf.CIQ(InputTicker, "IQ_CASH_TAXES_OPER",Input!M$2,Date,,,Ccy,Conv)</f>
        <v>0</v>
      </c>
      <c r="L259" s="4">
        <f>_xll.ciqfunctions.udf.CIQ(InputTicker, "IQ_CASH_TAXES_OPER",Input!N$2,Date,,,Ccy,Conv)</f>
        <v>0</v>
      </c>
      <c r="M259" s="4">
        <f>_xll.ciqfunctions.udf.CIQ(InputTicker, "IQ_CASH_TAXES_OPER",Input!O$2,Date,,,Ccy,Conv)</f>
        <v>0</v>
      </c>
      <c r="N259" s="49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</row>
    <row r="260" spans="1:66" ht="12.75" customHeight="1" x14ac:dyDescent="0.2">
      <c r="A260" s="1" t="s">
        <v>385</v>
      </c>
      <c r="B260" s="4">
        <f>_xll.ciqfunctions.udf.CIQ(InputTicker, "IQ_CASH_TAXES_INVEST",Input!D$2,Date,,,Ccy,Conv)</f>
        <v>0</v>
      </c>
      <c r="C260" s="4">
        <f>_xll.ciqfunctions.udf.CIQ(InputTicker, "IQ_CASH_TAXES_INVEST",Input!E$2,Date,,,Ccy,Conv)</f>
        <v>0</v>
      </c>
      <c r="D260" s="4">
        <f>_xll.ciqfunctions.udf.CIQ(InputTicker, "IQ_CASH_TAXES_INVEST",Input!F$2,Date,,,Ccy,Conv)</f>
        <v>0</v>
      </c>
      <c r="E260" s="4">
        <f>_xll.ciqfunctions.udf.CIQ(InputTicker, "IQ_CASH_TAXES_INVEST",Input!G$2,Date,,,Ccy,Conv)</f>
        <v>0</v>
      </c>
      <c r="F260" s="4">
        <f>_xll.ciqfunctions.udf.CIQ(InputTicker, "IQ_CASH_TAXES_INVEST",Input!H$2,Date,,,Ccy,Conv)</f>
        <v>0</v>
      </c>
      <c r="G260" s="4">
        <f>_xll.ciqfunctions.udf.CIQ(InputTicker, "IQ_CASH_TAXES_INVEST",Input!I$2,Date,,,Ccy,Conv)</f>
        <v>0</v>
      </c>
      <c r="H260" s="4">
        <f>_xll.ciqfunctions.udf.CIQ(InputTicker, "IQ_CASH_TAXES_INVEST",Input!J$2,Date,,,Ccy,Conv)</f>
        <v>0</v>
      </c>
      <c r="I260" s="4">
        <f>_xll.ciqfunctions.udf.CIQ(InputTicker, "IQ_CASH_TAXES_INVEST",Input!K$2,Date,,,Ccy,Conv)</f>
        <v>0</v>
      </c>
      <c r="J260" s="4">
        <f>_xll.ciqfunctions.udf.CIQ(InputTicker, "IQ_CASH_TAXES_INVEST",Input!L$2,Date,,,Ccy,Conv)</f>
        <v>0</v>
      </c>
      <c r="K260" s="4">
        <f>_xll.ciqfunctions.udf.CIQ(InputTicker, "IQ_CASH_TAXES_INVEST",Input!M$2,Date,,,Ccy,Conv)</f>
        <v>0</v>
      </c>
      <c r="L260" s="4">
        <f>_xll.ciqfunctions.udf.CIQ(InputTicker, "IQ_CASH_TAXES_INVEST",Input!N$2,Date,,,Ccy,Conv)</f>
        <v>0</v>
      </c>
      <c r="M260" s="4">
        <f>_xll.ciqfunctions.udf.CIQ(InputTicker, "IQ_CASH_TAXES_INVEST",Input!O$2,Date,,,Ccy,Conv)</f>
        <v>0</v>
      </c>
      <c r="N260" s="49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</row>
    <row r="261" spans="1:66" ht="12.75" customHeight="1" x14ac:dyDescent="0.2">
      <c r="A261" s="1" t="s">
        <v>386</v>
      </c>
      <c r="B261" s="4">
        <f>_xll.ciqfunctions.udf.CIQ(InputTicker, "IQ_CASH_TAXES_FINAN",Input!D$2,Date,,,Ccy,Conv)</f>
        <v>0</v>
      </c>
      <c r="C261" s="4">
        <f>_xll.ciqfunctions.udf.CIQ(InputTicker, "IQ_CASH_TAXES_FINAN",Input!E$2,Date,,,Ccy,Conv)</f>
        <v>0</v>
      </c>
      <c r="D261" s="4">
        <f>_xll.ciqfunctions.udf.CIQ(InputTicker, "IQ_CASH_TAXES_FINAN",Input!F$2,Date,,,Ccy,Conv)</f>
        <v>0</v>
      </c>
      <c r="E261" s="4">
        <f>_xll.ciqfunctions.udf.CIQ(InputTicker, "IQ_CASH_TAXES_FINAN",Input!G$2,Date,,,Ccy,Conv)</f>
        <v>0</v>
      </c>
      <c r="F261" s="4">
        <f>_xll.ciqfunctions.udf.CIQ(InputTicker, "IQ_CASH_TAXES_FINAN",Input!H$2,Date,,,Ccy,Conv)</f>
        <v>0</v>
      </c>
      <c r="G261" s="4">
        <f>_xll.ciqfunctions.udf.CIQ(InputTicker, "IQ_CASH_TAXES_FINAN",Input!I$2,Date,,,Ccy,Conv)</f>
        <v>0</v>
      </c>
      <c r="H261" s="4">
        <f>_xll.ciqfunctions.udf.CIQ(InputTicker, "IQ_CASH_TAXES_FINAN",Input!J$2,Date,,,Ccy,Conv)</f>
        <v>0</v>
      </c>
      <c r="I261" s="4">
        <f>_xll.ciqfunctions.udf.CIQ(InputTicker, "IQ_CASH_TAXES_FINAN",Input!K$2,Date,,,Ccy,Conv)</f>
        <v>0</v>
      </c>
      <c r="J261" s="4">
        <f>_xll.ciqfunctions.udf.CIQ(InputTicker, "IQ_CASH_TAXES_FINAN",Input!L$2,Date,,,Ccy,Conv)</f>
        <v>0</v>
      </c>
      <c r="K261" s="4">
        <f>_xll.ciqfunctions.udf.CIQ(InputTicker, "IQ_CASH_TAXES_FINAN",Input!M$2,Date,,,Ccy,Conv)</f>
        <v>0</v>
      </c>
      <c r="L261" s="4">
        <f>_xll.ciqfunctions.udf.CIQ(InputTicker, "IQ_CASH_TAXES_FINAN",Input!N$2,Date,,,Ccy,Conv)</f>
        <v>0</v>
      </c>
      <c r="M261" s="4">
        <f>_xll.ciqfunctions.udf.CIQ(InputTicker, "IQ_CASH_TAXES_FINAN",Input!O$2,Date,,,Ccy,Conv)</f>
        <v>0</v>
      </c>
      <c r="N261" s="49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</row>
    <row r="262" spans="1:66" ht="12.75" customHeight="1" x14ac:dyDescent="0.2">
      <c r="A262" s="1" t="s">
        <v>388</v>
      </c>
      <c r="B262" s="4">
        <f>_xll.ciqfunctions.udf.CIQ(InputTicker, "IQ_CHANGE_DEF_TAX_TOTAL",Input!D$2,Date,,,Ccy,Conv)</f>
        <v>3.5489999999999999</v>
      </c>
      <c r="C262" s="4">
        <f>_xll.ciqfunctions.udf.CIQ(InputTicker, "IQ_CHANGE_DEF_TAX_TOTAL",Input!E$2,Date,,,Ccy,Conv)</f>
        <v>20.957999999999998</v>
      </c>
      <c r="D262" s="4">
        <f>_xll.ciqfunctions.udf.CIQ(InputTicker, "IQ_CHANGE_DEF_TAX_TOTAL",Input!F$2,Date,,,Ccy,Conv)</f>
        <v>8.9559999999999995</v>
      </c>
      <c r="E262" s="4">
        <f>_xll.ciqfunctions.udf.CIQ(InputTicker, "IQ_CHANGE_DEF_TAX_TOTAL",Input!G$2,Date,,,Ccy,Conv)</f>
        <v>23.006</v>
      </c>
      <c r="F262" s="4">
        <f>_xll.ciqfunctions.udf.CIQ(InputTicker, "IQ_CHANGE_DEF_TAX_TOTAL",Input!H$2,Date,,,Ccy,Conv)</f>
        <v>65.433999999999997</v>
      </c>
      <c r="G262" s="4">
        <f>_xll.ciqfunctions.udf.CIQ(InputTicker, "IQ_CHANGE_DEF_TAX_TOTAL",Input!I$2,Date,,,Ccy,Conv)</f>
        <v>231.99799999999999</v>
      </c>
      <c r="H262" s="4">
        <f>_xll.ciqfunctions.udf.CIQ(InputTicker, "IQ_CHANGE_DEF_TAX_TOTAL",Input!J$2,Date,,,Ccy,Conv)</f>
        <v>-130.197</v>
      </c>
      <c r="I262" s="4">
        <f>_xll.ciqfunctions.udf.CIQ(InputTicker, "IQ_CHANGE_DEF_TAX_TOTAL",Input!K$2,Date,,,Ccy,Conv)</f>
        <v>-354</v>
      </c>
      <c r="J262" s="4">
        <f>_xll.ciqfunctions.udf.CIQ(InputTicker, "IQ_CHANGE_DEF_TAX_TOTAL",Input!L$2,Date,,,Ccy,Conv)</f>
        <v>-101</v>
      </c>
      <c r="K262" s="4">
        <f>_xll.ciqfunctions.udf.CIQ(InputTicker, "IQ_CHANGE_DEF_TAX_TOTAL",Input!M$2,Date,,,Ccy,Conv)</f>
        <v>-91</v>
      </c>
      <c r="L262" s="4">
        <f>_xll.ciqfunctions.udf.CIQ(InputTicker, "IQ_CHANGE_DEF_TAX_TOTAL",Input!N$2,Date,,,Ccy,Conv)</f>
        <v>35</v>
      </c>
      <c r="M262" s="4">
        <f>_xll.ciqfunctions.udf.CIQ(InputTicker, "IQ_CHANGE_DEF_TAX_TOTAL",Input!O$2,Date,,,Ccy,Conv)</f>
        <v>35</v>
      </c>
      <c r="N262" s="49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</row>
    <row r="263" spans="1:66" ht="12.75" customHeight="1" x14ac:dyDescent="0.2">
      <c r="A263" s="1" t="s">
        <v>350</v>
      </c>
      <c r="B263" s="4">
        <f>_xll.ciqfunctions.udf.CIQ(InputTicker, "IQ_CHANGE_NET_WORKING_CAPITAL",Input!D$2,Date,,,Ccy,Conv)</f>
        <v>105.621</v>
      </c>
      <c r="C263" s="4">
        <f>_xll.ciqfunctions.udf.CIQ(InputTicker, "IQ_CHANGE_NET_WORKING_CAPITAL",Input!E$2,Date,,,Ccy,Conv)</f>
        <v>-6.33</v>
      </c>
      <c r="D263" s="4">
        <f>_xll.ciqfunctions.udf.CIQ(InputTicker, "IQ_CHANGE_NET_WORKING_CAPITAL",Input!F$2,Date,,,Ccy,Conv)</f>
        <v>69.834999999999994</v>
      </c>
      <c r="E263" s="4">
        <f>_xll.ciqfunctions.udf.CIQ(InputTicker, "IQ_CHANGE_NET_WORKING_CAPITAL",Input!G$2,Date,,,Ccy,Conv)</f>
        <v>54.527000000000001</v>
      </c>
      <c r="F263" s="4">
        <f>_xll.ciqfunctions.udf.CIQ(InputTicker, "IQ_CHANGE_NET_WORKING_CAPITAL",Input!H$2,Date,,,Ccy,Conv)</f>
        <v>131.15199999999999</v>
      </c>
      <c r="G263" s="4">
        <f>_xll.ciqfunctions.udf.CIQ(InputTicker, "IQ_CHANGE_NET_WORKING_CAPITAL",Input!I$2,Date,,,Ccy,Conv)</f>
        <v>-0.23</v>
      </c>
      <c r="H263" s="4">
        <f>_xll.ciqfunctions.udf.CIQ(InputTicker, "IQ_CHANGE_NET_WORKING_CAPITAL",Input!J$2,Date,,,Ccy,Conv)</f>
        <v>-163.24700000000001</v>
      </c>
      <c r="I263" s="4">
        <f>_xll.ciqfunctions.udf.CIQ(InputTicker, "IQ_CHANGE_NET_WORKING_CAPITAL",Input!K$2,Date,,,Ccy,Conv)</f>
        <v>-273.464</v>
      </c>
      <c r="J263" s="4">
        <f>_xll.ciqfunctions.udf.CIQ(InputTicker, "IQ_CHANGE_NET_WORKING_CAPITAL",Input!L$2,Date,,,Ccy,Conv)</f>
        <v>530.61500000000001</v>
      </c>
      <c r="K263" s="4">
        <f>_xll.ciqfunctions.udf.CIQ(InputTicker, "IQ_CHANGE_NET_WORKING_CAPITAL",Input!M$2,Date,,,Ccy,Conv)</f>
        <v>108</v>
      </c>
      <c r="L263" s="4">
        <f>_xll.ciqfunctions.udf.CIQ(InputTicker, "IQ_CHANGE_NET_WORKING_CAPITAL",Input!N$2,Date,,,Ccy,Conv)</f>
        <v>-74</v>
      </c>
      <c r="M263" s="4">
        <f>_xll.ciqfunctions.udf.CIQ(InputTicker, "IQ_CHANGE_NET_WORKING_CAPITAL",Input!O$2,Date,,,Ccy,Conv)</f>
        <v>-74</v>
      </c>
      <c r="N263" s="49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</row>
    <row r="264" spans="1:66" ht="12.75" customHeight="1" x14ac:dyDescent="0.2">
      <c r="A264" s="1" t="s">
        <v>508</v>
      </c>
      <c r="B264" s="4">
        <f>_xll.ciqfunctions.udf.CIQ(InputTicker, "IQ_LEVERED_FCF",Input!D$2,Date,,,Ccy,Conv)</f>
        <v>156.23662999999999</v>
      </c>
      <c r="C264" s="4">
        <f>_xll.ciqfunctions.udf.CIQ(InputTicker, "IQ_LEVERED_FCF",Input!E$2,Date,,,Ccy,Conv)</f>
        <v>323.57125000000002</v>
      </c>
      <c r="D264" s="4">
        <f>_xll.ciqfunctions.udf.CIQ(InputTicker, "IQ_LEVERED_FCF",Input!F$2,Date,,,Ccy,Conv)</f>
        <v>214.63538</v>
      </c>
      <c r="E264" s="4">
        <f>_xll.ciqfunctions.udf.CIQ(InputTicker, "IQ_LEVERED_FCF",Input!G$2,Date,,,Ccy,Conv)</f>
        <v>271.71838000000002</v>
      </c>
      <c r="F264" s="4">
        <f>_xll.ciqfunctions.udf.CIQ(InputTicker, "IQ_LEVERED_FCF",Input!H$2,Date,,,Ccy,Conv)</f>
        <v>224.44238000000001</v>
      </c>
      <c r="G264" s="4">
        <f>_xll.ciqfunctions.udf.CIQ(InputTicker, "IQ_LEVERED_FCF",Input!I$2,Date,,,Ccy,Conv)</f>
        <v>479.61399999999998</v>
      </c>
      <c r="H264" s="4">
        <f>_xll.ciqfunctions.udf.CIQ(InputTicker, "IQ_LEVERED_FCF",Input!J$2,Date,,,Ccy,Conv)</f>
        <v>671.41174999999998</v>
      </c>
      <c r="I264" s="4">
        <f>_xll.ciqfunctions.udf.CIQ(InputTicker, "IQ_LEVERED_FCF",Input!K$2,Date,,,Ccy,Conv)</f>
        <v>880.58900000000006</v>
      </c>
      <c r="J264" s="4">
        <f>_xll.ciqfunctions.udf.CIQ(InputTicker, "IQ_LEVERED_FCF",Input!L$2,Date,,,Ccy,Conv)</f>
        <v>210.13499999999999</v>
      </c>
      <c r="K264" s="4">
        <f>_xll.ciqfunctions.udf.CIQ(InputTicker, "IQ_LEVERED_FCF",Input!M$2,Date,,,Ccy,Conv)</f>
        <v>706.75</v>
      </c>
      <c r="L264" s="4">
        <f>_xll.ciqfunctions.udf.CIQ(InputTicker, "IQ_LEVERED_FCF",Input!N$2,Date,,,Ccy,Conv)</f>
        <v>785.375</v>
      </c>
      <c r="M264" s="4">
        <f>_xll.ciqfunctions.udf.CIQ(InputTicker, "IQ_LEVERED_FCF",Input!O$2,Date,,,Ccy,Conv)</f>
        <v>785.375</v>
      </c>
      <c r="N264" s="49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</row>
    <row r="265" spans="1:66" ht="12.75" customHeight="1" x14ac:dyDescent="0.2">
      <c r="A265" s="1" t="s">
        <v>509</v>
      </c>
      <c r="B265" s="4">
        <f>_xll.ciqfunctions.udf.CIQ(InputTicker, "IQ_UNLEVERED_FCF",Input!D$2,Date,,,Ccy,Conv)</f>
        <v>192.137</v>
      </c>
      <c r="C265" s="4">
        <f>_xll.ciqfunctions.udf.CIQ(InputTicker, "IQ_UNLEVERED_FCF",Input!E$2,Date,,,Ccy,Conv)</f>
        <v>346.94150000000002</v>
      </c>
      <c r="D265" s="4">
        <f>_xll.ciqfunctions.udf.CIQ(InputTicker, "IQ_UNLEVERED_FCF",Input!F$2,Date,,,Ccy,Conv)</f>
        <v>260.0795</v>
      </c>
      <c r="E265" s="4">
        <f>_xll.ciqfunctions.udf.CIQ(InputTicker, "IQ_UNLEVERED_FCF",Input!G$2,Date,,,Ccy,Conv)</f>
        <v>322.61450000000002</v>
      </c>
      <c r="F265" s="4">
        <f>_xll.ciqfunctions.udf.CIQ(InputTicker, "IQ_UNLEVERED_FCF",Input!H$2,Date,,,Ccy,Conv)</f>
        <v>280.35437999999999</v>
      </c>
      <c r="G265" s="4">
        <f>_xll.ciqfunctions.udf.CIQ(InputTicker, "IQ_UNLEVERED_FCF",Input!I$2,Date,,,Ccy,Conv)</f>
        <v>526.01274999999998</v>
      </c>
      <c r="H265" s="4">
        <f>_xll.ciqfunctions.udf.CIQ(InputTicker, "IQ_UNLEVERED_FCF",Input!J$2,Date,,,Ccy,Conv)</f>
        <v>724.51274999999998</v>
      </c>
      <c r="I265" s="4">
        <f>_xll.ciqfunctions.udf.CIQ(InputTicker, "IQ_UNLEVERED_FCF",Input!K$2,Date,,,Ccy,Conv)</f>
        <v>949.33900000000006</v>
      </c>
      <c r="J265" s="4">
        <f>_xll.ciqfunctions.udf.CIQ(InputTicker, "IQ_UNLEVERED_FCF",Input!L$2,Date,,,Ccy,Conv)</f>
        <v>302.01</v>
      </c>
      <c r="K265" s="4">
        <f>_xll.ciqfunctions.udf.CIQ(InputTicker, "IQ_UNLEVERED_FCF",Input!M$2,Date,,,Ccy,Conv)</f>
        <v>811.75</v>
      </c>
      <c r="L265" s="4">
        <f>_xll.ciqfunctions.udf.CIQ(InputTicker, "IQ_UNLEVERED_FCF",Input!N$2,Date,,,Ccy,Conv)</f>
        <v>900.375</v>
      </c>
      <c r="M265" s="4">
        <f>_xll.ciqfunctions.udf.CIQ(InputTicker, "IQ_UNLEVERED_FCF",Input!O$2,Date,,,Ccy,Conv)</f>
        <v>900.375</v>
      </c>
      <c r="N265" s="49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</row>
    <row r="266" spans="1:66" ht="12.75" customHeight="1" x14ac:dyDescent="0.2">
      <c r="A266" s="1" t="s">
        <v>33</v>
      </c>
      <c r="B266" s="11">
        <f>_xll.ciqfunctions.udf.CIQ(InputTicker, "IQ_CF_SHARE",Input!D$2,Date,,,Ccy,Conv)</f>
        <v>1.2464599999999999</v>
      </c>
      <c r="C266" s="11">
        <f>_xll.ciqfunctions.udf.CIQ(InputTicker, "IQ_CF_SHARE",Input!E$2,Date,,,Ccy,Conv)</f>
        <v>2.21536</v>
      </c>
      <c r="D266" s="11">
        <f>_xll.ciqfunctions.udf.CIQ(InputTicker, "IQ_CF_SHARE",Input!F$2,Date,,,Ccy,Conv)</f>
        <v>1.9916199999999999</v>
      </c>
      <c r="E266" s="11">
        <f>_xll.ciqfunctions.udf.CIQ(InputTicker, "IQ_CF_SHARE",Input!G$2,Date,,,Ccy,Conv)</f>
        <v>2.8534099999999998</v>
      </c>
      <c r="F266" s="11">
        <f>_xll.ciqfunctions.udf.CIQ(InputTicker, "IQ_CF_SHARE",Input!H$2,Date,,,Ccy,Conv)</f>
        <v>3.02264</v>
      </c>
      <c r="G266" s="11">
        <f>_xll.ciqfunctions.udf.CIQ(InputTicker, "IQ_CF_SHARE",Input!I$2,Date,,,Ccy,Conv)</f>
        <v>4.5851199999999999</v>
      </c>
      <c r="H266" s="11">
        <f>_xll.ciqfunctions.udf.CIQ(InputTicker, "IQ_CF_SHARE",Input!J$2,Date,,,Ccy,Conv)</f>
        <v>4.8948200000000002</v>
      </c>
      <c r="I266" s="11">
        <f>_xll.ciqfunctions.udf.CIQ(InputTicker, "IQ_CF_SHARE",Input!K$2,Date,,,Ccy,Conv)</f>
        <v>3.9875400000000001</v>
      </c>
      <c r="J266" s="11">
        <f>_xll.ciqfunctions.udf.CIQ(InputTicker, "IQ_CF_SHARE",Input!L$2,Date,,,Ccy,Conv)</f>
        <v>1.4727699999999999</v>
      </c>
      <c r="K266" s="11">
        <f>_xll.ciqfunctions.udf.CIQ(InputTicker, "IQ_CF_SHARE",Input!M$2,Date,,,Ccy,Conv)</f>
        <v>7.1303799999999997</v>
      </c>
      <c r="L266" s="11">
        <f>_xll.ciqfunctions.udf.CIQ(InputTicker, "IQ_CF_SHARE",Input!N$2,Date,,,Ccy,Conv)</f>
        <v>7.7905100000000003</v>
      </c>
      <c r="M266" s="11">
        <f>_xll.ciqfunctions.udf.CIQ(InputTicker, "IQ_CF_SHARE",Input!O$2,Date,,,Ccy,Conv)</f>
        <v>7.7905100000000003</v>
      </c>
      <c r="N266" s="49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</row>
    <row r="267" spans="1:66" ht="12.75" customHeight="1" x14ac:dyDescent="0.2">
      <c r="A267" s="1" t="s">
        <v>122</v>
      </c>
      <c r="B267" s="4">
        <f>_xll.ciqfunctions.udf.CIQ(InputTicker, "IQ_NET_DEBT_ISSUED",Input!D$2,Date,,,Ccy,Conv)</f>
        <v>-22.062999999999999</v>
      </c>
      <c r="C267" s="4">
        <f>_xll.ciqfunctions.udf.CIQ(InputTicker, "IQ_NET_DEBT_ISSUED",Input!E$2,Date,,,Ccy,Conv)</f>
        <v>51.058</v>
      </c>
      <c r="D267" s="4">
        <f>_xll.ciqfunctions.udf.CIQ(InputTicker, "IQ_NET_DEBT_ISSUED",Input!F$2,Date,,,Ccy,Conv)</f>
        <v>150.529</v>
      </c>
      <c r="E267" s="4">
        <f>_xll.ciqfunctions.udf.CIQ(InputTicker, "IQ_NET_DEBT_ISSUED",Input!G$2,Date,,,Ccy,Conv)</f>
        <v>-68.441000000000003</v>
      </c>
      <c r="F267" s="4">
        <f>_xll.ciqfunctions.udf.CIQ(InputTicker, "IQ_NET_DEBT_ISSUED",Input!H$2,Date,,,Ccy,Conv)</f>
        <v>420.96899999999999</v>
      </c>
      <c r="G267" s="4">
        <f>_xll.ciqfunctions.udf.CIQ(InputTicker, "IQ_NET_DEBT_ISSUED",Input!I$2,Date,,,Ccy,Conv)</f>
        <v>163.631</v>
      </c>
      <c r="H267" s="4">
        <f>_xll.ciqfunctions.udf.CIQ(InputTicker, "IQ_NET_DEBT_ISSUED",Input!J$2,Date,,,Ccy,Conv)</f>
        <v>434.77</v>
      </c>
      <c r="I267" s="4">
        <f>_xll.ciqfunctions.udf.CIQ(InputTicker, "IQ_NET_DEBT_ISSUED",Input!K$2,Date,,,Ccy,Conv)</f>
        <v>-2</v>
      </c>
      <c r="J267" s="4">
        <f>_xll.ciqfunctions.udf.CIQ(InputTicker, "IQ_NET_DEBT_ISSUED",Input!L$2,Date,,,Ccy,Conv)</f>
        <v>595</v>
      </c>
      <c r="K267" s="4">
        <f>_xll.ciqfunctions.udf.CIQ(InputTicker, "IQ_NET_DEBT_ISSUED",Input!M$2,Date,,,Ccy,Conv)</f>
        <v>582</v>
      </c>
      <c r="L267" s="4">
        <f>_xll.ciqfunctions.udf.CIQ(InputTicker, "IQ_NET_DEBT_ISSUED",Input!N$2,Date,,,Ccy,Conv)</f>
        <v>-69</v>
      </c>
      <c r="M267" s="4">
        <f>_xll.ciqfunctions.udf.CIQ(InputTicker, "IQ_NET_DEBT_ISSUED",Input!O$2,Date,,,Ccy,Conv)</f>
        <v>-69</v>
      </c>
      <c r="N267" s="49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</row>
    <row r="268" spans="1:66" ht="12.75" customHeight="1" x14ac:dyDescent="0.2">
      <c r="A268" s="1" t="s">
        <v>351</v>
      </c>
      <c r="B268" s="4">
        <f>_xll.ciqfunctions.udf.CIQ(InputTicker, "IQ_MAINT_CAPEX",Input!D$2,Date,,,Ccy,Conv)</f>
        <v>0</v>
      </c>
      <c r="C268" s="4">
        <f>_xll.ciqfunctions.udf.CIQ(InputTicker, "IQ_MAINT_CAPEX",Input!E$2,Date,,,Ccy,Conv)</f>
        <v>0</v>
      </c>
      <c r="D268" s="4">
        <f>_xll.ciqfunctions.udf.CIQ(InputTicker, "IQ_MAINT_CAPEX",Input!F$2,Date,,,Ccy,Conv)</f>
        <v>0</v>
      </c>
      <c r="E268" s="4">
        <f>_xll.ciqfunctions.udf.CIQ(InputTicker, "IQ_MAINT_CAPEX",Input!G$2,Date,,,Ccy,Conv)</f>
        <v>0</v>
      </c>
      <c r="F268" s="4">
        <f>_xll.ciqfunctions.udf.CIQ(InputTicker, "IQ_MAINT_CAPEX",Input!H$2,Date,,,Ccy,Conv)</f>
        <v>0</v>
      </c>
      <c r="G268" s="4">
        <f>_xll.ciqfunctions.udf.CIQ(InputTicker, "IQ_MAINT_CAPEX",Input!I$2,Date,,,Ccy,Conv)</f>
        <v>0</v>
      </c>
      <c r="H268" s="4">
        <f>_xll.ciqfunctions.udf.CIQ(InputTicker, "IQ_MAINT_CAPEX",Input!J$2,Date,,,Ccy,Conv)</f>
        <v>0</v>
      </c>
      <c r="I268" s="4">
        <f>_xll.ciqfunctions.udf.CIQ(InputTicker, "IQ_MAINT_CAPEX",Input!K$2,Date,,,Ccy,Conv)</f>
        <v>0</v>
      </c>
      <c r="J268" s="4">
        <f>_xll.ciqfunctions.udf.CIQ(InputTicker, "IQ_MAINT_CAPEX",Input!L$2,Date,,,Ccy,Conv)</f>
        <v>0</v>
      </c>
      <c r="K268" s="4">
        <f>_xll.ciqfunctions.udf.CIQ(InputTicker, "IQ_MAINT_CAPEX",Input!M$2,Date,,,Ccy,Conv)</f>
        <v>0</v>
      </c>
      <c r="L268" s="4">
        <f>_xll.ciqfunctions.udf.CIQ(InputTicker, "IQ_MAINT_CAPEX",Input!N$2,Date,,,Ccy,Conv)</f>
        <v>0</v>
      </c>
      <c r="M268" s="4">
        <f>_xll.ciqfunctions.udf.CIQ(InputTicker, "IQ_MAINT_CAPEX",Input!O$2,Date,,,Ccy,Conv)</f>
        <v>0</v>
      </c>
      <c r="N268" s="49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</row>
    <row r="269" spans="1:66" ht="12.75" customHeight="1" x14ac:dyDescent="0.2">
      <c r="A269" s="1" t="s">
        <v>34</v>
      </c>
      <c r="B269" s="4">
        <f>_xll.ciqfunctions.udf.CIQ(InputTicker, "IQ_DO_INVEST_CF",Input!D$2,Date,,,Ccy,Conv)</f>
        <v>0</v>
      </c>
      <c r="C269" s="4">
        <f>_xll.ciqfunctions.udf.CIQ(InputTicker, "IQ_DO_INVEST_CF",Input!E$2,Date,,,Ccy,Conv)</f>
        <v>0</v>
      </c>
      <c r="D269" s="4">
        <f>_xll.ciqfunctions.udf.CIQ(InputTicker, "IQ_DO_INVEST_CF",Input!F$2,Date,,,Ccy,Conv)</f>
        <v>0</v>
      </c>
      <c r="E269" s="4">
        <f>_xll.ciqfunctions.udf.CIQ(InputTicker, "IQ_DO_INVEST_CF",Input!G$2,Date,,,Ccy,Conv)</f>
        <v>0</v>
      </c>
      <c r="F269" s="4">
        <f>_xll.ciqfunctions.udf.CIQ(InputTicker, "IQ_DO_INVEST_CF",Input!H$2,Date,,,Ccy,Conv)</f>
        <v>0</v>
      </c>
      <c r="G269" s="4">
        <f>_xll.ciqfunctions.udf.CIQ(InputTicker, "IQ_DO_INVEST_CF",Input!I$2,Date,,,Ccy,Conv)</f>
        <v>0</v>
      </c>
      <c r="H269" s="4">
        <f>_xll.ciqfunctions.udf.CIQ(InputTicker, "IQ_DO_INVEST_CF",Input!J$2,Date,,,Ccy,Conv)</f>
        <v>0</v>
      </c>
      <c r="I269" s="4">
        <f>_xll.ciqfunctions.udf.CIQ(InputTicker, "IQ_DO_INVEST_CF",Input!K$2,Date,,,Ccy,Conv)</f>
        <v>0</v>
      </c>
      <c r="J269" s="4">
        <f>_xll.ciqfunctions.udf.CIQ(InputTicker, "IQ_DO_INVEST_CF",Input!L$2,Date,,,Ccy,Conv)</f>
        <v>0</v>
      </c>
      <c r="K269" s="4">
        <f>_xll.ciqfunctions.udf.CIQ(InputTicker, "IQ_DO_INVEST_CF",Input!M$2,Date,,,Ccy,Conv)</f>
        <v>0</v>
      </c>
      <c r="L269" s="4">
        <f>_xll.ciqfunctions.udf.CIQ(InputTicker, "IQ_DO_INVEST_CF",Input!N$2,Date,,,Ccy,Conv)</f>
        <v>0</v>
      </c>
      <c r="M269" s="4">
        <f>_xll.ciqfunctions.udf.CIQ(InputTicker, "IQ_DO_INVEST_CF",Input!O$2,Date,,,Ccy,Conv)</f>
        <v>0</v>
      </c>
      <c r="N269" s="49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</row>
    <row r="270" spans="1:66" ht="12.75" customHeight="1" x14ac:dyDescent="0.2">
      <c r="A270" s="1" t="s">
        <v>35</v>
      </c>
      <c r="B270" s="4">
        <f>_xll.ciqfunctions.udf.CIQ(InputTicker, "IQ_DO_FINANCE_CF",Input!D$2,Date,,,Ccy,Conv)</f>
        <v>0</v>
      </c>
      <c r="C270" s="4">
        <f>_xll.ciqfunctions.udf.CIQ(InputTicker, "IQ_DO_FINANCE_CF",Input!E$2,Date,,,Ccy,Conv)</f>
        <v>0</v>
      </c>
      <c r="D270" s="4">
        <f>_xll.ciqfunctions.udf.CIQ(InputTicker, "IQ_DO_FINANCE_CF",Input!F$2,Date,,,Ccy,Conv)</f>
        <v>0</v>
      </c>
      <c r="E270" s="4">
        <f>_xll.ciqfunctions.udf.CIQ(InputTicker, "IQ_DO_FINANCE_CF",Input!G$2,Date,,,Ccy,Conv)</f>
        <v>0</v>
      </c>
      <c r="F270" s="4">
        <f>_xll.ciqfunctions.udf.CIQ(InputTicker, "IQ_DO_FINANCE_CF",Input!H$2,Date,,,Ccy,Conv)</f>
        <v>0</v>
      </c>
      <c r="G270" s="4">
        <f>_xll.ciqfunctions.udf.CIQ(InputTicker, "IQ_DO_FINANCE_CF",Input!I$2,Date,,,Ccy,Conv)</f>
        <v>0</v>
      </c>
      <c r="H270" s="4">
        <f>_xll.ciqfunctions.udf.CIQ(InputTicker, "IQ_DO_FINANCE_CF",Input!J$2,Date,,,Ccy,Conv)</f>
        <v>0</v>
      </c>
      <c r="I270" s="4">
        <f>_xll.ciqfunctions.udf.CIQ(InputTicker, "IQ_DO_FINANCE_CF",Input!K$2,Date,,,Ccy,Conv)</f>
        <v>0</v>
      </c>
      <c r="J270" s="4">
        <f>_xll.ciqfunctions.udf.CIQ(InputTicker, "IQ_DO_FINANCE_CF",Input!L$2,Date,,,Ccy,Conv)</f>
        <v>0</v>
      </c>
      <c r="K270" s="4">
        <f>_xll.ciqfunctions.udf.CIQ(InputTicker, "IQ_DO_FINANCE_CF",Input!M$2,Date,,,Ccy,Conv)</f>
        <v>0</v>
      </c>
      <c r="L270" s="4">
        <f>_xll.ciqfunctions.udf.CIQ(InputTicker, "IQ_DO_FINANCE_CF",Input!N$2,Date,,,Ccy,Conv)</f>
        <v>0</v>
      </c>
      <c r="M270" s="4">
        <f>_xll.ciqfunctions.udf.CIQ(InputTicker, "IQ_DO_FINANCE_CF",Input!O$2,Date,,,Ccy,Conv)</f>
        <v>0</v>
      </c>
      <c r="N270" s="49"/>
      <c r="T270" s="46"/>
      <c r="U270" s="46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</row>
    <row r="271" spans="1:66" ht="12.75" customHeight="1" x14ac:dyDescent="0.2">
      <c r="A271" s="1" t="s">
        <v>446</v>
      </c>
      <c r="B271" s="4">
        <f>_xll.ciqfunctions.udf.CIQ(InputTicker, "IQ_OPERATING_LEASE_PAYMENTS",Input!D$2,Date,,,Ccy,Conv)</f>
        <v>0</v>
      </c>
      <c r="C271" s="4">
        <f>_xll.ciqfunctions.udf.CIQ(InputTicker, "IQ_OPERATING_LEASE_PAYMENTS",Input!E$2,Date,,,Ccy,Conv)</f>
        <v>0</v>
      </c>
      <c r="D271" s="4">
        <f>_xll.ciqfunctions.udf.CIQ(InputTicker, "IQ_OPERATING_LEASE_PAYMENTS",Input!F$2,Date,,,Ccy,Conv)</f>
        <v>0</v>
      </c>
      <c r="E271" s="4">
        <f>_xll.ciqfunctions.udf.CIQ(InputTicker, "IQ_OPERATING_LEASE_PAYMENTS",Input!G$2,Date,,,Ccy,Conv)</f>
        <v>0</v>
      </c>
      <c r="F271" s="4">
        <f>_xll.ciqfunctions.udf.CIQ(InputTicker, "IQ_OPERATING_LEASE_PAYMENTS",Input!H$2,Date,,,Ccy,Conv)</f>
        <v>0</v>
      </c>
      <c r="G271" s="4">
        <f>_xll.ciqfunctions.udf.CIQ(InputTicker, "IQ_OPERATING_LEASE_PAYMENTS",Input!I$2,Date,,,Ccy,Conv)</f>
        <v>0</v>
      </c>
      <c r="H271" s="4">
        <f>_xll.ciqfunctions.udf.CIQ(InputTicker, "IQ_OPERATING_LEASE_PAYMENTS",Input!J$2,Date,,,Ccy,Conv)</f>
        <v>0</v>
      </c>
      <c r="I271" s="4">
        <f>_xll.ciqfunctions.udf.CIQ(InputTicker, "IQ_OPERATING_LEASE_PAYMENTS",Input!K$2,Date,,,Ccy,Conv)</f>
        <v>0</v>
      </c>
      <c r="J271" s="4">
        <f>_xll.ciqfunctions.udf.CIQ(InputTicker, "IQ_OPERATING_LEASE_PAYMENTS",Input!L$2,Date,,,Ccy,Conv)</f>
        <v>0</v>
      </c>
      <c r="K271" s="4">
        <f>_xll.ciqfunctions.udf.CIQ(InputTicker, "IQ_OPERATING_LEASE_PAYMENTS",Input!M$2,Date,,,Ccy,Conv)</f>
        <v>0</v>
      </c>
      <c r="L271" s="4">
        <f>_xll.ciqfunctions.udf.CIQ(InputTicker, "IQ_OPERATING_LEASE_PAYMENTS",Input!N$2,Date,,,Ccy,Conv)</f>
        <v>0</v>
      </c>
      <c r="M271" s="4">
        <f>_xll.ciqfunctions.udf.CIQ(InputTicker, "IQ_OPERATING_LEASE_PAYMENTS",Input!O$2,Date,,,Ccy,Conv)</f>
        <v>0</v>
      </c>
      <c r="N271" s="5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</row>
    <row r="272" spans="1:66" ht="12.75" customHeight="1" x14ac:dyDescent="0.2">
      <c r="A272" s="1" t="s">
        <v>447</v>
      </c>
      <c r="B272" s="4">
        <f>_xll.ciqfunctions.udf.CIQ(InputTicker, "IQ_OPERATING_LEASE_LIABILITIES",Input!D$2,Date,,,Ccy,Conv)</f>
        <v>0</v>
      </c>
      <c r="C272" s="4">
        <f>_xll.ciqfunctions.udf.CIQ(InputTicker, "IQ_OPERATING_LEASE_LIABILITIES",Input!E$2,Date,,,Ccy,Conv)</f>
        <v>0</v>
      </c>
      <c r="D272" s="4">
        <f>_xll.ciqfunctions.udf.CIQ(InputTicker, "IQ_OPERATING_LEASE_LIABILITIES",Input!F$2,Date,,,Ccy,Conv)</f>
        <v>0</v>
      </c>
      <c r="E272" s="4">
        <f>_xll.ciqfunctions.udf.CIQ(InputTicker, "IQ_OPERATING_LEASE_LIABILITIES",Input!G$2,Date,,,Ccy,Conv)</f>
        <v>0</v>
      </c>
      <c r="F272" s="4">
        <f>_xll.ciqfunctions.udf.CIQ(InputTicker, "IQ_OPERATING_LEASE_LIABILITIES",Input!H$2,Date,,,Ccy,Conv)</f>
        <v>0</v>
      </c>
      <c r="G272" s="4">
        <f>_xll.ciqfunctions.udf.CIQ(InputTicker, "IQ_OPERATING_LEASE_LIABILITIES",Input!I$2,Date,,,Ccy,Conv)</f>
        <v>0</v>
      </c>
      <c r="H272" s="4">
        <f>_xll.ciqfunctions.udf.CIQ(InputTicker, "IQ_OPERATING_LEASE_LIABILITIES",Input!J$2,Date,,,Ccy,Conv)</f>
        <v>0</v>
      </c>
      <c r="I272" s="4">
        <f>_xll.ciqfunctions.udf.CIQ(InputTicker, "IQ_OPERATING_LEASE_LIABILITIES",Input!K$2,Date,,,Ccy,Conv)</f>
        <v>0</v>
      </c>
      <c r="J272" s="4">
        <f>_xll.ciqfunctions.udf.CIQ(InputTicker, "IQ_OPERATING_LEASE_LIABILITIES",Input!L$2,Date,,,Ccy,Conv)</f>
        <v>0</v>
      </c>
      <c r="K272" s="4">
        <f>_xll.ciqfunctions.udf.CIQ(InputTicker, "IQ_OPERATING_LEASE_LIABILITIES",Input!M$2,Date,,,Ccy,Conv)</f>
        <v>0</v>
      </c>
      <c r="L272" s="4">
        <f>_xll.ciqfunctions.udf.CIQ(InputTicker, "IQ_OPERATING_LEASE_LIABILITIES",Input!N$2,Date,,,Ccy,Conv)</f>
        <v>0</v>
      </c>
      <c r="M272" s="4">
        <f>_xll.ciqfunctions.udf.CIQ(InputTicker, "IQ_OPERATING_LEASE_LIABILITIES",Input!O$2,Date,,,Ccy,Conv)</f>
        <v>0</v>
      </c>
      <c r="N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</row>
    <row r="273" spans="1:66" ht="12.75" customHeight="1" x14ac:dyDescent="0.2">
      <c r="A273" s="1" t="s">
        <v>448</v>
      </c>
      <c r="B273" s="4">
        <f>_xll.ciqfunctions.udf.CIQ(InputTicker, "IQ_OPERATING_LEASE_LIABILITIES_NONCASH",Input!D$2,Date,,,Ccy,Conv)</f>
        <v>0</v>
      </c>
      <c r="C273" s="4">
        <f>_xll.ciqfunctions.udf.CIQ(InputTicker, "IQ_OPERATING_LEASE_LIABILITIES_NONCASH",Input!E$2,Date,,,Ccy,Conv)</f>
        <v>0</v>
      </c>
      <c r="D273" s="4">
        <f>_xll.ciqfunctions.udf.CIQ(InputTicker, "IQ_OPERATING_LEASE_LIABILITIES_NONCASH",Input!F$2,Date,,,Ccy,Conv)</f>
        <v>0</v>
      </c>
      <c r="E273" s="4">
        <f>_xll.ciqfunctions.udf.CIQ(InputTicker, "IQ_OPERATING_LEASE_LIABILITIES_NONCASH",Input!G$2,Date,,,Ccy,Conv)</f>
        <v>0</v>
      </c>
      <c r="F273" s="4">
        <f>_xll.ciqfunctions.udf.CIQ(InputTicker, "IQ_OPERATING_LEASE_LIABILITIES_NONCASH",Input!H$2,Date,,,Ccy,Conv)</f>
        <v>0</v>
      </c>
      <c r="G273" s="4">
        <f>_xll.ciqfunctions.udf.CIQ(InputTicker, "IQ_OPERATING_LEASE_LIABILITIES_NONCASH",Input!I$2,Date,,,Ccy,Conv)</f>
        <v>0</v>
      </c>
      <c r="H273" s="4">
        <f>_xll.ciqfunctions.udf.CIQ(InputTicker, "IQ_OPERATING_LEASE_LIABILITIES_NONCASH",Input!J$2,Date,,,Ccy,Conv)</f>
        <v>0</v>
      </c>
      <c r="I273" s="4">
        <f>_xll.ciqfunctions.udf.CIQ(InputTicker, "IQ_OPERATING_LEASE_LIABILITIES_NONCASH",Input!K$2,Date,,,Ccy,Conv)</f>
        <v>0</v>
      </c>
      <c r="J273" s="4">
        <f>_xll.ciqfunctions.udf.CIQ(InputTicker, "IQ_OPERATING_LEASE_LIABILITIES_NONCASH",Input!L$2,Date,,,Ccy,Conv)</f>
        <v>0</v>
      </c>
      <c r="K273" s="4">
        <f>_xll.ciqfunctions.udf.CIQ(InputTicker, "IQ_OPERATING_LEASE_LIABILITIES_NONCASH",Input!M$2,Date,,,Ccy,Conv)</f>
        <v>0</v>
      </c>
      <c r="L273" s="4">
        <f>_xll.ciqfunctions.udf.CIQ(InputTicker, "IQ_OPERATING_LEASE_LIABILITIES_NONCASH",Input!N$2,Date,,,Ccy,Conv)</f>
        <v>0</v>
      </c>
      <c r="M273" s="4">
        <f>_xll.ciqfunctions.udf.CIQ(InputTicker, "IQ_OPERATING_LEASE_LIABILITIES_NONCASH",Input!O$2,Date,,,Ccy,Conv)</f>
        <v>0</v>
      </c>
      <c r="N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</row>
    <row r="274" spans="1:66" ht="12.75" customHeight="1" x14ac:dyDescent="0.2">
      <c r="A274" s="1" t="s">
        <v>468</v>
      </c>
      <c r="B274" s="4">
        <f>_xll.ciqfunctions.udf.CIQ(InputTicker, "IQ_LONG_TERM_DEBT_REPAID_EXCL_LEASES",Input!D$2,Date,,,Ccy,Conv)</f>
        <v>-295.06299999999999</v>
      </c>
      <c r="C274" s="4">
        <f>_xll.ciqfunctions.udf.CIQ(InputTicker, "IQ_LONG_TERM_DEBT_REPAID_EXCL_LEASES",Input!E$2,Date,,,Ccy,Conv)</f>
        <v>-968.32500000000005</v>
      </c>
      <c r="D274" s="4">
        <f>_xll.ciqfunctions.udf.CIQ(InputTicker, "IQ_LONG_TERM_DEBT_REPAID_EXCL_LEASES",Input!F$2,Date,,,Ccy,Conv)</f>
        <v>-317.149</v>
      </c>
      <c r="E274" s="4">
        <f>_xll.ciqfunctions.udf.CIQ(InputTicker, "IQ_LONG_TERM_DEBT_REPAID_EXCL_LEASES",Input!G$2,Date,,,Ccy,Conv)</f>
        <v>-170.512</v>
      </c>
      <c r="F274" s="4">
        <f>_xll.ciqfunctions.udf.CIQ(InputTicker, "IQ_LONG_TERM_DEBT_REPAID_EXCL_LEASES",Input!H$2,Date,,,Ccy,Conv)</f>
        <v>-76.921999999999997</v>
      </c>
      <c r="G274" s="4">
        <f>_xll.ciqfunctions.udf.CIQ(InputTicker, "IQ_LONG_TERM_DEBT_REPAID_EXCL_LEASES",Input!I$2,Date,,,Ccy,Conv)</f>
        <v>-527.86500000000001</v>
      </c>
      <c r="H274" s="4">
        <f>_xll.ciqfunctions.udf.CIQ(InputTicker, "IQ_LONG_TERM_DEBT_REPAID_EXCL_LEASES",Input!J$2,Date,,,Ccy,Conv)</f>
        <v>-112.25700000000001</v>
      </c>
      <c r="I274" s="4">
        <f>_xll.ciqfunctions.udf.CIQ(InputTicker, "IQ_LONG_TERM_DEBT_REPAID_EXCL_LEASES",Input!K$2,Date,,,Ccy,Conv)</f>
        <v>-417</v>
      </c>
      <c r="J274" s="4">
        <f>_xll.ciqfunctions.udf.CIQ(InputTicker, "IQ_LONG_TERM_DEBT_REPAID_EXCL_LEASES",Input!L$2,Date,,,Ccy,Conv)</f>
        <v>-541</v>
      </c>
      <c r="K274" s="4">
        <f>_xll.ciqfunctions.udf.CIQ(InputTicker, "IQ_LONG_TERM_DEBT_REPAID_EXCL_LEASES",Input!M$2,Date,,,Ccy,Conv)</f>
        <v>-262</v>
      </c>
      <c r="L274" s="4">
        <f>_xll.ciqfunctions.udf.CIQ(InputTicker, "IQ_LONG_TERM_DEBT_REPAID_EXCL_LEASES",Input!N$2,Date,,,Ccy,Conv)</f>
        <v>-69</v>
      </c>
      <c r="M274" s="4">
        <f>_xll.ciqfunctions.udf.CIQ(InputTicker, "IQ_LONG_TERM_DEBT_REPAID_EXCL_LEASES",Input!O$2,Date,,,Ccy,Conv)</f>
        <v>-69</v>
      </c>
      <c r="N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</row>
    <row r="275" spans="1:66" ht="12.75" customHeight="1" x14ac:dyDescent="0.2">
      <c r="A275" s="1" t="s">
        <v>469</v>
      </c>
      <c r="B275" s="4">
        <f>_xll.ciqfunctions.udf.CIQ(InputTicker, "IQ_TOTAL_DEBT_REPAID_EXCL_LEASES",Input!D$2,Date,,,Ccy,Conv)</f>
        <v>-295.06299999999999</v>
      </c>
      <c r="C275" s="4">
        <f>_xll.ciqfunctions.udf.CIQ(InputTicker, "IQ_TOTAL_DEBT_REPAID_EXCL_LEASES",Input!E$2,Date,,,Ccy,Conv)</f>
        <v>-968.32500000000005</v>
      </c>
      <c r="D275" s="4">
        <f>_xll.ciqfunctions.udf.CIQ(InputTicker, "IQ_TOTAL_DEBT_REPAID_EXCL_LEASES",Input!F$2,Date,,,Ccy,Conv)</f>
        <v>-317.149</v>
      </c>
      <c r="E275" s="4">
        <f>_xll.ciqfunctions.udf.CIQ(InputTicker, "IQ_TOTAL_DEBT_REPAID_EXCL_LEASES",Input!G$2,Date,,,Ccy,Conv)</f>
        <v>-170.512</v>
      </c>
      <c r="F275" s="4">
        <f>_xll.ciqfunctions.udf.CIQ(InputTicker, "IQ_TOTAL_DEBT_REPAID_EXCL_LEASES",Input!H$2,Date,,,Ccy,Conv)</f>
        <v>-76.921999999999997</v>
      </c>
      <c r="G275" s="4">
        <f>_xll.ciqfunctions.udf.CIQ(InputTicker, "IQ_TOTAL_DEBT_REPAID_EXCL_LEASES",Input!I$2,Date,,,Ccy,Conv)</f>
        <v>-527.86500000000001</v>
      </c>
      <c r="H275" s="4">
        <f>_xll.ciqfunctions.udf.CIQ(InputTicker, "IQ_TOTAL_DEBT_REPAID_EXCL_LEASES",Input!J$2,Date,,,Ccy,Conv)</f>
        <v>-112.25700000000001</v>
      </c>
      <c r="I275" s="4">
        <f>_xll.ciqfunctions.udf.CIQ(InputTicker, "IQ_TOTAL_DEBT_REPAID_EXCL_LEASES",Input!K$2,Date,,,Ccy,Conv)</f>
        <v>-417</v>
      </c>
      <c r="J275" s="4">
        <f>_xll.ciqfunctions.udf.CIQ(InputTicker, "IQ_TOTAL_DEBT_REPAID_EXCL_LEASES",Input!L$2,Date,,,Ccy,Conv)</f>
        <v>-541</v>
      </c>
      <c r="K275" s="4">
        <f>_xll.ciqfunctions.udf.CIQ(InputTicker, "IQ_TOTAL_DEBT_REPAID_EXCL_LEASES",Input!M$2,Date,,,Ccy,Conv)</f>
        <v>-262</v>
      </c>
      <c r="L275" s="4">
        <f>_xll.ciqfunctions.udf.CIQ(InputTicker, "IQ_TOTAL_DEBT_REPAID_EXCL_LEASES",Input!N$2,Date,,,Ccy,Conv)</f>
        <v>-69</v>
      </c>
      <c r="M275" s="4">
        <f>_xll.ciqfunctions.udf.CIQ(InputTicker, "IQ_TOTAL_DEBT_REPAID_EXCL_LEASES",Input!O$2,Date,,,Ccy,Conv)</f>
        <v>-69</v>
      </c>
      <c r="N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</row>
    <row r="276" spans="1:66" ht="12.75" customHeight="1" x14ac:dyDescent="0.2">
      <c r="A276" s="1" t="s">
        <v>470</v>
      </c>
      <c r="B276" s="4">
        <f>_xll.ciqfunctions.udf.CIQ(InputTicker, "IQ_GAIN_BARGAIN_ACQ_CF",Input!D$2,Date,,,Ccy,Conv)</f>
        <v>0</v>
      </c>
      <c r="C276" s="4">
        <f>_xll.ciqfunctions.udf.CIQ(InputTicker, "IQ_GAIN_BARGAIN_ACQ_CF",Input!E$2,Date,,,Ccy,Conv)</f>
        <v>0</v>
      </c>
      <c r="D276" s="4">
        <f>_xll.ciqfunctions.udf.CIQ(InputTicker, "IQ_GAIN_BARGAIN_ACQ_CF",Input!F$2,Date,,,Ccy,Conv)</f>
        <v>0</v>
      </c>
      <c r="E276" s="4">
        <f>_xll.ciqfunctions.udf.CIQ(InputTicker, "IQ_GAIN_BARGAIN_ACQ_CF",Input!G$2,Date,,,Ccy,Conv)</f>
        <v>0</v>
      </c>
      <c r="F276" s="4">
        <f>_xll.ciqfunctions.udf.CIQ(InputTicker, "IQ_GAIN_BARGAIN_ACQ_CF",Input!H$2,Date,,,Ccy,Conv)</f>
        <v>0</v>
      </c>
      <c r="G276" s="4">
        <f>_xll.ciqfunctions.udf.CIQ(InputTicker, "IQ_GAIN_BARGAIN_ACQ_CF",Input!I$2,Date,,,Ccy,Conv)</f>
        <v>0</v>
      </c>
      <c r="H276" s="4">
        <f>_xll.ciqfunctions.udf.CIQ(InputTicker, "IQ_GAIN_BARGAIN_ACQ_CF",Input!J$2,Date,,,Ccy,Conv)</f>
        <v>0</v>
      </c>
      <c r="I276" s="4">
        <f>_xll.ciqfunctions.udf.CIQ(InputTicker, "IQ_GAIN_BARGAIN_ACQ_CF",Input!K$2,Date,,,Ccy,Conv)</f>
        <v>0</v>
      </c>
      <c r="J276" s="4">
        <f>_xll.ciqfunctions.udf.CIQ(InputTicker, "IQ_GAIN_BARGAIN_ACQ_CF",Input!L$2,Date,,,Ccy,Conv)</f>
        <v>0</v>
      </c>
      <c r="K276" s="4">
        <f>_xll.ciqfunctions.udf.CIQ(InputTicker, "IQ_GAIN_BARGAIN_ACQ_CF",Input!M$2,Date,,,Ccy,Conv)</f>
        <v>0</v>
      </c>
      <c r="L276" s="4">
        <f>_xll.ciqfunctions.udf.CIQ(InputTicker, "IQ_GAIN_BARGAIN_ACQ_CF",Input!N$2,Date,,,Ccy,Conv)</f>
        <v>0</v>
      </c>
      <c r="M276" s="4">
        <f>_xll.ciqfunctions.udf.CIQ(InputTicker, "IQ_GAIN_BARGAIN_ACQ_CF",Input!O$2,Date,,,Ccy,Conv)</f>
        <v>0</v>
      </c>
      <c r="N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</row>
    <row r="277" spans="1:66" ht="12.75" customHeight="1" x14ac:dyDescent="0.2">
      <c r="A277" s="1" t="s">
        <v>347</v>
      </c>
      <c r="B277" s="15" t="str">
        <f>_xll.ciqfunctions.udf.CIQ(InputTicker, "IQ_FILING_CURRENCY",Input!D$2,Date)</f>
        <v>USD</v>
      </c>
      <c r="C277" s="15" t="str">
        <f>_xll.ciqfunctions.udf.CIQ(InputTicker, "IQ_FILING_CURRENCY",Input!E$2,Date)</f>
        <v>USD</v>
      </c>
      <c r="D277" s="15" t="str">
        <f>_xll.ciqfunctions.udf.CIQ(InputTicker, "IQ_FILING_CURRENCY",Input!F$2,Date)</f>
        <v>USD</v>
      </c>
      <c r="E277" s="15" t="str">
        <f>_xll.ciqfunctions.udf.CIQ(InputTicker, "IQ_FILING_CURRENCY",Input!G$2,Date)</f>
        <v>USD</v>
      </c>
      <c r="F277" s="15" t="str">
        <f>_xll.ciqfunctions.udf.CIQ(InputTicker, "IQ_FILING_CURRENCY",Input!H$2,Date)</f>
        <v>USD</v>
      </c>
      <c r="G277" s="15" t="str">
        <f>_xll.ciqfunctions.udf.CIQ(InputTicker, "IQ_FILING_CURRENCY",Input!I$2,Date)</f>
        <v>USD</v>
      </c>
      <c r="H277" s="15" t="str">
        <f>_xll.ciqfunctions.udf.CIQ(InputTicker, "IQ_FILING_CURRENCY",Input!J$2,Date)</f>
        <v>USD</v>
      </c>
      <c r="I277" s="15" t="str">
        <f>_xll.ciqfunctions.udf.CIQ(InputTicker, "IQ_FILING_CURRENCY",Input!K$2,Date)</f>
        <v>USD</v>
      </c>
      <c r="J277" s="15" t="str">
        <f>_xll.ciqfunctions.udf.CIQ(InputTicker, "IQ_FILING_CURRENCY",Input!L$2,Date)</f>
        <v>USD</v>
      </c>
      <c r="K277" s="15" t="str">
        <f>_xll.ciqfunctions.udf.CIQ(InputTicker, "IQ_FILING_CURRENCY",Input!M$2,Date)</f>
        <v>USD</v>
      </c>
      <c r="L277" s="15" t="str">
        <f>_xll.ciqfunctions.udf.CIQ(InputTicker, "IQ_FILING_CURRENCY",Input!N$2,Date)</f>
        <v>USD</v>
      </c>
      <c r="M277" s="15" t="str">
        <f>_xll.ciqfunctions.udf.CIQ(InputTicker, "IQ_FILING_CURRENCY",Input!O$2,Date)</f>
        <v>USD</v>
      </c>
      <c r="N277" s="42"/>
      <c r="P277" s="46"/>
      <c r="Q277" s="46"/>
      <c r="R277" s="46"/>
      <c r="S277" s="46"/>
      <c r="T277" s="42"/>
      <c r="U277" s="42"/>
      <c r="V277" s="46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</row>
    <row r="278" spans="1:66" ht="12.75" customHeight="1" x14ac:dyDescent="0.2">
      <c r="A278" s="1" t="s">
        <v>345</v>
      </c>
      <c r="B278" s="15" t="str">
        <f>_xll.ciqfunctions.udf.CIQ(InputTicker, "IQ_RESTATEMENT_CF",Input!D$2,Date)</f>
        <v>NC</v>
      </c>
      <c r="C278" s="15" t="str">
        <f>_xll.ciqfunctions.udf.CIQ(InputTicker, "IQ_RESTATEMENT_CF",Input!E$2,Date)</f>
        <v>RS</v>
      </c>
      <c r="D278" s="15" t="str">
        <f>_xll.ciqfunctions.udf.CIQ(InputTicker, "IQ_RESTATEMENT_CF",Input!F$2,Date)</f>
        <v>RS</v>
      </c>
      <c r="E278" s="15" t="str">
        <f>_xll.ciqfunctions.udf.CIQ(InputTicker, "IQ_RESTATEMENT_CF",Input!G$2,Date)</f>
        <v>NC</v>
      </c>
      <c r="F278" s="15" t="str">
        <f>_xll.ciqfunctions.udf.CIQ(InputTicker, "IQ_RESTATEMENT_CF",Input!H$2,Date)</f>
        <v>NC</v>
      </c>
      <c r="G278" s="15" t="str">
        <f>_xll.ciqfunctions.udf.CIQ(InputTicker, "IQ_RESTATEMENT_CF",Input!I$2,Date)</f>
        <v>NC</v>
      </c>
      <c r="H278" s="15" t="str">
        <f>_xll.ciqfunctions.udf.CIQ(InputTicker, "IQ_RESTATEMENT_CF",Input!J$2,Date)</f>
        <v>NC</v>
      </c>
      <c r="I278" s="15" t="str">
        <f>_xll.ciqfunctions.udf.CIQ(InputTicker, "IQ_RESTATEMENT_CF",Input!K$2,Date)</f>
        <v>RS</v>
      </c>
      <c r="J278" s="15" t="str">
        <f>_xll.ciqfunctions.udf.CIQ(InputTicker, "IQ_RESTATEMENT_CF",Input!L$2,Date)</f>
        <v>RS</v>
      </c>
      <c r="K278" s="15" t="str">
        <f>_xll.ciqfunctions.udf.CIQ(InputTicker, "IQ_RESTATEMENT_CF",Input!M$2,Date)</f>
        <v>NC</v>
      </c>
      <c r="L278" s="15" t="str">
        <f>_xll.ciqfunctions.udf.CIQ(InputTicker, "IQ_RESTATEMENT_CF",Input!N$2,Date)</f>
        <v>O</v>
      </c>
      <c r="M278" s="15" t="str">
        <f>_xll.ciqfunctions.udf.CIQ(InputTicker, "IQ_RESTATEMENT_CF",Input!O$2,Date)</f>
        <v>O</v>
      </c>
      <c r="N278" s="42"/>
      <c r="T278" s="46"/>
      <c r="U278" s="46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</row>
    <row r="279" spans="1:66" ht="12.75" customHeight="1" x14ac:dyDescent="0.2">
      <c r="A279" s="1" t="s">
        <v>346</v>
      </c>
      <c r="B279" s="15" t="str">
        <f>_xll.ciqfunctions.udf.CIQ(InputTicker, "IQ_CALC_TYPE_CF",Input!D$2,Date)</f>
        <v>REP</v>
      </c>
      <c r="C279" s="15" t="str">
        <f>_xll.ciqfunctions.udf.CIQ(InputTicker, "IQ_CALC_TYPE_CF",Input!E$2,Date)</f>
        <v>REP</v>
      </c>
      <c r="D279" s="15" t="str">
        <f>_xll.ciqfunctions.udf.CIQ(InputTicker, "IQ_CALC_TYPE_CF",Input!F$2,Date)</f>
        <v>REP</v>
      </c>
      <c r="E279" s="15" t="str">
        <f>_xll.ciqfunctions.udf.CIQ(InputTicker, "IQ_CALC_TYPE_CF",Input!G$2,Date)</f>
        <v>REP</v>
      </c>
      <c r="F279" s="15" t="str">
        <f>_xll.ciqfunctions.udf.CIQ(InputTicker, "IQ_CALC_TYPE_CF",Input!H$2,Date)</f>
        <v>REP</v>
      </c>
      <c r="G279" s="15" t="str">
        <f>_xll.ciqfunctions.udf.CIQ(InputTicker, "IQ_CALC_TYPE_CF",Input!I$2,Date)</f>
        <v>REP</v>
      </c>
      <c r="H279" s="15" t="str">
        <f>_xll.ciqfunctions.udf.CIQ(InputTicker, "IQ_CALC_TYPE_CF",Input!J$2,Date)</f>
        <v>REP</v>
      </c>
      <c r="I279" s="15" t="str">
        <f>_xll.ciqfunctions.udf.CIQ(InputTicker, "IQ_CALC_TYPE_CF",Input!K$2,Date)</f>
        <v>REP</v>
      </c>
      <c r="J279" s="15" t="str">
        <f>_xll.ciqfunctions.udf.CIQ(InputTicker, "IQ_CALC_TYPE_CF",Input!L$2,Date)</f>
        <v>REP</v>
      </c>
      <c r="K279" s="15" t="str">
        <f>_xll.ciqfunctions.udf.CIQ(InputTicker, "IQ_CALC_TYPE_CF",Input!M$2,Date)</f>
        <v>REP</v>
      </c>
      <c r="L279" s="15" t="str">
        <f>_xll.ciqfunctions.udf.CIQ(InputTicker, "IQ_CALC_TYPE_CF",Input!N$2,Date)</f>
        <v>REP</v>
      </c>
      <c r="M279" s="15" t="str">
        <f>_xll.ciqfunctions.udf.CIQ(InputTicker, "IQ_CALC_TYPE_CF",Input!O$2,Date)</f>
        <v>REP</v>
      </c>
      <c r="N279" s="42"/>
      <c r="S279" s="46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</row>
    <row r="280" spans="1:66" ht="12.75" customHeight="1" x14ac:dyDescent="0.2">
      <c r="A280" s="1" t="s">
        <v>376</v>
      </c>
      <c r="B280" s="15" t="str">
        <f>_xll.ciqfunctions.udf.CIQ(InputTicker, "IQ_GAAP_CF",Input!D$2,Date)</f>
        <v>US GAAP</v>
      </c>
      <c r="C280" s="15" t="str">
        <f>_xll.ciqfunctions.udf.CIQ(InputTicker, "IQ_GAAP_CF",Input!E$2,Date)</f>
        <v>US GAAP</v>
      </c>
      <c r="D280" s="15" t="str">
        <f>_xll.ciqfunctions.udf.CIQ(InputTicker, "IQ_GAAP_CF",Input!F$2,Date)</f>
        <v>US GAAP</v>
      </c>
      <c r="E280" s="15" t="str">
        <f>_xll.ciqfunctions.udf.CIQ(InputTicker, "IQ_GAAP_CF",Input!G$2,Date)</f>
        <v>US GAAP</v>
      </c>
      <c r="F280" s="15" t="str">
        <f>_xll.ciqfunctions.udf.CIQ(InputTicker, "IQ_GAAP_CF",Input!H$2,Date)</f>
        <v>US GAAP</v>
      </c>
      <c r="G280" s="15" t="str">
        <f>_xll.ciqfunctions.udf.CIQ(InputTicker, "IQ_GAAP_CF",Input!I$2,Date)</f>
        <v>US GAAP</v>
      </c>
      <c r="H280" s="15" t="str">
        <f>_xll.ciqfunctions.udf.CIQ(InputTicker, "IQ_GAAP_CF",Input!J$2,Date)</f>
        <v>US GAAP</v>
      </c>
      <c r="I280" s="15" t="str">
        <f>_xll.ciqfunctions.udf.CIQ(InputTicker, "IQ_GAAP_CF",Input!K$2,Date)</f>
        <v>US GAAP</v>
      </c>
      <c r="J280" s="15" t="str">
        <f>_xll.ciqfunctions.udf.CIQ(InputTicker, "IQ_GAAP_CF",Input!L$2,Date)</f>
        <v>US GAAP</v>
      </c>
      <c r="K280" s="15" t="str">
        <f>_xll.ciqfunctions.udf.CIQ(InputTicker, "IQ_GAAP_CF",Input!M$2,Date)</f>
        <v>US GAAP</v>
      </c>
      <c r="L280" s="15" t="str">
        <f>_xll.ciqfunctions.udf.CIQ(InputTicker, "IQ_GAAP_CF",Input!N$2,Date)</f>
        <v>US GAAP</v>
      </c>
      <c r="M280" s="15" t="str">
        <f>_xll.ciqfunctions.udf.CIQ(InputTicker, "IQ_GAAP_CF",Input!O$2,Date)</f>
        <v>US GAAP</v>
      </c>
      <c r="N280" s="42"/>
      <c r="P280" s="46"/>
      <c r="Q280" s="46"/>
      <c r="R280" s="46"/>
      <c r="T280" s="46"/>
      <c r="U280" s="46"/>
      <c r="V280" s="46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</row>
    <row r="281" spans="1:66" ht="12.75" customHeight="1" x14ac:dyDescent="0.2">
      <c r="A281" s="1" t="s">
        <v>85</v>
      </c>
      <c r="B281" s="4">
        <f>_xll.ciqfunctions.udf.CIQ(InputTicker, "IQ_CASH_EQUIV",Input!D$2,Date,,,Ccy,Conv)</f>
        <v>187.529</v>
      </c>
      <c r="C281" s="4">
        <f>_xll.ciqfunctions.udf.CIQ(InputTicker, "IQ_CASH_EQUIV",Input!E$2,Date,,,Ccy,Conv)</f>
        <v>217.417</v>
      </c>
      <c r="D281" s="4">
        <f>_xll.ciqfunctions.udf.CIQ(InputTicker, "IQ_CASH_EQUIV",Input!F$2,Date,,,Ccy,Conv)</f>
        <v>286.95800000000003</v>
      </c>
      <c r="E281" s="4">
        <f>_xll.ciqfunctions.udf.CIQ(InputTicker, "IQ_CASH_EQUIV",Input!G$2,Date,,,Ccy,Conv)</f>
        <v>283.99</v>
      </c>
      <c r="F281" s="4">
        <f>_xll.ciqfunctions.udf.CIQ(InputTicker, "IQ_CASH_EQUIV",Input!H$2,Date,,,Ccy,Conv)</f>
        <v>741.90099999999995</v>
      </c>
      <c r="G281" s="4">
        <f>_xll.ciqfunctions.udf.CIQ(InputTicker, "IQ_CASH_EQUIV",Input!I$2,Date,,,Ccy,Conv)</f>
        <v>990.95500000000004</v>
      </c>
      <c r="H281" s="4">
        <f>_xll.ciqfunctions.udf.CIQ(InputTicker, "IQ_CASH_EQUIV",Input!J$2,Date,,,Ccy,Conv)</f>
        <v>695.91</v>
      </c>
      <c r="I281" s="4">
        <f>_xll.ciqfunctions.udf.CIQ(InputTicker, "IQ_CASH_EQUIV",Input!K$2,Date,,,Ccy,Conv)</f>
        <v>404.86200000000002</v>
      </c>
      <c r="J281" s="4">
        <f>_xll.ciqfunctions.udf.CIQ(InputTicker, "IQ_CASH_EQUIV",Input!L$2,Date,,,Ccy,Conv)</f>
        <v>554</v>
      </c>
      <c r="K281" s="4">
        <f>_xll.ciqfunctions.udf.CIQ(InputTicker, "IQ_CASH_EQUIV",Input!M$2,Date,,,Ccy,Conv)</f>
        <v>885</v>
      </c>
      <c r="L281" s="4">
        <f>_xll.ciqfunctions.udf.CIQ(InputTicker, "IQ_CASH_EQUIV",Input!N$2,Date,,,Ccy,Conv)</f>
        <v>728</v>
      </c>
      <c r="M281" s="4">
        <f>_xll.ciqfunctions.udf.CIQ(InputTicker, "IQ_CASH_EQUIV",Input!O$2,Date,,,Ccy,Conv)</f>
        <v>728</v>
      </c>
      <c r="N281" s="42"/>
      <c r="S281" s="46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</row>
    <row r="282" spans="1:66" ht="12.75" customHeight="1" x14ac:dyDescent="0.2">
      <c r="A282" s="1" t="s">
        <v>86</v>
      </c>
      <c r="B282" s="4">
        <f>_xll.ciqfunctions.udf.CIQ(InputTicker, "IQ_ST_INVEST",Input!D$2,Date,,,Ccy,Conv)</f>
        <v>0</v>
      </c>
      <c r="C282" s="4">
        <f>_xll.ciqfunctions.udf.CIQ(InputTicker, "IQ_ST_INVEST",Input!E$2,Date,,,Ccy,Conv)</f>
        <v>0</v>
      </c>
      <c r="D282" s="4">
        <f>_xll.ciqfunctions.udf.CIQ(InputTicker, "IQ_ST_INVEST",Input!F$2,Date,,,Ccy,Conv)</f>
        <v>0</v>
      </c>
      <c r="E282" s="4">
        <f>_xll.ciqfunctions.udf.CIQ(InputTicker, "IQ_ST_INVEST",Input!G$2,Date,,,Ccy,Conv)</f>
        <v>0</v>
      </c>
      <c r="F282" s="4">
        <f>_xll.ciqfunctions.udf.CIQ(InputTicker, "IQ_ST_INVEST",Input!H$2,Date,,,Ccy,Conv)</f>
        <v>0</v>
      </c>
      <c r="G282" s="4">
        <f>_xll.ciqfunctions.udf.CIQ(InputTicker, "IQ_ST_INVEST",Input!I$2,Date,,,Ccy,Conv)</f>
        <v>0</v>
      </c>
      <c r="H282" s="4">
        <f>_xll.ciqfunctions.udf.CIQ(InputTicker, "IQ_ST_INVEST",Input!J$2,Date,,,Ccy,Conv)</f>
        <v>0</v>
      </c>
      <c r="I282" s="4">
        <f>_xll.ciqfunctions.udf.CIQ(InputTicker, "IQ_ST_INVEST",Input!K$2,Date,,,Ccy,Conv)</f>
        <v>0</v>
      </c>
      <c r="J282" s="4">
        <f>_xll.ciqfunctions.udf.CIQ(InputTicker, "IQ_ST_INVEST",Input!L$2,Date,,,Ccy,Conv)</f>
        <v>0</v>
      </c>
      <c r="K282" s="4">
        <f>_xll.ciqfunctions.udf.CIQ(InputTicker, "IQ_ST_INVEST",Input!M$2,Date,,,Ccy,Conv)</f>
        <v>0</v>
      </c>
      <c r="L282" s="4">
        <f>_xll.ciqfunctions.udf.CIQ(InputTicker, "IQ_ST_INVEST",Input!N$2,Date,,,Ccy,Conv)</f>
        <v>0</v>
      </c>
      <c r="M282" s="4">
        <f>_xll.ciqfunctions.udf.CIQ(InputTicker, "IQ_ST_INVEST",Input!O$2,Date,,,Ccy,Conv)</f>
        <v>0</v>
      </c>
      <c r="N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</row>
    <row r="283" spans="1:66" ht="12.75" customHeight="1" x14ac:dyDescent="0.2">
      <c r="A283" s="1" t="s">
        <v>170</v>
      </c>
      <c r="B283" s="4">
        <f>_xll.ciqfunctions.udf.CIQ(InputTicker, "IQ_TRADING_ASSETS",Input!D$2,Date,,,Ccy,Conv)</f>
        <v>0</v>
      </c>
      <c r="C283" s="4">
        <f>_xll.ciqfunctions.udf.CIQ(InputTicker, "IQ_TRADING_ASSETS",Input!E$2,Date,,,Ccy,Conv)</f>
        <v>0</v>
      </c>
      <c r="D283" s="4">
        <f>_xll.ciqfunctions.udf.CIQ(InputTicker, "IQ_TRADING_ASSETS",Input!F$2,Date,,,Ccy,Conv)</f>
        <v>0.7</v>
      </c>
      <c r="E283" s="4">
        <f>_xll.ciqfunctions.udf.CIQ(InputTicker, "IQ_TRADING_ASSETS",Input!G$2,Date,,,Ccy,Conv)</f>
        <v>1.79</v>
      </c>
      <c r="F283" s="4">
        <f>_xll.ciqfunctions.udf.CIQ(InputTicker, "IQ_TRADING_ASSETS",Input!H$2,Date,,,Ccy,Conv)</f>
        <v>0</v>
      </c>
      <c r="G283" s="4">
        <f>_xll.ciqfunctions.udf.CIQ(InputTicker, "IQ_TRADING_ASSETS",Input!I$2,Date,,,Ccy,Conv)</f>
        <v>0</v>
      </c>
      <c r="H283" s="4">
        <f>_xll.ciqfunctions.udf.CIQ(InputTicker, "IQ_TRADING_ASSETS",Input!J$2,Date,,,Ccy,Conv)</f>
        <v>0</v>
      </c>
      <c r="I283" s="4">
        <f>_xll.ciqfunctions.udf.CIQ(InputTicker, "IQ_TRADING_ASSETS",Input!K$2,Date,,,Ccy,Conv)</f>
        <v>11.244999999999999</v>
      </c>
      <c r="J283" s="4">
        <f>_xll.ciqfunctions.udf.CIQ(InputTicker, "IQ_TRADING_ASSETS",Input!L$2,Date,,,Ccy,Conv)</f>
        <v>0</v>
      </c>
      <c r="K283" s="4">
        <f>_xll.ciqfunctions.udf.CIQ(InputTicker, "IQ_TRADING_ASSETS",Input!M$2,Date,,,Ccy,Conv)</f>
        <v>0</v>
      </c>
      <c r="L283" s="4">
        <f>_xll.ciqfunctions.udf.CIQ(InputTicker, "IQ_TRADING_ASSETS",Input!N$2,Date,,,Ccy,Conv)</f>
        <v>0</v>
      </c>
      <c r="M283" s="4">
        <f>_xll.ciqfunctions.udf.CIQ(InputTicker, "IQ_TRADING_ASSETS",Input!O$2,Date,,,Ccy,Conv)</f>
        <v>0</v>
      </c>
      <c r="N283" s="46"/>
      <c r="S283" s="46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</row>
    <row r="284" spans="1:66" ht="12.75" customHeight="1" x14ac:dyDescent="0.2">
      <c r="A284" s="5" t="s">
        <v>87</v>
      </c>
      <c r="B284" s="6">
        <f>_xll.ciqfunctions.udf.CIQ(InputTicker, "IQ_CASH_ST_INVEST",Input!D$2,Date,,,Ccy,Conv)</f>
        <v>187.529</v>
      </c>
      <c r="C284" s="6">
        <f>_xll.ciqfunctions.udf.CIQ(InputTicker, "IQ_CASH_ST_INVEST",Input!E$2,Date,,,Ccy,Conv)</f>
        <v>217.417</v>
      </c>
      <c r="D284" s="6">
        <f>_xll.ciqfunctions.udf.CIQ(InputTicker, "IQ_CASH_ST_INVEST",Input!F$2,Date,,,Ccy,Conv)</f>
        <v>287.65800000000002</v>
      </c>
      <c r="E284" s="6">
        <f>_xll.ciqfunctions.udf.CIQ(InputTicker, "IQ_CASH_ST_INVEST",Input!G$2,Date,,,Ccy,Conv)</f>
        <v>285.77999999999997</v>
      </c>
      <c r="F284" s="6">
        <f>_xll.ciqfunctions.udf.CIQ(InputTicker, "IQ_CASH_ST_INVEST",Input!H$2,Date,,,Ccy,Conv)</f>
        <v>741.90099999999995</v>
      </c>
      <c r="G284" s="6">
        <f>_xll.ciqfunctions.udf.CIQ(InputTicker, "IQ_CASH_ST_INVEST",Input!I$2,Date,,,Ccy,Conv)</f>
        <v>990.95500000000004</v>
      </c>
      <c r="H284" s="6">
        <f>_xll.ciqfunctions.udf.CIQ(InputTicker, "IQ_CASH_ST_INVEST",Input!J$2,Date,,,Ccy,Conv)</f>
        <v>695.91</v>
      </c>
      <c r="I284" s="6">
        <f>_xll.ciqfunctions.udf.CIQ(InputTicker, "IQ_CASH_ST_INVEST",Input!K$2,Date,,,Ccy,Conv)</f>
        <v>416.10700000000003</v>
      </c>
      <c r="J284" s="6">
        <f>_xll.ciqfunctions.udf.CIQ(InputTicker, "IQ_CASH_ST_INVEST",Input!L$2,Date,,,Ccy,Conv)</f>
        <v>554</v>
      </c>
      <c r="K284" s="6">
        <f>_xll.ciqfunctions.udf.CIQ(InputTicker, "IQ_CASH_ST_INVEST",Input!M$2,Date,,,Ccy,Conv)</f>
        <v>885</v>
      </c>
      <c r="L284" s="6">
        <f>_xll.ciqfunctions.udf.CIQ(InputTicker, "IQ_CASH_ST_INVEST",Input!N$2,Date,,,Ccy,Conv)</f>
        <v>728</v>
      </c>
      <c r="M284" s="6">
        <f>_xll.ciqfunctions.udf.CIQ(InputTicker, "IQ_CASH_ST_INVEST",Input!O$2,Date,,,Ccy,Conv)</f>
        <v>728</v>
      </c>
      <c r="N284" s="42"/>
      <c r="P284" s="46"/>
      <c r="Q284" s="46"/>
      <c r="R284" s="46"/>
      <c r="T284" s="42"/>
      <c r="U284" s="42"/>
      <c r="V284" s="46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</row>
    <row r="285" spans="1:66" ht="12.75" customHeight="1" x14ac:dyDescent="0.2">
      <c r="A285" s="1" t="s">
        <v>55</v>
      </c>
      <c r="B285" s="4">
        <f>_xll.ciqfunctions.udf.CIQ(InputTicker, "IQ_AR",Input!D$2,Date,,,Ccy,Conv)</f>
        <v>892.28899999999999</v>
      </c>
      <c r="C285" s="4">
        <f>_xll.ciqfunctions.udf.CIQ(InputTicker, "IQ_AR",Input!E$2,Date,,,Ccy,Conv)</f>
        <v>991.81</v>
      </c>
      <c r="D285" s="4">
        <f>_xll.ciqfunctions.udf.CIQ(InputTicker, "IQ_AR",Input!F$2,Date,,,Ccy,Conv)</f>
        <v>1133.7049999999999</v>
      </c>
      <c r="E285" s="4">
        <f>_xll.ciqfunctions.udf.CIQ(InputTicker, "IQ_AR",Input!G$2,Date,,,Ccy,Conv)</f>
        <v>1330.364</v>
      </c>
      <c r="F285" s="4">
        <f>_xll.ciqfunctions.udf.CIQ(InputTicker, "IQ_AR",Input!H$2,Date,,,Ccy,Conv)</f>
        <v>1459.471</v>
      </c>
      <c r="G285" s="4">
        <f>_xll.ciqfunctions.udf.CIQ(InputTicker, "IQ_AR",Input!I$2,Date,,,Ccy,Conv)</f>
        <v>1411.894</v>
      </c>
      <c r="H285" s="4">
        <f>_xll.ciqfunctions.udf.CIQ(InputTicker, "IQ_AR",Input!J$2,Date,,,Ccy,Conv)</f>
        <v>1622.989</v>
      </c>
      <c r="I285" s="4">
        <f>_xll.ciqfunctions.udf.CIQ(InputTicker, "IQ_AR",Input!K$2,Date,,,Ccy,Conv)</f>
        <v>1774.83</v>
      </c>
      <c r="J285" s="4">
        <f>_xll.ciqfunctions.udf.CIQ(InputTicker, "IQ_AR",Input!L$2,Date,,,Ccy,Conv)</f>
        <v>2047</v>
      </c>
      <c r="K285" s="4">
        <f>_xll.ciqfunctions.udf.CIQ(InputTicker, "IQ_AR",Input!M$2,Date,,,Ccy,Conv)</f>
        <v>2271</v>
      </c>
      <c r="L285" s="4">
        <f>_xll.ciqfunctions.udf.CIQ(InputTicker, "IQ_AR",Input!N$2,Date,,,Ccy,Conv)</f>
        <v>2063</v>
      </c>
      <c r="M285" s="4">
        <f>_xll.ciqfunctions.udf.CIQ(InputTicker, "IQ_AR",Input!O$2,Date,,,Ccy,Conv)</f>
        <v>2063</v>
      </c>
      <c r="N285" s="42"/>
      <c r="P285" s="46"/>
      <c r="Q285" s="46"/>
      <c r="R285" s="46"/>
      <c r="T285" s="42"/>
      <c r="U285" s="42"/>
      <c r="V285" s="46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</row>
    <row r="286" spans="1:66" ht="12.75" customHeight="1" x14ac:dyDescent="0.2">
      <c r="A286" s="1" t="s">
        <v>171</v>
      </c>
      <c r="B286" s="4">
        <f>_xll.ciqfunctions.udf.CIQ(InputTicker, "IQ_OTHER_RECEIV",Input!D$2,Date,,,Ccy,Conv)</f>
        <v>0</v>
      </c>
      <c r="C286" s="4">
        <f>_xll.ciqfunctions.udf.CIQ(InputTicker, "IQ_OTHER_RECEIV",Input!E$2,Date,,,Ccy,Conv)</f>
        <v>0</v>
      </c>
      <c r="D286" s="4">
        <f>_xll.ciqfunctions.udf.CIQ(InputTicker, "IQ_OTHER_RECEIV",Input!F$2,Date,,,Ccy,Conv)</f>
        <v>0</v>
      </c>
      <c r="E286" s="4">
        <f>_xll.ciqfunctions.udf.CIQ(InputTicker, "IQ_OTHER_RECEIV",Input!G$2,Date,,,Ccy,Conv)</f>
        <v>0</v>
      </c>
      <c r="F286" s="4">
        <f>_xll.ciqfunctions.udf.CIQ(InputTicker, "IQ_OTHER_RECEIV",Input!H$2,Date,,,Ccy,Conv)</f>
        <v>0</v>
      </c>
      <c r="G286" s="4">
        <f>_xll.ciqfunctions.udf.CIQ(InputTicker, "IQ_OTHER_RECEIV",Input!I$2,Date,,,Ccy,Conv)</f>
        <v>175.541</v>
      </c>
      <c r="H286" s="4">
        <f>_xll.ciqfunctions.udf.CIQ(InputTicker, "IQ_OTHER_RECEIV",Input!J$2,Date,,,Ccy,Conv)</f>
        <v>47.142000000000003</v>
      </c>
      <c r="I286" s="4">
        <f>_xll.ciqfunctions.udf.CIQ(InputTicker, "IQ_OTHER_RECEIV",Input!K$2,Date,,,Ccy,Conv)</f>
        <v>23.632999999999999</v>
      </c>
      <c r="J286" s="4">
        <f>_xll.ciqfunctions.udf.CIQ(InputTicker, "IQ_OTHER_RECEIV",Input!L$2,Date,,,Ccy,Conv)</f>
        <v>47</v>
      </c>
      <c r="K286" s="4">
        <f>_xll.ciqfunctions.udf.CIQ(InputTicker, "IQ_OTHER_RECEIV",Input!M$2,Date,,,Ccy,Conv)</f>
        <v>0</v>
      </c>
      <c r="L286" s="4">
        <f>_xll.ciqfunctions.udf.CIQ(InputTicker, "IQ_OTHER_RECEIV",Input!N$2,Date,,,Ccy,Conv)</f>
        <v>0</v>
      </c>
      <c r="M286" s="4">
        <f>_xll.ciqfunctions.udf.CIQ(InputTicker, "IQ_OTHER_RECEIV",Input!O$2,Date,,,Ccy,Conv)</f>
        <v>0</v>
      </c>
      <c r="N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</row>
    <row r="287" spans="1:66" ht="12.75" customHeight="1" x14ac:dyDescent="0.2">
      <c r="A287" s="1" t="s">
        <v>88</v>
      </c>
      <c r="B287" s="4">
        <f>_xll.ciqfunctions.udf.CIQ(InputTicker, "IQ_ST_NOTE_RECEIV",Input!D$2,Date,,,Ccy,Conv)</f>
        <v>0</v>
      </c>
      <c r="C287" s="4">
        <f>_xll.ciqfunctions.udf.CIQ(InputTicker, "IQ_ST_NOTE_RECEIV",Input!E$2,Date,,,Ccy,Conv)</f>
        <v>0</v>
      </c>
      <c r="D287" s="4">
        <f>_xll.ciqfunctions.udf.CIQ(InputTicker, "IQ_ST_NOTE_RECEIV",Input!F$2,Date,,,Ccy,Conv)</f>
        <v>0</v>
      </c>
      <c r="E287" s="4">
        <f>_xll.ciqfunctions.udf.CIQ(InputTicker, "IQ_ST_NOTE_RECEIV",Input!G$2,Date,,,Ccy,Conv)</f>
        <v>0</v>
      </c>
      <c r="F287" s="4">
        <f>_xll.ciqfunctions.udf.CIQ(InputTicker, "IQ_ST_NOTE_RECEIV",Input!H$2,Date,,,Ccy,Conv)</f>
        <v>0</v>
      </c>
      <c r="G287" s="4">
        <f>_xll.ciqfunctions.udf.CIQ(InputTicker, "IQ_ST_NOTE_RECEIV",Input!I$2,Date,,,Ccy,Conv)</f>
        <v>0</v>
      </c>
      <c r="H287" s="4">
        <f>_xll.ciqfunctions.udf.CIQ(InputTicker, "IQ_ST_NOTE_RECEIV",Input!J$2,Date,,,Ccy,Conv)</f>
        <v>0</v>
      </c>
      <c r="I287" s="4">
        <f>_xll.ciqfunctions.udf.CIQ(InputTicker, "IQ_ST_NOTE_RECEIV",Input!K$2,Date,,,Ccy,Conv)</f>
        <v>0</v>
      </c>
      <c r="J287" s="4">
        <f>_xll.ciqfunctions.udf.CIQ(InputTicker, "IQ_ST_NOTE_RECEIV",Input!L$2,Date,,,Ccy,Conv)</f>
        <v>0</v>
      </c>
      <c r="K287" s="4">
        <f>_xll.ciqfunctions.udf.CIQ(InputTicker, "IQ_ST_NOTE_RECEIV",Input!M$2,Date,,,Ccy,Conv)</f>
        <v>0</v>
      </c>
      <c r="L287" s="4">
        <f>_xll.ciqfunctions.udf.CIQ(InputTicker, "IQ_ST_NOTE_RECEIV",Input!N$2,Date,,,Ccy,Conv)</f>
        <v>0</v>
      </c>
      <c r="M287" s="4">
        <f>_xll.ciqfunctions.udf.CIQ(InputTicker, "IQ_ST_NOTE_RECEIV",Input!O$2,Date,,,Ccy,Conv)</f>
        <v>0</v>
      </c>
      <c r="N287" s="42"/>
      <c r="P287" s="46"/>
      <c r="Q287" s="46"/>
      <c r="R287" s="46"/>
      <c r="T287" s="42"/>
      <c r="U287" s="42"/>
      <c r="V287" s="46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</row>
    <row r="288" spans="1:66" ht="12.75" customHeight="1" x14ac:dyDescent="0.2">
      <c r="A288" s="5" t="s">
        <v>89</v>
      </c>
      <c r="B288" s="6">
        <f>_xll.ciqfunctions.udf.CIQ(InputTicker, "IQ_TOTAL_RECEIV",Input!D$2,Date,,,Ccy,Conv)</f>
        <v>892.28899999999999</v>
      </c>
      <c r="C288" s="6">
        <f>_xll.ciqfunctions.udf.CIQ(InputTicker, "IQ_TOTAL_RECEIV",Input!E$2,Date,,,Ccy,Conv)</f>
        <v>991.81</v>
      </c>
      <c r="D288" s="6">
        <f>_xll.ciqfunctions.udf.CIQ(InputTicker, "IQ_TOTAL_RECEIV",Input!F$2,Date,,,Ccy,Conv)</f>
        <v>1133.7049999999999</v>
      </c>
      <c r="E288" s="6">
        <f>_xll.ciqfunctions.udf.CIQ(InputTicker, "IQ_TOTAL_RECEIV",Input!G$2,Date,,,Ccy,Conv)</f>
        <v>1330.364</v>
      </c>
      <c r="F288" s="6">
        <f>_xll.ciqfunctions.udf.CIQ(InputTicker, "IQ_TOTAL_RECEIV",Input!H$2,Date,,,Ccy,Conv)</f>
        <v>1459.471</v>
      </c>
      <c r="G288" s="6">
        <f>_xll.ciqfunctions.udf.CIQ(InputTicker, "IQ_TOTAL_RECEIV",Input!I$2,Date,,,Ccy,Conv)</f>
        <v>1587.4349999999999</v>
      </c>
      <c r="H288" s="6">
        <f>_xll.ciqfunctions.udf.CIQ(InputTicker, "IQ_TOTAL_RECEIV",Input!J$2,Date,,,Ccy,Conv)</f>
        <v>1670.1310000000001</v>
      </c>
      <c r="I288" s="6">
        <f>_xll.ciqfunctions.udf.CIQ(InputTicker, "IQ_TOTAL_RECEIV",Input!K$2,Date,,,Ccy,Conv)</f>
        <v>1798.463</v>
      </c>
      <c r="J288" s="6">
        <f>_xll.ciqfunctions.udf.CIQ(InputTicker, "IQ_TOTAL_RECEIV",Input!L$2,Date,,,Ccy,Conv)</f>
        <v>2094</v>
      </c>
      <c r="K288" s="6">
        <f>_xll.ciqfunctions.udf.CIQ(InputTicker, "IQ_TOTAL_RECEIV",Input!M$2,Date,,,Ccy,Conv)</f>
        <v>2271</v>
      </c>
      <c r="L288" s="6">
        <f>_xll.ciqfunctions.udf.CIQ(InputTicker, "IQ_TOTAL_RECEIV",Input!N$2,Date,,,Ccy,Conv)</f>
        <v>2063</v>
      </c>
      <c r="M288" s="6">
        <f>_xll.ciqfunctions.udf.CIQ(InputTicker, "IQ_TOTAL_RECEIV",Input!O$2,Date,,,Ccy,Conv)</f>
        <v>2063</v>
      </c>
      <c r="N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</row>
    <row r="289" spans="1:66" ht="12.75" customHeight="1" x14ac:dyDescent="0.2">
      <c r="A289" s="1" t="s">
        <v>90</v>
      </c>
      <c r="B289" s="4">
        <f>_xll.ciqfunctions.udf.CIQ(InputTicker, "IQ_INVENTORY",Input!D$2,Date,,,Ccy,Conv)</f>
        <v>0</v>
      </c>
      <c r="C289" s="4">
        <f>_xll.ciqfunctions.udf.CIQ(InputTicker, "IQ_INVENTORY",Input!E$2,Date,,,Ccy,Conv)</f>
        <v>0</v>
      </c>
      <c r="D289" s="4">
        <f>_xll.ciqfunctions.udf.CIQ(InputTicker, "IQ_INVENTORY",Input!F$2,Date,,,Ccy,Conv)</f>
        <v>0</v>
      </c>
      <c r="E289" s="4">
        <f>_xll.ciqfunctions.udf.CIQ(InputTicker, "IQ_INVENTORY",Input!G$2,Date,,,Ccy,Conv)</f>
        <v>0</v>
      </c>
      <c r="F289" s="4">
        <f>_xll.ciqfunctions.udf.CIQ(InputTicker, "IQ_INVENTORY",Input!H$2,Date,,,Ccy,Conv)</f>
        <v>0</v>
      </c>
      <c r="G289" s="4">
        <f>_xll.ciqfunctions.udf.CIQ(InputTicker, "IQ_INVENTORY",Input!I$2,Date,,,Ccy,Conv)</f>
        <v>0</v>
      </c>
      <c r="H289" s="4">
        <f>_xll.ciqfunctions.udf.CIQ(InputTicker, "IQ_INVENTORY",Input!J$2,Date,,,Ccy,Conv)</f>
        <v>0</v>
      </c>
      <c r="I289" s="4">
        <f>_xll.ciqfunctions.udf.CIQ(InputTicker, "IQ_INVENTORY",Input!K$2,Date,,,Ccy,Conv)</f>
        <v>0</v>
      </c>
      <c r="J289" s="4">
        <f>_xll.ciqfunctions.udf.CIQ(InputTicker, "IQ_INVENTORY",Input!L$2,Date,,,Ccy,Conv)</f>
        <v>0</v>
      </c>
      <c r="K289" s="4">
        <f>_xll.ciqfunctions.udf.CIQ(InputTicker, "IQ_INVENTORY",Input!M$2,Date,,,Ccy,Conv)</f>
        <v>0</v>
      </c>
      <c r="L289" s="4">
        <f>_xll.ciqfunctions.udf.CIQ(InputTicker, "IQ_INVENTORY",Input!N$2,Date,,,Ccy,Conv)</f>
        <v>0</v>
      </c>
      <c r="M289" s="4">
        <f>_xll.ciqfunctions.udf.CIQ(InputTicker, "IQ_INVENTORY",Input!O$2,Date,,,Ccy,Conv)</f>
        <v>0</v>
      </c>
      <c r="N289" s="42"/>
      <c r="T289" s="46"/>
      <c r="U289" s="46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</row>
    <row r="290" spans="1:66" ht="12.75" customHeight="1" x14ac:dyDescent="0.2">
      <c r="A290" s="1" t="s">
        <v>91</v>
      </c>
      <c r="B290" s="4">
        <f>_xll.ciqfunctions.udf.CIQ(InputTicker, "IQ_PREPAID_EXP",Input!D$2,Date,,,Ccy,Conv)</f>
        <v>109.953</v>
      </c>
      <c r="C290" s="4">
        <f>_xll.ciqfunctions.udf.CIQ(InputTicker, "IQ_PREPAID_EXP",Input!E$2,Date,,,Ccy,Conv)</f>
        <v>85.253</v>
      </c>
      <c r="D290" s="4">
        <f>_xll.ciqfunctions.udf.CIQ(InputTicker, "IQ_PREPAID_EXP",Input!F$2,Date,,,Ccy,Conv)</f>
        <v>70.608999999999995</v>
      </c>
      <c r="E290" s="4">
        <f>_xll.ciqfunctions.udf.CIQ(InputTicker, "IQ_PREPAID_EXP",Input!G$2,Date,,,Ccy,Conv)</f>
        <v>83.195999999999998</v>
      </c>
      <c r="F290" s="4">
        <f>_xll.ciqfunctions.udf.CIQ(InputTicker, "IQ_PREPAID_EXP",Input!H$2,Date,,,Ccy,Conv)</f>
        <v>126.816</v>
      </c>
      <c r="G290" s="4">
        <f>_xll.ciqfunctions.udf.CIQ(InputTicker, "IQ_PREPAID_EXP",Input!I$2,Date,,,Ccy,Conv)</f>
        <v>57.781999999999996</v>
      </c>
      <c r="H290" s="4">
        <f>_xll.ciqfunctions.udf.CIQ(InputTicker, "IQ_PREPAID_EXP",Input!J$2,Date,,,Ccy,Conv)</f>
        <v>79.635000000000005</v>
      </c>
      <c r="I290" s="4">
        <f>_xll.ciqfunctions.udf.CIQ(InputTicker, "IQ_PREPAID_EXP",Input!K$2,Date,,,Ccy,Conv)</f>
        <v>73.488</v>
      </c>
      <c r="J290" s="4">
        <f>_xll.ciqfunctions.udf.CIQ(InputTicker, "IQ_PREPAID_EXP",Input!L$2,Date,,,Ccy,Conv)</f>
        <v>91</v>
      </c>
      <c r="K290" s="4">
        <f>_xll.ciqfunctions.udf.CIQ(InputTicker, "IQ_PREPAID_EXP",Input!M$2,Date,,,Ccy,Conv)</f>
        <v>157</v>
      </c>
      <c r="L290" s="4">
        <f>_xll.ciqfunctions.udf.CIQ(InputTicker, "IQ_PREPAID_EXP",Input!N$2,Date,,,Ccy,Conv)</f>
        <v>170</v>
      </c>
      <c r="M290" s="4">
        <f>_xll.ciqfunctions.udf.CIQ(InputTicker, "IQ_PREPAID_EXP",Input!O$2,Date,,,Ccy,Conv)</f>
        <v>170</v>
      </c>
      <c r="N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</row>
    <row r="291" spans="1:66" ht="12.75" customHeight="1" x14ac:dyDescent="0.2">
      <c r="A291" s="1" t="s">
        <v>172</v>
      </c>
      <c r="B291" s="4">
        <f>_xll.ciqfunctions.udf.CIQ(InputTicker, "IQ_FIN_DIV_LOANS_CURRENT",Input!D$2,Date,,,Ccy,Conv)</f>
        <v>0</v>
      </c>
      <c r="C291" s="4">
        <f>_xll.ciqfunctions.udf.CIQ(InputTicker, "IQ_FIN_DIV_LOANS_CURRENT",Input!E$2,Date,,,Ccy,Conv)</f>
        <v>0</v>
      </c>
      <c r="D291" s="4">
        <f>_xll.ciqfunctions.udf.CIQ(InputTicker, "IQ_FIN_DIV_LOANS_CURRENT",Input!F$2,Date,,,Ccy,Conv)</f>
        <v>0</v>
      </c>
      <c r="E291" s="4">
        <f>_xll.ciqfunctions.udf.CIQ(InputTicker, "IQ_FIN_DIV_LOANS_CURRENT",Input!G$2,Date,,,Ccy,Conv)</f>
        <v>0</v>
      </c>
      <c r="F291" s="4">
        <f>_xll.ciqfunctions.udf.CIQ(InputTicker, "IQ_FIN_DIV_LOANS_CURRENT",Input!H$2,Date,,,Ccy,Conv)</f>
        <v>0</v>
      </c>
      <c r="G291" s="4">
        <f>_xll.ciqfunctions.udf.CIQ(InputTicker, "IQ_FIN_DIV_LOANS_CURRENT",Input!I$2,Date,,,Ccy,Conv)</f>
        <v>0</v>
      </c>
      <c r="H291" s="4">
        <f>_xll.ciqfunctions.udf.CIQ(InputTicker, "IQ_FIN_DIV_LOANS_CURRENT",Input!J$2,Date,,,Ccy,Conv)</f>
        <v>0</v>
      </c>
      <c r="I291" s="4">
        <f>_xll.ciqfunctions.udf.CIQ(InputTicker, "IQ_FIN_DIV_LOANS_CURRENT",Input!K$2,Date,,,Ccy,Conv)</f>
        <v>0</v>
      </c>
      <c r="J291" s="4">
        <f>_xll.ciqfunctions.udf.CIQ(InputTicker, "IQ_FIN_DIV_LOANS_CURRENT",Input!L$2,Date,,,Ccy,Conv)</f>
        <v>0</v>
      </c>
      <c r="K291" s="4">
        <f>_xll.ciqfunctions.udf.CIQ(InputTicker, "IQ_FIN_DIV_LOANS_CURRENT",Input!M$2,Date,,,Ccy,Conv)</f>
        <v>0</v>
      </c>
      <c r="L291" s="4">
        <f>_xll.ciqfunctions.udf.CIQ(InputTicker, "IQ_FIN_DIV_LOANS_CURRENT",Input!N$2,Date,,,Ccy,Conv)</f>
        <v>0</v>
      </c>
      <c r="M291" s="4">
        <f>_xll.ciqfunctions.udf.CIQ(InputTicker, "IQ_FIN_DIV_LOANS_CURRENT",Input!O$2,Date,,,Ccy,Conv)</f>
        <v>0</v>
      </c>
      <c r="N291" s="46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</row>
    <row r="292" spans="1:66" ht="12.75" customHeight="1" x14ac:dyDescent="0.2">
      <c r="A292" s="1" t="s">
        <v>173</v>
      </c>
      <c r="B292" s="4">
        <f>_xll.ciqfunctions.udf.CIQ(InputTicker, "IQ_FIN_DIV_ASSETS_CURRENT",Input!D$2,Date,,,Ccy,Conv)</f>
        <v>0</v>
      </c>
      <c r="C292" s="4">
        <f>_xll.ciqfunctions.udf.CIQ(InputTicker, "IQ_FIN_DIV_ASSETS_CURRENT",Input!E$2,Date,,,Ccy,Conv)</f>
        <v>0</v>
      </c>
      <c r="D292" s="4">
        <f>_xll.ciqfunctions.udf.CIQ(InputTicker, "IQ_FIN_DIV_ASSETS_CURRENT",Input!F$2,Date,,,Ccy,Conv)</f>
        <v>0</v>
      </c>
      <c r="E292" s="4">
        <f>_xll.ciqfunctions.udf.CIQ(InputTicker, "IQ_FIN_DIV_ASSETS_CURRENT",Input!G$2,Date,,,Ccy,Conv)</f>
        <v>0</v>
      </c>
      <c r="F292" s="4">
        <f>_xll.ciqfunctions.udf.CIQ(InputTicker, "IQ_FIN_DIV_ASSETS_CURRENT",Input!H$2,Date,,,Ccy,Conv)</f>
        <v>0</v>
      </c>
      <c r="G292" s="4">
        <f>_xll.ciqfunctions.udf.CIQ(InputTicker, "IQ_FIN_DIV_ASSETS_CURRENT",Input!I$2,Date,,,Ccy,Conv)</f>
        <v>0</v>
      </c>
      <c r="H292" s="4">
        <f>_xll.ciqfunctions.udf.CIQ(InputTicker, "IQ_FIN_DIV_ASSETS_CURRENT",Input!J$2,Date,,,Ccy,Conv)</f>
        <v>0</v>
      </c>
      <c r="I292" s="4">
        <f>_xll.ciqfunctions.udf.CIQ(InputTicker, "IQ_FIN_DIV_ASSETS_CURRENT",Input!K$2,Date,,,Ccy,Conv)</f>
        <v>0</v>
      </c>
      <c r="J292" s="4">
        <f>_xll.ciqfunctions.udf.CIQ(InputTicker, "IQ_FIN_DIV_ASSETS_CURRENT",Input!L$2,Date,,,Ccy,Conv)</f>
        <v>0</v>
      </c>
      <c r="K292" s="4">
        <f>_xll.ciqfunctions.udf.CIQ(InputTicker, "IQ_FIN_DIV_ASSETS_CURRENT",Input!M$2,Date,,,Ccy,Conv)</f>
        <v>0</v>
      </c>
      <c r="L292" s="4">
        <f>_xll.ciqfunctions.udf.CIQ(InputTicker, "IQ_FIN_DIV_ASSETS_CURRENT",Input!N$2,Date,,,Ccy,Conv)</f>
        <v>0</v>
      </c>
      <c r="M292" s="4">
        <f>_xll.ciqfunctions.udf.CIQ(InputTicker, "IQ_FIN_DIV_ASSETS_CURRENT",Input!O$2,Date,,,Ccy,Conv)</f>
        <v>0</v>
      </c>
      <c r="N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</row>
    <row r="293" spans="1:66" ht="12.75" customHeight="1" x14ac:dyDescent="0.2">
      <c r="A293" s="1" t="s">
        <v>174</v>
      </c>
      <c r="B293" s="4">
        <f>_xll.ciqfunctions.udf.CIQ(InputTicker, "IQ_LOANS_FOR_SALE",Input!D$2,Date,,,Ccy,Conv)</f>
        <v>0</v>
      </c>
      <c r="C293" s="4">
        <f>_xll.ciqfunctions.udf.CIQ(InputTicker, "IQ_LOANS_FOR_SALE",Input!E$2,Date,,,Ccy,Conv)</f>
        <v>0</v>
      </c>
      <c r="D293" s="4">
        <f>_xll.ciqfunctions.udf.CIQ(InputTicker, "IQ_LOANS_FOR_SALE",Input!F$2,Date,,,Ccy,Conv)</f>
        <v>0</v>
      </c>
      <c r="E293" s="4">
        <f>_xll.ciqfunctions.udf.CIQ(InputTicker, "IQ_LOANS_FOR_SALE",Input!G$2,Date,,,Ccy,Conv)</f>
        <v>0</v>
      </c>
      <c r="F293" s="4">
        <f>_xll.ciqfunctions.udf.CIQ(InputTicker, "IQ_LOANS_FOR_SALE",Input!H$2,Date,,,Ccy,Conv)</f>
        <v>0</v>
      </c>
      <c r="G293" s="4">
        <f>_xll.ciqfunctions.udf.CIQ(InputTicker, "IQ_LOANS_FOR_SALE",Input!I$2,Date,,,Ccy,Conv)</f>
        <v>0</v>
      </c>
      <c r="H293" s="4">
        <f>_xll.ciqfunctions.udf.CIQ(InputTicker, "IQ_LOANS_FOR_SALE",Input!J$2,Date,,,Ccy,Conv)</f>
        <v>0</v>
      </c>
      <c r="I293" s="4">
        <f>_xll.ciqfunctions.udf.CIQ(InputTicker, "IQ_LOANS_FOR_SALE",Input!K$2,Date,,,Ccy,Conv)</f>
        <v>0</v>
      </c>
      <c r="J293" s="4">
        <f>_xll.ciqfunctions.udf.CIQ(InputTicker, "IQ_LOANS_FOR_SALE",Input!L$2,Date,,,Ccy,Conv)</f>
        <v>0</v>
      </c>
      <c r="K293" s="4">
        <f>_xll.ciqfunctions.udf.CIQ(InputTicker, "IQ_LOANS_FOR_SALE",Input!M$2,Date,,,Ccy,Conv)</f>
        <v>0</v>
      </c>
      <c r="L293" s="4">
        <f>_xll.ciqfunctions.udf.CIQ(InputTicker, "IQ_LOANS_FOR_SALE",Input!N$2,Date,,,Ccy,Conv)</f>
        <v>0</v>
      </c>
      <c r="M293" s="4">
        <f>_xll.ciqfunctions.udf.CIQ(InputTicker, "IQ_LOANS_FOR_SALE",Input!O$2,Date,,,Ccy,Conv)</f>
        <v>0</v>
      </c>
      <c r="N293" s="46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</row>
    <row r="294" spans="1:66" ht="12.75" customHeight="1" x14ac:dyDescent="0.2">
      <c r="A294" s="1" t="s">
        <v>130</v>
      </c>
      <c r="B294" s="4">
        <f>_xll.ciqfunctions.udf.CIQ(InputTicker, "IQ_DEF_TAX_ASSETS_CURRENT",Input!D$2,Date,,,Ccy,Conv)</f>
        <v>0</v>
      </c>
      <c r="C294" s="4">
        <f>_xll.ciqfunctions.udf.CIQ(InputTicker, "IQ_DEF_TAX_ASSETS_CURRENT",Input!E$2,Date,,,Ccy,Conv)</f>
        <v>0</v>
      </c>
      <c r="D294" s="4">
        <f>_xll.ciqfunctions.udf.CIQ(InputTicker, "IQ_DEF_TAX_ASSETS_CURRENT",Input!F$2,Date,,,Ccy,Conv)</f>
        <v>0</v>
      </c>
      <c r="E294" s="4">
        <f>_xll.ciqfunctions.udf.CIQ(InputTicker, "IQ_DEF_TAX_ASSETS_CURRENT",Input!G$2,Date,,,Ccy,Conv)</f>
        <v>0</v>
      </c>
      <c r="F294" s="4">
        <f>_xll.ciqfunctions.udf.CIQ(InputTicker, "IQ_DEF_TAX_ASSETS_CURRENT",Input!H$2,Date,,,Ccy,Conv)</f>
        <v>0</v>
      </c>
      <c r="G294" s="4">
        <f>_xll.ciqfunctions.udf.CIQ(InputTicker, "IQ_DEF_TAX_ASSETS_CURRENT",Input!I$2,Date,,,Ccy,Conv)</f>
        <v>0</v>
      </c>
      <c r="H294" s="4">
        <f>_xll.ciqfunctions.udf.CIQ(InputTicker, "IQ_DEF_TAX_ASSETS_CURRENT",Input!J$2,Date,,,Ccy,Conv)</f>
        <v>0</v>
      </c>
      <c r="I294" s="4">
        <f>_xll.ciqfunctions.udf.CIQ(InputTicker, "IQ_DEF_TAX_ASSETS_CURRENT",Input!K$2,Date,,,Ccy,Conv)</f>
        <v>0</v>
      </c>
      <c r="J294" s="4">
        <f>_xll.ciqfunctions.udf.CIQ(InputTicker, "IQ_DEF_TAX_ASSETS_CURRENT",Input!L$2,Date,,,Ccy,Conv)</f>
        <v>0</v>
      </c>
      <c r="K294" s="4">
        <f>_xll.ciqfunctions.udf.CIQ(InputTicker, "IQ_DEF_TAX_ASSETS_CURRENT",Input!M$2,Date,,,Ccy,Conv)</f>
        <v>0</v>
      </c>
      <c r="L294" s="4">
        <f>_xll.ciqfunctions.udf.CIQ(InputTicker, "IQ_DEF_TAX_ASSETS_CURRENT",Input!N$2,Date,,,Ccy,Conv)</f>
        <v>0</v>
      </c>
      <c r="M294" s="4">
        <f>_xll.ciqfunctions.udf.CIQ(InputTicker, "IQ_DEF_TAX_ASSETS_CURRENT",Input!O$2,Date,,,Ccy,Conv)</f>
        <v>0</v>
      </c>
      <c r="N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</row>
    <row r="295" spans="1:66" ht="12.75" customHeight="1" x14ac:dyDescent="0.2">
      <c r="A295" s="1" t="s">
        <v>175</v>
      </c>
      <c r="B295" s="4">
        <f>_xll.ciqfunctions.udf.CIQ(InputTicker, "IQ_RESTRICTED_CASH",Input!D$2,Date,,,Ccy,Conv)</f>
        <v>0</v>
      </c>
      <c r="C295" s="4">
        <f>_xll.ciqfunctions.udf.CIQ(InputTicker, "IQ_RESTRICTED_CASH",Input!E$2,Date,,,Ccy,Conv)</f>
        <v>0</v>
      </c>
      <c r="D295" s="4">
        <f>_xll.ciqfunctions.udf.CIQ(InputTicker, "IQ_RESTRICTED_CASH",Input!F$2,Date,,,Ccy,Conv)</f>
        <v>0</v>
      </c>
      <c r="E295" s="4">
        <f>_xll.ciqfunctions.udf.CIQ(InputTicker, "IQ_RESTRICTED_CASH",Input!G$2,Date,,,Ccy,Conv)</f>
        <v>0</v>
      </c>
      <c r="F295" s="4">
        <f>_xll.ciqfunctions.udf.CIQ(InputTicker, "IQ_RESTRICTED_CASH",Input!H$2,Date,,,Ccy,Conv)</f>
        <v>0</v>
      </c>
      <c r="G295" s="4">
        <f>_xll.ciqfunctions.udf.CIQ(InputTicker, "IQ_RESTRICTED_CASH",Input!I$2,Date,,,Ccy,Conv)</f>
        <v>0</v>
      </c>
      <c r="H295" s="4">
        <f>_xll.ciqfunctions.udf.CIQ(InputTicker, "IQ_RESTRICTED_CASH",Input!J$2,Date,,,Ccy,Conv)</f>
        <v>0</v>
      </c>
      <c r="I295" s="4">
        <f>_xll.ciqfunctions.udf.CIQ(InputTicker, "IQ_RESTRICTED_CASH",Input!K$2,Date,,,Ccy,Conv)</f>
        <v>0</v>
      </c>
      <c r="J295" s="4">
        <f>_xll.ciqfunctions.udf.CIQ(InputTicker, "IQ_RESTRICTED_CASH",Input!L$2,Date,,,Ccy,Conv)</f>
        <v>0</v>
      </c>
      <c r="K295" s="4">
        <f>_xll.ciqfunctions.udf.CIQ(InputTicker, "IQ_RESTRICTED_CASH",Input!M$2,Date,,,Ccy,Conv)</f>
        <v>0</v>
      </c>
      <c r="L295" s="4">
        <f>_xll.ciqfunctions.udf.CIQ(InputTicker, "IQ_RESTRICTED_CASH",Input!N$2,Date,,,Ccy,Conv)</f>
        <v>0</v>
      </c>
      <c r="M295" s="4">
        <f>_xll.ciqfunctions.udf.CIQ(InputTicker, "IQ_RESTRICTED_CASH",Input!O$2,Date,,,Ccy,Conv)</f>
        <v>0</v>
      </c>
      <c r="N295" s="46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</row>
    <row r="296" spans="1:66" ht="12.75" customHeight="1" x14ac:dyDescent="0.2">
      <c r="A296" s="1" t="s">
        <v>131</v>
      </c>
      <c r="B296" s="4">
        <f>_xll.ciqfunctions.udf.CIQ(InputTicker, "IQ_OTHER_CA_SUPPL",Input!D$2,Date,,,Ccy,Conv)</f>
        <v>0</v>
      </c>
      <c r="C296" s="4">
        <f>_xll.ciqfunctions.udf.CIQ(InputTicker, "IQ_OTHER_CA_SUPPL",Input!E$2,Date,,,Ccy,Conv)</f>
        <v>0</v>
      </c>
      <c r="D296" s="4">
        <f>_xll.ciqfunctions.udf.CIQ(InputTicker, "IQ_OTHER_CA_SUPPL",Input!F$2,Date,,,Ccy,Conv)</f>
        <v>0</v>
      </c>
      <c r="E296" s="4">
        <f>_xll.ciqfunctions.udf.CIQ(InputTicker, "IQ_OTHER_CA_SUPPL",Input!G$2,Date,,,Ccy,Conv)</f>
        <v>0</v>
      </c>
      <c r="F296" s="4">
        <f>_xll.ciqfunctions.udf.CIQ(InputTicker, "IQ_OTHER_CA_SUPPL",Input!H$2,Date,,,Ccy,Conv)</f>
        <v>0</v>
      </c>
      <c r="G296" s="4">
        <f>_xll.ciqfunctions.udf.CIQ(InputTicker, "IQ_OTHER_CA_SUPPL",Input!I$2,Date,,,Ccy,Conv)</f>
        <v>0</v>
      </c>
      <c r="H296" s="4">
        <f>_xll.ciqfunctions.udf.CIQ(InputTicker, "IQ_OTHER_CA_SUPPL",Input!J$2,Date,,,Ccy,Conv)</f>
        <v>0</v>
      </c>
      <c r="I296" s="4">
        <f>_xll.ciqfunctions.udf.CIQ(InputTicker, "IQ_OTHER_CA_SUPPL",Input!K$2,Date,,,Ccy,Conv)</f>
        <v>0</v>
      </c>
      <c r="J296" s="4">
        <f>_xll.ciqfunctions.udf.CIQ(InputTicker, "IQ_OTHER_CA_SUPPL",Input!L$2,Date,,,Ccy,Conv)</f>
        <v>0</v>
      </c>
      <c r="K296" s="4">
        <f>_xll.ciqfunctions.udf.CIQ(InputTicker, "IQ_OTHER_CA_SUPPL",Input!M$2,Date,,,Ccy,Conv)</f>
        <v>0</v>
      </c>
      <c r="L296" s="4">
        <f>_xll.ciqfunctions.udf.CIQ(InputTicker, "IQ_OTHER_CA_SUPPL",Input!N$2,Date,,,Ccy,Conv)</f>
        <v>0</v>
      </c>
      <c r="M296" s="4">
        <f>_xll.ciqfunctions.udf.CIQ(InputTicker, "IQ_OTHER_CA_SUPPL",Input!O$2,Date,,,Ccy,Conv)</f>
        <v>0</v>
      </c>
      <c r="N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</row>
    <row r="297" spans="1:66" ht="12.75" customHeight="1" x14ac:dyDescent="0.2">
      <c r="A297" s="5" t="s">
        <v>45</v>
      </c>
      <c r="B297" s="6">
        <f>_xll.ciqfunctions.udf.CIQ(InputTicker, "IQ_TOTAL_CA",Input!D$2,Date,,,Ccy,Conv)</f>
        <v>1189.771</v>
      </c>
      <c r="C297" s="6">
        <f>_xll.ciqfunctions.udf.CIQ(InputTicker, "IQ_TOTAL_CA",Input!E$2,Date,,,Ccy,Conv)</f>
        <v>1294.48</v>
      </c>
      <c r="D297" s="6">
        <f>_xll.ciqfunctions.udf.CIQ(InputTicker, "IQ_TOTAL_CA",Input!F$2,Date,,,Ccy,Conv)</f>
        <v>1491.972</v>
      </c>
      <c r="E297" s="6">
        <f>_xll.ciqfunctions.udf.CIQ(InputTicker, "IQ_TOTAL_CA",Input!G$2,Date,,,Ccy,Conv)</f>
        <v>1699.34</v>
      </c>
      <c r="F297" s="6">
        <f>_xll.ciqfunctions.udf.CIQ(InputTicker, "IQ_TOTAL_CA",Input!H$2,Date,,,Ccy,Conv)</f>
        <v>2328.1880000000001</v>
      </c>
      <c r="G297" s="6">
        <f>_xll.ciqfunctions.udf.CIQ(InputTicker, "IQ_TOTAL_CA",Input!I$2,Date,,,Ccy,Conv)</f>
        <v>2636.172</v>
      </c>
      <c r="H297" s="6">
        <f>_xll.ciqfunctions.udf.CIQ(InputTicker, "IQ_TOTAL_CA",Input!J$2,Date,,,Ccy,Conv)</f>
        <v>2445.6759999999999</v>
      </c>
      <c r="I297" s="6">
        <f>_xll.ciqfunctions.udf.CIQ(InputTicker, "IQ_TOTAL_CA",Input!K$2,Date,,,Ccy,Conv)</f>
        <v>2288.058</v>
      </c>
      <c r="J297" s="6">
        <f>_xll.ciqfunctions.udf.CIQ(InputTicker, "IQ_TOTAL_CA",Input!L$2,Date,,,Ccy,Conv)</f>
        <v>2739</v>
      </c>
      <c r="K297" s="6">
        <f>_xll.ciqfunctions.udf.CIQ(InputTicker, "IQ_TOTAL_CA",Input!M$2,Date,,,Ccy,Conv)</f>
        <v>3313</v>
      </c>
      <c r="L297" s="6">
        <f>_xll.ciqfunctions.udf.CIQ(InputTicker, "IQ_TOTAL_CA",Input!N$2,Date,,,Ccy,Conv)</f>
        <v>2961</v>
      </c>
      <c r="M297" s="6">
        <f>_xll.ciqfunctions.udf.CIQ(InputTicker, "IQ_TOTAL_CA",Input!O$2,Date,,,Ccy,Conv)</f>
        <v>2961</v>
      </c>
      <c r="N297" s="46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</row>
    <row r="298" spans="1:66" ht="12.75" customHeight="1" x14ac:dyDescent="0.2">
      <c r="A298" s="1" t="s">
        <v>92</v>
      </c>
      <c r="B298" s="4">
        <f>_xll.ciqfunctions.udf.CIQ(InputTicker, "IQ_GPPE",Input!D$2,Date,,,Ccy,Conv)</f>
        <v>370.17</v>
      </c>
      <c r="C298" s="4">
        <f>_xll.ciqfunctions.udf.CIQ(InputTicker, "IQ_GPPE",Input!E$2,Date,,,Ccy,Conv)</f>
        <v>403.72</v>
      </c>
      <c r="D298" s="4">
        <f>_xll.ciqfunctions.udf.CIQ(InputTicker, "IQ_GPPE",Input!F$2,Date,,,Ccy,Conv)</f>
        <v>445.82299999999998</v>
      </c>
      <c r="E298" s="4">
        <f>_xll.ciqfunctions.udf.CIQ(InputTicker, "IQ_GPPE",Input!G$2,Date,,,Ccy,Conv)</f>
        <v>495.63600000000002</v>
      </c>
      <c r="F298" s="4">
        <f>_xll.ciqfunctions.udf.CIQ(InputTicker, "IQ_GPPE",Input!H$2,Date,,,Ccy,Conv)</f>
        <v>720.56799999999998</v>
      </c>
      <c r="G298" s="4">
        <f>_xll.ciqfunctions.udf.CIQ(InputTicker, "IQ_GPPE",Input!I$2,Date,,,Ccy,Conv)</f>
        <v>679.50699999999995</v>
      </c>
      <c r="H298" s="4">
        <f>_xll.ciqfunctions.udf.CIQ(InputTicker, "IQ_GPPE",Input!J$2,Date,,,Ccy,Conv)</f>
        <v>684.11900000000003</v>
      </c>
      <c r="I298" s="4">
        <f>_xll.ciqfunctions.udf.CIQ(InputTicker, "IQ_GPPE",Input!K$2,Date,,,Ccy,Conv)</f>
        <v>676.91</v>
      </c>
      <c r="J298" s="4">
        <f>_xll.ciqfunctions.udf.CIQ(InputTicker, "IQ_GPPE",Input!L$2,Date,,,Ccy,Conv)</f>
        <v>673</v>
      </c>
      <c r="K298" s="4">
        <f>_xll.ciqfunctions.udf.CIQ(InputTicker, "IQ_GPPE",Input!M$2,Date,,,Ccy,Conv)</f>
        <v>636</v>
      </c>
      <c r="L298" s="4">
        <f>_xll.ciqfunctions.udf.CIQ(InputTicker, "IQ_GPPE",Input!N$2,Date,,,Ccy,Conv)</f>
        <v>636</v>
      </c>
      <c r="M298" s="4">
        <f>_xll.ciqfunctions.udf.CIQ(InputTicker, "IQ_GPPE",Input!O$2,Date,,,Ccy,Conv)</f>
        <v>636</v>
      </c>
      <c r="N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</row>
    <row r="299" spans="1:66" ht="12.75" customHeight="1" x14ac:dyDescent="0.2">
      <c r="A299" s="1" t="s">
        <v>93</v>
      </c>
      <c r="B299" s="4">
        <f>_xll.ciqfunctions.udf.CIQ(InputTicker, "IQ_AD",Input!D$2,Date,,,Ccy,Conv)</f>
        <v>-246.90100000000001</v>
      </c>
      <c r="C299" s="4">
        <f>_xll.ciqfunctions.udf.CIQ(InputTicker, "IQ_AD",Input!E$2,Date,,,Ccy,Conv)</f>
        <v>-272.65300000000002</v>
      </c>
      <c r="D299" s="4">
        <f>_xll.ciqfunctions.udf.CIQ(InputTicker, "IQ_AD",Input!F$2,Date,,,Ccy,Conv)</f>
        <v>-293.459</v>
      </c>
      <c r="E299" s="4">
        <f>_xll.ciqfunctions.udf.CIQ(InputTicker, "IQ_AD",Input!G$2,Date,,,Ccy,Conv)</f>
        <v>-323.18299999999999</v>
      </c>
      <c r="F299" s="4">
        <f>_xll.ciqfunctions.udf.CIQ(InputTicker, "IQ_AD",Input!H$2,Date,,,Ccy,Conv)</f>
        <v>-272.36900000000003</v>
      </c>
      <c r="G299" s="4">
        <f>_xll.ciqfunctions.udf.CIQ(InputTicker, "IQ_AD",Input!I$2,Date,,,Ccy,Conv)</f>
        <v>-235.49100000000001</v>
      </c>
      <c r="H299" s="4">
        <f>_xll.ciqfunctions.udf.CIQ(InputTicker, "IQ_AD",Input!J$2,Date,,,Ccy,Conv)</f>
        <v>-254.65899999999999</v>
      </c>
      <c r="I299" s="4">
        <f>_xll.ciqfunctions.udf.CIQ(InputTicker, "IQ_AD",Input!K$2,Date,,,Ccy,Conv)</f>
        <v>-293.92599999999999</v>
      </c>
      <c r="J299" s="4">
        <f>_xll.ciqfunctions.udf.CIQ(InputTicker, "IQ_AD",Input!L$2,Date,,,Ccy,Conv)</f>
        <v>-311</v>
      </c>
      <c r="K299" s="4">
        <f>_xll.ciqfunctions.udf.CIQ(InputTicker, "IQ_AD",Input!M$2,Date,,,Ccy,Conv)</f>
        <v>-281</v>
      </c>
      <c r="L299" s="4">
        <f>_xll.ciqfunctions.udf.CIQ(InputTicker, "IQ_AD",Input!N$2,Date,,,Ccy,Conv)</f>
        <v>-318</v>
      </c>
      <c r="M299" s="4">
        <f>_xll.ciqfunctions.udf.CIQ(InputTicker, "IQ_AD",Input!O$2,Date,,,Ccy,Conv)</f>
        <v>-318</v>
      </c>
      <c r="N299" s="42"/>
      <c r="T299" s="46"/>
      <c r="U299" s="46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</row>
    <row r="300" spans="1:66" ht="12.75" customHeight="1" x14ac:dyDescent="0.2">
      <c r="A300" s="5" t="s">
        <v>94</v>
      </c>
      <c r="B300" s="6">
        <f>_xll.ciqfunctions.udf.CIQ(InputTicker, "IQ_NPPE",Input!D$2,Date,,,Ccy,Conv)</f>
        <v>123.26900000000001</v>
      </c>
      <c r="C300" s="6">
        <f>_xll.ciqfunctions.udf.CIQ(InputTicker, "IQ_NPPE",Input!E$2,Date,,,Ccy,Conv)</f>
        <v>131.06700000000001</v>
      </c>
      <c r="D300" s="6">
        <f>_xll.ciqfunctions.udf.CIQ(InputTicker, "IQ_NPPE",Input!F$2,Date,,,Ccy,Conv)</f>
        <v>152.364</v>
      </c>
      <c r="E300" s="6">
        <f>_xll.ciqfunctions.udf.CIQ(InputTicker, "IQ_NPPE",Input!G$2,Date,,,Ccy,Conv)</f>
        <v>172.453</v>
      </c>
      <c r="F300" s="6">
        <f>_xll.ciqfunctions.udf.CIQ(InputTicker, "IQ_NPPE",Input!H$2,Date,,,Ccy,Conv)</f>
        <v>448.19900000000001</v>
      </c>
      <c r="G300" s="6">
        <f>_xll.ciqfunctions.udf.CIQ(InputTicker, "IQ_NPPE",Input!I$2,Date,,,Ccy,Conv)</f>
        <v>444.01600000000002</v>
      </c>
      <c r="H300" s="6">
        <f>_xll.ciqfunctions.udf.CIQ(InputTicker, "IQ_NPPE",Input!J$2,Date,,,Ccy,Conv)</f>
        <v>429.46</v>
      </c>
      <c r="I300" s="6">
        <f>_xll.ciqfunctions.udf.CIQ(InputTicker, "IQ_NPPE",Input!K$2,Date,,,Ccy,Conv)</f>
        <v>382.98399999999998</v>
      </c>
      <c r="J300" s="6">
        <f>_xll.ciqfunctions.udf.CIQ(InputTicker, "IQ_NPPE",Input!L$2,Date,,,Ccy,Conv)</f>
        <v>362</v>
      </c>
      <c r="K300" s="6">
        <f>_xll.ciqfunctions.udf.CIQ(InputTicker, "IQ_NPPE",Input!M$2,Date,,,Ccy,Conv)</f>
        <v>355</v>
      </c>
      <c r="L300" s="6">
        <f>_xll.ciqfunctions.udf.CIQ(InputTicker, "IQ_NPPE",Input!N$2,Date,,,Ccy,Conv)</f>
        <v>318</v>
      </c>
      <c r="M300" s="6">
        <f>_xll.ciqfunctions.udf.CIQ(InputTicker, "IQ_NPPE",Input!O$2,Date,,,Ccy,Conv)</f>
        <v>318</v>
      </c>
      <c r="N300" s="42"/>
      <c r="P300" s="46"/>
      <c r="Q300" s="46"/>
      <c r="R300" s="46"/>
      <c r="T300" s="42"/>
      <c r="U300" s="42"/>
      <c r="V300" s="46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</row>
    <row r="301" spans="1:66" ht="12.75" customHeight="1" x14ac:dyDescent="0.2">
      <c r="A301" s="1" t="s">
        <v>176</v>
      </c>
      <c r="B301" s="4">
        <f>_xll.ciqfunctions.udf.CIQ(InputTicker, "IQ_LT_INVEST",Input!D$2,Date,,,Ccy,Conv)</f>
        <v>0</v>
      </c>
      <c r="C301" s="4">
        <f>_xll.ciqfunctions.udf.CIQ(InputTicker, "IQ_LT_INVEST",Input!E$2,Date,,,Ccy,Conv)</f>
        <v>0</v>
      </c>
      <c r="D301" s="4">
        <f>_xll.ciqfunctions.udf.CIQ(InputTicker, "IQ_LT_INVEST",Input!F$2,Date,,,Ccy,Conv)</f>
        <v>7.2249999999999996</v>
      </c>
      <c r="E301" s="4">
        <f>_xll.ciqfunctions.udf.CIQ(InputTicker, "IQ_LT_INVEST",Input!G$2,Date,,,Ccy,Conv)</f>
        <v>0.61399999999999999</v>
      </c>
      <c r="F301" s="4">
        <f>_xll.ciqfunctions.udf.CIQ(InputTicker, "IQ_LT_INVEST",Input!H$2,Date,,,Ccy,Conv)</f>
        <v>0</v>
      </c>
      <c r="G301" s="4">
        <f>_xll.ciqfunctions.udf.CIQ(InputTicker, "IQ_LT_INVEST",Input!I$2,Date,,,Ccy,Conv)</f>
        <v>0</v>
      </c>
      <c r="H301" s="4">
        <f>_xll.ciqfunctions.udf.CIQ(InputTicker, "IQ_LT_INVEST",Input!J$2,Date,,,Ccy,Conv)</f>
        <v>4.0880000000000001</v>
      </c>
      <c r="I301" s="4">
        <f>_xll.ciqfunctions.udf.CIQ(InputTicker, "IQ_LT_INVEST",Input!K$2,Date,,,Ccy,Conv)</f>
        <v>3.53</v>
      </c>
      <c r="J301" s="4">
        <f>_xll.ciqfunctions.udf.CIQ(InputTicker, "IQ_LT_INVEST",Input!L$2,Date,,,Ccy,Conv)</f>
        <v>43</v>
      </c>
      <c r="K301" s="4">
        <f>_xll.ciqfunctions.udf.CIQ(InputTicker, "IQ_LT_INVEST",Input!M$2,Date,,,Ccy,Conv)</f>
        <v>90</v>
      </c>
      <c r="L301" s="4">
        <f>_xll.ciqfunctions.udf.CIQ(InputTicker, "IQ_LT_INVEST",Input!N$2,Date,,,Ccy,Conv)</f>
        <v>344</v>
      </c>
      <c r="M301" s="4">
        <f>_xll.ciqfunctions.udf.CIQ(InputTicker, "IQ_LT_INVEST",Input!O$2,Date,,,Ccy,Conv)</f>
        <v>344</v>
      </c>
      <c r="N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</row>
    <row r="302" spans="1:66" ht="12.75" customHeight="1" x14ac:dyDescent="0.2">
      <c r="A302" s="1" t="s">
        <v>56</v>
      </c>
      <c r="B302" s="4">
        <f>_xll.ciqfunctions.udf.CIQ(InputTicker, "IQ_GW",Input!D$2,Date,,,Ccy,Conv)</f>
        <v>1361.913</v>
      </c>
      <c r="C302" s="4">
        <f>_xll.ciqfunctions.udf.CIQ(InputTicker, "IQ_GW",Input!E$2,Date,,,Ccy,Conv)</f>
        <v>1571.19</v>
      </c>
      <c r="D302" s="4">
        <f>_xll.ciqfunctions.udf.CIQ(InputTicker, "IQ_GW",Input!F$2,Date,,,Ccy,Conv)</f>
        <v>1581.146</v>
      </c>
      <c r="E302" s="4">
        <f>_xll.ciqfunctions.udf.CIQ(InputTicker, "IQ_GW",Input!G$2,Date,,,Ccy,Conv)</f>
        <v>1581.16</v>
      </c>
      <c r="F302" s="4">
        <f>_xll.ciqfunctions.udf.CIQ(InputTicker, "IQ_GW",Input!H$2,Date,,,Ccy,Conv)</f>
        <v>1581.16</v>
      </c>
      <c r="G302" s="4">
        <f>_xll.ciqfunctions.udf.CIQ(InputTicker, "IQ_GW",Input!I$2,Date,,,Ccy,Conv)</f>
        <v>1581.16</v>
      </c>
      <c r="H302" s="4">
        <f>_xll.ciqfunctions.udf.CIQ(InputTicker, "IQ_GW",Input!J$2,Date,,,Ccy,Conv)</f>
        <v>2021.931</v>
      </c>
      <c r="I302" s="4">
        <f>_xll.ciqfunctions.udf.CIQ(InputTicker, "IQ_GW",Input!K$2,Date,,,Ccy,Conv)</f>
        <v>2338.3989999999999</v>
      </c>
      <c r="J302" s="4">
        <f>_xll.ciqfunctions.udf.CIQ(InputTicker, "IQ_GW",Input!L$2,Date,,,Ccy,Conv)</f>
        <v>2344</v>
      </c>
      <c r="K302" s="4">
        <f>_xll.ciqfunctions.udf.CIQ(InputTicker, "IQ_GW",Input!M$2,Date,,,Ccy,Conv)</f>
        <v>2405</v>
      </c>
      <c r="L302" s="4">
        <f>_xll.ciqfunctions.udf.CIQ(InputTicker, "IQ_GW",Input!N$2,Date,,,Ccy,Conv)</f>
        <v>2399</v>
      </c>
      <c r="M302" s="4">
        <f>_xll.ciqfunctions.udf.CIQ(InputTicker, "IQ_GW",Input!O$2,Date,,,Ccy,Conv)</f>
        <v>2399</v>
      </c>
      <c r="N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</row>
    <row r="303" spans="1:66" ht="12.75" customHeight="1" x14ac:dyDescent="0.2">
      <c r="A303" s="1" t="s">
        <v>95</v>
      </c>
      <c r="B303" s="4">
        <f>_xll.ciqfunctions.udf.CIQ(InputTicker, "IQ_OTHER_INTAN",Input!D$2,Date,,,Ccy,Conv)</f>
        <v>227.55799999999999</v>
      </c>
      <c r="C303" s="4">
        <f>_xll.ciqfunctions.udf.CIQ(InputTicker, "IQ_OTHER_INTAN",Input!E$2,Date,,,Ccy,Conv)</f>
        <v>279.98</v>
      </c>
      <c r="D303" s="4">
        <f>_xll.ciqfunctions.udf.CIQ(InputTicker, "IQ_OTHER_INTAN",Input!F$2,Date,,,Ccy,Conv)</f>
        <v>278.50400000000002</v>
      </c>
      <c r="E303" s="4">
        <f>_xll.ciqfunctions.udf.CIQ(InputTicker, "IQ_OTHER_INTAN",Input!G$2,Date,,,Ccy,Conv)</f>
        <v>287.05099999999999</v>
      </c>
      <c r="F303" s="4">
        <f>_xll.ciqfunctions.udf.CIQ(InputTicker, "IQ_OTHER_INTAN",Input!H$2,Date,,,Ccy,Conv)</f>
        <v>300.98700000000002</v>
      </c>
      <c r="G303" s="4">
        <f>_xll.ciqfunctions.udf.CIQ(InputTicker, "IQ_OTHER_INTAN",Input!I$2,Date,,,Ccy,Conv)</f>
        <v>307.12799999999999</v>
      </c>
      <c r="H303" s="4">
        <f>_xll.ciqfunctions.udf.CIQ(InputTicker, "IQ_OTHER_INTAN",Input!J$2,Date,,,Ccy,Conv)</f>
        <v>646.68200000000002</v>
      </c>
      <c r="I303" s="4">
        <f>_xll.ciqfunctions.udf.CIQ(InputTicker, "IQ_OTHER_INTAN",Input!K$2,Date,,,Ccy,Conv)</f>
        <v>685.61500000000001</v>
      </c>
      <c r="J303" s="4">
        <f>_xll.ciqfunctions.udf.CIQ(InputTicker, "IQ_OTHER_INTAN",Input!L$2,Date,,,Ccy,Conv)</f>
        <v>601</v>
      </c>
      <c r="K303" s="4">
        <f>_xll.ciqfunctions.udf.CIQ(InputTicker, "IQ_OTHER_INTAN",Input!M$2,Date,,,Ccy,Conv)</f>
        <v>563</v>
      </c>
      <c r="L303" s="4">
        <f>_xll.ciqfunctions.udf.CIQ(InputTicker, "IQ_OTHER_INTAN",Input!N$2,Date,,,Ccy,Conv)</f>
        <v>509</v>
      </c>
      <c r="M303" s="4">
        <f>_xll.ciqfunctions.udf.CIQ(InputTicker, "IQ_OTHER_INTAN",Input!O$2,Date,,,Ccy,Conv)</f>
        <v>509</v>
      </c>
      <c r="N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</row>
    <row r="304" spans="1:66" ht="12.75" customHeight="1" x14ac:dyDescent="0.2">
      <c r="A304" s="1" t="s">
        <v>177</v>
      </c>
      <c r="B304" s="4">
        <f>_xll.ciqfunctions.udf.CIQ(InputTicker, "IQ_FIN_DIV_LOANS_LT",Input!D$2,Date,,,Ccy,Conv)</f>
        <v>0</v>
      </c>
      <c r="C304" s="4">
        <f>_xll.ciqfunctions.udf.CIQ(InputTicker, "IQ_FIN_DIV_LOANS_LT",Input!E$2,Date,,,Ccy,Conv)</f>
        <v>0</v>
      </c>
      <c r="D304" s="4">
        <f>_xll.ciqfunctions.udf.CIQ(InputTicker, "IQ_FIN_DIV_LOANS_LT",Input!F$2,Date,,,Ccy,Conv)</f>
        <v>0</v>
      </c>
      <c r="E304" s="4">
        <f>_xll.ciqfunctions.udf.CIQ(InputTicker, "IQ_FIN_DIV_LOANS_LT",Input!G$2,Date,,,Ccy,Conv)</f>
        <v>0</v>
      </c>
      <c r="F304" s="4">
        <f>_xll.ciqfunctions.udf.CIQ(InputTicker, "IQ_FIN_DIV_LOANS_LT",Input!H$2,Date,,,Ccy,Conv)</f>
        <v>0</v>
      </c>
      <c r="G304" s="4">
        <f>_xll.ciqfunctions.udf.CIQ(InputTicker, "IQ_FIN_DIV_LOANS_LT",Input!I$2,Date,,,Ccy,Conv)</f>
        <v>0</v>
      </c>
      <c r="H304" s="4">
        <f>_xll.ciqfunctions.udf.CIQ(InputTicker, "IQ_FIN_DIV_LOANS_LT",Input!J$2,Date,,,Ccy,Conv)</f>
        <v>0</v>
      </c>
      <c r="I304" s="4">
        <f>_xll.ciqfunctions.udf.CIQ(InputTicker, "IQ_FIN_DIV_LOANS_LT",Input!K$2,Date,,,Ccy,Conv)</f>
        <v>0</v>
      </c>
      <c r="J304" s="4">
        <f>_xll.ciqfunctions.udf.CIQ(InputTicker, "IQ_FIN_DIV_LOANS_LT",Input!L$2,Date,,,Ccy,Conv)</f>
        <v>0</v>
      </c>
      <c r="K304" s="4">
        <f>_xll.ciqfunctions.udf.CIQ(InputTicker, "IQ_FIN_DIV_LOANS_LT",Input!M$2,Date,,,Ccy,Conv)</f>
        <v>0</v>
      </c>
      <c r="L304" s="4">
        <f>_xll.ciqfunctions.udf.CIQ(InputTicker, "IQ_FIN_DIV_LOANS_LT",Input!N$2,Date,,,Ccy,Conv)</f>
        <v>0</v>
      </c>
      <c r="M304" s="4">
        <f>_xll.ciqfunctions.udf.CIQ(InputTicker, "IQ_FIN_DIV_LOANS_LT",Input!O$2,Date,,,Ccy,Conv)</f>
        <v>0</v>
      </c>
      <c r="N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</row>
    <row r="305" spans="1:66" ht="12.75" customHeight="1" x14ac:dyDescent="0.2">
      <c r="A305" s="1" t="s">
        <v>178</v>
      </c>
      <c r="B305" s="4">
        <f>_xll.ciqfunctions.udf.CIQ(InputTicker, "IQ_FIN_DIV_ASSETS_LT",Input!D$2,Date,,,Ccy,Conv)</f>
        <v>0</v>
      </c>
      <c r="C305" s="4">
        <f>_xll.ciqfunctions.udf.CIQ(InputTicker, "IQ_FIN_DIV_ASSETS_LT",Input!E$2,Date,,,Ccy,Conv)</f>
        <v>0</v>
      </c>
      <c r="D305" s="4">
        <f>_xll.ciqfunctions.udf.CIQ(InputTicker, "IQ_FIN_DIV_ASSETS_LT",Input!F$2,Date,,,Ccy,Conv)</f>
        <v>0</v>
      </c>
      <c r="E305" s="4">
        <f>_xll.ciqfunctions.udf.CIQ(InputTicker, "IQ_FIN_DIV_ASSETS_LT",Input!G$2,Date,,,Ccy,Conv)</f>
        <v>0</v>
      </c>
      <c r="F305" s="4">
        <f>_xll.ciqfunctions.udf.CIQ(InputTicker, "IQ_FIN_DIV_ASSETS_LT",Input!H$2,Date,,,Ccy,Conv)</f>
        <v>0</v>
      </c>
      <c r="G305" s="4">
        <f>_xll.ciqfunctions.udf.CIQ(InputTicker, "IQ_FIN_DIV_ASSETS_LT",Input!I$2,Date,,,Ccy,Conv)</f>
        <v>0</v>
      </c>
      <c r="H305" s="4">
        <f>_xll.ciqfunctions.udf.CIQ(InputTicker, "IQ_FIN_DIV_ASSETS_LT",Input!J$2,Date,,,Ccy,Conv)</f>
        <v>0</v>
      </c>
      <c r="I305" s="4">
        <f>_xll.ciqfunctions.udf.CIQ(InputTicker, "IQ_FIN_DIV_ASSETS_LT",Input!K$2,Date,,,Ccy,Conv)</f>
        <v>0</v>
      </c>
      <c r="J305" s="4">
        <f>_xll.ciqfunctions.udf.CIQ(InputTicker, "IQ_FIN_DIV_ASSETS_LT",Input!L$2,Date,,,Ccy,Conv)</f>
        <v>0</v>
      </c>
      <c r="K305" s="4">
        <f>_xll.ciqfunctions.udf.CIQ(InputTicker, "IQ_FIN_DIV_ASSETS_LT",Input!M$2,Date,,,Ccy,Conv)</f>
        <v>0</v>
      </c>
      <c r="L305" s="4">
        <f>_xll.ciqfunctions.udf.CIQ(InputTicker, "IQ_FIN_DIV_ASSETS_LT",Input!N$2,Date,,,Ccy,Conv)</f>
        <v>0</v>
      </c>
      <c r="M305" s="4">
        <f>_xll.ciqfunctions.udf.CIQ(InputTicker, "IQ_FIN_DIV_ASSETS_LT",Input!O$2,Date,,,Ccy,Conv)</f>
        <v>0</v>
      </c>
      <c r="N305" s="46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</row>
    <row r="306" spans="1:66" ht="12.75" customHeight="1" x14ac:dyDescent="0.2">
      <c r="A306" s="1" t="s">
        <v>179</v>
      </c>
      <c r="B306" s="4">
        <f>_xll.ciqfunctions.udf.CIQ(InputTicker, "IQ_AR_LT",Input!D$2,Date,,,Ccy,Conv)</f>
        <v>51.145000000000003</v>
      </c>
      <c r="C306" s="4">
        <f>_xll.ciqfunctions.udf.CIQ(InputTicker, "IQ_AR_LT",Input!E$2,Date,,,Ccy,Conv)</f>
        <v>59.912999999999997</v>
      </c>
      <c r="D306" s="4">
        <f>_xll.ciqfunctions.udf.CIQ(InputTicker, "IQ_AR_LT",Input!F$2,Date,,,Ccy,Conv)</f>
        <v>59.633000000000003</v>
      </c>
      <c r="E306" s="4">
        <f>_xll.ciqfunctions.udf.CIQ(InputTicker, "IQ_AR_LT",Input!G$2,Date,,,Ccy,Conv)</f>
        <v>61.390999999999998</v>
      </c>
      <c r="F306" s="4">
        <f>_xll.ciqfunctions.udf.CIQ(InputTicker, "IQ_AR_LT",Input!H$2,Date,,,Ccy,Conv)</f>
        <v>62.6</v>
      </c>
      <c r="G306" s="4">
        <f>_xll.ciqfunctions.udf.CIQ(InputTicker, "IQ_AR_LT",Input!I$2,Date,,,Ccy,Conv)</f>
        <v>63.869</v>
      </c>
      <c r="H306" s="4">
        <f>_xll.ciqfunctions.udf.CIQ(InputTicker, "IQ_AR_LT",Input!J$2,Date,,,Ccy,Conv)</f>
        <v>64.338999999999999</v>
      </c>
      <c r="I306" s="4">
        <f>_xll.ciqfunctions.udf.CIQ(InputTicker, "IQ_AR_LT",Input!K$2,Date,,,Ccy,Conv)</f>
        <v>59.454999999999998</v>
      </c>
      <c r="J306" s="4">
        <f>_xll.ciqfunctions.udf.CIQ(InputTicker, "IQ_AR_LT",Input!L$2,Date,,,Ccy,Conv)</f>
        <v>57</v>
      </c>
      <c r="K306" s="4">
        <f>_xll.ciqfunctions.udf.CIQ(InputTicker, "IQ_AR_LT",Input!M$2,Date,,,Ccy,Conv)</f>
        <v>58</v>
      </c>
      <c r="L306" s="4">
        <f>_xll.ciqfunctions.udf.CIQ(InputTicker, "IQ_AR_LT",Input!N$2,Date,,,Ccy,Conv)</f>
        <v>58</v>
      </c>
      <c r="M306" s="4">
        <f>_xll.ciqfunctions.udf.CIQ(InputTicker, "IQ_AR_LT",Input!O$2,Date,,,Ccy,Conv)</f>
        <v>58</v>
      </c>
      <c r="N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</row>
    <row r="307" spans="1:66" ht="12.75" customHeight="1" x14ac:dyDescent="0.2">
      <c r="A307" s="1" t="s">
        <v>132</v>
      </c>
      <c r="B307" s="4">
        <f>_xll.ciqfunctions.udf.CIQ(InputTicker, "IQ_LOANS_RECEIV_LT",Input!D$2,Date,,,Ccy,Conv)</f>
        <v>0</v>
      </c>
      <c r="C307" s="4">
        <f>_xll.ciqfunctions.udf.CIQ(InputTicker, "IQ_LOANS_RECEIV_LT",Input!E$2,Date,,,Ccy,Conv)</f>
        <v>0</v>
      </c>
      <c r="D307" s="4">
        <f>_xll.ciqfunctions.udf.CIQ(InputTicker, "IQ_LOANS_RECEIV_LT",Input!F$2,Date,,,Ccy,Conv)</f>
        <v>0</v>
      </c>
      <c r="E307" s="4">
        <f>_xll.ciqfunctions.udf.CIQ(InputTicker, "IQ_LOANS_RECEIV_LT",Input!G$2,Date,,,Ccy,Conv)</f>
        <v>0</v>
      </c>
      <c r="F307" s="4">
        <f>_xll.ciqfunctions.udf.CIQ(InputTicker, "IQ_LOANS_RECEIV_LT",Input!H$2,Date,,,Ccy,Conv)</f>
        <v>0</v>
      </c>
      <c r="G307" s="4">
        <f>_xll.ciqfunctions.udf.CIQ(InputTicker, "IQ_LOANS_RECEIV_LT",Input!I$2,Date,,,Ccy,Conv)</f>
        <v>0</v>
      </c>
      <c r="H307" s="4">
        <f>_xll.ciqfunctions.udf.CIQ(InputTicker, "IQ_LOANS_RECEIV_LT",Input!J$2,Date,,,Ccy,Conv)</f>
        <v>0</v>
      </c>
      <c r="I307" s="4">
        <f>_xll.ciqfunctions.udf.CIQ(InputTicker, "IQ_LOANS_RECEIV_LT",Input!K$2,Date,,,Ccy,Conv)</f>
        <v>0</v>
      </c>
      <c r="J307" s="4">
        <f>_xll.ciqfunctions.udf.CIQ(InputTicker, "IQ_LOANS_RECEIV_LT",Input!L$2,Date,,,Ccy,Conv)</f>
        <v>0</v>
      </c>
      <c r="K307" s="4">
        <f>_xll.ciqfunctions.udf.CIQ(InputTicker, "IQ_LOANS_RECEIV_LT",Input!M$2,Date,,,Ccy,Conv)</f>
        <v>0</v>
      </c>
      <c r="L307" s="4">
        <f>_xll.ciqfunctions.udf.CIQ(InputTicker, "IQ_LOANS_RECEIV_LT",Input!N$2,Date,,,Ccy,Conv)</f>
        <v>0</v>
      </c>
      <c r="M307" s="4">
        <f>_xll.ciqfunctions.udf.CIQ(InputTicker, "IQ_LOANS_RECEIV_LT",Input!O$2,Date,,,Ccy,Conv)</f>
        <v>0</v>
      </c>
      <c r="N307" s="42"/>
      <c r="S307" s="46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</row>
    <row r="308" spans="1:66" ht="12.75" customHeight="1" x14ac:dyDescent="0.2">
      <c r="A308" s="1" t="s">
        <v>133</v>
      </c>
      <c r="B308" s="4">
        <f>_xll.ciqfunctions.udf.CIQ(InputTicker, "IQ_DEF_TAX_ASSETS_LT",Input!D$2,Date,,,Ccy,Conv)</f>
        <v>22.053999999999998</v>
      </c>
      <c r="C308" s="4">
        <f>_xll.ciqfunctions.udf.CIQ(InputTicker, "IQ_DEF_TAX_ASSETS_LT",Input!E$2,Date,,,Ccy,Conv)</f>
        <v>10.824999999999999</v>
      </c>
      <c r="D308" s="4">
        <f>_xll.ciqfunctions.udf.CIQ(InputTicker, "IQ_DEF_TAX_ASSETS_LT",Input!F$2,Date,,,Ccy,Conv)</f>
        <v>0</v>
      </c>
      <c r="E308" s="4">
        <f>_xll.ciqfunctions.udf.CIQ(InputTicker, "IQ_DEF_TAX_ASSETS_LT",Input!G$2,Date,,,Ccy,Conv)</f>
        <v>0</v>
      </c>
      <c r="F308" s="4">
        <f>_xll.ciqfunctions.udf.CIQ(InputTicker, "IQ_DEF_TAX_ASSETS_LT",Input!H$2,Date,,,Ccy,Conv)</f>
        <v>0</v>
      </c>
      <c r="G308" s="4">
        <f>_xll.ciqfunctions.udf.CIQ(InputTicker, "IQ_DEF_TAX_ASSETS_LT",Input!I$2,Date,,,Ccy,Conv)</f>
        <v>0</v>
      </c>
      <c r="H308" s="4">
        <f>_xll.ciqfunctions.udf.CIQ(InputTicker, "IQ_DEF_TAX_ASSETS_LT",Input!J$2,Date,,,Ccy,Conv)</f>
        <v>32.328000000000003</v>
      </c>
      <c r="I308" s="4">
        <f>_xll.ciqfunctions.udf.CIQ(InputTicker, "IQ_DEF_TAX_ASSETS_LT",Input!K$2,Date,,,Ccy,Conv)</f>
        <v>573.78</v>
      </c>
      <c r="J308" s="4">
        <f>_xll.ciqfunctions.udf.CIQ(InputTicker, "IQ_DEF_TAX_ASSETS_LT",Input!L$2,Date,,,Ccy,Conv)</f>
        <v>227</v>
      </c>
      <c r="K308" s="4">
        <f>_xll.ciqfunctions.udf.CIQ(InputTicker, "IQ_DEF_TAX_ASSETS_LT",Input!M$2,Date,,,Ccy,Conv)</f>
        <v>332</v>
      </c>
      <c r="L308" s="4">
        <f>_xll.ciqfunctions.udf.CIQ(InputTicker, "IQ_DEF_TAX_ASSETS_LT",Input!N$2,Date,,,Ccy,Conv)</f>
        <v>294</v>
      </c>
      <c r="M308" s="4">
        <f>_xll.ciqfunctions.udf.CIQ(InputTicker, "IQ_DEF_TAX_ASSETS_LT",Input!O$2,Date,,,Ccy,Conv)</f>
        <v>294</v>
      </c>
      <c r="N308" s="46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</row>
    <row r="309" spans="1:66" ht="12.75" customHeight="1" x14ac:dyDescent="0.2">
      <c r="A309" s="1" t="s">
        <v>180</v>
      </c>
      <c r="B309" s="4">
        <f>_xll.ciqfunctions.udf.CIQ(InputTicker, "IQ_DEF_CHARGES_LT",Input!D$2,Date,,,Ccy,Conv)</f>
        <v>0</v>
      </c>
      <c r="C309" s="4">
        <f>_xll.ciqfunctions.udf.CIQ(InputTicker, "IQ_DEF_CHARGES_LT",Input!E$2,Date,,,Ccy,Conv)</f>
        <v>0</v>
      </c>
      <c r="D309" s="4">
        <f>_xll.ciqfunctions.udf.CIQ(InputTicker, "IQ_DEF_CHARGES_LT",Input!F$2,Date,,,Ccy,Conv)</f>
        <v>0</v>
      </c>
      <c r="E309" s="4">
        <f>_xll.ciqfunctions.udf.CIQ(InputTicker, "IQ_DEF_CHARGES_LT",Input!G$2,Date,,,Ccy,Conv)</f>
        <v>0</v>
      </c>
      <c r="F309" s="4">
        <f>_xll.ciqfunctions.udf.CIQ(InputTicker, "IQ_DEF_CHARGES_LT",Input!H$2,Date,,,Ccy,Conv)</f>
        <v>0</v>
      </c>
      <c r="G309" s="4">
        <f>_xll.ciqfunctions.udf.CIQ(InputTicker, "IQ_DEF_CHARGES_LT",Input!I$2,Date,,,Ccy,Conv)</f>
        <v>0</v>
      </c>
      <c r="H309" s="4">
        <f>_xll.ciqfunctions.udf.CIQ(InputTicker, "IQ_DEF_CHARGES_LT",Input!J$2,Date,,,Ccy,Conv)</f>
        <v>0</v>
      </c>
      <c r="I309" s="4">
        <f>_xll.ciqfunctions.udf.CIQ(InputTicker, "IQ_DEF_CHARGES_LT",Input!K$2,Date,,,Ccy,Conv)</f>
        <v>0</v>
      </c>
      <c r="J309" s="4">
        <f>_xll.ciqfunctions.udf.CIQ(InputTicker, "IQ_DEF_CHARGES_LT",Input!L$2,Date,,,Ccy,Conv)</f>
        <v>0</v>
      </c>
      <c r="K309" s="4">
        <f>_xll.ciqfunctions.udf.CIQ(InputTicker, "IQ_DEF_CHARGES_LT",Input!M$2,Date,,,Ccy,Conv)</f>
        <v>0</v>
      </c>
      <c r="L309" s="4">
        <f>_xll.ciqfunctions.udf.CIQ(InputTicker, "IQ_DEF_CHARGES_LT",Input!N$2,Date,,,Ccy,Conv)</f>
        <v>0</v>
      </c>
      <c r="M309" s="4">
        <f>_xll.ciqfunctions.udf.CIQ(InputTicker, "IQ_DEF_CHARGES_LT",Input!O$2,Date,,,Ccy,Conv)</f>
        <v>0</v>
      </c>
      <c r="N309" s="42"/>
      <c r="S309" s="46"/>
      <c r="T309" s="46"/>
      <c r="U309" s="46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</row>
    <row r="310" spans="1:66" ht="12.75" customHeight="1" x14ac:dyDescent="0.2">
      <c r="A310" s="1" t="s">
        <v>134</v>
      </c>
      <c r="B310" s="4">
        <f>_xll.ciqfunctions.udf.CIQ(InputTicker, "IQ_OTHER_LT_ASSETS",Input!D$2,Date,,,Ccy,Conv)</f>
        <v>34.460999999999999</v>
      </c>
      <c r="C310" s="4">
        <f>_xll.ciqfunctions.udf.CIQ(InputTicker, "IQ_OTHER_LT_ASSETS",Input!E$2,Date,,,Ccy,Conv)</f>
        <v>25.65</v>
      </c>
      <c r="D310" s="4">
        <f>_xll.ciqfunctions.udf.CIQ(InputTicker, "IQ_OTHER_LT_ASSETS",Input!F$2,Date,,,Ccy,Conv)</f>
        <v>35.774999999999999</v>
      </c>
      <c r="E310" s="4">
        <f>_xll.ciqfunctions.udf.CIQ(InputTicker, "IQ_OTHER_LT_ASSETS",Input!G$2,Date,,,Ccy,Conv)</f>
        <v>29.832000000000001</v>
      </c>
      <c r="F310" s="4">
        <f>_xll.ciqfunctions.udf.CIQ(InputTicker, "IQ_OTHER_LT_ASSETS",Input!H$2,Date,,,Ccy,Conv)</f>
        <v>72.831999999999994</v>
      </c>
      <c r="G310" s="4">
        <f>_xll.ciqfunctions.udf.CIQ(InputTicker, "IQ_OTHER_LT_ASSETS",Input!I$2,Date,,,Ccy,Conv)</f>
        <v>467.25599999999997</v>
      </c>
      <c r="H310" s="4">
        <f>_xll.ciqfunctions.udf.CIQ(InputTicker, "IQ_OTHER_LT_ASSETS",Input!J$2,Date,,,Ccy,Conv)</f>
        <v>381.07100000000003</v>
      </c>
      <c r="I310" s="4">
        <f>_xll.ciqfunctions.udf.CIQ(InputTicker, "IQ_OTHER_LT_ASSETS",Input!K$2,Date,,,Ccy,Conv)</f>
        <v>218.83099999999999</v>
      </c>
      <c r="J310" s="4">
        <f>_xll.ciqfunctions.udf.CIQ(InputTicker, "IQ_OTHER_LT_ASSETS",Input!L$2,Date,,,Ccy,Conv)</f>
        <v>191</v>
      </c>
      <c r="K310" s="4">
        <f>_xll.ciqfunctions.udf.CIQ(InputTicker, "IQ_OTHER_LT_ASSETS",Input!M$2,Date,,,Ccy,Conv)</f>
        <v>196</v>
      </c>
      <c r="L310" s="4">
        <f>_xll.ciqfunctions.udf.CIQ(InputTicker, "IQ_OTHER_LT_ASSETS",Input!N$2,Date,,,Ccy,Conv)</f>
        <v>235</v>
      </c>
      <c r="M310" s="4">
        <f>_xll.ciqfunctions.udf.CIQ(InputTicker, "IQ_OTHER_LT_ASSETS",Input!O$2,Date,,,Ccy,Conv)</f>
        <v>235</v>
      </c>
      <c r="N310" s="42"/>
      <c r="P310" s="46"/>
      <c r="Q310" s="46"/>
      <c r="R310" s="46"/>
      <c r="T310" s="42"/>
      <c r="U310" s="42"/>
      <c r="V310" s="46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</row>
    <row r="311" spans="1:66" ht="12.75" customHeight="1" thickBot="1" x14ac:dyDescent="0.25">
      <c r="A311" s="5" t="s">
        <v>267</v>
      </c>
      <c r="B311" s="9">
        <f>_xll.ciqfunctions.udf.CIQ(InputTicker, "IQ_TOTAL_ASSETS",Input!D$2,Date,,,Ccy,Conv)</f>
        <v>3010.1709999999998</v>
      </c>
      <c r="C311" s="9">
        <f>_xll.ciqfunctions.udf.CIQ(InputTicker, "IQ_TOTAL_ASSETS",Input!E$2,Date,,,Ccy,Conv)</f>
        <v>3373.105</v>
      </c>
      <c r="D311" s="9">
        <f>_xll.ciqfunctions.udf.CIQ(InputTicker, "IQ_TOTAL_ASSETS",Input!F$2,Date,,,Ccy,Conv)</f>
        <v>3606.6190000000001</v>
      </c>
      <c r="E311" s="9">
        <f>_xll.ciqfunctions.udf.CIQ(InputTicker, "IQ_TOTAL_ASSETS",Input!G$2,Date,,,Ccy,Conv)</f>
        <v>3831.8409999999999</v>
      </c>
      <c r="F311" s="9">
        <f>_xll.ciqfunctions.udf.CIQ(InputTicker, "IQ_TOTAL_ASSETS",Input!H$2,Date,,,Ccy,Conv)</f>
        <v>4793.9660000000003</v>
      </c>
      <c r="G311" s="9">
        <f>_xll.ciqfunctions.udf.CIQ(InputTicker, "IQ_TOTAL_ASSETS",Input!I$2,Date,,,Ccy,Conv)</f>
        <v>5499.6009999999997</v>
      </c>
      <c r="H311" s="9">
        <f>_xll.ciqfunctions.udf.CIQ(InputTicker, "IQ_TOTAL_ASSETS",Input!J$2,Date,,,Ccy,Conv)</f>
        <v>6025.5749999999998</v>
      </c>
      <c r="I311" s="9">
        <f>_xll.ciqfunctions.udf.CIQ(InputTicker, "IQ_TOTAL_ASSETS",Input!K$2,Date,,,Ccy,Conv)</f>
        <v>6550.652</v>
      </c>
      <c r="J311" s="9">
        <f>_xll.ciqfunctions.udf.CIQ(InputTicker, "IQ_TOTAL_ASSETS",Input!L$2,Date,,,Ccy,Conv)</f>
        <v>6564</v>
      </c>
      <c r="K311" s="9">
        <f>_xll.ciqfunctions.udf.CIQ(InputTicker, "IQ_TOTAL_ASSETS",Input!M$2,Date,,,Ccy,Conv)</f>
        <v>7312</v>
      </c>
      <c r="L311" s="9">
        <f>_xll.ciqfunctions.udf.CIQ(InputTicker, "IQ_TOTAL_ASSETS",Input!N$2,Date,,,Ccy,Conv)</f>
        <v>7118</v>
      </c>
      <c r="M311" s="9">
        <f>_xll.ciqfunctions.udf.CIQ(InputTicker, "IQ_TOTAL_ASSETS",Input!O$2,Date,,,Ccy,Conv)</f>
        <v>7118</v>
      </c>
      <c r="N311" s="42"/>
      <c r="T311" s="46"/>
      <c r="U311" s="46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</row>
    <row r="312" spans="1:66" ht="12.75" customHeight="1" thickTop="1" x14ac:dyDescent="0.2">
      <c r="A312" s="1" t="s">
        <v>50</v>
      </c>
      <c r="B312" s="4">
        <f>_xll.ciqfunctions.udf.CIQ(InputTicker, "IQ_AP",Input!D$2,Date,,,Ccy,Conv)</f>
        <v>246.67</v>
      </c>
      <c r="C312" s="4">
        <f>_xll.ciqfunctions.udf.CIQ(InputTicker, "IQ_AP",Input!E$2,Date,,,Ccy,Conv)</f>
        <v>268.63</v>
      </c>
      <c r="D312" s="4">
        <f>_xll.ciqfunctions.udf.CIQ(InputTicker, "IQ_AP",Input!F$2,Date,,,Ccy,Conv)</f>
        <v>339.99299999999999</v>
      </c>
      <c r="E312" s="4">
        <f>_xll.ciqfunctions.udf.CIQ(InputTicker, "IQ_AP",Input!G$2,Date,,,Ccy,Conv)</f>
        <v>417.64800000000002</v>
      </c>
      <c r="F312" s="4">
        <f>_xll.ciqfunctions.udf.CIQ(InputTicker, "IQ_AP",Input!H$2,Date,,,Ccy,Conv)</f>
        <v>432.95299999999997</v>
      </c>
      <c r="G312" s="4">
        <f>_xll.ciqfunctions.udf.CIQ(InputTicker, "IQ_AP",Input!I$2,Date,,,Ccy,Conv)</f>
        <v>371.74400000000003</v>
      </c>
      <c r="H312" s="4">
        <f>_xll.ciqfunctions.udf.CIQ(InputTicker, "IQ_AP",Input!J$2,Date,,,Ccy,Conv)</f>
        <v>539.524</v>
      </c>
      <c r="I312" s="4">
        <f>_xll.ciqfunctions.udf.CIQ(InputTicker, "IQ_AP",Input!K$2,Date,,,Ccy,Conv)</f>
        <v>597.80799999999999</v>
      </c>
      <c r="J312" s="4">
        <f>_xll.ciqfunctions.udf.CIQ(InputTicker, "IQ_AP",Input!L$2,Date,,,Ccy,Conv)</f>
        <v>653</v>
      </c>
      <c r="K312" s="4">
        <f>_xll.ciqfunctions.udf.CIQ(InputTicker, "IQ_AP",Input!M$2,Date,,,Ccy,Conv)</f>
        <v>693</v>
      </c>
      <c r="L312" s="4">
        <f>_xll.ciqfunctions.udf.CIQ(InputTicker, "IQ_AP",Input!N$2,Date,,,Ccy,Conv)</f>
        <v>594</v>
      </c>
      <c r="M312" s="4">
        <f>_xll.ciqfunctions.udf.CIQ(InputTicker, "IQ_AP",Input!O$2,Date,,,Ccy,Conv)</f>
        <v>594</v>
      </c>
      <c r="N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</row>
    <row r="313" spans="1:66" ht="12.75" customHeight="1" x14ac:dyDescent="0.2">
      <c r="A313" s="1" t="s">
        <v>96</v>
      </c>
      <c r="B313" s="4">
        <f>_xll.ciqfunctions.udf.CIQ(InputTicker, "IQ_AE",Input!D$2,Date,,,Ccy,Conv)</f>
        <v>290.88499999999999</v>
      </c>
      <c r="C313" s="4">
        <f>_xll.ciqfunctions.udf.CIQ(InputTicker, "IQ_AE",Input!E$2,Date,,,Ccy,Conv)</f>
        <v>324.90699999999998</v>
      </c>
      <c r="D313" s="4">
        <f>_xll.ciqfunctions.udf.CIQ(InputTicker, "IQ_AE",Input!F$2,Date,,,Ccy,Conv)</f>
        <v>333.02699999999999</v>
      </c>
      <c r="E313" s="4">
        <f>_xll.ciqfunctions.udf.CIQ(InputTicker, "IQ_AE",Input!G$2,Date,,,Ccy,Conv)</f>
        <v>377.553</v>
      </c>
      <c r="F313" s="4">
        <f>_xll.ciqfunctions.udf.CIQ(InputTicker, "IQ_AE",Input!H$2,Date,,,Ccy,Conv)</f>
        <v>389.233</v>
      </c>
      <c r="G313" s="4">
        <f>_xll.ciqfunctions.udf.CIQ(InputTicker, "IQ_AE",Input!I$2,Date,,,Ccy,Conv)</f>
        <v>457.642</v>
      </c>
      <c r="H313" s="4">
        <f>_xll.ciqfunctions.udf.CIQ(InputTicker, "IQ_AE",Input!J$2,Date,,,Ccy,Conv)</f>
        <v>511.32600000000002</v>
      </c>
      <c r="I313" s="4">
        <f>_xll.ciqfunctions.udf.CIQ(InputTicker, "IQ_AE",Input!K$2,Date,,,Ccy,Conv)</f>
        <v>487.33699999999999</v>
      </c>
      <c r="J313" s="4">
        <f>_xll.ciqfunctions.udf.CIQ(InputTicker, "IQ_AE",Input!L$2,Date,,,Ccy,Conv)</f>
        <v>540</v>
      </c>
      <c r="K313" s="4">
        <f>_xll.ciqfunctions.udf.CIQ(InputTicker, "IQ_AE",Input!M$2,Date,,,Ccy,Conv)</f>
        <v>751</v>
      </c>
      <c r="L313" s="4">
        <f>_xll.ciqfunctions.udf.CIQ(InputTicker, "IQ_AE",Input!N$2,Date,,,Ccy,Conv)</f>
        <v>708</v>
      </c>
      <c r="M313" s="4">
        <f>_xll.ciqfunctions.udf.CIQ(InputTicker, "IQ_AE",Input!O$2,Date,,,Ccy,Conv)</f>
        <v>708</v>
      </c>
      <c r="N313" s="42"/>
      <c r="T313" s="17"/>
      <c r="U313" s="17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</row>
    <row r="314" spans="1:66" ht="12.75" customHeight="1" x14ac:dyDescent="0.2">
      <c r="A314" s="1" t="s">
        <v>181</v>
      </c>
      <c r="B314" s="4">
        <f>_xll.ciqfunctions.udf.CIQ(InputTicker, "IQ_ST_DEBT",Input!D$2,Date,,,Ccy,Conv)</f>
        <v>0</v>
      </c>
      <c r="C314" s="4">
        <f>_xll.ciqfunctions.udf.CIQ(InputTicker, "IQ_ST_DEBT",Input!E$2,Date,,,Ccy,Conv)</f>
        <v>0</v>
      </c>
      <c r="D314" s="4">
        <f>_xll.ciqfunctions.udf.CIQ(InputTicker, "IQ_ST_DEBT",Input!F$2,Date,,,Ccy,Conv)</f>
        <v>0</v>
      </c>
      <c r="E314" s="4">
        <f>_xll.ciqfunctions.udf.CIQ(InputTicker, "IQ_ST_DEBT",Input!G$2,Date,,,Ccy,Conv)</f>
        <v>0</v>
      </c>
      <c r="F314" s="4">
        <f>_xll.ciqfunctions.udf.CIQ(InputTicker, "IQ_ST_DEBT",Input!H$2,Date,,,Ccy,Conv)</f>
        <v>0</v>
      </c>
      <c r="G314" s="4">
        <f>_xll.ciqfunctions.udf.CIQ(InputTicker, "IQ_ST_DEBT",Input!I$2,Date,,,Ccy,Conv)</f>
        <v>0</v>
      </c>
      <c r="H314" s="4">
        <f>_xll.ciqfunctions.udf.CIQ(InputTicker, "IQ_ST_DEBT",Input!J$2,Date,,,Ccy,Conv)</f>
        <v>0</v>
      </c>
      <c r="I314" s="4">
        <f>_xll.ciqfunctions.udf.CIQ(InputTicker, "IQ_ST_DEBT",Input!K$2,Date,,,Ccy,Conv)</f>
        <v>0</v>
      </c>
      <c r="J314" s="4">
        <f>_xll.ciqfunctions.udf.CIQ(InputTicker, "IQ_ST_DEBT",Input!L$2,Date,,,Ccy,Conv)</f>
        <v>0</v>
      </c>
      <c r="K314" s="4">
        <f>_xll.ciqfunctions.udf.CIQ(InputTicker, "IQ_ST_DEBT",Input!M$2,Date,,,Ccy,Conv)</f>
        <v>0</v>
      </c>
      <c r="L314" s="4">
        <f>_xll.ciqfunctions.udf.CIQ(InputTicker, "IQ_ST_DEBT",Input!N$2,Date,,,Ccy,Conv)</f>
        <v>0</v>
      </c>
      <c r="M314" s="4">
        <f>_xll.ciqfunctions.udf.CIQ(InputTicker, "IQ_ST_DEBT",Input!O$2,Date,,,Ccy,Conv)</f>
        <v>0</v>
      </c>
      <c r="N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</row>
    <row r="315" spans="1:66" ht="12.75" customHeight="1" x14ac:dyDescent="0.2">
      <c r="A315" s="1" t="s">
        <v>182</v>
      </c>
      <c r="B315" s="4">
        <f>_xll.ciqfunctions.udf.CIQ(InputTicker, "IQ_CURRENT_PORT_DEBT",Input!D$2,Date,,,Ccy,Conv)</f>
        <v>192.81299999999999</v>
      </c>
      <c r="C315" s="4">
        <f>_xll.ciqfunctions.udf.CIQ(InputTicker, "IQ_CURRENT_PORT_DEBT",Input!E$2,Date,,,Ccy,Conv)</f>
        <v>273.14999999999998</v>
      </c>
      <c r="D315" s="4">
        <f>_xll.ciqfunctions.udf.CIQ(InputTicker, "IQ_CURRENT_PORT_DEBT",Input!F$2,Date,,,Ccy,Conv)</f>
        <v>143.1</v>
      </c>
      <c r="E315" s="4">
        <f>_xll.ciqfunctions.udf.CIQ(InputTicker, "IQ_CURRENT_PORT_DEBT",Input!G$2,Date,,,Ccy,Conv)</f>
        <v>138.85300000000001</v>
      </c>
      <c r="F315" s="4">
        <f>_xll.ciqfunctions.udf.CIQ(InputTicker, "IQ_CURRENT_PORT_DEBT",Input!H$2,Date,,,Ccy,Conv)</f>
        <v>196.696</v>
      </c>
      <c r="G315" s="4">
        <f>_xll.ciqfunctions.udf.CIQ(InputTicker, "IQ_CURRENT_PORT_DEBT",Input!I$2,Date,,,Ccy,Conv)</f>
        <v>95.028000000000006</v>
      </c>
      <c r="H315" s="4">
        <f>_xll.ciqfunctions.udf.CIQ(InputTicker, "IQ_CURRENT_PORT_DEBT",Input!J$2,Date,,,Ccy,Conv)</f>
        <v>72.703000000000003</v>
      </c>
      <c r="I315" s="4">
        <f>_xll.ciqfunctions.udf.CIQ(InputTicker, "IQ_CURRENT_PORT_DEBT",Input!K$2,Date,,,Ccy,Conv)</f>
        <v>41.25</v>
      </c>
      <c r="J315" s="4">
        <f>_xll.ciqfunctions.udf.CIQ(InputTicker, "IQ_CURRENT_PORT_DEBT",Input!L$2,Date,,,Ccy,Conv)</f>
        <v>62</v>
      </c>
      <c r="K315" s="4">
        <f>_xll.ciqfunctions.udf.CIQ(InputTicker, "IQ_CURRENT_PORT_DEBT",Input!M$2,Date,,,Ccy,Conv)</f>
        <v>83</v>
      </c>
      <c r="L315" s="4">
        <f>_xll.ciqfunctions.udf.CIQ(InputTicker, "IQ_CURRENT_PORT_DEBT",Input!N$2,Date,,,Ccy,Conv)</f>
        <v>19</v>
      </c>
      <c r="M315" s="4">
        <f>_xll.ciqfunctions.udf.CIQ(InputTicker, "IQ_CURRENT_PORT_DEBT",Input!O$2,Date,,,Ccy,Conv)</f>
        <v>19</v>
      </c>
      <c r="N315" s="42"/>
      <c r="T315" s="46"/>
      <c r="U315" s="46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</row>
    <row r="316" spans="1:66" ht="12.75" customHeight="1" x14ac:dyDescent="0.2">
      <c r="A316" s="1" t="s">
        <v>471</v>
      </c>
      <c r="B316" s="4">
        <f>_xll.ciqfunctions.udf.CIQ(InputTicker, "IQ_CURRENT_PORT_LEASES",Input!D$2,Date,,,Ccy,Conv)</f>
        <v>0</v>
      </c>
      <c r="C316" s="4">
        <f>_xll.ciqfunctions.udf.CIQ(InputTicker, "IQ_CURRENT_PORT_LEASES",Input!E$2,Date,,,Ccy,Conv)</f>
        <v>0</v>
      </c>
      <c r="D316" s="4">
        <f>_xll.ciqfunctions.udf.CIQ(InputTicker, "IQ_CURRENT_PORT_LEASES",Input!F$2,Date,,,Ccy,Conv)</f>
        <v>0</v>
      </c>
      <c r="E316" s="4">
        <f>_xll.ciqfunctions.udf.CIQ(InputTicker, "IQ_CURRENT_PORT_LEASES",Input!G$2,Date,,,Ccy,Conv)</f>
        <v>0</v>
      </c>
      <c r="F316" s="4">
        <f>_xll.ciqfunctions.udf.CIQ(InputTicker, "IQ_CURRENT_PORT_LEASES",Input!H$2,Date,,,Ccy,Conv)</f>
        <v>49.021000000000001</v>
      </c>
      <c r="G316" s="4">
        <f>_xll.ciqfunctions.udf.CIQ(InputTicker, "IQ_CURRENT_PORT_LEASES",Input!I$2,Date,,,Ccy,Conv)</f>
        <v>54.956000000000003</v>
      </c>
      <c r="H316" s="4">
        <f>_xll.ciqfunctions.udf.CIQ(InputTicker, "IQ_CURRENT_PORT_LEASES",Input!J$2,Date,,,Ccy,Conv)</f>
        <v>52.334000000000003</v>
      </c>
      <c r="I316" s="4">
        <f>_xll.ciqfunctions.udf.CIQ(InputTicker, "IQ_CURRENT_PORT_LEASES",Input!K$2,Date,,,Ccy,Conv)</f>
        <v>51.238</v>
      </c>
      <c r="J316" s="4">
        <f>_xll.ciqfunctions.udf.CIQ(InputTicker, "IQ_CURRENT_PORT_LEASES",Input!L$2,Date,,,Ccy,Conv)</f>
        <v>43</v>
      </c>
      <c r="K316" s="4">
        <f>_xll.ciqfunctions.udf.CIQ(InputTicker, "IQ_CURRENT_PORT_LEASES",Input!M$2,Date,,,Ccy,Conv)</f>
        <v>41</v>
      </c>
      <c r="L316" s="4">
        <f>_xll.ciqfunctions.udf.CIQ(InputTicker, "IQ_CURRENT_PORT_LEASES",Input!N$2,Date,,,Ccy,Conv)</f>
        <v>43</v>
      </c>
      <c r="M316" s="4">
        <f>_xll.ciqfunctions.udf.CIQ(InputTicker, "IQ_CURRENT_PORT_LEASES",Input!O$2,Date,,,Ccy,Conv)</f>
        <v>43</v>
      </c>
      <c r="N316" s="42"/>
      <c r="S316" s="46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</row>
    <row r="317" spans="1:66" ht="12.75" customHeight="1" x14ac:dyDescent="0.2">
      <c r="A317" s="1" t="s">
        <v>183</v>
      </c>
      <c r="B317" s="4">
        <f>_xll.ciqfunctions.udf.CIQ(InputTicker, "IQ_FIN_DIV_DEBT_CURRENT",Input!D$2,Date,,,Ccy,Conv)</f>
        <v>0</v>
      </c>
      <c r="C317" s="4">
        <f>_xll.ciqfunctions.udf.CIQ(InputTicker, "IQ_FIN_DIV_DEBT_CURRENT",Input!E$2,Date,,,Ccy,Conv)</f>
        <v>0</v>
      </c>
      <c r="D317" s="4">
        <f>_xll.ciqfunctions.udf.CIQ(InputTicker, "IQ_FIN_DIV_DEBT_CURRENT",Input!F$2,Date,,,Ccy,Conv)</f>
        <v>0</v>
      </c>
      <c r="E317" s="4">
        <f>_xll.ciqfunctions.udf.CIQ(InputTicker, "IQ_FIN_DIV_DEBT_CURRENT",Input!G$2,Date,,,Ccy,Conv)</f>
        <v>0</v>
      </c>
      <c r="F317" s="4">
        <f>_xll.ciqfunctions.udf.CIQ(InputTicker, "IQ_FIN_DIV_DEBT_CURRENT",Input!H$2,Date,,,Ccy,Conv)</f>
        <v>0</v>
      </c>
      <c r="G317" s="4">
        <f>_xll.ciqfunctions.udf.CIQ(InputTicker, "IQ_FIN_DIV_DEBT_CURRENT",Input!I$2,Date,,,Ccy,Conv)</f>
        <v>0</v>
      </c>
      <c r="H317" s="4">
        <f>_xll.ciqfunctions.udf.CIQ(InputTicker, "IQ_FIN_DIV_DEBT_CURRENT",Input!J$2,Date,,,Ccy,Conv)</f>
        <v>0</v>
      </c>
      <c r="I317" s="4">
        <f>_xll.ciqfunctions.udf.CIQ(InputTicker, "IQ_FIN_DIV_DEBT_CURRENT",Input!K$2,Date,,,Ccy,Conv)</f>
        <v>0</v>
      </c>
      <c r="J317" s="4">
        <f>_xll.ciqfunctions.udf.CIQ(InputTicker, "IQ_FIN_DIV_DEBT_CURRENT",Input!L$2,Date,,,Ccy,Conv)</f>
        <v>0</v>
      </c>
      <c r="K317" s="4">
        <f>_xll.ciqfunctions.udf.CIQ(InputTicker, "IQ_FIN_DIV_DEBT_CURRENT",Input!M$2,Date,,,Ccy,Conv)</f>
        <v>0</v>
      </c>
      <c r="L317" s="4">
        <f>_xll.ciqfunctions.udf.CIQ(InputTicker, "IQ_FIN_DIV_DEBT_CURRENT",Input!N$2,Date,,,Ccy,Conv)</f>
        <v>0</v>
      </c>
      <c r="M317" s="4">
        <f>_xll.ciqfunctions.udf.CIQ(InputTicker, "IQ_FIN_DIV_DEBT_CURRENT",Input!O$2,Date,,,Ccy,Conv)</f>
        <v>0</v>
      </c>
      <c r="N317" s="46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</row>
    <row r="318" spans="1:66" ht="12.75" customHeight="1" x14ac:dyDescent="0.2">
      <c r="A318" s="1" t="s">
        <v>184</v>
      </c>
      <c r="B318" s="4">
        <f>_xll.ciqfunctions.udf.CIQ(InputTicker, "IQ_FIN_DIV_LIAB_CURRENT",Input!D$2,Date,,,Ccy,Conv)</f>
        <v>0</v>
      </c>
      <c r="C318" s="4">
        <f>_xll.ciqfunctions.udf.CIQ(InputTicker, "IQ_FIN_DIV_LIAB_CURRENT",Input!E$2,Date,,,Ccy,Conv)</f>
        <v>0</v>
      </c>
      <c r="D318" s="4">
        <f>_xll.ciqfunctions.udf.CIQ(InputTicker, "IQ_FIN_DIV_LIAB_CURRENT",Input!F$2,Date,,,Ccy,Conv)</f>
        <v>0</v>
      </c>
      <c r="E318" s="4">
        <f>_xll.ciqfunctions.udf.CIQ(InputTicker, "IQ_FIN_DIV_LIAB_CURRENT",Input!G$2,Date,,,Ccy,Conv)</f>
        <v>0</v>
      </c>
      <c r="F318" s="4">
        <f>_xll.ciqfunctions.udf.CIQ(InputTicker, "IQ_FIN_DIV_LIAB_CURRENT",Input!H$2,Date,,,Ccy,Conv)</f>
        <v>0</v>
      </c>
      <c r="G318" s="4">
        <f>_xll.ciqfunctions.udf.CIQ(InputTicker, "IQ_FIN_DIV_LIAB_CURRENT",Input!I$2,Date,,,Ccy,Conv)</f>
        <v>0</v>
      </c>
      <c r="H318" s="4">
        <f>_xll.ciqfunctions.udf.CIQ(InputTicker, "IQ_FIN_DIV_LIAB_CURRENT",Input!J$2,Date,,,Ccy,Conv)</f>
        <v>0</v>
      </c>
      <c r="I318" s="4">
        <f>_xll.ciqfunctions.udf.CIQ(InputTicker, "IQ_FIN_DIV_LIAB_CURRENT",Input!K$2,Date,,,Ccy,Conv)</f>
        <v>0</v>
      </c>
      <c r="J318" s="4">
        <f>_xll.ciqfunctions.udf.CIQ(InputTicker, "IQ_FIN_DIV_LIAB_CURRENT",Input!L$2,Date,,,Ccy,Conv)</f>
        <v>0</v>
      </c>
      <c r="K318" s="4">
        <f>_xll.ciqfunctions.udf.CIQ(InputTicker, "IQ_FIN_DIV_LIAB_CURRENT",Input!M$2,Date,,,Ccy,Conv)</f>
        <v>0</v>
      </c>
      <c r="L318" s="4">
        <f>_xll.ciqfunctions.udf.CIQ(InputTicker, "IQ_FIN_DIV_LIAB_CURRENT",Input!N$2,Date,,,Ccy,Conv)</f>
        <v>0</v>
      </c>
      <c r="M318" s="4">
        <f>_xll.ciqfunctions.udf.CIQ(InputTicker, "IQ_FIN_DIV_LIAB_CURRENT",Input!O$2,Date,,,Ccy,Conv)</f>
        <v>0</v>
      </c>
      <c r="N318" s="42"/>
      <c r="S318" s="46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</row>
    <row r="319" spans="1:66" ht="12.75" customHeight="1" x14ac:dyDescent="0.2">
      <c r="A319" s="1" t="s">
        <v>185</v>
      </c>
      <c r="B319" s="4">
        <f>_xll.ciqfunctions.udf.CIQ(InputTicker, "IQ_INC_TAX_PAY_CURRENT",Input!D$2,Date,,,Ccy,Conv)</f>
        <v>0</v>
      </c>
      <c r="C319" s="4">
        <f>_xll.ciqfunctions.udf.CIQ(InputTicker, "IQ_INC_TAX_PAY_CURRENT",Input!E$2,Date,,,Ccy,Conv)</f>
        <v>0</v>
      </c>
      <c r="D319" s="4">
        <f>_xll.ciqfunctions.udf.CIQ(InputTicker, "IQ_INC_TAX_PAY_CURRENT",Input!F$2,Date,,,Ccy,Conv)</f>
        <v>0</v>
      </c>
      <c r="E319" s="4">
        <f>_xll.ciqfunctions.udf.CIQ(InputTicker, "IQ_INC_TAX_PAY_CURRENT",Input!G$2,Date,,,Ccy,Conv)</f>
        <v>0</v>
      </c>
      <c r="F319" s="4">
        <f>_xll.ciqfunctions.udf.CIQ(InputTicker, "IQ_INC_TAX_PAY_CURRENT",Input!H$2,Date,,,Ccy,Conv)</f>
        <v>5.1779999999999999</v>
      </c>
      <c r="G319" s="4">
        <f>_xll.ciqfunctions.udf.CIQ(InputTicker, "IQ_INC_TAX_PAY_CURRENT",Input!I$2,Date,,,Ccy,Conv)</f>
        <v>30.693999999999999</v>
      </c>
      <c r="H319" s="4">
        <f>_xll.ciqfunctions.udf.CIQ(InputTicker, "IQ_INC_TAX_PAY_CURRENT",Input!J$2,Date,,,Ccy,Conv)</f>
        <v>34.323999999999998</v>
      </c>
      <c r="I319" s="4">
        <f>_xll.ciqfunctions.udf.CIQ(InputTicker, "IQ_INC_TAX_PAY_CURRENT",Input!K$2,Date,,,Ccy,Conv)</f>
        <v>14.523</v>
      </c>
      <c r="J319" s="4">
        <f>_xll.ciqfunctions.udf.CIQ(InputTicker, "IQ_INC_TAX_PAY_CURRENT",Input!L$2,Date,,,Ccy,Conv)</f>
        <v>11</v>
      </c>
      <c r="K319" s="4">
        <f>_xll.ciqfunctions.udf.CIQ(InputTicker, "IQ_INC_TAX_PAY_CURRENT",Input!M$2,Date,,,Ccy,Conv)</f>
        <v>0</v>
      </c>
      <c r="L319" s="4">
        <f>_xll.ciqfunctions.udf.CIQ(InputTicker, "IQ_INC_TAX_PAY_CURRENT",Input!N$2,Date,,,Ccy,Conv)</f>
        <v>10</v>
      </c>
      <c r="M319" s="4">
        <f>_xll.ciqfunctions.udf.CIQ(InputTicker, "IQ_INC_TAX_PAY_CURRENT",Input!O$2,Date,,,Ccy,Conv)</f>
        <v>10</v>
      </c>
      <c r="N319" s="46"/>
      <c r="P319" s="46"/>
      <c r="Q319" s="46"/>
      <c r="R319" s="46"/>
      <c r="T319" s="42"/>
      <c r="U319" s="42"/>
      <c r="V319" s="46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</row>
    <row r="320" spans="1:66" ht="12.75" customHeight="1" x14ac:dyDescent="0.2">
      <c r="A320" s="1" t="s">
        <v>135</v>
      </c>
      <c r="B320" s="4">
        <f>_xll.ciqfunctions.udf.CIQ(InputTicker, "IQ_UNEARN_REV_CURRENT",Input!D$2,Date,,,Ccy,Conv)</f>
        <v>0</v>
      </c>
      <c r="C320" s="4">
        <f>_xll.ciqfunctions.udf.CIQ(InputTicker, "IQ_UNEARN_REV_CURRENT",Input!E$2,Date,,,Ccy,Conv)</f>
        <v>0</v>
      </c>
      <c r="D320" s="4">
        <f>_xll.ciqfunctions.udf.CIQ(InputTicker, "IQ_UNEARN_REV_CURRENT",Input!F$2,Date,,,Ccy,Conv)</f>
        <v>0</v>
      </c>
      <c r="E320" s="4">
        <f>_xll.ciqfunctions.udf.CIQ(InputTicker, "IQ_UNEARN_REV_CURRENT",Input!G$2,Date,,,Ccy,Conv)</f>
        <v>0</v>
      </c>
      <c r="F320" s="4">
        <f>_xll.ciqfunctions.udf.CIQ(InputTicker, "IQ_UNEARN_REV_CURRENT",Input!H$2,Date,,,Ccy,Conv)</f>
        <v>0</v>
      </c>
      <c r="G320" s="4">
        <f>_xll.ciqfunctions.udf.CIQ(InputTicker, "IQ_UNEARN_REV_CURRENT",Input!I$2,Date,,,Ccy,Conv)</f>
        <v>15.906000000000001</v>
      </c>
      <c r="H320" s="4">
        <f>_xll.ciqfunctions.udf.CIQ(InputTicker, "IQ_UNEARN_REV_CURRENT",Input!J$2,Date,,,Ccy,Conv)</f>
        <v>26.747</v>
      </c>
      <c r="I320" s="4">
        <f>_xll.ciqfunctions.udf.CIQ(InputTicker, "IQ_UNEARN_REV_CURRENT",Input!K$2,Date,,,Ccy,Conv)</f>
        <v>18.995000000000001</v>
      </c>
      <c r="J320" s="4">
        <f>_xll.ciqfunctions.udf.CIQ(InputTicker, "IQ_UNEARN_REV_CURRENT",Input!L$2,Date,,,Ccy,Conv)</f>
        <v>16</v>
      </c>
      <c r="K320" s="4">
        <f>_xll.ciqfunctions.udf.CIQ(InputTicker, "IQ_UNEARN_REV_CURRENT",Input!M$2,Date,,,Ccy,Conv)</f>
        <v>18</v>
      </c>
      <c r="L320" s="4">
        <f>_xll.ciqfunctions.udf.CIQ(InputTicker, "IQ_UNEARN_REV_CURRENT",Input!N$2,Date,,,Ccy,Conv)</f>
        <v>28</v>
      </c>
      <c r="M320" s="4">
        <f>_xll.ciqfunctions.udf.CIQ(InputTicker, "IQ_UNEARN_REV_CURRENT",Input!O$2,Date,,,Ccy,Conv)</f>
        <v>28</v>
      </c>
      <c r="N320" s="42"/>
      <c r="T320" s="46"/>
      <c r="U320" s="46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</row>
    <row r="321" spans="1:66" ht="12.75" customHeight="1" x14ac:dyDescent="0.2">
      <c r="A321" s="1" t="s">
        <v>186</v>
      </c>
      <c r="B321" s="4">
        <f>_xll.ciqfunctions.udf.CIQ(InputTicker, "IQ_DEF_TAX_LIAB_CURRENT",Input!D$2,Date,,,Ccy,Conv)</f>
        <v>0</v>
      </c>
      <c r="C321" s="4">
        <f>_xll.ciqfunctions.udf.CIQ(InputTicker, "IQ_DEF_TAX_LIAB_CURRENT",Input!E$2,Date,,,Ccy,Conv)</f>
        <v>0</v>
      </c>
      <c r="D321" s="4">
        <f>_xll.ciqfunctions.udf.CIQ(InputTicker, "IQ_DEF_TAX_LIAB_CURRENT",Input!F$2,Date,,,Ccy,Conv)</f>
        <v>0</v>
      </c>
      <c r="E321" s="4">
        <f>_xll.ciqfunctions.udf.CIQ(InputTicker, "IQ_DEF_TAX_LIAB_CURRENT",Input!G$2,Date,,,Ccy,Conv)</f>
        <v>0</v>
      </c>
      <c r="F321" s="4">
        <f>_xll.ciqfunctions.udf.CIQ(InputTicker, "IQ_DEF_TAX_LIAB_CURRENT",Input!H$2,Date,,,Ccy,Conv)</f>
        <v>0</v>
      </c>
      <c r="G321" s="4">
        <f>_xll.ciqfunctions.udf.CIQ(InputTicker, "IQ_DEF_TAX_LIAB_CURRENT",Input!I$2,Date,,,Ccy,Conv)</f>
        <v>0</v>
      </c>
      <c r="H321" s="4">
        <f>_xll.ciqfunctions.udf.CIQ(InputTicker, "IQ_DEF_TAX_LIAB_CURRENT",Input!J$2,Date,,,Ccy,Conv)</f>
        <v>0</v>
      </c>
      <c r="I321" s="4">
        <f>_xll.ciqfunctions.udf.CIQ(InputTicker, "IQ_DEF_TAX_LIAB_CURRENT",Input!K$2,Date,,,Ccy,Conv)</f>
        <v>0</v>
      </c>
      <c r="J321" s="4">
        <f>_xll.ciqfunctions.udf.CIQ(InputTicker, "IQ_DEF_TAX_LIAB_CURRENT",Input!L$2,Date,,,Ccy,Conv)</f>
        <v>0</v>
      </c>
      <c r="K321" s="4">
        <f>_xll.ciqfunctions.udf.CIQ(InputTicker, "IQ_DEF_TAX_LIAB_CURRENT",Input!M$2,Date,,,Ccy,Conv)</f>
        <v>0</v>
      </c>
      <c r="L321" s="4">
        <f>_xll.ciqfunctions.udf.CIQ(InputTicker, "IQ_DEF_TAX_LIAB_CURRENT",Input!N$2,Date,,,Ccy,Conv)</f>
        <v>0</v>
      </c>
      <c r="M321" s="4">
        <f>_xll.ciqfunctions.udf.CIQ(InputTicker, "IQ_DEF_TAX_LIAB_CURRENT",Input!O$2,Date,,,Ccy,Conv)</f>
        <v>0</v>
      </c>
      <c r="N321" s="42"/>
      <c r="S321" s="17"/>
      <c r="T321" s="46"/>
      <c r="U321" s="46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</row>
    <row r="322" spans="1:66" ht="12.75" customHeight="1" x14ac:dyDescent="0.2">
      <c r="A322" s="1" t="s">
        <v>136</v>
      </c>
      <c r="B322" s="4">
        <f>_xll.ciqfunctions.udf.CIQ(InputTicker, "IQ_OTHER_CL_SUPPL",Input!D$2,Date,,,Ccy,Conv)</f>
        <v>209.54499999999999</v>
      </c>
      <c r="C322" s="4">
        <f>_xll.ciqfunctions.udf.CIQ(InputTicker, "IQ_OTHER_CL_SUPPL",Input!E$2,Date,,,Ccy,Conv)</f>
        <v>234.714</v>
      </c>
      <c r="D322" s="4">
        <f>_xll.ciqfunctions.udf.CIQ(InputTicker, "IQ_OTHER_CL_SUPPL",Input!F$2,Date,,,Ccy,Conv)</f>
        <v>212.64699999999999</v>
      </c>
      <c r="E322" s="4">
        <f>_xll.ciqfunctions.udf.CIQ(InputTicker, "IQ_OTHER_CL_SUPPL",Input!G$2,Date,,,Ccy,Conv)</f>
        <v>245.185</v>
      </c>
      <c r="F322" s="4">
        <f>_xll.ciqfunctions.udf.CIQ(InputTicker, "IQ_OTHER_CL_SUPPL",Input!H$2,Date,,,Ccy,Conv)</f>
        <v>254.59700000000001</v>
      </c>
      <c r="G322" s="4">
        <f>_xll.ciqfunctions.udf.CIQ(InputTicker, "IQ_OTHER_CL_SUPPL",Input!I$2,Date,,,Ccy,Conv)</f>
        <v>265.13499999999999</v>
      </c>
      <c r="H322" s="4">
        <f>_xll.ciqfunctions.udf.CIQ(InputTicker, "IQ_OTHER_CL_SUPPL",Input!J$2,Date,,,Ccy,Conv)</f>
        <v>296.99599999999998</v>
      </c>
      <c r="I322" s="4">
        <f>_xll.ciqfunctions.udf.CIQ(InputTicker, "IQ_OTHER_CL_SUPPL",Input!K$2,Date,,,Ccy,Conv)</f>
        <v>685.90300000000002</v>
      </c>
      <c r="J322" s="4">
        <f>_xll.ciqfunctions.udf.CIQ(InputTicker, "IQ_OTHER_CL_SUPPL",Input!L$2,Date,,,Ccy,Conv)</f>
        <v>367</v>
      </c>
      <c r="K322" s="4">
        <f>_xll.ciqfunctions.udf.CIQ(InputTicker, "IQ_OTHER_CL_SUPPL",Input!M$2,Date,,,Ccy,Conv)</f>
        <v>260</v>
      </c>
      <c r="L322" s="4">
        <f>_xll.ciqfunctions.udf.CIQ(InputTicker, "IQ_OTHER_CL_SUPPL",Input!N$2,Date,,,Ccy,Conv)</f>
        <v>261</v>
      </c>
      <c r="M322" s="4">
        <f>_xll.ciqfunctions.udf.CIQ(InputTicker, "IQ_OTHER_CL_SUPPL",Input!O$2,Date,,,Ccy,Conv)</f>
        <v>261</v>
      </c>
      <c r="N322" s="42"/>
      <c r="T322" s="46"/>
      <c r="U322" s="46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</row>
    <row r="323" spans="1:66" ht="12.75" customHeight="1" x14ac:dyDescent="0.2">
      <c r="A323" s="5" t="s">
        <v>97</v>
      </c>
      <c r="B323" s="6">
        <f>_xll.ciqfunctions.udf.CIQ(InputTicker, "IQ_TOTAL_CL",Input!D$2,Date,,,Ccy,Conv)</f>
        <v>939.91300000000001</v>
      </c>
      <c r="C323" s="6">
        <f>_xll.ciqfunctions.udf.CIQ(InputTicker, "IQ_TOTAL_CL",Input!E$2,Date,,,Ccy,Conv)</f>
        <v>1101.4010000000001</v>
      </c>
      <c r="D323" s="6">
        <f>_xll.ciqfunctions.udf.CIQ(InputTicker, "IQ_TOTAL_CL",Input!F$2,Date,,,Ccy,Conv)</f>
        <v>1028.7670000000001</v>
      </c>
      <c r="E323" s="6">
        <f>_xll.ciqfunctions.udf.CIQ(InputTicker, "IQ_TOTAL_CL",Input!G$2,Date,,,Ccy,Conv)</f>
        <v>1179.239</v>
      </c>
      <c r="F323" s="6">
        <f>_xll.ciqfunctions.udf.CIQ(InputTicker, "IQ_TOTAL_CL",Input!H$2,Date,,,Ccy,Conv)</f>
        <v>1327.6780000000001</v>
      </c>
      <c r="G323" s="6">
        <f>_xll.ciqfunctions.udf.CIQ(InputTicker, "IQ_TOTAL_CL",Input!I$2,Date,,,Ccy,Conv)</f>
        <v>1291.105</v>
      </c>
      <c r="H323" s="6">
        <f>_xll.ciqfunctions.udf.CIQ(InputTicker, "IQ_TOTAL_CL",Input!J$2,Date,,,Ccy,Conv)</f>
        <v>1533.954</v>
      </c>
      <c r="I323" s="6">
        <f>_xll.ciqfunctions.udf.CIQ(InputTicker, "IQ_TOTAL_CL",Input!K$2,Date,,,Ccy,Conv)</f>
        <v>1897.0540000000001</v>
      </c>
      <c r="J323" s="6">
        <f>_xll.ciqfunctions.udf.CIQ(InputTicker, "IQ_TOTAL_CL",Input!L$2,Date,,,Ccy,Conv)</f>
        <v>1692</v>
      </c>
      <c r="K323" s="6">
        <f>_xll.ciqfunctions.udf.CIQ(InputTicker, "IQ_TOTAL_CL",Input!M$2,Date,,,Ccy,Conv)</f>
        <v>1846</v>
      </c>
      <c r="L323" s="6">
        <f>_xll.ciqfunctions.udf.CIQ(InputTicker, "IQ_TOTAL_CL",Input!N$2,Date,,,Ccy,Conv)</f>
        <v>1663</v>
      </c>
      <c r="M323" s="6">
        <f>_xll.ciqfunctions.udf.CIQ(InputTicker, "IQ_TOTAL_CL",Input!O$2,Date,,,Ccy,Conv)</f>
        <v>1663</v>
      </c>
      <c r="N323" s="42"/>
      <c r="S323" s="46"/>
      <c r="T323" s="46"/>
      <c r="U323" s="46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</row>
    <row r="324" spans="1:66" ht="12.75" customHeight="1" x14ac:dyDescent="0.2">
      <c r="A324" s="1" t="s">
        <v>187</v>
      </c>
      <c r="B324" s="4">
        <f>_xll.ciqfunctions.udf.CIQ(InputTicker, "IQ_LT_DEBT",Input!D$2,Date,,,Ccy,Conv)</f>
        <v>1484.4480000000001</v>
      </c>
      <c r="C324" s="4">
        <f>_xll.ciqfunctions.udf.CIQ(InputTicker, "IQ_LT_DEBT",Input!E$2,Date,,,Ccy,Conv)</f>
        <v>1470.174</v>
      </c>
      <c r="D324" s="4">
        <f>_xll.ciqfunctions.udf.CIQ(InputTicker, "IQ_LT_DEBT",Input!F$2,Date,,,Ccy,Conv)</f>
        <v>1755.479</v>
      </c>
      <c r="E324" s="4">
        <f>_xll.ciqfunctions.udf.CIQ(InputTicker, "IQ_LT_DEBT",Input!G$2,Date,,,Ccy,Conv)</f>
        <v>1706.184</v>
      </c>
      <c r="F324" s="4">
        <f>_xll.ciqfunctions.udf.CIQ(InputTicker, "IQ_LT_DEBT",Input!H$2,Date,,,Ccy,Conv)</f>
        <v>2045.798</v>
      </c>
      <c r="G324" s="4">
        <f>_xll.ciqfunctions.udf.CIQ(InputTicker, "IQ_LT_DEBT",Input!I$2,Date,,,Ccy,Conv)</f>
        <v>2299.73</v>
      </c>
      <c r="H324" s="4">
        <f>_xll.ciqfunctions.udf.CIQ(InputTicker, "IQ_LT_DEBT",Input!J$2,Date,,,Ccy,Conv)</f>
        <v>2731.732</v>
      </c>
      <c r="I324" s="4">
        <f>_xll.ciqfunctions.udf.CIQ(InputTicker, "IQ_LT_DEBT",Input!K$2,Date,,,Ccy,Conv)</f>
        <v>2772.2640000000001</v>
      </c>
      <c r="J324" s="4">
        <f>_xll.ciqfunctions.udf.CIQ(InputTicker, "IQ_LT_DEBT",Input!L$2,Date,,,Ccy,Conv)</f>
        <v>3350</v>
      </c>
      <c r="K324" s="4">
        <f>_xll.ciqfunctions.udf.CIQ(InputTicker, "IQ_LT_DEBT",Input!M$2,Date,,,Ccy,Conv)</f>
        <v>3915</v>
      </c>
      <c r="L324" s="4">
        <f>_xll.ciqfunctions.udf.CIQ(InputTicker, "IQ_LT_DEBT",Input!N$2,Date,,,Ccy,Conv)</f>
        <v>3921</v>
      </c>
      <c r="M324" s="4">
        <f>_xll.ciqfunctions.udf.CIQ(InputTicker, "IQ_LT_DEBT",Input!O$2,Date,,,Ccy,Conv)</f>
        <v>3921</v>
      </c>
      <c r="N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</row>
    <row r="325" spans="1:66" ht="12.75" customHeight="1" x14ac:dyDescent="0.2">
      <c r="A325" s="42" t="s">
        <v>472</v>
      </c>
      <c r="B325" s="4">
        <f>_xll.ciqfunctions.udf.CIQ(InputTicker, "IQ_LONG_TERM_LEASES",Input!D$2,Date,,,Ccy,Conv)</f>
        <v>0</v>
      </c>
      <c r="C325" s="4">
        <f>_xll.ciqfunctions.udf.CIQ(InputTicker, "IQ_LONG_TERM_LEASES",Input!E$2,Date,,,Ccy,Conv)</f>
        <v>0</v>
      </c>
      <c r="D325" s="4">
        <f>_xll.ciqfunctions.udf.CIQ(InputTicker, "IQ_LONG_TERM_LEASES",Input!F$2,Date,,,Ccy,Conv)</f>
        <v>0</v>
      </c>
      <c r="E325" s="4">
        <f>_xll.ciqfunctions.udf.CIQ(InputTicker, "IQ_LONG_TERM_LEASES",Input!G$2,Date,,,Ccy,Conv)</f>
        <v>0</v>
      </c>
      <c r="F325" s="4">
        <f>_xll.ciqfunctions.udf.CIQ(InputTicker, "IQ_LONG_TERM_LEASES",Input!H$2,Date,,,Ccy,Conv)</f>
        <v>270.26600000000002</v>
      </c>
      <c r="G325" s="4">
        <f>_xll.ciqfunctions.udf.CIQ(InputTicker, "IQ_LONG_TERM_LEASES",Input!I$2,Date,,,Ccy,Conv)</f>
        <v>263.14400000000001</v>
      </c>
      <c r="H325" s="4">
        <f>_xll.ciqfunctions.udf.CIQ(InputTicker, "IQ_LONG_TERM_LEASES",Input!J$2,Date,,,Ccy,Conv)</f>
        <v>247.07</v>
      </c>
      <c r="I325" s="4">
        <f>_xll.ciqfunctions.udf.CIQ(InputTicker, "IQ_LONG_TERM_LEASES",Input!K$2,Date,,,Ccy,Conv)</f>
        <v>198.14400000000001</v>
      </c>
      <c r="J325" s="4">
        <f>_xll.ciqfunctions.udf.CIQ(InputTicker, "IQ_LONG_TERM_LEASES",Input!L$2,Date,,,Ccy,Conv)</f>
        <v>182</v>
      </c>
      <c r="K325" s="4">
        <f>_xll.ciqfunctions.udf.CIQ(InputTicker, "IQ_LONG_TERM_LEASES",Input!M$2,Date,,,Ccy,Conv)</f>
        <v>180</v>
      </c>
      <c r="L325" s="4">
        <f>_xll.ciqfunctions.udf.CIQ(InputTicker, "IQ_LONG_TERM_LEASES",Input!N$2,Date,,,Ccy,Conv)</f>
        <v>139</v>
      </c>
      <c r="M325" s="4">
        <f>_xll.ciqfunctions.udf.CIQ(InputTicker, "IQ_LONG_TERM_LEASES",Input!O$2,Date,,,Ccy,Conv)</f>
        <v>139</v>
      </c>
      <c r="N325" s="42"/>
      <c r="P325" s="46"/>
      <c r="Q325" s="46"/>
      <c r="R325" s="46"/>
      <c r="T325" s="42"/>
      <c r="U325" s="42"/>
      <c r="V325" s="46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</row>
    <row r="326" spans="1:66" ht="12.75" customHeight="1" x14ac:dyDescent="0.2">
      <c r="A326" s="42" t="s">
        <v>189</v>
      </c>
      <c r="B326" s="4">
        <f>_xll.ciqfunctions.udf.CIQ(InputTicker, "IQ_FIN_DIV_DEBT_LT",Input!D$2,Date,,,Ccy,Conv)</f>
        <v>0</v>
      </c>
      <c r="C326" s="4">
        <f>_xll.ciqfunctions.udf.CIQ(InputTicker, "IQ_FIN_DIV_DEBT_LT",Input!E$2,Date,,,Ccy,Conv)</f>
        <v>0</v>
      </c>
      <c r="D326" s="4">
        <f>_xll.ciqfunctions.udf.CIQ(InputTicker, "IQ_FIN_DIV_DEBT_LT",Input!F$2,Date,,,Ccy,Conv)</f>
        <v>0</v>
      </c>
      <c r="E326" s="4">
        <f>_xll.ciqfunctions.udf.CIQ(InputTicker, "IQ_FIN_DIV_DEBT_LT",Input!G$2,Date,,,Ccy,Conv)</f>
        <v>0</v>
      </c>
      <c r="F326" s="4">
        <f>_xll.ciqfunctions.udf.CIQ(InputTicker, "IQ_FIN_DIV_DEBT_LT",Input!H$2,Date,,,Ccy,Conv)</f>
        <v>0</v>
      </c>
      <c r="G326" s="4">
        <f>_xll.ciqfunctions.udf.CIQ(InputTicker, "IQ_FIN_DIV_DEBT_LT",Input!I$2,Date,,,Ccy,Conv)</f>
        <v>0</v>
      </c>
      <c r="H326" s="4">
        <f>_xll.ciqfunctions.udf.CIQ(InputTicker, "IQ_FIN_DIV_DEBT_LT",Input!J$2,Date,,,Ccy,Conv)</f>
        <v>0</v>
      </c>
      <c r="I326" s="4">
        <f>_xll.ciqfunctions.udf.CIQ(InputTicker, "IQ_FIN_DIV_DEBT_LT",Input!K$2,Date,,,Ccy,Conv)</f>
        <v>0</v>
      </c>
      <c r="J326" s="4">
        <f>_xll.ciqfunctions.udf.CIQ(InputTicker, "IQ_FIN_DIV_DEBT_LT",Input!L$2,Date,,,Ccy,Conv)</f>
        <v>0</v>
      </c>
      <c r="K326" s="4">
        <f>_xll.ciqfunctions.udf.CIQ(InputTicker, "IQ_FIN_DIV_DEBT_LT",Input!M$2,Date,,,Ccy,Conv)</f>
        <v>0</v>
      </c>
      <c r="L326" s="4">
        <f>_xll.ciqfunctions.udf.CIQ(InputTicker, "IQ_FIN_DIV_DEBT_LT",Input!N$2,Date,,,Ccy,Conv)</f>
        <v>0</v>
      </c>
      <c r="M326" s="4">
        <f>_xll.ciqfunctions.udf.CIQ(InputTicker, "IQ_FIN_DIV_DEBT_LT",Input!O$2,Date,,,Ccy,Conv)</f>
        <v>0</v>
      </c>
      <c r="N326" s="46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</row>
    <row r="327" spans="1:66" ht="12.75" customHeight="1" x14ac:dyDescent="0.2">
      <c r="A327" s="42" t="s">
        <v>190</v>
      </c>
      <c r="B327" s="4">
        <f>_xll.ciqfunctions.udf.CIQ(InputTicker, "IQ_FIN_DIV_LIAB_LT",Input!D$2,Date,,,Ccy,Conv)</f>
        <v>0</v>
      </c>
      <c r="C327" s="4">
        <f>_xll.ciqfunctions.udf.CIQ(InputTicker, "IQ_FIN_DIV_LIAB_LT",Input!E$2,Date,,,Ccy,Conv)</f>
        <v>0</v>
      </c>
      <c r="D327" s="4">
        <f>_xll.ciqfunctions.udf.CIQ(InputTicker, "IQ_FIN_DIV_LIAB_LT",Input!F$2,Date,,,Ccy,Conv)</f>
        <v>0</v>
      </c>
      <c r="E327" s="4">
        <f>_xll.ciqfunctions.udf.CIQ(InputTicker, "IQ_FIN_DIV_LIAB_LT",Input!G$2,Date,,,Ccy,Conv)</f>
        <v>0</v>
      </c>
      <c r="F327" s="4">
        <f>_xll.ciqfunctions.udf.CIQ(InputTicker, "IQ_FIN_DIV_LIAB_LT",Input!H$2,Date,,,Ccy,Conv)</f>
        <v>0</v>
      </c>
      <c r="G327" s="4">
        <f>_xll.ciqfunctions.udf.CIQ(InputTicker, "IQ_FIN_DIV_LIAB_LT",Input!I$2,Date,,,Ccy,Conv)</f>
        <v>0</v>
      </c>
      <c r="H327" s="4">
        <f>_xll.ciqfunctions.udf.CIQ(InputTicker, "IQ_FIN_DIV_LIAB_LT",Input!J$2,Date,,,Ccy,Conv)</f>
        <v>0</v>
      </c>
      <c r="I327" s="4">
        <f>_xll.ciqfunctions.udf.CIQ(InputTicker, "IQ_FIN_DIV_LIAB_LT",Input!K$2,Date,,,Ccy,Conv)</f>
        <v>0</v>
      </c>
      <c r="J327" s="4">
        <f>_xll.ciqfunctions.udf.CIQ(InputTicker, "IQ_FIN_DIV_LIAB_LT",Input!L$2,Date,,,Ccy,Conv)</f>
        <v>0</v>
      </c>
      <c r="K327" s="4">
        <f>_xll.ciqfunctions.udf.CIQ(InputTicker, "IQ_FIN_DIV_LIAB_LT",Input!M$2,Date,,,Ccy,Conv)</f>
        <v>0</v>
      </c>
      <c r="L327" s="4">
        <f>_xll.ciqfunctions.udf.CIQ(InputTicker, "IQ_FIN_DIV_LIAB_LT",Input!N$2,Date,,,Ccy,Conv)</f>
        <v>0</v>
      </c>
      <c r="M327" s="4">
        <f>_xll.ciqfunctions.udf.CIQ(InputTicker, "IQ_FIN_DIV_LIAB_LT",Input!O$2,Date,,,Ccy,Conv)</f>
        <v>0</v>
      </c>
      <c r="N327" s="42"/>
      <c r="S327" s="46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</row>
    <row r="328" spans="1:66" ht="12.75" customHeight="1" x14ac:dyDescent="0.2">
      <c r="A328" s="42" t="s">
        <v>191</v>
      </c>
      <c r="B328" s="4">
        <f>_xll.ciqfunctions.udf.CIQ(InputTicker, "IQ_UNEARN_REV_LT",Input!D$2,Date,,,Ccy,Conv)</f>
        <v>0</v>
      </c>
      <c r="C328" s="4">
        <f>_xll.ciqfunctions.udf.CIQ(InputTicker, "IQ_UNEARN_REV_LT",Input!E$2,Date,,,Ccy,Conv)</f>
        <v>0</v>
      </c>
      <c r="D328" s="4">
        <f>_xll.ciqfunctions.udf.CIQ(InputTicker, "IQ_UNEARN_REV_LT",Input!F$2,Date,,,Ccy,Conv)</f>
        <v>0</v>
      </c>
      <c r="E328" s="4">
        <f>_xll.ciqfunctions.udf.CIQ(InputTicker, "IQ_UNEARN_REV_LT",Input!G$2,Date,,,Ccy,Conv)</f>
        <v>0</v>
      </c>
      <c r="F328" s="4">
        <f>_xll.ciqfunctions.udf.CIQ(InputTicker, "IQ_UNEARN_REV_LT",Input!H$2,Date,,,Ccy,Conv)</f>
        <v>0</v>
      </c>
      <c r="G328" s="4">
        <f>_xll.ciqfunctions.udf.CIQ(InputTicker, "IQ_UNEARN_REV_LT",Input!I$2,Date,,,Ccy,Conv)</f>
        <v>0</v>
      </c>
      <c r="H328" s="4">
        <f>_xll.ciqfunctions.udf.CIQ(InputTicker, "IQ_UNEARN_REV_LT",Input!J$2,Date,,,Ccy,Conv)</f>
        <v>0</v>
      </c>
      <c r="I328" s="4">
        <f>_xll.ciqfunctions.udf.CIQ(InputTicker, "IQ_UNEARN_REV_LT",Input!K$2,Date,,,Ccy,Conv)</f>
        <v>0</v>
      </c>
      <c r="J328" s="4">
        <f>_xll.ciqfunctions.udf.CIQ(InputTicker, "IQ_UNEARN_REV_LT",Input!L$2,Date,,,Ccy,Conv)</f>
        <v>0</v>
      </c>
      <c r="K328" s="4">
        <f>_xll.ciqfunctions.udf.CIQ(InputTicker, "IQ_UNEARN_REV_LT",Input!M$2,Date,,,Ccy,Conv)</f>
        <v>0</v>
      </c>
      <c r="L328" s="4">
        <f>_xll.ciqfunctions.udf.CIQ(InputTicker, "IQ_UNEARN_REV_LT",Input!N$2,Date,,,Ccy,Conv)</f>
        <v>0</v>
      </c>
      <c r="M328" s="4">
        <f>_xll.ciqfunctions.udf.CIQ(InputTicker, "IQ_UNEARN_REV_LT",Input!O$2,Date,,,Ccy,Conv)</f>
        <v>0</v>
      </c>
      <c r="N328" s="42"/>
      <c r="P328" s="46"/>
      <c r="Q328" s="46"/>
      <c r="R328" s="46"/>
      <c r="T328" s="46"/>
      <c r="U328" s="46"/>
      <c r="V328" s="46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</row>
    <row r="329" spans="1:66" ht="12.75" customHeight="1" x14ac:dyDescent="0.2">
      <c r="A329" s="42" t="s">
        <v>192</v>
      </c>
      <c r="B329" s="4">
        <f>_xll.ciqfunctions.udf.CIQ(InputTicker, "IQ_PENSION",Input!D$2,Date,,,Ccy,Conv)</f>
        <v>118.554</v>
      </c>
      <c r="C329" s="4">
        <f>_xll.ciqfunctions.udf.CIQ(InputTicker, "IQ_PENSION",Input!E$2,Date,,,Ccy,Conv)</f>
        <v>123.492</v>
      </c>
      <c r="D329" s="4">
        <f>_xll.ciqfunctions.udf.CIQ(InputTicker, "IQ_PENSION",Input!F$2,Date,,,Ccy,Conv)</f>
        <v>131.52600000000001</v>
      </c>
      <c r="E329" s="4">
        <f>_xll.ciqfunctions.udf.CIQ(InputTicker, "IQ_PENSION",Input!G$2,Date,,,Ccy,Conv)</f>
        <v>124.925</v>
      </c>
      <c r="F329" s="4">
        <f>_xll.ciqfunctions.udf.CIQ(InputTicker, "IQ_PENSION",Input!H$2,Date,,,Ccy,Conv)</f>
        <v>124.375</v>
      </c>
      <c r="G329" s="4">
        <f>_xll.ciqfunctions.udf.CIQ(InputTicker, "IQ_PENSION",Input!I$2,Date,,,Ccy,Conv)</f>
        <v>14.141999999999999</v>
      </c>
      <c r="H329" s="4">
        <f>_xll.ciqfunctions.udf.CIQ(InputTicker, "IQ_PENSION",Input!J$2,Date,,,Ccy,Conv)</f>
        <v>16.512</v>
      </c>
      <c r="I329" s="4">
        <f>_xll.ciqfunctions.udf.CIQ(InputTicker, "IQ_PENSION",Input!K$2,Date,,,Ccy,Conv)</f>
        <v>20.09</v>
      </c>
      <c r="J329" s="4">
        <f>_xll.ciqfunctions.udf.CIQ(InputTicker, "IQ_PENSION",Input!L$2,Date,,,Ccy,Conv)</f>
        <v>29</v>
      </c>
      <c r="K329" s="4">
        <f>_xll.ciqfunctions.udf.CIQ(InputTicker, "IQ_PENSION",Input!M$2,Date,,,Ccy,Conv)</f>
        <v>35</v>
      </c>
      <c r="L329" s="4">
        <f>_xll.ciqfunctions.udf.CIQ(InputTicker, "IQ_PENSION",Input!N$2,Date,,,Ccy,Conv)</f>
        <v>40</v>
      </c>
      <c r="M329" s="4">
        <f>_xll.ciqfunctions.udf.CIQ(InputTicker, "IQ_PENSION",Input!O$2,Date,,,Ccy,Conv)</f>
        <v>40</v>
      </c>
      <c r="N329" s="46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</row>
    <row r="330" spans="1:66" ht="12.75" customHeight="1" x14ac:dyDescent="0.2">
      <c r="A330" s="42" t="s">
        <v>137</v>
      </c>
      <c r="B330" s="4">
        <f>_xll.ciqfunctions.udf.CIQ(InputTicker, "IQ_DEF_TAX_LIAB_LT",Input!D$2,Date,,,Ccy,Conv)</f>
        <v>0</v>
      </c>
      <c r="C330" s="4">
        <f>_xll.ciqfunctions.udf.CIQ(InputTicker, "IQ_DEF_TAX_LIAB_LT",Input!E$2,Date,,,Ccy,Conv)</f>
        <v>0</v>
      </c>
      <c r="D330" s="4">
        <f>_xll.ciqfunctions.udf.CIQ(InputTicker, "IQ_DEF_TAX_LIAB_LT",Input!F$2,Date,,,Ccy,Conv)</f>
        <v>7.274</v>
      </c>
      <c r="E330" s="4">
        <f>_xll.ciqfunctions.udf.CIQ(InputTicker, "IQ_DEF_TAX_LIAB_LT",Input!G$2,Date,,,Ccy,Conv)</f>
        <v>33.238</v>
      </c>
      <c r="F330" s="4">
        <f>_xll.ciqfunctions.udf.CIQ(InputTicker, "IQ_DEF_TAX_LIAB_LT",Input!H$2,Date,,,Ccy,Conv)</f>
        <v>88.085999999999999</v>
      </c>
      <c r="G330" s="4">
        <f>_xll.ciqfunctions.udf.CIQ(InputTicker, "IQ_DEF_TAX_LIAB_LT",Input!I$2,Date,,,Ccy,Conv)</f>
        <v>364.46100000000001</v>
      </c>
      <c r="H330" s="4">
        <f>_xll.ciqfunctions.udf.CIQ(InputTicker, "IQ_DEF_TAX_LIAB_LT",Input!J$2,Date,,,Ccy,Conv)</f>
        <v>239.602</v>
      </c>
      <c r="I330" s="4">
        <f>_xll.ciqfunctions.udf.CIQ(InputTicker, "IQ_DEF_TAX_LIAB_LT",Input!K$2,Date,,,Ccy,Conv)</f>
        <v>0</v>
      </c>
      <c r="J330" s="4">
        <f>_xll.ciqfunctions.udf.CIQ(InputTicker, "IQ_DEF_TAX_LIAB_LT",Input!L$2,Date,,,Ccy,Conv)</f>
        <v>0</v>
      </c>
      <c r="K330" s="4">
        <f>_xll.ciqfunctions.udf.CIQ(InputTicker, "IQ_DEF_TAX_LIAB_LT",Input!M$2,Date,,,Ccy,Conv)</f>
        <v>0</v>
      </c>
      <c r="L330" s="4">
        <f>_xll.ciqfunctions.udf.CIQ(InputTicker, "IQ_DEF_TAX_LIAB_LT",Input!N$2,Date,,,Ccy,Conv)</f>
        <v>0</v>
      </c>
      <c r="M330" s="4">
        <f>_xll.ciqfunctions.udf.CIQ(InputTicker, "IQ_DEF_TAX_LIAB_LT",Input!O$2,Date,,,Ccy,Conv)</f>
        <v>0</v>
      </c>
      <c r="N330" s="42"/>
      <c r="S330" s="46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</row>
    <row r="331" spans="1:66" ht="12.75" customHeight="1" x14ac:dyDescent="0.2">
      <c r="A331" s="42" t="s">
        <v>138</v>
      </c>
      <c r="B331" s="4">
        <f>_xll.ciqfunctions.udf.CIQ(InputTicker, "IQ_OTHER_LIAB_LT",Input!D$2,Date,,,Ccy,Conv)</f>
        <v>58.768000000000001</v>
      </c>
      <c r="C331" s="4">
        <f>_xll.ciqfunctions.udf.CIQ(InputTicker, "IQ_OTHER_LIAB_LT",Input!E$2,Date,,,Ccy,Conv)</f>
        <v>104.447</v>
      </c>
      <c r="D331" s="4">
        <f>_xll.ciqfunctions.udf.CIQ(InputTicker, "IQ_OTHER_LIAB_LT",Input!F$2,Date,,,Ccy,Conv)</f>
        <v>121.08199999999999</v>
      </c>
      <c r="E331" s="4">
        <f>_xll.ciqfunctions.udf.CIQ(InputTicker, "IQ_OTHER_LIAB_LT",Input!G$2,Date,,,Ccy,Conv)</f>
        <v>112.889</v>
      </c>
      <c r="F331" s="4">
        <f>_xll.ciqfunctions.udf.CIQ(InputTicker, "IQ_OTHER_LIAB_LT",Input!H$2,Date,,,Ccy,Conv)</f>
        <v>81.406999999999996</v>
      </c>
      <c r="G331" s="4">
        <f>_xll.ciqfunctions.udf.CIQ(InputTicker, "IQ_OTHER_LIAB_LT",Input!I$2,Date,,,Ccy,Conv)</f>
        <v>195.84299999999999</v>
      </c>
      <c r="H331" s="4">
        <f>_xll.ciqfunctions.udf.CIQ(InputTicker, "IQ_OTHER_LIAB_LT",Input!J$2,Date,,,Ccy,Conv)</f>
        <v>209.98400000000001</v>
      </c>
      <c r="I331" s="4">
        <f>_xll.ciqfunctions.udf.CIQ(InputTicker, "IQ_OTHER_LIAB_LT",Input!K$2,Date,,,Ccy,Conv)</f>
        <v>671.09799999999996</v>
      </c>
      <c r="J331" s="4">
        <f>_xll.ciqfunctions.udf.CIQ(InputTicker, "IQ_OTHER_LIAB_LT",Input!L$2,Date,,,Ccy,Conv)</f>
        <v>264</v>
      </c>
      <c r="K331" s="4">
        <f>_xll.ciqfunctions.udf.CIQ(InputTicker, "IQ_OTHER_LIAB_LT",Input!M$2,Date,,,Ccy,Conv)</f>
        <v>333</v>
      </c>
      <c r="L331" s="4">
        <f>_xll.ciqfunctions.udf.CIQ(InputTicker, "IQ_OTHER_LIAB_LT",Input!N$2,Date,,,Ccy,Conv)</f>
        <v>250</v>
      </c>
      <c r="M331" s="4">
        <f>_xll.ciqfunctions.udf.CIQ(InputTicker, "IQ_OTHER_LIAB_LT",Input!O$2,Date,,,Ccy,Conv)</f>
        <v>250</v>
      </c>
      <c r="N331" s="42"/>
      <c r="P331" s="46"/>
      <c r="Q331" s="46"/>
      <c r="R331" s="46"/>
      <c r="S331" s="46"/>
      <c r="T331" s="42"/>
      <c r="U331" s="42"/>
      <c r="V331" s="46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</row>
    <row r="332" spans="1:66" ht="12.75" customHeight="1" thickBot="1" x14ac:dyDescent="0.25">
      <c r="A332" s="5" t="s">
        <v>510</v>
      </c>
      <c r="B332" s="9">
        <f>_xll.ciqfunctions.udf.CIQ(InputTicker, "IQ_TOTAL_LIAB",Input!D$2,Date,,,Ccy,Conv)</f>
        <v>2601.683</v>
      </c>
      <c r="C332" s="9">
        <f>_xll.ciqfunctions.udf.CIQ(InputTicker, "IQ_TOTAL_LIAB",Input!E$2,Date,,,Ccy,Conv)</f>
        <v>2799.5140000000001</v>
      </c>
      <c r="D332" s="9">
        <f>_xll.ciqfunctions.udf.CIQ(InputTicker, "IQ_TOTAL_LIAB",Input!F$2,Date,,,Ccy,Conv)</f>
        <v>3044.1280000000002</v>
      </c>
      <c r="E332" s="9">
        <f>_xll.ciqfunctions.udf.CIQ(InputTicker, "IQ_TOTAL_LIAB",Input!G$2,Date,,,Ccy,Conv)</f>
        <v>3156.4749999999999</v>
      </c>
      <c r="F332" s="9">
        <f>_xll.ciqfunctions.udf.CIQ(InputTicker, "IQ_TOTAL_LIAB",Input!H$2,Date,,,Ccy,Conv)</f>
        <v>3937.61</v>
      </c>
      <c r="G332" s="9">
        <f>_xll.ciqfunctions.udf.CIQ(InputTicker, "IQ_TOTAL_LIAB",Input!I$2,Date,,,Ccy,Conv)</f>
        <v>4428.4250000000002</v>
      </c>
      <c r="H332" s="9">
        <f>_xll.ciqfunctions.udf.CIQ(InputTicker, "IQ_TOTAL_LIAB",Input!J$2,Date,,,Ccy,Conv)</f>
        <v>4978.8540000000003</v>
      </c>
      <c r="I332" s="9">
        <f>_xll.ciqfunctions.udf.CIQ(InputTicker, "IQ_TOTAL_LIAB",Input!K$2,Date,,,Ccy,Conv)</f>
        <v>5558.65</v>
      </c>
      <c r="J332" s="9">
        <f>_xll.ciqfunctions.udf.CIQ(InputTicker, "IQ_TOTAL_LIAB",Input!L$2,Date,,,Ccy,Conv)</f>
        <v>5517</v>
      </c>
      <c r="K332" s="9">
        <f>_xll.ciqfunctions.udf.CIQ(InputTicker, "IQ_TOTAL_LIAB",Input!M$2,Date,,,Ccy,Conv)</f>
        <v>6309</v>
      </c>
      <c r="L332" s="9">
        <f>_xll.ciqfunctions.udf.CIQ(InputTicker, "IQ_TOTAL_LIAB",Input!N$2,Date,,,Ccy,Conv)</f>
        <v>6013</v>
      </c>
      <c r="M332" s="9">
        <f>_xll.ciqfunctions.udf.CIQ(InputTicker, "IQ_TOTAL_LIAB",Input!O$2,Date,,,Ccy,Conv)</f>
        <v>6013</v>
      </c>
      <c r="N332" s="42"/>
      <c r="S332" s="46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</row>
    <row r="333" spans="1:66" ht="12.75" customHeight="1" thickTop="1" x14ac:dyDescent="0.2">
      <c r="A333" s="1" t="s">
        <v>193</v>
      </c>
      <c r="B333" s="4">
        <f>_xll.ciqfunctions.udf.CIQ(InputTicker, "IQ_PREF_REDEEM",Input!D$2,Date,,,Ccy,Conv)</f>
        <v>0</v>
      </c>
      <c r="C333" s="4">
        <f>_xll.ciqfunctions.udf.CIQ(InputTicker, "IQ_PREF_REDEEM",Input!E$2,Date,,,Ccy,Conv)</f>
        <v>0</v>
      </c>
      <c r="D333" s="4">
        <f>_xll.ciqfunctions.udf.CIQ(InputTicker, "IQ_PREF_REDEEM",Input!F$2,Date,,,Ccy,Conv)</f>
        <v>0</v>
      </c>
      <c r="E333" s="4">
        <f>_xll.ciqfunctions.udf.CIQ(InputTicker, "IQ_PREF_REDEEM",Input!G$2,Date,,,Ccy,Conv)</f>
        <v>0</v>
      </c>
      <c r="F333" s="4">
        <f>_xll.ciqfunctions.udf.CIQ(InputTicker, "IQ_PREF_REDEEM",Input!H$2,Date,,,Ccy,Conv)</f>
        <v>0</v>
      </c>
      <c r="G333" s="4">
        <f>_xll.ciqfunctions.udf.CIQ(InputTicker, "IQ_PREF_REDEEM",Input!I$2,Date,,,Ccy,Conv)</f>
        <v>0</v>
      </c>
      <c r="H333" s="4">
        <f>_xll.ciqfunctions.udf.CIQ(InputTicker, "IQ_PREF_REDEEM",Input!J$2,Date,,,Ccy,Conv)</f>
        <v>0</v>
      </c>
      <c r="I333" s="4">
        <f>_xll.ciqfunctions.udf.CIQ(InputTicker, "IQ_PREF_REDEEM",Input!K$2,Date,,,Ccy,Conv)</f>
        <v>0</v>
      </c>
      <c r="J333" s="4">
        <f>_xll.ciqfunctions.udf.CIQ(InputTicker, "IQ_PREF_REDEEM",Input!L$2,Date,,,Ccy,Conv)</f>
        <v>0</v>
      </c>
      <c r="K333" s="4">
        <f>_xll.ciqfunctions.udf.CIQ(InputTicker, "IQ_PREF_REDEEM",Input!M$2,Date,,,Ccy,Conv)</f>
        <v>0</v>
      </c>
      <c r="L333" s="4">
        <f>_xll.ciqfunctions.udf.CIQ(InputTicker, "IQ_PREF_REDEEM",Input!N$2,Date,,,Ccy,Conv)</f>
        <v>0</v>
      </c>
      <c r="M333" s="4">
        <f>_xll.ciqfunctions.udf.CIQ(InputTicker, "IQ_PREF_REDEEM",Input!O$2,Date,,,Ccy,Conv)</f>
        <v>0</v>
      </c>
      <c r="N333" s="46"/>
      <c r="P333" s="46"/>
      <c r="Q333" s="46"/>
      <c r="R333" s="46"/>
      <c r="T333" s="42"/>
      <c r="U333" s="42"/>
      <c r="V333" s="46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</row>
    <row r="334" spans="1:66" ht="12.75" customHeight="1" x14ac:dyDescent="0.2">
      <c r="A334" s="1" t="s">
        <v>194</v>
      </c>
      <c r="B334" s="4">
        <f>_xll.ciqfunctions.udf.CIQ(InputTicker, "IQ_PREF_NON_REDEEM",Input!D$2,Date,,,Ccy,Conv)</f>
        <v>0</v>
      </c>
      <c r="C334" s="4">
        <f>_xll.ciqfunctions.udf.CIQ(InputTicker, "IQ_PREF_NON_REDEEM",Input!E$2,Date,,,Ccy,Conv)</f>
        <v>0</v>
      </c>
      <c r="D334" s="4">
        <f>_xll.ciqfunctions.udf.CIQ(InputTicker, "IQ_PREF_NON_REDEEM",Input!F$2,Date,,,Ccy,Conv)</f>
        <v>0</v>
      </c>
      <c r="E334" s="4">
        <f>_xll.ciqfunctions.udf.CIQ(InputTicker, "IQ_PREF_NON_REDEEM",Input!G$2,Date,,,Ccy,Conv)</f>
        <v>0</v>
      </c>
      <c r="F334" s="4">
        <f>_xll.ciqfunctions.udf.CIQ(InputTicker, "IQ_PREF_NON_REDEEM",Input!H$2,Date,,,Ccy,Conv)</f>
        <v>0</v>
      </c>
      <c r="G334" s="4">
        <f>_xll.ciqfunctions.udf.CIQ(InputTicker, "IQ_PREF_NON_REDEEM",Input!I$2,Date,,,Ccy,Conv)</f>
        <v>0</v>
      </c>
      <c r="H334" s="4">
        <f>_xll.ciqfunctions.udf.CIQ(InputTicker, "IQ_PREF_NON_REDEEM",Input!J$2,Date,,,Ccy,Conv)</f>
        <v>0</v>
      </c>
      <c r="I334" s="4">
        <f>_xll.ciqfunctions.udf.CIQ(InputTicker, "IQ_PREF_NON_REDEEM",Input!K$2,Date,,,Ccy,Conv)</f>
        <v>0</v>
      </c>
      <c r="J334" s="4">
        <f>_xll.ciqfunctions.udf.CIQ(InputTicker, "IQ_PREF_NON_REDEEM",Input!L$2,Date,,,Ccy,Conv)</f>
        <v>0</v>
      </c>
      <c r="K334" s="4">
        <f>_xll.ciqfunctions.udf.CIQ(InputTicker, "IQ_PREF_NON_REDEEM",Input!M$2,Date,,,Ccy,Conv)</f>
        <v>0</v>
      </c>
      <c r="L334" s="4">
        <f>_xll.ciqfunctions.udf.CIQ(InputTicker, "IQ_PREF_NON_REDEEM",Input!N$2,Date,,,Ccy,Conv)</f>
        <v>0</v>
      </c>
      <c r="M334" s="4">
        <f>_xll.ciqfunctions.udf.CIQ(InputTicker, "IQ_PREF_NON_REDEEM",Input!O$2,Date,,,Ccy,Conv)</f>
        <v>0</v>
      </c>
      <c r="N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</row>
    <row r="335" spans="1:66" ht="12.75" customHeight="1" x14ac:dyDescent="0.2">
      <c r="A335" s="1" t="s">
        <v>195</v>
      </c>
      <c r="B335" s="4">
        <f>_xll.ciqfunctions.udf.CIQ(InputTicker, "IQ_PREF_CONVERT",Input!D$2,Date,,,Ccy,Conv)</f>
        <v>0</v>
      </c>
      <c r="C335" s="4">
        <f>_xll.ciqfunctions.udf.CIQ(InputTicker, "IQ_PREF_CONVERT",Input!E$2,Date,,,Ccy,Conv)</f>
        <v>0</v>
      </c>
      <c r="D335" s="4">
        <f>_xll.ciqfunctions.udf.CIQ(InputTicker, "IQ_PREF_CONVERT",Input!F$2,Date,,,Ccy,Conv)</f>
        <v>0</v>
      </c>
      <c r="E335" s="4">
        <f>_xll.ciqfunctions.udf.CIQ(InputTicker, "IQ_PREF_CONVERT",Input!G$2,Date,,,Ccy,Conv)</f>
        <v>0</v>
      </c>
      <c r="F335" s="4">
        <f>_xll.ciqfunctions.udf.CIQ(InputTicker, "IQ_PREF_CONVERT",Input!H$2,Date,,,Ccy,Conv)</f>
        <v>0</v>
      </c>
      <c r="G335" s="4">
        <f>_xll.ciqfunctions.udf.CIQ(InputTicker, "IQ_PREF_CONVERT",Input!I$2,Date,,,Ccy,Conv)</f>
        <v>0</v>
      </c>
      <c r="H335" s="4">
        <f>_xll.ciqfunctions.udf.CIQ(InputTicker, "IQ_PREF_CONVERT",Input!J$2,Date,,,Ccy,Conv)</f>
        <v>0</v>
      </c>
      <c r="I335" s="4">
        <f>_xll.ciqfunctions.udf.CIQ(InputTicker, "IQ_PREF_CONVERT",Input!K$2,Date,,,Ccy,Conv)</f>
        <v>0</v>
      </c>
      <c r="J335" s="4">
        <f>_xll.ciqfunctions.udf.CIQ(InputTicker, "IQ_PREF_CONVERT",Input!L$2,Date,,,Ccy,Conv)</f>
        <v>0</v>
      </c>
      <c r="K335" s="4">
        <f>_xll.ciqfunctions.udf.CIQ(InputTicker, "IQ_PREF_CONVERT",Input!M$2,Date,,,Ccy,Conv)</f>
        <v>0</v>
      </c>
      <c r="L335" s="4">
        <f>_xll.ciqfunctions.udf.CIQ(InputTicker, "IQ_PREF_CONVERT",Input!N$2,Date,,,Ccy,Conv)</f>
        <v>0</v>
      </c>
      <c r="M335" s="4">
        <f>_xll.ciqfunctions.udf.CIQ(InputTicker, "IQ_PREF_CONVERT",Input!O$2,Date,,,Ccy,Conv)</f>
        <v>0</v>
      </c>
      <c r="N335" s="42"/>
      <c r="T335" s="51"/>
      <c r="U335" s="51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</row>
    <row r="336" spans="1:66" ht="12.75" customHeight="1" x14ac:dyDescent="0.2">
      <c r="A336" s="1" t="s">
        <v>196</v>
      </c>
      <c r="B336" s="4">
        <f>_xll.ciqfunctions.udf.CIQ(InputTicker, "IQ_PREF_OTHER",Input!D$2,Date,,,Ccy,Conv)</f>
        <v>0</v>
      </c>
      <c r="C336" s="4">
        <f>_xll.ciqfunctions.udf.CIQ(InputTicker, "IQ_PREF_OTHER",Input!E$2,Date,,,Ccy,Conv)</f>
        <v>0</v>
      </c>
      <c r="D336" s="4">
        <f>_xll.ciqfunctions.udf.CIQ(InputTicker, "IQ_PREF_OTHER",Input!F$2,Date,,,Ccy,Conv)</f>
        <v>0</v>
      </c>
      <c r="E336" s="4">
        <f>_xll.ciqfunctions.udf.CIQ(InputTicker, "IQ_PREF_OTHER",Input!G$2,Date,,,Ccy,Conv)</f>
        <v>0</v>
      </c>
      <c r="F336" s="4">
        <f>_xll.ciqfunctions.udf.CIQ(InputTicker, "IQ_PREF_OTHER",Input!H$2,Date,,,Ccy,Conv)</f>
        <v>0</v>
      </c>
      <c r="G336" s="4">
        <f>_xll.ciqfunctions.udf.CIQ(InputTicker, "IQ_PREF_OTHER",Input!I$2,Date,,,Ccy,Conv)</f>
        <v>0</v>
      </c>
      <c r="H336" s="4">
        <f>_xll.ciqfunctions.udf.CIQ(InputTicker, "IQ_PREF_OTHER",Input!J$2,Date,,,Ccy,Conv)</f>
        <v>0</v>
      </c>
      <c r="I336" s="4">
        <f>_xll.ciqfunctions.udf.CIQ(InputTicker, "IQ_PREF_OTHER",Input!K$2,Date,,,Ccy,Conv)</f>
        <v>0</v>
      </c>
      <c r="J336" s="4">
        <f>_xll.ciqfunctions.udf.CIQ(InputTicker, "IQ_PREF_OTHER",Input!L$2,Date,,,Ccy,Conv)</f>
        <v>0</v>
      </c>
      <c r="K336" s="4">
        <f>_xll.ciqfunctions.udf.CIQ(InputTicker, "IQ_PREF_OTHER",Input!M$2,Date,,,Ccy,Conv)</f>
        <v>0</v>
      </c>
      <c r="L336" s="4">
        <f>_xll.ciqfunctions.udf.CIQ(InputTicker, "IQ_PREF_OTHER",Input!N$2,Date,,,Ccy,Conv)</f>
        <v>0</v>
      </c>
      <c r="M336" s="4">
        <f>_xll.ciqfunctions.udf.CIQ(InputTicker, "IQ_PREF_OTHER",Input!O$2,Date,,,Ccy,Conv)</f>
        <v>0</v>
      </c>
      <c r="N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</row>
    <row r="337" spans="1:66" ht="12.75" customHeight="1" x14ac:dyDescent="0.2">
      <c r="A337" s="5" t="s">
        <v>511</v>
      </c>
      <c r="B337" s="10">
        <f>_xll.ciqfunctions.udf.CIQ(InputTicker, "IQ_PREF_EQUITY",Input!D$2,Date,,,Ccy,Conv)</f>
        <v>0</v>
      </c>
      <c r="C337" s="10">
        <f>_xll.ciqfunctions.udf.CIQ(InputTicker, "IQ_PREF_EQUITY",Input!E$2,Date,,,Ccy,Conv)</f>
        <v>0</v>
      </c>
      <c r="D337" s="10">
        <f>_xll.ciqfunctions.udf.CIQ(InputTicker, "IQ_PREF_EQUITY",Input!F$2,Date,,,Ccy,Conv)</f>
        <v>0</v>
      </c>
      <c r="E337" s="10">
        <f>_xll.ciqfunctions.udf.CIQ(InputTicker, "IQ_PREF_EQUITY",Input!G$2,Date,,,Ccy,Conv)</f>
        <v>0</v>
      </c>
      <c r="F337" s="10">
        <f>_xll.ciqfunctions.udf.CIQ(InputTicker, "IQ_PREF_EQUITY",Input!H$2,Date,,,Ccy,Conv)</f>
        <v>0</v>
      </c>
      <c r="G337" s="10">
        <f>_xll.ciqfunctions.udf.CIQ(InputTicker, "IQ_PREF_EQUITY",Input!I$2,Date,,,Ccy,Conv)</f>
        <v>0</v>
      </c>
      <c r="H337" s="10">
        <f>_xll.ciqfunctions.udf.CIQ(InputTicker, "IQ_PREF_EQUITY",Input!J$2,Date,,,Ccy,Conv)</f>
        <v>0</v>
      </c>
      <c r="I337" s="10">
        <f>_xll.ciqfunctions.udf.CIQ(InputTicker, "IQ_PREF_EQUITY",Input!K$2,Date,,,Ccy,Conv)</f>
        <v>0</v>
      </c>
      <c r="J337" s="10">
        <f>_xll.ciqfunctions.udf.CIQ(InputTicker, "IQ_PREF_EQUITY",Input!L$2,Date,,,Ccy,Conv)</f>
        <v>0</v>
      </c>
      <c r="K337" s="10">
        <f>_xll.ciqfunctions.udf.CIQ(InputTicker, "IQ_PREF_EQUITY",Input!M$2,Date,,,Ccy,Conv)</f>
        <v>0</v>
      </c>
      <c r="L337" s="10">
        <f>_xll.ciqfunctions.udf.CIQ(InputTicker, "IQ_PREF_EQUITY",Input!N$2,Date,,,Ccy,Conv)</f>
        <v>0</v>
      </c>
      <c r="M337" s="10">
        <f>_xll.ciqfunctions.udf.CIQ(InputTicker, "IQ_PREF_EQUITY",Input!O$2,Date,,,Ccy,Conv)</f>
        <v>0</v>
      </c>
      <c r="N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</row>
    <row r="338" spans="1:66" ht="12.75" customHeight="1" x14ac:dyDescent="0.2">
      <c r="A338" s="1" t="s">
        <v>47</v>
      </c>
      <c r="B338" s="4">
        <f>_xll.ciqfunctions.udf.CIQ(InputTicker, "IQ_COMMON",Input!D$2,Date,,,Ccy,Conv)</f>
        <v>1.534</v>
      </c>
      <c r="C338" s="4">
        <f>_xll.ciqfunctions.udf.CIQ(InputTicker, "IQ_COMMON",Input!E$2,Date,,,Ccy,Conv)</f>
        <v>1.5589999999999999</v>
      </c>
      <c r="D338" s="4">
        <f>_xll.ciqfunctions.udf.CIQ(InputTicker, "IQ_COMMON",Input!F$2,Date,,,Ccy,Conv)</f>
        <v>1.58</v>
      </c>
      <c r="E338" s="4">
        <f>_xll.ciqfunctions.udf.CIQ(InputTicker, "IQ_COMMON",Input!G$2,Date,,,Ccy,Conv)</f>
        <v>1.599</v>
      </c>
      <c r="F338" s="4">
        <f>_xll.ciqfunctions.udf.CIQ(InputTicker, "IQ_COMMON",Input!H$2,Date,,,Ccy,Conv)</f>
        <v>1.613</v>
      </c>
      <c r="G338" s="4">
        <f>_xll.ciqfunctions.udf.CIQ(InputTicker, "IQ_COMMON",Input!I$2,Date,,,Ccy,Conv)</f>
        <v>1.629</v>
      </c>
      <c r="H338" s="4">
        <f>_xll.ciqfunctions.udf.CIQ(InputTicker, "IQ_COMMON",Input!J$2,Date,,,Ccy,Conv)</f>
        <v>1.6459999999999999</v>
      </c>
      <c r="I338" s="4">
        <f>_xll.ciqfunctions.udf.CIQ(InputTicker, "IQ_COMMON",Input!K$2,Date,,,Ccy,Conv)</f>
        <v>1.659</v>
      </c>
      <c r="J338" s="4">
        <f>_xll.ciqfunctions.udf.CIQ(InputTicker, "IQ_COMMON",Input!L$2,Date,,,Ccy,Conv)</f>
        <v>2</v>
      </c>
      <c r="K338" s="4">
        <f>_xll.ciqfunctions.udf.CIQ(InputTicker, "IQ_COMMON",Input!M$2,Date,,,Ccy,Conv)</f>
        <v>2</v>
      </c>
      <c r="L338" s="4">
        <f>_xll.ciqfunctions.udf.CIQ(InputTicker, "IQ_COMMON",Input!N$2,Date,,,Ccy,Conv)</f>
        <v>2</v>
      </c>
      <c r="M338" s="4">
        <f>_xll.ciqfunctions.udf.CIQ(InputTicker, "IQ_COMMON",Input!O$2,Date,,,Ccy,Conv)</f>
        <v>2</v>
      </c>
      <c r="N338" s="46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</row>
    <row r="339" spans="1:66" ht="12.75" customHeight="1" x14ac:dyDescent="0.2">
      <c r="A339" s="1" t="s">
        <v>139</v>
      </c>
      <c r="B339" s="4">
        <f>_xll.ciqfunctions.udf.CIQ(InputTicker, "IQ_APIC",Input!D$2,Date,,,Ccy,Conv)</f>
        <v>243.47499999999999</v>
      </c>
      <c r="C339" s="4">
        <f>_xll.ciqfunctions.udf.CIQ(InputTicker, "IQ_APIC",Input!E$2,Date,,,Ccy,Conv)</f>
        <v>302.90699999999998</v>
      </c>
      <c r="D339" s="4">
        <f>_xll.ciqfunctions.udf.CIQ(InputTicker, "IQ_APIC",Input!F$2,Date,,,Ccy,Conv)</f>
        <v>346.95800000000003</v>
      </c>
      <c r="E339" s="4">
        <f>_xll.ciqfunctions.udf.CIQ(InputTicker, "IQ_APIC",Input!G$2,Date,,,Ccy,Conv)</f>
        <v>401.596</v>
      </c>
      <c r="F339" s="4">
        <f>_xll.ciqfunctions.udf.CIQ(InputTicker, "IQ_APIC",Input!H$2,Date,,,Ccy,Conv)</f>
        <v>468.02699999999999</v>
      </c>
      <c r="G339" s="4">
        <f>_xll.ciqfunctions.udf.CIQ(InputTicker, "IQ_APIC",Input!I$2,Date,,,Ccy,Conv)</f>
        <v>557.95699999999999</v>
      </c>
      <c r="H339" s="4">
        <f>_xll.ciqfunctions.udf.CIQ(InputTicker, "IQ_APIC",Input!J$2,Date,,,Ccy,Conv)</f>
        <v>656.22199999999998</v>
      </c>
      <c r="I339" s="4">
        <f>_xll.ciqfunctions.udf.CIQ(InputTicker, "IQ_APIC",Input!K$2,Date,,,Ccy,Conv)</f>
        <v>769.46</v>
      </c>
      <c r="J339" s="4">
        <f>_xll.ciqfunctions.udf.CIQ(InputTicker, "IQ_APIC",Input!L$2,Date,,,Ccy,Conv)</f>
        <v>909</v>
      </c>
      <c r="K339" s="4">
        <f>_xll.ciqfunctions.udf.CIQ(InputTicker, "IQ_APIC",Input!M$2,Date,,,Ccy,Conv)</f>
        <v>1042</v>
      </c>
      <c r="L339" s="4">
        <f>_xll.ciqfunctions.udf.CIQ(InputTicker, "IQ_APIC",Input!N$2,Date,,,Ccy,Conv)</f>
        <v>1155</v>
      </c>
      <c r="M339" s="4">
        <f>_xll.ciqfunctions.udf.CIQ(InputTicker, "IQ_APIC",Input!O$2,Date,,,Ccy,Conv)</f>
        <v>1155</v>
      </c>
      <c r="N339" s="42"/>
      <c r="S339" s="46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</row>
    <row r="340" spans="1:66" ht="12.75" customHeight="1" x14ac:dyDescent="0.2">
      <c r="A340" s="1" t="s">
        <v>98</v>
      </c>
      <c r="B340" s="4">
        <f>_xll.ciqfunctions.udf.CIQ(InputTicker, "IQ_RE",Input!D$2,Date,,,Ccy,Conv)</f>
        <v>318.53699999999998</v>
      </c>
      <c r="C340" s="4">
        <f>_xll.ciqfunctions.udf.CIQ(InputTicker, "IQ_RE",Input!E$2,Date,,,Ccy,Conv)</f>
        <v>478.10199999999998</v>
      </c>
      <c r="D340" s="4">
        <f>_xll.ciqfunctions.udf.CIQ(InputTicker, "IQ_RE",Input!F$2,Date,,,Ccy,Conv)</f>
        <v>690.51599999999996</v>
      </c>
      <c r="E340" s="4">
        <f>_xll.ciqfunctions.udf.CIQ(InputTicker, "IQ_RE",Input!G$2,Date,,,Ccy,Conv)</f>
        <v>994.81100000000004</v>
      </c>
      <c r="F340" s="4">
        <f>_xll.ciqfunctions.udf.CIQ(InputTicker, "IQ_RE",Input!H$2,Date,,,Ccy,Conv)</f>
        <v>1330.8119999999999</v>
      </c>
      <c r="G340" s="4">
        <f>_xll.ciqfunctions.udf.CIQ(InputTicker, "IQ_RE",Input!I$2,Date,,,Ccy,Conv)</f>
        <v>1757.5239999999999</v>
      </c>
      <c r="H340" s="4">
        <f>_xll.ciqfunctions.udf.CIQ(InputTicker, "IQ_RE",Input!J$2,Date,,,Ccy,Conv)</f>
        <v>2015.0709999999999</v>
      </c>
      <c r="I340" s="4">
        <f>_xll.ciqfunctions.udf.CIQ(InputTicker, "IQ_RE",Input!K$2,Date,,,Ccy,Conv)</f>
        <v>2051.4549999999999</v>
      </c>
      <c r="J340" s="4">
        <f>_xll.ciqfunctions.udf.CIQ(InputTicker, "IQ_RE",Input!L$2,Date,,,Ccy,Conv)</f>
        <v>2404</v>
      </c>
      <c r="K340" s="4">
        <f>_xll.ciqfunctions.udf.CIQ(InputTicker, "IQ_RE",Input!M$2,Date,,,Ccy,Conv)</f>
        <v>3070</v>
      </c>
      <c r="L340" s="4">
        <f>_xll.ciqfunctions.udf.CIQ(InputTicker, "IQ_RE",Input!N$2,Date,,,Ccy,Conv)</f>
        <v>3644</v>
      </c>
      <c r="M340" s="4">
        <f>_xll.ciqfunctions.udf.CIQ(InputTicker, "IQ_RE",Input!O$2,Date,,,Ccy,Conv)</f>
        <v>3644</v>
      </c>
      <c r="N340" s="46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</row>
    <row r="341" spans="1:66" ht="12.75" customHeight="1" x14ac:dyDescent="0.2">
      <c r="A341" s="1" t="s">
        <v>54</v>
      </c>
      <c r="B341" s="4">
        <f>_xll.ciqfunctions.udf.CIQ(InputTicker, "IQ_TREASURY",Input!D$2,Date,,,Ccy,Conv)</f>
        <v>-135.44499999999999</v>
      </c>
      <c r="C341" s="4">
        <f>_xll.ciqfunctions.udf.CIQ(InputTicker, "IQ_TREASURY",Input!E$2,Date,,,Ccy,Conv)</f>
        <v>-191.9</v>
      </c>
      <c r="D341" s="4">
        <f>_xll.ciqfunctions.udf.CIQ(InputTicker, "IQ_TREASURY",Input!F$2,Date,,,Ccy,Conv)</f>
        <v>-461.45699999999999</v>
      </c>
      <c r="E341" s="4">
        <f>_xll.ciqfunctions.udf.CIQ(InputTicker, "IQ_TREASURY",Input!G$2,Date,,,Ccy,Conv)</f>
        <v>-711.45</v>
      </c>
      <c r="F341" s="4">
        <f>_xll.ciqfunctions.udf.CIQ(InputTicker, "IQ_TREASURY",Input!H$2,Date,,,Ccy,Conv)</f>
        <v>-898.09500000000003</v>
      </c>
      <c r="G341" s="4">
        <f>_xll.ciqfunctions.udf.CIQ(InputTicker, "IQ_TREASURY",Input!I$2,Date,,,Ccy,Conv)</f>
        <v>-1216.163</v>
      </c>
      <c r="H341" s="4">
        <f>_xll.ciqfunctions.udf.CIQ(InputTicker, "IQ_TREASURY",Input!J$2,Date,,,Ccy,Conv)</f>
        <v>-1635.454</v>
      </c>
      <c r="I341" s="4">
        <f>_xll.ciqfunctions.udf.CIQ(InputTicker, "IQ_TREASURY",Input!K$2,Date,,,Ccy,Conv)</f>
        <v>-1859.905</v>
      </c>
      <c r="J341" s="4">
        <f>_xll.ciqfunctions.udf.CIQ(InputTicker, "IQ_TREASURY",Input!L$2,Date,,,Ccy,Conv)</f>
        <v>-2278</v>
      </c>
      <c r="K341" s="4">
        <f>_xll.ciqfunctions.udf.CIQ(InputTicker, "IQ_TREASURY",Input!M$2,Date,,,Ccy,Conv)</f>
        <v>-3082</v>
      </c>
      <c r="L341" s="4">
        <f>_xll.ciqfunctions.udf.CIQ(InputTicker, "IQ_TREASURY",Input!N$2,Date,,,Ccy,Conv)</f>
        <v>-3673</v>
      </c>
      <c r="M341" s="4">
        <f>_xll.ciqfunctions.udf.CIQ(InputTicker, "IQ_TREASURY",Input!O$2,Date,,,Ccy,Conv)</f>
        <v>-3673</v>
      </c>
      <c r="N341" s="46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</row>
    <row r="342" spans="1:66" ht="12.75" customHeight="1" x14ac:dyDescent="0.2">
      <c r="A342" s="1" t="s">
        <v>140</v>
      </c>
      <c r="B342" s="4">
        <f>_xll.ciqfunctions.udf.CIQ(InputTicker, "IQ_OTHER_EQUITY",Input!D$2,Date,,,Ccy,Conv)</f>
        <v>-19.613</v>
      </c>
      <c r="C342" s="4">
        <f>_xll.ciqfunctions.udf.CIQ(InputTicker, "IQ_OTHER_EQUITY",Input!E$2,Date,,,Ccy,Conv)</f>
        <v>-17.077000000000002</v>
      </c>
      <c r="D342" s="4">
        <f>_xll.ciqfunctions.udf.CIQ(InputTicker, "IQ_OTHER_EQUITY",Input!F$2,Date,,,Ccy,Conv)</f>
        <v>-15.106</v>
      </c>
      <c r="E342" s="4">
        <f>_xll.ciqfunctions.udf.CIQ(InputTicker, "IQ_OTHER_EQUITY",Input!G$2,Date,,,Ccy,Conv)</f>
        <v>-11.19</v>
      </c>
      <c r="F342" s="4">
        <f>_xll.ciqfunctions.udf.CIQ(InputTicker, "IQ_OTHER_EQUITY",Input!H$2,Date,,,Ccy,Conv)</f>
        <v>-46.000999999999998</v>
      </c>
      <c r="G342" s="4">
        <f>_xll.ciqfunctions.udf.CIQ(InputTicker, "IQ_OTHER_EQUITY",Input!I$2,Date,,,Ccy,Conv)</f>
        <v>-29.771000000000001</v>
      </c>
      <c r="H342" s="4">
        <f>_xll.ciqfunctions.udf.CIQ(InputTicker, "IQ_OTHER_EQUITY",Input!J$2,Date,,,Ccy,Conv)</f>
        <v>8.5850000000000009</v>
      </c>
      <c r="I342" s="4">
        <f>_xll.ciqfunctions.udf.CIQ(InputTicker, "IQ_OTHER_EQUITY",Input!K$2,Date,,,Ccy,Conv)</f>
        <v>29.332999999999998</v>
      </c>
      <c r="J342" s="4">
        <f>_xll.ciqfunctions.udf.CIQ(InputTicker, "IQ_OTHER_EQUITY",Input!L$2,Date,,,Ccy,Conv)</f>
        <v>10</v>
      </c>
      <c r="K342" s="4">
        <f>_xll.ciqfunctions.udf.CIQ(InputTicker, "IQ_OTHER_EQUITY",Input!M$2,Date,,,Ccy,Conv)</f>
        <v>-29</v>
      </c>
      <c r="L342" s="4">
        <f>_xll.ciqfunctions.udf.CIQ(InputTicker, "IQ_OTHER_EQUITY",Input!N$2,Date,,,Ccy,Conv)</f>
        <v>-23</v>
      </c>
      <c r="M342" s="4">
        <f>_xll.ciqfunctions.udf.CIQ(InputTicker, "IQ_OTHER_EQUITY",Input!O$2,Date,,,Ccy,Conv)</f>
        <v>-23</v>
      </c>
      <c r="N342" s="46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</row>
    <row r="343" spans="1:66" ht="12.75" customHeight="1" x14ac:dyDescent="0.2">
      <c r="A343" s="5" t="s">
        <v>99</v>
      </c>
      <c r="B343" s="6">
        <f>_xll.ciqfunctions.udf.CIQ(InputTicker, "IQ_TOTAL_COMMON_EQUITY",Input!D$2,Date,,,Ccy,Conv)</f>
        <v>408.488</v>
      </c>
      <c r="C343" s="6">
        <f>_xll.ciqfunctions.udf.CIQ(InputTicker, "IQ_TOTAL_COMMON_EQUITY",Input!E$2,Date,,,Ccy,Conv)</f>
        <v>573.59100000000001</v>
      </c>
      <c r="D343" s="6">
        <f>_xll.ciqfunctions.udf.CIQ(InputTicker, "IQ_TOTAL_COMMON_EQUITY",Input!F$2,Date,,,Ccy,Conv)</f>
        <v>562.49099999999999</v>
      </c>
      <c r="E343" s="6">
        <f>_xll.ciqfunctions.udf.CIQ(InputTicker, "IQ_TOTAL_COMMON_EQUITY",Input!G$2,Date,,,Ccy,Conv)</f>
        <v>675.36599999999999</v>
      </c>
      <c r="F343" s="6">
        <f>_xll.ciqfunctions.udf.CIQ(InputTicker, "IQ_TOTAL_COMMON_EQUITY",Input!H$2,Date,,,Ccy,Conv)</f>
        <v>856.35599999999999</v>
      </c>
      <c r="G343" s="6">
        <f>_xll.ciqfunctions.udf.CIQ(InputTicker, "IQ_TOTAL_COMMON_EQUITY",Input!I$2,Date,,,Ccy,Conv)</f>
        <v>1071.1759999999999</v>
      </c>
      <c r="H343" s="6">
        <f>_xll.ciqfunctions.udf.CIQ(InputTicker, "IQ_TOTAL_COMMON_EQUITY",Input!J$2,Date,,,Ccy,Conv)</f>
        <v>1046.07</v>
      </c>
      <c r="I343" s="6">
        <f>_xll.ciqfunctions.udf.CIQ(InputTicker, "IQ_TOTAL_COMMON_EQUITY",Input!K$2,Date,,,Ccy,Conv)</f>
        <v>992.00199999999995</v>
      </c>
      <c r="J343" s="6">
        <f>_xll.ciqfunctions.udf.CIQ(InputTicker, "IQ_TOTAL_COMMON_EQUITY",Input!L$2,Date,,,Ccy,Conv)</f>
        <v>1047</v>
      </c>
      <c r="K343" s="6">
        <f>_xll.ciqfunctions.udf.CIQ(InputTicker, "IQ_TOTAL_COMMON_EQUITY",Input!M$2,Date,,,Ccy,Conv)</f>
        <v>1003</v>
      </c>
      <c r="L343" s="6">
        <f>_xll.ciqfunctions.udf.CIQ(InputTicker, "IQ_TOTAL_COMMON_EQUITY",Input!N$2,Date,,,Ccy,Conv)</f>
        <v>1105</v>
      </c>
      <c r="M343" s="6">
        <f>_xll.ciqfunctions.udf.CIQ(InputTicker, "IQ_TOTAL_COMMON_EQUITY",Input!O$2,Date,,,Ccy,Conv)</f>
        <v>1105</v>
      </c>
      <c r="N343" s="42"/>
      <c r="P343" s="51"/>
      <c r="Q343" s="51"/>
      <c r="R343" s="51"/>
      <c r="T343" s="42"/>
      <c r="U343" s="42"/>
      <c r="V343" s="51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</row>
    <row r="344" spans="1:66" ht="12.75" customHeight="1" x14ac:dyDescent="0.2">
      <c r="A344" s="1" t="s">
        <v>188</v>
      </c>
      <c r="B344" s="4">
        <f>_xll.ciqfunctions.udf.CIQ(InputTicker, "IQ_MINORITY_INTEREST",Input!D$2,Date,,,Ccy,Conv)</f>
        <v>0</v>
      </c>
      <c r="C344" s="4">
        <f>_xll.ciqfunctions.udf.CIQ(InputTicker, "IQ_MINORITY_INTEREST",Input!E$2,Date,,,Ccy,Conv)</f>
        <v>0</v>
      </c>
      <c r="D344" s="4">
        <f>_xll.ciqfunctions.udf.CIQ(InputTicker, "IQ_MINORITY_INTEREST",Input!F$2,Date,,,Ccy,Conv)</f>
        <v>0</v>
      </c>
      <c r="E344" s="4">
        <f>_xll.ciqfunctions.udf.CIQ(InputTicker, "IQ_MINORITY_INTEREST",Input!G$2,Date,,,Ccy,Conv)</f>
        <v>0</v>
      </c>
      <c r="F344" s="4">
        <f>_xll.ciqfunctions.udf.CIQ(InputTicker, "IQ_MINORITY_INTEREST",Input!H$2,Date,,,Ccy,Conv)</f>
        <v>0</v>
      </c>
      <c r="G344" s="4">
        <f>_xll.ciqfunctions.udf.CIQ(InputTicker, "IQ_MINORITY_INTEREST",Input!I$2,Date,,,Ccy,Conv)</f>
        <v>0</v>
      </c>
      <c r="H344" s="4">
        <f>_xll.ciqfunctions.udf.CIQ(InputTicker, "IQ_MINORITY_INTEREST",Input!J$2,Date,,,Ccy,Conv)</f>
        <v>0.65100000000000002</v>
      </c>
      <c r="I344" s="4">
        <f>_xll.ciqfunctions.udf.CIQ(InputTicker, "IQ_MINORITY_INTEREST",Input!K$2,Date,,,Ccy,Conv)</f>
        <v>0</v>
      </c>
      <c r="J344" s="4">
        <f>_xll.ciqfunctions.udf.CIQ(InputTicker, "IQ_MINORITY_INTEREST",Input!L$2,Date,,,Ccy,Conv)</f>
        <v>0</v>
      </c>
      <c r="K344" s="4">
        <f>_xll.ciqfunctions.udf.CIQ(InputTicker, "IQ_MINORITY_INTEREST",Input!M$2,Date,,,Ccy,Conv)</f>
        <v>0</v>
      </c>
      <c r="L344" s="4">
        <f>_xll.ciqfunctions.udf.CIQ(InputTicker, "IQ_MINORITY_INTEREST",Input!N$2,Date,,,Ccy,Conv)</f>
        <v>0</v>
      </c>
      <c r="M344" s="4">
        <f>_xll.ciqfunctions.udf.CIQ(InputTicker, "IQ_MINORITY_INTEREST",Input!O$2,Date,,,Ccy,Conv)</f>
        <v>0</v>
      </c>
      <c r="N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</row>
    <row r="345" spans="1:66" ht="12.75" customHeight="1" x14ac:dyDescent="0.2">
      <c r="A345" s="5" t="s">
        <v>46</v>
      </c>
      <c r="B345" s="6">
        <f>_xll.ciqfunctions.udf.CIQ(InputTicker, "IQ_TOTAL_EQUITY",Input!D$2,Date,,,Ccy,Conv)</f>
        <v>408.488</v>
      </c>
      <c r="C345" s="6">
        <f>_xll.ciqfunctions.udf.CIQ(InputTicker, "IQ_TOTAL_EQUITY",Input!E$2,Date,,,Ccy,Conv)</f>
        <v>573.59100000000001</v>
      </c>
      <c r="D345" s="6">
        <f>_xll.ciqfunctions.udf.CIQ(InputTicker, "IQ_TOTAL_EQUITY",Input!F$2,Date,,,Ccy,Conv)</f>
        <v>562.49099999999999</v>
      </c>
      <c r="E345" s="6">
        <f>_xll.ciqfunctions.udf.CIQ(InputTicker, "IQ_TOTAL_EQUITY",Input!G$2,Date,,,Ccy,Conv)</f>
        <v>675.36599999999999</v>
      </c>
      <c r="F345" s="6">
        <f>_xll.ciqfunctions.udf.CIQ(InputTicker, "IQ_TOTAL_EQUITY",Input!H$2,Date,,,Ccy,Conv)</f>
        <v>856.35599999999999</v>
      </c>
      <c r="G345" s="6">
        <f>_xll.ciqfunctions.udf.CIQ(InputTicker, "IQ_TOTAL_EQUITY",Input!I$2,Date,,,Ccy,Conv)</f>
        <v>1071.1759999999999</v>
      </c>
      <c r="H345" s="6">
        <f>_xll.ciqfunctions.udf.CIQ(InputTicker, "IQ_TOTAL_EQUITY",Input!J$2,Date,,,Ccy,Conv)</f>
        <v>1046.721</v>
      </c>
      <c r="I345" s="6">
        <f>_xll.ciqfunctions.udf.CIQ(InputTicker, "IQ_TOTAL_EQUITY",Input!K$2,Date,,,Ccy,Conv)</f>
        <v>992.00199999999995</v>
      </c>
      <c r="J345" s="6">
        <f>_xll.ciqfunctions.udf.CIQ(InputTicker, "IQ_TOTAL_EQUITY",Input!L$2,Date,,,Ccy,Conv)</f>
        <v>1047</v>
      </c>
      <c r="K345" s="6">
        <f>_xll.ciqfunctions.udf.CIQ(InputTicker, "IQ_TOTAL_EQUITY",Input!M$2,Date,,,Ccy,Conv)</f>
        <v>1003</v>
      </c>
      <c r="L345" s="6">
        <f>_xll.ciqfunctions.udf.CIQ(InputTicker, "IQ_TOTAL_EQUITY",Input!N$2,Date,,,Ccy,Conv)</f>
        <v>1105</v>
      </c>
      <c r="M345" s="6">
        <f>_xll.ciqfunctions.udf.CIQ(InputTicker, "IQ_TOTAL_EQUITY",Input!O$2,Date,,,Ccy,Conv)</f>
        <v>1105</v>
      </c>
      <c r="N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</row>
    <row r="346" spans="1:66" ht="12.75" customHeight="1" thickBot="1" x14ac:dyDescent="0.25">
      <c r="A346" s="5" t="s">
        <v>100</v>
      </c>
      <c r="B346" s="9">
        <f>_xll.ciqfunctions.udf.CIQ(InputTicker, "IQ_TOTAL_LIAB_EQUITY",Input!D$2,Date,,,Ccy,Conv)</f>
        <v>3010.1709999999998</v>
      </c>
      <c r="C346" s="9">
        <f>_xll.ciqfunctions.udf.CIQ(InputTicker, "IQ_TOTAL_LIAB_EQUITY",Input!E$2,Date,,,Ccy,Conv)</f>
        <v>3373.105</v>
      </c>
      <c r="D346" s="9">
        <f>_xll.ciqfunctions.udf.CIQ(InputTicker, "IQ_TOTAL_LIAB_EQUITY",Input!F$2,Date,,,Ccy,Conv)</f>
        <v>3606.6190000000001</v>
      </c>
      <c r="E346" s="9">
        <f>_xll.ciqfunctions.udf.CIQ(InputTicker, "IQ_TOTAL_LIAB_EQUITY",Input!G$2,Date,,,Ccy,Conv)</f>
        <v>3831.8409999999999</v>
      </c>
      <c r="F346" s="9">
        <f>_xll.ciqfunctions.udf.CIQ(InputTicker, "IQ_TOTAL_LIAB_EQUITY",Input!H$2,Date,,,Ccy,Conv)</f>
        <v>4793.9660000000003</v>
      </c>
      <c r="G346" s="9">
        <f>_xll.ciqfunctions.udf.CIQ(InputTicker, "IQ_TOTAL_LIAB_EQUITY",Input!I$2,Date,,,Ccy,Conv)</f>
        <v>5499.6009999999997</v>
      </c>
      <c r="H346" s="9">
        <f>_xll.ciqfunctions.udf.CIQ(InputTicker, "IQ_TOTAL_LIAB_EQUITY",Input!J$2,Date,,,Ccy,Conv)</f>
        <v>6025.5749999999998</v>
      </c>
      <c r="I346" s="9">
        <f>_xll.ciqfunctions.udf.CIQ(InputTicker, "IQ_TOTAL_LIAB_EQUITY",Input!K$2,Date,,,Ccy,Conv)</f>
        <v>6550.652</v>
      </c>
      <c r="J346" s="9">
        <f>_xll.ciqfunctions.udf.CIQ(InputTicker, "IQ_TOTAL_LIAB_EQUITY",Input!L$2,Date,,,Ccy,Conv)</f>
        <v>6564</v>
      </c>
      <c r="K346" s="9">
        <f>_xll.ciqfunctions.udf.CIQ(InputTicker, "IQ_TOTAL_LIAB_EQUITY",Input!M$2,Date,,,Ccy,Conv)</f>
        <v>7312</v>
      </c>
      <c r="L346" s="9">
        <f>_xll.ciqfunctions.udf.CIQ(InputTicker, "IQ_TOTAL_LIAB_EQUITY",Input!N$2,Date,,,Ccy,Conv)</f>
        <v>7118</v>
      </c>
      <c r="M346" s="9">
        <f>_xll.ciqfunctions.udf.CIQ(InputTicker, "IQ_TOTAL_LIAB_EQUITY",Input!O$2,Date,,,Ccy,Conv)</f>
        <v>7118</v>
      </c>
      <c r="N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</row>
    <row r="347" spans="1:66" ht="12.75" customHeight="1" thickTop="1" x14ac:dyDescent="0.2">
      <c r="A347" s="1" t="s">
        <v>449</v>
      </c>
      <c r="B347" s="4">
        <f>_xll.ciqfunctions.udf.CIQ(InputTicker, "IQ_RUA_GROSS",Input!D$2,Date,,,Ccy,Conv)</f>
        <v>0</v>
      </c>
      <c r="C347" s="4">
        <f>_xll.ciqfunctions.udf.CIQ(InputTicker, "IQ_RUA_GROSS",Input!E$2,Date,,,Ccy,Conv)</f>
        <v>0</v>
      </c>
      <c r="D347" s="4">
        <f>_xll.ciqfunctions.udf.CIQ(InputTicker, "IQ_RUA_GROSS",Input!F$2,Date,,,Ccy,Conv)</f>
        <v>0</v>
      </c>
      <c r="E347" s="4">
        <f>_xll.ciqfunctions.udf.CIQ(InputTicker, "IQ_RUA_GROSS",Input!G$2,Date,,,Ccy,Conv)</f>
        <v>0</v>
      </c>
      <c r="F347" s="4">
        <f>_xll.ciqfunctions.udf.CIQ(InputTicker, "IQ_RUA_GROSS",Input!H$2,Date,,,Ccy,Conv)</f>
        <v>0</v>
      </c>
      <c r="G347" s="4">
        <f>_xll.ciqfunctions.udf.CIQ(InputTicker, "IQ_RUA_GROSS",Input!I$2,Date,,,Ccy,Conv)</f>
        <v>0</v>
      </c>
      <c r="H347" s="4">
        <f>_xll.ciqfunctions.udf.CIQ(InputTicker, "IQ_RUA_GROSS",Input!J$2,Date,,,Ccy,Conv)</f>
        <v>0</v>
      </c>
      <c r="I347" s="4">
        <f>_xll.ciqfunctions.udf.CIQ(InputTicker, "IQ_RUA_GROSS",Input!K$2,Date,,,Ccy,Conv)</f>
        <v>0</v>
      </c>
      <c r="J347" s="4">
        <f>_xll.ciqfunctions.udf.CIQ(InputTicker, "IQ_RUA_GROSS",Input!L$2,Date,,,Ccy,Conv)</f>
        <v>0</v>
      </c>
      <c r="K347" s="4">
        <f>_xll.ciqfunctions.udf.CIQ(InputTicker, "IQ_RUA_GROSS",Input!M$2,Date,,,Ccy,Conv)</f>
        <v>0</v>
      </c>
      <c r="L347" s="4">
        <f>_xll.ciqfunctions.udf.CIQ(InputTicker, "IQ_RUA_GROSS",Input!N$2,Date,,,Ccy,Conv)</f>
        <v>0</v>
      </c>
      <c r="M347" s="4">
        <f>_xll.ciqfunctions.udf.CIQ(InputTicker, "IQ_RUA_GROSS",Input!O$2,Date,,,Ccy,Conv)</f>
        <v>0</v>
      </c>
      <c r="N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</row>
    <row r="348" spans="1:66" ht="12.75" customHeight="1" x14ac:dyDescent="0.2">
      <c r="A348" s="1" t="s">
        <v>450</v>
      </c>
      <c r="B348" s="4">
        <f>_xll.ciqfunctions.udf.CIQ(InputTicker, "IQ_RUA_ACCUM_DEP",Input!D$2,Date,,,Ccy,Conv)</f>
        <v>0</v>
      </c>
      <c r="C348" s="4">
        <f>_xll.ciqfunctions.udf.CIQ(InputTicker, "IQ_RUA_ACCUM_DEP",Input!E$2,Date,,,Ccy,Conv)</f>
        <v>0</v>
      </c>
      <c r="D348" s="4">
        <f>_xll.ciqfunctions.udf.CIQ(InputTicker, "IQ_RUA_ACCUM_DEP",Input!F$2,Date,,,Ccy,Conv)</f>
        <v>0</v>
      </c>
      <c r="E348" s="4">
        <f>_xll.ciqfunctions.udf.CIQ(InputTicker, "IQ_RUA_ACCUM_DEP",Input!G$2,Date,,,Ccy,Conv)</f>
        <v>0</v>
      </c>
      <c r="F348" s="4">
        <f>_xll.ciqfunctions.udf.CIQ(InputTicker, "IQ_RUA_ACCUM_DEP",Input!H$2,Date,,,Ccy,Conv)</f>
        <v>0</v>
      </c>
      <c r="G348" s="4">
        <f>_xll.ciqfunctions.udf.CIQ(InputTicker, "IQ_RUA_ACCUM_DEP",Input!I$2,Date,,,Ccy,Conv)</f>
        <v>0</v>
      </c>
      <c r="H348" s="4">
        <f>_xll.ciqfunctions.udf.CIQ(InputTicker, "IQ_RUA_ACCUM_DEP",Input!J$2,Date,,,Ccy,Conv)</f>
        <v>0</v>
      </c>
      <c r="I348" s="4">
        <f>_xll.ciqfunctions.udf.CIQ(InputTicker, "IQ_RUA_ACCUM_DEP",Input!K$2,Date,,,Ccy,Conv)</f>
        <v>0</v>
      </c>
      <c r="J348" s="4">
        <f>_xll.ciqfunctions.udf.CIQ(InputTicker, "IQ_RUA_ACCUM_DEP",Input!L$2,Date,,,Ccy,Conv)</f>
        <v>0</v>
      </c>
      <c r="K348" s="4">
        <f>_xll.ciqfunctions.udf.CIQ(InputTicker, "IQ_RUA_ACCUM_DEP",Input!M$2,Date,,,Ccy,Conv)</f>
        <v>0</v>
      </c>
      <c r="L348" s="4">
        <f>_xll.ciqfunctions.udf.CIQ(InputTicker, "IQ_RUA_ACCUM_DEP",Input!N$2,Date,,,Ccy,Conv)</f>
        <v>0</v>
      </c>
      <c r="M348" s="4">
        <f>_xll.ciqfunctions.udf.CIQ(InputTicker, "IQ_RUA_ACCUM_DEP",Input!O$2,Date,,,Ccy,Conv)</f>
        <v>0</v>
      </c>
      <c r="N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</row>
    <row r="349" spans="1:66" ht="12.75" customHeight="1" x14ac:dyDescent="0.2">
      <c r="A349" s="1" t="s">
        <v>451</v>
      </c>
      <c r="B349" s="4">
        <f>_xll.ciqfunctions.udf.CIQ(InputTicker, "IQ_RUA_NET",Input!D$2,Date,,,Ccy,Conv)</f>
        <v>0</v>
      </c>
      <c r="C349" s="4">
        <f>_xll.ciqfunctions.udf.CIQ(InputTicker, "IQ_RUA_NET",Input!E$2,Date,,,Ccy,Conv)</f>
        <v>0</v>
      </c>
      <c r="D349" s="4">
        <f>_xll.ciqfunctions.udf.CIQ(InputTicker, "IQ_RUA_NET",Input!F$2,Date,,,Ccy,Conv)</f>
        <v>0</v>
      </c>
      <c r="E349" s="4">
        <f>_xll.ciqfunctions.udf.CIQ(InputTicker, "IQ_RUA_NET",Input!G$2,Date,,,Ccy,Conv)</f>
        <v>0</v>
      </c>
      <c r="F349" s="4">
        <f>_xll.ciqfunctions.udf.CIQ(InputTicker, "IQ_RUA_NET",Input!H$2,Date,,,Ccy,Conv)</f>
        <v>0</v>
      </c>
      <c r="G349" s="4">
        <f>_xll.ciqfunctions.udf.CIQ(InputTicker, "IQ_RUA_NET",Input!I$2,Date,,,Ccy,Conv)</f>
        <v>0</v>
      </c>
      <c r="H349" s="4">
        <f>_xll.ciqfunctions.udf.CIQ(InputTicker, "IQ_RUA_NET",Input!J$2,Date,,,Ccy,Conv)</f>
        <v>0</v>
      </c>
      <c r="I349" s="4">
        <f>_xll.ciqfunctions.udf.CIQ(InputTicker, "IQ_RUA_NET",Input!K$2,Date,,,Ccy,Conv)</f>
        <v>0</v>
      </c>
      <c r="J349" s="4">
        <f>_xll.ciqfunctions.udf.CIQ(InputTicker, "IQ_RUA_NET",Input!L$2,Date,,,Ccy,Conv)</f>
        <v>0</v>
      </c>
      <c r="K349" s="4">
        <f>_xll.ciqfunctions.udf.CIQ(InputTicker, "IQ_RUA_NET",Input!M$2,Date,,,Ccy,Conv)</f>
        <v>0</v>
      </c>
      <c r="L349" s="4">
        <f>_xll.ciqfunctions.udf.CIQ(InputTicker, "IQ_RUA_NET",Input!N$2,Date,,,Ccy,Conv)</f>
        <v>0</v>
      </c>
      <c r="M349" s="4">
        <f>_xll.ciqfunctions.udf.CIQ(InputTicker, "IQ_RUA_NET",Input!O$2,Date,,,Ccy,Conv)</f>
        <v>0</v>
      </c>
      <c r="N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</row>
    <row r="350" spans="1:66" ht="12.75" customHeight="1" x14ac:dyDescent="0.2">
      <c r="A350" s="1" t="s">
        <v>452</v>
      </c>
      <c r="B350" s="4">
        <f>_xll.ciqfunctions.udf.CIQ(InputTicker, "IQ_RUA_CAPITAL_LEASE_GROSS",Input!D$2,Date,,,Ccy,Conv)</f>
        <v>0</v>
      </c>
      <c r="C350" s="4">
        <f>_xll.ciqfunctions.udf.CIQ(InputTicker, "IQ_RUA_CAPITAL_LEASE_GROSS",Input!E$2,Date,,,Ccy,Conv)</f>
        <v>0</v>
      </c>
      <c r="D350" s="4">
        <f>_xll.ciqfunctions.udf.CIQ(InputTicker, "IQ_RUA_CAPITAL_LEASE_GROSS",Input!F$2,Date,,,Ccy,Conv)</f>
        <v>0</v>
      </c>
      <c r="E350" s="4">
        <f>_xll.ciqfunctions.udf.CIQ(InputTicker, "IQ_RUA_CAPITAL_LEASE_GROSS",Input!G$2,Date,,,Ccy,Conv)</f>
        <v>0</v>
      </c>
      <c r="F350" s="4">
        <f>_xll.ciqfunctions.udf.CIQ(InputTicker, "IQ_RUA_CAPITAL_LEASE_GROSS",Input!H$2,Date,,,Ccy,Conv)</f>
        <v>0</v>
      </c>
      <c r="G350" s="4">
        <f>_xll.ciqfunctions.udf.CIQ(InputTicker, "IQ_RUA_CAPITAL_LEASE_GROSS",Input!I$2,Date,,,Ccy,Conv)</f>
        <v>0</v>
      </c>
      <c r="H350" s="4">
        <f>_xll.ciqfunctions.udf.CIQ(InputTicker, "IQ_RUA_CAPITAL_LEASE_GROSS",Input!J$2,Date,,,Ccy,Conv)</f>
        <v>0</v>
      </c>
      <c r="I350" s="4">
        <f>_xll.ciqfunctions.udf.CIQ(InputTicker, "IQ_RUA_CAPITAL_LEASE_GROSS",Input!K$2,Date,,,Ccy,Conv)</f>
        <v>0</v>
      </c>
      <c r="J350" s="4">
        <f>_xll.ciqfunctions.udf.CIQ(InputTicker, "IQ_RUA_CAPITAL_LEASE_GROSS",Input!L$2,Date,,,Ccy,Conv)</f>
        <v>0</v>
      </c>
      <c r="K350" s="4">
        <f>_xll.ciqfunctions.udf.CIQ(InputTicker, "IQ_RUA_CAPITAL_LEASE_GROSS",Input!M$2,Date,,,Ccy,Conv)</f>
        <v>0</v>
      </c>
      <c r="L350" s="4">
        <f>_xll.ciqfunctions.udf.CIQ(InputTicker, "IQ_RUA_CAPITAL_LEASE_GROSS",Input!N$2,Date,,,Ccy,Conv)</f>
        <v>0</v>
      </c>
      <c r="M350" s="4">
        <f>_xll.ciqfunctions.udf.CIQ(InputTicker, "IQ_RUA_CAPITAL_LEASE_GROSS",Input!O$2,Date,,,Ccy,Conv)</f>
        <v>0</v>
      </c>
      <c r="N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</row>
    <row r="351" spans="1:66" ht="12.75" customHeight="1" x14ac:dyDescent="0.2">
      <c r="A351" s="1" t="s">
        <v>453</v>
      </c>
      <c r="B351" s="4">
        <f>_xll.ciqfunctions.udf.CIQ(InputTicker, "IQ_RUA_CAPITAL_LEASE_ACCUM_DEP",Input!D$2,Date,,,Ccy,Conv)</f>
        <v>0</v>
      </c>
      <c r="C351" s="4">
        <f>_xll.ciqfunctions.udf.CIQ(InputTicker, "IQ_RUA_CAPITAL_LEASE_ACCUM_DEP",Input!E$2,Date,,,Ccy,Conv)</f>
        <v>0</v>
      </c>
      <c r="D351" s="4">
        <f>_xll.ciqfunctions.udf.CIQ(InputTicker, "IQ_RUA_CAPITAL_LEASE_ACCUM_DEP",Input!F$2,Date,,,Ccy,Conv)</f>
        <v>0</v>
      </c>
      <c r="E351" s="4">
        <f>_xll.ciqfunctions.udf.CIQ(InputTicker, "IQ_RUA_CAPITAL_LEASE_ACCUM_DEP",Input!G$2,Date,,,Ccy,Conv)</f>
        <v>0</v>
      </c>
      <c r="F351" s="4">
        <f>_xll.ciqfunctions.udf.CIQ(InputTicker, "IQ_RUA_CAPITAL_LEASE_ACCUM_DEP",Input!H$2,Date,,,Ccy,Conv)</f>
        <v>0</v>
      </c>
      <c r="G351" s="4">
        <f>_xll.ciqfunctions.udf.CIQ(InputTicker, "IQ_RUA_CAPITAL_LEASE_ACCUM_DEP",Input!I$2,Date,,,Ccy,Conv)</f>
        <v>0</v>
      </c>
      <c r="H351" s="4">
        <f>_xll.ciqfunctions.udf.CIQ(InputTicker, "IQ_RUA_CAPITAL_LEASE_ACCUM_DEP",Input!J$2,Date,,,Ccy,Conv)</f>
        <v>0</v>
      </c>
      <c r="I351" s="4">
        <f>_xll.ciqfunctions.udf.CIQ(InputTicker, "IQ_RUA_CAPITAL_LEASE_ACCUM_DEP",Input!K$2,Date,,,Ccy,Conv)</f>
        <v>0</v>
      </c>
      <c r="J351" s="4">
        <f>_xll.ciqfunctions.udf.CIQ(InputTicker, "IQ_RUA_CAPITAL_LEASE_ACCUM_DEP",Input!L$2,Date,,,Ccy,Conv)</f>
        <v>0</v>
      </c>
      <c r="K351" s="4">
        <f>_xll.ciqfunctions.udf.CIQ(InputTicker, "IQ_RUA_CAPITAL_LEASE_ACCUM_DEP",Input!M$2,Date,,,Ccy,Conv)</f>
        <v>0</v>
      </c>
      <c r="L351" s="4">
        <f>_xll.ciqfunctions.udf.CIQ(InputTicker, "IQ_RUA_CAPITAL_LEASE_ACCUM_DEP",Input!N$2,Date,,,Ccy,Conv)</f>
        <v>0</v>
      </c>
      <c r="M351" s="4">
        <f>_xll.ciqfunctions.udf.CIQ(InputTicker, "IQ_RUA_CAPITAL_LEASE_ACCUM_DEP",Input!O$2,Date,,,Ccy,Conv)</f>
        <v>0</v>
      </c>
      <c r="N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</row>
    <row r="352" spans="1:66" ht="12.75" customHeight="1" x14ac:dyDescent="0.2">
      <c r="A352" s="1" t="s">
        <v>454</v>
      </c>
      <c r="B352" s="4">
        <f>_xll.ciqfunctions.udf.CIQ(InputTicker, "IQ_RUA_CAPITAL_LEASE_NET",Input!D$2,Date,,,Ccy,Conv)</f>
        <v>0</v>
      </c>
      <c r="C352" s="4">
        <f>_xll.ciqfunctions.udf.CIQ(InputTicker, "IQ_RUA_CAPITAL_LEASE_NET",Input!E$2,Date,,,Ccy,Conv)</f>
        <v>0</v>
      </c>
      <c r="D352" s="4">
        <f>_xll.ciqfunctions.udf.CIQ(InputTicker, "IQ_RUA_CAPITAL_LEASE_NET",Input!F$2,Date,,,Ccy,Conv)</f>
        <v>0</v>
      </c>
      <c r="E352" s="4">
        <f>_xll.ciqfunctions.udf.CIQ(InputTicker, "IQ_RUA_CAPITAL_LEASE_NET",Input!G$2,Date,,,Ccy,Conv)</f>
        <v>0</v>
      </c>
      <c r="F352" s="4">
        <f>_xll.ciqfunctions.udf.CIQ(InputTicker, "IQ_RUA_CAPITAL_LEASE_NET",Input!H$2,Date,,,Ccy,Conv)</f>
        <v>0</v>
      </c>
      <c r="G352" s="4">
        <f>_xll.ciqfunctions.udf.CIQ(InputTicker, "IQ_RUA_CAPITAL_LEASE_NET",Input!I$2,Date,,,Ccy,Conv)</f>
        <v>0</v>
      </c>
      <c r="H352" s="4">
        <f>_xll.ciqfunctions.udf.CIQ(InputTicker, "IQ_RUA_CAPITAL_LEASE_NET",Input!J$2,Date,,,Ccy,Conv)</f>
        <v>0</v>
      </c>
      <c r="I352" s="4">
        <f>_xll.ciqfunctions.udf.CIQ(InputTicker, "IQ_RUA_CAPITAL_LEASE_NET",Input!K$2,Date,,,Ccy,Conv)</f>
        <v>0</v>
      </c>
      <c r="J352" s="4">
        <f>_xll.ciqfunctions.udf.CIQ(InputTicker, "IQ_RUA_CAPITAL_LEASE_NET",Input!L$2,Date,,,Ccy,Conv)</f>
        <v>0</v>
      </c>
      <c r="K352" s="4">
        <f>_xll.ciqfunctions.udf.CIQ(InputTicker, "IQ_RUA_CAPITAL_LEASE_NET",Input!M$2,Date,,,Ccy,Conv)</f>
        <v>0</v>
      </c>
      <c r="L352" s="4">
        <f>_xll.ciqfunctions.udf.CIQ(InputTicker, "IQ_RUA_CAPITAL_LEASE_NET",Input!N$2,Date,,,Ccy,Conv)</f>
        <v>0</v>
      </c>
      <c r="M352" s="4">
        <f>_xll.ciqfunctions.udf.CIQ(InputTicker, "IQ_RUA_CAPITAL_LEASE_NET",Input!O$2,Date,,,Ccy,Conv)</f>
        <v>0</v>
      </c>
      <c r="N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</row>
    <row r="353" spans="1:66" ht="12.75" customHeight="1" x14ac:dyDescent="0.2">
      <c r="A353" s="1" t="s">
        <v>455</v>
      </c>
      <c r="B353" s="4">
        <f>_xll.ciqfunctions.udf.CIQ(InputTicker, "IQ_RUA_OPERATING_LEASE_GROSS",Input!D$2,Date,,,Ccy,Conv)</f>
        <v>0</v>
      </c>
      <c r="C353" s="4">
        <f>_xll.ciqfunctions.udf.CIQ(InputTicker, "IQ_RUA_OPERATING_LEASE_GROSS",Input!E$2,Date,,,Ccy,Conv)</f>
        <v>0</v>
      </c>
      <c r="D353" s="4">
        <f>_xll.ciqfunctions.udf.CIQ(InputTicker, "IQ_RUA_OPERATING_LEASE_GROSS",Input!F$2,Date,,,Ccy,Conv)</f>
        <v>0</v>
      </c>
      <c r="E353" s="4">
        <f>_xll.ciqfunctions.udf.CIQ(InputTicker, "IQ_RUA_OPERATING_LEASE_GROSS",Input!G$2,Date,,,Ccy,Conv)</f>
        <v>0</v>
      </c>
      <c r="F353" s="4">
        <f>_xll.ciqfunctions.udf.CIQ(InputTicker, "IQ_RUA_OPERATING_LEASE_GROSS",Input!H$2,Date,,,Ccy,Conv)</f>
        <v>240.12200000000001</v>
      </c>
      <c r="G353" s="4">
        <f>_xll.ciqfunctions.udf.CIQ(InputTicker, "IQ_RUA_OPERATING_LEASE_GROSS",Input!I$2,Date,,,Ccy,Conv)</f>
        <v>239.374</v>
      </c>
      <c r="H353" s="4">
        <f>_xll.ciqfunctions.udf.CIQ(InputTicker, "IQ_RUA_OPERATING_LEASE_GROSS",Input!J$2,Date,,,Ccy,Conv)</f>
        <v>227.23099999999999</v>
      </c>
      <c r="I353" s="4">
        <f>_xll.ciqfunctions.udf.CIQ(InputTicker, "IQ_RUA_OPERATING_LEASE_GROSS",Input!K$2,Date,,,Ccy,Conv)</f>
        <v>187.798</v>
      </c>
      <c r="J353" s="4">
        <f>_xll.ciqfunctions.udf.CIQ(InputTicker, "IQ_RUA_OPERATING_LEASE_GROSS",Input!L$2,Date,,,Ccy,Conv)</f>
        <v>174</v>
      </c>
      <c r="K353" s="4">
        <f>_xll.ciqfunctions.udf.CIQ(InputTicker, "IQ_RUA_OPERATING_LEASE_GROSS",Input!M$2,Date,,,Ccy,Conv)</f>
        <v>178</v>
      </c>
      <c r="L353" s="4">
        <f>_xll.ciqfunctions.udf.CIQ(InputTicker, "IQ_RUA_OPERATING_LEASE_GROSS",Input!N$2,Date,,,Ccy,Conv)</f>
        <v>147</v>
      </c>
      <c r="M353" s="4">
        <f>_xll.ciqfunctions.udf.CIQ(InputTicker, "IQ_RUA_OPERATING_LEASE_GROSS",Input!O$2,Date,,,Ccy,Conv)</f>
        <v>147</v>
      </c>
      <c r="N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</row>
    <row r="354" spans="1:66" ht="12.75" customHeight="1" x14ac:dyDescent="0.2">
      <c r="A354" s="1" t="s">
        <v>456</v>
      </c>
      <c r="B354" s="4">
        <f>_xll.ciqfunctions.udf.CIQ(InputTicker, "IQ_RUA_OPERATING_LEASE_ACCUM_DEP",Input!D$2,Date,,,Ccy,Conv)</f>
        <v>0</v>
      </c>
      <c r="C354" s="4">
        <f>_xll.ciqfunctions.udf.CIQ(InputTicker, "IQ_RUA_OPERATING_LEASE_ACCUM_DEP",Input!E$2,Date,,,Ccy,Conv)</f>
        <v>0</v>
      </c>
      <c r="D354" s="4">
        <f>_xll.ciqfunctions.udf.CIQ(InputTicker, "IQ_RUA_OPERATING_LEASE_ACCUM_DEP",Input!F$2,Date,,,Ccy,Conv)</f>
        <v>0</v>
      </c>
      <c r="E354" s="4">
        <f>_xll.ciqfunctions.udf.CIQ(InputTicker, "IQ_RUA_OPERATING_LEASE_ACCUM_DEP",Input!G$2,Date,,,Ccy,Conv)</f>
        <v>0</v>
      </c>
      <c r="F354" s="4">
        <f>_xll.ciqfunctions.udf.CIQ(InputTicker, "IQ_RUA_OPERATING_LEASE_ACCUM_DEP",Input!H$2,Date,,,Ccy,Conv)</f>
        <v>0</v>
      </c>
      <c r="G354" s="4">
        <f>_xll.ciqfunctions.udf.CIQ(InputTicker, "IQ_RUA_OPERATING_LEASE_ACCUM_DEP",Input!I$2,Date,,,Ccy,Conv)</f>
        <v>0</v>
      </c>
      <c r="H354" s="4">
        <f>_xll.ciqfunctions.udf.CIQ(InputTicker, "IQ_RUA_OPERATING_LEASE_ACCUM_DEP",Input!J$2,Date,,,Ccy,Conv)</f>
        <v>0</v>
      </c>
      <c r="I354" s="4">
        <f>_xll.ciqfunctions.udf.CIQ(InputTicker, "IQ_RUA_OPERATING_LEASE_ACCUM_DEP",Input!K$2,Date,,,Ccy,Conv)</f>
        <v>0</v>
      </c>
      <c r="J354" s="4">
        <f>_xll.ciqfunctions.udf.CIQ(InputTicker, "IQ_RUA_OPERATING_LEASE_ACCUM_DEP",Input!L$2,Date,,,Ccy,Conv)</f>
        <v>0</v>
      </c>
      <c r="K354" s="4">
        <f>_xll.ciqfunctions.udf.CIQ(InputTicker, "IQ_RUA_OPERATING_LEASE_ACCUM_DEP",Input!M$2,Date,,,Ccy,Conv)</f>
        <v>0</v>
      </c>
      <c r="L354" s="4">
        <f>_xll.ciqfunctions.udf.CIQ(InputTicker, "IQ_RUA_OPERATING_LEASE_ACCUM_DEP",Input!N$2,Date,,,Ccy,Conv)</f>
        <v>0</v>
      </c>
      <c r="M354" s="4">
        <f>_xll.ciqfunctions.udf.CIQ(InputTicker, "IQ_RUA_OPERATING_LEASE_ACCUM_DEP",Input!O$2,Date,,,Ccy,Conv)</f>
        <v>0</v>
      </c>
      <c r="N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</row>
    <row r="355" spans="1:66" ht="12.75" customHeight="1" x14ac:dyDescent="0.2">
      <c r="A355" s="1" t="s">
        <v>457</v>
      </c>
      <c r="B355" s="4">
        <f>_xll.ciqfunctions.udf.CIQ(InputTicker, "IQ_RUA_OPERATING_LEASE_NET",Input!D$2,Date,,,Ccy,Conv)</f>
        <v>0</v>
      </c>
      <c r="C355" s="4">
        <f>_xll.ciqfunctions.udf.CIQ(InputTicker, "IQ_RUA_OPERATING_LEASE_NET",Input!E$2,Date,,,Ccy,Conv)</f>
        <v>0</v>
      </c>
      <c r="D355" s="4">
        <f>_xll.ciqfunctions.udf.CIQ(InputTicker, "IQ_RUA_OPERATING_LEASE_NET",Input!F$2,Date,,,Ccy,Conv)</f>
        <v>0</v>
      </c>
      <c r="E355" s="4">
        <f>_xll.ciqfunctions.udf.CIQ(InputTicker, "IQ_RUA_OPERATING_LEASE_NET",Input!G$2,Date,,,Ccy,Conv)</f>
        <v>0</v>
      </c>
      <c r="F355" s="4">
        <f>_xll.ciqfunctions.udf.CIQ(InputTicker, "IQ_RUA_OPERATING_LEASE_NET",Input!H$2,Date,,,Ccy,Conv)</f>
        <v>0</v>
      </c>
      <c r="G355" s="4">
        <f>_xll.ciqfunctions.udf.CIQ(InputTicker, "IQ_RUA_OPERATING_LEASE_NET",Input!I$2,Date,,,Ccy,Conv)</f>
        <v>0</v>
      </c>
      <c r="H355" s="4">
        <f>_xll.ciqfunctions.udf.CIQ(InputTicker, "IQ_RUA_OPERATING_LEASE_NET",Input!J$2,Date,,,Ccy,Conv)</f>
        <v>0</v>
      </c>
      <c r="I355" s="4">
        <f>_xll.ciqfunctions.udf.CIQ(InputTicker, "IQ_RUA_OPERATING_LEASE_NET",Input!K$2,Date,,,Ccy,Conv)</f>
        <v>0</v>
      </c>
      <c r="J355" s="4">
        <f>_xll.ciqfunctions.udf.CIQ(InputTicker, "IQ_RUA_OPERATING_LEASE_NET",Input!L$2,Date,,,Ccy,Conv)</f>
        <v>0</v>
      </c>
      <c r="K355" s="4">
        <f>_xll.ciqfunctions.udf.CIQ(InputTicker, "IQ_RUA_OPERATING_LEASE_NET",Input!M$2,Date,,,Ccy,Conv)</f>
        <v>0</v>
      </c>
      <c r="L355" s="4">
        <f>_xll.ciqfunctions.udf.CIQ(InputTicker, "IQ_RUA_OPERATING_LEASE_NET",Input!N$2,Date,,,Ccy,Conv)</f>
        <v>0</v>
      </c>
      <c r="M355" s="4">
        <f>_xll.ciqfunctions.udf.CIQ(InputTicker, "IQ_RUA_OPERATING_LEASE_NET",Input!O$2,Date,,,Ccy,Conv)</f>
        <v>0</v>
      </c>
      <c r="N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</row>
    <row r="356" spans="1:66" ht="12.75" customHeight="1" x14ac:dyDescent="0.2">
      <c r="A356" s="1" t="s">
        <v>473</v>
      </c>
      <c r="B356" s="4">
        <f>_xll.ciqfunctions.udf.CIQ(InputTicker, "IQ_GPPE_EXCL_OPER_LEASES",Input!D$2,Date,,,Ccy,Conv)</f>
        <v>370.17</v>
      </c>
      <c r="C356" s="4">
        <f>_xll.ciqfunctions.udf.CIQ(InputTicker, "IQ_GPPE_EXCL_OPER_LEASES",Input!E$2,Date,,,Ccy,Conv)</f>
        <v>403.72</v>
      </c>
      <c r="D356" s="4">
        <f>_xll.ciqfunctions.udf.CIQ(InputTicker, "IQ_GPPE_EXCL_OPER_LEASES",Input!F$2,Date,,,Ccy,Conv)</f>
        <v>445.82299999999998</v>
      </c>
      <c r="E356" s="4">
        <f>_xll.ciqfunctions.udf.CIQ(InputTicker, "IQ_GPPE_EXCL_OPER_LEASES",Input!G$2,Date,,,Ccy,Conv)</f>
        <v>495.63600000000002</v>
      </c>
      <c r="F356" s="4">
        <f>_xll.ciqfunctions.udf.CIQ(InputTicker, "IQ_GPPE_EXCL_OPER_LEASES",Input!H$2,Date,,,Ccy,Conv)</f>
        <v>480.44600000000003</v>
      </c>
      <c r="G356" s="4">
        <f>_xll.ciqfunctions.udf.CIQ(InputTicker, "IQ_GPPE_EXCL_OPER_LEASES",Input!I$2,Date,,,Ccy,Conv)</f>
        <v>440.13299999999998</v>
      </c>
      <c r="H356" s="4">
        <f>_xll.ciqfunctions.udf.CIQ(InputTicker, "IQ_GPPE_EXCL_OPER_LEASES",Input!J$2,Date,,,Ccy,Conv)</f>
        <v>456.88799999999998</v>
      </c>
      <c r="I356" s="4">
        <f>_xll.ciqfunctions.udf.CIQ(InputTicker, "IQ_GPPE_EXCL_OPER_LEASES",Input!K$2,Date,,,Ccy,Conv)</f>
        <v>489.11200000000002</v>
      </c>
      <c r="J356" s="4">
        <f>_xll.ciqfunctions.udf.CIQ(InputTicker, "IQ_GPPE_EXCL_OPER_LEASES",Input!L$2,Date,,,Ccy,Conv)</f>
        <v>499</v>
      </c>
      <c r="K356" s="4">
        <f>_xll.ciqfunctions.udf.CIQ(InputTicker, "IQ_GPPE_EXCL_OPER_LEASES",Input!M$2,Date,,,Ccy,Conv)</f>
        <v>458</v>
      </c>
      <c r="L356" s="4">
        <f>_xll.ciqfunctions.udf.CIQ(InputTicker, "IQ_GPPE_EXCL_OPER_LEASES",Input!N$2,Date,,,Ccy,Conv)</f>
        <v>489</v>
      </c>
      <c r="M356" s="4">
        <f>_xll.ciqfunctions.udf.CIQ(InputTicker, "IQ_GPPE_EXCL_OPER_LEASES",Input!O$2,Date,,,Ccy,Conv)</f>
        <v>489</v>
      </c>
      <c r="N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</row>
    <row r="357" spans="1:66" ht="12.75" customHeight="1" x14ac:dyDescent="0.2">
      <c r="A357" s="1" t="s">
        <v>474</v>
      </c>
      <c r="B357" s="4">
        <f>_xll.ciqfunctions.udf.CIQ(InputTicker, "IQ_AD_EXCL_OPER_LEASES",Input!D$2,Date,,,Ccy,Conv)</f>
        <v>-246.90100000000001</v>
      </c>
      <c r="C357" s="4">
        <f>_xll.ciqfunctions.udf.CIQ(InputTicker, "IQ_AD_EXCL_OPER_LEASES",Input!E$2,Date,,,Ccy,Conv)</f>
        <v>-272.65300000000002</v>
      </c>
      <c r="D357" s="4">
        <f>_xll.ciqfunctions.udf.CIQ(InputTicker, "IQ_AD_EXCL_OPER_LEASES",Input!F$2,Date,,,Ccy,Conv)</f>
        <v>-293.459</v>
      </c>
      <c r="E357" s="4">
        <f>_xll.ciqfunctions.udf.CIQ(InputTicker, "IQ_AD_EXCL_OPER_LEASES",Input!G$2,Date,,,Ccy,Conv)</f>
        <v>-323.18299999999999</v>
      </c>
      <c r="F357" s="4">
        <f>_xll.ciqfunctions.udf.CIQ(InputTicker, "IQ_AD_EXCL_OPER_LEASES",Input!H$2,Date,,,Ccy,Conv)</f>
        <v>-272.36900000000003</v>
      </c>
      <c r="G357" s="4">
        <f>_xll.ciqfunctions.udf.CIQ(InputTicker, "IQ_AD_EXCL_OPER_LEASES",Input!I$2,Date,,,Ccy,Conv)</f>
        <v>-235.49100000000001</v>
      </c>
      <c r="H357" s="4">
        <f>_xll.ciqfunctions.udf.CIQ(InputTicker, "IQ_AD_EXCL_OPER_LEASES",Input!J$2,Date,,,Ccy,Conv)</f>
        <v>-254.65899999999999</v>
      </c>
      <c r="I357" s="4">
        <f>_xll.ciqfunctions.udf.CIQ(InputTicker, "IQ_AD_EXCL_OPER_LEASES",Input!K$2,Date,,,Ccy,Conv)</f>
        <v>-293.92599999999999</v>
      </c>
      <c r="J357" s="4">
        <f>_xll.ciqfunctions.udf.CIQ(InputTicker, "IQ_AD_EXCL_OPER_LEASES",Input!L$2,Date,,,Ccy,Conv)</f>
        <v>-311</v>
      </c>
      <c r="K357" s="4">
        <f>_xll.ciqfunctions.udf.CIQ(InputTicker, "IQ_AD_EXCL_OPER_LEASES",Input!M$2,Date,,,Ccy,Conv)</f>
        <v>-281</v>
      </c>
      <c r="L357" s="4">
        <f>_xll.ciqfunctions.udf.CIQ(InputTicker, "IQ_AD_EXCL_OPER_LEASES",Input!N$2,Date,,,Ccy,Conv)</f>
        <v>-318</v>
      </c>
      <c r="M357" s="4">
        <f>_xll.ciqfunctions.udf.CIQ(InputTicker, "IQ_AD_EXCL_OPER_LEASES",Input!O$2,Date,,,Ccy,Conv)</f>
        <v>-318</v>
      </c>
      <c r="N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</row>
    <row r="358" spans="1:66" ht="12.75" customHeight="1" x14ac:dyDescent="0.2">
      <c r="A358" s="1" t="s">
        <v>475</v>
      </c>
      <c r="B358" s="4">
        <f>_xll.ciqfunctions.udf.CIQ(InputTicker, "IQ_NPPE_EXCL_OPER_LEASES",Input!D$2,Date,,,Ccy,Conv)</f>
        <v>123.26900000000001</v>
      </c>
      <c r="C358" s="4">
        <f>_xll.ciqfunctions.udf.CIQ(InputTicker, "IQ_NPPE_EXCL_OPER_LEASES",Input!E$2,Date,,,Ccy,Conv)</f>
        <v>131.06700000000001</v>
      </c>
      <c r="D358" s="4">
        <f>_xll.ciqfunctions.udf.CIQ(InputTicker, "IQ_NPPE_EXCL_OPER_LEASES",Input!F$2,Date,,,Ccy,Conv)</f>
        <v>152.364</v>
      </c>
      <c r="E358" s="4">
        <f>_xll.ciqfunctions.udf.CIQ(InputTicker, "IQ_NPPE_EXCL_OPER_LEASES",Input!G$2,Date,,,Ccy,Conv)</f>
        <v>172.453</v>
      </c>
      <c r="F358" s="4">
        <f>_xll.ciqfunctions.udf.CIQ(InputTicker, "IQ_NPPE_EXCL_OPER_LEASES",Input!H$2,Date,,,Ccy,Conv)</f>
        <v>208.077</v>
      </c>
      <c r="G358" s="4">
        <f>_xll.ciqfunctions.udf.CIQ(InputTicker, "IQ_NPPE_EXCL_OPER_LEASES",Input!I$2,Date,,,Ccy,Conv)</f>
        <v>204.642</v>
      </c>
      <c r="H358" s="4">
        <f>_xll.ciqfunctions.udf.CIQ(InputTicker, "IQ_NPPE_EXCL_OPER_LEASES",Input!J$2,Date,,,Ccy,Conv)</f>
        <v>202.22900000000001</v>
      </c>
      <c r="I358" s="4">
        <f>_xll.ciqfunctions.udf.CIQ(InputTicker, "IQ_NPPE_EXCL_OPER_LEASES",Input!K$2,Date,,,Ccy,Conv)</f>
        <v>195.18600000000001</v>
      </c>
      <c r="J358" s="4">
        <f>_xll.ciqfunctions.udf.CIQ(InputTicker, "IQ_NPPE_EXCL_OPER_LEASES",Input!L$2,Date,,,Ccy,Conv)</f>
        <v>188</v>
      </c>
      <c r="K358" s="4">
        <f>_xll.ciqfunctions.udf.CIQ(InputTicker, "IQ_NPPE_EXCL_OPER_LEASES",Input!M$2,Date,,,Ccy,Conv)</f>
        <v>177</v>
      </c>
      <c r="L358" s="4">
        <f>_xll.ciqfunctions.udf.CIQ(InputTicker, "IQ_NPPE_EXCL_OPER_LEASES",Input!N$2,Date,,,Ccy,Conv)</f>
        <v>171</v>
      </c>
      <c r="M358" s="4">
        <f>_xll.ciqfunctions.udf.CIQ(InputTicker, "IQ_NPPE_EXCL_OPER_LEASES",Input!O$2,Date,,,Ccy,Conv)</f>
        <v>171</v>
      </c>
      <c r="N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</row>
    <row r="359" spans="1:66" ht="12.75" customHeight="1" x14ac:dyDescent="0.2">
      <c r="A359" s="1" t="s">
        <v>476</v>
      </c>
      <c r="B359" s="4">
        <f>_xll.ciqfunctions.udf.CIQ(InputTicker, "IQ_FINANCE_LEASES_CURRENT",Input!D$2,Date,,,Ccy,Conv)</f>
        <v>0</v>
      </c>
      <c r="C359" s="4">
        <f>_xll.ciqfunctions.udf.CIQ(InputTicker, "IQ_FINANCE_LEASES_CURRENT",Input!E$2,Date,,,Ccy,Conv)</f>
        <v>0</v>
      </c>
      <c r="D359" s="4">
        <f>_xll.ciqfunctions.udf.CIQ(InputTicker, "IQ_FINANCE_LEASES_CURRENT",Input!F$2,Date,,,Ccy,Conv)</f>
        <v>0</v>
      </c>
      <c r="E359" s="4">
        <f>_xll.ciqfunctions.udf.CIQ(InputTicker, "IQ_FINANCE_LEASES_CURRENT",Input!G$2,Date,,,Ccy,Conv)</f>
        <v>0</v>
      </c>
      <c r="F359" s="4">
        <f>_xll.ciqfunctions.udf.CIQ(InputTicker, "IQ_FINANCE_LEASES_CURRENT",Input!H$2,Date,,,Ccy,Conv)</f>
        <v>0</v>
      </c>
      <c r="G359" s="4">
        <f>_xll.ciqfunctions.udf.CIQ(InputTicker, "IQ_FINANCE_LEASES_CURRENT",Input!I$2,Date,,,Ccy,Conv)</f>
        <v>0</v>
      </c>
      <c r="H359" s="4">
        <f>_xll.ciqfunctions.udf.CIQ(InputTicker, "IQ_FINANCE_LEASES_CURRENT",Input!J$2,Date,,,Ccy,Conv)</f>
        <v>0</v>
      </c>
      <c r="I359" s="4">
        <f>_xll.ciqfunctions.udf.CIQ(InputTicker, "IQ_FINANCE_LEASES_CURRENT",Input!K$2,Date,,,Ccy,Conv)</f>
        <v>0</v>
      </c>
      <c r="J359" s="4">
        <f>_xll.ciqfunctions.udf.CIQ(InputTicker, "IQ_FINANCE_LEASES_CURRENT",Input!L$2,Date,,,Ccy,Conv)</f>
        <v>0</v>
      </c>
      <c r="K359" s="4">
        <f>_xll.ciqfunctions.udf.CIQ(InputTicker, "IQ_FINANCE_LEASES_CURRENT",Input!M$2,Date,,,Ccy,Conv)</f>
        <v>0</v>
      </c>
      <c r="L359" s="4">
        <f>_xll.ciqfunctions.udf.CIQ(InputTicker, "IQ_FINANCE_LEASES_CURRENT",Input!N$2,Date,,,Ccy,Conv)</f>
        <v>0</v>
      </c>
      <c r="M359" s="4">
        <f>_xll.ciqfunctions.udf.CIQ(InputTicker, "IQ_FINANCE_LEASES_CURRENT",Input!O$2,Date,,,Ccy,Conv)</f>
        <v>0</v>
      </c>
      <c r="N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</row>
    <row r="360" spans="1:66" ht="12.75" customHeight="1" x14ac:dyDescent="0.2">
      <c r="A360" s="1" t="s">
        <v>477</v>
      </c>
      <c r="B360" s="4">
        <f>_xll.ciqfunctions.udf.CIQ(InputTicker, "IQ_FINANCE_LEASES_LONG_TERM",Input!D$2,Date,,,Ccy,Conv)</f>
        <v>0</v>
      </c>
      <c r="C360" s="4">
        <f>_xll.ciqfunctions.udf.CIQ(InputTicker, "IQ_FINANCE_LEASES_LONG_TERM",Input!E$2,Date,,,Ccy,Conv)</f>
        <v>0</v>
      </c>
      <c r="D360" s="4">
        <f>_xll.ciqfunctions.udf.CIQ(InputTicker, "IQ_FINANCE_LEASES_LONG_TERM",Input!F$2,Date,,,Ccy,Conv)</f>
        <v>0</v>
      </c>
      <c r="E360" s="4">
        <f>_xll.ciqfunctions.udf.CIQ(InputTicker, "IQ_FINANCE_LEASES_LONG_TERM",Input!G$2,Date,,,Ccy,Conv)</f>
        <v>0</v>
      </c>
      <c r="F360" s="4">
        <f>_xll.ciqfunctions.udf.CIQ(InputTicker, "IQ_FINANCE_LEASES_LONG_TERM",Input!H$2,Date,,,Ccy,Conv)</f>
        <v>0</v>
      </c>
      <c r="G360" s="4">
        <f>_xll.ciqfunctions.udf.CIQ(InputTicker, "IQ_FINANCE_LEASES_LONG_TERM",Input!I$2,Date,,,Ccy,Conv)</f>
        <v>0</v>
      </c>
      <c r="H360" s="4">
        <f>_xll.ciqfunctions.udf.CIQ(InputTicker, "IQ_FINANCE_LEASES_LONG_TERM",Input!J$2,Date,,,Ccy,Conv)</f>
        <v>0</v>
      </c>
      <c r="I360" s="4">
        <f>_xll.ciqfunctions.udf.CIQ(InputTicker, "IQ_FINANCE_LEASES_LONG_TERM",Input!K$2,Date,,,Ccy,Conv)</f>
        <v>0</v>
      </c>
      <c r="J360" s="4">
        <f>_xll.ciqfunctions.udf.CIQ(InputTicker, "IQ_FINANCE_LEASES_LONG_TERM",Input!L$2,Date,,,Ccy,Conv)</f>
        <v>0</v>
      </c>
      <c r="K360" s="4">
        <f>_xll.ciqfunctions.udf.CIQ(InputTicker, "IQ_FINANCE_LEASES_LONG_TERM",Input!M$2,Date,,,Ccy,Conv)</f>
        <v>0</v>
      </c>
      <c r="L360" s="4">
        <f>_xll.ciqfunctions.udf.CIQ(InputTicker, "IQ_FINANCE_LEASES_LONG_TERM",Input!N$2,Date,,,Ccy,Conv)</f>
        <v>0</v>
      </c>
      <c r="M360" s="4">
        <f>_xll.ciqfunctions.udf.CIQ(InputTicker, "IQ_FINANCE_LEASES_LONG_TERM",Input!O$2,Date,,,Ccy,Conv)</f>
        <v>0</v>
      </c>
      <c r="N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</row>
    <row r="361" spans="1:66" ht="12.75" customHeight="1" x14ac:dyDescent="0.2">
      <c r="A361" s="1" t="s">
        <v>478</v>
      </c>
      <c r="B361" s="4">
        <f>_xll.ciqfunctions.udf.CIQ(InputTicker, "IQ_TOTAL_FINANCE_LEASES",Input!D$2,Date,,,Ccy,Conv)</f>
        <v>0</v>
      </c>
      <c r="C361" s="4">
        <f>_xll.ciqfunctions.udf.CIQ(InputTicker, "IQ_TOTAL_FINANCE_LEASES",Input!E$2,Date,,,Ccy,Conv)</f>
        <v>0</v>
      </c>
      <c r="D361" s="4">
        <f>_xll.ciqfunctions.udf.CIQ(InputTicker, "IQ_TOTAL_FINANCE_LEASES",Input!F$2,Date,,,Ccy,Conv)</f>
        <v>0</v>
      </c>
      <c r="E361" s="4">
        <f>_xll.ciqfunctions.udf.CIQ(InputTicker, "IQ_TOTAL_FINANCE_LEASES",Input!G$2,Date,,,Ccy,Conv)</f>
        <v>0</v>
      </c>
      <c r="F361" s="4">
        <f>_xll.ciqfunctions.udf.CIQ(InputTicker, "IQ_TOTAL_FINANCE_LEASES",Input!H$2,Date,,,Ccy,Conv)</f>
        <v>0</v>
      </c>
      <c r="G361" s="4">
        <f>_xll.ciqfunctions.udf.CIQ(InputTicker, "IQ_TOTAL_FINANCE_LEASES",Input!I$2,Date,,,Ccy,Conv)</f>
        <v>0</v>
      </c>
      <c r="H361" s="4">
        <f>_xll.ciqfunctions.udf.CIQ(InputTicker, "IQ_TOTAL_FINANCE_LEASES",Input!J$2,Date,,,Ccy,Conv)</f>
        <v>0</v>
      </c>
      <c r="I361" s="4">
        <f>_xll.ciqfunctions.udf.CIQ(InputTicker, "IQ_TOTAL_FINANCE_LEASES",Input!K$2,Date,,,Ccy,Conv)</f>
        <v>0</v>
      </c>
      <c r="J361" s="4">
        <f>_xll.ciqfunctions.udf.CIQ(InputTicker, "IQ_TOTAL_FINANCE_LEASES",Input!L$2,Date,,,Ccy,Conv)</f>
        <v>0</v>
      </c>
      <c r="K361" s="4">
        <f>_xll.ciqfunctions.udf.CIQ(InputTicker, "IQ_TOTAL_FINANCE_LEASES",Input!M$2,Date,,,Ccy,Conv)</f>
        <v>0</v>
      </c>
      <c r="L361" s="4">
        <f>_xll.ciqfunctions.udf.CIQ(InputTicker, "IQ_TOTAL_FINANCE_LEASES",Input!N$2,Date,,,Ccy,Conv)</f>
        <v>0</v>
      </c>
      <c r="M361" s="4">
        <f>_xll.ciqfunctions.udf.CIQ(InputTicker, "IQ_TOTAL_FINANCE_LEASES",Input!O$2,Date,,,Ccy,Conv)</f>
        <v>0</v>
      </c>
      <c r="N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</row>
    <row r="362" spans="1:66" ht="12.75" customHeight="1" x14ac:dyDescent="0.2">
      <c r="A362" s="1" t="s">
        <v>479</v>
      </c>
      <c r="B362" s="4">
        <f>_xll.ciqfunctions.udf.CIQ(InputTicker, "IQ_CURRENT_PORTION_OPER_LEASE_LIABILITIES",Input!D$2,Date,,,Ccy,Conv)</f>
        <v>0</v>
      </c>
      <c r="C362" s="4">
        <f>_xll.ciqfunctions.udf.CIQ(InputTicker, "IQ_CURRENT_PORTION_OPER_LEASE_LIABILITIES",Input!E$2,Date,,,Ccy,Conv)</f>
        <v>0</v>
      </c>
      <c r="D362" s="4">
        <f>_xll.ciqfunctions.udf.CIQ(InputTicker, "IQ_CURRENT_PORTION_OPER_LEASE_LIABILITIES",Input!F$2,Date,,,Ccy,Conv)</f>
        <v>0</v>
      </c>
      <c r="E362" s="4">
        <f>_xll.ciqfunctions.udf.CIQ(InputTicker, "IQ_CURRENT_PORTION_OPER_LEASE_LIABILITIES",Input!G$2,Date,,,Ccy,Conv)</f>
        <v>0</v>
      </c>
      <c r="F362" s="4">
        <f>_xll.ciqfunctions.udf.CIQ(InputTicker, "IQ_CURRENT_PORTION_OPER_LEASE_LIABILITIES",Input!H$2,Date,,,Ccy,Conv)</f>
        <v>49.021000000000001</v>
      </c>
      <c r="G362" s="4">
        <f>_xll.ciqfunctions.udf.CIQ(InputTicker, "IQ_CURRENT_PORTION_OPER_LEASE_LIABILITIES",Input!I$2,Date,,,Ccy,Conv)</f>
        <v>54.956000000000003</v>
      </c>
      <c r="H362" s="4">
        <f>_xll.ciqfunctions.udf.CIQ(InputTicker, "IQ_CURRENT_PORTION_OPER_LEASE_LIABILITIES",Input!J$2,Date,,,Ccy,Conv)</f>
        <v>52.334000000000003</v>
      </c>
      <c r="I362" s="4">
        <f>_xll.ciqfunctions.udf.CIQ(InputTicker, "IQ_CURRENT_PORTION_OPER_LEASE_LIABILITIES",Input!K$2,Date,,,Ccy,Conv)</f>
        <v>51.238</v>
      </c>
      <c r="J362" s="4">
        <f>_xll.ciqfunctions.udf.CIQ(InputTicker, "IQ_CURRENT_PORTION_OPER_LEASE_LIABILITIES",Input!L$2,Date,,,Ccy,Conv)</f>
        <v>43</v>
      </c>
      <c r="K362" s="4">
        <f>_xll.ciqfunctions.udf.CIQ(InputTicker, "IQ_CURRENT_PORTION_OPER_LEASE_LIABILITIES",Input!M$2,Date,,,Ccy,Conv)</f>
        <v>41</v>
      </c>
      <c r="L362" s="4">
        <f>_xll.ciqfunctions.udf.CIQ(InputTicker, "IQ_CURRENT_PORTION_OPER_LEASE_LIABILITIES",Input!N$2,Date,,,Ccy,Conv)</f>
        <v>43</v>
      </c>
      <c r="M362" s="4">
        <f>_xll.ciqfunctions.udf.CIQ(InputTicker, "IQ_CURRENT_PORTION_OPER_LEASE_LIABILITIES",Input!O$2,Date,,,Ccy,Conv)</f>
        <v>43</v>
      </c>
      <c r="N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</row>
    <row r="363" spans="1:66" ht="12.75" customHeight="1" x14ac:dyDescent="0.2">
      <c r="A363" s="1" t="s">
        <v>480</v>
      </c>
      <c r="B363" s="4">
        <f>_xll.ciqfunctions.udf.CIQ(InputTicker, "IQ_LT_PORTION_OPER_LEASE_LIABILITIES",Input!D$2,Date,,,Ccy,Conv)</f>
        <v>0</v>
      </c>
      <c r="C363" s="4">
        <f>_xll.ciqfunctions.udf.CIQ(InputTicker, "IQ_LT_PORTION_OPER_LEASE_LIABILITIES",Input!E$2,Date,,,Ccy,Conv)</f>
        <v>0</v>
      </c>
      <c r="D363" s="4">
        <f>_xll.ciqfunctions.udf.CIQ(InputTicker, "IQ_LT_PORTION_OPER_LEASE_LIABILITIES",Input!F$2,Date,,,Ccy,Conv)</f>
        <v>0</v>
      </c>
      <c r="E363" s="4">
        <f>_xll.ciqfunctions.udf.CIQ(InputTicker, "IQ_LT_PORTION_OPER_LEASE_LIABILITIES",Input!G$2,Date,,,Ccy,Conv)</f>
        <v>0</v>
      </c>
      <c r="F363" s="4">
        <f>_xll.ciqfunctions.udf.CIQ(InputTicker, "IQ_LT_PORTION_OPER_LEASE_LIABILITIES",Input!H$2,Date,,,Ccy,Conv)</f>
        <v>270.26600000000002</v>
      </c>
      <c r="G363" s="4">
        <f>_xll.ciqfunctions.udf.CIQ(InputTicker, "IQ_LT_PORTION_OPER_LEASE_LIABILITIES",Input!I$2,Date,,,Ccy,Conv)</f>
        <v>263.14400000000001</v>
      </c>
      <c r="H363" s="4">
        <f>_xll.ciqfunctions.udf.CIQ(InputTicker, "IQ_LT_PORTION_OPER_LEASE_LIABILITIES",Input!J$2,Date,,,Ccy,Conv)</f>
        <v>247.07</v>
      </c>
      <c r="I363" s="4">
        <f>_xll.ciqfunctions.udf.CIQ(InputTicker, "IQ_LT_PORTION_OPER_LEASE_LIABILITIES",Input!K$2,Date,,,Ccy,Conv)</f>
        <v>198.14400000000001</v>
      </c>
      <c r="J363" s="4">
        <f>_xll.ciqfunctions.udf.CIQ(InputTicker, "IQ_LT_PORTION_OPER_LEASE_LIABILITIES",Input!L$2,Date,,,Ccy,Conv)</f>
        <v>182</v>
      </c>
      <c r="K363" s="4">
        <f>_xll.ciqfunctions.udf.CIQ(InputTicker, "IQ_LT_PORTION_OPER_LEASE_LIABILITIES",Input!M$2,Date,,,Ccy,Conv)</f>
        <v>180</v>
      </c>
      <c r="L363" s="4">
        <f>_xll.ciqfunctions.udf.CIQ(InputTicker, "IQ_LT_PORTION_OPER_LEASE_LIABILITIES",Input!N$2,Date,,,Ccy,Conv)</f>
        <v>139</v>
      </c>
      <c r="M363" s="4">
        <f>_xll.ciqfunctions.udf.CIQ(InputTicker, "IQ_LT_PORTION_OPER_LEASE_LIABILITIES",Input!O$2,Date,,,Ccy,Conv)</f>
        <v>139</v>
      </c>
      <c r="N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</row>
    <row r="364" spans="1:66" ht="12.75" customHeight="1" x14ac:dyDescent="0.2">
      <c r="A364" s="1" t="s">
        <v>481</v>
      </c>
      <c r="B364" s="4">
        <f>_xll.ciqfunctions.udf.CIQ(InputTicker, "IQ_TOTAL_OPER_LEASES",Input!D$2,Date,,,Ccy,Conv)</f>
        <v>0</v>
      </c>
      <c r="C364" s="4">
        <f>_xll.ciqfunctions.udf.CIQ(InputTicker, "IQ_TOTAL_OPER_LEASES",Input!E$2,Date,,,Ccy,Conv)</f>
        <v>0</v>
      </c>
      <c r="D364" s="4">
        <f>_xll.ciqfunctions.udf.CIQ(InputTicker, "IQ_TOTAL_OPER_LEASES",Input!F$2,Date,,,Ccy,Conv)</f>
        <v>0</v>
      </c>
      <c r="E364" s="4">
        <f>_xll.ciqfunctions.udf.CIQ(InputTicker, "IQ_TOTAL_OPER_LEASES",Input!G$2,Date,,,Ccy,Conv)</f>
        <v>0</v>
      </c>
      <c r="F364" s="4">
        <f>_xll.ciqfunctions.udf.CIQ(InputTicker, "IQ_TOTAL_OPER_LEASES",Input!H$2,Date,,,Ccy,Conv)</f>
        <v>319.28699999999998</v>
      </c>
      <c r="G364" s="4">
        <f>_xll.ciqfunctions.udf.CIQ(InputTicker, "IQ_TOTAL_OPER_LEASES",Input!I$2,Date,,,Ccy,Conv)</f>
        <v>318.10000000000002</v>
      </c>
      <c r="H364" s="4">
        <f>_xll.ciqfunctions.udf.CIQ(InputTicker, "IQ_TOTAL_OPER_LEASES",Input!J$2,Date,,,Ccy,Conv)</f>
        <v>299.404</v>
      </c>
      <c r="I364" s="4">
        <f>_xll.ciqfunctions.udf.CIQ(InputTicker, "IQ_TOTAL_OPER_LEASES",Input!K$2,Date,,,Ccy,Conv)</f>
        <v>249.38200000000001</v>
      </c>
      <c r="J364" s="4">
        <f>_xll.ciqfunctions.udf.CIQ(InputTicker, "IQ_TOTAL_OPER_LEASES",Input!L$2,Date,,,Ccy,Conv)</f>
        <v>225</v>
      </c>
      <c r="K364" s="4">
        <f>_xll.ciqfunctions.udf.CIQ(InputTicker, "IQ_TOTAL_OPER_LEASES",Input!M$2,Date,,,Ccy,Conv)</f>
        <v>221</v>
      </c>
      <c r="L364" s="4">
        <f>_xll.ciqfunctions.udf.CIQ(InputTicker, "IQ_TOTAL_OPER_LEASES",Input!N$2,Date,,,Ccy,Conv)</f>
        <v>182</v>
      </c>
      <c r="M364" s="4">
        <f>_xll.ciqfunctions.udf.CIQ(InputTicker, "IQ_TOTAL_OPER_LEASES",Input!O$2,Date,,,Ccy,Conv)</f>
        <v>182</v>
      </c>
      <c r="N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</row>
    <row r="365" spans="1:66" ht="12.75" customHeight="1" x14ac:dyDescent="0.2">
      <c r="A365" s="1" t="s">
        <v>482</v>
      </c>
      <c r="B365" s="4">
        <f>_xll.ciqfunctions.udf.CIQ(InputTicker, "IQ_TOTAL_LEASES",Input!D$2,Date,,,Ccy,Conv)</f>
        <v>0</v>
      </c>
      <c r="C365" s="4">
        <f>_xll.ciqfunctions.udf.CIQ(InputTicker, "IQ_TOTAL_LEASES",Input!E$2,Date,,,Ccy,Conv)</f>
        <v>0</v>
      </c>
      <c r="D365" s="4">
        <f>_xll.ciqfunctions.udf.CIQ(InputTicker, "IQ_TOTAL_LEASES",Input!F$2,Date,,,Ccy,Conv)</f>
        <v>0</v>
      </c>
      <c r="E365" s="4">
        <f>_xll.ciqfunctions.udf.CIQ(InputTicker, "IQ_TOTAL_LEASES",Input!G$2,Date,,,Ccy,Conv)</f>
        <v>0</v>
      </c>
      <c r="F365" s="4">
        <f>_xll.ciqfunctions.udf.CIQ(InputTicker, "IQ_TOTAL_LEASES",Input!H$2,Date,,,Ccy,Conv)</f>
        <v>319.28699999999998</v>
      </c>
      <c r="G365" s="4">
        <f>_xll.ciqfunctions.udf.CIQ(InputTicker, "IQ_TOTAL_LEASES",Input!I$2,Date,,,Ccy,Conv)</f>
        <v>318.10000000000002</v>
      </c>
      <c r="H365" s="4">
        <f>_xll.ciqfunctions.udf.CIQ(InputTicker, "IQ_TOTAL_LEASES",Input!J$2,Date,,,Ccy,Conv)</f>
        <v>299.404</v>
      </c>
      <c r="I365" s="4">
        <f>_xll.ciqfunctions.udf.CIQ(InputTicker, "IQ_TOTAL_LEASES",Input!K$2,Date,,,Ccy,Conv)</f>
        <v>249.38200000000001</v>
      </c>
      <c r="J365" s="4">
        <f>_xll.ciqfunctions.udf.CIQ(InputTicker, "IQ_TOTAL_LEASES",Input!L$2,Date,,,Ccy,Conv)</f>
        <v>225</v>
      </c>
      <c r="K365" s="4">
        <f>_xll.ciqfunctions.udf.CIQ(InputTicker, "IQ_TOTAL_LEASES",Input!M$2,Date,,,Ccy,Conv)</f>
        <v>221</v>
      </c>
      <c r="L365" s="4">
        <f>_xll.ciqfunctions.udf.CIQ(InputTicker, "IQ_TOTAL_LEASES",Input!N$2,Date,,,Ccy,Conv)</f>
        <v>182</v>
      </c>
      <c r="M365" s="4">
        <f>_xll.ciqfunctions.udf.CIQ(InputTicker, "IQ_TOTAL_LEASES",Input!O$2,Date,,,Ccy,Conv)</f>
        <v>182</v>
      </c>
      <c r="N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</row>
    <row r="366" spans="1:66" ht="12.75" customHeight="1" x14ac:dyDescent="0.2">
      <c r="A366" s="1" t="s">
        <v>483</v>
      </c>
      <c r="B366" s="4">
        <f>_xll.ciqfunctions.udf.CIQ(InputTicker, "IQ_FINANCING_OBLIG_CURRENT_EXCL_OPER_LEASES",Input!D$2,Date,,,Ccy,Conv)</f>
        <v>192.81299999999999</v>
      </c>
      <c r="C366" s="4">
        <f>_xll.ciqfunctions.udf.CIQ(InputTicker, "IQ_FINANCING_OBLIG_CURRENT_EXCL_OPER_LEASES",Input!E$2,Date,,,Ccy,Conv)</f>
        <v>273.14999999999998</v>
      </c>
      <c r="D366" s="4">
        <f>_xll.ciqfunctions.udf.CIQ(InputTicker, "IQ_FINANCING_OBLIG_CURRENT_EXCL_OPER_LEASES",Input!F$2,Date,,,Ccy,Conv)</f>
        <v>143.1</v>
      </c>
      <c r="E366" s="4">
        <f>_xll.ciqfunctions.udf.CIQ(InputTicker, "IQ_FINANCING_OBLIG_CURRENT_EXCL_OPER_LEASES",Input!G$2,Date,,,Ccy,Conv)</f>
        <v>138.85300000000001</v>
      </c>
      <c r="F366" s="4">
        <f>_xll.ciqfunctions.udf.CIQ(InputTicker, "IQ_FINANCING_OBLIG_CURRENT_EXCL_OPER_LEASES",Input!H$2,Date,,,Ccy,Conv)</f>
        <v>196.696</v>
      </c>
      <c r="G366" s="4">
        <f>_xll.ciqfunctions.udf.CIQ(InputTicker, "IQ_FINANCING_OBLIG_CURRENT_EXCL_OPER_LEASES",Input!I$2,Date,,,Ccy,Conv)</f>
        <v>95.028000000000006</v>
      </c>
      <c r="H366" s="4">
        <f>_xll.ciqfunctions.udf.CIQ(InputTicker, "IQ_FINANCING_OBLIG_CURRENT_EXCL_OPER_LEASES",Input!J$2,Date,,,Ccy,Conv)</f>
        <v>72.703000000000003</v>
      </c>
      <c r="I366" s="4">
        <f>_xll.ciqfunctions.udf.CIQ(InputTicker, "IQ_FINANCING_OBLIG_CURRENT_EXCL_OPER_LEASES",Input!K$2,Date,,,Ccy,Conv)</f>
        <v>41.25</v>
      </c>
      <c r="J366" s="4">
        <f>_xll.ciqfunctions.udf.CIQ(InputTicker, "IQ_FINANCING_OBLIG_CURRENT_EXCL_OPER_LEASES",Input!L$2,Date,,,Ccy,Conv)</f>
        <v>62</v>
      </c>
      <c r="K366" s="4">
        <f>_xll.ciqfunctions.udf.CIQ(InputTicker, "IQ_FINANCING_OBLIG_CURRENT_EXCL_OPER_LEASES",Input!M$2,Date,,,Ccy,Conv)</f>
        <v>83</v>
      </c>
      <c r="L366" s="4">
        <f>_xll.ciqfunctions.udf.CIQ(InputTicker, "IQ_FINANCING_OBLIG_CURRENT_EXCL_OPER_LEASES",Input!N$2,Date,,,Ccy,Conv)</f>
        <v>19</v>
      </c>
      <c r="M366" s="4">
        <f>_xll.ciqfunctions.udf.CIQ(InputTicker, "IQ_FINANCING_OBLIG_CURRENT_EXCL_OPER_LEASES",Input!O$2,Date,,,Ccy,Conv)</f>
        <v>19</v>
      </c>
      <c r="N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</row>
    <row r="367" spans="1:66" ht="12.75" customHeight="1" x14ac:dyDescent="0.2">
      <c r="A367" s="1" t="s">
        <v>484</v>
      </c>
      <c r="B367" s="4">
        <f>_xll.ciqfunctions.udf.CIQ(InputTicker, "IQ_FINANCING_OBLIG_NON_CURRENT_EXCL_OPER_LEASES",Input!D$2,Date,,,Ccy,Conv)</f>
        <v>1484.4480000000001</v>
      </c>
      <c r="C367" s="4">
        <f>_xll.ciqfunctions.udf.CIQ(InputTicker, "IQ_FINANCING_OBLIG_NON_CURRENT_EXCL_OPER_LEASES",Input!E$2,Date,,,Ccy,Conv)</f>
        <v>1470.174</v>
      </c>
      <c r="D367" s="4">
        <f>_xll.ciqfunctions.udf.CIQ(InputTicker, "IQ_FINANCING_OBLIG_NON_CURRENT_EXCL_OPER_LEASES",Input!F$2,Date,,,Ccy,Conv)</f>
        <v>1755.479</v>
      </c>
      <c r="E367" s="4">
        <f>_xll.ciqfunctions.udf.CIQ(InputTicker, "IQ_FINANCING_OBLIG_NON_CURRENT_EXCL_OPER_LEASES",Input!G$2,Date,,,Ccy,Conv)</f>
        <v>1706.184</v>
      </c>
      <c r="F367" s="4">
        <f>_xll.ciqfunctions.udf.CIQ(InputTicker, "IQ_FINANCING_OBLIG_NON_CURRENT_EXCL_OPER_LEASES",Input!H$2,Date,,,Ccy,Conv)</f>
        <v>2045.798</v>
      </c>
      <c r="G367" s="4">
        <f>_xll.ciqfunctions.udf.CIQ(InputTicker, "IQ_FINANCING_OBLIG_NON_CURRENT_EXCL_OPER_LEASES",Input!I$2,Date,,,Ccy,Conv)</f>
        <v>2299.73</v>
      </c>
      <c r="H367" s="4">
        <f>_xll.ciqfunctions.udf.CIQ(InputTicker, "IQ_FINANCING_OBLIG_NON_CURRENT_EXCL_OPER_LEASES",Input!J$2,Date,,,Ccy,Conv)</f>
        <v>2731.732</v>
      </c>
      <c r="I367" s="4">
        <f>_xll.ciqfunctions.udf.CIQ(InputTicker, "IQ_FINANCING_OBLIG_NON_CURRENT_EXCL_OPER_LEASES",Input!K$2,Date,,,Ccy,Conv)</f>
        <v>2772.2640000000001</v>
      </c>
      <c r="J367" s="4">
        <f>_xll.ciqfunctions.udf.CIQ(InputTicker, "IQ_FINANCING_OBLIG_NON_CURRENT_EXCL_OPER_LEASES",Input!L$2,Date,,,Ccy,Conv)</f>
        <v>3350</v>
      </c>
      <c r="K367" s="4">
        <f>_xll.ciqfunctions.udf.CIQ(InputTicker, "IQ_FINANCING_OBLIG_NON_CURRENT_EXCL_OPER_LEASES",Input!M$2,Date,,,Ccy,Conv)</f>
        <v>3915</v>
      </c>
      <c r="L367" s="4">
        <f>_xll.ciqfunctions.udf.CIQ(InputTicker, "IQ_FINANCING_OBLIG_NON_CURRENT_EXCL_OPER_LEASES",Input!N$2,Date,,,Ccy,Conv)</f>
        <v>3921</v>
      </c>
      <c r="M367" s="4">
        <f>_xll.ciqfunctions.udf.CIQ(InputTicker, "IQ_FINANCING_OBLIG_NON_CURRENT_EXCL_OPER_LEASES",Input!O$2,Date,,,Ccy,Conv)</f>
        <v>3921</v>
      </c>
      <c r="N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</row>
    <row r="368" spans="1:66" ht="12.75" customHeight="1" x14ac:dyDescent="0.2">
      <c r="A368" s="1" t="s">
        <v>485</v>
      </c>
      <c r="B368" s="4">
        <f>_xll.ciqfunctions.udf.CIQ(InputTicker, "IQ_TOTAL_DEBT_EXCL_OPER_LEASES",Input!D$2,Date,,,Ccy,Conv)</f>
        <v>1677.261</v>
      </c>
      <c r="C368" s="4">
        <f>_xll.ciqfunctions.udf.CIQ(InputTicker, "IQ_TOTAL_DEBT_EXCL_OPER_LEASES",Input!E$2,Date,,,Ccy,Conv)</f>
        <v>1743.3240000000001</v>
      </c>
      <c r="D368" s="4">
        <f>_xll.ciqfunctions.udf.CIQ(InputTicker, "IQ_TOTAL_DEBT_EXCL_OPER_LEASES",Input!F$2,Date,,,Ccy,Conv)</f>
        <v>1898.579</v>
      </c>
      <c r="E368" s="4">
        <f>_xll.ciqfunctions.udf.CIQ(InputTicker, "IQ_TOTAL_DEBT_EXCL_OPER_LEASES",Input!G$2,Date,,,Ccy,Conv)</f>
        <v>1845.037</v>
      </c>
      <c r="F368" s="4">
        <f>_xll.ciqfunctions.udf.CIQ(InputTicker, "IQ_TOTAL_DEBT_EXCL_OPER_LEASES",Input!H$2,Date,,,Ccy,Conv)</f>
        <v>2242.4940000000001</v>
      </c>
      <c r="G368" s="4">
        <f>_xll.ciqfunctions.udf.CIQ(InputTicker, "IQ_TOTAL_DEBT_EXCL_OPER_LEASES",Input!I$2,Date,,,Ccy,Conv)</f>
        <v>2394.7579999999998</v>
      </c>
      <c r="H368" s="4">
        <f>_xll.ciqfunctions.udf.CIQ(InputTicker, "IQ_TOTAL_DEBT_EXCL_OPER_LEASES",Input!J$2,Date,,,Ccy,Conv)</f>
        <v>2804.4349999999999</v>
      </c>
      <c r="I368" s="4">
        <f>_xll.ciqfunctions.udf.CIQ(InputTicker, "IQ_TOTAL_DEBT_EXCL_OPER_LEASES",Input!K$2,Date,,,Ccy,Conv)</f>
        <v>2813.5140000000001</v>
      </c>
      <c r="J368" s="4">
        <f>_xll.ciqfunctions.udf.CIQ(InputTicker, "IQ_TOTAL_DEBT_EXCL_OPER_LEASES",Input!L$2,Date,,,Ccy,Conv)</f>
        <v>3412</v>
      </c>
      <c r="K368" s="4">
        <f>_xll.ciqfunctions.udf.CIQ(InputTicker, "IQ_TOTAL_DEBT_EXCL_OPER_LEASES",Input!M$2,Date,,,Ccy,Conv)</f>
        <v>3998</v>
      </c>
      <c r="L368" s="4">
        <f>_xll.ciqfunctions.udf.CIQ(InputTicker, "IQ_TOTAL_DEBT_EXCL_OPER_LEASES",Input!N$2,Date,,,Ccy,Conv)</f>
        <v>3940</v>
      </c>
      <c r="M368" s="4">
        <f>_xll.ciqfunctions.udf.CIQ(InputTicker, "IQ_TOTAL_DEBT_EXCL_OPER_LEASES",Input!O$2,Date,,,Ccy,Conv)</f>
        <v>3940</v>
      </c>
      <c r="N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</row>
    <row r="369" spans="1:66" ht="12.75" customHeight="1" x14ac:dyDescent="0.2">
      <c r="A369" s="1" t="s">
        <v>486</v>
      </c>
      <c r="B369" s="4">
        <f>_xll.ciqfunctions.udf.CIQ(InputTicker, "IQ_TOTAL_DEBT_EXCL_LEASES",Input!D$2,Date,,,Ccy,Conv)</f>
        <v>1677.261</v>
      </c>
      <c r="C369" s="4">
        <f>_xll.ciqfunctions.udf.CIQ(InputTicker, "IQ_TOTAL_DEBT_EXCL_LEASES",Input!E$2,Date,,,Ccy,Conv)</f>
        <v>1743.3240000000001</v>
      </c>
      <c r="D369" s="4">
        <f>_xll.ciqfunctions.udf.CIQ(InputTicker, "IQ_TOTAL_DEBT_EXCL_LEASES",Input!F$2,Date,,,Ccy,Conv)</f>
        <v>1898.579</v>
      </c>
      <c r="E369" s="4">
        <f>_xll.ciqfunctions.udf.CIQ(InputTicker, "IQ_TOTAL_DEBT_EXCL_LEASES",Input!G$2,Date,,,Ccy,Conv)</f>
        <v>1845.037</v>
      </c>
      <c r="F369" s="4">
        <f>_xll.ciqfunctions.udf.CIQ(InputTicker, "IQ_TOTAL_DEBT_EXCL_LEASES",Input!H$2,Date,,,Ccy,Conv)</f>
        <v>2242.4940000000001</v>
      </c>
      <c r="G369" s="4">
        <f>_xll.ciqfunctions.udf.CIQ(InputTicker, "IQ_TOTAL_DEBT_EXCL_LEASES",Input!I$2,Date,,,Ccy,Conv)</f>
        <v>2394.7579999999998</v>
      </c>
      <c r="H369" s="4">
        <f>_xll.ciqfunctions.udf.CIQ(InputTicker, "IQ_TOTAL_DEBT_EXCL_LEASES",Input!J$2,Date,,,Ccy,Conv)</f>
        <v>2804.4349999999999</v>
      </c>
      <c r="I369" s="4">
        <f>_xll.ciqfunctions.udf.CIQ(InputTicker, "IQ_TOTAL_DEBT_EXCL_LEASES",Input!K$2,Date,,,Ccy,Conv)</f>
        <v>2813.5140000000001</v>
      </c>
      <c r="J369" s="4">
        <f>_xll.ciqfunctions.udf.CIQ(InputTicker, "IQ_TOTAL_DEBT_EXCL_LEASES",Input!L$2,Date,,,Ccy,Conv)</f>
        <v>3412</v>
      </c>
      <c r="K369" s="4">
        <f>_xll.ciqfunctions.udf.CIQ(InputTicker, "IQ_TOTAL_DEBT_EXCL_LEASES",Input!M$2,Date,,,Ccy,Conv)</f>
        <v>3998</v>
      </c>
      <c r="L369" s="4">
        <f>_xll.ciqfunctions.udf.CIQ(InputTicker, "IQ_TOTAL_DEBT_EXCL_LEASES",Input!N$2,Date,,,Ccy,Conv)</f>
        <v>3940</v>
      </c>
      <c r="M369" s="4">
        <f>_xll.ciqfunctions.udf.CIQ(InputTicker, "IQ_TOTAL_DEBT_EXCL_LEASES",Input!O$2,Date,,,Ccy,Conv)</f>
        <v>3940</v>
      </c>
      <c r="N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</row>
    <row r="370" spans="1:66" ht="12.75" customHeight="1" x14ac:dyDescent="0.2">
      <c r="A370" s="1" t="s">
        <v>419</v>
      </c>
      <c r="B370" s="12">
        <f>_xll.ciqfunctions.udf.CIQ(InputTicker, "IQ_TOTAL_OUTSTANDING_FILING_DATE",Input!D$2,Date)</f>
        <v>148.00146000000001</v>
      </c>
      <c r="C370" s="12">
        <f>_xll.ciqfunctions.udf.CIQ(InputTicker, "IQ_TOTAL_OUTSTANDING_FILING_DATE",Input!E$2,Date)</f>
        <v>147.92084</v>
      </c>
      <c r="D370" s="12">
        <f>_xll.ciqfunctions.udf.CIQ(InputTicker, "IQ_TOTAL_OUTSTANDING_FILING_DATE",Input!F$2,Date)</f>
        <v>143.36778000000001</v>
      </c>
      <c r="E370" s="12">
        <f>_xll.ciqfunctions.udf.CIQ(InputTicker, "IQ_TOTAL_OUTSTANDING_FILING_DATE",Input!G$2,Date)</f>
        <v>140.03073000000001</v>
      </c>
      <c r="F370" s="12">
        <f>_xll.ciqfunctions.udf.CIQ(InputTicker, "IQ_TOTAL_OUTSTANDING_FILING_DATE",Input!H$2,Date)</f>
        <v>137.93809999999999</v>
      </c>
      <c r="G370" s="12">
        <f>_xll.ciqfunctions.udf.CIQ(InputTicker, "IQ_TOTAL_OUTSTANDING_FILING_DATE",Input!I$2,Date)</f>
        <v>135.40755999999999</v>
      </c>
      <c r="H370" s="12">
        <f>_xll.ciqfunctions.udf.CIQ(InputTicker, "IQ_TOTAL_OUTSTANDING_FILING_DATE",Input!J$2,Date)</f>
        <v>132.18574000000001</v>
      </c>
      <c r="I370" s="12">
        <f>_xll.ciqfunctions.udf.CIQ(InputTicker, "IQ_TOTAL_OUTSTANDING_FILING_DATE",Input!K$2,Date)</f>
        <v>130.82454000000001</v>
      </c>
      <c r="J370" s="12">
        <f>_xll.ciqfunctions.udf.CIQ(InputTicker, "IQ_TOTAL_OUTSTANDING_FILING_DATE",Input!L$2,Date)</f>
        <v>129.32049000000001</v>
      </c>
      <c r="K370" s="12">
        <f>_xll.ciqfunctions.udf.CIQ(InputTicker, "IQ_TOTAL_OUTSTANDING_FILING_DATE",Input!M$2,Date)</f>
        <v>124.18763</v>
      </c>
      <c r="L370" s="12">
        <f>_xll.ciqfunctions.udf.CIQ(InputTicker, "IQ_TOTAL_OUTSTANDING_FILING_DATE",Input!N$2,Date)</f>
        <v>119.74612999999999</v>
      </c>
      <c r="M370" s="12">
        <f>_xll.ciqfunctions.udf.CIQ(InputTicker, "IQ_TOTAL_OUTSTANDING_FILING_DATE",Input!O$2,Date)</f>
        <v>119.74612999999999</v>
      </c>
      <c r="N370" s="53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</row>
    <row r="371" spans="1:66" ht="12.75" customHeight="1" x14ac:dyDescent="0.2">
      <c r="A371" s="1" t="s">
        <v>285</v>
      </c>
      <c r="B371" s="12">
        <f>_xll.ciqfunctions.udf.CIQ(InputTicker,"IQ_TOTAL_OUTSTANDING_BS_DATE",Input!D$2,Date)</f>
        <v>147.99245999999999</v>
      </c>
      <c r="C371" s="12">
        <f>_xll.ciqfunctions.udf.CIQ(InputTicker,"IQ_TOTAL_OUTSTANDING_BS_DATE",Input!E$2,Date)</f>
        <v>148.88771</v>
      </c>
      <c r="D371" s="12">
        <f>_xll.ciqfunctions.udf.CIQ(InputTicker,"IQ_TOTAL_OUTSTANDING_BS_DATE",Input!F$2,Date)</f>
        <v>143.44654</v>
      </c>
      <c r="E371" s="12">
        <f>_xll.ciqfunctions.udf.CIQ(InputTicker,"IQ_TOTAL_OUTSTANDING_BS_DATE",Input!G$2,Date)</f>
        <v>140.02785</v>
      </c>
      <c r="F371" s="12">
        <f>_xll.ciqfunctions.udf.CIQ(InputTicker,"IQ_TOTAL_OUTSTANDING_BS_DATE",Input!H$2,Date)</f>
        <v>138.71992</v>
      </c>
      <c r="G371" s="12">
        <f>_xll.ciqfunctions.udf.CIQ(InputTicker,"IQ_TOTAL_OUTSTANDING_BS_DATE",Input!I$2,Date)</f>
        <v>136.24602999999999</v>
      </c>
      <c r="H371" s="12">
        <f>_xll.ciqfunctions.udf.CIQ(InputTicker,"IQ_TOTAL_OUTSTANDING_BS_DATE",Input!J$2,Date)</f>
        <v>132.58435</v>
      </c>
      <c r="I371" s="12">
        <f>_xll.ciqfunctions.udf.CIQ(InputTicker,"IQ_TOTAL_OUTSTANDING_BS_DATE",Input!K$2,Date)</f>
        <v>131.63758999999999</v>
      </c>
      <c r="J371" s="12">
        <f>_xll.ciqfunctions.udf.CIQ(InputTicker,"IQ_TOTAL_OUTSTANDING_BS_DATE",Input!L$2,Date)</f>
        <v>129.64312000000001</v>
      </c>
      <c r="K371" s="12">
        <f>_xll.ciqfunctions.udf.CIQ(InputTicker,"IQ_TOTAL_OUTSTANDING_BS_DATE",Input!M$2,Date)</f>
        <v>124.879</v>
      </c>
      <c r="L371" s="12">
        <f>_xll.ciqfunctions.udf.CIQ(InputTicker,"IQ_TOTAL_OUTSTANDING_BS_DATE",Input!N$2,Date)</f>
        <v>120.34132</v>
      </c>
      <c r="M371" s="12">
        <f>_xll.ciqfunctions.udf.CIQ(InputTicker,"IQ_TOTAL_OUTSTANDING_BS_DATE",Input!O$2,Date)</f>
        <v>120.34132</v>
      </c>
      <c r="N371" s="53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</row>
    <row r="372" spans="1:66" ht="12.75" customHeight="1" x14ac:dyDescent="0.2">
      <c r="A372" s="1" t="s">
        <v>101</v>
      </c>
      <c r="B372" s="11">
        <f>_xll.ciqfunctions.udf.CIQ(InputTicker,"IQ_BV_SHARE",Input!D$2,Date,,,Ccy,Conv)</f>
        <v>2.7601900000000001</v>
      </c>
      <c r="C372" s="11">
        <f>_xll.ciqfunctions.udf.CIQ(InputTicker,"IQ_BV_SHARE",Input!E$2,Date,,,Ccy,Conv)</f>
        <v>3.8525100000000001</v>
      </c>
      <c r="D372" s="11">
        <f>_xll.ciqfunctions.udf.CIQ(InputTicker,"IQ_BV_SHARE",Input!F$2,Date,,,Ccy,Conv)</f>
        <v>3.9212600000000002</v>
      </c>
      <c r="E372" s="11">
        <f>_xll.ciqfunctions.udf.CIQ(InputTicker,"IQ_BV_SHARE",Input!G$2,Date,,,Ccy,Conv)</f>
        <v>4.82308</v>
      </c>
      <c r="F372" s="11">
        <f>_xll.ciqfunctions.udf.CIQ(InputTicker,"IQ_BV_SHARE",Input!H$2,Date,,,Ccy,Conv)</f>
        <v>6.1732699999999996</v>
      </c>
      <c r="G372" s="11">
        <f>_xll.ciqfunctions.udf.CIQ(InputTicker,"IQ_BV_SHARE",Input!I$2,Date,,,Ccy,Conv)</f>
        <v>7.8620700000000001</v>
      </c>
      <c r="H372" s="11">
        <f>_xll.ciqfunctions.udf.CIQ(InputTicker,"IQ_BV_SHARE",Input!J$2,Date,,,Ccy,Conv)</f>
        <v>7.88985</v>
      </c>
      <c r="I372" s="11">
        <f>_xll.ciqfunctions.udf.CIQ(InputTicker,"IQ_BV_SHARE",Input!K$2,Date,,,Ccy,Conv)</f>
        <v>7.5358599999999996</v>
      </c>
      <c r="J372" s="11">
        <f>_xll.ciqfunctions.udf.CIQ(InputTicker,"IQ_BV_SHARE",Input!L$2,Date,,,Ccy,Conv)</f>
        <v>8.0760199999999998</v>
      </c>
      <c r="K372" s="11">
        <f>_xll.ciqfunctions.udf.CIQ(InputTicker,"IQ_BV_SHARE",Input!M$2,Date,,,Ccy,Conv)</f>
        <v>8.0317699999999999</v>
      </c>
      <c r="L372" s="11">
        <f>_xll.ciqfunctions.udf.CIQ(InputTicker,"IQ_BV_SHARE",Input!N$2,Date,,,Ccy,Conv)</f>
        <v>9.1822199999999992</v>
      </c>
      <c r="M372" s="11">
        <f>_xll.ciqfunctions.udf.CIQ(InputTicker,"IQ_BV_SHARE",Input!O$2,Date,,,Ccy,Conv)</f>
        <v>9.1822199999999992</v>
      </c>
      <c r="N372" s="53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</row>
    <row r="373" spans="1:66" ht="12.75" customHeight="1" x14ac:dyDescent="0.2">
      <c r="A373" s="1" t="s">
        <v>42</v>
      </c>
      <c r="B373" s="11">
        <f>_xll.ciqfunctions.udf.CIQ(InputTicker,"IQ_BV_SHARE_REPORTED",Input!D$2,Date,,,Ccy,Conv)</f>
        <v>0</v>
      </c>
      <c r="C373" s="11">
        <f>_xll.ciqfunctions.udf.CIQ(InputTicker,"IQ_BV_SHARE_REPORTED",Input!E$2,Date,,,Ccy,Conv)</f>
        <v>0</v>
      </c>
      <c r="D373" s="11">
        <f>_xll.ciqfunctions.udf.CIQ(InputTicker,"IQ_BV_SHARE_REPORTED",Input!F$2,Date,,,Ccy,Conv)</f>
        <v>0</v>
      </c>
      <c r="E373" s="11">
        <f>_xll.ciqfunctions.udf.CIQ(InputTicker,"IQ_BV_SHARE_REPORTED",Input!G$2,Date,,,Ccy,Conv)</f>
        <v>0</v>
      </c>
      <c r="F373" s="11">
        <f>_xll.ciqfunctions.udf.CIQ(InputTicker,"IQ_BV_SHARE_REPORTED",Input!H$2,Date,,,Ccy,Conv)</f>
        <v>0</v>
      </c>
      <c r="G373" s="11">
        <f>_xll.ciqfunctions.udf.CIQ(InputTicker,"IQ_BV_SHARE_REPORTED",Input!I$2,Date,,,Ccy,Conv)</f>
        <v>0</v>
      </c>
      <c r="H373" s="11">
        <f>_xll.ciqfunctions.udf.CIQ(InputTicker,"IQ_BV_SHARE_REPORTED",Input!J$2,Date,,,Ccy,Conv)</f>
        <v>0</v>
      </c>
      <c r="I373" s="11">
        <f>_xll.ciqfunctions.udf.CIQ(InputTicker,"IQ_BV_SHARE_REPORTED",Input!K$2,Date,,,Ccy,Conv)</f>
        <v>0</v>
      </c>
      <c r="J373" s="11">
        <f>_xll.ciqfunctions.udf.CIQ(InputTicker,"IQ_BV_SHARE_REPORTED",Input!L$2,Date,,,Ccy,Conv)</f>
        <v>0</v>
      </c>
      <c r="K373" s="11">
        <f>_xll.ciqfunctions.udf.CIQ(InputTicker,"IQ_BV_SHARE_REPORTED",Input!M$2,Date,,,Ccy,Conv)</f>
        <v>0</v>
      </c>
      <c r="L373" s="11">
        <f>_xll.ciqfunctions.udf.CIQ(InputTicker,"IQ_BV_SHARE_REPORTED",Input!N$2,Date,,,Ccy,Conv)</f>
        <v>0</v>
      </c>
      <c r="M373" s="11">
        <f>_xll.ciqfunctions.udf.CIQ(InputTicker,"IQ_BV_SHARE_REPORTED",Input!O$2,Date,,,Ccy,Conv)</f>
        <v>0</v>
      </c>
      <c r="N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</row>
    <row r="374" spans="1:66" ht="12.75" customHeight="1" x14ac:dyDescent="0.2">
      <c r="A374" s="1" t="s">
        <v>217</v>
      </c>
      <c r="B374" s="11">
        <f>_xll.ciqfunctions.udf.CIQ(InputTicker, "IQ_TBV_SHARE",Input!D$2,Date,,,Ccy,Conv)</f>
        <v>-7.9800199999999997</v>
      </c>
      <c r="C374" s="11">
        <f>_xll.ciqfunctions.udf.CIQ(InputTicker, "IQ_TBV_SHARE",Input!E$2,Date,,,Ccy,Conv)</f>
        <v>-8.5808199999999992</v>
      </c>
      <c r="D374" s="11">
        <f>_xll.ciqfunctions.udf.CIQ(InputTicker, "IQ_TBV_SHARE",Input!F$2,Date,,,Ccy,Conv)</f>
        <v>-9.0427999999999997</v>
      </c>
      <c r="E374" s="11">
        <f>_xll.ciqfunctions.udf.CIQ(InputTicker, "IQ_TBV_SHARE",Input!G$2,Date,,,Ccy,Conv)</f>
        <v>-8.5186299999999999</v>
      </c>
      <c r="F374" s="11">
        <f>_xll.ciqfunctions.udf.CIQ(InputTicker, "IQ_TBV_SHARE",Input!H$2,Date,,,Ccy,Conv)</f>
        <v>-7.3946899999999998</v>
      </c>
      <c r="G374" s="11">
        <f>_xll.ciqfunctions.udf.CIQ(InputTicker, "IQ_TBV_SHARE",Input!I$2,Date,,,Ccy,Conv)</f>
        <v>-5.9973299999999998</v>
      </c>
      <c r="H374" s="11">
        <f>_xll.ciqfunctions.udf.CIQ(InputTicker, "IQ_TBV_SHARE",Input!J$2,Date,,,Ccy,Conv)</f>
        <v>-12.237819999999999</v>
      </c>
      <c r="I374" s="11">
        <f>_xll.ciqfunctions.udf.CIQ(InputTicker, "IQ_TBV_SHARE",Input!K$2,Date,,,Ccy,Conv)</f>
        <v>-15.43641</v>
      </c>
      <c r="J374" s="11">
        <f>_xll.ciqfunctions.udf.CIQ(InputTicker, "IQ_TBV_SHARE",Input!L$2,Date,,,Ccy,Conv)</f>
        <v>-14.64019</v>
      </c>
      <c r="K374" s="11">
        <f>_xll.ciqfunctions.udf.CIQ(InputTicker, "IQ_TBV_SHARE",Input!M$2,Date,,,Ccy,Conv)</f>
        <v>-15.73523</v>
      </c>
      <c r="L374" s="11">
        <f>_xll.ciqfunctions.udf.CIQ(InputTicker, "IQ_TBV_SHARE",Input!N$2,Date,,,Ccy,Conv)</f>
        <v>-14.982390000000001</v>
      </c>
      <c r="M374" s="11">
        <f>_xll.ciqfunctions.udf.CIQ(InputTicker, "IQ_TBV_SHARE",Input!O$2,Date,,,Ccy,Conv)</f>
        <v>-14.982390000000001</v>
      </c>
      <c r="N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</row>
    <row r="375" spans="1:66" ht="12.75" customHeight="1" x14ac:dyDescent="0.2">
      <c r="A375" s="1" t="s">
        <v>431</v>
      </c>
      <c r="B375" s="11">
        <f>_xll.ciqfunctions.udf.CIQ(InputTicker, "IQ_TBV_SHARE_REPORTED",Input!D$2,Date,,,Ccy,Conv)</f>
        <v>0</v>
      </c>
      <c r="C375" s="11">
        <f>_xll.ciqfunctions.udf.CIQ(InputTicker, "IQ_TBV_SHARE_REPORTED",Input!E$2,Date,,,Ccy,Conv)</f>
        <v>0</v>
      </c>
      <c r="D375" s="11">
        <f>_xll.ciqfunctions.udf.CIQ(InputTicker, "IQ_TBV_SHARE_REPORTED",Input!F$2,Date,,,Ccy,Conv)</f>
        <v>0</v>
      </c>
      <c r="E375" s="11">
        <f>_xll.ciqfunctions.udf.CIQ(InputTicker, "IQ_TBV_SHARE_REPORTED",Input!G$2,Date,,,Ccy,Conv)</f>
        <v>0</v>
      </c>
      <c r="F375" s="11">
        <f>_xll.ciqfunctions.udf.CIQ(InputTicker, "IQ_TBV_SHARE_REPORTED",Input!H$2,Date,,,Ccy,Conv)</f>
        <v>0</v>
      </c>
      <c r="G375" s="11">
        <f>_xll.ciqfunctions.udf.CIQ(InputTicker, "IQ_TBV_SHARE_REPORTED",Input!I$2,Date,,,Ccy,Conv)</f>
        <v>0</v>
      </c>
      <c r="H375" s="11">
        <f>_xll.ciqfunctions.udf.CIQ(InputTicker, "IQ_TBV_SHARE_REPORTED",Input!J$2,Date,,,Ccy,Conv)</f>
        <v>0</v>
      </c>
      <c r="I375" s="11">
        <f>_xll.ciqfunctions.udf.CIQ(InputTicker, "IQ_TBV_SHARE_REPORTED",Input!K$2,Date,,,Ccy,Conv)</f>
        <v>0</v>
      </c>
      <c r="J375" s="11">
        <f>_xll.ciqfunctions.udf.CIQ(InputTicker, "IQ_TBV_SHARE_REPORTED",Input!L$2,Date,,,Ccy,Conv)</f>
        <v>0</v>
      </c>
      <c r="K375" s="11">
        <f>_xll.ciqfunctions.udf.CIQ(InputTicker, "IQ_TBV_SHARE_REPORTED",Input!M$2,Date,,,Ccy,Conv)</f>
        <v>0</v>
      </c>
      <c r="L375" s="11">
        <f>_xll.ciqfunctions.udf.CIQ(InputTicker, "IQ_TBV_SHARE_REPORTED",Input!N$2,Date,,,Ccy,Conv)</f>
        <v>0</v>
      </c>
      <c r="M375" s="11">
        <f>_xll.ciqfunctions.udf.CIQ(InputTicker, "IQ_TBV_SHARE_REPORTED",Input!O$2,Date,,,Ccy,Conv)</f>
        <v>0</v>
      </c>
      <c r="N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</row>
    <row r="376" spans="1:66" ht="12.75" customHeight="1" x14ac:dyDescent="0.2">
      <c r="A376" s="1" t="s">
        <v>284</v>
      </c>
      <c r="B376" s="4">
        <f>_xll.ciqfunctions.udf.CIQ(InputTicker, "IQ_TBV",Input!D$2,Date,,,Ccy,Conv)</f>
        <v>-1180.9829999999999</v>
      </c>
      <c r="C376" s="4">
        <f>_xll.ciqfunctions.udf.CIQ(InputTicker, "IQ_TBV",Input!E$2,Date,,,Ccy,Conv)</f>
        <v>-1277.579</v>
      </c>
      <c r="D376" s="4">
        <f>_xll.ciqfunctions.udf.CIQ(InputTicker, "IQ_TBV",Input!F$2,Date,,,Ccy,Conv)</f>
        <v>-1297.1590000000001</v>
      </c>
      <c r="E376" s="4">
        <f>_xll.ciqfunctions.udf.CIQ(InputTicker, "IQ_TBV",Input!G$2,Date,,,Ccy,Conv)</f>
        <v>-1192.845</v>
      </c>
      <c r="F376" s="4">
        <f>_xll.ciqfunctions.udf.CIQ(InputTicker, "IQ_TBV",Input!H$2,Date,,,Ccy,Conv)</f>
        <v>-1025.7909999999999</v>
      </c>
      <c r="G376" s="4">
        <f>_xll.ciqfunctions.udf.CIQ(InputTicker, "IQ_TBV",Input!I$2,Date,,,Ccy,Conv)</f>
        <v>-817.11199999999997</v>
      </c>
      <c r="H376" s="4">
        <f>_xll.ciqfunctions.udf.CIQ(InputTicker, "IQ_TBV",Input!J$2,Date,,,Ccy,Conv)</f>
        <v>-1622.5429999999999</v>
      </c>
      <c r="I376" s="4">
        <f>_xll.ciqfunctions.udf.CIQ(InputTicker, "IQ_TBV",Input!K$2,Date,,,Ccy,Conv)</f>
        <v>-2032.0119999999999</v>
      </c>
      <c r="J376" s="4">
        <f>_xll.ciqfunctions.udf.CIQ(InputTicker, "IQ_TBV",Input!L$2,Date,,,Ccy,Conv)</f>
        <v>-1898</v>
      </c>
      <c r="K376" s="4">
        <f>_xll.ciqfunctions.udf.CIQ(InputTicker, "IQ_TBV",Input!M$2,Date,,,Ccy,Conv)</f>
        <v>-1965</v>
      </c>
      <c r="L376" s="4">
        <f>_xll.ciqfunctions.udf.CIQ(InputTicker, "IQ_TBV",Input!N$2,Date,,,Ccy,Conv)</f>
        <v>-1803</v>
      </c>
      <c r="M376" s="4">
        <f>_xll.ciqfunctions.udf.CIQ(InputTicker, "IQ_TBV",Input!O$2,Date,,,Ccy,Conv)</f>
        <v>-1803</v>
      </c>
      <c r="N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</row>
    <row r="377" spans="1:66" ht="12.75" customHeight="1" x14ac:dyDescent="0.2">
      <c r="A377" s="1" t="s">
        <v>435</v>
      </c>
      <c r="B377" s="11">
        <f>_xll.ciqfunctions.udf.CIQ(InputTicker, "IQ_GW_INTAN",Input!D$2,Date,,,Ccy,Conv)</f>
        <v>1589.471</v>
      </c>
      <c r="C377" s="11">
        <f>_xll.ciqfunctions.udf.CIQ(InputTicker, "IQ_GW_INTAN",Input!E$2,Date,,,Ccy,Conv)</f>
        <v>1851.17</v>
      </c>
      <c r="D377" s="11">
        <f>_xll.ciqfunctions.udf.CIQ(InputTicker, "IQ_GW_INTAN",Input!F$2,Date,,,Ccy,Conv)</f>
        <v>1859.65</v>
      </c>
      <c r="E377" s="11">
        <f>_xll.ciqfunctions.udf.CIQ(InputTicker, "IQ_GW_INTAN",Input!G$2,Date,,,Ccy,Conv)</f>
        <v>1868.211</v>
      </c>
      <c r="F377" s="11">
        <f>_xll.ciqfunctions.udf.CIQ(InputTicker, "IQ_GW_INTAN",Input!H$2,Date,,,Ccy,Conv)</f>
        <v>1882.1469999999999</v>
      </c>
      <c r="G377" s="11">
        <f>_xll.ciqfunctions.udf.CIQ(InputTicker, "IQ_GW_INTAN",Input!I$2,Date,,,Ccy,Conv)</f>
        <v>1888.288</v>
      </c>
      <c r="H377" s="11">
        <f>_xll.ciqfunctions.udf.CIQ(InputTicker, "IQ_GW_INTAN",Input!J$2,Date,,,Ccy,Conv)</f>
        <v>2668.6129999999998</v>
      </c>
      <c r="I377" s="11">
        <f>_xll.ciqfunctions.udf.CIQ(InputTicker, "IQ_GW_INTAN",Input!K$2,Date,,,Ccy,Conv)</f>
        <v>3024.0140000000001</v>
      </c>
      <c r="J377" s="11">
        <f>_xll.ciqfunctions.udf.CIQ(InputTicker, "IQ_GW_INTAN",Input!L$2,Date,,,Ccy,Conv)</f>
        <v>2945</v>
      </c>
      <c r="K377" s="11">
        <f>_xll.ciqfunctions.udf.CIQ(InputTicker, "IQ_GW_INTAN",Input!M$2,Date,,,Ccy,Conv)</f>
        <v>2968</v>
      </c>
      <c r="L377" s="11">
        <f>_xll.ciqfunctions.udf.CIQ(InputTicker, "IQ_GW_INTAN",Input!N$2,Date,,,Ccy,Conv)</f>
        <v>2908</v>
      </c>
      <c r="M377" s="11">
        <f>_xll.ciqfunctions.udf.CIQ(InputTicker, "IQ_GW_INTAN",Input!O$2,Date,,,Ccy,Conv)</f>
        <v>2908</v>
      </c>
      <c r="N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</row>
    <row r="378" spans="1:66" ht="12.75" customHeight="1" x14ac:dyDescent="0.2">
      <c r="A378" s="1" t="s">
        <v>352</v>
      </c>
      <c r="B378" s="11">
        <f>_xll.ciqfunctions.udf.CIQ(InputTicker, "IQ_CASH_SHARE",Input!D$2,Date,,,Ccy,Conv)</f>
        <v>1.26715</v>
      </c>
      <c r="C378" s="11">
        <f>_xll.ciqfunctions.udf.CIQ(InputTicker, "IQ_CASH_SHARE",Input!E$2,Date,,,Ccy,Conv)</f>
        <v>1.46028</v>
      </c>
      <c r="D378" s="11">
        <f>_xll.ciqfunctions.udf.CIQ(InputTicker, "IQ_CASH_SHARE",Input!F$2,Date,,,Ccy,Conv)</f>
        <v>2.0004499999999998</v>
      </c>
      <c r="E378" s="11">
        <f>_xll.ciqfunctions.udf.CIQ(InputTicker, "IQ_CASH_SHARE",Input!G$2,Date,,,Ccy,Conv)</f>
        <v>2.0280999999999998</v>
      </c>
      <c r="F378" s="11">
        <f>_xll.ciqfunctions.udf.CIQ(InputTicker, "IQ_CASH_SHARE",Input!H$2,Date,,,Ccy,Conv)</f>
        <v>5.3481899999999998</v>
      </c>
      <c r="G378" s="11">
        <f>_xll.ciqfunctions.udf.CIQ(InputTicker, "IQ_CASH_SHARE",Input!I$2,Date,,,Ccy,Conv)</f>
        <v>7.2732799999999997</v>
      </c>
      <c r="H378" s="11">
        <f>_xll.ciqfunctions.udf.CIQ(InputTicker, "IQ_CASH_SHARE",Input!J$2,Date,,,Ccy,Conv)</f>
        <v>5.2488099999999998</v>
      </c>
      <c r="I378" s="11">
        <f>_xll.ciqfunctions.udf.CIQ(InputTicker, "IQ_CASH_SHARE",Input!K$2,Date,,,Ccy,Conv)</f>
        <v>3.07558</v>
      </c>
      <c r="J378" s="11">
        <f>_xll.ciqfunctions.udf.CIQ(InputTicker, "IQ_CASH_SHARE",Input!L$2,Date,,,Ccy,Conv)</f>
        <v>4.2732700000000001</v>
      </c>
      <c r="K378" s="11">
        <f>_xll.ciqfunctions.udf.CIQ(InputTicker, "IQ_CASH_SHARE",Input!M$2,Date,,,Ccy,Conv)</f>
        <v>7.0868599999999997</v>
      </c>
      <c r="L378" s="11">
        <f>_xll.ciqfunctions.udf.CIQ(InputTicker, "IQ_CASH_SHARE",Input!N$2,Date,,,Ccy,Conv)</f>
        <v>6.0494599999999998</v>
      </c>
      <c r="M378" s="11">
        <f>_xll.ciqfunctions.udf.CIQ(InputTicker, "IQ_CASH_SHARE",Input!O$2,Date,,,Ccy,Conv)</f>
        <v>6.0494599999999998</v>
      </c>
      <c r="N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</row>
    <row r="379" spans="1:66" ht="12.75" customHeight="1" x14ac:dyDescent="0.2">
      <c r="A379" s="1" t="s">
        <v>51</v>
      </c>
      <c r="B379" s="4">
        <f>_xll.ciqfunctions.udf.CIQ(InputTicker, "IQ_TOTAL_DEBT",Input!D$2,Date,,,Ccy,Conv)</f>
        <v>1677.261</v>
      </c>
      <c r="C379" s="4">
        <f>_xll.ciqfunctions.udf.CIQ(InputTicker, "IQ_TOTAL_DEBT",Input!E$2,Date,,,Ccy,Conv)</f>
        <v>1743.3240000000001</v>
      </c>
      <c r="D379" s="4">
        <f>_xll.ciqfunctions.udf.CIQ(InputTicker, "IQ_TOTAL_DEBT",Input!F$2,Date,,,Ccy,Conv)</f>
        <v>1898.579</v>
      </c>
      <c r="E379" s="4">
        <f>_xll.ciqfunctions.udf.CIQ(InputTicker, "IQ_TOTAL_DEBT",Input!G$2,Date,,,Ccy,Conv)</f>
        <v>1845.037</v>
      </c>
      <c r="F379" s="4">
        <f>_xll.ciqfunctions.udf.CIQ(InputTicker, "IQ_TOTAL_DEBT",Input!H$2,Date,,,Ccy,Conv)</f>
        <v>2561.7809999999999</v>
      </c>
      <c r="G379" s="4">
        <f>_xll.ciqfunctions.udf.CIQ(InputTicker, "IQ_TOTAL_DEBT",Input!I$2,Date,,,Ccy,Conv)</f>
        <v>2712.8580000000002</v>
      </c>
      <c r="H379" s="4">
        <f>_xll.ciqfunctions.udf.CIQ(InputTicker, "IQ_TOTAL_DEBT",Input!J$2,Date,,,Ccy,Conv)</f>
        <v>3103.8389999999999</v>
      </c>
      <c r="I379" s="4">
        <f>_xll.ciqfunctions.udf.CIQ(InputTicker, "IQ_TOTAL_DEBT",Input!K$2,Date,,,Ccy,Conv)</f>
        <v>3062.8960000000002</v>
      </c>
      <c r="J379" s="4">
        <f>_xll.ciqfunctions.udf.CIQ(InputTicker, "IQ_TOTAL_DEBT",Input!L$2,Date,,,Ccy,Conv)</f>
        <v>3637</v>
      </c>
      <c r="K379" s="4">
        <f>_xll.ciqfunctions.udf.CIQ(InputTicker, "IQ_TOTAL_DEBT",Input!M$2,Date,,,Ccy,Conv)</f>
        <v>4219</v>
      </c>
      <c r="L379" s="4">
        <f>_xll.ciqfunctions.udf.CIQ(InputTicker, "IQ_TOTAL_DEBT",Input!N$2,Date,,,Ccy,Conv)</f>
        <v>4122</v>
      </c>
      <c r="M379" s="4">
        <f>_xll.ciqfunctions.udf.CIQ(InputTicker, "IQ_TOTAL_DEBT",Input!O$2,Date,,,Ccy,Conv)</f>
        <v>4122</v>
      </c>
      <c r="N379" s="53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</row>
    <row r="380" spans="1:66" ht="12.75" customHeight="1" x14ac:dyDescent="0.2">
      <c r="A380" s="1" t="s">
        <v>377</v>
      </c>
      <c r="B380" s="4">
        <f>_xll.ciqfunctions.udf.CIQ(InputTicker, "IQ_TOTAL_DEBT_CURRENT",Input!D$2,Date,,,Ccy,Conv)</f>
        <v>192.81299999999999</v>
      </c>
      <c r="C380" s="4">
        <f>_xll.ciqfunctions.udf.CIQ(InputTicker, "IQ_TOTAL_DEBT_CURRENT",Input!E$2,Date,,,Ccy,Conv)</f>
        <v>273.14999999999998</v>
      </c>
      <c r="D380" s="4">
        <f>_xll.ciqfunctions.udf.CIQ(InputTicker, "IQ_TOTAL_DEBT_CURRENT",Input!F$2,Date,,,Ccy,Conv)</f>
        <v>143.1</v>
      </c>
      <c r="E380" s="4">
        <f>_xll.ciqfunctions.udf.CIQ(InputTicker, "IQ_TOTAL_DEBT_CURRENT",Input!G$2,Date,,,Ccy,Conv)</f>
        <v>138.85300000000001</v>
      </c>
      <c r="F380" s="4">
        <f>_xll.ciqfunctions.udf.CIQ(InputTicker, "IQ_TOTAL_DEBT_CURRENT",Input!H$2,Date,,,Ccy,Conv)</f>
        <v>245.71700000000001</v>
      </c>
      <c r="G380" s="4">
        <f>_xll.ciqfunctions.udf.CIQ(InputTicker, "IQ_TOTAL_DEBT_CURRENT",Input!I$2,Date,,,Ccy,Conv)</f>
        <v>149.98400000000001</v>
      </c>
      <c r="H380" s="4">
        <f>_xll.ciqfunctions.udf.CIQ(InputTicker, "IQ_TOTAL_DEBT_CURRENT",Input!J$2,Date,,,Ccy,Conv)</f>
        <v>125.03700000000001</v>
      </c>
      <c r="I380" s="4">
        <f>_xll.ciqfunctions.udf.CIQ(InputTicker, "IQ_TOTAL_DEBT_CURRENT",Input!K$2,Date,,,Ccy,Conv)</f>
        <v>92.488</v>
      </c>
      <c r="J380" s="4">
        <f>_xll.ciqfunctions.udf.CIQ(InputTicker, "IQ_TOTAL_DEBT_CURRENT",Input!L$2,Date,,,Ccy,Conv)</f>
        <v>105</v>
      </c>
      <c r="K380" s="4">
        <f>_xll.ciqfunctions.udf.CIQ(InputTicker, "IQ_TOTAL_DEBT_CURRENT",Input!M$2,Date,,,Ccy,Conv)</f>
        <v>124</v>
      </c>
      <c r="L380" s="4">
        <f>_xll.ciqfunctions.udf.CIQ(InputTicker, "IQ_TOTAL_DEBT_CURRENT",Input!N$2,Date,,,Ccy,Conv)</f>
        <v>62</v>
      </c>
      <c r="M380" s="4">
        <f>_xll.ciqfunctions.udf.CIQ(InputTicker, "IQ_TOTAL_DEBT_CURRENT",Input!O$2,Date,,,Ccy,Conv)</f>
        <v>62</v>
      </c>
      <c r="N380" s="53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</row>
    <row r="381" spans="1:66" ht="12.75" customHeight="1" x14ac:dyDescent="0.2">
      <c r="A381" s="1" t="s">
        <v>512</v>
      </c>
      <c r="B381" s="4">
        <f>_xll.ciqfunctions.udf.CIQ(InputTicker, "IQ_TOTAL_DEBT_NON_CURRENT",Input!D$2,Date,,,Ccy,Conv)</f>
        <v>1484.4480000000001</v>
      </c>
      <c r="C381" s="4">
        <f>_xll.ciqfunctions.udf.CIQ(InputTicker, "IQ_TOTAL_DEBT_NON_CURRENT",Input!E$2,Date,,,Ccy,Conv)</f>
        <v>1470.174</v>
      </c>
      <c r="D381" s="4">
        <f>_xll.ciqfunctions.udf.CIQ(InputTicker, "IQ_TOTAL_DEBT_NON_CURRENT",Input!F$2,Date,,,Ccy,Conv)</f>
        <v>1755.479</v>
      </c>
      <c r="E381" s="4">
        <f>_xll.ciqfunctions.udf.CIQ(InputTicker, "IQ_TOTAL_DEBT_NON_CURRENT",Input!G$2,Date,,,Ccy,Conv)</f>
        <v>1706.184</v>
      </c>
      <c r="F381" s="4">
        <f>_xll.ciqfunctions.udf.CIQ(InputTicker, "IQ_TOTAL_DEBT_NON_CURRENT",Input!H$2,Date,,,Ccy,Conv)</f>
        <v>2316.0639999999999</v>
      </c>
      <c r="G381" s="4">
        <f>_xll.ciqfunctions.udf.CIQ(InputTicker, "IQ_TOTAL_DEBT_NON_CURRENT",Input!I$2,Date,,,Ccy,Conv)</f>
        <v>2562.8739999999998</v>
      </c>
      <c r="H381" s="4">
        <f>_xll.ciqfunctions.udf.CIQ(InputTicker, "IQ_TOTAL_DEBT_NON_CURRENT",Input!J$2,Date,,,Ccy,Conv)</f>
        <v>2978.8020000000001</v>
      </c>
      <c r="I381" s="4">
        <f>_xll.ciqfunctions.udf.CIQ(InputTicker, "IQ_TOTAL_DEBT_NON_CURRENT",Input!K$2,Date,,,Ccy,Conv)</f>
        <v>2970.4079999999999</v>
      </c>
      <c r="J381" s="4">
        <f>_xll.ciqfunctions.udf.CIQ(InputTicker, "IQ_TOTAL_DEBT_NON_CURRENT",Input!L$2,Date,,,Ccy,Conv)</f>
        <v>3532</v>
      </c>
      <c r="K381" s="4">
        <f>_xll.ciqfunctions.udf.CIQ(InputTicker, "IQ_TOTAL_DEBT_NON_CURRENT",Input!M$2,Date,,,Ccy,Conv)</f>
        <v>4095</v>
      </c>
      <c r="L381" s="4">
        <f>_xll.ciqfunctions.udf.CIQ(InputTicker, "IQ_TOTAL_DEBT_NON_CURRENT",Input!N$2,Date,,,Ccy,Conv)</f>
        <v>4060</v>
      </c>
      <c r="M381" s="4">
        <f>_xll.ciqfunctions.udf.CIQ(InputTicker, "IQ_TOTAL_DEBT_NON_CURRENT",Input!O$2,Date,,,Ccy,Conv)</f>
        <v>4060</v>
      </c>
      <c r="N381" s="53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</row>
    <row r="382" spans="1:66" ht="12.75" customHeight="1" x14ac:dyDescent="0.2">
      <c r="A382" s="1" t="s">
        <v>102</v>
      </c>
      <c r="B382" s="4">
        <f>_xll.ciqfunctions.udf.CIQ(InputTicker, "IQ_NET_DEBT",Input!D$2,Date,,,Ccy,Conv)</f>
        <v>1489.732</v>
      </c>
      <c r="C382" s="4">
        <f>_xll.ciqfunctions.udf.CIQ(InputTicker, "IQ_NET_DEBT",Input!E$2,Date,,,Ccy,Conv)</f>
        <v>1525.9069999999999</v>
      </c>
      <c r="D382" s="4">
        <f>_xll.ciqfunctions.udf.CIQ(InputTicker, "IQ_NET_DEBT",Input!F$2,Date,,,Ccy,Conv)</f>
        <v>1610.921</v>
      </c>
      <c r="E382" s="4">
        <f>_xll.ciqfunctions.udf.CIQ(InputTicker, "IQ_NET_DEBT",Input!G$2,Date,,,Ccy,Conv)</f>
        <v>1559.2570000000001</v>
      </c>
      <c r="F382" s="4">
        <f>_xll.ciqfunctions.udf.CIQ(InputTicker, "IQ_NET_DEBT",Input!H$2,Date,,,Ccy,Conv)</f>
        <v>1819.88</v>
      </c>
      <c r="G382" s="4">
        <f>_xll.ciqfunctions.udf.CIQ(InputTicker, "IQ_NET_DEBT",Input!I$2,Date,,,Ccy,Conv)</f>
        <v>1721.903</v>
      </c>
      <c r="H382" s="4">
        <f>_xll.ciqfunctions.udf.CIQ(InputTicker, "IQ_NET_DEBT",Input!J$2,Date,,,Ccy,Conv)</f>
        <v>2407.9290000000001</v>
      </c>
      <c r="I382" s="4">
        <f>_xll.ciqfunctions.udf.CIQ(InputTicker, "IQ_NET_DEBT",Input!K$2,Date,,,Ccy,Conv)</f>
        <v>2646.7890000000002</v>
      </c>
      <c r="J382" s="4">
        <f>_xll.ciqfunctions.udf.CIQ(InputTicker, "IQ_NET_DEBT",Input!L$2,Date,,,Ccy,Conv)</f>
        <v>3083</v>
      </c>
      <c r="K382" s="4">
        <f>_xll.ciqfunctions.udf.CIQ(InputTicker, "IQ_NET_DEBT",Input!M$2,Date,,,Ccy,Conv)</f>
        <v>3334</v>
      </c>
      <c r="L382" s="4">
        <f>_xll.ciqfunctions.udf.CIQ(InputTicker, "IQ_NET_DEBT",Input!N$2,Date,,,Ccy,Conv)</f>
        <v>3394</v>
      </c>
      <c r="M382" s="4">
        <f>_xll.ciqfunctions.udf.CIQ(InputTicker, "IQ_NET_DEBT",Input!O$2,Date,,,Ccy,Conv)</f>
        <v>3394</v>
      </c>
      <c r="N382" s="53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</row>
    <row r="383" spans="1:66" ht="12.75" customHeight="1" x14ac:dyDescent="0.2">
      <c r="A383" s="1" t="s">
        <v>368</v>
      </c>
      <c r="B383" s="4">
        <f>_xll.ciqfunctions.udf.CIQ(InputTicker, "IQ_MINORITY_INTEREST_TOTAL",Input!D$2,Date,,,Ccy,Conv)</f>
        <v>0</v>
      </c>
      <c r="C383" s="4">
        <f>_xll.ciqfunctions.udf.CIQ(InputTicker, "IQ_MINORITY_INTEREST_TOTAL",Input!E$2,Date,,,Ccy,Conv)</f>
        <v>0</v>
      </c>
      <c r="D383" s="4">
        <f>_xll.ciqfunctions.udf.CIQ(InputTicker, "IQ_MINORITY_INTEREST_TOTAL",Input!F$2,Date,,,Ccy,Conv)</f>
        <v>0</v>
      </c>
      <c r="E383" s="4">
        <f>_xll.ciqfunctions.udf.CIQ(InputTicker, "IQ_MINORITY_INTEREST_TOTAL",Input!G$2,Date,,,Ccy,Conv)</f>
        <v>0</v>
      </c>
      <c r="F383" s="4">
        <f>_xll.ciqfunctions.udf.CIQ(InputTicker, "IQ_MINORITY_INTEREST_TOTAL",Input!H$2,Date,,,Ccy,Conv)</f>
        <v>0</v>
      </c>
      <c r="G383" s="4">
        <f>_xll.ciqfunctions.udf.CIQ(InputTicker, "IQ_MINORITY_INTEREST_TOTAL",Input!I$2,Date,,,Ccy,Conv)</f>
        <v>0</v>
      </c>
      <c r="H383" s="4">
        <f>_xll.ciqfunctions.udf.CIQ(InputTicker, "IQ_MINORITY_INTEREST_TOTAL",Input!J$2,Date,,,Ccy,Conv)</f>
        <v>0.65100000000000002</v>
      </c>
      <c r="I383" s="4">
        <f>_xll.ciqfunctions.udf.CIQ(InputTicker, "IQ_MINORITY_INTEREST_TOTAL",Input!K$2,Date,,,Ccy,Conv)</f>
        <v>0</v>
      </c>
      <c r="J383" s="4">
        <f>_xll.ciqfunctions.udf.CIQ(InputTicker, "IQ_MINORITY_INTEREST_TOTAL",Input!L$2,Date,,,Ccy,Conv)</f>
        <v>0</v>
      </c>
      <c r="K383" s="4">
        <f>_xll.ciqfunctions.udf.CIQ(InputTicker, "IQ_MINORITY_INTEREST_TOTAL",Input!M$2,Date,,,Ccy,Conv)</f>
        <v>0</v>
      </c>
      <c r="L383" s="4">
        <f>_xll.ciqfunctions.udf.CIQ(InputTicker, "IQ_MINORITY_INTEREST_TOTAL",Input!N$2,Date,,,Ccy,Conv)</f>
        <v>0</v>
      </c>
      <c r="M383" s="4">
        <f>_xll.ciqfunctions.udf.CIQ(InputTicker, "IQ_MINORITY_INTEREST_TOTAL",Input!O$2,Date,,,Ccy,Conv)</f>
        <v>0</v>
      </c>
      <c r="N383" s="53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</row>
    <row r="384" spans="1:66" ht="12.75" customHeight="1" x14ac:dyDescent="0.2">
      <c r="A384" s="1" t="s">
        <v>218</v>
      </c>
      <c r="B384" s="4">
        <f>_xll.ciqfunctions.udf.CIQ(InputTicker, "IQ_TOTAL_CAP",Input!D$2,Date,,,Ccy,Conv)</f>
        <v>2085.7489999999998</v>
      </c>
      <c r="C384" s="4">
        <f>_xll.ciqfunctions.udf.CIQ(InputTicker, "IQ_TOTAL_CAP",Input!E$2,Date,,,Ccy,Conv)</f>
        <v>2316.915</v>
      </c>
      <c r="D384" s="4">
        <f>_xll.ciqfunctions.udf.CIQ(InputTicker, "IQ_TOTAL_CAP",Input!F$2,Date,,,Ccy,Conv)</f>
        <v>2461.0700000000002</v>
      </c>
      <c r="E384" s="4">
        <f>_xll.ciqfunctions.udf.CIQ(InputTicker, "IQ_TOTAL_CAP",Input!G$2,Date,,,Ccy,Conv)</f>
        <v>2520.4029999999998</v>
      </c>
      <c r="F384" s="4">
        <f>_xll.ciqfunctions.udf.CIQ(InputTicker, "IQ_TOTAL_CAP",Input!H$2,Date,,,Ccy,Conv)</f>
        <v>3418.1370000000002</v>
      </c>
      <c r="G384" s="4">
        <f>_xll.ciqfunctions.udf.CIQ(InputTicker, "IQ_TOTAL_CAP",Input!I$2,Date,,,Ccy,Conv)</f>
        <v>3784.0340000000001</v>
      </c>
      <c r="H384" s="4">
        <f>_xll.ciqfunctions.udf.CIQ(InputTicker, "IQ_TOTAL_CAP",Input!J$2,Date,,,Ccy,Conv)</f>
        <v>4150.5600000000004</v>
      </c>
      <c r="I384" s="4">
        <f>_xll.ciqfunctions.udf.CIQ(InputTicker, "IQ_TOTAL_CAP",Input!K$2,Date,,,Ccy,Conv)</f>
        <v>4054.8980000000001</v>
      </c>
      <c r="J384" s="4">
        <f>_xll.ciqfunctions.udf.CIQ(InputTicker, "IQ_TOTAL_CAP",Input!L$2,Date,,,Ccy,Conv)</f>
        <v>4684</v>
      </c>
      <c r="K384" s="4">
        <f>_xll.ciqfunctions.udf.CIQ(InputTicker, "IQ_TOTAL_CAP",Input!M$2,Date,,,Ccy,Conv)</f>
        <v>5222</v>
      </c>
      <c r="L384" s="4">
        <f>_xll.ciqfunctions.udf.CIQ(InputTicker, "IQ_TOTAL_CAP",Input!N$2,Date,,,Ccy,Conv)</f>
        <v>5227</v>
      </c>
      <c r="M384" s="4">
        <f>_xll.ciqfunctions.udf.CIQ(InputTicker, "IQ_TOTAL_CAP",Input!O$2,Date,,,Ccy,Conv)</f>
        <v>5227</v>
      </c>
      <c r="N384" s="53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</row>
    <row r="385" spans="1:66" ht="12.75" customHeight="1" x14ac:dyDescent="0.2">
      <c r="A385" s="1" t="s">
        <v>353</v>
      </c>
      <c r="B385" s="4">
        <f>_xll.ciqfunctions.udf.CIQ(InputTicker, "IQ_WORKING_CAP",Input!D$2,Date,,,Ccy,Conv)</f>
        <v>249.858</v>
      </c>
      <c r="C385" s="4">
        <f>_xll.ciqfunctions.udf.CIQ(InputTicker, "IQ_WORKING_CAP",Input!E$2,Date,,,Ccy,Conv)</f>
        <v>193.07900000000001</v>
      </c>
      <c r="D385" s="4">
        <f>_xll.ciqfunctions.udf.CIQ(InputTicker, "IQ_WORKING_CAP",Input!F$2,Date,,,Ccy,Conv)</f>
        <v>463.20499999999998</v>
      </c>
      <c r="E385" s="4">
        <f>_xll.ciqfunctions.udf.CIQ(InputTicker, "IQ_WORKING_CAP",Input!G$2,Date,,,Ccy,Conv)</f>
        <v>520.101</v>
      </c>
      <c r="F385" s="4">
        <f>_xll.ciqfunctions.udf.CIQ(InputTicker, "IQ_WORKING_CAP",Input!H$2,Date,,,Ccy,Conv)</f>
        <v>1000.51</v>
      </c>
      <c r="G385" s="4">
        <f>_xll.ciqfunctions.udf.CIQ(InputTicker, "IQ_WORKING_CAP",Input!I$2,Date,,,Ccy,Conv)</f>
        <v>1345.067</v>
      </c>
      <c r="H385" s="4">
        <f>_xll.ciqfunctions.udf.CIQ(InputTicker, "IQ_WORKING_CAP",Input!J$2,Date,,,Ccy,Conv)</f>
        <v>911.72199999999998</v>
      </c>
      <c r="I385" s="4">
        <f>_xll.ciqfunctions.udf.CIQ(InputTicker, "IQ_WORKING_CAP",Input!K$2,Date,,,Ccy,Conv)</f>
        <v>391.00400000000002</v>
      </c>
      <c r="J385" s="4">
        <f>_xll.ciqfunctions.udf.CIQ(InputTicker, "IQ_WORKING_CAP",Input!L$2,Date,,,Ccy,Conv)</f>
        <v>1047</v>
      </c>
      <c r="K385" s="4">
        <f>_xll.ciqfunctions.udf.CIQ(InputTicker, "IQ_WORKING_CAP",Input!M$2,Date,,,Ccy,Conv)</f>
        <v>1467</v>
      </c>
      <c r="L385" s="4">
        <f>_xll.ciqfunctions.udf.CIQ(InputTicker, "IQ_WORKING_CAP",Input!N$2,Date,,,Ccy,Conv)</f>
        <v>1298</v>
      </c>
      <c r="M385" s="4">
        <f>_xll.ciqfunctions.udf.CIQ(InputTicker, "IQ_WORKING_CAP",Input!O$2,Date,,,Ccy,Conv)</f>
        <v>1298</v>
      </c>
      <c r="N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</row>
    <row r="386" spans="1:66" ht="12.75" customHeight="1" x14ac:dyDescent="0.2">
      <c r="A386" s="1" t="s">
        <v>354</v>
      </c>
      <c r="B386" s="4">
        <f>_xll.ciqfunctions.udf.CIQ(InputTicker, "IQ_NET_WORKING_CAP",Input!D$2,Date,,,Ccy,Conv)</f>
        <v>255.142</v>
      </c>
      <c r="C386" s="4">
        <f>_xll.ciqfunctions.udf.CIQ(InputTicker, "IQ_NET_WORKING_CAP",Input!E$2,Date,,,Ccy,Conv)</f>
        <v>248.81200000000001</v>
      </c>
      <c r="D386" s="4">
        <f>_xll.ciqfunctions.udf.CIQ(InputTicker, "IQ_NET_WORKING_CAP",Input!F$2,Date,,,Ccy,Conv)</f>
        <v>318.64699999999999</v>
      </c>
      <c r="E386" s="4">
        <f>_xll.ciqfunctions.udf.CIQ(InputTicker, "IQ_NET_WORKING_CAP",Input!G$2,Date,,,Ccy,Conv)</f>
        <v>373.17399999999998</v>
      </c>
      <c r="F386" s="4">
        <f>_xll.ciqfunctions.udf.CIQ(InputTicker, "IQ_NET_WORKING_CAP",Input!H$2,Date,,,Ccy,Conv)</f>
        <v>504.32600000000002</v>
      </c>
      <c r="G386" s="4">
        <f>_xll.ciqfunctions.udf.CIQ(InputTicker, "IQ_NET_WORKING_CAP",Input!I$2,Date,,,Ccy,Conv)</f>
        <v>504.096</v>
      </c>
      <c r="H386" s="4">
        <f>_xll.ciqfunctions.udf.CIQ(InputTicker, "IQ_NET_WORKING_CAP",Input!J$2,Date,,,Ccy,Conv)</f>
        <v>340.84899999999999</v>
      </c>
      <c r="I386" s="4">
        <f>_xll.ciqfunctions.udf.CIQ(InputTicker, "IQ_NET_WORKING_CAP",Input!K$2,Date,,,Ccy,Conv)</f>
        <v>67.385000000000005</v>
      </c>
      <c r="J386" s="4">
        <f>_xll.ciqfunctions.udf.CIQ(InputTicker, "IQ_NET_WORKING_CAP",Input!L$2,Date,,,Ccy,Conv)</f>
        <v>598</v>
      </c>
      <c r="K386" s="4">
        <f>_xll.ciqfunctions.udf.CIQ(InputTicker, "IQ_NET_WORKING_CAP",Input!M$2,Date,,,Ccy,Conv)</f>
        <v>706</v>
      </c>
      <c r="L386" s="4">
        <f>_xll.ciqfunctions.udf.CIQ(InputTicker, "IQ_NET_WORKING_CAP",Input!N$2,Date,,,Ccy,Conv)</f>
        <v>632</v>
      </c>
      <c r="M386" s="4">
        <f>_xll.ciqfunctions.udf.CIQ(InputTicker, "IQ_NET_WORKING_CAP",Input!O$2,Date,,,Ccy,Conv)</f>
        <v>632</v>
      </c>
      <c r="N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</row>
    <row r="387" spans="1:66" ht="12.75" customHeight="1" x14ac:dyDescent="0.2">
      <c r="A387" s="1" t="s">
        <v>367</v>
      </c>
      <c r="B387" s="4">
        <f>_xll.ciqfunctions.udf.CIQ(InputTicker, "IQ_ALLOW_DOUBT_ACCT",Input!D$2,Date,,,Ccy,Conv)</f>
        <v>0.65600000000000003</v>
      </c>
      <c r="C387" s="4">
        <f>_xll.ciqfunctions.udf.CIQ(InputTicker, "IQ_ALLOW_DOUBT_ACCT",Input!E$2,Date,,,Ccy,Conv)</f>
        <v>0</v>
      </c>
      <c r="D387" s="4">
        <f>_xll.ciqfunctions.udf.CIQ(InputTicker, "IQ_ALLOW_DOUBT_ACCT",Input!F$2,Date,,,Ccy,Conv)</f>
        <v>7.6999999999999999E-2</v>
      </c>
      <c r="E387" s="4">
        <f>_xll.ciqfunctions.udf.CIQ(InputTicker, "IQ_ALLOW_DOUBT_ACCT",Input!G$2,Date,,,Ccy,Conv)</f>
        <v>10.679</v>
      </c>
      <c r="F387" s="4">
        <f>_xll.ciqfunctions.udf.CIQ(InputTicker, "IQ_ALLOW_DOUBT_ACCT",Input!H$2,Date,,,Ccy,Conv)</f>
        <v>3.9849999999999999</v>
      </c>
      <c r="G387" s="4">
        <f>_xll.ciqfunctions.udf.CIQ(InputTicker, "IQ_ALLOW_DOUBT_ACCT",Input!I$2,Date,,,Ccy,Conv)</f>
        <v>1.4570000000000001</v>
      </c>
      <c r="H387" s="4">
        <f>_xll.ciqfunctions.udf.CIQ(InputTicker, "IQ_ALLOW_DOUBT_ACCT",Input!J$2,Date,,,Ccy,Conv)</f>
        <v>0</v>
      </c>
      <c r="I387" s="4">
        <f>_xll.ciqfunctions.udf.CIQ(InputTicker, "IQ_ALLOW_DOUBT_ACCT",Input!K$2,Date,,,Ccy,Conv)</f>
        <v>0.318</v>
      </c>
      <c r="J387" s="4">
        <f>_xll.ciqfunctions.udf.CIQ(InputTicker, "IQ_ALLOW_DOUBT_ACCT",Input!L$2,Date,,,Ccy,Conv)</f>
        <v>0</v>
      </c>
      <c r="K387" s="4">
        <f>_xll.ciqfunctions.udf.CIQ(InputTicker, "IQ_ALLOW_DOUBT_ACCT",Input!M$2,Date,,,Ccy,Conv)</f>
        <v>1</v>
      </c>
      <c r="L387" s="4">
        <f>_xll.ciqfunctions.udf.CIQ(InputTicker, "IQ_ALLOW_DOUBT_ACCT",Input!N$2,Date,,,Ccy,Conv)</f>
        <v>1</v>
      </c>
      <c r="M387" s="4">
        <f>_xll.ciqfunctions.udf.CIQ(InputTicker, "IQ_ALLOW_DOUBT_ACCT",Input!O$2,Date,,,Ccy,Conv)</f>
        <v>1</v>
      </c>
      <c r="N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</row>
    <row r="388" spans="1:66" ht="12.75" customHeight="1" x14ac:dyDescent="0.2">
      <c r="A388" s="1" t="s">
        <v>355</v>
      </c>
      <c r="B388" s="4">
        <f>_xll.ciqfunctions.udf.CIQ(InputTicker, "IQ_EQUITY_METHOD",Input!D$2,Date,,,Ccy,Conv)</f>
        <v>0</v>
      </c>
      <c r="C388" s="4">
        <f>_xll.ciqfunctions.udf.CIQ(InputTicker, "IQ_EQUITY_METHOD",Input!E$2,Date,,,Ccy,Conv)</f>
        <v>0</v>
      </c>
      <c r="D388" s="4">
        <f>_xll.ciqfunctions.udf.CIQ(InputTicker, "IQ_EQUITY_METHOD",Input!F$2,Date,,,Ccy,Conv)</f>
        <v>0</v>
      </c>
      <c r="E388" s="4">
        <f>_xll.ciqfunctions.udf.CIQ(InputTicker, "IQ_EQUITY_METHOD",Input!G$2,Date,,,Ccy,Conv)</f>
        <v>0</v>
      </c>
      <c r="F388" s="4">
        <f>_xll.ciqfunctions.udf.CIQ(InputTicker, "IQ_EQUITY_METHOD",Input!H$2,Date,,,Ccy,Conv)</f>
        <v>0</v>
      </c>
      <c r="G388" s="4">
        <f>_xll.ciqfunctions.udf.CIQ(InputTicker, "IQ_EQUITY_METHOD",Input!I$2,Date,,,Ccy,Conv)</f>
        <v>0</v>
      </c>
      <c r="H388" s="4">
        <f>_xll.ciqfunctions.udf.CIQ(InputTicker, "IQ_EQUITY_METHOD",Input!J$2,Date,,,Ccy,Conv)</f>
        <v>0</v>
      </c>
      <c r="I388" s="4">
        <f>_xll.ciqfunctions.udf.CIQ(InputTicker, "IQ_EQUITY_METHOD",Input!K$2,Date,,,Ccy,Conv)</f>
        <v>0</v>
      </c>
      <c r="J388" s="4">
        <f>_xll.ciqfunctions.udf.CIQ(InputTicker, "IQ_EQUITY_METHOD",Input!L$2,Date,,,Ccy,Conv)</f>
        <v>42</v>
      </c>
      <c r="K388" s="4">
        <f>_xll.ciqfunctions.udf.CIQ(InputTicker, "IQ_EQUITY_METHOD",Input!M$2,Date,,,Ccy,Conv)</f>
        <v>5</v>
      </c>
      <c r="L388" s="4">
        <f>_xll.ciqfunctions.udf.CIQ(InputTicker, "IQ_EQUITY_METHOD",Input!N$2,Date,,,Ccy,Conv)</f>
        <v>184</v>
      </c>
      <c r="M388" s="4">
        <f>_xll.ciqfunctions.udf.CIQ(InputTicker, "IQ_EQUITY_METHOD",Input!O$2,Date,,,Ccy,Conv)</f>
        <v>184</v>
      </c>
      <c r="N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</row>
    <row r="389" spans="1:66" ht="12.75" customHeight="1" x14ac:dyDescent="0.2">
      <c r="A389" s="1" t="s">
        <v>43</v>
      </c>
      <c r="B389" s="4">
        <f>_xll.ciqfunctions.udf.CIQ(InputTicker, "IQ_AR_UNBILLED",Input!D$2,Date,,,Ccy,Conv)</f>
        <v>584.27499999999998</v>
      </c>
      <c r="C389" s="4">
        <f>_xll.ciqfunctions.udf.CIQ(InputTicker, "IQ_AR_UNBILLED",Input!E$2,Date,,,Ccy,Conv)</f>
        <v>651.09400000000005</v>
      </c>
      <c r="D389" s="4">
        <f>_xll.ciqfunctions.udf.CIQ(InputTicker, "IQ_AR_UNBILLED",Input!F$2,Date,,,Ccy,Conv)</f>
        <v>738.64599999999996</v>
      </c>
      <c r="E389" s="4">
        <f>_xll.ciqfunctions.udf.CIQ(InputTicker, "IQ_AR_UNBILLED",Input!G$2,Date,,,Ccy,Conv)</f>
        <v>846.37199999999996</v>
      </c>
      <c r="F389" s="4">
        <f>_xll.ciqfunctions.udf.CIQ(InputTicker, "IQ_AR_UNBILLED",Input!H$2,Date,,,Ccy,Conv)</f>
        <v>988.63400000000001</v>
      </c>
      <c r="G389" s="4">
        <f>_xll.ciqfunctions.udf.CIQ(InputTicker, "IQ_AR_UNBILLED",Input!I$2,Date,,,Ccy,Conv)</f>
        <v>1037.9680000000001</v>
      </c>
      <c r="H389" s="4">
        <f>_xll.ciqfunctions.udf.CIQ(InputTicker, "IQ_AR_UNBILLED",Input!J$2,Date,,,Ccy,Conv)</f>
        <v>1157.6669999999999</v>
      </c>
      <c r="I389" s="4">
        <f>_xll.ciqfunctions.udf.CIQ(InputTicker, "IQ_AR_UNBILLED",Input!K$2,Date,,,Ccy,Conv)</f>
        <v>1223.482</v>
      </c>
      <c r="J389" s="4">
        <f>_xll.ciqfunctions.udf.CIQ(InputTicker, "IQ_AR_UNBILLED",Input!L$2,Date,,,Ccy,Conv)</f>
        <v>1347</v>
      </c>
      <c r="K389" s="4">
        <f>_xll.ciqfunctions.udf.CIQ(InputTicker, "IQ_AR_UNBILLED",Input!M$2,Date,,,Ccy,Conv)</f>
        <v>1491</v>
      </c>
      <c r="L389" s="4">
        <f>_xll.ciqfunctions.udf.CIQ(InputTicker, "IQ_AR_UNBILLED",Input!N$2,Date,,,Ccy,Conv)</f>
        <v>1509</v>
      </c>
      <c r="M389" s="4">
        <f>_xll.ciqfunctions.udf.CIQ(InputTicker, "IQ_AR_UNBILLED",Input!O$2,Date,,,Ccy,Conv)</f>
        <v>1509</v>
      </c>
      <c r="N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</row>
    <row r="390" spans="1:66" ht="12.75" customHeight="1" x14ac:dyDescent="0.2">
      <c r="A390" s="1" t="s">
        <v>356</v>
      </c>
      <c r="B390" s="4" t="str">
        <f>_xll.ciqfunctions.udf.CIQ(InputTicker, "IQ_INV_METHOD",Input!D$2,Date)</f>
        <v>NA</v>
      </c>
      <c r="C390" s="4" t="str">
        <f>_xll.ciqfunctions.udf.CIQ(InputTicker, "IQ_INV_METHOD",Input!E$2,Date)</f>
        <v>NA</v>
      </c>
      <c r="D390" s="4" t="str">
        <f>_xll.ciqfunctions.udf.CIQ(InputTicker, "IQ_INV_METHOD",Input!F$2,Date)</f>
        <v>NA</v>
      </c>
      <c r="E390" s="4" t="str">
        <f>_xll.ciqfunctions.udf.CIQ(InputTicker, "IQ_INV_METHOD",Input!G$2,Date)</f>
        <v>NA</v>
      </c>
      <c r="F390" s="4" t="str">
        <f>_xll.ciqfunctions.udf.CIQ(InputTicker, "IQ_INV_METHOD",Input!H$2,Date)</f>
        <v>NA</v>
      </c>
      <c r="G390" s="4" t="str">
        <f>_xll.ciqfunctions.udf.CIQ(InputTicker, "IQ_INV_METHOD",Input!I$2,Date)</f>
        <v>NA</v>
      </c>
      <c r="H390" s="4" t="str">
        <f>_xll.ciqfunctions.udf.CIQ(InputTicker, "IQ_INV_METHOD",Input!J$2,Date)</f>
        <v>NA</v>
      </c>
      <c r="I390" s="4" t="str">
        <f>_xll.ciqfunctions.udf.CIQ(InputTicker, "IQ_INV_METHOD",Input!K$2,Date)</f>
        <v>NA</v>
      </c>
      <c r="J390" s="4" t="str">
        <f>_xll.ciqfunctions.udf.CIQ(InputTicker, "IQ_INV_METHOD",Input!L$2,Date)</f>
        <v>NA</v>
      </c>
      <c r="K390" s="4" t="str">
        <f>_xll.ciqfunctions.udf.CIQ(InputTicker, "IQ_INV_METHOD",Input!M$2,Date)</f>
        <v>NA</v>
      </c>
      <c r="L390" s="4" t="str">
        <f>_xll.ciqfunctions.udf.CIQ(InputTicker, "IQ_INV_METHOD",Input!N$2,Date)</f>
        <v>NA</v>
      </c>
      <c r="M390" s="4" t="str">
        <f>_xll.ciqfunctions.udf.CIQ(InputTicker, "IQ_INV_METHOD",Input!O$2,Date)</f>
        <v>NA</v>
      </c>
      <c r="N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</row>
    <row r="391" spans="1:66" ht="12.75" customHeight="1" x14ac:dyDescent="0.2">
      <c r="A391" s="1" t="s">
        <v>219</v>
      </c>
      <c r="B391" s="4">
        <f>_xll.ciqfunctions.udf.CIQ(InputTicker, "IQ_LIFOR",Input!D$2,Date,,,Ccy,Conv)</f>
        <v>0</v>
      </c>
      <c r="C391" s="4">
        <f>_xll.ciqfunctions.udf.CIQ(InputTicker, "IQ_LIFOR",Input!E$2,Date,,,Ccy,Conv)</f>
        <v>0</v>
      </c>
      <c r="D391" s="4">
        <f>_xll.ciqfunctions.udf.CIQ(InputTicker, "IQ_LIFOR",Input!F$2,Date,,,Ccy,Conv)</f>
        <v>0</v>
      </c>
      <c r="E391" s="4">
        <f>_xll.ciqfunctions.udf.CIQ(InputTicker, "IQ_LIFOR",Input!G$2,Date,,,Ccy,Conv)</f>
        <v>0</v>
      </c>
      <c r="F391" s="4">
        <f>_xll.ciqfunctions.udf.CIQ(InputTicker, "IQ_LIFOR",Input!H$2,Date,,,Ccy,Conv)</f>
        <v>0</v>
      </c>
      <c r="G391" s="4">
        <f>_xll.ciqfunctions.udf.CIQ(InputTicker, "IQ_LIFOR",Input!I$2,Date,,,Ccy,Conv)</f>
        <v>0</v>
      </c>
      <c r="H391" s="4">
        <f>_xll.ciqfunctions.udf.CIQ(InputTicker, "IQ_LIFOR",Input!J$2,Date,,,Ccy,Conv)</f>
        <v>0</v>
      </c>
      <c r="I391" s="4">
        <f>_xll.ciqfunctions.udf.CIQ(InputTicker, "IQ_LIFOR",Input!K$2,Date,,,Ccy,Conv)</f>
        <v>0</v>
      </c>
      <c r="J391" s="4">
        <f>_xll.ciqfunctions.udf.CIQ(InputTicker, "IQ_LIFOR",Input!L$2,Date,,,Ccy,Conv)</f>
        <v>0</v>
      </c>
      <c r="K391" s="4">
        <f>_xll.ciqfunctions.udf.CIQ(InputTicker, "IQ_LIFOR",Input!M$2,Date,,,Ccy,Conv)</f>
        <v>0</v>
      </c>
      <c r="L391" s="4">
        <f>_xll.ciqfunctions.udf.CIQ(InputTicker, "IQ_LIFOR",Input!N$2,Date,,,Ccy,Conv)</f>
        <v>0</v>
      </c>
      <c r="M391" s="4">
        <f>_xll.ciqfunctions.udf.CIQ(InputTicker, "IQ_LIFOR",Input!O$2,Date,,,Ccy,Conv)</f>
        <v>0</v>
      </c>
      <c r="N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</row>
    <row r="392" spans="1:66" ht="12.75" customHeight="1" x14ac:dyDescent="0.2">
      <c r="A392" s="1" t="s">
        <v>220</v>
      </c>
      <c r="B392" s="4">
        <f>_xll.ciqfunctions.udf.CIQ(InputTicker,"IQ_RAW_INV",Input!D$2,Date,,,Ccy,Conv)</f>
        <v>0</v>
      </c>
      <c r="C392" s="4">
        <f>_xll.ciqfunctions.udf.CIQ(InputTicker,"IQ_RAW_INV",Input!E$2,Date,,,Ccy,Conv)</f>
        <v>0</v>
      </c>
      <c r="D392" s="4">
        <f>_xll.ciqfunctions.udf.CIQ(InputTicker,"IQ_RAW_INV",Input!F$2,Date,,,Ccy,Conv)</f>
        <v>0</v>
      </c>
      <c r="E392" s="4">
        <f>_xll.ciqfunctions.udf.CIQ(InputTicker,"IQ_RAW_INV",Input!G$2,Date,,,Ccy,Conv)</f>
        <v>0</v>
      </c>
      <c r="F392" s="4">
        <f>_xll.ciqfunctions.udf.CIQ(InputTicker,"IQ_RAW_INV",Input!H$2,Date,,,Ccy,Conv)</f>
        <v>0</v>
      </c>
      <c r="G392" s="4">
        <f>_xll.ciqfunctions.udf.CIQ(InputTicker,"IQ_RAW_INV",Input!I$2,Date,,,Ccy,Conv)</f>
        <v>0</v>
      </c>
      <c r="H392" s="4">
        <f>_xll.ciqfunctions.udf.CIQ(InputTicker,"IQ_RAW_INV",Input!J$2,Date,,,Ccy,Conv)</f>
        <v>0</v>
      </c>
      <c r="I392" s="4">
        <f>_xll.ciqfunctions.udf.CIQ(InputTicker,"IQ_RAW_INV",Input!K$2,Date,,,Ccy,Conv)</f>
        <v>0</v>
      </c>
      <c r="J392" s="4">
        <f>_xll.ciqfunctions.udf.CIQ(InputTicker,"IQ_RAW_INV",Input!L$2,Date,,,Ccy,Conv)</f>
        <v>0</v>
      </c>
      <c r="K392" s="4">
        <f>_xll.ciqfunctions.udf.CIQ(InputTicker,"IQ_RAW_INV",Input!M$2,Date,,,Ccy,Conv)</f>
        <v>0</v>
      </c>
      <c r="L392" s="4">
        <f>_xll.ciqfunctions.udf.CIQ(InputTicker,"IQ_RAW_INV",Input!N$2,Date,,,Ccy,Conv)</f>
        <v>0</v>
      </c>
      <c r="M392" s="4">
        <f>_xll.ciqfunctions.udf.CIQ(InputTicker,"IQ_RAW_INV",Input!O$2,Date,,,Ccy,Conv)</f>
        <v>0</v>
      </c>
      <c r="N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</row>
    <row r="393" spans="1:66" ht="12.75" customHeight="1" x14ac:dyDescent="0.2">
      <c r="A393" s="1" t="s">
        <v>221</v>
      </c>
      <c r="B393" s="4">
        <f>_xll.ciqfunctions.udf.CIQ(InputTicker, "IQ_WIP_INV",Input!D$2,Date,,,Ccy,Conv)</f>
        <v>0</v>
      </c>
      <c r="C393" s="4">
        <f>_xll.ciqfunctions.udf.CIQ(InputTicker, "IQ_WIP_INV",Input!E$2,Date,,,Ccy,Conv)</f>
        <v>0</v>
      </c>
      <c r="D393" s="4">
        <f>_xll.ciqfunctions.udf.CIQ(InputTicker, "IQ_WIP_INV",Input!F$2,Date,,,Ccy,Conv)</f>
        <v>0</v>
      </c>
      <c r="E393" s="4">
        <f>_xll.ciqfunctions.udf.CIQ(InputTicker, "IQ_WIP_INV",Input!G$2,Date,,,Ccy,Conv)</f>
        <v>0</v>
      </c>
      <c r="F393" s="4">
        <f>_xll.ciqfunctions.udf.CIQ(InputTicker, "IQ_WIP_INV",Input!H$2,Date,,,Ccy,Conv)</f>
        <v>0</v>
      </c>
      <c r="G393" s="4">
        <f>_xll.ciqfunctions.udf.CIQ(InputTicker, "IQ_WIP_INV",Input!I$2,Date,,,Ccy,Conv)</f>
        <v>0</v>
      </c>
      <c r="H393" s="4">
        <f>_xll.ciqfunctions.udf.CIQ(InputTicker, "IQ_WIP_INV",Input!J$2,Date,,,Ccy,Conv)</f>
        <v>0</v>
      </c>
      <c r="I393" s="4">
        <f>_xll.ciqfunctions.udf.CIQ(InputTicker, "IQ_WIP_INV",Input!K$2,Date,,,Ccy,Conv)</f>
        <v>0</v>
      </c>
      <c r="J393" s="4">
        <f>_xll.ciqfunctions.udf.CIQ(InputTicker, "IQ_WIP_INV",Input!L$2,Date,,,Ccy,Conv)</f>
        <v>0</v>
      </c>
      <c r="K393" s="4">
        <f>_xll.ciqfunctions.udf.CIQ(InputTicker, "IQ_WIP_INV",Input!M$2,Date,,,Ccy,Conv)</f>
        <v>0</v>
      </c>
      <c r="L393" s="4">
        <f>_xll.ciqfunctions.udf.CIQ(InputTicker, "IQ_WIP_INV",Input!N$2,Date,,,Ccy,Conv)</f>
        <v>0</v>
      </c>
      <c r="M393" s="4">
        <f>_xll.ciqfunctions.udf.CIQ(InputTicker, "IQ_WIP_INV",Input!O$2,Date,,,Ccy,Conv)</f>
        <v>0</v>
      </c>
      <c r="N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</row>
    <row r="394" spans="1:66" ht="12.75" customHeight="1" x14ac:dyDescent="0.2">
      <c r="A394" s="1" t="s">
        <v>222</v>
      </c>
      <c r="B394" s="4">
        <f>_xll.ciqfunctions.udf.CIQ(InputTicker, "IQ_FINISHED_INV",Input!D$2,Date,,,Ccy,Conv)</f>
        <v>0</v>
      </c>
      <c r="C394" s="4">
        <f>_xll.ciqfunctions.udf.CIQ(InputTicker, "IQ_FINISHED_INV",Input!E$2,Date,,,Ccy,Conv)</f>
        <v>0</v>
      </c>
      <c r="D394" s="4">
        <f>_xll.ciqfunctions.udf.CIQ(InputTicker, "IQ_FINISHED_INV",Input!F$2,Date,,,Ccy,Conv)</f>
        <v>0</v>
      </c>
      <c r="E394" s="4">
        <f>_xll.ciqfunctions.udf.CIQ(InputTicker, "IQ_FINISHED_INV",Input!G$2,Date,,,Ccy,Conv)</f>
        <v>0</v>
      </c>
      <c r="F394" s="4">
        <f>_xll.ciqfunctions.udf.CIQ(InputTicker, "IQ_FINISHED_INV",Input!H$2,Date,,,Ccy,Conv)</f>
        <v>0</v>
      </c>
      <c r="G394" s="4">
        <f>_xll.ciqfunctions.udf.CIQ(InputTicker, "IQ_FINISHED_INV",Input!I$2,Date,,,Ccy,Conv)</f>
        <v>0</v>
      </c>
      <c r="H394" s="4">
        <f>_xll.ciqfunctions.udf.CIQ(InputTicker, "IQ_FINISHED_INV",Input!J$2,Date,,,Ccy,Conv)</f>
        <v>0</v>
      </c>
      <c r="I394" s="4">
        <f>_xll.ciqfunctions.udf.CIQ(InputTicker, "IQ_FINISHED_INV",Input!K$2,Date,,,Ccy,Conv)</f>
        <v>0</v>
      </c>
      <c r="J394" s="4">
        <f>_xll.ciqfunctions.udf.CIQ(InputTicker, "IQ_FINISHED_INV",Input!L$2,Date,,,Ccy,Conv)</f>
        <v>0</v>
      </c>
      <c r="K394" s="4">
        <f>_xll.ciqfunctions.udf.CIQ(InputTicker, "IQ_FINISHED_INV",Input!M$2,Date,,,Ccy,Conv)</f>
        <v>0</v>
      </c>
      <c r="L394" s="4">
        <f>_xll.ciqfunctions.udf.CIQ(InputTicker, "IQ_FINISHED_INV",Input!N$2,Date,,,Ccy,Conv)</f>
        <v>0</v>
      </c>
      <c r="M394" s="4">
        <f>_xll.ciqfunctions.udf.CIQ(InputTicker, "IQ_FINISHED_INV",Input!O$2,Date,,,Ccy,Conv)</f>
        <v>0</v>
      </c>
      <c r="N394" s="53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</row>
    <row r="395" spans="1:66" ht="12.75" customHeight="1" x14ac:dyDescent="0.2">
      <c r="A395" s="1" t="s">
        <v>223</v>
      </c>
      <c r="B395" s="4">
        <f>_xll.ciqfunctions.udf.CIQ(InputTicker, "IQ_OTHER_INV",Input!D$2,Date,,,Ccy,Conv)</f>
        <v>0</v>
      </c>
      <c r="C395" s="4">
        <f>_xll.ciqfunctions.udf.CIQ(InputTicker, "IQ_OTHER_INV",Input!E$2,Date,,,Ccy,Conv)</f>
        <v>0</v>
      </c>
      <c r="D395" s="4">
        <f>_xll.ciqfunctions.udf.CIQ(InputTicker, "IQ_OTHER_INV",Input!F$2,Date,,,Ccy,Conv)</f>
        <v>0</v>
      </c>
      <c r="E395" s="4">
        <f>_xll.ciqfunctions.udf.CIQ(InputTicker, "IQ_OTHER_INV",Input!G$2,Date,,,Ccy,Conv)</f>
        <v>0</v>
      </c>
      <c r="F395" s="4">
        <f>_xll.ciqfunctions.udf.CIQ(InputTicker, "IQ_OTHER_INV",Input!H$2,Date,,,Ccy,Conv)</f>
        <v>0</v>
      </c>
      <c r="G395" s="4">
        <f>_xll.ciqfunctions.udf.CIQ(InputTicker, "IQ_OTHER_INV",Input!I$2,Date,,,Ccy,Conv)</f>
        <v>0</v>
      </c>
      <c r="H395" s="4">
        <f>_xll.ciqfunctions.udf.CIQ(InputTicker, "IQ_OTHER_INV",Input!J$2,Date,,,Ccy,Conv)</f>
        <v>0</v>
      </c>
      <c r="I395" s="4">
        <f>_xll.ciqfunctions.udf.CIQ(InputTicker, "IQ_OTHER_INV",Input!K$2,Date,,,Ccy,Conv)</f>
        <v>0</v>
      </c>
      <c r="J395" s="4">
        <f>_xll.ciqfunctions.udf.CIQ(InputTicker, "IQ_OTHER_INV",Input!L$2,Date,,,Ccy,Conv)</f>
        <v>0</v>
      </c>
      <c r="K395" s="4">
        <f>_xll.ciqfunctions.udf.CIQ(InputTicker, "IQ_OTHER_INV",Input!M$2,Date,,,Ccy,Conv)</f>
        <v>0</v>
      </c>
      <c r="L395" s="4">
        <f>_xll.ciqfunctions.udf.CIQ(InputTicker, "IQ_OTHER_INV",Input!N$2,Date,,,Ccy,Conv)</f>
        <v>0</v>
      </c>
      <c r="M395" s="4">
        <f>_xll.ciqfunctions.udf.CIQ(InputTicker, "IQ_OTHER_INV",Input!O$2,Date,,,Ccy,Conv)</f>
        <v>0</v>
      </c>
      <c r="N395" s="53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</row>
    <row r="396" spans="1:66" ht="12.75" customHeight="1" x14ac:dyDescent="0.2">
      <c r="A396" s="1" t="s">
        <v>224</v>
      </c>
      <c r="B396" s="4">
        <f>_xll.ciqfunctions.udf.CIQ(InputTicker, "IQ_LAND",Input!D$2,Date,,,Ccy,Conv)</f>
        <v>0</v>
      </c>
      <c r="C396" s="4">
        <f>_xll.ciqfunctions.udf.CIQ(InputTicker, "IQ_LAND",Input!E$2,Date,,,Ccy,Conv)</f>
        <v>0</v>
      </c>
      <c r="D396" s="4">
        <f>_xll.ciqfunctions.udf.CIQ(InputTicker, "IQ_LAND",Input!F$2,Date,,,Ccy,Conv)</f>
        <v>0</v>
      </c>
      <c r="E396" s="4">
        <f>_xll.ciqfunctions.udf.CIQ(InputTicker, "IQ_LAND",Input!G$2,Date,,,Ccy,Conv)</f>
        <v>0</v>
      </c>
      <c r="F396" s="4">
        <f>_xll.ciqfunctions.udf.CIQ(InputTicker, "IQ_LAND",Input!H$2,Date,,,Ccy,Conv)</f>
        <v>0</v>
      </c>
      <c r="G396" s="4">
        <f>_xll.ciqfunctions.udf.CIQ(InputTicker, "IQ_LAND",Input!I$2,Date,,,Ccy,Conv)</f>
        <v>0</v>
      </c>
      <c r="H396" s="4">
        <f>_xll.ciqfunctions.udf.CIQ(InputTicker, "IQ_LAND",Input!J$2,Date,,,Ccy,Conv)</f>
        <v>0</v>
      </c>
      <c r="I396" s="4">
        <f>_xll.ciqfunctions.udf.CIQ(InputTicker, "IQ_LAND",Input!K$2,Date,,,Ccy,Conv)</f>
        <v>0</v>
      </c>
      <c r="J396" s="4">
        <f>_xll.ciqfunctions.udf.CIQ(InputTicker, "IQ_LAND",Input!L$2,Date,,,Ccy,Conv)</f>
        <v>0</v>
      </c>
      <c r="K396" s="4">
        <f>_xll.ciqfunctions.udf.CIQ(InputTicker, "IQ_LAND",Input!M$2,Date,,,Ccy,Conv)</f>
        <v>0</v>
      </c>
      <c r="L396" s="4">
        <f>_xll.ciqfunctions.udf.CIQ(InputTicker, "IQ_LAND",Input!N$2,Date,,,Ccy,Conv)</f>
        <v>0</v>
      </c>
      <c r="M396" s="4">
        <f>_xll.ciqfunctions.udf.CIQ(InputTicker, "IQ_LAND",Input!O$2,Date,,,Ccy,Conv)</f>
        <v>0</v>
      </c>
      <c r="N396" s="53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</row>
    <row r="397" spans="1:66" ht="12.75" customHeight="1" x14ac:dyDescent="0.2">
      <c r="A397" s="1" t="s">
        <v>225</v>
      </c>
      <c r="B397" s="4">
        <f>_xll.ciqfunctions.udf.CIQ(InputTicker, "IQ_BUILDINGS",Input!D$2,Date,,,Ccy,Conv)</f>
        <v>0</v>
      </c>
      <c r="C397" s="4">
        <f>_xll.ciqfunctions.udf.CIQ(InputTicker, "IQ_BUILDINGS",Input!E$2,Date,,,Ccy,Conv)</f>
        <v>0</v>
      </c>
      <c r="D397" s="4">
        <f>_xll.ciqfunctions.udf.CIQ(InputTicker, "IQ_BUILDINGS",Input!F$2,Date,,,Ccy,Conv)</f>
        <v>0</v>
      </c>
      <c r="E397" s="4">
        <f>_xll.ciqfunctions.udf.CIQ(InputTicker, "IQ_BUILDINGS",Input!G$2,Date,,,Ccy,Conv)</f>
        <v>0</v>
      </c>
      <c r="F397" s="4">
        <f>_xll.ciqfunctions.udf.CIQ(InputTicker, "IQ_BUILDINGS",Input!H$2,Date,,,Ccy,Conv)</f>
        <v>0</v>
      </c>
      <c r="G397" s="4">
        <f>_xll.ciqfunctions.udf.CIQ(InputTicker, "IQ_BUILDINGS",Input!I$2,Date,,,Ccy,Conv)</f>
        <v>0</v>
      </c>
      <c r="H397" s="4">
        <f>_xll.ciqfunctions.udf.CIQ(InputTicker, "IQ_BUILDINGS",Input!J$2,Date,,,Ccy,Conv)</f>
        <v>0</v>
      </c>
      <c r="I397" s="4">
        <f>_xll.ciqfunctions.udf.CIQ(InputTicker, "IQ_BUILDINGS",Input!K$2,Date,,,Ccy,Conv)</f>
        <v>0</v>
      </c>
      <c r="J397" s="4">
        <f>_xll.ciqfunctions.udf.CIQ(InputTicker, "IQ_BUILDINGS",Input!L$2,Date,,,Ccy,Conv)</f>
        <v>0</v>
      </c>
      <c r="K397" s="4">
        <f>_xll.ciqfunctions.udf.CIQ(InputTicker, "IQ_BUILDINGS",Input!M$2,Date,,,Ccy,Conv)</f>
        <v>0</v>
      </c>
      <c r="L397" s="4">
        <f>_xll.ciqfunctions.udf.CIQ(InputTicker, "IQ_BUILDINGS",Input!N$2,Date,,,Ccy,Conv)</f>
        <v>0</v>
      </c>
      <c r="M397" s="4">
        <f>_xll.ciqfunctions.udf.CIQ(InputTicker, "IQ_BUILDINGS",Input!O$2,Date,,,Ccy,Conv)</f>
        <v>0</v>
      </c>
      <c r="N397" s="53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</row>
    <row r="398" spans="1:66" ht="12.75" customHeight="1" x14ac:dyDescent="0.2">
      <c r="A398" s="1" t="s">
        <v>226</v>
      </c>
      <c r="B398" s="4">
        <f>_xll.ciqfunctions.udf.CIQ(InputTicker, "IQ_MACHINERY",Input!D$2,Date,,,Ccy,Conv)</f>
        <v>214.36699999999999</v>
      </c>
      <c r="C398" s="4">
        <f>_xll.ciqfunctions.udf.CIQ(InputTicker, "IQ_MACHINERY",Input!E$2,Date,,,Ccy,Conv)</f>
        <v>226.71100000000001</v>
      </c>
      <c r="D398" s="4">
        <f>_xll.ciqfunctions.udf.CIQ(InputTicker, "IQ_MACHINERY",Input!F$2,Date,,,Ccy,Conv)</f>
        <v>243.69</v>
      </c>
      <c r="E398" s="4">
        <f>_xll.ciqfunctions.udf.CIQ(InputTicker, "IQ_MACHINERY",Input!G$2,Date,,,Ccy,Conv)</f>
        <v>270.32600000000002</v>
      </c>
      <c r="F398" s="4">
        <f>_xll.ciqfunctions.udf.CIQ(InputTicker, "IQ_MACHINERY",Input!H$2,Date,,,Ccy,Conv)</f>
        <v>234.761</v>
      </c>
      <c r="G398" s="4">
        <f>_xll.ciqfunctions.udf.CIQ(InputTicker, "IQ_MACHINERY",Input!I$2,Date,,,Ccy,Conv)</f>
        <v>215.001</v>
      </c>
      <c r="H398" s="4">
        <f>_xll.ciqfunctions.udf.CIQ(InputTicker, "IQ_MACHINERY",Input!J$2,Date,,,Ccy,Conv)</f>
        <v>221.54599999999999</v>
      </c>
      <c r="I398" s="4">
        <f>_xll.ciqfunctions.udf.CIQ(InputTicker, "IQ_MACHINERY",Input!K$2,Date,,,Ccy,Conv)</f>
        <v>230.85400000000001</v>
      </c>
      <c r="J398" s="4">
        <f>_xll.ciqfunctions.udf.CIQ(InputTicker, "IQ_MACHINERY",Input!L$2,Date,,,Ccy,Conv)</f>
        <v>229</v>
      </c>
      <c r="K398" s="4">
        <f>_xll.ciqfunctions.udf.CIQ(InputTicker, "IQ_MACHINERY",Input!M$2,Date,,,Ccy,Conv)</f>
        <v>222</v>
      </c>
      <c r="L398" s="4">
        <f>_xll.ciqfunctions.udf.CIQ(InputTicker, "IQ_MACHINERY",Input!N$2,Date,,,Ccy,Conv)</f>
        <v>226</v>
      </c>
      <c r="M398" s="4">
        <f>_xll.ciqfunctions.udf.CIQ(InputTicker, "IQ_MACHINERY",Input!O$2,Date,,,Ccy,Conv)</f>
        <v>226</v>
      </c>
      <c r="N398" s="53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</row>
    <row r="399" spans="1:66" ht="12.75" customHeight="1" x14ac:dyDescent="0.2">
      <c r="A399" s="1" t="s">
        <v>28</v>
      </c>
      <c r="B399" s="4">
        <f>_xll.ciqfunctions.udf.CIQ(InputTicker, "IQ_SOFTWARE",Input!D$2,Date,,,Ccy,Conv)</f>
        <v>0</v>
      </c>
      <c r="C399" s="4">
        <f>_xll.ciqfunctions.udf.CIQ(InputTicker, "IQ_SOFTWARE",Input!E$2,Date,,,Ccy,Conv)</f>
        <v>0</v>
      </c>
      <c r="D399" s="4">
        <f>_xll.ciqfunctions.udf.CIQ(InputTicker, "IQ_SOFTWARE",Input!F$2,Date,,,Ccy,Conv)</f>
        <v>0</v>
      </c>
      <c r="E399" s="4">
        <f>_xll.ciqfunctions.udf.CIQ(InputTicker, "IQ_SOFTWARE",Input!G$2,Date,,,Ccy,Conv)</f>
        <v>0</v>
      </c>
      <c r="F399" s="4">
        <f>_xll.ciqfunctions.udf.CIQ(InputTicker, "IQ_SOFTWARE",Input!H$2,Date,,,Ccy,Conv)</f>
        <v>0</v>
      </c>
      <c r="G399" s="4">
        <f>_xll.ciqfunctions.udf.CIQ(InputTicker, "IQ_SOFTWARE",Input!I$2,Date,,,Ccy,Conv)</f>
        <v>0</v>
      </c>
      <c r="H399" s="4">
        <f>_xll.ciqfunctions.udf.CIQ(InputTicker, "IQ_SOFTWARE",Input!J$2,Date,,,Ccy,Conv)</f>
        <v>0</v>
      </c>
      <c r="I399" s="4">
        <f>_xll.ciqfunctions.udf.CIQ(InputTicker, "IQ_SOFTWARE",Input!K$2,Date,,,Ccy,Conv)</f>
        <v>0</v>
      </c>
      <c r="J399" s="4">
        <f>_xll.ciqfunctions.udf.CIQ(InputTicker, "IQ_SOFTWARE",Input!L$2,Date,,,Ccy,Conv)</f>
        <v>0</v>
      </c>
      <c r="K399" s="4">
        <f>_xll.ciqfunctions.udf.CIQ(InputTicker, "IQ_SOFTWARE",Input!M$2,Date,,,Ccy,Conv)</f>
        <v>0</v>
      </c>
      <c r="L399" s="4">
        <f>_xll.ciqfunctions.udf.CIQ(InputTicker, "IQ_SOFTWARE",Input!N$2,Date,,,Ccy,Conv)</f>
        <v>0</v>
      </c>
      <c r="M399" s="4">
        <f>_xll.ciqfunctions.udf.CIQ(InputTicker, "IQ_SOFTWARE",Input!O$2,Date,,,Ccy,Conv)</f>
        <v>0</v>
      </c>
      <c r="N399" s="53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</row>
    <row r="400" spans="1:66" ht="12.75" customHeight="1" x14ac:dyDescent="0.2">
      <c r="A400" s="1" t="s">
        <v>501</v>
      </c>
      <c r="B400" s="4">
        <f>_xll.ciqfunctions.udf.CIQ(InputTicker, "IQ_NATURAL_RESOURCES_COST",Input!D$2,Date,,,Ccy,Conv)</f>
        <v>0</v>
      </c>
      <c r="C400" s="4">
        <f>_xll.ciqfunctions.udf.CIQ(InputTicker, "IQ_NATURAL_RESOURCES_COST",Input!E$2,Date,,,Ccy,Conv)</f>
        <v>0</v>
      </c>
      <c r="D400" s="4">
        <f>_xll.ciqfunctions.udf.CIQ(InputTicker, "IQ_NATURAL_RESOURCES_COST",Input!F$2,Date,,,Ccy,Conv)</f>
        <v>0</v>
      </c>
      <c r="E400" s="4">
        <f>_xll.ciqfunctions.udf.CIQ(InputTicker, "IQ_NATURAL_RESOURCES_COST",Input!G$2,Date,,,Ccy,Conv)</f>
        <v>0</v>
      </c>
      <c r="F400" s="4">
        <f>_xll.ciqfunctions.udf.CIQ(InputTicker, "IQ_NATURAL_RESOURCES_COST",Input!H$2,Date,,,Ccy,Conv)</f>
        <v>0</v>
      </c>
      <c r="G400" s="4">
        <f>_xll.ciqfunctions.udf.CIQ(InputTicker, "IQ_NATURAL_RESOURCES_COST",Input!I$2,Date,,,Ccy,Conv)</f>
        <v>0</v>
      </c>
      <c r="H400" s="4">
        <f>_xll.ciqfunctions.udf.CIQ(InputTicker, "IQ_NATURAL_RESOURCES_COST",Input!J$2,Date,,,Ccy,Conv)</f>
        <v>0</v>
      </c>
      <c r="I400" s="4">
        <f>_xll.ciqfunctions.udf.CIQ(InputTicker, "IQ_NATURAL_RESOURCES_COST",Input!K$2,Date,,,Ccy,Conv)</f>
        <v>0</v>
      </c>
      <c r="J400" s="4">
        <f>_xll.ciqfunctions.udf.CIQ(InputTicker, "IQ_NATURAL_RESOURCES_COST",Input!L$2,Date,,,Ccy,Conv)</f>
        <v>0</v>
      </c>
      <c r="K400" s="4">
        <f>_xll.ciqfunctions.udf.CIQ(InputTicker, "IQ_NATURAL_RESOURCES_COST",Input!M$2,Date,,,Ccy,Conv)</f>
        <v>0</v>
      </c>
      <c r="L400" s="4">
        <f>_xll.ciqfunctions.udf.CIQ(InputTicker, "IQ_NATURAL_RESOURCES_COST",Input!N$2,Date,,,Ccy,Conv)</f>
        <v>0</v>
      </c>
      <c r="M400" s="4">
        <f>_xll.ciqfunctions.udf.CIQ(InputTicker, "IQ_NATURAL_RESOURCES_COST",Input!O$2,Date,,,Ccy,Conv)</f>
        <v>0</v>
      </c>
      <c r="N400" s="53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</row>
    <row r="401" spans="1:66" ht="12.75" customHeight="1" x14ac:dyDescent="0.2">
      <c r="A401" s="1" t="s">
        <v>437</v>
      </c>
      <c r="B401" s="4">
        <f>_xll.ciqfunctions.udf.CIQ(InputTicker, "IQ_CIP",Input!D$2,Date,,,Ccy,Conv)</f>
        <v>0</v>
      </c>
      <c r="C401" s="4">
        <f>_xll.ciqfunctions.udf.CIQ(InputTicker, "IQ_CIP",Input!E$2,Date,,,Ccy,Conv)</f>
        <v>0</v>
      </c>
      <c r="D401" s="4">
        <f>_xll.ciqfunctions.udf.CIQ(InputTicker, "IQ_CIP",Input!F$2,Date,,,Ccy,Conv)</f>
        <v>0</v>
      </c>
      <c r="E401" s="4">
        <f>_xll.ciqfunctions.udf.CIQ(InputTicker, "IQ_CIP",Input!G$2,Date,,,Ccy,Conv)</f>
        <v>0</v>
      </c>
      <c r="F401" s="4">
        <f>_xll.ciqfunctions.udf.CIQ(InputTicker, "IQ_CIP",Input!H$2,Date,,,Ccy,Conv)</f>
        <v>0</v>
      </c>
      <c r="G401" s="4">
        <f>_xll.ciqfunctions.udf.CIQ(InputTicker, "IQ_CIP",Input!I$2,Date,,,Ccy,Conv)</f>
        <v>0</v>
      </c>
      <c r="H401" s="4">
        <f>_xll.ciqfunctions.udf.CIQ(InputTicker, "IQ_CIP",Input!J$2,Date,,,Ccy,Conv)</f>
        <v>0</v>
      </c>
      <c r="I401" s="4">
        <f>_xll.ciqfunctions.udf.CIQ(InputTicker, "IQ_CIP",Input!K$2,Date,,,Ccy,Conv)</f>
        <v>0</v>
      </c>
      <c r="J401" s="4">
        <f>_xll.ciqfunctions.udf.CIQ(InputTicker, "IQ_CIP",Input!L$2,Date,,,Ccy,Conv)</f>
        <v>0</v>
      </c>
      <c r="K401" s="4">
        <f>_xll.ciqfunctions.udf.CIQ(InputTicker, "IQ_CIP",Input!M$2,Date,,,Ccy,Conv)</f>
        <v>0</v>
      </c>
      <c r="L401" s="4">
        <f>_xll.ciqfunctions.udf.CIQ(InputTicker, "IQ_CIP",Input!N$2,Date,,,Ccy,Conv)</f>
        <v>0</v>
      </c>
      <c r="M401" s="4">
        <f>_xll.ciqfunctions.udf.CIQ(InputTicker, "IQ_CIP",Input!O$2,Date,,,Ccy,Conv)</f>
        <v>0</v>
      </c>
      <c r="N401" s="53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</row>
    <row r="402" spans="1:66" ht="12.75" customHeight="1" x14ac:dyDescent="0.2">
      <c r="A402" s="1" t="s">
        <v>438</v>
      </c>
      <c r="B402" s="4">
        <f>_xll.ciqfunctions.udf.CIQ(InputTicker, "IQ_LEASEHOLD_IMPROVEMENT",Input!D$2,Date,,,Ccy,Conv)</f>
        <v>155.803</v>
      </c>
      <c r="C402" s="4">
        <f>_xll.ciqfunctions.udf.CIQ(InputTicker, "IQ_LEASEHOLD_IMPROVEMENT",Input!E$2,Date,,,Ccy,Conv)</f>
        <v>177.00899999999999</v>
      </c>
      <c r="D402" s="4">
        <f>_xll.ciqfunctions.udf.CIQ(InputTicker, "IQ_LEASEHOLD_IMPROVEMENT",Input!F$2,Date,,,Ccy,Conv)</f>
        <v>202.13300000000001</v>
      </c>
      <c r="E402" s="4">
        <f>_xll.ciqfunctions.udf.CIQ(InputTicker, "IQ_LEASEHOLD_IMPROVEMENT",Input!G$2,Date,,,Ccy,Conv)</f>
        <v>225.31</v>
      </c>
      <c r="F402" s="4">
        <f>_xll.ciqfunctions.udf.CIQ(InputTicker, "IQ_LEASEHOLD_IMPROVEMENT",Input!H$2,Date,,,Ccy,Conv)</f>
        <v>245.685</v>
      </c>
      <c r="G402" s="4">
        <f>_xll.ciqfunctions.udf.CIQ(InputTicker, "IQ_LEASEHOLD_IMPROVEMENT",Input!I$2,Date,,,Ccy,Conv)</f>
        <v>225.13200000000001</v>
      </c>
      <c r="H402" s="4">
        <f>_xll.ciqfunctions.udf.CIQ(InputTicker, "IQ_LEASEHOLD_IMPROVEMENT",Input!J$2,Date,,,Ccy,Conv)</f>
        <v>235.34200000000001</v>
      </c>
      <c r="I402" s="4">
        <f>_xll.ciqfunctions.udf.CIQ(InputTicker, "IQ_LEASEHOLD_IMPROVEMENT",Input!K$2,Date,,,Ccy,Conv)</f>
        <v>258.25799999999998</v>
      </c>
      <c r="J402" s="4">
        <f>_xll.ciqfunctions.udf.CIQ(InputTicker, "IQ_LEASEHOLD_IMPROVEMENT",Input!L$2,Date,,,Ccy,Conv)</f>
        <v>270</v>
      </c>
      <c r="K402" s="4">
        <f>_xll.ciqfunctions.udf.CIQ(InputTicker, "IQ_LEASEHOLD_IMPROVEMENT",Input!M$2,Date,,,Ccy,Conv)</f>
        <v>236</v>
      </c>
      <c r="L402" s="4">
        <f>_xll.ciqfunctions.udf.CIQ(InputTicker, "IQ_LEASEHOLD_IMPROVEMENT",Input!N$2,Date,,,Ccy,Conv)</f>
        <v>263</v>
      </c>
      <c r="M402" s="4">
        <f>_xll.ciqfunctions.udf.CIQ(InputTicker, "IQ_LEASEHOLD_IMPROVEMENT",Input!O$2,Date,,,Ccy,Conv)</f>
        <v>263</v>
      </c>
      <c r="N402" s="53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</row>
    <row r="403" spans="1:66" ht="12.75" customHeight="1" x14ac:dyDescent="0.2">
      <c r="A403" s="1" t="s">
        <v>24</v>
      </c>
      <c r="B403" s="4">
        <f>_xll.ciqfunctions.udf.CIQ(InputTicker, "IQ_MINORITY_INT_REDEEM",Input!D$2,Date,,,Ccy,Conv)</f>
        <v>0</v>
      </c>
      <c r="C403" s="4">
        <f>_xll.ciqfunctions.udf.CIQ(InputTicker, "IQ_MINORITY_INT_REDEEM",Input!E$2,Date,,,Ccy,Conv)</f>
        <v>0</v>
      </c>
      <c r="D403" s="4">
        <f>_xll.ciqfunctions.udf.CIQ(InputTicker, "IQ_MINORITY_INT_REDEEM",Input!F$2,Date,,,Ccy,Conv)</f>
        <v>0</v>
      </c>
      <c r="E403" s="4">
        <f>_xll.ciqfunctions.udf.CIQ(InputTicker, "IQ_MINORITY_INT_REDEEM",Input!G$2,Date,,,Ccy,Conv)</f>
        <v>0</v>
      </c>
      <c r="F403" s="4">
        <f>_xll.ciqfunctions.udf.CIQ(InputTicker, "IQ_MINORITY_INT_REDEEM",Input!H$2,Date,,,Ccy,Conv)</f>
        <v>0</v>
      </c>
      <c r="G403" s="4">
        <f>_xll.ciqfunctions.udf.CIQ(InputTicker, "IQ_MINORITY_INT_REDEEM",Input!I$2,Date,,,Ccy,Conv)</f>
        <v>0</v>
      </c>
      <c r="H403" s="4">
        <f>_xll.ciqfunctions.udf.CIQ(InputTicker, "IQ_MINORITY_INT_REDEEM",Input!J$2,Date,,,Ccy,Conv)</f>
        <v>0</v>
      </c>
      <c r="I403" s="4">
        <f>_xll.ciqfunctions.udf.CIQ(InputTicker, "IQ_MINORITY_INT_REDEEM",Input!K$2,Date,,,Ccy,Conv)</f>
        <v>0</v>
      </c>
      <c r="J403" s="4">
        <f>_xll.ciqfunctions.udf.CIQ(InputTicker, "IQ_MINORITY_INT_REDEEM",Input!L$2,Date,,,Ccy,Conv)</f>
        <v>0</v>
      </c>
      <c r="K403" s="4">
        <f>_xll.ciqfunctions.udf.CIQ(InputTicker, "IQ_MINORITY_INT_REDEEM",Input!M$2,Date,,,Ccy,Conv)</f>
        <v>0</v>
      </c>
      <c r="L403" s="4">
        <f>_xll.ciqfunctions.udf.CIQ(InputTicker, "IQ_MINORITY_INT_REDEEM",Input!N$2,Date,,,Ccy,Conv)</f>
        <v>0</v>
      </c>
      <c r="M403" s="4">
        <f>_xll.ciqfunctions.udf.CIQ(InputTicker, "IQ_MINORITY_INT_REDEEM",Input!O$2,Date,,,Ccy,Conv)</f>
        <v>0</v>
      </c>
      <c r="N403" s="53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</row>
    <row r="404" spans="1:66" ht="12.75" customHeight="1" x14ac:dyDescent="0.2">
      <c r="A404" s="1" t="s">
        <v>25</v>
      </c>
      <c r="B404" s="4">
        <f>_xll.ciqfunctions.udf.CIQ(InputTicker, "IQ_FIN_DIV_MINORITY_INT_REDEEM",Input!D$2,Date,,,Ccy,Conv)</f>
        <v>0</v>
      </c>
      <c r="C404" s="4">
        <f>_xll.ciqfunctions.udf.CIQ(InputTicker, "IQ_FIN_DIV_MINORITY_INT_REDEEM",Input!E$2,Date,,,Ccy,Conv)</f>
        <v>0</v>
      </c>
      <c r="D404" s="4">
        <f>_xll.ciqfunctions.udf.CIQ(InputTicker, "IQ_FIN_DIV_MINORITY_INT_REDEEM",Input!F$2,Date,,,Ccy,Conv)</f>
        <v>0</v>
      </c>
      <c r="E404" s="4">
        <f>_xll.ciqfunctions.udf.CIQ(InputTicker, "IQ_FIN_DIV_MINORITY_INT_REDEEM",Input!G$2,Date,,,Ccy,Conv)</f>
        <v>0</v>
      </c>
      <c r="F404" s="4">
        <f>_xll.ciqfunctions.udf.CIQ(InputTicker, "IQ_FIN_DIV_MINORITY_INT_REDEEM",Input!H$2,Date,,,Ccy,Conv)</f>
        <v>0</v>
      </c>
      <c r="G404" s="4">
        <f>_xll.ciqfunctions.udf.CIQ(InputTicker, "IQ_FIN_DIV_MINORITY_INT_REDEEM",Input!I$2,Date,,,Ccy,Conv)</f>
        <v>0</v>
      </c>
      <c r="H404" s="4">
        <f>_xll.ciqfunctions.udf.CIQ(InputTicker, "IQ_FIN_DIV_MINORITY_INT_REDEEM",Input!J$2,Date,,,Ccy,Conv)</f>
        <v>0</v>
      </c>
      <c r="I404" s="4">
        <f>_xll.ciqfunctions.udf.CIQ(InputTicker, "IQ_FIN_DIV_MINORITY_INT_REDEEM",Input!K$2,Date,,,Ccy,Conv)</f>
        <v>0</v>
      </c>
      <c r="J404" s="4">
        <f>_xll.ciqfunctions.udf.CIQ(InputTicker, "IQ_FIN_DIV_MINORITY_INT_REDEEM",Input!L$2,Date,,,Ccy,Conv)</f>
        <v>0</v>
      </c>
      <c r="K404" s="4">
        <f>_xll.ciqfunctions.udf.CIQ(InputTicker, "IQ_FIN_DIV_MINORITY_INT_REDEEM",Input!M$2,Date,,,Ccy,Conv)</f>
        <v>0</v>
      </c>
      <c r="L404" s="4">
        <f>_xll.ciqfunctions.udf.CIQ(InputTicker, "IQ_FIN_DIV_MINORITY_INT_REDEEM",Input!N$2,Date,,,Ccy,Conv)</f>
        <v>0</v>
      </c>
      <c r="M404" s="4">
        <f>_xll.ciqfunctions.udf.CIQ(InputTicker, "IQ_FIN_DIV_MINORITY_INT_REDEEM",Input!O$2,Date,,,Ccy,Conv)</f>
        <v>0</v>
      </c>
      <c r="N404" s="53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</row>
    <row r="405" spans="1:66" ht="12.75" customHeight="1" x14ac:dyDescent="0.2">
      <c r="A405" s="1" t="s">
        <v>26</v>
      </c>
      <c r="B405" s="4">
        <f>_xll.ciqfunctions.udf.CIQ(InputTicker, "IQ_MINORITY_INT_REDEEM_TOT",Input!D$2,Date,,,Ccy,Conv)</f>
        <v>0</v>
      </c>
      <c r="C405" s="4">
        <f>_xll.ciqfunctions.udf.CIQ(InputTicker, "IQ_MINORITY_INT_REDEEM_TOT",Input!E$2,Date,,,Ccy,Conv)</f>
        <v>0</v>
      </c>
      <c r="D405" s="4">
        <f>_xll.ciqfunctions.udf.CIQ(InputTicker, "IQ_MINORITY_INT_REDEEM_TOT",Input!F$2,Date,,,Ccy,Conv)</f>
        <v>0</v>
      </c>
      <c r="E405" s="4">
        <f>_xll.ciqfunctions.udf.CIQ(InputTicker, "IQ_MINORITY_INT_REDEEM_TOT",Input!G$2,Date,,,Ccy,Conv)</f>
        <v>0</v>
      </c>
      <c r="F405" s="4">
        <f>_xll.ciqfunctions.udf.CIQ(InputTicker, "IQ_MINORITY_INT_REDEEM_TOT",Input!H$2,Date,,,Ccy,Conv)</f>
        <v>0</v>
      </c>
      <c r="G405" s="4">
        <f>_xll.ciqfunctions.udf.CIQ(InputTicker, "IQ_MINORITY_INT_REDEEM_TOT",Input!I$2,Date,,,Ccy,Conv)</f>
        <v>0</v>
      </c>
      <c r="H405" s="4">
        <f>_xll.ciqfunctions.udf.CIQ(InputTicker, "IQ_MINORITY_INT_REDEEM_TOT",Input!J$2,Date,,,Ccy,Conv)</f>
        <v>0</v>
      </c>
      <c r="I405" s="4">
        <f>_xll.ciqfunctions.udf.CIQ(InputTicker, "IQ_MINORITY_INT_REDEEM_TOT",Input!K$2,Date,,,Ccy,Conv)</f>
        <v>0</v>
      </c>
      <c r="J405" s="4">
        <f>_xll.ciqfunctions.udf.CIQ(InputTicker, "IQ_MINORITY_INT_REDEEM_TOT",Input!L$2,Date,,,Ccy,Conv)</f>
        <v>0</v>
      </c>
      <c r="K405" s="4">
        <f>_xll.ciqfunctions.udf.CIQ(InputTicker, "IQ_MINORITY_INT_REDEEM_TOT",Input!M$2,Date,,,Ccy,Conv)</f>
        <v>0</v>
      </c>
      <c r="L405" s="4">
        <f>_xll.ciqfunctions.udf.CIQ(InputTicker, "IQ_MINORITY_INT_REDEEM_TOT",Input!N$2,Date,,,Ccy,Conv)</f>
        <v>0</v>
      </c>
      <c r="M405" s="4">
        <f>_xll.ciqfunctions.udf.CIQ(InputTicker, "IQ_MINORITY_INT_REDEEM_TOT",Input!O$2,Date,,,Ccy,Conv)</f>
        <v>0</v>
      </c>
      <c r="N405" s="53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</row>
    <row r="406" spans="1:66" ht="12.75" customHeight="1" x14ac:dyDescent="0.2">
      <c r="A406" s="1" t="s">
        <v>27</v>
      </c>
      <c r="B406" s="4">
        <f>_xll.ciqfunctions.udf.CIQ(InputTicker, "IQ_FIN_DIV_MINORITY_INTEREST",Input!D$2,Date,,,Ccy,Conv)</f>
        <v>0</v>
      </c>
      <c r="C406" s="4">
        <f>_xll.ciqfunctions.udf.CIQ(InputTicker, "IQ_FIN_DIV_MINORITY_INTEREST",Input!E$2,Date,,,Ccy,Conv)</f>
        <v>0</v>
      </c>
      <c r="D406" s="4">
        <f>_xll.ciqfunctions.udf.CIQ(InputTicker, "IQ_FIN_DIV_MINORITY_INTEREST",Input!F$2,Date,,,Ccy,Conv)</f>
        <v>0</v>
      </c>
      <c r="E406" s="4">
        <f>_xll.ciqfunctions.udf.CIQ(InputTicker, "IQ_FIN_DIV_MINORITY_INTEREST",Input!G$2,Date,,,Ccy,Conv)</f>
        <v>0</v>
      </c>
      <c r="F406" s="4">
        <f>_xll.ciqfunctions.udf.CIQ(InputTicker, "IQ_FIN_DIV_MINORITY_INTEREST",Input!H$2,Date,,,Ccy,Conv)</f>
        <v>0</v>
      </c>
      <c r="G406" s="4">
        <f>_xll.ciqfunctions.udf.CIQ(InputTicker, "IQ_FIN_DIV_MINORITY_INTEREST",Input!I$2,Date,,,Ccy,Conv)</f>
        <v>0</v>
      </c>
      <c r="H406" s="4">
        <f>_xll.ciqfunctions.udf.CIQ(InputTicker, "IQ_FIN_DIV_MINORITY_INTEREST",Input!J$2,Date,,,Ccy,Conv)</f>
        <v>0</v>
      </c>
      <c r="I406" s="4">
        <f>_xll.ciqfunctions.udf.CIQ(InputTicker, "IQ_FIN_DIV_MINORITY_INTEREST",Input!K$2,Date,,,Ccy,Conv)</f>
        <v>0</v>
      </c>
      <c r="J406" s="4">
        <f>_xll.ciqfunctions.udf.CIQ(InputTicker, "IQ_FIN_DIV_MINORITY_INTEREST",Input!L$2,Date,,,Ccy,Conv)</f>
        <v>0</v>
      </c>
      <c r="K406" s="4">
        <f>_xll.ciqfunctions.udf.CIQ(InputTicker, "IQ_FIN_DIV_MINORITY_INTEREST",Input!M$2,Date,,,Ccy,Conv)</f>
        <v>0</v>
      </c>
      <c r="L406" s="4">
        <f>_xll.ciqfunctions.udf.CIQ(InputTicker, "IQ_FIN_DIV_MINORITY_INTEREST",Input!N$2,Date,,,Ccy,Conv)</f>
        <v>0</v>
      </c>
      <c r="M406" s="4">
        <f>_xll.ciqfunctions.udf.CIQ(InputTicker, "IQ_FIN_DIV_MINORITY_INTEREST",Input!O$2,Date,,,Ccy,Conv)</f>
        <v>0</v>
      </c>
      <c r="N406" s="53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</row>
    <row r="407" spans="1:66" ht="12.75" customHeight="1" x14ac:dyDescent="0.2">
      <c r="A407" s="1" t="s">
        <v>441</v>
      </c>
      <c r="B407" s="4">
        <f>_xll.ciqfunctions.udf.CIQ(InputTicker, "IQ_DEF_TAX_VALUATION_ALLOWANCE",Input!D$2,Date,,,Ccy,Conv)</f>
        <v>0</v>
      </c>
      <c r="C407" s="4">
        <f>_xll.ciqfunctions.udf.CIQ(InputTicker, "IQ_DEF_TAX_VALUATION_ALLOWANCE",Input!E$2,Date,,,Ccy,Conv)</f>
        <v>0</v>
      </c>
      <c r="D407" s="4">
        <f>_xll.ciqfunctions.udf.CIQ(InputTicker, "IQ_DEF_TAX_VALUATION_ALLOWANCE",Input!F$2,Date,,,Ccy,Conv)</f>
        <v>1.373</v>
      </c>
      <c r="E407" s="4">
        <f>_xll.ciqfunctions.udf.CIQ(InputTicker, "IQ_DEF_TAX_VALUATION_ALLOWANCE",Input!G$2,Date,,,Ccy,Conv)</f>
        <v>2.8530000000000002</v>
      </c>
      <c r="F407" s="4">
        <f>_xll.ciqfunctions.udf.CIQ(InputTicker, "IQ_DEF_TAX_VALUATION_ALLOWANCE",Input!H$2,Date,,,Ccy,Conv)</f>
        <v>4.2960000000000003</v>
      </c>
      <c r="G407" s="4">
        <f>_xll.ciqfunctions.udf.CIQ(InputTicker, "IQ_DEF_TAX_VALUATION_ALLOWANCE",Input!I$2,Date,,,Ccy,Conv)</f>
        <v>6.165</v>
      </c>
      <c r="H407" s="4">
        <f>_xll.ciqfunctions.udf.CIQ(InputTicker, "IQ_DEF_TAX_VALUATION_ALLOWANCE",Input!J$2,Date,,,Ccy,Conv)</f>
        <v>8.7149999999999999</v>
      </c>
      <c r="I407" s="4">
        <f>_xll.ciqfunctions.udf.CIQ(InputTicker, "IQ_DEF_TAX_VALUATION_ALLOWANCE",Input!K$2,Date,,,Ccy,Conv)</f>
        <v>11.788</v>
      </c>
      <c r="J407" s="4">
        <f>_xll.ciqfunctions.udf.CIQ(InputTicker, "IQ_DEF_TAX_VALUATION_ALLOWANCE",Input!L$2,Date,,,Ccy,Conv)</f>
        <v>8</v>
      </c>
      <c r="K407" s="4">
        <f>_xll.ciqfunctions.udf.CIQ(InputTicker, "IQ_DEF_TAX_VALUATION_ALLOWANCE",Input!M$2,Date,,,Ccy,Conv)</f>
        <v>9</v>
      </c>
      <c r="L407" s="4">
        <f>_xll.ciqfunctions.udf.CIQ(InputTicker, "IQ_DEF_TAX_VALUATION_ALLOWANCE",Input!N$2,Date,,,Ccy,Conv)</f>
        <v>10</v>
      </c>
      <c r="M407" s="4">
        <f>_xll.ciqfunctions.udf.CIQ(InputTicker, "IQ_DEF_TAX_VALUATION_ALLOWANCE",Input!O$2,Date,,,Ccy,Conv)</f>
        <v>10</v>
      </c>
      <c r="N407" s="53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</row>
    <row r="408" spans="1:66" ht="12.75" customHeight="1" x14ac:dyDescent="0.2">
      <c r="A408" s="1" t="s">
        <v>1</v>
      </c>
      <c r="B408" s="4">
        <f>_xll.ciqfunctions.udf.CIQ(InputTicker, "IQ_GENERAL_PARTNER_COMMON_EQUITY",Input!D$2,Date,,,Ccy,Conv)</f>
        <v>0</v>
      </c>
      <c r="C408" s="4">
        <f>_xll.ciqfunctions.udf.CIQ(InputTicker, "IQ_GENERAL_PARTNER_COMMON_EQUITY",Input!E$2,Date,,,Ccy,Conv)</f>
        <v>0</v>
      </c>
      <c r="D408" s="4">
        <f>_xll.ciqfunctions.udf.CIQ(InputTicker, "IQ_GENERAL_PARTNER_COMMON_EQUITY",Input!F$2,Date,,,Ccy,Conv)</f>
        <v>0</v>
      </c>
      <c r="E408" s="4">
        <f>_xll.ciqfunctions.udf.CIQ(InputTicker, "IQ_GENERAL_PARTNER_COMMON_EQUITY",Input!G$2,Date,,,Ccy,Conv)</f>
        <v>0</v>
      </c>
      <c r="F408" s="4">
        <f>_xll.ciqfunctions.udf.CIQ(InputTicker, "IQ_GENERAL_PARTNER_COMMON_EQUITY",Input!H$2,Date,,,Ccy,Conv)</f>
        <v>0</v>
      </c>
      <c r="G408" s="4">
        <f>_xll.ciqfunctions.udf.CIQ(InputTicker, "IQ_GENERAL_PARTNER_COMMON_EQUITY",Input!I$2,Date,,,Ccy,Conv)</f>
        <v>0</v>
      </c>
      <c r="H408" s="4">
        <f>_xll.ciqfunctions.udf.CIQ(InputTicker, "IQ_GENERAL_PARTNER_COMMON_EQUITY",Input!J$2,Date,,,Ccy,Conv)</f>
        <v>0</v>
      </c>
      <c r="I408" s="4">
        <f>_xll.ciqfunctions.udf.CIQ(InputTicker, "IQ_GENERAL_PARTNER_COMMON_EQUITY",Input!K$2,Date,,,Ccy,Conv)</f>
        <v>0</v>
      </c>
      <c r="J408" s="4">
        <f>_xll.ciqfunctions.udf.CIQ(InputTicker, "IQ_GENERAL_PARTNER_COMMON_EQUITY",Input!L$2,Date,,,Ccy,Conv)</f>
        <v>0</v>
      </c>
      <c r="K408" s="4">
        <f>_xll.ciqfunctions.udf.CIQ(InputTicker, "IQ_GENERAL_PARTNER_COMMON_EQUITY",Input!M$2,Date,,,Ccy,Conv)</f>
        <v>0</v>
      </c>
      <c r="L408" s="4">
        <f>_xll.ciqfunctions.udf.CIQ(InputTicker, "IQ_GENERAL_PARTNER_COMMON_EQUITY",Input!N$2,Date,,,Ccy,Conv)</f>
        <v>0</v>
      </c>
      <c r="M408" s="4">
        <f>_xll.ciqfunctions.udf.CIQ(InputTicker, "IQ_GENERAL_PARTNER_COMMON_EQUITY",Input!O$2,Date,,,Ccy,Conv)</f>
        <v>0</v>
      </c>
      <c r="N408" s="53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</row>
    <row r="409" spans="1:66" ht="12.75" customHeight="1" x14ac:dyDescent="0.2">
      <c r="A409" s="1" t="s">
        <v>2</v>
      </c>
      <c r="B409" s="4">
        <f>_xll.ciqfunctions.udf.CIQ(InputTicker, "IQ_GENERAL_PARTNER_PREF_EQUITY",Input!D$2,Date,,,Ccy,Conv)</f>
        <v>0</v>
      </c>
      <c r="C409" s="4">
        <f>_xll.ciqfunctions.udf.CIQ(InputTicker, "IQ_GENERAL_PARTNER_PREF_EQUITY",Input!E$2,Date,,,Ccy,Conv)</f>
        <v>0</v>
      </c>
      <c r="D409" s="4">
        <f>_xll.ciqfunctions.udf.CIQ(InputTicker, "IQ_GENERAL_PARTNER_PREF_EQUITY",Input!F$2,Date,,,Ccy,Conv)</f>
        <v>0</v>
      </c>
      <c r="E409" s="4">
        <f>_xll.ciqfunctions.udf.CIQ(InputTicker, "IQ_GENERAL_PARTNER_PREF_EQUITY",Input!G$2,Date,,,Ccy,Conv)</f>
        <v>0</v>
      </c>
      <c r="F409" s="4">
        <f>_xll.ciqfunctions.udf.CIQ(InputTicker, "IQ_GENERAL_PARTNER_PREF_EQUITY",Input!H$2,Date,,,Ccy,Conv)</f>
        <v>0</v>
      </c>
      <c r="G409" s="4">
        <f>_xll.ciqfunctions.udf.CIQ(InputTicker, "IQ_GENERAL_PARTNER_PREF_EQUITY",Input!I$2,Date,,,Ccy,Conv)</f>
        <v>0</v>
      </c>
      <c r="H409" s="4">
        <f>_xll.ciqfunctions.udf.CIQ(InputTicker, "IQ_GENERAL_PARTNER_PREF_EQUITY",Input!J$2,Date,,,Ccy,Conv)</f>
        <v>0</v>
      </c>
      <c r="I409" s="4">
        <f>_xll.ciqfunctions.udf.CIQ(InputTicker, "IQ_GENERAL_PARTNER_PREF_EQUITY",Input!K$2,Date,,,Ccy,Conv)</f>
        <v>0</v>
      </c>
      <c r="J409" s="4">
        <f>_xll.ciqfunctions.udf.CIQ(InputTicker, "IQ_GENERAL_PARTNER_PREF_EQUITY",Input!L$2,Date,,,Ccy,Conv)</f>
        <v>0</v>
      </c>
      <c r="K409" s="4">
        <f>_xll.ciqfunctions.udf.CIQ(InputTicker, "IQ_GENERAL_PARTNER_PREF_EQUITY",Input!M$2,Date,,,Ccy,Conv)</f>
        <v>0</v>
      </c>
      <c r="L409" s="4">
        <f>_xll.ciqfunctions.udf.CIQ(InputTicker, "IQ_GENERAL_PARTNER_PREF_EQUITY",Input!N$2,Date,,,Ccy,Conv)</f>
        <v>0</v>
      </c>
      <c r="M409" s="4">
        <f>_xll.ciqfunctions.udf.CIQ(InputTicker, "IQ_GENERAL_PARTNER_PREF_EQUITY",Input!O$2,Date,,,Ccy,Conv)</f>
        <v>0</v>
      </c>
      <c r="N409" s="53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</row>
    <row r="410" spans="1:66" ht="12.75" customHeight="1" x14ac:dyDescent="0.2">
      <c r="A410" s="1" t="s">
        <v>3</v>
      </c>
      <c r="B410" s="4">
        <f>_xll.ciqfunctions.udf.CIQ(InputTicker, "IQ_GENERAL_PARTNER_MINORITY_INTEREST",Input!D$2,Date,,,Ccy,Conv)</f>
        <v>0</v>
      </c>
      <c r="C410" s="4">
        <f>_xll.ciqfunctions.udf.CIQ(InputTicker, "IQ_GENERAL_PARTNER_MINORITY_INTEREST",Input!E$2,Date,,,Ccy,Conv)</f>
        <v>0</v>
      </c>
      <c r="D410" s="4">
        <f>_xll.ciqfunctions.udf.CIQ(InputTicker, "IQ_GENERAL_PARTNER_MINORITY_INTEREST",Input!F$2,Date,,,Ccy,Conv)</f>
        <v>0</v>
      </c>
      <c r="E410" s="4">
        <f>_xll.ciqfunctions.udf.CIQ(InputTicker, "IQ_GENERAL_PARTNER_MINORITY_INTEREST",Input!G$2,Date,,,Ccy,Conv)</f>
        <v>0</v>
      </c>
      <c r="F410" s="4">
        <f>_xll.ciqfunctions.udf.CIQ(InputTicker, "IQ_GENERAL_PARTNER_MINORITY_INTEREST",Input!H$2,Date,,,Ccy,Conv)</f>
        <v>0</v>
      </c>
      <c r="G410" s="4">
        <f>_xll.ciqfunctions.udf.CIQ(InputTicker, "IQ_GENERAL_PARTNER_MINORITY_INTEREST",Input!I$2,Date,,,Ccy,Conv)</f>
        <v>0</v>
      </c>
      <c r="H410" s="4">
        <f>_xll.ciqfunctions.udf.CIQ(InputTicker, "IQ_GENERAL_PARTNER_MINORITY_INTEREST",Input!J$2,Date,,,Ccy,Conv)</f>
        <v>0</v>
      </c>
      <c r="I410" s="4">
        <f>_xll.ciqfunctions.udf.CIQ(InputTicker, "IQ_GENERAL_PARTNER_MINORITY_INTEREST",Input!K$2,Date,,,Ccy,Conv)</f>
        <v>0</v>
      </c>
      <c r="J410" s="4">
        <f>_xll.ciqfunctions.udf.CIQ(InputTicker, "IQ_GENERAL_PARTNER_MINORITY_INTEREST",Input!L$2,Date,,,Ccy,Conv)</f>
        <v>0</v>
      </c>
      <c r="K410" s="4">
        <f>_xll.ciqfunctions.udf.CIQ(InputTicker, "IQ_GENERAL_PARTNER_MINORITY_INTEREST",Input!M$2,Date,,,Ccy,Conv)</f>
        <v>0</v>
      </c>
      <c r="L410" s="4">
        <f>_xll.ciqfunctions.udf.CIQ(InputTicker, "IQ_GENERAL_PARTNER_MINORITY_INTEREST",Input!N$2,Date,,,Ccy,Conv)</f>
        <v>0</v>
      </c>
      <c r="M410" s="4">
        <f>_xll.ciqfunctions.udf.CIQ(InputTicker, "IQ_GENERAL_PARTNER_MINORITY_INTEREST",Input!O$2,Date,,,Ccy,Conv)</f>
        <v>0</v>
      </c>
      <c r="N410" s="53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</row>
    <row r="411" spans="1:66" ht="12.75" customHeight="1" x14ac:dyDescent="0.2">
      <c r="A411" s="1" t="s">
        <v>4</v>
      </c>
      <c r="B411" s="4">
        <f>_xll.ciqfunctions.udf.CIQ(InputTicker, "IQ_TOTAL_GENERAL_PARTNER_INTEREST",Input!D$2,Date,,,Ccy,Conv)</f>
        <v>0</v>
      </c>
      <c r="C411" s="4">
        <f>_xll.ciqfunctions.udf.CIQ(InputTicker, "IQ_TOTAL_GENERAL_PARTNER_INTEREST",Input!E$2,Date,,,Ccy,Conv)</f>
        <v>0</v>
      </c>
      <c r="D411" s="4">
        <f>_xll.ciqfunctions.udf.CIQ(InputTicker, "IQ_TOTAL_GENERAL_PARTNER_INTEREST",Input!F$2,Date,,,Ccy,Conv)</f>
        <v>0</v>
      </c>
      <c r="E411" s="4">
        <f>_xll.ciqfunctions.udf.CIQ(InputTicker, "IQ_TOTAL_GENERAL_PARTNER_INTEREST",Input!G$2,Date,,,Ccy,Conv)</f>
        <v>0</v>
      </c>
      <c r="F411" s="4">
        <f>_xll.ciqfunctions.udf.CIQ(InputTicker, "IQ_TOTAL_GENERAL_PARTNER_INTEREST",Input!H$2,Date,,,Ccy,Conv)</f>
        <v>0</v>
      </c>
      <c r="G411" s="4">
        <f>_xll.ciqfunctions.udf.CIQ(InputTicker, "IQ_TOTAL_GENERAL_PARTNER_INTEREST",Input!I$2,Date,,,Ccy,Conv)</f>
        <v>0</v>
      </c>
      <c r="H411" s="4">
        <f>_xll.ciqfunctions.udf.CIQ(InputTicker, "IQ_TOTAL_GENERAL_PARTNER_INTEREST",Input!J$2,Date,,,Ccy,Conv)</f>
        <v>0</v>
      </c>
      <c r="I411" s="4">
        <f>_xll.ciqfunctions.udf.CIQ(InputTicker, "IQ_TOTAL_GENERAL_PARTNER_INTEREST",Input!K$2,Date,,,Ccy,Conv)</f>
        <v>0</v>
      </c>
      <c r="J411" s="4">
        <f>_xll.ciqfunctions.udf.CIQ(InputTicker, "IQ_TOTAL_GENERAL_PARTNER_INTEREST",Input!L$2,Date,,,Ccy,Conv)</f>
        <v>0</v>
      </c>
      <c r="K411" s="4">
        <f>_xll.ciqfunctions.udf.CIQ(InputTicker, "IQ_TOTAL_GENERAL_PARTNER_INTEREST",Input!M$2,Date,,,Ccy,Conv)</f>
        <v>0</v>
      </c>
      <c r="L411" s="4">
        <f>_xll.ciqfunctions.udf.CIQ(InputTicker, "IQ_TOTAL_GENERAL_PARTNER_INTEREST",Input!N$2,Date,,,Ccy,Conv)</f>
        <v>0</v>
      </c>
      <c r="M411" s="4">
        <f>_xll.ciqfunctions.udf.CIQ(InputTicker, "IQ_TOTAL_GENERAL_PARTNER_INTEREST",Input!O$2,Date,,,Ccy,Conv)</f>
        <v>0</v>
      </c>
      <c r="N411" s="53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</row>
    <row r="412" spans="1:66" ht="12.75" customHeight="1" x14ac:dyDescent="0.2">
      <c r="A412" s="1" t="s">
        <v>396</v>
      </c>
      <c r="B412" s="4">
        <f>_xll.ciqfunctions.udf.CIQ(InputTicker, "IQ_LIQUIDATION_VALUE_PREFERRED_CONVERT",Input!D$2,Date,,,Ccy,Conv)</f>
        <v>0</v>
      </c>
      <c r="C412" s="4">
        <f>_xll.ciqfunctions.udf.CIQ(InputTicker, "IQ_LIQUIDATION_VALUE_PREFERRED_CONVERT",Input!E$2,Date,,,Ccy,Conv)</f>
        <v>0</v>
      </c>
      <c r="D412" s="4">
        <f>_xll.ciqfunctions.udf.CIQ(InputTicker, "IQ_LIQUIDATION_VALUE_PREFERRED_CONVERT",Input!F$2,Date,,,Ccy,Conv)</f>
        <v>0</v>
      </c>
      <c r="E412" s="4">
        <f>_xll.ciqfunctions.udf.CIQ(InputTicker, "IQ_LIQUIDATION_VALUE_PREFERRED_CONVERT",Input!G$2,Date,,,Ccy,Conv)</f>
        <v>0</v>
      </c>
      <c r="F412" s="4">
        <f>_xll.ciqfunctions.udf.CIQ(InputTicker, "IQ_LIQUIDATION_VALUE_PREFERRED_CONVERT",Input!H$2,Date,,,Ccy,Conv)</f>
        <v>0</v>
      </c>
      <c r="G412" s="4">
        <f>_xll.ciqfunctions.udf.CIQ(InputTicker, "IQ_LIQUIDATION_VALUE_PREFERRED_CONVERT",Input!I$2,Date,,,Ccy,Conv)</f>
        <v>0</v>
      </c>
      <c r="H412" s="4">
        <f>_xll.ciqfunctions.udf.CIQ(InputTicker, "IQ_LIQUIDATION_VALUE_PREFERRED_CONVERT",Input!J$2,Date,,,Ccy,Conv)</f>
        <v>0</v>
      </c>
      <c r="I412" s="4">
        <f>_xll.ciqfunctions.udf.CIQ(InputTicker, "IQ_LIQUIDATION_VALUE_PREFERRED_CONVERT",Input!K$2,Date,,,Ccy,Conv)</f>
        <v>0</v>
      </c>
      <c r="J412" s="4">
        <f>_xll.ciqfunctions.udf.CIQ(InputTicker, "IQ_LIQUIDATION_VALUE_PREFERRED_CONVERT",Input!L$2,Date,,,Ccy,Conv)</f>
        <v>0</v>
      </c>
      <c r="K412" s="4">
        <f>_xll.ciqfunctions.udf.CIQ(InputTicker, "IQ_LIQUIDATION_VALUE_PREFERRED_CONVERT",Input!M$2,Date,,,Ccy,Conv)</f>
        <v>0</v>
      </c>
      <c r="L412" s="4">
        <f>_xll.ciqfunctions.udf.CIQ(InputTicker, "IQ_LIQUIDATION_VALUE_PREFERRED_CONVERT",Input!N$2,Date,,,Ccy,Conv)</f>
        <v>0</v>
      </c>
      <c r="M412" s="4">
        <f>_xll.ciqfunctions.udf.CIQ(InputTicker, "IQ_LIQUIDATION_VALUE_PREFERRED_CONVERT",Input!O$2,Date,,,Ccy,Conv)</f>
        <v>0</v>
      </c>
      <c r="N412" s="53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</row>
    <row r="413" spans="1:66" ht="12.75" customHeight="1" x14ac:dyDescent="0.2">
      <c r="A413" s="1" t="s">
        <v>397</v>
      </c>
      <c r="B413" s="4">
        <f>_xll.ciqfunctions.udf.CIQ(InputTicker, "IQ_LIQUIDATION_VALUE_PREFERRED_NON_REDEEM",Input!D$2,Date,,,Ccy,Conv)</f>
        <v>0</v>
      </c>
      <c r="C413" s="4">
        <f>_xll.ciqfunctions.udf.CIQ(InputTicker, "IQ_LIQUIDATION_VALUE_PREFERRED_NON_REDEEM",Input!E$2,Date,,,Ccy,Conv)</f>
        <v>0</v>
      </c>
      <c r="D413" s="4">
        <f>_xll.ciqfunctions.udf.CIQ(InputTicker, "IQ_LIQUIDATION_VALUE_PREFERRED_NON_REDEEM",Input!F$2,Date,,,Ccy,Conv)</f>
        <v>0</v>
      </c>
      <c r="E413" s="4">
        <f>_xll.ciqfunctions.udf.CIQ(InputTicker, "IQ_LIQUIDATION_VALUE_PREFERRED_NON_REDEEM",Input!G$2,Date,,,Ccy,Conv)</f>
        <v>0</v>
      </c>
      <c r="F413" s="4">
        <f>_xll.ciqfunctions.udf.CIQ(InputTicker, "IQ_LIQUIDATION_VALUE_PREFERRED_NON_REDEEM",Input!H$2,Date,,,Ccy,Conv)</f>
        <v>0</v>
      </c>
      <c r="G413" s="4">
        <f>_xll.ciqfunctions.udf.CIQ(InputTicker, "IQ_LIQUIDATION_VALUE_PREFERRED_NON_REDEEM",Input!I$2,Date,,,Ccy,Conv)</f>
        <v>0</v>
      </c>
      <c r="H413" s="4">
        <f>_xll.ciqfunctions.udf.CIQ(InputTicker, "IQ_LIQUIDATION_VALUE_PREFERRED_NON_REDEEM",Input!J$2,Date,,,Ccy,Conv)</f>
        <v>0</v>
      </c>
      <c r="I413" s="4">
        <f>_xll.ciqfunctions.udf.CIQ(InputTicker, "IQ_LIQUIDATION_VALUE_PREFERRED_NON_REDEEM",Input!K$2,Date,,,Ccy,Conv)</f>
        <v>0</v>
      </c>
      <c r="J413" s="4">
        <f>_xll.ciqfunctions.udf.CIQ(InputTicker, "IQ_LIQUIDATION_VALUE_PREFERRED_NON_REDEEM",Input!L$2,Date,,,Ccy,Conv)</f>
        <v>0</v>
      </c>
      <c r="K413" s="4">
        <f>_xll.ciqfunctions.udf.CIQ(InputTicker, "IQ_LIQUIDATION_VALUE_PREFERRED_NON_REDEEM",Input!M$2,Date,,,Ccy,Conv)</f>
        <v>0</v>
      </c>
      <c r="L413" s="4">
        <f>_xll.ciqfunctions.udf.CIQ(InputTicker, "IQ_LIQUIDATION_VALUE_PREFERRED_NON_REDEEM",Input!N$2,Date,,,Ccy,Conv)</f>
        <v>0</v>
      </c>
      <c r="M413" s="4">
        <f>_xll.ciqfunctions.udf.CIQ(InputTicker, "IQ_LIQUIDATION_VALUE_PREFERRED_NON_REDEEM",Input!O$2,Date,,,Ccy,Conv)</f>
        <v>0</v>
      </c>
      <c r="N413" s="53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</row>
    <row r="414" spans="1:66" ht="12.75" customHeight="1" x14ac:dyDescent="0.2">
      <c r="A414" s="1" t="s">
        <v>398</v>
      </c>
      <c r="B414" s="4">
        <f>_xll.ciqfunctions.udf.CIQ(InputTicker, "IQ_LIQUIDATION_VALUE_PREFERRED_REDEEM",Input!D$2,Date,,,Ccy,Conv)</f>
        <v>0</v>
      </c>
      <c r="C414" s="4">
        <f>_xll.ciqfunctions.udf.CIQ(InputTicker, "IQ_LIQUIDATION_VALUE_PREFERRED_REDEEM",Input!E$2,Date,,,Ccy,Conv)</f>
        <v>0</v>
      </c>
      <c r="D414" s="4">
        <f>_xll.ciqfunctions.udf.CIQ(InputTicker, "IQ_LIQUIDATION_VALUE_PREFERRED_REDEEM",Input!F$2,Date,,,Ccy,Conv)</f>
        <v>0</v>
      </c>
      <c r="E414" s="4">
        <f>_xll.ciqfunctions.udf.CIQ(InputTicker, "IQ_LIQUIDATION_VALUE_PREFERRED_REDEEM",Input!G$2,Date,,,Ccy,Conv)</f>
        <v>0</v>
      </c>
      <c r="F414" s="4">
        <f>_xll.ciqfunctions.udf.CIQ(InputTicker, "IQ_LIQUIDATION_VALUE_PREFERRED_REDEEM",Input!H$2,Date,,,Ccy,Conv)</f>
        <v>0</v>
      </c>
      <c r="G414" s="4">
        <f>_xll.ciqfunctions.udf.CIQ(InputTicker, "IQ_LIQUIDATION_VALUE_PREFERRED_REDEEM",Input!I$2,Date,,,Ccy,Conv)</f>
        <v>0</v>
      </c>
      <c r="H414" s="4">
        <f>_xll.ciqfunctions.udf.CIQ(InputTicker, "IQ_LIQUIDATION_VALUE_PREFERRED_REDEEM",Input!J$2,Date,,,Ccy,Conv)</f>
        <v>0</v>
      </c>
      <c r="I414" s="4">
        <f>_xll.ciqfunctions.udf.CIQ(InputTicker, "IQ_LIQUIDATION_VALUE_PREFERRED_REDEEM",Input!K$2,Date,,,Ccy,Conv)</f>
        <v>0</v>
      </c>
      <c r="J414" s="4">
        <f>_xll.ciqfunctions.udf.CIQ(InputTicker, "IQ_LIQUIDATION_VALUE_PREFERRED_REDEEM",Input!L$2,Date,,,Ccy,Conv)</f>
        <v>0</v>
      </c>
      <c r="K414" s="4">
        <f>_xll.ciqfunctions.udf.CIQ(InputTicker, "IQ_LIQUIDATION_VALUE_PREFERRED_REDEEM",Input!M$2,Date,,,Ccy,Conv)</f>
        <v>0</v>
      </c>
      <c r="L414" s="4">
        <f>_xll.ciqfunctions.udf.CIQ(InputTicker, "IQ_LIQUIDATION_VALUE_PREFERRED_REDEEM",Input!N$2,Date,,,Ccy,Conv)</f>
        <v>0</v>
      </c>
      <c r="M414" s="4">
        <f>_xll.ciqfunctions.udf.CIQ(InputTicker, "IQ_LIQUIDATION_VALUE_PREFERRED_REDEEM",Input!O$2,Date,,,Ccy,Conv)</f>
        <v>0</v>
      </c>
      <c r="N414" s="53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</row>
    <row r="415" spans="1:66" ht="12.75" customHeight="1" x14ac:dyDescent="0.2">
      <c r="A415" s="1" t="s">
        <v>399</v>
      </c>
      <c r="B415" s="4">
        <f>_xll.ciqfunctions.udf.CIQ(InputTicker, "IQ_ASSETS_LEVEL_1",Input!D$2,Date,,,Ccy,Conv)</f>
        <v>42.101999999999997</v>
      </c>
      <c r="C415" s="4">
        <f>_xll.ciqfunctions.udf.CIQ(InputTicker, "IQ_ASSETS_LEVEL_1",Input!E$2,Date,,,Ccy,Conv)</f>
        <v>59.825000000000003</v>
      </c>
      <c r="D415" s="4">
        <f>_xll.ciqfunctions.udf.CIQ(InputTicker, "IQ_ASSETS_LEVEL_1",Input!F$2,Date,,,Ccy,Conv)</f>
        <v>0</v>
      </c>
      <c r="E415" s="4">
        <f>_xll.ciqfunctions.udf.CIQ(InputTicker, "IQ_ASSETS_LEVEL_1",Input!G$2,Date,,,Ccy,Conv)</f>
        <v>3.169</v>
      </c>
      <c r="F415" s="4">
        <f>_xll.ciqfunctions.udf.CIQ(InputTicker, "IQ_ASSETS_LEVEL_1",Input!H$2,Date,,,Ccy,Conv)</f>
        <v>5.8789999999999996</v>
      </c>
      <c r="G415" s="4">
        <f>_xll.ciqfunctions.udf.CIQ(InputTicker, "IQ_ASSETS_LEVEL_1",Input!I$2,Date,,,Ccy,Conv)</f>
        <v>14.141999999999999</v>
      </c>
      <c r="H415" s="4">
        <f>_xll.ciqfunctions.udf.CIQ(InputTicker, "IQ_ASSETS_LEVEL_1",Input!J$2,Date,,,Ccy,Conv)</f>
        <v>20.812000000000001</v>
      </c>
      <c r="I415" s="4">
        <f>_xll.ciqfunctions.udf.CIQ(InputTicker, "IQ_ASSETS_LEVEL_1",Input!K$2,Date,,,Ccy,Conv)</f>
        <v>257.89</v>
      </c>
      <c r="J415" s="4">
        <f>_xll.ciqfunctions.udf.CIQ(InputTicker, "IQ_ASSETS_LEVEL_1",Input!L$2,Date,,,Ccy,Conv)</f>
        <v>222</v>
      </c>
      <c r="K415" s="4">
        <f>_xll.ciqfunctions.udf.CIQ(InputTicker, "IQ_ASSETS_LEVEL_1",Input!M$2,Date,,,Ccy,Conv)</f>
        <v>837</v>
      </c>
      <c r="L415" s="4">
        <f>_xll.ciqfunctions.udf.CIQ(InputTicker, "IQ_ASSETS_LEVEL_1",Input!N$2,Date,,,Ccy,Conv)</f>
        <v>347</v>
      </c>
      <c r="M415" s="4">
        <f>_xll.ciqfunctions.udf.CIQ(InputTicker, "IQ_ASSETS_LEVEL_1",Input!O$2,Date,,,Ccy,Conv)</f>
        <v>347</v>
      </c>
      <c r="N415" s="53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</row>
    <row r="416" spans="1:66" ht="12.75" customHeight="1" x14ac:dyDescent="0.2">
      <c r="A416" s="1" t="s">
        <v>420</v>
      </c>
      <c r="B416" s="4">
        <f>_xll.ciqfunctions.udf.CIQ(InputTicker, "IQ_ASSETS_LEVEL_2",Input!D$2,Date,,,Ccy,Conv)</f>
        <v>145.42699999999999</v>
      </c>
      <c r="C416" s="4">
        <f>_xll.ciqfunctions.udf.CIQ(InputTicker, "IQ_ASSETS_LEVEL_2",Input!E$2,Date,,,Ccy,Conv)</f>
        <v>157.59200000000001</v>
      </c>
      <c r="D416" s="4">
        <f>_xll.ciqfunctions.udf.CIQ(InputTicker, "IQ_ASSETS_LEVEL_2",Input!F$2,Date,,,Ccy,Conv)</f>
        <v>7.9249999999999998</v>
      </c>
      <c r="E416" s="4">
        <f>_xll.ciqfunctions.udf.CIQ(InputTicker, "IQ_ASSETS_LEVEL_2",Input!G$2,Date,,,Ccy,Conv)</f>
        <v>2.4039999999999999</v>
      </c>
      <c r="F416" s="4">
        <f>_xll.ciqfunctions.udf.CIQ(InputTicker, "IQ_ASSETS_LEVEL_2",Input!H$2,Date,,,Ccy,Conv)</f>
        <v>0</v>
      </c>
      <c r="G416" s="4">
        <f>_xll.ciqfunctions.udf.CIQ(InputTicker, "IQ_ASSETS_LEVEL_2",Input!I$2,Date,,,Ccy,Conv)</f>
        <v>0</v>
      </c>
      <c r="H416" s="4">
        <f>_xll.ciqfunctions.udf.CIQ(InputTicker, "IQ_ASSETS_LEVEL_2",Input!J$2,Date,,,Ccy,Conv)</f>
        <v>4.0880000000000001</v>
      </c>
      <c r="I416" s="4">
        <f>_xll.ciqfunctions.udf.CIQ(InputTicker, "IQ_ASSETS_LEVEL_2",Input!K$2,Date,,,Ccy,Conv)</f>
        <v>14.775</v>
      </c>
      <c r="J416" s="4">
        <f>_xll.ciqfunctions.udf.CIQ(InputTicker, "IQ_ASSETS_LEVEL_2",Input!L$2,Date,,,Ccy,Conv)</f>
        <v>10</v>
      </c>
      <c r="K416" s="4">
        <f>_xll.ciqfunctions.udf.CIQ(InputTicker, "IQ_ASSETS_LEVEL_2",Input!M$2,Date,,,Ccy,Conv)</f>
        <v>1</v>
      </c>
      <c r="L416" s="4">
        <f>_xll.ciqfunctions.udf.CIQ(InputTicker, "IQ_ASSETS_LEVEL_2",Input!N$2,Date,,,Ccy,Conv)</f>
        <v>0</v>
      </c>
      <c r="M416" s="4">
        <f>_xll.ciqfunctions.udf.CIQ(InputTicker, "IQ_ASSETS_LEVEL_2",Input!O$2,Date,,,Ccy,Conv)</f>
        <v>0</v>
      </c>
      <c r="N416" s="53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</row>
    <row r="417" spans="1:66" ht="12.75" customHeight="1" x14ac:dyDescent="0.2">
      <c r="A417" s="1" t="s">
        <v>421</v>
      </c>
      <c r="B417" s="4">
        <f>_xll.ciqfunctions.udf.CIQ(InputTicker, "IQ_ASSETS_LEVEL_3",Input!D$2,Date,,,Ccy,Conv)</f>
        <v>0</v>
      </c>
      <c r="C417" s="4">
        <f>_xll.ciqfunctions.udf.CIQ(InputTicker, "IQ_ASSETS_LEVEL_3",Input!E$2,Date,,,Ccy,Conv)</f>
        <v>0</v>
      </c>
      <c r="D417" s="4">
        <f>_xll.ciqfunctions.udf.CIQ(InputTicker, "IQ_ASSETS_LEVEL_3",Input!F$2,Date,,,Ccy,Conv)</f>
        <v>0</v>
      </c>
      <c r="E417" s="4">
        <f>_xll.ciqfunctions.udf.CIQ(InputTicker, "IQ_ASSETS_LEVEL_3",Input!G$2,Date,,,Ccy,Conv)</f>
        <v>0</v>
      </c>
      <c r="F417" s="4">
        <f>_xll.ciqfunctions.udf.CIQ(InputTicker, "IQ_ASSETS_LEVEL_3",Input!H$2,Date,,,Ccy,Conv)</f>
        <v>0</v>
      </c>
      <c r="G417" s="4">
        <f>_xll.ciqfunctions.udf.CIQ(InputTicker, "IQ_ASSETS_LEVEL_3",Input!I$2,Date,,,Ccy,Conv)</f>
        <v>0</v>
      </c>
      <c r="H417" s="4">
        <f>_xll.ciqfunctions.udf.CIQ(InputTicker, "IQ_ASSETS_LEVEL_3",Input!J$2,Date,,,Ccy,Conv)</f>
        <v>0</v>
      </c>
      <c r="I417" s="4">
        <f>_xll.ciqfunctions.udf.CIQ(InputTicker, "IQ_ASSETS_LEVEL_3",Input!K$2,Date,,,Ccy,Conv)</f>
        <v>0</v>
      </c>
      <c r="J417" s="4">
        <f>_xll.ciqfunctions.udf.CIQ(InputTicker, "IQ_ASSETS_LEVEL_3",Input!L$2,Date,,,Ccy,Conv)</f>
        <v>0</v>
      </c>
      <c r="K417" s="4">
        <f>_xll.ciqfunctions.udf.CIQ(InputTicker, "IQ_ASSETS_LEVEL_3",Input!M$2,Date,,,Ccy,Conv)</f>
        <v>0</v>
      </c>
      <c r="L417" s="4">
        <f>_xll.ciqfunctions.udf.CIQ(InputTicker, "IQ_ASSETS_LEVEL_3",Input!N$2,Date,,,Ccy,Conv)</f>
        <v>0</v>
      </c>
      <c r="M417" s="4">
        <f>_xll.ciqfunctions.udf.CIQ(InputTicker, "IQ_ASSETS_LEVEL_3",Input!O$2,Date,,,Ccy,Conv)</f>
        <v>0</v>
      </c>
      <c r="N417" s="53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</row>
    <row r="418" spans="1:66" ht="12.75" customHeight="1" x14ac:dyDescent="0.2">
      <c r="A418" s="1" t="s">
        <v>400</v>
      </c>
      <c r="B418" s="4">
        <f>_xll.ciqfunctions.udf.CIQ(InputTicker, "IQ_ASSETS_NETTING_OTHER_ADJUSTMENTS",Input!D$2,Date,,,Ccy,Conv)</f>
        <v>0</v>
      </c>
      <c r="C418" s="4">
        <f>_xll.ciqfunctions.udf.CIQ(InputTicker, "IQ_ASSETS_NETTING_OTHER_ADJUSTMENTS",Input!E$2,Date,,,Ccy,Conv)</f>
        <v>0</v>
      </c>
      <c r="D418" s="4">
        <f>_xll.ciqfunctions.udf.CIQ(InputTicker, "IQ_ASSETS_NETTING_OTHER_ADJUSTMENTS",Input!F$2,Date,,,Ccy,Conv)</f>
        <v>0</v>
      </c>
      <c r="E418" s="4">
        <f>_xll.ciqfunctions.udf.CIQ(InputTicker, "IQ_ASSETS_NETTING_OTHER_ADJUSTMENTS",Input!G$2,Date,,,Ccy,Conv)</f>
        <v>0</v>
      </c>
      <c r="F418" s="4">
        <f>_xll.ciqfunctions.udf.CIQ(InputTicker, "IQ_ASSETS_NETTING_OTHER_ADJUSTMENTS",Input!H$2,Date,,,Ccy,Conv)</f>
        <v>0</v>
      </c>
      <c r="G418" s="4">
        <f>_xll.ciqfunctions.udf.CIQ(InputTicker, "IQ_ASSETS_NETTING_OTHER_ADJUSTMENTS",Input!I$2,Date,,,Ccy,Conv)</f>
        <v>0</v>
      </c>
      <c r="H418" s="4">
        <f>_xll.ciqfunctions.udf.CIQ(InputTicker, "IQ_ASSETS_NETTING_OTHER_ADJUSTMENTS",Input!J$2,Date,,,Ccy,Conv)</f>
        <v>0</v>
      </c>
      <c r="I418" s="4">
        <f>_xll.ciqfunctions.udf.CIQ(InputTicker, "IQ_ASSETS_NETTING_OTHER_ADJUSTMENTS",Input!K$2,Date,,,Ccy,Conv)</f>
        <v>0</v>
      </c>
      <c r="J418" s="4">
        <f>_xll.ciqfunctions.udf.CIQ(InputTicker, "IQ_ASSETS_NETTING_OTHER_ADJUSTMENTS",Input!L$2,Date,,,Ccy,Conv)</f>
        <v>0</v>
      </c>
      <c r="K418" s="4">
        <f>_xll.ciqfunctions.udf.CIQ(InputTicker, "IQ_ASSETS_NETTING_OTHER_ADJUSTMENTS",Input!M$2,Date,,,Ccy,Conv)</f>
        <v>0</v>
      </c>
      <c r="L418" s="4">
        <f>_xll.ciqfunctions.udf.CIQ(InputTicker, "IQ_ASSETS_NETTING_OTHER_ADJUSTMENTS",Input!N$2,Date,,,Ccy,Conv)</f>
        <v>0</v>
      </c>
      <c r="M418" s="4">
        <f>_xll.ciqfunctions.udf.CIQ(InputTicker, "IQ_ASSETS_NETTING_OTHER_ADJUSTMENTS",Input!O$2,Date,,,Ccy,Conv)</f>
        <v>0</v>
      </c>
      <c r="N418" s="53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</row>
    <row r="419" spans="1:66" ht="12.75" customHeight="1" x14ac:dyDescent="0.2">
      <c r="A419" s="1" t="s">
        <v>401</v>
      </c>
      <c r="B419" s="4">
        <f>_xll.ciqfunctions.udf.CIQ(InputTicker, "IQ_ASSETS_FAIR_VALUE",Input!D$2,Date,,,Ccy,Conv)</f>
        <v>187.529</v>
      </c>
      <c r="C419" s="4">
        <f>_xll.ciqfunctions.udf.CIQ(InputTicker, "IQ_ASSETS_FAIR_VALUE",Input!E$2,Date,,,Ccy,Conv)</f>
        <v>217.417</v>
      </c>
      <c r="D419" s="4">
        <f>_xll.ciqfunctions.udf.CIQ(InputTicker, "IQ_ASSETS_FAIR_VALUE",Input!F$2,Date,,,Ccy,Conv)</f>
        <v>7.9249999999999998</v>
      </c>
      <c r="E419" s="4">
        <f>_xll.ciqfunctions.udf.CIQ(InputTicker, "IQ_ASSETS_FAIR_VALUE",Input!G$2,Date,,,Ccy,Conv)</f>
        <v>5.5730000000000004</v>
      </c>
      <c r="F419" s="4">
        <f>_xll.ciqfunctions.udf.CIQ(InputTicker, "IQ_ASSETS_FAIR_VALUE",Input!H$2,Date,,,Ccy,Conv)</f>
        <v>5.8789999999999996</v>
      </c>
      <c r="G419" s="4">
        <f>_xll.ciqfunctions.udf.CIQ(InputTicker, "IQ_ASSETS_FAIR_VALUE",Input!I$2,Date,,,Ccy,Conv)</f>
        <v>14.141999999999999</v>
      </c>
      <c r="H419" s="4">
        <f>_xll.ciqfunctions.udf.CIQ(InputTicker, "IQ_ASSETS_FAIR_VALUE",Input!J$2,Date,,,Ccy,Conv)</f>
        <v>24.9</v>
      </c>
      <c r="I419" s="4">
        <f>_xll.ciqfunctions.udf.CIQ(InputTicker, "IQ_ASSETS_FAIR_VALUE",Input!K$2,Date,,,Ccy,Conv)</f>
        <v>272.66500000000002</v>
      </c>
      <c r="J419" s="4">
        <f>_xll.ciqfunctions.udf.CIQ(InputTicker, "IQ_ASSETS_FAIR_VALUE",Input!L$2,Date,,,Ccy,Conv)</f>
        <v>232</v>
      </c>
      <c r="K419" s="4">
        <f>_xll.ciqfunctions.udf.CIQ(InputTicker, "IQ_ASSETS_FAIR_VALUE",Input!M$2,Date,,,Ccy,Conv)</f>
        <v>838</v>
      </c>
      <c r="L419" s="4">
        <f>_xll.ciqfunctions.udf.CIQ(InputTicker, "IQ_ASSETS_FAIR_VALUE",Input!N$2,Date,,,Ccy,Conv)</f>
        <v>347</v>
      </c>
      <c r="M419" s="4">
        <f>_xll.ciqfunctions.udf.CIQ(InputTicker, "IQ_ASSETS_FAIR_VALUE",Input!O$2,Date,,,Ccy,Conv)</f>
        <v>347</v>
      </c>
      <c r="N419" s="53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</row>
    <row r="420" spans="1:66" ht="12.75" customHeight="1" x14ac:dyDescent="0.2">
      <c r="A420" s="1" t="s">
        <v>402</v>
      </c>
      <c r="B420" s="4">
        <f>_xll.ciqfunctions.udf.CIQ(InputTicker, "IQ_LIABILITIES_LEVEL_1",Input!D$2,Date,,,Ccy,Conv)</f>
        <v>0</v>
      </c>
      <c r="C420" s="4">
        <f>_xll.ciqfunctions.udf.CIQ(InputTicker, "IQ_LIABILITIES_LEVEL_1",Input!E$2,Date,,,Ccy,Conv)</f>
        <v>0</v>
      </c>
      <c r="D420" s="4">
        <f>_xll.ciqfunctions.udf.CIQ(InputTicker, "IQ_LIABILITIES_LEVEL_1",Input!F$2,Date,,,Ccy,Conv)</f>
        <v>0</v>
      </c>
      <c r="E420" s="4">
        <f>_xll.ciqfunctions.udf.CIQ(InputTicker, "IQ_LIABILITIES_LEVEL_1",Input!G$2,Date,,,Ccy,Conv)</f>
        <v>3.169</v>
      </c>
      <c r="F420" s="4">
        <f>_xll.ciqfunctions.udf.CIQ(InputTicker, "IQ_LIABILITIES_LEVEL_1",Input!H$2,Date,,,Ccy,Conv)</f>
        <v>5.8789999999999996</v>
      </c>
      <c r="G420" s="4">
        <f>_xll.ciqfunctions.udf.CIQ(InputTicker, "IQ_LIABILITIES_LEVEL_1",Input!I$2,Date,,,Ccy,Conv)</f>
        <v>14.141999999999999</v>
      </c>
      <c r="H420" s="4">
        <f>_xll.ciqfunctions.udf.CIQ(InputTicker, "IQ_LIABILITIES_LEVEL_1",Input!J$2,Date,,,Ccy,Conv)</f>
        <v>16.512</v>
      </c>
      <c r="I420" s="4">
        <f>_xll.ciqfunctions.udf.CIQ(InputTicker, "IQ_LIABILITIES_LEVEL_1",Input!K$2,Date,,,Ccy,Conv)</f>
        <v>20.09</v>
      </c>
      <c r="J420" s="4">
        <f>_xll.ciqfunctions.udf.CIQ(InputTicker, "IQ_LIABILITIES_LEVEL_1",Input!L$2,Date,,,Ccy,Conv)</f>
        <v>29</v>
      </c>
      <c r="K420" s="4">
        <f>_xll.ciqfunctions.udf.CIQ(InputTicker, "IQ_LIABILITIES_LEVEL_1",Input!M$2,Date,,,Ccy,Conv)</f>
        <v>35</v>
      </c>
      <c r="L420" s="4">
        <f>_xll.ciqfunctions.udf.CIQ(InputTicker, "IQ_LIABILITIES_LEVEL_1",Input!N$2,Date,,,Ccy,Conv)</f>
        <v>40</v>
      </c>
      <c r="M420" s="4">
        <f>_xll.ciqfunctions.udf.CIQ(InputTicker, "IQ_LIABILITIES_LEVEL_1",Input!O$2,Date,,,Ccy,Conv)</f>
        <v>40</v>
      </c>
      <c r="N420" s="53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</row>
    <row r="421" spans="1:66" ht="12.75" customHeight="1" x14ac:dyDescent="0.2">
      <c r="A421" s="1" t="s">
        <v>422</v>
      </c>
      <c r="B421" s="4">
        <f>_xll.ciqfunctions.udf.CIQ(InputTicker, "IQ_LIABILITIES_LEVEL_2",Input!D$2,Date,,,Ccy,Conv)</f>
        <v>0</v>
      </c>
      <c r="C421" s="4">
        <f>_xll.ciqfunctions.udf.CIQ(InputTicker, "IQ_LIABILITIES_LEVEL_2",Input!E$2,Date,,,Ccy,Conv)</f>
        <v>0</v>
      </c>
      <c r="D421" s="4">
        <f>_xll.ciqfunctions.udf.CIQ(InputTicker, "IQ_LIABILITIES_LEVEL_2",Input!F$2,Date,,,Ccy,Conv)</f>
        <v>0</v>
      </c>
      <c r="E421" s="4">
        <f>_xll.ciqfunctions.udf.CIQ(InputTicker, "IQ_LIABILITIES_LEVEL_2",Input!G$2,Date,,,Ccy,Conv)</f>
        <v>5.2759999999999998</v>
      </c>
      <c r="F421" s="4">
        <f>_xll.ciqfunctions.udf.CIQ(InputTicker, "IQ_LIABILITIES_LEVEL_2",Input!H$2,Date,,,Ccy,Conv)</f>
        <v>56.65</v>
      </c>
      <c r="G421" s="4">
        <f>_xll.ciqfunctions.udf.CIQ(InputTicker, "IQ_LIABILITIES_LEVEL_2",Input!I$2,Date,,,Ccy,Conv)</f>
        <v>38.161999999999999</v>
      </c>
      <c r="H421" s="4">
        <f>_xll.ciqfunctions.udf.CIQ(InputTicker, "IQ_LIABILITIES_LEVEL_2",Input!J$2,Date,,,Ccy,Conv)</f>
        <v>2766.509</v>
      </c>
      <c r="I421" s="4">
        <f>_xll.ciqfunctions.udf.CIQ(InputTicker, "IQ_LIABILITIES_LEVEL_2",Input!K$2,Date,,,Ccy,Conv)</f>
        <v>2692.7</v>
      </c>
      <c r="J421" s="4">
        <f>_xll.ciqfunctions.udf.CIQ(InputTicker, "IQ_LIABILITIES_LEVEL_2",Input!L$2,Date,,,Ccy,Conv)</f>
        <v>3377</v>
      </c>
      <c r="K421" s="4">
        <f>_xll.ciqfunctions.udf.CIQ(InputTicker, "IQ_LIABILITIES_LEVEL_2",Input!M$2,Date,,,Ccy,Conv)</f>
        <v>3957</v>
      </c>
      <c r="L421" s="4">
        <f>_xll.ciqfunctions.udf.CIQ(InputTicker, "IQ_LIABILITIES_LEVEL_2",Input!N$2,Date,,,Ccy,Conv)</f>
        <v>3938</v>
      </c>
      <c r="M421" s="4">
        <f>_xll.ciqfunctions.udf.CIQ(InputTicker, "IQ_LIABILITIES_LEVEL_2",Input!O$2,Date,,,Ccy,Conv)</f>
        <v>3938</v>
      </c>
      <c r="N421" s="53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</row>
    <row r="422" spans="1:66" ht="12.75" customHeight="1" x14ac:dyDescent="0.2">
      <c r="A422" s="1" t="s">
        <v>423</v>
      </c>
      <c r="B422" s="4">
        <f>_xll.ciqfunctions.udf.CIQ(InputTicker, "IQ_LIABILITIES_LEVEL_3",Input!D$2,Date,,,Ccy,Conv)</f>
        <v>0</v>
      </c>
      <c r="C422" s="4">
        <f>_xll.ciqfunctions.udf.CIQ(InputTicker, "IQ_LIABILITIES_LEVEL_3",Input!E$2,Date,,,Ccy,Conv)</f>
        <v>3.5760000000000001</v>
      </c>
      <c r="D422" s="4">
        <f>_xll.ciqfunctions.udf.CIQ(InputTicker, "IQ_LIABILITIES_LEVEL_3",Input!F$2,Date,,,Ccy,Conv)</f>
        <v>3.5760000000000001</v>
      </c>
      <c r="E422" s="4">
        <f>_xll.ciqfunctions.udf.CIQ(InputTicker, "IQ_LIABILITIES_LEVEL_3",Input!G$2,Date,,,Ccy,Conv)</f>
        <v>1.224</v>
      </c>
      <c r="F422" s="4">
        <f>_xll.ciqfunctions.udf.CIQ(InputTicker, "IQ_LIABILITIES_LEVEL_3",Input!H$2,Date,,,Ccy,Conv)</f>
        <v>1.224</v>
      </c>
      <c r="G422" s="4">
        <f>_xll.ciqfunctions.udf.CIQ(InputTicker, "IQ_LIABILITIES_LEVEL_3",Input!I$2,Date,,,Ccy,Conv)</f>
        <v>1.2230000000000001</v>
      </c>
      <c r="H422" s="4">
        <f>_xll.ciqfunctions.udf.CIQ(InputTicker, "IQ_LIABILITIES_LEVEL_3",Input!J$2,Date,,,Ccy,Conv)</f>
        <v>0</v>
      </c>
      <c r="I422" s="4">
        <f>_xll.ciqfunctions.udf.CIQ(InputTicker, "IQ_LIABILITIES_LEVEL_3",Input!K$2,Date,,,Ccy,Conv)</f>
        <v>0</v>
      </c>
      <c r="J422" s="4">
        <f>_xll.ciqfunctions.udf.CIQ(InputTicker, "IQ_LIABILITIES_LEVEL_3",Input!L$2,Date,,,Ccy,Conv)</f>
        <v>0</v>
      </c>
      <c r="K422" s="4">
        <f>_xll.ciqfunctions.udf.CIQ(InputTicker, "IQ_LIABILITIES_LEVEL_3",Input!M$2,Date,,,Ccy,Conv)</f>
        <v>0</v>
      </c>
      <c r="L422" s="4">
        <f>_xll.ciqfunctions.udf.CIQ(InputTicker, "IQ_LIABILITIES_LEVEL_3",Input!N$2,Date,,,Ccy,Conv)</f>
        <v>0</v>
      </c>
      <c r="M422" s="4">
        <f>_xll.ciqfunctions.udf.CIQ(InputTicker, "IQ_LIABILITIES_LEVEL_3",Input!O$2,Date,,,Ccy,Conv)</f>
        <v>0</v>
      </c>
      <c r="N422" s="53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</row>
    <row r="423" spans="1:66" ht="12.75" customHeight="1" x14ac:dyDescent="0.2">
      <c r="A423" s="1" t="s">
        <v>403</v>
      </c>
      <c r="B423" s="4">
        <f>_xll.ciqfunctions.udf.CIQ(InputTicker, "IQ_LIABILITIES_NETTING_OTHER_ADJUSTMENTS",Input!D$2,Date,,,Ccy,Conv)</f>
        <v>0</v>
      </c>
      <c r="C423" s="4">
        <f>_xll.ciqfunctions.udf.CIQ(InputTicker, "IQ_LIABILITIES_NETTING_OTHER_ADJUSTMENTS",Input!E$2,Date,,,Ccy,Conv)</f>
        <v>0</v>
      </c>
      <c r="D423" s="4">
        <f>_xll.ciqfunctions.udf.CIQ(InputTicker, "IQ_LIABILITIES_NETTING_OTHER_ADJUSTMENTS",Input!F$2,Date,,,Ccy,Conv)</f>
        <v>0</v>
      </c>
      <c r="E423" s="4">
        <f>_xll.ciqfunctions.udf.CIQ(InputTicker, "IQ_LIABILITIES_NETTING_OTHER_ADJUSTMENTS",Input!G$2,Date,,,Ccy,Conv)</f>
        <v>0</v>
      </c>
      <c r="F423" s="4">
        <f>_xll.ciqfunctions.udf.CIQ(InputTicker, "IQ_LIABILITIES_NETTING_OTHER_ADJUSTMENTS",Input!H$2,Date,,,Ccy,Conv)</f>
        <v>0</v>
      </c>
      <c r="G423" s="4">
        <f>_xll.ciqfunctions.udf.CIQ(InputTicker, "IQ_LIABILITIES_NETTING_OTHER_ADJUSTMENTS",Input!I$2,Date,,,Ccy,Conv)</f>
        <v>0</v>
      </c>
      <c r="H423" s="4">
        <f>_xll.ciqfunctions.udf.CIQ(InputTicker, "IQ_LIABILITIES_NETTING_OTHER_ADJUSTMENTS",Input!J$2,Date,,,Ccy,Conv)</f>
        <v>0</v>
      </c>
      <c r="I423" s="4">
        <f>_xll.ciqfunctions.udf.CIQ(InputTicker, "IQ_LIABILITIES_NETTING_OTHER_ADJUSTMENTS",Input!K$2,Date,,,Ccy,Conv)</f>
        <v>0</v>
      </c>
      <c r="J423" s="4">
        <f>_xll.ciqfunctions.udf.CIQ(InputTicker, "IQ_LIABILITIES_NETTING_OTHER_ADJUSTMENTS",Input!L$2,Date,,,Ccy,Conv)</f>
        <v>0</v>
      </c>
      <c r="K423" s="4">
        <f>_xll.ciqfunctions.udf.CIQ(InputTicker, "IQ_LIABILITIES_NETTING_OTHER_ADJUSTMENTS",Input!M$2,Date,,,Ccy,Conv)</f>
        <v>0</v>
      </c>
      <c r="L423" s="4">
        <f>_xll.ciqfunctions.udf.CIQ(InputTicker, "IQ_LIABILITIES_NETTING_OTHER_ADJUSTMENTS",Input!N$2,Date,,,Ccy,Conv)</f>
        <v>0</v>
      </c>
      <c r="M423" s="4">
        <f>_xll.ciqfunctions.udf.CIQ(InputTicker, "IQ_LIABILITIES_NETTING_OTHER_ADJUSTMENTS",Input!O$2,Date,,,Ccy,Conv)</f>
        <v>0</v>
      </c>
      <c r="N423" s="53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</row>
    <row r="424" spans="1:66" ht="12.75" customHeight="1" x14ac:dyDescent="0.2">
      <c r="A424" s="1" t="s">
        <v>404</v>
      </c>
      <c r="B424" s="4">
        <f>_xll.ciqfunctions.udf.CIQ(InputTicker, "IQ_LIABILITIES_FAIR_VALUE",Input!D$2,Date,,,Ccy,Conv)</f>
        <v>0</v>
      </c>
      <c r="C424" s="4">
        <f>_xll.ciqfunctions.udf.CIQ(InputTicker, "IQ_LIABILITIES_FAIR_VALUE",Input!E$2,Date,,,Ccy,Conv)</f>
        <v>3.5760000000000001</v>
      </c>
      <c r="D424" s="4">
        <f>_xll.ciqfunctions.udf.CIQ(InputTicker, "IQ_LIABILITIES_FAIR_VALUE",Input!F$2,Date,,,Ccy,Conv)</f>
        <v>3.5760000000000001</v>
      </c>
      <c r="E424" s="4">
        <f>_xll.ciqfunctions.udf.CIQ(InputTicker, "IQ_LIABILITIES_FAIR_VALUE",Input!G$2,Date,,,Ccy,Conv)</f>
        <v>9.6690000000000005</v>
      </c>
      <c r="F424" s="4">
        <f>_xll.ciqfunctions.udf.CIQ(InputTicker, "IQ_LIABILITIES_FAIR_VALUE",Input!H$2,Date,,,Ccy,Conv)</f>
        <v>63.753</v>
      </c>
      <c r="G424" s="4">
        <f>_xll.ciqfunctions.udf.CIQ(InputTicker, "IQ_LIABILITIES_FAIR_VALUE",Input!I$2,Date,,,Ccy,Conv)</f>
        <v>53.527000000000001</v>
      </c>
      <c r="H424" s="4">
        <f>_xll.ciqfunctions.udf.CIQ(InputTicker, "IQ_LIABILITIES_FAIR_VALUE",Input!J$2,Date,,,Ccy,Conv)</f>
        <v>2783.0210000000002</v>
      </c>
      <c r="I424" s="4">
        <f>_xll.ciqfunctions.udf.CIQ(InputTicker, "IQ_LIABILITIES_FAIR_VALUE",Input!K$2,Date,,,Ccy,Conv)</f>
        <v>2712.79</v>
      </c>
      <c r="J424" s="4">
        <f>_xll.ciqfunctions.udf.CIQ(InputTicker, "IQ_LIABILITIES_FAIR_VALUE",Input!L$2,Date,,,Ccy,Conv)</f>
        <v>3406</v>
      </c>
      <c r="K424" s="4">
        <f>_xll.ciqfunctions.udf.CIQ(InputTicker, "IQ_LIABILITIES_FAIR_VALUE",Input!M$2,Date,,,Ccy,Conv)</f>
        <v>3992</v>
      </c>
      <c r="L424" s="4">
        <f>_xll.ciqfunctions.udf.CIQ(InputTicker, "IQ_LIABILITIES_FAIR_VALUE",Input!N$2,Date,,,Ccy,Conv)</f>
        <v>3978</v>
      </c>
      <c r="M424" s="4">
        <f>_xll.ciqfunctions.udf.CIQ(InputTicker, "IQ_LIABILITIES_FAIR_VALUE",Input!O$2,Date,,,Ccy,Conv)</f>
        <v>3978</v>
      </c>
      <c r="N424" s="54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</row>
    <row r="425" spans="1:66" ht="12.75" customHeight="1" x14ac:dyDescent="0.2">
      <c r="A425" s="1" t="s">
        <v>405</v>
      </c>
      <c r="B425" s="4">
        <f>_xll.ciqfunctions.udf.CIQ(InputTicker, "IQ_FAIR_VALUE_CHANGE_INCL_EARNINGS",Input!D$2,Date,,,Ccy,Conv)</f>
        <v>0</v>
      </c>
      <c r="C425" s="4">
        <f>_xll.ciqfunctions.udf.CIQ(InputTicker, "IQ_FAIR_VALUE_CHANGE_INCL_EARNINGS",Input!E$2,Date,,,Ccy,Conv)</f>
        <v>0</v>
      </c>
      <c r="D425" s="4">
        <f>_xll.ciqfunctions.udf.CIQ(InputTicker, "IQ_FAIR_VALUE_CHANGE_INCL_EARNINGS",Input!F$2,Date,,,Ccy,Conv)</f>
        <v>0</v>
      </c>
      <c r="E425" s="4">
        <f>_xll.ciqfunctions.udf.CIQ(InputTicker, "IQ_FAIR_VALUE_CHANGE_INCL_EARNINGS",Input!G$2,Date,,,Ccy,Conv)</f>
        <v>0</v>
      </c>
      <c r="F425" s="4">
        <f>_xll.ciqfunctions.udf.CIQ(InputTicker, "IQ_FAIR_VALUE_CHANGE_INCL_EARNINGS",Input!H$2,Date,,,Ccy,Conv)</f>
        <v>0</v>
      </c>
      <c r="G425" s="4">
        <f>_xll.ciqfunctions.udf.CIQ(InputTicker, "IQ_FAIR_VALUE_CHANGE_INCL_EARNINGS",Input!I$2,Date,,,Ccy,Conv)</f>
        <v>0</v>
      </c>
      <c r="H425" s="4">
        <f>_xll.ciqfunctions.udf.CIQ(InputTicker, "IQ_FAIR_VALUE_CHANGE_INCL_EARNINGS",Input!J$2,Date,,,Ccy,Conv)</f>
        <v>0</v>
      </c>
      <c r="I425" s="4">
        <f>_xll.ciqfunctions.udf.CIQ(InputTicker, "IQ_FAIR_VALUE_CHANGE_INCL_EARNINGS",Input!K$2,Date,,,Ccy,Conv)</f>
        <v>0</v>
      </c>
      <c r="J425" s="4">
        <f>_xll.ciqfunctions.udf.CIQ(InputTicker, "IQ_FAIR_VALUE_CHANGE_INCL_EARNINGS",Input!L$2,Date,,,Ccy,Conv)</f>
        <v>0</v>
      </c>
      <c r="K425" s="4">
        <f>_xll.ciqfunctions.udf.CIQ(InputTicker, "IQ_FAIR_VALUE_CHANGE_INCL_EARNINGS",Input!M$2,Date,,,Ccy,Conv)</f>
        <v>0</v>
      </c>
      <c r="L425" s="4">
        <f>_xll.ciqfunctions.udf.CIQ(InputTicker, "IQ_FAIR_VALUE_CHANGE_INCL_EARNINGS",Input!N$2,Date,,,Ccy,Conv)</f>
        <v>0</v>
      </c>
      <c r="M425" s="4">
        <f>_xll.ciqfunctions.udf.CIQ(InputTicker, "IQ_FAIR_VALUE_CHANGE_INCL_EARNINGS",Input!O$2,Date,,,Ccy,Conv)</f>
        <v>0</v>
      </c>
      <c r="N425" s="54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</row>
    <row r="426" spans="1:66" ht="12.75" customHeight="1" x14ac:dyDescent="0.2">
      <c r="A426" s="1" t="s">
        <v>357</v>
      </c>
      <c r="B426" s="18">
        <f>_xll.ciqfunctions.udf.CIQ(InputTicker, "IQ_FULL_TIME",Input!D$2,Date)</f>
        <v>22600</v>
      </c>
      <c r="C426" s="18">
        <f>_xll.ciqfunctions.udf.CIQ(InputTicker, "IQ_FULL_TIME",Input!E$2,Date)</f>
        <v>23300</v>
      </c>
      <c r="D426" s="18">
        <f>_xll.ciqfunctions.udf.CIQ(InputTicker, "IQ_FULL_TIME",Input!F$2,Date)</f>
        <v>24600</v>
      </c>
      <c r="E426" s="18">
        <f>_xll.ciqfunctions.udf.CIQ(InputTicker, "IQ_FULL_TIME",Input!G$2,Date)</f>
        <v>26100</v>
      </c>
      <c r="F426" s="18">
        <f>_xll.ciqfunctions.udf.CIQ(InputTicker, "IQ_FULL_TIME",Input!H$2,Date)</f>
        <v>27200</v>
      </c>
      <c r="G426" s="18">
        <f>_xll.ciqfunctions.udf.CIQ(InputTicker, "IQ_FULL_TIME",Input!I$2,Date)</f>
        <v>27700</v>
      </c>
      <c r="H426" s="18">
        <f>_xll.ciqfunctions.udf.CIQ(InputTicker, "IQ_FULL_TIME",Input!J$2,Date)</f>
        <v>29300</v>
      </c>
      <c r="I426" s="18">
        <f>_xll.ciqfunctions.udf.CIQ(InputTicker, "IQ_FULL_TIME",Input!K$2,Date)</f>
        <v>31900</v>
      </c>
      <c r="J426" s="18">
        <f>_xll.ciqfunctions.udf.CIQ(InputTicker, "IQ_FULL_TIME",Input!L$2,Date)</f>
        <v>34200</v>
      </c>
      <c r="K426" s="18">
        <f>_xll.ciqfunctions.udf.CIQ(InputTicker, "IQ_FULL_TIME",Input!M$2,Date)</f>
        <v>35800</v>
      </c>
      <c r="L426" s="18">
        <f>_xll.ciqfunctions.udf.CIQ(InputTicker, "IQ_FULL_TIME",Input!N$2,Date)</f>
        <v>31500</v>
      </c>
      <c r="M426" s="18">
        <f>_xll.ciqfunctions.udf.CIQ(InputTicker, "IQ_FULL_TIME",Input!O$2,Date)</f>
        <v>31500</v>
      </c>
      <c r="N426" s="53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</row>
    <row r="427" spans="1:66" ht="12.75" customHeight="1" x14ac:dyDescent="0.2">
      <c r="A427" s="1" t="s">
        <v>358</v>
      </c>
      <c r="B427" s="18">
        <f>_xll.ciqfunctions.udf.CIQ(InputTicker, "IQ_PART_TIME",Input!D$2,Date)</f>
        <v>0</v>
      </c>
      <c r="C427" s="18">
        <f>_xll.ciqfunctions.udf.CIQ(InputTicker, "IQ_PART_TIME",Input!E$2,Date)</f>
        <v>0</v>
      </c>
      <c r="D427" s="18">
        <f>_xll.ciqfunctions.udf.CIQ(InputTicker, "IQ_PART_TIME",Input!F$2,Date)</f>
        <v>0</v>
      </c>
      <c r="E427" s="18">
        <f>_xll.ciqfunctions.udf.CIQ(InputTicker, "IQ_PART_TIME",Input!G$2,Date)</f>
        <v>0</v>
      </c>
      <c r="F427" s="18">
        <f>_xll.ciqfunctions.udf.CIQ(InputTicker, "IQ_PART_TIME",Input!H$2,Date)</f>
        <v>0</v>
      </c>
      <c r="G427" s="18">
        <f>_xll.ciqfunctions.udf.CIQ(InputTicker, "IQ_PART_TIME",Input!I$2,Date)</f>
        <v>0</v>
      </c>
      <c r="H427" s="18">
        <f>_xll.ciqfunctions.udf.CIQ(InputTicker, "IQ_PART_TIME",Input!J$2,Date)</f>
        <v>0</v>
      </c>
      <c r="I427" s="18">
        <f>_xll.ciqfunctions.udf.CIQ(InputTicker, "IQ_PART_TIME",Input!K$2,Date)</f>
        <v>0</v>
      </c>
      <c r="J427" s="18">
        <f>_xll.ciqfunctions.udf.CIQ(InputTicker, "IQ_PART_TIME",Input!L$2,Date)</f>
        <v>0</v>
      </c>
      <c r="K427" s="18">
        <f>_xll.ciqfunctions.udf.CIQ(InputTicker, "IQ_PART_TIME",Input!M$2,Date)</f>
        <v>0</v>
      </c>
      <c r="L427" s="18">
        <f>_xll.ciqfunctions.udf.CIQ(InputTicker, "IQ_PART_TIME",Input!N$2,Date)</f>
        <v>0</v>
      </c>
      <c r="M427" s="18">
        <f>_xll.ciqfunctions.udf.CIQ(InputTicker, "IQ_PART_TIME",Input!O$2,Date)</f>
        <v>0</v>
      </c>
      <c r="N427" s="53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</row>
    <row r="428" spans="1:66" ht="12.75" customHeight="1" x14ac:dyDescent="0.2">
      <c r="A428" s="1" t="s">
        <v>359</v>
      </c>
      <c r="B428" s="18">
        <f>_xll.ciqfunctions.udf.CIQ(InputTicker, "IQ_TOTAL_EMPLOYEES",Input!D$2,Date)</f>
        <v>22600</v>
      </c>
      <c r="C428" s="18">
        <f>_xll.ciqfunctions.udf.CIQ(InputTicker, "IQ_TOTAL_EMPLOYEES",Input!E$2,Date)</f>
        <v>23300</v>
      </c>
      <c r="D428" s="18">
        <f>_xll.ciqfunctions.udf.CIQ(InputTicker, "IQ_TOTAL_EMPLOYEES",Input!F$2,Date)</f>
        <v>24600</v>
      </c>
      <c r="E428" s="18">
        <f>_xll.ciqfunctions.udf.CIQ(InputTicker, "IQ_TOTAL_EMPLOYEES",Input!G$2,Date)</f>
        <v>26100</v>
      </c>
      <c r="F428" s="18">
        <f>_xll.ciqfunctions.udf.CIQ(InputTicker, "IQ_TOTAL_EMPLOYEES",Input!H$2,Date)</f>
        <v>27200</v>
      </c>
      <c r="G428" s="18">
        <f>_xll.ciqfunctions.udf.CIQ(InputTicker, "IQ_TOTAL_EMPLOYEES",Input!I$2,Date)</f>
        <v>27700</v>
      </c>
      <c r="H428" s="18">
        <f>_xll.ciqfunctions.udf.CIQ(InputTicker, "IQ_TOTAL_EMPLOYEES",Input!J$2,Date)</f>
        <v>29300</v>
      </c>
      <c r="I428" s="18">
        <f>_xll.ciqfunctions.udf.CIQ(InputTicker, "IQ_TOTAL_EMPLOYEES",Input!K$2,Date)</f>
        <v>31900</v>
      </c>
      <c r="J428" s="18">
        <f>_xll.ciqfunctions.udf.CIQ(InputTicker, "IQ_TOTAL_EMPLOYEES",Input!L$2,Date)</f>
        <v>34200</v>
      </c>
      <c r="K428" s="18">
        <f>_xll.ciqfunctions.udf.CIQ(InputTicker, "IQ_TOTAL_EMPLOYEES",Input!M$2,Date)</f>
        <v>35800</v>
      </c>
      <c r="L428" s="18">
        <f>_xll.ciqfunctions.udf.CIQ(InputTicker, "IQ_TOTAL_EMPLOYEES",Input!N$2,Date)</f>
        <v>31500</v>
      </c>
      <c r="M428" s="18">
        <f>_xll.ciqfunctions.udf.CIQ(InputTicker, "IQ_TOTAL_EMPLOYEES",Input!O$2,Date)</f>
        <v>31500</v>
      </c>
      <c r="N428" s="53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</row>
    <row r="429" spans="1:66" ht="12.75" customHeight="1" x14ac:dyDescent="0.2">
      <c r="A429" s="1" t="s">
        <v>394</v>
      </c>
      <c r="B429" s="18">
        <f>_xll.ciqfunctions.udf.CIQ(InputTicker, "IQ_EMPLOYEES_UNDER_UNION_CONTRACTS",Input!D$2,Date)</f>
        <v>0</v>
      </c>
      <c r="C429" s="18">
        <f>_xll.ciqfunctions.udf.CIQ(InputTicker, "IQ_EMPLOYEES_UNDER_UNION_CONTRACTS",Input!E$2,Date)</f>
        <v>0</v>
      </c>
      <c r="D429" s="18">
        <f>_xll.ciqfunctions.udf.CIQ(InputTicker, "IQ_EMPLOYEES_UNDER_UNION_CONTRACTS",Input!F$2,Date)</f>
        <v>0</v>
      </c>
      <c r="E429" s="18">
        <f>_xll.ciqfunctions.udf.CIQ(InputTicker, "IQ_EMPLOYEES_UNDER_UNION_CONTRACTS",Input!G$2,Date)</f>
        <v>0</v>
      </c>
      <c r="F429" s="18">
        <f>_xll.ciqfunctions.udf.CIQ(InputTicker, "IQ_EMPLOYEES_UNDER_UNION_CONTRACTS",Input!H$2,Date)</f>
        <v>0</v>
      </c>
      <c r="G429" s="18">
        <f>_xll.ciqfunctions.udf.CIQ(InputTicker, "IQ_EMPLOYEES_UNDER_UNION_CONTRACTS",Input!I$2,Date)</f>
        <v>0</v>
      </c>
      <c r="H429" s="18">
        <f>_xll.ciqfunctions.udf.CIQ(InputTicker, "IQ_EMPLOYEES_UNDER_UNION_CONTRACTS",Input!J$2,Date)</f>
        <v>0</v>
      </c>
      <c r="I429" s="18">
        <f>_xll.ciqfunctions.udf.CIQ(InputTicker, "IQ_EMPLOYEES_UNDER_UNION_CONTRACTS",Input!K$2,Date)</f>
        <v>0</v>
      </c>
      <c r="J429" s="18">
        <f>_xll.ciqfunctions.udf.CIQ(InputTicker, "IQ_EMPLOYEES_UNDER_UNION_CONTRACTS",Input!L$2,Date)</f>
        <v>0</v>
      </c>
      <c r="K429" s="18">
        <f>_xll.ciqfunctions.udf.CIQ(InputTicker, "IQ_EMPLOYEES_UNDER_UNION_CONTRACTS",Input!M$2,Date)</f>
        <v>0</v>
      </c>
      <c r="L429" s="18">
        <f>_xll.ciqfunctions.udf.CIQ(InputTicker, "IQ_EMPLOYEES_UNDER_UNION_CONTRACTS",Input!N$2,Date)</f>
        <v>0</v>
      </c>
      <c r="M429" s="18">
        <f>_xll.ciqfunctions.udf.CIQ(InputTicker, "IQ_EMPLOYEES_UNDER_UNION_CONTRACTS",Input!O$2,Date)</f>
        <v>0</v>
      </c>
      <c r="N429" s="53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</row>
    <row r="430" spans="1:66" ht="12.75" customHeight="1" x14ac:dyDescent="0.2">
      <c r="A430" s="1" t="s">
        <v>371</v>
      </c>
      <c r="B430" s="18">
        <f>_xll.ciqfunctions.udf.CIQ(InputTicker, "IQ_AVG_EMPLOYEES",Input!D$2,Date)</f>
        <v>0</v>
      </c>
      <c r="C430" s="18">
        <f>_xll.ciqfunctions.udf.CIQ(InputTicker, "IQ_AVG_EMPLOYEES",Input!E$2,Date)</f>
        <v>0</v>
      </c>
      <c r="D430" s="18">
        <f>_xll.ciqfunctions.udf.CIQ(InputTicker, "IQ_AVG_EMPLOYEES",Input!F$2,Date)</f>
        <v>0</v>
      </c>
      <c r="E430" s="18">
        <f>_xll.ciqfunctions.udf.CIQ(InputTicker, "IQ_AVG_EMPLOYEES",Input!G$2,Date)</f>
        <v>0</v>
      </c>
      <c r="F430" s="18">
        <f>_xll.ciqfunctions.udf.CIQ(InputTicker, "IQ_AVG_EMPLOYEES",Input!H$2,Date)</f>
        <v>0</v>
      </c>
      <c r="G430" s="18">
        <f>_xll.ciqfunctions.udf.CIQ(InputTicker, "IQ_AVG_EMPLOYEES",Input!I$2,Date)</f>
        <v>0</v>
      </c>
      <c r="H430" s="18">
        <f>_xll.ciqfunctions.udf.CIQ(InputTicker, "IQ_AVG_EMPLOYEES",Input!J$2,Date)</f>
        <v>0</v>
      </c>
      <c r="I430" s="18">
        <f>_xll.ciqfunctions.udf.CIQ(InputTicker, "IQ_AVG_EMPLOYEES",Input!K$2,Date)</f>
        <v>0</v>
      </c>
      <c r="J430" s="18">
        <f>_xll.ciqfunctions.udf.CIQ(InputTicker, "IQ_AVG_EMPLOYEES",Input!L$2,Date)</f>
        <v>0</v>
      </c>
      <c r="K430" s="18">
        <f>_xll.ciqfunctions.udf.CIQ(InputTicker, "IQ_AVG_EMPLOYEES",Input!M$2,Date)</f>
        <v>0</v>
      </c>
      <c r="L430" s="18">
        <f>_xll.ciqfunctions.udf.CIQ(InputTicker, "IQ_AVG_EMPLOYEES",Input!N$2,Date)</f>
        <v>0</v>
      </c>
      <c r="M430" s="18">
        <f>_xll.ciqfunctions.udf.CIQ(InputTicker, "IQ_AVG_EMPLOYEES",Input!O$2,Date)</f>
        <v>0</v>
      </c>
      <c r="N430" s="53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</row>
    <row r="431" spans="1:66" ht="12.75" customHeight="1" x14ac:dyDescent="0.2">
      <c r="A431" s="1" t="s">
        <v>372</v>
      </c>
      <c r="B431" s="18">
        <f>_xll.ciqfunctions.udf.CIQ(InputTicker, "IQ_AVG_TEMP_EMPLOYEES",Input!D$2,Date)</f>
        <v>0</v>
      </c>
      <c r="C431" s="18">
        <f>_xll.ciqfunctions.udf.CIQ(InputTicker, "IQ_AVG_TEMP_EMPLOYEES",Input!E$2,Date)</f>
        <v>0</v>
      </c>
      <c r="D431" s="18">
        <f>_xll.ciqfunctions.udf.CIQ(InputTicker, "IQ_AVG_TEMP_EMPLOYEES",Input!F$2,Date)</f>
        <v>0</v>
      </c>
      <c r="E431" s="18">
        <f>_xll.ciqfunctions.udf.CIQ(InputTicker, "IQ_AVG_TEMP_EMPLOYEES",Input!G$2,Date)</f>
        <v>0</v>
      </c>
      <c r="F431" s="18">
        <f>_xll.ciqfunctions.udf.CIQ(InputTicker, "IQ_AVG_TEMP_EMPLOYEES",Input!H$2,Date)</f>
        <v>0</v>
      </c>
      <c r="G431" s="18">
        <f>_xll.ciqfunctions.udf.CIQ(InputTicker, "IQ_AVG_TEMP_EMPLOYEES",Input!I$2,Date)</f>
        <v>0</v>
      </c>
      <c r="H431" s="18">
        <f>_xll.ciqfunctions.udf.CIQ(InputTicker, "IQ_AVG_TEMP_EMPLOYEES",Input!J$2,Date)</f>
        <v>0</v>
      </c>
      <c r="I431" s="18">
        <f>_xll.ciqfunctions.udf.CIQ(InputTicker, "IQ_AVG_TEMP_EMPLOYEES",Input!K$2,Date)</f>
        <v>0</v>
      </c>
      <c r="J431" s="18">
        <f>_xll.ciqfunctions.udf.CIQ(InputTicker, "IQ_AVG_TEMP_EMPLOYEES",Input!L$2,Date)</f>
        <v>0</v>
      </c>
      <c r="K431" s="18">
        <f>_xll.ciqfunctions.udf.CIQ(InputTicker, "IQ_AVG_TEMP_EMPLOYEES",Input!M$2,Date)</f>
        <v>0</v>
      </c>
      <c r="L431" s="18">
        <f>_xll.ciqfunctions.udf.CIQ(InputTicker, "IQ_AVG_TEMP_EMPLOYEES",Input!N$2,Date)</f>
        <v>0</v>
      </c>
      <c r="M431" s="18">
        <f>_xll.ciqfunctions.udf.CIQ(InputTicker, "IQ_AVG_TEMP_EMPLOYEES",Input!O$2,Date)</f>
        <v>0</v>
      </c>
      <c r="N431" s="53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</row>
    <row r="432" spans="1:66" ht="12.75" customHeight="1" x14ac:dyDescent="0.2">
      <c r="A432" s="1" t="s">
        <v>502</v>
      </c>
      <c r="B432" s="18">
        <f>_xll.ciqfunctions.udf.CIQ(InputTicker, "IQ_NUMBER_ADRHOLDERS",Input!D$2,Date)</f>
        <v>0</v>
      </c>
      <c r="C432" s="18">
        <f>_xll.ciqfunctions.udf.CIQ(InputTicker, "IQ_NUMBER_ADRHOLDERS",Input!E$2,Date)</f>
        <v>0</v>
      </c>
      <c r="D432" s="18">
        <f>_xll.ciqfunctions.udf.CIQ(InputTicker, "IQ_NUMBER_ADRHOLDERS",Input!F$2,Date)</f>
        <v>0</v>
      </c>
      <c r="E432" s="18">
        <f>_xll.ciqfunctions.udf.CIQ(InputTicker, "IQ_NUMBER_ADRHOLDERS",Input!G$2,Date)</f>
        <v>0</v>
      </c>
      <c r="F432" s="18">
        <f>_xll.ciqfunctions.udf.CIQ(InputTicker, "IQ_NUMBER_ADRHOLDERS",Input!H$2,Date)</f>
        <v>0</v>
      </c>
      <c r="G432" s="18">
        <f>_xll.ciqfunctions.udf.CIQ(InputTicker, "IQ_NUMBER_ADRHOLDERS",Input!I$2,Date)</f>
        <v>0</v>
      </c>
      <c r="H432" s="18">
        <f>_xll.ciqfunctions.udf.CIQ(InputTicker, "IQ_NUMBER_ADRHOLDERS",Input!J$2,Date)</f>
        <v>0</v>
      </c>
      <c r="I432" s="18">
        <f>_xll.ciqfunctions.udf.CIQ(InputTicker, "IQ_NUMBER_ADRHOLDERS",Input!K$2,Date)</f>
        <v>0</v>
      </c>
      <c r="J432" s="18">
        <f>_xll.ciqfunctions.udf.CIQ(InputTicker, "IQ_NUMBER_ADRHOLDERS",Input!L$2,Date)</f>
        <v>0</v>
      </c>
      <c r="K432" s="18">
        <f>_xll.ciqfunctions.udf.CIQ(InputTicker, "IQ_NUMBER_ADRHOLDERS",Input!M$2,Date)</f>
        <v>0</v>
      </c>
      <c r="L432" s="18">
        <f>_xll.ciqfunctions.udf.CIQ(InputTicker, "IQ_NUMBER_ADRHOLDERS",Input!N$2,Date)</f>
        <v>0</v>
      </c>
      <c r="M432" s="18">
        <f>_xll.ciqfunctions.udf.CIQ(InputTicker, "IQ_NUMBER_ADRHOLDERS",Input!O$2,Date)</f>
        <v>0</v>
      </c>
      <c r="N432" s="53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</row>
    <row r="433" spans="1:66" ht="12.75" customHeight="1" x14ac:dyDescent="0.2">
      <c r="A433" s="1" t="s">
        <v>360</v>
      </c>
      <c r="B433" s="4">
        <f>_xll.ciqfunctions.udf.CIQ(InputTicker, "IQ_FIN_DIV_LT_DEBT_TOTAL",Input!D$2,Date,,,Ccy,Conv)</f>
        <v>0</v>
      </c>
      <c r="C433" s="4">
        <f>_xll.ciqfunctions.udf.CIQ(InputTicker, "IQ_FIN_DIV_LT_DEBT_TOTAL",Input!E$2,Date,,,Ccy,Conv)</f>
        <v>0</v>
      </c>
      <c r="D433" s="4">
        <f>_xll.ciqfunctions.udf.CIQ(InputTicker, "IQ_FIN_DIV_LT_DEBT_TOTAL",Input!F$2,Date,,,Ccy,Conv)</f>
        <v>0</v>
      </c>
      <c r="E433" s="4">
        <f>_xll.ciqfunctions.udf.CIQ(InputTicker, "IQ_FIN_DIV_LT_DEBT_TOTAL",Input!G$2,Date,,,Ccy,Conv)</f>
        <v>0</v>
      </c>
      <c r="F433" s="4">
        <f>_xll.ciqfunctions.udf.CIQ(InputTicker, "IQ_FIN_DIV_LT_DEBT_TOTAL",Input!H$2,Date,,,Ccy,Conv)</f>
        <v>0</v>
      </c>
      <c r="G433" s="4">
        <f>_xll.ciqfunctions.udf.CIQ(InputTicker, "IQ_FIN_DIV_LT_DEBT_TOTAL",Input!I$2,Date,,,Ccy,Conv)</f>
        <v>0</v>
      </c>
      <c r="H433" s="4">
        <f>_xll.ciqfunctions.udf.CIQ(InputTicker, "IQ_FIN_DIV_LT_DEBT_TOTAL",Input!J$2,Date,,,Ccy,Conv)</f>
        <v>0</v>
      </c>
      <c r="I433" s="4">
        <f>_xll.ciqfunctions.udf.CIQ(InputTicker, "IQ_FIN_DIV_LT_DEBT_TOTAL",Input!K$2,Date,,,Ccy,Conv)</f>
        <v>0</v>
      </c>
      <c r="J433" s="4">
        <f>_xll.ciqfunctions.udf.CIQ(InputTicker, "IQ_FIN_DIV_LT_DEBT_TOTAL",Input!L$2,Date,,,Ccy,Conv)</f>
        <v>0</v>
      </c>
      <c r="K433" s="4">
        <f>_xll.ciqfunctions.udf.CIQ(InputTicker, "IQ_FIN_DIV_LT_DEBT_TOTAL",Input!M$2,Date,,,Ccy,Conv)</f>
        <v>0</v>
      </c>
      <c r="L433" s="4">
        <f>_xll.ciqfunctions.udf.CIQ(InputTicker, "IQ_FIN_DIV_LT_DEBT_TOTAL",Input!N$2,Date,,,Ccy,Conv)</f>
        <v>0</v>
      </c>
      <c r="M433" s="4">
        <f>_xll.ciqfunctions.udf.CIQ(InputTicker, "IQ_FIN_DIV_LT_DEBT_TOTAL",Input!O$2,Date,,,Ccy,Conv)</f>
        <v>0</v>
      </c>
      <c r="N433" s="53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</row>
    <row r="434" spans="1:66" ht="12.75" customHeight="1" x14ac:dyDescent="0.2">
      <c r="A434" s="1" t="s">
        <v>361</v>
      </c>
      <c r="B434" s="4">
        <f>_xll.ciqfunctions.udf.CIQ(InputTicker,"IQ_FIN_DIV_ST_DEBT_TOTAL",Input!D$2,Date,,,Ccy,Conv)</f>
        <v>0</v>
      </c>
      <c r="C434" s="4">
        <f>_xll.ciqfunctions.udf.CIQ(InputTicker,"IQ_FIN_DIV_ST_DEBT_TOTAL",Input!E$2,Date,,,Ccy,Conv)</f>
        <v>0</v>
      </c>
      <c r="D434" s="4">
        <f>_xll.ciqfunctions.udf.CIQ(InputTicker,"IQ_FIN_DIV_ST_DEBT_TOTAL",Input!F$2,Date,,,Ccy,Conv)</f>
        <v>0</v>
      </c>
      <c r="E434" s="4">
        <f>_xll.ciqfunctions.udf.CIQ(InputTicker,"IQ_FIN_DIV_ST_DEBT_TOTAL",Input!G$2,Date,,,Ccy,Conv)</f>
        <v>0</v>
      </c>
      <c r="F434" s="4">
        <f>_xll.ciqfunctions.udf.CIQ(InputTicker,"IQ_FIN_DIV_ST_DEBT_TOTAL",Input!H$2,Date,,,Ccy,Conv)</f>
        <v>0</v>
      </c>
      <c r="G434" s="4">
        <f>_xll.ciqfunctions.udf.CIQ(InputTicker,"IQ_FIN_DIV_ST_DEBT_TOTAL",Input!I$2,Date,,,Ccy,Conv)</f>
        <v>0</v>
      </c>
      <c r="H434" s="4">
        <f>_xll.ciqfunctions.udf.CIQ(InputTicker,"IQ_FIN_DIV_ST_DEBT_TOTAL",Input!J$2,Date,,,Ccy,Conv)</f>
        <v>0</v>
      </c>
      <c r="I434" s="4">
        <f>_xll.ciqfunctions.udf.CIQ(InputTicker,"IQ_FIN_DIV_ST_DEBT_TOTAL",Input!K$2,Date,,,Ccy,Conv)</f>
        <v>0</v>
      </c>
      <c r="J434" s="4">
        <f>_xll.ciqfunctions.udf.CIQ(InputTicker,"IQ_FIN_DIV_ST_DEBT_TOTAL",Input!L$2,Date,,,Ccy,Conv)</f>
        <v>0</v>
      </c>
      <c r="K434" s="4">
        <f>_xll.ciqfunctions.udf.CIQ(InputTicker,"IQ_FIN_DIV_ST_DEBT_TOTAL",Input!M$2,Date,,,Ccy,Conv)</f>
        <v>0</v>
      </c>
      <c r="L434" s="4">
        <f>_xll.ciqfunctions.udf.CIQ(InputTicker,"IQ_FIN_DIV_ST_DEBT_TOTAL",Input!N$2,Date,,,Ccy,Conv)</f>
        <v>0</v>
      </c>
      <c r="M434" s="4">
        <f>_xll.ciqfunctions.udf.CIQ(InputTicker,"IQ_FIN_DIV_ST_DEBT_TOTAL",Input!O$2,Date,,,Ccy,Conv)</f>
        <v>0</v>
      </c>
      <c r="N434" s="53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</row>
    <row r="435" spans="1:66" ht="12.75" customHeight="1" x14ac:dyDescent="0.2">
      <c r="A435" s="1" t="s">
        <v>375</v>
      </c>
      <c r="B435" s="4">
        <f>_xll.ciqfunctions.udf.CIQ(InputTicker,"IQ_FIN_DIV_DEBT_TOTAL",Input!D$2,Date,,,Ccy,Conv)</f>
        <v>0</v>
      </c>
      <c r="C435" s="4">
        <f>_xll.ciqfunctions.udf.CIQ(InputTicker,"IQ_FIN_DIV_DEBT_TOTAL",Input!E$2,Date,,,Ccy,Conv)</f>
        <v>0</v>
      </c>
      <c r="D435" s="4">
        <f>_xll.ciqfunctions.udf.CIQ(InputTicker,"IQ_FIN_DIV_DEBT_TOTAL",Input!F$2,Date,,,Ccy,Conv)</f>
        <v>0</v>
      </c>
      <c r="E435" s="4">
        <f>_xll.ciqfunctions.udf.CIQ(InputTicker,"IQ_FIN_DIV_DEBT_TOTAL",Input!G$2,Date,,,Ccy,Conv)</f>
        <v>0</v>
      </c>
      <c r="F435" s="4">
        <f>_xll.ciqfunctions.udf.CIQ(InputTicker,"IQ_FIN_DIV_DEBT_TOTAL",Input!H$2,Date,,,Ccy,Conv)</f>
        <v>0</v>
      </c>
      <c r="G435" s="4">
        <f>_xll.ciqfunctions.udf.CIQ(InputTicker,"IQ_FIN_DIV_DEBT_TOTAL",Input!I$2,Date,,,Ccy,Conv)</f>
        <v>0</v>
      </c>
      <c r="H435" s="4">
        <f>_xll.ciqfunctions.udf.CIQ(InputTicker,"IQ_FIN_DIV_DEBT_TOTAL",Input!J$2,Date,,,Ccy,Conv)</f>
        <v>0</v>
      </c>
      <c r="I435" s="4">
        <f>_xll.ciqfunctions.udf.CIQ(InputTicker,"IQ_FIN_DIV_DEBT_TOTAL",Input!K$2,Date,,,Ccy,Conv)</f>
        <v>0</v>
      </c>
      <c r="J435" s="4">
        <f>_xll.ciqfunctions.udf.CIQ(InputTicker,"IQ_FIN_DIV_DEBT_TOTAL",Input!L$2,Date,,,Ccy,Conv)</f>
        <v>0</v>
      </c>
      <c r="K435" s="4">
        <f>_xll.ciqfunctions.udf.CIQ(InputTicker,"IQ_FIN_DIV_DEBT_TOTAL",Input!M$2,Date,,,Ccy,Conv)</f>
        <v>0</v>
      </c>
      <c r="L435" s="4">
        <f>_xll.ciqfunctions.udf.CIQ(InputTicker,"IQ_FIN_DIV_DEBT_TOTAL",Input!N$2,Date,,,Ccy,Conv)</f>
        <v>0</v>
      </c>
      <c r="M435" s="4">
        <f>_xll.ciqfunctions.udf.CIQ(InputTicker,"IQ_FIN_DIV_DEBT_TOTAL",Input!O$2,Date,,,Ccy,Conv)</f>
        <v>0</v>
      </c>
      <c r="N435" s="53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</row>
    <row r="436" spans="1:66" ht="12.75" customHeight="1" x14ac:dyDescent="0.2">
      <c r="A436" s="1" t="s">
        <v>379</v>
      </c>
      <c r="B436" s="4">
        <f>_xll.ciqfunctions.udf.CIQ(InputTicker, "IQ_FIN_DIV_CASH_EQUIV",Input!D$2,Date,,,Ccy,Conv)</f>
        <v>0</v>
      </c>
      <c r="C436" s="4">
        <f>_xll.ciqfunctions.udf.CIQ(InputTicker, "IQ_FIN_DIV_CASH_EQUIV",Input!E$2,Date,,,Ccy,Conv)</f>
        <v>0</v>
      </c>
      <c r="D436" s="4">
        <f>_xll.ciqfunctions.udf.CIQ(InputTicker, "IQ_FIN_DIV_CASH_EQUIV",Input!F$2,Date,,,Ccy,Conv)</f>
        <v>0</v>
      </c>
      <c r="E436" s="4">
        <f>_xll.ciqfunctions.udf.CIQ(InputTicker, "IQ_FIN_DIV_CASH_EQUIV",Input!G$2,Date,,,Ccy,Conv)</f>
        <v>0</v>
      </c>
      <c r="F436" s="4">
        <f>_xll.ciqfunctions.udf.CIQ(InputTicker, "IQ_FIN_DIV_CASH_EQUIV",Input!H$2,Date,,,Ccy,Conv)</f>
        <v>0</v>
      </c>
      <c r="G436" s="4">
        <f>_xll.ciqfunctions.udf.CIQ(InputTicker, "IQ_FIN_DIV_CASH_EQUIV",Input!I$2,Date,,,Ccy,Conv)</f>
        <v>0</v>
      </c>
      <c r="H436" s="4">
        <f>_xll.ciqfunctions.udf.CIQ(InputTicker, "IQ_FIN_DIV_CASH_EQUIV",Input!J$2,Date,,,Ccy,Conv)</f>
        <v>0</v>
      </c>
      <c r="I436" s="4">
        <f>_xll.ciqfunctions.udf.CIQ(InputTicker, "IQ_FIN_DIV_CASH_EQUIV",Input!K$2,Date,,,Ccy,Conv)</f>
        <v>0</v>
      </c>
      <c r="J436" s="4">
        <f>_xll.ciqfunctions.udf.CIQ(InputTicker, "IQ_FIN_DIV_CASH_EQUIV",Input!L$2,Date,,,Ccy,Conv)</f>
        <v>0</v>
      </c>
      <c r="K436" s="4">
        <f>_xll.ciqfunctions.udf.CIQ(InputTicker, "IQ_FIN_DIV_CASH_EQUIV",Input!M$2,Date,,,Ccy,Conv)</f>
        <v>0</v>
      </c>
      <c r="L436" s="4">
        <f>_xll.ciqfunctions.udf.CIQ(InputTicker, "IQ_FIN_DIV_CASH_EQUIV",Input!N$2,Date,,,Ccy,Conv)</f>
        <v>0</v>
      </c>
      <c r="M436" s="4">
        <f>_xll.ciqfunctions.udf.CIQ(InputTicker, "IQ_FIN_DIV_CASH_EQUIV",Input!O$2,Date,,,Ccy,Conv)</f>
        <v>0</v>
      </c>
      <c r="N436" s="53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</row>
    <row r="437" spans="1:66" ht="12.75" customHeight="1" x14ac:dyDescent="0.2">
      <c r="A437" s="1" t="s">
        <v>380</v>
      </c>
      <c r="B437" s="4">
        <f>_xll.ciqfunctions.udf.CIQ(InputTicker, "IQ_FIN_DIV_ST_INVEST",Input!D$2,Date,,,Ccy,Conv)</f>
        <v>0</v>
      </c>
      <c r="C437" s="4">
        <f>_xll.ciqfunctions.udf.CIQ(InputTicker, "IQ_FIN_DIV_ST_INVEST",Input!E$2,Date,,,Ccy,Conv)</f>
        <v>0</v>
      </c>
      <c r="D437" s="4">
        <f>_xll.ciqfunctions.udf.CIQ(InputTicker, "IQ_FIN_DIV_ST_INVEST",Input!F$2,Date,,,Ccy,Conv)</f>
        <v>0</v>
      </c>
      <c r="E437" s="4">
        <f>_xll.ciqfunctions.udf.CIQ(InputTicker, "IQ_FIN_DIV_ST_INVEST",Input!G$2,Date,,,Ccy,Conv)</f>
        <v>0</v>
      </c>
      <c r="F437" s="4">
        <f>_xll.ciqfunctions.udf.CIQ(InputTicker, "IQ_FIN_DIV_ST_INVEST",Input!H$2,Date,,,Ccy,Conv)</f>
        <v>0</v>
      </c>
      <c r="G437" s="4">
        <f>_xll.ciqfunctions.udf.CIQ(InputTicker, "IQ_FIN_DIV_ST_INVEST",Input!I$2,Date,,,Ccy,Conv)</f>
        <v>0</v>
      </c>
      <c r="H437" s="4">
        <f>_xll.ciqfunctions.udf.CIQ(InputTicker, "IQ_FIN_DIV_ST_INVEST",Input!J$2,Date,,,Ccy,Conv)</f>
        <v>0</v>
      </c>
      <c r="I437" s="4">
        <f>_xll.ciqfunctions.udf.CIQ(InputTicker, "IQ_FIN_DIV_ST_INVEST",Input!K$2,Date,,,Ccy,Conv)</f>
        <v>0</v>
      </c>
      <c r="J437" s="4">
        <f>_xll.ciqfunctions.udf.CIQ(InputTicker, "IQ_FIN_DIV_ST_INVEST",Input!L$2,Date,,,Ccy,Conv)</f>
        <v>0</v>
      </c>
      <c r="K437" s="4">
        <f>_xll.ciqfunctions.udf.CIQ(InputTicker, "IQ_FIN_DIV_ST_INVEST",Input!M$2,Date,,,Ccy,Conv)</f>
        <v>0</v>
      </c>
      <c r="L437" s="4">
        <f>_xll.ciqfunctions.udf.CIQ(InputTicker, "IQ_FIN_DIV_ST_INVEST",Input!N$2,Date,,,Ccy,Conv)</f>
        <v>0</v>
      </c>
      <c r="M437" s="4">
        <f>_xll.ciqfunctions.udf.CIQ(InputTicker, "IQ_FIN_DIV_ST_INVEST",Input!O$2,Date,,,Ccy,Conv)</f>
        <v>0</v>
      </c>
      <c r="N437" s="53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</row>
    <row r="438" spans="1:66" ht="12.75" customHeight="1" x14ac:dyDescent="0.2">
      <c r="A438" s="1" t="s">
        <v>503</v>
      </c>
      <c r="B438" s="4">
        <f>_xll.ciqfunctions.udf.CIQ(InputTicker, "IQ_DEBT_EQUIV_NET_PBO",Input!D$2,Date,,,Ccy,Conv)</f>
        <v>4.5</v>
      </c>
      <c r="C438" s="4">
        <f>_xll.ciqfunctions.udf.CIQ(InputTicker, "IQ_DEBT_EQUIV_NET_PBO",Input!E$2,Date,,,Ccy,Conv)</f>
        <v>5.4</v>
      </c>
      <c r="D438" s="4">
        <f>_xll.ciqfunctions.udf.CIQ(InputTicker, "IQ_DEBT_EQUIV_NET_PBO",Input!F$2,Date,,,Ccy,Conv)</f>
        <v>4.7</v>
      </c>
      <c r="E438" s="4">
        <f>_xll.ciqfunctions.udf.CIQ(InputTicker, "IQ_DEBT_EQUIV_NET_PBO",Input!G$2,Date,,,Ccy,Conv)</f>
        <v>4.5999999999999996</v>
      </c>
      <c r="F438" s="4">
        <f>_xll.ciqfunctions.udf.CIQ(InputTicker, "IQ_DEBT_EQUIV_NET_PBO",Input!H$2,Date,,,Ccy,Conv)</f>
        <v>4.8</v>
      </c>
      <c r="G438" s="4">
        <f>_xll.ciqfunctions.udf.CIQ(InputTicker, "IQ_DEBT_EQUIV_NET_PBO",Input!I$2,Date,,,Ccy,Conv)</f>
        <v>0</v>
      </c>
      <c r="H438" s="4">
        <f>_xll.ciqfunctions.udf.CIQ(InputTicker, "IQ_DEBT_EQUIV_NET_PBO",Input!J$2,Date,,,Ccy,Conv)</f>
        <v>0</v>
      </c>
      <c r="I438" s="4">
        <f>_xll.ciqfunctions.udf.CIQ(InputTicker, "IQ_DEBT_EQUIV_NET_PBO",Input!K$2,Date,,,Ccy,Conv)</f>
        <v>0</v>
      </c>
      <c r="J438" s="4">
        <f>_xll.ciqfunctions.udf.CIQ(InputTicker, "IQ_DEBT_EQUIV_NET_PBO",Input!L$2,Date,,,Ccy,Conv)</f>
        <v>0</v>
      </c>
      <c r="K438" s="4">
        <f>_xll.ciqfunctions.udf.CIQ(InputTicker, "IQ_DEBT_EQUIV_NET_PBO",Input!M$2,Date,,,Ccy,Conv)</f>
        <v>0</v>
      </c>
      <c r="L438" s="4">
        <f>_xll.ciqfunctions.udf.CIQ(InputTicker, "IQ_DEBT_EQUIV_NET_PBO",Input!N$2,Date,,,Ccy,Conv)</f>
        <v>0</v>
      </c>
      <c r="M438" s="4">
        <f>_xll.ciqfunctions.udf.CIQ(InputTicker, "IQ_DEBT_EQUIV_NET_PBO",Input!O$2,Date,,,Ccy,Conv)</f>
        <v>0</v>
      </c>
      <c r="N438" s="53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</row>
    <row r="439" spans="1:66" ht="12.75" customHeight="1" x14ac:dyDescent="0.2">
      <c r="A439" s="1" t="s">
        <v>504</v>
      </c>
      <c r="B439" s="4">
        <f>_xll.ciqfunctions.udf.CIQ(InputTicker, "IQ_DEBT_EQUIV_OPER_LEASE",Input!D$2,Date,,,Ccy,Conv)</f>
        <v>708</v>
      </c>
      <c r="C439" s="4">
        <f>_xll.ciqfunctions.udf.CIQ(InputTicker, "IQ_DEBT_EQUIV_OPER_LEASE",Input!E$2,Date,,,Ccy,Conv)</f>
        <v>652.79999999999995</v>
      </c>
      <c r="D439" s="4">
        <f>_xll.ciqfunctions.udf.CIQ(InputTicker, "IQ_DEBT_EQUIV_OPER_LEASE",Input!F$2,Date,,,Ccy,Conv)</f>
        <v>649.6</v>
      </c>
      <c r="E439" s="4">
        <f>_xll.ciqfunctions.udf.CIQ(InputTicker, "IQ_DEBT_EQUIV_OPER_LEASE",Input!G$2,Date,,,Ccy,Conv)</f>
        <v>661.6</v>
      </c>
      <c r="F439" s="4">
        <f>_xll.ciqfunctions.udf.CIQ(InputTicker, "IQ_DEBT_EQUIV_OPER_LEASE",Input!H$2,Date,,,Ccy,Conv)</f>
        <v>739.048</v>
      </c>
      <c r="G439" s="4">
        <f>_xll.ciqfunctions.udf.CIQ(InputTicker, "IQ_DEBT_EQUIV_OPER_LEASE",Input!I$2,Date,,,Ccy,Conv)</f>
        <v>682.6</v>
      </c>
      <c r="H439" s="4">
        <f>_xll.ciqfunctions.udf.CIQ(InputTicker, "IQ_DEBT_EQUIV_OPER_LEASE",Input!J$2,Date,,,Ccy,Conv)</f>
        <v>656.45600000000002</v>
      </c>
      <c r="I439" s="4">
        <f>_xll.ciqfunctions.udf.CIQ(InputTicker, "IQ_DEBT_EQUIV_OPER_LEASE",Input!K$2,Date,,,Ccy,Conv)</f>
        <v>640</v>
      </c>
      <c r="J439" s="4">
        <f>_xll.ciqfunctions.udf.CIQ(InputTicker, "IQ_DEBT_EQUIV_OPER_LEASE",Input!L$2,Date,,,Ccy,Conv)</f>
        <v>624</v>
      </c>
      <c r="K439" s="4">
        <f>_xll.ciqfunctions.udf.CIQ(InputTicker, "IQ_DEBT_EQUIV_OPER_LEASE",Input!M$2,Date,,,Ccy,Conv)</f>
        <v>632</v>
      </c>
      <c r="L439" s="4">
        <f>_xll.ciqfunctions.udf.CIQ(InputTicker, "IQ_DEBT_EQUIV_OPER_LEASE",Input!N$2,Date,,,Ccy,Conv)</f>
        <v>600</v>
      </c>
      <c r="M439" s="4">
        <f>_xll.ciqfunctions.udf.CIQ(InputTicker, "IQ_DEBT_EQUIV_OPER_LEASE",Input!O$2,Date,,,Ccy,Conv)</f>
        <v>600</v>
      </c>
      <c r="N439" s="53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</row>
    <row r="440" spans="1:66" ht="12.75" customHeight="1" x14ac:dyDescent="0.2">
      <c r="A440" s="1" t="s">
        <v>362</v>
      </c>
      <c r="B440" s="4">
        <f>_xll.ciqfunctions.udf.CIQ(InputTicker,"IQ_COST_BORROWING",Input!D$2,Date)</f>
        <v>4.2282999999999999</v>
      </c>
      <c r="C440" s="4">
        <f>_xll.ciqfunctions.udf.CIQ(InputTicker,"IQ_COST_BORROWING",Input!E$2,Date)</f>
        <v>3.6425000000000001</v>
      </c>
      <c r="D440" s="4">
        <f>_xll.ciqfunctions.udf.CIQ(InputTicker,"IQ_COST_BORROWING",Input!F$2,Date)</f>
        <v>4.5179</v>
      </c>
      <c r="E440" s="4">
        <f>_xll.ciqfunctions.udf.CIQ(InputTicker,"IQ_COST_BORROWING",Input!G$2,Date)</f>
        <v>4.7823000000000002</v>
      </c>
      <c r="F440" s="4">
        <f>_xll.ciqfunctions.udf.CIQ(InputTicker,"IQ_COST_BORROWING",Input!H$2,Date)</f>
        <v>4.4004000000000003</v>
      </c>
      <c r="G440" s="4">
        <f>_xll.ciqfunctions.udf.CIQ(InputTicker,"IQ_COST_BORROWING",Input!I$2,Date)</f>
        <v>3.0815000000000001</v>
      </c>
      <c r="H440" s="4">
        <f>_xll.ciqfunctions.udf.CIQ(InputTicker,"IQ_COST_BORROWING",Input!J$2,Date)</f>
        <v>3.1753999999999998</v>
      </c>
      <c r="I440" s="4">
        <f>_xll.ciqfunctions.udf.CIQ(InputTicker,"IQ_COST_BORROWING",Input!K$2,Date)</f>
        <v>3.5674999999999999</v>
      </c>
      <c r="J440" s="4">
        <f>_xll.ciqfunctions.udf.CIQ(InputTicker,"IQ_COST_BORROWING",Input!L$2,Date)</f>
        <v>4.3880999999999997</v>
      </c>
      <c r="K440" s="4">
        <f>_xll.ciqfunctions.udf.CIQ(InputTicker,"IQ_COST_BORROWING",Input!M$2,Date)</f>
        <v>4.2769000000000004</v>
      </c>
      <c r="L440" s="4">
        <f>_xll.ciqfunctions.udf.CIQ(InputTicker,"IQ_COST_BORROWING",Input!N$2,Date)</f>
        <v>4.4119000000000002</v>
      </c>
      <c r="M440" s="4">
        <f>_xll.ciqfunctions.udf.CIQ(InputTicker,"IQ_COST_BORROWING",Input!O$2,Date)</f>
        <v>4.4119000000000002</v>
      </c>
      <c r="N440" s="53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</row>
    <row r="441" spans="1:66" ht="12.75" customHeight="1" x14ac:dyDescent="0.2">
      <c r="A441" s="1" t="s">
        <v>378</v>
      </c>
      <c r="B441" s="4">
        <f>_xll.ciqfunctions.udf.CIQ(InputTicker,"IQ_RESTRICTED_CASH_NON_CURRENT",Input!D$2,Date,,,Ccy,Conv)</f>
        <v>0</v>
      </c>
      <c r="C441" s="4">
        <f>_xll.ciqfunctions.udf.CIQ(InputTicker,"IQ_RESTRICTED_CASH_NON_CURRENT",Input!E$2,Date,,,Ccy,Conv)</f>
        <v>0</v>
      </c>
      <c r="D441" s="4">
        <f>_xll.ciqfunctions.udf.CIQ(InputTicker,"IQ_RESTRICTED_CASH_NON_CURRENT",Input!F$2,Date,,,Ccy,Conv)</f>
        <v>0</v>
      </c>
      <c r="E441" s="4">
        <f>_xll.ciqfunctions.udf.CIQ(InputTicker,"IQ_RESTRICTED_CASH_NON_CURRENT",Input!G$2,Date,,,Ccy,Conv)</f>
        <v>0</v>
      </c>
      <c r="F441" s="4">
        <f>_xll.ciqfunctions.udf.CIQ(InputTicker,"IQ_RESTRICTED_CASH_NON_CURRENT",Input!H$2,Date,,,Ccy,Conv)</f>
        <v>0</v>
      </c>
      <c r="G441" s="4">
        <f>_xll.ciqfunctions.udf.CIQ(InputTicker,"IQ_RESTRICTED_CASH_NON_CURRENT",Input!I$2,Date,,,Ccy,Conv)</f>
        <v>0</v>
      </c>
      <c r="H441" s="4">
        <f>_xll.ciqfunctions.udf.CIQ(InputTicker,"IQ_RESTRICTED_CASH_NON_CURRENT",Input!J$2,Date,,,Ccy,Conv)</f>
        <v>0</v>
      </c>
      <c r="I441" s="4">
        <f>_xll.ciqfunctions.udf.CIQ(InputTicker,"IQ_RESTRICTED_CASH_NON_CURRENT",Input!K$2,Date,,,Ccy,Conv)</f>
        <v>0</v>
      </c>
      <c r="J441" s="4">
        <f>_xll.ciqfunctions.udf.CIQ(InputTicker,"IQ_RESTRICTED_CASH_NON_CURRENT",Input!L$2,Date,,,Ccy,Conv)</f>
        <v>0</v>
      </c>
      <c r="K441" s="4">
        <f>_xll.ciqfunctions.udf.CIQ(InputTicker,"IQ_RESTRICTED_CASH_NON_CURRENT",Input!M$2,Date,,,Ccy,Conv)</f>
        <v>0</v>
      </c>
      <c r="L441" s="4">
        <f>_xll.ciqfunctions.udf.CIQ(InputTicker,"IQ_RESTRICTED_CASH_NON_CURRENT",Input!N$2,Date,,,Ccy,Conv)</f>
        <v>0</v>
      </c>
      <c r="M441" s="4">
        <f>_xll.ciqfunctions.udf.CIQ(InputTicker,"IQ_RESTRICTED_CASH_NON_CURRENT",Input!O$2,Date,,,Ccy,Conv)</f>
        <v>0</v>
      </c>
      <c r="N441" s="53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</row>
    <row r="442" spans="1:66" ht="12.75" customHeight="1" x14ac:dyDescent="0.2">
      <c r="A442" s="1" t="s">
        <v>505</v>
      </c>
      <c r="B442" s="4">
        <f>_xll.ciqfunctions.udf.CIQ(InputTicker,"IQ_RESTRICTED_CASH_TOTAL",Input!D$2,Date,,,Ccy,Conv)</f>
        <v>0</v>
      </c>
      <c r="C442" s="4">
        <f>_xll.ciqfunctions.udf.CIQ(InputTicker,"IQ_RESTRICTED_CASH_TOTAL",Input!E$2,Date,,,Ccy,Conv)</f>
        <v>0</v>
      </c>
      <c r="D442" s="4">
        <f>_xll.ciqfunctions.udf.CIQ(InputTicker,"IQ_RESTRICTED_CASH_TOTAL",Input!F$2,Date,,,Ccy,Conv)</f>
        <v>0</v>
      </c>
      <c r="E442" s="4">
        <f>_xll.ciqfunctions.udf.CIQ(InputTicker,"IQ_RESTRICTED_CASH_TOTAL",Input!G$2,Date,,,Ccy,Conv)</f>
        <v>0</v>
      </c>
      <c r="F442" s="4">
        <f>_xll.ciqfunctions.udf.CIQ(InputTicker,"IQ_RESTRICTED_CASH_TOTAL",Input!H$2,Date,,,Ccy,Conv)</f>
        <v>0</v>
      </c>
      <c r="G442" s="4">
        <f>_xll.ciqfunctions.udf.CIQ(InputTicker,"IQ_RESTRICTED_CASH_TOTAL",Input!I$2,Date,,,Ccy,Conv)</f>
        <v>0</v>
      </c>
      <c r="H442" s="4">
        <f>_xll.ciqfunctions.udf.CIQ(InputTicker,"IQ_RESTRICTED_CASH_TOTAL",Input!J$2,Date,,,Ccy,Conv)</f>
        <v>0</v>
      </c>
      <c r="I442" s="4">
        <f>_xll.ciqfunctions.udf.CIQ(InputTicker,"IQ_RESTRICTED_CASH_TOTAL",Input!K$2,Date,,,Ccy,Conv)</f>
        <v>0</v>
      </c>
      <c r="J442" s="4">
        <f>_xll.ciqfunctions.udf.CIQ(InputTicker,"IQ_RESTRICTED_CASH_TOTAL",Input!L$2,Date,,,Ccy,Conv)</f>
        <v>0</v>
      </c>
      <c r="K442" s="4">
        <f>_xll.ciqfunctions.udf.CIQ(InputTicker,"IQ_RESTRICTED_CASH_TOTAL",Input!M$2,Date,,,Ccy,Conv)</f>
        <v>0</v>
      </c>
      <c r="L442" s="4">
        <f>_xll.ciqfunctions.udf.CIQ(InputTicker,"IQ_RESTRICTED_CASH_TOTAL",Input!N$2,Date,,,Ccy,Conv)</f>
        <v>0</v>
      </c>
      <c r="M442" s="4">
        <f>_xll.ciqfunctions.udf.CIQ(InputTicker,"IQ_RESTRICTED_CASH_TOTAL",Input!O$2,Date,,,Ccy,Conv)</f>
        <v>0</v>
      </c>
      <c r="N442" s="53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</row>
    <row r="443" spans="1:66" ht="12.75" customHeight="1" x14ac:dyDescent="0.2">
      <c r="A443" s="1" t="s">
        <v>363</v>
      </c>
      <c r="B443" s="4">
        <f>_xll.ciqfunctions.udf.CIQ(InputTicker,"IQ_TOTAL_DEBT_EXCL_FIN",Input!D$2,Date,,,Ccy,Conv)</f>
        <v>1677.261</v>
      </c>
      <c r="C443" s="4">
        <f>_xll.ciqfunctions.udf.CIQ(InputTicker,"IQ_TOTAL_DEBT_EXCL_FIN",Input!E$2,Date,,,Ccy,Conv)</f>
        <v>1743.3240000000001</v>
      </c>
      <c r="D443" s="4">
        <f>_xll.ciqfunctions.udf.CIQ(InputTicker,"IQ_TOTAL_DEBT_EXCL_FIN",Input!F$2,Date,,,Ccy,Conv)</f>
        <v>1898.579</v>
      </c>
      <c r="E443" s="4">
        <f>_xll.ciqfunctions.udf.CIQ(InputTicker,"IQ_TOTAL_DEBT_EXCL_FIN",Input!G$2,Date,,,Ccy,Conv)</f>
        <v>1845.037</v>
      </c>
      <c r="F443" s="4">
        <f>_xll.ciqfunctions.udf.CIQ(InputTicker,"IQ_TOTAL_DEBT_EXCL_FIN",Input!H$2,Date,,,Ccy,Conv)</f>
        <v>2561.7809999999999</v>
      </c>
      <c r="G443" s="4">
        <f>_xll.ciqfunctions.udf.CIQ(InputTicker,"IQ_TOTAL_DEBT_EXCL_FIN",Input!I$2,Date,,,Ccy,Conv)</f>
        <v>2712.8580000000002</v>
      </c>
      <c r="H443" s="4">
        <f>_xll.ciqfunctions.udf.CIQ(InputTicker,"IQ_TOTAL_DEBT_EXCL_FIN",Input!J$2,Date,,,Ccy,Conv)</f>
        <v>3103.8389999999999</v>
      </c>
      <c r="I443" s="4">
        <f>_xll.ciqfunctions.udf.CIQ(InputTicker,"IQ_TOTAL_DEBT_EXCL_FIN",Input!K$2,Date,,,Ccy,Conv)</f>
        <v>3062.8960000000002</v>
      </c>
      <c r="J443" s="4">
        <f>_xll.ciqfunctions.udf.CIQ(InputTicker,"IQ_TOTAL_DEBT_EXCL_FIN",Input!L$2,Date,,,Ccy,Conv)</f>
        <v>3637</v>
      </c>
      <c r="K443" s="4">
        <f>_xll.ciqfunctions.udf.CIQ(InputTicker,"IQ_TOTAL_DEBT_EXCL_FIN",Input!M$2,Date,,,Ccy,Conv)</f>
        <v>4219</v>
      </c>
      <c r="L443" s="4">
        <f>_xll.ciqfunctions.udf.CIQ(InputTicker,"IQ_TOTAL_DEBT_EXCL_FIN",Input!N$2,Date,,,Ccy,Conv)</f>
        <v>4122</v>
      </c>
      <c r="M443" s="4">
        <f>_xll.ciqfunctions.udf.CIQ(InputTicker,"IQ_TOTAL_DEBT_EXCL_FIN",Input!O$2,Date,,,Ccy,Conv)</f>
        <v>4122</v>
      </c>
      <c r="N443" s="53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</row>
    <row r="444" spans="1:66" ht="12.75" customHeight="1" x14ac:dyDescent="0.2">
      <c r="A444" s="1" t="s">
        <v>364</v>
      </c>
      <c r="B444" s="4">
        <f>_xll.ciqfunctions.udf.CIQ(InputTicker,"IQ_ORDER_BACKLOG",Input!D$2,Date,,,Ccy,Conv)</f>
        <v>11814</v>
      </c>
      <c r="C444" s="4">
        <f>_xll.ciqfunctions.udf.CIQ(InputTicker,"IQ_ORDER_BACKLOG",Input!E$2,Date,,,Ccy,Conv)</f>
        <v>13592</v>
      </c>
      <c r="D444" s="4">
        <f>_xll.ciqfunctions.udf.CIQ(InputTicker,"IQ_ORDER_BACKLOG",Input!F$2,Date,,,Ccy,Conv)</f>
        <v>16020</v>
      </c>
      <c r="E444" s="4">
        <f>_xll.ciqfunctions.udf.CIQ(InputTicker,"IQ_ORDER_BACKLOG",Input!G$2,Date,,,Ccy,Conv)</f>
        <v>19321</v>
      </c>
      <c r="F444" s="4">
        <f>_xll.ciqfunctions.udf.CIQ(InputTicker,"IQ_ORDER_BACKLOG",Input!H$2,Date,,,Ccy,Conv)</f>
        <v>20729</v>
      </c>
      <c r="G444" s="4">
        <f>_xll.ciqfunctions.udf.CIQ(InputTicker,"IQ_ORDER_BACKLOG",Input!I$2,Date,,,Ccy,Conv)</f>
        <v>24032</v>
      </c>
      <c r="H444" s="4">
        <f>_xll.ciqfunctions.udf.CIQ(InputTicker,"IQ_ORDER_BACKLOG",Input!J$2,Date,,,Ccy,Conv)</f>
        <v>29247</v>
      </c>
      <c r="I444" s="4">
        <f>_xll.ciqfunctions.udf.CIQ(InputTicker,"IQ_ORDER_BACKLOG",Input!K$2,Date,,,Ccy,Conv)</f>
        <v>0</v>
      </c>
      <c r="J444" s="4">
        <f>_xll.ciqfunctions.udf.CIQ(InputTicker,"IQ_ORDER_BACKLOG",Input!L$2,Date,,,Ccy,Conv)</f>
        <v>0</v>
      </c>
      <c r="K444" s="4">
        <f>_xll.ciqfunctions.udf.CIQ(InputTicker,"IQ_ORDER_BACKLOG",Input!M$2,Date,,,Ccy,Conv)</f>
        <v>37027</v>
      </c>
      <c r="L444" s="4">
        <f>_xll.ciqfunctions.udf.CIQ(InputTicker,"IQ_ORDER_BACKLOG",Input!N$2,Date,,,Ccy,Conv)</f>
        <v>38187</v>
      </c>
      <c r="M444" s="4">
        <f>_xll.ciqfunctions.udf.CIQ(InputTicker,"IQ_ORDER_BACKLOG",Input!O$2,Date,,,Ccy,Conv)</f>
        <v>38187</v>
      </c>
      <c r="N444" s="53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</row>
    <row r="445" spans="1:66" ht="12.75" customHeight="1" x14ac:dyDescent="0.2">
      <c r="A445" s="1" t="s">
        <v>395</v>
      </c>
      <c r="B445" s="4">
        <f>_xll.ciqfunctions.udf.CIQ(InputTicker,"IQ_CONTINGENT_LIABILITIES",Input!D$2,Date,,,Ccy,Conv)</f>
        <v>6.6</v>
      </c>
      <c r="C445" s="4">
        <f>_xll.ciqfunctions.udf.CIQ(InputTicker,"IQ_CONTINGENT_LIABILITIES",Input!E$2,Date,,,Ccy,Conv)</f>
        <v>8.6</v>
      </c>
      <c r="D445" s="4">
        <f>_xll.ciqfunctions.udf.CIQ(InputTicker,"IQ_CONTINGENT_LIABILITIES",Input!F$2,Date,,,Ccy,Conv)</f>
        <v>6.3</v>
      </c>
      <c r="E445" s="4">
        <f>_xll.ciqfunctions.udf.CIQ(InputTicker,"IQ_CONTINGENT_LIABILITIES",Input!G$2,Date,,,Ccy,Conv)</f>
        <v>9.5</v>
      </c>
      <c r="F445" s="4">
        <f>_xll.ciqfunctions.udf.CIQ(InputTicker,"IQ_CONTINGENT_LIABILITIES",Input!H$2,Date,,,Ccy,Conv)</f>
        <v>9.6999999999999993</v>
      </c>
      <c r="G445" s="4">
        <f>_xll.ciqfunctions.udf.CIQ(InputTicker,"IQ_CONTINGENT_LIABILITIES",Input!I$2,Date,,,Ccy,Conv)</f>
        <v>9.8000000000000007</v>
      </c>
      <c r="H445" s="4">
        <f>_xll.ciqfunctions.udf.CIQ(InputTicker,"IQ_CONTINGENT_LIABILITIES",Input!J$2,Date,,,Ccy,Conv)</f>
        <v>8.4</v>
      </c>
      <c r="I445" s="4">
        <f>_xll.ciqfunctions.udf.CIQ(InputTicker,"IQ_CONTINGENT_LIABILITIES",Input!K$2,Date,,,Ccy,Conv)</f>
        <v>6.1</v>
      </c>
      <c r="J445" s="4">
        <f>_xll.ciqfunctions.udf.CIQ(InputTicker,"IQ_CONTINGENT_LIABILITIES",Input!L$2,Date,,,Ccy,Conv)</f>
        <v>4</v>
      </c>
      <c r="K445" s="4">
        <f>_xll.ciqfunctions.udf.CIQ(InputTicker,"IQ_CONTINGENT_LIABILITIES",Input!M$2,Date,,,Ccy,Conv)</f>
        <v>4</v>
      </c>
      <c r="L445" s="4">
        <f>_xll.ciqfunctions.udf.CIQ(InputTicker,"IQ_CONTINGENT_LIABILITIES",Input!N$2,Date,,,Ccy,Conv)</f>
        <v>3</v>
      </c>
      <c r="M445" s="4">
        <f>_xll.ciqfunctions.udf.CIQ(InputTicker,"IQ_CONTINGENT_LIABILITIES",Input!O$2,Date,,,Ccy,Conv)</f>
        <v>3</v>
      </c>
      <c r="N445" s="53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</row>
    <row r="446" spans="1:66" ht="12.75" customHeight="1" x14ac:dyDescent="0.2">
      <c r="A446" s="1" t="s">
        <v>443</v>
      </c>
      <c r="B446" s="4">
        <f>_xll.ciqfunctions.udf.CIQ(InputTicker,"IQ_WARRANTY_LIABILITIES",Input!D$2,Date,,,Ccy,Conv)</f>
        <v>0</v>
      </c>
      <c r="C446" s="4">
        <f>_xll.ciqfunctions.udf.CIQ(InputTicker,"IQ_WARRANTY_LIABILITIES",Input!E$2,Date,,,Ccy,Conv)</f>
        <v>0</v>
      </c>
      <c r="D446" s="4">
        <f>_xll.ciqfunctions.udf.CIQ(InputTicker,"IQ_WARRANTY_LIABILITIES",Input!F$2,Date,,,Ccy,Conv)</f>
        <v>0</v>
      </c>
      <c r="E446" s="4">
        <f>_xll.ciqfunctions.udf.CIQ(InputTicker,"IQ_WARRANTY_LIABILITIES",Input!G$2,Date,,,Ccy,Conv)</f>
        <v>0</v>
      </c>
      <c r="F446" s="4">
        <f>_xll.ciqfunctions.udf.CIQ(InputTicker,"IQ_WARRANTY_LIABILITIES",Input!H$2,Date,,,Ccy,Conv)</f>
        <v>0</v>
      </c>
      <c r="G446" s="4">
        <f>_xll.ciqfunctions.udf.CIQ(InputTicker,"IQ_WARRANTY_LIABILITIES",Input!I$2,Date,,,Ccy,Conv)</f>
        <v>0</v>
      </c>
      <c r="H446" s="4">
        <f>_xll.ciqfunctions.udf.CIQ(InputTicker,"IQ_WARRANTY_LIABILITIES",Input!J$2,Date,,,Ccy,Conv)</f>
        <v>0</v>
      </c>
      <c r="I446" s="4">
        <f>_xll.ciqfunctions.udf.CIQ(InputTicker,"IQ_WARRANTY_LIABILITIES",Input!K$2,Date,,,Ccy,Conv)</f>
        <v>0</v>
      </c>
      <c r="J446" s="4">
        <f>_xll.ciqfunctions.udf.CIQ(InputTicker,"IQ_WARRANTY_LIABILITIES",Input!L$2,Date,,,Ccy,Conv)</f>
        <v>0</v>
      </c>
      <c r="K446" s="4">
        <f>_xll.ciqfunctions.udf.CIQ(InputTicker,"IQ_WARRANTY_LIABILITIES",Input!M$2,Date,,,Ccy,Conv)</f>
        <v>0</v>
      </c>
      <c r="L446" s="4">
        <f>_xll.ciqfunctions.udf.CIQ(InputTicker,"IQ_WARRANTY_LIABILITIES",Input!N$2,Date,,,Ccy,Conv)</f>
        <v>0</v>
      </c>
      <c r="M446" s="4">
        <f>_xll.ciqfunctions.udf.CIQ(InputTicker,"IQ_WARRANTY_LIABILITIES",Input!O$2,Date,,,Ccy,Conv)</f>
        <v>0</v>
      </c>
      <c r="N446" s="53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</row>
    <row r="447" spans="1:66" ht="12.75" customHeight="1" x14ac:dyDescent="0.2">
      <c r="A447" s="1" t="s">
        <v>8</v>
      </c>
      <c r="B447" s="4">
        <f>_xll.ciqfunctions.udf.CIQ(InputTicker,"IQ_ST_DEBT_DERIVATIVES",Input!D$2,Date,,,Ccy,Conv)</f>
        <v>0</v>
      </c>
      <c r="C447" s="4">
        <f>_xll.ciqfunctions.udf.CIQ(InputTicker,"IQ_ST_DEBT_DERIVATIVES",Input!E$2,Date,,,Ccy,Conv)</f>
        <v>0</v>
      </c>
      <c r="D447" s="4">
        <f>_xll.ciqfunctions.udf.CIQ(InputTicker,"IQ_ST_DEBT_DERIVATIVES",Input!F$2,Date,,,Ccy,Conv)</f>
        <v>0</v>
      </c>
      <c r="E447" s="4">
        <f>_xll.ciqfunctions.udf.CIQ(InputTicker,"IQ_ST_DEBT_DERIVATIVES",Input!G$2,Date,,,Ccy,Conv)</f>
        <v>0</v>
      </c>
      <c r="F447" s="4">
        <f>_xll.ciqfunctions.udf.CIQ(InputTicker,"IQ_ST_DEBT_DERIVATIVES",Input!H$2,Date,,,Ccy,Conv)</f>
        <v>0</v>
      </c>
      <c r="G447" s="4">
        <f>_xll.ciqfunctions.udf.CIQ(InputTicker,"IQ_ST_DEBT_DERIVATIVES",Input!I$2,Date,,,Ccy,Conv)</f>
        <v>0</v>
      </c>
      <c r="H447" s="4">
        <f>_xll.ciqfunctions.udf.CIQ(InputTicker,"IQ_ST_DEBT_DERIVATIVES",Input!J$2,Date,,,Ccy,Conv)</f>
        <v>0</v>
      </c>
      <c r="I447" s="4">
        <f>_xll.ciqfunctions.udf.CIQ(InputTicker,"IQ_ST_DEBT_DERIVATIVES",Input!K$2,Date,,,Ccy,Conv)</f>
        <v>0</v>
      </c>
      <c r="J447" s="4">
        <f>_xll.ciqfunctions.udf.CIQ(InputTicker,"IQ_ST_DEBT_DERIVATIVES",Input!L$2,Date,,,Ccy,Conv)</f>
        <v>0</v>
      </c>
      <c r="K447" s="4">
        <f>_xll.ciqfunctions.udf.CIQ(InputTicker,"IQ_ST_DEBT_DERIVATIVES",Input!M$2,Date,,,Ccy,Conv)</f>
        <v>0</v>
      </c>
      <c r="L447" s="4">
        <f>_xll.ciqfunctions.udf.CIQ(InputTicker,"IQ_ST_DEBT_DERIVATIVES",Input!N$2,Date,,,Ccy,Conv)</f>
        <v>0</v>
      </c>
      <c r="M447" s="4">
        <f>_xll.ciqfunctions.udf.CIQ(InputTicker,"IQ_ST_DEBT_DERIVATIVES",Input!O$2,Date,,,Ccy,Conv)</f>
        <v>0</v>
      </c>
      <c r="N447" s="53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</row>
    <row r="448" spans="1:66" ht="12.75" customHeight="1" x14ac:dyDescent="0.2">
      <c r="A448" s="1" t="s">
        <v>9</v>
      </c>
      <c r="B448" s="4">
        <f>_xll.ciqfunctions.udf.CIQ(InputTicker,"IQ_CURRENT_PORT_DEBT_DERIVATIVES",Input!D$2,Date,,,Ccy,Conv)</f>
        <v>0</v>
      </c>
      <c r="C448" s="4">
        <f>_xll.ciqfunctions.udf.CIQ(InputTicker,"IQ_CURRENT_PORT_DEBT_DERIVATIVES",Input!E$2,Date,,,Ccy,Conv)</f>
        <v>0</v>
      </c>
      <c r="D448" s="4">
        <f>_xll.ciqfunctions.udf.CIQ(InputTicker,"IQ_CURRENT_PORT_DEBT_DERIVATIVES",Input!F$2,Date,,,Ccy,Conv)</f>
        <v>0</v>
      </c>
      <c r="E448" s="4">
        <f>_xll.ciqfunctions.udf.CIQ(InputTicker,"IQ_CURRENT_PORT_DEBT_DERIVATIVES",Input!G$2,Date,,,Ccy,Conv)</f>
        <v>0.92900000000000005</v>
      </c>
      <c r="F448" s="4">
        <f>_xll.ciqfunctions.udf.CIQ(InputTicker,"IQ_CURRENT_PORT_DEBT_DERIVATIVES",Input!H$2,Date,,,Ccy,Conv)</f>
        <v>18.831</v>
      </c>
      <c r="G448" s="4">
        <f>_xll.ciqfunctions.udf.CIQ(InputTicker,"IQ_CURRENT_PORT_DEBT_DERIVATIVES",Input!I$2,Date,,,Ccy,Conv)</f>
        <v>17.163</v>
      </c>
      <c r="H448" s="4">
        <f>_xll.ciqfunctions.udf.CIQ(InputTicker,"IQ_CURRENT_PORT_DEBT_DERIVATIVES",Input!J$2,Date,,,Ccy,Conv)</f>
        <v>4.3239999999999998</v>
      </c>
      <c r="I448" s="4">
        <f>_xll.ciqfunctions.udf.CIQ(InputTicker,"IQ_CURRENT_PORT_DEBT_DERIVATIVES",Input!K$2,Date,,,Ccy,Conv)</f>
        <v>0</v>
      </c>
      <c r="J448" s="4">
        <f>_xll.ciqfunctions.udf.CIQ(InputTicker,"IQ_CURRENT_PORT_DEBT_DERIVATIVES",Input!L$2,Date,,,Ccy,Conv)</f>
        <v>0</v>
      </c>
      <c r="K448" s="4">
        <f>_xll.ciqfunctions.udf.CIQ(InputTicker,"IQ_CURRENT_PORT_DEBT_DERIVATIVES",Input!M$2,Date,,,Ccy,Conv)</f>
        <v>0</v>
      </c>
      <c r="L448" s="4">
        <f>_xll.ciqfunctions.udf.CIQ(InputTicker,"IQ_CURRENT_PORT_DEBT_DERIVATIVES",Input!N$2,Date,,,Ccy,Conv)</f>
        <v>0</v>
      </c>
      <c r="M448" s="4">
        <f>_xll.ciqfunctions.udf.CIQ(InputTicker,"IQ_CURRENT_PORT_DEBT_DERIVATIVES",Input!O$2,Date,,,Ccy,Conv)</f>
        <v>0</v>
      </c>
      <c r="N448" s="53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</row>
    <row r="449" spans="1:66" ht="12.75" customHeight="1" x14ac:dyDescent="0.2">
      <c r="A449" s="1" t="s">
        <v>10</v>
      </c>
      <c r="B449" s="4">
        <f>_xll.ciqfunctions.udf.CIQ(InputTicker,"IQ_LT_DEBT_DERIVATIVES",Input!D$2,Date,,,Ccy,Conv)</f>
        <v>0</v>
      </c>
      <c r="C449" s="4">
        <f>_xll.ciqfunctions.udf.CIQ(InputTicker,"IQ_LT_DEBT_DERIVATIVES",Input!E$2,Date,,,Ccy,Conv)</f>
        <v>0</v>
      </c>
      <c r="D449" s="4">
        <f>_xll.ciqfunctions.udf.CIQ(InputTicker,"IQ_LT_DEBT_DERIVATIVES",Input!F$2,Date,,,Ccy,Conv)</f>
        <v>0</v>
      </c>
      <c r="E449" s="4">
        <f>_xll.ciqfunctions.udf.CIQ(InputTicker,"IQ_LT_DEBT_DERIVATIVES",Input!G$2,Date,,,Ccy,Conv)</f>
        <v>4.3470000000000004</v>
      </c>
      <c r="F449" s="4">
        <f>_xll.ciqfunctions.udf.CIQ(InputTicker,"IQ_LT_DEBT_DERIVATIVES",Input!H$2,Date,,,Ccy,Conv)</f>
        <v>37.819000000000003</v>
      </c>
      <c r="G449" s="4">
        <f>_xll.ciqfunctions.udf.CIQ(InputTicker,"IQ_LT_DEBT_DERIVATIVES",Input!I$2,Date,,,Ccy,Conv)</f>
        <v>20.998999999999999</v>
      </c>
      <c r="H449" s="4">
        <f>_xll.ciqfunctions.udf.CIQ(InputTicker,"IQ_LT_DEBT_DERIVATIVES",Input!J$2,Date,,,Ccy,Conv)</f>
        <v>3.9E-2</v>
      </c>
      <c r="I449" s="4">
        <f>_xll.ciqfunctions.udf.CIQ(InputTicker,"IQ_LT_DEBT_DERIVATIVES",Input!K$2,Date,,,Ccy,Conv)</f>
        <v>1.369</v>
      </c>
      <c r="J449" s="4">
        <f>_xll.ciqfunctions.udf.CIQ(InputTicker,"IQ_LT_DEBT_DERIVATIVES",Input!L$2,Date,,,Ccy,Conv)</f>
        <v>0</v>
      </c>
      <c r="K449" s="4">
        <f>_xll.ciqfunctions.udf.CIQ(InputTicker,"IQ_LT_DEBT_DERIVATIVES",Input!M$2,Date,,,Ccy,Conv)</f>
        <v>0</v>
      </c>
      <c r="L449" s="4">
        <f>_xll.ciqfunctions.udf.CIQ(InputTicker,"IQ_LT_DEBT_DERIVATIVES",Input!N$2,Date,,,Ccy,Conv)</f>
        <v>0</v>
      </c>
      <c r="M449" s="4">
        <f>_xll.ciqfunctions.udf.CIQ(InputTicker,"IQ_LT_DEBT_DERIVATIVES",Input!O$2,Date,,,Ccy,Conv)</f>
        <v>0</v>
      </c>
      <c r="N449" s="53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</row>
    <row r="450" spans="1:66" ht="12.75" customHeight="1" x14ac:dyDescent="0.2">
      <c r="A450" s="1" t="s">
        <v>18</v>
      </c>
      <c r="B450" s="4">
        <f>_xll.ciqfunctions.udf.CIQ(InputTicker,"IQ_DERIVATIVE_LIAB_CURRENT",Input!D$2,Date,,,Ccy,Conv)</f>
        <v>0</v>
      </c>
      <c r="C450" s="4">
        <f>_xll.ciqfunctions.udf.CIQ(InputTicker,"IQ_DERIVATIVE_LIAB_CURRENT",Input!E$2,Date,,,Ccy,Conv)</f>
        <v>0</v>
      </c>
      <c r="D450" s="4">
        <f>_xll.ciqfunctions.udf.CIQ(InputTicker,"IQ_DERIVATIVE_LIAB_CURRENT",Input!F$2,Date,,,Ccy,Conv)</f>
        <v>0</v>
      </c>
      <c r="E450" s="4">
        <f>_xll.ciqfunctions.udf.CIQ(InputTicker,"IQ_DERIVATIVE_LIAB_CURRENT",Input!G$2,Date,,,Ccy,Conv)</f>
        <v>0</v>
      </c>
      <c r="F450" s="4">
        <f>_xll.ciqfunctions.udf.CIQ(InputTicker,"IQ_DERIVATIVE_LIAB_CURRENT",Input!H$2,Date,,,Ccy,Conv)</f>
        <v>0</v>
      </c>
      <c r="G450" s="4">
        <f>_xll.ciqfunctions.udf.CIQ(InputTicker,"IQ_DERIVATIVE_LIAB_CURRENT",Input!I$2,Date,,,Ccy,Conv)</f>
        <v>0</v>
      </c>
      <c r="H450" s="4">
        <f>_xll.ciqfunctions.udf.CIQ(InputTicker,"IQ_DERIVATIVE_LIAB_CURRENT",Input!J$2,Date,,,Ccy,Conv)</f>
        <v>0</v>
      </c>
      <c r="I450" s="4">
        <f>_xll.ciqfunctions.udf.CIQ(InputTicker,"IQ_DERIVATIVE_LIAB_CURRENT",Input!K$2,Date,,,Ccy,Conv)</f>
        <v>0</v>
      </c>
      <c r="J450" s="4">
        <f>_xll.ciqfunctions.udf.CIQ(InputTicker,"IQ_DERIVATIVE_LIAB_CURRENT",Input!L$2,Date,,,Ccy,Conv)</f>
        <v>0</v>
      </c>
      <c r="K450" s="4">
        <f>_xll.ciqfunctions.udf.CIQ(InputTicker,"IQ_DERIVATIVE_LIAB_CURRENT",Input!M$2,Date,,,Ccy,Conv)</f>
        <v>0</v>
      </c>
      <c r="L450" s="4">
        <f>_xll.ciqfunctions.udf.CIQ(InputTicker,"IQ_DERIVATIVE_LIAB_CURRENT",Input!N$2,Date,,,Ccy,Conv)</f>
        <v>0</v>
      </c>
      <c r="M450" s="4">
        <f>_xll.ciqfunctions.udf.CIQ(InputTicker,"IQ_DERIVATIVE_LIAB_CURRENT",Input!O$2,Date,,,Ccy,Conv)</f>
        <v>0</v>
      </c>
      <c r="N450" s="53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</row>
    <row r="451" spans="1:66" ht="12.75" customHeight="1" x14ac:dyDescent="0.2">
      <c r="A451" s="1" t="s">
        <v>19</v>
      </c>
      <c r="B451" s="4">
        <f>_xll.ciqfunctions.udf.CIQ(InputTicker,"IQ_DERIVATIVE_LIAB_NON_CURRENT",Input!D$2,Date,,,Ccy,Conv)</f>
        <v>0</v>
      </c>
      <c r="C451" s="4">
        <f>_xll.ciqfunctions.udf.CIQ(InputTicker,"IQ_DERIVATIVE_LIAB_NON_CURRENT",Input!E$2,Date,,,Ccy,Conv)</f>
        <v>0</v>
      </c>
      <c r="D451" s="4">
        <f>_xll.ciqfunctions.udf.CIQ(InputTicker,"IQ_DERIVATIVE_LIAB_NON_CURRENT",Input!F$2,Date,,,Ccy,Conv)</f>
        <v>0</v>
      </c>
      <c r="E451" s="4">
        <f>_xll.ciqfunctions.udf.CIQ(InputTicker,"IQ_DERIVATIVE_LIAB_NON_CURRENT",Input!G$2,Date,,,Ccy,Conv)</f>
        <v>0</v>
      </c>
      <c r="F451" s="4">
        <f>_xll.ciqfunctions.udf.CIQ(InputTicker,"IQ_DERIVATIVE_LIAB_NON_CURRENT",Input!H$2,Date,,,Ccy,Conv)</f>
        <v>0</v>
      </c>
      <c r="G451" s="4">
        <f>_xll.ciqfunctions.udf.CIQ(InputTicker,"IQ_DERIVATIVE_LIAB_NON_CURRENT",Input!I$2,Date,,,Ccy,Conv)</f>
        <v>0</v>
      </c>
      <c r="H451" s="4">
        <f>_xll.ciqfunctions.udf.CIQ(InputTicker,"IQ_DERIVATIVE_LIAB_NON_CURRENT",Input!J$2,Date,,,Ccy,Conv)</f>
        <v>0</v>
      </c>
      <c r="I451" s="4">
        <f>_xll.ciqfunctions.udf.CIQ(InputTicker,"IQ_DERIVATIVE_LIAB_NON_CURRENT",Input!K$2,Date,,,Ccy,Conv)</f>
        <v>0</v>
      </c>
      <c r="J451" s="4">
        <f>_xll.ciqfunctions.udf.CIQ(InputTicker,"IQ_DERIVATIVE_LIAB_NON_CURRENT",Input!L$2,Date,,,Ccy,Conv)</f>
        <v>0</v>
      </c>
      <c r="K451" s="4">
        <f>_xll.ciqfunctions.udf.CIQ(InputTicker,"IQ_DERIVATIVE_LIAB_NON_CURRENT",Input!M$2,Date,,,Ccy,Conv)</f>
        <v>0</v>
      </c>
      <c r="L451" s="4">
        <f>_xll.ciqfunctions.udf.CIQ(InputTicker,"IQ_DERIVATIVE_LIAB_NON_CURRENT",Input!N$2,Date,,,Ccy,Conv)</f>
        <v>0</v>
      </c>
      <c r="M451" s="4">
        <f>_xll.ciqfunctions.udf.CIQ(InputTicker,"IQ_DERIVATIVE_LIAB_NON_CURRENT",Input!O$2,Date,,,Ccy,Conv)</f>
        <v>0</v>
      </c>
      <c r="N451" s="53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</row>
    <row r="452" spans="1:66" ht="12.75" customHeight="1" x14ac:dyDescent="0.2">
      <c r="A452" s="1" t="s">
        <v>20</v>
      </c>
      <c r="B452" s="4">
        <f>_xll.ciqfunctions.udf.CIQ(InputTicker,"IQ_DERIVATIVE_TRADING_ASSETS",Input!D$2,Date,,,Ccy,Conv)</f>
        <v>0</v>
      </c>
      <c r="C452" s="4">
        <f>_xll.ciqfunctions.udf.CIQ(InputTicker,"IQ_DERIVATIVE_TRADING_ASSETS",Input!E$2,Date,,,Ccy,Conv)</f>
        <v>0</v>
      </c>
      <c r="D452" s="4">
        <f>_xll.ciqfunctions.udf.CIQ(InputTicker,"IQ_DERIVATIVE_TRADING_ASSETS",Input!F$2,Date,,,Ccy,Conv)</f>
        <v>0.7</v>
      </c>
      <c r="E452" s="4">
        <f>_xll.ciqfunctions.udf.CIQ(InputTicker,"IQ_DERIVATIVE_TRADING_ASSETS",Input!G$2,Date,,,Ccy,Conv)</f>
        <v>1.79</v>
      </c>
      <c r="F452" s="4">
        <f>_xll.ciqfunctions.udf.CIQ(InputTicker,"IQ_DERIVATIVE_TRADING_ASSETS",Input!H$2,Date,,,Ccy,Conv)</f>
        <v>0</v>
      </c>
      <c r="G452" s="4">
        <f>_xll.ciqfunctions.udf.CIQ(InputTicker,"IQ_DERIVATIVE_TRADING_ASSETS",Input!I$2,Date,,,Ccy,Conv)</f>
        <v>0</v>
      </c>
      <c r="H452" s="4">
        <f>_xll.ciqfunctions.udf.CIQ(InputTicker,"IQ_DERIVATIVE_TRADING_ASSETS",Input!J$2,Date,,,Ccy,Conv)</f>
        <v>0</v>
      </c>
      <c r="I452" s="4">
        <f>_xll.ciqfunctions.udf.CIQ(InputTicker,"IQ_DERIVATIVE_TRADING_ASSETS",Input!K$2,Date,,,Ccy,Conv)</f>
        <v>11.244999999999999</v>
      </c>
      <c r="J452" s="4">
        <f>_xll.ciqfunctions.udf.CIQ(InputTicker,"IQ_DERIVATIVE_TRADING_ASSETS",Input!L$2,Date,,,Ccy,Conv)</f>
        <v>0</v>
      </c>
      <c r="K452" s="4">
        <f>_xll.ciqfunctions.udf.CIQ(InputTicker,"IQ_DERIVATIVE_TRADING_ASSETS",Input!M$2,Date,,,Ccy,Conv)</f>
        <v>0</v>
      </c>
      <c r="L452" s="4">
        <f>_xll.ciqfunctions.udf.CIQ(InputTicker,"IQ_DERIVATIVE_TRADING_ASSETS",Input!N$2,Date,,,Ccy,Conv)</f>
        <v>0</v>
      </c>
      <c r="M452" s="4">
        <f>_xll.ciqfunctions.udf.CIQ(InputTicker,"IQ_DERIVATIVE_TRADING_ASSETS",Input!O$2,Date,,,Ccy,Conv)</f>
        <v>0</v>
      </c>
      <c r="N452" s="53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</row>
    <row r="453" spans="1:66" ht="12.75" customHeight="1" x14ac:dyDescent="0.2">
      <c r="A453" s="1" t="s">
        <v>11</v>
      </c>
      <c r="B453" s="4">
        <f>_xll.ciqfunctions.udf.CIQ(InputTicker,"IQ_DERIVATIVE_ASSETS_CURRENT",Input!D$2,Date,,,Ccy,Conv)</f>
        <v>0</v>
      </c>
      <c r="C453" s="4">
        <f>_xll.ciqfunctions.udf.CIQ(InputTicker,"IQ_DERIVATIVE_ASSETS_CURRENT",Input!E$2,Date,,,Ccy,Conv)</f>
        <v>0</v>
      </c>
      <c r="D453" s="4">
        <f>_xll.ciqfunctions.udf.CIQ(InputTicker,"IQ_DERIVATIVE_ASSETS_CURRENT",Input!F$2,Date,,,Ccy,Conv)</f>
        <v>0</v>
      </c>
      <c r="E453" s="4">
        <f>_xll.ciqfunctions.udf.CIQ(InputTicker,"IQ_DERIVATIVE_ASSETS_CURRENT",Input!G$2,Date,,,Ccy,Conv)</f>
        <v>0</v>
      </c>
      <c r="F453" s="4">
        <f>_xll.ciqfunctions.udf.CIQ(InputTicker,"IQ_DERIVATIVE_ASSETS_CURRENT",Input!H$2,Date,,,Ccy,Conv)</f>
        <v>0</v>
      </c>
      <c r="G453" s="4">
        <f>_xll.ciqfunctions.udf.CIQ(InputTicker,"IQ_DERIVATIVE_ASSETS_CURRENT",Input!I$2,Date,,,Ccy,Conv)</f>
        <v>0</v>
      </c>
      <c r="H453" s="4">
        <f>_xll.ciqfunctions.udf.CIQ(InputTicker,"IQ_DERIVATIVE_ASSETS_CURRENT",Input!J$2,Date,,,Ccy,Conv)</f>
        <v>0</v>
      </c>
      <c r="I453" s="4">
        <f>_xll.ciqfunctions.udf.CIQ(InputTicker,"IQ_DERIVATIVE_ASSETS_CURRENT",Input!K$2,Date,,,Ccy,Conv)</f>
        <v>0</v>
      </c>
      <c r="J453" s="4">
        <f>_xll.ciqfunctions.udf.CIQ(InputTicker,"IQ_DERIVATIVE_ASSETS_CURRENT",Input!L$2,Date,,,Ccy,Conv)</f>
        <v>0</v>
      </c>
      <c r="K453" s="4">
        <f>_xll.ciqfunctions.udf.CIQ(InputTicker,"IQ_DERIVATIVE_ASSETS_CURRENT",Input!M$2,Date,,,Ccy,Conv)</f>
        <v>0</v>
      </c>
      <c r="L453" s="4">
        <f>_xll.ciqfunctions.udf.CIQ(InputTicker,"IQ_DERIVATIVE_ASSETS_CURRENT",Input!N$2,Date,,,Ccy,Conv)</f>
        <v>0</v>
      </c>
      <c r="M453" s="4">
        <f>_xll.ciqfunctions.udf.CIQ(InputTicker,"IQ_DERIVATIVE_ASSETS_CURRENT",Input!O$2,Date,,,Ccy,Conv)</f>
        <v>0</v>
      </c>
      <c r="N453" s="53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</row>
    <row r="454" spans="1:66" ht="12.75" customHeight="1" x14ac:dyDescent="0.2">
      <c r="A454" s="1" t="s">
        <v>12</v>
      </c>
      <c r="B454" s="4">
        <f>_xll.ciqfunctions.udf.CIQ(InputTicker,"IQ_DERIVATIVE_ASSETS_LT",Input!D$2,Date,,,Ccy,Conv)</f>
        <v>0</v>
      </c>
      <c r="C454" s="4">
        <f>_xll.ciqfunctions.udf.CIQ(InputTicker,"IQ_DERIVATIVE_ASSETS_LT",Input!E$2,Date,,,Ccy,Conv)</f>
        <v>0</v>
      </c>
      <c r="D454" s="4">
        <f>_xll.ciqfunctions.udf.CIQ(InputTicker,"IQ_DERIVATIVE_ASSETS_LT",Input!F$2,Date,,,Ccy,Conv)</f>
        <v>0</v>
      </c>
      <c r="E454" s="4">
        <f>_xll.ciqfunctions.udf.CIQ(InputTicker,"IQ_DERIVATIVE_ASSETS_LT",Input!G$2,Date,,,Ccy,Conv)</f>
        <v>0</v>
      </c>
      <c r="F454" s="4">
        <f>_xll.ciqfunctions.udf.CIQ(InputTicker,"IQ_DERIVATIVE_ASSETS_LT",Input!H$2,Date,,,Ccy,Conv)</f>
        <v>0</v>
      </c>
      <c r="G454" s="4">
        <f>_xll.ciqfunctions.udf.CIQ(InputTicker,"IQ_DERIVATIVE_ASSETS_LT",Input!I$2,Date,,,Ccy,Conv)</f>
        <v>0</v>
      </c>
      <c r="H454" s="4">
        <f>_xll.ciqfunctions.udf.CIQ(InputTicker,"IQ_DERIVATIVE_ASSETS_LT",Input!J$2,Date,,,Ccy,Conv)</f>
        <v>0</v>
      </c>
      <c r="I454" s="4">
        <f>_xll.ciqfunctions.udf.CIQ(InputTicker,"IQ_DERIVATIVE_ASSETS_LT",Input!K$2,Date,,,Ccy,Conv)</f>
        <v>0</v>
      </c>
      <c r="J454" s="4">
        <f>_xll.ciqfunctions.udf.CIQ(InputTicker,"IQ_DERIVATIVE_ASSETS_LT",Input!L$2,Date,,,Ccy,Conv)</f>
        <v>0</v>
      </c>
      <c r="K454" s="4">
        <f>_xll.ciqfunctions.udf.CIQ(InputTicker,"IQ_DERIVATIVE_ASSETS_LT",Input!M$2,Date,,,Ccy,Conv)</f>
        <v>0</v>
      </c>
      <c r="L454" s="4">
        <f>_xll.ciqfunctions.udf.CIQ(InputTicker,"IQ_DERIVATIVE_ASSETS_LT",Input!N$2,Date,,,Ccy,Conv)</f>
        <v>0</v>
      </c>
      <c r="M454" s="4">
        <f>_xll.ciqfunctions.udf.CIQ(InputTicker,"IQ_DERIVATIVE_ASSETS_LT",Input!O$2,Date,,,Ccy,Conv)</f>
        <v>0</v>
      </c>
      <c r="N454" s="53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</row>
    <row r="455" spans="1:66" ht="12.75" customHeight="1" x14ac:dyDescent="0.2">
      <c r="A455" s="1" t="s">
        <v>13</v>
      </c>
      <c r="B455" s="4">
        <f>_xll.ciqfunctions.udf.CIQ(InputTicker,"IQ_GROSS_INTAN_ASSETS",Input!D$2,Date,,,Ccy,Conv)</f>
        <v>399.959</v>
      </c>
      <c r="C455" s="4">
        <f>_xll.ciqfunctions.udf.CIQ(InputTicker,"IQ_GROSS_INTAN_ASSETS",Input!E$2,Date,,,Ccy,Conv)</f>
        <v>465.11500000000001</v>
      </c>
      <c r="D455" s="4">
        <f>_xll.ciqfunctions.udf.CIQ(InputTicker,"IQ_GROSS_INTAN_ASSETS",Input!F$2,Date,,,Ccy,Conv)</f>
        <v>306.00799999999998</v>
      </c>
      <c r="E455" s="4">
        <f>_xll.ciqfunctions.udf.CIQ(InputTicker,"IQ_GROSS_INTAN_ASSETS",Input!G$2,Date,,,Ccy,Conv)</f>
        <v>306.01400000000001</v>
      </c>
      <c r="F455" s="4">
        <f>_xll.ciqfunctions.udf.CIQ(InputTicker,"IQ_GROSS_INTAN_ASSETS",Input!H$2,Date,,,Ccy,Conv)</f>
        <v>278.55</v>
      </c>
      <c r="G455" s="4">
        <f>_xll.ciqfunctions.udf.CIQ(InputTicker,"IQ_GROSS_INTAN_ASSETS",Input!I$2,Date,,,Ccy,Conv)</f>
        <v>272.60000000000002</v>
      </c>
      <c r="H455" s="4">
        <f>_xll.ciqfunctions.udf.CIQ(InputTicker,"IQ_GROSS_INTAN_ASSETS",Input!J$2,Date,,,Ccy,Conv)</f>
        <v>673.49400000000003</v>
      </c>
      <c r="I455" s="4">
        <f>_xll.ciqfunctions.udf.CIQ(InputTicker,"IQ_GROSS_INTAN_ASSETS",Input!K$2,Date,,,Ccy,Conv)</f>
        <v>789.99400000000003</v>
      </c>
      <c r="J455" s="4">
        <f>_xll.ciqfunctions.udf.CIQ(InputTicker,"IQ_GROSS_INTAN_ASSETS",Input!L$2,Date,,,Ccy,Conv)</f>
        <v>782</v>
      </c>
      <c r="K455" s="4">
        <f>_xll.ciqfunctions.udf.CIQ(InputTicker,"IQ_GROSS_INTAN_ASSETS",Input!M$2,Date,,,Ccy,Conv)</f>
        <v>809</v>
      </c>
      <c r="L455" s="4">
        <f>_xll.ciqfunctions.udf.CIQ(InputTicker,"IQ_GROSS_INTAN_ASSETS",Input!N$2,Date,,,Ccy,Conv)</f>
        <v>809</v>
      </c>
      <c r="M455" s="4">
        <f>_xll.ciqfunctions.udf.CIQ(InputTicker,"IQ_GROSS_INTAN_ASSETS",Input!O$2,Date,,,Ccy,Conv)</f>
        <v>809</v>
      </c>
      <c r="N455" s="53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</row>
    <row r="456" spans="1:66" ht="12.75" customHeight="1" x14ac:dyDescent="0.2">
      <c r="A456" s="1" t="s">
        <v>14</v>
      </c>
      <c r="B456" s="4">
        <f>_xll.ciqfunctions.udf.CIQ(InputTicker,"IQ_ACCUM_AMORT_INTAN_ASSETS",Input!D$2,Date,,,Ccy,Conv)</f>
        <v>-179.30099999999999</v>
      </c>
      <c r="C456" s="4">
        <f>_xll.ciqfunctions.udf.CIQ(InputTicker,"IQ_ACCUM_AMORT_INTAN_ASSETS",Input!E$2,Date,,,Ccy,Conv)</f>
        <v>-193.23500000000001</v>
      </c>
      <c r="D456" s="4">
        <f>_xll.ciqfunctions.udf.CIQ(InputTicker,"IQ_ACCUM_AMORT_INTAN_ASSETS",Input!F$2,Date,,,Ccy,Conv)</f>
        <v>-45.036000000000001</v>
      </c>
      <c r="E456" s="4">
        <f>_xll.ciqfunctions.udf.CIQ(InputTicker,"IQ_ACCUM_AMORT_INTAN_ASSETS",Input!G$2,Date,,,Ccy,Conv)</f>
        <v>-60.762</v>
      </c>
      <c r="F456" s="4">
        <f>_xll.ciqfunctions.udf.CIQ(InputTicker,"IQ_ACCUM_AMORT_INTAN_ASSETS",Input!H$2,Date,,,Ccy,Conv)</f>
        <v>-46.284999999999997</v>
      </c>
      <c r="G456" s="4">
        <f>_xll.ciqfunctions.udf.CIQ(InputTicker,"IQ_ACCUM_AMORT_INTAN_ASSETS",Input!I$2,Date,,,Ccy,Conv)</f>
        <v>-50.503</v>
      </c>
      <c r="H456" s="4">
        <f>_xll.ciqfunctions.udf.CIQ(InputTicker,"IQ_ACCUM_AMORT_INTAN_ASSETS",Input!J$2,Date,,,Ccy,Conv)</f>
        <v>-101.584</v>
      </c>
      <c r="I456" s="4">
        <f>_xll.ciqfunctions.udf.CIQ(InputTicker,"IQ_ACCUM_AMORT_INTAN_ASSETS",Input!K$2,Date,,,Ccy,Conv)</f>
        <v>-169.316</v>
      </c>
      <c r="J456" s="4">
        <f>_xll.ciqfunctions.udf.CIQ(InputTicker,"IQ_ACCUM_AMORT_INTAN_ASSETS",Input!L$2,Date,,,Ccy,Conv)</f>
        <v>-238</v>
      </c>
      <c r="K456" s="4">
        <f>_xll.ciqfunctions.udf.CIQ(InputTicker,"IQ_ACCUM_AMORT_INTAN_ASSETS",Input!M$2,Date,,,Ccy,Conv)</f>
        <v>-305</v>
      </c>
      <c r="L456" s="4">
        <f>_xll.ciqfunctions.udf.CIQ(InputTicker,"IQ_ACCUM_AMORT_INTAN_ASSETS",Input!N$2,Date,,,Ccy,Conv)</f>
        <v>-365</v>
      </c>
      <c r="M456" s="4">
        <f>_xll.ciqfunctions.udf.CIQ(InputTicker,"IQ_ACCUM_AMORT_INTAN_ASSETS",Input!O$2,Date,,,Ccy,Conv)</f>
        <v>-365</v>
      </c>
      <c r="N456" s="53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</row>
    <row r="457" spans="1:66" ht="12.75" customHeight="1" x14ac:dyDescent="0.2">
      <c r="A457" s="1" t="s">
        <v>15</v>
      </c>
      <c r="B457" s="4">
        <f>_xll.ciqfunctions.udf.CIQ(InputTicker,"IQ_GROSS_GW",Input!D$2,Date,,,Ccy,Conv)</f>
        <v>0</v>
      </c>
      <c r="C457" s="4">
        <f>_xll.ciqfunctions.udf.CIQ(InputTicker,"IQ_GROSS_GW",Input!E$2,Date,,,Ccy,Conv)</f>
        <v>0</v>
      </c>
      <c r="D457" s="4">
        <f>_xll.ciqfunctions.udf.CIQ(InputTicker,"IQ_GROSS_GW",Input!F$2,Date,,,Ccy,Conv)</f>
        <v>0</v>
      </c>
      <c r="E457" s="4">
        <f>_xll.ciqfunctions.udf.CIQ(InputTicker,"IQ_GROSS_GW",Input!G$2,Date,,,Ccy,Conv)</f>
        <v>0</v>
      </c>
      <c r="F457" s="4">
        <f>_xll.ciqfunctions.udf.CIQ(InputTicker,"IQ_GROSS_GW",Input!H$2,Date,,,Ccy,Conv)</f>
        <v>0</v>
      </c>
      <c r="G457" s="4">
        <f>_xll.ciqfunctions.udf.CIQ(InputTicker,"IQ_GROSS_GW",Input!I$2,Date,,,Ccy,Conv)</f>
        <v>0</v>
      </c>
      <c r="H457" s="4">
        <f>_xll.ciqfunctions.udf.CIQ(InputTicker,"IQ_GROSS_GW",Input!J$2,Date,,,Ccy,Conv)</f>
        <v>0</v>
      </c>
      <c r="I457" s="4">
        <f>_xll.ciqfunctions.udf.CIQ(InputTicker,"IQ_GROSS_GW",Input!K$2,Date,,,Ccy,Conv)</f>
        <v>0</v>
      </c>
      <c r="J457" s="4">
        <f>_xll.ciqfunctions.udf.CIQ(InputTicker,"IQ_GROSS_GW",Input!L$2,Date,,,Ccy,Conv)</f>
        <v>0</v>
      </c>
      <c r="K457" s="4">
        <f>_xll.ciqfunctions.udf.CIQ(InputTicker,"IQ_GROSS_GW",Input!M$2,Date,,,Ccy,Conv)</f>
        <v>0</v>
      </c>
      <c r="L457" s="4">
        <f>_xll.ciqfunctions.udf.CIQ(InputTicker,"IQ_GROSS_GW",Input!N$2,Date,,,Ccy,Conv)</f>
        <v>0</v>
      </c>
      <c r="M457" s="4">
        <f>_xll.ciqfunctions.udf.CIQ(InputTicker,"IQ_GROSS_GW",Input!O$2,Date,,,Ccy,Conv)</f>
        <v>0</v>
      </c>
      <c r="N457" s="55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</row>
    <row r="458" spans="1:66" ht="12.75" customHeight="1" x14ac:dyDescent="0.2">
      <c r="A458" s="1" t="s">
        <v>16</v>
      </c>
      <c r="B458" s="4">
        <f>_xll.ciqfunctions.udf.CIQ(InputTicker,"IQ_ACCUM_AMORT_GW",Input!D$2,Date,,,Ccy,Conv)</f>
        <v>0</v>
      </c>
      <c r="C458" s="4">
        <f>_xll.ciqfunctions.udf.CIQ(InputTicker,"IQ_ACCUM_AMORT_GW",Input!E$2,Date,,,Ccy,Conv)</f>
        <v>0</v>
      </c>
      <c r="D458" s="4">
        <f>_xll.ciqfunctions.udf.CIQ(InputTicker,"IQ_ACCUM_AMORT_GW",Input!F$2,Date,,,Ccy,Conv)</f>
        <v>0</v>
      </c>
      <c r="E458" s="4">
        <f>_xll.ciqfunctions.udf.CIQ(InputTicker,"IQ_ACCUM_AMORT_GW",Input!G$2,Date,,,Ccy,Conv)</f>
        <v>0</v>
      </c>
      <c r="F458" s="4">
        <f>_xll.ciqfunctions.udf.CIQ(InputTicker,"IQ_ACCUM_AMORT_GW",Input!H$2,Date,,,Ccy,Conv)</f>
        <v>0</v>
      </c>
      <c r="G458" s="4">
        <f>_xll.ciqfunctions.udf.CIQ(InputTicker,"IQ_ACCUM_AMORT_GW",Input!I$2,Date,,,Ccy,Conv)</f>
        <v>0</v>
      </c>
      <c r="H458" s="4">
        <f>_xll.ciqfunctions.udf.CIQ(InputTicker,"IQ_ACCUM_AMORT_GW",Input!J$2,Date,,,Ccy,Conv)</f>
        <v>0</v>
      </c>
      <c r="I458" s="4">
        <f>_xll.ciqfunctions.udf.CIQ(InputTicker,"IQ_ACCUM_AMORT_GW",Input!K$2,Date,,,Ccy,Conv)</f>
        <v>0</v>
      </c>
      <c r="J458" s="4">
        <f>_xll.ciqfunctions.udf.CIQ(InputTicker,"IQ_ACCUM_AMORT_GW",Input!L$2,Date,,,Ccy,Conv)</f>
        <v>0</v>
      </c>
      <c r="K458" s="4">
        <f>_xll.ciqfunctions.udf.CIQ(InputTicker,"IQ_ACCUM_AMORT_GW",Input!M$2,Date,,,Ccy,Conv)</f>
        <v>0</v>
      </c>
      <c r="L458" s="4">
        <f>_xll.ciqfunctions.udf.CIQ(InputTicker,"IQ_ACCUM_AMORT_GW",Input!N$2,Date,,,Ccy,Conv)</f>
        <v>0</v>
      </c>
      <c r="M458" s="4">
        <f>_xll.ciqfunctions.udf.CIQ(InputTicker,"IQ_ACCUM_AMORT_GW",Input!O$2,Date,,,Ccy,Conv)</f>
        <v>0</v>
      </c>
      <c r="N458" s="55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</row>
    <row r="459" spans="1:66" ht="12.75" customHeight="1" x14ac:dyDescent="0.2">
      <c r="A459" s="1" t="s">
        <v>487</v>
      </c>
      <c r="B459" s="4">
        <f>_xll.ciqfunctions.udf.CIQ(InputTicker,"IQ_LT_MARK_SECURITIES",Input!D$2,Date,,,Ccy,Conv)</f>
        <v>0</v>
      </c>
      <c r="C459" s="4">
        <f>_xll.ciqfunctions.udf.CIQ(InputTicker,"IQ_LT_MARK_SECURITIES",Input!E$2,Date,,,Ccy,Conv)</f>
        <v>0</v>
      </c>
      <c r="D459" s="4">
        <f>_xll.ciqfunctions.udf.CIQ(InputTicker,"IQ_LT_MARK_SECURITIES",Input!F$2,Date,,,Ccy,Conv)</f>
        <v>0</v>
      </c>
      <c r="E459" s="4">
        <f>_xll.ciqfunctions.udf.CIQ(InputTicker,"IQ_LT_MARK_SECURITIES",Input!G$2,Date,,,Ccy,Conv)</f>
        <v>0</v>
      </c>
      <c r="F459" s="4">
        <f>_xll.ciqfunctions.udf.CIQ(InputTicker,"IQ_LT_MARK_SECURITIES",Input!H$2,Date,,,Ccy,Conv)</f>
        <v>0</v>
      </c>
      <c r="G459" s="4">
        <f>_xll.ciqfunctions.udf.CIQ(InputTicker,"IQ_LT_MARK_SECURITIES",Input!I$2,Date,,,Ccy,Conv)</f>
        <v>0</v>
      </c>
      <c r="H459" s="4">
        <f>_xll.ciqfunctions.udf.CIQ(InputTicker,"IQ_LT_MARK_SECURITIES",Input!J$2,Date,,,Ccy,Conv)</f>
        <v>0</v>
      </c>
      <c r="I459" s="4">
        <f>_xll.ciqfunctions.udf.CIQ(InputTicker,"IQ_LT_MARK_SECURITIES",Input!K$2,Date,,,Ccy,Conv)</f>
        <v>0</v>
      </c>
      <c r="J459" s="4">
        <f>_xll.ciqfunctions.udf.CIQ(InputTicker,"IQ_LT_MARK_SECURITIES",Input!L$2,Date,,,Ccy,Conv)</f>
        <v>0</v>
      </c>
      <c r="K459" s="4">
        <f>_xll.ciqfunctions.udf.CIQ(InputTicker,"IQ_LT_MARK_SECURITIES",Input!M$2,Date,,,Ccy,Conv)</f>
        <v>0</v>
      </c>
      <c r="L459" s="4">
        <f>_xll.ciqfunctions.udf.CIQ(InputTicker,"IQ_LT_MARK_SECURITIES",Input!N$2,Date,,,Ccy,Conv)</f>
        <v>0</v>
      </c>
      <c r="M459" s="4">
        <f>_xll.ciqfunctions.udf.CIQ(InputTicker,"IQ_LT_MARK_SECURITIES",Input!O$2,Date,,,Ccy,Conv)</f>
        <v>0</v>
      </c>
      <c r="N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</row>
    <row r="460" spans="1:66" ht="12.75" customHeight="1" x14ac:dyDescent="0.2">
      <c r="A460" s="1" t="s">
        <v>488</v>
      </c>
      <c r="B460" s="4">
        <f>_xll.ciqfunctions.udf.CIQ(InputTicker,"IQ_ADVANCES_FOR_SUPPLIES",Input!D$2,Date,,,Ccy,Conv)</f>
        <v>0</v>
      </c>
      <c r="C460" s="4">
        <f>_xll.ciqfunctions.udf.CIQ(InputTicker,"IQ_ADVANCES_FOR_SUPPLIES",Input!E$2,Date,,,Ccy,Conv)</f>
        <v>0</v>
      </c>
      <c r="D460" s="4">
        <f>_xll.ciqfunctions.udf.CIQ(InputTicker,"IQ_ADVANCES_FOR_SUPPLIES",Input!F$2,Date,,,Ccy,Conv)</f>
        <v>0</v>
      </c>
      <c r="E460" s="4">
        <f>_xll.ciqfunctions.udf.CIQ(InputTicker,"IQ_ADVANCES_FOR_SUPPLIES",Input!G$2,Date,,,Ccy,Conv)</f>
        <v>0</v>
      </c>
      <c r="F460" s="4">
        <f>_xll.ciqfunctions.udf.CIQ(InputTicker,"IQ_ADVANCES_FOR_SUPPLIES",Input!H$2,Date,,,Ccy,Conv)</f>
        <v>0</v>
      </c>
      <c r="G460" s="4">
        <f>_xll.ciqfunctions.udf.CIQ(InputTicker,"IQ_ADVANCES_FOR_SUPPLIES",Input!I$2,Date,,,Ccy,Conv)</f>
        <v>0</v>
      </c>
      <c r="H460" s="4">
        <f>_xll.ciqfunctions.udf.CIQ(InputTicker,"IQ_ADVANCES_FOR_SUPPLIES",Input!J$2,Date,,,Ccy,Conv)</f>
        <v>0</v>
      </c>
      <c r="I460" s="4">
        <f>_xll.ciqfunctions.udf.CIQ(InputTicker,"IQ_ADVANCES_FOR_SUPPLIES",Input!K$2,Date,,,Ccy,Conv)</f>
        <v>0</v>
      </c>
      <c r="J460" s="4">
        <f>_xll.ciqfunctions.udf.CIQ(InputTicker,"IQ_ADVANCES_FOR_SUPPLIES",Input!L$2,Date,,,Ccy,Conv)</f>
        <v>0</v>
      </c>
      <c r="K460" s="4">
        <f>_xll.ciqfunctions.udf.CIQ(InputTicker,"IQ_ADVANCES_FOR_SUPPLIES",Input!M$2,Date,,,Ccy,Conv)</f>
        <v>0</v>
      </c>
      <c r="L460" s="4">
        <f>_xll.ciqfunctions.udf.CIQ(InputTicker,"IQ_ADVANCES_FOR_SUPPLIES",Input!N$2,Date,,,Ccy,Conv)</f>
        <v>0</v>
      </c>
      <c r="M460" s="4">
        <f>_xll.ciqfunctions.udf.CIQ(InputTicker,"IQ_ADVANCES_FOR_SUPPLIES",Input!O$2,Date,,,Ccy,Conv)</f>
        <v>0</v>
      </c>
      <c r="N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</row>
    <row r="461" spans="1:66" ht="12.75" customHeight="1" x14ac:dyDescent="0.2">
      <c r="A461" s="1" t="s">
        <v>489</v>
      </c>
      <c r="B461" s="4">
        <f>_xll.ciqfunctions.udf.CIQ(InputTicker,"IQ_GW_INTAN_NET",Input!D$2,Date,,,Ccy,Conv)</f>
        <v>0</v>
      </c>
      <c r="C461" s="4">
        <f>_xll.ciqfunctions.udf.CIQ(InputTicker,"IQ_GW_INTAN_NET",Input!E$2,Date,,,Ccy,Conv)</f>
        <v>0</v>
      </c>
      <c r="D461" s="4">
        <f>_xll.ciqfunctions.udf.CIQ(InputTicker,"IQ_GW_INTAN_NET",Input!F$2,Date,,,Ccy,Conv)</f>
        <v>0</v>
      </c>
      <c r="E461" s="4">
        <f>_xll.ciqfunctions.udf.CIQ(InputTicker,"IQ_GW_INTAN_NET",Input!G$2,Date,,,Ccy,Conv)</f>
        <v>0</v>
      </c>
      <c r="F461" s="4">
        <f>_xll.ciqfunctions.udf.CIQ(InputTicker,"IQ_GW_INTAN_NET",Input!H$2,Date,,,Ccy,Conv)</f>
        <v>0</v>
      </c>
      <c r="G461" s="4">
        <f>_xll.ciqfunctions.udf.CIQ(InputTicker,"IQ_GW_INTAN_NET",Input!I$2,Date,,,Ccy,Conv)</f>
        <v>0</v>
      </c>
      <c r="H461" s="4">
        <f>_xll.ciqfunctions.udf.CIQ(InputTicker,"IQ_GW_INTAN_NET",Input!J$2,Date,,,Ccy,Conv)</f>
        <v>0</v>
      </c>
      <c r="I461" s="4">
        <f>_xll.ciqfunctions.udf.CIQ(InputTicker,"IQ_GW_INTAN_NET",Input!K$2,Date,,,Ccy,Conv)</f>
        <v>0</v>
      </c>
      <c r="J461" s="4">
        <f>_xll.ciqfunctions.udf.CIQ(InputTicker,"IQ_GW_INTAN_NET",Input!L$2,Date,,,Ccy,Conv)</f>
        <v>0</v>
      </c>
      <c r="K461" s="4">
        <f>_xll.ciqfunctions.udf.CIQ(InputTicker,"IQ_GW_INTAN_NET",Input!M$2,Date,,,Ccy,Conv)</f>
        <v>0</v>
      </c>
      <c r="L461" s="4">
        <f>_xll.ciqfunctions.udf.CIQ(InputTicker,"IQ_GW_INTAN_NET",Input!N$2,Date,,,Ccy,Conv)</f>
        <v>0</v>
      </c>
      <c r="M461" s="4">
        <f>_xll.ciqfunctions.udf.CIQ(InputTicker,"IQ_GW_INTAN_NET",Input!O$2,Date,,,Ccy,Conv)</f>
        <v>0</v>
      </c>
      <c r="N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</row>
    <row r="462" spans="1:66" ht="12.75" customHeight="1" x14ac:dyDescent="0.2">
      <c r="A462" s="1" t="s">
        <v>490</v>
      </c>
      <c r="B462" s="4">
        <f>_xll.ciqfunctions.udf.CIQ(InputTicker,"IQ_GW_NET",Input!D$2,Date,,,Ccy,Conv)</f>
        <v>0</v>
      </c>
      <c r="C462" s="4">
        <f>_xll.ciqfunctions.udf.CIQ(InputTicker,"IQ_GW_NET",Input!E$2,Date,,,Ccy,Conv)</f>
        <v>0</v>
      </c>
      <c r="D462" s="4">
        <f>_xll.ciqfunctions.udf.CIQ(InputTicker,"IQ_GW_NET",Input!F$2,Date,,,Ccy,Conv)</f>
        <v>0</v>
      </c>
      <c r="E462" s="4">
        <f>_xll.ciqfunctions.udf.CIQ(InputTicker,"IQ_GW_NET",Input!G$2,Date,,,Ccy,Conv)</f>
        <v>1581.16</v>
      </c>
      <c r="F462" s="4">
        <f>_xll.ciqfunctions.udf.CIQ(InputTicker,"IQ_GW_NET",Input!H$2,Date,,,Ccy,Conv)</f>
        <v>1581.16</v>
      </c>
      <c r="G462" s="4">
        <f>_xll.ciqfunctions.udf.CIQ(InputTicker,"IQ_GW_NET",Input!I$2,Date,,,Ccy,Conv)</f>
        <v>1581.16</v>
      </c>
      <c r="H462" s="4">
        <f>_xll.ciqfunctions.udf.CIQ(InputTicker,"IQ_GW_NET",Input!J$2,Date,,,Ccy,Conv)</f>
        <v>2021.931</v>
      </c>
      <c r="I462" s="4">
        <f>_xll.ciqfunctions.udf.CIQ(InputTicker,"IQ_GW_NET",Input!K$2,Date,,,Ccy,Conv)</f>
        <v>2338.3989999999999</v>
      </c>
      <c r="J462" s="4">
        <f>_xll.ciqfunctions.udf.CIQ(InputTicker,"IQ_GW_NET",Input!L$2,Date,,,Ccy,Conv)</f>
        <v>2344</v>
      </c>
      <c r="K462" s="4">
        <f>_xll.ciqfunctions.udf.CIQ(InputTicker,"IQ_GW_NET",Input!M$2,Date,,,Ccy,Conv)</f>
        <v>2405</v>
      </c>
      <c r="L462" s="4">
        <f>_xll.ciqfunctions.udf.CIQ(InputTicker,"IQ_GW_NET",Input!N$2,Date,,,Ccy,Conv)</f>
        <v>2399</v>
      </c>
      <c r="M462" s="4">
        <f>_xll.ciqfunctions.udf.CIQ(InputTicker,"IQ_GW_NET",Input!O$2,Date,,,Ccy,Conv)</f>
        <v>2399</v>
      </c>
      <c r="N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</row>
    <row r="463" spans="1:66" ht="12.75" customHeight="1" x14ac:dyDescent="0.2">
      <c r="A463" s="1" t="s">
        <v>491</v>
      </c>
      <c r="B463" s="4">
        <f>_xll.ciqfunctions.udf.CIQ(InputTicker,"IQ_INTAN_NET",Input!D$2,Date,,,Ccy,Conv)</f>
        <v>0</v>
      </c>
      <c r="C463" s="4">
        <f>_xll.ciqfunctions.udf.CIQ(InputTicker,"IQ_INTAN_NET",Input!E$2,Date,,,Ccy,Conv)</f>
        <v>0</v>
      </c>
      <c r="D463" s="4">
        <f>_xll.ciqfunctions.udf.CIQ(InputTicker,"IQ_INTAN_NET",Input!F$2,Date,,,Ccy,Conv)</f>
        <v>0</v>
      </c>
      <c r="E463" s="4">
        <f>_xll.ciqfunctions.udf.CIQ(InputTicker,"IQ_INTAN_NET",Input!G$2,Date,,,Ccy,Conv)</f>
        <v>287.05099999999999</v>
      </c>
      <c r="F463" s="4">
        <f>_xll.ciqfunctions.udf.CIQ(InputTicker,"IQ_INTAN_NET",Input!H$2,Date,,,Ccy,Conv)</f>
        <v>300.98700000000002</v>
      </c>
      <c r="G463" s="4">
        <f>_xll.ciqfunctions.udf.CIQ(InputTicker,"IQ_INTAN_NET",Input!I$2,Date,,,Ccy,Conv)</f>
        <v>307.12799999999999</v>
      </c>
      <c r="H463" s="4">
        <f>_xll.ciqfunctions.udf.CIQ(InputTicker,"IQ_INTAN_NET",Input!J$2,Date,,,Ccy,Conv)</f>
        <v>646.68200000000002</v>
      </c>
      <c r="I463" s="4">
        <f>_xll.ciqfunctions.udf.CIQ(InputTicker,"IQ_INTAN_NET",Input!K$2,Date,,,Ccy,Conv)</f>
        <v>685.61500000000001</v>
      </c>
      <c r="J463" s="4">
        <f>_xll.ciqfunctions.udf.CIQ(InputTicker,"IQ_INTAN_NET",Input!L$2,Date,,,Ccy,Conv)</f>
        <v>601</v>
      </c>
      <c r="K463" s="4">
        <f>_xll.ciqfunctions.udf.CIQ(InputTicker,"IQ_INTAN_NET",Input!M$2,Date,,,Ccy,Conv)</f>
        <v>563</v>
      </c>
      <c r="L463" s="4">
        <f>_xll.ciqfunctions.udf.CIQ(InputTicker,"IQ_INTAN_NET",Input!N$2,Date,,,Ccy,Conv)</f>
        <v>509</v>
      </c>
      <c r="M463" s="4">
        <f>_xll.ciqfunctions.udf.CIQ(InputTicker,"IQ_INTAN_NET",Input!O$2,Date,,,Ccy,Conv)</f>
        <v>509</v>
      </c>
      <c r="N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</row>
    <row r="464" spans="1:66" ht="12.75" customHeight="1" x14ac:dyDescent="0.2">
      <c r="A464" s="1" t="s">
        <v>506</v>
      </c>
      <c r="B464" s="4">
        <f>_xll.ciqfunctions.udf.CIQ(InputTicker,"IQ_INTERCOMPANY_CA",Input!D$2,Date,,,Ccy,Conv)</f>
        <v>0</v>
      </c>
      <c r="C464" s="4">
        <f>_xll.ciqfunctions.udf.CIQ(InputTicker,"IQ_INTERCOMPANY_CA",Input!E$2,Date,,,Ccy,Conv)</f>
        <v>0</v>
      </c>
      <c r="D464" s="4">
        <f>_xll.ciqfunctions.udf.CIQ(InputTicker,"IQ_INTERCOMPANY_CA",Input!F$2,Date,,,Ccy,Conv)</f>
        <v>0</v>
      </c>
      <c r="E464" s="4">
        <f>_xll.ciqfunctions.udf.CIQ(InputTicker,"IQ_INTERCOMPANY_CA",Input!G$2,Date,,,Ccy,Conv)</f>
        <v>0</v>
      </c>
      <c r="F464" s="4">
        <f>_xll.ciqfunctions.udf.CIQ(InputTicker,"IQ_INTERCOMPANY_CA",Input!H$2,Date,,,Ccy,Conv)</f>
        <v>0</v>
      </c>
      <c r="G464" s="4">
        <f>_xll.ciqfunctions.udf.CIQ(InputTicker,"IQ_INTERCOMPANY_CA",Input!I$2,Date,,,Ccy,Conv)</f>
        <v>0</v>
      </c>
      <c r="H464" s="4">
        <f>_xll.ciqfunctions.udf.CIQ(InputTicker,"IQ_INTERCOMPANY_CA",Input!J$2,Date,,,Ccy,Conv)</f>
        <v>0</v>
      </c>
      <c r="I464" s="4">
        <f>_xll.ciqfunctions.udf.CIQ(InputTicker,"IQ_INTERCOMPANY_CA",Input!K$2,Date,,,Ccy,Conv)</f>
        <v>0</v>
      </c>
      <c r="J464" s="4">
        <f>_xll.ciqfunctions.udf.CIQ(InputTicker,"IQ_INTERCOMPANY_CA",Input!L$2,Date,,,Ccy,Conv)</f>
        <v>0</v>
      </c>
      <c r="K464" s="4">
        <f>_xll.ciqfunctions.udf.CIQ(InputTicker,"IQ_INTERCOMPANY_CA",Input!M$2,Date,,,Ccy,Conv)</f>
        <v>0</v>
      </c>
      <c r="L464" s="4">
        <f>_xll.ciqfunctions.udf.CIQ(InputTicker,"IQ_INTERCOMPANY_CA",Input!N$2,Date,,,Ccy,Conv)</f>
        <v>0</v>
      </c>
      <c r="M464" s="4">
        <f>_xll.ciqfunctions.udf.CIQ(InputTicker,"IQ_INTERCOMPANY_CA",Input!O$2,Date,,,Ccy,Conv)</f>
        <v>0</v>
      </c>
      <c r="N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</row>
    <row r="465" spans="1:66" ht="12.75" customHeight="1" x14ac:dyDescent="0.2">
      <c r="A465" s="1" t="s">
        <v>492</v>
      </c>
      <c r="B465" s="4">
        <f>_xll.ciqfunctions.udf.CIQ(InputTicker,"IQ_INTERCOMPANY_NON_CA",Input!D$2,Date,,,Ccy,Conv)</f>
        <v>0</v>
      </c>
      <c r="C465" s="4">
        <f>_xll.ciqfunctions.udf.CIQ(InputTicker,"IQ_INTERCOMPANY_NON_CA",Input!E$2,Date,,,Ccy,Conv)</f>
        <v>0</v>
      </c>
      <c r="D465" s="4">
        <f>_xll.ciqfunctions.udf.CIQ(InputTicker,"IQ_INTERCOMPANY_NON_CA",Input!F$2,Date,,,Ccy,Conv)</f>
        <v>0</v>
      </c>
      <c r="E465" s="4">
        <f>_xll.ciqfunctions.udf.CIQ(InputTicker,"IQ_INTERCOMPANY_NON_CA",Input!G$2,Date,,,Ccy,Conv)</f>
        <v>0</v>
      </c>
      <c r="F465" s="4">
        <f>_xll.ciqfunctions.udf.CIQ(InputTicker,"IQ_INTERCOMPANY_NON_CA",Input!H$2,Date,,,Ccy,Conv)</f>
        <v>0</v>
      </c>
      <c r="G465" s="4">
        <f>_xll.ciqfunctions.udf.CIQ(InputTicker,"IQ_INTERCOMPANY_NON_CA",Input!I$2,Date,,,Ccy,Conv)</f>
        <v>0</v>
      </c>
      <c r="H465" s="4">
        <f>_xll.ciqfunctions.udf.CIQ(InputTicker,"IQ_INTERCOMPANY_NON_CA",Input!J$2,Date,,,Ccy,Conv)</f>
        <v>0</v>
      </c>
      <c r="I465" s="4">
        <f>_xll.ciqfunctions.udf.CIQ(InputTicker,"IQ_INTERCOMPANY_NON_CA",Input!K$2,Date,,,Ccy,Conv)</f>
        <v>0</v>
      </c>
      <c r="J465" s="4">
        <f>_xll.ciqfunctions.udf.CIQ(InputTicker,"IQ_INTERCOMPANY_NON_CA",Input!L$2,Date,,,Ccy,Conv)</f>
        <v>0</v>
      </c>
      <c r="K465" s="4">
        <f>_xll.ciqfunctions.udf.CIQ(InputTicker,"IQ_INTERCOMPANY_NON_CA",Input!M$2,Date,,,Ccy,Conv)</f>
        <v>0</v>
      </c>
      <c r="L465" s="4">
        <f>_xll.ciqfunctions.udf.CIQ(InputTicker,"IQ_INTERCOMPANY_NON_CA",Input!N$2,Date,,,Ccy,Conv)</f>
        <v>0</v>
      </c>
      <c r="M465" s="4">
        <f>_xll.ciqfunctions.udf.CIQ(InputTicker,"IQ_INTERCOMPANY_NON_CA",Input!O$2,Date,,,Ccy,Conv)</f>
        <v>0</v>
      </c>
      <c r="N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</row>
    <row r="466" spans="1:66" ht="12.75" customHeight="1" x14ac:dyDescent="0.2">
      <c r="A466" s="1" t="s">
        <v>493</v>
      </c>
      <c r="B466" s="4">
        <f>_xll.ciqfunctions.udf.CIQ(InputTicker,"IQ_INTERCOMPANY_CL",Input!D$2,Date,,,Ccy,Conv)</f>
        <v>0</v>
      </c>
      <c r="C466" s="4">
        <f>_xll.ciqfunctions.udf.CIQ(InputTicker,"IQ_INTERCOMPANY_CL",Input!E$2,Date,,,Ccy,Conv)</f>
        <v>0</v>
      </c>
      <c r="D466" s="4">
        <f>_xll.ciqfunctions.udf.CIQ(InputTicker,"IQ_INTERCOMPANY_CL",Input!F$2,Date,,,Ccy,Conv)</f>
        <v>0</v>
      </c>
      <c r="E466" s="4">
        <f>_xll.ciqfunctions.udf.CIQ(InputTicker,"IQ_INTERCOMPANY_CL",Input!G$2,Date,,,Ccy,Conv)</f>
        <v>0</v>
      </c>
      <c r="F466" s="4">
        <f>_xll.ciqfunctions.udf.CIQ(InputTicker,"IQ_INTERCOMPANY_CL",Input!H$2,Date,,,Ccy,Conv)</f>
        <v>0</v>
      </c>
      <c r="G466" s="4">
        <f>_xll.ciqfunctions.udf.CIQ(InputTicker,"IQ_INTERCOMPANY_CL",Input!I$2,Date,,,Ccy,Conv)</f>
        <v>0</v>
      </c>
      <c r="H466" s="4">
        <f>_xll.ciqfunctions.udf.CIQ(InputTicker,"IQ_INTERCOMPANY_CL",Input!J$2,Date,,,Ccy,Conv)</f>
        <v>0</v>
      </c>
      <c r="I466" s="4">
        <f>_xll.ciqfunctions.udf.CIQ(InputTicker,"IQ_INTERCOMPANY_CL",Input!K$2,Date,,,Ccy,Conv)</f>
        <v>0</v>
      </c>
      <c r="J466" s="4">
        <f>_xll.ciqfunctions.udf.CIQ(InputTicker,"IQ_INTERCOMPANY_CL",Input!L$2,Date,,,Ccy,Conv)</f>
        <v>0</v>
      </c>
      <c r="K466" s="4">
        <f>_xll.ciqfunctions.udf.CIQ(InputTicker,"IQ_INTERCOMPANY_CL",Input!M$2,Date,,,Ccy,Conv)</f>
        <v>0</v>
      </c>
      <c r="L466" s="4">
        <f>_xll.ciqfunctions.udf.CIQ(InputTicker,"IQ_INTERCOMPANY_CL",Input!N$2,Date,,,Ccy,Conv)</f>
        <v>0</v>
      </c>
      <c r="M466" s="4">
        <f>_xll.ciqfunctions.udf.CIQ(InputTicker,"IQ_INTERCOMPANY_CL",Input!O$2,Date,,,Ccy,Conv)</f>
        <v>0</v>
      </c>
      <c r="N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</row>
    <row r="467" spans="1:66" ht="12.75" customHeight="1" x14ac:dyDescent="0.2">
      <c r="A467" s="1" t="s">
        <v>494</v>
      </c>
      <c r="B467" s="4">
        <f>_xll.ciqfunctions.udf.CIQ(InputTicker,"IQ_INTERCOMPANY_NON_CL",Input!D$2,Date,,,Ccy,Conv)</f>
        <v>0</v>
      </c>
      <c r="C467" s="4">
        <f>_xll.ciqfunctions.udf.CIQ(InputTicker,"IQ_INTERCOMPANY_NON_CL",Input!E$2,Date,,,Ccy,Conv)</f>
        <v>0</v>
      </c>
      <c r="D467" s="4">
        <f>_xll.ciqfunctions.udf.CIQ(InputTicker,"IQ_INTERCOMPANY_NON_CL",Input!F$2,Date,,,Ccy,Conv)</f>
        <v>0</v>
      </c>
      <c r="E467" s="4">
        <f>_xll.ciqfunctions.udf.CIQ(InputTicker,"IQ_INTERCOMPANY_NON_CL",Input!G$2,Date,,,Ccy,Conv)</f>
        <v>0</v>
      </c>
      <c r="F467" s="4">
        <f>_xll.ciqfunctions.udf.CIQ(InputTicker,"IQ_INTERCOMPANY_NON_CL",Input!H$2,Date,,,Ccy,Conv)</f>
        <v>0</v>
      </c>
      <c r="G467" s="4">
        <f>_xll.ciqfunctions.udf.CIQ(InputTicker,"IQ_INTERCOMPANY_NON_CL",Input!I$2,Date,,,Ccy,Conv)</f>
        <v>0</v>
      </c>
      <c r="H467" s="4">
        <f>_xll.ciqfunctions.udf.CIQ(InputTicker,"IQ_INTERCOMPANY_NON_CL",Input!J$2,Date,,,Ccy,Conv)</f>
        <v>0</v>
      </c>
      <c r="I467" s="4">
        <f>_xll.ciqfunctions.udf.CIQ(InputTicker,"IQ_INTERCOMPANY_NON_CL",Input!K$2,Date,,,Ccy,Conv)</f>
        <v>0</v>
      </c>
      <c r="J467" s="4">
        <f>_xll.ciqfunctions.udf.CIQ(InputTicker,"IQ_INTERCOMPANY_NON_CL",Input!L$2,Date,,,Ccy,Conv)</f>
        <v>0</v>
      </c>
      <c r="K467" s="4">
        <f>_xll.ciqfunctions.udf.CIQ(InputTicker,"IQ_INTERCOMPANY_NON_CL",Input!M$2,Date,,,Ccy,Conv)</f>
        <v>0</v>
      </c>
      <c r="L467" s="4">
        <f>_xll.ciqfunctions.udf.CIQ(InputTicker,"IQ_INTERCOMPANY_NON_CL",Input!N$2,Date,,,Ccy,Conv)</f>
        <v>0</v>
      </c>
      <c r="M467" s="4">
        <f>_xll.ciqfunctions.udf.CIQ(InputTicker,"IQ_INTERCOMPANY_NON_CL",Input!O$2,Date,,,Ccy,Conv)</f>
        <v>0</v>
      </c>
      <c r="N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</row>
    <row r="468" spans="1:66" ht="12.75" customHeight="1" x14ac:dyDescent="0.2">
      <c r="A468" s="1" t="s">
        <v>347</v>
      </c>
      <c r="B468" s="15" t="str">
        <f>_xll.ciqfunctions.udf.CIQ(InputTicker, "IQ_FILING_CURRENCY",Input!D$2,Date)</f>
        <v>USD</v>
      </c>
      <c r="C468" s="15" t="str">
        <f>_xll.ciqfunctions.udf.CIQ(InputTicker, "IQ_FILING_CURRENCY",Input!E$2,Date)</f>
        <v>USD</v>
      </c>
      <c r="D468" s="15" t="str">
        <f>_xll.ciqfunctions.udf.CIQ(InputTicker, "IQ_FILING_CURRENCY",Input!F$2,Date)</f>
        <v>USD</v>
      </c>
      <c r="E468" s="15" t="str">
        <f>_xll.ciqfunctions.udf.CIQ(InputTicker, "IQ_FILING_CURRENCY",Input!G$2,Date)</f>
        <v>USD</v>
      </c>
      <c r="F468" s="15" t="str">
        <f>_xll.ciqfunctions.udf.CIQ(InputTicker, "IQ_FILING_CURRENCY",Input!H$2,Date)</f>
        <v>USD</v>
      </c>
      <c r="G468" s="15" t="str">
        <f>_xll.ciqfunctions.udf.CIQ(InputTicker, "IQ_FILING_CURRENCY",Input!I$2,Date)</f>
        <v>USD</v>
      </c>
      <c r="H468" s="15" t="str">
        <f>_xll.ciqfunctions.udf.CIQ(InputTicker, "IQ_FILING_CURRENCY",Input!J$2,Date)</f>
        <v>USD</v>
      </c>
      <c r="I468" s="15" t="str">
        <f>_xll.ciqfunctions.udf.CIQ(InputTicker, "IQ_FILING_CURRENCY",Input!K$2,Date)</f>
        <v>USD</v>
      </c>
      <c r="J468" s="15" t="str">
        <f>_xll.ciqfunctions.udf.CIQ(InputTicker, "IQ_FILING_CURRENCY",Input!L$2,Date)</f>
        <v>USD</v>
      </c>
      <c r="K468" s="15" t="str">
        <f>_xll.ciqfunctions.udf.CIQ(InputTicker, "IQ_FILING_CURRENCY",Input!M$2,Date)</f>
        <v>USD</v>
      </c>
      <c r="L468" s="15" t="str">
        <f>_xll.ciqfunctions.udf.CIQ(InputTicker, "IQ_FILING_CURRENCY",Input!N$2,Date)</f>
        <v>USD</v>
      </c>
      <c r="M468" s="15" t="str">
        <f>_xll.ciqfunctions.udf.CIQ(InputTicker, "IQ_FILING_CURRENCY",Input!O$2,Date)</f>
        <v>USD</v>
      </c>
      <c r="N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</row>
    <row r="469" spans="1:66" ht="12.75" customHeight="1" x14ac:dyDescent="0.2">
      <c r="A469" s="1" t="s">
        <v>345</v>
      </c>
      <c r="B469" s="15" t="str">
        <f>_xll.ciqfunctions.udf.CIQ(InputTicker, "IQ_RESTATEMENT_BS",Input!D$2,Date)</f>
        <v>NC</v>
      </c>
      <c r="C469" s="15" t="str">
        <f>_xll.ciqfunctions.udf.CIQ(InputTicker, "IQ_RESTATEMENT_BS",Input!E$2,Date)</f>
        <v>NC</v>
      </c>
      <c r="D469" s="15" t="str">
        <f>_xll.ciqfunctions.udf.CIQ(InputTicker, "IQ_RESTATEMENT_BS",Input!F$2,Date)</f>
        <v>RS</v>
      </c>
      <c r="E469" s="15" t="str">
        <f>_xll.ciqfunctions.udf.CIQ(InputTicker, "IQ_RESTATEMENT_BS",Input!G$2,Date)</f>
        <v>NC</v>
      </c>
      <c r="F469" s="15" t="str">
        <f>_xll.ciqfunctions.udf.CIQ(InputTicker, "IQ_RESTATEMENT_BS",Input!H$2,Date)</f>
        <v>NC</v>
      </c>
      <c r="G469" s="15" t="str">
        <f>_xll.ciqfunctions.udf.CIQ(InputTicker, "IQ_RESTATEMENT_BS",Input!I$2,Date)</f>
        <v>NC</v>
      </c>
      <c r="H469" s="15" t="str">
        <f>_xll.ciqfunctions.udf.CIQ(InputTicker, "IQ_RESTATEMENT_BS",Input!J$2,Date)</f>
        <v>NC</v>
      </c>
      <c r="I469" s="15" t="str">
        <f>_xll.ciqfunctions.udf.CIQ(InputTicker, "IQ_RESTATEMENT_BS",Input!K$2,Date)</f>
        <v>NC</v>
      </c>
      <c r="J469" s="15" t="str">
        <f>_xll.ciqfunctions.udf.CIQ(InputTicker, "IQ_RESTATEMENT_BS",Input!L$2,Date)</f>
        <v>RS</v>
      </c>
      <c r="K469" s="15" t="str">
        <f>_xll.ciqfunctions.udf.CIQ(InputTicker, "IQ_RESTATEMENT_BS",Input!M$2,Date)</f>
        <v>NC</v>
      </c>
      <c r="L469" s="15" t="str">
        <f>_xll.ciqfunctions.udf.CIQ(InputTicker, "IQ_RESTATEMENT_BS",Input!N$2,Date)</f>
        <v>O</v>
      </c>
      <c r="M469" s="15" t="str">
        <f>_xll.ciqfunctions.udf.CIQ(InputTicker, "IQ_RESTATEMENT_BS",Input!O$2,Date)</f>
        <v>O</v>
      </c>
      <c r="N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</row>
    <row r="470" spans="1:66" ht="12.75" customHeight="1" x14ac:dyDescent="0.2">
      <c r="A470" s="1" t="s">
        <v>346</v>
      </c>
      <c r="B470" s="15" t="str">
        <f>_xll.ciqfunctions.udf.CIQ(InputTicker, "IQ_CALC_TYPE_BS",Input!D$2,Date)</f>
        <v>RUP</v>
      </c>
      <c r="C470" s="15" t="str">
        <f>_xll.ciqfunctions.udf.CIQ(InputTicker, "IQ_CALC_TYPE_BS",Input!E$2,Date)</f>
        <v>RUP</v>
      </c>
      <c r="D470" s="15" t="str">
        <f>_xll.ciqfunctions.udf.CIQ(InputTicker, "IQ_CALC_TYPE_BS",Input!F$2,Date)</f>
        <v>RUP</v>
      </c>
      <c r="E470" s="15" t="str">
        <f>_xll.ciqfunctions.udf.CIQ(InputTicker, "IQ_CALC_TYPE_BS",Input!G$2,Date)</f>
        <v>RUP</v>
      </c>
      <c r="F470" s="15" t="str">
        <f>_xll.ciqfunctions.udf.CIQ(InputTicker, "IQ_CALC_TYPE_BS",Input!H$2,Date)</f>
        <v>RUP</v>
      </c>
      <c r="G470" s="15" t="str">
        <f>_xll.ciqfunctions.udf.CIQ(InputTicker, "IQ_CALC_TYPE_BS",Input!I$2,Date)</f>
        <v>RUP</v>
      </c>
      <c r="H470" s="15" t="str">
        <f>_xll.ciqfunctions.udf.CIQ(InputTicker, "IQ_CALC_TYPE_BS",Input!J$2,Date)</f>
        <v>RUP</v>
      </c>
      <c r="I470" s="15" t="str">
        <f>_xll.ciqfunctions.udf.CIQ(InputTicker, "IQ_CALC_TYPE_BS",Input!K$2,Date)</f>
        <v>RUP</v>
      </c>
      <c r="J470" s="15" t="str">
        <f>_xll.ciqfunctions.udf.CIQ(InputTicker, "IQ_CALC_TYPE_BS",Input!L$2,Date)</f>
        <v>RUP</v>
      </c>
      <c r="K470" s="15" t="str">
        <f>_xll.ciqfunctions.udf.CIQ(InputTicker, "IQ_CALC_TYPE_BS",Input!M$2,Date)</f>
        <v>REP</v>
      </c>
      <c r="L470" s="15" t="str">
        <f>_xll.ciqfunctions.udf.CIQ(InputTicker, "IQ_CALC_TYPE_BS",Input!N$2,Date)</f>
        <v>REP</v>
      </c>
      <c r="M470" s="15" t="str">
        <f>_xll.ciqfunctions.udf.CIQ(InputTicker, "IQ_CALC_TYPE_BS",Input!O$2,Date)</f>
        <v>REP</v>
      </c>
      <c r="N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</row>
    <row r="471" spans="1:66" ht="12.75" customHeight="1" x14ac:dyDescent="0.2">
      <c r="A471" s="1" t="s">
        <v>376</v>
      </c>
      <c r="B471" s="15" t="str">
        <f>_xll.ciqfunctions.udf.CIQ(InputTicker, "IQ_GAAP_BS",Input!D$2,Date)</f>
        <v>US GAAP</v>
      </c>
      <c r="C471" s="15" t="str">
        <f>_xll.ciqfunctions.udf.CIQ(InputTicker, "IQ_GAAP_BS",Input!E$2,Date)</f>
        <v>US GAAP</v>
      </c>
      <c r="D471" s="15" t="str">
        <f>_xll.ciqfunctions.udf.CIQ(InputTicker, "IQ_GAAP_BS",Input!F$2,Date)</f>
        <v>US GAAP</v>
      </c>
      <c r="E471" s="15" t="str">
        <f>_xll.ciqfunctions.udf.CIQ(InputTicker, "IQ_GAAP_BS",Input!G$2,Date)</f>
        <v>US GAAP</v>
      </c>
      <c r="F471" s="15" t="str">
        <f>_xll.ciqfunctions.udf.CIQ(InputTicker, "IQ_GAAP_BS",Input!H$2,Date)</f>
        <v>US GAAP</v>
      </c>
      <c r="G471" s="15" t="str">
        <f>_xll.ciqfunctions.udf.CIQ(InputTicker, "IQ_GAAP_BS",Input!I$2,Date)</f>
        <v>US GAAP</v>
      </c>
      <c r="H471" s="15" t="str">
        <f>_xll.ciqfunctions.udf.CIQ(InputTicker, "IQ_GAAP_BS",Input!J$2,Date)</f>
        <v>US GAAP</v>
      </c>
      <c r="I471" s="15" t="str">
        <f>_xll.ciqfunctions.udf.CIQ(InputTicker, "IQ_GAAP_BS",Input!K$2,Date)</f>
        <v>US GAAP</v>
      </c>
      <c r="J471" s="15" t="str">
        <f>_xll.ciqfunctions.udf.CIQ(InputTicker, "IQ_GAAP_BS",Input!L$2,Date)</f>
        <v>US GAAP</v>
      </c>
      <c r="K471" s="15" t="str">
        <f>_xll.ciqfunctions.udf.CIQ(InputTicker, "IQ_GAAP_BS",Input!M$2,Date)</f>
        <v>US GAAP</v>
      </c>
      <c r="L471" s="15" t="str">
        <f>_xll.ciqfunctions.udf.CIQ(InputTicker, "IQ_GAAP_BS",Input!N$2,Date)</f>
        <v>US GAAP</v>
      </c>
      <c r="M471" s="15" t="str">
        <f>_xll.ciqfunctions.udf.CIQ(InputTicker, "IQ_GAAP_BS",Input!O$2,Date)</f>
        <v>US GAAP</v>
      </c>
      <c r="N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</row>
    <row r="472" spans="1:66" ht="12.75" customHeight="1" x14ac:dyDescent="0.2">
      <c r="A472" s="42" t="s">
        <v>602</v>
      </c>
      <c r="B472" s="13">
        <f>_xll.ciqfunctions.udf.CIQ(InputTicker, "IQ_PERIODDATE",Input!D$2-1,Date)</f>
        <v>42094</v>
      </c>
      <c r="C472" s="13">
        <f>_xll.ciqfunctions.udf.CIQ(InputTicker, "IQ_PERIODDATE",Input!E$2-1,Date)</f>
        <v>42460</v>
      </c>
      <c r="D472" s="13">
        <f>_xll.ciqfunctions.udf.CIQ(InputTicker, "IQ_PERIODDATE",Input!F$2-1,Date)</f>
        <v>42825</v>
      </c>
      <c r="E472" s="13">
        <f>_xll.ciqfunctions.udf.CIQ(InputTicker, "IQ_PERIODDATE",Input!G$2-1,Date)</f>
        <v>43190</v>
      </c>
      <c r="F472" s="13">
        <f>_xll.ciqfunctions.udf.CIQ(InputTicker, "IQ_PERIODDATE",Input!H$2-1,Date)</f>
        <v>43555</v>
      </c>
      <c r="G472" s="13">
        <f>_xll.ciqfunctions.udf.CIQ(InputTicker, "IQ_PERIODDATE",Input!I$2-1,Date)</f>
        <v>43921</v>
      </c>
      <c r="H472" s="13">
        <f>_xll.ciqfunctions.udf.CIQ(InputTicker, "IQ_PERIODDATE",Input!J$2-1,Date)</f>
        <v>44286</v>
      </c>
      <c r="I472" s="13">
        <f>_xll.ciqfunctions.udf.CIQ(InputTicker, "IQ_PERIODDATE",Input!K$2-1,Date)</f>
        <v>44651</v>
      </c>
      <c r="J472" s="13">
        <f>_xll.ciqfunctions.udf.CIQ(InputTicker, "IQ_PERIODDATE",Input!L$2-1,Date)</f>
        <v>45016</v>
      </c>
      <c r="K472" s="13">
        <f>_xll.ciqfunctions.udf.CIQ(InputTicker, "IQ_PERIODDATE",Input!M$2-1,Date)</f>
        <v>45382</v>
      </c>
      <c r="L472" s="13">
        <f>_xll.ciqfunctions.udf.CIQ(InputTicker, "IQ_PERIODDATE",Input!N$2-1,Date)</f>
        <v>45747</v>
      </c>
      <c r="M472" s="13">
        <f>_xll.ciqfunctions.udf.CIQ(InputTicker, "IQ_PERIODDATE",Input!O$2-1,Date)</f>
        <v>46022</v>
      </c>
      <c r="N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</row>
    <row r="473" spans="1:66" ht="12.75" customHeight="1" x14ac:dyDescent="0.2">
      <c r="A473" s="19" t="s">
        <v>268</v>
      </c>
      <c r="B473" s="20">
        <f>_xll.ciqfunctions.udf.CIQAVG(InputTicker, "IQ_TEV_TOTAL_REV",[0]!IQ_LTM,B$472,B$2)</f>
        <v>1.0555699999999999</v>
      </c>
      <c r="C473" s="20">
        <f>_xll.ciqfunctions.udf.CIQAVG(InputTicker, "IQ_TEV_TOTAL_REV",[0]!IQ_LTM,C$472,C$2)</f>
        <v>1.12199</v>
      </c>
      <c r="D473" s="20">
        <f>_xll.ciqfunctions.udf.CIQAVG(InputTicker, "IQ_TEV_TOTAL_REV",[0]!IQ_LTM,D$472,D$2)</f>
        <v>1.1677200000000001</v>
      </c>
      <c r="E473" s="20">
        <f>_xll.ciqfunctions.udf.CIQAVG(InputTicker, "IQ_TEV_TOTAL_REV",[0]!IQ_LTM,E$472,E$2)</f>
        <v>1.3282499999999999</v>
      </c>
      <c r="F473" s="20">
        <f>_xll.ciqfunctions.udf.CIQAVG(InputTicker, "IQ_TEV_TOTAL_REV",[0]!IQ_LTM,F$472,F$2)</f>
        <v>1.64812</v>
      </c>
      <c r="G473" s="20">
        <f>_xll.ciqfunctions.udf.CIQAVG(InputTicker, "IQ_TEV_TOTAL_REV",[0]!IQ_LTM,G$472,G$2)</f>
        <v>1.69773</v>
      </c>
      <c r="H473" s="20">
        <f>_xll.ciqfunctions.udf.CIQAVG(InputTicker, "IQ_TEV_TOTAL_REV",[0]!IQ_LTM,H$472,H$2)</f>
        <v>1.6986399999999999</v>
      </c>
      <c r="I473" s="20">
        <f>_xll.ciqfunctions.udf.CIQAVG(InputTicker, "IQ_TEV_TOTAL_REV",[0]!IQ_LTM,I$472,I$2)</f>
        <v>1.7430600000000001</v>
      </c>
      <c r="J473" s="20">
        <f>_xll.ciqfunctions.udf.CIQAVG(InputTicker, "IQ_TEV_TOTAL_REV",[0]!IQ_LTM,J$472,J$2)</f>
        <v>1.9029199999999999</v>
      </c>
      <c r="K473" s="20">
        <f>_xll.ciqfunctions.udf.CIQAVG(InputTicker, "IQ_TEV_TOTAL_REV",[0]!IQ_LTM,K$472,K$2)</f>
        <v>1.9792000000000001</v>
      </c>
      <c r="L473" s="20">
        <f>_xll.ciqfunctions.udf.CIQAVG(InputTicker, "IQ_TEV_TOTAL_REV",[0]!IQ_LTM,L$472,L$2)</f>
        <v>1.30951</v>
      </c>
      <c r="M473" s="20">
        <f>_xll.ciqfunctions.udf.CIQAVG(InputTicker, "IQ_TEV_TOTAL_REV",[0]!IQ_LTM,M$472,M$2)</f>
        <v>1.1718599999999999</v>
      </c>
      <c r="N473" s="49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</row>
    <row r="474" spans="1:66" ht="12.75" customHeight="1" x14ac:dyDescent="0.2">
      <c r="A474" s="19" t="s">
        <v>269</v>
      </c>
      <c r="B474" s="20">
        <f>_xll.ciqfunctions.udf.CIQAVG(InputTicker, "IQ_TEV_EBITDA",[0]!IQ_LTM,B$472,B$2)</f>
        <v>11.083539999999999</v>
      </c>
      <c r="C474" s="20">
        <f>_xll.ciqfunctions.udf.CIQAVG(InputTicker, "IQ_TEV_EBITDA",[0]!IQ_LTM,C$472,C$2)</f>
        <v>12.053039999999999</v>
      </c>
      <c r="D474" s="20">
        <f>_xll.ciqfunctions.udf.CIQAVG(InputTicker, "IQ_TEV_EBITDA",[0]!IQ_LTM,D$472,D$2)</f>
        <v>12.377230000000001</v>
      </c>
      <c r="E474" s="20">
        <f>_xll.ciqfunctions.udf.CIQAVG(InputTicker, "IQ_TEV_EBITDA",[0]!IQ_LTM,E$472,E$2)</f>
        <v>13.54941</v>
      </c>
      <c r="F474" s="20">
        <f>_xll.ciqfunctions.udf.CIQAVG(InputTicker, "IQ_TEV_EBITDA",[0]!IQ_LTM,F$472,F$2)</f>
        <v>15.122490000000001</v>
      </c>
      <c r="G474" s="20">
        <f>_xll.ciqfunctions.udf.CIQAVG(InputTicker, "IQ_TEV_EBITDA",[0]!IQ_LTM,G$472,G$2)</f>
        <v>15.02251</v>
      </c>
      <c r="H474" s="20">
        <f>_xll.ciqfunctions.udf.CIQAVG(InputTicker, "IQ_TEV_EBITDA",[0]!IQ_LTM,H$472,H$2)</f>
        <v>14.17745</v>
      </c>
      <c r="I474" s="20">
        <f>_xll.ciqfunctions.udf.CIQAVG(InputTicker, "IQ_TEV_EBITDA",[0]!IQ_LTM,I$472,I$2)</f>
        <v>14.7181</v>
      </c>
      <c r="J474" s="20">
        <f>_xll.ciqfunctions.udf.CIQAVG(InputTicker, "IQ_TEV_EBITDA",[0]!IQ_LTM,J$472,J$2)</f>
        <v>23.81362</v>
      </c>
      <c r="K474" s="20">
        <f>_xll.ciqfunctions.udf.CIQAVG(InputTicker, "IQ_TEV_EBITDA",[0]!IQ_LTM,K$472,K$2)</f>
        <v>17.812010000000001</v>
      </c>
      <c r="L474" s="20">
        <f>_xll.ciqfunctions.udf.CIQAVG(InputTicker, "IQ_TEV_EBITDA",[0]!IQ_LTM,L$472,L$2)</f>
        <v>10.87828</v>
      </c>
      <c r="M474" s="20">
        <f>_xll.ciqfunctions.udf.CIQAVG(InputTicker, "IQ_TEV_EBITDA",[0]!IQ_LTM,M$472,M$2)</f>
        <v>10.22016</v>
      </c>
      <c r="N474" s="56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</row>
    <row r="475" spans="1:66" ht="12.75" customHeight="1" x14ac:dyDescent="0.2">
      <c r="A475" s="19" t="s">
        <v>270</v>
      </c>
      <c r="B475" s="20">
        <f>_xll.ciqfunctions.udf.CIQAVG(InputTicker, "IQ_TEV_EBIT",[0]!IQ_LTM,B$472,B$2)</f>
        <v>12.638450000000001</v>
      </c>
      <c r="C475" s="20">
        <f>_xll.ciqfunctions.udf.CIQAVG(InputTicker, "IQ_TEV_EBIT",[0]!IQ_LTM,C$472,C$2)</f>
        <v>13.674200000000001</v>
      </c>
      <c r="D475" s="20">
        <f>_xll.ciqfunctions.udf.CIQAVG(InputTicker, "IQ_TEV_EBIT",[0]!IQ_LTM,D$472,D$2)</f>
        <v>13.897640000000001</v>
      </c>
      <c r="E475" s="20">
        <f>_xll.ciqfunctions.udf.CIQAVG(InputTicker, "IQ_TEV_EBIT",[0]!IQ_LTM,E$472,E$2)</f>
        <v>15.156000000000001</v>
      </c>
      <c r="F475" s="20">
        <f>_xll.ciqfunctions.udf.CIQAVG(InputTicker, "IQ_TEV_EBIT",[0]!IQ_LTM,F$472,F$2)</f>
        <v>18.360220000000002</v>
      </c>
      <c r="G475" s="20">
        <f>_xll.ciqfunctions.udf.CIQAVG(InputTicker, "IQ_TEV_EBIT",[0]!IQ_LTM,G$472,G$2)</f>
        <v>18.805230000000002</v>
      </c>
      <c r="H475" s="20">
        <f>_xll.ciqfunctions.udf.CIQAVG(InputTicker, "IQ_TEV_EBIT",[0]!IQ_LTM,H$472,H$2)</f>
        <v>17.562339999999999</v>
      </c>
      <c r="I475" s="20">
        <f>_xll.ciqfunctions.udf.CIQAVG(InputTicker, "IQ_TEV_EBIT",[0]!IQ_LTM,I$472,I$2)</f>
        <v>19.091329999999999</v>
      </c>
      <c r="J475" s="20">
        <f>_xll.ciqfunctions.udf.CIQAVG(InputTicker, "IQ_TEV_EBIT",[0]!IQ_LTM,J$472,J$2)</f>
        <v>35.1691</v>
      </c>
      <c r="K475" s="20">
        <f>_xll.ciqfunctions.udf.CIQAVG(InputTicker, "IQ_TEV_EBIT",[0]!IQ_LTM,K$472,K$2)</f>
        <v>22.609770000000001</v>
      </c>
      <c r="L475" s="20">
        <f>_xll.ciqfunctions.udf.CIQAVG(InputTicker, "IQ_TEV_EBIT",[0]!IQ_LTM,L$472,L$2)</f>
        <v>13.1305</v>
      </c>
      <c r="M475" s="20">
        <f>_xll.ciqfunctions.udf.CIQAVG(InputTicker, "IQ_TEV_EBIT",[0]!IQ_LTM,M$472,M$2)</f>
        <v>12.529439999999999</v>
      </c>
      <c r="N475" s="56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</row>
    <row r="476" spans="1:66" ht="12.75" customHeight="1" x14ac:dyDescent="0.2">
      <c r="A476" s="19" t="s">
        <v>271</v>
      </c>
      <c r="B476" s="20">
        <f>_xll.ciqfunctions.udf.CIQAVG(InputTicker, "IQ_PE_EXCL",[0]!IQ_LTM,B$472,B$2)</f>
        <v>18.18873</v>
      </c>
      <c r="C476" s="20">
        <f>_xll.ciqfunctions.udf.CIQAVG(InputTicker, "IQ_PE_EXCL",[0]!IQ_LTM,C$472,C$2)</f>
        <v>17.080539999999999</v>
      </c>
      <c r="D476" s="20">
        <f>_xll.ciqfunctions.udf.CIQAVG(InputTicker, "IQ_PE_EXCL",[0]!IQ_LTM,D$472,D$2)</f>
        <v>20.929069999999999</v>
      </c>
      <c r="E476" s="20">
        <f>_xll.ciqfunctions.udf.CIQAVG(InputTicker, "IQ_PE_EXCL",[0]!IQ_LTM,E$472,E$2)</f>
        <v>20.72306</v>
      </c>
      <c r="F476" s="20">
        <f>_xll.ciqfunctions.udf.CIQAVG(InputTicker, "IQ_PE_EXCL",[0]!IQ_LTM,F$472,F$2)</f>
        <v>22.89584</v>
      </c>
      <c r="G476" s="20">
        <f>_xll.ciqfunctions.udf.CIQAVG(InputTicker, "IQ_PE_EXCL",[0]!IQ_LTM,G$472,G$2)</f>
        <v>23.163219999999999</v>
      </c>
      <c r="H476" s="20">
        <f>_xll.ciqfunctions.udf.CIQAVG(InputTicker, "IQ_PE_EXCL",[0]!IQ_LTM,H$472,H$2)</f>
        <v>19.976030000000002</v>
      </c>
      <c r="I476" s="20">
        <f>_xll.ciqfunctions.udf.CIQAVG(InputTicker, "IQ_PE_EXCL",[0]!IQ_LTM,I$472,I$2)</f>
        <v>25.654879999999999</v>
      </c>
      <c r="J476" s="20">
        <f>_xll.ciqfunctions.udf.CIQAVG(InputTicker, "IQ_PE_EXCL",[0]!IQ_LTM,J$472,J$2)</f>
        <v>49.43347</v>
      </c>
      <c r="K476" s="20">
        <f>_xll.ciqfunctions.udf.CIQAVG(InputTicker, "IQ_PE_EXCL",[0]!IQ_LTM,K$472,K$2)</f>
        <v>30.370190000000001</v>
      </c>
      <c r="L476" s="20">
        <f>_xll.ciqfunctions.udf.CIQAVG(InputTicker, "IQ_PE_EXCL",[0]!IQ_LTM,L$472,L$2)</f>
        <v>13.83123</v>
      </c>
      <c r="M476" s="20">
        <f>_xll.ciqfunctions.udf.CIQAVG(InputTicker, "IQ_PE_EXCL",[0]!IQ_LTM,M$472,M$2)</f>
        <v>12.62494</v>
      </c>
      <c r="N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</row>
    <row r="477" spans="1:66" ht="12.75" customHeight="1" x14ac:dyDescent="0.2">
      <c r="A477" s="19" t="s">
        <v>272</v>
      </c>
      <c r="B477" s="20">
        <f>_xll.ciqfunctions.udf.CIQAVG(InputTicker, "IQ_PBV",[0]!IQ_LTM,B$472,B$2)</f>
        <v>17.571370000000002</v>
      </c>
      <c r="C477" s="20">
        <f>_xll.ciqfunctions.udf.CIQAVG(InputTicker, "IQ_PBV",[0]!IQ_LTM,C$472,C$2)</f>
        <v>10.19037</v>
      </c>
      <c r="D477" s="20">
        <f>_xll.ciqfunctions.udf.CIQAVG(InputTicker, "IQ_PBV",[0]!IQ_LTM,D$472,D$2)</f>
        <v>9.5318000000000005</v>
      </c>
      <c r="E477" s="20">
        <f>_xll.ciqfunctions.udf.CIQAVG(InputTicker, "IQ_PBV",[0]!IQ_LTM,E$472,E$2)</f>
        <v>11.17686</v>
      </c>
      <c r="F477" s="20">
        <f>_xll.ciqfunctions.udf.CIQAVG(InputTicker, "IQ_PBV",[0]!IQ_LTM,F$472,F$2)</f>
        <v>12.63396</v>
      </c>
      <c r="G477" s="20">
        <f>_xll.ciqfunctions.udf.CIQAVG(InputTicker, "IQ_PBV",[0]!IQ_LTM,G$472,G$2)</f>
        <v>12.117190000000001</v>
      </c>
      <c r="H477" s="20">
        <f>_xll.ciqfunctions.udf.CIQAVG(InputTicker, "IQ_PBV",[0]!IQ_LTM,H$472,H$2)</f>
        <v>10.747109999999999</v>
      </c>
      <c r="I477" s="20">
        <f>_xll.ciqfunctions.udf.CIQAVG(InputTicker, "IQ_PBV",[0]!IQ_LTM,I$472,I$2)</f>
        <v>11.09601</v>
      </c>
      <c r="J477" s="20">
        <f>_xll.ciqfunctions.udf.CIQAVG(InputTicker, "IQ_PBV",[0]!IQ_LTM,J$472,J$2)</f>
        <v>14.75013</v>
      </c>
      <c r="K477" s="20">
        <f>_xll.ciqfunctions.udf.CIQAVG(InputTicker, "IQ_PBV",[0]!IQ_LTM,K$472,K$2)</f>
        <v>16.682880000000001</v>
      </c>
      <c r="L477" s="20">
        <f>_xll.ciqfunctions.udf.CIQAVG(InputTicker, "IQ_PBV",[0]!IQ_LTM,L$472,L$2)</f>
        <v>11.5242</v>
      </c>
      <c r="M477" s="20">
        <f>_xll.ciqfunctions.udf.CIQAVG(InputTicker, "IQ_PBV",[0]!IQ_LTM,M$472,M$2)</f>
        <v>10.04481</v>
      </c>
      <c r="N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</row>
    <row r="478" spans="1:66" ht="12.75" customHeight="1" x14ac:dyDescent="0.2">
      <c r="A478" s="19" t="s">
        <v>273</v>
      </c>
      <c r="B478" s="20" t="str">
        <f>_xll.ciqfunctions.udf.CIQAVG(InputTicker, "IQ_PTBV",[0]!IQ_LTM,B$472,B$2)</f>
        <v>NM</v>
      </c>
      <c r="C478" s="20" t="str">
        <f>_xll.ciqfunctions.udf.CIQAVG(InputTicker, "IQ_PTBV",[0]!IQ_LTM,C$472,C$2)</f>
        <v>NM</v>
      </c>
      <c r="D478" s="20" t="str">
        <f>_xll.ciqfunctions.udf.CIQAVG(InputTicker, "IQ_PTBV",[0]!IQ_LTM,D$472,D$2)</f>
        <v>NM</v>
      </c>
      <c r="E478" s="20" t="str">
        <f>_xll.ciqfunctions.udf.CIQAVG(InputTicker, "IQ_PTBV",[0]!IQ_LTM,E$472,E$2)</f>
        <v>NM</v>
      </c>
      <c r="F478" s="20" t="str">
        <f>_xll.ciqfunctions.udf.CIQAVG(InputTicker, "IQ_PTBV",[0]!IQ_LTM,F$472,F$2)</f>
        <v>NM</v>
      </c>
      <c r="G478" s="20" t="str">
        <f>_xll.ciqfunctions.udf.CIQAVG(InputTicker, "IQ_PTBV",[0]!IQ_LTM,G$472,G$2)</f>
        <v>NM</v>
      </c>
      <c r="H478" s="20" t="str">
        <f>_xll.ciqfunctions.udf.CIQAVG(InputTicker, "IQ_PTBV",[0]!IQ_LTM,H$472,H$2)</f>
        <v>NM</v>
      </c>
      <c r="I478" s="20" t="str">
        <f>_xll.ciqfunctions.udf.CIQAVG(InputTicker, "IQ_PTBV",[0]!IQ_LTM,I$472,I$2)</f>
        <v>NM</v>
      </c>
      <c r="J478" s="20" t="str">
        <f>_xll.ciqfunctions.udf.CIQAVG(InputTicker, "IQ_PTBV",[0]!IQ_LTM,J$472,J$2)</f>
        <v>NM</v>
      </c>
      <c r="K478" s="20" t="str">
        <f>_xll.ciqfunctions.udf.CIQAVG(InputTicker, "IQ_PTBV",[0]!IQ_LTM,K$472,K$2)</f>
        <v>NM</v>
      </c>
      <c r="L478" s="20" t="str">
        <f>_xll.ciqfunctions.udf.CIQAVG(InputTicker, "IQ_PTBV",[0]!IQ_LTM,L$472,L$2)</f>
        <v>NM</v>
      </c>
      <c r="M478" s="20" t="str">
        <f>_xll.ciqfunctions.udf.CIQAVG(InputTicker, "IQ_PTBV",[0]!IQ_LTM,M$472,M$2)</f>
        <v>NM</v>
      </c>
      <c r="N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</row>
    <row r="479" spans="1:66" ht="12.75" customHeight="1" x14ac:dyDescent="0.2">
      <c r="A479" s="19" t="s">
        <v>227</v>
      </c>
      <c r="B479" s="4">
        <f>_xll.ciqfunctions.udf.CIQ(InputTicker, "IQ_RETURN_ASSETS",Input!D$2,Date)</f>
        <v>9.4604999999999997</v>
      </c>
      <c r="C479" s="4">
        <f>_xll.ciqfunctions.udf.CIQ(InputTicker, "IQ_RETURN_ASSETS",Input!E$2,Date)</f>
        <v>9.8299000000000003</v>
      </c>
      <c r="D479" s="4">
        <f>_xll.ciqfunctions.udf.CIQ(InputTicker, "IQ_RETURN_ASSETS",Input!F$2,Date)</f>
        <v>9.1773000000000007</v>
      </c>
      <c r="E479" s="4">
        <f>_xll.ciqfunctions.udf.CIQ(InputTicker, "IQ_RETURN_ASSETS",Input!G$2,Date)</f>
        <v>10.001300000000001</v>
      </c>
      <c r="F479" s="4">
        <f>_xll.ciqfunctions.udf.CIQ(InputTicker, "IQ_RETURN_ASSETS",Input!H$2,Date)</f>
        <v>9.6272000000000002</v>
      </c>
      <c r="G479" s="4">
        <f>_xll.ciqfunctions.udf.CIQ(InputTicker, "IQ_RETURN_ASSETS",Input!I$2,Date)</f>
        <v>9.1091999999999995</v>
      </c>
      <c r="H479" s="4">
        <f>_xll.ciqfunctions.udf.CIQ(InputTicker, "IQ_RETURN_ASSETS",Input!J$2,Date)</f>
        <v>7.3872</v>
      </c>
      <c r="I479" s="4">
        <f>_xll.ciqfunctions.udf.CIQ(InputTicker, "IQ_RETURN_ASSETS",Input!K$2,Date)</f>
        <v>8.0608000000000004</v>
      </c>
      <c r="J479" s="4">
        <f>_xll.ciqfunctions.udf.CIQ(InputTicker, "IQ_RETURN_ASSETS",Input!L$2,Date)</f>
        <v>9.7696000000000005</v>
      </c>
      <c r="K479" s="4">
        <f>_xll.ciqfunctions.udf.CIQ(InputTicker, "IQ_RETURN_ASSETS",Input!M$2,Date)</f>
        <v>10.9361</v>
      </c>
      <c r="L479" s="4">
        <f>_xll.ciqfunctions.udf.CIQ(InputTicker, "IQ_RETURN_ASSETS",Input!N$2,Date)</f>
        <v>9.4854000000000003</v>
      </c>
      <c r="M479" s="4">
        <f>_xll.ciqfunctions.udf.CIQ(InputTicker, "IQ_RETURN_ASSETS",Input!O$2,Date)</f>
        <v>9.4854000000000003</v>
      </c>
      <c r="N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</row>
    <row r="480" spans="1:66" ht="12.75" customHeight="1" x14ac:dyDescent="0.2">
      <c r="A480" s="19" t="s">
        <v>228</v>
      </c>
      <c r="B480" s="4">
        <f>_xll.ciqfunctions.udf.CIQ(InputTicker, "IQ_RETURN_CAPITAL",Input!D$2,Date)</f>
        <v>14.088699999999999</v>
      </c>
      <c r="C480" s="4">
        <f>_xll.ciqfunctions.udf.CIQ(InputTicker, "IQ_RETURN_CAPITAL",Input!E$2,Date)</f>
        <v>14.2521</v>
      </c>
      <c r="D480" s="4">
        <f>_xll.ciqfunctions.udf.CIQ(InputTicker, "IQ_RETURN_CAPITAL",Input!F$2,Date)</f>
        <v>13.4063</v>
      </c>
      <c r="E480" s="4">
        <f>_xll.ciqfunctions.udf.CIQ(InputTicker, "IQ_RETURN_CAPITAL",Input!G$2,Date)</f>
        <v>14.934200000000001</v>
      </c>
      <c r="F480" s="4">
        <f>_xll.ciqfunctions.udf.CIQ(InputTicker, "IQ_RETURN_CAPITAL",Input!H$2,Date)</f>
        <v>13.983700000000001</v>
      </c>
      <c r="G480" s="4">
        <f>_xll.ciqfunctions.udf.CIQ(InputTicker, "IQ_RETURN_CAPITAL",Input!I$2,Date)</f>
        <v>13.0192</v>
      </c>
      <c r="H480" s="4">
        <f>_xll.ciqfunctions.udf.CIQ(InputTicker, "IQ_RETURN_CAPITAL",Input!J$2,Date)</f>
        <v>10.7301</v>
      </c>
      <c r="I480" s="4">
        <f>_xll.ciqfunctions.udf.CIQ(InputTicker, "IQ_RETURN_CAPITAL",Input!K$2,Date)</f>
        <v>12.3545</v>
      </c>
      <c r="J480" s="4">
        <f>_xll.ciqfunctions.udf.CIQ(InputTicker, "IQ_RETURN_CAPITAL",Input!L$2,Date)</f>
        <v>14.6614</v>
      </c>
      <c r="K480" s="4">
        <f>_xll.ciqfunctions.udf.CIQ(InputTicker, "IQ_RETURN_CAPITAL",Input!M$2,Date)</f>
        <v>15.318899999999999</v>
      </c>
      <c r="L480" s="4">
        <f>_xll.ciqfunctions.udf.CIQ(InputTicker, "IQ_RETURN_CAPITAL",Input!N$2,Date)</f>
        <v>13.099299999999999</v>
      </c>
      <c r="M480" s="4">
        <f>_xll.ciqfunctions.udf.CIQ(InputTicker, "IQ_RETURN_CAPITAL",Input!O$2,Date)</f>
        <v>13.099299999999999</v>
      </c>
      <c r="N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</row>
    <row r="481" spans="1:66" ht="12.75" customHeight="1" x14ac:dyDescent="0.2">
      <c r="A481" s="19" t="s">
        <v>229</v>
      </c>
      <c r="B481" s="4">
        <f>_xll.ciqfunctions.udf.CIQ(InputTicker,  "IQ_RETURN_EQUITY",Input!D$2,Date)</f>
        <v>98.857399999999998</v>
      </c>
      <c r="C481" s="4">
        <f>_xll.ciqfunctions.udf.CIQ(InputTicker,  "IQ_RETURN_EQUITY",Input!E$2,Date)</f>
        <v>53.116900000000001</v>
      </c>
      <c r="D481" s="4">
        <f>_xll.ciqfunctions.udf.CIQ(InputTicker,  "IQ_RETURN_EQUITY",Input!F$2,Date)</f>
        <v>53.110900000000001</v>
      </c>
      <c r="E481" s="4">
        <f>_xll.ciqfunctions.udf.CIQ(InputTicker,  "IQ_RETURN_EQUITY",Input!G$2,Date)</f>
        <v>67.621499999999997</v>
      </c>
      <c r="F481" s="4">
        <f>_xll.ciqfunctions.udf.CIQ(InputTicker,  "IQ_RETURN_EQUITY",Input!H$2,Date)</f>
        <v>63.014400000000002</v>
      </c>
      <c r="G481" s="4">
        <f>_xll.ciqfunctions.udf.CIQ(InputTicker,  "IQ_RETURN_EQUITY",Input!I$2,Date)</f>
        <v>63.185200000000002</v>
      </c>
      <c r="H481" s="4">
        <f>_xll.ciqfunctions.udf.CIQ(InputTicker,  "IQ_RETURN_EQUITY",Input!J$2,Date)</f>
        <v>44.060400000000001</v>
      </c>
      <c r="I481" s="4">
        <f>_xll.ciqfunctions.udf.CIQ(InputTicker,  "IQ_RETURN_EQUITY",Input!K$2,Date)</f>
        <v>26.5852</v>
      </c>
      <c r="J481" s="4">
        <f>_xll.ciqfunctions.udf.CIQ(InputTicker,  "IQ_RETURN_EQUITY",Input!L$2,Date)</f>
        <v>59.440800000000003</v>
      </c>
      <c r="K481" s="4">
        <f>_xll.ciqfunctions.udf.CIQ(InputTicker,  "IQ_RETURN_EQUITY",Input!M$2,Date)</f>
        <v>91.219499999999996</v>
      </c>
      <c r="L481" s="4">
        <f>_xll.ciqfunctions.udf.CIQ(InputTicker,  "IQ_RETURN_EQUITY",Input!N$2,Date)</f>
        <v>80.739999999999995</v>
      </c>
      <c r="M481" s="4">
        <f>_xll.ciqfunctions.udf.CIQ(InputTicker,  "IQ_RETURN_EQUITY",Input!O$2,Date)</f>
        <v>80.739999999999995</v>
      </c>
      <c r="N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</row>
    <row r="482" spans="1:66" ht="12.75" customHeight="1" x14ac:dyDescent="0.2">
      <c r="A482" s="19" t="s">
        <v>425</v>
      </c>
      <c r="B482" s="4">
        <f>_xll.ciqfunctions.udf.CIQ(InputTicker,  "IQ_RETURN_COMMON_EQUITY",Input!D$2,Date)</f>
        <v>97.663399999999996</v>
      </c>
      <c r="C482" s="4">
        <f>_xll.ciqfunctions.udf.CIQ(InputTicker,  "IQ_RETURN_COMMON_EQUITY",Input!E$2,Date)</f>
        <v>52.642400000000002</v>
      </c>
      <c r="D482" s="4">
        <f>_xll.ciqfunctions.udf.CIQ(InputTicker,  "IQ_RETURN_COMMON_EQUITY",Input!F$2,Date)</f>
        <v>52.7821</v>
      </c>
      <c r="E482" s="4">
        <f>_xll.ciqfunctions.udf.CIQ(InputTicker,  "IQ_RETURN_COMMON_EQUITY",Input!G$2,Date)</f>
        <v>67.3202</v>
      </c>
      <c r="F482" s="4">
        <f>_xll.ciqfunctions.udf.CIQ(InputTicker,  "IQ_RETURN_COMMON_EQUITY",Input!H$2,Date)</f>
        <v>62.816200000000002</v>
      </c>
      <c r="G482" s="4">
        <f>_xll.ciqfunctions.udf.CIQ(InputTicker,  "IQ_RETURN_COMMON_EQUITY",Input!I$2,Date)</f>
        <v>62.819899999999997</v>
      </c>
      <c r="H482" s="4">
        <f>_xll.ciqfunctions.udf.CIQ(InputTicker,  "IQ_RETURN_COMMON_EQUITY",Input!J$2,Date)</f>
        <v>43.795099999999998</v>
      </c>
      <c r="I482" s="4">
        <f>_xll.ciqfunctions.udf.CIQ(InputTicker,  "IQ_RETURN_COMMON_EQUITY",Input!K$2,Date)</f>
        <v>26.4956</v>
      </c>
      <c r="J482" s="4">
        <f>_xll.ciqfunctions.udf.CIQ(InputTicker,  "IQ_RETURN_COMMON_EQUITY",Input!L$2,Date)</f>
        <v>58.950400000000002</v>
      </c>
      <c r="K482" s="4">
        <f>_xll.ciqfunctions.udf.CIQ(InputTicker,  "IQ_RETURN_COMMON_EQUITY",Input!M$2,Date)</f>
        <v>90.731700000000004</v>
      </c>
      <c r="L482" s="4">
        <f>_xll.ciqfunctions.udf.CIQ(InputTicker,  "IQ_RETURN_COMMON_EQUITY",Input!N$2,Date)</f>
        <v>80.170699999999997</v>
      </c>
      <c r="M482" s="4">
        <f>_xll.ciqfunctions.udf.CIQ(InputTicker,  "IQ_RETURN_COMMON_EQUITY",Input!O$2,Date)</f>
        <v>80.170699999999997</v>
      </c>
      <c r="N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</row>
    <row r="483" spans="1:66" ht="12.75" customHeight="1" x14ac:dyDescent="0.2">
      <c r="A483" s="19" t="s">
        <v>230</v>
      </c>
      <c r="B483" s="4">
        <f>_xll.ciqfunctions.udf.CIQ(InputTicker, "IQ_GROSS_MARGIN",Input!D$2,Date)</f>
        <v>24.2821</v>
      </c>
      <c r="C483" s="4">
        <f>_xll.ciqfunctions.udf.CIQ(InputTicker, "IQ_GROSS_MARGIN",Input!E$2,Date)</f>
        <v>23.748999999999999</v>
      </c>
      <c r="D483" s="4">
        <f>_xll.ciqfunctions.udf.CIQ(InputTicker, "IQ_GROSS_MARGIN",Input!F$2,Date)</f>
        <v>23.348099999999999</v>
      </c>
      <c r="E483" s="4">
        <f>_xll.ciqfunctions.udf.CIQ(InputTicker, "IQ_GROSS_MARGIN",Input!G$2,Date)</f>
        <v>23.849900000000002</v>
      </c>
      <c r="F483" s="4">
        <f>_xll.ciqfunctions.udf.CIQ(InputTicker, "IQ_GROSS_MARGIN",Input!H$2,Date)</f>
        <v>23.931999999999999</v>
      </c>
      <c r="G483" s="4">
        <f>_xll.ciqfunctions.udf.CIQ(InputTicker, "IQ_GROSS_MARGIN",Input!I$2,Date)</f>
        <v>23.864799999999999</v>
      </c>
      <c r="H483" s="4">
        <f>_xll.ciqfunctions.udf.CIQ(InputTicker, "IQ_GROSS_MARGIN",Input!J$2,Date)</f>
        <v>23.792200000000001</v>
      </c>
      <c r="I483" s="4">
        <f>_xll.ciqfunctions.udf.CIQ(InputTicker, "IQ_GROSS_MARGIN",Input!K$2,Date)</f>
        <v>23.166599999999999</v>
      </c>
      <c r="J483" s="4">
        <f>_xll.ciqfunctions.udf.CIQ(InputTicker, "IQ_GROSS_MARGIN",Input!L$2,Date)</f>
        <v>23.063199999999998</v>
      </c>
      <c r="K483" s="4">
        <f>_xll.ciqfunctions.udf.CIQ(InputTicker, "IQ_GROSS_MARGIN",Input!M$2,Date)</f>
        <v>23.2136</v>
      </c>
      <c r="L483" s="4">
        <f>_xll.ciqfunctions.udf.CIQ(InputTicker, "IQ_GROSS_MARGIN",Input!N$2,Date)</f>
        <v>22.358899999999998</v>
      </c>
      <c r="M483" s="4">
        <f>_xll.ciqfunctions.udf.CIQ(InputTicker, "IQ_GROSS_MARGIN",Input!O$2,Date)</f>
        <v>22.358899999999998</v>
      </c>
      <c r="N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</row>
    <row r="484" spans="1:66" ht="12.75" customHeight="1" x14ac:dyDescent="0.2">
      <c r="A484" s="19" t="s">
        <v>231</v>
      </c>
      <c r="B484" s="4">
        <f>_xll.ciqfunctions.udf.CIQ(InputTicker,  "IQ_EBITDA_MARGIN",Input!D$2,Date)</f>
        <v>9.3626000000000005</v>
      </c>
      <c r="C484" s="4">
        <f>_xll.ciqfunctions.udf.CIQ(InputTicker,  "IQ_EBITDA_MARGIN",Input!E$2,Date)</f>
        <v>9.6655999999999995</v>
      </c>
      <c r="D484" s="4">
        <f>_xll.ciqfunctions.udf.CIQ(InputTicker,  "IQ_EBITDA_MARGIN",Input!F$2,Date)</f>
        <v>9.3584999999999994</v>
      </c>
      <c r="E484" s="4">
        <f>_xll.ciqfunctions.udf.CIQ(InputTicker,  "IQ_EBITDA_MARGIN",Input!G$2,Date)</f>
        <v>9.9003999999999994</v>
      </c>
      <c r="F484" s="4">
        <f>_xll.ciqfunctions.udf.CIQ(InputTicker,  "IQ_EBITDA_MARGIN",Input!H$2,Date)</f>
        <v>9.9870999999999999</v>
      </c>
      <c r="G484" s="4">
        <f>_xll.ciqfunctions.udf.CIQ(InputTicker,  "IQ_EBITDA_MARGIN",Input!I$2,Date)</f>
        <v>10.617800000000001</v>
      </c>
      <c r="H484" s="4">
        <f>_xll.ciqfunctions.udf.CIQ(InputTicker,  "IQ_EBITDA_MARGIN",Input!J$2,Date)</f>
        <v>9.8863000000000003</v>
      </c>
      <c r="I484" s="4">
        <f>_xll.ciqfunctions.udf.CIQ(InputTicker,  "IQ_EBITDA_MARGIN",Input!K$2,Date)</f>
        <v>10.541</v>
      </c>
      <c r="J484" s="4">
        <f>_xll.ciqfunctions.udf.CIQ(InputTicker,  "IQ_EBITDA_MARGIN",Input!L$2,Date)</f>
        <v>11.1517</v>
      </c>
      <c r="K484" s="4">
        <f>_xll.ciqfunctions.udf.CIQ(InputTicker,  "IQ_EBITDA_MARGIN",Input!M$2,Date)</f>
        <v>11.5108</v>
      </c>
      <c r="L484" s="4">
        <f>_xll.ciqfunctions.udf.CIQ(InputTicker,  "IQ_EBITDA_MARGIN",Input!N$2,Date)</f>
        <v>11.2151</v>
      </c>
      <c r="M484" s="4">
        <f>_xll.ciqfunctions.udf.CIQ(InputTicker,  "IQ_EBITDA_MARGIN",Input!O$2,Date)</f>
        <v>11.2151</v>
      </c>
      <c r="N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</row>
    <row r="485" spans="1:66" ht="12.75" customHeight="1" x14ac:dyDescent="0.2">
      <c r="A485" s="19" t="s">
        <v>232</v>
      </c>
      <c r="B485" s="4">
        <f>_xll.ciqfunctions.udf.CIQ(InputTicker, "IQ_EBIT_MARGIN",Input!D$2,Date)</f>
        <v>8.2241999999999997</v>
      </c>
      <c r="C485" s="4">
        <f>_xll.ciqfunctions.udf.CIQ(InputTicker, "IQ_EBIT_MARGIN",Input!E$2,Date)</f>
        <v>8.6405999999999992</v>
      </c>
      <c r="D485" s="4">
        <f>_xll.ciqfunctions.udf.CIQ(InputTicker, "IQ_EBIT_MARGIN",Input!F$2,Date)</f>
        <v>8.3086000000000002</v>
      </c>
      <c r="E485" s="4">
        <f>_xll.ciqfunctions.udf.CIQ(InputTicker, "IQ_EBIT_MARGIN",Input!G$2,Date)</f>
        <v>8.8774999999999995</v>
      </c>
      <c r="F485" s="4">
        <f>_xll.ciqfunctions.udf.CIQ(InputTicker, "IQ_EBIT_MARGIN",Input!H$2,Date)</f>
        <v>8.9008000000000003</v>
      </c>
      <c r="G485" s="4">
        <f>_xll.ciqfunctions.udf.CIQ(InputTicker, "IQ_EBIT_MARGIN",Input!I$2,Date)</f>
        <v>9.5449000000000002</v>
      </c>
      <c r="H485" s="4">
        <f>_xll.ciqfunctions.udf.CIQ(InputTicker, "IQ_EBIT_MARGIN",Input!J$2,Date)</f>
        <v>8.1437000000000008</v>
      </c>
      <c r="I485" s="4">
        <f>_xll.ciqfunctions.udf.CIQ(InputTicker, "IQ_EBIT_MARGIN",Input!K$2,Date)</f>
        <v>8.7590000000000003</v>
      </c>
      <c r="J485" s="4">
        <f>_xll.ciqfunctions.udf.CIQ(InputTicker, "IQ_EBIT_MARGIN",Input!L$2,Date)</f>
        <v>9.6135000000000002</v>
      </c>
      <c r="K485" s="4">
        <f>_xll.ciqfunctions.udf.CIQ(InputTicker, "IQ_EBIT_MARGIN",Input!M$2,Date)</f>
        <v>10.1335</v>
      </c>
      <c r="L485" s="4">
        <f>_xll.ciqfunctions.udf.CIQ(InputTicker, "IQ_EBIT_MARGIN",Input!N$2,Date)</f>
        <v>9.7619000000000007</v>
      </c>
      <c r="M485" s="4">
        <f>_xll.ciqfunctions.udf.CIQ(InputTicker, "IQ_EBIT_MARGIN",Input!O$2,Date)</f>
        <v>9.7619000000000007</v>
      </c>
      <c r="N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</row>
    <row r="486" spans="1:66" ht="12.75" customHeight="1" x14ac:dyDescent="0.2">
      <c r="A486" s="19" t="s">
        <v>233</v>
      </c>
      <c r="B486" s="4">
        <f>_xll.ciqfunctions.udf.CIQ(InputTicker, "IQ_NI_MARGIN",Input!D$2,Date)</f>
        <v>5.4404000000000003</v>
      </c>
      <c r="C486" s="4">
        <f>_xll.ciqfunctions.udf.CIQ(InputTicker, "IQ_NI_MARGIN",Input!E$2,Date)</f>
        <v>4.4896000000000003</v>
      </c>
      <c r="D486" s="4">
        <f>_xll.ciqfunctions.udf.CIQ(InputTicker, "IQ_NI_MARGIN",Input!F$2,Date)</f>
        <v>4.8914999999999997</v>
      </c>
      <c r="E486" s="4">
        <f>_xll.ciqfunctions.udf.CIQ(InputTicker, "IQ_NI_MARGIN",Input!G$2,Date)</f>
        <v>6.2428999999999997</v>
      </c>
      <c r="F486" s="4">
        <f>_xll.ciqfunctions.udf.CIQ(InputTicker, "IQ_NI_MARGIN",Input!H$2,Date)</f>
        <v>6.4657999999999998</v>
      </c>
      <c r="G486" s="4">
        <f>_xll.ciqfunctions.udf.CIQ(InputTicker, "IQ_NI_MARGIN",Input!I$2,Date)</f>
        <v>7.7485999999999997</v>
      </c>
      <c r="H486" s="4">
        <f>_xll.ciqfunctions.udf.CIQ(InputTicker, "IQ_NI_MARGIN",Input!J$2,Date)</f>
        <v>5.5804999999999998</v>
      </c>
      <c r="I486" s="4">
        <f>_xll.ciqfunctions.udf.CIQ(InputTicker, "IQ_NI_MARGIN",Input!K$2,Date)</f>
        <v>2.9376000000000002</v>
      </c>
      <c r="J486" s="4">
        <f>_xll.ciqfunctions.udf.CIQ(InputTicker, "IQ_NI_MARGIN",Input!L$2,Date)</f>
        <v>5.6837</v>
      </c>
      <c r="K486" s="4">
        <f>_xll.ciqfunctions.udf.CIQ(InputTicker, "IQ_NI_MARGIN",Input!M$2,Date)</f>
        <v>7.8045999999999998</v>
      </c>
      <c r="L486" s="4">
        <f>_xll.ciqfunctions.udf.CIQ(InputTicker, "IQ_NI_MARGIN",Input!N$2,Date)</f>
        <v>7.5865999999999998</v>
      </c>
      <c r="M486" s="4">
        <f>_xll.ciqfunctions.udf.CIQ(InputTicker, "IQ_NI_MARGIN",Input!O$2,Date)</f>
        <v>7.5865999999999998</v>
      </c>
      <c r="N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</row>
    <row r="487" spans="1:66" ht="12.75" customHeight="1" x14ac:dyDescent="0.2">
      <c r="A487" s="19" t="s">
        <v>434</v>
      </c>
      <c r="B487" s="21">
        <f>_xll.ciqfunctions.udf.CIQ(InputTicker, "IQ_CAPEX_PCT_REV",Input!D$2,Date)</f>
        <v>1.2325999999999999</v>
      </c>
      <c r="C487" s="21">
        <f>_xll.ciqfunctions.udf.CIQ(InputTicker, "IQ_CAPEX_PCT_REV",Input!E$2,Date)</f>
        <v>0.92810000000000004</v>
      </c>
      <c r="D487" s="21">
        <f>_xll.ciqfunctions.udf.CIQ(InputTicker, "IQ_CAPEX_PCT_REV",Input!F$2,Date)</f>
        <v>1.2717000000000001</v>
      </c>
      <c r="E487" s="21">
        <f>_xll.ciqfunctions.udf.CIQ(InputTicker, "IQ_CAPEX_PCT_REV",Input!G$2,Date)</f>
        <v>1.4121999999999999</v>
      </c>
      <c r="F487" s="21">
        <f>_xll.ciqfunctions.udf.CIQ(InputTicker, "IQ_CAPEX_PCT_REV",Input!H$2,Date)</f>
        <v>1.7159</v>
      </c>
      <c r="G487" s="21">
        <f>_xll.ciqfunctions.udf.CIQ(InputTicker, "IQ_CAPEX_PCT_REV",Input!I$2,Date)</f>
        <v>1.1095999999999999</v>
      </c>
      <c r="H487" s="21">
        <f>_xll.ciqfunctions.udf.CIQ(InputTicker, "IQ_CAPEX_PCT_REV",Input!J$2,Date)</f>
        <v>0.95599999999999996</v>
      </c>
      <c r="I487" s="21">
        <f>_xll.ciqfunctions.udf.CIQ(InputTicker, "IQ_CAPEX_PCT_REV",Input!K$2,Date)</f>
        <v>0.82079999999999997</v>
      </c>
      <c r="J487" s="21">
        <f>_xll.ciqfunctions.udf.CIQ(InputTicker, "IQ_CAPEX_PCT_REV",Input!L$2,Date)</f>
        <v>0.62829999999999997</v>
      </c>
      <c r="K487" s="21">
        <f>_xll.ciqfunctions.udf.CIQ(InputTicker, "IQ_CAPEX_PCT_REV",Input!M$2,Date)</f>
        <v>0.81799999999999995</v>
      </c>
      <c r="L487" s="21">
        <f>_xll.ciqfunctions.udf.CIQ(InputTicker, "IQ_CAPEX_PCT_REV",Input!N$2,Date)</f>
        <v>0.80230000000000001</v>
      </c>
      <c r="M487" s="21">
        <f>_xll.ciqfunctions.udf.CIQ(InputTicker, "IQ_CAPEX_PCT_REV",Input!O$2,Date)</f>
        <v>0.80230000000000001</v>
      </c>
      <c r="N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</row>
    <row r="488" spans="1:66" ht="12.75" customHeight="1" x14ac:dyDescent="0.2">
      <c r="A488" s="19" t="s">
        <v>234</v>
      </c>
      <c r="B488" s="20">
        <f>_xll.ciqfunctions.udf.CIQ(InputTicker, "IQ_ASSET_TURNS",Input!D$2,Date)</f>
        <v>1.8405199999999999</v>
      </c>
      <c r="C488" s="20">
        <f>_xll.ciqfunctions.udf.CIQ(InputTicker, "IQ_ASSET_TURNS",Input!E$2,Date)</f>
        <v>1.8202199999999999</v>
      </c>
      <c r="D488" s="20">
        <f>_xll.ciqfunctions.udf.CIQ(InputTicker, "IQ_ASSET_TURNS",Input!F$2,Date)</f>
        <v>1.76729</v>
      </c>
      <c r="E488" s="20">
        <f>_xll.ciqfunctions.udf.CIQ(InputTicker, "IQ_ASSET_TURNS",Input!G$2,Date)</f>
        <v>1.80253</v>
      </c>
      <c r="F488" s="20">
        <f>_xll.ciqfunctions.udf.CIQ(InputTicker, "IQ_ASSET_TURNS",Input!H$2,Date)</f>
        <v>1.73058</v>
      </c>
      <c r="G488" s="20">
        <f>_xll.ciqfunctions.udf.CIQ(InputTicker, "IQ_ASSET_TURNS",Input!I$2,Date)</f>
        <v>1.5269600000000001</v>
      </c>
      <c r="H488" s="20">
        <f>_xll.ciqfunctions.udf.CIQ(InputTicker, "IQ_ASSET_TURNS",Input!J$2,Date)</f>
        <v>1.4513799999999999</v>
      </c>
      <c r="I488" s="20">
        <f>_xll.ciqfunctions.udf.CIQ(InputTicker, "IQ_ASSET_TURNS",Input!K$2,Date)</f>
        <v>1.4724600000000001</v>
      </c>
      <c r="J488" s="20">
        <f>_xll.ciqfunctions.udf.CIQ(InputTicker, "IQ_ASSET_TURNS",Input!L$2,Date)</f>
        <v>1.6259699999999999</v>
      </c>
      <c r="K488" s="20">
        <f>_xll.ciqfunctions.udf.CIQ(InputTicker, "IQ_ASSET_TURNS",Input!M$2,Date)</f>
        <v>1.72672</v>
      </c>
      <c r="L488" s="20">
        <f>_xll.ciqfunctions.udf.CIQ(InputTicker, "IQ_ASSET_TURNS",Input!N$2,Date)</f>
        <v>1.5546800000000001</v>
      </c>
      <c r="M488" s="20">
        <f>_xll.ciqfunctions.udf.CIQ(InputTicker, "IQ_ASSET_TURNS",Input!O$2,Date)</f>
        <v>1.5546800000000001</v>
      </c>
      <c r="N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</row>
    <row r="489" spans="1:66" ht="12.75" customHeight="1" x14ac:dyDescent="0.2">
      <c r="A489" s="19" t="s">
        <v>235</v>
      </c>
      <c r="B489" s="20">
        <f>_xll.ciqfunctions.udf.CIQ(InputTicker,  "IQ_FIXED_ASSET_TURNS",Input!D$2,Date)</f>
        <v>47.060429999999997</v>
      </c>
      <c r="C489" s="20">
        <f>_xll.ciqfunctions.udf.CIQ(InputTicker,  "IQ_FIXED_ASSET_TURNS",Input!E$2,Date)</f>
        <v>45.683590000000002</v>
      </c>
      <c r="D489" s="20">
        <f>_xll.ciqfunctions.udf.CIQ(InputTicker,  "IQ_FIXED_ASSET_TURNS",Input!F$2,Date)</f>
        <v>43.521000000000001</v>
      </c>
      <c r="E489" s="20">
        <f>_xll.ciqfunctions.udf.CIQ(InputTicker,  "IQ_FIXED_ASSET_TURNS",Input!G$2,Date)</f>
        <v>41.278860000000002</v>
      </c>
      <c r="F489" s="20">
        <f>_xll.ciqfunctions.udf.CIQ(InputTicker,  "IQ_FIXED_ASSET_TURNS",Input!H$2,Date)</f>
        <v>24.05161</v>
      </c>
      <c r="G489" s="20">
        <f>_xll.ciqfunctions.udf.CIQ(InputTicker,  "IQ_FIXED_ASSET_TURNS",Input!I$2,Date)</f>
        <v>17.616689999999998</v>
      </c>
      <c r="H489" s="20">
        <f>_xll.ciqfunctions.udf.CIQ(InputTicker,  "IQ_FIXED_ASSET_TURNS",Input!J$2,Date)</f>
        <v>19.150379999999998</v>
      </c>
      <c r="I489" s="20">
        <f>_xll.ciqfunctions.udf.CIQ(InputTicker,  "IQ_FIXED_ASSET_TURNS",Input!K$2,Date)</f>
        <v>22.792960000000001</v>
      </c>
      <c r="J489" s="20">
        <f>_xll.ciqfunctions.udf.CIQ(InputTicker,  "IQ_FIXED_ASSET_TURNS",Input!L$2,Date)</f>
        <v>28.623429999999999</v>
      </c>
      <c r="K489" s="20">
        <f>_xll.ciqfunctions.udf.CIQ(InputTicker,  "IQ_FIXED_ASSET_TURNS",Input!M$2,Date)</f>
        <v>33.417020000000001</v>
      </c>
      <c r="L489" s="20">
        <f>_xll.ciqfunctions.udf.CIQ(InputTicker,  "IQ_FIXED_ASSET_TURNS",Input!N$2,Date)</f>
        <v>33.334319999999998</v>
      </c>
      <c r="M489" s="20">
        <f>_xll.ciqfunctions.udf.CIQ(InputTicker,  "IQ_FIXED_ASSET_TURNS",Input!O$2,Date)</f>
        <v>33.334319999999998</v>
      </c>
      <c r="N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</row>
    <row r="490" spans="1:66" ht="12.75" customHeight="1" x14ac:dyDescent="0.2">
      <c r="A490" s="19" t="s">
        <v>236</v>
      </c>
      <c r="B490" s="20">
        <f>_xll.ciqfunctions.udf.CIQ(InputTicker, "IQ_AR_TURNS",Input!D$2,Date)</f>
        <v>6.1794000000000002</v>
      </c>
      <c r="C490" s="20">
        <f>_xll.ciqfunctions.udf.CIQ(InputTicker, "IQ_AR_TURNS",Input!E$2,Date)</f>
        <v>6.1668599999999998</v>
      </c>
      <c r="D490" s="20">
        <f>_xll.ciqfunctions.udf.CIQ(InputTicker, "IQ_AR_TURNS",Input!F$2,Date)</f>
        <v>5.8033900000000003</v>
      </c>
      <c r="E490" s="20">
        <f>_xll.ciqfunctions.udf.CIQ(InputTicker, "IQ_AR_TURNS",Input!G$2,Date)</f>
        <v>5.4414400000000001</v>
      </c>
      <c r="F490" s="20">
        <f>_xll.ciqfunctions.udf.CIQ(InputTicker, "IQ_AR_TURNS",Input!H$2,Date)</f>
        <v>5.3507400000000001</v>
      </c>
      <c r="G490" s="20">
        <f>_xll.ciqfunctions.udf.CIQ(InputTicker, "IQ_AR_TURNS",Input!I$2,Date)</f>
        <v>5.4740099999999998</v>
      </c>
      <c r="H490" s="20">
        <f>_xll.ciqfunctions.udf.CIQ(InputTicker, "IQ_AR_TURNS",Input!J$2,Date)</f>
        <v>5.5117099999999999</v>
      </c>
      <c r="I490" s="20">
        <f>_xll.ciqfunctions.udf.CIQ(InputTicker, "IQ_AR_TURNS",Input!K$2,Date)</f>
        <v>5.4499700000000004</v>
      </c>
      <c r="J490" s="20">
        <f>_xll.ciqfunctions.udf.CIQ(InputTicker, "IQ_AR_TURNS",Input!L$2,Date)</f>
        <v>5.5795300000000001</v>
      </c>
      <c r="K490" s="20">
        <f>_xll.ciqfunctions.udf.CIQ(InputTicker, "IQ_AR_TURNS",Input!M$2,Date)</f>
        <v>5.54887</v>
      </c>
      <c r="L490" s="20">
        <f>_xll.ciqfunctions.udf.CIQ(InputTicker, "IQ_AR_TURNS",Input!N$2,Date)</f>
        <v>5.1762800000000002</v>
      </c>
      <c r="M490" s="20">
        <f>_xll.ciqfunctions.udf.CIQ(InputTicker, "IQ_AR_TURNS",Input!O$2,Date)</f>
        <v>5.1762800000000002</v>
      </c>
      <c r="N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</row>
    <row r="491" spans="1:66" ht="12.75" customHeight="1" x14ac:dyDescent="0.2">
      <c r="A491" s="19" t="s">
        <v>237</v>
      </c>
      <c r="B491" s="20">
        <f>_xll.ciqfunctions.udf.CIQ(InputTicker,"IQ_INVENTORY_TURNS",Input!D$2,Date)</f>
        <v>0</v>
      </c>
      <c r="C491" s="20">
        <f>_xll.ciqfunctions.udf.CIQ(InputTicker,"IQ_INVENTORY_TURNS",Input!E$2,Date)</f>
        <v>0</v>
      </c>
      <c r="D491" s="20">
        <f>_xll.ciqfunctions.udf.CIQ(InputTicker,"IQ_INVENTORY_TURNS",Input!F$2,Date)</f>
        <v>0</v>
      </c>
      <c r="E491" s="20">
        <f>_xll.ciqfunctions.udf.CIQ(InputTicker,"IQ_INVENTORY_TURNS",Input!G$2,Date)</f>
        <v>0</v>
      </c>
      <c r="F491" s="20">
        <f>_xll.ciqfunctions.udf.CIQ(InputTicker,"IQ_INVENTORY_TURNS",Input!H$2,Date)</f>
        <v>0</v>
      </c>
      <c r="G491" s="20">
        <f>_xll.ciqfunctions.udf.CIQ(InputTicker,"IQ_INVENTORY_TURNS",Input!I$2,Date)</f>
        <v>0</v>
      </c>
      <c r="H491" s="20">
        <f>_xll.ciqfunctions.udf.CIQ(InputTicker,"IQ_INVENTORY_TURNS",Input!J$2,Date)</f>
        <v>0</v>
      </c>
      <c r="I491" s="20">
        <f>_xll.ciqfunctions.udf.CIQ(InputTicker,"IQ_INVENTORY_TURNS",Input!K$2,Date)</f>
        <v>0</v>
      </c>
      <c r="J491" s="20">
        <f>_xll.ciqfunctions.udf.CIQ(InputTicker,"IQ_INVENTORY_TURNS",Input!L$2,Date)</f>
        <v>0</v>
      </c>
      <c r="K491" s="20">
        <f>_xll.ciqfunctions.udf.CIQ(InputTicker,"IQ_INVENTORY_TURNS",Input!M$2,Date)</f>
        <v>0</v>
      </c>
      <c r="L491" s="20">
        <f>_xll.ciqfunctions.udf.CIQ(InputTicker,"IQ_INVENTORY_TURNS",Input!N$2,Date)</f>
        <v>0</v>
      </c>
      <c r="M491" s="20">
        <f>_xll.ciqfunctions.udf.CIQ(InputTicker,"IQ_INVENTORY_TURNS",Input!O$2,Date)</f>
        <v>0</v>
      </c>
      <c r="N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</row>
    <row r="492" spans="1:66" ht="12.75" customHeight="1" x14ac:dyDescent="0.2">
      <c r="A492" s="19" t="s">
        <v>238</v>
      </c>
      <c r="B492" s="20">
        <f>_xll.ciqfunctions.udf.CIQ(InputTicker, "IQ_CURRENT_RATIO",Input!D$2,Date)</f>
        <v>1.26583</v>
      </c>
      <c r="C492" s="20">
        <f>_xll.ciqfunctions.udf.CIQ(InputTicker, "IQ_CURRENT_RATIO",Input!E$2,Date)</f>
        <v>1.1753</v>
      </c>
      <c r="D492" s="20">
        <f>_xll.ciqfunctions.udf.CIQ(InputTicker, "IQ_CURRENT_RATIO",Input!F$2,Date)</f>
        <v>1.45025</v>
      </c>
      <c r="E492" s="20">
        <f>_xll.ciqfunctions.udf.CIQ(InputTicker, "IQ_CURRENT_RATIO",Input!G$2,Date)</f>
        <v>1.4410499999999999</v>
      </c>
      <c r="F492" s="20">
        <f>_xll.ciqfunctions.udf.CIQ(InputTicker, "IQ_CURRENT_RATIO",Input!H$2,Date)</f>
        <v>1.7535799999999999</v>
      </c>
      <c r="G492" s="20">
        <f>_xll.ciqfunctions.udf.CIQ(InputTicker, "IQ_CURRENT_RATIO",Input!I$2,Date)</f>
        <v>2.0417999999999998</v>
      </c>
      <c r="H492" s="20">
        <f>_xll.ciqfunctions.udf.CIQ(InputTicker, "IQ_CURRENT_RATIO",Input!J$2,Date)</f>
        <v>1.59436</v>
      </c>
      <c r="I492" s="20">
        <f>_xll.ciqfunctions.udf.CIQ(InputTicker, "IQ_CURRENT_RATIO",Input!K$2,Date)</f>
        <v>1.20611</v>
      </c>
      <c r="J492" s="20">
        <f>_xll.ciqfunctions.udf.CIQ(InputTicker, "IQ_CURRENT_RATIO",Input!L$2,Date)</f>
        <v>1.61879</v>
      </c>
      <c r="K492" s="20">
        <f>_xll.ciqfunctions.udf.CIQ(InputTicker, "IQ_CURRENT_RATIO",Input!M$2,Date)</f>
        <v>1.7946899999999999</v>
      </c>
      <c r="L492" s="20">
        <f>_xll.ciqfunctions.udf.CIQ(InputTicker, "IQ_CURRENT_RATIO",Input!N$2,Date)</f>
        <v>1.7805200000000001</v>
      </c>
      <c r="M492" s="20">
        <f>_xll.ciqfunctions.udf.CIQ(InputTicker, "IQ_CURRENT_RATIO",Input!O$2,Date)</f>
        <v>1.7805200000000001</v>
      </c>
      <c r="N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</row>
    <row r="493" spans="1:66" ht="12.75" customHeight="1" x14ac:dyDescent="0.2">
      <c r="A493" s="19" t="s">
        <v>239</v>
      </c>
      <c r="B493" s="20">
        <f>_xll.ciqfunctions.udf.CIQ(InputTicker, "IQ_QUICK_RATIO",Input!D$2,Date)</f>
        <v>1.1488499999999999</v>
      </c>
      <c r="C493" s="20">
        <f>_xll.ciqfunctions.udf.CIQ(InputTicker, "IQ_QUICK_RATIO",Input!E$2,Date)</f>
        <v>1.0979000000000001</v>
      </c>
      <c r="D493" s="20">
        <f>_xll.ciqfunctions.udf.CIQ(InputTicker, "IQ_QUICK_RATIO",Input!F$2,Date)</f>
        <v>1.3816200000000001</v>
      </c>
      <c r="E493" s="20">
        <f>_xll.ciqfunctions.udf.CIQ(InputTicker, "IQ_QUICK_RATIO",Input!G$2,Date)</f>
        <v>1.3705000000000001</v>
      </c>
      <c r="F493" s="20">
        <f>_xll.ciqfunctions.udf.CIQ(InputTicker, "IQ_QUICK_RATIO",Input!H$2,Date)</f>
        <v>1.6580600000000001</v>
      </c>
      <c r="G493" s="20">
        <f>_xll.ciqfunctions.udf.CIQ(InputTicker, "IQ_QUICK_RATIO",Input!I$2,Date)</f>
        <v>1.9970399999999999</v>
      </c>
      <c r="H493" s="20">
        <f>_xll.ciqfunctions.udf.CIQ(InputTicker, "IQ_QUICK_RATIO",Input!J$2,Date)</f>
        <v>1.5424500000000001</v>
      </c>
      <c r="I493" s="20">
        <f>_xll.ciqfunctions.udf.CIQ(InputTicker, "IQ_QUICK_RATIO",Input!K$2,Date)</f>
        <v>1.16737</v>
      </c>
      <c r="J493" s="20">
        <f>_xll.ciqfunctions.udf.CIQ(InputTicker, "IQ_QUICK_RATIO",Input!L$2,Date)</f>
        <v>1.56501</v>
      </c>
      <c r="K493" s="20">
        <f>_xll.ciqfunctions.udf.CIQ(InputTicker, "IQ_QUICK_RATIO",Input!M$2,Date)</f>
        <v>1.70964</v>
      </c>
      <c r="L493" s="20">
        <f>_xll.ciqfunctions.udf.CIQ(InputTicker, "IQ_QUICK_RATIO",Input!N$2,Date)</f>
        <v>1.6782900000000001</v>
      </c>
      <c r="M493" s="20">
        <f>_xll.ciqfunctions.udf.CIQ(InputTicker, "IQ_QUICK_RATIO",Input!O$2,Date)</f>
        <v>1.6782900000000001</v>
      </c>
      <c r="N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</row>
    <row r="494" spans="1:66" ht="12.75" customHeight="1" x14ac:dyDescent="0.2">
      <c r="A494" s="19" t="s">
        <v>250</v>
      </c>
      <c r="B494" s="20">
        <f>_xll.ciqfunctions.udf.CIQ(InputTicker,"IQ_CFO_CURRENT_LIAB",Input!D$2,Date)</f>
        <v>0.26517000000000002</v>
      </c>
      <c r="C494" s="20">
        <f>_xll.ciqfunctions.udf.CIQ(InputTicker,"IQ_CFO_CURRENT_LIAB",Input!E$2,Date)</f>
        <v>0.34708</v>
      </c>
      <c r="D494" s="20">
        <f>_xll.ciqfunctions.udf.CIQ(InputTicker,"IQ_CFO_CURRENT_LIAB",Input!F$2,Date)</f>
        <v>0.35881999999999997</v>
      </c>
      <c r="E494" s="20">
        <f>_xll.ciqfunctions.udf.CIQ(InputTicker,"IQ_CFO_CURRENT_LIAB",Input!G$2,Date)</f>
        <v>0.42366999999999999</v>
      </c>
      <c r="F494" s="20">
        <f>_xll.ciqfunctions.udf.CIQ(InputTicker,"IQ_CFO_CURRENT_LIAB",Input!H$2,Date)</f>
        <v>0.41532999999999998</v>
      </c>
      <c r="G494" s="20">
        <f>_xll.ciqfunctions.udf.CIQ(InputTicker,"IQ_CFO_CURRENT_LIAB",Input!I$2,Date)</f>
        <v>0.55664000000000002</v>
      </c>
      <c r="H494" s="20">
        <f>_xll.ciqfunctions.udf.CIQ(InputTicker,"IQ_CFO_CURRENT_LIAB",Input!J$2,Date)</f>
        <v>0.48015000000000002</v>
      </c>
      <c r="I494" s="20">
        <f>_xll.ciqfunctions.udf.CIQ(InputTicker,"IQ_CFO_CURRENT_LIAB",Input!K$2,Date)</f>
        <v>0.31785999999999998</v>
      </c>
      <c r="J494" s="20">
        <f>_xll.ciqfunctions.udf.CIQ(InputTicker,"IQ_CFO_CURRENT_LIAB",Input!L$2,Date)</f>
        <v>0.15307000000000001</v>
      </c>
      <c r="K494" s="20">
        <f>_xll.ciqfunctions.udf.CIQ(InputTicker,"IQ_CFO_CURRENT_LIAB",Input!M$2,Date)</f>
        <v>0.54659000000000002</v>
      </c>
      <c r="L494" s="20">
        <f>_xll.ciqfunctions.udf.CIQ(InputTicker,"IQ_CFO_CURRENT_LIAB",Input!N$2,Date)</f>
        <v>0.62597999999999998</v>
      </c>
      <c r="M494" s="20">
        <f>_xll.ciqfunctions.udf.CIQ(InputTicker,"IQ_CFO_CURRENT_LIAB",Input!O$2,Date)</f>
        <v>0.62597999999999998</v>
      </c>
      <c r="N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</row>
    <row r="495" spans="1:66" ht="12.75" customHeight="1" x14ac:dyDescent="0.2">
      <c r="A495" s="19" t="s">
        <v>247</v>
      </c>
      <c r="B495" s="4">
        <f>_xll.ciqfunctions.udf.CIQ(InputTicker, "IQ_DAYS_SALES_OUT",Input!D$2,Date)</f>
        <v>59.228679999999997</v>
      </c>
      <c r="C495" s="4">
        <f>_xll.ciqfunctions.udf.CIQ(InputTicker, "IQ_DAYS_SALES_OUT",Input!E$2,Date)</f>
        <v>59.18694</v>
      </c>
      <c r="D495" s="4">
        <f>_xll.ciqfunctions.udf.CIQ(InputTicker, "IQ_DAYS_SALES_OUT",Input!F$2,Date)</f>
        <v>62.893880000000003</v>
      </c>
      <c r="E495" s="4">
        <f>_xll.ciqfunctions.udf.CIQ(InputTicker, "IQ_DAYS_SALES_OUT",Input!G$2,Date)</f>
        <v>67.077879999999993</v>
      </c>
      <c r="F495" s="4">
        <f>_xll.ciqfunctions.udf.CIQ(InputTicker, "IQ_DAYS_SALES_OUT",Input!H$2,Date)</f>
        <v>68.401740000000004</v>
      </c>
      <c r="G495" s="4">
        <f>_xll.ciqfunctions.udf.CIQ(InputTicker, "IQ_DAYS_SALES_OUT",Input!I$2,Date)</f>
        <v>66.678569999999993</v>
      </c>
      <c r="H495" s="4">
        <f>_xll.ciqfunctions.udf.CIQ(InputTicker, "IQ_DAYS_SALES_OUT",Input!J$2,Date)</f>
        <v>66.222319999999996</v>
      </c>
      <c r="I495" s="4">
        <f>_xll.ciqfunctions.udf.CIQ(InputTicker, "IQ_DAYS_SALES_OUT",Input!K$2,Date)</f>
        <v>66.972759999999994</v>
      </c>
      <c r="J495" s="4">
        <f>_xll.ciqfunctions.udf.CIQ(InputTicker, "IQ_DAYS_SALES_OUT",Input!L$2,Date)</f>
        <v>65.596720000000005</v>
      </c>
      <c r="K495" s="4">
        <f>_xll.ciqfunctions.udf.CIQ(InputTicker, "IQ_DAYS_SALES_OUT",Input!M$2,Date)</f>
        <v>65.779210000000006</v>
      </c>
      <c r="L495" s="4">
        <f>_xll.ciqfunctions.udf.CIQ(InputTicker, "IQ_DAYS_SALES_OUT",Input!N$2,Date)</f>
        <v>70.513620000000003</v>
      </c>
      <c r="M495" s="4">
        <f>_xll.ciqfunctions.udf.CIQ(InputTicker, "IQ_DAYS_SALES_OUT",Input!O$2,Date)</f>
        <v>70.513620000000003</v>
      </c>
      <c r="N495" s="57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</row>
    <row r="496" spans="1:66" ht="12.75" customHeight="1" x14ac:dyDescent="0.2">
      <c r="A496" s="19" t="s">
        <v>248</v>
      </c>
      <c r="B496" s="4">
        <f>_xll.ciqfunctions.udf.CIQ(InputTicker, "IQ_DAYS_INVENTORY_OUT",Input!D$2,Date)</f>
        <v>0</v>
      </c>
      <c r="C496" s="4">
        <f>_xll.ciqfunctions.udf.CIQ(InputTicker, "IQ_DAYS_INVENTORY_OUT",Input!E$2,Date)</f>
        <v>0</v>
      </c>
      <c r="D496" s="4">
        <f>_xll.ciqfunctions.udf.CIQ(InputTicker, "IQ_DAYS_INVENTORY_OUT",Input!F$2,Date)</f>
        <v>0</v>
      </c>
      <c r="E496" s="4">
        <f>_xll.ciqfunctions.udf.CIQ(InputTicker, "IQ_DAYS_INVENTORY_OUT",Input!G$2,Date)</f>
        <v>0</v>
      </c>
      <c r="F496" s="4">
        <f>_xll.ciqfunctions.udf.CIQ(InputTicker, "IQ_DAYS_INVENTORY_OUT",Input!H$2,Date)</f>
        <v>0</v>
      </c>
      <c r="G496" s="4">
        <f>_xll.ciqfunctions.udf.CIQ(InputTicker, "IQ_DAYS_INVENTORY_OUT",Input!I$2,Date)</f>
        <v>0</v>
      </c>
      <c r="H496" s="4">
        <f>_xll.ciqfunctions.udf.CIQ(InputTicker, "IQ_DAYS_INVENTORY_OUT",Input!J$2,Date)</f>
        <v>0</v>
      </c>
      <c r="I496" s="4">
        <f>_xll.ciqfunctions.udf.CIQ(InputTicker, "IQ_DAYS_INVENTORY_OUT",Input!K$2,Date)</f>
        <v>0</v>
      </c>
      <c r="J496" s="4">
        <f>_xll.ciqfunctions.udf.CIQ(InputTicker, "IQ_DAYS_INVENTORY_OUT",Input!L$2,Date)</f>
        <v>0</v>
      </c>
      <c r="K496" s="4">
        <f>_xll.ciqfunctions.udf.CIQ(InputTicker, "IQ_DAYS_INVENTORY_OUT",Input!M$2,Date)</f>
        <v>0</v>
      </c>
      <c r="L496" s="4">
        <f>_xll.ciqfunctions.udf.CIQ(InputTicker, "IQ_DAYS_INVENTORY_OUT",Input!N$2,Date)</f>
        <v>0</v>
      </c>
      <c r="M496" s="4">
        <f>_xll.ciqfunctions.udf.CIQ(InputTicker, "IQ_DAYS_INVENTORY_OUT",Input!O$2,Date)</f>
        <v>0</v>
      </c>
      <c r="N496" s="57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</row>
    <row r="497" spans="1:66" ht="12.75" customHeight="1" x14ac:dyDescent="0.2">
      <c r="A497" s="19" t="s">
        <v>249</v>
      </c>
      <c r="B497" s="4">
        <f>_xll.ciqfunctions.udf.CIQ(InputTicker,  "IQ_DAYS_PAYABLE_OUT",Input!D$2,Date)</f>
        <v>20.685220000000001</v>
      </c>
      <c r="C497" s="4">
        <f>_xll.ciqfunctions.udf.CIQ(InputTicker,  "IQ_DAYS_PAYABLE_OUT",Input!E$2,Date)</f>
        <v>21.229500000000002</v>
      </c>
      <c r="D497" s="4">
        <f>_xll.ciqfunctions.udf.CIQ(InputTicker,  "IQ_DAYS_PAYABLE_OUT",Input!F$2,Date)</f>
        <v>23.494689999999999</v>
      </c>
      <c r="E497" s="4">
        <f>_xll.ciqfunctions.udf.CIQ(InputTicker,  "IQ_DAYS_PAYABLE_OUT",Input!G$2,Date)</f>
        <v>27.084099999999999</v>
      </c>
      <c r="F497" s="4">
        <f>_xll.ciqfunctions.udf.CIQ(InputTicker,  "IQ_DAYS_PAYABLE_OUT",Input!H$2,Date)</f>
        <v>27.416329999999999</v>
      </c>
      <c r="G497" s="4">
        <f>_xll.ciqfunctions.udf.CIQ(InputTicker,  "IQ_DAYS_PAYABLE_OUT",Input!I$2,Date)</f>
        <v>24.543700000000001</v>
      </c>
      <c r="H497" s="4">
        <f>_xll.ciqfunctions.udf.CIQ(InputTicker,  "IQ_DAYS_PAYABLE_OUT",Input!J$2,Date)</f>
        <v>26.092030000000001</v>
      </c>
      <c r="I497" s="4">
        <f>_xll.ciqfunctions.udf.CIQ(InputTicker,  "IQ_DAYS_PAYABLE_OUT",Input!K$2,Date)</f>
        <v>29.176639999999999</v>
      </c>
      <c r="J497" s="4">
        <f>_xll.ciqfunctions.udf.CIQ(InputTicker,  "IQ_DAYS_PAYABLE_OUT",Input!L$2,Date)</f>
        <v>27.903839999999999</v>
      </c>
      <c r="K497" s="4">
        <f>_xll.ciqfunctions.udf.CIQ(InputTicker,  "IQ_DAYS_PAYABLE_OUT",Input!M$2,Date)</f>
        <v>26.703399999999998</v>
      </c>
      <c r="L497" s="4">
        <f>_xll.ciqfunctions.udf.CIQ(InputTicker,  "IQ_DAYS_PAYABLE_OUT",Input!N$2,Date)</f>
        <v>26.96949</v>
      </c>
      <c r="M497" s="4">
        <f>_xll.ciqfunctions.udf.CIQ(InputTicker,  "IQ_DAYS_PAYABLE_OUT",Input!O$2,Date)</f>
        <v>26.96949</v>
      </c>
      <c r="N497" s="57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</row>
    <row r="498" spans="1:66" ht="12.75" customHeight="1" x14ac:dyDescent="0.2">
      <c r="A498" s="19" t="s">
        <v>240</v>
      </c>
      <c r="B498" s="4">
        <f>_xll.ciqfunctions.udf.CIQ(InputTicker, "IQ_CASH_CONVERSION",Input!D$2,Date)</f>
        <v>0</v>
      </c>
      <c r="C498" s="4">
        <f>_xll.ciqfunctions.udf.CIQ(InputTicker, "IQ_CASH_CONVERSION",Input!E$2,Date)</f>
        <v>0</v>
      </c>
      <c r="D498" s="4">
        <f>_xll.ciqfunctions.udf.CIQ(InputTicker, "IQ_CASH_CONVERSION",Input!F$2,Date)</f>
        <v>0</v>
      </c>
      <c r="E498" s="4">
        <f>_xll.ciqfunctions.udf.CIQ(InputTicker, "IQ_CASH_CONVERSION",Input!G$2,Date)</f>
        <v>0</v>
      </c>
      <c r="F498" s="4">
        <f>_xll.ciqfunctions.udf.CIQ(InputTicker, "IQ_CASH_CONVERSION",Input!H$2,Date)</f>
        <v>0</v>
      </c>
      <c r="G498" s="4">
        <f>_xll.ciqfunctions.udf.CIQ(InputTicker, "IQ_CASH_CONVERSION",Input!I$2,Date)</f>
        <v>0</v>
      </c>
      <c r="H498" s="4">
        <f>_xll.ciqfunctions.udf.CIQ(InputTicker, "IQ_CASH_CONVERSION",Input!J$2,Date)</f>
        <v>0</v>
      </c>
      <c r="I498" s="4">
        <f>_xll.ciqfunctions.udf.CIQ(InputTicker, "IQ_CASH_CONVERSION",Input!K$2,Date)</f>
        <v>0</v>
      </c>
      <c r="J498" s="4">
        <f>_xll.ciqfunctions.udf.CIQ(InputTicker, "IQ_CASH_CONVERSION",Input!L$2,Date)</f>
        <v>0</v>
      </c>
      <c r="K498" s="4">
        <f>_xll.ciqfunctions.udf.CIQ(InputTicker, "IQ_CASH_CONVERSION",Input!M$2,Date)</f>
        <v>0</v>
      </c>
      <c r="L498" s="4">
        <f>_xll.ciqfunctions.udf.CIQ(InputTicker, "IQ_CASH_CONVERSION",Input!N$2,Date)</f>
        <v>0</v>
      </c>
      <c r="M498" s="4">
        <f>_xll.ciqfunctions.udf.CIQ(InputTicker, "IQ_CASH_CONVERSION",Input!O$2,Date)</f>
        <v>0</v>
      </c>
      <c r="N498" s="57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</row>
    <row r="499" spans="1:66" ht="12.75" customHeight="1" x14ac:dyDescent="0.2">
      <c r="A499" s="19" t="s">
        <v>251</v>
      </c>
      <c r="B499" s="4">
        <f>_xll.ciqfunctions.udf.CIQ(InputTicker, "IQ_TOTAL_DEBT_EQUITY",Input!D$2,Date)</f>
        <v>410.60219999999998</v>
      </c>
      <c r="C499" s="4">
        <f>_xll.ciqfunctions.udf.CIQ(InputTicker, "IQ_TOTAL_DEBT_EQUITY",Input!E$2,Date)</f>
        <v>303.93150000000003</v>
      </c>
      <c r="D499" s="4">
        <f>_xll.ciqfunctions.udf.CIQ(InputTicker, "IQ_TOTAL_DEBT_EQUITY",Input!F$2,Date)</f>
        <v>337.53050000000002</v>
      </c>
      <c r="E499" s="4">
        <f>_xll.ciqfunctions.udf.CIQ(InputTicker, "IQ_TOTAL_DEBT_EQUITY",Input!G$2,Date)</f>
        <v>273.19060000000002</v>
      </c>
      <c r="F499" s="4">
        <f>_xll.ciqfunctions.udf.CIQ(InputTicker, "IQ_TOTAL_DEBT_EQUITY",Input!H$2,Date)</f>
        <v>299.149</v>
      </c>
      <c r="G499" s="4">
        <f>_xll.ciqfunctions.udf.CIQ(InputTicker, "IQ_TOTAL_DEBT_EQUITY",Input!I$2,Date)</f>
        <v>253.25970000000001</v>
      </c>
      <c r="H499" s="4">
        <f>_xll.ciqfunctions.udf.CIQ(InputTicker, "IQ_TOTAL_DEBT_EQUITY",Input!J$2,Date)</f>
        <v>296.52969999999999</v>
      </c>
      <c r="I499" s="4">
        <f>_xll.ciqfunctions.udf.CIQ(InputTicker, "IQ_TOTAL_DEBT_EQUITY",Input!K$2,Date)</f>
        <v>308.75900000000001</v>
      </c>
      <c r="J499" s="4">
        <f>_xll.ciqfunctions.udf.CIQ(InputTicker, "IQ_TOTAL_DEBT_EQUITY",Input!L$2,Date)</f>
        <v>347.3734</v>
      </c>
      <c r="K499" s="4">
        <f>_xll.ciqfunctions.udf.CIQ(InputTicker, "IQ_TOTAL_DEBT_EQUITY",Input!M$2,Date)</f>
        <v>420.63799999999998</v>
      </c>
      <c r="L499" s="4">
        <f>_xll.ciqfunctions.udf.CIQ(InputTicker, "IQ_TOTAL_DEBT_EQUITY",Input!N$2,Date)</f>
        <v>373.03160000000003</v>
      </c>
      <c r="M499" s="4">
        <f>_xll.ciqfunctions.udf.CIQ(InputTicker, "IQ_TOTAL_DEBT_EQUITY",Input!O$2,Date)</f>
        <v>373.03160000000003</v>
      </c>
      <c r="N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</row>
    <row r="500" spans="1:66" ht="12.75" customHeight="1" x14ac:dyDescent="0.2">
      <c r="A500" s="19" t="s">
        <v>252</v>
      </c>
      <c r="B500" s="4">
        <f>_xll.ciqfunctions.udf.CIQ(InputTicker, "IQ_TOTAL_DEBT_CAPITAL",Input!D$2,Date)</f>
        <v>80.415199999999999</v>
      </c>
      <c r="C500" s="4">
        <f>_xll.ciqfunctions.udf.CIQ(InputTicker, "IQ_TOTAL_DEBT_CAPITAL",Input!E$2,Date)</f>
        <v>75.243300000000005</v>
      </c>
      <c r="D500" s="4">
        <f>_xll.ciqfunctions.udf.CIQ(InputTicker, "IQ_TOTAL_DEBT_CAPITAL",Input!F$2,Date)</f>
        <v>77.144400000000005</v>
      </c>
      <c r="E500" s="4">
        <f>_xll.ciqfunctions.udf.CIQ(InputTicker, "IQ_TOTAL_DEBT_CAPITAL",Input!G$2,Date)</f>
        <v>73.203999999999994</v>
      </c>
      <c r="F500" s="4">
        <f>_xll.ciqfunctions.udf.CIQ(InputTicker, "IQ_TOTAL_DEBT_CAPITAL",Input!H$2,Date)</f>
        <v>74.946700000000007</v>
      </c>
      <c r="G500" s="4">
        <f>_xll.ciqfunctions.udf.CIQ(InputTicker, "IQ_TOTAL_DEBT_CAPITAL",Input!I$2,Date)</f>
        <v>71.6922</v>
      </c>
      <c r="H500" s="4">
        <f>_xll.ciqfunctions.udf.CIQ(InputTicker, "IQ_TOTAL_DEBT_CAPITAL",Input!J$2,Date)</f>
        <v>74.781199999999998</v>
      </c>
      <c r="I500" s="4">
        <f>_xll.ciqfunctions.udf.CIQ(InputTicker, "IQ_TOTAL_DEBT_CAPITAL",Input!K$2,Date)</f>
        <v>75.535700000000006</v>
      </c>
      <c r="J500" s="4">
        <f>_xll.ciqfunctions.udf.CIQ(InputTicker, "IQ_TOTAL_DEBT_CAPITAL",Input!L$2,Date)</f>
        <v>77.647300000000001</v>
      </c>
      <c r="K500" s="4">
        <f>_xll.ciqfunctions.udf.CIQ(InputTicker, "IQ_TOTAL_DEBT_CAPITAL",Input!M$2,Date)</f>
        <v>80.792699999999996</v>
      </c>
      <c r="L500" s="4">
        <f>_xll.ciqfunctions.udf.CIQ(InputTicker, "IQ_TOTAL_DEBT_CAPITAL",Input!N$2,Date)</f>
        <v>78.859700000000004</v>
      </c>
      <c r="M500" s="4">
        <f>_xll.ciqfunctions.udf.CIQ(InputTicker, "IQ_TOTAL_DEBT_CAPITAL",Input!O$2,Date)</f>
        <v>78.859700000000004</v>
      </c>
      <c r="N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</row>
    <row r="501" spans="1:66" ht="12.75" customHeight="1" x14ac:dyDescent="0.2">
      <c r="A501" s="19" t="s">
        <v>253</v>
      </c>
      <c r="B501" s="4">
        <f>_xll.ciqfunctions.udf.CIQ(InputTicker,  "IQ_LT_DEBT_EQUITY",Input!D$2,Date)</f>
        <v>363.4006</v>
      </c>
      <c r="C501" s="4">
        <f>_xll.ciqfunctions.udf.CIQ(InputTicker,  "IQ_LT_DEBT_EQUITY",Input!E$2,Date)</f>
        <v>256.31049999999999</v>
      </c>
      <c r="D501" s="4">
        <f>_xll.ciqfunctions.udf.CIQ(InputTicker,  "IQ_LT_DEBT_EQUITY",Input!F$2,Date)</f>
        <v>312.09010000000001</v>
      </c>
      <c r="E501" s="4">
        <f>_xll.ciqfunctions.udf.CIQ(InputTicker,  "IQ_LT_DEBT_EQUITY",Input!G$2,Date)</f>
        <v>252.631</v>
      </c>
      <c r="F501" s="4">
        <f>_xll.ciqfunctions.udf.CIQ(InputTicker,  "IQ_LT_DEBT_EQUITY",Input!H$2,Date)</f>
        <v>270.45569999999998</v>
      </c>
      <c r="G501" s="4">
        <f>_xll.ciqfunctions.udf.CIQ(InputTicker,  "IQ_LT_DEBT_EQUITY",Input!I$2,Date)</f>
        <v>239.25790000000001</v>
      </c>
      <c r="H501" s="4">
        <f>_xll.ciqfunctions.udf.CIQ(InputTicker,  "IQ_LT_DEBT_EQUITY",Input!J$2,Date)</f>
        <v>284.58409999999998</v>
      </c>
      <c r="I501" s="4">
        <f>_xll.ciqfunctions.udf.CIQ(InputTicker,  "IQ_LT_DEBT_EQUITY",Input!K$2,Date)</f>
        <v>299.43560000000002</v>
      </c>
      <c r="J501" s="4">
        <f>_xll.ciqfunctions.udf.CIQ(InputTicker,  "IQ_LT_DEBT_EQUITY",Input!L$2,Date)</f>
        <v>337.34469999999999</v>
      </c>
      <c r="K501" s="4">
        <f>_xll.ciqfunctions.udf.CIQ(InputTicker,  "IQ_LT_DEBT_EQUITY",Input!M$2,Date)</f>
        <v>408.27510000000001</v>
      </c>
      <c r="L501" s="4">
        <f>_xll.ciqfunctions.udf.CIQ(InputTicker,  "IQ_LT_DEBT_EQUITY",Input!N$2,Date)</f>
        <v>367.42079999999999</v>
      </c>
      <c r="M501" s="4">
        <f>_xll.ciqfunctions.udf.CIQ(InputTicker,  "IQ_LT_DEBT_EQUITY",Input!O$2,Date)</f>
        <v>367.42079999999999</v>
      </c>
      <c r="N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</row>
    <row r="502" spans="1:66" ht="12.75" customHeight="1" x14ac:dyDescent="0.2">
      <c r="A502" s="19" t="s">
        <v>254</v>
      </c>
      <c r="B502" s="4">
        <f>_xll.ciqfunctions.udf.CIQ(InputTicker, "IQ_LT_DEBT_CAPITAL",Input!D$2,Date)</f>
        <v>71.170900000000003</v>
      </c>
      <c r="C502" s="4">
        <f>_xll.ciqfunctions.udf.CIQ(InputTicker, "IQ_LT_DEBT_CAPITAL",Input!E$2,Date)</f>
        <v>63.453899999999997</v>
      </c>
      <c r="D502" s="4">
        <f>_xll.ciqfunctions.udf.CIQ(InputTicker, "IQ_LT_DEBT_CAPITAL",Input!F$2,Date)</f>
        <v>71.329899999999995</v>
      </c>
      <c r="E502" s="4">
        <f>_xll.ciqfunctions.udf.CIQ(InputTicker, "IQ_LT_DEBT_CAPITAL",Input!G$2,Date)</f>
        <v>67.694800000000001</v>
      </c>
      <c r="F502" s="4">
        <f>_xll.ciqfunctions.udf.CIQ(InputTicker, "IQ_LT_DEBT_CAPITAL",Input!H$2,Date)</f>
        <v>67.757999999999996</v>
      </c>
      <c r="G502" s="4">
        <f>_xll.ciqfunctions.udf.CIQ(InputTicker, "IQ_LT_DEBT_CAPITAL",Input!I$2,Date)</f>
        <v>67.7286</v>
      </c>
      <c r="H502" s="4">
        <f>_xll.ciqfunctions.udf.CIQ(InputTicker, "IQ_LT_DEBT_CAPITAL",Input!J$2,Date)</f>
        <v>71.768600000000006</v>
      </c>
      <c r="I502" s="4">
        <f>_xll.ciqfunctions.udf.CIQ(InputTicker, "IQ_LT_DEBT_CAPITAL",Input!K$2,Date)</f>
        <v>73.254800000000003</v>
      </c>
      <c r="J502" s="4">
        <f>_xll.ciqfunctions.udf.CIQ(InputTicker, "IQ_LT_DEBT_CAPITAL",Input!L$2,Date)</f>
        <v>75.405600000000007</v>
      </c>
      <c r="K502" s="4">
        <f>_xll.ciqfunctions.udf.CIQ(InputTicker, "IQ_LT_DEBT_CAPITAL",Input!M$2,Date)</f>
        <v>78.418199999999999</v>
      </c>
      <c r="L502" s="4">
        <f>_xll.ciqfunctions.udf.CIQ(InputTicker, "IQ_LT_DEBT_CAPITAL",Input!N$2,Date)</f>
        <v>77.673599999999993</v>
      </c>
      <c r="M502" s="4">
        <f>_xll.ciqfunctions.udf.CIQ(InputTicker, "IQ_LT_DEBT_CAPITAL",Input!O$2,Date)</f>
        <v>77.673599999999993</v>
      </c>
      <c r="N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</row>
    <row r="503" spans="1:66" ht="12.75" customHeight="1" x14ac:dyDescent="0.2">
      <c r="A503" s="19" t="s">
        <v>255</v>
      </c>
      <c r="B503" s="4">
        <f>_xll.ciqfunctions.udf.CIQ(InputTicker, "IQ_TOTAL_LIAB_TOTAL_ASSETS",Input!D$2,Date)</f>
        <v>86.429699999999997</v>
      </c>
      <c r="C503" s="4">
        <f>_xll.ciqfunctions.udf.CIQ(InputTicker, "IQ_TOTAL_LIAB_TOTAL_ASSETS",Input!E$2,Date)</f>
        <v>82.995099999999994</v>
      </c>
      <c r="D503" s="4">
        <f>_xll.ciqfunctions.udf.CIQ(InputTicker, "IQ_TOTAL_LIAB_TOTAL_ASSETS",Input!F$2,Date)</f>
        <v>84.403899999999993</v>
      </c>
      <c r="E503" s="4">
        <f>_xll.ciqfunctions.udf.CIQ(InputTicker, "IQ_TOTAL_LIAB_TOTAL_ASSETS",Input!G$2,Date)</f>
        <v>82.374799999999993</v>
      </c>
      <c r="F503" s="4">
        <f>_xll.ciqfunctions.udf.CIQ(InputTicker, "IQ_TOTAL_LIAB_TOTAL_ASSETS",Input!H$2,Date)</f>
        <v>82.136700000000005</v>
      </c>
      <c r="G503" s="4">
        <f>_xll.ciqfunctions.udf.CIQ(InputTicker, "IQ_TOTAL_LIAB_TOTAL_ASSETS",Input!I$2,Date)</f>
        <v>80.522599999999997</v>
      </c>
      <c r="H503" s="4">
        <f>_xll.ciqfunctions.udf.CIQ(InputTicker, "IQ_TOTAL_LIAB_TOTAL_ASSETS",Input!J$2,Date)</f>
        <v>82.628600000000006</v>
      </c>
      <c r="I503" s="4">
        <f>_xll.ciqfunctions.udf.CIQ(InputTicker, "IQ_TOTAL_LIAB_TOTAL_ASSETS",Input!K$2,Date)</f>
        <v>84.856399999999994</v>
      </c>
      <c r="J503" s="4">
        <f>_xll.ciqfunctions.udf.CIQ(InputTicker, "IQ_TOTAL_LIAB_TOTAL_ASSETS",Input!L$2,Date)</f>
        <v>84.049300000000002</v>
      </c>
      <c r="K503" s="4">
        <f>_xll.ciqfunctions.udf.CIQ(InputTicker, "IQ_TOTAL_LIAB_TOTAL_ASSETS",Input!M$2,Date)</f>
        <v>86.282799999999995</v>
      </c>
      <c r="L503" s="4">
        <f>_xll.ciqfunctions.udf.CIQ(InputTicker, "IQ_TOTAL_LIAB_TOTAL_ASSETS",Input!N$2,Date)</f>
        <v>84.475899999999996</v>
      </c>
      <c r="M503" s="4">
        <f>_xll.ciqfunctions.udf.CIQ(InputTicker, "IQ_TOTAL_LIAB_TOTAL_ASSETS",Input!O$2,Date)</f>
        <v>84.475899999999996</v>
      </c>
      <c r="N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</row>
    <row r="504" spans="1:66" ht="12.75" customHeight="1" x14ac:dyDescent="0.2">
      <c r="A504" s="19" t="s">
        <v>241</v>
      </c>
      <c r="B504" s="20">
        <f>_xll.ciqfunctions.udf.CIQ(InputTicker, "IQ_EBIT_INT",Input!D$2,Date)</f>
        <v>6.2781000000000002</v>
      </c>
      <c r="C504" s="20">
        <f>_xll.ciqfunctions.udf.CIQ(InputTicker, "IQ_EBIT_INT",Input!E$2,Date)</f>
        <v>8.0577199999999998</v>
      </c>
      <c r="D504" s="20">
        <f>_xll.ciqfunctions.udf.CIQ(InputTicker, "IQ_EBIT_INT",Input!F$2,Date)</f>
        <v>6.2288800000000002</v>
      </c>
      <c r="E504" s="20">
        <f>_xll.ciqfunctions.udf.CIQ(InputTicker, "IQ_EBIT_INT",Input!G$2,Date)</f>
        <v>6.6485200000000004</v>
      </c>
      <c r="F504" s="20">
        <f>_xll.ciqfunctions.udf.CIQ(InputTicker, "IQ_EBIT_INT",Input!H$2,Date)</f>
        <v>6.8517200000000003</v>
      </c>
      <c r="G504" s="20">
        <f>_xll.ciqfunctions.udf.CIQ(InputTicker, "IQ_EBIT_INT",Input!I$2,Date)</f>
        <v>9.2301500000000001</v>
      </c>
      <c r="H504" s="20">
        <f>_xll.ciqfunctions.udf.CIQ(InputTicker, "IQ_EBIT_INT",Input!J$2,Date)</f>
        <v>7.3752399999999998</v>
      </c>
      <c r="I504" s="20">
        <f>_xll.ciqfunctions.udf.CIQ(InputTicker, "IQ_EBIT_INT",Input!K$2,Date)</f>
        <v>7.3727299999999998</v>
      </c>
      <c r="J504" s="20">
        <f>_xll.ciqfunctions.udf.CIQ(InputTicker, "IQ_EBIT_INT",Input!L$2,Date)</f>
        <v>6.9727899999999998</v>
      </c>
      <c r="K504" s="20">
        <f>_xll.ciqfunctions.udf.CIQ(InputTicker, "IQ_EBIT_INT",Input!M$2,Date)</f>
        <v>7.2261899999999999</v>
      </c>
      <c r="L504" s="20">
        <f>_xll.ciqfunctions.udf.CIQ(InputTicker, "IQ_EBIT_INT",Input!N$2,Date)</f>
        <v>5.9510899999999998</v>
      </c>
      <c r="M504" s="20">
        <f>_xll.ciqfunctions.udf.CIQ(InputTicker, "IQ_EBIT_INT",Input!O$2,Date)</f>
        <v>5.9510899999999998</v>
      </c>
      <c r="N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</row>
    <row r="505" spans="1:66" ht="12.75" customHeight="1" x14ac:dyDescent="0.2">
      <c r="A505" s="19" t="s">
        <v>245</v>
      </c>
      <c r="B505" s="20">
        <f>_xll.ciqfunctions.udf.CIQ(InputTicker,  "IQ_EBITDA_INT",Input!D$2,Date)</f>
        <v>7.1470700000000003</v>
      </c>
      <c r="C505" s="20">
        <f>_xll.ciqfunctions.udf.CIQ(InputTicker,  "IQ_EBITDA_INT",Input!E$2,Date)</f>
        <v>9.0135199999999998</v>
      </c>
      <c r="D505" s="20">
        <f>_xll.ciqfunctions.udf.CIQ(InputTicker,  "IQ_EBITDA_INT",Input!F$2,Date)</f>
        <v>7.0160099999999996</v>
      </c>
      <c r="E505" s="20">
        <f>_xll.ciqfunctions.udf.CIQ(InputTicker,  "IQ_EBITDA_INT",Input!G$2,Date)</f>
        <v>7.4145799999999999</v>
      </c>
      <c r="F505" s="20">
        <f>_xll.ciqfunctions.udf.CIQ(InputTicker,  "IQ_EBITDA_INT",Input!H$2,Date)</f>
        <v>8.6407299999999996</v>
      </c>
      <c r="G505" s="20">
        <f>_xll.ciqfunctions.udf.CIQ(InputTicker,  "IQ_EBITDA_INT",Input!I$2,Date)</f>
        <v>11.31751</v>
      </c>
      <c r="H505" s="20">
        <f>_xll.ciqfunctions.udf.CIQ(InputTicker,  "IQ_EBITDA_INT",Input!J$2,Date)</f>
        <v>9.8419299999999996</v>
      </c>
      <c r="I505" s="20">
        <f>_xll.ciqfunctions.udf.CIQ(InputTicker,  "IQ_EBITDA_INT",Input!K$2,Date)</f>
        <v>9.6</v>
      </c>
      <c r="J505" s="20">
        <f>_xll.ciqfunctions.udf.CIQ(InputTicker,  "IQ_EBITDA_INT",Input!L$2,Date)</f>
        <v>8.6190499999999997</v>
      </c>
      <c r="K505" s="20">
        <f>_xll.ciqfunctions.udf.CIQ(InputTicker,  "IQ_EBITDA_INT",Input!M$2,Date)</f>
        <v>8.6785700000000006</v>
      </c>
      <c r="L505" s="20">
        <f>_xll.ciqfunctions.udf.CIQ(InputTicker,  "IQ_EBITDA_INT",Input!N$2,Date)</f>
        <v>7.2445700000000004</v>
      </c>
      <c r="M505" s="20">
        <f>_xll.ciqfunctions.udf.CIQ(InputTicker,  "IQ_EBITDA_INT",Input!O$2,Date)</f>
        <v>7.2445700000000004</v>
      </c>
      <c r="N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</row>
    <row r="506" spans="1:66" ht="12.75" customHeight="1" x14ac:dyDescent="0.2">
      <c r="A506" s="43" t="s">
        <v>495</v>
      </c>
      <c r="B506" s="20">
        <f>_xll.ciqfunctions.udf.CIQ(InputTicker,  "IQ_EBITDA_EXCL_OPER_LEASES_INT",Input!D$2,Date)</f>
        <v>7.1470700000000003</v>
      </c>
      <c r="C506" s="20">
        <f>_xll.ciqfunctions.udf.CIQ(InputTicker,  "IQ_EBITDA_EXCL_OPER_LEASES_INT",Input!E$2,Date)</f>
        <v>9.0135199999999998</v>
      </c>
      <c r="D506" s="20">
        <f>_xll.ciqfunctions.udf.CIQ(InputTicker,  "IQ_EBITDA_EXCL_OPER_LEASES_INT",Input!F$2,Date)</f>
        <v>7.0160099999999996</v>
      </c>
      <c r="E506" s="20">
        <f>_xll.ciqfunctions.udf.CIQ(InputTicker,  "IQ_EBITDA_EXCL_OPER_LEASES_INT",Input!G$2,Date)</f>
        <v>7.4145799999999999</v>
      </c>
      <c r="F506" s="20">
        <f>_xll.ciqfunctions.udf.CIQ(InputTicker,  "IQ_EBITDA_EXCL_OPER_LEASES_INT",Input!H$2,Date)</f>
        <v>7.6879499999999998</v>
      </c>
      <c r="G506" s="20">
        <f>_xll.ciqfunctions.udf.CIQ(InputTicker,  "IQ_EBITDA_EXCL_OPER_LEASES_INT",Input!I$2,Date)</f>
        <v>10.267609999999999</v>
      </c>
      <c r="H506" s="20">
        <f>_xll.ciqfunctions.udf.CIQ(InputTicker,  "IQ_EBITDA_EXCL_OPER_LEASES_INT",Input!J$2,Date)</f>
        <v>8.9534099999999999</v>
      </c>
      <c r="I506" s="20">
        <f>_xll.ciqfunctions.udf.CIQ(InputTicker,  "IQ_EBITDA_EXCL_OPER_LEASES_INT",Input!K$2,Date)</f>
        <v>8.8727300000000007</v>
      </c>
      <c r="J506" s="20">
        <f>_xll.ciqfunctions.udf.CIQ(InputTicker,  "IQ_EBITDA_EXCL_OPER_LEASES_INT",Input!L$2,Date)</f>
        <v>8.0884400000000003</v>
      </c>
      <c r="K506" s="20">
        <f>_xll.ciqfunctions.udf.CIQ(InputTicker,  "IQ_EBITDA_EXCL_OPER_LEASES_INT",Input!M$2,Date)</f>
        <v>8.2083300000000001</v>
      </c>
      <c r="L506" s="20">
        <f>_xll.ciqfunctions.udf.CIQ(InputTicker,  "IQ_EBITDA_EXCL_OPER_LEASES_INT",Input!N$2,Date)</f>
        <v>6.8369600000000004</v>
      </c>
      <c r="M506" s="20">
        <f>_xll.ciqfunctions.udf.CIQ(InputTicker,  "IQ_EBITDA_EXCL_OPER_LEASES_INT",Input!O$2,Date)</f>
        <v>6.8369600000000004</v>
      </c>
      <c r="N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</row>
    <row r="507" spans="1:66" ht="12.75" customHeight="1" x14ac:dyDescent="0.2">
      <c r="A507" s="19" t="s">
        <v>246</v>
      </c>
      <c r="B507" s="20">
        <f>_xll.ciqfunctions.udf.CIQ(InputTicker, "IQ_EBITDA_CAPEX_INT",Input!D$2,Date)</f>
        <v>6.2061000000000002</v>
      </c>
      <c r="C507" s="20">
        <f>_xll.ciqfunctions.udf.CIQ(InputTicker, "IQ_EBITDA_CAPEX_INT",Input!E$2,Date)</f>
        <v>8.1480099999999993</v>
      </c>
      <c r="D507" s="20">
        <f>_xll.ciqfunctions.udf.CIQ(InputTicker, "IQ_EBITDA_CAPEX_INT",Input!F$2,Date)</f>
        <v>6.0625900000000001</v>
      </c>
      <c r="E507" s="20">
        <f>_xll.ciqfunctions.udf.CIQ(InputTicker, "IQ_EBITDA_CAPEX_INT",Input!G$2,Date)</f>
        <v>6.3568899999999999</v>
      </c>
      <c r="F507" s="20">
        <f>_xll.ciqfunctions.udf.CIQ(InputTicker, "IQ_EBITDA_CAPEX_INT",Input!H$2,Date)</f>
        <v>7.3197799999999997</v>
      </c>
      <c r="G507" s="20">
        <f>_xll.ciqfunctions.udf.CIQ(InputTicker, "IQ_EBITDA_CAPEX_INT",Input!I$2,Date)</f>
        <v>10.24442</v>
      </c>
      <c r="H507" s="20">
        <f>_xll.ciqfunctions.udf.CIQ(InputTicker, "IQ_EBITDA_CAPEX_INT",Input!J$2,Date)</f>
        <v>8.97607</v>
      </c>
      <c r="I507" s="20">
        <f>_xll.ciqfunctions.udf.CIQ(InputTicker, "IQ_EBITDA_CAPEX_INT",Input!K$2,Date)</f>
        <v>8.9090900000000008</v>
      </c>
      <c r="J507" s="20">
        <f>_xll.ciqfunctions.udf.CIQ(InputTicker, "IQ_EBITDA_CAPEX_INT",Input!L$2,Date)</f>
        <v>8.1632700000000007</v>
      </c>
      <c r="K507" s="20">
        <f>_xll.ciqfunctions.udf.CIQ(InputTicker, "IQ_EBITDA_CAPEX_INT",Input!M$2,Date)</f>
        <v>8.0952400000000004</v>
      </c>
      <c r="L507" s="20">
        <f>_xll.ciqfunctions.udf.CIQ(InputTicker, "IQ_EBITDA_CAPEX_INT",Input!N$2,Date)</f>
        <v>6.7554299999999996</v>
      </c>
      <c r="M507" s="20">
        <f>_xll.ciqfunctions.udf.CIQ(InputTicker, "IQ_EBITDA_CAPEX_INT",Input!O$2,Date)</f>
        <v>6.7554299999999996</v>
      </c>
      <c r="N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</row>
    <row r="508" spans="1:66" ht="12.75" customHeight="1" x14ac:dyDescent="0.2">
      <c r="A508" s="43" t="s">
        <v>496</v>
      </c>
      <c r="B508" s="20">
        <f>_xll.ciqfunctions.udf.CIQ(InputTicker,  "IQ_EBITDA_EXCL_OPER_LEASES_CAPEX_INT",Input!D$2,Date)</f>
        <v>6.2061000000000002</v>
      </c>
      <c r="C508" s="20">
        <f>_xll.ciqfunctions.udf.CIQ(InputTicker,  "IQ_EBITDA_EXCL_OPER_LEASES_CAPEX_INT",Input!E$2,Date)</f>
        <v>8.1480099999999993</v>
      </c>
      <c r="D508" s="20">
        <f>_xll.ciqfunctions.udf.CIQ(InputTicker,  "IQ_EBITDA_EXCL_OPER_LEASES_CAPEX_INT",Input!F$2,Date)</f>
        <v>6.0625900000000001</v>
      </c>
      <c r="E508" s="20">
        <f>_xll.ciqfunctions.udf.CIQ(InputTicker,  "IQ_EBITDA_EXCL_OPER_LEASES_CAPEX_INT",Input!G$2,Date)</f>
        <v>6.3568899999999999</v>
      </c>
      <c r="F508" s="20">
        <f>_xll.ciqfunctions.udf.CIQ(InputTicker,  "IQ_EBITDA_EXCL_OPER_LEASES_CAPEX_INT",Input!H$2,Date)</f>
        <v>6.3670099999999996</v>
      </c>
      <c r="G508" s="20">
        <f>_xll.ciqfunctions.udf.CIQ(InputTicker,  "IQ_EBITDA_EXCL_OPER_LEASES_CAPEX_INT",Input!I$2,Date)</f>
        <v>9.1945200000000007</v>
      </c>
      <c r="H508" s="20">
        <f>_xll.ciqfunctions.udf.CIQ(InputTicker,  "IQ_EBITDA_EXCL_OPER_LEASES_CAPEX_INT",Input!J$2,Date)</f>
        <v>8.0875500000000002</v>
      </c>
      <c r="I508" s="20">
        <f>_xll.ciqfunctions.udf.CIQ(InputTicker,  "IQ_EBITDA_EXCL_OPER_LEASES_CAPEX_INT",Input!K$2,Date)</f>
        <v>8.1818200000000001</v>
      </c>
      <c r="J508" s="20">
        <f>_xll.ciqfunctions.udf.CIQ(InputTicker,  "IQ_EBITDA_EXCL_OPER_LEASES_CAPEX_INT",Input!L$2,Date)</f>
        <v>7.6326499999999999</v>
      </c>
      <c r="K508" s="20">
        <f>_xll.ciqfunctions.udf.CIQ(InputTicker,  "IQ_EBITDA_EXCL_OPER_LEASES_CAPEX_INT",Input!M$2,Date)</f>
        <v>7.625</v>
      </c>
      <c r="L508" s="20">
        <f>_xll.ciqfunctions.udf.CIQ(InputTicker,  "IQ_EBITDA_EXCL_OPER_LEASES_CAPEX_INT",Input!N$2,Date)</f>
        <v>6.3478300000000001</v>
      </c>
      <c r="M508" s="20">
        <f>_xll.ciqfunctions.udf.CIQ(InputTicker,  "IQ_EBITDA_EXCL_OPER_LEASES_CAPEX_INT",Input!O$2,Date)</f>
        <v>6.3478300000000001</v>
      </c>
      <c r="N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</row>
    <row r="509" spans="1:66" ht="12.75" customHeight="1" x14ac:dyDescent="0.2">
      <c r="A509" s="19" t="s">
        <v>242</v>
      </c>
      <c r="B509" s="20">
        <f>_xll.ciqfunctions.udf.CIQ(InputTicker, "IQ_TOTAL_DEBT_EBITDA",Input!D$2,Date)</f>
        <v>3.3139599999999998</v>
      </c>
      <c r="C509" s="20">
        <f>_xll.ciqfunctions.udf.CIQ(InputTicker, "IQ_TOTAL_DEBT_EBITDA",Input!E$2,Date)</f>
        <v>3.1046299999999998</v>
      </c>
      <c r="D509" s="20">
        <f>_xll.ciqfunctions.udf.CIQ(InputTicker, "IQ_TOTAL_DEBT_EBITDA",Input!F$2,Date)</f>
        <v>3.2892899999999998</v>
      </c>
      <c r="E509" s="20">
        <f>_xll.ciqfunctions.udf.CIQ(InputTicker, "IQ_TOTAL_DEBT_EBITDA",Input!G$2,Date)</f>
        <v>2.7797999999999998</v>
      </c>
      <c r="F509" s="20">
        <f>_xll.ciqfunctions.udf.CIQ(InputTicker, "IQ_TOTAL_DEBT_EBITDA",Input!H$2,Date)</f>
        <v>3.0577299999999998</v>
      </c>
      <c r="G509" s="20">
        <f>_xll.ciqfunctions.udf.CIQ(InputTicker, "IQ_TOTAL_DEBT_EBITDA",Input!I$2,Date)</f>
        <v>2.9494799999999999</v>
      </c>
      <c r="H509" s="20">
        <f>_xll.ciqfunctions.udf.CIQ(InputTicker, "IQ_TOTAL_DEBT_EBITDA",Input!J$2,Date)</f>
        <v>3.41486</v>
      </c>
      <c r="I509" s="20">
        <f>_xll.ciqfunctions.udf.CIQ(InputTicker, "IQ_TOTAL_DEBT_EBITDA",Input!K$2,Date)</f>
        <v>2.9004699999999999</v>
      </c>
      <c r="J509" s="20">
        <f>_xll.ciqfunctions.udf.CIQ(InputTicker, "IQ_TOTAL_DEBT_EBITDA",Input!L$2,Date)</f>
        <v>2.8705599999999998</v>
      </c>
      <c r="K509" s="20">
        <f>_xll.ciqfunctions.udf.CIQ(InputTicker, "IQ_TOTAL_DEBT_EBITDA",Input!M$2,Date)</f>
        <v>2.8936899999999999</v>
      </c>
      <c r="L509" s="20">
        <f>_xll.ciqfunctions.udf.CIQ(InputTicker, "IQ_TOTAL_DEBT_EBITDA",Input!N$2,Date)</f>
        <v>3.0922700000000001</v>
      </c>
      <c r="M509" s="20">
        <f>_xll.ciqfunctions.udf.CIQ(InputTicker, "IQ_TOTAL_DEBT_EBITDA",Input!O$2,Date)</f>
        <v>3.0922700000000001</v>
      </c>
      <c r="N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</row>
    <row r="510" spans="1:66" ht="12.75" customHeight="1" x14ac:dyDescent="0.2">
      <c r="A510" s="43" t="s">
        <v>497</v>
      </c>
      <c r="B510" s="20">
        <f>_xll.ciqfunctions.udf.CIQ(InputTicker,  "IQ_TOTAL_DEBT_EBITDA_EXCL_OPER_LEASES",Input!D$2,Date)</f>
        <v>3.3139599999999998</v>
      </c>
      <c r="C510" s="20">
        <f>_xll.ciqfunctions.udf.CIQ(InputTicker,  "IQ_TOTAL_DEBT_EBITDA_EXCL_OPER_LEASES",Input!E$2,Date)</f>
        <v>3.1046299999999998</v>
      </c>
      <c r="D510" s="20">
        <f>_xll.ciqfunctions.udf.CIQ(InputTicker,  "IQ_TOTAL_DEBT_EBITDA_EXCL_OPER_LEASES",Input!F$2,Date)</f>
        <v>3.2892899999999998</v>
      </c>
      <c r="E510" s="20">
        <f>_xll.ciqfunctions.udf.CIQ(InputTicker,  "IQ_TOTAL_DEBT_EBITDA_EXCL_OPER_LEASES",Input!G$2,Date)</f>
        <v>2.7797999999999998</v>
      </c>
      <c r="F510" s="20">
        <f>_xll.ciqfunctions.udf.CIQ(InputTicker,  "IQ_TOTAL_DEBT_EBITDA_EXCL_OPER_LEASES",Input!H$2,Date)</f>
        <v>3.43668</v>
      </c>
      <c r="G510" s="20">
        <f>_xll.ciqfunctions.udf.CIQ(InputTicker,  "IQ_TOTAL_DEBT_EBITDA_EXCL_OPER_LEASES",Input!I$2,Date)</f>
        <v>3.25108</v>
      </c>
      <c r="H510" s="20">
        <f>_xll.ciqfunctions.udf.CIQ(InputTicker,  "IQ_TOTAL_DEBT_EBITDA_EXCL_OPER_LEASES",Input!J$2,Date)</f>
        <v>3.7537400000000001</v>
      </c>
      <c r="I510" s="20">
        <f>_xll.ciqfunctions.udf.CIQ(InputTicker,  "IQ_TOTAL_DEBT_EBITDA_EXCL_OPER_LEASES",Input!K$2,Date)</f>
        <v>3.1382099999999999</v>
      </c>
      <c r="J510" s="20">
        <f>_xll.ciqfunctions.udf.CIQ(InputTicker,  "IQ_TOTAL_DEBT_EBITDA_EXCL_OPER_LEASES",Input!L$2,Date)</f>
        <v>3.0588700000000002</v>
      </c>
      <c r="K510" s="20">
        <f>_xll.ciqfunctions.udf.CIQ(InputTicker,  "IQ_TOTAL_DEBT_EBITDA_EXCL_OPER_LEASES",Input!M$2,Date)</f>
        <v>3.0594600000000001</v>
      </c>
      <c r="L510" s="20">
        <f>_xll.ciqfunctions.udf.CIQ(InputTicker,  "IQ_TOTAL_DEBT_EBITDA_EXCL_OPER_LEASES",Input!N$2,Date)</f>
        <v>3.2766299999999999</v>
      </c>
      <c r="M510" s="20">
        <f>_xll.ciqfunctions.udf.CIQ(InputTicker,  "IQ_TOTAL_DEBT_EBITDA_EXCL_OPER_LEASES",Input!O$2,Date)</f>
        <v>3.2766299999999999</v>
      </c>
      <c r="N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</row>
    <row r="511" spans="1:66" ht="12.75" customHeight="1" x14ac:dyDescent="0.2">
      <c r="A511" s="19" t="s">
        <v>243</v>
      </c>
      <c r="B511" s="20">
        <f>_xll.ciqfunctions.udf.CIQ(InputTicker,"IQ_NET_DEBT_EBITDA",Input!D$2,Date)</f>
        <v>2.9434399999999998</v>
      </c>
      <c r="C511" s="20">
        <f>_xll.ciqfunctions.udf.CIQ(InputTicker,"IQ_NET_DEBT_EBITDA",Input!E$2,Date)</f>
        <v>2.7174399999999999</v>
      </c>
      <c r="D511" s="20">
        <f>_xll.ciqfunctions.udf.CIQ(InputTicker,"IQ_NET_DEBT_EBITDA",Input!F$2,Date)</f>
        <v>2.7909199999999998</v>
      </c>
      <c r="E511" s="20">
        <f>_xll.ciqfunctions.udf.CIQ(InputTicker,"IQ_NET_DEBT_EBITDA",Input!G$2,Date)</f>
        <v>2.3492299999999999</v>
      </c>
      <c r="F511" s="20">
        <f>_xll.ciqfunctions.udf.CIQ(InputTicker,"IQ_NET_DEBT_EBITDA",Input!H$2,Date)</f>
        <v>2.1722000000000001</v>
      </c>
      <c r="G511" s="20">
        <f>_xll.ciqfunctions.udf.CIQ(InputTicker,"IQ_NET_DEBT_EBITDA",Input!I$2,Date)</f>
        <v>1.87209</v>
      </c>
      <c r="H511" s="20">
        <f>_xll.ciqfunctions.udf.CIQ(InputTicker,"IQ_NET_DEBT_EBITDA",Input!J$2,Date)</f>
        <v>2.6492100000000001</v>
      </c>
      <c r="I511" s="20">
        <f>_xll.ciqfunctions.udf.CIQ(InputTicker,"IQ_NET_DEBT_EBITDA",Input!K$2,Date)</f>
        <v>2.5064299999999999</v>
      </c>
      <c r="J511" s="20">
        <f>_xll.ciqfunctions.udf.CIQ(InputTicker,"IQ_NET_DEBT_EBITDA",Input!L$2,Date)</f>
        <v>2.4333100000000001</v>
      </c>
      <c r="K511" s="20">
        <f>_xll.ciqfunctions.udf.CIQ(InputTicker,"IQ_NET_DEBT_EBITDA",Input!M$2,Date)</f>
        <v>2.2866900000000001</v>
      </c>
      <c r="L511" s="20">
        <f>_xll.ciqfunctions.udf.CIQ(InputTicker,"IQ_NET_DEBT_EBITDA",Input!N$2,Date)</f>
        <v>2.5461399999999998</v>
      </c>
      <c r="M511" s="20">
        <f>_xll.ciqfunctions.udf.CIQ(InputTicker,"IQ_NET_DEBT_EBITDA",Input!O$2,Date)</f>
        <v>2.5461399999999998</v>
      </c>
      <c r="N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</row>
    <row r="512" spans="1:66" ht="12.75" customHeight="1" x14ac:dyDescent="0.2">
      <c r="A512" s="43" t="s">
        <v>498</v>
      </c>
      <c r="B512" s="20">
        <f>_xll.ciqfunctions.udf.CIQ(InputTicker,  "IQ_NET_DEBT_EBITDA_EXCL_OPER_LEASES",Input!D$2,Date)</f>
        <v>2.9434399999999998</v>
      </c>
      <c r="C512" s="20">
        <f>_xll.ciqfunctions.udf.CIQ(InputTicker,  "IQ_NET_DEBT_EBITDA_EXCL_OPER_LEASES",Input!E$2,Date)</f>
        <v>2.7174399999999999</v>
      </c>
      <c r="D512" s="20">
        <f>_xll.ciqfunctions.udf.CIQ(InputTicker,  "IQ_NET_DEBT_EBITDA_EXCL_OPER_LEASES",Input!F$2,Date)</f>
        <v>2.7909199999999998</v>
      </c>
      <c r="E512" s="20">
        <f>_xll.ciqfunctions.udf.CIQ(InputTicker,  "IQ_NET_DEBT_EBITDA_EXCL_OPER_LEASES",Input!G$2,Date)</f>
        <v>2.3492299999999999</v>
      </c>
      <c r="F512" s="20">
        <f>_xll.ciqfunctions.udf.CIQ(InputTicker,  "IQ_NET_DEBT_EBITDA_EXCL_OPER_LEASES",Input!H$2,Date)</f>
        <v>2.4413999999999998</v>
      </c>
      <c r="G512" s="20">
        <f>_xll.ciqfunctions.udf.CIQ(InputTicker,  "IQ_NET_DEBT_EBITDA_EXCL_OPER_LEASES",Input!I$2,Date)</f>
        <v>2.06352</v>
      </c>
      <c r="H512" s="20">
        <f>_xll.ciqfunctions.udf.CIQ(InputTicker,  "IQ_NET_DEBT_EBITDA_EXCL_OPER_LEASES",Input!J$2,Date)</f>
        <v>2.9121199999999998</v>
      </c>
      <c r="I512" s="20">
        <f>_xll.ciqfunctions.udf.CIQ(InputTicker,  "IQ_NET_DEBT_EBITDA_EXCL_OPER_LEASES",Input!K$2,Date)</f>
        <v>2.7118699999999998</v>
      </c>
      <c r="J512" s="20">
        <f>_xll.ciqfunctions.udf.CIQ(InputTicker,  "IQ_NET_DEBT_EBITDA_EXCL_OPER_LEASES",Input!L$2,Date)</f>
        <v>2.59294</v>
      </c>
      <c r="K512" s="20">
        <f>_xll.ciqfunctions.udf.CIQ(InputTicker,  "IQ_NET_DEBT_EBITDA_EXCL_OPER_LEASES",Input!M$2,Date)</f>
        <v>2.4176899999999999</v>
      </c>
      <c r="L512" s="20">
        <f>_xll.ciqfunctions.udf.CIQ(InputTicker,  "IQ_NET_DEBT_EBITDA_EXCL_OPER_LEASES",Input!N$2,Date)</f>
        <v>2.6979299999999999</v>
      </c>
      <c r="M512" s="20">
        <f>_xll.ciqfunctions.udf.CIQ(InputTicker,  "IQ_NET_DEBT_EBITDA_EXCL_OPER_LEASES",Input!O$2,Date)</f>
        <v>2.6979299999999999</v>
      </c>
      <c r="N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</row>
    <row r="513" spans="1:66" ht="12.75" customHeight="1" x14ac:dyDescent="0.2">
      <c r="A513" s="19" t="s">
        <v>426</v>
      </c>
      <c r="B513" s="20">
        <f>_xll.ciqfunctions.udf.CIQ(InputTicker, "IQ_TOTAL_DEBT_EBITDA_CAPEX",Input!D$2,Date)</f>
        <v>3.8164199999999999</v>
      </c>
      <c r="C513" s="20">
        <f>_xll.ciqfunctions.udf.CIQ(InputTicker, "IQ_TOTAL_DEBT_EBITDA_CAPEX",Input!E$2,Date)</f>
        <v>3.4344100000000002</v>
      </c>
      <c r="D513" s="20">
        <f>_xll.ciqfunctions.udf.CIQ(InputTicker, "IQ_TOTAL_DEBT_EBITDA_CAPEX",Input!F$2,Date)</f>
        <v>3.8065799999999999</v>
      </c>
      <c r="E513" s="20">
        <f>_xll.ciqfunctions.udf.CIQ(InputTicker, "IQ_TOTAL_DEBT_EBITDA_CAPEX",Input!G$2,Date)</f>
        <v>3.2423099999999998</v>
      </c>
      <c r="F513" s="20">
        <f>_xll.ciqfunctions.udf.CIQ(InputTicker, "IQ_TOTAL_DEBT_EBITDA_CAPEX",Input!H$2,Date)</f>
        <v>3.60954</v>
      </c>
      <c r="G513" s="20">
        <f>_xll.ciqfunctions.udf.CIQ(InputTicker, "IQ_TOTAL_DEBT_EBITDA_CAPEX",Input!I$2,Date)</f>
        <v>3.2584399999999998</v>
      </c>
      <c r="H513" s="20">
        <f>_xll.ciqfunctions.udf.CIQ(InputTicker, "IQ_TOTAL_DEBT_EBITDA_CAPEX",Input!J$2,Date)</f>
        <v>3.7442700000000002</v>
      </c>
      <c r="I513" s="20">
        <f>_xll.ciqfunctions.udf.CIQ(InputTicker, "IQ_TOTAL_DEBT_EBITDA_CAPEX",Input!K$2,Date)</f>
        <v>3.1254</v>
      </c>
      <c r="J513" s="20">
        <f>_xll.ciqfunctions.udf.CIQ(InputTicker, "IQ_TOTAL_DEBT_EBITDA_CAPEX",Input!L$2,Date)</f>
        <v>3.0308299999999999</v>
      </c>
      <c r="K513" s="20">
        <f>_xll.ciqfunctions.udf.CIQ(InputTicker, "IQ_TOTAL_DEBT_EBITDA_CAPEX",Input!M$2,Date)</f>
        <v>3.1022099999999999</v>
      </c>
      <c r="L513" s="20">
        <f>_xll.ciqfunctions.udf.CIQ(InputTicker, "IQ_TOTAL_DEBT_EBITDA_CAPEX",Input!N$2,Date)</f>
        <v>3.3161700000000001</v>
      </c>
      <c r="M513" s="20">
        <f>_xll.ciqfunctions.udf.CIQ(InputTicker, "IQ_TOTAL_DEBT_EBITDA_CAPEX",Input!O$2,Date)</f>
        <v>3.3161700000000001</v>
      </c>
      <c r="N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</row>
    <row r="514" spans="1:66" ht="12.75" customHeight="1" x14ac:dyDescent="0.2">
      <c r="A514" s="43" t="s">
        <v>499</v>
      </c>
      <c r="B514" s="20">
        <f>_xll.ciqfunctions.udf.CIQ(InputTicker,  "IQ_TOTAL_DEBT_EBITDA_EXCL_OPER_LEASES_CAPEX",Input!D$2,Date)</f>
        <v>3.8164199999999999</v>
      </c>
      <c r="C514" s="20">
        <f>_xll.ciqfunctions.udf.CIQ(InputTicker,  "IQ_TOTAL_DEBT_EBITDA_EXCL_OPER_LEASES_CAPEX",Input!E$2,Date)</f>
        <v>3.4344100000000002</v>
      </c>
      <c r="D514" s="20">
        <f>_xll.ciqfunctions.udf.CIQ(InputTicker,  "IQ_TOTAL_DEBT_EBITDA_EXCL_OPER_LEASES_CAPEX",Input!F$2,Date)</f>
        <v>3.8065799999999999</v>
      </c>
      <c r="E514" s="20">
        <f>_xll.ciqfunctions.udf.CIQ(InputTicker,  "IQ_TOTAL_DEBT_EBITDA_EXCL_OPER_LEASES_CAPEX",Input!G$2,Date)</f>
        <v>3.2423099999999998</v>
      </c>
      <c r="F514" s="20">
        <f>_xll.ciqfunctions.udf.CIQ(InputTicker,  "IQ_TOTAL_DEBT_EBITDA_EXCL_OPER_LEASES_CAPEX",Input!H$2,Date)</f>
        <v>4.1496700000000004</v>
      </c>
      <c r="G514" s="20">
        <f>_xll.ciqfunctions.udf.CIQ(InputTicker,  "IQ_TOTAL_DEBT_EBITDA_EXCL_OPER_LEASES_CAPEX",Input!I$2,Date)</f>
        <v>3.6305100000000001</v>
      </c>
      <c r="H514" s="20">
        <f>_xll.ciqfunctions.udf.CIQ(InputTicker,  "IQ_TOTAL_DEBT_EBITDA_EXCL_OPER_LEASES_CAPEX",Input!J$2,Date)</f>
        <v>4.1556199999999999</v>
      </c>
      <c r="I514" s="20">
        <f>_xll.ciqfunctions.udf.CIQ(InputTicker,  "IQ_TOTAL_DEBT_EBITDA_EXCL_OPER_LEASES_CAPEX",Input!K$2,Date)</f>
        <v>3.4032200000000001</v>
      </c>
      <c r="J514" s="20">
        <f>_xll.ciqfunctions.udf.CIQ(InputTicker,  "IQ_TOTAL_DEBT_EBITDA_EXCL_OPER_LEASES_CAPEX",Input!L$2,Date)</f>
        <v>3.24153</v>
      </c>
      <c r="K514" s="20">
        <f>_xll.ciqfunctions.udf.CIQ(InputTicker,  "IQ_TOTAL_DEBT_EBITDA_EXCL_OPER_LEASES_CAPEX",Input!M$2,Date)</f>
        <v>3.29352</v>
      </c>
      <c r="L514" s="20">
        <f>_xll.ciqfunctions.udf.CIQ(InputTicker,  "IQ_TOTAL_DEBT_EBITDA_EXCL_OPER_LEASES_CAPEX",Input!N$2,Date)</f>
        <v>3.5291100000000002</v>
      </c>
      <c r="M514" s="20">
        <f>_xll.ciqfunctions.udf.CIQ(InputTicker,  "IQ_TOTAL_DEBT_EBITDA_EXCL_OPER_LEASES_CAPEX",Input!O$2,Date)</f>
        <v>3.5291100000000002</v>
      </c>
      <c r="N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</row>
    <row r="515" spans="1:66" ht="12.75" customHeight="1" x14ac:dyDescent="0.2">
      <c r="A515" s="43" t="s">
        <v>427</v>
      </c>
      <c r="B515" s="20">
        <f>_xll.ciqfunctions.udf.CIQ(InputTicker, "IQ_NET_DEBT_EBITDA_CAPEX",Input!D$2,Date)</f>
        <v>3.3897200000000001</v>
      </c>
      <c r="C515" s="20">
        <f>_xll.ciqfunctions.udf.CIQ(InputTicker, "IQ_NET_DEBT_EBITDA_CAPEX",Input!E$2,Date)</f>
        <v>3.0060899999999999</v>
      </c>
      <c r="D515" s="20">
        <f>_xll.ciqfunctions.udf.CIQ(InputTicker, "IQ_NET_DEBT_EBITDA_CAPEX",Input!F$2,Date)</f>
        <v>3.2298300000000002</v>
      </c>
      <c r="E515" s="20">
        <f>_xll.ciqfunctions.udf.CIQ(InputTicker, "IQ_NET_DEBT_EBITDA_CAPEX",Input!G$2,Date)</f>
        <v>2.74011</v>
      </c>
      <c r="F515" s="20">
        <f>_xll.ciqfunctions.udf.CIQ(InputTicker, "IQ_NET_DEBT_EBITDA_CAPEX",Input!H$2,Date)</f>
        <v>2.5642</v>
      </c>
      <c r="G515" s="20">
        <f>_xll.ciqfunctions.udf.CIQ(InputTicker, "IQ_NET_DEBT_EBITDA_CAPEX",Input!I$2,Date)</f>
        <v>2.06819</v>
      </c>
      <c r="H515" s="20">
        <f>_xll.ciqfunctions.udf.CIQ(InputTicker, "IQ_NET_DEBT_EBITDA_CAPEX",Input!J$2,Date)</f>
        <v>2.9047700000000001</v>
      </c>
      <c r="I515" s="20">
        <f>_xll.ciqfunctions.udf.CIQ(InputTicker, "IQ_NET_DEBT_EBITDA_CAPEX",Input!K$2,Date)</f>
        <v>2.7008100000000002</v>
      </c>
      <c r="J515" s="20">
        <f>_xll.ciqfunctions.udf.CIQ(InputTicker, "IQ_NET_DEBT_EBITDA_CAPEX",Input!L$2,Date)</f>
        <v>2.5691700000000002</v>
      </c>
      <c r="K515" s="20">
        <f>_xll.ciqfunctions.udf.CIQ(InputTicker, "IQ_NET_DEBT_EBITDA_CAPEX",Input!M$2,Date)</f>
        <v>2.45147</v>
      </c>
      <c r="L515" s="20">
        <f>_xll.ciqfunctions.udf.CIQ(InputTicker, "IQ_NET_DEBT_EBITDA_CAPEX",Input!N$2,Date)</f>
        <v>2.7304900000000001</v>
      </c>
      <c r="M515" s="20">
        <f>_xll.ciqfunctions.udf.CIQ(InputTicker, "IQ_NET_DEBT_EBITDA_CAPEX",Input!O$2,Date)</f>
        <v>2.7304900000000001</v>
      </c>
      <c r="N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</row>
    <row r="516" spans="1:66" ht="12.75" customHeight="1" x14ac:dyDescent="0.2">
      <c r="A516" s="43" t="s">
        <v>500</v>
      </c>
      <c r="B516" s="20">
        <f>_xll.ciqfunctions.udf.CIQ(InputTicker,  "IQ_NET_DEBT_EBITDA_EXCL_OPER_LEASES_CAPEX",Input!D$2,Date)</f>
        <v>3.3897200000000001</v>
      </c>
      <c r="C516" s="20">
        <f>_xll.ciqfunctions.udf.CIQ(InputTicker,  "IQ_NET_DEBT_EBITDA_EXCL_OPER_LEASES_CAPEX",Input!E$2,Date)</f>
        <v>3.0060899999999999</v>
      </c>
      <c r="D516" s="20">
        <f>_xll.ciqfunctions.udf.CIQ(InputTicker,  "IQ_NET_DEBT_EBITDA_EXCL_OPER_LEASES_CAPEX",Input!F$2,Date)</f>
        <v>3.2298300000000002</v>
      </c>
      <c r="E516" s="20">
        <f>_xll.ciqfunctions.udf.CIQ(InputTicker,  "IQ_NET_DEBT_EBITDA_EXCL_OPER_LEASES_CAPEX",Input!G$2,Date)</f>
        <v>2.74011</v>
      </c>
      <c r="F516" s="20">
        <f>_xll.ciqfunctions.udf.CIQ(InputTicker,  "IQ_NET_DEBT_EBITDA_EXCL_OPER_LEASES_CAPEX",Input!H$2,Date)</f>
        <v>2.9479099999999998</v>
      </c>
      <c r="G516" s="20">
        <f>_xll.ciqfunctions.udf.CIQ(InputTicker,  "IQ_NET_DEBT_EBITDA_EXCL_OPER_LEASES_CAPEX",Input!I$2,Date)</f>
        <v>2.3043499999999999</v>
      </c>
      <c r="H516" s="20">
        <f>_xll.ciqfunctions.udf.CIQ(InputTicker,  "IQ_NET_DEBT_EBITDA_EXCL_OPER_LEASES_CAPEX",Input!J$2,Date)</f>
        <v>3.2238899999999999</v>
      </c>
      <c r="I516" s="20">
        <f>_xll.ciqfunctions.udf.CIQ(InputTicker,  "IQ_NET_DEBT_EBITDA_EXCL_OPER_LEASES_CAPEX",Input!K$2,Date)</f>
        <v>2.9408799999999999</v>
      </c>
      <c r="J516" s="20">
        <f>_xll.ciqfunctions.udf.CIQ(InputTicker,  "IQ_NET_DEBT_EBITDA_EXCL_OPER_LEASES_CAPEX",Input!L$2,Date)</f>
        <v>2.74777</v>
      </c>
      <c r="K516" s="20">
        <f>_xll.ciqfunctions.udf.CIQ(InputTicker,  "IQ_NET_DEBT_EBITDA_EXCL_OPER_LEASES_CAPEX",Input!M$2,Date)</f>
        <v>2.6026500000000001</v>
      </c>
      <c r="L516" s="20">
        <f>_xll.ciqfunctions.udf.CIQ(InputTicker,  "IQ_NET_DEBT_EBITDA_EXCL_OPER_LEASES_CAPEX",Input!N$2,Date)</f>
        <v>2.9058199999999998</v>
      </c>
      <c r="M516" s="20">
        <f>_xll.ciqfunctions.udf.CIQ(InputTicker,  "IQ_NET_DEBT_EBITDA_EXCL_OPER_LEASES_CAPEX",Input!O$2,Date)</f>
        <v>2.9058199999999998</v>
      </c>
      <c r="N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</row>
    <row r="517" spans="1:66" ht="12.75" customHeight="1" x14ac:dyDescent="0.2">
      <c r="A517" s="19" t="s">
        <v>428</v>
      </c>
      <c r="B517" s="21">
        <f>_xll.ciqfunctions.udf.CIQ(InputTicker, "IQ_TOTAL_REV_EMPLOYEE",Input!D$2,Date,,,Ccy,Conv)</f>
        <v>239.191</v>
      </c>
      <c r="C517" s="21">
        <f>_xll.ciqfunctions.udf.CIQ(InputTicker, "IQ_TOTAL_REV_EMPLOYEE",Input!E$2,Date,,,Ccy,Conv)</f>
        <v>249.334</v>
      </c>
      <c r="D517" s="21">
        <f>_xll.ciqfunctions.udf.CIQ(InputTicker, "IQ_TOTAL_REV_EMPLOYEE",Input!F$2,Date,,,Ccy,Conv)</f>
        <v>250.715</v>
      </c>
      <c r="E517" s="21">
        <f>_xll.ciqfunctions.udf.CIQ(InputTicker, "IQ_TOTAL_REV_EMPLOYEE",Input!G$2,Date,,,Ccy,Conv)</f>
        <v>256.85899999999998</v>
      </c>
      <c r="F517" s="21">
        <f>_xll.ciqfunctions.udf.CIQ(InputTicker, "IQ_TOTAL_REV_EMPLOYEE",Input!H$2,Date,,,Ccy,Conv)</f>
        <v>274.40499999999997</v>
      </c>
      <c r="G517" s="21">
        <f>_xll.ciqfunctions.udf.CIQ(InputTicker, "IQ_TOTAL_REV_EMPLOYEE",Input!I$2,Date,,,Ccy,Conv)</f>
        <v>283.71600000000001</v>
      </c>
      <c r="H517" s="21">
        <f>_xll.ciqfunctions.udf.CIQ(InputTicker, "IQ_TOTAL_REV_EMPLOYEE",Input!J$2,Date,,,Ccy,Conv)</f>
        <v>285.45</v>
      </c>
      <c r="I517" s="21">
        <f>_xll.ciqfunctions.udf.CIQ(InputTicker, "IQ_TOTAL_REV_EMPLOYEE",Input!K$2,Date,,,Ccy,Conv)</f>
        <v>290.25</v>
      </c>
      <c r="J517" s="21">
        <f>_xll.ciqfunctions.udf.CIQ(InputTicker, "IQ_TOTAL_REV_EMPLOYEE",Input!L$2,Date,,,Ccy,Conv)</f>
        <v>311.75400000000002</v>
      </c>
      <c r="K517" s="21">
        <f>_xll.ciqfunctions.udf.CIQ(InputTicker, "IQ_TOTAL_REV_EMPLOYEE",Input!M$2,Date,,,Ccy,Conv)</f>
        <v>334.63600000000002</v>
      </c>
      <c r="L517" s="21">
        <f>_xll.ciqfunctions.udf.CIQ(InputTicker, "IQ_TOTAL_REV_EMPLOYEE",Input!N$2,Date,,,Ccy,Conv)</f>
        <v>356.09500000000003</v>
      </c>
      <c r="M517" s="21">
        <f>_xll.ciqfunctions.udf.CIQ(InputTicker, "IQ_TOTAL_REV_EMPLOYEE",Input!O$2,Date,,,Ccy,Conv)</f>
        <v>356.09500000000003</v>
      </c>
      <c r="N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</row>
    <row r="518" spans="1:66" ht="12.75" customHeight="1" x14ac:dyDescent="0.2">
      <c r="A518" s="19" t="s">
        <v>244</v>
      </c>
      <c r="B518" s="4">
        <f>_xll.ciqfunctions.udf.CIQ(InputTicker,"IQ_Z_SCORE",Input!D$2,Date)</f>
        <v>3.4784999999999999</v>
      </c>
      <c r="C518" s="4">
        <f>_xll.ciqfunctions.udf.CIQ(InputTicker,"IQ_Z_SCORE",Input!E$2,Date)</f>
        <v>3.5072899999999998</v>
      </c>
      <c r="D518" s="4">
        <f>_xll.ciqfunctions.udf.CIQ(InputTicker,"IQ_Z_SCORE",Input!F$2,Date)</f>
        <v>3.6672400000000001</v>
      </c>
      <c r="E518" s="4">
        <f>_xll.ciqfunctions.udf.CIQ(InputTicker,"IQ_Z_SCORE",Input!G$2,Date)</f>
        <v>4.0854600000000003</v>
      </c>
      <c r="F518" s="4">
        <f>_xll.ciqfunctions.udf.CIQ(InputTicker,"IQ_Z_SCORE",Input!H$2,Date)</f>
        <v>4.1337599999999997</v>
      </c>
      <c r="G518" s="4">
        <f>_xll.ciqfunctions.udf.CIQ(InputTicker,"IQ_Z_SCORE",Input!I$2,Date)</f>
        <v>4.1478900000000003</v>
      </c>
      <c r="H518" s="4">
        <f>_xll.ciqfunctions.udf.CIQ(InputTicker,"IQ_Z_SCORE",Input!J$2,Date)</f>
        <v>3.7716799999999999</v>
      </c>
      <c r="I518" s="4">
        <f>_xll.ciqfunctions.udf.CIQ(InputTicker,"IQ_Z_SCORE",Input!K$2,Date)</f>
        <v>3.6863899999999998</v>
      </c>
      <c r="J518" s="4">
        <f>_xll.ciqfunctions.udf.CIQ(InputTicker,"IQ_Z_SCORE",Input!L$2,Date)</f>
        <v>4.5460000000000003</v>
      </c>
      <c r="K518" s="4">
        <f>_xll.ciqfunctions.udf.CIQ(InputTicker,"IQ_Z_SCORE",Input!M$2,Date)</f>
        <v>4.7895500000000002</v>
      </c>
      <c r="L518" s="4">
        <f>_xll.ciqfunctions.udf.CIQ(InputTicker,"IQ_Z_SCORE",Input!N$2,Date)</f>
        <v>4.2264900000000001</v>
      </c>
      <c r="M518" s="4">
        <f>_xll.ciqfunctions.udf.CIQ(InputTicker,"IQ_Z_SCORE",Input!O$2,Date)</f>
        <v>4.2264900000000001</v>
      </c>
      <c r="N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</row>
    <row r="519" spans="1:66" ht="12.75" customHeight="1" x14ac:dyDescent="0.2">
      <c r="A519" s="19" t="s">
        <v>584</v>
      </c>
      <c r="B519" s="4">
        <f>_xll.ciqfunctions.udf.CIQ(InputTicker, "IQ_TOTAL_REV_1YR_ANN_GROWTH",Input!D$2,Date)</f>
        <v>2.4828999999999999</v>
      </c>
      <c r="C519" s="4">
        <f>_xll.ciqfunctions.udf.CIQ(InputTicker, "IQ_TOTAL_REV_1YR_ANN_GROWTH",Input!E$2,Date)</f>
        <v>7.4688999999999997</v>
      </c>
      <c r="D519" s="4">
        <f>_xll.ciqfunctions.udf.CIQ(InputTicker, "IQ_TOTAL_REV_1YR_ANN_GROWTH",Input!F$2,Date)</f>
        <v>6.1642000000000001</v>
      </c>
      <c r="E519" s="4">
        <f>_xll.ciqfunctions.udf.CIQ(InputTicker, "IQ_TOTAL_REV_1YR_ANN_GROWTH",Input!G$2,Date)</f>
        <v>8.6975999999999996</v>
      </c>
      <c r="F519" s="4">
        <f>_xll.ciqfunctions.udf.CIQ(InputTicker, "IQ_TOTAL_REV_1YR_ANN_GROWTH",Input!H$2,Date)</f>
        <v>11.333500000000001</v>
      </c>
      <c r="G519" s="4">
        <f>_xll.ciqfunctions.udf.CIQ(InputTicker, "IQ_TOTAL_REV_1YR_ANN_GROWTH",Input!I$2,Date)</f>
        <v>5.2934000000000001</v>
      </c>
      <c r="H519" s="4">
        <f>_xll.ciqfunctions.udf.CIQ(InputTicker, "IQ_TOTAL_REV_1YR_ANN_GROWTH",Input!J$2,Date)</f>
        <v>6.4226999999999999</v>
      </c>
      <c r="I519" s="4">
        <f>_xll.ciqfunctions.udf.CIQ(InputTicker, "IQ_TOTAL_REV_1YR_ANN_GROWTH",Input!K$2,Date)</f>
        <v>10.704499999999999</v>
      </c>
      <c r="J519" s="4">
        <f>_xll.ciqfunctions.udf.CIQ(InputTicker, "IQ_TOTAL_REV_1YR_ANN_GROWTH",Input!L$2,Date)</f>
        <v>15.152799999999999</v>
      </c>
      <c r="K519" s="4">
        <f>_xll.ciqfunctions.udf.CIQ(InputTicker, "IQ_TOTAL_REV_1YR_ANN_GROWTH",Input!M$2,Date)</f>
        <v>12.361599999999999</v>
      </c>
      <c r="L519" s="4">
        <f>_xll.ciqfunctions.udf.CIQ(InputTicker, "IQ_TOTAL_REV_1YR_ANN_GROWTH",Input!N$2,Date)</f>
        <v>-6.3689999999999998</v>
      </c>
      <c r="M519" s="4">
        <f>_xll.ciqfunctions.udf.CIQ(InputTicker, "IQ_TOTAL_REV_1YR_ANN_GROWTH",Input!O$2,Date)</f>
        <v>-6.3689999999999998</v>
      </c>
      <c r="N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</row>
    <row r="520" spans="1:66" ht="12.75" customHeight="1" x14ac:dyDescent="0.2">
      <c r="A520" s="19" t="s">
        <v>585</v>
      </c>
      <c r="B520" s="4">
        <f>_xll.ciqfunctions.udf.CIQ(InputTicker, "IQ_GP_1YR_ANN_GROWTH",Input!D$2,Date)</f>
        <v>3.0002</v>
      </c>
      <c r="C520" s="4">
        <f>_xll.ciqfunctions.udf.CIQ(InputTicker, "IQ_GP_1YR_ANN_GROWTH",Input!E$2,Date)</f>
        <v>5.1094999999999997</v>
      </c>
      <c r="D520" s="4">
        <f>_xll.ciqfunctions.udf.CIQ(InputTicker, "IQ_GP_1YR_ANN_GROWTH",Input!F$2,Date)</f>
        <v>4.3719999999999999</v>
      </c>
      <c r="E520" s="4">
        <f>_xll.ciqfunctions.udf.CIQ(InputTicker, "IQ_GP_1YR_ANN_GROWTH",Input!G$2,Date)</f>
        <v>11.0336</v>
      </c>
      <c r="F520" s="4">
        <f>_xll.ciqfunctions.udf.CIQ(InputTicker, "IQ_GP_1YR_ANN_GROWTH",Input!H$2,Date)</f>
        <v>11.716799999999999</v>
      </c>
      <c r="G520" s="4">
        <f>_xll.ciqfunctions.udf.CIQ(InputTicker, "IQ_GP_1YR_ANN_GROWTH",Input!I$2,Date)</f>
        <v>4.9977</v>
      </c>
      <c r="H520" s="4">
        <f>_xll.ciqfunctions.udf.CIQ(InputTicker, "IQ_GP_1YR_ANN_GROWTH",Input!J$2,Date)</f>
        <v>6.0993000000000004</v>
      </c>
      <c r="I520" s="4">
        <f>_xll.ciqfunctions.udf.CIQ(InputTicker, "IQ_GP_1YR_ANN_GROWTH",Input!K$2,Date)</f>
        <v>7.7934999999999999</v>
      </c>
      <c r="J520" s="4">
        <f>_xll.ciqfunctions.udf.CIQ(InputTicker, "IQ_GP_1YR_ANN_GROWTH",Input!L$2,Date)</f>
        <v>14.6386</v>
      </c>
      <c r="K520" s="4">
        <f>_xll.ciqfunctions.udf.CIQ(InputTicker, "IQ_GP_1YR_ANN_GROWTH",Input!M$2,Date)</f>
        <v>13.0947</v>
      </c>
      <c r="L520" s="4">
        <f>_xll.ciqfunctions.udf.CIQ(InputTicker, "IQ_GP_1YR_ANN_GROWTH",Input!N$2,Date)</f>
        <v>-9.8167000000000009</v>
      </c>
      <c r="M520" s="4">
        <f>_xll.ciqfunctions.udf.CIQ(InputTicker, "IQ_GP_1YR_ANN_GROWTH",Input!O$2,Date)</f>
        <v>-9.8167000000000009</v>
      </c>
      <c r="N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</row>
    <row r="521" spans="1:66" ht="12.75" customHeight="1" x14ac:dyDescent="0.2">
      <c r="A521" s="19" t="s">
        <v>586</v>
      </c>
      <c r="B521" s="4">
        <f>_xll.ciqfunctions.udf.CIQ(InputTicker,  "IQ_EBITDA_1YR_ANN_GROWTH",Input!D$2,Date)</f>
        <v>-2.9459</v>
      </c>
      <c r="C521" s="4">
        <f>_xll.ciqfunctions.udf.CIQ(InputTicker,  "IQ_EBITDA_1YR_ANN_GROWTH",Input!E$2,Date)</f>
        <v>10.9468</v>
      </c>
      <c r="D521" s="4">
        <f>_xll.ciqfunctions.udf.CIQ(InputTicker,  "IQ_EBITDA_1YR_ANN_GROWTH",Input!F$2,Date)</f>
        <v>2.7915999999999999</v>
      </c>
      <c r="E521" s="4">
        <f>_xll.ciqfunctions.udf.CIQ(InputTicker,  "IQ_EBITDA_1YR_ANN_GROWTH",Input!G$2,Date)</f>
        <v>14.9915</v>
      </c>
      <c r="F521" s="4">
        <f>_xll.ciqfunctions.udf.CIQ(InputTicker,  "IQ_EBITDA_1YR_ANN_GROWTH",Input!H$2,Date)</f>
        <v>12.3081</v>
      </c>
      <c r="G521" s="4">
        <f>_xll.ciqfunctions.udf.CIQ(InputTicker,  "IQ_EBITDA_1YR_ANN_GROWTH",Input!I$2,Date)</f>
        <v>11.9428</v>
      </c>
      <c r="H521" s="4">
        <f>_xll.ciqfunctions.udf.CIQ(InputTicker,  "IQ_EBITDA_1YR_ANN_GROWTH",Input!J$2,Date)</f>
        <v>-0.90890000000000004</v>
      </c>
      <c r="I521" s="4">
        <f>_xll.ciqfunctions.udf.CIQ(InputTicker,  "IQ_EBITDA_1YR_ANN_GROWTH",Input!K$2,Date)</f>
        <v>18.036100000000001</v>
      </c>
      <c r="J521" s="4">
        <f>_xll.ciqfunctions.udf.CIQ(InputTicker,  "IQ_EBITDA_1YR_ANN_GROWTH",Input!L$2,Date)</f>
        <v>21.823699999999999</v>
      </c>
      <c r="K521" s="4">
        <f>_xll.ciqfunctions.udf.CIQ(InputTicker,  "IQ_EBITDA_1YR_ANN_GROWTH",Input!M$2,Date)</f>
        <v>15.979799999999999</v>
      </c>
      <c r="L521" s="4">
        <f>_xll.ciqfunctions.udf.CIQ(InputTicker,  "IQ_EBITDA_1YR_ANN_GROWTH",Input!N$2,Date)</f>
        <v>-8.7744999999999997</v>
      </c>
      <c r="M521" s="4">
        <f>_xll.ciqfunctions.udf.CIQ(InputTicker,  "IQ_EBITDA_1YR_ANN_GROWTH",Input!O$2,Date)</f>
        <v>-8.7744999999999997</v>
      </c>
      <c r="N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</row>
    <row r="522" spans="1:66" ht="12.75" customHeight="1" x14ac:dyDescent="0.2">
      <c r="A522" s="19" t="s">
        <v>587</v>
      </c>
      <c r="B522" s="4">
        <f>_xll.ciqfunctions.udf.CIQ(InputTicker, "IQ_EBIT_1YR_ANN_GROWTH",Input!D$2,Date)</f>
        <v>-3.1032000000000002</v>
      </c>
      <c r="C522" s="4">
        <f>_xll.ciqfunctions.udf.CIQ(InputTicker, "IQ_EBIT_1YR_ANN_GROWTH",Input!E$2,Date)</f>
        <v>12.91</v>
      </c>
      <c r="D522" s="4">
        <f>_xll.ciqfunctions.udf.CIQ(InputTicker, "IQ_EBIT_1YR_ANN_GROWTH",Input!F$2,Date)</f>
        <v>2.0844999999999998</v>
      </c>
      <c r="E522" s="4">
        <f>_xll.ciqfunctions.udf.CIQ(InputTicker, "IQ_EBIT_1YR_ANN_GROWTH",Input!G$2,Date)</f>
        <v>16.140599999999999</v>
      </c>
      <c r="F522" s="4">
        <f>_xll.ciqfunctions.udf.CIQ(InputTicker, "IQ_EBIT_1YR_ANN_GROWTH",Input!H$2,Date)</f>
        <v>11.625</v>
      </c>
      <c r="G522" s="4">
        <f>_xll.ciqfunctions.udf.CIQ(InputTicker, "IQ_EBIT_1YR_ANN_GROWTH",Input!I$2,Date)</f>
        <v>12.913600000000001</v>
      </c>
      <c r="H522" s="4">
        <f>_xll.ciqfunctions.udf.CIQ(InputTicker, "IQ_EBIT_1YR_ANN_GROWTH",Input!J$2,Date)</f>
        <v>-9.2004999999999999</v>
      </c>
      <c r="I522" s="4">
        <f>_xll.ciqfunctions.udf.CIQ(InputTicker, "IQ_EBIT_1YR_ANN_GROWTH",Input!K$2,Date)</f>
        <v>19.068899999999999</v>
      </c>
      <c r="J522" s="4">
        <f>_xll.ciqfunctions.udf.CIQ(InputTicker, "IQ_EBIT_1YR_ANN_GROWTH",Input!L$2,Date)</f>
        <v>26.3871</v>
      </c>
      <c r="K522" s="4">
        <f>_xll.ciqfunctions.udf.CIQ(InputTicker, "IQ_EBIT_1YR_ANN_GROWTH",Input!M$2,Date)</f>
        <v>18.439</v>
      </c>
      <c r="L522" s="4">
        <f>_xll.ciqfunctions.udf.CIQ(InputTicker, "IQ_EBIT_1YR_ANN_GROWTH",Input!N$2,Date)</f>
        <v>-9.8024000000000004</v>
      </c>
      <c r="M522" s="4">
        <f>_xll.ciqfunctions.udf.CIQ(InputTicker, "IQ_EBIT_1YR_ANN_GROWTH",Input!O$2,Date)</f>
        <v>-9.8024000000000004</v>
      </c>
      <c r="N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</row>
    <row r="523" spans="1:66" ht="12.75" customHeight="1" x14ac:dyDescent="0.2">
      <c r="A523" s="19" t="s">
        <v>588</v>
      </c>
      <c r="B523" s="4">
        <f>_xll.ciqfunctions.udf.CIQ(InputTicker,  "IQ_NI_1YR_ANN_GROWTH",Input!D$2,Date)</f>
        <v>26.454499999999999</v>
      </c>
      <c r="C523" s="4">
        <f>_xll.ciqfunctions.udf.CIQ(InputTicker,  "IQ_NI_1YR_ANN_GROWTH",Input!E$2,Date)</f>
        <v>-11.3124</v>
      </c>
      <c r="D523" s="4">
        <f>_xll.ciqfunctions.udf.CIQ(InputTicker,  "IQ_NI_1YR_ANN_GROWTH",Input!F$2,Date)</f>
        <v>15.6683</v>
      </c>
      <c r="E523" s="4">
        <f>_xll.ciqfunctions.udf.CIQ(InputTicker,  "IQ_NI_1YR_ANN_GROWTH",Input!G$2,Date)</f>
        <v>38.727200000000003</v>
      </c>
      <c r="F523" s="4">
        <f>_xll.ciqfunctions.udf.CIQ(InputTicker,  "IQ_NI_1YR_ANN_GROWTH",Input!H$2,Date)</f>
        <v>15.3093</v>
      </c>
      <c r="G523" s="4">
        <f>_xll.ciqfunctions.udf.CIQ(InputTicker,  "IQ_NI_1YR_ANN_GROWTH",Input!I$2,Date)</f>
        <v>26.181899999999999</v>
      </c>
      <c r="H523" s="4">
        <f>_xll.ciqfunctions.udf.CIQ(InputTicker,  "IQ_NI_1YR_ANN_GROWTH",Input!J$2,Date)</f>
        <v>-23.354399999999998</v>
      </c>
      <c r="I523" s="4">
        <f>_xll.ciqfunctions.udf.CIQ(InputTicker,  "IQ_NI_1YR_ANN_GROWTH",Input!K$2,Date)</f>
        <v>-41.723500000000001</v>
      </c>
      <c r="J523" s="4">
        <f>_xll.ciqfunctions.udf.CIQ(InputTicker,  "IQ_NI_1YR_ANN_GROWTH",Input!L$2,Date)</f>
        <v>122.7941</v>
      </c>
      <c r="K523" s="4">
        <f>_xll.ciqfunctions.udf.CIQ(InputTicker,  "IQ_NI_1YR_ANN_GROWTH",Input!M$2,Date)</f>
        <v>54.290399999999998</v>
      </c>
      <c r="L523" s="4">
        <f>_xll.ciqfunctions.udf.CIQ(InputTicker,  "IQ_NI_1YR_ANN_GROWTH",Input!N$2,Date)</f>
        <v>-8.984</v>
      </c>
      <c r="M523" s="4">
        <f>_xll.ciqfunctions.udf.CIQ(InputTicker,  "IQ_NI_1YR_ANN_GROWTH",Input!O$2,Date)</f>
        <v>-8.984</v>
      </c>
      <c r="N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</row>
    <row r="524" spans="1:66" ht="12.75" customHeight="1" x14ac:dyDescent="0.2">
      <c r="A524" s="19" t="s">
        <v>589</v>
      </c>
      <c r="B524" s="4">
        <f>_xll.ciqfunctions.udf.CIQ(InputTicker, "IQ_EPS_1YR_ANN_GROWTH",Input!D$2,Date)</f>
        <v>27.3979</v>
      </c>
      <c r="C524" s="4">
        <f>_xll.ciqfunctions.udf.CIQ(InputTicker, "IQ_EPS_1YR_ANN_GROWTH",Input!E$2,Date)</f>
        <v>-11.369</v>
      </c>
      <c r="D524" s="4">
        <f>_xll.ciqfunctions.udf.CIQ(InputTicker, "IQ_EPS_1YR_ANN_GROWTH",Input!F$2,Date)</f>
        <v>17.966699999999999</v>
      </c>
      <c r="E524" s="4">
        <f>_xll.ciqfunctions.udf.CIQ(InputTicker, "IQ_EPS_1YR_ANN_GROWTH",Input!G$2,Date)</f>
        <v>43.426499999999997</v>
      </c>
      <c r="F524" s="4">
        <f>_xll.ciqfunctions.udf.CIQ(InputTicker, "IQ_EPS_1YR_ANN_GROWTH",Input!H$2,Date)</f>
        <v>17.027699999999999</v>
      </c>
      <c r="G524" s="4">
        <f>_xll.ciqfunctions.udf.CIQ(InputTicker, "IQ_EPS_1YR_ANN_GROWTH",Input!I$2,Date)</f>
        <v>28.150099999999998</v>
      </c>
      <c r="H524" s="4">
        <f>_xll.ciqfunctions.udf.CIQ(InputTicker, "IQ_EPS_1YR_ANN_GROWTH",Input!J$2,Date)</f>
        <v>-21.2361</v>
      </c>
      <c r="I524" s="4">
        <f>_xll.ciqfunctions.udf.CIQ(InputTicker, "IQ_EPS_1YR_ANN_GROWTH",Input!K$2,Date)</f>
        <v>-40.956400000000002</v>
      </c>
      <c r="J524" s="4">
        <f>_xll.ciqfunctions.udf.CIQ(InputTicker, "IQ_EPS_1YR_ANN_GROWTH",Input!L$2,Date)</f>
        <v>126.1084</v>
      </c>
      <c r="K524" s="4">
        <f>_xll.ciqfunctions.udf.CIQ(InputTicker, "IQ_EPS_1YR_ANN_GROWTH",Input!M$2,Date)</f>
        <v>57.951999999999998</v>
      </c>
      <c r="L524" s="4">
        <f>_xll.ciqfunctions.udf.CIQ(InputTicker, "IQ_EPS_1YR_ANN_GROWTH",Input!N$2,Date)</f>
        <v>-4.8276000000000003</v>
      </c>
      <c r="M524" s="4">
        <f>_xll.ciqfunctions.udf.CIQ(InputTicker, "IQ_EPS_1YR_ANN_GROWTH",Input!O$2,Date)</f>
        <v>-4.8276000000000003</v>
      </c>
      <c r="N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</row>
    <row r="525" spans="1:66" ht="12.75" customHeight="1" x14ac:dyDescent="0.2">
      <c r="A525" s="19" t="s">
        <v>590</v>
      </c>
      <c r="B525" s="4">
        <f>_xll.ciqfunctions.udf.CIQ(InputTicker, "IQ_TOTAL_REV_3YR_ANN_CAGR",Input!D$2,Date)</f>
        <v>-2.0827</v>
      </c>
      <c r="C525" s="4">
        <f>_xll.ciqfunctions.udf.CIQ(InputTicker, "IQ_TOTAL_REV_3YR_ANN_CAGR",Input!E$2,Date)</f>
        <v>1.9734</v>
      </c>
      <c r="D525" s="4">
        <f>_xll.ciqfunctions.udf.CIQ(InputTicker, "IQ_TOTAL_REV_3YR_ANN_CAGR",Input!F$2,Date)</f>
        <v>5.3506999999999998</v>
      </c>
      <c r="E525" s="4">
        <f>_xll.ciqfunctions.udf.CIQ(InputTicker, "IQ_TOTAL_REV_3YR_ANN_CAGR",Input!G$2,Date)</f>
        <v>7.4386000000000001</v>
      </c>
      <c r="F525" s="4">
        <f>_xll.ciqfunctions.udf.CIQ(InputTicker, "IQ_TOTAL_REV_3YR_ANN_CAGR",Input!H$2,Date)</f>
        <v>8.7112999999999996</v>
      </c>
      <c r="G525" s="4">
        <f>_xll.ciqfunctions.udf.CIQ(InputTicker, "IQ_TOTAL_REV_3YR_ANN_CAGR",Input!I$2,Date)</f>
        <v>8.4132999999999996</v>
      </c>
      <c r="H525" s="4">
        <f>_xll.ciqfunctions.udf.CIQ(InputTicker, "IQ_TOTAL_REV_3YR_ANN_CAGR",Input!J$2,Date)</f>
        <v>7.6516000000000002</v>
      </c>
      <c r="I525" s="4">
        <f>_xll.ciqfunctions.udf.CIQ(InputTicker, "IQ_TOTAL_REV_3YR_ANN_CAGR",Input!K$2,Date)</f>
        <v>7.4485000000000001</v>
      </c>
      <c r="J525" s="4">
        <f>_xll.ciqfunctions.udf.CIQ(InputTicker, "IQ_TOTAL_REV_3YR_ANN_CAGR",Input!L$2,Date)</f>
        <v>10.7027</v>
      </c>
      <c r="K525" s="4">
        <f>_xll.ciqfunctions.udf.CIQ(InputTicker, "IQ_TOTAL_REV_3YR_ANN_CAGR",Input!M$2,Date)</f>
        <v>12.7248</v>
      </c>
      <c r="L525" s="4">
        <f>_xll.ciqfunctions.udf.CIQ(InputTicker, "IQ_TOTAL_REV_3YR_ANN_CAGR",Input!N$2,Date)</f>
        <v>6.6032999999999999</v>
      </c>
      <c r="M525" s="4">
        <f>_xll.ciqfunctions.udf.CIQ(InputTicker, "IQ_TOTAL_REV_3YR_ANN_CAGR",Input!O$2,Date)</f>
        <v>6.6032999999999999</v>
      </c>
      <c r="N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</row>
    <row r="526" spans="1:66" ht="12.75" customHeight="1" x14ac:dyDescent="0.2">
      <c r="A526" s="19" t="s">
        <v>591</v>
      </c>
      <c r="B526" s="4">
        <f>_xll.ciqfunctions.udf.CIQ(InputTicker, "IQ_GP_3YR_ANN_CAGR",Input!D$2,Date)</f>
        <v>-1.0346</v>
      </c>
      <c r="C526" s="4">
        <f>_xll.ciqfunctions.udf.CIQ(InputTicker, "IQ_GP_3YR_ANN_CAGR",Input!E$2,Date)</f>
        <v>2.6530999999999998</v>
      </c>
      <c r="D526" s="4">
        <f>_xll.ciqfunctions.udf.CIQ(InputTicker, "IQ_GP_3YR_ANN_CAGR",Input!F$2,Date)</f>
        <v>4.1569000000000003</v>
      </c>
      <c r="E526" s="4">
        <f>_xll.ciqfunctions.udf.CIQ(InputTicker, "IQ_GP_3YR_ANN_CAGR",Input!G$2,Date)</f>
        <v>6.7972999999999999</v>
      </c>
      <c r="F526" s="4">
        <f>_xll.ciqfunctions.udf.CIQ(InputTicker, "IQ_GP_3YR_ANN_CAGR",Input!H$2,Date)</f>
        <v>8.9898000000000007</v>
      </c>
      <c r="G526" s="4">
        <f>_xll.ciqfunctions.udf.CIQ(InputTicker, "IQ_GP_3YR_ANN_CAGR",Input!I$2,Date)</f>
        <v>9.2071000000000005</v>
      </c>
      <c r="H526" s="4">
        <f>_xll.ciqfunctions.udf.CIQ(InputTicker, "IQ_GP_3YR_ANN_CAGR",Input!J$2,Date)</f>
        <v>7.5648999999999997</v>
      </c>
      <c r="I526" s="4">
        <f>_xll.ciqfunctions.udf.CIQ(InputTicker, "IQ_GP_3YR_ANN_CAGR",Input!K$2,Date)</f>
        <v>6.2907000000000002</v>
      </c>
      <c r="J526" s="4">
        <f>_xll.ciqfunctions.udf.CIQ(InputTicker, "IQ_GP_3YR_ANN_CAGR",Input!L$2,Date)</f>
        <v>9.4490999999999996</v>
      </c>
      <c r="K526" s="4">
        <f>_xll.ciqfunctions.udf.CIQ(InputTicker, "IQ_GP_3YR_ANN_CAGR",Input!M$2,Date)</f>
        <v>11.8035</v>
      </c>
      <c r="L526" s="4">
        <f>_xll.ciqfunctions.udf.CIQ(InputTicker, "IQ_GP_3YR_ANN_CAGR",Input!N$2,Date)</f>
        <v>5.3497000000000003</v>
      </c>
      <c r="M526" s="4">
        <f>_xll.ciqfunctions.udf.CIQ(InputTicker, "IQ_GP_3YR_ANN_CAGR",Input!O$2,Date)</f>
        <v>5.3497000000000003</v>
      </c>
      <c r="N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</row>
    <row r="527" spans="1:66" ht="12.75" customHeight="1" x14ac:dyDescent="0.2">
      <c r="A527" s="19" t="s">
        <v>592</v>
      </c>
      <c r="B527" s="4">
        <f>_xll.ciqfunctions.udf.CIQ(InputTicker,  "IQ_EBITDA_3YR_ANN_CAGR",Input!D$2,Date)</f>
        <v>-0.91320000000000001</v>
      </c>
      <c r="C527" s="4">
        <f>_xll.ciqfunctions.udf.CIQ(InputTicker,  "IQ_EBITDA_3YR_ANN_CAGR",Input!E$2,Date)</f>
        <v>1.7568999999999999</v>
      </c>
      <c r="D527" s="4">
        <f>_xll.ciqfunctions.udf.CIQ(InputTicker,  "IQ_EBITDA_3YR_ANN_CAGR",Input!F$2,Date)</f>
        <v>3.4417</v>
      </c>
      <c r="E527" s="4">
        <f>_xll.ciqfunctions.udf.CIQ(InputTicker,  "IQ_EBITDA_3YR_ANN_CAGR",Input!G$2,Date)</f>
        <v>9.4577000000000009</v>
      </c>
      <c r="F527" s="4">
        <f>_xll.ciqfunctions.udf.CIQ(InputTicker,  "IQ_EBITDA_3YR_ANN_CAGR",Input!H$2,Date)</f>
        <v>9.9034999999999993</v>
      </c>
      <c r="G527" s="4">
        <f>_xll.ciqfunctions.udf.CIQ(InputTicker,  "IQ_EBITDA_3YR_ANN_CAGR",Input!I$2,Date)</f>
        <v>13.072699999999999</v>
      </c>
      <c r="H527" s="4">
        <f>_xll.ciqfunctions.udf.CIQ(InputTicker,  "IQ_EBITDA_3YR_ANN_CAGR",Input!J$2,Date)</f>
        <v>7.6005000000000003</v>
      </c>
      <c r="I527" s="4">
        <f>_xll.ciqfunctions.udf.CIQ(InputTicker,  "IQ_EBITDA_3YR_ANN_CAGR",Input!K$2,Date)</f>
        <v>9.3994999999999997</v>
      </c>
      <c r="J527" s="4">
        <f>_xll.ciqfunctions.udf.CIQ(InputTicker,  "IQ_EBITDA_3YR_ANN_CAGR",Input!L$2,Date)</f>
        <v>12.528</v>
      </c>
      <c r="K527" s="4">
        <f>_xll.ciqfunctions.udf.CIQ(InputTicker,  "IQ_EBITDA_3YR_ANN_CAGR",Input!M$2,Date)</f>
        <v>18.588699999999999</v>
      </c>
      <c r="L527" s="4">
        <f>_xll.ciqfunctions.udf.CIQ(InputTicker,  "IQ_EBITDA_3YR_ANN_CAGR",Input!N$2,Date)</f>
        <v>8.8286999999999995</v>
      </c>
      <c r="M527" s="4">
        <f>_xll.ciqfunctions.udf.CIQ(InputTicker,  "IQ_EBITDA_3YR_ANN_CAGR",Input!O$2,Date)</f>
        <v>8.8286999999999995</v>
      </c>
      <c r="N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</row>
    <row r="528" spans="1:66" ht="12.75" customHeight="1" x14ac:dyDescent="0.2">
      <c r="A528" s="19" t="s">
        <v>593</v>
      </c>
      <c r="B528" s="4">
        <f>_xll.ciqfunctions.udf.CIQ(InputTicker, "IQ_EBIT_3YR_ANN_CAGR",Input!D$2,Date)</f>
        <v>-0.1234</v>
      </c>
      <c r="C528" s="4">
        <f>_xll.ciqfunctions.udf.CIQ(InputTicker, "IQ_EBIT_3YR_ANN_CAGR",Input!E$2,Date)</f>
        <v>2.9083999999999999</v>
      </c>
      <c r="D528" s="4">
        <f>_xll.ciqfunctions.udf.CIQ(InputTicker, "IQ_EBIT_3YR_ANN_CAGR",Input!F$2,Date)</f>
        <v>3.7530000000000001</v>
      </c>
      <c r="E528" s="4">
        <f>_xll.ciqfunctions.udf.CIQ(InputTicker, "IQ_EBIT_3YR_ANN_CAGR",Input!G$2,Date)</f>
        <v>10.2112</v>
      </c>
      <c r="F528" s="4">
        <f>_xll.ciqfunctions.udf.CIQ(InputTicker, "IQ_EBIT_3YR_ANN_CAGR",Input!H$2,Date)</f>
        <v>9.7914999999999992</v>
      </c>
      <c r="G528" s="4">
        <f>_xll.ciqfunctions.udf.CIQ(InputTicker, "IQ_EBIT_3YR_ANN_CAGR",Input!I$2,Date)</f>
        <v>13.544</v>
      </c>
      <c r="H528" s="4">
        <f>_xll.ciqfunctions.udf.CIQ(InputTicker, "IQ_EBIT_3YR_ANN_CAGR",Input!J$2,Date)</f>
        <v>4.5997000000000003</v>
      </c>
      <c r="I528" s="4">
        <f>_xll.ciqfunctions.udf.CIQ(InputTicker, "IQ_EBIT_3YR_ANN_CAGR",Input!K$2,Date)</f>
        <v>6.875</v>
      </c>
      <c r="J528" s="4">
        <f>_xll.ciqfunctions.udf.CIQ(InputTicker, "IQ_EBIT_3YR_ANN_CAGR",Input!L$2,Date)</f>
        <v>10.9673</v>
      </c>
      <c r="K528" s="4">
        <f>_xll.ciqfunctions.udf.CIQ(InputTicker, "IQ_EBIT_3YR_ANN_CAGR",Input!M$2,Date)</f>
        <v>21.2454</v>
      </c>
      <c r="L528" s="4">
        <f>_xll.ciqfunctions.udf.CIQ(InputTicker, "IQ_EBIT_3YR_ANN_CAGR",Input!N$2,Date)</f>
        <v>10.526</v>
      </c>
      <c r="M528" s="4">
        <f>_xll.ciqfunctions.udf.CIQ(InputTicker, "IQ_EBIT_3YR_ANN_CAGR",Input!O$2,Date)</f>
        <v>10.526</v>
      </c>
      <c r="N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</row>
    <row r="529" spans="1:66" ht="12.75" customHeight="1" x14ac:dyDescent="0.2">
      <c r="A529" s="19" t="s">
        <v>594</v>
      </c>
      <c r="B529" s="4">
        <f>_xll.ciqfunctions.udf.CIQ(InputTicker,  "IQ_NI_3YR_ANN_CAGR",Input!D$2,Date)</f>
        <v>10.317</v>
      </c>
      <c r="C529" s="4">
        <f>_xll.ciqfunctions.udf.CIQ(InputTicker,  "IQ_NI_3YR_ANN_CAGR",Input!E$2,Date)</f>
        <v>3.9529000000000001</v>
      </c>
      <c r="D529" s="4">
        <f>_xll.ciqfunctions.udf.CIQ(InputTicker,  "IQ_NI_3YR_ANN_CAGR",Input!F$2,Date)</f>
        <v>9.0612999999999992</v>
      </c>
      <c r="E529" s="4">
        <f>_xll.ciqfunctions.udf.CIQ(InputTicker,  "IQ_NI_3YR_ANN_CAGR",Input!G$2,Date)</f>
        <v>12.481199999999999</v>
      </c>
      <c r="F529" s="4">
        <f>_xll.ciqfunctions.udf.CIQ(InputTicker,  "IQ_NI_3YR_ANN_CAGR",Input!H$2,Date)</f>
        <v>22.7666</v>
      </c>
      <c r="G529" s="4">
        <f>_xll.ciqfunctions.udf.CIQ(InputTicker,  "IQ_NI_3YR_ANN_CAGR",Input!I$2,Date)</f>
        <v>26.378900000000002</v>
      </c>
      <c r="H529" s="4">
        <f>_xll.ciqfunctions.udf.CIQ(InputTicker,  "IQ_NI_3YR_ANN_CAGR",Input!J$2,Date)</f>
        <v>3.7010000000000001</v>
      </c>
      <c r="I529" s="4">
        <f>_xll.ciqfunctions.udf.CIQ(InputTicker,  "IQ_NI_3YR_ANN_CAGR",Input!K$2,Date)</f>
        <v>-17.397600000000001</v>
      </c>
      <c r="J529" s="4">
        <f>_xll.ciqfunctions.udf.CIQ(InputTicker,  "IQ_NI_3YR_ANN_CAGR",Input!L$2,Date)</f>
        <v>-0.16220000000000001</v>
      </c>
      <c r="K529" s="4">
        <f>_xll.ciqfunctions.udf.CIQ(InputTicker,  "IQ_NI_3YR_ANN_CAGR",Input!M$2,Date)</f>
        <v>26.060400000000001</v>
      </c>
      <c r="L529" s="4">
        <f>_xll.ciqfunctions.udf.CIQ(InputTicker,  "IQ_NI_3YR_ANN_CAGR",Input!N$2,Date)</f>
        <v>46.258200000000002</v>
      </c>
      <c r="M529" s="4">
        <f>_xll.ciqfunctions.udf.CIQ(InputTicker,  "IQ_NI_3YR_ANN_CAGR",Input!O$2,Date)</f>
        <v>46.258200000000002</v>
      </c>
      <c r="N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</row>
    <row r="530" spans="1:66" ht="12.75" customHeight="1" x14ac:dyDescent="0.2">
      <c r="A530" s="19" t="s">
        <v>595</v>
      </c>
      <c r="B530" s="4">
        <f>_xll.ciqfunctions.udf.CIQ(InputTicker, "IQ_EPS_3YR_ANN_CAGR",Input!D$2,Date)</f>
        <v>10.208399999999999</v>
      </c>
      <c r="C530" s="4">
        <f>_xll.ciqfunctions.udf.CIQ(InputTicker, "IQ_EPS_3YR_ANN_CAGR",Input!E$2,Date)</f>
        <v>3.7589999999999999</v>
      </c>
      <c r="D530" s="4">
        <f>_xll.ciqfunctions.udf.CIQ(InputTicker, "IQ_EPS_3YR_ANN_CAGR",Input!F$2,Date)</f>
        <v>10.027799999999999</v>
      </c>
      <c r="E530" s="4">
        <f>_xll.ciqfunctions.udf.CIQ(InputTicker, "IQ_EPS_3YR_ANN_CAGR",Input!G$2,Date)</f>
        <v>14.4612</v>
      </c>
      <c r="F530" s="4">
        <f>_xll.ciqfunctions.udf.CIQ(InputTicker, "IQ_EPS_3YR_ANN_CAGR",Input!H$2,Date)</f>
        <v>25.571899999999999</v>
      </c>
      <c r="G530" s="4">
        <f>_xll.ciqfunctions.udf.CIQ(InputTicker, "IQ_EPS_3YR_ANN_CAGR",Input!I$2,Date)</f>
        <v>29.085999999999999</v>
      </c>
      <c r="H530" s="4">
        <f>_xll.ciqfunctions.udf.CIQ(InputTicker, "IQ_EPS_3YR_ANN_CAGR",Input!J$2,Date)</f>
        <v>5.7088999999999999</v>
      </c>
      <c r="I530" s="4">
        <f>_xll.ciqfunctions.udf.CIQ(InputTicker, "IQ_EPS_3YR_ANN_CAGR",Input!K$2,Date)</f>
        <v>-15.846299999999999</v>
      </c>
      <c r="J530" s="4">
        <f>_xll.ciqfunctions.udf.CIQ(InputTicker, "IQ_EPS_3YR_ANN_CAGR",Input!L$2,Date)</f>
        <v>1.6886000000000001</v>
      </c>
      <c r="K530" s="4">
        <f>_xll.ciqfunctions.udf.CIQ(InputTicker, "IQ_EPS_3YR_ANN_CAGR",Input!M$2,Date)</f>
        <v>28.2346</v>
      </c>
      <c r="L530" s="4">
        <f>_xll.ciqfunctions.udf.CIQ(InputTicker, "IQ_EPS_3YR_ANN_CAGR",Input!N$2,Date)</f>
        <v>50.354999999999997</v>
      </c>
      <c r="M530" s="4">
        <f>_xll.ciqfunctions.udf.CIQ(InputTicker, "IQ_EPS_3YR_ANN_CAGR",Input!O$2,Date)</f>
        <v>50.354999999999997</v>
      </c>
      <c r="N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</row>
    <row r="531" spans="1:66" ht="12.75" customHeight="1" x14ac:dyDescent="0.2">
      <c r="A531" s="19" t="s">
        <v>596</v>
      </c>
      <c r="B531" s="4">
        <f>_xll.ciqfunctions.udf.CIQ(InputTicker, "IQ_TOTAL_REV_5YR_ANN_CAGR",Input!D$2,Date)</f>
        <v>-0.67269999999999996</v>
      </c>
      <c r="C531" s="4">
        <f>_xll.ciqfunctions.udf.CIQ(InputTicker, "IQ_TOTAL_REV_5YR_ANN_CAGR",Input!E$2,Date)</f>
        <v>-0.17030000000000001</v>
      </c>
      <c r="D531" s="4">
        <f>_xll.ciqfunctions.udf.CIQ(InputTicker, "IQ_TOTAL_REV_5YR_ANN_CAGR",Input!F$2,Date)</f>
        <v>1.3836999999999999</v>
      </c>
      <c r="E531" s="4">
        <f>_xll.ciqfunctions.udf.CIQ(InputTicker, "IQ_TOTAL_REV_5YR_ANN_CAGR",Input!G$2,Date)</f>
        <v>4.1195000000000004</v>
      </c>
      <c r="F531" s="4">
        <f>_xll.ciqfunctions.udf.CIQ(InputTicker, "IQ_TOTAL_REV_5YR_ANN_CAGR",Input!H$2,Date)</f>
        <v>7.1894</v>
      </c>
      <c r="G531" s="4">
        <f>_xll.ciqfunctions.udf.CIQ(InputTicker, "IQ_TOTAL_REV_5YR_ANN_CAGR",Input!I$2,Date)</f>
        <v>7.7709999999999999</v>
      </c>
      <c r="H531" s="4">
        <f>_xll.ciqfunctions.udf.CIQ(InputTicker, "IQ_TOTAL_REV_5YR_ANN_CAGR",Input!J$2,Date)</f>
        <v>7.5602999999999998</v>
      </c>
      <c r="I531" s="4">
        <f>_xll.ciqfunctions.udf.CIQ(InputTicker, "IQ_TOTAL_REV_5YR_ANN_CAGR",Input!K$2,Date)</f>
        <v>8.4649999999999999</v>
      </c>
      <c r="J531" s="4">
        <f>_xll.ciqfunctions.udf.CIQ(InputTicker, "IQ_TOTAL_REV_5YR_ANN_CAGR",Input!L$2,Date)</f>
        <v>9.7236999999999991</v>
      </c>
      <c r="K531" s="4">
        <f>_xll.ciqfunctions.udf.CIQ(InputTicker, "IQ_TOTAL_REV_5YR_ANN_CAGR",Input!M$2,Date)</f>
        <v>9.9255999999999993</v>
      </c>
      <c r="L531" s="4">
        <f>_xll.ciqfunctions.udf.CIQ(InputTicker, "IQ_TOTAL_REV_5YR_ANN_CAGR",Input!N$2,Date)</f>
        <v>7.3747999999999996</v>
      </c>
      <c r="M531" s="4">
        <f>_xll.ciqfunctions.udf.CIQ(InputTicker, "IQ_TOTAL_REV_5YR_ANN_CAGR",Input!O$2,Date)</f>
        <v>7.3747999999999996</v>
      </c>
      <c r="N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</row>
    <row r="532" spans="1:66" ht="12.75" customHeight="1" x14ac:dyDescent="0.2">
      <c r="A532" s="19" t="s">
        <v>597</v>
      </c>
      <c r="B532" s="4">
        <f>_xll.ciqfunctions.udf.CIQ(InputTicker, "IQ_GP_5YR_ANN_CAGR",Input!D$2,Date)</f>
        <v>0.48780000000000001</v>
      </c>
      <c r="C532" s="4">
        <f>_xll.ciqfunctions.udf.CIQ(InputTicker, "IQ_GP_5YR_ANN_CAGR",Input!E$2,Date)</f>
        <v>-3.3599999999999998E-2</v>
      </c>
      <c r="D532" s="4">
        <f>_xll.ciqfunctions.udf.CIQ(InputTicker, "IQ_GP_5YR_ANN_CAGR",Input!F$2,Date)</f>
        <v>1.2361</v>
      </c>
      <c r="E532" s="4">
        <f>_xll.ciqfunctions.udf.CIQ(InputTicker, "IQ_GP_5YR_ANN_CAGR",Input!G$2,Date)</f>
        <v>4.6238999999999999</v>
      </c>
      <c r="F532" s="4">
        <f>_xll.ciqfunctions.udf.CIQ(InputTicker, "IQ_GP_5YR_ANN_CAGR",Input!H$2,Date)</f>
        <v>6.9862000000000002</v>
      </c>
      <c r="G532" s="4">
        <f>_xll.ciqfunctions.udf.CIQ(InputTicker, "IQ_GP_5YR_ANN_CAGR",Input!I$2,Date)</f>
        <v>7.3978999999999999</v>
      </c>
      <c r="H532" s="4">
        <f>_xll.ciqfunctions.udf.CIQ(InputTicker, "IQ_GP_5YR_ANN_CAGR",Input!J$2,Date)</f>
        <v>7.5994000000000002</v>
      </c>
      <c r="I532" s="4">
        <f>_xll.ciqfunctions.udf.CIQ(InputTicker, "IQ_GP_5YR_ANN_CAGR",Input!K$2,Date)</f>
        <v>8.2957999999999998</v>
      </c>
      <c r="J532" s="4">
        <f>_xll.ciqfunctions.udf.CIQ(InputTicker, "IQ_GP_5YR_ANN_CAGR",Input!L$2,Date)</f>
        <v>8.9901</v>
      </c>
      <c r="K532" s="4">
        <f>_xll.ciqfunctions.udf.CIQ(InputTicker, "IQ_GP_5YR_ANN_CAGR",Input!M$2,Date)</f>
        <v>9.2576000000000001</v>
      </c>
      <c r="L532" s="4">
        <f>_xll.ciqfunctions.udf.CIQ(InputTicker, "IQ_GP_5YR_ANN_CAGR",Input!N$2,Date)</f>
        <v>5.9842000000000004</v>
      </c>
      <c r="M532" s="4">
        <f>_xll.ciqfunctions.udf.CIQ(InputTicker, "IQ_GP_5YR_ANN_CAGR",Input!O$2,Date)</f>
        <v>5.9842000000000004</v>
      </c>
      <c r="N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</row>
    <row r="533" spans="1:66" ht="12.75" customHeight="1" x14ac:dyDescent="0.2">
      <c r="A533" s="19" t="s">
        <v>598</v>
      </c>
      <c r="B533" s="4">
        <f>_xll.ciqfunctions.udf.CIQ(InputTicker,  "IQ_EBITDA_5YR_ANN_CAGR",Input!D$2,Date)</f>
        <v>4.8162000000000003</v>
      </c>
      <c r="C533" s="4">
        <f>_xll.ciqfunctions.udf.CIQ(InputTicker,  "IQ_EBITDA_5YR_ANN_CAGR",Input!E$2,Date)</f>
        <v>3.2605</v>
      </c>
      <c r="D533" s="4">
        <f>_xll.ciqfunctions.udf.CIQ(InputTicker,  "IQ_EBITDA_5YR_ANN_CAGR",Input!F$2,Date)</f>
        <v>2.0996000000000001</v>
      </c>
      <c r="E533" s="4">
        <f>_xll.ciqfunctions.udf.CIQ(InputTicker,  "IQ_EBITDA_5YR_ANN_CAGR",Input!G$2,Date)</f>
        <v>4.4871999999999996</v>
      </c>
      <c r="F533" s="4">
        <f>_xll.ciqfunctions.udf.CIQ(InputTicker,  "IQ_EBITDA_5YR_ANN_CAGR",Input!H$2,Date)</f>
        <v>7.407</v>
      </c>
      <c r="G533" s="4">
        <f>_xll.ciqfunctions.udf.CIQ(InputTicker,  "IQ_EBITDA_5YR_ANN_CAGR",Input!I$2,Date)</f>
        <v>10.516999999999999</v>
      </c>
      <c r="H533" s="4">
        <f>_xll.ciqfunctions.udf.CIQ(InputTicker,  "IQ_EBITDA_5YR_ANN_CAGR",Input!J$2,Date)</f>
        <v>8.0471000000000004</v>
      </c>
      <c r="I533" s="4">
        <f>_xll.ciqfunctions.udf.CIQ(InputTicker,  "IQ_EBITDA_5YR_ANN_CAGR",Input!K$2,Date)</f>
        <v>11.0771</v>
      </c>
      <c r="J533" s="4">
        <f>_xll.ciqfunctions.udf.CIQ(InputTicker,  "IQ_EBITDA_5YR_ANN_CAGR",Input!L$2,Date)</f>
        <v>12.3668</v>
      </c>
      <c r="K533" s="4">
        <f>_xll.ciqfunctions.udf.CIQ(InputTicker,  "IQ_EBITDA_5YR_ANN_CAGR",Input!M$2,Date)</f>
        <v>13.0921</v>
      </c>
      <c r="L533" s="4">
        <f>_xll.ciqfunctions.udf.CIQ(InputTicker,  "IQ_EBITDA_5YR_ANN_CAGR",Input!N$2,Date)</f>
        <v>8.5565999999999995</v>
      </c>
      <c r="M533" s="4">
        <f>_xll.ciqfunctions.udf.CIQ(InputTicker,  "IQ_EBITDA_5YR_ANN_CAGR",Input!O$2,Date)</f>
        <v>8.5565999999999995</v>
      </c>
      <c r="N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</row>
    <row r="534" spans="1:66" ht="12.75" customHeight="1" x14ac:dyDescent="0.2">
      <c r="A534" s="19" t="s">
        <v>599</v>
      </c>
      <c r="B534" s="4">
        <f>_xll.ciqfunctions.udf.CIQ(InputTicker, "IQ_EBIT_5YR_ANN_CAGR",Input!D$2,Date)</f>
        <v>6.8346</v>
      </c>
      <c r="C534" s="4">
        <f>_xll.ciqfunctions.udf.CIQ(InputTicker, "IQ_EBIT_5YR_ANN_CAGR",Input!E$2,Date)</f>
        <v>4.4855999999999998</v>
      </c>
      <c r="D534" s="4">
        <f>_xll.ciqfunctions.udf.CIQ(InputTicker, "IQ_EBIT_5YR_ANN_CAGR",Input!F$2,Date)</f>
        <v>2.8056000000000001</v>
      </c>
      <c r="E534" s="4">
        <f>_xll.ciqfunctions.udf.CIQ(InputTicker, "IQ_EBIT_5YR_ANN_CAGR",Input!G$2,Date)</f>
        <v>5.2590000000000003</v>
      </c>
      <c r="F534" s="4">
        <f>_xll.ciqfunctions.udf.CIQ(InputTicker, "IQ_EBIT_5YR_ANN_CAGR",Input!H$2,Date)</f>
        <v>7.6836000000000002</v>
      </c>
      <c r="G534" s="4">
        <f>_xll.ciqfunctions.udf.CIQ(InputTicker, "IQ_EBIT_5YR_ANN_CAGR",Input!I$2,Date)</f>
        <v>11.0291</v>
      </c>
      <c r="H534" s="4">
        <f>_xll.ciqfunctions.udf.CIQ(InputTicker, "IQ_EBIT_5YR_ANN_CAGR",Input!J$2,Date)</f>
        <v>6.2935999999999996</v>
      </c>
      <c r="I534" s="4">
        <f>_xll.ciqfunctions.udf.CIQ(InputTicker, "IQ_EBIT_5YR_ANN_CAGR",Input!K$2,Date)</f>
        <v>9.6161999999999992</v>
      </c>
      <c r="J534" s="4">
        <f>_xll.ciqfunctions.udf.CIQ(InputTicker, "IQ_EBIT_5YR_ANN_CAGR",Input!L$2,Date)</f>
        <v>11.4856</v>
      </c>
      <c r="K534" s="4">
        <f>_xll.ciqfunctions.udf.CIQ(InputTicker, "IQ_EBIT_5YR_ANN_CAGR",Input!M$2,Date)</f>
        <v>12.8146</v>
      </c>
      <c r="L534" s="4">
        <f>_xll.ciqfunctions.udf.CIQ(InputTicker, "IQ_EBIT_5YR_ANN_CAGR",Input!N$2,Date)</f>
        <v>7.8586999999999998</v>
      </c>
      <c r="M534" s="4">
        <f>_xll.ciqfunctions.udf.CIQ(InputTicker, "IQ_EBIT_5YR_ANN_CAGR",Input!O$2,Date)</f>
        <v>7.8586999999999998</v>
      </c>
      <c r="N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</row>
    <row r="535" spans="1:66" ht="12.75" customHeight="1" x14ac:dyDescent="0.2">
      <c r="A535" s="19" t="s">
        <v>600</v>
      </c>
      <c r="B535" s="4">
        <f>_xll.ciqfunctions.udf.CIQ(InputTicker,  "IQ_NI_5YR_ANN_CAGR",Input!D$2,Date)</f>
        <v>28.270499999999998</v>
      </c>
      <c r="C535" s="4">
        <f>_xll.ciqfunctions.udf.CIQ(InputTicker,  "IQ_NI_5YR_ANN_CAGR",Input!E$2,Date)</f>
        <v>1.6819</v>
      </c>
      <c r="D535" s="4">
        <f>_xll.ciqfunctions.udf.CIQ(InputTicker,  "IQ_NI_5YR_ANN_CAGR",Input!F$2,Date)</f>
        <v>6.6106999999999996</v>
      </c>
      <c r="E535" s="4">
        <f>_xll.ciqfunctions.udf.CIQ(InputTicker,  "IQ_NI_5YR_ANN_CAGR",Input!G$2,Date)</f>
        <v>12.506399999999999</v>
      </c>
      <c r="F535" s="4">
        <f>_xll.ciqfunctions.udf.CIQ(InputTicker,  "IQ_NI_5YR_ANN_CAGR",Input!H$2,Date)</f>
        <v>15.719799999999999</v>
      </c>
      <c r="G535" s="4">
        <f>_xll.ciqfunctions.udf.CIQ(InputTicker,  "IQ_NI_5YR_ANN_CAGR",Input!I$2,Date)</f>
        <v>15.6699</v>
      </c>
      <c r="H535" s="4">
        <f>_xll.ciqfunctions.udf.CIQ(InputTicker,  "IQ_NI_5YR_ANN_CAGR",Input!J$2,Date)</f>
        <v>12.3428</v>
      </c>
      <c r="I535" s="4">
        <f>_xll.ciqfunctions.udf.CIQ(InputTicker,  "IQ_NI_5YR_ANN_CAGR",Input!K$2,Date)</f>
        <v>-2.0508000000000002</v>
      </c>
      <c r="J535" s="4">
        <f>_xll.ciqfunctions.udf.CIQ(InputTicker,  "IQ_NI_5YR_ANN_CAGR",Input!L$2,Date)</f>
        <v>7.6836000000000002</v>
      </c>
      <c r="K535" s="4">
        <f>_xll.ciqfunctions.udf.CIQ(InputTicker,  "IQ_NI_5YR_ANN_CAGR",Input!M$2,Date)</f>
        <v>14.1417</v>
      </c>
      <c r="L535" s="4">
        <f>_xll.ciqfunctions.udf.CIQ(InputTicker,  "IQ_NI_5YR_ANN_CAGR",Input!N$2,Date)</f>
        <v>6.9222999999999999</v>
      </c>
      <c r="M535" s="4">
        <f>_xll.ciqfunctions.udf.CIQ(InputTicker,  "IQ_NI_5YR_ANN_CAGR",Input!O$2,Date)</f>
        <v>6.9222999999999999</v>
      </c>
      <c r="N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</row>
    <row r="536" spans="1:66" ht="12.75" customHeight="1" x14ac:dyDescent="0.2">
      <c r="A536" s="19" t="s">
        <v>601</v>
      </c>
      <c r="B536" s="4">
        <f>_xll.ciqfunctions.udf.CIQ(InputTicker, "IQ_EPS_5YR_ANN_CAGR",Input!D$2,Date)</f>
        <v>24.0777</v>
      </c>
      <c r="C536" s="4">
        <f>_xll.ciqfunctions.udf.CIQ(InputTicker, "IQ_EPS_5YR_ANN_CAGR",Input!E$2,Date)</f>
        <v>0.2374</v>
      </c>
      <c r="D536" s="4">
        <f>_xll.ciqfunctions.udf.CIQ(InputTicker, "IQ_EPS_5YR_ANN_CAGR",Input!F$2,Date)</f>
        <v>6.9542000000000002</v>
      </c>
      <c r="E536" s="4">
        <f>_xll.ciqfunctions.udf.CIQ(InputTicker, "IQ_EPS_5YR_ANN_CAGR",Input!G$2,Date)</f>
        <v>13.5778</v>
      </c>
      <c r="F536" s="4">
        <f>_xll.ciqfunctions.udf.CIQ(InputTicker, "IQ_EPS_5YR_ANN_CAGR",Input!H$2,Date)</f>
        <v>17.4587</v>
      </c>
      <c r="G536" s="4">
        <f>_xll.ciqfunctions.udf.CIQ(InputTicker, "IQ_EPS_5YR_ANN_CAGR",Input!I$2,Date)</f>
        <v>17.597100000000001</v>
      </c>
      <c r="H536" s="4">
        <f>_xll.ciqfunctions.udf.CIQ(InputTicker, "IQ_EPS_5YR_ANN_CAGR",Input!J$2,Date)</f>
        <v>14.8537</v>
      </c>
      <c r="I536" s="4">
        <f>_xll.ciqfunctions.udf.CIQ(InputTicker, "IQ_EPS_5YR_ANN_CAGR",Input!K$2,Date)</f>
        <v>6.4000000000000003E-3</v>
      </c>
      <c r="J536" s="4">
        <f>_xll.ciqfunctions.udf.CIQ(InputTicker, "IQ_EPS_5YR_ANN_CAGR",Input!L$2,Date)</f>
        <v>9.5381</v>
      </c>
      <c r="K536" s="4">
        <f>_xll.ciqfunctions.udf.CIQ(InputTicker, "IQ_EPS_5YR_ANN_CAGR",Input!M$2,Date)</f>
        <v>16.308700000000002</v>
      </c>
      <c r="L536" s="4">
        <f>_xll.ciqfunctions.udf.CIQ(InputTicker, "IQ_EPS_5YR_ANN_CAGR",Input!N$2,Date)</f>
        <v>9.5899000000000001</v>
      </c>
      <c r="M536" s="4">
        <f>_xll.ciqfunctions.udf.CIQ(InputTicker, "IQ_EPS_5YR_ANN_CAGR",Input!O$2,Date)</f>
        <v>9.5899000000000001</v>
      </c>
      <c r="N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</row>
    <row r="537" spans="1:66" x14ac:dyDescent="0.2">
      <c r="A537" s="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</row>
  </sheetData>
  <phoneticPr fontId="3" type="noConversion"/>
  <printOptions horizontalCentered="1"/>
  <pageMargins left="0.25" right="0.25" top="0.25" bottom="0.25" header="0.25" footer="0.25"/>
  <pageSetup scale="22" orientation="landscape" r:id="rId1"/>
  <headerFooter alignWithMargins="0"/>
  <customProperties>
    <customPr name="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22"/>
  <sheetViews>
    <sheetView showGridLines="0" zoomScale="85" zoomScaleNormal="100" zoomScaleSheetLayoutView="85" workbookViewId="0">
      <pane xSplit="1" ySplit="2" topLeftCell="B3" activePane="bottomRight" state="frozen"/>
      <selection pane="topRight" activeCell="D1" sqref="D1"/>
      <selection pane="bottomLeft" activeCell="A8" sqref="A8"/>
      <selection pane="bottomRight" activeCell="K1" sqref="K1"/>
    </sheetView>
  </sheetViews>
  <sheetFormatPr defaultRowHeight="12.75" customHeight="1" x14ac:dyDescent="0.2"/>
  <cols>
    <col min="1" max="1" width="34.5703125" bestFit="1" customWidth="1"/>
    <col min="2" max="13" width="13.28515625" customWidth="1"/>
  </cols>
  <sheetData>
    <row r="1" spans="1:21" s="42" customFormat="1" x14ac:dyDescent="0.2">
      <c r="A1" s="3" t="s">
        <v>604</v>
      </c>
      <c r="B1" s="32" t="str">
        <f>"FY"&amp;RIGHT(YEAR(B2),2)</f>
        <v>FY16</v>
      </c>
      <c r="C1" s="32" t="str">
        <f t="shared" ref="C1:L1" si="0">"FY"&amp;RIGHT(YEAR(C2),2)</f>
        <v>FY17</v>
      </c>
      <c r="D1" s="32" t="str">
        <f t="shared" si="0"/>
        <v>FY18</v>
      </c>
      <c r="E1" s="32" t="str">
        <f t="shared" si="0"/>
        <v>FY19</v>
      </c>
      <c r="F1" s="32" t="str">
        <f t="shared" si="0"/>
        <v>FY20</v>
      </c>
      <c r="G1" s="32" t="str">
        <f t="shared" si="0"/>
        <v>FY21</v>
      </c>
      <c r="H1" s="32" t="str">
        <f t="shared" si="0"/>
        <v>FY22</v>
      </c>
      <c r="I1" s="32" t="str">
        <f t="shared" si="0"/>
        <v>FY23</v>
      </c>
      <c r="J1" s="32" t="str">
        <f t="shared" si="0"/>
        <v>FY24</v>
      </c>
      <c r="K1" s="32" t="str">
        <f t="shared" si="0"/>
        <v>FY25</v>
      </c>
      <c r="L1" s="32" t="str">
        <f t="shared" si="0"/>
        <v>FY26</v>
      </c>
      <c r="M1" s="32" t="s">
        <v>266</v>
      </c>
      <c r="S1" s="3"/>
      <c r="T1" s="2"/>
      <c r="U1" s="3"/>
    </row>
    <row r="2" spans="1:21" ht="12.75" customHeight="1" x14ac:dyDescent="0.2">
      <c r="A2" s="3" t="s">
        <v>408</v>
      </c>
      <c r="B2" s="24">
        <f>'Financial Statements'!B$2</f>
        <v>42460</v>
      </c>
      <c r="C2" s="24">
        <f>'Financial Statements'!C$2</f>
        <v>42825</v>
      </c>
      <c r="D2" s="24">
        <f>'Financial Statements'!D$2</f>
        <v>43190</v>
      </c>
      <c r="E2" s="24">
        <f>'Financial Statements'!E$2</f>
        <v>43555</v>
      </c>
      <c r="F2" s="24">
        <f>'Financial Statements'!F$2</f>
        <v>43921</v>
      </c>
      <c r="G2" s="24">
        <f>'Financial Statements'!G$2</f>
        <v>44286</v>
      </c>
      <c r="H2" s="24">
        <f>'Financial Statements'!H$2</f>
        <v>44651</v>
      </c>
      <c r="I2" s="24">
        <f>'Financial Statements'!I$2</f>
        <v>45016</v>
      </c>
      <c r="J2" s="24">
        <f>'Financial Statements'!J$2</f>
        <v>45382</v>
      </c>
      <c r="K2" s="24">
        <f>'Financial Statements'!K$2</f>
        <v>45747</v>
      </c>
      <c r="L2" s="24">
        <f>'Financial Statements'!L$2</f>
        <v>46112</v>
      </c>
      <c r="M2" s="24">
        <f>'Financial Statements'!M$2</f>
        <v>46112</v>
      </c>
    </row>
    <row r="3" spans="1:21" ht="12.75" customHeight="1" x14ac:dyDescent="0.2">
      <c r="A3" s="1" t="s">
        <v>57</v>
      </c>
      <c r="B3" s="25">
        <f>'Financial Statements'!B3/'Financial Statements'!B$10</f>
        <v>1</v>
      </c>
      <c r="C3" s="25">
        <f>'Financial Statements'!C3/'Financial Statements'!C$10</f>
        <v>1</v>
      </c>
      <c r="D3" s="25">
        <f>'Financial Statements'!D3/'Financial Statements'!D$10</f>
        <v>1</v>
      </c>
      <c r="E3" s="25">
        <f>'Financial Statements'!E3/'Financial Statements'!E$10</f>
        <v>1</v>
      </c>
      <c r="F3" s="25">
        <f>'Financial Statements'!F3/'Financial Statements'!F$10</f>
        <v>1</v>
      </c>
      <c r="G3" s="25">
        <f>'Financial Statements'!G3/'Financial Statements'!G$10</f>
        <v>1</v>
      </c>
      <c r="H3" s="25">
        <f>'Financial Statements'!H3/'Financial Statements'!H$10</f>
        <v>1</v>
      </c>
      <c r="I3" s="25">
        <f>'Financial Statements'!I3/'Financial Statements'!I$10</f>
        <v>1</v>
      </c>
      <c r="J3" s="25">
        <f>'Financial Statements'!J3/'Financial Statements'!J$10</f>
        <v>1</v>
      </c>
      <c r="K3" s="25">
        <f>'Financial Statements'!K3/'Financial Statements'!K$10</f>
        <v>1</v>
      </c>
      <c r="L3" s="25">
        <f>'Financial Statements'!L3/'Financial Statements'!L$10</f>
        <v>1</v>
      </c>
      <c r="M3" s="25">
        <f>'Financial Statements'!M3/'Financial Statements'!M$10</f>
        <v>1</v>
      </c>
    </row>
    <row r="4" spans="1:21" ht="12.75" customHeight="1" x14ac:dyDescent="0.2">
      <c r="A4" s="1" t="s">
        <v>157</v>
      </c>
      <c r="B4" s="25">
        <f>'Financial Statements'!B4/'Financial Statements'!B$10</f>
        <v>0</v>
      </c>
      <c r="C4" s="25">
        <f>'Financial Statements'!C4/'Financial Statements'!C$10</f>
        <v>0</v>
      </c>
      <c r="D4" s="25">
        <f>'Financial Statements'!D4/'Financial Statements'!D$10</f>
        <v>0</v>
      </c>
      <c r="E4" s="25">
        <f>'Financial Statements'!E4/'Financial Statements'!E$10</f>
        <v>0</v>
      </c>
      <c r="F4" s="25">
        <f>'Financial Statements'!F4/'Financial Statements'!F$10</f>
        <v>0</v>
      </c>
      <c r="G4" s="25">
        <f>'Financial Statements'!G4/'Financial Statements'!G$10</f>
        <v>0</v>
      </c>
      <c r="H4" s="25">
        <f>'Financial Statements'!H4/'Financial Statements'!H$10</f>
        <v>0</v>
      </c>
      <c r="I4" s="25">
        <f>'Financial Statements'!I4/'Financial Statements'!I$10</f>
        <v>0</v>
      </c>
      <c r="J4" s="25">
        <f>'Financial Statements'!J4/'Financial Statements'!J$10</f>
        <v>0</v>
      </c>
      <c r="K4" s="25">
        <f>'Financial Statements'!K4/'Financial Statements'!K$10</f>
        <v>0</v>
      </c>
      <c r="L4" s="25">
        <f>'Financial Statements'!L4/'Financial Statements'!L$10</f>
        <v>0</v>
      </c>
      <c r="M4" s="25">
        <f>'Financial Statements'!M4/'Financial Statements'!M$10</f>
        <v>0</v>
      </c>
    </row>
    <row r="5" spans="1:21" ht="12.75" customHeight="1" x14ac:dyDescent="0.2">
      <c r="A5" s="1" t="s">
        <v>158</v>
      </c>
      <c r="B5" s="25">
        <f>'Financial Statements'!B5/'Financial Statements'!B$10</f>
        <v>0</v>
      </c>
      <c r="C5" s="25">
        <f>'Financial Statements'!C5/'Financial Statements'!C$10</f>
        <v>0</v>
      </c>
      <c r="D5" s="25">
        <f>'Financial Statements'!D5/'Financial Statements'!D$10</f>
        <v>0</v>
      </c>
      <c r="E5" s="25">
        <f>'Financial Statements'!E5/'Financial Statements'!E$10</f>
        <v>0</v>
      </c>
      <c r="F5" s="25">
        <f>'Financial Statements'!F5/'Financial Statements'!F$10</f>
        <v>0</v>
      </c>
      <c r="G5" s="25">
        <f>'Financial Statements'!G5/'Financial Statements'!G$10</f>
        <v>0</v>
      </c>
      <c r="H5" s="25">
        <f>'Financial Statements'!H5/'Financial Statements'!H$10</f>
        <v>0</v>
      </c>
      <c r="I5" s="25">
        <f>'Financial Statements'!I5/'Financial Statements'!I$10</f>
        <v>0</v>
      </c>
      <c r="J5" s="25">
        <f>'Financial Statements'!J5/'Financial Statements'!J$10</f>
        <v>0</v>
      </c>
      <c r="K5" s="25">
        <f>'Financial Statements'!K5/'Financial Statements'!K$10</f>
        <v>0</v>
      </c>
      <c r="L5" s="25">
        <f>'Financial Statements'!L5/'Financial Statements'!L$10</f>
        <v>0</v>
      </c>
      <c r="M5" s="25">
        <f>'Financial Statements'!M5/'Financial Statements'!M$10</f>
        <v>0</v>
      </c>
    </row>
    <row r="6" spans="1:21" ht="12.75" customHeight="1" x14ac:dyDescent="0.2">
      <c r="A6" s="1" t="s">
        <v>276</v>
      </c>
      <c r="B6" s="25">
        <f>'Financial Statements'!B6/'Financial Statements'!B$10</f>
        <v>0</v>
      </c>
      <c r="C6" s="25">
        <f>'Financial Statements'!C6/'Financial Statements'!C$10</f>
        <v>0</v>
      </c>
      <c r="D6" s="25">
        <f>'Financial Statements'!D6/'Financial Statements'!D$10</f>
        <v>0</v>
      </c>
      <c r="E6" s="25">
        <f>'Financial Statements'!E6/'Financial Statements'!E$10</f>
        <v>0</v>
      </c>
      <c r="F6" s="25">
        <f>'Financial Statements'!F6/'Financial Statements'!F$10</f>
        <v>0</v>
      </c>
      <c r="G6" s="25">
        <f>'Financial Statements'!G6/'Financial Statements'!G$10</f>
        <v>0</v>
      </c>
      <c r="H6" s="25">
        <f>'Financial Statements'!H6/'Financial Statements'!H$10</f>
        <v>0</v>
      </c>
      <c r="I6" s="25">
        <f>'Financial Statements'!I6/'Financial Statements'!I$10</f>
        <v>0</v>
      </c>
      <c r="J6" s="25">
        <f>'Financial Statements'!J6/'Financial Statements'!J$10</f>
        <v>0</v>
      </c>
      <c r="K6" s="25">
        <f>'Financial Statements'!K6/'Financial Statements'!K$10</f>
        <v>0</v>
      </c>
      <c r="L6" s="25">
        <f>'Financial Statements'!L6/'Financial Statements'!L$10</f>
        <v>0</v>
      </c>
      <c r="M6" s="25">
        <f>'Financial Statements'!M6/'Financial Statements'!M$10</f>
        <v>0</v>
      </c>
    </row>
    <row r="7" spans="1:21" ht="12.75" customHeight="1" x14ac:dyDescent="0.2">
      <c r="A7" s="1" t="s">
        <v>277</v>
      </c>
      <c r="B7" s="25">
        <f>'Financial Statements'!B7/'Financial Statements'!B$10</f>
        <v>0</v>
      </c>
      <c r="C7" s="25">
        <f>'Financial Statements'!C7/'Financial Statements'!C$10</f>
        <v>0</v>
      </c>
      <c r="D7" s="25">
        <f>'Financial Statements'!D7/'Financial Statements'!D$10</f>
        <v>0</v>
      </c>
      <c r="E7" s="25">
        <f>'Financial Statements'!E7/'Financial Statements'!E$10</f>
        <v>0</v>
      </c>
      <c r="F7" s="25">
        <f>'Financial Statements'!F7/'Financial Statements'!F$10</f>
        <v>0</v>
      </c>
      <c r="G7" s="25">
        <f>'Financial Statements'!G7/'Financial Statements'!G$10</f>
        <v>0</v>
      </c>
      <c r="H7" s="25">
        <f>'Financial Statements'!H7/'Financial Statements'!H$10</f>
        <v>0</v>
      </c>
      <c r="I7" s="25">
        <f>'Financial Statements'!I7/'Financial Statements'!I$10</f>
        <v>0</v>
      </c>
      <c r="J7" s="25">
        <f>'Financial Statements'!J7/'Financial Statements'!J$10</f>
        <v>0</v>
      </c>
      <c r="K7" s="25">
        <f>'Financial Statements'!K7/'Financial Statements'!K$10</f>
        <v>0</v>
      </c>
      <c r="L7" s="25">
        <f>'Financial Statements'!L7/'Financial Statements'!L$10</f>
        <v>0</v>
      </c>
      <c r="M7" s="25">
        <f>'Financial Statements'!M7/'Financial Statements'!M$10</f>
        <v>0</v>
      </c>
    </row>
    <row r="8" spans="1:21" ht="12.75" customHeight="1" x14ac:dyDescent="0.2">
      <c r="A8" s="1" t="s">
        <v>159</v>
      </c>
      <c r="B8" s="25">
        <f>'Financial Statements'!B8/'Financial Statements'!B$10</f>
        <v>0</v>
      </c>
      <c r="C8" s="25">
        <f>'Financial Statements'!C8/'Financial Statements'!C$10</f>
        <v>0</v>
      </c>
      <c r="D8" s="25">
        <f>'Financial Statements'!D8/'Financial Statements'!D$10</f>
        <v>0</v>
      </c>
      <c r="E8" s="25">
        <f>'Financial Statements'!E8/'Financial Statements'!E$10</f>
        <v>0</v>
      </c>
      <c r="F8" s="25">
        <f>'Financial Statements'!F8/'Financial Statements'!F$10</f>
        <v>0</v>
      </c>
      <c r="G8" s="25">
        <f>'Financial Statements'!G8/'Financial Statements'!G$10</f>
        <v>0</v>
      </c>
      <c r="H8" s="25">
        <f>'Financial Statements'!H8/'Financial Statements'!H$10</f>
        <v>0</v>
      </c>
      <c r="I8" s="25">
        <f>'Financial Statements'!I8/'Financial Statements'!I$10</f>
        <v>0</v>
      </c>
      <c r="J8" s="25">
        <f>'Financial Statements'!J8/'Financial Statements'!J$10</f>
        <v>0</v>
      </c>
      <c r="K8" s="25">
        <f>'Financial Statements'!K8/'Financial Statements'!K$10</f>
        <v>0</v>
      </c>
      <c r="L8" s="25">
        <f>'Financial Statements'!L8/'Financial Statements'!L$10</f>
        <v>0</v>
      </c>
      <c r="M8" s="25">
        <f>'Financial Statements'!M8/'Financial Statements'!M$10</f>
        <v>0</v>
      </c>
    </row>
    <row r="9" spans="1:21" ht="12.75" customHeight="1" x14ac:dyDescent="0.2">
      <c r="A9" s="1" t="s">
        <v>123</v>
      </c>
      <c r="B9" s="25">
        <f>'Financial Statements'!B9/'Financial Statements'!B$10</f>
        <v>0</v>
      </c>
      <c r="C9" s="25">
        <f>'Financial Statements'!C9/'Financial Statements'!C$10</f>
        <v>0</v>
      </c>
      <c r="D9" s="25">
        <f>'Financial Statements'!D9/'Financial Statements'!D$10</f>
        <v>0</v>
      </c>
      <c r="E9" s="25">
        <f>'Financial Statements'!E9/'Financial Statements'!E$10</f>
        <v>0</v>
      </c>
      <c r="F9" s="25">
        <f>'Financial Statements'!F9/'Financial Statements'!F$10</f>
        <v>0</v>
      </c>
      <c r="G9" s="25">
        <f>'Financial Statements'!G9/'Financial Statements'!G$10</f>
        <v>0</v>
      </c>
      <c r="H9" s="25">
        <f>'Financial Statements'!H9/'Financial Statements'!H$10</f>
        <v>0</v>
      </c>
      <c r="I9" s="25">
        <f>'Financial Statements'!I9/'Financial Statements'!I$10</f>
        <v>0</v>
      </c>
      <c r="J9" s="25">
        <f>'Financial Statements'!J9/'Financial Statements'!J$10</f>
        <v>0</v>
      </c>
      <c r="K9" s="25">
        <f>'Financial Statements'!K9/'Financial Statements'!K$10</f>
        <v>0</v>
      </c>
      <c r="L9" s="25">
        <f>'Financial Statements'!L9/'Financial Statements'!L$10</f>
        <v>0</v>
      </c>
      <c r="M9" s="25">
        <f>'Financial Statements'!M9/'Financial Statements'!M$10</f>
        <v>0</v>
      </c>
    </row>
    <row r="10" spans="1:21" ht="12.75" customHeight="1" x14ac:dyDescent="0.2">
      <c r="A10" s="5" t="s">
        <v>58</v>
      </c>
      <c r="B10" s="26">
        <f>'Financial Statements'!B10/'Financial Statements'!B$10</f>
        <v>1</v>
      </c>
      <c r="C10" s="26">
        <f>'Financial Statements'!C10/'Financial Statements'!C$10</f>
        <v>1</v>
      </c>
      <c r="D10" s="26">
        <f>'Financial Statements'!D10/'Financial Statements'!D$10</f>
        <v>1</v>
      </c>
      <c r="E10" s="26">
        <f>'Financial Statements'!E10/'Financial Statements'!E$10</f>
        <v>1</v>
      </c>
      <c r="F10" s="26">
        <f>'Financial Statements'!F10/'Financial Statements'!F$10</f>
        <v>1</v>
      </c>
      <c r="G10" s="26">
        <f>'Financial Statements'!G10/'Financial Statements'!G$10</f>
        <v>1</v>
      </c>
      <c r="H10" s="26">
        <f>'Financial Statements'!H10/'Financial Statements'!H$10</f>
        <v>1</v>
      </c>
      <c r="I10" s="26">
        <f>'Financial Statements'!I10/'Financial Statements'!I$10</f>
        <v>1</v>
      </c>
      <c r="J10" s="26">
        <f>'Financial Statements'!J10/'Financial Statements'!J$10</f>
        <v>1</v>
      </c>
      <c r="K10" s="26">
        <f>'Financial Statements'!K10/'Financial Statements'!K$10</f>
        <v>1</v>
      </c>
      <c r="L10" s="26">
        <f>'Financial Statements'!L10/'Financial Statements'!L$10</f>
        <v>1</v>
      </c>
      <c r="M10" s="26">
        <f>'Financial Statements'!M10/'Financial Statements'!M$10</f>
        <v>1</v>
      </c>
    </row>
    <row r="11" spans="1:21" ht="12.75" customHeight="1" x14ac:dyDescent="0.2">
      <c r="A11" s="1" t="s">
        <v>124</v>
      </c>
      <c r="B11" s="25">
        <f>'Financial Statements'!B11/'Financial Statements'!B$10</f>
        <v>0.7571785758022308</v>
      </c>
      <c r="C11" s="25">
        <f>'Financial Statements'!C11/'Financial Statements'!C$10</f>
        <v>0.76250948663144502</v>
      </c>
      <c r="D11" s="25">
        <f>'Financial Statements'!D11/'Financial Statements'!D$10</f>
        <v>0.76651858097152858</v>
      </c>
      <c r="E11" s="25">
        <f>'Financial Statements'!E11/'Financial Statements'!E$10</f>
        <v>0.76150086880487089</v>
      </c>
      <c r="F11" s="25">
        <f>'Financial Statements'!F11/'Financial Statements'!F$10</f>
        <v>0.76067978940065839</v>
      </c>
      <c r="G11" s="25">
        <f>'Financial Statements'!G11/'Financial Statements'!G$10</f>
        <v>0.76135197910964558</v>
      </c>
      <c r="H11" s="25">
        <f>'Financial Statements'!H11/'Financial Statements'!H$10</f>
        <v>0.76207719071702706</v>
      </c>
      <c r="I11" s="25">
        <f>'Financial Statements'!I11/'Financial Statements'!I$10</f>
        <v>0.76833351333837352</v>
      </c>
      <c r="J11" s="25">
        <f>'Financial Statements'!J11/'Financial Statements'!J$10</f>
        <v>0.76936784843368977</v>
      </c>
      <c r="K11" s="25">
        <f>'Financial Statements'!K11/'Financial Statements'!K$10</f>
        <v>0.7678631051752921</v>
      </c>
      <c r="L11" s="25">
        <f>'Financial Statements'!L11/'Financial Statements'!L$10</f>
        <v>0.77641080502808235</v>
      </c>
      <c r="M11" s="25">
        <f>'Financial Statements'!M11/'Financial Statements'!M$10</f>
        <v>0.77641080502808235</v>
      </c>
    </row>
    <row r="12" spans="1:21" ht="12.75" customHeight="1" x14ac:dyDescent="0.2">
      <c r="A12" s="1" t="s">
        <v>160</v>
      </c>
      <c r="B12" s="25">
        <f>'Financial Statements'!B12/'Financial Statements'!B$10</f>
        <v>0</v>
      </c>
      <c r="C12" s="25">
        <f>'Financial Statements'!C12/'Financial Statements'!C$10</f>
        <v>0</v>
      </c>
      <c r="D12" s="25">
        <f>'Financial Statements'!D12/'Financial Statements'!D$10</f>
        <v>0</v>
      </c>
      <c r="E12" s="25">
        <f>'Financial Statements'!E12/'Financial Statements'!E$10</f>
        <v>0</v>
      </c>
      <c r="F12" s="25">
        <f>'Financial Statements'!F12/'Financial Statements'!F$10</f>
        <v>0</v>
      </c>
      <c r="G12" s="25">
        <f>'Financial Statements'!G12/'Financial Statements'!G$10</f>
        <v>0</v>
      </c>
      <c r="H12" s="25">
        <f>'Financial Statements'!H12/'Financial Statements'!H$10</f>
        <v>0</v>
      </c>
      <c r="I12" s="25">
        <f>'Financial Statements'!I12/'Financial Statements'!I$10</f>
        <v>0</v>
      </c>
      <c r="J12" s="25">
        <f>'Financial Statements'!J12/'Financial Statements'!J$10</f>
        <v>0</v>
      </c>
      <c r="K12" s="25">
        <f>'Financial Statements'!K12/'Financial Statements'!K$10</f>
        <v>0</v>
      </c>
      <c r="L12" s="25">
        <f>'Financial Statements'!L12/'Financial Statements'!L$10</f>
        <v>0</v>
      </c>
      <c r="M12" s="25">
        <f>'Financial Statements'!M12/'Financial Statements'!M$10</f>
        <v>0</v>
      </c>
    </row>
    <row r="13" spans="1:21" ht="12.75" customHeight="1" x14ac:dyDescent="0.2">
      <c r="A13" s="1" t="s">
        <v>161</v>
      </c>
      <c r="B13" s="25">
        <f>'Financial Statements'!B13/'Financial Statements'!B$10</f>
        <v>0</v>
      </c>
      <c r="C13" s="25">
        <f>'Financial Statements'!C13/'Financial Statements'!C$10</f>
        <v>0</v>
      </c>
      <c r="D13" s="25">
        <f>'Financial Statements'!D13/'Financial Statements'!D$10</f>
        <v>0</v>
      </c>
      <c r="E13" s="25">
        <f>'Financial Statements'!E13/'Financial Statements'!E$10</f>
        <v>0</v>
      </c>
      <c r="F13" s="25">
        <f>'Financial Statements'!F13/'Financial Statements'!F$10</f>
        <v>0</v>
      </c>
      <c r="G13" s="25">
        <f>'Financial Statements'!G13/'Financial Statements'!G$10</f>
        <v>0</v>
      </c>
      <c r="H13" s="25">
        <f>'Financial Statements'!H13/'Financial Statements'!H$10</f>
        <v>0</v>
      </c>
      <c r="I13" s="25">
        <f>'Financial Statements'!I13/'Financial Statements'!I$10</f>
        <v>0</v>
      </c>
      <c r="J13" s="25">
        <f>'Financial Statements'!J13/'Financial Statements'!J$10</f>
        <v>0</v>
      </c>
      <c r="K13" s="25">
        <f>'Financial Statements'!K13/'Financial Statements'!K$10</f>
        <v>0</v>
      </c>
      <c r="L13" s="25">
        <f>'Financial Statements'!L13/'Financial Statements'!L$10</f>
        <v>0</v>
      </c>
      <c r="M13" s="25">
        <f>'Financial Statements'!M13/'Financial Statements'!M$10</f>
        <v>0</v>
      </c>
    </row>
    <row r="14" spans="1:21" ht="12.75" customHeight="1" x14ac:dyDescent="0.2">
      <c r="A14" s="1" t="s">
        <v>162</v>
      </c>
      <c r="B14" s="25">
        <f>'Financial Statements'!B14/'Financial Statements'!B$10</f>
        <v>0</v>
      </c>
      <c r="C14" s="25">
        <f>'Financial Statements'!C14/'Financial Statements'!C$10</f>
        <v>0</v>
      </c>
      <c r="D14" s="25">
        <f>'Financial Statements'!D14/'Financial Statements'!D$10</f>
        <v>0</v>
      </c>
      <c r="E14" s="25">
        <f>'Financial Statements'!E14/'Financial Statements'!E$10</f>
        <v>0</v>
      </c>
      <c r="F14" s="25">
        <f>'Financial Statements'!F14/'Financial Statements'!F$10</f>
        <v>0</v>
      </c>
      <c r="G14" s="25">
        <f>'Financial Statements'!G14/'Financial Statements'!G$10</f>
        <v>0</v>
      </c>
      <c r="H14" s="25">
        <f>'Financial Statements'!H14/'Financial Statements'!H$10</f>
        <v>0</v>
      </c>
      <c r="I14" s="25">
        <f>'Financial Statements'!I14/'Financial Statements'!I$10</f>
        <v>0</v>
      </c>
      <c r="J14" s="25">
        <f>'Financial Statements'!J14/'Financial Statements'!J$10</f>
        <v>0</v>
      </c>
      <c r="K14" s="25">
        <f>'Financial Statements'!K14/'Financial Statements'!K$10</f>
        <v>0</v>
      </c>
      <c r="L14" s="25">
        <f>'Financial Statements'!L14/'Financial Statements'!L$10</f>
        <v>0</v>
      </c>
      <c r="M14" s="25">
        <f>'Financial Statements'!M14/'Financial Statements'!M$10</f>
        <v>0</v>
      </c>
    </row>
    <row r="15" spans="1:21" ht="12.75" customHeight="1" x14ac:dyDescent="0.2">
      <c r="A15" s="5" t="s">
        <v>53</v>
      </c>
      <c r="B15" s="26">
        <f>'Financial Statements'!B15/'Financial Statements'!B$10</f>
        <v>0.24282142419776909</v>
      </c>
      <c r="C15" s="26">
        <f>'Financial Statements'!C15/'Financial Statements'!C$10</f>
        <v>0.23749051336855503</v>
      </c>
      <c r="D15" s="26">
        <f>'Financial Statements'!D15/'Financial Statements'!D$10</f>
        <v>0.23348141902847136</v>
      </c>
      <c r="E15" s="26">
        <f>'Financial Statements'!E15/'Financial Statements'!E$10</f>
        <v>0.23849913119512911</v>
      </c>
      <c r="F15" s="26">
        <f>'Financial Statements'!F15/'Financial Statements'!F$10</f>
        <v>0.23932021059934155</v>
      </c>
      <c r="G15" s="26">
        <f>'Financial Statements'!G15/'Financial Statements'!G$10</f>
        <v>0.23864802089035439</v>
      </c>
      <c r="H15" s="26">
        <f>'Financial Statements'!H15/'Financial Statements'!H$10</f>
        <v>0.23792280928297282</v>
      </c>
      <c r="I15" s="26">
        <f>'Financial Statements'!I15/'Financial Statements'!I$10</f>
        <v>0.23166648666162654</v>
      </c>
      <c r="J15" s="26">
        <f>'Financial Statements'!J15/'Financial Statements'!J$10</f>
        <v>0.23063215156631026</v>
      </c>
      <c r="K15" s="26">
        <f>'Financial Statements'!K15/'Financial Statements'!K$10</f>
        <v>0.23213689482470784</v>
      </c>
      <c r="L15" s="26">
        <f>'Financial Statements'!L15/'Financial Statements'!L$10</f>
        <v>0.22358919497191762</v>
      </c>
      <c r="M15" s="26">
        <f>'Financial Statements'!M15/'Financial Statements'!M$10</f>
        <v>0.22358919497191762</v>
      </c>
    </row>
    <row r="16" spans="1:21" ht="12.75" customHeight="1" x14ac:dyDescent="0.2">
      <c r="A16" s="1" t="s">
        <v>125</v>
      </c>
      <c r="B16" s="25">
        <f>'Financial Statements'!B16/'Financial Statements'!B$10</f>
        <v>0.14919498503257095</v>
      </c>
      <c r="C16" s="25">
        <f>'Financial Statements'!C16/'Financial Statements'!C$10</f>
        <v>0.14083419700624375</v>
      </c>
      <c r="D16" s="25">
        <f>'Financial Statements'!D16/'Financial Statements'!D$10</f>
        <v>0.13989558337116545</v>
      </c>
      <c r="E16" s="25">
        <f>'Financial Statements'!E16/'Financial Statements'!E$10</f>
        <v>0.13949445684741896</v>
      </c>
      <c r="F16" s="25">
        <f>'Financial Statements'!F16/'Financial Statements'!F$10</f>
        <v>0.13944884410051073</v>
      </c>
      <c r="G16" s="25">
        <f>'Financial Statements'!G16/'Financial Statements'!G$10</f>
        <v>0.13246967974553303</v>
      </c>
      <c r="H16" s="25">
        <f>'Financial Statements'!H16/'Financial Statements'!H$10</f>
        <v>0.13905926802730847</v>
      </c>
      <c r="I16" s="25">
        <f>'Financial Statements'!I16/'Financial Statements'!I$10</f>
        <v>0.12625553515498433</v>
      </c>
      <c r="J16" s="25">
        <f>'Financial Statements'!J16/'Financial Statements'!J$10</f>
        <v>0.11911461264303133</v>
      </c>
      <c r="K16" s="25">
        <f>'Financial Statements'!K16/'Financial Statements'!K$10</f>
        <v>0.11702838063439065</v>
      </c>
      <c r="L16" s="25">
        <f>'Financial Statements'!L16/'Financial Statements'!L$10</f>
        <v>0.11143799589908175</v>
      </c>
      <c r="M16" s="25">
        <f>'Financial Statements'!M16/'Financial Statements'!M$10</f>
        <v>0.11143799589908175</v>
      </c>
    </row>
    <row r="17" spans="1:13" ht="12.75" customHeight="1" x14ac:dyDescent="0.2">
      <c r="A17" s="1" t="s">
        <v>209</v>
      </c>
      <c r="B17" s="25">
        <f>'Financial Statements'!B17/'Financial Statements'!B$10</f>
        <v>0</v>
      </c>
      <c r="C17" s="25">
        <f>'Financial Statements'!C17/'Financial Statements'!C$10</f>
        <v>0</v>
      </c>
      <c r="D17" s="25">
        <f>'Financial Statements'!D17/'Financial Statements'!D$10</f>
        <v>0</v>
      </c>
      <c r="E17" s="25">
        <f>'Financial Statements'!E17/'Financial Statements'!E$10</f>
        <v>0</v>
      </c>
      <c r="F17" s="25">
        <f>'Financial Statements'!F17/'Financial Statements'!F$10</f>
        <v>0</v>
      </c>
      <c r="G17" s="25">
        <f>'Financial Statements'!G17/'Financial Statements'!G$10</f>
        <v>0</v>
      </c>
      <c r="H17" s="25">
        <f>'Financial Statements'!H17/'Financial Statements'!H$10</f>
        <v>0</v>
      </c>
      <c r="I17" s="25">
        <f>'Financial Statements'!I17/'Financial Statements'!I$10</f>
        <v>0</v>
      </c>
      <c r="J17" s="25">
        <f>'Financial Statements'!J17/'Financial Statements'!J$10</f>
        <v>0</v>
      </c>
      <c r="K17" s="25">
        <f>'Financial Statements'!K17/'Financial Statements'!K$10</f>
        <v>0</v>
      </c>
      <c r="L17" s="25">
        <f>'Financial Statements'!L17/'Financial Statements'!L$10</f>
        <v>0</v>
      </c>
      <c r="M17" s="25">
        <f>'Financial Statements'!M17/'Financial Statements'!M$10</f>
        <v>0</v>
      </c>
    </row>
    <row r="18" spans="1:13" ht="12.75" customHeight="1" x14ac:dyDescent="0.2">
      <c r="A18" s="1" t="s">
        <v>210</v>
      </c>
      <c r="B18" s="25">
        <f>'Financial Statements'!B18/'Financial Statements'!B$10</f>
        <v>0</v>
      </c>
      <c r="C18" s="25">
        <f>'Financial Statements'!C18/'Financial Statements'!C$10</f>
        <v>0</v>
      </c>
      <c r="D18" s="25">
        <f>'Financial Statements'!D18/'Financial Statements'!D$10</f>
        <v>0</v>
      </c>
      <c r="E18" s="25">
        <f>'Financial Statements'!E18/'Financial Statements'!E$10</f>
        <v>0</v>
      </c>
      <c r="F18" s="25">
        <f>'Financial Statements'!F18/'Financial Statements'!F$10</f>
        <v>0</v>
      </c>
      <c r="G18" s="25">
        <f>'Financial Statements'!G18/'Financial Statements'!G$10</f>
        <v>0</v>
      </c>
      <c r="H18" s="25">
        <f>'Financial Statements'!H18/'Financial Statements'!H$10</f>
        <v>0</v>
      </c>
      <c r="I18" s="25">
        <f>'Financial Statements'!I18/'Financial Statements'!I$10</f>
        <v>0</v>
      </c>
      <c r="J18" s="25">
        <f>'Financial Statements'!J18/'Financial Statements'!J$10</f>
        <v>0</v>
      </c>
      <c r="K18" s="25">
        <f>'Financial Statements'!K18/'Financial Statements'!K$10</f>
        <v>0</v>
      </c>
      <c r="L18" s="25">
        <f>'Financial Statements'!L18/'Financial Statements'!L$10</f>
        <v>0</v>
      </c>
      <c r="M18" s="25">
        <f>'Financial Statements'!M18/'Financial Statements'!M$10</f>
        <v>0</v>
      </c>
    </row>
    <row r="19" spans="1:13" ht="12.75" customHeight="1" x14ac:dyDescent="0.2">
      <c r="A19" s="1" t="s">
        <v>203</v>
      </c>
      <c r="B19" s="25">
        <f>'Financial Statements'!B19/'Financial Statements'!B$10</f>
        <v>0</v>
      </c>
      <c r="C19" s="25">
        <f>'Financial Statements'!C19/'Financial Statements'!C$10</f>
        <v>0</v>
      </c>
      <c r="D19" s="25">
        <f>'Financial Statements'!D19/'Financial Statements'!D$10</f>
        <v>0</v>
      </c>
      <c r="E19" s="25">
        <f>'Financial Statements'!E19/'Financial Statements'!E$10</f>
        <v>0</v>
      </c>
      <c r="F19" s="25">
        <f>'Financial Statements'!F19/'Financial Statements'!F$10</f>
        <v>0</v>
      </c>
      <c r="G19" s="25">
        <f>'Financial Statements'!G19/'Financial Statements'!G$10</f>
        <v>0</v>
      </c>
      <c r="H19" s="25">
        <f>'Financial Statements'!H19/'Financial Statements'!H$10</f>
        <v>0</v>
      </c>
      <c r="I19" s="25">
        <f>'Financial Statements'!I19/'Financial Statements'!I$10</f>
        <v>0</v>
      </c>
      <c r="J19" s="25">
        <f>'Financial Statements'!J19/'Financial Statements'!J$10</f>
        <v>0</v>
      </c>
      <c r="K19" s="25">
        <f>'Financial Statements'!K19/'Financial Statements'!K$10</f>
        <v>0</v>
      </c>
      <c r="L19" s="25">
        <f>'Financial Statements'!L19/'Financial Statements'!L$10</f>
        <v>0</v>
      </c>
      <c r="M19" s="25">
        <f>'Financial Statements'!M19/'Financial Statements'!M$10</f>
        <v>0</v>
      </c>
    </row>
    <row r="20" spans="1:13" ht="12.75" customHeight="1" x14ac:dyDescent="0.2">
      <c r="A20" s="1" t="s">
        <v>211</v>
      </c>
      <c r="B20" s="25">
        <f>'Financial Statements'!B20/'Financial Statements'!B$10</f>
        <v>0</v>
      </c>
      <c r="C20" s="25">
        <f>'Financial Statements'!C20/'Financial Statements'!C$10</f>
        <v>0</v>
      </c>
      <c r="D20" s="25">
        <f>'Financial Statements'!D20/'Financial Statements'!D$10</f>
        <v>0</v>
      </c>
      <c r="E20" s="25">
        <f>'Financial Statements'!E20/'Financial Statements'!E$10</f>
        <v>0</v>
      </c>
      <c r="F20" s="25">
        <f>'Financial Statements'!F20/'Financial Statements'!F$10</f>
        <v>0</v>
      </c>
      <c r="G20" s="25">
        <f>'Financial Statements'!G20/'Financial Statements'!G$10</f>
        <v>0</v>
      </c>
      <c r="H20" s="25">
        <f>'Financial Statements'!H20/'Financial Statements'!H$10</f>
        <v>0</v>
      </c>
      <c r="I20" s="25">
        <f>'Financial Statements'!I20/'Financial Statements'!I$10</f>
        <v>0</v>
      </c>
      <c r="J20" s="25">
        <f>'Financial Statements'!J20/'Financial Statements'!J$10</f>
        <v>0</v>
      </c>
      <c r="K20" s="25">
        <f>'Financial Statements'!K20/'Financial Statements'!K$10</f>
        <v>0</v>
      </c>
      <c r="L20" s="25">
        <f>'Financial Statements'!L20/'Financial Statements'!L$10</f>
        <v>0</v>
      </c>
      <c r="M20" s="25">
        <f>'Financial Statements'!M20/'Financial Statements'!M$10</f>
        <v>0</v>
      </c>
    </row>
    <row r="21" spans="1:13" ht="12.75" customHeight="1" x14ac:dyDescent="0.2">
      <c r="A21" s="1" t="s">
        <v>59</v>
      </c>
      <c r="B21" s="25">
        <f>'Financial Statements'!B21/'Financial Statements'!B$10</f>
        <v>0</v>
      </c>
      <c r="C21" s="25">
        <f>'Financial Statements'!C21/'Financial Statements'!C$10</f>
        <v>0</v>
      </c>
      <c r="D21" s="25">
        <f>'Financial Statements'!D21/'Financial Statements'!D$10</f>
        <v>0</v>
      </c>
      <c r="E21" s="25">
        <f>'Financial Statements'!E21/'Financial Statements'!E$10</f>
        <v>0</v>
      </c>
      <c r="F21" s="25">
        <f>'Financial Statements'!F21/'Financial Statements'!F$10</f>
        <v>0</v>
      </c>
      <c r="G21" s="25">
        <f>'Financial Statements'!G21/'Financial Statements'!G$10</f>
        <v>0</v>
      </c>
      <c r="H21" s="25">
        <f>'Financial Statements'!H21/'Financial Statements'!H$10</f>
        <v>0</v>
      </c>
      <c r="I21" s="25">
        <f>'Financial Statements'!I21/'Financial Statements'!I$10</f>
        <v>0</v>
      </c>
      <c r="J21" s="25">
        <f>'Financial Statements'!J21/'Financial Statements'!J$10</f>
        <v>0</v>
      </c>
      <c r="K21" s="25">
        <f>'Financial Statements'!K21/'Financial Statements'!K$10</f>
        <v>0</v>
      </c>
      <c r="L21" s="25">
        <f>'Financial Statements'!L21/'Financial Statements'!L$10</f>
        <v>0</v>
      </c>
      <c r="M21" s="25">
        <f>'Financial Statements'!M21/'Financial Statements'!M$10</f>
        <v>0</v>
      </c>
    </row>
    <row r="22" spans="1:13" ht="12.75" customHeight="1" x14ac:dyDescent="0.2">
      <c r="A22" s="1" t="s">
        <v>126</v>
      </c>
      <c r="B22" s="25">
        <f>'Financial Statements'!B22/'Financial Statements'!B$10</f>
        <v>1.1383459575732304E-2</v>
      </c>
      <c r="C22" s="25">
        <f>'Financial Statements'!C22/'Financial Statements'!C$10</f>
        <v>1.0249434933284172E-2</v>
      </c>
      <c r="D22" s="25">
        <f>'Financial Statements'!D22/'Financial Statements'!D$10</f>
        <v>1.0499383877034826E-2</v>
      </c>
      <c r="E22" s="25">
        <f>'Financial Statements'!E22/'Financial Statements'!E$10</f>
        <v>1.0228911326115891E-2</v>
      </c>
      <c r="F22" s="25">
        <f>'Financial Statements'!F22/'Financial Statements'!F$10</f>
        <v>1.0863173532233605E-2</v>
      </c>
      <c r="G22" s="25">
        <f>'Financial Statements'!G22/'Financial Statements'!G$10</f>
        <v>1.0728548819191601E-2</v>
      </c>
      <c r="H22" s="25">
        <f>'Financial Statements'!H22/'Financial Statements'!H$10</f>
        <v>1.7426139148941259E-2</v>
      </c>
      <c r="I22" s="25">
        <f>'Financial Statements'!I22/'Financial Statements'!I$10</f>
        <v>1.7820498973971272E-2</v>
      </c>
      <c r="J22" s="25">
        <f>'Financial Statements'!J22/'Financial Statements'!J$10</f>
        <v>1.5381729506659163E-2</v>
      </c>
      <c r="K22" s="25">
        <f>'Financial Statements'!K22/'Financial Statements'!K$10</f>
        <v>1.3772954924874792E-2</v>
      </c>
      <c r="L22" s="25">
        <f>'Financial Statements'!L22/'Financial Statements'!L$10</f>
        <v>1.4531514665240261E-2</v>
      </c>
      <c r="M22" s="25">
        <f>'Financial Statements'!M22/'Financial Statements'!M$10</f>
        <v>1.4531514665240261E-2</v>
      </c>
    </row>
    <row r="23" spans="1:13" ht="12.75" customHeight="1" x14ac:dyDescent="0.2">
      <c r="A23" s="1" t="s">
        <v>141</v>
      </c>
      <c r="B23" s="25">
        <f>'Financial Statements'!B23/'Financial Statements'!B$10</f>
        <v>0</v>
      </c>
      <c r="C23" s="25">
        <f>'Financial Statements'!C23/'Financial Statements'!C$10</f>
        <v>0</v>
      </c>
      <c r="D23" s="25">
        <f>'Financial Statements'!D23/'Financial Statements'!D$10</f>
        <v>0</v>
      </c>
      <c r="E23" s="25">
        <f>'Financial Statements'!E23/'Financial Statements'!E$10</f>
        <v>0</v>
      </c>
      <c r="F23" s="25">
        <f>'Financial Statements'!F23/'Financial Statements'!F$10</f>
        <v>0</v>
      </c>
      <c r="G23" s="25">
        <f>'Financial Statements'!G23/'Financial Statements'!G$10</f>
        <v>0</v>
      </c>
      <c r="H23" s="25">
        <f>'Financial Statements'!H23/'Financial Statements'!H$10</f>
        <v>0</v>
      </c>
      <c r="I23" s="25">
        <f>'Financial Statements'!I23/'Financial Statements'!I$10</f>
        <v>0</v>
      </c>
      <c r="J23" s="25">
        <f>'Financial Statements'!J23/'Financial Statements'!J$10</f>
        <v>0</v>
      </c>
      <c r="K23" s="25">
        <f>'Financial Statements'!K23/'Financial Statements'!K$10</f>
        <v>0</v>
      </c>
      <c r="L23" s="25">
        <f>'Financial Statements'!L23/'Financial Statements'!L$10</f>
        <v>0</v>
      </c>
      <c r="M23" s="25">
        <f>'Financial Statements'!M23/'Financial Statements'!M$10</f>
        <v>0</v>
      </c>
    </row>
    <row r="24" spans="1:13" ht="12.75" customHeight="1" x14ac:dyDescent="0.2">
      <c r="A24" s="1" t="s">
        <v>197</v>
      </c>
      <c r="B24" s="25">
        <f>'Financial Statements'!B24/'Financial Statements'!B$10</f>
        <v>0</v>
      </c>
      <c r="C24" s="25">
        <f>'Financial Statements'!C24/'Financial Statements'!C$10</f>
        <v>0</v>
      </c>
      <c r="D24" s="25">
        <f>'Financial Statements'!D24/'Financial Statements'!D$10</f>
        <v>0</v>
      </c>
      <c r="E24" s="25">
        <f>'Financial Statements'!E24/'Financial Statements'!E$10</f>
        <v>0</v>
      </c>
      <c r="F24" s="25">
        <f>'Financial Statements'!F24/'Financial Statements'!F$10</f>
        <v>0</v>
      </c>
      <c r="G24" s="25">
        <f>'Financial Statements'!G24/'Financial Statements'!G$10</f>
        <v>0</v>
      </c>
      <c r="H24" s="25">
        <f>'Financial Statements'!H24/'Financial Statements'!H$10</f>
        <v>0</v>
      </c>
      <c r="I24" s="25">
        <f>'Financial Statements'!I24/'Financial Statements'!I$10</f>
        <v>0</v>
      </c>
      <c r="J24" s="25">
        <f>'Financial Statements'!J24/'Financial Statements'!J$10</f>
        <v>0</v>
      </c>
      <c r="K24" s="25">
        <f>'Financial Statements'!K24/'Financial Statements'!K$10</f>
        <v>0</v>
      </c>
      <c r="L24" s="25">
        <f>'Financial Statements'!L24/'Financial Statements'!L$10</f>
        <v>0</v>
      </c>
      <c r="M24" s="25">
        <f>'Financial Statements'!M24/'Financial Statements'!M$10</f>
        <v>0</v>
      </c>
    </row>
    <row r="25" spans="1:13" ht="12.75" customHeight="1" x14ac:dyDescent="0.2">
      <c r="A25" s="1" t="s">
        <v>61</v>
      </c>
      <c r="B25" s="27">
        <f>'Financial Statements'!B25/'Financial Statements'!B$10</f>
        <v>0</v>
      </c>
      <c r="C25" s="27">
        <f>'Financial Statements'!C25/'Financial Statements'!C$10</f>
        <v>0</v>
      </c>
      <c r="D25" s="27">
        <f>'Financial Statements'!D25/'Financial Statements'!D$10</f>
        <v>0</v>
      </c>
      <c r="E25" s="27">
        <f>'Financial Statements'!E25/'Financial Statements'!E$10</f>
        <v>0</v>
      </c>
      <c r="F25" s="27">
        <f>'Financial Statements'!F25/'Financial Statements'!F$10</f>
        <v>0</v>
      </c>
      <c r="G25" s="27">
        <f>'Financial Statements'!G25/'Financial Statements'!G$10</f>
        <v>0</v>
      </c>
      <c r="H25" s="27">
        <f>'Financial Statements'!H25/'Financial Statements'!H$10</f>
        <v>0</v>
      </c>
      <c r="I25" s="27">
        <f>'Financial Statements'!I25/'Financial Statements'!I$10</f>
        <v>0</v>
      </c>
      <c r="J25" s="27">
        <f>'Financial Statements'!J25/'Financial Statements'!J$10</f>
        <v>0</v>
      </c>
      <c r="K25" s="27">
        <f>'Financial Statements'!K25/'Financial Statements'!K$10</f>
        <v>0</v>
      </c>
      <c r="L25" s="27">
        <f>'Financial Statements'!L25/'Financial Statements'!L$10</f>
        <v>0</v>
      </c>
      <c r="M25" s="27">
        <f>'Financial Statements'!M25/'Financial Statements'!M$10</f>
        <v>0</v>
      </c>
    </row>
    <row r="26" spans="1:13" ht="12.75" customHeight="1" x14ac:dyDescent="0.2">
      <c r="A26" s="5" t="s">
        <v>62</v>
      </c>
      <c r="B26" s="28">
        <f>'Financial Statements'!B26/'Financial Statements'!B$10</f>
        <v>0.16057844460830323</v>
      </c>
      <c r="C26" s="28">
        <f>'Financial Statements'!C26/'Financial Statements'!C$10</f>
        <v>0.15108363193952792</v>
      </c>
      <c r="D26" s="28">
        <f>'Financial Statements'!D26/'Financial Statements'!D$10</f>
        <v>0.15039496724820026</v>
      </c>
      <c r="E26" s="28">
        <f>'Financial Statements'!E26/'Financial Statements'!E$10</f>
        <v>0.14972336817353482</v>
      </c>
      <c r="F26" s="28">
        <f>'Financial Statements'!F26/'Financial Statements'!F$10</f>
        <v>0.15031201763274432</v>
      </c>
      <c r="G26" s="28">
        <f>'Financial Statements'!G26/'Financial Statements'!G$10</f>
        <v>0.14319822856472464</v>
      </c>
      <c r="H26" s="28">
        <f>'Financial Statements'!H26/'Financial Statements'!H$10</f>
        <v>0.15648540717624973</v>
      </c>
      <c r="I26" s="28">
        <f>'Financial Statements'!I26/'Financial Statements'!I$10</f>
        <v>0.14407603412895562</v>
      </c>
      <c r="J26" s="28">
        <f>'Financial Statements'!J26/'Financial Statements'!J$10</f>
        <v>0.1344963421496905</v>
      </c>
      <c r="K26" s="28">
        <f>'Financial Statements'!K26/'Financial Statements'!K$10</f>
        <v>0.13080133555926543</v>
      </c>
      <c r="L26" s="28">
        <f>'Financial Statements'!L26/'Financial Statements'!L$10</f>
        <v>0.12596951056432201</v>
      </c>
      <c r="M26" s="28">
        <f>'Financial Statements'!M26/'Financial Statements'!M$10</f>
        <v>0.12596951056432201</v>
      </c>
    </row>
    <row r="27" spans="1:13" ht="12.75" customHeight="1" thickBot="1" x14ac:dyDescent="0.25">
      <c r="A27" s="5" t="s">
        <v>63</v>
      </c>
      <c r="B27" s="29">
        <f>'Financial Statements'!B27/'Financial Statements'!B$10</f>
        <v>8.2242979589465859E-2</v>
      </c>
      <c r="C27" s="29">
        <f>'Financial Statements'!C27/'Financial Statements'!C$10</f>
        <v>8.6406881429027096E-2</v>
      </c>
      <c r="D27" s="29">
        <f>'Financial Statements'!D27/'Financial Statements'!D$10</f>
        <v>8.3086451780271089E-2</v>
      </c>
      <c r="E27" s="29">
        <f>'Financial Statements'!E27/'Financial Statements'!E$10</f>
        <v>8.8775763021594289E-2</v>
      </c>
      <c r="F27" s="29">
        <f>'Financial Statements'!F27/'Financial Statements'!F$10</f>
        <v>8.9008192966597219E-2</v>
      </c>
      <c r="G27" s="29">
        <f>'Financial Statements'!G27/'Financial Statements'!G$10</f>
        <v>9.5449792325629751E-2</v>
      </c>
      <c r="H27" s="29">
        <f>'Financial Statements'!H27/'Financial Statements'!H$10</f>
        <v>8.1437402106723095E-2</v>
      </c>
      <c r="I27" s="29">
        <f>'Financial Statements'!I27/'Financial Statements'!I$10</f>
        <v>8.759045253267092E-2</v>
      </c>
      <c r="J27" s="29">
        <f>'Financial Statements'!J27/'Financial Statements'!J$10</f>
        <v>9.6135809416619769E-2</v>
      </c>
      <c r="K27" s="29">
        <f>'Financial Statements'!K27/'Financial Statements'!K$10</f>
        <v>0.10133555926544241</v>
      </c>
      <c r="L27" s="29">
        <f>'Financial Statements'!L27/'Financial Statements'!L$10</f>
        <v>9.7619684407595608E-2</v>
      </c>
      <c r="M27" s="29">
        <f>'Financial Statements'!M27/'Financial Statements'!M$10</f>
        <v>9.7619684407595608E-2</v>
      </c>
    </row>
    <row r="28" spans="1:13" ht="12.75" customHeight="1" thickTop="1" x14ac:dyDescent="0.2">
      <c r="A28" s="1" t="s">
        <v>52</v>
      </c>
      <c r="B28" s="25">
        <f>'Financial Statements'!B28/'Financial Statements'!B$10</f>
        <v>-1.3099968958909957E-2</v>
      </c>
      <c r="C28" s="25">
        <f>'Financial Statements'!C28/'Financial Statements'!C$10</f>
        <v>-1.0723486790839336E-2</v>
      </c>
      <c r="D28" s="25">
        <f>'Financial Statements'!D28/'Financial Statements'!D$10</f>
        <v>-1.3338900058369544E-2</v>
      </c>
      <c r="E28" s="25">
        <f>'Financial Statements'!E28/'Financial Statements'!E$10</f>
        <v>-1.3352700768208766E-2</v>
      </c>
      <c r="F28" s="25">
        <f>'Financial Statements'!F28/'Financial Statements'!F$10</f>
        <v>-1.2990630427416659E-2</v>
      </c>
      <c r="G28" s="25">
        <f>'Financial Statements'!G28/'Financial Statements'!G$10</f>
        <v>-1.0341091887987918E-2</v>
      </c>
      <c r="H28" s="25">
        <f>'Financial Statements'!H28/'Financial Statements'!H$10</f>
        <v>-1.1042002941281968E-2</v>
      </c>
      <c r="I28" s="25">
        <f>'Financial Statements'!I28/'Financial Statements'!I$10</f>
        <v>-1.1880332649314181E-2</v>
      </c>
      <c r="J28" s="25">
        <f>'Financial Statements'!J28/'Financial Statements'!J$10</f>
        <v>-1.3787281935846933E-2</v>
      </c>
      <c r="K28" s="25">
        <f>'Financial Statements'!K28/'Financial Statements'!K$10</f>
        <v>-1.4023372287145243E-2</v>
      </c>
      <c r="L28" s="25">
        <f>'Financial Statements'!L28/'Financial Statements'!L$10</f>
        <v>-1.6403672996344834E-2</v>
      </c>
      <c r="M28" s="25">
        <f>'Financial Statements'!M28/'Financial Statements'!M$10</f>
        <v>-1.6403672996344834E-2</v>
      </c>
    </row>
    <row r="29" spans="1:13" ht="12.75" customHeight="1" x14ac:dyDescent="0.2">
      <c r="A29" s="1" t="s">
        <v>64</v>
      </c>
      <c r="B29" s="25">
        <f>'Financial Statements'!B29/'Financial Statements'!B$10</f>
        <v>0</v>
      </c>
      <c r="C29" s="25">
        <f>'Financial Statements'!C29/'Financial Statements'!C$10</f>
        <v>0</v>
      </c>
      <c r="D29" s="25">
        <f>'Financial Statements'!D29/'Financial Statements'!D$10</f>
        <v>0</v>
      </c>
      <c r="E29" s="25">
        <f>'Financial Statements'!E29/'Financial Statements'!E$10</f>
        <v>0</v>
      </c>
      <c r="F29" s="25">
        <f>'Financial Statements'!F29/'Financial Statements'!F$10</f>
        <v>0</v>
      </c>
      <c r="G29" s="25">
        <f>'Financial Statements'!G29/'Financial Statements'!G$10</f>
        <v>0</v>
      </c>
      <c r="H29" s="25">
        <f>'Financial Statements'!H29/'Financial Statements'!H$10</f>
        <v>0</v>
      </c>
      <c r="I29" s="25">
        <f>'Financial Statements'!I29/'Financial Statements'!I$10</f>
        <v>0</v>
      </c>
      <c r="J29" s="25">
        <f>'Financial Statements'!J29/'Financial Statements'!J$10</f>
        <v>0</v>
      </c>
      <c r="K29" s="25">
        <f>'Financial Statements'!K29/'Financial Statements'!K$10</f>
        <v>0</v>
      </c>
      <c r="L29" s="25">
        <f>'Financial Statements'!L29/'Financial Statements'!L$10</f>
        <v>0</v>
      </c>
      <c r="M29" s="25">
        <f>'Financial Statements'!M29/'Financial Statements'!M$10</f>
        <v>0</v>
      </c>
    </row>
    <row r="30" spans="1:13" ht="12.75" customHeight="1" x14ac:dyDescent="0.2">
      <c r="A30" s="5" t="s">
        <v>65</v>
      </c>
      <c r="B30" s="26">
        <f>'Financial Statements'!B30/'Financial Statements'!B$10</f>
        <v>-1.3099968958909957E-2</v>
      </c>
      <c r="C30" s="26">
        <f>'Financial Statements'!C30/'Financial Statements'!C$10</f>
        <v>-1.0723486790839336E-2</v>
      </c>
      <c r="D30" s="26">
        <f>'Financial Statements'!D30/'Financial Statements'!D$10</f>
        <v>-1.3338900058369544E-2</v>
      </c>
      <c r="E30" s="26">
        <f>'Financial Statements'!E30/'Financial Statements'!E$10</f>
        <v>-1.3352700768208766E-2</v>
      </c>
      <c r="F30" s="26">
        <f>'Financial Statements'!F30/'Financial Statements'!F$10</f>
        <v>-1.2990630427416659E-2</v>
      </c>
      <c r="G30" s="26">
        <f>'Financial Statements'!G30/'Financial Statements'!G$10</f>
        <v>-1.0341091887987918E-2</v>
      </c>
      <c r="H30" s="26">
        <f>'Financial Statements'!H30/'Financial Statements'!H$10</f>
        <v>-1.1042002941281968E-2</v>
      </c>
      <c r="I30" s="26">
        <f>'Financial Statements'!I30/'Financial Statements'!I$10</f>
        <v>-1.1880332649314181E-2</v>
      </c>
      <c r="J30" s="26">
        <f>'Financial Statements'!J30/'Financial Statements'!J$10</f>
        <v>-1.3787281935846933E-2</v>
      </c>
      <c r="K30" s="26">
        <f>'Financial Statements'!K30/'Financial Statements'!K$10</f>
        <v>-1.4023372287145243E-2</v>
      </c>
      <c r="L30" s="26">
        <f>'Financial Statements'!L30/'Financial Statements'!L$10</f>
        <v>-1.6403672996344834E-2</v>
      </c>
      <c r="M30" s="26">
        <f>'Financial Statements'!M30/'Financial Statements'!M$10</f>
        <v>-1.6403672996344834E-2</v>
      </c>
    </row>
    <row r="31" spans="1:13" ht="12.75" customHeight="1" x14ac:dyDescent="0.2">
      <c r="A31" s="1" t="s">
        <v>163</v>
      </c>
      <c r="B31" s="25">
        <f>'Financial Statements'!B31/'Financial Statements'!B$10</f>
        <v>0</v>
      </c>
      <c r="C31" s="25">
        <f>'Financial Statements'!C31/'Financial Statements'!C$10</f>
        <v>0</v>
      </c>
      <c r="D31" s="25">
        <f>'Financial Statements'!D31/'Financial Statements'!D$10</f>
        <v>0</v>
      </c>
      <c r="E31" s="25">
        <f>'Financial Statements'!E31/'Financial Statements'!E$10</f>
        <v>0</v>
      </c>
      <c r="F31" s="25">
        <f>'Financial Statements'!F31/'Financial Statements'!F$10</f>
        <v>0</v>
      </c>
      <c r="G31" s="25">
        <f>'Financial Statements'!G31/'Financial Statements'!G$10</f>
        <v>0</v>
      </c>
      <c r="H31" s="25">
        <f>'Financial Statements'!H31/'Financial Statements'!H$10</f>
        <v>0</v>
      </c>
      <c r="I31" s="25">
        <f>'Financial Statements'!I31/'Financial Statements'!I$10</f>
        <v>0</v>
      </c>
      <c r="J31" s="25">
        <f>'Financial Statements'!J31/'Financial Statements'!J$10</f>
        <v>0</v>
      </c>
      <c r="K31" s="25">
        <f>'Financial Statements'!K31/'Financial Statements'!K$10</f>
        <v>0</v>
      </c>
      <c r="L31" s="25">
        <f>'Financial Statements'!L31/'Financial Statements'!L$10</f>
        <v>0</v>
      </c>
      <c r="M31" s="25">
        <f>'Financial Statements'!M31/'Financial Statements'!M$10</f>
        <v>0</v>
      </c>
    </row>
    <row r="32" spans="1:13" ht="12.75" customHeight="1" x14ac:dyDescent="0.2">
      <c r="A32" s="1" t="s">
        <v>164</v>
      </c>
      <c r="B32" s="25">
        <f>'Financial Statements'!B32/'Financial Statements'!B$10</f>
        <v>0</v>
      </c>
      <c r="C32" s="25">
        <f>'Financial Statements'!C32/'Financial Statements'!C$10</f>
        <v>0</v>
      </c>
      <c r="D32" s="25">
        <f>'Financial Statements'!D32/'Financial Statements'!D$10</f>
        <v>0</v>
      </c>
      <c r="E32" s="25">
        <f>'Financial Statements'!E32/'Financial Statements'!E$10</f>
        <v>0</v>
      </c>
      <c r="F32" s="25">
        <f>'Financial Statements'!F32/'Financial Statements'!F$10</f>
        <v>0</v>
      </c>
      <c r="G32" s="25">
        <f>'Financial Statements'!G32/'Financial Statements'!G$10</f>
        <v>0</v>
      </c>
      <c r="H32" s="25">
        <f>'Financial Statements'!H32/'Financial Statements'!H$10</f>
        <v>0</v>
      </c>
      <c r="I32" s="25">
        <f>'Financial Statements'!I32/'Financial Statements'!I$10</f>
        <v>0</v>
      </c>
      <c r="J32" s="25">
        <f>'Financial Statements'!J32/'Financial Statements'!J$10</f>
        <v>0</v>
      </c>
      <c r="K32" s="25">
        <f>'Financial Statements'!K32/'Financial Statements'!K$10</f>
        <v>0</v>
      </c>
      <c r="L32" s="25">
        <f>'Financial Statements'!L32/'Financial Statements'!L$10</f>
        <v>0</v>
      </c>
      <c r="M32" s="25">
        <f>'Financial Statements'!M32/'Financial Statements'!M$10</f>
        <v>0</v>
      </c>
    </row>
    <row r="33" spans="1:13" ht="12.75" customHeight="1" x14ac:dyDescent="0.2">
      <c r="A33" s="1" t="s">
        <v>127</v>
      </c>
      <c r="B33" s="25">
        <f>'Financial Statements'!B33/'Financial Statements'!B$10</f>
        <v>1.0531402002834764E-3</v>
      </c>
      <c r="C33" s="25">
        <f>'Financial Statements'!C33/'Financial Statements'!C$10</f>
        <v>-1.7600509235662814E-3</v>
      </c>
      <c r="D33" s="25">
        <f>'Financial Statements'!D33/'Financial Statements'!D$10</f>
        <v>-2.2537129515532784E-5</v>
      </c>
      <c r="E33" s="25">
        <f>'Financial Statements'!E33/'Financial Statements'!E$10</f>
        <v>1.4564358758759831E-3</v>
      </c>
      <c r="F33" s="25">
        <f>'Financial Statements'!F33/'Financial Statements'!F$10</f>
        <v>1.8089881603855172E-3</v>
      </c>
      <c r="G33" s="25">
        <f>'Financial Statements'!G33/'Financial Statements'!G$10</f>
        <v>-8.1754048702254681E-4</v>
      </c>
      <c r="H33" s="25">
        <f>'Financial Statements'!H33/'Financial Statements'!H$10</f>
        <v>1.8265839281657638E-3</v>
      </c>
      <c r="I33" s="25">
        <f>'Financial Statements'!I33/'Financial Statements'!I$10</f>
        <v>-1.5120423371854411E-3</v>
      </c>
      <c r="J33" s="25">
        <f>'Financial Statements'!J33/'Financial Statements'!J$10</f>
        <v>2.8137310073157008E-4</v>
      </c>
      <c r="K33" s="25">
        <f>'Financial Statements'!K33/'Financial Statements'!K$10</f>
        <v>4.8414023372287144E-3</v>
      </c>
      <c r="L33" s="25">
        <f>'Financial Statements'!L33/'Financial Statements'!L$10</f>
        <v>5.3490238031559236E-4</v>
      </c>
      <c r="M33" s="25">
        <f>'Financial Statements'!M33/'Financial Statements'!M$10</f>
        <v>5.3490238031559236E-4</v>
      </c>
    </row>
    <row r="34" spans="1:13" ht="12.75" customHeight="1" x14ac:dyDescent="0.2">
      <c r="A34" s="5" t="s">
        <v>66</v>
      </c>
      <c r="B34" s="26">
        <f>'Financial Statements'!B34/'Financial Statements'!B$10</f>
        <v>7.0196150830839368E-2</v>
      </c>
      <c r="C34" s="26">
        <f>'Financial Statements'!C34/'Financial Statements'!C$10</f>
        <v>7.3923343714621476E-2</v>
      </c>
      <c r="D34" s="26">
        <f>'Financial Statements'!D34/'Financial Statements'!D$10</f>
        <v>6.9725014592386017E-2</v>
      </c>
      <c r="E34" s="26">
        <f>'Financial Statements'!E34/'Financial Statements'!E$10</f>
        <v>7.6879498129261523E-2</v>
      </c>
      <c r="F34" s="26">
        <f>'Financial Statements'!F34/'Financial Statements'!F$10</f>
        <v>7.782655069956608E-2</v>
      </c>
      <c r="G34" s="26">
        <f>'Financial Statements'!G34/'Financial Statements'!G$10</f>
        <v>8.4291159950619282E-2</v>
      </c>
      <c r="H34" s="26">
        <f>'Financial Statements'!H34/'Financial Statements'!H$10</f>
        <v>7.222198309360689E-2</v>
      </c>
      <c r="I34" s="26">
        <f>'Financial Statements'!I34/'Financial Statements'!I$10</f>
        <v>7.419807754617129E-2</v>
      </c>
      <c r="J34" s="26">
        <f>'Financial Statements'!J34/'Financial Statements'!J$10</f>
        <v>8.2629900581504406E-2</v>
      </c>
      <c r="K34" s="26">
        <f>'Financial Statements'!K34/'Financial Statements'!K$10</f>
        <v>9.2153589315525877E-2</v>
      </c>
      <c r="L34" s="26">
        <f>'Financial Statements'!L34/'Financial Statements'!L$10</f>
        <v>8.1750913791566376E-2</v>
      </c>
      <c r="M34" s="26">
        <f>'Financial Statements'!M34/'Financial Statements'!M$10</f>
        <v>8.1750913791566376E-2</v>
      </c>
    </row>
    <row r="35" spans="1:13" ht="12.75" customHeight="1" x14ac:dyDescent="0.2">
      <c r="A35" s="1" t="s">
        <v>165</v>
      </c>
      <c r="B35" s="25">
        <f>'Financial Statements'!B35/'Financial Statements'!B$10</f>
        <v>0</v>
      </c>
      <c r="C35" s="25">
        <f>'Financial Statements'!C35/'Financial Statements'!C$10</f>
        <v>0</v>
      </c>
      <c r="D35" s="25">
        <f>'Financial Statements'!D35/'Financial Statements'!D$10</f>
        <v>0</v>
      </c>
      <c r="E35" s="25">
        <f>'Financial Statements'!E35/'Financial Statements'!E$10</f>
        <v>0</v>
      </c>
      <c r="F35" s="25">
        <f>'Financial Statements'!F35/'Financial Statements'!F$10</f>
        <v>0</v>
      </c>
      <c r="G35" s="25">
        <f>'Financial Statements'!G35/'Financial Statements'!G$10</f>
        <v>0</v>
      </c>
      <c r="H35" s="25">
        <f>'Financial Statements'!H35/'Financial Statements'!H$10</f>
        <v>0</v>
      </c>
      <c r="I35" s="25">
        <f>'Financial Statements'!I35/'Financial Statements'!I$10</f>
        <v>0</v>
      </c>
      <c r="J35" s="25">
        <f>'Financial Statements'!J35/'Financial Statements'!J$10</f>
        <v>0</v>
      </c>
      <c r="K35" s="25">
        <f>'Financial Statements'!K35/'Financial Statements'!K$10</f>
        <v>0</v>
      </c>
      <c r="L35" s="25">
        <f>'Financial Statements'!L35/'Financial Statements'!L$10</f>
        <v>-5.4381741998751898E-3</v>
      </c>
      <c r="M35" s="25">
        <f>'Financial Statements'!M35/'Financial Statements'!M$10</f>
        <v>-5.4381741998751898E-3</v>
      </c>
    </row>
    <row r="36" spans="1:13" ht="12.75" customHeight="1" x14ac:dyDescent="0.2">
      <c r="A36" s="1" t="s">
        <v>128</v>
      </c>
      <c r="B36" s="25">
        <f>'Financial Statements'!B36/'Financial Statements'!B$10</f>
        <v>0</v>
      </c>
      <c r="C36" s="25">
        <f>'Financial Statements'!C36/'Financial Statements'!C$10</f>
        <v>-6.5410205472389918E-4</v>
      </c>
      <c r="D36" s="25">
        <f>'Financial Statements'!D36/'Financial Statements'!D$10</f>
        <v>0</v>
      </c>
      <c r="E36" s="25">
        <f>'Financial Statements'!E36/'Financial Statements'!E$10</f>
        <v>0</v>
      </c>
      <c r="F36" s="25">
        <f>'Financial Statements'!F36/'Financial Statements'!F$10</f>
        <v>0</v>
      </c>
      <c r="G36" s="25">
        <f>'Financial Statements'!G36/'Financial Statements'!G$10</f>
        <v>0</v>
      </c>
      <c r="H36" s="25">
        <f>'Financial Statements'!H36/'Financial Statements'!H$10</f>
        <v>0</v>
      </c>
      <c r="I36" s="25">
        <f>'Financial Statements'!I36/'Financial Statements'!I$10</f>
        <v>0</v>
      </c>
      <c r="J36" s="25">
        <f>'Financial Statements'!J36/'Financial Statements'!J$10</f>
        <v>0</v>
      </c>
      <c r="K36" s="25">
        <f>'Financial Statements'!K36/'Financial Statements'!K$10</f>
        <v>0</v>
      </c>
      <c r="L36" s="25">
        <f>'Financial Statements'!L36/'Financial Statements'!L$10</f>
        <v>0</v>
      </c>
      <c r="M36" s="25">
        <f>'Financial Statements'!M36/'Financial Statements'!M$10</f>
        <v>0</v>
      </c>
    </row>
    <row r="37" spans="1:13" ht="12.75" customHeight="1" x14ac:dyDescent="0.2">
      <c r="A37" s="1" t="s">
        <v>67</v>
      </c>
      <c r="B37" s="25">
        <f>'Financial Statements'!B37/'Financial Statements'!B$10</f>
        <v>0</v>
      </c>
      <c r="C37" s="25">
        <f>'Financial Statements'!C37/'Financial Statements'!C$10</f>
        <v>0</v>
      </c>
      <c r="D37" s="25">
        <f>'Financial Statements'!D37/'Financial Statements'!D$10</f>
        <v>0</v>
      </c>
      <c r="E37" s="25">
        <f>'Financial Statements'!E37/'Financial Statements'!E$10</f>
        <v>0</v>
      </c>
      <c r="F37" s="25">
        <f>'Financial Statements'!F37/'Financial Statements'!F$10</f>
        <v>0</v>
      </c>
      <c r="G37" s="25">
        <f>'Financial Statements'!G37/'Financial Statements'!G$10</f>
        <v>0</v>
      </c>
      <c r="H37" s="25">
        <f>'Financial Statements'!H37/'Financial Statements'!H$10</f>
        <v>0</v>
      </c>
      <c r="I37" s="25">
        <f>'Financial Statements'!I37/'Financial Statements'!I$10</f>
        <v>0</v>
      </c>
      <c r="J37" s="25">
        <f>'Financial Statements'!J37/'Financial Statements'!J$10</f>
        <v>0</v>
      </c>
      <c r="K37" s="25">
        <f>'Financial Statements'!K37/'Financial Statements'!K$10</f>
        <v>0</v>
      </c>
      <c r="L37" s="25">
        <f>'Financial Statements'!L37/'Financial Statements'!L$10</f>
        <v>0</v>
      </c>
      <c r="M37" s="25">
        <f>'Financial Statements'!M37/'Financial Statements'!M$10</f>
        <v>0</v>
      </c>
    </row>
    <row r="38" spans="1:13" ht="12.75" customHeight="1" x14ac:dyDescent="0.2">
      <c r="A38" s="1" t="s">
        <v>68</v>
      </c>
      <c r="B38" s="25">
        <f>'Financial Statements'!B38/'Financial Statements'!B$10</f>
        <v>0</v>
      </c>
      <c r="C38" s="25">
        <f>'Financial Statements'!C38/'Financial Statements'!C$10</f>
        <v>0</v>
      </c>
      <c r="D38" s="25">
        <f>'Financial Statements'!D38/'Financial Statements'!D$10</f>
        <v>0</v>
      </c>
      <c r="E38" s="25">
        <f>'Financial Statements'!E38/'Financial Statements'!E$10</f>
        <v>0</v>
      </c>
      <c r="F38" s="25">
        <f>'Financial Statements'!F38/'Financial Statements'!F$10</f>
        <v>0</v>
      </c>
      <c r="G38" s="25">
        <f>'Financial Statements'!G38/'Financial Statements'!G$10</f>
        <v>0</v>
      </c>
      <c r="H38" s="25">
        <f>'Financial Statements'!H38/'Financial Statements'!H$10</f>
        <v>0</v>
      </c>
      <c r="I38" s="25">
        <f>'Financial Statements'!I38/'Financial Statements'!I$10</f>
        <v>0</v>
      </c>
      <c r="J38" s="25">
        <f>'Financial Statements'!J38/'Financial Statements'!J$10</f>
        <v>0</v>
      </c>
      <c r="K38" s="25">
        <f>'Financial Statements'!K38/'Financial Statements'!K$10</f>
        <v>0</v>
      </c>
      <c r="L38" s="25">
        <f>'Financial Statements'!L38/'Financial Statements'!L$10</f>
        <v>0</v>
      </c>
      <c r="M38" s="25">
        <f>'Financial Statements'!M38/'Financial Statements'!M$10</f>
        <v>0</v>
      </c>
    </row>
    <row r="39" spans="1:13" ht="12.75" customHeight="1" x14ac:dyDescent="0.2">
      <c r="A39" s="1" t="s">
        <v>69</v>
      </c>
      <c r="B39" s="25">
        <f>'Financial Statements'!B39/'Financial Statements'!B$10</f>
        <v>0</v>
      </c>
      <c r="C39" s="25">
        <f>'Financial Statements'!C39/'Financial Statements'!C$10</f>
        <v>0</v>
      </c>
      <c r="D39" s="25">
        <f>'Financial Statements'!D39/'Financial Statements'!D$10</f>
        <v>0</v>
      </c>
      <c r="E39" s="25">
        <f>'Financial Statements'!E39/'Financial Statements'!E$10</f>
        <v>0</v>
      </c>
      <c r="F39" s="25">
        <f>'Financial Statements'!F39/'Financial Statements'!F$10</f>
        <v>0</v>
      </c>
      <c r="G39" s="25">
        <f>'Financial Statements'!G39/'Financial Statements'!G$10</f>
        <v>0</v>
      </c>
      <c r="H39" s="25">
        <f>'Financial Statements'!H39/'Financial Statements'!H$10</f>
        <v>0</v>
      </c>
      <c r="I39" s="25">
        <f>'Financial Statements'!I39/'Financial Statements'!I$10</f>
        <v>3.3480937466249055E-3</v>
      </c>
      <c r="J39" s="25">
        <f>'Financial Statements'!J39/'Financial Statements'!J$10</f>
        <v>0</v>
      </c>
      <c r="K39" s="25">
        <f>'Financial Statements'!K39/'Financial Statements'!K$10</f>
        <v>0</v>
      </c>
      <c r="L39" s="25">
        <f>'Financial Statements'!L39/'Financial Statements'!L$10</f>
        <v>5.3490238031559236E-4</v>
      </c>
      <c r="M39" s="25">
        <f>'Financial Statements'!M39/'Financial Statements'!M$10</f>
        <v>5.3490238031559236E-4</v>
      </c>
    </row>
    <row r="40" spans="1:13" ht="12.75" customHeight="1" x14ac:dyDescent="0.2">
      <c r="A40" s="1" t="s">
        <v>166</v>
      </c>
      <c r="B40" s="25">
        <f>'Financial Statements'!B40/'Financial Statements'!B$10</f>
        <v>0</v>
      </c>
      <c r="C40" s="25">
        <f>'Financial Statements'!C40/'Financial Statements'!C$10</f>
        <v>0</v>
      </c>
      <c r="D40" s="25">
        <f>'Financial Statements'!D40/'Financial Statements'!D$10</f>
        <v>0</v>
      </c>
      <c r="E40" s="25">
        <f>'Financial Statements'!E40/'Financial Statements'!E$10</f>
        <v>0</v>
      </c>
      <c r="F40" s="25">
        <f>'Financial Statements'!F40/'Financial Statements'!F$10</f>
        <v>0</v>
      </c>
      <c r="G40" s="25">
        <f>'Financial Statements'!G40/'Financial Statements'!G$10</f>
        <v>0</v>
      </c>
      <c r="H40" s="25">
        <f>'Financial Statements'!H40/'Financial Statements'!H$10</f>
        <v>0</v>
      </c>
      <c r="I40" s="25">
        <f>'Financial Statements'!I40/'Financial Statements'!I$10</f>
        <v>0</v>
      </c>
      <c r="J40" s="25">
        <f>'Financial Statements'!J40/'Financial Statements'!J$10</f>
        <v>0</v>
      </c>
      <c r="K40" s="25">
        <f>'Financial Statements'!K40/'Financial Statements'!K$10</f>
        <v>0</v>
      </c>
      <c r="L40" s="25">
        <f>'Financial Statements'!L40/'Financial Statements'!L$10</f>
        <v>0</v>
      </c>
      <c r="M40" s="25">
        <f>'Financial Statements'!M40/'Financial Statements'!M$10</f>
        <v>0</v>
      </c>
    </row>
    <row r="41" spans="1:13" ht="12.75" customHeight="1" x14ac:dyDescent="0.2">
      <c r="A41" s="1" t="s">
        <v>278</v>
      </c>
      <c r="B41" s="25">
        <f>'Financial Statements'!B41/'Financial Statements'!B$10</f>
        <v>0</v>
      </c>
      <c r="C41" s="25">
        <f>'Financial Statements'!C41/'Financial Statements'!C$10</f>
        <v>0</v>
      </c>
      <c r="D41" s="25">
        <f>'Financial Statements'!D41/'Financial Statements'!D$10</f>
        <v>0</v>
      </c>
      <c r="E41" s="25">
        <f>'Financial Statements'!E41/'Financial Statements'!E$10</f>
        <v>0</v>
      </c>
      <c r="F41" s="25">
        <f>'Financial Statements'!F41/'Financial Statements'!F$10</f>
        <v>0</v>
      </c>
      <c r="G41" s="25">
        <f>'Financial Statements'!G41/'Financial Statements'!G$10</f>
        <v>0</v>
      </c>
      <c r="H41" s="25">
        <f>'Financial Statements'!H41/'Financial Statements'!H$10</f>
        <v>0</v>
      </c>
      <c r="I41" s="25">
        <f>'Financial Statements'!I41/'Financial Statements'!I$10</f>
        <v>0</v>
      </c>
      <c r="J41" s="25">
        <f>'Financial Statements'!J41/'Financial Statements'!J$10</f>
        <v>0</v>
      </c>
      <c r="K41" s="25">
        <f>'Financial Statements'!K41/'Financial Statements'!K$10</f>
        <v>0</v>
      </c>
      <c r="L41" s="25">
        <f>'Financial Statements'!L41/'Financial Statements'!L$10</f>
        <v>0</v>
      </c>
      <c r="M41" s="25">
        <f>'Financial Statements'!M41/'Financial Statements'!M$10</f>
        <v>0</v>
      </c>
    </row>
    <row r="42" spans="1:13" ht="12.75" customHeight="1" x14ac:dyDescent="0.2">
      <c r="A42" s="1" t="s">
        <v>167</v>
      </c>
      <c r="B42" s="25">
        <f>'Financial Statements'!B42/'Financial Statements'!B$10</f>
        <v>0</v>
      </c>
      <c r="C42" s="25">
        <f>'Financial Statements'!C42/'Financial Statements'!C$10</f>
        <v>0</v>
      </c>
      <c r="D42" s="25">
        <f>'Financial Statements'!D42/'Financial Statements'!D$10</f>
        <v>0</v>
      </c>
      <c r="E42" s="25">
        <f>'Financial Statements'!E42/'Financial Statements'!E$10</f>
        <v>0</v>
      </c>
      <c r="F42" s="25">
        <f>'Financial Statements'!F42/'Financial Statements'!F$10</f>
        <v>0</v>
      </c>
      <c r="G42" s="25">
        <f>'Financial Statements'!G42/'Financial Statements'!G$10</f>
        <v>0</v>
      </c>
      <c r="H42" s="25">
        <f>'Financial Statements'!H42/'Financial Statements'!H$10</f>
        <v>0</v>
      </c>
      <c r="I42" s="25">
        <f>'Financial Statements'!I42/'Financial Statements'!I$10</f>
        <v>0</v>
      </c>
      <c r="J42" s="25">
        <f>'Financial Statements'!J42/'Financial Statements'!J$10</f>
        <v>0</v>
      </c>
      <c r="K42" s="25">
        <f>'Financial Statements'!K42/'Financial Statements'!K$10</f>
        <v>9.5993322203672786E-3</v>
      </c>
      <c r="L42" s="25">
        <f>'Financial Statements'!L42/'Financial Statements'!L$10</f>
        <v>0</v>
      </c>
      <c r="M42" s="25">
        <f>'Financial Statements'!M42/'Financial Statements'!M$10</f>
        <v>0</v>
      </c>
    </row>
    <row r="43" spans="1:13" ht="12.75" customHeight="1" x14ac:dyDescent="0.2">
      <c r="A43" s="1" t="s">
        <v>168</v>
      </c>
      <c r="B43" s="25">
        <f>'Financial Statements'!B43/'Financial Statements'!B$10</f>
        <v>0</v>
      </c>
      <c r="C43" s="25">
        <f>'Financial Statements'!C43/'Financial Statements'!C$10</f>
        <v>0</v>
      </c>
      <c r="D43" s="25">
        <f>'Financial Statements'!D43/'Financial Statements'!D$10</f>
        <v>0</v>
      </c>
      <c r="E43" s="25">
        <f>'Financial Statements'!E43/'Financial Statements'!E$10</f>
        <v>0</v>
      </c>
      <c r="F43" s="25">
        <f>'Financial Statements'!F43/'Financial Statements'!F$10</f>
        <v>0</v>
      </c>
      <c r="G43" s="25">
        <f>'Financial Statements'!G43/'Financial Statements'!G$10</f>
        <v>0</v>
      </c>
      <c r="H43" s="25">
        <f>'Financial Statements'!H43/'Financial Statements'!H$10</f>
        <v>0</v>
      </c>
      <c r="I43" s="25">
        <f>'Financial Statements'!I43/'Financial Statements'!I$10</f>
        <v>-3.7801058429636027E-2</v>
      </c>
      <c r="J43" s="25">
        <f>'Financial Statements'!J43/'Financial Statements'!J$10</f>
        <v>-2.5323579065841305E-3</v>
      </c>
      <c r="K43" s="25">
        <f>'Financial Statements'!K43/'Financial Statements'!K$10</f>
        <v>0</v>
      </c>
      <c r="L43" s="25">
        <f>'Financial Statements'!L43/'Financial Statements'!L$10</f>
        <v>0</v>
      </c>
      <c r="M43" s="25">
        <f>'Financial Statements'!M43/'Financial Statements'!M$10</f>
        <v>0</v>
      </c>
    </row>
    <row r="44" spans="1:13" ht="12.75" customHeight="1" x14ac:dyDescent="0.2">
      <c r="A44" s="1" t="s">
        <v>129</v>
      </c>
      <c r="B44" s="27">
        <f>'Financial Statements'!B44/'Financial Statements'!B$10</f>
        <v>0</v>
      </c>
      <c r="C44" s="27">
        <f>'Financial Statements'!C44/'Financial Statements'!C$10</f>
        <v>0</v>
      </c>
      <c r="D44" s="27">
        <f>'Financial Statements'!D44/'Financial Statements'!D$10</f>
        <v>0</v>
      </c>
      <c r="E44" s="27">
        <f>'Financial Statements'!E44/'Financial Statements'!E$10</f>
        <v>0</v>
      </c>
      <c r="F44" s="27">
        <f>'Financial Statements'!F44/'Financial Statements'!F$10</f>
        <v>-1.9440392687893539E-4</v>
      </c>
      <c r="G44" s="27">
        <f>'Financial Statements'!G44/'Financial Statements'!G$10</f>
        <v>0</v>
      </c>
      <c r="H44" s="27">
        <f>'Financial Statements'!H44/'Financial Statements'!H$10</f>
        <v>0</v>
      </c>
      <c r="I44" s="27">
        <f>'Financial Statements'!I44/'Financial Statements'!I$10</f>
        <v>0</v>
      </c>
      <c r="J44" s="27">
        <f>'Financial Statements'!J44/'Financial Statements'!J$10</f>
        <v>0</v>
      </c>
      <c r="K44" s="27">
        <f>'Financial Statements'!K44/'Financial Statements'!K$10</f>
        <v>0</v>
      </c>
      <c r="L44" s="27">
        <f>'Financial Statements'!L44/'Financial Statements'!L$10</f>
        <v>0</v>
      </c>
      <c r="M44" s="27">
        <f>'Financial Statements'!M44/'Financial Statements'!M$10</f>
        <v>0</v>
      </c>
    </row>
    <row r="45" spans="1:13" ht="12.75" customHeight="1" x14ac:dyDescent="0.2">
      <c r="A45" s="5" t="s">
        <v>70</v>
      </c>
      <c r="B45" s="26">
        <f>'Financial Statements'!B45/'Financial Statements'!B$10</f>
        <v>7.0196150830839368E-2</v>
      </c>
      <c r="C45" s="26">
        <f>'Financial Statements'!C45/'Financial Statements'!C$10</f>
        <v>7.3269241659897566E-2</v>
      </c>
      <c r="D45" s="26">
        <f>'Financial Statements'!D45/'Financial Statements'!D$10</f>
        <v>6.9725014592386017E-2</v>
      </c>
      <c r="E45" s="26">
        <f>'Financial Statements'!E45/'Financial Statements'!E$10</f>
        <v>7.6879498129261523E-2</v>
      </c>
      <c r="F45" s="26">
        <f>'Financial Statements'!F45/'Financial Statements'!F$10</f>
        <v>7.7632146772687136E-2</v>
      </c>
      <c r="G45" s="26">
        <f>'Financial Statements'!G45/'Financial Statements'!G$10</f>
        <v>8.4291159950619282E-2</v>
      </c>
      <c r="H45" s="26">
        <f>'Financial Statements'!H45/'Financial Statements'!H$10</f>
        <v>7.222198309360689E-2</v>
      </c>
      <c r="I45" s="26">
        <f>'Financial Statements'!I45/'Financial Statements'!I$10</f>
        <v>3.9745112863160167E-2</v>
      </c>
      <c r="J45" s="26">
        <f>'Financial Statements'!J45/'Financial Statements'!J$10</f>
        <v>8.009754267492028E-2</v>
      </c>
      <c r="K45" s="26">
        <f>'Financial Statements'!K45/'Financial Statements'!K$10</f>
        <v>0.10175292153589316</v>
      </c>
      <c r="L45" s="26">
        <f>'Financial Statements'!L45/'Financial Statements'!L$10</f>
        <v>7.6847641972006775E-2</v>
      </c>
      <c r="M45" s="26">
        <f>'Financial Statements'!M45/'Financial Statements'!M$10</f>
        <v>7.6847641972006775E-2</v>
      </c>
    </row>
    <row r="46" spans="1:13" ht="12.75" customHeight="1" x14ac:dyDescent="0.2">
      <c r="A46" s="1" t="s">
        <v>71</v>
      </c>
      <c r="B46" s="25">
        <f>'Financial Statements'!B46/'Financial Statements'!B$10</f>
        <v>1.5792108311575587E-2</v>
      </c>
      <c r="C46" s="25">
        <f>'Financial Statements'!C46/'Financial Statements'!C$10</f>
        <v>2.8372881548486776E-2</v>
      </c>
      <c r="D46" s="25">
        <f>'Financial Statements'!D46/'Financial Statements'!D$10</f>
        <v>2.0809391011090212E-2</v>
      </c>
      <c r="E46" s="25">
        <f>'Financial Statements'!E46/'Financial Statements'!E$10</f>
        <v>1.4450099246170627E-2</v>
      </c>
      <c r="F46" s="25">
        <f>'Financial Statements'!F46/'Financial Statements'!F$10</f>
        <v>1.2973347101043552E-2</v>
      </c>
      <c r="G46" s="25">
        <f>'Financial Statements'!G46/'Financial Statements'!G$10</f>
        <v>6.8051179434167825E-3</v>
      </c>
      <c r="H46" s="25">
        <f>'Financial Statements'!H46/'Financial Statements'!H$10</f>
        <v>1.6436027117184976E-2</v>
      </c>
      <c r="I46" s="25">
        <f>'Financial Statements'!I46/'Financial Statements'!I$10</f>
        <v>1.0476293336213414E-2</v>
      </c>
      <c r="J46" s="25">
        <f>'Financial Statements'!J46/'Financial Statements'!J$10</f>
        <v>2.3260176327143126E-2</v>
      </c>
      <c r="K46" s="25">
        <f>'Financial Statements'!K46/'Financial Statements'!K$10</f>
        <v>2.3706176961602671E-2</v>
      </c>
      <c r="L46" s="25">
        <f>'Financial Statements'!L46/'Financial Statements'!L$10</f>
        <v>9.8065436391191934E-4</v>
      </c>
      <c r="M46" s="25">
        <f>'Financial Statements'!M46/'Financial Statements'!M$10</f>
        <v>9.8065436391191934E-4</v>
      </c>
    </row>
    <row r="47" spans="1:13" ht="12.75" customHeight="1" x14ac:dyDescent="0.2">
      <c r="A47" s="5" t="s">
        <v>72</v>
      </c>
      <c r="B47" s="26">
        <f>'Financial Statements'!B47/'Financial Statements'!B$10</f>
        <v>5.4404042519263784E-2</v>
      </c>
      <c r="C47" s="26">
        <f>'Financial Statements'!C47/'Financial Statements'!C$10</f>
        <v>4.4896360111410794E-2</v>
      </c>
      <c r="D47" s="26">
        <f>'Financial Statements'!D47/'Financial Statements'!D$10</f>
        <v>4.8915623581295802E-2</v>
      </c>
      <c r="E47" s="26">
        <f>'Financial Statements'!E47/'Financial Statements'!E$10</f>
        <v>6.2429398883090889E-2</v>
      </c>
      <c r="F47" s="26">
        <f>'Financial Statements'!F47/'Financial Statements'!F$10</f>
        <v>6.4658799671643591E-2</v>
      </c>
      <c r="G47" s="26">
        <f>'Financial Statements'!G47/'Financial Statements'!G$10</f>
        <v>7.7486042007202494E-2</v>
      </c>
      <c r="H47" s="26">
        <f>'Financial Statements'!H47/'Financial Statements'!H$10</f>
        <v>5.5785955976421914E-2</v>
      </c>
      <c r="I47" s="26">
        <f>'Financial Statements'!I47/'Financial Statements'!I$10</f>
        <v>2.9268819526946755E-2</v>
      </c>
      <c r="J47" s="26">
        <f>'Financial Statements'!J47/'Financial Statements'!J$10</f>
        <v>5.6837366347777155E-2</v>
      </c>
      <c r="K47" s="26">
        <f>'Financial Statements'!K47/'Financial Statements'!K$10</f>
        <v>7.8046744574290478E-2</v>
      </c>
      <c r="L47" s="26">
        <f>'Financial Statements'!L47/'Financial Statements'!L$10</f>
        <v>7.5866987608094849E-2</v>
      </c>
      <c r="M47" s="26">
        <f>'Financial Statements'!M47/'Financial Statements'!M$10</f>
        <v>7.5866987608094849E-2</v>
      </c>
    </row>
    <row r="48" spans="1:13" ht="12.75" customHeight="1" x14ac:dyDescent="0.2">
      <c r="A48" s="1" t="s">
        <v>73</v>
      </c>
      <c r="B48" s="25">
        <f>'Financial Statements'!B48/'Financial Statements'!B$10</f>
        <v>0</v>
      </c>
      <c r="C48" s="25">
        <f>'Financial Statements'!C48/'Financial Statements'!C$10</f>
        <v>0</v>
      </c>
      <c r="D48" s="25">
        <f>'Financial Statements'!D48/'Financial Statements'!D$10</f>
        <v>0</v>
      </c>
      <c r="E48" s="25">
        <f>'Financial Statements'!E48/'Financial Statements'!E$10</f>
        <v>0</v>
      </c>
      <c r="F48" s="25">
        <f>'Financial Statements'!F48/'Financial Statements'!F$10</f>
        <v>0</v>
      </c>
      <c r="G48" s="25">
        <f>'Financial Statements'!G48/'Financial Statements'!G$10</f>
        <v>0</v>
      </c>
      <c r="H48" s="25">
        <f>'Financial Statements'!H48/'Financial Statements'!H$10</f>
        <v>0</v>
      </c>
      <c r="I48" s="25">
        <f>'Financial Statements'!I48/'Financial Statements'!I$10</f>
        <v>0</v>
      </c>
      <c r="J48" s="25">
        <f>'Financial Statements'!J48/'Financial Statements'!J$10</f>
        <v>0</v>
      </c>
      <c r="K48" s="25">
        <f>'Financial Statements'!K48/'Financial Statements'!K$10</f>
        <v>0</v>
      </c>
      <c r="L48" s="25">
        <f>'Financial Statements'!L48/'Financial Statements'!L$10</f>
        <v>0</v>
      </c>
      <c r="M48" s="25">
        <f>'Financial Statements'!M48/'Financial Statements'!M$10</f>
        <v>0</v>
      </c>
    </row>
    <row r="49" spans="1:13" ht="12.75" customHeight="1" x14ac:dyDescent="0.2">
      <c r="A49" s="1" t="s">
        <v>74</v>
      </c>
      <c r="B49" s="25">
        <f>'Financial Statements'!B49/'Financial Statements'!B$10</f>
        <v>0</v>
      </c>
      <c r="C49" s="25">
        <f>'Financial Statements'!C49/'Financial Statements'!C$10</f>
        <v>0</v>
      </c>
      <c r="D49" s="25">
        <f>'Financial Statements'!D49/'Financial Statements'!D$10</f>
        <v>0</v>
      </c>
      <c r="E49" s="25">
        <f>'Financial Statements'!E49/'Financial Statements'!E$10</f>
        <v>0</v>
      </c>
      <c r="F49" s="25">
        <f>'Financial Statements'!F49/'Financial Statements'!F$10</f>
        <v>0</v>
      </c>
      <c r="G49" s="25">
        <f>'Financial Statements'!G49/'Financial Statements'!G$10</f>
        <v>0</v>
      </c>
      <c r="H49" s="25">
        <f>'Financial Statements'!H49/'Financial Statements'!H$10</f>
        <v>0</v>
      </c>
      <c r="I49" s="25">
        <f>'Financial Statements'!I49/'Financial Statements'!I$10</f>
        <v>0</v>
      </c>
      <c r="J49" s="25">
        <f>'Financial Statements'!J49/'Financial Statements'!J$10</f>
        <v>0</v>
      </c>
      <c r="K49" s="25">
        <f>'Financial Statements'!K49/'Financial Statements'!K$10</f>
        <v>0</v>
      </c>
      <c r="L49" s="25">
        <f>'Financial Statements'!L49/'Financial Statements'!L$10</f>
        <v>0</v>
      </c>
      <c r="M49" s="25">
        <f>'Financial Statements'!M49/'Financial Statements'!M$10</f>
        <v>0</v>
      </c>
    </row>
    <row r="50" spans="1:13" ht="12.75" customHeight="1" x14ac:dyDescent="0.2">
      <c r="A50" s="5" t="s">
        <v>21</v>
      </c>
      <c r="B50" s="30">
        <f>'Financial Statements'!B50/'Financial Statements'!B$10</f>
        <v>5.4404042519263784E-2</v>
      </c>
      <c r="C50" s="30">
        <f>'Financial Statements'!C50/'Financial Statements'!C$10</f>
        <v>4.4896360111410794E-2</v>
      </c>
      <c r="D50" s="30">
        <f>'Financial Statements'!D50/'Financial Statements'!D$10</f>
        <v>4.8915623581295802E-2</v>
      </c>
      <c r="E50" s="30">
        <f>'Financial Statements'!E50/'Financial Statements'!E$10</f>
        <v>6.2429398883090889E-2</v>
      </c>
      <c r="F50" s="30">
        <f>'Financial Statements'!F50/'Financial Statements'!F$10</f>
        <v>6.4658799671643591E-2</v>
      </c>
      <c r="G50" s="30">
        <f>'Financial Statements'!G50/'Financial Statements'!G$10</f>
        <v>7.7486042007202494E-2</v>
      </c>
      <c r="H50" s="30">
        <f>'Financial Statements'!H50/'Financial Statements'!H$10</f>
        <v>5.5785955976421914E-2</v>
      </c>
      <c r="I50" s="30">
        <f>'Financial Statements'!I50/'Financial Statements'!I$10</f>
        <v>2.9268819526946755E-2</v>
      </c>
      <c r="J50" s="30">
        <f>'Financial Statements'!J50/'Financial Statements'!J$10</f>
        <v>5.6837366347777155E-2</v>
      </c>
      <c r="K50" s="30">
        <f>'Financial Statements'!K50/'Financial Statements'!K$10</f>
        <v>7.8046744574290478E-2</v>
      </c>
      <c r="L50" s="30">
        <f>'Financial Statements'!L50/'Financial Statements'!L$10</f>
        <v>7.5866987608094849E-2</v>
      </c>
      <c r="M50" s="30">
        <f>'Financial Statements'!M50/'Financial Statements'!M$10</f>
        <v>7.5866987608094849E-2</v>
      </c>
    </row>
    <row r="51" spans="1:13" ht="12.75" customHeight="1" x14ac:dyDescent="0.2">
      <c r="A51" s="1" t="s">
        <v>169</v>
      </c>
      <c r="B51" s="25">
        <f>'Financial Statements'!B51/'Financial Statements'!B$10</f>
        <v>0</v>
      </c>
      <c r="C51" s="25">
        <f>'Financial Statements'!C51/'Financial Statements'!C$10</f>
        <v>0</v>
      </c>
      <c r="D51" s="25">
        <f>'Financial Statements'!D51/'Financial Statements'!D$10</f>
        <v>0</v>
      </c>
      <c r="E51" s="25">
        <f>'Financial Statements'!E51/'Financial Statements'!E$10</f>
        <v>0</v>
      </c>
      <c r="F51" s="25">
        <f>'Financial Statements'!F51/'Financial Statements'!F$10</f>
        <v>0</v>
      </c>
      <c r="G51" s="25">
        <f>'Financial Statements'!G51/'Financial Statements'!G$10</f>
        <v>0</v>
      </c>
      <c r="H51" s="25">
        <f>'Financial Statements'!H51/'Financial Statements'!H$10</f>
        <v>1.9488982149048864E-5</v>
      </c>
      <c r="I51" s="25">
        <f>'Financial Statements'!I51/'Financial Statements'!I$10</f>
        <v>1.0800302408467438E-4</v>
      </c>
      <c r="J51" s="25">
        <f>'Financial Statements'!J51/'Financial Statements'!J$10</f>
        <v>0</v>
      </c>
      <c r="K51" s="25">
        <f>'Financial Statements'!K51/'Financial Statements'!K$10</f>
        <v>0</v>
      </c>
      <c r="L51" s="25">
        <f>'Financial Statements'!L51/'Financial Statements'!L$10</f>
        <v>0</v>
      </c>
      <c r="M51" s="25">
        <f>'Financial Statements'!M51/'Financial Statements'!M$10</f>
        <v>0</v>
      </c>
    </row>
    <row r="52" spans="1:13" ht="12.75" customHeight="1" thickBot="1" x14ac:dyDescent="0.25">
      <c r="A52" s="5" t="s">
        <v>22</v>
      </c>
      <c r="B52" s="29">
        <f>'Financial Statements'!B52/'Financial Statements'!B$10</f>
        <v>5.4404042519263784E-2</v>
      </c>
      <c r="C52" s="29">
        <f>'Financial Statements'!C52/'Financial Statements'!C$10</f>
        <v>4.4896360111410794E-2</v>
      </c>
      <c r="D52" s="29">
        <f>'Financial Statements'!D52/'Financial Statements'!D$10</f>
        <v>4.8915623581295802E-2</v>
      </c>
      <c r="E52" s="29">
        <f>'Financial Statements'!E52/'Financial Statements'!E$10</f>
        <v>6.2429398883090889E-2</v>
      </c>
      <c r="F52" s="29">
        <f>'Financial Statements'!F52/'Financial Statements'!F$10</f>
        <v>6.4658799671643591E-2</v>
      </c>
      <c r="G52" s="29">
        <f>'Financial Statements'!G52/'Financial Statements'!G$10</f>
        <v>7.7486042007202494E-2</v>
      </c>
      <c r="H52" s="29">
        <f>'Financial Statements'!H52/'Financial Statements'!H$10</f>
        <v>5.5805444958570961E-2</v>
      </c>
      <c r="I52" s="29">
        <f>'Financial Statements'!I52/'Financial Statements'!I$10</f>
        <v>2.9376822551031429E-2</v>
      </c>
      <c r="J52" s="29">
        <f>'Financial Statements'!J52/'Financial Statements'!J$10</f>
        <v>5.6837366347777155E-2</v>
      </c>
      <c r="K52" s="29">
        <f>'Financial Statements'!K52/'Financial Statements'!K$10</f>
        <v>7.8046744574290478E-2</v>
      </c>
      <c r="L52" s="29">
        <f>'Financial Statements'!L52/'Financial Statements'!L$10</f>
        <v>7.5866987608094849E-2</v>
      </c>
      <c r="M52" s="29">
        <f>'Financial Statements'!M52/'Financial Statements'!M$10</f>
        <v>7.5866987608094849E-2</v>
      </c>
    </row>
    <row r="53" spans="1:13" ht="12.75" customHeight="1" thickTop="1" x14ac:dyDescent="0.2">
      <c r="A53" s="1" t="s">
        <v>75</v>
      </c>
      <c r="B53" s="25">
        <f>'Financial Statements'!B53/'Financial Statements'!B$10</f>
        <v>6.5707956989406442E-4</v>
      </c>
      <c r="C53" s="25">
        <f>'Financial Statements'!C53/'Financial Statements'!C$10</f>
        <v>4.0106783881754875E-4</v>
      </c>
      <c r="D53" s="25">
        <f>'Financial Statements'!D53/'Financial Statements'!D$10</f>
        <v>3.0287307866917442E-4</v>
      </c>
      <c r="E53" s="25">
        <f>'Financial Statements'!E53/'Financial Statements'!E$10</f>
        <v>2.7819058874525902E-4</v>
      </c>
      <c r="F53" s="25">
        <f>'Financial Statements'!F53/'Financial Statements'!F$10</f>
        <v>2.033805382510158E-4</v>
      </c>
      <c r="G53" s="25">
        <f>'Financial Statements'!G53/'Financial Statements'!G$10</f>
        <v>4.4802491125391238E-4</v>
      </c>
      <c r="H53" s="25">
        <f>'Financial Statements'!H53/'Financial Statements'!H$10</f>
        <v>3.7232325406219731E-4</v>
      </c>
      <c r="I53" s="25">
        <f>'Financial Statements'!I53/'Financial Statements'!I$10</f>
        <v>2.1600604816934875E-4</v>
      </c>
      <c r="J53" s="25">
        <f>'Financial Statements'!J53/'Financial Statements'!J$10</f>
        <v>4.6895516788595011E-4</v>
      </c>
      <c r="K53" s="25">
        <f>'Financial Statements'!K53/'Financial Statements'!K$10</f>
        <v>4.1736227045075126E-4</v>
      </c>
      <c r="L53" s="25">
        <f>'Financial Statements'!L53/'Financial Statements'!L$10</f>
        <v>5.3490238031559236E-4</v>
      </c>
      <c r="M53" s="25">
        <f>'Financial Statements'!M53/'Financial Statements'!M$10</f>
        <v>5.3490238031559236E-4</v>
      </c>
    </row>
    <row r="54" spans="1:13" ht="12.75" customHeight="1" x14ac:dyDescent="0.2">
      <c r="A54" s="5" t="s">
        <v>76</v>
      </c>
      <c r="B54" s="28">
        <f>'Financial Statements'!B54/'Financial Statements'!B$10</f>
        <v>5.3746962949369717E-2</v>
      </c>
      <c r="C54" s="28">
        <f>'Financial Statements'!C54/'Financial Statements'!C$10</f>
        <v>4.4495292272593245E-2</v>
      </c>
      <c r="D54" s="28">
        <f>'Financial Statements'!D54/'Financial Statements'!D$10</f>
        <v>4.8612750502626631E-2</v>
      </c>
      <c r="E54" s="28">
        <f>'Financial Statements'!E54/'Financial Statements'!E$10</f>
        <v>6.2151208294345624E-2</v>
      </c>
      <c r="F54" s="28">
        <f>'Financial Statements'!F54/'Financial Statements'!F$10</f>
        <v>6.4455419133392575E-2</v>
      </c>
      <c r="G54" s="28">
        <f>'Financial Statements'!G54/'Financial Statements'!G$10</f>
        <v>7.7038017095948583E-2</v>
      </c>
      <c r="H54" s="28">
        <f>'Financial Statements'!H54/'Financial Statements'!H$10</f>
        <v>5.5433121704508766E-2</v>
      </c>
      <c r="I54" s="28">
        <f>'Financial Statements'!I54/'Financial Statements'!I$10</f>
        <v>2.9160816502862081E-2</v>
      </c>
      <c r="J54" s="28">
        <f>'Financial Statements'!J54/'Financial Statements'!J$10</f>
        <v>5.6368411179891199E-2</v>
      </c>
      <c r="K54" s="28">
        <f>'Financial Statements'!K54/'Financial Statements'!K$10</f>
        <v>7.7629382303839728E-2</v>
      </c>
      <c r="L54" s="28">
        <f>'Financial Statements'!L54/'Financial Statements'!L$10</f>
        <v>7.5332085227779261E-2</v>
      </c>
      <c r="M54" s="28">
        <f>'Financial Statements'!M54/'Financial Statements'!M$10</f>
        <v>7.5332085227779261E-2</v>
      </c>
    </row>
    <row r="55" spans="1:13" ht="12.75" customHeight="1" x14ac:dyDescent="0.2">
      <c r="A55" s="5" t="s">
        <v>77</v>
      </c>
      <c r="B55" s="28">
        <f>'Financial Statements'!B55/'Financial Statements'!B$10</f>
        <v>5.3746962949369717E-2</v>
      </c>
      <c r="C55" s="28">
        <f>'Financial Statements'!C55/'Financial Statements'!C$10</f>
        <v>4.4495292272593245E-2</v>
      </c>
      <c r="D55" s="28">
        <f>'Financial Statements'!D55/'Financial Statements'!D$10</f>
        <v>4.8612750502626631E-2</v>
      </c>
      <c r="E55" s="28">
        <f>'Financial Statements'!E55/'Financial Statements'!E$10</f>
        <v>6.2151208294345624E-2</v>
      </c>
      <c r="F55" s="28">
        <f>'Financial Statements'!F55/'Financial Statements'!F$10</f>
        <v>6.4455419133392575E-2</v>
      </c>
      <c r="G55" s="28">
        <f>'Financial Statements'!G55/'Financial Statements'!G$10</f>
        <v>7.7038017095948583E-2</v>
      </c>
      <c r="H55" s="28">
        <f>'Financial Statements'!H55/'Financial Statements'!H$10</f>
        <v>5.5433121704508766E-2</v>
      </c>
      <c r="I55" s="28">
        <f>'Financial Statements'!I55/'Financial Statements'!I$10</f>
        <v>2.9160816502862081E-2</v>
      </c>
      <c r="J55" s="28">
        <f>'Financial Statements'!J55/'Financial Statements'!J$10</f>
        <v>5.6368411179891199E-2</v>
      </c>
      <c r="K55" s="28">
        <f>'Financial Statements'!K55/'Financial Statements'!K$10</f>
        <v>7.7629382303839728E-2</v>
      </c>
      <c r="L55" s="28">
        <f>'Financial Statements'!L55/'Financial Statements'!L$10</f>
        <v>7.5332085227779261E-2</v>
      </c>
      <c r="M55" s="28">
        <f>'Financial Statements'!M55/'Financial Statements'!M$10</f>
        <v>7.5332085227779261E-2</v>
      </c>
    </row>
    <row r="56" spans="1:13" ht="12.75" customHeight="1" x14ac:dyDescent="0.2">
      <c r="A56" s="1" t="s">
        <v>85</v>
      </c>
      <c r="B56" s="25">
        <f>'Financial Statements'!B281/'Financial Statements'!B$311</f>
        <v>6.2298454140977379E-2</v>
      </c>
      <c r="C56" s="25">
        <f>'Financial Statements'!C281/'Financial Statements'!C$311</f>
        <v>6.4456042726212193E-2</v>
      </c>
      <c r="D56" s="25">
        <f>'Financial Statements'!D281/'Financial Statements'!D$311</f>
        <v>7.9564267808715033E-2</v>
      </c>
      <c r="E56" s="25">
        <f>'Financial Statements'!E281/'Financial Statements'!E$311</f>
        <v>7.4113200417240704E-2</v>
      </c>
      <c r="F56" s="25">
        <f>'Financial Statements'!F281/'Financial Statements'!F$311</f>
        <v>0.15475725109439656</v>
      </c>
      <c r="G56" s="25">
        <f>'Financial Statements'!G281/'Financial Statements'!G$311</f>
        <v>0.18018670809027784</v>
      </c>
      <c r="H56" s="25">
        <f>'Financial Statements'!H281/'Financial Statements'!H$311</f>
        <v>0.11549271231376258</v>
      </c>
      <c r="I56" s="25">
        <f>'Financial Statements'!I281/'Financial Statements'!I$311</f>
        <v>6.1804840189953615E-2</v>
      </c>
      <c r="J56" s="25">
        <f>'Financial Statements'!J281/'Financial Statements'!J$311</f>
        <v>8.4399756246191351E-2</v>
      </c>
      <c r="K56" s="25">
        <f>'Financial Statements'!K281/'Financial Statements'!K$311</f>
        <v>0.12103391684901532</v>
      </c>
      <c r="L56" s="25">
        <f>'Financial Statements'!L281/'Financial Statements'!L$311</f>
        <v>0.10227592020230401</v>
      </c>
      <c r="M56" s="25">
        <f>'Financial Statements'!M281/'Financial Statements'!M$311</f>
        <v>0.10227592020230401</v>
      </c>
    </row>
    <row r="57" spans="1:13" ht="12.75" customHeight="1" x14ac:dyDescent="0.2">
      <c r="A57" s="1" t="s">
        <v>86</v>
      </c>
      <c r="B57" s="25">
        <f>'Financial Statements'!B282/'Financial Statements'!B$311</f>
        <v>0</v>
      </c>
      <c r="C57" s="25">
        <f>'Financial Statements'!C282/'Financial Statements'!C$311</f>
        <v>0</v>
      </c>
      <c r="D57" s="25">
        <f>'Financial Statements'!D282/'Financial Statements'!D$311</f>
        <v>0</v>
      </c>
      <c r="E57" s="25">
        <f>'Financial Statements'!E282/'Financial Statements'!E$311</f>
        <v>0</v>
      </c>
      <c r="F57" s="25">
        <f>'Financial Statements'!F282/'Financial Statements'!F$311</f>
        <v>0</v>
      </c>
      <c r="G57" s="25">
        <f>'Financial Statements'!G282/'Financial Statements'!G$311</f>
        <v>0</v>
      </c>
      <c r="H57" s="25">
        <f>'Financial Statements'!H282/'Financial Statements'!H$311</f>
        <v>0</v>
      </c>
      <c r="I57" s="25">
        <f>'Financial Statements'!I282/'Financial Statements'!I$311</f>
        <v>0</v>
      </c>
      <c r="J57" s="25">
        <f>'Financial Statements'!J282/'Financial Statements'!J$311</f>
        <v>0</v>
      </c>
      <c r="K57" s="25">
        <f>'Financial Statements'!K282/'Financial Statements'!K$311</f>
        <v>0</v>
      </c>
      <c r="L57" s="25">
        <f>'Financial Statements'!L282/'Financial Statements'!L$311</f>
        <v>0</v>
      </c>
      <c r="M57" s="25">
        <f>'Financial Statements'!M282/'Financial Statements'!M$311</f>
        <v>0</v>
      </c>
    </row>
    <row r="58" spans="1:13" ht="12.75" customHeight="1" x14ac:dyDescent="0.2">
      <c r="A58" s="1" t="s">
        <v>170</v>
      </c>
      <c r="B58" s="25">
        <f>'Financial Statements'!B283/'Financial Statements'!B$311</f>
        <v>0</v>
      </c>
      <c r="C58" s="25">
        <f>'Financial Statements'!C283/'Financial Statements'!C$311</f>
        <v>0</v>
      </c>
      <c r="D58" s="25">
        <f>'Financial Statements'!D283/'Financial Statements'!D$311</f>
        <v>1.940875928397205E-4</v>
      </c>
      <c r="E58" s="25">
        <f>'Financial Statements'!E283/'Financial Statements'!E$311</f>
        <v>4.6713838074178968E-4</v>
      </c>
      <c r="F58" s="25">
        <f>'Financial Statements'!F283/'Financial Statements'!F$311</f>
        <v>0</v>
      </c>
      <c r="G58" s="25">
        <f>'Financial Statements'!G283/'Financial Statements'!G$311</f>
        <v>0</v>
      </c>
      <c r="H58" s="25">
        <f>'Financial Statements'!H283/'Financial Statements'!H$311</f>
        <v>0</v>
      </c>
      <c r="I58" s="25">
        <f>'Financial Statements'!I283/'Financial Statements'!I$311</f>
        <v>1.7166230170676138E-3</v>
      </c>
      <c r="J58" s="25">
        <f>'Financial Statements'!J283/'Financial Statements'!J$311</f>
        <v>0</v>
      </c>
      <c r="K58" s="25">
        <f>'Financial Statements'!K283/'Financial Statements'!K$311</f>
        <v>0</v>
      </c>
      <c r="L58" s="25">
        <f>'Financial Statements'!L283/'Financial Statements'!L$311</f>
        <v>0</v>
      </c>
      <c r="M58" s="25">
        <f>'Financial Statements'!M283/'Financial Statements'!M$311</f>
        <v>0</v>
      </c>
    </row>
    <row r="59" spans="1:13" ht="12.75" customHeight="1" x14ac:dyDescent="0.2">
      <c r="A59" s="5" t="s">
        <v>87</v>
      </c>
      <c r="B59" s="26">
        <f>'Financial Statements'!B284/'Financial Statements'!B$311</f>
        <v>6.2298454140977379E-2</v>
      </c>
      <c r="C59" s="26">
        <f>'Financial Statements'!C284/'Financial Statements'!C$311</f>
        <v>6.4456042726212193E-2</v>
      </c>
      <c r="D59" s="26">
        <f>'Financial Statements'!D284/'Financial Statements'!D$311</f>
        <v>7.9758355401554751E-2</v>
      </c>
      <c r="E59" s="26">
        <f>'Financial Statements'!E284/'Financial Statements'!E$311</f>
        <v>7.4580338797982482E-2</v>
      </c>
      <c r="F59" s="26">
        <f>'Financial Statements'!F284/'Financial Statements'!F$311</f>
        <v>0.15475725109439656</v>
      </c>
      <c r="G59" s="26">
        <f>'Financial Statements'!G284/'Financial Statements'!G$311</f>
        <v>0.18018670809027784</v>
      </c>
      <c r="H59" s="26">
        <f>'Financial Statements'!H284/'Financial Statements'!H$311</f>
        <v>0.11549271231376258</v>
      </c>
      <c r="I59" s="26">
        <f>'Financial Statements'!I284/'Financial Statements'!I$311</f>
        <v>6.3521463207021234E-2</v>
      </c>
      <c r="J59" s="26">
        <f>'Financial Statements'!J284/'Financial Statements'!J$311</f>
        <v>8.4399756246191351E-2</v>
      </c>
      <c r="K59" s="26">
        <f>'Financial Statements'!K284/'Financial Statements'!K$311</f>
        <v>0.12103391684901532</v>
      </c>
      <c r="L59" s="26">
        <f>'Financial Statements'!L284/'Financial Statements'!L$311</f>
        <v>0.10227592020230401</v>
      </c>
      <c r="M59" s="26">
        <f>'Financial Statements'!M284/'Financial Statements'!M$311</f>
        <v>0.10227592020230401</v>
      </c>
    </row>
    <row r="60" spans="1:13" ht="12.75" customHeight="1" x14ac:dyDescent="0.2">
      <c r="A60" s="1" t="s">
        <v>55</v>
      </c>
      <c r="B60" s="25">
        <f>'Financial Statements'!B285/'Financial Statements'!B$311</f>
        <v>0.29642468816555606</v>
      </c>
      <c r="C60" s="25">
        <f>'Financial Statements'!C285/'Financial Statements'!C$311</f>
        <v>0.29403472468245129</v>
      </c>
      <c r="D60" s="25">
        <f>'Financial Statements'!D285/'Financial Statements'!D$311</f>
        <v>0.31434010634336479</v>
      </c>
      <c r="E60" s="25">
        <f>'Financial Statements'!E285/'Financial Statements'!E$311</f>
        <v>0.34718663952914541</v>
      </c>
      <c r="F60" s="25">
        <f>'Financial Statements'!F285/'Financial Statements'!F$311</f>
        <v>0.30443916373207486</v>
      </c>
      <c r="G60" s="25">
        <f>'Financial Statements'!G285/'Financial Statements'!G$311</f>
        <v>0.25672662434965737</v>
      </c>
      <c r="H60" s="25">
        <f>'Financial Statements'!H285/'Financial Statements'!H$311</f>
        <v>0.26935006202727541</v>
      </c>
      <c r="I60" s="25">
        <f>'Financial Statements'!I285/'Financial Statements'!I$311</f>
        <v>0.27093944236390516</v>
      </c>
      <c r="J60" s="25">
        <f>'Financial Statements'!J285/'Financial Statements'!J$311</f>
        <v>0.31185252894576476</v>
      </c>
      <c r="K60" s="25">
        <f>'Financial Statements'!K285/'Financial Statements'!K$311</f>
        <v>0.31058533916849013</v>
      </c>
      <c r="L60" s="25">
        <f>'Financial Statements'!L285/'Financial Statements'!L$311</f>
        <v>0.28982860354032031</v>
      </c>
      <c r="M60" s="25">
        <f>'Financial Statements'!M285/'Financial Statements'!M$311</f>
        <v>0.28982860354032031</v>
      </c>
    </row>
    <row r="61" spans="1:13" ht="12.75" customHeight="1" x14ac:dyDescent="0.2">
      <c r="A61" s="1" t="s">
        <v>171</v>
      </c>
      <c r="B61" s="25">
        <f>'Financial Statements'!B286/'Financial Statements'!B$311</f>
        <v>0</v>
      </c>
      <c r="C61" s="25">
        <f>'Financial Statements'!C286/'Financial Statements'!C$311</f>
        <v>0</v>
      </c>
      <c r="D61" s="25">
        <f>'Financial Statements'!D286/'Financial Statements'!D$311</f>
        <v>0</v>
      </c>
      <c r="E61" s="25">
        <f>'Financial Statements'!E286/'Financial Statements'!E$311</f>
        <v>0</v>
      </c>
      <c r="F61" s="25">
        <f>'Financial Statements'!F286/'Financial Statements'!F$311</f>
        <v>0</v>
      </c>
      <c r="G61" s="25">
        <f>'Financial Statements'!G286/'Financial Statements'!G$311</f>
        <v>3.1918861022826928E-2</v>
      </c>
      <c r="H61" s="25">
        <f>'Financial Statements'!H286/'Financial Statements'!H$311</f>
        <v>7.8236516846939934E-3</v>
      </c>
      <c r="I61" s="25">
        <f>'Financial Statements'!I286/'Financial Statements'!I$311</f>
        <v>3.6077324822017713E-3</v>
      </c>
      <c r="J61" s="25">
        <f>'Financial Statements'!J286/'Financial Statements'!J$311</f>
        <v>7.1602681291895185E-3</v>
      </c>
      <c r="K61" s="25">
        <f>'Financial Statements'!K286/'Financial Statements'!K$311</f>
        <v>0</v>
      </c>
      <c r="L61" s="25">
        <f>'Financial Statements'!L286/'Financial Statements'!L$311</f>
        <v>0</v>
      </c>
      <c r="M61" s="25">
        <f>'Financial Statements'!M286/'Financial Statements'!M$311</f>
        <v>0</v>
      </c>
    </row>
    <row r="62" spans="1:13" ht="12.75" customHeight="1" x14ac:dyDescent="0.2">
      <c r="A62" s="1" t="s">
        <v>88</v>
      </c>
      <c r="B62" s="25">
        <f>'Financial Statements'!B287/'Financial Statements'!B$311</f>
        <v>0</v>
      </c>
      <c r="C62" s="25">
        <f>'Financial Statements'!C287/'Financial Statements'!C$311</f>
        <v>0</v>
      </c>
      <c r="D62" s="25">
        <f>'Financial Statements'!D287/'Financial Statements'!D$311</f>
        <v>0</v>
      </c>
      <c r="E62" s="25">
        <f>'Financial Statements'!E287/'Financial Statements'!E$311</f>
        <v>0</v>
      </c>
      <c r="F62" s="25">
        <f>'Financial Statements'!F287/'Financial Statements'!F$311</f>
        <v>0</v>
      </c>
      <c r="G62" s="25">
        <f>'Financial Statements'!G287/'Financial Statements'!G$311</f>
        <v>0</v>
      </c>
      <c r="H62" s="25">
        <f>'Financial Statements'!H287/'Financial Statements'!H$311</f>
        <v>0</v>
      </c>
      <c r="I62" s="25">
        <f>'Financial Statements'!I287/'Financial Statements'!I$311</f>
        <v>0</v>
      </c>
      <c r="J62" s="25">
        <f>'Financial Statements'!J287/'Financial Statements'!J$311</f>
        <v>0</v>
      </c>
      <c r="K62" s="25">
        <f>'Financial Statements'!K287/'Financial Statements'!K$311</f>
        <v>0</v>
      </c>
      <c r="L62" s="25">
        <f>'Financial Statements'!L287/'Financial Statements'!L$311</f>
        <v>0</v>
      </c>
      <c r="M62" s="25">
        <f>'Financial Statements'!M287/'Financial Statements'!M$311</f>
        <v>0</v>
      </c>
    </row>
    <row r="63" spans="1:13" ht="12.75" customHeight="1" x14ac:dyDescent="0.2">
      <c r="A63" s="5" t="s">
        <v>89</v>
      </c>
      <c r="B63" s="26">
        <f>'Financial Statements'!B288/'Financial Statements'!B$311</f>
        <v>0.29642468816555606</v>
      </c>
      <c r="C63" s="26">
        <f>'Financial Statements'!C288/'Financial Statements'!C$311</f>
        <v>0.29403472468245129</v>
      </c>
      <c r="D63" s="26">
        <f>'Financial Statements'!D288/'Financial Statements'!D$311</f>
        <v>0.31434010634336479</v>
      </c>
      <c r="E63" s="26">
        <f>'Financial Statements'!E288/'Financial Statements'!E$311</f>
        <v>0.34718663952914541</v>
      </c>
      <c r="F63" s="26">
        <f>'Financial Statements'!F288/'Financial Statements'!F$311</f>
        <v>0.30443916373207486</v>
      </c>
      <c r="G63" s="26">
        <f>'Financial Statements'!G288/'Financial Statements'!G$311</f>
        <v>0.2886454853724843</v>
      </c>
      <c r="H63" s="26">
        <f>'Financial Statements'!H288/'Financial Statements'!H$311</f>
        <v>0.27717371371196942</v>
      </c>
      <c r="I63" s="26">
        <f>'Financial Statements'!I288/'Financial Statements'!I$311</f>
        <v>0.27454717484610691</v>
      </c>
      <c r="J63" s="26">
        <f>'Financial Statements'!J288/'Financial Statements'!J$311</f>
        <v>0.31901279707495428</v>
      </c>
      <c r="K63" s="26">
        <f>'Financial Statements'!K288/'Financial Statements'!K$311</f>
        <v>0.31058533916849013</v>
      </c>
      <c r="L63" s="26">
        <f>'Financial Statements'!L288/'Financial Statements'!L$311</f>
        <v>0.28982860354032031</v>
      </c>
      <c r="M63" s="26">
        <f>'Financial Statements'!M288/'Financial Statements'!M$311</f>
        <v>0.28982860354032031</v>
      </c>
    </row>
    <row r="64" spans="1:13" ht="12.75" customHeight="1" x14ac:dyDescent="0.2">
      <c r="A64" s="1" t="s">
        <v>90</v>
      </c>
      <c r="B64" s="25">
        <f>'Financial Statements'!B289/'Financial Statements'!B$311</f>
        <v>0</v>
      </c>
      <c r="C64" s="25">
        <f>'Financial Statements'!C289/'Financial Statements'!C$311</f>
        <v>0</v>
      </c>
      <c r="D64" s="25">
        <f>'Financial Statements'!D289/'Financial Statements'!D$311</f>
        <v>0</v>
      </c>
      <c r="E64" s="25">
        <f>'Financial Statements'!E289/'Financial Statements'!E$311</f>
        <v>0</v>
      </c>
      <c r="F64" s="25">
        <f>'Financial Statements'!F289/'Financial Statements'!F$311</f>
        <v>0</v>
      </c>
      <c r="G64" s="25">
        <f>'Financial Statements'!G289/'Financial Statements'!G$311</f>
        <v>0</v>
      </c>
      <c r="H64" s="25">
        <f>'Financial Statements'!H289/'Financial Statements'!H$311</f>
        <v>0</v>
      </c>
      <c r="I64" s="25">
        <f>'Financial Statements'!I289/'Financial Statements'!I$311</f>
        <v>0</v>
      </c>
      <c r="J64" s="25">
        <f>'Financial Statements'!J289/'Financial Statements'!J$311</f>
        <v>0</v>
      </c>
      <c r="K64" s="25">
        <f>'Financial Statements'!K289/'Financial Statements'!K$311</f>
        <v>0</v>
      </c>
      <c r="L64" s="25">
        <f>'Financial Statements'!L289/'Financial Statements'!L$311</f>
        <v>0</v>
      </c>
      <c r="M64" s="25">
        <f>'Financial Statements'!M289/'Financial Statements'!M$311</f>
        <v>0</v>
      </c>
    </row>
    <row r="65" spans="1:13" ht="12.75" customHeight="1" x14ac:dyDescent="0.2">
      <c r="A65" s="1" t="s">
        <v>91</v>
      </c>
      <c r="B65" s="25">
        <f>'Financial Statements'!B290/'Financial Statements'!B$311</f>
        <v>3.6527160749339489E-2</v>
      </c>
      <c r="C65" s="25">
        <f>'Financial Statements'!C290/'Financial Statements'!C$311</f>
        <v>2.5274339221577746E-2</v>
      </c>
      <c r="D65" s="25">
        <f>'Financial Statements'!D290/'Financial Statements'!D$311</f>
        <v>1.9577615489742607E-2</v>
      </c>
      <c r="E65" s="25">
        <f>'Financial Statements'!E290/'Financial Statements'!E$311</f>
        <v>2.1711756829158622E-2</v>
      </c>
      <c r="F65" s="25">
        <f>'Financial Statements'!F290/'Financial Statements'!F$311</f>
        <v>2.6453253944646246E-2</v>
      </c>
      <c r="G65" s="25">
        <f>'Financial Statements'!G290/'Financial Statements'!G$311</f>
        <v>1.0506580386468036E-2</v>
      </c>
      <c r="H65" s="25">
        <f>'Financial Statements'!H290/'Financial Statements'!H$311</f>
        <v>1.3216166092032711E-2</v>
      </c>
      <c r="I65" s="25">
        <f>'Financial Statements'!I290/'Financial Statements'!I$311</f>
        <v>1.1218425280414834E-2</v>
      </c>
      <c r="J65" s="25">
        <f>'Financial Statements'!J290/'Financial Statements'!J$311</f>
        <v>1.3863497867154174E-2</v>
      </c>
      <c r="K65" s="25">
        <f>'Financial Statements'!K290/'Financial Statements'!K$311</f>
        <v>2.1471553610503281E-2</v>
      </c>
      <c r="L65" s="25">
        <f>'Financial Statements'!L290/'Financial Statements'!L$311</f>
        <v>2.3883113234054509E-2</v>
      </c>
      <c r="M65" s="25">
        <f>'Financial Statements'!M290/'Financial Statements'!M$311</f>
        <v>2.3883113234054509E-2</v>
      </c>
    </row>
    <row r="66" spans="1:13" ht="12.75" customHeight="1" x14ac:dyDescent="0.2">
      <c r="A66" s="1" t="s">
        <v>172</v>
      </c>
      <c r="B66" s="25">
        <f>'Financial Statements'!B291/'Financial Statements'!B$311</f>
        <v>0</v>
      </c>
      <c r="C66" s="25">
        <f>'Financial Statements'!C291/'Financial Statements'!C$311</f>
        <v>0</v>
      </c>
      <c r="D66" s="25">
        <f>'Financial Statements'!D291/'Financial Statements'!D$311</f>
        <v>0</v>
      </c>
      <c r="E66" s="25">
        <f>'Financial Statements'!E291/'Financial Statements'!E$311</f>
        <v>0</v>
      </c>
      <c r="F66" s="25">
        <f>'Financial Statements'!F291/'Financial Statements'!F$311</f>
        <v>0</v>
      </c>
      <c r="G66" s="25">
        <f>'Financial Statements'!G291/'Financial Statements'!G$311</f>
        <v>0</v>
      </c>
      <c r="H66" s="25">
        <f>'Financial Statements'!H291/'Financial Statements'!H$311</f>
        <v>0</v>
      </c>
      <c r="I66" s="25">
        <f>'Financial Statements'!I291/'Financial Statements'!I$311</f>
        <v>0</v>
      </c>
      <c r="J66" s="25">
        <f>'Financial Statements'!J291/'Financial Statements'!J$311</f>
        <v>0</v>
      </c>
      <c r="K66" s="25">
        <f>'Financial Statements'!K291/'Financial Statements'!K$311</f>
        <v>0</v>
      </c>
      <c r="L66" s="25">
        <f>'Financial Statements'!L291/'Financial Statements'!L$311</f>
        <v>0</v>
      </c>
      <c r="M66" s="25">
        <f>'Financial Statements'!M291/'Financial Statements'!M$311</f>
        <v>0</v>
      </c>
    </row>
    <row r="67" spans="1:13" ht="12.75" customHeight="1" x14ac:dyDescent="0.2">
      <c r="A67" s="1" t="s">
        <v>173</v>
      </c>
      <c r="B67" s="25">
        <f>'Financial Statements'!B292/'Financial Statements'!B$311</f>
        <v>0</v>
      </c>
      <c r="C67" s="25">
        <f>'Financial Statements'!C292/'Financial Statements'!C$311</f>
        <v>0</v>
      </c>
      <c r="D67" s="25">
        <f>'Financial Statements'!D292/'Financial Statements'!D$311</f>
        <v>0</v>
      </c>
      <c r="E67" s="25">
        <f>'Financial Statements'!E292/'Financial Statements'!E$311</f>
        <v>0</v>
      </c>
      <c r="F67" s="25">
        <f>'Financial Statements'!F292/'Financial Statements'!F$311</f>
        <v>0</v>
      </c>
      <c r="G67" s="25">
        <f>'Financial Statements'!G292/'Financial Statements'!G$311</f>
        <v>0</v>
      </c>
      <c r="H67" s="25">
        <f>'Financial Statements'!H292/'Financial Statements'!H$311</f>
        <v>0</v>
      </c>
      <c r="I67" s="25">
        <f>'Financial Statements'!I292/'Financial Statements'!I$311</f>
        <v>0</v>
      </c>
      <c r="J67" s="25">
        <f>'Financial Statements'!J292/'Financial Statements'!J$311</f>
        <v>0</v>
      </c>
      <c r="K67" s="25">
        <f>'Financial Statements'!K292/'Financial Statements'!K$311</f>
        <v>0</v>
      </c>
      <c r="L67" s="25">
        <f>'Financial Statements'!L292/'Financial Statements'!L$311</f>
        <v>0</v>
      </c>
      <c r="M67" s="25">
        <f>'Financial Statements'!M292/'Financial Statements'!M$311</f>
        <v>0</v>
      </c>
    </row>
    <row r="68" spans="1:13" ht="12.75" customHeight="1" x14ac:dyDescent="0.2">
      <c r="A68" s="1" t="s">
        <v>174</v>
      </c>
      <c r="B68" s="25">
        <f>'Financial Statements'!B293/'Financial Statements'!B$311</f>
        <v>0</v>
      </c>
      <c r="C68" s="25">
        <f>'Financial Statements'!C293/'Financial Statements'!C$311</f>
        <v>0</v>
      </c>
      <c r="D68" s="25">
        <f>'Financial Statements'!D293/'Financial Statements'!D$311</f>
        <v>0</v>
      </c>
      <c r="E68" s="25">
        <f>'Financial Statements'!E293/'Financial Statements'!E$311</f>
        <v>0</v>
      </c>
      <c r="F68" s="25">
        <f>'Financial Statements'!F293/'Financial Statements'!F$311</f>
        <v>0</v>
      </c>
      <c r="G68" s="25">
        <f>'Financial Statements'!G293/'Financial Statements'!G$311</f>
        <v>0</v>
      </c>
      <c r="H68" s="25">
        <f>'Financial Statements'!H293/'Financial Statements'!H$311</f>
        <v>0</v>
      </c>
      <c r="I68" s="25">
        <f>'Financial Statements'!I293/'Financial Statements'!I$311</f>
        <v>0</v>
      </c>
      <c r="J68" s="25">
        <f>'Financial Statements'!J293/'Financial Statements'!J$311</f>
        <v>0</v>
      </c>
      <c r="K68" s="25">
        <f>'Financial Statements'!K293/'Financial Statements'!K$311</f>
        <v>0</v>
      </c>
      <c r="L68" s="25">
        <f>'Financial Statements'!L293/'Financial Statements'!L$311</f>
        <v>0</v>
      </c>
      <c r="M68" s="25">
        <f>'Financial Statements'!M293/'Financial Statements'!M$311</f>
        <v>0</v>
      </c>
    </row>
    <row r="69" spans="1:13" ht="12.75" customHeight="1" x14ac:dyDescent="0.2">
      <c r="A69" s="1" t="s">
        <v>130</v>
      </c>
      <c r="B69" s="25">
        <f>'Financial Statements'!B294/'Financial Statements'!B$311</f>
        <v>0</v>
      </c>
      <c r="C69" s="25">
        <f>'Financial Statements'!C294/'Financial Statements'!C$311</f>
        <v>0</v>
      </c>
      <c r="D69" s="25">
        <f>'Financial Statements'!D294/'Financial Statements'!D$311</f>
        <v>0</v>
      </c>
      <c r="E69" s="25">
        <f>'Financial Statements'!E294/'Financial Statements'!E$311</f>
        <v>0</v>
      </c>
      <c r="F69" s="25">
        <f>'Financial Statements'!F294/'Financial Statements'!F$311</f>
        <v>0</v>
      </c>
      <c r="G69" s="25">
        <f>'Financial Statements'!G294/'Financial Statements'!G$311</f>
        <v>0</v>
      </c>
      <c r="H69" s="25">
        <f>'Financial Statements'!H294/'Financial Statements'!H$311</f>
        <v>0</v>
      </c>
      <c r="I69" s="25">
        <f>'Financial Statements'!I294/'Financial Statements'!I$311</f>
        <v>0</v>
      </c>
      <c r="J69" s="25">
        <f>'Financial Statements'!J294/'Financial Statements'!J$311</f>
        <v>0</v>
      </c>
      <c r="K69" s="25">
        <f>'Financial Statements'!K294/'Financial Statements'!K$311</f>
        <v>0</v>
      </c>
      <c r="L69" s="25">
        <f>'Financial Statements'!L294/'Financial Statements'!L$311</f>
        <v>0</v>
      </c>
      <c r="M69" s="25">
        <f>'Financial Statements'!M294/'Financial Statements'!M$311</f>
        <v>0</v>
      </c>
    </row>
    <row r="70" spans="1:13" ht="12.75" customHeight="1" x14ac:dyDescent="0.2">
      <c r="A70" s="1" t="s">
        <v>175</v>
      </c>
      <c r="B70" s="25">
        <f>'Financial Statements'!B295/'Financial Statements'!B$311</f>
        <v>0</v>
      </c>
      <c r="C70" s="25">
        <f>'Financial Statements'!C295/'Financial Statements'!C$311</f>
        <v>0</v>
      </c>
      <c r="D70" s="25">
        <f>'Financial Statements'!D295/'Financial Statements'!D$311</f>
        <v>0</v>
      </c>
      <c r="E70" s="25">
        <f>'Financial Statements'!E295/'Financial Statements'!E$311</f>
        <v>0</v>
      </c>
      <c r="F70" s="25">
        <f>'Financial Statements'!F295/'Financial Statements'!F$311</f>
        <v>0</v>
      </c>
      <c r="G70" s="25">
        <f>'Financial Statements'!G295/'Financial Statements'!G$311</f>
        <v>0</v>
      </c>
      <c r="H70" s="25">
        <f>'Financial Statements'!H295/'Financial Statements'!H$311</f>
        <v>0</v>
      </c>
      <c r="I70" s="25">
        <f>'Financial Statements'!I295/'Financial Statements'!I$311</f>
        <v>0</v>
      </c>
      <c r="J70" s="25">
        <f>'Financial Statements'!J295/'Financial Statements'!J$311</f>
        <v>0</v>
      </c>
      <c r="K70" s="25">
        <f>'Financial Statements'!K295/'Financial Statements'!K$311</f>
        <v>0</v>
      </c>
      <c r="L70" s="25">
        <f>'Financial Statements'!L295/'Financial Statements'!L$311</f>
        <v>0</v>
      </c>
      <c r="M70" s="25">
        <f>'Financial Statements'!M295/'Financial Statements'!M$311</f>
        <v>0</v>
      </c>
    </row>
    <row r="71" spans="1:13" ht="12.75" customHeight="1" x14ac:dyDescent="0.2">
      <c r="A71" s="1" t="s">
        <v>131</v>
      </c>
      <c r="B71" s="25">
        <f>'Financial Statements'!B296/'Financial Statements'!B$311</f>
        <v>0</v>
      </c>
      <c r="C71" s="25">
        <f>'Financial Statements'!C296/'Financial Statements'!C$311</f>
        <v>0</v>
      </c>
      <c r="D71" s="25">
        <f>'Financial Statements'!D296/'Financial Statements'!D$311</f>
        <v>0</v>
      </c>
      <c r="E71" s="25">
        <f>'Financial Statements'!E296/'Financial Statements'!E$311</f>
        <v>0</v>
      </c>
      <c r="F71" s="25">
        <f>'Financial Statements'!F296/'Financial Statements'!F$311</f>
        <v>0</v>
      </c>
      <c r="G71" s="25">
        <f>'Financial Statements'!G296/'Financial Statements'!G$311</f>
        <v>0</v>
      </c>
      <c r="H71" s="25">
        <f>'Financial Statements'!H296/'Financial Statements'!H$311</f>
        <v>0</v>
      </c>
      <c r="I71" s="25">
        <f>'Financial Statements'!I296/'Financial Statements'!I$311</f>
        <v>0</v>
      </c>
      <c r="J71" s="25">
        <f>'Financial Statements'!J296/'Financial Statements'!J$311</f>
        <v>0</v>
      </c>
      <c r="K71" s="25">
        <f>'Financial Statements'!K296/'Financial Statements'!K$311</f>
        <v>0</v>
      </c>
      <c r="L71" s="25">
        <f>'Financial Statements'!L296/'Financial Statements'!L$311</f>
        <v>0</v>
      </c>
      <c r="M71" s="25">
        <f>'Financial Statements'!M296/'Financial Statements'!M$311</f>
        <v>0</v>
      </c>
    </row>
    <row r="72" spans="1:13" ht="12.75" customHeight="1" x14ac:dyDescent="0.2">
      <c r="A72" s="5" t="s">
        <v>45</v>
      </c>
      <c r="B72" s="26">
        <f>'Financial Statements'!B297/'Financial Statements'!B$311</f>
        <v>0.39525030305587294</v>
      </c>
      <c r="C72" s="26">
        <f>'Financial Statements'!C297/'Financial Statements'!C$311</f>
        <v>0.38376510663024127</v>
      </c>
      <c r="D72" s="26">
        <f>'Financial Statements'!D297/'Financial Statements'!D$311</f>
        <v>0.41367607723466215</v>
      </c>
      <c r="E72" s="26">
        <f>'Financial Statements'!E297/'Financial Statements'!E$311</f>
        <v>0.4434787351562865</v>
      </c>
      <c r="F72" s="26">
        <f>'Financial Statements'!F297/'Financial Statements'!F$311</f>
        <v>0.4856496687711177</v>
      </c>
      <c r="G72" s="26">
        <f>'Financial Statements'!G297/'Financial Statements'!G$311</f>
        <v>0.47933877384923018</v>
      </c>
      <c r="H72" s="26">
        <f>'Financial Statements'!H297/'Financial Statements'!H$311</f>
        <v>0.40588259211776467</v>
      </c>
      <c r="I72" s="26">
        <f>'Financial Statements'!I297/'Financial Statements'!I$311</f>
        <v>0.34928706333354298</v>
      </c>
      <c r="J72" s="26">
        <f>'Financial Statements'!J297/'Financial Statements'!J$311</f>
        <v>0.4172760511882998</v>
      </c>
      <c r="K72" s="26">
        <f>'Financial Statements'!K297/'Financial Statements'!K$311</f>
        <v>0.45309080962800874</v>
      </c>
      <c r="L72" s="26">
        <f>'Financial Statements'!L297/'Financial Statements'!L$311</f>
        <v>0.41598763697667884</v>
      </c>
      <c r="M72" s="26">
        <f>'Financial Statements'!M297/'Financial Statements'!M$311</f>
        <v>0.41598763697667884</v>
      </c>
    </row>
    <row r="73" spans="1:13" ht="12.75" customHeight="1" x14ac:dyDescent="0.2">
      <c r="A73" s="1" t="s">
        <v>92</v>
      </c>
      <c r="B73" s="25">
        <f>'Financial Statements'!B298/'Financial Statements'!B$311</f>
        <v>0.12297308026686857</v>
      </c>
      <c r="C73" s="25">
        <f>'Financial Statements'!C298/'Financial Statements'!C$311</f>
        <v>0.11968794330446281</v>
      </c>
      <c r="D73" s="25">
        <f>'Financial Statements'!D298/'Financial Statements'!D$311</f>
        <v>0.12361244700368959</v>
      </c>
      <c r="E73" s="25">
        <f>'Financial Statements'!E298/'Financial Statements'!E$311</f>
        <v>0.12934670305996518</v>
      </c>
      <c r="F73" s="25">
        <f>'Financial Statements'!F298/'Financial Statements'!F$311</f>
        <v>0.15030728211255565</v>
      </c>
      <c r="G73" s="25">
        <f>'Financial Statements'!G298/'Financial Statements'!G$311</f>
        <v>0.12355569067646907</v>
      </c>
      <c r="H73" s="25">
        <f>'Financial Statements'!H298/'Financial Statements'!H$311</f>
        <v>0.11353588661662996</v>
      </c>
      <c r="I73" s="25">
        <f>'Financial Statements'!I298/'Financial Statements'!I$311</f>
        <v>0.10333475202163082</v>
      </c>
      <c r="J73" s="25">
        <f>'Financial Statements'!J298/'Financial Statements'!J$311</f>
        <v>0.10252894576477757</v>
      </c>
      <c r="K73" s="25">
        <f>'Financial Statements'!K298/'Financial Statements'!K$311</f>
        <v>8.6980306345733047E-2</v>
      </c>
      <c r="L73" s="25">
        <f>'Financial Statements'!L298/'Financial Statements'!L$311</f>
        <v>8.9350941275639223E-2</v>
      </c>
      <c r="M73" s="25">
        <f>'Financial Statements'!M298/'Financial Statements'!M$311</f>
        <v>8.9350941275639223E-2</v>
      </c>
    </row>
    <row r="74" spans="1:13" ht="12.75" customHeight="1" x14ac:dyDescent="0.2">
      <c r="A74" s="1" t="s">
        <v>93</v>
      </c>
      <c r="B74" s="25">
        <f>'Financial Statements'!B299/'Financial Statements'!B$311</f>
        <v>-8.2022250563173998E-2</v>
      </c>
      <c r="C74" s="25">
        <f>'Financial Statements'!C299/'Financial Statements'!C$311</f>
        <v>-8.0831459441671694E-2</v>
      </c>
      <c r="D74" s="25">
        <f>'Financial Statements'!D299/'Financial Statements'!D$311</f>
        <v>-8.136678701021649E-2</v>
      </c>
      <c r="E74" s="25">
        <f>'Financial Statements'!E299/'Financial Statements'!E$311</f>
        <v>-8.4341443186186485E-2</v>
      </c>
      <c r="F74" s="25">
        <f>'Financial Statements'!F299/'Financial Statements'!F$311</f>
        <v>-5.6814962809498444E-2</v>
      </c>
      <c r="G74" s="25">
        <f>'Financial Statements'!G299/'Financial Statements'!G$311</f>
        <v>-4.2819651825650631E-2</v>
      </c>
      <c r="H74" s="25">
        <f>'Financial Statements'!H299/'Financial Statements'!H$311</f>
        <v>-4.2263020541608062E-2</v>
      </c>
      <c r="I74" s="25">
        <f>'Financial Statements'!I299/'Financial Statements'!I$311</f>
        <v>-4.4869732051099641E-2</v>
      </c>
      <c r="J74" s="25">
        <f>'Financial Statements'!J299/'Financial Statements'!J$311</f>
        <v>-4.7379646556977455E-2</v>
      </c>
      <c r="K74" s="25">
        <f>'Financial Statements'!K299/'Financial Statements'!K$311</f>
        <v>-3.8429978118161928E-2</v>
      </c>
      <c r="L74" s="25">
        <f>'Financial Statements'!L299/'Financial Statements'!L$311</f>
        <v>-4.4675470637819611E-2</v>
      </c>
      <c r="M74" s="25">
        <f>'Financial Statements'!M299/'Financial Statements'!M$311</f>
        <v>-4.4675470637819611E-2</v>
      </c>
    </row>
    <row r="75" spans="1:13" ht="12.75" customHeight="1" x14ac:dyDescent="0.2">
      <c r="A75" s="5" t="s">
        <v>94</v>
      </c>
      <c r="B75" s="26">
        <f>'Financial Statements'!B300/'Financial Statements'!B$311</f>
        <v>4.0950829703694576E-2</v>
      </c>
      <c r="C75" s="26">
        <f>'Financial Statements'!C300/'Financial Statements'!C$311</f>
        <v>3.8856483862791107E-2</v>
      </c>
      <c r="D75" s="26">
        <f>'Financial Statements'!D300/'Financial Statements'!D$311</f>
        <v>4.2245659993473114E-2</v>
      </c>
      <c r="E75" s="26">
        <f>'Financial Statements'!E300/'Financial Statements'!E$311</f>
        <v>4.5005259873778687E-2</v>
      </c>
      <c r="F75" s="26">
        <f>'Financial Statements'!F300/'Financial Statements'!F$311</f>
        <v>9.3492319303057209E-2</v>
      </c>
      <c r="G75" s="26">
        <f>'Financial Statements'!G300/'Financial Statements'!G$311</f>
        <v>8.0736038850818453E-2</v>
      </c>
      <c r="H75" s="26">
        <f>'Financial Statements'!H300/'Financial Statements'!H$311</f>
        <v>7.1272866075021882E-2</v>
      </c>
      <c r="I75" s="26">
        <f>'Financial Statements'!I300/'Financial Statements'!I$311</f>
        <v>5.8465019970531176E-2</v>
      </c>
      <c r="J75" s="26">
        <f>'Financial Statements'!J300/'Financial Statements'!J$311</f>
        <v>5.5149299207800123E-2</v>
      </c>
      <c r="K75" s="26">
        <f>'Financial Statements'!K300/'Financial Statements'!K$311</f>
        <v>4.8550328227571118E-2</v>
      </c>
      <c r="L75" s="26">
        <f>'Financial Statements'!L300/'Financial Statements'!L$311</f>
        <v>4.4675470637819611E-2</v>
      </c>
      <c r="M75" s="26">
        <f>'Financial Statements'!M300/'Financial Statements'!M$311</f>
        <v>4.4675470637819611E-2</v>
      </c>
    </row>
    <row r="76" spans="1:13" ht="12.75" customHeight="1" x14ac:dyDescent="0.2">
      <c r="A76" s="1" t="s">
        <v>176</v>
      </c>
      <c r="B76" s="25">
        <f>'Financial Statements'!B301/'Financial Statements'!B$311</f>
        <v>0</v>
      </c>
      <c r="C76" s="25">
        <f>'Financial Statements'!C301/'Financial Statements'!C$311</f>
        <v>0</v>
      </c>
      <c r="D76" s="25">
        <f>'Financial Statements'!D301/'Financial Statements'!D$311</f>
        <v>2.0032612260956865E-3</v>
      </c>
      <c r="E76" s="25">
        <f>'Financial Statements'!E301/'Financial Statements'!E$311</f>
        <v>1.6023629372930663E-4</v>
      </c>
      <c r="F76" s="25">
        <f>'Financial Statements'!F301/'Financial Statements'!F$311</f>
        <v>0</v>
      </c>
      <c r="G76" s="25">
        <f>'Financial Statements'!G301/'Financial Statements'!G$311</f>
        <v>0</v>
      </c>
      <c r="H76" s="25">
        <f>'Financial Statements'!H301/'Financial Statements'!H$311</f>
        <v>6.7844147653958341E-4</v>
      </c>
      <c r="I76" s="25">
        <f>'Financial Statements'!I301/'Financial Statements'!I$311</f>
        <v>5.3887765675844168E-4</v>
      </c>
      <c r="J76" s="25">
        <f>'Financial Statements'!J301/'Financial Statements'!J$311</f>
        <v>6.5508836075563685E-3</v>
      </c>
      <c r="K76" s="25">
        <f>'Financial Statements'!K301/'Financial Statements'!K$311</f>
        <v>1.2308533916849015E-2</v>
      </c>
      <c r="L76" s="25">
        <f>'Financial Statements'!L301/'Financial Statements'!L$311</f>
        <v>4.8328182073616187E-2</v>
      </c>
      <c r="M76" s="25">
        <f>'Financial Statements'!M301/'Financial Statements'!M$311</f>
        <v>4.8328182073616187E-2</v>
      </c>
    </row>
    <row r="77" spans="1:13" ht="12.75" customHeight="1" x14ac:dyDescent="0.2">
      <c r="A77" s="1" t="s">
        <v>56</v>
      </c>
      <c r="B77" s="25">
        <f>'Financial Statements'!B302/'Financial Statements'!B$311</f>
        <v>0.45243708746114425</v>
      </c>
      <c r="C77" s="25">
        <f>'Financial Statements'!C302/'Financial Statements'!C$311</f>
        <v>0.46579931546749953</v>
      </c>
      <c r="D77" s="25">
        <f>'Financial Statements'!D302/'Financial Statements'!D$311</f>
        <v>0.43840117295450393</v>
      </c>
      <c r="E77" s="25">
        <f>'Financial Statements'!E302/'Financial Statements'!E$311</f>
        <v>0.41263716318083138</v>
      </c>
      <c r="F77" s="25">
        <f>'Financial Statements'!F302/'Financial Statements'!F$311</f>
        <v>0.32982294826454756</v>
      </c>
      <c r="G77" s="25">
        <f>'Financial Statements'!G302/'Financial Statements'!G$311</f>
        <v>0.28750449350780177</v>
      </c>
      <c r="H77" s="25">
        <f>'Financial Statements'!H302/'Financial Statements'!H$311</f>
        <v>0.33555818324392278</v>
      </c>
      <c r="I77" s="25">
        <f>'Financial Statements'!I302/'Financial Statements'!I$311</f>
        <v>0.35697194721991032</v>
      </c>
      <c r="J77" s="25">
        <f>'Financial Statements'!J302/'Financial Statements'!J$311</f>
        <v>0.35709932967702618</v>
      </c>
      <c r="K77" s="25">
        <f>'Financial Statements'!K302/'Financial Statements'!K$311</f>
        <v>0.32891137855579866</v>
      </c>
      <c r="L77" s="25">
        <f>'Financial Statements'!L302/'Financial Statements'!L$311</f>
        <v>0.33703287440292218</v>
      </c>
      <c r="M77" s="25">
        <f>'Financial Statements'!M302/'Financial Statements'!M$311</f>
        <v>0.33703287440292218</v>
      </c>
    </row>
    <row r="78" spans="1:13" ht="12.75" customHeight="1" x14ac:dyDescent="0.2">
      <c r="A78" s="1" t="s">
        <v>95</v>
      </c>
      <c r="B78" s="25">
        <f>'Financial Statements'!B303/'Financial Statements'!B$311</f>
        <v>7.5596369774341726E-2</v>
      </c>
      <c r="C78" s="25">
        <f>'Financial Statements'!C303/'Financial Statements'!C$311</f>
        <v>8.300364204494079E-2</v>
      </c>
      <c r="D78" s="25">
        <f>'Financial Statements'!D303/'Financial Statements'!D$311</f>
        <v>7.7220244223190751E-2</v>
      </c>
      <c r="E78" s="25">
        <f>'Financial Statements'!E303/'Financial Statements'!E$311</f>
        <v>7.4912033145425397E-2</v>
      </c>
      <c r="F78" s="25">
        <f>'Financial Statements'!F303/'Financial Statements'!F$311</f>
        <v>6.2784550411913637E-2</v>
      </c>
      <c r="G78" s="25">
        <f>'Financial Statements'!G303/'Financial Statements'!G$311</f>
        <v>5.5845505883063154E-2</v>
      </c>
      <c r="H78" s="25">
        <f>'Financial Statements'!H303/'Financial Statements'!H$311</f>
        <v>0.10732286960165628</v>
      </c>
      <c r="I78" s="25">
        <f>'Financial Statements'!I303/'Financial Statements'!I$311</f>
        <v>0.10466362737632834</v>
      </c>
      <c r="J78" s="25">
        <f>'Financial Statements'!J303/'Financial Statements'!J$311</f>
        <v>9.1560024375380869E-2</v>
      </c>
      <c r="K78" s="25">
        <f>'Financial Statements'!K303/'Financial Statements'!K$311</f>
        <v>7.6996717724288843E-2</v>
      </c>
      <c r="L78" s="25">
        <f>'Financial Statements'!L303/'Financial Statements'!L$311</f>
        <v>7.1508850800786741E-2</v>
      </c>
      <c r="M78" s="25">
        <f>'Financial Statements'!M303/'Financial Statements'!M$311</f>
        <v>7.1508850800786741E-2</v>
      </c>
    </row>
    <row r="79" spans="1:13" ht="12.75" customHeight="1" x14ac:dyDescent="0.2">
      <c r="A79" s="1" t="s">
        <v>177</v>
      </c>
      <c r="B79" s="25">
        <f>'Financial Statements'!B304/'Financial Statements'!B$311</f>
        <v>0</v>
      </c>
      <c r="C79" s="25">
        <f>'Financial Statements'!C304/'Financial Statements'!C$311</f>
        <v>0</v>
      </c>
      <c r="D79" s="25">
        <f>'Financial Statements'!D304/'Financial Statements'!D$311</f>
        <v>0</v>
      </c>
      <c r="E79" s="25">
        <f>'Financial Statements'!E304/'Financial Statements'!E$311</f>
        <v>0</v>
      </c>
      <c r="F79" s="25">
        <f>'Financial Statements'!F304/'Financial Statements'!F$311</f>
        <v>0</v>
      </c>
      <c r="G79" s="25">
        <f>'Financial Statements'!G304/'Financial Statements'!G$311</f>
        <v>0</v>
      </c>
      <c r="H79" s="25">
        <f>'Financial Statements'!H304/'Financial Statements'!H$311</f>
        <v>0</v>
      </c>
      <c r="I79" s="25">
        <f>'Financial Statements'!I304/'Financial Statements'!I$311</f>
        <v>0</v>
      </c>
      <c r="J79" s="25">
        <f>'Financial Statements'!J304/'Financial Statements'!J$311</f>
        <v>0</v>
      </c>
      <c r="K79" s="25">
        <f>'Financial Statements'!K304/'Financial Statements'!K$311</f>
        <v>0</v>
      </c>
      <c r="L79" s="25">
        <f>'Financial Statements'!L304/'Financial Statements'!L$311</f>
        <v>0</v>
      </c>
      <c r="M79" s="25">
        <f>'Financial Statements'!M304/'Financial Statements'!M$311</f>
        <v>0</v>
      </c>
    </row>
    <row r="80" spans="1:13" ht="12.75" customHeight="1" x14ac:dyDescent="0.2">
      <c r="A80" s="1" t="s">
        <v>178</v>
      </c>
      <c r="B80" s="25">
        <f>'Financial Statements'!B305/'Financial Statements'!B$311</f>
        <v>0</v>
      </c>
      <c r="C80" s="25">
        <f>'Financial Statements'!C305/'Financial Statements'!C$311</f>
        <v>0</v>
      </c>
      <c r="D80" s="25">
        <f>'Financial Statements'!D305/'Financial Statements'!D$311</f>
        <v>0</v>
      </c>
      <c r="E80" s="25">
        <f>'Financial Statements'!E305/'Financial Statements'!E$311</f>
        <v>0</v>
      </c>
      <c r="F80" s="25">
        <f>'Financial Statements'!F305/'Financial Statements'!F$311</f>
        <v>0</v>
      </c>
      <c r="G80" s="25">
        <f>'Financial Statements'!G305/'Financial Statements'!G$311</f>
        <v>0</v>
      </c>
      <c r="H80" s="25">
        <f>'Financial Statements'!H305/'Financial Statements'!H$311</f>
        <v>0</v>
      </c>
      <c r="I80" s="25">
        <f>'Financial Statements'!I305/'Financial Statements'!I$311</f>
        <v>0</v>
      </c>
      <c r="J80" s="25">
        <f>'Financial Statements'!J305/'Financial Statements'!J$311</f>
        <v>0</v>
      </c>
      <c r="K80" s="25">
        <f>'Financial Statements'!K305/'Financial Statements'!K$311</f>
        <v>0</v>
      </c>
      <c r="L80" s="25">
        <f>'Financial Statements'!L305/'Financial Statements'!L$311</f>
        <v>0</v>
      </c>
      <c r="M80" s="25">
        <f>'Financial Statements'!M305/'Financial Statements'!M$311</f>
        <v>0</v>
      </c>
    </row>
    <row r="81" spans="1:13" ht="12.75" customHeight="1" x14ac:dyDescent="0.2">
      <c r="A81" s="1" t="s">
        <v>179</v>
      </c>
      <c r="B81" s="25">
        <f>'Financial Statements'!B306/'Financial Statements'!B$311</f>
        <v>1.699072909811436E-2</v>
      </c>
      <c r="C81" s="25">
        <f>'Financial Statements'!C306/'Financial Statements'!C$311</f>
        <v>1.7761973018924699E-2</v>
      </c>
      <c r="D81" s="25">
        <f>'Financial Statements'!D306/'Financial Statements'!D$311</f>
        <v>1.6534322034015791E-2</v>
      </c>
      <c r="E81" s="25">
        <f>'Financial Statements'!E306/'Financial Statements'!E$311</f>
        <v>1.6021280632468833E-2</v>
      </c>
      <c r="F81" s="25">
        <f>'Financial Statements'!F306/'Financial Statements'!F$311</f>
        <v>1.3058081763617013E-2</v>
      </c>
      <c r="G81" s="25">
        <f>'Financial Statements'!G306/'Financial Statements'!G$311</f>
        <v>1.1613387953053321E-2</v>
      </c>
      <c r="H81" s="25">
        <f>'Financial Statements'!H306/'Financial Statements'!H$311</f>
        <v>1.0677653170029416E-2</v>
      </c>
      <c r="I81" s="25">
        <f>'Financial Statements'!I306/'Financial Statements'!I$311</f>
        <v>9.0761957741000432E-3</v>
      </c>
      <c r="J81" s="25">
        <f>'Financial Statements'!J306/'Financial Statements'!J$311</f>
        <v>8.6837294332723948E-3</v>
      </c>
      <c r="K81" s="25">
        <f>'Financial Statements'!K306/'Financial Statements'!K$311</f>
        <v>7.9321663019693654E-3</v>
      </c>
      <c r="L81" s="25">
        <f>'Financial Statements'!L306/'Financial Statements'!L$311</f>
        <v>8.1483562798538908E-3</v>
      </c>
      <c r="M81" s="25">
        <f>'Financial Statements'!M306/'Financial Statements'!M$311</f>
        <v>8.1483562798538908E-3</v>
      </c>
    </row>
    <row r="82" spans="1:13" ht="12.75" customHeight="1" x14ac:dyDescent="0.2">
      <c r="A82" s="1" t="s">
        <v>132</v>
      </c>
      <c r="B82" s="25">
        <f>'Financial Statements'!B307/'Financial Statements'!B$311</f>
        <v>0</v>
      </c>
      <c r="C82" s="25">
        <f>'Financial Statements'!C307/'Financial Statements'!C$311</f>
        <v>0</v>
      </c>
      <c r="D82" s="25">
        <f>'Financial Statements'!D307/'Financial Statements'!D$311</f>
        <v>0</v>
      </c>
      <c r="E82" s="25">
        <f>'Financial Statements'!E307/'Financial Statements'!E$311</f>
        <v>0</v>
      </c>
      <c r="F82" s="25">
        <f>'Financial Statements'!F307/'Financial Statements'!F$311</f>
        <v>0</v>
      </c>
      <c r="G82" s="25">
        <f>'Financial Statements'!G307/'Financial Statements'!G$311</f>
        <v>0</v>
      </c>
      <c r="H82" s="25">
        <f>'Financial Statements'!H307/'Financial Statements'!H$311</f>
        <v>0</v>
      </c>
      <c r="I82" s="25">
        <f>'Financial Statements'!I307/'Financial Statements'!I$311</f>
        <v>0</v>
      </c>
      <c r="J82" s="25">
        <f>'Financial Statements'!J307/'Financial Statements'!J$311</f>
        <v>0</v>
      </c>
      <c r="K82" s="25">
        <f>'Financial Statements'!K307/'Financial Statements'!K$311</f>
        <v>0</v>
      </c>
      <c r="L82" s="25">
        <f>'Financial Statements'!L307/'Financial Statements'!L$311</f>
        <v>0</v>
      </c>
      <c r="M82" s="25">
        <f>'Financial Statements'!M307/'Financial Statements'!M$311</f>
        <v>0</v>
      </c>
    </row>
    <row r="83" spans="1:13" ht="12.75" customHeight="1" x14ac:dyDescent="0.2">
      <c r="A83" s="1" t="s">
        <v>133</v>
      </c>
      <c r="B83" s="25">
        <f>'Financial Statements'!B308/'Financial Statements'!B$311</f>
        <v>7.3264940762501531E-3</v>
      </c>
      <c r="C83" s="25">
        <f>'Financial Statements'!C308/'Financial Statements'!C$311</f>
        <v>3.209209319010229E-3</v>
      </c>
      <c r="D83" s="25">
        <f>'Financial Statements'!D308/'Financial Statements'!D$311</f>
        <v>0</v>
      </c>
      <c r="E83" s="25">
        <f>'Financial Statements'!E308/'Financial Statements'!E$311</f>
        <v>0</v>
      </c>
      <c r="F83" s="25">
        <f>'Financial Statements'!F308/'Financial Statements'!F$311</f>
        <v>0</v>
      </c>
      <c r="G83" s="25">
        <f>'Financial Statements'!G308/'Financial Statements'!G$311</f>
        <v>0</v>
      </c>
      <c r="H83" s="25">
        <f>'Financial Statements'!H308/'Financial Statements'!H$311</f>
        <v>5.3651311285644945E-3</v>
      </c>
      <c r="I83" s="25">
        <f>'Financial Statements'!I308/'Financial Statements'!I$311</f>
        <v>8.7591280990044956E-2</v>
      </c>
      <c r="J83" s="25">
        <f>'Financial Statements'!J308/'Financial Statements'!J$311</f>
        <v>3.4582571602681293E-2</v>
      </c>
      <c r="K83" s="25">
        <f>'Financial Statements'!K308/'Financial Statements'!K$311</f>
        <v>4.5404814004376369E-2</v>
      </c>
      <c r="L83" s="25">
        <f>'Financial Statements'!L308/'Financial Statements'!L$311</f>
        <v>4.1303737004776624E-2</v>
      </c>
      <c r="M83" s="25">
        <f>'Financial Statements'!M308/'Financial Statements'!M$311</f>
        <v>4.1303737004776624E-2</v>
      </c>
    </row>
    <row r="84" spans="1:13" ht="12.75" customHeight="1" x14ac:dyDescent="0.2">
      <c r="A84" s="1" t="s">
        <v>180</v>
      </c>
      <c r="B84" s="25">
        <f>'Financial Statements'!B309/'Financial Statements'!B$311</f>
        <v>0</v>
      </c>
      <c r="C84" s="25">
        <f>'Financial Statements'!C309/'Financial Statements'!C$311</f>
        <v>0</v>
      </c>
      <c r="D84" s="25">
        <f>'Financial Statements'!D309/'Financial Statements'!D$311</f>
        <v>0</v>
      </c>
      <c r="E84" s="25">
        <f>'Financial Statements'!E309/'Financial Statements'!E$311</f>
        <v>0</v>
      </c>
      <c r="F84" s="25">
        <f>'Financial Statements'!F309/'Financial Statements'!F$311</f>
        <v>0</v>
      </c>
      <c r="G84" s="25">
        <f>'Financial Statements'!G309/'Financial Statements'!G$311</f>
        <v>0</v>
      </c>
      <c r="H84" s="25">
        <f>'Financial Statements'!H309/'Financial Statements'!H$311</f>
        <v>0</v>
      </c>
      <c r="I84" s="25">
        <f>'Financial Statements'!I309/'Financial Statements'!I$311</f>
        <v>0</v>
      </c>
      <c r="J84" s="25">
        <f>'Financial Statements'!J309/'Financial Statements'!J$311</f>
        <v>0</v>
      </c>
      <c r="K84" s="25">
        <f>'Financial Statements'!K309/'Financial Statements'!K$311</f>
        <v>0</v>
      </c>
      <c r="L84" s="25">
        <f>'Financial Statements'!L309/'Financial Statements'!L$311</f>
        <v>0</v>
      </c>
      <c r="M84" s="25">
        <f>'Financial Statements'!M309/'Financial Statements'!M$311</f>
        <v>0</v>
      </c>
    </row>
    <row r="85" spans="1:13" ht="12.75" customHeight="1" x14ac:dyDescent="0.2">
      <c r="A85" s="1" t="s">
        <v>134</v>
      </c>
      <c r="B85" s="25">
        <f>'Financial Statements'!B310/'Financial Statements'!B$311</f>
        <v>1.144818683058205E-2</v>
      </c>
      <c r="C85" s="25">
        <f>'Financial Statements'!C310/'Financial Statements'!C$311</f>
        <v>7.6042696565923676E-3</v>
      </c>
      <c r="D85" s="25">
        <f>'Financial Statements'!D310/'Financial Statements'!D$311</f>
        <v>9.9192623340585723E-3</v>
      </c>
      <c r="E85" s="25">
        <f>'Financial Statements'!E310/'Financial Statements'!E$311</f>
        <v>7.7852917174799268E-3</v>
      </c>
      <c r="F85" s="25">
        <f>'Financial Statements'!F310/'Financial Statements'!F$311</f>
        <v>1.5192431485746873E-2</v>
      </c>
      <c r="G85" s="25">
        <f>'Financial Statements'!G310/'Financial Statements'!G$311</f>
        <v>8.4961799956033174E-2</v>
      </c>
      <c r="H85" s="25">
        <f>'Financial Statements'!H310/'Financial Statements'!H$311</f>
        <v>6.3242263186500877E-2</v>
      </c>
      <c r="I85" s="25">
        <f>'Financial Statements'!I310/'Financial Statements'!I$311</f>
        <v>3.3405987678783729E-2</v>
      </c>
      <c r="J85" s="25">
        <f>'Financial Statements'!J310/'Financial Statements'!J$311</f>
        <v>2.9098110907982939E-2</v>
      </c>
      <c r="K85" s="25">
        <f>'Financial Statements'!K310/'Financial Statements'!K$311</f>
        <v>2.6805251641137857E-2</v>
      </c>
      <c r="L85" s="25">
        <f>'Financial Statements'!L310/'Financial Statements'!L$311</f>
        <v>3.3014891823545937E-2</v>
      </c>
      <c r="M85" s="25">
        <f>'Financial Statements'!M310/'Financial Statements'!M$311</f>
        <v>3.3014891823545937E-2</v>
      </c>
    </row>
    <row r="86" spans="1:13" ht="12.75" customHeight="1" thickBot="1" x14ac:dyDescent="0.25">
      <c r="A86" s="58" t="s">
        <v>267</v>
      </c>
      <c r="B86" s="29">
        <f>'Financial Statements'!B311/'Financial Statements'!B$311</f>
        <v>1</v>
      </c>
      <c r="C86" s="29">
        <f>'Financial Statements'!C311/'Financial Statements'!C$311</f>
        <v>1</v>
      </c>
      <c r="D86" s="29">
        <f>'Financial Statements'!D311/'Financial Statements'!D$311</f>
        <v>1</v>
      </c>
      <c r="E86" s="29">
        <f>'Financial Statements'!E311/'Financial Statements'!E$311</f>
        <v>1</v>
      </c>
      <c r="F86" s="29">
        <f>'Financial Statements'!F311/'Financial Statements'!F$311</f>
        <v>1</v>
      </c>
      <c r="G86" s="29">
        <f>'Financial Statements'!G311/'Financial Statements'!G$311</f>
        <v>1</v>
      </c>
      <c r="H86" s="29">
        <f>'Financial Statements'!H311/'Financial Statements'!H$311</f>
        <v>1</v>
      </c>
      <c r="I86" s="29">
        <f>'Financial Statements'!I311/'Financial Statements'!I$311</f>
        <v>1</v>
      </c>
      <c r="J86" s="29">
        <f>'Financial Statements'!J311/'Financial Statements'!J$311</f>
        <v>1</v>
      </c>
      <c r="K86" s="29">
        <f>'Financial Statements'!K311/'Financial Statements'!K$311</f>
        <v>1</v>
      </c>
      <c r="L86" s="29">
        <f>'Financial Statements'!L311/'Financial Statements'!L$311</f>
        <v>1</v>
      </c>
      <c r="M86" s="29">
        <f>'Financial Statements'!M311/'Financial Statements'!M$311</f>
        <v>1</v>
      </c>
    </row>
    <row r="87" spans="1:13" ht="12.75" customHeight="1" thickTop="1" x14ac:dyDescent="0.2">
      <c r="A87" s="1" t="s">
        <v>50</v>
      </c>
      <c r="B87" s="25">
        <f>'Financial Statements'!B312/'Financial Statements'!B$346</f>
        <v>8.1945510736765453E-2</v>
      </c>
      <c r="C87" s="25">
        <f>'Financial Statements'!C312/'Financial Statements'!C$346</f>
        <v>7.9638789779742994E-2</v>
      </c>
      <c r="D87" s="25">
        <f>'Financial Statements'!D312/'Financial Statements'!D$346</f>
        <v>9.4269175646221573E-2</v>
      </c>
      <c r="E87" s="25">
        <f>'Financial Statements'!E312/'Financial Statements'!E$346</f>
        <v>0.10899408404471898</v>
      </c>
      <c r="F87" s="25">
        <f>'Financial Statements'!F312/'Financial Statements'!F$346</f>
        <v>9.0312071466506008E-2</v>
      </c>
      <c r="G87" s="25">
        <f>'Financial Statements'!G312/'Financial Statements'!G$346</f>
        <v>6.7594721871641242E-2</v>
      </c>
      <c r="H87" s="25">
        <f>'Financial Statements'!H312/'Financial Statements'!H$346</f>
        <v>8.9539006650817557E-2</v>
      </c>
      <c r="I87" s="25">
        <f>'Financial Statements'!I312/'Financial Statements'!I$346</f>
        <v>9.1259312813442087E-2</v>
      </c>
      <c r="J87" s="25">
        <f>'Financial Statements'!J312/'Financial Statements'!J$346</f>
        <v>9.9482023156611823E-2</v>
      </c>
      <c r="K87" s="25">
        <f>'Financial Statements'!K312/'Financial Statements'!K$346</f>
        <v>9.4775711159737416E-2</v>
      </c>
      <c r="L87" s="25">
        <f>'Financial Statements'!L312/'Financial Statements'!L$346</f>
        <v>8.3450407417813996E-2</v>
      </c>
      <c r="M87" s="25">
        <f>'Financial Statements'!M312/'Financial Statements'!M$346</f>
        <v>8.3450407417813996E-2</v>
      </c>
    </row>
    <row r="88" spans="1:13" ht="12.75" customHeight="1" x14ac:dyDescent="0.2">
      <c r="A88" s="1" t="s">
        <v>96</v>
      </c>
      <c r="B88" s="25">
        <f>'Financial Statements'!B313/'Financial Statements'!B$346</f>
        <v>9.6634045042623823E-2</v>
      </c>
      <c r="C88" s="25">
        <f>'Financial Statements'!C313/'Financial Statements'!C$346</f>
        <v>9.6322824222785819E-2</v>
      </c>
      <c r="D88" s="25">
        <f>'Financial Statements'!D313/'Financial Statements'!D$346</f>
        <v>9.233772682947658E-2</v>
      </c>
      <c r="E88" s="25">
        <f>'Financial Statements'!E313/'Financial Statements'!E$346</f>
        <v>9.8530445287265317E-2</v>
      </c>
      <c r="F88" s="25">
        <f>'Financial Statements'!F313/'Financial Statements'!F$346</f>
        <v>8.1192273787507041E-2</v>
      </c>
      <c r="G88" s="25">
        <f>'Financial Statements'!G313/'Financial Statements'!G$346</f>
        <v>8.3213673137378513E-2</v>
      </c>
      <c r="H88" s="25">
        <f>'Financial Statements'!H313/'Financial Statements'!H$346</f>
        <v>8.4859287287935181E-2</v>
      </c>
      <c r="I88" s="25">
        <f>'Financial Statements'!I313/'Financial Statements'!I$346</f>
        <v>7.4395189974982637E-2</v>
      </c>
      <c r="J88" s="25">
        <f>'Financial Statements'!J313/'Financial Statements'!J$346</f>
        <v>8.226691042047532E-2</v>
      </c>
      <c r="K88" s="25">
        <f>'Financial Statements'!K313/'Financial Statements'!K$346</f>
        <v>0.10270787746170679</v>
      </c>
      <c r="L88" s="25">
        <f>'Financial Statements'!L313/'Financial Statements'!L$346</f>
        <v>9.9466142174768193E-2</v>
      </c>
      <c r="M88" s="25">
        <f>'Financial Statements'!M313/'Financial Statements'!M$346</f>
        <v>9.9466142174768193E-2</v>
      </c>
    </row>
    <row r="89" spans="1:13" ht="12.75" customHeight="1" x14ac:dyDescent="0.2">
      <c r="A89" s="1" t="s">
        <v>181</v>
      </c>
      <c r="B89" s="25">
        <f>'Financial Statements'!B314/'Financial Statements'!B$346</f>
        <v>0</v>
      </c>
      <c r="C89" s="25">
        <f>'Financial Statements'!C314/'Financial Statements'!C$346</f>
        <v>0</v>
      </c>
      <c r="D89" s="25">
        <f>'Financial Statements'!D314/'Financial Statements'!D$346</f>
        <v>0</v>
      </c>
      <c r="E89" s="25">
        <f>'Financial Statements'!E314/'Financial Statements'!E$346</f>
        <v>0</v>
      </c>
      <c r="F89" s="25">
        <f>'Financial Statements'!F314/'Financial Statements'!F$346</f>
        <v>0</v>
      </c>
      <c r="G89" s="25">
        <f>'Financial Statements'!G314/'Financial Statements'!G$346</f>
        <v>0</v>
      </c>
      <c r="H89" s="25">
        <f>'Financial Statements'!H314/'Financial Statements'!H$346</f>
        <v>0</v>
      </c>
      <c r="I89" s="25">
        <f>'Financial Statements'!I314/'Financial Statements'!I$346</f>
        <v>0</v>
      </c>
      <c r="J89" s="25">
        <f>'Financial Statements'!J314/'Financial Statements'!J$346</f>
        <v>0</v>
      </c>
      <c r="K89" s="25">
        <f>'Financial Statements'!K314/'Financial Statements'!K$346</f>
        <v>0</v>
      </c>
      <c r="L89" s="25">
        <f>'Financial Statements'!L314/'Financial Statements'!L$346</f>
        <v>0</v>
      </c>
      <c r="M89" s="25">
        <f>'Financial Statements'!M314/'Financial Statements'!M$346</f>
        <v>0</v>
      </c>
    </row>
    <row r="90" spans="1:13" ht="12.75" customHeight="1" x14ac:dyDescent="0.2">
      <c r="A90" s="1" t="s">
        <v>182</v>
      </c>
      <c r="B90" s="25">
        <f>'Financial Statements'!B315/'Financial Statements'!B$346</f>
        <v>6.4053836144192466E-2</v>
      </c>
      <c r="C90" s="25">
        <f>'Financial Statements'!C315/'Financial Statements'!C$346</f>
        <v>8.0978801430729247E-2</v>
      </c>
      <c r="D90" s="25">
        <f>'Financial Statements'!D315/'Financial Statements'!D$346</f>
        <v>3.9677049336234289E-2</v>
      </c>
      <c r="E90" s="25">
        <f>'Financial Statements'!E315/'Financial Statements'!E$346</f>
        <v>3.6236628816279176E-2</v>
      </c>
      <c r="F90" s="25">
        <f>'Financial Statements'!F315/'Financial Statements'!F$346</f>
        <v>4.1029911351060891E-2</v>
      </c>
      <c r="G90" s="25">
        <f>'Financial Statements'!G315/'Financial Statements'!G$346</f>
        <v>1.7279071699928778E-2</v>
      </c>
      <c r="H90" s="25">
        <f>'Financial Statements'!H315/'Financial Statements'!H$346</f>
        <v>1.2065736464984671E-2</v>
      </c>
      <c r="I90" s="25">
        <f>'Financial Statements'!I315/'Financial Statements'!I$346</f>
        <v>6.2970830995143692E-3</v>
      </c>
      <c r="J90" s="25">
        <f>'Financial Statements'!J315/'Financial Statements'!J$346</f>
        <v>9.4454600853138334E-3</v>
      </c>
      <c r="K90" s="25">
        <f>'Financial Statements'!K315/'Financial Statements'!K$346</f>
        <v>1.1351203501094092E-2</v>
      </c>
      <c r="L90" s="25">
        <f>'Financial Statements'!L315/'Financial Statements'!L$346</f>
        <v>2.6692891261590333E-3</v>
      </c>
      <c r="M90" s="25">
        <f>'Financial Statements'!M315/'Financial Statements'!M$346</f>
        <v>2.6692891261590333E-3</v>
      </c>
    </row>
    <row r="91" spans="1:13" ht="12.75" customHeight="1" x14ac:dyDescent="0.2">
      <c r="A91" s="1" t="s">
        <v>471</v>
      </c>
      <c r="B91" s="25">
        <f>'Financial Statements'!B316/'Financial Statements'!B$346</f>
        <v>0</v>
      </c>
      <c r="C91" s="25">
        <f>'Financial Statements'!C316/'Financial Statements'!C$346</f>
        <v>0</v>
      </c>
      <c r="D91" s="25">
        <f>'Financial Statements'!D316/'Financial Statements'!D$346</f>
        <v>0</v>
      </c>
      <c r="E91" s="25">
        <f>'Financial Statements'!E316/'Financial Statements'!E$346</f>
        <v>0</v>
      </c>
      <c r="F91" s="25">
        <f>'Financial Statements'!F316/'Financial Statements'!F$346</f>
        <v>1.0225562717799834E-2</v>
      </c>
      <c r="G91" s="25">
        <f>'Financial Statements'!G316/'Financial Statements'!G$346</f>
        <v>9.992724926771961E-3</v>
      </c>
      <c r="H91" s="25">
        <f>'Financial Statements'!H316/'Financial Statements'!H$346</f>
        <v>8.6853121901229353E-3</v>
      </c>
      <c r="I91" s="25">
        <f>'Financial Statements'!I316/'Financial Statements'!I$346</f>
        <v>7.8218168206767805E-3</v>
      </c>
      <c r="J91" s="25">
        <f>'Financial Statements'!J316/'Financial Statements'!J$346</f>
        <v>6.5508836075563685E-3</v>
      </c>
      <c r="K91" s="25">
        <f>'Financial Statements'!K316/'Financial Statements'!K$346</f>
        <v>5.6072210065645518E-3</v>
      </c>
      <c r="L91" s="25">
        <f>'Financial Statements'!L316/'Financial Statements'!L$346</f>
        <v>6.0410227592020234E-3</v>
      </c>
      <c r="M91" s="25">
        <f>'Financial Statements'!M316/'Financial Statements'!M$346</f>
        <v>6.0410227592020234E-3</v>
      </c>
    </row>
    <row r="92" spans="1:13" ht="12.75" customHeight="1" x14ac:dyDescent="0.2">
      <c r="A92" s="1" t="s">
        <v>183</v>
      </c>
      <c r="B92" s="25">
        <f>'Financial Statements'!B317/'Financial Statements'!B$346</f>
        <v>0</v>
      </c>
      <c r="C92" s="25">
        <f>'Financial Statements'!C317/'Financial Statements'!C$346</f>
        <v>0</v>
      </c>
      <c r="D92" s="25">
        <f>'Financial Statements'!D317/'Financial Statements'!D$346</f>
        <v>0</v>
      </c>
      <c r="E92" s="25">
        <f>'Financial Statements'!E317/'Financial Statements'!E$346</f>
        <v>0</v>
      </c>
      <c r="F92" s="25">
        <f>'Financial Statements'!F317/'Financial Statements'!F$346</f>
        <v>0</v>
      </c>
      <c r="G92" s="25">
        <f>'Financial Statements'!G317/'Financial Statements'!G$346</f>
        <v>0</v>
      </c>
      <c r="H92" s="25">
        <f>'Financial Statements'!H317/'Financial Statements'!H$346</f>
        <v>0</v>
      </c>
      <c r="I92" s="25">
        <f>'Financial Statements'!I317/'Financial Statements'!I$346</f>
        <v>0</v>
      </c>
      <c r="J92" s="25">
        <f>'Financial Statements'!J317/'Financial Statements'!J$346</f>
        <v>0</v>
      </c>
      <c r="K92" s="25">
        <f>'Financial Statements'!K317/'Financial Statements'!K$346</f>
        <v>0</v>
      </c>
      <c r="L92" s="25">
        <f>'Financial Statements'!L317/'Financial Statements'!L$346</f>
        <v>0</v>
      </c>
      <c r="M92" s="25">
        <f>'Financial Statements'!M317/'Financial Statements'!M$346</f>
        <v>0</v>
      </c>
    </row>
    <row r="93" spans="1:13" ht="12.75" customHeight="1" x14ac:dyDescent="0.2">
      <c r="A93" s="1" t="s">
        <v>184</v>
      </c>
      <c r="B93" s="25">
        <f>'Financial Statements'!B318/'Financial Statements'!B$346</f>
        <v>0</v>
      </c>
      <c r="C93" s="25">
        <f>'Financial Statements'!C318/'Financial Statements'!C$346</f>
        <v>0</v>
      </c>
      <c r="D93" s="25">
        <f>'Financial Statements'!D318/'Financial Statements'!D$346</f>
        <v>0</v>
      </c>
      <c r="E93" s="25">
        <f>'Financial Statements'!E318/'Financial Statements'!E$346</f>
        <v>0</v>
      </c>
      <c r="F93" s="25">
        <f>'Financial Statements'!F318/'Financial Statements'!F$346</f>
        <v>0</v>
      </c>
      <c r="G93" s="25">
        <f>'Financial Statements'!G318/'Financial Statements'!G$346</f>
        <v>0</v>
      </c>
      <c r="H93" s="25">
        <f>'Financial Statements'!H318/'Financial Statements'!H$346</f>
        <v>0</v>
      </c>
      <c r="I93" s="25">
        <f>'Financial Statements'!I318/'Financial Statements'!I$346</f>
        <v>0</v>
      </c>
      <c r="J93" s="25">
        <f>'Financial Statements'!J318/'Financial Statements'!J$346</f>
        <v>0</v>
      </c>
      <c r="K93" s="25">
        <f>'Financial Statements'!K318/'Financial Statements'!K$346</f>
        <v>0</v>
      </c>
      <c r="L93" s="25">
        <f>'Financial Statements'!L318/'Financial Statements'!L$346</f>
        <v>0</v>
      </c>
      <c r="M93" s="25">
        <f>'Financial Statements'!M318/'Financial Statements'!M$346</f>
        <v>0</v>
      </c>
    </row>
    <row r="94" spans="1:13" ht="12.75" customHeight="1" x14ac:dyDescent="0.2">
      <c r="A94" s="1" t="s">
        <v>185</v>
      </c>
      <c r="B94" s="25">
        <f>'Financial Statements'!B319/'Financial Statements'!B$346</f>
        <v>0</v>
      </c>
      <c r="C94" s="25">
        <f>'Financial Statements'!C319/'Financial Statements'!C$346</f>
        <v>0</v>
      </c>
      <c r="D94" s="25">
        <f>'Financial Statements'!D319/'Financial Statements'!D$346</f>
        <v>0</v>
      </c>
      <c r="E94" s="25">
        <f>'Financial Statements'!E319/'Financial Statements'!E$346</f>
        <v>0</v>
      </c>
      <c r="F94" s="25">
        <f>'Financial Statements'!F319/'Financial Statements'!F$346</f>
        <v>1.0801077854953496E-3</v>
      </c>
      <c r="G94" s="25">
        <f>'Financial Statements'!G319/'Financial Statements'!G$346</f>
        <v>5.5811321584965891E-3</v>
      </c>
      <c r="H94" s="25">
        <f>'Financial Statements'!H319/'Financial Statements'!H$346</f>
        <v>5.6963858220999654E-3</v>
      </c>
      <c r="I94" s="25">
        <f>'Financial Statements'!I319/'Financial Statements'!I$346</f>
        <v>2.2170312207090226E-3</v>
      </c>
      <c r="J94" s="25">
        <f>'Financial Statements'!J319/'Financial Statements'!J$346</f>
        <v>1.6758074344911638E-3</v>
      </c>
      <c r="K94" s="25">
        <f>'Financial Statements'!K319/'Financial Statements'!K$346</f>
        <v>0</v>
      </c>
      <c r="L94" s="25">
        <f>'Financial Statements'!L319/'Financial Statements'!L$346</f>
        <v>1.4048890137679123E-3</v>
      </c>
      <c r="M94" s="25">
        <f>'Financial Statements'!M319/'Financial Statements'!M$346</f>
        <v>1.4048890137679123E-3</v>
      </c>
    </row>
    <row r="95" spans="1:13" ht="12.75" customHeight="1" x14ac:dyDescent="0.2">
      <c r="A95" s="1" t="s">
        <v>135</v>
      </c>
      <c r="B95" s="25">
        <f>'Financial Statements'!B320/'Financial Statements'!B$346</f>
        <v>0</v>
      </c>
      <c r="C95" s="25">
        <f>'Financial Statements'!C320/'Financial Statements'!C$346</f>
        <v>0</v>
      </c>
      <c r="D95" s="25">
        <f>'Financial Statements'!D320/'Financial Statements'!D$346</f>
        <v>0</v>
      </c>
      <c r="E95" s="25">
        <f>'Financial Statements'!E320/'Financial Statements'!E$346</f>
        <v>0</v>
      </c>
      <c r="F95" s="25">
        <f>'Financial Statements'!F320/'Financial Statements'!F$346</f>
        <v>0</v>
      </c>
      <c r="G95" s="25">
        <f>'Financial Statements'!G320/'Financial Statements'!G$346</f>
        <v>2.8922098166757918E-3</v>
      </c>
      <c r="H95" s="25">
        <f>'Financial Statements'!H320/'Financial Statements'!H$346</f>
        <v>4.4389124689345003E-3</v>
      </c>
      <c r="I95" s="25">
        <f>'Financial Statements'!I320/'Financial Statements'!I$346</f>
        <v>2.8997113569763744E-3</v>
      </c>
      <c r="J95" s="25">
        <f>'Financial Statements'!J320/'Financial Statements'!J$346</f>
        <v>2.4375380865326022E-3</v>
      </c>
      <c r="K95" s="25">
        <f>'Financial Statements'!K320/'Financial Statements'!K$346</f>
        <v>2.4617067833698032E-3</v>
      </c>
      <c r="L95" s="25">
        <f>'Financial Statements'!L320/'Financial Statements'!L$346</f>
        <v>3.9336892385501542E-3</v>
      </c>
      <c r="M95" s="25">
        <f>'Financial Statements'!M320/'Financial Statements'!M$346</f>
        <v>3.9336892385501542E-3</v>
      </c>
    </row>
    <row r="96" spans="1:13" ht="12.75" customHeight="1" x14ac:dyDescent="0.2">
      <c r="A96" s="1" t="s">
        <v>186</v>
      </c>
      <c r="B96" s="25">
        <f>'Financial Statements'!B321/'Financial Statements'!B$346</f>
        <v>0</v>
      </c>
      <c r="C96" s="25">
        <f>'Financial Statements'!C321/'Financial Statements'!C$346</f>
        <v>0</v>
      </c>
      <c r="D96" s="25">
        <f>'Financial Statements'!D321/'Financial Statements'!D$346</f>
        <v>0</v>
      </c>
      <c r="E96" s="25">
        <f>'Financial Statements'!E321/'Financial Statements'!E$346</f>
        <v>0</v>
      </c>
      <c r="F96" s="25">
        <f>'Financial Statements'!F321/'Financial Statements'!F$346</f>
        <v>0</v>
      </c>
      <c r="G96" s="25">
        <f>'Financial Statements'!G321/'Financial Statements'!G$346</f>
        <v>0</v>
      </c>
      <c r="H96" s="25">
        <f>'Financial Statements'!H321/'Financial Statements'!H$346</f>
        <v>0</v>
      </c>
      <c r="I96" s="25">
        <f>'Financial Statements'!I321/'Financial Statements'!I$346</f>
        <v>0</v>
      </c>
      <c r="J96" s="25">
        <f>'Financial Statements'!J321/'Financial Statements'!J$346</f>
        <v>0</v>
      </c>
      <c r="K96" s="25">
        <f>'Financial Statements'!K321/'Financial Statements'!K$346</f>
        <v>0</v>
      </c>
      <c r="L96" s="25">
        <f>'Financial Statements'!L321/'Financial Statements'!L$346</f>
        <v>0</v>
      </c>
      <c r="M96" s="25">
        <f>'Financial Statements'!M321/'Financial Statements'!M$346</f>
        <v>0</v>
      </c>
    </row>
    <row r="97" spans="1:13" ht="12.75" customHeight="1" x14ac:dyDescent="0.2">
      <c r="A97" s="1" t="s">
        <v>136</v>
      </c>
      <c r="B97" s="25">
        <f>'Financial Statements'!B322/'Financial Statements'!B$346</f>
        <v>6.9612324349679802E-2</v>
      </c>
      <c r="C97" s="25">
        <f>'Financial Statements'!C322/'Financial Statements'!C$346</f>
        <v>6.9583958993271772E-2</v>
      </c>
      <c r="D97" s="25">
        <f>'Financial Statements'!D322/'Financial Statements'!D$346</f>
        <v>5.896020622084007E-2</v>
      </c>
      <c r="E97" s="25">
        <f>'Financial Statements'!E322/'Financial Statements'!E$346</f>
        <v>6.3986214459316029E-2</v>
      </c>
      <c r="F97" s="25">
        <f>'Financial Statements'!F322/'Financial Statements'!F$346</f>
        <v>5.3107802600185314E-2</v>
      </c>
      <c r="G97" s="25">
        <f>'Financial Statements'!G322/'Financial Statements'!G$346</f>
        <v>4.8209861042646553E-2</v>
      </c>
      <c r="H97" s="25">
        <f>'Financial Statements'!H322/'Financial Statements'!H$346</f>
        <v>4.9289237956543566E-2</v>
      </c>
      <c r="I97" s="25">
        <f>'Financial Statements'!I322/'Financial Statements'!I$346</f>
        <v>0.10470759246560496</v>
      </c>
      <c r="J97" s="25">
        <f>'Financial Statements'!J322/'Financial Statements'!J$346</f>
        <v>5.591102985984156E-2</v>
      </c>
      <c r="K97" s="25">
        <f>'Financial Statements'!K322/'Financial Statements'!K$346</f>
        <v>3.5557986870897153E-2</v>
      </c>
      <c r="L97" s="25">
        <f>'Financial Statements'!L322/'Financial Statements'!L$346</f>
        <v>3.6667603259342513E-2</v>
      </c>
      <c r="M97" s="25">
        <f>'Financial Statements'!M322/'Financial Statements'!M$346</f>
        <v>3.6667603259342513E-2</v>
      </c>
    </row>
    <row r="98" spans="1:13" ht="12.75" customHeight="1" x14ac:dyDescent="0.2">
      <c r="A98" s="5" t="s">
        <v>97</v>
      </c>
      <c r="B98" s="26">
        <f>'Financial Statements'!B323/'Financial Statements'!B$346</f>
        <v>0.31224571627326159</v>
      </c>
      <c r="C98" s="26">
        <f>'Financial Statements'!C323/'Financial Statements'!C$346</f>
        <v>0.32652437442652987</v>
      </c>
      <c r="D98" s="26">
        <f>'Financial Statements'!D323/'Financial Statements'!D$346</f>
        <v>0.28524415803277253</v>
      </c>
      <c r="E98" s="26">
        <f>'Financial Statements'!E323/'Financial Statements'!E$346</f>
        <v>0.30774737260757951</v>
      </c>
      <c r="F98" s="26">
        <f>'Financial Statements'!F323/'Financial Statements'!F$346</f>
        <v>0.27694772970855447</v>
      </c>
      <c r="G98" s="26">
        <f>'Financial Statements'!G323/'Financial Statements'!G$346</f>
        <v>0.23476339465353943</v>
      </c>
      <c r="H98" s="26">
        <f>'Financial Statements'!H323/'Financial Statements'!H$346</f>
        <v>0.25457387884143839</v>
      </c>
      <c r="I98" s="26">
        <f>'Financial Statements'!I323/'Financial Statements'!I$346</f>
        <v>0.28959773775190623</v>
      </c>
      <c r="J98" s="26">
        <f>'Financial Statements'!J323/'Financial Statements'!J$346</f>
        <v>0.25776965265082269</v>
      </c>
      <c r="K98" s="26">
        <f>'Financial Statements'!K323/'Financial Statements'!K$346</f>
        <v>0.25246170678336982</v>
      </c>
      <c r="L98" s="26">
        <f>'Financial Statements'!L323/'Financial Statements'!L$346</f>
        <v>0.23363304298960383</v>
      </c>
      <c r="M98" s="26">
        <f>'Financial Statements'!M323/'Financial Statements'!M$346</f>
        <v>0.23363304298960383</v>
      </c>
    </row>
    <row r="99" spans="1:13" ht="12.75" customHeight="1" x14ac:dyDescent="0.2">
      <c r="A99" s="1" t="s">
        <v>187</v>
      </c>
      <c r="B99" s="25">
        <f>'Financial Statements'!B324/'Financial Statements'!B$346</f>
        <v>0.49314407719694336</v>
      </c>
      <c r="C99" s="25">
        <f>'Financial Statements'!C324/'Financial Statements'!C$346</f>
        <v>0.4358518338444845</v>
      </c>
      <c r="D99" s="25">
        <f>'Financial Statements'!D324/'Financial Statements'!D$346</f>
        <v>0.48673813341525679</v>
      </c>
      <c r="E99" s="25">
        <f>'Financial Statements'!E324/'Financial Statements'!E$346</f>
        <v>0.44526482179192717</v>
      </c>
      <c r="F99" s="25">
        <f>'Financial Statements'!F324/'Financial Statements'!F$346</f>
        <v>0.42674436990166387</v>
      </c>
      <c r="G99" s="25">
        <f>'Financial Statements'!G324/'Financial Statements'!G$346</f>
        <v>0.41816306310221418</v>
      </c>
      <c r="H99" s="25">
        <f>'Financial Statements'!H324/'Financial Statements'!H$346</f>
        <v>0.4533562357119445</v>
      </c>
      <c r="I99" s="25">
        <f>'Financial Statements'!I324/'Financial Statements'!I$346</f>
        <v>0.42320428561920248</v>
      </c>
      <c r="J99" s="25">
        <f>'Financial Statements'!J324/'Financial Statements'!J$346</f>
        <v>0.51035953686776359</v>
      </c>
      <c r="K99" s="25">
        <f>'Financial Statements'!K324/'Financial Statements'!K$346</f>
        <v>0.53542122538293213</v>
      </c>
      <c r="L99" s="25">
        <f>'Financial Statements'!L324/'Financial Statements'!L$346</f>
        <v>0.55085698229839841</v>
      </c>
      <c r="M99" s="25">
        <f>'Financial Statements'!M324/'Financial Statements'!M$346</f>
        <v>0.55085698229839841</v>
      </c>
    </row>
    <row r="100" spans="1:13" ht="12.75" customHeight="1" x14ac:dyDescent="0.2">
      <c r="A100" s="1" t="s">
        <v>472</v>
      </c>
      <c r="B100" s="25">
        <f>'Financial Statements'!B325/'Financial Statements'!B$346</f>
        <v>0</v>
      </c>
      <c r="C100" s="25">
        <f>'Financial Statements'!C325/'Financial Statements'!C$346</f>
        <v>0</v>
      </c>
      <c r="D100" s="25">
        <f>'Financial Statements'!D325/'Financial Statements'!D$346</f>
        <v>0</v>
      </c>
      <c r="E100" s="25">
        <f>'Financial Statements'!E325/'Financial Statements'!E$346</f>
        <v>0</v>
      </c>
      <c r="F100" s="25">
        <f>'Financial Statements'!F325/'Financial Statements'!F$346</f>
        <v>5.6376286356640826E-2</v>
      </c>
      <c r="G100" s="25">
        <f>'Financial Statements'!G325/'Financial Statements'!G$346</f>
        <v>4.7847834779286717E-2</v>
      </c>
      <c r="H100" s="25">
        <f>'Financial Statements'!H325/'Financial Statements'!H$346</f>
        <v>4.1003555677259017E-2</v>
      </c>
      <c r="I100" s="25">
        <f>'Financial Statements'!I325/'Financial Statements'!I$346</f>
        <v>3.0247981422307276E-2</v>
      </c>
      <c r="J100" s="25">
        <f>'Financial Statements'!J325/'Financial Statements'!J$346</f>
        <v>2.7726995734308348E-2</v>
      </c>
      <c r="K100" s="25">
        <f>'Financial Statements'!K325/'Financial Statements'!K$346</f>
        <v>2.461706783369803E-2</v>
      </c>
      <c r="L100" s="25">
        <f>'Financial Statements'!L325/'Financial Statements'!L$346</f>
        <v>1.9527957291373983E-2</v>
      </c>
      <c r="M100" s="25">
        <f>'Financial Statements'!M325/'Financial Statements'!M$346</f>
        <v>1.9527957291373983E-2</v>
      </c>
    </row>
    <row r="101" spans="1:13" ht="12.75" customHeight="1" x14ac:dyDescent="0.2">
      <c r="A101" s="1" t="s">
        <v>189</v>
      </c>
      <c r="B101" s="25">
        <f>'Financial Statements'!B326/'Financial Statements'!B$346</f>
        <v>0</v>
      </c>
      <c r="C101" s="25">
        <f>'Financial Statements'!C326/'Financial Statements'!C$346</f>
        <v>0</v>
      </c>
      <c r="D101" s="25">
        <f>'Financial Statements'!D326/'Financial Statements'!D$346</f>
        <v>0</v>
      </c>
      <c r="E101" s="25">
        <f>'Financial Statements'!E326/'Financial Statements'!E$346</f>
        <v>0</v>
      </c>
      <c r="F101" s="25">
        <f>'Financial Statements'!F326/'Financial Statements'!F$346</f>
        <v>0</v>
      </c>
      <c r="G101" s="25">
        <f>'Financial Statements'!G326/'Financial Statements'!G$346</f>
        <v>0</v>
      </c>
      <c r="H101" s="25">
        <f>'Financial Statements'!H326/'Financial Statements'!H$346</f>
        <v>0</v>
      </c>
      <c r="I101" s="25">
        <f>'Financial Statements'!I326/'Financial Statements'!I$346</f>
        <v>0</v>
      </c>
      <c r="J101" s="25">
        <f>'Financial Statements'!J326/'Financial Statements'!J$346</f>
        <v>0</v>
      </c>
      <c r="K101" s="25">
        <f>'Financial Statements'!K326/'Financial Statements'!K$346</f>
        <v>0</v>
      </c>
      <c r="L101" s="25">
        <f>'Financial Statements'!L326/'Financial Statements'!L$346</f>
        <v>0</v>
      </c>
      <c r="M101" s="25">
        <f>'Financial Statements'!M326/'Financial Statements'!M$346</f>
        <v>0</v>
      </c>
    </row>
    <row r="102" spans="1:13" ht="12.75" customHeight="1" x14ac:dyDescent="0.2">
      <c r="A102" s="1" t="s">
        <v>190</v>
      </c>
      <c r="B102" s="25">
        <f>'Financial Statements'!B327/'Financial Statements'!B$346</f>
        <v>0</v>
      </c>
      <c r="C102" s="25">
        <f>'Financial Statements'!C327/'Financial Statements'!C$346</f>
        <v>0</v>
      </c>
      <c r="D102" s="25">
        <f>'Financial Statements'!D327/'Financial Statements'!D$346</f>
        <v>0</v>
      </c>
      <c r="E102" s="25">
        <f>'Financial Statements'!E327/'Financial Statements'!E$346</f>
        <v>0</v>
      </c>
      <c r="F102" s="25">
        <f>'Financial Statements'!F327/'Financial Statements'!F$346</f>
        <v>0</v>
      </c>
      <c r="G102" s="25">
        <f>'Financial Statements'!G327/'Financial Statements'!G$346</f>
        <v>0</v>
      </c>
      <c r="H102" s="25">
        <f>'Financial Statements'!H327/'Financial Statements'!H$346</f>
        <v>0</v>
      </c>
      <c r="I102" s="25">
        <f>'Financial Statements'!I327/'Financial Statements'!I$346</f>
        <v>0</v>
      </c>
      <c r="J102" s="25">
        <f>'Financial Statements'!J327/'Financial Statements'!J$346</f>
        <v>0</v>
      </c>
      <c r="K102" s="25">
        <f>'Financial Statements'!K327/'Financial Statements'!K$346</f>
        <v>0</v>
      </c>
      <c r="L102" s="25">
        <f>'Financial Statements'!L327/'Financial Statements'!L$346</f>
        <v>0</v>
      </c>
      <c r="M102" s="25">
        <f>'Financial Statements'!M327/'Financial Statements'!M$346</f>
        <v>0</v>
      </c>
    </row>
    <row r="103" spans="1:13" ht="12.75" customHeight="1" x14ac:dyDescent="0.2">
      <c r="A103" s="1" t="s">
        <v>191</v>
      </c>
      <c r="B103" s="25">
        <f>'Financial Statements'!B328/'Financial Statements'!B$346</f>
        <v>0</v>
      </c>
      <c r="C103" s="25">
        <f>'Financial Statements'!C328/'Financial Statements'!C$346</f>
        <v>0</v>
      </c>
      <c r="D103" s="25">
        <f>'Financial Statements'!D328/'Financial Statements'!D$346</f>
        <v>0</v>
      </c>
      <c r="E103" s="25">
        <f>'Financial Statements'!E328/'Financial Statements'!E$346</f>
        <v>0</v>
      </c>
      <c r="F103" s="25">
        <f>'Financial Statements'!F328/'Financial Statements'!F$346</f>
        <v>0</v>
      </c>
      <c r="G103" s="25">
        <f>'Financial Statements'!G328/'Financial Statements'!G$346</f>
        <v>0</v>
      </c>
      <c r="H103" s="25">
        <f>'Financial Statements'!H328/'Financial Statements'!H$346</f>
        <v>0</v>
      </c>
      <c r="I103" s="25">
        <f>'Financial Statements'!I328/'Financial Statements'!I$346</f>
        <v>0</v>
      </c>
      <c r="J103" s="25">
        <f>'Financial Statements'!J328/'Financial Statements'!J$346</f>
        <v>0</v>
      </c>
      <c r="K103" s="25">
        <f>'Financial Statements'!K328/'Financial Statements'!K$346</f>
        <v>0</v>
      </c>
      <c r="L103" s="25">
        <f>'Financial Statements'!L328/'Financial Statements'!L$346</f>
        <v>0</v>
      </c>
      <c r="M103" s="25">
        <f>'Financial Statements'!M328/'Financial Statements'!M$346</f>
        <v>0</v>
      </c>
    </row>
    <row r="104" spans="1:13" ht="12.75" customHeight="1" x14ac:dyDescent="0.2">
      <c r="A104" s="1" t="s">
        <v>192</v>
      </c>
      <c r="B104" s="25">
        <f>'Financial Statements'!B329/'Financial Statements'!B$346</f>
        <v>3.938447350665461E-2</v>
      </c>
      <c r="C104" s="25">
        <f>'Financial Statements'!C329/'Financial Statements'!C$346</f>
        <v>3.6610778496370559E-2</v>
      </c>
      <c r="D104" s="25">
        <f>'Financial Statements'!D329/'Financial Statements'!D$346</f>
        <v>3.6467949622624403E-2</v>
      </c>
      <c r="E104" s="25">
        <f>'Financial Statements'!E329/'Financial Statements'!E$346</f>
        <v>3.260182246601568E-2</v>
      </c>
      <c r="F104" s="25">
        <f>'Financial Statements'!F329/'Financial Statements'!F$346</f>
        <v>2.5944072194087314E-2</v>
      </c>
      <c r="G104" s="25">
        <f>'Financial Statements'!G329/'Financial Statements'!G$346</f>
        <v>2.5714592749546739E-3</v>
      </c>
      <c r="H104" s="25">
        <f>'Financial Statements'!H329/'Financial Statements'!H$346</f>
        <v>2.7403193886060668E-3</v>
      </c>
      <c r="I104" s="25">
        <f>'Financial Statements'!I329/'Financial Statements'!I$346</f>
        <v>3.0668702901634828E-3</v>
      </c>
      <c r="J104" s="25">
        <f>'Financial Statements'!J329/'Financial Statements'!J$346</f>
        <v>4.4180377818403413E-3</v>
      </c>
      <c r="K104" s="25">
        <f>'Financial Statements'!K329/'Financial Statements'!K$346</f>
        <v>4.7866520787746168E-3</v>
      </c>
      <c r="L104" s="25">
        <f>'Financial Statements'!L329/'Financial Statements'!L$346</f>
        <v>5.619556055071649E-3</v>
      </c>
      <c r="M104" s="25">
        <f>'Financial Statements'!M329/'Financial Statements'!M$346</f>
        <v>5.619556055071649E-3</v>
      </c>
    </row>
    <row r="105" spans="1:13" ht="12.75" customHeight="1" x14ac:dyDescent="0.2">
      <c r="A105" s="1" t="s">
        <v>137</v>
      </c>
      <c r="B105" s="25">
        <f>'Financial Statements'!B330/'Financial Statements'!B$346</f>
        <v>0</v>
      </c>
      <c r="C105" s="25">
        <f>'Financial Statements'!C330/'Financial Statements'!C$346</f>
        <v>0</v>
      </c>
      <c r="D105" s="25">
        <f>'Financial Statements'!D330/'Financial Statements'!D$346</f>
        <v>2.0168473575944671E-3</v>
      </c>
      <c r="E105" s="25">
        <f>'Financial Statements'!E330/'Financial Statements'!E$346</f>
        <v>8.674159496701455E-3</v>
      </c>
      <c r="F105" s="25">
        <f>'Financial Statements'!F330/'Financial Statements'!F$346</f>
        <v>1.8374348086740707E-2</v>
      </c>
      <c r="G105" s="25">
        <f>'Financial Statements'!G330/'Financial Statements'!G$346</f>
        <v>6.6270443983118058E-2</v>
      </c>
      <c r="H105" s="25">
        <f>'Financial Statements'!H330/'Financial Statements'!H$346</f>
        <v>3.9764171884011074E-2</v>
      </c>
      <c r="I105" s="25">
        <f>'Financial Statements'!I330/'Financial Statements'!I$346</f>
        <v>0</v>
      </c>
      <c r="J105" s="25">
        <f>'Financial Statements'!J330/'Financial Statements'!J$346</f>
        <v>0</v>
      </c>
      <c r="K105" s="25">
        <f>'Financial Statements'!K330/'Financial Statements'!K$346</f>
        <v>0</v>
      </c>
      <c r="L105" s="25">
        <f>'Financial Statements'!L330/'Financial Statements'!L$346</f>
        <v>0</v>
      </c>
      <c r="M105" s="25">
        <f>'Financial Statements'!M330/'Financial Statements'!M$346</f>
        <v>0</v>
      </c>
    </row>
    <row r="106" spans="1:13" ht="12.75" customHeight="1" x14ac:dyDescent="0.2">
      <c r="A106" s="1" t="s">
        <v>138</v>
      </c>
      <c r="B106" s="25">
        <f>'Financial Statements'!B331/'Financial Statements'!B$346</f>
        <v>1.9523143369595947E-2</v>
      </c>
      <c r="C106" s="25">
        <f>'Financial Statements'!C331/'Financial Statements'!C$346</f>
        <v>3.0964645334195053E-2</v>
      </c>
      <c r="D106" s="25">
        <f>'Financial Statements'!D331/'Financial Statements'!D$346</f>
        <v>3.3572162737455766E-2</v>
      </c>
      <c r="E106" s="25">
        <f>'Financial Statements'!E331/'Financial Statements'!E$346</f>
        <v>2.9460773555061392E-2</v>
      </c>
      <c r="F106" s="25">
        <f>'Financial Statements'!F331/'Financial Statements'!F$346</f>
        <v>1.6981138372696009E-2</v>
      </c>
      <c r="G106" s="25">
        <f>'Financial Statements'!G331/'Financial Statements'!G$346</f>
        <v>3.5610401554585502E-2</v>
      </c>
      <c r="H106" s="25">
        <f>'Financial Statements'!H331/'Financial Statements'!H$346</f>
        <v>3.4848790364405059E-2</v>
      </c>
      <c r="I106" s="25">
        <f>'Financial Statements'!I331/'Financial Statements'!I$346</f>
        <v>0.10244751209497924</v>
      </c>
      <c r="J106" s="25">
        <f>'Financial Statements'!J331/'Financial Statements'!J$346</f>
        <v>4.0219378427787937E-2</v>
      </c>
      <c r="K106" s="25">
        <f>'Financial Statements'!K331/'Financial Statements'!K$346</f>
        <v>4.5541575492341356E-2</v>
      </c>
      <c r="L106" s="25">
        <f>'Financial Statements'!L331/'Financial Statements'!L$346</f>
        <v>3.5122225344197809E-2</v>
      </c>
      <c r="M106" s="25">
        <f>'Financial Statements'!M331/'Financial Statements'!M$346</f>
        <v>3.5122225344197809E-2</v>
      </c>
    </row>
    <row r="107" spans="1:13" ht="12.75" customHeight="1" thickBot="1" x14ac:dyDescent="0.25">
      <c r="A107" s="5" t="s">
        <v>510</v>
      </c>
      <c r="B107" s="29">
        <f>'Financial Statements'!B332/'Financial Statements'!B$346</f>
        <v>0.86429741034645546</v>
      </c>
      <c r="C107" s="29">
        <f>'Financial Statements'!C332/'Financial Statements'!C$346</f>
        <v>0.82995163210158007</v>
      </c>
      <c r="D107" s="29">
        <f>'Financial Statements'!D332/'Financial Statements'!D$346</f>
        <v>0.844039251165704</v>
      </c>
      <c r="E107" s="29">
        <f>'Financial Statements'!E332/'Financial Statements'!E$346</f>
        <v>0.8237489499172852</v>
      </c>
      <c r="F107" s="29">
        <f>'Financial Statements'!F332/'Financial Statements'!F$346</f>
        <v>0.82136794462038321</v>
      </c>
      <c r="G107" s="29">
        <f>'Financial Statements'!G332/'Financial Statements'!G$346</f>
        <v>0.80522659734769853</v>
      </c>
      <c r="H107" s="29">
        <f>'Financial Statements'!H332/'Financial Statements'!H$346</f>
        <v>0.8262869518676641</v>
      </c>
      <c r="I107" s="29">
        <f>'Financial Statements'!I332/'Financial Statements'!I$346</f>
        <v>0.84856438717855864</v>
      </c>
      <c r="J107" s="29">
        <f>'Financial Statements'!J332/'Financial Statements'!J$346</f>
        <v>0.84049360146252283</v>
      </c>
      <c r="K107" s="29">
        <f>'Financial Statements'!K332/'Financial Statements'!K$346</f>
        <v>0.86282822757111599</v>
      </c>
      <c r="L107" s="29">
        <f>'Financial Statements'!L332/'Financial Statements'!L$346</f>
        <v>0.84475976397864572</v>
      </c>
      <c r="M107" s="29">
        <f>'Financial Statements'!M332/'Financial Statements'!M$346</f>
        <v>0.84475976397864572</v>
      </c>
    </row>
    <row r="108" spans="1:13" ht="12.75" customHeight="1" thickTop="1" x14ac:dyDescent="0.2">
      <c r="A108" s="1" t="s">
        <v>193</v>
      </c>
      <c r="B108" s="25">
        <f>'Financial Statements'!B333/'Financial Statements'!B$346</f>
        <v>0</v>
      </c>
      <c r="C108" s="25">
        <f>'Financial Statements'!C333/'Financial Statements'!C$346</f>
        <v>0</v>
      </c>
      <c r="D108" s="25">
        <f>'Financial Statements'!D333/'Financial Statements'!D$346</f>
        <v>0</v>
      </c>
      <c r="E108" s="25">
        <f>'Financial Statements'!E333/'Financial Statements'!E$346</f>
        <v>0</v>
      </c>
      <c r="F108" s="25">
        <f>'Financial Statements'!F333/'Financial Statements'!F$346</f>
        <v>0</v>
      </c>
      <c r="G108" s="25">
        <f>'Financial Statements'!G333/'Financial Statements'!G$346</f>
        <v>0</v>
      </c>
      <c r="H108" s="25">
        <f>'Financial Statements'!H333/'Financial Statements'!H$346</f>
        <v>0</v>
      </c>
      <c r="I108" s="25">
        <f>'Financial Statements'!I333/'Financial Statements'!I$346</f>
        <v>0</v>
      </c>
      <c r="J108" s="25">
        <f>'Financial Statements'!J333/'Financial Statements'!J$346</f>
        <v>0</v>
      </c>
      <c r="K108" s="25">
        <f>'Financial Statements'!K333/'Financial Statements'!K$346</f>
        <v>0</v>
      </c>
      <c r="L108" s="25">
        <f>'Financial Statements'!L333/'Financial Statements'!L$346</f>
        <v>0</v>
      </c>
      <c r="M108" s="25">
        <f>'Financial Statements'!M333/'Financial Statements'!M$346</f>
        <v>0</v>
      </c>
    </row>
    <row r="109" spans="1:13" ht="12.75" customHeight="1" x14ac:dyDescent="0.2">
      <c r="A109" s="1" t="s">
        <v>194</v>
      </c>
      <c r="B109" s="25">
        <f>'Financial Statements'!B334/'Financial Statements'!B$346</f>
        <v>0</v>
      </c>
      <c r="C109" s="25">
        <f>'Financial Statements'!C334/'Financial Statements'!C$346</f>
        <v>0</v>
      </c>
      <c r="D109" s="25">
        <f>'Financial Statements'!D334/'Financial Statements'!D$346</f>
        <v>0</v>
      </c>
      <c r="E109" s="25">
        <f>'Financial Statements'!E334/'Financial Statements'!E$346</f>
        <v>0</v>
      </c>
      <c r="F109" s="25">
        <f>'Financial Statements'!F334/'Financial Statements'!F$346</f>
        <v>0</v>
      </c>
      <c r="G109" s="25">
        <f>'Financial Statements'!G334/'Financial Statements'!G$346</f>
        <v>0</v>
      </c>
      <c r="H109" s="25">
        <f>'Financial Statements'!H334/'Financial Statements'!H$346</f>
        <v>0</v>
      </c>
      <c r="I109" s="25">
        <f>'Financial Statements'!I334/'Financial Statements'!I$346</f>
        <v>0</v>
      </c>
      <c r="J109" s="25">
        <f>'Financial Statements'!J334/'Financial Statements'!J$346</f>
        <v>0</v>
      </c>
      <c r="K109" s="25">
        <f>'Financial Statements'!K334/'Financial Statements'!K$346</f>
        <v>0</v>
      </c>
      <c r="L109" s="25">
        <f>'Financial Statements'!L334/'Financial Statements'!L$346</f>
        <v>0</v>
      </c>
      <c r="M109" s="25">
        <f>'Financial Statements'!M334/'Financial Statements'!M$346</f>
        <v>0</v>
      </c>
    </row>
    <row r="110" spans="1:13" ht="12.75" customHeight="1" x14ac:dyDescent="0.2">
      <c r="A110" s="1" t="s">
        <v>195</v>
      </c>
      <c r="B110" s="25">
        <f>'Financial Statements'!B335/'Financial Statements'!B$346</f>
        <v>0</v>
      </c>
      <c r="C110" s="25">
        <f>'Financial Statements'!C335/'Financial Statements'!C$346</f>
        <v>0</v>
      </c>
      <c r="D110" s="25">
        <f>'Financial Statements'!D335/'Financial Statements'!D$346</f>
        <v>0</v>
      </c>
      <c r="E110" s="25">
        <f>'Financial Statements'!E335/'Financial Statements'!E$346</f>
        <v>0</v>
      </c>
      <c r="F110" s="25">
        <f>'Financial Statements'!F335/'Financial Statements'!F$346</f>
        <v>0</v>
      </c>
      <c r="G110" s="25">
        <f>'Financial Statements'!G335/'Financial Statements'!G$346</f>
        <v>0</v>
      </c>
      <c r="H110" s="25">
        <f>'Financial Statements'!H335/'Financial Statements'!H$346</f>
        <v>0</v>
      </c>
      <c r="I110" s="25">
        <f>'Financial Statements'!I335/'Financial Statements'!I$346</f>
        <v>0</v>
      </c>
      <c r="J110" s="25">
        <f>'Financial Statements'!J335/'Financial Statements'!J$346</f>
        <v>0</v>
      </c>
      <c r="K110" s="25">
        <f>'Financial Statements'!K335/'Financial Statements'!K$346</f>
        <v>0</v>
      </c>
      <c r="L110" s="25">
        <f>'Financial Statements'!L335/'Financial Statements'!L$346</f>
        <v>0</v>
      </c>
      <c r="M110" s="25">
        <f>'Financial Statements'!M335/'Financial Statements'!M$346</f>
        <v>0</v>
      </c>
    </row>
    <row r="111" spans="1:13" ht="12.75" customHeight="1" x14ac:dyDescent="0.2">
      <c r="A111" s="1" t="s">
        <v>196</v>
      </c>
      <c r="B111" s="25">
        <f>'Financial Statements'!B336/'Financial Statements'!B$346</f>
        <v>0</v>
      </c>
      <c r="C111" s="25">
        <f>'Financial Statements'!C336/'Financial Statements'!C$346</f>
        <v>0</v>
      </c>
      <c r="D111" s="25">
        <f>'Financial Statements'!D336/'Financial Statements'!D$346</f>
        <v>0</v>
      </c>
      <c r="E111" s="25">
        <f>'Financial Statements'!E336/'Financial Statements'!E$346</f>
        <v>0</v>
      </c>
      <c r="F111" s="25">
        <f>'Financial Statements'!F336/'Financial Statements'!F$346</f>
        <v>0</v>
      </c>
      <c r="G111" s="25">
        <f>'Financial Statements'!G336/'Financial Statements'!G$346</f>
        <v>0</v>
      </c>
      <c r="H111" s="25">
        <f>'Financial Statements'!H336/'Financial Statements'!H$346</f>
        <v>0</v>
      </c>
      <c r="I111" s="25">
        <f>'Financial Statements'!I336/'Financial Statements'!I$346</f>
        <v>0</v>
      </c>
      <c r="J111" s="25">
        <f>'Financial Statements'!J336/'Financial Statements'!J$346</f>
        <v>0</v>
      </c>
      <c r="K111" s="25">
        <f>'Financial Statements'!K336/'Financial Statements'!K$346</f>
        <v>0</v>
      </c>
      <c r="L111" s="25">
        <f>'Financial Statements'!L336/'Financial Statements'!L$346</f>
        <v>0</v>
      </c>
      <c r="M111" s="25">
        <f>'Financial Statements'!M336/'Financial Statements'!M$346</f>
        <v>0</v>
      </c>
    </row>
    <row r="112" spans="1:13" ht="12.75" customHeight="1" x14ac:dyDescent="0.2">
      <c r="A112" s="5" t="s">
        <v>511</v>
      </c>
      <c r="B112" s="30">
        <f>'Financial Statements'!B337/'Financial Statements'!B$346</f>
        <v>0</v>
      </c>
      <c r="C112" s="30">
        <f>'Financial Statements'!C337/'Financial Statements'!C$346</f>
        <v>0</v>
      </c>
      <c r="D112" s="30">
        <f>'Financial Statements'!D337/'Financial Statements'!D$346</f>
        <v>0</v>
      </c>
      <c r="E112" s="30">
        <f>'Financial Statements'!E337/'Financial Statements'!E$346</f>
        <v>0</v>
      </c>
      <c r="F112" s="30">
        <f>'Financial Statements'!F337/'Financial Statements'!F$346</f>
        <v>0</v>
      </c>
      <c r="G112" s="30">
        <f>'Financial Statements'!G337/'Financial Statements'!G$346</f>
        <v>0</v>
      </c>
      <c r="H112" s="30">
        <f>'Financial Statements'!H337/'Financial Statements'!H$346</f>
        <v>0</v>
      </c>
      <c r="I112" s="30">
        <f>'Financial Statements'!I337/'Financial Statements'!I$346</f>
        <v>0</v>
      </c>
      <c r="J112" s="30">
        <f>'Financial Statements'!J337/'Financial Statements'!J$346</f>
        <v>0</v>
      </c>
      <c r="K112" s="30">
        <f>'Financial Statements'!K337/'Financial Statements'!K$346</f>
        <v>0</v>
      </c>
      <c r="L112" s="30">
        <f>'Financial Statements'!L337/'Financial Statements'!L$346</f>
        <v>0</v>
      </c>
      <c r="M112" s="30">
        <f>'Financial Statements'!M337/'Financial Statements'!M$346</f>
        <v>0</v>
      </c>
    </row>
    <row r="113" spans="1:13" ht="12.75" customHeight="1" x14ac:dyDescent="0.2">
      <c r="A113" s="1" t="s">
        <v>47</v>
      </c>
      <c r="B113" s="25">
        <f>'Financial Statements'!B338/'Financial Statements'!B$346</f>
        <v>5.096056004791755E-4</v>
      </c>
      <c r="C113" s="25">
        <f>'Financial Statements'!C338/'Financial Statements'!C$346</f>
        <v>4.6218543448840163E-4</v>
      </c>
      <c r="D113" s="25">
        <f>'Financial Statements'!D338/'Financial Statements'!D$346</f>
        <v>4.3808342383822632E-4</v>
      </c>
      <c r="E113" s="25">
        <f>'Financial Statements'!E338/'Financial Statements'!E$346</f>
        <v>4.1729288871850373E-4</v>
      </c>
      <c r="F113" s="25">
        <f>'Financial Statements'!F338/'Financial Statements'!F$346</f>
        <v>3.3646463074623391E-4</v>
      </c>
      <c r="G113" s="25">
        <f>'Financial Statements'!G338/'Financial Statements'!G$346</f>
        <v>2.9620330638531782E-4</v>
      </c>
      <c r="H113" s="25">
        <f>'Financial Statements'!H338/'Financial Statements'!H$346</f>
        <v>2.7316895068105532E-4</v>
      </c>
      <c r="I113" s="25">
        <f>'Financial Statements'!I338/'Financial Statements'!I$346</f>
        <v>2.5325723302046881E-4</v>
      </c>
      <c r="J113" s="25">
        <f>'Financial Statements'!J338/'Financial Statements'!J$346</f>
        <v>3.0469226081657528E-4</v>
      </c>
      <c r="K113" s="25">
        <f>'Financial Statements'!K338/'Financial Statements'!K$346</f>
        <v>2.7352297592997811E-4</v>
      </c>
      <c r="L113" s="25">
        <f>'Financial Statements'!L338/'Financial Statements'!L$346</f>
        <v>2.8097780275358248E-4</v>
      </c>
      <c r="M113" s="25">
        <f>'Financial Statements'!M338/'Financial Statements'!M$346</f>
        <v>2.8097780275358248E-4</v>
      </c>
    </row>
    <row r="114" spans="1:13" ht="12.75" customHeight="1" x14ac:dyDescent="0.2">
      <c r="A114" s="1" t="s">
        <v>139</v>
      </c>
      <c r="B114" s="25">
        <f>'Financial Statements'!B339/'Financial Statements'!B$346</f>
        <v>8.0884109241634444E-2</v>
      </c>
      <c r="C114" s="25">
        <f>'Financial Statements'!C339/'Financial Statements'!C$346</f>
        <v>8.980064362064033E-2</v>
      </c>
      <c r="D114" s="25">
        <f>'Financial Statements'!D339/'Financial Statements'!D$346</f>
        <v>9.620034719497679E-2</v>
      </c>
      <c r="E114" s="25">
        <f>'Financial Statements'!E339/'Financial Statements'!E$346</f>
        <v>0.10480497494546355</v>
      </c>
      <c r="F114" s="25">
        <f>'Financial Statements'!F339/'Financial Statements'!F$346</f>
        <v>9.7628351974127461E-2</v>
      </c>
      <c r="G114" s="25">
        <f>'Financial Statements'!G339/'Financial Statements'!G$346</f>
        <v>0.10145408730560636</v>
      </c>
      <c r="H114" s="25">
        <f>'Financial Statements'!H339/'Financial Statements'!H$346</f>
        <v>0.10890612099260237</v>
      </c>
      <c r="I114" s="25">
        <f>'Financial Statements'!I339/'Financial Statements'!I$346</f>
        <v>0.11746311664854125</v>
      </c>
      <c r="J114" s="25">
        <f>'Financial Statements'!J339/'Financial Statements'!J$346</f>
        <v>0.13848263254113347</v>
      </c>
      <c r="K114" s="25">
        <f>'Financial Statements'!K339/'Financial Statements'!K$346</f>
        <v>0.14250547045951861</v>
      </c>
      <c r="L114" s="25">
        <f>'Financial Statements'!L339/'Financial Statements'!L$346</f>
        <v>0.16226468109019387</v>
      </c>
      <c r="M114" s="25">
        <f>'Financial Statements'!M339/'Financial Statements'!M$346</f>
        <v>0.16226468109019387</v>
      </c>
    </row>
    <row r="115" spans="1:13" ht="12.75" customHeight="1" x14ac:dyDescent="0.2">
      <c r="A115" s="1" t="s">
        <v>98</v>
      </c>
      <c r="B115" s="25">
        <f>'Financial Statements'!B340/'Financial Statements'!B$346</f>
        <v>0.10582023413287817</v>
      </c>
      <c r="C115" s="25">
        <f>'Financial Statements'!C340/'Financial Statements'!C$346</f>
        <v>0.14173943592031674</v>
      </c>
      <c r="D115" s="25">
        <f>'Financial Statements'!D340/'Financial Statements'!D$346</f>
        <v>0.19145798322473206</v>
      </c>
      <c r="E115" s="25">
        <f>'Financial Statements'!E340/'Financial Statements'!E$346</f>
        <v>0.25961698306375447</v>
      </c>
      <c r="F115" s="25">
        <f>'Financial Statements'!F340/'Financial Statements'!F$346</f>
        <v>0.27760146817895659</v>
      </c>
      <c r="G115" s="25">
        <f>'Financial Statements'!G340/'Financial Statements'!G$346</f>
        <v>0.31957300175049064</v>
      </c>
      <c r="H115" s="25">
        <f>'Financial Statements'!H340/'Financial Statements'!H$346</f>
        <v>0.33441970268397619</v>
      </c>
      <c r="I115" s="25">
        <f>'Financial Statements'!I340/'Financial Statements'!I$346</f>
        <v>0.31316806327064844</v>
      </c>
      <c r="J115" s="25">
        <f>'Financial Statements'!J340/'Financial Statements'!J$346</f>
        <v>0.36624009750152348</v>
      </c>
      <c r="K115" s="25">
        <f>'Financial Statements'!K340/'Financial Statements'!K$346</f>
        <v>0.4198577680525164</v>
      </c>
      <c r="L115" s="25">
        <f>'Financial Statements'!L340/'Financial Statements'!L$346</f>
        <v>0.51194155661702723</v>
      </c>
      <c r="M115" s="25">
        <f>'Financial Statements'!M340/'Financial Statements'!M$346</f>
        <v>0.51194155661702723</v>
      </c>
    </row>
    <row r="116" spans="1:13" ht="12.75" customHeight="1" x14ac:dyDescent="0.2">
      <c r="A116" s="1" t="s">
        <v>54</v>
      </c>
      <c r="B116" s="25">
        <f>'Financial Statements'!B341/'Financial Statements'!B$346</f>
        <v>-4.4995782631617937E-2</v>
      </c>
      <c r="C116" s="25">
        <f>'Financial Statements'!C341/'Financial Statements'!C$346</f>
        <v>-5.6891202615987346E-2</v>
      </c>
      <c r="D116" s="25">
        <f>'Financial Statements'!D341/'Financial Statements'!D$346</f>
        <v>-0.12794725475576987</v>
      </c>
      <c r="E116" s="25">
        <f>'Financial Statements'!E341/'Financial Statements'!E$346</f>
        <v>-0.18566793350767949</v>
      </c>
      <c r="F116" s="25">
        <f>'Financial Statements'!F341/'Financial Statements'!F$346</f>
        <v>-0.18733862526350833</v>
      </c>
      <c r="G116" s="25">
        <f>'Financial Statements'!G341/'Financial Statements'!G$346</f>
        <v>-0.22113658790883195</v>
      </c>
      <c r="H116" s="25">
        <f>'Financial Statements'!H341/'Financial Statements'!H$346</f>
        <v>-0.27141874426921914</v>
      </c>
      <c r="I116" s="25">
        <f>'Financial Statements'!I341/'Financial Statements'!I$346</f>
        <v>-0.28392669920490354</v>
      </c>
      <c r="J116" s="25">
        <f>'Financial Statements'!J341/'Financial Statements'!J$346</f>
        <v>-0.34704448507007923</v>
      </c>
      <c r="K116" s="25">
        <f>'Financial Statements'!K341/'Financial Statements'!K$346</f>
        <v>-0.4214989059080963</v>
      </c>
      <c r="L116" s="25">
        <f>'Financial Statements'!L341/'Financial Statements'!L$346</f>
        <v>-0.51601573475695417</v>
      </c>
      <c r="M116" s="25">
        <f>'Financial Statements'!M341/'Financial Statements'!M$346</f>
        <v>-0.51601573475695417</v>
      </c>
    </row>
    <row r="117" spans="1:13" ht="12.75" customHeight="1" x14ac:dyDescent="0.2">
      <c r="A117" s="1" t="s">
        <v>140</v>
      </c>
      <c r="B117" s="25">
        <f>'Financial Statements'!B342/'Financial Statements'!B$346</f>
        <v>-6.5155766898292488E-3</v>
      </c>
      <c r="C117" s="25">
        <f>'Financial Statements'!C342/'Financial Statements'!C$346</f>
        <v>-5.0626944610381239E-3</v>
      </c>
      <c r="D117" s="25">
        <f>'Financial Statements'!D342/'Financial Statements'!D$346</f>
        <v>-4.1884102534811684E-3</v>
      </c>
      <c r="E117" s="25">
        <f>'Financial Statements'!E342/'Financial Statements'!E$346</f>
        <v>-2.9202673075422493E-3</v>
      </c>
      <c r="F117" s="25">
        <f>'Financial Statements'!F342/'Financial Statements'!F$346</f>
        <v>-9.5956041407052103E-3</v>
      </c>
      <c r="G117" s="25">
        <f>'Financial Statements'!G342/'Financial Statements'!G$346</f>
        <v>-5.413301801348862E-3</v>
      </c>
      <c r="H117" s="25">
        <f>'Financial Statements'!H342/'Financial Statements'!H$346</f>
        <v>1.4247602925861848E-3</v>
      </c>
      <c r="I117" s="25">
        <f>'Financial Statements'!I342/'Financial Statements'!I$346</f>
        <v>4.4778748741346663E-3</v>
      </c>
      <c r="J117" s="25">
        <f>'Financial Statements'!J342/'Financial Statements'!J$346</f>
        <v>1.5234613040828763E-3</v>
      </c>
      <c r="K117" s="25">
        <f>'Financial Statements'!K342/'Financial Statements'!K$346</f>
        <v>-3.9660831509846827E-3</v>
      </c>
      <c r="L117" s="25">
        <f>'Financial Statements'!L342/'Financial Statements'!L$346</f>
        <v>-3.2312447316661984E-3</v>
      </c>
      <c r="M117" s="25">
        <f>'Financial Statements'!M342/'Financial Statements'!M$346</f>
        <v>-3.2312447316661984E-3</v>
      </c>
    </row>
    <row r="118" spans="1:13" ht="12.75" customHeight="1" x14ac:dyDescent="0.2">
      <c r="A118" s="5" t="s">
        <v>99</v>
      </c>
      <c r="B118" s="26">
        <f>'Financial Statements'!B343/'Financial Statements'!B$346</f>
        <v>0.13570258965354462</v>
      </c>
      <c r="C118" s="26">
        <f>'Financial Statements'!C343/'Financial Statements'!C$346</f>
        <v>0.17004836789842001</v>
      </c>
      <c r="D118" s="26">
        <f>'Financial Statements'!D343/'Financial Statements'!D$346</f>
        <v>0.15596074883429603</v>
      </c>
      <c r="E118" s="26">
        <f>'Financial Statements'!E343/'Financial Statements'!E$346</f>
        <v>0.1762510500827148</v>
      </c>
      <c r="F118" s="26">
        <f>'Financial Statements'!F343/'Financial Statements'!F$346</f>
        <v>0.17863205537961677</v>
      </c>
      <c r="G118" s="26">
        <f>'Financial Statements'!G343/'Financial Statements'!G$346</f>
        <v>0.1947734026523015</v>
      </c>
      <c r="H118" s="26">
        <f>'Financial Statements'!H343/'Financial Statements'!H$346</f>
        <v>0.1736050086506267</v>
      </c>
      <c r="I118" s="26">
        <f>'Financial Statements'!I343/'Financial Statements'!I$346</f>
        <v>0.15143561282144127</v>
      </c>
      <c r="J118" s="26">
        <f>'Financial Statements'!J343/'Financial Statements'!J$346</f>
        <v>0.15950639853747714</v>
      </c>
      <c r="K118" s="26">
        <f>'Financial Statements'!K343/'Financial Statements'!K$346</f>
        <v>0.13717177242888404</v>
      </c>
      <c r="L118" s="26">
        <f>'Financial Statements'!L343/'Financial Statements'!L$346</f>
        <v>0.15524023602135431</v>
      </c>
      <c r="M118" s="26">
        <f>'Financial Statements'!M343/'Financial Statements'!M$346</f>
        <v>0.15524023602135431</v>
      </c>
    </row>
    <row r="119" spans="1:13" ht="12.75" customHeight="1" x14ac:dyDescent="0.2">
      <c r="A119" s="1" t="s">
        <v>188</v>
      </c>
      <c r="B119" s="25">
        <f>'Financial Statements'!B344/'Financial Statements'!B$346</f>
        <v>0</v>
      </c>
      <c r="C119" s="25">
        <f>'Financial Statements'!C344/'Financial Statements'!C$346</f>
        <v>0</v>
      </c>
      <c r="D119" s="25">
        <f>'Financial Statements'!D344/'Financial Statements'!D$346</f>
        <v>0</v>
      </c>
      <c r="E119" s="25">
        <f>'Financial Statements'!E344/'Financial Statements'!E$346</f>
        <v>0</v>
      </c>
      <c r="F119" s="25">
        <f>'Financial Statements'!F344/'Financial Statements'!F$346</f>
        <v>0</v>
      </c>
      <c r="G119" s="25">
        <f>'Financial Statements'!G344/'Financial Statements'!G$346</f>
        <v>0</v>
      </c>
      <c r="H119" s="25">
        <f>'Financial Statements'!H344/'Financial Statements'!H$346</f>
        <v>1.0803948170921448E-4</v>
      </c>
      <c r="I119" s="25">
        <f>'Financial Statements'!I344/'Financial Statements'!I$346</f>
        <v>0</v>
      </c>
      <c r="J119" s="25">
        <f>'Financial Statements'!J344/'Financial Statements'!J$346</f>
        <v>0</v>
      </c>
      <c r="K119" s="25">
        <f>'Financial Statements'!K344/'Financial Statements'!K$346</f>
        <v>0</v>
      </c>
      <c r="L119" s="25">
        <f>'Financial Statements'!L344/'Financial Statements'!L$346</f>
        <v>0</v>
      </c>
      <c r="M119" s="25">
        <f>'Financial Statements'!M344/'Financial Statements'!M$346</f>
        <v>0</v>
      </c>
    </row>
    <row r="120" spans="1:13" ht="12.75" customHeight="1" x14ac:dyDescent="0.2">
      <c r="A120" s="3" t="s">
        <v>46</v>
      </c>
      <c r="B120" s="26">
        <f>'Financial Statements'!B345/'Financial Statements'!B$346</f>
        <v>0.13570258965354462</v>
      </c>
      <c r="C120" s="26">
        <f>'Financial Statements'!C345/'Financial Statements'!C$346</f>
        <v>0.17004836789842001</v>
      </c>
      <c r="D120" s="26">
        <f>'Financial Statements'!D345/'Financial Statements'!D$346</f>
        <v>0.15596074883429603</v>
      </c>
      <c r="E120" s="26">
        <f>'Financial Statements'!E345/'Financial Statements'!E$346</f>
        <v>0.1762510500827148</v>
      </c>
      <c r="F120" s="26">
        <f>'Financial Statements'!F345/'Financial Statements'!F$346</f>
        <v>0.17863205537961677</v>
      </c>
      <c r="G120" s="26">
        <f>'Financial Statements'!G345/'Financial Statements'!G$346</f>
        <v>0.1947734026523015</v>
      </c>
      <c r="H120" s="26">
        <f>'Financial Statements'!H345/'Financial Statements'!H$346</f>
        <v>0.17371304813233593</v>
      </c>
      <c r="I120" s="26">
        <f>'Financial Statements'!I345/'Financial Statements'!I$346</f>
        <v>0.15143561282144127</v>
      </c>
      <c r="J120" s="26">
        <f>'Financial Statements'!J345/'Financial Statements'!J$346</f>
        <v>0.15950639853747714</v>
      </c>
      <c r="K120" s="26">
        <f>'Financial Statements'!K345/'Financial Statements'!K$346</f>
        <v>0.13717177242888404</v>
      </c>
      <c r="L120" s="26">
        <f>'Financial Statements'!L345/'Financial Statements'!L$346</f>
        <v>0.15524023602135431</v>
      </c>
      <c r="M120" s="26">
        <f>'Financial Statements'!M345/'Financial Statements'!M$346</f>
        <v>0.15524023602135431</v>
      </c>
    </row>
    <row r="121" spans="1:13" ht="12.75" customHeight="1" thickBot="1" x14ac:dyDescent="0.25">
      <c r="A121" s="16" t="s">
        <v>100</v>
      </c>
      <c r="B121" s="29">
        <f>'Financial Statements'!B346/'Financial Statements'!B$346</f>
        <v>1</v>
      </c>
      <c r="C121" s="29">
        <f>'Financial Statements'!C346/'Financial Statements'!C$346</f>
        <v>1</v>
      </c>
      <c r="D121" s="29">
        <f>'Financial Statements'!D346/'Financial Statements'!D$346</f>
        <v>1</v>
      </c>
      <c r="E121" s="29">
        <f>'Financial Statements'!E346/'Financial Statements'!E$346</f>
        <v>1</v>
      </c>
      <c r="F121" s="29">
        <f>'Financial Statements'!F346/'Financial Statements'!F$346</f>
        <v>1</v>
      </c>
      <c r="G121" s="29">
        <f>'Financial Statements'!G346/'Financial Statements'!G$346</f>
        <v>1</v>
      </c>
      <c r="H121" s="29">
        <f>'Financial Statements'!H346/'Financial Statements'!H$346</f>
        <v>1</v>
      </c>
      <c r="I121" s="29">
        <f>'Financial Statements'!I346/'Financial Statements'!I$346</f>
        <v>1</v>
      </c>
      <c r="J121" s="29">
        <f>'Financial Statements'!J346/'Financial Statements'!J$346</f>
        <v>1</v>
      </c>
      <c r="K121" s="29">
        <f>'Financial Statements'!K346/'Financial Statements'!K$346</f>
        <v>1</v>
      </c>
      <c r="L121" s="29">
        <f>'Financial Statements'!L346/'Financial Statements'!L$346</f>
        <v>1</v>
      </c>
      <c r="M121" s="29">
        <f>'Financial Statements'!M346/'Financial Statements'!M$346</f>
        <v>1</v>
      </c>
    </row>
    <row r="122" spans="1:13" ht="12.75" customHeight="1" thickTop="1" x14ac:dyDescent="0.2"/>
  </sheetData>
  <phoneticPr fontId="3" type="noConversion"/>
  <printOptions horizontalCentered="1"/>
  <pageMargins left="0" right="0" top="0" bottom="0" header="0.5" footer="0.5"/>
  <pageSetup scale="5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B124-1FFB-4D28-9D57-48FC51B6ABD0}">
  <dimension ref="A1:IV6"/>
  <sheetViews>
    <sheetView workbookViewId="0"/>
  </sheetViews>
  <sheetFormatPr defaultRowHeight="12.75" x14ac:dyDescent="0.2"/>
  <sheetData>
    <row r="1" spans="1:256" x14ac:dyDescent="0.2">
      <c r="A1">
        <v>1362</v>
      </c>
      <c r="B1" t="s">
        <v>608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  <c r="K1" t="s">
        <v>617</v>
      </c>
      <c r="L1" t="s">
        <v>618</v>
      </c>
      <c r="M1" t="s">
        <v>619</v>
      </c>
      <c r="N1" t="s">
        <v>620</v>
      </c>
      <c r="O1" t="s">
        <v>621</v>
      </c>
      <c r="P1" t="s">
        <v>622</v>
      </c>
      <c r="Q1" t="s">
        <v>623</v>
      </c>
      <c r="R1" t="s">
        <v>624</v>
      </c>
      <c r="S1" t="s">
        <v>625</v>
      </c>
      <c r="T1" t="s">
        <v>626</v>
      </c>
      <c r="U1" t="s">
        <v>627</v>
      </c>
      <c r="V1" t="s">
        <v>628</v>
      </c>
      <c r="W1" t="s">
        <v>629</v>
      </c>
      <c r="X1" t="s">
        <v>630</v>
      </c>
      <c r="Y1" t="s">
        <v>631</v>
      </c>
      <c r="Z1" t="s">
        <v>632</v>
      </c>
      <c r="AA1" t="s">
        <v>633</v>
      </c>
      <c r="AB1" t="s">
        <v>634</v>
      </c>
      <c r="AC1" t="s">
        <v>635</v>
      </c>
      <c r="AD1" t="s">
        <v>636</v>
      </c>
      <c r="AE1" t="s">
        <v>637</v>
      </c>
      <c r="AF1" t="s">
        <v>638</v>
      </c>
      <c r="AG1" t="s">
        <v>639</v>
      </c>
      <c r="AH1" t="s">
        <v>640</v>
      </c>
      <c r="AI1" t="s">
        <v>641</v>
      </c>
      <c r="AJ1" t="s">
        <v>642</v>
      </c>
      <c r="AK1" t="s">
        <v>643</v>
      </c>
      <c r="AL1" t="s">
        <v>644</v>
      </c>
      <c r="AM1" t="s">
        <v>645</v>
      </c>
      <c r="AN1" t="s">
        <v>646</v>
      </c>
      <c r="AO1" t="s">
        <v>647</v>
      </c>
      <c r="AP1" t="s">
        <v>648</v>
      </c>
      <c r="AQ1" t="s">
        <v>649</v>
      </c>
      <c r="AR1" t="s">
        <v>650</v>
      </c>
      <c r="AS1" t="s">
        <v>651</v>
      </c>
      <c r="AT1" t="s">
        <v>652</v>
      </c>
      <c r="AU1" t="s">
        <v>653</v>
      </c>
      <c r="AV1" t="s">
        <v>654</v>
      </c>
      <c r="AW1" t="s">
        <v>655</v>
      </c>
      <c r="AX1" t="s">
        <v>656</v>
      </c>
      <c r="AY1" t="s">
        <v>657</v>
      </c>
      <c r="AZ1" t="s">
        <v>658</v>
      </c>
      <c r="BA1" t="s">
        <v>659</v>
      </c>
      <c r="BB1" t="s">
        <v>660</v>
      </c>
      <c r="BC1" t="s">
        <v>661</v>
      </c>
      <c r="BD1" t="s">
        <v>662</v>
      </c>
      <c r="BE1" t="s">
        <v>663</v>
      </c>
      <c r="BF1" t="s">
        <v>664</v>
      </c>
      <c r="BG1" t="s">
        <v>665</v>
      </c>
      <c r="BH1" t="s">
        <v>666</v>
      </c>
      <c r="BI1" t="s">
        <v>667</v>
      </c>
      <c r="BJ1" t="s">
        <v>668</v>
      </c>
      <c r="BK1" t="s">
        <v>669</v>
      </c>
      <c r="BL1" t="s">
        <v>670</v>
      </c>
      <c r="BM1" t="s">
        <v>671</v>
      </c>
      <c r="BN1" t="s">
        <v>672</v>
      </c>
      <c r="BO1" t="s">
        <v>673</v>
      </c>
      <c r="BP1" t="s">
        <v>674</v>
      </c>
      <c r="BQ1" t="s">
        <v>675</v>
      </c>
      <c r="BR1" t="s">
        <v>676</v>
      </c>
      <c r="BS1" t="s">
        <v>677</v>
      </c>
      <c r="BT1" t="s">
        <v>678</v>
      </c>
      <c r="BU1" t="s">
        <v>679</v>
      </c>
      <c r="BV1" t="s">
        <v>680</v>
      </c>
      <c r="BW1" t="s">
        <v>681</v>
      </c>
      <c r="BX1" t="s">
        <v>682</v>
      </c>
      <c r="BY1" t="s">
        <v>683</v>
      </c>
      <c r="BZ1" t="s">
        <v>684</v>
      </c>
      <c r="CA1" t="s">
        <v>685</v>
      </c>
      <c r="CB1" t="s">
        <v>686</v>
      </c>
      <c r="CC1" t="s">
        <v>687</v>
      </c>
      <c r="CD1" t="s">
        <v>688</v>
      </c>
      <c r="CE1" t="s">
        <v>689</v>
      </c>
      <c r="CF1" t="s">
        <v>690</v>
      </c>
      <c r="CG1" t="s">
        <v>691</v>
      </c>
      <c r="CH1" t="s">
        <v>692</v>
      </c>
      <c r="CI1" t="s">
        <v>693</v>
      </c>
      <c r="CJ1" t="s">
        <v>694</v>
      </c>
      <c r="CK1" t="s">
        <v>695</v>
      </c>
      <c r="CL1" t="s">
        <v>696</v>
      </c>
      <c r="CM1" t="s">
        <v>697</v>
      </c>
      <c r="CN1" t="s">
        <v>698</v>
      </c>
      <c r="CO1" t="s">
        <v>699</v>
      </c>
      <c r="CP1" t="s">
        <v>700</v>
      </c>
      <c r="CQ1" t="s">
        <v>701</v>
      </c>
      <c r="CR1" t="s">
        <v>702</v>
      </c>
      <c r="CS1" t="s">
        <v>703</v>
      </c>
      <c r="CT1" t="s">
        <v>704</v>
      </c>
      <c r="CU1" t="s">
        <v>705</v>
      </c>
      <c r="CV1" t="s">
        <v>706</v>
      </c>
      <c r="CW1" t="s">
        <v>707</v>
      </c>
      <c r="CX1" t="s">
        <v>708</v>
      </c>
      <c r="CY1" t="s">
        <v>709</v>
      </c>
      <c r="CZ1" t="s">
        <v>710</v>
      </c>
      <c r="DA1" t="s">
        <v>711</v>
      </c>
      <c r="DB1" t="s">
        <v>712</v>
      </c>
      <c r="DC1" t="s">
        <v>713</v>
      </c>
      <c r="DD1" t="s">
        <v>714</v>
      </c>
      <c r="DE1" t="s">
        <v>715</v>
      </c>
      <c r="DF1" t="s">
        <v>716</v>
      </c>
      <c r="DG1" t="s">
        <v>717</v>
      </c>
      <c r="DH1" t="s">
        <v>718</v>
      </c>
      <c r="DI1" t="s">
        <v>719</v>
      </c>
      <c r="DJ1" t="s">
        <v>720</v>
      </c>
      <c r="DK1" t="s">
        <v>721</v>
      </c>
      <c r="DL1" t="s">
        <v>722</v>
      </c>
      <c r="DM1" t="s">
        <v>723</v>
      </c>
      <c r="DN1" t="s">
        <v>724</v>
      </c>
      <c r="DO1" t="s">
        <v>725</v>
      </c>
      <c r="DP1" t="s">
        <v>726</v>
      </c>
      <c r="DQ1" t="s">
        <v>727</v>
      </c>
      <c r="DR1" t="s">
        <v>728</v>
      </c>
      <c r="DS1" t="s">
        <v>729</v>
      </c>
      <c r="DT1" t="s">
        <v>730</v>
      </c>
      <c r="DU1" t="s">
        <v>731</v>
      </c>
      <c r="DV1" t="s">
        <v>732</v>
      </c>
      <c r="DW1" t="s">
        <v>733</v>
      </c>
      <c r="DX1" t="s">
        <v>734</v>
      </c>
      <c r="DY1" t="s">
        <v>735</v>
      </c>
      <c r="DZ1" t="s">
        <v>736</v>
      </c>
      <c r="EA1" t="s">
        <v>737</v>
      </c>
      <c r="EB1" t="s">
        <v>738</v>
      </c>
      <c r="EC1" t="s">
        <v>739</v>
      </c>
      <c r="ED1" t="s">
        <v>740</v>
      </c>
      <c r="EE1" t="s">
        <v>741</v>
      </c>
      <c r="EF1" t="s">
        <v>742</v>
      </c>
      <c r="EG1" t="s">
        <v>743</v>
      </c>
      <c r="EH1" t="s">
        <v>744</v>
      </c>
      <c r="EI1" t="s">
        <v>745</v>
      </c>
      <c r="EJ1" t="s">
        <v>746</v>
      </c>
      <c r="EK1" t="s">
        <v>747</v>
      </c>
      <c r="EL1" t="s">
        <v>748</v>
      </c>
      <c r="EM1" t="s">
        <v>749</v>
      </c>
      <c r="EN1" t="s">
        <v>750</v>
      </c>
      <c r="EO1" t="s">
        <v>751</v>
      </c>
      <c r="EP1" t="s">
        <v>752</v>
      </c>
      <c r="EQ1" t="s">
        <v>753</v>
      </c>
      <c r="ER1" t="s">
        <v>754</v>
      </c>
      <c r="ES1" t="s">
        <v>755</v>
      </c>
      <c r="ET1" t="s">
        <v>756</v>
      </c>
      <c r="EU1" t="s">
        <v>757</v>
      </c>
      <c r="EV1" t="s">
        <v>758</v>
      </c>
      <c r="EW1" t="s">
        <v>759</v>
      </c>
      <c r="EX1" t="s">
        <v>760</v>
      </c>
      <c r="EY1" t="s">
        <v>761</v>
      </c>
      <c r="EZ1" t="s">
        <v>762</v>
      </c>
      <c r="FA1" t="s">
        <v>763</v>
      </c>
      <c r="FB1" t="s">
        <v>764</v>
      </c>
      <c r="FC1" t="s">
        <v>765</v>
      </c>
      <c r="FD1" t="s">
        <v>766</v>
      </c>
      <c r="FE1" t="s">
        <v>767</v>
      </c>
      <c r="FF1" t="s">
        <v>768</v>
      </c>
      <c r="FG1" t="s">
        <v>769</v>
      </c>
      <c r="FH1" t="s">
        <v>770</v>
      </c>
      <c r="FI1" t="s">
        <v>771</v>
      </c>
      <c r="FJ1" t="s">
        <v>772</v>
      </c>
      <c r="FK1" t="s">
        <v>773</v>
      </c>
      <c r="FL1" t="s">
        <v>774</v>
      </c>
      <c r="FM1" t="s">
        <v>775</v>
      </c>
      <c r="FN1" t="s">
        <v>776</v>
      </c>
      <c r="FO1" t="s">
        <v>777</v>
      </c>
      <c r="FP1" t="s">
        <v>778</v>
      </c>
      <c r="FQ1" t="s">
        <v>779</v>
      </c>
      <c r="FR1" t="s">
        <v>780</v>
      </c>
      <c r="FS1" t="s">
        <v>781</v>
      </c>
      <c r="FT1" t="s">
        <v>782</v>
      </c>
      <c r="FU1" t="s">
        <v>783</v>
      </c>
      <c r="FV1" t="s">
        <v>784</v>
      </c>
      <c r="FW1" t="s">
        <v>785</v>
      </c>
      <c r="FX1" t="s">
        <v>786</v>
      </c>
      <c r="FY1" t="s">
        <v>787</v>
      </c>
      <c r="FZ1" t="s">
        <v>788</v>
      </c>
      <c r="GA1" t="s">
        <v>789</v>
      </c>
      <c r="GB1" t="s">
        <v>790</v>
      </c>
      <c r="GC1" t="s">
        <v>791</v>
      </c>
      <c r="GD1" t="s">
        <v>792</v>
      </c>
      <c r="GE1" t="s">
        <v>793</v>
      </c>
      <c r="GF1" t="s">
        <v>794</v>
      </c>
      <c r="GG1" t="s">
        <v>795</v>
      </c>
      <c r="GH1" t="s">
        <v>796</v>
      </c>
      <c r="GI1" t="s">
        <v>797</v>
      </c>
      <c r="GJ1" t="s">
        <v>798</v>
      </c>
      <c r="GK1" t="s">
        <v>799</v>
      </c>
      <c r="GL1" t="s">
        <v>800</v>
      </c>
      <c r="GM1" t="s">
        <v>801</v>
      </c>
      <c r="GN1" t="s">
        <v>802</v>
      </c>
      <c r="GO1" t="s">
        <v>803</v>
      </c>
      <c r="GP1" t="s">
        <v>804</v>
      </c>
      <c r="GQ1" t="s">
        <v>805</v>
      </c>
      <c r="GR1" t="s">
        <v>806</v>
      </c>
      <c r="GS1" t="s">
        <v>807</v>
      </c>
      <c r="GT1" t="s">
        <v>808</v>
      </c>
      <c r="GU1" t="s">
        <v>809</v>
      </c>
      <c r="GV1" t="s">
        <v>810</v>
      </c>
      <c r="GW1" t="s">
        <v>811</v>
      </c>
      <c r="GX1" t="s">
        <v>812</v>
      </c>
      <c r="GY1" t="s">
        <v>813</v>
      </c>
      <c r="GZ1" t="s">
        <v>814</v>
      </c>
      <c r="HA1" t="s">
        <v>815</v>
      </c>
      <c r="HB1" t="s">
        <v>816</v>
      </c>
      <c r="HC1" t="s">
        <v>817</v>
      </c>
      <c r="HD1" t="s">
        <v>818</v>
      </c>
      <c r="HE1" t="s">
        <v>819</v>
      </c>
      <c r="HF1" t="s">
        <v>820</v>
      </c>
      <c r="HG1" t="s">
        <v>821</v>
      </c>
      <c r="HH1" t="s">
        <v>822</v>
      </c>
      <c r="HI1" t="s">
        <v>823</v>
      </c>
      <c r="HJ1" t="s">
        <v>824</v>
      </c>
      <c r="HK1" t="s">
        <v>825</v>
      </c>
      <c r="HL1" t="s">
        <v>826</v>
      </c>
      <c r="HM1" t="s">
        <v>827</v>
      </c>
      <c r="HN1" t="s">
        <v>828</v>
      </c>
      <c r="HO1" t="s">
        <v>829</v>
      </c>
      <c r="HP1" t="s">
        <v>830</v>
      </c>
      <c r="HQ1" t="s">
        <v>831</v>
      </c>
      <c r="HR1" t="s">
        <v>832</v>
      </c>
      <c r="HS1" t="s">
        <v>833</v>
      </c>
      <c r="HT1" t="s">
        <v>834</v>
      </c>
      <c r="HU1" t="s">
        <v>835</v>
      </c>
      <c r="HV1" t="s">
        <v>836</v>
      </c>
      <c r="HW1" t="s">
        <v>837</v>
      </c>
      <c r="HX1" t="s">
        <v>838</v>
      </c>
      <c r="HY1" t="s">
        <v>839</v>
      </c>
      <c r="HZ1" t="s">
        <v>840</v>
      </c>
      <c r="IA1" t="s">
        <v>841</v>
      </c>
      <c r="IB1" t="s">
        <v>842</v>
      </c>
      <c r="IC1" t="s">
        <v>843</v>
      </c>
      <c r="ID1" t="s">
        <v>844</v>
      </c>
      <c r="IE1" t="s">
        <v>845</v>
      </c>
      <c r="IF1" t="s">
        <v>846</v>
      </c>
      <c r="IG1" t="s">
        <v>847</v>
      </c>
      <c r="IH1" t="s">
        <v>848</v>
      </c>
      <c r="II1" t="s">
        <v>849</v>
      </c>
      <c r="IJ1" t="s">
        <v>850</v>
      </c>
      <c r="IK1" t="s">
        <v>851</v>
      </c>
      <c r="IL1" t="s">
        <v>852</v>
      </c>
      <c r="IM1" t="s">
        <v>853</v>
      </c>
      <c r="IN1" t="s">
        <v>854</v>
      </c>
      <c r="IO1" t="s">
        <v>855</v>
      </c>
      <c r="IP1" t="s">
        <v>856</v>
      </c>
      <c r="IQ1" t="s">
        <v>857</v>
      </c>
      <c r="IR1" t="s">
        <v>858</v>
      </c>
      <c r="IS1" t="s">
        <v>859</v>
      </c>
      <c r="IT1" t="s">
        <v>860</v>
      </c>
      <c r="IU1" t="s">
        <v>861</v>
      </c>
      <c r="IV1" t="s">
        <v>862</v>
      </c>
    </row>
    <row r="2" spans="1:256" x14ac:dyDescent="0.2">
      <c r="A2" t="s">
        <v>863</v>
      </c>
      <c r="B2" t="s">
        <v>864</v>
      </c>
      <c r="C2" t="s">
        <v>865</v>
      </c>
      <c r="D2" t="s">
        <v>866</v>
      </c>
      <c r="E2" t="s">
        <v>867</v>
      </c>
      <c r="F2" t="s">
        <v>868</v>
      </c>
      <c r="G2" t="s">
        <v>869</v>
      </c>
      <c r="H2" t="s">
        <v>870</v>
      </c>
      <c r="I2" t="s">
        <v>871</v>
      </c>
      <c r="J2" t="s">
        <v>872</v>
      </c>
      <c r="K2" t="s">
        <v>873</v>
      </c>
      <c r="L2" t="s">
        <v>874</v>
      </c>
      <c r="M2" t="s">
        <v>875</v>
      </c>
      <c r="N2" t="s">
        <v>876</v>
      </c>
      <c r="O2" t="s">
        <v>877</v>
      </c>
      <c r="P2" t="s">
        <v>878</v>
      </c>
      <c r="Q2" t="s">
        <v>879</v>
      </c>
      <c r="R2" t="s">
        <v>880</v>
      </c>
      <c r="S2" t="s">
        <v>881</v>
      </c>
      <c r="T2" t="s">
        <v>882</v>
      </c>
      <c r="U2" t="s">
        <v>883</v>
      </c>
      <c r="V2" t="s">
        <v>884</v>
      </c>
      <c r="W2" t="s">
        <v>885</v>
      </c>
      <c r="X2" t="s">
        <v>886</v>
      </c>
      <c r="Y2" t="s">
        <v>887</v>
      </c>
      <c r="Z2" t="s">
        <v>888</v>
      </c>
      <c r="AA2" t="s">
        <v>889</v>
      </c>
      <c r="AB2" t="s">
        <v>890</v>
      </c>
      <c r="AC2" t="s">
        <v>891</v>
      </c>
      <c r="AD2" t="s">
        <v>892</v>
      </c>
      <c r="AE2" t="s">
        <v>893</v>
      </c>
      <c r="AF2" t="s">
        <v>894</v>
      </c>
      <c r="AG2" t="s">
        <v>895</v>
      </c>
      <c r="AH2" t="s">
        <v>896</v>
      </c>
      <c r="AI2" t="s">
        <v>897</v>
      </c>
      <c r="AJ2" t="s">
        <v>898</v>
      </c>
      <c r="AK2" t="s">
        <v>899</v>
      </c>
      <c r="AL2" t="s">
        <v>900</v>
      </c>
      <c r="AM2" t="s">
        <v>901</v>
      </c>
      <c r="AN2" t="s">
        <v>902</v>
      </c>
      <c r="AO2" t="s">
        <v>903</v>
      </c>
      <c r="AP2" t="s">
        <v>904</v>
      </c>
      <c r="AQ2" t="s">
        <v>905</v>
      </c>
      <c r="AR2" t="s">
        <v>906</v>
      </c>
      <c r="AS2" t="s">
        <v>907</v>
      </c>
      <c r="AT2" t="s">
        <v>908</v>
      </c>
      <c r="AU2" t="s">
        <v>909</v>
      </c>
      <c r="AV2" t="s">
        <v>910</v>
      </c>
      <c r="AW2" t="s">
        <v>911</v>
      </c>
      <c r="AX2" t="s">
        <v>912</v>
      </c>
      <c r="AY2" t="s">
        <v>913</v>
      </c>
      <c r="AZ2" t="s">
        <v>914</v>
      </c>
      <c r="BA2" t="s">
        <v>915</v>
      </c>
      <c r="BB2" t="s">
        <v>916</v>
      </c>
      <c r="BC2" t="s">
        <v>917</v>
      </c>
      <c r="BD2" t="s">
        <v>918</v>
      </c>
      <c r="BE2" t="s">
        <v>919</v>
      </c>
      <c r="BF2" t="s">
        <v>920</v>
      </c>
      <c r="BG2" t="s">
        <v>921</v>
      </c>
      <c r="BH2" t="s">
        <v>922</v>
      </c>
      <c r="BI2" t="s">
        <v>923</v>
      </c>
      <c r="BJ2" t="s">
        <v>924</v>
      </c>
      <c r="BK2" t="s">
        <v>925</v>
      </c>
      <c r="BL2" t="s">
        <v>926</v>
      </c>
      <c r="BM2" t="s">
        <v>927</v>
      </c>
      <c r="BN2" t="s">
        <v>928</v>
      </c>
      <c r="BO2" t="s">
        <v>929</v>
      </c>
      <c r="BP2" t="s">
        <v>930</v>
      </c>
      <c r="BQ2" t="s">
        <v>931</v>
      </c>
      <c r="BR2" t="s">
        <v>932</v>
      </c>
      <c r="BS2" t="s">
        <v>933</v>
      </c>
      <c r="BT2" t="s">
        <v>934</v>
      </c>
      <c r="BU2" t="s">
        <v>935</v>
      </c>
      <c r="BV2" t="s">
        <v>936</v>
      </c>
      <c r="BW2" t="s">
        <v>937</v>
      </c>
      <c r="BX2" t="s">
        <v>938</v>
      </c>
      <c r="BY2" t="s">
        <v>939</v>
      </c>
      <c r="BZ2" t="s">
        <v>940</v>
      </c>
      <c r="CA2" t="s">
        <v>941</v>
      </c>
      <c r="CB2" t="s">
        <v>942</v>
      </c>
      <c r="CC2" t="s">
        <v>943</v>
      </c>
      <c r="CD2" t="s">
        <v>944</v>
      </c>
      <c r="CE2" t="s">
        <v>945</v>
      </c>
      <c r="CF2" t="s">
        <v>946</v>
      </c>
      <c r="CG2" t="s">
        <v>947</v>
      </c>
      <c r="CH2" t="s">
        <v>948</v>
      </c>
      <c r="CI2" t="s">
        <v>949</v>
      </c>
      <c r="CJ2" t="s">
        <v>950</v>
      </c>
      <c r="CK2" t="s">
        <v>951</v>
      </c>
      <c r="CL2" t="s">
        <v>952</v>
      </c>
      <c r="CM2" t="s">
        <v>953</v>
      </c>
      <c r="CN2" t="s">
        <v>954</v>
      </c>
      <c r="CO2" t="s">
        <v>955</v>
      </c>
      <c r="CP2" t="s">
        <v>956</v>
      </c>
      <c r="CQ2" t="s">
        <v>957</v>
      </c>
      <c r="CR2" t="s">
        <v>958</v>
      </c>
      <c r="CS2" t="s">
        <v>959</v>
      </c>
      <c r="CT2" t="s">
        <v>960</v>
      </c>
      <c r="CU2" t="s">
        <v>961</v>
      </c>
      <c r="CV2" t="s">
        <v>962</v>
      </c>
      <c r="CW2" t="s">
        <v>963</v>
      </c>
      <c r="CX2" t="s">
        <v>964</v>
      </c>
      <c r="CY2" t="s">
        <v>965</v>
      </c>
      <c r="CZ2" t="s">
        <v>966</v>
      </c>
      <c r="DA2" t="s">
        <v>967</v>
      </c>
      <c r="DB2" t="s">
        <v>968</v>
      </c>
      <c r="DC2" t="s">
        <v>969</v>
      </c>
      <c r="DD2" t="s">
        <v>970</v>
      </c>
      <c r="DE2" t="s">
        <v>971</v>
      </c>
      <c r="DF2" t="s">
        <v>972</v>
      </c>
      <c r="DG2" t="s">
        <v>973</v>
      </c>
      <c r="DH2" t="s">
        <v>974</v>
      </c>
      <c r="DI2" t="s">
        <v>975</v>
      </c>
      <c r="DJ2" t="s">
        <v>976</v>
      </c>
      <c r="DK2" t="s">
        <v>977</v>
      </c>
      <c r="DL2" t="s">
        <v>978</v>
      </c>
      <c r="DM2" t="s">
        <v>979</v>
      </c>
      <c r="DN2" t="s">
        <v>980</v>
      </c>
      <c r="DO2" t="s">
        <v>981</v>
      </c>
      <c r="DP2" t="s">
        <v>982</v>
      </c>
      <c r="DQ2" t="s">
        <v>983</v>
      </c>
      <c r="DR2" t="s">
        <v>984</v>
      </c>
      <c r="DS2" t="s">
        <v>985</v>
      </c>
      <c r="DT2" t="s">
        <v>986</v>
      </c>
      <c r="DU2" t="s">
        <v>987</v>
      </c>
      <c r="DV2" t="s">
        <v>988</v>
      </c>
      <c r="DW2" t="s">
        <v>989</v>
      </c>
      <c r="DX2" t="s">
        <v>990</v>
      </c>
      <c r="DY2" t="s">
        <v>991</v>
      </c>
      <c r="DZ2" t="s">
        <v>992</v>
      </c>
      <c r="EA2" t="s">
        <v>993</v>
      </c>
      <c r="EB2" t="s">
        <v>994</v>
      </c>
      <c r="EC2" t="s">
        <v>995</v>
      </c>
      <c r="ED2" t="s">
        <v>996</v>
      </c>
      <c r="EE2" t="s">
        <v>997</v>
      </c>
      <c r="EF2" t="s">
        <v>998</v>
      </c>
      <c r="EG2" t="s">
        <v>999</v>
      </c>
      <c r="EH2" t="s">
        <v>1000</v>
      </c>
      <c r="EI2" t="s">
        <v>1001</v>
      </c>
      <c r="EJ2" t="s">
        <v>1002</v>
      </c>
      <c r="EK2" t="s">
        <v>1003</v>
      </c>
      <c r="EL2" t="s">
        <v>1004</v>
      </c>
      <c r="EM2" t="s">
        <v>1005</v>
      </c>
      <c r="EN2" t="s">
        <v>1006</v>
      </c>
      <c r="EO2" t="s">
        <v>1007</v>
      </c>
      <c r="EP2" t="s">
        <v>1008</v>
      </c>
      <c r="EQ2" t="s">
        <v>1009</v>
      </c>
      <c r="ER2" t="s">
        <v>1010</v>
      </c>
      <c r="ES2" t="s">
        <v>1011</v>
      </c>
      <c r="ET2" t="s">
        <v>1012</v>
      </c>
      <c r="EU2" t="s">
        <v>1013</v>
      </c>
      <c r="EV2" t="s">
        <v>1014</v>
      </c>
      <c r="EW2" t="s">
        <v>1015</v>
      </c>
      <c r="EX2" t="s">
        <v>1016</v>
      </c>
      <c r="EY2" t="s">
        <v>1017</v>
      </c>
      <c r="EZ2" t="s">
        <v>1018</v>
      </c>
      <c r="FA2" t="s">
        <v>1019</v>
      </c>
      <c r="FB2" t="s">
        <v>1020</v>
      </c>
      <c r="FC2" t="s">
        <v>1021</v>
      </c>
      <c r="FD2" t="s">
        <v>1022</v>
      </c>
      <c r="FE2" t="s">
        <v>1023</v>
      </c>
      <c r="FF2" t="s">
        <v>1024</v>
      </c>
      <c r="FG2" t="s">
        <v>1025</v>
      </c>
      <c r="FH2" t="s">
        <v>1026</v>
      </c>
      <c r="FI2" t="s">
        <v>1027</v>
      </c>
      <c r="FJ2" t="s">
        <v>1028</v>
      </c>
      <c r="FK2" t="s">
        <v>1029</v>
      </c>
      <c r="FL2" t="s">
        <v>1030</v>
      </c>
      <c r="FM2" t="s">
        <v>1031</v>
      </c>
      <c r="FN2" t="s">
        <v>1032</v>
      </c>
      <c r="FO2" t="s">
        <v>1033</v>
      </c>
      <c r="FP2" t="s">
        <v>1034</v>
      </c>
      <c r="FQ2" t="s">
        <v>1035</v>
      </c>
      <c r="FR2" t="s">
        <v>1036</v>
      </c>
      <c r="FS2" t="s">
        <v>1037</v>
      </c>
      <c r="FT2" t="s">
        <v>1038</v>
      </c>
      <c r="FU2" t="s">
        <v>1039</v>
      </c>
      <c r="FV2" t="s">
        <v>1040</v>
      </c>
      <c r="FW2" t="s">
        <v>1041</v>
      </c>
      <c r="FX2" t="s">
        <v>1042</v>
      </c>
      <c r="FY2" t="s">
        <v>1043</v>
      </c>
      <c r="FZ2" t="s">
        <v>1044</v>
      </c>
      <c r="GA2" t="s">
        <v>1045</v>
      </c>
      <c r="GB2" t="s">
        <v>1046</v>
      </c>
      <c r="GC2" t="s">
        <v>1047</v>
      </c>
      <c r="GD2" t="s">
        <v>1048</v>
      </c>
      <c r="GE2" t="s">
        <v>1049</v>
      </c>
      <c r="GF2" t="s">
        <v>1050</v>
      </c>
      <c r="GG2" t="s">
        <v>1051</v>
      </c>
      <c r="GH2" t="s">
        <v>1052</v>
      </c>
      <c r="GI2" t="s">
        <v>1053</v>
      </c>
      <c r="GJ2" t="s">
        <v>1054</v>
      </c>
      <c r="GK2" t="s">
        <v>1055</v>
      </c>
      <c r="GL2" t="s">
        <v>1056</v>
      </c>
      <c r="GM2" t="s">
        <v>1057</v>
      </c>
      <c r="GN2" t="s">
        <v>1058</v>
      </c>
      <c r="GO2" t="s">
        <v>1059</v>
      </c>
      <c r="GP2" t="s">
        <v>1060</v>
      </c>
      <c r="GQ2" t="s">
        <v>1061</v>
      </c>
      <c r="GR2" t="s">
        <v>1062</v>
      </c>
      <c r="GS2" t="s">
        <v>1063</v>
      </c>
      <c r="GT2" t="s">
        <v>1064</v>
      </c>
      <c r="GU2" t="s">
        <v>1065</v>
      </c>
      <c r="GV2" t="s">
        <v>1066</v>
      </c>
      <c r="GW2" t="s">
        <v>1067</v>
      </c>
      <c r="GX2" t="s">
        <v>1068</v>
      </c>
      <c r="GY2" t="s">
        <v>1069</v>
      </c>
      <c r="GZ2" t="s">
        <v>1070</v>
      </c>
      <c r="HA2" t="s">
        <v>1071</v>
      </c>
      <c r="HB2" t="s">
        <v>1072</v>
      </c>
      <c r="HC2" t="s">
        <v>1073</v>
      </c>
      <c r="HD2" t="s">
        <v>1074</v>
      </c>
      <c r="HE2" t="s">
        <v>1075</v>
      </c>
      <c r="HF2" t="s">
        <v>1076</v>
      </c>
      <c r="HG2" t="s">
        <v>1077</v>
      </c>
      <c r="HH2" t="s">
        <v>1078</v>
      </c>
      <c r="HI2" t="s">
        <v>1079</v>
      </c>
      <c r="HJ2" t="s">
        <v>1080</v>
      </c>
      <c r="HK2" t="s">
        <v>1081</v>
      </c>
      <c r="HL2" t="s">
        <v>1082</v>
      </c>
      <c r="HM2" t="s">
        <v>1083</v>
      </c>
      <c r="HN2" t="s">
        <v>1084</v>
      </c>
      <c r="HO2" t="s">
        <v>1085</v>
      </c>
      <c r="HP2" t="s">
        <v>1086</v>
      </c>
      <c r="HQ2" t="s">
        <v>1087</v>
      </c>
      <c r="HR2" t="s">
        <v>1088</v>
      </c>
      <c r="HS2" t="s">
        <v>1089</v>
      </c>
      <c r="HT2" t="s">
        <v>1090</v>
      </c>
      <c r="HU2" t="s">
        <v>1091</v>
      </c>
      <c r="HV2" t="s">
        <v>1092</v>
      </c>
      <c r="HW2" t="s">
        <v>1093</v>
      </c>
      <c r="HX2" t="s">
        <v>1094</v>
      </c>
      <c r="HY2" t="s">
        <v>1095</v>
      </c>
      <c r="HZ2" t="s">
        <v>1096</v>
      </c>
      <c r="IA2" t="s">
        <v>1097</v>
      </c>
      <c r="IB2" t="s">
        <v>1098</v>
      </c>
      <c r="IC2" t="s">
        <v>1099</v>
      </c>
      <c r="ID2" t="s">
        <v>1100</v>
      </c>
      <c r="IE2" t="s">
        <v>1101</v>
      </c>
      <c r="IF2" t="s">
        <v>1102</v>
      </c>
      <c r="IG2" t="s">
        <v>1103</v>
      </c>
      <c r="IH2" t="s">
        <v>1104</v>
      </c>
      <c r="II2" t="s">
        <v>1105</v>
      </c>
      <c r="IJ2" t="s">
        <v>1106</v>
      </c>
      <c r="IK2" t="s">
        <v>1107</v>
      </c>
      <c r="IL2" t="s">
        <v>1108</v>
      </c>
      <c r="IM2" t="s">
        <v>1109</v>
      </c>
      <c r="IN2" t="s">
        <v>1110</v>
      </c>
      <c r="IO2" t="s">
        <v>1111</v>
      </c>
      <c r="IP2" t="s">
        <v>1112</v>
      </c>
      <c r="IQ2" t="s">
        <v>1113</v>
      </c>
      <c r="IR2" t="s">
        <v>1114</v>
      </c>
      <c r="IS2" t="s">
        <v>1115</v>
      </c>
      <c r="IT2" t="s">
        <v>1116</v>
      </c>
      <c r="IU2" t="s">
        <v>1117</v>
      </c>
      <c r="IV2" t="s">
        <v>1118</v>
      </c>
    </row>
    <row r="3" spans="1:256" x14ac:dyDescent="0.2">
      <c r="A3" t="s">
        <v>1119</v>
      </c>
      <c r="B3" t="s">
        <v>1120</v>
      </c>
      <c r="C3" t="s">
        <v>1121</v>
      </c>
      <c r="D3" t="s">
        <v>1122</v>
      </c>
      <c r="E3" t="s">
        <v>1123</v>
      </c>
      <c r="F3" t="s">
        <v>1124</v>
      </c>
      <c r="G3" t="s">
        <v>1125</v>
      </c>
      <c r="H3" t="s">
        <v>1126</v>
      </c>
      <c r="I3" t="s">
        <v>1127</v>
      </c>
      <c r="J3" t="s">
        <v>1128</v>
      </c>
      <c r="K3" t="s">
        <v>1129</v>
      </c>
      <c r="L3" t="s">
        <v>1130</v>
      </c>
      <c r="M3" t="s">
        <v>1131</v>
      </c>
      <c r="N3" t="s">
        <v>1132</v>
      </c>
      <c r="O3" t="s">
        <v>1133</v>
      </c>
      <c r="P3" t="s">
        <v>1134</v>
      </c>
      <c r="Q3" t="s">
        <v>1135</v>
      </c>
      <c r="R3" t="s">
        <v>1136</v>
      </c>
      <c r="S3" t="s">
        <v>1137</v>
      </c>
      <c r="T3" t="s">
        <v>1138</v>
      </c>
      <c r="U3" t="s">
        <v>1139</v>
      </c>
      <c r="V3" t="s">
        <v>1140</v>
      </c>
      <c r="W3" t="s">
        <v>1141</v>
      </c>
      <c r="X3" t="s">
        <v>1142</v>
      </c>
      <c r="Y3" t="s">
        <v>1143</v>
      </c>
      <c r="Z3" t="s">
        <v>1144</v>
      </c>
      <c r="AA3" t="s">
        <v>1145</v>
      </c>
      <c r="AB3" t="s">
        <v>1146</v>
      </c>
      <c r="AC3" t="s">
        <v>1147</v>
      </c>
      <c r="AD3" t="s">
        <v>1148</v>
      </c>
      <c r="AE3" t="s">
        <v>1149</v>
      </c>
      <c r="AF3" t="s">
        <v>1150</v>
      </c>
      <c r="AG3" t="s">
        <v>1151</v>
      </c>
      <c r="AH3" t="s">
        <v>1152</v>
      </c>
      <c r="AI3" t="s">
        <v>1153</v>
      </c>
      <c r="AJ3" t="s">
        <v>1154</v>
      </c>
      <c r="AK3" t="s">
        <v>1155</v>
      </c>
      <c r="AL3" t="s">
        <v>1156</v>
      </c>
      <c r="AM3" t="s">
        <v>1157</v>
      </c>
      <c r="AN3" t="s">
        <v>1158</v>
      </c>
      <c r="AO3" t="s">
        <v>1159</v>
      </c>
      <c r="AP3" t="s">
        <v>1160</v>
      </c>
      <c r="AQ3" t="s">
        <v>1161</v>
      </c>
      <c r="AR3" t="s">
        <v>1162</v>
      </c>
      <c r="AS3" t="s">
        <v>1163</v>
      </c>
      <c r="AT3" t="s">
        <v>1164</v>
      </c>
      <c r="AU3" t="s">
        <v>1165</v>
      </c>
      <c r="AV3" t="s">
        <v>1166</v>
      </c>
      <c r="AW3" t="s">
        <v>1167</v>
      </c>
      <c r="AX3" t="s">
        <v>1168</v>
      </c>
      <c r="AY3" t="s">
        <v>1169</v>
      </c>
      <c r="AZ3" t="s">
        <v>1170</v>
      </c>
      <c r="BA3" t="s">
        <v>1171</v>
      </c>
      <c r="BB3" t="s">
        <v>1172</v>
      </c>
      <c r="BC3" t="s">
        <v>1173</v>
      </c>
      <c r="BD3" t="s">
        <v>1174</v>
      </c>
      <c r="BE3" t="s">
        <v>1175</v>
      </c>
      <c r="BF3" t="s">
        <v>1176</v>
      </c>
      <c r="BG3" t="s">
        <v>1177</v>
      </c>
      <c r="BH3" t="s">
        <v>1178</v>
      </c>
      <c r="BI3" t="s">
        <v>1179</v>
      </c>
      <c r="BJ3" t="s">
        <v>1180</v>
      </c>
      <c r="BK3" t="s">
        <v>1181</v>
      </c>
      <c r="BL3" t="s">
        <v>1182</v>
      </c>
      <c r="BM3" t="s">
        <v>1183</v>
      </c>
      <c r="BN3" t="s">
        <v>1184</v>
      </c>
      <c r="BO3" t="s">
        <v>1185</v>
      </c>
      <c r="BP3" t="s">
        <v>1186</v>
      </c>
      <c r="BQ3" t="s">
        <v>1187</v>
      </c>
      <c r="BR3" t="s">
        <v>1188</v>
      </c>
      <c r="BS3" t="s">
        <v>1189</v>
      </c>
      <c r="BT3" t="s">
        <v>1190</v>
      </c>
      <c r="BU3" t="s">
        <v>1191</v>
      </c>
      <c r="BV3" t="s">
        <v>1192</v>
      </c>
      <c r="BW3" t="s">
        <v>1193</v>
      </c>
      <c r="BX3" t="s">
        <v>1194</v>
      </c>
      <c r="BY3" t="s">
        <v>1195</v>
      </c>
      <c r="BZ3" t="s">
        <v>1196</v>
      </c>
      <c r="CA3" t="s">
        <v>1197</v>
      </c>
      <c r="CB3" t="s">
        <v>1198</v>
      </c>
      <c r="CC3" t="s">
        <v>1199</v>
      </c>
      <c r="CD3" t="s">
        <v>1200</v>
      </c>
      <c r="CE3" t="s">
        <v>1201</v>
      </c>
      <c r="CF3" t="s">
        <v>1202</v>
      </c>
      <c r="CG3" t="s">
        <v>1203</v>
      </c>
      <c r="CH3" t="s">
        <v>1204</v>
      </c>
      <c r="CI3" t="s">
        <v>1205</v>
      </c>
      <c r="CJ3" t="s">
        <v>1206</v>
      </c>
      <c r="CK3" t="s">
        <v>1207</v>
      </c>
      <c r="CL3" t="s">
        <v>1208</v>
      </c>
      <c r="CM3" t="s">
        <v>1209</v>
      </c>
      <c r="CN3" t="s">
        <v>1210</v>
      </c>
      <c r="CO3" t="s">
        <v>1211</v>
      </c>
      <c r="CP3" t="s">
        <v>1212</v>
      </c>
      <c r="CQ3" t="s">
        <v>1213</v>
      </c>
      <c r="CR3" t="s">
        <v>1214</v>
      </c>
      <c r="CS3" t="s">
        <v>1215</v>
      </c>
      <c r="CT3" t="s">
        <v>1216</v>
      </c>
      <c r="CU3" t="s">
        <v>1217</v>
      </c>
      <c r="CV3" t="s">
        <v>1218</v>
      </c>
      <c r="CW3" t="s">
        <v>1219</v>
      </c>
      <c r="CX3" t="s">
        <v>1220</v>
      </c>
      <c r="CY3" t="s">
        <v>1221</v>
      </c>
      <c r="CZ3" t="s">
        <v>1222</v>
      </c>
      <c r="DA3" t="s">
        <v>1223</v>
      </c>
      <c r="DB3" t="s">
        <v>1224</v>
      </c>
      <c r="DC3" t="s">
        <v>1225</v>
      </c>
      <c r="DD3" t="s">
        <v>1226</v>
      </c>
      <c r="DE3" t="s">
        <v>1227</v>
      </c>
      <c r="DF3" t="s">
        <v>1228</v>
      </c>
      <c r="DG3" t="s">
        <v>1229</v>
      </c>
      <c r="DH3" t="s">
        <v>1230</v>
      </c>
      <c r="DI3" t="s">
        <v>1231</v>
      </c>
      <c r="DJ3" t="s">
        <v>1232</v>
      </c>
      <c r="DK3" t="s">
        <v>1233</v>
      </c>
      <c r="DL3" t="s">
        <v>1234</v>
      </c>
      <c r="DM3" t="s">
        <v>1235</v>
      </c>
      <c r="DN3" t="s">
        <v>1236</v>
      </c>
      <c r="DO3" t="s">
        <v>1237</v>
      </c>
      <c r="DP3" t="s">
        <v>1238</v>
      </c>
      <c r="DQ3" t="s">
        <v>1239</v>
      </c>
      <c r="DR3" t="s">
        <v>1240</v>
      </c>
      <c r="DS3" t="s">
        <v>1241</v>
      </c>
      <c r="DT3" t="s">
        <v>1242</v>
      </c>
      <c r="DU3" t="s">
        <v>1243</v>
      </c>
      <c r="DV3" t="s">
        <v>1244</v>
      </c>
      <c r="DW3" t="s">
        <v>1245</v>
      </c>
      <c r="DX3" t="s">
        <v>1246</v>
      </c>
      <c r="DY3" t="s">
        <v>1247</v>
      </c>
      <c r="DZ3" t="s">
        <v>1248</v>
      </c>
      <c r="EA3" t="s">
        <v>1249</v>
      </c>
      <c r="EB3" t="s">
        <v>1250</v>
      </c>
      <c r="EC3" t="s">
        <v>1251</v>
      </c>
      <c r="ED3" t="s">
        <v>1252</v>
      </c>
      <c r="EE3" t="s">
        <v>1253</v>
      </c>
      <c r="EF3" t="s">
        <v>1254</v>
      </c>
      <c r="EG3" t="s">
        <v>1255</v>
      </c>
      <c r="EH3" t="s">
        <v>1256</v>
      </c>
      <c r="EI3" t="s">
        <v>1257</v>
      </c>
      <c r="EJ3" t="s">
        <v>1258</v>
      </c>
      <c r="EK3" t="s">
        <v>1259</v>
      </c>
      <c r="EL3" t="s">
        <v>1260</v>
      </c>
      <c r="EM3" t="s">
        <v>1261</v>
      </c>
      <c r="EN3" t="s">
        <v>1262</v>
      </c>
      <c r="EO3" t="s">
        <v>1263</v>
      </c>
      <c r="EP3" t="s">
        <v>1264</v>
      </c>
      <c r="EQ3" t="s">
        <v>1265</v>
      </c>
      <c r="ER3" t="s">
        <v>1266</v>
      </c>
      <c r="ES3" t="s">
        <v>1267</v>
      </c>
      <c r="ET3" t="s">
        <v>1268</v>
      </c>
      <c r="EU3" t="s">
        <v>1269</v>
      </c>
      <c r="EV3" t="s">
        <v>1270</v>
      </c>
      <c r="EW3" t="s">
        <v>1271</v>
      </c>
      <c r="EX3" t="s">
        <v>1272</v>
      </c>
      <c r="EY3" t="s">
        <v>1273</v>
      </c>
      <c r="EZ3" t="s">
        <v>1274</v>
      </c>
      <c r="FA3" t="s">
        <v>1275</v>
      </c>
      <c r="FB3" t="s">
        <v>1276</v>
      </c>
      <c r="FC3" t="s">
        <v>1277</v>
      </c>
      <c r="FD3" t="s">
        <v>1278</v>
      </c>
      <c r="FE3" t="s">
        <v>1279</v>
      </c>
      <c r="FF3" t="s">
        <v>1280</v>
      </c>
      <c r="FG3" t="s">
        <v>1281</v>
      </c>
      <c r="FH3" t="s">
        <v>1282</v>
      </c>
      <c r="FI3" t="s">
        <v>1283</v>
      </c>
      <c r="FJ3" t="s">
        <v>1284</v>
      </c>
      <c r="FK3" t="s">
        <v>1285</v>
      </c>
      <c r="FL3" t="s">
        <v>1286</v>
      </c>
      <c r="FM3" t="s">
        <v>1287</v>
      </c>
      <c r="FN3" t="s">
        <v>1288</v>
      </c>
      <c r="FO3" t="s">
        <v>1289</v>
      </c>
      <c r="FP3" t="s">
        <v>1290</v>
      </c>
      <c r="FQ3" t="s">
        <v>1291</v>
      </c>
      <c r="FR3" t="s">
        <v>1292</v>
      </c>
      <c r="FS3" t="s">
        <v>1293</v>
      </c>
      <c r="FT3" t="s">
        <v>1294</v>
      </c>
      <c r="FU3" t="s">
        <v>1295</v>
      </c>
      <c r="FV3" t="s">
        <v>1296</v>
      </c>
      <c r="FW3" t="s">
        <v>1297</v>
      </c>
      <c r="FX3" t="s">
        <v>1298</v>
      </c>
      <c r="FY3" t="s">
        <v>1299</v>
      </c>
      <c r="FZ3" t="s">
        <v>1300</v>
      </c>
      <c r="GA3" t="s">
        <v>1301</v>
      </c>
      <c r="GB3" t="s">
        <v>1302</v>
      </c>
      <c r="GC3" t="s">
        <v>1303</v>
      </c>
      <c r="GD3" t="s">
        <v>1304</v>
      </c>
      <c r="GE3" t="s">
        <v>1305</v>
      </c>
      <c r="GF3" t="s">
        <v>1306</v>
      </c>
      <c r="GG3" t="s">
        <v>1307</v>
      </c>
      <c r="GH3" t="s">
        <v>1308</v>
      </c>
      <c r="GI3" t="s">
        <v>1309</v>
      </c>
      <c r="GJ3" t="s">
        <v>1310</v>
      </c>
      <c r="GK3" t="s">
        <v>1311</v>
      </c>
      <c r="GL3" t="s">
        <v>1312</v>
      </c>
      <c r="GM3" t="s">
        <v>1313</v>
      </c>
      <c r="GN3" t="s">
        <v>1314</v>
      </c>
      <c r="GO3" t="s">
        <v>1315</v>
      </c>
      <c r="GP3" t="s">
        <v>1316</v>
      </c>
      <c r="GQ3" t="s">
        <v>1317</v>
      </c>
      <c r="GR3" t="s">
        <v>1318</v>
      </c>
      <c r="GS3" t="s">
        <v>1319</v>
      </c>
      <c r="GT3" t="s">
        <v>1320</v>
      </c>
      <c r="GU3" t="s">
        <v>1321</v>
      </c>
      <c r="GV3" t="s">
        <v>1322</v>
      </c>
      <c r="GW3" t="s">
        <v>1323</v>
      </c>
      <c r="GX3" t="s">
        <v>1324</v>
      </c>
      <c r="GY3" t="s">
        <v>1325</v>
      </c>
      <c r="GZ3" t="s">
        <v>1326</v>
      </c>
      <c r="HA3" t="s">
        <v>1327</v>
      </c>
      <c r="HB3" t="s">
        <v>1328</v>
      </c>
      <c r="HC3" t="s">
        <v>1329</v>
      </c>
      <c r="HD3" t="s">
        <v>1330</v>
      </c>
      <c r="HE3" t="s">
        <v>1331</v>
      </c>
      <c r="HF3" t="s">
        <v>1332</v>
      </c>
      <c r="HG3" t="s">
        <v>1333</v>
      </c>
      <c r="HH3" t="s">
        <v>1334</v>
      </c>
      <c r="HI3" t="s">
        <v>1335</v>
      </c>
      <c r="HJ3" t="s">
        <v>1336</v>
      </c>
      <c r="HK3" t="s">
        <v>1337</v>
      </c>
      <c r="HL3" t="s">
        <v>1338</v>
      </c>
      <c r="HM3" t="s">
        <v>1339</v>
      </c>
      <c r="HN3" t="s">
        <v>1340</v>
      </c>
      <c r="HO3" t="s">
        <v>1341</v>
      </c>
      <c r="HP3" t="s">
        <v>1342</v>
      </c>
      <c r="HQ3" t="s">
        <v>1343</v>
      </c>
      <c r="HR3" t="s">
        <v>1344</v>
      </c>
      <c r="HS3" t="s">
        <v>1345</v>
      </c>
      <c r="HT3" t="s">
        <v>1346</v>
      </c>
      <c r="HU3" t="s">
        <v>1347</v>
      </c>
      <c r="HV3" t="s">
        <v>1348</v>
      </c>
      <c r="HW3" t="s">
        <v>1349</v>
      </c>
      <c r="HX3" t="s">
        <v>1350</v>
      </c>
      <c r="HY3" t="s">
        <v>1351</v>
      </c>
      <c r="HZ3" t="s">
        <v>1352</v>
      </c>
      <c r="IA3" t="s">
        <v>1353</v>
      </c>
      <c r="IB3" t="s">
        <v>1354</v>
      </c>
      <c r="IC3" t="s">
        <v>1355</v>
      </c>
      <c r="ID3" t="s">
        <v>1356</v>
      </c>
      <c r="IE3" t="s">
        <v>1357</v>
      </c>
      <c r="IF3" t="s">
        <v>1358</v>
      </c>
      <c r="IG3" t="s">
        <v>1359</v>
      </c>
      <c r="IH3" t="s">
        <v>1360</v>
      </c>
      <c r="II3" t="s">
        <v>1361</v>
      </c>
      <c r="IJ3" t="s">
        <v>1362</v>
      </c>
      <c r="IK3" t="s">
        <v>1363</v>
      </c>
      <c r="IL3" t="s">
        <v>1364</v>
      </c>
      <c r="IM3" t="s">
        <v>1365</v>
      </c>
      <c r="IN3" t="s">
        <v>1366</v>
      </c>
      <c r="IO3" t="s">
        <v>1367</v>
      </c>
      <c r="IP3" t="s">
        <v>1368</v>
      </c>
      <c r="IQ3" t="s">
        <v>1369</v>
      </c>
      <c r="IR3" t="s">
        <v>1370</v>
      </c>
      <c r="IS3" t="s">
        <v>1371</v>
      </c>
      <c r="IT3" t="s">
        <v>1372</v>
      </c>
      <c r="IU3" t="s">
        <v>1373</v>
      </c>
      <c r="IV3" t="s">
        <v>1374</v>
      </c>
    </row>
    <row r="4" spans="1:256" x14ac:dyDescent="0.2">
      <c r="A4" t="s">
        <v>1375</v>
      </c>
      <c r="B4" t="s">
        <v>1376</v>
      </c>
      <c r="C4" t="s">
        <v>1377</v>
      </c>
      <c r="D4" t="s">
        <v>1378</v>
      </c>
      <c r="E4" t="s">
        <v>1379</v>
      </c>
      <c r="F4" t="s">
        <v>1380</v>
      </c>
      <c r="G4" t="s">
        <v>1381</v>
      </c>
      <c r="H4" t="s">
        <v>1382</v>
      </c>
      <c r="I4" t="s">
        <v>1383</v>
      </c>
      <c r="J4" t="s">
        <v>1384</v>
      </c>
      <c r="K4" t="s">
        <v>1385</v>
      </c>
      <c r="L4" t="s">
        <v>1386</v>
      </c>
      <c r="M4" t="s">
        <v>1387</v>
      </c>
      <c r="N4" t="s">
        <v>1388</v>
      </c>
      <c r="O4" t="s">
        <v>1389</v>
      </c>
      <c r="P4" t="s">
        <v>1390</v>
      </c>
      <c r="Q4" t="s">
        <v>1391</v>
      </c>
      <c r="R4" t="s">
        <v>1392</v>
      </c>
      <c r="S4" t="s">
        <v>1393</v>
      </c>
      <c r="T4" t="s">
        <v>1394</v>
      </c>
      <c r="U4" t="s">
        <v>1395</v>
      </c>
      <c r="V4" t="s">
        <v>1396</v>
      </c>
      <c r="W4" t="s">
        <v>1397</v>
      </c>
      <c r="X4" t="s">
        <v>1398</v>
      </c>
      <c r="Y4" t="s">
        <v>1399</v>
      </c>
      <c r="Z4" t="s">
        <v>1400</v>
      </c>
      <c r="AA4" t="s">
        <v>1401</v>
      </c>
      <c r="AB4" t="s">
        <v>1402</v>
      </c>
      <c r="AC4" t="s">
        <v>1403</v>
      </c>
      <c r="AD4" t="s">
        <v>1404</v>
      </c>
      <c r="AE4" t="s">
        <v>1405</v>
      </c>
      <c r="AF4" t="s">
        <v>1406</v>
      </c>
      <c r="AG4" t="s">
        <v>1407</v>
      </c>
      <c r="AH4" t="s">
        <v>1408</v>
      </c>
      <c r="AI4" t="s">
        <v>1409</v>
      </c>
      <c r="AJ4" t="s">
        <v>1410</v>
      </c>
      <c r="AK4" t="s">
        <v>1411</v>
      </c>
      <c r="AL4" t="s">
        <v>1412</v>
      </c>
      <c r="AM4" t="s">
        <v>1413</v>
      </c>
      <c r="AN4" t="s">
        <v>1414</v>
      </c>
      <c r="AO4" t="s">
        <v>1415</v>
      </c>
      <c r="AP4" t="s">
        <v>1416</v>
      </c>
      <c r="AQ4" t="s">
        <v>1417</v>
      </c>
      <c r="AR4" t="s">
        <v>1418</v>
      </c>
      <c r="AS4" t="s">
        <v>1419</v>
      </c>
      <c r="AT4" t="s">
        <v>1420</v>
      </c>
      <c r="AU4" t="s">
        <v>1421</v>
      </c>
      <c r="AV4" t="s">
        <v>1422</v>
      </c>
      <c r="AW4" t="s">
        <v>1423</v>
      </c>
      <c r="AX4" t="s">
        <v>1424</v>
      </c>
      <c r="AY4" t="s">
        <v>1425</v>
      </c>
      <c r="AZ4" t="s">
        <v>1426</v>
      </c>
      <c r="BA4" t="s">
        <v>1427</v>
      </c>
      <c r="BB4" t="s">
        <v>1428</v>
      </c>
      <c r="BC4" t="s">
        <v>1429</v>
      </c>
      <c r="BD4" t="s">
        <v>1430</v>
      </c>
      <c r="BE4" t="s">
        <v>1431</v>
      </c>
      <c r="BF4" t="s">
        <v>1432</v>
      </c>
      <c r="BG4" t="s">
        <v>1433</v>
      </c>
      <c r="BH4" t="s">
        <v>1434</v>
      </c>
      <c r="BI4" t="s">
        <v>1435</v>
      </c>
      <c r="BJ4" t="s">
        <v>1436</v>
      </c>
      <c r="BK4" t="s">
        <v>1437</v>
      </c>
      <c r="BL4" t="s">
        <v>1438</v>
      </c>
      <c r="BM4" t="s">
        <v>1439</v>
      </c>
      <c r="BN4" t="s">
        <v>1440</v>
      </c>
      <c r="BO4" t="s">
        <v>1441</v>
      </c>
      <c r="BP4" t="s">
        <v>1442</v>
      </c>
      <c r="BQ4" t="s">
        <v>1443</v>
      </c>
      <c r="BR4" t="s">
        <v>1444</v>
      </c>
      <c r="BS4" t="s">
        <v>1445</v>
      </c>
      <c r="BT4" t="s">
        <v>1446</v>
      </c>
      <c r="BU4" t="s">
        <v>1447</v>
      </c>
      <c r="BV4" t="s">
        <v>1448</v>
      </c>
      <c r="BW4" t="s">
        <v>1449</v>
      </c>
      <c r="BX4" t="s">
        <v>1450</v>
      </c>
      <c r="BY4" t="s">
        <v>1451</v>
      </c>
      <c r="BZ4" t="s">
        <v>1452</v>
      </c>
      <c r="CA4" t="s">
        <v>1453</v>
      </c>
      <c r="CB4" t="s">
        <v>1454</v>
      </c>
      <c r="CC4" t="s">
        <v>1455</v>
      </c>
      <c r="CD4" t="s">
        <v>1456</v>
      </c>
      <c r="CE4" t="s">
        <v>1457</v>
      </c>
      <c r="CF4" t="s">
        <v>1458</v>
      </c>
      <c r="CG4" t="s">
        <v>1459</v>
      </c>
      <c r="CH4" t="s">
        <v>1460</v>
      </c>
      <c r="CI4" t="s">
        <v>1461</v>
      </c>
      <c r="CJ4" t="s">
        <v>1462</v>
      </c>
      <c r="CK4" t="s">
        <v>1463</v>
      </c>
      <c r="CL4" t="s">
        <v>1464</v>
      </c>
      <c r="CM4" t="s">
        <v>1465</v>
      </c>
      <c r="CN4" t="s">
        <v>1466</v>
      </c>
      <c r="CO4" t="s">
        <v>1467</v>
      </c>
      <c r="CP4" t="s">
        <v>1468</v>
      </c>
      <c r="CQ4" t="s">
        <v>1469</v>
      </c>
      <c r="CR4" t="s">
        <v>1470</v>
      </c>
      <c r="CS4" t="s">
        <v>1471</v>
      </c>
      <c r="CT4" t="s">
        <v>1472</v>
      </c>
      <c r="CU4" t="s">
        <v>1473</v>
      </c>
      <c r="CV4" t="s">
        <v>1474</v>
      </c>
      <c r="CW4" t="s">
        <v>1475</v>
      </c>
      <c r="CX4" t="s">
        <v>1476</v>
      </c>
      <c r="CY4" t="s">
        <v>1477</v>
      </c>
      <c r="CZ4" t="s">
        <v>1478</v>
      </c>
      <c r="DA4" t="s">
        <v>1479</v>
      </c>
      <c r="DB4" t="s">
        <v>1480</v>
      </c>
      <c r="DC4" t="s">
        <v>1481</v>
      </c>
      <c r="DD4" t="s">
        <v>1482</v>
      </c>
      <c r="DE4" t="s">
        <v>1483</v>
      </c>
      <c r="DF4" t="s">
        <v>1484</v>
      </c>
      <c r="DG4" t="s">
        <v>1485</v>
      </c>
      <c r="DH4" t="s">
        <v>1486</v>
      </c>
      <c r="DI4" t="s">
        <v>1487</v>
      </c>
      <c r="DJ4" t="s">
        <v>1488</v>
      </c>
      <c r="DK4" t="s">
        <v>1489</v>
      </c>
      <c r="DL4" t="s">
        <v>1490</v>
      </c>
      <c r="DM4" t="s">
        <v>1491</v>
      </c>
      <c r="DN4" t="s">
        <v>1492</v>
      </c>
      <c r="DO4" t="s">
        <v>1493</v>
      </c>
      <c r="DP4" t="s">
        <v>1494</v>
      </c>
      <c r="DQ4" t="s">
        <v>1495</v>
      </c>
      <c r="DR4" t="s">
        <v>1496</v>
      </c>
      <c r="DS4" t="s">
        <v>1497</v>
      </c>
      <c r="DT4" t="s">
        <v>1498</v>
      </c>
      <c r="DU4" t="s">
        <v>1499</v>
      </c>
      <c r="DV4" t="s">
        <v>1500</v>
      </c>
      <c r="DW4" t="s">
        <v>1501</v>
      </c>
      <c r="DX4" t="s">
        <v>1502</v>
      </c>
      <c r="DY4" t="s">
        <v>1503</v>
      </c>
      <c r="DZ4" t="s">
        <v>1504</v>
      </c>
      <c r="EA4" t="s">
        <v>1505</v>
      </c>
      <c r="EB4" t="s">
        <v>1506</v>
      </c>
      <c r="EC4" t="s">
        <v>1507</v>
      </c>
      <c r="ED4" t="s">
        <v>1508</v>
      </c>
      <c r="EE4" t="s">
        <v>1509</v>
      </c>
      <c r="EF4" t="s">
        <v>1510</v>
      </c>
      <c r="EG4" t="s">
        <v>1511</v>
      </c>
      <c r="EH4" t="s">
        <v>1512</v>
      </c>
      <c r="EI4" t="s">
        <v>1513</v>
      </c>
      <c r="EJ4" t="s">
        <v>1514</v>
      </c>
      <c r="EK4" t="s">
        <v>1515</v>
      </c>
      <c r="EL4" t="s">
        <v>1516</v>
      </c>
      <c r="EM4" t="s">
        <v>1517</v>
      </c>
      <c r="EN4" t="s">
        <v>1518</v>
      </c>
      <c r="EO4" t="s">
        <v>1519</v>
      </c>
      <c r="EP4" t="s">
        <v>1520</v>
      </c>
      <c r="EQ4" t="s">
        <v>1521</v>
      </c>
      <c r="ER4" t="s">
        <v>1522</v>
      </c>
      <c r="ES4" t="s">
        <v>1523</v>
      </c>
      <c r="ET4" t="s">
        <v>1524</v>
      </c>
      <c r="EU4" t="s">
        <v>1525</v>
      </c>
      <c r="EV4" t="s">
        <v>1526</v>
      </c>
      <c r="EW4" t="s">
        <v>1527</v>
      </c>
      <c r="EX4" t="s">
        <v>1528</v>
      </c>
      <c r="EY4" t="s">
        <v>1529</v>
      </c>
      <c r="EZ4" t="s">
        <v>1530</v>
      </c>
      <c r="FA4" t="s">
        <v>1531</v>
      </c>
      <c r="FB4" t="s">
        <v>1532</v>
      </c>
      <c r="FC4" t="s">
        <v>1533</v>
      </c>
      <c r="FD4" t="s">
        <v>1534</v>
      </c>
      <c r="FE4" t="s">
        <v>1535</v>
      </c>
      <c r="FF4" t="s">
        <v>1536</v>
      </c>
      <c r="FG4" t="s">
        <v>1537</v>
      </c>
      <c r="FH4" t="s">
        <v>1538</v>
      </c>
      <c r="FI4" t="s">
        <v>1539</v>
      </c>
      <c r="FJ4" t="s">
        <v>1540</v>
      </c>
      <c r="FK4" t="s">
        <v>1541</v>
      </c>
      <c r="FL4" t="s">
        <v>1542</v>
      </c>
      <c r="FM4" t="s">
        <v>1543</v>
      </c>
      <c r="FN4" t="s">
        <v>1544</v>
      </c>
      <c r="FO4" t="s">
        <v>1545</v>
      </c>
      <c r="FP4" t="s">
        <v>1546</v>
      </c>
      <c r="FQ4" t="s">
        <v>1547</v>
      </c>
      <c r="FR4" t="s">
        <v>1548</v>
      </c>
      <c r="FS4" t="s">
        <v>1549</v>
      </c>
      <c r="FT4" t="s">
        <v>1550</v>
      </c>
      <c r="FU4" t="s">
        <v>1551</v>
      </c>
      <c r="FV4" t="s">
        <v>1552</v>
      </c>
      <c r="FW4" t="s">
        <v>1553</v>
      </c>
      <c r="FX4" t="s">
        <v>1554</v>
      </c>
      <c r="FY4" t="s">
        <v>1555</v>
      </c>
      <c r="FZ4" t="s">
        <v>1556</v>
      </c>
      <c r="GA4" t="s">
        <v>1557</v>
      </c>
      <c r="GB4" t="s">
        <v>1558</v>
      </c>
      <c r="GC4" t="s">
        <v>1559</v>
      </c>
      <c r="GD4" t="s">
        <v>1560</v>
      </c>
      <c r="GE4" t="s">
        <v>1561</v>
      </c>
      <c r="GF4" t="s">
        <v>1562</v>
      </c>
      <c r="GG4" t="s">
        <v>1563</v>
      </c>
      <c r="GH4" t="s">
        <v>1564</v>
      </c>
      <c r="GI4" t="s">
        <v>1565</v>
      </c>
      <c r="GJ4" t="s">
        <v>1566</v>
      </c>
      <c r="GK4" t="s">
        <v>1567</v>
      </c>
      <c r="GL4" t="s">
        <v>1568</v>
      </c>
      <c r="GM4" t="s">
        <v>1569</v>
      </c>
      <c r="GN4" t="s">
        <v>1570</v>
      </c>
      <c r="GO4" t="s">
        <v>1571</v>
      </c>
      <c r="GP4" t="s">
        <v>1572</v>
      </c>
      <c r="GQ4" t="s">
        <v>1573</v>
      </c>
      <c r="GR4" t="s">
        <v>1574</v>
      </c>
      <c r="GS4" t="s">
        <v>1575</v>
      </c>
      <c r="GT4" t="s">
        <v>1576</v>
      </c>
      <c r="GU4" t="s">
        <v>1577</v>
      </c>
      <c r="GV4" t="s">
        <v>1578</v>
      </c>
      <c r="GW4" t="s">
        <v>1579</v>
      </c>
      <c r="GX4" t="s">
        <v>1580</v>
      </c>
      <c r="GY4" t="s">
        <v>1581</v>
      </c>
      <c r="GZ4" t="s">
        <v>1582</v>
      </c>
      <c r="HA4" t="s">
        <v>1583</v>
      </c>
      <c r="HB4" t="s">
        <v>1584</v>
      </c>
      <c r="HC4" t="s">
        <v>1585</v>
      </c>
      <c r="HD4" t="s">
        <v>1586</v>
      </c>
      <c r="HE4" t="s">
        <v>1587</v>
      </c>
      <c r="HF4" t="s">
        <v>1588</v>
      </c>
      <c r="HG4" t="s">
        <v>1589</v>
      </c>
      <c r="HH4" t="s">
        <v>1590</v>
      </c>
      <c r="HI4" t="s">
        <v>1591</v>
      </c>
      <c r="HJ4" t="s">
        <v>1592</v>
      </c>
      <c r="HK4" t="s">
        <v>1593</v>
      </c>
      <c r="HL4" t="s">
        <v>1594</v>
      </c>
      <c r="HM4" t="s">
        <v>1595</v>
      </c>
      <c r="HN4" t="s">
        <v>1596</v>
      </c>
      <c r="HO4" t="s">
        <v>1597</v>
      </c>
      <c r="HP4" t="s">
        <v>1598</v>
      </c>
      <c r="HQ4" t="s">
        <v>1599</v>
      </c>
      <c r="HR4" t="s">
        <v>1600</v>
      </c>
      <c r="HS4" t="s">
        <v>1601</v>
      </c>
      <c r="HT4" t="s">
        <v>1602</v>
      </c>
      <c r="HU4" t="s">
        <v>1603</v>
      </c>
      <c r="HV4" t="s">
        <v>1604</v>
      </c>
      <c r="HW4" t="s">
        <v>1605</v>
      </c>
      <c r="HX4" t="s">
        <v>1606</v>
      </c>
      <c r="HY4" t="s">
        <v>1607</v>
      </c>
      <c r="HZ4" t="s">
        <v>1608</v>
      </c>
      <c r="IA4" t="s">
        <v>1609</v>
      </c>
      <c r="IB4" t="s">
        <v>1610</v>
      </c>
      <c r="IC4" t="s">
        <v>1611</v>
      </c>
      <c r="ID4" t="s">
        <v>1612</v>
      </c>
      <c r="IE4" t="s">
        <v>1613</v>
      </c>
      <c r="IF4" t="s">
        <v>1614</v>
      </c>
      <c r="IG4" t="s">
        <v>1615</v>
      </c>
      <c r="IH4" t="s">
        <v>1616</v>
      </c>
      <c r="II4" t="s">
        <v>1617</v>
      </c>
      <c r="IJ4" t="s">
        <v>1618</v>
      </c>
      <c r="IK4" t="s">
        <v>1619</v>
      </c>
      <c r="IL4" t="s">
        <v>1620</v>
      </c>
      <c r="IM4" t="s">
        <v>1621</v>
      </c>
      <c r="IN4" t="s">
        <v>1622</v>
      </c>
      <c r="IO4" t="s">
        <v>1623</v>
      </c>
      <c r="IP4" t="s">
        <v>1624</v>
      </c>
      <c r="IQ4" t="s">
        <v>1625</v>
      </c>
      <c r="IR4" t="s">
        <v>1626</v>
      </c>
      <c r="IS4" t="s">
        <v>1627</v>
      </c>
      <c r="IT4" t="s">
        <v>1628</v>
      </c>
      <c r="IU4" t="s">
        <v>1629</v>
      </c>
      <c r="IV4" t="s">
        <v>1630</v>
      </c>
    </row>
    <row r="5" spans="1:256" x14ac:dyDescent="0.2">
      <c r="A5" t="s">
        <v>1631</v>
      </c>
      <c r="B5" t="s">
        <v>1632</v>
      </c>
      <c r="C5" t="s">
        <v>1633</v>
      </c>
      <c r="D5" t="s">
        <v>1634</v>
      </c>
      <c r="E5" t="s">
        <v>1635</v>
      </c>
      <c r="F5" t="s">
        <v>1636</v>
      </c>
      <c r="G5" t="s">
        <v>1637</v>
      </c>
      <c r="H5" t="s">
        <v>1638</v>
      </c>
      <c r="I5" t="s">
        <v>1639</v>
      </c>
      <c r="J5" t="s">
        <v>1640</v>
      </c>
      <c r="K5" t="s">
        <v>1641</v>
      </c>
      <c r="L5" t="s">
        <v>1642</v>
      </c>
      <c r="M5" t="s">
        <v>1643</v>
      </c>
      <c r="N5" t="s">
        <v>1644</v>
      </c>
      <c r="O5" t="s">
        <v>1645</v>
      </c>
      <c r="P5" t="s">
        <v>1646</v>
      </c>
      <c r="Q5" t="s">
        <v>1647</v>
      </c>
      <c r="R5" t="s">
        <v>1648</v>
      </c>
      <c r="S5" t="s">
        <v>1649</v>
      </c>
      <c r="T5" t="s">
        <v>1650</v>
      </c>
      <c r="U5" t="s">
        <v>1651</v>
      </c>
      <c r="V5" t="s">
        <v>1652</v>
      </c>
      <c r="W5" t="s">
        <v>1653</v>
      </c>
      <c r="X5" t="s">
        <v>1654</v>
      </c>
      <c r="Y5" t="s">
        <v>1655</v>
      </c>
      <c r="Z5" t="s">
        <v>1656</v>
      </c>
      <c r="AA5" t="s">
        <v>1657</v>
      </c>
      <c r="AB5" t="s">
        <v>1658</v>
      </c>
      <c r="AC5" t="s">
        <v>1659</v>
      </c>
      <c r="AD5" t="s">
        <v>1660</v>
      </c>
      <c r="AE5" t="s">
        <v>1661</v>
      </c>
      <c r="AF5" t="s">
        <v>1662</v>
      </c>
      <c r="AG5" t="s">
        <v>1663</v>
      </c>
      <c r="AH5" t="s">
        <v>1664</v>
      </c>
      <c r="AI5" t="s">
        <v>1665</v>
      </c>
      <c r="AJ5" t="s">
        <v>1666</v>
      </c>
      <c r="AK5" t="s">
        <v>1667</v>
      </c>
      <c r="AL5" t="s">
        <v>1668</v>
      </c>
      <c r="AM5" t="s">
        <v>1669</v>
      </c>
      <c r="AN5" t="s">
        <v>1670</v>
      </c>
      <c r="AO5" t="s">
        <v>1671</v>
      </c>
      <c r="AP5" t="s">
        <v>1672</v>
      </c>
      <c r="AQ5" t="s">
        <v>1673</v>
      </c>
      <c r="AR5" t="s">
        <v>1674</v>
      </c>
      <c r="AS5" t="s">
        <v>1675</v>
      </c>
      <c r="AT5" t="s">
        <v>1676</v>
      </c>
      <c r="AU5" t="s">
        <v>1677</v>
      </c>
      <c r="AV5" t="s">
        <v>1678</v>
      </c>
      <c r="AW5" t="s">
        <v>1679</v>
      </c>
      <c r="AX5" t="s">
        <v>1680</v>
      </c>
      <c r="AY5" t="s">
        <v>1681</v>
      </c>
      <c r="AZ5" t="s">
        <v>1682</v>
      </c>
      <c r="BA5" t="s">
        <v>1683</v>
      </c>
      <c r="BB5" t="s">
        <v>1684</v>
      </c>
      <c r="BC5" t="s">
        <v>1685</v>
      </c>
      <c r="BD5" t="s">
        <v>1686</v>
      </c>
      <c r="BE5" t="s">
        <v>1687</v>
      </c>
      <c r="BF5" t="s">
        <v>1688</v>
      </c>
      <c r="BG5" t="s">
        <v>1689</v>
      </c>
      <c r="BH5" t="s">
        <v>1690</v>
      </c>
      <c r="BI5" t="s">
        <v>1691</v>
      </c>
      <c r="BJ5" t="s">
        <v>1692</v>
      </c>
      <c r="BK5" t="s">
        <v>1693</v>
      </c>
      <c r="BL5" t="s">
        <v>1694</v>
      </c>
      <c r="BM5" t="s">
        <v>1695</v>
      </c>
      <c r="BN5" t="s">
        <v>1696</v>
      </c>
      <c r="BO5" t="s">
        <v>1697</v>
      </c>
      <c r="BP5" t="s">
        <v>1698</v>
      </c>
      <c r="BQ5" t="s">
        <v>1699</v>
      </c>
      <c r="BR5" t="s">
        <v>1700</v>
      </c>
      <c r="BS5" t="s">
        <v>1701</v>
      </c>
      <c r="BT5" t="s">
        <v>1702</v>
      </c>
      <c r="BU5" t="s">
        <v>1703</v>
      </c>
      <c r="BV5" t="s">
        <v>1704</v>
      </c>
      <c r="BW5" t="s">
        <v>1705</v>
      </c>
      <c r="BX5" t="s">
        <v>1706</v>
      </c>
      <c r="BY5" t="s">
        <v>1707</v>
      </c>
      <c r="BZ5" t="s">
        <v>1708</v>
      </c>
      <c r="CA5" t="s">
        <v>1709</v>
      </c>
      <c r="CB5" t="s">
        <v>1710</v>
      </c>
      <c r="CC5" t="s">
        <v>1711</v>
      </c>
      <c r="CD5" t="s">
        <v>1712</v>
      </c>
      <c r="CE5" t="s">
        <v>1713</v>
      </c>
      <c r="CF5" t="s">
        <v>1714</v>
      </c>
      <c r="CG5" t="s">
        <v>1715</v>
      </c>
      <c r="CH5" t="s">
        <v>1716</v>
      </c>
      <c r="CI5" t="s">
        <v>1717</v>
      </c>
      <c r="CJ5" t="s">
        <v>1718</v>
      </c>
      <c r="CK5" t="s">
        <v>1719</v>
      </c>
      <c r="CL5" t="s">
        <v>1720</v>
      </c>
      <c r="CM5" t="s">
        <v>1721</v>
      </c>
      <c r="CN5" t="s">
        <v>1722</v>
      </c>
      <c r="CO5" t="s">
        <v>1723</v>
      </c>
      <c r="CP5" t="s">
        <v>1724</v>
      </c>
      <c r="CQ5" t="s">
        <v>1725</v>
      </c>
      <c r="CR5" t="s">
        <v>1726</v>
      </c>
      <c r="CS5" t="s">
        <v>1727</v>
      </c>
      <c r="CT5" t="s">
        <v>1728</v>
      </c>
      <c r="CU5" t="s">
        <v>1729</v>
      </c>
      <c r="CV5" t="s">
        <v>1730</v>
      </c>
      <c r="CW5" t="s">
        <v>1731</v>
      </c>
      <c r="CX5" t="s">
        <v>1732</v>
      </c>
      <c r="CY5" t="s">
        <v>1733</v>
      </c>
      <c r="CZ5" t="s">
        <v>1734</v>
      </c>
      <c r="DA5" t="s">
        <v>1735</v>
      </c>
      <c r="DB5" t="s">
        <v>1736</v>
      </c>
      <c r="DC5" t="s">
        <v>1737</v>
      </c>
      <c r="DD5" t="s">
        <v>1738</v>
      </c>
      <c r="DE5" t="s">
        <v>1739</v>
      </c>
      <c r="DF5" t="s">
        <v>1740</v>
      </c>
      <c r="DG5" t="s">
        <v>1741</v>
      </c>
      <c r="DH5" t="s">
        <v>1742</v>
      </c>
      <c r="DI5" t="s">
        <v>1743</v>
      </c>
      <c r="DJ5" t="s">
        <v>1744</v>
      </c>
      <c r="DK5" t="s">
        <v>1745</v>
      </c>
      <c r="DL5" t="s">
        <v>1746</v>
      </c>
      <c r="DM5" t="s">
        <v>1747</v>
      </c>
      <c r="DN5" t="s">
        <v>1748</v>
      </c>
      <c r="DO5" t="s">
        <v>1749</v>
      </c>
      <c r="DP5" t="s">
        <v>1750</v>
      </c>
      <c r="DQ5" t="s">
        <v>1751</v>
      </c>
      <c r="DR5" t="s">
        <v>1752</v>
      </c>
      <c r="DS5" t="s">
        <v>1753</v>
      </c>
      <c r="DT5" t="s">
        <v>1754</v>
      </c>
      <c r="DU5" t="s">
        <v>1755</v>
      </c>
      <c r="DV5" t="s">
        <v>1756</v>
      </c>
      <c r="DW5" t="s">
        <v>1757</v>
      </c>
      <c r="DX5" t="s">
        <v>1758</v>
      </c>
      <c r="DY5" t="s">
        <v>1759</v>
      </c>
      <c r="DZ5" t="s">
        <v>1760</v>
      </c>
      <c r="EA5" t="s">
        <v>1761</v>
      </c>
      <c r="EB5" t="s">
        <v>1762</v>
      </c>
      <c r="EC5" t="s">
        <v>1763</v>
      </c>
      <c r="ED5" t="s">
        <v>1764</v>
      </c>
      <c r="EE5" t="s">
        <v>1765</v>
      </c>
      <c r="EF5" t="s">
        <v>1766</v>
      </c>
      <c r="EG5" t="s">
        <v>1767</v>
      </c>
      <c r="EH5" t="s">
        <v>1768</v>
      </c>
      <c r="EI5" t="s">
        <v>1769</v>
      </c>
      <c r="EJ5" t="s">
        <v>1770</v>
      </c>
      <c r="EK5" t="s">
        <v>1771</v>
      </c>
      <c r="EL5" t="s">
        <v>1772</v>
      </c>
      <c r="EM5" t="s">
        <v>1773</v>
      </c>
      <c r="EN5" t="s">
        <v>1774</v>
      </c>
      <c r="EO5" t="s">
        <v>1775</v>
      </c>
      <c r="EP5" t="s">
        <v>1776</v>
      </c>
      <c r="EQ5" t="s">
        <v>1777</v>
      </c>
      <c r="ER5" t="s">
        <v>1778</v>
      </c>
      <c r="ES5" t="s">
        <v>1779</v>
      </c>
      <c r="ET5" t="s">
        <v>1780</v>
      </c>
      <c r="EU5" t="s">
        <v>1781</v>
      </c>
      <c r="EV5" t="s">
        <v>1782</v>
      </c>
      <c r="EW5" t="s">
        <v>1783</v>
      </c>
      <c r="EX5" t="s">
        <v>1784</v>
      </c>
      <c r="EY5" t="s">
        <v>1785</v>
      </c>
      <c r="EZ5" t="s">
        <v>1786</v>
      </c>
      <c r="FA5" t="s">
        <v>1787</v>
      </c>
      <c r="FB5" t="s">
        <v>1788</v>
      </c>
      <c r="FC5" t="s">
        <v>1789</v>
      </c>
      <c r="FD5" t="s">
        <v>1790</v>
      </c>
      <c r="FE5" t="s">
        <v>1791</v>
      </c>
      <c r="FF5" t="s">
        <v>1792</v>
      </c>
      <c r="FG5" t="s">
        <v>1793</v>
      </c>
      <c r="FH5" t="s">
        <v>1794</v>
      </c>
      <c r="FI5" t="s">
        <v>1795</v>
      </c>
      <c r="FJ5" t="s">
        <v>1796</v>
      </c>
      <c r="FK5" t="s">
        <v>1797</v>
      </c>
      <c r="FL5" t="s">
        <v>1798</v>
      </c>
      <c r="FM5" t="s">
        <v>1799</v>
      </c>
      <c r="FN5" t="s">
        <v>1800</v>
      </c>
      <c r="FO5" t="s">
        <v>1801</v>
      </c>
      <c r="FP5" t="s">
        <v>1802</v>
      </c>
      <c r="FQ5" t="s">
        <v>1803</v>
      </c>
      <c r="FR5" t="s">
        <v>1804</v>
      </c>
      <c r="FS5" t="s">
        <v>1805</v>
      </c>
      <c r="FT5" t="s">
        <v>1806</v>
      </c>
      <c r="FU5" t="s">
        <v>1807</v>
      </c>
      <c r="FV5" t="s">
        <v>1808</v>
      </c>
      <c r="FW5" t="s">
        <v>1809</v>
      </c>
      <c r="FX5" t="s">
        <v>1810</v>
      </c>
      <c r="FY5" t="s">
        <v>1811</v>
      </c>
      <c r="FZ5" t="s">
        <v>1812</v>
      </c>
      <c r="GA5" t="s">
        <v>1813</v>
      </c>
      <c r="GB5" t="s">
        <v>1814</v>
      </c>
      <c r="GC5" t="s">
        <v>1815</v>
      </c>
      <c r="GD5" t="s">
        <v>1816</v>
      </c>
      <c r="GE5" t="s">
        <v>1817</v>
      </c>
      <c r="GF5" t="s">
        <v>1818</v>
      </c>
      <c r="GG5" t="s">
        <v>1819</v>
      </c>
      <c r="GH5" t="s">
        <v>1820</v>
      </c>
      <c r="GI5" t="s">
        <v>1821</v>
      </c>
      <c r="GJ5" t="s">
        <v>1822</v>
      </c>
      <c r="GK5" t="s">
        <v>1823</v>
      </c>
      <c r="GL5" t="s">
        <v>1824</v>
      </c>
      <c r="GM5" t="s">
        <v>1825</v>
      </c>
      <c r="GN5" t="s">
        <v>1826</v>
      </c>
      <c r="GO5" t="s">
        <v>1827</v>
      </c>
      <c r="GP5" t="s">
        <v>1828</v>
      </c>
      <c r="GQ5" t="s">
        <v>1829</v>
      </c>
      <c r="GR5" t="s">
        <v>1830</v>
      </c>
      <c r="GS5" t="s">
        <v>1831</v>
      </c>
      <c r="GT5" t="s">
        <v>1832</v>
      </c>
      <c r="GU5" t="s">
        <v>1833</v>
      </c>
      <c r="GV5" t="s">
        <v>1834</v>
      </c>
      <c r="GW5" t="s">
        <v>1835</v>
      </c>
      <c r="GX5" t="s">
        <v>1836</v>
      </c>
      <c r="GY5" t="s">
        <v>1837</v>
      </c>
      <c r="GZ5" t="s">
        <v>1838</v>
      </c>
      <c r="HA5" t="s">
        <v>1839</v>
      </c>
      <c r="HB5" t="s">
        <v>1840</v>
      </c>
      <c r="HC5" t="s">
        <v>1841</v>
      </c>
      <c r="HD5" t="s">
        <v>1842</v>
      </c>
      <c r="HE5" t="s">
        <v>1843</v>
      </c>
      <c r="HF5" t="s">
        <v>1844</v>
      </c>
      <c r="HG5" t="s">
        <v>1845</v>
      </c>
      <c r="HH5" t="s">
        <v>1846</v>
      </c>
      <c r="HI5" t="s">
        <v>1847</v>
      </c>
      <c r="HJ5" t="s">
        <v>1848</v>
      </c>
      <c r="HK5" t="s">
        <v>1849</v>
      </c>
      <c r="HL5" t="s">
        <v>1850</v>
      </c>
      <c r="HM5" t="s">
        <v>1851</v>
      </c>
      <c r="HN5" t="s">
        <v>1852</v>
      </c>
      <c r="HO5" t="s">
        <v>1853</v>
      </c>
      <c r="HP5" t="s">
        <v>1854</v>
      </c>
      <c r="HQ5" t="s">
        <v>1855</v>
      </c>
      <c r="HR5" t="s">
        <v>1856</v>
      </c>
      <c r="HS5" t="s">
        <v>1857</v>
      </c>
      <c r="HT5" t="s">
        <v>1858</v>
      </c>
      <c r="HU5" t="s">
        <v>1859</v>
      </c>
      <c r="HV5" t="s">
        <v>1860</v>
      </c>
      <c r="HW5" t="s">
        <v>1861</v>
      </c>
      <c r="HX5" t="s">
        <v>1862</v>
      </c>
      <c r="HY5" t="s">
        <v>1863</v>
      </c>
      <c r="HZ5" t="s">
        <v>1864</v>
      </c>
      <c r="IA5" t="s">
        <v>1865</v>
      </c>
      <c r="IB5" t="s">
        <v>1866</v>
      </c>
      <c r="IC5" t="s">
        <v>1867</v>
      </c>
      <c r="ID5" t="s">
        <v>1868</v>
      </c>
      <c r="IE5" t="s">
        <v>1869</v>
      </c>
      <c r="IF5" t="s">
        <v>1870</v>
      </c>
      <c r="IG5" t="s">
        <v>1871</v>
      </c>
      <c r="IH5" t="s">
        <v>1872</v>
      </c>
      <c r="II5" t="s">
        <v>1873</v>
      </c>
      <c r="IJ5" t="s">
        <v>1874</v>
      </c>
      <c r="IK5" t="s">
        <v>1875</v>
      </c>
      <c r="IL5" t="s">
        <v>1876</v>
      </c>
      <c r="IM5" t="s">
        <v>1877</v>
      </c>
      <c r="IN5" t="s">
        <v>1878</v>
      </c>
      <c r="IO5" t="s">
        <v>1879</v>
      </c>
      <c r="IP5" t="s">
        <v>1880</v>
      </c>
      <c r="IQ5" t="s">
        <v>1881</v>
      </c>
      <c r="IR5" t="s">
        <v>1882</v>
      </c>
      <c r="IS5" t="s">
        <v>1883</v>
      </c>
      <c r="IT5" t="s">
        <v>1884</v>
      </c>
      <c r="IU5" t="s">
        <v>1885</v>
      </c>
      <c r="IV5" t="s">
        <v>1886</v>
      </c>
    </row>
    <row r="6" spans="1:256" x14ac:dyDescent="0.2">
      <c r="A6" t="s">
        <v>1887</v>
      </c>
      <c r="B6" t="s">
        <v>1888</v>
      </c>
      <c r="C6" t="s">
        <v>1889</v>
      </c>
      <c r="D6" t="s">
        <v>1890</v>
      </c>
      <c r="E6" t="s">
        <v>1891</v>
      </c>
      <c r="F6" t="s">
        <v>1892</v>
      </c>
      <c r="G6" t="s">
        <v>1893</v>
      </c>
      <c r="H6" t="s">
        <v>1894</v>
      </c>
      <c r="I6" t="s">
        <v>1895</v>
      </c>
      <c r="J6" t="s">
        <v>1896</v>
      </c>
      <c r="K6" t="s">
        <v>1897</v>
      </c>
      <c r="L6" t="s">
        <v>1898</v>
      </c>
      <c r="M6" t="s">
        <v>1899</v>
      </c>
      <c r="N6" t="s">
        <v>1900</v>
      </c>
      <c r="O6" t="s">
        <v>1901</v>
      </c>
      <c r="P6" t="s">
        <v>1902</v>
      </c>
      <c r="Q6" t="s">
        <v>1903</v>
      </c>
      <c r="R6" t="s">
        <v>1904</v>
      </c>
      <c r="S6" t="s">
        <v>1905</v>
      </c>
      <c r="T6" t="s">
        <v>1906</v>
      </c>
      <c r="U6" t="s">
        <v>1907</v>
      </c>
      <c r="V6" t="s">
        <v>1908</v>
      </c>
      <c r="W6" t="s">
        <v>1909</v>
      </c>
      <c r="X6" t="s">
        <v>1910</v>
      </c>
      <c r="Y6" t="s">
        <v>1911</v>
      </c>
      <c r="Z6" t="s">
        <v>1912</v>
      </c>
      <c r="AA6" t="s">
        <v>1913</v>
      </c>
      <c r="AB6" t="s">
        <v>1914</v>
      </c>
      <c r="AC6" t="s">
        <v>1915</v>
      </c>
      <c r="AD6" t="s">
        <v>1916</v>
      </c>
      <c r="AE6" t="s">
        <v>1917</v>
      </c>
      <c r="AF6" t="s">
        <v>1918</v>
      </c>
      <c r="AG6" t="s">
        <v>1919</v>
      </c>
      <c r="AH6" t="s">
        <v>1920</v>
      </c>
      <c r="AI6" t="s">
        <v>1921</v>
      </c>
      <c r="AJ6" t="s">
        <v>1922</v>
      </c>
      <c r="AK6" t="s">
        <v>1923</v>
      </c>
      <c r="AL6" t="s">
        <v>1924</v>
      </c>
      <c r="AM6" t="s">
        <v>1925</v>
      </c>
      <c r="AN6" t="s">
        <v>1926</v>
      </c>
      <c r="AO6" t="s">
        <v>1927</v>
      </c>
      <c r="AP6" t="s">
        <v>1928</v>
      </c>
      <c r="AQ6" t="s">
        <v>1929</v>
      </c>
      <c r="AR6" t="s">
        <v>1930</v>
      </c>
      <c r="AS6" t="s">
        <v>1931</v>
      </c>
      <c r="AT6" t="s">
        <v>1932</v>
      </c>
      <c r="AU6" t="s">
        <v>1933</v>
      </c>
      <c r="AV6" t="s">
        <v>1934</v>
      </c>
      <c r="AW6" t="s">
        <v>1935</v>
      </c>
      <c r="AX6" t="s">
        <v>1936</v>
      </c>
      <c r="AY6" t="s">
        <v>1937</v>
      </c>
      <c r="AZ6" t="s">
        <v>1938</v>
      </c>
      <c r="BA6" t="s">
        <v>1939</v>
      </c>
      <c r="BB6" t="s">
        <v>1940</v>
      </c>
      <c r="BC6" t="s">
        <v>1941</v>
      </c>
      <c r="BD6" t="s">
        <v>1942</v>
      </c>
      <c r="BE6" t="s">
        <v>1943</v>
      </c>
      <c r="BF6" t="s">
        <v>1944</v>
      </c>
      <c r="BG6" t="s">
        <v>1945</v>
      </c>
      <c r="BH6" t="s">
        <v>1946</v>
      </c>
      <c r="BI6" t="s">
        <v>1947</v>
      </c>
      <c r="BJ6" t="s">
        <v>1948</v>
      </c>
      <c r="BK6" t="s">
        <v>1949</v>
      </c>
      <c r="BL6" t="s">
        <v>1950</v>
      </c>
      <c r="BM6" t="s">
        <v>1951</v>
      </c>
      <c r="BN6" t="s">
        <v>1952</v>
      </c>
      <c r="BO6" t="s">
        <v>1953</v>
      </c>
      <c r="BP6" t="s">
        <v>1954</v>
      </c>
      <c r="BQ6" t="s">
        <v>1955</v>
      </c>
      <c r="BR6" t="s">
        <v>1956</v>
      </c>
      <c r="BS6" t="s">
        <v>1957</v>
      </c>
      <c r="BT6" t="s">
        <v>1958</v>
      </c>
      <c r="BU6" t="s">
        <v>1959</v>
      </c>
      <c r="BV6" t="s">
        <v>1960</v>
      </c>
      <c r="BW6" t="s">
        <v>1961</v>
      </c>
      <c r="BX6" t="s">
        <v>1962</v>
      </c>
      <c r="BY6" t="s">
        <v>1963</v>
      </c>
      <c r="BZ6" t="s">
        <v>1964</v>
      </c>
      <c r="CA6" t="s">
        <v>1965</v>
      </c>
      <c r="CB6" t="s">
        <v>1966</v>
      </c>
      <c r="CC6" t="s">
        <v>1967</v>
      </c>
      <c r="CD6" t="s">
        <v>1968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L10"/>
  <sheetViews>
    <sheetView showGridLines="0" tabSelected="1" zoomScaleNormal="100" zoomScaleSheetLayoutView="85" workbookViewId="0">
      <selection activeCell="T20" sqref="T20"/>
    </sheetView>
  </sheetViews>
  <sheetFormatPr defaultRowHeight="12.75" x14ac:dyDescent="0.2"/>
  <cols>
    <col min="1" max="1" width="15.7109375" bestFit="1" customWidth="1"/>
    <col min="2" max="2" width="42.5703125" bestFit="1" customWidth="1"/>
    <col min="3" max="4" width="10.140625" bestFit="1" customWidth="1"/>
    <col min="5" max="5" width="11.28515625" bestFit="1" customWidth="1"/>
    <col min="6" max="6" width="9.5703125" bestFit="1" customWidth="1"/>
    <col min="7" max="7" width="9.28515625" bestFit="1" customWidth="1"/>
    <col min="8" max="8" width="14" bestFit="1" customWidth="1"/>
    <col min="9" max="9" width="13.7109375" bestFit="1" customWidth="1"/>
    <col min="10" max="10" width="11" bestFit="1" customWidth="1"/>
    <col min="11" max="11" width="11.28515625" bestFit="1" customWidth="1"/>
    <col min="12" max="12" width="8.7109375" bestFit="1" customWidth="1"/>
    <col min="13" max="13" width="10.28515625" bestFit="1" customWidth="1"/>
    <col min="14" max="14" width="10.85546875" bestFit="1" customWidth="1"/>
    <col min="15" max="15" width="11.7109375" bestFit="1" customWidth="1"/>
    <col min="16" max="16" width="11.28515625" bestFit="1" customWidth="1"/>
    <col min="17" max="17" width="18.42578125" bestFit="1" customWidth="1"/>
    <col min="18" max="18" width="20" bestFit="1" customWidth="1"/>
    <col min="19" max="20" width="20.7109375" bestFit="1" customWidth="1"/>
    <col min="21" max="21" width="11.7109375" bestFit="1" customWidth="1"/>
    <col min="22" max="22" width="13.42578125" bestFit="1" customWidth="1"/>
    <col min="23" max="24" width="14.140625" bestFit="1" customWidth="1"/>
    <col min="25" max="25" width="15.85546875" bestFit="1" customWidth="1"/>
    <col min="26" max="26" width="17.5703125" bestFit="1" customWidth="1"/>
    <col min="27" max="28" width="18.28515625" bestFit="1" customWidth="1"/>
    <col min="29" max="29" width="22.7109375" bestFit="1" customWidth="1"/>
    <col min="30" max="30" width="24.28515625" bestFit="1" customWidth="1"/>
    <col min="31" max="32" width="25" bestFit="1" customWidth="1"/>
    <col min="33" max="33" width="16" bestFit="1" customWidth="1"/>
    <col min="34" max="34" width="17.7109375" bestFit="1" customWidth="1"/>
    <col min="35" max="36" width="18.42578125" bestFit="1" customWidth="1"/>
    <col min="37" max="37" width="7.42578125" bestFit="1" customWidth="1"/>
    <col min="38" max="38" width="9" bestFit="1" customWidth="1"/>
    <col min="39" max="40" width="9.7109375" bestFit="1" customWidth="1"/>
    <col min="41" max="41" width="11.140625" bestFit="1" customWidth="1"/>
    <col min="42" max="42" width="20" bestFit="1" customWidth="1"/>
    <col min="43" max="44" width="18.7109375" bestFit="1" customWidth="1"/>
    <col min="45" max="45" width="17" bestFit="1" customWidth="1"/>
    <col min="46" max="48" width="18.7109375" bestFit="1" customWidth="1"/>
    <col min="49" max="49" width="17" bestFit="1" customWidth="1"/>
    <col min="50" max="50" width="18.7109375" bestFit="1" customWidth="1"/>
    <col min="51" max="52" width="24.140625" bestFit="1" customWidth="1"/>
    <col min="53" max="53" width="22.5703125" bestFit="1" customWidth="1"/>
    <col min="54" max="54" width="24.140625" bestFit="1" customWidth="1"/>
    <col min="55" max="56" width="25.7109375" bestFit="1" customWidth="1"/>
    <col min="57" max="57" width="18.42578125" bestFit="1" customWidth="1"/>
    <col min="58" max="58" width="20" bestFit="1" customWidth="1"/>
    <col min="59" max="60" width="19" bestFit="1" customWidth="1"/>
    <col min="61" max="61" width="11.7109375" bestFit="1" customWidth="1"/>
    <col min="62" max="62" width="13.42578125" bestFit="1" customWidth="1"/>
    <col min="63" max="64" width="15.85546875" bestFit="1" customWidth="1"/>
    <col min="65" max="65" width="8.7109375" bestFit="1" customWidth="1"/>
    <col min="66" max="66" width="10.28515625" bestFit="1" customWidth="1"/>
    <col min="67" max="67" width="22.42578125" bestFit="1" customWidth="1"/>
    <col min="68" max="68" width="20.7109375" bestFit="1" customWidth="1"/>
    <col min="69" max="69" width="23.28515625" bestFit="1" customWidth="1"/>
    <col min="70" max="70" width="15.140625" bestFit="1" customWidth="1"/>
    <col min="71" max="71" width="23" bestFit="1" customWidth="1"/>
    <col min="72" max="72" width="25.140625" bestFit="1" customWidth="1"/>
    <col min="73" max="73" width="23.7109375" bestFit="1" customWidth="1"/>
    <col min="74" max="74" width="14.85546875" bestFit="1" customWidth="1"/>
    <col min="75" max="75" width="15" bestFit="1" customWidth="1"/>
    <col min="76" max="76" width="15.5703125" bestFit="1" customWidth="1"/>
    <col min="77" max="77" width="13.140625" bestFit="1" customWidth="1"/>
    <col min="78" max="78" width="11.42578125" bestFit="1" customWidth="1"/>
    <col min="79" max="79" width="20" bestFit="1" customWidth="1"/>
    <col min="80" max="80" width="18.28515625" bestFit="1" customWidth="1"/>
    <col min="81" max="81" width="22.5703125" bestFit="1" customWidth="1"/>
    <col min="82" max="82" width="21.7109375" bestFit="1" customWidth="1"/>
    <col min="83" max="83" width="16.42578125" bestFit="1" customWidth="1"/>
    <col min="84" max="84" width="17" bestFit="1" customWidth="1"/>
    <col min="85" max="85" width="8.7109375" bestFit="1" customWidth="1"/>
    <col min="86" max="86" width="14.140625" bestFit="1" customWidth="1"/>
  </cols>
  <sheetData>
    <row r="1" spans="1:168" s="3" customFormat="1" x14ac:dyDescent="0.2">
      <c r="A1" s="40" t="s">
        <v>214</v>
      </c>
      <c r="B1" s="40" t="s">
        <v>257</v>
      </c>
      <c r="C1" s="32" t="s">
        <v>258</v>
      </c>
      <c r="D1" s="32" t="s">
        <v>266</v>
      </c>
      <c r="E1" s="33" t="s">
        <v>256</v>
      </c>
      <c r="F1" s="32" t="s">
        <v>259</v>
      </c>
      <c r="G1" s="32" t="s">
        <v>260</v>
      </c>
      <c r="H1" s="32" t="s">
        <v>514</v>
      </c>
      <c r="I1" s="32" t="s">
        <v>515</v>
      </c>
      <c r="J1" s="32" t="s">
        <v>261</v>
      </c>
      <c r="K1" s="32" t="s">
        <v>262</v>
      </c>
      <c r="L1" s="32" t="s">
        <v>263</v>
      </c>
      <c r="M1" s="32" t="s">
        <v>51</v>
      </c>
      <c r="N1" s="32" t="s">
        <v>264</v>
      </c>
      <c r="O1" s="32" t="s">
        <v>265</v>
      </c>
      <c r="P1" s="32" t="s">
        <v>275</v>
      </c>
      <c r="Q1" s="34" t="s">
        <v>516</v>
      </c>
      <c r="R1" s="34" t="s">
        <v>517</v>
      </c>
      <c r="S1" s="34" t="s">
        <v>518</v>
      </c>
      <c r="T1" s="34" t="s">
        <v>519</v>
      </c>
      <c r="U1" s="34" t="s">
        <v>520</v>
      </c>
      <c r="V1" s="34" t="s">
        <v>521</v>
      </c>
      <c r="W1" s="34" t="s">
        <v>522</v>
      </c>
      <c r="X1" s="34" t="s">
        <v>523</v>
      </c>
      <c r="Y1" s="32" t="s">
        <v>524</v>
      </c>
      <c r="Z1" s="32" t="s">
        <v>525</v>
      </c>
      <c r="AA1" s="32" t="s">
        <v>526</v>
      </c>
      <c r="AB1" s="32" t="s">
        <v>527</v>
      </c>
      <c r="AC1" s="32" t="s">
        <v>528</v>
      </c>
      <c r="AD1" s="32" t="s">
        <v>529</v>
      </c>
      <c r="AE1" s="32" t="s">
        <v>530</v>
      </c>
      <c r="AF1" s="32" t="s">
        <v>531</v>
      </c>
      <c r="AG1" s="32" t="s">
        <v>532</v>
      </c>
      <c r="AH1" s="32" t="s">
        <v>533</v>
      </c>
      <c r="AI1" s="32" t="s">
        <v>534</v>
      </c>
      <c r="AJ1" s="32" t="s">
        <v>535</v>
      </c>
      <c r="AK1" s="32" t="s">
        <v>536</v>
      </c>
      <c r="AL1" s="32" t="s">
        <v>537</v>
      </c>
      <c r="AM1" s="32" t="s">
        <v>538</v>
      </c>
      <c r="AN1" s="32" t="s">
        <v>539</v>
      </c>
      <c r="AO1" s="35" t="s">
        <v>540</v>
      </c>
      <c r="AP1" s="31" t="s">
        <v>541</v>
      </c>
      <c r="AQ1" s="34" t="s">
        <v>542</v>
      </c>
      <c r="AR1" s="34" t="s">
        <v>543</v>
      </c>
      <c r="AS1" s="34" t="s">
        <v>544</v>
      </c>
      <c r="AT1" s="34" t="s">
        <v>545</v>
      </c>
      <c r="AU1" s="32" t="s">
        <v>542</v>
      </c>
      <c r="AV1" s="32" t="s">
        <v>543</v>
      </c>
      <c r="AW1" s="32" t="s">
        <v>544</v>
      </c>
      <c r="AX1" s="32" t="s">
        <v>545</v>
      </c>
      <c r="AY1" s="32" t="s">
        <v>546</v>
      </c>
      <c r="AZ1" s="32" t="s">
        <v>547</v>
      </c>
      <c r="BA1" s="32" t="s">
        <v>548</v>
      </c>
      <c r="BB1" s="32" t="s">
        <v>549</v>
      </c>
      <c r="BC1" s="32" t="s">
        <v>550</v>
      </c>
      <c r="BD1" s="32" t="s">
        <v>551</v>
      </c>
      <c r="BE1" s="32" t="s">
        <v>516</v>
      </c>
      <c r="BF1" s="32" t="s">
        <v>517</v>
      </c>
      <c r="BG1" s="32" t="s">
        <v>552</v>
      </c>
      <c r="BH1" s="32" t="s">
        <v>553</v>
      </c>
      <c r="BI1" s="32" t="s">
        <v>520</v>
      </c>
      <c r="BJ1" s="32" t="s">
        <v>521</v>
      </c>
      <c r="BK1" s="32" t="s">
        <v>554</v>
      </c>
      <c r="BL1" s="32" t="s">
        <v>555</v>
      </c>
      <c r="BM1" s="32" t="s">
        <v>556</v>
      </c>
      <c r="BN1" s="32" t="s">
        <v>557</v>
      </c>
      <c r="BO1" s="32" t="s">
        <v>558</v>
      </c>
      <c r="BP1" s="32" t="s">
        <v>559</v>
      </c>
      <c r="BQ1" s="32" t="s">
        <v>560</v>
      </c>
      <c r="BR1" s="32" t="s">
        <v>561</v>
      </c>
      <c r="BS1" s="32" t="s">
        <v>562</v>
      </c>
      <c r="BT1" s="32" t="s">
        <v>563</v>
      </c>
      <c r="BU1" s="32" t="s">
        <v>564</v>
      </c>
      <c r="BV1" s="32" t="s">
        <v>565</v>
      </c>
      <c r="BW1" s="32" t="s">
        <v>566</v>
      </c>
      <c r="BX1" s="32" t="s">
        <v>567</v>
      </c>
      <c r="BY1" s="32" t="s">
        <v>238</v>
      </c>
      <c r="BZ1" s="32" t="s">
        <v>239</v>
      </c>
      <c r="CA1" s="32" t="s">
        <v>568</v>
      </c>
      <c r="CB1" s="32" t="s">
        <v>569</v>
      </c>
      <c r="CC1" s="32" t="s">
        <v>570</v>
      </c>
      <c r="CD1" s="32" t="s">
        <v>571</v>
      </c>
      <c r="CE1" s="32" t="s">
        <v>572</v>
      </c>
      <c r="CF1" s="32" t="s">
        <v>573</v>
      </c>
      <c r="CG1" s="32" t="s">
        <v>574</v>
      </c>
      <c r="CH1" s="32" t="s">
        <v>575</v>
      </c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</row>
    <row r="2" spans="1:168" s="14" customFormat="1" x14ac:dyDescent="0.2">
      <c r="A2" s="36" t="str">
        <f>_xll.ciqfunctions.udf.CIQ($A$10,"IQ_QUICK_COMP",1)</f>
        <v>NYSE:CACI</v>
      </c>
      <c r="B2" s="36" t="str">
        <f>_xll.ciqfunctions.udf.CIQ($A2, "IQ_COMPANY_NAME")</f>
        <v>CACI International Inc</v>
      </c>
      <c r="C2" s="13">
        <f>_xll.ciqfunctions.udf.CIQ($A2,"IQ_PERIODDATE",IQ_FY,DateToday)</f>
        <v>45838</v>
      </c>
      <c r="D2" s="13">
        <f>_xll.ciqfunctions.udf.CIQ($A2,"IQ_PERIODDATE",IQ_LTM,DateToday)</f>
        <v>46112</v>
      </c>
      <c r="E2" s="11">
        <f>_xll.ciqfunctions.udf.CIQ($A2, "IQ_LASTSALEPRICE",DateToday,Ccy,Conv)</f>
        <v>519.4</v>
      </c>
      <c r="F2" s="11">
        <f>_xll.ciqfunctions.udf.CIQ($A2, "IQ_YEARHIGH",DateToday,Ccy,Conv)</f>
        <v>683.5</v>
      </c>
      <c r="G2" s="11">
        <f>_xll.ciqfunctions.udf.CIQ($A2, "IQ_YEARLOW",DateToday,Ccy,Conv)</f>
        <v>439.67</v>
      </c>
      <c r="H2" s="37">
        <f t="shared" ref="H2:H10" si="0">IF(ISERROR(E2/F2), "NA", E2/F2)</f>
        <v>0.75991221653255303</v>
      </c>
      <c r="I2" s="37">
        <f t="shared" ref="I2:I10" si="1">IF(ISERROR(E2/G2), "NA", E2/G2)</f>
        <v>1.1813405508676962</v>
      </c>
      <c r="J2" s="4">
        <f>_xll.ciqfunctions.udf.CIQ($A2, "IQ_SHARESOUTSTANDING",DateToday)</f>
        <v>22.09131</v>
      </c>
      <c r="K2" s="22">
        <f t="shared" ref="K2:K10" si="2">IF(ISERROR(J2*E2), "NA", J2*E2)</f>
        <v>11474.226413999999</v>
      </c>
      <c r="L2" s="4">
        <f>_xll.ciqfunctions.udf.CIQ($A2, "IQ_CASH_ST_INVEST",IQ_FQ,DateToday,,"F",Ccy,Conv)</f>
        <v>159.64400000000001</v>
      </c>
      <c r="M2" s="4">
        <f>_xll.ciqfunctions.udf.CIQ($A2, "IQ_TOTAL_DEBT",IQ_FQ,DateToday,,"F",Ccy,Conv)</f>
        <v>5616.3149999999996</v>
      </c>
      <c r="N2" s="4">
        <f>_xll.ciqfunctions.udf.CIQ($A2, "IQ_PREF_EQUITY",IQ_FQ,DateToday,,"F",Ccy,Conv)</f>
        <v>0</v>
      </c>
      <c r="O2" s="4">
        <f>_xll.ciqfunctions.udf.CIQ($A2, "IQ_MINORITY_INTEREST_TOTAL",IQ_FQ,DateToday,,"F",Ccy,Conv)</f>
        <v>0</v>
      </c>
      <c r="P2" s="22">
        <f>IF(ISERROR(K2-L2+M2+N2+O2), "NA", K2-L2+M2+N2+O2)</f>
        <v>16930.897413999999</v>
      </c>
      <c r="Q2" s="4">
        <f>_xll.ciqfunctions.udf.CIQ($A2, "IQ_TOTAL_REV", IQ_FY,DateToday,,,Ccy,Conv)</f>
        <v>8627.8240000000005</v>
      </c>
      <c r="R2" s="4">
        <f>_xll.ciqfunctions.udf.CIQ($A2, "IQ_TOTAL_REV", IQ_LTM,DateToday,,,Ccy,Conv)</f>
        <v>9162.866</v>
      </c>
      <c r="S2" s="4">
        <f>_xll.ciqfunctions.udf.CIQ($A2, "IQ_REVENUE_EST", IQ_CY+ 1,DateToday,,,Ccy,Conv)</f>
        <v>10215.3909</v>
      </c>
      <c r="T2" s="4">
        <f>_xll.ciqfunctions.udf.CIQ($A2, "IQ_REVENUE_EST", IQ_CY+ 2,DateToday,,,Ccy,Conv)</f>
        <v>11282.628000000001</v>
      </c>
      <c r="U2" s="4">
        <f>_xll.ciqfunctions.udf.CIQ($A2, "IQ_EBITDA", IQ_FY,DateToday,,,Ccy,Conv)</f>
        <v>973.41</v>
      </c>
      <c r="V2" s="4">
        <f>_xll.ciqfunctions.udf.CIQ($A2, "IQ_EBITDA", IQ_LTM,DateToday,,,Ccy,Conv)</f>
        <v>1105.963</v>
      </c>
      <c r="W2" s="4">
        <f>_xll.ciqfunctions.udf.CIQ($A2, "IQ_EBITDA_EST", IQ_CY+ 1,DateToday,,,Ccy,Conv)</f>
        <v>1250.7797</v>
      </c>
      <c r="X2" s="4">
        <f>_xll.ciqfunctions.udf.CIQ($A2, "IQ_EBITDA_EST", IQ_CY+ 2,DateToday,,,Ccy,Conv)</f>
        <v>1422.5008</v>
      </c>
      <c r="Y2" s="11">
        <f>_xll.ciqfunctions.udf.CIQ($A2, "IQ_DILUT_EPS_EXCL", IQ_FY,DateToday,,,Ccy,Conv)</f>
        <v>22.32</v>
      </c>
      <c r="Z2" s="11">
        <f>_xll.ciqfunctions.udf.CIQ($A2, "IQ_DILUT_EPS_EXCL", IQ_LTM,DateToday,,,Ccy,Conv)</f>
        <v>24.243469999999999</v>
      </c>
      <c r="AA2" s="11">
        <f>_xll.ciqfunctions.udf.CIQ($A2, "IQ_EPS_EST", IQ_CY+ 1,DateToday,,,Ccy,Conv)</f>
        <v>29.029199999999999</v>
      </c>
      <c r="AB2" s="11">
        <f>_xll.ciqfunctions.udf.CIQ($A2, "IQ_EPS_EST", IQ_CY+ 2,DateToday,,,Ccy,Conv)</f>
        <v>34.683300000000003</v>
      </c>
      <c r="AC2" s="20">
        <f>_xll.ciqfunctions.udf.CIQ($A2, "IQ_TEV_TOTAL_REV",IQ_LTM,$C2)</f>
        <v>1.6434599999999999</v>
      </c>
      <c r="AD2" s="20">
        <f>_xll.ciqfunctions.udf.CIQ($A2, "IQ_TEV_TOTAL_REV",IQ_LTM,DateToday)</f>
        <v>1.8477699999999999</v>
      </c>
      <c r="AE2" s="38">
        <f t="shared" ref="AE2:AE10" si="3">IF(ISERROR($P2/S2), "NA", $P2/S2)</f>
        <v>1.6573910464845745</v>
      </c>
      <c r="AF2" s="38">
        <f t="shared" ref="AF2:AF10" si="4">IF(ISERROR($P2/T2), "NA", $P2/T2)</f>
        <v>1.5006164710916639</v>
      </c>
      <c r="AG2" s="20">
        <f>_xll.ciqfunctions.udf.CIQ($A2, "IQ_TEV_EBITDA",IQ_LTM,$C2)</f>
        <v>13.03302</v>
      </c>
      <c r="AH2" s="20">
        <f>_xll.ciqfunctions.udf.CIQ($A2, "IQ_TEV_EBITDA",IQ_LTM,DateToday)</f>
        <v>14.059279999999999</v>
      </c>
      <c r="AI2" s="20">
        <f>_xll.ciqfunctions.udf.CIQ($A2, "IQ_TEV_EBITDA_FWD",IQ_CY+1,DateToday)</f>
        <v>13.53627</v>
      </c>
      <c r="AJ2" s="20">
        <f>_xll.ciqfunctions.udf.CIQ($A2, "IQ_TEV_EBITDA_FWD",IQ_CY+2,DateToday)</f>
        <v>11.902200000000001</v>
      </c>
      <c r="AK2" s="20">
        <f>_xll.ciqfunctions.udf.CIQ($A2, "IQ_PE_EXCL",IQ_LTM,$C2)</f>
        <v>22.501200000000001</v>
      </c>
      <c r="AL2" s="20">
        <f>_xll.ciqfunctions.udf.CIQ($A2, "IQ_PE_EXCL",IQ_LTM,DateToday)</f>
        <v>21.424330000000001</v>
      </c>
      <c r="AM2" s="20">
        <f>_xll.ciqfunctions.udf.CIQ($A2, "IQ_PE_EXCL_FWD",IQ_CY+1,DateToday)</f>
        <v>17.892330000000001</v>
      </c>
      <c r="AN2" s="20">
        <f>_xll.ciqfunctions.udf.CIQ($A2, "IQ_PE_EXCL_FWD",IQ_CY+2,DateToday)</f>
        <v>14.97551</v>
      </c>
      <c r="AO2" s="20">
        <f>_xll.ciqfunctions.udf.CIQ($A2, "IQ_PBV",IQ_LTM,DateToday,)</f>
        <v>2.68079</v>
      </c>
      <c r="AP2" s="20" t="str">
        <f>_xll.ciqfunctions.udf.CIQ($A2, "IQ_PTBV",IQ_LTM,DateToday,)</f>
        <v>NM</v>
      </c>
      <c r="AQ2" s="4">
        <f>_xll.ciqfunctions.udf.CIQ($A2, "IQ_GROSS_MARGIN", IQ_FY- 2,DateToday)</f>
        <v>34.312600000000003</v>
      </c>
      <c r="AR2" s="4">
        <f>_xll.ciqfunctions.udf.CIQ($A2, "IQ_GROSS_MARGIN", IQ_FY- 1,DateToday,)</f>
        <v>32.798200000000001</v>
      </c>
      <c r="AS2" s="4">
        <f>_xll.ciqfunctions.udf.CIQ($A2, "IQ_GROSS_MARGIN", IQ_FY,DateToday,)</f>
        <v>32.363500000000002</v>
      </c>
      <c r="AT2" s="4">
        <f>_xll.ciqfunctions.udf.CIQ($A2, "IQ_GROSS_MARGIN", IQ_LTM,DateToday,)</f>
        <v>32.558700000000002</v>
      </c>
      <c r="AU2" s="4">
        <f>_xll.ciqfunctions.udf.CIQ($A2, "IQ_EBITDA_MARGIN", IQ_FY- 2,DateToday,)</f>
        <v>10.579000000000001</v>
      </c>
      <c r="AV2" s="4">
        <f>_xll.ciqfunctions.udf.CIQ($A2, "IQ_EBITDA_MARGIN", IQ_FY- 1,DateToday,)</f>
        <v>10.3377</v>
      </c>
      <c r="AW2" s="4">
        <f>_xll.ciqfunctions.udf.CIQ($A2, "IQ_EBITDA_MARGIN", IQ_FY,DateToday,)</f>
        <v>11.2822</v>
      </c>
      <c r="AX2" s="4">
        <f>_xll.ciqfunctions.udf.CIQ($A2, "IQ_EBITDA_MARGIN", IQ_LTM,DateToday,)</f>
        <v>12.07</v>
      </c>
      <c r="AY2" s="4">
        <f>_xll.ciqfunctions.udf.CIQ($A2, "IQ_NI_MARGIN", IQ_FY- 2,DateToday,)</f>
        <v>5.7401</v>
      </c>
      <c r="AZ2" s="4">
        <f>_xll.ciqfunctions.udf.CIQ($A2, "IQ_NI_MARGIN", IQ_FY- 1,DateToday,)</f>
        <v>5.4821</v>
      </c>
      <c r="BA2" s="4">
        <f>_xll.ciqfunctions.udf.CIQ($A2, "IQ_NI_MARGIN", IQ_FY,DateToday,)</f>
        <v>5.7931999999999997</v>
      </c>
      <c r="BB2" s="4">
        <f>_xll.ciqfunctions.udf.CIQ($A2, "IQ_NI_MARGIN", IQ_LTM,DateToday,)</f>
        <v>5.8596000000000004</v>
      </c>
      <c r="BC2" s="4">
        <f>_xll.ciqfunctions.udf.CIQ($A2, "IQ_TOTAL_REV_5YR_ANN_CAGR",IQ_LTM,DateToday,)</f>
        <v>8.9252000000000002</v>
      </c>
      <c r="BD2" s="4">
        <f>_xll.ciqfunctions.udf.CIQ($A2, "IQ_TOTAL_REV_3YR_ANN_CAGR",IQ_LTM,DateToday,)</f>
        <v>11.322699999999999</v>
      </c>
      <c r="BE2" s="4">
        <f>_xll.ciqfunctions.udf.CIQ($A2, "IQ_TOTAL_REV_1YR_ANN_GROWTH", IQ_FY,DateToday,)</f>
        <v>12.6372</v>
      </c>
      <c r="BF2" s="4">
        <f>_xll.ciqfunctions.udf.CIQ($A2, "IQ_TOTAL_REV_1YR_ANN_GROWTH",IQ_LTM,DateToday,)</f>
        <v>9.5777000000000001</v>
      </c>
      <c r="BG2" s="4">
        <f>_xll.ciqfunctions.udf.CIQ($A2, "IQ_EBITDA_5YR_ANN_CAGR",IQ_LTM,DateToday,)</f>
        <v>10.1038</v>
      </c>
      <c r="BH2" s="4">
        <f>_xll.ciqfunctions.udf.CIQ($A2, "IQ_EBITDA_3YR_ANN_CAGR",IQ_LTM,DateToday,)</f>
        <v>17.601299999999998</v>
      </c>
      <c r="BI2" s="4">
        <f>_xll.ciqfunctions.udf.CIQ($A2, "IQ_EBITDA_1YR_ANN_GROWTH", IQ_FY,DateToday,)</f>
        <v>22.928100000000001</v>
      </c>
      <c r="BJ2" s="4">
        <f>_xll.ciqfunctions.udf.CIQ($A2, "IQ_EBITDA_1YR_ANN_GROWTH",IQ_LTM,DateToday,)</f>
        <v>17.7957</v>
      </c>
      <c r="BK2" s="4">
        <f>_xll.ciqfunctions.udf.CIQ($A2, "IQ_EPS_5YR_ANN_CAGR",IQ_LTM,DateToday,)</f>
        <v>8.2280999999999995</v>
      </c>
      <c r="BL2" s="4">
        <f>_xll.ciqfunctions.udf.CIQ($A2, "IQ_EPS_3YR_ANN_CAGR",IQ_LTM,DateToday,)</f>
        <v>15.6084</v>
      </c>
      <c r="BM2" s="4">
        <f>_xll.ciqfunctions.udf.CIQ($A2, "IQ_EPS_1YR_ANN_GROWTH", IQ_FY,DateToday,)</f>
        <v>20</v>
      </c>
      <c r="BN2" s="4">
        <f>_xll.ciqfunctions.udf.CIQ($A2, "IQ_EPS_1YR_ANN_GROWTH", IQ_LTM,DateToday,)</f>
        <v>14.433999999999999</v>
      </c>
      <c r="BO2" s="20">
        <f>_xll.ciqfunctions.udf.CIQ($A2, "IQ_TOTAL_DEBT_EBITDA",IQ_LTM,DateToday,)</f>
        <v>4.6637399999999998</v>
      </c>
      <c r="BP2" s="20">
        <f>_xll.ciqfunctions.udf.CIQ($A2, "IQ_NET_DEBT_EBITDA",IQ_LTM,DateToday,)</f>
        <v>4.53118</v>
      </c>
      <c r="BQ2" s="38">
        <f t="shared" ref="BQ2:BQ10" si="5">IF(ISERROR((M2+N2)/V2), "NA", (M2+N2)/V2)</f>
        <v>5.0782123814268649</v>
      </c>
      <c r="BR2" s="20">
        <f>_xll.ciqfunctions.udf.CIQ($A2, "IQ_EBITDA_INT",IQ_LTM,DateToday,)</f>
        <v>6.3689600000000004</v>
      </c>
      <c r="BS2" s="20">
        <f>_xll.ciqfunctions.udf.CIQ($A2, "IQ_EBITDA_CAPEX_INT",IQ_LTM,DateToday,)</f>
        <v>5.9044100000000004</v>
      </c>
      <c r="BT2" s="4">
        <f>_xll.ciqfunctions.udf.CIQ($A2, "IQ_TOTAL_DEBT_EQUITY",IQ_FQ,DateToday,)</f>
        <v>131.21889999999999</v>
      </c>
      <c r="BU2" s="4">
        <f>_xll.ciqfunctions.udf.CIQ($A2, "IQ_TOTAL_DEBT_CAPITAL",IQ_FQ,DateToday,)</f>
        <v>56.750900000000001</v>
      </c>
      <c r="BV2" s="4">
        <f>_xll.ciqfunctions.udf.CIQ($A2, "IQ_RETURN_EQUITY",IQ_LTM,DateToday)</f>
        <v>13.448700000000001</v>
      </c>
      <c r="BW2" s="4">
        <f>_xll.ciqfunctions.udf.CIQ($A2, "IQ_RETURN_ASSETS",IQ_LTM,DateToday)</f>
        <v>5.4687000000000001</v>
      </c>
      <c r="BX2" s="4">
        <f>_xll.ciqfunctions.udf.CIQ($A2, "IQ_RETURN_INVESTED_CAPITAL",IQ_LTM,DateToday)</f>
        <v>6.2850999999999999</v>
      </c>
      <c r="BY2" s="20">
        <f>_xll.ciqfunctions.udf.CIQ($A2, "IQ_CURRENT_RATIO",IQ_FQ,DateToday,)</f>
        <v>1.61263</v>
      </c>
      <c r="BZ2" s="20">
        <f>_xll.ciqfunctions.udf.CIQ($A2, "IQ_QUICK_RATIO",IQ_FQ,DateToday,)</f>
        <v>1.31551</v>
      </c>
      <c r="CA2" s="4">
        <f>_xll.ciqfunctions.udf.CIQ($A2, "IQ_DAYS_SALES_OUT",IQ_LTM,DateToday,)</f>
        <v>54.554729999999999</v>
      </c>
      <c r="CB2" s="4">
        <f>_xll.ciqfunctions.udf.CIQ($A2, "IQ_DAYS_INVENTORY_OUT",IQ_LTM,DateToday,)</f>
        <v>9.3834199999999992</v>
      </c>
      <c r="CC2" s="4">
        <f>_xll.ciqfunctions.udf.CIQ($A2, "IQ_DAYS_PAYABLE_OUT",IQ_LTM,DateToday,)</f>
        <v>19.475670000000001</v>
      </c>
      <c r="CD2" s="4">
        <f>_xll.ciqfunctions.udf.CIQ($A2, "IQ_CASH_CONVERSION",IQ_LTM,DateToday,)</f>
        <v>44.462479999999999</v>
      </c>
      <c r="CE2" s="20">
        <f>_xll.ciqfunctions.udf.CIQ($A2, "IQ_ASSET_TURNS",IQ_LTM,DateToday,)</f>
        <v>0.90798000000000001</v>
      </c>
      <c r="CF2" s="20">
        <f>_xll.ciqfunctions.udf.CIQ($A2, "IQ_FIXED_ASSET_TURNS",IQ_LTM,DateToday,)</f>
        <v>14.409509999999999</v>
      </c>
      <c r="CG2" s="20">
        <f>_xll.ciqfunctions.udf.CIQ($A2, "IQ_AR_TURNS",IQ_LTM,DateToday,)</f>
        <v>6.6904899999999996</v>
      </c>
      <c r="CH2" s="20">
        <f>_xll.ciqfunctions.udf.CIQ($A2, "IQ_INVENTORY_TURNS",IQ_LTM,DateToday,)</f>
        <v>38.897500000000001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</row>
    <row r="3" spans="1:168" s="1" customFormat="1" x14ac:dyDescent="0.2">
      <c r="A3" s="36" t="str">
        <f>_xll.ciqfunctions.udf.CIQ($A$10,"IQ_QUICK_COMP",2)</f>
        <v>NYSE:LDOS</v>
      </c>
      <c r="B3" s="36" t="str">
        <f>_xll.ciqfunctions.udf.CIQ($A3, "IQ_COMPANY_NAME")</f>
        <v>Leidos Holdings, Inc.</v>
      </c>
      <c r="C3" s="13">
        <f>_xll.ciqfunctions.udf.CIQ($A3,"IQ_PERIODDATE",IQ_FY,DateToday)</f>
        <v>46024</v>
      </c>
      <c r="D3" s="13">
        <f>_xll.ciqfunctions.udf.CIQ($A3,"IQ_PERIODDATE",IQ_LTM,DateToday)</f>
        <v>46115</v>
      </c>
      <c r="E3" s="11">
        <f>_xll.ciqfunctions.udf.CIQ($A3, "IQ_LASTSALEPRICE",DateToday,Ccy,Conv)</f>
        <v>122.16</v>
      </c>
      <c r="F3" s="11">
        <f>_xll.ciqfunctions.udf.CIQ($A3, "IQ_YEARHIGH",DateToday,Ccy,Conv)</f>
        <v>205.77</v>
      </c>
      <c r="G3" s="11">
        <f>_xll.ciqfunctions.udf.CIQ($A3, "IQ_YEARLOW",DateToday,Ccy,Conv)</f>
        <v>121.2</v>
      </c>
      <c r="H3" s="37">
        <f t="shared" si="0"/>
        <v>0.59367254701851579</v>
      </c>
      <c r="I3" s="37">
        <f t="shared" si="1"/>
        <v>1.0079207920792079</v>
      </c>
      <c r="J3" s="4">
        <f>_xll.ciqfunctions.udf.CIQ($A3, "IQ_SHARESOUTSTANDING",DateToday)</f>
        <v>125.78547</v>
      </c>
      <c r="K3" s="22">
        <f t="shared" si="2"/>
        <v>15365.953015200001</v>
      </c>
      <c r="L3" s="4">
        <f>_xll.ciqfunctions.udf.CIQ($A3, "IQ_CASH_ST_INVEST",IQ_FQ,DateToday,,"F",Ccy,Conv)</f>
        <v>457</v>
      </c>
      <c r="M3" s="4">
        <f>_xll.ciqfunctions.udf.CIQ($A3, "IQ_TOTAL_DEBT",IQ_FQ,DateToday,,"F",Ccy,Conv)</f>
        <v>6944</v>
      </c>
      <c r="N3" s="4">
        <f>_xll.ciqfunctions.udf.CIQ($A3, "IQ_PREF_EQUITY",IQ_FQ,DateToday,,"F",Ccy,Conv)</f>
        <v>0</v>
      </c>
      <c r="O3" s="4">
        <f>_xll.ciqfunctions.udf.CIQ($A3, "IQ_MINORITY_INTEREST_TOTAL",IQ_FQ,DateToday,,"F",Ccy,Conv)</f>
        <v>51</v>
      </c>
      <c r="P3" s="22">
        <f t="shared" ref="P3:P10" si="6">IF(ISERROR(K3-L3+M3+N3+O3), "NA",K3-L3+M3+N3+O3)</f>
        <v>21903.953015200001</v>
      </c>
      <c r="Q3" s="4">
        <f>_xll.ciqfunctions.udf.CIQ($A3, "IQ_TOTAL_REV", IQ_FY,DateToday,,,Ccy,Conv)</f>
        <v>17174</v>
      </c>
      <c r="R3" s="4">
        <f>_xll.ciqfunctions.udf.CIQ($A3, "IQ_TOTAL_REV", IQ_LTM,DateToday,,,Ccy,Conv)</f>
        <v>17329</v>
      </c>
      <c r="S3" s="4">
        <f>_xll.ciqfunctions.udf.CIQ($A3, "IQ_REVENUE_EST", IQ_CY+ 1,DateToday,,,Ccy,Conv)</f>
        <v>18230.82818</v>
      </c>
      <c r="T3" s="4">
        <f>_xll.ciqfunctions.udf.CIQ($A3, "IQ_REVENUE_EST", IQ_CY+ 2,DateToday,,,Ccy,Conv)</f>
        <v>19118.52175</v>
      </c>
      <c r="U3" s="4">
        <f>_xll.ciqfunctions.udf.CIQ($A3, "IQ_EBITDA", IQ_FY,DateToday,,,Ccy,Conv)</f>
        <v>2390</v>
      </c>
      <c r="V3" s="4">
        <f>_xll.ciqfunctions.udf.CIQ($A3, "IQ_EBITDA", IQ_LTM,DateToday,,,Ccy,Conv)</f>
        <v>2404</v>
      </c>
      <c r="W3" s="4">
        <f>_xll.ciqfunctions.udf.CIQ($A3, "IQ_EBITDA_EST", IQ_CY+ 1,DateToday,,,Ccy,Conv)</f>
        <v>2486.49791</v>
      </c>
      <c r="X3" s="4">
        <f>_xll.ciqfunctions.udf.CIQ($A3, "IQ_EBITDA_EST", IQ_CY+ 2,DateToday,,,Ccy,Conv)</f>
        <v>2601.3667399999999</v>
      </c>
      <c r="Y3" s="11">
        <f>_xll.ciqfunctions.udf.CIQ($A3, "IQ_DILUT_EPS_EXCL", IQ_FY,DateToday,,,Ccy,Conv)</f>
        <v>11.14</v>
      </c>
      <c r="Z3" s="11">
        <f>_xll.ciqfunctions.udf.CIQ($A3, "IQ_DILUT_EPS_EXCL", IQ_LTM,DateToday,,,Ccy,Conv)</f>
        <v>10.93238</v>
      </c>
      <c r="AA3" s="11">
        <f>_xll.ciqfunctions.udf.CIQ($A3, "IQ_EPS_EST", IQ_CY+ 1,DateToday,,,Ccy,Conv)</f>
        <v>12.331899999999999</v>
      </c>
      <c r="AB3" s="11">
        <f>_xll.ciqfunctions.udf.CIQ($A3, "IQ_EPS_EST", IQ_CY+ 2,DateToday,,,Ccy,Conv)</f>
        <v>13.15169</v>
      </c>
      <c r="AC3" s="20">
        <f>_xll.ciqfunctions.udf.CIQ($A3, "IQ_TEV_TOTAL_REV",IQ_LTM,#REF!)</f>
        <v>1.2640100000000001</v>
      </c>
      <c r="AD3" s="20">
        <f>_xll.ciqfunctions.udf.CIQ($A3, "IQ_TEV_TOTAL_REV",IQ_LTM,DateToday)</f>
        <v>1.2640100000000001</v>
      </c>
      <c r="AE3" s="38">
        <f t="shared" si="3"/>
        <v>1.2014787698580569</v>
      </c>
      <c r="AF3" s="38">
        <f t="shared" si="4"/>
        <v>1.1456928156697053</v>
      </c>
      <c r="AG3" s="20">
        <f>_xll.ciqfunctions.udf.CIQ($A3, "IQ_TEV_EBITDA",IQ_LTM,#REF!)</f>
        <v>8.3850899999999999</v>
      </c>
      <c r="AH3" s="20">
        <f>_xll.ciqfunctions.udf.CIQ($A3, "IQ_TEV_EBITDA",IQ_LTM,DateToday)</f>
        <v>8.3850899999999999</v>
      </c>
      <c r="AI3" s="20">
        <f>_xll.ciqfunctions.udf.CIQ($A3, "IQ_TEV_EBITDA_FWD",IQ_CY+1,DateToday)</f>
        <v>8.8091600000000003</v>
      </c>
      <c r="AJ3" s="20">
        <f>_xll.ciqfunctions.udf.CIQ($A3, "IQ_TEV_EBITDA_FWD",IQ_CY+2,DateToday)</f>
        <v>8.4201700000000006</v>
      </c>
      <c r="AK3" s="20">
        <f>_xll.ciqfunctions.udf.CIQ($A3, "IQ_PE_EXCL",IQ_LTM,#REF!)</f>
        <v>11.174149999999999</v>
      </c>
      <c r="AL3" s="20">
        <f>_xll.ciqfunctions.udf.CIQ($A3, "IQ_PE_EXCL",IQ_LTM,DateToday)</f>
        <v>11.174149999999999</v>
      </c>
      <c r="AM3" s="20">
        <f>_xll.ciqfunctions.udf.CIQ($A3, "IQ_PE_EXCL_FWD",IQ_CY+1,DateToday)</f>
        <v>9.9060199999999998</v>
      </c>
      <c r="AN3" s="20">
        <f>_xll.ciqfunctions.udf.CIQ($A3, "IQ_PE_EXCL_FWD",IQ_CY+2,DateToday)</f>
        <v>9.2885399999999994</v>
      </c>
      <c r="AO3" s="20">
        <f>_xll.ciqfunctions.udf.CIQ($A3, "IQ_PBV",IQ_LTM,DateToday,)</f>
        <v>3.0651700000000002</v>
      </c>
      <c r="AP3" s="20" t="str">
        <f>_xll.ciqfunctions.udf.CIQ($A3, "IQ_PTBV",IQ_LTM,DateToday,)</f>
        <v>NM</v>
      </c>
      <c r="AQ3" s="4">
        <f>_xll.ciqfunctions.udf.CIQ($A3, "IQ_GROSS_MARGIN", IQ_FY- 2,DateToday,)</f>
        <v>14.535500000000001</v>
      </c>
      <c r="AR3" s="4">
        <f>_xll.ciqfunctions.udf.CIQ($A3, "IQ_GROSS_MARGIN", IQ_FY- 1,DateToday,)</f>
        <v>16.7927</v>
      </c>
      <c r="AS3" s="4">
        <f>_xll.ciqfunctions.udf.CIQ($A3, "IQ_GROSS_MARGIN", IQ_FY,DateToday,)</f>
        <v>18.044699999999999</v>
      </c>
      <c r="AT3" s="4">
        <f>_xll.ciqfunctions.udf.CIQ($A3, "IQ_GROSS_MARGIN", IQ_LTM,DateToday,)</f>
        <v>17.906300000000002</v>
      </c>
      <c r="AU3" s="4">
        <f>_xll.ciqfunctions.udf.CIQ($A3, "IQ_EBITDA_MARGIN", IQ_FY- 2,DateToday,)</f>
        <v>10.5777</v>
      </c>
      <c r="AV3" s="4">
        <f>_xll.ciqfunctions.udf.CIQ($A3, "IQ_EBITDA_MARGIN", IQ_FY- 1,DateToday,)</f>
        <v>12.6335</v>
      </c>
      <c r="AW3" s="4">
        <f>_xll.ciqfunctions.udf.CIQ($A3, "IQ_EBITDA_MARGIN", IQ_FY,DateToday,)</f>
        <v>13.9163</v>
      </c>
      <c r="AX3" s="4">
        <f>_xll.ciqfunctions.udf.CIQ($A3, "IQ_EBITDA_MARGIN", IQ_LTM,DateToday,)</f>
        <v>13.8726</v>
      </c>
      <c r="AY3" s="4">
        <f>_xll.ciqfunctions.udf.CIQ($A3, "IQ_NI_MARGIN", IQ_FY- 2,DateToday,)</f>
        <v>1.2889999999999999</v>
      </c>
      <c r="AZ3" s="4">
        <f>_xll.ciqfunctions.udf.CIQ($A3, "IQ_NI_MARGIN", IQ_FY- 1,DateToday,)</f>
        <v>7.5260999999999996</v>
      </c>
      <c r="BA3" s="4">
        <f>_xll.ciqfunctions.udf.CIQ($A3, "IQ_NI_MARGIN", IQ_FY,DateToday,)</f>
        <v>8.4313000000000002</v>
      </c>
      <c r="BB3" s="4">
        <f>_xll.ciqfunctions.udf.CIQ($A3, "IQ_NI_MARGIN", IQ_LTM,DateToday,)</f>
        <v>8.1539000000000001</v>
      </c>
      <c r="BC3" s="4">
        <f>_xll.ciqfunctions.udf.CIQ($A3, "IQ_TOTAL_REV_5YR_ANN_CAGR",IQ_LTM,DateToday,)</f>
        <v>6.3742999999999999</v>
      </c>
      <c r="BD3" s="4">
        <f>_xll.ciqfunctions.udf.CIQ($A3, "IQ_TOTAL_REV_3YR_ANN_CAGR",IQ_LTM,DateToday,)</f>
        <v>5.8757999999999999</v>
      </c>
      <c r="BE3" s="4">
        <f>_xll.ciqfunctions.udf.CIQ($A3, "IQ_TOTAL_REV_1YR_ANN_GROWTH", IQ_FY,DateToday,)</f>
        <v>3.0728</v>
      </c>
      <c r="BF3" s="4">
        <f>_xll.ciqfunctions.udf.CIQ($A3, "IQ_TOTAL_REV_1YR_ANN_GROWTH",IQ_LTM,DateToday,)</f>
        <v>2.3445999999999998</v>
      </c>
      <c r="BG3" s="4">
        <f>_xll.ciqfunctions.udf.CIQ($A3, "IQ_EBITDA_5YR_ANN_CAGR",IQ_LTM,DateToday,)</f>
        <v>10.747400000000001</v>
      </c>
      <c r="BH3" s="4">
        <f>_xll.ciqfunctions.udf.CIQ($A3, "IQ_EBITDA_3YR_ANN_CAGR",IQ_LTM,DateToday,)</f>
        <v>18.3828</v>
      </c>
      <c r="BI3" s="4">
        <f>_xll.ciqfunctions.udf.CIQ($A3, "IQ_EBITDA_1YR_ANN_GROWTH", IQ_FY,DateToday,)</f>
        <v>13.539099999999999</v>
      </c>
      <c r="BJ3" s="4">
        <f>_xll.ciqfunctions.udf.CIQ($A3, "IQ_EBITDA_1YR_ANN_GROWTH",IQ_LTM,DateToday,)</f>
        <v>8.2881999999999998</v>
      </c>
      <c r="BK3" s="4">
        <f>_xll.ciqfunctions.udf.CIQ($A3, "IQ_EPS_5YR_ANN_CAGR",IQ_LTM,DateToday,)</f>
        <v>17.03</v>
      </c>
      <c r="BL3" s="4">
        <f>_xll.ciqfunctions.udf.CIQ($A3, "IQ_EPS_3YR_ANN_CAGR",IQ_LTM,DateToday,)</f>
        <v>30.851299999999998</v>
      </c>
      <c r="BM3" s="4">
        <f>_xll.ciqfunctions.udf.CIQ($A3, "IQ_EPS_1YR_ANN_GROWTH", IQ_FY,DateToday,)</f>
        <v>20.824200000000001</v>
      </c>
      <c r="BN3" s="4">
        <f>_xll.ciqfunctions.udf.CIQ($A3, "IQ_EPS_1YR_ANN_GROWTH", IQ_LTM,DateToday,)</f>
        <v>10.291399999999999</v>
      </c>
      <c r="BO3" s="20">
        <f>_xll.ciqfunctions.udf.CIQ($A3, "IQ_TOTAL_DEBT_EBITDA",IQ_LTM,DateToday,)</f>
        <v>2.68913</v>
      </c>
      <c r="BP3" s="20">
        <f>_xll.ciqfunctions.udf.CIQ($A3, "IQ_NET_DEBT_EBITDA",IQ_LTM,DateToday,)</f>
        <v>2.5121500000000001</v>
      </c>
      <c r="BQ3" s="39">
        <f t="shared" si="5"/>
        <v>2.8885191347753745</v>
      </c>
      <c r="BR3" s="20">
        <f>_xll.ciqfunctions.udf.CIQ($A3, "IQ_EBITDA_INT",IQ_LTM,DateToday,)</f>
        <v>12.355259999999999</v>
      </c>
      <c r="BS3" s="20">
        <f>_xll.ciqfunctions.udf.CIQ($A3, "IQ_EBITDA_CAPEX_INT",IQ_LTM,DateToday,)</f>
        <v>11.71411</v>
      </c>
      <c r="BT3" s="4">
        <f>_xll.ciqfunctions.udf.CIQ($A3, "IQ_TOTAL_DEBT_EQUITY",IQ_FQ,DateToday,)</f>
        <v>137.12479999999999</v>
      </c>
      <c r="BU3" s="4">
        <f>_xll.ciqfunctions.udf.CIQ($A3, "IQ_TOTAL_DEBT_CAPITAL",IQ_FQ,DateToday,)</f>
        <v>57.828099999999999</v>
      </c>
      <c r="BV3" s="4">
        <f>_xll.ciqfunctions.udf.CIQ($A3, "IQ_RETURN_EQUITY",IQ_LTM,DateToday)</f>
        <v>30.578600000000002</v>
      </c>
      <c r="BW3" s="4">
        <f>_xll.ciqfunctions.udf.CIQ($A3, "IQ_RETURN_ASSETS",IQ_LTM,DateToday)</f>
        <v>9.2315000000000005</v>
      </c>
      <c r="BX3" s="4">
        <f>_xll.ciqfunctions.udf.CIQ($A3, "IQ_RETURN_INVESTED_CAPITAL",IQ_LTM,DateToday)</f>
        <v>10.8863</v>
      </c>
      <c r="BY3" s="20">
        <f>_xll.ciqfunctions.udf.CIQ($A3, "IQ_CURRENT_RATIO",IQ_FQ,DateToday,)</f>
        <v>1.39689</v>
      </c>
      <c r="BZ3" s="20">
        <f>_xll.ciqfunctions.udf.CIQ($A3, "IQ_QUICK_RATIO",IQ_FQ,DateToday,)</f>
        <v>1.10565</v>
      </c>
      <c r="CA3" s="4">
        <f>_xll.ciqfunctions.udf.CIQ($A3, "IQ_DAYS_SALES_OUT",IQ_LTM,DateToday,)</f>
        <v>62.32226</v>
      </c>
      <c r="CB3" s="4">
        <f>_xll.ciqfunctions.udf.CIQ($A3, "IQ_DAYS_INVENTORY_OUT",IQ_LTM,DateToday,)</f>
        <v>8.7378199999999993</v>
      </c>
      <c r="CC3" s="4">
        <f>_xll.ciqfunctions.udf.CIQ($A3, "IQ_DAYS_PAYABLE_OUT",IQ_LTM,DateToday,)</f>
        <v>45.375149999999998</v>
      </c>
      <c r="CD3" s="4">
        <f>_xll.ciqfunctions.udf.CIQ($A3, "IQ_CASH_CONVERSION",IQ_LTM,DateToday,)</f>
        <v>25.684930000000001</v>
      </c>
      <c r="CE3" s="20">
        <f>_xll.ciqfunctions.udf.CIQ($A3, "IQ_ASSET_TURNS",IQ_LTM,DateToday,)</f>
        <v>1.2124999999999999</v>
      </c>
      <c r="CF3" s="20">
        <f>_xll.ciqfunctions.udf.CIQ($A3, "IQ_FIXED_ASSET_TURNS",IQ_LTM,DateToday,)</f>
        <v>11.41192</v>
      </c>
      <c r="CG3" s="20">
        <f>_xll.ciqfunctions.udf.CIQ($A3, "IQ_AR_TURNS",IQ_LTM,DateToday,)</f>
        <v>5.8405800000000001</v>
      </c>
      <c r="CH3" s="20">
        <f>_xll.ciqfunctions.udf.CIQ($A3, "IQ_INVENTORY_TURNS",IQ_LTM,DateToday,)</f>
        <v>41.657389999999999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</row>
    <row r="4" spans="1:168" s="1" customFormat="1" x14ac:dyDescent="0.2">
      <c r="A4" s="36" t="str">
        <f>_xll.ciqfunctions.udf.CIQ($A$10,"IQ_QUICK_COMP",3)</f>
        <v>NasdaqGS:SAIC</v>
      </c>
      <c r="B4" s="36" t="str">
        <f>_xll.ciqfunctions.udf.CIQ($A4, "IQ_COMPANY_NAME")</f>
        <v>Science Applications International Corporation</v>
      </c>
      <c r="C4" s="13">
        <f>_xll.ciqfunctions.udf.CIQ($A4,"IQ_PERIODDATE",IQ_FY,DateToday)</f>
        <v>46052</v>
      </c>
      <c r="D4" s="13">
        <f>_xll.ciqfunctions.udf.CIQ($A4,"IQ_PERIODDATE",IQ_LTM,DateToday)</f>
        <v>46143</v>
      </c>
      <c r="E4" s="11">
        <f>_xll.ciqfunctions.udf.CIQ($A4, "IQ_LASTSALEPRICE",DateToday,Ccy,Conv)</f>
        <v>113.81</v>
      </c>
      <c r="F4" s="11">
        <f>_xll.ciqfunctions.udf.CIQ($A4, "IQ_YEARHIGH",DateToday,Ccy,Conv)</f>
        <v>123.41</v>
      </c>
      <c r="G4" s="11">
        <f>_xll.ciqfunctions.udf.CIQ($A4, "IQ_YEARLOW",DateToday,Ccy,Conv)</f>
        <v>81.08</v>
      </c>
      <c r="H4" s="37">
        <f t="shared" si="0"/>
        <v>0.92221051778624108</v>
      </c>
      <c r="I4" s="37">
        <f t="shared" si="1"/>
        <v>1.4036753823384311</v>
      </c>
      <c r="J4" s="4">
        <f>_xll.ciqfunctions.udf.CIQ($A4, "IQ_SHARESOUTSTANDING",DateToday)</f>
        <v>42.276820000000001</v>
      </c>
      <c r="K4" s="22">
        <f t="shared" si="2"/>
        <v>4811.5248842000001</v>
      </c>
      <c r="L4" s="4">
        <f>_xll.ciqfunctions.udf.CIQ($A4, "IQ_CASH_ST_INVEST",IQ_FQ,DateToday,,"F",Ccy,Conv)</f>
        <v>109</v>
      </c>
      <c r="M4" s="4">
        <f>_xll.ciqfunctions.udf.CIQ($A4, "IQ_TOTAL_DEBT",IQ_FQ,DateToday,,"F",Ccy,Conv)</f>
        <v>2675</v>
      </c>
      <c r="N4" s="4">
        <f>_xll.ciqfunctions.udf.CIQ($A4, "IQ_PREF_EQUITY",IQ_FQ,DateToday,,"F",Ccy,Conv)</f>
        <v>0</v>
      </c>
      <c r="O4" s="4">
        <f>_xll.ciqfunctions.udf.CIQ($A4, "IQ_MINORITY_INTEREST_TOTAL",IQ_FQ,DateToday,,"F",Ccy,Conv)</f>
        <v>0</v>
      </c>
      <c r="P4" s="22">
        <f t="shared" si="6"/>
        <v>7377.5248842000001</v>
      </c>
      <c r="Q4" s="4">
        <f>_xll.ciqfunctions.udf.CIQ($A4, "IQ_TOTAL_REV", IQ_FY,DateToday,,,Ccy,Conv)</f>
        <v>7262</v>
      </c>
      <c r="R4" s="4">
        <f>_xll.ciqfunctions.udf.CIQ($A4, "IQ_TOTAL_REV", IQ_LTM,DateToday,,,Ccy,Conv)</f>
        <v>7291</v>
      </c>
      <c r="S4" s="4">
        <f>_xll.ciqfunctions.udf.CIQ($A4, "IQ_REVENUE_EST", IQ_CY+ 1,DateToday,,,Ccy,Conv)</f>
        <v>7187.8822</v>
      </c>
      <c r="T4" s="4">
        <f>_xll.ciqfunctions.udf.CIQ($A4, "IQ_REVENUE_EST", IQ_CY+ 2,DateToday,,,Ccy,Conv)</f>
        <v>7259.4422800000002</v>
      </c>
      <c r="U4" s="4">
        <f>_xll.ciqfunctions.udf.CIQ($A4, "IQ_EBITDA", IQ_FY,DateToday,,,Ccy,Conv)</f>
        <v>687</v>
      </c>
      <c r="V4" s="4">
        <f>_xll.ciqfunctions.udf.CIQ($A4, "IQ_EBITDA", IQ_LTM,DateToday,,,Ccy,Conv)</f>
        <v>737</v>
      </c>
      <c r="W4" s="4">
        <f>_xll.ciqfunctions.udf.CIQ($A4, "IQ_EBITDA_EST", IQ_CY+ 1,DateToday,,,Ccy,Conv)</f>
        <v>737.67107999999996</v>
      </c>
      <c r="X4" s="4">
        <f>_xll.ciqfunctions.udf.CIQ($A4, "IQ_EBITDA_EST", IQ_CY+ 2,DateToday,,,Ccy,Conv)</f>
        <v>744.26865999999995</v>
      </c>
      <c r="Y4" s="11">
        <f>_xll.ciqfunctions.udf.CIQ($A4, "IQ_DILUT_EPS_EXCL", IQ_FY,DateToday,,,Ccy,Conv)</f>
        <v>7.7</v>
      </c>
      <c r="Z4" s="11">
        <f>_xll.ciqfunctions.udf.CIQ($A4, "IQ_DILUT_EPS_EXCL", IQ_LTM,DateToday,,,Ccy,Conv)</f>
        <v>8.8916400000000007</v>
      </c>
      <c r="AA4" s="11">
        <f>_xll.ciqfunctions.udf.CIQ($A4, "IQ_EPS_EST", IQ_CY+ 1,DateToday,,,Ccy,Conv)</f>
        <v>10.151859999999999</v>
      </c>
      <c r="AB4" s="11">
        <f>_xll.ciqfunctions.udf.CIQ($A4, "IQ_EPS_EST", IQ_CY+ 2,DateToday,,,Ccy,Conv)</f>
        <v>11.008419999999999</v>
      </c>
      <c r="AC4" s="20">
        <f>_xll.ciqfunctions.udf.CIQ($A4, "IQ_TEV_TOTAL_REV",IQ_LTM,#REF!)</f>
        <v>1.01187</v>
      </c>
      <c r="AD4" s="20">
        <f>_xll.ciqfunctions.udf.CIQ($A4, "IQ_TEV_TOTAL_REV",IQ_LTM,DateToday)</f>
        <v>1.01187</v>
      </c>
      <c r="AE4" s="38">
        <f t="shared" si="3"/>
        <v>1.0263836661374333</v>
      </c>
      <c r="AF4" s="38">
        <f t="shared" si="4"/>
        <v>1.016266071089968</v>
      </c>
      <c r="AG4" s="20">
        <f>_xll.ciqfunctions.udf.CIQ($A4, "IQ_TEV_EBITDA",IQ_LTM,#REF!)</f>
        <v>9.2219099999999994</v>
      </c>
      <c r="AH4" s="20">
        <f>_xll.ciqfunctions.udf.CIQ($A4, "IQ_TEV_EBITDA",IQ_LTM,DateToday)</f>
        <v>9.2219099999999994</v>
      </c>
      <c r="AI4" s="20">
        <f>_xll.ciqfunctions.udf.CIQ($A4, "IQ_TEV_EBITDA_FWD",IQ_CY+1,DateToday)</f>
        <v>10.001099999999999</v>
      </c>
      <c r="AJ4" s="20">
        <f>_xll.ciqfunctions.udf.CIQ($A4, "IQ_TEV_EBITDA_FWD",IQ_CY+2,DateToday)</f>
        <v>9.9124499999999998</v>
      </c>
      <c r="AK4" s="20">
        <f>_xll.ciqfunctions.udf.CIQ($A4, "IQ_PE_EXCL",IQ_LTM,#REF!)</f>
        <v>12.799670000000001</v>
      </c>
      <c r="AL4" s="20">
        <f>_xll.ciqfunctions.udf.CIQ($A4, "IQ_PE_EXCL",IQ_LTM,DateToday)</f>
        <v>12.799670000000001</v>
      </c>
      <c r="AM4" s="20">
        <f>_xll.ciqfunctions.udf.CIQ($A4, "IQ_PE_EXCL_FWD",IQ_CY+1,DateToday)</f>
        <v>11.210750000000001</v>
      </c>
      <c r="AN4" s="20">
        <f>_xll.ciqfunctions.udf.CIQ($A4, "IQ_PE_EXCL_FWD",IQ_CY+2,DateToday)</f>
        <v>10.33845</v>
      </c>
      <c r="AO4" s="20">
        <f>_xll.ciqfunctions.udf.CIQ($A4, "IQ_PBV",IQ_LTM,DateToday,)</f>
        <v>3.4390900000000002</v>
      </c>
      <c r="AP4" s="20" t="str">
        <f>_xll.ciqfunctions.udf.CIQ($A4, "IQ_PTBV",IQ_LTM,DateToday,)</f>
        <v>NM</v>
      </c>
      <c r="AQ4" s="4">
        <f>_xll.ciqfunctions.udf.CIQ($A4, "IQ_GROSS_MARGIN", IQ_FY- 2,DateToday,)</f>
        <v>11.7141</v>
      </c>
      <c r="AR4" s="4">
        <f>_xll.ciqfunctions.udf.CIQ($A4, "IQ_GROSS_MARGIN", IQ_FY- 1,DateToday,)</f>
        <v>11.9267</v>
      </c>
      <c r="AS4" s="4">
        <f>_xll.ciqfunctions.udf.CIQ($A4, "IQ_GROSS_MARGIN", IQ_FY,DateToday,)</f>
        <v>12.104100000000001</v>
      </c>
      <c r="AT4" s="4">
        <f>_xll.ciqfunctions.udf.CIQ($A4, "IQ_GROSS_MARGIN", IQ_LTM,DateToday,)</f>
        <v>12.6045</v>
      </c>
      <c r="AU4" s="4">
        <f>_xll.ciqfunctions.udf.CIQ($A4, "IQ_EBITDA_MARGIN", IQ_FY- 2,DateToday,)</f>
        <v>8.8795999999999999</v>
      </c>
      <c r="AV4" s="4">
        <f>_xll.ciqfunctions.udf.CIQ($A4, "IQ_EBITDA_MARGIN", IQ_FY- 1,DateToday,)</f>
        <v>9.3327000000000009</v>
      </c>
      <c r="AW4" s="4">
        <f>_xll.ciqfunctions.udf.CIQ($A4, "IQ_EBITDA_MARGIN", IQ_FY,DateToday,)</f>
        <v>9.4602000000000004</v>
      </c>
      <c r="AX4" s="4">
        <f>_xll.ciqfunctions.udf.CIQ($A4, "IQ_EBITDA_MARGIN", IQ_LTM,DateToday,)</f>
        <v>10.1083</v>
      </c>
      <c r="AY4" s="4">
        <f>_xll.ciqfunctions.udf.CIQ($A4, "IQ_NI_MARGIN", IQ_FY- 2,DateToday,)</f>
        <v>6.4077999999999999</v>
      </c>
      <c r="AZ4" s="4">
        <f>_xll.ciqfunctions.udf.CIQ($A4, "IQ_NI_MARGIN", IQ_FY- 1,DateToday,)</f>
        <v>4.8402000000000003</v>
      </c>
      <c r="BA4" s="4">
        <f>_xll.ciqfunctions.udf.CIQ($A4, "IQ_NI_MARGIN", IQ_FY,DateToday,)</f>
        <v>4.9297000000000004</v>
      </c>
      <c r="BB4" s="4">
        <f>_xll.ciqfunctions.udf.CIQ($A4, "IQ_NI_MARGIN", IQ_LTM,DateToday,)</f>
        <v>5.5547000000000004</v>
      </c>
      <c r="BC4" s="4">
        <f>_xll.ciqfunctions.udf.CIQ($A4, "IQ_TOTAL_REV_5YR_ANN_CAGR",IQ_LTM,DateToday,)</f>
        <v>0.31569999999999998</v>
      </c>
      <c r="BD4" s="4">
        <f>_xll.ciqfunctions.udf.CIQ($A4, "IQ_TOTAL_REV_3YR_ANN_CAGR",IQ_LTM,DateToday,)</f>
        <v>-1.9555</v>
      </c>
      <c r="BE4" s="4">
        <f>_xll.ciqfunctions.udf.CIQ($A4, "IQ_TOTAL_REV_1YR_ANN_GROWTH", IQ_FY,DateToday,)</f>
        <v>-2.9015</v>
      </c>
      <c r="BF4" s="4">
        <f>_xll.ciqfunctions.udf.CIQ($A4, "IQ_TOTAL_REV_1YR_ANN_GROWTH",IQ_LTM,DateToday,)</f>
        <v>-2.9032</v>
      </c>
      <c r="BG4" s="4">
        <f>_xll.ciqfunctions.udf.CIQ($A4, "IQ_EBITDA_5YR_ANN_CAGR",IQ_LTM,DateToday,)</f>
        <v>2.4811000000000001</v>
      </c>
      <c r="BH4" s="4">
        <f>_xll.ciqfunctions.udf.CIQ($A4, "IQ_EBITDA_3YR_ANN_CAGR",IQ_LTM,DateToday,)</f>
        <v>2.2208000000000001</v>
      </c>
      <c r="BI4" s="4">
        <f>_xll.ciqfunctions.udf.CIQ($A4, "IQ_EBITDA_1YR_ANN_GROWTH", IQ_FY,DateToday,)</f>
        <v>-1.5760000000000001</v>
      </c>
      <c r="BJ4" s="4">
        <f>_xll.ciqfunctions.udf.CIQ($A4, "IQ_EBITDA_1YR_ANN_GROWTH",IQ_LTM,DateToday,)</f>
        <v>6.9665999999999997</v>
      </c>
      <c r="BK4" s="4">
        <f>_xll.ciqfunctions.udf.CIQ($A4, "IQ_EPS_5YR_ANN_CAGR",IQ_LTM,DateToday,)</f>
        <v>15.5397</v>
      </c>
      <c r="BL4" s="4">
        <f>_xll.ciqfunctions.udf.CIQ($A4, "IQ_EPS_3YR_ANN_CAGR",IQ_LTM,DateToday,)</f>
        <v>14.8012</v>
      </c>
      <c r="BM4" s="4">
        <f>_xll.ciqfunctions.udf.CIQ($A4, "IQ_EPS_1YR_ANN_GROWTH", IQ_FY,DateToday,)</f>
        <v>7.3918999999999997</v>
      </c>
      <c r="BN4" s="4">
        <f>_xll.ciqfunctions.udf.CIQ($A4, "IQ_EPS_1YR_ANN_GROWTH", IQ_LTM,DateToday,)</f>
        <v>24.5473</v>
      </c>
      <c r="BO4" s="20">
        <f>_xll.ciqfunctions.udf.CIQ($A4, "IQ_TOTAL_DEBT_EBITDA",IQ_LTM,DateToday,)</f>
        <v>3.34375</v>
      </c>
      <c r="BP4" s="20">
        <f>_xll.ciqfunctions.udf.CIQ($A4, "IQ_NET_DEBT_EBITDA",IQ_LTM,DateToday,)</f>
        <v>3.2075</v>
      </c>
      <c r="BQ4" s="39">
        <f t="shared" si="5"/>
        <v>3.6295793758480324</v>
      </c>
      <c r="BR4" s="20">
        <f>_xll.ciqfunctions.udf.CIQ($A4, "IQ_EBITDA_INT",IQ_LTM,DateToday,)</f>
        <v>6.1068699999999998</v>
      </c>
      <c r="BS4" s="20">
        <f>_xll.ciqfunctions.udf.CIQ($A4, "IQ_EBITDA_CAPEX_INT",IQ_LTM,DateToday,)</f>
        <v>5.8549600000000002</v>
      </c>
      <c r="BT4" s="4">
        <f>_xll.ciqfunctions.udf.CIQ($A4, "IQ_TOTAL_DEBT_EQUITY",IQ_FQ,DateToday,)</f>
        <v>187.98310000000001</v>
      </c>
      <c r="BU4" s="4">
        <f>_xll.ciqfunctions.udf.CIQ($A4, "IQ_TOTAL_DEBT_CAPITAL",IQ_FQ,DateToday,)</f>
        <v>65.275700000000001</v>
      </c>
      <c r="BV4" s="4">
        <f>_xll.ciqfunctions.udf.CIQ($A4, "IQ_RETURN_EQUITY",IQ_LTM,DateToday)</f>
        <v>27.663900000000002</v>
      </c>
      <c r="BW4" s="4">
        <f>_xll.ciqfunctions.udf.CIQ($A4, "IQ_RETURN_ASSETS",IQ_LTM,DateToday)</f>
        <v>6.92</v>
      </c>
      <c r="BX4" s="4">
        <f>_xll.ciqfunctions.udf.CIQ($A4, "IQ_RETURN_INVESTED_CAPITAL",IQ_LTM,DateToday)</f>
        <v>8.3788999999999998</v>
      </c>
      <c r="BY4" s="20">
        <f>_xll.ciqfunctions.udf.CIQ($A4, "IQ_CURRENT_RATIO",IQ_FQ,DateToday,)</f>
        <v>1.15622</v>
      </c>
      <c r="BZ4" s="20">
        <f>_xll.ciqfunctions.udf.CIQ($A4, "IQ_QUICK_RATIO",IQ_FQ,DateToday,)</f>
        <v>1.0327900000000001</v>
      </c>
      <c r="CA4" s="4">
        <f>_xll.ciqfunctions.udf.CIQ($A4, "IQ_DAYS_SALES_OUT",IQ_LTM,DateToday,)</f>
        <v>49.200420000000001</v>
      </c>
      <c r="CB4" s="4">
        <f>_xll.ciqfunctions.udf.CIQ($A4, "IQ_DAYS_INVENTORY_OUT",IQ_LTM,DateToday,)</f>
        <v>0</v>
      </c>
      <c r="CC4" s="4">
        <f>_xll.ciqfunctions.udf.CIQ($A4, "IQ_DAYS_PAYABLE_OUT",IQ_LTM,DateToday,)</f>
        <v>37.18806</v>
      </c>
      <c r="CD4" s="4">
        <f>_xll.ciqfunctions.udf.CIQ($A4, "IQ_CASH_CONVERSION",IQ_LTM,DateToday,)</f>
        <v>0</v>
      </c>
      <c r="CE4" s="20">
        <f>_xll.ciqfunctions.udf.CIQ($A4, "IQ_ASSET_TURNS",IQ_LTM,DateToday,)</f>
        <v>1.3823099999999999</v>
      </c>
      <c r="CF4" s="20">
        <f>_xll.ciqfunctions.udf.CIQ($A4, "IQ_FIXED_ASSET_TURNS",IQ_LTM,DateToday,)</f>
        <v>26.132619999999999</v>
      </c>
      <c r="CG4" s="20">
        <f>_xll.ciqfunctions.udf.CIQ($A4, "IQ_AR_TURNS",IQ_LTM,DateToday,)</f>
        <v>7.3982700000000001</v>
      </c>
      <c r="CH4" s="20">
        <f>_xll.ciqfunctions.udf.CIQ($A4, "IQ_INVENTORY_TURNS",IQ_LTM,DateToday,)</f>
        <v>0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</row>
    <row r="5" spans="1:168" s="1" customFormat="1" x14ac:dyDescent="0.2">
      <c r="A5" s="36" t="str">
        <f>_xll.ciqfunctions.udf.CIQ($A$10,"IQ_QUICK_COMP",4)</f>
        <v>NYSE:AMTM</v>
      </c>
      <c r="B5" s="36" t="str">
        <f>_xll.ciqfunctions.udf.CIQ($A5, "IQ_COMPANY_NAME")</f>
        <v>Amentum Holdings, Inc.</v>
      </c>
      <c r="C5" s="13">
        <f>_xll.ciqfunctions.udf.CIQ($A5,"IQ_PERIODDATE",IQ_FY,DateToday)</f>
        <v>45933</v>
      </c>
      <c r="D5" s="13">
        <f>_xll.ciqfunctions.udf.CIQ($A5,"IQ_PERIODDATE",IQ_LTM,DateToday)</f>
        <v>46115</v>
      </c>
      <c r="E5" s="11">
        <f>_xll.ciqfunctions.udf.CIQ($A5, "IQ_LASTSALEPRICE",DateToday,Ccy,Conv)</f>
        <v>22.86</v>
      </c>
      <c r="F5" s="11">
        <f>_xll.ciqfunctions.udf.CIQ($A5, "IQ_YEARHIGH",DateToday,Ccy,Conv)</f>
        <v>38.11</v>
      </c>
      <c r="G5" s="11">
        <f>_xll.ciqfunctions.udf.CIQ($A5, "IQ_YEARLOW",DateToday,Ccy,Conv)</f>
        <v>21.11</v>
      </c>
      <c r="H5" s="37">
        <f t="shared" si="0"/>
        <v>0.59984256100760958</v>
      </c>
      <c r="I5" s="37">
        <f t="shared" si="1"/>
        <v>1.0828990999526291</v>
      </c>
      <c r="J5" s="4">
        <f>_xll.ciqfunctions.udf.CIQ($A5, "IQ_SHARESOUTSTANDING",DateToday)</f>
        <v>244.31631999999999</v>
      </c>
      <c r="K5" s="22">
        <f t="shared" si="2"/>
        <v>5585.0710751999995</v>
      </c>
      <c r="L5" s="4">
        <f>_xll.ciqfunctions.udf.CIQ($A5, "IQ_CASH_ST_INVEST",IQ_FQ,DateToday,,"F",Ccy,Conv)</f>
        <v>428</v>
      </c>
      <c r="M5" s="4">
        <f>_xll.ciqfunctions.udf.CIQ($A5, "IQ_TOTAL_DEBT",IQ_FQ,DateToday,,"F",Ccy,Conv)</f>
        <v>3927</v>
      </c>
      <c r="N5" s="4">
        <f>_xll.ciqfunctions.udf.CIQ($A5, "IQ_PREF_EQUITY",IQ_FQ,DateToday,,"F",Ccy,Conv)</f>
        <v>0</v>
      </c>
      <c r="O5" s="4">
        <f>_xll.ciqfunctions.udf.CIQ($A5, "IQ_MINORITY_INTEREST_TOTAL",IQ_FQ,DateToday,,"F",Ccy,Conv)</f>
        <v>94</v>
      </c>
      <c r="P5" s="22">
        <f t="shared" si="6"/>
        <v>9178.0710751999995</v>
      </c>
      <c r="Q5" s="4">
        <f>_xll.ciqfunctions.udf.CIQ($A5, "IQ_TOTAL_REV", IQ_FY,DateToday,,,Ccy,Conv)</f>
        <v>14393</v>
      </c>
      <c r="R5" s="4">
        <f>_xll.ciqfunctions.udf.CIQ($A5, "IQ_TOTAL_REV", IQ_LTM,DateToday,,,Ccy,Conv)</f>
        <v>14201</v>
      </c>
      <c r="S5" s="4">
        <f>_xll.ciqfunctions.udf.CIQ($A5, "IQ_REVENUE_EST", IQ_CY+ 1,DateToday,,,Ccy,Conv)</f>
        <v>14309.5255</v>
      </c>
      <c r="T5" s="4">
        <f>_xll.ciqfunctions.udf.CIQ($A5, "IQ_REVENUE_EST", IQ_CY+ 2,DateToday,,,Ccy,Conv)</f>
        <v>14742.322</v>
      </c>
      <c r="U5" s="4">
        <f>_xll.ciqfunctions.udf.CIQ($A5, "IQ_EBITDA", IQ_FY,DateToday,,,Ccy,Conv)</f>
        <v>1022</v>
      </c>
      <c r="V5" s="4">
        <f>_xll.ciqfunctions.udf.CIQ($A5, "IQ_EBITDA", IQ_LTM,DateToday,,,Ccy,Conv)</f>
        <v>998</v>
      </c>
      <c r="W5" s="4">
        <f>_xll.ciqfunctions.udf.CIQ($A5, "IQ_EBITDA_EST", IQ_CY+ 1,DateToday,,,Ccy,Conv)</f>
        <v>1140.9055000000001</v>
      </c>
      <c r="X5" s="4">
        <f>_xll.ciqfunctions.udf.CIQ($A5, "IQ_EBITDA_EST", IQ_CY+ 2,DateToday,,,Ccy,Conv)</f>
        <v>1229.4666</v>
      </c>
      <c r="Y5" s="11">
        <f>_xll.ciqfunctions.udf.CIQ($A5, "IQ_DILUT_EPS_EXCL", IQ_FY,DateToday,,,Ccy,Conv)</f>
        <v>0.27</v>
      </c>
      <c r="Z5" s="11">
        <f>_xll.ciqfunctions.udf.CIQ($A5, "IQ_DILUT_EPS_EXCL", IQ_LTM,DateToday,,,Ccy,Conv)</f>
        <v>0.59946999999999995</v>
      </c>
      <c r="AA5" s="11">
        <f>_xll.ciqfunctions.udf.CIQ($A5, "IQ_EPS_EST", IQ_CY+ 1,DateToday,,,Ccy,Conv)</f>
        <v>2.492</v>
      </c>
      <c r="AB5" s="11">
        <f>_xll.ciqfunctions.udf.CIQ($A5, "IQ_EPS_EST", IQ_CY+ 2,DateToday,,,Ccy,Conv)</f>
        <v>2.8317999999999999</v>
      </c>
      <c r="AC5" s="20">
        <f>_xll.ciqfunctions.udf.CIQ($A5, "IQ_TEV_TOTAL_REV",IQ_LTM,#REF!)</f>
        <v>0.64629999999999999</v>
      </c>
      <c r="AD5" s="20">
        <f>_xll.ciqfunctions.udf.CIQ($A5, "IQ_TEV_TOTAL_REV",IQ_LTM,DateToday)</f>
        <v>0.64629999999999999</v>
      </c>
      <c r="AE5" s="38">
        <f t="shared" si="3"/>
        <v>0.64139590618850362</v>
      </c>
      <c r="AF5" s="38">
        <f t="shared" si="4"/>
        <v>0.62256617886924459</v>
      </c>
      <c r="AG5" s="20">
        <f>_xll.ciqfunctions.udf.CIQ($A5, "IQ_TEV_EBITDA",IQ_LTM,#REF!)</f>
        <v>7.7846200000000003</v>
      </c>
      <c r="AH5" s="20">
        <f>_xll.ciqfunctions.udf.CIQ($A5, "IQ_TEV_EBITDA",IQ_LTM,DateToday)</f>
        <v>7.7846200000000003</v>
      </c>
      <c r="AI5" s="20">
        <f>_xll.ciqfunctions.udf.CIQ($A5, "IQ_TEV_EBITDA_FWD",IQ_CY+1,DateToday)</f>
        <v>8.0445499999999992</v>
      </c>
      <c r="AJ5" s="20">
        <f>_xll.ciqfunctions.udf.CIQ($A5, "IQ_TEV_EBITDA_FWD",IQ_CY+2,DateToday)</f>
        <v>7.4650800000000004</v>
      </c>
      <c r="AK5" s="20">
        <f>_xll.ciqfunctions.udf.CIQ($A5, "IQ_PE_EXCL",IQ_LTM,#REF!)</f>
        <v>38.133749999999999</v>
      </c>
      <c r="AL5" s="20">
        <f>_xll.ciqfunctions.udf.CIQ($A5, "IQ_PE_EXCL",IQ_LTM,DateToday)</f>
        <v>38.133749999999999</v>
      </c>
      <c r="AM5" s="20">
        <f>_xll.ciqfunctions.udf.CIQ($A5, "IQ_PE_EXCL_FWD",IQ_CY+1,DateToday)</f>
        <v>9.1733499999999992</v>
      </c>
      <c r="AN5" s="20">
        <f>_xll.ciqfunctions.udf.CIQ($A5, "IQ_PE_EXCL_FWD",IQ_CY+2,DateToday)</f>
        <v>8.0725999999999996</v>
      </c>
      <c r="AO5" s="20">
        <f>_xll.ciqfunctions.udf.CIQ($A5, "IQ_PBV",IQ_LTM,DateToday,)</f>
        <v>1.21065</v>
      </c>
      <c r="AP5" s="20" t="str">
        <f>_xll.ciqfunctions.udf.CIQ($A5, "IQ_PTBV",IQ_LTM,DateToday,)</f>
        <v>NM</v>
      </c>
      <c r="AQ5" s="4">
        <f>_xll.ciqfunctions.udf.CIQ($A5, "IQ_GROSS_MARGIN", IQ_FY- 2,DateToday,)</f>
        <v>10.4513</v>
      </c>
      <c r="AR5" s="4">
        <f>_xll.ciqfunctions.udf.CIQ($A5, "IQ_GROSS_MARGIN", IQ_FY- 1,DateToday,)</f>
        <v>10.0381</v>
      </c>
      <c r="AS5" s="4">
        <f>_xll.ciqfunctions.udf.CIQ($A5, "IQ_GROSS_MARGIN", IQ_FY,DateToday,)</f>
        <v>10.748200000000001</v>
      </c>
      <c r="AT5" s="4">
        <f>_xll.ciqfunctions.udf.CIQ($A5, "IQ_GROSS_MARGIN", IQ_LTM,DateToday,)</f>
        <v>10.4922</v>
      </c>
      <c r="AU5" s="4">
        <f>_xll.ciqfunctions.udf.CIQ($A5, "IQ_EBITDA_MARGIN", IQ_FY- 2,DateToday,)</f>
        <v>7.0057</v>
      </c>
      <c r="AV5" s="4">
        <f>_xll.ciqfunctions.udf.CIQ($A5, "IQ_EBITDA_MARGIN", IQ_FY- 1,DateToday,)</f>
        <v>6.1516000000000002</v>
      </c>
      <c r="AW5" s="4">
        <f>_xll.ciqfunctions.udf.CIQ($A5, "IQ_EBITDA_MARGIN", IQ_FY,DateToday,)</f>
        <v>7.1006</v>
      </c>
      <c r="AX5" s="4">
        <f>_xll.ciqfunctions.udf.CIQ($A5, "IQ_EBITDA_MARGIN", IQ_LTM,DateToday,)</f>
        <v>7.0275999999999996</v>
      </c>
      <c r="AY5" s="4">
        <f>_xll.ciqfunctions.udf.CIQ($A5, "IQ_NI_MARGIN", IQ_FY- 2,DateToday,)</f>
        <v>-3.9923000000000002</v>
      </c>
      <c r="AZ5" s="4">
        <f>_xll.ciqfunctions.udf.CIQ($A5, "IQ_NI_MARGIN", IQ_FY- 1,DateToday,)</f>
        <v>-0.97750000000000004</v>
      </c>
      <c r="BA5" s="4">
        <f>_xll.ciqfunctions.udf.CIQ($A5, "IQ_NI_MARGIN", IQ_FY,DateToday,)</f>
        <v>0.45850000000000002</v>
      </c>
      <c r="BB5" s="4">
        <f>_xll.ciqfunctions.udf.CIQ($A5, "IQ_NI_MARGIN", IQ_LTM,DateToday,)</f>
        <v>1.0421</v>
      </c>
      <c r="BC5" s="4">
        <f>_xll.ciqfunctions.udf.CIQ($A5, "IQ_TOTAL_REV_5YR_ANN_CAGR",IQ_LTM,DateToday,)</f>
        <v>0</v>
      </c>
      <c r="BD5" s="4">
        <f>_xll.ciqfunctions.udf.CIQ($A5, "IQ_TOTAL_REV_3YR_ANN_CAGR",IQ_LTM,DateToday,)</f>
        <v>0</v>
      </c>
      <c r="BE5" s="4">
        <f>_xll.ciqfunctions.udf.CIQ($A5, "IQ_TOTAL_REV_1YR_ANN_GROWTH", IQ_FY,DateToday,)</f>
        <v>71.590299999999999</v>
      </c>
      <c r="BF5" s="4">
        <f>_xll.ciqfunctions.udf.CIQ($A5, "IQ_TOTAL_REV_1YR_ANN_GROWTH",IQ_LTM,DateToday,)</f>
        <v>26.107800000000001</v>
      </c>
      <c r="BG5" s="4">
        <f>_xll.ciqfunctions.udf.CIQ($A5, "IQ_EBITDA_5YR_ANN_CAGR",IQ_LTM,DateToday,)</f>
        <v>0</v>
      </c>
      <c r="BH5" s="4">
        <f>_xll.ciqfunctions.udf.CIQ($A5, "IQ_EBITDA_3YR_ANN_CAGR",IQ_LTM,DateToday,)</f>
        <v>0</v>
      </c>
      <c r="BI5" s="4">
        <f>_xll.ciqfunctions.udf.CIQ($A5, "IQ_EBITDA_1YR_ANN_GROWTH", IQ_FY,DateToday,)</f>
        <v>98.061999999999998</v>
      </c>
      <c r="BJ5" s="4">
        <f>_xll.ciqfunctions.udf.CIQ($A5, "IQ_EBITDA_1YR_ANN_GROWTH",IQ_LTM,DateToday,)</f>
        <v>35.0473</v>
      </c>
      <c r="BK5" s="4">
        <f>_xll.ciqfunctions.udf.CIQ($A5, "IQ_EPS_5YR_ANN_CAGR",IQ_LTM,DateToday,)</f>
        <v>0</v>
      </c>
      <c r="BL5" s="4">
        <f>_xll.ciqfunctions.udf.CIQ($A5, "IQ_EPS_3YR_ANN_CAGR",IQ_LTM,DateToday,)</f>
        <v>0</v>
      </c>
      <c r="BM5" s="4" t="str">
        <f>_xll.ciqfunctions.udf.CIQ($A5, "IQ_EPS_1YR_ANN_GROWTH", IQ_FY,DateToday,)</f>
        <v>NM</v>
      </c>
      <c r="BN5" s="4">
        <f>_xll.ciqfunctions.udf.CIQ($A5, "IQ_EPS_1YR_ANN_GROWTH", IQ_LTM,DateToday,)</f>
        <v>527.57159999999999</v>
      </c>
      <c r="BO5" s="20">
        <f>_xll.ciqfunctions.udf.CIQ($A5, "IQ_TOTAL_DEBT_EBITDA",IQ_LTM,DateToday,)</f>
        <v>3.5667599999999999</v>
      </c>
      <c r="BP5" s="20">
        <f>_xll.ciqfunctions.udf.CIQ($A5, "IQ_NET_DEBT_EBITDA",IQ_LTM,DateToday,)</f>
        <v>3.1780200000000001</v>
      </c>
      <c r="BQ5" s="39">
        <f t="shared" si="5"/>
        <v>3.934869739478958</v>
      </c>
      <c r="BR5" s="20">
        <f>_xll.ciqfunctions.udf.CIQ($A5, "IQ_EBITDA_INT",IQ_LTM,DateToday,)</f>
        <v>3.3669699999999998</v>
      </c>
      <c r="BS5" s="20">
        <f>_xll.ciqfunctions.udf.CIQ($A5, "IQ_EBITDA_CAPEX_INT",IQ_LTM,DateToday,)</f>
        <v>3.2874599999999998</v>
      </c>
      <c r="BT5" s="4">
        <f>_xll.ciqfunctions.udf.CIQ($A5, "IQ_TOTAL_DEBT_EQUITY",IQ_FQ,DateToday,)</f>
        <v>83.499799999999993</v>
      </c>
      <c r="BU5" s="4">
        <f>_xll.ciqfunctions.udf.CIQ($A5, "IQ_TOTAL_DEBT_CAPITAL",IQ_FQ,DateToday,)</f>
        <v>45.503999999999998</v>
      </c>
      <c r="BV5" s="4">
        <f>_xll.ciqfunctions.udf.CIQ($A5, "IQ_RETURN_EQUITY",IQ_LTM,DateToday)</f>
        <v>2.8873000000000002</v>
      </c>
      <c r="BW5" s="4">
        <f>_xll.ciqfunctions.udf.CIQ($A5, "IQ_RETURN_ASSETS",IQ_LTM,DateToday)</f>
        <v>2.8641999999999999</v>
      </c>
      <c r="BX5" s="4">
        <f>_xll.ciqfunctions.udf.CIQ($A5, "IQ_RETURN_INVESTED_CAPITAL",IQ_LTM,DateToday)</f>
        <v>1.6547000000000001</v>
      </c>
      <c r="BY5" s="20">
        <f>_xll.ciqfunctions.udf.CIQ($A5, "IQ_CURRENT_RATIO",IQ_FQ,DateToday,)</f>
        <v>1.4811099999999999</v>
      </c>
      <c r="BZ5" s="20">
        <f>_xll.ciqfunctions.udf.CIQ($A5, "IQ_QUICK_RATIO",IQ_FQ,DateToday,)</f>
        <v>1.3983699999999999</v>
      </c>
      <c r="CA5" s="4">
        <f>_xll.ciqfunctions.udf.CIQ($A5, "IQ_DAYS_SALES_OUT",IQ_LTM,DateToday,)</f>
        <v>65.377250000000004</v>
      </c>
      <c r="CB5" s="4">
        <f>_xll.ciqfunctions.udf.CIQ($A5, "IQ_DAYS_INVENTORY_OUT",IQ_LTM,DateToday,)</f>
        <v>0</v>
      </c>
      <c r="CC5" s="4">
        <f>_xll.ciqfunctions.udf.CIQ($A5, "IQ_DAYS_PAYABLE_OUT",IQ_LTM,DateToday,)</f>
        <v>24.925640000000001</v>
      </c>
      <c r="CD5" s="4">
        <f>_xll.ciqfunctions.udf.CIQ($A5, "IQ_CASH_CONVERSION",IQ_LTM,DateToday,)</f>
        <v>0</v>
      </c>
      <c r="CE5" s="20">
        <f>_xll.ciqfunctions.udf.CIQ($A5, "IQ_ASSET_TURNS",IQ_LTM,DateToday,)</f>
        <v>1.2256</v>
      </c>
      <c r="CF5" s="20">
        <f>_xll.ciqfunctions.udf.CIQ($A5, "IQ_FIXED_ASSET_TURNS",IQ_LTM,DateToday,)</f>
        <v>119.33613</v>
      </c>
      <c r="CG5" s="20">
        <f>_xll.ciqfunctions.udf.CIQ($A5, "IQ_AR_TURNS",IQ_LTM,DateToday,)</f>
        <v>5.6747300000000003</v>
      </c>
      <c r="CH5" s="20">
        <f>_xll.ciqfunctions.udf.CIQ($A5, "IQ_INVENTORY_TURNS",IQ_LTM,DateToday,)</f>
        <v>0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</row>
    <row r="6" spans="1:168" s="1" customFormat="1" x14ac:dyDescent="0.2">
      <c r="A6" s="36" t="str">
        <f>_xll.ciqfunctions.udf.CIQ($A$10,"IQ_QUICK_COMP",5)</f>
        <v>NYSE:PSN</v>
      </c>
      <c r="B6" s="36" t="str">
        <f>_xll.ciqfunctions.udf.CIQ($A6, "IQ_COMPANY_NAME")</f>
        <v>Parsons Corporation</v>
      </c>
      <c r="C6" s="13">
        <f>_xll.ciqfunctions.udf.CIQ($A6,"IQ_PERIODDATE",IQ_FY,DateToday)</f>
        <v>46022</v>
      </c>
      <c r="D6" s="13">
        <f>_xll.ciqfunctions.udf.CIQ($A6,"IQ_PERIODDATE",IQ_LTM,DateToday)</f>
        <v>46112</v>
      </c>
      <c r="E6" s="11">
        <f>_xll.ciqfunctions.udf.CIQ($A6, "IQ_LASTSALEPRICE",DateToday,Ccy,Conv)</f>
        <v>56.7</v>
      </c>
      <c r="F6" s="11">
        <f>_xll.ciqfunctions.udf.CIQ($A6, "IQ_YEARHIGH",DateToday,Ccy,Conv)</f>
        <v>89.5</v>
      </c>
      <c r="G6" s="11">
        <f>_xll.ciqfunctions.udf.CIQ($A6, "IQ_YEARLOW",DateToday,Ccy,Conv)</f>
        <v>48.23</v>
      </c>
      <c r="H6" s="37">
        <f t="shared" si="0"/>
        <v>0.63351955307262575</v>
      </c>
      <c r="I6" s="37">
        <f t="shared" si="1"/>
        <v>1.1756168359941945</v>
      </c>
      <c r="J6" s="4">
        <f>_xll.ciqfunctions.udf.CIQ($A6, "IQ_SHARESOUTSTANDING",DateToday)</f>
        <v>106.97852</v>
      </c>
      <c r="K6" s="22">
        <f t="shared" si="2"/>
        <v>6065.682084</v>
      </c>
      <c r="L6" s="4">
        <f>_xll.ciqfunctions.udf.CIQ($A6, "IQ_CASH_ST_INVEST",IQ_FQ,DateToday,,"F",Ccy,Conv)</f>
        <v>283.92099999999999</v>
      </c>
      <c r="M6" s="4">
        <f>_xll.ciqfunctions.udf.CIQ($A6, "IQ_TOTAL_DEBT",IQ_FQ,DateToday,,"F",Ccy,Conv)</f>
        <v>1685.902</v>
      </c>
      <c r="N6" s="4">
        <f>_xll.ciqfunctions.udf.CIQ($A6, "IQ_PREF_EQUITY",IQ_FQ,DateToday,,"F",Ccy,Conv)</f>
        <v>0</v>
      </c>
      <c r="O6" s="4">
        <f>_xll.ciqfunctions.udf.CIQ($A6, "IQ_MINORITY_INTEREST_TOTAL",IQ_FQ,DateToday,,"F",Ccy,Conv)</f>
        <v>104.544</v>
      </c>
      <c r="P6" s="22">
        <f t="shared" si="6"/>
        <v>7572.2070839999997</v>
      </c>
      <c r="Q6" s="4">
        <f>_xll.ciqfunctions.udf.CIQ($A6, "IQ_TOTAL_REV", IQ_FY,DateToday,,,Ccy,Conv)</f>
        <v>6364.2449999999999</v>
      </c>
      <c r="R6" s="4">
        <f>_xll.ciqfunctions.udf.CIQ($A6, "IQ_TOTAL_REV", IQ_LTM,DateToday,,,Ccy,Conv)</f>
        <v>6301.0609999999997</v>
      </c>
      <c r="S6" s="4">
        <f>_xll.ciqfunctions.udf.CIQ($A6, "IQ_REVENUE_EST", IQ_CY+ 1,DateToday,,,Ccy,Conv)</f>
        <v>6650.6743399999996</v>
      </c>
      <c r="T6" s="4">
        <f>_xll.ciqfunctions.udf.CIQ($A6, "IQ_REVENUE_EST", IQ_CY+ 2,DateToday,,,Ccy,Conv)</f>
        <v>7128.4104799999996</v>
      </c>
      <c r="U6" s="4">
        <f>_xll.ciqfunctions.udf.CIQ($A6, "IQ_EBITDA", IQ_FY,DateToday,,,Ccy,Conv)</f>
        <v>530.66999999999996</v>
      </c>
      <c r="V6" s="4">
        <f>_xll.ciqfunctions.udf.CIQ($A6, "IQ_EBITDA", IQ_LTM,DateToday,,,Ccy,Conv)</f>
        <v>523.76800000000003</v>
      </c>
      <c r="W6" s="4">
        <f>_xll.ciqfunctions.udf.CIQ($A6, "IQ_EBITDA_EST", IQ_CY+ 1,DateToday,,,Ccy,Conv)</f>
        <v>652.61743999999999</v>
      </c>
      <c r="X6" s="4">
        <f>_xll.ciqfunctions.udf.CIQ($A6, "IQ_EBITDA_EST", IQ_CY+ 2,DateToday,,,Ccy,Conv)</f>
        <v>711.63797</v>
      </c>
      <c r="Y6" s="11">
        <f>_xll.ciqfunctions.udf.CIQ($A6, "IQ_DILUT_EPS_EXCL", IQ_FY,DateToday,,,Ccy,Conv)</f>
        <v>2.1995399999999998</v>
      </c>
      <c r="Z6" s="11">
        <f>_xll.ciqfunctions.udf.CIQ($A6, "IQ_DILUT_EPS_EXCL", IQ_LTM,DateToday,,,Ccy,Conv)</f>
        <v>2.0922700000000001</v>
      </c>
      <c r="AA6" s="11">
        <f>_xll.ciqfunctions.udf.CIQ($A6, "IQ_EPS_EST", IQ_CY+ 1,DateToday,,,Ccy,Conv)</f>
        <v>3.3135400000000002</v>
      </c>
      <c r="AB6" s="11">
        <f>_xll.ciqfunctions.udf.CIQ($A6, "IQ_EPS_EST", IQ_CY+ 2,DateToday,,,Ccy,Conv)</f>
        <v>3.6855699999999998</v>
      </c>
      <c r="AC6" s="20">
        <f>_xll.ciqfunctions.udf.CIQ($A6, "IQ_TEV_TOTAL_REV",IQ_LTM,#REF!)</f>
        <v>1.20174</v>
      </c>
      <c r="AD6" s="20">
        <f>_xll.ciqfunctions.udf.CIQ($A6, "IQ_TEV_TOTAL_REV",IQ_LTM,DateToday)</f>
        <v>1.20174</v>
      </c>
      <c r="AE6" s="38">
        <f t="shared" si="3"/>
        <v>1.1385623016387239</v>
      </c>
      <c r="AF6" s="38">
        <f t="shared" si="4"/>
        <v>1.0622574422790536</v>
      </c>
      <c r="AG6" s="20">
        <f>_xll.ciqfunctions.udf.CIQ($A6, "IQ_TEV_EBITDA",IQ_LTM,#REF!)</f>
        <v>12.34545</v>
      </c>
      <c r="AH6" s="20">
        <f>_xll.ciqfunctions.udf.CIQ($A6, "IQ_TEV_EBITDA",IQ_LTM,DateToday)</f>
        <v>12.34545</v>
      </c>
      <c r="AI6" s="20">
        <f>_xll.ciqfunctions.udf.CIQ($A6, "IQ_TEV_EBITDA_FWD",IQ_CY+1,DateToday)</f>
        <v>11.602830000000001</v>
      </c>
      <c r="AJ6" s="20">
        <f>_xll.ciqfunctions.udf.CIQ($A6, "IQ_TEV_EBITDA_FWD",IQ_CY+2,DateToday)</f>
        <v>10.64053</v>
      </c>
      <c r="AK6" s="20">
        <f>_xll.ciqfunctions.udf.CIQ($A6, "IQ_PE_EXCL",IQ_LTM,#REF!)</f>
        <v>27.099820000000001</v>
      </c>
      <c r="AL6" s="20">
        <f>_xll.ciqfunctions.udf.CIQ($A6, "IQ_PE_EXCL",IQ_LTM,DateToday)</f>
        <v>27.099820000000001</v>
      </c>
      <c r="AM6" s="20">
        <f>_xll.ciqfunctions.udf.CIQ($A6, "IQ_PE_EXCL_FWD",IQ_CY+1,DateToday)</f>
        <v>17.111609999999999</v>
      </c>
      <c r="AN6" s="20">
        <f>_xll.ciqfunctions.udf.CIQ($A6, "IQ_PE_EXCL_FWD",IQ_CY+2,DateToday)</f>
        <v>15.384320000000001</v>
      </c>
      <c r="AO6" s="20">
        <f>_xll.ciqfunctions.udf.CIQ($A6, "IQ_PBV",IQ_LTM,DateToday,)</f>
        <v>2.2890700000000002</v>
      </c>
      <c r="AP6" s="20" t="str">
        <f>_xll.ciqfunctions.udf.CIQ($A6, "IQ_PTBV",IQ_LTM,DateToday,)</f>
        <v>NM</v>
      </c>
      <c r="AQ6" s="4">
        <f>_xll.ciqfunctions.udf.CIQ($A6, "IQ_GROSS_MARGIN", IQ_FY- 2,DateToday,)</f>
        <v>22.158100000000001</v>
      </c>
      <c r="AR6" s="4">
        <f>_xll.ciqfunctions.udf.CIQ($A6, "IQ_GROSS_MARGIN", IQ_FY- 1,DateToday,)</f>
        <v>20.834099999999999</v>
      </c>
      <c r="AS6" s="4">
        <f>_xll.ciqfunctions.udf.CIQ($A6, "IQ_GROSS_MARGIN", IQ_FY,DateToday,)</f>
        <v>22.493300000000001</v>
      </c>
      <c r="AT6" s="4">
        <f>_xll.ciqfunctions.udf.CIQ($A6, "IQ_GROSS_MARGIN", IQ_LTM,DateToday,)</f>
        <v>22.773399999999999</v>
      </c>
      <c r="AU6" s="4">
        <f>_xll.ciqfunctions.udf.CIQ($A6, "IQ_EBITDA_MARGIN", IQ_FY- 2,DateToday,)</f>
        <v>8.4566999999999997</v>
      </c>
      <c r="AV6" s="4">
        <f>_xll.ciqfunctions.udf.CIQ($A6, "IQ_EBITDA_MARGIN", IQ_FY- 1,DateToday,)</f>
        <v>8.2041000000000004</v>
      </c>
      <c r="AW6" s="4">
        <f>_xll.ciqfunctions.udf.CIQ($A6, "IQ_EBITDA_MARGIN", IQ_FY,DateToday,)</f>
        <v>8.3383000000000003</v>
      </c>
      <c r="AX6" s="4">
        <f>_xll.ciqfunctions.udf.CIQ($A6, "IQ_EBITDA_MARGIN", IQ_LTM,DateToday,)</f>
        <v>8.3123000000000005</v>
      </c>
      <c r="AY6" s="4">
        <f>_xll.ciqfunctions.udf.CIQ($A6, "IQ_NI_MARGIN", IQ_FY- 2,DateToday,)</f>
        <v>2.9607999999999999</v>
      </c>
      <c r="AZ6" s="4">
        <f>_xll.ciqfunctions.udf.CIQ($A6, "IQ_NI_MARGIN", IQ_FY- 1,DateToday,)</f>
        <v>3.4819</v>
      </c>
      <c r="BA6" s="4">
        <f>_xll.ciqfunctions.udf.CIQ($A6, "IQ_NI_MARGIN", IQ_FY,DateToday,)</f>
        <v>3.7888999999999999</v>
      </c>
      <c r="BB6" s="4">
        <f>_xll.ciqfunctions.udf.CIQ($A6, "IQ_NI_MARGIN", IQ_LTM,DateToday,)</f>
        <v>3.6162000000000001</v>
      </c>
      <c r="BC6" s="4">
        <f>_xll.ciqfunctions.udf.CIQ($A6, "IQ_TOTAL_REV_5YR_ANN_CAGR",IQ_LTM,DateToday,)</f>
        <v>10.5121</v>
      </c>
      <c r="BD6" s="4">
        <f>_xll.ciqfunctions.udf.CIQ($A6, "IQ_TOTAL_REV_3YR_ANN_CAGR",IQ_LTM,DateToday,)</f>
        <v>12.5489</v>
      </c>
      <c r="BE6" s="4">
        <f>_xll.ciqfunctions.udf.CIQ($A6, "IQ_TOTAL_REV_1YR_ANN_GROWTH", IQ_FY,DateToday,)</f>
        <v>-5.7229999999999999</v>
      </c>
      <c r="BF6" s="4">
        <f>_xll.ciqfunctions.udf.CIQ($A6, "IQ_TOTAL_REV_1YR_ANN_GROWTH",IQ_LTM,DateToday,)</f>
        <v>-6.9165999999999999</v>
      </c>
      <c r="BG6" s="4">
        <f>_xll.ciqfunctions.udf.CIQ($A6, "IQ_EBITDA_5YR_ANN_CAGR",IQ_LTM,DateToday,)</f>
        <v>14.024100000000001</v>
      </c>
      <c r="BH6" s="4">
        <f>_xll.ciqfunctions.udf.CIQ($A6, "IQ_EBITDA_3YR_ANN_CAGR",IQ_LTM,DateToday,)</f>
        <v>17.638100000000001</v>
      </c>
      <c r="BI6" s="4">
        <f>_xll.ciqfunctions.udf.CIQ($A6, "IQ_EBITDA_1YR_ANN_GROWTH", IQ_FY,DateToday,)</f>
        <v>-4.1817000000000002</v>
      </c>
      <c r="BJ6" s="4">
        <f>_xll.ciqfunctions.udf.CIQ($A6, "IQ_EBITDA_1YR_ANN_GROWTH",IQ_LTM,DateToday,)</f>
        <v>-6.8669000000000002</v>
      </c>
      <c r="BK6" s="4">
        <f>_xll.ciqfunctions.udf.CIQ($A6, "IQ_EPS_5YR_ANN_CAGR",IQ_LTM,DateToday,)</f>
        <v>18.110800000000001</v>
      </c>
      <c r="BL6" s="4">
        <f>_xll.ciqfunctions.udf.CIQ($A6, "IQ_EPS_3YR_ANN_CAGR",IQ_LTM,DateToday,)</f>
        <v>31.911300000000001</v>
      </c>
      <c r="BM6" s="4">
        <f>_xll.ciqfunctions.udf.CIQ($A6, "IQ_EPS_1YR_ANN_GROWTH", IQ_FY,DateToday,)</f>
        <v>3.6749999999999998</v>
      </c>
      <c r="BN6" s="4">
        <f>_xll.ciqfunctions.udf.CIQ($A6, "IQ_EPS_1YR_ANN_GROWTH", IQ_LTM,DateToday,)</f>
        <v>-10.9937</v>
      </c>
      <c r="BO6" s="20">
        <f>_xll.ciqfunctions.udf.CIQ($A6, "IQ_TOTAL_DEBT_EBITDA",IQ_LTM,DateToday,)</f>
        <v>2.7915299999999998</v>
      </c>
      <c r="BP6" s="20">
        <f>_xll.ciqfunctions.udf.CIQ($A6, "IQ_NET_DEBT_EBITDA",IQ_LTM,DateToday,)</f>
        <v>2.3214100000000002</v>
      </c>
      <c r="BQ6" s="39">
        <f t="shared" si="5"/>
        <v>3.2187953445036732</v>
      </c>
      <c r="BR6" s="20">
        <f>_xll.ciqfunctions.udf.CIQ($A6, "IQ_EBITDA_INT",IQ_LTM,DateToday,)</f>
        <v>10.96965</v>
      </c>
      <c r="BS6" s="20">
        <f>_xll.ciqfunctions.udf.CIQ($A6, "IQ_EBITDA_CAPEX_INT",IQ_LTM,DateToday,)</f>
        <v>9.7087599999999998</v>
      </c>
      <c r="BT6" s="4">
        <f>_xll.ciqfunctions.udf.CIQ($A6, "IQ_TOTAL_DEBT_EQUITY",IQ_FQ,DateToday,)</f>
        <v>61.212899999999998</v>
      </c>
      <c r="BU6" s="4">
        <f>_xll.ciqfunctions.udf.CIQ($A6, "IQ_TOTAL_DEBT_CAPITAL",IQ_FQ,DateToday,)</f>
        <v>37.970199999999998</v>
      </c>
      <c r="BV6" s="4">
        <f>_xll.ciqfunctions.udf.CIQ($A6, "IQ_RETURN_EQUITY",IQ_LTM,DateToday)</f>
        <v>11.0299</v>
      </c>
      <c r="BW6" s="4">
        <f>_xll.ciqfunctions.udf.CIQ($A6, "IQ_RETURN_ASSETS",IQ_LTM,DateToday)</f>
        <v>4.3982999999999999</v>
      </c>
      <c r="BX6" s="4">
        <f>_xll.ciqfunctions.udf.CIQ($A6, "IQ_RETURN_INVESTED_CAPITAL",IQ_LTM,DateToday)</f>
        <v>5.4396000000000004</v>
      </c>
      <c r="BY6" s="20">
        <f>_xll.ciqfunctions.udf.CIQ($A6, "IQ_CURRENT_RATIO",IQ_FQ,DateToday,)</f>
        <v>1.7533399999999999</v>
      </c>
      <c r="BZ6" s="20">
        <f>_xll.ciqfunctions.udf.CIQ($A6, "IQ_QUICK_RATIO",IQ_FQ,DateToday,)</f>
        <v>1.62371</v>
      </c>
      <c r="CA6" s="4">
        <f>_xll.ciqfunctions.udf.CIQ($A6, "IQ_DAYS_SALES_OUT",IQ_LTM,DateToday,)</f>
        <v>117.76944</v>
      </c>
      <c r="CB6" s="4">
        <f>_xll.ciqfunctions.udf.CIQ($A6, "IQ_DAYS_INVENTORY_OUT",IQ_LTM,DateToday,)</f>
        <v>0</v>
      </c>
      <c r="CC6" s="4">
        <f>_xll.ciqfunctions.udf.CIQ($A6, "IQ_DAYS_PAYABLE_OUT",IQ_LTM,DateToday,)</f>
        <v>19.543559999999999</v>
      </c>
      <c r="CD6" s="4">
        <f>_xll.ciqfunctions.udf.CIQ($A6, "IQ_CASH_CONVERSION",IQ_LTM,DateToday,)</f>
        <v>0</v>
      </c>
      <c r="CE6" s="20">
        <f>_xll.ciqfunctions.udf.CIQ($A6, "IQ_ASSET_TURNS",IQ_LTM,DateToday,)</f>
        <v>1.09954</v>
      </c>
      <c r="CF6" s="20">
        <f>_xll.ciqfunctions.udf.CIQ($A6, "IQ_FIXED_ASSET_TURNS",IQ_LTM,DateToday,)</f>
        <v>21.16535</v>
      </c>
      <c r="CG6" s="20">
        <f>_xll.ciqfunctions.udf.CIQ($A6, "IQ_AR_TURNS",IQ_LTM,DateToday,)</f>
        <v>3.0992700000000002</v>
      </c>
      <c r="CH6" s="20">
        <f>_xll.ciqfunctions.udf.CIQ($A6, "IQ_INVENTORY_TURNS",IQ_LTM,DateToday,)</f>
        <v>0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</row>
    <row r="7" spans="1:168" s="1" customFormat="1" x14ac:dyDescent="0.2">
      <c r="A7" s="36" t="str">
        <f>_xll.ciqfunctions.udf.CIQ($A$10,"IQ_QUICK_COMP",6)</f>
        <v>NYSE:KBR</v>
      </c>
      <c r="B7" s="36" t="str">
        <f>_xll.ciqfunctions.udf.CIQ($A7, "IQ_COMPANY_NAME")</f>
        <v>KBR, Inc.</v>
      </c>
      <c r="C7" s="13">
        <f>_xll.ciqfunctions.udf.CIQ($A7,"IQ_PERIODDATE",IQ_FY,DateToday)</f>
        <v>46024</v>
      </c>
      <c r="D7" s="13">
        <f>_xll.ciqfunctions.udf.CIQ($A7,"IQ_PERIODDATE",IQ_LTM,DateToday)</f>
        <v>46115</v>
      </c>
      <c r="E7" s="11">
        <f>_xll.ciqfunctions.udf.CIQ($A7, "IQ_LASTSALEPRICE",DateToday,Ccy,Conv)</f>
        <v>35.840000000000003</v>
      </c>
      <c r="F7" s="11">
        <f>_xll.ciqfunctions.udf.CIQ($A7, "IQ_YEARHIGH",DateToday,Ccy,Conv)</f>
        <v>54.375</v>
      </c>
      <c r="G7" s="11">
        <f>_xll.ciqfunctions.udf.CIQ($A7, "IQ_YEARLOW",DateToday,Ccy,Conv)</f>
        <v>29.94</v>
      </c>
      <c r="H7" s="37">
        <f t="shared" si="0"/>
        <v>0.6591264367816092</v>
      </c>
      <c r="I7" s="37">
        <f t="shared" si="1"/>
        <v>1.197060788243153</v>
      </c>
      <c r="J7" s="4">
        <f>_xll.ciqfunctions.udf.CIQ($A7, "IQ_SHARESOUTSTANDING",DateToday)</f>
        <v>126.78995999999999</v>
      </c>
      <c r="K7" s="22">
        <f t="shared" si="2"/>
        <v>4544.1521664000002</v>
      </c>
      <c r="L7" s="4">
        <f>_xll.ciqfunctions.udf.CIQ($A7, "IQ_CASH_ST_INVEST",IQ_FQ,DateToday,,"F",Ccy,Conv)</f>
        <v>392</v>
      </c>
      <c r="M7" s="4">
        <f>_xll.ciqfunctions.udf.CIQ($A7, "IQ_TOTAL_DEBT",IQ_FQ,DateToday,,"F",Ccy,Conv)</f>
        <v>2811</v>
      </c>
      <c r="N7" s="4">
        <f>_xll.ciqfunctions.udf.CIQ($A7, "IQ_PREF_EQUITY",IQ_FQ,DateToday,,"F",Ccy,Conv)</f>
        <v>0</v>
      </c>
      <c r="O7" s="4">
        <f>_xll.ciqfunctions.udf.CIQ($A7, "IQ_MINORITY_INTEREST_TOTAL",IQ_FQ,DateToday,,"F",Ccy,Conv)</f>
        <v>5</v>
      </c>
      <c r="P7" s="22">
        <f t="shared" si="6"/>
        <v>6968.1521664000002</v>
      </c>
      <c r="Q7" s="4">
        <f>_xll.ciqfunctions.udf.CIQ($A7, "IQ_TOTAL_REV", IQ_FY,DateToday,,,Ccy,Conv)</f>
        <v>7786</v>
      </c>
      <c r="R7" s="4">
        <f>_xll.ciqfunctions.udf.CIQ($A7, "IQ_TOTAL_REV", IQ_LTM,DateToday,,,Ccy,Conv)</f>
        <v>7691</v>
      </c>
      <c r="S7" s="4">
        <f>_xll.ciqfunctions.udf.CIQ($A7, "IQ_REVENUE_EST", IQ_CY+ 1,DateToday,,,Ccy,Conv)</f>
        <v>7981.5480299999999</v>
      </c>
      <c r="T7" s="4">
        <f>_xll.ciqfunctions.udf.CIQ($A7, "IQ_REVENUE_EST", IQ_CY+ 2,DateToday,,,Ccy,Conv)</f>
        <v>8410.6898899999997</v>
      </c>
      <c r="U7" s="4">
        <f>_xll.ciqfunctions.udf.CIQ($A7, "IQ_EBITDA", IQ_FY,DateToday,,,Ccy,Conv)</f>
        <v>685</v>
      </c>
      <c r="V7" s="4">
        <f>_xll.ciqfunctions.udf.CIQ($A7, "IQ_EBITDA", IQ_LTM,DateToday,,,Ccy,Conv)</f>
        <v>654</v>
      </c>
      <c r="W7" s="4">
        <f>_xll.ciqfunctions.udf.CIQ($A7, "IQ_EBITDA_EST", IQ_CY+ 1,DateToday,,,Ccy,Conv)</f>
        <v>999.38440000000003</v>
      </c>
      <c r="X7" s="4">
        <f>_xll.ciqfunctions.udf.CIQ($A7, "IQ_EBITDA_EST", IQ_CY+ 2,DateToday,,,Ccy,Conv)</f>
        <v>1011.8196</v>
      </c>
      <c r="Y7" s="11">
        <f>_xll.ciqfunctions.udf.CIQ($A7, "IQ_DILUT_EPS_EXCL", IQ_FY,DateToday,,,Ccy,Conv)</f>
        <v>3.4883700000000002</v>
      </c>
      <c r="Z7" s="11">
        <f>_xll.ciqfunctions.udf.CIQ($A7, "IQ_DILUT_EPS_EXCL", IQ_LTM,DateToday,,,Ccy,Conv)</f>
        <v>3.3891200000000001</v>
      </c>
      <c r="AA7" s="11">
        <f>_xll.ciqfunctions.udf.CIQ($A7, "IQ_EPS_EST", IQ_CY+ 1,DateToday,,,Ccy,Conv)</f>
        <v>3.9613399999999999</v>
      </c>
      <c r="AB7" s="11">
        <f>_xll.ciqfunctions.udf.CIQ($A7, "IQ_EPS_EST", IQ_CY+ 2,DateToday,,,Ccy,Conv)</f>
        <v>4.1483999999999996</v>
      </c>
      <c r="AC7" s="20">
        <f>_xll.ciqfunctions.udf.CIQ($A7, "IQ_TEV_TOTAL_REV",IQ_LTM,#REF!)</f>
        <v>0.90600999999999998</v>
      </c>
      <c r="AD7" s="20">
        <f>_xll.ciqfunctions.udf.CIQ($A7, "IQ_TEV_TOTAL_REV",IQ_LTM,DateToday)</f>
        <v>0.90600999999999998</v>
      </c>
      <c r="AE7" s="38">
        <f t="shared" si="3"/>
        <v>0.87303266737342433</v>
      </c>
      <c r="AF7" s="38">
        <f t="shared" si="4"/>
        <v>0.82848758633758168</v>
      </c>
      <c r="AG7" s="20">
        <f>_xll.ciqfunctions.udf.CIQ($A7, "IQ_TEV_EBITDA",IQ_LTM,#REF!)</f>
        <v>6.5490199999999996</v>
      </c>
      <c r="AH7" s="20">
        <f>_xll.ciqfunctions.udf.CIQ($A7, "IQ_TEV_EBITDA",IQ_LTM,DateToday)</f>
        <v>6.5490199999999996</v>
      </c>
      <c r="AI7" s="20">
        <f>_xll.ciqfunctions.udf.CIQ($A7, "IQ_TEV_EBITDA_FWD",IQ_CY+1,DateToday)</f>
        <v>6.9724399999999997</v>
      </c>
      <c r="AJ7" s="20">
        <f>_xll.ciqfunctions.udf.CIQ($A7, "IQ_TEV_EBITDA_FWD",IQ_CY+2,DateToday)</f>
        <v>6.8867500000000001</v>
      </c>
      <c r="AK7" s="20">
        <f>_xll.ciqfunctions.udf.CIQ($A7, "IQ_PE_EXCL",IQ_LTM,#REF!)</f>
        <v>10.57502</v>
      </c>
      <c r="AL7" s="20">
        <f>_xll.ciqfunctions.udf.CIQ($A7, "IQ_PE_EXCL",IQ_LTM,DateToday)</f>
        <v>10.57502</v>
      </c>
      <c r="AM7" s="20">
        <f>_xll.ciqfunctions.udf.CIQ($A7, "IQ_PE_EXCL_FWD",IQ_CY+1,DateToday)</f>
        <v>9.0474399999999999</v>
      </c>
      <c r="AN7" s="20">
        <f>_xll.ciqfunctions.udf.CIQ($A7, "IQ_PE_EXCL_FWD",IQ_CY+2,DateToday)</f>
        <v>8.6394800000000007</v>
      </c>
      <c r="AO7" s="20">
        <f>_xll.ciqfunctions.udf.CIQ($A7, "IQ_PBV",IQ_LTM,DateToday,)</f>
        <v>2.8687800000000001</v>
      </c>
      <c r="AP7" s="20" t="str">
        <f>_xll.ciqfunctions.udf.CIQ($A7, "IQ_PTBV",IQ_LTM,DateToday,)</f>
        <v>NM</v>
      </c>
      <c r="AQ7" s="4">
        <f>_xll.ciqfunctions.udf.CIQ($A7, "IQ_GROSS_MARGIN", IQ_FY- 2,DateToday,)</f>
        <v>14.045400000000001</v>
      </c>
      <c r="AR7" s="4">
        <f>_xll.ciqfunctions.udf.CIQ($A7, "IQ_GROSS_MARGIN", IQ_FY- 1,DateToday,)</f>
        <v>14.254200000000001</v>
      </c>
      <c r="AS7" s="4">
        <f>_xll.ciqfunctions.udf.CIQ($A7, "IQ_GROSS_MARGIN", IQ_FY,DateToday,)</f>
        <v>14.770099999999999</v>
      </c>
      <c r="AT7" s="4">
        <f>_xll.ciqfunctions.udf.CIQ($A7, "IQ_GROSS_MARGIN", IQ_LTM,DateToday,)</f>
        <v>14.497400000000001</v>
      </c>
      <c r="AU7" s="4">
        <f>_xll.ciqfunctions.udf.CIQ($A7, "IQ_EBITDA_MARGIN", IQ_FY- 2,DateToday,)</f>
        <v>8.2517999999999994</v>
      </c>
      <c r="AV7" s="4">
        <f>_xll.ciqfunctions.udf.CIQ($A7, "IQ_EBITDA_MARGIN", IQ_FY- 1,DateToday,)</f>
        <v>8.5602999999999998</v>
      </c>
      <c r="AW7" s="4">
        <f>_xll.ciqfunctions.udf.CIQ($A7, "IQ_EBITDA_MARGIN", IQ_FY,DateToday,)</f>
        <v>8.7978000000000005</v>
      </c>
      <c r="AX7" s="4">
        <f>_xll.ciqfunctions.udf.CIQ($A7, "IQ_EBITDA_MARGIN", IQ_LTM,DateToday,)</f>
        <v>8.5033999999999992</v>
      </c>
      <c r="AY7" s="4">
        <f>_xll.ciqfunctions.udf.CIQ($A7, "IQ_NI_MARGIN", IQ_FY- 2,DateToday,)</f>
        <v>-3.8096000000000001</v>
      </c>
      <c r="AZ7" s="4">
        <f>_xll.ciqfunctions.udf.CIQ($A7, "IQ_NI_MARGIN", IQ_FY- 1,DateToday,)</f>
        <v>4.8638000000000003</v>
      </c>
      <c r="BA7" s="4">
        <f>_xll.ciqfunctions.udf.CIQ($A7, "IQ_NI_MARGIN", IQ_FY,DateToday,)</f>
        <v>5.33</v>
      </c>
      <c r="BB7" s="4">
        <f>_xll.ciqfunctions.udf.CIQ($A7, "IQ_NI_MARGIN", IQ_LTM,DateToday,)</f>
        <v>5.2138</v>
      </c>
      <c r="BC7" s="4">
        <f>_xll.ciqfunctions.udf.CIQ($A7, "IQ_TOTAL_REV_5YR_ANN_CAGR",IQ_LTM,DateToday,)</f>
        <v>6.2084000000000001</v>
      </c>
      <c r="BD7" s="4">
        <f>_xll.ciqfunctions.udf.CIQ($A7, "IQ_TOTAL_REV_3YR_ANN_CAGR",IQ_LTM,DateToday,)</f>
        <v>5.4825999999999997</v>
      </c>
      <c r="BE7" s="4">
        <f>_xll.ciqfunctions.udf.CIQ($A7, "IQ_TOTAL_REV_1YR_ANN_GROWTH", IQ_FY,DateToday,)</f>
        <v>0.98570000000000002</v>
      </c>
      <c r="BF7" s="4">
        <f>_xll.ciqfunctions.udf.CIQ($A7, "IQ_TOTAL_REV_1YR_ANN_GROWTH",IQ_LTM,DateToday,)</f>
        <v>-2.7686999999999999</v>
      </c>
      <c r="BG7" s="4">
        <f>_xll.ciqfunctions.udf.CIQ($A7, "IQ_EBITDA_5YR_ANN_CAGR",IQ_LTM,DateToday,)</f>
        <v>9.7889999999999997</v>
      </c>
      <c r="BH7" s="4">
        <f>_xll.ciqfunctions.udf.CIQ($A7, "IQ_EBITDA_3YR_ANN_CAGR",IQ_LTM,DateToday,)</f>
        <v>7.1917</v>
      </c>
      <c r="BI7" s="4">
        <f>_xll.ciqfunctions.udf.CIQ($A7, "IQ_EBITDA_1YR_ANN_GROWTH", IQ_FY,DateToday,)</f>
        <v>3.7877999999999998</v>
      </c>
      <c r="BJ7" s="4">
        <f>_xll.ciqfunctions.udf.CIQ($A7, "IQ_EBITDA_1YR_ANN_GROWTH",IQ_LTM,DateToday,)</f>
        <v>-5.0799000000000003</v>
      </c>
      <c r="BK7" s="4">
        <f>_xll.ciqfunctions.udf.CIQ($A7, "IQ_EPS_5YR_ANN_CAGR",IQ_LTM,DateToday,)</f>
        <v>42.976900000000001</v>
      </c>
      <c r="BL7" s="4">
        <f>_xll.ciqfunctions.udf.CIQ($A7, "IQ_EPS_3YR_ANN_CAGR",IQ_LTM,DateToday,)</f>
        <v>15.1113</v>
      </c>
      <c r="BM7" s="4">
        <f>_xll.ciqfunctions.udf.CIQ($A7, "IQ_EPS_1YR_ANN_GROWTH", IQ_FY,DateToday,)</f>
        <v>25.481000000000002</v>
      </c>
      <c r="BN7" s="4">
        <f>_xll.ciqfunctions.udf.CIQ($A7, "IQ_EPS_1YR_ANN_GROWTH", IQ_LTM,DateToday,)</f>
        <v>13.0441</v>
      </c>
      <c r="BO7" s="20">
        <f>_xll.ciqfunctions.udf.CIQ($A7, "IQ_TOTAL_DEBT_EBITDA",IQ_LTM,DateToday,)</f>
        <v>3.3266300000000002</v>
      </c>
      <c r="BP7" s="20">
        <f>_xll.ciqfunctions.udf.CIQ($A7, "IQ_NET_DEBT_EBITDA",IQ_LTM,DateToday,)</f>
        <v>2.8627199999999999</v>
      </c>
      <c r="BQ7" s="39">
        <f t="shared" si="5"/>
        <v>4.2981651376146788</v>
      </c>
      <c r="BR7" s="20">
        <f>_xll.ciqfunctions.udf.CIQ($A7, "IQ_EBITDA_INT",IQ_LTM,DateToday,)</f>
        <v>5.4870099999999997</v>
      </c>
      <c r="BS7" s="20">
        <f>_xll.ciqfunctions.udf.CIQ($A7, "IQ_EBITDA_CAPEX_INT",IQ_LTM,DateToday,)</f>
        <v>5.1493500000000001</v>
      </c>
      <c r="BT7" s="4">
        <f>_xll.ciqfunctions.udf.CIQ($A7, "IQ_TOTAL_DEBT_EQUITY",IQ_FQ,DateToday,)</f>
        <v>176.90369999999999</v>
      </c>
      <c r="BU7" s="4">
        <f>_xll.ciqfunctions.udf.CIQ($A7, "IQ_TOTAL_DEBT_CAPITAL",IQ_FQ,DateToday,)</f>
        <v>63.886299999999999</v>
      </c>
      <c r="BV7" s="4">
        <f>_xll.ciqfunctions.udf.CIQ($A7, "IQ_RETURN_EQUITY",IQ_LTM,DateToday)</f>
        <v>29.148700000000002</v>
      </c>
      <c r="BW7" s="4">
        <f>_xll.ciqfunctions.udf.CIQ($A7, "IQ_RETURN_ASSETS",IQ_LTM,DateToday)</f>
        <v>4.9824999999999999</v>
      </c>
      <c r="BX7" s="4">
        <f>_xll.ciqfunctions.udf.CIQ($A7, "IQ_RETURN_INVESTED_CAPITAL",IQ_LTM,DateToday)</f>
        <v>7.1818</v>
      </c>
      <c r="BY7" s="20">
        <f>_xll.ciqfunctions.udf.CIQ($A7, "IQ_CURRENT_RATIO",IQ_FQ,DateToday,)</f>
        <v>1.15618</v>
      </c>
      <c r="BZ7" s="20">
        <f>_xll.ciqfunctions.udf.CIQ($A7, "IQ_QUICK_RATIO",IQ_FQ,DateToday,)</f>
        <v>1.04691</v>
      </c>
      <c r="CA7" s="4">
        <f>_xll.ciqfunctions.udf.CIQ($A7, "IQ_DAYS_SALES_OUT",IQ_LTM,DateToday,)</f>
        <v>66.282579999999996</v>
      </c>
      <c r="CB7" s="4">
        <f>_xll.ciqfunctions.udf.CIQ($A7, "IQ_DAYS_INVENTORY_OUT",IQ_LTM,DateToday,)</f>
        <v>0</v>
      </c>
      <c r="CC7" s="4">
        <f>_xll.ciqfunctions.udf.CIQ($A7, "IQ_DAYS_PAYABLE_OUT",IQ_LTM,DateToday,)</f>
        <v>41.459240000000001</v>
      </c>
      <c r="CD7" s="4">
        <f>_xll.ciqfunctions.udf.CIQ($A7, "IQ_CASH_CONVERSION",IQ_LTM,DateToday,)</f>
        <v>0</v>
      </c>
      <c r="CE7" s="20">
        <f>_xll.ciqfunctions.udf.CIQ($A7, "IQ_ASSET_TURNS",IQ_LTM,DateToday,)</f>
        <v>1.14178</v>
      </c>
      <c r="CF7" s="20">
        <f>_xll.ciqfunctions.udf.CIQ($A7, "IQ_FIXED_ASSET_TURNS",IQ_LTM,DateToday,)</f>
        <v>16.593309999999999</v>
      </c>
      <c r="CG7" s="20">
        <f>_xll.ciqfunctions.udf.CIQ($A7, "IQ_AR_TURNS",IQ_LTM,DateToday,)</f>
        <v>5.4916099999999997</v>
      </c>
      <c r="CH7" s="20">
        <f>_xll.ciqfunctions.udf.CIQ($A7, "IQ_INVENTORY_TURNS",IQ_LTM,DateToday,)</f>
        <v>0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</row>
    <row r="8" spans="1:168" s="1" customFormat="1" x14ac:dyDescent="0.2">
      <c r="A8" s="36" t="str">
        <f>_xll.ciqfunctions.udf.CIQ($A$10,"IQ_QUICK_COMP",7)</f>
        <v>NYSE:FCN</v>
      </c>
      <c r="B8" s="36" t="str">
        <f>_xll.ciqfunctions.udf.CIQ($A8, "IQ_COMPANY_NAME")</f>
        <v>FTI Consulting, Inc.</v>
      </c>
      <c r="C8" s="13">
        <f>_xll.ciqfunctions.udf.CIQ($A8,"IQ_PERIODDATE",IQ_FY,DateToday)</f>
        <v>46022</v>
      </c>
      <c r="D8" s="13">
        <f>_xll.ciqfunctions.udf.CIQ($A8,"IQ_PERIODDATE",IQ_LTM,DateToday)</f>
        <v>46112</v>
      </c>
      <c r="E8" s="11">
        <f>_xll.ciqfunctions.udf.CIQ($A8, "IQ_LASTSALEPRICE",DateToday,Ccy,Conv)</f>
        <v>158.57</v>
      </c>
      <c r="F8" s="11">
        <f>_xll.ciqfunctions.udf.CIQ($A8, "IQ_YEARHIGH",DateToday,Ccy,Conv)</f>
        <v>189.3</v>
      </c>
      <c r="G8" s="11">
        <f>_xll.ciqfunctions.udf.CIQ($A8, "IQ_YEARLOW",DateToday,Ccy,Conv)</f>
        <v>140.83500000000001</v>
      </c>
      <c r="H8" s="37">
        <f t="shared" si="0"/>
        <v>0.83766508188061273</v>
      </c>
      <c r="I8" s="37">
        <f t="shared" si="1"/>
        <v>1.1259275038165228</v>
      </c>
      <c r="J8" s="4">
        <f>_xll.ciqfunctions.udf.CIQ($A8, "IQ_SHARESOUTSTANDING",DateToday)</f>
        <v>29.570039999999999</v>
      </c>
      <c r="K8" s="22">
        <f t="shared" si="2"/>
        <v>4688.9212427999992</v>
      </c>
      <c r="L8" s="4">
        <f>_xll.ciqfunctions.udf.CIQ($A8, "IQ_CASH_ST_INVEST",IQ_FQ,DateToday,,"F",Ccy,Conv)</f>
        <v>198.27600000000001</v>
      </c>
      <c r="M8" s="4">
        <f>_xll.ciqfunctions.udf.CIQ($A8, "IQ_TOTAL_DEBT",IQ_FQ,DateToday,,"F",Ccy,Conv)</f>
        <v>1006.991</v>
      </c>
      <c r="N8" s="4">
        <f>_xll.ciqfunctions.udf.CIQ($A8, "IQ_PREF_EQUITY",IQ_FQ,DateToday,,"F",Ccy,Conv)</f>
        <v>0</v>
      </c>
      <c r="O8" s="4">
        <f>_xll.ciqfunctions.udf.CIQ($A8, "IQ_MINORITY_INTEREST_TOTAL",IQ_FQ,DateToday,,"F",Ccy,Conv)</f>
        <v>0</v>
      </c>
      <c r="P8" s="22">
        <f t="shared" si="6"/>
        <v>5497.6362427999993</v>
      </c>
      <c r="Q8" s="4">
        <f>_xll.ciqfunctions.udf.CIQ($A8, "IQ_TOTAL_REV", IQ_FY,DateToday,,,Ccy,Conv)</f>
        <v>3788.857</v>
      </c>
      <c r="R8" s="4">
        <f>_xll.ciqfunctions.udf.CIQ($A8, "IQ_TOTAL_REV", IQ_LTM,DateToday,,,Ccy,Conv)</f>
        <v>3873.92</v>
      </c>
      <c r="S8" s="4">
        <f>_xll.ciqfunctions.udf.CIQ($A8, "IQ_REVENUE_EST", IQ_CY+ 1,DateToday,,,Ccy,Conv)</f>
        <v>4026.0610000000001</v>
      </c>
      <c r="T8" s="4">
        <f>_xll.ciqfunctions.udf.CIQ($A8, "IQ_REVENUE_EST", IQ_CY+ 2,DateToday,,,Ccy,Conv)</f>
        <v>4312.7129999999997</v>
      </c>
      <c r="U8" s="4">
        <f>_xll.ciqfunctions.udf.CIQ($A8, "IQ_EBITDA", IQ_FY,DateToday,,,Ccy,Conv)</f>
        <v>463.61500000000001</v>
      </c>
      <c r="V8" s="4">
        <f>_xll.ciqfunctions.udf.CIQ($A8, "IQ_EBITDA", IQ_LTM,DateToday,,,Ccy,Conv)</f>
        <v>445.26900000000001</v>
      </c>
      <c r="W8" s="4">
        <f>_xll.ciqfunctions.udf.CIQ($A8, "IQ_EBITDA_EST", IQ_CY+ 1,DateToday,,,Ccy,Conv)</f>
        <v>436.06299999999999</v>
      </c>
      <c r="X8" s="4">
        <f>_xll.ciqfunctions.udf.CIQ($A8, "IQ_EBITDA_EST", IQ_CY+ 2,DateToday,,,Ccy,Conv)</f>
        <v>494.36399999999998</v>
      </c>
      <c r="Y8" s="11">
        <f>_xll.ciqfunctions.udf.CIQ($A8, "IQ_DILUT_EPS_EXCL", IQ_FY,DateToday,,,Ccy,Conv)</f>
        <v>8.24</v>
      </c>
      <c r="Z8" s="11">
        <f>_xll.ciqfunctions.udf.CIQ($A8, "IQ_DILUT_EPS_EXCL", IQ_LTM,DateToday,,,Ccy,Conv)</f>
        <v>8.4460099999999994</v>
      </c>
      <c r="AA8" s="11">
        <f>_xll.ciqfunctions.udf.CIQ($A8, "IQ_EPS_EST", IQ_CY+ 1,DateToday,,,Ccy,Conv)</f>
        <v>9.2566699999999997</v>
      </c>
      <c r="AB8" s="11">
        <f>_xll.ciqfunctions.udf.CIQ($A8, "IQ_EPS_EST", IQ_CY+ 2,DateToday,,,Ccy,Conv)</f>
        <v>11.14667</v>
      </c>
      <c r="AC8" s="20">
        <f>_xll.ciqfunctions.udf.CIQ($A8, "IQ_TEV_TOTAL_REV",IQ_LTM,#REF!)</f>
        <v>1.4191400000000001</v>
      </c>
      <c r="AD8" s="20">
        <f>_xll.ciqfunctions.udf.CIQ($A8, "IQ_TEV_TOTAL_REV",IQ_LTM,DateToday)</f>
        <v>1.4191400000000001</v>
      </c>
      <c r="AE8" s="38">
        <f t="shared" si="3"/>
        <v>1.3655124059968289</v>
      </c>
      <c r="AF8" s="38">
        <f t="shared" si="4"/>
        <v>1.2747512396025424</v>
      </c>
      <c r="AG8" s="20">
        <f>_xll.ciqfunctions.udf.CIQ($A8, "IQ_TEV_EBITDA",IQ_LTM,#REF!)</f>
        <v>10.67535</v>
      </c>
      <c r="AH8" s="20">
        <f>_xll.ciqfunctions.udf.CIQ($A8, "IQ_TEV_EBITDA",IQ_LTM,DateToday)</f>
        <v>10.67535</v>
      </c>
      <c r="AI8" s="20">
        <f>_xll.ciqfunctions.udf.CIQ($A8, "IQ_TEV_EBITDA_FWD",IQ_CY+1,DateToday)</f>
        <v>12.60744</v>
      </c>
      <c r="AJ8" s="20">
        <f>_xll.ciqfunctions.udf.CIQ($A8, "IQ_TEV_EBITDA_FWD",IQ_CY+2,DateToday)</f>
        <v>11.12063</v>
      </c>
      <c r="AK8" s="20">
        <f>_xll.ciqfunctions.udf.CIQ($A8, "IQ_PE_EXCL",IQ_LTM,#REF!)</f>
        <v>18.774560000000001</v>
      </c>
      <c r="AL8" s="20">
        <f>_xll.ciqfunctions.udf.CIQ($A8, "IQ_PE_EXCL",IQ_LTM,DateToday)</f>
        <v>18.774560000000001</v>
      </c>
      <c r="AM8" s="20">
        <f>_xll.ciqfunctions.udf.CIQ($A8, "IQ_PE_EXCL_FWD",IQ_CY+1,DateToday)</f>
        <v>17.13035</v>
      </c>
      <c r="AN8" s="20">
        <f>_xll.ciqfunctions.udf.CIQ($A8, "IQ_PE_EXCL_FWD",IQ_CY+2,DateToday)</f>
        <v>14.225770000000001</v>
      </c>
      <c r="AO8" s="20">
        <f>_xll.ciqfunctions.udf.CIQ($A8, "IQ_PBV",IQ_LTM,DateToday,)</f>
        <v>2.82185</v>
      </c>
      <c r="AP8" s="20">
        <f>_xll.ciqfunctions.udf.CIQ($A8, "IQ_PTBV",IQ_LTM,DateToday,)</f>
        <v>11.465960000000001</v>
      </c>
      <c r="AQ8" s="4">
        <f>_xll.ciqfunctions.udf.CIQ($A8, "IQ_GROSS_MARGIN", IQ_FY- 2,DateToday,)</f>
        <v>32.529299999999999</v>
      </c>
      <c r="AR8" s="4">
        <f>_xll.ciqfunctions.udf.CIQ($A8, "IQ_GROSS_MARGIN", IQ_FY- 1,DateToday,)</f>
        <v>31.955500000000001</v>
      </c>
      <c r="AS8" s="4">
        <f>_xll.ciqfunctions.udf.CIQ($A8, "IQ_GROSS_MARGIN", IQ_FY,DateToday,)</f>
        <v>32.133000000000003</v>
      </c>
      <c r="AT8" s="4">
        <f>_xll.ciqfunctions.udf.CIQ($A8, "IQ_GROSS_MARGIN", IQ_LTM,DateToday,)</f>
        <v>31.878499999999999</v>
      </c>
      <c r="AU8" s="4">
        <f>_xll.ciqfunctions.udf.CIQ($A8, "IQ_EBITDA_MARGIN", IQ_FY- 2,DateToday,)</f>
        <v>12.1745</v>
      </c>
      <c r="AV8" s="4">
        <f>_xll.ciqfunctions.udf.CIQ($A8, "IQ_EBITDA_MARGIN", IQ_FY- 1,DateToday,)</f>
        <v>10.914300000000001</v>
      </c>
      <c r="AW8" s="4">
        <f>_xll.ciqfunctions.udf.CIQ($A8, "IQ_EBITDA_MARGIN", IQ_FY,DateToday,)</f>
        <v>12.2362</v>
      </c>
      <c r="AX8" s="4">
        <f>_xll.ciqfunctions.udf.CIQ($A8, "IQ_EBITDA_MARGIN", IQ_LTM,DateToday,)</f>
        <v>11.494</v>
      </c>
      <c r="AY8" s="4">
        <f>_xll.ciqfunctions.udf.CIQ($A8, "IQ_NI_MARGIN", IQ_FY- 2,DateToday,)</f>
        <v>7.8781999999999996</v>
      </c>
      <c r="AZ8" s="4">
        <f>_xll.ciqfunctions.udf.CIQ($A8, "IQ_NI_MARGIN", IQ_FY- 1,DateToday,)</f>
        <v>7.5727000000000002</v>
      </c>
      <c r="BA8" s="4">
        <f>_xll.ciqfunctions.udf.CIQ($A8, "IQ_NI_MARGIN", IQ_FY,DateToday,)</f>
        <v>7.1490999999999998</v>
      </c>
      <c r="BB8" s="4">
        <f>_xll.ciqfunctions.udf.CIQ($A8, "IQ_NI_MARGIN", IQ_LTM,DateToday,)</f>
        <v>6.8838999999999997</v>
      </c>
      <c r="BC8" s="4">
        <f>_xll.ciqfunctions.udf.CIQ($A8, "IQ_TOTAL_REV_5YR_ANN_CAGR",IQ_LTM,DateToday,)</f>
        <v>8.7833000000000006</v>
      </c>
      <c r="BD8" s="4">
        <f>_xll.ciqfunctions.udf.CIQ($A8, "IQ_TOTAL_REV_3YR_ANN_CAGR",IQ_LTM,DateToday,)</f>
        <v>7.5731999999999999</v>
      </c>
      <c r="BE8" s="4">
        <f>_xll.ciqfunctions.udf.CIQ($A8, "IQ_TOTAL_REV_1YR_ANN_GROWTH", IQ_FY,DateToday,)</f>
        <v>2.4388000000000001</v>
      </c>
      <c r="BF8" s="4">
        <f>_xll.ciqfunctions.udf.CIQ($A8, "IQ_TOTAL_REV_1YR_ANN_GROWTH",IQ_LTM,DateToday,)</f>
        <v>5.6029</v>
      </c>
      <c r="BG8" s="4">
        <f>_xll.ciqfunctions.udf.CIQ($A8, "IQ_EBITDA_5YR_ANN_CAGR",IQ_LTM,DateToday,)</f>
        <v>4.6551999999999998</v>
      </c>
      <c r="BH8" s="4">
        <f>_xll.ciqfunctions.udf.CIQ($A8, "IQ_EBITDA_3YR_ANN_CAGR",IQ_LTM,DateToday,)</f>
        <v>8.5493000000000006</v>
      </c>
      <c r="BI8" s="4">
        <f>_xll.ciqfunctions.udf.CIQ($A8, "IQ_EBITDA_1YR_ANN_GROWTH", IQ_FY,DateToday,)</f>
        <v>14.845700000000001</v>
      </c>
      <c r="BJ8" s="4">
        <f>_xll.ciqfunctions.udf.CIQ($A8, "IQ_EBITDA_1YR_ANN_GROWTH",IQ_LTM,DateToday,)</f>
        <v>9.1944999999999997</v>
      </c>
      <c r="BK8" s="4">
        <f>_xll.ciqfunctions.udf.CIQ($A8, "IQ_EPS_5YR_ANN_CAGR",IQ_LTM,DateToday,)</f>
        <v>7.0735999999999999</v>
      </c>
      <c r="BL8" s="4">
        <f>_xll.ciqfunctions.udf.CIQ($A8, "IQ_EPS_3YR_ANN_CAGR",IQ_LTM,DateToday,)</f>
        <v>10.485900000000001</v>
      </c>
      <c r="BM8" s="4">
        <f>_xll.ciqfunctions.udf.CIQ($A8, "IQ_EPS_1YR_ANN_GROWTH", IQ_FY,DateToday,)</f>
        <v>5.5057</v>
      </c>
      <c r="BN8" s="4">
        <f>_xll.ciqfunctions.udf.CIQ($A8, "IQ_EPS_1YR_ANN_GROWTH", IQ_LTM,DateToday,)</f>
        <v>15.358599999999999</v>
      </c>
      <c r="BO8" s="20">
        <f>_xll.ciqfunctions.udf.CIQ($A8, "IQ_TOTAL_DEBT_EBITDA",IQ_LTM,DateToday,)</f>
        <v>1.9553799999999999</v>
      </c>
      <c r="BP8" s="20">
        <f>_xll.ciqfunctions.udf.CIQ($A8, "IQ_NET_DEBT_EBITDA",IQ_LTM,DateToday,)</f>
        <v>1.57037</v>
      </c>
      <c r="BQ8" s="39">
        <f t="shared" si="5"/>
        <v>2.2615340389741929</v>
      </c>
      <c r="BR8" s="20">
        <f>_xll.ciqfunctions.udf.CIQ($A8, "IQ_EBITDA_INT",IQ_LTM,DateToday,)</f>
        <v>19.163620000000002</v>
      </c>
      <c r="BS8" s="20">
        <f>_xll.ciqfunctions.udf.CIQ($A8, "IQ_EBITDA_CAPEX_INT",IQ_LTM,DateToday,)</f>
        <v>17.252929999999999</v>
      </c>
      <c r="BT8" s="4">
        <f>_xll.ciqfunctions.udf.CIQ($A8, "IQ_TOTAL_DEBT_EQUITY",IQ_FQ,DateToday,)</f>
        <v>60.6</v>
      </c>
      <c r="BU8" s="4">
        <f>_xll.ciqfunctions.udf.CIQ($A8, "IQ_TOTAL_DEBT_CAPITAL",IQ_FQ,DateToday,)</f>
        <v>37.733499999999999</v>
      </c>
      <c r="BV8" s="4">
        <f>_xll.ciqfunctions.udf.CIQ($A8, "IQ_RETURN_EQUITY",IQ_LTM,DateToday)</f>
        <v>13.9939</v>
      </c>
      <c r="BW8" s="4">
        <f>_xll.ciqfunctions.udf.CIQ($A8, "IQ_RETURN_ASSETS",IQ_LTM,DateToday)</f>
        <v>7.1905000000000001</v>
      </c>
      <c r="BX8" s="4">
        <f>_xll.ciqfunctions.udf.CIQ($A8, "IQ_RETURN_INVESTED_CAPITAL",IQ_LTM,DateToday)</f>
        <v>10.230499999999999</v>
      </c>
      <c r="BY8" s="20">
        <f>_xll.ciqfunctions.udf.CIQ($A8, "IQ_CURRENT_RATIO",IQ_FQ,DateToday,)</f>
        <v>2.3002699999999998</v>
      </c>
      <c r="BZ8" s="20">
        <f>_xll.ciqfunctions.udf.CIQ($A8, "IQ_QUICK_RATIO",IQ_FQ,DateToday,)</f>
        <v>1.98922</v>
      </c>
      <c r="CA8" s="4">
        <f>_xll.ciqfunctions.udf.CIQ($A8, "IQ_DAYS_SALES_OUT",IQ_LTM,DateToday,)</f>
        <v>105.71933</v>
      </c>
      <c r="CB8" s="4">
        <f>_xll.ciqfunctions.udf.CIQ($A8, "IQ_DAYS_INVENTORY_OUT",IQ_LTM,DateToday,)</f>
        <v>0</v>
      </c>
      <c r="CC8" s="4">
        <f>_xll.ciqfunctions.udf.CIQ($A8, "IQ_DAYS_PAYABLE_OUT",IQ_LTM,DateToday,)</f>
        <v>28.955449999999999</v>
      </c>
      <c r="CD8" s="4">
        <f>_xll.ciqfunctions.udf.CIQ($A8, "IQ_CASH_CONVERSION",IQ_LTM,DateToday,)</f>
        <v>0</v>
      </c>
      <c r="CE8" s="20">
        <f>_xll.ciqfunctions.udf.CIQ($A8, "IQ_ASSET_TURNS",IQ_LTM,DateToday,)</f>
        <v>1.1303700000000001</v>
      </c>
      <c r="CF8" s="20">
        <f>_xll.ciqfunctions.udf.CIQ($A8, "IQ_FIXED_ASSET_TURNS",IQ_LTM,DateToday,)</f>
        <v>10.84573</v>
      </c>
      <c r="CG8" s="20">
        <f>_xll.ciqfunctions.udf.CIQ($A8, "IQ_AR_TURNS",IQ_LTM,DateToday,)</f>
        <v>3.4525299999999999</v>
      </c>
      <c r="CH8" s="20">
        <f>_xll.ciqfunctions.udf.CIQ($A8, "IQ_INVENTORY_TURNS",IQ_LTM,DateToday,)</f>
        <v>0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</row>
    <row r="9" spans="1:168" s="1" customFormat="1" x14ac:dyDescent="0.2">
      <c r="A9" s="36" t="str">
        <f>_xll.ciqfunctions.udf.CIQ($A$10,"IQ_QUICK_COMP",8)</f>
        <v>NasdaqGS:ICFI</v>
      </c>
      <c r="B9" s="36" t="str">
        <f>_xll.ciqfunctions.udf.CIQ($A9, "IQ_COMPANY_NAME")</f>
        <v>ICF International, Inc.</v>
      </c>
      <c r="C9" s="13">
        <f>_xll.ciqfunctions.udf.CIQ($A9,"IQ_PERIODDATE",IQ_FY,DateToday)</f>
        <v>46022</v>
      </c>
      <c r="D9" s="13">
        <f>_xll.ciqfunctions.udf.CIQ($A9,"IQ_PERIODDATE",IQ_LTM,DateToday)</f>
        <v>46112</v>
      </c>
      <c r="E9" s="11">
        <f>_xll.ciqfunctions.udf.CIQ($A9, "IQ_LASTSALEPRICE",DateToday,Ccy,Conv)</f>
        <v>72.760000000000005</v>
      </c>
      <c r="F9" s="11">
        <f>_xll.ciqfunctions.udf.CIQ($A9, "IQ_YEARHIGH",DateToday,Ccy,Conv)</f>
        <v>101.705</v>
      </c>
      <c r="G9" s="11">
        <f>_xll.ciqfunctions.udf.CIQ($A9, "IQ_YEARLOW",DateToday,Ccy,Conv)</f>
        <v>58.83</v>
      </c>
      <c r="H9" s="37">
        <f t="shared" si="0"/>
        <v>0.71540238926306476</v>
      </c>
      <c r="I9" s="37">
        <f t="shared" si="1"/>
        <v>1.236783953765086</v>
      </c>
      <c r="J9" s="4">
        <f>_xll.ciqfunctions.udf.CIQ($A9, "IQ_SHARESOUTSTANDING",DateToday)</f>
        <v>18.104179999999999</v>
      </c>
      <c r="K9" s="22">
        <f t="shared" si="2"/>
        <v>1317.2601368000001</v>
      </c>
      <c r="L9" s="4">
        <f>_xll.ciqfunctions.udf.CIQ($A9, "IQ_CASH_ST_INVEST",IQ_FQ,DateToday,,"F",Ccy,Conv)</f>
        <v>3.883</v>
      </c>
      <c r="M9" s="4">
        <f>_xll.ciqfunctions.udf.CIQ($A9, "IQ_TOTAL_DEBT",IQ_FQ,DateToday,,"F",Ccy,Conv)</f>
        <v>603.71500000000003</v>
      </c>
      <c r="N9" s="4">
        <f>_xll.ciqfunctions.udf.CIQ($A9, "IQ_PREF_EQUITY",IQ_FQ,DateToday,,"F",Ccy,Conv)</f>
        <v>0</v>
      </c>
      <c r="O9" s="4">
        <f>_xll.ciqfunctions.udf.CIQ($A9, "IQ_MINORITY_INTEREST_TOTAL",IQ_FQ,DateToday,,"F",Ccy,Conv)</f>
        <v>0</v>
      </c>
      <c r="P9" s="22">
        <f t="shared" si="6"/>
        <v>1917.0921367999999</v>
      </c>
      <c r="Q9" s="4">
        <f>_xll.ciqfunctions.udf.CIQ($A9, "IQ_TOTAL_REV", IQ_FY,DateToday,,,Ccy,Conv)</f>
        <v>1872.8510000000001</v>
      </c>
      <c r="R9" s="4">
        <f>_xll.ciqfunctions.udf.CIQ($A9, "IQ_TOTAL_REV", IQ_LTM,DateToday,,,Ccy,Conv)</f>
        <v>1822.7329999999999</v>
      </c>
      <c r="S9" s="4">
        <f>_xll.ciqfunctions.udf.CIQ($A9, "IQ_REVENUE_EST", IQ_CY+ 1,DateToday,,,Ccy,Conv)</f>
        <v>1906.7698</v>
      </c>
      <c r="T9" s="4">
        <f>_xll.ciqfunctions.udf.CIQ($A9, "IQ_REVENUE_EST", IQ_CY+ 2,DateToday,,,Ccy,Conv)</f>
        <v>2009.2876000000001</v>
      </c>
      <c r="U9" s="4">
        <f>_xll.ciqfunctions.udf.CIQ($A9, "IQ_EBITDA", IQ_FY,DateToday,,,Ccy,Conv)</f>
        <v>203.61199999999999</v>
      </c>
      <c r="V9" s="4">
        <f>_xll.ciqfunctions.udf.CIQ($A9, "IQ_EBITDA", IQ_LTM,DateToday,,,Ccy,Conv)</f>
        <v>198.46299999999999</v>
      </c>
      <c r="W9" s="4">
        <f>_xll.ciqfunctions.udf.CIQ($A9, "IQ_EBITDA_EST", IQ_CY+ 1,DateToday,,,Ccy,Conv)</f>
        <v>214.7732</v>
      </c>
      <c r="X9" s="4">
        <f>_xll.ciqfunctions.udf.CIQ($A9, "IQ_EBITDA_EST", IQ_CY+ 2,DateToday,,,Ccy,Conv)</f>
        <v>229.9974</v>
      </c>
      <c r="Y9" s="11">
        <f>_xll.ciqfunctions.udf.CIQ($A9, "IQ_DILUT_EPS_EXCL", IQ_FY,DateToday,,,Ccy,Conv)</f>
        <v>4.95</v>
      </c>
      <c r="Z9" s="11">
        <f>_xll.ciqfunctions.udf.CIQ($A9, "IQ_DILUT_EPS_EXCL", IQ_LTM,DateToday,,,Ccy,Conv)</f>
        <v>4.6288600000000004</v>
      </c>
      <c r="AA9" s="11">
        <f>_xll.ciqfunctions.udf.CIQ($A9, "IQ_EPS_EST", IQ_CY+ 1,DateToday,,,Ccy,Conv)</f>
        <v>7.0220000000000002</v>
      </c>
      <c r="AB9" s="11">
        <f>_xll.ciqfunctions.udf.CIQ($A9, "IQ_EPS_EST", IQ_CY+ 2,DateToday,,,Ccy,Conv)</f>
        <v>7.68</v>
      </c>
      <c r="AC9" s="20">
        <f>_xll.ciqfunctions.udf.CIQ($A9, "IQ_TEV_TOTAL_REV",IQ_LTM,#REF!)</f>
        <v>1.0517700000000001</v>
      </c>
      <c r="AD9" s="20">
        <f>_xll.ciqfunctions.udf.CIQ($A9, "IQ_TEV_TOTAL_REV",IQ_LTM,DateToday)</f>
        <v>1.0517700000000001</v>
      </c>
      <c r="AE9" s="38">
        <f t="shared" si="3"/>
        <v>1.0054135201847647</v>
      </c>
      <c r="AF9" s="38">
        <f t="shared" si="4"/>
        <v>0.95411534754905158</v>
      </c>
      <c r="AG9" s="20">
        <f>_xll.ciqfunctions.udf.CIQ($A9, "IQ_TEV_EBITDA",IQ_LTM,#REF!)</f>
        <v>8.8328600000000002</v>
      </c>
      <c r="AH9" s="20">
        <f>_xll.ciqfunctions.udf.CIQ($A9, "IQ_TEV_EBITDA",IQ_LTM,DateToday)</f>
        <v>8.8328600000000002</v>
      </c>
      <c r="AI9" s="20">
        <f>_xll.ciqfunctions.udf.CIQ($A9, "IQ_TEV_EBITDA_FWD",IQ_CY+1,DateToday)</f>
        <v>8.9261199999999992</v>
      </c>
      <c r="AJ9" s="20">
        <f>_xll.ciqfunctions.udf.CIQ($A9, "IQ_TEV_EBITDA_FWD",IQ_CY+2,DateToday)</f>
        <v>8.3352799999999991</v>
      </c>
      <c r="AK9" s="20">
        <f>_xll.ciqfunctions.udf.CIQ($A9, "IQ_PE_EXCL",IQ_LTM,#REF!)</f>
        <v>15.718780000000001</v>
      </c>
      <c r="AL9" s="20">
        <f>_xll.ciqfunctions.udf.CIQ($A9, "IQ_PE_EXCL",IQ_LTM,DateToday)</f>
        <v>15.718780000000001</v>
      </c>
      <c r="AM9" s="20">
        <f>_xll.ciqfunctions.udf.CIQ($A9, "IQ_PE_EXCL_FWD",IQ_CY+1,DateToday)</f>
        <v>10.36172</v>
      </c>
      <c r="AN9" s="20">
        <f>_xll.ciqfunctions.udf.CIQ($A9, "IQ_PE_EXCL_FWD",IQ_CY+2,DateToday)</f>
        <v>9.4739599999999999</v>
      </c>
      <c r="AO9" s="20">
        <f>_xll.ciqfunctions.udf.CIQ($A9, "IQ_PBV",IQ_LTM,DateToday,)</f>
        <v>1.2774399999999999</v>
      </c>
      <c r="AP9" s="20" t="str">
        <f>_xll.ciqfunctions.udf.CIQ($A9, "IQ_PTBV",IQ_LTM,DateToday,)</f>
        <v>NM</v>
      </c>
      <c r="AQ9" s="4">
        <f>_xll.ciqfunctions.udf.CIQ($A9, "IQ_GROSS_MARGIN", IQ_FY- 2,DateToday,)</f>
        <v>35.564700000000002</v>
      </c>
      <c r="AR9" s="4">
        <f>_xll.ciqfunctions.udf.CIQ($A9, "IQ_GROSS_MARGIN", IQ_FY- 1,DateToday,)</f>
        <v>36.527099999999997</v>
      </c>
      <c r="AS9" s="4">
        <f>_xll.ciqfunctions.udf.CIQ($A9, "IQ_GROSS_MARGIN", IQ_FY,DateToday,)</f>
        <v>37.163400000000003</v>
      </c>
      <c r="AT9" s="4">
        <f>_xll.ciqfunctions.udf.CIQ($A9, "IQ_GROSS_MARGIN", IQ_LTM,DateToday,)</f>
        <v>37.186</v>
      </c>
      <c r="AU9" s="4">
        <f>_xll.ciqfunctions.udf.CIQ($A9, "IQ_EBITDA_MARGIN", IQ_FY- 2,DateToday,)</f>
        <v>10.18</v>
      </c>
      <c r="AV9" s="4">
        <f>_xll.ciqfunctions.udf.CIQ($A9, "IQ_EBITDA_MARGIN", IQ_FY- 1,DateToday,)</f>
        <v>11.0358</v>
      </c>
      <c r="AW9" s="4">
        <f>_xll.ciqfunctions.udf.CIQ($A9, "IQ_EBITDA_MARGIN", IQ_FY,DateToday,)</f>
        <v>10.871700000000001</v>
      </c>
      <c r="AX9" s="4">
        <f>_xll.ciqfunctions.udf.CIQ($A9, "IQ_EBITDA_MARGIN", IQ_LTM,DateToday,)</f>
        <v>10.888199999999999</v>
      </c>
      <c r="AY9" s="4">
        <f>_xll.ciqfunctions.udf.CIQ($A9, "IQ_NI_MARGIN", IQ_FY- 2,DateToday,)</f>
        <v>4.2079000000000004</v>
      </c>
      <c r="AZ9" s="4">
        <f>_xll.ciqfunctions.udf.CIQ($A9, "IQ_NI_MARGIN", IQ_FY- 1,DateToday,)</f>
        <v>5.4545000000000003</v>
      </c>
      <c r="BA9" s="4">
        <f>_xll.ciqfunctions.udf.CIQ($A9, "IQ_NI_MARGIN", IQ_FY,DateToday,)</f>
        <v>4.8902000000000001</v>
      </c>
      <c r="BB9" s="4">
        <f>_xll.ciqfunctions.udf.CIQ($A9, "IQ_NI_MARGIN", IQ_LTM,DateToday,)</f>
        <v>4.6775000000000002</v>
      </c>
      <c r="BC9" s="4">
        <f>_xll.ciqfunctions.udf.CIQ($A9, "IQ_TOTAL_REV_5YR_ANN_CAGR",IQ_LTM,DateToday,)</f>
        <v>3.6025</v>
      </c>
      <c r="BD9" s="4">
        <f>_xll.ciqfunctions.udf.CIQ($A9, "IQ_TOTAL_REV_3YR_ANN_CAGR",IQ_LTM,DateToday,)</f>
        <v>-0.48980000000000001</v>
      </c>
      <c r="BE9" s="4">
        <f>_xll.ciqfunctions.udf.CIQ($A9, "IQ_TOTAL_REV_1YR_ANN_GROWTH", IQ_FY,DateToday,)</f>
        <v>-7.2748999999999997</v>
      </c>
      <c r="BF9" s="4">
        <f>_xll.ciqfunctions.udf.CIQ($A9, "IQ_TOTAL_REV_1YR_ANN_GROWTH",IQ_LTM,DateToday,)</f>
        <v>-9.4505999999999997</v>
      </c>
      <c r="BG9" s="4">
        <f>_xll.ciqfunctions.udf.CIQ($A9, "IQ_EBITDA_5YR_ANN_CAGR",IQ_LTM,DateToday,)</f>
        <v>7.5359999999999996</v>
      </c>
      <c r="BH9" s="4">
        <f>_xll.ciqfunctions.udf.CIQ($A9, "IQ_EBITDA_3YR_ANN_CAGR",IQ_LTM,DateToday,)</f>
        <v>4.0422000000000002</v>
      </c>
      <c r="BI9" s="4">
        <f>_xll.ciqfunctions.udf.CIQ($A9, "IQ_EBITDA_1YR_ANN_GROWTH", IQ_FY,DateToday,)</f>
        <v>-8.6537000000000006</v>
      </c>
      <c r="BJ9" s="4">
        <f>_xll.ciqfunctions.udf.CIQ($A9, "IQ_EBITDA_1YR_ANN_GROWTH",IQ_LTM,DateToday,)</f>
        <v>-10.3102</v>
      </c>
      <c r="BK9" s="4">
        <f>_xll.ciqfunctions.udf.CIQ($A9, "IQ_EPS_5YR_ANN_CAGR",IQ_LTM,DateToday,)</f>
        <v>7.1273</v>
      </c>
      <c r="BL9" s="4">
        <f>_xll.ciqfunctions.udf.CIQ($A9, "IQ_EPS_3YR_ANN_CAGR",IQ_LTM,DateToday,)</f>
        <v>11.828200000000001</v>
      </c>
      <c r="BM9" s="4">
        <f>_xll.ciqfunctions.udf.CIQ($A9, "IQ_EPS_1YR_ANN_GROWTH", IQ_FY,DateToday,)</f>
        <v>-14.948499999999999</v>
      </c>
      <c r="BN9" s="4">
        <f>_xll.ciqfunctions.udf.CIQ($A9, "IQ_EPS_1YR_ANN_GROWTH", IQ_LTM,DateToday,)</f>
        <v>-20.47</v>
      </c>
      <c r="BO9" s="20">
        <f>_xll.ciqfunctions.udf.CIQ($A9, "IQ_TOTAL_DEBT_EBITDA",IQ_LTM,DateToday,)</f>
        <v>2.7815699999999999</v>
      </c>
      <c r="BP9" s="20">
        <f>_xll.ciqfunctions.udf.CIQ($A9, "IQ_NET_DEBT_EBITDA",IQ_LTM,DateToday,)</f>
        <v>2.7636799999999999</v>
      </c>
      <c r="BQ9" s="39">
        <f t="shared" si="5"/>
        <v>3.0419524042264809</v>
      </c>
      <c r="BR9" s="20">
        <f>_xll.ciqfunctions.udf.CIQ($A9, "IQ_EBITDA_INT",IQ_LTM,DateToday,)</f>
        <v>7.1856</v>
      </c>
      <c r="BS9" s="20">
        <f>_xll.ciqfunctions.udf.CIQ($A9, "IQ_EBITDA_CAPEX_INT",IQ_LTM,DateToday,)</f>
        <v>6.4891199999999998</v>
      </c>
      <c r="BT9" s="4">
        <f>_xll.ciqfunctions.udf.CIQ($A9, "IQ_TOTAL_DEBT_EQUITY",IQ_FQ,DateToday,)</f>
        <v>58.504600000000003</v>
      </c>
      <c r="BU9" s="4">
        <f>_xll.ciqfunctions.udf.CIQ($A9, "IQ_TOTAL_DEBT_CAPITAL",IQ_FQ,DateToday,)</f>
        <v>36.910299999999999</v>
      </c>
      <c r="BV9" s="4">
        <f>_xll.ciqfunctions.udf.CIQ($A9, "IQ_RETURN_EQUITY",IQ_LTM,DateToday)</f>
        <v>8.5225000000000009</v>
      </c>
      <c r="BW9" s="4">
        <f>_xll.ciqfunctions.udf.CIQ($A9, "IQ_RETURN_ASSETS",IQ_LTM,DateToday)</f>
        <v>4.2976999999999999</v>
      </c>
      <c r="BX9" s="4">
        <f>_xll.ciqfunctions.udf.CIQ($A9, "IQ_RETURN_INVESTED_CAPITAL",IQ_LTM,DateToday)</f>
        <v>4.5523999999999996</v>
      </c>
      <c r="BY9" s="20">
        <f>_xll.ciqfunctions.udf.CIQ($A9, "IQ_CURRENT_RATIO",IQ_FQ,DateToday,)</f>
        <v>1.4772799999999999</v>
      </c>
      <c r="BZ9" s="20">
        <f>_xll.ciqfunctions.udf.CIQ($A9, "IQ_QUICK_RATIO",IQ_FQ,DateToday,)</f>
        <v>1.2821400000000001</v>
      </c>
      <c r="CA9" s="4">
        <f>_xll.ciqfunctions.udf.CIQ($A9, "IQ_DAYS_SALES_OUT",IQ_LTM,DateToday,)</f>
        <v>89.781970000000001</v>
      </c>
      <c r="CB9" s="4">
        <f>_xll.ciqfunctions.udf.CIQ($A9, "IQ_DAYS_INVENTORY_OUT",IQ_LTM,DateToday,)</f>
        <v>0</v>
      </c>
      <c r="CC9" s="4">
        <f>_xll.ciqfunctions.udf.CIQ($A9, "IQ_DAYS_PAYABLE_OUT",IQ_LTM,DateToday,)</f>
        <v>34.32497</v>
      </c>
      <c r="CD9" s="4">
        <f>_xll.ciqfunctions.udf.CIQ($A9, "IQ_CASH_CONVERSION",IQ_LTM,DateToday,)</f>
        <v>0</v>
      </c>
      <c r="CE9" s="20">
        <f>_xll.ciqfunctions.udf.CIQ($A9, "IQ_ASSET_TURNS",IQ_LTM,DateToday,)</f>
        <v>0.88309000000000004</v>
      </c>
      <c r="CF9" s="20">
        <f>_xll.ciqfunctions.udf.CIQ($A9, "IQ_FIXED_ASSET_TURNS",IQ_LTM,DateToday,)</f>
        <v>10.88979</v>
      </c>
      <c r="CG9" s="20">
        <f>_xll.ciqfunctions.udf.CIQ($A9, "IQ_AR_TURNS",IQ_LTM,DateToday,)</f>
        <v>4.0654000000000003</v>
      </c>
      <c r="CH9" s="20">
        <f>_xll.ciqfunctions.udf.CIQ($A9, "IQ_INVENTORY_TURNS",IQ_LTM,DateToday,)</f>
        <v>0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</row>
    <row r="10" spans="1:168" s="14" customFormat="1" x14ac:dyDescent="0.2">
      <c r="A10" s="60" t="str">
        <f>InputTicker</f>
        <v>NYSE:BAH</v>
      </c>
      <c r="B10" s="61" t="str">
        <f>_xll.ciqfunctions.udf.CIQ($A10, "IQ_COMPANY_NAME")</f>
        <v>Booz Allen Hamilton Holding Corporation</v>
      </c>
      <c r="C10" s="62">
        <f>_xll.ciqfunctions.udf.CIQ($A10,"IQ_PERIODDATE",IQ_FY,DateToday)</f>
        <v>46112</v>
      </c>
      <c r="D10" s="62">
        <f>_xll.ciqfunctions.udf.CIQ($A10,"IQ_PERIODDATE",IQ_LTM,DateToday)</f>
        <v>46112</v>
      </c>
      <c r="E10" s="63">
        <f>_xll.ciqfunctions.udf.CIQ($A10, "IQ_LASTSALEPRICE",DateToday,Ccy,Conv)</f>
        <v>77.41</v>
      </c>
      <c r="F10" s="63">
        <f>_xll.ciqfunctions.udf.CIQ($A10, "IQ_YEARHIGH",DateToday,Ccy,Conv)</f>
        <v>120.045</v>
      </c>
      <c r="G10" s="63">
        <f>_xll.ciqfunctions.udf.CIQ($A10, "IQ_YEARLOW",DateToday,Ccy,Conv)</f>
        <v>68.834999999999994</v>
      </c>
      <c r="H10" s="64">
        <f t="shared" si="0"/>
        <v>0.64484151776417176</v>
      </c>
      <c r="I10" s="64">
        <f t="shared" si="1"/>
        <v>1.1245732548848697</v>
      </c>
      <c r="J10" s="10">
        <f>_xll.ciqfunctions.udf.CIQ($A10, "IQ_SHARESOUTSTANDING",DateToday)</f>
        <v>119.74612999999999</v>
      </c>
      <c r="K10" s="65">
        <f t="shared" si="2"/>
        <v>9269.5479232999987</v>
      </c>
      <c r="L10" s="10">
        <f>_xll.ciqfunctions.udf.CIQ($A10, "IQ_CASH_ST_INVEST",IQ_FQ,DateToday,,"F",Ccy,Conv)</f>
        <v>728</v>
      </c>
      <c r="M10" s="10">
        <f>_xll.ciqfunctions.udf.CIQ($A10, "IQ_TOTAL_DEBT",IQ_FQ,DateToday,,"F",Ccy,Conv)</f>
        <v>4122</v>
      </c>
      <c r="N10" s="10">
        <f>_xll.ciqfunctions.udf.CIQ($A10, "IQ_PREF_EQUITY",IQ_FQ,DateToday,,"F",Ccy,Conv)</f>
        <v>0</v>
      </c>
      <c r="O10" s="10">
        <f>_xll.ciqfunctions.udf.CIQ($A10, "IQ_MINORITY_INTEREST_TOTAL",IQ_FQ,DateToday,,"F",Ccy,Conv)</f>
        <v>0</v>
      </c>
      <c r="P10" s="65">
        <f t="shared" si="6"/>
        <v>12663.547923299999</v>
      </c>
      <c r="Q10" s="10">
        <f>_xll.ciqfunctions.udf.CIQ($A10, "IQ_TOTAL_REV", IQ_FY,DateToday,,,Ccy,Conv)</f>
        <v>11217</v>
      </c>
      <c r="R10" s="10">
        <f>_xll.ciqfunctions.udf.CIQ($A10, "IQ_TOTAL_REV", IQ_LTM,DateToday,,,Ccy,Conv)</f>
        <v>11217</v>
      </c>
      <c r="S10" s="10">
        <f>_xll.ciqfunctions.udf.CIQ($A10, "IQ_REVENUE_EST", IQ_CY+ 1,DateToday,,,Ccy,Conv)</f>
        <v>11247.8158</v>
      </c>
      <c r="T10" s="10">
        <f>_xll.ciqfunctions.udf.CIQ($A10, "IQ_REVENUE_EST", IQ_CY+ 2,DateToday,,,Ccy,Conv)</f>
        <v>11715.248900000001</v>
      </c>
      <c r="U10" s="10">
        <f>_xll.ciqfunctions.udf.CIQ($A10, "IQ_EBITDA", IQ_FY,DateToday,,,Ccy,Conv)</f>
        <v>1258</v>
      </c>
      <c r="V10" s="10">
        <f>_xll.ciqfunctions.udf.CIQ($A10, "IQ_EBITDA", IQ_LTM,DateToday,,,Ccy,Conv)</f>
        <v>1258</v>
      </c>
      <c r="W10" s="10">
        <f>_xll.ciqfunctions.udf.CIQ($A10, "IQ_EBITDA_EST", IQ_CY+ 1,DateToday,,,Ccy,Conv)</f>
        <v>1232.9132999999999</v>
      </c>
      <c r="X10" s="10">
        <f>_xll.ciqfunctions.udf.CIQ($A10, "IQ_EBITDA_EST", IQ_CY+ 2,DateToday,,,Ccy,Conv)</f>
        <v>1295.7394999999999</v>
      </c>
      <c r="Y10" s="63">
        <f>_xll.ciqfunctions.udf.CIQ($A10, "IQ_DILUT_EPS_EXCL", IQ_FY,DateToday,,,Ccy,Conv)</f>
        <v>6.9</v>
      </c>
      <c r="Z10" s="63">
        <f>_xll.ciqfunctions.udf.CIQ($A10, "IQ_DILUT_EPS_EXCL", IQ_LTM,DateToday,,,Ccy,Conv)</f>
        <v>6.9</v>
      </c>
      <c r="AA10" s="63">
        <f>_xll.ciqfunctions.udf.CIQ($A10, "IQ_EPS_EST", IQ_CY+ 1,DateToday,,,Ccy,Conv)</f>
        <v>6.4009999999999998</v>
      </c>
      <c r="AB10" s="63">
        <f>_xll.ciqfunctions.udf.CIQ($A10, "IQ_EPS_EST", IQ_CY+ 2,DateToday,,,Ccy,Conv)</f>
        <v>6.6951999999999998</v>
      </c>
      <c r="AC10" s="66">
        <f>_xll.ciqfunctions.udf.CIQ($A10, "IQ_TEV_TOTAL_REV",IQ_LTM,#REF!)</f>
        <v>1.12896</v>
      </c>
      <c r="AD10" s="66">
        <f>_xll.ciqfunctions.udf.CIQ($A10, "IQ_TEV_TOTAL_REV",IQ_LTM,DateToday)</f>
        <v>1.12896</v>
      </c>
      <c r="AE10" s="67">
        <f t="shared" si="3"/>
        <v>1.1258672926791704</v>
      </c>
      <c r="AF10" s="67">
        <f t="shared" si="4"/>
        <v>1.0809457000354468</v>
      </c>
      <c r="AG10" s="66">
        <f>_xll.ciqfunctions.udf.CIQ($A10, "IQ_TEV_EBITDA",IQ_LTM,#REF!)</f>
        <v>9.5000400000000003</v>
      </c>
      <c r="AH10" s="66">
        <f>_xll.ciqfunctions.udf.CIQ($A10, "IQ_TEV_EBITDA",IQ_LTM,DateToday)</f>
        <v>9.5000400000000003</v>
      </c>
      <c r="AI10" s="66">
        <f>_xll.ciqfunctions.udf.CIQ($A10, "IQ_TEV_EBITDA_FWD",IQ_CY+1,DateToday)</f>
        <v>10.271240000000001</v>
      </c>
      <c r="AJ10" s="66">
        <f>_xll.ciqfunctions.udf.CIQ($A10, "IQ_TEV_EBITDA_FWD",IQ_CY+2,DateToday)</f>
        <v>9.7732200000000002</v>
      </c>
      <c r="AK10" s="66">
        <f>_xll.ciqfunctions.udf.CIQ($A10, "IQ_PE_EXCL",IQ_LTM,#REF!)</f>
        <v>11.21884</v>
      </c>
      <c r="AL10" s="66">
        <f>_xll.ciqfunctions.udf.CIQ($A10, "IQ_PE_EXCL",IQ_LTM,DateToday)</f>
        <v>11.21884</v>
      </c>
      <c r="AM10" s="66">
        <f>_xll.ciqfunctions.udf.CIQ($A10, "IQ_PE_EXCL_FWD",IQ_CY+1,DateToday)</f>
        <v>12.09342</v>
      </c>
      <c r="AN10" s="66">
        <f>_xll.ciqfunctions.udf.CIQ($A10, "IQ_PE_EXCL_FWD",IQ_CY+2,DateToday)</f>
        <v>11.562010000000001</v>
      </c>
      <c r="AO10" s="66">
        <f>_xll.ciqfunctions.udf.CIQ($A10, "IQ_PBV",IQ_LTM,DateToday,)</f>
        <v>8.4304299999999994</v>
      </c>
      <c r="AP10" s="66" t="str">
        <f>_xll.ciqfunctions.udf.CIQ($A10, "IQ_PTBV",IQ_LTM,DateToday,)</f>
        <v>NM</v>
      </c>
      <c r="AQ10" s="10">
        <f>_xll.ciqfunctions.udf.CIQ($A10, "IQ_GROSS_MARGIN", IQ_FY- 2,DateToday,)</f>
        <v>23.063199999999998</v>
      </c>
      <c r="AR10" s="10">
        <f>_xll.ciqfunctions.udf.CIQ($A10, "IQ_GROSS_MARGIN", IQ_FY- 1,DateToday,)</f>
        <v>23.2136</v>
      </c>
      <c r="AS10" s="10">
        <f>_xll.ciqfunctions.udf.CIQ($A10, "IQ_GROSS_MARGIN", IQ_FY,DateToday,)</f>
        <v>22.358899999999998</v>
      </c>
      <c r="AT10" s="10">
        <f>_xll.ciqfunctions.udf.CIQ($A10, "IQ_GROSS_MARGIN", IQ_LTM,DateToday,)</f>
        <v>22.358899999999998</v>
      </c>
      <c r="AU10" s="10">
        <f>_xll.ciqfunctions.udf.CIQ($A10, "IQ_EBITDA_MARGIN", IQ_FY- 2,DateToday,)</f>
        <v>11.1517</v>
      </c>
      <c r="AV10" s="10">
        <f>_xll.ciqfunctions.udf.CIQ($A10, "IQ_EBITDA_MARGIN", IQ_FY- 1,DateToday,)</f>
        <v>11.5108</v>
      </c>
      <c r="AW10" s="10">
        <f>_xll.ciqfunctions.udf.CIQ($A10, "IQ_EBITDA_MARGIN", IQ_FY,DateToday,)</f>
        <v>11.2151</v>
      </c>
      <c r="AX10" s="10">
        <f>_xll.ciqfunctions.udf.CIQ($A10, "IQ_EBITDA_MARGIN", IQ_LTM,DateToday,)</f>
        <v>11.2151</v>
      </c>
      <c r="AY10" s="10">
        <f>_xll.ciqfunctions.udf.CIQ($A10, "IQ_NI_MARGIN", IQ_FY- 2,DateToday,)</f>
        <v>5.6837</v>
      </c>
      <c r="AZ10" s="10">
        <f>_xll.ciqfunctions.udf.CIQ($A10, "IQ_NI_MARGIN", IQ_FY- 1,DateToday,)</f>
        <v>7.8045999999999998</v>
      </c>
      <c r="BA10" s="10">
        <f>_xll.ciqfunctions.udf.CIQ($A10, "IQ_NI_MARGIN", IQ_FY,DateToday,)</f>
        <v>7.5865999999999998</v>
      </c>
      <c r="BB10" s="10">
        <f>_xll.ciqfunctions.udf.CIQ($A10, "IQ_NI_MARGIN", IQ_LTM,DateToday,)</f>
        <v>7.5865999999999998</v>
      </c>
      <c r="BC10" s="10">
        <f>_xll.ciqfunctions.udf.CIQ($A10, "IQ_TOTAL_REV_5YR_ANN_CAGR",IQ_LTM,DateToday,)</f>
        <v>7.3747999999999996</v>
      </c>
      <c r="BD10" s="10">
        <f>_xll.ciqfunctions.udf.CIQ($A10, "IQ_TOTAL_REV_3YR_ANN_CAGR",IQ_LTM,DateToday,)</f>
        <v>6.6032999999999999</v>
      </c>
      <c r="BE10" s="10">
        <f>_xll.ciqfunctions.udf.CIQ($A10, "IQ_TOTAL_REV_1YR_ANN_GROWTH", IQ_FY,DateToday,)</f>
        <v>-6.3689999999999998</v>
      </c>
      <c r="BF10" s="10">
        <f>_xll.ciqfunctions.udf.CIQ($A10, "IQ_TOTAL_REV_1YR_ANN_GROWTH",IQ_LTM,DateToday,)</f>
        <v>-6.3689999999999998</v>
      </c>
      <c r="BG10" s="10">
        <f>_xll.ciqfunctions.udf.CIQ($A10, "IQ_EBITDA_5YR_ANN_CAGR",IQ_LTM,DateToday,)</f>
        <v>8.5565999999999995</v>
      </c>
      <c r="BH10" s="10">
        <f>_xll.ciqfunctions.udf.CIQ($A10, "IQ_EBITDA_3YR_ANN_CAGR",IQ_LTM,DateToday,)</f>
        <v>8.8286999999999995</v>
      </c>
      <c r="BI10" s="10">
        <f>_xll.ciqfunctions.udf.CIQ($A10, "IQ_EBITDA_1YR_ANN_GROWTH", IQ_FY,DateToday,)</f>
        <v>-8.7744999999999997</v>
      </c>
      <c r="BJ10" s="10">
        <f>_xll.ciqfunctions.udf.CIQ($A10, "IQ_EBITDA_1YR_ANN_GROWTH",IQ_LTM,DateToday,)</f>
        <v>-8.7744999999999997</v>
      </c>
      <c r="BK10" s="10">
        <f>_xll.ciqfunctions.udf.CIQ($A10, "IQ_EPS_5YR_ANN_CAGR",IQ_LTM,DateToday,)</f>
        <v>9.5899000000000001</v>
      </c>
      <c r="BL10" s="10">
        <f>_xll.ciqfunctions.udf.CIQ($A10, "IQ_EPS_3YR_ANN_CAGR",IQ_LTM,DateToday,)</f>
        <v>50.354999999999997</v>
      </c>
      <c r="BM10" s="10">
        <f>_xll.ciqfunctions.udf.CIQ($A10, "IQ_EPS_1YR_ANN_GROWTH", IQ_FY,DateToday,)</f>
        <v>-4.8276000000000003</v>
      </c>
      <c r="BN10" s="10">
        <f>_xll.ciqfunctions.udf.CIQ($A10, "IQ_EPS_1YR_ANN_GROWTH", IQ_LTM,DateToday,)</f>
        <v>-4.8276000000000003</v>
      </c>
      <c r="BO10" s="66">
        <f>_xll.ciqfunctions.udf.CIQ($A10, "IQ_TOTAL_DEBT_EBITDA",IQ_LTM,DateToday,)</f>
        <v>3.0922700000000001</v>
      </c>
      <c r="BP10" s="66">
        <f>_xll.ciqfunctions.udf.CIQ($A10, "IQ_NET_DEBT_EBITDA",IQ_LTM,DateToday,)</f>
        <v>2.5461399999999998</v>
      </c>
      <c r="BQ10" s="68">
        <f t="shared" si="5"/>
        <v>3.2766295707472177</v>
      </c>
      <c r="BR10" s="66">
        <f>_xll.ciqfunctions.udf.CIQ($A10, "IQ_EBITDA_INT",IQ_LTM,DateToday,)</f>
        <v>7.2445700000000004</v>
      </c>
      <c r="BS10" s="66">
        <f>_xll.ciqfunctions.udf.CIQ($A10, "IQ_EBITDA_CAPEX_INT",IQ_LTM,DateToday,)</f>
        <v>6.7554299999999996</v>
      </c>
      <c r="BT10" s="10">
        <f>_xll.ciqfunctions.udf.CIQ($A10, "IQ_TOTAL_DEBT_EQUITY",IQ_FQ,DateToday,)</f>
        <v>373.03160000000003</v>
      </c>
      <c r="BU10" s="10">
        <f>_xll.ciqfunctions.udf.CIQ($A10, "IQ_TOTAL_DEBT_CAPITAL",IQ_FQ,DateToday,)</f>
        <v>78.859700000000004</v>
      </c>
      <c r="BV10" s="10">
        <f>_xll.ciqfunctions.udf.CIQ($A10, "IQ_RETURN_EQUITY",IQ_LTM,DateToday)</f>
        <v>80.739999999999995</v>
      </c>
      <c r="BW10" s="10">
        <f>_xll.ciqfunctions.udf.CIQ($A10, "IQ_RETURN_ASSETS",IQ_LTM,DateToday)</f>
        <v>9.4854000000000003</v>
      </c>
      <c r="BX10" s="10">
        <f>_xll.ciqfunctions.udf.CIQ($A10, "IQ_RETURN_INVESTED_CAPITAL",IQ_LTM,DateToday)</f>
        <v>11.005800000000001</v>
      </c>
      <c r="BY10" s="66">
        <f>_xll.ciqfunctions.udf.CIQ($A10, "IQ_CURRENT_RATIO",IQ_FQ,DateToday,)</f>
        <v>1.7805200000000001</v>
      </c>
      <c r="BZ10" s="66">
        <f>_xll.ciqfunctions.udf.CIQ($A10, "IQ_QUICK_RATIO",IQ_FQ,DateToday,)</f>
        <v>1.6782900000000001</v>
      </c>
      <c r="CA10" s="10">
        <f>_xll.ciqfunctions.udf.CIQ($A10, "IQ_DAYS_SALES_OUT",IQ_LTM,DateToday,)</f>
        <v>70.513620000000003</v>
      </c>
      <c r="CB10" s="10">
        <f>_xll.ciqfunctions.udf.CIQ($A10, "IQ_DAYS_INVENTORY_OUT",IQ_LTM,DateToday,)</f>
        <v>0</v>
      </c>
      <c r="CC10" s="10">
        <f>_xll.ciqfunctions.udf.CIQ($A10, "IQ_DAYS_PAYABLE_OUT",IQ_LTM,DateToday,)</f>
        <v>26.96949</v>
      </c>
      <c r="CD10" s="10">
        <f>_xll.ciqfunctions.udf.CIQ($A10, "IQ_CASH_CONVERSION",IQ_LTM,DateToday,)</f>
        <v>0</v>
      </c>
      <c r="CE10" s="66">
        <f>_xll.ciqfunctions.udf.CIQ($A10, "IQ_ASSET_TURNS",IQ_LTM,DateToday,)</f>
        <v>1.5546800000000001</v>
      </c>
      <c r="CF10" s="66">
        <f>_xll.ciqfunctions.udf.CIQ($A10, "IQ_FIXED_ASSET_TURNS",IQ_LTM,DateToday,)</f>
        <v>33.334319999999998</v>
      </c>
      <c r="CG10" s="66">
        <f>_xll.ciqfunctions.udf.CIQ($A10, "IQ_AR_TURNS",IQ_LTM,DateToday,)</f>
        <v>5.1762800000000002</v>
      </c>
      <c r="CH10" s="66">
        <f>_xll.ciqfunctions.udf.CIQ($A10, "IQ_INVENTORY_TURNS",IQ_LTM,DateToday,)</f>
        <v>0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</row>
  </sheetData>
  <phoneticPr fontId="0" type="noConversion"/>
  <printOptions horizontalCentered="1"/>
  <pageMargins left="0" right="0" top="0.25" bottom="0.25" header="0.5" footer="0.25"/>
  <pageSetup scale="56" fitToWidth="7" orientation="landscape" r:id="rId1"/>
  <headerFooter alignWithMargins="0">
    <oddFooter>&amp;C&amp;"Times New Roman,Regular"&amp;11&amp;P of &amp;N</oddFooter>
  </headerFooter>
  <colBreaks count="6" manualBreakCount="6">
    <brk id="16" max="1048575" man="1"/>
    <brk id="28" max="1048575" man="1"/>
    <brk id="42" max="1048575" man="1"/>
    <brk id="54" max="1048575" man="1"/>
    <brk id="66" max="1048575" man="1"/>
    <brk id="7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1F65D8D85C643B279395178BBB636" ma:contentTypeVersion="10" ma:contentTypeDescription="Create a new document." ma:contentTypeScope="" ma:versionID="5485f5b32512d653f7453980de4c8998">
  <xsd:schema xmlns:xsd="http://www.w3.org/2001/XMLSchema" xmlns:xs="http://www.w3.org/2001/XMLSchema" xmlns:p="http://schemas.microsoft.com/office/2006/metadata/properties" xmlns:ns3="d0640473-7254-4dee-a68e-1aa7dfe87080" targetNamespace="http://schemas.microsoft.com/office/2006/metadata/properties" ma:root="true" ma:fieldsID="840fc2309eebaf0bed357e94e47325f3" ns3:_="">
    <xsd:import namespace="d0640473-7254-4dee-a68e-1aa7dfe870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40473-7254-4dee-a68e-1aa7dfe87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7BD9CC6-B147-4C24-8FF1-F5911A43A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40473-7254-4dee-a68e-1aa7dfe8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655590-134C-4BB6-A148-E23000AF82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EB6BFC5-2350-491A-A2BD-DF7D1D851D3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C413BBB-3D79-405A-85C3-05E4A0559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Input_Raw</vt:lpstr>
      <vt:lpstr>Input</vt:lpstr>
      <vt:lpstr>Financial Statements</vt:lpstr>
      <vt:lpstr>Common Size</vt:lpstr>
      <vt:lpstr>Detailed Comps</vt:lpstr>
      <vt:lpstr>Ccy</vt:lpstr>
      <vt:lpstr>Conv</vt:lpstr>
      <vt:lpstr>Date</vt:lpstr>
      <vt:lpstr>InputTicker</vt:lpstr>
      <vt:lpstr>'Common Size'!Print_Area</vt:lpstr>
      <vt:lpstr>'Detailed Comps'!Print_Area</vt:lpstr>
      <vt:lpstr>'Financial Statements'!Print_Area</vt:lpstr>
      <vt:lpstr>'Detailed Comps'!Print_Titles</vt:lpstr>
    </vt:vector>
  </TitlesOfParts>
  <Manager>Capital IQ, Inc.</Manager>
  <Company>Capital IQ,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IQ, Inc.</dc:creator>
  <cp:lastModifiedBy>Patrik Šmid</cp:lastModifiedBy>
  <cp:lastPrinted>2012-06-05T17:05:55Z</cp:lastPrinted>
  <dcterms:created xsi:type="dcterms:W3CDTF">2002-03-18T23:28:38Z</dcterms:created>
  <dcterms:modified xsi:type="dcterms:W3CDTF">2026-06-14T08:22:54Z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{B4D9AC75-597D-4044-A6A8-5AE76CDFFFDC}</vt:lpwstr>
  </property>
  <property fmtid="{D5CDD505-2E9C-101B-9397-08002B2CF9AE}" pid="3" name="ContentTypeId">
    <vt:lpwstr>0x010100BA41F65D8D85C643B279395178BBB636</vt:lpwstr>
  </property>
</Properties>
</file>